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2"/>
  <workbookPr autoCompressPictures="0"/>
  <mc:AlternateContent xmlns:mc="http://schemas.openxmlformats.org/markup-compatibility/2006">
    <mc:Choice Requires="x15">
      <x15ac:absPath xmlns:x15ac="http://schemas.microsoft.com/office/spreadsheetml/2010/11/ac" url="/Users/thomastansy/Downloads/"/>
    </mc:Choice>
  </mc:AlternateContent>
  <xr:revisionPtr revIDLastSave="0" documentId="8_{0C0F5695-4D0B-5E40-BF77-E5DE223AE5A4}" xr6:coauthVersionLast="46" xr6:coauthVersionMax="46" xr10:uidLastSave="{00000000-0000-0000-0000-000000000000}"/>
  <bookViews>
    <workbookView xWindow="0" yWindow="460" windowWidth="33600" windowHeight="20540" xr2:uid="{00000000-000D-0000-FFFF-FFFF00000000}"/>
  </bookViews>
  <sheets>
    <sheet name="Inputs" sheetId="8" r:id="rId1"/>
    <sheet name="Report" sheetId="21" r:id="rId2"/>
    <sheet name="Detailed Measures" sheetId="17" r:id="rId3"/>
    <sheet name="Labor Rates" sheetId="10" r:id="rId4"/>
    <sheet name="Lists" sheetId="7" r:id="rId5"/>
    <sheet name="Instructions" sheetId="13" r:id="rId6"/>
  </sheets>
  <externalReferences>
    <externalReference r:id="rId7"/>
  </externalReferences>
  <definedNames>
    <definedName name="_xlnm._FilterDatabase" localSheetId="2" hidden="1">'Detailed Measures'!$A$2:$BN$140</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I17" i="21" l="1"/>
  <c r="E48" i="17"/>
  <c r="BD48" i="17" s="1"/>
  <c r="Q6" i="7"/>
  <c r="T48" i="17"/>
  <c r="F2" i="10"/>
  <c r="B2" i="10" s="1"/>
  <c r="BC48" i="17"/>
  <c r="BE48" i="17"/>
  <c r="BF48" i="17"/>
  <c r="BL48" i="17"/>
  <c r="BM48" i="17"/>
  <c r="BN48" i="17"/>
  <c r="E108" i="17"/>
  <c r="T108" i="17"/>
  <c r="AZ108" i="17"/>
  <c r="BB108" i="17"/>
  <c r="BG108" i="17"/>
  <c r="BH108" i="17"/>
  <c r="BI108" i="17"/>
  <c r="BK108" i="17"/>
  <c r="I3" i="21"/>
  <c r="T11" i="17"/>
  <c r="F8" i="10"/>
  <c r="B8" i="10" s="1"/>
  <c r="AZ11" i="17"/>
  <c r="BA11" i="17"/>
  <c r="BB11" i="17"/>
  <c r="BC11" i="17"/>
  <c r="BD11" i="17"/>
  <c r="BE11" i="17"/>
  <c r="BF11" i="17"/>
  <c r="BG11" i="17"/>
  <c r="BH11" i="17"/>
  <c r="BI11" i="17"/>
  <c r="BJ11" i="17"/>
  <c r="BK11" i="17"/>
  <c r="BL11" i="17"/>
  <c r="BM11" i="17"/>
  <c r="BN11" i="17"/>
  <c r="E12" i="17"/>
  <c r="BF12" i="17" s="1"/>
  <c r="Q3" i="7"/>
  <c r="O12" i="17"/>
  <c r="T12" i="17"/>
  <c r="F7" i="10"/>
  <c r="B7" i="10" s="1"/>
  <c r="K12" i="17" s="1"/>
  <c r="S12" i="17" s="1"/>
  <c r="AA12" i="17" s="1"/>
  <c r="BN12" i="17"/>
  <c r="T13" i="17"/>
  <c r="AZ13" i="17"/>
  <c r="BA13" i="17"/>
  <c r="BB13" i="17"/>
  <c r="BC13" i="17"/>
  <c r="BD13" i="17"/>
  <c r="BE13" i="17"/>
  <c r="BF13" i="17"/>
  <c r="BG13" i="17"/>
  <c r="BH13" i="17"/>
  <c r="BI13" i="17"/>
  <c r="BJ13" i="17"/>
  <c r="BK13" i="17"/>
  <c r="BL13" i="17"/>
  <c r="BM13" i="17"/>
  <c r="BN13" i="17"/>
  <c r="R3" i="17"/>
  <c r="T3" i="17" s="1"/>
  <c r="AZ3" i="17"/>
  <c r="BA3" i="17"/>
  <c r="BB3" i="17"/>
  <c r="BC3" i="17"/>
  <c r="BD3" i="17"/>
  <c r="BE3" i="17"/>
  <c r="BF3" i="17"/>
  <c r="BG3" i="17"/>
  <c r="BH3" i="17"/>
  <c r="BI3" i="17"/>
  <c r="BJ3" i="17"/>
  <c r="BK3" i="17"/>
  <c r="BL3" i="17"/>
  <c r="BM3" i="17"/>
  <c r="BN3" i="17"/>
  <c r="E4" i="17"/>
  <c r="T4" i="17"/>
  <c r="BA4" i="17"/>
  <c r="BI4" i="17"/>
  <c r="BJ4" i="17"/>
  <c r="BL4" i="17"/>
  <c r="E5" i="17"/>
  <c r="BG5" i="17" s="1"/>
  <c r="T5" i="17"/>
  <c r="BB5" i="17"/>
  <c r="BF5" i="17"/>
  <c r="BK5" i="17"/>
  <c r="T6" i="17"/>
  <c r="P6" i="17"/>
  <c r="AZ6" i="17"/>
  <c r="BA6" i="17"/>
  <c r="BB6" i="17"/>
  <c r="BC6" i="17"/>
  <c r="BD6" i="17"/>
  <c r="BE6" i="17"/>
  <c r="BF6" i="17"/>
  <c r="BG6" i="17"/>
  <c r="BH6" i="17"/>
  <c r="BI6" i="17"/>
  <c r="BJ6" i="17"/>
  <c r="BK6" i="17"/>
  <c r="BL6" i="17"/>
  <c r="BM6" i="17"/>
  <c r="BN6" i="17"/>
  <c r="E7" i="17"/>
  <c r="T7" i="17"/>
  <c r="E8" i="17"/>
  <c r="BL8" i="17" s="1"/>
  <c r="T8" i="17"/>
  <c r="BE8" i="17"/>
  <c r="BI8" i="17"/>
  <c r="BJ8" i="17"/>
  <c r="BM8" i="17"/>
  <c r="E9" i="17"/>
  <c r="T9" i="17"/>
  <c r="AZ9" i="17"/>
  <c r="BB9" i="17"/>
  <c r="BC9" i="17"/>
  <c r="BD9" i="17"/>
  <c r="BE9" i="17"/>
  <c r="BF9" i="17"/>
  <c r="BG9" i="17"/>
  <c r="BH9" i="17"/>
  <c r="BJ9" i="17"/>
  <c r="BK9" i="17"/>
  <c r="BL9" i="17"/>
  <c r="BM9" i="17"/>
  <c r="BN9" i="17"/>
  <c r="E10" i="17"/>
  <c r="T10" i="17"/>
  <c r="AZ10" i="17"/>
  <c r="BA10" i="17"/>
  <c r="BB10" i="17"/>
  <c r="BE10" i="17"/>
  <c r="BH10" i="17"/>
  <c r="BI10" i="17"/>
  <c r="BJ10" i="17"/>
  <c r="BL10" i="17"/>
  <c r="BN10" i="17"/>
  <c r="E14" i="17"/>
  <c r="T14" i="17"/>
  <c r="F16" i="10"/>
  <c r="B16" i="10" s="1"/>
  <c r="K14" i="17" s="1"/>
  <c r="S14" i="17" s="1"/>
  <c r="U14" i="17" s="1"/>
  <c r="BF14" i="17"/>
  <c r="BH14" i="17"/>
  <c r="BN14" i="17"/>
  <c r="T15" i="17"/>
  <c r="AZ15" i="17"/>
  <c r="BA15" i="17"/>
  <c r="BB15" i="17"/>
  <c r="BC15" i="17"/>
  <c r="BD15" i="17"/>
  <c r="BE15" i="17"/>
  <c r="BF15" i="17"/>
  <c r="BG15" i="17"/>
  <c r="BH15" i="17"/>
  <c r="BI15" i="17"/>
  <c r="BJ15" i="17"/>
  <c r="BK15" i="17"/>
  <c r="BL15" i="17"/>
  <c r="BM15" i="17"/>
  <c r="BN15" i="17"/>
  <c r="D15" i="8"/>
  <c r="D25" i="8" s="1"/>
  <c r="AZ16" i="17"/>
  <c r="BA16" i="17"/>
  <c r="BB16" i="17"/>
  <c r="BC16" i="17"/>
  <c r="BD16" i="17"/>
  <c r="BE16" i="17"/>
  <c r="BF16" i="17"/>
  <c r="BG16" i="17"/>
  <c r="BH16" i="17"/>
  <c r="BI16" i="17"/>
  <c r="BJ16" i="17"/>
  <c r="BK16" i="17"/>
  <c r="BL16" i="17"/>
  <c r="BM16" i="17"/>
  <c r="BN16" i="17"/>
  <c r="E17" i="17"/>
  <c r="BB17" i="17" s="1"/>
  <c r="F12" i="10"/>
  <c r="B12" i="10"/>
  <c r="K17" i="17" s="1"/>
  <c r="BE17" i="17"/>
  <c r="BK17" i="17"/>
  <c r="Q5" i="7"/>
  <c r="AZ18" i="17"/>
  <c r="BA18" i="17"/>
  <c r="BB18" i="17"/>
  <c r="BC18" i="17"/>
  <c r="BD18" i="17"/>
  <c r="BE18" i="17"/>
  <c r="BF18" i="17"/>
  <c r="BG18" i="17"/>
  <c r="BH18" i="17"/>
  <c r="BI18" i="17"/>
  <c r="BJ18" i="17"/>
  <c r="BK18" i="17"/>
  <c r="BL18" i="17"/>
  <c r="BM18" i="17"/>
  <c r="BN18" i="17"/>
  <c r="T19" i="17"/>
  <c r="AZ19" i="17"/>
  <c r="BA19" i="17"/>
  <c r="BB19" i="17"/>
  <c r="BC19" i="17"/>
  <c r="BD19" i="17"/>
  <c r="BE19" i="17"/>
  <c r="BF19" i="17"/>
  <c r="BG19" i="17"/>
  <c r="BH19" i="17"/>
  <c r="BI19" i="17"/>
  <c r="BJ19" i="17"/>
  <c r="BK19" i="17"/>
  <c r="BL19" i="17"/>
  <c r="BM19" i="17"/>
  <c r="BN19" i="17"/>
  <c r="T20" i="17"/>
  <c r="AZ20" i="17"/>
  <c r="BA20" i="17"/>
  <c r="BB20" i="17"/>
  <c r="BC20" i="17"/>
  <c r="BD20" i="17"/>
  <c r="BE20" i="17"/>
  <c r="BF20" i="17"/>
  <c r="BG20" i="17"/>
  <c r="BH20" i="17"/>
  <c r="BI20" i="17"/>
  <c r="BJ20" i="17"/>
  <c r="BK20" i="17"/>
  <c r="BL20" i="17"/>
  <c r="BM20" i="17"/>
  <c r="BN20" i="17"/>
  <c r="E21" i="17"/>
  <c r="BG21" i="17" s="1"/>
  <c r="BB21" i="17"/>
  <c r="BI21" i="17"/>
  <c r="K22" i="17"/>
  <c r="AZ22" i="17"/>
  <c r="BA22" i="17"/>
  <c r="BB22" i="17"/>
  <c r="BC22" i="17"/>
  <c r="BD22" i="17"/>
  <c r="BE22" i="17"/>
  <c r="BF22" i="17"/>
  <c r="BG22" i="17"/>
  <c r="BH22" i="17"/>
  <c r="BI22" i="17"/>
  <c r="BJ22" i="17"/>
  <c r="BK22" i="17"/>
  <c r="BL22" i="17"/>
  <c r="BM22" i="17"/>
  <c r="BN22" i="17"/>
  <c r="E23" i="17"/>
  <c r="AP23" i="17" s="1"/>
  <c r="T23" i="17"/>
  <c r="K23" i="17"/>
  <c r="S23" i="17"/>
  <c r="U23" i="17"/>
  <c r="AZ23" i="17"/>
  <c r="BD23" i="17"/>
  <c r="BH23" i="17"/>
  <c r="BL23" i="17"/>
  <c r="E24" i="17"/>
  <c r="BC24" i="17" s="1"/>
  <c r="T24" i="17"/>
  <c r="K24" i="17"/>
  <c r="S24" i="17" s="1"/>
  <c r="AZ24" i="17"/>
  <c r="BA24" i="17"/>
  <c r="BB24" i="17"/>
  <c r="BE24" i="17"/>
  <c r="BF24" i="17"/>
  <c r="BG24" i="17"/>
  <c r="BH24" i="17"/>
  <c r="BI24" i="17"/>
  <c r="BJ24" i="17"/>
  <c r="BM24" i="17"/>
  <c r="BN24" i="17"/>
  <c r="E25" i="17"/>
  <c r="K25" i="17"/>
  <c r="T26" i="17"/>
  <c r="K26" i="17"/>
  <c r="S26" i="17" s="1"/>
  <c r="AZ26" i="17"/>
  <c r="BA26" i="17"/>
  <c r="BB26" i="17"/>
  <c r="BC26" i="17"/>
  <c r="BD26" i="17"/>
  <c r="BE26" i="17"/>
  <c r="BF26" i="17"/>
  <c r="BG26" i="17"/>
  <c r="BH26" i="17"/>
  <c r="BI26" i="17"/>
  <c r="BJ26" i="17"/>
  <c r="BK26" i="17"/>
  <c r="BL26" i="17"/>
  <c r="BM26" i="17"/>
  <c r="BN26" i="17"/>
  <c r="E27" i="17"/>
  <c r="BG27" i="17" s="1"/>
  <c r="Q4" i="7"/>
  <c r="D31" i="8"/>
  <c r="R27" i="17" s="1"/>
  <c r="O27" i="17"/>
  <c r="P27" i="17"/>
  <c r="F6" i="10"/>
  <c r="B6" i="10" s="1"/>
  <c r="BA27" i="17"/>
  <c r="BC27" i="17"/>
  <c r="BE27" i="17"/>
  <c r="BI27" i="17"/>
  <c r="BK27" i="17"/>
  <c r="BM27" i="17"/>
  <c r="E28" i="17"/>
  <c r="BD28" i="17" s="1"/>
  <c r="O28" i="17"/>
  <c r="T28" i="17"/>
  <c r="F5" i="10"/>
  <c r="B5" i="10"/>
  <c r="K28" i="17" s="1"/>
  <c r="S28" i="17" s="1"/>
  <c r="AA28" i="17" s="1"/>
  <c r="BC28" i="17"/>
  <c r="BE28" i="17"/>
  <c r="BG28" i="17"/>
  <c r="BI28" i="17"/>
  <c r="BK28" i="17"/>
  <c r="BM28" i="17"/>
  <c r="E29" i="17"/>
  <c r="BE29" i="17" s="1"/>
  <c r="O29" i="17"/>
  <c r="AZ29" i="17"/>
  <c r="BB29" i="17"/>
  <c r="BG29" i="17"/>
  <c r="BI29" i="17"/>
  <c r="BL29" i="17"/>
  <c r="O30" i="17"/>
  <c r="T30" i="17" s="1"/>
  <c r="K30" i="17"/>
  <c r="AZ30" i="17"/>
  <c r="BA30" i="17"/>
  <c r="BB30" i="17"/>
  <c r="BC30" i="17"/>
  <c r="BD30" i="17"/>
  <c r="BE30" i="17"/>
  <c r="BF30" i="17"/>
  <c r="BG30" i="17"/>
  <c r="BH30" i="17"/>
  <c r="BI30" i="17"/>
  <c r="BJ30" i="17"/>
  <c r="BK30" i="17"/>
  <c r="BL30" i="17"/>
  <c r="BM30" i="17"/>
  <c r="BN30" i="17"/>
  <c r="E31" i="17"/>
  <c r="BG31" i="17" s="1"/>
  <c r="O31" i="17"/>
  <c r="T31" i="17" s="1"/>
  <c r="AZ31" i="17"/>
  <c r="BB31" i="17"/>
  <c r="BI31" i="17"/>
  <c r="E32" i="17"/>
  <c r="BH32" i="17" s="1"/>
  <c r="O32" i="17"/>
  <c r="T32" i="17"/>
  <c r="E33" i="17"/>
  <c r="BG33" i="17" s="1"/>
  <c r="O33" i="17"/>
  <c r="T33" i="17"/>
  <c r="K33" i="17"/>
  <c r="BA33" i="17"/>
  <c r="BB33" i="17"/>
  <c r="BC33" i="17"/>
  <c r="BE33" i="17"/>
  <c r="BI33" i="17"/>
  <c r="BK33" i="17"/>
  <c r="BL33" i="17"/>
  <c r="BM33" i="17"/>
  <c r="E34" i="17"/>
  <c r="BE34" i="17" s="1"/>
  <c r="R34" i="17"/>
  <c r="T34" i="17" s="1"/>
  <c r="O34" i="17"/>
  <c r="K34" i="17"/>
  <c r="AZ34" i="17"/>
  <c r="BA34" i="17"/>
  <c r="BB34" i="17"/>
  <c r="BC34" i="17"/>
  <c r="BD34" i="17"/>
  <c r="BF34" i="17"/>
  <c r="BH34" i="17"/>
  <c r="BI34" i="17"/>
  <c r="BJ34" i="17"/>
  <c r="BK34" i="17"/>
  <c r="BL34" i="17"/>
  <c r="BN34" i="17"/>
  <c r="E35" i="17"/>
  <c r="O35" i="17"/>
  <c r="T35" i="17" s="1"/>
  <c r="K35" i="17"/>
  <c r="AZ35" i="17"/>
  <c r="BA35" i="17"/>
  <c r="BB35" i="17"/>
  <c r="BC35" i="17"/>
  <c r="BD35" i="17"/>
  <c r="BE35" i="17"/>
  <c r="BF35" i="17"/>
  <c r="BG35" i="17"/>
  <c r="BH35" i="17"/>
  <c r="BI35" i="17"/>
  <c r="BJ35" i="17"/>
  <c r="BK35" i="17"/>
  <c r="BL35" i="17"/>
  <c r="BM35" i="17"/>
  <c r="BN35" i="17"/>
  <c r="E36" i="17"/>
  <c r="BA36" i="17" s="1"/>
  <c r="O36" i="17"/>
  <c r="S36" i="17" s="1"/>
  <c r="K36" i="17"/>
  <c r="BB36" i="17"/>
  <c r="BI36" i="17"/>
  <c r="BJ36" i="17"/>
  <c r="BK36" i="17"/>
  <c r="E37" i="17"/>
  <c r="BG37" i="17" s="1"/>
  <c r="O37" i="17"/>
  <c r="S37" i="17" s="1"/>
  <c r="K37" i="17"/>
  <c r="AZ37" i="17"/>
  <c r="BB37" i="17"/>
  <c r="BC37" i="17"/>
  <c r="BD37" i="17"/>
  <c r="BE37" i="17"/>
  <c r="BF37" i="17"/>
  <c r="BH37" i="17"/>
  <c r="BJ37" i="17"/>
  <c r="BK37" i="17"/>
  <c r="BL37" i="17"/>
  <c r="BM37" i="17"/>
  <c r="BN37" i="17"/>
  <c r="E38" i="17"/>
  <c r="BF38" i="17" s="1"/>
  <c r="O38" i="17"/>
  <c r="T38" i="17" s="1"/>
  <c r="K38" i="17"/>
  <c r="AZ38" i="17"/>
  <c r="BA38" i="17"/>
  <c r="BC38" i="17"/>
  <c r="BD38" i="17"/>
  <c r="BE38" i="17"/>
  <c r="BG38" i="17"/>
  <c r="BH38" i="17"/>
  <c r="BI38" i="17"/>
  <c r="BK38" i="17"/>
  <c r="BL38" i="17"/>
  <c r="BM38" i="17"/>
  <c r="BN38" i="17"/>
  <c r="E39" i="17"/>
  <c r="R39" i="17"/>
  <c r="T39" i="17" s="1"/>
  <c r="O39" i="17"/>
  <c r="S39" i="17" s="1"/>
  <c r="K39" i="17"/>
  <c r="AJ39" i="17"/>
  <c r="AZ39" i="17"/>
  <c r="BA39" i="17"/>
  <c r="BC39" i="17"/>
  <c r="BD39" i="17"/>
  <c r="BE39" i="17"/>
  <c r="BF39" i="17"/>
  <c r="BG39" i="17"/>
  <c r="BH39" i="17"/>
  <c r="BI39" i="17"/>
  <c r="BK39" i="17"/>
  <c r="BL39" i="17"/>
  <c r="BM39" i="17"/>
  <c r="BN39" i="17"/>
  <c r="E40" i="17"/>
  <c r="BA40" i="17" s="1"/>
  <c r="R40" i="17"/>
  <c r="O40" i="17"/>
  <c r="T40" i="17" s="1"/>
  <c r="K40" i="17"/>
  <c r="BD40" i="17"/>
  <c r="BF40" i="17"/>
  <c r="BH40" i="17"/>
  <c r="BM40" i="17"/>
  <c r="E41" i="17"/>
  <c r="O41" i="17"/>
  <c r="T41" i="17" s="1"/>
  <c r="K41" i="17"/>
  <c r="E42" i="17"/>
  <c r="O42" i="17"/>
  <c r="T42" i="17" s="1"/>
  <c r="K42" i="17"/>
  <c r="E43" i="17"/>
  <c r="BL43" i="17" s="1"/>
  <c r="O43" i="17"/>
  <c r="K43" i="17"/>
  <c r="BD43" i="17"/>
  <c r="E44" i="17"/>
  <c r="BI44" i="17" s="1"/>
  <c r="O44" i="17"/>
  <c r="T44" i="17"/>
  <c r="K44" i="17"/>
  <c r="AZ44" i="17"/>
  <c r="BE44" i="17"/>
  <c r="BK44" i="17"/>
  <c r="BM44" i="17"/>
  <c r="E45" i="17"/>
  <c r="O45" i="17"/>
  <c r="T45" i="17" s="1"/>
  <c r="K45" i="17"/>
  <c r="BA45" i="17"/>
  <c r="BB45" i="17"/>
  <c r="BC45" i="17"/>
  <c r="BD45" i="17"/>
  <c r="BE45" i="17"/>
  <c r="BF45" i="17"/>
  <c r="BH45" i="17"/>
  <c r="BJ45" i="17"/>
  <c r="BK45" i="17"/>
  <c r="BL45" i="17"/>
  <c r="BM45" i="17"/>
  <c r="BN45" i="17"/>
  <c r="K46" i="17"/>
  <c r="AZ46" i="17"/>
  <c r="BA46" i="17"/>
  <c r="BB46" i="17"/>
  <c r="BC46" i="17"/>
  <c r="BD46" i="17"/>
  <c r="BE46" i="17"/>
  <c r="BF46" i="17"/>
  <c r="BG46" i="17"/>
  <c r="BH46" i="17"/>
  <c r="BI46" i="17"/>
  <c r="BJ46" i="17"/>
  <c r="BK46" i="17"/>
  <c r="BL46" i="17"/>
  <c r="BM46" i="17"/>
  <c r="BN46" i="17"/>
  <c r="T47" i="17"/>
  <c r="F10" i="10"/>
  <c r="B10" i="10"/>
  <c r="K47" i="17" s="1"/>
  <c r="S47" i="17" s="1"/>
  <c r="AZ47" i="17"/>
  <c r="BA47" i="17"/>
  <c r="BB47" i="17"/>
  <c r="BC47" i="17"/>
  <c r="BD47" i="17"/>
  <c r="BE47" i="17"/>
  <c r="BF47" i="17"/>
  <c r="BG47" i="17"/>
  <c r="BH47" i="17"/>
  <c r="BI47" i="17"/>
  <c r="BJ47" i="17"/>
  <c r="BK47" i="17"/>
  <c r="BL47" i="17"/>
  <c r="BM47" i="17"/>
  <c r="BN47" i="17"/>
  <c r="D56" i="8"/>
  <c r="D53" i="8" s="1"/>
  <c r="O58" i="17" s="1"/>
  <c r="T58" i="17" s="1"/>
  <c r="F9" i="10"/>
  <c r="B9" i="10" s="1"/>
  <c r="AZ49" i="17"/>
  <c r="BA49" i="17"/>
  <c r="BB49" i="17"/>
  <c r="BC49" i="17"/>
  <c r="BD49" i="17"/>
  <c r="BE49" i="17"/>
  <c r="BF49" i="17"/>
  <c r="BG49" i="17"/>
  <c r="BH49" i="17"/>
  <c r="BI49" i="17"/>
  <c r="BJ49" i="17"/>
  <c r="BK49" i="17"/>
  <c r="BL49" i="17"/>
  <c r="BM49" i="17"/>
  <c r="BN49" i="17"/>
  <c r="E50" i="17"/>
  <c r="F14" i="10"/>
  <c r="B14" i="10" s="1"/>
  <c r="K50" i="17" s="1"/>
  <c r="BA50" i="17"/>
  <c r="BB50" i="17"/>
  <c r="BC50" i="17"/>
  <c r="BD50" i="17"/>
  <c r="BG50" i="17"/>
  <c r="BI50" i="17"/>
  <c r="BJ50" i="17"/>
  <c r="BK50" i="17"/>
  <c r="BL50" i="17"/>
  <c r="R51" i="17"/>
  <c r="K51" i="17"/>
  <c r="AZ51" i="17"/>
  <c r="BA51" i="17"/>
  <c r="BB51" i="17"/>
  <c r="BC51" i="17"/>
  <c r="BD51" i="17"/>
  <c r="BE51" i="17"/>
  <c r="BF51" i="17"/>
  <c r="BG51" i="17"/>
  <c r="BH51" i="17"/>
  <c r="BI51" i="17"/>
  <c r="BJ51" i="17"/>
  <c r="BK51" i="17"/>
  <c r="BL51" i="17"/>
  <c r="BM51" i="17"/>
  <c r="BN51" i="17"/>
  <c r="AZ52" i="17"/>
  <c r="BA52" i="17"/>
  <c r="BB52" i="17"/>
  <c r="BC52" i="17"/>
  <c r="BD52" i="17"/>
  <c r="BE52" i="17"/>
  <c r="BF52" i="17"/>
  <c r="BG52" i="17"/>
  <c r="BH52" i="17"/>
  <c r="BI52" i="17"/>
  <c r="BJ52" i="17"/>
  <c r="BK52" i="17"/>
  <c r="BL52" i="17"/>
  <c r="BM52" i="17"/>
  <c r="BN52" i="17"/>
  <c r="K53" i="17"/>
  <c r="AZ53" i="17"/>
  <c r="BA53" i="17"/>
  <c r="BB53" i="17"/>
  <c r="BC53" i="17"/>
  <c r="BD53" i="17"/>
  <c r="BE53" i="17"/>
  <c r="BF53" i="17"/>
  <c r="BG53" i="17"/>
  <c r="BH53" i="17"/>
  <c r="BI53" i="17"/>
  <c r="BJ53" i="17"/>
  <c r="BK53" i="17"/>
  <c r="BL53" i="17"/>
  <c r="BM53" i="17"/>
  <c r="BN53" i="17"/>
  <c r="E54" i="17"/>
  <c r="R54" i="17"/>
  <c r="D20" i="8"/>
  <c r="P54" i="17"/>
  <c r="F13" i="10"/>
  <c r="B13" i="10" s="1"/>
  <c r="E55" i="17"/>
  <c r="BI55" i="17" s="1"/>
  <c r="R55" i="17"/>
  <c r="P55" i="17"/>
  <c r="BB55" i="17"/>
  <c r="BC55" i="17"/>
  <c r="BD55" i="17"/>
  <c r="BG55" i="17"/>
  <c r="BH55" i="17"/>
  <c r="BL55" i="17"/>
  <c r="E56" i="17"/>
  <c r="D48" i="8"/>
  <c r="O56" i="17" s="1"/>
  <c r="O102" i="17"/>
  <c r="O57" i="17" s="1"/>
  <c r="T57" i="17" s="1"/>
  <c r="P57" i="17"/>
  <c r="AZ57" i="17"/>
  <c r="BA57" i="17"/>
  <c r="BB57" i="17"/>
  <c r="BC57" i="17"/>
  <c r="BD57" i="17"/>
  <c r="BE57" i="17"/>
  <c r="BF57" i="17"/>
  <c r="BG57" i="17"/>
  <c r="BH57" i="17"/>
  <c r="BI57" i="17"/>
  <c r="BJ57" i="17"/>
  <c r="BK57" i="17"/>
  <c r="BL57" i="17"/>
  <c r="BM57" i="17"/>
  <c r="BN57" i="17"/>
  <c r="AZ58" i="17"/>
  <c r="BA58" i="17"/>
  <c r="BB58" i="17"/>
  <c r="BC58" i="17"/>
  <c r="BD58" i="17"/>
  <c r="BE58" i="17"/>
  <c r="BF58" i="17"/>
  <c r="BG58" i="17"/>
  <c r="BH58" i="17"/>
  <c r="BI58" i="17"/>
  <c r="BJ58" i="17"/>
  <c r="BK58" i="17"/>
  <c r="BL58" i="17"/>
  <c r="BM58" i="17"/>
  <c r="BN58" i="17"/>
  <c r="K59" i="17"/>
  <c r="AZ59" i="17"/>
  <c r="BA59" i="17"/>
  <c r="BB59" i="17"/>
  <c r="BC59" i="17"/>
  <c r="BD59" i="17"/>
  <c r="BE59" i="17"/>
  <c r="BF59" i="17"/>
  <c r="BG59" i="17"/>
  <c r="BH59" i="17"/>
  <c r="BI59" i="17"/>
  <c r="BJ59" i="17"/>
  <c r="BK59" i="17"/>
  <c r="BL59" i="17"/>
  <c r="BM59" i="17"/>
  <c r="BN59" i="17"/>
  <c r="O60" i="17"/>
  <c r="T60" i="17" s="1"/>
  <c r="AZ60" i="17"/>
  <c r="BA60" i="17"/>
  <c r="BB60" i="17"/>
  <c r="BC60" i="17"/>
  <c r="BD60" i="17"/>
  <c r="BE60" i="17"/>
  <c r="BF60" i="17"/>
  <c r="BG60" i="17"/>
  <c r="BH60" i="17"/>
  <c r="BI60" i="17"/>
  <c r="BJ60" i="17"/>
  <c r="BK60" i="17"/>
  <c r="BL60" i="17"/>
  <c r="BM60" i="17"/>
  <c r="BN60" i="17"/>
  <c r="O61" i="17"/>
  <c r="K61" i="17"/>
  <c r="AZ61" i="17"/>
  <c r="BA61" i="17"/>
  <c r="BB61" i="17"/>
  <c r="BC61" i="17"/>
  <c r="BD61" i="17"/>
  <c r="BE61" i="17"/>
  <c r="BF61" i="17"/>
  <c r="BG61" i="17"/>
  <c r="BH61" i="17"/>
  <c r="BI61" i="17"/>
  <c r="BJ61" i="17"/>
  <c r="BK61" i="17"/>
  <c r="BL61" i="17"/>
  <c r="BM61" i="17"/>
  <c r="BN61" i="17"/>
  <c r="O62" i="17"/>
  <c r="AZ62" i="17"/>
  <c r="BA62" i="17"/>
  <c r="BB62" i="17"/>
  <c r="BC62" i="17"/>
  <c r="BD62" i="17"/>
  <c r="BE62" i="17"/>
  <c r="BF62" i="17"/>
  <c r="BG62" i="17"/>
  <c r="BH62" i="17"/>
  <c r="BI62" i="17"/>
  <c r="BJ62" i="17"/>
  <c r="BK62" i="17"/>
  <c r="BL62" i="17"/>
  <c r="BM62" i="17"/>
  <c r="BN62" i="17"/>
  <c r="O63" i="17"/>
  <c r="T63" i="17" s="1"/>
  <c r="K63" i="17"/>
  <c r="AZ63" i="17"/>
  <c r="BA63" i="17"/>
  <c r="BB63" i="17"/>
  <c r="BC63" i="17"/>
  <c r="BD63" i="17"/>
  <c r="BE63" i="17"/>
  <c r="BF63" i="17"/>
  <c r="BG63" i="17"/>
  <c r="BH63" i="17"/>
  <c r="BI63" i="17"/>
  <c r="BJ63" i="17"/>
  <c r="BK63" i="17"/>
  <c r="BL63" i="17"/>
  <c r="BM63" i="17"/>
  <c r="BN63" i="17"/>
  <c r="E64" i="17"/>
  <c r="R64" i="17"/>
  <c r="T64" i="17" s="1"/>
  <c r="O64" i="17"/>
  <c r="K64" i="17"/>
  <c r="BA64" i="17"/>
  <c r="BB64" i="17"/>
  <c r="BD64" i="17"/>
  <c r="BE64" i="17"/>
  <c r="BI64" i="17"/>
  <c r="BJ64" i="17"/>
  <c r="BL64" i="17"/>
  <c r="BM64" i="17"/>
  <c r="E65" i="17"/>
  <c r="O65" i="17"/>
  <c r="T65" i="17" s="1"/>
  <c r="AZ65" i="17"/>
  <c r="BA65" i="17"/>
  <c r="BB65" i="17"/>
  <c r="BC65" i="17"/>
  <c r="BD65" i="17"/>
  <c r="BE65" i="17"/>
  <c r="BF65" i="17"/>
  <c r="BG65" i="17"/>
  <c r="BH65" i="17"/>
  <c r="BI65" i="17"/>
  <c r="BJ65" i="17"/>
  <c r="BK65" i="17"/>
  <c r="BL65" i="17"/>
  <c r="BM65" i="17"/>
  <c r="BN65" i="17"/>
  <c r="AZ66" i="17"/>
  <c r="BA66" i="17"/>
  <c r="BB66" i="17"/>
  <c r="BC66" i="17"/>
  <c r="BD66" i="17"/>
  <c r="BE66" i="17"/>
  <c r="BF66" i="17"/>
  <c r="BG66" i="17"/>
  <c r="BH66" i="17"/>
  <c r="BI66" i="17"/>
  <c r="BJ66" i="17"/>
  <c r="BK66" i="17"/>
  <c r="BL66" i="17"/>
  <c r="BM66" i="17"/>
  <c r="BN66" i="17"/>
  <c r="AZ67" i="17"/>
  <c r="BA67" i="17"/>
  <c r="BB67" i="17"/>
  <c r="BC67" i="17"/>
  <c r="BD67" i="17"/>
  <c r="BE67" i="17"/>
  <c r="BF67" i="17"/>
  <c r="BG67" i="17"/>
  <c r="BH67" i="17"/>
  <c r="BI67" i="17"/>
  <c r="BJ67" i="17"/>
  <c r="BK67" i="17"/>
  <c r="BL67" i="17"/>
  <c r="BM67" i="17"/>
  <c r="BN67" i="17"/>
  <c r="T68" i="17"/>
  <c r="K68" i="17"/>
  <c r="S68" i="17" s="1"/>
  <c r="AZ68" i="17"/>
  <c r="BA68" i="17"/>
  <c r="BB68" i="17"/>
  <c r="BC68" i="17"/>
  <c r="BD68" i="17"/>
  <c r="BE68" i="17"/>
  <c r="BF68" i="17"/>
  <c r="BG68" i="17"/>
  <c r="BH68" i="17"/>
  <c r="BI68" i="17"/>
  <c r="BJ68" i="17"/>
  <c r="BK68" i="17"/>
  <c r="BL68" i="17"/>
  <c r="BM68" i="17"/>
  <c r="BN68" i="17"/>
  <c r="T69" i="17"/>
  <c r="K69" i="17"/>
  <c r="S69" i="17" s="1"/>
  <c r="U69" i="17" s="1"/>
  <c r="AJ69" i="17" s="1"/>
  <c r="AB69" i="17"/>
  <c r="AZ69" i="17"/>
  <c r="BA69" i="17"/>
  <c r="BB69" i="17"/>
  <c r="BC69" i="17"/>
  <c r="BD69" i="17"/>
  <c r="BE69" i="17"/>
  <c r="BF69" i="17"/>
  <c r="BG69" i="17"/>
  <c r="BH69" i="17"/>
  <c r="BI69" i="17"/>
  <c r="BJ69" i="17"/>
  <c r="BK69" i="17"/>
  <c r="BL69" i="17"/>
  <c r="BM69" i="17"/>
  <c r="BN69" i="17"/>
  <c r="E70" i="17"/>
  <c r="BB70" i="17" s="1"/>
  <c r="T70" i="17"/>
  <c r="K70" i="17"/>
  <c r="S70" i="17" s="1"/>
  <c r="E71" i="17"/>
  <c r="L71" i="17"/>
  <c r="T71" i="17"/>
  <c r="K71" i="17"/>
  <c r="S71" i="17" s="1"/>
  <c r="BA71" i="17"/>
  <c r="BJ71" i="17"/>
  <c r="BK71" i="17"/>
  <c r="E72" i="17"/>
  <c r="L72" i="17"/>
  <c r="T72" i="17"/>
  <c r="BK72" i="17"/>
  <c r="E73" i="17"/>
  <c r="BI73" i="17" s="1"/>
  <c r="CY73" i="17" s="1"/>
  <c r="O73" i="17"/>
  <c r="T73" i="17"/>
  <c r="F3" i="10"/>
  <c r="B3" i="10"/>
  <c r="AZ73" i="17"/>
  <c r="BB73" i="17"/>
  <c r="BC73" i="17"/>
  <c r="BH73" i="17"/>
  <c r="BK73" i="17"/>
  <c r="BL73" i="17"/>
  <c r="E74" i="17"/>
  <c r="T74" i="17"/>
  <c r="K74" i="17"/>
  <c r="S74" i="17" s="1"/>
  <c r="AZ74" i="17"/>
  <c r="BA74" i="17"/>
  <c r="BB74" i="17"/>
  <c r="BC74" i="17"/>
  <c r="BD74" i="17"/>
  <c r="BE74" i="17"/>
  <c r="BF74" i="17"/>
  <c r="BH74" i="17"/>
  <c r="BI74" i="17"/>
  <c r="BJ74" i="17"/>
  <c r="BK74" i="17"/>
  <c r="BL74" i="17"/>
  <c r="BM74" i="17"/>
  <c r="BN74" i="17"/>
  <c r="E75" i="17"/>
  <c r="D50" i="8"/>
  <c r="O75" i="17" s="1"/>
  <c r="T75" i="17" s="1"/>
  <c r="BN75" i="17"/>
  <c r="E76" i="17"/>
  <c r="AZ76" i="17" s="1"/>
  <c r="T76" i="17"/>
  <c r="BG76" i="17"/>
  <c r="BH76" i="17"/>
  <c r="BL76" i="17"/>
  <c r="E77" i="17"/>
  <c r="T77" i="17"/>
  <c r="AZ77" i="17"/>
  <c r="BA77" i="17"/>
  <c r="BD77" i="17"/>
  <c r="BF77" i="17"/>
  <c r="BG77" i="17"/>
  <c r="BH77" i="17"/>
  <c r="BI77" i="17"/>
  <c r="BJ77" i="17"/>
  <c r="BM77" i="17"/>
  <c r="E78" i="17"/>
  <c r="T78" i="17"/>
  <c r="AZ78" i="17"/>
  <c r="BG78" i="17"/>
  <c r="BH78" i="17"/>
  <c r="BI78" i="17"/>
  <c r="E79" i="17"/>
  <c r="BF79" i="17" s="1"/>
  <c r="T79" i="17"/>
  <c r="BH79" i="17"/>
  <c r="E80" i="17"/>
  <c r="BN80" i="17" s="1"/>
  <c r="DD80" i="17" s="1"/>
  <c r="K80" i="17"/>
  <c r="O81" i="17"/>
  <c r="T81" i="17" s="1"/>
  <c r="K81" i="17"/>
  <c r="S81" i="17" s="1"/>
  <c r="AZ81" i="17"/>
  <c r="BA81" i="17"/>
  <c r="BB81" i="17"/>
  <c r="BC81" i="17"/>
  <c r="BD81" i="17"/>
  <c r="BE81" i="17"/>
  <c r="BF81" i="17"/>
  <c r="BG81" i="17"/>
  <c r="BH81" i="17"/>
  <c r="BI81" i="17"/>
  <c r="BJ81" i="17"/>
  <c r="BK81" i="17"/>
  <c r="BL81" i="17"/>
  <c r="BM81" i="17"/>
  <c r="BN81" i="17"/>
  <c r="F11" i="10"/>
  <c r="B11" i="10" s="1"/>
  <c r="K82" i="17" s="1"/>
  <c r="AZ82" i="17"/>
  <c r="BA82" i="17"/>
  <c r="BB82" i="17"/>
  <c r="BC82" i="17"/>
  <c r="BD82" i="17"/>
  <c r="BE82" i="17"/>
  <c r="BF82" i="17"/>
  <c r="BG82" i="17"/>
  <c r="BH82" i="17"/>
  <c r="BI82" i="17"/>
  <c r="BJ82" i="17"/>
  <c r="BK82" i="17"/>
  <c r="BL82" i="17"/>
  <c r="BM82" i="17"/>
  <c r="BN82" i="17"/>
  <c r="E83" i="17"/>
  <c r="K83" i="17"/>
  <c r="AZ83" i="17"/>
  <c r="BA83" i="17"/>
  <c r="BB83" i="17"/>
  <c r="BC83" i="17"/>
  <c r="BD83" i="17"/>
  <c r="BE83" i="17"/>
  <c r="BF83" i="17"/>
  <c r="BG83" i="17"/>
  <c r="BH83" i="17"/>
  <c r="BI83" i="17"/>
  <c r="BJ83" i="17"/>
  <c r="BK83" i="17"/>
  <c r="BL83" i="17"/>
  <c r="BM83" i="17"/>
  <c r="BN83" i="17"/>
  <c r="E84" i="17"/>
  <c r="K84" i="17"/>
  <c r="T85" i="17"/>
  <c r="K85" i="17"/>
  <c r="S85" i="17" s="1"/>
  <c r="U85" i="17" s="1"/>
  <c r="AC85" i="17" s="1"/>
  <c r="AZ85" i="17"/>
  <c r="BA85" i="17"/>
  <c r="BB85" i="17"/>
  <c r="BC85" i="17"/>
  <c r="BD85" i="17"/>
  <c r="BE85" i="17"/>
  <c r="BF85" i="17"/>
  <c r="BG85" i="17"/>
  <c r="BH85" i="17"/>
  <c r="BI85" i="17"/>
  <c r="BJ85" i="17"/>
  <c r="BK85" i="17"/>
  <c r="BL85" i="17"/>
  <c r="BM85" i="17"/>
  <c r="BN85" i="17"/>
  <c r="E86" i="17"/>
  <c r="O86" i="17"/>
  <c r="K86" i="17"/>
  <c r="BA86" i="17"/>
  <c r="BB86" i="17"/>
  <c r="BI86" i="17"/>
  <c r="BJ86" i="17"/>
  <c r="E87" i="17"/>
  <c r="T87" i="17"/>
  <c r="BB87" i="17"/>
  <c r="BC87" i="17"/>
  <c r="BD87" i="17"/>
  <c r="CT87" i="17" s="1"/>
  <c r="BJ87" i="17"/>
  <c r="BK87" i="17"/>
  <c r="BL87" i="17"/>
  <c r="P88" i="17"/>
  <c r="K88" i="17"/>
  <c r="AZ88" i="17"/>
  <c r="BA88" i="17"/>
  <c r="BB88" i="17"/>
  <c r="BC88" i="17"/>
  <c r="BD88" i="17"/>
  <c r="BE88" i="17"/>
  <c r="BF88" i="17"/>
  <c r="BG88" i="17"/>
  <c r="BH88" i="17"/>
  <c r="BI88" i="17"/>
  <c r="BJ88" i="17"/>
  <c r="BK88" i="17"/>
  <c r="BL88" i="17"/>
  <c r="BM88" i="17"/>
  <c r="BN88" i="17"/>
  <c r="E89" i="17"/>
  <c r="O89" i="17"/>
  <c r="T89" i="17" s="1"/>
  <c r="P89" i="17"/>
  <c r="K89" i="17"/>
  <c r="AZ89" i="17"/>
  <c r="BC89" i="17"/>
  <c r="BD89" i="17"/>
  <c r="BE89" i="17"/>
  <c r="BH89" i="17"/>
  <c r="BK89" i="17"/>
  <c r="BL89" i="17"/>
  <c r="BM89" i="17"/>
  <c r="O90" i="17"/>
  <c r="T90" i="17" s="1"/>
  <c r="P90" i="17"/>
  <c r="AZ90" i="17"/>
  <c r="BA90" i="17"/>
  <c r="BB90" i="17"/>
  <c r="BC90" i="17"/>
  <c r="BD90" i="17"/>
  <c r="BE90" i="17"/>
  <c r="BF90" i="17"/>
  <c r="BG90" i="17"/>
  <c r="BH90" i="17"/>
  <c r="BI90" i="17"/>
  <c r="BJ90" i="17"/>
  <c r="BK90" i="17"/>
  <c r="BL90" i="17"/>
  <c r="BM90" i="17"/>
  <c r="BN90" i="17"/>
  <c r="E91" i="17"/>
  <c r="BF91" i="17" s="1"/>
  <c r="CV91" i="17" s="1"/>
  <c r="O91" i="17"/>
  <c r="K91" i="17"/>
  <c r="BA91" i="17"/>
  <c r="BE91" i="17"/>
  <c r="BI91" i="17"/>
  <c r="BM91" i="17"/>
  <c r="E92" i="17"/>
  <c r="T92" i="17"/>
  <c r="K92" i="17"/>
  <c r="S92" i="17" s="1"/>
  <c r="T93" i="17"/>
  <c r="AZ93" i="17"/>
  <c r="BA93" i="17"/>
  <c r="BB93" i="17"/>
  <c r="BC93" i="17"/>
  <c r="BD93" i="17"/>
  <c r="BE93" i="17"/>
  <c r="BF93" i="17"/>
  <c r="BG93" i="17"/>
  <c r="BH93" i="17"/>
  <c r="BI93" i="17"/>
  <c r="BJ93" i="17"/>
  <c r="BK93" i="17"/>
  <c r="BL93" i="17"/>
  <c r="BM93" i="17"/>
  <c r="BN93" i="17"/>
  <c r="E94" i="17"/>
  <c r="BD94" i="17" s="1"/>
  <c r="T94" i="17"/>
  <c r="K94" i="17"/>
  <c r="S94" i="17" s="1"/>
  <c r="AZ94" i="17"/>
  <c r="BA94" i="17"/>
  <c r="BB94" i="17"/>
  <c r="BC94" i="17"/>
  <c r="BE94" i="17"/>
  <c r="BF94" i="17"/>
  <c r="BG94" i="17"/>
  <c r="BH94" i="17"/>
  <c r="BI94" i="17"/>
  <c r="BJ94" i="17"/>
  <c r="BK94" i="17"/>
  <c r="BL94" i="17"/>
  <c r="BM94" i="17"/>
  <c r="BN94" i="17"/>
  <c r="E95" i="17"/>
  <c r="BI95" i="17" s="1"/>
  <c r="CY95" i="17" s="1"/>
  <c r="O95" i="17"/>
  <c r="T95" i="17" s="1"/>
  <c r="K95" i="17"/>
  <c r="S95" i="17"/>
  <c r="BA95" i="17"/>
  <c r="BB95" i="17"/>
  <c r="BD95" i="17"/>
  <c r="BE95" i="17"/>
  <c r="BL95" i="17"/>
  <c r="BM95" i="17"/>
  <c r="E96" i="17"/>
  <c r="O96" i="17"/>
  <c r="T96" i="17"/>
  <c r="AZ96" i="17"/>
  <c r="BA96" i="17"/>
  <c r="BC96" i="17"/>
  <c r="BF96" i="17"/>
  <c r="BG96" i="17"/>
  <c r="BH96" i="17"/>
  <c r="BI96" i="17"/>
  <c r="BK96" i="17"/>
  <c r="BN96" i="17"/>
  <c r="E97" i="17"/>
  <c r="T97" i="17"/>
  <c r="K97" i="17"/>
  <c r="S97" i="17" s="1"/>
  <c r="E98" i="17"/>
  <c r="O98" i="17"/>
  <c r="T98" i="17" s="1"/>
  <c r="K98" i="17"/>
  <c r="E99" i="17"/>
  <c r="O99" i="17"/>
  <c r="T99" i="17" s="1"/>
  <c r="K99" i="17"/>
  <c r="BD99" i="17"/>
  <c r="E100" i="17"/>
  <c r="BF100" i="17" s="1"/>
  <c r="CV100" i="17" s="1"/>
  <c r="O100" i="17"/>
  <c r="S100" i="17" s="1"/>
  <c r="K100" i="17"/>
  <c r="BE100" i="17"/>
  <c r="BK100" i="17"/>
  <c r="E101" i="17"/>
  <c r="O101" i="17"/>
  <c r="T101" i="17" s="1"/>
  <c r="P101" i="17"/>
  <c r="S101" i="17" s="1"/>
  <c r="K101" i="17"/>
  <c r="BH101" i="17"/>
  <c r="BJ101" i="17"/>
  <c r="E102" i="17"/>
  <c r="BK102" i="17" s="1"/>
  <c r="DA102" i="17" s="1"/>
  <c r="T102" i="17"/>
  <c r="P102" i="17"/>
  <c r="K102" i="17"/>
  <c r="BC102" i="17"/>
  <c r="BD102" i="17"/>
  <c r="BE102" i="17"/>
  <c r="BG102" i="17"/>
  <c r="BI102" i="17"/>
  <c r="BM102" i="17"/>
  <c r="BN102" i="17"/>
  <c r="DD102" i="17" s="1"/>
  <c r="O103" i="17"/>
  <c r="S103" i="17" s="1"/>
  <c r="K103" i="17"/>
  <c r="AZ103" i="17"/>
  <c r="BA103" i="17"/>
  <c r="BB103" i="17"/>
  <c r="BC103" i="17"/>
  <c r="BD103" i="17"/>
  <c r="BE103" i="17"/>
  <c r="CU103" i="17" s="1"/>
  <c r="BF103" i="17"/>
  <c r="BG103" i="17"/>
  <c r="BH103" i="17"/>
  <c r="BI103" i="17"/>
  <c r="BJ103" i="17"/>
  <c r="BK103" i="17"/>
  <c r="BL103" i="17"/>
  <c r="BM103" i="17"/>
  <c r="DC103" i="17" s="1"/>
  <c r="BN103" i="17"/>
  <c r="O104" i="17"/>
  <c r="S104" i="17" s="1"/>
  <c r="T104" i="17"/>
  <c r="K104" i="17"/>
  <c r="AZ104" i="17"/>
  <c r="BA104" i="17"/>
  <c r="BB104" i="17"/>
  <c r="BC104" i="17"/>
  <c r="BD104" i="17"/>
  <c r="BE104" i="17"/>
  <c r="BF104" i="17"/>
  <c r="BG104" i="17"/>
  <c r="BH104" i="17"/>
  <c r="BI104" i="17"/>
  <c r="BJ104" i="17"/>
  <c r="BK104" i="17"/>
  <c r="BL104" i="17"/>
  <c r="BM104" i="17"/>
  <c r="BN104" i="17"/>
  <c r="E105" i="17"/>
  <c r="BH105" i="17" s="1"/>
  <c r="CX105" i="17" s="1"/>
  <c r="T105" i="17"/>
  <c r="K105" i="17"/>
  <c r="S105" i="17" s="1"/>
  <c r="BF105" i="17"/>
  <c r="E106" i="17"/>
  <c r="BC106" i="17" s="1"/>
  <c r="CS106" i="17" s="1"/>
  <c r="K106" i="17"/>
  <c r="BA106" i="17"/>
  <c r="BK106" i="17"/>
  <c r="BN106" i="17"/>
  <c r="T107" i="17"/>
  <c r="K107" i="17"/>
  <c r="S107" i="17" s="1"/>
  <c r="AZ107" i="17"/>
  <c r="BA107" i="17"/>
  <c r="BB107" i="17"/>
  <c r="BC107" i="17"/>
  <c r="BD107" i="17"/>
  <c r="BE107" i="17"/>
  <c r="BF107" i="17"/>
  <c r="BG107" i="17"/>
  <c r="BH107" i="17"/>
  <c r="BI107" i="17"/>
  <c r="BJ107" i="17"/>
  <c r="BK107" i="17"/>
  <c r="BL107" i="17"/>
  <c r="BM107" i="17"/>
  <c r="BN107" i="17"/>
  <c r="E109" i="17"/>
  <c r="O109" i="17"/>
  <c r="T109" i="17" s="1"/>
  <c r="K109" i="17"/>
  <c r="S109" i="17"/>
  <c r="BA109" i="17"/>
  <c r="CQ109" i="17" s="1"/>
  <c r="E110" i="17"/>
  <c r="BG110" i="17" s="1"/>
  <c r="CW110" i="17" s="1"/>
  <c r="O110" i="17"/>
  <c r="T110" i="17" s="1"/>
  <c r="K110" i="17"/>
  <c r="BC110" i="17"/>
  <c r="BD110" i="17"/>
  <c r="BE110" i="17"/>
  <c r="BF110" i="17"/>
  <c r="BK110" i="17"/>
  <c r="BL110" i="17"/>
  <c r="BM110" i="17"/>
  <c r="BN110" i="17"/>
  <c r="E111" i="17"/>
  <c r="BE111" i="17" s="1"/>
  <c r="CU111" i="17" s="1"/>
  <c r="O111" i="17"/>
  <c r="T111" i="17" s="1"/>
  <c r="K111" i="17"/>
  <c r="S111" i="17"/>
  <c r="AZ111" i="17"/>
  <c r="BA111" i="17"/>
  <c r="BC111" i="17"/>
  <c r="BD111" i="17"/>
  <c r="BG111" i="17"/>
  <c r="BH111" i="17"/>
  <c r="BI111" i="17"/>
  <c r="BK111" i="17"/>
  <c r="BL111" i="17"/>
  <c r="BM111" i="17"/>
  <c r="O112" i="17"/>
  <c r="T112" i="17"/>
  <c r="K112" i="17"/>
  <c r="AZ112" i="17"/>
  <c r="BA112" i="17"/>
  <c r="BB112" i="17"/>
  <c r="BC112" i="17"/>
  <c r="BD112" i="17"/>
  <c r="BE112" i="17"/>
  <c r="BF112" i="17"/>
  <c r="BG112" i="17"/>
  <c r="BH112" i="17"/>
  <c r="BI112" i="17"/>
  <c r="BJ112" i="17"/>
  <c r="BK112" i="17"/>
  <c r="BL112" i="17"/>
  <c r="BM112" i="17"/>
  <c r="BN112" i="17"/>
  <c r="E113" i="17"/>
  <c r="BG113" i="17" s="1"/>
  <c r="CW113" i="17" s="1"/>
  <c r="O113" i="17"/>
  <c r="T113" i="17" s="1"/>
  <c r="K113" i="17"/>
  <c r="BB113" i="17"/>
  <c r="BC113" i="17"/>
  <c r="BD113" i="17"/>
  <c r="BF113" i="17"/>
  <c r="BK113" i="17"/>
  <c r="BL113" i="17"/>
  <c r="BN113" i="17"/>
  <c r="E114" i="17"/>
  <c r="BG114" i="17" s="1"/>
  <c r="CW114" i="17" s="1"/>
  <c r="O114" i="17"/>
  <c r="T114" i="17" s="1"/>
  <c r="K114" i="17"/>
  <c r="BE114" i="17"/>
  <c r="E115" i="17"/>
  <c r="K115" i="17"/>
  <c r="AZ115" i="17"/>
  <c r="CP115" i="17" s="1"/>
  <c r="E116" i="17"/>
  <c r="K116" i="17"/>
  <c r="BI116" i="17"/>
  <c r="E117" i="17"/>
  <c r="O117" i="17" s="1"/>
  <c r="K117" i="17"/>
  <c r="BB117" i="17"/>
  <c r="BI117" i="17"/>
  <c r="BJ117" i="17"/>
  <c r="E118" i="17"/>
  <c r="O118" i="17" s="1"/>
  <c r="K118" i="17"/>
  <c r="BI118" i="17"/>
  <c r="O119" i="17"/>
  <c r="T119" i="17"/>
  <c r="P119" i="17"/>
  <c r="S119" i="17" s="1"/>
  <c r="K119" i="17"/>
  <c r="AZ119" i="17"/>
  <c r="BA119" i="17"/>
  <c r="BB119" i="17"/>
  <c r="BC119" i="17"/>
  <c r="BD119" i="17"/>
  <c r="BE119" i="17"/>
  <c r="BF119" i="17"/>
  <c r="BG119" i="17"/>
  <c r="BH119" i="17"/>
  <c r="BI119" i="17"/>
  <c r="BJ119" i="17"/>
  <c r="BK119" i="17"/>
  <c r="BL119" i="17"/>
  <c r="BM119" i="17"/>
  <c r="BN119" i="17"/>
  <c r="O120" i="17"/>
  <c r="T120" i="17"/>
  <c r="P120" i="17"/>
  <c r="S120" i="17" s="1"/>
  <c r="K120" i="17"/>
  <c r="AZ120" i="17"/>
  <c r="BA120" i="17"/>
  <c r="BB120" i="17"/>
  <c r="BC120" i="17"/>
  <c r="BD120" i="17"/>
  <c r="BE120" i="17"/>
  <c r="BF120" i="17"/>
  <c r="BG120" i="17"/>
  <c r="BH120" i="17"/>
  <c r="BI120" i="17"/>
  <c r="BJ120" i="17"/>
  <c r="BK120" i="17"/>
  <c r="BL120" i="17"/>
  <c r="BM120" i="17"/>
  <c r="BN120" i="17"/>
  <c r="E121" i="17"/>
  <c r="BM121" i="17" s="1"/>
  <c r="DC121" i="17" s="1"/>
  <c r="K121" i="17"/>
  <c r="BA121" i="17"/>
  <c r="BE121" i="17"/>
  <c r="BF121" i="17"/>
  <c r="BI121" i="17"/>
  <c r="E122" i="17"/>
  <c r="BG122" i="17" s="1"/>
  <c r="CW122" i="17" s="1"/>
  <c r="T122" i="17"/>
  <c r="K122" i="17"/>
  <c r="S122" i="17"/>
  <c r="AZ122" i="17"/>
  <c r="BB122" i="17"/>
  <c r="BF122" i="17"/>
  <c r="BH122" i="17"/>
  <c r="BJ122" i="17"/>
  <c r="BK122" i="17"/>
  <c r="BM122" i="17"/>
  <c r="E123" i="17"/>
  <c r="O123" i="17"/>
  <c r="T123" i="17" s="1"/>
  <c r="P123" i="17"/>
  <c r="K123" i="17"/>
  <c r="AZ123" i="17"/>
  <c r="BH123" i="17"/>
  <c r="E124" i="17"/>
  <c r="BA124" i="17" s="1"/>
  <c r="CQ124" i="17" s="1"/>
  <c r="K124" i="17"/>
  <c r="E125" i="17"/>
  <c r="BB125" i="17" s="1"/>
  <c r="CR125" i="17" s="1"/>
  <c r="T125" i="17"/>
  <c r="K125" i="17"/>
  <c r="S125" i="17"/>
  <c r="E126" i="17"/>
  <c r="O126" i="17" s="1"/>
  <c r="K126" i="17"/>
  <c r="BC126" i="17"/>
  <c r="BG126" i="17"/>
  <c r="BN126" i="17"/>
  <c r="E127" i="17"/>
  <c r="BH127" i="17" s="1"/>
  <c r="CX127" i="17" s="1"/>
  <c r="K127" i="17"/>
  <c r="BC127" i="17"/>
  <c r="BD127" i="17"/>
  <c r="BG127" i="17"/>
  <c r="BL127" i="17"/>
  <c r="BM127" i="17"/>
  <c r="E128" i="17"/>
  <c r="BI128" i="17" s="1"/>
  <c r="CY128" i="17" s="1"/>
  <c r="K128" i="17"/>
  <c r="E129" i="17"/>
  <c r="BG129" i="17" s="1"/>
  <c r="CW129" i="17" s="1"/>
  <c r="K129" i="17"/>
  <c r="BA129" i="17"/>
  <c r="BB129" i="17"/>
  <c r="CR129" i="17" s="1"/>
  <c r="BE129" i="17"/>
  <c r="BF129" i="17"/>
  <c r="BI129" i="17"/>
  <c r="BM129" i="17"/>
  <c r="BN129" i="17"/>
  <c r="E130" i="17"/>
  <c r="BG130" i="17" s="1"/>
  <c r="T130" i="17"/>
  <c r="K130" i="17"/>
  <c r="S130" i="17" s="1"/>
  <c r="BC130" i="17"/>
  <c r="BD130" i="17"/>
  <c r="CT130" i="17" s="1"/>
  <c r="BE130" i="17"/>
  <c r="BF130" i="17"/>
  <c r="BK130" i="17"/>
  <c r="BL130" i="17"/>
  <c r="DB130" i="17" s="1"/>
  <c r="BM130" i="17"/>
  <c r="BN130" i="17"/>
  <c r="E131" i="17"/>
  <c r="O131" i="17" s="1"/>
  <c r="T131" i="17" s="1"/>
  <c r="P131" i="17"/>
  <c r="K131" i="17"/>
  <c r="AZ131" i="17"/>
  <c r="CP131" i="17" s="1"/>
  <c r="BD131" i="17"/>
  <c r="BH131" i="17"/>
  <c r="BI131" i="17"/>
  <c r="BL131" i="17"/>
  <c r="E132" i="17"/>
  <c r="O132" i="17"/>
  <c r="K132" i="17"/>
  <c r="BE132" i="17"/>
  <c r="BI132" i="17"/>
  <c r="BJ132" i="17"/>
  <c r="CZ132" i="17" s="1"/>
  <c r="BM132" i="17"/>
  <c r="E133" i="17"/>
  <c r="AU133" i="17" s="1"/>
  <c r="CK133" i="17" s="1"/>
  <c r="T133" i="17"/>
  <c r="P133" i="17"/>
  <c r="S133" i="17" s="1"/>
  <c r="K133" i="17"/>
  <c r="U133" i="17"/>
  <c r="AH133" i="17" s="1"/>
  <c r="AP133" i="17"/>
  <c r="BC133" i="17"/>
  <c r="BF133" i="17"/>
  <c r="BI133" i="17"/>
  <c r="BJ133" i="17"/>
  <c r="BK133" i="17"/>
  <c r="DA133" i="17" s="1"/>
  <c r="E134" i="17"/>
  <c r="BD134" i="17" s="1"/>
  <c r="CT134" i="17" s="1"/>
  <c r="T134" i="17"/>
  <c r="P134" i="17"/>
  <c r="K134" i="17"/>
  <c r="BA134" i="17"/>
  <c r="BB134" i="17"/>
  <c r="BC134" i="17"/>
  <c r="BF134" i="17"/>
  <c r="CV134" i="17" s="1"/>
  <c r="BI134" i="17"/>
  <c r="BJ134" i="17"/>
  <c r="BK134" i="17"/>
  <c r="BL134" i="17"/>
  <c r="BN134" i="17"/>
  <c r="O135" i="17"/>
  <c r="T135" i="17"/>
  <c r="K135" i="17"/>
  <c r="S135" i="17"/>
  <c r="U135" i="17" s="1"/>
  <c r="AG135" i="17" s="1"/>
  <c r="AZ135" i="17"/>
  <c r="BA135" i="17"/>
  <c r="BB135" i="17"/>
  <c r="BC135" i="17"/>
  <c r="BD135" i="17"/>
  <c r="CT135" i="17" s="1"/>
  <c r="BE135" i="17"/>
  <c r="CU135" i="17" s="1"/>
  <c r="BF135" i="17"/>
  <c r="BG135" i="17"/>
  <c r="BH135" i="17"/>
  <c r="BI135" i="17"/>
  <c r="BJ135" i="17"/>
  <c r="BK135" i="17"/>
  <c r="BL135" i="17"/>
  <c r="DB135" i="17" s="1"/>
  <c r="BM135" i="17"/>
  <c r="DC135" i="17" s="1"/>
  <c r="BN135" i="17"/>
  <c r="E136" i="17"/>
  <c r="BA136" i="17" s="1"/>
  <c r="CQ136" i="17" s="1"/>
  <c r="O136" i="17"/>
  <c r="T136" i="17" s="1"/>
  <c r="K136" i="17"/>
  <c r="BI136" i="17"/>
  <c r="CY136" i="17" s="1"/>
  <c r="BL136" i="17"/>
  <c r="I4" i="21"/>
  <c r="I5" i="21"/>
  <c r="I6" i="21"/>
  <c r="I7" i="21"/>
  <c r="I8" i="21"/>
  <c r="I9" i="21"/>
  <c r="I10" i="21"/>
  <c r="I11" i="21"/>
  <c r="I12" i="21"/>
  <c r="I13" i="21"/>
  <c r="I14" i="21"/>
  <c r="I15" i="21"/>
  <c r="I16" i="21"/>
  <c r="BB1" i="21"/>
  <c r="BA1" i="21"/>
  <c r="AZ1" i="21"/>
  <c r="AY1" i="21"/>
  <c r="AX1" i="21"/>
  <c r="AW1" i="21"/>
  <c r="AV1" i="21"/>
  <c r="AU1" i="21"/>
  <c r="AT1" i="21"/>
  <c r="AS1" i="21"/>
  <c r="AR1" i="21"/>
  <c r="AQ1" i="21"/>
  <c r="AP1" i="21"/>
  <c r="AO1" i="21"/>
  <c r="AN1" i="21"/>
  <c r="AM1" i="21"/>
  <c r="AL1" i="21"/>
  <c r="AK1" i="21"/>
  <c r="AJ1" i="21"/>
  <c r="AI1" i="21"/>
  <c r="AH1" i="21"/>
  <c r="AG1" i="21"/>
  <c r="AF1" i="21"/>
  <c r="AE1" i="21"/>
  <c r="AD1" i="21"/>
  <c r="AC1" i="21"/>
  <c r="AB1" i="21"/>
  <c r="AA1" i="21"/>
  <c r="Z1" i="21"/>
  <c r="Y1" i="21"/>
  <c r="X1" i="21"/>
  <c r="W1" i="21"/>
  <c r="V1" i="21"/>
  <c r="U1" i="21"/>
  <c r="T1" i="21"/>
  <c r="S1" i="21"/>
  <c r="R1" i="21"/>
  <c r="Q1" i="21"/>
  <c r="P1" i="21"/>
  <c r="O1" i="21"/>
  <c r="CP6" i="17"/>
  <c r="CQ6" i="17"/>
  <c r="CR6" i="17"/>
  <c r="CS6" i="17"/>
  <c r="CT6" i="17"/>
  <c r="CU6" i="17"/>
  <c r="CV6" i="17"/>
  <c r="CW6" i="17"/>
  <c r="CX6" i="17"/>
  <c r="CY6" i="17"/>
  <c r="CZ6" i="17"/>
  <c r="DA6" i="17"/>
  <c r="DB6" i="17"/>
  <c r="DC6" i="17"/>
  <c r="DD6" i="17"/>
  <c r="CP11" i="17"/>
  <c r="CQ11" i="17"/>
  <c r="CR11" i="17"/>
  <c r="CS11" i="17"/>
  <c r="CT11" i="17"/>
  <c r="CU11" i="17"/>
  <c r="CV11" i="17"/>
  <c r="CW11" i="17"/>
  <c r="CX11" i="17"/>
  <c r="CY11" i="17"/>
  <c r="CZ11" i="17"/>
  <c r="DA11" i="17"/>
  <c r="DB11" i="17"/>
  <c r="DC11" i="17"/>
  <c r="DD11" i="17"/>
  <c r="CP13" i="17"/>
  <c r="CQ13" i="17"/>
  <c r="CR13" i="17"/>
  <c r="CS13" i="17"/>
  <c r="CT13" i="17"/>
  <c r="CU13" i="17"/>
  <c r="CV13" i="17"/>
  <c r="CW13" i="17"/>
  <c r="CX13" i="17"/>
  <c r="CY13" i="17"/>
  <c r="CZ13" i="17"/>
  <c r="DA13" i="17"/>
  <c r="DB13" i="17"/>
  <c r="DC13" i="17"/>
  <c r="DD13" i="17"/>
  <c r="CP15" i="17"/>
  <c r="CQ15" i="17"/>
  <c r="CR15" i="17"/>
  <c r="CS15" i="17"/>
  <c r="CT15" i="17"/>
  <c r="CU15" i="17"/>
  <c r="CV15" i="17"/>
  <c r="CW15" i="17"/>
  <c r="CX15" i="17"/>
  <c r="CY15" i="17"/>
  <c r="CZ15" i="17"/>
  <c r="DA15" i="17"/>
  <c r="DB15" i="17"/>
  <c r="DC15" i="17"/>
  <c r="DD15" i="17"/>
  <c r="CP16" i="17"/>
  <c r="CQ16" i="17"/>
  <c r="CR16" i="17"/>
  <c r="CS16" i="17"/>
  <c r="CT16" i="17"/>
  <c r="CU16" i="17"/>
  <c r="CV16" i="17"/>
  <c r="CW16" i="17"/>
  <c r="CX16" i="17"/>
  <c r="CY16" i="17"/>
  <c r="CZ16" i="17"/>
  <c r="DA16" i="17"/>
  <c r="DB16" i="17"/>
  <c r="DC16" i="17"/>
  <c r="DD16" i="17"/>
  <c r="CP18" i="17"/>
  <c r="CQ18" i="17"/>
  <c r="CR18" i="17"/>
  <c r="CS18" i="17"/>
  <c r="CT18" i="17"/>
  <c r="CU18" i="17"/>
  <c r="CV18" i="17"/>
  <c r="CW18" i="17"/>
  <c r="CX18" i="17"/>
  <c r="CY18" i="17"/>
  <c r="CZ18" i="17"/>
  <c r="DA18" i="17"/>
  <c r="DB18" i="17"/>
  <c r="DC18" i="17"/>
  <c r="DD18" i="17"/>
  <c r="CP19" i="17"/>
  <c r="CQ19" i="17"/>
  <c r="CR19" i="17"/>
  <c r="CS19" i="17"/>
  <c r="CT19" i="17"/>
  <c r="CU19" i="17"/>
  <c r="CV19" i="17"/>
  <c r="CW19" i="17"/>
  <c r="CX19" i="17"/>
  <c r="CY19" i="17"/>
  <c r="CZ19" i="17"/>
  <c r="DA19" i="17"/>
  <c r="DB19" i="17"/>
  <c r="DC19" i="17"/>
  <c r="DD19" i="17"/>
  <c r="CP20" i="17"/>
  <c r="CQ20" i="17"/>
  <c r="CR20" i="17"/>
  <c r="CS20" i="17"/>
  <c r="CT20" i="17"/>
  <c r="CU20" i="17"/>
  <c r="CV20" i="17"/>
  <c r="CW20" i="17"/>
  <c r="CX20" i="17"/>
  <c r="CY20" i="17"/>
  <c r="CZ20" i="17"/>
  <c r="DA20" i="17"/>
  <c r="DB20" i="17"/>
  <c r="DC20" i="17"/>
  <c r="DD20" i="17"/>
  <c r="CP22" i="17"/>
  <c r="CQ22" i="17"/>
  <c r="CR22" i="17"/>
  <c r="CS22" i="17"/>
  <c r="CT22" i="17"/>
  <c r="CU22" i="17"/>
  <c r="CV22" i="17"/>
  <c r="CW22" i="17"/>
  <c r="CX22" i="17"/>
  <c r="CY22" i="17"/>
  <c r="CZ22" i="17"/>
  <c r="DA22" i="17"/>
  <c r="DB22" i="17"/>
  <c r="DC22" i="17"/>
  <c r="DD22" i="17"/>
  <c r="CP26" i="17"/>
  <c r="CQ26" i="17"/>
  <c r="CR26" i="17"/>
  <c r="CS26" i="17"/>
  <c r="CT26" i="17"/>
  <c r="CU26" i="17"/>
  <c r="CV26" i="17"/>
  <c r="CW26" i="17"/>
  <c r="CX26" i="17"/>
  <c r="CY26" i="17"/>
  <c r="CZ26" i="17"/>
  <c r="DA26" i="17"/>
  <c r="DB26" i="17"/>
  <c r="DC26" i="17"/>
  <c r="DD26" i="17"/>
  <c r="CP30" i="17"/>
  <c r="CQ30" i="17"/>
  <c r="CR30" i="17"/>
  <c r="CS30" i="17"/>
  <c r="CT30" i="17"/>
  <c r="CU30" i="17"/>
  <c r="CV30" i="17"/>
  <c r="CW30" i="17"/>
  <c r="CX30" i="17"/>
  <c r="CY30" i="17"/>
  <c r="CZ30" i="17"/>
  <c r="DA30" i="17"/>
  <c r="DB30" i="17"/>
  <c r="DC30" i="17"/>
  <c r="DD30" i="17"/>
  <c r="CP46" i="17"/>
  <c r="CQ46" i="17"/>
  <c r="CR46" i="17"/>
  <c r="CS46" i="17"/>
  <c r="CT46" i="17"/>
  <c r="CU46" i="17"/>
  <c r="CV46" i="17"/>
  <c r="CW46" i="17"/>
  <c r="CX46" i="17"/>
  <c r="CY46" i="17"/>
  <c r="CZ46" i="17"/>
  <c r="DA46" i="17"/>
  <c r="DB46" i="17"/>
  <c r="DC46" i="17"/>
  <c r="DD46" i="17"/>
  <c r="CP47" i="17"/>
  <c r="CQ47" i="17"/>
  <c r="CR47" i="17"/>
  <c r="CS47" i="17"/>
  <c r="CT47" i="17"/>
  <c r="CU47" i="17"/>
  <c r="CV47" i="17"/>
  <c r="CW47" i="17"/>
  <c r="CX47" i="17"/>
  <c r="CY47" i="17"/>
  <c r="CZ47" i="17"/>
  <c r="DA47" i="17"/>
  <c r="DB47" i="17"/>
  <c r="DC47" i="17"/>
  <c r="DD47" i="17"/>
  <c r="CP49" i="17"/>
  <c r="CQ49" i="17"/>
  <c r="CR49" i="17"/>
  <c r="CS49" i="17"/>
  <c r="CT49" i="17"/>
  <c r="CU49" i="17"/>
  <c r="CV49" i="17"/>
  <c r="CW49" i="17"/>
  <c r="CX49" i="17"/>
  <c r="CY49" i="17"/>
  <c r="CZ49" i="17"/>
  <c r="DA49" i="17"/>
  <c r="DB49" i="17"/>
  <c r="DC49" i="17"/>
  <c r="DD49" i="17"/>
  <c r="CP51" i="17"/>
  <c r="CQ51" i="17"/>
  <c r="CR51" i="17"/>
  <c r="CS51" i="17"/>
  <c r="CT51" i="17"/>
  <c r="CU51" i="17"/>
  <c r="CV51" i="17"/>
  <c r="CW51" i="17"/>
  <c r="CX51" i="17"/>
  <c r="CY51" i="17"/>
  <c r="CZ51" i="17"/>
  <c r="DA51" i="17"/>
  <c r="DB51" i="17"/>
  <c r="DC51" i="17"/>
  <c r="DD51" i="17"/>
  <c r="CP52" i="17"/>
  <c r="CQ52" i="17"/>
  <c r="CR52" i="17"/>
  <c r="CS52" i="17"/>
  <c r="CT52" i="17"/>
  <c r="CU52" i="17"/>
  <c r="CV52" i="17"/>
  <c r="CW52" i="17"/>
  <c r="CX52" i="17"/>
  <c r="CY52" i="17"/>
  <c r="CZ52" i="17"/>
  <c r="DA52" i="17"/>
  <c r="DB52" i="17"/>
  <c r="DC52" i="17"/>
  <c r="DD52" i="17"/>
  <c r="CP53" i="17"/>
  <c r="CQ53" i="17"/>
  <c r="CR53" i="17"/>
  <c r="CS53" i="17"/>
  <c r="CT53" i="17"/>
  <c r="CU53" i="17"/>
  <c r="CV53" i="17"/>
  <c r="CW53" i="17"/>
  <c r="CX53" i="17"/>
  <c r="CY53" i="17"/>
  <c r="CZ53" i="17"/>
  <c r="DA53" i="17"/>
  <c r="DB53" i="17"/>
  <c r="DC53" i="17"/>
  <c r="DD53" i="17"/>
  <c r="CP57" i="17"/>
  <c r="CQ57" i="17"/>
  <c r="CR57" i="17"/>
  <c r="CS57" i="17"/>
  <c r="CT57" i="17"/>
  <c r="CU57" i="17"/>
  <c r="CV57" i="17"/>
  <c r="CW57" i="17"/>
  <c r="CX57" i="17"/>
  <c r="CY57" i="17"/>
  <c r="CZ57" i="17"/>
  <c r="DA57" i="17"/>
  <c r="DB57" i="17"/>
  <c r="DC57" i="17"/>
  <c r="DD57" i="17"/>
  <c r="CP58" i="17"/>
  <c r="CQ58" i="17"/>
  <c r="CR58" i="17"/>
  <c r="CS58" i="17"/>
  <c r="CT58" i="17"/>
  <c r="CU58" i="17"/>
  <c r="CV58" i="17"/>
  <c r="CW58" i="17"/>
  <c r="CX58" i="17"/>
  <c r="CY58" i="17"/>
  <c r="CZ58" i="17"/>
  <c r="DA58" i="17"/>
  <c r="DB58" i="17"/>
  <c r="DC58" i="17"/>
  <c r="DD58" i="17"/>
  <c r="CP59" i="17"/>
  <c r="CQ59" i="17"/>
  <c r="CR59" i="17"/>
  <c r="CS59" i="17"/>
  <c r="CT59" i="17"/>
  <c r="CU59" i="17"/>
  <c r="CV59" i="17"/>
  <c r="CW59" i="17"/>
  <c r="CX59" i="17"/>
  <c r="CY59" i="17"/>
  <c r="CZ59" i="17"/>
  <c r="DA59" i="17"/>
  <c r="DB59" i="17"/>
  <c r="DC59" i="17"/>
  <c r="DD59" i="17"/>
  <c r="CP60" i="17"/>
  <c r="CQ60" i="17"/>
  <c r="CR60" i="17"/>
  <c r="CS60" i="17"/>
  <c r="CT60" i="17"/>
  <c r="CU60" i="17"/>
  <c r="CV60" i="17"/>
  <c r="CW60" i="17"/>
  <c r="CX60" i="17"/>
  <c r="CY60" i="17"/>
  <c r="CZ60" i="17"/>
  <c r="DA60" i="17"/>
  <c r="DB60" i="17"/>
  <c r="DC60" i="17"/>
  <c r="DD60" i="17"/>
  <c r="CP61" i="17"/>
  <c r="CQ61" i="17"/>
  <c r="CR61" i="17"/>
  <c r="CS61" i="17"/>
  <c r="CT61" i="17"/>
  <c r="CU61" i="17"/>
  <c r="CV61" i="17"/>
  <c r="CW61" i="17"/>
  <c r="CX61" i="17"/>
  <c r="CY61" i="17"/>
  <c r="CZ61" i="17"/>
  <c r="DA61" i="17"/>
  <c r="DB61" i="17"/>
  <c r="DC61" i="17"/>
  <c r="DD61" i="17"/>
  <c r="CP62" i="17"/>
  <c r="CQ62" i="17"/>
  <c r="CR62" i="17"/>
  <c r="CS62" i="17"/>
  <c r="CT62" i="17"/>
  <c r="CU62" i="17"/>
  <c r="CV62" i="17"/>
  <c r="CW62" i="17"/>
  <c r="CX62" i="17"/>
  <c r="CY62" i="17"/>
  <c r="CZ62" i="17"/>
  <c r="DA62" i="17"/>
  <c r="DB62" i="17"/>
  <c r="DC62" i="17"/>
  <c r="DD62" i="17"/>
  <c r="CP63" i="17"/>
  <c r="CQ63" i="17"/>
  <c r="CR63" i="17"/>
  <c r="CS63" i="17"/>
  <c r="CT63" i="17"/>
  <c r="CU63" i="17"/>
  <c r="CV63" i="17"/>
  <c r="CW63" i="17"/>
  <c r="CX63" i="17"/>
  <c r="CY63" i="17"/>
  <c r="CZ63" i="17"/>
  <c r="DA63" i="17"/>
  <c r="DB63" i="17"/>
  <c r="DC63" i="17"/>
  <c r="DD63" i="17"/>
  <c r="CP66" i="17"/>
  <c r="CQ66" i="17"/>
  <c r="CR66" i="17"/>
  <c r="CS66" i="17"/>
  <c r="CT66" i="17"/>
  <c r="CU66" i="17"/>
  <c r="CV66" i="17"/>
  <c r="CW66" i="17"/>
  <c r="CX66" i="17"/>
  <c r="CY66" i="17"/>
  <c r="CZ66" i="17"/>
  <c r="DA66" i="17"/>
  <c r="DB66" i="17"/>
  <c r="DC66" i="17"/>
  <c r="DD66" i="17"/>
  <c r="CP67" i="17"/>
  <c r="CQ67" i="17"/>
  <c r="CR67" i="17"/>
  <c r="CS67" i="17"/>
  <c r="CT67" i="17"/>
  <c r="CU67" i="17"/>
  <c r="CV67" i="17"/>
  <c r="CW67" i="17"/>
  <c r="CX67" i="17"/>
  <c r="CY67" i="17"/>
  <c r="CZ67" i="17"/>
  <c r="DA67" i="17"/>
  <c r="DB67" i="17"/>
  <c r="DC67" i="17"/>
  <c r="DD67" i="17"/>
  <c r="CP68" i="17"/>
  <c r="CQ68" i="17"/>
  <c r="CR68" i="17"/>
  <c r="CS68" i="17"/>
  <c r="CT68" i="17"/>
  <c r="CU68" i="17"/>
  <c r="CV68" i="17"/>
  <c r="CW68" i="17"/>
  <c r="CX68" i="17"/>
  <c r="CY68" i="17"/>
  <c r="CZ68" i="17"/>
  <c r="DA68" i="17"/>
  <c r="DB68" i="17"/>
  <c r="DC68" i="17"/>
  <c r="DD68" i="17"/>
  <c r="CP69" i="17"/>
  <c r="CQ69" i="17"/>
  <c r="CR69" i="17"/>
  <c r="CS69" i="17"/>
  <c r="CT69" i="17"/>
  <c r="CU69" i="17"/>
  <c r="CV69" i="17"/>
  <c r="CW69" i="17"/>
  <c r="CX69" i="17"/>
  <c r="CY69" i="17"/>
  <c r="CZ69" i="17"/>
  <c r="DA69" i="17"/>
  <c r="DB69" i="17"/>
  <c r="DC69" i="17"/>
  <c r="DD69" i="17"/>
  <c r="CP81" i="17"/>
  <c r="CQ81" i="17"/>
  <c r="CR81" i="17"/>
  <c r="CS81" i="17"/>
  <c r="CT81" i="17"/>
  <c r="CU81" i="17"/>
  <c r="CV81" i="17"/>
  <c r="CW81" i="17"/>
  <c r="CX81" i="17"/>
  <c r="CY81" i="17"/>
  <c r="CZ81" i="17"/>
  <c r="DA81" i="17"/>
  <c r="DB81" i="17"/>
  <c r="DC81" i="17"/>
  <c r="DD81" i="17"/>
  <c r="CP82" i="17"/>
  <c r="CQ82" i="17"/>
  <c r="CR82" i="17"/>
  <c r="CS82" i="17"/>
  <c r="CT82" i="17"/>
  <c r="CU82" i="17"/>
  <c r="CV82" i="17"/>
  <c r="CW82" i="17"/>
  <c r="CX82" i="17"/>
  <c r="CY82" i="17"/>
  <c r="CZ82" i="17"/>
  <c r="DA82" i="17"/>
  <c r="DB82" i="17"/>
  <c r="DC82" i="17"/>
  <c r="DD82" i="17"/>
  <c r="CP85" i="17"/>
  <c r="CQ85" i="17"/>
  <c r="CR85" i="17"/>
  <c r="CS85" i="17"/>
  <c r="CT85" i="17"/>
  <c r="CU85" i="17"/>
  <c r="CV85" i="17"/>
  <c r="CW85" i="17"/>
  <c r="CX85" i="17"/>
  <c r="CY85" i="17"/>
  <c r="CZ85" i="17"/>
  <c r="DA85" i="17"/>
  <c r="DB85" i="17"/>
  <c r="DC85" i="17"/>
  <c r="DD85" i="17"/>
  <c r="CP88" i="17"/>
  <c r="CQ88" i="17"/>
  <c r="CR88" i="17"/>
  <c r="CS88" i="17"/>
  <c r="CT88" i="17"/>
  <c r="CU88" i="17"/>
  <c r="CV88" i="17"/>
  <c r="CW88" i="17"/>
  <c r="CX88" i="17"/>
  <c r="CY88" i="17"/>
  <c r="CZ88" i="17"/>
  <c r="DA88" i="17"/>
  <c r="DB88" i="17"/>
  <c r="DC88" i="17"/>
  <c r="DD88" i="17"/>
  <c r="CP90" i="17"/>
  <c r="CQ90" i="17"/>
  <c r="CR90" i="17"/>
  <c r="CS90" i="17"/>
  <c r="CT90" i="17"/>
  <c r="CU90" i="17"/>
  <c r="CV90" i="17"/>
  <c r="CW90" i="17"/>
  <c r="CX90" i="17"/>
  <c r="CY90" i="17"/>
  <c r="CZ90" i="17"/>
  <c r="DA90" i="17"/>
  <c r="DB90" i="17"/>
  <c r="DC90" i="17"/>
  <c r="DD90" i="17"/>
  <c r="CP93" i="17"/>
  <c r="CQ93" i="17"/>
  <c r="CR93" i="17"/>
  <c r="CS93" i="17"/>
  <c r="CT93" i="17"/>
  <c r="CU93" i="17"/>
  <c r="CV93" i="17"/>
  <c r="CW93" i="17"/>
  <c r="CX93" i="17"/>
  <c r="CY93" i="17"/>
  <c r="CZ93" i="17"/>
  <c r="DA93" i="17"/>
  <c r="DB93" i="17"/>
  <c r="DC93" i="17"/>
  <c r="DD93" i="17"/>
  <c r="CP103" i="17"/>
  <c r="CQ103" i="17"/>
  <c r="CR103" i="17"/>
  <c r="CS103" i="17"/>
  <c r="CT103" i="17"/>
  <c r="CV103" i="17"/>
  <c r="CW103" i="17"/>
  <c r="CX103" i="17"/>
  <c r="CY103" i="17"/>
  <c r="CZ103" i="17"/>
  <c r="DA103" i="17"/>
  <c r="DB103" i="17"/>
  <c r="DD103" i="17"/>
  <c r="CP104" i="17"/>
  <c r="CQ104" i="17"/>
  <c r="CR104" i="17"/>
  <c r="CS104" i="17"/>
  <c r="CT104" i="17"/>
  <c r="CU104" i="17"/>
  <c r="CV104" i="17"/>
  <c r="CW104" i="17"/>
  <c r="CX104" i="17"/>
  <c r="CY104" i="17"/>
  <c r="CZ104" i="17"/>
  <c r="DA104" i="17"/>
  <c r="DB104" i="17"/>
  <c r="DC104" i="17"/>
  <c r="DD104" i="17"/>
  <c r="CP107" i="17"/>
  <c r="CQ107" i="17"/>
  <c r="CR107" i="17"/>
  <c r="CS107" i="17"/>
  <c r="CT107" i="17"/>
  <c r="CU107" i="17"/>
  <c r="CV107" i="17"/>
  <c r="CW107" i="17"/>
  <c r="CX107" i="17"/>
  <c r="CY107" i="17"/>
  <c r="CZ107" i="17"/>
  <c r="DA107" i="17"/>
  <c r="DB107" i="17"/>
  <c r="DC107" i="17"/>
  <c r="DD107" i="17"/>
  <c r="CP112" i="17"/>
  <c r="CQ112" i="17"/>
  <c r="CR112" i="17"/>
  <c r="CS112" i="17"/>
  <c r="CT112" i="17"/>
  <c r="CU112" i="17"/>
  <c r="CV112" i="17"/>
  <c r="CW112" i="17"/>
  <c r="CX112" i="17"/>
  <c r="CY112" i="17"/>
  <c r="CZ112" i="17"/>
  <c r="DA112" i="17"/>
  <c r="DB112" i="17"/>
  <c r="DC112" i="17"/>
  <c r="DD112" i="17"/>
  <c r="CP119" i="17"/>
  <c r="CQ119" i="17"/>
  <c r="CR119" i="17"/>
  <c r="CS119" i="17"/>
  <c r="CT119" i="17"/>
  <c r="CU119" i="17"/>
  <c r="CV119" i="17"/>
  <c r="CW119" i="17"/>
  <c r="CX119" i="17"/>
  <c r="CY119" i="17"/>
  <c r="CZ119" i="17"/>
  <c r="DA119" i="17"/>
  <c r="DB119" i="17"/>
  <c r="DC119" i="17"/>
  <c r="DD119" i="17"/>
  <c r="CP120" i="17"/>
  <c r="CQ120" i="17"/>
  <c r="CR120" i="17"/>
  <c r="CS120" i="17"/>
  <c r="CT120" i="17"/>
  <c r="CU120" i="17"/>
  <c r="CV120" i="17"/>
  <c r="CW120" i="17"/>
  <c r="CX120" i="17"/>
  <c r="CY120" i="17"/>
  <c r="CZ120" i="17"/>
  <c r="DA120" i="17"/>
  <c r="DB120" i="17"/>
  <c r="DC120" i="17"/>
  <c r="DD120" i="17"/>
  <c r="CP135" i="17"/>
  <c r="CQ135" i="17"/>
  <c r="CR135" i="17"/>
  <c r="CS135" i="17"/>
  <c r="CV135" i="17"/>
  <c r="CW135" i="17"/>
  <c r="CX135" i="17"/>
  <c r="CY135" i="17"/>
  <c r="CZ135" i="17"/>
  <c r="DA135" i="17"/>
  <c r="DD135" i="17"/>
  <c r="DD138" i="17"/>
  <c r="DC138" i="17"/>
  <c r="DB138" i="17"/>
  <c r="DA138" i="17"/>
  <c r="CZ138" i="17"/>
  <c r="CY138" i="17"/>
  <c r="CX138" i="17"/>
  <c r="CW138" i="17"/>
  <c r="CV138" i="17"/>
  <c r="CU138" i="17"/>
  <c r="CT138" i="17"/>
  <c r="CS138" i="17"/>
  <c r="CR138" i="17"/>
  <c r="CQ138" i="17"/>
  <c r="CP138" i="17"/>
  <c r="DB136" i="17"/>
  <c r="C16" i="10"/>
  <c r="C15" i="10"/>
  <c r="C14" i="10"/>
  <c r="C13" i="10"/>
  <c r="C12" i="10"/>
  <c r="C11" i="10"/>
  <c r="C10" i="10"/>
  <c r="C9" i="10"/>
  <c r="C8" i="10"/>
  <c r="C7" i="10"/>
  <c r="C6" i="10"/>
  <c r="C5" i="10"/>
  <c r="C4" i="10"/>
  <c r="C3" i="10"/>
  <c r="C2" i="10"/>
  <c r="F15" i="10"/>
  <c r="B15" i="10" s="1"/>
  <c r="F4" i="10"/>
  <c r="B4" i="10" s="1"/>
  <c r="H5" i="10"/>
  <c r="H8" i="10"/>
  <c r="H9" i="10"/>
  <c r="H16" i="10"/>
  <c r="H14" i="10"/>
  <c r="H12" i="10"/>
  <c r="H11" i="10"/>
  <c r="H10" i="10"/>
  <c r="H7" i="10"/>
  <c r="H6" i="10"/>
  <c r="H3" i="10"/>
  <c r="H2" i="10"/>
  <c r="H13" i="10"/>
  <c r="CS73" i="17"/>
  <c r="CU48" i="17"/>
  <c r="DC48" i="17"/>
  <c r="CV48" i="17"/>
  <c r="DD48" i="17"/>
  <c r="CS48" i="17"/>
  <c r="DB48" i="17"/>
  <c r="CT48" i="17"/>
  <c r="DD12" i="17"/>
  <c r="CV12" i="17"/>
  <c r="CV96" i="17"/>
  <c r="DD96" i="17"/>
  <c r="CS96" i="17"/>
  <c r="CX96" i="17"/>
  <c r="CW96" i="17"/>
  <c r="CY96" i="17"/>
  <c r="CQ96" i="17"/>
  <c r="CP96" i="17"/>
  <c r="DA96" i="17"/>
  <c r="CS65" i="17"/>
  <c r="CW65" i="17"/>
  <c r="DA65" i="17"/>
  <c r="CT65" i="17"/>
  <c r="CY65" i="17"/>
  <c r="DD65" i="17"/>
  <c r="CP65" i="17"/>
  <c r="CU65" i="17"/>
  <c r="CZ65" i="17"/>
  <c r="CQ65" i="17"/>
  <c r="CV65" i="17"/>
  <c r="DB65" i="17"/>
  <c r="CR65" i="17"/>
  <c r="CX65" i="17"/>
  <c r="DC65" i="17"/>
  <c r="DA73" i="17"/>
  <c r="CP73" i="17"/>
  <c r="DB73" i="17"/>
  <c r="CR73" i="17"/>
  <c r="CX73" i="17"/>
  <c r="CR87" i="17"/>
  <c r="CZ87" i="17"/>
  <c r="CS87" i="17"/>
  <c r="DA87" i="17"/>
  <c r="DB87" i="17"/>
  <c r="CQ64" i="17"/>
  <c r="DB64" i="17"/>
  <c r="CR64" i="17"/>
  <c r="DC64" i="17"/>
  <c r="CT64" i="17"/>
  <c r="CY64" i="17"/>
  <c r="CZ64" i="17"/>
  <c r="CU64" i="17"/>
  <c r="CX14" i="17"/>
  <c r="DD14" i="17"/>
  <c r="CV14" i="17"/>
  <c r="B1" i="21"/>
  <c r="DA71" i="17"/>
  <c r="CZ71" i="17"/>
  <c r="CQ71" i="17"/>
  <c r="DA72" i="17"/>
  <c r="CU10" i="17"/>
  <c r="CQ10" i="17"/>
  <c r="CY10" i="17"/>
  <c r="DB10" i="17"/>
  <c r="CP10" i="17"/>
  <c r="CX10" i="17"/>
  <c r="DD10" i="17"/>
  <c r="CR10" i="17"/>
  <c r="CZ10" i="17"/>
  <c r="CU17" i="17"/>
  <c r="DA17" i="17"/>
  <c r="CR17" i="17"/>
  <c r="CQ24" i="17"/>
  <c r="CU24" i="17"/>
  <c r="CY24" i="17"/>
  <c r="DC24" i="17"/>
  <c r="CR24" i="17"/>
  <c r="CW24" i="17"/>
  <c r="CS24" i="17"/>
  <c r="CX24" i="17"/>
  <c r="DD24" i="17"/>
  <c r="CZ24" i="17"/>
  <c r="CP24" i="17"/>
  <c r="CV24" i="17"/>
  <c r="CR83" i="17"/>
  <c r="CV83" i="17"/>
  <c r="CZ83" i="17"/>
  <c r="DD83" i="17"/>
  <c r="CS83" i="17"/>
  <c r="CW83" i="17"/>
  <c r="DA83" i="17"/>
  <c r="CP83" i="17"/>
  <c r="CT83" i="17"/>
  <c r="CX83" i="17"/>
  <c r="DB83" i="17"/>
  <c r="CU83" i="17"/>
  <c r="CQ83" i="17"/>
  <c r="CY83" i="17"/>
  <c r="DC83" i="17"/>
  <c r="CU114" i="17"/>
  <c r="CY21" i="17"/>
  <c r="CR21" i="17"/>
  <c r="CW21" i="17"/>
  <c r="CY31" i="17"/>
  <c r="CR31" i="17"/>
  <c r="CW31" i="17"/>
  <c r="CP31" i="17"/>
  <c r="CX32" i="17"/>
  <c r="CR70" i="17"/>
  <c r="CU28" i="17"/>
  <c r="CY28" i="17"/>
  <c r="DC28" i="17"/>
  <c r="CS28" i="17"/>
  <c r="CW28" i="17"/>
  <c r="DA28" i="17"/>
  <c r="CT28" i="17"/>
  <c r="CT23" i="17"/>
  <c r="CP23" i="17"/>
  <c r="DB23" i="17"/>
  <c r="CX23" i="17"/>
  <c r="CQ91" i="17"/>
  <c r="DC91" i="17"/>
  <c r="CU91" i="17"/>
  <c r="CY91" i="17"/>
  <c r="CQ45" i="17"/>
  <c r="CU45" i="17"/>
  <c r="DC45" i="17"/>
  <c r="CR45" i="17"/>
  <c r="CV45" i="17"/>
  <c r="CZ45" i="17"/>
  <c r="DD45" i="17"/>
  <c r="CS45" i="17"/>
  <c r="DA45" i="17"/>
  <c r="DB45" i="17"/>
  <c r="CT45" i="17"/>
  <c r="CX45" i="17"/>
  <c r="CV5" i="17"/>
  <c r="CR5" i="17"/>
  <c r="CW5" i="17"/>
  <c r="DA5" i="17"/>
  <c r="CU8" i="17"/>
  <c r="CY8" i="17"/>
  <c r="DC8" i="17"/>
  <c r="CZ8" i="17"/>
  <c r="DB8" i="17"/>
  <c r="CU9" i="17"/>
  <c r="DC9" i="17"/>
  <c r="CR9" i="17"/>
  <c r="CV9" i="17"/>
  <c r="CZ9" i="17"/>
  <c r="DD9" i="17"/>
  <c r="CS9" i="17"/>
  <c r="CW9" i="17"/>
  <c r="DA9" i="17"/>
  <c r="CT9" i="17"/>
  <c r="CX9" i="17"/>
  <c r="DB9" i="17"/>
  <c r="CP9" i="17"/>
  <c r="D23" i="8"/>
  <c r="BQ138" i="17" s="1"/>
  <c r="CT99" i="17"/>
  <c r="CU100" i="17"/>
  <c r="DA100" i="17"/>
  <c r="DD3" i="17"/>
  <c r="DC3" i="17"/>
  <c r="DB3" i="17"/>
  <c r="DA3" i="17"/>
  <c r="CZ3" i="17"/>
  <c r="CY3" i="17"/>
  <c r="CX3" i="17"/>
  <c r="CW3" i="17"/>
  <c r="CV3" i="17"/>
  <c r="CU3" i="17"/>
  <c r="CT3" i="17"/>
  <c r="CS3" i="17"/>
  <c r="CR3" i="17"/>
  <c r="CQ3" i="17"/>
  <c r="CP3" i="17"/>
  <c r="Q3" i="17"/>
  <c r="CQ74" i="17"/>
  <c r="CX74" i="17"/>
  <c r="CQ33" i="17"/>
  <c r="CU33" i="17"/>
  <c r="CY33" i="17"/>
  <c r="DC33" i="17"/>
  <c r="CR33" i="17"/>
  <c r="CS33" i="17"/>
  <c r="CW33" i="17"/>
  <c r="DA33" i="17"/>
  <c r="DB33" i="17"/>
  <c r="CQ34" i="17"/>
  <c r="CU34" i="17"/>
  <c r="CY34" i="17"/>
  <c r="CR34" i="17"/>
  <c r="CV34" i="17"/>
  <c r="CZ34" i="17"/>
  <c r="DD34" i="17"/>
  <c r="CS34" i="17"/>
  <c r="DA34" i="17"/>
  <c r="CT34" i="17"/>
  <c r="CX34" i="17"/>
  <c r="DB34" i="17"/>
  <c r="CP34" i="17"/>
  <c r="CQ38" i="17"/>
  <c r="CU38" i="17"/>
  <c r="CY38" i="17"/>
  <c r="DC38" i="17"/>
  <c r="CV38" i="17"/>
  <c r="DD38" i="17"/>
  <c r="CS38" i="17"/>
  <c r="CW38" i="17"/>
  <c r="DA38" i="17"/>
  <c r="CT38" i="17"/>
  <c r="CX38" i="17"/>
  <c r="DB38" i="17"/>
  <c r="CP38" i="17"/>
  <c r="DD75" i="17"/>
  <c r="CU37" i="17"/>
  <c r="DC37" i="17"/>
  <c r="CR37" i="17"/>
  <c r="CV37" i="17"/>
  <c r="CZ37" i="17"/>
  <c r="DD37" i="17"/>
  <c r="CS37" i="17"/>
  <c r="CW37" i="17"/>
  <c r="DA37" i="17"/>
  <c r="DB37" i="17"/>
  <c r="CP37" i="17"/>
  <c r="CT37" i="17"/>
  <c r="CX37" i="17"/>
  <c r="CQ50" i="17"/>
  <c r="CY50" i="17"/>
  <c r="CR50" i="17"/>
  <c r="CZ50" i="17"/>
  <c r="CS50" i="17"/>
  <c r="CW50" i="17"/>
  <c r="DA50" i="17"/>
  <c r="CT50" i="17"/>
  <c r="DB50" i="17"/>
  <c r="CQ39" i="17"/>
  <c r="CU39" i="17"/>
  <c r="CY39" i="17"/>
  <c r="DC39" i="17"/>
  <c r="CV39" i="17"/>
  <c r="DD39" i="17"/>
  <c r="CS39" i="17"/>
  <c r="CW39" i="17"/>
  <c r="DA39" i="17"/>
  <c r="DB39" i="17"/>
  <c r="CP39" i="17"/>
  <c r="CT39" i="17"/>
  <c r="CX39" i="17"/>
  <c r="CS74" i="17"/>
  <c r="DA74" i="17"/>
  <c r="CV74" i="17"/>
  <c r="DB74" i="17"/>
  <c r="CR74" i="17"/>
  <c r="DC74" i="17"/>
  <c r="CT74" i="17"/>
  <c r="CY74" i="17"/>
  <c r="DD74" i="17"/>
  <c r="CP74" i="17"/>
  <c r="CU74" i="17"/>
  <c r="CZ74" i="17"/>
  <c r="CQ35" i="17"/>
  <c r="CU35" i="17"/>
  <c r="CY35" i="17"/>
  <c r="DC35" i="17"/>
  <c r="CR35" i="17"/>
  <c r="CV35" i="17"/>
  <c r="CZ35" i="17"/>
  <c r="DD35" i="17"/>
  <c r="CS35" i="17"/>
  <c r="CW35" i="17"/>
  <c r="DA35" i="17"/>
  <c r="DB35" i="17"/>
  <c r="CP35" i="17"/>
  <c r="CT35" i="17"/>
  <c r="CX35" i="17"/>
  <c r="DB43" i="17"/>
  <c r="CT43" i="17"/>
  <c r="CQ36" i="17"/>
  <c r="CY36" i="17"/>
  <c r="CR36" i="17"/>
  <c r="CZ36" i="17"/>
  <c r="DA36" i="17"/>
  <c r="CQ40" i="17"/>
  <c r="DC40" i="17"/>
  <c r="CV40" i="17"/>
  <c r="CT40" i="17"/>
  <c r="CX40" i="17"/>
  <c r="CU44" i="17"/>
  <c r="CY44" i="17"/>
  <c r="DC44" i="17"/>
  <c r="DA44" i="17"/>
  <c r="CP44" i="17"/>
  <c r="BN138" i="17"/>
  <c r="BM138" i="17"/>
  <c r="BL138" i="17"/>
  <c r="BK138" i="17"/>
  <c r="BJ138" i="17"/>
  <c r="BI138" i="17"/>
  <c r="BH138" i="17"/>
  <c r="BG138" i="17"/>
  <c r="BF138" i="17"/>
  <c r="BE138" i="17"/>
  <c r="BD138" i="17"/>
  <c r="BC138" i="17"/>
  <c r="BB138" i="17"/>
  <c r="BA138" i="17"/>
  <c r="AZ138" i="17"/>
  <c r="DB127" i="17"/>
  <c r="CY94" i="17"/>
  <c r="CQ111" i="17"/>
  <c r="CJ138" i="17"/>
  <c r="CE138" i="17"/>
  <c r="BR138" i="17"/>
  <c r="CR113" i="17"/>
  <c r="CV113" i="17"/>
  <c r="DD113" i="17"/>
  <c r="DA113" i="17"/>
  <c r="DB113" i="17"/>
  <c r="CS113" i="17"/>
  <c r="CT113" i="17"/>
  <c r="CR108" i="17"/>
  <c r="CX108" i="17"/>
  <c r="CW108" i="17"/>
  <c r="CY108" i="17"/>
  <c r="CP108" i="17"/>
  <c r="DA108" i="17"/>
  <c r="CW127" i="17"/>
  <c r="DC127" i="17"/>
  <c r="CT127" i="17"/>
  <c r="CS127" i="17"/>
  <c r="CS89" i="17"/>
  <c r="DA89" i="17"/>
  <c r="CP89" i="17"/>
  <c r="CT89" i="17"/>
  <c r="CX89" i="17"/>
  <c r="DB89" i="17"/>
  <c r="DC89" i="17"/>
  <c r="CU89" i="17"/>
  <c r="CR86" i="17"/>
  <c r="CZ86" i="17"/>
  <c r="CQ86" i="17"/>
  <c r="CY86" i="17"/>
  <c r="CR94" i="17"/>
  <c r="CV94" i="17"/>
  <c r="CZ94" i="17"/>
  <c r="DD94" i="17"/>
  <c r="CS94" i="17"/>
  <c r="CX94" i="17"/>
  <c r="DC94" i="17"/>
  <c r="CW94" i="17"/>
  <c r="CT94" i="17"/>
  <c r="CP94" i="17"/>
  <c r="CU94" i="17"/>
  <c r="DA94" i="17"/>
  <c r="CQ94" i="17"/>
  <c r="DB94" i="17"/>
  <c r="CR122" i="17"/>
  <c r="CV122" i="17"/>
  <c r="CZ122" i="17"/>
  <c r="CX122" i="17"/>
  <c r="DC122" i="17"/>
  <c r="CP122" i="17"/>
  <c r="DA122" i="17"/>
  <c r="DD106" i="17"/>
  <c r="CQ106" i="17"/>
  <c r="DA106" i="17"/>
  <c r="CV110" i="17"/>
  <c r="DD110" i="17"/>
  <c r="CS110" i="17"/>
  <c r="DC110" i="17"/>
  <c r="CT110" i="17"/>
  <c r="DB110" i="17"/>
  <c r="CU110" i="17"/>
  <c r="DA110" i="17"/>
  <c r="CQ27" i="17"/>
  <c r="CU27" i="17"/>
  <c r="CY27" i="17"/>
  <c r="DC27" i="17"/>
  <c r="CW27" i="17"/>
  <c r="DA27" i="17"/>
  <c r="CS27" i="17"/>
  <c r="CQ4" i="17"/>
  <c r="CY4" i="17"/>
  <c r="CZ4" i="17"/>
  <c r="DB4" i="17"/>
  <c r="CX131" i="17"/>
  <c r="DB131" i="17"/>
  <c r="CY131" i="17"/>
  <c r="CT131" i="17"/>
  <c r="CV121" i="17"/>
  <c r="CU121" i="17"/>
  <c r="CQ121" i="17"/>
  <c r="CY121" i="17"/>
  <c r="CU132" i="17"/>
  <c r="CY132" i="17"/>
  <c r="DC132" i="17"/>
  <c r="CP111" i="17"/>
  <c r="DA111" i="17"/>
  <c r="CT111" i="17"/>
  <c r="CY111" i="17"/>
  <c r="CW111" i="17"/>
  <c r="DB111" i="17"/>
  <c r="CS111" i="17"/>
  <c r="CX111" i="17"/>
  <c r="DC111" i="17"/>
  <c r="CS134" i="17"/>
  <c r="DA134" i="17"/>
  <c r="DB134" i="17"/>
  <c r="CR134" i="17"/>
  <c r="CZ134" i="17"/>
  <c r="CQ134" i="17"/>
  <c r="CY134" i="17"/>
  <c r="DD134" i="17"/>
  <c r="CY116" i="17"/>
  <c r="CZ101" i="17"/>
  <c r="CX101" i="17"/>
  <c r="CR95" i="17"/>
  <c r="CU95" i="17"/>
  <c r="CQ95" i="17"/>
  <c r="DB95" i="17"/>
  <c r="CT95" i="17"/>
  <c r="DC95" i="17"/>
  <c r="DD126" i="17"/>
  <c r="CS126" i="17"/>
  <c r="CW126" i="17"/>
  <c r="CQ129" i="17"/>
  <c r="CY129" i="17"/>
  <c r="CV129" i="17"/>
  <c r="DC129" i="17"/>
  <c r="DD129" i="17"/>
  <c r="CU129" i="17"/>
  <c r="CS102" i="17"/>
  <c r="DC102" i="17"/>
  <c r="CT102" i="17"/>
  <c r="CY102" i="17"/>
  <c r="CU102" i="17"/>
  <c r="CW102" i="17"/>
  <c r="CU29" i="17"/>
  <c r="CY29" i="17"/>
  <c r="CR29" i="17"/>
  <c r="CW29" i="17"/>
  <c r="DB29" i="17"/>
  <c r="CP29" i="17"/>
  <c r="CP123" i="17"/>
  <c r="CX123" i="17"/>
  <c r="CV105" i="17"/>
  <c r="CS130" i="17"/>
  <c r="CW130" i="17"/>
  <c r="DA130" i="17"/>
  <c r="CU130" i="17"/>
  <c r="DC130" i="17"/>
  <c r="CV130" i="17"/>
  <c r="DD130" i="17"/>
  <c r="CS133" i="17"/>
  <c r="CY133" i="17"/>
  <c r="CZ133" i="17"/>
  <c r="CV133" i="17"/>
  <c r="AM138" i="17"/>
  <c r="AQ138" i="17"/>
  <c r="AT138" i="17"/>
  <c r="CY118" i="17"/>
  <c r="Q113" i="17"/>
  <c r="F12" i="21"/>
  <c r="E12" i="21"/>
  <c r="CY55" i="17"/>
  <c r="CR55" i="17"/>
  <c r="CS55" i="17"/>
  <c r="CW55" i="17"/>
  <c r="CT55" i="17"/>
  <c r="CX55" i="17"/>
  <c r="DB55" i="17"/>
  <c r="CR117" i="17"/>
  <c r="CZ117" i="17"/>
  <c r="CY117" i="17"/>
  <c r="Q56" i="17"/>
  <c r="Q70" i="17"/>
  <c r="Q86" i="17"/>
  <c r="Q87" i="17"/>
  <c r="Q108" i="17"/>
  <c r="Q92" i="17"/>
  <c r="Q68" i="17"/>
  <c r="Q93" i="17"/>
  <c r="Q69" i="17"/>
  <c r="Q94" i="17"/>
  <c r="Q97" i="17"/>
  <c r="Q98" i="17"/>
  <c r="Q99" i="17"/>
  <c r="Q27" i="17"/>
  <c r="Q48" i="17"/>
  <c r="Q28" i="17"/>
  <c r="Q19" i="17"/>
  <c r="Q11" i="17"/>
  <c r="Q20" i="17"/>
  <c r="Q12" i="17"/>
  <c r="Q13" i="17"/>
  <c r="Q14" i="17"/>
  <c r="Q15" i="17"/>
  <c r="Q23" i="17"/>
  <c r="Q24" i="17"/>
  <c r="Q26" i="17"/>
  <c r="Q31" i="17"/>
  <c r="Q32" i="17"/>
  <c r="Q33" i="17"/>
  <c r="Q35" i="17"/>
  <c r="Q36" i="17"/>
  <c r="Q38" i="17"/>
  <c r="Q39" i="17"/>
  <c r="Q41" i="17"/>
  <c r="Q42" i="17"/>
  <c r="Q45" i="17"/>
  <c r="Q64" i="17"/>
  <c r="Q5" i="17"/>
  <c r="Q76" i="17"/>
  <c r="Q77" i="17"/>
  <c r="Q78" i="17"/>
  <c r="Q79" i="17"/>
  <c r="Q122" i="17"/>
  <c r="Q125" i="17"/>
  <c r="Q105" i="17"/>
  <c r="Q130" i="17"/>
  <c r="Q134" i="17"/>
  <c r="Q107" i="17"/>
  <c r="Q136" i="17"/>
  <c r="Q4" i="17"/>
  <c r="Q6" i="17"/>
  <c r="Q7" i="17"/>
  <c r="Q8" i="17"/>
  <c r="Q9" i="17"/>
  <c r="Q10" i="17"/>
  <c r="CV79" i="17"/>
  <c r="CX79" i="17"/>
  <c r="CW78" i="17"/>
  <c r="CX78" i="17"/>
  <c r="CY78" i="17"/>
  <c r="CP78" i="17"/>
  <c r="CW77" i="17"/>
  <c r="CT77" i="17"/>
  <c r="CY77" i="17"/>
  <c r="CP77" i="17"/>
  <c r="CZ77" i="17"/>
  <c r="CQ77" i="17"/>
  <c r="CV77" i="17"/>
  <c r="CX77" i="17"/>
  <c r="DC77" i="17"/>
  <c r="CW76" i="17"/>
  <c r="DB76" i="17"/>
  <c r="CX76" i="17"/>
  <c r="CP76" i="17"/>
  <c r="Q117" i="17"/>
  <c r="Q118" i="17"/>
  <c r="Q90" i="17"/>
  <c r="Q89" i="17"/>
  <c r="Q65" i="17"/>
  <c r="Q72" i="17"/>
  <c r="Q30" i="17"/>
  <c r="Q71" i="17"/>
  <c r="Q47" i="17"/>
  <c r="Q37" i="17"/>
  <c r="Q133" i="17"/>
  <c r="Q34" i="17"/>
  <c r="Q44" i="17"/>
  <c r="Q100" i="17"/>
  <c r="Q29" i="17"/>
  <c r="Q43" i="17"/>
  <c r="Q40" i="17"/>
  <c r="Q96" i="17"/>
  <c r="Q119" i="17"/>
  <c r="Q95" i="17"/>
  <c r="Q91" i="17"/>
  <c r="BX133" i="17"/>
  <c r="CF133" i="17"/>
  <c r="BZ39" i="17"/>
  <c r="BQ12" i="17"/>
  <c r="BQ28" i="17"/>
  <c r="CF23" i="17"/>
  <c r="BR69" i="17"/>
  <c r="BZ69" i="17"/>
  <c r="Q114" i="17"/>
  <c r="Q112" i="17"/>
  <c r="Q120" i="17"/>
  <c r="Q126" i="17"/>
  <c r="Q85" i="17"/>
  <c r="Q111" i="17"/>
  <c r="Q73" i="17"/>
  <c r="Q81" i="17"/>
  <c r="Q75" i="17"/>
  <c r="Q132" i="17"/>
  <c r="Q109" i="17"/>
  <c r="Q74" i="17"/>
  <c r="Q61" i="17"/>
  <c r="Q123" i="17"/>
  <c r="Q63" i="17"/>
  <c r="Q60" i="17"/>
  <c r="Q131" i="17"/>
  <c r="Q102" i="17"/>
  <c r="Q135" i="17"/>
  <c r="Q104" i="17"/>
  <c r="Q101" i="17"/>
  <c r="Q62" i="17"/>
  <c r="Q103" i="17"/>
  <c r="Q58" i="17"/>
  <c r="Q110" i="17"/>
  <c r="BS85" i="17"/>
  <c r="Q57" i="17"/>
  <c r="BW135" i="17"/>
  <c r="S118" i="17" l="1"/>
  <c r="T118" i="17"/>
  <c r="S126" i="17"/>
  <c r="T126" i="17"/>
  <c r="U126" i="17" s="1"/>
  <c r="U104" i="17"/>
  <c r="AZ92" i="17"/>
  <c r="CP92" i="17" s="1"/>
  <c r="BL92" i="17"/>
  <c r="DB92" i="17" s="1"/>
  <c r="BA92" i="17"/>
  <c r="CQ92" i="17" s="1"/>
  <c r="BB92" i="17"/>
  <c r="CR92" i="17" s="1"/>
  <c r="BJ75" i="17"/>
  <c r="CZ75" i="17" s="1"/>
  <c r="AZ75" i="17"/>
  <c r="CP75" i="17" s="1"/>
  <c r="BK75" i="17"/>
  <c r="DA75" i="17" s="1"/>
  <c r="BA75" i="17"/>
  <c r="CQ75" i="17" s="1"/>
  <c r="BL75" i="17"/>
  <c r="DB75" i="17" s="1"/>
  <c r="BE75" i="17"/>
  <c r="CU75" i="17" s="1"/>
  <c r="BG72" i="17"/>
  <c r="CW72" i="17" s="1"/>
  <c r="BH72" i="17"/>
  <c r="CX72" i="17" s="1"/>
  <c r="AZ72" i="17"/>
  <c r="CP72" i="17" s="1"/>
  <c r="BI72" i="17"/>
  <c r="CY72" i="17" s="1"/>
  <c r="BC72" i="17"/>
  <c r="CS72" i="17" s="1"/>
  <c r="BL72" i="17"/>
  <c r="DB72" i="17" s="1"/>
  <c r="BB54" i="17"/>
  <c r="CR54" i="17" s="1"/>
  <c r="BM54" i="17"/>
  <c r="DC54" i="17" s="1"/>
  <c r="AE133" i="17"/>
  <c r="BU133" i="17" s="1"/>
  <c r="BE127" i="17"/>
  <c r="CU127" i="17" s="1"/>
  <c r="O127" i="17"/>
  <c r="BF126" i="17"/>
  <c r="CV126" i="17" s="1"/>
  <c r="BF118" i="17"/>
  <c r="CV118" i="17" s="1"/>
  <c r="BM114" i="17"/>
  <c r="DC114" i="17" s="1"/>
  <c r="BD114" i="17"/>
  <c r="CT114" i="17" s="1"/>
  <c r="BM106" i="17"/>
  <c r="DC106" i="17" s="1"/>
  <c r="BE105" i="17"/>
  <c r="CU105" i="17" s="1"/>
  <c r="T103" i="17"/>
  <c r="U103" i="17" s="1"/>
  <c r="BJ100" i="17"/>
  <c r="CZ100" i="17" s="1"/>
  <c r="T100" i="17"/>
  <c r="BC95" i="17"/>
  <c r="CS95" i="17" s="1"/>
  <c r="BJ92" i="17"/>
  <c r="CZ92" i="17" s="1"/>
  <c r="BN91" i="17"/>
  <c r="DD91" i="17" s="1"/>
  <c r="AZ91" i="17"/>
  <c r="CP91" i="17" s="1"/>
  <c r="BF84" i="17"/>
  <c r="CV84" i="17" s="1"/>
  <c r="BI84" i="17"/>
  <c r="CY84" i="17" s="1"/>
  <c r="BL84" i="17"/>
  <c r="DB84" i="17" s="1"/>
  <c r="BA84" i="17"/>
  <c r="CQ84" i="17" s="1"/>
  <c r="BK76" i="17"/>
  <c r="DA76" i="17" s="1"/>
  <c r="BI75" i="17"/>
  <c r="CY75" i="17" s="1"/>
  <c r="BJ72" i="17"/>
  <c r="CZ72" i="17" s="1"/>
  <c r="AD133" i="17"/>
  <c r="BT133" i="17" s="1"/>
  <c r="BD126" i="17"/>
  <c r="CT126" i="17" s="1"/>
  <c r="BC118" i="17"/>
  <c r="CS118" i="17" s="1"/>
  <c r="BL114" i="17"/>
  <c r="DB114" i="17" s="1"/>
  <c r="BC114" i="17"/>
  <c r="CS114" i="17" s="1"/>
  <c r="BD105" i="17"/>
  <c r="CT105" i="17" s="1"/>
  <c r="BD98" i="17"/>
  <c r="CT98" i="17" s="1"/>
  <c r="BF98" i="17"/>
  <c r="CV98" i="17" s="1"/>
  <c r="BK98" i="17"/>
  <c r="DA98" i="17" s="1"/>
  <c r="BI92" i="17"/>
  <c r="CY92" i="17" s="1"/>
  <c r="AK85" i="17"/>
  <c r="CA85" i="17" s="1"/>
  <c r="AS85" i="17"/>
  <c r="CI85" i="17" s="1"/>
  <c r="BH75" i="17"/>
  <c r="CX75" i="17" s="1"/>
  <c r="K79" i="17"/>
  <c r="S79" i="17" s="1"/>
  <c r="K78" i="17"/>
  <c r="S78" i="17" s="1"/>
  <c r="BE72" i="17"/>
  <c r="CU72" i="17" s="1"/>
  <c r="BA41" i="17"/>
  <c r="CQ41" i="17" s="1"/>
  <c r="BJ41" i="17"/>
  <c r="CZ41" i="17" s="1"/>
  <c r="BB41" i="17"/>
  <c r="CR41" i="17" s="1"/>
  <c r="BL41" i="17"/>
  <c r="DB41" i="17" s="1"/>
  <c r="BD41" i="17"/>
  <c r="CT41" i="17" s="1"/>
  <c r="BM41" i="17"/>
  <c r="DC41" i="17" s="1"/>
  <c r="BE41" i="17"/>
  <c r="CU41" i="17" s="1"/>
  <c r="BN41" i="17"/>
  <c r="DD41" i="17" s="1"/>
  <c r="BG41" i="17"/>
  <c r="CW41" i="17" s="1"/>
  <c r="BH41" i="17"/>
  <c r="CX41" i="17" s="1"/>
  <c r="AZ41" i="17"/>
  <c r="CP41" i="17" s="1"/>
  <c r="BI41" i="17"/>
  <c r="CY41" i="17" s="1"/>
  <c r="K11" i="17"/>
  <c r="S11" i="17" s="1"/>
  <c r="U11" i="17" s="1"/>
  <c r="K15" i="17"/>
  <c r="S15" i="17" s="1"/>
  <c r="K19" i="17"/>
  <c r="S19" i="17" s="1"/>
  <c r="K21" i="17"/>
  <c r="K87" i="17"/>
  <c r="S87" i="17" s="1"/>
  <c r="K90" i="17"/>
  <c r="S90" i="17" s="1"/>
  <c r="U90" i="17" s="1"/>
  <c r="K13" i="17"/>
  <c r="S13" i="17" s="1"/>
  <c r="K20" i="17"/>
  <c r="S20" i="17" s="1"/>
  <c r="AG126" i="17"/>
  <c r="S123" i="17"/>
  <c r="U119" i="17"/>
  <c r="BB118" i="17"/>
  <c r="CR118" i="17" s="1"/>
  <c r="BK114" i="17"/>
  <c r="DA114" i="17" s="1"/>
  <c r="BB114" i="17"/>
  <c r="CR114" i="17" s="1"/>
  <c r="BI106" i="17"/>
  <c r="CY106" i="17" s="1"/>
  <c r="BN105" i="17"/>
  <c r="DD105" i="17" s="1"/>
  <c r="BB105" i="17"/>
  <c r="CR105" i="17" s="1"/>
  <c r="AA100" i="17"/>
  <c r="BG100" i="17"/>
  <c r="CW100" i="17" s="1"/>
  <c r="AZ100" i="17"/>
  <c r="CP100" i="17" s="1"/>
  <c r="BH100" i="17"/>
  <c r="CX100" i="17" s="1"/>
  <c r="BA100" i="17"/>
  <c r="CQ100" i="17" s="1"/>
  <c r="BI100" i="17"/>
  <c r="CY100" i="17" s="1"/>
  <c r="BA99" i="17"/>
  <c r="CQ99" i="17" s="1"/>
  <c r="BK99" i="17"/>
  <c r="DA99" i="17" s="1"/>
  <c r="BB99" i="17"/>
  <c r="CR99" i="17" s="1"/>
  <c r="BL99" i="17"/>
  <c r="DB99" i="17" s="1"/>
  <c r="BC99" i="17"/>
  <c r="CS99" i="17" s="1"/>
  <c r="BM99" i="17"/>
  <c r="DC99" i="17" s="1"/>
  <c r="BH92" i="17"/>
  <c r="CX92" i="17" s="1"/>
  <c r="AZ79" i="17"/>
  <c r="CP79" i="17" s="1"/>
  <c r="BI79" i="17"/>
  <c r="CY79" i="17" s="1"/>
  <c r="BC75" i="17"/>
  <c r="CS75" i="17" s="1"/>
  <c r="BD72" i="17"/>
  <c r="CT72" i="17" s="1"/>
  <c r="BD54" i="17"/>
  <c r="CT54" i="17" s="1"/>
  <c r="AG39" i="17"/>
  <c r="BW39" i="17" s="1"/>
  <c r="AH39" i="17"/>
  <c r="BX39" i="17" s="1"/>
  <c r="AI39" i="17"/>
  <c r="BY39" i="17" s="1"/>
  <c r="K4" i="17"/>
  <c r="S4" i="17" s="1"/>
  <c r="K108" i="17"/>
  <c r="S108" i="17" s="1"/>
  <c r="K8" i="17"/>
  <c r="S8" i="17" s="1"/>
  <c r="K72" i="17"/>
  <c r="S72" i="17" s="1"/>
  <c r="U72" i="17" s="1"/>
  <c r="K5" i="17"/>
  <c r="S5" i="17" s="1"/>
  <c r="U5" i="17" s="1"/>
  <c r="K6" i="17"/>
  <c r="S6" i="17" s="1"/>
  <c r="U6" i="17" s="1"/>
  <c r="K9" i="17"/>
  <c r="S9" i="17" s="1"/>
  <c r="U9" i="17" s="1"/>
  <c r="K48" i="17"/>
  <c r="S48" i="17" s="1"/>
  <c r="K3" i="17"/>
  <c r="S3" i="17" s="1"/>
  <c r="K7" i="17"/>
  <c r="S7" i="17" s="1"/>
  <c r="K10" i="17"/>
  <c r="S10" i="17" s="1"/>
  <c r="H15" i="10"/>
  <c r="BG136" i="17"/>
  <c r="CW136" i="17" s="1"/>
  <c r="BG134" i="17"/>
  <c r="CW134" i="17" s="1"/>
  <c r="BB133" i="17"/>
  <c r="CR133" i="17" s="1"/>
  <c r="BJ130" i="17"/>
  <c r="CZ130" i="17" s="1"/>
  <c r="BB130" i="17"/>
  <c r="CR130" i="17" s="1"/>
  <c r="BJ129" i="17"/>
  <c r="CZ129" i="17" s="1"/>
  <c r="O129" i="17"/>
  <c r="Q129" i="17" s="1"/>
  <c r="BK127" i="17"/>
  <c r="DA127" i="17" s="1"/>
  <c r="BB127" i="17"/>
  <c r="CR127" i="17" s="1"/>
  <c r="BL126" i="17"/>
  <c r="DB126" i="17" s="1"/>
  <c r="BB126" i="17"/>
  <c r="CR126" i="17" s="1"/>
  <c r="BK125" i="17"/>
  <c r="DA125" i="17" s="1"/>
  <c r="BI124" i="17"/>
  <c r="CY124" i="17" s="1"/>
  <c r="U122" i="17"/>
  <c r="BA118" i="17"/>
  <c r="CQ118" i="17" s="1"/>
  <c r="BA117" i="17"/>
  <c r="CQ117" i="17" s="1"/>
  <c r="BK115" i="17"/>
  <c r="DA115" i="17" s="1"/>
  <c r="BJ114" i="17"/>
  <c r="CZ114" i="17" s="1"/>
  <c r="BA114" i="17"/>
  <c r="CQ114" i="17" s="1"/>
  <c r="BJ113" i="17"/>
  <c r="CZ113" i="17" s="1"/>
  <c r="BA113" i="17"/>
  <c r="CQ113" i="17" s="1"/>
  <c r="BJ110" i="17"/>
  <c r="CZ110" i="17" s="1"/>
  <c r="BB110" i="17"/>
  <c r="CR110" i="17" s="1"/>
  <c r="BG106" i="17"/>
  <c r="CW106" i="17" s="1"/>
  <c r="BM105" i="17"/>
  <c r="DC105" i="17" s="1"/>
  <c r="AZ105" i="17"/>
  <c r="CP105" i="17" s="1"/>
  <c r="S102" i="17"/>
  <c r="BD100" i="17"/>
  <c r="CT100" i="17" s="1"/>
  <c r="BJ99" i="17"/>
  <c r="CZ99" i="17" s="1"/>
  <c r="BN98" i="17"/>
  <c r="DD98" i="17" s="1"/>
  <c r="BK95" i="17"/>
  <c r="DA95" i="17" s="1"/>
  <c r="BG92" i="17"/>
  <c r="CW92" i="17" s="1"/>
  <c r="BH91" i="17"/>
  <c r="CX91" i="17" s="1"/>
  <c r="S89" i="17"/>
  <c r="BN84" i="17"/>
  <c r="DD84" i="17" s="1"/>
  <c r="U81" i="17"/>
  <c r="BB76" i="17"/>
  <c r="CR76" i="17" s="1"/>
  <c r="BB75" i="17"/>
  <c r="CR75" i="17" s="1"/>
  <c r="BB72" i="17"/>
  <c r="CR72" i="17" s="1"/>
  <c r="K55" i="17"/>
  <c r="K54" i="17"/>
  <c r="K56" i="17"/>
  <c r="K49" i="17"/>
  <c r="K52" i="17"/>
  <c r="K57" i="17"/>
  <c r="K58" i="17"/>
  <c r="K62" i="17"/>
  <c r="K60" i="17"/>
  <c r="S60" i="17" s="1"/>
  <c r="U60" i="17" s="1"/>
  <c r="H4" i="10"/>
  <c r="BE136" i="17"/>
  <c r="CU136" i="17" s="1"/>
  <c r="BA133" i="17"/>
  <c r="CQ133" i="17" s="1"/>
  <c r="S131" i="17"/>
  <c r="BI130" i="17"/>
  <c r="CY130" i="17" s="1"/>
  <c r="BA130" i="17"/>
  <c r="CQ130" i="17" s="1"/>
  <c r="BJ127" i="17"/>
  <c r="CZ127" i="17" s="1"/>
  <c r="BA127" i="17"/>
  <c r="CQ127" i="17" s="1"/>
  <c r="BK126" i="17"/>
  <c r="DA126" i="17" s="1"/>
  <c r="BA126" i="17"/>
  <c r="CQ126" i="17" s="1"/>
  <c r="BJ125" i="17"/>
  <c r="CZ125" i="17" s="1"/>
  <c r="AC122" i="17"/>
  <c r="BN118" i="17"/>
  <c r="DD118" i="17" s="1"/>
  <c r="BH115" i="17"/>
  <c r="CX115" i="17" s="1"/>
  <c r="BI114" i="17"/>
  <c r="CY114" i="17" s="1"/>
  <c r="AZ114" i="17"/>
  <c r="CP114" i="17" s="1"/>
  <c r="BI113" i="17"/>
  <c r="CY113" i="17" s="1"/>
  <c r="AZ113" i="17"/>
  <c r="CP113" i="17" s="1"/>
  <c r="S112" i="17"/>
  <c r="U112" i="17" s="1"/>
  <c r="BF111" i="17"/>
  <c r="CV111" i="17" s="1"/>
  <c r="BI110" i="17"/>
  <c r="CY110" i="17" s="1"/>
  <c r="BA110" i="17"/>
  <c r="CQ110" i="17" s="1"/>
  <c r="BF106" i="17"/>
  <c r="CV106" i="17" s="1"/>
  <c r="BL105" i="17"/>
  <c r="DB105" i="17" s="1"/>
  <c r="BN100" i="17"/>
  <c r="DD100" i="17" s="1"/>
  <c r="BC100" i="17"/>
  <c r="CS100" i="17" s="1"/>
  <c r="BI99" i="17"/>
  <c r="CY99" i="17" s="1"/>
  <c r="BL98" i="17"/>
  <c r="DB98" i="17" s="1"/>
  <c r="BH97" i="17"/>
  <c r="CX97" i="17" s="1"/>
  <c r="BI97" i="17"/>
  <c r="CY97" i="17" s="1"/>
  <c r="BJ95" i="17"/>
  <c r="CZ95" i="17" s="1"/>
  <c r="BD92" i="17"/>
  <c r="CT92" i="17" s="1"/>
  <c r="BG91" i="17"/>
  <c r="CW91" i="17" s="1"/>
  <c r="BM84" i="17"/>
  <c r="DC84" i="17" s="1"/>
  <c r="K77" i="17"/>
  <c r="S77" i="17" s="1"/>
  <c r="U77" i="17" s="1"/>
  <c r="BA72" i="17"/>
  <c r="CQ72" i="17" s="1"/>
  <c r="BF64" i="17"/>
  <c r="CV64" i="17" s="1"/>
  <c r="BN64" i="17"/>
  <c r="DD64" i="17" s="1"/>
  <c r="BG64" i="17"/>
  <c r="CW64" i="17" s="1"/>
  <c r="AZ64" i="17"/>
  <c r="CP64" i="17" s="1"/>
  <c r="BH64" i="17"/>
  <c r="CX64" i="17" s="1"/>
  <c r="BC64" i="17"/>
  <c r="CS64" i="17" s="1"/>
  <c r="BK64" i="17"/>
  <c r="DA64" i="17" s="1"/>
  <c r="BN133" i="17"/>
  <c r="DD133" i="17" s="1"/>
  <c r="BH130" i="17"/>
  <c r="CX130" i="17" s="1"/>
  <c r="AZ130" i="17"/>
  <c r="CP130" i="17" s="1"/>
  <c r="BN128" i="17"/>
  <c r="DD128" i="17" s="1"/>
  <c r="BI127" i="17"/>
  <c r="CY127" i="17" s="1"/>
  <c r="AZ127" i="17"/>
  <c r="CP127" i="17" s="1"/>
  <c r="BJ126" i="17"/>
  <c r="CZ126" i="17" s="1"/>
  <c r="AU126" i="17"/>
  <c r="BC125" i="17"/>
  <c r="CS125" i="17" s="1"/>
  <c r="BE122" i="17"/>
  <c r="CU122" i="17" s="1"/>
  <c r="BN121" i="17"/>
  <c r="DD121" i="17" s="1"/>
  <c r="BK118" i="17"/>
  <c r="DA118" i="17" s="1"/>
  <c r="BG115" i="17"/>
  <c r="CW115" i="17" s="1"/>
  <c r="BH114" i="17"/>
  <c r="CX114" i="17" s="1"/>
  <c r="BH113" i="17"/>
  <c r="CX113" i="17" s="1"/>
  <c r="BN111" i="17"/>
  <c r="DD111" i="17" s="1"/>
  <c r="BH110" i="17"/>
  <c r="CX110" i="17" s="1"/>
  <c r="AZ110" i="17"/>
  <c r="CP110" i="17" s="1"/>
  <c r="U107" i="17"/>
  <c r="BE106" i="17"/>
  <c r="CU106" i="17" s="1"/>
  <c r="BJ105" i="17"/>
  <c r="CZ105" i="17" s="1"/>
  <c r="BM100" i="17"/>
  <c r="DC100" i="17" s="1"/>
  <c r="BB100" i="17"/>
  <c r="CR100" i="17" s="1"/>
  <c r="BG99" i="17"/>
  <c r="CW99" i="17" s="1"/>
  <c r="BB98" i="17"/>
  <c r="CR98" i="17" s="1"/>
  <c r="U94" i="17"/>
  <c r="T91" i="17"/>
  <c r="S91" i="17"/>
  <c r="AA91" i="17" s="1"/>
  <c r="BE84" i="17"/>
  <c r="CU84" i="17" s="1"/>
  <c r="K75" i="17"/>
  <c r="S75" i="17" s="1"/>
  <c r="U75" i="17" s="1"/>
  <c r="BD73" i="17"/>
  <c r="CT73" i="17" s="1"/>
  <c r="BN73" i="17"/>
  <c r="DD73" i="17" s="1"/>
  <c r="BF73" i="17"/>
  <c r="CV73" i="17" s="1"/>
  <c r="BG73" i="17"/>
  <c r="CW73" i="17" s="1"/>
  <c r="BA73" i="17"/>
  <c r="CQ73" i="17" s="1"/>
  <c r="BJ73" i="17"/>
  <c r="CZ73" i="17" s="1"/>
  <c r="K65" i="17"/>
  <c r="S65" i="17" s="1"/>
  <c r="BF42" i="17"/>
  <c r="CV42" i="17" s="1"/>
  <c r="BN42" i="17"/>
  <c r="DD42" i="17" s="1"/>
  <c r="BE42" i="17"/>
  <c r="CU42" i="17" s="1"/>
  <c r="S136" i="17"/>
  <c r="AT133" i="17"/>
  <c r="CJ133" i="17" s="1"/>
  <c r="S127" i="17"/>
  <c r="BI126" i="17"/>
  <c r="CY126" i="17" s="1"/>
  <c r="AN126" i="17"/>
  <c r="BN122" i="17"/>
  <c r="DD122" i="17" s="1"/>
  <c r="BC122" i="17"/>
  <c r="CS122" i="17" s="1"/>
  <c r="BJ118" i="17"/>
  <c r="CZ118" i="17" s="1"/>
  <c r="BC115" i="17"/>
  <c r="CS115" i="17" s="1"/>
  <c r="BL100" i="17"/>
  <c r="DB100" i="17" s="1"/>
  <c r="BE99" i="17"/>
  <c r="CU99" i="17" s="1"/>
  <c r="BA98" i="17"/>
  <c r="CQ98" i="17" s="1"/>
  <c r="U95" i="17"/>
  <c r="BF95" i="17"/>
  <c r="CV95" i="17" s="1"/>
  <c r="BN95" i="17"/>
  <c r="DD95" i="17" s="1"/>
  <c r="BG95" i="17"/>
  <c r="CW95" i="17" s="1"/>
  <c r="AZ95" i="17"/>
  <c r="CP95" i="17" s="1"/>
  <c r="BH95" i="17"/>
  <c r="CX95" i="17" s="1"/>
  <c r="BB91" i="17"/>
  <c r="CR91" i="17" s="1"/>
  <c r="BJ91" i="17"/>
  <c r="CZ91" i="17" s="1"/>
  <c r="BC91" i="17"/>
  <c r="CS91" i="17" s="1"/>
  <c r="BK91" i="17"/>
  <c r="DA91" i="17" s="1"/>
  <c r="BD91" i="17"/>
  <c r="CT91" i="17" s="1"/>
  <c r="BL91" i="17"/>
  <c r="DB91" i="17" s="1"/>
  <c r="BD84" i="17"/>
  <c r="CT84" i="17" s="1"/>
  <c r="BE80" i="17"/>
  <c r="CU80" i="17" s="1"/>
  <c r="BF80" i="17"/>
  <c r="CV80" i="17" s="1"/>
  <c r="BG80" i="17"/>
  <c r="CW80" i="17" s="1"/>
  <c r="BC76" i="17"/>
  <c r="CS76" i="17" s="1"/>
  <c r="BN76" i="17"/>
  <c r="DD76" i="17" s="1"/>
  <c r="BE76" i="17"/>
  <c r="CU76" i="17" s="1"/>
  <c r="BF76" i="17"/>
  <c r="CV76" i="17" s="1"/>
  <c r="BJ76" i="17"/>
  <c r="CZ76" i="17" s="1"/>
  <c r="BM72" i="17"/>
  <c r="DC72" i="17" s="1"/>
  <c r="BB71" i="17"/>
  <c r="CR71" i="17" s="1"/>
  <c r="BC71" i="17"/>
  <c r="CS71" i="17" s="1"/>
  <c r="BI71" i="17"/>
  <c r="CY71" i="17" s="1"/>
  <c r="BN71" i="17"/>
  <c r="DD71" i="17" s="1"/>
  <c r="BF41" i="17"/>
  <c r="CV41" i="17" s="1"/>
  <c r="BB44" i="17"/>
  <c r="CR44" i="17" s="1"/>
  <c r="BF43" i="17"/>
  <c r="CV43" i="17" s="1"/>
  <c r="BI40" i="17"/>
  <c r="CY40" i="17" s="1"/>
  <c r="AZ40" i="17"/>
  <c r="CP40" i="17" s="1"/>
  <c r="T36" i="17"/>
  <c r="AF36" i="17" s="1"/>
  <c r="BV36" i="17" s="1"/>
  <c r="BD33" i="17"/>
  <c r="CT33" i="17" s="1"/>
  <c r="BE31" i="17"/>
  <c r="CU31" i="17" s="1"/>
  <c r="BM29" i="17"/>
  <c r="DC29" i="17" s="1"/>
  <c r="BD29" i="17"/>
  <c r="CT29" i="17" s="1"/>
  <c r="BL28" i="17"/>
  <c r="DB28" i="17" s="1"/>
  <c r="BA28" i="17"/>
  <c r="CQ28" i="17" s="1"/>
  <c r="BN27" i="17"/>
  <c r="DD27" i="17" s="1"/>
  <c r="BF27" i="17"/>
  <c r="CV27" i="17" s="1"/>
  <c r="BM23" i="17"/>
  <c r="DC23" i="17" s="1"/>
  <c r="BE23" i="17"/>
  <c r="CU23" i="17" s="1"/>
  <c r="AH23" i="17"/>
  <c r="BX23" i="17" s="1"/>
  <c r="BE21" i="17"/>
  <c r="CU21" i="17" s="1"/>
  <c r="BM17" i="17"/>
  <c r="DC17" i="17" s="1"/>
  <c r="BA17" i="17"/>
  <c r="CQ17" i="17" s="1"/>
  <c r="BL5" i="17"/>
  <c r="DB5" i="17" s="1"/>
  <c r="BC5" i="17"/>
  <c r="CS5" i="17" s="1"/>
  <c r="U4" i="17"/>
  <c r="BE12" i="17"/>
  <c r="CU12" i="17" s="1"/>
  <c r="S64" i="17"/>
  <c r="U64" i="17" s="1"/>
  <c r="AH64" i="17" s="1"/>
  <c r="S40" i="17"/>
  <c r="BL44" i="17"/>
  <c r="DB44" i="17" s="1"/>
  <c r="BC43" i="17"/>
  <c r="CS43" i="17" s="1"/>
  <c r="BG40" i="17"/>
  <c r="CW40" i="17" s="1"/>
  <c r="S38" i="17"/>
  <c r="BA31" i="17"/>
  <c r="CQ31" i="17" s="1"/>
  <c r="BJ29" i="17"/>
  <c r="CZ29" i="17" s="1"/>
  <c r="BA29" i="17"/>
  <c r="CQ29" i="17" s="1"/>
  <c r="BL27" i="17"/>
  <c r="DB27" i="17" s="1"/>
  <c r="BD27" i="17"/>
  <c r="CT27" i="17" s="1"/>
  <c r="BK23" i="17"/>
  <c r="DA23" i="17" s="1"/>
  <c r="BC23" i="17"/>
  <c r="CS23" i="17" s="1"/>
  <c r="BM21" i="17"/>
  <c r="DC21" i="17" s="1"/>
  <c r="BA21" i="17"/>
  <c r="CQ21" i="17" s="1"/>
  <c r="AA20" i="17"/>
  <c r="BJ17" i="17"/>
  <c r="CZ17" i="17" s="1"/>
  <c r="BD8" i="17"/>
  <c r="CT8" i="17" s="1"/>
  <c r="BJ5" i="17"/>
  <c r="CZ5" i="17" s="1"/>
  <c r="AZ5" i="17"/>
  <c r="CP5" i="17" s="1"/>
  <c r="BE4" i="17"/>
  <c r="CU4" i="17" s="1"/>
  <c r="BN108" i="17"/>
  <c r="DD108" i="17" s="1"/>
  <c r="BF108" i="17"/>
  <c r="CV108" i="17" s="1"/>
  <c r="BL24" i="17"/>
  <c r="DB24" i="17" s="1"/>
  <c r="BD24" i="17"/>
  <c r="CT24" i="17" s="1"/>
  <c r="BJ23" i="17"/>
  <c r="CZ23" i="17" s="1"/>
  <c r="BB23" i="17"/>
  <c r="CR23" i="17" s="1"/>
  <c r="BK21" i="17"/>
  <c r="DA21" i="17" s="1"/>
  <c r="AZ21" i="17"/>
  <c r="CP21" i="17" s="1"/>
  <c r="BH17" i="17"/>
  <c r="CX17" i="17" s="1"/>
  <c r="BG10" i="17"/>
  <c r="CW10" i="17" s="1"/>
  <c r="BB8" i="17"/>
  <c r="CR8" i="17" s="1"/>
  <c r="BH5" i="17"/>
  <c r="CX5" i="17" s="1"/>
  <c r="BD4" i="17"/>
  <c r="CT4" i="17" s="1"/>
  <c r="BM108" i="17"/>
  <c r="DC108" i="17" s="1"/>
  <c r="BE108" i="17"/>
  <c r="CU108" i="17" s="1"/>
  <c r="U108" i="17"/>
  <c r="BK48" i="17"/>
  <c r="DA48" i="17" s="1"/>
  <c r="K93" i="17"/>
  <c r="S93" i="17" s="1"/>
  <c r="BJ70" i="17"/>
  <c r="CZ70" i="17" s="1"/>
  <c r="U65" i="17"/>
  <c r="O59" i="17"/>
  <c r="BK55" i="17"/>
  <c r="DA55" i="17" s="1"/>
  <c r="BA55" i="17"/>
  <c r="CQ55" i="17" s="1"/>
  <c r="S45" i="17"/>
  <c r="AI45" i="17" s="1"/>
  <c r="S44" i="17"/>
  <c r="S43" i="17"/>
  <c r="BN40" i="17"/>
  <c r="DD40" i="17" s="1"/>
  <c r="BE40" i="17"/>
  <c r="CU40" i="17" s="1"/>
  <c r="AE39" i="17"/>
  <c r="BU39" i="17" s="1"/>
  <c r="BI37" i="17"/>
  <c r="CY37" i="17" s="1"/>
  <c r="BA37" i="17"/>
  <c r="CQ37" i="17" s="1"/>
  <c r="BC36" i="17"/>
  <c r="CS36" i="17" s="1"/>
  <c r="BG34" i="17"/>
  <c r="CW34" i="17" s="1"/>
  <c r="BJ33" i="17"/>
  <c r="CZ33" i="17" s="1"/>
  <c r="BM31" i="17"/>
  <c r="DC31" i="17" s="1"/>
  <c r="BH29" i="17"/>
  <c r="CX29" i="17" s="1"/>
  <c r="BF28" i="17"/>
  <c r="CV28" i="17" s="1"/>
  <c r="BJ27" i="17"/>
  <c r="CZ27" i="17" s="1"/>
  <c r="BB27" i="17"/>
  <c r="CR27" i="17" s="1"/>
  <c r="BK24" i="17"/>
  <c r="DA24" i="17" s="1"/>
  <c r="BI23" i="17"/>
  <c r="CY23" i="17" s="1"/>
  <c r="BA23" i="17"/>
  <c r="CQ23" i="17" s="1"/>
  <c r="BJ21" i="17"/>
  <c r="CZ21" i="17" s="1"/>
  <c r="BF17" i="17"/>
  <c r="CV17" i="17" s="1"/>
  <c r="D21" i="8"/>
  <c r="AJ14" i="17"/>
  <c r="BZ14" i="17" s="1"/>
  <c r="BF10" i="17"/>
  <c r="CV10" i="17" s="1"/>
  <c r="AC10" i="17"/>
  <c r="BA8" i="17"/>
  <c r="CQ8" i="17" s="1"/>
  <c r="BB4" i="17"/>
  <c r="CR4" i="17" s="1"/>
  <c r="BL108" i="17"/>
  <c r="DB108" i="17" s="1"/>
  <c r="BD108" i="17"/>
  <c r="CT108" i="17" s="1"/>
  <c r="AP108" i="17"/>
  <c r="BG48" i="17"/>
  <c r="CW48" i="17" s="1"/>
  <c r="S62" i="17"/>
  <c r="BJ55" i="17"/>
  <c r="CZ55" i="17" s="1"/>
  <c r="AZ55" i="17"/>
  <c r="CP55" i="17" s="1"/>
  <c r="U24" i="17"/>
  <c r="U19" i="17"/>
  <c r="K18" i="17"/>
  <c r="AC5" i="17"/>
  <c r="U68" i="17"/>
  <c r="K67" i="17"/>
  <c r="K66" i="17"/>
  <c r="BD44" i="17"/>
  <c r="CT44" i="17" s="1"/>
  <c r="BN43" i="17"/>
  <c r="DD43" i="17" s="1"/>
  <c r="BL40" i="17"/>
  <c r="DB40" i="17" s="1"/>
  <c r="BC40" i="17"/>
  <c r="CS40" i="17" s="1"/>
  <c r="AC38" i="17"/>
  <c r="BM34" i="17"/>
  <c r="DC34" i="17" s="1"/>
  <c r="S34" i="17"/>
  <c r="BH31" i="17"/>
  <c r="CX31" i="17" s="1"/>
  <c r="BF29" i="17"/>
  <c r="CV29" i="17" s="1"/>
  <c r="BN28" i="17"/>
  <c r="DD28" i="17" s="1"/>
  <c r="BH27" i="17"/>
  <c r="CX27" i="17" s="1"/>
  <c r="AZ27" i="17"/>
  <c r="CP27" i="17" s="1"/>
  <c r="AF24" i="17"/>
  <c r="BG23" i="17"/>
  <c r="CW23" i="17" s="1"/>
  <c r="AX23" i="17"/>
  <c r="CN23" i="17" s="1"/>
  <c r="BH21" i="17"/>
  <c r="CX21" i="17" s="1"/>
  <c r="BC17" i="17"/>
  <c r="CS17" i="17" s="1"/>
  <c r="BM10" i="17"/>
  <c r="DC10" i="17" s="1"/>
  <c r="BD10" i="17"/>
  <c r="CT10" i="17" s="1"/>
  <c r="U10" i="17"/>
  <c r="AG10" i="17" s="1"/>
  <c r="BN5" i="17"/>
  <c r="DD5" i="17" s="1"/>
  <c r="BE5" i="17"/>
  <c r="CU5" i="17" s="1"/>
  <c r="BM4" i="17"/>
  <c r="DC4" i="17" s="1"/>
  <c r="BM12" i="17"/>
  <c r="DC12" i="17" s="1"/>
  <c r="BJ108" i="17"/>
  <c r="CZ108" i="17" s="1"/>
  <c r="BA108" i="17"/>
  <c r="CQ108" i="17" s="1"/>
  <c r="BC44" i="17"/>
  <c r="CS44" i="17" s="1"/>
  <c r="BK40" i="17"/>
  <c r="DA40" i="17" s="1"/>
  <c r="BN29" i="17"/>
  <c r="DD29" i="17" s="1"/>
  <c r="BN23" i="17"/>
  <c r="DD23" i="17" s="1"/>
  <c r="BF23" i="17"/>
  <c r="CV23" i="17" s="1"/>
  <c r="BN17" i="17"/>
  <c r="DD17" i="17" s="1"/>
  <c r="BM5" i="17"/>
  <c r="DC5" i="17" s="1"/>
  <c r="BD5" i="17"/>
  <c r="CT5" i="17" s="1"/>
  <c r="AE108" i="17"/>
  <c r="AA135" i="17"/>
  <c r="AI135" i="17"/>
  <c r="BY135" i="17" s="1"/>
  <c r="AQ135" i="17"/>
  <c r="CG135" i="17" s="1"/>
  <c r="AY135" i="17"/>
  <c r="CO135" i="17" s="1"/>
  <c r="AD135" i="17"/>
  <c r="BT135" i="17" s="1"/>
  <c r="AL135" i="17"/>
  <c r="CB135" i="17" s="1"/>
  <c r="AT135" i="17"/>
  <c r="CJ135" i="17" s="1"/>
  <c r="AE135" i="17"/>
  <c r="BU135" i="17" s="1"/>
  <c r="AM135" i="17"/>
  <c r="CC135" i="17" s="1"/>
  <c r="AU135" i="17"/>
  <c r="CK135" i="17" s="1"/>
  <c r="AJ135" i="17"/>
  <c r="BZ135" i="17" s="1"/>
  <c r="AW135" i="17"/>
  <c r="CM135" i="17" s="1"/>
  <c r="AK135" i="17"/>
  <c r="CA135" i="17" s="1"/>
  <c r="AX135" i="17"/>
  <c r="CN135" i="17" s="1"/>
  <c r="AN135" i="17"/>
  <c r="CD135" i="17" s="1"/>
  <c r="AB135" i="17"/>
  <c r="BR135" i="17" s="1"/>
  <c r="AO135" i="17"/>
  <c r="CE135" i="17" s="1"/>
  <c r="AC135" i="17"/>
  <c r="BS135" i="17" s="1"/>
  <c r="AP135" i="17"/>
  <c r="CF135" i="17" s="1"/>
  <c r="AF135" i="17"/>
  <c r="BV135" i="17" s="1"/>
  <c r="AR135" i="17"/>
  <c r="CH135" i="17" s="1"/>
  <c r="T132" i="17"/>
  <c r="S132" i="17"/>
  <c r="AG138" i="17"/>
  <c r="CN138" i="17"/>
  <c r="AD122" i="17"/>
  <c r="BT122" i="17" s="1"/>
  <c r="AL122" i="17"/>
  <c r="CB122" i="17" s="1"/>
  <c r="AT122" i="17"/>
  <c r="CJ122" i="17" s="1"/>
  <c r="AE122" i="17"/>
  <c r="AM122" i="17"/>
  <c r="CC122" i="17" s="1"/>
  <c r="AU122" i="17"/>
  <c r="CK122" i="17" s="1"/>
  <c r="AW122" i="17"/>
  <c r="CM122" i="17" s="1"/>
  <c r="AH122" i="17"/>
  <c r="BX122" i="17" s="1"/>
  <c r="AP122" i="17"/>
  <c r="CF122" i="17" s="1"/>
  <c r="AX122" i="17"/>
  <c r="CN122" i="17" s="1"/>
  <c r="AA122" i="17"/>
  <c r="BQ122" i="17" s="1"/>
  <c r="AI122" i="17"/>
  <c r="AQ122" i="17"/>
  <c r="CG122" i="17" s="1"/>
  <c r="AY122" i="17"/>
  <c r="CO122" i="17" s="1"/>
  <c r="BY122" i="17"/>
  <c r="AB122" i="17"/>
  <c r="BR122" i="17" s="1"/>
  <c r="AJ122" i="17"/>
  <c r="BZ122" i="17" s="1"/>
  <c r="AR122" i="17"/>
  <c r="CH122" i="17" s="1"/>
  <c r="BU122" i="17"/>
  <c r="AA94" i="17"/>
  <c r="AI94" i="17"/>
  <c r="BY94" i="17" s="1"/>
  <c r="AQ94" i="17"/>
  <c r="AY94" i="17"/>
  <c r="AJ94" i="17"/>
  <c r="BZ94" i="17" s="1"/>
  <c r="AR94" i="17"/>
  <c r="AC94" i="17"/>
  <c r="AK94" i="17"/>
  <c r="AS94" i="17"/>
  <c r="CI94" i="17" s="1"/>
  <c r="AD94" i="17"/>
  <c r="BT94" i="17" s="1"/>
  <c r="AL94" i="17"/>
  <c r="CB94" i="17" s="1"/>
  <c r="AT94" i="17"/>
  <c r="AE94" i="17"/>
  <c r="BU94" i="17" s="1"/>
  <c r="AM94" i="17"/>
  <c r="AU94" i="17"/>
  <c r="CK94" i="17" s="1"/>
  <c r="AV94" i="17"/>
  <c r="CL94" i="17" s="1"/>
  <c r="AW94" i="17"/>
  <c r="CM94" i="17" s="1"/>
  <c r="AF94" i="17"/>
  <c r="BV94" i="17" s="1"/>
  <c r="AX94" i="17"/>
  <c r="CN94" i="17" s="1"/>
  <c r="AG94" i="17"/>
  <c r="AH94" i="17"/>
  <c r="BX94" i="17" s="1"/>
  <c r="AN94" i="17"/>
  <c r="CD94" i="17" s="1"/>
  <c r="AO94" i="17"/>
  <c r="CE94" i="17" s="1"/>
  <c r="AP94" i="17"/>
  <c r="CF94" i="17" s="1"/>
  <c r="BQ94" i="17"/>
  <c r="CA94" i="17"/>
  <c r="BW94" i="17"/>
  <c r="CJ94" i="17"/>
  <c r="CC94" i="17"/>
  <c r="BS94" i="17"/>
  <c r="CO94" i="17"/>
  <c r="CH94" i="17"/>
  <c r="CG94" i="17"/>
  <c r="AG119" i="17"/>
  <c r="BW119" i="17" s="1"/>
  <c r="AO119" i="17"/>
  <c r="CE119" i="17" s="1"/>
  <c r="AW119" i="17"/>
  <c r="CM119" i="17" s="1"/>
  <c r="AH119" i="17"/>
  <c r="BX119" i="17" s="1"/>
  <c r="AP119" i="17"/>
  <c r="CF119" i="17" s="1"/>
  <c r="AX119" i="17"/>
  <c r="CN119" i="17" s="1"/>
  <c r="AA119" i="17"/>
  <c r="AI119" i="17"/>
  <c r="BY119" i="17" s="1"/>
  <c r="AQ119" i="17"/>
  <c r="CG119" i="17" s="1"/>
  <c r="AY119" i="17"/>
  <c r="CO119" i="17" s="1"/>
  <c r="AB119" i="17"/>
  <c r="BR119" i="17" s="1"/>
  <c r="AJ119" i="17"/>
  <c r="BZ119" i="17" s="1"/>
  <c r="AR119" i="17"/>
  <c r="CH119" i="17" s="1"/>
  <c r="AC119" i="17"/>
  <c r="BS119" i="17" s="1"/>
  <c r="AK119" i="17"/>
  <c r="CA119" i="17" s="1"/>
  <c r="AS119" i="17"/>
  <c r="CI119" i="17" s="1"/>
  <c r="AD119" i="17"/>
  <c r="BT119" i="17" s="1"/>
  <c r="AL119" i="17"/>
  <c r="CB119" i="17" s="1"/>
  <c r="AT119" i="17"/>
  <c r="CJ119" i="17" s="1"/>
  <c r="AE119" i="17"/>
  <c r="BU119" i="17" s="1"/>
  <c r="AM119" i="17"/>
  <c r="CC119" i="17" s="1"/>
  <c r="AU119" i="17"/>
  <c r="CK119" i="17" s="1"/>
  <c r="AF119" i="17"/>
  <c r="BV119" i="17" s="1"/>
  <c r="AN119" i="17"/>
  <c r="CD119" i="17" s="1"/>
  <c r="AV119" i="17"/>
  <c r="CL119" i="17" s="1"/>
  <c r="CF138" i="17"/>
  <c r="BW138" i="17"/>
  <c r="CO138" i="17"/>
  <c r="AW138" i="17"/>
  <c r="AC138" i="17"/>
  <c r="AX138" i="17"/>
  <c r="CB138" i="17"/>
  <c r="BS138" i="17"/>
  <c r="CK138" i="17"/>
  <c r="AE138" i="17"/>
  <c r="AK138" i="17"/>
  <c r="AB138" i="17"/>
  <c r="BX138" i="17"/>
  <c r="CL138" i="17"/>
  <c r="CG138" i="17"/>
  <c r="AV138" i="17"/>
  <c r="AS138" i="17"/>
  <c r="AF138" i="17"/>
  <c r="BT138" i="17"/>
  <c r="CH138" i="17"/>
  <c r="CC138" i="17"/>
  <c r="AO138" i="17"/>
  <c r="AD138" i="17"/>
  <c r="AJ138" i="17"/>
  <c r="CM138" i="17"/>
  <c r="CD138" i="17"/>
  <c r="BY138" i="17"/>
  <c r="AA138" i="17"/>
  <c r="AH138" i="17"/>
  <c r="AN138" i="17"/>
  <c r="AU138" i="17"/>
  <c r="CI138" i="17"/>
  <c r="BZ138" i="17"/>
  <c r="BU138" i="17"/>
  <c r="AI138" i="17"/>
  <c r="AL138" i="17"/>
  <c r="AR138" i="17"/>
  <c r="AV135" i="17"/>
  <c r="CL135" i="17" s="1"/>
  <c r="AE107" i="17"/>
  <c r="BU107" i="17" s="1"/>
  <c r="AM107" i="17"/>
  <c r="CC107" i="17" s="1"/>
  <c r="AU107" i="17"/>
  <c r="CK107" i="17" s="1"/>
  <c r="AG107" i="17"/>
  <c r="BW107" i="17" s="1"/>
  <c r="AO107" i="17"/>
  <c r="CE107" i="17" s="1"/>
  <c r="AW107" i="17"/>
  <c r="CM107" i="17" s="1"/>
  <c r="AA107" i="17"/>
  <c r="AI107" i="17"/>
  <c r="BY107" i="17" s="1"/>
  <c r="AQ107" i="17"/>
  <c r="CG107" i="17" s="1"/>
  <c r="AY107" i="17"/>
  <c r="CO107" i="17" s="1"/>
  <c r="AL107" i="17"/>
  <c r="CB107" i="17" s="1"/>
  <c r="AB107" i="17"/>
  <c r="BR107" i="17" s="1"/>
  <c r="AN107" i="17"/>
  <c r="CD107" i="17" s="1"/>
  <c r="AC107" i="17"/>
  <c r="BS107" i="17" s="1"/>
  <c r="AP107" i="17"/>
  <c r="CF107" i="17" s="1"/>
  <c r="AD107" i="17"/>
  <c r="BT107" i="17" s="1"/>
  <c r="AR107" i="17"/>
  <c r="CH107" i="17" s="1"/>
  <c r="AF107" i="17"/>
  <c r="BV107" i="17" s="1"/>
  <c r="AS107" i="17"/>
  <c r="CI107" i="17" s="1"/>
  <c r="AH107" i="17"/>
  <c r="BX107" i="17" s="1"/>
  <c r="AT107" i="17"/>
  <c r="CJ107" i="17" s="1"/>
  <c r="AJ107" i="17"/>
  <c r="BZ107" i="17" s="1"/>
  <c r="AV107" i="17"/>
  <c r="CL107" i="17" s="1"/>
  <c r="AK107" i="17"/>
  <c r="CA107" i="17" s="1"/>
  <c r="AX107" i="17"/>
  <c r="CN107" i="17" s="1"/>
  <c r="AP138" i="17"/>
  <c r="BV138" i="17"/>
  <c r="AS135" i="17"/>
  <c r="CI135" i="17" s="1"/>
  <c r="AY138" i="17"/>
  <c r="CA138" i="17"/>
  <c r="AH135" i="17"/>
  <c r="BX135" i="17" s="1"/>
  <c r="BF136" i="17"/>
  <c r="CV136" i="17" s="1"/>
  <c r="AV136" i="17"/>
  <c r="AK136" i="17"/>
  <c r="U136" i="17"/>
  <c r="AG136" i="17" s="1"/>
  <c r="AS133" i="17"/>
  <c r="CI133" i="17" s="1"/>
  <c r="AC133" i="17"/>
  <c r="BS133" i="17" s="1"/>
  <c r="AM132" i="17"/>
  <c r="BC132" i="17"/>
  <c r="CS132" i="17" s="1"/>
  <c r="BK132" i="17"/>
  <c r="DA132" i="17" s="1"/>
  <c r="AV132" i="17"/>
  <c r="BD132" i="17"/>
  <c r="CT132" i="17" s="1"/>
  <c r="BL132" i="17"/>
  <c r="DB132" i="17" s="1"/>
  <c r="U132" i="17"/>
  <c r="AI132" i="17" s="1"/>
  <c r="AP132" i="17"/>
  <c r="BF132" i="17"/>
  <c r="CV132" i="17" s="1"/>
  <c r="BN132" i="17"/>
  <c r="DD132" i="17" s="1"/>
  <c r="AA132" i="17"/>
  <c r="AY132" i="17"/>
  <c r="BG132" i="17"/>
  <c r="CW132" i="17" s="1"/>
  <c r="AJ132" i="17"/>
  <c r="AR132" i="17"/>
  <c r="AZ132" i="17"/>
  <c r="CP132" i="17" s="1"/>
  <c r="BH132" i="17"/>
  <c r="CX132" i="17" s="1"/>
  <c r="BM128" i="17"/>
  <c r="DC128" i="17" s="1"/>
  <c r="AM126" i="17"/>
  <c r="CC126" i="17" s="1"/>
  <c r="T117" i="17"/>
  <c r="U117" i="17" s="1"/>
  <c r="S117" i="17"/>
  <c r="BG128" i="17"/>
  <c r="CW128" i="17" s="1"/>
  <c r="AZ128" i="17"/>
  <c r="CP128" i="17" s="1"/>
  <c r="BH128" i="17"/>
  <c r="CX128" i="17" s="1"/>
  <c r="O128" i="17"/>
  <c r="BB128" i="17"/>
  <c r="CR128" i="17" s="1"/>
  <c r="BJ128" i="17"/>
  <c r="CZ128" i="17" s="1"/>
  <c r="BC128" i="17"/>
  <c r="CS128" i="17" s="1"/>
  <c r="BK128" i="17"/>
  <c r="DA128" i="17" s="1"/>
  <c r="BD128" i="17"/>
  <c r="CT128" i="17" s="1"/>
  <c r="BL128" i="17"/>
  <c r="DB128" i="17" s="1"/>
  <c r="AF126" i="17"/>
  <c r="BV126" i="17" s="1"/>
  <c r="U120" i="17"/>
  <c r="BB116" i="17"/>
  <c r="CR116" i="17" s="1"/>
  <c r="BJ116" i="17"/>
  <c r="CZ116" i="17" s="1"/>
  <c r="BC116" i="17"/>
  <c r="CS116" i="17" s="1"/>
  <c r="BK116" i="17"/>
  <c r="DA116" i="17" s="1"/>
  <c r="BD116" i="17"/>
  <c r="CT116" i="17" s="1"/>
  <c r="BL116" i="17"/>
  <c r="DB116" i="17" s="1"/>
  <c r="BE116" i="17"/>
  <c r="CU116" i="17" s="1"/>
  <c r="BM116" i="17"/>
  <c r="DC116" i="17" s="1"/>
  <c r="BF116" i="17"/>
  <c r="CV116" i="17" s="1"/>
  <c r="BN116" i="17"/>
  <c r="DD116" i="17" s="1"/>
  <c r="BG116" i="17"/>
  <c r="CW116" i="17" s="1"/>
  <c r="AZ116" i="17"/>
  <c r="CP116" i="17" s="1"/>
  <c r="BH116" i="17"/>
  <c r="CX116" i="17" s="1"/>
  <c r="BN136" i="17"/>
  <c r="DD136" i="17" s="1"/>
  <c r="BD136" i="17"/>
  <c r="CT136" i="17" s="1"/>
  <c r="AS136" i="17"/>
  <c r="AH136" i="17"/>
  <c r="S134" i="17"/>
  <c r="AM133" i="17"/>
  <c r="CC133" i="17" s="1"/>
  <c r="BB132" i="17"/>
  <c r="CR132" i="17" s="1"/>
  <c r="AG132" i="17"/>
  <c r="BF128" i="17"/>
  <c r="CV128" i="17" s="1"/>
  <c r="BM136" i="17"/>
  <c r="DC136" i="17" s="1"/>
  <c r="BB136" i="17"/>
  <c r="CR136" i="17" s="1"/>
  <c r="AQ136" i="17"/>
  <c r="U134" i="17"/>
  <c r="AG134" i="17" s="1"/>
  <c r="AL133" i="17"/>
  <c r="CB133" i="17" s="1"/>
  <c r="BA132" i="17"/>
  <c r="CQ132" i="17" s="1"/>
  <c r="AD132" i="17"/>
  <c r="AT131" i="17"/>
  <c r="BB131" i="17"/>
  <c r="CR131" i="17" s="1"/>
  <c r="BJ131" i="17"/>
  <c r="CZ131" i="17" s="1"/>
  <c r="BC131" i="17"/>
  <c r="CS131" i="17" s="1"/>
  <c r="BK131" i="17"/>
  <c r="DA131" i="17" s="1"/>
  <c r="AO131" i="17"/>
  <c r="BE131" i="17"/>
  <c r="CU131" i="17" s="1"/>
  <c r="BM131" i="17"/>
  <c r="DC131" i="17" s="1"/>
  <c r="U131" i="17"/>
  <c r="AL131" i="17" s="1"/>
  <c r="AH131" i="17"/>
  <c r="AX131" i="17"/>
  <c r="BF131" i="17"/>
  <c r="CV131" i="17" s="1"/>
  <c r="BN131" i="17"/>
  <c r="DD131" i="17" s="1"/>
  <c r="AQ131" i="17"/>
  <c r="AY131" i="17"/>
  <c r="BG131" i="17"/>
  <c r="CW131" i="17" s="1"/>
  <c r="BE128" i="17"/>
  <c r="CU128" i="17" s="1"/>
  <c r="O124" i="17"/>
  <c r="BB124" i="17"/>
  <c r="CR124" i="17" s="1"/>
  <c r="BJ124" i="17"/>
  <c r="CZ124" i="17" s="1"/>
  <c r="BC124" i="17"/>
  <c r="CS124" i="17" s="1"/>
  <c r="BK124" i="17"/>
  <c r="DA124" i="17" s="1"/>
  <c r="BD124" i="17"/>
  <c r="CT124" i="17" s="1"/>
  <c r="BL124" i="17"/>
  <c r="DB124" i="17" s="1"/>
  <c r="BE124" i="17"/>
  <c r="CU124" i="17" s="1"/>
  <c r="BM124" i="17"/>
  <c r="DC124" i="17" s="1"/>
  <c r="BF124" i="17"/>
  <c r="CV124" i="17" s="1"/>
  <c r="BN124" i="17"/>
  <c r="DD124" i="17" s="1"/>
  <c r="BG124" i="17"/>
  <c r="CW124" i="17" s="1"/>
  <c r="AZ124" i="17"/>
  <c r="CP124" i="17" s="1"/>
  <c r="BH124" i="17"/>
  <c r="CX124" i="17" s="1"/>
  <c r="BA116" i="17"/>
  <c r="CQ116" i="17" s="1"/>
  <c r="AB136" i="17"/>
  <c r="AJ136" i="17"/>
  <c r="AR136" i="17"/>
  <c r="AZ136" i="17"/>
  <c r="CP136" i="17" s="1"/>
  <c r="BH136" i="17"/>
  <c r="CX136" i="17" s="1"/>
  <c r="AE136" i="17"/>
  <c r="AM136" i="17"/>
  <c r="AU136" i="17"/>
  <c r="BC136" i="17"/>
  <c r="CS136" i="17" s="1"/>
  <c r="BK136" i="17"/>
  <c r="DA136" i="17" s="1"/>
  <c r="AK133" i="17"/>
  <c r="CA133" i="17" s="1"/>
  <c r="BA128" i="17"/>
  <c r="CQ128" i="17" s="1"/>
  <c r="AH126" i="17"/>
  <c r="BX126" i="17" s="1"/>
  <c r="AP126" i="17"/>
  <c r="CF126" i="17" s="1"/>
  <c r="AX126" i="17"/>
  <c r="CN126" i="17" s="1"/>
  <c r="AA126" i="17"/>
  <c r="AI126" i="17"/>
  <c r="BY126" i="17" s="1"/>
  <c r="AQ126" i="17"/>
  <c r="CG126" i="17" s="1"/>
  <c r="AY126" i="17"/>
  <c r="CO126" i="17" s="1"/>
  <c r="AC126" i="17"/>
  <c r="BS126" i="17" s="1"/>
  <c r="AK126" i="17"/>
  <c r="CA126" i="17" s="1"/>
  <c r="AS126" i="17"/>
  <c r="CI126" i="17" s="1"/>
  <c r="AD126" i="17"/>
  <c r="BT126" i="17" s="1"/>
  <c r="AL126" i="17"/>
  <c r="CB126" i="17" s="1"/>
  <c r="AT126" i="17"/>
  <c r="CJ126" i="17" s="1"/>
  <c r="BD109" i="17"/>
  <c r="CT109" i="17" s="1"/>
  <c r="BL109" i="17"/>
  <c r="DB109" i="17" s="1"/>
  <c r="U109" i="17"/>
  <c r="AE109" i="17" s="1"/>
  <c r="AR109" i="17"/>
  <c r="AZ109" i="17"/>
  <c r="CP109" i="17" s="1"/>
  <c r="BH109" i="17"/>
  <c r="CX109" i="17" s="1"/>
  <c r="BB109" i="17"/>
  <c r="CR109" i="17" s="1"/>
  <c r="BM109" i="17"/>
  <c r="DC109" i="17" s="1"/>
  <c r="AS109" i="17"/>
  <c r="BC109" i="17"/>
  <c r="CS109" i="17" s="1"/>
  <c r="BN109" i="17"/>
  <c r="DD109" i="17" s="1"/>
  <c r="BE109" i="17"/>
  <c r="CU109" i="17" s="1"/>
  <c r="AK109" i="17"/>
  <c r="BF109" i="17"/>
  <c r="CV109" i="17" s="1"/>
  <c r="AA109" i="17"/>
  <c r="AW109" i="17"/>
  <c r="BG109" i="17"/>
  <c r="CW109" i="17" s="1"/>
  <c r="BI109" i="17"/>
  <c r="CY109" i="17" s="1"/>
  <c r="AD109" i="17"/>
  <c r="AY109" i="17"/>
  <c r="BJ109" i="17"/>
  <c r="CZ109" i="17" s="1"/>
  <c r="BJ136" i="17"/>
  <c r="CZ136" i="17" s="1"/>
  <c r="AY136" i="17"/>
  <c r="AO136" i="17"/>
  <c r="AD136" i="17"/>
  <c r="AX133" i="17"/>
  <c r="CN133" i="17" s="1"/>
  <c r="AF133" i="17"/>
  <c r="BV133" i="17" s="1"/>
  <c r="AT132" i="17"/>
  <c r="BA131" i="17"/>
  <c r="CQ131" i="17" s="1"/>
  <c r="AF131" i="17"/>
  <c r="U130" i="17"/>
  <c r="T129" i="17"/>
  <c r="S129" i="17"/>
  <c r="AV126" i="17"/>
  <c r="CL126" i="17" s="1"/>
  <c r="BA123" i="17"/>
  <c r="CQ123" i="17" s="1"/>
  <c r="BI123" i="17"/>
  <c r="CY123" i="17" s="1"/>
  <c r="BB123" i="17"/>
  <c r="CR123" i="17" s="1"/>
  <c r="BJ123" i="17"/>
  <c r="CZ123" i="17" s="1"/>
  <c r="AM123" i="17"/>
  <c r="BC123" i="17"/>
  <c r="CS123" i="17" s="1"/>
  <c r="BK123" i="17"/>
  <c r="DA123" i="17" s="1"/>
  <c r="BD123" i="17"/>
  <c r="CT123" i="17" s="1"/>
  <c r="BL123" i="17"/>
  <c r="DB123" i="17" s="1"/>
  <c r="AG123" i="17"/>
  <c r="BE123" i="17"/>
  <c r="CU123" i="17" s="1"/>
  <c r="BM123" i="17"/>
  <c r="DC123" i="17" s="1"/>
  <c r="U123" i="17"/>
  <c r="AS123" i="17" s="1"/>
  <c r="AP123" i="17"/>
  <c r="AX123" i="17"/>
  <c r="BF123" i="17"/>
  <c r="CV123" i="17" s="1"/>
  <c r="BN123" i="17"/>
  <c r="DD123" i="17" s="1"/>
  <c r="AQ123" i="17"/>
  <c r="BG123" i="17"/>
  <c r="CW123" i="17" s="1"/>
  <c r="U118" i="17"/>
  <c r="BK109" i="17"/>
  <c r="DA109" i="17" s="1"/>
  <c r="AC100" i="17"/>
  <c r="BS100" i="17" s="1"/>
  <c r="AF100" i="17"/>
  <c r="BV100" i="17" s="1"/>
  <c r="AG100" i="17"/>
  <c r="BW100" i="17" s="1"/>
  <c r="AH100" i="17"/>
  <c r="BX100" i="17" s="1"/>
  <c r="AI100" i="17"/>
  <c r="BY100" i="17" s="1"/>
  <c r="BI125" i="17"/>
  <c r="CY125" i="17" s="1"/>
  <c r="BA125" i="17"/>
  <c r="CQ125" i="17" s="1"/>
  <c r="BL121" i="17"/>
  <c r="DB121" i="17" s="1"/>
  <c r="BD121" i="17"/>
  <c r="CT121" i="17" s="1"/>
  <c r="BH117" i="17"/>
  <c r="CX117" i="17" s="1"/>
  <c r="AZ117" i="17"/>
  <c r="CP117" i="17" s="1"/>
  <c r="BN115" i="17"/>
  <c r="DD115" i="17" s="1"/>
  <c r="BF115" i="17"/>
  <c r="CV115" i="17" s="1"/>
  <c r="S114" i="17"/>
  <c r="AB95" i="17"/>
  <c r="AJ95" i="17"/>
  <c r="BZ95" i="17" s="1"/>
  <c r="AR95" i="17"/>
  <c r="CH95" i="17" s="1"/>
  <c r="AC95" i="17"/>
  <c r="BS95" i="17" s="1"/>
  <c r="AK95" i="17"/>
  <c r="CA95" i="17" s="1"/>
  <c r="AS95" i="17"/>
  <c r="CI95" i="17" s="1"/>
  <c r="AD95" i="17"/>
  <c r="BT95" i="17" s="1"/>
  <c r="AE95" i="17"/>
  <c r="BU95" i="17" s="1"/>
  <c r="AM95" i="17"/>
  <c r="CC95" i="17" s="1"/>
  <c r="AU95" i="17"/>
  <c r="CK95" i="17" s="1"/>
  <c r="AF95" i="17"/>
  <c r="BV95" i="17" s="1"/>
  <c r="AN95" i="17"/>
  <c r="CD95" i="17" s="1"/>
  <c r="AV95" i="17"/>
  <c r="CL95" i="17" s="1"/>
  <c r="AG95" i="17"/>
  <c r="BW95" i="17" s="1"/>
  <c r="AW95" i="17"/>
  <c r="CM95" i="17" s="1"/>
  <c r="AH95" i="17"/>
  <c r="BX95" i="17" s="1"/>
  <c r="AX95" i="17"/>
  <c r="CN95" i="17" s="1"/>
  <c r="AI95" i="17"/>
  <c r="BY95" i="17" s="1"/>
  <c r="AY95" i="17"/>
  <c r="CO95" i="17" s="1"/>
  <c r="AL95" i="17"/>
  <c r="CB95" i="17" s="1"/>
  <c r="AO95" i="17"/>
  <c r="CE95" i="17" s="1"/>
  <c r="AP95" i="17"/>
  <c r="CF95" i="17" s="1"/>
  <c r="BH133" i="17"/>
  <c r="CX133" i="17" s="1"/>
  <c r="AZ133" i="17"/>
  <c r="CP133" i="17" s="1"/>
  <c r="AR133" i="17"/>
  <c r="CH133" i="17" s="1"/>
  <c r="AJ133" i="17"/>
  <c r="BZ133" i="17" s="1"/>
  <c r="AB133" i="17"/>
  <c r="BR133" i="17" s="1"/>
  <c r="BL129" i="17"/>
  <c r="DB129" i="17" s="1"/>
  <c r="BD129" i="17"/>
  <c r="CT129" i="17" s="1"/>
  <c r="BH125" i="17"/>
  <c r="CX125" i="17" s="1"/>
  <c r="AZ125" i="17"/>
  <c r="CP125" i="17" s="1"/>
  <c r="AO122" i="17"/>
  <c r="CE122" i="17" s="1"/>
  <c r="AG122" i="17"/>
  <c r="BW122" i="17" s="1"/>
  <c r="BK121" i="17"/>
  <c r="DA121" i="17" s="1"/>
  <c r="BC121" i="17"/>
  <c r="CS121" i="17" s="1"/>
  <c r="BH118" i="17"/>
  <c r="CX118" i="17" s="1"/>
  <c r="AZ118" i="17"/>
  <c r="CP118" i="17" s="1"/>
  <c r="BG117" i="17"/>
  <c r="CW117" i="17" s="1"/>
  <c r="BM115" i="17"/>
  <c r="DC115" i="17" s="1"/>
  <c r="BE115" i="17"/>
  <c r="CU115" i="17" s="1"/>
  <c r="S110" i="17"/>
  <c r="U110" i="17" s="1"/>
  <c r="U100" i="17"/>
  <c r="T86" i="17"/>
  <c r="S86" i="17"/>
  <c r="BH134" i="17"/>
  <c r="CX134" i="17" s="1"/>
  <c r="AZ134" i="17"/>
  <c r="CP134" i="17" s="1"/>
  <c r="AR134" i="17"/>
  <c r="AJ134" i="17"/>
  <c r="AB134" i="17"/>
  <c r="BG133" i="17"/>
  <c r="CW133" i="17" s="1"/>
  <c r="AY133" i="17"/>
  <c r="CO133" i="17" s="1"/>
  <c r="AQ133" i="17"/>
  <c r="CG133" i="17" s="1"/>
  <c r="AI133" i="17"/>
  <c r="BY133" i="17" s="1"/>
  <c r="AA133" i="17"/>
  <c r="BK129" i="17"/>
  <c r="DA129" i="17" s="1"/>
  <c r="BC129" i="17"/>
  <c r="CS129" i="17" s="1"/>
  <c r="BH126" i="17"/>
  <c r="CX126" i="17" s="1"/>
  <c r="AZ126" i="17"/>
  <c r="CP126" i="17" s="1"/>
  <c r="AR126" i="17"/>
  <c r="CH126" i="17" s="1"/>
  <c r="AJ126" i="17"/>
  <c r="BZ126" i="17" s="1"/>
  <c r="AB126" i="17"/>
  <c r="BR126" i="17" s="1"/>
  <c r="BG125" i="17"/>
  <c r="CW125" i="17" s="1"/>
  <c r="BL122" i="17"/>
  <c r="DB122" i="17" s="1"/>
  <c r="BD122" i="17"/>
  <c r="CT122" i="17" s="1"/>
  <c r="AV122" i="17"/>
  <c r="CL122" i="17" s="1"/>
  <c r="AN122" i="17"/>
  <c r="CD122" i="17" s="1"/>
  <c r="AF122" i="17"/>
  <c r="BV122" i="17" s="1"/>
  <c r="BJ121" i="17"/>
  <c r="CZ121" i="17" s="1"/>
  <c r="BB121" i="17"/>
  <c r="CR121" i="17" s="1"/>
  <c r="O121" i="17"/>
  <c r="BG118" i="17"/>
  <c r="CW118" i="17" s="1"/>
  <c r="BN117" i="17"/>
  <c r="DD117" i="17" s="1"/>
  <c r="BF117" i="17"/>
  <c r="CV117" i="17" s="1"/>
  <c r="BL115" i="17"/>
  <c r="DB115" i="17" s="1"/>
  <c r="BD115" i="17"/>
  <c r="CT115" i="17" s="1"/>
  <c r="BB111" i="17"/>
  <c r="CR111" i="17" s="1"/>
  <c r="BJ111" i="17"/>
  <c r="CZ111" i="17" s="1"/>
  <c r="BG101" i="17"/>
  <c r="CW101" i="17" s="1"/>
  <c r="BA101" i="17"/>
  <c r="CQ101" i="17" s="1"/>
  <c r="BI101" i="17"/>
  <c r="CY101" i="17" s="1"/>
  <c r="AZ101" i="17"/>
  <c r="CP101" i="17" s="1"/>
  <c r="BK101" i="17"/>
  <c r="DA101" i="17" s="1"/>
  <c r="BB101" i="17"/>
  <c r="CR101" i="17" s="1"/>
  <c r="BL101" i="17"/>
  <c r="DB101" i="17" s="1"/>
  <c r="BC101" i="17"/>
  <c r="CS101" i="17" s="1"/>
  <c r="BM101" i="17"/>
  <c r="DC101" i="17" s="1"/>
  <c r="BD101" i="17"/>
  <c r="CT101" i="17" s="1"/>
  <c r="BN101" i="17"/>
  <c r="DD101" i="17" s="1"/>
  <c r="BE101" i="17"/>
  <c r="CU101" i="17" s="1"/>
  <c r="U101" i="17"/>
  <c r="AK101" i="17" s="1"/>
  <c r="BF101" i="17"/>
  <c r="CV101" i="17" s="1"/>
  <c r="BN125" i="17"/>
  <c r="DD125" i="17" s="1"/>
  <c r="BF125" i="17"/>
  <c r="CV125" i="17" s="1"/>
  <c r="U125" i="17"/>
  <c r="AF125" i="17" s="1"/>
  <c r="BM117" i="17"/>
  <c r="DC117" i="17" s="1"/>
  <c r="BE117" i="17"/>
  <c r="CU117" i="17" s="1"/>
  <c r="AA105" i="17"/>
  <c r="BM133" i="17"/>
  <c r="DC133" i="17" s="1"/>
  <c r="BE133" i="17"/>
  <c r="CU133" i="17" s="1"/>
  <c r="AW133" i="17"/>
  <c r="CM133" i="17" s="1"/>
  <c r="AO133" i="17"/>
  <c r="CE133" i="17" s="1"/>
  <c r="AG133" i="17"/>
  <c r="BW133" i="17" s="1"/>
  <c r="BM125" i="17"/>
  <c r="DC125" i="17" s="1"/>
  <c r="BE125" i="17"/>
  <c r="CU125" i="17" s="1"/>
  <c r="BH121" i="17"/>
  <c r="CX121" i="17" s="1"/>
  <c r="AZ121" i="17"/>
  <c r="CP121" i="17" s="1"/>
  <c r="BM118" i="17"/>
  <c r="DC118" i="17" s="1"/>
  <c r="BE118" i="17"/>
  <c r="CU118" i="17" s="1"/>
  <c r="BL117" i="17"/>
  <c r="DB117" i="17" s="1"/>
  <c r="BD117" i="17"/>
  <c r="CT117" i="17" s="1"/>
  <c r="BJ115" i="17"/>
  <c r="CZ115" i="17" s="1"/>
  <c r="BB115" i="17"/>
  <c r="CR115" i="17" s="1"/>
  <c r="U114" i="17"/>
  <c r="AH114" i="17"/>
  <c r="BF114" i="17"/>
  <c r="CV114" i="17" s="1"/>
  <c r="BN114" i="17"/>
  <c r="DD114" i="17" s="1"/>
  <c r="S113" i="17"/>
  <c r="U113" i="17" s="1"/>
  <c r="AG113" i="17" s="1"/>
  <c r="AA111" i="17"/>
  <c r="AD103" i="17"/>
  <c r="BT103" i="17" s="1"/>
  <c r="AL103" i="17"/>
  <c r="CB103" i="17" s="1"/>
  <c r="AT103" i="17"/>
  <c r="CJ103" i="17" s="1"/>
  <c r="AF103" i="17"/>
  <c r="BV103" i="17" s="1"/>
  <c r="AN103" i="17"/>
  <c r="CD103" i="17" s="1"/>
  <c r="AV103" i="17"/>
  <c r="CL103" i="17" s="1"/>
  <c r="AC103" i="17"/>
  <c r="AO103" i="17"/>
  <c r="CE103" i="17" s="1"/>
  <c r="AY103" i="17"/>
  <c r="CO103" i="17" s="1"/>
  <c r="AE103" i="17"/>
  <c r="BU103" i="17" s="1"/>
  <c r="AP103" i="17"/>
  <c r="CF103" i="17" s="1"/>
  <c r="AG103" i="17"/>
  <c r="BW103" i="17" s="1"/>
  <c r="AQ103" i="17"/>
  <c r="CG103" i="17" s="1"/>
  <c r="AH103" i="17"/>
  <c r="BX103" i="17" s="1"/>
  <c r="AR103" i="17"/>
  <c r="CH103" i="17" s="1"/>
  <c r="AI103" i="17"/>
  <c r="BY103" i="17" s="1"/>
  <c r="AS103" i="17"/>
  <c r="CI103" i="17" s="1"/>
  <c r="AJ103" i="17"/>
  <c r="BZ103" i="17" s="1"/>
  <c r="AU103" i="17"/>
  <c r="CK103" i="17" s="1"/>
  <c r="AD101" i="17"/>
  <c r="BM134" i="17"/>
  <c r="DC134" i="17" s="1"/>
  <c r="BE134" i="17"/>
  <c r="CU134" i="17" s="1"/>
  <c r="AW134" i="17"/>
  <c r="AO134" i="17"/>
  <c r="BL133" i="17"/>
  <c r="DB133" i="17" s="1"/>
  <c r="BD133" i="17"/>
  <c r="CT133" i="17" s="1"/>
  <c r="AV133" i="17"/>
  <c r="CL133" i="17" s="1"/>
  <c r="AN133" i="17"/>
  <c r="CD133" i="17" s="1"/>
  <c r="BH129" i="17"/>
  <c r="CX129" i="17" s="1"/>
  <c r="AZ129" i="17"/>
  <c r="CP129" i="17" s="1"/>
  <c r="BN127" i="17"/>
  <c r="DD127" i="17" s="1"/>
  <c r="BF127" i="17"/>
  <c r="CV127" i="17" s="1"/>
  <c r="BM126" i="17"/>
  <c r="DC126" i="17" s="1"/>
  <c r="BE126" i="17"/>
  <c r="CU126" i="17" s="1"/>
  <c r="AW126" i="17"/>
  <c r="CM126" i="17" s="1"/>
  <c r="AO126" i="17"/>
  <c r="CE126" i="17" s="1"/>
  <c r="BL125" i="17"/>
  <c r="DB125" i="17" s="1"/>
  <c r="BD125" i="17"/>
  <c r="CT125" i="17" s="1"/>
  <c r="AV125" i="17"/>
  <c r="AN125" i="17"/>
  <c r="BI122" i="17"/>
  <c r="CY122" i="17" s="1"/>
  <c r="BA122" i="17"/>
  <c r="CQ122" i="17" s="1"/>
  <c r="AS122" i="17"/>
  <c r="CI122" i="17" s="1"/>
  <c r="AK122" i="17"/>
  <c r="CA122" i="17" s="1"/>
  <c r="BG121" i="17"/>
  <c r="CW121" i="17" s="1"/>
  <c r="BL118" i="17"/>
  <c r="DB118" i="17" s="1"/>
  <c r="BD118" i="17"/>
  <c r="CT118" i="17" s="1"/>
  <c r="BK117" i="17"/>
  <c r="DA117" i="17" s="1"/>
  <c r="BC117" i="17"/>
  <c r="CS117" i="17" s="1"/>
  <c r="BI115" i="17"/>
  <c r="CY115" i="17" s="1"/>
  <c r="BA115" i="17"/>
  <c r="CQ115" i="17" s="1"/>
  <c r="BE113" i="17"/>
  <c r="CU113" i="17" s="1"/>
  <c r="BM113" i="17"/>
  <c r="DC113" i="17" s="1"/>
  <c r="U111" i="17"/>
  <c r="AD111" i="17" s="1"/>
  <c r="AB101" i="17"/>
  <c r="BD97" i="17"/>
  <c r="CT97" i="17" s="1"/>
  <c r="BL97" i="17"/>
  <c r="DB97" i="17" s="1"/>
  <c r="U97" i="17"/>
  <c r="AB97" i="17" s="1"/>
  <c r="AH97" i="17"/>
  <c r="BF97" i="17"/>
  <c r="CV97" i="17" s="1"/>
  <c r="BN97" i="17"/>
  <c r="DD97" i="17" s="1"/>
  <c r="AQ97" i="17"/>
  <c r="AY97" i="17"/>
  <c r="BG97" i="17"/>
  <c r="CW97" i="17" s="1"/>
  <c r="BJ97" i="17"/>
  <c r="CZ97" i="17" s="1"/>
  <c r="AZ97" i="17"/>
  <c r="CP97" i="17" s="1"/>
  <c r="BK97" i="17"/>
  <c r="DA97" i="17" s="1"/>
  <c r="BA97" i="17"/>
  <c r="CQ97" i="17" s="1"/>
  <c r="BM97" i="17"/>
  <c r="DC97" i="17" s="1"/>
  <c r="BB97" i="17"/>
  <c r="CR97" i="17" s="1"/>
  <c r="AD97" i="17"/>
  <c r="AR97" i="17"/>
  <c r="BC97" i="17"/>
  <c r="CS97" i="17" s="1"/>
  <c r="BE97" i="17"/>
  <c r="CU97" i="17" s="1"/>
  <c r="AT95" i="17"/>
  <c r="CJ95" i="17" s="1"/>
  <c r="BL106" i="17"/>
  <c r="DB106" i="17" s="1"/>
  <c r="BD106" i="17"/>
  <c r="CT106" i="17" s="1"/>
  <c r="BK105" i="17"/>
  <c r="DA105" i="17" s="1"/>
  <c r="BC105" i="17"/>
  <c r="CS105" i="17" s="1"/>
  <c r="AS104" i="17"/>
  <c r="CI104" i="17" s="1"/>
  <c r="AK104" i="17"/>
  <c r="CA104" i="17" s="1"/>
  <c r="AA104" i="17"/>
  <c r="BL102" i="17"/>
  <c r="DB102" i="17" s="1"/>
  <c r="BA102" i="17"/>
  <c r="CQ102" i="17" s="1"/>
  <c r="S99" i="17"/>
  <c r="AH99" i="17" s="1"/>
  <c r="BJ98" i="17"/>
  <c r="CZ98" i="17" s="1"/>
  <c r="AB94" i="17"/>
  <c r="BR94" i="17" s="1"/>
  <c r="AA90" i="17"/>
  <c r="AI90" i="17"/>
  <c r="BY90" i="17" s="1"/>
  <c r="AQ90" i="17"/>
  <c r="CG90" i="17" s="1"/>
  <c r="AY90" i="17"/>
  <c r="CO90" i="17" s="1"/>
  <c r="AB90" i="17"/>
  <c r="BR90" i="17" s="1"/>
  <c r="AJ90" i="17"/>
  <c r="BZ90" i="17" s="1"/>
  <c r="AR90" i="17"/>
  <c r="CH90" i="17" s="1"/>
  <c r="AC90" i="17"/>
  <c r="BS90" i="17" s="1"/>
  <c r="AK90" i="17"/>
  <c r="CA90" i="17" s="1"/>
  <c r="AS90" i="17"/>
  <c r="CI90" i="17" s="1"/>
  <c r="AD90" i="17"/>
  <c r="BT90" i="17" s="1"/>
  <c r="AL90" i="17"/>
  <c r="CB90" i="17" s="1"/>
  <c r="AT90" i="17"/>
  <c r="CJ90" i="17" s="1"/>
  <c r="AE90" i="17"/>
  <c r="BU90" i="17" s="1"/>
  <c r="AM90" i="17"/>
  <c r="CC90" i="17" s="1"/>
  <c r="AU90" i="17"/>
  <c r="CK90" i="17" s="1"/>
  <c r="AF90" i="17"/>
  <c r="BV90" i="17" s="1"/>
  <c r="AN90" i="17"/>
  <c r="CD90" i="17" s="1"/>
  <c r="AV90" i="17"/>
  <c r="CL90" i="17" s="1"/>
  <c r="AG90" i="17"/>
  <c r="BW90" i="17" s="1"/>
  <c r="AO90" i="17"/>
  <c r="CE90" i="17" s="1"/>
  <c r="AW90" i="17"/>
  <c r="CM90" i="17" s="1"/>
  <c r="AR104" i="17"/>
  <c r="CH104" i="17" s="1"/>
  <c r="AJ104" i="17"/>
  <c r="BZ104" i="17" s="1"/>
  <c r="AZ102" i="17"/>
  <c r="CP102" i="17" s="1"/>
  <c r="BH102" i="17"/>
  <c r="CX102" i="17" s="1"/>
  <c r="BB102" i="17"/>
  <c r="CR102" i="17" s="1"/>
  <c r="BJ102" i="17"/>
  <c r="CZ102" i="17" s="1"/>
  <c r="AB100" i="17"/>
  <c r="AJ100" i="17"/>
  <c r="BZ100" i="17" s="1"/>
  <c r="AD100" i="17"/>
  <c r="BT100" i="17" s="1"/>
  <c r="AE100" i="17"/>
  <c r="BU100" i="17" s="1"/>
  <c r="BI98" i="17"/>
  <c r="CY98" i="17" s="1"/>
  <c r="S98" i="17"/>
  <c r="U98" i="17" s="1"/>
  <c r="AA98" i="17" s="1"/>
  <c r="AD81" i="17"/>
  <c r="BT81" i="17" s="1"/>
  <c r="AL81" i="17"/>
  <c r="CB81" i="17" s="1"/>
  <c r="AF81" i="17"/>
  <c r="BV81" i="17" s="1"/>
  <c r="AO81" i="17"/>
  <c r="CE81" i="17" s="1"/>
  <c r="AW81" i="17"/>
  <c r="CM81" i="17" s="1"/>
  <c r="AG81" i="17"/>
  <c r="BW81" i="17" s="1"/>
  <c r="AP81" i="17"/>
  <c r="CF81" i="17" s="1"/>
  <c r="AX81" i="17"/>
  <c r="CN81" i="17" s="1"/>
  <c r="AH81" i="17"/>
  <c r="BX81" i="17" s="1"/>
  <c r="AQ81" i="17"/>
  <c r="CG81" i="17" s="1"/>
  <c r="AY81" i="17"/>
  <c r="CO81" i="17" s="1"/>
  <c r="AI81" i="17"/>
  <c r="BY81" i="17" s="1"/>
  <c r="AR81" i="17"/>
  <c r="CH81" i="17" s="1"/>
  <c r="AA81" i="17"/>
  <c r="AJ81" i="17"/>
  <c r="BZ81" i="17" s="1"/>
  <c r="AS81" i="17"/>
  <c r="CI81" i="17" s="1"/>
  <c r="AB81" i="17"/>
  <c r="BR81" i="17" s="1"/>
  <c r="AK81" i="17"/>
  <c r="CA81" i="17" s="1"/>
  <c r="AT81" i="17"/>
  <c r="CJ81" i="17" s="1"/>
  <c r="AC81" i="17"/>
  <c r="BS81" i="17" s="1"/>
  <c r="AM81" i="17"/>
  <c r="CC81" i="17" s="1"/>
  <c r="AU81" i="17"/>
  <c r="CK81" i="17" s="1"/>
  <c r="K73" i="17"/>
  <c r="K96" i="17"/>
  <c r="S96" i="17" s="1"/>
  <c r="U96" i="17" s="1"/>
  <c r="K76" i="17"/>
  <c r="S76" i="17" s="1"/>
  <c r="U76" i="17" s="1"/>
  <c r="BJ106" i="17"/>
  <c r="CZ106" i="17" s="1"/>
  <c r="BB106" i="17"/>
  <c r="CR106" i="17" s="1"/>
  <c r="O106" i="17"/>
  <c r="BI105" i="17"/>
  <c r="CY105" i="17" s="1"/>
  <c r="BA105" i="17"/>
  <c r="CQ105" i="17" s="1"/>
  <c r="AG98" i="17"/>
  <c r="AO98" i="17"/>
  <c r="AW98" i="17"/>
  <c r="BE98" i="17"/>
  <c r="CU98" i="17" s="1"/>
  <c r="BM98" i="17"/>
  <c r="DC98" i="17" s="1"/>
  <c r="AQ98" i="17"/>
  <c r="AY98" i="17"/>
  <c r="BG98" i="17"/>
  <c r="CW98" i="17" s="1"/>
  <c r="AB98" i="17"/>
  <c r="AJ98" i="17"/>
  <c r="AR98" i="17"/>
  <c r="AZ98" i="17"/>
  <c r="CP98" i="17" s="1"/>
  <c r="BH98" i="17"/>
  <c r="CX98" i="17" s="1"/>
  <c r="U93" i="17"/>
  <c r="AI77" i="17"/>
  <c r="BY77" i="17" s="1"/>
  <c r="AR77" i="17"/>
  <c r="CH77" i="17" s="1"/>
  <c r="AB77" i="17"/>
  <c r="BR77" i="17" s="1"/>
  <c r="AK77" i="17"/>
  <c r="CA77" i="17" s="1"/>
  <c r="AT77" i="17"/>
  <c r="CJ77" i="17" s="1"/>
  <c r="AD77" i="17"/>
  <c r="BT77" i="17" s="1"/>
  <c r="AN77" i="17"/>
  <c r="CD77" i="17" s="1"/>
  <c r="AW77" i="17"/>
  <c r="CM77" i="17" s="1"/>
  <c r="AF77" i="17"/>
  <c r="BV77" i="17" s="1"/>
  <c r="AO77" i="17"/>
  <c r="CE77" i="17" s="1"/>
  <c r="AX77" i="17"/>
  <c r="CN77" i="17" s="1"/>
  <c r="AG77" i="17"/>
  <c r="BW77" i="17" s="1"/>
  <c r="AP77" i="17"/>
  <c r="CF77" i="17" s="1"/>
  <c r="AY77" i="17"/>
  <c r="CO77" i="17" s="1"/>
  <c r="AF104" i="17"/>
  <c r="BV104" i="17" s="1"/>
  <c r="AH104" i="17"/>
  <c r="BX104" i="17" s="1"/>
  <c r="AD85" i="17"/>
  <c r="BT85" i="17" s="1"/>
  <c r="AL85" i="17"/>
  <c r="CB85" i="17" s="1"/>
  <c r="AT85" i="17"/>
  <c r="CJ85" i="17" s="1"/>
  <c r="AE85" i="17"/>
  <c r="BU85" i="17" s="1"/>
  <c r="AM85" i="17"/>
  <c r="CC85" i="17" s="1"/>
  <c r="AU85" i="17"/>
  <c r="CK85" i="17" s="1"/>
  <c r="AF85" i="17"/>
  <c r="BV85" i="17" s="1"/>
  <c r="AN85" i="17"/>
  <c r="CD85" i="17" s="1"/>
  <c r="AV85" i="17"/>
  <c r="CL85" i="17" s="1"/>
  <c r="AG85" i="17"/>
  <c r="BW85" i="17" s="1"/>
  <c r="AO85" i="17"/>
  <c r="CE85" i="17" s="1"/>
  <c r="AW85" i="17"/>
  <c r="CM85" i="17" s="1"/>
  <c r="AH85" i="17"/>
  <c r="BX85" i="17" s="1"/>
  <c r="AP85" i="17"/>
  <c r="CF85" i="17" s="1"/>
  <c r="AX85" i="17"/>
  <c r="CN85" i="17" s="1"/>
  <c r="AA85" i="17"/>
  <c r="AI85" i="17"/>
  <c r="BY85" i="17" s="1"/>
  <c r="AQ85" i="17"/>
  <c r="CG85" i="17" s="1"/>
  <c r="AY85" i="17"/>
  <c r="CO85" i="17" s="1"/>
  <c r="AB85" i="17"/>
  <c r="BR85" i="17" s="1"/>
  <c r="AJ85" i="17"/>
  <c r="BZ85" i="17" s="1"/>
  <c r="AR85" i="17"/>
  <c r="CH85" i="17" s="1"/>
  <c r="BH106" i="17"/>
  <c r="CX106" i="17" s="1"/>
  <c r="AZ106" i="17"/>
  <c r="CP106" i="17" s="1"/>
  <c r="BG105" i="17"/>
  <c r="CW105" i="17" s="1"/>
  <c r="U105" i="17"/>
  <c r="AW104" i="17"/>
  <c r="CM104" i="17" s="1"/>
  <c r="AO104" i="17"/>
  <c r="CE104" i="17" s="1"/>
  <c r="AE104" i="17"/>
  <c r="BU104" i="17" s="1"/>
  <c r="BF102" i="17"/>
  <c r="CV102" i="17" s="1"/>
  <c r="U102" i="17"/>
  <c r="AR102" i="17" s="1"/>
  <c r="AA99" i="17"/>
  <c r="BC98" i="17"/>
  <c r="CS98" i="17" s="1"/>
  <c r="AP98" i="17"/>
  <c r="AD98" i="17"/>
  <c r="AV81" i="17"/>
  <c r="CL81" i="17" s="1"/>
  <c r="AX90" i="17"/>
  <c r="CN90" i="17" s="1"/>
  <c r="U89" i="17"/>
  <c r="AN81" i="17"/>
  <c r="CD81" i="17" s="1"/>
  <c r="AH68" i="17"/>
  <c r="BX68" i="17" s="1"/>
  <c r="AP68" i="17"/>
  <c r="CF68" i="17" s="1"/>
  <c r="AX68" i="17"/>
  <c r="CN68" i="17" s="1"/>
  <c r="AA68" i="17"/>
  <c r="AI68" i="17"/>
  <c r="BY68" i="17" s="1"/>
  <c r="AQ68" i="17"/>
  <c r="CG68" i="17" s="1"/>
  <c r="AY68" i="17"/>
  <c r="CO68" i="17" s="1"/>
  <c r="AB68" i="17"/>
  <c r="BR68" i="17" s="1"/>
  <c r="AJ68" i="17"/>
  <c r="BZ68" i="17" s="1"/>
  <c r="AR68" i="17"/>
  <c r="CH68" i="17" s="1"/>
  <c r="AC68" i="17"/>
  <c r="BS68" i="17" s="1"/>
  <c r="AK68" i="17"/>
  <c r="CA68" i="17" s="1"/>
  <c r="AS68" i="17"/>
  <c r="CI68" i="17" s="1"/>
  <c r="AD68" i="17"/>
  <c r="BT68" i="17" s="1"/>
  <c r="AL68" i="17"/>
  <c r="CB68" i="17" s="1"/>
  <c r="AT68" i="17"/>
  <c r="CJ68" i="17" s="1"/>
  <c r="AE68" i="17"/>
  <c r="BU68" i="17" s="1"/>
  <c r="AM68" i="17"/>
  <c r="CC68" i="17" s="1"/>
  <c r="AU68" i="17"/>
  <c r="CK68" i="17" s="1"/>
  <c r="AF68" i="17"/>
  <c r="BV68" i="17" s="1"/>
  <c r="AN68" i="17"/>
  <c r="CD68" i="17" s="1"/>
  <c r="AV68" i="17"/>
  <c r="CL68" i="17" s="1"/>
  <c r="AG68" i="17"/>
  <c r="BW68" i="17" s="1"/>
  <c r="AO68" i="17"/>
  <c r="CE68" i="17" s="1"/>
  <c r="AW68" i="17"/>
  <c r="CM68" i="17" s="1"/>
  <c r="BH86" i="17"/>
  <c r="CX86" i="17" s="1"/>
  <c r="AZ86" i="17"/>
  <c r="CP86" i="17" s="1"/>
  <c r="AZ80" i="17"/>
  <c r="CP80" i="17" s="1"/>
  <c r="BH80" i="17"/>
  <c r="CX80" i="17" s="1"/>
  <c r="BG79" i="17"/>
  <c r="CW79" i="17" s="1"/>
  <c r="BE78" i="17"/>
  <c r="CU78" i="17" s="1"/>
  <c r="BM78" i="17"/>
  <c r="DC78" i="17" s="1"/>
  <c r="AC69" i="17"/>
  <c r="BS69" i="17" s="1"/>
  <c r="AK69" i="17"/>
  <c r="CA69" i="17" s="1"/>
  <c r="AS69" i="17"/>
  <c r="CI69" i="17" s="1"/>
  <c r="AD69" i="17"/>
  <c r="BT69" i="17" s="1"/>
  <c r="AL69" i="17"/>
  <c r="CB69" i="17" s="1"/>
  <c r="AT69" i="17"/>
  <c r="CJ69" i="17" s="1"/>
  <c r="AE69" i="17"/>
  <c r="BU69" i="17" s="1"/>
  <c r="AM69" i="17"/>
  <c r="CC69" i="17" s="1"/>
  <c r="AU69" i="17"/>
  <c r="CK69" i="17" s="1"/>
  <c r="AF69" i="17"/>
  <c r="BV69" i="17" s="1"/>
  <c r="AN69" i="17"/>
  <c r="CD69" i="17" s="1"/>
  <c r="AV69" i="17"/>
  <c r="CL69" i="17" s="1"/>
  <c r="AG69" i="17"/>
  <c r="BW69" i="17" s="1"/>
  <c r="AO69" i="17"/>
  <c r="CE69" i="17" s="1"/>
  <c r="AW69" i="17"/>
  <c r="CM69" i="17" s="1"/>
  <c r="AH69" i="17"/>
  <c r="BX69" i="17" s="1"/>
  <c r="AP69" i="17"/>
  <c r="CF69" i="17" s="1"/>
  <c r="AX69" i="17"/>
  <c r="CN69" i="17" s="1"/>
  <c r="AA69" i="17"/>
  <c r="AI69" i="17"/>
  <c r="BY69" i="17" s="1"/>
  <c r="AQ69" i="17"/>
  <c r="CG69" i="17" s="1"/>
  <c r="AY69" i="17"/>
  <c r="CO69" i="17" s="1"/>
  <c r="AA64" i="17"/>
  <c r="AI64" i="17"/>
  <c r="BY64" i="17" s="1"/>
  <c r="AQ64" i="17"/>
  <c r="CG64" i="17" s="1"/>
  <c r="AY64" i="17"/>
  <c r="CO64" i="17" s="1"/>
  <c r="AB64" i="17"/>
  <c r="BR64" i="17" s="1"/>
  <c r="AJ64" i="17"/>
  <c r="BZ64" i="17" s="1"/>
  <c r="AR64" i="17"/>
  <c r="CH64" i="17" s="1"/>
  <c r="AC64" i="17"/>
  <c r="BS64" i="17" s="1"/>
  <c r="AK64" i="17"/>
  <c r="CA64" i="17" s="1"/>
  <c r="AS64" i="17"/>
  <c r="CI64" i="17" s="1"/>
  <c r="AD64" i="17"/>
  <c r="BT64" i="17" s="1"/>
  <c r="AL64" i="17"/>
  <c r="CB64" i="17" s="1"/>
  <c r="AT64" i="17"/>
  <c r="CJ64" i="17" s="1"/>
  <c r="AE64" i="17"/>
  <c r="BU64" i="17" s="1"/>
  <c r="AM64" i="17"/>
  <c r="CC64" i="17" s="1"/>
  <c r="AU64" i="17"/>
  <c r="CK64" i="17" s="1"/>
  <c r="AF64" i="17"/>
  <c r="BV64" i="17" s="1"/>
  <c r="AN64" i="17"/>
  <c r="CD64" i="17" s="1"/>
  <c r="AV64" i="17"/>
  <c r="CL64" i="17" s="1"/>
  <c r="AG64" i="17"/>
  <c r="BW64" i="17" s="1"/>
  <c r="AO64" i="17"/>
  <c r="CE64" i="17" s="1"/>
  <c r="AW64" i="17"/>
  <c r="CM64" i="17" s="1"/>
  <c r="BM96" i="17"/>
  <c r="DC96" i="17" s="1"/>
  <c r="BE96" i="17"/>
  <c r="CU96" i="17" s="1"/>
  <c r="AO96" i="17"/>
  <c r="BN92" i="17"/>
  <c r="DD92" i="17" s="1"/>
  <c r="BF92" i="17"/>
  <c r="CV92" i="17" s="1"/>
  <c r="U92" i="17"/>
  <c r="AW92" i="17" s="1"/>
  <c r="BJ89" i="17"/>
  <c r="CZ89" i="17" s="1"/>
  <c r="BB89" i="17"/>
  <c r="CR89" i="17" s="1"/>
  <c r="BI87" i="17"/>
  <c r="CY87" i="17" s="1"/>
  <c r="BA87" i="17"/>
  <c r="CQ87" i="17" s="1"/>
  <c r="BG86" i="17"/>
  <c r="CW86" i="17" s="1"/>
  <c r="BK84" i="17"/>
  <c r="DA84" i="17" s="1"/>
  <c r="BC84" i="17"/>
  <c r="CS84" i="17" s="1"/>
  <c r="BM80" i="17"/>
  <c r="DC80" i="17" s="1"/>
  <c r="BD80" i="17"/>
  <c r="CT80" i="17" s="1"/>
  <c r="BN79" i="17"/>
  <c r="DD79" i="17" s="1"/>
  <c r="BE79" i="17"/>
  <c r="CU79" i="17" s="1"/>
  <c r="BF78" i="17"/>
  <c r="CV78" i="17" s="1"/>
  <c r="AE77" i="17"/>
  <c r="BU77" i="17" s="1"/>
  <c r="AM77" i="17"/>
  <c r="CC77" i="17" s="1"/>
  <c r="AU77" i="17"/>
  <c r="CK77" i="17" s="1"/>
  <c r="BC77" i="17"/>
  <c r="CS77" i="17" s="1"/>
  <c r="BK77" i="17"/>
  <c r="DA77" i="17" s="1"/>
  <c r="S73" i="17"/>
  <c r="U73" i="17" s="1"/>
  <c r="T61" i="17"/>
  <c r="S61" i="17"/>
  <c r="S56" i="17"/>
  <c r="U56" i="17" s="1"/>
  <c r="T56" i="17"/>
  <c r="BH99" i="17"/>
  <c r="CX99" i="17" s="1"/>
  <c r="AZ99" i="17"/>
  <c r="CP99" i="17" s="1"/>
  <c r="U99" i="17"/>
  <c r="AC99" i="17"/>
  <c r="BL96" i="17"/>
  <c r="DB96" i="17" s="1"/>
  <c r="BD96" i="17"/>
  <c r="CT96" i="17" s="1"/>
  <c r="BM92" i="17"/>
  <c r="DC92" i="17" s="1"/>
  <c r="BE92" i="17"/>
  <c r="CU92" i="17" s="1"/>
  <c r="BI89" i="17"/>
  <c r="CY89" i="17" s="1"/>
  <c r="BA89" i="17"/>
  <c r="CQ89" i="17" s="1"/>
  <c r="BH87" i="17"/>
  <c r="CX87" i="17" s="1"/>
  <c r="AZ87" i="17"/>
  <c r="CP87" i="17" s="1"/>
  <c r="BN86" i="17"/>
  <c r="DD86" i="17" s="1"/>
  <c r="BF86" i="17"/>
  <c r="CV86" i="17" s="1"/>
  <c r="AX86" i="17"/>
  <c r="AP86" i="17"/>
  <c r="U86" i="17"/>
  <c r="AE86" i="17" s="1"/>
  <c r="BJ84" i="17"/>
  <c r="CZ84" i="17" s="1"/>
  <c r="BB84" i="17"/>
  <c r="CR84" i="17" s="1"/>
  <c r="BL80" i="17"/>
  <c r="DB80" i="17" s="1"/>
  <c r="BC80" i="17"/>
  <c r="CS80" i="17" s="1"/>
  <c r="BM79" i="17"/>
  <c r="DC79" i="17" s="1"/>
  <c r="BD79" i="17"/>
  <c r="CT79" i="17" s="1"/>
  <c r="BN78" i="17"/>
  <c r="DD78" i="17" s="1"/>
  <c r="BD78" i="17"/>
  <c r="CT78" i="17" s="1"/>
  <c r="BN77" i="17"/>
  <c r="DD77" i="17" s="1"/>
  <c r="BE77" i="17"/>
  <c r="CU77" i="17" s="1"/>
  <c r="AV77" i="17"/>
  <c r="CL77" i="17" s="1"/>
  <c r="AL77" i="17"/>
  <c r="CB77" i="17" s="1"/>
  <c r="AC77" i="17"/>
  <c r="BS77" i="17" s="1"/>
  <c r="AC76" i="17"/>
  <c r="AK76" i="17"/>
  <c r="AS76" i="17"/>
  <c r="BA76" i="17"/>
  <c r="CQ76" i="17" s="1"/>
  <c r="BI76" i="17"/>
  <c r="CY76" i="17" s="1"/>
  <c r="BF75" i="17"/>
  <c r="CV75" i="17" s="1"/>
  <c r="BE56" i="17"/>
  <c r="CU56" i="17" s="1"/>
  <c r="BM56" i="17"/>
  <c r="DC56" i="17" s="1"/>
  <c r="BF56" i="17"/>
  <c r="CV56" i="17" s="1"/>
  <c r="BN56" i="17"/>
  <c r="DD56" i="17" s="1"/>
  <c r="BA56" i="17"/>
  <c r="CQ56" i="17" s="1"/>
  <c r="BK56" i="17"/>
  <c r="DA56" i="17" s="1"/>
  <c r="BB56" i="17"/>
  <c r="CR56" i="17" s="1"/>
  <c r="BL56" i="17"/>
  <c r="DB56" i="17" s="1"/>
  <c r="BC56" i="17"/>
  <c r="CS56" i="17" s="1"/>
  <c r="BD56" i="17"/>
  <c r="CT56" i="17" s="1"/>
  <c r="BG56" i="17"/>
  <c r="CW56" i="17" s="1"/>
  <c r="BH56" i="17"/>
  <c r="CX56" i="17" s="1"/>
  <c r="BI56" i="17"/>
  <c r="CY56" i="17" s="1"/>
  <c r="BG87" i="17"/>
  <c r="CW87" i="17" s="1"/>
  <c r="U87" i="17"/>
  <c r="AK87" i="17" s="1"/>
  <c r="BM86" i="17"/>
  <c r="DC86" i="17" s="1"/>
  <c r="BE86" i="17"/>
  <c r="CU86" i="17" s="1"/>
  <c r="AW86" i="17"/>
  <c r="AO86" i="17"/>
  <c r="AG86" i="17"/>
  <c r="BK80" i="17"/>
  <c r="DA80" i="17" s="1"/>
  <c r="BB80" i="17"/>
  <c r="CR80" i="17" s="1"/>
  <c r="BL79" i="17"/>
  <c r="DB79" i="17" s="1"/>
  <c r="BC79" i="17"/>
  <c r="CS79" i="17" s="1"/>
  <c r="BL78" i="17"/>
  <c r="DB78" i="17" s="1"/>
  <c r="BC78" i="17"/>
  <c r="CS78" i="17" s="1"/>
  <c r="BG75" i="17"/>
  <c r="CW75" i="17" s="1"/>
  <c r="BN99" i="17"/>
  <c r="DD99" i="17" s="1"/>
  <c r="BF99" i="17"/>
  <c r="CV99" i="17" s="1"/>
  <c r="AX99" i="17"/>
  <c r="AP99" i="17"/>
  <c r="AI99" i="17"/>
  <c r="BJ96" i="17"/>
  <c r="CZ96" i="17" s="1"/>
  <c r="BB96" i="17"/>
  <c r="CR96" i="17" s="1"/>
  <c r="BK92" i="17"/>
  <c r="DA92" i="17" s="1"/>
  <c r="BC92" i="17"/>
  <c r="CS92" i="17" s="1"/>
  <c r="AU92" i="17"/>
  <c r="AM92" i="17"/>
  <c r="BG89" i="17"/>
  <c r="CW89" i="17" s="1"/>
  <c r="BN87" i="17"/>
  <c r="DD87" i="17" s="1"/>
  <c r="BF87" i="17"/>
  <c r="CV87" i="17" s="1"/>
  <c r="AX87" i="17"/>
  <c r="AP87" i="17"/>
  <c r="AA87" i="17"/>
  <c r="BL86" i="17"/>
  <c r="DB86" i="17" s="1"/>
  <c r="BD86" i="17"/>
  <c r="CT86" i="17" s="1"/>
  <c r="AV86" i="17"/>
  <c r="AN86" i="17"/>
  <c r="AF86" i="17"/>
  <c r="BH84" i="17"/>
  <c r="CX84" i="17" s="1"/>
  <c r="AZ84" i="17"/>
  <c r="CP84" i="17" s="1"/>
  <c r="BJ80" i="17"/>
  <c r="CZ80" i="17" s="1"/>
  <c r="BA80" i="17"/>
  <c r="CQ80" i="17" s="1"/>
  <c r="BK79" i="17"/>
  <c r="DA79" i="17" s="1"/>
  <c r="BB79" i="17"/>
  <c r="CR79" i="17" s="1"/>
  <c r="U79" i="17"/>
  <c r="AA79" i="17" s="1"/>
  <c r="BK78" i="17"/>
  <c r="DA78" i="17" s="1"/>
  <c r="BB78" i="17"/>
  <c r="CR78" i="17" s="1"/>
  <c r="BL77" i="17"/>
  <c r="DB77" i="17" s="1"/>
  <c r="BB77" i="17"/>
  <c r="CR77" i="17" s="1"/>
  <c r="AS77" i="17"/>
  <c r="CI77" i="17" s="1"/>
  <c r="AJ77" i="17"/>
  <c r="BZ77" i="17" s="1"/>
  <c r="AA77" i="17"/>
  <c r="BM76" i="17"/>
  <c r="DC76" i="17" s="1"/>
  <c r="BD76" i="17"/>
  <c r="CT76" i="17" s="1"/>
  <c r="AU76" i="17"/>
  <c r="AL76" i="17"/>
  <c r="AB76" i="17"/>
  <c r="BM75" i="17"/>
  <c r="DC75" i="17" s="1"/>
  <c r="BD75" i="17"/>
  <c r="CT75" i="17" s="1"/>
  <c r="U74" i="17"/>
  <c r="AB65" i="17"/>
  <c r="AJ65" i="17"/>
  <c r="BZ65" i="17" s="1"/>
  <c r="AR65" i="17"/>
  <c r="CH65" i="17" s="1"/>
  <c r="AC65" i="17"/>
  <c r="BS65" i="17" s="1"/>
  <c r="AK65" i="17"/>
  <c r="CA65" i="17" s="1"/>
  <c r="AS65" i="17"/>
  <c r="CI65" i="17" s="1"/>
  <c r="AD65" i="17"/>
  <c r="BT65" i="17" s="1"/>
  <c r="AL65" i="17"/>
  <c r="CB65" i="17" s="1"/>
  <c r="AT65" i="17"/>
  <c r="CJ65" i="17" s="1"/>
  <c r="AE65" i="17"/>
  <c r="BU65" i="17" s="1"/>
  <c r="AM65" i="17"/>
  <c r="CC65" i="17" s="1"/>
  <c r="AU65" i="17"/>
  <c r="CK65" i="17" s="1"/>
  <c r="AF65" i="17"/>
  <c r="BV65" i="17" s="1"/>
  <c r="AN65" i="17"/>
  <c r="CD65" i="17" s="1"/>
  <c r="AV65" i="17"/>
  <c r="CL65" i="17" s="1"/>
  <c r="AG65" i="17"/>
  <c r="BW65" i="17" s="1"/>
  <c r="AO65" i="17"/>
  <c r="CE65" i="17" s="1"/>
  <c r="AW65" i="17"/>
  <c r="CM65" i="17" s="1"/>
  <c r="AH65" i="17"/>
  <c r="BX65" i="17" s="1"/>
  <c r="AP65" i="17"/>
  <c r="CF65" i="17" s="1"/>
  <c r="AX65" i="17"/>
  <c r="CN65" i="17" s="1"/>
  <c r="AC60" i="17"/>
  <c r="BS60" i="17" s="1"/>
  <c r="AK60" i="17"/>
  <c r="CA60" i="17" s="1"/>
  <c r="AS60" i="17"/>
  <c r="CI60" i="17" s="1"/>
  <c r="AD60" i="17"/>
  <c r="BT60" i="17" s="1"/>
  <c r="AL60" i="17"/>
  <c r="CB60" i="17" s="1"/>
  <c r="AT60" i="17"/>
  <c r="CJ60" i="17" s="1"/>
  <c r="AE60" i="17"/>
  <c r="BU60" i="17" s="1"/>
  <c r="AM60" i="17"/>
  <c r="CC60" i="17" s="1"/>
  <c r="AU60" i="17"/>
  <c r="CK60" i="17" s="1"/>
  <c r="AF60" i="17"/>
  <c r="BV60" i="17" s="1"/>
  <c r="AN60" i="17"/>
  <c r="CD60" i="17" s="1"/>
  <c r="AV60" i="17"/>
  <c r="CL60" i="17" s="1"/>
  <c r="AG60" i="17"/>
  <c r="BW60" i="17" s="1"/>
  <c r="AO60" i="17"/>
  <c r="CE60" i="17" s="1"/>
  <c r="AW60" i="17"/>
  <c r="CM60" i="17" s="1"/>
  <c r="AH60" i="17"/>
  <c r="BX60" i="17" s="1"/>
  <c r="AP60" i="17"/>
  <c r="CF60" i="17" s="1"/>
  <c r="AX60" i="17"/>
  <c r="CN60" i="17" s="1"/>
  <c r="AA60" i="17"/>
  <c r="AI60" i="17"/>
  <c r="BY60" i="17" s="1"/>
  <c r="AQ60" i="17"/>
  <c r="CG60" i="17" s="1"/>
  <c r="AY60" i="17"/>
  <c r="CO60" i="17" s="1"/>
  <c r="BJ56" i="17"/>
  <c r="CZ56" i="17" s="1"/>
  <c r="BN89" i="17"/>
  <c r="DD89" i="17" s="1"/>
  <c r="BF89" i="17"/>
  <c r="CV89" i="17" s="1"/>
  <c r="AP89" i="17"/>
  <c r="BM87" i="17"/>
  <c r="DC87" i="17" s="1"/>
  <c r="BE87" i="17"/>
  <c r="CU87" i="17" s="1"/>
  <c r="AW87" i="17"/>
  <c r="AO87" i="17"/>
  <c r="BK86" i="17"/>
  <c r="DA86" i="17" s="1"/>
  <c r="BC86" i="17"/>
  <c r="CS86" i="17" s="1"/>
  <c r="AU86" i="17"/>
  <c r="AM86" i="17"/>
  <c r="BG84" i="17"/>
  <c r="CW84" i="17" s="1"/>
  <c r="BI80" i="17"/>
  <c r="CY80" i="17" s="1"/>
  <c r="BJ79" i="17"/>
  <c r="CZ79" i="17" s="1"/>
  <c r="BA79" i="17"/>
  <c r="CQ79" i="17" s="1"/>
  <c r="AR79" i="17"/>
  <c r="AH79" i="17"/>
  <c r="BJ78" i="17"/>
  <c r="CZ78" i="17" s="1"/>
  <c r="BA78" i="17"/>
  <c r="CQ78" i="17" s="1"/>
  <c r="U78" i="17"/>
  <c r="AC78" i="17" s="1"/>
  <c r="AA74" i="17"/>
  <c r="BC70" i="17"/>
  <c r="CS70" i="17" s="1"/>
  <c r="BK70" i="17"/>
  <c r="DA70" i="17" s="1"/>
  <c r="BD70" i="17"/>
  <c r="CT70" i="17" s="1"/>
  <c r="BL70" i="17"/>
  <c r="DB70" i="17" s="1"/>
  <c r="BE70" i="17"/>
  <c r="CU70" i="17" s="1"/>
  <c r="BM70" i="17"/>
  <c r="DC70" i="17" s="1"/>
  <c r="U70" i="17"/>
  <c r="AC70" i="17" s="1"/>
  <c r="BF70" i="17"/>
  <c r="CV70" i="17" s="1"/>
  <c r="BN70" i="17"/>
  <c r="DD70" i="17" s="1"/>
  <c r="BG70" i="17"/>
  <c r="CW70" i="17" s="1"/>
  <c r="AZ70" i="17"/>
  <c r="CP70" i="17" s="1"/>
  <c r="BH70" i="17"/>
  <c r="CX70" i="17" s="1"/>
  <c r="BA70" i="17"/>
  <c r="CQ70" i="17" s="1"/>
  <c r="BI70" i="17"/>
  <c r="CY70" i="17" s="1"/>
  <c r="AR69" i="17"/>
  <c r="CH69" i="17" s="1"/>
  <c r="AX64" i="17"/>
  <c r="CN64" i="17" s="1"/>
  <c r="AZ56" i="17"/>
  <c r="CP56" i="17" s="1"/>
  <c r="S63" i="17"/>
  <c r="U63" i="17" s="1"/>
  <c r="T62" i="17"/>
  <c r="U62" i="17" s="1"/>
  <c r="S59" i="17"/>
  <c r="S58" i="17"/>
  <c r="U58" i="17" s="1"/>
  <c r="S57" i="17"/>
  <c r="BC54" i="17"/>
  <c r="CS54" i="17" s="1"/>
  <c r="O50" i="17"/>
  <c r="O49" i="17"/>
  <c r="AH40" i="17"/>
  <c r="BX40" i="17" s="1"/>
  <c r="AI40" i="17"/>
  <c r="BY40" i="17" s="1"/>
  <c r="AJ40" i="17"/>
  <c r="BZ40" i="17" s="1"/>
  <c r="BF54" i="17"/>
  <c r="CV54" i="17" s="1"/>
  <c r="BN54" i="17"/>
  <c r="DD54" i="17" s="1"/>
  <c r="O54" i="17"/>
  <c r="T54" i="17" s="1"/>
  <c r="BG54" i="17"/>
  <c r="CW54" i="17" s="1"/>
  <c r="AZ54" i="17"/>
  <c r="CP54" i="17" s="1"/>
  <c r="BH54" i="17"/>
  <c r="CX54" i="17" s="1"/>
  <c r="BH71" i="17"/>
  <c r="CX71" i="17" s="1"/>
  <c r="AZ71" i="17"/>
  <c r="CP71" i="17" s="1"/>
  <c r="BL54" i="17"/>
  <c r="DB54" i="17" s="1"/>
  <c r="BA54" i="17"/>
  <c r="CQ54" i="17" s="1"/>
  <c r="U47" i="17"/>
  <c r="BG71" i="17"/>
  <c r="CW71" i="17" s="1"/>
  <c r="BK54" i="17"/>
  <c r="DA54" i="17" s="1"/>
  <c r="AB44" i="17"/>
  <c r="BR44" i="17" s="1"/>
  <c r="U44" i="17"/>
  <c r="AY44" i="17" s="1"/>
  <c r="AC44" i="17"/>
  <c r="BS44" i="17" s="1"/>
  <c r="AD44" i="17"/>
  <c r="BT44" i="17" s="1"/>
  <c r="AE44" i="17"/>
  <c r="BU44" i="17" s="1"/>
  <c r="AH44" i="17"/>
  <c r="BX44" i="17" s="1"/>
  <c r="BF71" i="17"/>
  <c r="CV71" i="17" s="1"/>
  <c r="U71" i="17"/>
  <c r="BJ54" i="17"/>
  <c r="CZ54" i="17" s="1"/>
  <c r="BG74" i="17"/>
  <c r="CW74" i="17" s="1"/>
  <c r="AY74" i="17"/>
  <c r="AQ74" i="17"/>
  <c r="AI74" i="17"/>
  <c r="BM73" i="17"/>
  <c r="DC73" i="17" s="1"/>
  <c r="BE73" i="17"/>
  <c r="CU73" i="17" s="1"/>
  <c r="BN72" i="17"/>
  <c r="DD72" i="17" s="1"/>
  <c r="BF72" i="17"/>
  <c r="CV72" i="17" s="1"/>
  <c r="BM71" i="17"/>
  <c r="DC71" i="17" s="1"/>
  <c r="BE71" i="17"/>
  <c r="CU71" i="17" s="1"/>
  <c r="BI54" i="17"/>
  <c r="CY54" i="17" s="1"/>
  <c r="BL71" i="17"/>
  <c r="DB71" i="17" s="1"/>
  <c r="BD71" i="17"/>
  <c r="CT71" i="17" s="1"/>
  <c r="AN71" i="17"/>
  <c r="O55" i="17"/>
  <c r="Q55" i="17" s="1"/>
  <c r="BE54" i="17"/>
  <c r="CU54" i="17" s="1"/>
  <c r="AG45" i="17"/>
  <c r="BW45" i="17" s="1"/>
  <c r="BJ43" i="17"/>
  <c r="CZ43" i="17" s="1"/>
  <c r="BA43" i="17"/>
  <c r="CQ43" i="17" s="1"/>
  <c r="BK42" i="17"/>
  <c r="DA42" i="17" s="1"/>
  <c r="BB42" i="17"/>
  <c r="CR42" i="17" s="1"/>
  <c r="AF40" i="17"/>
  <c r="BV40" i="17" s="1"/>
  <c r="BN55" i="17"/>
  <c r="DD55" i="17" s="1"/>
  <c r="BF55" i="17"/>
  <c r="CV55" i="17" s="1"/>
  <c r="BN50" i="17"/>
  <c r="DD50" i="17" s="1"/>
  <c r="BF50" i="17"/>
  <c r="CV50" i="17" s="1"/>
  <c r="AF45" i="17"/>
  <c r="BV45" i="17" s="1"/>
  <c r="BH44" i="17"/>
  <c r="CX44" i="17" s="1"/>
  <c r="AO44" i="17"/>
  <c r="AG44" i="17"/>
  <c r="BW44" i="17" s="1"/>
  <c r="BI43" i="17"/>
  <c r="CY43" i="17" s="1"/>
  <c r="AZ43" i="17"/>
  <c r="CP43" i="17" s="1"/>
  <c r="BJ42" i="17"/>
  <c r="CZ42" i="17" s="1"/>
  <c r="BA42" i="17"/>
  <c r="CQ42" i="17" s="1"/>
  <c r="AD40" i="17"/>
  <c r="BT40" i="17" s="1"/>
  <c r="AE40" i="17"/>
  <c r="BU40" i="17" s="1"/>
  <c r="AA34" i="17"/>
  <c r="AI34" i="17"/>
  <c r="BY34" i="17" s="1"/>
  <c r="AC34" i="17"/>
  <c r="BS34" i="17" s="1"/>
  <c r="U34" i="17"/>
  <c r="AG34" i="17"/>
  <c r="BW34" i="17" s="1"/>
  <c r="AH34" i="17"/>
  <c r="BX34" i="17" s="1"/>
  <c r="AJ34" i="17"/>
  <c r="BZ34" i="17" s="1"/>
  <c r="AB34" i="17"/>
  <c r="BR34" i="17" s="1"/>
  <c r="AD34" i="17"/>
  <c r="BT34" i="17" s="1"/>
  <c r="AE34" i="17"/>
  <c r="BU34" i="17" s="1"/>
  <c r="BD32" i="17"/>
  <c r="CT32" i="17" s="1"/>
  <c r="BL32" i="17"/>
  <c r="DB32" i="17" s="1"/>
  <c r="BE32" i="17"/>
  <c r="CU32" i="17" s="1"/>
  <c r="BM32" i="17"/>
  <c r="DC32" i="17" s="1"/>
  <c r="BG32" i="17"/>
  <c r="CW32" i="17" s="1"/>
  <c r="BI32" i="17"/>
  <c r="CY32" i="17" s="1"/>
  <c r="BJ32" i="17"/>
  <c r="CZ32" i="17" s="1"/>
  <c r="AZ32" i="17"/>
  <c r="CP32" i="17" s="1"/>
  <c r="BK32" i="17"/>
  <c r="DA32" i="17" s="1"/>
  <c r="BA32" i="17"/>
  <c r="CQ32" i="17" s="1"/>
  <c r="BN32" i="17"/>
  <c r="DD32" i="17" s="1"/>
  <c r="BB32" i="17"/>
  <c r="CR32" i="17" s="1"/>
  <c r="BC32" i="17"/>
  <c r="CS32" i="17" s="1"/>
  <c r="BF32" i="17"/>
  <c r="CV32" i="17" s="1"/>
  <c r="BM55" i="17"/>
  <c r="DC55" i="17" s="1"/>
  <c r="BE55" i="17"/>
  <c r="CU55" i="17" s="1"/>
  <c r="BM50" i="17"/>
  <c r="DC50" i="17" s="1"/>
  <c r="BE50" i="17"/>
  <c r="CU50" i="17" s="1"/>
  <c r="AB45" i="17"/>
  <c r="AJ45" i="17"/>
  <c r="BZ45" i="17" s="1"/>
  <c r="BG45" i="17"/>
  <c r="CW45" i="17" s="1"/>
  <c r="BG44" i="17"/>
  <c r="CW44" i="17" s="1"/>
  <c r="AW44" i="17"/>
  <c r="AN44" i="17"/>
  <c r="BH43" i="17"/>
  <c r="CX43" i="17" s="1"/>
  <c r="T43" i="17"/>
  <c r="AF43" i="17" s="1"/>
  <c r="BI42" i="17"/>
  <c r="CY42" i="17" s="1"/>
  <c r="AZ42" i="17"/>
  <c r="CP42" i="17" s="1"/>
  <c r="S42" i="17"/>
  <c r="AB40" i="17"/>
  <c r="AA39" i="17"/>
  <c r="AB39" i="17"/>
  <c r="BR39" i="17" s="1"/>
  <c r="AC39" i="17"/>
  <c r="BS39" i="17" s="1"/>
  <c r="U39" i="17"/>
  <c r="AD39" i="17"/>
  <c r="BT39" i="17" s="1"/>
  <c r="AA38" i="17"/>
  <c r="AD45" i="17"/>
  <c r="BT45" i="17" s="1"/>
  <c r="AA44" i="17"/>
  <c r="AI44" i="17"/>
  <c r="BY44" i="17" s="1"/>
  <c r="AP44" i="17"/>
  <c r="AX44" i="17"/>
  <c r="BF44" i="17"/>
  <c r="CV44" i="17" s="1"/>
  <c r="BN44" i="17"/>
  <c r="DD44" i="17" s="1"/>
  <c r="BG43" i="17"/>
  <c r="CW43" i="17" s="1"/>
  <c r="BH42" i="17"/>
  <c r="CX42" i="17" s="1"/>
  <c r="U40" i="17"/>
  <c r="BE43" i="17"/>
  <c r="CU43" i="17" s="1"/>
  <c r="BM43" i="17"/>
  <c r="DC43" i="17" s="1"/>
  <c r="BG42" i="17"/>
  <c r="CW42" i="17" s="1"/>
  <c r="S41" i="17"/>
  <c r="AA41" i="17" s="1"/>
  <c r="AD36" i="17"/>
  <c r="BT36" i="17" s="1"/>
  <c r="BD42" i="17"/>
  <c r="CT42" i="17" s="1"/>
  <c r="BL42" i="17"/>
  <c r="DB42" i="17" s="1"/>
  <c r="AC40" i="17"/>
  <c r="BS40" i="17" s="1"/>
  <c r="AG36" i="17"/>
  <c r="BW36" i="17" s="1"/>
  <c r="BH50" i="17"/>
  <c r="CX50" i="17" s="1"/>
  <c r="AZ50" i="17"/>
  <c r="CP50" i="17" s="1"/>
  <c r="BI45" i="17"/>
  <c r="CY45" i="17" s="1"/>
  <c r="AZ45" i="17"/>
  <c r="CP45" i="17" s="1"/>
  <c r="AH45" i="17"/>
  <c r="BX45" i="17" s="1"/>
  <c r="BJ44" i="17"/>
  <c r="CZ44" i="17" s="1"/>
  <c r="BA44" i="17"/>
  <c r="CQ44" i="17" s="1"/>
  <c r="AR44" i="17"/>
  <c r="AJ44" i="17"/>
  <c r="BZ44" i="17" s="1"/>
  <c r="BK43" i="17"/>
  <c r="DA43" i="17" s="1"/>
  <c r="BB43" i="17"/>
  <c r="CR43" i="17" s="1"/>
  <c r="BM42" i="17"/>
  <c r="DC42" i="17" s="1"/>
  <c r="BC42" i="17"/>
  <c r="CS42" i="17" s="1"/>
  <c r="AF41" i="17"/>
  <c r="BC41" i="17"/>
  <c r="CS41" i="17" s="1"/>
  <c r="BK41" i="17"/>
  <c r="DA41" i="17" s="1"/>
  <c r="AG40" i="17"/>
  <c r="BW40" i="17" s="1"/>
  <c r="AF39" i="17"/>
  <c r="BV39" i="17" s="1"/>
  <c r="AH38" i="17"/>
  <c r="BX38" i="17" s="1"/>
  <c r="AG38" i="17"/>
  <c r="BW38" i="17" s="1"/>
  <c r="T37" i="17"/>
  <c r="AE36" i="17"/>
  <c r="BU36" i="17" s="1"/>
  <c r="S33" i="17"/>
  <c r="AG33" i="17" s="1"/>
  <c r="T27" i="17"/>
  <c r="BB25" i="17"/>
  <c r="CR25" i="17" s="1"/>
  <c r="BJ25" i="17"/>
  <c r="CZ25" i="17" s="1"/>
  <c r="BC25" i="17"/>
  <c r="CS25" i="17" s="1"/>
  <c r="BK25" i="17"/>
  <c r="DA25" i="17" s="1"/>
  <c r="BD25" i="17"/>
  <c r="CT25" i="17" s="1"/>
  <c r="BL25" i="17"/>
  <c r="DB25" i="17" s="1"/>
  <c r="BE25" i="17"/>
  <c r="CU25" i="17" s="1"/>
  <c r="BM25" i="17"/>
  <c r="DC25" i="17" s="1"/>
  <c r="BF25" i="17"/>
  <c r="CV25" i="17" s="1"/>
  <c r="BN25" i="17"/>
  <c r="DD25" i="17" s="1"/>
  <c r="BG25" i="17"/>
  <c r="CW25" i="17" s="1"/>
  <c r="AZ25" i="17"/>
  <c r="CP25" i="17" s="1"/>
  <c r="BH25" i="17"/>
  <c r="CX25" i="17" s="1"/>
  <c r="AH14" i="17"/>
  <c r="BX14" i="17" s="1"/>
  <c r="AX14" i="17"/>
  <c r="CN14" i="17" s="1"/>
  <c r="AP14" i="17"/>
  <c r="CF14" i="17" s="1"/>
  <c r="AB14" i="17"/>
  <c r="BR14" i="17" s="1"/>
  <c r="AR14" i="17"/>
  <c r="CH14" i="17" s="1"/>
  <c r="BJ40" i="17"/>
  <c r="CZ40" i="17" s="1"/>
  <c r="BB40" i="17"/>
  <c r="CR40" i="17" s="1"/>
  <c r="BJ39" i="17"/>
  <c r="CZ39" i="17" s="1"/>
  <c r="BB39" i="17"/>
  <c r="CR39" i="17" s="1"/>
  <c r="AT39" i="17"/>
  <c r="AL39" i="17"/>
  <c r="BJ38" i="17"/>
  <c r="CZ38" i="17" s="1"/>
  <c r="BB38" i="17"/>
  <c r="CR38" i="17" s="1"/>
  <c r="AE38" i="17"/>
  <c r="BU38" i="17" s="1"/>
  <c r="BH36" i="17"/>
  <c r="CX36" i="17" s="1"/>
  <c r="AZ36" i="17"/>
  <c r="CP36" i="17" s="1"/>
  <c r="U36" i="17"/>
  <c r="AC36" i="17"/>
  <c r="BS36" i="17" s="1"/>
  <c r="S35" i="17"/>
  <c r="AD35" i="17" s="1"/>
  <c r="AA33" i="17"/>
  <c r="AI33" i="17"/>
  <c r="BF33" i="17"/>
  <c r="CV33" i="17" s="1"/>
  <c r="BN33" i="17"/>
  <c r="DD33" i="17" s="1"/>
  <c r="AC33" i="17"/>
  <c r="U33" i="17"/>
  <c r="AR33" i="17" s="1"/>
  <c r="AZ33" i="17"/>
  <c r="CP33" i="17" s="1"/>
  <c r="BH33" i="17"/>
  <c r="CX33" i="17" s="1"/>
  <c r="BJ31" i="17"/>
  <c r="CZ31" i="17" s="1"/>
  <c r="U26" i="17"/>
  <c r="AA23" i="17"/>
  <c r="AI23" i="17"/>
  <c r="BY23" i="17" s="1"/>
  <c r="AQ23" i="17"/>
  <c r="CG23" i="17" s="1"/>
  <c r="AY23" i="17"/>
  <c r="CO23" i="17" s="1"/>
  <c r="AB23" i="17"/>
  <c r="BR23" i="17" s="1"/>
  <c r="AJ23" i="17"/>
  <c r="BZ23" i="17" s="1"/>
  <c r="AR23" i="17"/>
  <c r="CH23" i="17" s="1"/>
  <c r="AC23" i="17"/>
  <c r="BS23" i="17" s="1"/>
  <c r="AK23" i="17"/>
  <c r="CA23" i="17" s="1"/>
  <c r="AS23" i="17"/>
  <c r="CI23" i="17" s="1"/>
  <c r="AD23" i="17"/>
  <c r="BT23" i="17" s="1"/>
  <c r="AL23" i="17"/>
  <c r="CB23" i="17" s="1"/>
  <c r="AT23" i="17"/>
  <c r="CJ23" i="17" s="1"/>
  <c r="AE23" i="17"/>
  <c r="BU23" i="17" s="1"/>
  <c r="AM23" i="17"/>
  <c r="CC23" i="17" s="1"/>
  <c r="AU23" i="17"/>
  <c r="CK23" i="17" s="1"/>
  <c r="AF23" i="17"/>
  <c r="BV23" i="17" s="1"/>
  <c r="AN23" i="17"/>
  <c r="CD23" i="17" s="1"/>
  <c r="AV23" i="17"/>
  <c r="CL23" i="17" s="1"/>
  <c r="AG23" i="17"/>
  <c r="BW23" i="17" s="1"/>
  <c r="AO23" i="17"/>
  <c r="CE23" i="17" s="1"/>
  <c r="AW23" i="17"/>
  <c r="CM23" i="17" s="1"/>
  <c r="AD38" i="17"/>
  <c r="BT38" i="17" s="1"/>
  <c r="BG36" i="17"/>
  <c r="CW36" i="17" s="1"/>
  <c r="AY36" i="17"/>
  <c r="AQ36" i="17"/>
  <c r="AJ36" i="17"/>
  <c r="BZ36" i="17" s="1"/>
  <c r="AB36" i="17"/>
  <c r="BR36" i="17" s="1"/>
  <c r="AF33" i="17"/>
  <c r="U28" i="17"/>
  <c r="AJ28" i="17" s="1"/>
  <c r="BI25" i="17"/>
  <c r="CY25" i="17" s="1"/>
  <c r="U38" i="17"/>
  <c r="BN36" i="17"/>
  <c r="DD36" i="17" s="1"/>
  <c r="BF36" i="17"/>
  <c r="CV36" i="17" s="1"/>
  <c r="AX36" i="17"/>
  <c r="AP36" i="17"/>
  <c r="AI36" i="17"/>
  <c r="BY36" i="17" s="1"/>
  <c r="AA36" i="17"/>
  <c r="AE33" i="17"/>
  <c r="BC31" i="17"/>
  <c r="CS31" i="17" s="1"/>
  <c r="BK31" i="17"/>
  <c r="DA31" i="17" s="1"/>
  <c r="BD31" i="17"/>
  <c r="CT31" i="17" s="1"/>
  <c r="BL31" i="17"/>
  <c r="DB31" i="17" s="1"/>
  <c r="BF31" i="17"/>
  <c r="CV31" i="17" s="1"/>
  <c r="BN31" i="17"/>
  <c r="DD31" i="17" s="1"/>
  <c r="T29" i="17"/>
  <c r="BA25" i="17"/>
  <c r="CQ25" i="17" s="1"/>
  <c r="AB19" i="17"/>
  <c r="AJ19" i="17"/>
  <c r="BZ19" i="17" s="1"/>
  <c r="AR19" i="17"/>
  <c r="CH19" i="17" s="1"/>
  <c r="AC19" i="17"/>
  <c r="BS19" i="17" s="1"/>
  <c r="AK19" i="17"/>
  <c r="CA19" i="17" s="1"/>
  <c r="AS19" i="17"/>
  <c r="CI19" i="17" s="1"/>
  <c r="AD19" i="17"/>
  <c r="BT19" i="17" s="1"/>
  <c r="AL19" i="17"/>
  <c r="CB19" i="17" s="1"/>
  <c r="AT19" i="17"/>
  <c r="CJ19" i="17" s="1"/>
  <c r="AE19" i="17"/>
  <c r="BU19" i="17" s="1"/>
  <c r="AM19" i="17"/>
  <c r="CC19" i="17" s="1"/>
  <c r="AU19" i="17"/>
  <c r="CK19" i="17" s="1"/>
  <c r="AF19" i="17"/>
  <c r="BV19" i="17" s="1"/>
  <c r="AN19" i="17"/>
  <c r="CD19" i="17" s="1"/>
  <c r="AV19" i="17"/>
  <c r="CL19" i="17" s="1"/>
  <c r="AG19" i="17"/>
  <c r="BW19" i="17" s="1"/>
  <c r="AO19" i="17"/>
  <c r="CE19" i="17" s="1"/>
  <c r="AW19" i="17"/>
  <c r="CM19" i="17" s="1"/>
  <c r="AH19" i="17"/>
  <c r="BX19" i="17" s="1"/>
  <c r="AP19" i="17"/>
  <c r="CF19" i="17" s="1"/>
  <c r="AX19" i="17"/>
  <c r="CN19" i="17" s="1"/>
  <c r="AI19" i="17"/>
  <c r="BY19" i="17" s="1"/>
  <c r="AQ19" i="17"/>
  <c r="CG19" i="17" s="1"/>
  <c r="AY19" i="17"/>
  <c r="CO19" i="17" s="1"/>
  <c r="O16" i="17"/>
  <c r="O25" i="17"/>
  <c r="D27" i="8"/>
  <c r="AJ38" i="17"/>
  <c r="BZ38" i="17" s="1"/>
  <c r="AB38" i="17"/>
  <c r="BR38" i="17" s="1"/>
  <c r="BM36" i="17"/>
  <c r="DC36" i="17" s="1"/>
  <c r="BE36" i="17"/>
  <c r="CU36" i="17" s="1"/>
  <c r="AW36" i="17"/>
  <c r="AO36" i="17"/>
  <c r="AH36" i="17"/>
  <c r="BX36" i="17" s="1"/>
  <c r="AD33" i="17"/>
  <c r="AI38" i="17"/>
  <c r="BY38" i="17" s="1"/>
  <c r="BL36" i="17"/>
  <c r="DB36" i="17" s="1"/>
  <c r="BD36" i="17"/>
  <c r="CT36" i="17" s="1"/>
  <c r="AV36" i="17"/>
  <c r="AN36" i="17"/>
  <c r="K32" i="17"/>
  <c r="S32" i="17" s="1"/>
  <c r="K31" i="17"/>
  <c r="S31" i="17" s="1"/>
  <c r="K27" i="17"/>
  <c r="S27" i="17" s="1"/>
  <c r="K29" i="17"/>
  <c r="S29" i="17" s="1"/>
  <c r="AC24" i="17"/>
  <c r="BS24" i="17" s="1"/>
  <c r="AK24" i="17"/>
  <c r="CA24" i="17" s="1"/>
  <c r="AS24" i="17"/>
  <c r="CI24" i="17" s="1"/>
  <c r="AD24" i="17"/>
  <c r="BT24" i="17" s="1"/>
  <c r="AL24" i="17"/>
  <c r="CB24" i="17" s="1"/>
  <c r="AT24" i="17"/>
  <c r="CJ24" i="17" s="1"/>
  <c r="AE24" i="17"/>
  <c r="BU24" i="17" s="1"/>
  <c r="AM24" i="17"/>
  <c r="CC24" i="17" s="1"/>
  <c r="AU24" i="17"/>
  <c r="CK24" i="17" s="1"/>
  <c r="AG24" i="17"/>
  <c r="BW24" i="17" s="1"/>
  <c r="AO24" i="17"/>
  <c r="CE24" i="17" s="1"/>
  <c r="AW24" i="17"/>
  <c r="CM24" i="17" s="1"/>
  <c r="AH24" i="17"/>
  <c r="BX24" i="17" s="1"/>
  <c r="AP24" i="17"/>
  <c r="CF24" i="17" s="1"/>
  <c r="AX24" i="17"/>
  <c r="CN24" i="17" s="1"/>
  <c r="AA24" i="17"/>
  <c r="AI24" i="17"/>
  <c r="BY24" i="17" s="1"/>
  <c r="AQ24" i="17"/>
  <c r="CG24" i="17" s="1"/>
  <c r="AY24" i="17"/>
  <c r="CO24" i="17" s="1"/>
  <c r="AF4" i="17"/>
  <c r="BV4" i="17" s="1"/>
  <c r="AN4" i="17"/>
  <c r="CD4" i="17" s="1"/>
  <c r="AV4" i="17"/>
  <c r="CL4" i="17" s="1"/>
  <c r="AG4" i="17"/>
  <c r="BW4" i="17" s="1"/>
  <c r="AO4" i="17"/>
  <c r="CE4" i="17" s="1"/>
  <c r="AW4" i="17"/>
  <c r="CM4" i="17" s="1"/>
  <c r="AC4" i="17"/>
  <c r="BS4" i="17" s="1"/>
  <c r="AK4" i="17"/>
  <c r="CA4" i="17" s="1"/>
  <c r="AS4" i="17"/>
  <c r="CI4" i="17" s="1"/>
  <c r="AD4" i="17"/>
  <c r="BT4" i="17" s="1"/>
  <c r="AL4" i="17"/>
  <c r="CB4" i="17" s="1"/>
  <c r="AT4" i="17"/>
  <c r="CJ4" i="17" s="1"/>
  <c r="AB9" i="17"/>
  <c r="AJ9" i="17"/>
  <c r="BZ9" i="17" s="1"/>
  <c r="AR9" i="17"/>
  <c r="CH9" i="17" s="1"/>
  <c r="AD9" i="17"/>
  <c r="BT9" i="17" s="1"/>
  <c r="AL9" i="17"/>
  <c r="CB9" i="17" s="1"/>
  <c r="AT9" i="17"/>
  <c r="CJ9" i="17" s="1"/>
  <c r="AE9" i="17"/>
  <c r="BU9" i="17" s="1"/>
  <c r="AM9" i="17"/>
  <c r="CC9" i="17" s="1"/>
  <c r="AU9" i="17"/>
  <c r="CK9" i="17" s="1"/>
  <c r="AF9" i="17"/>
  <c r="BV9" i="17" s="1"/>
  <c r="AN9" i="17"/>
  <c r="CD9" i="17" s="1"/>
  <c r="AV9" i="17"/>
  <c r="CL9" i="17" s="1"/>
  <c r="AG9" i="17"/>
  <c r="BW9" i="17" s="1"/>
  <c r="AO9" i="17"/>
  <c r="CE9" i="17" s="1"/>
  <c r="AW9" i="17"/>
  <c r="CM9" i="17" s="1"/>
  <c r="U3" i="17"/>
  <c r="BD17" i="17"/>
  <c r="CT17" i="17" s="1"/>
  <c r="BL17" i="17"/>
  <c r="DB17" i="17" s="1"/>
  <c r="BE14" i="17"/>
  <c r="CU14" i="17" s="1"/>
  <c r="AO14" i="17"/>
  <c r="CE14" i="17" s="1"/>
  <c r="AY9" i="17"/>
  <c r="CO9" i="17" s="1"/>
  <c r="U8" i="17"/>
  <c r="BC7" i="17"/>
  <c r="CS7" i="17" s="1"/>
  <c r="BK7" i="17"/>
  <c r="DA7" i="17" s="1"/>
  <c r="BD7" i="17"/>
  <c r="BL7" i="17"/>
  <c r="BE7" i="17"/>
  <c r="BM7" i="17"/>
  <c r="U7" i="17"/>
  <c r="AU7" i="17" s="1"/>
  <c r="BF7" i="17"/>
  <c r="CV7" i="17" s="1"/>
  <c r="BN7" i="17"/>
  <c r="DD7" i="17" s="1"/>
  <c r="AA7" i="17"/>
  <c r="AQ7" i="17"/>
  <c r="AY7" i="17"/>
  <c r="BG7" i="17"/>
  <c r="CW7" i="17" s="1"/>
  <c r="AJ7" i="17"/>
  <c r="AR7" i="17"/>
  <c r="AZ7" i="17"/>
  <c r="CP7" i="17" s="1"/>
  <c r="BH7" i="17"/>
  <c r="CX7" i="17" s="1"/>
  <c r="AC7" i="17"/>
  <c r="AK7" i="17"/>
  <c r="BA7" i="17"/>
  <c r="CQ7" i="17" s="1"/>
  <c r="BI7" i="17"/>
  <c r="CY7" i="17" s="1"/>
  <c r="AB6" i="17"/>
  <c r="BR6" i="17" s="1"/>
  <c r="AJ6" i="17"/>
  <c r="BZ6" i="17" s="1"/>
  <c r="AR6" i="17"/>
  <c r="CH6" i="17" s="1"/>
  <c r="AC6" i="17"/>
  <c r="BS6" i="17" s="1"/>
  <c r="AK6" i="17"/>
  <c r="CA6" i="17" s="1"/>
  <c r="AS6" i="17"/>
  <c r="CI6" i="17" s="1"/>
  <c r="AD6" i="17"/>
  <c r="BT6" i="17" s="1"/>
  <c r="AL6" i="17"/>
  <c r="CB6" i="17" s="1"/>
  <c r="AT6" i="17"/>
  <c r="CJ6" i="17" s="1"/>
  <c r="AE6" i="17"/>
  <c r="BU6" i="17" s="1"/>
  <c r="AM6" i="17"/>
  <c r="CC6" i="17" s="1"/>
  <c r="AU6" i="17"/>
  <c r="CK6" i="17" s="1"/>
  <c r="AF6" i="17"/>
  <c r="BV6" i="17" s="1"/>
  <c r="AN6" i="17"/>
  <c r="CD6" i="17" s="1"/>
  <c r="AV6" i="17"/>
  <c r="CL6" i="17" s="1"/>
  <c r="AG6" i="17"/>
  <c r="BW6" i="17" s="1"/>
  <c r="AO6" i="17"/>
  <c r="CE6" i="17" s="1"/>
  <c r="AW6" i="17"/>
  <c r="CM6" i="17" s="1"/>
  <c r="AH6" i="17"/>
  <c r="BX6" i="17" s="1"/>
  <c r="AP6" i="17"/>
  <c r="CF6" i="17" s="1"/>
  <c r="AX6" i="17"/>
  <c r="CN6" i="17" s="1"/>
  <c r="AA6" i="17"/>
  <c r="AI6" i="17"/>
  <c r="BY6" i="17" s="1"/>
  <c r="AQ6" i="17"/>
  <c r="CG6" i="17" s="1"/>
  <c r="AY6" i="17"/>
  <c r="CO6" i="17" s="1"/>
  <c r="BA14" i="17"/>
  <c r="CQ14" i="17" s="1"/>
  <c r="AK14" i="17"/>
  <c r="CA14" i="17" s="1"/>
  <c r="AX9" i="17"/>
  <c r="CN9" i="17" s="1"/>
  <c r="BJ7" i="17"/>
  <c r="AH5" i="17"/>
  <c r="BX5" i="17" s="1"/>
  <c r="AP5" i="17"/>
  <c r="CF5" i="17" s="1"/>
  <c r="AX5" i="17"/>
  <c r="CN5" i="17" s="1"/>
  <c r="AA5" i="17"/>
  <c r="AI5" i="17"/>
  <c r="BY5" i="17" s="1"/>
  <c r="AQ5" i="17"/>
  <c r="CG5" i="17" s="1"/>
  <c r="AY5" i="17"/>
  <c r="CO5" i="17" s="1"/>
  <c r="AB5" i="17"/>
  <c r="BR5" i="17" s="1"/>
  <c r="AJ5" i="17"/>
  <c r="BZ5" i="17" s="1"/>
  <c r="AR5" i="17"/>
  <c r="CH5" i="17" s="1"/>
  <c r="AD5" i="17"/>
  <c r="BT5" i="17" s="1"/>
  <c r="AL5" i="17"/>
  <c r="CB5" i="17" s="1"/>
  <c r="AT5" i="17"/>
  <c r="CJ5" i="17" s="1"/>
  <c r="AE5" i="17"/>
  <c r="BU5" i="17" s="1"/>
  <c r="AM5" i="17"/>
  <c r="CC5" i="17" s="1"/>
  <c r="AU5" i="17"/>
  <c r="CK5" i="17" s="1"/>
  <c r="AF5" i="17"/>
  <c r="BV5" i="17" s="1"/>
  <c r="AN5" i="17"/>
  <c r="CD5" i="17" s="1"/>
  <c r="AV5" i="17"/>
  <c r="CL5" i="17" s="1"/>
  <c r="AG5" i="17"/>
  <c r="BW5" i="17" s="1"/>
  <c r="AO5" i="17"/>
  <c r="CE5" i="17" s="1"/>
  <c r="AW5" i="17"/>
  <c r="CM5" i="17" s="1"/>
  <c r="S30" i="17"/>
  <c r="U30" i="17" s="1"/>
  <c r="BK29" i="17"/>
  <c r="DA29" i="17" s="1"/>
  <c r="BC29" i="17"/>
  <c r="CS29" i="17" s="1"/>
  <c r="BJ28" i="17"/>
  <c r="CZ28" i="17" s="1"/>
  <c r="BB28" i="17"/>
  <c r="CR28" i="17" s="1"/>
  <c r="AD28" i="17"/>
  <c r="AV24" i="17"/>
  <c r="CL24" i="17" s="1"/>
  <c r="AN24" i="17"/>
  <c r="CD24" i="17" s="1"/>
  <c r="BN21" i="17"/>
  <c r="DD21" i="17" s="1"/>
  <c r="BF21" i="17"/>
  <c r="CV21" i="17" s="1"/>
  <c r="BI17" i="17"/>
  <c r="CY17" i="17" s="1"/>
  <c r="AZ17" i="17"/>
  <c r="CP17" i="17" s="1"/>
  <c r="K16" i="17"/>
  <c r="U15" i="17"/>
  <c r="AZ14" i="17"/>
  <c r="CP14" i="17" s="1"/>
  <c r="AQ9" i="17"/>
  <c r="CG9" i="17" s="1"/>
  <c r="AC9" i="17"/>
  <c r="BS9" i="17" s="1"/>
  <c r="BB7" i="17"/>
  <c r="AD14" i="17"/>
  <c r="BT14" i="17" s="1"/>
  <c r="AL14" i="17"/>
  <c r="CB14" i="17" s="1"/>
  <c r="AT14" i="17"/>
  <c r="CJ14" i="17" s="1"/>
  <c r="BB14" i="17"/>
  <c r="CR14" i="17" s="1"/>
  <c r="BJ14" i="17"/>
  <c r="CZ14" i="17" s="1"/>
  <c r="AE14" i="17"/>
  <c r="BU14" i="17" s="1"/>
  <c r="AM14" i="17"/>
  <c r="CC14" i="17" s="1"/>
  <c r="AU14" i="17"/>
  <c r="CK14" i="17" s="1"/>
  <c r="BC14" i="17"/>
  <c r="CS14" i="17" s="1"/>
  <c r="BK14" i="17"/>
  <c r="DA14" i="17" s="1"/>
  <c r="AF14" i="17"/>
  <c r="BV14" i="17" s="1"/>
  <c r="AN14" i="17"/>
  <c r="CD14" i="17" s="1"/>
  <c r="AV14" i="17"/>
  <c r="CL14" i="17" s="1"/>
  <c r="BD14" i="17"/>
  <c r="CT14" i="17" s="1"/>
  <c r="BL14" i="17"/>
  <c r="DB14" i="17" s="1"/>
  <c r="AA14" i="17"/>
  <c r="AI14" i="17"/>
  <c r="BY14" i="17" s="1"/>
  <c r="AQ14" i="17"/>
  <c r="CG14" i="17" s="1"/>
  <c r="AY14" i="17"/>
  <c r="CO14" i="17" s="1"/>
  <c r="BG14" i="17"/>
  <c r="CW14" i="17" s="1"/>
  <c r="AP9" i="17"/>
  <c r="CF9" i="17" s="1"/>
  <c r="U12" i="17"/>
  <c r="AA11" i="17"/>
  <c r="AI11" i="17"/>
  <c r="BY11" i="17" s="1"/>
  <c r="AQ11" i="17"/>
  <c r="CG11" i="17" s="1"/>
  <c r="AY11" i="17"/>
  <c r="CO11" i="17" s="1"/>
  <c r="AB11" i="17"/>
  <c r="BR11" i="17" s="1"/>
  <c r="AJ11" i="17"/>
  <c r="BZ11" i="17" s="1"/>
  <c r="AR11" i="17"/>
  <c r="CH11" i="17" s="1"/>
  <c r="AC11" i="17"/>
  <c r="BS11" i="17" s="1"/>
  <c r="AK11" i="17"/>
  <c r="CA11" i="17" s="1"/>
  <c r="AS11" i="17"/>
  <c r="CI11" i="17" s="1"/>
  <c r="AD11" i="17"/>
  <c r="BT11" i="17" s="1"/>
  <c r="AL11" i="17"/>
  <c r="CB11" i="17" s="1"/>
  <c r="AT11" i="17"/>
  <c r="CJ11" i="17" s="1"/>
  <c r="AE11" i="17"/>
  <c r="BU11" i="17" s="1"/>
  <c r="AM11" i="17"/>
  <c r="CC11" i="17" s="1"/>
  <c r="AU11" i="17"/>
  <c r="CK11" i="17" s="1"/>
  <c r="AF11" i="17"/>
  <c r="BV11" i="17" s="1"/>
  <c r="AN11" i="17"/>
  <c r="CD11" i="17" s="1"/>
  <c r="AV11" i="17"/>
  <c r="CL11" i="17" s="1"/>
  <c r="AG11" i="17"/>
  <c r="BW11" i="17" s="1"/>
  <c r="AO11" i="17"/>
  <c r="CE11" i="17" s="1"/>
  <c r="AW11" i="17"/>
  <c r="CM11" i="17" s="1"/>
  <c r="AH11" i="17"/>
  <c r="BX11" i="17" s="1"/>
  <c r="AP11" i="17"/>
  <c r="CF11" i="17" s="1"/>
  <c r="AX11" i="17"/>
  <c r="CN11" i="17" s="1"/>
  <c r="BH28" i="17"/>
  <c r="CX28" i="17" s="1"/>
  <c r="AZ28" i="17"/>
  <c r="CP28" i="17" s="1"/>
  <c r="AR28" i="17"/>
  <c r="BL21" i="17"/>
  <c r="DB21" i="17" s="1"/>
  <c r="BD21" i="17"/>
  <c r="CT21" i="17" s="1"/>
  <c r="BG17" i="17"/>
  <c r="CW17" i="17" s="1"/>
  <c r="BM14" i="17"/>
  <c r="DC14" i="17" s="1"/>
  <c r="AW14" i="17"/>
  <c r="CM14" i="17" s="1"/>
  <c r="AG14" i="17"/>
  <c r="BW14" i="17" s="1"/>
  <c r="AI9" i="17"/>
  <c r="BY9" i="17" s="1"/>
  <c r="AL7" i="17"/>
  <c r="U48" i="17"/>
  <c r="BC21" i="17"/>
  <c r="CS21" i="17" s="1"/>
  <c r="BI14" i="17"/>
  <c r="CY14" i="17" s="1"/>
  <c r="AS14" i="17"/>
  <c r="CI14" i="17" s="1"/>
  <c r="AC14" i="17"/>
  <c r="BS14" i="17" s="1"/>
  <c r="AH9" i="17"/>
  <c r="BX9" i="17" s="1"/>
  <c r="AD7" i="17"/>
  <c r="AY10" i="17"/>
  <c r="CO10" i="17" s="1"/>
  <c r="AQ10" i="17"/>
  <c r="CG10" i="17" s="1"/>
  <c r="AI10" i="17"/>
  <c r="BY10" i="17" s="1"/>
  <c r="AA10" i="17"/>
  <c r="BK8" i="17"/>
  <c r="DA8" i="17" s="1"/>
  <c r="BC8" i="17"/>
  <c r="CS8" i="17" s="1"/>
  <c r="AU8" i="17"/>
  <c r="AM8" i="17"/>
  <c r="AE8" i="17"/>
  <c r="BK4" i="17"/>
  <c r="BC4" i="17"/>
  <c r="AU4" i="17"/>
  <c r="CK4" i="17" s="1"/>
  <c r="AM4" i="17"/>
  <c r="CC4" i="17" s="1"/>
  <c r="AE4" i="17"/>
  <c r="BU4" i="17" s="1"/>
  <c r="BL12" i="17"/>
  <c r="DB12" i="17" s="1"/>
  <c r="BD12" i="17"/>
  <c r="CT12" i="17" s="1"/>
  <c r="AV12" i="17"/>
  <c r="AN12" i="17"/>
  <c r="AF12" i="17"/>
  <c r="AY108" i="17"/>
  <c r="CO108" i="17" s="1"/>
  <c r="AQ108" i="17"/>
  <c r="CG108" i="17" s="1"/>
  <c r="AI108" i="17"/>
  <c r="BY108" i="17" s="1"/>
  <c r="AA108" i="17"/>
  <c r="AW48" i="17"/>
  <c r="AO48" i="17"/>
  <c r="AG48" i="17"/>
  <c r="BK12" i="17"/>
  <c r="DA12" i="17" s="1"/>
  <c r="BC12" i="17"/>
  <c r="CS12" i="17" s="1"/>
  <c r="AU12" i="17"/>
  <c r="AM12" i="17"/>
  <c r="AE12" i="17"/>
  <c r="BJ12" i="17"/>
  <c r="CZ12" i="17" s="1"/>
  <c r="BB12" i="17"/>
  <c r="CR12" i="17" s="1"/>
  <c r="AT12" i="17"/>
  <c r="AL12" i="17"/>
  <c r="AD12" i="17"/>
  <c r="AV10" i="17"/>
  <c r="CL10" i="17" s="1"/>
  <c r="AN10" i="17"/>
  <c r="CD10" i="17" s="1"/>
  <c r="AF10" i="17"/>
  <c r="BV10" i="17" s="1"/>
  <c r="BH8" i="17"/>
  <c r="CX8" i="17" s="1"/>
  <c r="AZ8" i="17"/>
  <c r="CP8" i="17" s="1"/>
  <c r="AR8" i="17"/>
  <c r="AJ8" i="17"/>
  <c r="AB8" i="17"/>
  <c r="BH4" i="17"/>
  <c r="AZ4" i="17"/>
  <c r="AR4" i="17"/>
  <c r="CH4" i="17" s="1"/>
  <c r="AJ4" i="17"/>
  <c r="BZ4" i="17" s="1"/>
  <c r="AB4" i="17"/>
  <c r="BR4" i="17" s="1"/>
  <c r="BI12" i="17"/>
  <c r="CY12" i="17" s="1"/>
  <c r="BA12" i="17"/>
  <c r="CQ12" i="17" s="1"/>
  <c r="AS12" i="17"/>
  <c r="AK12" i="17"/>
  <c r="AC12" i="17"/>
  <c r="AV108" i="17"/>
  <c r="CL108" i="17" s="1"/>
  <c r="AN108" i="17"/>
  <c r="CD108" i="17" s="1"/>
  <c r="AF108" i="17"/>
  <c r="BV108" i="17" s="1"/>
  <c r="BJ48" i="17"/>
  <c r="CZ48" i="17" s="1"/>
  <c r="BB48" i="17"/>
  <c r="CR48" i="17" s="1"/>
  <c r="AT48" i="17"/>
  <c r="AL48" i="17"/>
  <c r="AD48" i="17"/>
  <c r="BK10" i="17"/>
  <c r="DA10" i="17" s="1"/>
  <c r="BC10" i="17"/>
  <c r="CS10" i="17" s="1"/>
  <c r="AU10" i="17"/>
  <c r="CK10" i="17" s="1"/>
  <c r="AM10" i="17"/>
  <c r="CC10" i="17" s="1"/>
  <c r="BI9" i="17"/>
  <c r="CY9" i="17" s="1"/>
  <c r="BA9" i="17"/>
  <c r="CQ9" i="17" s="1"/>
  <c r="AS9" i="17"/>
  <c r="CI9" i="17" s="1"/>
  <c r="AK9" i="17"/>
  <c r="CA9" i="17" s="1"/>
  <c r="BG8" i="17"/>
  <c r="CW8" i="17" s="1"/>
  <c r="AY8" i="17"/>
  <c r="AQ8" i="17"/>
  <c r="AI8" i="17"/>
  <c r="AA8" i="17"/>
  <c r="BI5" i="17"/>
  <c r="BA5" i="17"/>
  <c r="AS5" i="17"/>
  <c r="CI5" i="17" s="1"/>
  <c r="AK5" i="17"/>
  <c r="CA5" i="17" s="1"/>
  <c r="BG4" i="17"/>
  <c r="AY4" i="17"/>
  <c r="CO4" i="17" s="1"/>
  <c r="AQ4" i="17"/>
  <c r="CG4" i="17" s="1"/>
  <c r="AI4" i="17"/>
  <c r="BY4" i="17" s="1"/>
  <c r="AA4" i="17"/>
  <c r="BH12" i="17"/>
  <c r="CX12" i="17" s="1"/>
  <c r="AZ12" i="17"/>
  <c r="CP12" i="17" s="1"/>
  <c r="AR12" i="17"/>
  <c r="AJ12" i="17"/>
  <c r="AB12" i="17"/>
  <c r="BC108" i="17"/>
  <c r="CS108" i="17" s="1"/>
  <c r="AU108" i="17"/>
  <c r="CK108" i="17" s="1"/>
  <c r="AM108" i="17"/>
  <c r="CC108" i="17" s="1"/>
  <c r="BI48" i="17"/>
  <c r="CY48" i="17" s="1"/>
  <c r="BA48" i="17"/>
  <c r="CQ48" i="17" s="1"/>
  <c r="AS48" i="17"/>
  <c r="AK48" i="17"/>
  <c r="AC48" i="17"/>
  <c r="AT10" i="17"/>
  <c r="CJ10" i="17" s="1"/>
  <c r="AL10" i="17"/>
  <c r="CB10" i="17" s="1"/>
  <c r="BN8" i="17"/>
  <c r="DD8" i="17" s="1"/>
  <c r="BF8" i="17"/>
  <c r="CV8" i="17" s="1"/>
  <c r="AX8" i="17"/>
  <c r="AP8" i="17"/>
  <c r="AH8" i="17"/>
  <c r="BN4" i="17"/>
  <c r="BF4" i="17"/>
  <c r="AX4" i="17"/>
  <c r="CN4" i="17" s="1"/>
  <c r="AP4" i="17"/>
  <c r="CF4" i="17" s="1"/>
  <c r="AH4" i="17"/>
  <c r="BX4" i="17" s="1"/>
  <c r="BG12" i="17"/>
  <c r="CW12" i="17" s="1"/>
  <c r="AY12" i="17"/>
  <c r="AQ12" i="17"/>
  <c r="AI12" i="17"/>
  <c r="AT108" i="17"/>
  <c r="CJ108" i="17" s="1"/>
  <c r="AL108" i="17"/>
  <c r="CB108" i="17" s="1"/>
  <c r="AD108" i="17"/>
  <c r="BT108" i="17" s="1"/>
  <c r="BH48" i="17"/>
  <c r="CX48" i="17" s="1"/>
  <c r="AZ48" i="17"/>
  <c r="CP48" i="17" s="1"/>
  <c r="AR48" i="17"/>
  <c r="AJ48" i="17"/>
  <c r="AB48" i="17"/>
  <c r="AH48" i="17"/>
  <c r="AG112" i="17" l="1"/>
  <c r="AP112" i="17"/>
  <c r="AY112" i="17"/>
  <c r="CF112" i="17"/>
  <c r="CO112" i="17"/>
  <c r="BW112" i="17"/>
  <c r="AV112" i="17"/>
  <c r="CL112" i="17" s="1"/>
  <c r="AB112" i="17"/>
  <c r="BR112" i="17" s="1"/>
  <c r="AW112" i="17"/>
  <c r="CM112" i="17" s="1"/>
  <c r="AH112" i="17"/>
  <c r="BX112" i="17" s="1"/>
  <c r="AK112" i="17"/>
  <c r="CA112" i="17" s="1"/>
  <c r="AE112" i="17"/>
  <c r="BU112" i="17" s="1"/>
  <c r="AQ112" i="17"/>
  <c r="CG112" i="17" s="1"/>
  <c r="AT112" i="17"/>
  <c r="CJ112" i="17" s="1"/>
  <c r="AO112" i="17"/>
  <c r="CE112" i="17" s="1"/>
  <c r="AI112" i="17"/>
  <c r="BY112" i="17" s="1"/>
  <c r="AC112" i="17"/>
  <c r="BS112" i="17" s="1"/>
  <c r="AX112" i="17"/>
  <c r="CN112" i="17" s="1"/>
  <c r="AR112" i="17"/>
  <c r="CH112" i="17" s="1"/>
  <c r="AL112" i="17"/>
  <c r="CB112" i="17" s="1"/>
  <c r="AA112" i="17"/>
  <c r="AU112" i="17"/>
  <c r="CK112" i="17" s="1"/>
  <c r="AF112" i="17"/>
  <c r="BV112" i="17" s="1"/>
  <c r="AJ112" i="17"/>
  <c r="BZ112" i="17" s="1"/>
  <c r="AD112" i="17"/>
  <c r="BT112" i="17" s="1"/>
  <c r="AN112" i="17"/>
  <c r="CD112" i="17" s="1"/>
  <c r="AS112" i="17"/>
  <c r="CI112" i="17" s="1"/>
  <c r="AM112" i="17"/>
  <c r="CC112" i="17" s="1"/>
  <c r="AJ75" i="17"/>
  <c r="BZ75" i="17"/>
  <c r="BU75" i="17"/>
  <c r="AV75" i="17"/>
  <c r="CL75" i="17" s="1"/>
  <c r="AC75" i="17"/>
  <c r="BS75" i="17" s="1"/>
  <c r="AF75" i="17"/>
  <c r="BV75" i="17" s="1"/>
  <c r="AE75" i="17"/>
  <c r="AS75" i="17"/>
  <c r="CI75" i="17" s="1"/>
  <c r="AO75" i="17"/>
  <c r="CE75" i="17" s="1"/>
  <c r="AB75" i="17"/>
  <c r="BR75" i="17" s="1"/>
  <c r="AX75" i="17"/>
  <c r="CN75" i="17" s="1"/>
  <c r="AK75" i="17"/>
  <c r="CA75" i="17" s="1"/>
  <c r="AG75" i="17"/>
  <c r="BW75" i="17" s="1"/>
  <c r="AA75" i="17"/>
  <c r="AT75" i="17"/>
  <c r="CJ75" i="17" s="1"/>
  <c r="AP75" i="17"/>
  <c r="CF75" i="17" s="1"/>
  <c r="AI75" i="17"/>
  <c r="BY75" i="17" s="1"/>
  <c r="AD75" i="17"/>
  <c r="BT75" i="17" s="1"/>
  <c r="AH75" i="17"/>
  <c r="BX75" i="17" s="1"/>
  <c r="AW75" i="17"/>
  <c r="CM75" i="17" s="1"/>
  <c r="AQ75" i="17"/>
  <c r="CG75" i="17" s="1"/>
  <c r="AU75" i="17"/>
  <c r="CK75" i="17" s="1"/>
  <c r="AM75" i="17"/>
  <c r="CC75" i="17" s="1"/>
  <c r="AR75" i="17"/>
  <c r="CH75" i="17" s="1"/>
  <c r="AN75" i="17"/>
  <c r="CD75" i="17" s="1"/>
  <c r="AY75" i="17"/>
  <c r="CO75" i="17" s="1"/>
  <c r="AL75" i="17"/>
  <c r="CB75" i="17" s="1"/>
  <c r="AD72" i="17"/>
  <c r="BT72" i="17" s="1"/>
  <c r="AV72" i="17"/>
  <c r="CL72" i="17" s="1"/>
  <c r="AW72" i="17"/>
  <c r="CM72" i="17" s="1"/>
  <c r="AL72" i="17"/>
  <c r="CB72" i="17" s="1"/>
  <c r="AS72" i="17"/>
  <c r="CI72" i="17" s="1"/>
  <c r="AR72" i="17"/>
  <c r="CH72" i="17" s="1"/>
  <c r="AO72" i="17"/>
  <c r="CE72" i="17" s="1"/>
  <c r="AT72" i="17"/>
  <c r="CJ72" i="17" s="1"/>
  <c r="AK72" i="17"/>
  <c r="CA72" i="17" s="1"/>
  <c r="AJ72" i="17"/>
  <c r="BZ72" i="17" s="1"/>
  <c r="AX72" i="17"/>
  <c r="CN72" i="17" s="1"/>
  <c r="AE72" i="17"/>
  <c r="BU72" i="17" s="1"/>
  <c r="AC72" i="17"/>
  <c r="BS72" i="17" s="1"/>
  <c r="AB72" i="17"/>
  <c r="BR72" i="17" s="1"/>
  <c r="AP72" i="17"/>
  <c r="CF72" i="17" s="1"/>
  <c r="AM72" i="17"/>
  <c r="CC72" i="17" s="1"/>
  <c r="AQ72" i="17"/>
  <c r="CG72" i="17" s="1"/>
  <c r="AH72" i="17"/>
  <c r="BX72" i="17" s="1"/>
  <c r="AU72" i="17"/>
  <c r="CK72" i="17" s="1"/>
  <c r="AG72" i="17"/>
  <c r="BW72" i="17" s="1"/>
  <c r="AI72" i="17"/>
  <c r="BY72" i="17" s="1"/>
  <c r="AF72" i="17"/>
  <c r="BV72" i="17" s="1"/>
  <c r="AA72" i="17"/>
  <c r="AY72" i="17"/>
  <c r="CO72" i="17" s="1"/>
  <c r="AN72" i="17"/>
  <c r="CD72" i="17" s="1"/>
  <c r="AH56" i="17"/>
  <c r="AW56" i="17"/>
  <c r="AB56" i="17"/>
  <c r="AV56" i="17"/>
  <c r="AI56" i="17"/>
  <c r="AM56" i="17"/>
  <c r="AY56" i="17"/>
  <c r="AE56" i="17"/>
  <c r="AK56" i="17"/>
  <c r="AU56" i="17"/>
  <c r="AE35" i="17"/>
  <c r="AH70" i="17"/>
  <c r="AG99" i="17"/>
  <c r="AA101" i="17"/>
  <c r="AF38" i="17"/>
  <c r="BV38" i="17"/>
  <c r="BS38" i="17"/>
  <c r="AJ60" i="17"/>
  <c r="AR60" i="17"/>
  <c r="AB60" i="17"/>
  <c r="BR60" i="17"/>
  <c r="BZ60" i="17"/>
  <c r="CH60" i="17"/>
  <c r="AH90" i="17"/>
  <c r="BX90" i="17" s="1"/>
  <c r="AP90" i="17"/>
  <c r="CF90" i="17"/>
  <c r="AA103" i="17"/>
  <c r="BQ103" i="17" s="1"/>
  <c r="AB103" i="17"/>
  <c r="BR103" i="17" s="1"/>
  <c r="AK103" i="17"/>
  <c r="CA103" i="17" s="1"/>
  <c r="AM103" i="17"/>
  <c r="CC103" i="17" s="1"/>
  <c r="AW103" i="17"/>
  <c r="CM103" i="17" s="1"/>
  <c r="AX103" i="17"/>
  <c r="CN103" i="17"/>
  <c r="AE70" i="17"/>
  <c r="AB86" i="17"/>
  <c r="AO101" i="17"/>
  <c r="BV34" i="17"/>
  <c r="AF34" i="17"/>
  <c r="AA95" i="17"/>
  <c r="BQ95" i="17"/>
  <c r="U45" i="17"/>
  <c r="BS5" i="17"/>
  <c r="T127" i="17"/>
  <c r="U127" i="17" s="1"/>
  <c r="Q127" i="17"/>
  <c r="AI7" i="17"/>
  <c r="AM7" i="17"/>
  <c r="AJ33" i="17"/>
  <c r="AJ70" i="17"/>
  <c r="AJ79" i="17"/>
  <c r="AM78" i="17"/>
  <c r="AL101" i="17"/>
  <c r="AE101" i="17"/>
  <c r="AB109" i="17"/>
  <c r="AS10" i="17"/>
  <c r="AI104" i="17"/>
  <c r="BY104" i="17" s="1"/>
  <c r="AN104" i="17"/>
  <c r="AP104" i="17"/>
  <c r="AB104" i="17"/>
  <c r="AQ104" i="17"/>
  <c r="AC104" i="17"/>
  <c r="AT104" i="17"/>
  <c r="AD104" i="17"/>
  <c r="BT104" i="17" s="1"/>
  <c r="AU104" i="17"/>
  <c r="CK104" i="17" s="1"/>
  <c r="AG104" i="17"/>
  <c r="AV104" i="17"/>
  <c r="AL104" i="17"/>
  <c r="AX104" i="17"/>
  <c r="AM104" i="17"/>
  <c r="CC104" i="17" s="1"/>
  <c r="AY104" i="17"/>
  <c r="CN104" i="17"/>
  <c r="CD104" i="17"/>
  <c r="CO104" i="17"/>
  <c r="CG104" i="17"/>
  <c r="BR104" i="17"/>
  <c r="CL104" i="17"/>
  <c r="CF104" i="17"/>
  <c r="CJ104" i="17"/>
  <c r="BW104" i="17"/>
  <c r="BS104" i="17"/>
  <c r="CB104" i="17"/>
  <c r="AO7" i="17"/>
  <c r="AE7" i="17"/>
  <c r="U61" i="17"/>
  <c r="AV98" i="17"/>
  <c r="AR101" i="17"/>
  <c r="AD10" i="17"/>
  <c r="AO10" i="17"/>
  <c r="AB10" i="17"/>
  <c r="AR10" i="17"/>
  <c r="CH10" i="17" s="1"/>
  <c r="AH10" i="17"/>
  <c r="BX10" i="17" s="1"/>
  <c r="AX10" i="17"/>
  <c r="CN10" i="17" s="1"/>
  <c r="AJ10" i="17"/>
  <c r="BZ10" i="17" s="1"/>
  <c r="AK10" i="17"/>
  <c r="BT10" i="17"/>
  <c r="BW10" i="17"/>
  <c r="CA10" i="17"/>
  <c r="CE10" i="17"/>
  <c r="BS10" i="17"/>
  <c r="BR10" i="17"/>
  <c r="CI10" i="17"/>
  <c r="CM10" i="17"/>
  <c r="AC45" i="17"/>
  <c r="BS45" i="17" s="1"/>
  <c r="AA45" i="17"/>
  <c r="BY45" i="17"/>
  <c r="BQ45" i="17"/>
  <c r="AB108" i="17"/>
  <c r="AJ108" i="17"/>
  <c r="BZ108" i="17" s="1"/>
  <c r="AO108" i="17"/>
  <c r="CE108" i="17" s="1"/>
  <c r="AG108" i="17"/>
  <c r="AW108" i="17"/>
  <c r="AH108" i="17"/>
  <c r="BX108" i="17" s="1"/>
  <c r="AX108" i="17"/>
  <c r="BR108" i="17"/>
  <c r="BW108" i="17"/>
  <c r="CM108" i="17"/>
  <c r="BU108" i="17"/>
  <c r="CN108" i="17"/>
  <c r="CA108" i="17"/>
  <c r="CF108" i="17"/>
  <c r="CH108" i="17"/>
  <c r="AW10" i="17"/>
  <c r="AE45" i="17"/>
  <c r="BU45" i="17" s="1"/>
  <c r="BQ19" i="17"/>
  <c r="AD41" i="17"/>
  <c r="AY70" i="17"/>
  <c r="AO70" i="17"/>
  <c r="AG101" i="17"/>
  <c r="AD131" i="17"/>
  <c r="AH132" i="17"/>
  <c r="AP10" i="17"/>
  <c r="CF10" i="17" s="1"/>
  <c r="AR108" i="17"/>
  <c r="AC108" i="17"/>
  <c r="BS108" i="17" s="1"/>
  <c r="AE10" i="17"/>
  <c r="BU10" i="17" s="1"/>
  <c r="AH77" i="17"/>
  <c r="BX77" i="17" s="1"/>
  <c r="AQ77" i="17"/>
  <c r="CG77" i="17" s="1"/>
  <c r="AE81" i="17"/>
  <c r="BU81" i="17"/>
  <c r="BS122" i="17"/>
  <c r="AA40" i="17"/>
  <c r="BQ40" i="17" s="1"/>
  <c r="AE126" i="17"/>
  <c r="BU126" i="17" s="1"/>
  <c r="BW126" i="17"/>
  <c r="CK126" i="17"/>
  <c r="CD126" i="17"/>
  <c r="U35" i="17"/>
  <c r="AQ70" i="17"/>
  <c r="AI78" i="17"/>
  <c r="AU98" i="17"/>
  <c r="AF102" i="17"/>
  <c r="AU101" i="17"/>
  <c r="AJ125" i="17"/>
  <c r="AQ109" i="17"/>
  <c r="O18" i="17"/>
  <c r="O53" i="17"/>
  <c r="O17" i="17"/>
  <c r="O22" i="17"/>
  <c r="O52" i="17"/>
  <c r="O115" i="17"/>
  <c r="O116" i="17"/>
  <c r="O51" i="17"/>
  <c r="AS108" i="17"/>
  <c r="CI108" i="17" s="1"/>
  <c r="BX64" i="17"/>
  <c r="AB7" i="17"/>
  <c r="AP7" i="17"/>
  <c r="AN7" i="17"/>
  <c r="AH33" i="17"/>
  <c r="AI41" i="17"/>
  <c r="AA35" i="17"/>
  <c r="U59" i="17"/>
  <c r="AK70" i="17"/>
  <c r="AR78" i="17"/>
  <c r="AS78" i="17"/>
  <c r="AQ79" i="17"/>
  <c r="AI98" i="17"/>
  <c r="AG125" i="17"/>
  <c r="AJ101" i="17"/>
  <c r="AY101" i="17"/>
  <c r="AM109" i="17"/>
  <c r="AT109" i="17"/>
  <c r="AG109" i="17"/>
  <c r="AN109" i="17"/>
  <c r="AG131" i="17"/>
  <c r="AQ132" i="17"/>
  <c r="AB24" i="17"/>
  <c r="BR24" i="17" s="1"/>
  <c r="AJ24" i="17"/>
  <c r="BZ24" i="17" s="1"/>
  <c r="AR24" i="17"/>
  <c r="CH24" i="17" s="1"/>
  <c r="BV24" i="17"/>
  <c r="T59" i="17"/>
  <c r="Q59" i="17"/>
  <c r="AQ95" i="17"/>
  <c r="CG95" i="17" s="1"/>
  <c r="BQ91" i="17"/>
  <c r="AP64" i="17"/>
  <c r="CF64" i="17" s="1"/>
  <c r="AA19" i="17"/>
  <c r="U20" i="17"/>
  <c r="BQ20" i="17"/>
  <c r="BQ100" i="17"/>
  <c r="AS7" i="17"/>
  <c r="AH7" i="17"/>
  <c r="AF7" i="17"/>
  <c r="AG35" i="17"/>
  <c r="AL79" i="17"/>
  <c r="AW125" i="17"/>
  <c r="AQ101" i="17"/>
  <c r="AU123" i="17"/>
  <c r="AC109" i="17"/>
  <c r="AI109" i="17"/>
  <c r="AF109" i="17"/>
  <c r="AF44" i="17"/>
  <c r="BV44" i="17" s="1"/>
  <c r="AY65" i="17"/>
  <c r="AA65" i="17"/>
  <c r="AI65" i="17"/>
  <c r="AQ65" i="17"/>
  <c r="BQ65" i="17"/>
  <c r="BY65" i="17"/>
  <c r="CO65" i="17"/>
  <c r="CG65" i="17"/>
  <c r="AK108" i="17"/>
  <c r="U91" i="17"/>
  <c r="AA9" i="17"/>
  <c r="BQ9" i="17" s="1"/>
  <c r="U13" i="17"/>
  <c r="AA13" i="17"/>
  <c r="BQ13" i="17"/>
  <c r="BQ32" i="17"/>
  <c r="U32" i="17"/>
  <c r="AA32" i="17"/>
  <c r="AC117" i="17"/>
  <c r="BS117" i="17" s="1"/>
  <c r="AK117" i="17"/>
  <c r="AS117" i="17"/>
  <c r="CI117" i="17" s="1"/>
  <c r="AL117" i="17"/>
  <c r="CB117" i="17" s="1"/>
  <c r="AT117" i="17"/>
  <c r="CJ117" i="17" s="1"/>
  <c r="AD117" i="17"/>
  <c r="BT117" i="17" s="1"/>
  <c r="CA117" i="17"/>
  <c r="AI117" i="17"/>
  <c r="BY117" i="17" s="1"/>
  <c r="AP117" i="17"/>
  <c r="CF117" i="17" s="1"/>
  <c r="AO117" i="17"/>
  <c r="CE117" i="17" s="1"/>
  <c r="AF117" i="17"/>
  <c r="BV117" i="17" s="1"/>
  <c r="AU117" i="17"/>
  <c r="CK117" i="17" s="1"/>
  <c r="AA117" i="17"/>
  <c r="AH117" i="17"/>
  <c r="BX117" i="17" s="1"/>
  <c r="AG117" i="17"/>
  <c r="BW117" i="17" s="1"/>
  <c r="AM117" i="17"/>
  <c r="CC117" i="17" s="1"/>
  <c r="AR117" i="17"/>
  <c r="CH117" i="17" s="1"/>
  <c r="AJ117" i="17"/>
  <c r="BZ117" i="17" s="1"/>
  <c r="AB117" i="17"/>
  <c r="BR117" i="17" s="1"/>
  <c r="AE117" i="17"/>
  <c r="BU117" i="17" s="1"/>
  <c r="AY117" i="17"/>
  <c r="CO117" i="17" s="1"/>
  <c r="AV117" i="17"/>
  <c r="CL117" i="17" s="1"/>
  <c r="AQ117" i="17"/>
  <c r="CG117" i="17" s="1"/>
  <c r="AX117" i="17"/>
  <c r="CN117" i="17" s="1"/>
  <c r="AW117" i="17"/>
  <c r="CM117" i="17" s="1"/>
  <c r="AN117" i="17"/>
  <c r="CD117" i="17" s="1"/>
  <c r="U31" i="17"/>
  <c r="AA31" i="17"/>
  <c r="AD30" i="17"/>
  <c r="AL30" i="17"/>
  <c r="AT30" i="17"/>
  <c r="CJ30" i="17" s="1"/>
  <c r="AE30" i="17"/>
  <c r="BU30" i="17" s="1"/>
  <c r="AM30" i="17"/>
  <c r="AU30" i="17"/>
  <c r="AG30" i="17"/>
  <c r="AO30" i="17"/>
  <c r="CE30" i="17" s="1"/>
  <c r="AW30" i="17"/>
  <c r="AJ30" i="17"/>
  <c r="BZ30" i="17" s="1"/>
  <c r="AX30" i="17"/>
  <c r="AK30" i="17"/>
  <c r="AY30" i="17"/>
  <c r="CO30" i="17" s="1"/>
  <c r="AN30" i="17"/>
  <c r="AB30" i="17"/>
  <c r="BR30" i="17" s="1"/>
  <c r="AP30" i="17"/>
  <c r="CF30" i="17" s="1"/>
  <c r="AC30" i="17"/>
  <c r="AQ30" i="17"/>
  <c r="CG30" i="17" s="1"/>
  <c r="AF30" i="17"/>
  <c r="BV30" i="17" s="1"/>
  <c r="AR30" i="17"/>
  <c r="CH30" i="17" s="1"/>
  <c r="AH30" i="17"/>
  <c r="BX30" i="17" s="1"/>
  <c r="AS30" i="17"/>
  <c r="AI30" i="17"/>
  <c r="AV30" i="17"/>
  <c r="CL30" i="17" s="1"/>
  <c r="CI30" i="17"/>
  <c r="CM30" i="17"/>
  <c r="BY30" i="17"/>
  <c r="BT30" i="17"/>
  <c r="CC30" i="17"/>
  <c r="BS30" i="17"/>
  <c r="CB30" i="17"/>
  <c r="CK30" i="17"/>
  <c r="BW30" i="17"/>
  <c r="CA30" i="17"/>
  <c r="CN30" i="17"/>
  <c r="CD30" i="17"/>
  <c r="AA58" i="17"/>
  <c r="AI58" i="17"/>
  <c r="BY58" i="17" s="1"/>
  <c r="AQ58" i="17"/>
  <c r="CG58" i="17" s="1"/>
  <c r="AB58" i="17"/>
  <c r="AJ58" i="17"/>
  <c r="AR58" i="17"/>
  <c r="AC58" i="17"/>
  <c r="AM58" i="17"/>
  <c r="CC58" i="17" s="1"/>
  <c r="AW58" i="17"/>
  <c r="CM58" i="17" s="1"/>
  <c r="AD58" i="17"/>
  <c r="AN58" i="17"/>
  <c r="AX58" i="17"/>
  <c r="CN58" i="17" s="1"/>
  <c r="AE58" i="17"/>
  <c r="AO58" i="17"/>
  <c r="AY58" i="17"/>
  <c r="CO58" i="17" s="1"/>
  <c r="AF58" i="17"/>
  <c r="BV58" i="17" s="1"/>
  <c r="AP58" i="17"/>
  <c r="AG58" i="17"/>
  <c r="BW58" i="17" s="1"/>
  <c r="AS58" i="17"/>
  <c r="CI58" i="17" s="1"/>
  <c r="AH58" i="17"/>
  <c r="BX58" i="17" s="1"/>
  <c r="AT58" i="17"/>
  <c r="AK58" i="17"/>
  <c r="AU58" i="17"/>
  <c r="AL58" i="17"/>
  <c r="AV58" i="17"/>
  <c r="CE58" i="17"/>
  <c r="BZ58" i="17"/>
  <c r="CB58" i="17"/>
  <c r="CF58" i="17"/>
  <c r="CD58" i="17"/>
  <c r="CK58" i="17"/>
  <c r="BS58" i="17"/>
  <c r="CJ58" i="17"/>
  <c r="BR58" i="17"/>
  <c r="BQ58" i="17"/>
  <c r="CH58" i="17"/>
  <c r="BT58" i="17"/>
  <c r="CA58" i="17"/>
  <c r="BU58" i="17"/>
  <c r="CL58" i="17"/>
  <c r="AD27" i="17"/>
  <c r="AF27" i="17"/>
  <c r="Y14" i="17"/>
  <c r="X14" i="17"/>
  <c r="BQ14" i="17"/>
  <c r="BO14" i="17" s="1"/>
  <c r="AG15" i="17"/>
  <c r="BW15" i="17" s="1"/>
  <c r="AO15" i="17"/>
  <c r="AW15" i="17"/>
  <c r="AH15" i="17"/>
  <c r="AP15" i="17"/>
  <c r="CF15" i="17" s="1"/>
  <c r="AX15" i="17"/>
  <c r="AA15" i="17"/>
  <c r="AI15" i="17"/>
  <c r="BY15" i="17" s="1"/>
  <c r="AQ15" i="17"/>
  <c r="CG15" i="17" s="1"/>
  <c r="AY15" i="17"/>
  <c r="CO15" i="17" s="1"/>
  <c r="AD15" i="17"/>
  <c r="AL15" i="17"/>
  <c r="CB15" i="17" s="1"/>
  <c r="AT15" i="17"/>
  <c r="CJ15" i="17" s="1"/>
  <c r="AF15" i="17"/>
  <c r="AV15" i="17"/>
  <c r="AJ15" i="17"/>
  <c r="AK15" i="17"/>
  <c r="CA15" i="17" s="1"/>
  <c r="AM15" i="17"/>
  <c r="AN15" i="17"/>
  <c r="AB15" i="17"/>
  <c r="BR15" i="17" s="1"/>
  <c r="AR15" i="17"/>
  <c r="CH15" i="17" s="1"/>
  <c r="AC15" i="17"/>
  <c r="BS15" i="17" s="1"/>
  <c r="AS15" i="17"/>
  <c r="AE15" i="17"/>
  <c r="BU15" i="17" s="1"/>
  <c r="AU15" i="17"/>
  <c r="CK15" i="17" s="1"/>
  <c r="CE15" i="17"/>
  <c r="CL15" i="17"/>
  <c r="CI15" i="17"/>
  <c r="BZ15" i="17"/>
  <c r="CM15" i="17"/>
  <c r="CN15" i="17"/>
  <c r="BT15" i="17"/>
  <c r="BX15" i="17"/>
  <c r="BV15" i="17"/>
  <c r="CC15" i="17"/>
  <c r="CD15" i="17"/>
  <c r="BQ15" i="17"/>
  <c r="DC7" i="17"/>
  <c r="DC137" i="17" s="1"/>
  <c r="BM137" i="17"/>
  <c r="AO40" i="17"/>
  <c r="AX40" i="17"/>
  <c r="AP40" i="17"/>
  <c r="AY40" i="17"/>
  <c r="AQ40" i="17"/>
  <c r="AR40" i="17"/>
  <c r="CH40" i="17" s="1"/>
  <c r="AS40" i="17"/>
  <c r="CI40" i="17" s="1"/>
  <c r="AK40" i="17"/>
  <c r="AU40" i="17"/>
  <c r="AM40" i="17"/>
  <c r="AV40" i="17"/>
  <c r="AN40" i="17"/>
  <c r="CD40" i="17" s="1"/>
  <c r="AW40" i="17"/>
  <c r="CN40" i="17"/>
  <c r="CF40" i="17"/>
  <c r="CA40" i="17"/>
  <c r="CK40" i="17"/>
  <c r="CG40" i="17"/>
  <c r="CL40" i="17"/>
  <c r="CM40" i="17"/>
  <c r="CE40" i="17"/>
  <c r="CO40" i="17"/>
  <c r="CC40" i="17"/>
  <c r="BQ34" i="17"/>
  <c r="AC71" i="17"/>
  <c r="AK71" i="17"/>
  <c r="CA71" i="17" s="1"/>
  <c r="AS71" i="17"/>
  <c r="AL71" i="17"/>
  <c r="AT71" i="17"/>
  <c r="AE71" i="17"/>
  <c r="AM71" i="17"/>
  <c r="AU71" i="17"/>
  <c r="BS71" i="17"/>
  <c r="CK71" i="17"/>
  <c r="CI71" i="17"/>
  <c r="CB71" i="17"/>
  <c r="CJ71" i="17"/>
  <c r="BU71" i="17"/>
  <c r="CC71" i="17"/>
  <c r="CD71" i="17"/>
  <c r="AR71" i="17"/>
  <c r="CH71" i="17" s="1"/>
  <c r="AE42" i="17"/>
  <c r="BU42" i="17" s="1"/>
  <c r="AA63" i="17"/>
  <c r="BQ63" i="17" s="1"/>
  <c r="AI63" i="17"/>
  <c r="BY63" i="17" s="1"/>
  <c r="AQ63" i="17"/>
  <c r="AY63" i="17"/>
  <c r="CO63" i="17" s="1"/>
  <c r="AB63" i="17"/>
  <c r="AJ63" i="17"/>
  <c r="AR63" i="17"/>
  <c r="AC63" i="17"/>
  <c r="AK63" i="17"/>
  <c r="CA63" i="17" s="1"/>
  <c r="AS63" i="17"/>
  <c r="CI63" i="17" s="1"/>
  <c r="AD63" i="17"/>
  <c r="AL63" i="17"/>
  <c r="AT63" i="17"/>
  <c r="AE63" i="17"/>
  <c r="BU63" i="17" s="1"/>
  <c r="AM63" i="17"/>
  <c r="CC63" i="17" s="1"/>
  <c r="AU63" i="17"/>
  <c r="CK63" i="17" s="1"/>
  <c r="AF63" i="17"/>
  <c r="BV63" i="17" s="1"/>
  <c r="AN63" i="17"/>
  <c r="CD63" i="17" s="1"/>
  <c r="AV63" i="17"/>
  <c r="AG63" i="17"/>
  <c r="BW63" i="17" s="1"/>
  <c r="AO63" i="17"/>
  <c r="CE63" i="17" s="1"/>
  <c r="AW63" i="17"/>
  <c r="CM63" i="17" s="1"/>
  <c r="AP63" i="17"/>
  <c r="AX63" i="17"/>
  <c r="CN63" i="17" s="1"/>
  <c r="AH63" i="17"/>
  <c r="BX63" i="17" s="1"/>
  <c r="BR63" i="17"/>
  <c r="CB63" i="17"/>
  <c r="BT63" i="17"/>
  <c r="CH63" i="17"/>
  <c r="BZ63" i="17"/>
  <c r="CG63" i="17"/>
  <c r="BS63" i="17"/>
  <c r="CJ63" i="17"/>
  <c r="CL63" i="17"/>
  <c r="CF63" i="17"/>
  <c r="AE61" i="17"/>
  <c r="AM61" i="17"/>
  <c r="CC61" i="17" s="1"/>
  <c r="AU61" i="17"/>
  <c r="CK61" i="17" s="1"/>
  <c r="AF61" i="17"/>
  <c r="BV61" i="17" s="1"/>
  <c r="AN61" i="17"/>
  <c r="AV61" i="17"/>
  <c r="AG61" i="17"/>
  <c r="AO61" i="17"/>
  <c r="AW61" i="17"/>
  <c r="CM61" i="17" s="1"/>
  <c r="AH61" i="17"/>
  <c r="BX61" i="17" s="1"/>
  <c r="AP61" i="17"/>
  <c r="CF61" i="17" s="1"/>
  <c r="AX61" i="17"/>
  <c r="AA61" i="17"/>
  <c r="AI61" i="17"/>
  <c r="AQ61" i="17"/>
  <c r="AY61" i="17"/>
  <c r="AB61" i="17"/>
  <c r="BR61" i="17" s="1"/>
  <c r="AJ61" i="17"/>
  <c r="BZ61" i="17" s="1"/>
  <c r="AR61" i="17"/>
  <c r="CH61" i="17" s="1"/>
  <c r="AC61" i="17"/>
  <c r="BS61" i="17" s="1"/>
  <c r="AK61" i="17"/>
  <c r="CA61" i="17" s="1"/>
  <c r="AS61" i="17"/>
  <c r="AT61" i="17"/>
  <c r="AD61" i="17"/>
  <c r="AL61" i="17"/>
  <c r="CJ61" i="17"/>
  <c r="BU61" i="17"/>
  <c r="CD61" i="17"/>
  <c r="BY61" i="17"/>
  <c r="CI61" i="17"/>
  <c r="CN61" i="17"/>
  <c r="CG61" i="17"/>
  <c r="CL61" i="17"/>
  <c r="BW61" i="17"/>
  <c r="CO61" i="17"/>
  <c r="CB61" i="17"/>
  <c r="BT61" i="17"/>
  <c r="CE61" i="17"/>
  <c r="AF73" i="17"/>
  <c r="BV73" i="17" s="1"/>
  <c r="AN73" i="17"/>
  <c r="CD73" i="17" s="1"/>
  <c r="AV73" i="17"/>
  <c r="CL73" i="17" s="1"/>
  <c r="AH73" i="17"/>
  <c r="AP73" i="17"/>
  <c r="AX73" i="17"/>
  <c r="AA73" i="17"/>
  <c r="AI73" i="17"/>
  <c r="AQ73" i="17"/>
  <c r="AY73" i="17"/>
  <c r="AB73" i="17"/>
  <c r="BR73" i="17" s="1"/>
  <c r="AJ73" i="17"/>
  <c r="BZ73" i="17" s="1"/>
  <c r="AR73" i="17"/>
  <c r="AC73" i="17"/>
  <c r="BS73" i="17" s="1"/>
  <c r="AK73" i="17"/>
  <c r="AS73" i="17"/>
  <c r="AD73" i="17"/>
  <c r="AL73" i="17"/>
  <c r="CB73" i="17" s="1"/>
  <c r="AT73" i="17"/>
  <c r="CJ73" i="17" s="1"/>
  <c r="AE73" i="17"/>
  <c r="BU73" i="17" s="1"/>
  <c r="AM73" i="17"/>
  <c r="AU73" i="17"/>
  <c r="BY73" i="17"/>
  <c r="CC73" i="17"/>
  <c r="BX73" i="17"/>
  <c r="CO73" i="17"/>
  <c r="CF73" i="17"/>
  <c r="BQ73" i="17"/>
  <c r="CN73" i="17"/>
  <c r="CK73" i="17"/>
  <c r="CG73" i="17"/>
  <c r="BT73" i="17"/>
  <c r="CI73" i="17"/>
  <c r="CA73" i="17"/>
  <c r="CH73" i="17"/>
  <c r="AB89" i="17"/>
  <c r="BR89" i="17" s="1"/>
  <c r="AJ89" i="17"/>
  <c r="AR89" i="17"/>
  <c r="CH89" i="17" s="1"/>
  <c r="AE89" i="17"/>
  <c r="AM89" i="17"/>
  <c r="AU89" i="17"/>
  <c r="AF89" i="17"/>
  <c r="BV89" i="17" s="1"/>
  <c r="AN89" i="17"/>
  <c r="CD89" i="17" s="1"/>
  <c r="AV89" i="17"/>
  <c r="CL89" i="17" s="1"/>
  <c r="AW89" i="17"/>
  <c r="CM89" i="17" s="1"/>
  <c r="AG89" i="17"/>
  <c r="BW89" i="17" s="1"/>
  <c r="AO89" i="17"/>
  <c r="CE89" i="17" s="1"/>
  <c r="CC89" i="17"/>
  <c r="CK89" i="17"/>
  <c r="BZ89" i="17"/>
  <c r="CF89" i="17"/>
  <c r="BU89" i="17"/>
  <c r="AH105" i="17"/>
  <c r="AP105" i="17"/>
  <c r="AX105" i="17"/>
  <c r="CN105" i="17" s="1"/>
  <c r="AD105" i="17"/>
  <c r="BT105" i="17" s="1"/>
  <c r="AL105" i="17"/>
  <c r="CB105" i="17" s="1"/>
  <c r="AN105" i="17"/>
  <c r="CD105" i="17" s="1"/>
  <c r="AO105" i="17"/>
  <c r="AT105" i="17"/>
  <c r="AV105" i="17"/>
  <c r="AW105" i="17"/>
  <c r="AF105" i="17"/>
  <c r="CM105" i="17"/>
  <c r="BW105" i="17"/>
  <c r="BX105" i="17"/>
  <c r="BV105" i="17"/>
  <c r="AG105" i="17"/>
  <c r="CJ105" i="17"/>
  <c r="CL105" i="17"/>
  <c r="CF105" i="17"/>
  <c r="CE105" i="17"/>
  <c r="AJ105" i="17"/>
  <c r="BZ105" i="17" s="1"/>
  <c r="T106" i="17"/>
  <c r="S106" i="17"/>
  <c r="Q106" i="17"/>
  <c r="AC96" i="17"/>
  <c r="AK96" i="17"/>
  <c r="CA96" i="17" s="1"/>
  <c r="AS96" i="17"/>
  <c r="AB96" i="17"/>
  <c r="AR96" i="17"/>
  <c r="CH96" i="17" s="1"/>
  <c r="AE96" i="17"/>
  <c r="AU96" i="17"/>
  <c r="AH96" i="17"/>
  <c r="BX96" i="17" s="1"/>
  <c r="AX96" i="17"/>
  <c r="AI96" i="17"/>
  <c r="AY96" i="17"/>
  <c r="AJ96" i="17"/>
  <c r="AM96" i="17"/>
  <c r="AA96" i="17"/>
  <c r="AP96" i="17"/>
  <c r="CF96" i="17" s="1"/>
  <c r="AQ96" i="17"/>
  <c r="CG96" i="17" s="1"/>
  <c r="CN96" i="17"/>
  <c r="BR96" i="17"/>
  <c r="BQ96" i="17"/>
  <c r="CE96" i="17"/>
  <c r="BZ96" i="17"/>
  <c r="BY96" i="17"/>
  <c r="BS96" i="17"/>
  <c r="BU96" i="17"/>
  <c r="CO96" i="17"/>
  <c r="CC96" i="17"/>
  <c r="CK96" i="17"/>
  <c r="CI96" i="17"/>
  <c r="BR100" i="17"/>
  <c r="T121" i="17"/>
  <c r="U121" i="17" s="1"/>
  <c r="S121" i="17"/>
  <c r="Q121" i="17"/>
  <c r="AG110" i="17"/>
  <c r="AO110" i="17"/>
  <c r="AW110" i="17"/>
  <c r="CM110" i="17" s="1"/>
  <c r="AC110" i="17"/>
  <c r="AK110" i="17"/>
  <c r="AS110" i="17"/>
  <c r="CI110" i="17" s="1"/>
  <c r="AA110" i="17"/>
  <c r="AL110" i="17"/>
  <c r="AV110" i="17"/>
  <c r="CL110" i="17" s="1"/>
  <c r="AB110" i="17"/>
  <c r="AM110" i="17"/>
  <c r="AX110" i="17"/>
  <c r="CN110" i="17" s="1"/>
  <c r="AD110" i="17"/>
  <c r="BT110" i="17" s="1"/>
  <c r="AN110" i="17"/>
  <c r="AY110" i="17"/>
  <c r="AE110" i="17"/>
  <c r="BU110" i="17" s="1"/>
  <c r="AP110" i="17"/>
  <c r="AF110" i="17"/>
  <c r="AQ110" i="17"/>
  <c r="CG110" i="17" s="1"/>
  <c r="AH110" i="17"/>
  <c r="AR110" i="17"/>
  <c r="CH110" i="17" s="1"/>
  <c r="AI110" i="17"/>
  <c r="BY110" i="17" s="1"/>
  <c r="AT110" i="17"/>
  <c r="AJ110" i="17"/>
  <c r="BZ110" i="17" s="1"/>
  <c r="AU110" i="17"/>
  <c r="BV110" i="17"/>
  <c r="CJ110" i="17"/>
  <c r="CB110" i="17"/>
  <c r="CC110" i="17"/>
  <c r="BX110" i="17"/>
  <c r="BR110" i="17"/>
  <c r="CD110" i="17"/>
  <c r="CA110" i="17"/>
  <c r="CO110" i="17"/>
  <c r="BS110" i="17"/>
  <c r="BW110" i="17"/>
  <c r="CE110" i="17"/>
  <c r="CF110" i="17"/>
  <c r="CK110" i="17"/>
  <c r="BQ110" i="17"/>
  <c r="AH118" i="17"/>
  <c r="BX118" i="17" s="1"/>
  <c r="AP118" i="17"/>
  <c r="CF118" i="17" s="1"/>
  <c r="AX118" i="17"/>
  <c r="AC118" i="17"/>
  <c r="AK118" i="17"/>
  <c r="AS118" i="17"/>
  <c r="AD118" i="17"/>
  <c r="BT118" i="17" s="1"/>
  <c r="AL118" i="17"/>
  <c r="CB118" i="17" s="1"/>
  <c r="AT118" i="17"/>
  <c r="CJ118" i="17" s="1"/>
  <c r="AE118" i="17"/>
  <c r="AM118" i="17"/>
  <c r="CC118" i="17" s="1"/>
  <c r="AU118" i="17"/>
  <c r="BU118" i="17"/>
  <c r="CN118" i="17"/>
  <c r="CI118" i="17"/>
  <c r="BS118" i="17"/>
  <c r="CK118" i="17"/>
  <c r="CA118" i="17"/>
  <c r="AD113" i="17"/>
  <c r="BT113" i="17" s="1"/>
  <c r="AM113" i="17"/>
  <c r="CC113" i="17" s="1"/>
  <c r="AV113" i="17"/>
  <c r="CL113" i="17" s="1"/>
  <c r="AE113" i="17"/>
  <c r="BU113" i="17" s="1"/>
  <c r="AN113" i="17"/>
  <c r="AX113" i="17"/>
  <c r="AF113" i="17"/>
  <c r="AP113" i="17"/>
  <c r="AY113" i="17"/>
  <c r="CO113" i="17" s="1"/>
  <c r="AH113" i="17"/>
  <c r="BX113" i="17" s="1"/>
  <c r="AQ113" i="17"/>
  <c r="CG113" i="17" s="1"/>
  <c r="AI113" i="17"/>
  <c r="AR113" i="17"/>
  <c r="CH113" i="17" s="1"/>
  <c r="AA113" i="17"/>
  <c r="AJ113" i="17"/>
  <c r="AS113" i="17"/>
  <c r="CI113" i="17" s="1"/>
  <c r="AB113" i="17"/>
  <c r="BR113" i="17" s="1"/>
  <c r="AK113" i="17"/>
  <c r="CA113" i="17" s="1"/>
  <c r="AT113" i="17"/>
  <c r="BQ113" i="17"/>
  <c r="BV113" i="17"/>
  <c r="BZ113" i="17"/>
  <c r="BW113" i="17"/>
  <c r="AC113" i="17"/>
  <c r="BS113" i="17" s="1"/>
  <c r="BY113" i="17"/>
  <c r="CD113" i="17"/>
  <c r="AL113" i="17"/>
  <c r="CB113" i="17" s="1"/>
  <c r="CJ113" i="17"/>
  <c r="AU113" i="17"/>
  <c r="CK113" i="17" s="1"/>
  <c r="CN113" i="17"/>
  <c r="CF113" i="17"/>
  <c r="Y135" i="17"/>
  <c r="X135" i="17"/>
  <c r="BQ135" i="17"/>
  <c r="BO135" i="17" s="1"/>
  <c r="Y108" i="17"/>
  <c r="X108" i="17"/>
  <c r="BQ108" i="17"/>
  <c r="Y11" i="17"/>
  <c r="X11" i="17"/>
  <c r="BQ11" i="17"/>
  <c r="BO11" i="17" s="1"/>
  <c r="Y5" i="17"/>
  <c r="BQ5" i="17"/>
  <c r="X5" i="17"/>
  <c r="CU7" i="17"/>
  <c r="CU137" i="17" s="1"/>
  <c r="BE137" i="17"/>
  <c r="Y24" i="17"/>
  <c r="X24" i="17"/>
  <c r="BQ24" i="17"/>
  <c r="T25" i="17"/>
  <c r="U25" i="17" s="1"/>
  <c r="S25" i="17"/>
  <c r="Q25" i="17"/>
  <c r="AX33" i="17"/>
  <c r="AK36" i="17"/>
  <c r="AS36" i="17"/>
  <c r="CI36" i="17" s="1"/>
  <c r="AT36" i="17"/>
  <c r="CJ36" i="17" s="1"/>
  <c r="AM36" i="17"/>
  <c r="CC36" i="17" s="1"/>
  <c r="AU36" i="17"/>
  <c r="CK36" i="17" s="1"/>
  <c r="CM36" i="17"/>
  <c r="CG36" i="17"/>
  <c r="CL36" i="17"/>
  <c r="CO36" i="17"/>
  <c r="CA36" i="17"/>
  <c r="CD36" i="17"/>
  <c r="CF36" i="17"/>
  <c r="CN36" i="17"/>
  <c r="CB36" i="17"/>
  <c r="CE36" i="17"/>
  <c r="AL36" i="17"/>
  <c r="AB43" i="17"/>
  <c r="AI35" i="17"/>
  <c r="AR39" i="17"/>
  <c r="AK39" i="17"/>
  <c r="CA39" i="17" s="1"/>
  <c r="AP39" i="17"/>
  <c r="AQ39" i="17"/>
  <c r="CG39" i="17" s="1"/>
  <c r="AS39" i="17"/>
  <c r="AU39" i="17"/>
  <c r="AV39" i="17"/>
  <c r="AM39" i="17"/>
  <c r="AW39" i="17"/>
  <c r="AN39" i="17"/>
  <c r="CD39" i="17" s="1"/>
  <c r="AX39" i="17"/>
  <c r="CN39" i="17" s="1"/>
  <c r="AO39" i="17"/>
  <c r="CE39" i="17" s="1"/>
  <c r="AY39" i="17"/>
  <c r="CO39" i="17" s="1"/>
  <c r="CB39" i="17"/>
  <c r="CK39" i="17"/>
  <c r="CH39" i="17"/>
  <c r="CF39" i="17"/>
  <c r="CC39" i="17"/>
  <c r="CI39" i="17"/>
  <c r="CM39" i="17"/>
  <c r="CL39" i="17"/>
  <c r="CJ39" i="17"/>
  <c r="AI42" i="17"/>
  <c r="BY42" i="17" s="1"/>
  <c r="BR45" i="17"/>
  <c r="AI43" i="17"/>
  <c r="AB42" i="17"/>
  <c r="BR42" i="17" s="1"/>
  <c r="AV71" i="17"/>
  <c r="CL71" i="17" s="1"/>
  <c r="AG71" i="17"/>
  <c r="BW71" i="17" s="1"/>
  <c r="AH71" i="17"/>
  <c r="BX71" i="17" s="1"/>
  <c r="AA71" i="17"/>
  <c r="BQ71" i="17" s="1"/>
  <c r="AF42" i="17"/>
  <c r="BV42" i="17" s="1"/>
  <c r="AD42" i="17"/>
  <c r="BT42" i="17" s="1"/>
  <c r="AD71" i="17"/>
  <c r="BT71" i="17" s="1"/>
  <c r="AD70" i="17"/>
  <c r="AL70" i="17"/>
  <c r="AT70" i="17"/>
  <c r="CJ70" i="17" s="1"/>
  <c r="CA70" i="17"/>
  <c r="CB70" i="17"/>
  <c r="CE70" i="17"/>
  <c r="CO70" i="17"/>
  <c r="BZ70" i="17"/>
  <c r="BU70" i="17"/>
  <c r="CL70" i="17"/>
  <c r="BX70" i="17"/>
  <c r="BT70" i="17"/>
  <c r="BS70" i="17"/>
  <c r="CG70" i="17"/>
  <c r="AV70" i="17"/>
  <c r="Y77" i="17"/>
  <c r="X77" i="17"/>
  <c r="BQ77" i="17"/>
  <c r="AD87" i="17"/>
  <c r="BT87" i="17" s="1"/>
  <c r="AL87" i="17"/>
  <c r="AT87" i="17"/>
  <c r="CJ87" i="17" s="1"/>
  <c r="AE87" i="17"/>
  <c r="BU87" i="17" s="1"/>
  <c r="AM87" i="17"/>
  <c r="AU87" i="17"/>
  <c r="AF87" i="17"/>
  <c r="AN87" i="17"/>
  <c r="CD87" i="17" s="1"/>
  <c r="AV87" i="17"/>
  <c r="CL87" i="17" s="1"/>
  <c r="CE87" i="17"/>
  <c r="CA87" i="17"/>
  <c r="CN87" i="17"/>
  <c r="CM87" i="17"/>
  <c r="CC87" i="17"/>
  <c r="CF87" i="17"/>
  <c r="CB87" i="17"/>
  <c r="BV87" i="17"/>
  <c r="CK87" i="17"/>
  <c r="AU79" i="17"/>
  <c r="AC89" i="17"/>
  <c r="BS89" i="17" s="1"/>
  <c r="AK99" i="17"/>
  <c r="CA99" i="17" s="1"/>
  <c r="AS99" i="17"/>
  <c r="CI99" i="17" s="1"/>
  <c r="AQ99" i="17"/>
  <c r="CG99" i="17" s="1"/>
  <c r="AT99" i="17"/>
  <c r="CJ99" i="17" s="1"/>
  <c r="AU99" i="17"/>
  <c r="AV99" i="17"/>
  <c r="AL99" i="17"/>
  <c r="CB99" i="17" s="1"/>
  <c r="AW99" i="17"/>
  <c r="AM99" i="17"/>
  <c r="CC99" i="17" s="1"/>
  <c r="AY99" i="17"/>
  <c r="CO99" i="17" s="1"/>
  <c r="AN99" i="17"/>
  <c r="AO99" i="17"/>
  <c r="CE99" i="17" s="1"/>
  <c r="CN99" i="17"/>
  <c r="CF99" i="17"/>
  <c r="CK99" i="17"/>
  <c r="CD99" i="17"/>
  <c r="CM99" i="17"/>
  <c r="CL99" i="17"/>
  <c r="AV78" i="17"/>
  <c r="AS87" i="17"/>
  <c r="CI87" i="17" s="1"/>
  <c r="AD92" i="17"/>
  <c r="AL92" i="17"/>
  <c r="AT92" i="17"/>
  <c r="CJ92" i="17" s="1"/>
  <c r="AF92" i="17"/>
  <c r="AN92" i="17"/>
  <c r="AV92" i="17"/>
  <c r="CL92" i="17" s="1"/>
  <c r="AB92" i="17"/>
  <c r="AY92" i="17"/>
  <c r="CO92" i="17" s="1"/>
  <c r="AC92" i="17"/>
  <c r="BS92" i="17" s="1"/>
  <c r="AI92" i="17"/>
  <c r="AJ92" i="17"/>
  <c r="AK92" i="17"/>
  <c r="AQ92" i="17"/>
  <c r="AS92" i="17"/>
  <c r="CI92" i="17" s="1"/>
  <c r="AA92" i="17"/>
  <c r="AR92" i="17"/>
  <c r="CH92" i="17" s="1"/>
  <c r="BR92" i="17"/>
  <c r="CK92" i="17"/>
  <c r="CM92" i="17"/>
  <c r="BV92" i="17"/>
  <c r="CG92" i="17"/>
  <c r="CB92" i="17"/>
  <c r="BZ92" i="17"/>
  <c r="BT92" i="17"/>
  <c r="CC92" i="17"/>
  <c r="BY92" i="17"/>
  <c r="CA92" i="17"/>
  <c r="CD92" i="17"/>
  <c r="AW96" i="17"/>
  <c r="CM96" i="17" s="1"/>
  <c r="Y64" i="17"/>
  <c r="X64" i="17"/>
  <c r="BQ64" i="17"/>
  <c r="AI79" i="17"/>
  <c r="AJ86" i="17"/>
  <c r="AI102" i="17"/>
  <c r="BY102" i="17" s="1"/>
  <c r="AU102" i="17"/>
  <c r="AA102" i="17"/>
  <c r="BQ102" i="17" s="1"/>
  <c r="AM102" i="17"/>
  <c r="CC102" i="17" s="1"/>
  <c r="AW102" i="17"/>
  <c r="CM102" i="17" s="1"/>
  <c r="AC102" i="17"/>
  <c r="AN102" i="17"/>
  <c r="CD102" i="17" s="1"/>
  <c r="AX102" i="17"/>
  <c r="AE102" i="17"/>
  <c r="AO102" i="17"/>
  <c r="AY102" i="17"/>
  <c r="CO102" i="17" s="1"/>
  <c r="AG102" i="17"/>
  <c r="BW102" i="17" s="1"/>
  <c r="AH102" i="17"/>
  <c r="BX102" i="17" s="1"/>
  <c r="AQ102" i="17"/>
  <c r="CG102" i="17" s="1"/>
  <c r="AS102" i="17"/>
  <c r="CI102" i="17" s="1"/>
  <c r="CH102" i="17"/>
  <c r="BV102" i="17"/>
  <c r="CN102" i="17"/>
  <c r="CE102" i="17"/>
  <c r="BS102" i="17"/>
  <c r="CK102" i="17"/>
  <c r="BU102" i="17"/>
  <c r="AI105" i="17"/>
  <c r="BY105" i="17" s="1"/>
  <c r="AR105" i="17"/>
  <c r="CH105" i="17" s="1"/>
  <c r="AE92" i="17"/>
  <c r="BU92" i="17" s="1"/>
  <c r="AJ102" i="17"/>
  <c r="BZ102" i="17" s="1"/>
  <c r="AE105" i="17"/>
  <c r="BU105" i="17" s="1"/>
  <c r="AG97" i="17"/>
  <c r="BW97" i="17" s="1"/>
  <c r="AJ97" i="17"/>
  <c r="AT97" i="17"/>
  <c r="CJ97" i="17" s="1"/>
  <c r="AU97" i="17"/>
  <c r="CK97" i="17" s="1"/>
  <c r="BT97" i="17"/>
  <c r="BZ97" i="17"/>
  <c r="CO97" i="17"/>
  <c r="CG97" i="17"/>
  <c r="BR97" i="17"/>
  <c r="BX97" i="17"/>
  <c r="CH97" i="17"/>
  <c r="AB111" i="17"/>
  <c r="BR111" i="17" s="1"/>
  <c r="AK111" i="17"/>
  <c r="AU111" i="17"/>
  <c r="CK111" i="17" s="1"/>
  <c r="AC111" i="17"/>
  <c r="AM111" i="17"/>
  <c r="AV111" i="17"/>
  <c r="CL111" i="17" s="1"/>
  <c r="AE111" i="17"/>
  <c r="AN111" i="17"/>
  <c r="CD111" i="17" s="1"/>
  <c r="AW111" i="17"/>
  <c r="CM111" i="17" s="1"/>
  <c r="AF111" i="17"/>
  <c r="AO111" i="17"/>
  <c r="CE111" i="17" s="1"/>
  <c r="AX111" i="17"/>
  <c r="AG111" i="17"/>
  <c r="BW111" i="17" s="1"/>
  <c r="AP111" i="17"/>
  <c r="AY111" i="17"/>
  <c r="CO111" i="17" s="1"/>
  <c r="AH111" i="17"/>
  <c r="BX111" i="17" s="1"/>
  <c r="AQ111" i="17"/>
  <c r="CA111" i="17"/>
  <c r="BS111" i="17"/>
  <c r="BT111" i="17"/>
  <c r="CN111" i="17"/>
  <c r="BU111" i="17"/>
  <c r="CG111" i="17"/>
  <c r="BV111" i="17"/>
  <c r="CC111" i="17"/>
  <c r="CF111" i="17"/>
  <c r="BQ111" i="17"/>
  <c r="X103" i="17"/>
  <c r="BS103" i="17"/>
  <c r="AJ111" i="17"/>
  <c r="BZ111" i="17" s="1"/>
  <c r="AC114" i="17"/>
  <c r="AL114" i="17"/>
  <c r="CB114" i="17" s="1"/>
  <c r="AU114" i="17"/>
  <c r="CK114" i="17" s="1"/>
  <c r="AD114" i="17"/>
  <c r="AM114" i="17"/>
  <c r="AV114" i="17"/>
  <c r="AE114" i="17"/>
  <c r="BU114" i="17" s="1"/>
  <c r="AN114" i="17"/>
  <c r="CD114" i="17" s="1"/>
  <c r="AW114" i="17"/>
  <c r="AF114" i="17"/>
  <c r="BV114" i="17" s="1"/>
  <c r="AO114" i="17"/>
  <c r="CE114" i="17" s="1"/>
  <c r="AY114" i="17"/>
  <c r="AG114" i="17"/>
  <c r="AQ114" i="17"/>
  <c r="AI114" i="17"/>
  <c r="BY114" i="17" s="1"/>
  <c r="AR114" i="17"/>
  <c r="CH114" i="17" s="1"/>
  <c r="AA114" i="17"/>
  <c r="AJ114" i="17"/>
  <c r="BZ114" i="17" s="1"/>
  <c r="AS114" i="17"/>
  <c r="CI114" i="17" s="1"/>
  <c r="AK114" i="17"/>
  <c r="AT114" i="17"/>
  <c r="CL114" i="17"/>
  <c r="CM114" i="17"/>
  <c r="CJ114" i="17"/>
  <c r="AB114" i="17"/>
  <c r="BR114" i="17" s="1"/>
  <c r="BS114" i="17"/>
  <c r="CA114" i="17"/>
  <c r="BW114" i="17"/>
  <c r="BX114" i="17"/>
  <c r="CO114" i="17"/>
  <c r="CG114" i="17"/>
  <c r="CC114" i="17"/>
  <c r="BT114" i="17"/>
  <c r="AG87" i="17"/>
  <c r="BW87" i="17" s="1"/>
  <c r="AR125" i="17"/>
  <c r="CH125" i="17" s="1"/>
  <c r="U129" i="17"/>
  <c r="BO94" i="17"/>
  <c r="Y94" i="17"/>
  <c r="X94" i="17"/>
  <c r="O21" i="17"/>
  <c r="O46" i="17"/>
  <c r="D29" i="8"/>
  <c r="O82" i="17" s="1"/>
  <c r="O67" i="17"/>
  <c r="O84" i="17"/>
  <c r="O88" i="17"/>
  <c r="O83" i="17"/>
  <c r="CP4" i="17"/>
  <c r="CP137" i="17" s="1"/>
  <c r="AZ137" i="17"/>
  <c r="AP48" i="17"/>
  <c r="CF48" i="17" s="1"/>
  <c r="AX48" i="17"/>
  <c r="CN48" i="17" s="1"/>
  <c r="AA48" i="17"/>
  <c r="BQ48" i="17" s="1"/>
  <c r="AI48" i="17"/>
  <c r="AQ48" i="17"/>
  <c r="CG48" i="17" s="1"/>
  <c r="AY48" i="17"/>
  <c r="AE48" i="17"/>
  <c r="BU48" i="17" s="1"/>
  <c r="AM48" i="17"/>
  <c r="CC48" i="17" s="1"/>
  <c r="AU48" i="17"/>
  <c r="CK48" i="17" s="1"/>
  <c r="AF48" i="17"/>
  <c r="BV48" i="17" s="1"/>
  <c r="AN48" i="17"/>
  <c r="CD48" i="17" s="1"/>
  <c r="AV48" i="17"/>
  <c r="CL48" i="17" s="1"/>
  <c r="CA48" i="17"/>
  <c r="BW48" i="17"/>
  <c r="BS48" i="17"/>
  <c r="CM48" i="17"/>
  <c r="CI48" i="17"/>
  <c r="CE48" i="17"/>
  <c r="CB48" i="17"/>
  <c r="BX48" i="17"/>
  <c r="BT48" i="17"/>
  <c r="CJ48" i="17"/>
  <c r="BY48" i="17"/>
  <c r="BR48" i="17"/>
  <c r="CO48" i="17"/>
  <c r="BZ48" i="17"/>
  <c r="CH48" i="17"/>
  <c r="AG12" i="17"/>
  <c r="Y12" i="17" s="1"/>
  <c r="AO12" i="17"/>
  <c r="AW12" i="17"/>
  <c r="CM12" i="17" s="1"/>
  <c r="AH12" i="17"/>
  <c r="AP12" i="17"/>
  <c r="AX12" i="17"/>
  <c r="CC12" i="17"/>
  <c r="CG12" i="17"/>
  <c r="BV12" i="17"/>
  <c r="CE12" i="17"/>
  <c r="CF12" i="17"/>
  <c r="CJ12" i="17"/>
  <c r="CB12" i="17"/>
  <c r="BZ12" i="17"/>
  <c r="CK12" i="17"/>
  <c r="BR12" i="17"/>
  <c r="CA12" i="17"/>
  <c r="CN12" i="17"/>
  <c r="BY12" i="17"/>
  <c r="CL12" i="17"/>
  <c r="CD12" i="17"/>
  <c r="BS12" i="17"/>
  <c r="CO12" i="17"/>
  <c r="CI12" i="17"/>
  <c r="BX12" i="17"/>
  <c r="BU12" i="17"/>
  <c r="CH12" i="17"/>
  <c r="BT12" i="17"/>
  <c r="AW7" i="17"/>
  <c r="S16" i="17"/>
  <c r="T16" i="17"/>
  <c r="U16" i="17" s="1"/>
  <c r="Q16" i="17"/>
  <c r="Y19" i="17"/>
  <c r="X19" i="17"/>
  <c r="BR19" i="17"/>
  <c r="BO19" i="17" s="1"/>
  <c r="AP33" i="17"/>
  <c r="AR36" i="17"/>
  <c r="CH36" i="17" s="1"/>
  <c r="AH37" i="17"/>
  <c r="AA37" i="17"/>
  <c r="BQ37" i="17" s="1"/>
  <c r="AI37" i="17"/>
  <c r="BY37" i="17" s="1"/>
  <c r="AB37" i="17"/>
  <c r="BR37" i="17" s="1"/>
  <c r="AJ37" i="17"/>
  <c r="AC37" i="17"/>
  <c r="BS37" i="17" s="1"/>
  <c r="U37" i="17"/>
  <c r="AD37" i="17"/>
  <c r="BT37" i="17" s="1"/>
  <c r="AE37" i="17"/>
  <c r="AF37" i="17"/>
  <c r="BV37" i="17" s="1"/>
  <c r="AG37" i="17"/>
  <c r="BW37" i="17" s="1"/>
  <c r="BX37" i="17"/>
  <c r="BU37" i="17"/>
  <c r="BZ37" i="17"/>
  <c r="U43" i="17"/>
  <c r="AG42" i="17"/>
  <c r="BW42" i="17" s="1"/>
  <c r="AG41" i="17"/>
  <c r="BW41" i="17" s="1"/>
  <c r="AH41" i="17"/>
  <c r="BV41" i="17"/>
  <c r="BT41" i="17"/>
  <c r="BQ41" i="17"/>
  <c r="BY41" i="17"/>
  <c r="BX41" i="17"/>
  <c r="AJ41" i="17"/>
  <c r="BZ41" i="17" s="1"/>
  <c r="AH35" i="17"/>
  <c r="U42" i="17"/>
  <c r="AO71" i="17"/>
  <c r="CE71" i="17" s="1"/>
  <c r="AP71" i="17"/>
  <c r="CF71" i="17" s="1"/>
  <c r="AI71" i="17"/>
  <c r="BY71" i="17" s="1"/>
  <c r="AD47" i="17"/>
  <c r="BT47" i="17" s="1"/>
  <c r="AL47" i="17"/>
  <c r="AT47" i="17"/>
  <c r="CJ47" i="17" s="1"/>
  <c r="AB47" i="17"/>
  <c r="AK47" i="17"/>
  <c r="CA47" i="17" s="1"/>
  <c r="AU47" i="17"/>
  <c r="CK47" i="17" s="1"/>
  <c r="AC47" i="17"/>
  <c r="AM47" i="17"/>
  <c r="AV47" i="17"/>
  <c r="CL47" i="17" s="1"/>
  <c r="AE47" i="17"/>
  <c r="AN47" i="17"/>
  <c r="CD47" i="17" s="1"/>
  <c r="AW47" i="17"/>
  <c r="AF47" i="17"/>
  <c r="BV47" i="17" s="1"/>
  <c r="AO47" i="17"/>
  <c r="CE47" i="17" s="1"/>
  <c r="AX47" i="17"/>
  <c r="CN47" i="17" s="1"/>
  <c r="AG47" i="17"/>
  <c r="BW47" i="17" s="1"/>
  <c r="AP47" i="17"/>
  <c r="CF47" i="17" s="1"/>
  <c r="AY47" i="17"/>
  <c r="AH47" i="17"/>
  <c r="BX47" i="17" s="1"/>
  <c r="AQ47" i="17"/>
  <c r="AI47" i="17"/>
  <c r="BY47" i="17" s="1"/>
  <c r="AR47" i="17"/>
  <c r="CH47" i="17" s="1"/>
  <c r="AA47" i="17"/>
  <c r="AJ47" i="17"/>
  <c r="BZ47" i="17" s="1"/>
  <c r="AS47" i="17"/>
  <c r="CI47" i="17" s="1"/>
  <c r="CC47" i="17"/>
  <c r="BS47" i="17"/>
  <c r="CB47" i="17"/>
  <c r="CG47" i="17"/>
  <c r="CO47" i="17"/>
  <c r="CM47" i="17"/>
  <c r="BQ47" i="17"/>
  <c r="BU47" i="17"/>
  <c r="BR47" i="17"/>
  <c r="AI70" i="17"/>
  <c r="BY70" i="17" s="1"/>
  <c r="AN70" i="17"/>
  <c r="CD70" i="17" s="1"/>
  <c r="AB79" i="17"/>
  <c r="BR79" i="17" s="1"/>
  <c r="AI87" i="17"/>
  <c r="BY87" i="17" s="1"/>
  <c r="AC56" i="17"/>
  <c r="AA56" i="17"/>
  <c r="AO56" i="17"/>
  <c r="AK89" i="17"/>
  <c r="CA89" i="17" s="1"/>
  <c r="AR99" i="17"/>
  <c r="CH99" i="17" s="1"/>
  <c r="AA86" i="17"/>
  <c r="AH92" i="17"/>
  <c r="BX92" i="17" s="1"/>
  <c r="AR86" i="17"/>
  <c r="AK102" i="17"/>
  <c r="CA102" i="17" s="1"/>
  <c r="AQ105" i="17"/>
  <c r="CG105" i="17" s="1"/>
  <c r="AG93" i="17"/>
  <c r="AO93" i="17"/>
  <c r="AW93" i="17"/>
  <c r="CM93" i="17" s="1"/>
  <c r="AH93" i="17"/>
  <c r="AP93" i="17"/>
  <c r="CF93" i="17" s="1"/>
  <c r="AX93" i="17"/>
  <c r="AA93" i="17"/>
  <c r="AI93" i="17"/>
  <c r="BY93" i="17" s="1"/>
  <c r="AQ93" i="17"/>
  <c r="CG93" i="17" s="1"/>
  <c r="AY93" i="17"/>
  <c r="AB93" i="17"/>
  <c r="BR93" i="17" s="1"/>
  <c r="AJ93" i="17"/>
  <c r="BZ93" i="17" s="1"/>
  <c r="AR93" i="17"/>
  <c r="CH93" i="17" s="1"/>
  <c r="AC93" i="17"/>
  <c r="BS93" i="17" s="1"/>
  <c r="AK93" i="17"/>
  <c r="AS93" i="17"/>
  <c r="AL93" i="17"/>
  <c r="AM93" i="17"/>
  <c r="AN93" i="17"/>
  <c r="CD93" i="17" s="1"/>
  <c r="AT93" i="17"/>
  <c r="CJ93" i="17" s="1"/>
  <c r="AU93" i="17"/>
  <c r="CK93" i="17" s="1"/>
  <c r="AD93" i="17"/>
  <c r="BT93" i="17" s="1"/>
  <c r="AV93" i="17"/>
  <c r="CL93" i="17" s="1"/>
  <c r="AE93" i="17"/>
  <c r="AF93" i="17"/>
  <c r="BV93" i="17" s="1"/>
  <c r="BU93" i="17"/>
  <c r="CO93" i="17"/>
  <c r="CI93" i="17"/>
  <c r="BX93" i="17"/>
  <c r="CC93" i="17"/>
  <c r="CB93" i="17"/>
  <c r="BW93" i="17"/>
  <c r="CA93" i="17"/>
  <c r="CN93" i="17"/>
  <c r="CE93" i="17"/>
  <c r="AC98" i="17"/>
  <c r="BS98" i="17" s="1"/>
  <c r="AN98" i="17"/>
  <c r="AE98" i="17"/>
  <c r="BU98" i="17" s="1"/>
  <c r="AS98" i="17"/>
  <c r="CI98" i="17" s="1"/>
  <c r="AF98" i="17"/>
  <c r="BV98" i="17" s="1"/>
  <c r="AT98" i="17"/>
  <c r="AX98" i="17"/>
  <c r="AL98" i="17"/>
  <c r="CB98" i="17" s="1"/>
  <c r="AM98" i="17"/>
  <c r="CC98" i="17" s="1"/>
  <c r="CL98" i="17"/>
  <c r="CE98" i="17"/>
  <c r="CO98" i="17"/>
  <c r="CF98" i="17"/>
  <c r="CN98" i="17"/>
  <c r="BQ98" i="17"/>
  <c r="BZ98" i="17"/>
  <c r="CH98" i="17"/>
  <c r="BY98" i="17"/>
  <c r="CG98" i="17"/>
  <c r="BT98" i="17"/>
  <c r="CK98" i="17"/>
  <c r="BR98" i="17"/>
  <c r="CJ98" i="17"/>
  <c r="BW98" i="17"/>
  <c r="CM98" i="17"/>
  <c r="CD98" i="17"/>
  <c r="AB102" i="17"/>
  <c r="BR102" i="17" s="1"/>
  <c r="AB99" i="17"/>
  <c r="AE99" i="17"/>
  <c r="BU99" i="17" s="1"/>
  <c r="BQ99" i="17"/>
  <c r="BR99" i="17"/>
  <c r="BS99" i="17"/>
  <c r="BW99" i="17"/>
  <c r="BX99" i="17"/>
  <c r="BY99" i="17"/>
  <c r="AM105" i="17"/>
  <c r="CC105" i="17" s="1"/>
  <c r="AI97" i="17"/>
  <c r="BY97" i="17" s="1"/>
  <c r="AI111" i="17"/>
  <c r="BY111" i="17" s="1"/>
  <c r="AN118" i="17"/>
  <c r="CD118" i="17" s="1"/>
  <c r="AF99" i="17"/>
  <c r="BV99" i="17" s="1"/>
  <c r="AS111" i="17"/>
  <c r="CI111" i="17" s="1"/>
  <c r="AH98" i="17"/>
  <c r="BX98" i="17" s="1"/>
  <c r="AI101" i="17"/>
  <c r="Y133" i="17"/>
  <c r="X133" i="17"/>
  <c r="BQ133" i="17"/>
  <c r="BO133" i="17" s="1"/>
  <c r="AY123" i="17"/>
  <c r="AH123" i="17"/>
  <c r="AE123" i="17"/>
  <c r="AD130" i="17"/>
  <c r="AL130" i="17"/>
  <c r="CB130" i="17" s="1"/>
  <c r="AT130" i="17"/>
  <c r="AE130" i="17"/>
  <c r="BU130" i="17" s="1"/>
  <c r="AM130" i="17"/>
  <c r="AU130" i="17"/>
  <c r="CK130" i="17" s="1"/>
  <c r="AG130" i="17"/>
  <c r="AO130" i="17"/>
  <c r="CE130" i="17" s="1"/>
  <c r="AW130" i="17"/>
  <c r="AH130" i="17"/>
  <c r="BX130" i="17" s="1"/>
  <c r="AP130" i="17"/>
  <c r="AX130" i="17"/>
  <c r="AA130" i="17"/>
  <c r="AI130" i="17"/>
  <c r="AQ130" i="17"/>
  <c r="AY130" i="17"/>
  <c r="CO130" i="17" s="1"/>
  <c r="AR130" i="17"/>
  <c r="AS130" i="17"/>
  <c r="AB130" i="17"/>
  <c r="AV130" i="17"/>
  <c r="AC130" i="17"/>
  <c r="BS130" i="17" s="1"/>
  <c r="AF130" i="17"/>
  <c r="BV130" i="17" s="1"/>
  <c r="AJ130" i="17"/>
  <c r="BZ130" i="17" s="1"/>
  <c r="AK130" i="17"/>
  <c r="CM130" i="17"/>
  <c r="CI130" i="17"/>
  <c r="AN130" i="17"/>
  <c r="CD130" i="17" s="1"/>
  <c r="CG130" i="17"/>
  <c r="BY130" i="17"/>
  <c r="CA130" i="17"/>
  <c r="BT130" i="17"/>
  <c r="BR130" i="17"/>
  <c r="CJ130" i="17"/>
  <c r="CN130" i="17"/>
  <c r="CF130" i="17"/>
  <c r="BW130" i="17"/>
  <c r="CL130" i="17"/>
  <c r="CC130" i="17"/>
  <c r="CH130" i="17"/>
  <c r="AX109" i="17"/>
  <c r="AU109" i="17"/>
  <c r="AH109" i="17"/>
  <c r="AJ109" i="17"/>
  <c r="AP131" i="17"/>
  <c r="X112" i="17"/>
  <c r="Y112" i="17"/>
  <c r="BQ112" i="17"/>
  <c r="BO112" i="17" s="1"/>
  <c r="AH120" i="17"/>
  <c r="AP120" i="17"/>
  <c r="CF120" i="17" s="1"/>
  <c r="AX120" i="17"/>
  <c r="AA120" i="17"/>
  <c r="AI120" i="17"/>
  <c r="AQ120" i="17"/>
  <c r="CG120" i="17" s="1"/>
  <c r="AY120" i="17"/>
  <c r="CO120" i="17" s="1"/>
  <c r="AB120" i="17"/>
  <c r="AJ120" i="17"/>
  <c r="BZ120" i="17" s="1"/>
  <c r="AR120" i="17"/>
  <c r="CH120" i="17" s="1"/>
  <c r="AC120" i="17"/>
  <c r="BS120" i="17" s="1"/>
  <c r="AK120" i="17"/>
  <c r="AS120" i="17"/>
  <c r="CI120" i="17" s="1"/>
  <c r="AD120" i="17"/>
  <c r="AL120" i="17"/>
  <c r="CB120" i="17" s="1"/>
  <c r="AT120" i="17"/>
  <c r="AE120" i="17"/>
  <c r="AM120" i="17"/>
  <c r="CC120" i="17" s="1"/>
  <c r="AU120" i="17"/>
  <c r="AF120" i="17"/>
  <c r="AN120" i="17"/>
  <c r="AV120" i="17"/>
  <c r="CL120" i="17" s="1"/>
  <c r="AG120" i="17"/>
  <c r="BW120" i="17" s="1"/>
  <c r="AO120" i="17"/>
  <c r="AW120" i="17"/>
  <c r="CM120" i="17" s="1"/>
  <c r="BY120" i="17"/>
  <c r="CA120" i="17"/>
  <c r="BT120" i="17"/>
  <c r="BX120" i="17"/>
  <c r="BQ120" i="17"/>
  <c r="BU120" i="17"/>
  <c r="CJ120" i="17"/>
  <c r="CD120" i="17"/>
  <c r="CK120" i="17"/>
  <c r="BV120" i="17"/>
  <c r="CN120" i="17"/>
  <c r="BR120" i="17"/>
  <c r="CE120" i="17"/>
  <c r="AC132" i="17"/>
  <c r="BS132" i="17" s="1"/>
  <c r="AW132" i="17"/>
  <c r="CM132" i="17" s="1"/>
  <c r="AK132" i="17"/>
  <c r="CA132" i="17" s="1"/>
  <c r="AL132" i="17"/>
  <c r="CB132" i="17" s="1"/>
  <c r="AO132" i="17"/>
  <c r="AS132" i="17"/>
  <c r="CI132" i="17" s="1"/>
  <c r="BT132" i="17"/>
  <c r="CH132" i="17"/>
  <c r="CC132" i="17"/>
  <c r="CF132" i="17"/>
  <c r="CJ132" i="17"/>
  <c r="BY132" i="17"/>
  <c r="BZ132" i="17"/>
  <c r="BQ132" i="17"/>
  <c r="CL132" i="17"/>
  <c r="CO132" i="17"/>
  <c r="CG132" i="17"/>
  <c r="CE132" i="17"/>
  <c r="BX132" i="17"/>
  <c r="BW132" i="17"/>
  <c r="AU132" i="17"/>
  <c r="CK132" i="17" s="1"/>
  <c r="CQ5" i="17"/>
  <c r="CQ137" i="17" s="1"/>
  <c r="BA137" i="17"/>
  <c r="U27" i="17"/>
  <c r="AE27" i="17"/>
  <c r="BU27" i="17" s="1"/>
  <c r="AG27" i="17"/>
  <c r="BW27" i="17" s="1"/>
  <c r="AH27" i="17"/>
  <c r="AA27" i="17"/>
  <c r="BQ27" i="17" s="1"/>
  <c r="AB27" i="17"/>
  <c r="BR27" i="17" s="1"/>
  <c r="AI27" i="17"/>
  <c r="AJ27" i="17"/>
  <c r="BT27" i="17"/>
  <c r="BZ27" i="17"/>
  <c r="BY27" i="17"/>
  <c r="BV27" i="17"/>
  <c r="BX27" i="17"/>
  <c r="AH43" i="17"/>
  <c r="AH42" i="17"/>
  <c r="BX42" i="17" s="1"/>
  <c r="AC41" i="17"/>
  <c r="BS41" i="17" s="1"/>
  <c r="AW71" i="17"/>
  <c r="CM71" i="17" s="1"/>
  <c r="AO73" i="17"/>
  <c r="CE73" i="17" s="1"/>
  <c r="AX71" i="17"/>
  <c r="CN71" i="17" s="1"/>
  <c r="AQ71" i="17"/>
  <c r="CG71" i="17" s="1"/>
  <c r="AA70" i="17"/>
  <c r="AF70" i="17"/>
  <c r="BV70" i="17" s="1"/>
  <c r="AE78" i="17"/>
  <c r="BU78" i="17" s="1"/>
  <c r="AN78" i="17"/>
  <c r="AX78" i="17"/>
  <c r="CN78" i="17" s="1"/>
  <c r="AF78" i="17"/>
  <c r="BV78" i="17" s="1"/>
  <c r="AP78" i="17"/>
  <c r="CF78" i="17" s="1"/>
  <c r="AY78" i="17"/>
  <c r="AH78" i="17"/>
  <c r="BX78" i="17" s="1"/>
  <c r="AQ78" i="17"/>
  <c r="CC78" i="17"/>
  <c r="CD78" i="17"/>
  <c r="CL78" i="17"/>
  <c r="CO78" i="17"/>
  <c r="BY78" i="17"/>
  <c r="CH78" i="17"/>
  <c r="CG78" i="17"/>
  <c r="CI78" i="17"/>
  <c r="BS78" i="17"/>
  <c r="AE79" i="17"/>
  <c r="AN79" i="17"/>
  <c r="CD79" i="17" s="1"/>
  <c r="AW79" i="17"/>
  <c r="AF79" i="17"/>
  <c r="AO79" i="17"/>
  <c r="CE79" i="17" s="1"/>
  <c r="AX79" i="17"/>
  <c r="CN79" i="17" s="1"/>
  <c r="AG79" i="17"/>
  <c r="BW79" i="17" s="1"/>
  <c r="AP79" i="17"/>
  <c r="BV79" i="17"/>
  <c r="CF79" i="17"/>
  <c r="BZ79" i="17"/>
  <c r="BU79" i="17"/>
  <c r="BY79" i="17"/>
  <c r="CG79" i="17"/>
  <c r="BX79" i="17"/>
  <c r="CB79" i="17"/>
  <c r="BQ79" i="17"/>
  <c r="CM79" i="17"/>
  <c r="CH79" i="17"/>
  <c r="CK79" i="17"/>
  <c r="AK79" i="17"/>
  <c r="CA79" i="17" s="1"/>
  <c r="AQ87" i="17"/>
  <c r="CG87" i="17" s="1"/>
  <c r="AR56" i="17"/>
  <c r="AX56" i="17"/>
  <c r="AG56" i="17"/>
  <c r="AL78" i="17"/>
  <c r="CB78" i="17" s="1"/>
  <c r="AS89" i="17"/>
  <c r="CI89" i="17" s="1"/>
  <c r="AF96" i="17"/>
  <c r="BV96" i="17" s="1"/>
  <c r="AD79" i="17"/>
  <c r="BT79" i="17" s="1"/>
  <c r="AI86" i="17"/>
  <c r="AP92" i="17"/>
  <c r="CF92" i="17" s="1"/>
  <c r="AW78" i="17"/>
  <c r="CM78" i="17" s="1"/>
  <c r="Y68" i="17"/>
  <c r="X68" i="17"/>
  <c r="BQ68" i="17"/>
  <c r="BO68" i="17" s="1"/>
  <c r="AV102" i="17"/>
  <c r="CL102" i="17" s="1"/>
  <c r="AY105" i="17"/>
  <c r="CO105" i="17" s="1"/>
  <c r="AD96" i="17"/>
  <c r="BT96" i="17" s="1"/>
  <c r="AC105" i="17"/>
  <c r="BS105" i="17" s="1"/>
  <c r="Y81" i="17"/>
  <c r="X81" i="17"/>
  <c r="BQ81" i="17"/>
  <c r="BO81" i="17" s="1"/>
  <c r="AT102" i="17"/>
  <c r="CJ102" i="17" s="1"/>
  <c r="Y90" i="17"/>
  <c r="X90" i="17"/>
  <c r="BQ90" i="17"/>
  <c r="AP102" i="17"/>
  <c r="CF102" i="17" s="1"/>
  <c r="AU105" i="17"/>
  <c r="CK105" i="17" s="1"/>
  <c r="AO97" i="17"/>
  <c r="CE97" i="17" s="1"/>
  <c r="AL97" i="17"/>
  <c r="CB97" i="17" s="1"/>
  <c r="AA97" i="17"/>
  <c r="AR111" i="17"/>
  <c r="CH111" i="17" s="1"/>
  <c r="AV118" i="17"/>
  <c r="CL118" i="17" s="1"/>
  <c r="AD99" i="17"/>
  <c r="BT99" i="17" s="1"/>
  <c r="BQ105" i="17"/>
  <c r="AM125" i="17"/>
  <c r="CC125" i="17" s="1"/>
  <c r="AT125" i="17"/>
  <c r="AU125" i="17"/>
  <c r="CK125" i="17" s="1"/>
  <c r="AD125" i="17"/>
  <c r="BT125" i="17" s="1"/>
  <c r="CM125" i="17"/>
  <c r="CJ125" i="17"/>
  <c r="BV125" i="17"/>
  <c r="CL125" i="17"/>
  <c r="CD125" i="17"/>
  <c r="AE125" i="17"/>
  <c r="BU125" i="17" s="1"/>
  <c r="BZ125" i="17"/>
  <c r="AL125" i="17"/>
  <c r="CB125" i="17" s="1"/>
  <c r="BW125" i="17"/>
  <c r="AA118" i="17"/>
  <c r="BQ118" i="17" s="1"/>
  <c r="AA125" i="17"/>
  <c r="AB118" i="17"/>
  <c r="BR118" i="17" s="1"/>
  <c r="X95" i="17"/>
  <c r="BR95" i="17"/>
  <c r="AJ123" i="17"/>
  <c r="AR123" i="17"/>
  <c r="CH123" i="17" s="1"/>
  <c r="BW123" i="17"/>
  <c r="CC123" i="17"/>
  <c r="CF123" i="17"/>
  <c r="CO123" i="17"/>
  <c r="CG123" i="17"/>
  <c r="CI123" i="17"/>
  <c r="CN123" i="17"/>
  <c r="BX123" i="17"/>
  <c r="CK123" i="17"/>
  <c r="BZ123" i="17"/>
  <c r="BU123" i="17"/>
  <c r="AV123" i="17"/>
  <c r="CL123" i="17" s="1"/>
  <c r="AK123" i="17"/>
  <c r="CA123" i="17" s="1"/>
  <c r="AB123" i="17"/>
  <c r="BR123" i="17" s="1"/>
  <c r="Y122" i="17"/>
  <c r="X122" i="17"/>
  <c r="CX4" i="17"/>
  <c r="CX137" i="17" s="1"/>
  <c r="BH137" i="17"/>
  <c r="Y4" i="17"/>
  <c r="X4" i="17"/>
  <c r="BQ4" i="17"/>
  <c r="CY5" i="17"/>
  <c r="CY137" i="17" s="1"/>
  <c r="BI137" i="17"/>
  <c r="Y10" i="17"/>
  <c r="X10" i="17"/>
  <c r="J10" i="21" s="1"/>
  <c r="BQ10" i="17"/>
  <c r="CR7" i="17"/>
  <c r="CR137" i="17" s="1"/>
  <c r="BB137" i="17"/>
  <c r="AX7" i="17"/>
  <c r="AG7" i="17"/>
  <c r="X9" i="17"/>
  <c r="BR9" i="17"/>
  <c r="AC27" i="17"/>
  <c r="BS27" i="17" s="1"/>
  <c r="BU33" i="17"/>
  <c r="BW33" i="17"/>
  <c r="BT33" i="17"/>
  <c r="BQ33" i="17"/>
  <c r="BY33" i="17"/>
  <c r="BV33" i="17"/>
  <c r="BZ33" i="17"/>
  <c r="BS33" i="17"/>
  <c r="BX33" i="17"/>
  <c r="AC42" i="17"/>
  <c r="BS42" i="17" s="1"/>
  <c r="AF35" i="17"/>
  <c r="Y39" i="17"/>
  <c r="X39" i="17"/>
  <c r="BQ39" i="17"/>
  <c r="AA42" i="17"/>
  <c r="Y9" i="17"/>
  <c r="AW73" i="17"/>
  <c r="CM73" i="17" s="1"/>
  <c r="AS44" i="17"/>
  <c r="CI44" i="17" s="1"/>
  <c r="AK44" i="17"/>
  <c r="AT44" i="17"/>
  <c r="CJ44" i="17" s="1"/>
  <c r="AL44" i="17"/>
  <c r="AU44" i="17"/>
  <c r="AM44" i="17"/>
  <c r="CC44" i="17" s="1"/>
  <c r="AV44" i="17"/>
  <c r="CL44" i="17" s="1"/>
  <c r="AQ44" i="17"/>
  <c r="CG44" i="17" s="1"/>
  <c r="CA44" i="17"/>
  <c r="CE44" i="17"/>
  <c r="CH44" i="17"/>
  <c r="CF44" i="17"/>
  <c r="CN44" i="17"/>
  <c r="CO44" i="17"/>
  <c r="CD44" i="17"/>
  <c r="CM44" i="17"/>
  <c r="CB44" i="17"/>
  <c r="CK44" i="17"/>
  <c r="AY71" i="17"/>
  <c r="CO71" i="17" s="1"/>
  <c r="S54" i="17"/>
  <c r="U54" i="17" s="1"/>
  <c r="Q54" i="17"/>
  <c r="AR70" i="17"/>
  <c r="CH70" i="17" s="1"/>
  <c r="AW70" i="17"/>
  <c r="CM70" i="17" s="1"/>
  <c r="AH89" i="17"/>
  <c r="BX89" i="17" s="1"/>
  <c r="Y65" i="17"/>
  <c r="X65" i="17"/>
  <c r="BR65" i="17"/>
  <c r="BO65" i="17" s="1"/>
  <c r="AA89" i="17"/>
  <c r="BQ89" i="17" s="1"/>
  <c r="Y75" i="17"/>
  <c r="X75" i="17"/>
  <c r="BQ75" i="17"/>
  <c r="BO75" i="17" s="1"/>
  <c r="AT79" i="17"/>
  <c r="CJ79" i="17" s="1"/>
  <c r="AY87" i="17"/>
  <c r="CO87" i="17" s="1"/>
  <c r="AT56" i="17"/>
  <c r="AF56" i="17"/>
  <c r="AP56" i="17"/>
  <c r="AG73" i="17"/>
  <c r="BW73" i="17" s="1"/>
  <c r="AU78" i="17"/>
  <c r="CK78" i="17" s="1"/>
  <c r="AB87" i="17"/>
  <c r="BR87" i="17" s="1"/>
  <c r="AN96" i="17"/>
  <c r="CD96" i="17" s="1"/>
  <c r="AM79" i="17"/>
  <c r="CC79" i="17" s="1"/>
  <c r="AQ86" i="17"/>
  <c r="AD89" i="17"/>
  <c r="BT89" i="17" s="1"/>
  <c r="AX92" i="17"/>
  <c r="CN92" i="17" s="1"/>
  <c r="AO78" i="17"/>
  <c r="CE78" i="17" s="1"/>
  <c r="Y85" i="17"/>
  <c r="X85" i="17"/>
  <c r="BQ85" i="17"/>
  <c r="BO85" i="17" s="1"/>
  <c r="AK105" i="17"/>
  <c r="CA105" i="17" s="1"/>
  <c r="AL102" i="17"/>
  <c r="CB102" i="17" s="1"/>
  <c r="AC97" i="17"/>
  <c r="BS97" i="17" s="1"/>
  <c r="AV97" i="17"/>
  <c r="CL97" i="17" s="1"/>
  <c r="AG118" i="17"/>
  <c r="BW118" i="17" s="1"/>
  <c r="AH125" i="17"/>
  <c r="BX125" i="17" s="1"/>
  <c r="AV101" i="17"/>
  <c r="AT101" i="17"/>
  <c r="AP101" i="17"/>
  <c r="AS101" i="17"/>
  <c r="AI118" i="17"/>
  <c r="BY118" i="17" s="1"/>
  <c r="AI125" i="17"/>
  <c r="BY125" i="17" s="1"/>
  <c r="AJ118" i="17"/>
  <c r="BZ118" i="17" s="1"/>
  <c r="AC125" i="17"/>
  <c r="BS125" i="17" s="1"/>
  <c r="AI123" i="17"/>
  <c r="BY123" i="17" s="1"/>
  <c r="AN123" i="17"/>
  <c r="CD123" i="17" s="1"/>
  <c r="AC123" i="17"/>
  <c r="BS123" i="17" s="1"/>
  <c r="AP109" i="17"/>
  <c r="CF109" i="17" s="1"/>
  <c r="CJ109" i="17"/>
  <c r="CO109" i="17"/>
  <c r="BQ109" i="17"/>
  <c r="CN109" i="17"/>
  <c r="CI109" i="17"/>
  <c r="BR109" i="17"/>
  <c r="CK109" i="17"/>
  <c r="CA109" i="17"/>
  <c r="CD109" i="17"/>
  <c r="BY109" i="17"/>
  <c r="CM109" i="17"/>
  <c r="BU109" i="17"/>
  <c r="CC109" i="17"/>
  <c r="BS109" i="17"/>
  <c r="BW109" i="17"/>
  <c r="CG109" i="17"/>
  <c r="BX109" i="17"/>
  <c r="BV109" i="17"/>
  <c r="BZ109" i="17"/>
  <c r="BT109" i="17"/>
  <c r="CH109" i="17"/>
  <c r="Y126" i="17"/>
  <c r="X126" i="17"/>
  <c r="BQ126" i="17"/>
  <c r="AJ131" i="17"/>
  <c r="BZ131" i="17" s="1"/>
  <c r="AK131" i="17"/>
  <c r="CA131" i="17" s="1"/>
  <c r="AN131" i="17"/>
  <c r="AR131" i="17"/>
  <c r="AS131" i="17"/>
  <c r="AB131" i="17"/>
  <c r="AC131" i="17"/>
  <c r="AV131" i="17"/>
  <c r="CL131" i="17" s="1"/>
  <c r="CD131" i="17"/>
  <c r="BR131" i="17"/>
  <c r="CH131" i="17"/>
  <c r="CE131" i="17"/>
  <c r="CN131" i="17"/>
  <c r="BX131" i="17"/>
  <c r="CB131" i="17"/>
  <c r="BS131" i="17"/>
  <c r="CO131" i="17"/>
  <c r="CJ131" i="17"/>
  <c r="CI131" i="17"/>
  <c r="BT131" i="17"/>
  <c r="CF131" i="17"/>
  <c r="CG131" i="17"/>
  <c r="BW131" i="17"/>
  <c r="BV131" i="17"/>
  <c r="AU131" i="17"/>
  <c r="CK131" i="17" s="1"/>
  <c r="AA127" i="17"/>
  <c r="AI127" i="17"/>
  <c r="AQ127" i="17"/>
  <c r="CG127" i="17" s="1"/>
  <c r="AY127" i="17"/>
  <c r="AB127" i="17"/>
  <c r="BR127" i="17" s="1"/>
  <c r="AJ127" i="17"/>
  <c r="AR127" i="17"/>
  <c r="AC127" i="17"/>
  <c r="BS127" i="17" s="1"/>
  <c r="AK127" i="17"/>
  <c r="AS127" i="17"/>
  <c r="CI127" i="17" s="1"/>
  <c r="AD127" i="17"/>
  <c r="AL127" i="17"/>
  <c r="AT127" i="17"/>
  <c r="CJ127" i="17" s="1"/>
  <c r="AE127" i="17"/>
  <c r="BU127" i="17" s="1"/>
  <c r="AM127" i="17"/>
  <c r="AU127" i="17"/>
  <c r="CK127" i="17" s="1"/>
  <c r="AF127" i="17"/>
  <c r="AG127" i="17"/>
  <c r="AN127" i="17"/>
  <c r="CD127" i="17" s="1"/>
  <c r="AO127" i="17"/>
  <c r="CE127" i="17" s="1"/>
  <c r="AV127" i="17"/>
  <c r="CL127" i="17" s="1"/>
  <c r="AW127" i="17"/>
  <c r="CM127" i="17" s="1"/>
  <c r="BZ127" i="17"/>
  <c r="CA127" i="17"/>
  <c r="BW127" i="17"/>
  <c r="CB127" i="17"/>
  <c r="BV127" i="17"/>
  <c r="CC127" i="17"/>
  <c r="BT127" i="17"/>
  <c r="BY127" i="17"/>
  <c r="CH127" i="17"/>
  <c r="CO127" i="17"/>
  <c r="BQ127" i="17"/>
  <c r="T128" i="17"/>
  <c r="S128" i="17"/>
  <c r="Q128" i="17"/>
  <c r="AE132" i="17"/>
  <c r="BU132" i="17" s="1"/>
  <c r="Y107" i="17"/>
  <c r="X107" i="17"/>
  <c r="BQ107" i="17"/>
  <c r="BO107" i="17" s="1"/>
  <c r="CW4" i="17"/>
  <c r="CW137" i="17" s="1"/>
  <c r="BG137" i="17"/>
  <c r="CV4" i="17"/>
  <c r="CV137" i="17" s="1"/>
  <c r="BF137" i="17"/>
  <c r="CS4" i="17"/>
  <c r="CS137" i="17" s="1"/>
  <c r="BC137" i="17"/>
  <c r="AC29" i="17"/>
  <c r="U29" i="17"/>
  <c r="AG29" i="17"/>
  <c r="AH29" i="17"/>
  <c r="AA29" i="17"/>
  <c r="AB29" i="17"/>
  <c r="AE29" i="17"/>
  <c r="BU29" i="17" s="1"/>
  <c r="AI29" i="17"/>
  <c r="BY29" i="17" s="1"/>
  <c r="AJ29" i="17"/>
  <c r="BZ29" i="17" s="1"/>
  <c r="BX29" i="17"/>
  <c r="BR29" i="17"/>
  <c r="BS29" i="17"/>
  <c r="BW29" i="17"/>
  <c r="AP38" i="17"/>
  <c r="AX38" i="17"/>
  <c r="AQ38" i="17"/>
  <c r="AY38" i="17"/>
  <c r="CO38" i="17" s="1"/>
  <c r="AR38" i="17"/>
  <c r="CH38" i="17" s="1"/>
  <c r="AK38" i="17"/>
  <c r="CA38" i="17" s="1"/>
  <c r="AS38" i="17"/>
  <c r="AN38" i="17"/>
  <c r="AV38" i="17"/>
  <c r="CL38" i="17" s="1"/>
  <c r="AM38" i="17"/>
  <c r="CC38" i="17" s="1"/>
  <c r="AO38" i="17"/>
  <c r="CE38" i="17" s="1"/>
  <c r="AU38" i="17"/>
  <c r="CK38" i="17" s="1"/>
  <c r="AW38" i="17"/>
  <c r="CM38" i="17" s="1"/>
  <c r="CI38" i="17"/>
  <c r="CG38" i="17"/>
  <c r="CD38" i="17"/>
  <c r="CF38" i="17"/>
  <c r="CN38" i="17"/>
  <c r="AI28" i="17"/>
  <c r="AQ28" i="17"/>
  <c r="AY28" i="17"/>
  <c r="AC28" i="17"/>
  <c r="BS28" i="17" s="1"/>
  <c r="AK28" i="17"/>
  <c r="CA28" i="17" s="1"/>
  <c r="AS28" i="17"/>
  <c r="AE28" i="17"/>
  <c r="AM28" i="17"/>
  <c r="AU28" i="17"/>
  <c r="CK28" i="17" s="1"/>
  <c r="AF28" i="17"/>
  <c r="BV28" i="17" s="1"/>
  <c r="AN28" i="17"/>
  <c r="AV28" i="17"/>
  <c r="AG28" i="17"/>
  <c r="BW28" i="17" s="1"/>
  <c r="AH28" i="17"/>
  <c r="BX28" i="17" s="1"/>
  <c r="AO28" i="17"/>
  <c r="CE28" i="17" s="1"/>
  <c r="AP28" i="17"/>
  <c r="CF28" i="17" s="1"/>
  <c r="AW28" i="17"/>
  <c r="CM28" i="17" s="1"/>
  <c r="AX28" i="17"/>
  <c r="CH28" i="17"/>
  <c r="BY28" i="17"/>
  <c r="CI28" i="17"/>
  <c r="CO28" i="17"/>
  <c r="BT28" i="17"/>
  <c r="BZ28" i="17"/>
  <c r="CC28" i="17"/>
  <c r="BU28" i="17"/>
  <c r="CN28" i="17"/>
  <c r="CG28" i="17"/>
  <c r="CL28" i="17"/>
  <c r="CD28" i="17"/>
  <c r="Y23" i="17"/>
  <c r="X23" i="17"/>
  <c r="BQ23" i="17"/>
  <c r="BO23" i="17" s="1"/>
  <c r="AM33" i="17"/>
  <c r="CC33" i="17" s="1"/>
  <c r="AW33" i="17"/>
  <c r="CM33" i="17" s="1"/>
  <c r="AN33" i="17"/>
  <c r="AY33" i="17"/>
  <c r="CO33" i="17" s="1"/>
  <c r="AO33" i="17"/>
  <c r="AQ33" i="17"/>
  <c r="AS33" i="17"/>
  <c r="AT33" i="17"/>
  <c r="AK33" i="17"/>
  <c r="AU33" i="17"/>
  <c r="CK33" i="17" s="1"/>
  <c r="AL33" i="17"/>
  <c r="CB33" i="17" s="1"/>
  <c r="AV33" i="17"/>
  <c r="CL33" i="17" s="1"/>
  <c r="CJ33" i="17"/>
  <c r="CG33" i="17"/>
  <c r="CI33" i="17"/>
  <c r="CD33" i="17"/>
  <c r="CN33" i="17"/>
  <c r="CA33" i="17"/>
  <c r="CF33" i="17"/>
  <c r="CH33" i="17"/>
  <c r="CE33" i="17"/>
  <c r="AK35" i="17"/>
  <c r="CA35" i="17" s="1"/>
  <c r="AM35" i="17"/>
  <c r="AU35" i="17"/>
  <c r="CK35" i="17" s="1"/>
  <c r="AN35" i="17"/>
  <c r="CD35" i="17" s="1"/>
  <c r="AV35" i="17"/>
  <c r="AO35" i="17"/>
  <c r="CE35" i="17" s="1"/>
  <c r="AW35" i="17"/>
  <c r="AP35" i="17"/>
  <c r="AX35" i="17"/>
  <c r="AQ35" i="17"/>
  <c r="AY35" i="17"/>
  <c r="AR35" i="17"/>
  <c r="CH35" i="17" s="1"/>
  <c r="AS35" i="17"/>
  <c r="CI35" i="17" s="1"/>
  <c r="AL35" i="17"/>
  <c r="CB35" i="17" s="1"/>
  <c r="AT35" i="17"/>
  <c r="CJ35" i="17" s="1"/>
  <c r="CC35" i="17"/>
  <c r="CM35" i="17"/>
  <c r="CN35" i="17"/>
  <c r="CL35" i="17"/>
  <c r="CO35" i="17"/>
  <c r="CF35" i="17"/>
  <c r="CG35" i="17"/>
  <c r="BR40" i="17"/>
  <c r="AC43" i="17"/>
  <c r="AD43" i="17"/>
  <c r="BT43" i="17" s="1"/>
  <c r="AE43" i="17"/>
  <c r="BU43" i="17" s="1"/>
  <c r="BX43" i="17"/>
  <c r="BS43" i="17"/>
  <c r="BV43" i="17"/>
  <c r="BY43" i="17"/>
  <c r="BR43" i="17"/>
  <c r="AP34" i="17"/>
  <c r="CF34" i="17" s="1"/>
  <c r="AR34" i="17"/>
  <c r="CH34" i="17" s="1"/>
  <c r="AQ34" i="17"/>
  <c r="CG34" i="17" s="1"/>
  <c r="AS34" i="17"/>
  <c r="CI34" i="17" s="1"/>
  <c r="AT34" i="17"/>
  <c r="AK34" i="17"/>
  <c r="AU34" i="17"/>
  <c r="CK34" i="17" s="1"/>
  <c r="AL34" i="17"/>
  <c r="CB34" i="17" s="1"/>
  <c r="AV34" i="17"/>
  <c r="CL34" i="17" s="1"/>
  <c r="AM34" i="17"/>
  <c r="CC34" i="17" s="1"/>
  <c r="AW34" i="17"/>
  <c r="CM34" i="17" s="1"/>
  <c r="AN34" i="17"/>
  <c r="AX34" i="17"/>
  <c r="AO34" i="17"/>
  <c r="AY34" i="17"/>
  <c r="CO34" i="17" s="1"/>
  <c r="CD34" i="17"/>
  <c r="CJ34" i="17"/>
  <c r="CA34" i="17"/>
  <c r="CN34" i="17"/>
  <c r="CE34" i="17"/>
  <c r="AJ42" i="17"/>
  <c r="BZ42" i="17" s="1"/>
  <c r="Y72" i="17"/>
  <c r="X72" i="17"/>
  <c r="BQ72" i="17"/>
  <c r="BO72" i="17" s="1"/>
  <c r="Y60" i="17"/>
  <c r="X60" i="17"/>
  <c r="BQ60" i="17"/>
  <c r="BO60" i="17" s="1"/>
  <c r="AF71" i="17"/>
  <c r="BV71" i="17" s="1"/>
  <c r="AS79" i="17"/>
  <c r="CI79" i="17" s="1"/>
  <c r="AI89" i="17"/>
  <c r="BY89" i="17" s="1"/>
  <c r="AL96" i="17"/>
  <c r="CB96" i="17" s="1"/>
  <c r="AB78" i="17"/>
  <c r="BR78" i="17" s="1"/>
  <c r="AL56" i="17"/>
  <c r="AJ56" i="17"/>
  <c r="AJ87" i="17"/>
  <c r="BZ87" i="17" s="1"/>
  <c r="AV96" i="17"/>
  <c r="CL96" i="17" s="1"/>
  <c r="AV79" i="17"/>
  <c r="CL79" i="17" s="1"/>
  <c r="AY86" i="17"/>
  <c r="AL89" i="17"/>
  <c r="CB89" i="17" s="1"/>
  <c r="Y69" i="17"/>
  <c r="X69" i="17"/>
  <c r="BQ69" i="17"/>
  <c r="BO69" i="17" s="1"/>
  <c r="AG78" i="17"/>
  <c r="BW78" i="17" s="1"/>
  <c r="AS105" i="17"/>
  <c r="CI105" i="17" s="1"/>
  <c r="AD102" i="17"/>
  <c r="BT102" i="17" s="1"/>
  <c r="AS97" i="17"/>
  <c r="CI97" i="17" s="1"/>
  <c r="AW97" i="17"/>
  <c r="CM97" i="17" s="1"/>
  <c r="AN97" i="17"/>
  <c r="CD97" i="17" s="1"/>
  <c r="AO118" i="17"/>
  <c r="CE118" i="17" s="1"/>
  <c r="AP125" i="17"/>
  <c r="CF125" i="17" s="1"/>
  <c r="AH101" i="17"/>
  <c r="AF101" i="17"/>
  <c r="AQ118" i="17"/>
  <c r="CG118" i="17" s="1"/>
  <c r="AQ125" i="17"/>
  <c r="CG125" i="17" s="1"/>
  <c r="AR118" i="17"/>
  <c r="CH118" i="17" s="1"/>
  <c r="AK125" i="17"/>
  <c r="CA125" i="17" s="1"/>
  <c r="AA123" i="17"/>
  <c r="BQ123" i="17" s="1"/>
  <c r="AF123" i="17"/>
  <c r="BV123" i="17" s="1"/>
  <c r="AT123" i="17"/>
  <c r="CJ123" i="17" s="1"/>
  <c r="AI131" i="17"/>
  <c r="BY131" i="17" s="1"/>
  <c r="AM131" i="17"/>
  <c r="CC131" i="17" s="1"/>
  <c r="BO122" i="17"/>
  <c r="DB7" i="17"/>
  <c r="DB137" i="17" s="1"/>
  <c r="BL137" i="17"/>
  <c r="AD3" i="17"/>
  <c r="AL3" i="17"/>
  <c r="CB3" i="17" s="1"/>
  <c r="AT3" i="17"/>
  <c r="CJ3" i="17" s="1"/>
  <c r="AE3" i="17"/>
  <c r="AM3" i="17"/>
  <c r="AU3" i="17"/>
  <c r="CK3" i="17" s="1"/>
  <c r="AF3" i="17"/>
  <c r="AN3" i="17"/>
  <c r="CD3" i="17" s="1"/>
  <c r="AV3" i="17"/>
  <c r="AG3" i="17"/>
  <c r="AO3" i="17"/>
  <c r="AW3" i="17"/>
  <c r="AH3" i="17"/>
  <c r="AP3" i="17"/>
  <c r="CF3" i="17" s="1"/>
  <c r="AX3" i="17"/>
  <c r="CN3" i="17" s="1"/>
  <c r="AA3" i="17"/>
  <c r="BQ3" i="17" s="1"/>
  <c r="AI3" i="17"/>
  <c r="AQ3" i="17"/>
  <c r="AY3" i="17"/>
  <c r="CO3" i="17" s="1"/>
  <c r="AB3" i="17"/>
  <c r="AJ3" i="17"/>
  <c r="AR3" i="17"/>
  <c r="AC3" i="17"/>
  <c r="BS3" i="17" s="1"/>
  <c r="AK3" i="17"/>
  <c r="AS3" i="17"/>
  <c r="CE3" i="17"/>
  <c r="CM3" i="17"/>
  <c r="CL3" i="17"/>
  <c r="BV3" i="17"/>
  <c r="BY3" i="17"/>
  <c r="CG3" i="17"/>
  <c r="BU3" i="17"/>
  <c r="CI3" i="17"/>
  <c r="BT3" i="17"/>
  <c r="BW3" i="17"/>
  <c r="CA3" i="17"/>
  <c r="CH3" i="17"/>
  <c r="DD4" i="17"/>
  <c r="DD137" i="17" s="1"/>
  <c r="BN137" i="17"/>
  <c r="X12" i="17"/>
  <c r="DA4" i="17"/>
  <c r="DA137" i="17" s="1"/>
  <c r="BK137" i="17"/>
  <c r="AD29" i="17"/>
  <c r="BT29" i="17" s="1"/>
  <c r="AL28" i="17"/>
  <c r="CB28" i="17" s="1"/>
  <c r="CT7" i="17"/>
  <c r="CT137" i="17" s="1"/>
  <c r="BD137" i="17"/>
  <c r="AB28" i="17"/>
  <c r="AG26" i="17"/>
  <c r="BW26" i="17" s="1"/>
  <c r="AO26" i="17"/>
  <c r="AW26" i="17"/>
  <c r="AH26" i="17"/>
  <c r="BX26" i="17" s="1"/>
  <c r="AP26" i="17"/>
  <c r="CF26" i="17" s="1"/>
  <c r="AX26" i="17"/>
  <c r="CN26" i="17" s="1"/>
  <c r="AA26" i="17"/>
  <c r="AI26" i="17"/>
  <c r="BY26" i="17" s="1"/>
  <c r="AQ26" i="17"/>
  <c r="CG26" i="17" s="1"/>
  <c r="AY26" i="17"/>
  <c r="CO26" i="17" s="1"/>
  <c r="AB26" i="17"/>
  <c r="AJ26" i="17"/>
  <c r="AR26" i="17"/>
  <c r="CH26" i="17" s="1"/>
  <c r="AC26" i="17"/>
  <c r="BS26" i="17" s="1"/>
  <c r="AK26" i="17"/>
  <c r="AS26" i="17"/>
  <c r="CI26" i="17" s="1"/>
  <c r="AD26" i="17"/>
  <c r="AL26" i="17"/>
  <c r="CB26" i="17" s="1"/>
  <c r="AT26" i="17"/>
  <c r="AE26" i="17"/>
  <c r="AN26" i="17"/>
  <c r="CD26" i="17" s="1"/>
  <c r="AU26" i="17"/>
  <c r="CK26" i="17" s="1"/>
  <c r="AV26" i="17"/>
  <c r="AF26" i="17"/>
  <c r="AM26" i="17"/>
  <c r="CC26" i="17" s="1"/>
  <c r="CM26" i="17"/>
  <c r="BZ26" i="17"/>
  <c r="BQ26" i="17"/>
  <c r="BV26" i="17"/>
  <c r="BT26" i="17"/>
  <c r="BU26" i="17"/>
  <c r="CA26" i="17"/>
  <c r="CL26" i="17"/>
  <c r="CJ26" i="17"/>
  <c r="CE26" i="17"/>
  <c r="BR26" i="17"/>
  <c r="AL38" i="17"/>
  <c r="CB38" i="17" s="1"/>
  <c r="AL40" i="17"/>
  <c r="CB40" i="17" s="1"/>
  <c r="AB35" i="17"/>
  <c r="AB41" i="17"/>
  <c r="AG43" i="17"/>
  <c r="BW43" i="17" s="1"/>
  <c r="AB33" i="17"/>
  <c r="Y33" i="17" s="1"/>
  <c r="AA30" i="17"/>
  <c r="BQ30" i="17" s="1"/>
  <c r="BO30" i="17" s="1"/>
  <c r="AA43" i="17"/>
  <c r="AB71" i="17"/>
  <c r="BR71" i="17" s="1"/>
  <c r="T49" i="17"/>
  <c r="S49" i="17"/>
  <c r="Q49" i="17"/>
  <c r="AA59" i="17"/>
  <c r="BQ59" i="17" s="1"/>
  <c r="AI59" i="17"/>
  <c r="BY59" i="17" s="1"/>
  <c r="AQ59" i="17"/>
  <c r="AY59" i="17"/>
  <c r="CO59" i="17" s="1"/>
  <c r="AB59" i="17"/>
  <c r="AJ59" i="17"/>
  <c r="BZ59" i="17" s="1"/>
  <c r="AR59" i="17"/>
  <c r="AC59" i="17"/>
  <c r="AK59" i="17"/>
  <c r="AS59" i="17"/>
  <c r="CI59" i="17" s="1"/>
  <c r="AD59" i="17"/>
  <c r="AL59" i="17"/>
  <c r="CB59" i="17" s="1"/>
  <c r="AT59" i="17"/>
  <c r="CJ59" i="17" s="1"/>
  <c r="AE59" i="17"/>
  <c r="BU59" i="17" s="1"/>
  <c r="AM59" i="17"/>
  <c r="AU59" i="17"/>
  <c r="AF59" i="17"/>
  <c r="BV59" i="17" s="1"/>
  <c r="AN59" i="17"/>
  <c r="CD59" i="17" s="1"/>
  <c r="AV59" i="17"/>
  <c r="AG59" i="17"/>
  <c r="AO59" i="17"/>
  <c r="CE59" i="17" s="1"/>
  <c r="AW59" i="17"/>
  <c r="AH59" i="17"/>
  <c r="AP59" i="17"/>
  <c r="CF59" i="17" s="1"/>
  <c r="AX59" i="17"/>
  <c r="CN59" i="17" s="1"/>
  <c r="BT59" i="17"/>
  <c r="BX59" i="17"/>
  <c r="CC59" i="17"/>
  <c r="CH59" i="17"/>
  <c r="BS59" i="17"/>
  <c r="CG59" i="17"/>
  <c r="BR59" i="17"/>
  <c r="BW59" i="17"/>
  <c r="CK59" i="17"/>
  <c r="CA59" i="17"/>
  <c r="CL59" i="17"/>
  <c r="CM59" i="17"/>
  <c r="AB70" i="17"/>
  <c r="BR70" i="17" s="1"/>
  <c r="AX70" i="17"/>
  <c r="CN70" i="17" s="1"/>
  <c r="AG70" i="17"/>
  <c r="BW70" i="17" s="1"/>
  <c r="AU70" i="17"/>
  <c r="CK70" i="17" s="1"/>
  <c r="AX89" i="17"/>
  <c r="CN89" i="17" s="1"/>
  <c r="AH74" i="17"/>
  <c r="BX74" i="17" s="1"/>
  <c r="AP74" i="17"/>
  <c r="AX74" i="17"/>
  <c r="AB74" i="17"/>
  <c r="AJ74" i="17"/>
  <c r="BZ74" i="17" s="1"/>
  <c r="AR74" i="17"/>
  <c r="CH74" i="17" s="1"/>
  <c r="AC74" i="17"/>
  <c r="BS74" i="17" s="1"/>
  <c r="AK74" i="17"/>
  <c r="CA74" i="17" s="1"/>
  <c r="AS74" i="17"/>
  <c r="CI74" i="17" s="1"/>
  <c r="AD74" i="17"/>
  <c r="AL74" i="17"/>
  <c r="AT74" i="17"/>
  <c r="CJ74" i="17" s="1"/>
  <c r="AE74" i="17"/>
  <c r="BU74" i="17" s="1"/>
  <c r="AO74" i="17"/>
  <c r="AU74" i="17"/>
  <c r="CK74" i="17" s="1"/>
  <c r="AV74" i="17"/>
  <c r="AW74" i="17"/>
  <c r="CM74" i="17" s="1"/>
  <c r="AF74" i="17"/>
  <c r="AG74" i="17"/>
  <c r="AM74" i="17"/>
  <c r="CC74" i="17" s="1"/>
  <c r="AN74" i="17"/>
  <c r="CD74" i="17" s="1"/>
  <c r="BQ74" i="17"/>
  <c r="CB74" i="17"/>
  <c r="CF74" i="17"/>
  <c r="CL74" i="17"/>
  <c r="BY74" i="17"/>
  <c r="BR74" i="17"/>
  <c r="CO74" i="17"/>
  <c r="BV74" i="17"/>
  <c r="CN74" i="17"/>
  <c r="BT74" i="17"/>
  <c r="CG74" i="17"/>
  <c r="BW74" i="17"/>
  <c r="CE74" i="17"/>
  <c r="AA78" i="17"/>
  <c r="BQ87" i="17"/>
  <c r="AQ89" i="17"/>
  <c r="CG89" i="17" s="1"/>
  <c r="AT96" i="17"/>
  <c r="CJ96" i="17" s="1"/>
  <c r="U57" i="17"/>
  <c r="AK78" i="17"/>
  <c r="CA78" i="17" s="1"/>
  <c r="T55" i="17"/>
  <c r="AD56" i="17"/>
  <c r="AN56" i="17"/>
  <c r="CD56" i="17" s="1"/>
  <c r="CB56" i="17"/>
  <c r="BZ56" i="17"/>
  <c r="BV56" i="17"/>
  <c r="BS56" i="17"/>
  <c r="BQ56" i="17"/>
  <c r="CE56" i="17"/>
  <c r="BR56" i="17"/>
  <c r="BW56" i="17"/>
  <c r="CA56" i="17"/>
  <c r="BX56" i="17"/>
  <c r="CM56" i="17"/>
  <c r="BT56" i="17"/>
  <c r="CN56" i="17"/>
  <c r="CF56" i="17"/>
  <c r="CJ56" i="17"/>
  <c r="CC56" i="17"/>
  <c r="BU56" i="17"/>
  <c r="CK56" i="17"/>
  <c r="BY56" i="17"/>
  <c r="CO56" i="17"/>
  <c r="CL56" i="17"/>
  <c r="CH56" i="17"/>
  <c r="AC86" i="17"/>
  <c r="AK86" i="17"/>
  <c r="AS86" i="17"/>
  <c r="CI86" i="17" s="1"/>
  <c r="AD86" i="17"/>
  <c r="BT86" i="17" s="1"/>
  <c r="AL86" i="17"/>
  <c r="CB86" i="17" s="1"/>
  <c r="AT86" i="17"/>
  <c r="CJ86" i="17" s="1"/>
  <c r="CK86" i="17"/>
  <c r="BU86" i="17"/>
  <c r="BW86" i="17"/>
  <c r="BY86" i="17"/>
  <c r="BQ86" i="17"/>
  <c r="CO86" i="17"/>
  <c r="CN86" i="17"/>
  <c r="CG86" i="17"/>
  <c r="CH86" i="17"/>
  <c r="CC86" i="17"/>
  <c r="BZ86" i="17"/>
  <c r="BR86" i="17"/>
  <c r="CE86" i="17"/>
  <c r="BV86" i="17"/>
  <c r="CA86" i="17"/>
  <c r="BS86" i="17"/>
  <c r="CD86" i="17"/>
  <c r="CL86" i="17"/>
  <c r="CF86" i="17"/>
  <c r="CM86" i="17"/>
  <c r="AR87" i="17"/>
  <c r="CH87" i="17" s="1"/>
  <c r="AG92" i="17"/>
  <c r="BW92" i="17" s="1"/>
  <c r="AT89" i="17"/>
  <c r="CJ89" i="17" s="1"/>
  <c r="Y104" i="17"/>
  <c r="X104" i="17"/>
  <c r="BQ104" i="17"/>
  <c r="BO104" i="17" s="1"/>
  <c r="AE97" i="17"/>
  <c r="BU97" i="17" s="1"/>
  <c r="AK97" i="17"/>
  <c r="CA97" i="17" s="1"/>
  <c r="AX97" i="17"/>
  <c r="CN97" i="17" s="1"/>
  <c r="AF97" i="17"/>
  <c r="BV97" i="17" s="1"/>
  <c r="AW113" i="17"/>
  <c r="CM113" i="17" s="1"/>
  <c r="AX114" i="17"/>
  <c r="CN114" i="17" s="1"/>
  <c r="AW118" i="17"/>
  <c r="CM118" i="17" s="1"/>
  <c r="AX125" i="17"/>
  <c r="CN125" i="17" s="1"/>
  <c r="AM101" i="17"/>
  <c r="AN101" i="17"/>
  <c r="CD101" i="17" s="1"/>
  <c r="AW101" i="17"/>
  <c r="AX101" i="17"/>
  <c r="CK101" i="17"/>
  <c r="BX101" i="17"/>
  <c r="BW101" i="17"/>
  <c r="CE101" i="17"/>
  <c r="CF101" i="17"/>
  <c r="CB101" i="17"/>
  <c r="CM101" i="17"/>
  <c r="BU101" i="17"/>
  <c r="CO101" i="17"/>
  <c r="BT101" i="17"/>
  <c r="BZ101" i="17"/>
  <c r="CG101" i="17"/>
  <c r="BR101" i="17"/>
  <c r="CJ101" i="17"/>
  <c r="CI101" i="17"/>
  <c r="CA101" i="17"/>
  <c r="BV101" i="17"/>
  <c r="CC101" i="17"/>
  <c r="CL101" i="17"/>
  <c r="CN101" i="17"/>
  <c r="CH101" i="17"/>
  <c r="BY101" i="17"/>
  <c r="BQ101" i="17"/>
  <c r="AC101" i="17"/>
  <c r="AT111" i="17"/>
  <c r="CJ111" i="17" s="1"/>
  <c r="AY118" i="17"/>
  <c r="CO118" i="17" s="1"/>
  <c r="AY125" i="17"/>
  <c r="CO125" i="17" s="1"/>
  <c r="AQ100" i="17"/>
  <c r="AY100" i="17"/>
  <c r="CO100" i="17" s="1"/>
  <c r="AK100" i="17"/>
  <c r="X100" i="17" s="1"/>
  <c r="AS100" i="17"/>
  <c r="AL100" i="17"/>
  <c r="CB100" i="17" s="1"/>
  <c r="AO100" i="17"/>
  <c r="CE100" i="17" s="1"/>
  <c r="AP100" i="17"/>
  <c r="CF100" i="17" s="1"/>
  <c r="AR100" i="17"/>
  <c r="AT100" i="17"/>
  <c r="CJ100" i="17" s="1"/>
  <c r="AU100" i="17"/>
  <c r="CK100" i="17" s="1"/>
  <c r="AV100" i="17"/>
  <c r="CL100" i="17" s="1"/>
  <c r="AM100" i="17"/>
  <c r="CC100" i="17" s="1"/>
  <c r="AN100" i="17"/>
  <c r="AW100" i="17"/>
  <c r="CM100" i="17" s="1"/>
  <c r="AX100" i="17"/>
  <c r="CN100" i="17" s="1"/>
  <c r="CD100" i="17"/>
  <c r="CI100" i="17"/>
  <c r="CA100" i="17"/>
  <c r="CG100" i="17"/>
  <c r="CH100" i="17"/>
  <c r="AS125" i="17"/>
  <c r="CI125" i="17" s="1"/>
  <c r="AW123" i="17"/>
  <c r="CM123" i="17" s="1"/>
  <c r="AL123" i="17"/>
  <c r="CB123" i="17" s="1"/>
  <c r="AA131" i="17"/>
  <c r="AE131" i="17"/>
  <c r="BU131" i="17" s="1"/>
  <c r="AN132" i="17"/>
  <c r="CD132" i="17" s="1"/>
  <c r="BJ137" i="17"/>
  <c r="CZ7" i="17"/>
  <c r="CZ137" i="17" s="1"/>
  <c r="Y6" i="17"/>
  <c r="BQ6" i="17"/>
  <c r="BO6" i="17" s="1"/>
  <c r="X6" i="17"/>
  <c r="AT28" i="17"/>
  <c r="CJ28" i="17" s="1"/>
  <c r="AT7" i="17"/>
  <c r="CJ7" i="17" s="1"/>
  <c r="CO7" i="17"/>
  <c r="CB7" i="17"/>
  <c r="CF7" i="17"/>
  <c r="BT7" i="17"/>
  <c r="BY7" i="17"/>
  <c r="CC7" i="17"/>
  <c r="BR7" i="17"/>
  <c r="CH7" i="17"/>
  <c r="BQ7" i="17"/>
  <c r="CM7" i="17"/>
  <c r="BV7" i="17"/>
  <c r="CG7" i="17"/>
  <c r="CN7" i="17"/>
  <c r="BX7" i="17"/>
  <c r="CL7" i="17"/>
  <c r="BU7" i="17"/>
  <c r="CK7" i="17"/>
  <c r="BZ7" i="17"/>
  <c r="CE7" i="17"/>
  <c r="BS7" i="17"/>
  <c r="CI7" i="17"/>
  <c r="BW7" i="17"/>
  <c r="CA7" i="17"/>
  <c r="CD7" i="17"/>
  <c r="AV7" i="17"/>
  <c r="AG8" i="17"/>
  <c r="AO8" i="17"/>
  <c r="AW8" i="17"/>
  <c r="CM8" i="17" s="1"/>
  <c r="AC8" i="17"/>
  <c r="AK8" i="17"/>
  <c r="AS8" i="17"/>
  <c r="CI8" i="17" s="1"/>
  <c r="AD8" i="17"/>
  <c r="AL8" i="17"/>
  <c r="CB8" i="17" s="1"/>
  <c r="AT8" i="17"/>
  <c r="AF8" i="17"/>
  <c r="AN8" i="17"/>
  <c r="CD8" i="17" s="1"/>
  <c r="AV8" i="17"/>
  <c r="CL8" i="17" s="1"/>
  <c r="CF8" i="17"/>
  <c r="CG8" i="17"/>
  <c r="CJ8" i="17"/>
  <c r="BY8" i="17"/>
  <c r="CE8" i="17"/>
  <c r="BQ8" i="17"/>
  <c r="CO8" i="17"/>
  <c r="BV8" i="17"/>
  <c r="BU8" i="17"/>
  <c r="BR8" i="17"/>
  <c r="BX8" i="17"/>
  <c r="BZ8" i="17"/>
  <c r="CC8" i="17"/>
  <c r="CK8" i="17"/>
  <c r="CH8" i="17"/>
  <c r="BS8" i="17"/>
  <c r="CA8" i="17"/>
  <c r="BW8" i="17"/>
  <c r="CN8" i="17"/>
  <c r="BT8" i="17"/>
  <c r="AF29" i="17"/>
  <c r="BV29" i="17" s="1"/>
  <c r="Y36" i="17"/>
  <c r="X36" i="17"/>
  <c r="BQ36" i="17"/>
  <c r="BO36" i="17" s="1"/>
  <c r="AC35" i="17"/>
  <c r="BR35" i="17"/>
  <c r="BS35" i="17"/>
  <c r="BV35" i="17"/>
  <c r="BT35" i="17"/>
  <c r="BW35" i="17"/>
  <c r="BU35" i="17"/>
  <c r="BQ35" i="17"/>
  <c r="BX35" i="17"/>
  <c r="BY35" i="17"/>
  <c r="BZ35" i="17"/>
  <c r="AT38" i="17"/>
  <c r="CJ38" i="17" s="1"/>
  <c r="AT40" i="17"/>
  <c r="CJ40" i="17" s="1"/>
  <c r="Y44" i="17"/>
  <c r="X44" i="17"/>
  <c r="BQ44" i="17"/>
  <c r="BO44" i="17" s="1"/>
  <c r="AJ35" i="17"/>
  <c r="Y38" i="17"/>
  <c r="BQ38" i="17"/>
  <c r="X38" i="17"/>
  <c r="U41" i="17"/>
  <c r="AJ43" i="17"/>
  <c r="BZ43" i="17" s="1"/>
  <c r="S55" i="17"/>
  <c r="AJ71" i="17"/>
  <c r="BZ71" i="17" s="1"/>
  <c r="AE41" i="17"/>
  <c r="BU41" i="17" s="1"/>
  <c r="T50" i="17"/>
  <c r="S50" i="17"/>
  <c r="Q50" i="17"/>
  <c r="AG62" i="17"/>
  <c r="AO62" i="17"/>
  <c r="AW62" i="17"/>
  <c r="CM62" i="17" s="1"/>
  <c r="AH62" i="17"/>
  <c r="AP62" i="17"/>
  <c r="AX62" i="17"/>
  <c r="CN62" i="17" s="1"/>
  <c r="AA62" i="17"/>
  <c r="BQ62" i="17" s="1"/>
  <c r="AI62" i="17"/>
  <c r="BY62" i="17" s="1"/>
  <c r="AQ62" i="17"/>
  <c r="AY62" i="17"/>
  <c r="CO62" i="17" s="1"/>
  <c r="AB62" i="17"/>
  <c r="BR62" i="17" s="1"/>
  <c r="AJ62" i="17"/>
  <c r="AR62" i="17"/>
  <c r="AC62" i="17"/>
  <c r="BS62" i="17" s="1"/>
  <c r="AK62" i="17"/>
  <c r="CA62" i="17" s="1"/>
  <c r="AS62" i="17"/>
  <c r="CI62" i="17" s="1"/>
  <c r="AD62" i="17"/>
  <c r="AL62" i="17"/>
  <c r="CB62" i="17" s="1"/>
  <c r="AT62" i="17"/>
  <c r="CJ62" i="17" s="1"/>
  <c r="AE62" i="17"/>
  <c r="AM62" i="17"/>
  <c r="AU62" i="17"/>
  <c r="CK62" i="17" s="1"/>
  <c r="AF62" i="17"/>
  <c r="BV62" i="17" s="1"/>
  <c r="AN62" i="17"/>
  <c r="CD62" i="17" s="1"/>
  <c r="AV62" i="17"/>
  <c r="CG62" i="17"/>
  <c r="BT62" i="17"/>
  <c r="BX62" i="17"/>
  <c r="BU62" i="17"/>
  <c r="CH62" i="17"/>
  <c r="BZ62" i="17"/>
  <c r="CC62" i="17"/>
  <c r="CE62" i="17"/>
  <c r="BW62" i="17"/>
  <c r="CF62" i="17"/>
  <c r="CL62" i="17"/>
  <c r="AS70" i="17"/>
  <c r="CI70" i="17" s="1"/>
  <c r="AP70" i="17"/>
  <c r="CF70" i="17" s="1"/>
  <c r="AM70" i="17"/>
  <c r="CC70" i="17" s="1"/>
  <c r="AJ78" i="17"/>
  <c r="BZ78" i="17" s="1"/>
  <c r="AH87" i="17"/>
  <c r="BX87" i="17" s="1"/>
  <c r="AY89" i="17"/>
  <c r="CO89" i="17" s="1"/>
  <c r="AA57" i="17"/>
  <c r="AT78" i="17"/>
  <c r="CJ78" i="17" s="1"/>
  <c r="AS56" i="17"/>
  <c r="CI56" i="17" s="1"/>
  <c r="AQ56" i="17"/>
  <c r="CG56" i="17" s="1"/>
  <c r="AC79" i="17"/>
  <c r="BS79" i="17" s="1"/>
  <c r="AH86" i="17"/>
  <c r="BX86" i="17" s="1"/>
  <c r="AO92" i="17"/>
  <c r="CE92" i="17" s="1"/>
  <c r="AD78" i="17"/>
  <c r="BT78" i="17" s="1"/>
  <c r="AC87" i="17"/>
  <c r="AG96" i="17"/>
  <c r="BW96" i="17" s="1"/>
  <c r="AY79" i="17"/>
  <c r="CO79" i="17" s="1"/>
  <c r="AB105" i="17"/>
  <c r="AA76" i="17"/>
  <c r="AJ76" i="17"/>
  <c r="BZ76" i="17" s="1"/>
  <c r="AT76" i="17"/>
  <c r="AD76" i="17"/>
  <c r="BT76" i="17" s="1"/>
  <c r="AM76" i="17"/>
  <c r="AV76" i="17"/>
  <c r="AE76" i="17"/>
  <c r="BU76" i="17" s="1"/>
  <c r="AN76" i="17"/>
  <c r="CD76" i="17" s="1"/>
  <c r="AW76" i="17"/>
  <c r="AF76" i="17"/>
  <c r="BV76" i="17" s="1"/>
  <c r="AO76" i="17"/>
  <c r="CE76" i="17" s="1"/>
  <c r="AX76" i="17"/>
  <c r="CN76" i="17" s="1"/>
  <c r="AG76" i="17"/>
  <c r="BW76" i="17" s="1"/>
  <c r="AP76" i="17"/>
  <c r="CF76" i="17" s="1"/>
  <c r="AY76" i="17"/>
  <c r="CO76" i="17" s="1"/>
  <c r="AH76" i="17"/>
  <c r="BX76" i="17" s="1"/>
  <c r="AQ76" i="17"/>
  <c r="AI76" i="17"/>
  <c r="BY76" i="17" s="1"/>
  <c r="AR76" i="17"/>
  <c r="CH76" i="17" s="1"/>
  <c r="CB76" i="17"/>
  <c r="CC76" i="17"/>
  <c r="CM76" i="17"/>
  <c r="BR76" i="17"/>
  <c r="CL76" i="17"/>
  <c r="CK76" i="17"/>
  <c r="BQ76" i="17"/>
  <c r="CJ76" i="17"/>
  <c r="BS76" i="17"/>
  <c r="CA76" i="17"/>
  <c r="CI76" i="17"/>
  <c r="CG76" i="17"/>
  <c r="AK98" i="17"/>
  <c r="AM97" i="17"/>
  <c r="CC97" i="17" s="1"/>
  <c r="AP97" i="17"/>
  <c r="CF97" i="17" s="1"/>
  <c r="AO113" i="17"/>
  <c r="CE113" i="17" s="1"/>
  <c r="AJ99" i="17"/>
  <c r="BZ99" i="17" s="1"/>
  <c r="AP114" i="17"/>
  <c r="CF114" i="17" s="1"/>
  <c r="AO125" i="17"/>
  <c r="CE125" i="17" s="1"/>
  <c r="AL111" i="17"/>
  <c r="CB111" i="17" s="1"/>
  <c r="Y103" i="17"/>
  <c r="AB125" i="17"/>
  <c r="BR125" i="17" s="1"/>
  <c r="AO123" i="17"/>
  <c r="CE123" i="17" s="1"/>
  <c r="AD123" i="17"/>
  <c r="BT123" i="17" s="1"/>
  <c r="AO109" i="17"/>
  <c r="CE109" i="17" s="1"/>
  <c r="AL109" i="17"/>
  <c r="CB109" i="17" s="1"/>
  <c r="AV109" i="17"/>
  <c r="CL109" i="17" s="1"/>
  <c r="Y95" i="17"/>
  <c r="T124" i="17"/>
  <c r="S124" i="17"/>
  <c r="Q124" i="17"/>
  <c r="AW131" i="17"/>
  <c r="CM131" i="17" s="1"/>
  <c r="AH134" i="17"/>
  <c r="AP134" i="17"/>
  <c r="CF134" i="17" s="1"/>
  <c r="AX134" i="17"/>
  <c r="CN134" i="17" s="1"/>
  <c r="AC134" i="17"/>
  <c r="BS134" i="17" s="1"/>
  <c r="AK134" i="17"/>
  <c r="CA134" i="17" s="1"/>
  <c r="AS134" i="17"/>
  <c r="CI134" i="17" s="1"/>
  <c r="AF134" i="17"/>
  <c r="BV134" i="17" s="1"/>
  <c r="AV134" i="17"/>
  <c r="AI134" i="17"/>
  <c r="BY134" i="17" s="1"/>
  <c r="AY134" i="17"/>
  <c r="CO134" i="17" s="1"/>
  <c r="AL134" i="17"/>
  <c r="CB134" i="17" s="1"/>
  <c r="AM134" i="17"/>
  <c r="CC134" i="17" s="1"/>
  <c r="AN134" i="17"/>
  <c r="CD134" i="17" s="1"/>
  <c r="AA134" i="17"/>
  <c r="BQ134" i="17" s="1"/>
  <c r="AQ134" i="17"/>
  <c r="CL134" i="17"/>
  <c r="BZ134" i="17"/>
  <c r="CM134" i="17"/>
  <c r="CE134" i="17"/>
  <c r="CG134" i="17"/>
  <c r="BW134" i="17"/>
  <c r="AD134" i="17"/>
  <c r="BT134" i="17" s="1"/>
  <c r="CH134" i="17"/>
  <c r="BX134" i="17"/>
  <c r="AE134" i="17"/>
  <c r="BU134" i="17" s="1"/>
  <c r="AT134" i="17"/>
  <c r="CJ134" i="17" s="1"/>
  <c r="CK134" i="17"/>
  <c r="BR134" i="17"/>
  <c r="AU134" i="17"/>
  <c r="AB132" i="17"/>
  <c r="AX132" i="17"/>
  <c r="CN132" i="17" s="1"/>
  <c r="AF132" i="17"/>
  <c r="BV132" i="17" s="1"/>
  <c r="AF136" i="17"/>
  <c r="BV136" i="17" s="1"/>
  <c r="AP136" i="17"/>
  <c r="AI136" i="17"/>
  <c r="BY136" i="17" s="1"/>
  <c r="AT136" i="17"/>
  <c r="CJ136" i="17" s="1"/>
  <c r="AL136" i="17"/>
  <c r="CB136" i="17" s="1"/>
  <c r="AN136" i="17"/>
  <c r="AW136" i="17"/>
  <c r="AX136" i="17"/>
  <c r="CN136" i="17" s="1"/>
  <c r="AA136" i="17"/>
  <c r="CK136" i="17"/>
  <c r="CG136" i="17"/>
  <c r="BW136" i="17"/>
  <c r="AC136" i="17"/>
  <c r="BS136" i="17" s="1"/>
  <c r="CD136" i="17"/>
  <c r="CO136" i="17"/>
  <c r="CL136" i="17"/>
  <c r="BR136" i="17"/>
  <c r="CA136" i="17"/>
  <c r="CM136" i="17"/>
  <c r="BT136" i="17"/>
  <c r="BU136" i="17"/>
  <c r="CF136" i="17"/>
  <c r="CH136" i="17"/>
  <c r="CI136" i="17"/>
  <c r="CC136" i="17"/>
  <c r="BZ136" i="17"/>
  <c r="BQ136" i="17"/>
  <c r="BX136" i="17"/>
  <c r="CE136" i="17"/>
  <c r="Y119" i="17"/>
  <c r="X119" i="17"/>
  <c r="BQ119" i="17"/>
  <c r="BO119" i="17" s="1"/>
  <c r="AF118" i="17"/>
  <c r="BV118" i="17" s="1"/>
  <c r="U50" i="17" l="1"/>
  <c r="Y74" i="17"/>
  <c r="X101" i="17"/>
  <c r="BO90" i="17"/>
  <c r="S22" i="17"/>
  <c r="T22" i="17"/>
  <c r="Q22" i="17"/>
  <c r="AR45" i="17"/>
  <c r="CH45" i="17" s="1"/>
  <c r="AS45" i="17"/>
  <c r="CI45" i="17" s="1"/>
  <c r="AV45" i="17"/>
  <c r="CL45" i="17" s="1"/>
  <c r="AM45" i="17"/>
  <c r="CC45" i="17" s="1"/>
  <c r="AP45" i="17"/>
  <c r="CF45" i="17" s="1"/>
  <c r="AX45" i="17"/>
  <c r="CN45" i="17" s="1"/>
  <c r="AT45" i="17"/>
  <c r="CJ45" i="17" s="1"/>
  <c r="AO45" i="17"/>
  <c r="CE45" i="17" s="1"/>
  <c r="AW45" i="17"/>
  <c r="CM45" i="17" s="1"/>
  <c r="AQ45" i="17"/>
  <c r="CG45" i="17" s="1"/>
  <c r="AU45" i="17"/>
  <c r="CK45" i="17" s="1"/>
  <c r="AK45" i="17"/>
  <c r="AN45" i="17"/>
  <c r="CD45" i="17" s="1"/>
  <c r="AY45" i="17"/>
  <c r="CO45" i="17" s="1"/>
  <c r="AL45" i="17"/>
  <c r="CB45" i="17" s="1"/>
  <c r="BO95" i="17"/>
  <c r="BW12" i="17"/>
  <c r="BO64" i="17"/>
  <c r="BO108" i="17"/>
  <c r="T17" i="17"/>
  <c r="Q17" i="17"/>
  <c r="S17" i="17"/>
  <c r="BO9" i="17"/>
  <c r="S53" i="17"/>
  <c r="Q53" i="17"/>
  <c r="T53" i="17"/>
  <c r="BO126" i="17"/>
  <c r="BO103" i="17"/>
  <c r="AK13" i="17"/>
  <c r="CA13" i="17" s="1"/>
  <c r="AV13" i="17"/>
  <c r="CL13" i="17" s="1"/>
  <c r="AQ13" i="17"/>
  <c r="CG13" i="17" s="1"/>
  <c r="AM13" i="17"/>
  <c r="CC13" i="17" s="1"/>
  <c r="AS13" i="17"/>
  <c r="CI13" i="17" s="1"/>
  <c r="AG13" i="17"/>
  <c r="BW13" i="17" s="1"/>
  <c r="AY13" i="17"/>
  <c r="CO13" i="17" s="1"/>
  <c r="AD13" i="17"/>
  <c r="BT13" i="17" s="1"/>
  <c r="AO13" i="17"/>
  <c r="CE13" i="17" s="1"/>
  <c r="AL13" i="17"/>
  <c r="CB13" i="17" s="1"/>
  <c r="AW13" i="17"/>
  <c r="CM13" i="17" s="1"/>
  <c r="AB13" i="17"/>
  <c r="AT13" i="17"/>
  <c r="CJ13" i="17" s="1"/>
  <c r="AH13" i="17"/>
  <c r="BX13" i="17" s="1"/>
  <c r="AJ13" i="17"/>
  <c r="BZ13" i="17" s="1"/>
  <c r="AU13" i="17"/>
  <c r="CK13" i="17" s="1"/>
  <c r="AP13" i="17"/>
  <c r="CF13" i="17" s="1"/>
  <c r="AR13" i="17"/>
  <c r="CH13" i="17" s="1"/>
  <c r="AF13" i="17"/>
  <c r="BV13" i="17" s="1"/>
  <c r="AX13" i="17"/>
  <c r="CN13" i="17" s="1"/>
  <c r="AE13" i="17"/>
  <c r="BU13" i="17" s="1"/>
  <c r="AC13" i="17"/>
  <c r="BS13" i="17" s="1"/>
  <c r="AN13" i="17"/>
  <c r="CD13" i="17" s="1"/>
  <c r="AI13" i="17"/>
  <c r="BY13" i="17" s="1"/>
  <c r="Q18" i="17"/>
  <c r="T18" i="17"/>
  <c r="S18" i="17"/>
  <c r="BO10" i="17"/>
  <c r="BO77" i="17"/>
  <c r="BO24" i="17"/>
  <c r="S51" i="17"/>
  <c r="AF51" i="17" s="1"/>
  <c r="T51" i="17"/>
  <c r="Q51" i="17"/>
  <c r="Y34" i="17"/>
  <c r="T116" i="17"/>
  <c r="U116" i="17" s="1"/>
  <c r="Q116" i="17"/>
  <c r="S116" i="17"/>
  <c r="U106" i="17"/>
  <c r="AH91" i="17"/>
  <c r="AI91" i="17"/>
  <c r="BX91" i="17"/>
  <c r="BY91" i="17"/>
  <c r="AR91" i="17"/>
  <c r="CH91" i="17" s="1"/>
  <c r="AM91" i="17"/>
  <c r="CC91" i="17" s="1"/>
  <c r="AC91" i="17"/>
  <c r="BS91" i="17" s="1"/>
  <c r="AU91" i="17"/>
  <c r="CK91" i="17" s="1"/>
  <c r="AK91" i="17"/>
  <c r="CA91" i="17" s="1"/>
  <c r="AF91" i="17"/>
  <c r="BV91" i="17" s="1"/>
  <c r="AS91" i="17"/>
  <c r="CI91" i="17" s="1"/>
  <c r="AN91" i="17"/>
  <c r="CD91" i="17" s="1"/>
  <c r="AY91" i="17"/>
  <c r="CO91" i="17" s="1"/>
  <c r="AD91" i="17"/>
  <c r="BT91" i="17" s="1"/>
  <c r="AV91" i="17"/>
  <c r="CL91" i="17" s="1"/>
  <c r="AX91" i="17"/>
  <c r="CN91" i="17" s="1"/>
  <c r="AL91" i="17"/>
  <c r="CB91" i="17" s="1"/>
  <c r="AG91" i="17"/>
  <c r="BW91" i="17" s="1"/>
  <c r="AQ91" i="17"/>
  <c r="CG91" i="17" s="1"/>
  <c r="AB91" i="17"/>
  <c r="AT91" i="17"/>
  <c r="CJ91" i="17" s="1"/>
  <c r="AO91" i="17"/>
  <c r="CE91" i="17" s="1"/>
  <c r="AJ91" i="17"/>
  <c r="BZ91" i="17" s="1"/>
  <c r="AE91" i="17"/>
  <c r="BU91" i="17" s="1"/>
  <c r="AW91" i="17"/>
  <c r="CM91" i="17" s="1"/>
  <c r="AP91" i="17"/>
  <c r="CF91" i="17" s="1"/>
  <c r="AD20" i="17"/>
  <c r="BT20" i="17" s="1"/>
  <c r="AL20" i="17"/>
  <c r="CB20" i="17" s="1"/>
  <c r="AT20" i="17"/>
  <c r="CJ20" i="17"/>
  <c r="AO20" i="17"/>
  <c r="CE20" i="17" s="1"/>
  <c r="AB20" i="17"/>
  <c r="AE20" i="17"/>
  <c r="BU20" i="17" s="1"/>
  <c r="AW20" i="17"/>
  <c r="CM20" i="17" s="1"/>
  <c r="AJ20" i="17"/>
  <c r="BZ20" i="17" s="1"/>
  <c r="AM20" i="17"/>
  <c r="CC20" i="17" s="1"/>
  <c r="AH20" i="17"/>
  <c r="BX20" i="17" s="1"/>
  <c r="AR20" i="17"/>
  <c r="CH20" i="17" s="1"/>
  <c r="AU20" i="17"/>
  <c r="CK20" i="17" s="1"/>
  <c r="AP20" i="17"/>
  <c r="CF20" i="17" s="1"/>
  <c r="AC20" i="17"/>
  <c r="BS20" i="17" s="1"/>
  <c r="AF20" i="17"/>
  <c r="BV20" i="17" s="1"/>
  <c r="AX20" i="17"/>
  <c r="CN20" i="17" s="1"/>
  <c r="AK20" i="17"/>
  <c r="CA20" i="17" s="1"/>
  <c r="AN20" i="17"/>
  <c r="CD20" i="17" s="1"/>
  <c r="AI20" i="17"/>
  <c r="BY20" i="17" s="1"/>
  <c r="AS20" i="17"/>
  <c r="CI20" i="17" s="1"/>
  <c r="AV20" i="17"/>
  <c r="CL20" i="17" s="1"/>
  <c r="AQ20" i="17"/>
  <c r="CG20" i="17" s="1"/>
  <c r="AG20" i="17"/>
  <c r="BW20" i="17" s="1"/>
  <c r="AY20" i="17"/>
  <c r="CO20" i="17" s="1"/>
  <c r="T115" i="17"/>
  <c r="S115" i="17"/>
  <c r="Q115" i="17"/>
  <c r="AX127" i="17"/>
  <c r="CN127" i="17" s="1"/>
  <c r="AP127" i="17"/>
  <c r="CF127" i="17" s="1"/>
  <c r="AH127" i="17"/>
  <c r="BX127" i="17" s="1"/>
  <c r="T52" i="17"/>
  <c r="S52" i="17"/>
  <c r="Q52" i="17"/>
  <c r="Y45" i="17"/>
  <c r="BO62" i="17"/>
  <c r="AC50" i="17"/>
  <c r="AK50" i="17"/>
  <c r="AS50" i="17"/>
  <c r="AD50" i="17"/>
  <c r="BT50" i="17" s="1"/>
  <c r="AL50" i="17"/>
  <c r="AT50" i="17"/>
  <c r="AE50" i="17"/>
  <c r="BU50" i="17" s="1"/>
  <c r="AM50" i="17"/>
  <c r="AU50" i="17"/>
  <c r="AF50" i="17"/>
  <c r="AN50" i="17"/>
  <c r="CD50" i="17" s="1"/>
  <c r="AV50" i="17"/>
  <c r="CL50" i="17" s="1"/>
  <c r="AA50" i="17"/>
  <c r="AI50" i="17"/>
  <c r="AQ50" i="17"/>
  <c r="AY50" i="17"/>
  <c r="BV50" i="17"/>
  <c r="BS50" i="17"/>
  <c r="CK50" i="17"/>
  <c r="CI50" i="17"/>
  <c r="CB50" i="17"/>
  <c r="CA50" i="17"/>
  <c r="BQ50" i="17"/>
  <c r="CC50" i="17"/>
  <c r="CG50" i="17"/>
  <c r="CJ50" i="17"/>
  <c r="BY50" i="17"/>
  <c r="CO50" i="17"/>
  <c r="AX50" i="17"/>
  <c r="CN50" i="17" s="1"/>
  <c r="AR50" i="17"/>
  <c r="CH50" i="17" s="1"/>
  <c r="AP50" i="17"/>
  <c r="CF50" i="17" s="1"/>
  <c r="AW50" i="17"/>
  <c r="CM50" i="17" s="1"/>
  <c r="AJ50" i="17"/>
  <c r="BZ50" i="17" s="1"/>
  <c r="AH50" i="17"/>
  <c r="BX50" i="17" s="1"/>
  <c r="AO50" i="17"/>
  <c r="CE50" i="17" s="1"/>
  <c r="AG50" i="17"/>
  <c r="BW50" i="17" s="1"/>
  <c r="AB50" i="17"/>
  <c r="BR50" i="17" s="1"/>
  <c r="BO89" i="17"/>
  <c r="AC54" i="17"/>
  <c r="BS54" i="17" s="1"/>
  <c r="AN54" i="17"/>
  <c r="AE54" i="17"/>
  <c r="BU54" i="17" s="1"/>
  <c r="AS54" i="17"/>
  <c r="CL54" i="17"/>
  <c r="CD54" i="17"/>
  <c r="CI54" i="17"/>
  <c r="CN54" i="17"/>
  <c r="AX54" i="17"/>
  <c r="AW54" i="17"/>
  <c r="CM54" i="17" s="1"/>
  <c r="AU54" i="17"/>
  <c r="CK54" i="17" s="1"/>
  <c r="AB54" i="17"/>
  <c r="BR54" i="17" s="1"/>
  <c r="AL54" i="17"/>
  <c r="CB54" i="17" s="1"/>
  <c r="AG54" i="17"/>
  <c r="BW54" i="17" s="1"/>
  <c r="AD54" i="17"/>
  <c r="BT54" i="17" s="1"/>
  <c r="AJ54" i="17"/>
  <c r="BZ54" i="17" s="1"/>
  <c r="AV54" i="17"/>
  <c r="AT54" i="17"/>
  <c r="CJ54" i="17" s="1"/>
  <c r="AR54" i="17"/>
  <c r="CH54" i="17" s="1"/>
  <c r="AK54" i="17"/>
  <c r="CA54" i="17" s="1"/>
  <c r="AF54" i="17"/>
  <c r="BV54" i="17" s="1"/>
  <c r="AA54" i="17"/>
  <c r="AM54" i="17"/>
  <c r="CC54" i="17" s="1"/>
  <c r="AI54" i="17"/>
  <c r="BY54" i="17" s="1"/>
  <c r="AO54" i="17"/>
  <c r="CE54" i="17" s="1"/>
  <c r="AH54" i="17"/>
  <c r="BX54" i="17" s="1"/>
  <c r="AQ54" i="17"/>
  <c r="CG54" i="17" s="1"/>
  <c r="AP54" i="17"/>
  <c r="CF54" i="17" s="1"/>
  <c r="AY54" i="17"/>
  <c r="CO54" i="17" s="1"/>
  <c r="Y99" i="17"/>
  <c r="Y76" i="17"/>
  <c r="X76" i="17"/>
  <c r="BJ139" i="17"/>
  <c r="AX2" i="21"/>
  <c r="Y79" i="17"/>
  <c r="X111" i="17"/>
  <c r="BO71" i="17"/>
  <c r="X132" i="17"/>
  <c r="BR132" i="17"/>
  <c r="Y132" i="17"/>
  <c r="BO134" i="17"/>
  <c r="X134" i="17"/>
  <c r="Y134" i="17"/>
  <c r="BR105" i="17"/>
  <c r="Y105" i="17"/>
  <c r="X105" i="17"/>
  <c r="BO35" i="17"/>
  <c r="BO7" i="17"/>
  <c r="Y35" i="17"/>
  <c r="S82" i="17"/>
  <c r="T82" i="17"/>
  <c r="Q82" i="17"/>
  <c r="BO76" i="17"/>
  <c r="F16" i="21"/>
  <c r="Y7" i="17"/>
  <c r="BO118" i="17"/>
  <c r="U124" i="17"/>
  <c r="Y98" i="17"/>
  <c r="X98" i="17"/>
  <c r="CA98" i="17"/>
  <c r="X87" i="17"/>
  <c r="BS87" i="17"/>
  <c r="Y87" i="17"/>
  <c r="BQ57" i="17"/>
  <c r="BO123" i="17"/>
  <c r="Y109" i="17"/>
  <c r="BO8" i="17"/>
  <c r="Y8" i="17"/>
  <c r="X8" i="17"/>
  <c r="BO136" i="17"/>
  <c r="Y136" i="17"/>
  <c r="X136" i="17"/>
  <c r="Y62" i="17"/>
  <c r="X62" i="17"/>
  <c r="BO38" i="17"/>
  <c r="AN41" i="17"/>
  <c r="CD41" i="17" s="1"/>
  <c r="AW41" i="17"/>
  <c r="AO41" i="17"/>
  <c r="AX41" i="17"/>
  <c r="AP41" i="17"/>
  <c r="AY41" i="17"/>
  <c r="CO41" i="17" s="1"/>
  <c r="AQ41" i="17"/>
  <c r="CG41" i="17" s="1"/>
  <c r="AR41" i="17"/>
  <c r="CH41" i="17" s="1"/>
  <c r="AS41" i="17"/>
  <c r="CI41" i="17" s="1"/>
  <c r="AK41" i="17"/>
  <c r="AT41" i="17"/>
  <c r="AL41" i="17"/>
  <c r="AV41" i="17"/>
  <c r="CL41" i="17" s="1"/>
  <c r="CM41" i="17"/>
  <c r="CE41" i="17"/>
  <c r="CB41" i="17"/>
  <c r="CJ41" i="17"/>
  <c r="CN41" i="17"/>
  <c r="CF41" i="17"/>
  <c r="AM41" i="17"/>
  <c r="CC41" i="17" s="1"/>
  <c r="AU41" i="17"/>
  <c r="CK41" i="17" s="1"/>
  <c r="Y26" i="17"/>
  <c r="X26" i="17"/>
  <c r="DA139" i="17"/>
  <c r="AY3" i="21"/>
  <c r="BO40" i="17"/>
  <c r="BH139" i="17"/>
  <c r="AV2" i="21"/>
  <c r="Y101" i="17"/>
  <c r="BO105" i="17"/>
  <c r="Y70" i="17"/>
  <c r="X70" i="17"/>
  <c r="Y93" i="17"/>
  <c r="X93" i="17"/>
  <c r="Y48" i="17"/>
  <c r="X48" i="17"/>
  <c r="J17" i="21" s="1"/>
  <c r="AC129" i="17"/>
  <c r="AK129" i="17"/>
  <c r="AS129" i="17"/>
  <c r="CI129" i="17" s="1"/>
  <c r="AG129" i="17"/>
  <c r="AO129" i="17"/>
  <c r="AW129" i="17"/>
  <c r="AP129" i="17"/>
  <c r="CF129" i="17" s="1"/>
  <c r="AQ129" i="17"/>
  <c r="CG129" i="17" s="1"/>
  <c r="AT129" i="17"/>
  <c r="AA129" i="17"/>
  <c r="AX129" i="17"/>
  <c r="CN129" i="17" s="1"/>
  <c r="AD129" i="17"/>
  <c r="BT129" i="17" s="1"/>
  <c r="AY129" i="17"/>
  <c r="AH129" i="17"/>
  <c r="AI129" i="17"/>
  <c r="BY129" i="17" s="1"/>
  <c r="AL129" i="17"/>
  <c r="CB129" i="17" s="1"/>
  <c r="BQ129" i="17"/>
  <c r="CM129" i="17"/>
  <c r="BX129" i="17"/>
  <c r="CE129" i="17"/>
  <c r="CO129" i="17"/>
  <c r="BW129" i="17"/>
  <c r="CA129" i="17"/>
  <c r="BS129" i="17"/>
  <c r="CJ129" i="17"/>
  <c r="AU129" i="17"/>
  <c r="CK129" i="17" s="1"/>
  <c r="AV129" i="17"/>
  <c r="CL129" i="17" s="1"/>
  <c r="AM129" i="17"/>
  <c r="CC129" i="17" s="1"/>
  <c r="AN129" i="17"/>
  <c r="CD129" i="17" s="1"/>
  <c r="AE129" i="17"/>
  <c r="BU129" i="17" s="1"/>
  <c r="AF129" i="17"/>
  <c r="BV129" i="17" s="1"/>
  <c r="AR129" i="17"/>
  <c r="CH129" i="17" s="1"/>
  <c r="AJ129" i="17"/>
  <c r="BZ129" i="17" s="1"/>
  <c r="AB129" i="17"/>
  <c r="BR129" i="17" s="1"/>
  <c r="BO111" i="17"/>
  <c r="Y111" i="17"/>
  <c r="Y61" i="17"/>
  <c r="X61" i="17"/>
  <c r="Y117" i="17"/>
  <c r="X117" i="17"/>
  <c r="U55" i="17"/>
  <c r="Y78" i="17"/>
  <c r="X78" i="17"/>
  <c r="AA49" i="17"/>
  <c r="U49" i="17"/>
  <c r="BQ49" i="17"/>
  <c r="X40" i="17"/>
  <c r="BC139" i="17"/>
  <c r="AQ2" i="21"/>
  <c r="BO127" i="17"/>
  <c r="CX139" i="17"/>
  <c r="AV3" i="21"/>
  <c r="AL27" i="17"/>
  <c r="AT27" i="17"/>
  <c r="AN27" i="17"/>
  <c r="AV27" i="17"/>
  <c r="CL27" i="17" s="1"/>
  <c r="AO27" i="17"/>
  <c r="AW27" i="17"/>
  <c r="AY27" i="17"/>
  <c r="CO27" i="17" s="1"/>
  <c r="AP27" i="17"/>
  <c r="CF27" i="17" s="1"/>
  <c r="AQ27" i="17"/>
  <c r="AX27" i="17"/>
  <c r="CN27" i="17" s="1"/>
  <c r="CJ27" i="17"/>
  <c r="CE27" i="17"/>
  <c r="CG27" i="17"/>
  <c r="CD27" i="17"/>
  <c r="CB27" i="17"/>
  <c r="CM27" i="17"/>
  <c r="AU27" i="17"/>
  <c r="CK27" i="17" s="1"/>
  <c r="AM27" i="17"/>
  <c r="CC27" i="17" s="1"/>
  <c r="AS27" i="17"/>
  <c r="CI27" i="17" s="1"/>
  <c r="AR27" i="17"/>
  <c r="CH27" i="17" s="1"/>
  <c r="AK27" i="17"/>
  <c r="CA27" i="17" s="1"/>
  <c r="BO132" i="17"/>
  <c r="BO98" i="17"/>
  <c r="T67" i="17"/>
  <c r="S67" i="17"/>
  <c r="Q67" i="17"/>
  <c r="Y114" i="17"/>
  <c r="X114" i="17"/>
  <c r="BO102" i="17"/>
  <c r="Y92" i="17"/>
  <c r="X92" i="17"/>
  <c r="BO96" i="17"/>
  <c r="BM139" i="17"/>
  <c r="BA2" i="21"/>
  <c r="BO58" i="17"/>
  <c r="BQ31" i="17"/>
  <c r="BO74" i="17"/>
  <c r="Y40" i="17"/>
  <c r="BO26" i="17"/>
  <c r="AR2" i="21"/>
  <c r="BD139" i="17"/>
  <c r="BN139" i="17"/>
  <c r="BB2" i="21"/>
  <c r="BZ3" i="17"/>
  <c r="CC3" i="17"/>
  <c r="CS139" i="17"/>
  <c r="AQ3" i="21"/>
  <c r="K10" i="21"/>
  <c r="BA139" i="17"/>
  <c r="AO2" i="21"/>
  <c r="Y120" i="17"/>
  <c r="X120" i="17"/>
  <c r="Y47" i="17"/>
  <c r="X47" i="17"/>
  <c r="AG16" i="17"/>
  <c r="AO16" i="17"/>
  <c r="AW16" i="17"/>
  <c r="AH16" i="17"/>
  <c r="BX16" i="17" s="1"/>
  <c r="AP16" i="17"/>
  <c r="AX16" i="17"/>
  <c r="AA16" i="17"/>
  <c r="AD16" i="17"/>
  <c r="BT16" i="17" s="1"/>
  <c r="AI16" i="17"/>
  <c r="AS16" i="17"/>
  <c r="CI16" i="17" s="1"/>
  <c r="AJ16" i="17"/>
  <c r="AT16" i="17"/>
  <c r="CJ16" i="17" s="1"/>
  <c r="AK16" i="17"/>
  <c r="AU16" i="17"/>
  <c r="AL16" i="17"/>
  <c r="AV16" i="17"/>
  <c r="CL16" i="17" s="1"/>
  <c r="AB16" i="17"/>
  <c r="AM16" i="17"/>
  <c r="AY16" i="17"/>
  <c r="CO16" i="17" s="1"/>
  <c r="AC16" i="17"/>
  <c r="BS16" i="17" s="1"/>
  <c r="AN16" i="17"/>
  <c r="AE16" i="17"/>
  <c r="BU16" i="17" s="1"/>
  <c r="AQ16" i="17"/>
  <c r="AF16" i="17"/>
  <c r="BV16" i="17" s="1"/>
  <c r="AR16" i="17"/>
  <c r="CA16" i="17"/>
  <c r="CD16" i="17"/>
  <c r="CE16" i="17"/>
  <c r="BR16" i="17"/>
  <c r="CM16" i="17"/>
  <c r="CC16" i="17"/>
  <c r="BQ16" i="17"/>
  <c r="CH16" i="17"/>
  <c r="BZ16" i="17"/>
  <c r="CN16" i="17"/>
  <c r="CF16" i="17"/>
  <c r="BY16" i="17"/>
  <c r="CB16" i="17"/>
  <c r="CK16" i="17"/>
  <c r="BW16" i="17"/>
  <c r="CG16" i="17"/>
  <c r="BO48" i="17"/>
  <c r="O66" i="17"/>
  <c r="O80" i="17"/>
  <c r="BO5" i="17"/>
  <c r="BO100" i="17"/>
  <c r="BO63" i="17"/>
  <c r="X35" i="17"/>
  <c r="BA3" i="21"/>
  <c r="DC139" i="17"/>
  <c r="AD31" i="17"/>
  <c r="AR31" i="17"/>
  <c r="AG31" i="17"/>
  <c r="BW31" i="17" s="1"/>
  <c r="AS31" i="17"/>
  <c r="AI31" i="17"/>
  <c r="BY31" i="17" s="1"/>
  <c r="AT31" i="17"/>
  <c r="AJ31" i="17"/>
  <c r="BZ31" i="17" s="1"/>
  <c r="AW31" i="17"/>
  <c r="CM31" i="17" s="1"/>
  <c r="AL31" i="17"/>
  <c r="AB31" i="17"/>
  <c r="AO31" i="17"/>
  <c r="AC31" i="17"/>
  <c r="BS31" i="17" s="1"/>
  <c r="AQ31" i="17"/>
  <c r="CG31" i="17" s="1"/>
  <c r="CB31" i="17"/>
  <c r="CJ31" i="17"/>
  <c r="CI31" i="17"/>
  <c r="CC31" i="17"/>
  <c r="CH31" i="17"/>
  <c r="CE31" i="17"/>
  <c r="BR31" i="17"/>
  <c r="BT31" i="17"/>
  <c r="AK31" i="17"/>
  <c r="CA31" i="17" s="1"/>
  <c r="AN31" i="17"/>
  <c r="CD31" i="17" s="1"/>
  <c r="AV31" i="17"/>
  <c r="CL31" i="17" s="1"/>
  <c r="AE31" i="17"/>
  <c r="BU31" i="17" s="1"/>
  <c r="AM31" i="17"/>
  <c r="AU31" i="17"/>
  <c r="CK31" i="17" s="1"/>
  <c r="AH31" i="17"/>
  <c r="BX31" i="17" s="1"/>
  <c r="AY31" i="17"/>
  <c r="CO31" i="17" s="1"/>
  <c r="AF31" i="17"/>
  <c r="BV31" i="17" s="1"/>
  <c r="AP31" i="17"/>
  <c r="CF31" i="17" s="1"/>
  <c r="AX31" i="17"/>
  <c r="CN31" i="17" s="1"/>
  <c r="AG57" i="17"/>
  <c r="AO57" i="17"/>
  <c r="AW57" i="17"/>
  <c r="AH57" i="17"/>
  <c r="AP57" i="17"/>
  <c r="AX57" i="17"/>
  <c r="CN57" i="17" s="1"/>
  <c r="AK57" i="17"/>
  <c r="CA57" i="17" s="1"/>
  <c r="AU57" i="17"/>
  <c r="CK57" i="17" s="1"/>
  <c r="AB57" i="17"/>
  <c r="AL57" i="17"/>
  <c r="AV57" i="17"/>
  <c r="AC57" i="17"/>
  <c r="AM57" i="17"/>
  <c r="AY57" i="17"/>
  <c r="CO57" i="17" s="1"/>
  <c r="AD57" i="17"/>
  <c r="BT57" i="17" s="1"/>
  <c r="AN57" i="17"/>
  <c r="CD57" i="17" s="1"/>
  <c r="AE57" i="17"/>
  <c r="AQ57" i="17"/>
  <c r="AF57" i="17"/>
  <c r="AR57" i="17"/>
  <c r="AI57" i="17"/>
  <c r="BY57" i="17" s="1"/>
  <c r="AS57" i="17"/>
  <c r="AJ57" i="17"/>
  <c r="BZ57" i="17" s="1"/>
  <c r="AT57" i="17"/>
  <c r="CJ57" i="17" s="1"/>
  <c r="CC57" i="17"/>
  <c r="CL57" i="17"/>
  <c r="BW57" i="17"/>
  <c r="BU57" i="17"/>
  <c r="CE57" i="17"/>
  <c r="CF57" i="17"/>
  <c r="CI57" i="17"/>
  <c r="CG57" i="17"/>
  <c r="CM57" i="17"/>
  <c r="BX57" i="17"/>
  <c r="CH57" i="17"/>
  <c r="BV57" i="17"/>
  <c r="CB57" i="17"/>
  <c r="BR57" i="17"/>
  <c r="BS57" i="17"/>
  <c r="CT139" i="17"/>
  <c r="AR3" i="21"/>
  <c r="DD139" i="17"/>
  <c r="BB3" i="21"/>
  <c r="BF139" i="17"/>
  <c r="AT2" i="21"/>
  <c r="BR33" i="17"/>
  <c r="X33" i="17"/>
  <c r="BB139" i="17"/>
  <c r="AP2" i="21"/>
  <c r="BI139" i="17"/>
  <c r="AW2" i="21"/>
  <c r="BO79" i="17"/>
  <c r="AO3" i="21"/>
  <c r="CQ139" i="17"/>
  <c r="BO120" i="17"/>
  <c r="Y130" i="17"/>
  <c r="X130" i="17"/>
  <c r="Y86" i="17"/>
  <c r="X86" i="17"/>
  <c r="X74" i="17"/>
  <c r="E16" i="21" s="1"/>
  <c r="BO47" i="17"/>
  <c r="BR41" i="17"/>
  <c r="AN2" i="21"/>
  <c r="AZ139" i="17"/>
  <c r="S46" i="17"/>
  <c r="T46" i="17"/>
  <c r="Q46" i="17"/>
  <c r="Y71" i="17"/>
  <c r="X71" i="17"/>
  <c r="BE139" i="17"/>
  <c r="AS2" i="21"/>
  <c r="K6" i="21"/>
  <c r="BO110" i="17"/>
  <c r="BO15" i="17"/>
  <c r="Y58" i="17"/>
  <c r="X58" i="17"/>
  <c r="Y100" i="17"/>
  <c r="BS101" i="17"/>
  <c r="BO101" i="17" s="1"/>
  <c r="BR3" i="17"/>
  <c r="BX3" i="17"/>
  <c r="CV139" i="17"/>
  <c r="AT3" i="21"/>
  <c r="BO39" i="17"/>
  <c r="CR139" i="17"/>
  <c r="AP3" i="21"/>
  <c r="CY139" i="17"/>
  <c r="AW3" i="21"/>
  <c r="CP139" i="17"/>
  <c r="AN3" i="21"/>
  <c r="T21" i="17"/>
  <c r="S21" i="17"/>
  <c r="Q21" i="17"/>
  <c r="J16" i="21"/>
  <c r="X41" i="17"/>
  <c r="CU139" i="17"/>
  <c r="AS3" i="21"/>
  <c r="BO113" i="17"/>
  <c r="X109" i="17"/>
  <c r="Y73" i="17"/>
  <c r="X73" i="17"/>
  <c r="Y30" i="17"/>
  <c r="X30" i="17"/>
  <c r="BQ43" i="17"/>
  <c r="BG139" i="17"/>
  <c r="AU2" i="21"/>
  <c r="BO109" i="17"/>
  <c r="BO4" i="17"/>
  <c r="Y125" i="17"/>
  <c r="X125" i="17"/>
  <c r="Y27" i="17"/>
  <c r="X27" i="17"/>
  <c r="BO99" i="17"/>
  <c r="BQ93" i="17"/>
  <c r="BO93" i="17" s="1"/>
  <c r="AO37" i="17"/>
  <c r="CE37" i="17" s="1"/>
  <c r="AW37" i="17"/>
  <c r="AP37" i="17"/>
  <c r="AX37" i="17"/>
  <c r="AQ37" i="17"/>
  <c r="AY37" i="17"/>
  <c r="CO37" i="17" s="1"/>
  <c r="AR37" i="17"/>
  <c r="AK37" i="17"/>
  <c r="CA37" i="17" s="1"/>
  <c r="AS37" i="17"/>
  <c r="CI37" i="17" s="1"/>
  <c r="AL37" i="17"/>
  <c r="AT37" i="17"/>
  <c r="CJ37" i="17" s="1"/>
  <c r="AM37" i="17"/>
  <c r="AU37" i="17"/>
  <c r="AN37" i="17"/>
  <c r="AV37" i="17"/>
  <c r="CL37" i="17" s="1"/>
  <c r="CM37" i="17"/>
  <c r="CG37" i="17"/>
  <c r="CB37" i="17"/>
  <c r="CC37" i="17"/>
  <c r="CD37" i="17"/>
  <c r="CK37" i="17"/>
  <c r="CH37" i="17"/>
  <c r="CF37" i="17"/>
  <c r="CN37" i="17"/>
  <c r="T83" i="17"/>
  <c r="S83" i="17"/>
  <c r="Q83" i="17"/>
  <c r="K16" i="21"/>
  <c r="BQ92" i="17"/>
  <c r="BO92" i="17" s="1"/>
  <c r="BQ70" i="17"/>
  <c r="BO70" i="17" s="1"/>
  <c r="X7" i="17"/>
  <c r="J6" i="21" s="1"/>
  <c r="X99" i="17"/>
  <c r="BO34" i="17"/>
  <c r="BQ117" i="17"/>
  <c r="BO117" i="17" s="1"/>
  <c r="CZ139" i="17"/>
  <c r="AX3" i="21"/>
  <c r="Y131" i="17"/>
  <c r="X131" i="17"/>
  <c r="BO59" i="17"/>
  <c r="Y59" i="17"/>
  <c r="X59" i="17"/>
  <c r="X28" i="17"/>
  <c r="Y28" i="17"/>
  <c r="Y3" i="17"/>
  <c r="X3" i="17"/>
  <c r="BL139" i="17"/>
  <c r="AZ2" i="21"/>
  <c r="BR28" i="17"/>
  <c r="BO28" i="17" s="1"/>
  <c r="CW139" i="17"/>
  <c r="AU3" i="21"/>
  <c r="Y127" i="17"/>
  <c r="X127" i="17"/>
  <c r="BQ131" i="17"/>
  <c r="BO131" i="17" s="1"/>
  <c r="Y118" i="17"/>
  <c r="X118" i="17"/>
  <c r="Y97" i="17"/>
  <c r="X97" i="17"/>
  <c r="BQ78" i="17"/>
  <c r="BO78" i="17" s="1"/>
  <c r="AL42" i="17"/>
  <c r="CB42" i="17" s="1"/>
  <c r="AU42" i="17"/>
  <c r="CK42" i="17" s="1"/>
  <c r="AM42" i="17"/>
  <c r="CC42" i="17" s="1"/>
  <c r="AW42" i="17"/>
  <c r="CM42" i="17" s="1"/>
  <c r="CE42" i="17"/>
  <c r="AR42" i="17"/>
  <c r="CH42" i="17" s="1"/>
  <c r="AT42" i="17"/>
  <c r="CJ42" i="17" s="1"/>
  <c r="AY42" i="17"/>
  <c r="CO42" i="17" s="1"/>
  <c r="AX42" i="17"/>
  <c r="CN42" i="17" s="1"/>
  <c r="AK42" i="17"/>
  <c r="CA42" i="17" s="1"/>
  <c r="AP42" i="17"/>
  <c r="CF42" i="17" s="1"/>
  <c r="AO42" i="17"/>
  <c r="AS42" i="17"/>
  <c r="CI42" i="17" s="1"/>
  <c r="AQ42" i="17"/>
  <c r="CG42" i="17" s="1"/>
  <c r="AN42" i="17"/>
  <c r="CD42" i="17" s="1"/>
  <c r="AV42" i="17"/>
  <c r="CL42" i="17" s="1"/>
  <c r="AK43" i="17"/>
  <c r="AT43" i="17"/>
  <c r="AL43" i="17"/>
  <c r="AU43" i="17"/>
  <c r="AM43" i="17"/>
  <c r="CC43" i="17" s="1"/>
  <c r="AV43" i="17"/>
  <c r="CJ43" i="17"/>
  <c r="CB43" i="17"/>
  <c r="CK43" i="17"/>
  <c r="CA43" i="17"/>
  <c r="CL43" i="17"/>
  <c r="AP43" i="17"/>
  <c r="CF43" i="17" s="1"/>
  <c r="AN43" i="17"/>
  <c r="CD43" i="17" s="1"/>
  <c r="AS43" i="17"/>
  <c r="CI43" i="17" s="1"/>
  <c r="AQ43" i="17"/>
  <c r="CG43" i="17" s="1"/>
  <c r="AO43" i="17"/>
  <c r="CE43" i="17" s="1"/>
  <c r="AW43" i="17"/>
  <c r="CM43" i="17" s="1"/>
  <c r="AR43" i="17"/>
  <c r="CH43" i="17" s="1"/>
  <c r="AY43" i="17"/>
  <c r="CO43" i="17" s="1"/>
  <c r="AX43" i="17"/>
  <c r="CN43" i="17" s="1"/>
  <c r="BO12" i="17"/>
  <c r="T88" i="17"/>
  <c r="S88" i="17"/>
  <c r="Q88" i="17"/>
  <c r="Y102" i="17"/>
  <c r="X102" i="17"/>
  <c r="Y113" i="17"/>
  <c r="X113" i="17"/>
  <c r="Y110" i="17"/>
  <c r="X110" i="17"/>
  <c r="Y63" i="17"/>
  <c r="X63" i="17"/>
  <c r="X34" i="17"/>
  <c r="BQ42" i="17"/>
  <c r="Y15" i="17"/>
  <c r="X15" i="17"/>
  <c r="E17" i="21"/>
  <c r="X79" i="17"/>
  <c r="AH32" i="17"/>
  <c r="BX32" i="17" s="1"/>
  <c r="AT32" i="17"/>
  <c r="CJ32" i="17"/>
  <c r="CK32" i="17"/>
  <c r="AO32" i="17"/>
  <c r="CE32" i="17" s="1"/>
  <c r="AL32" i="17"/>
  <c r="CB32" i="17" s="1"/>
  <c r="AP32" i="17"/>
  <c r="CF32" i="17" s="1"/>
  <c r="AW32" i="17"/>
  <c r="CM32" i="17" s="1"/>
  <c r="AJ32" i="17"/>
  <c r="BZ32" i="17" s="1"/>
  <c r="AF32" i="17"/>
  <c r="BV32" i="17" s="1"/>
  <c r="AU32" i="17"/>
  <c r="AD32" i="17"/>
  <c r="BT32" i="17" s="1"/>
  <c r="AN32" i="17"/>
  <c r="CD32" i="17" s="1"/>
  <c r="AB32" i="17"/>
  <c r="AR32" i="17"/>
  <c r="CH32" i="17" s="1"/>
  <c r="AV32" i="17"/>
  <c r="CL32" i="17" s="1"/>
  <c r="AK32" i="17"/>
  <c r="CA32" i="17" s="1"/>
  <c r="AM32" i="17"/>
  <c r="CC32" i="17" s="1"/>
  <c r="AI32" i="17"/>
  <c r="BY32" i="17" s="1"/>
  <c r="AX32" i="17"/>
  <c r="CN32" i="17" s="1"/>
  <c r="AE32" i="17"/>
  <c r="BU32" i="17" s="1"/>
  <c r="AQ32" i="17"/>
  <c r="CG32" i="17" s="1"/>
  <c r="AS32" i="17"/>
  <c r="CI32" i="17" s="1"/>
  <c r="AG32" i="17"/>
  <c r="BW32" i="17" s="1"/>
  <c r="AY32" i="17"/>
  <c r="CO32" i="17" s="1"/>
  <c r="AC32" i="17"/>
  <c r="BS32" i="17" s="1"/>
  <c r="BO86" i="17"/>
  <c r="BO56" i="17"/>
  <c r="BO87" i="17"/>
  <c r="BK139" i="17"/>
  <c r="AY2" i="21"/>
  <c r="DB139" i="17"/>
  <c r="AZ3" i="21"/>
  <c r="Y123" i="17"/>
  <c r="X123" i="17"/>
  <c r="BQ29" i="17"/>
  <c r="AR29" i="17"/>
  <c r="CH29" i="17" s="1"/>
  <c r="AO29" i="17"/>
  <c r="CE29" i="17" s="1"/>
  <c r="AL29" i="17"/>
  <c r="CB29" i="17" s="1"/>
  <c r="AY29" i="17"/>
  <c r="AN29" i="17"/>
  <c r="CD29" i="17" s="1"/>
  <c r="AP29" i="17"/>
  <c r="AQ29" i="17"/>
  <c r="AT29" i="17"/>
  <c r="CJ29" i="17" s="1"/>
  <c r="AV29" i="17"/>
  <c r="AW29" i="17"/>
  <c r="CM29" i="17" s="1"/>
  <c r="AX29" i="17"/>
  <c r="CN29" i="17" s="1"/>
  <c r="CF29" i="17"/>
  <c r="CO29" i="17"/>
  <c r="CL29" i="17"/>
  <c r="CG29" i="17"/>
  <c r="AK29" i="17"/>
  <c r="CA29" i="17" s="1"/>
  <c r="AU29" i="17"/>
  <c r="CK29" i="17" s="1"/>
  <c r="AS29" i="17"/>
  <c r="CI29" i="17" s="1"/>
  <c r="AM29" i="17"/>
  <c r="CC29" i="17" s="1"/>
  <c r="U128" i="17"/>
  <c r="Y89" i="17"/>
  <c r="X89" i="17"/>
  <c r="BO33" i="17"/>
  <c r="BQ125" i="17"/>
  <c r="BO125" i="17" s="1"/>
  <c r="BQ130" i="17"/>
  <c r="BO130" i="17" s="1"/>
  <c r="Y56" i="17"/>
  <c r="X56" i="17"/>
  <c r="T84" i="17"/>
  <c r="S84" i="17"/>
  <c r="Q84" i="17"/>
  <c r="BQ114" i="17"/>
  <c r="BO114" i="17" s="1"/>
  <c r="BQ97" i="17"/>
  <c r="BO97" i="17" s="1"/>
  <c r="AC25" i="17"/>
  <c r="CB25" i="17"/>
  <c r="CD25" i="17"/>
  <c r="BX25" i="17"/>
  <c r="BS25" i="17"/>
  <c r="AN25" i="17"/>
  <c r="AI25" i="17"/>
  <c r="BY25" i="17" s="1"/>
  <c r="AV25" i="17"/>
  <c r="CL25" i="17" s="1"/>
  <c r="AQ25" i="17"/>
  <c r="CG25" i="17" s="1"/>
  <c r="AE25" i="17"/>
  <c r="BU25" i="17" s="1"/>
  <c r="AH25" i="17"/>
  <c r="AY25" i="17"/>
  <c r="CO25" i="17" s="1"/>
  <c r="AS25" i="17"/>
  <c r="CI25" i="17" s="1"/>
  <c r="AM25" i="17"/>
  <c r="CC25" i="17" s="1"/>
  <c r="AP25" i="17"/>
  <c r="CF25" i="17" s="1"/>
  <c r="AU25" i="17"/>
  <c r="CK25" i="17" s="1"/>
  <c r="AG25" i="17"/>
  <c r="BW25" i="17" s="1"/>
  <c r="AX25" i="17"/>
  <c r="CN25" i="17" s="1"/>
  <c r="AB25" i="17"/>
  <c r="BR25" i="17" s="1"/>
  <c r="AD25" i="17"/>
  <c r="BT25" i="17" s="1"/>
  <c r="AO25" i="17"/>
  <c r="CE25" i="17" s="1"/>
  <c r="AJ25" i="17"/>
  <c r="BZ25" i="17" s="1"/>
  <c r="AL25" i="17"/>
  <c r="AW25" i="17"/>
  <c r="CM25" i="17" s="1"/>
  <c r="AR25" i="17"/>
  <c r="CH25" i="17" s="1"/>
  <c r="AK25" i="17"/>
  <c r="CA25" i="17" s="1"/>
  <c r="AT25" i="17"/>
  <c r="CJ25" i="17" s="1"/>
  <c r="AF25" i="17"/>
  <c r="BV25" i="17" s="1"/>
  <c r="AA25" i="17"/>
  <c r="BQ25" i="17" s="1"/>
  <c r="AC121" i="17"/>
  <c r="AK121" i="17"/>
  <c r="CA121" i="17" s="1"/>
  <c r="AS121" i="17"/>
  <c r="CI121" i="17" s="1"/>
  <c r="AG121" i="17"/>
  <c r="BW121" i="17" s="1"/>
  <c r="AO121" i="17"/>
  <c r="CE121" i="17" s="1"/>
  <c r="AW121" i="17"/>
  <c r="CM121" i="17" s="1"/>
  <c r="AH121" i="17"/>
  <c r="BX121" i="17" s="1"/>
  <c r="AP121" i="17"/>
  <c r="AX121" i="17"/>
  <c r="CF121" i="17"/>
  <c r="CN121" i="17"/>
  <c r="CO121" i="17"/>
  <c r="CH121" i="17"/>
  <c r="BS121" i="17"/>
  <c r="AF121" i="17"/>
  <c r="BV121" i="17" s="1"/>
  <c r="AQ121" i="17"/>
  <c r="CG121" i="17" s="1"/>
  <c r="AI121" i="17"/>
  <c r="BY121" i="17" s="1"/>
  <c r="AT121" i="17"/>
  <c r="CJ121" i="17" s="1"/>
  <c r="AR121" i="17"/>
  <c r="AA121" i="17"/>
  <c r="AU121" i="17"/>
  <c r="CK121" i="17" s="1"/>
  <c r="AL121" i="17"/>
  <c r="CB121" i="17" s="1"/>
  <c r="AJ121" i="17"/>
  <c r="BZ121" i="17" s="1"/>
  <c r="AV121" i="17"/>
  <c r="CL121" i="17" s="1"/>
  <c r="AM121" i="17"/>
  <c r="CC121" i="17" s="1"/>
  <c r="AD121" i="17"/>
  <c r="BT121" i="17" s="1"/>
  <c r="AB121" i="17"/>
  <c r="BR121" i="17" s="1"/>
  <c r="AN121" i="17"/>
  <c r="CD121" i="17" s="1"/>
  <c r="AE121" i="17"/>
  <c r="BU121" i="17" s="1"/>
  <c r="AY121" i="17"/>
  <c r="Y96" i="17"/>
  <c r="X96" i="17"/>
  <c r="AH106" i="17"/>
  <c r="AU106" i="17"/>
  <c r="AI106" i="17"/>
  <c r="BY106" i="17" s="1"/>
  <c r="AW106" i="17"/>
  <c r="CM106" i="17" s="1"/>
  <c r="AK106" i="17"/>
  <c r="CA106" i="17" s="1"/>
  <c r="AX106" i="17"/>
  <c r="CN106" i="17" s="1"/>
  <c r="AM106" i="17"/>
  <c r="CC106" i="17" s="1"/>
  <c r="AY106" i="17"/>
  <c r="CO106" i="17" s="1"/>
  <c r="AA106" i="17"/>
  <c r="AO106" i="17"/>
  <c r="CE106" i="17" s="1"/>
  <c r="AC106" i="17"/>
  <c r="AP106" i="17"/>
  <c r="AE106" i="17"/>
  <c r="BU106" i="17" s="1"/>
  <c r="AQ106" i="17"/>
  <c r="CG106" i="17" s="1"/>
  <c r="AG106" i="17"/>
  <c r="BW106" i="17" s="1"/>
  <c r="AS106" i="17"/>
  <c r="CI106" i="17" s="1"/>
  <c r="BX106" i="17"/>
  <c r="CD106" i="17"/>
  <c r="BS106" i="17"/>
  <c r="CK106" i="17"/>
  <c r="BQ106" i="17"/>
  <c r="BZ106" i="17"/>
  <c r="CF106" i="17"/>
  <c r="AN106" i="17"/>
  <c r="AF106" i="17"/>
  <c r="BV106" i="17" s="1"/>
  <c r="AR106" i="17"/>
  <c r="CH106" i="17" s="1"/>
  <c r="AJ106" i="17"/>
  <c r="AB106" i="17"/>
  <c r="BR106" i="17" s="1"/>
  <c r="AT106" i="17"/>
  <c r="CJ106" i="17" s="1"/>
  <c r="AL106" i="17"/>
  <c r="CB106" i="17" s="1"/>
  <c r="AD106" i="17"/>
  <c r="BT106" i="17" s="1"/>
  <c r="AV106" i="17"/>
  <c r="CL106" i="17" s="1"/>
  <c r="BO73" i="17"/>
  <c r="BQ61" i="17"/>
  <c r="BO61" i="17" s="1"/>
  <c r="F17" i="21"/>
  <c r="AO52" i="17" l="1"/>
  <c r="CE52" i="17" s="1"/>
  <c r="AH52" i="17"/>
  <c r="BX52" i="17" s="1"/>
  <c r="AP52" i="17"/>
  <c r="CF52" i="17"/>
  <c r="AN52" i="17"/>
  <c r="CD52" i="17" s="1"/>
  <c r="AC52" i="17"/>
  <c r="BS52" i="17" s="1"/>
  <c r="U52" i="17"/>
  <c r="AG52" i="17"/>
  <c r="BW52" i="17" s="1"/>
  <c r="AK52" i="17"/>
  <c r="CA52" i="17" s="1"/>
  <c r="AA52" i="17"/>
  <c r="AS52" i="17"/>
  <c r="CI52" i="17" s="1"/>
  <c r="AI52" i="17"/>
  <c r="BY52" i="17" s="1"/>
  <c r="AD52" i="17"/>
  <c r="BT52" i="17" s="1"/>
  <c r="AQ52" i="17"/>
  <c r="CG52" i="17" s="1"/>
  <c r="AL52" i="17"/>
  <c r="CB52" i="17" s="1"/>
  <c r="AB52" i="17"/>
  <c r="BR52" i="17" s="1"/>
  <c r="AT52" i="17"/>
  <c r="CJ52" i="17" s="1"/>
  <c r="AJ52" i="17"/>
  <c r="BZ52" i="17" s="1"/>
  <c r="AE52" i="17"/>
  <c r="BU52" i="17" s="1"/>
  <c r="AF52" i="17"/>
  <c r="BV52" i="17" s="1"/>
  <c r="AR52" i="17"/>
  <c r="CH52" i="17" s="1"/>
  <c r="AM52" i="17"/>
  <c r="CC52" i="17" s="1"/>
  <c r="BQ52" i="17"/>
  <c r="Y91" i="17"/>
  <c r="X91" i="17"/>
  <c r="BR91" i="17"/>
  <c r="BO91" i="17" s="1"/>
  <c r="AH18" i="17"/>
  <c r="AP18" i="17"/>
  <c r="AG18" i="17"/>
  <c r="BW18" i="17" s="1"/>
  <c r="AI18" i="17"/>
  <c r="BY18" i="17" s="1"/>
  <c r="AC18" i="17"/>
  <c r="AN18" i="17"/>
  <c r="AB18" i="17"/>
  <c r="CF18" i="17"/>
  <c r="AF18" i="17"/>
  <c r="BV18" i="17" s="1"/>
  <c r="AK18" i="17"/>
  <c r="CA18" i="17" s="1"/>
  <c r="AO18" i="17"/>
  <c r="CE18" i="17" s="1"/>
  <c r="AT18" i="17"/>
  <c r="CJ18" i="17" s="1"/>
  <c r="BR18" i="17"/>
  <c r="AQ18" i="17"/>
  <c r="CG18" i="17" s="1"/>
  <c r="AL18" i="17"/>
  <c r="CB18" i="17" s="1"/>
  <c r="AR18" i="17"/>
  <c r="U18" i="17"/>
  <c r="CH18" i="17"/>
  <c r="AD18" i="17"/>
  <c r="BT18" i="17" s="1"/>
  <c r="AA18" i="17"/>
  <c r="BS18" i="17"/>
  <c r="AM18" i="17"/>
  <c r="CC18" i="17" s="1"/>
  <c r="AJ18" i="17"/>
  <c r="BZ18" i="17" s="1"/>
  <c r="CD18" i="17"/>
  <c r="AE18" i="17"/>
  <c r="BU18" i="17" s="1"/>
  <c r="AS18" i="17"/>
  <c r="CI18" i="17" s="1"/>
  <c r="BX18" i="17"/>
  <c r="Y32" i="17"/>
  <c r="X20" i="17"/>
  <c r="Y20" i="17"/>
  <c r="BR20" i="17"/>
  <c r="BO20" i="17" s="1"/>
  <c r="AD51" i="17"/>
  <c r="AN51" i="17"/>
  <c r="CD51" i="17" s="1"/>
  <c r="BT51" i="17"/>
  <c r="BV51" i="17"/>
  <c r="AR51" i="17"/>
  <c r="CH51" i="17" s="1"/>
  <c r="AS51" i="17"/>
  <c r="CI51" i="17" s="1"/>
  <c r="AJ51" i="17"/>
  <c r="BZ51" i="17" s="1"/>
  <c r="AK51" i="17"/>
  <c r="CA51" i="17" s="1"/>
  <c r="AB51" i="17"/>
  <c r="BR51" i="17" s="1"/>
  <c r="AO51" i="17"/>
  <c r="CE51" i="17" s="1"/>
  <c r="AC51" i="17"/>
  <c r="BS51" i="17" s="1"/>
  <c r="AP51" i="17"/>
  <c r="CF51" i="17" s="1"/>
  <c r="AG51" i="17"/>
  <c r="BW51" i="17" s="1"/>
  <c r="AQ51" i="17"/>
  <c r="CG51" i="17" s="1"/>
  <c r="AH51" i="17"/>
  <c r="BX51" i="17" s="1"/>
  <c r="AT51" i="17"/>
  <c r="CJ51" i="17" s="1"/>
  <c r="AI51" i="17"/>
  <c r="BY51" i="17" s="1"/>
  <c r="U51" i="17"/>
  <c r="AL51" i="17"/>
  <c r="CB51" i="17" s="1"/>
  <c r="AA51" i="17"/>
  <c r="BQ51" i="17" s="1"/>
  <c r="AM51" i="17"/>
  <c r="CC51" i="17" s="1"/>
  <c r="AE51" i="17"/>
  <c r="BU51" i="17" s="1"/>
  <c r="AG22" i="17"/>
  <c r="BW22" i="17" s="1"/>
  <c r="AO22" i="17"/>
  <c r="CE22" i="17" s="1"/>
  <c r="AK22" i="17"/>
  <c r="CA22" i="17" s="1"/>
  <c r="AJ22" i="17"/>
  <c r="BZ22" i="17" s="1"/>
  <c r="AC22" i="17"/>
  <c r="BS22" i="17" s="1"/>
  <c r="AB22" i="17"/>
  <c r="BR22" i="17" s="1"/>
  <c r="AH22" i="17"/>
  <c r="BX22" i="17" s="1"/>
  <c r="U22" i="17"/>
  <c r="AT22" i="17"/>
  <c r="CJ22" i="17" s="1"/>
  <c r="AM22" i="17"/>
  <c r="CC22" i="17" s="1"/>
  <c r="AL22" i="17"/>
  <c r="CB22" i="17" s="1"/>
  <c r="AE22" i="17"/>
  <c r="BU22" i="17" s="1"/>
  <c r="AD22" i="17"/>
  <c r="BT22" i="17" s="1"/>
  <c r="AQ22" i="17"/>
  <c r="CG22" i="17" s="1"/>
  <c r="AF22" i="17"/>
  <c r="BV22" i="17" s="1"/>
  <c r="AI22" i="17"/>
  <c r="BY22" i="17" s="1"/>
  <c r="AP22" i="17"/>
  <c r="CF22" i="17" s="1"/>
  <c r="AN22" i="17"/>
  <c r="CD22" i="17" s="1"/>
  <c r="AA22" i="17"/>
  <c r="BQ22" i="17" s="1"/>
  <c r="AS22" i="17"/>
  <c r="CI22" i="17" s="1"/>
  <c r="AR22" i="17"/>
  <c r="CH22" i="17" s="1"/>
  <c r="Y31" i="17"/>
  <c r="U17" i="17"/>
  <c r="AA17" i="17"/>
  <c r="CA45" i="17"/>
  <c r="BO45" i="17" s="1"/>
  <c r="X45" i="17"/>
  <c r="AP53" i="17"/>
  <c r="AN53" i="17"/>
  <c r="AI53" i="17"/>
  <c r="CB53" i="17"/>
  <c r="AD53" i="17"/>
  <c r="AG53" i="17"/>
  <c r="BW53" i="17" s="1"/>
  <c r="AJ53" i="17"/>
  <c r="BZ53" i="17" s="1"/>
  <c r="BQ53" i="17"/>
  <c r="AL53" i="17"/>
  <c r="AO53" i="17"/>
  <c r="AK53" i="17"/>
  <c r="BY53" i="17"/>
  <c r="AT53" i="17"/>
  <c r="CJ53" i="17" s="1"/>
  <c r="AR53" i="17"/>
  <c r="CH53" i="17" s="1"/>
  <c r="AQ53" i="17"/>
  <c r="CG53" i="17" s="1"/>
  <c r="CD53" i="17"/>
  <c r="AE53" i="17"/>
  <c r="BU53" i="17" s="1"/>
  <c r="AA53" i="17"/>
  <c r="CE53" i="17"/>
  <c r="U53" i="17"/>
  <c r="AB53" i="17"/>
  <c r="BR53" i="17" s="1"/>
  <c r="CI53" i="17"/>
  <c r="AH53" i="17"/>
  <c r="AF53" i="17"/>
  <c r="BV53" i="17" s="1"/>
  <c r="AC53" i="17"/>
  <c r="BS53" i="17" s="1"/>
  <c r="BX53" i="17"/>
  <c r="CF53" i="17"/>
  <c r="AM53" i="17"/>
  <c r="CC53" i="17" s="1"/>
  <c r="AS53" i="17"/>
  <c r="BT53" i="17"/>
  <c r="CA53" i="17"/>
  <c r="Y29" i="17"/>
  <c r="X43" i="17"/>
  <c r="U115" i="17"/>
  <c r="Y13" i="17"/>
  <c r="X13" i="17"/>
  <c r="BR13" i="17"/>
  <c r="BO13" i="17" s="1"/>
  <c r="Y57" i="17"/>
  <c r="Y41" i="17"/>
  <c r="AM116" i="17"/>
  <c r="AF116" i="17"/>
  <c r="AQ116" i="17"/>
  <c r="CG116" i="17" s="1"/>
  <c r="AK116" i="17"/>
  <c r="CA116" i="17" s="1"/>
  <c r="AD116" i="17"/>
  <c r="BT116" i="17" s="1"/>
  <c r="AN116" i="17"/>
  <c r="AH116" i="17"/>
  <c r="AY116" i="17"/>
  <c r="AP116" i="17"/>
  <c r="AX116" i="17"/>
  <c r="AB116" i="17"/>
  <c r="AE116" i="17"/>
  <c r="AG116" i="17"/>
  <c r="BW116" i="17" s="1"/>
  <c r="AJ116" i="17"/>
  <c r="AU116" i="17"/>
  <c r="AO116" i="17"/>
  <c r="AA116" i="17"/>
  <c r="AI116" i="17"/>
  <c r="AC116" i="17"/>
  <c r="BS116" i="17" s="1"/>
  <c r="BY116" i="17"/>
  <c r="BR116" i="17"/>
  <c r="CK116" i="17"/>
  <c r="CE116" i="17"/>
  <c r="CD116" i="17"/>
  <c r="CC116" i="17"/>
  <c r="BQ116" i="17"/>
  <c r="CN116" i="17"/>
  <c r="BX116" i="17"/>
  <c r="BZ116" i="17"/>
  <c r="BU116" i="17"/>
  <c r="AS116" i="17"/>
  <c r="CI116" i="17" s="1"/>
  <c r="CO116" i="17"/>
  <c r="BV116" i="17"/>
  <c r="AL116" i="17"/>
  <c r="CB116" i="17" s="1"/>
  <c r="CF116" i="17"/>
  <c r="AV116" i="17"/>
  <c r="CL116" i="17" s="1"/>
  <c r="AT116" i="17"/>
  <c r="CJ116" i="17" s="1"/>
  <c r="AR116" i="17"/>
  <c r="CH116" i="17" s="1"/>
  <c r="AW116" i="17"/>
  <c r="CM116" i="17" s="1"/>
  <c r="BO27" i="17"/>
  <c r="BO37" i="17"/>
  <c r="BO25" i="17"/>
  <c r="Y43" i="17"/>
  <c r="U67" i="17"/>
  <c r="BO3" i="17"/>
  <c r="CA41" i="17"/>
  <c r="BO41" i="17" s="1"/>
  <c r="Y54" i="17"/>
  <c r="X54" i="17"/>
  <c r="BO31" i="17"/>
  <c r="BQ54" i="17"/>
  <c r="BO54" i="17" s="1"/>
  <c r="BO43" i="17"/>
  <c r="U21" i="17"/>
  <c r="AA21" i="17"/>
  <c r="BQ21" i="17" s="1"/>
  <c r="AD46" i="17"/>
  <c r="BT46" i="17" s="1"/>
  <c r="AH46" i="17"/>
  <c r="BX46" i="17" s="1"/>
  <c r="AI46" i="17"/>
  <c r="BY46" i="17" s="1"/>
  <c r="AA46" i="17"/>
  <c r="AJ46" i="17"/>
  <c r="BZ46" i="17" s="1"/>
  <c r="AB46" i="17"/>
  <c r="U46" i="17"/>
  <c r="AC46" i="17"/>
  <c r="BS46" i="17" s="1"/>
  <c r="AE46" i="17"/>
  <c r="BU46" i="17" s="1"/>
  <c r="AF46" i="17"/>
  <c r="AG46" i="17"/>
  <c r="BW46" i="17" s="1"/>
  <c r="BQ46" i="17"/>
  <c r="BR46" i="17"/>
  <c r="BV46" i="17"/>
  <c r="X42" i="17"/>
  <c r="X37" i="17"/>
  <c r="BO129" i="17"/>
  <c r="Y50" i="17"/>
  <c r="X50" i="17"/>
  <c r="E15" i="21" s="1"/>
  <c r="AO128" i="17"/>
  <c r="AS128" i="17"/>
  <c r="AW128" i="17"/>
  <c r="CM128" i="17" s="1"/>
  <c r="CA128" i="17"/>
  <c r="CE128" i="17"/>
  <c r="CI128" i="17"/>
  <c r="BS128" i="17"/>
  <c r="AR128" i="17"/>
  <c r="CH128" i="17" s="1"/>
  <c r="AV128" i="17"/>
  <c r="CL128" i="17" s="1"/>
  <c r="AX128" i="17"/>
  <c r="CN128" i="17" s="1"/>
  <c r="AA128" i="17"/>
  <c r="AE128" i="17"/>
  <c r="BU128" i="17" s="1"/>
  <c r="AC128" i="17"/>
  <c r="AI128" i="17"/>
  <c r="BY128" i="17" s="1"/>
  <c r="AM128" i="17"/>
  <c r="CC128" i="17" s="1"/>
  <c r="AQ128" i="17"/>
  <c r="CG128" i="17" s="1"/>
  <c r="AU128" i="17"/>
  <c r="CK128" i="17" s="1"/>
  <c r="AY128" i="17"/>
  <c r="CO128" i="17" s="1"/>
  <c r="AD128" i="17"/>
  <c r="BT128" i="17" s="1"/>
  <c r="AL128" i="17"/>
  <c r="CB128" i="17" s="1"/>
  <c r="AK128" i="17"/>
  <c r="AB128" i="17"/>
  <c r="BR128" i="17" s="1"/>
  <c r="AT128" i="17"/>
  <c r="CJ128" i="17" s="1"/>
  <c r="AF128" i="17"/>
  <c r="BV128" i="17" s="1"/>
  <c r="AP128" i="17"/>
  <c r="CF128" i="17" s="1"/>
  <c r="AJ128" i="17"/>
  <c r="BZ128" i="17" s="1"/>
  <c r="AN128" i="17"/>
  <c r="CD128" i="17" s="1"/>
  <c r="AH128" i="17"/>
  <c r="BX128" i="17" s="1"/>
  <c r="AG128" i="17"/>
  <c r="BW128" i="17" s="1"/>
  <c r="BO29" i="17"/>
  <c r="U83" i="17"/>
  <c r="Y42" i="17"/>
  <c r="Y16" i="17"/>
  <c r="X16" i="17"/>
  <c r="Y37" i="17"/>
  <c r="AC49" i="17"/>
  <c r="AK49" i="17"/>
  <c r="AS49" i="17"/>
  <c r="CI49" i="17" s="1"/>
  <c r="AD49" i="17"/>
  <c r="AL49" i="17"/>
  <c r="AT49" i="17"/>
  <c r="CJ49" i="17" s="1"/>
  <c r="AE49" i="17"/>
  <c r="AM49" i="17"/>
  <c r="AU49" i="17"/>
  <c r="CK49" i="17" s="1"/>
  <c r="AF49" i="17"/>
  <c r="AN49" i="17"/>
  <c r="CD49" i="17" s="1"/>
  <c r="AV49" i="17"/>
  <c r="AG49" i="17"/>
  <c r="AO49" i="17"/>
  <c r="CE49" i="17" s="1"/>
  <c r="AW49" i="17"/>
  <c r="CM49" i="17" s="1"/>
  <c r="AH49" i="17"/>
  <c r="AP49" i="17"/>
  <c r="CF49" i="17" s="1"/>
  <c r="AX49" i="17"/>
  <c r="AI49" i="17"/>
  <c r="AQ49" i="17"/>
  <c r="AY49" i="17"/>
  <c r="CO49" i="17" s="1"/>
  <c r="AB49" i="17"/>
  <c r="BR49" i="17" s="1"/>
  <c r="AJ49" i="17"/>
  <c r="BZ49" i="17" s="1"/>
  <c r="AR49" i="17"/>
  <c r="BS49" i="17"/>
  <c r="CB49" i="17"/>
  <c r="BW49" i="17"/>
  <c r="CA49" i="17"/>
  <c r="CN49" i="17"/>
  <c r="CH49" i="17"/>
  <c r="BY49" i="17"/>
  <c r="BV49" i="17"/>
  <c r="BT49" i="17"/>
  <c r="BX49" i="17"/>
  <c r="CC49" i="17"/>
  <c r="CG49" i="17"/>
  <c r="CL49" i="17"/>
  <c r="X31" i="17"/>
  <c r="X129" i="17"/>
  <c r="Y129" i="17"/>
  <c r="BO57" i="17"/>
  <c r="BO50" i="17"/>
  <c r="Y121" i="17"/>
  <c r="X121" i="17"/>
  <c r="X32" i="17"/>
  <c r="BO16" i="17"/>
  <c r="J11" i="21"/>
  <c r="E9" i="21"/>
  <c r="X57" i="17"/>
  <c r="BQ121" i="17"/>
  <c r="BO121" i="17" s="1"/>
  <c r="U84" i="17"/>
  <c r="BR32" i="17"/>
  <c r="BO32" i="17" s="1"/>
  <c r="BO42" i="17"/>
  <c r="U88" i="17"/>
  <c r="J5" i="21"/>
  <c r="E3" i="21"/>
  <c r="E4" i="21"/>
  <c r="S80" i="17"/>
  <c r="T80" i="17"/>
  <c r="Q80" i="17"/>
  <c r="F9" i="21"/>
  <c r="K11" i="21"/>
  <c r="AC124" i="17"/>
  <c r="BS124" i="17" s="1"/>
  <c r="AK124" i="17"/>
  <c r="CA124" i="17" s="1"/>
  <c r="AS124" i="17"/>
  <c r="CI124" i="17" s="1"/>
  <c r="CL124" i="17"/>
  <c r="BV124" i="17"/>
  <c r="AU124" i="17"/>
  <c r="CK124" i="17" s="1"/>
  <c r="AG124" i="17"/>
  <c r="BW124" i="17" s="1"/>
  <c r="AX124" i="17"/>
  <c r="CN124" i="17" s="1"/>
  <c r="AB124" i="17"/>
  <c r="BR124" i="17" s="1"/>
  <c r="AD124" i="17"/>
  <c r="BT124" i="17" s="1"/>
  <c r="AO124" i="17"/>
  <c r="CE124" i="17" s="1"/>
  <c r="AJ124" i="17"/>
  <c r="BZ124" i="17" s="1"/>
  <c r="AL124" i="17"/>
  <c r="CB124" i="17" s="1"/>
  <c r="AW124" i="17"/>
  <c r="CM124" i="17" s="1"/>
  <c r="AR124" i="17"/>
  <c r="CH124" i="17" s="1"/>
  <c r="AT124" i="17"/>
  <c r="CJ124" i="17" s="1"/>
  <c r="AF124" i="17"/>
  <c r="AA124" i="17"/>
  <c r="AN124" i="17"/>
  <c r="CD124" i="17" s="1"/>
  <c r="AI124" i="17"/>
  <c r="BY124" i="17" s="1"/>
  <c r="AV124" i="17"/>
  <c r="AQ124" i="17"/>
  <c r="CG124" i="17" s="1"/>
  <c r="AE124" i="17"/>
  <c r="BU124" i="17" s="1"/>
  <c r="AH124" i="17"/>
  <c r="BX124" i="17" s="1"/>
  <c r="AY124" i="17"/>
  <c r="CO124" i="17" s="1"/>
  <c r="AM124" i="17"/>
  <c r="CC124" i="17" s="1"/>
  <c r="AP124" i="17"/>
  <c r="CF124" i="17" s="1"/>
  <c r="U82" i="17"/>
  <c r="Y25" i="17"/>
  <c r="X25" i="17"/>
  <c r="K5" i="21"/>
  <c r="F3" i="21"/>
  <c r="F5" i="21"/>
  <c r="F4" i="21"/>
  <c r="X29" i="17"/>
  <c r="E5" i="21" s="1"/>
  <c r="T66" i="17"/>
  <c r="U66" i="17" s="1"/>
  <c r="S66" i="17"/>
  <c r="Q66" i="17"/>
  <c r="K17" i="21"/>
  <c r="BO106" i="17"/>
  <c r="Y106" i="17"/>
  <c r="K8" i="21" s="1"/>
  <c r="X106" i="17"/>
  <c r="AA55" i="17"/>
  <c r="BQ55" i="17" s="1"/>
  <c r="AI55" i="17"/>
  <c r="BY55" i="17" s="1"/>
  <c r="AQ55" i="17"/>
  <c r="CG55" i="17" s="1"/>
  <c r="AY55" i="17"/>
  <c r="AF55" i="17"/>
  <c r="BV55" i="17" s="1"/>
  <c r="AT55" i="17"/>
  <c r="AJ55" i="17"/>
  <c r="AU55" i="17"/>
  <c r="CK55" i="17" s="1"/>
  <c r="AK55" i="17"/>
  <c r="CA55" i="17" s="1"/>
  <c r="AV55" i="17"/>
  <c r="AL55" i="17"/>
  <c r="CB55" i="17" s="1"/>
  <c r="AB55" i="17"/>
  <c r="BR55" i="17" s="1"/>
  <c r="AM55" i="17"/>
  <c r="CC55" i="17" s="1"/>
  <c r="AC55" i="17"/>
  <c r="AN55" i="17"/>
  <c r="AD55" i="17"/>
  <c r="BT55" i="17" s="1"/>
  <c r="AR55" i="17"/>
  <c r="AE55" i="17"/>
  <c r="BU55" i="17" s="1"/>
  <c r="AS55" i="17"/>
  <c r="BS55" i="17"/>
  <c r="CI55" i="17"/>
  <c r="CM55" i="17"/>
  <c r="CJ55" i="17"/>
  <c r="CO55" i="17"/>
  <c r="CD55" i="17"/>
  <c r="CL55" i="17"/>
  <c r="CH55" i="17"/>
  <c r="BZ55" i="17"/>
  <c r="AH55" i="17"/>
  <c r="BX55" i="17" s="1"/>
  <c r="AW55" i="17"/>
  <c r="AO55" i="17"/>
  <c r="CE55" i="17" s="1"/>
  <c r="AG55" i="17"/>
  <c r="BW55" i="17" s="1"/>
  <c r="AX55" i="17"/>
  <c r="CN55" i="17" s="1"/>
  <c r="AP55" i="17"/>
  <c r="CF55" i="17" s="1"/>
  <c r="BO116" i="17" l="1"/>
  <c r="BQ17" i="17"/>
  <c r="AW51" i="17"/>
  <c r="AX51" i="17"/>
  <c r="CN51" i="17" s="1"/>
  <c r="AY51" i="17"/>
  <c r="AU51" i="17"/>
  <c r="CO51" i="17"/>
  <c r="AV51" i="17"/>
  <c r="CL51" i="17" s="1"/>
  <c r="CM51" i="17"/>
  <c r="CK51" i="17"/>
  <c r="AU52" i="17"/>
  <c r="AX52" i="17"/>
  <c r="CN52" i="17" s="1"/>
  <c r="AY52" i="17"/>
  <c r="CO52" i="17" s="1"/>
  <c r="AV52" i="17"/>
  <c r="AW52" i="17"/>
  <c r="CM52" i="17"/>
  <c r="CK52" i="17"/>
  <c r="BO52" i="17" s="1"/>
  <c r="CL52" i="17"/>
  <c r="J8" i="21"/>
  <c r="AY53" i="17"/>
  <c r="CN53" i="17"/>
  <c r="CO53" i="17"/>
  <c r="AU53" i="17"/>
  <c r="CK53" i="17" s="1"/>
  <c r="CL53" i="17"/>
  <c r="AV53" i="17"/>
  <c r="AW53" i="17"/>
  <c r="CM53" i="17" s="1"/>
  <c r="AX53" i="17"/>
  <c r="AQ17" i="17"/>
  <c r="AX17" i="17"/>
  <c r="AV17" i="17"/>
  <c r="AO17" i="17"/>
  <c r="AH17" i="17"/>
  <c r="AE17" i="17"/>
  <c r="AP17" i="17"/>
  <c r="CF17" i="17" s="1"/>
  <c r="AT17" i="17"/>
  <c r="CL17" i="17"/>
  <c r="AY17" i="17"/>
  <c r="AC17" i="17"/>
  <c r="CG17" i="17"/>
  <c r="AI17" i="17"/>
  <c r="BY17" i="17" s="1"/>
  <c r="AL17" i="17"/>
  <c r="CB17" i="17" s="1"/>
  <c r="CH17" i="17"/>
  <c r="AR17" i="17"/>
  <c r="AU17" i="17"/>
  <c r="CK17" i="17" s="1"/>
  <c r="BX17" i="17"/>
  <c r="CO17" i="17"/>
  <c r="AD17" i="17"/>
  <c r="AJ17" i="17"/>
  <c r="CE17" i="17"/>
  <c r="AW17" i="17"/>
  <c r="CM17" i="17" s="1"/>
  <c r="AB17" i="17"/>
  <c r="Y17" i="17" s="1"/>
  <c r="CJ17" i="17"/>
  <c r="BZ17" i="17"/>
  <c r="AG17" i="17"/>
  <c r="AK17" i="17"/>
  <c r="CA17" i="17" s="1"/>
  <c r="BS17" i="17"/>
  <c r="CN17" i="17"/>
  <c r="BW17" i="17"/>
  <c r="BU17" i="17"/>
  <c r="AN17" i="17"/>
  <c r="CD17" i="17" s="1"/>
  <c r="BT17" i="17"/>
  <c r="AM17" i="17"/>
  <c r="CC17" i="17" s="1"/>
  <c r="AS17" i="17"/>
  <c r="CI17" i="17" s="1"/>
  <c r="AF17" i="17"/>
  <c r="BV17" i="17" s="1"/>
  <c r="AV22" i="17"/>
  <c r="CL22" i="17" s="1"/>
  <c r="CM22" i="17"/>
  <c r="AW22" i="17"/>
  <c r="AX22" i="17"/>
  <c r="CN22" i="17" s="1"/>
  <c r="AY22" i="17"/>
  <c r="CO22" i="17" s="1"/>
  <c r="AU22" i="17"/>
  <c r="CK22" i="17" s="1"/>
  <c r="BO22" i="17" s="1"/>
  <c r="X18" i="17"/>
  <c r="BZ115" i="17"/>
  <c r="AJ115" i="17"/>
  <c r="AM115" i="17"/>
  <c r="CC115" i="17" s="1"/>
  <c r="AP115" i="17"/>
  <c r="CF115" i="17" s="1"/>
  <c r="AU115" i="17"/>
  <c r="CK115" i="17" s="1"/>
  <c r="AG115" i="17"/>
  <c r="BW115" i="17" s="1"/>
  <c r="AR115" i="17"/>
  <c r="CH115" i="17" s="1"/>
  <c r="AH115" i="17"/>
  <c r="BX115" i="17" s="1"/>
  <c r="AV115" i="17"/>
  <c r="CL115" i="17" s="1"/>
  <c r="AT115" i="17"/>
  <c r="CJ115" i="17" s="1"/>
  <c r="AQ115" i="17"/>
  <c r="CG115" i="17" s="1"/>
  <c r="AN115" i="17"/>
  <c r="CD115" i="17" s="1"/>
  <c r="AL115" i="17"/>
  <c r="CB115" i="17" s="1"/>
  <c r="AS115" i="17"/>
  <c r="CI115" i="17" s="1"/>
  <c r="AE115" i="17"/>
  <c r="BU115" i="17" s="1"/>
  <c r="AY115" i="17"/>
  <c r="CO115" i="17" s="1"/>
  <c r="AW115" i="17"/>
  <c r="CM115" i="17" s="1"/>
  <c r="AC115" i="17"/>
  <c r="BS115" i="17" s="1"/>
  <c r="AK115" i="17"/>
  <c r="CA115" i="17" s="1"/>
  <c r="AO115" i="17"/>
  <c r="CE115" i="17" s="1"/>
  <c r="AB115" i="17"/>
  <c r="BR115" i="17" s="1"/>
  <c r="AF115" i="17"/>
  <c r="BV115" i="17" s="1"/>
  <c r="AA115" i="17"/>
  <c r="AD115" i="17"/>
  <c r="BT115" i="17" s="1"/>
  <c r="AX115" i="17"/>
  <c r="CN115" i="17" s="1"/>
  <c r="AI115" i="17"/>
  <c r="BY115" i="17" s="1"/>
  <c r="BQ115" i="17"/>
  <c r="BQ18" i="17"/>
  <c r="Y49" i="17"/>
  <c r="X116" i="17"/>
  <c r="Y116" i="17"/>
  <c r="Y53" i="17"/>
  <c r="X53" i="17"/>
  <c r="AW18" i="17"/>
  <c r="CM18" i="17" s="1"/>
  <c r="AU18" i="17"/>
  <c r="AV18" i="17"/>
  <c r="CL18" i="17" s="1"/>
  <c r="BO18" i="17" s="1"/>
  <c r="AX18" i="17"/>
  <c r="CN18" i="17" s="1"/>
  <c r="AY18" i="17"/>
  <c r="CO18" i="17" s="1"/>
  <c r="CK18" i="17"/>
  <c r="X52" i="17"/>
  <c r="Y22" i="17"/>
  <c r="X22" i="17"/>
  <c r="X51" i="17"/>
  <c r="K13" i="21"/>
  <c r="BU49" i="17"/>
  <c r="BO49" i="17" s="1"/>
  <c r="BO55" i="17"/>
  <c r="Y55" i="17"/>
  <c r="X55" i="17"/>
  <c r="AG82" i="17"/>
  <c r="AO82" i="17"/>
  <c r="CE82" i="17" s="1"/>
  <c r="AW82" i="17"/>
  <c r="AH82" i="17"/>
  <c r="BX82" i="17" s="1"/>
  <c r="AP82" i="17"/>
  <c r="AX82" i="17"/>
  <c r="AA82" i="17"/>
  <c r="AI82" i="17"/>
  <c r="AQ82" i="17"/>
  <c r="CG82" i="17" s="1"/>
  <c r="AY82" i="17"/>
  <c r="AB82" i="17"/>
  <c r="AJ82" i="17"/>
  <c r="BZ82" i="17" s="1"/>
  <c r="AR82" i="17"/>
  <c r="AC82" i="17"/>
  <c r="AK82" i="17"/>
  <c r="AS82" i="17"/>
  <c r="CI82" i="17" s="1"/>
  <c r="AD82" i="17"/>
  <c r="BT82" i="17" s="1"/>
  <c r="AL82" i="17"/>
  <c r="AT82" i="17"/>
  <c r="CJ82" i="17" s="1"/>
  <c r="AE82" i="17"/>
  <c r="BU82" i="17" s="1"/>
  <c r="AM82" i="17"/>
  <c r="AU82" i="17"/>
  <c r="AF82" i="17"/>
  <c r="BV82" i="17" s="1"/>
  <c r="AN82" i="17"/>
  <c r="CD82" i="17" s="1"/>
  <c r="AV82" i="17"/>
  <c r="CL82" i="17" s="1"/>
  <c r="CC82" i="17"/>
  <c r="CH82" i="17"/>
  <c r="CB82" i="17"/>
  <c r="CF82" i="17"/>
  <c r="CK82" i="17"/>
  <c r="BS82" i="17"/>
  <c r="CO82" i="17"/>
  <c r="CM82" i="17"/>
  <c r="BY82" i="17"/>
  <c r="CN82" i="17"/>
  <c r="BR82" i="17"/>
  <c r="BQ82" i="17"/>
  <c r="BW82" i="17"/>
  <c r="CA82" i="17"/>
  <c r="U80" i="17"/>
  <c r="X49" i="17"/>
  <c r="AC66" i="17"/>
  <c r="AK66" i="17"/>
  <c r="CA66" i="17" s="1"/>
  <c r="AS66" i="17"/>
  <c r="AD66" i="17"/>
  <c r="AL66" i="17"/>
  <c r="AT66" i="17"/>
  <c r="AE66" i="17"/>
  <c r="AM66" i="17"/>
  <c r="AU66" i="17"/>
  <c r="AF66" i="17"/>
  <c r="BV66" i="17" s="1"/>
  <c r="AN66" i="17"/>
  <c r="CD66" i="17" s="1"/>
  <c r="AV66" i="17"/>
  <c r="AG66" i="17"/>
  <c r="BW66" i="17" s="1"/>
  <c r="AO66" i="17"/>
  <c r="CE66" i="17" s="1"/>
  <c r="AW66" i="17"/>
  <c r="AH66" i="17"/>
  <c r="BX66" i="17" s="1"/>
  <c r="AP66" i="17"/>
  <c r="AX66" i="17"/>
  <c r="CN66" i="17" s="1"/>
  <c r="AA66" i="17"/>
  <c r="AI66" i="17"/>
  <c r="AQ66" i="17"/>
  <c r="CG66" i="17" s="1"/>
  <c r="AY66" i="17"/>
  <c r="CO66" i="17" s="1"/>
  <c r="AB66" i="17"/>
  <c r="AJ66" i="17"/>
  <c r="BZ66" i="17" s="1"/>
  <c r="AR66" i="17"/>
  <c r="BY66" i="17"/>
  <c r="CL66" i="17"/>
  <c r="CF66" i="17"/>
  <c r="CI66" i="17"/>
  <c r="BU66" i="17"/>
  <c r="BR66" i="17"/>
  <c r="BS66" i="17"/>
  <c r="CC66" i="17"/>
  <c r="BT66" i="17"/>
  <c r="CB66" i="17"/>
  <c r="CJ66" i="17"/>
  <c r="CK66" i="17"/>
  <c r="CH66" i="17"/>
  <c r="CM66" i="17"/>
  <c r="AK46" i="17"/>
  <c r="AS46" i="17"/>
  <c r="AP46" i="17"/>
  <c r="AY46" i="17"/>
  <c r="AQ46" i="17"/>
  <c r="CG46" i="17" s="1"/>
  <c r="AR46" i="17"/>
  <c r="CH46" i="17" s="1"/>
  <c r="AT46" i="17"/>
  <c r="AL46" i="17"/>
  <c r="CB46" i="17" s="1"/>
  <c r="AU46" i="17"/>
  <c r="AM46" i="17"/>
  <c r="AV46" i="17"/>
  <c r="CL46" i="17" s="1"/>
  <c r="AN46" i="17"/>
  <c r="AW46" i="17"/>
  <c r="CM46" i="17" s="1"/>
  <c r="AO46" i="17"/>
  <c r="Y46" i="17" s="1"/>
  <c r="AX46" i="17"/>
  <c r="CN46" i="17"/>
  <c r="CA46" i="17"/>
  <c r="CC46" i="17"/>
  <c r="CI46" i="17"/>
  <c r="CK46" i="17"/>
  <c r="CO46" i="17"/>
  <c r="CD46" i="17"/>
  <c r="CJ46" i="17"/>
  <c r="CF46" i="17"/>
  <c r="AH88" i="17"/>
  <c r="AP88" i="17"/>
  <c r="CF88" i="17" s="1"/>
  <c r="AX88" i="17"/>
  <c r="AA88" i="17"/>
  <c r="BQ88" i="17" s="1"/>
  <c r="AI88" i="17"/>
  <c r="AQ88" i="17"/>
  <c r="AY88" i="17"/>
  <c r="AB88" i="17"/>
  <c r="AJ88" i="17"/>
  <c r="BZ88" i="17" s="1"/>
  <c r="AR88" i="17"/>
  <c r="CH88" i="17" s="1"/>
  <c r="AC88" i="17"/>
  <c r="AK88" i="17"/>
  <c r="AS88" i="17"/>
  <c r="AD88" i="17"/>
  <c r="BT88" i="17" s="1"/>
  <c r="AL88" i="17"/>
  <c r="CB88" i="17" s="1"/>
  <c r="AT88" i="17"/>
  <c r="AE88" i="17"/>
  <c r="BU88" i="17" s="1"/>
  <c r="AM88" i="17"/>
  <c r="CC88" i="17" s="1"/>
  <c r="AU88" i="17"/>
  <c r="CK88" i="17" s="1"/>
  <c r="AF88" i="17"/>
  <c r="AN88" i="17"/>
  <c r="CD88" i="17" s="1"/>
  <c r="AV88" i="17"/>
  <c r="AW88" i="17"/>
  <c r="AG88" i="17"/>
  <c r="AO88" i="17"/>
  <c r="CE88" i="17" s="1"/>
  <c r="BX88" i="17"/>
  <c r="CN88" i="17"/>
  <c r="BR88" i="17"/>
  <c r="CM88" i="17"/>
  <c r="BS88" i="17"/>
  <c r="CO88" i="17"/>
  <c r="CI88" i="17"/>
  <c r="BV88" i="17"/>
  <c r="BW88" i="17"/>
  <c r="CA88" i="17"/>
  <c r="CJ88" i="17"/>
  <c r="CL88" i="17"/>
  <c r="BY88" i="17"/>
  <c r="CG88" i="17"/>
  <c r="X124" i="17"/>
  <c r="Y124" i="17"/>
  <c r="BQ124" i="17"/>
  <c r="BO124" i="17" s="1"/>
  <c r="E14" i="21"/>
  <c r="J12" i="21"/>
  <c r="AE67" i="17"/>
  <c r="AM67" i="17"/>
  <c r="AU67" i="17"/>
  <c r="AF67" i="17"/>
  <c r="AN67" i="17"/>
  <c r="CD67" i="17" s="1"/>
  <c r="AV67" i="17"/>
  <c r="CL67" i="17" s="1"/>
  <c r="AG67" i="17"/>
  <c r="AO67" i="17"/>
  <c r="AW67" i="17"/>
  <c r="AH67" i="17"/>
  <c r="BX67" i="17" s="1"/>
  <c r="AP67" i="17"/>
  <c r="AX67" i="17"/>
  <c r="AA67" i="17"/>
  <c r="AI67" i="17"/>
  <c r="AQ67" i="17"/>
  <c r="CG67" i="17" s="1"/>
  <c r="AY67" i="17"/>
  <c r="AB67" i="17"/>
  <c r="BR67" i="17" s="1"/>
  <c r="AJ67" i="17"/>
  <c r="AR67" i="17"/>
  <c r="CH67" i="17" s="1"/>
  <c r="AC67" i="17"/>
  <c r="AK67" i="17"/>
  <c r="CA67" i="17" s="1"/>
  <c r="AS67" i="17"/>
  <c r="CI67" i="17" s="1"/>
  <c r="AD67" i="17"/>
  <c r="BT67" i="17" s="1"/>
  <c r="AL67" i="17"/>
  <c r="CB67" i="17" s="1"/>
  <c r="AT67" i="17"/>
  <c r="CK67" i="17"/>
  <c r="CF67" i="17"/>
  <c r="CO67" i="17"/>
  <c r="BS67" i="17"/>
  <c r="BQ67" i="17"/>
  <c r="BZ67" i="17"/>
  <c r="BW67" i="17"/>
  <c r="CN67" i="17"/>
  <c r="BU67" i="17"/>
  <c r="CE67" i="17"/>
  <c r="CJ67" i="17"/>
  <c r="BY67" i="17"/>
  <c r="CC67" i="17"/>
  <c r="BV67" i="17"/>
  <c r="CM67" i="17"/>
  <c r="Y128" i="17"/>
  <c r="X128" i="17"/>
  <c r="BQ128" i="17"/>
  <c r="BO128" i="17" s="1"/>
  <c r="K12" i="21"/>
  <c r="F14" i="21"/>
  <c r="AC84" i="17"/>
  <c r="BS84" i="17" s="1"/>
  <c r="AK84" i="17"/>
  <c r="AS84" i="17"/>
  <c r="CI84" i="17" s="1"/>
  <c r="AF84" i="17"/>
  <c r="AN84" i="17"/>
  <c r="CD84" i="17" s="1"/>
  <c r="AV84" i="17"/>
  <c r="AG84" i="17"/>
  <c r="BW84" i="17" s="1"/>
  <c r="AO84" i="17"/>
  <c r="CE84" i="17" s="1"/>
  <c r="AW84" i="17"/>
  <c r="AX84" i="17"/>
  <c r="CN84" i="17" s="1"/>
  <c r="AH84" i="17"/>
  <c r="AP84" i="17"/>
  <c r="CM84" i="17"/>
  <c r="CO84" i="17"/>
  <c r="BX84" i="17"/>
  <c r="BV84" i="17"/>
  <c r="CF84" i="17"/>
  <c r="CA84" i="17"/>
  <c r="CL84" i="17"/>
  <c r="AU84" i="17"/>
  <c r="CK84" i="17" s="1"/>
  <c r="AM84" i="17"/>
  <c r="CC84" i="17" s="1"/>
  <c r="AR84" i="17"/>
  <c r="CH84" i="17" s="1"/>
  <c r="AE84" i="17"/>
  <c r="BU84" i="17" s="1"/>
  <c r="AJ84" i="17"/>
  <c r="BZ84" i="17" s="1"/>
  <c r="AB84" i="17"/>
  <c r="BR84" i="17" s="1"/>
  <c r="AT84" i="17"/>
  <c r="CJ84" i="17" s="1"/>
  <c r="AL84" i="17"/>
  <c r="CB84" i="17" s="1"/>
  <c r="AY84" i="17"/>
  <c r="AD84" i="17"/>
  <c r="BT84" i="17" s="1"/>
  <c r="AQ84" i="17"/>
  <c r="CG84" i="17" s="1"/>
  <c r="AA84" i="17"/>
  <c r="BQ84" i="17" s="1"/>
  <c r="AI84" i="17"/>
  <c r="BY84" i="17" s="1"/>
  <c r="J15" i="21"/>
  <c r="AH83" i="17"/>
  <c r="AP83" i="17"/>
  <c r="CF83" i="17" s="1"/>
  <c r="AX83" i="17"/>
  <c r="CN83" i="17" s="1"/>
  <c r="AI83" i="17"/>
  <c r="AQ83" i="17"/>
  <c r="CG83" i="17" s="1"/>
  <c r="AY83" i="17"/>
  <c r="CO83" i="17" s="1"/>
  <c r="AB83" i="17"/>
  <c r="BR83" i="17" s="1"/>
  <c r="AJ83" i="17"/>
  <c r="BZ83" i="17" s="1"/>
  <c r="AR83" i="17"/>
  <c r="AC83" i="17"/>
  <c r="BS83" i="17" s="1"/>
  <c r="AK83" i="17"/>
  <c r="CA83" i="17" s="1"/>
  <c r="AS83" i="17"/>
  <c r="AD83" i="17"/>
  <c r="BT83" i="17" s="1"/>
  <c r="AL83" i="17"/>
  <c r="CB83" i="17" s="1"/>
  <c r="AT83" i="17"/>
  <c r="AE83" i="17"/>
  <c r="BU83" i="17" s="1"/>
  <c r="AM83" i="17"/>
  <c r="CC83" i="17" s="1"/>
  <c r="AU83" i="17"/>
  <c r="AF83" i="17"/>
  <c r="AN83" i="17"/>
  <c r="AV83" i="17"/>
  <c r="CL83" i="17" s="1"/>
  <c r="AG83" i="17"/>
  <c r="BW83" i="17" s="1"/>
  <c r="AO83" i="17"/>
  <c r="CE83" i="17" s="1"/>
  <c r="AW83" i="17"/>
  <c r="CM83" i="17" s="1"/>
  <c r="BV83" i="17"/>
  <c r="CD83" i="17"/>
  <c r="CJ83" i="17"/>
  <c r="CK83" i="17"/>
  <c r="CI83" i="17"/>
  <c r="CH83" i="17"/>
  <c r="BY83" i="17"/>
  <c r="BX83" i="17"/>
  <c r="AA83" i="17"/>
  <c r="BQ83" i="17" s="1"/>
  <c r="F15" i="21"/>
  <c r="AG21" i="17"/>
  <c r="AO21" i="17"/>
  <c r="CE21" i="17" s="1"/>
  <c r="AW21" i="17"/>
  <c r="AI21" i="17"/>
  <c r="BY21" i="17" s="1"/>
  <c r="AQ21" i="17"/>
  <c r="AY21" i="17"/>
  <c r="CO21" i="17" s="1"/>
  <c r="AB21" i="17"/>
  <c r="AJ21" i="17"/>
  <c r="BZ21" i="17" s="1"/>
  <c r="AR21" i="17"/>
  <c r="AC21" i="17"/>
  <c r="AK21" i="17"/>
  <c r="AS21" i="17"/>
  <c r="CI21" i="17" s="1"/>
  <c r="AT21" i="17"/>
  <c r="AD21" i="17"/>
  <c r="BT21" i="17" s="1"/>
  <c r="AL21" i="17"/>
  <c r="CM21" i="17"/>
  <c r="BS21" i="17"/>
  <c r="BR21" i="17"/>
  <c r="CJ21" i="17"/>
  <c r="CK21" i="17"/>
  <c r="BW21" i="17"/>
  <c r="CA21" i="17"/>
  <c r="CB21" i="17"/>
  <c r="CH21" i="17"/>
  <c r="AF21" i="17"/>
  <c r="BV21" i="17" s="1"/>
  <c r="AU21" i="17"/>
  <c r="AM21" i="17"/>
  <c r="CC21" i="17" s="1"/>
  <c r="AX21" i="17"/>
  <c r="CN21" i="17" s="1"/>
  <c r="AH21" i="17"/>
  <c r="BX21" i="17" s="1"/>
  <c r="AN21" i="17"/>
  <c r="CD21" i="17" s="1"/>
  <c r="AP21" i="17"/>
  <c r="AV21" i="17"/>
  <c r="CL21" i="17" s="1"/>
  <c r="AE21" i="17"/>
  <c r="BO51" i="17" l="1"/>
  <c r="X21" i="17"/>
  <c r="Y18" i="17"/>
  <c r="BO115" i="17"/>
  <c r="J14" i="21"/>
  <c r="BO53" i="17"/>
  <c r="BR17" i="17"/>
  <c r="BO17" i="17" s="1"/>
  <c r="X17" i="17"/>
  <c r="X115" i="17"/>
  <c r="Y115" i="17"/>
  <c r="BO88" i="17"/>
  <c r="Y51" i="17"/>
  <c r="K14" i="21" s="1"/>
  <c r="F11" i="21"/>
  <c r="Y52" i="17"/>
  <c r="E10" i="21"/>
  <c r="K9" i="21"/>
  <c r="Y66" i="17"/>
  <c r="X66" i="17"/>
  <c r="Y84" i="17"/>
  <c r="X84" i="17"/>
  <c r="BQ66" i="17"/>
  <c r="BO82" i="17"/>
  <c r="Y82" i="17"/>
  <c r="X82" i="17"/>
  <c r="E13" i="21" s="1"/>
  <c r="Y67" i="17"/>
  <c r="X67" i="17"/>
  <c r="CE46" i="17"/>
  <c r="BO46" i="17" s="1"/>
  <c r="BO67" i="17"/>
  <c r="Y83" i="17"/>
  <c r="X83" i="17"/>
  <c r="J13" i="21"/>
  <c r="E11" i="21"/>
  <c r="CG21" i="17"/>
  <c r="AU137" i="17"/>
  <c r="CF21" i="17"/>
  <c r="X46" i="17"/>
  <c r="BO83" i="17"/>
  <c r="Y88" i="17"/>
  <c r="X88" i="17"/>
  <c r="AD80" i="17"/>
  <c r="AD137" i="17" s="1"/>
  <c r="AM80" i="17"/>
  <c r="AM137" i="17" s="1"/>
  <c r="AV80" i="17"/>
  <c r="CL80" i="17" s="1"/>
  <c r="CL137" i="17" s="1"/>
  <c r="AE80" i="17"/>
  <c r="BU80" i="17" s="1"/>
  <c r="AN80" i="17"/>
  <c r="CD80" i="17" s="1"/>
  <c r="CD137" i="17" s="1"/>
  <c r="AW80" i="17"/>
  <c r="CM80" i="17" s="1"/>
  <c r="CM137" i="17" s="1"/>
  <c r="AF80" i="17"/>
  <c r="BV80" i="17" s="1"/>
  <c r="BV137" i="17" s="1"/>
  <c r="AO80" i="17"/>
  <c r="AO137" i="17" s="1"/>
  <c r="AX80" i="17"/>
  <c r="AX137" i="17" s="1"/>
  <c r="BZ80" i="17"/>
  <c r="BZ137" i="17" s="1"/>
  <c r="CE80" i="17"/>
  <c r="CE137" i="17" s="1"/>
  <c r="CH80" i="17"/>
  <c r="CN80" i="17"/>
  <c r="CN137" i="17" s="1"/>
  <c r="AB80" i="17"/>
  <c r="BR80" i="17" s="1"/>
  <c r="BR137" i="17" s="1"/>
  <c r="AJ80" i="17"/>
  <c r="AJ137" i="17" s="1"/>
  <c r="AT80" i="17"/>
  <c r="AT137" i="17" s="1"/>
  <c r="AY80" i="17"/>
  <c r="AY137" i="17" s="1"/>
  <c r="AR80" i="17"/>
  <c r="AR137" i="17" s="1"/>
  <c r="AK80" i="17"/>
  <c r="CA80" i="17" s="1"/>
  <c r="CA137" i="17" s="1"/>
  <c r="AP80" i="17"/>
  <c r="AP137" i="17" s="1"/>
  <c r="AA80" i="17"/>
  <c r="AA137" i="17" s="1"/>
  <c r="AG80" i="17"/>
  <c r="BW80" i="17" s="1"/>
  <c r="BW137" i="17" s="1"/>
  <c r="AU80" i="17"/>
  <c r="CK80" i="17" s="1"/>
  <c r="CK137" i="17" s="1"/>
  <c r="AL80" i="17"/>
  <c r="CB80" i="17" s="1"/>
  <c r="CB137" i="17" s="1"/>
  <c r="AS80" i="17"/>
  <c r="AS137" i="17" s="1"/>
  <c r="AQ80" i="17"/>
  <c r="CG80" i="17" s="1"/>
  <c r="AC80" i="17"/>
  <c r="AC137" i="17" s="1"/>
  <c r="AI80" i="17"/>
  <c r="BY80" i="17" s="1"/>
  <c r="BY137" i="17" s="1"/>
  <c r="AH80" i="17"/>
  <c r="AH137" i="17" s="1"/>
  <c r="AV137" i="17"/>
  <c r="CH137" i="17"/>
  <c r="BU21" i="17"/>
  <c r="BO21" i="17" s="1"/>
  <c r="AB137" i="17"/>
  <c r="BO84" i="17"/>
  <c r="Y21" i="17"/>
  <c r="K15" i="21"/>
  <c r="BS80" i="17" l="1"/>
  <c r="BS137" i="17" s="1"/>
  <c r="CF80" i="17"/>
  <c r="AQ137" i="17"/>
  <c r="AQ139" i="17" s="1"/>
  <c r="AK137" i="17"/>
  <c r="AI137" i="17"/>
  <c r="AF137" i="17"/>
  <c r="AF139" i="17" s="1"/>
  <c r="BT80" i="17"/>
  <c r="BT137" i="17" s="1"/>
  <c r="AE137" i="17"/>
  <c r="AN137" i="17"/>
  <c r="BX80" i="17"/>
  <c r="BX137" i="17" s="1"/>
  <c r="CF137" i="17"/>
  <c r="CF139" i="17" s="1"/>
  <c r="F7" i="21"/>
  <c r="AF2" i="21"/>
  <c r="AR139" i="17"/>
  <c r="AM2" i="21"/>
  <c r="AY139" i="17"/>
  <c r="AT139" i="17"/>
  <c r="AH2" i="21"/>
  <c r="AC3" i="21"/>
  <c r="CE139" i="17"/>
  <c r="CD139" i="17"/>
  <c r="AB3" i="21"/>
  <c r="CB139" i="17"/>
  <c r="Z3" i="21"/>
  <c r="AJ139" i="17"/>
  <c r="X2" i="21"/>
  <c r="R3" i="21"/>
  <c r="BT139" i="17"/>
  <c r="CM139" i="17"/>
  <c r="AK3" i="21"/>
  <c r="BR139" i="17"/>
  <c r="P3" i="21"/>
  <c r="V3" i="21"/>
  <c r="BX139" i="17"/>
  <c r="CL139" i="17"/>
  <c r="AJ3" i="21"/>
  <c r="U3" i="21"/>
  <c r="BW139" i="17"/>
  <c r="V2" i="21"/>
  <c r="AH139" i="17"/>
  <c r="AA139" i="17"/>
  <c r="O2" i="21"/>
  <c r="BV139" i="17"/>
  <c r="T3" i="21"/>
  <c r="X3" i="21"/>
  <c r="BZ139" i="17"/>
  <c r="AM139" i="17"/>
  <c r="AA2" i="21"/>
  <c r="BS139" i="17"/>
  <c r="Q3" i="21"/>
  <c r="AG2" i="21"/>
  <c r="AS139" i="17"/>
  <c r="W3" i="21"/>
  <c r="BY139" i="17"/>
  <c r="AD2" i="21"/>
  <c r="AP139" i="17"/>
  <c r="CN139" i="17"/>
  <c r="AL3" i="21"/>
  <c r="AL2" i="21"/>
  <c r="AX139" i="17"/>
  <c r="CK139" i="17"/>
  <c r="AI3" i="21"/>
  <c r="CA139" i="17"/>
  <c r="Y3" i="21"/>
  <c r="CJ80" i="17"/>
  <c r="CJ137" i="17" s="1"/>
  <c r="AE139" i="17"/>
  <c r="S2" i="21"/>
  <c r="AO139" i="17"/>
  <c r="AC2" i="21"/>
  <c r="Y2" i="21"/>
  <c r="AK139" i="17"/>
  <c r="F13" i="21"/>
  <c r="AL137" i="17"/>
  <c r="CO80" i="17"/>
  <c r="CO137" i="17" s="1"/>
  <c r="AN139" i="17"/>
  <c r="AB2" i="21"/>
  <c r="AW137" i="17"/>
  <c r="P2" i="21"/>
  <c r="AB139" i="17"/>
  <c r="E7" i="21"/>
  <c r="J9" i="21"/>
  <c r="CG137" i="17"/>
  <c r="BO66" i="17"/>
  <c r="CI80" i="17"/>
  <c r="CI137" i="17" s="1"/>
  <c r="AD139" i="17"/>
  <c r="R2" i="21"/>
  <c r="CC80" i="17"/>
  <c r="CC137" i="17" s="1"/>
  <c r="J3" i="21"/>
  <c r="F10" i="21"/>
  <c r="BP40" i="17"/>
  <c r="BP99" i="17"/>
  <c r="BP17" i="17"/>
  <c r="Z3" i="17"/>
  <c r="Z85" i="17"/>
  <c r="BP120" i="17"/>
  <c r="Z65" i="17"/>
  <c r="Z38" i="17"/>
  <c r="BP52" i="17"/>
  <c r="BP56" i="17"/>
  <c r="BP6" i="17"/>
  <c r="BP118" i="17"/>
  <c r="BP70" i="17"/>
  <c r="Z114" i="17"/>
  <c r="BP92" i="17"/>
  <c r="BP34" i="17"/>
  <c r="BP11" i="17"/>
  <c r="BP47" i="17"/>
  <c r="BP28" i="17"/>
  <c r="Z107" i="17"/>
  <c r="Z12" i="17"/>
  <c r="BP4" i="17"/>
  <c r="Z123" i="17"/>
  <c r="BP75" i="17"/>
  <c r="BP74" i="17"/>
  <c r="BP50" i="17"/>
  <c r="BP123" i="17"/>
  <c r="Z136" i="17"/>
  <c r="Z106" i="17"/>
  <c r="Z72" i="17"/>
  <c r="Z93" i="17"/>
  <c r="Z41" i="17"/>
  <c r="Z115" i="17"/>
  <c r="BP54" i="17"/>
  <c r="BP3" i="17"/>
  <c r="BP39" i="17"/>
  <c r="BP16" i="17"/>
  <c r="BP27" i="17"/>
  <c r="BP122" i="17"/>
  <c r="BP58" i="17"/>
  <c r="Z37" i="17"/>
  <c r="BP130" i="17"/>
  <c r="BP97" i="17"/>
  <c r="BP41" i="17"/>
  <c r="BP35" i="17"/>
  <c r="Z24" i="17"/>
  <c r="Z63" i="17"/>
  <c r="BP94" i="17"/>
  <c r="Z109" i="17"/>
  <c r="BP37" i="17"/>
  <c r="BP43" i="17"/>
  <c r="Z118" i="17"/>
  <c r="BP90" i="17"/>
  <c r="Z16" i="17"/>
  <c r="Z5" i="17"/>
  <c r="BP108" i="17"/>
  <c r="AI139" i="17"/>
  <c r="W2" i="21"/>
  <c r="BU137" i="17"/>
  <c r="Y80" i="17"/>
  <c r="Z80" i="17" s="1"/>
  <c r="X80" i="17"/>
  <c r="J4" i="21" s="1"/>
  <c r="BQ80" i="17"/>
  <c r="BQ137" i="17" s="1"/>
  <c r="CH139" i="17"/>
  <c r="AF3" i="21"/>
  <c r="E8" i="21"/>
  <c r="J7" i="21"/>
  <c r="AG137" i="17"/>
  <c r="Z84" i="17"/>
  <c r="Z66" i="17"/>
  <c r="K3" i="21"/>
  <c r="F6" i="21"/>
  <c r="Z124" i="17"/>
  <c r="BP119" i="17"/>
  <c r="AI2" i="21"/>
  <c r="AU139" i="17"/>
  <c r="Q2" i="21"/>
  <c r="AC139" i="17"/>
  <c r="AV139" i="17"/>
  <c r="AJ2" i="21"/>
  <c r="Z88" i="17"/>
  <c r="K7" i="21"/>
  <c r="F8" i="21"/>
  <c r="Z55" i="17"/>
  <c r="Z128" i="17"/>
  <c r="BP88" i="17"/>
  <c r="BP103" i="17" l="1"/>
  <c r="Z34" i="17"/>
  <c r="BP29" i="17"/>
  <c r="Z69" i="17"/>
  <c r="BP7" i="17"/>
  <c r="BP102" i="17"/>
  <c r="Z77" i="17"/>
  <c r="Z119" i="17"/>
  <c r="Z87" i="17"/>
  <c r="BP44" i="17"/>
  <c r="Z21" i="17"/>
  <c r="BP66" i="17"/>
  <c r="BP128" i="17"/>
  <c r="AD3" i="21"/>
  <c r="Z92" i="17"/>
  <c r="BP93" i="17"/>
  <c r="BP111" i="17"/>
  <c r="Z90" i="17"/>
  <c r="Z68" i="17"/>
  <c r="Z122" i="17"/>
  <c r="AE2" i="21"/>
  <c r="BP83" i="17"/>
  <c r="BP106" i="17"/>
  <c r="Z135" i="17"/>
  <c r="Z4" i="17"/>
  <c r="Z102" i="17"/>
  <c r="BP71" i="17"/>
  <c r="Z48" i="17"/>
  <c r="Z113" i="17"/>
  <c r="BP126" i="17"/>
  <c r="Z58" i="17"/>
  <c r="T2" i="21"/>
  <c r="B6" i="21"/>
  <c r="O3" i="21"/>
  <c r="BQ139" i="17"/>
  <c r="AM3" i="21"/>
  <c r="CO139" i="17"/>
  <c r="Z116" i="17"/>
  <c r="Z127" i="17"/>
  <c r="Z23" i="17"/>
  <c r="BP101" i="17"/>
  <c r="Z91" i="17"/>
  <c r="BP57" i="17"/>
  <c r="Z110" i="17"/>
  <c r="Z30" i="17"/>
  <c r="BP60" i="17"/>
  <c r="BP134" i="17"/>
  <c r="BP31" i="17"/>
  <c r="Z56" i="17"/>
  <c r="BP25" i="17"/>
  <c r="Z131" i="17"/>
  <c r="BP32" i="17"/>
  <c r="Z53" i="17"/>
  <c r="BP30" i="17"/>
  <c r="BP36" i="17"/>
  <c r="BP15" i="17"/>
  <c r="BP61" i="17"/>
  <c r="Z61" i="17"/>
  <c r="BP10" i="17"/>
  <c r="Z78" i="17"/>
  <c r="BP127" i="17"/>
  <c r="BP72" i="17"/>
  <c r="Y137" i="17"/>
  <c r="B7" i="21" s="1"/>
  <c r="BP48" i="17"/>
  <c r="Z8" i="17"/>
  <c r="BP62" i="17"/>
  <c r="BP65" i="17"/>
  <c r="J18" i="21"/>
  <c r="CG139" i="17"/>
  <c r="AE3" i="21"/>
  <c r="Z2" i="21"/>
  <c r="AL139" i="17"/>
  <c r="AG3" i="21"/>
  <c r="CI139" i="17"/>
  <c r="Z99" i="17"/>
  <c r="BP51" i="17"/>
  <c r="Z129" i="17"/>
  <c r="Z86" i="17"/>
  <c r="BP22" i="17"/>
  <c r="Z89" i="17"/>
  <c r="Z42" i="17"/>
  <c r="Z57" i="17"/>
  <c r="BP18" i="17"/>
  <c r="Z54" i="17"/>
  <c r="BP42" i="17"/>
  <c r="BP136" i="17"/>
  <c r="Z74" i="17"/>
  <c r="Z43" i="17"/>
  <c r="BP86" i="17"/>
  <c r="Z105" i="17"/>
  <c r="Z10" i="17"/>
  <c r="Z81" i="17"/>
  <c r="BP19" i="17"/>
  <c r="BP85" i="17"/>
  <c r="Z59" i="17"/>
  <c r="BP131" i="17"/>
  <c r="BP63" i="17"/>
  <c r="Z6" i="17"/>
  <c r="Z120" i="17"/>
  <c r="BP87" i="17"/>
  <c r="BP59" i="17"/>
  <c r="Z39" i="17"/>
  <c r="BP105" i="17"/>
  <c r="Z47" i="17"/>
  <c r="E6" i="21"/>
  <c r="E18" i="21" s="1"/>
  <c r="BP84" i="17"/>
  <c r="BP124" i="17"/>
  <c r="Z46" i="17"/>
  <c r="S3" i="21"/>
  <c r="BU139" i="17"/>
  <c r="BP9" i="17"/>
  <c r="BP78" i="17"/>
  <c r="Z100" i="17"/>
  <c r="Z73" i="17"/>
  <c r="Z15" i="17"/>
  <c r="BP14" i="17"/>
  <c r="Z9" i="17"/>
  <c r="Z62" i="17"/>
  <c r="K4" i="21"/>
  <c r="K18" i="21" s="1"/>
  <c r="Z76" i="17"/>
  <c r="BP109" i="17"/>
  <c r="Z67" i="17"/>
  <c r="Z83" i="17"/>
  <c r="AH3" i="21"/>
  <c r="CJ139" i="17"/>
  <c r="BP46" i="17"/>
  <c r="BO80" i="17"/>
  <c r="BP80" i="17" s="1"/>
  <c r="Z31" i="17"/>
  <c r="BP104" i="17"/>
  <c r="Z104" i="17"/>
  <c r="BP132" i="17"/>
  <c r="BP129" i="17"/>
  <c r="BP114" i="17"/>
  <c r="BP135" i="17"/>
  <c r="BP23" i="17"/>
  <c r="Z101" i="17"/>
  <c r="Z125" i="17"/>
  <c r="Z29" i="17"/>
  <c r="Z18" i="17"/>
  <c r="BP81" i="17"/>
  <c r="BP95" i="17"/>
  <c r="Z52" i="17"/>
  <c r="BP98" i="17"/>
  <c r="Z11" i="17"/>
  <c r="Z70" i="17"/>
  <c r="Z35" i="17"/>
  <c r="BP45" i="17"/>
  <c r="Z33" i="17"/>
  <c r="BP76" i="17"/>
  <c r="Z95" i="17"/>
  <c r="Z45" i="17"/>
  <c r="BP89" i="17"/>
  <c r="BP33" i="17"/>
  <c r="Z130" i="17"/>
  <c r="Z20" i="17"/>
  <c r="Z103" i="17"/>
  <c r="Z19" i="17"/>
  <c r="BP112" i="17"/>
  <c r="BP67" i="17"/>
  <c r="BP82" i="17"/>
  <c r="Z82" i="17"/>
  <c r="BP21" i="17"/>
  <c r="X137" i="17"/>
  <c r="U2" i="21"/>
  <c r="AG139" i="17"/>
  <c r="AW139" i="17"/>
  <c r="AK2" i="21"/>
  <c r="Z26" i="17"/>
  <c r="Z51" i="17"/>
  <c r="BP113" i="17"/>
  <c r="Z112" i="17"/>
  <c r="Z117" i="17"/>
  <c r="Z126" i="17"/>
  <c r="Z132" i="17"/>
  <c r="BP107" i="17"/>
  <c r="BP5" i="17"/>
  <c r="BP121" i="17"/>
  <c r="Z60" i="17"/>
  <c r="BP77" i="17"/>
  <c r="BP20" i="17"/>
  <c r="Z121" i="17"/>
  <c r="BP73" i="17"/>
  <c r="Z28" i="17"/>
  <c r="BP64" i="17"/>
  <c r="BP117" i="17"/>
  <c r="BP38" i="17"/>
  <c r="BP96" i="17"/>
  <c r="Z40" i="17"/>
  <c r="BP12" i="17"/>
  <c r="Z134" i="17"/>
  <c r="BP8" i="17"/>
  <c r="Z17" i="17"/>
  <c r="Z71" i="17"/>
  <c r="Z133" i="17"/>
  <c r="BP100" i="17"/>
  <c r="BP125" i="17"/>
  <c r="AA3" i="21"/>
  <c r="CC139" i="17"/>
  <c r="BP55" i="17"/>
  <c r="Y140" i="17"/>
  <c r="F18" i="21"/>
  <c r="G13" i="21" s="1"/>
  <c r="BP110" i="17"/>
  <c r="BP24" i="17"/>
  <c r="Z25" i="17"/>
  <c r="BP116" i="17"/>
  <c r="Z50" i="17"/>
  <c r="Z14" i="17"/>
  <c r="BP115" i="17"/>
  <c r="BP13" i="17"/>
  <c r="Z49" i="17"/>
  <c r="BP79" i="17"/>
  <c r="Z94" i="17"/>
  <c r="BP133" i="17"/>
  <c r="Z32" i="17"/>
  <c r="BP53" i="17"/>
  <c r="Z22" i="17"/>
  <c r="Z97" i="17"/>
  <c r="Z13" i="17"/>
  <c r="Z79" i="17"/>
  <c r="BP68" i="17"/>
  <c r="Z75" i="17"/>
  <c r="Z7" i="17"/>
  <c r="Z96" i="17"/>
  <c r="Z64" i="17"/>
  <c r="BP26" i="17"/>
  <c r="Z111" i="17"/>
  <c r="Z108" i="17"/>
  <c r="Z44" i="17"/>
  <c r="Z27" i="17"/>
  <c r="Z36" i="17"/>
  <c r="BP69" i="17"/>
  <c r="Z98" i="17"/>
  <c r="BP49" i="17"/>
  <c r="BP91" i="17"/>
  <c r="BO137" i="17" l="1"/>
  <c r="G6" i="21"/>
  <c r="G8" i="21"/>
  <c r="Z137" i="17"/>
  <c r="BP137" i="17"/>
  <c r="L16" i="21"/>
  <c r="L10" i="21"/>
  <c r="L6" i="21"/>
  <c r="L8" i="21"/>
  <c r="L5" i="21"/>
  <c r="L14" i="21"/>
  <c r="L11" i="21"/>
  <c r="L17" i="21"/>
  <c r="L12" i="21"/>
  <c r="L13" i="21"/>
  <c r="L15" i="21"/>
  <c r="L9" i="21"/>
  <c r="L7" i="21"/>
  <c r="L3" i="21"/>
  <c r="G10" i="21"/>
  <c r="B4" i="21"/>
  <c r="B5" i="21" s="1"/>
  <c r="B8" i="21"/>
  <c r="B9" i="21"/>
  <c r="G12" i="21"/>
  <c r="G16" i="21"/>
  <c r="G17" i="21"/>
  <c r="G9" i="21"/>
  <c r="G5" i="21"/>
  <c r="G4" i="21"/>
  <c r="G3" i="21"/>
  <c r="G11" i="21"/>
  <c r="G15" i="21"/>
  <c r="G14" i="21"/>
  <c r="G7" i="21"/>
  <c r="L4" i="21"/>
  <c r="G18" i="21" l="1"/>
  <c r="L18" i="21"/>
</calcChain>
</file>

<file path=xl/sharedStrings.xml><?xml version="1.0" encoding="utf-8"?>
<sst xmlns="http://schemas.openxmlformats.org/spreadsheetml/2006/main" count="1423" uniqueCount="480">
  <si>
    <t>Check Electrical connections (motor)</t>
  </si>
  <si>
    <t>DC circuit test &amp; combiner box inspection</t>
  </si>
  <si>
    <t>Modules/Row</t>
  </si>
  <si>
    <t>Modules per String</t>
  </si>
  <si>
    <t>Strings per Combiner Box</t>
  </si>
  <si>
    <t>Site Area (acres)</t>
  </si>
  <si>
    <t>Labor Rate per Hour</t>
  </si>
  <si>
    <t>Inverter inspection</t>
  </si>
  <si>
    <t>Transformer/switchgear inspection</t>
  </si>
  <si>
    <t>Inverter Capacity (kWp)</t>
  </si>
  <si>
    <t>PV module electrical connection check</t>
  </si>
  <si>
    <t>PV module torque check &amp; visual inspection</t>
  </si>
  <si>
    <t>Slew gear torque check &amp; wear inspection</t>
  </si>
  <si>
    <t>Gearbox lubrication</t>
  </si>
  <si>
    <t>Vegetation management (mowing, trimming) per acre</t>
  </si>
  <si>
    <t>Combiner Box</t>
  </si>
  <si>
    <t>Inverter</t>
  </si>
  <si>
    <t>Transformer</t>
  </si>
  <si>
    <t>Weather Station</t>
  </si>
  <si>
    <t>Controller</t>
  </si>
  <si>
    <t>Motor</t>
  </si>
  <si>
    <t>NCU</t>
  </si>
  <si>
    <t>Disconnect Box</t>
  </si>
  <si>
    <t>Slew Gear</t>
  </si>
  <si>
    <t>Site</t>
  </si>
  <si>
    <t>Universal joint inspection</t>
  </si>
  <si>
    <t>Universal joint greasing (zirc fitting)</t>
  </si>
  <si>
    <t>Driveshaft torque check &amp; visual inspection</t>
  </si>
  <si>
    <t>Driveshaft</t>
  </si>
  <si>
    <t>Applicable Unit</t>
  </si>
  <si>
    <t>PV Module</t>
  </si>
  <si>
    <t>Total Rows:</t>
  </si>
  <si>
    <t>Acre</t>
  </si>
  <si>
    <t xml:space="preserve">2 gal fuel/acre @$4/gal + 500 gal H2O/acre @$0.40/gal </t>
  </si>
  <si>
    <t>Electrical</t>
  </si>
  <si>
    <t>Mechanical</t>
  </si>
  <si>
    <t>All</t>
  </si>
  <si>
    <t>Tracker</t>
  </si>
  <si>
    <t>Inclinometer inspection</t>
  </si>
  <si>
    <t>Anemometer inspection</t>
  </si>
  <si>
    <t>Limit switch inspection</t>
  </si>
  <si>
    <t>Screw jack inspection</t>
  </si>
  <si>
    <t>Screw jack greasing</t>
  </si>
  <si>
    <t>Torque inspection</t>
  </si>
  <si>
    <t>Galvanazation inspection</t>
  </si>
  <si>
    <t>Labor hrs per unit</t>
  </si>
  <si>
    <t>Total Labor Cost</t>
  </si>
  <si>
    <t>Structure</t>
  </si>
  <si>
    <t>Slew gear lubrication</t>
  </si>
  <si>
    <t>Rail/ Fastener</t>
  </si>
  <si>
    <t>Check central SCADA/network manager</t>
  </si>
  <si>
    <t>Check Grounding Braids  for wear</t>
  </si>
  <si>
    <t>Check grounding hardware</t>
  </si>
  <si>
    <t>AC disconnect box inspection</t>
  </si>
  <si>
    <t>Notes</t>
  </si>
  <si>
    <t>Other cost = 1 gal fuel/acre @ $4/gal + $10/acre mowing consumables</t>
  </si>
  <si>
    <t>Other cost = water truckr rental</t>
  </si>
  <si>
    <t>Racking torque check &amp; inspection</t>
  </si>
  <si>
    <t>Mechanical labor mobilization</t>
  </si>
  <si>
    <t>Electrical labor mobilization</t>
  </si>
  <si>
    <t>Snow</t>
  </si>
  <si>
    <t>Humid</t>
  </si>
  <si>
    <t>Pollen</t>
  </si>
  <si>
    <t>Mono-crystal silicon: 0.36%/year</t>
  </si>
  <si>
    <t xml:space="preserve">Amorphous silicon:0.87%/year </t>
  </si>
  <si>
    <t>Mulit-crystal Silicon:0.64%/year</t>
  </si>
  <si>
    <t>Cadmium telluride: 0.40%/year</t>
  </si>
  <si>
    <t>CIGS:0.96%/year</t>
  </si>
  <si>
    <t>Concentrator</t>
  </si>
  <si>
    <t>High Wind</t>
  </si>
  <si>
    <t>Hail</t>
  </si>
  <si>
    <t>Salt Air</t>
  </si>
  <si>
    <t>Bird Populations</t>
  </si>
  <si>
    <t>Hot (reduce efficiency 2.67% for central, 0.18% for string inverter, Wang et al 2012)</t>
  </si>
  <si>
    <t>Diesel Soot (reduce efficiency 1%/g, Wang et al 2012)</t>
  </si>
  <si>
    <t>Industrial Emissions (reduce efficiency 1%/g, Wang et al 2012)</t>
  </si>
  <si>
    <t>Construction Site Nearby (reduce efficiency 1%/g, Wang et al 2012)</t>
  </si>
  <si>
    <t>Sand/Dust (reduce efficiency 1%/g, Wang et al 2012)</t>
  </si>
  <si>
    <t xml:space="preserve">High Insolation (reduce availability 0.83%, Wang et al 2012) </t>
  </si>
  <si>
    <t>Module Encapsulant</t>
  </si>
  <si>
    <t>Silicone</t>
  </si>
  <si>
    <t>Environmental Conditions</t>
  </si>
  <si>
    <t>Designer</t>
  </si>
  <si>
    <t>Pest control</t>
  </si>
  <si>
    <t>Roofing</t>
  </si>
  <si>
    <t>Structural engineer</t>
  </si>
  <si>
    <t>Mechanic</t>
  </si>
  <si>
    <t>Master electrician</t>
  </si>
  <si>
    <t>Journeyman electrician</t>
  </si>
  <si>
    <t>Network/IT</t>
  </si>
  <si>
    <t>Inspection</t>
  </si>
  <si>
    <t>Inverter specialist</t>
  </si>
  <si>
    <t>PV module/array Specialist</t>
  </si>
  <si>
    <t>Utilities locator</t>
  </si>
  <si>
    <t>Scope of Work</t>
  </si>
  <si>
    <t>Qualifications</t>
  </si>
  <si>
    <t>Record-keeping, service confirmation, correspondence</t>
  </si>
  <si>
    <t>Specifications, drawings, modeling and analysis, codes and standards.</t>
  </si>
  <si>
    <t>B.S. in EE (4-year engineering degree); registered PE licensed to practice engineering in the jurisdiction; NABCEP PV Installer Certification; CAD (AutoCAD) and graphics skills; knowledge of IEEE, NEC, NESC, and other codes and standards for PV systems; required level of errors and omissions insurance.</t>
  </si>
  <si>
    <t>Cleaning PV Arrays</t>
  </si>
  <si>
    <t>10 OSHA Card; Required level of bonding and insurance; drivers license and reliable transportation; minimum 18 years old.</t>
  </si>
  <si>
    <t>Removal of vegetation</t>
  </si>
  <si>
    <t>50 OSHA Card; drivers license and reliable transportation; required level of insurance; minimum 18 years old; any required training or license for herbicide application.</t>
  </si>
  <si>
    <t>Nesting vermin removal, Nesting vermin prevention</t>
  </si>
  <si>
    <t>10 OSHA Card; safety training in handling animals and detritus; required level of bonding and insurance; drivers license and reliable transportation; minimum 18 years old; most states require license for pesticide</t>
  </si>
  <si>
    <t>Roof leak repair, roof tile repair, re-roof</t>
  </si>
  <si>
    <t>Roofing contractor’s license for the jurisdiction; 10 OSHA Card; safety training in fall protection equipment and use (or 50 OSHA Card); required level of bonding and insurance</t>
  </si>
  <si>
    <t>Foundations and rack inspection/design</t>
  </si>
  <si>
    <t>B.S. CE (4-year engineering degree); registered PE licensed to practice engineering in the jurisdiction.</t>
  </si>
  <si>
    <t>Maintenance and repair/replace of tracking mount components</t>
  </si>
  <si>
    <t>50 OSHA Card; 2 to 5 years of experience; required level of bonding and insurance.</t>
  </si>
  <si>
    <t>Module replacement, inverter replacement, fuse/breaker replacement, conduit routing, wiring, ground fault repair</t>
  </si>
  <si>
    <t>Electrical Contractor’s license for the jurisdictions; 50 OSHA Card; NABCEP PV Installer certification; experience in the design of medium voltage electrical systems. 5+ years experience with PV systems; color vision. Certification by the North American Energy Reliability Corporation (NERC) is necessary for positions that affect the power grid.</t>
  </si>
  <si>
    <t>Module replacement, Inverter replacement, fuse/breaker replacement, conduit routing, wiring, ground fault repair</t>
  </si>
  <si>
    <t>Internet/network repair, monitoring equipment repair</t>
  </si>
  <si>
    <t xml:space="preserve">Knowledge of specific monitoring devices (training by system supplier) and how monitoring system is connected through network connections or wireless or cellular modem; knowledge of Modbus, DNP3 and other protocols, HMI operator interfaces; 2 to 5 years of experience. Locus, Enphase, Itron, etc. monitoring device knowledge. </t>
  </si>
  <si>
    <t xml:space="preserve">Diagnostic analysis; visual inspection, specific  testing, </t>
  </si>
  <si>
    <t>Diagnostic analysis; NABCEP PV Installer Certification; 2 to 5 years of experience.</t>
  </si>
  <si>
    <t>Inverter repair, upgrades</t>
  </si>
  <si>
    <t>Module repair</t>
  </si>
  <si>
    <t>Locate underground utilities.</t>
  </si>
  <si>
    <t>2 to5 years of experience.</t>
  </si>
  <si>
    <t>AC Wiring</t>
  </si>
  <si>
    <t>DC Wiring</t>
  </si>
  <si>
    <t>Documents</t>
  </si>
  <si>
    <t>Meter</t>
  </si>
  <si>
    <t>Roof</t>
  </si>
  <si>
    <t>PV Module Type</t>
  </si>
  <si>
    <t>Design</t>
  </si>
  <si>
    <t>Administration</t>
  </si>
  <si>
    <t>Corrective</t>
  </si>
  <si>
    <t>Decommission</t>
  </si>
  <si>
    <t>Contractor available by email and phone 24x7x365</t>
  </si>
  <si>
    <t>Test system grounding with "megger"</t>
  </si>
  <si>
    <t xml:space="preserve">Inspect electrical boxes for corrosion or intrusion of water or insects.  Seal boxes if required.  </t>
  </si>
  <si>
    <t>Check position of disconnect switches and breakers.</t>
  </si>
  <si>
    <t>Exercise operation of all protection devices.</t>
  </si>
  <si>
    <t>Check proper position of DC disconnect switches.</t>
  </si>
  <si>
    <t>Open each combiner box and check that no fuses have blown and that all electrical connections are tight.  Use an infrared camera for identifying loose connections because they are warmer than good connections when passing current.</t>
  </si>
  <si>
    <t xml:space="preserve">Look for any signs of intrusion by pests such as insects and rodents.  Remove any nests from electrical boxes (junction boxes, pull boxes, combiner boxes) or around the array.  Use safe sanitation practices because pests may carry disease.  </t>
  </si>
  <si>
    <t>Spot-check monitoring instruments (pyranometer, etc) with hand-held instruments to ensure that they are operational and within specifications.</t>
  </si>
  <si>
    <t>Walk through each row of the PV array and check the PV modules for any damage.  Report any damage to rack and damaged modules for warranty replacement.  Note location and serial number of questionable modules.</t>
  </si>
  <si>
    <t>Inspect ballasted, non-penetrating mounting system for abnormal movement</t>
  </si>
  <si>
    <t>Use infrared camera to inspect for hot spots; bypass diode failure</t>
  </si>
  <si>
    <t>Inspect transformer meter, oil and tempertaure gauges</t>
  </si>
  <si>
    <t>Daily Operations and Performance Monitoring</t>
  </si>
  <si>
    <t>Monitor alarms and site-specific altert parameters</t>
  </si>
  <si>
    <t>Manage inventory of spare parts</t>
  </si>
  <si>
    <t xml:space="preserve">Document all O&amp;M activities in a workbook available to all service personnel.  </t>
  </si>
  <si>
    <t xml:space="preserve">Confirm availability and take any measures to secure operating instructions, warranties and performance guarantees, and other project documentation. </t>
  </si>
  <si>
    <t>Review O&amp;M agreements and ensure that services are actually provided</t>
  </si>
  <si>
    <t>Update record with preventative maintenance activities and track any problems or warranty issues and secure the record on-site.</t>
  </si>
  <si>
    <t>Meet with key site staff to continue awareness, question any issues, and report on findings.</t>
  </si>
  <si>
    <t xml:space="preserve">Maintain a log of cumulative power delivery (kWh to date) and chart this value against date.  Chart the value even for uneven or infrequent intervals.  Explain variation by season or weather.  </t>
  </si>
  <si>
    <t>Re-torque all electrical connections on AC side of system.</t>
  </si>
  <si>
    <t>Re-torque all electrical connections in combiner box.</t>
  </si>
  <si>
    <t>Replace transient voltage surge suppression devices</t>
  </si>
  <si>
    <t>Clean (vacuum) dust from heat rejection fins</t>
  </si>
  <si>
    <t xml:space="preserve">Replace any air filters on air-cooled equipment such as inverter.  </t>
  </si>
  <si>
    <t>Remove bird nests from array and rack area.</t>
  </si>
  <si>
    <t>Lubricate tracker mounting bearings/gimbals</t>
  </si>
  <si>
    <t>Test overvoltage surge suppressors in inverter</t>
  </si>
  <si>
    <t>Test output of modules that exhibit cracked glass, bubble formation oxidation of busbars, discoloration of busbars, or PV module hot spots (bypass diode failure)</t>
  </si>
  <si>
    <t>Test modules showing corrosion of ribbons to junction box</t>
  </si>
  <si>
    <t>System</t>
  </si>
  <si>
    <t>Monitoring</t>
  </si>
  <si>
    <t>Asset Management</t>
  </si>
  <si>
    <t>Locate underground AC wiring</t>
  </si>
  <si>
    <t>Replace terminal block</t>
  </si>
  <si>
    <t>Re-tap transformer</t>
  </si>
  <si>
    <t>Replace transformer</t>
  </si>
  <si>
    <t>Replace/upgrade tracker control software</t>
  </si>
  <si>
    <t>Replace tracker motor controller</t>
  </si>
  <si>
    <t>Replace tracker mount bearing</t>
  </si>
  <si>
    <t>Replace tracker drive bearing</t>
  </si>
  <si>
    <t>Repair/replace tracker drive shaft</t>
  </si>
  <si>
    <t>Re-roof (new roof)</t>
  </si>
  <si>
    <t>Repair roof leaks</t>
  </si>
  <si>
    <t>Repair or replace damage to module frame</t>
  </si>
  <si>
    <t>Repair cracking of PV module back sheet</t>
  </si>
  <si>
    <t>Excavate and replace failed foundation element</t>
  </si>
  <si>
    <t>Repair or replace rack parts damaged by corrosion or physical damage</t>
  </si>
  <si>
    <t xml:space="preserve">Restore lost internet connection </t>
  </si>
  <si>
    <t>RE-install inverter control software</t>
  </si>
  <si>
    <t>Replace overvoltage surge suppressors for inverter</t>
  </si>
  <si>
    <t>Replace inverter relay/switch</t>
  </si>
  <si>
    <t>Replace fuses internal to inverter</t>
  </si>
  <si>
    <t>Replace inductors (coils) in inverter</t>
  </si>
  <si>
    <t>Replace capacitors in inverter</t>
  </si>
  <si>
    <t>Replace GFI components in inveter</t>
  </si>
  <si>
    <t>Replace DC contactor in inverter</t>
  </si>
  <si>
    <t>Replace 24VDC power supply for inverter controls</t>
  </si>
  <si>
    <t>Replace IGBT matrix in inverter</t>
  </si>
  <si>
    <t>Replace AC contactor in inverter</t>
  </si>
  <si>
    <t>Replace maximum power point tracker card/board; diagnose with fault code</t>
  </si>
  <si>
    <t>Replace IGBT driver card/board; diagnose with fault code</t>
  </si>
  <si>
    <t>Replace inverter control card (PWM signal, voltage, phase, frequency, shut-down); diagnose with fault code</t>
  </si>
  <si>
    <t>Replace inverter data acquisition card/board (also called system input module); diagnose with fault code</t>
  </si>
  <si>
    <t>Replace inverter fan motor</t>
  </si>
  <si>
    <t>Start/stop inverter (reboot to clear unknown error)</t>
  </si>
  <si>
    <t xml:space="preserve">Locate underground DC wiring </t>
  </si>
  <si>
    <t>Locate ground fault</t>
  </si>
  <si>
    <t>Repair ground fault</t>
  </si>
  <si>
    <t>Re-route conduit</t>
  </si>
  <si>
    <t>Replace fuse(s) on DC source circuits to inverter</t>
  </si>
  <si>
    <t>Replace MC connector lead to combiner box</t>
  </si>
  <si>
    <t>Replace MC Connectors between modules</t>
  </si>
  <si>
    <t>Locate  line-to-line fault</t>
  </si>
  <si>
    <t>Repair line-to-line fault</t>
  </si>
  <si>
    <t>Replace broken/crushed AC wiring conduit and fittings</t>
  </si>
  <si>
    <t>Replace protective devices (breakers) in building panel</t>
  </si>
  <si>
    <t>Replace inverter AC fuse(s)</t>
  </si>
  <si>
    <t>Dispatch contractor in response to alarms, alerts, or contact by others</t>
  </si>
  <si>
    <t>AC wiring</t>
  </si>
  <si>
    <t>DC wiring</t>
  </si>
  <si>
    <t>PV module</t>
  </si>
  <si>
    <t>Cleaner</t>
  </si>
  <si>
    <t>Seal Leaking Junction Box</t>
  </si>
  <si>
    <t>Replace failed DC fuses in combiner box</t>
  </si>
  <si>
    <t>Replace broken/crushed DC wiring conduit and fittings</t>
  </si>
  <si>
    <t>PV Sector</t>
  </si>
  <si>
    <t>Residential (10 kW)</t>
  </si>
  <si>
    <t>Utility (1 MW)</t>
  </si>
  <si>
    <t xml:space="preserve">manual reset  of arc-fault trip (NEC 690.11) </t>
  </si>
  <si>
    <t>Reference</t>
  </si>
  <si>
    <t>Replace hydraulic cylinder</t>
  </si>
  <si>
    <t>Weibull</t>
  </si>
  <si>
    <t xml:space="preserve">Replace modules failing performance test or IR scan </t>
  </si>
  <si>
    <t>Mean Interval (years)</t>
  </si>
  <si>
    <t>Weibull or Lognormal Shape Factor</t>
  </si>
  <si>
    <t xml:space="preserve">Total Matl and Other Cost </t>
  </si>
  <si>
    <t>Snow Removal</t>
  </si>
  <si>
    <t>Pollen Cleaning</t>
  </si>
  <si>
    <t>Bird Cleaning</t>
  </si>
  <si>
    <t xml:space="preserve">General Cleaning/Veg Mobilization </t>
  </si>
  <si>
    <t>Type of Distribution</t>
  </si>
  <si>
    <t>interval</t>
  </si>
  <si>
    <t>Module Power (W STC)</t>
  </si>
  <si>
    <t>Ground Coverage Ratio (GCR)</t>
  </si>
  <si>
    <t>Failure Distributions</t>
  </si>
  <si>
    <t>Interval</t>
  </si>
  <si>
    <t>Number of Inverters</t>
  </si>
  <si>
    <t>Working Hours/year</t>
  </si>
  <si>
    <t xml:space="preserve"> (estimated) Skills to perform maintenance, diagnostics and repair for inverter: factory trained and certified; 5+ years experience.</t>
  </si>
  <si>
    <t xml:space="preserve"> (estimated) Skills to operate, troubleshoot, maintain, and repair photovoltaic equipment: NABCEP PV Installer certification. 2 to 5 years of experience.</t>
  </si>
  <si>
    <t>(estimated) 50 OSHA Card; training in arc-flash, lock-out/tag-out, and other special protective equipment and procedures; NABCEP PV Installer certification; experience in the design of medium voltage electrical systems. 5+ years experience with PV systems; color vision.</t>
  </si>
  <si>
    <t>Inspector</t>
  </si>
  <si>
    <t>Mower/Trimmer</t>
  </si>
  <si>
    <t>Administrator</t>
  </si>
  <si>
    <t>Excellent interpersonal and communication skills (written and verbal). Diligent record keeping. 2 to 5 years of experience. Excellent MS Office and computer skills. Management of contractors and quality.</t>
  </si>
  <si>
    <t>Calibrate or replace weather sensors &amp; meters</t>
  </si>
  <si>
    <t>Tracking Controller inspection</t>
  </si>
  <si>
    <t xml:space="preserve">Total Cost for Measure </t>
  </si>
  <si>
    <t>Install software updates, inverter and other</t>
  </si>
  <si>
    <t>Replace tracking controller power supply fan filter</t>
  </si>
  <si>
    <t>Number of Modules</t>
  </si>
  <si>
    <t>Number of Combiner Boxes</t>
  </si>
  <si>
    <t>Number of DC Disconnects</t>
  </si>
  <si>
    <t>Combiner boxes per DC disconnect</t>
  </si>
  <si>
    <t>Number of Transformers</t>
  </si>
  <si>
    <t>Number of Strings</t>
  </si>
  <si>
    <t>Inspect cabling for signs of cracks, defects, pulling out of connections; overheating, arcing, short or open circuits, ground faults in wiring and condition of wire insulation and protective materials..</t>
  </si>
  <si>
    <t>Acres</t>
  </si>
  <si>
    <t>strings</t>
  </si>
  <si>
    <t>inverter</t>
  </si>
  <si>
    <t>row</t>
  </si>
  <si>
    <t>acres</t>
  </si>
  <si>
    <t>modules</t>
  </si>
  <si>
    <t>rows</t>
  </si>
  <si>
    <t>connection</t>
  </si>
  <si>
    <t>block</t>
  </si>
  <si>
    <t>Check Electrical connections &amp; enclosure for tracking motor/controller</t>
  </si>
  <si>
    <t xml:space="preserve">Array cleaning </t>
  </si>
  <si>
    <t>Test open circuit voltage or IV curve of series strings of modules</t>
  </si>
  <si>
    <t>Discount Rate</t>
  </si>
  <si>
    <t>Inflation Rate</t>
  </si>
  <si>
    <t>Location</t>
  </si>
  <si>
    <t>General Inputs</t>
  </si>
  <si>
    <t>Salary (2080 hrs/year)</t>
  </si>
  <si>
    <t>Preventive</t>
  </si>
  <si>
    <t>Ethyl Vinyl Acetate (EVA)</t>
  </si>
  <si>
    <t>Polyvinyl Butyral (PVB)</t>
  </si>
  <si>
    <t xml:space="preserve">Hot </t>
  </si>
  <si>
    <t>(reduce efficiency 2.67% for central, 0.18% for string inverter, Wang et al 2012)</t>
  </si>
  <si>
    <t xml:space="preserve">Diesel Soot </t>
  </si>
  <si>
    <t>(reduce efficiency 1%/g, Wang et al 2012)</t>
  </si>
  <si>
    <t>Industrial Emissions</t>
  </si>
  <si>
    <t xml:space="preserve"> (reduce efficiency 1%/g, Wang et al 2012)</t>
  </si>
  <si>
    <t xml:space="preserve">Construction Site Nearby </t>
  </si>
  <si>
    <t>Sand/Dust</t>
  </si>
  <si>
    <t xml:space="preserve">High Insolation </t>
  </si>
  <si>
    <t xml:space="preserve">(reduce availability 0.83%, Wang et al 2012) </t>
  </si>
  <si>
    <t>Indicate "1" if condition applies to project, "0" if not applicable</t>
  </si>
  <si>
    <t>Inputs</t>
  </si>
  <si>
    <t>Results</t>
  </si>
  <si>
    <t>% per annum</t>
  </si>
  <si>
    <t>Analysis Period (Project Life)</t>
  </si>
  <si>
    <t>Detailed Measures</t>
  </si>
  <si>
    <t>Denver, CO</t>
  </si>
  <si>
    <t>Module Type/ Degradation</t>
  </si>
  <si>
    <t>Approx. Number of Units</t>
  </si>
  <si>
    <t>Material/ Other Cost per unit</t>
  </si>
  <si>
    <t>NPV (Project Life)</t>
  </si>
  <si>
    <t>Annual Cash Flow</t>
  </si>
  <si>
    <t>Performance test: measure incident light while observing temp and energy output.  Calculate PV module efficiency as a function of temp and calculate BOS efficiency.  Compare readings with diagnostic benchmark (original efficiency of system).</t>
  </si>
  <si>
    <t>Average Annual Expense</t>
  </si>
  <si>
    <t>% of Total</t>
  </si>
  <si>
    <t>Total</t>
  </si>
  <si>
    <t>% of Total NPV</t>
  </si>
  <si>
    <t>Inverter Types</t>
  </si>
  <si>
    <t>Avg. Cost/Yr</t>
  </si>
  <si>
    <t>NPV (Life)</t>
  </si>
  <si>
    <t>years (40 max)</t>
  </si>
  <si>
    <t>Net Present Value O&amp;M Costs (project life)</t>
  </si>
  <si>
    <t>Net Present Value (project life) per Wp</t>
  </si>
  <si>
    <t>Value</t>
  </si>
  <si>
    <t>Note: Model is for informational purposes only</t>
  </si>
  <si>
    <t>Inverter Type</t>
  </si>
  <si>
    <t>String Inverter</t>
  </si>
  <si>
    <t>Central Inverter</t>
  </si>
  <si>
    <t>Inverter Warranty (years)</t>
  </si>
  <si>
    <t>Monitoring annual service package</t>
  </si>
  <si>
    <t>Replace inverter</t>
  </si>
  <si>
    <t>Inverter Replacement Cost/ Wp</t>
  </si>
  <si>
    <t>PV Module Product Warranty (years)</t>
  </si>
  <si>
    <t>Other equipment (EPC) Warranty (years)</t>
  </si>
  <si>
    <t>Dust Removal</t>
  </si>
  <si>
    <t>Contents</t>
  </si>
  <si>
    <t>Inputs &amp; Summary</t>
  </si>
  <si>
    <t>Labor Rates</t>
  </si>
  <si>
    <t>[Optional] Modify labor rate assumptions for each trade</t>
  </si>
  <si>
    <t>[Optional] Modify detailed assumptions for Residential Rooftop system type. Exercise caution when modifying default assumptions.</t>
  </si>
  <si>
    <t>[Optional] Modify detailed assumptions for Commercial Rooftop system type. Exercise caution when modifying default assumptions.</t>
  </si>
  <si>
    <t>[Optional] Modify detailed assumptions for Ground-Mount system type. Exercise caution when modifying default assumptions.</t>
  </si>
  <si>
    <t>Reports</t>
  </si>
  <si>
    <t>Additional model output summaries; read-only</t>
  </si>
  <si>
    <t>Cash Flow</t>
  </si>
  <si>
    <t>Detailed line item cash flow output; read-only</t>
  </si>
  <si>
    <t>Type</t>
  </si>
  <si>
    <t>User inputs</t>
  </si>
  <si>
    <t>Read-only</t>
  </si>
  <si>
    <t>Cleaning</t>
  </si>
  <si>
    <t>Separate tool</t>
  </si>
  <si>
    <t>Legend</t>
  </si>
  <si>
    <t>User input, hard-coded default value</t>
  </si>
  <si>
    <t>User input, calculated default value</t>
  </si>
  <si>
    <t>Read-only output</t>
  </si>
  <si>
    <t>Description</t>
  </si>
  <si>
    <t>Warranty Types</t>
  </si>
  <si>
    <t>EPC</t>
  </si>
  <si>
    <t>N/A</t>
  </si>
  <si>
    <t>Purchased monitoring contract (years)</t>
  </si>
  <si>
    <t>Enter '0' if not applicable</t>
  </si>
  <si>
    <t>Residential Rooftop Details</t>
  </si>
  <si>
    <t>Commercial Rooftop Details</t>
  </si>
  <si>
    <t>Ground-Mount Details</t>
  </si>
  <si>
    <t>Covered by Warranty - Materials  (1=yes, 0=no)</t>
  </si>
  <si>
    <t>Module (Product)</t>
  </si>
  <si>
    <t>Years</t>
  </si>
  <si>
    <t>Warranty or Service Package Type</t>
  </si>
  <si>
    <t>User input, drop down selection</t>
  </si>
  <si>
    <t>Commercial (1000 kW)</t>
  </si>
  <si>
    <t>Rows per Tracked Block:(ignore untracked)</t>
  </si>
  <si>
    <t>Total Tracking Blocks:(ignore untracked)</t>
  </si>
  <si>
    <t>Stand-alone modelling tool provided to help calculate optimal PV panel cleaning frequency. Not connected to model; must manully transfer result to appropriate details page</t>
  </si>
  <si>
    <t xml:space="preserve">THIS DOCUMENT AND THE INFORMATION CONTAINED HEREIN IS PROVIDED ON AN "AS IS" BASIS. THE SUNSPEC ALLIANCE DISCLAIMS ALL WARRANTIES, </t>
  </si>
  <si>
    <t xml:space="preserve">EXPRESS OR IMPLIED, INCLUDING BUT NOT LIMITED TO ANY WARRANTY THAT THE USE OF THE INFORMATION HEREIN WILL NOT INFRINGE ANY OWNERSHIP </t>
  </si>
  <si>
    <t>RIGHTS OR ANY IMPLIED WARRANTIES OF MERCHANTABILITY OR FITNESS FOR A PARTICULAR PURPOSE.</t>
  </si>
  <si>
    <t xml:space="preserve">THIS DOCUMENT MAY BE USED, COPIED, AND FURNISHED TO OTHERS, WITHOUT RESTRICTIONS OF ANY KIND, PROVIDED THAT THIS DOCUMENT ITSELF MAY NOT </t>
  </si>
  <si>
    <t xml:space="preserve">BE MODIFIED IN ANYWAY, EXCEPT AS NEEDED BY THE SUNSPEC TECHNICAL COMMITTEE AND AS GOVERNED BY THE SUNSPEC IPR POLICY.  </t>
  </si>
  <si>
    <t>THE COMPLETE POLICY OF THE SUNSPEC ALLIANCE CAN BE FOUND AT WWW.SUNSPEC.ORG.</t>
  </si>
  <si>
    <t>LICENSE AGREEMENT</t>
  </si>
  <si>
    <t>Primary input page with real-time model output. Select system type, enter basic system details, warranty switches for modelling service plans, etc.  here</t>
  </si>
  <si>
    <t>PVOMcost Proforma; a proforma cost modelling tool for PV industry operations and finance practitioners designing and budgetting PV O&amp;M plans</t>
  </si>
  <si>
    <t>Input not applicable (user can over ride)</t>
  </si>
  <si>
    <t>Foundations per row: (ignore rooftop)</t>
  </si>
  <si>
    <t>Annualized O&amp;M Costs ($/year)</t>
  </si>
  <si>
    <t>Annualized Unit O&amp;M Costs ($/kW/year)</t>
  </si>
  <si>
    <t>Overhead Mulitpier</t>
  </si>
  <si>
    <t>Rate ($/hour)</t>
  </si>
  <si>
    <t>Module Efficiency</t>
  </si>
  <si>
    <t>Array Area (m2)</t>
  </si>
  <si>
    <t>m2</t>
  </si>
  <si>
    <t>Composite Shingle</t>
  </si>
  <si>
    <t>Log normal</t>
  </si>
  <si>
    <t>Microinverter</t>
  </si>
  <si>
    <t>Built-up, Bituminous</t>
  </si>
  <si>
    <t>Ashphalt Shingle</t>
  </si>
  <si>
    <t>Wood Shingle</t>
  </si>
  <si>
    <t>Slate</t>
  </si>
  <si>
    <t>Metal Roof</t>
  </si>
  <si>
    <t>Tile</t>
  </si>
  <si>
    <t>Roof Slope</t>
  </si>
  <si>
    <t>Flat or less than 1:12</t>
  </si>
  <si>
    <t>Sloped, 4:12</t>
  </si>
  <si>
    <t>Steep, more than 7/12</t>
  </si>
  <si>
    <t>Rooftop Rack Type</t>
  </si>
  <si>
    <t>Ballasted</t>
  </si>
  <si>
    <t>Attached</t>
  </si>
  <si>
    <t>Both ballasted and attached</t>
  </si>
  <si>
    <t>Styrene-Butadiene-Styrene (SBS)</t>
  </si>
  <si>
    <t>Thermoplastic Polyolefin (TPO)</t>
  </si>
  <si>
    <t>Ethylene Propylene Diene Monomer (EPDM)</t>
  </si>
  <si>
    <t>PolyVinyl Cloride (PVC)</t>
  </si>
  <si>
    <t>Tracking</t>
  </si>
  <si>
    <t>1-axis Tracking</t>
  </si>
  <si>
    <t>2-axis Tracking</t>
  </si>
  <si>
    <t>Mounting Location</t>
  </si>
  <si>
    <t>Fixed Tilt</t>
  </si>
  <si>
    <t>Rooftop</t>
  </si>
  <si>
    <t>Ground Mount</t>
  </si>
  <si>
    <t>Repair Roof Attachment Flashing</t>
  </si>
  <si>
    <t>Mounting Type</t>
  </si>
  <si>
    <t>each</t>
  </si>
  <si>
    <t>Number of Roof Attachments</t>
  </si>
  <si>
    <t>Array Area per Roof Attachment (m2)</t>
  </si>
  <si>
    <t>Repair Materials ($/m2)</t>
  </si>
  <si>
    <t>Repair Labor (hours/m2)</t>
  </si>
  <si>
    <t>Tracking or Fixed</t>
  </si>
  <si>
    <t>Roof inspection</t>
  </si>
  <si>
    <t>Remove leaves and debris from rack</t>
  </si>
  <si>
    <t>Arial</t>
  </si>
  <si>
    <t>Roof Walk</t>
  </si>
  <si>
    <t>Ground Walk</t>
  </si>
  <si>
    <t>Inspection technique</t>
  </si>
  <si>
    <t>Aerial Inspection</t>
  </si>
  <si>
    <t>MW</t>
  </si>
  <si>
    <t>Total Labor Hours/year (not used, just for check)</t>
  </si>
  <si>
    <t>formula for inverter labor</t>
  </si>
  <si>
    <t>Market Sector</t>
  </si>
  <si>
    <t>Replacemet Cost ($//W)</t>
  </si>
  <si>
    <t>Degradation rate per year</t>
  </si>
  <si>
    <t>ANNUAL TOTAL</t>
  </si>
  <si>
    <t>ANNUAL PRODUCTION</t>
  </si>
  <si>
    <t>Degradation Rate per year</t>
  </si>
  <si>
    <t>Annual Average $/kWh/year</t>
  </si>
  <si>
    <t>NPV Annual O&amp;M Cost per kWh</t>
  </si>
  <si>
    <t>Energy Yield Year 1 (kWh/kWp/year)</t>
  </si>
  <si>
    <t>Insurance Premium</t>
  </si>
  <si>
    <t>percent of initial cost</t>
  </si>
  <si>
    <t>premium percent of intial cost.04%</t>
  </si>
  <si>
    <t>Corrosion inspection</t>
  </si>
  <si>
    <t>Ground Mount Fixed Tilt</t>
  </si>
  <si>
    <t>This model was developed as a collaboration between the SunSpec Alliance and The National Renewable Energy Laboratory</t>
  </si>
  <si>
    <t>User input, calculated default value (user can over ride</t>
  </si>
  <si>
    <t>Labor Multiplier (fully loaded)</t>
  </si>
  <si>
    <t>David Walters, Hartford Steam Boiler, 6/7/2014</t>
  </si>
  <si>
    <t>Applicable ? 
(1= yes, 0 = no)</t>
  </si>
  <si>
    <t>Covered by Warranty - Labor
 (1=yes, 0=no)</t>
  </si>
  <si>
    <t>Photovoltaic Degradation Rates — An Analytical Review Dirk C. Jordan and Sarah R. Kurtz; http://www.nrel.gov/docs/fy12osti/51664.pdf</t>
  </si>
  <si>
    <t>http://welcome.homeadvisor.com/costguide_roofing and http://www.homeadvisor.com/cost/roofing/repair-a-roof/] [</t>
  </si>
  <si>
    <t>Loaded Rate ($/hour)</t>
  </si>
  <si>
    <t>Natinonal Bureau of Labor Statistics http://www.bls.gov/data/#wages</t>
  </si>
  <si>
    <t>Reserve Account</t>
  </si>
  <si>
    <t>Maximum Reserve Account</t>
  </si>
  <si>
    <t>Year</t>
  </si>
  <si>
    <t>Reserve Account Amount</t>
  </si>
  <si>
    <t>Desired Confidence that Reserve Covers Cost</t>
  </si>
  <si>
    <t>Lifetime NPV by Service Provider</t>
  </si>
  <si>
    <t>Service Provider</t>
  </si>
  <si>
    <t>Lifetime NPV by O&amp;M Category</t>
  </si>
  <si>
    <t>O&amp;M Category</t>
  </si>
  <si>
    <t>Plant Name</t>
  </si>
  <si>
    <t>Plant Inputs</t>
  </si>
  <si>
    <t>Plant Size (kWp DC)</t>
  </si>
  <si>
    <t>Plant Size (Wp DC)</t>
  </si>
  <si>
    <t>Plant Installed Cost</t>
  </si>
  <si>
    <t>Service Description</t>
  </si>
  <si>
    <t>O&amp;M Type</t>
  </si>
  <si>
    <t>Service Category</t>
  </si>
  <si>
    <t>Emergency Response</t>
  </si>
  <si>
    <t>Management</t>
  </si>
  <si>
    <t>Service</t>
  </si>
  <si>
    <t>Testing</t>
  </si>
  <si>
    <t>Repair</t>
  </si>
  <si>
    <t>Rack</t>
  </si>
  <si>
    <t>Whole System</t>
  </si>
  <si>
    <t>Module table inspection</t>
  </si>
  <si>
    <t>Roof Type</t>
  </si>
  <si>
    <t>Please direct any comments for improvements or feedback to support@sunspec.org; This tool is provided in an open source format, please send improvements and derivative models to PVOMcostModel@sunspec.org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</si>
</sst>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0.0"/>
    <numFmt numFmtId="165" formatCode="&quot;$&quot;#,##0"/>
    <numFmt numFmtId="166" formatCode="_(* #,##0_);_(* \(#,##0\);_(* &quot;-&quot;??_);_(@_)"/>
    <numFmt numFmtId="167" formatCode="_(* #,##0_);_(* \(#,##0\);_(* &quot;-&quot;?_);_(@_)"/>
    <numFmt numFmtId="168" formatCode="0.0%"/>
    <numFmt numFmtId="169" formatCode="&quot;$&quot;#,##0.00"/>
    <numFmt numFmtId="170" formatCode="&quot;Year&quot;\ #"/>
    <numFmt numFmtId="171" formatCode="0.000"/>
    <numFmt numFmtId="172" formatCode="&quot;Not yet implemented&quot;"/>
    <numFmt numFmtId="173" formatCode="#,##0.0"/>
    <numFmt numFmtId="174" formatCode="&quot;$&quot;#,##0.000_);[Red]\(&quot;$&quot;#,##0.000\)"/>
    <numFmt numFmtId="175" formatCode="#,##0.0000_);[Red]\(#,##0.0000\)"/>
    <numFmt numFmtId="176" formatCode="#,##0.0_);\(#,##0.0\)"/>
    <numFmt numFmtId="177" formatCode="&quot;$&quot;#,##0.000"/>
  </numFmts>
  <fonts count="29">
    <font>
      <sz val="11"/>
      <color theme="1"/>
      <name val="Calibri"/>
      <family val="2"/>
      <scheme val="minor"/>
    </font>
    <font>
      <b/>
      <sz val="11"/>
      <color theme="1"/>
      <name val="Calibri"/>
      <family val="2"/>
      <scheme val="minor"/>
    </font>
    <font>
      <b/>
      <sz val="11"/>
      <color rgb="FF0070C0"/>
      <name val="Calibri"/>
      <family val="2"/>
      <scheme val="minor"/>
    </font>
    <font>
      <sz val="11"/>
      <color theme="1"/>
      <name val="Calibri"/>
      <family val="2"/>
      <scheme val="minor"/>
    </font>
    <font>
      <b/>
      <sz val="11"/>
      <color theme="0"/>
      <name val="Calibri"/>
      <family val="2"/>
      <scheme val="minor"/>
    </font>
    <font>
      <sz val="12"/>
      <color theme="1"/>
      <name val="Times New Roman"/>
      <family val="1"/>
    </font>
    <font>
      <b/>
      <sz val="11"/>
      <name val="Calibri"/>
      <family val="2"/>
      <scheme val="minor"/>
    </font>
    <font>
      <sz val="11"/>
      <color theme="0"/>
      <name val="Calibri"/>
      <family val="2"/>
      <scheme val="minor"/>
    </font>
    <font>
      <u/>
      <sz val="11"/>
      <color theme="10"/>
      <name val="Calibri"/>
      <family val="2"/>
      <scheme val="minor"/>
    </font>
    <font>
      <u/>
      <sz val="11"/>
      <color theme="11"/>
      <name val="Calibri"/>
      <family val="2"/>
      <scheme val="minor"/>
    </font>
    <font>
      <b/>
      <i/>
      <sz val="11"/>
      <color theme="1"/>
      <name val="Calibri"/>
      <family val="2"/>
      <scheme val="minor"/>
    </font>
    <font>
      <sz val="11"/>
      <color theme="0" tint="-0.14999847407452621"/>
      <name val="Calibri"/>
      <family val="2"/>
      <scheme val="minor"/>
    </font>
    <font>
      <b/>
      <sz val="16"/>
      <color theme="0"/>
      <name val="Calibri"/>
      <family val="2"/>
      <scheme val="minor"/>
    </font>
    <font>
      <sz val="14"/>
      <color theme="0"/>
      <name val="Calibri"/>
      <family val="2"/>
      <scheme val="minor"/>
    </font>
    <font>
      <b/>
      <sz val="14"/>
      <color theme="0"/>
      <name val="Calibri"/>
      <family val="2"/>
      <scheme val="minor"/>
    </font>
    <font>
      <b/>
      <sz val="11"/>
      <color theme="6" tint="-0.499984740745262"/>
      <name val="Calibri"/>
      <family val="2"/>
      <scheme val="minor"/>
    </font>
    <font>
      <b/>
      <sz val="12"/>
      <color theme="1"/>
      <name val="Calibri"/>
      <family val="2"/>
      <scheme val="minor"/>
    </font>
    <font>
      <i/>
      <sz val="11"/>
      <color theme="0" tint="-0.499984740745262"/>
      <name val="Calibri"/>
      <family val="2"/>
      <scheme val="minor"/>
    </font>
    <font>
      <sz val="11"/>
      <name val="Calibri"/>
      <family val="2"/>
      <scheme val="minor"/>
    </font>
    <font>
      <b/>
      <sz val="11"/>
      <color theme="0" tint="-0.499984740745262"/>
      <name val="Calibri"/>
      <family val="2"/>
      <scheme val="minor"/>
    </font>
    <font>
      <sz val="11"/>
      <color theme="1" tint="0.34998626667073579"/>
      <name val="Wingdings 3"/>
      <family val="1"/>
      <charset val="2"/>
    </font>
    <font>
      <sz val="14"/>
      <name val="Calibri Bold"/>
    </font>
    <font>
      <sz val="11"/>
      <color rgb="FF3F3F76"/>
      <name val="Calibri"/>
      <family val="2"/>
      <scheme val="minor"/>
    </font>
    <font>
      <b/>
      <sz val="14"/>
      <color rgb="FF000000"/>
      <name val="Calibri"/>
      <family val="2"/>
      <scheme val="minor"/>
    </font>
    <font>
      <b/>
      <sz val="14"/>
      <color rgb="FF0070C0"/>
      <name val="Calibri"/>
      <family val="2"/>
      <scheme val="minor"/>
    </font>
    <font>
      <b/>
      <sz val="14"/>
      <color theme="0" tint="-0.499984740745262"/>
      <name val="Calibri"/>
      <family val="2"/>
      <scheme val="minor"/>
    </font>
    <font>
      <sz val="14"/>
      <color rgb="FF000000"/>
      <name val="Calibri"/>
      <family val="2"/>
      <scheme val="minor"/>
    </font>
    <font>
      <sz val="14"/>
      <color theme="1"/>
      <name val="Calibri"/>
      <family val="2"/>
      <scheme val="minor"/>
    </font>
    <font>
      <b/>
      <sz val="14"/>
      <color theme="1"/>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rgb="FFFFFFCC"/>
        <bgColor indexed="64"/>
      </patternFill>
    </fill>
    <fill>
      <patternFill patternType="solid">
        <fgColor theme="1"/>
        <bgColor indexed="64"/>
      </patternFill>
    </fill>
    <fill>
      <patternFill patternType="solid">
        <fgColor rgb="FF0070C0"/>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1" tint="0.49998474074526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6" tint="-0.499984740745262"/>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rgb="FFFFCC99"/>
      </patternFill>
    </fill>
  </fills>
  <borders count="3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medium">
        <color auto="1"/>
      </bottom>
      <diagonal/>
    </border>
    <border>
      <left style="medium">
        <color auto="1"/>
      </left>
      <right/>
      <top/>
      <bottom/>
      <diagonal/>
    </border>
    <border>
      <left/>
      <right style="medium">
        <color auto="1"/>
      </right>
      <top/>
      <bottom/>
      <diagonal/>
    </border>
    <border>
      <left/>
      <right style="medium">
        <color auto="1"/>
      </right>
      <top/>
      <bottom style="medium">
        <color auto="1"/>
      </bottom>
      <diagonal/>
    </border>
    <border>
      <left style="thin">
        <color auto="1"/>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style="medium">
        <color auto="1"/>
      </left>
      <right/>
      <top/>
      <bottom style="medium">
        <color auto="1"/>
      </bottom>
      <diagonal/>
    </border>
    <border>
      <left/>
      <right/>
      <top style="thin">
        <color auto="1"/>
      </top>
      <bottom/>
      <diagonal/>
    </border>
    <border>
      <left/>
      <right style="thin">
        <color auto="1"/>
      </right>
      <top style="thin">
        <color auto="1"/>
      </top>
      <bottom/>
      <diagonal/>
    </border>
    <border>
      <left/>
      <right/>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style="thin">
        <color auto="1"/>
      </bottom>
      <diagonal/>
    </border>
    <border>
      <left style="thin">
        <color rgb="FF7F7F7F"/>
      </left>
      <right style="thin">
        <color rgb="FF7F7F7F"/>
      </right>
      <top style="thin">
        <color rgb="FF7F7F7F"/>
      </top>
      <bottom style="thin">
        <color rgb="FF7F7F7F"/>
      </bottom>
      <diagonal/>
    </border>
  </borders>
  <cellStyleXfs count="71">
    <xf numFmtId="0" fontId="0" fillId="0" borderId="0"/>
    <xf numFmtId="9" fontId="3" fillId="0" borderId="0" applyFont="0" applyFill="0" applyBorder="0" applyAlignment="0" applyProtection="0"/>
    <xf numFmtId="43" fontId="3" fillId="0" borderId="0" applyFont="0" applyFill="0" applyBorder="0" applyAlignment="0" applyProtection="0"/>
    <xf numFmtId="44" fontId="3" fillId="0" borderId="0" applyFon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22" fillId="15" borderId="33" applyNumberFormat="0" applyAlignment="0" applyProtection="0"/>
  </cellStyleXfs>
  <cellXfs count="196">
    <xf numFmtId="0" fontId="0" fillId="0" borderId="0" xfId="0"/>
    <xf numFmtId="0" fontId="0" fillId="0" borderId="0" xfId="0" applyAlignment="1">
      <alignment vertical="top" wrapText="1"/>
    </xf>
    <xf numFmtId="0" fontId="2" fillId="3" borderId="1" xfId="0" applyFont="1" applyFill="1" applyBorder="1" applyAlignment="1">
      <alignment horizontal="center" vertical="top" wrapText="1"/>
    </xf>
    <xf numFmtId="0" fontId="1" fillId="0" borderId="0" xfId="0" applyFont="1"/>
    <xf numFmtId="165" fontId="2" fillId="3" borderId="1" xfId="0" applyNumberFormat="1" applyFont="1" applyFill="1" applyBorder="1" applyAlignment="1">
      <alignment horizontal="center" vertical="top" wrapText="1"/>
    </xf>
    <xf numFmtId="0" fontId="0" fillId="0" borderId="0" xfId="0" applyFill="1"/>
    <xf numFmtId="0" fontId="5" fillId="0" borderId="0" xfId="0" applyFont="1" applyAlignment="1">
      <alignment vertical="center"/>
    </xf>
    <xf numFmtId="0" fontId="0" fillId="0" borderId="0" xfId="0" applyBorder="1"/>
    <xf numFmtId="38" fontId="2" fillId="3" borderId="1" xfId="0" applyNumberFormat="1" applyFont="1" applyFill="1" applyBorder="1" applyAlignment="1">
      <alignment horizontal="center" vertical="top" wrapText="1"/>
    </xf>
    <xf numFmtId="10" fontId="2" fillId="3" borderId="1" xfId="0" applyNumberFormat="1" applyFont="1" applyFill="1" applyBorder="1" applyAlignment="1">
      <alignment horizontal="center" vertical="top" wrapText="1"/>
    </xf>
    <xf numFmtId="2" fontId="4" fillId="5" borderId="1" xfId="0" applyNumberFormat="1" applyFont="1" applyFill="1" applyBorder="1" applyAlignment="1">
      <alignment horizontal="center" vertical="top" wrapText="1"/>
    </xf>
    <xf numFmtId="0" fontId="4" fillId="5" borderId="1" xfId="0" applyFont="1" applyFill="1" applyBorder="1" applyAlignment="1">
      <alignment horizontal="center" vertical="top" wrapText="1"/>
    </xf>
    <xf numFmtId="1" fontId="4" fillId="5" borderId="1" xfId="3" applyNumberFormat="1" applyFont="1" applyFill="1" applyBorder="1" applyAlignment="1">
      <alignment horizontal="center" vertical="top" wrapText="1"/>
    </xf>
    <xf numFmtId="0" fontId="0" fillId="7" borderId="1" xfId="0" applyFont="1" applyFill="1" applyBorder="1" applyAlignment="1">
      <alignment vertical="top" wrapText="1"/>
    </xf>
    <xf numFmtId="0" fontId="0" fillId="7" borderId="1" xfId="0" applyFont="1" applyFill="1" applyBorder="1" applyAlignment="1">
      <alignment vertical="top"/>
    </xf>
    <xf numFmtId="2" fontId="2" fillId="3" borderId="1" xfId="0" applyNumberFormat="1" applyFont="1" applyFill="1" applyBorder="1" applyAlignment="1">
      <alignment horizontal="center" vertical="top" wrapText="1"/>
    </xf>
    <xf numFmtId="0" fontId="0" fillId="7" borderId="1" xfId="0" applyFont="1" applyFill="1" applyBorder="1" applyAlignment="1">
      <alignment wrapText="1"/>
    </xf>
    <xf numFmtId="0" fontId="0" fillId="7" borderId="0" xfId="0" applyFill="1" applyBorder="1"/>
    <xf numFmtId="0" fontId="1" fillId="2" borderId="0" xfId="0" applyFont="1" applyFill="1" applyBorder="1"/>
    <xf numFmtId="0" fontId="0" fillId="2" borderId="0" xfId="0" applyFill="1" applyBorder="1"/>
    <xf numFmtId="0" fontId="0" fillId="2" borderId="0" xfId="0" applyFont="1" applyFill="1" applyBorder="1" applyAlignment="1">
      <alignment horizontal="left" vertical="top" indent="1"/>
    </xf>
    <xf numFmtId="0" fontId="0" fillId="7" borderId="3" xfId="0" applyFill="1" applyBorder="1"/>
    <xf numFmtId="0" fontId="11" fillId="2" borderId="0" xfId="0" applyFont="1" applyFill="1" applyBorder="1"/>
    <xf numFmtId="0" fontId="4" fillId="4" borderId="13" xfId="0" applyFont="1" applyFill="1" applyBorder="1"/>
    <xf numFmtId="0" fontId="7" fillId="4" borderId="16" xfId="0" applyFont="1" applyFill="1" applyBorder="1"/>
    <xf numFmtId="0" fontId="7" fillId="4" borderId="17" xfId="0" applyFont="1" applyFill="1" applyBorder="1"/>
    <xf numFmtId="0" fontId="0" fillId="2" borderId="8" xfId="0" applyFill="1" applyBorder="1"/>
    <xf numFmtId="0" fontId="0" fillId="2" borderId="9" xfId="0" applyFill="1" applyBorder="1"/>
    <xf numFmtId="0" fontId="0" fillId="2" borderId="4" xfId="0" applyFill="1" applyBorder="1"/>
    <xf numFmtId="0" fontId="0" fillId="2" borderId="5" xfId="0" applyFill="1" applyBorder="1"/>
    <xf numFmtId="0" fontId="0" fillId="2" borderId="15" xfId="0" applyFill="1" applyBorder="1"/>
    <xf numFmtId="0" fontId="0" fillId="2" borderId="3" xfId="0" applyFill="1" applyBorder="1"/>
    <xf numFmtId="0" fontId="0" fillId="2" borderId="6" xfId="0" applyFill="1" applyBorder="1"/>
    <xf numFmtId="0" fontId="0" fillId="7" borderId="11" xfId="0" applyFont="1" applyFill="1" applyBorder="1"/>
    <xf numFmtId="0" fontId="0" fillId="7" borderId="11" xfId="0" applyFont="1" applyFill="1" applyBorder="1" applyAlignment="1">
      <alignment horizontal="left" vertical="top" wrapText="1"/>
    </xf>
    <xf numFmtId="0" fontId="0" fillId="7" borderId="12" xfId="0" applyFill="1" applyBorder="1"/>
    <xf numFmtId="0" fontId="0" fillId="7" borderId="18" xfId="0" applyFill="1" applyBorder="1"/>
    <xf numFmtId="0" fontId="0" fillId="7" borderId="9" xfId="0" applyFill="1" applyBorder="1"/>
    <xf numFmtId="0" fontId="0" fillId="7" borderId="8" xfId="0" applyFill="1" applyBorder="1"/>
    <xf numFmtId="0" fontId="0" fillId="7" borderId="11" xfId="0" applyFill="1" applyBorder="1"/>
    <xf numFmtId="0" fontId="0" fillId="7" borderId="12" xfId="0" applyFont="1" applyFill="1" applyBorder="1" applyAlignment="1">
      <alignment horizontal="left" vertical="top" indent="1"/>
    </xf>
    <xf numFmtId="167" fontId="1" fillId="7" borderId="0" xfId="0" applyNumberFormat="1" applyFont="1" applyFill="1" applyBorder="1" applyAlignment="1">
      <alignment horizontal="center" vertical="top" wrapText="1"/>
    </xf>
    <xf numFmtId="164" fontId="1" fillId="7" borderId="0" xfId="0" applyNumberFormat="1" applyFont="1" applyFill="1" applyBorder="1" applyAlignment="1">
      <alignment horizontal="center" vertical="top" wrapText="1"/>
    </xf>
    <xf numFmtId="1" fontId="1" fillId="7" borderId="0" xfId="0" applyNumberFormat="1" applyFont="1" applyFill="1" applyBorder="1" applyAlignment="1">
      <alignment horizontal="center" vertical="top" wrapText="1"/>
    </xf>
    <xf numFmtId="0" fontId="10" fillId="7" borderId="11" xfId="0" applyFont="1" applyFill="1" applyBorder="1"/>
    <xf numFmtId="0" fontId="0" fillId="7" borderId="11" xfId="0" applyFill="1" applyBorder="1" applyAlignment="1">
      <alignment horizontal="left" indent="1"/>
    </xf>
    <xf numFmtId="0" fontId="11" fillId="7" borderId="8" xfId="0" applyFont="1" applyFill="1" applyBorder="1"/>
    <xf numFmtId="9" fontId="2" fillId="3" borderId="1" xfId="1" applyFont="1" applyFill="1" applyBorder="1" applyAlignment="1">
      <alignment horizontal="center" vertical="top" wrapText="1"/>
    </xf>
    <xf numFmtId="1" fontId="2" fillId="3" borderId="1" xfId="0" applyNumberFormat="1" applyFont="1" applyFill="1" applyBorder="1" applyAlignment="1">
      <alignment horizontal="center" vertical="top" wrapText="1"/>
    </xf>
    <xf numFmtId="166" fontId="2" fillId="3" borderId="1" xfId="2" applyNumberFormat="1" applyFont="1" applyFill="1" applyBorder="1" applyAlignment="1">
      <alignment horizontal="left" vertical="top" wrapText="1"/>
    </xf>
    <xf numFmtId="0" fontId="0" fillId="0" borderId="0" xfId="0" applyFill="1" applyBorder="1"/>
    <xf numFmtId="1" fontId="2" fillId="3" borderId="2" xfId="0" applyNumberFormat="1" applyFont="1" applyFill="1" applyBorder="1" applyAlignment="1">
      <alignment horizontal="center" vertical="top" wrapText="1"/>
    </xf>
    <xf numFmtId="0" fontId="1" fillId="10" borderId="1" xfId="0" applyFont="1" applyFill="1" applyBorder="1" applyAlignment="1">
      <alignment horizontal="center" vertical="top" wrapText="1"/>
    </xf>
    <xf numFmtId="169" fontId="0" fillId="6" borderId="1" xfId="3" applyNumberFormat="1" applyFont="1" applyFill="1" applyBorder="1" applyAlignment="1">
      <alignment horizontal="center" vertical="top" wrapText="1"/>
    </xf>
    <xf numFmtId="169" fontId="0" fillId="6" borderId="1" xfId="3" applyNumberFormat="1" applyFont="1" applyFill="1" applyBorder="1" applyAlignment="1">
      <alignment vertical="top" wrapText="1"/>
    </xf>
    <xf numFmtId="0" fontId="0" fillId="11" borderId="1" xfId="0" applyFill="1" applyBorder="1" applyAlignment="1">
      <alignment vertical="top" wrapText="1"/>
    </xf>
    <xf numFmtId="0" fontId="1" fillId="10" borderId="10" xfId="0" applyFont="1" applyFill="1" applyBorder="1" applyAlignment="1">
      <alignment horizontal="center" vertical="top" wrapText="1"/>
    </xf>
    <xf numFmtId="0" fontId="0" fillId="7" borderId="10" xfId="0" applyFont="1" applyFill="1" applyBorder="1" applyAlignment="1">
      <alignment vertical="top" wrapText="1"/>
    </xf>
    <xf numFmtId="0" fontId="0" fillId="6" borderId="14" xfId="0" applyFill="1" applyBorder="1" applyAlignment="1">
      <alignment vertical="top" wrapText="1"/>
    </xf>
    <xf numFmtId="0" fontId="0" fillId="7" borderId="9" xfId="0" applyFont="1" applyFill="1" applyBorder="1" applyAlignment="1">
      <alignment vertical="top" wrapText="1"/>
    </xf>
    <xf numFmtId="0" fontId="0" fillId="6" borderId="12" xfId="0" applyFill="1" applyBorder="1" applyAlignment="1">
      <alignment vertical="top" wrapText="1"/>
    </xf>
    <xf numFmtId="1" fontId="0" fillId="6" borderId="1" xfId="0" applyNumberFormat="1" applyFont="1" applyFill="1" applyBorder="1" applyAlignment="1">
      <alignment horizontal="center" vertical="top" wrapText="1"/>
    </xf>
    <xf numFmtId="0" fontId="0" fillId="4" borderId="0" xfId="0" applyFill="1"/>
    <xf numFmtId="1" fontId="4" fillId="12" borderId="1" xfId="3" applyNumberFormat="1" applyFont="1" applyFill="1" applyBorder="1" applyAlignment="1">
      <alignment horizontal="center" vertical="top" wrapText="1"/>
    </xf>
    <xf numFmtId="165" fontId="1" fillId="9" borderId="1" xfId="3" applyNumberFormat="1" applyFont="1" applyFill="1" applyBorder="1" applyAlignment="1">
      <alignment vertical="top" wrapText="1"/>
    </xf>
    <xf numFmtId="0" fontId="0" fillId="6" borderId="1" xfId="0" applyFill="1" applyBorder="1" applyAlignment="1">
      <alignment vertical="top" wrapText="1"/>
    </xf>
    <xf numFmtId="0" fontId="0" fillId="6" borderId="2" xfId="0" applyFill="1" applyBorder="1" applyAlignment="1">
      <alignment vertical="top" wrapText="1"/>
    </xf>
    <xf numFmtId="168" fontId="1" fillId="9" borderId="1" xfId="1" applyNumberFormat="1" applyFont="1" applyFill="1" applyBorder="1" applyAlignment="1">
      <alignment vertical="top" wrapText="1"/>
    </xf>
    <xf numFmtId="0" fontId="14" fillId="4" borderId="0" xfId="0" applyFont="1" applyFill="1" applyBorder="1"/>
    <xf numFmtId="0" fontId="13" fillId="4" borderId="0" xfId="0" applyFont="1" applyFill="1" applyBorder="1"/>
    <xf numFmtId="0" fontId="14" fillId="4" borderId="0" xfId="0" applyFont="1" applyFill="1"/>
    <xf numFmtId="0" fontId="1" fillId="9" borderId="15" xfId="0" applyFont="1" applyFill="1" applyBorder="1" applyAlignment="1">
      <alignment vertical="center" wrapText="1"/>
    </xf>
    <xf numFmtId="165" fontId="1" fillId="9" borderId="3" xfId="0" applyNumberFormat="1" applyFont="1" applyFill="1" applyBorder="1"/>
    <xf numFmtId="9" fontId="1" fillId="9" borderId="6" xfId="1" applyFont="1" applyFill="1" applyBorder="1"/>
    <xf numFmtId="0" fontId="4" fillId="8" borderId="27" xfId="0" applyFont="1" applyFill="1" applyBorder="1" applyAlignment="1">
      <alignment horizontal="center"/>
    </xf>
    <xf numFmtId="0" fontId="0" fillId="7" borderId="29" xfId="0" applyFill="1" applyBorder="1" applyAlignment="1">
      <alignment vertical="center" wrapText="1"/>
    </xf>
    <xf numFmtId="165" fontId="0" fillId="7" borderId="30" xfId="0" applyNumberFormat="1" applyFill="1" applyBorder="1"/>
    <xf numFmtId="9" fontId="0" fillId="7" borderId="31" xfId="1" applyFont="1" applyFill="1" applyBorder="1"/>
    <xf numFmtId="0" fontId="0" fillId="7" borderId="23" xfId="0" applyFill="1" applyBorder="1" applyAlignment="1">
      <alignment vertical="center" wrapText="1"/>
    </xf>
    <xf numFmtId="165" fontId="0" fillId="7" borderId="1" xfId="0" applyNumberFormat="1" applyFill="1" applyBorder="1"/>
    <xf numFmtId="9" fontId="0" fillId="7" borderId="24" xfId="1" applyFont="1" applyFill="1" applyBorder="1"/>
    <xf numFmtId="0" fontId="0" fillId="7" borderId="25" xfId="0" applyFill="1" applyBorder="1" applyAlignment="1">
      <alignment vertical="center" wrapText="1"/>
    </xf>
    <xf numFmtId="165" fontId="0" fillId="7" borderId="22" xfId="0" applyNumberFormat="1" applyFill="1" applyBorder="1"/>
    <xf numFmtId="9" fontId="0" fillId="7" borderId="26" xfId="1" applyFont="1" applyFill="1" applyBorder="1"/>
    <xf numFmtId="0" fontId="1" fillId="9" borderId="19" xfId="0" applyFont="1" applyFill="1" applyBorder="1" applyAlignment="1">
      <alignment vertical="center" wrapText="1"/>
    </xf>
    <xf numFmtId="165" fontId="1" fillId="9" borderId="20" xfId="0" applyNumberFormat="1" applyFont="1" applyFill="1" applyBorder="1"/>
    <xf numFmtId="9" fontId="1" fillId="9" borderId="21" xfId="1" applyFont="1" applyFill="1" applyBorder="1"/>
    <xf numFmtId="170" fontId="6" fillId="10" borderId="1" xfId="0" applyNumberFormat="1" applyFont="1" applyFill="1" applyBorder="1" applyAlignment="1">
      <alignment horizontal="center" vertical="top" wrapText="1"/>
    </xf>
    <xf numFmtId="165" fontId="0" fillId="0" borderId="1" xfId="0" applyNumberFormat="1" applyBorder="1" applyAlignment="1">
      <alignment vertical="top" wrapText="1"/>
    </xf>
    <xf numFmtId="1" fontId="15" fillId="3" borderId="1" xfId="0" applyNumberFormat="1" applyFont="1" applyFill="1" applyBorder="1" applyAlignment="1">
      <alignment horizontal="center" vertical="top" wrapText="1"/>
    </xf>
    <xf numFmtId="1" fontId="15" fillId="7" borderId="1" xfId="0" applyNumberFormat="1" applyFont="1" applyFill="1" applyBorder="1" applyAlignment="1">
      <alignment horizontal="center" vertical="top" wrapText="1"/>
    </xf>
    <xf numFmtId="0" fontId="0" fillId="0" borderId="0" xfId="0" applyFont="1"/>
    <xf numFmtId="0" fontId="2" fillId="3" borderId="1" xfId="0" applyFont="1" applyFill="1" applyBorder="1" applyAlignment="1">
      <alignment horizontal="center"/>
    </xf>
    <xf numFmtId="0" fontId="6" fillId="13" borderId="1" xfId="0" applyFont="1" applyFill="1" applyBorder="1" applyAlignment="1">
      <alignment horizontal="center"/>
    </xf>
    <xf numFmtId="0" fontId="0" fillId="0" borderId="0" xfId="0" applyFont="1" applyAlignment="1">
      <alignment horizontal="left" indent="2"/>
    </xf>
    <xf numFmtId="6" fontId="16" fillId="9" borderId="1" xfId="0" applyNumberFormat="1" applyFont="1" applyFill="1" applyBorder="1" applyAlignment="1">
      <alignment horizontal="left"/>
    </xf>
    <xf numFmtId="8" fontId="16" fillId="9" borderId="1" xfId="0" applyNumberFormat="1" applyFont="1" applyFill="1" applyBorder="1" applyAlignment="1">
      <alignment horizontal="left"/>
    </xf>
    <xf numFmtId="0" fontId="4" fillId="4" borderId="1" xfId="0" applyFont="1" applyFill="1" applyBorder="1"/>
    <xf numFmtId="0" fontId="7" fillId="4" borderId="1" xfId="0" applyFont="1" applyFill="1" applyBorder="1"/>
    <xf numFmtId="172" fontId="17" fillId="7" borderId="0" xfId="0" applyNumberFormat="1" applyFont="1" applyFill="1" applyBorder="1" applyAlignment="1">
      <alignment horizontal="center" vertical="top" wrapText="1"/>
    </xf>
    <xf numFmtId="0" fontId="16" fillId="0" borderId="0" xfId="0" applyFont="1"/>
    <xf numFmtId="0" fontId="16" fillId="0" borderId="0" xfId="0" applyFont="1" applyAlignment="1">
      <alignment horizontal="left" indent="1"/>
    </xf>
    <xf numFmtId="0" fontId="1" fillId="0" borderId="0" xfId="0" applyFont="1" applyAlignment="1">
      <alignment horizontal="left" indent="1"/>
    </xf>
    <xf numFmtId="0" fontId="15" fillId="3" borderId="1" xfId="0" applyFont="1" applyFill="1" applyBorder="1" applyAlignment="1">
      <alignment horizontal="center"/>
    </xf>
    <xf numFmtId="0" fontId="19" fillId="2" borderId="1" xfId="0" applyFont="1" applyFill="1" applyBorder="1" applyAlignment="1">
      <alignment horizontal="center"/>
    </xf>
    <xf numFmtId="2" fontId="18" fillId="7" borderId="1" xfId="0" applyNumberFormat="1" applyFont="1" applyFill="1" applyBorder="1" applyAlignment="1">
      <alignment horizontal="center" vertical="top" wrapText="1"/>
    </xf>
    <xf numFmtId="1" fontId="6" fillId="7" borderId="1" xfId="0" applyNumberFormat="1" applyFont="1" applyFill="1" applyBorder="1" applyAlignment="1">
      <alignment horizontal="center" vertical="top" wrapText="1"/>
    </xf>
    <xf numFmtId="0" fontId="20" fillId="7" borderId="8" xfId="0" applyFont="1" applyFill="1" applyBorder="1"/>
    <xf numFmtId="0" fontId="2" fillId="14" borderId="1" xfId="0" applyFont="1" applyFill="1" applyBorder="1" applyAlignment="1">
      <alignment horizontal="left" vertical="top" wrapText="1"/>
    </xf>
    <xf numFmtId="166" fontId="2" fillId="14" borderId="1" xfId="2" applyNumberFormat="1" applyFont="1" applyFill="1" applyBorder="1" applyAlignment="1">
      <alignment horizontal="left" vertical="top" wrapText="1"/>
    </xf>
    <xf numFmtId="0" fontId="2" fillId="14" borderId="1" xfId="0" applyFont="1" applyFill="1" applyBorder="1" applyAlignment="1">
      <alignment horizontal="center"/>
    </xf>
    <xf numFmtId="0" fontId="21" fillId="0" borderId="0" xfId="0" applyFont="1" applyAlignment="1">
      <alignment vertical="center"/>
    </xf>
    <xf numFmtId="0" fontId="18" fillId="0" borderId="0" xfId="0" applyFont="1"/>
    <xf numFmtId="6" fontId="0" fillId="0" borderId="0" xfId="0" applyNumberFormat="1"/>
    <xf numFmtId="168" fontId="2" fillId="3" borderId="1" xfId="2" applyNumberFormat="1" applyFont="1" applyFill="1" applyBorder="1" applyAlignment="1">
      <alignment horizontal="center" vertical="top" wrapText="1"/>
    </xf>
    <xf numFmtId="164" fontId="2" fillId="3" borderId="1" xfId="0" applyNumberFormat="1" applyFont="1" applyFill="1" applyBorder="1" applyAlignment="1">
      <alignment horizontal="center" vertical="top" wrapText="1"/>
    </xf>
    <xf numFmtId="0" fontId="0" fillId="7" borderId="4" xfId="0" applyFill="1" applyBorder="1" applyAlignment="1">
      <alignment vertical="center" wrapText="1"/>
    </xf>
    <xf numFmtId="0" fontId="0" fillId="7" borderId="0" xfId="0" applyFont="1" applyFill="1" applyBorder="1" applyAlignment="1">
      <alignment horizontal="left" vertical="top" wrapText="1"/>
    </xf>
    <xf numFmtId="8" fontId="0" fillId="0" borderId="0" xfId="0" applyNumberFormat="1"/>
    <xf numFmtId="174" fontId="16" fillId="9" borderId="1" xfId="0" applyNumberFormat="1" applyFont="1" applyFill="1" applyBorder="1" applyAlignment="1">
      <alignment horizontal="left"/>
    </xf>
    <xf numFmtId="5" fontId="2" fillId="3" borderId="1" xfId="2" applyNumberFormat="1" applyFont="1" applyFill="1" applyBorder="1" applyAlignment="1">
      <alignment horizontal="center" vertical="top" wrapText="1"/>
    </xf>
    <xf numFmtId="175" fontId="2" fillId="14" borderId="1" xfId="0" applyNumberFormat="1" applyFont="1" applyFill="1" applyBorder="1" applyAlignment="1">
      <alignment horizontal="left" vertical="top" wrapText="1"/>
    </xf>
    <xf numFmtId="2" fontId="5" fillId="0" borderId="0" xfId="0" applyNumberFormat="1" applyFont="1" applyAlignment="1">
      <alignment vertical="center"/>
    </xf>
    <xf numFmtId="2" fontId="0" fillId="0" borderId="0" xfId="0" applyNumberFormat="1"/>
    <xf numFmtId="174" fontId="16" fillId="9" borderId="7" xfId="0" applyNumberFormat="1" applyFont="1" applyFill="1" applyBorder="1" applyAlignment="1">
      <alignment horizontal="left"/>
    </xf>
    <xf numFmtId="174" fontId="16" fillId="0" borderId="16" xfId="0" applyNumberFormat="1" applyFont="1" applyFill="1" applyBorder="1" applyAlignment="1">
      <alignment horizontal="left"/>
    </xf>
    <xf numFmtId="0" fontId="22" fillId="15" borderId="10" xfId="70" applyBorder="1" applyAlignment="1">
      <alignment vertical="top" wrapText="1"/>
    </xf>
    <xf numFmtId="0" fontId="0" fillId="7" borderId="33" xfId="0" applyFont="1" applyFill="1" applyBorder="1" applyAlignment="1">
      <alignment vertical="top" wrapText="1"/>
    </xf>
    <xf numFmtId="0" fontId="22" fillId="15" borderId="1" xfId="70" applyBorder="1" applyAlignment="1">
      <alignment vertical="top" wrapText="1"/>
    </xf>
    <xf numFmtId="1" fontId="22" fillId="15" borderId="1" xfId="70" applyNumberFormat="1" applyBorder="1" applyAlignment="1">
      <alignment horizontal="center" vertical="top" wrapText="1"/>
    </xf>
    <xf numFmtId="1" fontId="15" fillId="3" borderId="33" xfId="0" applyNumberFormat="1" applyFont="1" applyFill="1" applyBorder="1" applyAlignment="1">
      <alignment horizontal="center" vertical="top" wrapText="1"/>
    </xf>
    <xf numFmtId="1" fontId="2" fillId="3" borderId="33" xfId="0" applyNumberFormat="1" applyFont="1" applyFill="1" applyBorder="1" applyAlignment="1">
      <alignment horizontal="center" vertical="top" wrapText="1"/>
    </xf>
    <xf numFmtId="2" fontId="22" fillId="15" borderId="1" xfId="70" applyNumberFormat="1" applyBorder="1" applyAlignment="1">
      <alignment horizontal="center" vertical="top" wrapText="1"/>
    </xf>
    <xf numFmtId="2" fontId="18" fillId="7" borderId="33" xfId="0" applyNumberFormat="1" applyFont="1" applyFill="1" applyBorder="1" applyAlignment="1">
      <alignment horizontal="center" vertical="top" wrapText="1"/>
    </xf>
    <xf numFmtId="0" fontId="22" fillId="15" borderId="1" xfId="70" applyBorder="1" applyAlignment="1">
      <alignment vertical="top"/>
    </xf>
    <xf numFmtId="0" fontId="0" fillId="7" borderId="33" xfId="0" applyFont="1" applyFill="1" applyBorder="1" applyAlignment="1">
      <alignment vertical="top"/>
    </xf>
    <xf numFmtId="2" fontId="2" fillId="3" borderId="33" xfId="0" applyNumberFormat="1" applyFont="1" applyFill="1" applyBorder="1" applyAlignment="1">
      <alignment horizontal="center" vertical="top" wrapText="1"/>
    </xf>
    <xf numFmtId="171" fontId="22" fillId="15" borderId="1" xfId="70" applyNumberFormat="1" applyBorder="1" applyAlignment="1">
      <alignment horizontal="center" vertical="top" wrapText="1"/>
    </xf>
    <xf numFmtId="1" fontId="0" fillId="6" borderId="33" xfId="0" applyNumberFormat="1" applyFont="1" applyFill="1" applyBorder="1" applyAlignment="1">
      <alignment horizontal="center" vertical="top" wrapText="1"/>
    </xf>
    <xf numFmtId="169" fontId="22" fillId="15" borderId="1" xfId="70" applyNumberFormat="1" applyBorder="1" applyAlignment="1">
      <alignment horizontal="center" vertical="top" wrapText="1"/>
    </xf>
    <xf numFmtId="165" fontId="2" fillId="3" borderId="33" xfId="0" applyNumberFormat="1" applyFont="1" applyFill="1" applyBorder="1" applyAlignment="1">
      <alignment horizontal="center" vertical="top" wrapText="1"/>
    </xf>
    <xf numFmtId="0" fontId="14" fillId="8" borderId="1" xfId="0" applyFont="1" applyFill="1" applyBorder="1" applyAlignment="1">
      <alignment horizontal="center" vertical="center" wrapText="1"/>
    </xf>
    <xf numFmtId="2" fontId="14" fillId="8" borderId="1" xfId="0" applyNumberFormat="1" applyFont="1" applyFill="1" applyBorder="1" applyAlignment="1">
      <alignment horizontal="center" vertical="center" wrapText="1"/>
    </xf>
    <xf numFmtId="0" fontId="14" fillId="8" borderId="1" xfId="0" applyFont="1" applyFill="1" applyBorder="1" applyAlignment="1">
      <alignment horizontal="center" vertical="center"/>
    </xf>
    <xf numFmtId="0" fontId="23" fillId="0" borderId="1" xfId="0" applyFont="1" applyBorder="1" applyAlignment="1">
      <alignment vertical="center" wrapText="1"/>
    </xf>
    <xf numFmtId="8" fontId="23" fillId="0" borderId="1" xfId="0" applyNumberFormat="1" applyFont="1" applyBorder="1" applyAlignment="1">
      <alignment vertical="center" wrapText="1"/>
    </xf>
    <xf numFmtId="6" fontId="24" fillId="3" borderId="1" xfId="0" applyNumberFormat="1" applyFont="1" applyFill="1" applyBorder="1" applyAlignment="1">
      <alignment horizontal="center" vertical="top" wrapText="1"/>
    </xf>
    <xf numFmtId="2" fontId="24" fillId="3" borderId="1" xfId="0" applyNumberFormat="1" applyFont="1" applyFill="1" applyBorder="1" applyAlignment="1">
      <alignment horizontal="center" vertical="top" wrapText="1"/>
    </xf>
    <xf numFmtId="169" fontId="25" fillId="2" borderId="1" xfId="0" applyNumberFormat="1" applyFont="1" applyFill="1" applyBorder="1" applyAlignment="1">
      <alignment horizontal="center"/>
    </xf>
    <xf numFmtId="0" fontId="26" fillId="0" borderId="1" xfId="0" applyFont="1" applyBorder="1" applyAlignment="1">
      <alignment vertical="center" wrapText="1"/>
    </xf>
    <xf numFmtId="6" fontId="26" fillId="0" borderId="1" xfId="0" applyNumberFormat="1" applyFont="1" applyBorder="1" applyAlignment="1">
      <alignment horizontal="center" vertical="center" wrapText="1"/>
    </xf>
    <xf numFmtId="0" fontId="27" fillId="0" borderId="1" xfId="0" applyFont="1" applyBorder="1" applyAlignment="1">
      <alignment vertical="top" wrapText="1"/>
    </xf>
    <xf numFmtId="0" fontId="26" fillId="0" borderId="1" xfId="0" applyFont="1" applyBorder="1" applyAlignment="1">
      <alignment vertical="top" wrapText="1"/>
    </xf>
    <xf numFmtId="0" fontId="28" fillId="0" borderId="0" xfId="0" applyFont="1" applyAlignment="1">
      <alignment vertical="top" wrapText="1"/>
    </xf>
    <xf numFmtId="0" fontId="27" fillId="0" borderId="0" xfId="0" applyFont="1" applyAlignment="1">
      <alignment vertical="top" wrapText="1"/>
    </xf>
    <xf numFmtId="0" fontId="27" fillId="0" borderId="0" xfId="0" applyFont="1"/>
    <xf numFmtId="0" fontId="14" fillId="8" borderId="10" xfId="0" applyFont="1" applyFill="1" applyBorder="1" applyAlignment="1">
      <alignment horizontal="center" vertical="center" wrapText="1"/>
    </xf>
    <xf numFmtId="0" fontId="14" fillId="0" borderId="0" xfId="0" applyFont="1" applyFill="1" applyBorder="1" applyAlignment="1">
      <alignment horizontal="center" vertical="center" wrapText="1"/>
    </xf>
    <xf numFmtId="0" fontId="14" fillId="8" borderId="7" xfId="0" applyFont="1" applyFill="1" applyBorder="1" applyAlignment="1">
      <alignment horizontal="center" vertical="center" wrapText="1"/>
    </xf>
    <xf numFmtId="0" fontId="14" fillId="8" borderId="14" xfId="0" applyFont="1" applyFill="1" applyBorder="1" applyAlignment="1">
      <alignment horizontal="center" vertical="center" wrapText="1"/>
    </xf>
    <xf numFmtId="0" fontId="14" fillId="8" borderId="0" xfId="0" applyFont="1" applyFill="1" applyBorder="1" applyAlignment="1">
      <alignment horizontal="center" vertical="center" wrapText="1"/>
    </xf>
    <xf numFmtId="0" fontId="14" fillId="8" borderId="11" xfId="0" applyFont="1" applyFill="1" applyBorder="1" applyAlignment="1">
      <alignment horizontal="center" vertical="center" wrapText="1"/>
    </xf>
    <xf numFmtId="0" fontId="27" fillId="0" borderId="14" xfId="0" applyFont="1" applyBorder="1" applyAlignment="1">
      <alignment vertical="center" wrapText="1"/>
    </xf>
    <xf numFmtId="0" fontId="27" fillId="0" borderId="1" xfId="0" applyFont="1" applyBorder="1" applyAlignment="1">
      <alignment horizontal="left"/>
    </xf>
    <xf numFmtId="0" fontId="27" fillId="0" borderId="10" xfId="0" applyFont="1" applyBorder="1" applyAlignment="1">
      <alignment vertical="center" wrapText="1"/>
    </xf>
    <xf numFmtId="0" fontId="27" fillId="0" borderId="1" xfId="0" applyFont="1" applyBorder="1" applyAlignment="1">
      <alignment vertical="center" wrapText="1"/>
    </xf>
    <xf numFmtId="0" fontId="27" fillId="0" borderId="0" xfId="0" applyFont="1" applyFill="1" applyBorder="1" applyAlignment="1">
      <alignment vertical="center" wrapText="1"/>
    </xf>
    <xf numFmtId="0" fontId="27" fillId="0" borderId="1" xfId="0" applyFont="1" applyFill="1" applyBorder="1" applyAlignment="1">
      <alignment vertical="center" wrapText="1"/>
    </xf>
    <xf numFmtId="0" fontId="27" fillId="0" borderId="1" xfId="0" applyFont="1" applyBorder="1"/>
    <xf numFmtId="0" fontId="27" fillId="0" borderId="0" xfId="0" applyFont="1" applyBorder="1"/>
    <xf numFmtId="169" fontId="27" fillId="0" borderId="1" xfId="0" applyNumberFormat="1" applyFont="1" applyFill="1" applyBorder="1" applyAlignment="1">
      <alignment vertical="center" wrapText="1"/>
    </xf>
    <xf numFmtId="173" fontId="27" fillId="0" borderId="1" xfId="0" applyNumberFormat="1" applyFont="1" applyBorder="1"/>
    <xf numFmtId="0" fontId="27" fillId="0" borderId="2" xfId="0" applyFont="1" applyFill="1" applyBorder="1" applyAlignment="1">
      <alignment vertical="center" wrapText="1"/>
    </xf>
    <xf numFmtId="0" fontId="27" fillId="0" borderId="7" xfId="0" applyFont="1" applyBorder="1" applyAlignment="1">
      <alignment vertical="center" wrapText="1"/>
    </xf>
    <xf numFmtId="0" fontId="27" fillId="0" borderId="0" xfId="0" applyFont="1" applyBorder="1" applyAlignment="1">
      <alignment vertical="center" wrapText="1"/>
    </xf>
    <xf numFmtId="0" fontId="27" fillId="0" borderId="17" xfId="0" applyFont="1" applyBorder="1" applyAlignment="1">
      <alignment vertical="center" wrapText="1"/>
    </xf>
    <xf numFmtId="0" fontId="27" fillId="0" borderId="10" xfId="0" applyFont="1" applyFill="1" applyBorder="1" applyAlignment="1">
      <alignment vertical="center" wrapText="1"/>
    </xf>
    <xf numFmtId="0" fontId="27" fillId="0" borderId="0" xfId="0" applyFont="1" applyAlignment="1">
      <alignment vertical="center" wrapText="1"/>
    </xf>
    <xf numFmtId="173" fontId="27" fillId="0" borderId="1" xfId="0" applyNumberFormat="1" applyFont="1" applyFill="1" applyBorder="1"/>
    <xf numFmtId="176" fontId="2" fillId="3" borderId="1" xfId="2" applyNumberFormat="1" applyFont="1" applyFill="1" applyBorder="1" applyAlignment="1">
      <alignment horizontal="center" vertical="top" wrapText="1"/>
    </xf>
    <xf numFmtId="177" fontId="1" fillId="7" borderId="0" xfId="0" applyNumberFormat="1" applyFont="1" applyFill="1" applyBorder="1" applyAlignment="1">
      <alignment horizontal="center" vertical="top" wrapText="1"/>
    </xf>
    <xf numFmtId="0" fontId="5" fillId="0" borderId="0" xfId="0" applyFont="1"/>
    <xf numFmtId="2" fontId="23" fillId="0" borderId="1" xfId="0" applyNumberFormat="1" applyFont="1" applyBorder="1" applyAlignment="1">
      <alignment vertical="center" wrapText="1"/>
    </xf>
    <xf numFmtId="0" fontId="23" fillId="0" borderId="0" xfId="0" applyFont="1" applyFill="1" applyBorder="1" applyAlignment="1">
      <alignment vertical="center" wrapText="1"/>
    </xf>
    <xf numFmtId="0" fontId="6" fillId="13" borderId="0" xfId="0" applyFont="1" applyFill="1" applyBorder="1" applyAlignment="1">
      <alignment horizontal="center"/>
    </xf>
    <xf numFmtId="0" fontId="4" fillId="4" borderId="32" xfId="0" applyFont="1" applyFill="1" applyBorder="1" applyAlignment="1">
      <alignment horizontal="left"/>
    </xf>
    <xf numFmtId="0" fontId="0" fillId="7" borderId="1" xfId="0" applyFill="1" applyBorder="1"/>
    <xf numFmtId="0" fontId="4" fillId="8" borderId="27" xfId="0" applyFont="1" applyFill="1" applyBorder="1" applyAlignment="1">
      <alignment horizontal="center" wrapText="1"/>
    </xf>
    <xf numFmtId="0" fontId="4" fillId="8" borderId="7" xfId="0" applyFont="1" applyFill="1" applyBorder="1" applyAlignment="1">
      <alignment horizontal="center" wrapText="1"/>
    </xf>
    <xf numFmtId="0" fontId="4" fillId="8" borderId="28" xfId="0" applyFont="1" applyFill="1" applyBorder="1" applyAlignment="1">
      <alignment horizontal="center" wrapText="1"/>
    </xf>
    <xf numFmtId="0" fontId="12" fillId="5" borderId="19" xfId="0" applyFont="1" applyFill="1" applyBorder="1" applyAlignment="1">
      <alignment horizontal="center"/>
    </xf>
    <xf numFmtId="0" fontId="12" fillId="5" borderId="20" xfId="0" applyFont="1" applyFill="1" applyBorder="1" applyAlignment="1">
      <alignment horizontal="center"/>
    </xf>
    <xf numFmtId="0" fontId="12" fillId="5" borderId="21" xfId="0" applyFont="1" applyFill="1" applyBorder="1" applyAlignment="1">
      <alignment horizontal="center"/>
    </xf>
    <xf numFmtId="0" fontId="4" fillId="4" borderId="32" xfId="0" applyFont="1" applyFill="1" applyBorder="1" applyAlignment="1">
      <alignment horizontal="center"/>
    </xf>
    <xf numFmtId="0" fontId="4" fillId="4" borderId="18" xfId="0" applyFont="1" applyFill="1" applyBorder="1" applyAlignment="1">
      <alignment horizontal="center"/>
    </xf>
    <xf numFmtId="0" fontId="0" fillId="0" borderId="0" xfId="0" applyAlignment="1">
      <alignment horizontal="left" vertical="center" wrapText="1"/>
    </xf>
  </cellXfs>
  <cellStyles count="71">
    <cellStyle name="Comma" xfId="2" builtinId="3"/>
    <cellStyle name="Currency" xfId="3" builtinId="4"/>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Input" xfId="70" builtinId="20"/>
    <cellStyle name="Normal" xfId="0" builtinId="0"/>
    <cellStyle name="Percent" xfId="1" builtinId="5"/>
  </cellStyles>
  <dxfs count="64">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color auto="1"/>
      </font>
      <fill>
        <patternFill patternType="solid">
          <fgColor indexed="64"/>
          <bgColor theme="0" tint="-4.9989318521683403E-2"/>
        </patternFill>
      </fill>
    </dxf>
    <dxf>
      <font>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color auto="1"/>
      </font>
      <fill>
        <patternFill patternType="solid">
          <fgColor indexed="64"/>
          <bgColor theme="0" tint="-4.9989318521683403E-2"/>
        </patternFill>
      </fill>
    </dxf>
    <dxf>
      <font>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color auto="1"/>
      </font>
      <fill>
        <patternFill patternType="solid">
          <fgColor indexed="64"/>
          <bgColor theme="0" tint="-4.9989318521683403E-2"/>
        </patternFill>
      </fill>
    </dxf>
    <dxf>
      <font>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color auto="1"/>
      </font>
      <fill>
        <patternFill patternType="solid">
          <fgColor indexed="64"/>
          <bgColor theme="0" tint="-4.9989318521683403E-2"/>
        </patternFill>
      </fill>
    </dxf>
    <dxf>
      <font>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color auto="1"/>
      </font>
      <fill>
        <patternFill patternType="solid">
          <fgColor indexed="64"/>
          <bgColor theme="0" tint="-4.9989318521683403E-2"/>
        </patternFill>
      </fill>
    </dxf>
    <dxf>
      <font>
        <color theme="1" tint="0.499984740745262"/>
      </font>
      <fill>
        <patternFill>
          <bgColor theme="0" tint="-0.14996795556505021"/>
        </patternFill>
      </fill>
    </dxf>
    <dxf>
      <font>
        <b val="0"/>
        <i val="0"/>
        <color theme="1" tint="0.499984740745262"/>
      </font>
      <fill>
        <patternFill>
          <bgColor theme="0" tint="-0.14996795556505021"/>
        </patternFill>
      </fill>
    </dxf>
    <dxf>
      <font>
        <color auto="1"/>
      </font>
      <fill>
        <patternFill patternType="solid">
          <fgColor indexed="64"/>
          <bgColor theme="0" tint="-4.9989318521683403E-2"/>
        </patternFill>
      </fill>
    </dxf>
    <dxf>
      <font>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color auto="1"/>
      </font>
      <fill>
        <patternFill patternType="solid">
          <fgColor indexed="64"/>
          <bgColor theme="0" tint="-4.9989318521683403E-2"/>
        </patternFill>
      </fill>
    </dxf>
    <dxf>
      <font>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b val="0"/>
        <i val="0"/>
        <color theme="1" tint="0.499984740745262"/>
      </font>
      <fill>
        <patternFill>
          <bgColor theme="0" tint="-0.14996795556505021"/>
        </patternFill>
      </fill>
    </dxf>
    <dxf>
      <font>
        <color theme="1" tint="0.499984740745262"/>
      </font>
      <fill>
        <patternFill>
          <bgColor theme="0" tint="-0.14996795556505021"/>
        </patternFill>
      </fill>
    </dxf>
    <dxf>
      <font>
        <color theme="0" tint="-0.499984740745262"/>
      </font>
      <fill>
        <patternFill>
          <bgColor theme="0" tint="-4.9989318521683403E-2"/>
        </patternFill>
      </fill>
      <border>
        <left/>
        <right/>
        <top/>
        <bottom/>
        <vertical/>
        <horizontal/>
      </border>
    </dxf>
    <dxf>
      <font>
        <color theme="0" tint="-0.34998626667073579"/>
      </font>
    </dxf>
    <dxf>
      <font>
        <color theme="0" tint="-0.499984740745262"/>
      </font>
      <fill>
        <patternFill>
          <bgColor theme="0" tint="-4.9989318521683403E-2"/>
        </patternFill>
      </fill>
      <border>
        <left/>
        <right/>
        <top/>
        <bottom/>
        <vertical/>
        <horizontal/>
      </border>
    </dxf>
    <dxf>
      <font>
        <color theme="0" tint="-0.34998626667073579"/>
      </font>
      <fill>
        <patternFill>
          <bgColor theme="0" tint="-4.9989318521683403E-2"/>
        </patternFill>
      </fill>
      <border>
        <left/>
        <right/>
        <top/>
        <bottom/>
      </border>
    </dxf>
  </dxfs>
  <tableStyles count="0" defaultTableStyle="TableStyleMedium2" defaultPivotStyle="PivotStyleLight16"/>
  <colors>
    <mruColors>
      <color rgb="FFFFFFCC"/>
      <color rgb="FFFF990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3604580871363595E-2"/>
          <c:y val="5.3212598425196898E-2"/>
          <c:w val="0.91749113875871302"/>
          <c:h val="0.84241267000715803"/>
        </c:manualLayout>
      </c:layout>
      <c:barChart>
        <c:barDir val="col"/>
        <c:grouping val="clustered"/>
        <c:varyColors val="0"/>
        <c:ser>
          <c:idx val="0"/>
          <c:order val="0"/>
          <c:tx>
            <c:v>Annual Cash Flow</c:v>
          </c:tx>
          <c:invertIfNegative val="0"/>
          <c:val>
            <c:numRef>
              <c:f>'Detailed Measures'!$AA$137:$BN$137</c:f>
              <c:numCache>
                <c:formatCode>General</c:formatCode>
                <c:ptCount val="40"/>
                <c:pt idx="0">
                  <c:v>60724.043617293959</c:v>
                </c:pt>
                <c:pt idx="1">
                  <c:v>92998.133858882415</c:v>
                </c:pt>
                <c:pt idx="2">
                  <c:v>93544.662860084267</c:v>
                </c:pt>
                <c:pt idx="3">
                  <c:v>96139.88246341655</c:v>
                </c:pt>
                <c:pt idx="4">
                  <c:v>126946.46841636214</c:v>
                </c:pt>
                <c:pt idx="5">
                  <c:v>100090.60212107355</c:v>
                </c:pt>
                <c:pt idx="6">
                  <c:v>101371.8554412864</c:v>
                </c:pt>
                <c:pt idx="7">
                  <c:v>104857.32771731494</c:v>
                </c:pt>
                <c:pt idx="8">
                  <c:v>106497.78429186277</c:v>
                </c:pt>
                <c:pt idx="9">
                  <c:v>143417.34732384505</c:v>
                </c:pt>
                <c:pt idx="10">
                  <c:v>178521.22880668286</c:v>
                </c:pt>
                <c:pt idx="11">
                  <c:v>180847.58418925901</c:v>
                </c:pt>
                <c:pt idx="12">
                  <c:v>181165.51144456922</c:v>
                </c:pt>
                <c:pt idx="13">
                  <c:v>183916.01076376476</c:v>
                </c:pt>
                <c:pt idx="14">
                  <c:v>223072.77618450369</c:v>
                </c:pt>
                <c:pt idx="15">
                  <c:v>187584.58779972122</c:v>
                </c:pt>
                <c:pt idx="16">
                  <c:v>188347.44070737672</c:v>
                </c:pt>
                <c:pt idx="17">
                  <c:v>191605.66402958322</c:v>
                </c:pt>
                <c:pt idx="18">
                  <c:v>192395.86335562979</c:v>
                </c:pt>
                <c:pt idx="19">
                  <c:v>238350.65406634592</c:v>
                </c:pt>
                <c:pt idx="20">
                  <c:v>679236.2680352258</c:v>
                </c:pt>
                <c:pt idx="21">
                  <c:v>685279.87387862231</c:v>
                </c:pt>
                <c:pt idx="22">
                  <c:v>685970.44513930695</c:v>
                </c:pt>
                <c:pt idx="23">
                  <c:v>686825.44507075276</c:v>
                </c:pt>
                <c:pt idx="24">
                  <c:v>729408.83536356001</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2ABC-F740-9CA1-8FD52721C0E3}"/>
            </c:ext>
          </c:extLst>
        </c:ser>
        <c:dLbls>
          <c:showLegendKey val="0"/>
          <c:showVal val="0"/>
          <c:showCatName val="0"/>
          <c:showSerName val="0"/>
          <c:showPercent val="0"/>
          <c:showBubbleSize val="0"/>
        </c:dLbls>
        <c:gapWidth val="150"/>
        <c:axId val="-844702816"/>
        <c:axId val="-844700496"/>
      </c:barChart>
      <c:lineChart>
        <c:grouping val="standard"/>
        <c:varyColors val="0"/>
        <c:ser>
          <c:idx val="1"/>
          <c:order val="1"/>
          <c:tx>
            <c:v>Reserve Account</c:v>
          </c:tx>
          <c:spPr>
            <a:ln>
              <a:noFill/>
            </a:ln>
          </c:spPr>
          <c:marker>
            <c:symbol val="diamond"/>
            <c:size val="7"/>
          </c:marker>
          <c:val>
            <c:numRef>
              <c:f>'Detailed Measures'!$BQ$137:$DD$137</c:f>
              <c:numCache>
                <c:formatCode>General</c:formatCode>
                <c:ptCount val="40"/>
                <c:pt idx="0">
                  <c:v>61847.328146867039</c:v>
                </c:pt>
                <c:pt idx="1">
                  <c:v>155324.22668286882</c:v>
                </c:pt>
                <c:pt idx="2">
                  <c:v>150035.09643274811</c:v>
                </c:pt>
                <c:pt idx="3">
                  <c:v>146930.9840459947</c:v>
                </c:pt>
                <c:pt idx="4">
                  <c:v>172198.28748161462</c:v>
                </c:pt>
                <c:pt idx="5">
                  <c:v>139985.53709838277</c:v>
                </c:pt>
                <c:pt idx="6">
                  <c:v>136113.00758924516</c:v>
                </c:pt>
                <c:pt idx="7">
                  <c:v>135394.43378491534</c:v>
                </c:pt>
                <c:pt idx="8">
                  <c:v>133363.75785913077</c:v>
                </c:pt>
                <c:pt idx="9">
                  <c:v>166933.84776421348</c:v>
                </c:pt>
                <c:pt idx="10">
                  <c:v>271410.45205006876</c:v>
                </c:pt>
                <c:pt idx="11">
                  <c:v>259362.46330647662</c:v>
                </c:pt>
                <c:pt idx="12">
                  <c:v>247672.64372299617</c:v>
                </c:pt>
                <c:pt idx="13">
                  <c:v>240485.54114000022</c:v>
                </c:pt>
                <c:pt idx="14">
                  <c:v>271424.96434900176</c:v>
                </c:pt>
                <c:pt idx="15">
                  <c:v>229333.88508500974</c:v>
                </c:pt>
                <c:pt idx="16">
                  <c:v>226749.23341520756</c:v>
                </c:pt>
                <c:pt idx="17">
                  <c:v>233371.2664432571</c:v>
                </c:pt>
                <c:pt idx="18">
                  <c:v>238230.65189229388</c:v>
                </c:pt>
                <c:pt idx="19">
                  <c:v>287264.29242398718</c:v>
                </c:pt>
                <c:pt idx="20">
                  <c:v>1519994.1092476996</c:v>
                </c:pt>
                <c:pt idx="21">
                  <c:v>1492795.7541293015</c:v>
                </c:pt>
                <c:pt idx="22">
                  <c:v>1444325.0772382079</c:v>
                </c:pt>
                <c:pt idx="23">
                  <c:v>1382804.7592001103</c:v>
                </c:pt>
                <c:pt idx="24">
                  <c:v>1351973.4207884062</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smooth val="0"/>
          <c:extLst>
            <c:ext xmlns:c16="http://schemas.microsoft.com/office/drawing/2014/chart" uri="{C3380CC4-5D6E-409C-BE32-E72D297353CC}">
              <c16:uniqueId val="{00000001-2ABC-F740-9CA1-8FD52721C0E3}"/>
            </c:ext>
          </c:extLst>
        </c:ser>
        <c:dLbls>
          <c:showLegendKey val="0"/>
          <c:showVal val="0"/>
          <c:showCatName val="0"/>
          <c:showSerName val="0"/>
          <c:showPercent val="0"/>
          <c:showBubbleSize val="0"/>
        </c:dLbls>
        <c:marker val="1"/>
        <c:smooth val="0"/>
        <c:axId val="-844702816"/>
        <c:axId val="-844700496"/>
      </c:lineChart>
      <c:catAx>
        <c:axId val="-844702816"/>
        <c:scaling>
          <c:orientation val="minMax"/>
        </c:scaling>
        <c:delete val="0"/>
        <c:axPos val="b"/>
        <c:majorTickMark val="out"/>
        <c:minorTickMark val="none"/>
        <c:tickLblPos val="nextTo"/>
        <c:crossAx val="-844700496"/>
        <c:crosses val="autoZero"/>
        <c:auto val="1"/>
        <c:lblAlgn val="ctr"/>
        <c:lblOffset val="100"/>
        <c:noMultiLvlLbl val="0"/>
      </c:catAx>
      <c:valAx>
        <c:axId val="-844700496"/>
        <c:scaling>
          <c:orientation val="minMax"/>
        </c:scaling>
        <c:delete val="0"/>
        <c:axPos val="l"/>
        <c:majorGridlines/>
        <c:numFmt formatCode="&quot;$&quot;#,##0" sourceLinked="0"/>
        <c:majorTickMark val="out"/>
        <c:minorTickMark val="none"/>
        <c:tickLblPos val="nextTo"/>
        <c:crossAx val="-844702816"/>
        <c:crosses val="autoZero"/>
        <c:crossBetween val="between"/>
      </c:valAx>
    </c:plotArea>
    <c:legend>
      <c:legendPos val="r"/>
      <c:layout>
        <c:manualLayout>
          <c:xMode val="edge"/>
          <c:yMode val="edge"/>
          <c:x val="7.3845354433603405E-2"/>
          <c:y val="0.14729348604151801"/>
          <c:w val="0.115961898098249"/>
          <c:h val="0.16439012168933401"/>
        </c:manualLayout>
      </c:layout>
      <c:overlay val="0"/>
      <c:spPr>
        <a:solidFill>
          <a:schemeClr val="bg1"/>
        </a:solidFill>
      </c:sp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13</xdr:col>
      <xdr:colOff>9524</xdr:colOff>
      <xdr:row>4</xdr:row>
      <xdr:rowOff>12700</xdr:rowOff>
    </xdr:from>
    <xdr:to>
      <xdr:col>27</xdr:col>
      <xdr:colOff>107949</xdr:colOff>
      <xdr:row>18</xdr:row>
      <xdr:rowOff>25400</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13</xdr:col>
      <xdr:colOff>196850</xdr:colOff>
      <xdr:row>4</xdr:row>
      <xdr:rowOff>171450</xdr:rowOff>
    </xdr:to>
    <xdr:pic>
      <xdr:nvPicPr>
        <xdr:cNvPr id="2" name="Picture 1" descr="SunSpec Alliance">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144000" cy="933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walker/AppData/Local/Microsoft/Windows/Temporary%20Internet%20Files/Content.Outlook/X0UWMH8Z/PVOMcost-Model-Rev-1-0a-100-kW-Ground-Example-6OCT2014%20_HL%20Edit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 val="Report"/>
      <sheetName val="Detailed Measures"/>
      <sheetName val="Labor Rates"/>
      <sheetName val="Lists"/>
      <sheetName val="Instructions"/>
      <sheetName val="Inputs &amp; Summary"/>
      <sheetName val="Ground-Mount Details"/>
      <sheetName val="Commercial Rooftop Details"/>
      <sheetName val="Residential Rooftop Details"/>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76"/>
  <sheetViews>
    <sheetView showGridLines="0" tabSelected="1" topLeftCell="B1" workbookViewId="0">
      <selection activeCell="J21" sqref="J21"/>
    </sheetView>
  </sheetViews>
  <sheetFormatPr baseColWidth="10" defaultColWidth="8.6640625" defaultRowHeight="15"/>
  <cols>
    <col min="1" max="1" width="3.5" customWidth="1"/>
    <col min="2" max="2" width="2.6640625" customWidth="1"/>
    <col min="3" max="3" width="40.33203125" customWidth="1"/>
    <col min="4" max="4" width="37" customWidth="1"/>
    <col min="5" max="5" width="25.5" customWidth="1"/>
    <col min="6" max="6" width="73.6640625" hidden="1" customWidth="1"/>
    <col min="7" max="7" width="3.5" customWidth="1"/>
    <col min="8" max="9" width="4.6640625" customWidth="1"/>
    <col min="10" max="10" width="53.5" customWidth="1"/>
    <col min="11" max="12" width="22.6640625" customWidth="1"/>
  </cols>
  <sheetData>
    <row r="1" spans="2:14" ht="16" thickBot="1"/>
    <row r="2" spans="2:14" ht="21.75" customHeight="1" thickBot="1">
      <c r="B2" s="190" t="s">
        <v>293</v>
      </c>
      <c r="C2" s="191"/>
      <c r="D2" s="191"/>
      <c r="E2" s="191"/>
      <c r="F2" s="191"/>
      <c r="G2" s="192"/>
      <c r="I2" s="5"/>
      <c r="J2" s="101" t="s">
        <v>343</v>
      </c>
      <c r="L2" s="5"/>
      <c r="M2" s="5"/>
      <c r="N2" s="5"/>
    </row>
    <row r="3" spans="2:14" ht="14.5" customHeight="1">
      <c r="B3" s="28"/>
      <c r="C3" s="19"/>
      <c r="D3" s="19"/>
      <c r="E3" s="19"/>
      <c r="F3" s="19"/>
      <c r="G3" s="29"/>
      <c r="I3" s="5"/>
      <c r="J3" s="94" t="s">
        <v>344</v>
      </c>
      <c r="K3" s="92" t="s">
        <v>315</v>
      </c>
      <c r="L3" s="5"/>
      <c r="M3" s="5"/>
      <c r="N3" s="5"/>
    </row>
    <row r="4" spans="2:14" ht="14.5" customHeight="1">
      <c r="B4" s="28"/>
      <c r="C4" s="23" t="s">
        <v>277</v>
      </c>
      <c r="D4" s="24"/>
      <c r="E4" s="25"/>
      <c r="F4" s="25"/>
      <c r="G4" s="29"/>
      <c r="I4" s="5"/>
      <c r="J4" s="94" t="s">
        <v>444</v>
      </c>
      <c r="K4" s="43" t="s">
        <v>315</v>
      </c>
      <c r="L4" s="5"/>
      <c r="M4" s="5"/>
      <c r="N4" s="5"/>
    </row>
    <row r="5" spans="2:14">
      <c r="B5" s="28"/>
      <c r="C5" s="33" t="s">
        <v>296</v>
      </c>
      <c r="D5" s="8">
        <v>25</v>
      </c>
      <c r="E5" s="38" t="s">
        <v>312</v>
      </c>
      <c r="F5" s="26"/>
      <c r="G5" s="29"/>
      <c r="I5" s="5"/>
      <c r="J5" s="94" t="s">
        <v>360</v>
      </c>
      <c r="K5" s="110" t="s">
        <v>315</v>
      </c>
      <c r="L5" s="5"/>
      <c r="M5" s="5"/>
      <c r="N5" s="5"/>
    </row>
    <row r="6" spans="2:14" ht="15.75" customHeight="1">
      <c r="B6" s="28"/>
      <c r="C6" s="33" t="s">
        <v>274</v>
      </c>
      <c r="D6" s="9">
        <v>7.0000000000000007E-2</v>
      </c>
      <c r="E6" s="38" t="s">
        <v>295</v>
      </c>
      <c r="F6" s="26"/>
      <c r="G6" s="29"/>
      <c r="I6" s="5"/>
      <c r="J6" s="94" t="s">
        <v>374</v>
      </c>
      <c r="K6" s="104" t="s">
        <v>315</v>
      </c>
      <c r="L6" s="5"/>
      <c r="M6" s="5"/>
      <c r="N6" s="5"/>
    </row>
    <row r="7" spans="2:14" ht="15.75" customHeight="1">
      <c r="B7" s="28"/>
      <c r="C7" s="33" t="s">
        <v>275</v>
      </c>
      <c r="D7" s="9">
        <v>0.02</v>
      </c>
      <c r="E7" s="38" t="s">
        <v>295</v>
      </c>
      <c r="F7" s="26"/>
      <c r="G7" s="29"/>
      <c r="I7" s="5"/>
      <c r="J7" s="94" t="s">
        <v>346</v>
      </c>
      <c r="K7" s="93" t="s">
        <v>315</v>
      </c>
      <c r="L7" s="5"/>
      <c r="M7" s="5"/>
      <c r="N7" s="5"/>
    </row>
    <row r="8" spans="2:14" ht="15.75" customHeight="1">
      <c r="B8" s="28"/>
      <c r="C8" s="33" t="s">
        <v>457</v>
      </c>
      <c r="D8" s="15">
        <v>0.92</v>
      </c>
      <c r="E8" s="38"/>
      <c r="F8" s="26"/>
      <c r="G8" s="29"/>
      <c r="I8" s="5"/>
      <c r="J8" s="94"/>
      <c r="K8" s="184"/>
      <c r="L8" s="5"/>
      <c r="M8" s="5"/>
      <c r="N8" s="5"/>
    </row>
    <row r="9" spans="2:14" ht="14.5" customHeight="1">
      <c r="B9" s="28"/>
      <c r="C9" s="34" t="s">
        <v>242</v>
      </c>
      <c r="D9" s="8">
        <v>2080</v>
      </c>
      <c r="E9" s="38"/>
      <c r="F9" s="26"/>
      <c r="G9" s="29"/>
      <c r="I9" s="5"/>
      <c r="J9" s="5"/>
      <c r="K9" s="5"/>
      <c r="L9" s="5"/>
      <c r="M9" s="5"/>
      <c r="N9" s="5"/>
    </row>
    <row r="10" spans="2:14" s="5" customFormat="1" ht="14.5" customHeight="1">
      <c r="B10" s="28"/>
      <c r="C10" s="19"/>
      <c r="D10" s="19"/>
      <c r="E10" s="19"/>
      <c r="F10" s="17"/>
      <c r="G10" s="29"/>
    </row>
    <row r="11" spans="2:14" ht="14.5" customHeight="1">
      <c r="B11" s="28"/>
      <c r="C11" s="23" t="s">
        <v>463</v>
      </c>
      <c r="D11" s="24"/>
      <c r="E11" s="25"/>
      <c r="F11" s="25"/>
      <c r="G11" s="29"/>
      <c r="I11" s="5"/>
      <c r="J11" s="5"/>
      <c r="K11" s="5"/>
      <c r="L11" s="5"/>
      <c r="M11" s="5"/>
      <c r="N11" s="5"/>
    </row>
    <row r="12" spans="2:14" ht="14.5" customHeight="1">
      <c r="B12" s="28"/>
      <c r="C12" s="39" t="s">
        <v>462</v>
      </c>
      <c r="D12" s="49" t="s">
        <v>442</v>
      </c>
      <c r="E12" s="38"/>
      <c r="F12" s="26"/>
      <c r="G12" s="29"/>
      <c r="I12" s="5"/>
      <c r="J12" s="5"/>
      <c r="K12" s="5"/>
      <c r="L12" s="5"/>
      <c r="M12" s="5"/>
      <c r="N12" s="5"/>
    </row>
    <row r="13" spans="2:14" ht="14.5" customHeight="1">
      <c r="B13" s="28"/>
      <c r="C13" s="39" t="s">
        <v>276</v>
      </c>
      <c r="D13" s="49" t="s">
        <v>298</v>
      </c>
      <c r="E13" s="38"/>
      <c r="F13" s="26"/>
      <c r="G13" s="29"/>
      <c r="I13" s="5"/>
      <c r="J13" s="5"/>
      <c r="K13" s="5"/>
      <c r="L13" s="5"/>
      <c r="M13" s="5"/>
      <c r="N13" s="5"/>
    </row>
    <row r="14" spans="2:14" ht="14.5" customHeight="1">
      <c r="B14" s="28"/>
      <c r="C14" s="34" t="s">
        <v>464</v>
      </c>
      <c r="D14" s="179">
        <v>10000</v>
      </c>
      <c r="E14" s="38"/>
      <c r="F14" s="26"/>
      <c r="G14" s="29"/>
      <c r="I14" s="5"/>
      <c r="J14" s="5"/>
      <c r="K14" s="5"/>
      <c r="L14" s="5"/>
      <c r="M14" s="5"/>
      <c r="N14" s="5"/>
    </row>
    <row r="15" spans="2:14" ht="16">
      <c r="B15" s="28"/>
      <c r="C15" s="34" t="s">
        <v>465</v>
      </c>
      <c r="D15" s="179">
        <f>D14*1000</f>
        <v>10000000</v>
      </c>
      <c r="E15" s="38"/>
      <c r="F15" s="26"/>
      <c r="G15" s="29"/>
      <c r="I15" s="5"/>
      <c r="J15" s="5"/>
      <c r="K15" s="5"/>
      <c r="L15" s="5"/>
      <c r="M15" s="5"/>
      <c r="N15" s="5"/>
    </row>
    <row r="16" spans="2:14" ht="14.5" customHeight="1">
      <c r="B16" s="28"/>
      <c r="C16" s="34" t="s">
        <v>437</v>
      </c>
      <c r="D16" s="179">
        <v>1400</v>
      </c>
      <c r="E16" s="38"/>
      <c r="F16" s="26"/>
      <c r="G16" s="29"/>
      <c r="I16" s="5"/>
      <c r="J16" s="5"/>
      <c r="K16" s="5"/>
      <c r="L16" s="5"/>
      <c r="M16" s="5"/>
      <c r="N16" s="5"/>
    </row>
    <row r="17" spans="2:14" ht="14.5" customHeight="1">
      <c r="B17" s="28"/>
      <c r="C17" s="34" t="s">
        <v>466</v>
      </c>
      <c r="D17" s="120">
        <v>3000000</v>
      </c>
      <c r="E17" s="38"/>
      <c r="F17" s="26"/>
      <c r="G17" s="29"/>
      <c r="I17" s="5"/>
      <c r="J17" s="5"/>
      <c r="K17" s="5"/>
      <c r="L17" s="5"/>
      <c r="M17" s="5"/>
      <c r="N17" s="5"/>
    </row>
    <row r="18" spans="2:14" ht="14.5" customHeight="1">
      <c r="B18" s="28"/>
      <c r="C18" s="34" t="s">
        <v>380</v>
      </c>
      <c r="D18" s="114">
        <v>0.16</v>
      </c>
      <c r="E18" s="38"/>
      <c r="F18" s="26"/>
      <c r="G18" s="29"/>
      <c r="I18" s="5"/>
      <c r="J18" s="5"/>
      <c r="K18" s="5"/>
      <c r="L18" s="5"/>
      <c r="M18" s="5"/>
      <c r="N18" s="5"/>
    </row>
    <row r="19" spans="2:14" ht="14.5" customHeight="1">
      <c r="B19" s="28"/>
      <c r="C19" s="34" t="s">
        <v>237</v>
      </c>
      <c r="D19" s="2">
        <v>305</v>
      </c>
      <c r="E19" s="38"/>
      <c r="F19" s="26"/>
      <c r="G19" s="29"/>
      <c r="I19" s="5"/>
      <c r="J19" s="5"/>
      <c r="K19" s="5"/>
      <c r="L19" s="5"/>
      <c r="M19" s="5"/>
      <c r="N19" s="5"/>
    </row>
    <row r="20" spans="2:14" ht="14.5" customHeight="1">
      <c r="B20" s="28"/>
      <c r="C20" s="34" t="s">
        <v>381</v>
      </c>
      <c r="D20" s="43">
        <f>D15/1000/D18</f>
        <v>62500</v>
      </c>
      <c r="E20" s="38"/>
      <c r="F20" s="26"/>
      <c r="G20" s="29"/>
      <c r="I20" s="5"/>
      <c r="J20" s="5"/>
      <c r="K20" s="5"/>
      <c r="L20" s="5"/>
      <c r="M20" s="5"/>
      <c r="N20" s="5"/>
    </row>
    <row r="21" spans="2:14" ht="14.5" customHeight="1">
      <c r="B21" s="28"/>
      <c r="C21" s="34" t="s">
        <v>255</v>
      </c>
      <c r="D21" s="43">
        <f>ROUNDUP(D15/D19,0)</f>
        <v>32787</v>
      </c>
      <c r="E21" s="38"/>
      <c r="F21" s="26"/>
      <c r="G21" s="29"/>
      <c r="I21" s="5"/>
      <c r="J21" s="5"/>
      <c r="K21" s="5"/>
      <c r="L21" s="5"/>
      <c r="M21" s="5"/>
      <c r="N21" s="5"/>
    </row>
    <row r="22" spans="2:14" ht="16">
      <c r="B22" s="28"/>
      <c r="C22" s="34" t="s">
        <v>299</v>
      </c>
      <c r="D22" s="108" t="s">
        <v>63</v>
      </c>
      <c r="E22" s="107"/>
      <c r="F22" s="26"/>
      <c r="G22" s="29"/>
      <c r="I22" s="5"/>
      <c r="J22" s="5"/>
      <c r="K22" s="5"/>
      <c r="L22" s="5"/>
      <c r="M22" s="5"/>
      <c r="N22" s="5"/>
    </row>
    <row r="23" spans="2:14" ht="16">
      <c r="B23" s="28"/>
      <c r="C23" s="34" t="s">
        <v>434</v>
      </c>
      <c r="D23" s="121">
        <f>VLOOKUP(D22,Lists!D2:E8,2,FALSE)</f>
        <v>3.5999999999999999E-3</v>
      </c>
      <c r="E23" s="107"/>
      <c r="F23" s="26"/>
      <c r="G23" s="29"/>
      <c r="I23" s="5"/>
      <c r="J23" s="5"/>
      <c r="K23" s="5"/>
      <c r="L23" s="5"/>
      <c r="M23" s="5"/>
      <c r="N23" s="5"/>
    </row>
    <row r="24" spans="2:14" ht="15.5" customHeight="1">
      <c r="B24" s="28"/>
      <c r="C24" s="34" t="s">
        <v>3</v>
      </c>
      <c r="D24" s="2">
        <v>14</v>
      </c>
      <c r="E24" s="38"/>
      <c r="F24" s="26"/>
      <c r="G24" s="29"/>
      <c r="I24" s="5"/>
      <c r="J24" s="5"/>
      <c r="K24" s="5"/>
      <c r="L24" s="5"/>
      <c r="M24" s="5"/>
      <c r="N24" s="5"/>
    </row>
    <row r="25" spans="2:14" ht="14.5" customHeight="1">
      <c r="B25" s="28"/>
      <c r="C25" s="34" t="s">
        <v>260</v>
      </c>
      <c r="D25" s="43">
        <f>D15/D19/D24</f>
        <v>2341.9203747072602</v>
      </c>
      <c r="E25" s="38"/>
      <c r="F25" s="26"/>
      <c r="G25" s="29"/>
      <c r="I25" s="5"/>
      <c r="J25" s="5"/>
      <c r="K25" s="5"/>
      <c r="L25" s="5"/>
      <c r="M25" s="5"/>
      <c r="N25" s="5"/>
    </row>
    <row r="26" spans="2:14" ht="16">
      <c r="B26" s="28"/>
      <c r="C26" s="34" t="s">
        <v>4</v>
      </c>
      <c r="D26" s="2">
        <v>15</v>
      </c>
      <c r="E26" s="38"/>
      <c r="F26" s="26"/>
      <c r="G26" s="29"/>
      <c r="I26" s="5"/>
      <c r="J26" s="5"/>
      <c r="K26" s="5"/>
      <c r="L26" s="5"/>
      <c r="M26" s="5"/>
      <c r="N26" s="5"/>
    </row>
    <row r="27" spans="2:14" ht="14.5" customHeight="1">
      <c r="B27" s="28"/>
      <c r="C27" s="34" t="s">
        <v>256</v>
      </c>
      <c r="D27" s="43">
        <f>IF(D26=0,0,ROUNDUP(D25/D26,0))</f>
        <v>157</v>
      </c>
      <c r="E27" s="38"/>
      <c r="F27" s="26"/>
      <c r="G27" s="29"/>
      <c r="I27" s="5"/>
      <c r="J27" s="5"/>
      <c r="K27" s="5"/>
      <c r="L27" s="5"/>
      <c r="M27" s="5"/>
      <c r="N27" s="5"/>
    </row>
    <row r="28" spans="2:14" ht="14.5" customHeight="1">
      <c r="B28" s="28"/>
      <c r="C28" s="34" t="s">
        <v>258</v>
      </c>
      <c r="D28" s="2">
        <v>1</v>
      </c>
      <c r="E28" s="38"/>
      <c r="F28" s="26"/>
      <c r="G28" s="29"/>
      <c r="I28" s="5"/>
      <c r="J28" s="5"/>
      <c r="K28" s="5"/>
      <c r="L28" s="5"/>
      <c r="M28" s="5"/>
      <c r="N28" s="5"/>
    </row>
    <row r="29" spans="2:14" ht="14.5" customHeight="1">
      <c r="B29" s="28"/>
      <c r="C29" s="34" t="s">
        <v>257</v>
      </c>
      <c r="D29" s="43">
        <f>IF(D27=0,1,IF(D28=0,1,ROUNDUP(D27/D28,0)))</f>
        <v>157</v>
      </c>
      <c r="E29" s="38"/>
      <c r="F29" s="26"/>
      <c r="G29" s="29"/>
      <c r="I29" s="5"/>
      <c r="J29" s="5"/>
      <c r="K29" s="5"/>
      <c r="L29" s="5"/>
      <c r="M29" s="5"/>
      <c r="N29" s="5"/>
    </row>
    <row r="30" spans="2:14" ht="14.5" customHeight="1">
      <c r="B30" s="28"/>
      <c r="C30" s="34" t="s">
        <v>317</v>
      </c>
      <c r="D30" s="109" t="s">
        <v>319</v>
      </c>
      <c r="E30" s="38"/>
      <c r="F30" s="26"/>
      <c r="G30" s="29"/>
      <c r="I30" s="5"/>
      <c r="J30" s="5"/>
      <c r="K30" s="5"/>
      <c r="L30" s="5"/>
      <c r="M30" s="5"/>
      <c r="N30" s="5"/>
    </row>
    <row r="31" spans="2:14" ht="16">
      <c r="B31" s="28"/>
      <c r="C31" s="34" t="s">
        <v>323</v>
      </c>
      <c r="D31" s="180">
        <f>VLOOKUP($D$30,Lists!M2:N5,2,FALSE)</f>
        <v>0.19</v>
      </c>
      <c r="E31" s="38"/>
      <c r="F31" s="26"/>
      <c r="G31" s="29"/>
      <c r="I31" s="5"/>
      <c r="J31" s="5"/>
      <c r="K31" s="5"/>
      <c r="L31" s="5"/>
      <c r="M31" s="5"/>
      <c r="N31" s="5"/>
    </row>
    <row r="32" spans="2:14" ht="16">
      <c r="B32" s="28"/>
      <c r="C32" s="34" t="s">
        <v>241</v>
      </c>
      <c r="D32" s="179">
        <v>10</v>
      </c>
      <c r="E32" s="38"/>
      <c r="F32" s="26"/>
      <c r="G32" s="29"/>
      <c r="I32" s="5"/>
      <c r="J32" s="5"/>
      <c r="K32" s="5"/>
      <c r="L32" s="5"/>
      <c r="M32" s="5"/>
      <c r="N32" s="5"/>
    </row>
    <row r="33" spans="2:14" ht="16">
      <c r="B33" s="28"/>
      <c r="C33" s="34" t="s">
        <v>9</v>
      </c>
      <c r="D33" s="179">
        <v>1000</v>
      </c>
      <c r="E33" s="38"/>
      <c r="F33" s="26"/>
      <c r="G33" s="29"/>
      <c r="I33" s="5"/>
      <c r="J33" s="5"/>
      <c r="K33" s="5"/>
      <c r="L33" s="5"/>
      <c r="M33" s="5"/>
      <c r="N33" s="5"/>
    </row>
    <row r="34" spans="2:14" ht="14.5" customHeight="1">
      <c r="B34" s="28"/>
      <c r="C34" s="34" t="s">
        <v>259</v>
      </c>
      <c r="D34" s="179">
        <v>10</v>
      </c>
      <c r="E34" s="38"/>
      <c r="F34" s="26"/>
      <c r="G34" s="29"/>
      <c r="I34" s="5"/>
      <c r="J34" s="5"/>
      <c r="K34" s="5"/>
      <c r="L34" s="5"/>
      <c r="M34" s="5"/>
      <c r="N34" s="5"/>
    </row>
    <row r="35" spans="2:14" ht="14.5" customHeight="1">
      <c r="B35" s="28"/>
      <c r="C35" s="117"/>
      <c r="D35" s="117"/>
      <c r="E35" s="38"/>
      <c r="F35" s="26"/>
      <c r="G35" s="29"/>
      <c r="I35" s="5"/>
      <c r="J35" s="5"/>
      <c r="K35" s="5"/>
      <c r="L35" s="5"/>
      <c r="M35" s="5"/>
      <c r="N35" s="5"/>
    </row>
    <row r="36" spans="2:14" ht="16">
      <c r="B36" s="28"/>
      <c r="C36" s="34" t="s">
        <v>320</v>
      </c>
      <c r="D36" s="179">
        <v>10</v>
      </c>
      <c r="E36" s="38"/>
      <c r="F36" s="26"/>
      <c r="G36" s="29"/>
      <c r="I36" s="5"/>
      <c r="J36" s="5"/>
      <c r="K36" s="5"/>
      <c r="L36" s="5"/>
      <c r="M36" s="5"/>
      <c r="N36" s="5"/>
    </row>
    <row r="37" spans="2:14" ht="14.5" customHeight="1">
      <c r="B37" s="28"/>
      <c r="C37" s="34" t="s">
        <v>324</v>
      </c>
      <c r="D37" s="179">
        <v>20</v>
      </c>
      <c r="E37" s="38"/>
      <c r="F37" s="26"/>
      <c r="G37" s="29"/>
      <c r="I37" s="5"/>
      <c r="J37" s="5"/>
      <c r="K37" s="5"/>
      <c r="L37" s="5"/>
      <c r="M37" s="5"/>
      <c r="N37" s="5"/>
    </row>
    <row r="38" spans="2:14" ht="14.5" customHeight="1">
      <c r="B38" s="28"/>
      <c r="C38" s="34" t="s">
        <v>325</v>
      </c>
      <c r="D38" s="179">
        <v>1</v>
      </c>
      <c r="E38" s="38"/>
      <c r="F38" s="26"/>
      <c r="G38" s="29"/>
      <c r="I38" s="5"/>
      <c r="J38" s="5"/>
      <c r="K38" s="5"/>
      <c r="L38" s="5"/>
      <c r="M38" s="5"/>
      <c r="N38" s="5"/>
    </row>
    <row r="39" spans="2:14" ht="16">
      <c r="B39" s="28"/>
      <c r="C39" s="34" t="s">
        <v>351</v>
      </c>
      <c r="D39" s="179">
        <v>0</v>
      </c>
      <c r="E39" s="38" t="s">
        <v>352</v>
      </c>
      <c r="F39" s="26"/>
      <c r="G39" s="29"/>
      <c r="I39" s="5"/>
      <c r="J39" s="5"/>
      <c r="K39" s="5"/>
      <c r="L39" s="5"/>
      <c r="M39" s="5"/>
      <c r="N39" s="5"/>
    </row>
    <row r="40" spans="2:14" ht="14.5" customHeight="1">
      <c r="B40" s="28"/>
      <c r="C40" s="34"/>
      <c r="D40" s="41"/>
      <c r="E40" s="38"/>
      <c r="F40" s="26"/>
      <c r="G40" s="29"/>
      <c r="I40" s="5"/>
      <c r="J40" s="5"/>
      <c r="K40" s="5"/>
      <c r="L40" s="5"/>
      <c r="M40" s="5"/>
      <c r="N40" s="5"/>
    </row>
    <row r="41" spans="2:14" ht="14.5" customHeight="1">
      <c r="B41" s="28"/>
      <c r="C41" s="34" t="s">
        <v>429</v>
      </c>
      <c r="D41" s="108" t="s">
        <v>222</v>
      </c>
      <c r="E41" s="38"/>
      <c r="F41" s="26"/>
      <c r="G41" s="29"/>
      <c r="I41" s="5"/>
      <c r="J41" s="5"/>
      <c r="K41" s="5"/>
      <c r="L41" s="5"/>
      <c r="M41" s="5"/>
      <c r="N41" s="5"/>
    </row>
    <row r="42" spans="2:14" ht="16">
      <c r="B42" s="28"/>
      <c r="C42" s="34" t="s">
        <v>407</v>
      </c>
      <c r="D42" s="108" t="s">
        <v>410</v>
      </c>
      <c r="E42" s="38"/>
      <c r="F42" s="26"/>
      <c r="G42" s="29"/>
      <c r="I42" s="5"/>
      <c r="J42" s="5"/>
      <c r="K42" s="5"/>
      <c r="L42" s="5"/>
      <c r="M42" s="5"/>
      <c r="N42" s="5"/>
    </row>
    <row r="43" spans="2:14" ht="16">
      <c r="B43" s="28"/>
      <c r="C43" s="34" t="s">
        <v>392</v>
      </c>
      <c r="D43" s="108" t="s">
        <v>394</v>
      </c>
      <c r="E43" s="38"/>
      <c r="F43" s="26"/>
      <c r="G43" s="29"/>
      <c r="I43" s="5"/>
      <c r="J43" s="5"/>
      <c r="K43" s="5"/>
      <c r="L43" s="5"/>
      <c r="M43" s="5"/>
      <c r="N43" s="5"/>
    </row>
    <row r="44" spans="2:14" ht="16">
      <c r="B44" s="28"/>
      <c r="C44" s="34" t="s">
        <v>478</v>
      </c>
      <c r="D44" s="108" t="s">
        <v>383</v>
      </c>
      <c r="E44" s="38"/>
      <c r="F44" s="26"/>
      <c r="G44" s="29"/>
      <c r="I44" s="5"/>
      <c r="J44" s="5"/>
      <c r="K44" s="5"/>
      <c r="L44" s="5"/>
      <c r="M44" s="5"/>
      <c r="N44" s="5"/>
    </row>
    <row r="45" spans="2:14" ht="16">
      <c r="B45" s="28"/>
      <c r="C45" s="34" t="s">
        <v>412</v>
      </c>
      <c r="D45" s="108" t="s">
        <v>398</v>
      </c>
      <c r="E45" s="38"/>
      <c r="F45" s="26"/>
      <c r="G45" s="29"/>
      <c r="I45" s="5"/>
      <c r="J45" s="5"/>
      <c r="K45" s="5"/>
      <c r="L45" s="5"/>
      <c r="M45" s="5"/>
      <c r="N45" s="5"/>
    </row>
    <row r="46" spans="2:14" ht="16">
      <c r="B46" s="28"/>
      <c r="C46" s="34" t="s">
        <v>424</v>
      </c>
      <c r="D46" s="108" t="s">
        <v>421</v>
      </c>
      <c r="E46" s="38"/>
      <c r="F46" s="26"/>
      <c r="G46" s="29"/>
      <c r="I46" s="5"/>
      <c r="J46" s="5"/>
      <c r="K46" s="5"/>
      <c r="L46" s="5"/>
      <c r="M46" s="5"/>
      <c r="N46" s="5"/>
    </row>
    <row r="47" spans="2:14" ht="16">
      <c r="B47" s="28"/>
      <c r="C47" s="34" t="s">
        <v>415</v>
      </c>
      <c r="D47" s="115">
        <v>2</v>
      </c>
      <c r="E47" s="38"/>
      <c r="F47" s="26"/>
      <c r="G47" s="29"/>
      <c r="I47" s="5"/>
      <c r="J47" s="5"/>
      <c r="K47" s="5"/>
      <c r="L47" s="5"/>
      <c r="M47" s="5"/>
      <c r="N47" s="5"/>
    </row>
    <row r="48" spans="2:14" ht="16">
      <c r="B48" s="28"/>
      <c r="C48" s="34" t="s">
        <v>414</v>
      </c>
      <c r="D48" s="43">
        <f>IF(D45=Lists!Y3,0,D20/D47)</f>
        <v>31250</v>
      </c>
      <c r="E48" s="38"/>
      <c r="F48" s="26"/>
      <c r="G48" s="29"/>
      <c r="I48" s="5"/>
      <c r="J48" s="5"/>
      <c r="K48" s="5"/>
      <c r="L48" s="5"/>
      <c r="M48" s="5"/>
      <c r="N48" s="5"/>
    </row>
    <row r="49" spans="2:14" ht="14.5" customHeight="1">
      <c r="B49" s="28"/>
      <c r="C49" s="34" t="s">
        <v>238</v>
      </c>
      <c r="D49" s="47">
        <v>0.33</v>
      </c>
      <c r="E49" s="38"/>
      <c r="F49" s="26"/>
      <c r="G49" s="29"/>
      <c r="I49" s="5"/>
      <c r="J49" s="5"/>
      <c r="K49" s="5"/>
      <c r="L49" s="5"/>
      <c r="M49" s="5"/>
      <c r="N49" s="5"/>
    </row>
    <row r="50" spans="2:14" ht="14.5" customHeight="1">
      <c r="B50" s="28"/>
      <c r="C50" s="34" t="s">
        <v>5</v>
      </c>
      <c r="D50" s="42">
        <f>(1.94/D19)*(273/D49)*D15/1000000</f>
        <v>52.619970193740691</v>
      </c>
      <c r="E50" s="38"/>
      <c r="F50" s="26"/>
      <c r="G50" s="29"/>
      <c r="I50" s="5"/>
      <c r="J50" s="5"/>
      <c r="K50" s="5"/>
      <c r="L50" s="5"/>
      <c r="M50" s="5"/>
      <c r="N50" s="5"/>
    </row>
    <row r="51" spans="2:14" ht="14.5" customHeight="1">
      <c r="B51" s="28"/>
      <c r="C51" s="34"/>
      <c r="D51" s="42"/>
      <c r="E51" s="38"/>
      <c r="F51" s="26"/>
      <c r="G51" s="29"/>
      <c r="I51" s="5"/>
      <c r="J51" s="5"/>
      <c r="K51" s="5"/>
      <c r="L51" s="5"/>
      <c r="M51" s="5"/>
      <c r="N51" s="5"/>
    </row>
    <row r="52" spans="2:14" ht="14.5" customHeight="1">
      <c r="B52" s="28"/>
      <c r="C52" s="34" t="s">
        <v>2</v>
      </c>
      <c r="D52" s="2">
        <v>200</v>
      </c>
      <c r="E52" s="38"/>
      <c r="F52" s="26"/>
      <c r="G52" s="29"/>
      <c r="I52" s="5"/>
      <c r="J52" s="5"/>
      <c r="K52" s="5"/>
      <c r="L52" s="5"/>
      <c r="M52" s="5"/>
      <c r="N52" s="5"/>
    </row>
    <row r="53" spans="2:14" ht="14.5" customHeight="1">
      <c r="B53" s="28"/>
      <c r="C53" s="34" t="s">
        <v>31</v>
      </c>
      <c r="D53" s="43">
        <f>D55*D56</f>
        <v>163.9344262295082</v>
      </c>
      <c r="E53" s="38"/>
      <c r="F53" s="26"/>
      <c r="G53" s="29"/>
      <c r="I53" s="5"/>
      <c r="J53" s="5"/>
      <c r="K53" s="5"/>
      <c r="L53" s="5"/>
      <c r="M53" s="5"/>
      <c r="N53" s="5"/>
    </row>
    <row r="54" spans="2:14" ht="16">
      <c r="B54" s="28"/>
      <c r="C54" s="34" t="s">
        <v>418</v>
      </c>
      <c r="D54" s="108" t="s">
        <v>405</v>
      </c>
      <c r="E54" s="38"/>
      <c r="F54" s="26"/>
      <c r="G54" s="29"/>
      <c r="I54" s="5"/>
      <c r="J54" s="5"/>
      <c r="K54" s="5"/>
      <c r="L54" s="5"/>
      <c r="M54" s="5"/>
      <c r="N54" s="5"/>
    </row>
    <row r="55" spans="2:14" ht="14.5" customHeight="1">
      <c r="B55" s="28"/>
      <c r="C55" s="34" t="s">
        <v>362</v>
      </c>
      <c r="D55" s="2">
        <v>16</v>
      </c>
      <c r="E55" s="38"/>
      <c r="F55" s="26"/>
      <c r="G55" s="29"/>
      <c r="I55" s="5"/>
      <c r="J55" s="5"/>
      <c r="K55" s="5"/>
      <c r="L55" s="5"/>
      <c r="M55" s="5"/>
      <c r="N55" s="5"/>
    </row>
    <row r="56" spans="2:14" ht="14.5" customHeight="1">
      <c r="B56" s="28"/>
      <c r="C56" s="34" t="s">
        <v>363</v>
      </c>
      <c r="D56" s="42">
        <f>D15/(D55*D52*D19)</f>
        <v>10.245901639344263</v>
      </c>
      <c r="E56" s="38"/>
      <c r="F56" s="26"/>
      <c r="G56" s="29"/>
      <c r="I56" s="5"/>
      <c r="J56" s="5"/>
      <c r="K56" s="5"/>
      <c r="L56" s="5"/>
      <c r="M56" s="5"/>
      <c r="N56" s="5"/>
    </row>
    <row r="57" spans="2:14" ht="14.5" customHeight="1">
      <c r="B57" s="28"/>
      <c r="C57" s="34" t="s">
        <v>375</v>
      </c>
      <c r="D57" s="2">
        <v>10</v>
      </c>
      <c r="E57" s="38"/>
      <c r="F57" s="26"/>
      <c r="G57" s="29"/>
      <c r="I57" s="5"/>
      <c r="J57" s="5"/>
      <c r="K57" s="5"/>
      <c r="L57" s="5"/>
      <c r="M57" s="5"/>
      <c r="N57" s="5"/>
    </row>
    <row r="58" spans="2:14" ht="14.5" customHeight="1">
      <c r="B58" s="28"/>
      <c r="C58" s="40"/>
      <c r="D58" s="36"/>
      <c r="E58" s="37"/>
      <c r="F58" s="27"/>
      <c r="G58" s="29"/>
      <c r="I58" s="5"/>
      <c r="J58" s="5"/>
      <c r="K58" s="5"/>
      <c r="L58" s="5"/>
      <c r="M58" s="5"/>
      <c r="N58" s="5"/>
    </row>
    <row r="59" spans="2:14" ht="14.5" customHeight="1">
      <c r="B59" s="28"/>
      <c r="C59" s="20"/>
      <c r="D59" s="19"/>
      <c r="E59" s="19"/>
      <c r="F59" s="17"/>
      <c r="G59" s="29"/>
      <c r="I59" s="5"/>
      <c r="J59" s="5"/>
      <c r="K59" s="5"/>
      <c r="L59" s="5"/>
      <c r="M59" s="5"/>
      <c r="N59" s="5"/>
    </row>
    <row r="60" spans="2:14" ht="14.5" customHeight="1">
      <c r="B60" s="28"/>
      <c r="C60" s="23" t="s">
        <v>81</v>
      </c>
      <c r="D60" s="24"/>
      <c r="E60" s="25"/>
      <c r="F60" s="25"/>
      <c r="G60" s="29"/>
      <c r="I60" s="5"/>
      <c r="J60" s="5"/>
      <c r="K60" s="5"/>
      <c r="L60" s="5"/>
      <c r="M60" s="5"/>
      <c r="N60" s="5"/>
    </row>
    <row r="61" spans="2:14" ht="14.5" customHeight="1">
      <c r="B61" s="28"/>
      <c r="C61" s="44" t="s">
        <v>292</v>
      </c>
      <c r="D61" s="17"/>
      <c r="E61" s="38"/>
      <c r="F61" s="26"/>
      <c r="G61" s="29"/>
      <c r="I61" s="5"/>
      <c r="J61" s="5"/>
      <c r="K61" s="5"/>
      <c r="L61" s="5"/>
      <c r="M61" s="5"/>
      <c r="N61" s="5"/>
    </row>
    <row r="62" spans="2:14" ht="14.5" customHeight="1">
      <c r="B62" s="28"/>
      <c r="C62" s="45" t="s">
        <v>60</v>
      </c>
      <c r="D62" s="2">
        <v>0</v>
      </c>
      <c r="E62" s="38"/>
      <c r="F62" s="26"/>
      <c r="G62" s="29"/>
      <c r="I62" s="5"/>
      <c r="J62" s="5"/>
      <c r="K62" s="5"/>
      <c r="L62" s="5"/>
      <c r="M62" s="5"/>
      <c r="N62" s="5"/>
    </row>
    <row r="63" spans="2:14" ht="14.5" customHeight="1">
      <c r="B63" s="28"/>
      <c r="C63" s="45" t="s">
        <v>62</v>
      </c>
      <c r="D63" s="2">
        <v>0</v>
      </c>
      <c r="E63" s="38"/>
      <c r="F63" s="26"/>
      <c r="G63" s="29"/>
      <c r="I63" s="5"/>
      <c r="J63" s="5"/>
      <c r="K63" s="5"/>
      <c r="L63" s="5"/>
      <c r="M63" s="5"/>
      <c r="N63" s="5"/>
    </row>
    <row r="64" spans="2:14" ht="15" customHeight="1">
      <c r="B64" s="28"/>
      <c r="C64" s="45" t="s">
        <v>72</v>
      </c>
      <c r="D64" s="2">
        <v>0</v>
      </c>
      <c r="E64" s="46"/>
      <c r="F64" s="22" t="s">
        <v>283</v>
      </c>
      <c r="G64" s="29"/>
      <c r="I64" s="5"/>
      <c r="J64" s="5"/>
      <c r="K64" s="5"/>
      <c r="L64" s="5"/>
      <c r="M64" s="5"/>
      <c r="N64" s="5"/>
    </row>
    <row r="65" spans="2:14" ht="14.5" customHeight="1">
      <c r="B65" s="28"/>
      <c r="C65" s="45" t="s">
        <v>289</v>
      </c>
      <c r="D65" s="2">
        <v>0</v>
      </c>
      <c r="E65" s="46"/>
      <c r="F65" s="22" t="s">
        <v>287</v>
      </c>
      <c r="G65" s="29"/>
      <c r="H65" s="5"/>
      <c r="I65" s="5"/>
      <c r="J65" s="5"/>
      <c r="K65" s="5"/>
      <c r="L65" s="5"/>
      <c r="M65" s="5"/>
      <c r="N65" s="5"/>
    </row>
    <row r="66" spans="2:14" ht="14.5" customHeight="1">
      <c r="B66" s="28"/>
      <c r="C66" s="45" t="s">
        <v>61</v>
      </c>
      <c r="D66" s="99">
        <v>0</v>
      </c>
      <c r="E66" s="46"/>
      <c r="F66" s="22"/>
      <c r="G66" s="29"/>
      <c r="H66" s="5"/>
      <c r="I66" s="5"/>
      <c r="J66" s="5"/>
      <c r="K66" s="5"/>
      <c r="L66" s="5"/>
      <c r="M66" s="5"/>
      <c r="N66" s="5"/>
    </row>
    <row r="67" spans="2:14" ht="14.5" customHeight="1">
      <c r="B67" s="28"/>
      <c r="C67" s="45" t="s">
        <v>282</v>
      </c>
      <c r="D67" s="99">
        <v>0</v>
      </c>
      <c r="E67" s="46"/>
      <c r="F67" s="22"/>
      <c r="G67" s="29"/>
      <c r="H67" s="5"/>
      <c r="I67" s="5"/>
      <c r="J67" s="5"/>
      <c r="K67" s="5"/>
      <c r="L67" s="5"/>
      <c r="M67" s="5"/>
      <c r="N67" s="5"/>
    </row>
    <row r="68" spans="2:14" ht="14.5" customHeight="1">
      <c r="B68" s="28"/>
      <c r="C68" s="45" t="s">
        <v>69</v>
      </c>
      <c r="D68" s="99">
        <v>0</v>
      </c>
      <c r="E68" s="46"/>
      <c r="F68" s="22"/>
      <c r="G68" s="29"/>
      <c r="H68" s="5"/>
      <c r="I68" s="5"/>
      <c r="J68" s="5"/>
      <c r="K68" s="5"/>
      <c r="L68" s="5"/>
      <c r="M68" s="5"/>
      <c r="N68" s="5"/>
    </row>
    <row r="69" spans="2:14">
      <c r="B69" s="28"/>
      <c r="C69" s="45" t="s">
        <v>70</v>
      </c>
      <c r="D69" s="99">
        <v>0</v>
      </c>
      <c r="E69" s="46"/>
      <c r="F69" s="22"/>
      <c r="G69" s="29"/>
      <c r="H69" s="5"/>
      <c r="I69" s="50"/>
      <c r="J69" s="50"/>
      <c r="K69" s="50"/>
      <c r="L69" s="50"/>
    </row>
    <row r="70" spans="2:14">
      <c r="B70" s="28"/>
      <c r="C70" s="45" t="s">
        <v>71</v>
      </c>
      <c r="D70" s="99">
        <v>0</v>
      </c>
      <c r="E70" s="46"/>
      <c r="F70" s="22" t="s">
        <v>285</v>
      </c>
      <c r="G70" s="29"/>
      <c r="H70" s="5"/>
      <c r="I70" s="50"/>
      <c r="J70" s="50"/>
      <c r="K70" s="50"/>
      <c r="L70" s="50"/>
    </row>
    <row r="71" spans="2:14">
      <c r="B71" s="28"/>
      <c r="C71" s="45" t="s">
        <v>284</v>
      </c>
      <c r="D71" s="99">
        <v>0</v>
      </c>
      <c r="E71" s="46"/>
      <c r="F71" s="22" t="s">
        <v>287</v>
      </c>
      <c r="G71" s="29"/>
      <c r="H71" s="5"/>
      <c r="I71" s="50"/>
      <c r="J71" s="50"/>
      <c r="K71" s="50"/>
      <c r="L71" s="50"/>
    </row>
    <row r="72" spans="2:14">
      <c r="B72" s="28"/>
      <c r="C72" s="45" t="s">
        <v>286</v>
      </c>
      <c r="D72" s="99">
        <v>0</v>
      </c>
      <c r="E72" s="46"/>
      <c r="F72" s="22"/>
      <c r="G72" s="29"/>
      <c r="H72" s="5"/>
      <c r="I72" s="50"/>
      <c r="J72" s="50"/>
      <c r="K72" s="50"/>
      <c r="L72" s="50"/>
    </row>
    <row r="73" spans="2:14">
      <c r="B73" s="28"/>
      <c r="C73" s="45" t="s">
        <v>288</v>
      </c>
      <c r="D73" s="99">
        <v>0</v>
      </c>
      <c r="E73" s="46"/>
      <c r="F73" s="22"/>
      <c r="G73" s="29"/>
      <c r="H73" s="5"/>
      <c r="I73" s="50"/>
      <c r="J73" s="50"/>
      <c r="K73" s="50"/>
      <c r="L73" s="50"/>
    </row>
    <row r="74" spans="2:14">
      <c r="B74" s="28"/>
      <c r="C74" s="45" t="s">
        <v>290</v>
      </c>
      <c r="D74" s="99">
        <v>0</v>
      </c>
      <c r="E74" s="46"/>
      <c r="F74" s="22" t="s">
        <v>291</v>
      </c>
      <c r="G74" s="29"/>
      <c r="H74" s="5"/>
      <c r="I74" s="50"/>
      <c r="J74" s="50"/>
      <c r="K74" s="50"/>
      <c r="L74" s="50"/>
    </row>
    <row r="75" spans="2:14">
      <c r="B75" s="28"/>
      <c r="C75" s="35"/>
      <c r="D75" s="36"/>
      <c r="E75" s="37"/>
      <c r="F75" s="27"/>
      <c r="G75" s="29"/>
      <c r="H75" s="5"/>
      <c r="I75" s="50"/>
      <c r="J75" s="50"/>
      <c r="K75" s="50"/>
      <c r="L75" s="50"/>
    </row>
    <row r="76" spans="2:14" ht="16" thickBot="1">
      <c r="B76" s="30"/>
      <c r="C76" s="31"/>
      <c r="D76" s="31"/>
      <c r="E76" s="31"/>
      <c r="F76" s="21"/>
      <c r="G76" s="32"/>
      <c r="H76" s="5"/>
      <c r="I76" s="50"/>
      <c r="J76" s="50"/>
      <c r="K76" s="50"/>
      <c r="L76" s="50"/>
    </row>
  </sheetData>
  <mergeCells count="1">
    <mergeCell ref="B2:G2"/>
  </mergeCells>
  <conditionalFormatting sqref="D49:D53 D55:D57">
    <cfRule type="expression" dxfId="63" priority="20">
      <formula>$D$42="Residential (&lt;= 10kW)"</formula>
    </cfRule>
    <cfRule type="expression" dxfId="62" priority="21">
      <formula>$D$42="Commercial Rooftop (10kW - 100kW)"</formula>
    </cfRule>
  </conditionalFormatting>
  <conditionalFormatting sqref="C49:C53 C55:C57">
    <cfRule type="expression" dxfId="61" priority="22">
      <formula>$D$42="Rooftop fixed tilt"</formula>
    </cfRule>
  </conditionalFormatting>
  <conditionalFormatting sqref="D52:D53 D55:D57">
    <cfRule type="expression" dxfId="60" priority="25">
      <formula>$D$42="Grount-Mount Fixed Tilt (&gt; 100kW)"</formula>
    </cfRule>
  </conditionalFormatting>
  <pageMargins left="0.7" right="0.7" top="0.75" bottom="0.75" header="0.3" footer="0.3"/>
  <pageSetup orientation="portrait" horizontalDpi="4294967292" verticalDpi="4294967292" r:id="rId1"/>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000-000000000000}">
          <x14:formula1>
            <xm:f>Lists!$D$3:$D$8</xm:f>
          </x14:formula1>
          <xm:sqref>D22</xm:sqref>
        </x14:dataValidation>
        <x14:dataValidation type="list" allowBlank="1" showInputMessage="1" showErrorMessage="1" xr:uid="{00000000-0002-0000-0000-000001000000}">
          <x14:formula1>
            <xm:f>Lists!$H$3:$H$4</xm:f>
          </x14:formula1>
          <xm:sqref>D42</xm:sqref>
        </x14:dataValidation>
        <x14:dataValidation type="list" allowBlank="1" showInputMessage="1" showErrorMessage="1" xr:uid="{00000000-0002-0000-0000-000002000000}">
          <x14:formula1>
            <xm:f>Lists!$M$3:$M$5</xm:f>
          </x14:formula1>
          <xm:sqref>D30</xm:sqref>
        </x14:dataValidation>
        <x14:dataValidation type="list" allowBlank="1" showInputMessage="1" showErrorMessage="1" xr:uid="{00000000-0002-0000-0000-000003000000}">
          <x14:formula1>
            <xm:f>Lists!$Y$3:$Y$5</xm:f>
          </x14:formula1>
          <xm:sqref>D45</xm:sqref>
        </x14:dataValidation>
        <x14:dataValidation type="list" allowBlank="1" showInputMessage="1" showErrorMessage="1" xr:uid="{00000000-0002-0000-0000-000004000000}">
          <x14:formula1>
            <xm:f>Lists!$S$3:$S$13</xm:f>
          </x14:formula1>
          <xm:sqref>D44</xm:sqref>
        </x14:dataValidation>
        <x14:dataValidation type="list" allowBlank="1" showInputMessage="1" showErrorMessage="1" xr:uid="{00000000-0002-0000-0000-000005000000}">
          <x14:formula1>
            <xm:f>Lists!$W$3:$W$5</xm:f>
          </x14:formula1>
          <xm:sqref>D43</xm:sqref>
        </x14:dataValidation>
        <x14:dataValidation type="list" allowBlank="1" showInputMessage="1" showErrorMessage="1" xr:uid="{00000000-0002-0000-0000-000006000000}">
          <x14:formula1>
            <xm:f>Lists!$AA$3:$AA$5</xm:f>
          </x14:formula1>
          <xm:sqref>D54</xm:sqref>
        </x14:dataValidation>
        <x14:dataValidation type="list" allowBlank="1" showInputMessage="1" showErrorMessage="1" xr:uid="{00000000-0002-0000-0000-000007000000}">
          <x14:formula1>
            <xm:f>Lists!$AC$3:$AC$5</xm:f>
          </x14:formula1>
          <xm:sqref>D46</xm:sqref>
        </x14:dataValidation>
        <x14:dataValidation type="list" allowBlank="1" showInputMessage="1" showErrorMessage="1" xr:uid="{00000000-0002-0000-0000-000008000000}">
          <x14:formula1>
            <xm:f>Lists!$I$3:$I$6</xm:f>
          </x14:formula1>
          <xm:sqref>D41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B25"/>
  <sheetViews>
    <sheetView workbookViewId="0">
      <selection activeCell="L23" sqref="L23"/>
    </sheetView>
  </sheetViews>
  <sheetFormatPr baseColWidth="10" defaultColWidth="8.83203125" defaultRowHeight="15"/>
  <cols>
    <col min="1" max="1" width="36.83203125" customWidth="1"/>
    <col min="2" max="2" width="25" customWidth="1"/>
    <col min="4" max="4" width="27.83203125" customWidth="1"/>
    <col min="6" max="6" width="11.33203125" customWidth="1"/>
    <col min="9" max="9" width="31.83203125" customWidth="1"/>
    <col min="11" max="11" width="11.83203125" customWidth="1"/>
    <col min="12" max="12" width="14.33203125" customWidth="1"/>
    <col min="14" max="14" width="24.33203125" customWidth="1"/>
    <col min="35" max="35" width="11.1640625" customWidth="1"/>
    <col min="36" max="36" width="10.5" customWidth="1"/>
    <col min="37" max="37" width="10.33203125" customWidth="1"/>
    <col min="38" max="38" width="10.5" customWidth="1"/>
    <col min="39" max="39" width="10.33203125" customWidth="1"/>
  </cols>
  <sheetData>
    <row r="1" spans="1:54" ht="16">
      <c r="A1" s="97" t="s">
        <v>462</v>
      </c>
      <c r="B1" s="95" t="str">
        <f>Inputs!D12</f>
        <v>Ground Mount Fixed Tilt</v>
      </c>
      <c r="C1" s="50"/>
      <c r="D1" s="193" t="s">
        <v>458</v>
      </c>
      <c r="E1" s="194"/>
      <c r="F1" s="194"/>
      <c r="G1" s="194"/>
      <c r="I1" s="193" t="s">
        <v>460</v>
      </c>
      <c r="J1" s="194"/>
      <c r="K1" s="194"/>
      <c r="L1" s="194"/>
      <c r="N1" s="185" t="s">
        <v>455</v>
      </c>
      <c r="O1" s="186">
        <f>'Detailed Measures'!AA2</f>
        <v>1</v>
      </c>
      <c r="P1" s="186">
        <f>'Detailed Measures'!AB2</f>
        <v>2</v>
      </c>
      <c r="Q1" s="186">
        <f>'Detailed Measures'!AC2</f>
        <v>3</v>
      </c>
      <c r="R1" s="186">
        <f>'Detailed Measures'!AD2</f>
        <v>4</v>
      </c>
      <c r="S1" s="186">
        <f>'Detailed Measures'!AE2</f>
        <v>5</v>
      </c>
      <c r="T1" s="186">
        <f>'Detailed Measures'!AF2</f>
        <v>6</v>
      </c>
      <c r="U1" s="186">
        <f>'Detailed Measures'!AG2</f>
        <v>7</v>
      </c>
      <c r="V1" s="186">
        <f>'Detailed Measures'!AH2</f>
        <v>8</v>
      </c>
      <c r="W1" s="186">
        <f>'Detailed Measures'!AI2</f>
        <v>9</v>
      </c>
      <c r="X1" s="186">
        <f>'Detailed Measures'!AJ2</f>
        <v>10</v>
      </c>
      <c r="Y1" s="186">
        <f>'Detailed Measures'!AK2</f>
        <v>11</v>
      </c>
      <c r="Z1" s="186">
        <f>'Detailed Measures'!AL2</f>
        <v>12</v>
      </c>
      <c r="AA1" s="186">
        <f>'Detailed Measures'!AM2</f>
        <v>13</v>
      </c>
      <c r="AB1" s="186">
        <f>'Detailed Measures'!AN2</f>
        <v>14</v>
      </c>
      <c r="AC1" s="186">
        <f>'Detailed Measures'!AO2</f>
        <v>15</v>
      </c>
      <c r="AD1" s="186">
        <f>'Detailed Measures'!AP2</f>
        <v>16</v>
      </c>
      <c r="AE1" s="186">
        <f>'Detailed Measures'!AQ2</f>
        <v>17</v>
      </c>
      <c r="AF1" s="186">
        <f>'Detailed Measures'!AR2</f>
        <v>18</v>
      </c>
      <c r="AG1" s="186">
        <f>'Detailed Measures'!AS2</f>
        <v>19</v>
      </c>
      <c r="AH1" s="186">
        <f>'Detailed Measures'!AT2</f>
        <v>20</v>
      </c>
      <c r="AI1" s="186">
        <f>'Detailed Measures'!AU2</f>
        <v>21</v>
      </c>
      <c r="AJ1" s="186">
        <f>'Detailed Measures'!AV2</f>
        <v>22</v>
      </c>
      <c r="AK1" s="186">
        <f>'Detailed Measures'!AW2</f>
        <v>23</v>
      </c>
      <c r="AL1" s="186">
        <f>'Detailed Measures'!AX2</f>
        <v>24</v>
      </c>
      <c r="AM1" s="186">
        <f>'Detailed Measures'!AY2</f>
        <v>25</v>
      </c>
      <c r="AN1" s="186">
        <f>'Detailed Measures'!AZ2</f>
        <v>26</v>
      </c>
      <c r="AO1" s="186">
        <f>'Detailed Measures'!BA2</f>
        <v>27</v>
      </c>
      <c r="AP1" s="186">
        <f>'Detailed Measures'!BB2</f>
        <v>28</v>
      </c>
      <c r="AQ1" s="186">
        <f>'Detailed Measures'!BC2</f>
        <v>29</v>
      </c>
      <c r="AR1" s="186">
        <f>'Detailed Measures'!BD2</f>
        <v>30</v>
      </c>
      <c r="AS1" s="186">
        <f>'Detailed Measures'!BE2</f>
        <v>31</v>
      </c>
      <c r="AT1" s="186">
        <f>'Detailed Measures'!BF2</f>
        <v>32</v>
      </c>
      <c r="AU1" s="186">
        <f>'Detailed Measures'!BG2</f>
        <v>33</v>
      </c>
      <c r="AV1" s="186">
        <f>'Detailed Measures'!BH2</f>
        <v>34</v>
      </c>
      <c r="AW1" s="186">
        <f>'Detailed Measures'!BI2</f>
        <v>35</v>
      </c>
      <c r="AX1" s="186">
        <f>'Detailed Measures'!BJ2</f>
        <v>36</v>
      </c>
      <c r="AY1" s="186">
        <f>'Detailed Measures'!BK2</f>
        <v>37</v>
      </c>
      <c r="AZ1" s="186">
        <f>'Detailed Measures'!BL2</f>
        <v>38</v>
      </c>
      <c r="BA1" s="186">
        <f>'Detailed Measures'!BM2</f>
        <v>39</v>
      </c>
      <c r="BB1" s="186">
        <f>'Detailed Measures'!BN2</f>
        <v>40</v>
      </c>
    </row>
    <row r="2" spans="1:54" ht="33" thickBot="1">
      <c r="A2" s="50"/>
      <c r="B2" s="50"/>
      <c r="C2" s="50"/>
      <c r="D2" s="187" t="s">
        <v>459</v>
      </c>
      <c r="E2" s="188" t="s">
        <v>310</v>
      </c>
      <c r="F2" s="188" t="s">
        <v>311</v>
      </c>
      <c r="G2" s="189" t="s">
        <v>306</v>
      </c>
      <c r="I2" s="74" t="s">
        <v>461</v>
      </c>
      <c r="J2" s="188" t="s">
        <v>310</v>
      </c>
      <c r="K2" s="188" t="s">
        <v>311</v>
      </c>
      <c r="L2" s="189" t="s">
        <v>306</v>
      </c>
      <c r="N2" s="185" t="s">
        <v>303</v>
      </c>
      <c r="O2" s="79">
        <f>'Detailed Measures'!AA137</f>
        <v>60724.043617293959</v>
      </c>
      <c r="P2" s="79">
        <f>'Detailed Measures'!AB137</f>
        <v>92998.133858882415</v>
      </c>
      <c r="Q2" s="79">
        <f>'Detailed Measures'!AC137</f>
        <v>93544.662860084267</v>
      </c>
      <c r="R2" s="79">
        <f>'Detailed Measures'!AD137</f>
        <v>96139.88246341655</v>
      </c>
      <c r="S2" s="79">
        <f>'Detailed Measures'!AE137</f>
        <v>126946.46841636214</v>
      </c>
      <c r="T2" s="79">
        <f>'Detailed Measures'!AF137</f>
        <v>100090.60212107355</v>
      </c>
      <c r="U2" s="79">
        <f>'Detailed Measures'!AG137</f>
        <v>101371.8554412864</v>
      </c>
      <c r="V2" s="79">
        <f>'Detailed Measures'!AH137</f>
        <v>104857.32771731494</v>
      </c>
      <c r="W2" s="79">
        <f>'Detailed Measures'!AI137</f>
        <v>106497.78429186277</v>
      </c>
      <c r="X2" s="79">
        <f>'Detailed Measures'!AJ137</f>
        <v>143417.34732384505</v>
      </c>
      <c r="Y2" s="79">
        <f>'Detailed Measures'!AK137</f>
        <v>178521.22880668286</v>
      </c>
      <c r="Z2" s="79">
        <f>'Detailed Measures'!AL137</f>
        <v>180847.58418925901</v>
      </c>
      <c r="AA2" s="79">
        <f>'Detailed Measures'!AM137</f>
        <v>181165.51144456922</v>
      </c>
      <c r="AB2" s="79">
        <f>'Detailed Measures'!AN137</f>
        <v>183916.01076376476</v>
      </c>
      <c r="AC2" s="79">
        <f>'Detailed Measures'!AO137</f>
        <v>223072.77618450369</v>
      </c>
      <c r="AD2" s="79">
        <f>'Detailed Measures'!AP137</f>
        <v>187584.58779972122</v>
      </c>
      <c r="AE2" s="79">
        <f>'Detailed Measures'!AQ137</f>
        <v>188347.44070737672</v>
      </c>
      <c r="AF2" s="79">
        <f>'Detailed Measures'!AR137</f>
        <v>191605.66402958322</v>
      </c>
      <c r="AG2" s="79">
        <f>'Detailed Measures'!AS137</f>
        <v>192395.86335562979</v>
      </c>
      <c r="AH2" s="79">
        <f>'Detailed Measures'!AT137</f>
        <v>238350.65406634592</v>
      </c>
      <c r="AI2" s="79">
        <f>'Detailed Measures'!AU137</f>
        <v>679236.2680352258</v>
      </c>
      <c r="AJ2" s="79">
        <f>'Detailed Measures'!AV137</f>
        <v>685279.87387862231</v>
      </c>
      <c r="AK2" s="79">
        <f>'Detailed Measures'!AW137</f>
        <v>685970.44513930695</v>
      </c>
      <c r="AL2" s="79">
        <f>'Detailed Measures'!AX137</f>
        <v>686825.44507075276</v>
      </c>
      <c r="AM2" s="79">
        <f>'Detailed Measures'!AY137</f>
        <v>729408.83536356001</v>
      </c>
      <c r="AN2" s="79">
        <f>'Detailed Measures'!AZ137</f>
        <v>0</v>
      </c>
      <c r="AO2" s="79">
        <f>'Detailed Measures'!BA137</f>
        <v>0</v>
      </c>
      <c r="AP2" s="79">
        <f>'Detailed Measures'!BB137</f>
        <v>0</v>
      </c>
      <c r="AQ2" s="79">
        <f>'Detailed Measures'!BC137</f>
        <v>0</v>
      </c>
      <c r="AR2" s="79">
        <f>'Detailed Measures'!BD137</f>
        <v>0</v>
      </c>
      <c r="AS2" s="79">
        <f>'Detailed Measures'!BE137</f>
        <v>0</v>
      </c>
      <c r="AT2" s="79">
        <f>'Detailed Measures'!BF137</f>
        <v>0</v>
      </c>
      <c r="AU2" s="79">
        <f>'Detailed Measures'!BG137</f>
        <v>0</v>
      </c>
      <c r="AV2" s="79">
        <f>'Detailed Measures'!BH137</f>
        <v>0</v>
      </c>
      <c r="AW2" s="79">
        <f>'Detailed Measures'!BI137</f>
        <v>0</v>
      </c>
      <c r="AX2" s="79">
        <f>'Detailed Measures'!BJ137</f>
        <v>0</v>
      </c>
      <c r="AY2" s="79">
        <f>'Detailed Measures'!BK137</f>
        <v>0</v>
      </c>
      <c r="AZ2" s="79">
        <f>'Detailed Measures'!BL137</f>
        <v>0</v>
      </c>
      <c r="BA2" s="79">
        <f>'Detailed Measures'!BM137</f>
        <v>0</v>
      </c>
      <c r="BB2" s="79">
        <f>'Detailed Measures'!BN137</f>
        <v>0</v>
      </c>
    </row>
    <row r="3" spans="1:54" ht="17" thickBot="1">
      <c r="A3" s="97" t="s">
        <v>294</v>
      </c>
      <c r="B3" s="98"/>
      <c r="C3" s="50"/>
      <c r="D3" s="75" t="s">
        <v>248</v>
      </c>
      <c r="E3" s="76">
        <f>SUMIF('Detailed Measures'!$J$3:$J$136,D3,'Detailed Measures'!$X$3:$X$136)</f>
        <v>7717.4876160204503</v>
      </c>
      <c r="F3" s="76">
        <f>SUMIF('Detailed Measures'!$J$3:$J$136,D3,'Detailed Measures'!$Y$3:$Y$136)</f>
        <v>88635.44812104154</v>
      </c>
      <c r="G3" s="77">
        <f t="shared" ref="G3:G17" si="0">F3/$F$18</f>
        <v>4.1804804579207579E-2</v>
      </c>
      <c r="I3" s="116" t="str">
        <f>Lists!C3</f>
        <v>AC Wiring</v>
      </c>
      <c r="J3" s="76">
        <f>SUMIF('Detailed Measures'!$D$3:$D$136,I3,'Detailed Measures'!$X$3:$X$136)</f>
        <v>2054.8768798507335</v>
      </c>
      <c r="K3" s="76">
        <f>SUMIF('Detailed Measures'!$D$3:$D$136,I3,'Detailed Measures'!$Y$3:$Y$136)</f>
        <v>22299.463990015094</v>
      </c>
      <c r="L3" s="77">
        <f t="shared" ref="L3:L17" si="1">K3/$K$18</f>
        <v>1.0519485517661216E-2</v>
      </c>
      <c r="N3" s="185" t="s">
        <v>456</v>
      </c>
      <c r="O3" s="79">
        <f>'Detailed Measures'!BQ137</f>
        <v>61847.328146867039</v>
      </c>
      <c r="P3" s="79">
        <f>'Detailed Measures'!BR137</f>
        <v>155324.22668286882</v>
      </c>
      <c r="Q3" s="79">
        <f>'Detailed Measures'!BS137</f>
        <v>150035.09643274811</v>
      </c>
      <c r="R3" s="79">
        <f>'Detailed Measures'!BT137</f>
        <v>146930.9840459947</v>
      </c>
      <c r="S3" s="79">
        <f>'Detailed Measures'!BU137</f>
        <v>172198.28748161462</v>
      </c>
      <c r="T3" s="79">
        <f>'Detailed Measures'!BV137</f>
        <v>139985.53709838277</v>
      </c>
      <c r="U3" s="79">
        <f>'Detailed Measures'!BW137</f>
        <v>136113.00758924516</v>
      </c>
      <c r="V3" s="79">
        <f>'Detailed Measures'!BX137</f>
        <v>135394.43378491534</v>
      </c>
      <c r="W3" s="79">
        <f>'Detailed Measures'!BY137</f>
        <v>133363.75785913077</v>
      </c>
      <c r="X3" s="79">
        <f>'Detailed Measures'!BZ137</f>
        <v>166933.84776421348</v>
      </c>
      <c r="Y3" s="79">
        <f>'Detailed Measures'!CA137</f>
        <v>271410.45205006876</v>
      </c>
      <c r="Z3" s="79">
        <f>'Detailed Measures'!CB137</f>
        <v>259362.46330647662</v>
      </c>
      <c r="AA3" s="79">
        <f>'Detailed Measures'!CC137</f>
        <v>247672.64372299617</v>
      </c>
      <c r="AB3" s="79">
        <f>'Detailed Measures'!CD137</f>
        <v>240485.54114000022</v>
      </c>
      <c r="AC3" s="79">
        <f>'Detailed Measures'!CE137</f>
        <v>271424.96434900176</v>
      </c>
      <c r="AD3" s="79">
        <f>'Detailed Measures'!CF137</f>
        <v>229333.88508500974</v>
      </c>
      <c r="AE3" s="79">
        <f>'Detailed Measures'!CG137</f>
        <v>226749.23341520756</v>
      </c>
      <c r="AF3" s="79">
        <f>'Detailed Measures'!CH137</f>
        <v>233371.2664432571</v>
      </c>
      <c r="AG3" s="79">
        <f>'Detailed Measures'!CI137</f>
        <v>238230.65189229388</v>
      </c>
      <c r="AH3" s="79">
        <f>'Detailed Measures'!CJ137</f>
        <v>287264.29242398718</v>
      </c>
      <c r="AI3" s="79">
        <f>'Detailed Measures'!CK137</f>
        <v>1519994.1092476996</v>
      </c>
      <c r="AJ3" s="79">
        <f>'Detailed Measures'!CL137</f>
        <v>1492795.7541293015</v>
      </c>
      <c r="AK3" s="79">
        <f>'Detailed Measures'!CM137</f>
        <v>1444325.0772382079</v>
      </c>
      <c r="AL3" s="79">
        <f>'Detailed Measures'!CN137</f>
        <v>1382804.7592001103</v>
      </c>
      <c r="AM3" s="79">
        <f>'Detailed Measures'!CO137</f>
        <v>1351973.4207884062</v>
      </c>
      <c r="AN3" s="79">
        <f>'Detailed Measures'!CP137</f>
        <v>0</v>
      </c>
      <c r="AO3" s="79">
        <f>'Detailed Measures'!CQ137</f>
        <v>0</v>
      </c>
      <c r="AP3" s="79">
        <f>'Detailed Measures'!CR137</f>
        <v>0</v>
      </c>
      <c r="AQ3" s="79">
        <f>'Detailed Measures'!CS137</f>
        <v>0</v>
      </c>
      <c r="AR3" s="79">
        <f>'Detailed Measures'!CT137</f>
        <v>0</v>
      </c>
      <c r="AS3" s="79">
        <f>'Detailed Measures'!CU137</f>
        <v>0</v>
      </c>
      <c r="AT3" s="79">
        <f>'Detailed Measures'!CV137</f>
        <v>0</v>
      </c>
      <c r="AU3" s="79">
        <f>'Detailed Measures'!CW137</f>
        <v>0</v>
      </c>
      <c r="AV3" s="79">
        <f>'Detailed Measures'!CX137</f>
        <v>0</v>
      </c>
      <c r="AW3" s="79">
        <f>'Detailed Measures'!CY137</f>
        <v>0</v>
      </c>
      <c r="AX3" s="79">
        <f>'Detailed Measures'!CZ137</f>
        <v>0</v>
      </c>
      <c r="AY3" s="79">
        <f>'Detailed Measures'!DA137</f>
        <v>0</v>
      </c>
      <c r="AZ3" s="79">
        <f>'Detailed Measures'!DB137</f>
        <v>0</v>
      </c>
      <c r="BA3" s="79">
        <f>'Detailed Measures'!DC137</f>
        <v>0</v>
      </c>
      <c r="BB3" s="79">
        <f>'Detailed Measures'!DD137</f>
        <v>0</v>
      </c>
    </row>
    <row r="4" spans="1:54" ht="17" thickBot="1">
      <c r="A4" s="18" t="s">
        <v>376</v>
      </c>
      <c r="B4" s="95">
        <f>B7/(((1+Inputs!D7)/(Inputs!D6-Inputs!D7)*(1-((1+Inputs!D7)/(1+Inputs!D6))^Inputs!D5)))</f>
        <v>148960.14880912399</v>
      </c>
      <c r="C4" s="50"/>
      <c r="D4" s="78" t="s">
        <v>216</v>
      </c>
      <c r="E4" s="79">
        <f>SUMIF('Detailed Measures'!$J$3:$J$136,D4,'Detailed Measures'!$X$3:$X$136)</f>
        <v>23710.306676713593</v>
      </c>
      <c r="F4" s="79">
        <f>SUMIF('Detailed Measures'!$J$3:$J$136,D4,'Detailed Measures'!$Y$3:$Y$136)</f>
        <v>272344.6706691322</v>
      </c>
      <c r="G4" s="80">
        <f t="shared" si="0"/>
        <v>0.12845104274718402</v>
      </c>
      <c r="I4" s="75" t="str">
        <f>Lists!C4</f>
        <v>DC Wiring</v>
      </c>
      <c r="J4" s="76">
        <f>SUMIF('Detailed Measures'!$D$3:$D$136,I4,'Detailed Measures'!$X$3:$X$136)</f>
        <v>32954.809721853308</v>
      </c>
      <c r="K4" s="76">
        <f>SUMIF('Detailed Measures'!$D$3:$D$136,I4,'Detailed Measures'!$Y$3:$Y$136)</f>
        <v>416042.66980251047</v>
      </c>
      <c r="L4" s="77">
        <f t="shared" si="1"/>
        <v>0.19626278199674582</v>
      </c>
      <c r="S4" s="50"/>
    </row>
    <row r="5" spans="1:54" ht="17" thickBot="1">
      <c r="A5" s="18" t="s">
        <v>377</v>
      </c>
      <c r="B5" s="96">
        <f>B4/(Inputs!D15/1000)</f>
        <v>14.896014880912398</v>
      </c>
      <c r="C5" s="50"/>
      <c r="D5" s="78" t="s">
        <v>91</v>
      </c>
      <c r="E5" s="79">
        <f>SUMIF('Detailed Measures'!$J$3:$J$136,D5,'Detailed Measures'!$X$3:$X$136)</f>
        <v>29782.304981621481</v>
      </c>
      <c r="F5" s="79">
        <f>SUMIF('Detailed Measures'!$J$3:$J$136,D5,'Detailed Measures'!$Y$3:$Y$136)</f>
        <v>268749.25637024699</v>
      </c>
      <c r="G5" s="80">
        <f t="shared" si="0"/>
        <v>0.12675526983315841</v>
      </c>
      <c r="I5" s="75" t="str">
        <f>Lists!C5</f>
        <v>Asset Management</v>
      </c>
      <c r="J5" s="76">
        <f>SUMIF('Detailed Measures'!$D$3:$D$136,I5,'Detailed Measures'!$X$3:$X$136)</f>
        <v>4548.8298861233861</v>
      </c>
      <c r="K5" s="76">
        <f>SUMIF('Detailed Measures'!$D$3:$D$136,I5,'Detailed Measures'!$Y$3:$Y$136)</f>
        <v>52249.411791998493</v>
      </c>
      <c r="L5" s="77">
        <f t="shared" si="1"/>
        <v>2.4647988440365792E-2</v>
      </c>
      <c r="S5" s="50"/>
    </row>
    <row r="6" spans="1:54" ht="17" thickBot="1">
      <c r="A6" s="18" t="s">
        <v>454</v>
      </c>
      <c r="B6" s="95">
        <f>MAX('Detailed Measures'!BQ137:DD137)</f>
        <v>1519994.1092476996</v>
      </c>
      <c r="C6" s="50"/>
      <c r="D6" s="78" t="s">
        <v>246</v>
      </c>
      <c r="E6" s="79">
        <f>SUMIF('Detailed Measures'!$J$3:$J$136,D6,'Detailed Measures'!$X$3:$X$136)</f>
        <v>25548.640897066114</v>
      </c>
      <c r="F6" s="79">
        <f>SUMIF('Detailed Measures'!$J$3:$J$136,D6,'Detailed Measures'!$Y$3:$Y$136)</f>
        <v>287353.08637324662</v>
      </c>
      <c r="G6" s="80">
        <f t="shared" si="0"/>
        <v>0.13552974431472387</v>
      </c>
      <c r="I6" s="75" t="str">
        <f>Lists!C6</f>
        <v>Documents</v>
      </c>
      <c r="J6" s="76">
        <f>SUMIF('Detailed Measures'!$D$3:$D$136,I6,'Detailed Measures'!$X$3:$X$136)</f>
        <v>3115.3948496250591</v>
      </c>
      <c r="K6" s="76">
        <f>SUMIF('Detailed Measures'!$D$3:$D$136,I6,'Detailed Measures'!$Y$3:$Y$136)</f>
        <v>35784.487982128878</v>
      </c>
      <c r="L6" s="77">
        <f t="shared" si="1"/>
        <v>1.6880872260135064E-2</v>
      </c>
      <c r="S6" s="50"/>
    </row>
    <row r="7" spans="1:54" ht="17" thickBot="1">
      <c r="A7" s="18" t="s">
        <v>313</v>
      </c>
      <c r="B7" s="95">
        <f>'Detailed Measures'!Y137</f>
        <v>2120221.5633637025</v>
      </c>
      <c r="C7" s="50"/>
      <c r="D7" s="78" t="s">
        <v>88</v>
      </c>
      <c r="E7" s="79">
        <f>SUMIF('Detailed Measures'!$J$3:$J$136,D7,'Detailed Measures'!$X$3:$X$136)</f>
        <v>11209.75313600285</v>
      </c>
      <c r="F7" s="79">
        <f>SUMIF('Detailed Measures'!$J$3:$J$136,D7,'Detailed Measures'!$Y$3:$Y$136)</f>
        <v>577876.97400429263</v>
      </c>
      <c r="G7" s="80">
        <f t="shared" si="0"/>
        <v>0.272554993303388</v>
      </c>
      <c r="I7" s="75" t="str">
        <f>Lists!C7</f>
        <v>Electrical</v>
      </c>
      <c r="J7" s="76">
        <f>SUMIF('Detailed Measures'!$D$3:$D$136,I7,'Detailed Measures'!$X$3:$X$136)</f>
        <v>1795.7881968414144</v>
      </c>
      <c r="K7" s="76">
        <f>SUMIF('Detailed Measures'!$D$3:$D$136,I7,'Detailed Measures'!$Y$3:$Y$136)</f>
        <v>20350.664480945132</v>
      </c>
      <c r="L7" s="77">
        <f t="shared" si="1"/>
        <v>9.6001643975811065E-3</v>
      </c>
      <c r="S7" s="50"/>
    </row>
    <row r="8" spans="1:54" ht="17" thickBot="1">
      <c r="A8" s="18" t="s">
        <v>314</v>
      </c>
      <c r="B8" s="119">
        <f>B7/Inputs!D15</f>
        <v>0.21202215633637025</v>
      </c>
      <c r="C8" s="50"/>
      <c r="D8" s="78" t="s">
        <v>92</v>
      </c>
      <c r="E8" s="79">
        <f>SUMIF('Detailed Measures'!$J$3:$J$136,D8,'Detailed Measures'!$X$3:$X$136)</f>
        <v>26303.452625515507</v>
      </c>
      <c r="F8" s="79">
        <f>SUMIF('Detailed Measures'!$J$3:$J$136,D8,'Detailed Measures'!$Y$3:$Y$136)</f>
        <v>318732.31506020401</v>
      </c>
      <c r="G8" s="80">
        <f t="shared" si="0"/>
        <v>0.15032972051965154</v>
      </c>
      <c r="I8" s="75" t="str">
        <f>Lists!C8</f>
        <v>Mechanical</v>
      </c>
      <c r="J8" s="76">
        <f>SUMIF('Detailed Measures'!$D$3:$D$136,I8,'Detailed Measures'!$X$3:$X$136)</f>
        <v>5316.9973202425244</v>
      </c>
      <c r="K8" s="76">
        <f>SUMIF('Detailed Measures'!$D$3:$D$136,I8,'Detailed Measures'!$Y$3:$Y$136)</f>
        <v>53304.223337941614</v>
      </c>
      <c r="L8" s="77">
        <f t="shared" si="1"/>
        <v>2.514558222945323E-2</v>
      </c>
      <c r="S8" s="50"/>
    </row>
    <row r="9" spans="1:54" ht="17" thickBot="1">
      <c r="A9" s="18" t="s">
        <v>436</v>
      </c>
      <c r="B9" s="124">
        <f>B7/NPV(Inputs!D6,'Detailed Measures'!AA138:BM138)</f>
        <v>1.3451288367696502E-2</v>
      </c>
      <c r="C9" s="50"/>
      <c r="D9" s="78" t="s">
        <v>89</v>
      </c>
      <c r="E9" s="79">
        <f>SUMIF('Detailed Measures'!$J$3:$J$136,D9,'Detailed Measures'!$X$3:$X$136)</f>
        <v>152.40949440887096</v>
      </c>
      <c r="F9" s="79">
        <f>SUMIF('Detailed Measures'!$J$3:$J$136,D9,'Detailed Measures'!$Y$3:$Y$136)</f>
        <v>1530.5846447642909</v>
      </c>
      <c r="G9" s="80">
        <f t="shared" si="0"/>
        <v>7.2189844269673388E-4</v>
      </c>
      <c r="I9" s="75" t="str">
        <f>Lists!C9</f>
        <v>Inverter</v>
      </c>
      <c r="J9" s="76">
        <f>SUMIF('Detailed Measures'!$D$3:$D$136,I9,'Detailed Measures'!$X$3:$X$136)</f>
        <v>30636.998553985639</v>
      </c>
      <c r="K9" s="76">
        <f>SUMIF('Detailed Measures'!$D$3:$D$136,I9,'Detailed Measures'!$Y$3:$Y$136)</f>
        <v>277163.56928521337</v>
      </c>
      <c r="L9" s="77">
        <f t="shared" si="1"/>
        <v>0.13074835136954874</v>
      </c>
      <c r="S9" s="50"/>
    </row>
    <row r="10" spans="1:54" ht="17" thickBot="1">
      <c r="A10" s="50"/>
      <c r="B10" s="125"/>
      <c r="C10" s="50"/>
      <c r="D10" s="78" t="s">
        <v>87</v>
      </c>
      <c r="E10" s="79">
        <f>SUMIF('Detailed Measures'!$J$3:$J$136,D10,'Detailed Measures'!$X$3:$X$136)</f>
        <v>4790.3475868955484</v>
      </c>
      <c r="F10" s="79">
        <f>SUMIF('Detailed Measures'!$J$3:$J$136,D10,'Detailed Measures'!$Y$3:$Y$136)</f>
        <v>53383.211554867456</v>
      </c>
      <c r="G10" s="80">
        <f t="shared" si="0"/>
        <v>2.517812877545483E-2</v>
      </c>
      <c r="I10" s="75" t="str">
        <f>Lists!C10</f>
        <v>Meter</v>
      </c>
      <c r="J10" s="76">
        <f>SUMIF('Detailed Measures'!$D$3:$D$136,I10,'Detailed Measures'!$X$3:$X$136)</f>
        <v>17.809583655132741</v>
      </c>
      <c r="K10" s="76">
        <f>SUMIF('Detailed Measures'!$D$3:$D$136,I10,'Detailed Measures'!$Y$3:$Y$136)</f>
        <v>204.56695315860742</v>
      </c>
      <c r="L10" s="77">
        <f t="shared" si="1"/>
        <v>9.6501830811162668E-5</v>
      </c>
      <c r="S10" s="50"/>
    </row>
    <row r="11" spans="1:54" ht="17" thickBot="1">
      <c r="A11" s="50"/>
      <c r="B11" s="50"/>
      <c r="C11" s="50"/>
      <c r="D11" s="78" t="s">
        <v>86</v>
      </c>
      <c r="E11" s="79">
        <f>SUMIF('Detailed Measures'!$J$3:$J$136,D11,'Detailed Measures'!$X$3:$X$136)</f>
        <v>2207.3312920317808</v>
      </c>
      <c r="F11" s="79">
        <f>SUMIF('Detailed Measures'!$J$3:$J$136,D11,'Detailed Measures'!$Y$3:$Y$136)</f>
        <v>54081.58639414396</v>
      </c>
      <c r="G11" s="80">
        <f t="shared" si="0"/>
        <v>2.5507516444811681E-2</v>
      </c>
      <c r="I11" s="75" t="str">
        <f>Lists!C11</f>
        <v>Monitoring</v>
      </c>
      <c r="J11" s="76">
        <f>SUMIF('Detailed Measures'!$D$3:$D$136,I11,'Detailed Measures'!$X$3:$X$136)</f>
        <v>3.4091348132233392</v>
      </c>
      <c r="K11" s="76">
        <f>SUMIF('Detailed Measures'!$D$3:$D$136,I11,'Detailed Measures'!$Y$3:$Y$136)</f>
        <v>17.619704377824377</v>
      </c>
      <c r="L11" s="77">
        <f t="shared" si="1"/>
        <v>8.311869070529619E-6</v>
      </c>
      <c r="S11" s="50"/>
    </row>
    <row r="12" spans="1:54" ht="17" thickBot="1">
      <c r="A12" s="50"/>
      <c r="B12" s="50"/>
      <c r="C12" s="50"/>
      <c r="D12" s="78" t="s">
        <v>82</v>
      </c>
      <c r="E12" s="79">
        <f>SUMIF('Detailed Measures'!$J$3:$J$136,D12,'Detailed Measures'!$X$3:$X$136)</f>
        <v>0</v>
      </c>
      <c r="F12" s="79">
        <f>SUMIF('Detailed Measures'!$J$3:$J$136,D12,'Detailed Measures'!$Y$3:$Y$136)</f>
        <v>0</v>
      </c>
      <c r="G12" s="80">
        <f t="shared" si="0"/>
        <v>0</v>
      </c>
      <c r="I12" s="75" t="str">
        <f>Lists!C12</f>
        <v>Roof</v>
      </c>
      <c r="J12" s="76">
        <f>SUMIF('Detailed Measures'!$D$3:$D$136,I12,'Detailed Measures'!$X$3:$X$136)</f>
        <v>0</v>
      </c>
      <c r="K12" s="76">
        <f>SUMIF('Detailed Measures'!$D$3:$D$136,I12,'Detailed Measures'!$Y$3:$Y$136)</f>
        <v>0</v>
      </c>
      <c r="L12" s="77">
        <f t="shared" si="1"/>
        <v>0</v>
      </c>
      <c r="S12" s="50"/>
    </row>
    <row r="13" spans="1:54" ht="17" thickBot="1">
      <c r="A13" s="50"/>
      <c r="B13" s="50"/>
      <c r="C13" s="50"/>
      <c r="D13" s="78" t="s">
        <v>83</v>
      </c>
      <c r="E13" s="79">
        <f>SUMIF('Detailed Measures'!$J$3:$J$136,D13,'Detailed Measures'!$X$3:$X$136)</f>
        <v>1613.7532598268349</v>
      </c>
      <c r="F13" s="79">
        <f>SUMIF('Detailed Measures'!$J$3:$J$136,D13,'Detailed Measures'!$Y$3:$Y$136)</f>
        <v>18536.120434090284</v>
      </c>
      <c r="G13" s="80">
        <f t="shared" si="0"/>
        <v>8.7425393432387262E-3</v>
      </c>
      <c r="I13" s="75" t="str">
        <f>Lists!C13</f>
        <v>Rack</v>
      </c>
      <c r="J13" s="76">
        <f>SUMIF('Detailed Measures'!$D$3:$D$136,I13,'Detailed Measures'!$X$3:$X$136)</f>
        <v>105.7133538381384</v>
      </c>
      <c r="K13" s="76">
        <f>SUMIF('Detailed Measures'!$D$3:$D$136,I13,'Detailed Measures'!$Y$3:$Y$136)</f>
        <v>1220.7684558940448</v>
      </c>
      <c r="L13" s="77">
        <f t="shared" si="1"/>
        <v>5.7588182827825705E-4</v>
      </c>
      <c r="S13" s="50"/>
      <c r="W13" s="7"/>
    </row>
    <row r="14" spans="1:54" ht="17" thickBot="1">
      <c r="A14" s="50"/>
      <c r="B14" s="50"/>
      <c r="C14" s="50"/>
      <c r="D14" s="78" t="s">
        <v>84</v>
      </c>
      <c r="E14" s="79">
        <f>SUMIF('Detailed Measures'!$J$3:$J$136,D14,'Detailed Measures'!$X$3:$X$136)</f>
        <v>0</v>
      </c>
      <c r="F14" s="79">
        <f>SUMIF('Detailed Measures'!$J$3:$J$136,D14,'Detailed Measures'!$Y$3:$Y$136)</f>
        <v>0</v>
      </c>
      <c r="G14" s="80">
        <f t="shared" si="0"/>
        <v>0</v>
      </c>
      <c r="I14" s="75" t="str">
        <f>Lists!C14</f>
        <v>PV Module</v>
      </c>
      <c r="J14" s="76">
        <f>SUMIF('Detailed Measures'!$D$3:$D$136,I14,'Detailed Measures'!$X$3:$X$136)</f>
        <v>56090.653847293856</v>
      </c>
      <c r="K14" s="76">
        <f>SUMIF('Detailed Measures'!$D$3:$D$136,I14,'Detailed Measures'!$Y$3:$Y$136)</f>
        <v>1105116.0864452731</v>
      </c>
      <c r="L14" s="77">
        <f t="shared" si="1"/>
        <v>0.52132430949465269</v>
      </c>
      <c r="S14" s="50"/>
      <c r="W14" s="7"/>
    </row>
    <row r="15" spans="1:54" ht="17" thickBot="1">
      <c r="A15" s="50"/>
      <c r="B15" s="50"/>
      <c r="C15" s="50"/>
      <c r="D15" s="78" t="s">
        <v>85</v>
      </c>
      <c r="E15" s="79">
        <f>SUMIF('Detailed Measures'!$J$3:$J$136,D15,'Detailed Measures'!$X$3:$X$136)</f>
        <v>5.9545299147294477</v>
      </c>
      <c r="F15" s="79">
        <f>SUMIF('Detailed Measures'!$J$3:$J$136,D15,'Detailed Measures'!$Y$3:$Y$136)</f>
        <v>69.390864619805214</v>
      </c>
      <c r="G15" s="80">
        <f t="shared" si="0"/>
        <v>3.2728119465834302E-5</v>
      </c>
      <c r="I15" s="75" t="str">
        <f>Lists!C15</f>
        <v>Tracker</v>
      </c>
      <c r="J15" s="76">
        <f>SUMIF('Detailed Measures'!$D$3:$D$136,I15,'Detailed Measures'!$X$3:$X$136)</f>
        <v>7547.53990841001</v>
      </c>
      <c r="K15" s="76">
        <f>SUMIF('Detailed Measures'!$D$3:$D$136,I15,'Detailed Measures'!$Y$3:$Y$136)</f>
        <v>86693.618043196402</v>
      </c>
      <c r="L15" s="77">
        <f t="shared" si="1"/>
        <v>4.0896600020852804E-2</v>
      </c>
      <c r="S15" s="50"/>
      <c r="W15" s="7"/>
    </row>
    <row r="16" spans="1:54" ht="17" thickBot="1">
      <c r="A16" s="50"/>
      <c r="B16" s="50"/>
      <c r="C16" s="50"/>
      <c r="D16" s="78" t="s">
        <v>247</v>
      </c>
      <c r="E16" s="79">
        <f>SUMIF('Detailed Measures'!$J$3:$J$136,D16,'Detailed Measures'!$X$3:$X$136)</f>
        <v>15573.664374549833</v>
      </c>
      <c r="F16" s="79">
        <f>SUMIF('Detailed Measures'!$J$3:$J$136,D16,'Detailed Measures'!$Y$3:$Y$136)</f>
        <v>178884.42157367576</v>
      </c>
      <c r="G16" s="80">
        <f t="shared" si="0"/>
        <v>8.4370626478243199E-2</v>
      </c>
      <c r="I16" s="75" t="str">
        <f>Lists!C16</f>
        <v>Transformer</v>
      </c>
      <c r="J16" s="76">
        <f>SUMIF('Detailed Measures'!$D$3:$D$136,I16,'Detailed Measures'!$X$3:$X$136)</f>
        <v>4395.4969397936347</v>
      </c>
      <c r="K16" s="76">
        <f>SUMIF('Detailed Measures'!$D$3:$D$136,I16,'Detailed Measures'!$Y$3:$Y$136)</f>
        <v>49377.431697293643</v>
      </c>
      <c r="L16" s="77">
        <f t="shared" si="1"/>
        <v>2.3293168744843662E-2</v>
      </c>
      <c r="S16" s="50"/>
      <c r="W16" s="7"/>
    </row>
    <row r="17" spans="1:23" ht="17" thickBot="1">
      <c r="A17" s="50"/>
      <c r="B17" s="50"/>
      <c r="C17" s="50"/>
      <c r="D17" s="81" t="s">
        <v>93</v>
      </c>
      <c r="E17" s="82">
        <f>SUMIF('Detailed Measures'!$J$3:$J$136,D17,'Detailed Measures'!$X$3:$X$136)</f>
        <v>4.36500237534979</v>
      </c>
      <c r="F17" s="82">
        <f>SUMIF('Detailed Measures'!$J$3:$J$136,D17,'Detailed Measures'!$Y$3:$Y$136)</f>
        <v>44.497299376899633</v>
      </c>
      <c r="G17" s="83">
        <f t="shared" si="0"/>
        <v>2.0987098775802131E-5</v>
      </c>
      <c r="I17" s="75" t="str">
        <f>Lists!C17</f>
        <v>Whole System</v>
      </c>
      <c r="J17" s="76">
        <f>SUMIF('Detailed Measures'!$D$3:$D$136,I17,'Detailed Measures'!$X$3:$X$136)</f>
        <v>35.453296616871903</v>
      </c>
      <c r="K17" s="76">
        <f>SUMIF('Detailed Measures'!$D$3:$D$136,I17,'Detailed Measures'!$Y$3:$Y$136)</f>
        <v>396.98139375554189</v>
      </c>
      <c r="L17" s="77">
        <f t="shared" si="1"/>
        <v>1.8727087002011659E-4</v>
      </c>
      <c r="M17" s="50"/>
      <c r="O17" s="50"/>
      <c r="P17" s="50"/>
      <c r="Q17" s="50"/>
      <c r="R17" s="50"/>
      <c r="S17" s="50"/>
      <c r="W17" s="7"/>
    </row>
    <row r="18" spans="1:23" ht="17" thickBot="1">
      <c r="A18" s="50"/>
      <c r="B18" s="50"/>
      <c r="C18" s="50"/>
      <c r="D18" s="84" t="s">
        <v>307</v>
      </c>
      <c r="E18" s="85">
        <f>SUM(E3:E17)</f>
        <v>148619.77147294296</v>
      </c>
      <c r="F18" s="85">
        <f>SUM(F3:F17)</f>
        <v>2120221.563363702</v>
      </c>
      <c r="G18" s="86">
        <f>SUM(G3:G17)</f>
        <v>1.0000000000000002</v>
      </c>
      <c r="I18" s="71" t="s">
        <v>307</v>
      </c>
      <c r="J18" s="85">
        <f>SUM(J3:J16)</f>
        <v>148584.31817632608</v>
      </c>
      <c r="K18" s="72">
        <f>SUM(K3:K16)</f>
        <v>2119824.5819699466</v>
      </c>
      <c r="L18" s="73">
        <f>SUM(L3:L16)</f>
        <v>1</v>
      </c>
      <c r="M18" s="50"/>
      <c r="N18" s="50"/>
      <c r="O18" s="50"/>
      <c r="P18" s="50"/>
      <c r="Q18" s="50"/>
      <c r="R18" s="50"/>
      <c r="S18" s="50"/>
      <c r="W18" s="7"/>
    </row>
    <row r="19" spans="1:23">
      <c r="A19" s="50"/>
      <c r="B19" s="50"/>
      <c r="C19" s="50"/>
      <c r="D19" s="50"/>
      <c r="E19" s="50"/>
      <c r="F19" s="50"/>
      <c r="G19" s="50"/>
      <c r="M19" s="50"/>
      <c r="N19" s="50"/>
      <c r="O19" s="50"/>
      <c r="P19" s="50"/>
      <c r="Q19" s="50"/>
      <c r="R19" s="50"/>
      <c r="S19" s="50"/>
      <c r="W19" s="7"/>
    </row>
    <row r="20" spans="1:23">
      <c r="A20" s="50"/>
      <c r="B20" s="50"/>
      <c r="C20" s="50"/>
      <c r="D20" s="50"/>
      <c r="E20" s="50"/>
      <c r="F20" s="50"/>
      <c r="G20" s="50"/>
      <c r="H20" s="50"/>
      <c r="K20" s="50"/>
      <c r="L20" s="50"/>
      <c r="M20" s="50"/>
      <c r="N20" s="50"/>
      <c r="O20" s="50"/>
      <c r="P20" s="50"/>
      <c r="Q20" s="50"/>
      <c r="R20" s="50"/>
      <c r="S20" s="50"/>
      <c r="W20" s="7"/>
    </row>
    <row r="21" spans="1:23">
      <c r="A21" s="50"/>
      <c r="B21" s="50"/>
      <c r="C21" s="50"/>
      <c r="D21" s="50"/>
      <c r="E21" s="50"/>
      <c r="F21" s="50"/>
      <c r="G21" s="50"/>
      <c r="H21" s="50"/>
      <c r="K21" s="50"/>
      <c r="L21" s="50"/>
      <c r="M21" s="50"/>
      <c r="N21" s="50"/>
      <c r="O21" s="50"/>
      <c r="P21" s="50"/>
      <c r="Q21" s="50"/>
      <c r="R21" s="50"/>
      <c r="S21" s="50"/>
      <c r="W21" s="7"/>
    </row>
    <row r="22" spans="1:23">
      <c r="A22" s="50"/>
      <c r="B22" s="50"/>
      <c r="C22" s="50"/>
      <c r="D22" s="50"/>
      <c r="E22" s="50"/>
      <c r="F22" s="50"/>
      <c r="G22" s="50"/>
      <c r="H22" s="50"/>
      <c r="I22" s="50"/>
      <c r="J22" s="50"/>
      <c r="K22" s="50"/>
      <c r="L22" s="50"/>
      <c r="M22" s="50"/>
      <c r="N22" s="50"/>
      <c r="O22" s="50"/>
      <c r="P22" s="50"/>
      <c r="Q22" s="50"/>
      <c r="R22" s="50"/>
      <c r="S22" s="50"/>
      <c r="W22" s="7"/>
    </row>
    <row r="23" spans="1:23">
      <c r="A23" s="50"/>
      <c r="B23" s="50"/>
      <c r="C23" s="50"/>
      <c r="H23" s="50"/>
      <c r="I23" s="50"/>
      <c r="J23" s="50"/>
      <c r="K23" s="50"/>
      <c r="L23" s="50"/>
      <c r="M23" s="50"/>
      <c r="N23" s="50"/>
      <c r="O23" s="50"/>
      <c r="P23" s="50"/>
      <c r="Q23" s="50"/>
      <c r="R23" s="50"/>
      <c r="S23" s="50"/>
      <c r="W23" s="7"/>
    </row>
    <row r="24" spans="1:23">
      <c r="C24" s="50"/>
      <c r="I24" s="50"/>
      <c r="J24" s="50"/>
      <c r="K24" s="50"/>
      <c r="L24" s="50"/>
    </row>
    <row r="25" spans="1:23">
      <c r="I25" s="50"/>
      <c r="J25" s="50"/>
      <c r="K25" s="50"/>
      <c r="L25" s="50"/>
    </row>
  </sheetData>
  <mergeCells count="2">
    <mergeCell ref="I1:L1"/>
    <mergeCell ref="D1:G1"/>
  </mergeCells>
  <conditionalFormatting sqref="L2">
    <cfRule type="dataBar" priority="12">
      <dataBar>
        <cfvo type="min"/>
        <cfvo type="max"/>
        <color rgb="FFFFB628"/>
      </dataBar>
      <extLst>
        <ext xmlns:x14="http://schemas.microsoft.com/office/spreadsheetml/2009/9/main" uri="{B025F937-C7B1-47D3-B67F-A62EFF666E3E}">
          <x14:id>{E1ED8ED0-873C-4210-891D-40959A3AE409}</x14:id>
        </ext>
      </extLst>
    </cfRule>
  </conditionalFormatting>
  <conditionalFormatting sqref="G3:G17">
    <cfRule type="dataBar" priority="97">
      <dataBar>
        <cfvo type="min"/>
        <cfvo type="max"/>
        <color rgb="FFFFB628"/>
      </dataBar>
      <extLst>
        <ext xmlns:x14="http://schemas.microsoft.com/office/spreadsheetml/2009/9/main" uri="{B025F937-C7B1-47D3-B67F-A62EFF666E3E}">
          <x14:id>{C3432985-F8C9-4C05-869C-204D3D3EE4A1}</x14:id>
        </ext>
      </extLst>
    </cfRule>
  </conditionalFormatting>
  <conditionalFormatting sqref="L3:L17">
    <cfRule type="dataBar" priority="98">
      <dataBar>
        <cfvo type="min"/>
        <cfvo type="max"/>
        <color rgb="FFFFB628"/>
      </dataBar>
      <extLst>
        <ext xmlns:x14="http://schemas.microsoft.com/office/spreadsheetml/2009/9/main" uri="{B025F937-C7B1-47D3-B67F-A62EFF666E3E}">
          <x14:id>{4156A368-A677-40A4-84EC-09DE43D0FA90}</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E1ED8ED0-873C-4210-891D-40959A3AE409}">
            <x14:dataBar minLength="0" maxLength="100" gradient="0">
              <x14:cfvo type="autoMin"/>
              <x14:cfvo type="autoMax"/>
              <x14:negativeFillColor rgb="FFFF0000"/>
              <x14:axisColor rgb="FF000000"/>
            </x14:dataBar>
          </x14:cfRule>
          <xm:sqref>L2</xm:sqref>
        </x14:conditionalFormatting>
        <x14:conditionalFormatting xmlns:xm="http://schemas.microsoft.com/office/excel/2006/main">
          <x14:cfRule type="dataBar" id="{C3432985-F8C9-4C05-869C-204D3D3EE4A1}">
            <x14:dataBar minLength="0" maxLength="100" gradient="0">
              <x14:cfvo type="autoMin"/>
              <x14:cfvo type="autoMax"/>
              <x14:negativeFillColor rgb="FFFF0000"/>
              <x14:axisColor rgb="FF000000"/>
            </x14:dataBar>
          </x14:cfRule>
          <xm:sqref>G3:G17</xm:sqref>
        </x14:conditionalFormatting>
        <x14:conditionalFormatting xmlns:xm="http://schemas.microsoft.com/office/excel/2006/main">
          <x14:cfRule type="dataBar" id="{4156A368-A677-40A4-84EC-09DE43D0FA90}">
            <x14:dataBar minLength="0" maxLength="100" gradient="0">
              <x14:cfvo type="autoMin"/>
              <x14:cfvo type="autoMax"/>
              <x14:negativeFillColor rgb="FFFF0000"/>
              <x14:axisColor rgb="FF000000"/>
            </x14:dataBar>
          </x14:cfRule>
          <xm:sqref>L3:L17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D140"/>
  <sheetViews>
    <sheetView showGridLines="0" zoomScale="90" zoomScaleNormal="90" zoomScalePageLayoutView="90" workbookViewId="0">
      <selection activeCell="D73" sqref="D73"/>
    </sheetView>
  </sheetViews>
  <sheetFormatPr baseColWidth="10" defaultColWidth="11.5" defaultRowHeight="15"/>
  <cols>
    <col min="1" max="1" width="43.5" customWidth="1"/>
    <col min="2" max="3" width="14.6640625" customWidth="1"/>
    <col min="4" max="4" width="12.6640625" customWidth="1"/>
    <col min="5" max="5" width="19.5" customWidth="1"/>
    <col min="6" max="6" width="14" customWidth="1"/>
    <col min="7" max="7" width="14.5" customWidth="1"/>
    <col min="8" max="8" width="17.6640625" customWidth="1"/>
    <col min="9" max="9" width="9.5" customWidth="1"/>
    <col min="10" max="10" width="19" customWidth="1"/>
    <col min="11" max="11" width="13.1640625" customWidth="1"/>
    <col min="12" max="12" width="13.5" customWidth="1"/>
    <col min="13" max="13" width="19" customWidth="1"/>
    <col min="14" max="14" width="12.5" customWidth="1"/>
    <col min="15" max="15" width="11.5" customWidth="1"/>
    <col min="16" max="17" width="20.5" customWidth="1"/>
    <col min="18" max="18" width="11.5" customWidth="1"/>
    <col min="19" max="19" width="14.5" customWidth="1"/>
    <col min="20" max="20" width="15.6640625" customWidth="1"/>
    <col min="21" max="21" width="12.5" customWidth="1"/>
    <col min="22" max="24" width="11.5" customWidth="1"/>
    <col min="25" max="25" width="13.1640625" customWidth="1"/>
    <col min="26" max="26" width="10.1640625" customWidth="1"/>
    <col min="27" max="27" width="12.5" bestFit="1" customWidth="1"/>
    <col min="28" max="28" width="9" customWidth="1"/>
    <col min="29" max="29" width="10.33203125" customWidth="1"/>
    <col min="30" max="30" width="10.5" customWidth="1"/>
    <col min="31" max="31" width="9.5" customWidth="1"/>
    <col min="32" max="32" width="9" customWidth="1"/>
    <col min="33" max="33" width="9.5" customWidth="1"/>
    <col min="34" max="34" width="9" customWidth="1"/>
    <col min="35" max="35" width="9.1640625" customWidth="1"/>
    <col min="36" max="36" width="8.83203125" customWidth="1"/>
    <col min="37" max="39" width="10.1640625" customWidth="1"/>
    <col min="40" max="40" width="9" customWidth="1"/>
    <col min="41" max="41" width="9.1640625" customWidth="1"/>
    <col min="42" max="42" width="9" customWidth="1"/>
    <col min="43" max="43" width="8.83203125" customWidth="1"/>
    <col min="44" max="44" width="9.83203125" customWidth="1"/>
    <col min="45" max="45" width="9.1640625" customWidth="1"/>
    <col min="46" max="46" width="10.5" customWidth="1"/>
    <col min="47" max="47" width="8.83203125" customWidth="1"/>
    <col min="48" max="48" width="11.5" customWidth="1"/>
    <col min="49" max="49" width="10.1640625" customWidth="1"/>
    <col min="50" max="50" width="9" customWidth="1"/>
    <col min="51" max="51" width="10.1640625" customWidth="1"/>
    <col min="52" max="52" width="11" customWidth="1"/>
    <col min="53" max="64" width="8" customWidth="1"/>
    <col min="65" max="68" width="11.5" customWidth="1"/>
  </cols>
  <sheetData>
    <row r="1" spans="1:108" s="1" customFormat="1" ht="19">
      <c r="A1" s="68" t="s">
        <v>297</v>
      </c>
      <c r="B1" s="69"/>
      <c r="C1" s="69"/>
      <c r="D1" s="69"/>
      <c r="E1" s="69"/>
      <c r="F1" s="69"/>
      <c r="G1" s="69"/>
      <c r="H1" s="69"/>
      <c r="I1" s="69"/>
      <c r="J1" s="69"/>
      <c r="K1" s="69"/>
      <c r="L1" s="69"/>
      <c r="M1" s="69"/>
      <c r="N1" s="69"/>
      <c r="O1" s="69"/>
      <c r="P1" s="69"/>
      <c r="Q1" s="69"/>
      <c r="R1" s="69"/>
      <c r="S1" s="69"/>
      <c r="T1" s="69"/>
      <c r="U1" s="69"/>
      <c r="V1" s="69"/>
      <c r="W1" s="69"/>
      <c r="X1" s="69"/>
      <c r="Y1" s="70" t="s">
        <v>303</v>
      </c>
      <c r="Z1" s="62"/>
      <c r="AA1" s="70" t="s">
        <v>303</v>
      </c>
      <c r="AB1" s="62"/>
      <c r="AC1" s="62"/>
      <c r="AD1" s="62"/>
      <c r="AE1" s="62"/>
      <c r="AF1" s="62"/>
      <c r="AG1" s="62"/>
      <c r="AH1" s="62"/>
      <c r="AI1" s="62"/>
      <c r="AJ1" s="62"/>
      <c r="AK1" s="62"/>
      <c r="AL1" s="62"/>
      <c r="AM1" s="62"/>
      <c r="AN1" s="62"/>
      <c r="AO1" s="62"/>
      <c r="AP1" s="62"/>
      <c r="AQ1" s="62"/>
      <c r="AR1" s="62"/>
      <c r="AS1" s="62"/>
      <c r="AT1" s="62"/>
      <c r="AU1" s="62"/>
      <c r="AV1" s="62"/>
      <c r="AW1" s="62"/>
      <c r="AX1" s="62"/>
      <c r="AY1" s="62"/>
      <c r="AZ1" s="62"/>
      <c r="BA1" s="62"/>
      <c r="BB1" s="62"/>
      <c r="BC1" s="62"/>
      <c r="BD1" s="62"/>
      <c r="BE1" s="62"/>
      <c r="BF1" s="62"/>
      <c r="BG1" s="62"/>
      <c r="BH1" s="62"/>
      <c r="BI1" s="62"/>
      <c r="BJ1" s="62"/>
      <c r="BK1" s="62"/>
      <c r="BL1" s="62"/>
      <c r="BO1" s="70" t="s">
        <v>453</v>
      </c>
      <c r="BP1" s="62"/>
      <c r="BQ1" s="70" t="s">
        <v>453</v>
      </c>
      <c r="BR1" s="62"/>
      <c r="BS1" s="62"/>
      <c r="BT1" s="62"/>
      <c r="BU1" s="62"/>
      <c r="BV1" s="62"/>
      <c r="BW1" s="62"/>
      <c r="BX1" s="62"/>
      <c r="BY1" s="62"/>
      <c r="BZ1" s="62"/>
      <c r="CA1" s="62"/>
      <c r="CB1" s="62"/>
      <c r="CC1" s="62"/>
      <c r="CD1" s="62"/>
      <c r="CE1" s="62"/>
      <c r="CF1" s="62"/>
      <c r="CG1" s="62"/>
      <c r="CH1" s="62"/>
      <c r="CI1" s="62"/>
      <c r="CJ1" s="62"/>
      <c r="CK1" s="62"/>
      <c r="CL1" s="62"/>
      <c r="CM1" s="62"/>
      <c r="CN1" s="62"/>
      <c r="CO1" s="62"/>
      <c r="CP1" s="62"/>
      <c r="CQ1" s="62"/>
      <c r="CR1" s="62"/>
      <c r="CS1" s="62"/>
      <c r="CT1" s="62"/>
      <c r="CU1" s="62"/>
      <c r="CV1" s="62"/>
      <c r="CW1" s="62"/>
      <c r="CX1" s="62"/>
      <c r="CY1" s="62"/>
      <c r="CZ1" s="62"/>
      <c r="DA1" s="62"/>
      <c r="DB1" s="62"/>
    </row>
    <row r="2" spans="1:108" s="1" customFormat="1" ht="64">
      <c r="A2" s="56" t="s">
        <v>467</v>
      </c>
      <c r="B2" s="52" t="s">
        <v>468</v>
      </c>
      <c r="C2" s="52" t="s">
        <v>469</v>
      </c>
      <c r="D2" s="52" t="s">
        <v>461</v>
      </c>
      <c r="E2" s="52" t="s">
        <v>447</v>
      </c>
      <c r="F2" s="52" t="s">
        <v>356</v>
      </c>
      <c r="G2" s="52" t="s">
        <v>448</v>
      </c>
      <c r="H2" s="52" t="s">
        <v>359</v>
      </c>
      <c r="I2" s="52" t="s">
        <v>29</v>
      </c>
      <c r="J2" s="52" t="s">
        <v>459</v>
      </c>
      <c r="K2" s="52" t="s">
        <v>6</v>
      </c>
      <c r="L2" s="10" t="s">
        <v>228</v>
      </c>
      <c r="M2" s="11" t="s">
        <v>229</v>
      </c>
      <c r="N2" s="11" t="s">
        <v>235</v>
      </c>
      <c r="O2" s="11" t="s">
        <v>300</v>
      </c>
      <c r="P2" s="11" t="s">
        <v>45</v>
      </c>
      <c r="Q2" s="11" t="s">
        <v>427</v>
      </c>
      <c r="R2" s="11" t="s">
        <v>301</v>
      </c>
      <c r="S2" s="12" t="s">
        <v>46</v>
      </c>
      <c r="T2" s="12" t="s">
        <v>230</v>
      </c>
      <c r="U2" s="12" t="s">
        <v>252</v>
      </c>
      <c r="V2" s="11" t="s">
        <v>54</v>
      </c>
      <c r="W2" s="11" t="s">
        <v>224</v>
      </c>
      <c r="X2" s="63" t="s">
        <v>305</v>
      </c>
      <c r="Y2" s="63" t="s">
        <v>302</v>
      </c>
      <c r="Z2" s="63" t="s">
        <v>308</v>
      </c>
      <c r="AA2" s="87">
        <v>1</v>
      </c>
      <c r="AB2" s="87">
        <v>2</v>
      </c>
      <c r="AC2" s="87">
        <v>3</v>
      </c>
      <c r="AD2" s="87">
        <v>4</v>
      </c>
      <c r="AE2" s="87">
        <v>5</v>
      </c>
      <c r="AF2" s="87">
        <v>6</v>
      </c>
      <c r="AG2" s="87">
        <v>7</v>
      </c>
      <c r="AH2" s="87">
        <v>8</v>
      </c>
      <c r="AI2" s="87">
        <v>9</v>
      </c>
      <c r="AJ2" s="87">
        <v>10</v>
      </c>
      <c r="AK2" s="87">
        <v>11</v>
      </c>
      <c r="AL2" s="87">
        <v>12</v>
      </c>
      <c r="AM2" s="87">
        <v>13</v>
      </c>
      <c r="AN2" s="87">
        <v>14</v>
      </c>
      <c r="AO2" s="87">
        <v>15</v>
      </c>
      <c r="AP2" s="87">
        <v>16</v>
      </c>
      <c r="AQ2" s="87">
        <v>17</v>
      </c>
      <c r="AR2" s="87">
        <v>18</v>
      </c>
      <c r="AS2" s="87">
        <v>19</v>
      </c>
      <c r="AT2" s="87">
        <v>20</v>
      </c>
      <c r="AU2" s="87">
        <v>21</v>
      </c>
      <c r="AV2" s="87">
        <v>22</v>
      </c>
      <c r="AW2" s="87">
        <v>23</v>
      </c>
      <c r="AX2" s="87">
        <v>24</v>
      </c>
      <c r="AY2" s="87">
        <v>25</v>
      </c>
      <c r="AZ2" s="87">
        <v>26</v>
      </c>
      <c r="BA2" s="87">
        <v>27</v>
      </c>
      <c r="BB2" s="87">
        <v>28</v>
      </c>
      <c r="BC2" s="87">
        <v>29</v>
      </c>
      <c r="BD2" s="87">
        <v>30</v>
      </c>
      <c r="BE2" s="87">
        <v>31</v>
      </c>
      <c r="BF2" s="87">
        <v>32</v>
      </c>
      <c r="BG2" s="87">
        <v>33</v>
      </c>
      <c r="BH2" s="87">
        <v>34</v>
      </c>
      <c r="BI2" s="87">
        <v>35</v>
      </c>
      <c r="BJ2" s="87">
        <v>36</v>
      </c>
      <c r="BK2" s="87">
        <v>37</v>
      </c>
      <c r="BL2" s="87">
        <v>38</v>
      </c>
      <c r="BM2" s="87">
        <v>39</v>
      </c>
      <c r="BN2" s="87">
        <v>40</v>
      </c>
      <c r="BO2" s="63" t="s">
        <v>302</v>
      </c>
      <c r="BP2" s="63" t="s">
        <v>308</v>
      </c>
      <c r="BQ2" s="87">
        <v>1</v>
      </c>
      <c r="BR2" s="87">
        <v>2</v>
      </c>
      <c r="BS2" s="87">
        <v>3</v>
      </c>
      <c r="BT2" s="87">
        <v>4</v>
      </c>
      <c r="BU2" s="87">
        <v>5</v>
      </c>
      <c r="BV2" s="87">
        <v>6</v>
      </c>
      <c r="BW2" s="87">
        <v>7</v>
      </c>
      <c r="BX2" s="87">
        <v>8</v>
      </c>
      <c r="BY2" s="87">
        <v>9</v>
      </c>
      <c r="BZ2" s="87">
        <v>10</v>
      </c>
      <c r="CA2" s="87">
        <v>11</v>
      </c>
      <c r="CB2" s="87">
        <v>12</v>
      </c>
      <c r="CC2" s="87">
        <v>13</v>
      </c>
      <c r="CD2" s="87">
        <v>14</v>
      </c>
      <c r="CE2" s="87">
        <v>15</v>
      </c>
      <c r="CF2" s="87">
        <v>16</v>
      </c>
      <c r="CG2" s="87">
        <v>17</v>
      </c>
      <c r="CH2" s="87">
        <v>18</v>
      </c>
      <c r="CI2" s="87">
        <v>19</v>
      </c>
      <c r="CJ2" s="87">
        <v>20</v>
      </c>
      <c r="CK2" s="87">
        <v>21</v>
      </c>
      <c r="CL2" s="87">
        <v>22</v>
      </c>
      <c r="CM2" s="87">
        <v>23</v>
      </c>
      <c r="CN2" s="87">
        <v>24</v>
      </c>
      <c r="CO2" s="87">
        <v>25</v>
      </c>
      <c r="CP2" s="87">
        <v>26</v>
      </c>
      <c r="CQ2" s="87">
        <v>27</v>
      </c>
      <c r="CR2" s="87">
        <v>28</v>
      </c>
      <c r="CS2" s="87">
        <v>29</v>
      </c>
      <c r="CT2" s="87">
        <v>30</v>
      </c>
      <c r="CU2" s="87">
        <v>31</v>
      </c>
      <c r="CV2" s="87">
        <v>32</v>
      </c>
      <c r="CW2" s="87">
        <v>33</v>
      </c>
      <c r="CX2" s="87">
        <v>34</v>
      </c>
      <c r="CY2" s="87">
        <v>35</v>
      </c>
      <c r="CZ2" s="87">
        <v>36</v>
      </c>
      <c r="DA2" s="87">
        <v>37</v>
      </c>
      <c r="DB2" s="87">
        <v>38</v>
      </c>
      <c r="DC2" s="87">
        <v>39</v>
      </c>
      <c r="DD2" s="87">
        <v>40</v>
      </c>
    </row>
    <row r="3" spans="1:108" s="1" customFormat="1" ht="33" customHeight="1">
      <c r="A3" s="57" t="s">
        <v>438</v>
      </c>
      <c r="B3" s="13" t="s">
        <v>129</v>
      </c>
      <c r="C3" s="13" t="s">
        <v>471</v>
      </c>
      <c r="D3" s="13" t="s">
        <v>166</v>
      </c>
      <c r="E3" s="48">
        <v>1</v>
      </c>
      <c r="F3" s="48">
        <v>0</v>
      </c>
      <c r="G3" s="48">
        <v>0</v>
      </c>
      <c r="H3" s="105" t="s">
        <v>350</v>
      </c>
      <c r="I3" s="14" t="s">
        <v>439</v>
      </c>
      <c r="J3" s="14" t="s">
        <v>248</v>
      </c>
      <c r="K3" s="13">
        <f>VLOOKUP(J3,'Labor Rates'!$A$1:$F$16,2)</f>
        <v>22.995576923076925</v>
      </c>
      <c r="L3" s="15">
        <v>1</v>
      </c>
      <c r="M3" s="15">
        <v>1</v>
      </c>
      <c r="N3" s="128" t="s">
        <v>236</v>
      </c>
      <c r="O3" s="61">
        <v>1</v>
      </c>
      <c r="P3" s="15">
        <v>0</v>
      </c>
      <c r="Q3" s="15">
        <f t="shared" ref="Q3:Q34" si="0">O3*P3/L3</f>
        <v>0</v>
      </c>
      <c r="R3" s="4">
        <f>0.001*Inputs!D17</f>
        <v>3000</v>
      </c>
      <c r="S3" s="53">
        <f t="shared" ref="S3:S34" si="1">P3*O3*K3</f>
        <v>0</v>
      </c>
      <c r="T3" s="53">
        <f t="shared" ref="T3:T34" si="2">R3*O3</f>
        <v>3000</v>
      </c>
      <c r="U3" s="54">
        <f t="shared" ref="U3:U34" si="3">E3*(T3+S3)</f>
        <v>3000</v>
      </c>
      <c r="V3" s="65" t="s">
        <v>440</v>
      </c>
      <c r="W3" s="58" t="s">
        <v>446</v>
      </c>
      <c r="X3" s="64">
        <f t="shared" ref="X3:X34" si="4">AVERAGE(AA3:AT3)</f>
        <v>3717.4975792344108</v>
      </c>
      <c r="Y3" s="64">
        <f>NPV(Inputs!$D$6,AA3:BN3)</f>
        <v>42700.4453267672</v>
      </c>
      <c r="Z3" s="67">
        <f t="shared" ref="Z3:Z34" si="5">Y3/SUM($Y$3:$Y$136)</f>
        <v>2.0139614682072909E-2</v>
      </c>
      <c r="AA3" s="88">
        <f>$E3*IF(AA$2&gt;Inputs!$D$5,0,IF(AA$2&gt;VLOOKUP($H3,Lists!$P$3:$Q$7,2),IF($N3=Lists!$K$3,IF($L3&lt;1,(($U3/$L3)*((1+Inputs!$D$7)^AA$2)),((INT(AA$2/$L3)-INT((AA$2-1)/$L3))*$U3*((1+Inputs!$D$7)^AA$2))),(_xlfn.WEIBULL.DIST(AA$2,$M3,$L3,FALSE)*$U3*((1+Inputs!$D$7)^AA$2))),IF($N3=Lists!$K$3,IF($L3&lt;1,((($T3*(1-$F3)+$S3*(1-$G3))/$L3)*((1+Inputs!$D$7)^AA$2)),((INT(AA$2/$L3)-INT((AA$2-1)/$L3))*($T3*(1-$F3)+$S3*(1-$G3))*((1+Inputs!$D$7)^AA$2))),((_xlfn.WEIBULL.DIST(AA$2,$M3,$L3,FALSE)*($T3*(1-$F3)+$S3*(1-$G3))*((1+Inputs!$D$7)^AA$2))))))</f>
        <v>3060</v>
      </c>
      <c r="AB3" s="88">
        <f>$E3*IF(AB$2&gt;Inputs!$D$5,0,IF(AB$2&gt;VLOOKUP($H3,Lists!$P$3:$Q$7,2),IF($N3=Lists!$K$3,IF($L3&lt;1,(($U3/$L3)*((1+Inputs!$D$7)^AB$2)),((INT(AB$2/$L3)-INT((AB$2-1)/$L3))*$U3*((1+Inputs!$D$7)^AB$2))),(_xlfn.WEIBULL.DIST(AB$2,$M3,$L3,FALSE)*$U3*((1+Inputs!$D$7)^AB$2))),IF($N3=Lists!$K$3,IF($L3&lt;1,((($T3*(1-$F3)+$S3*(1-$G3))/$L3)*((1+Inputs!$D$7)^AB$2)),((INT(AB$2/$L3)-INT((AB$2-1)/$L3))*($T3*(1-$F3)+$S3*(1-$G3))*((1+Inputs!$D$7)^AB$2))),((_xlfn.WEIBULL.DIST(AB$2,$M3,$L3,FALSE)*($T3*(1-$F3)+$S3*(1-$G3))*((1+Inputs!$D$7)^AB$2))))))</f>
        <v>3121.2</v>
      </c>
      <c r="AC3" s="88">
        <f>$E3*IF(AC$2&gt;Inputs!$D$5,0,IF(AC$2&gt;VLOOKUP($H3,Lists!$P$3:$Q$7,2),IF($N3=Lists!$K$3,IF($L3&lt;1,(($U3/$L3)*((1+Inputs!$D$7)^AC$2)),((INT(AC$2/$L3)-INT((AC$2-1)/$L3))*$U3*((1+Inputs!$D$7)^AC$2))),(_xlfn.WEIBULL.DIST(AC$2,$M3,$L3,FALSE)*$U3*((1+Inputs!$D$7)^AC$2))),IF($N3=Lists!$K$3,IF($L3&lt;1,((($T3*(1-$F3)+$S3*(1-$G3))/$L3)*((1+Inputs!$D$7)^AC$2)),((INT(AC$2/$L3)-INT((AC$2-1)/$L3))*($T3*(1-$F3)+$S3*(1-$G3))*((1+Inputs!$D$7)^AC$2))),((_xlfn.WEIBULL.DIST(AC$2,$M3,$L3,FALSE)*($T3*(1-$F3)+$S3*(1-$G3))*((1+Inputs!$D$7)^AC$2))))))</f>
        <v>3183.6239999999998</v>
      </c>
      <c r="AD3" s="88">
        <f>$E3*IF(AD$2&gt;Inputs!$D$5,0,IF(AD$2&gt;VLOOKUP($H3,Lists!$P$3:$Q$7,2),IF($N3=Lists!$K$3,IF($L3&lt;1,(($U3/$L3)*((1+Inputs!$D$7)^AD$2)),((INT(AD$2/$L3)-INT((AD$2-1)/$L3))*$U3*((1+Inputs!$D$7)^AD$2))),Inputs!$D$85^((1-_xlfn.WEIBULL.DIST(AD$2,$M3,$L3,FALSE))/_xlfn.WEIBULL.DIST(AD$2,$M3,$L3,FALSE)*$U3*((1+Inputs!$D$7)^AD$2))),IF($N3=Lists!$K$3,IF($L3&lt;1,((($T3*(1-$F3)+$S3*(1-$G3))/$L3)*((1+Inputs!$D$7)^AD$2)),((INT(AD$2/$L3)-INT((AD$2-1)/$L3))*($T3*(1-$F3)+$S3*(1-$G3))*((1+Inputs!$D$7)^AD$2))),((Inputs!$D$85^((1-_xlfn.WEIBULL.DIST(AD$2,$M3,$L3,FALSE))/_xlfn.WEIBULL.DIST(AD$2,$M3,$L3,FALSE)*($T3*(1-$F3)+$S3*(1-$G3))*((1+Inputs!$D$7)^AD$2)))))))</f>
        <v>3247.29648</v>
      </c>
      <c r="AE3" s="88">
        <f>$E3*IF(AE$2&gt;Inputs!$D$5,0,IF(AE$2&gt;VLOOKUP($H3,Lists!$P$3:$Q$7,2),IF($N3=Lists!$K$3,IF($L3&lt;1,(($U3/$L3)*((1+Inputs!$D$7)^AE$2)),((INT(AE$2/$L3)-INT((AE$2-1)/$L3))*$U3*((1+Inputs!$D$7)^AE$2))),(_xlfn.WEIBULL.DIST(AE$2,$M3,$L3,FALSE)*$U3*((1+Inputs!$D$7)^AE$2))),IF($N3=Lists!$K$3,IF($L3&lt;1,((($T3*(1-$F3)+$S3*(1-$G3))/$L3)*((1+Inputs!$D$7)^AE$2)),((INT(AE$2/$L3)-INT((AE$2-1)/$L3))*($T3*(1-$F3)+$S3*(1-$G3))*((1+Inputs!$D$7)^AE$2))),((_xlfn.WEIBULL.DIST(AE$2,$M3,$L3,FALSE)*($T3*(1-$F3)+$S3*(1-$G3))*((1+Inputs!$D$7)^AE$2))))))</f>
        <v>3312.2424096</v>
      </c>
      <c r="AF3" s="88">
        <f>$E3*IF(AF$2&gt;Inputs!$D$5,0,IF(AF$2&gt;VLOOKUP($H3,Lists!$P$3:$Q$7,2),IF($N3=Lists!$K$3,IF($L3&lt;1,(($U3/$L3)*((1+Inputs!$D$7)^AF$2)),((INT(AF$2/$L3)-INT((AF$2-1)/$L3))*$U3*((1+Inputs!$D$7)^AF$2))),(_xlfn.WEIBULL.DIST(AF$2,$M3,$L3,FALSE)*$U3*((1+Inputs!$D$7)^AF$2))),IF($N3=Lists!$K$3,IF($L3&lt;1,((($T3*(1-$F3)+$S3*(1-$G3))/$L3)*((1+Inputs!$D$7)^AF$2)),((INT(AF$2/$L3)-INT((AF$2-1)/$L3))*($T3*(1-$F3)+$S3*(1-$G3))*((1+Inputs!$D$7)^AF$2))),((_xlfn.WEIBULL.DIST(AF$2,$M3,$L3,FALSE)*($T3*(1-$F3)+$S3*(1-$G3))*((1+Inputs!$D$7)^AF$2))))))</f>
        <v>3378.487257792</v>
      </c>
      <c r="AG3" s="88">
        <f>$E3*IF(AG$2&gt;Inputs!$D$5,0,IF(AG$2&gt;VLOOKUP($H3,Lists!$P$3:$Q$7,2),IF($N3=Lists!$K$3,IF($L3&lt;1,(($U3/$L3)*((1+Inputs!$D$7)^AG$2)),((INT(AG$2/$L3)-INT((AG$2-1)/$L3))*$U3*((1+Inputs!$D$7)^AG$2))),(_xlfn.WEIBULL.DIST(AG$2,$M3,$L3,FALSE)*$U3*((1+Inputs!$D$7)^AG$2))),IF($N3=Lists!$K$3,IF($L3&lt;1,((($T3*(1-$F3)+$S3*(1-$G3))/$L3)*((1+Inputs!$D$7)^AG$2)),((INT(AG$2/$L3)-INT((AG$2-1)/$L3))*($T3*(1-$F3)+$S3*(1-$G3))*((1+Inputs!$D$7)^AG$2))),((_xlfn.WEIBULL.DIST(AG$2,$M3,$L3,FALSE)*($T3*(1-$F3)+$S3*(1-$G3))*((1+Inputs!$D$7)^AG$2))))))</f>
        <v>3446.0570029478395</v>
      </c>
      <c r="AH3" s="88">
        <f>$E3*IF(AH$2&gt;Inputs!$D$5,0,IF(AH$2&gt;VLOOKUP($H3,Lists!$P$3:$Q$7,2),IF($N3=Lists!$K$3,IF($L3&lt;1,(($U3/$L3)*((1+Inputs!$D$7)^AH$2)),((INT(AH$2/$L3)-INT((AH$2-1)/$L3))*$U3*((1+Inputs!$D$7)^AH$2))),(_xlfn.WEIBULL.DIST(AH$2,$M3,$L3,FALSE)*$U3*((1+Inputs!$D$7)^AH$2))),IF($N3=Lists!$K$3,IF($L3&lt;1,((($T3*(1-$F3)+$S3*(1-$G3))/$L3)*((1+Inputs!$D$7)^AH$2)),((INT(AH$2/$L3)-INT((AH$2-1)/$L3))*($T3*(1-$F3)+$S3*(1-$G3))*((1+Inputs!$D$7)^AH$2))),((_xlfn.WEIBULL.DIST(AH$2,$M3,$L3,FALSE)*($T3*(1-$F3)+$S3*(1-$G3))*((1+Inputs!$D$7)^AH$2))))))</f>
        <v>3514.9781430067965</v>
      </c>
      <c r="AI3" s="88">
        <f>$E3*IF(AI$2&gt;Inputs!$D$5,0,IF(AI$2&gt;VLOOKUP($H3,Lists!$P$3:$Q$7,2),IF($N3=Lists!$K$3,IF($L3&lt;1,(($U3/$L3)*((1+Inputs!$D$7)^AI$2)),((INT(AI$2/$L3)-INT((AI$2-1)/$L3))*$U3*((1+Inputs!$D$7)^AI$2))),(_xlfn.WEIBULL.DIST(AI$2,$M3,$L3,FALSE)*$U3*((1+Inputs!$D$7)^AI$2))),IF($N3=Lists!$K$3,IF($L3&lt;1,((($T3*(1-$F3)+$S3*(1-$G3))/$L3)*((1+Inputs!$D$7)^AI$2)),((INT(AI$2/$L3)-INT((AI$2-1)/$L3))*($T3*(1-$F3)+$S3*(1-$G3))*((1+Inputs!$D$7)^AI$2))),((_xlfn.WEIBULL.DIST(AI$2,$M3,$L3,FALSE)*($T3*(1-$F3)+$S3*(1-$G3))*((1+Inputs!$D$7)^AI$2))))))</f>
        <v>3585.2777058669326</v>
      </c>
      <c r="AJ3" s="88">
        <f>$E3*IF(AJ$2&gt;Inputs!$D$5,0,IF(AJ$2&gt;VLOOKUP($H3,Lists!$P$3:$Q$7,2),IF($N3=Lists!$K$3,IF($L3&lt;1,(($U3/$L3)*((1+Inputs!$D$7)^AJ$2)),((INT(AJ$2/$L3)-INT((AJ$2-1)/$L3))*$U3*((1+Inputs!$D$7)^AJ$2))),(_xlfn.WEIBULL.DIST(AJ$2,$M3,$L3,FALSE)*$U3*((1+Inputs!$D$7)^AJ$2))),IF($N3=Lists!$K$3,IF($L3&lt;1,((($T3*(1-$F3)+$S3*(1-$G3))/$L3)*((1+Inputs!$D$7)^AJ$2)),((INT(AJ$2/$L3)-INT((AJ$2-1)/$L3))*($T3*(1-$F3)+$S3*(1-$G3))*((1+Inputs!$D$7)^AJ$2))),((_xlfn.WEIBULL.DIST(AJ$2,$M3,$L3,FALSE)*($T3*(1-$F3)+$S3*(1-$G3))*((1+Inputs!$D$7)^AJ$2))))))</f>
        <v>3656.9832599842712</v>
      </c>
      <c r="AK3" s="88">
        <f>$E3*IF(AK$2&gt;Inputs!$D$5,0,IF(AK$2&gt;VLOOKUP($H3,Lists!$P$3:$Q$7,2),IF($N3=Lists!$K$3,IF($L3&lt;1,(($U3/$L3)*((1+Inputs!$D$7)^AK$2)),((INT(AK$2/$L3)-INT((AK$2-1)/$L3))*$U3*((1+Inputs!$D$7)^AK$2))),(_xlfn.WEIBULL.DIST(AK$2,$M3,$L3,FALSE)*$U3*((1+Inputs!$D$7)^AK$2))),IF($N3=Lists!$K$3,IF($L3&lt;1,((($T3*(1-$F3)+$S3*(1-$G3))/$L3)*((1+Inputs!$D$7)^AK$2)),((INT(AK$2/$L3)-INT((AK$2-1)/$L3))*($T3*(1-$F3)+$S3*(1-$G3))*((1+Inputs!$D$7)^AK$2))),((_xlfn.WEIBULL.DIST(AK$2,$M3,$L3,FALSE)*($T3*(1-$F3)+$S3*(1-$G3))*((1+Inputs!$D$7)^AK$2))))))</f>
        <v>3730.1229251839559</v>
      </c>
      <c r="AL3" s="88">
        <f>$E3*IF(AL$2&gt;Inputs!$D$5,0,IF(AL$2&gt;VLOOKUP($H3,Lists!$P$3:$Q$7,2),IF($N3=Lists!$K$3,IF($L3&lt;1,(($U3/$L3)*((1+Inputs!$D$7)^AL$2)),((INT(AL$2/$L3)-INT((AL$2-1)/$L3))*$U3*((1+Inputs!$D$7)^AL$2))),(_xlfn.WEIBULL.DIST(AL$2,$M3,$L3,FALSE)*$U3*((1+Inputs!$D$7)^AL$2))),IF($N3=Lists!$K$3,IF($L3&lt;1,((($T3*(1-$F3)+$S3*(1-$G3))/$L3)*((1+Inputs!$D$7)^AL$2)),((INT(AL$2/$L3)-INT((AL$2-1)/$L3))*($T3*(1-$F3)+$S3*(1-$G3))*((1+Inputs!$D$7)^AL$2))),((_xlfn.WEIBULL.DIST(AL$2,$M3,$L3,FALSE)*($T3*(1-$F3)+$S3*(1-$G3))*((1+Inputs!$D$7)^AL$2))))))</f>
        <v>3804.7253836876357</v>
      </c>
      <c r="AM3" s="88">
        <f>$E3*IF(AM$2&gt;Inputs!$D$5,0,IF(AM$2&gt;VLOOKUP($H3,Lists!$P$3:$Q$7,2),IF($N3=Lists!$K$3,IF($L3&lt;1,(($U3/$L3)*((1+Inputs!$D$7)^AM$2)),((INT(AM$2/$L3)-INT((AM$2-1)/$L3))*$U3*((1+Inputs!$D$7)^AM$2))),(_xlfn.WEIBULL.DIST(AM$2,$M3,$L3,FALSE)*$U3*((1+Inputs!$D$7)^AM$2))),IF($N3=Lists!$K$3,IF($L3&lt;1,((($T3*(1-$F3)+$S3*(1-$G3))/$L3)*((1+Inputs!$D$7)^AM$2)),((INT(AM$2/$L3)-INT((AM$2-1)/$L3))*($T3*(1-$F3)+$S3*(1-$G3))*((1+Inputs!$D$7)^AM$2))),((_xlfn.WEIBULL.DIST(AM$2,$M3,$L3,FALSE)*($T3*(1-$F3)+$S3*(1-$G3))*((1+Inputs!$D$7)^AM$2))))))</f>
        <v>3880.8198913613883</v>
      </c>
      <c r="AN3" s="88">
        <f>$E3*IF(AN$2&gt;Inputs!$D$5,0,IF(AN$2&gt;VLOOKUP($H3,Lists!$P$3:$Q$7,2),IF($N3=Lists!$K$3,IF($L3&lt;1,(($U3/$L3)*((1+Inputs!$D$7)^AN$2)),((INT(AN$2/$L3)-INT((AN$2-1)/$L3))*$U3*((1+Inputs!$D$7)^AN$2))),(_xlfn.WEIBULL.DIST(AN$2,$M3,$L3,FALSE)*$U3*((1+Inputs!$D$7)^AN$2))),IF($N3=Lists!$K$3,IF($L3&lt;1,((($T3*(1-$F3)+$S3*(1-$G3))/$L3)*((1+Inputs!$D$7)^AN$2)),((INT(AN$2/$L3)-INT((AN$2-1)/$L3))*($T3*(1-$F3)+$S3*(1-$G3))*((1+Inputs!$D$7)^AN$2))),((_xlfn.WEIBULL.DIST(AN$2,$M3,$L3,FALSE)*($T3*(1-$F3)+$S3*(1-$G3))*((1+Inputs!$D$7)^AN$2))))))</f>
        <v>3958.4362891886162</v>
      </c>
      <c r="AO3" s="88">
        <f>$E3*IF(AO$2&gt;Inputs!$D$5,0,IF(AO$2&gt;VLOOKUP($H3,Lists!$P$3:$Q$7,2),IF($N3=Lists!$K$3,IF($L3&lt;1,(($U3/$L3)*((1+Inputs!$D$7)^AO$2)),((INT(AO$2/$L3)-INT((AO$2-1)/$L3))*$U3*((1+Inputs!$D$7)^AO$2))),(_xlfn.WEIBULL.DIST(AO$2,$M3,$L3,FALSE)*$U3*((1+Inputs!$D$7)^AO$2))),IF($N3=Lists!$K$3,IF($L3&lt;1,((($T3*(1-$F3)+$S3*(1-$G3))/$L3)*((1+Inputs!$D$7)^AO$2)),((INT(AO$2/$L3)-INT((AO$2-1)/$L3))*($T3*(1-$F3)+$S3*(1-$G3))*((1+Inputs!$D$7)^AO$2))),((_xlfn.WEIBULL.DIST(AO$2,$M3,$L3,FALSE)*($T3*(1-$F3)+$S3*(1-$G3))*((1+Inputs!$D$7)^AO$2))))))</f>
        <v>4037.6050149723878</v>
      </c>
      <c r="AP3" s="88">
        <f>$E3*IF(AP$2&gt;Inputs!$D$5,0,IF(AP$2&gt;VLOOKUP($H3,Lists!$P$3:$Q$7,2),IF($N3=Lists!$K$3,IF($L3&lt;1,(($U3/$L3)*((1+Inputs!$D$7)^AP$2)),((INT(AP$2/$L3)-INT((AP$2-1)/$L3))*$U3*((1+Inputs!$D$7)^AP$2))),(_xlfn.WEIBULL.DIST(AP$2,$M3,$L3,FALSE)*$U3*((1+Inputs!$D$7)^AP$2))),IF($N3=Lists!$K$3,IF($L3&lt;1,((($T3*(1-$F3)+$S3*(1-$G3))/$L3)*((1+Inputs!$D$7)^AP$2)),((INT(AP$2/$L3)-INT((AP$2-1)/$L3))*($T3*(1-$F3)+$S3*(1-$G3))*((1+Inputs!$D$7)^AP$2))),((_xlfn.WEIBULL.DIST(AP$2,$M3,$L3,FALSE)*($T3*(1-$F3)+$S3*(1-$G3))*((1+Inputs!$D$7)^AP$2))))))</f>
        <v>4118.3571152718359</v>
      </c>
      <c r="AQ3" s="88">
        <f>$E3*IF(AQ$2&gt;Inputs!$D$5,0,IF(AQ$2&gt;VLOOKUP($H3,Lists!$P$3:$Q$7,2),IF($N3=Lists!$K$3,IF($L3&lt;1,(($U3/$L3)*((1+Inputs!$D$7)^AQ$2)),((INT(AQ$2/$L3)-INT((AQ$2-1)/$L3))*$U3*((1+Inputs!$D$7)^AQ$2))),(_xlfn.WEIBULL.DIST(AQ$2,$M3,$L3,FALSE)*$U3*((1+Inputs!$D$7)^AQ$2))),IF($N3=Lists!$K$3,IF($L3&lt;1,((($T3*(1-$F3)+$S3*(1-$G3))/$L3)*((1+Inputs!$D$7)^AQ$2)),((INT(AQ$2/$L3)-INT((AQ$2-1)/$L3))*($T3*(1-$F3)+$S3*(1-$G3))*((1+Inputs!$D$7)^AQ$2))),((_xlfn.WEIBULL.DIST(AQ$2,$M3,$L3,FALSE)*($T3*(1-$F3)+$S3*(1-$G3))*((1+Inputs!$D$7)^AQ$2))))))</f>
        <v>4200.7242575772734</v>
      </c>
      <c r="AR3" s="88">
        <f>$E3*IF(AR$2&gt;Inputs!$D$5,0,IF(AR$2&gt;VLOOKUP($H3,Lists!$P$3:$Q$7,2),IF($N3=Lists!$K$3,IF($L3&lt;1,(($U3/$L3)*((1+Inputs!$D$7)^AR$2)),((INT(AR$2/$L3)-INT((AR$2-1)/$L3))*$U3*((1+Inputs!$D$7)^AR$2))),(_xlfn.WEIBULL.DIST(AR$2,$M3,$L3,FALSE)*$U3*((1+Inputs!$D$7)^AR$2))),IF($N3=Lists!$K$3,IF($L3&lt;1,((($T3*(1-$F3)+$S3*(1-$G3))/$L3)*((1+Inputs!$D$7)^AR$2)),((INT(AR$2/$L3)-INT((AR$2-1)/$L3))*($T3*(1-$F3)+$S3*(1-$G3))*((1+Inputs!$D$7)^AR$2))),((_xlfn.WEIBULL.DIST(AR$2,$M3,$L3,FALSE)*($T3*(1-$F3)+$S3*(1-$G3))*((1+Inputs!$D$7)^AR$2))))))</f>
        <v>4284.7387427288186</v>
      </c>
      <c r="AS3" s="88">
        <f>$E3*IF(AS$2&gt;Inputs!$D$5,0,IF(AS$2&gt;VLOOKUP($H3,Lists!$P$3:$Q$7,2),IF($N3=Lists!$K$3,IF($L3&lt;1,(($U3/$L3)*((1+Inputs!$D$7)^AS$2)),((INT(AS$2/$L3)-INT((AS$2-1)/$L3))*$U3*((1+Inputs!$D$7)^AS$2))),(_xlfn.WEIBULL.DIST(AS$2,$M3,$L3,FALSE)*$U3*((1+Inputs!$D$7)^AS$2))),IF($N3=Lists!$K$3,IF($L3&lt;1,((($T3*(1-$F3)+$S3*(1-$G3))/$L3)*((1+Inputs!$D$7)^AS$2)),((INT(AS$2/$L3)-INT((AS$2-1)/$L3))*($T3*(1-$F3)+$S3*(1-$G3))*((1+Inputs!$D$7)^AS$2))),((_xlfn.WEIBULL.DIST(AS$2,$M3,$L3,FALSE)*($T3*(1-$F3)+$S3*(1-$G3))*((1+Inputs!$D$7)^AS$2))))))</f>
        <v>4370.433517583394</v>
      </c>
      <c r="AT3" s="88">
        <f>$E3*IF(AT$2&gt;Inputs!$D$5,0,IF(AT$2&gt;VLOOKUP($H3,Lists!$P$3:$Q$7,2),IF($N3=Lists!$K$3,IF($L3&lt;1,(($U3/$L3)*((1+Inputs!$D$7)^AT$2)),((INT(AT$2/$L3)-INT((AT$2-1)/$L3))*$U3*((1+Inputs!$D$7)^AT$2))),(_xlfn.WEIBULL.DIST(AT$2,$M3,$L3,FALSE)*$U3*((1+Inputs!$D$7)^AT$2))),IF($N3=Lists!$K$3,IF($L3&lt;1,((($T3*(1-$F3)+$S3*(1-$G3))/$L3)*((1+Inputs!$D$7)^AT$2)),((INT(AT$2/$L3)-INT((AT$2-1)/$L3))*($T3*(1-$F3)+$S3*(1-$G3))*((1+Inputs!$D$7)^AT$2))),((_xlfn.WEIBULL.DIST(AT$2,$M3,$L3,FALSE)*($T3*(1-$F3)+$S3*(1-$G3))*((1+Inputs!$D$7)^AT$2))))))</f>
        <v>4457.8421879350626</v>
      </c>
      <c r="AU3" s="88">
        <f>$E3*IF(AU$2&gt;Inputs!$D$5,0,IF(AU$2&gt;VLOOKUP($H3,Lists!$P$3:$Q$7,2),IF($N3=Lists!$K$3,IF($L3&lt;1,(($U3/$L3)*((1+Inputs!$D$7)^AU$2)),((INT(AU$2/$L3)-INT((AU$2-1)/$L3))*$U3*((1+Inputs!$D$7)^AU$2))),(_xlfn.WEIBULL.DIST(AU$2,$M3,$L3,FALSE)*$U3*((1+Inputs!$D$7)^AU$2))),IF($N3=Lists!$K$3,IF($L3&lt;1,((($T3*(1-$F3)+$S3*(1-$G3))/$L3)*((1+Inputs!$D$7)^AU$2)),((INT(AU$2/$L3)-INT((AU$2-1)/$L3))*($T3*(1-$F3)+$S3*(1-$G3))*((1+Inputs!$D$7)^AU$2))),((_xlfn.WEIBULL.DIST(AU$2,$M3,$L3,FALSE)*($T3*(1-$F3)+$S3*(1-$G3))*((1+Inputs!$D$7)^AU$2))))))</f>
        <v>4546.9990316937638</v>
      </c>
      <c r="AV3" s="88">
        <f>$E3*IF(AV$2&gt;Inputs!$D$5,0,IF(AV$2&gt;VLOOKUP($H3,Lists!$P$3:$Q$7,2),IF($N3=Lists!$K$3,IF($L3&lt;1,(($U3/$L3)*((1+Inputs!$D$7)^AV$2)),((INT(AV$2/$L3)-INT((AV$2-1)/$L3))*$U3*((1+Inputs!$D$7)^AV$2))),(_xlfn.WEIBULL.DIST(AV$2,$M3,$L3,FALSE)*$U3*((1+Inputs!$D$7)^AV$2))),IF($N3=Lists!$K$3,IF($L3&lt;1,((($T3*(1-$F3)+$S3*(1-$G3))/$L3)*((1+Inputs!$D$7)^AV$2)),((INT(AV$2/$L3)-INT((AV$2-1)/$L3))*($T3*(1-$F3)+$S3*(1-$G3))*((1+Inputs!$D$7)^AV$2))),((_xlfn.WEIBULL.DIST(AV$2,$M3,$L3,FALSE)*($T3*(1-$F3)+$S3*(1-$G3))*((1+Inputs!$D$7)^AV$2))))))</f>
        <v>4637.9390123276389</v>
      </c>
      <c r="AW3" s="88">
        <f>$E3*IF(AW$2&gt;Inputs!$D$5,0,IF(AW$2&gt;VLOOKUP($H3,Lists!$P$3:$Q$7,2),IF($N3=Lists!$K$3,IF($L3&lt;1,(($U3/$L3)*((1+Inputs!$D$7)^AW$2)),((INT(AW$2/$L3)-INT((AW$2-1)/$L3))*$U3*((1+Inputs!$D$7)^AW$2))),(_xlfn.WEIBULL.DIST(AW$2,$M3,$L3,FALSE)*$U3*((1+Inputs!$D$7)^AW$2))),IF($N3=Lists!$K$3,IF($L3&lt;1,((($T3*(1-$F3)+$S3*(1-$G3))/$L3)*((1+Inputs!$D$7)^AW$2)),((INT(AW$2/$L3)-INT((AW$2-1)/$L3))*($T3*(1-$F3)+$S3*(1-$G3))*((1+Inputs!$D$7)^AW$2))),((_xlfn.WEIBULL.DIST(AW$2,$M3,$L3,FALSE)*($T3*(1-$F3)+$S3*(1-$G3))*((1+Inputs!$D$7)^AW$2))))))</f>
        <v>4730.6977925741912</v>
      </c>
      <c r="AX3" s="88">
        <f>$E3*IF(AX$2&gt;Inputs!$D$5,0,IF(AX$2&gt;VLOOKUP($H3,Lists!$P$3:$Q$7,2),IF($N3=Lists!$K$3,IF($L3&lt;1,(($U3/$L3)*((1+Inputs!$D$7)^AX$2)),((INT(AX$2/$L3)-INT((AX$2-1)/$L3))*$U3*((1+Inputs!$D$7)^AX$2))),(_xlfn.WEIBULL.DIST(AX$2,$M3,$L3,FALSE)*$U3*((1+Inputs!$D$7)^AX$2))),IF($N3=Lists!$K$3,IF($L3&lt;1,((($T3*(1-$F3)+$S3*(1-$G3))/$L3)*((1+Inputs!$D$7)^AX$2)),((INT(AX$2/$L3)-INT((AX$2-1)/$L3))*($T3*(1-$F3)+$S3*(1-$G3))*((1+Inputs!$D$7)^AX$2))),((_xlfn.WEIBULL.DIST(AX$2,$M3,$L3,FALSE)*($T3*(1-$F3)+$S3*(1-$G3))*((1+Inputs!$D$7)^AX$2))))))</f>
        <v>4825.3117484256754</v>
      </c>
      <c r="AY3" s="88">
        <f>$E3*IF(AY$2&gt;Inputs!$D$5,0,IF(AY$2&gt;VLOOKUP($H3,Lists!$P$3:$Q$7,2),IF($N3=Lists!$K$3,IF($L3&lt;1,(($U3/$L3)*((1+Inputs!$D$7)^AY$2)),((INT(AY$2/$L3)-INT((AY$2-1)/$L3))*$U3*((1+Inputs!$D$7)^AY$2))),(_xlfn.WEIBULL.DIST(AY$2,$M3,$L3,FALSE)*$U3*((1+Inputs!$D$7)^AY$2))),IF($N3=Lists!$K$3,IF($L3&lt;1,((($T3*(1-$F3)+$S3*(1-$G3))/$L3)*((1+Inputs!$D$7)^AY$2)),((INT(AY$2/$L3)-INT((AY$2-1)/$L3))*($T3*(1-$F3)+$S3*(1-$G3))*((1+Inputs!$D$7)^AY$2))),((_xlfn.WEIBULL.DIST(AY$2,$M3,$L3,FALSE)*($T3*(1-$F3)+$S3*(1-$G3))*((1+Inputs!$D$7)^AY$2))))))</f>
        <v>4921.8179833941886</v>
      </c>
      <c r="AZ3" s="88">
        <f>$E3*IF(AZ$2&gt;Inputs!$D$5,0,IF(AZ$2&gt;VLOOKUP($H3,Lists!$P$3:$Q$7,2),IF($N3=Lists!$K$3,IF($L3&lt;1,(($U3/$L3)*((1+Inputs!$D$7)^AZ$2)),((INT(AZ$2/$L3)-INT((AZ$2-1)/$L3))*$U3*((1+Inputs!$D$7)^AZ$2))),(_xlfn.WEIBULL.DIST(AZ$2,$M3,$L3,FALSE)*$U3*((1+Inputs!$D$7)^AZ$2))),IF($N3=Lists!$K$3,IF($L3&lt;1,((($T3*(1-$F3)+$S3*(1-$G3))/$L3)*((1+Inputs!$D$7)^AZ$2)),((INT(AZ$2/$L3)-INT((AZ$2-1)/$L3))*($T3*(1-$F3)+$S3*(1-$G3))*((1+Inputs!$D$7)^AZ$2))),((_xlfn.WEIBULL.DIST(AZ$2,$M3,$L3,FALSE)*($T3*(1-$F3)+$S3*(1-$G3))*((1+Inputs!$D$7)^AZ$2))))))</f>
        <v>0</v>
      </c>
      <c r="BA3" s="88">
        <f>$E3*IF(BA$2&gt;Inputs!$D$5,0,IF(BA$2&gt;VLOOKUP($H3,Lists!$P$3:$Q$7,2),IF($N3=Lists!$K$3,IF($L3&lt;1,(($U3/$L3)*((1+Inputs!$D$7)^BA$2)),((INT(BA$2/$L3)-INT((BA$2-1)/$L3))*$U3*((1+Inputs!$D$7)^BA$2))),(_xlfn.WEIBULL.DIST(BA$2,$M3,$L3,FALSE)*$U3*((1+Inputs!$D$7)^BA$2))),IF($N3=Lists!$K$3,IF($L3&lt;1,((($T3*(1-$F3)+$S3*(1-$G3))/$L3)*((1+Inputs!$D$7)^BA$2)),((INT(BA$2/$L3)-INT((BA$2-1)/$L3))*($T3*(1-$F3)+$S3*(1-$G3))*((1+Inputs!$D$7)^BA$2))),((_xlfn.WEIBULL.DIST(BA$2,$M3,$L3,FALSE)*($T3*(1-$F3)+$S3*(1-$G3))*((1+Inputs!$D$7)^BA$2))))))</f>
        <v>0</v>
      </c>
      <c r="BB3" s="88">
        <f>$E3*IF(BB$2&gt;Inputs!$D$5,0,IF(BB$2&gt;VLOOKUP($H3,Lists!$P$3:$Q$7,2),IF($N3=Lists!$K$3,IF($L3&lt;1,(($U3/$L3)*((1+Inputs!$D$7)^BB$2)),((INT(BB$2/$L3)-INT((BB$2-1)/$L3))*$U3*((1+Inputs!$D$7)^BB$2))),(_xlfn.WEIBULL.DIST(BB$2,$M3,$L3,FALSE)*$U3*((1+Inputs!$D$7)^BB$2))),IF($N3=Lists!$K$3,IF($L3&lt;1,((($T3*(1-$F3)+$S3*(1-$G3))/$L3)*((1+Inputs!$D$7)^BB$2)),((INT(BB$2/$L3)-INT((BB$2-1)/$L3))*($T3*(1-$F3)+$S3*(1-$G3))*((1+Inputs!$D$7)^BB$2))),((_xlfn.WEIBULL.DIST(BB$2,$M3,$L3,FALSE)*($T3*(1-$F3)+$S3*(1-$G3))*((1+Inputs!$D$7)^BB$2))))))</f>
        <v>0</v>
      </c>
      <c r="BC3" s="88">
        <f>$E3*IF(BC$2&gt;Inputs!$D$5,0,IF(BC$2&gt;VLOOKUP($H3,Lists!$P$3:$Q$7,2),IF($N3=Lists!$K$3,IF($L3&lt;1,(($U3/$L3)*((1+Inputs!$D$7)^BC$2)),((INT(BC$2/$L3)-INT((BC$2-1)/$L3))*$U3*((1+Inputs!$D$7)^BC$2))),(_xlfn.WEIBULL.DIST(BC$2,$M3,$L3,FALSE)*$U3*((1+Inputs!$D$7)^BC$2))),IF($N3=Lists!$K$3,IF($L3&lt;1,((($T3*(1-$F3)+$S3*(1-$G3))/$L3)*((1+Inputs!$D$7)^BC$2)),((INT(BC$2/$L3)-INT((BC$2-1)/$L3))*($T3*(1-$F3)+$S3*(1-$G3))*((1+Inputs!$D$7)^BC$2))),((_xlfn.WEIBULL.DIST(BC$2,$M3,$L3,FALSE)*($T3*(1-$F3)+$S3*(1-$G3))*((1+Inputs!$D$7)^BC$2))))))</f>
        <v>0</v>
      </c>
      <c r="BD3" s="88">
        <f>$E3*IF(BD$2&gt;Inputs!$D$5,0,IF(BD$2&gt;VLOOKUP($H3,Lists!$P$3:$Q$7,2),IF($N3=Lists!$K$3,IF($L3&lt;1,(($U3/$L3)*((1+Inputs!$D$7)^BD$2)),((INT(BD$2/$L3)-INT((BD$2-1)/$L3))*$U3*((1+Inputs!$D$7)^BD$2))),(_xlfn.WEIBULL.DIST(BD$2,$M3,$L3,FALSE)*$U3*((1+Inputs!$D$7)^BD$2))),IF($N3=Lists!$K$3,IF($L3&lt;1,((($T3*(1-$F3)+$S3*(1-$G3))/$L3)*((1+Inputs!$D$7)^BD$2)),((INT(BD$2/$L3)-INT((BD$2-1)/$L3))*($T3*(1-$F3)+$S3*(1-$G3))*((1+Inputs!$D$7)^BD$2))),((_xlfn.WEIBULL.DIST(BD$2,$M3,$L3,FALSE)*($T3*(1-$F3)+$S3*(1-$G3))*((1+Inputs!$D$7)^BD$2))))))</f>
        <v>0</v>
      </c>
      <c r="BE3" s="88">
        <f>$E3*IF(BE$2&gt;Inputs!$D$5,0,IF(BE$2&gt;VLOOKUP($H3,Lists!$P$3:$Q$7,2),IF($N3=Lists!$K$3,IF($L3&lt;1,(($U3/$L3)*((1+Inputs!$D$7)^BE$2)),((INT(BE$2/$L3)-INT((BE$2-1)/$L3))*$U3*((1+Inputs!$D$7)^BE$2))),(_xlfn.WEIBULL.DIST(BE$2,$M3,$L3,FALSE)*$U3*((1+Inputs!$D$7)^BE$2))),IF($N3=Lists!$K$3,IF($L3&lt;1,((($T3*(1-$F3)+$S3*(1-$G3))/$L3)*((1+Inputs!$D$7)^BE$2)),((INT(BE$2/$L3)-INT((BE$2-1)/$L3))*($T3*(1-$F3)+$S3*(1-$G3))*((1+Inputs!$D$7)^BE$2))),((_xlfn.WEIBULL.DIST(BE$2,$M3,$L3,FALSE)*($T3*(1-$F3)+$S3*(1-$G3))*((1+Inputs!$D$7)^BE$2))))))</f>
        <v>0</v>
      </c>
      <c r="BF3" s="88">
        <f>$E3*IF(BF$2&gt;Inputs!$D$5,0,IF(BF$2&gt;VLOOKUP($H3,Lists!$P$3:$Q$7,2),IF($N3=Lists!$K$3,IF($L3&lt;1,(($U3/$L3)*((1+Inputs!$D$7)^BF$2)),((INT(BF$2/$L3)-INT((BF$2-1)/$L3))*$U3*((1+Inputs!$D$7)^BF$2))),(_xlfn.WEIBULL.DIST(BF$2,$M3,$L3,FALSE)*$U3*((1+Inputs!$D$7)^BF$2))),IF($N3=Lists!$K$3,IF($L3&lt;1,((($T3*(1-$F3)+$S3*(1-$G3))/$L3)*((1+Inputs!$D$7)^BF$2)),((INT(BF$2/$L3)-INT((BF$2-1)/$L3))*($T3*(1-$F3)+$S3*(1-$G3))*((1+Inputs!$D$7)^BF$2))),((_xlfn.WEIBULL.DIST(BF$2,$M3,$L3,FALSE)*($T3*(1-$F3)+$S3*(1-$G3))*((1+Inputs!$D$7)^BF$2))))))</f>
        <v>0</v>
      </c>
      <c r="BG3" s="88">
        <f>$E3*IF(BG$2&gt;Inputs!$D$5,0,IF(BG$2&gt;VLOOKUP($H3,Lists!$P$3:$Q$7,2),IF($N3=Lists!$K$3,IF($L3&lt;1,(($U3/$L3)*((1+Inputs!$D$7)^BG$2)),((INT(BG$2/$L3)-INT((BG$2-1)/$L3))*$U3*((1+Inputs!$D$7)^BG$2))),(_xlfn.WEIBULL.DIST(BG$2,$M3,$L3,FALSE)*$U3*((1+Inputs!$D$7)^BG$2))),IF($N3=Lists!$K$3,IF($L3&lt;1,((($T3*(1-$F3)+$S3*(1-$G3))/$L3)*((1+Inputs!$D$7)^BG$2)),((INT(BG$2/$L3)-INT((BG$2-1)/$L3))*($T3*(1-$F3)+$S3*(1-$G3))*((1+Inputs!$D$7)^BG$2))),((_xlfn.WEIBULL.DIST(BG$2,$M3,$L3,FALSE)*($T3*(1-$F3)+$S3*(1-$G3))*((1+Inputs!$D$7)^BG$2))))))</f>
        <v>0</v>
      </c>
      <c r="BH3" s="88">
        <f>$E3*IF(BH$2&gt;Inputs!$D$5,0,IF(BH$2&gt;VLOOKUP($H3,Lists!$P$3:$Q$7,2),IF($N3=Lists!$K$3,IF($L3&lt;1,(($U3/$L3)*((1+Inputs!$D$7)^BH$2)),((INT(BH$2/$L3)-INT((BH$2-1)/$L3))*$U3*((1+Inputs!$D$7)^BH$2))),(_xlfn.WEIBULL.DIST(BH$2,$M3,$L3,FALSE)*$U3*((1+Inputs!$D$7)^BH$2))),IF($N3=Lists!$K$3,IF($L3&lt;1,((($T3*(1-$F3)+$S3*(1-$G3))/$L3)*((1+Inputs!$D$7)^BH$2)),((INT(BH$2/$L3)-INT((BH$2-1)/$L3))*($T3*(1-$F3)+$S3*(1-$G3))*((1+Inputs!$D$7)^BH$2))),((_xlfn.WEIBULL.DIST(BH$2,$M3,$L3,FALSE)*($T3*(1-$F3)+$S3*(1-$G3))*((1+Inputs!$D$7)^BH$2))))))</f>
        <v>0</v>
      </c>
      <c r="BI3" s="88">
        <f>$E3*IF(BI$2&gt;Inputs!$D$5,0,IF(BI$2&gt;VLOOKUP($H3,Lists!$P$3:$Q$7,2),IF($N3=Lists!$K$3,IF($L3&lt;1,(($U3/$L3)*((1+Inputs!$D$7)^BI$2)),((INT(BI$2/$L3)-INT((BI$2-1)/$L3))*$U3*((1+Inputs!$D$7)^BI$2))),(_xlfn.WEIBULL.DIST(BI$2,$M3,$L3,FALSE)*$U3*((1+Inputs!$D$7)^BI$2))),IF($N3=Lists!$K$3,IF($L3&lt;1,((($T3*(1-$F3)+$S3*(1-$G3))/$L3)*((1+Inputs!$D$7)^BI$2)),((INT(BI$2/$L3)-INT((BI$2-1)/$L3))*($T3*(1-$F3)+$S3*(1-$G3))*((1+Inputs!$D$7)^BI$2))),((_xlfn.WEIBULL.DIST(BI$2,$M3,$L3,FALSE)*($T3*(1-$F3)+$S3*(1-$G3))*((1+Inputs!$D$7)^BI$2))))))</f>
        <v>0</v>
      </c>
      <c r="BJ3" s="88">
        <f>$E3*IF(BJ$2&gt;Inputs!$D$5,0,IF(BJ$2&gt;VLOOKUP($H3,Lists!$P$3:$Q$7,2),IF($N3=Lists!$K$3,IF($L3&lt;1,(($U3/$L3)*((1+Inputs!$D$7)^BJ$2)),((INT(BJ$2/$L3)-INT((BJ$2-1)/$L3))*$U3*((1+Inputs!$D$7)^BJ$2))),(_xlfn.WEIBULL.DIST(BJ$2,$M3,$L3,FALSE)*$U3*((1+Inputs!$D$7)^BJ$2))),IF($N3=Lists!$K$3,IF($L3&lt;1,((($T3*(1-$F3)+$S3*(1-$G3))/$L3)*((1+Inputs!$D$7)^BJ$2)),((INT(BJ$2/$L3)-INT((BJ$2-1)/$L3))*($T3*(1-$F3)+$S3*(1-$G3))*((1+Inputs!$D$7)^BJ$2))),((_xlfn.WEIBULL.DIST(BJ$2,$M3,$L3,FALSE)*($T3*(1-$F3)+$S3*(1-$G3))*((1+Inputs!$D$7)^BJ$2))))))</f>
        <v>0</v>
      </c>
      <c r="BK3" s="88">
        <f>$E3*IF(BK$2&gt;Inputs!$D$5,0,IF(BK$2&gt;VLOOKUP($H3,Lists!$P$3:$Q$7,2),IF($N3=Lists!$K$3,IF($L3&lt;1,(($U3/$L3)*((1+Inputs!$D$7)^BK$2)),((INT(BK$2/$L3)-INT((BK$2-1)/$L3))*$U3*((1+Inputs!$D$7)^BK$2))),(_xlfn.WEIBULL.DIST(BK$2,$M3,$L3,FALSE)*$U3*((1+Inputs!$D$7)^BK$2))),IF($N3=Lists!$K$3,IF($L3&lt;1,((($T3*(1-$F3)+$S3*(1-$G3))/$L3)*((1+Inputs!$D$7)^BK$2)),((INT(BK$2/$L3)-INT((BK$2-1)/$L3))*($T3*(1-$F3)+$S3*(1-$G3))*((1+Inputs!$D$7)^BK$2))),((_xlfn.WEIBULL.DIST(BK$2,$M3,$L3,FALSE)*($T3*(1-$F3)+$S3*(1-$G3))*((1+Inputs!$D$7)^BK$2))))))</f>
        <v>0</v>
      </c>
      <c r="BL3" s="88">
        <f>$E3*IF(BL$2&gt;Inputs!$D$5,0,IF(BL$2&gt;VLOOKUP($H3,Lists!$P$3:$Q$7,2),IF($N3=Lists!$K$3,IF($L3&lt;1,(($U3/$L3)*((1+Inputs!$D$7)^BL$2)),((INT(BL$2/$L3)-INT((BL$2-1)/$L3))*$U3*((1+Inputs!$D$7)^BL$2))),(_xlfn.WEIBULL.DIST(BL$2,$M3,$L3,FALSE)*$U3*((1+Inputs!$D$7)^BL$2))),IF($N3=Lists!$K$3,IF($L3&lt;1,((($T3*(1-$F3)+$S3*(1-$G3))/$L3)*((1+Inputs!$D$7)^BL$2)),((INT(BL$2/$L3)-INT((BL$2-1)/$L3))*($T3*(1-$F3)+$S3*(1-$G3))*((1+Inputs!$D$7)^BL$2))),((_xlfn.WEIBULL.DIST(BL$2,$M3,$L3,FALSE)*($T3*(1-$F3)+$S3*(1-$G3))*((1+Inputs!$D$7)^BL$2))))))</f>
        <v>0</v>
      </c>
      <c r="BM3" s="88">
        <f>$E3*IF(BM$2&gt;Inputs!$D$5,0,IF(BM$2&gt;VLOOKUP($H3,Lists!$P$3:$Q$7,2),IF($N3=Lists!$K$3,IF($L3&lt;1,(($U3/$L3)*((1+Inputs!$D$7)^BM$2)),((INT(BM$2/$L3)-INT((BM$2-1)/$L3))*$U3*((1+Inputs!$D$7)^BM$2))),(_xlfn.WEIBULL.DIST(BM$2,$M3,$L3,FALSE)*$U3*((1+Inputs!$D$7)^BM$2))),IF($N3=Lists!$K$3,IF($L3&lt;1,((($T3*(1-$F3)+$S3*(1-$G3))/$L3)*((1+Inputs!$D$7)^BM$2)),((INT(BM$2/$L3)-INT((BM$2-1)/$L3))*($T3*(1-$F3)+$S3*(1-$G3))*((1+Inputs!$D$7)^BM$2))),((_xlfn.WEIBULL.DIST(BM$2,$M3,$L3,FALSE)*($T3*(1-$F3)+$S3*(1-$G3))*((1+Inputs!$D$7)^BM$2))))))</f>
        <v>0</v>
      </c>
      <c r="BN3" s="88">
        <f>$E3*IF(BN$2&gt;Inputs!$D$5,0,IF(BN$2&gt;VLOOKUP($H3,Lists!$P$3:$Q$7,2),IF($N3=Lists!$K$3,IF($L3&lt;1,(($U3/$L3)*((1+Inputs!$D$7)^BN$2)),((INT(BN$2/$L3)-INT((BN$2-1)/$L3))*$U3*((1+Inputs!$D$7)^BN$2))),(_xlfn.WEIBULL.DIST(BN$2,$M3,$L3,FALSE)*$U3*((1+Inputs!$D$7)^BN$2))),IF($N3=Lists!$K$3,IF($L3&lt;1,((($T3*(1-$F3)+$S3*(1-$G3))/$L3)*((1+Inputs!$D$7)^BN$2)),((INT(BN$2/$L3)-INT((BN$2-1)/$L3))*($T3*(1-$F3)+$S3*(1-$G3))*((1+Inputs!$D$7)^BN$2))),((_xlfn.WEIBULL.DIST(BN$2,$M3,$L3,FALSE)*($T3*(1-$F3)+$S3*(1-$G3))*((1+Inputs!$D$7)^BN$2))))))</f>
        <v>0</v>
      </c>
      <c r="BO3" s="64">
        <f>NPV(Inputs!$D$6,BQ3:DD3)</f>
        <v>42700.4453267672</v>
      </c>
      <c r="BP3" s="67">
        <f t="shared" ref="BP3:BP34" si="6">BO3/SUM($Y$3:$Y$136)</f>
        <v>2.0139614682072909E-2</v>
      </c>
      <c r="BQ3" s="88">
        <f>MAX(AA3,($E3*IF(BQ$2&gt;Inputs!$D$5,0,IF(BQ$2&gt;VLOOKUP($H3,Lists!$P$3:$Q$7,2),IF($N3=Lists!$K$3,IF($L3&lt;1,(($U3/$L3)*((1+Inputs!$D$7)^BQ$2)),((INT(BQ$2/$L3)-INT((BQ$2-1)/$L3))*$U3*((1+Inputs!$D$7)^BQ$2))),(Inputs!$D$8^((1-_xlfn.WEIBULL.DIST(BQ$2,$M3,$L3,FALSE))/_xlfn.WEIBULL.DIST(BQ$2,$M3,$L3,FALSE))*$U3*((1+Inputs!$D$7)^BQ$2))),IF($N3=Lists!$K$3,IF($L3&lt;1,((($T3*(1-$F3)+$S3*(1-$G3))/$L3)*((1+Inputs!$D$7)^BQ$2)),((INT(BQ$2/$L3)-INT((BQ$2-1)/$L3))*($T3*(1-$F3)+$S3*(1-$G3))*((1+Inputs!$D$7)^BQ$2))),((Inputs!$D$8^((1-_xlfn.WEIBULL.DIST(BQ$2,$M3,$L3,FALSE))/_xlfn.WEIBULL.DIST(BQ$2,$M3,$L3,FALSE))*($T3*(1-$F3)+$S3*(1-$G3))*((1+Inputs!$D$7)^BQ$2))))))))</f>
        <v>3060</v>
      </c>
      <c r="BR3" s="88">
        <f>MAX(AB3,($E3*IF(BR$2&gt;Inputs!$D$5,0,IF(BR$2&gt;VLOOKUP($H3,Lists!$P$3:$Q$7,2),IF($N3=Lists!$K$3,IF($L3&lt;1,(($U3/$L3)*((1+Inputs!$D$7)^BR$2)),((INT(BR$2/$L3)-INT((BR$2-1)/$L3))*$U3*((1+Inputs!$D$7)^BR$2))),(Inputs!$D$8^((1-_xlfn.WEIBULL.DIST(BR$2,$M3,$L3,FALSE))/_xlfn.WEIBULL.DIST(BR$2,$M3,$L3,FALSE))*$U3*((1+Inputs!$D$7)^BR$2))),IF($N3=Lists!$K$3,IF($L3&lt;1,((($T3*(1-$F3)+$S3*(1-$G3))/$L3)*((1+Inputs!$D$7)^BR$2)),((INT(BR$2/$L3)-INT((BR$2-1)/$L3))*($T3*(1-$F3)+$S3*(1-$G3))*((1+Inputs!$D$7)^BR$2))),((Inputs!$D$8^((1-_xlfn.WEIBULL.DIST(BR$2,$M3,$L3,FALSE))/_xlfn.WEIBULL.DIST(BR$2,$M3,$L3,FALSE))*($T3*(1-$F3)+$S3*(1-$G3))*((1+Inputs!$D$7)^BR$2))))))))</f>
        <v>3121.2</v>
      </c>
      <c r="BS3" s="88">
        <f>MAX(AC3,($E3*IF(BS$2&gt;Inputs!$D$5,0,IF(BS$2&gt;VLOOKUP($H3,Lists!$P$3:$Q$7,2),IF($N3=Lists!$K$3,IF($L3&lt;1,(($U3/$L3)*((1+Inputs!$D$7)^BS$2)),((INT(BS$2/$L3)-INT((BS$2-1)/$L3))*$U3*((1+Inputs!$D$7)^BS$2))),(Inputs!$D$8^((1-_xlfn.WEIBULL.DIST(BS$2,$M3,$L3,FALSE))/_xlfn.WEIBULL.DIST(BS$2,$M3,$L3,FALSE))*$U3*((1+Inputs!$D$7)^BS$2))),IF($N3=Lists!$K$3,IF($L3&lt;1,((($T3*(1-$F3)+$S3*(1-$G3))/$L3)*((1+Inputs!$D$7)^BS$2)),((INT(BS$2/$L3)-INT((BS$2-1)/$L3))*($T3*(1-$F3)+$S3*(1-$G3))*((1+Inputs!$D$7)^BS$2))),((Inputs!$D$8^((1-_xlfn.WEIBULL.DIST(BS$2,$M3,$L3,FALSE))/_xlfn.WEIBULL.DIST(BS$2,$M3,$L3,FALSE))*($T3*(1-$F3)+$S3*(1-$G3))*((1+Inputs!$D$7)^BS$2))))))))</f>
        <v>3183.6239999999998</v>
      </c>
      <c r="BT3" s="88">
        <f>MAX(AD3,($E3*IF(BT$2&gt;Inputs!$D$5,0,IF(BT$2&gt;VLOOKUP($H3,Lists!$P$3:$Q$7,2),IF($N3=Lists!$K$3,IF($L3&lt;1,(($U3/$L3)*((1+Inputs!$D$7)^BT$2)),((INT(BT$2/$L3)-INT((BT$2-1)/$L3))*$U3*((1+Inputs!$D$7)^BT$2))),(Inputs!$D$8^((1-_xlfn.WEIBULL.DIST(BT$2,$M3,$L3,FALSE))/_xlfn.WEIBULL.DIST(BT$2,$M3,$L3,FALSE))*$U3*((1+Inputs!$D$7)^BT$2))),IF($N3=Lists!$K$3,IF($L3&lt;1,((($T3*(1-$F3)+$S3*(1-$G3))/$L3)*((1+Inputs!$D$7)^BT$2)),((INT(BT$2/$L3)-INT((BT$2-1)/$L3))*($T3*(1-$F3)+$S3*(1-$G3))*((1+Inputs!$D$7)^BT$2))),((Inputs!$D$8^((1-_xlfn.WEIBULL.DIST(BT$2,$M3,$L3,FALSE))/_xlfn.WEIBULL.DIST(BT$2,$M3,$L3,FALSE))*($T3*(1-$F3)+$S3*(1-$G3))*((1+Inputs!$D$7)^BT$2))))))))</f>
        <v>3247.29648</v>
      </c>
      <c r="BU3" s="88">
        <f>MAX(AE3,($E3*IF(BU$2&gt;Inputs!$D$5,0,IF(BU$2&gt;VLOOKUP($H3,Lists!$P$3:$Q$7,2),IF($N3=Lists!$K$3,IF($L3&lt;1,(($U3/$L3)*((1+Inputs!$D$7)^BU$2)),((INT(BU$2/$L3)-INT((BU$2-1)/$L3))*$U3*((1+Inputs!$D$7)^BU$2))),(Inputs!$D$8^((1-_xlfn.WEIBULL.DIST(BU$2,$M3,$L3,FALSE))/_xlfn.WEIBULL.DIST(BU$2,$M3,$L3,FALSE))*$U3*((1+Inputs!$D$7)^BU$2))),IF($N3=Lists!$K$3,IF($L3&lt;1,((($T3*(1-$F3)+$S3*(1-$G3))/$L3)*((1+Inputs!$D$7)^BU$2)),((INT(BU$2/$L3)-INT((BU$2-1)/$L3))*($T3*(1-$F3)+$S3*(1-$G3))*((1+Inputs!$D$7)^BU$2))),((Inputs!$D$8^((1-_xlfn.WEIBULL.DIST(BU$2,$M3,$L3,FALSE))/_xlfn.WEIBULL.DIST(BU$2,$M3,$L3,FALSE))*($T3*(1-$F3)+$S3*(1-$G3))*((1+Inputs!$D$7)^BU$2))))))))</f>
        <v>3312.2424096</v>
      </c>
      <c r="BV3" s="88">
        <f>MAX(AF3,($E3*IF(BV$2&gt;Inputs!$D$5,0,IF(BV$2&gt;VLOOKUP($H3,Lists!$P$3:$Q$7,2),IF($N3=Lists!$K$3,IF($L3&lt;1,(($U3/$L3)*((1+Inputs!$D$7)^BV$2)),((INT(BV$2/$L3)-INT((BV$2-1)/$L3))*$U3*((1+Inputs!$D$7)^BV$2))),(Inputs!$D$8^((1-_xlfn.WEIBULL.DIST(BV$2,$M3,$L3,FALSE))/_xlfn.WEIBULL.DIST(BV$2,$M3,$L3,FALSE))*$U3*((1+Inputs!$D$7)^BV$2))),IF($N3=Lists!$K$3,IF($L3&lt;1,((($T3*(1-$F3)+$S3*(1-$G3))/$L3)*((1+Inputs!$D$7)^BV$2)),((INT(BV$2/$L3)-INT((BV$2-1)/$L3))*($T3*(1-$F3)+$S3*(1-$G3))*((1+Inputs!$D$7)^BV$2))),((Inputs!$D$8^((1-_xlfn.WEIBULL.DIST(BV$2,$M3,$L3,FALSE))/_xlfn.WEIBULL.DIST(BV$2,$M3,$L3,FALSE))*($T3*(1-$F3)+$S3*(1-$G3))*((1+Inputs!$D$7)^BV$2))))))))</f>
        <v>3378.487257792</v>
      </c>
      <c r="BW3" s="88">
        <f>MAX(AG3,($E3*IF(BW$2&gt;Inputs!$D$5,0,IF(BW$2&gt;VLOOKUP($H3,Lists!$P$3:$Q$7,2),IF($N3=Lists!$K$3,IF($L3&lt;1,(($U3/$L3)*((1+Inputs!$D$7)^BW$2)),((INT(BW$2/$L3)-INT((BW$2-1)/$L3))*$U3*((1+Inputs!$D$7)^BW$2))),(Inputs!$D$8^((1-_xlfn.WEIBULL.DIST(BW$2,$M3,$L3,FALSE))/_xlfn.WEIBULL.DIST(BW$2,$M3,$L3,FALSE))*$U3*((1+Inputs!$D$7)^BW$2))),IF($N3=Lists!$K$3,IF($L3&lt;1,((($T3*(1-$F3)+$S3*(1-$G3))/$L3)*((1+Inputs!$D$7)^BW$2)),((INT(BW$2/$L3)-INT((BW$2-1)/$L3))*($T3*(1-$F3)+$S3*(1-$G3))*((1+Inputs!$D$7)^BW$2))),((Inputs!$D$8^((1-_xlfn.WEIBULL.DIST(BW$2,$M3,$L3,FALSE))/_xlfn.WEIBULL.DIST(BW$2,$M3,$L3,FALSE))*($T3*(1-$F3)+$S3*(1-$G3))*((1+Inputs!$D$7)^BW$2))))))))</f>
        <v>3446.0570029478395</v>
      </c>
      <c r="BX3" s="88">
        <f>MAX(AH3,($E3*IF(BX$2&gt;Inputs!$D$5,0,IF(BX$2&gt;VLOOKUP($H3,Lists!$P$3:$Q$7,2),IF($N3=Lists!$K$3,IF($L3&lt;1,(($U3/$L3)*((1+Inputs!$D$7)^BX$2)),((INT(BX$2/$L3)-INT((BX$2-1)/$L3))*$U3*((1+Inputs!$D$7)^BX$2))),(Inputs!$D$8^((1-_xlfn.WEIBULL.DIST(BX$2,$M3,$L3,FALSE))/_xlfn.WEIBULL.DIST(BX$2,$M3,$L3,FALSE))*$U3*((1+Inputs!$D$7)^BX$2))),IF($N3=Lists!$K$3,IF($L3&lt;1,((($T3*(1-$F3)+$S3*(1-$G3))/$L3)*((1+Inputs!$D$7)^BX$2)),((INT(BX$2/$L3)-INT((BX$2-1)/$L3))*($T3*(1-$F3)+$S3*(1-$G3))*((1+Inputs!$D$7)^BX$2))),((Inputs!$D$8^((1-_xlfn.WEIBULL.DIST(BX$2,$M3,$L3,FALSE))/_xlfn.WEIBULL.DIST(BX$2,$M3,$L3,FALSE))*($T3*(1-$F3)+$S3*(1-$G3))*((1+Inputs!$D$7)^BX$2))))))))</f>
        <v>3514.9781430067965</v>
      </c>
      <c r="BY3" s="88">
        <f>MAX(AI3,($E3*IF(BY$2&gt;Inputs!$D$5,0,IF(BY$2&gt;VLOOKUP($H3,Lists!$P$3:$Q$7,2),IF($N3=Lists!$K$3,IF($L3&lt;1,(($U3/$L3)*((1+Inputs!$D$7)^BY$2)),((INT(BY$2/$L3)-INT((BY$2-1)/$L3))*$U3*((1+Inputs!$D$7)^BY$2))),(Inputs!$D$8^((1-_xlfn.WEIBULL.DIST(BY$2,$M3,$L3,FALSE))/_xlfn.WEIBULL.DIST(BY$2,$M3,$L3,FALSE))*$U3*((1+Inputs!$D$7)^BY$2))),IF($N3=Lists!$K$3,IF($L3&lt;1,((($T3*(1-$F3)+$S3*(1-$G3))/$L3)*((1+Inputs!$D$7)^BY$2)),((INT(BY$2/$L3)-INT((BY$2-1)/$L3))*($T3*(1-$F3)+$S3*(1-$G3))*((1+Inputs!$D$7)^BY$2))),((Inputs!$D$8^((1-_xlfn.WEIBULL.DIST(BY$2,$M3,$L3,FALSE))/_xlfn.WEIBULL.DIST(BY$2,$M3,$L3,FALSE))*($T3*(1-$F3)+$S3*(1-$G3))*((1+Inputs!$D$7)^BY$2))))))))</f>
        <v>3585.2777058669326</v>
      </c>
      <c r="BZ3" s="88">
        <f>MAX(AJ3,($E3*IF(BZ$2&gt;Inputs!$D$5,0,IF(BZ$2&gt;VLOOKUP($H3,Lists!$P$3:$Q$7,2),IF($N3=Lists!$K$3,IF($L3&lt;1,(($U3/$L3)*((1+Inputs!$D$7)^BZ$2)),((INT(BZ$2/$L3)-INT((BZ$2-1)/$L3))*$U3*((1+Inputs!$D$7)^BZ$2))),(Inputs!$D$8^((1-_xlfn.WEIBULL.DIST(BZ$2,$M3,$L3,FALSE))/_xlfn.WEIBULL.DIST(BZ$2,$M3,$L3,FALSE))*$U3*((1+Inputs!$D$7)^BZ$2))),IF($N3=Lists!$K$3,IF($L3&lt;1,((($T3*(1-$F3)+$S3*(1-$G3))/$L3)*((1+Inputs!$D$7)^BZ$2)),((INT(BZ$2/$L3)-INT((BZ$2-1)/$L3))*($T3*(1-$F3)+$S3*(1-$G3))*((1+Inputs!$D$7)^BZ$2))),((Inputs!$D$8^((1-_xlfn.WEIBULL.DIST(BZ$2,$M3,$L3,FALSE))/_xlfn.WEIBULL.DIST(BZ$2,$M3,$L3,FALSE))*($T3*(1-$F3)+$S3*(1-$G3))*((1+Inputs!$D$7)^BZ$2))))))))</f>
        <v>3656.9832599842712</v>
      </c>
      <c r="CA3" s="88">
        <f>MAX(AK3,($E3*IF(CA$2&gt;Inputs!$D$5,0,IF(CA$2&gt;VLOOKUP($H3,Lists!$P$3:$Q$7,2),IF($N3=Lists!$K$3,IF($L3&lt;1,(($U3/$L3)*((1+Inputs!$D$7)^CA$2)),((INT(CA$2/$L3)-INT((CA$2-1)/$L3))*$U3*((1+Inputs!$D$7)^CA$2))),(Inputs!$D$8^((1-_xlfn.WEIBULL.DIST(CA$2,$M3,$L3,FALSE))/_xlfn.WEIBULL.DIST(CA$2,$M3,$L3,FALSE))*$U3*((1+Inputs!$D$7)^CA$2))),IF($N3=Lists!$K$3,IF($L3&lt;1,((($T3*(1-$F3)+$S3*(1-$G3))/$L3)*((1+Inputs!$D$7)^CA$2)),((INT(CA$2/$L3)-INT((CA$2-1)/$L3))*($T3*(1-$F3)+$S3*(1-$G3))*((1+Inputs!$D$7)^CA$2))),((Inputs!$D$8^((1-_xlfn.WEIBULL.DIST(CA$2,$M3,$L3,FALSE))/_xlfn.WEIBULL.DIST(CA$2,$M3,$L3,FALSE))*($T3*(1-$F3)+$S3*(1-$G3))*((1+Inputs!$D$7)^CA$2))))))))</f>
        <v>3730.1229251839559</v>
      </c>
      <c r="CB3" s="88">
        <f>MAX(AL3,($E3*IF(CB$2&gt;Inputs!$D$5,0,IF(CB$2&gt;VLOOKUP($H3,Lists!$P$3:$Q$7,2),IF($N3=Lists!$K$3,IF($L3&lt;1,(($U3/$L3)*((1+Inputs!$D$7)^CB$2)),((INT(CB$2/$L3)-INT((CB$2-1)/$L3))*$U3*((1+Inputs!$D$7)^CB$2))),(Inputs!$D$8^((1-_xlfn.WEIBULL.DIST(CB$2,$M3,$L3,FALSE))/_xlfn.WEIBULL.DIST(CB$2,$M3,$L3,FALSE))*$U3*((1+Inputs!$D$7)^CB$2))),IF($N3=Lists!$K$3,IF($L3&lt;1,((($T3*(1-$F3)+$S3*(1-$G3))/$L3)*((1+Inputs!$D$7)^CB$2)),((INT(CB$2/$L3)-INT((CB$2-1)/$L3))*($T3*(1-$F3)+$S3*(1-$G3))*((1+Inputs!$D$7)^CB$2))),((Inputs!$D$8^((1-_xlfn.WEIBULL.DIST(CB$2,$M3,$L3,FALSE))/_xlfn.WEIBULL.DIST(CB$2,$M3,$L3,FALSE))*($T3*(1-$F3)+$S3*(1-$G3))*((1+Inputs!$D$7)^CB$2))))))))</f>
        <v>3804.7253836876357</v>
      </c>
      <c r="CC3" s="88">
        <f>MAX(AM3,($E3*IF(CC$2&gt;Inputs!$D$5,0,IF(CC$2&gt;VLOOKUP($H3,Lists!$P$3:$Q$7,2),IF($N3=Lists!$K$3,IF($L3&lt;1,(($U3/$L3)*((1+Inputs!$D$7)^CC$2)),((INT(CC$2/$L3)-INT((CC$2-1)/$L3))*$U3*((1+Inputs!$D$7)^CC$2))),(Inputs!$D$8^((1-_xlfn.WEIBULL.DIST(CC$2,$M3,$L3,FALSE))/_xlfn.WEIBULL.DIST(CC$2,$M3,$L3,FALSE))*$U3*((1+Inputs!$D$7)^CC$2))),IF($N3=Lists!$K$3,IF($L3&lt;1,((($T3*(1-$F3)+$S3*(1-$G3))/$L3)*((1+Inputs!$D$7)^CC$2)),((INT(CC$2/$L3)-INT((CC$2-1)/$L3))*($T3*(1-$F3)+$S3*(1-$G3))*((1+Inputs!$D$7)^CC$2))),((Inputs!$D$8^((1-_xlfn.WEIBULL.DIST(CC$2,$M3,$L3,FALSE))/_xlfn.WEIBULL.DIST(CC$2,$M3,$L3,FALSE))*($T3*(1-$F3)+$S3*(1-$G3))*((1+Inputs!$D$7)^CC$2))))))))</f>
        <v>3880.8198913613883</v>
      </c>
      <c r="CD3" s="88">
        <f>MAX(AN3,($E3*IF(CD$2&gt;Inputs!$D$5,0,IF(CD$2&gt;VLOOKUP($H3,Lists!$P$3:$Q$7,2),IF($N3=Lists!$K$3,IF($L3&lt;1,(($U3/$L3)*((1+Inputs!$D$7)^CD$2)),((INT(CD$2/$L3)-INT((CD$2-1)/$L3))*$U3*((1+Inputs!$D$7)^CD$2))),(Inputs!$D$8^((1-_xlfn.WEIBULL.DIST(CD$2,$M3,$L3,FALSE))/_xlfn.WEIBULL.DIST(CD$2,$M3,$L3,FALSE))*$U3*((1+Inputs!$D$7)^CD$2))),IF($N3=Lists!$K$3,IF($L3&lt;1,((($T3*(1-$F3)+$S3*(1-$G3))/$L3)*((1+Inputs!$D$7)^CD$2)),((INT(CD$2/$L3)-INT((CD$2-1)/$L3))*($T3*(1-$F3)+$S3*(1-$G3))*((1+Inputs!$D$7)^CD$2))),((Inputs!$D$8^((1-_xlfn.WEIBULL.DIST(CD$2,$M3,$L3,FALSE))/_xlfn.WEIBULL.DIST(CD$2,$M3,$L3,FALSE))*($T3*(1-$F3)+$S3*(1-$G3))*((1+Inputs!$D$7)^CD$2))))))))</f>
        <v>3958.4362891886162</v>
      </c>
      <c r="CE3" s="88">
        <f>MAX(AO3,($E3*IF(CE$2&gt;Inputs!$D$5,0,IF(CE$2&gt;VLOOKUP($H3,Lists!$P$3:$Q$7,2),IF($N3=Lists!$K$3,IF($L3&lt;1,(($U3/$L3)*((1+Inputs!$D$7)^CE$2)),((INT(CE$2/$L3)-INT((CE$2-1)/$L3))*$U3*((1+Inputs!$D$7)^CE$2))),(Inputs!$D$8^((1-_xlfn.WEIBULL.DIST(CE$2,$M3,$L3,FALSE))/_xlfn.WEIBULL.DIST(CE$2,$M3,$L3,FALSE))*$U3*((1+Inputs!$D$7)^CE$2))),IF($N3=Lists!$K$3,IF($L3&lt;1,((($T3*(1-$F3)+$S3*(1-$G3))/$L3)*((1+Inputs!$D$7)^CE$2)),((INT(CE$2/$L3)-INT((CE$2-1)/$L3))*($T3*(1-$F3)+$S3*(1-$G3))*((1+Inputs!$D$7)^CE$2))),((Inputs!$D$8^((1-_xlfn.WEIBULL.DIST(CE$2,$M3,$L3,FALSE))/_xlfn.WEIBULL.DIST(CE$2,$M3,$L3,FALSE))*($T3*(1-$F3)+$S3*(1-$G3))*((1+Inputs!$D$7)^CE$2))))))))</f>
        <v>4037.6050149723878</v>
      </c>
      <c r="CF3" s="88">
        <f>MAX(AP3,($E3*IF(CF$2&gt;Inputs!$D$5,0,IF(CF$2&gt;VLOOKUP($H3,Lists!$P$3:$Q$7,2),IF($N3=Lists!$K$3,IF($L3&lt;1,(($U3/$L3)*((1+Inputs!$D$7)^CF$2)),((INT(CF$2/$L3)-INT((CF$2-1)/$L3))*$U3*((1+Inputs!$D$7)^CF$2))),(Inputs!$D$8^((1-_xlfn.WEIBULL.DIST(CF$2,$M3,$L3,FALSE))/_xlfn.WEIBULL.DIST(CF$2,$M3,$L3,FALSE))*$U3*((1+Inputs!$D$7)^CF$2))),IF($N3=Lists!$K$3,IF($L3&lt;1,((($T3*(1-$F3)+$S3*(1-$G3))/$L3)*((1+Inputs!$D$7)^CF$2)),((INT(CF$2/$L3)-INT((CF$2-1)/$L3))*($T3*(1-$F3)+$S3*(1-$G3))*((1+Inputs!$D$7)^CF$2))),((Inputs!$D$8^((1-_xlfn.WEIBULL.DIST(CF$2,$M3,$L3,FALSE))/_xlfn.WEIBULL.DIST(CF$2,$M3,$L3,FALSE))*($T3*(1-$F3)+$S3*(1-$G3))*((1+Inputs!$D$7)^CF$2))))))))</f>
        <v>4118.3571152718359</v>
      </c>
      <c r="CG3" s="88">
        <f>MAX(AQ3,($E3*IF(CG$2&gt;Inputs!$D$5,0,IF(CG$2&gt;VLOOKUP($H3,Lists!$P$3:$Q$7,2),IF($N3=Lists!$K$3,IF($L3&lt;1,(($U3/$L3)*((1+Inputs!$D$7)^CG$2)),((INT(CG$2/$L3)-INT((CG$2-1)/$L3))*$U3*((1+Inputs!$D$7)^CG$2))),(Inputs!$D$8^((1-_xlfn.WEIBULL.DIST(CG$2,$M3,$L3,FALSE))/_xlfn.WEIBULL.DIST(CG$2,$M3,$L3,FALSE))*$U3*((1+Inputs!$D$7)^CG$2))),IF($N3=Lists!$K$3,IF($L3&lt;1,((($T3*(1-$F3)+$S3*(1-$G3))/$L3)*((1+Inputs!$D$7)^CG$2)),((INT(CG$2/$L3)-INT((CG$2-1)/$L3))*($T3*(1-$F3)+$S3*(1-$G3))*((1+Inputs!$D$7)^CG$2))),((Inputs!$D$8^((1-_xlfn.WEIBULL.DIST(CG$2,$M3,$L3,FALSE))/_xlfn.WEIBULL.DIST(CG$2,$M3,$L3,FALSE))*($T3*(1-$F3)+$S3*(1-$G3))*((1+Inputs!$D$7)^CG$2))))))))</f>
        <v>4200.7242575772734</v>
      </c>
      <c r="CH3" s="88">
        <f>MAX(AR3,($E3*IF(CH$2&gt;Inputs!$D$5,0,IF(CH$2&gt;VLOOKUP($H3,Lists!$P$3:$Q$7,2),IF($N3=Lists!$K$3,IF($L3&lt;1,(($U3/$L3)*((1+Inputs!$D$7)^CH$2)),((INT(CH$2/$L3)-INT((CH$2-1)/$L3))*$U3*((1+Inputs!$D$7)^CH$2))),(Inputs!$D$8^((1-_xlfn.WEIBULL.DIST(CH$2,$M3,$L3,FALSE))/_xlfn.WEIBULL.DIST(CH$2,$M3,$L3,FALSE))*$U3*((1+Inputs!$D$7)^CH$2))),IF($N3=Lists!$K$3,IF($L3&lt;1,((($T3*(1-$F3)+$S3*(1-$G3))/$L3)*((1+Inputs!$D$7)^CH$2)),((INT(CH$2/$L3)-INT((CH$2-1)/$L3))*($T3*(1-$F3)+$S3*(1-$G3))*((1+Inputs!$D$7)^CH$2))),((Inputs!$D$8^((1-_xlfn.WEIBULL.DIST(CH$2,$M3,$L3,FALSE))/_xlfn.WEIBULL.DIST(CH$2,$M3,$L3,FALSE))*($T3*(1-$F3)+$S3*(1-$G3))*((1+Inputs!$D$7)^CH$2))))))))</f>
        <v>4284.7387427288186</v>
      </c>
      <c r="CI3" s="88">
        <f>MAX(AS3,($E3*IF(CI$2&gt;Inputs!$D$5,0,IF(CI$2&gt;VLOOKUP($H3,Lists!$P$3:$Q$7,2),IF($N3=Lists!$K$3,IF($L3&lt;1,(($U3/$L3)*((1+Inputs!$D$7)^CI$2)),((INT(CI$2/$L3)-INT((CI$2-1)/$L3))*$U3*((1+Inputs!$D$7)^CI$2))),(Inputs!$D$8^((1-_xlfn.WEIBULL.DIST(CI$2,$M3,$L3,FALSE))/_xlfn.WEIBULL.DIST(CI$2,$M3,$L3,FALSE))*$U3*((1+Inputs!$D$7)^CI$2))),IF($N3=Lists!$K$3,IF($L3&lt;1,((($T3*(1-$F3)+$S3*(1-$G3))/$L3)*((1+Inputs!$D$7)^CI$2)),((INT(CI$2/$L3)-INT((CI$2-1)/$L3))*($T3*(1-$F3)+$S3*(1-$G3))*((1+Inputs!$D$7)^CI$2))),((Inputs!$D$8^((1-_xlfn.WEIBULL.DIST(CI$2,$M3,$L3,FALSE))/_xlfn.WEIBULL.DIST(CI$2,$M3,$L3,FALSE))*($T3*(1-$F3)+$S3*(1-$G3))*((1+Inputs!$D$7)^CI$2))))))))</f>
        <v>4370.433517583394</v>
      </c>
      <c r="CJ3" s="88">
        <f>MAX(AT3,($E3*IF(CJ$2&gt;Inputs!$D$5,0,IF(CJ$2&gt;VLOOKUP($H3,Lists!$P$3:$Q$7,2),IF($N3=Lists!$K$3,IF($L3&lt;1,(($U3/$L3)*((1+Inputs!$D$7)^CJ$2)),((INT(CJ$2/$L3)-INT((CJ$2-1)/$L3))*$U3*((1+Inputs!$D$7)^CJ$2))),(Inputs!$D$8^((1-_xlfn.WEIBULL.DIST(CJ$2,$M3,$L3,FALSE))/_xlfn.WEIBULL.DIST(CJ$2,$M3,$L3,FALSE))*$U3*((1+Inputs!$D$7)^CJ$2))),IF($N3=Lists!$K$3,IF($L3&lt;1,((($T3*(1-$F3)+$S3*(1-$G3))/$L3)*((1+Inputs!$D$7)^CJ$2)),((INT(CJ$2/$L3)-INT((CJ$2-1)/$L3))*($T3*(1-$F3)+$S3*(1-$G3))*((1+Inputs!$D$7)^CJ$2))),((Inputs!$D$8^((1-_xlfn.WEIBULL.DIST(CJ$2,$M3,$L3,FALSE))/_xlfn.WEIBULL.DIST(CJ$2,$M3,$L3,FALSE))*($T3*(1-$F3)+$S3*(1-$G3))*((1+Inputs!$D$7)^CJ$2))))))))</f>
        <v>4457.8421879350626</v>
      </c>
      <c r="CK3" s="88">
        <f>MAX(AU3,($E3*IF(CK$2&gt;Inputs!$D$5,0,IF(CK$2&gt;VLOOKUP($H3,Lists!$P$3:$Q$7,2),IF($N3=Lists!$K$3,IF($L3&lt;1,(($U3/$L3)*((1+Inputs!$D$7)^CK$2)),((INT(CK$2/$L3)-INT((CK$2-1)/$L3))*$U3*((1+Inputs!$D$7)^CK$2))),(Inputs!$D$8^((1-_xlfn.WEIBULL.DIST(CK$2,$M3,$L3,FALSE))/_xlfn.WEIBULL.DIST(CK$2,$M3,$L3,FALSE))*$U3*((1+Inputs!$D$7)^CK$2))),IF($N3=Lists!$K$3,IF($L3&lt;1,((($T3*(1-$F3)+$S3*(1-$G3))/$L3)*((1+Inputs!$D$7)^CK$2)),((INT(CK$2/$L3)-INT((CK$2-1)/$L3))*($T3*(1-$F3)+$S3*(1-$G3))*((1+Inputs!$D$7)^CK$2))),((Inputs!$D$8^((1-_xlfn.WEIBULL.DIST(CK$2,$M3,$L3,FALSE))/_xlfn.WEIBULL.DIST(CK$2,$M3,$L3,FALSE))*($T3*(1-$F3)+$S3*(1-$G3))*((1+Inputs!$D$7)^CK$2))))))))</f>
        <v>4546.9990316937638</v>
      </c>
      <c r="CL3" s="88">
        <f>MAX(AV3,($E3*IF(CL$2&gt;Inputs!$D$5,0,IF(CL$2&gt;VLOOKUP($H3,Lists!$P$3:$Q$7,2),IF($N3=Lists!$K$3,IF($L3&lt;1,(($U3/$L3)*((1+Inputs!$D$7)^CL$2)),((INT(CL$2/$L3)-INT((CL$2-1)/$L3))*$U3*((1+Inputs!$D$7)^CL$2))),(Inputs!$D$8^((1-_xlfn.WEIBULL.DIST(CL$2,$M3,$L3,FALSE))/_xlfn.WEIBULL.DIST(CL$2,$M3,$L3,FALSE))*$U3*((1+Inputs!$D$7)^CL$2))),IF($N3=Lists!$K$3,IF($L3&lt;1,((($T3*(1-$F3)+$S3*(1-$G3))/$L3)*((1+Inputs!$D$7)^CL$2)),((INT(CL$2/$L3)-INT((CL$2-1)/$L3))*($T3*(1-$F3)+$S3*(1-$G3))*((1+Inputs!$D$7)^CL$2))),((Inputs!$D$8^((1-_xlfn.WEIBULL.DIST(CL$2,$M3,$L3,FALSE))/_xlfn.WEIBULL.DIST(CL$2,$M3,$L3,FALSE))*($T3*(1-$F3)+$S3*(1-$G3))*((1+Inputs!$D$7)^CL$2))))))))</f>
        <v>4637.9390123276389</v>
      </c>
      <c r="CM3" s="88">
        <f>MAX(AW3,($E3*IF(CM$2&gt;Inputs!$D$5,0,IF(CM$2&gt;VLOOKUP($H3,Lists!$P$3:$Q$7,2),IF($N3=Lists!$K$3,IF($L3&lt;1,(($U3/$L3)*((1+Inputs!$D$7)^CM$2)),((INT(CM$2/$L3)-INT((CM$2-1)/$L3))*$U3*((1+Inputs!$D$7)^CM$2))),(Inputs!$D$8^((1-_xlfn.WEIBULL.DIST(CM$2,$M3,$L3,FALSE))/_xlfn.WEIBULL.DIST(CM$2,$M3,$L3,FALSE))*$U3*((1+Inputs!$D$7)^CM$2))),IF($N3=Lists!$K$3,IF($L3&lt;1,((($T3*(1-$F3)+$S3*(1-$G3))/$L3)*((1+Inputs!$D$7)^CM$2)),((INT(CM$2/$L3)-INT((CM$2-1)/$L3))*($T3*(1-$F3)+$S3*(1-$G3))*((1+Inputs!$D$7)^CM$2))),((Inputs!$D$8^((1-_xlfn.WEIBULL.DIST(CM$2,$M3,$L3,FALSE))/_xlfn.WEIBULL.DIST(CM$2,$M3,$L3,FALSE))*($T3*(1-$F3)+$S3*(1-$G3))*((1+Inputs!$D$7)^CM$2))))))))</f>
        <v>4730.6977925741912</v>
      </c>
      <c r="CN3" s="88">
        <f>MAX(AX3,($E3*IF(CN$2&gt;Inputs!$D$5,0,IF(CN$2&gt;VLOOKUP($H3,Lists!$P$3:$Q$7,2),IF($N3=Lists!$K$3,IF($L3&lt;1,(($U3/$L3)*((1+Inputs!$D$7)^CN$2)),((INT(CN$2/$L3)-INT((CN$2-1)/$L3))*$U3*((1+Inputs!$D$7)^CN$2))),(Inputs!$D$8^((1-_xlfn.WEIBULL.DIST(CN$2,$M3,$L3,FALSE))/_xlfn.WEIBULL.DIST(CN$2,$M3,$L3,FALSE))*$U3*((1+Inputs!$D$7)^CN$2))),IF($N3=Lists!$K$3,IF($L3&lt;1,((($T3*(1-$F3)+$S3*(1-$G3))/$L3)*((1+Inputs!$D$7)^CN$2)),((INT(CN$2/$L3)-INT((CN$2-1)/$L3))*($T3*(1-$F3)+$S3*(1-$G3))*((1+Inputs!$D$7)^CN$2))),((Inputs!$D$8^((1-_xlfn.WEIBULL.DIST(CN$2,$M3,$L3,FALSE))/_xlfn.WEIBULL.DIST(CN$2,$M3,$L3,FALSE))*($T3*(1-$F3)+$S3*(1-$G3))*((1+Inputs!$D$7)^CN$2))))))))</f>
        <v>4825.3117484256754</v>
      </c>
      <c r="CO3" s="88">
        <f>MAX(AY3,($E3*IF(CO$2&gt;Inputs!$D$5,0,IF(CO$2&gt;VLOOKUP($H3,Lists!$P$3:$Q$7,2),IF($N3=Lists!$K$3,IF($L3&lt;1,(($U3/$L3)*((1+Inputs!$D$7)^CO$2)),((INT(CO$2/$L3)-INT((CO$2-1)/$L3))*$U3*((1+Inputs!$D$7)^CO$2))),(Inputs!$D$8^((1-_xlfn.WEIBULL.DIST(CO$2,$M3,$L3,FALSE))/_xlfn.WEIBULL.DIST(CO$2,$M3,$L3,FALSE))*$U3*((1+Inputs!$D$7)^CO$2))),IF($N3=Lists!$K$3,IF($L3&lt;1,((($T3*(1-$F3)+$S3*(1-$G3))/$L3)*((1+Inputs!$D$7)^CO$2)),((INT(CO$2/$L3)-INT((CO$2-1)/$L3))*($T3*(1-$F3)+$S3*(1-$G3))*((1+Inputs!$D$7)^CO$2))),((Inputs!$D$8^((1-_xlfn.WEIBULL.DIST(CO$2,$M3,$L3,FALSE))/_xlfn.WEIBULL.DIST(CO$2,$M3,$L3,FALSE))*($T3*(1-$F3)+$S3*(1-$G3))*((1+Inputs!$D$7)^CO$2))))))))</f>
        <v>4921.8179833941886</v>
      </c>
      <c r="CP3" s="88">
        <f>MAX(AZ3,($E3*IF(CP$2&gt;Inputs!$D$5,0,IF(CP$2&gt;VLOOKUP($H3,Lists!$P$3:$Q$7,2),IF($N3=Lists!$K$3,IF($L3&lt;1,(($U3/$L3)*((1+Inputs!$D$7)^CP$2)),((INT(CP$2/$L3)-INT((CP$2-1)/$L3))*$U3*((1+Inputs!$D$7)^CP$2))),(Inputs!$D$8^((1-_xlfn.WEIBULL.DIST(CP$2,$M3,$L3,FALSE))/_xlfn.WEIBULL.DIST(CP$2,$M3,$L3,FALSE))*$U3*((1+Inputs!$D$7)^CP$2))),IF($N3=Lists!$K$3,IF($L3&lt;1,((($T3*(1-$F3)+$S3*(1-$G3))/$L3)*((1+Inputs!$D$7)^CP$2)),((INT(CP$2/$L3)-INT((CP$2-1)/$L3))*($T3*(1-$F3)+$S3*(1-$G3))*((1+Inputs!$D$7)^CP$2))),((Inputs!$D$8^((1-_xlfn.WEIBULL.DIST(CP$2,$M3,$L3,FALSE))/_xlfn.WEIBULL.DIST(CP$2,$M3,$L3,FALSE))*($T3*(1-$F3)+$S3*(1-$G3))*((1+Inputs!$D$7)^CP$2))))))))</f>
        <v>0</v>
      </c>
      <c r="CQ3" s="88">
        <f>MAX(BA3,($E3*IF(CQ$2&gt;Inputs!$D$5,0,IF(CQ$2&gt;VLOOKUP($H3,Lists!$P$3:$Q$7,2),IF($N3=Lists!$K$3,IF($L3&lt;1,(($U3/$L3)*((1+Inputs!$D$7)^CQ$2)),((INT(CQ$2/$L3)-INT((CQ$2-1)/$L3))*$U3*((1+Inputs!$D$7)^CQ$2))),(Inputs!$D$8^((1-_xlfn.WEIBULL.DIST(CQ$2,$M3,$L3,FALSE))/_xlfn.WEIBULL.DIST(CQ$2,$M3,$L3,FALSE))*$U3*((1+Inputs!$D$7)^CQ$2))),IF($N3=Lists!$K$3,IF($L3&lt;1,((($T3*(1-$F3)+$S3*(1-$G3))/$L3)*((1+Inputs!$D$7)^CQ$2)),((INT(CQ$2/$L3)-INT((CQ$2-1)/$L3))*($T3*(1-$F3)+$S3*(1-$G3))*((1+Inputs!$D$7)^CQ$2))),((Inputs!$D$8^((1-_xlfn.WEIBULL.DIST(CQ$2,$M3,$L3,FALSE))/_xlfn.WEIBULL.DIST(CQ$2,$M3,$L3,FALSE))*($T3*(1-$F3)+$S3*(1-$G3))*((1+Inputs!$D$7)^CQ$2))))))))</f>
        <v>0</v>
      </c>
      <c r="CR3" s="88">
        <f>MAX(BB3,($E3*IF(CR$2&gt;Inputs!$D$5,0,IF(CR$2&gt;VLOOKUP($H3,Lists!$P$3:$Q$7,2),IF($N3=Lists!$K$3,IF($L3&lt;1,(($U3/$L3)*((1+Inputs!$D$7)^CR$2)),((INT(CR$2/$L3)-INT((CR$2-1)/$L3))*$U3*((1+Inputs!$D$7)^CR$2))),(Inputs!$D$8^((1-_xlfn.WEIBULL.DIST(CR$2,$M3,$L3,FALSE))/_xlfn.WEIBULL.DIST(CR$2,$M3,$L3,FALSE))*$U3*((1+Inputs!$D$7)^CR$2))),IF($N3=Lists!$K$3,IF($L3&lt;1,((($T3*(1-$F3)+$S3*(1-$G3))/$L3)*((1+Inputs!$D$7)^CR$2)),((INT(CR$2/$L3)-INT((CR$2-1)/$L3))*($T3*(1-$F3)+$S3*(1-$G3))*((1+Inputs!$D$7)^CR$2))),((Inputs!$D$8^((1-_xlfn.WEIBULL.DIST(CR$2,$M3,$L3,FALSE))/_xlfn.WEIBULL.DIST(CR$2,$M3,$L3,FALSE))*($T3*(1-$F3)+$S3*(1-$G3))*((1+Inputs!$D$7)^CR$2))))))))</f>
        <v>0</v>
      </c>
      <c r="CS3" s="88">
        <f>MAX(BC3,($E3*IF(CS$2&gt;Inputs!$D$5,0,IF(CS$2&gt;VLOOKUP($H3,Lists!$P$3:$Q$7,2),IF($N3=Lists!$K$3,IF($L3&lt;1,(($U3/$L3)*((1+Inputs!$D$7)^CS$2)),((INT(CS$2/$L3)-INT((CS$2-1)/$L3))*$U3*((1+Inputs!$D$7)^CS$2))),(Inputs!$D$8^((1-_xlfn.WEIBULL.DIST(CS$2,$M3,$L3,FALSE))/_xlfn.WEIBULL.DIST(CS$2,$M3,$L3,FALSE))*$U3*((1+Inputs!$D$7)^CS$2))),IF($N3=Lists!$K$3,IF($L3&lt;1,((($T3*(1-$F3)+$S3*(1-$G3))/$L3)*((1+Inputs!$D$7)^CS$2)),((INT(CS$2/$L3)-INT((CS$2-1)/$L3))*($T3*(1-$F3)+$S3*(1-$G3))*((1+Inputs!$D$7)^CS$2))),((Inputs!$D$8^((1-_xlfn.WEIBULL.DIST(CS$2,$M3,$L3,FALSE))/_xlfn.WEIBULL.DIST(CS$2,$M3,$L3,FALSE))*($T3*(1-$F3)+$S3*(1-$G3))*((1+Inputs!$D$7)^CS$2))))))))</f>
        <v>0</v>
      </c>
      <c r="CT3" s="88">
        <f>MAX(BD3,($E3*IF(CT$2&gt;Inputs!$D$5,0,IF(CT$2&gt;VLOOKUP($H3,Lists!$P$3:$Q$7,2),IF($N3=Lists!$K$3,IF($L3&lt;1,(($U3/$L3)*((1+Inputs!$D$7)^CT$2)),((INT(CT$2/$L3)-INT((CT$2-1)/$L3))*$U3*((1+Inputs!$D$7)^CT$2))),(Inputs!$D$8^((1-_xlfn.WEIBULL.DIST(CT$2,$M3,$L3,FALSE))/_xlfn.WEIBULL.DIST(CT$2,$M3,$L3,FALSE))*$U3*((1+Inputs!$D$7)^CT$2))),IF($N3=Lists!$K$3,IF($L3&lt;1,((($T3*(1-$F3)+$S3*(1-$G3))/$L3)*((1+Inputs!$D$7)^CT$2)),((INT(CT$2/$L3)-INT((CT$2-1)/$L3))*($T3*(1-$F3)+$S3*(1-$G3))*((1+Inputs!$D$7)^CT$2))),((Inputs!$D$8^((1-_xlfn.WEIBULL.DIST(CT$2,$M3,$L3,FALSE))/_xlfn.WEIBULL.DIST(CT$2,$M3,$L3,FALSE))*($T3*(1-$F3)+$S3*(1-$G3))*((1+Inputs!$D$7)^CT$2))))))))</f>
        <v>0</v>
      </c>
      <c r="CU3" s="88">
        <f>MAX(BE3,($E3*IF(CU$2&gt;Inputs!$D$5,0,IF(CU$2&gt;VLOOKUP($H3,Lists!$P$3:$Q$7,2),IF($N3=Lists!$K$3,IF($L3&lt;1,(($U3/$L3)*((1+Inputs!$D$7)^CU$2)),((INT(CU$2/$L3)-INT((CU$2-1)/$L3))*$U3*((1+Inputs!$D$7)^CU$2))),(Inputs!$D$8^((1-_xlfn.WEIBULL.DIST(CU$2,$M3,$L3,FALSE))/_xlfn.WEIBULL.DIST(CU$2,$M3,$L3,FALSE))*$U3*((1+Inputs!$D$7)^CU$2))),IF($N3=Lists!$K$3,IF($L3&lt;1,((($T3*(1-$F3)+$S3*(1-$G3))/$L3)*((1+Inputs!$D$7)^CU$2)),((INT(CU$2/$L3)-INT((CU$2-1)/$L3))*($T3*(1-$F3)+$S3*(1-$G3))*((1+Inputs!$D$7)^CU$2))),((Inputs!$D$8^((1-_xlfn.WEIBULL.DIST(CU$2,$M3,$L3,FALSE))/_xlfn.WEIBULL.DIST(CU$2,$M3,$L3,FALSE))*($T3*(1-$F3)+$S3*(1-$G3))*((1+Inputs!$D$7)^CU$2))))))))</f>
        <v>0</v>
      </c>
      <c r="CV3" s="88">
        <f>MAX(BF3,($E3*IF(CV$2&gt;Inputs!$D$5,0,IF(CV$2&gt;VLOOKUP($H3,Lists!$P$3:$Q$7,2),IF($N3=Lists!$K$3,IF($L3&lt;1,(($U3/$L3)*((1+Inputs!$D$7)^CV$2)),((INT(CV$2/$L3)-INT((CV$2-1)/$L3))*$U3*((1+Inputs!$D$7)^CV$2))),(Inputs!$D$8^((1-_xlfn.WEIBULL.DIST(CV$2,$M3,$L3,FALSE))/_xlfn.WEIBULL.DIST(CV$2,$M3,$L3,FALSE))*$U3*((1+Inputs!$D$7)^CV$2))),IF($N3=Lists!$K$3,IF($L3&lt;1,((($T3*(1-$F3)+$S3*(1-$G3))/$L3)*((1+Inputs!$D$7)^CV$2)),((INT(CV$2/$L3)-INT((CV$2-1)/$L3))*($T3*(1-$F3)+$S3*(1-$G3))*((1+Inputs!$D$7)^CV$2))),((Inputs!$D$8^((1-_xlfn.WEIBULL.DIST(CV$2,$M3,$L3,FALSE))/_xlfn.WEIBULL.DIST(CV$2,$M3,$L3,FALSE))*($T3*(1-$F3)+$S3*(1-$G3))*((1+Inputs!$D$7)^CV$2))))))))</f>
        <v>0</v>
      </c>
      <c r="CW3" s="88">
        <f>MAX(BG3,($E3*IF(CW$2&gt;Inputs!$D$5,0,IF(CW$2&gt;VLOOKUP($H3,Lists!$P$3:$Q$7,2),IF($N3=Lists!$K$3,IF($L3&lt;1,(($U3/$L3)*((1+Inputs!$D$7)^CW$2)),((INT(CW$2/$L3)-INT((CW$2-1)/$L3))*$U3*((1+Inputs!$D$7)^CW$2))),(Inputs!$D$8^((1-_xlfn.WEIBULL.DIST(CW$2,$M3,$L3,FALSE))/_xlfn.WEIBULL.DIST(CW$2,$M3,$L3,FALSE))*$U3*((1+Inputs!$D$7)^CW$2))),IF($N3=Lists!$K$3,IF($L3&lt;1,((($T3*(1-$F3)+$S3*(1-$G3))/$L3)*((1+Inputs!$D$7)^CW$2)),((INT(CW$2/$L3)-INT((CW$2-1)/$L3))*($T3*(1-$F3)+$S3*(1-$G3))*((1+Inputs!$D$7)^CW$2))),((Inputs!$D$8^((1-_xlfn.WEIBULL.DIST(CW$2,$M3,$L3,FALSE))/_xlfn.WEIBULL.DIST(CW$2,$M3,$L3,FALSE))*($T3*(1-$F3)+$S3*(1-$G3))*((1+Inputs!$D$7)^CW$2))))))))</f>
        <v>0</v>
      </c>
      <c r="CX3" s="88">
        <f>MAX(BH3,($E3*IF(CX$2&gt;Inputs!$D$5,0,IF(CX$2&gt;VLOOKUP($H3,Lists!$P$3:$Q$7,2),IF($N3=Lists!$K$3,IF($L3&lt;1,(($U3/$L3)*((1+Inputs!$D$7)^CX$2)),((INT(CX$2/$L3)-INT((CX$2-1)/$L3))*$U3*((1+Inputs!$D$7)^CX$2))),(Inputs!$D$8^((1-_xlfn.WEIBULL.DIST(CX$2,$M3,$L3,FALSE))/_xlfn.WEIBULL.DIST(CX$2,$M3,$L3,FALSE))*$U3*((1+Inputs!$D$7)^CX$2))),IF($N3=Lists!$K$3,IF($L3&lt;1,((($T3*(1-$F3)+$S3*(1-$G3))/$L3)*((1+Inputs!$D$7)^CX$2)),((INT(CX$2/$L3)-INT((CX$2-1)/$L3))*($T3*(1-$F3)+$S3*(1-$G3))*((1+Inputs!$D$7)^CX$2))),((Inputs!$D$8^((1-_xlfn.WEIBULL.DIST(CX$2,$M3,$L3,FALSE))/_xlfn.WEIBULL.DIST(CX$2,$M3,$L3,FALSE))*($T3*(1-$F3)+$S3*(1-$G3))*((1+Inputs!$D$7)^CX$2))))))))</f>
        <v>0</v>
      </c>
      <c r="CY3" s="88">
        <f>MAX(BI3,($E3*IF(CY$2&gt;Inputs!$D$5,0,IF(CY$2&gt;VLOOKUP($H3,Lists!$P$3:$Q$7,2),IF($N3=Lists!$K$3,IF($L3&lt;1,(($U3/$L3)*((1+Inputs!$D$7)^CY$2)),((INT(CY$2/$L3)-INT((CY$2-1)/$L3))*$U3*((1+Inputs!$D$7)^CY$2))),(Inputs!$D$8^((1-_xlfn.WEIBULL.DIST(CY$2,$M3,$L3,FALSE))/_xlfn.WEIBULL.DIST(CY$2,$M3,$L3,FALSE))*$U3*((1+Inputs!$D$7)^CY$2))),IF($N3=Lists!$K$3,IF($L3&lt;1,((($T3*(1-$F3)+$S3*(1-$G3))/$L3)*((1+Inputs!$D$7)^CY$2)),((INT(CY$2/$L3)-INT((CY$2-1)/$L3))*($T3*(1-$F3)+$S3*(1-$G3))*((1+Inputs!$D$7)^CY$2))),((Inputs!$D$8^((1-_xlfn.WEIBULL.DIST(CY$2,$M3,$L3,FALSE))/_xlfn.WEIBULL.DIST(CY$2,$M3,$L3,FALSE))*($T3*(1-$F3)+$S3*(1-$G3))*((1+Inputs!$D$7)^CY$2))))))))</f>
        <v>0</v>
      </c>
      <c r="CZ3" s="88">
        <f>MAX(BJ3,($E3*IF(CZ$2&gt;Inputs!$D$5,0,IF(CZ$2&gt;VLOOKUP($H3,Lists!$P$3:$Q$7,2),IF($N3=Lists!$K$3,IF($L3&lt;1,(($U3/$L3)*((1+Inputs!$D$7)^CZ$2)),((INT(CZ$2/$L3)-INT((CZ$2-1)/$L3))*$U3*((1+Inputs!$D$7)^CZ$2))),(Inputs!$D$8^((1-_xlfn.WEIBULL.DIST(CZ$2,$M3,$L3,FALSE))/_xlfn.WEIBULL.DIST(CZ$2,$M3,$L3,FALSE))*$U3*((1+Inputs!$D$7)^CZ$2))),IF($N3=Lists!$K$3,IF($L3&lt;1,((($T3*(1-$F3)+$S3*(1-$G3))/$L3)*((1+Inputs!$D$7)^CZ$2)),((INT(CZ$2/$L3)-INT((CZ$2-1)/$L3))*($T3*(1-$F3)+$S3*(1-$G3))*((1+Inputs!$D$7)^CZ$2))),((Inputs!$D$8^((1-_xlfn.WEIBULL.DIST(CZ$2,$M3,$L3,FALSE))/_xlfn.WEIBULL.DIST(CZ$2,$M3,$L3,FALSE))*($T3*(1-$F3)+$S3*(1-$G3))*((1+Inputs!$D$7)^CZ$2))))))))</f>
        <v>0</v>
      </c>
      <c r="DA3" s="88">
        <f>MAX(BK3,($E3*IF(DA$2&gt;Inputs!$D$5,0,IF(DA$2&gt;VLOOKUP($H3,Lists!$P$3:$Q$7,2),IF($N3=Lists!$K$3,IF($L3&lt;1,(($U3/$L3)*((1+Inputs!$D$7)^DA$2)),((INT(DA$2/$L3)-INT((DA$2-1)/$L3))*$U3*((1+Inputs!$D$7)^DA$2))),(Inputs!$D$8^((1-_xlfn.WEIBULL.DIST(DA$2,$M3,$L3,FALSE))/_xlfn.WEIBULL.DIST(DA$2,$M3,$L3,FALSE))*$U3*((1+Inputs!$D$7)^DA$2))),IF($N3=Lists!$K$3,IF($L3&lt;1,((($T3*(1-$F3)+$S3*(1-$G3))/$L3)*((1+Inputs!$D$7)^DA$2)),((INT(DA$2/$L3)-INT((DA$2-1)/$L3))*($T3*(1-$F3)+$S3*(1-$G3))*((1+Inputs!$D$7)^DA$2))),((Inputs!$D$8^((1-_xlfn.WEIBULL.DIST(DA$2,$M3,$L3,FALSE))/_xlfn.WEIBULL.DIST(DA$2,$M3,$L3,FALSE))*($T3*(1-$F3)+$S3*(1-$G3))*((1+Inputs!$D$7)^DA$2))))))))</f>
        <v>0</v>
      </c>
      <c r="DB3" s="88">
        <f>MAX(BL3,($E3*IF(DB$2&gt;Inputs!$D$5,0,IF(DB$2&gt;VLOOKUP($H3,Lists!$P$3:$Q$7,2),IF($N3=Lists!$K$3,IF($L3&lt;1,(($U3/$L3)*((1+Inputs!$D$7)^DB$2)),((INT(DB$2/$L3)-INT((DB$2-1)/$L3))*$U3*((1+Inputs!$D$7)^DB$2))),(Inputs!$D$8^((1-_xlfn.WEIBULL.DIST(DB$2,$M3,$L3,FALSE))/_xlfn.WEIBULL.DIST(DB$2,$M3,$L3,FALSE))*$U3*((1+Inputs!$D$7)^DB$2))),IF($N3=Lists!$K$3,IF($L3&lt;1,((($T3*(1-$F3)+$S3*(1-$G3))/$L3)*((1+Inputs!$D$7)^DB$2)),((INT(DB$2/$L3)-INT((DB$2-1)/$L3))*($T3*(1-$F3)+$S3*(1-$G3))*((1+Inputs!$D$7)^DB$2))),((Inputs!$D$8^((1-_xlfn.WEIBULL.DIST(DB$2,$M3,$L3,FALSE))/_xlfn.WEIBULL.DIST(DB$2,$M3,$L3,FALSE))*($T3*(1-$F3)+$S3*(1-$G3))*((1+Inputs!$D$7)^DB$2))))))))</f>
        <v>0</v>
      </c>
      <c r="DC3" s="88">
        <f>MAX(BM3,($E3*IF(DC$2&gt;Inputs!$D$5,0,IF(DC$2&gt;VLOOKUP($H3,Lists!$P$3:$Q$7,2),IF($N3=Lists!$K$3,IF($L3&lt;1,(($U3/$L3)*((1+Inputs!$D$7)^DC$2)),((INT(DC$2/$L3)-INT((DC$2-1)/$L3))*$U3*((1+Inputs!$D$7)^DC$2))),(Inputs!$D$8^((1-_xlfn.WEIBULL.DIST(DC$2,$M3,$L3,FALSE))/_xlfn.WEIBULL.DIST(DC$2,$M3,$L3,FALSE))*$U3*((1+Inputs!$D$7)^DC$2))),IF($N3=Lists!$K$3,IF($L3&lt;1,((($T3*(1-$F3)+$S3*(1-$G3))/$L3)*((1+Inputs!$D$7)^DC$2)),((INT(DC$2/$L3)-INT((DC$2-1)/$L3))*($T3*(1-$F3)+$S3*(1-$G3))*((1+Inputs!$D$7)^DC$2))),((Inputs!$D$8^((1-_xlfn.WEIBULL.DIST(DC$2,$M3,$L3,FALSE))/_xlfn.WEIBULL.DIST(DC$2,$M3,$L3,FALSE))*($T3*(1-$F3)+$S3*(1-$G3))*((1+Inputs!$D$7)^DC$2))))))))</f>
        <v>0</v>
      </c>
      <c r="DD3" s="88">
        <f>MAX(BN3,($E3*IF(DD$2&gt;Inputs!$D$5,0,IF(DD$2&gt;VLOOKUP($H3,Lists!$P$3:$Q$7,2),IF($N3=Lists!$K$3,IF($L3&lt;1,(($U3/$L3)*((1+Inputs!$D$7)^DD$2)),((INT(DD$2/$L3)-INT((DD$2-1)/$L3))*$U3*((1+Inputs!$D$7)^DD$2))),(Inputs!$D$8^((1-_xlfn.WEIBULL.DIST(DD$2,$M3,$L3,FALSE))/_xlfn.WEIBULL.DIST(DD$2,$M3,$L3,FALSE))*$U3*((1+Inputs!$D$7)^DD$2))),IF($N3=Lists!$K$3,IF($L3&lt;1,((($T3*(1-$F3)+$S3*(1-$G3))/$L3)*((1+Inputs!$D$7)^DD$2)),((INT(DD$2/$L3)-INT((DD$2-1)/$L3))*($T3*(1-$F3)+$S3*(1-$G3))*((1+Inputs!$D$7)^DD$2))),((Inputs!$D$8^((1-_xlfn.WEIBULL.DIST(DD$2,$M3,$L3,FALSE))/_xlfn.WEIBULL.DIST(DD$2,$M3,$L3,FALSE))*($T3*(1-$F3)+$S3*(1-$G3))*((1+Inputs!$D$7)^DD$2))))))))</f>
        <v>0</v>
      </c>
    </row>
    <row r="4" spans="1:108" s="1" customFormat="1" ht="32">
      <c r="A4" s="57" t="s">
        <v>147</v>
      </c>
      <c r="B4" s="13" t="s">
        <v>129</v>
      </c>
      <c r="C4" s="13" t="s">
        <v>471</v>
      </c>
      <c r="D4" s="13" t="s">
        <v>166</v>
      </c>
      <c r="E4" s="48">
        <f>IF(Inputs!$D$41=Lists!$I$4,0,1)</f>
        <v>1</v>
      </c>
      <c r="F4" s="48">
        <v>0</v>
      </c>
      <c r="G4" s="48">
        <v>0</v>
      </c>
      <c r="H4" s="105" t="s">
        <v>165</v>
      </c>
      <c r="I4" s="14"/>
      <c r="J4" s="14" t="s">
        <v>248</v>
      </c>
      <c r="K4" s="13">
        <f>VLOOKUP(J4,'Labor Rates'!$A$1:$F$16,2)</f>
        <v>22.995576923076925</v>
      </c>
      <c r="L4" s="15">
        <v>0.5</v>
      </c>
      <c r="M4" s="15">
        <v>1</v>
      </c>
      <c r="N4" s="13" t="s">
        <v>236</v>
      </c>
      <c r="O4" s="61">
        <v>1</v>
      </c>
      <c r="P4" s="15">
        <v>1</v>
      </c>
      <c r="Q4" s="15">
        <f t="shared" si="0"/>
        <v>2</v>
      </c>
      <c r="R4" s="4">
        <v>0</v>
      </c>
      <c r="S4" s="53">
        <f t="shared" si="1"/>
        <v>22.995576923076925</v>
      </c>
      <c r="T4" s="53">
        <f t="shared" si="2"/>
        <v>0</v>
      </c>
      <c r="U4" s="54">
        <f t="shared" si="3"/>
        <v>22.995576923076925</v>
      </c>
      <c r="V4" s="65"/>
      <c r="W4" s="58"/>
      <c r="X4" s="64">
        <f t="shared" si="4"/>
        <v>56.990667696424758</v>
      </c>
      <c r="Y4" s="64">
        <f>NPV(Inputs!$D$6,AA4:BN4)</f>
        <v>654.61425010754374</v>
      </c>
      <c r="Z4" s="67">
        <f t="shared" si="5"/>
        <v>3.0874803908182466E-4</v>
      </c>
      <c r="AA4" s="88">
        <f>$E4*IF(AA$2&gt;Inputs!$D$5,0,IF(AA$2&gt;VLOOKUP($H4,Lists!$P$3:$Q$7,2),IF($N4=Lists!$K$3,IF($L4&lt;1,(($U4/$L4)*((1+Inputs!$D$7)^AA$2)),((INT(AA$2/$L4)-INT((AA$2-1)/$L4))*$U4*((1+Inputs!$D$7)^AA$2))),(_xlfn.WEIBULL.DIST(AA$2,$M4,$L4,FALSE)*$U4*((1+Inputs!$D$7)^AA$2))),IF($N4=Lists!$K$3,IF($L4&lt;1,((($T4*(1-$F4)+$S4*(1-$G4))/$L4)*((1+Inputs!$D$7)^AA$2)),((INT(AA$2/$L4)-INT((AA$2-1)/$L4))*($T4*(1-$F4)+$S4*(1-$G4))*((1+Inputs!$D$7)^AA$2))),((_xlfn.WEIBULL.DIST(AA$2,$M4,$L4,FALSE)*($T4*(1-$F4)+$S4*(1-$G4))*((1+Inputs!$D$7)^AA$2))))))</f>
        <v>46.91097692307693</v>
      </c>
      <c r="AB4" s="88">
        <f>$E4*IF(AB$2&gt;Inputs!$D$5,0,IF(AB$2&gt;VLOOKUP($H4,Lists!$P$3:$Q$7,2),IF($N4=Lists!$K$3,IF($L4&lt;1,(($U4/$L4)*((1+Inputs!$D$7)^AB$2)),((INT(AB$2/$L4)-INT((AB$2-1)/$L4))*$U4*((1+Inputs!$D$7)^AB$2))),(_xlfn.WEIBULL.DIST(AB$2,$M4,$L4,FALSE)*$U4*((1+Inputs!$D$7)^AB$2))),IF($N4=Lists!$K$3,IF($L4&lt;1,((($T4*(1-$F4)+$S4*(1-$G4))/$L4)*((1+Inputs!$D$7)^AB$2)),((INT(AB$2/$L4)-INT((AB$2-1)/$L4))*($T4*(1-$F4)+$S4*(1-$G4))*((1+Inputs!$D$7)^AB$2))),((_xlfn.WEIBULL.DIST(AB$2,$M4,$L4,FALSE)*($T4*(1-$F4)+$S4*(1-$G4))*((1+Inputs!$D$7)^AB$2))))))</f>
        <v>47.849196461538462</v>
      </c>
      <c r="AC4" s="88">
        <f>$E4*IF(AC$2&gt;Inputs!$D$5,0,IF(AC$2&gt;VLOOKUP($H4,Lists!$P$3:$Q$7,2),IF($N4=Lists!$K$3,IF($L4&lt;1,(($U4/$L4)*((1+Inputs!$D$7)^AC$2)),((INT(AC$2/$L4)-INT((AC$2-1)/$L4))*$U4*((1+Inputs!$D$7)^AC$2))),(_xlfn.WEIBULL.DIST(AC$2,$M4,$L4,FALSE)*$U4*((1+Inputs!$D$7)^AC$2))),IF($N4=Lists!$K$3,IF($L4&lt;1,((($T4*(1-$F4)+$S4*(1-$G4))/$L4)*((1+Inputs!$D$7)^AC$2)),((INT(AC$2/$L4)-INT((AC$2-1)/$L4))*($T4*(1-$F4)+$S4*(1-$G4))*((1+Inputs!$D$7)^AC$2))),((_xlfn.WEIBULL.DIST(AC$2,$M4,$L4,FALSE)*($T4*(1-$F4)+$S4*(1-$G4))*((1+Inputs!$D$7)^AC$2))))))</f>
        <v>48.806180390769228</v>
      </c>
      <c r="AD4" s="88">
        <f>$E4*IF(AD$2&gt;Inputs!$D$5,0,IF(AD$2&gt;VLOOKUP($H4,Lists!$P$3:$Q$7,2),IF($N4=Lists!$K$3,IF($L4&lt;1,(($U4/$L4)*((1+Inputs!$D$7)^AD$2)),((INT(AD$2/$L4)-INT((AD$2-1)/$L4))*$U4*((1+Inputs!$D$7)^AD$2))),(_xlfn.WEIBULL.DIST(AD$2,$M4,$L4,FALSE)*$U4*((1+Inputs!$D$7)^AD$2))),IF($N4=Lists!$K$3,IF($L4&lt;1,((($T4*(1-$F4)+$S4*(1-$G4))/$L4)*((1+Inputs!$D$7)^AD$2)),((INT(AD$2/$L4)-INT((AD$2-1)/$L4))*($T4*(1-$F4)+$S4*(1-$G4))*((1+Inputs!$D$7)^AD$2))),((_xlfn.WEIBULL.DIST(AD$2,$M4,$L4,FALSE)*($T4*(1-$F4)+$S4*(1-$G4))*((1+Inputs!$D$7)^AD$2))))))</f>
        <v>49.782303998584617</v>
      </c>
      <c r="AE4" s="88">
        <f>$E4*IF(AE$2&gt;Inputs!$D$5,0,IF(AE$2&gt;VLOOKUP($H4,Lists!$P$3:$Q$7,2),IF($N4=Lists!$K$3,IF($L4&lt;1,(($U4/$L4)*((1+Inputs!$D$7)^AE$2)),((INT(AE$2/$L4)-INT((AE$2-1)/$L4))*$U4*((1+Inputs!$D$7)^AE$2))),(_xlfn.WEIBULL.DIST(AE$2,$M4,$L4,FALSE)*$U4*((1+Inputs!$D$7)^AE$2))),IF($N4=Lists!$K$3,IF($L4&lt;1,((($T4*(1-$F4)+$S4*(1-$G4))/$L4)*((1+Inputs!$D$7)^AE$2)),((INT(AE$2/$L4)-INT((AE$2-1)/$L4))*($T4*(1-$F4)+$S4*(1-$G4))*((1+Inputs!$D$7)^AE$2))),((_xlfn.WEIBULL.DIST(AE$2,$M4,$L4,FALSE)*($T4*(1-$F4)+$S4*(1-$G4))*((1+Inputs!$D$7)^AE$2))))))</f>
        <v>50.777950078556316</v>
      </c>
      <c r="AF4" s="88">
        <f>$E4*IF(AF$2&gt;Inputs!$D$5,0,IF(AF$2&gt;VLOOKUP($H4,Lists!$P$3:$Q$7,2),IF($N4=Lists!$K$3,IF($L4&lt;1,(($U4/$L4)*((1+Inputs!$D$7)^AF$2)),((INT(AF$2/$L4)-INT((AF$2-1)/$L4))*$U4*((1+Inputs!$D$7)^AF$2))),(_xlfn.WEIBULL.DIST(AF$2,$M4,$L4,FALSE)*$U4*((1+Inputs!$D$7)^AF$2))),IF($N4=Lists!$K$3,IF($L4&lt;1,((($T4*(1-$F4)+$S4*(1-$G4))/$L4)*((1+Inputs!$D$7)^AF$2)),((INT(AF$2/$L4)-INT((AF$2-1)/$L4))*($T4*(1-$F4)+$S4*(1-$G4))*((1+Inputs!$D$7)^AF$2))),((_xlfn.WEIBULL.DIST(AF$2,$M4,$L4,FALSE)*($T4*(1-$F4)+$S4*(1-$G4))*((1+Inputs!$D$7)^AF$2))))))</f>
        <v>51.793509080127443</v>
      </c>
      <c r="AG4" s="88">
        <f>$E4*IF(AG$2&gt;Inputs!$D$5,0,IF(AG$2&gt;VLOOKUP($H4,Lists!$P$3:$Q$7,2),IF($N4=Lists!$K$3,IF($L4&lt;1,(($U4/$L4)*((1+Inputs!$D$7)^AG$2)),((INT(AG$2/$L4)-INT((AG$2-1)/$L4))*$U4*((1+Inputs!$D$7)^AG$2))),(_xlfn.WEIBULL.DIST(AG$2,$M4,$L4,FALSE)*$U4*((1+Inputs!$D$7)^AG$2))),IF($N4=Lists!$K$3,IF($L4&lt;1,((($T4*(1-$F4)+$S4*(1-$G4))/$L4)*((1+Inputs!$D$7)^AG$2)),((INT(AG$2/$L4)-INT((AG$2-1)/$L4))*($T4*(1-$F4)+$S4*(1-$G4))*((1+Inputs!$D$7)^AG$2))),((_xlfn.WEIBULL.DIST(AG$2,$M4,$L4,FALSE)*($T4*(1-$F4)+$S4*(1-$G4))*((1+Inputs!$D$7)^AG$2))))))</f>
        <v>52.829379261729976</v>
      </c>
      <c r="AH4" s="88">
        <f>$E4*IF(AH$2&gt;Inputs!$D$5,0,IF(AH$2&gt;VLOOKUP($H4,Lists!$P$3:$Q$7,2),IF($N4=Lists!$K$3,IF($L4&lt;1,(($U4/$L4)*((1+Inputs!$D$7)^AH$2)),((INT(AH$2/$L4)-INT((AH$2-1)/$L4))*$U4*((1+Inputs!$D$7)^AH$2))),(_xlfn.WEIBULL.DIST(AH$2,$M4,$L4,FALSE)*$U4*((1+Inputs!$D$7)^AH$2))),IF($N4=Lists!$K$3,IF($L4&lt;1,((($T4*(1-$F4)+$S4*(1-$G4))/$L4)*((1+Inputs!$D$7)^AH$2)),((INT(AH$2/$L4)-INT((AH$2-1)/$L4))*($T4*(1-$F4)+$S4*(1-$G4))*((1+Inputs!$D$7)^AH$2))),((_xlfn.WEIBULL.DIST(AH$2,$M4,$L4,FALSE)*($T4*(1-$F4)+$S4*(1-$G4))*((1+Inputs!$D$7)^AH$2))))))</f>
        <v>53.885966846964585</v>
      </c>
      <c r="AI4" s="88">
        <f>$E4*IF(AI$2&gt;Inputs!$D$5,0,IF(AI$2&gt;VLOOKUP($H4,Lists!$P$3:$Q$7,2),IF($N4=Lists!$K$3,IF($L4&lt;1,(($U4/$L4)*((1+Inputs!$D$7)^AI$2)),((INT(AI$2/$L4)-INT((AI$2-1)/$L4))*$U4*((1+Inputs!$D$7)^AI$2))),(_xlfn.WEIBULL.DIST(AI$2,$M4,$L4,FALSE)*$U4*((1+Inputs!$D$7)^AI$2))),IF($N4=Lists!$K$3,IF($L4&lt;1,((($T4*(1-$F4)+$S4*(1-$G4))/$L4)*((1+Inputs!$D$7)^AI$2)),((INT(AI$2/$L4)-INT((AI$2-1)/$L4))*($T4*(1-$F4)+$S4*(1-$G4))*((1+Inputs!$D$7)^AI$2))),((_xlfn.WEIBULL.DIST(AI$2,$M4,$L4,FALSE)*($T4*(1-$F4)+$S4*(1-$G4))*((1+Inputs!$D$7)^AI$2))))))</f>
        <v>54.963686183903874</v>
      </c>
      <c r="AJ4" s="88">
        <f>$E4*IF(AJ$2&gt;Inputs!$D$5,0,IF(AJ$2&gt;VLOOKUP($H4,Lists!$P$3:$Q$7,2),IF($N4=Lists!$K$3,IF($L4&lt;1,(($U4/$L4)*((1+Inputs!$D$7)^AJ$2)),((INT(AJ$2/$L4)-INT((AJ$2-1)/$L4))*$U4*((1+Inputs!$D$7)^AJ$2))),(_xlfn.WEIBULL.DIST(AJ$2,$M4,$L4,FALSE)*$U4*((1+Inputs!$D$7)^AJ$2))),IF($N4=Lists!$K$3,IF($L4&lt;1,((($T4*(1-$F4)+$S4*(1-$G4))/$L4)*((1+Inputs!$D$7)^AJ$2)),((INT(AJ$2/$L4)-INT((AJ$2-1)/$L4))*($T4*(1-$F4)+$S4*(1-$G4))*((1+Inputs!$D$7)^AJ$2))),((_xlfn.WEIBULL.DIST(AJ$2,$M4,$L4,FALSE)*($T4*(1-$F4)+$S4*(1-$G4))*((1+Inputs!$D$7)^AJ$2))))))</f>
        <v>56.062959907581956</v>
      </c>
      <c r="AK4" s="88">
        <f>$E4*IF(AK$2&gt;Inputs!$D$5,0,IF(AK$2&gt;VLOOKUP($H4,Lists!$P$3:$Q$7,2),IF($N4=Lists!$K$3,IF($L4&lt;1,(($U4/$L4)*((1+Inputs!$D$7)^AK$2)),((INT(AK$2/$L4)-INT((AK$2-1)/$L4))*$U4*((1+Inputs!$D$7)^AK$2))),(_xlfn.WEIBULL.DIST(AK$2,$M4,$L4,FALSE)*$U4*((1+Inputs!$D$7)^AK$2))),IF($N4=Lists!$K$3,IF($L4&lt;1,((($T4*(1-$F4)+$S4*(1-$G4))/$L4)*((1+Inputs!$D$7)^AK$2)),((INT(AK$2/$L4)-INT((AK$2-1)/$L4))*($T4*(1-$F4)+$S4*(1-$G4))*((1+Inputs!$D$7)^AK$2))),((_xlfn.WEIBULL.DIST(AK$2,$M4,$L4,FALSE)*($T4*(1-$F4)+$S4*(1-$G4))*((1+Inputs!$D$7)^AK$2))))))</f>
        <v>57.184219105733582</v>
      </c>
      <c r="AL4" s="88">
        <f>$E4*IF(AL$2&gt;Inputs!$D$5,0,IF(AL$2&gt;VLOOKUP($H4,Lists!$P$3:$Q$7,2),IF($N4=Lists!$K$3,IF($L4&lt;1,(($U4/$L4)*((1+Inputs!$D$7)^AL$2)),((INT(AL$2/$L4)-INT((AL$2-1)/$L4))*$U4*((1+Inputs!$D$7)^AL$2))),(_xlfn.WEIBULL.DIST(AL$2,$M4,$L4,FALSE)*$U4*((1+Inputs!$D$7)^AL$2))),IF($N4=Lists!$K$3,IF($L4&lt;1,((($T4*(1-$F4)+$S4*(1-$G4))/$L4)*((1+Inputs!$D$7)^AL$2)),((INT(AL$2/$L4)-INT((AL$2-1)/$L4))*($T4*(1-$F4)+$S4*(1-$G4))*((1+Inputs!$D$7)^AL$2))),((_xlfn.WEIBULL.DIST(AL$2,$M4,$L4,FALSE)*($T4*(1-$F4)+$S4*(1-$G4))*((1+Inputs!$D$7)^AL$2))))))</f>
        <v>58.327903487848268</v>
      </c>
      <c r="AM4" s="88">
        <f>$E4*IF(AM$2&gt;Inputs!$D$5,0,IF(AM$2&gt;VLOOKUP($H4,Lists!$P$3:$Q$7,2),IF($N4=Lists!$K$3,IF($L4&lt;1,(($U4/$L4)*((1+Inputs!$D$7)^AM$2)),((INT(AM$2/$L4)-INT((AM$2-1)/$L4))*$U4*((1+Inputs!$D$7)^AM$2))),(_xlfn.WEIBULL.DIST(AM$2,$M4,$L4,FALSE)*$U4*((1+Inputs!$D$7)^AM$2))),IF($N4=Lists!$K$3,IF($L4&lt;1,((($T4*(1-$F4)+$S4*(1-$G4))/$L4)*((1+Inputs!$D$7)^AM$2)),((INT(AM$2/$L4)-INT((AM$2-1)/$L4))*($T4*(1-$F4)+$S4*(1-$G4))*((1+Inputs!$D$7)^AM$2))),((_xlfn.WEIBULL.DIST(AM$2,$M4,$L4,FALSE)*($T4*(1-$F4)+$S4*(1-$G4))*((1+Inputs!$D$7)^AM$2))))))</f>
        <v>59.494461557605227</v>
      </c>
      <c r="AN4" s="88">
        <f>$E4*IF(AN$2&gt;Inputs!$D$5,0,IF(AN$2&gt;VLOOKUP($H4,Lists!$P$3:$Q$7,2),IF($N4=Lists!$K$3,IF($L4&lt;1,(($U4/$L4)*((1+Inputs!$D$7)^AN$2)),((INT(AN$2/$L4)-INT((AN$2-1)/$L4))*$U4*((1+Inputs!$D$7)^AN$2))),(_xlfn.WEIBULL.DIST(AN$2,$M4,$L4,FALSE)*$U4*((1+Inputs!$D$7)^AN$2))),IF($N4=Lists!$K$3,IF($L4&lt;1,((($T4*(1-$F4)+$S4*(1-$G4))/$L4)*((1+Inputs!$D$7)^AN$2)),((INT(AN$2/$L4)-INT((AN$2-1)/$L4))*($T4*(1-$F4)+$S4*(1-$G4))*((1+Inputs!$D$7)^AN$2))),((_xlfn.WEIBULL.DIST(AN$2,$M4,$L4,FALSE)*($T4*(1-$F4)+$S4*(1-$G4))*((1+Inputs!$D$7)^AN$2))))))</f>
        <v>60.684350788757335</v>
      </c>
      <c r="AO4" s="88">
        <f>$E4*IF(AO$2&gt;Inputs!$D$5,0,IF(AO$2&gt;VLOOKUP($H4,Lists!$P$3:$Q$7,2),IF($N4=Lists!$K$3,IF($L4&lt;1,(($U4/$L4)*((1+Inputs!$D$7)^AO$2)),((INT(AO$2/$L4)-INT((AO$2-1)/$L4))*$U4*((1+Inputs!$D$7)^AO$2))),(_xlfn.WEIBULL.DIST(AO$2,$M4,$L4,FALSE)*$U4*((1+Inputs!$D$7)^AO$2))),IF($N4=Lists!$K$3,IF($L4&lt;1,((($T4*(1-$F4)+$S4*(1-$G4))/$L4)*((1+Inputs!$D$7)^AO$2)),((INT(AO$2/$L4)-INT((AO$2-1)/$L4))*($T4*(1-$F4)+$S4*(1-$G4))*((1+Inputs!$D$7)^AO$2))),((_xlfn.WEIBULL.DIST(AO$2,$M4,$L4,FALSE)*($T4*(1-$F4)+$S4*(1-$G4))*((1+Inputs!$D$7)^AO$2))))))</f>
        <v>61.898037804532464</v>
      </c>
      <c r="AP4" s="88">
        <f>$E4*IF(AP$2&gt;Inputs!$D$5,0,IF(AP$2&gt;VLOOKUP($H4,Lists!$P$3:$Q$7,2),IF($N4=Lists!$K$3,IF($L4&lt;1,(($U4/$L4)*((1+Inputs!$D$7)^AP$2)),((INT(AP$2/$L4)-INT((AP$2-1)/$L4))*$U4*((1+Inputs!$D$7)^AP$2))),(_xlfn.WEIBULL.DIST(AP$2,$M4,$L4,FALSE)*$U4*((1+Inputs!$D$7)^AP$2))),IF($N4=Lists!$K$3,IF($L4&lt;1,((($T4*(1-$F4)+$S4*(1-$G4))/$L4)*((1+Inputs!$D$7)^AP$2)),((INT(AP$2/$L4)-INT((AP$2-1)/$L4))*($T4*(1-$F4)+$S4*(1-$G4))*((1+Inputs!$D$7)^AP$2))),((_xlfn.WEIBULL.DIST(AP$2,$M4,$L4,FALSE)*($T4*(1-$F4)+$S4*(1-$G4))*((1+Inputs!$D$7)^AP$2))))))</f>
        <v>63.135998560623129</v>
      </c>
      <c r="AQ4" s="88">
        <f>$E4*IF(AQ$2&gt;Inputs!$D$5,0,IF(AQ$2&gt;VLOOKUP($H4,Lists!$P$3:$Q$7,2),IF($N4=Lists!$K$3,IF($L4&lt;1,(($U4/$L4)*((1+Inputs!$D$7)^AQ$2)),((INT(AQ$2/$L4)-INT((AQ$2-1)/$L4))*$U4*((1+Inputs!$D$7)^AQ$2))),(_xlfn.WEIBULL.DIST(AQ$2,$M4,$L4,FALSE)*$U4*((1+Inputs!$D$7)^AQ$2))),IF($N4=Lists!$K$3,IF($L4&lt;1,((($T4*(1-$F4)+$S4*(1-$G4))/$L4)*((1+Inputs!$D$7)^AQ$2)),((INT(AQ$2/$L4)-INT((AQ$2-1)/$L4))*($T4*(1-$F4)+$S4*(1-$G4))*((1+Inputs!$D$7)^AQ$2))),((_xlfn.WEIBULL.DIST(AQ$2,$M4,$L4,FALSE)*($T4*(1-$F4)+$S4*(1-$G4))*((1+Inputs!$D$7)^AQ$2))))))</f>
        <v>64.398718531835598</v>
      </c>
      <c r="AR4" s="88">
        <f>$E4*IF(AR$2&gt;Inputs!$D$5,0,IF(AR$2&gt;VLOOKUP($H4,Lists!$P$3:$Q$7,2),IF($N4=Lists!$K$3,IF($L4&lt;1,(($U4/$L4)*((1+Inputs!$D$7)^AR$2)),((INT(AR$2/$L4)-INT((AR$2-1)/$L4))*$U4*((1+Inputs!$D$7)^AR$2))),(_xlfn.WEIBULL.DIST(AR$2,$M4,$L4,FALSE)*$U4*((1+Inputs!$D$7)^AR$2))),IF($N4=Lists!$K$3,IF($L4&lt;1,((($T4*(1-$F4)+$S4*(1-$G4))/$L4)*((1+Inputs!$D$7)^AR$2)),((INT(AR$2/$L4)-INT((AR$2-1)/$L4))*($T4*(1-$F4)+$S4*(1-$G4))*((1+Inputs!$D$7)^AR$2))),((_xlfn.WEIBULL.DIST(AR$2,$M4,$L4,FALSE)*($T4*(1-$F4)+$S4*(1-$G4))*((1+Inputs!$D$7)^AR$2))))))</f>
        <v>65.686692902472302</v>
      </c>
      <c r="AS4" s="88">
        <f>$E4*IF(AS$2&gt;Inputs!$D$5,0,IF(AS$2&gt;VLOOKUP($H4,Lists!$P$3:$Q$7,2),IF($N4=Lists!$K$3,IF($L4&lt;1,(($U4/$L4)*((1+Inputs!$D$7)^AS$2)),((INT(AS$2/$L4)-INT((AS$2-1)/$L4))*$U4*((1+Inputs!$D$7)^AS$2))),(_xlfn.WEIBULL.DIST(AS$2,$M4,$L4,FALSE)*$U4*((1+Inputs!$D$7)^AS$2))),IF($N4=Lists!$K$3,IF($L4&lt;1,((($T4*(1-$F4)+$S4*(1-$G4))/$L4)*((1+Inputs!$D$7)^AS$2)),((INT(AS$2/$L4)-INT((AS$2-1)/$L4))*($T4*(1-$F4)+$S4*(1-$G4))*((1+Inputs!$D$7)^AS$2))),((_xlfn.WEIBULL.DIST(AS$2,$M4,$L4,FALSE)*($T4*(1-$F4)+$S4*(1-$G4))*((1+Inputs!$D$7)^AS$2))))))</f>
        <v>67.000426760521748</v>
      </c>
      <c r="AT4" s="88">
        <f>$E4*IF(AT$2&gt;Inputs!$D$5,0,IF(AT$2&gt;VLOOKUP($H4,Lists!$P$3:$Q$7,2),IF($N4=Lists!$K$3,IF($L4&lt;1,(($U4/$L4)*((1+Inputs!$D$7)^AT$2)),((INT(AT$2/$L4)-INT((AT$2-1)/$L4))*$U4*((1+Inputs!$D$7)^AT$2))),(_xlfn.WEIBULL.DIST(AT$2,$M4,$L4,FALSE)*$U4*((1+Inputs!$D$7)^AT$2))),IF($N4=Lists!$K$3,IF($L4&lt;1,((($T4*(1-$F4)+$S4*(1-$G4))/$L4)*((1+Inputs!$D$7)^AT$2)),((INT(AT$2/$L4)-INT((AT$2-1)/$L4))*($T4*(1-$F4)+$S4*(1-$G4))*((1+Inputs!$D$7)^AT$2))),((_xlfn.WEIBULL.DIST(AT$2,$M4,$L4,FALSE)*($T4*(1-$F4)+$S4*(1-$G4))*((1+Inputs!$D$7)^AT$2))))))</f>
        <v>68.340435295732178</v>
      </c>
      <c r="AU4" s="88">
        <f>$E4*IF(AU$2&gt;Inputs!$D$5,0,IF(AU$2&gt;VLOOKUP($H4,Lists!$P$3:$Q$7,2),IF($N4=Lists!$K$3,IF($L4&lt;1,(($U4/$L4)*((1+Inputs!$D$7)^AU$2)),((INT(AU$2/$L4)-INT((AU$2-1)/$L4))*$U4*((1+Inputs!$D$7)^AU$2))),(_xlfn.WEIBULL.DIST(AU$2,$M4,$L4,FALSE)*$U4*((1+Inputs!$D$7)^AU$2))),IF($N4=Lists!$K$3,IF($L4&lt;1,((($T4*(1-$F4)+$S4*(1-$G4))/$L4)*((1+Inputs!$D$7)^AU$2)),((INT(AU$2/$L4)-INT((AU$2-1)/$L4))*($T4*(1-$F4)+$S4*(1-$G4))*((1+Inputs!$D$7)^AU$2))),((_xlfn.WEIBULL.DIST(AU$2,$M4,$L4,FALSE)*($T4*(1-$F4)+$S4*(1-$G4))*((1+Inputs!$D$7)^AU$2))))))</f>
        <v>69.707244001646828</v>
      </c>
      <c r="AV4" s="88">
        <f>$E4*IF(AV$2&gt;Inputs!$D$5,0,IF(AV$2&gt;VLOOKUP($H4,Lists!$P$3:$Q$7,2),IF($N4=Lists!$K$3,IF($L4&lt;1,(($U4/$L4)*((1+Inputs!$D$7)^AV$2)),((INT(AV$2/$L4)-INT((AV$2-1)/$L4))*$U4*((1+Inputs!$D$7)^AV$2))),(_xlfn.WEIBULL.DIST(AV$2,$M4,$L4,FALSE)*$U4*((1+Inputs!$D$7)^AV$2))),IF($N4=Lists!$K$3,IF($L4&lt;1,((($T4*(1-$F4)+$S4*(1-$G4))/$L4)*((1+Inputs!$D$7)^AV$2)),((INT(AV$2/$L4)-INT((AV$2-1)/$L4))*($T4*(1-$F4)+$S4*(1-$G4))*((1+Inputs!$D$7)^AV$2))),((_xlfn.WEIBULL.DIST(AV$2,$M4,$L4,FALSE)*($T4*(1-$F4)+$S4*(1-$G4))*((1+Inputs!$D$7)^AV$2))))))</f>
        <v>71.101388881679767</v>
      </c>
      <c r="AW4" s="88">
        <f>$E4*IF(AW$2&gt;Inputs!$D$5,0,IF(AW$2&gt;VLOOKUP($H4,Lists!$P$3:$Q$7,2),IF($N4=Lists!$K$3,IF($L4&lt;1,(($U4/$L4)*((1+Inputs!$D$7)^AW$2)),((INT(AW$2/$L4)-INT((AW$2-1)/$L4))*$U4*((1+Inputs!$D$7)^AW$2))),(_xlfn.WEIBULL.DIST(AW$2,$M4,$L4,FALSE)*$U4*((1+Inputs!$D$7)^AW$2))),IF($N4=Lists!$K$3,IF($L4&lt;1,((($T4*(1-$F4)+$S4*(1-$G4))/$L4)*((1+Inputs!$D$7)^AW$2)),((INT(AW$2/$L4)-INT((AW$2-1)/$L4))*($T4*(1-$F4)+$S4*(1-$G4))*((1+Inputs!$D$7)^AW$2))),((_xlfn.WEIBULL.DIST(AW$2,$M4,$L4,FALSE)*($T4*(1-$F4)+$S4*(1-$G4))*((1+Inputs!$D$7)^AW$2))))))</f>
        <v>72.523416659313341</v>
      </c>
      <c r="AX4" s="88">
        <f>$E4*IF(AX$2&gt;Inputs!$D$5,0,IF(AX$2&gt;VLOOKUP($H4,Lists!$P$3:$Q$7,2),IF($N4=Lists!$K$3,IF($L4&lt;1,(($U4/$L4)*((1+Inputs!$D$7)^AX$2)),((INT(AX$2/$L4)-INT((AX$2-1)/$L4))*$U4*((1+Inputs!$D$7)^AX$2))),(_xlfn.WEIBULL.DIST(AX$2,$M4,$L4,FALSE)*$U4*((1+Inputs!$D$7)^AX$2))),IF($N4=Lists!$K$3,IF($L4&lt;1,((($T4*(1-$F4)+$S4*(1-$G4))/$L4)*((1+Inputs!$D$7)^AX$2)),((INT(AX$2/$L4)-INT((AX$2-1)/$L4))*($T4*(1-$F4)+$S4*(1-$G4))*((1+Inputs!$D$7)^AX$2))),((_xlfn.WEIBULL.DIST(AX$2,$M4,$L4,FALSE)*($T4*(1-$F4)+$S4*(1-$G4))*((1+Inputs!$D$7)^AX$2))))))</f>
        <v>73.97388499249962</v>
      </c>
      <c r="AY4" s="88">
        <f>$E4*IF(AY$2&gt;Inputs!$D$5,0,IF(AY$2&gt;VLOOKUP($H4,Lists!$P$3:$Q$7,2),IF($N4=Lists!$K$3,IF($L4&lt;1,(($U4/$L4)*((1+Inputs!$D$7)^AY$2)),((INT(AY$2/$L4)-INT((AY$2-1)/$L4))*$U4*((1+Inputs!$D$7)^AY$2))),(_xlfn.WEIBULL.DIST(AY$2,$M4,$L4,FALSE)*$U4*((1+Inputs!$D$7)^AY$2))),IF($N4=Lists!$K$3,IF($L4&lt;1,((($T4*(1-$F4)+$S4*(1-$G4))/$L4)*((1+Inputs!$D$7)^AY$2)),((INT(AY$2/$L4)-INT((AY$2-1)/$L4))*($T4*(1-$F4)+$S4*(1-$G4))*((1+Inputs!$D$7)^AY$2))),((_xlfn.WEIBULL.DIST(AY$2,$M4,$L4,FALSE)*($T4*(1-$F4)+$S4*(1-$G4))*((1+Inputs!$D$7)^AY$2))))))</f>
        <v>75.453362692349614</v>
      </c>
      <c r="AZ4" s="88">
        <f>$E4*IF(AZ$2&gt;Inputs!$D$5,0,IF(AZ$2&gt;VLOOKUP($H4,Lists!$P$3:$Q$7,2),IF($N4=Lists!$K$3,IF($L4&lt;1,(($U4/$L4)*((1+Inputs!$D$7)^AZ$2)),((INT(AZ$2/$L4)-INT((AZ$2-1)/$L4))*$U4*((1+Inputs!$D$7)^AZ$2))),(_xlfn.WEIBULL.DIST(AZ$2,$M4,$L4,FALSE)*$U4*((1+Inputs!$D$7)^AZ$2))),IF($N4=Lists!$K$3,IF($L4&lt;1,((($T4*(1-$F4)+$S4*(1-$G4))/$L4)*((1+Inputs!$D$7)^AZ$2)),((INT(AZ$2/$L4)-INT((AZ$2-1)/$L4))*($T4*(1-$F4)+$S4*(1-$G4))*((1+Inputs!$D$7)^AZ$2))),((_xlfn.WEIBULL.DIST(AZ$2,$M4,$L4,FALSE)*($T4*(1-$F4)+$S4*(1-$G4))*((1+Inputs!$D$7)^AZ$2))))))</f>
        <v>0</v>
      </c>
      <c r="BA4" s="88">
        <f>$E4*IF(BA$2&gt;Inputs!$D$5,0,IF(BA$2&gt;VLOOKUP($H4,Lists!$P$3:$Q$7,2),IF($N4=Lists!$K$3,IF($L4&lt;1,(($U4/$L4)*((1+Inputs!$D$7)^BA$2)),((INT(BA$2/$L4)-INT((BA$2-1)/$L4))*$U4*((1+Inputs!$D$7)^BA$2))),(_xlfn.WEIBULL.DIST(BA$2,$M4,$L4,FALSE)*$U4*((1+Inputs!$D$7)^BA$2))),IF($N4=Lists!$K$3,IF($L4&lt;1,((($T4*(1-$F4)+$S4*(1-$G4))/$L4)*((1+Inputs!$D$7)^BA$2)),((INT(BA$2/$L4)-INT((BA$2-1)/$L4))*($T4*(1-$F4)+$S4*(1-$G4))*((1+Inputs!$D$7)^BA$2))),((_xlfn.WEIBULL.DIST(BA$2,$M4,$L4,FALSE)*($T4*(1-$F4)+$S4*(1-$G4))*((1+Inputs!$D$7)^BA$2))))))</f>
        <v>0</v>
      </c>
      <c r="BB4" s="88">
        <f>$E4*IF(BB$2&gt;Inputs!$D$5,0,IF(BB$2&gt;VLOOKUP($H4,Lists!$P$3:$Q$7,2),IF($N4=Lists!$K$3,IF($L4&lt;1,(($U4/$L4)*((1+Inputs!$D$7)^BB$2)),((INT(BB$2/$L4)-INT((BB$2-1)/$L4))*$U4*((1+Inputs!$D$7)^BB$2))),(_xlfn.WEIBULL.DIST(BB$2,$M4,$L4,FALSE)*$U4*((1+Inputs!$D$7)^BB$2))),IF($N4=Lists!$K$3,IF($L4&lt;1,((($T4*(1-$F4)+$S4*(1-$G4))/$L4)*((1+Inputs!$D$7)^BB$2)),((INT(BB$2/$L4)-INT((BB$2-1)/$L4))*($T4*(1-$F4)+$S4*(1-$G4))*((1+Inputs!$D$7)^BB$2))),((_xlfn.WEIBULL.DIST(BB$2,$M4,$L4,FALSE)*($T4*(1-$F4)+$S4*(1-$G4))*((1+Inputs!$D$7)^BB$2))))))</f>
        <v>0</v>
      </c>
      <c r="BC4" s="88">
        <f>$E4*IF(BC$2&gt;Inputs!$D$5,0,IF(BC$2&gt;VLOOKUP($H4,Lists!$P$3:$Q$7,2),IF($N4=Lists!$K$3,IF($L4&lt;1,(($U4/$L4)*((1+Inputs!$D$7)^BC$2)),((INT(BC$2/$L4)-INT((BC$2-1)/$L4))*$U4*((1+Inputs!$D$7)^BC$2))),(_xlfn.WEIBULL.DIST(BC$2,$M4,$L4,FALSE)*$U4*((1+Inputs!$D$7)^BC$2))),IF($N4=Lists!$K$3,IF($L4&lt;1,((($T4*(1-$F4)+$S4*(1-$G4))/$L4)*((1+Inputs!$D$7)^BC$2)),((INT(BC$2/$L4)-INT((BC$2-1)/$L4))*($T4*(1-$F4)+$S4*(1-$G4))*((1+Inputs!$D$7)^BC$2))),((_xlfn.WEIBULL.DIST(BC$2,$M4,$L4,FALSE)*($T4*(1-$F4)+$S4*(1-$G4))*((1+Inputs!$D$7)^BC$2))))))</f>
        <v>0</v>
      </c>
      <c r="BD4" s="88">
        <f>$E4*IF(BD$2&gt;Inputs!$D$5,0,IF(BD$2&gt;VLOOKUP($H4,Lists!$P$3:$Q$7,2),IF($N4=Lists!$K$3,IF($L4&lt;1,(($U4/$L4)*((1+Inputs!$D$7)^BD$2)),((INT(BD$2/$L4)-INT((BD$2-1)/$L4))*$U4*((1+Inputs!$D$7)^BD$2))),(_xlfn.WEIBULL.DIST(BD$2,$M4,$L4,FALSE)*$U4*((1+Inputs!$D$7)^BD$2))),IF($N4=Lists!$K$3,IF($L4&lt;1,((($T4*(1-$F4)+$S4*(1-$G4))/$L4)*((1+Inputs!$D$7)^BD$2)),((INT(BD$2/$L4)-INT((BD$2-1)/$L4))*($T4*(1-$F4)+$S4*(1-$G4))*((1+Inputs!$D$7)^BD$2))),((_xlfn.WEIBULL.DIST(BD$2,$M4,$L4,FALSE)*($T4*(1-$F4)+$S4*(1-$G4))*((1+Inputs!$D$7)^BD$2))))))</f>
        <v>0</v>
      </c>
      <c r="BE4" s="88">
        <f>$E4*IF(BE$2&gt;Inputs!$D$5,0,IF(BE$2&gt;VLOOKUP($H4,Lists!$P$3:$Q$7,2),IF($N4=Lists!$K$3,IF($L4&lt;1,(($U4/$L4)*((1+Inputs!$D$7)^BE$2)),((INT(BE$2/$L4)-INT((BE$2-1)/$L4))*$U4*((1+Inputs!$D$7)^BE$2))),(_xlfn.WEIBULL.DIST(BE$2,$M4,$L4,FALSE)*$U4*((1+Inputs!$D$7)^BE$2))),IF($N4=Lists!$K$3,IF($L4&lt;1,((($T4*(1-$F4)+$S4*(1-$G4))/$L4)*((1+Inputs!$D$7)^BE$2)),((INT(BE$2/$L4)-INT((BE$2-1)/$L4))*($T4*(1-$F4)+$S4*(1-$G4))*((1+Inputs!$D$7)^BE$2))),((_xlfn.WEIBULL.DIST(BE$2,$M4,$L4,FALSE)*($T4*(1-$F4)+$S4*(1-$G4))*((1+Inputs!$D$7)^BE$2))))))</f>
        <v>0</v>
      </c>
      <c r="BF4" s="88">
        <f>$E4*IF(BF$2&gt;Inputs!$D$5,0,IF(BF$2&gt;VLOOKUP($H4,Lists!$P$3:$Q$7,2),IF($N4=Lists!$K$3,IF($L4&lt;1,(($U4/$L4)*((1+Inputs!$D$7)^BF$2)),((INT(BF$2/$L4)-INT((BF$2-1)/$L4))*$U4*((1+Inputs!$D$7)^BF$2))),(_xlfn.WEIBULL.DIST(BF$2,$M4,$L4,FALSE)*$U4*((1+Inputs!$D$7)^BF$2))),IF($N4=Lists!$K$3,IF($L4&lt;1,((($T4*(1-$F4)+$S4*(1-$G4))/$L4)*((1+Inputs!$D$7)^BF$2)),((INT(BF$2/$L4)-INT((BF$2-1)/$L4))*($T4*(1-$F4)+$S4*(1-$G4))*((1+Inputs!$D$7)^BF$2))),((_xlfn.WEIBULL.DIST(BF$2,$M4,$L4,FALSE)*($T4*(1-$F4)+$S4*(1-$G4))*((1+Inputs!$D$7)^BF$2))))))</f>
        <v>0</v>
      </c>
      <c r="BG4" s="88">
        <f>$E4*IF(BG$2&gt;Inputs!$D$5,0,IF(BG$2&gt;VLOOKUP($H4,Lists!$P$3:$Q$7,2),IF($N4=Lists!$K$3,IF($L4&lt;1,(($U4/$L4)*((1+Inputs!$D$7)^BG$2)),((INT(BG$2/$L4)-INT((BG$2-1)/$L4))*$U4*((1+Inputs!$D$7)^BG$2))),(_xlfn.WEIBULL.DIST(BG$2,$M4,$L4,FALSE)*$U4*((1+Inputs!$D$7)^BG$2))),IF($N4=Lists!$K$3,IF($L4&lt;1,((($T4*(1-$F4)+$S4*(1-$G4))/$L4)*((1+Inputs!$D$7)^BG$2)),((INT(BG$2/$L4)-INT((BG$2-1)/$L4))*($T4*(1-$F4)+$S4*(1-$G4))*((1+Inputs!$D$7)^BG$2))),((_xlfn.WEIBULL.DIST(BG$2,$M4,$L4,FALSE)*($T4*(1-$F4)+$S4*(1-$G4))*((1+Inputs!$D$7)^BG$2))))))</f>
        <v>0</v>
      </c>
      <c r="BH4" s="88">
        <f>$E4*IF(BH$2&gt;Inputs!$D$5,0,IF(BH$2&gt;VLOOKUP($H4,Lists!$P$3:$Q$7,2),IF($N4=Lists!$K$3,IF($L4&lt;1,(($U4/$L4)*((1+Inputs!$D$7)^BH$2)),((INT(BH$2/$L4)-INT((BH$2-1)/$L4))*$U4*((1+Inputs!$D$7)^BH$2))),(_xlfn.WEIBULL.DIST(BH$2,$M4,$L4,FALSE)*$U4*((1+Inputs!$D$7)^BH$2))),IF($N4=Lists!$K$3,IF($L4&lt;1,((($T4*(1-$F4)+$S4*(1-$G4))/$L4)*((1+Inputs!$D$7)^BH$2)),((INT(BH$2/$L4)-INT((BH$2-1)/$L4))*($T4*(1-$F4)+$S4*(1-$G4))*((1+Inputs!$D$7)^BH$2))),((_xlfn.WEIBULL.DIST(BH$2,$M4,$L4,FALSE)*($T4*(1-$F4)+$S4*(1-$G4))*((1+Inputs!$D$7)^BH$2))))))</f>
        <v>0</v>
      </c>
      <c r="BI4" s="88">
        <f>$E4*IF(BI$2&gt;Inputs!$D$5,0,IF(BI$2&gt;VLOOKUP($H4,Lists!$P$3:$Q$7,2),IF($N4=Lists!$K$3,IF($L4&lt;1,(($U4/$L4)*((1+Inputs!$D$7)^BI$2)),((INT(BI$2/$L4)-INT((BI$2-1)/$L4))*$U4*((1+Inputs!$D$7)^BI$2))),(_xlfn.WEIBULL.DIST(BI$2,$M4,$L4,FALSE)*$U4*((1+Inputs!$D$7)^BI$2))),IF($N4=Lists!$K$3,IF($L4&lt;1,((($T4*(1-$F4)+$S4*(1-$G4))/$L4)*((1+Inputs!$D$7)^BI$2)),((INT(BI$2/$L4)-INT((BI$2-1)/$L4))*($T4*(1-$F4)+$S4*(1-$G4))*((1+Inputs!$D$7)^BI$2))),((_xlfn.WEIBULL.DIST(BI$2,$M4,$L4,FALSE)*($T4*(1-$F4)+$S4*(1-$G4))*((1+Inputs!$D$7)^BI$2))))))</f>
        <v>0</v>
      </c>
      <c r="BJ4" s="88">
        <f>$E4*IF(BJ$2&gt;Inputs!$D$5,0,IF(BJ$2&gt;VLOOKUP($H4,Lists!$P$3:$Q$7,2),IF($N4=Lists!$K$3,IF($L4&lt;1,(($U4/$L4)*((1+Inputs!$D$7)^BJ$2)),((INT(BJ$2/$L4)-INT((BJ$2-1)/$L4))*$U4*((1+Inputs!$D$7)^BJ$2))),(_xlfn.WEIBULL.DIST(BJ$2,$M4,$L4,FALSE)*$U4*((1+Inputs!$D$7)^BJ$2))),IF($N4=Lists!$K$3,IF($L4&lt;1,((($T4*(1-$F4)+$S4*(1-$G4))/$L4)*((1+Inputs!$D$7)^BJ$2)),((INT(BJ$2/$L4)-INT((BJ$2-1)/$L4))*($T4*(1-$F4)+$S4*(1-$G4))*((1+Inputs!$D$7)^BJ$2))),((_xlfn.WEIBULL.DIST(BJ$2,$M4,$L4,FALSE)*($T4*(1-$F4)+$S4*(1-$G4))*((1+Inputs!$D$7)^BJ$2))))))</f>
        <v>0</v>
      </c>
      <c r="BK4" s="88">
        <f>$E4*IF(BK$2&gt;Inputs!$D$5,0,IF(BK$2&gt;VLOOKUP($H4,Lists!$P$3:$Q$7,2),IF($N4=Lists!$K$3,IF($L4&lt;1,(($U4/$L4)*((1+Inputs!$D$7)^BK$2)),((INT(BK$2/$L4)-INT((BK$2-1)/$L4))*$U4*((1+Inputs!$D$7)^BK$2))),(_xlfn.WEIBULL.DIST(BK$2,$M4,$L4,FALSE)*$U4*((1+Inputs!$D$7)^BK$2))),IF($N4=Lists!$K$3,IF($L4&lt;1,((($T4*(1-$F4)+$S4*(1-$G4))/$L4)*((1+Inputs!$D$7)^BK$2)),((INT(BK$2/$L4)-INT((BK$2-1)/$L4))*($T4*(1-$F4)+$S4*(1-$G4))*((1+Inputs!$D$7)^BK$2))),((_xlfn.WEIBULL.DIST(BK$2,$M4,$L4,FALSE)*($T4*(1-$F4)+$S4*(1-$G4))*((1+Inputs!$D$7)^BK$2))))))</f>
        <v>0</v>
      </c>
      <c r="BL4" s="88">
        <f>$E4*IF(BL$2&gt;Inputs!$D$5,0,IF(BL$2&gt;VLOOKUP($H4,Lists!$P$3:$Q$7,2),IF($N4=Lists!$K$3,IF($L4&lt;1,(($U4/$L4)*((1+Inputs!$D$7)^BL$2)),((INT(BL$2/$L4)-INT((BL$2-1)/$L4))*$U4*((1+Inputs!$D$7)^BL$2))),(_xlfn.WEIBULL.DIST(BL$2,$M4,$L4,FALSE)*$U4*((1+Inputs!$D$7)^BL$2))),IF($N4=Lists!$K$3,IF($L4&lt;1,((($T4*(1-$F4)+$S4*(1-$G4))/$L4)*((1+Inputs!$D$7)^BL$2)),((INT(BL$2/$L4)-INT((BL$2-1)/$L4))*($T4*(1-$F4)+$S4*(1-$G4))*((1+Inputs!$D$7)^BL$2))),((_xlfn.WEIBULL.DIST(BL$2,$M4,$L4,FALSE)*($T4*(1-$F4)+$S4*(1-$G4))*((1+Inputs!$D$7)^BL$2))))))</f>
        <v>0</v>
      </c>
      <c r="BM4" s="88">
        <f>$E4*IF(BM$2&gt;Inputs!$D$5,0,IF(BM$2&gt;VLOOKUP($H4,Lists!$P$3:$Q$7,2),IF($N4=Lists!$K$3,IF($L4&lt;1,(($U4/$L4)*((1+Inputs!$D$7)^BM$2)),((INT(BM$2/$L4)-INT((BM$2-1)/$L4))*$U4*((1+Inputs!$D$7)^BM$2))),(_xlfn.WEIBULL.DIST(BM$2,$M4,$L4,FALSE)*$U4*((1+Inputs!$D$7)^BM$2))),IF($N4=Lists!$K$3,IF($L4&lt;1,((($T4*(1-$F4)+$S4*(1-$G4))/$L4)*((1+Inputs!$D$7)^BM$2)),((INT(BM$2/$L4)-INT((BM$2-1)/$L4))*($T4*(1-$F4)+$S4*(1-$G4))*((1+Inputs!$D$7)^BM$2))),((_xlfn.WEIBULL.DIST(BM$2,$M4,$L4,FALSE)*($T4*(1-$F4)+$S4*(1-$G4))*((1+Inputs!$D$7)^BM$2))))))</f>
        <v>0</v>
      </c>
      <c r="BN4" s="88">
        <f>$E4*IF(BN$2&gt;Inputs!$D$5,0,IF(BN$2&gt;VLOOKUP($H4,Lists!$P$3:$Q$7,2),IF($N4=Lists!$K$3,IF($L4&lt;1,(($U4/$L4)*((1+Inputs!$D$7)^BN$2)),((INT(BN$2/$L4)-INT((BN$2-1)/$L4))*$U4*((1+Inputs!$D$7)^BN$2))),(_xlfn.WEIBULL.DIST(BN$2,$M4,$L4,FALSE)*$U4*((1+Inputs!$D$7)^BN$2))),IF($N4=Lists!$K$3,IF($L4&lt;1,((($T4*(1-$F4)+$S4*(1-$G4))/$L4)*((1+Inputs!$D$7)^BN$2)),((INT(BN$2/$L4)-INT((BN$2-1)/$L4))*($T4*(1-$F4)+$S4*(1-$G4))*((1+Inputs!$D$7)^BN$2))),((_xlfn.WEIBULL.DIST(BN$2,$M4,$L4,FALSE)*($T4*(1-$F4)+$S4*(1-$G4))*((1+Inputs!$D$7)^BN$2))))))</f>
        <v>0</v>
      </c>
      <c r="BO4" s="64">
        <f>NPV(Inputs!$D$6,BQ4:DD4)</f>
        <v>654.61425010754374</v>
      </c>
      <c r="BP4" s="67">
        <f t="shared" si="6"/>
        <v>3.0874803908182466E-4</v>
      </c>
      <c r="BQ4" s="88">
        <f>MAX(AA4,($E4*IF(BQ$2&gt;Inputs!$D$5,0,IF(BQ$2&gt;VLOOKUP($H4,Lists!$P$3:$Q$7,2),IF($N4=Lists!$K$3,IF($L4&lt;1,(($U4/$L4)*((1+Inputs!$D$7)^BQ$2)),((INT(BQ$2/$L4)-INT((BQ$2-1)/$L4))*$U4*((1+Inputs!$D$7)^BQ$2))),(Inputs!$D$8^((1-_xlfn.WEIBULL.DIST(BQ$2,$M4,$L4,FALSE))/_xlfn.WEIBULL.DIST(BQ$2,$M4,$L4,FALSE))*$U4*((1+Inputs!$D$7)^BQ$2))),IF($N4=Lists!$K$3,IF($L4&lt;1,((($T4*(1-$F4)+$S4*(1-$G4))/$L4)*((1+Inputs!$D$7)^BQ$2)),((INT(BQ$2/$L4)-INT((BQ$2-1)/$L4))*($T4*(1-$F4)+$S4*(1-$G4))*((1+Inputs!$D$7)^BQ$2))),((Inputs!$D$8^((1-_xlfn.WEIBULL.DIST(BQ$2,$M4,$L4,FALSE))/_xlfn.WEIBULL.DIST(BQ$2,$M4,$L4,FALSE))*($T4*(1-$F4)+$S4*(1-$G4))*((1+Inputs!$D$7)^BQ$2))))))))</f>
        <v>46.91097692307693</v>
      </c>
      <c r="BR4" s="88">
        <f>MAX(AB4,($E4*IF(BR$2&gt;Inputs!$D$5,0,IF(BR$2&gt;VLOOKUP($H4,Lists!$P$3:$Q$7,2),IF($N4=Lists!$K$3,IF($L4&lt;1,(($U4/$L4)*((1+Inputs!$D$7)^BR$2)),((INT(BR$2/$L4)-INT((BR$2-1)/$L4))*$U4*((1+Inputs!$D$7)^BR$2))),(Inputs!$D$8^((1-_xlfn.WEIBULL.DIST(BR$2,$M4,$L4,FALSE))/_xlfn.WEIBULL.DIST(BR$2,$M4,$L4,FALSE))*$U4*((1+Inputs!$D$7)^BR$2))),IF($N4=Lists!$K$3,IF($L4&lt;1,((($T4*(1-$F4)+$S4*(1-$G4))/$L4)*((1+Inputs!$D$7)^BR$2)),((INT(BR$2/$L4)-INT((BR$2-1)/$L4))*($T4*(1-$F4)+$S4*(1-$G4))*((1+Inputs!$D$7)^BR$2))),((Inputs!$D$8^((1-_xlfn.WEIBULL.DIST(BR$2,$M4,$L4,FALSE))/_xlfn.WEIBULL.DIST(BR$2,$M4,$L4,FALSE))*($T4*(1-$F4)+$S4*(1-$G4))*((1+Inputs!$D$7)^BR$2))))))))</f>
        <v>47.849196461538462</v>
      </c>
      <c r="BS4" s="88">
        <f>MAX(AC4,($E4*IF(BS$2&gt;Inputs!$D$5,0,IF(BS$2&gt;VLOOKUP($H4,Lists!$P$3:$Q$7,2),IF($N4=Lists!$K$3,IF($L4&lt;1,(($U4/$L4)*((1+Inputs!$D$7)^BS$2)),((INT(BS$2/$L4)-INT((BS$2-1)/$L4))*$U4*((1+Inputs!$D$7)^BS$2))),(Inputs!$D$8^((1-_xlfn.WEIBULL.DIST(BS$2,$M4,$L4,FALSE))/_xlfn.WEIBULL.DIST(BS$2,$M4,$L4,FALSE))*$U4*((1+Inputs!$D$7)^BS$2))),IF($N4=Lists!$K$3,IF($L4&lt;1,((($T4*(1-$F4)+$S4*(1-$G4))/$L4)*((1+Inputs!$D$7)^BS$2)),((INT(BS$2/$L4)-INT((BS$2-1)/$L4))*($T4*(1-$F4)+$S4*(1-$G4))*((1+Inputs!$D$7)^BS$2))),((Inputs!$D$8^((1-_xlfn.WEIBULL.DIST(BS$2,$M4,$L4,FALSE))/_xlfn.WEIBULL.DIST(BS$2,$M4,$L4,FALSE))*($T4*(1-$F4)+$S4*(1-$G4))*((1+Inputs!$D$7)^BS$2))))))))</f>
        <v>48.806180390769228</v>
      </c>
      <c r="BT4" s="88">
        <f>MAX(AD4,($E4*IF(BT$2&gt;Inputs!$D$5,0,IF(BT$2&gt;VLOOKUP($H4,Lists!$P$3:$Q$7,2),IF($N4=Lists!$K$3,IF($L4&lt;1,(($U4/$L4)*((1+Inputs!$D$7)^BT$2)),((INT(BT$2/$L4)-INT((BT$2-1)/$L4))*$U4*((1+Inputs!$D$7)^BT$2))),(Inputs!$D$8^((1-_xlfn.WEIBULL.DIST(BT$2,$M4,$L4,FALSE))/_xlfn.WEIBULL.DIST(BT$2,$M4,$L4,FALSE))*$U4*((1+Inputs!$D$7)^BT$2))),IF($N4=Lists!$K$3,IF($L4&lt;1,((($T4*(1-$F4)+$S4*(1-$G4))/$L4)*((1+Inputs!$D$7)^BT$2)),((INT(BT$2/$L4)-INT((BT$2-1)/$L4))*($T4*(1-$F4)+$S4*(1-$G4))*((1+Inputs!$D$7)^BT$2))),((Inputs!$D$8^((1-_xlfn.WEIBULL.DIST(BT$2,$M4,$L4,FALSE))/_xlfn.WEIBULL.DIST(BT$2,$M4,$L4,FALSE))*($T4*(1-$F4)+$S4*(1-$G4))*((1+Inputs!$D$7)^BT$2))))))))</f>
        <v>49.782303998584617</v>
      </c>
      <c r="BU4" s="88">
        <f>MAX(AE4,($E4*IF(BU$2&gt;Inputs!$D$5,0,IF(BU$2&gt;VLOOKUP($H4,Lists!$P$3:$Q$7,2),IF($N4=Lists!$K$3,IF($L4&lt;1,(($U4/$L4)*((1+Inputs!$D$7)^BU$2)),((INT(BU$2/$L4)-INT((BU$2-1)/$L4))*$U4*((1+Inputs!$D$7)^BU$2))),(Inputs!$D$8^((1-_xlfn.WEIBULL.DIST(BU$2,$M4,$L4,FALSE))/_xlfn.WEIBULL.DIST(BU$2,$M4,$L4,FALSE))*$U4*((1+Inputs!$D$7)^BU$2))),IF($N4=Lists!$K$3,IF($L4&lt;1,((($T4*(1-$F4)+$S4*(1-$G4))/$L4)*((1+Inputs!$D$7)^BU$2)),((INT(BU$2/$L4)-INT((BU$2-1)/$L4))*($T4*(1-$F4)+$S4*(1-$G4))*((1+Inputs!$D$7)^BU$2))),((Inputs!$D$8^((1-_xlfn.WEIBULL.DIST(BU$2,$M4,$L4,FALSE))/_xlfn.WEIBULL.DIST(BU$2,$M4,$L4,FALSE))*($T4*(1-$F4)+$S4*(1-$G4))*((1+Inputs!$D$7)^BU$2))))))))</f>
        <v>50.777950078556316</v>
      </c>
      <c r="BV4" s="88">
        <f>MAX(AF4,($E4*IF(BV$2&gt;Inputs!$D$5,0,IF(BV$2&gt;VLOOKUP($H4,Lists!$P$3:$Q$7,2),IF($N4=Lists!$K$3,IF($L4&lt;1,(($U4/$L4)*((1+Inputs!$D$7)^BV$2)),((INT(BV$2/$L4)-INT((BV$2-1)/$L4))*$U4*((1+Inputs!$D$7)^BV$2))),(Inputs!$D$8^((1-_xlfn.WEIBULL.DIST(BV$2,$M4,$L4,FALSE))/_xlfn.WEIBULL.DIST(BV$2,$M4,$L4,FALSE))*$U4*((1+Inputs!$D$7)^BV$2))),IF($N4=Lists!$K$3,IF($L4&lt;1,((($T4*(1-$F4)+$S4*(1-$G4))/$L4)*((1+Inputs!$D$7)^BV$2)),((INT(BV$2/$L4)-INT((BV$2-1)/$L4))*($T4*(1-$F4)+$S4*(1-$G4))*((1+Inputs!$D$7)^BV$2))),((Inputs!$D$8^((1-_xlfn.WEIBULL.DIST(BV$2,$M4,$L4,FALSE))/_xlfn.WEIBULL.DIST(BV$2,$M4,$L4,FALSE))*($T4*(1-$F4)+$S4*(1-$G4))*((1+Inputs!$D$7)^BV$2))))))))</f>
        <v>51.793509080127443</v>
      </c>
      <c r="BW4" s="88">
        <f>MAX(AG4,($E4*IF(BW$2&gt;Inputs!$D$5,0,IF(BW$2&gt;VLOOKUP($H4,Lists!$P$3:$Q$7,2),IF($N4=Lists!$K$3,IF($L4&lt;1,(($U4/$L4)*((1+Inputs!$D$7)^BW$2)),((INT(BW$2/$L4)-INT((BW$2-1)/$L4))*$U4*((1+Inputs!$D$7)^BW$2))),(Inputs!$D$8^((1-_xlfn.WEIBULL.DIST(BW$2,$M4,$L4,FALSE))/_xlfn.WEIBULL.DIST(BW$2,$M4,$L4,FALSE))*$U4*((1+Inputs!$D$7)^BW$2))),IF($N4=Lists!$K$3,IF($L4&lt;1,((($T4*(1-$F4)+$S4*(1-$G4))/$L4)*((1+Inputs!$D$7)^BW$2)),((INT(BW$2/$L4)-INT((BW$2-1)/$L4))*($T4*(1-$F4)+$S4*(1-$G4))*((1+Inputs!$D$7)^BW$2))),((Inputs!$D$8^((1-_xlfn.WEIBULL.DIST(BW$2,$M4,$L4,FALSE))/_xlfn.WEIBULL.DIST(BW$2,$M4,$L4,FALSE))*($T4*(1-$F4)+$S4*(1-$G4))*((1+Inputs!$D$7)^BW$2))))))))</f>
        <v>52.829379261729976</v>
      </c>
      <c r="BX4" s="88">
        <f>MAX(AH4,($E4*IF(BX$2&gt;Inputs!$D$5,0,IF(BX$2&gt;VLOOKUP($H4,Lists!$P$3:$Q$7,2),IF($N4=Lists!$K$3,IF($L4&lt;1,(($U4/$L4)*((1+Inputs!$D$7)^BX$2)),((INT(BX$2/$L4)-INT((BX$2-1)/$L4))*$U4*((1+Inputs!$D$7)^BX$2))),(Inputs!$D$8^((1-_xlfn.WEIBULL.DIST(BX$2,$M4,$L4,FALSE))/_xlfn.WEIBULL.DIST(BX$2,$M4,$L4,FALSE))*$U4*((1+Inputs!$D$7)^BX$2))),IF($N4=Lists!$K$3,IF($L4&lt;1,((($T4*(1-$F4)+$S4*(1-$G4))/$L4)*((1+Inputs!$D$7)^BX$2)),((INT(BX$2/$L4)-INT((BX$2-1)/$L4))*($T4*(1-$F4)+$S4*(1-$G4))*((1+Inputs!$D$7)^BX$2))),((Inputs!$D$8^((1-_xlfn.WEIBULL.DIST(BX$2,$M4,$L4,FALSE))/_xlfn.WEIBULL.DIST(BX$2,$M4,$L4,FALSE))*($T4*(1-$F4)+$S4*(1-$G4))*((1+Inputs!$D$7)^BX$2))))))))</f>
        <v>53.885966846964585</v>
      </c>
      <c r="BY4" s="88">
        <f>MAX(AI4,($E4*IF(BY$2&gt;Inputs!$D$5,0,IF(BY$2&gt;VLOOKUP($H4,Lists!$P$3:$Q$7,2),IF($N4=Lists!$K$3,IF($L4&lt;1,(($U4/$L4)*((1+Inputs!$D$7)^BY$2)),((INT(BY$2/$L4)-INT((BY$2-1)/$L4))*$U4*((1+Inputs!$D$7)^BY$2))),(Inputs!$D$8^((1-_xlfn.WEIBULL.DIST(BY$2,$M4,$L4,FALSE))/_xlfn.WEIBULL.DIST(BY$2,$M4,$L4,FALSE))*$U4*((1+Inputs!$D$7)^BY$2))),IF($N4=Lists!$K$3,IF($L4&lt;1,((($T4*(1-$F4)+$S4*(1-$G4))/$L4)*((1+Inputs!$D$7)^BY$2)),((INT(BY$2/$L4)-INT((BY$2-1)/$L4))*($T4*(1-$F4)+$S4*(1-$G4))*((1+Inputs!$D$7)^BY$2))),((Inputs!$D$8^((1-_xlfn.WEIBULL.DIST(BY$2,$M4,$L4,FALSE))/_xlfn.WEIBULL.DIST(BY$2,$M4,$L4,FALSE))*($T4*(1-$F4)+$S4*(1-$G4))*((1+Inputs!$D$7)^BY$2))))))))</f>
        <v>54.963686183903874</v>
      </c>
      <c r="BZ4" s="88">
        <f>MAX(AJ4,($E4*IF(BZ$2&gt;Inputs!$D$5,0,IF(BZ$2&gt;VLOOKUP($H4,Lists!$P$3:$Q$7,2),IF($N4=Lists!$K$3,IF($L4&lt;1,(($U4/$L4)*((1+Inputs!$D$7)^BZ$2)),((INT(BZ$2/$L4)-INT((BZ$2-1)/$L4))*$U4*((1+Inputs!$D$7)^BZ$2))),(Inputs!$D$8^((1-_xlfn.WEIBULL.DIST(BZ$2,$M4,$L4,FALSE))/_xlfn.WEIBULL.DIST(BZ$2,$M4,$L4,FALSE))*$U4*((1+Inputs!$D$7)^BZ$2))),IF($N4=Lists!$K$3,IF($L4&lt;1,((($T4*(1-$F4)+$S4*(1-$G4))/$L4)*((1+Inputs!$D$7)^BZ$2)),((INT(BZ$2/$L4)-INT((BZ$2-1)/$L4))*($T4*(1-$F4)+$S4*(1-$G4))*((1+Inputs!$D$7)^BZ$2))),((Inputs!$D$8^((1-_xlfn.WEIBULL.DIST(BZ$2,$M4,$L4,FALSE))/_xlfn.WEIBULL.DIST(BZ$2,$M4,$L4,FALSE))*($T4*(1-$F4)+$S4*(1-$G4))*((1+Inputs!$D$7)^BZ$2))))))))</f>
        <v>56.062959907581956</v>
      </c>
      <c r="CA4" s="88">
        <f>MAX(AK4,($E4*IF(CA$2&gt;Inputs!$D$5,0,IF(CA$2&gt;VLOOKUP($H4,Lists!$P$3:$Q$7,2),IF($N4=Lists!$K$3,IF($L4&lt;1,(($U4/$L4)*((1+Inputs!$D$7)^CA$2)),((INT(CA$2/$L4)-INT((CA$2-1)/$L4))*$U4*((1+Inputs!$D$7)^CA$2))),(Inputs!$D$8^((1-_xlfn.WEIBULL.DIST(CA$2,$M4,$L4,FALSE))/_xlfn.WEIBULL.DIST(CA$2,$M4,$L4,FALSE))*$U4*((1+Inputs!$D$7)^CA$2))),IF($N4=Lists!$K$3,IF($L4&lt;1,((($T4*(1-$F4)+$S4*(1-$G4))/$L4)*((1+Inputs!$D$7)^CA$2)),((INT(CA$2/$L4)-INT((CA$2-1)/$L4))*($T4*(1-$F4)+$S4*(1-$G4))*((1+Inputs!$D$7)^CA$2))),((Inputs!$D$8^((1-_xlfn.WEIBULL.DIST(CA$2,$M4,$L4,FALSE))/_xlfn.WEIBULL.DIST(CA$2,$M4,$L4,FALSE))*($T4*(1-$F4)+$S4*(1-$G4))*((1+Inputs!$D$7)^CA$2))))))))</f>
        <v>57.184219105733582</v>
      </c>
      <c r="CB4" s="88">
        <f>MAX(AL4,($E4*IF(CB$2&gt;Inputs!$D$5,0,IF(CB$2&gt;VLOOKUP($H4,Lists!$P$3:$Q$7,2),IF($N4=Lists!$K$3,IF($L4&lt;1,(($U4/$L4)*((1+Inputs!$D$7)^CB$2)),((INT(CB$2/$L4)-INT((CB$2-1)/$L4))*$U4*((1+Inputs!$D$7)^CB$2))),(Inputs!$D$8^((1-_xlfn.WEIBULL.DIST(CB$2,$M4,$L4,FALSE))/_xlfn.WEIBULL.DIST(CB$2,$M4,$L4,FALSE))*$U4*((1+Inputs!$D$7)^CB$2))),IF($N4=Lists!$K$3,IF($L4&lt;1,((($T4*(1-$F4)+$S4*(1-$G4))/$L4)*((1+Inputs!$D$7)^CB$2)),((INT(CB$2/$L4)-INT((CB$2-1)/$L4))*($T4*(1-$F4)+$S4*(1-$G4))*((1+Inputs!$D$7)^CB$2))),((Inputs!$D$8^((1-_xlfn.WEIBULL.DIST(CB$2,$M4,$L4,FALSE))/_xlfn.WEIBULL.DIST(CB$2,$M4,$L4,FALSE))*($T4*(1-$F4)+$S4*(1-$G4))*((1+Inputs!$D$7)^CB$2))))))))</f>
        <v>58.327903487848268</v>
      </c>
      <c r="CC4" s="88">
        <f>MAX(AM4,($E4*IF(CC$2&gt;Inputs!$D$5,0,IF(CC$2&gt;VLOOKUP($H4,Lists!$P$3:$Q$7,2),IF($N4=Lists!$K$3,IF($L4&lt;1,(($U4/$L4)*((1+Inputs!$D$7)^CC$2)),((INT(CC$2/$L4)-INT((CC$2-1)/$L4))*$U4*((1+Inputs!$D$7)^CC$2))),(Inputs!$D$8^((1-_xlfn.WEIBULL.DIST(CC$2,$M4,$L4,FALSE))/_xlfn.WEIBULL.DIST(CC$2,$M4,$L4,FALSE))*$U4*((1+Inputs!$D$7)^CC$2))),IF($N4=Lists!$K$3,IF($L4&lt;1,((($T4*(1-$F4)+$S4*(1-$G4))/$L4)*((1+Inputs!$D$7)^CC$2)),((INT(CC$2/$L4)-INT((CC$2-1)/$L4))*($T4*(1-$F4)+$S4*(1-$G4))*((1+Inputs!$D$7)^CC$2))),((Inputs!$D$8^((1-_xlfn.WEIBULL.DIST(CC$2,$M4,$L4,FALSE))/_xlfn.WEIBULL.DIST(CC$2,$M4,$L4,FALSE))*($T4*(1-$F4)+$S4*(1-$G4))*((1+Inputs!$D$7)^CC$2))))))))</f>
        <v>59.494461557605227</v>
      </c>
      <c r="CD4" s="88">
        <f>MAX(AN4,($E4*IF(CD$2&gt;Inputs!$D$5,0,IF(CD$2&gt;VLOOKUP($H4,Lists!$P$3:$Q$7,2),IF($N4=Lists!$K$3,IF($L4&lt;1,(($U4/$L4)*((1+Inputs!$D$7)^CD$2)),((INT(CD$2/$L4)-INT((CD$2-1)/$L4))*$U4*((1+Inputs!$D$7)^CD$2))),(Inputs!$D$8^((1-_xlfn.WEIBULL.DIST(CD$2,$M4,$L4,FALSE))/_xlfn.WEIBULL.DIST(CD$2,$M4,$L4,FALSE))*$U4*((1+Inputs!$D$7)^CD$2))),IF($N4=Lists!$K$3,IF($L4&lt;1,((($T4*(1-$F4)+$S4*(1-$G4))/$L4)*((1+Inputs!$D$7)^CD$2)),((INT(CD$2/$L4)-INT((CD$2-1)/$L4))*($T4*(1-$F4)+$S4*(1-$G4))*((1+Inputs!$D$7)^CD$2))),((Inputs!$D$8^((1-_xlfn.WEIBULL.DIST(CD$2,$M4,$L4,FALSE))/_xlfn.WEIBULL.DIST(CD$2,$M4,$L4,FALSE))*($T4*(1-$F4)+$S4*(1-$G4))*((1+Inputs!$D$7)^CD$2))))))))</f>
        <v>60.684350788757335</v>
      </c>
      <c r="CE4" s="88">
        <f>MAX(AO4,($E4*IF(CE$2&gt;Inputs!$D$5,0,IF(CE$2&gt;VLOOKUP($H4,Lists!$P$3:$Q$7,2),IF($N4=Lists!$K$3,IF($L4&lt;1,(($U4/$L4)*((1+Inputs!$D$7)^CE$2)),((INT(CE$2/$L4)-INT((CE$2-1)/$L4))*$U4*((1+Inputs!$D$7)^CE$2))),(Inputs!$D$8^((1-_xlfn.WEIBULL.DIST(CE$2,$M4,$L4,FALSE))/_xlfn.WEIBULL.DIST(CE$2,$M4,$L4,FALSE))*$U4*((1+Inputs!$D$7)^CE$2))),IF($N4=Lists!$K$3,IF($L4&lt;1,((($T4*(1-$F4)+$S4*(1-$G4))/$L4)*((1+Inputs!$D$7)^CE$2)),((INT(CE$2/$L4)-INT((CE$2-1)/$L4))*($T4*(1-$F4)+$S4*(1-$G4))*((1+Inputs!$D$7)^CE$2))),((Inputs!$D$8^((1-_xlfn.WEIBULL.DIST(CE$2,$M4,$L4,FALSE))/_xlfn.WEIBULL.DIST(CE$2,$M4,$L4,FALSE))*($T4*(1-$F4)+$S4*(1-$G4))*((1+Inputs!$D$7)^CE$2))))))))</f>
        <v>61.898037804532464</v>
      </c>
      <c r="CF4" s="88">
        <f>MAX(AP4,($E4*IF(CF$2&gt;Inputs!$D$5,0,IF(CF$2&gt;VLOOKUP($H4,Lists!$P$3:$Q$7,2),IF($N4=Lists!$K$3,IF($L4&lt;1,(($U4/$L4)*((1+Inputs!$D$7)^CF$2)),((INT(CF$2/$L4)-INT((CF$2-1)/$L4))*$U4*((1+Inputs!$D$7)^CF$2))),(Inputs!$D$8^((1-_xlfn.WEIBULL.DIST(CF$2,$M4,$L4,FALSE))/_xlfn.WEIBULL.DIST(CF$2,$M4,$L4,FALSE))*$U4*((1+Inputs!$D$7)^CF$2))),IF($N4=Lists!$K$3,IF($L4&lt;1,((($T4*(1-$F4)+$S4*(1-$G4))/$L4)*((1+Inputs!$D$7)^CF$2)),((INT(CF$2/$L4)-INT((CF$2-1)/$L4))*($T4*(1-$F4)+$S4*(1-$G4))*((1+Inputs!$D$7)^CF$2))),((Inputs!$D$8^((1-_xlfn.WEIBULL.DIST(CF$2,$M4,$L4,FALSE))/_xlfn.WEIBULL.DIST(CF$2,$M4,$L4,FALSE))*($T4*(1-$F4)+$S4*(1-$G4))*((1+Inputs!$D$7)^CF$2))))))))</f>
        <v>63.135998560623129</v>
      </c>
      <c r="CG4" s="88">
        <f>MAX(AQ4,($E4*IF(CG$2&gt;Inputs!$D$5,0,IF(CG$2&gt;VLOOKUP($H4,Lists!$P$3:$Q$7,2),IF($N4=Lists!$K$3,IF($L4&lt;1,(($U4/$L4)*((1+Inputs!$D$7)^CG$2)),((INT(CG$2/$L4)-INT((CG$2-1)/$L4))*$U4*((1+Inputs!$D$7)^CG$2))),(Inputs!$D$8^((1-_xlfn.WEIBULL.DIST(CG$2,$M4,$L4,FALSE))/_xlfn.WEIBULL.DIST(CG$2,$M4,$L4,FALSE))*$U4*((1+Inputs!$D$7)^CG$2))),IF($N4=Lists!$K$3,IF($L4&lt;1,((($T4*(1-$F4)+$S4*(1-$G4))/$L4)*((1+Inputs!$D$7)^CG$2)),((INT(CG$2/$L4)-INT((CG$2-1)/$L4))*($T4*(1-$F4)+$S4*(1-$G4))*((1+Inputs!$D$7)^CG$2))),((Inputs!$D$8^((1-_xlfn.WEIBULL.DIST(CG$2,$M4,$L4,FALSE))/_xlfn.WEIBULL.DIST(CG$2,$M4,$L4,FALSE))*($T4*(1-$F4)+$S4*(1-$G4))*((1+Inputs!$D$7)^CG$2))))))))</f>
        <v>64.398718531835598</v>
      </c>
      <c r="CH4" s="88">
        <f>MAX(AR4,($E4*IF(CH$2&gt;Inputs!$D$5,0,IF(CH$2&gt;VLOOKUP($H4,Lists!$P$3:$Q$7,2),IF($N4=Lists!$K$3,IF($L4&lt;1,(($U4/$L4)*((1+Inputs!$D$7)^CH$2)),((INT(CH$2/$L4)-INT((CH$2-1)/$L4))*$U4*((1+Inputs!$D$7)^CH$2))),(Inputs!$D$8^((1-_xlfn.WEIBULL.DIST(CH$2,$M4,$L4,FALSE))/_xlfn.WEIBULL.DIST(CH$2,$M4,$L4,FALSE))*$U4*((1+Inputs!$D$7)^CH$2))),IF($N4=Lists!$K$3,IF($L4&lt;1,((($T4*(1-$F4)+$S4*(1-$G4))/$L4)*((1+Inputs!$D$7)^CH$2)),((INT(CH$2/$L4)-INT((CH$2-1)/$L4))*($T4*(1-$F4)+$S4*(1-$G4))*((1+Inputs!$D$7)^CH$2))),((Inputs!$D$8^((1-_xlfn.WEIBULL.DIST(CH$2,$M4,$L4,FALSE))/_xlfn.WEIBULL.DIST(CH$2,$M4,$L4,FALSE))*($T4*(1-$F4)+$S4*(1-$G4))*((1+Inputs!$D$7)^CH$2))))))))</f>
        <v>65.686692902472302</v>
      </c>
      <c r="CI4" s="88">
        <f>MAX(AS4,($E4*IF(CI$2&gt;Inputs!$D$5,0,IF(CI$2&gt;VLOOKUP($H4,Lists!$P$3:$Q$7,2),IF($N4=Lists!$K$3,IF($L4&lt;1,(($U4/$L4)*((1+Inputs!$D$7)^CI$2)),((INT(CI$2/$L4)-INT((CI$2-1)/$L4))*$U4*((1+Inputs!$D$7)^CI$2))),(Inputs!$D$8^((1-_xlfn.WEIBULL.DIST(CI$2,$M4,$L4,FALSE))/_xlfn.WEIBULL.DIST(CI$2,$M4,$L4,FALSE))*$U4*((1+Inputs!$D$7)^CI$2))),IF($N4=Lists!$K$3,IF($L4&lt;1,((($T4*(1-$F4)+$S4*(1-$G4))/$L4)*((1+Inputs!$D$7)^CI$2)),((INT(CI$2/$L4)-INT((CI$2-1)/$L4))*($T4*(1-$F4)+$S4*(1-$G4))*((1+Inputs!$D$7)^CI$2))),((Inputs!$D$8^((1-_xlfn.WEIBULL.DIST(CI$2,$M4,$L4,FALSE))/_xlfn.WEIBULL.DIST(CI$2,$M4,$L4,FALSE))*($T4*(1-$F4)+$S4*(1-$G4))*((1+Inputs!$D$7)^CI$2))))))))</f>
        <v>67.000426760521748</v>
      </c>
      <c r="CJ4" s="88">
        <f>MAX(AT4,($E4*IF(CJ$2&gt;Inputs!$D$5,0,IF(CJ$2&gt;VLOOKUP($H4,Lists!$P$3:$Q$7,2),IF($N4=Lists!$K$3,IF($L4&lt;1,(($U4/$L4)*((1+Inputs!$D$7)^CJ$2)),((INT(CJ$2/$L4)-INT((CJ$2-1)/$L4))*$U4*((1+Inputs!$D$7)^CJ$2))),(Inputs!$D$8^((1-_xlfn.WEIBULL.DIST(CJ$2,$M4,$L4,FALSE))/_xlfn.WEIBULL.DIST(CJ$2,$M4,$L4,FALSE))*$U4*((1+Inputs!$D$7)^CJ$2))),IF($N4=Lists!$K$3,IF($L4&lt;1,((($T4*(1-$F4)+$S4*(1-$G4))/$L4)*((1+Inputs!$D$7)^CJ$2)),((INT(CJ$2/$L4)-INT((CJ$2-1)/$L4))*($T4*(1-$F4)+$S4*(1-$G4))*((1+Inputs!$D$7)^CJ$2))),((Inputs!$D$8^((1-_xlfn.WEIBULL.DIST(CJ$2,$M4,$L4,FALSE))/_xlfn.WEIBULL.DIST(CJ$2,$M4,$L4,FALSE))*($T4*(1-$F4)+$S4*(1-$G4))*((1+Inputs!$D$7)^CJ$2))))))))</f>
        <v>68.340435295732178</v>
      </c>
      <c r="CK4" s="88">
        <f>MAX(AU4,($E4*IF(CK$2&gt;Inputs!$D$5,0,IF(CK$2&gt;VLOOKUP($H4,Lists!$P$3:$Q$7,2),IF($N4=Lists!$K$3,IF($L4&lt;1,(($U4/$L4)*((1+Inputs!$D$7)^CK$2)),((INT(CK$2/$L4)-INT((CK$2-1)/$L4))*$U4*((1+Inputs!$D$7)^CK$2))),(Inputs!$D$8^((1-_xlfn.WEIBULL.DIST(CK$2,$M4,$L4,FALSE))/_xlfn.WEIBULL.DIST(CK$2,$M4,$L4,FALSE))*$U4*((1+Inputs!$D$7)^CK$2))),IF($N4=Lists!$K$3,IF($L4&lt;1,((($T4*(1-$F4)+$S4*(1-$G4))/$L4)*((1+Inputs!$D$7)^CK$2)),((INT(CK$2/$L4)-INT((CK$2-1)/$L4))*($T4*(1-$F4)+$S4*(1-$G4))*((1+Inputs!$D$7)^CK$2))),((Inputs!$D$8^((1-_xlfn.WEIBULL.DIST(CK$2,$M4,$L4,FALSE))/_xlfn.WEIBULL.DIST(CK$2,$M4,$L4,FALSE))*($T4*(1-$F4)+$S4*(1-$G4))*((1+Inputs!$D$7)^CK$2))))))))</f>
        <v>69.707244001646828</v>
      </c>
      <c r="CL4" s="88">
        <f>MAX(AV4,($E4*IF(CL$2&gt;Inputs!$D$5,0,IF(CL$2&gt;VLOOKUP($H4,Lists!$P$3:$Q$7,2),IF($N4=Lists!$K$3,IF($L4&lt;1,(($U4/$L4)*((1+Inputs!$D$7)^CL$2)),((INT(CL$2/$L4)-INT((CL$2-1)/$L4))*$U4*((1+Inputs!$D$7)^CL$2))),(Inputs!$D$8^((1-_xlfn.WEIBULL.DIST(CL$2,$M4,$L4,FALSE))/_xlfn.WEIBULL.DIST(CL$2,$M4,$L4,FALSE))*$U4*((1+Inputs!$D$7)^CL$2))),IF($N4=Lists!$K$3,IF($L4&lt;1,((($T4*(1-$F4)+$S4*(1-$G4))/$L4)*((1+Inputs!$D$7)^CL$2)),((INT(CL$2/$L4)-INT((CL$2-1)/$L4))*($T4*(1-$F4)+$S4*(1-$G4))*((1+Inputs!$D$7)^CL$2))),((Inputs!$D$8^((1-_xlfn.WEIBULL.DIST(CL$2,$M4,$L4,FALSE))/_xlfn.WEIBULL.DIST(CL$2,$M4,$L4,FALSE))*($T4*(1-$F4)+$S4*(1-$G4))*((1+Inputs!$D$7)^CL$2))))))))</f>
        <v>71.101388881679767</v>
      </c>
      <c r="CM4" s="88">
        <f>MAX(AW4,($E4*IF(CM$2&gt;Inputs!$D$5,0,IF(CM$2&gt;VLOOKUP($H4,Lists!$P$3:$Q$7,2),IF($N4=Lists!$K$3,IF($L4&lt;1,(($U4/$L4)*((1+Inputs!$D$7)^CM$2)),((INT(CM$2/$L4)-INT((CM$2-1)/$L4))*$U4*((1+Inputs!$D$7)^CM$2))),(Inputs!$D$8^((1-_xlfn.WEIBULL.DIST(CM$2,$M4,$L4,FALSE))/_xlfn.WEIBULL.DIST(CM$2,$M4,$L4,FALSE))*$U4*((1+Inputs!$D$7)^CM$2))),IF($N4=Lists!$K$3,IF($L4&lt;1,((($T4*(1-$F4)+$S4*(1-$G4))/$L4)*((1+Inputs!$D$7)^CM$2)),((INT(CM$2/$L4)-INT((CM$2-1)/$L4))*($T4*(1-$F4)+$S4*(1-$G4))*((1+Inputs!$D$7)^CM$2))),((Inputs!$D$8^((1-_xlfn.WEIBULL.DIST(CM$2,$M4,$L4,FALSE))/_xlfn.WEIBULL.DIST(CM$2,$M4,$L4,FALSE))*($T4*(1-$F4)+$S4*(1-$G4))*((1+Inputs!$D$7)^CM$2))))))))</f>
        <v>72.523416659313341</v>
      </c>
      <c r="CN4" s="88">
        <f>MAX(AX4,($E4*IF(CN$2&gt;Inputs!$D$5,0,IF(CN$2&gt;VLOOKUP($H4,Lists!$P$3:$Q$7,2),IF($N4=Lists!$K$3,IF($L4&lt;1,(($U4/$L4)*((1+Inputs!$D$7)^CN$2)),((INT(CN$2/$L4)-INT((CN$2-1)/$L4))*$U4*((1+Inputs!$D$7)^CN$2))),(Inputs!$D$8^((1-_xlfn.WEIBULL.DIST(CN$2,$M4,$L4,FALSE))/_xlfn.WEIBULL.DIST(CN$2,$M4,$L4,FALSE))*$U4*((1+Inputs!$D$7)^CN$2))),IF($N4=Lists!$K$3,IF($L4&lt;1,((($T4*(1-$F4)+$S4*(1-$G4))/$L4)*((1+Inputs!$D$7)^CN$2)),((INT(CN$2/$L4)-INT((CN$2-1)/$L4))*($T4*(1-$F4)+$S4*(1-$G4))*((1+Inputs!$D$7)^CN$2))),((Inputs!$D$8^((1-_xlfn.WEIBULL.DIST(CN$2,$M4,$L4,FALSE))/_xlfn.WEIBULL.DIST(CN$2,$M4,$L4,FALSE))*($T4*(1-$F4)+$S4*(1-$G4))*((1+Inputs!$D$7)^CN$2))))))))</f>
        <v>73.97388499249962</v>
      </c>
      <c r="CO4" s="88">
        <f>MAX(AY4,($E4*IF(CO$2&gt;Inputs!$D$5,0,IF(CO$2&gt;VLOOKUP($H4,Lists!$P$3:$Q$7,2),IF($N4=Lists!$K$3,IF($L4&lt;1,(($U4/$L4)*((1+Inputs!$D$7)^CO$2)),((INT(CO$2/$L4)-INT((CO$2-1)/$L4))*$U4*((1+Inputs!$D$7)^CO$2))),(Inputs!$D$8^((1-_xlfn.WEIBULL.DIST(CO$2,$M4,$L4,FALSE))/_xlfn.WEIBULL.DIST(CO$2,$M4,$L4,FALSE))*$U4*((1+Inputs!$D$7)^CO$2))),IF($N4=Lists!$K$3,IF($L4&lt;1,((($T4*(1-$F4)+$S4*(1-$G4))/$L4)*((1+Inputs!$D$7)^CO$2)),((INT(CO$2/$L4)-INT((CO$2-1)/$L4))*($T4*(1-$F4)+$S4*(1-$G4))*((1+Inputs!$D$7)^CO$2))),((Inputs!$D$8^((1-_xlfn.WEIBULL.DIST(CO$2,$M4,$L4,FALSE))/_xlfn.WEIBULL.DIST(CO$2,$M4,$L4,FALSE))*($T4*(1-$F4)+$S4*(1-$G4))*((1+Inputs!$D$7)^CO$2))))))))</f>
        <v>75.453362692349614</v>
      </c>
      <c r="CP4" s="88">
        <f>MAX(AZ4,($E4*IF(CP$2&gt;Inputs!$D$5,0,IF(CP$2&gt;VLOOKUP($H4,Lists!$P$3:$Q$7,2),IF($N4=Lists!$K$3,IF($L4&lt;1,(($U4/$L4)*((1+Inputs!$D$7)^CP$2)),((INT(CP$2/$L4)-INT((CP$2-1)/$L4))*$U4*((1+Inputs!$D$7)^CP$2))),(Inputs!$D$8^((1-_xlfn.WEIBULL.DIST(CP$2,$M4,$L4,FALSE))/_xlfn.WEIBULL.DIST(CP$2,$M4,$L4,FALSE))*$U4*((1+Inputs!$D$7)^CP$2))),IF($N4=Lists!$K$3,IF($L4&lt;1,((($T4*(1-$F4)+$S4*(1-$G4))/$L4)*((1+Inputs!$D$7)^CP$2)),((INT(CP$2/$L4)-INT((CP$2-1)/$L4))*($T4*(1-$F4)+$S4*(1-$G4))*((1+Inputs!$D$7)^CP$2))),((Inputs!$D$8^((1-_xlfn.WEIBULL.DIST(CP$2,$M4,$L4,FALSE))/_xlfn.WEIBULL.DIST(CP$2,$M4,$L4,FALSE))*($T4*(1-$F4)+$S4*(1-$G4))*((1+Inputs!$D$7)^CP$2))))))))</f>
        <v>0</v>
      </c>
      <c r="CQ4" s="88">
        <f>MAX(BA4,($E4*IF(CQ$2&gt;Inputs!$D$5,0,IF(CQ$2&gt;VLOOKUP($H4,Lists!$P$3:$Q$7,2),IF($N4=Lists!$K$3,IF($L4&lt;1,(($U4/$L4)*((1+Inputs!$D$7)^CQ$2)),((INT(CQ$2/$L4)-INT((CQ$2-1)/$L4))*$U4*((1+Inputs!$D$7)^CQ$2))),(Inputs!$D$8^((1-_xlfn.WEIBULL.DIST(CQ$2,$M4,$L4,FALSE))/_xlfn.WEIBULL.DIST(CQ$2,$M4,$L4,FALSE))*$U4*((1+Inputs!$D$7)^CQ$2))),IF($N4=Lists!$K$3,IF($L4&lt;1,((($T4*(1-$F4)+$S4*(1-$G4))/$L4)*((1+Inputs!$D$7)^CQ$2)),((INT(CQ$2/$L4)-INT((CQ$2-1)/$L4))*($T4*(1-$F4)+$S4*(1-$G4))*((1+Inputs!$D$7)^CQ$2))),((Inputs!$D$8^((1-_xlfn.WEIBULL.DIST(CQ$2,$M4,$L4,FALSE))/_xlfn.WEIBULL.DIST(CQ$2,$M4,$L4,FALSE))*($T4*(1-$F4)+$S4*(1-$G4))*((1+Inputs!$D$7)^CQ$2))))))))</f>
        <v>0</v>
      </c>
      <c r="CR4" s="88">
        <f>MAX(BB4,($E4*IF(CR$2&gt;Inputs!$D$5,0,IF(CR$2&gt;VLOOKUP($H4,Lists!$P$3:$Q$7,2),IF($N4=Lists!$K$3,IF($L4&lt;1,(($U4/$L4)*((1+Inputs!$D$7)^CR$2)),((INT(CR$2/$L4)-INT((CR$2-1)/$L4))*$U4*((1+Inputs!$D$7)^CR$2))),(Inputs!$D$8^((1-_xlfn.WEIBULL.DIST(CR$2,$M4,$L4,FALSE))/_xlfn.WEIBULL.DIST(CR$2,$M4,$L4,FALSE))*$U4*((1+Inputs!$D$7)^CR$2))),IF($N4=Lists!$K$3,IF($L4&lt;1,((($T4*(1-$F4)+$S4*(1-$G4))/$L4)*((1+Inputs!$D$7)^CR$2)),((INT(CR$2/$L4)-INT((CR$2-1)/$L4))*($T4*(1-$F4)+$S4*(1-$G4))*((1+Inputs!$D$7)^CR$2))),((Inputs!$D$8^((1-_xlfn.WEIBULL.DIST(CR$2,$M4,$L4,FALSE))/_xlfn.WEIBULL.DIST(CR$2,$M4,$L4,FALSE))*($T4*(1-$F4)+$S4*(1-$G4))*((1+Inputs!$D$7)^CR$2))))))))</f>
        <v>0</v>
      </c>
      <c r="CS4" s="88">
        <f>MAX(BC4,($E4*IF(CS$2&gt;Inputs!$D$5,0,IF(CS$2&gt;VLOOKUP($H4,Lists!$P$3:$Q$7,2),IF($N4=Lists!$K$3,IF($L4&lt;1,(($U4/$L4)*((1+Inputs!$D$7)^CS$2)),((INT(CS$2/$L4)-INT((CS$2-1)/$L4))*$U4*((1+Inputs!$D$7)^CS$2))),(Inputs!$D$8^((1-_xlfn.WEIBULL.DIST(CS$2,$M4,$L4,FALSE))/_xlfn.WEIBULL.DIST(CS$2,$M4,$L4,FALSE))*$U4*((1+Inputs!$D$7)^CS$2))),IF($N4=Lists!$K$3,IF($L4&lt;1,((($T4*(1-$F4)+$S4*(1-$G4))/$L4)*((1+Inputs!$D$7)^CS$2)),((INT(CS$2/$L4)-INT((CS$2-1)/$L4))*($T4*(1-$F4)+$S4*(1-$G4))*((1+Inputs!$D$7)^CS$2))),((Inputs!$D$8^((1-_xlfn.WEIBULL.DIST(CS$2,$M4,$L4,FALSE))/_xlfn.WEIBULL.DIST(CS$2,$M4,$L4,FALSE))*($T4*(1-$F4)+$S4*(1-$G4))*((1+Inputs!$D$7)^CS$2))))))))</f>
        <v>0</v>
      </c>
      <c r="CT4" s="88">
        <f>MAX(BD4,($E4*IF(CT$2&gt;Inputs!$D$5,0,IF(CT$2&gt;VLOOKUP($H4,Lists!$P$3:$Q$7,2),IF($N4=Lists!$K$3,IF($L4&lt;1,(($U4/$L4)*((1+Inputs!$D$7)^CT$2)),((INT(CT$2/$L4)-INT((CT$2-1)/$L4))*$U4*((1+Inputs!$D$7)^CT$2))),(Inputs!$D$8^((1-_xlfn.WEIBULL.DIST(CT$2,$M4,$L4,FALSE))/_xlfn.WEIBULL.DIST(CT$2,$M4,$L4,FALSE))*$U4*((1+Inputs!$D$7)^CT$2))),IF($N4=Lists!$K$3,IF($L4&lt;1,((($T4*(1-$F4)+$S4*(1-$G4))/$L4)*((1+Inputs!$D$7)^CT$2)),((INT(CT$2/$L4)-INT((CT$2-1)/$L4))*($T4*(1-$F4)+$S4*(1-$G4))*((1+Inputs!$D$7)^CT$2))),((Inputs!$D$8^((1-_xlfn.WEIBULL.DIST(CT$2,$M4,$L4,FALSE))/_xlfn.WEIBULL.DIST(CT$2,$M4,$L4,FALSE))*($T4*(1-$F4)+$S4*(1-$G4))*((1+Inputs!$D$7)^CT$2))))))))</f>
        <v>0</v>
      </c>
      <c r="CU4" s="88">
        <f>MAX(BE4,($E4*IF(CU$2&gt;Inputs!$D$5,0,IF(CU$2&gt;VLOOKUP($H4,Lists!$P$3:$Q$7,2),IF($N4=Lists!$K$3,IF($L4&lt;1,(($U4/$L4)*((1+Inputs!$D$7)^CU$2)),((INT(CU$2/$L4)-INT((CU$2-1)/$L4))*$U4*((1+Inputs!$D$7)^CU$2))),(Inputs!$D$8^((1-_xlfn.WEIBULL.DIST(CU$2,$M4,$L4,FALSE))/_xlfn.WEIBULL.DIST(CU$2,$M4,$L4,FALSE))*$U4*((1+Inputs!$D$7)^CU$2))),IF($N4=Lists!$K$3,IF($L4&lt;1,((($T4*(1-$F4)+$S4*(1-$G4))/$L4)*((1+Inputs!$D$7)^CU$2)),((INT(CU$2/$L4)-INT((CU$2-1)/$L4))*($T4*(1-$F4)+$S4*(1-$G4))*((1+Inputs!$D$7)^CU$2))),((Inputs!$D$8^((1-_xlfn.WEIBULL.DIST(CU$2,$M4,$L4,FALSE))/_xlfn.WEIBULL.DIST(CU$2,$M4,$L4,FALSE))*($T4*(1-$F4)+$S4*(1-$G4))*((1+Inputs!$D$7)^CU$2))))))))</f>
        <v>0</v>
      </c>
      <c r="CV4" s="88">
        <f>MAX(BF4,($E4*IF(CV$2&gt;Inputs!$D$5,0,IF(CV$2&gt;VLOOKUP($H4,Lists!$P$3:$Q$7,2),IF($N4=Lists!$K$3,IF($L4&lt;1,(($U4/$L4)*((1+Inputs!$D$7)^CV$2)),((INT(CV$2/$L4)-INT((CV$2-1)/$L4))*$U4*((1+Inputs!$D$7)^CV$2))),(Inputs!$D$8^((1-_xlfn.WEIBULL.DIST(CV$2,$M4,$L4,FALSE))/_xlfn.WEIBULL.DIST(CV$2,$M4,$L4,FALSE))*$U4*((1+Inputs!$D$7)^CV$2))),IF($N4=Lists!$K$3,IF($L4&lt;1,((($T4*(1-$F4)+$S4*(1-$G4))/$L4)*((1+Inputs!$D$7)^CV$2)),((INT(CV$2/$L4)-INT((CV$2-1)/$L4))*($T4*(1-$F4)+$S4*(1-$G4))*((1+Inputs!$D$7)^CV$2))),((Inputs!$D$8^((1-_xlfn.WEIBULL.DIST(CV$2,$M4,$L4,FALSE))/_xlfn.WEIBULL.DIST(CV$2,$M4,$L4,FALSE))*($T4*(1-$F4)+$S4*(1-$G4))*((1+Inputs!$D$7)^CV$2))))))))</f>
        <v>0</v>
      </c>
      <c r="CW4" s="88">
        <f>MAX(BG4,($E4*IF(CW$2&gt;Inputs!$D$5,0,IF(CW$2&gt;VLOOKUP($H4,Lists!$P$3:$Q$7,2),IF($N4=Lists!$K$3,IF($L4&lt;1,(($U4/$L4)*((1+Inputs!$D$7)^CW$2)),((INT(CW$2/$L4)-INT((CW$2-1)/$L4))*$U4*((1+Inputs!$D$7)^CW$2))),(Inputs!$D$8^((1-_xlfn.WEIBULL.DIST(CW$2,$M4,$L4,FALSE))/_xlfn.WEIBULL.DIST(CW$2,$M4,$L4,FALSE))*$U4*((1+Inputs!$D$7)^CW$2))),IF($N4=Lists!$K$3,IF($L4&lt;1,((($T4*(1-$F4)+$S4*(1-$G4))/$L4)*((1+Inputs!$D$7)^CW$2)),((INT(CW$2/$L4)-INT((CW$2-1)/$L4))*($T4*(1-$F4)+$S4*(1-$G4))*((1+Inputs!$D$7)^CW$2))),((Inputs!$D$8^((1-_xlfn.WEIBULL.DIST(CW$2,$M4,$L4,FALSE))/_xlfn.WEIBULL.DIST(CW$2,$M4,$L4,FALSE))*($T4*(1-$F4)+$S4*(1-$G4))*((1+Inputs!$D$7)^CW$2))))))))</f>
        <v>0</v>
      </c>
      <c r="CX4" s="88">
        <f>MAX(BH4,($E4*IF(CX$2&gt;Inputs!$D$5,0,IF(CX$2&gt;VLOOKUP($H4,Lists!$P$3:$Q$7,2),IF($N4=Lists!$K$3,IF($L4&lt;1,(($U4/$L4)*((1+Inputs!$D$7)^CX$2)),((INT(CX$2/$L4)-INT((CX$2-1)/$L4))*$U4*((1+Inputs!$D$7)^CX$2))),(Inputs!$D$8^((1-_xlfn.WEIBULL.DIST(CX$2,$M4,$L4,FALSE))/_xlfn.WEIBULL.DIST(CX$2,$M4,$L4,FALSE))*$U4*((1+Inputs!$D$7)^CX$2))),IF($N4=Lists!$K$3,IF($L4&lt;1,((($T4*(1-$F4)+$S4*(1-$G4))/$L4)*((1+Inputs!$D$7)^CX$2)),((INT(CX$2/$L4)-INT((CX$2-1)/$L4))*($T4*(1-$F4)+$S4*(1-$G4))*((1+Inputs!$D$7)^CX$2))),((Inputs!$D$8^((1-_xlfn.WEIBULL.DIST(CX$2,$M4,$L4,FALSE))/_xlfn.WEIBULL.DIST(CX$2,$M4,$L4,FALSE))*($T4*(1-$F4)+$S4*(1-$G4))*((1+Inputs!$D$7)^CX$2))))))))</f>
        <v>0</v>
      </c>
      <c r="CY4" s="88">
        <f>MAX(BI4,($E4*IF(CY$2&gt;Inputs!$D$5,0,IF(CY$2&gt;VLOOKUP($H4,Lists!$P$3:$Q$7,2),IF($N4=Lists!$K$3,IF($L4&lt;1,(($U4/$L4)*((1+Inputs!$D$7)^CY$2)),((INT(CY$2/$L4)-INT((CY$2-1)/$L4))*$U4*((1+Inputs!$D$7)^CY$2))),(Inputs!$D$8^((1-_xlfn.WEIBULL.DIST(CY$2,$M4,$L4,FALSE))/_xlfn.WEIBULL.DIST(CY$2,$M4,$L4,FALSE))*$U4*((1+Inputs!$D$7)^CY$2))),IF($N4=Lists!$K$3,IF($L4&lt;1,((($T4*(1-$F4)+$S4*(1-$G4))/$L4)*((1+Inputs!$D$7)^CY$2)),((INT(CY$2/$L4)-INT((CY$2-1)/$L4))*($T4*(1-$F4)+$S4*(1-$G4))*((1+Inputs!$D$7)^CY$2))),((Inputs!$D$8^((1-_xlfn.WEIBULL.DIST(CY$2,$M4,$L4,FALSE))/_xlfn.WEIBULL.DIST(CY$2,$M4,$L4,FALSE))*($T4*(1-$F4)+$S4*(1-$G4))*((1+Inputs!$D$7)^CY$2))))))))</f>
        <v>0</v>
      </c>
      <c r="CZ4" s="88">
        <f>MAX(BJ4,($E4*IF(CZ$2&gt;Inputs!$D$5,0,IF(CZ$2&gt;VLOOKUP($H4,Lists!$P$3:$Q$7,2),IF($N4=Lists!$K$3,IF($L4&lt;1,(($U4/$L4)*((1+Inputs!$D$7)^CZ$2)),((INT(CZ$2/$L4)-INT((CZ$2-1)/$L4))*$U4*((1+Inputs!$D$7)^CZ$2))),(Inputs!$D$8^((1-_xlfn.WEIBULL.DIST(CZ$2,$M4,$L4,FALSE))/_xlfn.WEIBULL.DIST(CZ$2,$M4,$L4,FALSE))*$U4*((1+Inputs!$D$7)^CZ$2))),IF($N4=Lists!$K$3,IF($L4&lt;1,((($T4*(1-$F4)+$S4*(1-$G4))/$L4)*((1+Inputs!$D$7)^CZ$2)),((INT(CZ$2/$L4)-INT((CZ$2-1)/$L4))*($T4*(1-$F4)+$S4*(1-$G4))*((1+Inputs!$D$7)^CZ$2))),((Inputs!$D$8^((1-_xlfn.WEIBULL.DIST(CZ$2,$M4,$L4,FALSE))/_xlfn.WEIBULL.DIST(CZ$2,$M4,$L4,FALSE))*($T4*(1-$F4)+$S4*(1-$G4))*((1+Inputs!$D$7)^CZ$2))))))))</f>
        <v>0</v>
      </c>
      <c r="DA4" s="88">
        <f>MAX(BK4,($E4*IF(DA$2&gt;Inputs!$D$5,0,IF(DA$2&gt;VLOOKUP($H4,Lists!$P$3:$Q$7,2),IF($N4=Lists!$K$3,IF($L4&lt;1,(($U4/$L4)*((1+Inputs!$D$7)^DA$2)),((INT(DA$2/$L4)-INT((DA$2-1)/$L4))*$U4*((1+Inputs!$D$7)^DA$2))),(Inputs!$D$8^((1-_xlfn.WEIBULL.DIST(DA$2,$M4,$L4,FALSE))/_xlfn.WEIBULL.DIST(DA$2,$M4,$L4,FALSE))*$U4*((1+Inputs!$D$7)^DA$2))),IF($N4=Lists!$K$3,IF($L4&lt;1,((($T4*(1-$F4)+$S4*(1-$G4))/$L4)*((1+Inputs!$D$7)^DA$2)),((INT(DA$2/$L4)-INT((DA$2-1)/$L4))*($T4*(1-$F4)+$S4*(1-$G4))*((1+Inputs!$D$7)^DA$2))),((Inputs!$D$8^((1-_xlfn.WEIBULL.DIST(DA$2,$M4,$L4,FALSE))/_xlfn.WEIBULL.DIST(DA$2,$M4,$L4,FALSE))*($T4*(1-$F4)+$S4*(1-$G4))*((1+Inputs!$D$7)^DA$2))))))))</f>
        <v>0</v>
      </c>
      <c r="DB4" s="88">
        <f>MAX(BL4,($E4*IF(DB$2&gt;Inputs!$D$5,0,IF(DB$2&gt;VLOOKUP($H4,Lists!$P$3:$Q$7,2),IF($N4=Lists!$K$3,IF($L4&lt;1,(($U4/$L4)*((1+Inputs!$D$7)^DB$2)),((INT(DB$2/$L4)-INT((DB$2-1)/$L4))*$U4*((1+Inputs!$D$7)^DB$2))),(Inputs!$D$8^((1-_xlfn.WEIBULL.DIST(DB$2,$M4,$L4,FALSE))/_xlfn.WEIBULL.DIST(DB$2,$M4,$L4,FALSE))*$U4*((1+Inputs!$D$7)^DB$2))),IF($N4=Lists!$K$3,IF($L4&lt;1,((($T4*(1-$F4)+$S4*(1-$G4))/$L4)*((1+Inputs!$D$7)^DB$2)),((INT(DB$2/$L4)-INT((DB$2-1)/$L4))*($T4*(1-$F4)+$S4*(1-$G4))*((1+Inputs!$D$7)^DB$2))),((Inputs!$D$8^((1-_xlfn.WEIBULL.DIST(DB$2,$M4,$L4,FALSE))/_xlfn.WEIBULL.DIST(DB$2,$M4,$L4,FALSE))*($T4*(1-$F4)+$S4*(1-$G4))*((1+Inputs!$D$7)^DB$2))))))))</f>
        <v>0</v>
      </c>
      <c r="DC4" s="88">
        <f>MAX(BM4,($E4*IF(DC$2&gt;Inputs!$D$5,0,IF(DC$2&gt;VLOOKUP($H4,Lists!$P$3:$Q$7,2),IF($N4=Lists!$K$3,IF($L4&lt;1,(($U4/$L4)*((1+Inputs!$D$7)^DC$2)),((INT(DC$2/$L4)-INT((DC$2-1)/$L4))*$U4*((1+Inputs!$D$7)^DC$2))),(Inputs!$D$8^((1-_xlfn.WEIBULL.DIST(DC$2,$M4,$L4,FALSE))/_xlfn.WEIBULL.DIST(DC$2,$M4,$L4,FALSE))*$U4*((1+Inputs!$D$7)^DC$2))),IF($N4=Lists!$K$3,IF($L4&lt;1,((($T4*(1-$F4)+$S4*(1-$G4))/$L4)*((1+Inputs!$D$7)^DC$2)),((INT(DC$2/$L4)-INT((DC$2-1)/$L4))*($T4*(1-$F4)+$S4*(1-$G4))*((1+Inputs!$D$7)^DC$2))),((Inputs!$D$8^((1-_xlfn.WEIBULL.DIST(DC$2,$M4,$L4,FALSE))/_xlfn.WEIBULL.DIST(DC$2,$M4,$L4,FALSE))*($T4*(1-$F4)+$S4*(1-$G4))*((1+Inputs!$D$7)^DC$2))))))))</f>
        <v>0</v>
      </c>
      <c r="DD4" s="88">
        <f>MAX(BN4,($E4*IF(DD$2&gt;Inputs!$D$5,0,IF(DD$2&gt;VLOOKUP($H4,Lists!$P$3:$Q$7,2),IF($N4=Lists!$K$3,IF($L4&lt;1,(($U4/$L4)*((1+Inputs!$D$7)^DD$2)),((INT(DD$2/$L4)-INT((DD$2-1)/$L4))*$U4*((1+Inputs!$D$7)^DD$2))),(Inputs!$D$8^((1-_xlfn.WEIBULL.DIST(DD$2,$M4,$L4,FALSE))/_xlfn.WEIBULL.DIST(DD$2,$M4,$L4,FALSE))*$U4*((1+Inputs!$D$7)^DD$2))),IF($N4=Lists!$K$3,IF($L4&lt;1,((($T4*(1-$F4)+$S4*(1-$G4))/$L4)*((1+Inputs!$D$7)^DD$2)),((INT(DD$2/$L4)-INT((DD$2-1)/$L4))*($T4*(1-$F4)+$S4*(1-$G4))*((1+Inputs!$D$7)^DD$2))),((Inputs!$D$8^((1-_xlfn.WEIBULL.DIST(DD$2,$M4,$L4,FALSE))/_xlfn.WEIBULL.DIST(DD$2,$M4,$L4,FALSE))*($T4*(1-$F4)+$S4*(1-$G4))*((1+Inputs!$D$7)^DD$2))))))))</f>
        <v>0</v>
      </c>
    </row>
    <row r="5" spans="1:108" s="1" customFormat="1" ht="32">
      <c r="A5" s="57" t="s">
        <v>152</v>
      </c>
      <c r="B5" s="13" t="s">
        <v>129</v>
      </c>
      <c r="C5" s="13" t="s">
        <v>471</v>
      </c>
      <c r="D5" s="13" t="s">
        <v>124</v>
      </c>
      <c r="E5" s="48">
        <f>IF(Inputs!D41=Lists!I4,0,1)</f>
        <v>1</v>
      </c>
      <c r="F5" s="48">
        <v>0</v>
      </c>
      <c r="G5" s="48">
        <v>0</v>
      </c>
      <c r="H5" s="105" t="s">
        <v>350</v>
      </c>
      <c r="I5" s="14"/>
      <c r="J5" s="14" t="s">
        <v>248</v>
      </c>
      <c r="K5" s="13">
        <f>VLOOKUP(J5,'Labor Rates'!$A$1:$F$16,2)</f>
        <v>22.995576923076925</v>
      </c>
      <c r="L5" s="15">
        <v>1</v>
      </c>
      <c r="M5" s="15">
        <v>1</v>
      </c>
      <c r="N5" s="13" t="s">
        <v>236</v>
      </c>
      <c r="O5" s="61">
        <v>1</v>
      </c>
      <c r="P5" s="15">
        <v>2</v>
      </c>
      <c r="Q5" s="15">
        <f t="shared" si="0"/>
        <v>2</v>
      </c>
      <c r="R5" s="4">
        <v>0</v>
      </c>
      <c r="S5" s="53">
        <f t="shared" si="1"/>
        <v>45.99115384615385</v>
      </c>
      <c r="T5" s="53">
        <f t="shared" si="2"/>
        <v>0</v>
      </c>
      <c r="U5" s="54">
        <f t="shared" si="3"/>
        <v>45.99115384615385</v>
      </c>
      <c r="V5" s="65"/>
      <c r="W5" s="58"/>
      <c r="X5" s="64">
        <f t="shared" si="4"/>
        <v>56.990667696424758</v>
      </c>
      <c r="Y5" s="64">
        <f>NPV(Inputs!$D$6,AA5:BN5)</f>
        <v>654.61425010754374</v>
      </c>
      <c r="Z5" s="67">
        <f t="shared" si="5"/>
        <v>3.0874803908182466E-4</v>
      </c>
      <c r="AA5" s="88">
        <f>$E5*IF(AA$2&gt;Inputs!$D$5,0,IF(AA$2&gt;VLOOKUP($H5,Lists!$P$3:$Q$7,2),IF($N5=Lists!$K$3,IF($L5&lt;1,(($U5/$L5)*((1+Inputs!$D$7)^AA$2)),((INT(AA$2/$L5)-INT((AA$2-1)/$L5))*$U5*((1+Inputs!$D$7)^AA$2))),(_xlfn.WEIBULL.DIST(AA$2,$M5,$L5,FALSE)*$U5*((1+Inputs!$D$7)^AA$2))),IF($N5=Lists!$K$3,IF($L5&lt;1,((($T5*(1-$F5)+$S5*(1-$G5))/$L5)*((1+Inputs!$D$7)^AA$2)),((INT(AA$2/$L5)-INT((AA$2-1)/$L5))*($T5*(1-$F5)+$S5*(1-$G5))*((1+Inputs!$D$7)^AA$2))),((_xlfn.WEIBULL.DIST(AA$2,$M5,$L5,FALSE)*($T5*(1-$F5)+$S5*(1-$G5))*((1+Inputs!$D$7)^AA$2))))))</f>
        <v>46.91097692307693</v>
      </c>
      <c r="AB5" s="88">
        <f>$E5*IF(AB$2&gt;Inputs!$D$5,0,IF(AB$2&gt;VLOOKUP($H5,Lists!$P$3:$Q$7,2),IF($N5=Lists!$K$3,IF($L5&lt;1,(($U5/$L5)*((1+Inputs!$D$7)^AB$2)),((INT(AB$2/$L5)-INT((AB$2-1)/$L5))*$U5*((1+Inputs!$D$7)^AB$2))),(_xlfn.WEIBULL.DIST(AB$2,$M5,$L5,FALSE)*$U5*((1+Inputs!$D$7)^AB$2))),IF($N5=Lists!$K$3,IF($L5&lt;1,((($T5*(1-$F5)+$S5*(1-$G5))/$L5)*((1+Inputs!$D$7)^AB$2)),((INT(AB$2/$L5)-INT((AB$2-1)/$L5))*($T5*(1-$F5)+$S5*(1-$G5))*((1+Inputs!$D$7)^AB$2))),((_xlfn.WEIBULL.DIST(AB$2,$M5,$L5,FALSE)*($T5*(1-$F5)+$S5*(1-$G5))*((1+Inputs!$D$7)^AB$2))))))</f>
        <v>47.849196461538462</v>
      </c>
      <c r="AC5" s="88">
        <f>$E5*IF(AC$2&gt;Inputs!$D$5,0,IF(AC$2&gt;VLOOKUP($H5,Lists!$P$3:$Q$7,2),IF($N5=Lists!$K$3,IF($L5&lt;1,(($U5/$L5)*((1+Inputs!$D$7)^AC$2)),((INT(AC$2/$L5)-INT((AC$2-1)/$L5))*$U5*((1+Inputs!$D$7)^AC$2))),(_xlfn.WEIBULL.DIST(AC$2,$M5,$L5,FALSE)*$U5*((1+Inputs!$D$7)^AC$2))),IF($N5=Lists!$K$3,IF($L5&lt;1,((($T5*(1-$F5)+$S5*(1-$G5))/$L5)*((1+Inputs!$D$7)^AC$2)),((INT(AC$2/$L5)-INT((AC$2-1)/$L5))*($T5*(1-$F5)+$S5*(1-$G5))*((1+Inputs!$D$7)^AC$2))),((_xlfn.WEIBULL.DIST(AC$2,$M5,$L5,FALSE)*($T5*(1-$F5)+$S5*(1-$G5))*((1+Inputs!$D$7)^AC$2))))))</f>
        <v>48.806180390769228</v>
      </c>
      <c r="AD5" s="88">
        <f>$E5*IF(AD$2&gt;Inputs!$D$5,0,IF(AD$2&gt;VLOOKUP($H5,Lists!$P$3:$Q$7,2),IF($N5=Lists!$K$3,IF($L5&lt;1,(($U5/$L5)*((1+Inputs!$D$7)^AD$2)),((INT(AD$2/$L5)-INT((AD$2-1)/$L5))*$U5*((1+Inputs!$D$7)^AD$2))),(_xlfn.WEIBULL.DIST(AD$2,$M5,$L5,FALSE)*$U5*((1+Inputs!$D$7)^AD$2))),IF($N5=Lists!$K$3,IF($L5&lt;1,((($T5*(1-$F5)+$S5*(1-$G5))/$L5)*((1+Inputs!$D$7)^AD$2)),((INT(AD$2/$L5)-INT((AD$2-1)/$L5))*($T5*(1-$F5)+$S5*(1-$G5))*((1+Inputs!$D$7)^AD$2))),((_xlfn.WEIBULL.DIST(AD$2,$M5,$L5,FALSE)*($T5*(1-$F5)+$S5*(1-$G5))*((1+Inputs!$D$7)^AD$2))))))</f>
        <v>49.782303998584617</v>
      </c>
      <c r="AE5" s="88">
        <f>$E5*IF(AE$2&gt;Inputs!$D$5,0,IF(AE$2&gt;VLOOKUP($H5,Lists!$P$3:$Q$7,2),IF($N5=Lists!$K$3,IF($L5&lt;1,(($U5/$L5)*((1+Inputs!$D$7)^AE$2)),((INT(AE$2/$L5)-INT((AE$2-1)/$L5))*$U5*((1+Inputs!$D$7)^AE$2))),(_xlfn.WEIBULL.DIST(AE$2,$M5,$L5,FALSE)*$U5*((1+Inputs!$D$7)^AE$2))),IF($N5=Lists!$K$3,IF($L5&lt;1,((($T5*(1-$F5)+$S5*(1-$G5))/$L5)*((1+Inputs!$D$7)^AE$2)),((INT(AE$2/$L5)-INT((AE$2-1)/$L5))*($T5*(1-$F5)+$S5*(1-$G5))*((1+Inputs!$D$7)^AE$2))),((_xlfn.WEIBULL.DIST(AE$2,$M5,$L5,FALSE)*($T5*(1-$F5)+$S5*(1-$G5))*((1+Inputs!$D$7)^AE$2))))))</f>
        <v>50.777950078556316</v>
      </c>
      <c r="AF5" s="88">
        <f>$E5*IF(AF$2&gt;Inputs!$D$5,0,IF(AF$2&gt;VLOOKUP($H5,Lists!$P$3:$Q$7,2),IF($N5=Lists!$K$3,IF($L5&lt;1,(($U5/$L5)*((1+Inputs!$D$7)^AF$2)),((INT(AF$2/$L5)-INT((AF$2-1)/$L5))*$U5*((1+Inputs!$D$7)^AF$2))),(_xlfn.WEIBULL.DIST(AF$2,$M5,$L5,FALSE)*$U5*((1+Inputs!$D$7)^AF$2))),IF($N5=Lists!$K$3,IF($L5&lt;1,((($T5*(1-$F5)+$S5*(1-$G5))/$L5)*((1+Inputs!$D$7)^AF$2)),((INT(AF$2/$L5)-INT((AF$2-1)/$L5))*($T5*(1-$F5)+$S5*(1-$G5))*((1+Inputs!$D$7)^AF$2))),((_xlfn.WEIBULL.DIST(AF$2,$M5,$L5,FALSE)*($T5*(1-$F5)+$S5*(1-$G5))*((1+Inputs!$D$7)^AF$2))))))</f>
        <v>51.793509080127443</v>
      </c>
      <c r="AG5" s="88">
        <f>$E5*IF(AG$2&gt;Inputs!$D$5,0,IF(AG$2&gt;VLOOKUP($H5,Lists!$P$3:$Q$7,2),IF($N5=Lists!$K$3,IF($L5&lt;1,(($U5/$L5)*((1+Inputs!$D$7)^AG$2)),((INT(AG$2/$L5)-INT((AG$2-1)/$L5))*$U5*((1+Inputs!$D$7)^AG$2))),(_xlfn.WEIBULL.DIST(AG$2,$M5,$L5,FALSE)*$U5*((1+Inputs!$D$7)^AG$2))),IF($N5=Lists!$K$3,IF($L5&lt;1,((($T5*(1-$F5)+$S5*(1-$G5))/$L5)*((1+Inputs!$D$7)^AG$2)),((INT(AG$2/$L5)-INT((AG$2-1)/$L5))*($T5*(1-$F5)+$S5*(1-$G5))*((1+Inputs!$D$7)^AG$2))),((_xlfn.WEIBULL.DIST(AG$2,$M5,$L5,FALSE)*($T5*(1-$F5)+$S5*(1-$G5))*((1+Inputs!$D$7)^AG$2))))))</f>
        <v>52.829379261729976</v>
      </c>
      <c r="AH5" s="88">
        <f>$E5*IF(AH$2&gt;Inputs!$D$5,0,IF(AH$2&gt;VLOOKUP($H5,Lists!$P$3:$Q$7,2),IF($N5=Lists!$K$3,IF($L5&lt;1,(($U5/$L5)*((1+Inputs!$D$7)^AH$2)),((INT(AH$2/$L5)-INT((AH$2-1)/$L5))*$U5*((1+Inputs!$D$7)^AH$2))),(_xlfn.WEIBULL.DIST(AH$2,$M5,$L5,FALSE)*$U5*((1+Inputs!$D$7)^AH$2))),IF($N5=Lists!$K$3,IF($L5&lt;1,((($T5*(1-$F5)+$S5*(1-$G5))/$L5)*((1+Inputs!$D$7)^AH$2)),((INT(AH$2/$L5)-INT((AH$2-1)/$L5))*($T5*(1-$F5)+$S5*(1-$G5))*((1+Inputs!$D$7)^AH$2))),((_xlfn.WEIBULL.DIST(AH$2,$M5,$L5,FALSE)*($T5*(1-$F5)+$S5*(1-$G5))*((1+Inputs!$D$7)^AH$2))))))</f>
        <v>53.885966846964585</v>
      </c>
      <c r="AI5" s="88">
        <f>$E5*IF(AI$2&gt;Inputs!$D$5,0,IF(AI$2&gt;VLOOKUP($H5,Lists!$P$3:$Q$7,2),IF($N5=Lists!$K$3,IF($L5&lt;1,(($U5/$L5)*((1+Inputs!$D$7)^AI$2)),((INT(AI$2/$L5)-INT((AI$2-1)/$L5))*$U5*((1+Inputs!$D$7)^AI$2))),(_xlfn.WEIBULL.DIST(AI$2,$M5,$L5,FALSE)*$U5*((1+Inputs!$D$7)^AI$2))),IF($N5=Lists!$K$3,IF($L5&lt;1,((($T5*(1-$F5)+$S5*(1-$G5))/$L5)*((1+Inputs!$D$7)^AI$2)),((INT(AI$2/$L5)-INT((AI$2-1)/$L5))*($T5*(1-$F5)+$S5*(1-$G5))*((1+Inputs!$D$7)^AI$2))),((_xlfn.WEIBULL.DIST(AI$2,$M5,$L5,FALSE)*($T5*(1-$F5)+$S5*(1-$G5))*((1+Inputs!$D$7)^AI$2))))))</f>
        <v>54.963686183903874</v>
      </c>
      <c r="AJ5" s="88">
        <f>$E5*IF(AJ$2&gt;Inputs!$D$5,0,IF(AJ$2&gt;VLOOKUP($H5,Lists!$P$3:$Q$7,2),IF($N5=Lists!$K$3,IF($L5&lt;1,(($U5/$L5)*((1+Inputs!$D$7)^AJ$2)),((INT(AJ$2/$L5)-INT((AJ$2-1)/$L5))*$U5*((1+Inputs!$D$7)^AJ$2))),(_xlfn.WEIBULL.DIST(AJ$2,$M5,$L5,FALSE)*$U5*((1+Inputs!$D$7)^AJ$2))),IF($N5=Lists!$K$3,IF($L5&lt;1,((($T5*(1-$F5)+$S5*(1-$G5))/$L5)*((1+Inputs!$D$7)^AJ$2)),((INT(AJ$2/$L5)-INT((AJ$2-1)/$L5))*($T5*(1-$F5)+$S5*(1-$G5))*((1+Inputs!$D$7)^AJ$2))),((_xlfn.WEIBULL.DIST(AJ$2,$M5,$L5,FALSE)*($T5*(1-$F5)+$S5*(1-$G5))*((1+Inputs!$D$7)^AJ$2))))))</f>
        <v>56.062959907581956</v>
      </c>
      <c r="AK5" s="88">
        <f>$E5*IF(AK$2&gt;Inputs!$D$5,0,IF(AK$2&gt;VLOOKUP($H5,Lists!$P$3:$Q$7,2),IF($N5=Lists!$K$3,IF($L5&lt;1,(($U5/$L5)*((1+Inputs!$D$7)^AK$2)),((INT(AK$2/$L5)-INT((AK$2-1)/$L5))*$U5*((1+Inputs!$D$7)^AK$2))),(_xlfn.WEIBULL.DIST(AK$2,$M5,$L5,FALSE)*$U5*((1+Inputs!$D$7)^AK$2))),IF($N5=Lists!$K$3,IF($L5&lt;1,((($T5*(1-$F5)+$S5*(1-$G5))/$L5)*((1+Inputs!$D$7)^AK$2)),((INT(AK$2/$L5)-INT((AK$2-1)/$L5))*($T5*(1-$F5)+$S5*(1-$G5))*((1+Inputs!$D$7)^AK$2))),((_xlfn.WEIBULL.DIST(AK$2,$M5,$L5,FALSE)*($T5*(1-$F5)+$S5*(1-$G5))*((1+Inputs!$D$7)^AK$2))))))</f>
        <v>57.184219105733582</v>
      </c>
      <c r="AL5" s="88">
        <f>$E5*IF(AL$2&gt;Inputs!$D$5,0,IF(AL$2&gt;VLOOKUP($H5,Lists!$P$3:$Q$7,2),IF($N5=Lists!$K$3,IF($L5&lt;1,(($U5/$L5)*((1+Inputs!$D$7)^AL$2)),((INT(AL$2/$L5)-INT((AL$2-1)/$L5))*$U5*((1+Inputs!$D$7)^AL$2))),(_xlfn.WEIBULL.DIST(AL$2,$M5,$L5,FALSE)*$U5*((1+Inputs!$D$7)^AL$2))),IF($N5=Lists!$K$3,IF($L5&lt;1,((($T5*(1-$F5)+$S5*(1-$G5))/$L5)*((1+Inputs!$D$7)^AL$2)),((INT(AL$2/$L5)-INT((AL$2-1)/$L5))*($T5*(1-$F5)+$S5*(1-$G5))*((1+Inputs!$D$7)^AL$2))),((_xlfn.WEIBULL.DIST(AL$2,$M5,$L5,FALSE)*($T5*(1-$F5)+$S5*(1-$G5))*((1+Inputs!$D$7)^AL$2))))))</f>
        <v>58.327903487848268</v>
      </c>
      <c r="AM5" s="88">
        <f>$E5*IF(AM$2&gt;Inputs!$D$5,0,IF(AM$2&gt;VLOOKUP($H5,Lists!$P$3:$Q$7,2),IF($N5=Lists!$K$3,IF($L5&lt;1,(($U5/$L5)*((1+Inputs!$D$7)^AM$2)),((INT(AM$2/$L5)-INT((AM$2-1)/$L5))*$U5*((1+Inputs!$D$7)^AM$2))),(_xlfn.WEIBULL.DIST(AM$2,$M5,$L5,FALSE)*$U5*((1+Inputs!$D$7)^AM$2))),IF($N5=Lists!$K$3,IF($L5&lt;1,((($T5*(1-$F5)+$S5*(1-$G5))/$L5)*((1+Inputs!$D$7)^AM$2)),((INT(AM$2/$L5)-INT((AM$2-1)/$L5))*($T5*(1-$F5)+$S5*(1-$G5))*((1+Inputs!$D$7)^AM$2))),((_xlfn.WEIBULL.DIST(AM$2,$M5,$L5,FALSE)*($T5*(1-$F5)+$S5*(1-$G5))*((1+Inputs!$D$7)^AM$2))))))</f>
        <v>59.494461557605227</v>
      </c>
      <c r="AN5" s="88">
        <f>$E5*IF(AN$2&gt;Inputs!$D$5,0,IF(AN$2&gt;VLOOKUP($H5,Lists!$P$3:$Q$7,2),IF($N5=Lists!$K$3,IF($L5&lt;1,(($U5/$L5)*((1+Inputs!$D$7)^AN$2)),((INT(AN$2/$L5)-INT((AN$2-1)/$L5))*$U5*((1+Inputs!$D$7)^AN$2))),(_xlfn.WEIBULL.DIST(AN$2,$M5,$L5,FALSE)*$U5*((1+Inputs!$D$7)^AN$2))),IF($N5=Lists!$K$3,IF($L5&lt;1,((($T5*(1-$F5)+$S5*(1-$G5))/$L5)*((1+Inputs!$D$7)^AN$2)),((INT(AN$2/$L5)-INT((AN$2-1)/$L5))*($T5*(1-$F5)+$S5*(1-$G5))*((1+Inputs!$D$7)^AN$2))),((_xlfn.WEIBULL.DIST(AN$2,$M5,$L5,FALSE)*($T5*(1-$F5)+$S5*(1-$G5))*((1+Inputs!$D$7)^AN$2))))))</f>
        <v>60.684350788757335</v>
      </c>
      <c r="AO5" s="88">
        <f>$E5*IF(AO$2&gt;Inputs!$D$5,0,IF(AO$2&gt;VLOOKUP($H5,Lists!$P$3:$Q$7,2),IF($N5=Lists!$K$3,IF($L5&lt;1,(($U5/$L5)*((1+Inputs!$D$7)^AO$2)),((INT(AO$2/$L5)-INT((AO$2-1)/$L5))*$U5*((1+Inputs!$D$7)^AO$2))),(_xlfn.WEIBULL.DIST(AO$2,$M5,$L5,FALSE)*$U5*((1+Inputs!$D$7)^AO$2))),IF($N5=Lists!$K$3,IF($L5&lt;1,((($T5*(1-$F5)+$S5*(1-$G5))/$L5)*((1+Inputs!$D$7)^AO$2)),((INT(AO$2/$L5)-INT((AO$2-1)/$L5))*($T5*(1-$F5)+$S5*(1-$G5))*((1+Inputs!$D$7)^AO$2))),((_xlfn.WEIBULL.DIST(AO$2,$M5,$L5,FALSE)*($T5*(1-$F5)+$S5*(1-$G5))*((1+Inputs!$D$7)^AO$2))))))</f>
        <v>61.898037804532464</v>
      </c>
      <c r="AP5" s="88">
        <f>$E5*IF(AP$2&gt;Inputs!$D$5,0,IF(AP$2&gt;VLOOKUP($H5,Lists!$P$3:$Q$7,2),IF($N5=Lists!$K$3,IF($L5&lt;1,(($U5/$L5)*((1+Inputs!$D$7)^AP$2)),((INT(AP$2/$L5)-INT((AP$2-1)/$L5))*$U5*((1+Inputs!$D$7)^AP$2))),(_xlfn.WEIBULL.DIST(AP$2,$M5,$L5,FALSE)*$U5*((1+Inputs!$D$7)^AP$2))),IF($N5=Lists!$K$3,IF($L5&lt;1,((($T5*(1-$F5)+$S5*(1-$G5))/$L5)*((1+Inputs!$D$7)^AP$2)),((INT(AP$2/$L5)-INT((AP$2-1)/$L5))*($T5*(1-$F5)+$S5*(1-$G5))*((1+Inputs!$D$7)^AP$2))),((_xlfn.WEIBULL.DIST(AP$2,$M5,$L5,FALSE)*($T5*(1-$F5)+$S5*(1-$G5))*((1+Inputs!$D$7)^AP$2))))))</f>
        <v>63.135998560623129</v>
      </c>
      <c r="AQ5" s="88">
        <f>$E5*IF(AQ$2&gt;Inputs!$D$5,0,IF(AQ$2&gt;VLOOKUP($H5,Lists!$P$3:$Q$7,2),IF($N5=Lists!$K$3,IF($L5&lt;1,(($U5/$L5)*((1+Inputs!$D$7)^AQ$2)),((INT(AQ$2/$L5)-INT((AQ$2-1)/$L5))*$U5*((1+Inputs!$D$7)^AQ$2))),(_xlfn.WEIBULL.DIST(AQ$2,$M5,$L5,FALSE)*$U5*((1+Inputs!$D$7)^AQ$2))),IF($N5=Lists!$K$3,IF($L5&lt;1,((($T5*(1-$F5)+$S5*(1-$G5))/$L5)*((1+Inputs!$D$7)^AQ$2)),((INT(AQ$2/$L5)-INT((AQ$2-1)/$L5))*($T5*(1-$F5)+$S5*(1-$G5))*((1+Inputs!$D$7)^AQ$2))),((_xlfn.WEIBULL.DIST(AQ$2,$M5,$L5,FALSE)*($T5*(1-$F5)+$S5*(1-$G5))*((1+Inputs!$D$7)^AQ$2))))))</f>
        <v>64.398718531835598</v>
      </c>
      <c r="AR5" s="88">
        <f>$E5*IF(AR$2&gt;Inputs!$D$5,0,IF(AR$2&gt;VLOOKUP($H5,Lists!$P$3:$Q$7,2),IF($N5=Lists!$K$3,IF($L5&lt;1,(($U5/$L5)*((1+Inputs!$D$7)^AR$2)),((INT(AR$2/$L5)-INT((AR$2-1)/$L5))*$U5*((1+Inputs!$D$7)^AR$2))),(_xlfn.WEIBULL.DIST(AR$2,$M5,$L5,FALSE)*$U5*((1+Inputs!$D$7)^AR$2))),IF($N5=Lists!$K$3,IF($L5&lt;1,((($T5*(1-$F5)+$S5*(1-$G5))/$L5)*((1+Inputs!$D$7)^AR$2)),((INT(AR$2/$L5)-INT((AR$2-1)/$L5))*($T5*(1-$F5)+$S5*(1-$G5))*((1+Inputs!$D$7)^AR$2))),((_xlfn.WEIBULL.DIST(AR$2,$M5,$L5,FALSE)*($T5*(1-$F5)+$S5*(1-$G5))*((1+Inputs!$D$7)^AR$2))))))</f>
        <v>65.686692902472302</v>
      </c>
      <c r="AS5" s="88">
        <f>$E5*IF(AS$2&gt;Inputs!$D$5,0,IF(AS$2&gt;VLOOKUP($H5,Lists!$P$3:$Q$7,2),IF($N5=Lists!$K$3,IF($L5&lt;1,(($U5/$L5)*((1+Inputs!$D$7)^AS$2)),((INT(AS$2/$L5)-INT((AS$2-1)/$L5))*$U5*((1+Inputs!$D$7)^AS$2))),(_xlfn.WEIBULL.DIST(AS$2,$M5,$L5,FALSE)*$U5*((1+Inputs!$D$7)^AS$2))),IF($N5=Lists!$K$3,IF($L5&lt;1,((($T5*(1-$F5)+$S5*(1-$G5))/$L5)*((1+Inputs!$D$7)^AS$2)),((INT(AS$2/$L5)-INT((AS$2-1)/$L5))*($T5*(1-$F5)+$S5*(1-$G5))*((1+Inputs!$D$7)^AS$2))),((_xlfn.WEIBULL.DIST(AS$2,$M5,$L5,FALSE)*($T5*(1-$F5)+$S5*(1-$G5))*((1+Inputs!$D$7)^AS$2))))))</f>
        <v>67.000426760521748</v>
      </c>
      <c r="AT5" s="88">
        <f>$E5*IF(AT$2&gt;Inputs!$D$5,0,IF(AT$2&gt;VLOOKUP($H5,Lists!$P$3:$Q$7,2),IF($N5=Lists!$K$3,IF($L5&lt;1,(($U5/$L5)*((1+Inputs!$D$7)^AT$2)),((INT(AT$2/$L5)-INT((AT$2-1)/$L5))*$U5*((1+Inputs!$D$7)^AT$2))),(_xlfn.WEIBULL.DIST(AT$2,$M5,$L5,FALSE)*$U5*((1+Inputs!$D$7)^AT$2))),IF($N5=Lists!$K$3,IF($L5&lt;1,((($T5*(1-$F5)+$S5*(1-$G5))/$L5)*((1+Inputs!$D$7)^AT$2)),((INT(AT$2/$L5)-INT((AT$2-1)/$L5))*($T5*(1-$F5)+$S5*(1-$G5))*((1+Inputs!$D$7)^AT$2))),((_xlfn.WEIBULL.DIST(AT$2,$M5,$L5,FALSE)*($T5*(1-$F5)+$S5*(1-$G5))*((1+Inputs!$D$7)^AT$2))))))</f>
        <v>68.340435295732178</v>
      </c>
      <c r="AU5" s="88">
        <f>$E5*IF(AU$2&gt;Inputs!$D$5,0,IF(AU$2&gt;VLOOKUP($H5,Lists!$P$3:$Q$7,2),IF($N5=Lists!$K$3,IF($L5&lt;1,(($U5/$L5)*((1+Inputs!$D$7)^AU$2)),((INT(AU$2/$L5)-INT((AU$2-1)/$L5))*$U5*((1+Inputs!$D$7)^AU$2))),(_xlfn.WEIBULL.DIST(AU$2,$M5,$L5,FALSE)*$U5*((1+Inputs!$D$7)^AU$2))),IF($N5=Lists!$K$3,IF($L5&lt;1,((($T5*(1-$F5)+$S5*(1-$G5))/$L5)*((1+Inputs!$D$7)^AU$2)),((INT(AU$2/$L5)-INT((AU$2-1)/$L5))*($T5*(1-$F5)+$S5*(1-$G5))*((1+Inputs!$D$7)^AU$2))),((_xlfn.WEIBULL.DIST(AU$2,$M5,$L5,FALSE)*($T5*(1-$F5)+$S5*(1-$G5))*((1+Inputs!$D$7)^AU$2))))))</f>
        <v>69.707244001646828</v>
      </c>
      <c r="AV5" s="88">
        <f>$E5*IF(AV$2&gt;Inputs!$D$5,0,IF(AV$2&gt;VLOOKUP($H5,Lists!$P$3:$Q$7,2),IF($N5=Lists!$K$3,IF($L5&lt;1,(($U5/$L5)*((1+Inputs!$D$7)^AV$2)),((INT(AV$2/$L5)-INT((AV$2-1)/$L5))*$U5*((1+Inputs!$D$7)^AV$2))),(_xlfn.WEIBULL.DIST(AV$2,$M5,$L5,FALSE)*$U5*((1+Inputs!$D$7)^AV$2))),IF($N5=Lists!$K$3,IF($L5&lt;1,((($T5*(1-$F5)+$S5*(1-$G5))/$L5)*((1+Inputs!$D$7)^AV$2)),((INT(AV$2/$L5)-INT((AV$2-1)/$L5))*($T5*(1-$F5)+$S5*(1-$G5))*((1+Inputs!$D$7)^AV$2))),((_xlfn.WEIBULL.DIST(AV$2,$M5,$L5,FALSE)*($T5*(1-$F5)+$S5*(1-$G5))*((1+Inputs!$D$7)^AV$2))))))</f>
        <v>71.101388881679767</v>
      </c>
      <c r="AW5" s="88">
        <f>$E5*IF(AW$2&gt;Inputs!$D$5,0,IF(AW$2&gt;VLOOKUP($H5,Lists!$P$3:$Q$7,2),IF($N5=Lists!$K$3,IF($L5&lt;1,(($U5/$L5)*((1+Inputs!$D$7)^AW$2)),((INT(AW$2/$L5)-INT((AW$2-1)/$L5))*$U5*((1+Inputs!$D$7)^AW$2))),(_xlfn.WEIBULL.DIST(AW$2,$M5,$L5,FALSE)*$U5*((1+Inputs!$D$7)^AW$2))),IF($N5=Lists!$K$3,IF($L5&lt;1,((($T5*(1-$F5)+$S5*(1-$G5))/$L5)*((1+Inputs!$D$7)^AW$2)),((INT(AW$2/$L5)-INT((AW$2-1)/$L5))*($T5*(1-$F5)+$S5*(1-$G5))*((1+Inputs!$D$7)^AW$2))),((_xlfn.WEIBULL.DIST(AW$2,$M5,$L5,FALSE)*($T5*(1-$F5)+$S5*(1-$G5))*((1+Inputs!$D$7)^AW$2))))))</f>
        <v>72.523416659313341</v>
      </c>
      <c r="AX5" s="88">
        <f>$E5*IF(AX$2&gt;Inputs!$D$5,0,IF(AX$2&gt;VLOOKUP($H5,Lists!$P$3:$Q$7,2),IF($N5=Lists!$K$3,IF($L5&lt;1,(($U5/$L5)*((1+Inputs!$D$7)^AX$2)),((INT(AX$2/$L5)-INT((AX$2-1)/$L5))*$U5*((1+Inputs!$D$7)^AX$2))),(_xlfn.WEIBULL.DIST(AX$2,$M5,$L5,FALSE)*$U5*((1+Inputs!$D$7)^AX$2))),IF($N5=Lists!$K$3,IF($L5&lt;1,((($T5*(1-$F5)+$S5*(1-$G5))/$L5)*((1+Inputs!$D$7)^AX$2)),((INT(AX$2/$L5)-INT((AX$2-1)/$L5))*($T5*(1-$F5)+$S5*(1-$G5))*((1+Inputs!$D$7)^AX$2))),((_xlfn.WEIBULL.DIST(AX$2,$M5,$L5,FALSE)*($T5*(1-$F5)+$S5*(1-$G5))*((1+Inputs!$D$7)^AX$2))))))</f>
        <v>73.97388499249962</v>
      </c>
      <c r="AY5" s="88">
        <f>$E5*IF(AY$2&gt;Inputs!$D$5,0,IF(AY$2&gt;VLOOKUP($H5,Lists!$P$3:$Q$7,2),IF($N5=Lists!$K$3,IF($L5&lt;1,(($U5/$L5)*((1+Inputs!$D$7)^AY$2)),((INT(AY$2/$L5)-INT((AY$2-1)/$L5))*$U5*((1+Inputs!$D$7)^AY$2))),(_xlfn.WEIBULL.DIST(AY$2,$M5,$L5,FALSE)*$U5*((1+Inputs!$D$7)^AY$2))),IF($N5=Lists!$K$3,IF($L5&lt;1,((($T5*(1-$F5)+$S5*(1-$G5))/$L5)*((1+Inputs!$D$7)^AY$2)),((INT(AY$2/$L5)-INT((AY$2-1)/$L5))*($T5*(1-$F5)+$S5*(1-$G5))*((1+Inputs!$D$7)^AY$2))),((_xlfn.WEIBULL.DIST(AY$2,$M5,$L5,FALSE)*($T5*(1-$F5)+$S5*(1-$G5))*((1+Inputs!$D$7)^AY$2))))))</f>
        <v>75.453362692349614</v>
      </c>
      <c r="AZ5" s="88">
        <f>$E5*IF(AZ$2&gt;Inputs!$D$5,0,IF(AZ$2&gt;VLOOKUP($H5,Lists!$P$3:$Q$7,2),IF($N5=Lists!$K$3,IF($L5&lt;1,(($U5/$L5)*((1+Inputs!$D$7)^AZ$2)),((INT(AZ$2/$L5)-INT((AZ$2-1)/$L5))*$U5*((1+Inputs!$D$7)^AZ$2))),(_xlfn.WEIBULL.DIST(AZ$2,$M5,$L5,FALSE)*$U5*((1+Inputs!$D$7)^AZ$2))),IF($N5=Lists!$K$3,IF($L5&lt;1,((($T5*(1-$F5)+$S5*(1-$G5))/$L5)*((1+Inputs!$D$7)^AZ$2)),((INT(AZ$2/$L5)-INT((AZ$2-1)/$L5))*($T5*(1-$F5)+$S5*(1-$G5))*((1+Inputs!$D$7)^AZ$2))),((_xlfn.WEIBULL.DIST(AZ$2,$M5,$L5,FALSE)*($T5*(1-$F5)+$S5*(1-$G5))*((1+Inputs!$D$7)^AZ$2))))))</f>
        <v>0</v>
      </c>
      <c r="BA5" s="88">
        <f>$E5*IF(BA$2&gt;Inputs!$D$5,0,IF(BA$2&gt;VLOOKUP($H5,Lists!$P$3:$Q$7,2),IF($N5=Lists!$K$3,IF($L5&lt;1,(($U5/$L5)*((1+Inputs!$D$7)^BA$2)),((INT(BA$2/$L5)-INT((BA$2-1)/$L5))*$U5*((1+Inputs!$D$7)^BA$2))),(_xlfn.WEIBULL.DIST(BA$2,$M5,$L5,FALSE)*$U5*((1+Inputs!$D$7)^BA$2))),IF($N5=Lists!$K$3,IF($L5&lt;1,((($T5*(1-$F5)+$S5*(1-$G5))/$L5)*((1+Inputs!$D$7)^BA$2)),((INT(BA$2/$L5)-INT((BA$2-1)/$L5))*($T5*(1-$F5)+$S5*(1-$G5))*((1+Inputs!$D$7)^BA$2))),((_xlfn.WEIBULL.DIST(BA$2,$M5,$L5,FALSE)*($T5*(1-$F5)+$S5*(1-$G5))*((1+Inputs!$D$7)^BA$2))))))</f>
        <v>0</v>
      </c>
      <c r="BB5" s="88">
        <f>$E5*IF(BB$2&gt;Inputs!$D$5,0,IF(BB$2&gt;VLOOKUP($H5,Lists!$P$3:$Q$7,2),IF($N5=Lists!$K$3,IF($L5&lt;1,(($U5/$L5)*((1+Inputs!$D$7)^BB$2)),((INT(BB$2/$L5)-INT((BB$2-1)/$L5))*$U5*((1+Inputs!$D$7)^BB$2))),(_xlfn.WEIBULL.DIST(BB$2,$M5,$L5,FALSE)*$U5*((1+Inputs!$D$7)^BB$2))),IF($N5=Lists!$K$3,IF($L5&lt;1,((($T5*(1-$F5)+$S5*(1-$G5))/$L5)*((1+Inputs!$D$7)^BB$2)),((INT(BB$2/$L5)-INT((BB$2-1)/$L5))*($T5*(1-$F5)+$S5*(1-$G5))*((1+Inputs!$D$7)^BB$2))),((_xlfn.WEIBULL.DIST(BB$2,$M5,$L5,FALSE)*($T5*(1-$F5)+$S5*(1-$G5))*((1+Inputs!$D$7)^BB$2))))))</f>
        <v>0</v>
      </c>
      <c r="BC5" s="88">
        <f>$E5*IF(BC$2&gt;Inputs!$D$5,0,IF(BC$2&gt;VLOOKUP($H5,Lists!$P$3:$Q$7,2),IF($N5=Lists!$K$3,IF($L5&lt;1,(($U5/$L5)*((1+Inputs!$D$7)^BC$2)),((INT(BC$2/$L5)-INT((BC$2-1)/$L5))*$U5*((1+Inputs!$D$7)^BC$2))),(_xlfn.WEIBULL.DIST(BC$2,$M5,$L5,FALSE)*$U5*((1+Inputs!$D$7)^BC$2))),IF($N5=Lists!$K$3,IF($L5&lt;1,((($T5*(1-$F5)+$S5*(1-$G5))/$L5)*((1+Inputs!$D$7)^BC$2)),((INT(BC$2/$L5)-INT((BC$2-1)/$L5))*($T5*(1-$F5)+$S5*(1-$G5))*((1+Inputs!$D$7)^BC$2))),((_xlfn.WEIBULL.DIST(BC$2,$M5,$L5,FALSE)*($T5*(1-$F5)+$S5*(1-$G5))*((1+Inputs!$D$7)^BC$2))))))</f>
        <v>0</v>
      </c>
      <c r="BD5" s="88">
        <f>$E5*IF(BD$2&gt;Inputs!$D$5,0,IF(BD$2&gt;VLOOKUP($H5,Lists!$P$3:$Q$7,2),IF($N5=Lists!$K$3,IF($L5&lt;1,(($U5/$L5)*((1+Inputs!$D$7)^BD$2)),((INT(BD$2/$L5)-INT((BD$2-1)/$L5))*$U5*((1+Inputs!$D$7)^BD$2))),(_xlfn.WEIBULL.DIST(BD$2,$M5,$L5,FALSE)*$U5*((1+Inputs!$D$7)^BD$2))),IF($N5=Lists!$K$3,IF($L5&lt;1,((($T5*(1-$F5)+$S5*(1-$G5))/$L5)*((1+Inputs!$D$7)^BD$2)),((INT(BD$2/$L5)-INT((BD$2-1)/$L5))*($T5*(1-$F5)+$S5*(1-$G5))*((1+Inputs!$D$7)^BD$2))),((_xlfn.WEIBULL.DIST(BD$2,$M5,$L5,FALSE)*($T5*(1-$F5)+$S5*(1-$G5))*((1+Inputs!$D$7)^BD$2))))))</f>
        <v>0</v>
      </c>
      <c r="BE5" s="88">
        <f>$E5*IF(BE$2&gt;Inputs!$D$5,0,IF(BE$2&gt;VLOOKUP($H5,Lists!$P$3:$Q$7,2),IF($N5=Lists!$K$3,IF($L5&lt;1,(($U5/$L5)*((1+Inputs!$D$7)^BE$2)),((INT(BE$2/$L5)-INT((BE$2-1)/$L5))*$U5*((1+Inputs!$D$7)^BE$2))),(_xlfn.WEIBULL.DIST(BE$2,$M5,$L5,FALSE)*$U5*((1+Inputs!$D$7)^BE$2))),IF($N5=Lists!$K$3,IF($L5&lt;1,((($T5*(1-$F5)+$S5*(1-$G5))/$L5)*((1+Inputs!$D$7)^BE$2)),((INT(BE$2/$L5)-INT((BE$2-1)/$L5))*($T5*(1-$F5)+$S5*(1-$G5))*((1+Inputs!$D$7)^BE$2))),((_xlfn.WEIBULL.DIST(BE$2,$M5,$L5,FALSE)*($T5*(1-$F5)+$S5*(1-$G5))*((1+Inputs!$D$7)^BE$2))))))</f>
        <v>0</v>
      </c>
      <c r="BF5" s="88">
        <f>$E5*IF(BF$2&gt;Inputs!$D$5,0,IF(BF$2&gt;VLOOKUP($H5,Lists!$P$3:$Q$7,2),IF($N5=Lists!$K$3,IF($L5&lt;1,(($U5/$L5)*((1+Inputs!$D$7)^BF$2)),((INT(BF$2/$L5)-INT((BF$2-1)/$L5))*$U5*((1+Inputs!$D$7)^BF$2))),(_xlfn.WEIBULL.DIST(BF$2,$M5,$L5,FALSE)*$U5*((1+Inputs!$D$7)^BF$2))),IF($N5=Lists!$K$3,IF($L5&lt;1,((($T5*(1-$F5)+$S5*(1-$G5))/$L5)*((1+Inputs!$D$7)^BF$2)),((INT(BF$2/$L5)-INT((BF$2-1)/$L5))*($T5*(1-$F5)+$S5*(1-$G5))*((1+Inputs!$D$7)^BF$2))),((_xlfn.WEIBULL.DIST(BF$2,$M5,$L5,FALSE)*($T5*(1-$F5)+$S5*(1-$G5))*((1+Inputs!$D$7)^BF$2))))))</f>
        <v>0</v>
      </c>
      <c r="BG5" s="88">
        <f>$E5*IF(BG$2&gt;Inputs!$D$5,0,IF(BG$2&gt;VLOOKUP($H5,Lists!$P$3:$Q$7,2),IF($N5=Lists!$K$3,IF($L5&lt;1,(($U5/$L5)*((1+Inputs!$D$7)^BG$2)),((INT(BG$2/$L5)-INT((BG$2-1)/$L5))*$U5*((1+Inputs!$D$7)^BG$2))),(_xlfn.WEIBULL.DIST(BG$2,$M5,$L5,FALSE)*$U5*((1+Inputs!$D$7)^BG$2))),IF($N5=Lists!$K$3,IF($L5&lt;1,((($T5*(1-$F5)+$S5*(1-$G5))/$L5)*((1+Inputs!$D$7)^BG$2)),((INT(BG$2/$L5)-INT((BG$2-1)/$L5))*($T5*(1-$F5)+$S5*(1-$G5))*((1+Inputs!$D$7)^BG$2))),((_xlfn.WEIBULL.DIST(BG$2,$M5,$L5,FALSE)*($T5*(1-$F5)+$S5*(1-$G5))*((1+Inputs!$D$7)^BG$2))))))</f>
        <v>0</v>
      </c>
      <c r="BH5" s="88">
        <f>$E5*IF(BH$2&gt;Inputs!$D$5,0,IF(BH$2&gt;VLOOKUP($H5,Lists!$P$3:$Q$7,2),IF($N5=Lists!$K$3,IF($L5&lt;1,(($U5/$L5)*((1+Inputs!$D$7)^BH$2)),((INT(BH$2/$L5)-INT((BH$2-1)/$L5))*$U5*((1+Inputs!$D$7)^BH$2))),(_xlfn.WEIBULL.DIST(BH$2,$M5,$L5,FALSE)*$U5*((1+Inputs!$D$7)^BH$2))),IF($N5=Lists!$K$3,IF($L5&lt;1,((($T5*(1-$F5)+$S5*(1-$G5))/$L5)*((1+Inputs!$D$7)^BH$2)),((INT(BH$2/$L5)-INT((BH$2-1)/$L5))*($T5*(1-$F5)+$S5*(1-$G5))*((1+Inputs!$D$7)^BH$2))),((_xlfn.WEIBULL.DIST(BH$2,$M5,$L5,FALSE)*($T5*(1-$F5)+$S5*(1-$G5))*((1+Inputs!$D$7)^BH$2))))))</f>
        <v>0</v>
      </c>
      <c r="BI5" s="88">
        <f>$E5*IF(BI$2&gt;Inputs!$D$5,0,IF(BI$2&gt;VLOOKUP($H5,Lists!$P$3:$Q$7,2),IF($N5=Lists!$K$3,IF($L5&lt;1,(($U5/$L5)*((1+Inputs!$D$7)^BI$2)),((INT(BI$2/$L5)-INT((BI$2-1)/$L5))*$U5*((1+Inputs!$D$7)^BI$2))),(_xlfn.WEIBULL.DIST(BI$2,$M5,$L5,FALSE)*$U5*((1+Inputs!$D$7)^BI$2))),IF($N5=Lists!$K$3,IF($L5&lt;1,((($T5*(1-$F5)+$S5*(1-$G5))/$L5)*((1+Inputs!$D$7)^BI$2)),((INT(BI$2/$L5)-INT((BI$2-1)/$L5))*($T5*(1-$F5)+$S5*(1-$G5))*((1+Inputs!$D$7)^BI$2))),((_xlfn.WEIBULL.DIST(BI$2,$M5,$L5,FALSE)*($T5*(1-$F5)+$S5*(1-$G5))*((1+Inputs!$D$7)^BI$2))))))</f>
        <v>0</v>
      </c>
      <c r="BJ5" s="88">
        <f>$E5*IF(BJ$2&gt;Inputs!$D$5,0,IF(BJ$2&gt;VLOOKUP($H5,Lists!$P$3:$Q$7,2),IF($N5=Lists!$K$3,IF($L5&lt;1,(($U5/$L5)*((1+Inputs!$D$7)^BJ$2)),((INT(BJ$2/$L5)-INT((BJ$2-1)/$L5))*$U5*((1+Inputs!$D$7)^BJ$2))),(_xlfn.WEIBULL.DIST(BJ$2,$M5,$L5,FALSE)*$U5*((1+Inputs!$D$7)^BJ$2))),IF($N5=Lists!$K$3,IF($L5&lt;1,((($T5*(1-$F5)+$S5*(1-$G5))/$L5)*((1+Inputs!$D$7)^BJ$2)),((INT(BJ$2/$L5)-INT((BJ$2-1)/$L5))*($T5*(1-$F5)+$S5*(1-$G5))*((1+Inputs!$D$7)^BJ$2))),((_xlfn.WEIBULL.DIST(BJ$2,$M5,$L5,FALSE)*($T5*(1-$F5)+$S5*(1-$G5))*((1+Inputs!$D$7)^BJ$2))))))</f>
        <v>0</v>
      </c>
      <c r="BK5" s="88">
        <f>$E5*IF(BK$2&gt;Inputs!$D$5,0,IF(BK$2&gt;VLOOKUP($H5,Lists!$P$3:$Q$7,2),IF($N5=Lists!$K$3,IF($L5&lt;1,(($U5/$L5)*((1+Inputs!$D$7)^BK$2)),((INT(BK$2/$L5)-INT((BK$2-1)/$L5))*$U5*((1+Inputs!$D$7)^BK$2))),(_xlfn.WEIBULL.DIST(BK$2,$M5,$L5,FALSE)*$U5*((1+Inputs!$D$7)^BK$2))),IF($N5=Lists!$K$3,IF($L5&lt;1,((($T5*(1-$F5)+$S5*(1-$G5))/$L5)*((1+Inputs!$D$7)^BK$2)),((INT(BK$2/$L5)-INT((BK$2-1)/$L5))*($T5*(1-$F5)+$S5*(1-$G5))*((1+Inputs!$D$7)^BK$2))),((_xlfn.WEIBULL.DIST(BK$2,$M5,$L5,FALSE)*($T5*(1-$F5)+$S5*(1-$G5))*((1+Inputs!$D$7)^BK$2))))))</f>
        <v>0</v>
      </c>
      <c r="BL5" s="88">
        <f>$E5*IF(BL$2&gt;Inputs!$D$5,0,IF(BL$2&gt;VLOOKUP($H5,Lists!$P$3:$Q$7,2),IF($N5=Lists!$K$3,IF($L5&lt;1,(($U5/$L5)*((1+Inputs!$D$7)^BL$2)),((INT(BL$2/$L5)-INT((BL$2-1)/$L5))*$U5*((1+Inputs!$D$7)^BL$2))),(_xlfn.WEIBULL.DIST(BL$2,$M5,$L5,FALSE)*$U5*((1+Inputs!$D$7)^BL$2))),IF($N5=Lists!$K$3,IF($L5&lt;1,((($T5*(1-$F5)+$S5*(1-$G5))/$L5)*((1+Inputs!$D$7)^BL$2)),((INT(BL$2/$L5)-INT((BL$2-1)/$L5))*($T5*(1-$F5)+$S5*(1-$G5))*((1+Inputs!$D$7)^BL$2))),((_xlfn.WEIBULL.DIST(BL$2,$M5,$L5,FALSE)*($T5*(1-$F5)+$S5*(1-$G5))*((1+Inputs!$D$7)^BL$2))))))</f>
        <v>0</v>
      </c>
      <c r="BM5" s="88">
        <f>$E5*IF(BM$2&gt;Inputs!$D$5,0,IF(BM$2&gt;VLOOKUP($H5,Lists!$P$3:$Q$7,2),IF($N5=Lists!$K$3,IF($L5&lt;1,(($U5/$L5)*((1+Inputs!$D$7)^BM$2)),((INT(BM$2/$L5)-INT((BM$2-1)/$L5))*$U5*((1+Inputs!$D$7)^BM$2))),(_xlfn.WEIBULL.DIST(BM$2,$M5,$L5,FALSE)*$U5*((1+Inputs!$D$7)^BM$2))),IF($N5=Lists!$K$3,IF($L5&lt;1,((($T5*(1-$F5)+$S5*(1-$G5))/$L5)*((1+Inputs!$D$7)^BM$2)),((INT(BM$2/$L5)-INT((BM$2-1)/$L5))*($T5*(1-$F5)+$S5*(1-$G5))*((1+Inputs!$D$7)^BM$2))),((_xlfn.WEIBULL.DIST(BM$2,$M5,$L5,FALSE)*($T5*(1-$F5)+$S5*(1-$G5))*((1+Inputs!$D$7)^BM$2))))))</f>
        <v>0</v>
      </c>
      <c r="BN5" s="88">
        <f>$E5*IF(BN$2&gt;Inputs!$D$5,0,IF(BN$2&gt;VLOOKUP($H5,Lists!$P$3:$Q$7,2),IF($N5=Lists!$K$3,IF($L5&lt;1,(($U5/$L5)*((1+Inputs!$D$7)^BN$2)),((INT(BN$2/$L5)-INT((BN$2-1)/$L5))*$U5*((1+Inputs!$D$7)^BN$2))),(_xlfn.WEIBULL.DIST(BN$2,$M5,$L5,FALSE)*$U5*((1+Inputs!$D$7)^BN$2))),IF($N5=Lists!$K$3,IF($L5&lt;1,((($T5*(1-$F5)+$S5*(1-$G5))/$L5)*((1+Inputs!$D$7)^BN$2)),((INT(BN$2/$L5)-INT((BN$2-1)/$L5))*($T5*(1-$F5)+$S5*(1-$G5))*((1+Inputs!$D$7)^BN$2))),((_xlfn.WEIBULL.DIST(BN$2,$M5,$L5,FALSE)*($T5*(1-$F5)+$S5*(1-$G5))*((1+Inputs!$D$7)^BN$2))))))</f>
        <v>0</v>
      </c>
      <c r="BO5" s="64">
        <f>NPV(Inputs!$D$6,BQ5:DD5)</f>
        <v>654.61425010754374</v>
      </c>
      <c r="BP5" s="67">
        <f t="shared" si="6"/>
        <v>3.0874803908182466E-4</v>
      </c>
      <c r="BQ5" s="88">
        <f>MAX(AA5,($E5*IF(BQ$2&gt;Inputs!$D$5,0,IF(BQ$2&gt;VLOOKUP($H5,Lists!$P$3:$Q$7,2),IF($N5=Lists!$K$3,IF($L5&lt;1,(($U5/$L5)*((1+Inputs!$D$7)^BQ$2)),((INT(BQ$2/$L5)-INT((BQ$2-1)/$L5))*$U5*((1+Inputs!$D$7)^BQ$2))),(Inputs!$D$8^((1-_xlfn.WEIBULL.DIST(BQ$2,$M5,$L5,FALSE))/_xlfn.WEIBULL.DIST(BQ$2,$M5,$L5,FALSE))*$U5*((1+Inputs!$D$7)^BQ$2))),IF($N5=Lists!$K$3,IF($L5&lt;1,((($T5*(1-$F5)+$S5*(1-$G5))/$L5)*((1+Inputs!$D$7)^BQ$2)),((INT(BQ$2/$L5)-INT((BQ$2-1)/$L5))*($T5*(1-$F5)+$S5*(1-$G5))*((1+Inputs!$D$7)^BQ$2))),((Inputs!$D$8^((1-_xlfn.WEIBULL.DIST(BQ$2,$M5,$L5,FALSE))/_xlfn.WEIBULL.DIST(BQ$2,$M5,$L5,FALSE))*($T5*(1-$F5)+$S5*(1-$G5))*((1+Inputs!$D$7)^BQ$2))))))))</f>
        <v>46.91097692307693</v>
      </c>
      <c r="BR5" s="88">
        <f>MAX(AB5,($E5*IF(BR$2&gt;Inputs!$D$5,0,IF(BR$2&gt;VLOOKUP($H5,Lists!$P$3:$Q$7,2),IF($N5=Lists!$K$3,IF($L5&lt;1,(($U5/$L5)*((1+Inputs!$D$7)^BR$2)),((INT(BR$2/$L5)-INT((BR$2-1)/$L5))*$U5*((1+Inputs!$D$7)^BR$2))),(Inputs!$D$8^((1-_xlfn.WEIBULL.DIST(BR$2,$M5,$L5,FALSE))/_xlfn.WEIBULL.DIST(BR$2,$M5,$L5,FALSE))*$U5*((1+Inputs!$D$7)^BR$2))),IF($N5=Lists!$K$3,IF($L5&lt;1,((($T5*(1-$F5)+$S5*(1-$G5))/$L5)*((1+Inputs!$D$7)^BR$2)),((INT(BR$2/$L5)-INT((BR$2-1)/$L5))*($T5*(1-$F5)+$S5*(1-$G5))*((1+Inputs!$D$7)^BR$2))),((Inputs!$D$8^((1-_xlfn.WEIBULL.DIST(BR$2,$M5,$L5,FALSE))/_xlfn.WEIBULL.DIST(BR$2,$M5,$L5,FALSE))*($T5*(1-$F5)+$S5*(1-$G5))*((1+Inputs!$D$7)^BR$2))))))))</f>
        <v>47.849196461538462</v>
      </c>
      <c r="BS5" s="88">
        <f>MAX(AC5,($E5*IF(BS$2&gt;Inputs!$D$5,0,IF(BS$2&gt;VLOOKUP($H5,Lists!$P$3:$Q$7,2),IF($N5=Lists!$K$3,IF($L5&lt;1,(($U5/$L5)*((1+Inputs!$D$7)^BS$2)),((INT(BS$2/$L5)-INT((BS$2-1)/$L5))*$U5*((1+Inputs!$D$7)^BS$2))),(Inputs!$D$8^((1-_xlfn.WEIBULL.DIST(BS$2,$M5,$L5,FALSE))/_xlfn.WEIBULL.DIST(BS$2,$M5,$L5,FALSE))*$U5*((1+Inputs!$D$7)^BS$2))),IF($N5=Lists!$K$3,IF($L5&lt;1,((($T5*(1-$F5)+$S5*(1-$G5))/$L5)*((1+Inputs!$D$7)^BS$2)),((INT(BS$2/$L5)-INT((BS$2-1)/$L5))*($T5*(1-$F5)+$S5*(1-$G5))*((1+Inputs!$D$7)^BS$2))),((Inputs!$D$8^((1-_xlfn.WEIBULL.DIST(BS$2,$M5,$L5,FALSE))/_xlfn.WEIBULL.DIST(BS$2,$M5,$L5,FALSE))*($T5*(1-$F5)+$S5*(1-$G5))*((1+Inputs!$D$7)^BS$2))))))))</f>
        <v>48.806180390769228</v>
      </c>
      <c r="BT5" s="88">
        <f>MAX(AD5,($E5*IF(BT$2&gt;Inputs!$D$5,0,IF(BT$2&gt;VLOOKUP($H5,Lists!$P$3:$Q$7,2),IF($N5=Lists!$K$3,IF($L5&lt;1,(($U5/$L5)*((1+Inputs!$D$7)^BT$2)),((INT(BT$2/$L5)-INT((BT$2-1)/$L5))*$U5*((1+Inputs!$D$7)^BT$2))),(Inputs!$D$8^((1-_xlfn.WEIBULL.DIST(BT$2,$M5,$L5,FALSE))/_xlfn.WEIBULL.DIST(BT$2,$M5,$L5,FALSE))*$U5*((1+Inputs!$D$7)^BT$2))),IF($N5=Lists!$K$3,IF($L5&lt;1,((($T5*(1-$F5)+$S5*(1-$G5))/$L5)*((1+Inputs!$D$7)^BT$2)),((INT(BT$2/$L5)-INT((BT$2-1)/$L5))*($T5*(1-$F5)+$S5*(1-$G5))*((1+Inputs!$D$7)^BT$2))),((Inputs!$D$8^((1-_xlfn.WEIBULL.DIST(BT$2,$M5,$L5,FALSE))/_xlfn.WEIBULL.DIST(BT$2,$M5,$L5,FALSE))*($T5*(1-$F5)+$S5*(1-$G5))*((1+Inputs!$D$7)^BT$2))))))))</f>
        <v>49.782303998584617</v>
      </c>
      <c r="BU5" s="88">
        <f>MAX(AE5,($E5*IF(BU$2&gt;Inputs!$D$5,0,IF(BU$2&gt;VLOOKUP($H5,Lists!$P$3:$Q$7,2),IF($N5=Lists!$K$3,IF($L5&lt;1,(($U5/$L5)*((1+Inputs!$D$7)^BU$2)),((INT(BU$2/$L5)-INT((BU$2-1)/$L5))*$U5*((1+Inputs!$D$7)^BU$2))),(Inputs!$D$8^((1-_xlfn.WEIBULL.DIST(BU$2,$M5,$L5,FALSE))/_xlfn.WEIBULL.DIST(BU$2,$M5,$L5,FALSE))*$U5*((1+Inputs!$D$7)^BU$2))),IF($N5=Lists!$K$3,IF($L5&lt;1,((($T5*(1-$F5)+$S5*(1-$G5))/$L5)*((1+Inputs!$D$7)^BU$2)),((INT(BU$2/$L5)-INT((BU$2-1)/$L5))*($T5*(1-$F5)+$S5*(1-$G5))*((1+Inputs!$D$7)^BU$2))),((Inputs!$D$8^((1-_xlfn.WEIBULL.DIST(BU$2,$M5,$L5,FALSE))/_xlfn.WEIBULL.DIST(BU$2,$M5,$L5,FALSE))*($T5*(1-$F5)+$S5*(1-$G5))*((1+Inputs!$D$7)^BU$2))))))))</f>
        <v>50.777950078556316</v>
      </c>
      <c r="BV5" s="88">
        <f>MAX(AF5,($E5*IF(BV$2&gt;Inputs!$D$5,0,IF(BV$2&gt;VLOOKUP($H5,Lists!$P$3:$Q$7,2),IF($N5=Lists!$K$3,IF($L5&lt;1,(($U5/$L5)*((1+Inputs!$D$7)^BV$2)),((INT(BV$2/$L5)-INT((BV$2-1)/$L5))*$U5*((1+Inputs!$D$7)^BV$2))),(Inputs!$D$8^((1-_xlfn.WEIBULL.DIST(BV$2,$M5,$L5,FALSE))/_xlfn.WEIBULL.DIST(BV$2,$M5,$L5,FALSE))*$U5*((1+Inputs!$D$7)^BV$2))),IF($N5=Lists!$K$3,IF($L5&lt;1,((($T5*(1-$F5)+$S5*(1-$G5))/$L5)*((1+Inputs!$D$7)^BV$2)),((INT(BV$2/$L5)-INT((BV$2-1)/$L5))*($T5*(1-$F5)+$S5*(1-$G5))*((1+Inputs!$D$7)^BV$2))),((Inputs!$D$8^((1-_xlfn.WEIBULL.DIST(BV$2,$M5,$L5,FALSE))/_xlfn.WEIBULL.DIST(BV$2,$M5,$L5,FALSE))*($T5*(1-$F5)+$S5*(1-$G5))*((1+Inputs!$D$7)^BV$2))))))))</f>
        <v>51.793509080127443</v>
      </c>
      <c r="BW5" s="88">
        <f>MAX(AG5,($E5*IF(BW$2&gt;Inputs!$D$5,0,IF(BW$2&gt;VLOOKUP($H5,Lists!$P$3:$Q$7,2),IF($N5=Lists!$K$3,IF($L5&lt;1,(($U5/$L5)*((1+Inputs!$D$7)^BW$2)),((INT(BW$2/$L5)-INT((BW$2-1)/$L5))*$U5*((1+Inputs!$D$7)^BW$2))),(Inputs!$D$8^((1-_xlfn.WEIBULL.DIST(BW$2,$M5,$L5,FALSE))/_xlfn.WEIBULL.DIST(BW$2,$M5,$L5,FALSE))*$U5*((1+Inputs!$D$7)^BW$2))),IF($N5=Lists!$K$3,IF($L5&lt;1,((($T5*(1-$F5)+$S5*(1-$G5))/$L5)*((1+Inputs!$D$7)^BW$2)),((INT(BW$2/$L5)-INT((BW$2-1)/$L5))*($T5*(1-$F5)+$S5*(1-$G5))*((1+Inputs!$D$7)^BW$2))),((Inputs!$D$8^((1-_xlfn.WEIBULL.DIST(BW$2,$M5,$L5,FALSE))/_xlfn.WEIBULL.DIST(BW$2,$M5,$L5,FALSE))*($T5*(1-$F5)+$S5*(1-$G5))*((1+Inputs!$D$7)^BW$2))))))))</f>
        <v>52.829379261729976</v>
      </c>
      <c r="BX5" s="88">
        <f>MAX(AH5,($E5*IF(BX$2&gt;Inputs!$D$5,0,IF(BX$2&gt;VLOOKUP($H5,Lists!$P$3:$Q$7,2),IF($N5=Lists!$K$3,IF($L5&lt;1,(($U5/$L5)*((1+Inputs!$D$7)^BX$2)),((INT(BX$2/$L5)-INT((BX$2-1)/$L5))*$U5*((1+Inputs!$D$7)^BX$2))),(Inputs!$D$8^((1-_xlfn.WEIBULL.DIST(BX$2,$M5,$L5,FALSE))/_xlfn.WEIBULL.DIST(BX$2,$M5,$L5,FALSE))*$U5*((1+Inputs!$D$7)^BX$2))),IF($N5=Lists!$K$3,IF($L5&lt;1,((($T5*(1-$F5)+$S5*(1-$G5))/$L5)*((1+Inputs!$D$7)^BX$2)),((INT(BX$2/$L5)-INT((BX$2-1)/$L5))*($T5*(1-$F5)+$S5*(1-$G5))*((1+Inputs!$D$7)^BX$2))),((Inputs!$D$8^((1-_xlfn.WEIBULL.DIST(BX$2,$M5,$L5,FALSE))/_xlfn.WEIBULL.DIST(BX$2,$M5,$L5,FALSE))*($T5*(1-$F5)+$S5*(1-$G5))*((1+Inputs!$D$7)^BX$2))))))))</f>
        <v>53.885966846964585</v>
      </c>
      <c r="BY5" s="88">
        <f>MAX(AI5,($E5*IF(BY$2&gt;Inputs!$D$5,0,IF(BY$2&gt;VLOOKUP($H5,Lists!$P$3:$Q$7,2),IF($N5=Lists!$K$3,IF($L5&lt;1,(($U5/$L5)*((1+Inputs!$D$7)^BY$2)),((INT(BY$2/$L5)-INT((BY$2-1)/$L5))*$U5*((1+Inputs!$D$7)^BY$2))),(Inputs!$D$8^((1-_xlfn.WEIBULL.DIST(BY$2,$M5,$L5,FALSE))/_xlfn.WEIBULL.DIST(BY$2,$M5,$L5,FALSE))*$U5*((1+Inputs!$D$7)^BY$2))),IF($N5=Lists!$K$3,IF($L5&lt;1,((($T5*(1-$F5)+$S5*(1-$G5))/$L5)*((1+Inputs!$D$7)^BY$2)),((INT(BY$2/$L5)-INT((BY$2-1)/$L5))*($T5*(1-$F5)+$S5*(1-$G5))*((1+Inputs!$D$7)^BY$2))),((Inputs!$D$8^((1-_xlfn.WEIBULL.DIST(BY$2,$M5,$L5,FALSE))/_xlfn.WEIBULL.DIST(BY$2,$M5,$L5,FALSE))*($T5*(1-$F5)+$S5*(1-$G5))*((1+Inputs!$D$7)^BY$2))))))))</f>
        <v>54.963686183903874</v>
      </c>
      <c r="BZ5" s="88">
        <f>MAX(AJ5,($E5*IF(BZ$2&gt;Inputs!$D$5,0,IF(BZ$2&gt;VLOOKUP($H5,Lists!$P$3:$Q$7,2),IF($N5=Lists!$K$3,IF($L5&lt;1,(($U5/$L5)*((1+Inputs!$D$7)^BZ$2)),((INT(BZ$2/$L5)-INT((BZ$2-1)/$L5))*$U5*((1+Inputs!$D$7)^BZ$2))),(Inputs!$D$8^((1-_xlfn.WEIBULL.DIST(BZ$2,$M5,$L5,FALSE))/_xlfn.WEIBULL.DIST(BZ$2,$M5,$L5,FALSE))*$U5*((1+Inputs!$D$7)^BZ$2))),IF($N5=Lists!$K$3,IF($L5&lt;1,((($T5*(1-$F5)+$S5*(1-$G5))/$L5)*((1+Inputs!$D$7)^BZ$2)),((INT(BZ$2/$L5)-INT((BZ$2-1)/$L5))*($T5*(1-$F5)+$S5*(1-$G5))*((1+Inputs!$D$7)^BZ$2))),((Inputs!$D$8^((1-_xlfn.WEIBULL.DIST(BZ$2,$M5,$L5,FALSE))/_xlfn.WEIBULL.DIST(BZ$2,$M5,$L5,FALSE))*($T5*(1-$F5)+$S5*(1-$G5))*((1+Inputs!$D$7)^BZ$2))))))))</f>
        <v>56.062959907581956</v>
      </c>
      <c r="CA5" s="88">
        <f>MAX(AK5,($E5*IF(CA$2&gt;Inputs!$D$5,0,IF(CA$2&gt;VLOOKUP($H5,Lists!$P$3:$Q$7,2),IF($N5=Lists!$K$3,IF($L5&lt;1,(($U5/$L5)*((1+Inputs!$D$7)^CA$2)),((INT(CA$2/$L5)-INT((CA$2-1)/$L5))*$U5*((1+Inputs!$D$7)^CA$2))),(Inputs!$D$8^((1-_xlfn.WEIBULL.DIST(CA$2,$M5,$L5,FALSE))/_xlfn.WEIBULL.DIST(CA$2,$M5,$L5,FALSE))*$U5*((1+Inputs!$D$7)^CA$2))),IF($N5=Lists!$K$3,IF($L5&lt;1,((($T5*(1-$F5)+$S5*(1-$G5))/$L5)*((1+Inputs!$D$7)^CA$2)),((INT(CA$2/$L5)-INT((CA$2-1)/$L5))*($T5*(1-$F5)+$S5*(1-$G5))*((1+Inputs!$D$7)^CA$2))),((Inputs!$D$8^((1-_xlfn.WEIBULL.DIST(CA$2,$M5,$L5,FALSE))/_xlfn.WEIBULL.DIST(CA$2,$M5,$L5,FALSE))*($T5*(1-$F5)+$S5*(1-$G5))*((1+Inputs!$D$7)^CA$2))))))))</f>
        <v>57.184219105733582</v>
      </c>
      <c r="CB5" s="88">
        <f>MAX(AL5,($E5*IF(CB$2&gt;Inputs!$D$5,0,IF(CB$2&gt;VLOOKUP($H5,Lists!$P$3:$Q$7,2),IF($N5=Lists!$K$3,IF($L5&lt;1,(($U5/$L5)*((1+Inputs!$D$7)^CB$2)),((INT(CB$2/$L5)-INT((CB$2-1)/$L5))*$U5*((1+Inputs!$D$7)^CB$2))),(Inputs!$D$8^((1-_xlfn.WEIBULL.DIST(CB$2,$M5,$L5,FALSE))/_xlfn.WEIBULL.DIST(CB$2,$M5,$L5,FALSE))*$U5*((1+Inputs!$D$7)^CB$2))),IF($N5=Lists!$K$3,IF($L5&lt;1,((($T5*(1-$F5)+$S5*(1-$G5))/$L5)*((1+Inputs!$D$7)^CB$2)),((INT(CB$2/$L5)-INT((CB$2-1)/$L5))*($T5*(1-$F5)+$S5*(1-$G5))*((1+Inputs!$D$7)^CB$2))),((Inputs!$D$8^((1-_xlfn.WEIBULL.DIST(CB$2,$M5,$L5,FALSE))/_xlfn.WEIBULL.DIST(CB$2,$M5,$L5,FALSE))*($T5*(1-$F5)+$S5*(1-$G5))*((1+Inputs!$D$7)^CB$2))))))))</f>
        <v>58.327903487848268</v>
      </c>
      <c r="CC5" s="88">
        <f>MAX(AM5,($E5*IF(CC$2&gt;Inputs!$D$5,0,IF(CC$2&gt;VLOOKUP($H5,Lists!$P$3:$Q$7,2),IF($N5=Lists!$K$3,IF($L5&lt;1,(($U5/$L5)*((1+Inputs!$D$7)^CC$2)),((INT(CC$2/$L5)-INT((CC$2-1)/$L5))*$U5*((1+Inputs!$D$7)^CC$2))),(Inputs!$D$8^((1-_xlfn.WEIBULL.DIST(CC$2,$M5,$L5,FALSE))/_xlfn.WEIBULL.DIST(CC$2,$M5,$L5,FALSE))*$U5*((1+Inputs!$D$7)^CC$2))),IF($N5=Lists!$K$3,IF($L5&lt;1,((($T5*(1-$F5)+$S5*(1-$G5))/$L5)*((1+Inputs!$D$7)^CC$2)),((INT(CC$2/$L5)-INT((CC$2-1)/$L5))*($T5*(1-$F5)+$S5*(1-$G5))*((1+Inputs!$D$7)^CC$2))),((Inputs!$D$8^((1-_xlfn.WEIBULL.DIST(CC$2,$M5,$L5,FALSE))/_xlfn.WEIBULL.DIST(CC$2,$M5,$L5,FALSE))*($T5*(1-$F5)+$S5*(1-$G5))*((1+Inputs!$D$7)^CC$2))))))))</f>
        <v>59.494461557605227</v>
      </c>
      <c r="CD5" s="88">
        <f>MAX(AN5,($E5*IF(CD$2&gt;Inputs!$D$5,0,IF(CD$2&gt;VLOOKUP($H5,Lists!$P$3:$Q$7,2),IF($N5=Lists!$K$3,IF($L5&lt;1,(($U5/$L5)*((1+Inputs!$D$7)^CD$2)),((INT(CD$2/$L5)-INT((CD$2-1)/$L5))*$U5*((1+Inputs!$D$7)^CD$2))),(Inputs!$D$8^((1-_xlfn.WEIBULL.DIST(CD$2,$M5,$L5,FALSE))/_xlfn.WEIBULL.DIST(CD$2,$M5,$L5,FALSE))*$U5*((1+Inputs!$D$7)^CD$2))),IF($N5=Lists!$K$3,IF($L5&lt;1,((($T5*(1-$F5)+$S5*(1-$G5))/$L5)*((1+Inputs!$D$7)^CD$2)),((INT(CD$2/$L5)-INT((CD$2-1)/$L5))*($T5*(1-$F5)+$S5*(1-$G5))*((1+Inputs!$D$7)^CD$2))),((Inputs!$D$8^((1-_xlfn.WEIBULL.DIST(CD$2,$M5,$L5,FALSE))/_xlfn.WEIBULL.DIST(CD$2,$M5,$L5,FALSE))*($T5*(1-$F5)+$S5*(1-$G5))*((1+Inputs!$D$7)^CD$2))))))))</f>
        <v>60.684350788757335</v>
      </c>
      <c r="CE5" s="88">
        <f>MAX(AO5,($E5*IF(CE$2&gt;Inputs!$D$5,0,IF(CE$2&gt;VLOOKUP($H5,Lists!$P$3:$Q$7,2),IF($N5=Lists!$K$3,IF($L5&lt;1,(($U5/$L5)*((1+Inputs!$D$7)^CE$2)),((INT(CE$2/$L5)-INT((CE$2-1)/$L5))*$U5*((1+Inputs!$D$7)^CE$2))),(Inputs!$D$8^((1-_xlfn.WEIBULL.DIST(CE$2,$M5,$L5,FALSE))/_xlfn.WEIBULL.DIST(CE$2,$M5,$L5,FALSE))*$U5*((1+Inputs!$D$7)^CE$2))),IF($N5=Lists!$K$3,IF($L5&lt;1,((($T5*(1-$F5)+$S5*(1-$G5))/$L5)*((1+Inputs!$D$7)^CE$2)),((INT(CE$2/$L5)-INT((CE$2-1)/$L5))*($T5*(1-$F5)+$S5*(1-$G5))*((1+Inputs!$D$7)^CE$2))),((Inputs!$D$8^((1-_xlfn.WEIBULL.DIST(CE$2,$M5,$L5,FALSE))/_xlfn.WEIBULL.DIST(CE$2,$M5,$L5,FALSE))*($T5*(1-$F5)+$S5*(1-$G5))*((1+Inputs!$D$7)^CE$2))))))))</f>
        <v>61.898037804532464</v>
      </c>
      <c r="CF5" s="88">
        <f>MAX(AP5,($E5*IF(CF$2&gt;Inputs!$D$5,0,IF(CF$2&gt;VLOOKUP($H5,Lists!$P$3:$Q$7,2),IF($N5=Lists!$K$3,IF($L5&lt;1,(($U5/$L5)*((1+Inputs!$D$7)^CF$2)),((INT(CF$2/$L5)-INT((CF$2-1)/$L5))*$U5*((1+Inputs!$D$7)^CF$2))),(Inputs!$D$8^((1-_xlfn.WEIBULL.DIST(CF$2,$M5,$L5,FALSE))/_xlfn.WEIBULL.DIST(CF$2,$M5,$L5,FALSE))*$U5*((1+Inputs!$D$7)^CF$2))),IF($N5=Lists!$K$3,IF($L5&lt;1,((($T5*(1-$F5)+$S5*(1-$G5))/$L5)*((1+Inputs!$D$7)^CF$2)),((INT(CF$2/$L5)-INT((CF$2-1)/$L5))*($T5*(1-$F5)+$S5*(1-$G5))*((1+Inputs!$D$7)^CF$2))),((Inputs!$D$8^((1-_xlfn.WEIBULL.DIST(CF$2,$M5,$L5,FALSE))/_xlfn.WEIBULL.DIST(CF$2,$M5,$L5,FALSE))*($T5*(1-$F5)+$S5*(1-$G5))*((1+Inputs!$D$7)^CF$2))))))))</f>
        <v>63.135998560623129</v>
      </c>
      <c r="CG5" s="88">
        <f>MAX(AQ5,($E5*IF(CG$2&gt;Inputs!$D$5,0,IF(CG$2&gt;VLOOKUP($H5,Lists!$P$3:$Q$7,2),IF($N5=Lists!$K$3,IF($L5&lt;1,(($U5/$L5)*((1+Inputs!$D$7)^CG$2)),((INT(CG$2/$L5)-INT((CG$2-1)/$L5))*$U5*((1+Inputs!$D$7)^CG$2))),(Inputs!$D$8^((1-_xlfn.WEIBULL.DIST(CG$2,$M5,$L5,FALSE))/_xlfn.WEIBULL.DIST(CG$2,$M5,$L5,FALSE))*$U5*((1+Inputs!$D$7)^CG$2))),IF($N5=Lists!$K$3,IF($L5&lt;1,((($T5*(1-$F5)+$S5*(1-$G5))/$L5)*((1+Inputs!$D$7)^CG$2)),((INT(CG$2/$L5)-INT((CG$2-1)/$L5))*($T5*(1-$F5)+$S5*(1-$G5))*((1+Inputs!$D$7)^CG$2))),((Inputs!$D$8^((1-_xlfn.WEIBULL.DIST(CG$2,$M5,$L5,FALSE))/_xlfn.WEIBULL.DIST(CG$2,$M5,$L5,FALSE))*($T5*(1-$F5)+$S5*(1-$G5))*((1+Inputs!$D$7)^CG$2))))))))</f>
        <v>64.398718531835598</v>
      </c>
      <c r="CH5" s="88">
        <f>MAX(AR5,($E5*IF(CH$2&gt;Inputs!$D$5,0,IF(CH$2&gt;VLOOKUP($H5,Lists!$P$3:$Q$7,2),IF($N5=Lists!$K$3,IF($L5&lt;1,(($U5/$L5)*((1+Inputs!$D$7)^CH$2)),((INT(CH$2/$L5)-INT((CH$2-1)/$L5))*$U5*((1+Inputs!$D$7)^CH$2))),(Inputs!$D$8^((1-_xlfn.WEIBULL.DIST(CH$2,$M5,$L5,FALSE))/_xlfn.WEIBULL.DIST(CH$2,$M5,$L5,FALSE))*$U5*((1+Inputs!$D$7)^CH$2))),IF($N5=Lists!$K$3,IF($L5&lt;1,((($T5*(1-$F5)+$S5*(1-$G5))/$L5)*((1+Inputs!$D$7)^CH$2)),((INT(CH$2/$L5)-INT((CH$2-1)/$L5))*($T5*(1-$F5)+$S5*(1-$G5))*((1+Inputs!$D$7)^CH$2))),((Inputs!$D$8^((1-_xlfn.WEIBULL.DIST(CH$2,$M5,$L5,FALSE))/_xlfn.WEIBULL.DIST(CH$2,$M5,$L5,FALSE))*($T5*(1-$F5)+$S5*(1-$G5))*((1+Inputs!$D$7)^CH$2))))))))</f>
        <v>65.686692902472302</v>
      </c>
      <c r="CI5" s="88">
        <f>MAX(AS5,($E5*IF(CI$2&gt;Inputs!$D$5,0,IF(CI$2&gt;VLOOKUP($H5,Lists!$P$3:$Q$7,2),IF($N5=Lists!$K$3,IF($L5&lt;1,(($U5/$L5)*((1+Inputs!$D$7)^CI$2)),((INT(CI$2/$L5)-INT((CI$2-1)/$L5))*$U5*((1+Inputs!$D$7)^CI$2))),(Inputs!$D$8^((1-_xlfn.WEIBULL.DIST(CI$2,$M5,$L5,FALSE))/_xlfn.WEIBULL.DIST(CI$2,$M5,$L5,FALSE))*$U5*((1+Inputs!$D$7)^CI$2))),IF($N5=Lists!$K$3,IF($L5&lt;1,((($T5*(1-$F5)+$S5*(1-$G5))/$L5)*((1+Inputs!$D$7)^CI$2)),((INT(CI$2/$L5)-INT((CI$2-1)/$L5))*($T5*(1-$F5)+$S5*(1-$G5))*((1+Inputs!$D$7)^CI$2))),((Inputs!$D$8^((1-_xlfn.WEIBULL.DIST(CI$2,$M5,$L5,FALSE))/_xlfn.WEIBULL.DIST(CI$2,$M5,$L5,FALSE))*($T5*(1-$F5)+$S5*(1-$G5))*((1+Inputs!$D$7)^CI$2))))))))</f>
        <v>67.000426760521748</v>
      </c>
      <c r="CJ5" s="88">
        <f>MAX(AT5,($E5*IF(CJ$2&gt;Inputs!$D$5,0,IF(CJ$2&gt;VLOOKUP($H5,Lists!$P$3:$Q$7,2),IF($N5=Lists!$K$3,IF($L5&lt;1,(($U5/$L5)*((1+Inputs!$D$7)^CJ$2)),((INT(CJ$2/$L5)-INT((CJ$2-1)/$L5))*$U5*((1+Inputs!$D$7)^CJ$2))),(Inputs!$D$8^((1-_xlfn.WEIBULL.DIST(CJ$2,$M5,$L5,FALSE))/_xlfn.WEIBULL.DIST(CJ$2,$M5,$L5,FALSE))*$U5*((1+Inputs!$D$7)^CJ$2))),IF($N5=Lists!$K$3,IF($L5&lt;1,((($T5*(1-$F5)+$S5*(1-$G5))/$L5)*((1+Inputs!$D$7)^CJ$2)),((INT(CJ$2/$L5)-INT((CJ$2-1)/$L5))*($T5*(1-$F5)+$S5*(1-$G5))*((1+Inputs!$D$7)^CJ$2))),((Inputs!$D$8^((1-_xlfn.WEIBULL.DIST(CJ$2,$M5,$L5,FALSE))/_xlfn.WEIBULL.DIST(CJ$2,$M5,$L5,FALSE))*($T5*(1-$F5)+$S5*(1-$G5))*((1+Inputs!$D$7)^CJ$2))))))))</f>
        <v>68.340435295732178</v>
      </c>
      <c r="CK5" s="88">
        <f>MAX(AU5,($E5*IF(CK$2&gt;Inputs!$D$5,0,IF(CK$2&gt;VLOOKUP($H5,Lists!$P$3:$Q$7,2),IF($N5=Lists!$K$3,IF($L5&lt;1,(($U5/$L5)*((1+Inputs!$D$7)^CK$2)),((INT(CK$2/$L5)-INT((CK$2-1)/$L5))*$U5*((1+Inputs!$D$7)^CK$2))),(Inputs!$D$8^((1-_xlfn.WEIBULL.DIST(CK$2,$M5,$L5,FALSE))/_xlfn.WEIBULL.DIST(CK$2,$M5,$L5,FALSE))*$U5*((1+Inputs!$D$7)^CK$2))),IF($N5=Lists!$K$3,IF($L5&lt;1,((($T5*(1-$F5)+$S5*(1-$G5))/$L5)*((1+Inputs!$D$7)^CK$2)),((INT(CK$2/$L5)-INT((CK$2-1)/$L5))*($T5*(1-$F5)+$S5*(1-$G5))*((1+Inputs!$D$7)^CK$2))),((Inputs!$D$8^((1-_xlfn.WEIBULL.DIST(CK$2,$M5,$L5,FALSE))/_xlfn.WEIBULL.DIST(CK$2,$M5,$L5,FALSE))*($T5*(1-$F5)+$S5*(1-$G5))*((1+Inputs!$D$7)^CK$2))))))))</f>
        <v>69.707244001646828</v>
      </c>
      <c r="CL5" s="88">
        <f>MAX(AV5,($E5*IF(CL$2&gt;Inputs!$D$5,0,IF(CL$2&gt;VLOOKUP($H5,Lists!$P$3:$Q$7,2),IF($N5=Lists!$K$3,IF($L5&lt;1,(($U5/$L5)*((1+Inputs!$D$7)^CL$2)),((INT(CL$2/$L5)-INT((CL$2-1)/$L5))*$U5*((1+Inputs!$D$7)^CL$2))),(Inputs!$D$8^((1-_xlfn.WEIBULL.DIST(CL$2,$M5,$L5,FALSE))/_xlfn.WEIBULL.DIST(CL$2,$M5,$L5,FALSE))*$U5*((1+Inputs!$D$7)^CL$2))),IF($N5=Lists!$K$3,IF($L5&lt;1,((($T5*(1-$F5)+$S5*(1-$G5))/$L5)*((1+Inputs!$D$7)^CL$2)),((INT(CL$2/$L5)-INT((CL$2-1)/$L5))*($T5*(1-$F5)+$S5*(1-$G5))*((1+Inputs!$D$7)^CL$2))),((Inputs!$D$8^((1-_xlfn.WEIBULL.DIST(CL$2,$M5,$L5,FALSE))/_xlfn.WEIBULL.DIST(CL$2,$M5,$L5,FALSE))*($T5*(1-$F5)+$S5*(1-$G5))*((1+Inputs!$D$7)^CL$2))))))))</f>
        <v>71.101388881679767</v>
      </c>
      <c r="CM5" s="88">
        <f>MAX(AW5,($E5*IF(CM$2&gt;Inputs!$D$5,0,IF(CM$2&gt;VLOOKUP($H5,Lists!$P$3:$Q$7,2),IF($N5=Lists!$K$3,IF($L5&lt;1,(($U5/$L5)*((1+Inputs!$D$7)^CM$2)),((INT(CM$2/$L5)-INT((CM$2-1)/$L5))*$U5*((1+Inputs!$D$7)^CM$2))),(Inputs!$D$8^((1-_xlfn.WEIBULL.DIST(CM$2,$M5,$L5,FALSE))/_xlfn.WEIBULL.DIST(CM$2,$M5,$L5,FALSE))*$U5*((1+Inputs!$D$7)^CM$2))),IF($N5=Lists!$K$3,IF($L5&lt;1,((($T5*(1-$F5)+$S5*(1-$G5))/$L5)*((1+Inputs!$D$7)^CM$2)),((INT(CM$2/$L5)-INT((CM$2-1)/$L5))*($T5*(1-$F5)+$S5*(1-$G5))*((1+Inputs!$D$7)^CM$2))),((Inputs!$D$8^((1-_xlfn.WEIBULL.DIST(CM$2,$M5,$L5,FALSE))/_xlfn.WEIBULL.DIST(CM$2,$M5,$L5,FALSE))*($T5*(1-$F5)+$S5*(1-$G5))*((1+Inputs!$D$7)^CM$2))))))))</f>
        <v>72.523416659313341</v>
      </c>
      <c r="CN5" s="88">
        <f>MAX(AX5,($E5*IF(CN$2&gt;Inputs!$D$5,0,IF(CN$2&gt;VLOOKUP($H5,Lists!$P$3:$Q$7,2),IF($N5=Lists!$K$3,IF($L5&lt;1,(($U5/$L5)*((1+Inputs!$D$7)^CN$2)),((INT(CN$2/$L5)-INT((CN$2-1)/$L5))*$U5*((1+Inputs!$D$7)^CN$2))),(Inputs!$D$8^((1-_xlfn.WEIBULL.DIST(CN$2,$M5,$L5,FALSE))/_xlfn.WEIBULL.DIST(CN$2,$M5,$L5,FALSE))*$U5*((1+Inputs!$D$7)^CN$2))),IF($N5=Lists!$K$3,IF($L5&lt;1,((($T5*(1-$F5)+$S5*(1-$G5))/$L5)*((1+Inputs!$D$7)^CN$2)),((INT(CN$2/$L5)-INT((CN$2-1)/$L5))*($T5*(1-$F5)+$S5*(1-$G5))*((1+Inputs!$D$7)^CN$2))),((Inputs!$D$8^((1-_xlfn.WEIBULL.DIST(CN$2,$M5,$L5,FALSE))/_xlfn.WEIBULL.DIST(CN$2,$M5,$L5,FALSE))*($T5*(1-$F5)+$S5*(1-$G5))*((1+Inputs!$D$7)^CN$2))))))))</f>
        <v>73.97388499249962</v>
      </c>
      <c r="CO5" s="88">
        <f>MAX(AY5,($E5*IF(CO$2&gt;Inputs!$D$5,0,IF(CO$2&gt;VLOOKUP($H5,Lists!$P$3:$Q$7,2),IF($N5=Lists!$K$3,IF($L5&lt;1,(($U5/$L5)*((1+Inputs!$D$7)^CO$2)),((INT(CO$2/$L5)-INT((CO$2-1)/$L5))*$U5*((1+Inputs!$D$7)^CO$2))),(Inputs!$D$8^((1-_xlfn.WEIBULL.DIST(CO$2,$M5,$L5,FALSE))/_xlfn.WEIBULL.DIST(CO$2,$M5,$L5,FALSE))*$U5*((1+Inputs!$D$7)^CO$2))),IF($N5=Lists!$K$3,IF($L5&lt;1,((($T5*(1-$F5)+$S5*(1-$G5))/$L5)*((1+Inputs!$D$7)^CO$2)),((INT(CO$2/$L5)-INT((CO$2-1)/$L5))*($T5*(1-$F5)+$S5*(1-$G5))*((1+Inputs!$D$7)^CO$2))),((Inputs!$D$8^((1-_xlfn.WEIBULL.DIST(CO$2,$M5,$L5,FALSE))/_xlfn.WEIBULL.DIST(CO$2,$M5,$L5,FALSE))*($T5*(1-$F5)+$S5*(1-$G5))*((1+Inputs!$D$7)^CO$2))))))))</f>
        <v>75.453362692349614</v>
      </c>
      <c r="CP5" s="88">
        <f>MAX(AZ5,($E5*IF(CP$2&gt;Inputs!$D$5,0,IF(CP$2&gt;VLOOKUP($H5,Lists!$P$3:$Q$7,2),IF($N5=Lists!$K$3,IF($L5&lt;1,(($U5/$L5)*((1+Inputs!$D$7)^CP$2)),((INT(CP$2/$L5)-INT((CP$2-1)/$L5))*$U5*((1+Inputs!$D$7)^CP$2))),(Inputs!$D$8^((1-_xlfn.WEIBULL.DIST(CP$2,$M5,$L5,FALSE))/_xlfn.WEIBULL.DIST(CP$2,$M5,$L5,FALSE))*$U5*((1+Inputs!$D$7)^CP$2))),IF($N5=Lists!$K$3,IF($L5&lt;1,((($T5*(1-$F5)+$S5*(1-$G5))/$L5)*((1+Inputs!$D$7)^CP$2)),((INT(CP$2/$L5)-INT((CP$2-1)/$L5))*($T5*(1-$F5)+$S5*(1-$G5))*((1+Inputs!$D$7)^CP$2))),((Inputs!$D$8^((1-_xlfn.WEIBULL.DIST(CP$2,$M5,$L5,FALSE))/_xlfn.WEIBULL.DIST(CP$2,$M5,$L5,FALSE))*($T5*(1-$F5)+$S5*(1-$G5))*((1+Inputs!$D$7)^CP$2))))))))</f>
        <v>0</v>
      </c>
      <c r="CQ5" s="88">
        <f>MAX(BA5,($E5*IF(CQ$2&gt;Inputs!$D$5,0,IF(CQ$2&gt;VLOOKUP($H5,Lists!$P$3:$Q$7,2),IF($N5=Lists!$K$3,IF($L5&lt;1,(($U5/$L5)*((1+Inputs!$D$7)^CQ$2)),((INT(CQ$2/$L5)-INT((CQ$2-1)/$L5))*$U5*((1+Inputs!$D$7)^CQ$2))),(Inputs!$D$8^((1-_xlfn.WEIBULL.DIST(CQ$2,$M5,$L5,FALSE))/_xlfn.WEIBULL.DIST(CQ$2,$M5,$L5,FALSE))*$U5*((1+Inputs!$D$7)^CQ$2))),IF($N5=Lists!$K$3,IF($L5&lt;1,((($T5*(1-$F5)+$S5*(1-$G5))/$L5)*((1+Inputs!$D$7)^CQ$2)),((INT(CQ$2/$L5)-INT((CQ$2-1)/$L5))*($T5*(1-$F5)+$S5*(1-$G5))*((1+Inputs!$D$7)^CQ$2))),((Inputs!$D$8^((1-_xlfn.WEIBULL.DIST(CQ$2,$M5,$L5,FALSE))/_xlfn.WEIBULL.DIST(CQ$2,$M5,$L5,FALSE))*($T5*(1-$F5)+$S5*(1-$G5))*((1+Inputs!$D$7)^CQ$2))))))))</f>
        <v>0</v>
      </c>
      <c r="CR5" s="88">
        <f>MAX(BB5,($E5*IF(CR$2&gt;Inputs!$D$5,0,IF(CR$2&gt;VLOOKUP($H5,Lists!$P$3:$Q$7,2),IF($N5=Lists!$K$3,IF($L5&lt;1,(($U5/$L5)*((1+Inputs!$D$7)^CR$2)),((INT(CR$2/$L5)-INT((CR$2-1)/$L5))*$U5*((1+Inputs!$D$7)^CR$2))),(Inputs!$D$8^((1-_xlfn.WEIBULL.DIST(CR$2,$M5,$L5,FALSE))/_xlfn.WEIBULL.DIST(CR$2,$M5,$L5,FALSE))*$U5*((1+Inputs!$D$7)^CR$2))),IF($N5=Lists!$K$3,IF($L5&lt;1,((($T5*(1-$F5)+$S5*(1-$G5))/$L5)*((1+Inputs!$D$7)^CR$2)),((INT(CR$2/$L5)-INT((CR$2-1)/$L5))*($T5*(1-$F5)+$S5*(1-$G5))*((1+Inputs!$D$7)^CR$2))),((Inputs!$D$8^((1-_xlfn.WEIBULL.DIST(CR$2,$M5,$L5,FALSE))/_xlfn.WEIBULL.DIST(CR$2,$M5,$L5,FALSE))*($T5*(1-$F5)+$S5*(1-$G5))*((1+Inputs!$D$7)^CR$2))))))))</f>
        <v>0</v>
      </c>
      <c r="CS5" s="88">
        <f>MAX(BC5,($E5*IF(CS$2&gt;Inputs!$D$5,0,IF(CS$2&gt;VLOOKUP($H5,Lists!$P$3:$Q$7,2),IF($N5=Lists!$K$3,IF($L5&lt;1,(($U5/$L5)*((1+Inputs!$D$7)^CS$2)),((INT(CS$2/$L5)-INT((CS$2-1)/$L5))*$U5*((1+Inputs!$D$7)^CS$2))),(Inputs!$D$8^((1-_xlfn.WEIBULL.DIST(CS$2,$M5,$L5,FALSE))/_xlfn.WEIBULL.DIST(CS$2,$M5,$L5,FALSE))*$U5*((1+Inputs!$D$7)^CS$2))),IF($N5=Lists!$K$3,IF($L5&lt;1,((($T5*(1-$F5)+$S5*(1-$G5))/$L5)*((1+Inputs!$D$7)^CS$2)),((INT(CS$2/$L5)-INT((CS$2-1)/$L5))*($T5*(1-$F5)+$S5*(1-$G5))*((1+Inputs!$D$7)^CS$2))),((Inputs!$D$8^((1-_xlfn.WEIBULL.DIST(CS$2,$M5,$L5,FALSE))/_xlfn.WEIBULL.DIST(CS$2,$M5,$L5,FALSE))*($T5*(1-$F5)+$S5*(1-$G5))*((1+Inputs!$D$7)^CS$2))))))))</f>
        <v>0</v>
      </c>
      <c r="CT5" s="88">
        <f>MAX(BD5,($E5*IF(CT$2&gt;Inputs!$D$5,0,IF(CT$2&gt;VLOOKUP($H5,Lists!$P$3:$Q$7,2),IF($N5=Lists!$K$3,IF($L5&lt;1,(($U5/$L5)*((1+Inputs!$D$7)^CT$2)),((INT(CT$2/$L5)-INT((CT$2-1)/$L5))*$U5*((1+Inputs!$D$7)^CT$2))),(Inputs!$D$8^((1-_xlfn.WEIBULL.DIST(CT$2,$M5,$L5,FALSE))/_xlfn.WEIBULL.DIST(CT$2,$M5,$L5,FALSE))*$U5*((1+Inputs!$D$7)^CT$2))),IF($N5=Lists!$K$3,IF($L5&lt;1,((($T5*(1-$F5)+$S5*(1-$G5))/$L5)*((1+Inputs!$D$7)^CT$2)),((INT(CT$2/$L5)-INT((CT$2-1)/$L5))*($T5*(1-$F5)+$S5*(1-$G5))*((1+Inputs!$D$7)^CT$2))),((Inputs!$D$8^((1-_xlfn.WEIBULL.DIST(CT$2,$M5,$L5,FALSE))/_xlfn.WEIBULL.DIST(CT$2,$M5,$L5,FALSE))*($T5*(1-$F5)+$S5*(1-$G5))*((1+Inputs!$D$7)^CT$2))))))))</f>
        <v>0</v>
      </c>
      <c r="CU5" s="88">
        <f>MAX(BE5,($E5*IF(CU$2&gt;Inputs!$D$5,0,IF(CU$2&gt;VLOOKUP($H5,Lists!$P$3:$Q$7,2),IF($N5=Lists!$K$3,IF($L5&lt;1,(($U5/$L5)*((1+Inputs!$D$7)^CU$2)),((INT(CU$2/$L5)-INT((CU$2-1)/$L5))*$U5*((1+Inputs!$D$7)^CU$2))),(Inputs!$D$8^((1-_xlfn.WEIBULL.DIST(CU$2,$M5,$L5,FALSE))/_xlfn.WEIBULL.DIST(CU$2,$M5,$L5,FALSE))*$U5*((1+Inputs!$D$7)^CU$2))),IF($N5=Lists!$K$3,IF($L5&lt;1,((($T5*(1-$F5)+$S5*(1-$G5))/$L5)*((1+Inputs!$D$7)^CU$2)),((INT(CU$2/$L5)-INT((CU$2-1)/$L5))*($T5*(1-$F5)+$S5*(1-$G5))*((1+Inputs!$D$7)^CU$2))),((Inputs!$D$8^((1-_xlfn.WEIBULL.DIST(CU$2,$M5,$L5,FALSE))/_xlfn.WEIBULL.DIST(CU$2,$M5,$L5,FALSE))*($T5*(1-$F5)+$S5*(1-$G5))*((1+Inputs!$D$7)^CU$2))))))))</f>
        <v>0</v>
      </c>
      <c r="CV5" s="88">
        <f>MAX(BF5,($E5*IF(CV$2&gt;Inputs!$D$5,0,IF(CV$2&gt;VLOOKUP($H5,Lists!$P$3:$Q$7,2),IF($N5=Lists!$K$3,IF($L5&lt;1,(($U5/$L5)*((1+Inputs!$D$7)^CV$2)),((INT(CV$2/$L5)-INT((CV$2-1)/$L5))*$U5*((1+Inputs!$D$7)^CV$2))),(Inputs!$D$8^((1-_xlfn.WEIBULL.DIST(CV$2,$M5,$L5,FALSE))/_xlfn.WEIBULL.DIST(CV$2,$M5,$L5,FALSE))*$U5*((1+Inputs!$D$7)^CV$2))),IF($N5=Lists!$K$3,IF($L5&lt;1,((($T5*(1-$F5)+$S5*(1-$G5))/$L5)*((1+Inputs!$D$7)^CV$2)),((INT(CV$2/$L5)-INT((CV$2-1)/$L5))*($T5*(1-$F5)+$S5*(1-$G5))*((1+Inputs!$D$7)^CV$2))),((Inputs!$D$8^((1-_xlfn.WEIBULL.DIST(CV$2,$M5,$L5,FALSE))/_xlfn.WEIBULL.DIST(CV$2,$M5,$L5,FALSE))*($T5*(1-$F5)+$S5*(1-$G5))*((1+Inputs!$D$7)^CV$2))))))))</f>
        <v>0</v>
      </c>
      <c r="CW5" s="88">
        <f>MAX(BG5,($E5*IF(CW$2&gt;Inputs!$D$5,0,IF(CW$2&gt;VLOOKUP($H5,Lists!$P$3:$Q$7,2),IF($N5=Lists!$K$3,IF($L5&lt;1,(($U5/$L5)*((1+Inputs!$D$7)^CW$2)),((INT(CW$2/$L5)-INT((CW$2-1)/$L5))*$U5*((1+Inputs!$D$7)^CW$2))),(Inputs!$D$8^((1-_xlfn.WEIBULL.DIST(CW$2,$M5,$L5,FALSE))/_xlfn.WEIBULL.DIST(CW$2,$M5,$L5,FALSE))*$U5*((1+Inputs!$D$7)^CW$2))),IF($N5=Lists!$K$3,IF($L5&lt;1,((($T5*(1-$F5)+$S5*(1-$G5))/$L5)*((1+Inputs!$D$7)^CW$2)),((INT(CW$2/$L5)-INT((CW$2-1)/$L5))*($T5*(1-$F5)+$S5*(1-$G5))*((1+Inputs!$D$7)^CW$2))),((Inputs!$D$8^((1-_xlfn.WEIBULL.DIST(CW$2,$M5,$L5,FALSE))/_xlfn.WEIBULL.DIST(CW$2,$M5,$L5,FALSE))*($T5*(1-$F5)+$S5*(1-$G5))*((1+Inputs!$D$7)^CW$2))))))))</f>
        <v>0</v>
      </c>
      <c r="CX5" s="88">
        <f>MAX(BH5,($E5*IF(CX$2&gt;Inputs!$D$5,0,IF(CX$2&gt;VLOOKUP($H5,Lists!$P$3:$Q$7,2),IF($N5=Lists!$K$3,IF($L5&lt;1,(($U5/$L5)*((1+Inputs!$D$7)^CX$2)),((INT(CX$2/$L5)-INT((CX$2-1)/$L5))*$U5*((1+Inputs!$D$7)^CX$2))),(Inputs!$D$8^((1-_xlfn.WEIBULL.DIST(CX$2,$M5,$L5,FALSE))/_xlfn.WEIBULL.DIST(CX$2,$M5,$L5,FALSE))*$U5*((1+Inputs!$D$7)^CX$2))),IF($N5=Lists!$K$3,IF($L5&lt;1,((($T5*(1-$F5)+$S5*(1-$G5))/$L5)*((1+Inputs!$D$7)^CX$2)),((INT(CX$2/$L5)-INT((CX$2-1)/$L5))*($T5*(1-$F5)+$S5*(1-$G5))*((1+Inputs!$D$7)^CX$2))),((Inputs!$D$8^((1-_xlfn.WEIBULL.DIST(CX$2,$M5,$L5,FALSE))/_xlfn.WEIBULL.DIST(CX$2,$M5,$L5,FALSE))*($T5*(1-$F5)+$S5*(1-$G5))*((1+Inputs!$D$7)^CX$2))))))))</f>
        <v>0</v>
      </c>
      <c r="CY5" s="88">
        <f>MAX(BI5,($E5*IF(CY$2&gt;Inputs!$D$5,0,IF(CY$2&gt;VLOOKUP($H5,Lists!$P$3:$Q$7,2),IF($N5=Lists!$K$3,IF($L5&lt;1,(($U5/$L5)*((1+Inputs!$D$7)^CY$2)),((INT(CY$2/$L5)-INT((CY$2-1)/$L5))*$U5*((1+Inputs!$D$7)^CY$2))),(Inputs!$D$8^((1-_xlfn.WEIBULL.DIST(CY$2,$M5,$L5,FALSE))/_xlfn.WEIBULL.DIST(CY$2,$M5,$L5,FALSE))*$U5*((1+Inputs!$D$7)^CY$2))),IF($N5=Lists!$K$3,IF($L5&lt;1,((($T5*(1-$F5)+$S5*(1-$G5))/$L5)*((1+Inputs!$D$7)^CY$2)),((INT(CY$2/$L5)-INT((CY$2-1)/$L5))*($T5*(1-$F5)+$S5*(1-$G5))*((1+Inputs!$D$7)^CY$2))),((Inputs!$D$8^((1-_xlfn.WEIBULL.DIST(CY$2,$M5,$L5,FALSE))/_xlfn.WEIBULL.DIST(CY$2,$M5,$L5,FALSE))*($T5*(1-$F5)+$S5*(1-$G5))*((1+Inputs!$D$7)^CY$2))))))))</f>
        <v>0</v>
      </c>
      <c r="CZ5" s="88">
        <f>MAX(BJ5,($E5*IF(CZ$2&gt;Inputs!$D$5,0,IF(CZ$2&gt;VLOOKUP($H5,Lists!$P$3:$Q$7,2),IF($N5=Lists!$K$3,IF($L5&lt;1,(($U5/$L5)*((1+Inputs!$D$7)^CZ$2)),((INT(CZ$2/$L5)-INT((CZ$2-1)/$L5))*$U5*((1+Inputs!$D$7)^CZ$2))),(Inputs!$D$8^((1-_xlfn.WEIBULL.DIST(CZ$2,$M5,$L5,FALSE))/_xlfn.WEIBULL.DIST(CZ$2,$M5,$L5,FALSE))*$U5*((1+Inputs!$D$7)^CZ$2))),IF($N5=Lists!$K$3,IF($L5&lt;1,((($T5*(1-$F5)+$S5*(1-$G5))/$L5)*((1+Inputs!$D$7)^CZ$2)),((INT(CZ$2/$L5)-INT((CZ$2-1)/$L5))*($T5*(1-$F5)+$S5*(1-$G5))*((1+Inputs!$D$7)^CZ$2))),((Inputs!$D$8^((1-_xlfn.WEIBULL.DIST(CZ$2,$M5,$L5,FALSE))/_xlfn.WEIBULL.DIST(CZ$2,$M5,$L5,FALSE))*($T5*(1-$F5)+$S5*(1-$G5))*((1+Inputs!$D$7)^CZ$2))))))))</f>
        <v>0</v>
      </c>
      <c r="DA5" s="88">
        <f>MAX(BK5,($E5*IF(DA$2&gt;Inputs!$D$5,0,IF(DA$2&gt;VLOOKUP($H5,Lists!$P$3:$Q$7,2),IF($N5=Lists!$K$3,IF($L5&lt;1,(($U5/$L5)*((1+Inputs!$D$7)^DA$2)),((INT(DA$2/$L5)-INT((DA$2-1)/$L5))*$U5*((1+Inputs!$D$7)^DA$2))),(Inputs!$D$8^((1-_xlfn.WEIBULL.DIST(DA$2,$M5,$L5,FALSE))/_xlfn.WEIBULL.DIST(DA$2,$M5,$L5,FALSE))*$U5*((1+Inputs!$D$7)^DA$2))),IF($N5=Lists!$K$3,IF($L5&lt;1,((($T5*(1-$F5)+$S5*(1-$G5))/$L5)*((1+Inputs!$D$7)^DA$2)),((INT(DA$2/$L5)-INT((DA$2-1)/$L5))*($T5*(1-$F5)+$S5*(1-$G5))*((1+Inputs!$D$7)^DA$2))),((Inputs!$D$8^((1-_xlfn.WEIBULL.DIST(DA$2,$M5,$L5,FALSE))/_xlfn.WEIBULL.DIST(DA$2,$M5,$L5,FALSE))*($T5*(1-$F5)+$S5*(1-$G5))*((1+Inputs!$D$7)^DA$2))))))))</f>
        <v>0</v>
      </c>
      <c r="DB5" s="88">
        <f>MAX(BL5,($E5*IF(DB$2&gt;Inputs!$D$5,0,IF(DB$2&gt;VLOOKUP($H5,Lists!$P$3:$Q$7,2),IF($N5=Lists!$K$3,IF($L5&lt;1,(($U5/$L5)*((1+Inputs!$D$7)^DB$2)),((INT(DB$2/$L5)-INT((DB$2-1)/$L5))*$U5*((1+Inputs!$D$7)^DB$2))),(Inputs!$D$8^((1-_xlfn.WEIBULL.DIST(DB$2,$M5,$L5,FALSE))/_xlfn.WEIBULL.DIST(DB$2,$M5,$L5,FALSE))*$U5*((1+Inputs!$D$7)^DB$2))),IF($N5=Lists!$K$3,IF($L5&lt;1,((($T5*(1-$F5)+$S5*(1-$G5))/$L5)*((1+Inputs!$D$7)^DB$2)),((INT(DB$2/$L5)-INT((DB$2-1)/$L5))*($T5*(1-$F5)+$S5*(1-$G5))*((1+Inputs!$D$7)^DB$2))),((Inputs!$D$8^((1-_xlfn.WEIBULL.DIST(DB$2,$M5,$L5,FALSE))/_xlfn.WEIBULL.DIST(DB$2,$M5,$L5,FALSE))*($T5*(1-$F5)+$S5*(1-$G5))*((1+Inputs!$D$7)^DB$2))))))))</f>
        <v>0</v>
      </c>
      <c r="DC5" s="88">
        <f>MAX(BM5,($E5*IF(DC$2&gt;Inputs!$D$5,0,IF(DC$2&gt;VLOOKUP($H5,Lists!$P$3:$Q$7,2),IF($N5=Lists!$K$3,IF($L5&lt;1,(($U5/$L5)*((1+Inputs!$D$7)^DC$2)),((INT(DC$2/$L5)-INT((DC$2-1)/$L5))*$U5*((1+Inputs!$D$7)^DC$2))),(Inputs!$D$8^((1-_xlfn.WEIBULL.DIST(DC$2,$M5,$L5,FALSE))/_xlfn.WEIBULL.DIST(DC$2,$M5,$L5,FALSE))*$U5*((1+Inputs!$D$7)^DC$2))),IF($N5=Lists!$K$3,IF($L5&lt;1,((($T5*(1-$F5)+$S5*(1-$G5))/$L5)*((1+Inputs!$D$7)^DC$2)),((INT(DC$2/$L5)-INT((DC$2-1)/$L5))*($T5*(1-$F5)+$S5*(1-$G5))*((1+Inputs!$D$7)^DC$2))),((Inputs!$D$8^((1-_xlfn.WEIBULL.DIST(DC$2,$M5,$L5,FALSE))/_xlfn.WEIBULL.DIST(DC$2,$M5,$L5,FALSE))*($T5*(1-$F5)+$S5*(1-$G5))*((1+Inputs!$D$7)^DC$2))))))))</f>
        <v>0</v>
      </c>
      <c r="DD5" s="88">
        <f>MAX(BN5,($E5*IF(DD$2&gt;Inputs!$D$5,0,IF(DD$2&gt;VLOOKUP($H5,Lists!$P$3:$Q$7,2),IF($N5=Lists!$K$3,IF($L5&lt;1,(($U5/$L5)*((1+Inputs!$D$7)^DD$2)),((INT(DD$2/$L5)-INT((DD$2-1)/$L5))*$U5*((1+Inputs!$D$7)^DD$2))),(Inputs!$D$8^((1-_xlfn.WEIBULL.DIST(DD$2,$M5,$L5,FALSE))/_xlfn.WEIBULL.DIST(DD$2,$M5,$L5,FALSE))*$U5*((1+Inputs!$D$7)^DD$2))),IF($N5=Lists!$K$3,IF($L5&lt;1,((($T5*(1-$F5)+$S5*(1-$G5))/$L5)*((1+Inputs!$D$7)^DD$2)),((INT(DD$2/$L5)-INT((DD$2-1)/$L5))*($T5*(1-$F5)+$S5*(1-$G5))*((1+Inputs!$D$7)^DD$2))),((Inputs!$D$8^((1-_xlfn.WEIBULL.DIST(DD$2,$M5,$L5,FALSE))/_xlfn.WEIBULL.DIST(DD$2,$M5,$L5,FALSE))*($T5*(1-$F5)+$S5*(1-$G5))*((1+Inputs!$D$7)^DD$2))))))))</f>
        <v>0</v>
      </c>
    </row>
    <row r="6" spans="1:108" s="1" customFormat="1" ht="48">
      <c r="A6" s="57" t="s">
        <v>149</v>
      </c>
      <c r="B6" s="13" t="s">
        <v>129</v>
      </c>
      <c r="C6" s="13" t="s">
        <v>471</v>
      </c>
      <c r="D6" s="13" t="s">
        <v>124</v>
      </c>
      <c r="E6" s="48">
        <v>1</v>
      </c>
      <c r="F6" s="48">
        <v>0</v>
      </c>
      <c r="G6" s="48">
        <v>0</v>
      </c>
      <c r="H6" s="105" t="s">
        <v>350</v>
      </c>
      <c r="I6" s="14"/>
      <c r="J6" s="14" t="s">
        <v>248</v>
      </c>
      <c r="K6" s="13">
        <f>VLOOKUP(J6,'Labor Rates'!$A$1:$F$16,2)</f>
        <v>22.995576923076925</v>
      </c>
      <c r="L6" s="15">
        <v>1</v>
      </c>
      <c r="M6" s="15">
        <v>1</v>
      </c>
      <c r="N6" s="13" t="s">
        <v>236</v>
      </c>
      <c r="O6" s="61">
        <v>1</v>
      </c>
      <c r="P6" s="15">
        <f>0.08+0.01*Inputs!D32*Inputs!D33</f>
        <v>100.08</v>
      </c>
      <c r="Q6" s="15">
        <f t="shared" si="0"/>
        <v>100.08</v>
      </c>
      <c r="R6" s="4">
        <v>0</v>
      </c>
      <c r="S6" s="53">
        <f t="shared" si="1"/>
        <v>2301.3973384615388</v>
      </c>
      <c r="T6" s="53">
        <f t="shared" si="2"/>
        <v>0</v>
      </c>
      <c r="U6" s="54">
        <f t="shared" si="3"/>
        <v>2301.3973384615388</v>
      </c>
      <c r="V6" s="65"/>
      <c r="W6" s="58"/>
      <c r="X6" s="64">
        <f t="shared" si="4"/>
        <v>2851.8130115290951</v>
      </c>
      <c r="Y6" s="64">
        <f>NPV(Inputs!$D$6,AA6:BN6)</f>
        <v>32756.897075381494</v>
      </c>
      <c r="Z6" s="67">
        <f t="shared" si="5"/>
        <v>1.5449751875654507E-2</v>
      </c>
      <c r="AA6" s="88">
        <f>$E6*IF(AA$2&gt;Inputs!$D$5,0,IF(AA$2&gt;VLOOKUP($H6,Lists!$P$3:$Q$7,2),IF($N6=Lists!$K$3,IF($L6&lt;1,(($U6/$L6)*((1+Inputs!$D$7)^AA$2)),((INT(AA$2/$L6)-INT((AA$2-1)/$L6))*$U6*((1+Inputs!$D$7)^AA$2))),(_xlfn.WEIBULL.DIST(AA$2,$M6,$L6,FALSE)*$U6*((1+Inputs!$D$7)^AA$2))),IF($N6=Lists!$K$3,IF($L6&lt;1,((($T6*(1-$F6)+$S6*(1-$G6))/$L6)*((1+Inputs!$D$7)^AA$2)),((INT(AA$2/$L6)-INT((AA$2-1)/$L6))*($T6*(1-$F6)+$S6*(1-$G6))*((1+Inputs!$D$7)^AA$2))),((_xlfn.WEIBULL.DIST(AA$2,$M6,$L6,FALSE)*($T6*(1-$F6)+$S6*(1-$G6))*((1+Inputs!$D$7)^AA$2))))))</f>
        <v>2347.4252852307695</v>
      </c>
      <c r="AB6" s="88">
        <f>$E6*IF(AB$2&gt;Inputs!$D$5,0,IF(AB$2&gt;VLOOKUP($H6,Lists!$P$3:$Q$7,2),IF($N6=Lists!$K$3,IF($L6&lt;1,(($U6/$L6)*((1+Inputs!$D$7)^AB$2)),((INT(AB$2/$L6)-INT((AB$2-1)/$L6))*$U6*((1+Inputs!$D$7)^AB$2))),(_xlfn.WEIBULL.DIST(AB$2,$M6,$L6,FALSE)*$U6*((1+Inputs!$D$7)^AB$2))),IF($N6=Lists!$K$3,IF($L6&lt;1,((($T6*(1-$F6)+$S6*(1-$G6))/$L6)*((1+Inputs!$D$7)^AB$2)),((INT(AB$2/$L6)-INT((AB$2-1)/$L6))*($T6*(1-$F6)+$S6*(1-$G6))*((1+Inputs!$D$7)^AB$2))),((_xlfn.WEIBULL.DIST(AB$2,$M6,$L6,FALSE)*($T6*(1-$F6)+$S6*(1-$G6))*((1+Inputs!$D$7)^AB$2))))))</f>
        <v>2394.3737909353849</v>
      </c>
      <c r="AC6" s="88">
        <f>$E6*IF(AC$2&gt;Inputs!$D$5,0,IF(AC$2&gt;VLOOKUP($H6,Lists!$P$3:$Q$7,2),IF($N6=Lists!$K$3,IF($L6&lt;1,(($U6/$L6)*((1+Inputs!$D$7)^AC$2)),((INT(AC$2/$L6)-INT((AC$2-1)/$L6))*$U6*((1+Inputs!$D$7)^AC$2))),(_xlfn.WEIBULL.DIST(AC$2,$M6,$L6,FALSE)*$U6*((1+Inputs!$D$7)^AC$2))),IF($N6=Lists!$K$3,IF($L6&lt;1,((($T6*(1-$F6)+$S6*(1-$G6))/$L6)*((1+Inputs!$D$7)^AC$2)),((INT(AC$2/$L6)-INT((AC$2-1)/$L6))*($T6*(1-$F6)+$S6*(1-$G6))*((1+Inputs!$D$7)^AC$2))),((_xlfn.WEIBULL.DIST(AC$2,$M6,$L6,FALSE)*($T6*(1-$F6)+$S6*(1-$G6))*((1+Inputs!$D$7)^AC$2))))))</f>
        <v>2442.2612667540925</v>
      </c>
      <c r="AD6" s="88">
        <f>$E6*IF(AD$2&gt;Inputs!$D$5,0,IF(AD$2&gt;VLOOKUP($H6,Lists!$P$3:$Q$7,2),IF($N6=Lists!$K$3,IF($L6&lt;1,(($U6/$L6)*((1+Inputs!$D$7)^AD$2)),((INT(AD$2/$L6)-INT((AD$2-1)/$L6))*$U6*((1+Inputs!$D$7)^AD$2))),(_xlfn.WEIBULL.DIST(AD$2,$M6,$L6,FALSE)*$U6*((1+Inputs!$D$7)^AD$2))),IF($N6=Lists!$K$3,IF($L6&lt;1,((($T6*(1-$F6)+$S6*(1-$G6))/$L6)*((1+Inputs!$D$7)^AD$2)),((INT(AD$2/$L6)-INT((AD$2-1)/$L6))*($T6*(1-$F6)+$S6*(1-$G6))*((1+Inputs!$D$7)^AD$2))),((_xlfn.WEIBULL.DIST(AD$2,$M6,$L6,FALSE)*($T6*(1-$F6)+$S6*(1-$G6))*((1+Inputs!$D$7)^AD$2))))))</f>
        <v>2491.1064920891745</v>
      </c>
      <c r="AE6" s="88">
        <f>$E6*IF(AE$2&gt;Inputs!$D$5,0,IF(AE$2&gt;VLOOKUP($H6,Lists!$P$3:$Q$7,2),IF($N6=Lists!$K$3,IF($L6&lt;1,(($U6/$L6)*((1+Inputs!$D$7)^AE$2)),((INT(AE$2/$L6)-INT((AE$2-1)/$L6))*$U6*((1+Inputs!$D$7)^AE$2))),(_xlfn.WEIBULL.DIST(AE$2,$M6,$L6,FALSE)*$U6*((1+Inputs!$D$7)^AE$2))),IF($N6=Lists!$K$3,IF($L6&lt;1,((($T6*(1-$F6)+$S6*(1-$G6))/$L6)*((1+Inputs!$D$7)^AE$2)),((INT(AE$2/$L6)-INT((AE$2-1)/$L6))*($T6*(1-$F6)+$S6*(1-$G6))*((1+Inputs!$D$7)^AE$2))),((_xlfn.WEIBULL.DIST(AE$2,$M6,$L6,FALSE)*($T6*(1-$F6)+$S6*(1-$G6))*((1+Inputs!$D$7)^AE$2))))))</f>
        <v>2540.9286219309579</v>
      </c>
      <c r="AF6" s="88">
        <f>$E6*IF(AF$2&gt;Inputs!$D$5,0,IF(AF$2&gt;VLOOKUP($H6,Lists!$P$3:$Q$7,2),IF($N6=Lists!$K$3,IF($L6&lt;1,(($U6/$L6)*((1+Inputs!$D$7)^AF$2)),((INT(AF$2/$L6)-INT((AF$2-1)/$L6))*$U6*((1+Inputs!$D$7)^AF$2))),(_xlfn.WEIBULL.DIST(AF$2,$M6,$L6,FALSE)*$U6*((1+Inputs!$D$7)^AF$2))),IF($N6=Lists!$K$3,IF($L6&lt;1,((($T6*(1-$F6)+$S6*(1-$G6))/$L6)*((1+Inputs!$D$7)^AF$2)),((INT(AF$2/$L6)-INT((AF$2-1)/$L6))*($T6*(1-$F6)+$S6*(1-$G6))*((1+Inputs!$D$7)^AF$2))),((_xlfn.WEIBULL.DIST(AF$2,$M6,$L6,FALSE)*($T6*(1-$F6)+$S6*(1-$G6))*((1+Inputs!$D$7)^AF$2))))))</f>
        <v>2591.7471943695773</v>
      </c>
      <c r="AG6" s="88">
        <f>$E6*IF(AG$2&gt;Inputs!$D$5,0,IF(AG$2&gt;VLOOKUP($H6,Lists!$P$3:$Q$7,2),IF($N6=Lists!$K$3,IF($L6&lt;1,(($U6/$L6)*((1+Inputs!$D$7)^AG$2)),((INT(AG$2/$L6)-INT((AG$2-1)/$L6))*$U6*((1+Inputs!$D$7)^AG$2))),(_xlfn.WEIBULL.DIST(AG$2,$M6,$L6,FALSE)*$U6*((1+Inputs!$D$7)^AG$2))),IF($N6=Lists!$K$3,IF($L6&lt;1,((($T6*(1-$F6)+$S6*(1-$G6))/$L6)*((1+Inputs!$D$7)^AG$2)),((INT(AG$2/$L6)-INT((AG$2-1)/$L6))*($T6*(1-$F6)+$S6*(1-$G6))*((1+Inputs!$D$7)^AG$2))),((_xlfn.WEIBULL.DIST(AG$2,$M6,$L6,FALSE)*($T6*(1-$F6)+$S6*(1-$G6))*((1+Inputs!$D$7)^AG$2))))))</f>
        <v>2643.5821382569684</v>
      </c>
      <c r="AH6" s="88">
        <f>$E6*IF(AH$2&gt;Inputs!$D$5,0,IF(AH$2&gt;VLOOKUP($H6,Lists!$P$3:$Q$7,2),IF($N6=Lists!$K$3,IF($L6&lt;1,(($U6/$L6)*((1+Inputs!$D$7)^AH$2)),((INT(AH$2/$L6)-INT((AH$2-1)/$L6))*$U6*((1+Inputs!$D$7)^AH$2))),(_xlfn.WEIBULL.DIST(AH$2,$M6,$L6,FALSE)*$U6*((1+Inputs!$D$7)^AH$2))),IF($N6=Lists!$K$3,IF($L6&lt;1,((($T6*(1-$F6)+$S6*(1-$G6))/$L6)*((1+Inputs!$D$7)^AH$2)),((INT(AH$2/$L6)-INT((AH$2-1)/$L6))*($T6*(1-$F6)+$S6*(1-$G6))*((1+Inputs!$D$7)^AH$2))),((_xlfn.WEIBULL.DIST(AH$2,$M6,$L6,FALSE)*($T6*(1-$F6)+$S6*(1-$G6))*((1+Inputs!$D$7)^AH$2))))))</f>
        <v>2696.4537810221077</v>
      </c>
      <c r="AI6" s="88">
        <f>$E6*IF(AI$2&gt;Inputs!$D$5,0,IF(AI$2&gt;VLOOKUP($H6,Lists!$P$3:$Q$7,2),IF($N6=Lists!$K$3,IF($L6&lt;1,(($U6/$L6)*((1+Inputs!$D$7)^AI$2)),((INT(AI$2/$L6)-INT((AI$2-1)/$L6))*$U6*((1+Inputs!$D$7)^AI$2))),(_xlfn.WEIBULL.DIST(AI$2,$M6,$L6,FALSE)*$U6*((1+Inputs!$D$7)^AI$2))),IF($N6=Lists!$K$3,IF($L6&lt;1,((($T6*(1-$F6)+$S6*(1-$G6))/$L6)*((1+Inputs!$D$7)^AI$2)),((INT(AI$2/$L6)-INT((AI$2-1)/$L6))*($T6*(1-$F6)+$S6*(1-$G6))*((1+Inputs!$D$7)^AI$2))),((_xlfn.WEIBULL.DIST(AI$2,$M6,$L6,FALSE)*($T6*(1-$F6)+$S6*(1-$G6))*((1+Inputs!$D$7)^AI$2))))))</f>
        <v>2750.38285664255</v>
      </c>
      <c r="AJ6" s="88">
        <f>$E6*IF(AJ$2&gt;Inputs!$D$5,0,IF(AJ$2&gt;VLOOKUP($H6,Lists!$P$3:$Q$7,2),IF($N6=Lists!$K$3,IF($L6&lt;1,(($U6/$L6)*((1+Inputs!$D$7)^AJ$2)),((INT(AJ$2/$L6)-INT((AJ$2-1)/$L6))*$U6*((1+Inputs!$D$7)^AJ$2))),(_xlfn.WEIBULL.DIST(AJ$2,$M6,$L6,FALSE)*$U6*((1+Inputs!$D$7)^AJ$2))),IF($N6=Lists!$K$3,IF($L6&lt;1,((($T6*(1-$F6)+$S6*(1-$G6))/$L6)*((1+Inputs!$D$7)^AJ$2)),((INT(AJ$2/$L6)-INT((AJ$2-1)/$L6))*($T6*(1-$F6)+$S6*(1-$G6))*((1+Inputs!$D$7)^AJ$2))),((_xlfn.WEIBULL.DIST(AJ$2,$M6,$L6,FALSE)*($T6*(1-$F6)+$S6*(1-$G6))*((1+Inputs!$D$7)^AJ$2))))))</f>
        <v>2805.3905137754014</v>
      </c>
      <c r="AK6" s="88">
        <f>$E6*IF(AK$2&gt;Inputs!$D$5,0,IF(AK$2&gt;VLOOKUP($H6,Lists!$P$3:$Q$7,2),IF($N6=Lists!$K$3,IF($L6&lt;1,(($U6/$L6)*((1+Inputs!$D$7)^AK$2)),((INT(AK$2/$L6)-INT((AK$2-1)/$L6))*$U6*((1+Inputs!$D$7)^AK$2))),(_xlfn.WEIBULL.DIST(AK$2,$M6,$L6,FALSE)*$U6*((1+Inputs!$D$7)^AK$2))),IF($N6=Lists!$K$3,IF($L6&lt;1,((($T6*(1-$F6)+$S6*(1-$G6))/$L6)*((1+Inputs!$D$7)^AK$2)),((INT(AK$2/$L6)-INT((AK$2-1)/$L6))*($T6*(1-$F6)+$S6*(1-$G6))*((1+Inputs!$D$7)^AK$2))),((_xlfn.WEIBULL.DIST(AK$2,$M6,$L6,FALSE)*($T6*(1-$F6)+$S6*(1-$G6))*((1+Inputs!$D$7)^AK$2))))))</f>
        <v>2861.4983240509086</v>
      </c>
      <c r="AL6" s="88">
        <f>$E6*IF(AL$2&gt;Inputs!$D$5,0,IF(AL$2&gt;VLOOKUP($H6,Lists!$P$3:$Q$7,2),IF($N6=Lists!$K$3,IF($L6&lt;1,(($U6/$L6)*((1+Inputs!$D$7)^AL$2)),((INT(AL$2/$L6)-INT((AL$2-1)/$L6))*$U6*((1+Inputs!$D$7)^AL$2))),(_xlfn.WEIBULL.DIST(AL$2,$M6,$L6,FALSE)*$U6*((1+Inputs!$D$7)^AL$2))),IF($N6=Lists!$K$3,IF($L6&lt;1,((($T6*(1-$F6)+$S6*(1-$G6))/$L6)*((1+Inputs!$D$7)^AL$2)),((INT(AL$2/$L6)-INT((AL$2-1)/$L6))*($T6*(1-$F6)+$S6*(1-$G6))*((1+Inputs!$D$7)^AL$2))),((_xlfn.WEIBULL.DIST(AL$2,$M6,$L6,FALSE)*($T6*(1-$F6)+$S6*(1-$G6))*((1+Inputs!$D$7)^AL$2))))))</f>
        <v>2918.7282905319271</v>
      </c>
      <c r="AM6" s="88">
        <f>$E6*IF(AM$2&gt;Inputs!$D$5,0,IF(AM$2&gt;VLOOKUP($H6,Lists!$P$3:$Q$7,2),IF($N6=Lists!$K$3,IF($L6&lt;1,(($U6/$L6)*((1+Inputs!$D$7)^AM$2)),((INT(AM$2/$L6)-INT((AM$2-1)/$L6))*$U6*((1+Inputs!$D$7)^AM$2))),(_xlfn.WEIBULL.DIST(AM$2,$M6,$L6,FALSE)*$U6*((1+Inputs!$D$7)^AM$2))),IF($N6=Lists!$K$3,IF($L6&lt;1,((($T6*(1-$F6)+$S6*(1-$G6))/$L6)*((1+Inputs!$D$7)^AM$2)),((INT(AM$2/$L6)-INT((AM$2-1)/$L6))*($T6*(1-$F6)+$S6*(1-$G6))*((1+Inputs!$D$7)^AM$2))),((_xlfn.WEIBULL.DIST(AM$2,$M6,$L6,FALSE)*($T6*(1-$F6)+$S6*(1-$G6))*((1+Inputs!$D$7)^AM$2))))))</f>
        <v>2977.1028563425657</v>
      </c>
      <c r="AN6" s="88">
        <f>$E6*IF(AN$2&gt;Inputs!$D$5,0,IF(AN$2&gt;VLOOKUP($H6,Lists!$P$3:$Q$7,2),IF($N6=Lists!$K$3,IF($L6&lt;1,(($U6/$L6)*((1+Inputs!$D$7)^AN$2)),((INT(AN$2/$L6)-INT((AN$2-1)/$L6))*$U6*((1+Inputs!$D$7)^AN$2))),(_xlfn.WEIBULL.DIST(AN$2,$M6,$L6,FALSE)*$U6*((1+Inputs!$D$7)^AN$2))),IF($N6=Lists!$K$3,IF($L6&lt;1,((($T6*(1-$F6)+$S6*(1-$G6))/$L6)*((1+Inputs!$D$7)^AN$2)),((INT(AN$2/$L6)-INT((AN$2-1)/$L6))*($T6*(1-$F6)+$S6*(1-$G6))*((1+Inputs!$D$7)^AN$2))),((_xlfn.WEIBULL.DIST(AN$2,$M6,$L6,FALSE)*($T6*(1-$F6)+$S6*(1-$G6))*((1+Inputs!$D$7)^AN$2))))))</f>
        <v>3036.6449134694171</v>
      </c>
      <c r="AO6" s="88">
        <f>$E6*IF(AO$2&gt;Inputs!$D$5,0,IF(AO$2&gt;VLOOKUP($H6,Lists!$P$3:$Q$7,2),IF($N6=Lists!$K$3,IF($L6&lt;1,(($U6/$L6)*((1+Inputs!$D$7)^AO$2)),((INT(AO$2/$L6)-INT((AO$2-1)/$L6))*$U6*((1+Inputs!$D$7)^AO$2))),(_xlfn.WEIBULL.DIST(AO$2,$M6,$L6,FALSE)*$U6*((1+Inputs!$D$7)^AO$2))),IF($N6=Lists!$K$3,IF($L6&lt;1,((($T6*(1-$F6)+$S6*(1-$G6))/$L6)*((1+Inputs!$D$7)^AO$2)),((INT(AO$2/$L6)-INT((AO$2-1)/$L6))*($T6*(1-$F6)+$S6*(1-$G6))*((1+Inputs!$D$7)^AO$2))),((_xlfn.WEIBULL.DIST(AO$2,$M6,$L6,FALSE)*($T6*(1-$F6)+$S6*(1-$G6))*((1+Inputs!$D$7)^AO$2))))))</f>
        <v>3097.3778117388047</v>
      </c>
      <c r="AP6" s="88">
        <f>$E6*IF(AP$2&gt;Inputs!$D$5,0,IF(AP$2&gt;VLOOKUP($H6,Lists!$P$3:$Q$7,2),IF($N6=Lists!$K$3,IF($L6&lt;1,(($U6/$L6)*((1+Inputs!$D$7)^AP$2)),((INT(AP$2/$L6)-INT((AP$2-1)/$L6))*$U6*((1+Inputs!$D$7)^AP$2))),(_xlfn.WEIBULL.DIST(AP$2,$M6,$L6,FALSE)*$U6*((1+Inputs!$D$7)^AP$2))),IF($N6=Lists!$K$3,IF($L6&lt;1,((($T6*(1-$F6)+$S6*(1-$G6))/$L6)*((1+Inputs!$D$7)^AP$2)),((INT(AP$2/$L6)-INT((AP$2-1)/$L6))*($T6*(1-$F6)+$S6*(1-$G6))*((1+Inputs!$D$7)^AP$2))),((_xlfn.WEIBULL.DIST(AP$2,$M6,$L6,FALSE)*($T6*(1-$F6)+$S6*(1-$G6))*((1+Inputs!$D$7)^AP$2))))))</f>
        <v>3159.3253679735813</v>
      </c>
      <c r="AQ6" s="88">
        <f>$E6*IF(AQ$2&gt;Inputs!$D$5,0,IF(AQ$2&gt;VLOOKUP($H6,Lists!$P$3:$Q$7,2),IF($N6=Lists!$K$3,IF($L6&lt;1,(($U6/$L6)*((1+Inputs!$D$7)^AQ$2)),((INT(AQ$2/$L6)-INT((AQ$2-1)/$L6))*$U6*((1+Inputs!$D$7)^AQ$2))),(_xlfn.WEIBULL.DIST(AQ$2,$M6,$L6,FALSE)*$U6*((1+Inputs!$D$7)^AQ$2))),IF($N6=Lists!$K$3,IF($L6&lt;1,((($T6*(1-$F6)+$S6*(1-$G6))/$L6)*((1+Inputs!$D$7)^AQ$2)),((INT(AQ$2/$L6)-INT((AQ$2-1)/$L6))*($T6*(1-$F6)+$S6*(1-$G6))*((1+Inputs!$D$7)^AQ$2))),((_xlfn.WEIBULL.DIST(AQ$2,$M6,$L6,FALSE)*($T6*(1-$F6)+$S6*(1-$G6))*((1+Inputs!$D$7)^AQ$2))))))</f>
        <v>3222.5118753330535</v>
      </c>
      <c r="AR6" s="88">
        <f>$E6*IF(AR$2&gt;Inputs!$D$5,0,IF(AR$2&gt;VLOOKUP($H6,Lists!$P$3:$Q$7,2),IF($N6=Lists!$K$3,IF($L6&lt;1,(($U6/$L6)*((1+Inputs!$D$7)^AR$2)),((INT(AR$2/$L6)-INT((AR$2-1)/$L6))*$U6*((1+Inputs!$D$7)^AR$2))),(_xlfn.WEIBULL.DIST(AR$2,$M6,$L6,FALSE)*$U6*((1+Inputs!$D$7)^AR$2))),IF($N6=Lists!$K$3,IF($L6&lt;1,((($T6*(1-$F6)+$S6*(1-$G6))/$L6)*((1+Inputs!$D$7)^AR$2)),((INT(AR$2/$L6)-INT((AR$2-1)/$L6))*($T6*(1-$F6)+$S6*(1-$G6))*((1+Inputs!$D$7)^AR$2))),((_xlfn.WEIBULL.DIST(AR$2,$M6,$L6,FALSE)*($T6*(1-$F6)+$S6*(1-$G6))*((1+Inputs!$D$7)^AR$2))))))</f>
        <v>3286.9621128397139</v>
      </c>
      <c r="AS6" s="88">
        <f>$E6*IF(AS$2&gt;Inputs!$D$5,0,IF(AS$2&gt;VLOOKUP($H6,Lists!$P$3:$Q$7,2),IF($N6=Lists!$K$3,IF($L6&lt;1,(($U6/$L6)*((1+Inputs!$D$7)^AS$2)),((INT(AS$2/$L6)-INT((AS$2-1)/$L6))*$U6*((1+Inputs!$D$7)^AS$2))),(_xlfn.WEIBULL.DIST(AS$2,$M6,$L6,FALSE)*$U6*((1+Inputs!$D$7)^AS$2))),IF($N6=Lists!$K$3,IF($L6&lt;1,((($T6*(1-$F6)+$S6*(1-$G6))/$L6)*((1+Inputs!$D$7)^AS$2)),((INT(AS$2/$L6)-INT((AS$2-1)/$L6))*($T6*(1-$F6)+$S6*(1-$G6))*((1+Inputs!$D$7)^AS$2))),((_xlfn.WEIBULL.DIST(AS$2,$M6,$L6,FALSE)*($T6*(1-$F6)+$S6*(1-$G6))*((1+Inputs!$D$7)^AS$2))))))</f>
        <v>3352.701355096508</v>
      </c>
      <c r="AT6" s="88">
        <f>$E6*IF(AT$2&gt;Inputs!$D$5,0,IF(AT$2&gt;VLOOKUP($H6,Lists!$P$3:$Q$7,2),IF($N6=Lists!$K$3,IF($L6&lt;1,(($U6/$L6)*((1+Inputs!$D$7)^AT$2)),((INT(AT$2/$L6)-INT((AT$2-1)/$L6))*$U6*((1+Inputs!$D$7)^AT$2))),(_xlfn.WEIBULL.DIST(AT$2,$M6,$L6,FALSE)*$U6*((1+Inputs!$D$7)^AT$2))),IF($N6=Lists!$K$3,IF($L6&lt;1,((($T6*(1-$F6)+$S6*(1-$G6))/$L6)*((1+Inputs!$D$7)^AT$2)),((INT(AT$2/$L6)-INT((AT$2-1)/$L6))*($T6*(1-$F6)+$S6*(1-$G6))*((1+Inputs!$D$7)^AT$2))),((_xlfn.WEIBULL.DIST(AT$2,$M6,$L6,FALSE)*($T6*(1-$F6)+$S6*(1-$G6))*((1+Inputs!$D$7)^AT$2))))))</f>
        <v>3419.7553821984388</v>
      </c>
      <c r="AU6" s="88">
        <f>$E6*IF(AU$2&gt;Inputs!$D$5,0,IF(AU$2&gt;VLOOKUP($H6,Lists!$P$3:$Q$7,2),IF($N6=Lists!$K$3,IF($L6&lt;1,(($U6/$L6)*((1+Inputs!$D$7)^AU$2)),((INT(AU$2/$L6)-INT((AU$2-1)/$L6))*$U6*((1+Inputs!$D$7)^AU$2))),(_xlfn.WEIBULL.DIST(AU$2,$M6,$L6,FALSE)*$U6*((1+Inputs!$D$7)^AU$2))),IF($N6=Lists!$K$3,IF($L6&lt;1,((($T6*(1-$F6)+$S6*(1-$G6))/$L6)*((1+Inputs!$D$7)^AU$2)),((INT(AU$2/$L6)-INT((AU$2-1)/$L6))*($T6*(1-$F6)+$S6*(1-$G6))*((1+Inputs!$D$7)^AU$2))),((_xlfn.WEIBULL.DIST(AU$2,$M6,$L6,FALSE)*($T6*(1-$F6)+$S6*(1-$G6))*((1+Inputs!$D$7)^AU$2))))))</f>
        <v>3488.1504898424073</v>
      </c>
      <c r="AV6" s="88">
        <f>$E6*IF(AV$2&gt;Inputs!$D$5,0,IF(AV$2&gt;VLOOKUP($H6,Lists!$P$3:$Q$7,2),IF($N6=Lists!$K$3,IF($L6&lt;1,(($U6/$L6)*((1+Inputs!$D$7)^AV$2)),((INT(AV$2/$L6)-INT((AV$2-1)/$L6))*$U6*((1+Inputs!$D$7)^AV$2))),(_xlfn.WEIBULL.DIST(AV$2,$M6,$L6,FALSE)*$U6*((1+Inputs!$D$7)^AV$2))),IF($N6=Lists!$K$3,IF($L6&lt;1,((($T6*(1-$F6)+$S6*(1-$G6))/$L6)*((1+Inputs!$D$7)^AV$2)),((INT(AV$2/$L6)-INT((AV$2-1)/$L6))*($T6*(1-$F6)+$S6*(1-$G6))*((1+Inputs!$D$7)^AV$2))),((_xlfn.WEIBULL.DIST(AV$2,$M6,$L6,FALSE)*($T6*(1-$F6)+$S6*(1-$G6))*((1+Inputs!$D$7)^AV$2))))))</f>
        <v>3557.9134996392554</v>
      </c>
      <c r="AW6" s="88">
        <f>$E6*IF(AW$2&gt;Inputs!$D$5,0,IF(AW$2&gt;VLOOKUP($H6,Lists!$P$3:$Q$7,2),IF($N6=Lists!$K$3,IF($L6&lt;1,(($U6/$L6)*((1+Inputs!$D$7)^AW$2)),((INT(AW$2/$L6)-INT((AW$2-1)/$L6))*$U6*((1+Inputs!$D$7)^AW$2))),(_xlfn.WEIBULL.DIST(AW$2,$M6,$L6,FALSE)*$U6*((1+Inputs!$D$7)^AW$2))),IF($N6=Lists!$K$3,IF($L6&lt;1,((($T6*(1-$F6)+$S6*(1-$G6))/$L6)*((1+Inputs!$D$7)^AW$2)),((INT(AW$2/$L6)-INT((AW$2-1)/$L6))*($T6*(1-$F6)+$S6*(1-$G6))*((1+Inputs!$D$7)^AW$2))),((_xlfn.WEIBULL.DIST(AW$2,$M6,$L6,FALSE)*($T6*(1-$F6)+$S6*(1-$G6))*((1+Inputs!$D$7)^AW$2))))))</f>
        <v>3629.0717696320398</v>
      </c>
      <c r="AX6" s="88">
        <f>$E6*IF(AX$2&gt;Inputs!$D$5,0,IF(AX$2&gt;VLOOKUP($H6,Lists!$P$3:$Q$7,2),IF($N6=Lists!$K$3,IF($L6&lt;1,(($U6/$L6)*((1+Inputs!$D$7)^AX$2)),((INT(AX$2/$L6)-INT((AX$2-1)/$L6))*$U6*((1+Inputs!$D$7)^AX$2))),(_xlfn.WEIBULL.DIST(AX$2,$M6,$L6,FALSE)*$U6*((1+Inputs!$D$7)^AX$2))),IF($N6=Lists!$K$3,IF($L6&lt;1,((($T6*(1-$F6)+$S6*(1-$G6))/$L6)*((1+Inputs!$D$7)^AX$2)),((INT(AX$2/$L6)-INT((AX$2-1)/$L6))*($T6*(1-$F6)+$S6*(1-$G6))*((1+Inputs!$D$7)^AX$2))),((_xlfn.WEIBULL.DIST(AX$2,$M6,$L6,FALSE)*($T6*(1-$F6)+$S6*(1-$G6))*((1+Inputs!$D$7)^AX$2))))))</f>
        <v>3701.653205024681</v>
      </c>
      <c r="AY6" s="88">
        <f>$E6*IF(AY$2&gt;Inputs!$D$5,0,IF(AY$2&gt;VLOOKUP($H6,Lists!$P$3:$Q$7,2),IF($N6=Lists!$K$3,IF($L6&lt;1,(($U6/$L6)*((1+Inputs!$D$7)^AY$2)),((INT(AY$2/$L6)-INT((AY$2-1)/$L6))*$U6*((1+Inputs!$D$7)^AY$2))),(_xlfn.WEIBULL.DIST(AY$2,$M6,$L6,FALSE)*$U6*((1+Inputs!$D$7)^AY$2))),IF($N6=Lists!$K$3,IF($L6&lt;1,((($T6*(1-$F6)+$S6*(1-$G6))/$L6)*((1+Inputs!$D$7)^AY$2)),((INT(AY$2/$L6)-INT((AY$2-1)/$L6))*($T6*(1-$F6)+$S6*(1-$G6))*((1+Inputs!$D$7)^AY$2))),((_xlfn.WEIBULL.DIST(AY$2,$M6,$L6,FALSE)*($T6*(1-$F6)+$S6*(1-$G6))*((1+Inputs!$D$7)^AY$2))))))</f>
        <v>3775.6862691251745</v>
      </c>
      <c r="AZ6" s="88">
        <f>$E6*IF(AZ$2&gt;Inputs!$D$5,0,IF(AZ$2&gt;VLOOKUP($H6,Lists!$P$3:$Q$7,2),IF($N6=Lists!$K$3,IF($L6&lt;1,(($U6/$L6)*((1+Inputs!$D$7)^AZ$2)),((INT(AZ$2/$L6)-INT((AZ$2-1)/$L6))*$U6*((1+Inputs!$D$7)^AZ$2))),(_xlfn.WEIBULL.DIST(AZ$2,$M6,$L6,FALSE)*$U6*((1+Inputs!$D$7)^AZ$2))),IF($N6=Lists!$K$3,IF($L6&lt;1,((($T6*(1-$F6)+$S6*(1-$G6))/$L6)*((1+Inputs!$D$7)^AZ$2)),((INT(AZ$2/$L6)-INT((AZ$2-1)/$L6))*($T6*(1-$F6)+$S6*(1-$G6))*((1+Inputs!$D$7)^AZ$2))),((_xlfn.WEIBULL.DIST(AZ$2,$M6,$L6,FALSE)*($T6*(1-$F6)+$S6*(1-$G6))*((1+Inputs!$D$7)^AZ$2))))))</f>
        <v>0</v>
      </c>
      <c r="BA6" s="88">
        <f>$E6*IF(BA$2&gt;Inputs!$D$5,0,IF(BA$2&gt;VLOOKUP($H6,Lists!$P$3:$Q$7,2),IF($N6=Lists!$K$3,IF($L6&lt;1,(($U6/$L6)*((1+Inputs!$D$7)^BA$2)),((INT(BA$2/$L6)-INT((BA$2-1)/$L6))*$U6*((1+Inputs!$D$7)^BA$2))),(_xlfn.WEIBULL.DIST(BA$2,$M6,$L6,FALSE)*$U6*((1+Inputs!$D$7)^BA$2))),IF($N6=Lists!$K$3,IF($L6&lt;1,((($T6*(1-$F6)+$S6*(1-$G6))/$L6)*((1+Inputs!$D$7)^BA$2)),((INT(BA$2/$L6)-INT((BA$2-1)/$L6))*($T6*(1-$F6)+$S6*(1-$G6))*((1+Inputs!$D$7)^BA$2))),((_xlfn.WEIBULL.DIST(BA$2,$M6,$L6,FALSE)*($T6*(1-$F6)+$S6*(1-$G6))*((1+Inputs!$D$7)^BA$2))))))</f>
        <v>0</v>
      </c>
      <c r="BB6" s="88">
        <f>$E6*IF(BB$2&gt;Inputs!$D$5,0,IF(BB$2&gt;VLOOKUP($H6,Lists!$P$3:$Q$7,2),IF($N6=Lists!$K$3,IF($L6&lt;1,(($U6/$L6)*((1+Inputs!$D$7)^BB$2)),((INT(BB$2/$L6)-INT((BB$2-1)/$L6))*$U6*((1+Inputs!$D$7)^BB$2))),(_xlfn.WEIBULL.DIST(BB$2,$M6,$L6,FALSE)*$U6*((1+Inputs!$D$7)^BB$2))),IF($N6=Lists!$K$3,IF($L6&lt;1,((($T6*(1-$F6)+$S6*(1-$G6))/$L6)*((1+Inputs!$D$7)^BB$2)),((INT(BB$2/$L6)-INT((BB$2-1)/$L6))*($T6*(1-$F6)+$S6*(1-$G6))*((1+Inputs!$D$7)^BB$2))),((_xlfn.WEIBULL.DIST(BB$2,$M6,$L6,FALSE)*($T6*(1-$F6)+$S6*(1-$G6))*((1+Inputs!$D$7)^BB$2))))))</f>
        <v>0</v>
      </c>
      <c r="BC6" s="88">
        <f>$E6*IF(BC$2&gt;Inputs!$D$5,0,IF(BC$2&gt;VLOOKUP($H6,Lists!$P$3:$Q$7,2),IF($N6=Lists!$K$3,IF($L6&lt;1,(($U6/$L6)*((1+Inputs!$D$7)^BC$2)),((INT(BC$2/$L6)-INT((BC$2-1)/$L6))*$U6*((1+Inputs!$D$7)^BC$2))),(_xlfn.WEIBULL.DIST(BC$2,$M6,$L6,FALSE)*$U6*((1+Inputs!$D$7)^BC$2))),IF($N6=Lists!$K$3,IF($L6&lt;1,((($T6*(1-$F6)+$S6*(1-$G6))/$L6)*((1+Inputs!$D$7)^BC$2)),((INT(BC$2/$L6)-INT((BC$2-1)/$L6))*($T6*(1-$F6)+$S6*(1-$G6))*((1+Inputs!$D$7)^BC$2))),((_xlfn.WEIBULL.DIST(BC$2,$M6,$L6,FALSE)*($T6*(1-$F6)+$S6*(1-$G6))*((1+Inputs!$D$7)^BC$2))))))</f>
        <v>0</v>
      </c>
      <c r="BD6" s="88">
        <f>$E6*IF(BD$2&gt;Inputs!$D$5,0,IF(BD$2&gt;VLOOKUP($H6,Lists!$P$3:$Q$7,2),IF($N6=Lists!$K$3,IF($L6&lt;1,(($U6/$L6)*((1+Inputs!$D$7)^BD$2)),((INT(BD$2/$L6)-INT((BD$2-1)/$L6))*$U6*((1+Inputs!$D$7)^BD$2))),(_xlfn.WEIBULL.DIST(BD$2,$M6,$L6,FALSE)*$U6*((1+Inputs!$D$7)^BD$2))),IF($N6=Lists!$K$3,IF($L6&lt;1,((($T6*(1-$F6)+$S6*(1-$G6))/$L6)*((1+Inputs!$D$7)^BD$2)),((INT(BD$2/$L6)-INT((BD$2-1)/$L6))*($T6*(1-$F6)+$S6*(1-$G6))*((1+Inputs!$D$7)^BD$2))),((_xlfn.WEIBULL.DIST(BD$2,$M6,$L6,FALSE)*($T6*(1-$F6)+$S6*(1-$G6))*((1+Inputs!$D$7)^BD$2))))))</f>
        <v>0</v>
      </c>
      <c r="BE6" s="88">
        <f>$E6*IF(BE$2&gt;Inputs!$D$5,0,IF(BE$2&gt;VLOOKUP($H6,Lists!$P$3:$Q$7,2),IF($N6=Lists!$K$3,IF($L6&lt;1,(($U6/$L6)*((1+Inputs!$D$7)^BE$2)),((INT(BE$2/$L6)-INT((BE$2-1)/$L6))*$U6*((1+Inputs!$D$7)^BE$2))),(_xlfn.WEIBULL.DIST(BE$2,$M6,$L6,FALSE)*$U6*((1+Inputs!$D$7)^BE$2))),IF($N6=Lists!$K$3,IF($L6&lt;1,((($T6*(1-$F6)+$S6*(1-$G6))/$L6)*((1+Inputs!$D$7)^BE$2)),((INT(BE$2/$L6)-INT((BE$2-1)/$L6))*($T6*(1-$F6)+$S6*(1-$G6))*((1+Inputs!$D$7)^BE$2))),((_xlfn.WEIBULL.DIST(BE$2,$M6,$L6,FALSE)*($T6*(1-$F6)+$S6*(1-$G6))*((1+Inputs!$D$7)^BE$2))))))</f>
        <v>0</v>
      </c>
      <c r="BF6" s="88">
        <f>$E6*IF(BF$2&gt;Inputs!$D$5,0,IF(BF$2&gt;VLOOKUP($H6,Lists!$P$3:$Q$7,2),IF($N6=Lists!$K$3,IF($L6&lt;1,(($U6/$L6)*((1+Inputs!$D$7)^BF$2)),((INT(BF$2/$L6)-INT((BF$2-1)/$L6))*$U6*((1+Inputs!$D$7)^BF$2))),(_xlfn.WEIBULL.DIST(BF$2,$M6,$L6,FALSE)*$U6*((1+Inputs!$D$7)^BF$2))),IF($N6=Lists!$K$3,IF($L6&lt;1,((($T6*(1-$F6)+$S6*(1-$G6))/$L6)*((1+Inputs!$D$7)^BF$2)),((INT(BF$2/$L6)-INT((BF$2-1)/$L6))*($T6*(1-$F6)+$S6*(1-$G6))*((1+Inputs!$D$7)^BF$2))),((_xlfn.WEIBULL.DIST(BF$2,$M6,$L6,FALSE)*($T6*(1-$F6)+$S6*(1-$G6))*((1+Inputs!$D$7)^BF$2))))))</f>
        <v>0</v>
      </c>
      <c r="BG6" s="88">
        <f>$E6*IF(BG$2&gt;Inputs!$D$5,0,IF(BG$2&gt;VLOOKUP($H6,Lists!$P$3:$Q$7,2),IF($N6=Lists!$K$3,IF($L6&lt;1,(($U6/$L6)*((1+Inputs!$D$7)^BG$2)),((INT(BG$2/$L6)-INT((BG$2-1)/$L6))*$U6*((1+Inputs!$D$7)^BG$2))),(_xlfn.WEIBULL.DIST(BG$2,$M6,$L6,FALSE)*$U6*((1+Inputs!$D$7)^BG$2))),IF($N6=Lists!$K$3,IF($L6&lt;1,((($T6*(1-$F6)+$S6*(1-$G6))/$L6)*((1+Inputs!$D$7)^BG$2)),((INT(BG$2/$L6)-INT((BG$2-1)/$L6))*($T6*(1-$F6)+$S6*(1-$G6))*((1+Inputs!$D$7)^BG$2))),((_xlfn.WEIBULL.DIST(BG$2,$M6,$L6,FALSE)*($T6*(1-$F6)+$S6*(1-$G6))*((1+Inputs!$D$7)^BG$2))))))</f>
        <v>0</v>
      </c>
      <c r="BH6" s="88">
        <f>$E6*IF(BH$2&gt;Inputs!$D$5,0,IF(BH$2&gt;VLOOKUP($H6,Lists!$P$3:$Q$7,2),IF($N6=Lists!$K$3,IF($L6&lt;1,(($U6/$L6)*((1+Inputs!$D$7)^BH$2)),((INT(BH$2/$L6)-INT((BH$2-1)/$L6))*$U6*((1+Inputs!$D$7)^BH$2))),(_xlfn.WEIBULL.DIST(BH$2,$M6,$L6,FALSE)*$U6*((1+Inputs!$D$7)^BH$2))),IF($N6=Lists!$K$3,IF($L6&lt;1,((($T6*(1-$F6)+$S6*(1-$G6))/$L6)*((1+Inputs!$D$7)^BH$2)),((INT(BH$2/$L6)-INT((BH$2-1)/$L6))*($T6*(1-$F6)+$S6*(1-$G6))*((1+Inputs!$D$7)^BH$2))),((_xlfn.WEIBULL.DIST(BH$2,$M6,$L6,FALSE)*($T6*(1-$F6)+$S6*(1-$G6))*((1+Inputs!$D$7)^BH$2))))))</f>
        <v>0</v>
      </c>
      <c r="BI6" s="88">
        <f>$E6*IF(BI$2&gt;Inputs!$D$5,0,IF(BI$2&gt;VLOOKUP($H6,Lists!$P$3:$Q$7,2),IF($N6=Lists!$K$3,IF($L6&lt;1,(($U6/$L6)*((1+Inputs!$D$7)^BI$2)),((INT(BI$2/$L6)-INT((BI$2-1)/$L6))*$U6*((1+Inputs!$D$7)^BI$2))),(_xlfn.WEIBULL.DIST(BI$2,$M6,$L6,FALSE)*$U6*((1+Inputs!$D$7)^BI$2))),IF($N6=Lists!$K$3,IF($L6&lt;1,((($T6*(1-$F6)+$S6*(1-$G6))/$L6)*((1+Inputs!$D$7)^BI$2)),((INT(BI$2/$L6)-INT((BI$2-1)/$L6))*($T6*(1-$F6)+$S6*(1-$G6))*((1+Inputs!$D$7)^BI$2))),((_xlfn.WEIBULL.DIST(BI$2,$M6,$L6,FALSE)*($T6*(1-$F6)+$S6*(1-$G6))*((1+Inputs!$D$7)^BI$2))))))</f>
        <v>0</v>
      </c>
      <c r="BJ6" s="88">
        <f>$E6*IF(BJ$2&gt;Inputs!$D$5,0,IF(BJ$2&gt;VLOOKUP($H6,Lists!$P$3:$Q$7,2),IF($N6=Lists!$K$3,IF($L6&lt;1,(($U6/$L6)*((1+Inputs!$D$7)^BJ$2)),((INT(BJ$2/$L6)-INT((BJ$2-1)/$L6))*$U6*((1+Inputs!$D$7)^BJ$2))),(_xlfn.WEIBULL.DIST(BJ$2,$M6,$L6,FALSE)*$U6*((1+Inputs!$D$7)^BJ$2))),IF($N6=Lists!$K$3,IF($L6&lt;1,((($T6*(1-$F6)+$S6*(1-$G6))/$L6)*((1+Inputs!$D$7)^BJ$2)),((INT(BJ$2/$L6)-INT((BJ$2-1)/$L6))*($T6*(1-$F6)+$S6*(1-$G6))*((1+Inputs!$D$7)^BJ$2))),((_xlfn.WEIBULL.DIST(BJ$2,$M6,$L6,FALSE)*($T6*(1-$F6)+$S6*(1-$G6))*((1+Inputs!$D$7)^BJ$2))))))</f>
        <v>0</v>
      </c>
      <c r="BK6" s="88">
        <f>$E6*IF(BK$2&gt;Inputs!$D$5,0,IF(BK$2&gt;VLOOKUP($H6,Lists!$P$3:$Q$7,2),IF($N6=Lists!$K$3,IF($L6&lt;1,(($U6/$L6)*((1+Inputs!$D$7)^BK$2)),((INT(BK$2/$L6)-INT((BK$2-1)/$L6))*$U6*((1+Inputs!$D$7)^BK$2))),(_xlfn.WEIBULL.DIST(BK$2,$M6,$L6,FALSE)*$U6*((1+Inputs!$D$7)^BK$2))),IF($N6=Lists!$K$3,IF($L6&lt;1,((($T6*(1-$F6)+$S6*(1-$G6))/$L6)*((1+Inputs!$D$7)^BK$2)),((INT(BK$2/$L6)-INT((BK$2-1)/$L6))*($T6*(1-$F6)+$S6*(1-$G6))*((1+Inputs!$D$7)^BK$2))),((_xlfn.WEIBULL.DIST(BK$2,$M6,$L6,FALSE)*($T6*(1-$F6)+$S6*(1-$G6))*((1+Inputs!$D$7)^BK$2))))))</f>
        <v>0</v>
      </c>
      <c r="BL6" s="88">
        <f>$E6*IF(BL$2&gt;Inputs!$D$5,0,IF(BL$2&gt;VLOOKUP($H6,Lists!$P$3:$Q$7,2),IF($N6=Lists!$K$3,IF($L6&lt;1,(($U6/$L6)*((1+Inputs!$D$7)^BL$2)),((INT(BL$2/$L6)-INT((BL$2-1)/$L6))*$U6*((1+Inputs!$D$7)^BL$2))),(_xlfn.WEIBULL.DIST(BL$2,$M6,$L6,FALSE)*$U6*((1+Inputs!$D$7)^BL$2))),IF($N6=Lists!$K$3,IF($L6&lt;1,((($T6*(1-$F6)+$S6*(1-$G6))/$L6)*((1+Inputs!$D$7)^BL$2)),((INT(BL$2/$L6)-INT((BL$2-1)/$L6))*($T6*(1-$F6)+$S6*(1-$G6))*((1+Inputs!$D$7)^BL$2))),((_xlfn.WEIBULL.DIST(BL$2,$M6,$L6,FALSE)*($T6*(1-$F6)+$S6*(1-$G6))*((1+Inputs!$D$7)^BL$2))))))</f>
        <v>0</v>
      </c>
      <c r="BM6" s="88">
        <f>$E6*IF(BM$2&gt;Inputs!$D$5,0,IF(BM$2&gt;VLOOKUP($H6,Lists!$P$3:$Q$7,2),IF($N6=Lists!$K$3,IF($L6&lt;1,(($U6/$L6)*((1+Inputs!$D$7)^BM$2)),((INT(BM$2/$L6)-INT((BM$2-1)/$L6))*$U6*((1+Inputs!$D$7)^BM$2))),(_xlfn.WEIBULL.DIST(BM$2,$M6,$L6,FALSE)*$U6*((1+Inputs!$D$7)^BM$2))),IF($N6=Lists!$K$3,IF($L6&lt;1,((($T6*(1-$F6)+$S6*(1-$G6))/$L6)*((1+Inputs!$D$7)^BM$2)),((INT(BM$2/$L6)-INT((BM$2-1)/$L6))*($T6*(1-$F6)+$S6*(1-$G6))*((1+Inputs!$D$7)^BM$2))),((_xlfn.WEIBULL.DIST(BM$2,$M6,$L6,FALSE)*($T6*(1-$F6)+$S6*(1-$G6))*((1+Inputs!$D$7)^BM$2))))))</f>
        <v>0</v>
      </c>
      <c r="BN6" s="88">
        <f>$E6*IF(BN$2&gt;Inputs!$D$5,0,IF(BN$2&gt;VLOOKUP($H6,Lists!$P$3:$Q$7,2),IF($N6=Lists!$K$3,IF($L6&lt;1,(($U6/$L6)*((1+Inputs!$D$7)^BN$2)),((INT(BN$2/$L6)-INT((BN$2-1)/$L6))*$U6*((1+Inputs!$D$7)^BN$2))),(_xlfn.WEIBULL.DIST(BN$2,$M6,$L6,FALSE)*$U6*((1+Inputs!$D$7)^BN$2))),IF($N6=Lists!$K$3,IF($L6&lt;1,((($T6*(1-$F6)+$S6*(1-$G6))/$L6)*((1+Inputs!$D$7)^BN$2)),((INT(BN$2/$L6)-INT((BN$2-1)/$L6))*($T6*(1-$F6)+$S6*(1-$G6))*((1+Inputs!$D$7)^BN$2))),((_xlfn.WEIBULL.DIST(BN$2,$M6,$L6,FALSE)*($T6*(1-$F6)+$S6*(1-$G6))*((1+Inputs!$D$7)^BN$2))))))</f>
        <v>0</v>
      </c>
      <c r="BO6" s="64">
        <f>NPV(Inputs!$D$6,BQ6:DD6)</f>
        <v>32756.897075381494</v>
      </c>
      <c r="BP6" s="67">
        <f t="shared" si="6"/>
        <v>1.5449751875654507E-2</v>
      </c>
      <c r="BQ6" s="88">
        <f>MAX(AA6,($E6*IF(BQ$2&gt;Inputs!$D$5,0,IF(BQ$2&gt;VLOOKUP($H6,Lists!$P$3:$Q$7,2),IF($N6=Lists!$K$3,IF($L6&lt;1,(($U6/$L6)*((1+Inputs!$D$7)^BQ$2)),((INT(BQ$2/$L6)-INT((BQ$2-1)/$L6))*$U6*((1+Inputs!$D$7)^BQ$2))),(Inputs!$D$8^((1-_xlfn.WEIBULL.DIST(BQ$2,$M6,$L6,FALSE))/_xlfn.WEIBULL.DIST(BQ$2,$M6,$L6,FALSE))*$U6*((1+Inputs!$D$7)^BQ$2))),IF($N6=Lists!$K$3,IF($L6&lt;1,((($T6*(1-$F6)+$S6*(1-$G6))/$L6)*((1+Inputs!$D$7)^BQ$2)),((INT(BQ$2/$L6)-INT((BQ$2-1)/$L6))*($T6*(1-$F6)+$S6*(1-$G6))*((1+Inputs!$D$7)^BQ$2))),((Inputs!$D$8^((1-_xlfn.WEIBULL.DIST(BQ$2,$M6,$L6,FALSE))/_xlfn.WEIBULL.DIST(BQ$2,$M6,$L6,FALSE))*($T6*(1-$F6)+$S6*(1-$G6))*((1+Inputs!$D$7)^BQ$2))))))))</f>
        <v>2347.4252852307695</v>
      </c>
      <c r="BR6" s="88">
        <f>MAX(AB6,($E6*IF(BR$2&gt;Inputs!$D$5,0,IF(BR$2&gt;VLOOKUP($H6,Lists!$P$3:$Q$7,2),IF($N6=Lists!$K$3,IF($L6&lt;1,(($U6/$L6)*((1+Inputs!$D$7)^BR$2)),((INT(BR$2/$L6)-INT((BR$2-1)/$L6))*$U6*((1+Inputs!$D$7)^BR$2))),(Inputs!$D$8^((1-_xlfn.WEIBULL.DIST(BR$2,$M6,$L6,FALSE))/_xlfn.WEIBULL.DIST(BR$2,$M6,$L6,FALSE))*$U6*((1+Inputs!$D$7)^BR$2))),IF($N6=Lists!$K$3,IF($L6&lt;1,((($T6*(1-$F6)+$S6*(1-$G6))/$L6)*((1+Inputs!$D$7)^BR$2)),((INT(BR$2/$L6)-INT((BR$2-1)/$L6))*($T6*(1-$F6)+$S6*(1-$G6))*((1+Inputs!$D$7)^BR$2))),((Inputs!$D$8^((1-_xlfn.WEIBULL.DIST(BR$2,$M6,$L6,FALSE))/_xlfn.WEIBULL.DIST(BR$2,$M6,$L6,FALSE))*($T6*(1-$F6)+$S6*(1-$G6))*((1+Inputs!$D$7)^BR$2))))))))</f>
        <v>2394.3737909353849</v>
      </c>
      <c r="BS6" s="88">
        <f>MAX(AC6,($E6*IF(BS$2&gt;Inputs!$D$5,0,IF(BS$2&gt;VLOOKUP($H6,Lists!$P$3:$Q$7,2),IF($N6=Lists!$K$3,IF($L6&lt;1,(($U6/$L6)*((1+Inputs!$D$7)^BS$2)),((INT(BS$2/$L6)-INT((BS$2-1)/$L6))*$U6*((1+Inputs!$D$7)^BS$2))),(Inputs!$D$8^((1-_xlfn.WEIBULL.DIST(BS$2,$M6,$L6,FALSE))/_xlfn.WEIBULL.DIST(BS$2,$M6,$L6,FALSE))*$U6*((1+Inputs!$D$7)^BS$2))),IF($N6=Lists!$K$3,IF($L6&lt;1,((($T6*(1-$F6)+$S6*(1-$G6))/$L6)*((1+Inputs!$D$7)^BS$2)),((INT(BS$2/$L6)-INT((BS$2-1)/$L6))*($T6*(1-$F6)+$S6*(1-$G6))*((1+Inputs!$D$7)^BS$2))),((Inputs!$D$8^((1-_xlfn.WEIBULL.DIST(BS$2,$M6,$L6,FALSE))/_xlfn.WEIBULL.DIST(BS$2,$M6,$L6,FALSE))*($T6*(1-$F6)+$S6*(1-$G6))*((1+Inputs!$D$7)^BS$2))))))))</f>
        <v>2442.2612667540925</v>
      </c>
      <c r="BT6" s="88">
        <f>MAX(AD6,($E6*IF(BT$2&gt;Inputs!$D$5,0,IF(BT$2&gt;VLOOKUP($H6,Lists!$P$3:$Q$7,2),IF($N6=Lists!$K$3,IF($L6&lt;1,(($U6/$L6)*((1+Inputs!$D$7)^BT$2)),((INT(BT$2/$L6)-INT((BT$2-1)/$L6))*$U6*((1+Inputs!$D$7)^BT$2))),(Inputs!$D$8^((1-_xlfn.WEIBULL.DIST(BT$2,$M6,$L6,FALSE))/_xlfn.WEIBULL.DIST(BT$2,$M6,$L6,FALSE))*$U6*((1+Inputs!$D$7)^BT$2))),IF($N6=Lists!$K$3,IF($L6&lt;1,((($T6*(1-$F6)+$S6*(1-$G6))/$L6)*((1+Inputs!$D$7)^BT$2)),((INT(BT$2/$L6)-INT((BT$2-1)/$L6))*($T6*(1-$F6)+$S6*(1-$G6))*((1+Inputs!$D$7)^BT$2))),((Inputs!$D$8^((1-_xlfn.WEIBULL.DIST(BT$2,$M6,$L6,FALSE))/_xlfn.WEIBULL.DIST(BT$2,$M6,$L6,FALSE))*($T6*(1-$F6)+$S6*(1-$G6))*((1+Inputs!$D$7)^BT$2))))))))</f>
        <v>2491.1064920891745</v>
      </c>
      <c r="BU6" s="88">
        <f>MAX(AE6,($E6*IF(BU$2&gt;Inputs!$D$5,0,IF(BU$2&gt;VLOOKUP($H6,Lists!$P$3:$Q$7,2),IF($N6=Lists!$K$3,IF($L6&lt;1,(($U6/$L6)*((1+Inputs!$D$7)^BU$2)),((INT(BU$2/$L6)-INT((BU$2-1)/$L6))*$U6*((1+Inputs!$D$7)^BU$2))),(Inputs!$D$8^((1-_xlfn.WEIBULL.DIST(BU$2,$M6,$L6,FALSE))/_xlfn.WEIBULL.DIST(BU$2,$M6,$L6,FALSE))*$U6*((1+Inputs!$D$7)^BU$2))),IF($N6=Lists!$K$3,IF($L6&lt;1,((($T6*(1-$F6)+$S6*(1-$G6))/$L6)*((1+Inputs!$D$7)^BU$2)),((INT(BU$2/$L6)-INT((BU$2-1)/$L6))*($T6*(1-$F6)+$S6*(1-$G6))*((1+Inputs!$D$7)^BU$2))),((Inputs!$D$8^((1-_xlfn.WEIBULL.DIST(BU$2,$M6,$L6,FALSE))/_xlfn.WEIBULL.DIST(BU$2,$M6,$L6,FALSE))*($T6*(1-$F6)+$S6*(1-$G6))*((1+Inputs!$D$7)^BU$2))))))))</f>
        <v>2540.9286219309579</v>
      </c>
      <c r="BV6" s="88">
        <f>MAX(AF6,($E6*IF(BV$2&gt;Inputs!$D$5,0,IF(BV$2&gt;VLOOKUP($H6,Lists!$P$3:$Q$7,2),IF($N6=Lists!$K$3,IF($L6&lt;1,(($U6/$L6)*((1+Inputs!$D$7)^BV$2)),((INT(BV$2/$L6)-INT((BV$2-1)/$L6))*$U6*((1+Inputs!$D$7)^BV$2))),(Inputs!$D$8^((1-_xlfn.WEIBULL.DIST(BV$2,$M6,$L6,FALSE))/_xlfn.WEIBULL.DIST(BV$2,$M6,$L6,FALSE))*$U6*((1+Inputs!$D$7)^BV$2))),IF($N6=Lists!$K$3,IF($L6&lt;1,((($T6*(1-$F6)+$S6*(1-$G6))/$L6)*((1+Inputs!$D$7)^BV$2)),((INT(BV$2/$L6)-INT((BV$2-1)/$L6))*($T6*(1-$F6)+$S6*(1-$G6))*((1+Inputs!$D$7)^BV$2))),((Inputs!$D$8^((1-_xlfn.WEIBULL.DIST(BV$2,$M6,$L6,FALSE))/_xlfn.WEIBULL.DIST(BV$2,$M6,$L6,FALSE))*($T6*(1-$F6)+$S6*(1-$G6))*((1+Inputs!$D$7)^BV$2))))))))</f>
        <v>2591.7471943695773</v>
      </c>
      <c r="BW6" s="88">
        <f>MAX(AG6,($E6*IF(BW$2&gt;Inputs!$D$5,0,IF(BW$2&gt;VLOOKUP($H6,Lists!$P$3:$Q$7,2),IF($N6=Lists!$K$3,IF($L6&lt;1,(($U6/$L6)*((1+Inputs!$D$7)^BW$2)),((INT(BW$2/$L6)-INT((BW$2-1)/$L6))*$U6*((1+Inputs!$D$7)^BW$2))),(Inputs!$D$8^((1-_xlfn.WEIBULL.DIST(BW$2,$M6,$L6,FALSE))/_xlfn.WEIBULL.DIST(BW$2,$M6,$L6,FALSE))*$U6*((1+Inputs!$D$7)^BW$2))),IF($N6=Lists!$K$3,IF($L6&lt;1,((($T6*(1-$F6)+$S6*(1-$G6))/$L6)*((1+Inputs!$D$7)^BW$2)),((INT(BW$2/$L6)-INT((BW$2-1)/$L6))*($T6*(1-$F6)+$S6*(1-$G6))*((1+Inputs!$D$7)^BW$2))),((Inputs!$D$8^((1-_xlfn.WEIBULL.DIST(BW$2,$M6,$L6,FALSE))/_xlfn.WEIBULL.DIST(BW$2,$M6,$L6,FALSE))*($T6*(1-$F6)+$S6*(1-$G6))*((1+Inputs!$D$7)^BW$2))))))))</f>
        <v>2643.5821382569684</v>
      </c>
      <c r="BX6" s="88">
        <f>MAX(AH6,($E6*IF(BX$2&gt;Inputs!$D$5,0,IF(BX$2&gt;VLOOKUP($H6,Lists!$P$3:$Q$7,2),IF($N6=Lists!$K$3,IF($L6&lt;1,(($U6/$L6)*((1+Inputs!$D$7)^BX$2)),((INT(BX$2/$L6)-INT((BX$2-1)/$L6))*$U6*((1+Inputs!$D$7)^BX$2))),(Inputs!$D$8^((1-_xlfn.WEIBULL.DIST(BX$2,$M6,$L6,FALSE))/_xlfn.WEIBULL.DIST(BX$2,$M6,$L6,FALSE))*$U6*((1+Inputs!$D$7)^BX$2))),IF($N6=Lists!$K$3,IF($L6&lt;1,((($T6*(1-$F6)+$S6*(1-$G6))/$L6)*((1+Inputs!$D$7)^BX$2)),((INT(BX$2/$L6)-INT((BX$2-1)/$L6))*($T6*(1-$F6)+$S6*(1-$G6))*((1+Inputs!$D$7)^BX$2))),((Inputs!$D$8^((1-_xlfn.WEIBULL.DIST(BX$2,$M6,$L6,FALSE))/_xlfn.WEIBULL.DIST(BX$2,$M6,$L6,FALSE))*($T6*(1-$F6)+$S6*(1-$G6))*((1+Inputs!$D$7)^BX$2))))))))</f>
        <v>2696.4537810221077</v>
      </c>
      <c r="BY6" s="88">
        <f>MAX(AI6,($E6*IF(BY$2&gt;Inputs!$D$5,0,IF(BY$2&gt;VLOOKUP($H6,Lists!$P$3:$Q$7,2),IF($N6=Lists!$K$3,IF($L6&lt;1,(($U6/$L6)*((1+Inputs!$D$7)^BY$2)),((INT(BY$2/$L6)-INT((BY$2-1)/$L6))*$U6*((1+Inputs!$D$7)^BY$2))),(Inputs!$D$8^((1-_xlfn.WEIBULL.DIST(BY$2,$M6,$L6,FALSE))/_xlfn.WEIBULL.DIST(BY$2,$M6,$L6,FALSE))*$U6*((1+Inputs!$D$7)^BY$2))),IF($N6=Lists!$K$3,IF($L6&lt;1,((($T6*(1-$F6)+$S6*(1-$G6))/$L6)*((1+Inputs!$D$7)^BY$2)),((INT(BY$2/$L6)-INT((BY$2-1)/$L6))*($T6*(1-$F6)+$S6*(1-$G6))*((1+Inputs!$D$7)^BY$2))),((Inputs!$D$8^((1-_xlfn.WEIBULL.DIST(BY$2,$M6,$L6,FALSE))/_xlfn.WEIBULL.DIST(BY$2,$M6,$L6,FALSE))*($T6*(1-$F6)+$S6*(1-$G6))*((1+Inputs!$D$7)^BY$2))))))))</f>
        <v>2750.38285664255</v>
      </c>
      <c r="BZ6" s="88">
        <f>MAX(AJ6,($E6*IF(BZ$2&gt;Inputs!$D$5,0,IF(BZ$2&gt;VLOOKUP($H6,Lists!$P$3:$Q$7,2),IF($N6=Lists!$K$3,IF($L6&lt;1,(($U6/$L6)*((1+Inputs!$D$7)^BZ$2)),((INT(BZ$2/$L6)-INT((BZ$2-1)/$L6))*$U6*((1+Inputs!$D$7)^BZ$2))),(Inputs!$D$8^((1-_xlfn.WEIBULL.DIST(BZ$2,$M6,$L6,FALSE))/_xlfn.WEIBULL.DIST(BZ$2,$M6,$L6,FALSE))*$U6*((1+Inputs!$D$7)^BZ$2))),IF($N6=Lists!$K$3,IF($L6&lt;1,((($T6*(1-$F6)+$S6*(1-$G6))/$L6)*((1+Inputs!$D$7)^BZ$2)),((INT(BZ$2/$L6)-INT((BZ$2-1)/$L6))*($T6*(1-$F6)+$S6*(1-$G6))*((1+Inputs!$D$7)^BZ$2))),((Inputs!$D$8^((1-_xlfn.WEIBULL.DIST(BZ$2,$M6,$L6,FALSE))/_xlfn.WEIBULL.DIST(BZ$2,$M6,$L6,FALSE))*($T6*(1-$F6)+$S6*(1-$G6))*((1+Inputs!$D$7)^BZ$2))))))))</f>
        <v>2805.3905137754014</v>
      </c>
      <c r="CA6" s="88">
        <f>MAX(AK6,($E6*IF(CA$2&gt;Inputs!$D$5,0,IF(CA$2&gt;VLOOKUP($H6,Lists!$P$3:$Q$7,2),IF($N6=Lists!$K$3,IF($L6&lt;1,(($U6/$L6)*((1+Inputs!$D$7)^CA$2)),((INT(CA$2/$L6)-INT((CA$2-1)/$L6))*$U6*((1+Inputs!$D$7)^CA$2))),(Inputs!$D$8^((1-_xlfn.WEIBULL.DIST(CA$2,$M6,$L6,FALSE))/_xlfn.WEIBULL.DIST(CA$2,$M6,$L6,FALSE))*$U6*((1+Inputs!$D$7)^CA$2))),IF($N6=Lists!$K$3,IF($L6&lt;1,((($T6*(1-$F6)+$S6*(1-$G6))/$L6)*((1+Inputs!$D$7)^CA$2)),((INT(CA$2/$L6)-INT((CA$2-1)/$L6))*($T6*(1-$F6)+$S6*(1-$G6))*((1+Inputs!$D$7)^CA$2))),((Inputs!$D$8^((1-_xlfn.WEIBULL.DIST(CA$2,$M6,$L6,FALSE))/_xlfn.WEIBULL.DIST(CA$2,$M6,$L6,FALSE))*($T6*(1-$F6)+$S6*(1-$G6))*((1+Inputs!$D$7)^CA$2))))))))</f>
        <v>2861.4983240509086</v>
      </c>
      <c r="CB6" s="88">
        <f>MAX(AL6,($E6*IF(CB$2&gt;Inputs!$D$5,0,IF(CB$2&gt;VLOOKUP($H6,Lists!$P$3:$Q$7,2),IF($N6=Lists!$K$3,IF($L6&lt;1,(($U6/$L6)*((1+Inputs!$D$7)^CB$2)),((INT(CB$2/$L6)-INT((CB$2-1)/$L6))*$U6*((1+Inputs!$D$7)^CB$2))),(Inputs!$D$8^((1-_xlfn.WEIBULL.DIST(CB$2,$M6,$L6,FALSE))/_xlfn.WEIBULL.DIST(CB$2,$M6,$L6,FALSE))*$U6*((1+Inputs!$D$7)^CB$2))),IF($N6=Lists!$K$3,IF($L6&lt;1,((($T6*(1-$F6)+$S6*(1-$G6))/$L6)*((1+Inputs!$D$7)^CB$2)),((INT(CB$2/$L6)-INT((CB$2-1)/$L6))*($T6*(1-$F6)+$S6*(1-$G6))*((1+Inputs!$D$7)^CB$2))),((Inputs!$D$8^((1-_xlfn.WEIBULL.DIST(CB$2,$M6,$L6,FALSE))/_xlfn.WEIBULL.DIST(CB$2,$M6,$L6,FALSE))*($T6*(1-$F6)+$S6*(1-$G6))*((1+Inputs!$D$7)^CB$2))))))))</f>
        <v>2918.7282905319271</v>
      </c>
      <c r="CC6" s="88">
        <f>MAX(AM6,($E6*IF(CC$2&gt;Inputs!$D$5,0,IF(CC$2&gt;VLOOKUP($H6,Lists!$P$3:$Q$7,2),IF($N6=Lists!$K$3,IF($L6&lt;1,(($U6/$L6)*((1+Inputs!$D$7)^CC$2)),((INT(CC$2/$L6)-INT((CC$2-1)/$L6))*$U6*((1+Inputs!$D$7)^CC$2))),(Inputs!$D$8^((1-_xlfn.WEIBULL.DIST(CC$2,$M6,$L6,FALSE))/_xlfn.WEIBULL.DIST(CC$2,$M6,$L6,FALSE))*$U6*((1+Inputs!$D$7)^CC$2))),IF($N6=Lists!$K$3,IF($L6&lt;1,((($T6*(1-$F6)+$S6*(1-$G6))/$L6)*((1+Inputs!$D$7)^CC$2)),((INT(CC$2/$L6)-INT((CC$2-1)/$L6))*($T6*(1-$F6)+$S6*(1-$G6))*((1+Inputs!$D$7)^CC$2))),((Inputs!$D$8^((1-_xlfn.WEIBULL.DIST(CC$2,$M6,$L6,FALSE))/_xlfn.WEIBULL.DIST(CC$2,$M6,$L6,FALSE))*($T6*(1-$F6)+$S6*(1-$G6))*((1+Inputs!$D$7)^CC$2))))))))</f>
        <v>2977.1028563425657</v>
      </c>
      <c r="CD6" s="88">
        <f>MAX(AN6,($E6*IF(CD$2&gt;Inputs!$D$5,0,IF(CD$2&gt;VLOOKUP($H6,Lists!$P$3:$Q$7,2),IF($N6=Lists!$K$3,IF($L6&lt;1,(($U6/$L6)*((1+Inputs!$D$7)^CD$2)),((INT(CD$2/$L6)-INT((CD$2-1)/$L6))*$U6*((1+Inputs!$D$7)^CD$2))),(Inputs!$D$8^((1-_xlfn.WEIBULL.DIST(CD$2,$M6,$L6,FALSE))/_xlfn.WEIBULL.DIST(CD$2,$M6,$L6,FALSE))*$U6*((1+Inputs!$D$7)^CD$2))),IF($N6=Lists!$K$3,IF($L6&lt;1,((($T6*(1-$F6)+$S6*(1-$G6))/$L6)*((1+Inputs!$D$7)^CD$2)),((INT(CD$2/$L6)-INT((CD$2-1)/$L6))*($T6*(1-$F6)+$S6*(1-$G6))*((1+Inputs!$D$7)^CD$2))),((Inputs!$D$8^((1-_xlfn.WEIBULL.DIST(CD$2,$M6,$L6,FALSE))/_xlfn.WEIBULL.DIST(CD$2,$M6,$L6,FALSE))*($T6*(1-$F6)+$S6*(1-$G6))*((1+Inputs!$D$7)^CD$2))))))))</f>
        <v>3036.6449134694171</v>
      </c>
      <c r="CE6" s="88">
        <f>MAX(AO6,($E6*IF(CE$2&gt;Inputs!$D$5,0,IF(CE$2&gt;VLOOKUP($H6,Lists!$P$3:$Q$7,2),IF($N6=Lists!$K$3,IF($L6&lt;1,(($U6/$L6)*((1+Inputs!$D$7)^CE$2)),((INT(CE$2/$L6)-INT((CE$2-1)/$L6))*$U6*((1+Inputs!$D$7)^CE$2))),(Inputs!$D$8^((1-_xlfn.WEIBULL.DIST(CE$2,$M6,$L6,FALSE))/_xlfn.WEIBULL.DIST(CE$2,$M6,$L6,FALSE))*$U6*((1+Inputs!$D$7)^CE$2))),IF($N6=Lists!$K$3,IF($L6&lt;1,((($T6*(1-$F6)+$S6*(1-$G6))/$L6)*((1+Inputs!$D$7)^CE$2)),((INT(CE$2/$L6)-INT((CE$2-1)/$L6))*($T6*(1-$F6)+$S6*(1-$G6))*((1+Inputs!$D$7)^CE$2))),((Inputs!$D$8^((1-_xlfn.WEIBULL.DIST(CE$2,$M6,$L6,FALSE))/_xlfn.WEIBULL.DIST(CE$2,$M6,$L6,FALSE))*($T6*(1-$F6)+$S6*(1-$G6))*((1+Inputs!$D$7)^CE$2))))))))</f>
        <v>3097.3778117388047</v>
      </c>
      <c r="CF6" s="88">
        <f>MAX(AP6,($E6*IF(CF$2&gt;Inputs!$D$5,0,IF(CF$2&gt;VLOOKUP($H6,Lists!$P$3:$Q$7,2),IF($N6=Lists!$K$3,IF($L6&lt;1,(($U6/$L6)*((1+Inputs!$D$7)^CF$2)),((INT(CF$2/$L6)-INT((CF$2-1)/$L6))*$U6*((1+Inputs!$D$7)^CF$2))),(Inputs!$D$8^((1-_xlfn.WEIBULL.DIST(CF$2,$M6,$L6,FALSE))/_xlfn.WEIBULL.DIST(CF$2,$M6,$L6,FALSE))*$U6*((1+Inputs!$D$7)^CF$2))),IF($N6=Lists!$K$3,IF($L6&lt;1,((($T6*(1-$F6)+$S6*(1-$G6))/$L6)*((1+Inputs!$D$7)^CF$2)),((INT(CF$2/$L6)-INT((CF$2-1)/$L6))*($T6*(1-$F6)+$S6*(1-$G6))*((1+Inputs!$D$7)^CF$2))),((Inputs!$D$8^((1-_xlfn.WEIBULL.DIST(CF$2,$M6,$L6,FALSE))/_xlfn.WEIBULL.DIST(CF$2,$M6,$L6,FALSE))*($T6*(1-$F6)+$S6*(1-$G6))*((1+Inputs!$D$7)^CF$2))))))))</f>
        <v>3159.3253679735813</v>
      </c>
      <c r="CG6" s="88">
        <f>MAX(AQ6,($E6*IF(CG$2&gt;Inputs!$D$5,0,IF(CG$2&gt;VLOOKUP($H6,Lists!$P$3:$Q$7,2),IF($N6=Lists!$K$3,IF($L6&lt;1,(($U6/$L6)*((1+Inputs!$D$7)^CG$2)),((INT(CG$2/$L6)-INT((CG$2-1)/$L6))*$U6*((1+Inputs!$D$7)^CG$2))),(Inputs!$D$8^((1-_xlfn.WEIBULL.DIST(CG$2,$M6,$L6,FALSE))/_xlfn.WEIBULL.DIST(CG$2,$M6,$L6,FALSE))*$U6*((1+Inputs!$D$7)^CG$2))),IF($N6=Lists!$K$3,IF($L6&lt;1,((($T6*(1-$F6)+$S6*(1-$G6))/$L6)*((1+Inputs!$D$7)^CG$2)),((INT(CG$2/$L6)-INT((CG$2-1)/$L6))*($T6*(1-$F6)+$S6*(1-$G6))*((1+Inputs!$D$7)^CG$2))),((Inputs!$D$8^((1-_xlfn.WEIBULL.DIST(CG$2,$M6,$L6,FALSE))/_xlfn.WEIBULL.DIST(CG$2,$M6,$L6,FALSE))*($T6*(1-$F6)+$S6*(1-$G6))*((1+Inputs!$D$7)^CG$2))))))))</f>
        <v>3222.5118753330535</v>
      </c>
      <c r="CH6" s="88">
        <f>MAX(AR6,($E6*IF(CH$2&gt;Inputs!$D$5,0,IF(CH$2&gt;VLOOKUP($H6,Lists!$P$3:$Q$7,2),IF($N6=Lists!$K$3,IF($L6&lt;1,(($U6/$L6)*((1+Inputs!$D$7)^CH$2)),((INT(CH$2/$L6)-INT((CH$2-1)/$L6))*$U6*((1+Inputs!$D$7)^CH$2))),(Inputs!$D$8^((1-_xlfn.WEIBULL.DIST(CH$2,$M6,$L6,FALSE))/_xlfn.WEIBULL.DIST(CH$2,$M6,$L6,FALSE))*$U6*((1+Inputs!$D$7)^CH$2))),IF($N6=Lists!$K$3,IF($L6&lt;1,((($T6*(1-$F6)+$S6*(1-$G6))/$L6)*((1+Inputs!$D$7)^CH$2)),((INT(CH$2/$L6)-INT((CH$2-1)/$L6))*($T6*(1-$F6)+$S6*(1-$G6))*((1+Inputs!$D$7)^CH$2))),((Inputs!$D$8^((1-_xlfn.WEIBULL.DIST(CH$2,$M6,$L6,FALSE))/_xlfn.WEIBULL.DIST(CH$2,$M6,$L6,FALSE))*($T6*(1-$F6)+$S6*(1-$G6))*((1+Inputs!$D$7)^CH$2))))))))</f>
        <v>3286.9621128397139</v>
      </c>
      <c r="CI6" s="88">
        <f>MAX(AS6,($E6*IF(CI$2&gt;Inputs!$D$5,0,IF(CI$2&gt;VLOOKUP($H6,Lists!$P$3:$Q$7,2),IF($N6=Lists!$K$3,IF($L6&lt;1,(($U6/$L6)*((1+Inputs!$D$7)^CI$2)),((INT(CI$2/$L6)-INT((CI$2-1)/$L6))*$U6*((1+Inputs!$D$7)^CI$2))),(Inputs!$D$8^((1-_xlfn.WEIBULL.DIST(CI$2,$M6,$L6,FALSE))/_xlfn.WEIBULL.DIST(CI$2,$M6,$L6,FALSE))*$U6*((1+Inputs!$D$7)^CI$2))),IF($N6=Lists!$K$3,IF($L6&lt;1,((($T6*(1-$F6)+$S6*(1-$G6))/$L6)*((1+Inputs!$D$7)^CI$2)),((INT(CI$2/$L6)-INT((CI$2-1)/$L6))*($T6*(1-$F6)+$S6*(1-$G6))*((1+Inputs!$D$7)^CI$2))),((Inputs!$D$8^((1-_xlfn.WEIBULL.DIST(CI$2,$M6,$L6,FALSE))/_xlfn.WEIBULL.DIST(CI$2,$M6,$L6,FALSE))*($T6*(1-$F6)+$S6*(1-$G6))*((1+Inputs!$D$7)^CI$2))))))))</f>
        <v>3352.701355096508</v>
      </c>
      <c r="CJ6" s="88">
        <f>MAX(AT6,($E6*IF(CJ$2&gt;Inputs!$D$5,0,IF(CJ$2&gt;VLOOKUP($H6,Lists!$P$3:$Q$7,2),IF($N6=Lists!$K$3,IF($L6&lt;1,(($U6/$L6)*((1+Inputs!$D$7)^CJ$2)),((INT(CJ$2/$L6)-INT((CJ$2-1)/$L6))*$U6*((1+Inputs!$D$7)^CJ$2))),(Inputs!$D$8^((1-_xlfn.WEIBULL.DIST(CJ$2,$M6,$L6,FALSE))/_xlfn.WEIBULL.DIST(CJ$2,$M6,$L6,FALSE))*$U6*((1+Inputs!$D$7)^CJ$2))),IF($N6=Lists!$K$3,IF($L6&lt;1,((($T6*(1-$F6)+$S6*(1-$G6))/$L6)*((1+Inputs!$D$7)^CJ$2)),((INT(CJ$2/$L6)-INT((CJ$2-1)/$L6))*($T6*(1-$F6)+$S6*(1-$G6))*((1+Inputs!$D$7)^CJ$2))),((Inputs!$D$8^((1-_xlfn.WEIBULL.DIST(CJ$2,$M6,$L6,FALSE))/_xlfn.WEIBULL.DIST(CJ$2,$M6,$L6,FALSE))*($T6*(1-$F6)+$S6*(1-$G6))*((1+Inputs!$D$7)^CJ$2))))))))</f>
        <v>3419.7553821984388</v>
      </c>
      <c r="CK6" s="88">
        <f>MAX(AU6,($E6*IF(CK$2&gt;Inputs!$D$5,0,IF(CK$2&gt;VLOOKUP($H6,Lists!$P$3:$Q$7,2),IF($N6=Lists!$K$3,IF($L6&lt;1,(($U6/$L6)*((1+Inputs!$D$7)^CK$2)),((INT(CK$2/$L6)-INT((CK$2-1)/$L6))*$U6*((1+Inputs!$D$7)^CK$2))),(Inputs!$D$8^((1-_xlfn.WEIBULL.DIST(CK$2,$M6,$L6,FALSE))/_xlfn.WEIBULL.DIST(CK$2,$M6,$L6,FALSE))*$U6*((1+Inputs!$D$7)^CK$2))),IF($N6=Lists!$K$3,IF($L6&lt;1,((($T6*(1-$F6)+$S6*(1-$G6))/$L6)*((1+Inputs!$D$7)^CK$2)),((INT(CK$2/$L6)-INT((CK$2-1)/$L6))*($T6*(1-$F6)+$S6*(1-$G6))*((1+Inputs!$D$7)^CK$2))),((Inputs!$D$8^((1-_xlfn.WEIBULL.DIST(CK$2,$M6,$L6,FALSE))/_xlfn.WEIBULL.DIST(CK$2,$M6,$L6,FALSE))*($T6*(1-$F6)+$S6*(1-$G6))*((1+Inputs!$D$7)^CK$2))))))))</f>
        <v>3488.1504898424073</v>
      </c>
      <c r="CL6" s="88">
        <f>MAX(AV6,($E6*IF(CL$2&gt;Inputs!$D$5,0,IF(CL$2&gt;VLOOKUP($H6,Lists!$P$3:$Q$7,2),IF($N6=Lists!$K$3,IF($L6&lt;1,(($U6/$L6)*((1+Inputs!$D$7)^CL$2)),((INT(CL$2/$L6)-INT((CL$2-1)/$L6))*$U6*((1+Inputs!$D$7)^CL$2))),(Inputs!$D$8^((1-_xlfn.WEIBULL.DIST(CL$2,$M6,$L6,FALSE))/_xlfn.WEIBULL.DIST(CL$2,$M6,$L6,FALSE))*$U6*((1+Inputs!$D$7)^CL$2))),IF($N6=Lists!$K$3,IF($L6&lt;1,((($T6*(1-$F6)+$S6*(1-$G6))/$L6)*((1+Inputs!$D$7)^CL$2)),((INT(CL$2/$L6)-INT((CL$2-1)/$L6))*($T6*(1-$F6)+$S6*(1-$G6))*((1+Inputs!$D$7)^CL$2))),((Inputs!$D$8^((1-_xlfn.WEIBULL.DIST(CL$2,$M6,$L6,FALSE))/_xlfn.WEIBULL.DIST(CL$2,$M6,$L6,FALSE))*($T6*(1-$F6)+$S6*(1-$G6))*((1+Inputs!$D$7)^CL$2))))))))</f>
        <v>3557.9134996392554</v>
      </c>
      <c r="CM6" s="88">
        <f>MAX(AW6,($E6*IF(CM$2&gt;Inputs!$D$5,0,IF(CM$2&gt;VLOOKUP($H6,Lists!$P$3:$Q$7,2),IF($N6=Lists!$K$3,IF($L6&lt;1,(($U6/$L6)*((1+Inputs!$D$7)^CM$2)),((INT(CM$2/$L6)-INT((CM$2-1)/$L6))*$U6*((1+Inputs!$D$7)^CM$2))),(Inputs!$D$8^((1-_xlfn.WEIBULL.DIST(CM$2,$M6,$L6,FALSE))/_xlfn.WEIBULL.DIST(CM$2,$M6,$L6,FALSE))*$U6*((1+Inputs!$D$7)^CM$2))),IF($N6=Lists!$K$3,IF($L6&lt;1,((($T6*(1-$F6)+$S6*(1-$G6))/$L6)*((1+Inputs!$D$7)^CM$2)),((INT(CM$2/$L6)-INT((CM$2-1)/$L6))*($T6*(1-$F6)+$S6*(1-$G6))*((1+Inputs!$D$7)^CM$2))),((Inputs!$D$8^((1-_xlfn.WEIBULL.DIST(CM$2,$M6,$L6,FALSE))/_xlfn.WEIBULL.DIST(CM$2,$M6,$L6,FALSE))*($T6*(1-$F6)+$S6*(1-$G6))*((1+Inputs!$D$7)^CM$2))))))))</f>
        <v>3629.0717696320398</v>
      </c>
      <c r="CN6" s="88">
        <f>MAX(AX6,($E6*IF(CN$2&gt;Inputs!$D$5,0,IF(CN$2&gt;VLOOKUP($H6,Lists!$P$3:$Q$7,2),IF($N6=Lists!$K$3,IF($L6&lt;1,(($U6/$L6)*((1+Inputs!$D$7)^CN$2)),((INT(CN$2/$L6)-INT((CN$2-1)/$L6))*$U6*((1+Inputs!$D$7)^CN$2))),(Inputs!$D$8^((1-_xlfn.WEIBULL.DIST(CN$2,$M6,$L6,FALSE))/_xlfn.WEIBULL.DIST(CN$2,$M6,$L6,FALSE))*$U6*((1+Inputs!$D$7)^CN$2))),IF($N6=Lists!$K$3,IF($L6&lt;1,((($T6*(1-$F6)+$S6*(1-$G6))/$L6)*((1+Inputs!$D$7)^CN$2)),((INT(CN$2/$L6)-INT((CN$2-1)/$L6))*($T6*(1-$F6)+$S6*(1-$G6))*((1+Inputs!$D$7)^CN$2))),((Inputs!$D$8^((1-_xlfn.WEIBULL.DIST(CN$2,$M6,$L6,FALSE))/_xlfn.WEIBULL.DIST(CN$2,$M6,$L6,FALSE))*($T6*(1-$F6)+$S6*(1-$G6))*((1+Inputs!$D$7)^CN$2))))))))</f>
        <v>3701.653205024681</v>
      </c>
      <c r="CO6" s="88">
        <f>MAX(AY6,($E6*IF(CO$2&gt;Inputs!$D$5,0,IF(CO$2&gt;VLOOKUP($H6,Lists!$P$3:$Q$7,2),IF($N6=Lists!$K$3,IF($L6&lt;1,(($U6/$L6)*((1+Inputs!$D$7)^CO$2)),((INT(CO$2/$L6)-INT((CO$2-1)/$L6))*$U6*((1+Inputs!$D$7)^CO$2))),(Inputs!$D$8^((1-_xlfn.WEIBULL.DIST(CO$2,$M6,$L6,FALSE))/_xlfn.WEIBULL.DIST(CO$2,$M6,$L6,FALSE))*$U6*((1+Inputs!$D$7)^CO$2))),IF($N6=Lists!$K$3,IF($L6&lt;1,((($T6*(1-$F6)+$S6*(1-$G6))/$L6)*((1+Inputs!$D$7)^CO$2)),((INT(CO$2/$L6)-INT((CO$2-1)/$L6))*($T6*(1-$F6)+$S6*(1-$G6))*((1+Inputs!$D$7)^CO$2))),((Inputs!$D$8^((1-_xlfn.WEIBULL.DIST(CO$2,$M6,$L6,FALSE))/_xlfn.WEIBULL.DIST(CO$2,$M6,$L6,FALSE))*($T6*(1-$F6)+$S6*(1-$G6))*((1+Inputs!$D$7)^CO$2))))))))</f>
        <v>3775.6862691251745</v>
      </c>
      <c r="CP6" s="88">
        <f>MAX(AZ6,($E6*IF(CP$2&gt;Inputs!$D$5,0,IF(CP$2&gt;VLOOKUP($H6,Lists!$P$3:$Q$7,2),IF($N6=Lists!$K$3,IF($L6&lt;1,(($U6/$L6)*((1+Inputs!$D$7)^CP$2)),((INT(CP$2/$L6)-INT((CP$2-1)/$L6))*$U6*((1+Inputs!$D$7)^CP$2))),(Inputs!$D$8^((1-_xlfn.WEIBULL.DIST(CP$2,$M6,$L6,FALSE))/_xlfn.WEIBULL.DIST(CP$2,$M6,$L6,FALSE))*$U6*((1+Inputs!$D$7)^CP$2))),IF($N6=Lists!$K$3,IF($L6&lt;1,((($T6*(1-$F6)+$S6*(1-$G6))/$L6)*((1+Inputs!$D$7)^CP$2)),((INT(CP$2/$L6)-INT((CP$2-1)/$L6))*($T6*(1-$F6)+$S6*(1-$G6))*((1+Inputs!$D$7)^CP$2))),((Inputs!$D$8^((1-_xlfn.WEIBULL.DIST(CP$2,$M6,$L6,FALSE))/_xlfn.WEIBULL.DIST(CP$2,$M6,$L6,FALSE))*($T6*(1-$F6)+$S6*(1-$G6))*((1+Inputs!$D$7)^CP$2))))))))</f>
        <v>0</v>
      </c>
      <c r="CQ6" s="88">
        <f>MAX(BA6,($E6*IF(CQ$2&gt;Inputs!$D$5,0,IF(CQ$2&gt;VLOOKUP($H6,Lists!$P$3:$Q$7,2),IF($N6=Lists!$K$3,IF($L6&lt;1,(($U6/$L6)*((1+Inputs!$D$7)^CQ$2)),((INT(CQ$2/$L6)-INT((CQ$2-1)/$L6))*$U6*((1+Inputs!$D$7)^CQ$2))),(Inputs!$D$8^((1-_xlfn.WEIBULL.DIST(CQ$2,$M6,$L6,FALSE))/_xlfn.WEIBULL.DIST(CQ$2,$M6,$L6,FALSE))*$U6*((1+Inputs!$D$7)^CQ$2))),IF($N6=Lists!$K$3,IF($L6&lt;1,((($T6*(1-$F6)+$S6*(1-$G6))/$L6)*((1+Inputs!$D$7)^CQ$2)),((INT(CQ$2/$L6)-INT((CQ$2-1)/$L6))*($T6*(1-$F6)+$S6*(1-$G6))*((1+Inputs!$D$7)^CQ$2))),((Inputs!$D$8^((1-_xlfn.WEIBULL.DIST(CQ$2,$M6,$L6,FALSE))/_xlfn.WEIBULL.DIST(CQ$2,$M6,$L6,FALSE))*($T6*(1-$F6)+$S6*(1-$G6))*((1+Inputs!$D$7)^CQ$2))))))))</f>
        <v>0</v>
      </c>
      <c r="CR6" s="88">
        <f>MAX(BB6,($E6*IF(CR$2&gt;Inputs!$D$5,0,IF(CR$2&gt;VLOOKUP($H6,Lists!$P$3:$Q$7,2),IF($N6=Lists!$K$3,IF($L6&lt;1,(($U6/$L6)*((1+Inputs!$D$7)^CR$2)),((INT(CR$2/$L6)-INT((CR$2-1)/$L6))*$U6*((1+Inputs!$D$7)^CR$2))),(Inputs!$D$8^((1-_xlfn.WEIBULL.DIST(CR$2,$M6,$L6,FALSE))/_xlfn.WEIBULL.DIST(CR$2,$M6,$L6,FALSE))*$U6*((1+Inputs!$D$7)^CR$2))),IF($N6=Lists!$K$3,IF($L6&lt;1,((($T6*(1-$F6)+$S6*(1-$G6))/$L6)*((1+Inputs!$D$7)^CR$2)),((INT(CR$2/$L6)-INT((CR$2-1)/$L6))*($T6*(1-$F6)+$S6*(1-$G6))*((1+Inputs!$D$7)^CR$2))),((Inputs!$D$8^((1-_xlfn.WEIBULL.DIST(CR$2,$M6,$L6,FALSE))/_xlfn.WEIBULL.DIST(CR$2,$M6,$L6,FALSE))*($T6*(1-$F6)+$S6*(1-$G6))*((1+Inputs!$D$7)^CR$2))))))))</f>
        <v>0</v>
      </c>
      <c r="CS6" s="88">
        <f>MAX(BC6,($E6*IF(CS$2&gt;Inputs!$D$5,0,IF(CS$2&gt;VLOOKUP($H6,Lists!$P$3:$Q$7,2),IF($N6=Lists!$K$3,IF($L6&lt;1,(($U6/$L6)*((1+Inputs!$D$7)^CS$2)),((INT(CS$2/$L6)-INT((CS$2-1)/$L6))*$U6*((1+Inputs!$D$7)^CS$2))),(Inputs!$D$8^((1-_xlfn.WEIBULL.DIST(CS$2,$M6,$L6,FALSE))/_xlfn.WEIBULL.DIST(CS$2,$M6,$L6,FALSE))*$U6*((1+Inputs!$D$7)^CS$2))),IF($N6=Lists!$K$3,IF($L6&lt;1,((($T6*(1-$F6)+$S6*(1-$G6))/$L6)*((1+Inputs!$D$7)^CS$2)),((INT(CS$2/$L6)-INT((CS$2-1)/$L6))*($T6*(1-$F6)+$S6*(1-$G6))*((1+Inputs!$D$7)^CS$2))),((Inputs!$D$8^((1-_xlfn.WEIBULL.DIST(CS$2,$M6,$L6,FALSE))/_xlfn.WEIBULL.DIST(CS$2,$M6,$L6,FALSE))*($T6*(1-$F6)+$S6*(1-$G6))*((1+Inputs!$D$7)^CS$2))))))))</f>
        <v>0</v>
      </c>
      <c r="CT6" s="88">
        <f>MAX(BD6,($E6*IF(CT$2&gt;Inputs!$D$5,0,IF(CT$2&gt;VLOOKUP($H6,Lists!$P$3:$Q$7,2),IF($N6=Lists!$K$3,IF($L6&lt;1,(($U6/$L6)*((1+Inputs!$D$7)^CT$2)),((INT(CT$2/$L6)-INT((CT$2-1)/$L6))*$U6*((1+Inputs!$D$7)^CT$2))),(Inputs!$D$8^((1-_xlfn.WEIBULL.DIST(CT$2,$M6,$L6,FALSE))/_xlfn.WEIBULL.DIST(CT$2,$M6,$L6,FALSE))*$U6*((1+Inputs!$D$7)^CT$2))),IF($N6=Lists!$K$3,IF($L6&lt;1,((($T6*(1-$F6)+$S6*(1-$G6))/$L6)*((1+Inputs!$D$7)^CT$2)),((INT(CT$2/$L6)-INT((CT$2-1)/$L6))*($T6*(1-$F6)+$S6*(1-$G6))*((1+Inputs!$D$7)^CT$2))),((Inputs!$D$8^((1-_xlfn.WEIBULL.DIST(CT$2,$M6,$L6,FALSE))/_xlfn.WEIBULL.DIST(CT$2,$M6,$L6,FALSE))*($T6*(1-$F6)+$S6*(1-$G6))*((1+Inputs!$D$7)^CT$2))))))))</f>
        <v>0</v>
      </c>
      <c r="CU6" s="88">
        <f>MAX(BE6,($E6*IF(CU$2&gt;Inputs!$D$5,0,IF(CU$2&gt;VLOOKUP($H6,Lists!$P$3:$Q$7,2),IF($N6=Lists!$K$3,IF($L6&lt;1,(($U6/$L6)*((1+Inputs!$D$7)^CU$2)),((INT(CU$2/$L6)-INT((CU$2-1)/$L6))*$U6*((1+Inputs!$D$7)^CU$2))),(Inputs!$D$8^((1-_xlfn.WEIBULL.DIST(CU$2,$M6,$L6,FALSE))/_xlfn.WEIBULL.DIST(CU$2,$M6,$L6,FALSE))*$U6*((1+Inputs!$D$7)^CU$2))),IF($N6=Lists!$K$3,IF($L6&lt;1,((($T6*(1-$F6)+$S6*(1-$G6))/$L6)*((1+Inputs!$D$7)^CU$2)),((INT(CU$2/$L6)-INT((CU$2-1)/$L6))*($T6*(1-$F6)+$S6*(1-$G6))*((1+Inputs!$D$7)^CU$2))),((Inputs!$D$8^((1-_xlfn.WEIBULL.DIST(CU$2,$M6,$L6,FALSE))/_xlfn.WEIBULL.DIST(CU$2,$M6,$L6,FALSE))*($T6*(1-$F6)+$S6*(1-$G6))*((1+Inputs!$D$7)^CU$2))))))))</f>
        <v>0</v>
      </c>
      <c r="CV6" s="88">
        <f>MAX(BF6,($E6*IF(CV$2&gt;Inputs!$D$5,0,IF(CV$2&gt;VLOOKUP($H6,Lists!$P$3:$Q$7,2),IF($N6=Lists!$K$3,IF($L6&lt;1,(($U6/$L6)*((1+Inputs!$D$7)^CV$2)),((INT(CV$2/$L6)-INT((CV$2-1)/$L6))*$U6*((1+Inputs!$D$7)^CV$2))),(Inputs!$D$8^((1-_xlfn.WEIBULL.DIST(CV$2,$M6,$L6,FALSE))/_xlfn.WEIBULL.DIST(CV$2,$M6,$L6,FALSE))*$U6*((1+Inputs!$D$7)^CV$2))),IF($N6=Lists!$K$3,IF($L6&lt;1,((($T6*(1-$F6)+$S6*(1-$G6))/$L6)*((1+Inputs!$D$7)^CV$2)),((INT(CV$2/$L6)-INT((CV$2-1)/$L6))*($T6*(1-$F6)+$S6*(1-$G6))*((1+Inputs!$D$7)^CV$2))),((Inputs!$D$8^((1-_xlfn.WEIBULL.DIST(CV$2,$M6,$L6,FALSE))/_xlfn.WEIBULL.DIST(CV$2,$M6,$L6,FALSE))*($T6*(1-$F6)+$S6*(1-$G6))*((1+Inputs!$D$7)^CV$2))))))))</f>
        <v>0</v>
      </c>
      <c r="CW6" s="88">
        <f>MAX(BG6,($E6*IF(CW$2&gt;Inputs!$D$5,0,IF(CW$2&gt;VLOOKUP($H6,Lists!$P$3:$Q$7,2),IF($N6=Lists!$K$3,IF($L6&lt;1,(($U6/$L6)*((1+Inputs!$D$7)^CW$2)),((INT(CW$2/$L6)-INT((CW$2-1)/$L6))*$U6*((1+Inputs!$D$7)^CW$2))),(Inputs!$D$8^((1-_xlfn.WEIBULL.DIST(CW$2,$M6,$L6,FALSE))/_xlfn.WEIBULL.DIST(CW$2,$M6,$L6,FALSE))*$U6*((1+Inputs!$D$7)^CW$2))),IF($N6=Lists!$K$3,IF($L6&lt;1,((($T6*(1-$F6)+$S6*(1-$G6))/$L6)*((1+Inputs!$D$7)^CW$2)),((INT(CW$2/$L6)-INT((CW$2-1)/$L6))*($T6*(1-$F6)+$S6*(1-$G6))*((1+Inputs!$D$7)^CW$2))),((Inputs!$D$8^((1-_xlfn.WEIBULL.DIST(CW$2,$M6,$L6,FALSE))/_xlfn.WEIBULL.DIST(CW$2,$M6,$L6,FALSE))*($T6*(1-$F6)+$S6*(1-$G6))*((1+Inputs!$D$7)^CW$2))))))))</f>
        <v>0</v>
      </c>
      <c r="CX6" s="88">
        <f>MAX(BH6,($E6*IF(CX$2&gt;Inputs!$D$5,0,IF(CX$2&gt;VLOOKUP($H6,Lists!$P$3:$Q$7,2),IF($N6=Lists!$K$3,IF($L6&lt;1,(($U6/$L6)*((1+Inputs!$D$7)^CX$2)),((INT(CX$2/$L6)-INT((CX$2-1)/$L6))*$U6*((1+Inputs!$D$7)^CX$2))),(Inputs!$D$8^((1-_xlfn.WEIBULL.DIST(CX$2,$M6,$L6,FALSE))/_xlfn.WEIBULL.DIST(CX$2,$M6,$L6,FALSE))*$U6*((1+Inputs!$D$7)^CX$2))),IF($N6=Lists!$K$3,IF($L6&lt;1,((($T6*(1-$F6)+$S6*(1-$G6))/$L6)*((1+Inputs!$D$7)^CX$2)),((INT(CX$2/$L6)-INT((CX$2-1)/$L6))*($T6*(1-$F6)+$S6*(1-$G6))*((1+Inputs!$D$7)^CX$2))),((Inputs!$D$8^((1-_xlfn.WEIBULL.DIST(CX$2,$M6,$L6,FALSE))/_xlfn.WEIBULL.DIST(CX$2,$M6,$L6,FALSE))*($T6*(1-$F6)+$S6*(1-$G6))*((1+Inputs!$D$7)^CX$2))))))))</f>
        <v>0</v>
      </c>
      <c r="CY6" s="88">
        <f>MAX(BI6,($E6*IF(CY$2&gt;Inputs!$D$5,0,IF(CY$2&gt;VLOOKUP($H6,Lists!$P$3:$Q$7,2),IF($N6=Lists!$K$3,IF($L6&lt;1,(($U6/$L6)*((1+Inputs!$D$7)^CY$2)),((INT(CY$2/$L6)-INT((CY$2-1)/$L6))*$U6*((1+Inputs!$D$7)^CY$2))),(Inputs!$D$8^((1-_xlfn.WEIBULL.DIST(CY$2,$M6,$L6,FALSE))/_xlfn.WEIBULL.DIST(CY$2,$M6,$L6,FALSE))*$U6*((1+Inputs!$D$7)^CY$2))),IF($N6=Lists!$K$3,IF($L6&lt;1,((($T6*(1-$F6)+$S6*(1-$G6))/$L6)*((1+Inputs!$D$7)^CY$2)),((INT(CY$2/$L6)-INT((CY$2-1)/$L6))*($T6*(1-$F6)+$S6*(1-$G6))*((1+Inputs!$D$7)^CY$2))),((Inputs!$D$8^((1-_xlfn.WEIBULL.DIST(CY$2,$M6,$L6,FALSE))/_xlfn.WEIBULL.DIST(CY$2,$M6,$L6,FALSE))*($T6*(1-$F6)+$S6*(1-$G6))*((1+Inputs!$D$7)^CY$2))))))))</f>
        <v>0</v>
      </c>
      <c r="CZ6" s="88">
        <f>MAX(BJ6,($E6*IF(CZ$2&gt;Inputs!$D$5,0,IF(CZ$2&gt;VLOOKUP($H6,Lists!$P$3:$Q$7,2),IF($N6=Lists!$K$3,IF($L6&lt;1,(($U6/$L6)*((1+Inputs!$D$7)^CZ$2)),((INT(CZ$2/$L6)-INT((CZ$2-1)/$L6))*$U6*((1+Inputs!$D$7)^CZ$2))),(Inputs!$D$8^((1-_xlfn.WEIBULL.DIST(CZ$2,$M6,$L6,FALSE))/_xlfn.WEIBULL.DIST(CZ$2,$M6,$L6,FALSE))*$U6*((1+Inputs!$D$7)^CZ$2))),IF($N6=Lists!$K$3,IF($L6&lt;1,((($T6*(1-$F6)+$S6*(1-$G6))/$L6)*((1+Inputs!$D$7)^CZ$2)),((INT(CZ$2/$L6)-INT((CZ$2-1)/$L6))*($T6*(1-$F6)+$S6*(1-$G6))*((1+Inputs!$D$7)^CZ$2))),((Inputs!$D$8^((1-_xlfn.WEIBULL.DIST(CZ$2,$M6,$L6,FALSE))/_xlfn.WEIBULL.DIST(CZ$2,$M6,$L6,FALSE))*($T6*(1-$F6)+$S6*(1-$G6))*((1+Inputs!$D$7)^CZ$2))))))))</f>
        <v>0</v>
      </c>
      <c r="DA6" s="88">
        <f>MAX(BK6,($E6*IF(DA$2&gt;Inputs!$D$5,0,IF(DA$2&gt;VLOOKUP($H6,Lists!$P$3:$Q$7,2),IF($N6=Lists!$K$3,IF($L6&lt;1,(($U6/$L6)*((1+Inputs!$D$7)^DA$2)),((INT(DA$2/$L6)-INT((DA$2-1)/$L6))*$U6*((1+Inputs!$D$7)^DA$2))),(Inputs!$D$8^((1-_xlfn.WEIBULL.DIST(DA$2,$M6,$L6,FALSE))/_xlfn.WEIBULL.DIST(DA$2,$M6,$L6,FALSE))*$U6*((1+Inputs!$D$7)^DA$2))),IF($N6=Lists!$K$3,IF($L6&lt;1,((($T6*(1-$F6)+$S6*(1-$G6))/$L6)*((1+Inputs!$D$7)^DA$2)),((INT(DA$2/$L6)-INT((DA$2-1)/$L6))*($T6*(1-$F6)+$S6*(1-$G6))*((1+Inputs!$D$7)^DA$2))),((Inputs!$D$8^((1-_xlfn.WEIBULL.DIST(DA$2,$M6,$L6,FALSE))/_xlfn.WEIBULL.DIST(DA$2,$M6,$L6,FALSE))*($T6*(1-$F6)+$S6*(1-$G6))*((1+Inputs!$D$7)^DA$2))))))))</f>
        <v>0</v>
      </c>
      <c r="DB6" s="88">
        <f>MAX(BL6,($E6*IF(DB$2&gt;Inputs!$D$5,0,IF(DB$2&gt;VLOOKUP($H6,Lists!$P$3:$Q$7,2),IF($N6=Lists!$K$3,IF($L6&lt;1,(($U6/$L6)*((1+Inputs!$D$7)^DB$2)),((INT(DB$2/$L6)-INT((DB$2-1)/$L6))*$U6*((1+Inputs!$D$7)^DB$2))),(Inputs!$D$8^((1-_xlfn.WEIBULL.DIST(DB$2,$M6,$L6,FALSE))/_xlfn.WEIBULL.DIST(DB$2,$M6,$L6,FALSE))*$U6*((1+Inputs!$D$7)^DB$2))),IF($N6=Lists!$K$3,IF($L6&lt;1,((($T6*(1-$F6)+$S6*(1-$G6))/$L6)*((1+Inputs!$D$7)^DB$2)),((INT(DB$2/$L6)-INT((DB$2-1)/$L6))*($T6*(1-$F6)+$S6*(1-$G6))*((1+Inputs!$D$7)^DB$2))),((Inputs!$D$8^((1-_xlfn.WEIBULL.DIST(DB$2,$M6,$L6,FALSE))/_xlfn.WEIBULL.DIST(DB$2,$M6,$L6,FALSE))*($T6*(1-$F6)+$S6*(1-$G6))*((1+Inputs!$D$7)^DB$2))))))))</f>
        <v>0</v>
      </c>
      <c r="DC6" s="88">
        <f>MAX(BM6,($E6*IF(DC$2&gt;Inputs!$D$5,0,IF(DC$2&gt;VLOOKUP($H6,Lists!$P$3:$Q$7,2),IF($N6=Lists!$K$3,IF($L6&lt;1,(($U6/$L6)*((1+Inputs!$D$7)^DC$2)),((INT(DC$2/$L6)-INT((DC$2-1)/$L6))*$U6*((1+Inputs!$D$7)^DC$2))),(Inputs!$D$8^((1-_xlfn.WEIBULL.DIST(DC$2,$M6,$L6,FALSE))/_xlfn.WEIBULL.DIST(DC$2,$M6,$L6,FALSE))*$U6*((1+Inputs!$D$7)^DC$2))),IF($N6=Lists!$K$3,IF($L6&lt;1,((($T6*(1-$F6)+$S6*(1-$G6))/$L6)*((1+Inputs!$D$7)^DC$2)),((INT(DC$2/$L6)-INT((DC$2-1)/$L6))*($T6*(1-$F6)+$S6*(1-$G6))*((1+Inputs!$D$7)^DC$2))),((Inputs!$D$8^((1-_xlfn.WEIBULL.DIST(DC$2,$M6,$L6,FALSE))/_xlfn.WEIBULL.DIST(DC$2,$M6,$L6,FALSE))*($T6*(1-$F6)+$S6*(1-$G6))*((1+Inputs!$D$7)^DC$2))))))))</f>
        <v>0</v>
      </c>
      <c r="DD6" s="88">
        <f>MAX(BN6,($E6*IF(DD$2&gt;Inputs!$D$5,0,IF(DD$2&gt;VLOOKUP($H6,Lists!$P$3:$Q$7,2),IF($N6=Lists!$K$3,IF($L6&lt;1,(($U6/$L6)*((1+Inputs!$D$7)^DD$2)),((INT(DD$2/$L6)-INT((DD$2-1)/$L6))*$U6*((1+Inputs!$D$7)^DD$2))),(Inputs!$D$8^((1-_xlfn.WEIBULL.DIST(DD$2,$M6,$L6,FALSE))/_xlfn.WEIBULL.DIST(DD$2,$M6,$L6,FALSE))*$U6*((1+Inputs!$D$7)^DD$2))),IF($N6=Lists!$K$3,IF($L6&lt;1,((($T6*(1-$F6)+$S6*(1-$G6))/$L6)*((1+Inputs!$D$7)^DD$2)),((INT(DD$2/$L6)-INT((DD$2-1)/$L6))*($T6*(1-$F6)+$S6*(1-$G6))*((1+Inputs!$D$7)^DD$2))),((Inputs!$D$8^((1-_xlfn.WEIBULL.DIST(DD$2,$M6,$L6,FALSE))/_xlfn.WEIBULL.DIST(DD$2,$M6,$L6,FALSE))*($T6*(1-$F6)+$S6*(1-$G6))*((1+Inputs!$D$7)^DD$2))))))))</f>
        <v>0</v>
      </c>
    </row>
    <row r="7" spans="1:108" s="1" customFormat="1" ht="33.75" customHeight="1">
      <c r="A7" s="57" t="s">
        <v>148</v>
      </c>
      <c r="B7" s="13" t="s">
        <v>129</v>
      </c>
      <c r="C7" s="13" t="s">
        <v>471</v>
      </c>
      <c r="D7" s="13" t="s">
        <v>124</v>
      </c>
      <c r="E7" s="48">
        <f>IF(Inputs!$D$41=Lists!$I$4,0,1)</f>
        <v>1</v>
      </c>
      <c r="F7" s="48">
        <v>0</v>
      </c>
      <c r="G7" s="48">
        <v>0</v>
      </c>
      <c r="H7" s="105" t="s">
        <v>350</v>
      </c>
      <c r="I7" s="14"/>
      <c r="J7" s="14" t="s">
        <v>248</v>
      </c>
      <c r="K7" s="13">
        <f>VLOOKUP(J7,'Labor Rates'!$A$1:$F$16,2)</f>
        <v>22.995576923076925</v>
      </c>
      <c r="L7" s="15">
        <v>0.08</v>
      </c>
      <c r="M7" s="15">
        <v>1</v>
      </c>
      <c r="N7" s="13" t="s">
        <v>236</v>
      </c>
      <c r="O7" s="61">
        <v>1</v>
      </c>
      <c r="P7" s="15">
        <v>0.25</v>
      </c>
      <c r="Q7" s="15">
        <f t="shared" si="0"/>
        <v>3.125</v>
      </c>
      <c r="R7" s="4">
        <v>0</v>
      </c>
      <c r="S7" s="53">
        <f t="shared" si="1"/>
        <v>5.7488942307692312</v>
      </c>
      <c r="T7" s="53">
        <f t="shared" si="2"/>
        <v>0</v>
      </c>
      <c r="U7" s="54">
        <f t="shared" si="3"/>
        <v>5.7488942307692312</v>
      </c>
      <c r="V7" s="65"/>
      <c r="W7" s="58"/>
      <c r="X7" s="64">
        <f t="shared" si="4"/>
        <v>89.04791827566369</v>
      </c>
      <c r="Y7" s="64">
        <f>NPV(Inputs!$D$6,AA7:BN7)</f>
        <v>1022.8347657930373</v>
      </c>
      <c r="Z7" s="67">
        <f t="shared" si="5"/>
        <v>4.8241881106535109E-4</v>
      </c>
      <c r="AA7" s="88">
        <f>$E7*IF(AA$2&gt;Inputs!$D$5,0,IF(AA$2&gt;VLOOKUP($H7,Lists!$P$3:$Q$7,2),IF($N7=Lists!$K$3,IF($L7&lt;1,(($U7/$L7)*((1+Inputs!$D$7)^AA$2)),((INT(AA$2/$L7)-INT((AA$2-1)/$L7))*$U7*((1+Inputs!$D$7)^AA$2))),(_xlfn.WEIBULL.DIST(AA$2,$M7,$L7,FALSE)*$U7*((1+Inputs!$D$7)^AA$2))),IF($N7=Lists!$K$3,IF($L7&lt;1,((($T7*(1-$F7)+$S7*(1-$G7))/$L7)*((1+Inputs!$D$7)^AA$2)),((INT(AA$2/$L7)-INT((AA$2-1)/$L7))*($T7*(1-$F7)+$S7*(1-$G7))*((1+Inputs!$D$7)^AA$2))),((_xlfn.WEIBULL.DIST(AA$2,$M7,$L7,FALSE)*($T7*(1-$F7)+$S7*(1-$G7))*((1+Inputs!$D$7)^AA$2))))))</f>
        <v>73.298401442307693</v>
      </c>
      <c r="AB7" s="88">
        <f>$E7*IF(AB$2&gt;Inputs!$D$5,0,IF(AB$2&gt;VLOOKUP($H7,Lists!$P$3:$Q$7,2),IF($N7=Lists!$K$3,IF($L7&lt;1,(($U7/$L7)*((1+Inputs!$D$7)^AB$2)),((INT(AB$2/$L7)-INT((AB$2-1)/$L7))*$U7*((1+Inputs!$D$7)^AB$2))),(_xlfn.WEIBULL.DIST(AB$2,$M7,$L7,FALSE)*$U7*((1+Inputs!$D$7)^AB$2))),IF($N7=Lists!$K$3,IF($L7&lt;1,((($T7*(1-$F7)+$S7*(1-$G7))/$L7)*((1+Inputs!$D$7)^AB$2)),((INT(AB$2/$L7)-INT((AB$2-1)/$L7))*($T7*(1-$F7)+$S7*(1-$G7))*((1+Inputs!$D$7)^AB$2))),((_xlfn.WEIBULL.DIST(AB$2,$M7,$L7,FALSE)*($T7*(1-$F7)+$S7*(1-$G7))*((1+Inputs!$D$7)^AB$2))))))</f>
        <v>74.764369471153842</v>
      </c>
      <c r="AC7" s="88">
        <f>$E7*IF(AC$2&gt;Inputs!$D$5,0,IF(AC$2&gt;VLOOKUP($H7,Lists!$P$3:$Q$7,2),IF($N7=Lists!$K$3,IF($L7&lt;1,(($U7/$L7)*((1+Inputs!$D$7)^AC$2)),((INT(AC$2/$L7)-INT((AC$2-1)/$L7))*$U7*((1+Inputs!$D$7)^AC$2))),(_xlfn.WEIBULL.DIST(AC$2,$M7,$L7,FALSE)*$U7*((1+Inputs!$D$7)^AC$2))),IF($N7=Lists!$K$3,IF($L7&lt;1,((($T7*(1-$F7)+$S7*(1-$G7))/$L7)*((1+Inputs!$D$7)^AC$2)),((INT(AC$2/$L7)-INT((AC$2-1)/$L7))*($T7*(1-$F7)+$S7*(1-$G7))*((1+Inputs!$D$7)^AC$2))),((_xlfn.WEIBULL.DIST(AC$2,$M7,$L7,FALSE)*($T7*(1-$F7)+$S7*(1-$G7))*((1+Inputs!$D$7)^AC$2))))))</f>
        <v>76.259656860576925</v>
      </c>
      <c r="AD7" s="88">
        <f>$E7*IF(AD$2&gt;Inputs!$D$5,0,IF(AD$2&gt;VLOOKUP($H7,Lists!$P$3:$Q$7,2),IF($N7=Lists!$K$3,IF($L7&lt;1,(($U7/$L7)*((1+Inputs!$D$7)^AD$2)),((INT(AD$2/$L7)-INT((AD$2-1)/$L7))*$U7*((1+Inputs!$D$7)^AD$2))),(_xlfn.WEIBULL.DIST(AD$2,$M7,$L7,FALSE)*$U7*((1+Inputs!$D$7)^AD$2))),IF($N7=Lists!$K$3,IF($L7&lt;1,((($T7*(1-$F7)+$S7*(1-$G7))/$L7)*((1+Inputs!$D$7)^AD$2)),((INT(AD$2/$L7)-INT((AD$2-1)/$L7))*($T7*(1-$F7)+$S7*(1-$G7))*((1+Inputs!$D$7)^AD$2))),((_xlfn.WEIBULL.DIST(AD$2,$M7,$L7,FALSE)*($T7*(1-$F7)+$S7*(1-$G7))*((1+Inputs!$D$7)^AD$2))))))</f>
        <v>77.784849997788456</v>
      </c>
      <c r="AE7" s="88">
        <f>$E7*IF(AE$2&gt;Inputs!$D$5,0,IF(AE$2&gt;VLOOKUP($H7,Lists!$P$3:$Q$7,2),IF($N7=Lists!$K$3,IF($L7&lt;1,(($U7/$L7)*((1+Inputs!$D$7)^AE$2)),((INT(AE$2/$L7)-INT((AE$2-1)/$L7))*$U7*((1+Inputs!$D$7)^AE$2))),(_xlfn.WEIBULL.DIST(AE$2,$M7,$L7,FALSE)*$U7*((1+Inputs!$D$7)^AE$2))),IF($N7=Lists!$K$3,IF($L7&lt;1,((($T7*(1-$F7)+$S7*(1-$G7))/$L7)*((1+Inputs!$D$7)^AE$2)),((INT(AE$2/$L7)-INT((AE$2-1)/$L7))*($T7*(1-$F7)+$S7*(1-$G7))*((1+Inputs!$D$7)^AE$2))),((_xlfn.WEIBULL.DIST(AE$2,$M7,$L7,FALSE)*($T7*(1-$F7)+$S7*(1-$G7))*((1+Inputs!$D$7)^AE$2))))))</f>
        <v>79.340546997744241</v>
      </c>
      <c r="AF7" s="88">
        <f>$E7*IF(AF$2&gt;Inputs!$D$5,0,IF(AF$2&gt;VLOOKUP($H7,Lists!$P$3:$Q$7,2),IF($N7=Lists!$K$3,IF($L7&lt;1,(($U7/$L7)*((1+Inputs!$D$7)^AF$2)),((INT(AF$2/$L7)-INT((AF$2-1)/$L7))*$U7*((1+Inputs!$D$7)^AF$2))),(_xlfn.WEIBULL.DIST(AF$2,$M7,$L7,FALSE)*$U7*((1+Inputs!$D$7)^AF$2))),IF($N7=Lists!$K$3,IF($L7&lt;1,((($T7*(1-$F7)+$S7*(1-$G7))/$L7)*((1+Inputs!$D$7)^AF$2)),((INT(AF$2/$L7)-INT((AF$2-1)/$L7))*($T7*(1-$F7)+$S7*(1-$G7))*((1+Inputs!$D$7)^AF$2))),((_xlfn.WEIBULL.DIST(AF$2,$M7,$L7,FALSE)*($T7*(1-$F7)+$S7*(1-$G7))*((1+Inputs!$D$7)^AF$2))))))</f>
        <v>80.927357937699128</v>
      </c>
      <c r="AG7" s="88">
        <f>$E7*IF(AG$2&gt;Inputs!$D$5,0,IF(AG$2&gt;VLOOKUP($H7,Lists!$P$3:$Q$7,2),IF($N7=Lists!$K$3,IF($L7&lt;1,(($U7/$L7)*((1+Inputs!$D$7)^AG$2)),((INT(AG$2/$L7)-INT((AG$2-1)/$L7))*$U7*((1+Inputs!$D$7)^AG$2))),(_xlfn.WEIBULL.DIST(AG$2,$M7,$L7,FALSE)*$U7*((1+Inputs!$D$7)^AG$2))),IF($N7=Lists!$K$3,IF($L7&lt;1,((($T7*(1-$F7)+$S7*(1-$G7))/$L7)*((1+Inputs!$D$7)^AG$2)),((INT(AG$2/$L7)-INT((AG$2-1)/$L7))*($T7*(1-$F7)+$S7*(1-$G7))*((1+Inputs!$D$7)^AG$2))),((_xlfn.WEIBULL.DIST(AG$2,$M7,$L7,FALSE)*($T7*(1-$F7)+$S7*(1-$G7))*((1+Inputs!$D$7)^AG$2))))))</f>
        <v>82.545905096453083</v>
      </c>
      <c r="AH7" s="88">
        <f>$E7*IF(AH$2&gt;Inputs!$D$5,0,IF(AH$2&gt;VLOOKUP($H7,Lists!$P$3:$Q$7,2),IF($N7=Lists!$K$3,IF($L7&lt;1,(($U7/$L7)*((1+Inputs!$D$7)^AH$2)),((INT(AH$2/$L7)-INT((AH$2-1)/$L7))*$U7*((1+Inputs!$D$7)^AH$2))),(_xlfn.WEIBULL.DIST(AH$2,$M7,$L7,FALSE)*$U7*((1+Inputs!$D$7)^AH$2))),IF($N7=Lists!$K$3,IF($L7&lt;1,((($T7*(1-$F7)+$S7*(1-$G7))/$L7)*((1+Inputs!$D$7)^AH$2)),((INT(AH$2/$L7)-INT((AH$2-1)/$L7))*($T7*(1-$F7)+$S7*(1-$G7))*((1+Inputs!$D$7)^AH$2))),((_xlfn.WEIBULL.DIST(AH$2,$M7,$L7,FALSE)*($T7*(1-$F7)+$S7*(1-$G7))*((1+Inputs!$D$7)^AH$2))))))</f>
        <v>84.196823198382162</v>
      </c>
      <c r="AI7" s="88">
        <f>$E7*IF(AI$2&gt;Inputs!$D$5,0,IF(AI$2&gt;VLOOKUP($H7,Lists!$P$3:$Q$7,2),IF($N7=Lists!$K$3,IF($L7&lt;1,(($U7/$L7)*((1+Inputs!$D$7)^AI$2)),((INT(AI$2/$L7)-INT((AI$2-1)/$L7))*$U7*((1+Inputs!$D$7)^AI$2))),(_xlfn.WEIBULL.DIST(AI$2,$M7,$L7,FALSE)*$U7*((1+Inputs!$D$7)^AI$2))),IF($N7=Lists!$K$3,IF($L7&lt;1,((($T7*(1-$F7)+$S7*(1-$G7))/$L7)*((1+Inputs!$D$7)^AI$2)),((INT(AI$2/$L7)-INT((AI$2-1)/$L7))*($T7*(1-$F7)+$S7*(1-$G7))*((1+Inputs!$D$7)^AI$2))),((_xlfn.WEIBULL.DIST(AI$2,$M7,$L7,FALSE)*($T7*(1-$F7)+$S7*(1-$G7))*((1+Inputs!$D$7)^AI$2))))))</f>
        <v>85.880759662349803</v>
      </c>
      <c r="AJ7" s="88">
        <f>$E7*IF(AJ$2&gt;Inputs!$D$5,0,IF(AJ$2&gt;VLOOKUP($H7,Lists!$P$3:$Q$7,2),IF($N7=Lists!$K$3,IF($L7&lt;1,(($U7/$L7)*((1+Inputs!$D$7)^AJ$2)),((INT(AJ$2/$L7)-INT((AJ$2-1)/$L7))*$U7*((1+Inputs!$D$7)^AJ$2))),(_xlfn.WEIBULL.DIST(AJ$2,$M7,$L7,FALSE)*$U7*((1+Inputs!$D$7)^AJ$2))),IF($N7=Lists!$K$3,IF($L7&lt;1,((($T7*(1-$F7)+$S7*(1-$G7))/$L7)*((1+Inputs!$D$7)^AJ$2)),((INT(AJ$2/$L7)-INT((AJ$2-1)/$L7))*($T7*(1-$F7)+$S7*(1-$G7))*((1+Inputs!$D$7)^AJ$2))),((_xlfn.WEIBULL.DIST(AJ$2,$M7,$L7,FALSE)*($T7*(1-$F7)+$S7*(1-$G7))*((1+Inputs!$D$7)^AJ$2))))))</f>
        <v>87.598374855596802</v>
      </c>
      <c r="AK7" s="88">
        <f>$E7*IF(AK$2&gt;Inputs!$D$5,0,IF(AK$2&gt;VLOOKUP($H7,Lists!$P$3:$Q$7,2),IF($N7=Lists!$K$3,IF($L7&lt;1,(($U7/$L7)*((1+Inputs!$D$7)^AK$2)),((INT(AK$2/$L7)-INT((AK$2-1)/$L7))*$U7*((1+Inputs!$D$7)^AK$2))),(_xlfn.WEIBULL.DIST(AK$2,$M7,$L7,FALSE)*$U7*((1+Inputs!$D$7)^AK$2))),IF($N7=Lists!$K$3,IF($L7&lt;1,((($T7*(1-$F7)+$S7*(1-$G7))/$L7)*((1+Inputs!$D$7)^AK$2)),((INT(AK$2/$L7)-INT((AK$2-1)/$L7))*($T7*(1-$F7)+$S7*(1-$G7))*((1+Inputs!$D$7)^AK$2))),((_xlfn.WEIBULL.DIST(AK$2,$M7,$L7,FALSE)*($T7*(1-$F7)+$S7*(1-$G7))*((1+Inputs!$D$7)^AK$2))))))</f>
        <v>89.350342352708722</v>
      </c>
      <c r="AL7" s="88">
        <f>$E7*IF(AL$2&gt;Inputs!$D$5,0,IF(AL$2&gt;VLOOKUP($H7,Lists!$P$3:$Q$7,2),IF($N7=Lists!$K$3,IF($L7&lt;1,(($U7/$L7)*((1+Inputs!$D$7)^AL$2)),((INT(AL$2/$L7)-INT((AL$2-1)/$L7))*$U7*((1+Inputs!$D$7)^AL$2))),(_xlfn.WEIBULL.DIST(AL$2,$M7,$L7,FALSE)*$U7*((1+Inputs!$D$7)^AL$2))),IF($N7=Lists!$K$3,IF($L7&lt;1,((($T7*(1-$F7)+$S7*(1-$G7))/$L7)*((1+Inputs!$D$7)^AL$2)),((INT(AL$2/$L7)-INT((AL$2-1)/$L7))*($T7*(1-$F7)+$S7*(1-$G7))*((1+Inputs!$D$7)^AL$2))),((_xlfn.WEIBULL.DIST(AL$2,$M7,$L7,FALSE)*($T7*(1-$F7)+$S7*(1-$G7))*((1+Inputs!$D$7)^AL$2))))))</f>
        <v>91.137349199762909</v>
      </c>
      <c r="AM7" s="88">
        <f>$E7*IF(AM$2&gt;Inputs!$D$5,0,IF(AM$2&gt;VLOOKUP($H7,Lists!$P$3:$Q$7,2),IF($N7=Lists!$K$3,IF($L7&lt;1,(($U7/$L7)*((1+Inputs!$D$7)^AM$2)),((INT(AM$2/$L7)-INT((AM$2-1)/$L7))*$U7*((1+Inputs!$D$7)^AM$2))),(_xlfn.WEIBULL.DIST(AM$2,$M7,$L7,FALSE)*$U7*((1+Inputs!$D$7)^AM$2))),IF($N7=Lists!$K$3,IF($L7&lt;1,((($T7*(1-$F7)+$S7*(1-$G7))/$L7)*((1+Inputs!$D$7)^AM$2)),((INT(AM$2/$L7)-INT((AM$2-1)/$L7))*($T7*(1-$F7)+$S7*(1-$G7))*((1+Inputs!$D$7)^AM$2))),((_xlfn.WEIBULL.DIST(AM$2,$M7,$L7,FALSE)*($T7*(1-$F7)+$S7*(1-$G7))*((1+Inputs!$D$7)^AM$2))))))</f>
        <v>92.960096183758168</v>
      </c>
      <c r="AN7" s="88">
        <f>$E7*IF(AN$2&gt;Inputs!$D$5,0,IF(AN$2&gt;VLOOKUP($H7,Lists!$P$3:$Q$7,2),IF($N7=Lists!$K$3,IF($L7&lt;1,(($U7/$L7)*((1+Inputs!$D$7)^AN$2)),((INT(AN$2/$L7)-INT((AN$2-1)/$L7))*$U7*((1+Inputs!$D$7)^AN$2))),(_xlfn.WEIBULL.DIST(AN$2,$M7,$L7,FALSE)*$U7*((1+Inputs!$D$7)^AN$2))),IF($N7=Lists!$K$3,IF($L7&lt;1,((($T7*(1-$F7)+$S7*(1-$G7))/$L7)*((1+Inputs!$D$7)^AN$2)),((INT(AN$2/$L7)-INT((AN$2-1)/$L7))*($T7*(1-$F7)+$S7*(1-$G7))*((1+Inputs!$D$7)^AN$2))),((_xlfn.WEIBULL.DIST(AN$2,$M7,$L7,FALSE)*($T7*(1-$F7)+$S7*(1-$G7))*((1+Inputs!$D$7)^AN$2))))))</f>
        <v>94.81929810743334</v>
      </c>
      <c r="AO7" s="88">
        <f>$E7*IF(AO$2&gt;Inputs!$D$5,0,IF(AO$2&gt;VLOOKUP($H7,Lists!$P$3:$Q$7,2),IF($N7=Lists!$K$3,IF($L7&lt;1,(($U7/$L7)*((1+Inputs!$D$7)^AO$2)),((INT(AO$2/$L7)-INT((AO$2-1)/$L7))*$U7*((1+Inputs!$D$7)^AO$2))),(_xlfn.WEIBULL.DIST(AO$2,$M7,$L7,FALSE)*$U7*((1+Inputs!$D$7)^AO$2))),IF($N7=Lists!$K$3,IF($L7&lt;1,((($T7*(1-$F7)+$S7*(1-$G7))/$L7)*((1+Inputs!$D$7)^AO$2)),((INT(AO$2/$L7)-INT((AO$2-1)/$L7))*($T7*(1-$F7)+$S7*(1-$G7))*((1+Inputs!$D$7)^AO$2))),((_xlfn.WEIBULL.DIST(AO$2,$M7,$L7,FALSE)*($T7*(1-$F7)+$S7*(1-$G7))*((1+Inputs!$D$7)^AO$2))))))</f>
        <v>96.715684069581968</v>
      </c>
      <c r="AP7" s="88">
        <f>$E7*IF(AP$2&gt;Inputs!$D$5,0,IF(AP$2&gt;VLOOKUP($H7,Lists!$P$3:$Q$7,2),IF($N7=Lists!$K$3,IF($L7&lt;1,(($U7/$L7)*((1+Inputs!$D$7)^AP$2)),((INT(AP$2/$L7)-INT((AP$2-1)/$L7))*$U7*((1+Inputs!$D$7)^AP$2))),(_xlfn.WEIBULL.DIST(AP$2,$M7,$L7,FALSE)*$U7*((1+Inputs!$D$7)^AP$2))),IF($N7=Lists!$K$3,IF($L7&lt;1,((($T7*(1-$F7)+$S7*(1-$G7))/$L7)*((1+Inputs!$D$7)^AP$2)),((INT(AP$2/$L7)-INT((AP$2-1)/$L7))*($T7*(1-$F7)+$S7*(1-$G7))*((1+Inputs!$D$7)^AP$2))),((_xlfn.WEIBULL.DIST(AP$2,$M7,$L7,FALSE)*($T7*(1-$F7)+$S7*(1-$G7))*((1+Inputs!$D$7)^AP$2))))))</f>
        <v>98.649997750973625</v>
      </c>
      <c r="AQ7" s="88">
        <f>$E7*IF(AQ$2&gt;Inputs!$D$5,0,IF(AQ$2&gt;VLOOKUP($H7,Lists!$P$3:$Q$7,2),IF($N7=Lists!$K$3,IF($L7&lt;1,(($U7/$L7)*((1+Inputs!$D$7)^AQ$2)),((INT(AQ$2/$L7)-INT((AQ$2-1)/$L7))*$U7*((1+Inputs!$D$7)^AQ$2))),(_xlfn.WEIBULL.DIST(AQ$2,$M7,$L7,FALSE)*$U7*((1+Inputs!$D$7)^AQ$2))),IF($N7=Lists!$K$3,IF($L7&lt;1,((($T7*(1-$F7)+$S7*(1-$G7))/$L7)*((1+Inputs!$D$7)^AQ$2)),((INT(AQ$2/$L7)-INT((AQ$2-1)/$L7))*($T7*(1-$F7)+$S7*(1-$G7))*((1+Inputs!$D$7)^AQ$2))),((_xlfn.WEIBULL.DIST(AQ$2,$M7,$L7,FALSE)*($T7*(1-$F7)+$S7*(1-$G7))*((1+Inputs!$D$7)^AQ$2))))))</f>
        <v>100.62299770599311</v>
      </c>
      <c r="AR7" s="88">
        <f>$E7*IF(AR$2&gt;Inputs!$D$5,0,IF(AR$2&gt;VLOOKUP($H7,Lists!$P$3:$Q$7,2),IF($N7=Lists!$K$3,IF($L7&lt;1,(($U7/$L7)*((1+Inputs!$D$7)^AR$2)),((INT(AR$2/$L7)-INT((AR$2-1)/$L7))*$U7*((1+Inputs!$D$7)^AR$2))),(_xlfn.WEIBULL.DIST(AR$2,$M7,$L7,FALSE)*$U7*((1+Inputs!$D$7)^AR$2))),IF($N7=Lists!$K$3,IF($L7&lt;1,((($T7*(1-$F7)+$S7*(1-$G7))/$L7)*((1+Inputs!$D$7)^AR$2)),((INT(AR$2/$L7)-INT((AR$2-1)/$L7))*($T7*(1-$F7)+$S7*(1-$G7))*((1+Inputs!$D$7)^AR$2))),((_xlfn.WEIBULL.DIST(AR$2,$M7,$L7,FALSE)*($T7*(1-$F7)+$S7*(1-$G7))*((1+Inputs!$D$7)^AR$2))))))</f>
        <v>102.63545766011296</v>
      </c>
      <c r="AS7" s="88">
        <f>$E7*IF(AS$2&gt;Inputs!$D$5,0,IF(AS$2&gt;VLOOKUP($H7,Lists!$P$3:$Q$7,2),IF($N7=Lists!$K$3,IF($L7&lt;1,(($U7/$L7)*((1+Inputs!$D$7)^AS$2)),((INT(AS$2/$L7)-INT((AS$2-1)/$L7))*$U7*((1+Inputs!$D$7)^AS$2))),(_xlfn.WEIBULL.DIST(AS$2,$M7,$L7,FALSE)*$U7*((1+Inputs!$D$7)^AS$2))),IF($N7=Lists!$K$3,IF($L7&lt;1,((($T7*(1-$F7)+$S7*(1-$G7))/$L7)*((1+Inputs!$D$7)^AS$2)),((INT(AS$2/$L7)-INT((AS$2-1)/$L7))*($T7*(1-$F7)+$S7*(1-$G7))*((1+Inputs!$D$7)^AS$2))),((_xlfn.WEIBULL.DIST(AS$2,$M7,$L7,FALSE)*($T7*(1-$F7)+$S7*(1-$G7))*((1+Inputs!$D$7)^AS$2))))))</f>
        <v>104.68816681331522</v>
      </c>
      <c r="AT7" s="88">
        <f>$E7*IF(AT$2&gt;Inputs!$D$5,0,IF(AT$2&gt;VLOOKUP($H7,Lists!$P$3:$Q$7,2),IF($N7=Lists!$K$3,IF($L7&lt;1,(($U7/$L7)*((1+Inputs!$D$7)^AT$2)),((INT(AT$2/$L7)-INT((AT$2-1)/$L7))*$U7*((1+Inputs!$D$7)^AT$2))),(_xlfn.WEIBULL.DIST(AT$2,$M7,$L7,FALSE)*$U7*((1+Inputs!$D$7)^AT$2))),IF($N7=Lists!$K$3,IF($L7&lt;1,((($T7*(1-$F7)+$S7*(1-$G7))/$L7)*((1+Inputs!$D$7)^AT$2)),((INT(AT$2/$L7)-INT((AT$2-1)/$L7))*($T7*(1-$F7)+$S7*(1-$G7))*((1+Inputs!$D$7)^AT$2))),((_xlfn.WEIBULL.DIST(AT$2,$M7,$L7,FALSE)*($T7*(1-$F7)+$S7*(1-$G7))*((1+Inputs!$D$7)^AT$2))))))</f>
        <v>106.78193014958153</v>
      </c>
      <c r="AU7" s="88">
        <f>$E7*IF(AU$2&gt;Inputs!$D$5,0,IF(AU$2&gt;VLOOKUP($H7,Lists!$P$3:$Q$7,2),IF($N7=Lists!$K$3,IF($L7&lt;1,(($U7/$L7)*((1+Inputs!$D$7)^AU$2)),((INT(AU$2/$L7)-INT((AU$2-1)/$L7))*$U7*((1+Inputs!$D$7)^AU$2))),(_xlfn.WEIBULL.DIST(AU$2,$M7,$L7,FALSE)*$U7*((1+Inputs!$D$7)^AU$2))),IF($N7=Lists!$K$3,IF($L7&lt;1,((($T7*(1-$F7)+$S7*(1-$G7))/$L7)*((1+Inputs!$D$7)^AU$2)),((INT(AU$2/$L7)-INT((AU$2-1)/$L7))*($T7*(1-$F7)+$S7*(1-$G7))*((1+Inputs!$D$7)^AU$2))),((_xlfn.WEIBULL.DIST(AU$2,$M7,$L7,FALSE)*($T7*(1-$F7)+$S7*(1-$G7))*((1+Inputs!$D$7)^AU$2))))))</f>
        <v>108.91756875257316</v>
      </c>
      <c r="AV7" s="88">
        <f>$E7*IF(AV$2&gt;Inputs!$D$5,0,IF(AV$2&gt;VLOOKUP($H7,Lists!$P$3:$Q$7,2),IF($N7=Lists!$K$3,IF($L7&lt;1,(($U7/$L7)*((1+Inputs!$D$7)^AV$2)),((INT(AV$2/$L7)-INT((AV$2-1)/$L7))*$U7*((1+Inputs!$D$7)^AV$2))),(_xlfn.WEIBULL.DIST(AV$2,$M7,$L7,FALSE)*$U7*((1+Inputs!$D$7)^AV$2))),IF($N7=Lists!$K$3,IF($L7&lt;1,((($T7*(1-$F7)+$S7*(1-$G7))/$L7)*((1+Inputs!$D$7)^AV$2)),((INT(AV$2/$L7)-INT((AV$2-1)/$L7))*($T7*(1-$F7)+$S7*(1-$G7))*((1+Inputs!$D$7)^AV$2))),((_xlfn.WEIBULL.DIST(AV$2,$M7,$L7,FALSE)*($T7*(1-$F7)+$S7*(1-$G7))*((1+Inputs!$D$7)^AV$2))))))</f>
        <v>111.09592012762462</v>
      </c>
      <c r="AW7" s="88">
        <f>$E7*IF(AW$2&gt;Inputs!$D$5,0,IF(AW$2&gt;VLOOKUP($H7,Lists!$P$3:$Q$7,2),IF($N7=Lists!$K$3,IF($L7&lt;1,(($U7/$L7)*((1+Inputs!$D$7)^AW$2)),((INT(AW$2/$L7)-INT((AW$2-1)/$L7))*$U7*((1+Inputs!$D$7)^AW$2))),(_xlfn.WEIBULL.DIST(AW$2,$M7,$L7,FALSE)*$U7*((1+Inputs!$D$7)^AW$2))),IF($N7=Lists!$K$3,IF($L7&lt;1,((($T7*(1-$F7)+$S7*(1-$G7))/$L7)*((1+Inputs!$D$7)^AW$2)),((INT(AW$2/$L7)-INT((AW$2-1)/$L7))*($T7*(1-$F7)+$S7*(1-$G7))*((1+Inputs!$D$7)^AW$2))),((_xlfn.WEIBULL.DIST(AW$2,$M7,$L7,FALSE)*($T7*(1-$F7)+$S7*(1-$G7))*((1+Inputs!$D$7)^AW$2))))))</f>
        <v>113.3178385301771</v>
      </c>
      <c r="AX7" s="88">
        <f>$E7*IF(AX$2&gt;Inputs!$D$5,0,IF(AX$2&gt;VLOOKUP($H7,Lists!$P$3:$Q$7,2),IF($N7=Lists!$K$3,IF($L7&lt;1,(($U7/$L7)*((1+Inputs!$D$7)^AX$2)),((INT(AX$2/$L7)-INT((AX$2-1)/$L7))*$U7*((1+Inputs!$D$7)^AX$2))),(_xlfn.WEIBULL.DIST(AX$2,$M7,$L7,FALSE)*$U7*((1+Inputs!$D$7)^AX$2))),IF($N7=Lists!$K$3,IF($L7&lt;1,((($T7*(1-$F7)+$S7*(1-$G7))/$L7)*((1+Inputs!$D$7)^AX$2)),((INT(AX$2/$L7)-INT((AX$2-1)/$L7))*($T7*(1-$F7)+$S7*(1-$G7))*((1+Inputs!$D$7)^AX$2))),((_xlfn.WEIBULL.DIST(AX$2,$M7,$L7,FALSE)*($T7*(1-$F7)+$S7*(1-$G7))*((1+Inputs!$D$7)^AX$2))))))</f>
        <v>115.58419530078065</v>
      </c>
      <c r="AY7" s="88">
        <f>$E7*IF(AY$2&gt;Inputs!$D$5,0,IF(AY$2&gt;VLOOKUP($H7,Lists!$P$3:$Q$7,2),IF($N7=Lists!$K$3,IF($L7&lt;1,(($U7/$L7)*((1+Inputs!$D$7)^AY$2)),((INT(AY$2/$L7)-INT((AY$2-1)/$L7))*$U7*((1+Inputs!$D$7)^AY$2))),(_xlfn.WEIBULL.DIST(AY$2,$M7,$L7,FALSE)*$U7*((1+Inputs!$D$7)^AY$2))),IF($N7=Lists!$K$3,IF($L7&lt;1,((($T7*(1-$F7)+$S7*(1-$G7))/$L7)*((1+Inputs!$D$7)^AY$2)),((INT(AY$2/$L7)-INT((AY$2-1)/$L7))*($T7*(1-$F7)+$S7*(1-$G7))*((1+Inputs!$D$7)^AY$2))),((_xlfn.WEIBULL.DIST(AY$2,$M7,$L7,FALSE)*($T7*(1-$F7)+$S7*(1-$G7))*((1+Inputs!$D$7)^AY$2))))))</f>
        <v>117.89587920679625</v>
      </c>
      <c r="AZ7" s="88">
        <f>$E7*IF(AZ$2&gt;Inputs!$D$5,0,IF(AZ$2&gt;VLOOKUP($H7,Lists!$P$3:$Q$7,2),IF($N7=Lists!$K$3,IF($L7&lt;1,(($U7/$L7)*((1+Inputs!$D$7)^AZ$2)),((INT(AZ$2/$L7)-INT((AZ$2-1)/$L7))*$U7*((1+Inputs!$D$7)^AZ$2))),(_xlfn.WEIBULL.DIST(AZ$2,$M7,$L7,FALSE)*$U7*((1+Inputs!$D$7)^AZ$2))),IF($N7=Lists!$K$3,IF($L7&lt;1,((($T7*(1-$F7)+$S7*(1-$G7))/$L7)*((1+Inputs!$D$7)^AZ$2)),((INT(AZ$2/$L7)-INT((AZ$2-1)/$L7))*($T7*(1-$F7)+$S7*(1-$G7))*((1+Inputs!$D$7)^AZ$2))),((_xlfn.WEIBULL.DIST(AZ$2,$M7,$L7,FALSE)*($T7*(1-$F7)+$S7*(1-$G7))*((1+Inputs!$D$7)^AZ$2))))))</f>
        <v>0</v>
      </c>
      <c r="BA7" s="88">
        <f>$E7*IF(BA$2&gt;Inputs!$D$5,0,IF(BA$2&gt;VLOOKUP($H7,Lists!$P$3:$Q$7,2),IF($N7=Lists!$K$3,IF($L7&lt;1,(($U7/$L7)*((1+Inputs!$D$7)^BA$2)),((INT(BA$2/$L7)-INT((BA$2-1)/$L7))*$U7*((1+Inputs!$D$7)^BA$2))),(_xlfn.WEIBULL.DIST(BA$2,$M7,$L7,FALSE)*$U7*((1+Inputs!$D$7)^BA$2))),IF($N7=Lists!$K$3,IF($L7&lt;1,((($T7*(1-$F7)+$S7*(1-$G7))/$L7)*((1+Inputs!$D$7)^BA$2)),((INT(BA$2/$L7)-INT((BA$2-1)/$L7))*($T7*(1-$F7)+$S7*(1-$G7))*((1+Inputs!$D$7)^BA$2))),((_xlfn.WEIBULL.DIST(BA$2,$M7,$L7,FALSE)*($T7*(1-$F7)+$S7*(1-$G7))*((1+Inputs!$D$7)^BA$2))))))</f>
        <v>0</v>
      </c>
      <c r="BB7" s="88">
        <f>$E7*IF(BB$2&gt;Inputs!$D$5,0,IF(BB$2&gt;VLOOKUP($H7,Lists!$P$3:$Q$7,2),IF($N7=Lists!$K$3,IF($L7&lt;1,(($U7/$L7)*((1+Inputs!$D$7)^BB$2)),((INT(BB$2/$L7)-INT((BB$2-1)/$L7))*$U7*((1+Inputs!$D$7)^BB$2))),(_xlfn.WEIBULL.DIST(BB$2,$M7,$L7,FALSE)*$U7*((1+Inputs!$D$7)^BB$2))),IF($N7=Lists!$K$3,IF($L7&lt;1,((($T7*(1-$F7)+$S7*(1-$G7))/$L7)*((1+Inputs!$D$7)^BB$2)),((INT(BB$2/$L7)-INT((BB$2-1)/$L7))*($T7*(1-$F7)+$S7*(1-$G7))*((1+Inputs!$D$7)^BB$2))),((_xlfn.WEIBULL.DIST(BB$2,$M7,$L7,FALSE)*($T7*(1-$F7)+$S7*(1-$G7))*((1+Inputs!$D$7)^BB$2))))))</f>
        <v>0</v>
      </c>
      <c r="BC7" s="88">
        <f>$E7*IF(BC$2&gt;Inputs!$D$5,0,IF(BC$2&gt;VLOOKUP($H7,Lists!$P$3:$Q$7,2),IF($N7=Lists!$K$3,IF($L7&lt;1,(($U7/$L7)*((1+Inputs!$D$7)^BC$2)),((INT(BC$2/$L7)-INT((BC$2-1)/$L7))*$U7*((1+Inputs!$D$7)^BC$2))),(_xlfn.WEIBULL.DIST(BC$2,$M7,$L7,FALSE)*$U7*((1+Inputs!$D$7)^BC$2))),IF($N7=Lists!$K$3,IF($L7&lt;1,((($T7*(1-$F7)+$S7*(1-$G7))/$L7)*((1+Inputs!$D$7)^BC$2)),((INT(BC$2/$L7)-INT((BC$2-1)/$L7))*($T7*(1-$F7)+$S7*(1-$G7))*((1+Inputs!$D$7)^BC$2))),((_xlfn.WEIBULL.DIST(BC$2,$M7,$L7,FALSE)*($T7*(1-$F7)+$S7*(1-$G7))*((1+Inputs!$D$7)^BC$2))))))</f>
        <v>0</v>
      </c>
      <c r="BD7" s="88">
        <f>$E7*IF(BD$2&gt;Inputs!$D$5,0,IF(BD$2&gt;VLOOKUP($H7,Lists!$P$3:$Q$7,2),IF($N7=Lists!$K$3,IF($L7&lt;1,(($U7/$L7)*((1+Inputs!$D$7)^BD$2)),((INT(BD$2/$L7)-INT((BD$2-1)/$L7))*$U7*((1+Inputs!$D$7)^BD$2))),(_xlfn.WEIBULL.DIST(BD$2,$M7,$L7,FALSE)*$U7*((1+Inputs!$D$7)^BD$2))),IF($N7=Lists!$K$3,IF($L7&lt;1,((($T7*(1-$F7)+$S7*(1-$G7))/$L7)*((1+Inputs!$D$7)^BD$2)),((INT(BD$2/$L7)-INT((BD$2-1)/$L7))*($T7*(1-$F7)+$S7*(1-$G7))*((1+Inputs!$D$7)^BD$2))),((_xlfn.WEIBULL.DIST(BD$2,$M7,$L7,FALSE)*($T7*(1-$F7)+$S7*(1-$G7))*((1+Inputs!$D$7)^BD$2))))))</f>
        <v>0</v>
      </c>
      <c r="BE7" s="88">
        <f>$E7*IF(BE$2&gt;Inputs!$D$5,0,IF(BE$2&gt;VLOOKUP($H7,Lists!$P$3:$Q$7,2),IF($N7=Lists!$K$3,IF($L7&lt;1,(($U7/$L7)*((1+Inputs!$D$7)^BE$2)),((INT(BE$2/$L7)-INT((BE$2-1)/$L7))*$U7*((1+Inputs!$D$7)^BE$2))),(_xlfn.WEIBULL.DIST(BE$2,$M7,$L7,FALSE)*$U7*((1+Inputs!$D$7)^BE$2))),IF($N7=Lists!$K$3,IF($L7&lt;1,((($T7*(1-$F7)+$S7*(1-$G7))/$L7)*((1+Inputs!$D$7)^BE$2)),((INT(BE$2/$L7)-INT((BE$2-1)/$L7))*($T7*(1-$F7)+$S7*(1-$G7))*((1+Inputs!$D$7)^BE$2))),((_xlfn.WEIBULL.DIST(BE$2,$M7,$L7,FALSE)*($T7*(1-$F7)+$S7*(1-$G7))*((1+Inputs!$D$7)^BE$2))))))</f>
        <v>0</v>
      </c>
      <c r="BF7" s="88">
        <f>$E7*IF(BF$2&gt;Inputs!$D$5,0,IF(BF$2&gt;VLOOKUP($H7,Lists!$P$3:$Q$7,2),IF($N7=Lists!$K$3,IF($L7&lt;1,(($U7/$L7)*((1+Inputs!$D$7)^BF$2)),((INT(BF$2/$L7)-INT((BF$2-1)/$L7))*$U7*((1+Inputs!$D$7)^BF$2))),(_xlfn.WEIBULL.DIST(BF$2,$M7,$L7,FALSE)*$U7*((1+Inputs!$D$7)^BF$2))),IF($N7=Lists!$K$3,IF($L7&lt;1,((($T7*(1-$F7)+$S7*(1-$G7))/$L7)*((1+Inputs!$D$7)^BF$2)),((INT(BF$2/$L7)-INT((BF$2-1)/$L7))*($T7*(1-$F7)+$S7*(1-$G7))*((1+Inputs!$D$7)^BF$2))),((_xlfn.WEIBULL.DIST(BF$2,$M7,$L7,FALSE)*($T7*(1-$F7)+$S7*(1-$G7))*((1+Inputs!$D$7)^BF$2))))))</f>
        <v>0</v>
      </c>
      <c r="BG7" s="88">
        <f>$E7*IF(BG$2&gt;Inputs!$D$5,0,IF(BG$2&gt;VLOOKUP($H7,Lists!$P$3:$Q$7,2),IF($N7=Lists!$K$3,IF($L7&lt;1,(($U7/$L7)*((1+Inputs!$D$7)^BG$2)),((INT(BG$2/$L7)-INT((BG$2-1)/$L7))*$U7*((1+Inputs!$D$7)^BG$2))),(_xlfn.WEIBULL.DIST(BG$2,$M7,$L7,FALSE)*$U7*((1+Inputs!$D$7)^BG$2))),IF($N7=Lists!$K$3,IF($L7&lt;1,((($T7*(1-$F7)+$S7*(1-$G7))/$L7)*((1+Inputs!$D$7)^BG$2)),((INT(BG$2/$L7)-INT((BG$2-1)/$L7))*($T7*(1-$F7)+$S7*(1-$G7))*((1+Inputs!$D$7)^BG$2))),((_xlfn.WEIBULL.DIST(BG$2,$M7,$L7,FALSE)*($T7*(1-$F7)+$S7*(1-$G7))*((1+Inputs!$D$7)^BG$2))))))</f>
        <v>0</v>
      </c>
      <c r="BH7" s="88">
        <f>$E7*IF(BH$2&gt;Inputs!$D$5,0,IF(BH$2&gt;VLOOKUP($H7,Lists!$P$3:$Q$7,2),IF($N7=Lists!$K$3,IF($L7&lt;1,(($U7/$L7)*((1+Inputs!$D$7)^BH$2)),((INT(BH$2/$L7)-INT((BH$2-1)/$L7))*$U7*((1+Inputs!$D$7)^BH$2))),(_xlfn.WEIBULL.DIST(BH$2,$M7,$L7,FALSE)*$U7*((1+Inputs!$D$7)^BH$2))),IF($N7=Lists!$K$3,IF($L7&lt;1,((($T7*(1-$F7)+$S7*(1-$G7))/$L7)*((1+Inputs!$D$7)^BH$2)),((INT(BH$2/$L7)-INT((BH$2-1)/$L7))*($T7*(1-$F7)+$S7*(1-$G7))*((1+Inputs!$D$7)^BH$2))),((_xlfn.WEIBULL.DIST(BH$2,$M7,$L7,FALSE)*($T7*(1-$F7)+$S7*(1-$G7))*((1+Inputs!$D$7)^BH$2))))))</f>
        <v>0</v>
      </c>
      <c r="BI7" s="88">
        <f>$E7*IF(BI$2&gt;Inputs!$D$5,0,IF(BI$2&gt;VLOOKUP($H7,Lists!$P$3:$Q$7,2),IF($N7=Lists!$K$3,IF($L7&lt;1,(($U7/$L7)*((1+Inputs!$D$7)^BI$2)),((INT(BI$2/$L7)-INT((BI$2-1)/$L7))*$U7*((1+Inputs!$D$7)^BI$2))),(_xlfn.WEIBULL.DIST(BI$2,$M7,$L7,FALSE)*$U7*((1+Inputs!$D$7)^BI$2))),IF($N7=Lists!$K$3,IF($L7&lt;1,((($T7*(1-$F7)+$S7*(1-$G7))/$L7)*((1+Inputs!$D$7)^BI$2)),((INT(BI$2/$L7)-INT((BI$2-1)/$L7))*($T7*(1-$F7)+$S7*(1-$G7))*((1+Inputs!$D$7)^BI$2))),((_xlfn.WEIBULL.DIST(BI$2,$M7,$L7,FALSE)*($T7*(1-$F7)+$S7*(1-$G7))*((1+Inputs!$D$7)^BI$2))))))</f>
        <v>0</v>
      </c>
      <c r="BJ7" s="88">
        <f>$E7*IF(BJ$2&gt;Inputs!$D$5,0,IF(BJ$2&gt;VLOOKUP($H7,Lists!$P$3:$Q$7,2),IF($N7=Lists!$K$3,IF($L7&lt;1,(($U7/$L7)*((1+Inputs!$D$7)^BJ$2)),((INT(BJ$2/$L7)-INT((BJ$2-1)/$L7))*$U7*((1+Inputs!$D$7)^BJ$2))),(_xlfn.WEIBULL.DIST(BJ$2,$M7,$L7,FALSE)*$U7*((1+Inputs!$D$7)^BJ$2))),IF($N7=Lists!$K$3,IF($L7&lt;1,((($T7*(1-$F7)+$S7*(1-$G7))/$L7)*((1+Inputs!$D$7)^BJ$2)),((INT(BJ$2/$L7)-INT((BJ$2-1)/$L7))*($T7*(1-$F7)+$S7*(1-$G7))*((1+Inputs!$D$7)^BJ$2))),((_xlfn.WEIBULL.DIST(BJ$2,$M7,$L7,FALSE)*($T7*(1-$F7)+$S7*(1-$G7))*((1+Inputs!$D$7)^BJ$2))))))</f>
        <v>0</v>
      </c>
      <c r="BK7" s="88">
        <f>$E7*IF(BK$2&gt;Inputs!$D$5,0,IF(BK$2&gt;VLOOKUP($H7,Lists!$P$3:$Q$7,2),IF($N7=Lists!$K$3,IF($L7&lt;1,(($U7/$L7)*((1+Inputs!$D$7)^BK$2)),((INT(BK$2/$L7)-INT((BK$2-1)/$L7))*$U7*((1+Inputs!$D$7)^BK$2))),(_xlfn.WEIBULL.DIST(BK$2,$M7,$L7,FALSE)*$U7*((1+Inputs!$D$7)^BK$2))),IF($N7=Lists!$K$3,IF($L7&lt;1,((($T7*(1-$F7)+$S7*(1-$G7))/$L7)*((1+Inputs!$D$7)^BK$2)),((INT(BK$2/$L7)-INT((BK$2-1)/$L7))*($T7*(1-$F7)+$S7*(1-$G7))*((1+Inputs!$D$7)^BK$2))),((_xlfn.WEIBULL.DIST(BK$2,$M7,$L7,FALSE)*($T7*(1-$F7)+$S7*(1-$G7))*((1+Inputs!$D$7)^BK$2))))))</f>
        <v>0</v>
      </c>
      <c r="BL7" s="88">
        <f>$E7*IF(BL$2&gt;Inputs!$D$5,0,IF(BL$2&gt;VLOOKUP($H7,Lists!$P$3:$Q$7,2),IF($N7=Lists!$K$3,IF($L7&lt;1,(($U7/$L7)*((1+Inputs!$D$7)^BL$2)),((INT(BL$2/$L7)-INT((BL$2-1)/$L7))*$U7*((1+Inputs!$D$7)^BL$2))),(_xlfn.WEIBULL.DIST(BL$2,$M7,$L7,FALSE)*$U7*((1+Inputs!$D$7)^BL$2))),IF($N7=Lists!$K$3,IF($L7&lt;1,((($T7*(1-$F7)+$S7*(1-$G7))/$L7)*((1+Inputs!$D$7)^BL$2)),((INT(BL$2/$L7)-INT((BL$2-1)/$L7))*($T7*(1-$F7)+$S7*(1-$G7))*((1+Inputs!$D$7)^BL$2))),((_xlfn.WEIBULL.DIST(BL$2,$M7,$L7,FALSE)*($T7*(1-$F7)+$S7*(1-$G7))*((1+Inputs!$D$7)^BL$2))))))</f>
        <v>0</v>
      </c>
      <c r="BM7" s="88">
        <f>$E7*IF(BM$2&gt;Inputs!$D$5,0,IF(BM$2&gt;VLOOKUP($H7,Lists!$P$3:$Q$7,2),IF($N7=Lists!$K$3,IF($L7&lt;1,(($U7/$L7)*((1+Inputs!$D$7)^BM$2)),((INT(BM$2/$L7)-INT((BM$2-1)/$L7))*$U7*((1+Inputs!$D$7)^BM$2))),(_xlfn.WEIBULL.DIST(BM$2,$M7,$L7,FALSE)*$U7*((1+Inputs!$D$7)^BM$2))),IF($N7=Lists!$K$3,IF($L7&lt;1,((($T7*(1-$F7)+$S7*(1-$G7))/$L7)*((1+Inputs!$D$7)^BM$2)),((INT(BM$2/$L7)-INT((BM$2-1)/$L7))*($T7*(1-$F7)+$S7*(1-$G7))*((1+Inputs!$D$7)^BM$2))),((_xlfn.WEIBULL.DIST(BM$2,$M7,$L7,FALSE)*($T7*(1-$F7)+$S7*(1-$G7))*((1+Inputs!$D$7)^BM$2))))))</f>
        <v>0</v>
      </c>
      <c r="BN7" s="88">
        <f>$E7*IF(BN$2&gt;Inputs!$D$5,0,IF(BN$2&gt;VLOOKUP($H7,Lists!$P$3:$Q$7,2),IF($N7=Lists!$K$3,IF($L7&lt;1,(($U7/$L7)*((1+Inputs!$D$7)^BN$2)),((INT(BN$2/$L7)-INT((BN$2-1)/$L7))*$U7*((1+Inputs!$D$7)^BN$2))),(_xlfn.WEIBULL.DIST(BN$2,$M7,$L7,FALSE)*$U7*((1+Inputs!$D$7)^BN$2))),IF($N7=Lists!$K$3,IF($L7&lt;1,((($T7*(1-$F7)+$S7*(1-$G7))/$L7)*((1+Inputs!$D$7)^BN$2)),((INT(BN$2/$L7)-INT((BN$2-1)/$L7))*($T7*(1-$F7)+$S7*(1-$G7))*((1+Inputs!$D$7)^BN$2))),((_xlfn.WEIBULL.DIST(BN$2,$M7,$L7,FALSE)*($T7*(1-$F7)+$S7*(1-$G7))*((1+Inputs!$D$7)^BN$2))))))</f>
        <v>0</v>
      </c>
      <c r="BO7" s="64">
        <f>NPV(Inputs!$D$6,BQ7:DD7)</f>
        <v>1022.8347657930373</v>
      </c>
      <c r="BP7" s="67">
        <f t="shared" si="6"/>
        <v>4.8241881106535109E-4</v>
      </c>
      <c r="BQ7" s="88">
        <f>MAX(AA7,($E7*IF(BQ$2&gt;Inputs!$D$5,0,IF(BQ$2&gt;VLOOKUP($H7,Lists!$P$3:$Q$7,2),IF($N7=Lists!$K$3,IF($L7&lt;1,(($U7/$L7)*((1+Inputs!$D$7)^BQ$2)),((INT(BQ$2/$L7)-INT((BQ$2-1)/$L7))*$U7*((1+Inputs!$D$7)^BQ$2))),(Inputs!$D$8^((1-_xlfn.WEIBULL.DIST(BQ$2,$M7,$L7,FALSE))/_xlfn.WEIBULL.DIST(BQ$2,$M7,$L7,FALSE))*$U7*((1+Inputs!$D$7)^BQ$2))),IF($N7=Lists!$K$3,IF($L7&lt;1,((($T7*(1-$F7)+$S7*(1-$G7))/$L7)*((1+Inputs!$D$7)^BQ$2)),((INT(BQ$2/$L7)-INT((BQ$2-1)/$L7))*($T7*(1-$F7)+$S7*(1-$G7))*((1+Inputs!$D$7)^BQ$2))),((Inputs!$D$8^((1-_xlfn.WEIBULL.DIST(BQ$2,$M7,$L7,FALSE))/_xlfn.WEIBULL.DIST(BQ$2,$M7,$L7,FALSE))*($T7*(1-$F7)+$S7*(1-$G7))*((1+Inputs!$D$7)^BQ$2))))))))</f>
        <v>73.298401442307693</v>
      </c>
      <c r="BR7" s="88">
        <f>MAX(AB7,($E7*IF(BR$2&gt;Inputs!$D$5,0,IF(BR$2&gt;VLOOKUP($H7,Lists!$P$3:$Q$7,2),IF($N7=Lists!$K$3,IF($L7&lt;1,(($U7/$L7)*((1+Inputs!$D$7)^BR$2)),((INT(BR$2/$L7)-INT((BR$2-1)/$L7))*$U7*((1+Inputs!$D$7)^BR$2))),(Inputs!$D$8^((1-_xlfn.WEIBULL.DIST(BR$2,$M7,$L7,FALSE))/_xlfn.WEIBULL.DIST(BR$2,$M7,$L7,FALSE))*$U7*((1+Inputs!$D$7)^BR$2))),IF($N7=Lists!$K$3,IF($L7&lt;1,((($T7*(1-$F7)+$S7*(1-$G7))/$L7)*((1+Inputs!$D$7)^BR$2)),((INT(BR$2/$L7)-INT((BR$2-1)/$L7))*($T7*(1-$F7)+$S7*(1-$G7))*((1+Inputs!$D$7)^BR$2))),((Inputs!$D$8^((1-_xlfn.WEIBULL.DIST(BR$2,$M7,$L7,FALSE))/_xlfn.WEIBULL.DIST(BR$2,$M7,$L7,FALSE))*($T7*(1-$F7)+$S7*(1-$G7))*((1+Inputs!$D$7)^BR$2))))))))</f>
        <v>74.764369471153842</v>
      </c>
      <c r="BS7" s="88">
        <f>MAX(AC7,($E7*IF(BS$2&gt;Inputs!$D$5,0,IF(BS$2&gt;VLOOKUP($H7,Lists!$P$3:$Q$7,2),IF($N7=Lists!$K$3,IF($L7&lt;1,(($U7/$L7)*((1+Inputs!$D$7)^BS$2)),((INT(BS$2/$L7)-INT((BS$2-1)/$L7))*$U7*((1+Inputs!$D$7)^BS$2))),(Inputs!$D$8^((1-_xlfn.WEIBULL.DIST(BS$2,$M7,$L7,FALSE))/_xlfn.WEIBULL.DIST(BS$2,$M7,$L7,FALSE))*$U7*((1+Inputs!$D$7)^BS$2))),IF($N7=Lists!$K$3,IF($L7&lt;1,((($T7*(1-$F7)+$S7*(1-$G7))/$L7)*((1+Inputs!$D$7)^BS$2)),((INT(BS$2/$L7)-INT((BS$2-1)/$L7))*($T7*(1-$F7)+$S7*(1-$G7))*((1+Inputs!$D$7)^BS$2))),((Inputs!$D$8^((1-_xlfn.WEIBULL.DIST(BS$2,$M7,$L7,FALSE))/_xlfn.WEIBULL.DIST(BS$2,$M7,$L7,FALSE))*($T7*(1-$F7)+$S7*(1-$G7))*((1+Inputs!$D$7)^BS$2))))))))</f>
        <v>76.259656860576925</v>
      </c>
      <c r="BT7" s="88">
        <f>MAX(AD7,($E7*IF(BT$2&gt;Inputs!$D$5,0,IF(BT$2&gt;VLOOKUP($H7,Lists!$P$3:$Q$7,2),IF($N7=Lists!$K$3,IF($L7&lt;1,(($U7/$L7)*((1+Inputs!$D$7)^BT$2)),((INT(BT$2/$L7)-INT((BT$2-1)/$L7))*$U7*((1+Inputs!$D$7)^BT$2))),(Inputs!$D$8^((1-_xlfn.WEIBULL.DIST(BT$2,$M7,$L7,FALSE))/_xlfn.WEIBULL.DIST(BT$2,$M7,$L7,FALSE))*$U7*((1+Inputs!$D$7)^BT$2))),IF($N7=Lists!$K$3,IF($L7&lt;1,((($T7*(1-$F7)+$S7*(1-$G7))/$L7)*((1+Inputs!$D$7)^BT$2)),((INT(BT$2/$L7)-INT((BT$2-1)/$L7))*($T7*(1-$F7)+$S7*(1-$G7))*((1+Inputs!$D$7)^BT$2))),((Inputs!$D$8^((1-_xlfn.WEIBULL.DIST(BT$2,$M7,$L7,FALSE))/_xlfn.WEIBULL.DIST(BT$2,$M7,$L7,FALSE))*($T7*(1-$F7)+$S7*(1-$G7))*((1+Inputs!$D$7)^BT$2))))))))</f>
        <v>77.784849997788456</v>
      </c>
      <c r="BU7" s="88">
        <f>MAX(AE7,($E7*IF(BU$2&gt;Inputs!$D$5,0,IF(BU$2&gt;VLOOKUP($H7,Lists!$P$3:$Q$7,2),IF($N7=Lists!$K$3,IF($L7&lt;1,(($U7/$L7)*((1+Inputs!$D$7)^BU$2)),((INT(BU$2/$L7)-INT((BU$2-1)/$L7))*$U7*((1+Inputs!$D$7)^BU$2))),(Inputs!$D$8^((1-_xlfn.WEIBULL.DIST(BU$2,$M7,$L7,FALSE))/_xlfn.WEIBULL.DIST(BU$2,$M7,$L7,FALSE))*$U7*((1+Inputs!$D$7)^BU$2))),IF($N7=Lists!$K$3,IF($L7&lt;1,((($T7*(1-$F7)+$S7*(1-$G7))/$L7)*((1+Inputs!$D$7)^BU$2)),((INT(BU$2/$L7)-INT((BU$2-1)/$L7))*($T7*(1-$F7)+$S7*(1-$G7))*((1+Inputs!$D$7)^BU$2))),((Inputs!$D$8^((1-_xlfn.WEIBULL.DIST(BU$2,$M7,$L7,FALSE))/_xlfn.WEIBULL.DIST(BU$2,$M7,$L7,FALSE))*($T7*(1-$F7)+$S7*(1-$G7))*((1+Inputs!$D$7)^BU$2))))))))</f>
        <v>79.340546997744241</v>
      </c>
      <c r="BV7" s="88">
        <f>MAX(AF7,($E7*IF(BV$2&gt;Inputs!$D$5,0,IF(BV$2&gt;VLOOKUP($H7,Lists!$P$3:$Q$7,2),IF($N7=Lists!$K$3,IF($L7&lt;1,(($U7/$L7)*((1+Inputs!$D$7)^BV$2)),((INT(BV$2/$L7)-INT((BV$2-1)/$L7))*$U7*((1+Inputs!$D$7)^BV$2))),(Inputs!$D$8^((1-_xlfn.WEIBULL.DIST(BV$2,$M7,$L7,FALSE))/_xlfn.WEIBULL.DIST(BV$2,$M7,$L7,FALSE))*$U7*((1+Inputs!$D$7)^BV$2))),IF($N7=Lists!$K$3,IF($L7&lt;1,((($T7*(1-$F7)+$S7*(1-$G7))/$L7)*((1+Inputs!$D$7)^BV$2)),((INT(BV$2/$L7)-INT((BV$2-1)/$L7))*($T7*(1-$F7)+$S7*(1-$G7))*((1+Inputs!$D$7)^BV$2))),((Inputs!$D$8^((1-_xlfn.WEIBULL.DIST(BV$2,$M7,$L7,FALSE))/_xlfn.WEIBULL.DIST(BV$2,$M7,$L7,FALSE))*($T7*(1-$F7)+$S7*(1-$G7))*((1+Inputs!$D$7)^BV$2))))))))</f>
        <v>80.927357937699128</v>
      </c>
      <c r="BW7" s="88">
        <f>MAX(AG7,($E7*IF(BW$2&gt;Inputs!$D$5,0,IF(BW$2&gt;VLOOKUP($H7,Lists!$P$3:$Q$7,2),IF($N7=Lists!$K$3,IF($L7&lt;1,(($U7/$L7)*((1+Inputs!$D$7)^BW$2)),((INT(BW$2/$L7)-INT((BW$2-1)/$L7))*$U7*((1+Inputs!$D$7)^BW$2))),(Inputs!$D$8^((1-_xlfn.WEIBULL.DIST(BW$2,$M7,$L7,FALSE))/_xlfn.WEIBULL.DIST(BW$2,$M7,$L7,FALSE))*$U7*((1+Inputs!$D$7)^BW$2))),IF($N7=Lists!$K$3,IF($L7&lt;1,((($T7*(1-$F7)+$S7*(1-$G7))/$L7)*((1+Inputs!$D$7)^BW$2)),((INT(BW$2/$L7)-INT((BW$2-1)/$L7))*($T7*(1-$F7)+$S7*(1-$G7))*((1+Inputs!$D$7)^BW$2))),((Inputs!$D$8^((1-_xlfn.WEIBULL.DIST(BW$2,$M7,$L7,FALSE))/_xlfn.WEIBULL.DIST(BW$2,$M7,$L7,FALSE))*($T7*(1-$F7)+$S7*(1-$G7))*((1+Inputs!$D$7)^BW$2))))))))</f>
        <v>82.545905096453083</v>
      </c>
      <c r="BX7" s="88">
        <f>MAX(AH7,($E7*IF(BX$2&gt;Inputs!$D$5,0,IF(BX$2&gt;VLOOKUP($H7,Lists!$P$3:$Q$7,2),IF($N7=Lists!$K$3,IF($L7&lt;1,(($U7/$L7)*((1+Inputs!$D$7)^BX$2)),((INT(BX$2/$L7)-INT((BX$2-1)/$L7))*$U7*((1+Inputs!$D$7)^BX$2))),(Inputs!$D$8^((1-_xlfn.WEIBULL.DIST(BX$2,$M7,$L7,FALSE))/_xlfn.WEIBULL.DIST(BX$2,$M7,$L7,FALSE))*$U7*((1+Inputs!$D$7)^BX$2))),IF($N7=Lists!$K$3,IF($L7&lt;1,((($T7*(1-$F7)+$S7*(1-$G7))/$L7)*((1+Inputs!$D$7)^BX$2)),((INT(BX$2/$L7)-INT((BX$2-1)/$L7))*($T7*(1-$F7)+$S7*(1-$G7))*((1+Inputs!$D$7)^BX$2))),((Inputs!$D$8^((1-_xlfn.WEIBULL.DIST(BX$2,$M7,$L7,FALSE))/_xlfn.WEIBULL.DIST(BX$2,$M7,$L7,FALSE))*($T7*(1-$F7)+$S7*(1-$G7))*((1+Inputs!$D$7)^BX$2))))))))</f>
        <v>84.196823198382162</v>
      </c>
      <c r="BY7" s="88">
        <f>MAX(AI7,($E7*IF(BY$2&gt;Inputs!$D$5,0,IF(BY$2&gt;VLOOKUP($H7,Lists!$P$3:$Q$7,2),IF($N7=Lists!$K$3,IF($L7&lt;1,(($U7/$L7)*((1+Inputs!$D$7)^BY$2)),((INT(BY$2/$L7)-INT((BY$2-1)/$L7))*$U7*((1+Inputs!$D$7)^BY$2))),(Inputs!$D$8^((1-_xlfn.WEIBULL.DIST(BY$2,$M7,$L7,FALSE))/_xlfn.WEIBULL.DIST(BY$2,$M7,$L7,FALSE))*$U7*((1+Inputs!$D$7)^BY$2))),IF($N7=Lists!$K$3,IF($L7&lt;1,((($T7*(1-$F7)+$S7*(1-$G7))/$L7)*((1+Inputs!$D$7)^BY$2)),((INT(BY$2/$L7)-INT((BY$2-1)/$L7))*($T7*(1-$F7)+$S7*(1-$G7))*((1+Inputs!$D$7)^BY$2))),((Inputs!$D$8^((1-_xlfn.WEIBULL.DIST(BY$2,$M7,$L7,FALSE))/_xlfn.WEIBULL.DIST(BY$2,$M7,$L7,FALSE))*($T7*(1-$F7)+$S7*(1-$G7))*((1+Inputs!$D$7)^BY$2))))))))</f>
        <v>85.880759662349803</v>
      </c>
      <c r="BZ7" s="88">
        <f>MAX(AJ7,($E7*IF(BZ$2&gt;Inputs!$D$5,0,IF(BZ$2&gt;VLOOKUP($H7,Lists!$P$3:$Q$7,2),IF($N7=Lists!$K$3,IF($L7&lt;1,(($U7/$L7)*((1+Inputs!$D$7)^BZ$2)),((INT(BZ$2/$L7)-INT((BZ$2-1)/$L7))*$U7*((1+Inputs!$D$7)^BZ$2))),(Inputs!$D$8^((1-_xlfn.WEIBULL.DIST(BZ$2,$M7,$L7,FALSE))/_xlfn.WEIBULL.DIST(BZ$2,$M7,$L7,FALSE))*$U7*((1+Inputs!$D$7)^BZ$2))),IF($N7=Lists!$K$3,IF($L7&lt;1,((($T7*(1-$F7)+$S7*(1-$G7))/$L7)*((1+Inputs!$D$7)^BZ$2)),((INT(BZ$2/$L7)-INT((BZ$2-1)/$L7))*($T7*(1-$F7)+$S7*(1-$G7))*((1+Inputs!$D$7)^BZ$2))),((Inputs!$D$8^((1-_xlfn.WEIBULL.DIST(BZ$2,$M7,$L7,FALSE))/_xlfn.WEIBULL.DIST(BZ$2,$M7,$L7,FALSE))*($T7*(1-$F7)+$S7*(1-$G7))*((1+Inputs!$D$7)^BZ$2))))))))</f>
        <v>87.598374855596802</v>
      </c>
      <c r="CA7" s="88">
        <f>MAX(AK7,($E7*IF(CA$2&gt;Inputs!$D$5,0,IF(CA$2&gt;VLOOKUP($H7,Lists!$P$3:$Q$7,2),IF($N7=Lists!$K$3,IF($L7&lt;1,(($U7/$L7)*((1+Inputs!$D$7)^CA$2)),((INT(CA$2/$L7)-INT((CA$2-1)/$L7))*$U7*((1+Inputs!$D$7)^CA$2))),(Inputs!$D$8^((1-_xlfn.WEIBULL.DIST(CA$2,$M7,$L7,FALSE))/_xlfn.WEIBULL.DIST(CA$2,$M7,$L7,FALSE))*$U7*((1+Inputs!$D$7)^CA$2))),IF($N7=Lists!$K$3,IF($L7&lt;1,((($T7*(1-$F7)+$S7*(1-$G7))/$L7)*((1+Inputs!$D$7)^CA$2)),((INT(CA$2/$L7)-INT((CA$2-1)/$L7))*($T7*(1-$F7)+$S7*(1-$G7))*((1+Inputs!$D$7)^CA$2))),((Inputs!$D$8^((1-_xlfn.WEIBULL.DIST(CA$2,$M7,$L7,FALSE))/_xlfn.WEIBULL.DIST(CA$2,$M7,$L7,FALSE))*($T7*(1-$F7)+$S7*(1-$G7))*((1+Inputs!$D$7)^CA$2))))))))</f>
        <v>89.350342352708722</v>
      </c>
      <c r="CB7" s="88">
        <f>MAX(AL7,($E7*IF(CB$2&gt;Inputs!$D$5,0,IF(CB$2&gt;VLOOKUP($H7,Lists!$P$3:$Q$7,2),IF($N7=Lists!$K$3,IF($L7&lt;1,(($U7/$L7)*((1+Inputs!$D$7)^CB$2)),((INT(CB$2/$L7)-INT((CB$2-1)/$L7))*$U7*((1+Inputs!$D$7)^CB$2))),(Inputs!$D$8^((1-_xlfn.WEIBULL.DIST(CB$2,$M7,$L7,FALSE))/_xlfn.WEIBULL.DIST(CB$2,$M7,$L7,FALSE))*$U7*((1+Inputs!$D$7)^CB$2))),IF($N7=Lists!$K$3,IF($L7&lt;1,((($T7*(1-$F7)+$S7*(1-$G7))/$L7)*((1+Inputs!$D$7)^CB$2)),((INT(CB$2/$L7)-INT((CB$2-1)/$L7))*($T7*(1-$F7)+$S7*(1-$G7))*((1+Inputs!$D$7)^CB$2))),((Inputs!$D$8^((1-_xlfn.WEIBULL.DIST(CB$2,$M7,$L7,FALSE))/_xlfn.WEIBULL.DIST(CB$2,$M7,$L7,FALSE))*($T7*(1-$F7)+$S7*(1-$G7))*((1+Inputs!$D$7)^CB$2))))))))</f>
        <v>91.137349199762909</v>
      </c>
      <c r="CC7" s="88">
        <f>MAX(AM7,($E7*IF(CC$2&gt;Inputs!$D$5,0,IF(CC$2&gt;VLOOKUP($H7,Lists!$P$3:$Q$7,2),IF($N7=Lists!$K$3,IF($L7&lt;1,(($U7/$L7)*((1+Inputs!$D$7)^CC$2)),((INT(CC$2/$L7)-INT((CC$2-1)/$L7))*$U7*((1+Inputs!$D$7)^CC$2))),(Inputs!$D$8^((1-_xlfn.WEIBULL.DIST(CC$2,$M7,$L7,FALSE))/_xlfn.WEIBULL.DIST(CC$2,$M7,$L7,FALSE))*$U7*((1+Inputs!$D$7)^CC$2))),IF($N7=Lists!$K$3,IF($L7&lt;1,((($T7*(1-$F7)+$S7*(1-$G7))/$L7)*((1+Inputs!$D$7)^CC$2)),((INT(CC$2/$L7)-INT((CC$2-1)/$L7))*($T7*(1-$F7)+$S7*(1-$G7))*((1+Inputs!$D$7)^CC$2))),((Inputs!$D$8^((1-_xlfn.WEIBULL.DIST(CC$2,$M7,$L7,FALSE))/_xlfn.WEIBULL.DIST(CC$2,$M7,$L7,FALSE))*($T7*(1-$F7)+$S7*(1-$G7))*((1+Inputs!$D$7)^CC$2))))))))</f>
        <v>92.960096183758168</v>
      </c>
      <c r="CD7" s="88">
        <f>MAX(AN7,($E7*IF(CD$2&gt;Inputs!$D$5,0,IF(CD$2&gt;VLOOKUP($H7,Lists!$P$3:$Q$7,2),IF($N7=Lists!$K$3,IF($L7&lt;1,(($U7/$L7)*((1+Inputs!$D$7)^CD$2)),((INT(CD$2/$L7)-INT((CD$2-1)/$L7))*$U7*((1+Inputs!$D$7)^CD$2))),(Inputs!$D$8^((1-_xlfn.WEIBULL.DIST(CD$2,$M7,$L7,FALSE))/_xlfn.WEIBULL.DIST(CD$2,$M7,$L7,FALSE))*$U7*((1+Inputs!$D$7)^CD$2))),IF($N7=Lists!$K$3,IF($L7&lt;1,((($T7*(1-$F7)+$S7*(1-$G7))/$L7)*((1+Inputs!$D$7)^CD$2)),((INT(CD$2/$L7)-INT((CD$2-1)/$L7))*($T7*(1-$F7)+$S7*(1-$G7))*((1+Inputs!$D$7)^CD$2))),((Inputs!$D$8^((1-_xlfn.WEIBULL.DIST(CD$2,$M7,$L7,FALSE))/_xlfn.WEIBULL.DIST(CD$2,$M7,$L7,FALSE))*($T7*(1-$F7)+$S7*(1-$G7))*((1+Inputs!$D$7)^CD$2))))))))</f>
        <v>94.81929810743334</v>
      </c>
      <c r="CE7" s="88">
        <f>MAX(AO7,($E7*IF(CE$2&gt;Inputs!$D$5,0,IF(CE$2&gt;VLOOKUP($H7,Lists!$P$3:$Q$7,2),IF($N7=Lists!$K$3,IF($L7&lt;1,(($U7/$L7)*((1+Inputs!$D$7)^CE$2)),((INT(CE$2/$L7)-INT((CE$2-1)/$L7))*$U7*((1+Inputs!$D$7)^CE$2))),(Inputs!$D$8^((1-_xlfn.WEIBULL.DIST(CE$2,$M7,$L7,FALSE))/_xlfn.WEIBULL.DIST(CE$2,$M7,$L7,FALSE))*$U7*((1+Inputs!$D$7)^CE$2))),IF($N7=Lists!$K$3,IF($L7&lt;1,((($T7*(1-$F7)+$S7*(1-$G7))/$L7)*((1+Inputs!$D$7)^CE$2)),((INT(CE$2/$L7)-INT((CE$2-1)/$L7))*($T7*(1-$F7)+$S7*(1-$G7))*((1+Inputs!$D$7)^CE$2))),((Inputs!$D$8^((1-_xlfn.WEIBULL.DIST(CE$2,$M7,$L7,FALSE))/_xlfn.WEIBULL.DIST(CE$2,$M7,$L7,FALSE))*($T7*(1-$F7)+$S7*(1-$G7))*((1+Inputs!$D$7)^CE$2))))))))</f>
        <v>96.715684069581968</v>
      </c>
      <c r="CF7" s="88">
        <f>MAX(AP7,($E7*IF(CF$2&gt;Inputs!$D$5,0,IF(CF$2&gt;VLOOKUP($H7,Lists!$P$3:$Q$7,2),IF($N7=Lists!$K$3,IF($L7&lt;1,(($U7/$L7)*((1+Inputs!$D$7)^CF$2)),((INT(CF$2/$L7)-INT((CF$2-1)/$L7))*$U7*((1+Inputs!$D$7)^CF$2))),(Inputs!$D$8^((1-_xlfn.WEIBULL.DIST(CF$2,$M7,$L7,FALSE))/_xlfn.WEIBULL.DIST(CF$2,$M7,$L7,FALSE))*$U7*((1+Inputs!$D$7)^CF$2))),IF($N7=Lists!$K$3,IF($L7&lt;1,((($T7*(1-$F7)+$S7*(1-$G7))/$L7)*((1+Inputs!$D$7)^CF$2)),((INT(CF$2/$L7)-INT((CF$2-1)/$L7))*($T7*(1-$F7)+$S7*(1-$G7))*((1+Inputs!$D$7)^CF$2))),((Inputs!$D$8^((1-_xlfn.WEIBULL.DIST(CF$2,$M7,$L7,FALSE))/_xlfn.WEIBULL.DIST(CF$2,$M7,$L7,FALSE))*($T7*(1-$F7)+$S7*(1-$G7))*((1+Inputs!$D$7)^CF$2))))))))</f>
        <v>98.649997750973625</v>
      </c>
      <c r="CG7" s="88">
        <f>MAX(AQ7,($E7*IF(CG$2&gt;Inputs!$D$5,0,IF(CG$2&gt;VLOOKUP($H7,Lists!$P$3:$Q$7,2),IF($N7=Lists!$K$3,IF($L7&lt;1,(($U7/$L7)*((1+Inputs!$D$7)^CG$2)),((INT(CG$2/$L7)-INT((CG$2-1)/$L7))*$U7*((1+Inputs!$D$7)^CG$2))),(Inputs!$D$8^((1-_xlfn.WEIBULL.DIST(CG$2,$M7,$L7,FALSE))/_xlfn.WEIBULL.DIST(CG$2,$M7,$L7,FALSE))*$U7*((1+Inputs!$D$7)^CG$2))),IF($N7=Lists!$K$3,IF($L7&lt;1,((($T7*(1-$F7)+$S7*(1-$G7))/$L7)*((1+Inputs!$D$7)^CG$2)),((INT(CG$2/$L7)-INT((CG$2-1)/$L7))*($T7*(1-$F7)+$S7*(1-$G7))*((1+Inputs!$D$7)^CG$2))),((Inputs!$D$8^((1-_xlfn.WEIBULL.DIST(CG$2,$M7,$L7,FALSE))/_xlfn.WEIBULL.DIST(CG$2,$M7,$L7,FALSE))*($T7*(1-$F7)+$S7*(1-$G7))*((1+Inputs!$D$7)^CG$2))))))))</f>
        <v>100.62299770599311</v>
      </c>
      <c r="CH7" s="88">
        <f>MAX(AR7,($E7*IF(CH$2&gt;Inputs!$D$5,0,IF(CH$2&gt;VLOOKUP($H7,Lists!$P$3:$Q$7,2),IF($N7=Lists!$K$3,IF($L7&lt;1,(($U7/$L7)*((1+Inputs!$D$7)^CH$2)),((INT(CH$2/$L7)-INT((CH$2-1)/$L7))*$U7*((1+Inputs!$D$7)^CH$2))),(Inputs!$D$8^((1-_xlfn.WEIBULL.DIST(CH$2,$M7,$L7,FALSE))/_xlfn.WEIBULL.DIST(CH$2,$M7,$L7,FALSE))*$U7*((1+Inputs!$D$7)^CH$2))),IF($N7=Lists!$K$3,IF($L7&lt;1,((($T7*(1-$F7)+$S7*(1-$G7))/$L7)*((1+Inputs!$D$7)^CH$2)),((INT(CH$2/$L7)-INT((CH$2-1)/$L7))*($T7*(1-$F7)+$S7*(1-$G7))*((1+Inputs!$D$7)^CH$2))),((Inputs!$D$8^((1-_xlfn.WEIBULL.DIST(CH$2,$M7,$L7,FALSE))/_xlfn.WEIBULL.DIST(CH$2,$M7,$L7,FALSE))*($T7*(1-$F7)+$S7*(1-$G7))*((1+Inputs!$D$7)^CH$2))))))))</f>
        <v>102.63545766011296</v>
      </c>
      <c r="CI7" s="88">
        <f>MAX(AS7,($E7*IF(CI$2&gt;Inputs!$D$5,0,IF(CI$2&gt;VLOOKUP($H7,Lists!$P$3:$Q$7,2),IF($N7=Lists!$K$3,IF($L7&lt;1,(($U7/$L7)*((1+Inputs!$D$7)^CI$2)),((INT(CI$2/$L7)-INT((CI$2-1)/$L7))*$U7*((1+Inputs!$D$7)^CI$2))),(Inputs!$D$8^((1-_xlfn.WEIBULL.DIST(CI$2,$M7,$L7,FALSE))/_xlfn.WEIBULL.DIST(CI$2,$M7,$L7,FALSE))*$U7*((1+Inputs!$D$7)^CI$2))),IF($N7=Lists!$K$3,IF($L7&lt;1,((($T7*(1-$F7)+$S7*(1-$G7))/$L7)*((1+Inputs!$D$7)^CI$2)),((INT(CI$2/$L7)-INT((CI$2-1)/$L7))*($T7*(1-$F7)+$S7*(1-$G7))*((1+Inputs!$D$7)^CI$2))),((Inputs!$D$8^((1-_xlfn.WEIBULL.DIST(CI$2,$M7,$L7,FALSE))/_xlfn.WEIBULL.DIST(CI$2,$M7,$L7,FALSE))*($T7*(1-$F7)+$S7*(1-$G7))*((1+Inputs!$D$7)^CI$2))))))))</f>
        <v>104.68816681331522</v>
      </c>
      <c r="CJ7" s="88">
        <f>MAX(AT7,($E7*IF(CJ$2&gt;Inputs!$D$5,0,IF(CJ$2&gt;VLOOKUP($H7,Lists!$P$3:$Q$7,2),IF($N7=Lists!$K$3,IF($L7&lt;1,(($U7/$L7)*((1+Inputs!$D$7)^CJ$2)),((INT(CJ$2/$L7)-INT((CJ$2-1)/$L7))*$U7*((1+Inputs!$D$7)^CJ$2))),(Inputs!$D$8^((1-_xlfn.WEIBULL.DIST(CJ$2,$M7,$L7,FALSE))/_xlfn.WEIBULL.DIST(CJ$2,$M7,$L7,FALSE))*$U7*((1+Inputs!$D$7)^CJ$2))),IF($N7=Lists!$K$3,IF($L7&lt;1,((($T7*(1-$F7)+$S7*(1-$G7))/$L7)*((1+Inputs!$D$7)^CJ$2)),((INT(CJ$2/$L7)-INT((CJ$2-1)/$L7))*($T7*(1-$F7)+$S7*(1-$G7))*((1+Inputs!$D$7)^CJ$2))),((Inputs!$D$8^((1-_xlfn.WEIBULL.DIST(CJ$2,$M7,$L7,FALSE))/_xlfn.WEIBULL.DIST(CJ$2,$M7,$L7,FALSE))*($T7*(1-$F7)+$S7*(1-$G7))*((1+Inputs!$D$7)^CJ$2))))))))</f>
        <v>106.78193014958153</v>
      </c>
      <c r="CK7" s="88">
        <f>MAX(AU7,($E7*IF(CK$2&gt;Inputs!$D$5,0,IF(CK$2&gt;VLOOKUP($H7,Lists!$P$3:$Q$7,2),IF($N7=Lists!$K$3,IF($L7&lt;1,(($U7/$L7)*((1+Inputs!$D$7)^CK$2)),((INT(CK$2/$L7)-INT((CK$2-1)/$L7))*$U7*((1+Inputs!$D$7)^CK$2))),(Inputs!$D$8^((1-_xlfn.WEIBULL.DIST(CK$2,$M7,$L7,FALSE))/_xlfn.WEIBULL.DIST(CK$2,$M7,$L7,FALSE))*$U7*((1+Inputs!$D$7)^CK$2))),IF($N7=Lists!$K$3,IF($L7&lt;1,((($T7*(1-$F7)+$S7*(1-$G7))/$L7)*((1+Inputs!$D$7)^CK$2)),((INT(CK$2/$L7)-INT((CK$2-1)/$L7))*($T7*(1-$F7)+$S7*(1-$G7))*((1+Inputs!$D$7)^CK$2))),((Inputs!$D$8^((1-_xlfn.WEIBULL.DIST(CK$2,$M7,$L7,FALSE))/_xlfn.WEIBULL.DIST(CK$2,$M7,$L7,FALSE))*($T7*(1-$F7)+$S7*(1-$G7))*((1+Inputs!$D$7)^CK$2))))))))</f>
        <v>108.91756875257316</v>
      </c>
      <c r="CL7" s="88">
        <f>MAX(AV7,($E7*IF(CL$2&gt;Inputs!$D$5,0,IF(CL$2&gt;VLOOKUP($H7,Lists!$P$3:$Q$7,2),IF($N7=Lists!$K$3,IF($L7&lt;1,(($U7/$L7)*((1+Inputs!$D$7)^CL$2)),((INT(CL$2/$L7)-INT((CL$2-1)/$L7))*$U7*((1+Inputs!$D$7)^CL$2))),(Inputs!$D$8^((1-_xlfn.WEIBULL.DIST(CL$2,$M7,$L7,FALSE))/_xlfn.WEIBULL.DIST(CL$2,$M7,$L7,FALSE))*$U7*((1+Inputs!$D$7)^CL$2))),IF($N7=Lists!$K$3,IF($L7&lt;1,((($T7*(1-$F7)+$S7*(1-$G7))/$L7)*((1+Inputs!$D$7)^CL$2)),((INT(CL$2/$L7)-INT((CL$2-1)/$L7))*($T7*(1-$F7)+$S7*(1-$G7))*((1+Inputs!$D$7)^CL$2))),((Inputs!$D$8^((1-_xlfn.WEIBULL.DIST(CL$2,$M7,$L7,FALSE))/_xlfn.WEIBULL.DIST(CL$2,$M7,$L7,FALSE))*($T7*(1-$F7)+$S7*(1-$G7))*((1+Inputs!$D$7)^CL$2))))))))</f>
        <v>111.09592012762462</v>
      </c>
      <c r="CM7" s="88">
        <f>MAX(AW7,($E7*IF(CM$2&gt;Inputs!$D$5,0,IF(CM$2&gt;VLOOKUP($H7,Lists!$P$3:$Q$7,2),IF($N7=Lists!$K$3,IF($L7&lt;1,(($U7/$L7)*((1+Inputs!$D$7)^CM$2)),((INT(CM$2/$L7)-INT((CM$2-1)/$L7))*$U7*((1+Inputs!$D$7)^CM$2))),(Inputs!$D$8^((1-_xlfn.WEIBULL.DIST(CM$2,$M7,$L7,FALSE))/_xlfn.WEIBULL.DIST(CM$2,$M7,$L7,FALSE))*$U7*((1+Inputs!$D$7)^CM$2))),IF($N7=Lists!$K$3,IF($L7&lt;1,((($T7*(1-$F7)+$S7*(1-$G7))/$L7)*((1+Inputs!$D$7)^CM$2)),((INT(CM$2/$L7)-INT((CM$2-1)/$L7))*($T7*(1-$F7)+$S7*(1-$G7))*((1+Inputs!$D$7)^CM$2))),((Inputs!$D$8^((1-_xlfn.WEIBULL.DIST(CM$2,$M7,$L7,FALSE))/_xlfn.WEIBULL.DIST(CM$2,$M7,$L7,FALSE))*($T7*(1-$F7)+$S7*(1-$G7))*((1+Inputs!$D$7)^CM$2))))))))</f>
        <v>113.3178385301771</v>
      </c>
      <c r="CN7" s="88">
        <f>MAX(AX7,($E7*IF(CN$2&gt;Inputs!$D$5,0,IF(CN$2&gt;VLOOKUP($H7,Lists!$P$3:$Q$7,2),IF($N7=Lists!$K$3,IF($L7&lt;1,(($U7/$L7)*((1+Inputs!$D$7)^CN$2)),((INT(CN$2/$L7)-INT((CN$2-1)/$L7))*$U7*((1+Inputs!$D$7)^CN$2))),(Inputs!$D$8^((1-_xlfn.WEIBULL.DIST(CN$2,$M7,$L7,FALSE))/_xlfn.WEIBULL.DIST(CN$2,$M7,$L7,FALSE))*$U7*((1+Inputs!$D$7)^CN$2))),IF($N7=Lists!$K$3,IF($L7&lt;1,((($T7*(1-$F7)+$S7*(1-$G7))/$L7)*((1+Inputs!$D$7)^CN$2)),((INT(CN$2/$L7)-INT((CN$2-1)/$L7))*($T7*(1-$F7)+$S7*(1-$G7))*((1+Inputs!$D$7)^CN$2))),((Inputs!$D$8^((1-_xlfn.WEIBULL.DIST(CN$2,$M7,$L7,FALSE))/_xlfn.WEIBULL.DIST(CN$2,$M7,$L7,FALSE))*($T7*(1-$F7)+$S7*(1-$G7))*((1+Inputs!$D$7)^CN$2))))))))</f>
        <v>115.58419530078065</v>
      </c>
      <c r="CO7" s="88">
        <f>MAX(AY7,($E7*IF(CO$2&gt;Inputs!$D$5,0,IF(CO$2&gt;VLOOKUP($H7,Lists!$P$3:$Q$7,2),IF($N7=Lists!$K$3,IF($L7&lt;1,(($U7/$L7)*((1+Inputs!$D$7)^CO$2)),((INT(CO$2/$L7)-INT((CO$2-1)/$L7))*$U7*((1+Inputs!$D$7)^CO$2))),(Inputs!$D$8^((1-_xlfn.WEIBULL.DIST(CO$2,$M7,$L7,FALSE))/_xlfn.WEIBULL.DIST(CO$2,$M7,$L7,FALSE))*$U7*((1+Inputs!$D$7)^CO$2))),IF($N7=Lists!$K$3,IF($L7&lt;1,((($T7*(1-$F7)+$S7*(1-$G7))/$L7)*((1+Inputs!$D$7)^CO$2)),((INT(CO$2/$L7)-INT((CO$2-1)/$L7))*($T7*(1-$F7)+$S7*(1-$G7))*((1+Inputs!$D$7)^CO$2))),((Inputs!$D$8^((1-_xlfn.WEIBULL.DIST(CO$2,$M7,$L7,FALSE))/_xlfn.WEIBULL.DIST(CO$2,$M7,$L7,FALSE))*($T7*(1-$F7)+$S7*(1-$G7))*((1+Inputs!$D$7)^CO$2))))))))</f>
        <v>117.89587920679625</v>
      </c>
      <c r="CP7" s="88">
        <f>MAX(AZ7,($E7*IF(CP$2&gt;Inputs!$D$5,0,IF(CP$2&gt;VLOOKUP($H7,Lists!$P$3:$Q$7,2),IF($N7=Lists!$K$3,IF($L7&lt;1,(($U7/$L7)*((1+Inputs!$D$7)^CP$2)),((INT(CP$2/$L7)-INT((CP$2-1)/$L7))*$U7*((1+Inputs!$D$7)^CP$2))),(Inputs!$D$8^((1-_xlfn.WEIBULL.DIST(CP$2,$M7,$L7,FALSE))/_xlfn.WEIBULL.DIST(CP$2,$M7,$L7,FALSE))*$U7*((1+Inputs!$D$7)^CP$2))),IF($N7=Lists!$K$3,IF($L7&lt;1,((($T7*(1-$F7)+$S7*(1-$G7))/$L7)*((1+Inputs!$D$7)^CP$2)),((INT(CP$2/$L7)-INT((CP$2-1)/$L7))*($T7*(1-$F7)+$S7*(1-$G7))*((1+Inputs!$D$7)^CP$2))),((Inputs!$D$8^((1-_xlfn.WEIBULL.DIST(CP$2,$M7,$L7,FALSE))/_xlfn.WEIBULL.DIST(CP$2,$M7,$L7,FALSE))*($T7*(1-$F7)+$S7*(1-$G7))*((1+Inputs!$D$7)^CP$2))))))))</f>
        <v>0</v>
      </c>
      <c r="CQ7" s="88">
        <f>MAX(BA7,($E7*IF(CQ$2&gt;Inputs!$D$5,0,IF(CQ$2&gt;VLOOKUP($H7,Lists!$P$3:$Q$7,2),IF($N7=Lists!$K$3,IF($L7&lt;1,(($U7/$L7)*((1+Inputs!$D$7)^CQ$2)),((INT(CQ$2/$L7)-INT((CQ$2-1)/$L7))*$U7*((1+Inputs!$D$7)^CQ$2))),(Inputs!$D$8^((1-_xlfn.WEIBULL.DIST(CQ$2,$M7,$L7,FALSE))/_xlfn.WEIBULL.DIST(CQ$2,$M7,$L7,FALSE))*$U7*((1+Inputs!$D$7)^CQ$2))),IF($N7=Lists!$K$3,IF($L7&lt;1,((($T7*(1-$F7)+$S7*(1-$G7))/$L7)*((1+Inputs!$D$7)^CQ$2)),((INT(CQ$2/$L7)-INT((CQ$2-1)/$L7))*($T7*(1-$F7)+$S7*(1-$G7))*((1+Inputs!$D$7)^CQ$2))),((Inputs!$D$8^((1-_xlfn.WEIBULL.DIST(CQ$2,$M7,$L7,FALSE))/_xlfn.WEIBULL.DIST(CQ$2,$M7,$L7,FALSE))*($T7*(1-$F7)+$S7*(1-$G7))*((1+Inputs!$D$7)^CQ$2))))))))</f>
        <v>0</v>
      </c>
      <c r="CR7" s="88">
        <f>MAX(BB7,($E7*IF(CR$2&gt;Inputs!$D$5,0,IF(CR$2&gt;VLOOKUP($H7,Lists!$P$3:$Q$7,2),IF($N7=Lists!$K$3,IF($L7&lt;1,(($U7/$L7)*((1+Inputs!$D$7)^CR$2)),((INT(CR$2/$L7)-INT((CR$2-1)/$L7))*$U7*((1+Inputs!$D$7)^CR$2))),(Inputs!$D$8^((1-_xlfn.WEIBULL.DIST(CR$2,$M7,$L7,FALSE))/_xlfn.WEIBULL.DIST(CR$2,$M7,$L7,FALSE))*$U7*((1+Inputs!$D$7)^CR$2))),IF($N7=Lists!$K$3,IF($L7&lt;1,((($T7*(1-$F7)+$S7*(1-$G7))/$L7)*((1+Inputs!$D$7)^CR$2)),((INT(CR$2/$L7)-INT((CR$2-1)/$L7))*($T7*(1-$F7)+$S7*(1-$G7))*((1+Inputs!$D$7)^CR$2))),((Inputs!$D$8^((1-_xlfn.WEIBULL.DIST(CR$2,$M7,$L7,FALSE))/_xlfn.WEIBULL.DIST(CR$2,$M7,$L7,FALSE))*($T7*(1-$F7)+$S7*(1-$G7))*((1+Inputs!$D$7)^CR$2))))))))</f>
        <v>0</v>
      </c>
      <c r="CS7" s="88">
        <f>MAX(BC7,($E7*IF(CS$2&gt;Inputs!$D$5,0,IF(CS$2&gt;VLOOKUP($H7,Lists!$P$3:$Q$7,2),IF($N7=Lists!$K$3,IF($L7&lt;1,(($U7/$L7)*((1+Inputs!$D$7)^CS$2)),((INT(CS$2/$L7)-INT((CS$2-1)/$L7))*$U7*((1+Inputs!$D$7)^CS$2))),(Inputs!$D$8^((1-_xlfn.WEIBULL.DIST(CS$2,$M7,$L7,FALSE))/_xlfn.WEIBULL.DIST(CS$2,$M7,$L7,FALSE))*$U7*((1+Inputs!$D$7)^CS$2))),IF($N7=Lists!$K$3,IF($L7&lt;1,((($T7*(1-$F7)+$S7*(1-$G7))/$L7)*((1+Inputs!$D$7)^CS$2)),((INT(CS$2/$L7)-INT((CS$2-1)/$L7))*($T7*(1-$F7)+$S7*(1-$G7))*((1+Inputs!$D$7)^CS$2))),((Inputs!$D$8^((1-_xlfn.WEIBULL.DIST(CS$2,$M7,$L7,FALSE))/_xlfn.WEIBULL.DIST(CS$2,$M7,$L7,FALSE))*($T7*(1-$F7)+$S7*(1-$G7))*((1+Inputs!$D$7)^CS$2))))))))</f>
        <v>0</v>
      </c>
      <c r="CT7" s="88">
        <f>MAX(BD7,($E7*IF(CT$2&gt;Inputs!$D$5,0,IF(CT$2&gt;VLOOKUP($H7,Lists!$P$3:$Q$7,2),IF($N7=Lists!$K$3,IF($L7&lt;1,(($U7/$L7)*((1+Inputs!$D$7)^CT$2)),((INT(CT$2/$L7)-INT((CT$2-1)/$L7))*$U7*((1+Inputs!$D$7)^CT$2))),(Inputs!$D$8^((1-_xlfn.WEIBULL.DIST(CT$2,$M7,$L7,FALSE))/_xlfn.WEIBULL.DIST(CT$2,$M7,$L7,FALSE))*$U7*((1+Inputs!$D$7)^CT$2))),IF($N7=Lists!$K$3,IF($L7&lt;1,((($T7*(1-$F7)+$S7*(1-$G7))/$L7)*((1+Inputs!$D$7)^CT$2)),((INT(CT$2/$L7)-INT((CT$2-1)/$L7))*($T7*(1-$F7)+$S7*(1-$G7))*((1+Inputs!$D$7)^CT$2))),((Inputs!$D$8^((1-_xlfn.WEIBULL.DIST(CT$2,$M7,$L7,FALSE))/_xlfn.WEIBULL.DIST(CT$2,$M7,$L7,FALSE))*($T7*(1-$F7)+$S7*(1-$G7))*((1+Inputs!$D$7)^CT$2))))))))</f>
        <v>0</v>
      </c>
      <c r="CU7" s="88">
        <f>MAX(BE7,($E7*IF(CU$2&gt;Inputs!$D$5,0,IF(CU$2&gt;VLOOKUP($H7,Lists!$P$3:$Q$7,2),IF($N7=Lists!$K$3,IF($L7&lt;1,(($U7/$L7)*((1+Inputs!$D$7)^CU$2)),((INT(CU$2/$L7)-INT((CU$2-1)/$L7))*$U7*((1+Inputs!$D$7)^CU$2))),(Inputs!$D$8^((1-_xlfn.WEIBULL.DIST(CU$2,$M7,$L7,FALSE))/_xlfn.WEIBULL.DIST(CU$2,$M7,$L7,FALSE))*$U7*((1+Inputs!$D$7)^CU$2))),IF($N7=Lists!$K$3,IF($L7&lt;1,((($T7*(1-$F7)+$S7*(1-$G7))/$L7)*((1+Inputs!$D$7)^CU$2)),((INT(CU$2/$L7)-INT((CU$2-1)/$L7))*($T7*(1-$F7)+$S7*(1-$G7))*((1+Inputs!$D$7)^CU$2))),((Inputs!$D$8^((1-_xlfn.WEIBULL.DIST(CU$2,$M7,$L7,FALSE))/_xlfn.WEIBULL.DIST(CU$2,$M7,$L7,FALSE))*($T7*(1-$F7)+$S7*(1-$G7))*((1+Inputs!$D$7)^CU$2))))))))</f>
        <v>0</v>
      </c>
      <c r="CV7" s="88">
        <f>MAX(BF7,($E7*IF(CV$2&gt;Inputs!$D$5,0,IF(CV$2&gt;VLOOKUP($H7,Lists!$P$3:$Q$7,2),IF($N7=Lists!$K$3,IF($L7&lt;1,(($U7/$L7)*((1+Inputs!$D$7)^CV$2)),((INT(CV$2/$L7)-INT((CV$2-1)/$L7))*$U7*((1+Inputs!$D$7)^CV$2))),(Inputs!$D$8^((1-_xlfn.WEIBULL.DIST(CV$2,$M7,$L7,FALSE))/_xlfn.WEIBULL.DIST(CV$2,$M7,$L7,FALSE))*$U7*((1+Inputs!$D$7)^CV$2))),IF($N7=Lists!$K$3,IF($L7&lt;1,((($T7*(1-$F7)+$S7*(1-$G7))/$L7)*((1+Inputs!$D$7)^CV$2)),((INT(CV$2/$L7)-INT((CV$2-1)/$L7))*($T7*(1-$F7)+$S7*(1-$G7))*((1+Inputs!$D$7)^CV$2))),((Inputs!$D$8^((1-_xlfn.WEIBULL.DIST(CV$2,$M7,$L7,FALSE))/_xlfn.WEIBULL.DIST(CV$2,$M7,$L7,FALSE))*($T7*(1-$F7)+$S7*(1-$G7))*((1+Inputs!$D$7)^CV$2))))))))</f>
        <v>0</v>
      </c>
      <c r="CW7" s="88">
        <f>MAX(BG7,($E7*IF(CW$2&gt;Inputs!$D$5,0,IF(CW$2&gt;VLOOKUP($H7,Lists!$P$3:$Q$7,2),IF($N7=Lists!$K$3,IF($L7&lt;1,(($U7/$L7)*((1+Inputs!$D$7)^CW$2)),((INT(CW$2/$L7)-INT((CW$2-1)/$L7))*$U7*((1+Inputs!$D$7)^CW$2))),(Inputs!$D$8^((1-_xlfn.WEIBULL.DIST(CW$2,$M7,$L7,FALSE))/_xlfn.WEIBULL.DIST(CW$2,$M7,$L7,FALSE))*$U7*((1+Inputs!$D$7)^CW$2))),IF($N7=Lists!$K$3,IF($L7&lt;1,((($T7*(1-$F7)+$S7*(1-$G7))/$L7)*((1+Inputs!$D$7)^CW$2)),((INT(CW$2/$L7)-INT((CW$2-1)/$L7))*($T7*(1-$F7)+$S7*(1-$G7))*((1+Inputs!$D$7)^CW$2))),((Inputs!$D$8^((1-_xlfn.WEIBULL.DIST(CW$2,$M7,$L7,FALSE))/_xlfn.WEIBULL.DIST(CW$2,$M7,$L7,FALSE))*($T7*(1-$F7)+$S7*(1-$G7))*((1+Inputs!$D$7)^CW$2))))))))</f>
        <v>0</v>
      </c>
      <c r="CX7" s="88">
        <f>MAX(BH7,($E7*IF(CX$2&gt;Inputs!$D$5,0,IF(CX$2&gt;VLOOKUP($H7,Lists!$P$3:$Q$7,2),IF($N7=Lists!$K$3,IF($L7&lt;1,(($U7/$L7)*((1+Inputs!$D$7)^CX$2)),((INT(CX$2/$L7)-INT((CX$2-1)/$L7))*$U7*((1+Inputs!$D$7)^CX$2))),(Inputs!$D$8^((1-_xlfn.WEIBULL.DIST(CX$2,$M7,$L7,FALSE))/_xlfn.WEIBULL.DIST(CX$2,$M7,$L7,FALSE))*$U7*((1+Inputs!$D$7)^CX$2))),IF($N7=Lists!$K$3,IF($L7&lt;1,((($T7*(1-$F7)+$S7*(1-$G7))/$L7)*((1+Inputs!$D$7)^CX$2)),((INT(CX$2/$L7)-INT((CX$2-1)/$L7))*($T7*(1-$F7)+$S7*(1-$G7))*((1+Inputs!$D$7)^CX$2))),((Inputs!$D$8^((1-_xlfn.WEIBULL.DIST(CX$2,$M7,$L7,FALSE))/_xlfn.WEIBULL.DIST(CX$2,$M7,$L7,FALSE))*($T7*(1-$F7)+$S7*(1-$G7))*((1+Inputs!$D$7)^CX$2))))))))</f>
        <v>0</v>
      </c>
      <c r="CY7" s="88">
        <f>MAX(BI7,($E7*IF(CY$2&gt;Inputs!$D$5,0,IF(CY$2&gt;VLOOKUP($H7,Lists!$P$3:$Q$7,2),IF($N7=Lists!$K$3,IF($L7&lt;1,(($U7/$L7)*((1+Inputs!$D$7)^CY$2)),((INT(CY$2/$L7)-INT((CY$2-1)/$L7))*$U7*((1+Inputs!$D$7)^CY$2))),(Inputs!$D$8^((1-_xlfn.WEIBULL.DIST(CY$2,$M7,$L7,FALSE))/_xlfn.WEIBULL.DIST(CY$2,$M7,$L7,FALSE))*$U7*((1+Inputs!$D$7)^CY$2))),IF($N7=Lists!$K$3,IF($L7&lt;1,((($T7*(1-$F7)+$S7*(1-$G7))/$L7)*((1+Inputs!$D$7)^CY$2)),((INT(CY$2/$L7)-INT((CY$2-1)/$L7))*($T7*(1-$F7)+$S7*(1-$G7))*((1+Inputs!$D$7)^CY$2))),((Inputs!$D$8^((1-_xlfn.WEIBULL.DIST(CY$2,$M7,$L7,FALSE))/_xlfn.WEIBULL.DIST(CY$2,$M7,$L7,FALSE))*($T7*(1-$F7)+$S7*(1-$G7))*((1+Inputs!$D$7)^CY$2))))))))</f>
        <v>0</v>
      </c>
      <c r="CZ7" s="88">
        <f>MAX(BJ7,($E7*IF(CZ$2&gt;Inputs!$D$5,0,IF(CZ$2&gt;VLOOKUP($H7,Lists!$P$3:$Q$7,2),IF($N7=Lists!$K$3,IF($L7&lt;1,(($U7/$L7)*((1+Inputs!$D$7)^CZ$2)),((INT(CZ$2/$L7)-INT((CZ$2-1)/$L7))*$U7*((1+Inputs!$D$7)^CZ$2))),(Inputs!$D$8^((1-_xlfn.WEIBULL.DIST(CZ$2,$M7,$L7,FALSE))/_xlfn.WEIBULL.DIST(CZ$2,$M7,$L7,FALSE))*$U7*((1+Inputs!$D$7)^CZ$2))),IF($N7=Lists!$K$3,IF($L7&lt;1,((($T7*(1-$F7)+$S7*(1-$G7))/$L7)*((1+Inputs!$D$7)^CZ$2)),((INT(CZ$2/$L7)-INT((CZ$2-1)/$L7))*($T7*(1-$F7)+$S7*(1-$G7))*((1+Inputs!$D$7)^CZ$2))),((Inputs!$D$8^((1-_xlfn.WEIBULL.DIST(CZ$2,$M7,$L7,FALSE))/_xlfn.WEIBULL.DIST(CZ$2,$M7,$L7,FALSE))*($T7*(1-$F7)+$S7*(1-$G7))*((1+Inputs!$D$7)^CZ$2))))))))</f>
        <v>0</v>
      </c>
      <c r="DA7" s="88">
        <f>MAX(BK7,($E7*IF(DA$2&gt;Inputs!$D$5,0,IF(DA$2&gt;VLOOKUP($H7,Lists!$P$3:$Q$7,2),IF($N7=Lists!$K$3,IF($L7&lt;1,(($U7/$L7)*((1+Inputs!$D$7)^DA$2)),((INT(DA$2/$L7)-INT((DA$2-1)/$L7))*$U7*((1+Inputs!$D$7)^DA$2))),(Inputs!$D$8^((1-_xlfn.WEIBULL.DIST(DA$2,$M7,$L7,FALSE))/_xlfn.WEIBULL.DIST(DA$2,$M7,$L7,FALSE))*$U7*((1+Inputs!$D$7)^DA$2))),IF($N7=Lists!$K$3,IF($L7&lt;1,((($T7*(1-$F7)+$S7*(1-$G7))/$L7)*((1+Inputs!$D$7)^DA$2)),((INT(DA$2/$L7)-INT((DA$2-1)/$L7))*($T7*(1-$F7)+$S7*(1-$G7))*((1+Inputs!$D$7)^DA$2))),((Inputs!$D$8^((1-_xlfn.WEIBULL.DIST(DA$2,$M7,$L7,FALSE))/_xlfn.WEIBULL.DIST(DA$2,$M7,$L7,FALSE))*($T7*(1-$F7)+$S7*(1-$G7))*((1+Inputs!$D$7)^DA$2))))))))</f>
        <v>0</v>
      </c>
      <c r="DB7" s="88">
        <f>MAX(BL7,($E7*IF(DB$2&gt;Inputs!$D$5,0,IF(DB$2&gt;VLOOKUP($H7,Lists!$P$3:$Q$7,2),IF($N7=Lists!$K$3,IF($L7&lt;1,(($U7/$L7)*((1+Inputs!$D$7)^DB$2)),((INT(DB$2/$L7)-INT((DB$2-1)/$L7))*$U7*((1+Inputs!$D$7)^DB$2))),(Inputs!$D$8^((1-_xlfn.WEIBULL.DIST(DB$2,$M7,$L7,FALSE))/_xlfn.WEIBULL.DIST(DB$2,$M7,$L7,FALSE))*$U7*((1+Inputs!$D$7)^DB$2))),IF($N7=Lists!$K$3,IF($L7&lt;1,((($T7*(1-$F7)+$S7*(1-$G7))/$L7)*((1+Inputs!$D$7)^DB$2)),((INT(DB$2/$L7)-INT((DB$2-1)/$L7))*($T7*(1-$F7)+$S7*(1-$G7))*((1+Inputs!$D$7)^DB$2))),((Inputs!$D$8^((1-_xlfn.WEIBULL.DIST(DB$2,$M7,$L7,FALSE))/_xlfn.WEIBULL.DIST(DB$2,$M7,$L7,FALSE))*($T7*(1-$F7)+$S7*(1-$G7))*((1+Inputs!$D$7)^DB$2))))))))</f>
        <v>0</v>
      </c>
      <c r="DC7" s="88">
        <f>MAX(BM7,($E7*IF(DC$2&gt;Inputs!$D$5,0,IF(DC$2&gt;VLOOKUP($H7,Lists!$P$3:$Q$7,2),IF($N7=Lists!$K$3,IF($L7&lt;1,(($U7/$L7)*((1+Inputs!$D$7)^DC$2)),((INT(DC$2/$L7)-INT((DC$2-1)/$L7))*$U7*((1+Inputs!$D$7)^DC$2))),(Inputs!$D$8^((1-_xlfn.WEIBULL.DIST(DC$2,$M7,$L7,FALSE))/_xlfn.WEIBULL.DIST(DC$2,$M7,$L7,FALSE))*$U7*((1+Inputs!$D$7)^DC$2))),IF($N7=Lists!$K$3,IF($L7&lt;1,((($T7*(1-$F7)+$S7*(1-$G7))/$L7)*((1+Inputs!$D$7)^DC$2)),((INT(DC$2/$L7)-INT((DC$2-1)/$L7))*($T7*(1-$F7)+$S7*(1-$G7))*((1+Inputs!$D$7)^DC$2))),((Inputs!$D$8^((1-_xlfn.WEIBULL.DIST(DC$2,$M7,$L7,FALSE))/_xlfn.WEIBULL.DIST(DC$2,$M7,$L7,FALSE))*($T7*(1-$F7)+$S7*(1-$G7))*((1+Inputs!$D$7)^DC$2))))))))</f>
        <v>0</v>
      </c>
      <c r="DD7" s="88">
        <f>MAX(BN7,($E7*IF(DD$2&gt;Inputs!$D$5,0,IF(DD$2&gt;VLOOKUP($H7,Lists!$P$3:$Q$7,2),IF($N7=Lists!$K$3,IF($L7&lt;1,(($U7/$L7)*((1+Inputs!$D$7)^DD$2)),((INT(DD$2/$L7)-INT((DD$2-1)/$L7))*$U7*((1+Inputs!$D$7)^DD$2))),(Inputs!$D$8^((1-_xlfn.WEIBULL.DIST(DD$2,$M7,$L7,FALSE))/_xlfn.WEIBULL.DIST(DD$2,$M7,$L7,FALSE))*$U7*((1+Inputs!$D$7)^DD$2))),IF($N7=Lists!$K$3,IF($L7&lt;1,((($T7*(1-$F7)+$S7*(1-$G7))/$L7)*((1+Inputs!$D$7)^DD$2)),((INT(DD$2/$L7)-INT((DD$2-1)/$L7))*($T7*(1-$F7)+$S7*(1-$G7))*((1+Inputs!$D$7)^DD$2))),((Inputs!$D$8^((1-_xlfn.WEIBULL.DIST(DD$2,$M7,$L7,FALSE))/_xlfn.WEIBULL.DIST(DD$2,$M7,$L7,FALSE))*($T7*(1-$F7)+$S7*(1-$G7))*((1+Inputs!$D$7)^DD$2))))))))</f>
        <v>0</v>
      </c>
    </row>
    <row r="8" spans="1:108" s="1" customFormat="1" ht="19.5" customHeight="1">
      <c r="A8" s="57" t="s">
        <v>150</v>
      </c>
      <c r="B8" s="13" t="s">
        <v>129</v>
      </c>
      <c r="C8" s="13" t="s">
        <v>471</v>
      </c>
      <c r="D8" s="13" t="s">
        <v>124</v>
      </c>
      <c r="E8" s="48">
        <f>IF(Inputs!$D$41=Lists!$I$4,0,1)</f>
        <v>1</v>
      </c>
      <c r="F8" s="48">
        <v>0</v>
      </c>
      <c r="G8" s="48">
        <v>0</v>
      </c>
      <c r="H8" s="105" t="s">
        <v>350</v>
      </c>
      <c r="I8" s="14"/>
      <c r="J8" s="14" t="s">
        <v>248</v>
      </c>
      <c r="K8" s="13">
        <f>VLOOKUP(J8,'Labor Rates'!$A$1:$F$16,2)</f>
        <v>22.995576923076925</v>
      </c>
      <c r="L8" s="15">
        <v>1</v>
      </c>
      <c r="M8" s="15">
        <v>1</v>
      </c>
      <c r="N8" s="13" t="s">
        <v>236</v>
      </c>
      <c r="O8" s="61">
        <v>1</v>
      </c>
      <c r="P8" s="15">
        <v>1</v>
      </c>
      <c r="Q8" s="15">
        <f t="shared" si="0"/>
        <v>1</v>
      </c>
      <c r="R8" s="4">
        <v>0</v>
      </c>
      <c r="S8" s="53">
        <f t="shared" si="1"/>
        <v>22.995576923076925</v>
      </c>
      <c r="T8" s="53">
        <f t="shared" si="2"/>
        <v>0</v>
      </c>
      <c r="U8" s="54">
        <f t="shared" si="3"/>
        <v>22.995576923076925</v>
      </c>
      <c r="V8" s="65"/>
      <c r="W8" s="58"/>
      <c r="X8" s="64">
        <f t="shared" si="4"/>
        <v>28.495333848212379</v>
      </c>
      <c r="Y8" s="64">
        <f>NPV(Inputs!$D$6,AA8:BN8)</f>
        <v>327.30712505377187</v>
      </c>
      <c r="Z8" s="67">
        <f t="shared" si="5"/>
        <v>1.5437401954091233E-4</v>
      </c>
      <c r="AA8" s="88">
        <f>$E8*IF(AA$2&gt;Inputs!$D$5,0,IF(AA$2&gt;VLOOKUP($H8,Lists!$P$3:$Q$7,2),IF($N8=Lists!$K$3,IF($L8&lt;1,(($U8/$L8)*((1+Inputs!$D$7)^AA$2)),((INT(AA$2/$L8)-INT((AA$2-1)/$L8))*$U8*((1+Inputs!$D$7)^AA$2))),(_xlfn.WEIBULL.DIST(AA$2,$M8,$L8,FALSE)*$U8*((1+Inputs!$D$7)^AA$2))),IF($N8=Lists!$K$3,IF($L8&lt;1,((($T8*(1-$F8)+$S8*(1-$G8))/$L8)*((1+Inputs!$D$7)^AA$2)),((INT(AA$2/$L8)-INT((AA$2-1)/$L8))*($T8*(1-$F8)+$S8*(1-$G8))*((1+Inputs!$D$7)^AA$2))),((_xlfn.WEIBULL.DIST(AA$2,$M8,$L8,FALSE)*($T8*(1-$F8)+$S8*(1-$G8))*((1+Inputs!$D$7)^AA$2))))))</f>
        <v>23.455488461538465</v>
      </c>
      <c r="AB8" s="88">
        <f>$E8*IF(AB$2&gt;Inputs!$D$5,0,IF(AB$2&gt;VLOOKUP($H8,Lists!$P$3:$Q$7,2),IF($N8=Lists!$K$3,IF($L8&lt;1,(($U8/$L8)*((1+Inputs!$D$7)^AB$2)),((INT(AB$2/$L8)-INT((AB$2-1)/$L8))*$U8*((1+Inputs!$D$7)^AB$2))),(_xlfn.WEIBULL.DIST(AB$2,$M8,$L8,FALSE)*$U8*((1+Inputs!$D$7)^AB$2))),IF($N8=Lists!$K$3,IF($L8&lt;1,((($T8*(1-$F8)+$S8*(1-$G8))/$L8)*((1+Inputs!$D$7)^AB$2)),((INT(AB$2/$L8)-INT((AB$2-1)/$L8))*($T8*(1-$F8)+$S8*(1-$G8))*((1+Inputs!$D$7)^AB$2))),((_xlfn.WEIBULL.DIST(AB$2,$M8,$L8,FALSE)*($T8*(1-$F8)+$S8*(1-$G8))*((1+Inputs!$D$7)^AB$2))))))</f>
        <v>23.924598230769231</v>
      </c>
      <c r="AC8" s="88">
        <f>$E8*IF(AC$2&gt;Inputs!$D$5,0,IF(AC$2&gt;VLOOKUP($H8,Lists!$P$3:$Q$7,2),IF($N8=Lists!$K$3,IF($L8&lt;1,(($U8/$L8)*((1+Inputs!$D$7)^AC$2)),((INT(AC$2/$L8)-INT((AC$2-1)/$L8))*$U8*((1+Inputs!$D$7)^AC$2))),(_xlfn.WEIBULL.DIST(AC$2,$M8,$L8,FALSE)*$U8*((1+Inputs!$D$7)^AC$2))),IF($N8=Lists!$K$3,IF($L8&lt;1,((($T8*(1-$F8)+$S8*(1-$G8))/$L8)*((1+Inputs!$D$7)^AC$2)),((INT(AC$2/$L8)-INT((AC$2-1)/$L8))*($T8*(1-$F8)+$S8*(1-$G8))*((1+Inputs!$D$7)^AC$2))),((_xlfn.WEIBULL.DIST(AC$2,$M8,$L8,FALSE)*($T8*(1-$F8)+$S8*(1-$G8))*((1+Inputs!$D$7)^AC$2))))))</f>
        <v>24.403090195384614</v>
      </c>
      <c r="AD8" s="88">
        <f>$E8*IF(AD$2&gt;Inputs!$D$5,0,IF(AD$2&gt;VLOOKUP($H8,Lists!$P$3:$Q$7,2),IF($N8=Lists!$K$3,IF($L8&lt;1,(($U8/$L8)*((1+Inputs!$D$7)^AD$2)),((INT(AD$2/$L8)-INT((AD$2-1)/$L8))*$U8*((1+Inputs!$D$7)^AD$2))),(_xlfn.WEIBULL.DIST(AD$2,$M8,$L8,FALSE)*$U8*((1+Inputs!$D$7)^AD$2))),IF($N8=Lists!$K$3,IF($L8&lt;1,((($T8*(1-$F8)+$S8*(1-$G8))/$L8)*((1+Inputs!$D$7)^AD$2)),((INT(AD$2/$L8)-INT((AD$2-1)/$L8))*($T8*(1-$F8)+$S8*(1-$G8))*((1+Inputs!$D$7)^AD$2))),((_xlfn.WEIBULL.DIST(AD$2,$M8,$L8,FALSE)*($T8*(1-$F8)+$S8*(1-$G8))*((1+Inputs!$D$7)^AD$2))))))</f>
        <v>24.891151999292308</v>
      </c>
      <c r="AE8" s="88">
        <f>$E8*IF(AE$2&gt;Inputs!$D$5,0,IF(AE$2&gt;VLOOKUP($H8,Lists!$P$3:$Q$7,2),IF($N8=Lists!$K$3,IF($L8&lt;1,(($U8/$L8)*((1+Inputs!$D$7)^AE$2)),((INT(AE$2/$L8)-INT((AE$2-1)/$L8))*$U8*((1+Inputs!$D$7)^AE$2))),(_xlfn.WEIBULL.DIST(AE$2,$M8,$L8,FALSE)*$U8*((1+Inputs!$D$7)^AE$2))),IF($N8=Lists!$K$3,IF($L8&lt;1,((($T8*(1-$F8)+$S8*(1-$G8))/$L8)*((1+Inputs!$D$7)^AE$2)),((INT(AE$2/$L8)-INT((AE$2-1)/$L8))*($T8*(1-$F8)+$S8*(1-$G8))*((1+Inputs!$D$7)^AE$2))),((_xlfn.WEIBULL.DIST(AE$2,$M8,$L8,FALSE)*($T8*(1-$F8)+$S8*(1-$G8))*((1+Inputs!$D$7)^AE$2))))))</f>
        <v>25.388975039278158</v>
      </c>
      <c r="AF8" s="88">
        <f>$E8*IF(AF$2&gt;Inputs!$D$5,0,IF(AF$2&gt;VLOOKUP($H8,Lists!$P$3:$Q$7,2),IF($N8=Lists!$K$3,IF($L8&lt;1,(($U8/$L8)*((1+Inputs!$D$7)^AF$2)),((INT(AF$2/$L8)-INT((AF$2-1)/$L8))*$U8*((1+Inputs!$D$7)^AF$2))),(_xlfn.WEIBULL.DIST(AF$2,$M8,$L8,FALSE)*$U8*((1+Inputs!$D$7)^AF$2))),IF($N8=Lists!$K$3,IF($L8&lt;1,((($T8*(1-$F8)+$S8*(1-$G8))/$L8)*((1+Inputs!$D$7)^AF$2)),((INT(AF$2/$L8)-INT((AF$2-1)/$L8))*($T8*(1-$F8)+$S8*(1-$G8))*((1+Inputs!$D$7)^AF$2))),((_xlfn.WEIBULL.DIST(AF$2,$M8,$L8,FALSE)*($T8*(1-$F8)+$S8*(1-$G8))*((1+Inputs!$D$7)^AF$2))))))</f>
        <v>25.896754540063721</v>
      </c>
      <c r="AG8" s="88">
        <f>$E8*IF(AG$2&gt;Inputs!$D$5,0,IF(AG$2&gt;VLOOKUP($H8,Lists!$P$3:$Q$7,2),IF($N8=Lists!$K$3,IF($L8&lt;1,(($U8/$L8)*((1+Inputs!$D$7)^AG$2)),((INT(AG$2/$L8)-INT((AG$2-1)/$L8))*$U8*((1+Inputs!$D$7)^AG$2))),(_xlfn.WEIBULL.DIST(AG$2,$M8,$L8,FALSE)*$U8*((1+Inputs!$D$7)^AG$2))),IF($N8=Lists!$K$3,IF($L8&lt;1,((($T8*(1-$F8)+$S8*(1-$G8))/$L8)*((1+Inputs!$D$7)^AG$2)),((INT(AG$2/$L8)-INT((AG$2-1)/$L8))*($T8*(1-$F8)+$S8*(1-$G8))*((1+Inputs!$D$7)^AG$2))),((_xlfn.WEIBULL.DIST(AG$2,$M8,$L8,FALSE)*($T8*(1-$F8)+$S8*(1-$G8))*((1+Inputs!$D$7)^AG$2))))))</f>
        <v>26.414689630864988</v>
      </c>
      <c r="AH8" s="88">
        <f>$E8*IF(AH$2&gt;Inputs!$D$5,0,IF(AH$2&gt;VLOOKUP($H8,Lists!$P$3:$Q$7,2),IF($N8=Lists!$K$3,IF($L8&lt;1,(($U8/$L8)*((1+Inputs!$D$7)^AH$2)),((INT(AH$2/$L8)-INT((AH$2-1)/$L8))*$U8*((1+Inputs!$D$7)^AH$2))),(_xlfn.WEIBULL.DIST(AH$2,$M8,$L8,FALSE)*$U8*((1+Inputs!$D$7)^AH$2))),IF($N8=Lists!$K$3,IF($L8&lt;1,((($T8*(1-$F8)+$S8*(1-$G8))/$L8)*((1+Inputs!$D$7)^AH$2)),((INT(AH$2/$L8)-INT((AH$2-1)/$L8))*($T8*(1-$F8)+$S8*(1-$G8))*((1+Inputs!$D$7)^AH$2))),((_xlfn.WEIBULL.DIST(AH$2,$M8,$L8,FALSE)*($T8*(1-$F8)+$S8*(1-$G8))*((1+Inputs!$D$7)^AH$2))))))</f>
        <v>26.942983423482293</v>
      </c>
      <c r="AI8" s="88">
        <f>$E8*IF(AI$2&gt;Inputs!$D$5,0,IF(AI$2&gt;VLOOKUP($H8,Lists!$P$3:$Q$7,2),IF($N8=Lists!$K$3,IF($L8&lt;1,(($U8/$L8)*((1+Inputs!$D$7)^AI$2)),((INT(AI$2/$L8)-INT((AI$2-1)/$L8))*$U8*((1+Inputs!$D$7)^AI$2))),(_xlfn.WEIBULL.DIST(AI$2,$M8,$L8,FALSE)*$U8*((1+Inputs!$D$7)^AI$2))),IF($N8=Lists!$K$3,IF($L8&lt;1,((($T8*(1-$F8)+$S8*(1-$G8))/$L8)*((1+Inputs!$D$7)^AI$2)),((INT(AI$2/$L8)-INT((AI$2-1)/$L8))*($T8*(1-$F8)+$S8*(1-$G8))*((1+Inputs!$D$7)^AI$2))),((_xlfn.WEIBULL.DIST(AI$2,$M8,$L8,FALSE)*($T8*(1-$F8)+$S8*(1-$G8))*((1+Inputs!$D$7)^AI$2))))))</f>
        <v>27.481843091951937</v>
      </c>
      <c r="AJ8" s="88">
        <f>$E8*IF(AJ$2&gt;Inputs!$D$5,0,IF(AJ$2&gt;VLOOKUP($H8,Lists!$P$3:$Q$7,2),IF($N8=Lists!$K$3,IF($L8&lt;1,(($U8/$L8)*((1+Inputs!$D$7)^AJ$2)),((INT(AJ$2/$L8)-INT((AJ$2-1)/$L8))*$U8*((1+Inputs!$D$7)^AJ$2))),(_xlfn.WEIBULL.DIST(AJ$2,$M8,$L8,FALSE)*$U8*((1+Inputs!$D$7)^AJ$2))),IF($N8=Lists!$K$3,IF($L8&lt;1,((($T8*(1-$F8)+$S8*(1-$G8))/$L8)*((1+Inputs!$D$7)^AJ$2)),((INT(AJ$2/$L8)-INT((AJ$2-1)/$L8))*($T8*(1-$F8)+$S8*(1-$G8))*((1+Inputs!$D$7)^AJ$2))),((_xlfn.WEIBULL.DIST(AJ$2,$M8,$L8,FALSE)*($T8*(1-$F8)+$S8*(1-$G8))*((1+Inputs!$D$7)^AJ$2))))))</f>
        <v>28.031479953790978</v>
      </c>
      <c r="AK8" s="88">
        <f>$E8*IF(AK$2&gt;Inputs!$D$5,0,IF(AK$2&gt;VLOOKUP($H8,Lists!$P$3:$Q$7,2),IF($N8=Lists!$K$3,IF($L8&lt;1,(($U8/$L8)*((1+Inputs!$D$7)^AK$2)),((INT(AK$2/$L8)-INT((AK$2-1)/$L8))*$U8*((1+Inputs!$D$7)^AK$2))),(_xlfn.WEIBULL.DIST(AK$2,$M8,$L8,FALSE)*$U8*((1+Inputs!$D$7)^AK$2))),IF($N8=Lists!$K$3,IF($L8&lt;1,((($T8*(1-$F8)+$S8*(1-$G8))/$L8)*((1+Inputs!$D$7)^AK$2)),((INT(AK$2/$L8)-INT((AK$2-1)/$L8))*($T8*(1-$F8)+$S8*(1-$G8))*((1+Inputs!$D$7)^AK$2))),((_xlfn.WEIBULL.DIST(AK$2,$M8,$L8,FALSE)*($T8*(1-$F8)+$S8*(1-$G8))*((1+Inputs!$D$7)^AK$2))))))</f>
        <v>28.592109552866791</v>
      </c>
      <c r="AL8" s="88">
        <f>$E8*IF(AL$2&gt;Inputs!$D$5,0,IF(AL$2&gt;VLOOKUP($H8,Lists!$P$3:$Q$7,2),IF($N8=Lists!$K$3,IF($L8&lt;1,(($U8/$L8)*((1+Inputs!$D$7)^AL$2)),((INT(AL$2/$L8)-INT((AL$2-1)/$L8))*$U8*((1+Inputs!$D$7)^AL$2))),(_xlfn.WEIBULL.DIST(AL$2,$M8,$L8,FALSE)*$U8*((1+Inputs!$D$7)^AL$2))),IF($N8=Lists!$K$3,IF($L8&lt;1,((($T8*(1-$F8)+$S8*(1-$G8))/$L8)*((1+Inputs!$D$7)^AL$2)),((INT(AL$2/$L8)-INT((AL$2-1)/$L8))*($T8*(1-$F8)+$S8*(1-$G8))*((1+Inputs!$D$7)^AL$2))),((_xlfn.WEIBULL.DIST(AL$2,$M8,$L8,FALSE)*($T8*(1-$F8)+$S8*(1-$G8))*((1+Inputs!$D$7)^AL$2))))))</f>
        <v>29.163951743924134</v>
      </c>
      <c r="AM8" s="88">
        <f>$E8*IF(AM$2&gt;Inputs!$D$5,0,IF(AM$2&gt;VLOOKUP($H8,Lists!$P$3:$Q$7,2),IF($N8=Lists!$K$3,IF($L8&lt;1,(($U8/$L8)*((1+Inputs!$D$7)^AM$2)),((INT(AM$2/$L8)-INT((AM$2-1)/$L8))*$U8*((1+Inputs!$D$7)^AM$2))),(_xlfn.WEIBULL.DIST(AM$2,$M8,$L8,FALSE)*$U8*((1+Inputs!$D$7)^AM$2))),IF($N8=Lists!$K$3,IF($L8&lt;1,((($T8*(1-$F8)+$S8*(1-$G8))/$L8)*((1+Inputs!$D$7)^AM$2)),((INT(AM$2/$L8)-INT((AM$2-1)/$L8))*($T8*(1-$F8)+$S8*(1-$G8))*((1+Inputs!$D$7)^AM$2))),((_xlfn.WEIBULL.DIST(AM$2,$M8,$L8,FALSE)*($T8*(1-$F8)+$S8*(1-$G8))*((1+Inputs!$D$7)^AM$2))))))</f>
        <v>29.747230778802614</v>
      </c>
      <c r="AN8" s="88">
        <f>$E8*IF(AN$2&gt;Inputs!$D$5,0,IF(AN$2&gt;VLOOKUP($H8,Lists!$P$3:$Q$7,2),IF($N8=Lists!$K$3,IF($L8&lt;1,(($U8/$L8)*((1+Inputs!$D$7)^AN$2)),((INT(AN$2/$L8)-INT((AN$2-1)/$L8))*$U8*((1+Inputs!$D$7)^AN$2))),(_xlfn.WEIBULL.DIST(AN$2,$M8,$L8,FALSE)*$U8*((1+Inputs!$D$7)^AN$2))),IF($N8=Lists!$K$3,IF($L8&lt;1,((($T8*(1-$F8)+$S8*(1-$G8))/$L8)*((1+Inputs!$D$7)^AN$2)),((INT(AN$2/$L8)-INT((AN$2-1)/$L8))*($T8*(1-$F8)+$S8*(1-$G8))*((1+Inputs!$D$7)^AN$2))),((_xlfn.WEIBULL.DIST(AN$2,$M8,$L8,FALSE)*($T8*(1-$F8)+$S8*(1-$G8))*((1+Inputs!$D$7)^AN$2))))))</f>
        <v>30.342175394378668</v>
      </c>
      <c r="AO8" s="88">
        <f>$E8*IF(AO$2&gt;Inputs!$D$5,0,IF(AO$2&gt;VLOOKUP($H8,Lists!$P$3:$Q$7,2),IF($N8=Lists!$K$3,IF($L8&lt;1,(($U8/$L8)*((1+Inputs!$D$7)^AO$2)),((INT(AO$2/$L8)-INT((AO$2-1)/$L8))*$U8*((1+Inputs!$D$7)^AO$2))),(_xlfn.WEIBULL.DIST(AO$2,$M8,$L8,FALSE)*$U8*((1+Inputs!$D$7)^AO$2))),IF($N8=Lists!$K$3,IF($L8&lt;1,((($T8*(1-$F8)+$S8*(1-$G8))/$L8)*((1+Inputs!$D$7)^AO$2)),((INT(AO$2/$L8)-INT((AO$2-1)/$L8))*($T8*(1-$F8)+$S8*(1-$G8))*((1+Inputs!$D$7)^AO$2))),((_xlfn.WEIBULL.DIST(AO$2,$M8,$L8,FALSE)*($T8*(1-$F8)+$S8*(1-$G8))*((1+Inputs!$D$7)^AO$2))))))</f>
        <v>30.949018902266232</v>
      </c>
      <c r="AP8" s="88">
        <f>$E8*IF(AP$2&gt;Inputs!$D$5,0,IF(AP$2&gt;VLOOKUP($H8,Lists!$P$3:$Q$7,2),IF($N8=Lists!$K$3,IF($L8&lt;1,(($U8/$L8)*((1+Inputs!$D$7)^AP$2)),((INT(AP$2/$L8)-INT((AP$2-1)/$L8))*$U8*((1+Inputs!$D$7)^AP$2))),(_xlfn.WEIBULL.DIST(AP$2,$M8,$L8,FALSE)*$U8*((1+Inputs!$D$7)^AP$2))),IF($N8=Lists!$K$3,IF($L8&lt;1,((($T8*(1-$F8)+$S8*(1-$G8))/$L8)*((1+Inputs!$D$7)^AP$2)),((INT(AP$2/$L8)-INT((AP$2-1)/$L8))*($T8*(1-$F8)+$S8*(1-$G8))*((1+Inputs!$D$7)^AP$2))),((_xlfn.WEIBULL.DIST(AP$2,$M8,$L8,FALSE)*($T8*(1-$F8)+$S8*(1-$G8))*((1+Inputs!$D$7)^AP$2))))))</f>
        <v>31.567999280311565</v>
      </c>
      <c r="AQ8" s="88">
        <f>$E8*IF(AQ$2&gt;Inputs!$D$5,0,IF(AQ$2&gt;VLOOKUP($H8,Lists!$P$3:$Q$7,2),IF($N8=Lists!$K$3,IF($L8&lt;1,(($U8/$L8)*((1+Inputs!$D$7)^AQ$2)),((INT(AQ$2/$L8)-INT((AQ$2-1)/$L8))*$U8*((1+Inputs!$D$7)^AQ$2))),(_xlfn.WEIBULL.DIST(AQ$2,$M8,$L8,FALSE)*$U8*((1+Inputs!$D$7)^AQ$2))),IF($N8=Lists!$K$3,IF($L8&lt;1,((($T8*(1-$F8)+$S8*(1-$G8))/$L8)*((1+Inputs!$D$7)^AQ$2)),((INT(AQ$2/$L8)-INT((AQ$2-1)/$L8))*($T8*(1-$F8)+$S8*(1-$G8))*((1+Inputs!$D$7)^AQ$2))),((_xlfn.WEIBULL.DIST(AQ$2,$M8,$L8,FALSE)*($T8*(1-$F8)+$S8*(1-$G8))*((1+Inputs!$D$7)^AQ$2))))))</f>
        <v>32.199359265917799</v>
      </c>
      <c r="AR8" s="88">
        <f>$E8*IF(AR$2&gt;Inputs!$D$5,0,IF(AR$2&gt;VLOOKUP($H8,Lists!$P$3:$Q$7,2),IF($N8=Lists!$K$3,IF($L8&lt;1,(($U8/$L8)*((1+Inputs!$D$7)^AR$2)),((INT(AR$2/$L8)-INT((AR$2-1)/$L8))*$U8*((1+Inputs!$D$7)^AR$2))),(_xlfn.WEIBULL.DIST(AR$2,$M8,$L8,FALSE)*$U8*((1+Inputs!$D$7)^AR$2))),IF($N8=Lists!$K$3,IF($L8&lt;1,((($T8*(1-$F8)+$S8*(1-$G8))/$L8)*((1+Inputs!$D$7)^AR$2)),((INT(AR$2/$L8)-INT((AR$2-1)/$L8))*($T8*(1-$F8)+$S8*(1-$G8))*((1+Inputs!$D$7)^AR$2))),((_xlfn.WEIBULL.DIST(AR$2,$M8,$L8,FALSE)*($T8*(1-$F8)+$S8*(1-$G8))*((1+Inputs!$D$7)^AR$2))))))</f>
        <v>32.843346451236151</v>
      </c>
      <c r="AS8" s="88">
        <f>$E8*IF(AS$2&gt;Inputs!$D$5,0,IF(AS$2&gt;VLOOKUP($H8,Lists!$P$3:$Q$7,2),IF($N8=Lists!$K$3,IF($L8&lt;1,(($U8/$L8)*((1+Inputs!$D$7)^AS$2)),((INT(AS$2/$L8)-INT((AS$2-1)/$L8))*$U8*((1+Inputs!$D$7)^AS$2))),(_xlfn.WEIBULL.DIST(AS$2,$M8,$L8,FALSE)*$U8*((1+Inputs!$D$7)^AS$2))),IF($N8=Lists!$K$3,IF($L8&lt;1,((($T8*(1-$F8)+$S8*(1-$G8))/$L8)*((1+Inputs!$D$7)^AS$2)),((INT(AS$2/$L8)-INT((AS$2-1)/$L8))*($T8*(1-$F8)+$S8*(1-$G8))*((1+Inputs!$D$7)^AS$2))),((_xlfn.WEIBULL.DIST(AS$2,$M8,$L8,FALSE)*($T8*(1-$F8)+$S8*(1-$G8))*((1+Inputs!$D$7)^AS$2))))))</f>
        <v>33.500213380260874</v>
      </c>
      <c r="AT8" s="88">
        <f>$E8*IF(AT$2&gt;Inputs!$D$5,0,IF(AT$2&gt;VLOOKUP($H8,Lists!$P$3:$Q$7,2),IF($N8=Lists!$K$3,IF($L8&lt;1,(($U8/$L8)*((1+Inputs!$D$7)^AT$2)),((INT(AT$2/$L8)-INT((AT$2-1)/$L8))*$U8*((1+Inputs!$D$7)^AT$2))),(_xlfn.WEIBULL.DIST(AT$2,$M8,$L8,FALSE)*$U8*((1+Inputs!$D$7)^AT$2))),IF($N8=Lists!$K$3,IF($L8&lt;1,((($T8*(1-$F8)+$S8*(1-$G8))/$L8)*((1+Inputs!$D$7)^AT$2)),((INT(AT$2/$L8)-INT((AT$2-1)/$L8))*($T8*(1-$F8)+$S8*(1-$G8))*((1+Inputs!$D$7)^AT$2))),((_xlfn.WEIBULL.DIST(AT$2,$M8,$L8,FALSE)*($T8*(1-$F8)+$S8*(1-$G8))*((1+Inputs!$D$7)^AT$2))))))</f>
        <v>34.170217647866089</v>
      </c>
      <c r="AU8" s="88">
        <f>$E8*IF(AU$2&gt;Inputs!$D$5,0,IF(AU$2&gt;VLOOKUP($H8,Lists!$P$3:$Q$7,2),IF($N8=Lists!$K$3,IF($L8&lt;1,(($U8/$L8)*((1+Inputs!$D$7)^AU$2)),((INT(AU$2/$L8)-INT((AU$2-1)/$L8))*$U8*((1+Inputs!$D$7)^AU$2))),(_xlfn.WEIBULL.DIST(AU$2,$M8,$L8,FALSE)*$U8*((1+Inputs!$D$7)^AU$2))),IF($N8=Lists!$K$3,IF($L8&lt;1,((($T8*(1-$F8)+$S8*(1-$G8))/$L8)*((1+Inputs!$D$7)^AU$2)),((INT(AU$2/$L8)-INT((AU$2-1)/$L8))*($T8*(1-$F8)+$S8*(1-$G8))*((1+Inputs!$D$7)^AU$2))),((_xlfn.WEIBULL.DIST(AU$2,$M8,$L8,FALSE)*($T8*(1-$F8)+$S8*(1-$G8))*((1+Inputs!$D$7)^AU$2))))))</f>
        <v>34.853622000823414</v>
      </c>
      <c r="AV8" s="88">
        <f>$E8*IF(AV$2&gt;Inputs!$D$5,0,IF(AV$2&gt;VLOOKUP($H8,Lists!$P$3:$Q$7,2),IF($N8=Lists!$K$3,IF($L8&lt;1,(($U8/$L8)*((1+Inputs!$D$7)^AV$2)),((INT(AV$2/$L8)-INT((AV$2-1)/$L8))*$U8*((1+Inputs!$D$7)^AV$2))),(_xlfn.WEIBULL.DIST(AV$2,$M8,$L8,FALSE)*$U8*((1+Inputs!$D$7)^AV$2))),IF($N8=Lists!$K$3,IF($L8&lt;1,((($T8*(1-$F8)+$S8*(1-$G8))/$L8)*((1+Inputs!$D$7)^AV$2)),((INT(AV$2/$L8)-INT((AV$2-1)/$L8))*($T8*(1-$F8)+$S8*(1-$G8))*((1+Inputs!$D$7)^AV$2))),((_xlfn.WEIBULL.DIST(AV$2,$M8,$L8,FALSE)*($T8*(1-$F8)+$S8*(1-$G8))*((1+Inputs!$D$7)^AV$2))))))</f>
        <v>35.550694440839884</v>
      </c>
      <c r="AW8" s="88">
        <f>$E8*IF(AW$2&gt;Inputs!$D$5,0,IF(AW$2&gt;VLOOKUP($H8,Lists!$P$3:$Q$7,2),IF($N8=Lists!$K$3,IF($L8&lt;1,(($U8/$L8)*((1+Inputs!$D$7)^AW$2)),((INT(AW$2/$L8)-INT((AW$2-1)/$L8))*$U8*((1+Inputs!$D$7)^AW$2))),(_xlfn.WEIBULL.DIST(AW$2,$M8,$L8,FALSE)*$U8*((1+Inputs!$D$7)^AW$2))),IF($N8=Lists!$K$3,IF($L8&lt;1,((($T8*(1-$F8)+$S8*(1-$G8))/$L8)*((1+Inputs!$D$7)^AW$2)),((INT(AW$2/$L8)-INT((AW$2-1)/$L8))*($T8*(1-$F8)+$S8*(1-$G8))*((1+Inputs!$D$7)^AW$2))),((_xlfn.WEIBULL.DIST(AW$2,$M8,$L8,FALSE)*($T8*(1-$F8)+$S8*(1-$G8))*((1+Inputs!$D$7)^AW$2))))))</f>
        <v>36.26170832965667</v>
      </c>
      <c r="AX8" s="88">
        <f>$E8*IF(AX$2&gt;Inputs!$D$5,0,IF(AX$2&gt;VLOOKUP($H8,Lists!$P$3:$Q$7,2),IF($N8=Lists!$K$3,IF($L8&lt;1,(($U8/$L8)*((1+Inputs!$D$7)^AX$2)),((INT(AX$2/$L8)-INT((AX$2-1)/$L8))*$U8*((1+Inputs!$D$7)^AX$2))),(_xlfn.WEIBULL.DIST(AX$2,$M8,$L8,FALSE)*$U8*((1+Inputs!$D$7)^AX$2))),IF($N8=Lists!$K$3,IF($L8&lt;1,((($T8*(1-$F8)+$S8*(1-$G8))/$L8)*((1+Inputs!$D$7)^AX$2)),((INT(AX$2/$L8)-INT((AX$2-1)/$L8))*($T8*(1-$F8)+$S8*(1-$G8))*((1+Inputs!$D$7)^AX$2))),((_xlfn.WEIBULL.DIST(AX$2,$M8,$L8,FALSE)*($T8*(1-$F8)+$S8*(1-$G8))*((1+Inputs!$D$7)^AX$2))))))</f>
        <v>36.98694249624981</v>
      </c>
      <c r="AY8" s="88">
        <f>$E8*IF(AY$2&gt;Inputs!$D$5,0,IF(AY$2&gt;VLOOKUP($H8,Lists!$P$3:$Q$7,2),IF($N8=Lists!$K$3,IF($L8&lt;1,(($U8/$L8)*((1+Inputs!$D$7)^AY$2)),((INT(AY$2/$L8)-INT((AY$2-1)/$L8))*$U8*((1+Inputs!$D$7)^AY$2))),(_xlfn.WEIBULL.DIST(AY$2,$M8,$L8,FALSE)*$U8*((1+Inputs!$D$7)^AY$2))),IF($N8=Lists!$K$3,IF($L8&lt;1,((($T8*(1-$F8)+$S8*(1-$G8))/$L8)*((1+Inputs!$D$7)^AY$2)),((INT(AY$2/$L8)-INT((AY$2-1)/$L8))*($T8*(1-$F8)+$S8*(1-$G8))*((1+Inputs!$D$7)^AY$2))),((_xlfn.WEIBULL.DIST(AY$2,$M8,$L8,FALSE)*($T8*(1-$F8)+$S8*(1-$G8))*((1+Inputs!$D$7)^AY$2))))))</f>
        <v>37.726681346174807</v>
      </c>
      <c r="AZ8" s="88">
        <f>$E8*IF(AZ$2&gt;Inputs!$D$5,0,IF(AZ$2&gt;VLOOKUP($H8,Lists!$P$3:$Q$7,2),IF($N8=Lists!$K$3,IF($L8&lt;1,(($U8/$L8)*((1+Inputs!$D$7)^AZ$2)),((INT(AZ$2/$L8)-INT((AZ$2-1)/$L8))*$U8*((1+Inputs!$D$7)^AZ$2))),(_xlfn.WEIBULL.DIST(AZ$2,$M8,$L8,FALSE)*$U8*((1+Inputs!$D$7)^AZ$2))),IF($N8=Lists!$K$3,IF($L8&lt;1,((($T8*(1-$F8)+$S8*(1-$G8))/$L8)*((1+Inputs!$D$7)^AZ$2)),((INT(AZ$2/$L8)-INT((AZ$2-1)/$L8))*($T8*(1-$F8)+$S8*(1-$G8))*((1+Inputs!$D$7)^AZ$2))),((_xlfn.WEIBULL.DIST(AZ$2,$M8,$L8,FALSE)*($T8*(1-$F8)+$S8*(1-$G8))*((1+Inputs!$D$7)^AZ$2))))))</f>
        <v>0</v>
      </c>
      <c r="BA8" s="88">
        <f>$E8*IF(BA$2&gt;Inputs!$D$5,0,IF(BA$2&gt;VLOOKUP($H8,Lists!$P$3:$Q$7,2),IF($N8=Lists!$K$3,IF($L8&lt;1,(($U8/$L8)*((1+Inputs!$D$7)^BA$2)),((INT(BA$2/$L8)-INT((BA$2-1)/$L8))*$U8*((1+Inputs!$D$7)^BA$2))),(_xlfn.WEIBULL.DIST(BA$2,$M8,$L8,FALSE)*$U8*((1+Inputs!$D$7)^BA$2))),IF($N8=Lists!$K$3,IF($L8&lt;1,((($T8*(1-$F8)+$S8*(1-$G8))/$L8)*((1+Inputs!$D$7)^BA$2)),((INT(BA$2/$L8)-INT((BA$2-1)/$L8))*($T8*(1-$F8)+$S8*(1-$G8))*((1+Inputs!$D$7)^BA$2))),((_xlfn.WEIBULL.DIST(BA$2,$M8,$L8,FALSE)*($T8*(1-$F8)+$S8*(1-$G8))*((1+Inputs!$D$7)^BA$2))))))</f>
        <v>0</v>
      </c>
      <c r="BB8" s="88">
        <f>$E8*IF(BB$2&gt;Inputs!$D$5,0,IF(BB$2&gt;VLOOKUP($H8,Lists!$P$3:$Q$7,2),IF($N8=Lists!$K$3,IF($L8&lt;1,(($U8/$L8)*((1+Inputs!$D$7)^BB$2)),((INT(BB$2/$L8)-INT((BB$2-1)/$L8))*$U8*((1+Inputs!$D$7)^BB$2))),(_xlfn.WEIBULL.DIST(BB$2,$M8,$L8,FALSE)*$U8*((1+Inputs!$D$7)^BB$2))),IF($N8=Lists!$K$3,IF($L8&lt;1,((($T8*(1-$F8)+$S8*(1-$G8))/$L8)*((1+Inputs!$D$7)^BB$2)),((INT(BB$2/$L8)-INT((BB$2-1)/$L8))*($T8*(1-$F8)+$S8*(1-$G8))*((1+Inputs!$D$7)^BB$2))),((_xlfn.WEIBULL.DIST(BB$2,$M8,$L8,FALSE)*($T8*(1-$F8)+$S8*(1-$G8))*((1+Inputs!$D$7)^BB$2))))))</f>
        <v>0</v>
      </c>
      <c r="BC8" s="88">
        <f>$E8*IF(BC$2&gt;Inputs!$D$5,0,IF(BC$2&gt;VLOOKUP($H8,Lists!$P$3:$Q$7,2),IF($N8=Lists!$K$3,IF($L8&lt;1,(($U8/$L8)*((1+Inputs!$D$7)^BC$2)),((INT(BC$2/$L8)-INT((BC$2-1)/$L8))*$U8*((1+Inputs!$D$7)^BC$2))),(_xlfn.WEIBULL.DIST(BC$2,$M8,$L8,FALSE)*$U8*((1+Inputs!$D$7)^BC$2))),IF($N8=Lists!$K$3,IF($L8&lt;1,((($T8*(1-$F8)+$S8*(1-$G8))/$L8)*((1+Inputs!$D$7)^BC$2)),((INT(BC$2/$L8)-INT((BC$2-1)/$L8))*($T8*(1-$F8)+$S8*(1-$G8))*((1+Inputs!$D$7)^BC$2))),((_xlfn.WEIBULL.DIST(BC$2,$M8,$L8,FALSE)*($T8*(1-$F8)+$S8*(1-$G8))*((1+Inputs!$D$7)^BC$2))))))</f>
        <v>0</v>
      </c>
      <c r="BD8" s="88">
        <f>$E8*IF(BD$2&gt;Inputs!$D$5,0,IF(BD$2&gt;VLOOKUP($H8,Lists!$P$3:$Q$7,2),IF($N8=Lists!$K$3,IF($L8&lt;1,(($U8/$L8)*((1+Inputs!$D$7)^BD$2)),((INT(BD$2/$L8)-INT((BD$2-1)/$L8))*$U8*((1+Inputs!$D$7)^BD$2))),(_xlfn.WEIBULL.DIST(BD$2,$M8,$L8,FALSE)*$U8*((1+Inputs!$D$7)^BD$2))),IF($N8=Lists!$K$3,IF($L8&lt;1,((($T8*(1-$F8)+$S8*(1-$G8))/$L8)*((1+Inputs!$D$7)^BD$2)),((INT(BD$2/$L8)-INT((BD$2-1)/$L8))*($T8*(1-$F8)+$S8*(1-$G8))*((1+Inputs!$D$7)^BD$2))),((_xlfn.WEIBULL.DIST(BD$2,$M8,$L8,FALSE)*($T8*(1-$F8)+$S8*(1-$G8))*((1+Inputs!$D$7)^BD$2))))))</f>
        <v>0</v>
      </c>
      <c r="BE8" s="88">
        <f>$E8*IF(BE$2&gt;Inputs!$D$5,0,IF(BE$2&gt;VLOOKUP($H8,Lists!$P$3:$Q$7,2),IF($N8=Lists!$K$3,IF($L8&lt;1,(($U8/$L8)*((1+Inputs!$D$7)^BE$2)),((INT(BE$2/$L8)-INT((BE$2-1)/$L8))*$U8*((1+Inputs!$D$7)^BE$2))),(_xlfn.WEIBULL.DIST(BE$2,$M8,$L8,FALSE)*$U8*((1+Inputs!$D$7)^BE$2))),IF($N8=Lists!$K$3,IF($L8&lt;1,((($T8*(1-$F8)+$S8*(1-$G8))/$L8)*((1+Inputs!$D$7)^BE$2)),((INT(BE$2/$L8)-INT((BE$2-1)/$L8))*($T8*(1-$F8)+$S8*(1-$G8))*((1+Inputs!$D$7)^BE$2))),((_xlfn.WEIBULL.DIST(BE$2,$M8,$L8,FALSE)*($T8*(1-$F8)+$S8*(1-$G8))*((1+Inputs!$D$7)^BE$2))))))</f>
        <v>0</v>
      </c>
      <c r="BF8" s="88">
        <f>$E8*IF(BF$2&gt;Inputs!$D$5,0,IF(BF$2&gt;VLOOKUP($H8,Lists!$P$3:$Q$7,2),IF($N8=Lists!$K$3,IF($L8&lt;1,(($U8/$L8)*((1+Inputs!$D$7)^BF$2)),((INT(BF$2/$L8)-INT((BF$2-1)/$L8))*$U8*((1+Inputs!$D$7)^BF$2))),(_xlfn.WEIBULL.DIST(BF$2,$M8,$L8,FALSE)*$U8*((1+Inputs!$D$7)^BF$2))),IF($N8=Lists!$K$3,IF($L8&lt;1,((($T8*(1-$F8)+$S8*(1-$G8))/$L8)*((1+Inputs!$D$7)^BF$2)),((INT(BF$2/$L8)-INT((BF$2-1)/$L8))*($T8*(1-$F8)+$S8*(1-$G8))*((1+Inputs!$D$7)^BF$2))),((_xlfn.WEIBULL.DIST(BF$2,$M8,$L8,FALSE)*($T8*(1-$F8)+$S8*(1-$G8))*((1+Inputs!$D$7)^BF$2))))))</f>
        <v>0</v>
      </c>
      <c r="BG8" s="88">
        <f>$E8*IF(BG$2&gt;Inputs!$D$5,0,IF(BG$2&gt;VLOOKUP($H8,Lists!$P$3:$Q$7,2),IF($N8=Lists!$K$3,IF($L8&lt;1,(($U8/$L8)*((1+Inputs!$D$7)^BG$2)),((INT(BG$2/$L8)-INT((BG$2-1)/$L8))*$U8*((1+Inputs!$D$7)^BG$2))),(_xlfn.WEIBULL.DIST(BG$2,$M8,$L8,FALSE)*$U8*((1+Inputs!$D$7)^BG$2))),IF($N8=Lists!$K$3,IF($L8&lt;1,((($T8*(1-$F8)+$S8*(1-$G8))/$L8)*((1+Inputs!$D$7)^BG$2)),((INT(BG$2/$L8)-INT((BG$2-1)/$L8))*($T8*(1-$F8)+$S8*(1-$G8))*((1+Inputs!$D$7)^BG$2))),((_xlfn.WEIBULL.DIST(BG$2,$M8,$L8,FALSE)*($T8*(1-$F8)+$S8*(1-$G8))*((1+Inputs!$D$7)^BG$2))))))</f>
        <v>0</v>
      </c>
      <c r="BH8" s="88">
        <f>$E8*IF(BH$2&gt;Inputs!$D$5,0,IF(BH$2&gt;VLOOKUP($H8,Lists!$P$3:$Q$7,2),IF($N8=Lists!$K$3,IF($L8&lt;1,(($U8/$L8)*((1+Inputs!$D$7)^BH$2)),((INT(BH$2/$L8)-INT((BH$2-1)/$L8))*$U8*((1+Inputs!$D$7)^BH$2))),(_xlfn.WEIBULL.DIST(BH$2,$M8,$L8,FALSE)*$U8*((1+Inputs!$D$7)^BH$2))),IF($N8=Lists!$K$3,IF($L8&lt;1,((($T8*(1-$F8)+$S8*(1-$G8))/$L8)*((1+Inputs!$D$7)^BH$2)),((INT(BH$2/$L8)-INT((BH$2-1)/$L8))*($T8*(1-$F8)+$S8*(1-$G8))*((1+Inputs!$D$7)^BH$2))),((_xlfn.WEIBULL.DIST(BH$2,$M8,$L8,FALSE)*($T8*(1-$F8)+$S8*(1-$G8))*((1+Inputs!$D$7)^BH$2))))))</f>
        <v>0</v>
      </c>
      <c r="BI8" s="88">
        <f>$E8*IF(BI$2&gt;Inputs!$D$5,0,IF(BI$2&gt;VLOOKUP($H8,Lists!$P$3:$Q$7,2),IF($N8=Lists!$K$3,IF($L8&lt;1,(($U8/$L8)*((1+Inputs!$D$7)^BI$2)),((INT(BI$2/$L8)-INT((BI$2-1)/$L8))*$U8*((1+Inputs!$D$7)^BI$2))),(_xlfn.WEIBULL.DIST(BI$2,$M8,$L8,FALSE)*$U8*((1+Inputs!$D$7)^BI$2))),IF($N8=Lists!$K$3,IF($L8&lt;1,((($T8*(1-$F8)+$S8*(1-$G8))/$L8)*((1+Inputs!$D$7)^BI$2)),((INT(BI$2/$L8)-INT((BI$2-1)/$L8))*($T8*(1-$F8)+$S8*(1-$G8))*((1+Inputs!$D$7)^BI$2))),((_xlfn.WEIBULL.DIST(BI$2,$M8,$L8,FALSE)*($T8*(1-$F8)+$S8*(1-$G8))*((1+Inputs!$D$7)^BI$2))))))</f>
        <v>0</v>
      </c>
      <c r="BJ8" s="88">
        <f>$E8*IF(BJ$2&gt;Inputs!$D$5,0,IF(BJ$2&gt;VLOOKUP($H8,Lists!$P$3:$Q$7,2),IF($N8=Lists!$K$3,IF($L8&lt;1,(($U8/$L8)*((1+Inputs!$D$7)^BJ$2)),((INT(BJ$2/$L8)-INT((BJ$2-1)/$L8))*$U8*((1+Inputs!$D$7)^BJ$2))),(_xlfn.WEIBULL.DIST(BJ$2,$M8,$L8,FALSE)*$U8*((1+Inputs!$D$7)^BJ$2))),IF($N8=Lists!$K$3,IF($L8&lt;1,((($T8*(1-$F8)+$S8*(1-$G8))/$L8)*((1+Inputs!$D$7)^BJ$2)),((INT(BJ$2/$L8)-INT((BJ$2-1)/$L8))*($T8*(1-$F8)+$S8*(1-$G8))*((1+Inputs!$D$7)^BJ$2))),((_xlfn.WEIBULL.DIST(BJ$2,$M8,$L8,FALSE)*($T8*(1-$F8)+$S8*(1-$G8))*((1+Inputs!$D$7)^BJ$2))))))</f>
        <v>0</v>
      </c>
      <c r="BK8" s="88">
        <f>$E8*IF(BK$2&gt;Inputs!$D$5,0,IF(BK$2&gt;VLOOKUP($H8,Lists!$P$3:$Q$7,2),IF($N8=Lists!$K$3,IF($L8&lt;1,(($U8/$L8)*((1+Inputs!$D$7)^BK$2)),((INT(BK$2/$L8)-INT((BK$2-1)/$L8))*$U8*((1+Inputs!$D$7)^BK$2))),(_xlfn.WEIBULL.DIST(BK$2,$M8,$L8,FALSE)*$U8*((1+Inputs!$D$7)^BK$2))),IF($N8=Lists!$K$3,IF($L8&lt;1,((($T8*(1-$F8)+$S8*(1-$G8))/$L8)*((1+Inputs!$D$7)^BK$2)),((INT(BK$2/$L8)-INT((BK$2-1)/$L8))*($T8*(1-$F8)+$S8*(1-$G8))*((1+Inputs!$D$7)^BK$2))),((_xlfn.WEIBULL.DIST(BK$2,$M8,$L8,FALSE)*($T8*(1-$F8)+$S8*(1-$G8))*((1+Inputs!$D$7)^BK$2))))))</f>
        <v>0</v>
      </c>
      <c r="BL8" s="88">
        <f>$E8*IF(BL$2&gt;Inputs!$D$5,0,IF(BL$2&gt;VLOOKUP($H8,Lists!$P$3:$Q$7,2),IF($N8=Lists!$K$3,IF($L8&lt;1,(($U8/$L8)*((1+Inputs!$D$7)^BL$2)),((INT(BL$2/$L8)-INT((BL$2-1)/$L8))*$U8*((1+Inputs!$D$7)^BL$2))),(_xlfn.WEIBULL.DIST(BL$2,$M8,$L8,FALSE)*$U8*((1+Inputs!$D$7)^BL$2))),IF($N8=Lists!$K$3,IF($L8&lt;1,((($T8*(1-$F8)+$S8*(1-$G8))/$L8)*((1+Inputs!$D$7)^BL$2)),((INT(BL$2/$L8)-INT((BL$2-1)/$L8))*($T8*(1-$F8)+$S8*(1-$G8))*((1+Inputs!$D$7)^BL$2))),((_xlfn.WEIBULL.DIST(BL$2,$M8,$L8,FALSE)*($T8*(1-$F8)+$S8*(1-$G8))*((1+Inputs!$D$7)^BL$2))))))</f>
        <v>0</v>
      </c>
      <c r="BM8" s="88">
        <f>$E8*IF(BM$2&gt;Inputs!$D$5,0,IF(BM$2&gt;VLOOKUP($H8,Lists!$P$3:$Q$7,2),IF($N8=Lists!$K$3,IF($L8&lt;1,(($U8/$L8)*((1+Inputs!$D$7)^BM$2)),((INT(BM$2/$L8)-INT((BM$2-1)/$L8))*$U8*((1+Inputs!$D$7)^BM$2))),(_xlfn.WEIBULL.DIST(BM$2,$M8,$L8,FALSE)*$U8*((1+Inputs!$D$7)^BM$2))),IF($N8=Lists!$K$3,IF($L8&lt;1,((($T8*(1-$F8)+$S8*(1-$G8))/$L8)*((1+Inputs!$D$7)^BM$2)),((INT(BM$2/$L8)-INT((BM$2-1)/$L8))*($T8*(1-$F8)+$S8*(1-$G8))*((1+Inputs!$D$7)^BM$2))),((_xlfn.WEIBULL.DIST(BM$2,$M8,$L8,FALSE)*($T8*(1-$F8)+$S8*(1-$G8))*((1+Inputs!$D$7)^BM$2))))))</f>
        <v>0</v>
      </c>
      <c r="BN8" s="88">
        <f>$E8*IF(BN$2&gt;Inputs!$D$5,0,IF(BN$2&gt;VLOOKUP($H8,Lists!$P$3:$Q$7,2),IF($N8=Lists!$K$3,IF($L8&lt;1,(($U8/$L8)*((1+Inputs!$D$7)^BN$2)),((INT(BN$2/$L8)-INT((BN$2-1)/$L8))*$U8*((1+Inputs!$D$7)^BN$2))),(_xlfn.WEIBULL.DIST(BN$2,$M8,$L8,FALSE)*$U8*((1+Inputs!$D$7)^BN$2))),IF($N8=Lists!$K$3,IF($L8&lt;1,((($T8*(1-$F8)+$S8*(1-$G8))/$L8)*((1+Inputs!$D$7)^BN$2)),((INT(BN$2/$L8)-INT((BN$2-1)/$L8))*($T8*(1-$F8)+$S8*(1-$G8))*((1+Inputs!$D$7)^BN$2))),((_xlfn.WEIBULL.DIST(BN$2,$M8,$L8,FALSE)*($T8*(1-$F8)+$S8*(1-$G8))*((1+Inputs!$D$7)^BN$2))))))</f>
        <v>0</v>
      </c>
      <c r="BO8" s="64">
        <f>NPV(Inputs!$D$6,BQ8:DD8)</f>
        <v>327.30712505377187</v>
      </c>
      <c r="BP8" s="67">
        <f t="shared" si="6"/>
        <v>1.5437401954091233E-4</v>
      </c>
      <c r="BQ8" s="88">
        <f>MAX(AA8,($E8*IF(BQ$2&gt;Inputs!$D$5,0,IF(BQ$2&gt;VLOOKUP($H8,Lists!$P$3:$Q$7,2),IF($N8=Lists!$K$3,IF($L8&lt;1,(($U8/$L8)*((1+Inputs!$D$7)^BQ$2)),((INT(BQ$2/$L8)-INT((BQ$2-1)/$L8))*$U8*((1+Inputs!$D$7)^BQ$2))),(Inputs!$D$8^((1-_xlfn.WEIBULL.DIST(BQ$2,$M8,$L8,FALSE))/_xlfn.WEIBULL.DIST(BQ$2,$M8,$L8,FALSE))*$U8*((1+Inputs!$D$7)^BQ$2))),IF($N8=Lists!$K$3,IF($L8&lt;1,((($T8*(1-$F8)+$S8*(1-$G8))/$L8)*((1+Inputs!$D$7)^BQ$2)),((INT(BQ$2/$L8)-INT((BQ$2-1)/$L8))*($T8*(1-$F8)+$S8*(1-$G8))*((1+Inputs!$D$7)^BQ$2))),((Inputs!$D$8^((1-_xlfn.WEIBULL.DIST(BQ$2,$M8,$L8,FALSE))/_xlfn.WEIBULL.DIST(BQ$2,$M8,$L8,FALSE))*($T8*(1-$F8)+$S8*(1-$G8))*((1+Inputs!$D$7)^BQ$2))))))))</f>
        <v>23.455488461538465</v>
      </c>
      <c r="BR8" s="88">
        <f>MAX(AB8,($E8*IF(BR$2&gt;Inputs!$D$5,0,IF(BR$2&gt;VLOOKUP($H8,Lists!$P$3:$Q$7,2),IF($N8=Lists!$K$3,IF($L8&lt;1,(($U8/$L8)*((1+Inputs!$D$7)^BR$2)),((INT(BR$2/$L8)-INT((BR$2-1)/$L8))*$U8*((1+Inputs!$D$7)^BR$2))),(Inputs!$D$8^((1-_xlfn.WEIBULL.DIST(BR$2,$M8,$L8,FALSE))/_xlfn.WEIBULL.DIST(BR$2,$M8,$L8,FALSE))*$U8*((1+Inputs!$D$7)^BR$2))),IF($N8=Lists!$K$3,IF($L8&lt;1,((($T8*(1-$F8)+$S8*(1-$G8))/$L8)*((1+Inputs!$D$7)^BR$2)),((INT(BR$2/$L8)-INT((BR$2-1)/$L8))*($T8*(1-$F8)+$S8*(1-$G8))*((1+Inputs!$D$7)^BR$2))),((Inputs!$D$8^((1-_xlfn.WEIBULL.DIST(BR$2,$M8,$L8,FALSE))/_xlfn.WEIBULL.DIST(BR$2,$M8,$L8,FALSE))*($T8*(1-$F8)+$S8*(1-$G8))*((1+Inputs!$D$7)^BR$2))))))))</f>
        <v>23.924598230769231</v>
      </c>
      <c r="BS8" s="88">
        <f>MAX(AC8,($E8*IF(BS$2&gt;Inputs!$D$5,0,IF(BS$2&gt;VLOOKUP($H8,Lists!$P$3:$Q$7,2),IF($N8=Lists!$K$3,IF($L8&lt;1,(($U8/$L8)*((1+Inputs!$D$7)^BS$2)),((INT(BS$2/$L8)-INT((BS$2-1)/$L8))*$U8*((1+Inputs!$D$7)^BS$2))),(Inputs!$D$8^((1-_xlfn.WEIBULL.DIST(BS$2,$M8,$L8,FALSE))/_xlfn.WEIBULL.DIST(BS$2,$M8,$L8,FALSE))*$U8*((1+Inputs!$D$7)^BS$2))),IF($N8=Lists!$K$3,IF($L8&lt;1,((($T8*(1-$F8)+$S8*(1-$G8))/$L8)*((1+Inputs!$D$7)^BS$2)),((INT(BS$2/$L8)-INT((BS$2-1)/$L8))*($T8*(1-$F8)+$S8*(1-$G8))*((1+Inputs!$D$7)^BS$2))),((Inputs!$D$8^((1-_xlfn.WEIBULL.DIST(BS$2,$M8,$L8,FALSE))/_xlfn.WEIBULL.DIST(BS$2,$M8,$L8,FALSE))*($T8*(1-$F8)+$S8*(1-$G8))*((1+Inputs!$D$7)^BS$2))))))))</f>
        <v>24.403090195384614</v>
      </c>
      <c r="BT8" s="88">
        <f>MAX(AD8,($E8*IF(BT$2&gt;Inputs!$D$5,0,IF(BT$2&gt;VLOOKUP($H8,Lists!$P$3:$Q$7,2),IF($N8=Lists!$K$3,IF($L8&lt;1,(($U8/$L8)*((1+Inputs!$D$7)^BT$2)),((INT(BT$2/$L8)-INT((BT$2-1)/$L8))*$U8*((1+Inputs!$D$7)^BT$2))),(Inputs!$D$8^((1-_xlfn.WEIBULL.DIST(BT$2,$M8,$L8,FALSE))/_xlfn.WEIBULL.DIST(BT$2,$M8,$L8,FALSE))*$U8*((1+Inputs!$D$7)^BT$2))),IF($N8=Lists!$K$3,IF($L8&lt;1,((($T8*(1-$F8)+$S8*(1-$G8))/$L8)*((1+Inputs!$D$7)^BT$2)),((INT(BT$2/$L8)-INT((BT$2-1)/$L8))*($T8*(1-$F8)+$S8*(1-$G8))*((1+Inputs!$D$7)^BT$2))),((Inputs!$D$8^((1-_xlfn.WEIBULL.DIST(BT$2,$M8,$L8,FALSE))/_xlfn.WEIBULL.DIST(BT$2,$M8,$L8,FALSE))*($T8*(1-$F8)+$S8*(1-$G8))*((1+Inputs!$D$7)^BT$2))))))))</f>
        <v>24.891151999292308</v>
      </c>
      <c r="BU8" s="88">
        <f>MAX(AE8,($E8*IF(BU$2&gt;Inputs!$D$5,0,IF(BU$2&gt;VLOOKUP($H8,Lists!$P$3:$Q$7,2),IF($N8=Lists!$K$3,IF($L8&lt;1,(($U8/$L8)*((1+Inputs!$D$7)^BU$2)),((INT(BU$2/$L8)-INT((BU$2-1)/$L8))*$U8*((1+Inputs!$D$7)^BU$2))),(Inputs!$D$8^((1-_xlfn.WEIBULL.DIST(BU$2,$M8,$L8,FALSE))/_xlfn.WEIBULL.DIST(BU$2,$M8,$L8,FALSE))*$U8*((1+Inputs!$D$7)^BU$2))),IF($N8=Lists!$K$3,IF($L8&lt;1,((($T8*(1-$F8)+$S8*(1-$G8))/$L8)*((1+Inputs!$D$7)^BU$2)),((INT(BU$2/$L8)-INT((BU$2-1)/$L8))*($T8*(1-$F8)+$S8*(1-$G8))*((1+Inputs!$D$7)^BU$2))),((Inputs!$D$8^((1-_xlfn.WEIBULL.DIST(BU$2,$M8,$L8,FALSE))/_xlfn.WEIBULL.DIST(BU$2,$M8,$L8,FALSE))*($T8*(1-$F8)+$S8*(1-$G8))*((1+Inputs!$D$7)^BU$2))))))))</f>
        <v>25.388975039278158</v>
      </c>
      <c r="BV8" s="88">
        <f>MAX(AF8,($E8*IF(BV$2&gt;Inputs!$D$5,0,IF(BV$2&gt;VLOOKUP($H8,Lists!$P$3:$Q$7,2),IF($N8=Lists!$K$3,IF($L8&lt;1,(($U8/$L8)*((1+Inputs!$D$7)^BV$2)),((INT(BV$2/$L8)-INT((BV$2-1)/$L8))*$U8*((1+Inputs!$D$7)^BV$2))),(Inputs!$D$8^((1-_xlfn.WEIBULL.DIST(BV$2,$M8,$L8,FALSE))/_xlfn.WEIBULL.DIST(BV$2,$M8,$L8,FALSE))*$U8*((1+Inputs!$D$7)^BV$2))),IF($N8=Lists!$K$3,IF($L8&lt;1,((($T8*(1-$F8)+$S8*(1-$G8))/$L8)*((1+Inputs!$D$7)^BV$2)),((INT(BV$2/$L8)-INT((BV$2-1)/$L8))*($T8*(1-$F8)+$S8*(1-$G8))*((1+Inputs!$D$7)^BV$2))),((Inputs!$D$8^((1-_xlfn.WEIBULL.DIST(BV$2,$M8,$L8,FALSE))/_xlfn.WEIBULL.DIST(BV$2,$M8,$L8,FALSE))*($T8*(1-$F8)+$S8*(1-$G8))*((1+Inputs!$D$7)^BV$2))))))))</f>
        <v>25.896754540063721</v>
      </c>
      <c r="BW8" s="88">
        <f>MAX(AG8,($E8*IF(BW$2&gt;Inputs!$D$5,0,IF(BW$2&gt;VLOOKUP($H8,Lists!$P$3:$Q$7,2),IF($N8=Lists!$K$3,IF($L8&lt;1,(($U8/$L8)*((1+Inputs!$D$7)^BW$2)),((INT(BW$2/$L8)-INT((BW$2-1)/$L8))*$U8*((1+Inputs!$D$7)^BW$2))),(Inputs!$D$8^((1-_xlfn.WEIBULL.DIST(BW$2,$M8,$L8,FALSE))/_xlfn.WEIBULL.DIST(BW$2,$M8,$L8,FALSE))*$U8*((1+Inputs!$D$7)^BW$2))),IF($N8=Lists!$K$3,IF($L8&lt;1,((($T8*(1-$F8)+$S8*(1-$G8))/$L8)*((1+Inputs!$D$7)^BW$2)),((INT(BW$2/$L8)-INT((BW$2-1)/$L8))*($T8*(1-$F8)+$S8*(1-$G8))*((1+Inputs!$D$7)^BW$2))),((Inputs!$D$8^((1-_xlfn.WEIBULL.DIST(BW$2,$M8,$L8,FALSE))/_xlfn.WEIBULL.DIST(BW$2,$M8,$L8,FALSE))*($T8*(1-$F8)+$S8*(1-$G8))*((1+Inputs!$D$7)^BW$2))))))))</f>
        <v>26.414689630864988</v>
      </c>
      <c r="BX8" s="88">
        <f>MAX(AH8,($E8*IF(BX$2&gt;Inputs!$D$5,0,IF(BX$2&gt;VLOOKUP($H8,Lists!$P$3:$Q$7,2),IF($N8=Lists!$K$3,IF($L8&lt;1,(($U8/$L8)*((1+Inputs!$D$7)^BX$2)),((INT(BX$2/$L8)-INT((BX$2-1)/$L8))*$U8*((1+Inputs!$D$7)^BX$2))),(Inputs!$D$8^((1-_xlfn.WEIBULL.DIST(BX$2,$M8,$L8,FALSE))/_xlfn.WEIBULL.DIST(BX$2,$M8,$L8,FALSE))*$U8*((1+Inputs!$D$7)^BX$2))),IF($N8=Lists!$K$3,IF($L8&lt;1,((($T8*(1-$F8)+$S8*(1-$G8))/$L8)*((1+Inputs!$D$7)^BX$2)),((INT(BX$2/$L8)-INT((BX$2-1)/$L8))*($T8*(1-$F8)+$S8*(1-$G8))*((1+Inputs!$D$7)^BX$2))),((Inputs!$D$8^((1-_xlfn.WEIBULL.DIST(BX$2,$M8,$L8,FALSE))/_xlfn.WEIBULL.DIST(BX$2,$M8,$L8,FALSE))*($T8*(1-$F8)+$S8*(1-$G8))*((1+Inputs!$D$7)^BX$2))))))))</f>
        <v>26.942983423482293</v>
      </c>
      <c r="BY8" s="88">
        <f>MAX(AI8,($E8*IF(BY$2&gt;Inputs!$D$5,0,IF(BY$2&gt;VLOOKUP($H8,Lists!$P$3:$Q$7,2),IF($N8=Lists!$K$3,IF($L8&lt;1,(($U8/$L8)*((1+Inputs!$D$7)^BY$2)),((INT(BY$2/$L8)-INT((BY$2-1)/$L8))*$U8*((1+Inputs!$D$7)^BY$2))),(Inputs!$D$8^((1-_xlfn.WEIBULL.DIST(BY$2,$M8,$L8,FALSE))/_xlfn.WEIBULL.DIST(BY$2,$M8,$L8,FALSE))*$U8*((1+Inputs!$D$7)^BY$2))),IF($N8=Lists!$K$3,IF($L8&lt;1,((($T8*(1-$F8)+$S8*(1-$G8))/$L8)*((1+Inputs!$D$7)^BY$2)),((INT(BY$2/$L8)-INT((BY$2-1)/$L8))*($T8*(1-$F8)+$S8*(1-$G8))*((1+Inputs!$D$7)^BY$2))),((Inputs!$D$8^((1-_xlfn.WEIBULL.DIST(BY$2,$M8,$L8,FALSE))/_xlfn.WEIBULL.DIST(BY$2,$M8,$L8,FALSE))*($T8*(1-$F8)+$S8*(1-$G8))*((1+Inputs!$D$7)^BY$2))))))))</f>
        <v>27.481843091951937</v>
      </c>
      <c r="BZ8" s="88">
        <f>MAX(AJ8,($E8*IF(BZ$2&gt;Inputs!$D$5,0,IF(BZ$2&gt;VLOOKUP($H8,Lists!$P$3:$Q$7,2),IF($N8=Lists!$K$3,IF($L8&lt;1,(($U8/$L8)*((1+Inputs!$D$7)^BZ$2)),((INT(BZ$2/$L8)-INT((BZ$2-1)/$L8))*$U8*((1+Inputs!$D$7)^BZ$2))),(Inputs!$D$8^((1-_xlfn.WEIBULL.DIST(BZ$2,$M8,$L8,FALSE))/_xlfn.WEIBULL.DIST(BZ$2,$M8,$L8,FALSE))*$U8*((1+Inputs!$D$7)^BZ$2))),IF($N8=Lists!$K$3,IF($L8&lt;1,((($T8*(1-$F8)+$S8*(1-$G8))/$L8)*((1+Inputs!$D$7)^BZ$2)),((INT(BZ$2/$L8)-INT((BZ$2-1)/$L8))*($T8*(1-$F8)+$S8*(1-$G8))*((1+Inputs!$D$7)^BZ$2))),((Inputs!$D$8^((1-_xlfn.WEIBULL.DIST(BZ$2,$M8,$L8,FALSE))/_xlfn.WEIBULL.DIST(BZ$2,$M8,$L8,FALSE))*($T8*(1-$F8)+$S8*(1-$G8))*((1+Inputs!$D$7)^BZ$2))))))))</f>
        <v>28.031479953790978</v>
      </c>
      <c r="CA8" s="88">
        <f>MAX(AK8,($E8*IF(CA$2&gt;Inputs!$D$5,0,IF(CA$2&gt;VLOOKUP($H8,Lists!$P$3:$Q$7,2),IF($N8=Lists!$K$3,IF($L8&lt;1,(($U8/$L8)*((1+Inputs!$D$7)^CA$2)),((INT(CA$2/$L8)-INT((CA$2-1)/$L8))*$U8*((1+Inputs!$D$7)^CA$2))),(Inputs!$D$8^((1-_xlfn.WEIBULL.DIST(CA$2,$M8,$L8,FALSE))/_xlfn.WEIBULL.DIST(CA$2,$M8,$L8,FALSE))*$U8*((1+Inputs!$D$7)^CA$2))),IF($N8=Lists!$K$3,IF($L8&lt;1,((($T8*(1-$F8)+$S8*(1-$G8))/$L8)*((1+Inputs!$D$7)^CA$2)),((INT(CA$2/$L8)-INT((CA$2-1)/$L8))*($T8*(1-$F8)+$S8*(1-$G8))*((1+Inputs!$D$7)^CA$2))),((Inputs!$D$8^((1-_xlfn.WEIBULL.DIST(CA$2,$M8,$L8,FALSE))/_xlfn.WEIBULL.DIST(CA$2,$M8,$L8,FALSE))*($T8*(1-$F8)+$S8*(1-$G8))*((1+Inputs!$D$7)^CA$2))))))))</f>
        <v>28.592109552866791</v>
      </c>
      <c r="CB8" s="88">
        <f>MAX(AL8,($E8*IF(CB$2&gt;Inputs!$D$5,0,IF(CB$2&gt;VLOOKUP($H8,Lists!$P$3:$Q$7,2),IF($N8=Lists!$K$3,IF($L8&lt;1,(($U8/$L8)*((1+Inputs!$D$7)^CB$2)),((INT(CB$2/$L8)-INT((CB$2-1)/$L8))*$U8*((1+Inputs!$D$7)^CB$2))),(Inputs!$D$8^((1-_xlfn.WEIBULL.DIST(CB$2,$M8,$L8,FALSE))/_xlfn.WEIBULL.DIST(CB$2,$M8,$L8,FALSE))*$U8*((1+Inputs!$D$7)^CB$2))),IF($N8=Lists!$K$3,IF($L8&lt;1,((($T8*(1-$F8)+$S8*(1-$G8))/$L8)*((1+Inputs!$D$7)^CB$2)),((INT(CB$2/$L8)-INT((CB$2-1)/$L8))*($T8*(1-$F8)+$S8*(1-$G8))*((1+Inputs!$D$7)^CB$2))),((Inputs!$D$8^((1-_xlfn.WEIBULL.DIST(CB$2,$M8,$L8,FALSE))/_xlfn.WEIBULL.DIST(CB$2,$M8,$L8,FALSE))*($T8*(1-$F8)+$S8*(1-$G8))*((1+Inputs!$D$7)^CB$2))))))))</f>
        <v>29.163951743924134</v>
      </c>
      <c r="CC8" s="88">
        <f>MAX(AM8,($E8*IF(CC$2&gt;Inputs!$D$5,0,IF(CC$2&gt;VLOOKUP($H8,Lists!$P$3:$Q$7,2),IF($N8=Lists!$K$3,IF($L8&lt;1,(($U8/$L8)*((1+Inputs!$D$7)^CC$2)),((INT(CC$2/$L8)-INT((CC$2-1)/$L8))*$U8*((1+Inputs!$D$7)^CC$2))),(Inputs!$D$8^((1-_xlfn.WEIBULL.DIST(CC$2,$M8,$L8,FALSE))/_xlfn.WEIBULL.DIST(CC$2,$M8,$L8,FALSE))*$U8*((1+Inputs!$D$7)^CC$2))),IF($N8=Lists!$K$3,IF($L8&lt;1,((($T8*(1-$F8)+$S8*(1-$G8))/$L8)*((1+Inputs!$D$7)^CC$2)),((INT(CC$2/$L8)-INT((CC$2-1)/$L8))*($T8*(1-$F8)+$S8*(1-$G8))*((1+Inputs!$D$7)^CC$2))),((Inputs!$D$8^((1-_xlfn.WEIBULL.DIST(CC$2,$M8,$L8,FALSE))/_xlfn.WEIBULL.DIST(CC$2,$M8,$L8,FALSE))*($T8*(1-$F8)+$S8*(1-$G8))*((1+Inputs!$D$7)^CC$2))))))))</f>
        <v>29.747230778802614</v>
      </c>
      <c r="CD8" s="88">
        <f>MAX(AN8,($E8*IF(CD$2&gt;Inputs!$D$5,0,IF(CD$2&gt;VLOOKUP($H8,Lists!$P$3:$Q$7,2),IF($N8=Lists!$K$3,IF($L8&lt;1,(($U8/$L8)*((1+Inputs!$D$7)^CD$2)),((INT(CD$2/$L8)-INT((CD$2-1)/$L8))*$U8*((1+Inputs!$D$7)^CD$2))),(Inputs!$D$8^((1-_xlfn.WEIBULL.DIST(CD$2,$M8,$L8,FALSE))/_xlfn.WEIBULL.DIST(CD$2,$M8,$L8,FALSE))*$U8*((1+Inputs!$D$7)^CD$2))),IF($N8=Lists!$K$3,IF($L8&lt;1,((($T8*(1-$F8)+$S8*(1-$G8))/$L8)*((1+Inputs!$D$7)^CD$2)),((INT(CD$2/$L8)-INT((CD$2-1)/$L8))*($T8*(1-$F8)+$S8*(1-$G8))*((1+Inputs!$D$7)^CD$2))),((Inputs!$D$8^((1-_xlfn.WEIBULL.DIST(CD$2,$M8,$L8,FALSE))/_xlfn.WEIBULL.DIST(CD$2,$M8,$L8,FALSE))*($T8*(1-$F8)+$S8*(1-$G8))*((1+Inputs!$D$7)^CD$2))))))))</f>
        <v>30.342175394378668</v>
      </c>
      <c r="CE8" s="88">
        <f>MAX(AO8,($E8*IF(CE$2&gt;Inputs!$D$5,0,IF(CE$2&gt;VLOOKUP($H8,Lists!$P$3:$Q$7,2),IF($N8=Lists!$K$3,IF($L8&lt;1,(($U8/$L8)*((1+Inputs!$D$7)^CE$2)),((INT(CE$2/$L8)-INT((CE$2-1)/$L8))*$U8*((1+Inputs!$D$7)^CE$2))),(Inputs!$D$8^((1-_xlfn.WEIBULL.DIST(CE$2,$M8,$L8,FALSE))/_xlfn.WEIBULL.DIST(CE$2,$M8,$L8,FALSE))*$U8*((1+Inputs!$D$7)^CE$2))),IF($N8=Lists!$K$3,IF($L8&lt;1,((($T8*(1-$F8)+$S8*(1-$G8))/$L8)*((1+Inputs!$D$7)^CE$2)),((INT(CE$2/$L8)-INT((CE$2-1)/$L8))*($T8*(1-$F8)+$S8*(1-$G8))*((1+Inputs!$D$7)^CE$2))),((Inputs!$D$8^((1-_xlfn.WEIBULL.DIST(CE$2,$M8,$L8,FALSE))/_xlfn.WEIBULL.DIST(CE$2,$M8,$L8,FALSE))*($T8*(1-$F8)+$S8*(1-$G8))*((1+Inputs!$D$7)^CE$2))))))))</f>
        <v>30.949018902266232</v>
      </c>
      <c r="CF8" s="88">
        <f>MAX(AP8,($E8*IF(CF$2&gt;Inputs!$D$5,0,IF(CF$2&gt;VLOOKUP($H8,Lists!$P$3:$Q$7,2),IF($N8=Lists!$K$3,IF($L8&lt;1,(($U8/$L8)*((1+Inputs!$D$7)^CF$2)),((INT(CF$2/$L8)-INT((CF$2-1)/$L8))*$U8*((1+Inputs!$D$7)^CF$2))),(Inputs!$D$8^((1-_xlfn.WEIBULL.DIST(CF$2,$M8,$L8,FALSE))/_xlfn.WEIBULL.DIST(CF$2,$M8,$L8,FALSE))*$U8*((1+Inputs!$D$7)^CF$2))),IF($N8=Lists!$K$3,IF($L8&lt;1,((($T8*(1-$F8)+$S8*(1-$G8))/$L8)*((1+Inputs!$D$7)^CF$2)),((INT(CF$2/$L8)-INT((CF$2-1)/$L8))*($T8*(1-$F8)+$S8*(1-$G8))*((1+Inputs!$D$7)^CF$2))),((Inputs!$D$8^((1-_xlfn.WEIBULL.DIST(CF$2,$M8,$L8,FALSE))/_xlfn.WEIBULL.DIST(CF$2,$M8,$L8,FALSE))*($T8*(1-$F8)+$S8*(1-$G8))*((1+Inputs!$D$7)^CF$2))))))))</f>
        <v>31.567999280311565</v>
      </c>
      <c r="CG8" s="88">
        <f>MAX(AQ8,($E8*IF(CG$2&gt;Inputs!$D$5,0,IF(CG$2&gt;VLOOKUP($H8,Lists!$P$3:$Q$7,2),IF($N8=Lists!$K$3,IF($L8&lt;1,(($U8/$L8)*((1+Inputs!$D$7)^CG$2)),((INT(CG$2/$L8)-INT((CG$2-1)/$L8))*$U8*((1+Inputs!$D$7)^CG$2))),(Inputs!$D$8^((1-_xlfn.WEIBULL.DIST(CG$2,$M8,$L8,FALSE))/_xlfn.WEIBULL.DIST(CG$2,$M8,$L8,FALSE))*$U8*((1+Inputs!$D$7)^CG$2))),IF($N8=Lists!$K$3,IF($L8&lt;1,((($T8*(1-$F8)+$S8*(1-$G8))/$L8)*((1+Inputs!$D$7)^CG$2)),((INT(CG$2/$L8)-INT((CG$2-1)/$L8))*($T8*(1-$F8)+$S8*(1-$G8))*((1+Inputs!$D$7)^CG$2))),((Inputs!$D$8^((1-_xlfn.WEIBULL.DIST(CG$2,$M8,$L8,FALSE))/_xlfn.WEIBULL.DIST(CG$2,$M8,$L8,FALSE))*($T8*(1-$F8)+$S8*(1-$G8))*((1+Inputs!$D$7)^CG$2))))))))</f>
        <v>32.199359265917799</v>
      </c>
      <c r="CH8" s="88">
        <f>MAX(AR8,($E8*IF(CH$2&gt;Inputs!$D$5,0,IF(CH$2&gt;VLOOKUP($H8,Lists!$P$3:$Q$7,2),IF($N8=Lists!$K$3,IF($L8&lt;1,(($U8/$L8)*((1+Inputs!$D$7)^CH$2)),((INT(CH$2/$L8)-INT((CH$2-1)/$L8))*$U8*((1+Inputs!$D$7)^CH$2))),(Inputs!$D$8^((1-_xlfn.WEIBULL.DIST(CH$2,$M8,$L8,FALSE))/_xlfn.WEIBULL.DIST(CH$2,$M8,$L8,FALSE))*$U8*((1+Inputs!$D$7)^CH$2))),IF($N8=Lists!$K$3,IF($L8&lt;1,((($T8*(1-$F8)+$S8*(1-$G8))/$L8)*((1+Inputs!$D$7)^CH$2)),((INT(CH$2/$L8)-INT((CH$2-1)/$L8))*($T8*(1-$F8)+$S8*(1-$G8))*((1+Inputs!$D$7)^CH$2))),((Inputs!$D$8^((1-_xlfn.WEIBULL.DIST(CH$2,$M8,$L8,FALSE))/_xlfn.WEIBULL.DIST(CH$2,$M8,$L8,FALSE))*($T8*(1-$F8)+$S8*(1-$G8))*((1+Inputs!$D$7)^CH$2))))))))</f>
        <v>32.843346451236151</v>
      </c>
      <c r="CI8" s="88">
        <f>MAX(AS8,($E8*IF(CI$2&gt;Inputs!$D$5,0,IF(CI$2&gt;VLOOKUP($H8,Lists!$P$3:$Q$7,2),IF($N8=Lists!$K$3,IF($L8&lt;1,(($U8/$L8)*((1+Inputs!$D$7)^CI$2)),((INT(CI$2/$L8)-INT((CI$2-1)/$L8))*$U8*((1+Inputs!$D$7)^CI$2))),(Inputs!$D$8^((1-_xlfn.WEIBULL.DIST(CI$2,$M8,$L8,FALSE))/_xlfn.WEIBULL.DIST(CI$2,$M8,$L8,FALSE))*$U8*((1+Inputs!$D$7)^CI$2))),IF($N8=Lists!$K$3,IF($L8&lt;1,((($T8*(1-$F8)+$S8*(1-$G8))/$L8)*((1+Inputs!$D$7)^CI$2)),((INT(CI$2/$L8)-INT((CI$2-1)/$L8))*($T8*(1-$F8)+$S8*(1-$G8))*((1+Inputs!$D$7)^CI$2))),((Inputs!$D$8^((1-_xlfn.WEIBULL.DIST(CI$2,$M8,$L8,FALSE))/_xlfn.WEIBULL.DIST(CI$2,$M8,$L8,FALSE))*($T8*(1-$F8)+$S8*(1-$G8))*((1+Inputs!$D$7)^CI$2))))))))</f>
        <v>33.500213380260874</v>
      </c>
      <c r="CJ8" s="88">
        <f>MAX(AT8,($E8*IF(CJ$2&gt;Inputs!$D$5,0,IF(CJ$2&gt;VLOOKUP($H8,Lists!$P$3:$Q$7,2),IF($N8=Lists!$K$3,IF($L8&lt;1,(($U8/$L8)*((1+Inputs!$D$7)^CJ$2)),((INT(CJ$2/$L8)-INT((CJ$2-1)/$L8))*$U8*((1+Inputs!$D$7)^CJ$2))),(Inputs!$D$8^((1-_xlfn.WEIBULL.DIST(CJ$2,$M8,$L8,FALSE))/_xlfn.WEIBULL.DIST(CJ$2,$M8,$L8,FALSE))*$U8*((1+Inputs!$D$7)^CJ$2))),IF($N8=Lists!$K$3,IF($L8&lt;1,((($T8*(1-$F8)+$S8*(1-$G8))/$L8)*((1+Inputs!$D$7)^CJ$2)),((INT(CJ$2/$L8)-INT((CJ$2-1)/$L8))*($T8*(1-$F8)+$S8*(1-$G8))*((1+Inputs!$D$7)^CJ$2))),((Inputs!$D$8^((1-_xlfn.WEIBULL.DIST(CJ$2,$M8,$L8,FALSE))/_xlfn.WEIBULL.DIST(CJ$2,$M8,$L8,FALSE))*($T8*(1-$F8)+$S8*(1-$G8))*((1+Inputs!$D$7)^CJ$2))))))))</f>
        <v>34.170217647866089</v>
      </c>
      <c r="CK8" s="88">
        <f>MAX(AU8,($E8*IF(CK$2&gt;Inputs!$D$5,0,IF(CK$2&gt;VLOOKUP($H8,Lists!$P$3:$Q$7,2),IF($N8=Lists!$K$3,IF($L8&lt;1,(($U8/$L8)*((1+Inputs!$D$7)^CK$2)),((INT(CK$2/$L8)-INT((CK$2-1)/$L8))*$U8*((1+Inputs!$D$7)^CK$2))),(Inputs!$D$8^((1-_xlfn.WEIBULL.DIST(CK$2,$M8,$L8,FALSE))/_xlfn.WEIBULL.DIST(CK$2,$M8,$L8,FALSE))*$U8*((1+Inputs!$D$7)^CK$2))),IF($N8=Lists!$K$3,IF($L8&lt;1,((($T8*(1-$F8)+$S8*(1-$G8))/$L8)*((1+Inputs!$D$7)^CK$2)),((INT(CK$2/$L8)-INT((CK$2-1)/$L8))*($T8*(1-$F8)+$S8*(1-$G8))*((1+Inputs!$D$7)^CK$2))),((Inputs!$D$8^((1-_xlfn.WEIBULL.DIST(CK$2,$M8,$L8,FALSE))/_xlfn.WEIBULL.DIST(CK$2,$M8,$L8,FALSE))*($T8*(1-$F8)+$S8*(1-$G8))*((1+Inputs!$D$7)^CK$2))))))))</f>
        <v>34.853622000823414</v>
      </c>
      <c r="CL8" s="88">
        <f>MAX(AV8,($E8*IF(CL$2&gt;Inputs!$D$5,0,IF(CL$2&gt;VLOOKUP($H8,Lists!$P$3:$Q$7,2),IF($N8=Lists!$K$3,IF($L8&lt;1,(($U8/$L8)*((1+Inputs!$D$7)^CL$2)),((INT(CL$2/$L8)-INT((CL$2-1)/$L8))*$U8*((1+Inputs!$D$7)^CL$2))),(Inputs!$D$8^((1-_xlfn.WEIBULL.DIST(CL$2,$M8,$L8,FALSE))/_xlfn.WEIBULL.DIST(CL$2,$M8,$L8,FALSE))*$U8*((1+Inputs!$D$7)^CL$2))),IF($N8=Lists!$K$3,IF($L8&lt;1,((($T8*(1-$F8)+$S8*(1-$G8))/$L8)*((1+Inputs!$D$7)^CL$2)),((INT(CL$2/$L8)-INT((CL$2-1)/$L8))*($T8*(1-$F8)+$S8*(1-$G8))*((1+Inputs!$D$7)^CL$2))),((Inputs!$D$8^((1-_xlfn.WEIBULL.DIST(CL$2,$M8,$L8,FALSE))/_xlfn.WEIBULL.DIST(CL$2,$M8,$L8,FALSE))*($T8*(1-$F8)+$S8*(1-$G8))*((1+Inputs!$D$7)^CL$2))))))))</f>
        <v>35.550694440839884</v>
      </c>
      <c r="CM8" s="88">
        <f>MAX(AW8,($E8*IF(CM$2&gt;Inputs!$D$5,0,IF(CM$2&gt;VLOOKUP($H8,Lists!$P$3:$Q$7,2),IF($N8=Lists!$K$3,IF($L8&lt;1,(($U8/$L8)*((1+Inputs!$D$7)^CM$2)),((INT(CM$2/$L8)-INT((CM$2-1)/$L8))*$U8*((1+Inputs!$D$7)^CM$2))),(Inputs!$D$8^((1-_xlfn.WEIBULL.DIST(CM$2,$M8,$L8,FALSE))/_xlfn.WEIBULL.DIST(CM$2,$M8,$L8,FALSE))*$U8*((1+Inputs!$D$7)^CM$2))),IF($N8=Lists!$K$3,IF($L8&lt;1,((($T8*(1-$F8)+$S8*(1-$G8))/$L8)*((1+Inputs!$D$7)^CM$2)),((INT(CM$2/$L8)-INT((CM$2-1)/$L8))*($T8*(1-$F8)+$S8*(1-$G8))*((1+Inputs!$D$7)^CM$2))),((Inputs!$D$8^((1-_xlfn.WEIBULL.DIST(CM$2,$M8,$L8,FALSE))/_xlfn.WEIBULL.DIST(CM$2,$M8,$L8,FALSE))*($T8*(1-$F8)+$S8*(1-$G8))*((1+Inputs!$D$7)^CM$2))))))))</f>
        <v>36.26170832965667</v>
      </c>
      <c r="CN8" s="88">
        <f>MAX(AX8,($E8*IF(CN$2&gt;Inputs!$D$5,0,IF(CN$2&gt;VLOOKUP($H8,Lists!$P$3:$Q$7,2),IF($N8=Lists!$K$3,IF($L8&lt;1,(($U8/$L8)*((1+Inputs!$D$7)^CN$2)),((INT(CN$2/$L8)-INT((CN$2-1)/$L8))*$U8*((1+Inputs!$D$7)^CN$2))),(Inputs!$D$8^((1-_xlfn.WEIBULL.DIST(CN$2,$M8,$L8,FALSE))/_xlfn.WEIBULL.DIST(CN$2,$M8,$L8,FALSE))*$U8*((1+Inputs!$D$7)^CN$2))),IF($N8=Lists!$K$3,IF($L8&lt;1,((($T8*(1-$F8)+$S8*(1-$G8))/$L8)*((1+Inputs!$D$7)^CN$2)),((INT(CN$2/$L8)-INT((CN$2-1)/$L8))*($T8*(1-$F8)+$S8*(1-$G8))*((1+Inputs!$D$7)^CN$2))),((Inputs!$D$8^((1-_xlfn.WEIBULL.DIST(CN$2,$M8,$L8,FALSE))/_xlfn.WEIBULL.DIST(CN$2,$M8,$L8,FALSE))*($T8*(1-$F8)+$S8*(1-$G8))*((1+Inputs!$D$7)^CN$2))))))))</f>
        <v>36.98694249624981</v>
      </c>
      <c r="CO8" s="88">
        <f>MAX(AY8,($E8*IF(CO$2&gt;Inputs!$D$5,0,IF(CO$2&gt;VLOOKUP($H8,Lists!$P$3:$Q$7,2),IF($N8=Lists!$K$3,IF($L8&lt;1,(($U8/$L8)*((1+Inputs!$D$7)^CO$2)),((INT(CO$2/$L8)-INT((CO$2-1)/$L8))*$U8*((1+Inputs!$D$7)^CO$2))),(Inputs!$D$8^((1-_xlfn.WEIBULL.DIST(CO$2,$M8,$L8,FALSE))/_xlfn.WEIBULL.DIST(CO$2,$M8,$L8,FALSE))*$U8*((1+Inputs!$D$7)^CO$2))),IF($N8=Lists!$K$3,IF($L8&lt;1,((($T8*(1-$F8)+$S8*(1-$G8))/$L8)*((1+Inputs!$D$7)^CO$2)),((INT(CO$2/$L8)-INT((CO$2-1)/$L8))*($T8*(1-$F8)+$S8*(1-$G8))*((1+Inputs!$D$7)^CO$2))),((Inputs!$D$8^((1-_xlfn.WEIBULL.DIST(CO$2,$M8,$L8,FALSE))/_xlfn.WEIBULL.DIST(CO$2,$M8,$L8,FALSE))*($T8*(1-$F8)+$S8*(1-$G8))*((1+Inputs!$D$7)^CO$2))))))))</f>
        <v>37.726681346174807</v>
      </c>
      <c r="CP8" s="88">
        <f>MAX(AZ8,($E8*IF(CP$2&gt;Inputs!$D$5,0,IF(CP$2&gt;VLOOKUP($H8,Lists!$P$3:$Q$7,2),IF($N8=Lists!$K$3,IF($L8&lt;1,(($U8/$L8)*((1+Inputs!$D$7)^CP$2)),((INT(CP$2/$L8)-INT((CP$2-1)/$L8))*$U8*((1+Inputs!$D$7)^CP$2))),(Inputs!$D$8^((1-_xlfn.WEIBULL.DIST(CP$2,$M8,$L8,FALSE))/_xlfn.WEIBULL.DIST(CP$2,$M8,$L8,FALSE))*$U8*((1+Inputs!$D$7)^CP$2))),IF($N8=Lists!$K$3,IF($L8&lt;1,((($T8*(1-$F8)+$S8*(1-$G8))/$L8)*((1+Inputs!$D$7)^CP$2)),((INT(CP$2/$L8)-INT((CP$2-1)/$L8))*($T8*(1-$F8)+$S8*(1-$G8))*((1+Inputs!$D$7)^CP$2))),((Inputs!$D$8^((1-_xlfn.WEIBULL.DIST(CP$2,$M8,$L8,FALSE))/_xlfn.WEIBULL.DIST(CP$2,$M8,$L8,FALSE))*($T8*(1-$F8)+$S8*(1-$G8))*((1+Inputs!$D$7)^CP$2))))))))</f>
        <v>0</v>
      </c>
      <c r="CQ8" s="88">
        <f>MAX(BA8,($E8*IF(CQ$2&gt;Inputs!$D$5,0,IF(CQ$2&gt;VLOOKUP($H8,Lists!$P$3:$Q$7,2),IF($N8=Lists!$K$3,IF($L8&lt;1,(($U8/$L8)*((1+Inputs!$D$7)^CQ$2)),((INT(CQ$2/$L8)-INT((CQ$2-1)/$L8))*$U8*((1+Inputs!$D$7)^CQ$2))),(Inputs!$D$8^((1-_xlfn.WEIBULL.DIST(CQ$2,$M8,$L8,FALSE))/_xlfn.WEIBULL.DIST(CQ$2,$M8,$L8,FALSE))*$U8*((1+Inputs!$D$7)^CQ$2))),IF($N8=Lists!$K$3,IF($L8&lt;1,((($T8*(1-$F8)+$S8*(1-$G8))/$L8)*((1+Inputs!$D$7)^CQ$2)),((INT(CQ$2/$L8)-INT((CQ$2-1)/$L8))*($T8*(1-$F8)+$S8*(1-$G8))*((1+Inputs!$D$7)^CQ$2))),((Inputs!$D$8^((1-_xlfn.WEIBULL.DIST(CQ$2,$M8,$L8,FALSE))/_xlfn.WEIBULL.DIST(CQ$2,$M8,$L8,FALSE))*($T8*(1-$F8)+$S8*(1-$G8))*((1+Inputs!$D$7)^CQ$2))))))))</f>
        <v>0</v>
      </c>
      <c r="CR8" s="88">
        <f>MAX(BB8,($E8*IF(CR$2&gt;Inputs!$D$5,0,IF(CR$2&gt;VLOOKUP($H8,Lists!$P$3:$Q$7,2),IF($N8=Lists!$K$3,IF($L8&lt;1,(($U8/$L8)*((1+Inputs!$D$7)^CR$2)),((INT(CR$2/$L8)-INT((CR$2-1)/$L8))*$U8*((1+Inputs!$D$7)^CR$2))),(Inputs!$D$8^((1-_xlfn.WEIBULL.DIST(CR$2,$M8,$L8,FALSE))/_xlfn.WEIBULL.DIST(CR$2,$M8,$L8,FALSE))*$U8*((1+Inputs!$D$7)^CR$2))),IF($N8=Lists!$K$3,IF($L8&lt;1,((($T8*(1-$F8)+$S8*(1-$G8))/$L8)*((1+Inputs!$D$7)^CR$2)),((INT(CR$2/$L8)-INT((CR$2-1)/$L8))*($T8*(1-$F8)+$S8*(1-$G8))*((1+Inputs!$D$7)^CR$2))),((Inputs!$D$8^((1-_xlfn.WEIBULL.DIST(CR$2,$M8,$L8,FALSE))/_xlfn.WEIBULL.DIST(CR$2,$M8,$L8,FALSE))*($T8*(1-$F8)+$S8*(1-$G8))*((1+Inputs!$D$7)^CR$2))))))))</f>
        <v>0</v>
      </c>
      <c r="CS8" s="88">
        <f>MAX(BC8,($E8*IF(CS$2&gt;Inputs!$D$5,0,IF(CS$2&gt;VLOOKUP($H8,Lists!$P$3:$Q$7,2),IF($N8=Lists!$K$3,IF($L8&lt;1,(($U8/$L8)*((1+Inputs!$D$7)^CS$2)),((INT(CS$2/$L8)-INT((CS$2-1)/$L8))*$U8*((1+Inputs!$D$7)^CS$2))),(Inputs!$D$8^((1-_xlfn.WEIBULL.DIST(CS$2,$M8,$L8,FALSE))/_xlfn.WEIBULL.DIST(CS$2,$M8,$L8,FALSE))*$U8*((1+Inputs!$D$7)^CS$2))),IF($N8=Lists!$K$3,IF($L8&lt;1,((($T8*(1-$F8)+$S8*(1-$G8))/$L8)*((1+Inputs!$D$7)^CS$2)),((INT(CS$2/$L8)-INT((CS$2-1)/$L8))*($T8*(1-$F8)+$S8*(1-$G8))*((1+Inputs!$D$7)^CS$2))),((Inputs!$D$8^((1-_xlfn.WEIBULL.DIST(CS$2,$M8,$L8,FALSE))/_xlfn.WEIBULL.DIST(CS$2,$M8,$L8,FALSE))*($T8*(1-$F8)+$S8*(1-$G8))*((1+Inputs!$D$7)^CS$2))))))))</f>
        <v>0</v>
      </c>
      <c r="CT8" s="88">
        <f>MAX(BD8,($E8*IF(CT$2&gt;Inputs!$D$5,0,IF(CT$2&gt;VLOOKUP($H8,Lists!$P$3:$Q$7,2),IF($N8=Lists!$K$3,IF($L8&lt;1,(($U8/$L8)*((1+Inputs!$D$7)^CT$2)),((INT(CT$2/$L8)-INT((CT$2-1)/$L8))*$U8*((1+Inputs!$D$7)^CT$2))),(Inputs!$D$8^((1-_xlfn.WEIBULL.DIST(CT$2,$M8,$L8,FALSE))/_xlfn.WEIBULL.DIST(CT$2,$M8,$L8,FALSE))*$U8*((1+Inputs!$D$7)^CT$2))),IF($N8=Lists!$K$3,IF($L8&lt;1,((($T8*(1-$F8)+$S8*(1-$G8))/$L8)*((1+Inputs!$D$7)^CT$2)),((INT(CT$2/$L8)-INT((CT$2-1)/$L8))*($T8*(1-$F8)+$S8*(1-$G8))*((1+Inputs!$D$7)^CT$2))),((Inputs!$D$8^((1-_xlfn.WEIBULL.DIST(CT$2,$M8,$L8,FALSE))/_xlfn.WEIBULL.DIST(CT$2,$M8,$L8,FALSE))*($T8*(1-$F8)+$S8*(1-$G8))*((1+Inputs!$D$7)^CT$2))))))))</f>
        <v>0</v>
      </c>
      <c r="CU8" s="88">
        <f>MAX(BE8,($E8*IF(CU$2&gt;Inputs!$D$5,0,IF(CU$2&gt;VLOOKUP($H8,Lists!$P$3:$Q$7,2),IF($N8=Lists!$K$3,IF($L8&lt;1,(($U8/$L8)*((1+Inputs!$D$7)^CU$2)),((INT(CU$2/$L8)-INT((CU$2-1)/$L8))*$U8*((1+Inputs!$D$7)^CU$2))),(Inputs!$D$8^((1-_xlfn.WEIBULL.DIST(CU$2,$M8,$L8,FALSE))/_xlfn.WEIBULL.DIST(CU$2,$M8,$L8,FALSE))*$U8*((1+Inputs!$D$7)^CU$2))),IF($N8=Lists!$K$3,IF($L8&lt;1,((($T8*(1-$F8)+$S8*(1-$G8))/$L8)*((1+Inputs!$D$7)^CU$2)),((INT(CU$2/$L8)-INT((CU$2-1)/$L8))*($T8*(1-$F8)+$S8*(1-$G8))*((1+Inputs!$D$7)^CU$2))),((Inputs!$D$8^((1-_xlfn.WEIBULL.DIST(CU$2,$M8,$L8,FALSE))/_xlfn.WEIBULL.DIST(CU$2,$M8,$L8,FALSE))*($T8*(1-$F8)+$S8*(1-$G8))*((1+Inputs!$D$7)^CU$2))))))))</f>
        <v>0</v>
      </c>
      <c r="CV8" s="88">
        <f>MAX(BF8,($E8*IF(CV$2&gt;Inputs!$D$5,0,IF(CV$2&gt;VLOOKUP($H8,Lists!$P$3:$Q$7,2),IF($N8=Lists!$K$3,IF($L8&lt;1,(($U8/$L8)*((1+Inputs!$D$7)^CV$2)),((INT(CV$2/$L8)-INT((CV$2-1)/$L8))*$U8*((1+Inputs!$D$7)^CV$2))),(Inputs!$D$8^((1-_xlfn.WEIBULL.DIST(CV$2,$M8,$L8,FALSE))/_xlfn.WEIBULL.DIST(CV$2,$M8,$L8,FALSE))*$U8*((1+Inputs!$D$7)^CV$2))),IF($N8=Lists!$K$3,IF($L8&lt;1,((($T8*(1-$F8)+$S8*(1-$G8))/$L8)*((1+Inputs!$D$7)^CV$2)),((INT(CV$2/$L8)-INT((CV$2-1)/$L8))*($T8*(1-$F8)+$S8*(1-$G8))*((1+Inputs!$D$7)^CV$2))),((Inputs!$D$8^((1-_xlfn.WEIBULL.DIST(CV$2,$M8,$L8,FALSE))/_xlfn.WEIBULL.DIST(CV$2,$M8,$L8,FALSE))*($T8*(1-$F8)+$S8*(1-$G8))*((1+Inputs!$D$7)^CV$2))))))))</f>
        <v>0</v>
      </c>
      <c r="CW8" s="88">
        <f>MAX(BG8,($E8*IF(CW$2&gt;Inputs!$D$5,0,IF(CW$2&gt;VLOOKUP($H8,Lists!$P$3:$Q$7,2),IF($N8=Lists!$K$3,IF($L8&lt;1,(($U8/$L8)*((1+Inputs!$D$7)^CW$2)),((INT(CW$2/$L8)-INT((CW$2-1)/$L8))*$U8*((1+Inputs!$D$7)^CW$2))),(Inputs!$D$8^((1-_xlfn.WEIBULL.DIST(CW$2,$M8,$L8,FALSE))/_xlfn.WEIBULL.DIST(CW$2,$M8,$L8,FALSE))*$U8*((1+Inputs!$D$7)^CW$2))),IF($N8=Lists!$K$3,IF($L8&lt;1,((($T8*(1-$F8)+$S8*(1-$G8))/$L8)*((1+Inputs!$D$7)^CW$2)),((INT(CW$2/$L8)-INT((CW$2-1)/$L8))*($T8*(1-$F8)+$S8*(1-$G8))*((1+Inputs!$D$7)^CW$2))),((Inputs!$D$8^((1-_xlfn.WEIBULL.DIST(CW$2,$M8,$L8,FALSE))/_xlfn.WEIBULL.DIST(CW$2,$M8,$L8,FALSE))*($T8*(1-$F8)+$S8*(1-$G8))*((1+Inputs!$D$7)^CW$2))))))))</f>
        <v>0</v>
      </c>
      <c r="CX8" s="88">
        <f>MAX(BH8,($E8*IF(CX$2&gt;Inputs!$D$5,0,IF(CX$2&gt;VLOOKUP($H8,Lists!$P$3:$Q$7,2),IF($N8=Lists!$K$3,IF($L8&lt;1,(($U8/$L8)*((1+Inputs!$D$7)^CX$2)),((INT(CX$2/$L8)-INT((CX$2-1)/$L8))*$U8*((1+Inputs!$D$7)^CX$2))),(Inputs!$D$8^((1-_xlfn.WEIBULL.DIST(CX$2,$M8,$L8,FALSE))/_xlfn.WEIBULL.DIST(CX$2,$M8,$L8,FALSE))*$U8*((1+Inputs!$D$7)^CX$2))),IF($N8=Lists!$K$3,IF($L8&lt;1,((($T8*(1-$F8)+$S8*(1-$G8))/$L8)*((1+Inputs!$D$7)^CX$2)),((INT(CX$2/$L8)-INT((CX$2-1)/$L8))*($T8*(1-$F8)+$S8*(1-$G8))*((1+Inputs!$D$7)^CX$2))),((Inputs!$D$8^((1-_xlfn.WEIBULL.DIST(CX$2,$M8,$L8,FALSE))/_xlfn.WEIBULL.DIST(CX$2,$M8,$L8,FALSE))*($T8*(1-$F8)+$S8*(1-$G8))*((1+Inputs!$D$7)^CX$2))))))))</f>
        <v>0</v>
      </c>
      <c r="CY8" s="88">
        <f>MAX(BI8,($E8*IF(CY$2&gt;Inputs!$D$5,0,IF(CY$2&gt;VLOOKUP($H8,Lists!$P$3:$Q$7,2),IF($N8=Lists!$K$3,IF($L8&lt;1,(($U8/$L8)*((1+Inputs!$D$7)^CY$2)),((INT(CY$2/$L8)-INT((CY$2-1)/$L8))*$U8*((1+Inputs!$D$7)^CY$2))),(Inputs!$D$8^((1-_xlfn.WEIBULL.DIST(CY$2,$M8,$L8,FALSE))/_xlfn.WEIBULL.DIST(CY$2,$M8,$L8,FALSE))*$U8*((1+Inputs!$D$7)^CY$2))),IF($N8=Lists!$K$3,IF($L8&lt;1,((($T8*(1-$F8)+$S8*(1-$G8))/$L8)*((1+Inputs!$D$7)^CY$2)),((INT(CY$2/$L8)-INT((CY$2-1)/$L8))*($T8*(1-$F8)+$S8*(1-$G8))*((1+Inputs!$D$7)^CY$2))),((Inputs!$D$8^((1-_xlfn.WEIBULL.DIST(CY$2,$M8,$L8,FALSE))/_xlfn.WEIBULL.DIST(CY$2,$M8,$L8,FALSE))*($T8*(1-$F8)+$S8*(1-$G8))*((1+Inputs!$D$7)^CY$2))))))))</f>
        <v>0</v>
      </c>
      <c r="CZ8" s="88">
        <f>MAX(BJ8,($E8*IF(CZ$2&gt;Inputs!$D$5,0,IF(CZ$2&gt;VLOOKUP($H8,Lists!$P$3:$Q$7,2),IF($N8=Lists!$K$3,IF($L8&lt;1,(($U8/$L8)*((1+Inputs!$D$7)^CZ$2)),((INT(CZ$2/$L8)-INT((CZ$2-1)/$L8))*$U8*((1+Inputs!$D$7)^CZ$2))),(Inputs!$D$8^((1-_xlfn.WEIBULL.DIST(CZ$2,$M8,$L8,FALSE))/_xlfn.WEIBULL.DIST(CZ$2,$M8,$L8,FALSE))*$U8*((1+Inputs!$D$7)^CZ$2))),IF($N8=Lists!$K$3,IF($L8&lt;1,((($T8*(1-$F8)+$S8*(1-$G8))/$L8)*((1+Inputs!$D$7)^CZ$2)),((INT(CZ$2/$L8)-INT((CZ$2-1)/$L8))*($T8*(1-$F8)+$S8*(1-$G8))*((1+Inputs!$D$7)^CZ$2))),((Inputs!$D$8^((1-_xlfn.WEIBULL.DIST(CZ$2,$M8,$L8,FALSE))/_xlfn.WEIBULL.DIST(CZ$2,$M8,$L8,FALSE))*($T8*(1-$F8)+$S8*(1-$G8))*((1+Inputs!$D$7)^CZ$2))))))))</f>
        <v>0</v>
      </c>
      <c r="DA8" s="88">
        <f>MAX(BK8,($E8*IF(DA$2&gt;Inputs!$D$5,0,IF(DA$2&gt;VLOOKUP($H8,Lists!$P$3:$Q$7,2),IF($N8=Lists!$K$3,IF($L8&lt;1,(($U8/$L8)*((1+Inputs!$D$7)^DA$2)),((INT(DA$2/$L8)-INT((DA$2-1)/$L8))*$U8*((1+Inputs!$D$7)^DA$2))),(Inputs!$D$8^((1-_xlfn.WEIBULL.DIST(DA$2,$M8,$L8,FALSE))/_xlfn.WEIBULL.DIST(DA$2,$M8,$L8,FALSE))*$U8*((1+Inputs!$D$7)^DA$2))),IF($N8=Lists!$K$3,IF($L8&lt;1,((($T8*(1-$F8)+$S8*(1-$G8))/$L8)*((1+Inputs!$D$7)^DA$2)),((INT(DA$2/$L8)-INT((DA$2-1)/$L8))*($T8*(1-$F8)+$S8*(1-$G8))*((1+Inputs!$D$7)^DA$2))),((Inputs!$D$8^((1-_xlfn.WEIBULL.DIST(DA$2,$M8,$L8,FALSE))/_xlfn.WEIBULL.DIST(DA$2,$M8,$L8,FALSE))*($T8*(1-$F8)+$S8*(1-$G8))*((1+Inputs!$D$7)^DA$2))))))))</f>
        <v>0</v>
      </c>
      <c r="DB8" s="88">
        <f>MAX(BL8,($E8*IF(DB$2&gt;Inputs!$D$5,0,IF(DB$2&gt;VLOOKUP($H8,Lists!$P$3:$Q$7,2),IF($N8=Lists!$K$3,IF($L8&lt;1,(($U8/$L8)*((1+Inputs!$D$7)^DB$2)),((INT(DB$2/$L8)-INT((DB$2-1)/$L8))*$U8*((1+Inputs!$D$7)^DB$2))),(Inputs!$D$8^((1-_xlfn.WEIBULL.DIST(DB$2,$M8,$L8,FALSE))/_xlfn.WEIBULL.DIST(DB$2,$M8,$L8,FALSE))*$U8*((1+Inputs!$D$7)^DB$2))),IF($N8=Lists!$K$3,IF($L8&lt;1,((($T8*(1-$F8)+$S8*(1-$G8))/$L8)*((1+Inputs!$D$7)^DB$2)),((INT(DB$2/$L8)-INT((DB$2-1)/$L8))*($T8*(1-$F8)+$S8*(1-$G8))*((1+Inputs!$D$7)^DB$2))),((Inputs!$D$8^((1-_xlfn.WEIBULL.DIST(DB$2,$M8,$L8,FALSE))/_xlfn.WEIBULL.DIST(DB$2,$M8,$L8,FALSE))*($T8*(1-$F8)+$S8*(1-$G8))*((1+Inputs!$D$7)^DB$2))))))))</f>
        <v>0</v>
      </c>
      <c r="DC8" s="88">
        <f>MAX(BM8,($E8*IF(DC$2&gt;Inputs!$D$5,0,IF(DC$2&gt;VLOOKUP($H8,Lists!$P$3:$Q$7,2),IF($N8=Lists!$K$3,IF($L8&lt;1,(($U8/$L8)*((1+Inputs!$D$7)^DC$2)),((INT(DC$2/$L8)-INT((DC$2-1)/$L8))*$U8*((1+Inputs!$D$7)^DC$2))),(Inputs!$D$8^((1-_xlfn.WEIBULL.DIST(DC$2,$M8,$L8,FALSE))/_xlfn.WEIBULL.DIST(DC$2,$M8,$L8,FALSE))*$U8*((1+Inputs!$D$7)^DC$2))),IF($N8=Lists!$K$3,IF($L8&lt;1,((($T8*(1-$F8)+$S8*(1-$G8))/$L8)*((1+Inputs!$D$7)^DC$2)),((INT(DC$2/$L8)-INT((DC$2-1)/$L8))*($T8*(1-$F8)+$S8*(1-$G8))*((1+Inputs!$D$7)^DC$2))),((Inputs!$D$8^((1-_xlfn.WEIBULL.DIST(DC$2,$M8,$L8,FALSE))/_xlfn.WEIBULL.DIST(DC$2,$M8,$L8,FALSE))*($T8*(1-$F8)+$S8*(1-$G8))*((1+Inputs!$D$7)^DC$2))))))))</f>
        <v>0</v>
      </c>
      <c r="DD8" s="88">
        <f>MAX(BN8,($E8*IF(DD$2&gt;Inputs!$D$5,0,IF(DD$2&gt;VLOOKUP($H8,Lists!$P$3:$Q$7,2),IF($N8=Lists!$K$3,IF($L8&lt;1,(($U8/$L8)*((1+Inputs!$D$7)^DD$2)),((INT(DD$2/$L8)-INT((DD$2-1)/$L8))*$U8*((1+Inputs!$D$7)^DD$2))),(Inputs!$D$8^((1-_xlfn.WEIBULL.DIST(DD$2,$M8,$L8,FALSE))/_xlfn.WEIBULL.DIST(DD$2,$M8,$L8,FALSE))*$U8*((1+Inputs!$D$7)^DD$2))),IF($N8=Lists!$K$3,IF($L8&lt;1,((($T8*(1-$F8)+$S8*(1-$G8))/$L8)*((1+Inputs!$D$7)^DD$2)),((INT(DD$2/$L8)-INT((DD$2-1)/$L8))*($T8*(1-$F8)+$S8*(1-$G8))*((1+Inputs!$D$7)^DD$2))),((Inputs!$D$8^((1-_xlfn.WEIBULL.DIST(DD$2,$M8,$L8,FALSE))/_xlfn.WEIBULL.DIST(DD$2,$M8,$L8,FALSE))*($T8*(1-$F8)+$S8*(1-$G8))*((1+Inputs!$D$7)^DD$2))))))))</f>
        <v>0</v>
      </c>
    </row>
    <row r="9" spans="1:108" s="1" customFormat="1" ht="48">
      <c r="A9" s="57" t="s">
        <v>151</v>
      </c>
      <c r="B9" s="13" t="s">
        <v>129</v>
      </c>
      <c r="C9" s="13" t="s">
        <v>471</v>
      </c>
      <c r="D9" s="13" t="s">
        <v>124</v>
      </c>
      <c r="E9" s="48">
        <f>IF(Inputs!$D$41=Lists!$I$4,0,1)</f>
        <v>1</v>
      </c>
      <c r="F9" s="48">
        <v>0</v>
      </c>
      <c r="G9" s="48">
        <v>0</v>
      </c>
      <c r="H9" s="105" t="s">
        <v>350</v>
      </c>
      <c r="I9" s="14"/>
      <c r="J9" s="14" t="s">
        <v>248</v>
      </c>
      <c r="K9" s="13">
        <f>VLOOKUP(J9,'Labor Rates'!$A$1:$F$16,2)</f>
        <v>22.995576923076925</v>
      </c>
      <c r="L9" s="15">
        <v>0.08</v>
      </c>
      <c r="M9" s="15">
        <v>1</v>
      </c>
      <c r="N9" s="13" t="s">
        <v>236</v>
      </c>
      <c r="O9" s="61">
        <v>1</v>
      </c>
      <c r="P9" s="15">
        <v>0.25</v>
      </c>
      <c r="Q9" s="15">
        <f t="shared" si="0"/>
        <v>3.125</v>
      </c>
      <c r="R9" s="4">
        <v>0</v>
      </c>
      <c r="S9" s="53">
        <f t="shared" si="1"/>
        <v>5.7488942307692312</v>
      </c>
      <c r="T9" s="53">
        <f t="shared" si="2"/>
        <v>0</v>
      </c>
      <c r="U9" s="54">
        <f t="shared" si="3"/>
        <v>5.7488942307692312</v>
      </c>
      <c r="V9" s="65"/>
      <c r="W9" s="58"/>
      <c r="X9" s="64">
        <f t="shared" si="4"/>
        <v>89.04791827566369</v>
      </c>
      <c r="Y9" s="64">
        <f>NPV(Inputs!$D$6,AA9:BN9)</f>
        <v>1022.8347657930373</v>
      </c>
      <c r="Z9" s="67">
        <f t="shared" si="5"/>
        <v>4.8241881106535109E-4</v>
      </c>
      <c r="AA9" s="88">
        <f>$E9*IF(AA$2&gt;Inputs!$D$5,0,IF(AA$2&gt;VLOOKUP($H9,Lists!$P$3:$Q$7,2),IF($N9=Lists!$K$3,IF($L9&lt;1,(($U9/$L9)*((1+Inputs!$D$7)^AA$2)),((INT(AA$2/$L9)-INT((AA$2-1)/$L9))*$U9*((1+Inputs!$D$7)^AA$2))),(_xlfn.WEIBULL.DIST(AA$2,$M9,$L9,FALSE)*$U9*((1+Inputs!$D$7)^AA$2))),IF($N9=Lists!$K$3,IF($L9&lt;1,((($T9*(1-$F9)+$S9*(1-$G9))/$L9)*((1+Inputs!$D$7)^AA$2)),((INT(AA$2/$L9)-INT((AA$2-1)/$L9))*($T9*(1-$F9)+$S9*(1-$G9))*((1+Inputs!$D$7)^AA$2))),((_xlfn.WEIBULL.DIST(AA$2,$M9,$L9,FALSE)*($T9*(1-$F9)+$S9*(1-$G9))*((1+Inputs!$D$7)^AA$2))))))</f>
        <v>73.298401442307693</v>
      </c>
      <c r="AB9" s="88">
        <f>$E9*IF(AB$2&gt;Inputs!$D$5,0,IF(AB$2&gt;VLOOKUP($H9,Lists!$P$3:$Q$7,2),IF($N9=Lists!$K$3,IF($L9&lt;1,(($U9/$L9)*((1+Inputs!$D$7)^AB$2)),((INT(AB$2/$L9)-INT((AB$2-1)/$L9))*$U9*((1+Inputs!$D$7)^AB$2))),(_xlfn.WEIBULL.DIST(AB$2,$M9,$L9,FALSE)*$U9*((1+Inputs!$D$7)^AB$2))),IF($N9=Lists!$K$3,IF($L9&lt;1,((($T9*(1-$F9)+$S9*(1-$G9))/$L9)*((1+Inputs!$D$7)^AB$2)),((INT(AB$2/$L9)-INT((AB$2-1)/$L9))*($T9*(1-$F9)+$S9*(1-$G9))*((1+Inputs!$D$7)^AB$2))),((_xlfn.WEIBULL.DIST(AB$2,$M9,$L9,FALSE)*($T9*(1-$F9)+$S9*(1-$G9))*((1+Inputs!$D$7)^AB$2))))))</f>
        <v>74.764369471153842</v>
      </c>
      <c r="AC9" s="88">
        <f>$E9*IF(AC$2&gt;Inputs!$D$5,0,IF(AC$2&gt;VLOOKUP($H9,Lists!$P$3:$Q$7,2),IF($N9=Lists!$K$3,IF($L9&lt;1,(($U9/$L9)*((1+Inputs!$D$7)^AC$2)),((INT(AC$2/$L9)-INT((AC$2-1)/$L9))*$U9*((1+Inputs!$D$7)^AC$2))),(_xlfn.WEIBULL.DIST(AC$2,$M9,$L9,FALSE)*$U9*((1+Inputs!$D$7)^AC$2))),IF($N9=Lists!$K$3,IF($L9&lt;1,((($T9*(1-$F9)+$S9*(1-$G9))/$L9)*((1+Inputs!$D$7)^AC$2)),((INT(AC$2/$L9)-INT((AC$2-1)/$L9))*($T9*(1-$F9)+$S9*(1-$G9))*((1+Inputs!$D$7)^AC$2))),((_xlfn.WEIBULL.DIST(AC$2,$M9,$L9,FALSE)*($T9*(1-$F9)+$S9*(1-$G9))*((1+Inputs!$D$7)^AC$2))))))</f>
        <v>76.259656860576925</v>
      </c>
      <c r="AD9" s="88">
        <f>$E9*IF(AD$2&gt;Inputs!$D$5,0,IF(AD$2&gt;VLOOKUP($H9,Lists!$P$3:$Q$7,2),IF($N9=Lists!$K$3,IF($L9&lt;1,(($U9/$L9)*((1+Inputs!$D$7)^AD$2)),((INT(AD$2/$L9)-INT((AD$2-1)/$L9))*$U9*((1+Inputs!$D$7)^AD$2))),(_xlfn.WEIBULL.DIST(AD$2,$M9,$L9,FALSE)*$U9*((1+Inputs!$D$7)^AD$2))),IF($N9=Lists!$K$3,IF($L9&lt;1,((($T9*(1-$F9)+$S9*(1-$G9))/$L9)*((1+Inputs!$D$7)^AD$2)),((INT(AD$2/$L9)-INT((AD$2-1)/$L9))*($T9*(1-$F9)+$S9*(1-$G9))*((1+Inputs!$D$7)^AD$2))),((_xlfn.WEIBULL.DIST(AD$2,$M9,$L9,FALSE)*($T9*(1-$F9)+$S9*(1-$G9))*((1+Inputs!$D$7)^AD$2))))))</f>
        <v>77.784849997788456</v>
      </c>
      <c r="AE9" s="88">
        <f>$E9*IF(AE$2&gt;Inputs!$D$5,0,IF(AE$2&gt;VLOOKUP($H9,Lists!$P$3:$Q$7,2),IF($N9=Lists!$K$3,IF($L9&lt;1,(($U9/$L9)*((1+Inputs!$D$7)^AE$2)),((INT(AE$2/$L9)-INT((AE$2-1)/$L9))*$U9*((1+Inputs!$D$7)^AE$2))),(_xlfn.WEIBULL.DIST(AE$2,$M9,$L9,FALSE)*$U9*((1+Inputs!$D$7)^AE$2))),IF($N9=Lists!$K$3,IF($L9&lt;1,((($T9*(1-$F9)+$S9*(1-$G9))/$L9)*((1+Inputs!$D$7)^AE$2)),((INT(AE$2/$L9)-INT((AE$2-1)/$L9))*($T9*(1-$F9)+$S9*(1-$G9))*((1+Inputs!$D$7)^AE$2))),((_xlfn.WEIBULL.DIST(AE$2,$M9,$L9,FALSE)*($T9*(1-$F9)+$S9*(1-$G9))*((1+Inputs!$D$7)^AE$2))))))</f>
        <v>79.340546997744241</v>
      </c>
      <c r="AF9" s="88">
        <f>$E9*IF(AF$2&gt;Inputs!$D$5,0,IF(AF$2&gt;VLOOKUP($H9,Lists!$P$3:$Q$7,2),IF($N9=Lists!$K$3,IF($L9&lt;1,(($U9/$L9)*((1+Inputs!$D$7)^AF$2)),((INT(AF$2/$L9)-INT((AF$2-1)/$L9))*$U9*((1+Inputs!$D$7)^AF$2))),(_xlfn.WEIBULL.DIST(AF$2,$M9,$L9,FALSE)*$U9*((1+Inputs!$D$7)^AF$2))),IF($N9=Lists!$K$3,IF($L9&lt;1,((($T9*(1-$F9)+$S9*(1-$G9))/$L9)*((1+Inputs!$D$7)^AF$2)),((INT(AF$2/$L9)-INT((AF$2-1)/$L9))*($T9*(1-$F9)+$S9*(1-$G9))*((1+Inputs!$D$7)^AF$2))),((_xlfn.WEIBULL.DIST(AF$2,$M9,$L9,FALSE)*($T9*(1-$F9)+$S9*(1-$G9))*((1+Inputs!$D$7)^AF$2))))))</f>
        <v>80.927357937699128</v>
      </c>
      <c r="AG9" s="88">
        <f>$E9*IF(AG$2&gt;Inputs!$D$5,0,IF(AG$2&gt;VLOOKUP($H9,Lists!$P$3:$Q$7,2),IF($N9=Lists!$K$3,IF($L9&lt;1,(($U9/$L9)*((1+Inputs!$D$7)^AG$2)),((INT(AG$2/$L9)-INT((AG$2-1)/$L9))*$U9*((1+Inputs!$D$7)^AG$2))),(_xlfn.WEIBULL.DIST(AG$2,$M9,$L9,FALSE)*$U9*((1+Inputs!$D$7)^AG$2))),IF($N9=Lists!$K$3,IF($L9&lt;1,((($T9*(1-$F9)+$S9*(1-$G9))/$L9)*((1+Inputs!$D$7)^AG$2)),((INT(AG$2/$L9)-INT((AG$2-1)/$L9))*($T9*(1-$F9)+$S9*(1-$G9))*((1+Inputs!$D$7)^AG$2))),((_xlfn.WEIBULL.DIST(AG$2,$M9,$L9,FALSE)*($T9*(1-$F9)+$S9*(1-$G9))*((1+Inputs!$D$7)^AG$2))))))</f>
        <v>82.545905096453083</v>
      </c>
      <c r="AH9" s="88">
        <f>$E9*IF(AH$2&gt;Inputs!$D$5,0,IF(AH$2&gt;VLOOKUP($H9,Lists!$P$3:$Q$7,2),IF($N9=Lists!$K$3,IF($L9&lt;1,(($U9/$L9)*((1+Inputs!$D$7)^AH$2)),((INT(AH$2/$L9)-INT((AH$2-1)/$L9))*$U9*((1+Inputs!$D$7)^AH$2))),(_xlfn.WEIBULL.DIST(AH$2,$M9,$L9,FALSE)*$U9*((1+Inputs!$D$7)^AH$2))),IF($N9=Lists!$K$3,IF($L9&lt;1,((($T9*(1-$F9)+$S9*(1-$G9))/$L9)*((1+Inputs!$D$7)^AH$2)),((INT(AH$2/$L9)-INT((AH$2-1)/$L9))*($T9*(1-$F9)+$S9*(1-$G9))*((1+Inputs!$D$7)^AH$2))),((_xlfn.WEIBULL.DIST(AH$2,$M9,$L9,FALSE)*($T9*(1-$F9)+$S9*(1-$G9))*((1+Inputs!$D$7)^AH$2))))))</f>
        <v>84.196823198382162</v>
      </c>
      <c r="AI9" s="88">
        <f>$E9*IF(AI$2&gt;Inputs!$D$5,0,IF(AI$2&gt;VLOOKUP($H9,Lists!$P$3:$Q$7,2),IF($N9=Lists!$K$3,IF($L9&lt;1,(($U9/$L9)*((1+Inputs!$D$7)^AI$2)),((INT(AI$2/$L9)-INT((AI$2-1)/$L9))*$U9*((1+Inputs!$D$7)^AI$2))),(_xlfn.WEIBULL.DIST(AI$2,$M9,$L9,FALSE)*$U9*((1+Inputs!$D$7)^AI$2))),IF($N9=Lists!$K$3,IF($L9&lt;1,((($T9*(1-$F9)+$S9*(1-$G9))/$L9)*((1+Inputs!$D$7)^AI$2)),((INT(AI$2/$L9)-INT((AI$2-1)/$L9))*($T9*(1-$F9)+$S9*(1-$G9))*((1+Inputs!$D$7)^AI$2))),((_xlfn.WEIBULL.DIST(AI$2,$M9,$L9,FALSE)*($T9*(1-$F9)+$S9*(1-$G9))*((1+Inputs!$D$7)^AI$2))))))</f>
        <v>85.880759662349803</v>
      </c>
      <c r="AJ9" s="88">
        <f>$E9*IF(AJ$2&gt;Inputs!$D$5,0,IF(AJ$2&gt;VLOOKUP($H9,Lists!$P$3:$Q$7,2),IF($N9=Lists!$K$3,IF($L9&lt;1,(($U9/$L9)*((1+Inputs!$D$7)^AJ$2)),((INT(AJ$2/$L9)-INT((AJ$2-1)/$L9))*$U9*((1+Inputs!$D$7)^AJ$2))),(_xlfn.WEIBULL.DIST(AJ$2,$M9,$L9,FALSE)*$U9*((1+Inputs!$D$7)^AJ$2))),IF($N9=Lists!$K$3,IF($L9&lt;1,((($T9*(1-$F9)+$S9*(1-$G9))/$L9)*((1+Inputs!$D$7)^AJ$2)),((INT(AJ$2/$L9)-INT((AJ$2-1)/$L9))*($T9*(1-$F9)+$S9*(1-$G9))*((1+Inputs!$D$7)^AJ$2))),((_xlfn.WEIBULL.DIST(AJ$2,$M9,$L9,FALSE)*($T9*(1-$F9)+$S9*(1-$G9))*((1+Inputs!$D$7)^AJ$2))))))</f>
        <v>87.598374855596802</v>
      </c>
      <c r="AK9" s="88">
        <f>$E9*IF(AK$2&gt;Inputs!$D$5,0,IF(AK$2&gt;VLOOKUP($H9,Lists!$P$3:$Q$7,2),IF($N9=Lists!$K$3,IF($L9&lt;1,(($U9/$L9)*((1+Inputs!$D$7)^AK$2)),((INT(AK$2/$L9)-INT((AK$2-1)/$L9))*$U9*((1+Inputs!$D$7)^AK$2))),(_xlfn.WEIBULL.DIST(AK$2,$M9,$L9,FALSE)*$U9*((1+Inputs!$D$7)^AK$2))),IF($N9=Lists!$K$3,IF($L9&lt;1,((($T9*(1-$F9)+$S9*(1-$G9))/$L9)*((1+Inputs!$D$7)^AK$2)),((INT(AK$2/$L9)-INT((AK$2-1)/$L9))*($T9*(1-$F9)+$S9*(1-$G9))*((1+Inputs!$D$7)^AK$2))),((_xlfn.WEIBULL.DIST(AK$2,$M9,$L9,FALSE)*($T9*(1-$F9)+$S9*(1-$G9))*((1+Inputs!$D$7)^AK$2))))))</f>
        <v>89.350342352708722</v>
      </c>
      <c r="AL9" s="88">
        <f>$E9*IF(AL$2&gt;Inputs!$D$5,0,IF(AL$2&gt;VLOOKUP($H9,Lists!$P$3:$Q$7,2),IF($N9=Lists!$K$3,IF($L9&lt;1,(($U9/$L9)*((1+Inputs!$D$7)^AL$2)),((INT(AL$2/$L9)-INT((AL$2-1)/$L9))*$U9*((1+Inputs!$D$7)^AL$2))),(_xlfn.WEIBULL.DIST(AL$2,$M9,$L9,FALSE)*$U9*((1+Inputs!$D$7)^AL$2))),IF($N9=Lists!$K$3,IF($L9&lt;1,((($T9*(1-$F9)+$S9*(1-$G9))/$L9)*((1+Inputs!$D$7)^AL$2)),((INT(AL$2/$L9)-INT((AL$2-1)/$L9))*($T9*(1-$F9)+$S9*(1-$G9))*((1+Inputs!$D$7)^AL$2))),((_xlfn.WEIBULL.DIST(AL$2,$M9,$L9,FALSE)*($T9*(1-$F9)+$S9*(1-$G9))*((1+Inputs!$D$7)^AL$2))))))</f>
        <v>91.137349199762909</v>
      </c>
      <c r="AM9" s="88">
        <f>$E9*IF(AM$2&gt;Inputs!$D$5,0,IF(AM$2&gt;VLOOKUP($H9,Lists!$P$3:$Q$7,2),IF($N9=Lists!$K$3,IF($L9&lt;1,(($U9/$L9)*((1+Inputs!$D$7)^AM$2)),((INT(AM$2/$L9)-INT((AM$2-1)/$L9))*$U9*((1+Inputs!$D$7)^AM$2))),(_xlfn.WEIBULL.DIST(AM$2,$M9,$L9,FALSE)*$U9*((1+Inputs!$D$7)^AM$2))),IF($N9=Lists!$K$3,IF($L9&lt;1,((($T9*(1-$F9)+$S9*(1-$G9))/$L9)*((1+Inputs!$D$7)^AM$2)),((INT(AM$2/$L9)-INT((AM$2-1)/$L9))*($T9*(1-$F9)+$S9*(1-$G9))*((1+Inputs!$D$7)^AM$2))),((_xlfn.WEIBULL.DIST(AM$2,$M9,$L9,FALSE)*($T9*(1-$F9)+$S9*(1-$G9))*((1+Inputs!$D$7)^AM$2))))))</f>
        <v>92.960096183758168</v>
      </c>
      <c r="AN9" s="88">
        <f>$E9*IF(AN$2&gt;Inputs!$D$5,0,IF(AN$2&gt;VLOOKUP($H9,Lists!$P$3:$Q$7,2),IF($N9=Lists!$K$3,IF($L9&lt;1,(($U9/$L9)*((1+Inputs!$D$7)^AN$2)),((INT(AN$2/$L9)-INT((AN$2-1)/$L9))*$U9*((1+Inputs!$D$7)^AN$2))),(_xlfn.WEIBULL.DIST(AN$2,$M9,$L9,FALSE)*$U9*((1+Inputs!$D$7)^AN$2))),IF($N9=Lists!$K$3,IF($L9&lt;1,((($T9*(1-$F9)+$S9*(1-$G9))/$L9)*((1+Inputs!$D$7)^AN$2)),((INT(AN$2/$L9)-INT((AN$2-1)/$L9))*($T9*(1-$F9)+$S9*(1-$G9))*((1+Inputs!$D$7)^AN$2))),((_xlfn.WEIBULL.DIST(AN$2,$M9,$L9,FALSE)*($T9*(1-$F9)+$S9*(1-$G9))*((1+Inputs!$D$7)^AN$2))))))</f>
        <v>94.81929810743334</v>
      </c>
      <c r="AO9" s="88">
        <f>$E9*IF(AO$2&gt;Inputs!$D$5,0,IF(AO$2&gt;VLOOKUP($H9,Lists!$P$3:$Q$7,2),IF($N9=Lists!$K$3,IF($L9&lt;1,(($U9/$L9)*((1+Inputs!$D$7)^AO$2)),((INT(AO$2/$L9)-INT((AO$2-1)/$L9))*$U9*((1+Inputs!$D$7)^AO$2))),(_xlfn.WEIBULL.DIST(AO$2,$M9,$L9,FALSE)*$U9*((1+Inputs!$D$7)^AO$2))),IF($N9=Lists!$K$3,IF($L9&lt;1,((($T9*(1-$F9)+$S9*(1-$G9))/$L9)*((1+Inputs!$D$7)^AO$2)),((INT(AO$2/$L9)-INT((AO$2-1)/$L9))*($T9*(1-$F9)+$S9*(1-$G9))*((1+Inputs!$D$7)^AO$2))),((_xlfn.WEIBULL.DIST(AO$2,$M9,$L9,FALSE)*($T9*(1-$F9)+$S9*(1-$G9))*((1+Inputs!$D$7)^AO$2))))))</f>
        <v>96.715684069581968</v>
      </c>
      <c r="AP9" s="88">
        <f>$E9*IF(AP$2&gt;Inputs!$D$5,0,IF(AP$2&gt;VLOOKUP($H9,Lists!$P$3:$Q$7,2),IF($N9=Lists!$K$3,IF($L9&lt;1,(($U9/$L9)*((1+Inputs!$D$7)^AP$2)),((INT(AP$2/$L9)-INT((AP$2-1)/$L9))*$U9*((1+Inputs!$D$7)^AP$2))),(_xlfn.WEIBULL.DIST(AP$2,$M9,$L9,FALSE)*$U9*((1+Inputs!$D$7)^AP$2))),IF($N9=Lists!$K$3,IF($L9&lt;1,((($T9*(1-$F9)+$S9*(1-$G9))/$L9)*((1+Inputs!$D$7)^AP$2)),((INT(AP$2/$L9)-INT((AP$2-1)/$L9))*($T9*(1-$F9)+$S9*(1-$G9))*((1+Inputs!$D$7)^AP$2))),((_xlfn.WEIBULL.DIST(AP$2,$M9,$L9,FALSE)*($T9*(1-$F9)+$S9*(1-$G9))*((1+Inputs!$D$7)^AP$2))))))</f>
        <v>98.649997750973625</v>
      </c>
      <c r="AQ9" s="88">
        <f>$E9*IF(AQ$2&gt;Inputs!$D$5,0,IF(AQ$2&gt;VLOOKUP($H9,Lists!$P$3:$Q$7,2),IF($N9=Lists!$K$3,IF($L9&lt;1,(($U9/$L9)*((1+Inputs!$D$7)^AQ$2)),((INT(AQ$2/$L9)-INT((AQ$2-1)/$L9))*$U9*((1+Inputs!$D$7)^AQ$2))),(_xlfn.WEIBULL.DIST(AQ$2,$M9,$L9,FALSE)*$U9*((1+Inputs!$D$7)^AQ$2))),IF($N9=Lists!$K$3,IF($L9&lt;1,((($T9*(1-$F9)+$S9*(1-$G9))/$L9)*((1+Inputs!$D$7)^AQ$2)),((INT(AQ$2/$L9)-INT((AQ$2-1)/$L9))*($T9*(1-$F9)+$S9*(1-$G9))*((1+Inputs!$D$7)^AQ$2))),((_xlfn.WEIBULL.DIST(AQ$2,$M9,$L9,FALSE)*($T9*(1-$F9)+$S9*(1-$G9))*((1+Inputs!$D$7)^AQ$2))))))</f>
        <v>100.62299770599311</v>
      </c>
      <c r="AR9" s="88">
        <f>$E9*IF(AR$2&gt;Inputs!$D$5,0,IF(AR$2&gt;VLOOKUP($H9,Lists!$P$3:$Q$7,2),IF($N9=Lists!$K$3,IF($L9&lt;1,(($U9/$L9)*((1+Inputs!$D$7)^AR$2)),((INT(AR$2/$L9)-INT((AR$2-1)/$L9))*$U9*((1+Inputs!$D$7)^AR$2))),(_xlfn.WEIBULL.DIST(AR$2,$M9,$L9,FALSE)*$U9*((1+Inputs!$D$7)^AR$2))),IF($N9=Lists!$K$3,IF($L9&lt;1,((($T9*(1-$F9)+$S9*(1-$G9))/$L9)*((1+Inputs!$D$7)^AR$2)),((INT(AR$2/$L9)-INT((AR$2-1)/$L9))*($T9*(1-$F9)+$S9*(1-$G9))*((1+Inputs!$D$7)^AR$2))),((_xlfn.WEIBULL.DIST(AR$2,$M9,$L9,FALSE)*($T9*(1-$F9)+$S9*(1-$G9))*((1+Inputs!$D$7)^AR$2))))))</f>
        <v>102.63545766011296</v>
      </c>
      <c r="AS9" s="88">
        <f>$E9*IF(AS$2&gt;Inputs!$D$5,0,IF(AS$2&gt;VLOOKUP($H9,Lists!$P$3:$Q$7,2),IF($N9=Lists!$K$3,IF($L9&lt;1,(($U9/$L9)*((1+Inputs!$D$7)^AS$2)),((INT(AS$2/$L9)-INT((AS$2-1)/$L9))*$U9*((1+Inputs!$D$7)^AS$2))),(_xlfn.WEIBULL.DIST(AS$2,$M9,$L9,FALSE)*$U9*((1+Inputs!$D$7)^AS$2))),IF($N9=Lists!$K$3,IF($L9&lt;1,((($T9*(1-$F9)+$S9*(1-$G9))/$L9)*((1+Inputs!$D$7)^AS$2)),((INT(AS$2/$L9)-INT((AS$2-1)/$L9))*($T9*(1-$F9)+$S9*(1-$G9))*((1+Inputs!$D$7)^AS$2))),((_xlfn.WEIBULL.DIST(AS$2,$M9,$L9,FALSE)*($T9*(1-$F9)+$S9*(1-$G9))*((1+Inputs!$D$7)^AS$2))))))</f>
        <v>104.68816681331522</v>
      </c>
      <c r="AT9" s="88">
        <f>$E9*IF(AT$2&gt;Inputs!$D$5,0,IF(AT$2&gt;VLOOKUP($H9,Lists!$P$3:$Q$7,2),IF($N9=Lists!$K$3,IF($L9&lt;1,(($U9/$L9)*((1+Inputs!$D$7)^AT$2)),((INT(AT$2/$L9)-INT((AT$2-1)/$L9))*$U9*((1+Inputs!$D$7)^AT$2))),(_xlfn.WEIBULL.DIST(AT$2,$M9,$L9,FALSE)*$U9*((1+Inputs!$D$7)^AT$2))),IF($N9=Lists!$K$3,IF($L9&lt;1,((($T9*(1-$F9)+$S9*(1-$G9))/$L9)*((1+Inputs!$D$7)^AT$2)),((INT(AT$2/$L9)-INT((AT$2-1)/$L9))*($T9*(1-$F9)+$S9*(1-$G9))*((1+Inputs!$D$7)^AT$2))),((_xlfn.WEIBULL.DIST(AT$2,$M9,$L9,FALSE)*($T9*(1-$F9)+$S9*(1-$G9))*((1+Inputs!$D$7)^AT$2))))))</f>
        <v>106.78193014958153</v>
      </c>
      <c r="AU9" s="88">
        <f>$E9*IF(AU$2&gt;Inputs!$D$5,0,IF(AU$2&gt;VLOOKUP($H9,Lists!$P$3:$Q$7,2),IF($N9=Lists!$K$3,IF($L9&lt;1,(($U9/$L9)*((1+Inputs!$D$7)^AU$2)),((INT(AU$2/$L9)-INT((AU$2-1)/$L9))*$U9*((1+Inputs!$D$7)^AU$2))),(_xlfn.WEIBULL.DIST(AU$2,$M9,$L9,FALSE)*$U9*((1+Inputs!$D$7)^AU$2))),IF($N9=Lists!$K$3,IF($L9&lt;1,((($T9*(1-$F9)+$S9*(1-$G9))/$L9)*((1+Inputs!$D$7)^AU$2)),((INT(AU$2/$L9)-INT((AU$2-1)/$L9))*($T9*(1-$F9)+$S9*(1-$G9))*((1+Inputs!$D$7)^AU$2))),((_xlfn.WEIBULL.DIST(AU$2,$M9,$L9,FALSE)*($T9*(1-$F9)+$S9*(1-$G9))*((1+Inputs!$D$7)^AU$2))))))</f>
        <v>108.91756875257316</v>
      </c>
      <c r="AV9" s="88">
        <f>$E9*IF(AV$2&gt;Inputs!$D$5,0,IF(AV$2&gt;VLOOKUP($H9,Lists!$P$3:$Q$7,2),IF($N9=Lists!$K$3,IF($L9&lt;1,(($U9/$L9)*((1+Inputs!$D$7)^AV$2)),((INT(AV$2/$L9)-INT((AV$2-1)/$L9))*$U9*((1+Inputs!$D$7)^AV$2))),(_xlfn.WEIBULL.DIST(AV$2,$M9,$L9,FALSE)*$U9*((1+Inputs!$D$7)^AV$2))),IF($N9=Lists!$K$3,IF($L9&lt;1,((($T9*(1-$F9)+$S9*(1-$G9))/$L9)*((1+Inputs!$D$7)^AV$2)),((INT(AV$2/$L9)-INT((AV$2-1)/$L9))*($T9*(1-$F9)+$S9*(1-$G9))*((1+Inputs!$D$7)^AV$2))),((_xlfn.WEIBULL.DIST(AV$2,$M9,$L9,FALSE)*($T9*(1-$F9)+$S9*(1-$G9))*((1+Inputs!$D$7)^AV$2))))))</f>
        <v>111.09592012762462</v>
      </c>
      <c r="AW9" s="88">
        <f>$E9*IF(AW$2&gt;Inputs!$D$5,0,IF(AW$2&gt;VLOOKUP($H9,Lists!$P$3:$Q$7,2),IF($N9=Lists!$K$3,IF($L9&lt;1,(($U9/$L9)*((1+Inputs!$D$7)^AW$2)),((INT(AW$2/$L9)-INT((AW$2-1)/$L9))*$U9*((1+Inputs!$D$7)^AW$2))),(_xlfn.WEIBULL.DIST(AW$2,$M9,$L9,FALSE)*$U9*((1+Inputs!$D$7)^AW$2))),IF($N9=Lists!$K$3,IF($L9&lt;1,((($T9*(1-$F9)+$S9*(1-$G9))/$L9)*((1+Inputs!$D$7)^AW$2)),((INT(AW$2/$L9)-INT((AW$2-1)/$L9))*($T9*(1-$F9)+$S9*(1-$G9))*((1+Inputs!$D$7)^AW$2))),((_xlfn.WEIBULL.DIST(AW$2,$M9,$L9,FALSE)*($T9*(1-$F9)+$S9*(1-$G9))*((1+Inputs!$D$7)^AW$2))))))</f>
        <v>113.3178385301771</v>
      </c>
      <c r="AX9" s="88">
        <f>$E9*IF(AX$2&gt;Inputs!$D$5,0,IF(AX$2&gt;VLOOKUP($H9,Lists!$P$3:$Q$7,2),IF($N9=Lists!$K$3,IF($L9&lt;1,(($U9/$L9)*((1+Inputs!$D$7)^AX$2)),((INT(AX$2/$L9)-INT((AX$2-1)/$L9))*$U9*((1+Inputs!$D$7)^AX$2))),(_xlfn.WEIBULL.DIST(AX$2,$M9,$L9,FALSE)*$U9*((1+Inputs!$D$7)^AX$2))),IF($N9=Lists!$K$3,IF($L9&lt;1,((($T9*(1-$F9)+$S9*(1-$G9))/$L9)*((1+Inputs!$D$7)^AX$2)),((INT(AX$2/$L9)-INT((AX$2-1)/$L9))*($T9*(1-$F9)+$S9*(1-$G9))*((1+Inputs!$D$7)^AX$2))),((_xlfn.WEIBULL.DIST(AX$2,$M9,$L9,FALSE)*($T9*(1-$F9)+$S9*(1-$G9))*((1+Inputs!$D$7)^AX$2))))))</f>
        <v>115.58419530078065</v>
      </c>
      <c r="AY9" s="88">
        <f>$E9*IF(AY$2&gt;Inputs!$D$5,0,IF(AY$2&gt;VLOOKUP($H9,Lists!$P$3:$Q$7,2),IF($N9=Lists!$K$3,IF($L9&lt;1,(($U9/$L9)*((1+Inputs!$D$7)^AY$2)),((INT(AY$2/$L9)-INT((AY$2-1)/$L9))*$U9*((1+Inputs!$D$7)^AY$2))),(_xlfn.WEIBULL.DIST(AY$2,$M9,$L9,FALSE)*$U9*((1+Inputs!$D$7)^AY$2))),IF($N9=Lists!$K$3,IF($L9&lt;1,((($T9*(1-$F9)+$S9*(1-$G9))/$L9)*((1+Inputs!$D$7)^AY$2)),((INT(AY$2/$L9)-INT((AY$2-1)/$L9))*($T9*(1-$F9)+$S9*(1-$G9))*((1+Inputs!$D$7)^AY$2))),((_xlfn.WEIBULL.DIST(AY$2,$M9,$L9,FALSE)*($T9*(1-$F9)+$S9*(1-$G9))*((1+Inputs!$D$7)^AY$2))))))</f>
        <v>117.89587920679625</v>
      </c>
      <c r="AZ9" s="88">
        <f>$E9*IF(AZ$2&gt;Inputs!$D$5,0,IF(AZ$2&gt;VLOOKUP($H9,Lists!$P$3:$Q$7,2),IF($N9=Lists!$K$3,IF($L9&lt;1,(($U9/$L9)*((1+Inputs!$D$7)^AZ$2)),((INT(AZ$2/$L9)-INT((AZ$2-1)/$L9))*$U9*((1+Inputs!$D$7)^AZ$2))),(_xlfn.WEIBULL.DIST(AZ$2,$M9,$L9,FALSE)*$U9*((1+Inputs!$D$7)^AZ$2))),IF($N9=Lists!$K$3,IF($L9&lt;1,((($T9*(1-$F9)+$S9*(1-$G9))/$L9)*((1+Inputs!$D$7)^AZ$2)),((INT(AZ$2/$L9)-INT((AZ$2-1)/$L9))*($T9*(1-$F9)+$S9*(1-$G9))*((1+Inputs!$D$7)^AZ$2))),((_xlfn.WEIBULL.DIST(AZ$2,$M9,$L9,FALSE)*($T9*(1-$F9)+$S9*(1-$G9))*((1+Inputs!$D$7)^AZ$2))))))</f>
        <v>0</v>
      </c>
      <c r="BA9" s="88">
        <f>$E9*IF(BA$2&gt;Inputs!$D$5,0,IF(BA$2&gt;VLOOKUP($H9,Lists!$P$3:$Q$7,2),IF($N9=Lists!$K$3,IF($L9&lt;1,(($U9/$L9)*((1+Inputs!$D$7)^BA$2)),((INT(BA$2/$L9)-INT((BA$2-1)/$L9))*$U9*((1+Inputs!$D$7)^BA$2))),(_xlfn.WEIBULL.DIST(BA$2,$M9,$L9,FALSE)*$U9*((1+Inputs!$D$7)^BA$2))),IF($N9=Lists!$K$3,IF($L9&lt;1,((($T9*(1-$F9)+$S9*(1-$G9))/$L9)*((1+Inputs!$D$7)^BA$2)),((INT(BA$2/$L9)-INT((BA$2-1)/$L9))*($T9*(1-$F9)+$S9*(1-$G9))*((1+Inputs!$D$7)^BA$2))),((_xlfn.WEIBULL.DIST(BA$2,$M9,$L9,FALSE)*($T9*(1-$F9)+$S9*(1-$G9))*((1+Inputs!$D$7)^BA$2))))))</f>
        <v>0</v>
      </c>
      <c r="BB9" s="88">
        <f>$E9*IF(BB$2&gt;Inputs!$D$5,0,IF(BB$2&gt;VLOOKUP($H9,Lists!$P$3:$Q$7,2),IF($N9=Lists!$K$3,IF($L9&lt;1,(($U9/$L9)*((1+Inputs!$D$7)^BB$2)),((INT(BB$2/$L9)-INT((BB$2-1)/$L9))*$U9*((1+Inputs!$D$7)^BB$2))),(_xlfn.WEIBULL.DIST(BB$2,$M9,$L9,FALSE)*$U9*((1+Inputs!$D$7)^BB$2))),IF($N9=Lists!$K$3,IF($L9&lt;1,((($T9*(1-$F9)+$S9*(1-$G9))/$L9)*((1+Inputs!$D$7)^BB$2)),((INT(BB$2/$L9)-INT((BB$2-1)/$L9))*($T9*(1-$F9)+$S9*(1-$G9))*((1+Inputs!$D$7)^BB$2))),((_xlfn.WEIBULL.DIST(BB$2,$M9,$L9,FALSE)*($T9*(1-$F9)+$S9*(1-$G9))*((1+Inputs!$D$7)^BB$2))))))</f>
        <v>0</v>
      </c>
      <c r="BC9" s="88">
        <f>$E9*IF(BC$2&gt;Inputs!$D$5,0,IF(BC$2&gt;VLOOKUP($H9,Lists!$P$3:$Q$7,2),IF($N9=Lists!$K$3,IF($L9&lt;1,(($U9/$L9)*((1+Inputs!$D$7)^BC$2)),((INT(BC$2/$L9)-INT((BC$2-1)/$L9))*$U9*((1+Inputs!$D$7)^BC$2))),(_xlfn.WEIBULL.DIST(BC$2,$M9,$L9,FALSE)*$U9*((1+Inputs!$D$7)^BC$2))),IF($N9=Lists!$K$3,IF($L9&lt;1,((($T9*(1-$F9)+$S9*(1-$G9))/$L9)*((1+Inputs!$D$7)^BC$2)),((INT(BC$2/$L9)-INT((BC$2-1)/$L9))*($T9*(1-$F9)+$S9*(1-$G9))*((1+Inputs!$D$7)^BC$2))),((_xlfn.WEIBULL.DIST(BC$2,$M9,$L9,FALSE)*($T9*(1-$F9)+$S9*(1-$G9))*((1+Inputs!$D$7)^BC$2))))))</f>
        <v>0</v>
      </c>
      <c r="BD9" s="88">
        <f>$E9*IF(BD$2&gt;Inputs!$D$5,0,IF(BD$2&gt;VLOOKUP($H9,Lists!$P$3:$Q$7,2),IF($N9=Lists!$K$3,IF($L9&lt;1,(($U9/$L9)*((1+Inputs!$D$7)^BD$2)),((INT(BD$2/$L9)-INT((BD$2-1)/$L9))*$U9*((1+Inputs!$D$7)^BD$2))),(_xlfn.WEIBULL.DIST(BD$2,$M9,$L9,FALSE)*$U9*((1+Inputs!$D$7)^BD$2))),IF($N9=Lists!$K$3,IF($L9&lt;1,((($T9*(1-$F9)+$S9*(1-$G9))/$L9)*((1+Inputs!$D$7)^BD$2)),((INT(BD$2/$L9)-INT((BD$2-1)/$L9))*($T9*(1-$F9)+$S9*(1-$G9))*((1+Inputs!$D$7)^BD$2))),((_xlfn.WEIBULL.DIST(BD$2,$M9,$L9,FALSE)*($T9*(1-$F9)+$S9*(1-$G9))*((1+Inputs!$D$7)^BD$2))))))</f>
        <v>0</v>
      </c>
      <c r="BE9" s="88">
        <f>$E9*IF(BE$2&gt;Inputs!$D$5,0,IF(BE$2&gt;VLOOKUP($H9,Lists!$P$3:$Q$7,2),IF($N9=Lists!$K$3,IF($L9&lt;1,(($U9/$L9)*((1+Inputs!$D$7)^BE$2)),((INT(BE$2/$L9)-INT((BE$2-1)/$L9))*$U9*((1+Inputs!$D$7)^BE$2))),(_xlfn.WEIBULL.DIST(BE$2,$M9,$L9,FALSE)*$U9*((1+Inputs!$D$7)^BE$2))),IF($N9=Lists!$K$3,IF($L9&lt;1,((($T9*(1-$F9)+$S9*(1-$G9))/$L9)*((1+Inputs!$D$7)^BE$2)),((INT(BE$2/$L9)-INT((BE$2-1)/$L9))*($T9*(1-$F9)+$S9*(1-$G9))*((1+Inputs!$D$7)^BE$2))),((_xlfn.WEIBULL.DIST(BE$2,$M9,$L9,FALSE)*($T9*(1-$F9)+$S9*(1-$G9))*((1+Inputs!$D$7)^BE$2))))))</f>
        <v>0</v>
      </c>
      <c r="BF9" s="88">
        <f>$E9*IF(BF$2&gt;Inputs!$D$5,0,IF(BF$2&gt;VLOOKUP($H9,Lists!$P$3:$Q$7,2),IF($N9=Lists!$K$3,IF($L9&lt;1,(($U9/$L9)*((1+Inputs!$D$7)^BF$2)),((INT(BF$2/$L9)-INT((BF$2-1)/$L9))*$U9*((1+Inputs!$D$7)^BF$2))),(_xlfn.WEIBULL.DIST(BF$2,$M9,$L9,FALSE)*$U9*((1+Inputs!$D$7)^BF$2))),IF($N9=Lists!$K$3,IF($L9&lt;1,((($T9*(1-$F9)+$S9*(1-$G9))/$L9)*((1+Inputs!$D$7)^BF$2)),((INT(BF$2/$L9)-INT((BF$2-1)/$L9))*($T9*(1-$F9)+$S9*(1-$G9))*((1+Inputs!$D$7)^BF$2))),((_xlfn.WEIBULL.DIST(BF$2,$M9,$L9,FALSE)*($T9*(1-$F9)+$S9*(1-$G9))*((1+Inputs!$D$7)^BF$2))))))</f>
        <v>0</v>
      </c>
      <c r="BG9" s="88">
        <f>$E9*IF(BG$2&gt;Inputs!$D$5,0,IF(BG$2&gt;VLOOKUP($H9,Lists!$P$3:$Q$7,2),IF($N9=Lists!$K$3,IF($L9&lt;1,(($U9/$L9)*((1+Inputs!$D$7)^BG$2)),((INT(BG$2/$L9)-INT((BG$2-1)/$L9))*$U9*((1+Inputs!$D$7)^BG$2))),(_xlfn.WEIBULL.DIST(BG$2,$M9,$L9,FALSE)*$U9*((1+Inputs!$D$7)^BG$2))),IF($N9=Lists!$K$3,IF($L9&lt;1,((($T9*(1-$F9)+$S9*(1-$G9))/$L9)*((1+Inputs!$D$7)^BG$2)),((INT(BG$2/$L9)-INT((BG$2-1)/$L9))*($T9*(1-$F9)+$S9*(1-$G9))*((1+Inputs!$D$7)^BG$2))),((_xlfn.WEIBULL.DIST(BG$2,$M9,$L9,FALSE)*($T9*(1-$F9)+$S9*(1-$G9))*((1+Inputs!$D$7)^BG$2))))))</f>
        <v>0</v>
      </c>
      <c r="BH9" s="88">
        <f>$E9*IF(BH$2&gt;Inputs!$D$5,0,IF(BH$2&gt;VLOOKUP($H9,Lists!$P$3:$Q$7,2),IF($N9=Lists!$K$3,IF($L9&lt;1,(($U9/$L9)*((1+Inputs!$D$7)^BH$2)),((INT(BH$2/$L9)-INT((BH$2-1)/$L9))*$U9*((1+Inputs!$D$7)^BH$2))),(_xlfn.WEIBULL.DIST(BH$2,$M9,$L9,FALSE)*$U9*((1+Inputs!$D$7)^BH$2))),IF($N9=Lists!$K$3,IF($L9&lt;1,((($T9*(1-$F9)+$S9*(1-$G9))/$L9)*((1+Inputs!$D$7)^BH$2)),((INT(BH$2/$L9)-INT((BH$2-1)/$L9))*($T9*(1-$F9)+$S9*(1-$G9))*((1+Inputs!$D$7)^BH$2))),((_xlfn.WEIBULL.DIST(BH$2,$M9,$L9,FALSE)*($T9*(1-$F9)+$S9*(1-$G9))*((1+Inputs!$D$7)^BH$2))))))</f>
        <v>0</v>
      </c>
      <c r="BI9" s="88">
        <f>$E9*IF(BI$2&gt;Inputs!$D$5,0,IF(BI$2&gt;VLOOKUP($H9,Lists!$P$3:$Q$7,2),IF($N9=Lists!$K$3,IF($L9&lt;1,(($U9/$L9)*((1+Inputs!$D$7)^BI$2)),((INT(BI$2/$L9)-INT((BI$2-1)/$L9))*$U9*((1+Inputs!$D$7)^BI$2))),(_xlfn.WEIBULL.DIST(BI$2,$M9,$L9,FALSE)*$U9*((1+Inputs!$D$7)^BI$2))),IF($N9=Lists!$K$3,IF($L9&lt;1,((($T9*(1-$F9)+$S9*(1-$G9))/$L9)*((1+Inputs!$D$7)^BI$2)),((INT(BI$2/$L9)-INT((BI$2-1)/$L9))*($T9*(1-$F9)+$S9*(1-$G9))*((1+Inputs!$D$7)^BI$2))),((_xlfn.WEIBULL.DIST(BI$2,$M9,$L9,FALSE)*($T9*(1-$F9)+$S9*(1-$G9))*((1+Inputs!$D$7)^BI$2))))))</f>
        <v>0</v>
      </c>
      <c r="BJ9" s="88">
        <f>$E9*IF(BJ$2&gt;Inputs!$D$5,0,IF(BJ$2&gt;VLOOKUP($H9,Lists!$P$3:$Q$7,2),IF($N9=Lists!$K$3,IF($L9&lt;1,(($U9/$L9)*((1+Inputs!$D$7)^BJ$2)),((INT(BJ$2/$L9)-INT((BJ$2-1)/$L9))*$U9*((1+Inputs!$D$7)^BJ$2))),(_xlfn.WEIBULL.DIST(BJ$2,$M9,$L9,FALSE)*$U9*((1+Inputs!$D$7)^BJ$2))),IF($N9=Lists!$K$3,IF($L9&lt;1,((($T9*(1-$F9)+$S9*(1-$G9))/$L9)*((1+Inputs!$D$7)^BJ$2)),((INT(BJ$2/$L9)-INT((BJ$2-1)/$L9))*($T9*(1-$F9)+$S9*(1-$G9))*((1+Inputs!$D$7)^BJ$2))),((_xlfn.WEIBULL.DIST(BJ$2,$M9,$L9,FALSE)*($T9*(1-$F9)+$S9*(1-$G9))*((1+Inputs!$D$7)^BJ$2))))))</f>
        <v>0</v>
      </c>
      <c r="BK9" s="88">
        <f>$E9*IF(BK$2&gt;Inputs!$D$5,0,IF(BK$2&gt;VLOOKUP($H9,Lists!$P$3:$Q$7,2),IF($N9=Lists!$K$3,IF($L9&lt;1,(($U9/$L9)*((1+Inputs!$D$7)^BK$2)),((INT(BK$2/$L9)-INT((BK$2-1)/$L9))*$U9*((1+Inputs!$D$7)^BK$2))),(_xlfn.WEIBULL.DIST(BK$2,$M9,$L9,FALSE)*$U9*((1+Inputs!$D$7)^BK$2))),IF($N9=Lists!$K$3,IF($L9&lt;1,((($T9*(1-$F9)+$S9*(1-$G9))/$L9)*((1+Inputs!$D$7)^BK$2)),((INT(BK$2/$L9)-INT((BK$2-1)/$L9))*($T9*(1-$F9)+$S9*(1-$G9))*((1+Inputs!$D$7)^BK$2))),((_xlfn.WEIBULL.DIST(BK$2,$M9,$L9,FALSE)*($T9*(1-$F9)+$S9*(1-$G9))*((1+Inputs!$D$7)^BK$2))))))</f>
        <v>0</v>
      </c>
      <c r="BL9" s="88">
        <f>$E9*IF(BL$2&gt;Inputs!$D$5,0,IF(BL$2&gt;VLOOKUP($H9,Lists!$P$3:$Q$7,2),IF($N9=Lists!$K$3,IF($L9&lt;1,(($U9/$L9)*((1+Inputs!$D$7)^BL$2)),((INT(BL$2/$L9)-INT((BL$2-1)/$L9))*$U9*((1+Inputs!$D$7)^BL$2))),(_xlfn.WEIBULL.DIST(BL$2,$M9,$L9,FALSE)*$U9*((1+Inputs!$D$7)^BL$2))),IF($N9=Lists!$K$3,IF($L9&lt;1,((($T9*(1-$F9)+$S9*(1-$G9))/$L9)*((1+Inputs!$D$7)^BL$2)),((INT(BL$2/$L9)-INT((BL$2-1)/$L9))*($T9*(1-$F9)+$S9*(1-$G9))*((1+Inputs!$D$7)^BL$2))),((_xlfn.WEIBULL.DIST(BL$2,$M9,$L9,FALSE)*($T9*(1-$F9)+$S9*(1-$G9))*((1+Inputs!$D$7)^BL$2))))))</f>
        <v>0</v>
      </c>
      <c r="BM9" s="88">
        <f>$E9*IF(BM$2&gt;Inputs!$D$5,0,IF(BM$2&gt;VLOOKUP($H9,Lists!$P$3:$Q$7,2),IF($N9=Lists!$K$3,IF($L9&lt;1,(($U9/$L9)*((1+Inputs!$D$7)^BM$2)),((INT(BM$2/$L9)-INT((BM$2-1)/$L9))*$U9*((1+Inputs!$D$7)^BM$2))),(_xlfn.WEIBULL.DIST(BM$2,$M9,$L9,FALSE)*$U9*((1+Inputs!$D$7)^BM$2))),IF($N9=Lists!$K$3,IF($L9&lt;1,((($T9*(1-$F9)+$S9*(1-$G9))/$L9)*((1+Inputs!$D$7)^BM$2)),((INT(BM$2/$L9)-INT((BM$2-1)/$L9))*($T9*(1-$F9)+$S9*(1-$G9))*((1+Inputs!$D$7)^BM$2))),((_xlfn.WEIBULL.DIST(BM$2,$M9,$L9,FALSE)*($T9*(1-$F9)+$S9*(1-$G9))*((1+Inputs!$D$7)^BM$2))))))</f>
        <v>0</v>
      </c>
      <c r="BN9" s="88">
        <f>$E9*IF(BN$2&gt;Inputs!$D$5,0,IF(BN$2&gt;VLOOKUP($H9,Lists!$P$3:$Q$7,2),IF($N9=Lists!$K$3,IF($L9&lt;1,(($U9/$L9)*((1+Inputs!$D$7)^BN$2)),((INT(BN$2/$L9)-INT((BN$2-1)/$L9))*$U9*((1+Inputs!$D$7)^BN$2))),(_xlfn.WEIBULL.DIST(BN$2,$M9,$L9,FALSE)*$U9*((1+Inputs!$D$7)^BN$2))),IF($N9=Lists!$K$3,IF($L9&lt;1,((($T9*(1-$F9)+$S9*(1-$G9))/$L9)*((1+Inputs!$D$7)^BN$2)),((INT(BN$2/$L9)-INT((BN$2-1)/$L9))*($T9*(1-$F9)+$S9*(1-$G9))*((1+Inputs!$D$7)^BN$2))),((_xlfn.WEIBULL.DIST(BN$2,$M9,$L9,FALSE)*($T9*(1-$F9)+$S9*(1-$G9))*((1+Inputs!$D$7)^BN$2))))))</f>
        <v>0</v>
      </c>
      <c r="BO9" s="64">
        <f>NPV(Inputs!$D$6,BQ9:DD9)</f>
        <v>1022.8347657930373</v>
      </c>
      <c r="BP9" s="67">
        <f t="shared" si="6"/>
        <v>4.8241881106535109E-4</v>
      </c>
      <c r="BQ9" s="88">
        <f>MAX(AA9,($E9*IF(BQ$2&gt;Inputs!$D$5,0,IF(BQ$2&gt;VLOOKUP($H9,Lists!$P$3:$Q$7,2),IF($N9=Lists!$K$3,IF($L9&lt;1,(($U9/$L9)*((1+Inputs!$D$7)^BQ$2)),((INT(BQ$2/$L9)-INT((BQ$2-1)/$L9))*$U9*((1+Inputs!$D$7)^BQ$2))),(Inputs!$D$8^((1-_xlfn.WEIBULL.DIST(BQ$2,$M9,$L9,FALSE))/_xlfn.WEIBULL.DIST(BQ$2,$M9,$L9,FALSE))*$U9*((1+Inputs!$D$7)^BQ$2))),IF($N9=Lists!$K$3,IF($L9&lt;1,((($T9*(1-$F9)+$S9*(1-$G9))/$L9)*((1+Inputs!$D$7)^BQ$2)),((INT(BQ$2/$L9)-INT((BQ$2-1)/$L9))*($T9*(1-$F9)+$S9*(1-$G9))*((1+Inputs!$D$7)^BQ$2))),((Inputs!$D$8^((1-_xlfn.WEIBULL.DIST(BQ$2,$M9,$L9,FALSE))/_xlfn.WEIBULL.DIST(BQ$2,$M9,$L9,FALSE))*($T9*(1-$F9)+$S9*(1-$G9))*((1+Inputs!$D$7)^BQ$2))))))))</f>
        <v>73.298401442307693</v>
      </c>
      <c r="BR9" s="88">
        <f>MAX(AB9,($E9*IF(BR$2&gt;Inputs!$D$5,0,IF(BR$2&gt;VLOOKUP($H9,Lists!$P$3:$Q$7,2),IF($N9=Lists!$K$3,IF($L9&lt;1,(($U9/$L9)*((1+Inputs!$D$7)^BR$2)),((INT(BR$2/$L9)-INT((BR$2-1)/$L9))*$U9*((1+Inputs!$D$7)^BR$2))),(Inputs!$D$8^((1-_xlfn.WEIBULL.DIST(BR$2,$M9,$L9,FALSE))/_xlfn.WEIBULL.DIST(BR$2,$M9,$L9,FALSE))*$U9*((1+Inputs!$D$7)^BR$2))),IF($N9=Lists!$K$3,IF($L9&lt;1,((($T9*(1-$F9)+$S9*(1-$G9))/$L9)*((1+Inputs!$D$7)^BR$2)),((INT(BR$2/$L9)-INT((BR$2-1)/$L9))*($T9*(1-$F9)+$S9*(1-$G9))*((1+Inputs!$D$7)^BR$2))),((Inputs!$D$8^((1-_xlfn.WEIBULL.DIST(BR$2,$M9,$L9,FALSE))/_xlfn.WEIBULL.DIST(BR$2,$M9,$L9,FALSE))*($T9*(1-$F9)+$S9*(1-$G9))*((1+Inputs!$D$7)^BR$2))))))))</f>
        <v>74.764369471153842</v>
      </c>
      <c r="BS9" s="88">
        <f>MAX(AC9,($E9*IF(BS$2&gt;Inputs!$D$5,0,IF(BS$2&gt;VLOOKUP($H9,Lists!$P$3:$Q$7,2),IF($N9=Lists!$K$3,IF($L9&lt;1,(($U9/$L9)*((1+Inputs!$D$7)^BS$2)),((INT(BS$2/$L9)-INT((BS$2-1)/$L9))*$U9*((1+Inputs!$D$7)^BS$2))),(Inputs!$D$8^((1-_xlfn.WEIBULL.DIST(BS$2,$M9,$L9,FALSE))/_xlfn.WEIBULL.DIST(BS$2,$M9,$L9,FALSE))*$U9*((1+Inputs!$D$7)^BS$2))),IF($N9=Lists!$K$3,IF($L9&lt;1,((($T9*(1-$F9)+$S9*(1-$G9))/$L9)*((1+Inputs!$D$7)^BS$2)),((INT(BS$2/$L9)-INT((BS$2-1)/$L9))*($T9*(1-$F9)+$S9*(1-$G9))*((1+Inputs!$D$7)^BS$2))),((Inputs!$D$8^((1-_xlfn.WEIBULL.DIST(BS$2,$M9,$L9,FALSE))/_xlfn.WEIBULL.DIST(BS$2,$M9,$L9,FALSE))*($T9*(1-$F9)+$S9*(1-$G9))*((1+Inputs!$D$7)^BS$2))))))))</f>
        <v>76.259656860576925</v>
      </c>
      <c r="BT9" s="88">
        <f>MAX(AD9,($E9*IF(BT$2&gt;Inputs!$D$5,0,IF(BT$2&gt;VLOOKUP($H9,Lists!$P$3:$Q$7,2),IF($N9=Lists!$K$3,IF($L9&lt;1,(($U9/$L9)*((1+Inputs!$D$7)^BT$2)),((INT(BT$2/$L9)-INT((BT$2-1)/$L9))*$U9*((1+Inputs!$D$7)^BT$2))),(Inputs!$D$8^((1-_xlfn.WEIBULL.DIST(BT$2,$M9,$L9,FALSE))/_xlfn.WEIBULL.DIST(BT$2,$M9,$L9,FALSE))*$U9*((1+Inputs!$D$7)^BT$2))),IF($N9=Lists!$K$3,IF($L9&lt;1,((($T9*(1-$F9)+$S9*(1-$G9))/$L9)*((1+Inputs!$D$7)^BT$2)),((INT(BT$2/$L9)-INT((BT$2-1)/$L9))*($T9*(1-$F9)+$S9*(1-$G9))*((1+Inputs!$D$7)^BT$2))),((Inputs!$D$8^((1-_xlfn.WEIBULL.DIST(BT$2,$M9,$L9,FALSE))/_xlfn.WEIBULL.DIST(BT$2,$M9,$L9,FALSE))*($T9*(1-$F9)+$S9*(1-$G9))*((1+Inputs!$D$7)^BT$2))))))))</f>
        <v>77.784849997788456</v>
      </c>
      <c r="BU9" s="88">
        <f>MAX(AE9,($E9*IF(BU$2&gt;Inputs!$D$5,0,IF(BU$2&gt;VLOOKUP($H9,Lists!$P$3:$Q$7,2),IF($N9=Lists!$K$3,IF($L9&lt;1,(($U9/$L9)*((1+Inputs!$D$7)^BU$2)),((INT(BU$2/$L9)-INT((BU$2-1)/$L9))*$U9*((1+Inputs!$D$7)^BU$2))),(Inputs!$D$8^((1-_xlfn.WEIBULL.DIST(BU$2,$M9,$L9,FALSE))/_xlfn.WEIBULL.DIST(BU$2,$M9,$L9,FALSE))*$U9*((1+Inputs!$D$7)^BU$2))),IF($N9=Lists!$K$3,IF($L9&lt;1,((($T9*(1-$F9)+$S9*(1-$G9))/$L9)*((1+Inputs!$D$7)^BU$2)),((INT(BU$2/$L9)-INT((BU$2-1)/$L9))*($T9*(1-$F9)+$S9*(1-$G9))*((1+Inputs!$D$7)^BU$2))),((Inputs!$D$8^((1-_xlfn.WEIBULL.DIST(BU$2,$M9,$L9,FALSE))/_xlfn.WEIBULL.DIST(BU$2,$M9,$L9,FALSE))*($T9*(1-$F9)+$S9*(1-$G9))*((1+Inputs!$D$7)^BU$2))))))))</f>
        <v>79.340546997744241</v>
      </c>
      <c r="BV9" s="88">
        <f>MAX(AF9,($E9*IF(BV$2&gt;Inputs!$D$5,0,IF(BV$2&gt;VLOOKUP($H9,Lists!$P$3:$Q$7,2),IF($N9=Lists!$K$3,IF($L9&lt;1,(($U9/$L9)*((1+Inputs!$D$7)^BV$2)),((INT(BV$2/$L9)-INT((BV$2-1)/$L9))*$U9*((1+Inputs!$D$7)^BV$2))),(Inputs!$D$8^((1-_xlfn.WEIBULL.DIST(BV$2,$M9,$L9,FALSE))/_xlfn.WEIBULL.DIST(BV$2,$M9,$L9,FALSE))*$U9*((1+Inputs!$D$7)^BV$2))),IF($N9=Lists!$K$3,IF($L9&lt;1,((($T9*(1-$F9)+$S9*(1-$G9))/$L9)*((1+Inputs!$D$7)^BV$2)),((INT(BV$2/$L9)-INT((BV$2-1)/$L9))*($T9*(1-$F9)+$S9*(1-$G9))*((1+Inputs!$D$7)^BV$2))),((Inputs!$D$8^((1-_xlfn.WEIBULL.DIST(BV$2,$M9,$L9,FALSE))/_xlfn.WEIBULL.DIST(BV$2,$M9,$L9,FALSE))*($T9*(1-$F9)+$S9*(1-$G9))*((1+Inputs!$D$7)^BV$2))))))))</f>
        <v>80.927357937699128</v>
      </c>
      <c r="BW9" s="88">
        <f>MAX(AG9,($E9*IF(BW$2&gt;Inputs!$D$5,0,IF(BW$2&gt;VLOOKUP($H9,Lists!$P$3:$Q$7,2),IF($N9=Lists!$K$3,IF($L9&lt;1,(($U9/$L9)*((1+Inputs!$D$7)^BW$2)),((INT(BW$2/$L9)-INT((BW$2-1)/$L9))*$U9*((1+Inputs!$D$7)^BW$2))),(Inputs!$D$8^((1-_xlfn.WEIBULL.DIST(BW$2,$M9,$L9,FALSE))/_xlfn.WEIBULL.DIST(BW$2,$M9,$L9,FALSE))*$U9*((1+Inputs!$D$7)^BW$2))),IF($N9=Lists!$K$3,IF($L9&lt;1,((($T9*(1-$F9)+$S9*(1-$G9))/$L9)*((1+Inputs!$D$7)^BW$2)),((INT(BW$2/$L9)-INT((BW$2-1)/$L9))*($T9*(1-$F9)+$S9*(1-$G9))*((1+Inputs!$D$7)^BW$2))),((Inputs!$D$8^((1-_xlfn.WEIBULL.DIST(BW$2,$M9,$L9,FALSE))/_xlfn.WEIBULL.DIST(BW$2,$M9,$L9,FALSE))*($T9*(1-$F9)+$S9*(1-$G9))*((1+Inputs!$D$7)^BW$2))))))))</f>
        <v>82.545905096453083</v>
      </c>
      <c r="BX9" s="88">
        <f>MAX(AH9,($E9*IF(BX$2&gt;Inputs!$D$5,0,IF(BX$2&gt;VLOOKUP($H9,Lists!$P$3:$Q$7,2),IF($N9=Lists!$K$3,IF($L9&lt;1,(($U9/$L9)*((1+Inputs!$D$7)^BX$2)),((INT(BX$2/$L9)-INT((BX$2-1)/$L9))*$U9*((1+Inputs!$D$7)^BX$2))),(Inputs!$D$8^((1-_xlfn.WEIBULL.DIST(BX$2,$M9,$L9,FALSE))/_xlfn.WEIBULL.DIST(BX$2,$M9,$L9,FALSE))*$U9*((1+Inputs!$D$7)^BX$2))),IF($N9=Lists!$K$3,IF($L9&lt;1,((($T9*(1-$F9)+$S9*(1-$G9))/$L9)*((1+Inputs!$D$7)^BX$2)),((INT(BX$2/$L9)-INT((BX$2-1)/$L9))*($T9*(1-$F9)+$S9*(1-$G9))*((1+Inputs!$D$7)^BX$2))),((Inputs!$D$8^((1-_xlfn.WEIBULL.DIST(BX$2,$M9,$L9,FALSE))/_xlfn.WEIBULL.DIST(BX$2,$M9,$L9,FALSE))*($T9*(1-$F9)+$S9*(1-$G9))*((1+Inputs!$D$7)^BX$2))))))))</f>
        <v>84.196823198382162</v>
      </c>
      <c r="BY9" s="88">
        <f>MAX(AI9,($E9*IF(BY$2&gt;Inputs!$D$5,0,IF(BY$2&gt;VLOOKUP($H9,Lists!$P$3:$Q$7,2),IF($N9=Lists!$K$3,IF($L9&lt;1,(($U9/$L9)*((1+Inputs!$D$7)^BY$2)),((INT(BY$2/$L9)-INT((BY$2-1)/$L9))*$U9*((1+Inputs!$D$7)^BY$2))),(Inputs!$D$8^((1-_xlfn.WEIBULL.DIST(BY$2,$M9,$L9,FALSE))/_xlfn.WEIBULL.DIST(BY$2,$M9,$L9,FALSE))*$U9*((1+Inputs!$D$7)^BY$2))),IF($N9=Lists!$K$3,IF($L9&lt;1,((($T9*(1-$F9)+$S9*(1-$G9))/$L9)*((1+Inputs!$D$7)^BY$2)),((INT(BY$2/$L9)-INT((BY$2-1)/$L9))*($T9*(1-$F9)+$S9*(1-$G9))*((1+Inputs!$D$7)^BY$2))),((Inputs!$D$8^((1-_xlfn.WEIBULL.DIST(BY$2,$M9,$L9,FALSE))/_xlfn.WEIBULL.DIST(BY$2,$M9,$L9,FALSE))*($T9*(1-$F9)+$S9*(1-$G9))*((1+Inputs!$D$7)^BY$2))))))))</f>
        <v>85.880759662349803</v>
      </c>
      <c r="BZ9" s="88">
        <f>MAX(AJ9,($E9*IF(BZ$2&gt;Inputs!$D$5,0,IF(BZ$2&gt;VLOOKUP($H9,Lists!$P$3:$Q$7,2),IF($N9=Lists!$K$3,IF($L9&lt;1,(($U9/$L9)*((1+Inputs!$D$7)^BZ$2)),((INT(BZ$2/$L9)-INT((BZ$2-1)/$L9))*$U9*((1+Inputs!$D$7)^BZ$2))),(Inputs!$D$8^((1-_xlfn.WEIBULL.DIST(BZ$2,$M9,$L9,FALSE))/_xlfn.WEIBULL.DIST(BZ$2,$M9,$L9,FALSE))*$U9*((1+Inputs!$D$7)^BZ$2))),IF($N9=Lists!$K$3,IF($L9&lt;1,((($T9*(1-$F9)+$S9*(1-$G9))/$L9)*((1+Inputs!$D$7)^BZ$2)),((INT(BZ$2/$L9)-INT((BZ$2-1)/$L9))*($T9*(1-$F9)+$S9*(1-$G9))*((1+Inputs!$D$7)^BZ$2))),((Inputs!$D$8^((1-_xlfn.WEIBULL.DIST(BZ$2,$M9,$L9,FALSE))/_xlfn.WEIBULL.DIST(BZ$2,$M9,$L9,FALSE))*($T9*(1-$F9)+$S9*(1-$G9))*((1+Inputs!$D$7)^BZ$2))))))))</f>
        <v>87.598374855596802</v>
      </c>
      <c r="CA9" s="88">
        <f>MAX(AK9,($E9*IF(CA$2&gt;Inputs!$D$5,0,IF(CA$2&gt;VLOOKUP($H9,Lists!$P$3:$Q$7,2),IF($N9=Lists!$K$3,IF($L9&lt;1,(($U9/$L9)*((1+Inputs!$D$7)^CA$2)),((INT(CA$2/$L9)-INT((CA$2-1)/$L9))*$U9*((1+Inputs!$D$7)^CA$2))),(Inputs!$D$8^((1-_xlfn.WEIBULL.DIST(CA$2,$M9,$L9,FALSE))/_xlfn.WEIBULL.DIST(CA$2,$M9,$L9,FALSE))*$U9*((1+Inputs!$D$7)^CA$2))),IF($N9=Lists!$K$3,IF($L9&lt;1,((($T9*(1-$F9)+$S9*(1-$G9))/$L9)*((1+Inputs!$D$7)^CA$2)),((INT(CA$2/$L9)-INT((CA$2-1)/$L9))*($T9*(1-$F9)+$S9*(1-$G9))*((1+Inputs!$D$7)^CA$2))),((Inputs!$D$8^((1-_xlfn.WEIBULL.DIST(CA$2,$M9,$L9,FALSE))/_xlfn.WEIBULL.DIST(CA$2,$M9,$L9,FALSE))*($T9*(1-$F9)+$S9*(1-$G9))*((1+Inputs!$D$7)^CA$2))))))))</f>
        <v>89.350342352708722</v>
      </c>
      <c r="CB9" s="88">
        <f>MAX(AL9,($E9*IF(CB$2&gt;Inputs!$D$5,0,IF(CB$2&gt;VLOOKUP($H9,Lists!$P$3:$Q$7,2),IF($N9=Lists!$K$3,IF($L9&lt;1,(($U9/$L9)*((1+Inputs!$D$7)^CB$2)),((INT(CB$2/$L9)-INT((CB$2-1)/$L9))*$U9*((1+Inputs!$D$7)^CB$2))),(Inputs!$D$8^((1-_xlfn.WEIBULL.DIST(CB$2,$M9,$L9,FALSE))/_xlfn.WEIBULL.DIST(CB$2,$M9,$L9,FALSE))*$U9*((1+Inputs!$D$7)^CB$2))),IF($N9=Lists!$K$3,IF($L9&lt;1,((($T9*(1-$F9)+$S9*(1-$G9))/$L9)*((1+Inputs!$D$7)^CB$2)),((INT(CB$2/$L9)-INT((CB$2-1)/$L9))*($T9*(1-$F9)+$S9*(1-$G9))*((1+Inputs!$D$7)^CB$2))),((Inputs!$D$8^((1-_xlfn.WEIBULL.DIST(CB$2,$M9,$L9,FALSE))/_xlfn.WEIBULL.DIST(CB$2,$M9,$L9,FALSE))*($T9*(1-$F9)+$S9*(1-$G9))*((1+Inputs!$D$7)^CB$2))))))))</f>
        <v>91.137349199762909</v>
      </c>
      <c r="CC9" s="88">
        <f>MAX(AM9,($E9*IF(CC$2&gt;Inputs!$D$5,0,IF(CC$2&gt;VLOOKUP($H9,Lists!$P$3:$Q$7,2),IF($N9=Lists!$K$3,IF($L9&lt;1,(($U9/$L9)*((1+Inputs!$D$7)^CC$2)),((INT(CC$2/$L9)-INT((CC$2-1)/$L9))*$U9*((1+Inputs!$D$7)^CC$2))),(Inputs!$D$8^((1-_xlfn.WEIBULL.DIST(CC$2,$M9,$L9,FALSE))/_xlfn.WEIBULL.DIST(CC$2,$M9,$L9,FALSE))*$U9*((1+Inputs!$D$7)^CC$2))),IF($N9=Lists!$K$3,IF($L9&lt;1,((($T9*(1-$F9)+$S9*(1-$G9))/$L9)*((1+Inputs!$D$7)^CC$2)),((INT(CC$2/$L9)-INT((CC$2-1)/$L9))*($T9*(1-$F9)+$S9*(1-$G9))*((1+Inputs!$D$7)^CC$2))),((Inputs!$D$8^((1-_xlfn.WEIBULL.DIST(CC$2,$M9,$L9,FALSE))/_xlfn.WEIBULL.DIST(CC$2,$M9,$L9,FALSE))*($T9*(1-$F9)+$S9*(1-$G9))*((1+Inputs!$D$7)^CC$2))))))))</f>
        <v>92.960096183758168</v>
      </c>
      <c r="CD9" s="88">
        <f>MAX(AN9,($E9*IF(CD$2&gt;Inputs!$D$5,0,IF(CD$2&gt;VLOOKUP($H9,Lists!$P$3:$Q$7,2),IF($N9=Lists!$K$3,IF($L9&lt;1,(($U9/$L9)*((1+Inputs!$D$7)^CD$2)),((INT(CD$2/$L9)-INT((CD$2-1)/$L9))*$U9*((1+Inputs!$D$7)^CD$2))),(Inputs!$D$8^((1-_xlfn.WEIBULL.DIST(CD$2,$M9,$L9,FALSE))/_xlfn.WEIBULL.DIST(CD$2,$M9,$L9,FALSE))*$U9*((1+Inputs!$D$7)^CD$2))),IF($N9=Lists!$K$3,IF($L9&lt;1,((($T9*(1-$F9)+$S9*(1-$G9))/$L9)*((1+Inputs!$D$7)^CD$2)),((INT(CD$2/$L9)-INT((CD$2-1)/$L9))*($T9*(1-$F9)+$S9*(1-$G9))*((1+Inputs!$D$7)^CD$2))),((Inputs!$D$8^((1-_xlfn.WEIBULL.DIST(CD$2,$M9,$L9,FALSE))/_xlfn.WEIBULL.DIST(CD$2,$M9,$L9,FALSE))*($T9*(1-$F9)+$S9*(1-$G9))*((1+Inputs!$D$7)^CD$2))))))))</f>
        <v>94.81929810743334</v>
      </c>
      <c r="CE9" s="88">
        <f>MAX(AO9,($E9*IF(CE$2&gt;Inputs!$D$5,0,IF(CE$2&gt;VLOOKUP($H9,Lists!$P$3:$Q$7,2),IF($N9=Lists!$K$3,IF($L9&lt;1,(($U9/$L9)*((1+Inputs!$D$7)^CE$2)),((INT(CE$2/$L9)-INT((CE$2-1)/$L9))*$U9*((1+Inputs!$D$7)^CE$2))),(Inputs!$D$8^((1-_xlfn.WEIBULL.DIST(CE$2,$M9,$L9,FALSE))/_xlfn.WEIBULL.DIST(CE$2,$M9,$L9,FALSE))*$U9*((1+Inputs!$D$7)^CE$2))),IF($N9=Lists!$K$3,IF($L9&lt;1,((($T9*(1-$F9)+$S9*(1-$G9))/$L9)*((1+Inputs!$D$7)^CE$2)),((INT(CE$2/$L9)-INT((CE$2-1)/$L9))*($T9*(1-$F9)+$S9*(1-$G9))*((1+Inputs!$D$7)^CE$2))),((Inputs!$D$8^((1-_xlfn.WEIBULL.DIST(CE$2,$M9,$L9,FALSE))/_xlfn.WEIBULL.DIST(CE$2,$M9,$L9,FALSE))*($T9*(1-$F9)+$S9*(1-$G9))*((1+Inputs!$D$7)^CE$2))))))))</f>
        <v>96.715684069581968</v>
      </c>
      <c r="CF9" s="88">
        <f>MAX(AP9,($E9*IF(CF$2&gt;Inputs!$D$5,0,IF(CF$2&gt;VLOOKUP($H9,Lists!$P$3:$Q$7,2),IF($N9=Lists!$K$3,IF($L9&lt;1,(($U9/$L9)*((1+Inputs!$D$7)^CF$2)),((INT(CF$2/$L9)-INT((CF$2-1)/$L9))*$U9*((1+Inputs!$D$7)^CF$2))),(Inputs!$D$8^((1-_xlfn.WEIBULL.DIST(CF$2,$M9,$L9,FALSE))/_xlfn.WEIBULL.DIST(CF$2,$M9,$L9,FALSE))*$U9*((1+Inputs!$D$7)^CF$2))),IF($N9=Lists!$K$3,IF($L9&lt;1,((($T9*(1-$F9)+$S9*(1-$G9))/$L9)*((1+Inputs!$D$7)^CF$2)),((INT(CF$2/$L9)-INT((CF$2-1)/$L9))*($T9*(1-$F9)+$S9*(1-$G9))*((1+Inputs!$D$7)^CF$2))),((Inputs!$D$8^((1-_xlfn.WEIBULL.DIST(CF$2,$M9,$L9,FALSE))/_xlfn.WEIBULL.DIST(CF$2,$M9,$L9,FALSE))*($T9*(1-$F9)+$S9*(1-$G9))*((1+Inputs!$D$7)^CF$2))))))))</f>
        <v>98.649997750973625</v>
      </c>
      <c r="CG9" s="88">
        <f>MAX(AQ9,($E9*IF(CG$2&gt;Inputs!$D$5,0,IF(CG$2&gt;VLOOKUP($H9,Lists!$P$3:$Q$7,2),IF($N9=Lists!$K$3,IF($L9&lt;1,(($U9/$L9)*((1+Inputs!$D$7)^CG$2)),((INT(CG$2/$L9)-INT((CG$2-1)/$L9))*$U9*((1+Inputs!$D$7)^CG$2))),(Inputs!$D$8^((1-_xlfn.WEIBULL.DIST(CG$2,$M9,$L9,FALSE))/_xlfn.WEIBULL.DIST(CG$2,$M9,$L9,FALSE))*$U9*((1+Inputs!$D$7)^CG$2))),IF($N9=Lists!$K$3,IF($L9&lt;1,((($T9*(1-$F9)+$S9*(1-$G9))/$L9)*((1+Inputs!$D$7)^CG$2)),((INT(CG$2/$L9)-INT((CG$2-1)/$L9))*($T9*(1-$F9)+$S9*(1-$G9))*((1+Inputs!$D$7)^CG$2))),((Inputs!$D$8^((1-_xlfn.WEIBULL.DIST(CG$2,$M9,$L9,FALSE))/_xlfn.WEIBULL.DIST(CG$2,$M9,$L9,FALSE))*($T9*(1-$F9)+$S9*(1-$G9))*((1+Inputs!$D$7)^CG$2))))))))</f>
        <v>100.62299770599311</v>
      </c>
      <c r="CH9" s="88">
        <f>MAX(AR9,($E9*IF(CH$2&gt;Inputs!$D$5,0,IF(CH$2&gt;VLOOKUP($H9,Lists!$P$3:$Q$7,2),IF($N9=Lists!$K$3,IF($L9&lt;1,(($U9/$L9)*((1+Inputs!$D$7)^CH$2)),((INT(CH$2/$L9)-INT((CH$2-1)/$L9))*$U9*((1+Inputs!$D$7)^CH$2))),(Inputs!$D$8^((1-_xlfn.WEIBULL.DIST(CH$2,$M9,$L9,FALSE))/_xlfn.WEIBULL.DIST(CH$2,$M9,$L9,FALSE))*$U9*((1+Inputs!$D$7)^CH$2))),IF($N9=Lists!$K$3,IF($L9&lt;1,((($T9*(1-$F9)+$S9*(1-$G9))/$L9)*((1+Inputs!$D$7)^CH$2)),((INT(CH$2/$L9)-INT((CH$2-1)/$L9))*($T9*(1-$F9)+$S9*(1-$G9))*((1+Inputs!$D$7)^CH$2))),((Inputs!$D$8^((1-_xlfn.WEIBULL.DIST(CH$2,$M9,$L9,FALSE))/_xlfn.WEIBULL.DIST(CH$2,$M9,$L9,FALSE))*($T9*(1-$F9)+$S9*(1-$G9))*((1+Inputs!$D$7)^CH$2))))))))</f>
        <v>102.63545766011296</v>
      </c>
      <c r="CI9" s="88">
        <f>MAX(AS9,($E9*IF(CI$2&gt;Inputs!$D$5,0,IF(CI$2&gt;VLOOKUP($H9,Lists!$P$3:$Q$7,2),IF($N9=Lists!$K$3,IF($L9&lt;1,(($U9/$L9)*((1+Inputs!$D$7)^CI$2)),((INT(CI$2/$L9)-INT((CI$2-1)/$L9))*$U9*((1+Inputs!$D$7)^CI$2))),(Inputs!$D$8^((1-_xlfn.WEIBULL.DIST(CI$2,$M9,$L9,FALSE))/_xlfn.WEIBULL.DIST(CI$2,$M9,$L9,FALSE))*$U9*((1+Inputs!$D$7)^CI$2))),IF($N9=Lists!$K$3,IF($L9&lt;1,((($T9*(1-$F9)+$S9*(1-$G9))/$L9)*((1+Inputs!$D$7)^CI$2)),((INT(CI$2/$L9)-INT((CI$2-1)/$L9))*($T9*(1-$F9)+$S9*(1-$G9))*((1+Inputs!$D$7)^CI$2))),((Inputs!$D$8^((1-_xlfn.WEIBULL.DIST(CI$2,$M9,$L9,FALSE))/_xlfn.WEIBULL.DIST(CI$2,$M9,$L9,FALSE))*($T9*(1-$F9)+$S9*(1-$G9))*((1+Inputs!$D$7)^CI$2))))))))</f>
        <v>104.68816681331522</v>
      </c>
      <c r="CJ9" s="88">
        <f>MAX(AT9,($E9*IF(CJ$2&gt;Inputs!$D$5,0,IF(CJ$2&gt;VLOOKUP($H9,Lists!$P$3:$Q$7,2),IF($N9=Lists!$K$3,IF($L9&lt;1,(($U9/$L9)*((1+Inputs!$D$7)^CJ$2)),((INT(CJ$2/$L9)-INT((CJ$2-1)/$L9))*$U9*((1+Inputs!$D$7)^CJ$2))),(Inputs!$D$8^((1-_xlfn.WEIBULL.DIST(CJ$2,$M9,$L9,FALSE))/_xlfn.WEIBULL.DIST(CJ$2,$M9,$L9,FALSE))*$U9*((1+Inputs!$D$7)^CJ$2))),IF($N9=Lists!$K$3,IF($L9&lt;1,((($T9*(1-$F9)+$S9*(1-$G9))/$L9)*((1+Inputs!$D$7)^CJ$2)),((INT(CJ$2/$L9)-INT((CJ$2-1)/$L9))*($T9*(1-$F9)+$S9*(1-$G9))*((1+Inputs!$D$7)^CJ$2))),((Inputs!$D$8^((1-_xlfn.WEIBULL.DIST(CJ$2,$M9,$L9,FALSE))/_xlfn.WEIBULL.DIST(CJ$2,$M9,$L9,FALSE))*($T9*(1-$F9)+$S9*(1-$G9))*((1+Inputs!$D$7)^CJ$2))))))))</f>
        <v>106.78193014958153</v>
      </c>
      <c r="CK9" s="88">
        <f>MAX(AU9,($E9*IF(CK$2&gt;Inputs!$D$5,0,IF(CK$2&gt;VLOOKUP($H9,Lists!$P$3:$Q$7,2),IF($N9=Lists!$K$3,IF($L9&lt;1,(($U9/$L9)*((1+Inputs!$D$7)^CK$2)),((INT(CK$2/$L9)-INT((CK$2-1)/$L9))*$U9*((1+Inputs!$D$7)^CK$2))),(Inputs!$D$8^((1-_xlfn.WEIBULL.DIST(CK$2,$M9,$L9,FALSE))/_xlfn.WEIBULL.DIST(CK$2,$M9,$L9,FALSE))*$U9*((1+Inputs!$D$7)^CK$2))),IF($N9=Lists!$K$3,IF($L9&lt;1,((($T9*(1-$F9)+$S9*(1-$G9))/$L9)*((1+Inputs!$D$7)^CK$2)),((INT(CK$2/$L9)-INT((CK$2-1)/$L9))*($T9*(1-$F9)+$S9*(1-$G9))*((1+Inputs!$D$7)^CK$2))),((Inputs!$D$8^((1-_xlfn.WEIBULL.DIST(CK$2,$M9,$L9,FALSE))/_xlfn.WEIBULL.DIST(CK$2,$M9,$L9,FALSE))*($T9*(1-$F9)+$S9*(1-$G9))*((1+Inputs!$D$7)^CK$2))))))))</f>
        <v>108.91756875257316</v>
      </c>
      <c r="CL9" s="88">
        <f>MAX(AV9,($E9*IF(CL$2&gt;Inputs!$D$5,0,IF(CL$2&gt;VLOOKUP($H9,Lists!$P$3:$Q$7,2),IF($N9=Lists!$K$3,IF($L9&lt;1,(($U9/$L9)*((1+Inputs!$D$7)^CL$2)),((INT(CL$2/$L9)-INT((CL$2-1)/$L9))*$U9*((1+Inputs!$D$7)^CL$2))),(Inputs!$D$8^((1-_xlfn.WEIBULL.DIST(CL$2,$M9,$L9,FALSE))/_xlfn.WEIBULL.DIST(CL$2,$M9,$L9,FALSE))*$U9*((1+Inputs!$D$7)^CL$2))),IF($N9=Lists!$K$3,IF($L9&lt;1,((($T9*(1-$F9)+$S9*(1-$G9))/$L9)*((1+Inputs!$D$7)^CL$2)),((INT(CL$2/$L9)-INT((CL$2-1)/$L9))*($T9*(1-$F9)+$S9*(1-$G9))*((1+Inputs!$D$7)^CL$2))),((Inputs!$D$8^((1-_xlfn.WEIBULL.DIST(CL$2,$M9,$L9,FALSE))/_xlfn.WEIBULL.DIST(CL$2,$M9,$L9,FALSE))*($T9*(1-$F9)+$S9*(1-$G9))*((1+Inputs!$D$7)^CL$2))))))))</f>
        <v>111.09592012762462</v>
      </c>
      <c r="CM9" s="88">
        <f>MAX(AW9,($E9*IF(CM$2&gt;Inputs!$D$5,0,IF(CM$2&gt;VLOOKUP($H9,Lists!$P$3:$Q$7,2),IF($N9=Lists!$K$3,IF($L9&lt;1,(($U9/$L9)*((1+Inputs!$D$7)^CM$2)),((INT(CM$2/$L9)-INT((CM$2-1)/$L9))*$U9*((1+Inputs!$D$7)^CM$2))),(Inputs!$D$8^((1-_xlfn.WEIBULL.DIST(CM$2,$M9,$L9,FALSE))/_xlfn.WEIBULL.DIST(CM$2,$M9,$L9,FALSE))*$U9*((1+Inputs!$D$7)^CM$2))),IF($N9=Lists!$K$3,IF($L9&lt;1,((($T9*(1-$F9)+$S9*(1-$G9))/$L9)*((1+Inputs!$D$7)^CM$2)),((INT(CM$2/$L9)-INT((CM$2-1)/$L9))*($T9*(1-$F9)+$S9*(1-$G9))*((1+Inputs!$D$7)^CM$2))),((Inputs!$D$8^((1-_xlfn.WEIBULL.DIST(CM$2,$M9,$L9,FALSE))/_xlfn.WEIBULL.DIST(CM$2,$M9,$L9,FALSE))*($T9*(1-$F9)+$S9*(1-$G9))*((1+Inputs!$D$7)^CM$2))))))))</f>
        <v>113.3178385301771</v>
      </c>
      <c r="CN9" s="88">
        <f>MAX(AX9,($E9*IF(CN$2&gt;Inputs!$D$5,0,IF(CN$2&gt;VLOOKUP($H9,Lists!$P$3:$Q$7,2),IF($N9=Lists!$K$3,IF($L9&lt;1,(($U9/$L9)*((1+Inputs!$D$7)^CN$2)),((INT(CN$2/$L9)-INT((CN$2-1)/$L9))*$U9*((1+Inputs!$D$7)^CN$2))),(Inputs!$D$8^((1-_xlfn.WEIBULL.DIST(CN$2,$M9,$L9,FALSE))/_xlfn.WEIBULL.DIST(CN$2,$M9,$L9,FALSE))*$U9*((1+Inputs!$D$7)^CN$2))),IF($N9=Lists!$K$3,IF($L9&lt;1,((($T9*(1-$F9)+$S9*(1-$G9))/$L9)*((1+Inputs!$D$7)^CN$2)),((INT(CN$2/$L9)-INT((CN$2-1)/$L9))*($T9*(1-$F9)+$S9*(1-$G9))*((1+Inputs!$D$7)^CN$2))),((Inputs!$D$8^((1-_xlfn.WEIBULL.DIST(CN$2,$M9,$L9,FALSE))/_xlfn.WEIBULL.DIST(CN$2,$M9,$L9,FALSE))*($T9*(1-$F9)+$S9*(1-$G9))*((1+Inputs!$D$7)^CN$2))))))))</f>
        <v>115.58419530078065</v>
      </c>
      <c r="CO9" s="88">
        <f>MAX(AY9,($E9*IF(CO$2&gt;Inputs!$D$5,0,IF(CO$2&gt;VLOOKUP($H9,Lists!$P$3:$Q$7,2),IF($N9=Lists!$K$3,IF($L9&lt;1,(($U9/$L9)*((1+Inputs!$D$7)^CO$2)),((INT(CO$2/$L9)-INT((CO$2-1)/$L9))*$U9*((1+Inputs!$D$7)^CO$2))),(Inputs!$D$8^((1-_xlfn.WEIBULL.DIST(CO$2,$M9,$L9,FALSE))/_xlfn.WEIBULL.DIST(CO$2,$M9,$L9,FALSE))*$U9*((1+Inputs!$D$7)^CO$2))),IF($N9=Lists!$K$3,IF($L9&lt;1,((($T9*(1-$F9)+$S9*(1-$G9))/$L9)*((1+Inputs!$D$7)^CO$2)),((INT(CO$2/$L9)-INT((CO$2-1)/$L9))*($T9*(1-$F9)+$S9*(1-$G9))*((1+Inputs!$D$7)^CO$2))),((Inputs!$D$8^((1-_xlfn.WEIBULL.DIST(CO$2,$M9,$L9,FALSE))/_xlfn.WEIBULL.DIST(CO$2,$M9,$L9,FALSE))*($T9*(1-$F9)+$S9*(1-$G9))*((1+Inputs!$D$7)^CO$2))))))))</f>
        <v>117.89587920679625</v>
      </c>
      <c r="CP9" s="88">
        <f>MAX(AZ9,($E9*IF(CP$2&gt;Inputs!$D$5,0,IF(CP$2&gt;VLOOKUP($H9,Lists!$P$3:$Q$7,2),IF($N9=Lists!$K$3,IF($L9&lt;1,(($U9/$L9)*((1+Inputs!$D$7)^CP$2)),((INT(CP$2/$L9)-INT((CP$2-1)/$L9))*$U9*((1+Inputs!$D$7)^CP$2))),(Inputs!$D$8^((1-_xlfn.WEIBULL.DIST(CP$2,$M9,$L9,FALSE))/_xlfn.WEIBULL.DIST(CP$2,$M9,$L9,FALSE))*$U9*((1+Inputs!$D$7)^CP$2))),IF($N9=Lists!$K$3,IF($L9&lt;1,((($T9*(1-$F9)+$S9*(1-$G9))/$L9)*((1+Inputs!$D$7)^CP$2)),((INT(CP$2/$L9)-INT((CP$2-1)/$L9))*($T9*(1-$F9)+$S9*(1-$G9))*((1+Inputs!$D$7)^CP$2))),((Inputs!$D$8^((1-_xlfn.WEIBULL.DIST(CP$2,$M9,$L9,FALSE))/_xlfn.WEIBULL.DIST(CP$2,$M9,$L9,FALSE))*($T9*(1-$F9)+$S9*(1-$G9))*((1+Inputs!$D$7)^CP$2))))))))</f>
        <v>0</v>
      </c>
      <c r="CQ9" s="88">
        <f>MAX(BA9,($E9*IF(CQ$2&gt;Inputs!$D$5,0,IF(CQ$2&gt;VLOOKUP($H9,Lists!$P$3:$Q$7,2),IF($N9=Lists!$K$3,IF($L9&lt;1,(($U9/$L9)*((1+Inputs!$D$7)^CQ$2)),((INT(CQ$2/$L9)-INT((CQ$2-1)/$L9))*$U9*((1+Inputs!$D$7)^CQ$2))),(Inputs!$D$8^((1-_xlfn.WEIBULL.DIST(CQ$2,$M9,$L9,FALSE))/_xlfn.WEIBULL.DIST(CQ$2,$M9,$L9,FALSE))*$U9*((1+Inputs!$D$7)^CQ$2))),IF($N9=Lists!$K$3,IF($L9&lt;1,((($T9*(1-$F9)+$S9*(1-$G9))/$L9)*((1+Inputs!$D$7)^CQ$2)),((INT(CQ$2/$L9)-INT((CQ$2-1)/$L9))*($T9*(1-$F9)+$S9*(1-$G9))*((1+Inputs!$D$7)^CQ$2))),((Inputs!$D$8^((1-_xlfn.WEIBULL.DIST(CQ$2,$M9,$L9,FALSE))/_xlfn.WEIBULL.DIST(CQ$2,$M9,$L9,FALSE))*($T9*(1-$F9)+$S9*(1-$G9))*((1+Inputs!$D$7)^CQ$2))))))))</f>
        <v>0</v>
      </c>
      <c r="CR9" s="88">
        <f>MAX(BB9,($E9*IF(CR$2&gt;Inputs!$D$5,0,IF(CR$2&gt;VLOOKUP($H9,Lists!$P$3:$Q$7,2),IF($N9=Lists!$K$3,IF($L9&lt;1,(($U9/$L9)*((1+Inputs!$D$7)^CR$2)),((INT(CR$2/$L9)-INT((CR$2-1)/$L9))*$U9*((1+Inputs!$D$7)^CR$2))),(Inputs!$D$8^((1-_xlfn.WEIBULL.DIST(CR$2,$M9,$L9,FALSE))/_xlfn.WEIBULL.DIST(CR$2,$M9,$L9,FALSE))*$U9*((1+Inputs!$D$7)^CR$2))),IF($N9=Lists!$K$3,IF($L9&lt;1,((($T9*(1-$F9)+$S9*(1-$G9))/$L9)*((1+Inputs!$D$7)^CR$2)),((INT(CR$2/$L9)-INT((CR$2-1)/$L9))*($T9*(1-$F9)+$S9*(1-$G9))*((1+Inputs!$D$7)^CR$2))),((Inputs!$D$8^((1-_xlfn.WEIBULL.DIST(CR$2,$M9,$L9,FALSE))/_xlfn.WEIBULL.DIST(CR$2,$M9,$L9,FALSE))*($T9*(1-$F9)+$S9*(1-$G9))*((1+Inputs!$D$7)^CR$2))))))))</f>
        <v>0</v>
      </c>
      <c r="CS9" s="88">
        <f>MAX(BC9,($E9*IF(CS$2&gt;Inputs!$D$5,0,IF(CS$2&gt;VLOOKUP($H9,Lists!$P$3:$Q$7,2),IF($N9=Lists!$K$3,IF($L9&lt;1,(($U9/$L9)*((1+Inputs!$D$7)^CS$2)),((INT(CS$2/$L9)-INT((CS$2-1)/$L9))*$U9*((1+Inputs!$D$7)^CS$2))),(Inputs!$D$8^((1-_xlfn.WEIBULL.DIST(CS$2,$M9,$L9,FALSE))/_xlfn.WEIBULL.DIST(CS$2,$M9,$L9,FALSE))*$U9*((1+Inputs!$D$7)^CS$2))),IF($N9=Lists!$K$3,IF($L9&lt;1,((($T9*(1-$F9)+$S9*(1-$G9))/$L9)*((1+Inputs!$D$7)^CS$2)),((INT(CS$2/$L9)-INT((CS$2-1)/$L9))*($T9*(1-$F9)+$S9*(1-$G9))*((1+Inputs!$D$7)^CS$2))),((Inputs!$D$8^((1-_xlfn.WEIBULL.DIST(CS$2,$M9,$L9,FALSE))/_xlfn.WEIBULL.DIST(CS$2,$M9,$L9,FALSE))*($T9*(1-$F9)+$S9*(1-$G9))*((1+Inputs!$D$7)^CS$2))))))))</f>
        <v>0</v>
      </c>
      <c r="CT9" s="88">
        <f>MAX(BD9,($E9*IF(CT$2&gt;Inputs!$D$5,0,IF(CT$2&gt;VLOOKUP($H9,Lists!$P$3:$Q$7,2),IF($N9=Lists!$K$3,IF($L9&lt;1,(($U9/$L9)*((1+Inputs!$D$7)^CT$2)),((INT(CT$2/$L9)-INT((CT$2-1)/$L9))*$U9*((1+Inputs!$D$7)^CT$2))),(Inputs!$D$8^((1-_xlfn.WEIBULL.DIST(CT$2,$M9,$L9,FALSE))/_xlfn.WEIBULL.DIST(CT$2,$M9,$L9,FALSE))*$U9*((1+Inputs!$D$7)^CT$2))),IF($N9=Lists!$K$3,IF($L9&lt;1,((($T9*(1-$F9)+$S9*(1-$G9))/$L9)*((1+Inputs!$D$7)^CT$2)),((INT(CT$2/$L9)-INT((CT$2-1)/$L9))*($T9*(1-$F9)+$S9*(1-$G9))*((1+Inputs!$D$7)^CT$2))),((Inputs!$D$8^((1-_xlfn.WEIBULL.DIST(CT$2,$M9,$L9,FALSE))/_xlfn.WEIBULL.DIST(CT$2,$M9,$L9,FALSE))*($T9*(1-$F9)+$S9*(1-$G9))*((1+Inputs!$D$7)^CT$2))))))))</f>
        <v>0</v>
      </c>
      <c r="CU9" s="88">
        <f>MAX(BE9,($E9*IF(CU$2&gt;Inputs!$D$5,0,IF(CU$2&gt;VLOOKUP($H9,Lists!$P$3:$Q$7,2),IF($N9=Lists!$K$3,IF($L9&lt;1,(($U9/$L9)*((1+Inputs!$D$7)^CU$2)),((INT(CU$2/$L9)-INT((CU$2-1)/$L9))*$U9*((1+Inputs!$D$7)^CU$2))),(Inputs!$D$8^((1-_xlfn.WEIBULL.DIST(CU$2,$M9,$L9,FALSE))/_xlfn.WEIBULL.DIST(CU$2,$M9,$L9,FALSE))*$U9*((1+Inputs!$D$7)^CU$2))),IF($N9=Lists!$K$3,IF($L9&lt;1,((($T9*(1-$F9)+$S9*(1-$G9))/$L9)*((1+Inputs!$D$7)^CU$2)),((INT(CU$2/$L9)-INT((CU$2-1)/$L9))*($T9*(1-$F9)+$S9*(1-$G9))*((1+Inputs!$D$7)^CU$2))),((Inputs!$D$8^((1-_xlfn.WEIBULL.DIST(CU$2,$M9,$L9,FALSE))/_xlfn.WEIBULL.DIST(CU$2,$M9,$L9,FALSE))*($T9*(1-$F9)+$S9*(1-$G9))*((1+Inputs!$D$7)^CU$2))))))))</f>
        <v>0</v>
      </c>
      <c r="CV9" s="88">
        <f>MAX(BF9,($E9*IF(CV$2&gt;Inputs!$D$5,0,IF(CV$2&gt;VLOOKUP($H9,Lists!$P$3:$Q$7,2),IF($N9=Lists!$K$3,IF($L9&lt;1,(($U9/$L9)*((1+Inputs!$D$7)^CV$2)),((INT(CV$2/$L9)-INT((CV$2-1)/$L9))*$U9*((1+Inputs!$D$7)^CV$2))),(Inputs!$D$8^((1-_xlfn.WEIBULL.DIST(CV$2,$M9,$L9,FALSE))/_xlfn.WEIBULL.DIST(CV$2,$M9,$L9,FALSE))*$U9*((1+Inputs!$D$7)^CV$2))),IF($N9=Lists!$K$3,IF($L9&lt;1,((($T9*(1-$F9)+$S9*(1-$G9))/$L9)*((1+Inputs!$D$7)^CV$2)),((INT(CV$2/$L9)-INT((CV$2-1)/$L9))*($T9*(1-$F9)+$S9*(1-$G9))*((1+Inputs!$D$7)^CV$2))),((Inputs!$D$8^((1-_xlfn.WEIBULL.DIST(CV$2,$M9,$L9,FALSE))/_xlfn.WEIBULL.DIST(CV$2,$M9,$L9,FALSE))*($T9*(1-$F9)+$S9*(1-$G9))*((1+Inputs!$D$7)^CV$2))))))))</f>
        <v>0</v>
      </c>
      <c r="CW9" s="88">
        <f>MAX(BG9,($E9*IF(CW$2&gt;Inputs!$D$5,0,IF(CW$2&gt;VLOOKUP($H9,Lists!$P$3:$Q$7,2),IF($N9=Lists!$K$3,IF($L9&lt;1,(($U9/$L9)*((1+Inputs!$D$7)^CW$2)),((INT(CW$2/$L9)-INT((CW$2-1)/$L9))*$U9*((1+Inputs!$D$7)^CW$2))),(Inputs!$D$8^((1-_xlfn.WEIBULL.DIST(CW$2,$M9,$L9,FALSE))/_xlfn.WEIBULL.DIST(CW$2,$M9,$L9,FALSE))*$U9*((1+Inputs!$D$7)^CW$2))),IF($N9=Lists!$K$3,IF($L9&lt;1,((($T9*(1-$F9)+$S9*(1-$G9))/$L9)*((1+Inputs!$D$7)^CW$2)),((INT(CW$2/$L9)-INT((CW$2-1)/$L9))*($T9*(1-$F9)+$S9*(1-$G9))*((1+Inputs!$D$7)^CW$2))),((Inputs!$D$8^((1-_xlfn.WEIBULL.DIST(CW$2,$M9,$L9,FALSE))/_xlfn.WEIBULL.DIST(CW$2,$M9,$L9,FALSE))*($T9*(1-$F9)+$S9*(1-$G9))*((1+Inputs!$D$7)^CW$2))))))))</f>
        <v>0</v>
      </c>
      <c r="CX9" s="88">
        <f>MAX(BH9,($E9*IF(CX$2&gt;Inputs!$D$5,0,IF(CX$2&gt;VLOOKUP($H9,Lists!$P$3:$Q$7,2),IF($N9=Lists!$K$3,IF($L9&lt;1,(($U9/$L9)*((1+Inputs!$D$7)^CX$2)),((INT(CX$2/$L9)-INT((CX$2-1)/$L9))*$U9*((1+Inputs!$D$7)^CX$2))),(Inputs!$D$8^((1-_xlfn.WEIBULL.DIST(CX$2,$M9,$L9,FALSE))/_xlfn.WEIBULL.DIST(CX$2,$M9,$L9,FALSE))*$U9*((1+Inputs!$D$7)^CX$2))),IF($N9=Lists!$K$3,IF($L9&lt;1,((($T9*(1-$F9)+$S9*(1-$G9))/$L9)*((1+Inputs!$D$7)^CX$2)),((INT(CX$2/$L9)-INT((CX$2-1)/$L9))*($T9*(1-$F9)+$S9*(1-$G9))*((1+Inputs!$D$7)^CX$2))),((Inputs!$D$8^((1-_xlfn.WEIBULL.DIST(CX$2,$M9,$L9,FALSE))/_xlfn.WEIBULL.DIST(CX$2,$M9,$L9,FALSE))*($T9*(1-$F9)+$S9*(1-$G9))*((1+Inputs!$D$7)^CX$2))))))))</f>
        <v>0</v>
      </c>
      <c r="CY9" s="88">
        <f>MAX(BI9,($E9*IF(CY$2&gt;Inputs!$D$5,0,IF(CY$2&gt;VLOOKUP($H9,Lists!$P$3:$Q$7,2),IF($N9=Lists!$K$3,IF($L9&lt;1,(($U9/$L9)*((1+Inputs!$D$7)^CY$2)),((INT(CY$2/$L9)-INT((CY$2-1)/$L9))*$U9*((1+Inputs!$D$7)^CY$2))),(Inputs!$D$8^((1-_xlfn.WEIBULL.DIST(CY$2,$M9,$L9,FALSE))/_xlfn.WEIBULL.DIST(CY$2,$M9,$L9,FALSE))*$U9*((1+Inputs!$D$7)^CY$2))),IF($N9=Lists!$K$3,IF($L9&lt;1,((($T9*(1-$F9)+$S9*(1-$G9))/$L9)*((1+Inputs!$D$7)^CY$2)),((INT(CY$2/$L9)-INT((CY$2-1)/$L9))*($T9*(1-$F9)+$S9*(1-$G9))*((1+Inputs!$D$7)^CY$2))),((Inputs!$D$8^((1-_xlfn.WEIBULL.DIST(CY$2,$M9,$L9,FALSE))/_xlfn.WEIBULL.DIST(CY$2,$M9,$L9,FALSE))*($T9*(1-$F9)+$S9*(1-$G9))*((1+Inputs!$D$7)^CY$2))))))))</f>
        <v>0</v>
      </c>
      <c r="CZ9" s="88">
        <f>MAX(BJ9,($E9*IF(CZ$2&gt;Inputs!$D$5,0,IF(CZ$2&gt;VLOOKUP($H9,Lists!$P$3:$Q$7,2),IF($N9=Lists!$K$3,IF($L9&lt;1,(($U9/$L9)*((1+Inputs!$D$7)^CZ$2)),((INT(CZ$2/$L9)-INT((CZ$2-1)/$L9))*$U9*((1+Inputs!$D$7)^CZ$2))),(Inputs!$D$8^((1-_xlfn.WEIBULL.DIST(CZ$2,$M9,$L9,FALSE))/_xlfn.WEIBULL.DIST(CZ$2,$M9,$L9,FALSE))*$U9*((1+Inputs!$D$7)^CZ$2))),IF($N9=Lists!$K$3,IF($L9&lt;1,((($T9*(1-$F9)+$S9*(1-$G9))/$L9)*((1+Inputs!$D$7)^CZ$2)),((INT(CZ$2/$L9)-INT((CZ$2-1)/$L9))*($T9*(1-$F9)+$S9*(1-$G9))*((1+Inputs!$D$7)^CZ$2))),((Inputs!$D$8^((1-_xlfn.WEIBULL.DIST(CZ$2,$M9,$L9,FALSE))/_xlfn.WEIBULL.DIST(CZ$2,$M9,$L9,FALSE))*($T9*(1-$F9)+$S9*(1-$G9))*((1+Inputs!$D$7)^CZ$2))))))))</f>
        <v>0</v>
      </c>
      <c r="DA9" s="88">
        <f>MAX(BK9,($E9*IF(DA$2&gt;Inputs!$D$5,0,IF(DA$2&gt;VLOOKUP($H9,Lists!$P$3:$Q$7,2),IF($N9=Lists!$K$3,IF($L9&lt;1,(($U9/$L9)*((1+Inputs!$D$7)^DA$2)),((INT(DA$2/$L9)-INT((DA$2-1)/$L9))*$U9*((1+Inputs!$D$7)^DA$2))),(Inputs!$D$8^((1-_xlfn.WEIBULL.DIST(DA$2,$M9,$L9,FALSE))/_xlfn.WEIBULL.DIST(DA$2,$M9,$L9,FALSE))*$U9*((1+Inputs!$D$7)^DA$2))),IF($N9=Lists!$K$3,IF($L9&lt;1,((($T9*(1-$F9)+$S9*(1-$G9))/$L9)*((1+Inputs!$D$7)^DA$2)),((INT(DA$2/$L9)-INT((DA$2-1)/$L9))*($T9*(1-$F9)+$S9*(1-$G9))*((1+Inputs!$D$7)^DA$2))),((Inputs!$D$8^((1-_xlfn.WEIBULL.DIST(DA$2,$M9,$L9,FALSE))/_xlfn.WEIBULL.DIST(DA$2,$M9,$L9,FALSE))*($T9*(1-$F9)+$S9*(1-$G9))*((1+Inputs!$D$7)^DA$2))))))))</f>
        <v>0</v>
      </c>
      <c r="DB9" s="88">
        <f>MAX(BL9,($E9*IF(DB$2&gt;Inputs!$D$5,0,IF(DB$2&gt;VLOOKUP($H9,Lists!$P$3:$Q$7,2),IF($N9=Lists!$K$3,IF($L9&lt;1,(($U9/$L9)*((1+Inputs!$D$7)^DB$2)),((INT(DB$2/$L9)-INT((DB$2-1)/$L9))*$U9*((1+Inputs!$D$7)^DB$2))),(Inputs!$D$8^((1-_xlfn.WEIBULL.DIST(DB$2,$M9,$L9,FALSE))/_xlfn.WEIBULL.DIST(DB$2,$M9,$L9,FALSE))*$U9*((1+Inputs!$D$7)^DB$2))),IF($N9=Lists!$K$3,IF($L9&lt;1,((($T9*(1-$F9)+$S9*(1-$G9))/$L9)*((1+Inputs!$D$7)^DB$2)),((INT(DB$2/$L9)-INT((DB$2-1)/$L9))*($T9*(1-$F9)+$S9*(1-$G9))*((1+Inputs!$D$7)^DB$2))),((Inputs!$D$8^((1-_xlfn.WEIBULL.DIST(DB$2,$M9,$L9,FALSE))/_xlfn.WEIBULL.DIST(DB$2,$M9,$L9,FALSE))*($T9*(1-$F9)+$S9*(1-$G9))*((1+Inputs!$D$7)^DB$2))))))))</f>
        <v>0</v>
      </c>
      <c r="DC9" s="88">
        <f>MAX(BM9,($E9*IF(DC$2&gt;Inputs!$D$5,0,IF(DC$2&gt;VLOOKUP($H9,Lists!$P$3:$Q$7,2),IF($N9=Lists!$K$3,IF($L9&lt;1,(($U9/$L9)*((1+Inputs!$D$7)^DC$2)),((INT(DC$2/$L9)-INT((DC$2-1)/$L9))*$U9*((1+Inputs!$D$7)^DC$2))),(Inputs!$D$8^((1-_xlfn.WEIBULL.DIST(DC$2,$M9,$L9,FALSE))/_xlfn.WEIBULL.DIST(DC$2,$M9,$L9,FALSE))*$U9*((1+Inputs!$D$7)^DC$2))),IF($N9=Lists!$K$3,IF($L9&lt;1,((($T9*(1-$F9)+$S9*(1-$G9))/$L9)*((1+Inputs!$D$7)^DC$2)),((INT(DC$2/$L9)-INT((DC$2-1)/$L9))*($T9*(1-$F9)+$S9*(1-$G9))*((1+Inputs!$D$7)^DC$2))),((Inputs!$D$8^((1-_xlfn.WEIBULL.DIST(DC$2,$M9,$L9,FALSE))/_xlfn.WEIBULL.DIST(DC$2,$M9,$L9,FALSE))*($T9*(1-$F9)+$S9*(1-$G9))*((1+Inputs!$D$7)^DC$2))))))))</f>
        <v>0</v>
      </c>
      <c r="DD9" s="88">
        <f>MAX(BN9,($E9*IF(DD$2&gt;Inputs!$D$5,0,IF(DD$2&gt;VLOOKUP($H9,Lists!$P$3:$Q$7,2),IF($N9=Lists!$K$3,IF($L9&lt;1,(($U9/$L9)*((1+Inputs!$D$7)^DD$2)),((INT(DD$2/$L9)-INT((DD$2-1)/$L9))*$U9*((1+Inputs!$D$7)^DD$2))),(Inputs!$D$8^((1-_xlfn.WEIBULL.DIST(DD$2,$M9,$L9,FALSE))/_xlfn.WEIBULL.DIST(DD$2,$M9,$L9,FALSE))*$U9*((1+Inputs!$D$7)^DD$2))),IF($N9=Lists!$K$3,IF($L9&lt;1,((($T9*(1-$F9)+$S9*(1-$G9))/$L9)*((1+Inputs!$D$7)^DD$2)),((INT(DD$2/$L9)-INT((DD$2-1)/$L9))*($T9*(1-$F9)+$S9*(1-$G9))*((1+Inputs!$D$7)^DD$2))),((Inputs!$D$8^((1-_xlfn.WEIBULL.DIST(DD$2,$M9,$L9,FALSE))/_xlfn.WEIBULL.DIST(DD$2,$M9,$L9,FALSE))*($T9*(1-$F9)+$S9*(1-$G9))*((1+Inputs!$D$7)^DD$2))))))))</f>
        <v>0</v>
      </c>
    </row>
    <row r="10" spans="1:108" s="1" customFormat="1" ht="64">
      <c r="A10" s="57" t="s">
        <v>153</v>
      </c>
      <c r="B10" s="13" t="s">
        <v>129</v>
      </c>
      <c r="C10" s="13" t="s">
        <v>471</v>
      </c>
      <c r="D10" s="13" t="s">
        <v>125</v>
      </c>
      <c r="E10" s="48">
        <f>IF(Inputs!D41=Lists!I4,0,1)</f>
        <v>1</v>
      </c>
      <c r="F10" s="48">
        <v>0</v>
      </c>
      <c r="G10" s="48">
        <v>0</v>
      </c>
      <c r="H10" s="105" t="s">
        <v>350</v>
      </c>
      <c r="I10" s="14"/>
      <c r="J10" s="14" t="s">
        <v>248</v>
      </c>
      <c r="K10" s="13">
        <f>VLOOKUP(J10,'Labor Rates'!$A$1:$F$16,2)</f>
        <v>22.995576923076925</v>
      </c>
      <c r="L10" s="15">
        <v>0.08</v>
      </c>
      <c r="M10" s="15">
        <v>1</v>
      </c>
      <c r="N10" s="13" t="s">
        <v>236</v>
      </c>
      <c r="O10" s="61">
        <v>1</v>
      </c>
      <c r="P10" s="15">
        <v>0.05</v>
      </c>
      <c r="Q10" s="15">
        <f t="shared" si="0"/>
        <v>0.625</v>
      </c>
      <c r="R10" s="4">
        <v>0</v>
      </c>
      <c r="S10" s="53">
        <f t="shared" si="1"/>
        <v>1.1497788461538463</v>
      </c>
      <c r="T10" s="53">
        <f t="shared" si="2"/>
        <v>0</v>
      </c>
      <c r="U10" s="54">
        <f t="shared" si="3"/>
        <v>1.1497788461538463</v>
      </c>
      <c r="V10" s="65"/>
      <c r="W10" s="58"/>
      <c r="X10" s="64">
        <f t="shared" si="4"/>
        <v>17.809583655132741</v>
      </c>
      <c r="Y10" s="64">
        <f>NPV(Inputs!$D$6,AA10:BN10)</f>
        <v>204.56695315860742</v>
      </c>
      <c r="Z10" s="67">
        <f t="shared" si="5"/>
        <v>9.6483762213070198E-5</v>
      </c>
      <c r="AA10" s="88">
        <f>$E10*IF(AA$2&gt;Inputs!$D$5,0,IF(AA$2&gt;VLOOKUP($H10,Lists!$P$3:$Q$7,2),IF($N10=Lists!$K$3,IF($L10&lt;1,(($U10/$L10)*((1+Inputs!$D$7)^AA$2)),((INT(AA$2/$L10)-INT((AA$2-1)/$L10))*$U10*((1+Inputs!$D$7)^AA$2))),(_xlfn.WEIBULL.DIST(AA$2,$M10,$L10,FALSE)*$U10*((1+Inputs!$D$7)^AA$2))),IF($N10=Lists!$K$3,IF($L10&lt;1,((($T10*(1-$F10)+$S10*(1-$G10))/$L10)*((1+Inputs!$D$7)^AA$2)),((INT(AA$2/$L10)-INT((AA$2-1)/$L10))*($T10*(1-$F10)+$S10*(1-$G10))*((1+Inputs!$D$7)^AA$2))),((_xlfn.WEIBULL.DIST(AA$2,$M10,$L10,FALSE)*($T10*(1-$F10)+$S10*(1-$G10))*((1+Inputs!$D$7)^AA$2))))))</f>
        <v>14.659680288461541</v>
      </c>
      <c r="AB10" s="88">
        <f>$E10*IF(AB$2&gt;Inputs!$D$5,0,IF(AB$2&gt;VLOOKUP($H10,Lists!$P$3:$Q$7,2),IF($N10=Lists!$K$3,IF($L10&lt;1,(($U10/$L10)*((1+Inputs!$D$7)^AB$2)),((INT(AB$2/$L10)-INT((AB$2-1)/$L10))*$U10*((1+Inputs!$D$7)^AB$2))),(_xlfn.WEIBULL.DIST(AB$2,$M10,$L10,FALSE)*$U10*((1+Inputs!$D$7)^AB$2))),IF($N10=Lists!$K$3,IF($L10&lt;1,((($T10*(1-$F10)+$S10*(1-$G10))/$L10)*((1+Inputs!$D$7)^AB$2)),((INT(AB$2/$L10)-INT((AB$2-1)/$L10))*($T10*(1-$F10)+$S10*(1-$G10))*((1+Inputs!$D$7)^AB$2))),((_xlfn.WEIBULL.DIST(AB$2,$M10,$L10,FALSE)*($T10*(1-$F10)+$S10*(1-$G10))*((1+Inputs!$D$7)^AB$2))))))</f>
        <v>14.95287389423077</v>
      </c>
      <c r="AC10" s="88">
        <f>$E10*IF(AC$2&gt;Inputs!$D$5,0,IF(AC$2&gt;VLOOKUP($H10,Lists!$P$3:$Q$7,2),IF($N10=Lists!$K$3,IF($L10&lt;1,(($U10/$L10)*((1+Inputs!$D$7)^AC$2)),((INT(AC$2/$L10)-INT((AC$2-1)/$L10))*$U10*((1+Inputs!$D$7)^AC$2))),(_xlfn.WEIBULL.DIST(AC$2,$M10,$L10,FALSE)*$U10*((1+Inputs!$D$7)^AC$2))),IF($N10=Lists!$K$3,IF($L10&lt;1,((($T10*(1-$F10)+$S10*(1-$G10))/$L10)*((1+Inputs!$D$7)^AC$2)),((INT(AC$2/$L10)-INT((AC$2-1)/$L10))*($T10*(1-$F10)+$S10*(1-$G10))*((1+Inputs!$D$7)^AC$2))),((_xlfn.WEIBULL.DIST(AC$2,$M10,$L10,FALSE)*($T10*(1-$F10)+$S10*(1-$G10))*((1+Inputs!$D$7)^AC$2))))))</f>
        <v>15.251931372115385</v>
      </c>
      <c r="AD10" s="88">
        <f>$E10*IF(AD$2&gt;Inputs!$D$5,0,IF(AD$2&gt;VLOOKUP($H10,Lists!$P$3:$Q$7,2),IF($N10=Lists!$K$3,IF($L10&lt;1,(($U10/$L10)*((1+Inputs!$D$7)^AD$2)),((INT(AD$2/$L10)-INT((AD$2-1)/$L10))*$U10*((1+Inputs!$D$7)^AD$2))),(_xlfn.WEIBULL.DIST(AD$2,$M10,$L10,FALSE)*$U10*((1+Inputs!$D$7)^AD$2))),IF($N10=Lists!$K$3,IF($L10&lt;1,((($T10*(1-$F10)+$S10*(1-$G10))/$L10)*((1+Inputs!$D$7)^AD$2)),((INT(AD$2/$L10)-INT((AD$2-1)/$L10))*($T10*(1-$F10)+$S10*(1-$G10))*((1+Inputs!$D$7)^AD$2))),((_xlfn.WEIBULL.DIST(AD$2,$M10,$L10,FALSE)*($T10*(1-$F10)+$S10*(1-$G10))*((1+Inputs!$D$7)^AD$2))))))</f>
        <v>15.556969999557694</v>
      </c>
      <c r="AE10" s="88">
        <f>$E10*IF(AE$2&gt;Inputs!$D$5,0,IF(AE$2&gt;VLOOKUP($H10,Lists!$P$3:$Q$7,2),IF($N10=Lists!$K$3,IF($L10&lt;1,(($U10/$L10)*((1+Inputs!$D$7)^AE$2)),((INT(AE$2/$L10)-INT((AE$2-1)/$L10))*$U10*((1+Inputs!$D$7)^AE$2))),(_xlfn.WEIBULL.DIST(AE$2,$M10,$L10,FALSE)*$U10*((1+Inputs!$D$7)^AE$2))),IF($N10=Lists!$K$3,IF($L10&lt;1,((($T10*(1-$F10)+$S10*(1-$G10))/$L10)*((1+Inputs!$D$7)^AE$2)),((INT(AE$2/$L10)-INT((AE$2-1)/$L10))*($T10*(1-$F10)+$S10*(1-$G10))*((1+Inputs!$D$7)^AE$2))),((_xlfn.WEIBULL.DIST(AE$2,$M10,$L10,FALSE)*($T10*(1-$F10)+$S10*(1-$G10))*((1+Inputs!$D$7)^AE$2))))))</f>
        <v>15.868109399548848</v>
      </c>
      <c r="AF10" s="88">
        <f>$E10*IF(AF$2&gt;Inputs!$D$5,0,IF(AF$2&gt;VLOOKUP($H10,Lists!$P$3:$Q$7,2),IF($N10=Lists!$K$3,IF($L10&lt;1,(($U10/$L10)*((1+Inputs!$D$7)^AF$2)),((INT(AF$2/$L10)-INT((AF$2-1)/$L10))*$U10*((1+Inputs!$D$7)^AF$2))),(_xlfn.WEIBULL.DIST(AF$2,$M10,$L10,FALSE)*$U10*((1+Inputs!$D$7)^AF$2))),IF($N10=Lists!$K$3,IF($L10&lt;1,((($T10*(1-$F10)+$S10*(1-$G10))/$L10)*((1+Inputs!$D$7)^AF$2)),((INT(AF$2/$L10)-INT((AF$2-1)/$L10))*($T10*(1-$F10)+$S10*(1-$G10))*((1+Inputs!$D$7)^AF$2))),((_xlfn.WEIBULL.DIST(AF$2,$M10,$L10,FALSE)*($T10*(1-$F10)+$S10*(1-$G10))*((1+Inputs!$D$7)^AF$2))))))</f>
        <v>16.185471587539826</v>
      </c>
      <c r="AG10" s="88">
        <f>$E10*IF(AG$2&gt;Inputs!$D$5,0,IF(AG$2&gt;VLOOKUP($H10,Lists!$P$3:$Q$7,2),IF($N10=Lists!$K$3,IF($L10&lt;1,(($U10/$L10)*((1+Inputs!$D$7)^AG$2)),((INT(AG$2/$L10)-INT((AG$2-1)/$L10))*$U10*((1+Inputs!$D$7)^AG$2))),(_xlfn.WEIBULL.DIST(AG$2,$M10,$L10,FALSE)*$U10*((1+Inputs!$D$7)^AG$2))),IF($N10=Lists!$K$3,IF($L10&lt;1,((($T10*(1-$F10)+$S10*(1-$G10))/$L10)*((1+Inputs!$D$7)^AG$2)),((INT(AG$2/$L10)-INT((AG$2-1)/$L10))*($T10*(1-$F10)+$S10*(1-$G10))*((1+Inputs!$D$7)^AG$2))),((_xlfn.WEIBULL.DIST(AG$2,$M10,$L10,FALSE)*($T10*(1-$F10)+$S10*(1-$G10))*((1+Inputs!$D$7)^AG$2))))))</f>
        <v>16.509181019290619</v>
      </c>
      <c r="AH10" s="88">
        <f>$E10*IF(AH$2&gt;Inputs!$D$5,0,IF(AH$2&gt;VLOOKUP($H10,Lists!$P$3:$Q$7,2),IF($N10=Lists!$K$3,IF($L10&lt;1,(($U10/$L10)*((1+Inputs!$D$7)^AH$2)),((INT(AH$2/$L10)-INT((AH$2-1)/$L10))*$U10*((1+Inputs!$D$7)^AH$2))),(_xlfn.WEIBULL.DIST(AH$2,$M10,$L10,FALSE)*$U10*((1+Inputs!$D$7)^AH$2))),IF($N10=Lists!$K$3,IF($L10&lt;1,((($T10*(1-$F10)+$S10*(1-$G10))/$L10)*((1+Inputs!$D$7)^AH$2)),((INT(AH$2/$L10)-INT((AH$2-1)/$L10))*($T10*(1-$F10)+$S10*(1-$G10))*((1+Inputs!$D$7)^AH$2))),((_xlfn.WEIBULL.DIST(AH$2,$M10,$L10,FALSE)*($T10*(1-$F10)+$S10*(1-$G10))*((1+Inputs!$D$7)^AH$2))))))</f>
        <v>16.839364639676432</v>
      </c>
      <c r="AI10" s="88">
        <f>$E10*IF(AI$2&gt;Inputs!$D$5,0,IF(AI$2&gt;VLOOKUP($H10,Lists!$P$3:$Q$7,2),IF($N10=Lists!$K$3,IF($L10&lt;1,(($U10/$L10)*((1+Inputs!$D$7)^AI$2)),((INT(AI$2/$L10)-INT((AI$2-1)/$L10))*$U10*((1+Inputs!$D$7)^AI$2))),(_xlfn.WEIBULL.DIST(AI$2,$M10,$L10,FALSE)*$U10*((1+Inputs!$D$7)^AI$2))),IF($N10=Lists!$K$3,IF($L10&lt;1,((($T10*(1-$F10)+$S10*(1-$G10))/$L10)*((1+Inputs!$D$7)^AI$2)),((INT(AI$2/$L10)-INT((AI$2-1)/$L10))*($T10*(1-$F10)+$S10*(1-$G10))*((1+Inputs!$D$7)^AI$2))),((_xlfn.WEIBULL.DIST(AI$2,$M10,$L10,FALSE)*($T10*(1-$F10)+$S10*(1-$G10))*((1+Inputs!$D$7)^AI$2))))))</f>
        <v>17.17615193246996</v>
      </c>
      <c r="AJ10" s="88">
        <f>$E10*IF(AJ$2&gt;Inputs!$D$5,0,IF(AJ$2&gt;VLOOKUP($H10,Lists!$P$3:$Q$7,2),IF($N10=Lists!$K$3,IF($L10&lt;1,(($U10/$L10)*((1+Inputs!$D$7)^AJ$2)),((INT(AJ$2/$L10)-INT((AJ$2-1)/$L10))*$U10*((1+Inputs!$D$7)^AJ$2))),(_xlfn.WEIBULL.DIST(AJ$2,$M10,$L10,FALSE)*$U10*((1+Inputs!$D$7)^AJ$2))),IF($N10=Lists!$K$3,IF($L10&lt;1,((($T10*(1-$F10)+$S10*(1-$G10))/$L10)*((1+Inputs!$D$7)^AJ$2)),((INT(AJ$2/$L10)-INT((AJ$2-1)/$L10))*($T10*(1-$F10)+$S10*(1-$G10))*((1+Inputs!$D$7)^AJ$2))),((_xlfn.WEIBULL.DIST(AJ$2,$M10,$L10,FALSE)*($T10*(1-$F10)+$S10*(1-$G10))*((1+Inputs!$D$7)^AJ$2))))))</f>
        <v>17.519674971119361</v>
      </c>
      <c r="AK10" s="88">
        <f>$E10*IF(AK$2&gt;Inputs!$D$5,0,IF(AK$2&gt;VLOOKUP($H10,Lists!$P$3:$Q$7,2),IF($N10=Lists!$K$3,IF($L10&lt;1,(($U10/$L10)*((1+Inputs!$D$7)^AK$2)),((INT(AK$2/$L10)-INT((AK$2-1)/$L10))*$U10*((1+Inputs!$D$7)^AK$2))),(_xlfn.WEIBULL.DIST(AK$2,$M10,$L10,FALSE)*$U10*((1+Inputs!$D$7)^AK$2))),IF($N10=Lists!$K$3,IF($L10&lt;1,((($T10*(1-$F10)+$S10*(1-$G10))/$L10)*((1+Inputs!$D$7)^AK$2)),((INT(AK$2/$L10)-INT((AK$2-1)/$L10))*($T10*(1-$F10)+$S10*(1-$G10))*((1+Inputs!$D$7)^AK$2))),((_xlfn.WEIBULL.DIST(AK$2,$M10,$L10,FALSE)*($T10*(1-$F10)+$S10*(1-$G10))*((1+Inputs!$D$7)^AK$2))))))</f>
        <v>17.870068470541746</v>
      </c>
      <c r="AL10" s="88">
        <f>$E10*IF(AL$2&gt;Inputs!$D$5,0,IF(AL$2&gt;VLOOKUP($H10,Lists!$P$3:$Q$7,2),IF($N10=Lists!$K$3,IF($L10&lt;1,(($U10/$L10)*((1+Inputs!$D$7)^AL$2)),((INT(AL$2/$L10)-INT((AL$2-1)/$L10))*$U10*((1+Inputs!$D$7)^AL$2))),(_xlfn.WEIBULL.DIST(AL$2,$M10,$L10,FALSE)*$U10*((1+Inputs!$D$7)^AL$2))),IF($N10=Lists!$K$3,IF($L10&lt;1,((($T10*(1-$F10)+$S10*(1-$G10))/$L10)*((1+Inputs!$D$7)^AL$2)),((INT(AL$2/$L10)-INT((AL$2-1)/$L10))*($T10*(1-$F10)+$S10*(1-$G10))*((1+Inputs!$D$7)^AL$2))),((_xlfn.WEIBULL.DIST(AL$2,$M10,$L10,FALSE)*($T10*(1-$F10)+$S10*(1-$G10))*((1+Inputs!$D$7)^AL$2))))))</f>
        <v>18.227469839952583</v>
      </c>
      <c r="AM10" s="88">
        <f>$E10*IF(AM$2&gt;Inputs!$D$5,0,IF(AM$2&gt;VLOOKUP($H10,Lists!$P$3:$Q$7,2),IF($N10=Lists!$K$3,IF($L10&lt;1,(($U10/$L10)*((1+Inputs!$D$7)^AM$2)),((INT(AM$2/$L10)-INT((AM$2-1)/$L10))*$U10*((1+Inputs!$D$7)^AM$2))),(_xlfn.WEIBULL.DIST(AM$2,$M10,$L10,FALSE)*$U10*((1+Inputs!$D$7)^AM$2))),IF($N10=Lists!$K$3,IF($L10&lt;1,((($T10*(1-$F10)+$S10*(1-$G10))/$L10)*((1+Inputs!$D$7)^AM$2)),((INT(AM$2/$L10)-INT((AM$2-1)/$L10))*($T10*(1-$F10)+$S10*(1-$G10))*((1+Inputs!$D$7)^AM$2))),((_xlfn.WEIBULL.DIST(AM$2,$M10,$L10,FALSE)*($T10*(1-$F10)+$S10*(1-$G10))*((1+Inputs!$D$7)^AM$2))))))</f>
        <v>18.592019236751632</v>
      </c>
      <c r="AN10" s="88">
        <f>$E10*IF(AN$2&gt;Inputs!$D$5,0,IF(AN$2&gt;VLOOKUP($H10,Lists!$P$3:$Q$7,2),IF($N10=Lists!$K$3,IF($L10&lt;1,(($U10/$L10)*((1+Inputs!$D$7)^AN$2)),((INT(AN$2/$L10)-INT((AN$2-1)/$L10))*$U10*((1+Inputs!$D$7)^AN$2))),(_xlfn.WEIBULL.DIST(AN$2,$M10,$L10,FALSE)*$U10*((1+Inputs!$D$7)^AN$2))),IF($N10=Lists!$K$3,IF($L10&lt;1,((($T10*(1-$F10)+$S10*(1-$G10))/$L10)*((1+Inputs!$D$7)^AN$2)),((INT(AN$2/$L10)-INT((AN$2-1)/$L10))*($T10*(1-$F10)+$S10*(1-$G10))*((1+Inputs!$D$7)^AN$2))),((_xlfn.WEIBULL.DIST(AN$2,$M10,$L10,FALSE)*($T10*(1-$F10)+$S10*(1-$G10))*((1+Inputs!$D$7)^AN$2))))))</f>
        <v>18.963859621486669</v>
      </c>
      <c r="AO10" s="88">
        <f>$E10*IF(AO$2&gt;Inputs!$D$5,0,IF(AO$2&gt;VLOOKUP($H10,Lists!$P$3:$Q$7,2),IF($N10=Lists!$K$3,IF($L10&lt;1,(($U10/$L10)*((1+Inputs!$D$7)^AO$2)),((INT(AO$2/$L10)-INT((AO$2-1)/$L10))*$U10*((1+Inputs!$D$7)^AO$2))),(_xlfn.WEIBULL.DIST(AO$2,$M10,$L10,FALSE)*$U10*((1+Inputs!$D$7)^AO$2))),IF($N10=Lists!$K$3,IF($L10&lt;1,((($T10*(1-$F10)+$S10*(1-$G10))/$L10)*((1+Inputs!$D$7)^AO$2)),((INT(AO$2/$L10)-INT((AO$2-1)/$L10))*($T10*(1-$F10)+$S10*(1-$G10))*((1+Inputs!$D$7)^AO$2))),((_xlfn.WEIBULL.DIST(AO$2,$M10,$L10,FALSE)*($T10*(1-$F10)+$S10*(1-$G10))*((1+Inputs!$D$7)^AO$2))))))</f>
        <v>19.343136813916395</v>
      </c>
      <c r="AP10" s="88">
        <f>$E10*IF(AP$2&gt;Inputs!$D$5,0,IF(AP$2&gt;VLOOKUP($H10,Lists!$P$3:$Q$7,2),IF($N10=Lists!$K$3,IF($L10&lt;1,(($U10/$L10)*((1+Inputs!$D$7)^AP$2)),((INT(AP$2/$L10)-INT((AP$2-1)/$L10))*$U10*((1+Inputs!$D$7)^AP$2))),(_xlfn.WEIBULL.DIST(AP$2,$M10,$L10,FALSE)*$U10*((1+Inputs!$D$7)^AP$2))),IF($N10=Lists!$K$3,IF($L10&lt;1,((($T10*(1-$F10)+$S10*(1-$G10))/$L10)*((1+Inputs!$D$7)^AP$2)),((INT(AP$2/$L10)-INT((AP$2-1)/$L10))*($T10*(1-$F10)+$S10*(1-$G10))*((1+Inputs!$D$7)^AP$2))),((_xlfn.WEIBULL.DIST(AP$2,$M10,$L10,FALSE)*($T10*(1-$F10)+$S10*(1-$G10))*((1+Inputs!$D$7)^AP$2))))))</f>
        <v>19.729999550194727</v>
      </c>
      <c r="AQ10" s="88">
        <f>$E10*IF(AQ$2&gt;Inputs!$D$5,0,IF(AQ$2&gt;VLOOKUP($H10,Lists!$P$3:$Q$7,2),IF($N10=Lists!$K$3,IF($L10&lt;1,(($U10/$L10)*((1+Inputs!$D$7)^AQ$2)),((INT(AQ$2/$L10)-INT((AQ$2-1)/$L10))*$U10*((1+Inputs!$D$7)^AQ$2))),(_xlfn.WEIBULL.DIST(AQ$2,$M10,$L10,FALSE)*$U10*((1+Inputs!$D$7)^AQ$2))),IF($N10=Lists!$K$3,IF($L10&lt;1,((($T10*(1-$F10)+$S10*(1-$G10))/$L10)*((1+Inputs!$D$7)^AQ$2)),((INT(AQ$2/$L10)-INT((AQ$2-1)/$L10))*($T10*(1-$F10)+$S10*(1-$G10))*((1+Inputs!$D$7)^AQ$2))),((_xlfn.WEIBULL.DIST(AQ$2,$M10,$L10,FALSE)*($T10*(1-$F10)+$S10*(1-$G10))*((1+Inputs!$D$7)^AQ$2))))))</f>
        <v>20.124599541198624</v>
      </c>
      <c r="AR10" s="88">
        <f>$E10*IF(AR$2&gt;Inputs!$D$5,0,IF(AR$2&gt;VLOOKUP($H10,Lists!$P$3:$Q$7,2),IF($N10=Lists!$K$3,IF($L10&lt;1,(($U10/$L10)*((1+Inputs!$D$7)^AR$2)),((INT(AR$2/$L10)-INT((AR$2-1)/$L10))*$U10*((1+Inputs!$D$7)^AR$2))),(_xlfn.WEIBULL.DIST(AR$2,$M10,$L10,FALSE)*$U10*((1+Inputs!$D$7)^AR$2))),IF($N10=Lists!$K$3,IF($L10&lt;1,((($T10*(1-$F10)+$S10*(1-$G10))/$L10)*((1+Inputs!$D$7)^AR$2)),((INT(AR$2/$L10)-INT((AR$2-1)/$L10))*($T10*(1-$F10)+$S10*(1-$G10))*((1+Inputs!$D$7)^AR$2))),((_xlfn.WEIBULL.DIST(AR$2,$M10,$L10,FALSE)*($T10*(1-$F10)+$S10*(1-$G10))*((1+Inputs!$D$7)^AR$2))))))</f>
        <v>20.527091532022592</v>
      </c>
      <c r="AS10" s="88">
        <f>$E10*IF(AS$2&gt;Inputs!$D$5,0,IF(AS$2&gt;VLOOKUP($H10,Lists!$P$3:$Q$7,2),IF($N10=Lists!$K$3,IF($L10&lt;1,(($U10/$L10)*((1+Inputs!$D$7)^AS$2)),((INT(AS$2/$L10)-INT((AS$2-1)/$L10))*$U10*((1+Inputs!$D$7)^AS$2))),(_xlfn.WEIBULL.DIST(AS$2,$M10,$L10,FALSE)*$U10*((1+Inputs!$D$7)^AS$2))),IF($N10=Lists!$K$3,IF($L10&lt;1,((($T10*(1-$F10)+$S10*(1-$G10))/$L10)*((1+Inputs!$D$7)^AS$2)),((INT(AS$2/$L10)-INT((AS$2-1)/$L10))*($T10*(1-$F10)+$S10*(1-$G10))*((1+Inputs!$D$7)^AS$2))),((_xlfn.WEIBULL.DIST(AS$2,$M10,$L10,FALSE)*($T10*(1-$F10)+$S10*(1-$G10))*((1+Inputs!$D$7)^AS$2))))))</f>
        <v>20.937633362663046</v>
      </c>
      <c r="AT10" s="88">
        <f>$E10*IF(AT$2&gt;Inputs!$D$5,0,IF(AT$2&gt;VLOOKUP($H10,Lists!$P$3:$Q$7,2),IF($N10=Lists!$K$3,IF($L10&lt;1,(($U10/$L10)*((1+Inputs!$D$7)^AT$2)),((INT(AT$2/$L10)-INT((AT$2-1)/$L10))*$U10*((1+Inputs!$D$7)^AT$2))),(_xlfn.WEIBULL.DIST(AT$2,$M10,$L10,FALSE)*$U10*((1+Inputs!$D$7)^AT$2))),IF($N10=Lists!$K$3,IF($L10&lt;1,((($T10*(1-$F10)+$S10*(1-$G10))/$L10)*((1+Inputs!$D$7)^AT$2)),((INT(AT$2/$L10)-INT((AT$2-1)/$L10))*($T10*(1-$F10)+$S10*(1-$G10))*((1+Inputs!$D$7)^AT$2))),((_xlfn.WEIBULL.DIST(AT$2,$M10,$L10,FALSE)*($T10*(1-$F10)+$S10*(1-$G10))*((1+Inputs!$D$7)^AT$2))))))</f>
        <v>21.356386029916308</v>
      </c>
      <c r="AU10" s="88">
        <f>$E10*IF(AU$2&gt;Inputs!$D$5,0,IF(AU$2&gt;VLOOKUP($H10,Lists!$P$3:$Q$7,2),IF($N10=Lists!$K$3,IF($L10&lt;1,(($U10/$L10)*((1+Inputs!$D$7)^AU$2)),((INT(AU$2/$L10)-INT((AU$2-1)/$L10))*$U10*((1+Inputs!$D$7)^AU$2))),(_xlfn.WEIBULL.DIST(AU$2,$M10,$L10,FALSE)*$U10*((1+Inputs!$D$7)^AU$2))),IF($N10=Lists!$K$3,IF($L10&lt;1,((($T10*(1-$F10)+$S10*(1-$G10))/$L10)*((1+Inputs!$D$7)^AU$2)),((INT(AU$2/$L10)-INT((AU$2-1)/$L10))*($T10*(1-$F10)+$S10*(1-$G10))*((1+Inputs!$D$7)^AU$2))),((_xlfn.WEIBULL.DIST(AU$2,$M10,$L10,FALSE)*($T10*(1-$F10)+$S10*(1-$G10))*((1+Inputs!$D$7)^AU$2))))))</f>
        <v>21.783513750514633</v>
      </c>
      <c r="AV10" s="88">
        <f>$E10*IF(AV$2&gt;Inputs!$D$5,0,IF(AV$2&gt;VLOOKUP($H10,Lists!$P$3:$Q$7,2),IF($N10=Lists!$K$3,IF($L10&lt;1,(($U10/$L10)*((1+Inputs!$D$7)^AV$2)),((INT(AV$2/$L10)-INT((AV$2-1)/$L10))*$U10*((1+Inputs!$D$7)^AV$2))),(_xlfn.WEIBULL.DIST(AV$2,$M10,$L10,FALSE)*$U10*((1+Inputs!$D$7)^AV$2))),IF($N10=Lists!$K$3,IF($L10&lt;1,((($T10*(1-$F10)+$S10*(1-$G10))/$L10)*((1+Inputs!$D$7)^AV$2)),((INT(AV$2/$L10)-INT((AV$2-1)/$L10))*($T10*(1-$F10)+$S10*(1-$G10))*((1+Inputs!$D$7)^AV$2))),((_xlfn.WEIBULL.DIST(AV$2,$M10,$L10,FALSE)*($T10*(1-$F10)+$S10*(1-$G10))*((1+Inputs!$D$7)^AV$2))))))</f>
        <v>22.219184025524925</v>
      </c>
      <c r="AW10" s="88">
        <f>$E10*IF(AW$2&gt;Inputs!$D$5,0,IF(AW$2&gt;VLOOKUP($H10,Lists!$P$3:$Q$7,2),IF($N10=Lists!$K$3,IF($L10&lt;1,(($U10/$L10)*((1+Inputs!$D$7)^AW$2)),((INT(AW$2/$L10)-INT((AW$2-1)/$L10))*$U10*((1+Inputs!$D$7)^AW$2))),(_xlfn.WEIBULL.DIST(AW$2,$M10,$L10,FALSE)*$U10*((1+Inputs!$D$7)^AW$2))),IF($N10=Lists!$K$3,IF($L10&lt;1,((($T10*(1-$F10)+$S10*(1-$G10))/$L10)*((1+Inputs!$D$7)^AW$2)),((INT(AW$2/$L10)-INT((AW$2-1)/$L10))*($T10*(1-$F10)+$S10*(1-$G10))*((1+Inputs!$D$7)^AW$2))),((_xlfn.WEIBULL.DIST(AW$2,$M10,$L10,FALSE)*($T10*(1-$F10)+$S10*(1-$G10))*((1+Inputs!$D$7)^AW$2))))))</f>
        <v>22.663567706035419</v>
      </c>
      <c r="AX10" s="88">
        <f>$E10*IF(AX$2&gt;Inputs!$D$5,0,IF(AX$2&gt;VLOOKUP($H10,Lists!$P$3:$Q$7,2),IF($N10=Lists!$K$3,IF($L10&lt;1,(($U10/$L10)*((1+Inputs!$D$7)^AX$2)),((INT(AX$2/$L10)-INT((AX$2-1)/$L10))*$U10*((1+Inputs!$D$7)^AX$2))),(_xlfn.WEIBULL.DIST(AX$2,$M10,$L10,FALSE)*$U10*((1+Inputs!$D$7)^AX$2))),IF($N10=Lists!$K$3,IF($L10&lt;1,((($T10*(1-$F10)+$S10*(1-$G10))/$L10)*((1+Inputs!$D$7)^AX$2)),((INT(AX$2/$L10)-INT((AX$2-1)/$L10))*($T10*(1-$F10)+$S10*(1-$G10))*((1+Inputs!$D$7)^AX$2))),((_xlfn.WEIBULL.DIST(AX$2,$M10,$L10,FALSE)*($T10*(1-$F10)+$S10*(1-$G10))*((1+Inputs!$D$7)^AX$2))))))</f>
        <v>23.116839060156131</v>
      </c>
      <c r="AY10" s="88">
        <f>$E10*IF(AY$2&gt;Inputs!$D$5,0,IF(AY$2&gt;VLOOKUP($H10,Lists!$P$3:$Q$7,2),IF($N10=Lists!$K$3,IF($L10&lt;1,(($U10/$L10)*((1+Inputs!$D$7)^AY$2)),((INT(AY$2/$L10)-INT((AY$2-1)/$L10))*$U10*((1+Inputs!$D$7)^AY$2))),(_xlfn.WEIBULL.DIST(AY$2,$M10,$L10,FALSE)*$U10*((1+Inputs!$D$7)^AY$2))),IF($N10=Lists!$K$3,IF($L10&lt;1,((($T10*(1-$F10)+$S10*(1-$G10))/$L10)*((1+Inputs!$D$7)^AY$2)),((INT(AY$2/$L10)-INT((AY$2-1)/$L10))*($T10*(1-$F10)+$S10*(1-$G10))*((1+Inputs!$D$7)^AY$2))),((_xlfn.WEIBULL.DIST(AY$2,$M10,$L10,FALSE)*($T10*(1-$F10)+$S10*(1-$G10))*((1+Inputs!$D$7)^AY$2))))))</f>
        <v>23.579175841359252</v>
      </c>
      <c r="AZ10" s="88">
        <f>$E10*IF(AZ$2&gt;Inputs!$D$5,0,IF(AZ$2&gt;VLOOKUP($H10,Lists!$P$3:$Q$7,2),IF($N10=Lists!$K$3,IF($L10&lt;1,(($U10/$L10)*((1+Inputs!$D$7)^AZ$2)),((INT(AZ$2/$L10)-INT((AZ$2-1)/$L10))*$U10*((1+Inputs!$D$7)^AZ$2))),(_xlfn.WEIBULL.DIST(AZ$2,$M10,$L10,FALSE)*$U10*((1+Inputs!$D$7)^AZ$2))),IF($N10=Lists!$K$3,IF($L10&lt;1,((($T10*(1-$F10)+$S10*(1-$G10))/$L10)*((1+Inputs!$D$7)^AZ$2)),((INT(AZ$2/$L10)-INT((AZ$2-1)/$L10))*($T10*(1-$F10)+$S10*(1-$G10))*((1+Inputs!$D$7)^AZ$2))),((_xlfn.WEIBULL.DIST(AZ$2,$M10,$L10,FALSE)*($T10*(1-$F10)+$S10*(1-$G10))*((1+Inputs!$D$7)^AZ$2))))))</f>
        <v>0</v>
      </c>
      <c r="BA10" s="88">
        <f>$E10*IF(BA$2&gt;Inputs!$D$5,0,IF(BA$2&gt;VLOOKUP($H10,Lists!$P$3:$Q$7,2),IF($N10=Lists!$K$3,IF($L10&lt;1,(($U10/$L10)*((1+Inputs!$D$7)^BA$2)),((INT(BA$2/$L10)-INT((BA$2-1)/$L10))*$U10*((1+Inputs!$D$7)^BA$2))),(_xlfn.WEIBULL.DIST(BA$2,$M10,$L10,FALSE)*$U10*((1+Inputs!$D$7)^BA$2))),IF($N10=Lists!$K$3,IF($L10&lt;1,((($T10*(1-$F10)+$S10*(1-$G10))/$L10)*((1+Inputs!$D$7)^BA$2)),((INT(BA$2/$L10)-INT((BA$2-1)/$L10))*($T10*(1-$F10)+$S10*(1-$G10))*((1+Inputs!$D$7)^BA$2))),((_xlfn.WEIBULL.DIST(BA$2,$M10,$L10,FALSE)*($T10*(1-$F10)+$S10*(1-$G10))*((1+Inputs!$D$7)^BA$2))))))</f>
        <v>0</v>
      </c>
      <c r="BB10" s="88">
        <f>$E10*IF(BB$2&gt;Inputs!$D$5,0,IF(BB$2&gt;VLOOKUP($H10,Lists!$P$3:$Q$7,2),IF($N10=Lists!$K$3,IF($L10&lt;1,(($U10/$L10)*((1+Inputs!$D$7)^BB$2)),((INT(BB$2/$L10)-INT((BB$2-1)/$L10))*$U10*((1+Inputs!$D$7)^BB$2))),(_xlfn.WEIBULL.DIST(BB$2,$M10,$L10,FALSE)*$U10*((1+Inputs!$D$7)^BB$2))),IF($N10=Lists!$K$3,IF($L10&lt;1,((($T10*(1-$F10)+$S10*(1-$G10))/$L10)*((1+Inputs!$D$7)^BB$2)),((INT(BB$2/$L10)-INT((BB$2-1)/$L10))*($T10*(1-$F10)+$S10*(1-$G10))*((1+Inputs!$D$7)^BB$2))),((_xlfn.WEIBULL.DIST(BB$2,$M10,$L10,FALSE)*($T10*(1-$F10)+$S10*(1-$G10))*((1+Inputs!$D$7)^BB$2))))))</f>
        <v>0</v>
      </c>
      <c r="BC10" s="88">
        <f>$E10*IF(BC$2&gt;Inputs!$D$5,0,IF(BC$2&gt;VLOOKUP($H10,Lists!$P$3:$Q$7,2),IF($N10=Lists!$K$3,IF($L10&lt;1,(($U10/$L10)*((1+Inputs!$D$7)^BC$2)),((INT(BC$2/$L10)-INT((BC$2-1)/$L10))*$U10*((1+Inputs!$D$7)^BC$2))),(_xlfn.WEIBULL.DIST(BC$2,$M10,$L10,FALSE)*$U10*((1+Inputs!$D$7)^BC$2))),IF($N10=Lists!$K$3,IF($L10&lt;1,((($T10*(1-$F10)+$S10*(1-$G10))/$L10)*((1+Inputs!$D$7)^BC$2)),((INT(BC$2/$L10)-INT((BC$2-1)/$L10))*($T10*(1-$F10)+$S10*(1-$G10))*((1+Inputs!$D$7)^BC$2))),((_xlfn.WEIBULL.DIST(BC$2,$M10,$L10,FALSE)*($T10*(1-$F10)+$S10*(1-$G10))*((1+Inputs!$D$7)^BC$2))))))</f>
        <v>0</v>
      </c>
      <c r="BD10" s="88">
        <f>$E10*IF(BD$2&gt;Inputs!$D$5,0,IF(BD$2&gt;VLOOKUP($H10,Lists!$P$3:$Q$7,2),IF($N10=Lists!$K$3,IF($L10&lt;1,(($U10/$L10)*((1+Inputs!$D$7)^BD$2)),((INT(BD$2/$L10)-INT((BD$2-1)/$L10))*$U10*((1+Inputs!$D$7)^BD$2))),(_xlfn.WEIBULL.DIST(BD$2,$M10,$L10,FALSE)*$U10*((1+Inputs!$D$7)^BD$2))),IF($N10=Lists!$K$3,IF($L10&lt;1,((($T10*(1-$F10)+$S10*(1-$G10))/$L10)*((1+Inputs!$D$7)^BD$2)),((INT(BD$2/$L10)-INT((BD$2-1)/$L10))*($T10*(1-$F10)+$S10*(1-$G10))*((1+Inputs!$D$7)^BD$2))),((_xlfn.WEIBULL.DIST(BD$2,$M10,$L10,FALSE)*($T10*(1-$F10)+$S10*(1-$G10))*((1+Inputs!$D$7)^BD$2))))))</f>
        <v>0</v>
      </c>
      <c r="BE10" s="88">
        <f>$E10*IF(BE$2&gt;Inputs!$D$5,0,IF(BE$2&gt;VLOOKUP($H10,Lists!$P$3:$Q$7,2),IF($N10=Lists!$K$3,IF($L10&lt;1,(($U10/$L10)*((1+Inputs!$D$7)^BE$2)),((INT(BE$2/$L10)-INT((BE$2-1)/$L10))*$U10*((1+Inputs!$D$7)^BE$2))),(_xlfn.WEIBULL.DIST(BE$2,$M10,$L10,FALSE)*$U10*((1+Inputs!$D$7)^BE$2))),IF($N10=Lists!$K$3,IF($L10&lt;1,((($T10*(1-$F10)+$S10*(1-$G10))/$L10)*((1+Inputs!$D$7)^BE$2)),((INT(BE$2/$L10)-INT((BE$2-1)/$L10))*($T10*(1-$F10)+$S10*(1-$G10))*((1+Inputs!$D$7)^BE$2))),((_xlfn.WEIBULL.DIST(BE$2,$M10,$L10,FALSE)*($T10*(1-$F10)+$S10*(1-$G10))*((1+Inputs!$D$7)^BE$2))))))</f>
        <v>0</v>
      </c>
      <c r="BF10" s="88">
        <f>$E10*IF(BF$2&gt;Inputs!$D$5,0,IF(BF$2&gt;VLOOKUP($H10,Lists!$P$3:$Q$7,2),IF($N10=Lists!$K$3,IF($L10&lt;1,(($U10/$L10)*((1+Inputs!$D$7)^BF$2)),((INT(BF$2/$L10)-INT((BF$2-1)/$L10))*$U10*((1+Inputs!$D$7)^BF$2))),(_xlfn.WEIBULL.DIST(BF$2,$M10,$L10,FALSE)*$U10*((1+Inputs!$D$7)^BF$2))),IF($N10=Lists!$K$3,IF($L10&lt;1,((($T10*(1-$F10)+$S10*(1-$G10))/$L10)*((1+Inputs!$D$7)^BF$2)),((INT(BF$2/$L10)-INT((BF$2-1)/$L10))*($T10*(1-$F10)+$S10*(1-$G10))*((1+Inputs!$D$7)^BF$2))),((_xlfn.WEIBULL.DIST(BF$2,$M10,$L10,FALSE)*($T10*(1-$F10)+$S10*(1-$G10))*((1+Inputs!$D$7)^BF$2))))))</f>
        <v>0</v>
      </c>
      <c r="BG10" s="88">
        <f>$E10*IF(BG$2&gt;Inputs!$D$5,0,IF(BG$2&gt;VLOOKUP($H10,Lists!$P$3:$Q$7,2),IF($N10=Lists!$K$3,IF($L10&lt;1,(($U10/$L10)*((1+Inputs!$D$7)^BG$2)),((INT(BG$2/$L10)-INT((BG$2-1)/$L10))*$U10*((1+Inputs!$D$7)^BG$2))),(_xlfn.WEIBULL.DIST(BG$2,$M10,$L10,FALSE)*$U10*((1+Inputs!$D$7)^BG$2))),IF($N10=Lists!$K$3,IF($L10&lt;1,((($T10*(1-$F10)+$S10*(1-$G10))/$L10)*((1+Inputs!$D$7)^BG$2)),((INT(BG$2/$L10)-INT((BG$2-1)/$L10))*($T10*(1-$F10)+$S10*(1-$G10))*((1+Inputs!$D$7)^BG$2))),((_xlfn.WEIBULL.DIST(BG$2,$M10,$L10,FALSE)*($T10*(1-$F10)+$S10*(1-$G10))*((1+Inputs!$D$7)^BG$2))))))</f>
        <v>0</v>
      </c>
      <c r="BH10" s="88">
        <f>$E10*IF(BH$2&gt;Inputs!$D$5,0,IF(BH$2&gt;VLOOKUP($H10,Lists!$P$3:$Q$7,2),IF($N10=Lists!$K$3,IF($L10&lt;1,(($U10/$L10)*((1+Inputs!$D$7)^BH$2)),((INT(BH$2/$L10)-INT((BH$2-1)/$L10))*$U10*((1+Inputs!$D$7)^BH$2))),(_xlfn.WEIBULL.DIST(BH$2,$M10,$L10,FALSE)*$U10*((1+Inputs!$D$7)^BH$2))),IF($N10=Lists!$K$3,IF($L10&lt;1,((($T10*(1-$F10)+$S10*(1-$G10))/$L10)*((1+Inputs!$D$7)^BH$2)),((INT(BH$2/$L10)-INT((BH$2-1)/$L10))*($T10*(1-$F10)+$S10*(1-$G10))*((1+Inputs!$D$7)^BH$2))),((_xlfn.WEIBULL.DIST(BH$2,$M10,$L10,FALSE)*($T10*(1-$F10)+$S10*(1-$G10))*((1+Inputs!$D$7)^BH$2))))))</f>
        <v>0</v>
      </c>
      <c r="BI10" s="88">
        <f>$E10*IF(BI$2&gt;Inputs!$D$5,0,IF(BI$2&gt;VLOOKUP($H10,Lists!$P$3:$Q$7,2),IF($N10=Lists!$K$3,IF($L10&lt;1,(($U10/$L10)*((1+Inputs!$D$7)^BI$2)),((INT(BI$2/$L10)-INT((BI$2-1)/$L10))*$U10*((1+Inputs!$D$7)^BI$2))),(_xlfn.WEIBULL.DIST(BI$2,$M10,$L10,FALSE)*$U10*((1+Inputs!$D$7)^BI$2))),IF($N10=Lists!$K$3,IF($L10&lt;1,((($T10*(1-$F10)+$S10*(1-$G10))/$L10)*((1+Inputs!$D$7)^BI$2)),((INT(BI$2/$L10)-INT((BI$2-1)/$L10))*($T10*(1-$F10)+$S10*(1-$G10))*((1+Inputs!$D$7)^BI$2))),((_xlfn.WEIBULL.DIST(BI$2,$M10,$L10,FALSE)*($T10*(1-$F10)+$S10*(1-$G10))*((1+Inputs!$D$7)^BI$2))))))</f>
        <v>0</v>
      </c>
      <c r="BJ10" s="88">
        <f>$E10*IF(BJ$2&gt;Inputs!$D$5,0,IF(BJ$2&gt;VLOOKUP($H10,Lists!$P$3:$Q$7,2),IF($N10=Lists!$K$3,IF($L10&lt;1,(($U10/$L10)*((1+Inputs!$D$7)^BJ$2)),((INT(BJ$2/$L10)-INT((BJ$2-1)/$L10))*$U10*((1+Inputs!$D$7)^BJ$2))),(_xlfn.WEIBULL.DIST(BJ$2,$M10,$L10,FALSE)*$U10*((1+Inputs!$D$7)^BJ$2))),IF($N10=Lists!$K$3,IF($L10&lt;1,((($T10*(1-$F10)+$S10*(1-$G10))/$L10)*((1+Inputs!$D$7)^BJ$2)),((INT(BJ$2/$L10)-INT((BJ$2-1)/$L10))*($T10*(1-$F10)+$S10*(1-$G10))*((1+Inputs!$D$7)^BJ$2))),((_xlfn.WEIBULL.DIST(BJ$2,$M10,$L10,FALSE)*($T10*(1-$F10)+$S10*(1-$G10))*((1+Inputs!$D$7)^BJ$2))))))</f>
        <v>0</v>
      </c>
      <c r="BK10" s="88">
        <f>$E10*IF(BK$2&gt;Inputs!$D$5,0,IF(BK$2&gt;VLOOKUP($H10,Lists!$P$3:$Q$7,2),IF($N10=Lists!$K$3,IF($L10&lt;1,(($U10/$L10)*((1+Inputs!$D$7)^BK$2)),((INT(BK$2/$L10)-INT((BK$2-1)/$L10))*$U10*((1+Inputs!$D$7)^BK$2))),(_xlfn.WEIBULL.DIST(BK$2,$M10,$L10,FALSE)*$U10*((1+Inputs!$D$7)^BK$2))),IF($N10=Lists!$K$3,IF($L10&lt;1,((($T10*(1-$F10)+$S10*(1-$G10))/$L10)*((1+Inputs!$D$7)^BK$2)),((INT(BK$2/$L10)-INT((BK$2-1)/$L10))*($T10*(1-$F10)+$S10*(1-$G10))*((1+Inputs!$D$7)^BK$2))),((_xlfn.WEIBULL.DIST(BK$2,$M10,$L10,FALSE)*($T10*(1-$F10)+$S10*(1-$G10))*((1+Inputs!$D$7)^BK$2))))))</f>
        <v>0</v>
      </c>
      <c r="BL10" s="88">
        <f>$E10*IF(BL$2&gt;Inputs!$D$5,0,IF(BL$2&gt;VLOOKUP($H10,Lists!$P$3:$Q$7,2),IF($N10=Lists!$K$3,IF($L10&lt;1,(($U10/$L10)*((1+Inputs!$D$7)^BL$2)),((INT(BL$2/$L10)-INT((BL$2-1)/$L10))*$U10*((1+Inputs!$D$7)^BL$2))),(_xlfn.WEIBULL.DIST(BL$2,$M10,$L10,FALSE)*$U10*((1+Inputs!$D$7)^BL$2))),IF($N10=Lists!$K$3,IF($L10&lt;1,((($T10*(1-$F10)+$S10*(1-$G10))/$L10)*((1+Inputs!$D$7)^BL$2)),((INT(BL$2/$L10)-INT((BL$2-1)/$L10))*($T10*(1-$F10)+$S10*(1-$G10))*((1+Inputs!$D$7)^BL$2))),((_xlfn.WEIBULL.DIST(BL$2,$M10,$L10,FALSE)*($T10*(1-$F10)+$S10*(1-$G10))*((1+Inputs!$D$7)^BL$2))))))</f>
        <v>0</v>
      </c>
      <c r="BM10" s="88">
        <f>$E10*IF(BM$2&gt;Inputs!$D$5,0,IF(BM$2&gt;VLOOKUP($H10,Lists!$P$3:$Q$7,2),IF($N10=Lists!$K$3,IF($L10&lt;1,(($U10/$L10)*((1+Inputs!$D$7)^BM$2)),((INT(BM$2/$L10)-INT((BM$2-1)/$L10))*$U10*((1+Inputs!$D$7)^BM$2))),(_xlfn.WEIBULL.DIST(BM$2,$M10,$L10,FALSE)*$U10*((1+Inputs!$D$7)^BM$2))),IF($N10=Lists!$K$3,IF($L10&lt;1,((($T10*(1-$F10)+$S10*(1-$G10))/$L10)*((1+Inputs!$D$7)^BM$2)),((INT(BM$2/$L10)-INT((BM$2-1)/$L10))*($T10*(1-$F10)+$S10*(1-$G10))*((1+Inputs!$D$7)^BM$2))),((_xlfn.WEIBULL.DIST(BM$2,$M10,$L10,FALSE)*($T10*(1-$F10)+$S10*(1-$G10))*((1+Inputs!$D$7)^BM$2))))))</f>
        <v>0</v>
      </c>
      <c r="BN10" s="88">
        <f>$E10*IF(BN$2&gt;Inputs!$D$5,0,IF(BN$2&gt;VLOOKUP($H10,Lists!$P$3:$Q$7,2),IF($N10=Lists!$K$3,IF($L10&lt;1,(($U10/$L10)*((1+Inputs!$D$7)^BN$2)),((INT(BN$2/$L10)-INT((BN$2-1)/$L10))*$U10*((1+Inputs!$D$7)^BN$2))),(_xlfn.WEIBULL.DIST(BN$2,$M10,$L10,FALSE)*$U10*((1+Inputs!$D$7)^BN$2))),IF($N10=Lists!$K$3,IF($L10&lt;1,((($T10*(1-$F10)+$S10*(1-$G10))/$L10)*((1+Inputs!$D$7)^BN$2)),((INT(BN$2/$L10)-INT((BN$2-1)/$L10))*($T10*(1-$F10)+$S10*(1-$G10))*((1+Inputs!$D$7)^BN$2))),((_xlfn.WEIBULL.DIST(BN$2,$M10,$L10,FALSE)*($T10*(1-$F10)+$S10*(1-$G10))*((1+Inputs!$D$7)^BN$2))))))</f>
        <v>0</v>
      </c>
      <c r="BO10" s="64">
        <f>NPV(Inputs!$D$6,BQ10:DD10)</f>
        <v>204.56695315860742</v>
      </c>
      <c r="BP10" s="67">
        <f t="shared" si="6"/>
        <v>9.6483762213070198E-5</v>
      </c>
      <c r="BQ10" s="88">
        <f>MAX(AA10,($E10*IF(BQ$2&gt;Inputs!$D$5,0,IF(BQ$2&gt;VLOOKUP($H10,Lists!$P$3:$Q$7,2),IF($N10=Lists!$K$3,IF($L10&lt;1,(($U10/$L10)*((1+Inputs!$D$7)^BQ$2)),((INT(BQ$2/$L10)-INT((BQ$2-1)/$L10))*$U10*((1+Inputs!$D$7)^BQ$2))),(Inputs!$D$8^((1-_xlfn.WEIBULL.DIST(BQ$2,$M10,$L10,FALSE))/_xlfn.WEIBULL.DIST(BQ$2,$M10,$L10,FALSE))*$U10*((1+Inputs!$D$7)^BQ$2))),IF($N10=Lists!$K$3,IF($L10&lt;1,((($T10*(1-$F10)+$S10*(1-$G10))/$L10)*((1+Inputs!$D$7)^BQ$2)),((INT(BQ$2/$L10)-INT((BQ$2-1)/$L10))*($T10*(1-$F10)+$S10*(1-$G10))*((1+Inputs!$D$7)^BQ$2))),((Inputs!$D$8^((1-_xlfn.WEIBULL.DIST(BQ$2,$M10,$L10,FALSE))/_xlfn.WEIBULL.DIST(BQ$2,$M10,$L10,FALSE))*($T10*(1-$F10)+$S10*(1-$G10))*((1+Inputs!$D$7)^BQ$2))))))))</f>
        <v>14.659680288461541</v>
      </c>
      <c r="BR10" s="88">
        <f>MAX(AB10,($E10*IF(BR$2&gt;Inputs!$D$5,0,IF(BR$2&gt;VLOOKUP($H10,Lists!$P$3:$Q$7,2),IF($N10=Lists!$K$3,IF($L10&lt;1,(($U10/$L10)*((1+Inputs!$D$7)^BR$2)),((INT(BR$2/$L10)-INT((BR$2-1)/$L10))*$U10*((1+Inputs!$D$7)^BR$2))),(Inputs!$D$8^((1-_xlfn.WEIBULL.DIST(BR$2,$M10,$L10,FALSE))/_xlfn.WEIBULL.DIST(BR$2,$M10,$L10,FALSE))*$U10*((1+Inputs!$D$7)^BR$2))),IF($N10=Lists!$K$3,IF($L10&lt;1,((($T10*(1-$F10)+$S10*(1-$G10))/$L10)*((1+Inputs!$D$7)^BR$2)),((INT(BR$2/$L10)-INT((BR$2-1)/$L10))*($T10*(1-$F10)+$S10*(1-$G10))*((1+Inputs!$D$7)^BR$2))),((Inputs!$D$8^((1-_xlfn.WEIBULL.DIST(BR$2,$M10,$L10,FALSE))/_xlfn.WEIBULL.DIST(BR$2,$M10,$L10,FALSE))*($T10*(1-$F10)+$S10*(1-$G10))*((1+Inputs!$D$7)^BR$2))))))))</f>
        <v>14.95287389423077</v>
      </c>
      <c r="BS10" s="88">
        <f>MAX(AC10,($E10*IF(BS$2&gt;Inputs!$D$5,0,IF(BS$2&gt;VLOOKUP($H10,Lists!$P$3:$Q$7,2),IF($N10=Lists!$K$3,IF($L10&lt;1,(($U10/$L10)*((1+Inputs!$D$7)^BS$2)),((INT(BS$2/$L10)-INT((BS$2-1)/$L10))*$U10*((1+Inputs!$D$7)^BS$2))),(Inputs!$D$8^((1-_xlfn.WEIBULL.DIST(BS$2,$M10,$L10,FALSE))/_xlfn.WEIBULL.DIST(BS$2,$M10,$L10,FALSE))*$U10*((1+Inputs!$D$7)^BS$2))),IF($N10=Lists!$K$3,IF($L10&lt;1,((($T10*(1-$F10)+$S10*(1-$G10))/$L10)*((1+Inputs!$D$7)^BS$2)),((INT(BS$2/$L10)-INT((BS$2-1)/$L10))*($T10*(1-$F10)+$S10*(1-$G10))*((1+Inputs!$D$7)^BS$2))),((Inputs!$D$8^((1-_xlfn.WEIBULL.DIST(BS$2,$M10,$L10,FALSE))/_xlfn.WEIBULL.DIST(BS$2,$M10,$L10,FALSE))*($T10*(1-$F10)+$S10*(1-$G10))*((1+Inputs!$D$7)^BS$2))))))))</f>
        <v>15.251931372115385</v>
      </c>
      <c r="BT10" s="88">
        <f>MAX(AD10,($E10*IF(BT$2&gt;Inputs!$D$5,0,IF(BT$2&gt;VLOOKUP($H10,Lists!$P$3:$Q$7,2),IF($N10=Lists!$K$3,IF($L10&lt;1,(($U10/$L10)*((1+Inputs!$D$7)^BT$2)),((INT(BT$2/$L10)-INT((BT$2-1)/$L10))*$U10*((1+Inputs!$D$7)^BT$2))),(Inputs!$D$8^((1-_xlfn.WEIBULL.DIST(BT$2,$M10,$L10,FALSE))/_xlfn.WEIBULL.DIST(BT$2,$M10,$L10,FALSE))*$U10*((1+Inputs!$D$7)^BT$2))),IF($N10=Lists!$K$3,IF($L10&lt;1,((($T10*(1-$F10)+$S10*(1-$G10))/$L10)*((1+Inputs!$D$7)^BT$2)),((INT(BT$2/$L10)-INT((BT$2-1)/$L10))*($T10*(1-$F10)+$S10*(1-$G10))*((1+Inputs!$D$7)^BT$2))),((Inputs!$D$8^((1-_xlfn.WEIBULL.DIST(BT$2,$M10,$L10,FALSE))/_xlfn.WEIBULL.DIST(BT$2,$M10,$L10,FALSE))*($T10*(1-$F10)+$S10*(1-$G10))*((1+Inputs!$D$7)^BT$2))))))))</f>
        <v>15.556969999557694</v>
      </c>
      <c r="BU10" s="88">
        <f>MAX(AE10,($E10*IF(BU$2&gt;Inputs!$D$5,0,IF(BU$2&gt;VLOOKUP($H10,Lists!$P$3:$Q$7,2),IF($N10=Lists!$K$3,IF($L10&lt;1,(($U10/$L10)*((1+Inputs!$D$7)^BU$2)),((INT(BU$2/$L10)-INT((BU$2-1)/$L10))*$U10*((1+Inputs!$D$7)^BU$2))),(Inputs!$D$8^((1-_xlfn.WEIBULL.DIST(BU$2,$M10,$L10,FALSE))/_xlfn.WEIBULL.DIST(BU$2,$M10,$L10,FALSE))*$U10*((1+Inputs!$D$7)^BU$2))),IF($N10=Lists!$K$3,IF($L10&lt;1,((($T10*(1-$F10)+$S10*(1-$G10))/$L10)*((1+Inputs!$D$7)^BU$2)),((INT(BU$2/$L10)-INT((BU$2-1)/$L10))*($T10*(1-$F10)+$S10*(1-$G10))*((1+Inputs!$D$7)^BU$2))),((Inputs!$D$8^((1-_xlfn.WEIBULL.DIST(BU$2,$M10,$L10,FALSE))/_xlfn.WEIBULL.DIST(BU$2,$M10,$L10,FALSE))*($T10*(1-$F10)+$S10*(1-$G10))*((1+Inputs!$D$7)^BU$2))))))))</f>
        <v>15.868109399548848</v>
      </c>
      <c r="BV10" s="88">
        <f>MAX(AF10,($E10*IF(BV$2&gt;Inputs!$D$5,0,IF(BV$2&gt;VLOOKUP($H10,Lists!$P$3:$Q$7,2),IF($N10=Lists!$K$3,IF($L10&lt;1,(($U10/$L10)*((1+Inputs!$D$7)^BV$2)),((INT(BV$2/$L10)-INT((BV$2-1)/$L10))*$U10*((1+Inputs!$D$7)^BV$2))),(Inputs!$D$8^((1-_xlfn.WEIBULL.DIST(BV$2,$M10,$L10,FALSE))/_xlfn.WEIBULL.DIST(BV$2,$M10,$L10,FALSE))*$U10*((1+Inputs!$D$7)^BV$2))),IF($N10=Lists!$K$3,IF($L10&lt;1,((($T10*(1-$F10)+$S10*(1-$G10))/$L10)*((1+Inputs!$D$7)^BV$2)),((INT(BV$2/$L10)-INT((BV$2-1)/$L10))*($T10*(1-$F10)+$S10*(1-$G10))*((1+Inputs!$D$7)^BV$2))),((Inputs!$D$8^((1-_xlfn.WEIBULL.DIST(BV$2,$M10,$L10,FALSE))/_xlfn.WEIBULL.DIST(BV$2,$M10,$L10,FALSE))*($T10*(1-$F10)+$S10*(1-$G10))*((1+Inputs!$D$7)^BV$2))))))))</f>
        <v>16.185471587539826</v>
      </c>
      <c r="BW10" s="88">
        <f>MAX(AG10,($E10*IF(BW$2&gt;Inputs!$D$5,0,IF(BW$2&gt;VLOOKUP($H10,Lists!$P$3:$Q$7,2),IF($N10=Lists!$K$3,IF($L10&lt;1,(($U10/$L10)*((1+Inputs!$D$7)^BW$2)),((INT(BW$2/$L10)-INT((BW$2-1)/$L10))*$U10*((1+Inputs!$D$7)^BW$2))),(Inputs!$D$8^((1-_xlfn.WEIBULL.DIST(BW$2,$M10,$L10,FALSE))/_xlfn.WEIBULL.DIST(BW$2,$M10,$L10,FALSE))*$U10*((1+Inputs!$D$7)^BW$2))),IF($N10=Lists!$K$3,IF($L10&lt;1,((($T10*(1-$F10)+$S10*(1-$G10))/$L10)*((1+Inputs!$D$7)^BW$2)),((INT(BW$2/$L10)-INT((BW$2-1)/$L10))*($T10*(1-$F10)+$S10*(1-$G10))*((1+Inputs!$D$7)^BW$2))),((Inputs!$D$8^((1-_xlfn.WEIBULL.DIST(BW$2,$M10,$L10,FALSE))/_xlfn.WEIBULL.DIST(BW$2,$M10,$L10,FALSE))*($T10*(1-$F10)+$S10*(1-$G10))*((1+Inputs!$D$7)^BW$2))))))))</f>
        <v>16.509181019290619</v>
      </c>
      <c r="BX10" s="88">
        <f>MAX(AH10,($E10*IF(BX$2&gt;Inputs!$D$5,0,IF(BX$2&gt;VLOOKUP($H10,Lists!$P$3:$Q$7,2),IF($N10=Lists!$K$3,IF($L10&lt;1,(($U10/$L10)*((1+Inputs!$D$7)^BX$2)),((INT(BX$2/$L10)-INT((BX$2-1)/$L10))*$U10*((1+Inputs!$D$7)^BX$2))),(Inputs!$D$8^((1-_xlfn.WEIBULL.DIST(BX$2,$M10,$L10,FALSE))/_xlfn.WEIBULL.DIST(BX$2,$M10,$L10,FALSE))*$U10*((1+Inputs!$D$7)^BX$2))),IF($N10=Lists!$K$3,IF($L10&lt;1,((($T10*(1-$F10)+$S10*(1-$G10))/$L10)*((1+Inputs!$D$7)^BX$2)),((INT(BX$2/$L10)-INT((BX$2-1)/$L10))*($T10*(1-$F10)+$S10*(1-$G10))*((1+Inputs!$D$7)^BX$2))),((Inputs!$D$8^((1-_xlfn.WEIBULL.DIST(BX$2,$M10,$L10,FALSE))/_xlfn.WEIBULL.DIST(BX$2,$M10,$L10,FALSE))*($T10*(1-$F10)+$S10*(1-$G10))*((1+Inputs!$D$7)^BX$2))))))))</f>
        <v>16.839364639676432</v>
      </c>
      <c r="BY10" s="88">
        <f>MAX(AI10,($E10*IF(BY$2&gt;Inputs!$D$5,0,IF(BY$2&gt;VLOOKUP($H10,Lists!$P$3:$Q$7,2),IF($N10=Lists!$K$3,IF($L10&lt;1,(($U10/$L10)*((1+Inputs!$D$7)^BY$2)),((INT(BY$2/$L10)-INT((BY$2-1)/$L10))*$U10*((1+Inputs!$D$7)^BY$2))),(Inputs!$D$8^((1-_xlfn.WEIBULL.DIST(BY$2,$M10,$L10,FALSE))/_xlfn.WEIBULL.DIST(BY$2,$M10,$L10,FALSE))*$U10*((1+Inputs!$D$7)^BY$2))),IF($N10=Lists!$K$3,IF($L10&lt;1,((($T10*(1-$F10)+$S10*(1-$G10))/$L10)*((1+Inputs!$D$7)^BY$2)),((INT(BY$2/$L10)-INT((BY$2-1)/$L10))*($T10*(1-$F10)+$S10*(1-$G10))*((1+Inputs!$D$7)^BY$2))),((Inputs!$D$8^((1-_xlfn.WEIBULL.DIST(BY$2,$M10,$L10,FALSE))/_xlfn.WEIBULL.DIST(BY$2,$M10,$L10,FALSE))*($T10*(1-$F10)+$S10*(1-$G10))*((1+Inputs!$D$7)^BY$2))))))))</f>
        <v>17.17615193246996</v>
      </c>
      <c r="BZ10" s="88">
        <f>MAX(AJ10,($E10*IF(BZ$2&gt;Inputs!$D$5,0,IF(BZ$2&gt;VLOOKUP($H10,Lists!$P$3:$Q$7,2),IF($N10=Lists!$K$3,IF($L10&lt;1,(($U10/$L10)*((1+Inputs!$D$7)^BZ$2)),((INT(BZ$2/$L10)-INT((BZ$2-1)/$L10))*$U10*((1+Inputs!$D$7)^BZ$2))),(Inputs!$D$8^((1-_xlfn.WEIBULL.DIST(BZ$2,$M10,$L10,FALSE))/_xlfn.WEIBULL.DIST(BZ$2,$M10,$L10,FALSE))*$U10*((1+Inputs!$D$7)^BZ$2))),IF($N10=Lists!$K$3,IF($L10&lt;1,((($T10*(1-$F10)+$S10*(1-$G10))/$L10)*((1+Inputs!$D$7)^BZ$2)),((INT(BZ$2/$L10)-INT((BZ$2-1)/$L10))*($T10*(1-$F10)+$S10*(1-$G10))*((1+Inputs!$D$7)^BZ$2))),((Inputs!$D$8^((1-_xlfn.WEIBULL.DIST(BZ$2,$M10,$L10,FALSE))/_xlfn.WEIBULL.DIST(BZ$2,$M10,$L10,FALSE))*($T10*(1-$F10)+$S10*(1-$G10))*((1+Inputs!$D$7)^BZ$2))))))))</f>
        <v>17.519674971119361</v>
      </c>
      <c r="CA10" s="88">
        <f>MAX(AK10,($E10*IF(CA$2&gt;Inputs!$D$5,0,IF(CA$2&gt;VLOOKUP($H10,Lists!$P$3:$Q$7,2),IF($N10=Lists!$K$3,IF($L10&lt;1,(($U10/$L10)*((1+Inputs!$D$7)^CA$2)),((INT(CA$2/$L10)-INT((CA$2-1)/$L10))*$U10*((1+Inputs!$D$7)^CA$2))),(Inputs!$D$8^((1-_xlfn.WEIBULL.DIST(CA$2,$M10,$L10,FALSE))/_xlfn.WEIBULL.DIST(CA$2,$M10,$L10,FALSE))*$U10*((1+Inputs!$D$7)^CA$2))),IF($N10=Lists!$K$3,IF($L10&lt;1,((($T10*(1-$F10)+$S10*(1-$G10))/$L10)*((1+Inputs!$D$7)^CA$2)),((INT(CA$2/$L10)-INT((CA$2-1)/$L10))*($T10*(1-$F10)+$S10*(1-$G10))*((1+Inputs!$D$7)^CA$2))),((Inputs!$D$8^((1-_xlfn.WEIBULL.DIST(CA$2,$M10,$L10,FALSE))/_xlfn.WEIBULL.DIST(CA$2,$M10,$L10,FALSE))*($T10*(1-$F10)+$S10*(1-$G10))*((1+Inputs!$D$7)^CA$2))))))))</f>
        <v>17.870068470541746</v>
      </c>
      <c r="CB10" s="88">
        <f>MAX(AL10,($E10*IF(CB$2&gt;Inputs!$D$5,0,IF(CB$2&gt;VLOOKUP($H10,Lists!$P$3:$Q$7,2),IF($N10=Lists!$K$3,IF($L10&lt;1,(($U10/$L10)*((1+Inputs!$D$7)^CB$2)),((INT(CB$2/$L10)-INT((CB$2-1)/$L10))*$U10*((1+Inputs!$D$7)^CB$2))),(Inputs!$D$8^((1-_xlfn.WEIBULL.DIST(CB$2,$M10,$L10,FALSE))/_xlfn.WEIBULL.DIST(CB$2,$M10,$L10,FALSE))*$U10*((1+Inputs!$D$7)^CB$2))),IF($N10=Lists!$K$3,IF($L10&lt;1,((($T10*(1-$F10)+$S10*(1-$G10))/$L10)*((1+Inputs!$D$7)^CB$2)),((INT(CB$2/$L10)-INT((CB$2-1)/$L10))*($T10*(1-$F10)+$S10*(1-$G10))*((1+Inputs!$D$7)^CB$2))),((Inputs!$D$8^((1-_xlfn.WEIBULL.DIST(CB$2,$M10,$L10,FALSE))/_xlfn.WEIBULL.DIST(CB$2,$M10,$L10,FALSE))*($T10*(1-$F10)+$S10*(1-$G10))*((1+Inputs!$D$7)^CB$2))))))))</f>
        <v>18.227469839952583</v>
      </c>
      <c r="CC10" s="88">
        <f>MAX(AM10,($E10*IF(CC$2&gt;Inputs!$D$5,0,IF(CC$2&gt;VLOOKUP($H10,Lists!$P$3:$Q$7,2),IF($N10=Lists!$K$3,IF($L10&lt;1,(($U10/$L10)*((1+Inputs!$D$7)^CC$2)),((INT(CC$2/$L10)-INT((CC$2-1)/$L10))*$U10*((1+Inputs!$D$7)^CC$2))),(Inputs!$D$8^((1-_xlfn.WEIBULL.DIST(CC$2,$M10,$L10,FALSE))/_xlfn.WEIBULL.DIST(CC$2,$M10,$L10,FALSE))*$U10*((1+Inputs!$D$7)^CC$2))),IF($N10=Lists!$K$3,IF($L10&lt;1,((($T10*(1-$F10)+$S10*(1-$G10))/$L10)*((1+Inputs!$D$7)^CC$2)),((INT(CC$2/$L10)-INT((CC$2-1)/$L10))*($T10*(1-$F10)+$S10*(1-$G10))*((1+Inputs!$D$7)^CC$2))),((Inputs!$D$8^((1-_xlfn.WEIBULL.DIST(CC$2,$M10,$L10,FALSE))/_xlfn.WEIBULL.DIST(CC$2,$M10,$L10,FALSE))*($T10*(1-$F10)+$S10*(1-$G10))*((1+Inputs!$D$7)^CC$2))))))))</f>
        <v>18.592019236751632</v>
      </c>
      <c r="CD10" s="88">
        <f>MAX(AN10,($E10*IF(CD$2&gt;Inputs!$D$5,0,IF(CD$2&gt;VLOOKUP($H10,Lists!$P$3:$Q$7,2),IF($N10=Lists!$K$3,IF($L10&lt;1,(($U10/$L10)*((1+Inputs!$D$7)^CD$2)),((INT(CD$2/$L10)-INT((CD$2-1)/$L10))*$U10*((1+Inputs!$D$7)^CD$2))),(Inputs!$D$8^((1-_xlfn.WEIBULL.DIST(CD$2,$M10,$L10,FALSE))/_xlfn.WEIBULL.DIST(CD$2,$M10,$L10,FALSE))*$U10*((1+Inputs!$D$7)^CD$2))),IF($N10=Lists!$K$3,IF($L10&lt;1,((($T10*(1-$F10)+$S10*(1-$G10))/$L10)*((1+Inputs!$D$7)^CD$2)),((INT(CD$2/$L10)-INT((CD$2-1)/$L10))*($T10*(1-$F10)+$S10*(1-$G10))*((1+Inputs!$D$7)^CD$2))),((Inputs!$D$8^((1-_xlfn.WEIBULL.DIST(CD$2,$M10,$L10,FALSE))/_xlfn.WEIBULL.DIST(CD$2,$M10,$L10,FALSE))*($T10*(1-$F10)+$S10*(1-$G10))*((1+Inputs!$D$7)^CD$2))))))))</f>
        <v>18.963859621486669</v>
      </c>
      <c r="CE10" s="88">
        <f>MAX(AO10,($E10*IF(CE$2&gt;Inputs!$D$5,0,IF(CE$2&gt;VLOOKUP($H10,Lists!$P$3:$Q$7,2),IF($N10=Lists!$K$3,IF($L10&lt;1,(($U10/$L10)*((1+Inputs!$D$7)^CE$2)),((INT(CE$2/$L10)-INT((CE$2-1)/$L10))*$U10*((1+Inputs!$D$7)^CE$2))),(Inputs!$D$8^((1-_xlfn.WEIBULL.DIST(CE$2,$M10,$L10,FALSE))/_xlfn.WEIBULL.DIST(CE$2,$M10,$L10,FALSE))*$U10*((1+Inputs!$D$7)^CE$2))),IF($N10=Lists!$K$3,IF($L10&lt;1,((($T10*(1-$F10)+$S10*(1-$G10))/$L10)*((1+Inputs!$D$7)^CE$2)),((INT(CE$2/$L10)-INT((CE$2-1)/$L10))*($T10*(1-$F10)+$S10*(1-$G10))*((1+Inputs!$D$7)^CE$2))),((Inputs!$D$8^((1-_xlfn.WEIBULL.DIST(CE$2,$M10,$L10,FALSE))/_xlfn.WEIBULL.DIST(CE$2,$M10,$L10,FALSE))*($T10*(1-$F10)+$S10*(1-$G10))*((1+Inputs!$D$7)^CE$2))))))))</f>
        <v>19.343136813916395</v>
      </c>
      <c r="CF10" s="88">
        <f>MAX(AP10,($E10*IF(CF$2&gt;Inputs!$D$5,0,IF(CF$2&gt;VLOOKUP($H10,Lists!$P$3:$Q$7,2),IF($N10=Lists!$K$3,IF($L10&lt;1,(($U10/$L10)*((1+Inputs!$D$7)^CF$2)),((INT(CF$2/$L10)-INT((CF$2-1)/$L10))*$U10*((1+Inputs!$D$7)^CF$2))),(Inputs!$D$8^((1-_xlfn.WEIBULL.DIST(CF$2,$M10,$L10,FALSE))/_xlfn.WEIBULL.DIST(CF$2,$M10,$L10,FALSE))*$U10*((1+Inputs!$D$7)^CF$2))),IF($N10=Lists!$K$3,IF($L10&lt;1,((($T10*(1-$F10)+$S10*(1-$G10))/$L10)*((1+Inputs!$D$7)^CF$2)),((INT(CF$2/$L10)-INT((CF$2-1)/$L10))*($T10*(1-$F10)+$S10*(1-$G10))*((1+Inputs!$D$7)^CF$2))),((Inputs!$D$8^((1-_xlfn.WEIBULL.DIST(CF$2,$M10,$L10,FALSE))/_xlfn.WEIBULL.DIST(CF$2,$M10,$L10,FALSE))*($T10*(1-$F10)+$S10*(1-$G10))*((1+Inputs!$D$7)^CF$2))))))))</f>
        <v>19.729999550194727</v>
      </c>
      <c r="CG10" s="88">
        <f>MAX(AQ10,($E10*IF(CG$2&gt;Inputs!$D$5,0,IF(CG$2&gt;VLOOKUP($H10,Lists!$P$3:$Q$7,2),IF($N10=Lists!$K$3,IF($L10&lt;1,(($U10/$L10)*((1+Inputs!$D$7)^CG$2)),((INT(CG$2/$L10)-INT((CG$2-1)/$L10))*$U10*((1+Inputs!$D$7)^CG$2))),(Inputs!$D$8^((1-_xlfn.WEIBULL.DIST(CG$2,$M10,$L10,FALSE))/_xlfn.WEIBULL.DIST(CG$2,$M10,$L10,FALSE))*$U10*((1+Inputs!$D$7)^CG$2))),IF($N10=Lists!$K$3,IF($L10&lt;1,((($T10*(1-$F10)+$S10*(1-$G10))/$L10)*((1+Inputs!$D$7)^CG$2)),((INT(CG$2/$L10)-INT((CG$2-1)/$L10))*($T10*(1-$F10)+$S10*(1-$G10))*((1+Inputs!$D$7)^CG$2))),((Inputs!$D$8^((1-_xlfn.WEIBULL.DIST(CG$2,$M10,$L10,FALSE))/_xlfn.WEIBULL.DIST(CG$2,$M10,$L10,FALSE))*($T10*(1-$F10)+$S10*(1-$G10))*((1+Inputs!$D$7)^CG$2))))))))</f>
        <v>20.124599541198624</v>
      </c>
      <c r="CH10" s="88">
        <f>MAX(AR10,($E10*IF(CH$2&gt;Inputs!$D$5,0,IF(CH$2&gt;VLOOKUP($H10,Lists!$P$3:$Q$7,2),IF($N10=Lists!$K$3,IF($L10&lt;1,(($U10/$L10)*((1+Inputs!$D$7)^CH$2)),((INT(CH$2/$L10)-INT((CH$2-1)/$L10))*$U10*((1+Inputs!$D$7)^CH$2))),(Inputs!$D$8^((1-_xlfn.WEIBULL.DIST(CH$2,$M10,$L10,FALSE))/_xlfn.WEIBULL.DIST(CH$2,$M10,$L10,FALSE))*$U10*((1+Inputs!$D$7)^CH$2))),IF($N10=Lists!$K$3,IF($L10&lt;1,((($T10*(1-$F10)+$S10*(1-$G10))/$L10)*((1+Inputs!$D$7)^CH$2)),((INT(CH$2/$L10)-INT((CH$2-1)/$L10))*($T10*(1-$F10)+$S10*(1-$G10))*((1+Inputs!$D$7)^CH$2))),((Inputs!$D$8^((1-_xlfn.WEIBULL.DIST(CH$2,$M10,$L10,FALSE))/_xlfn.WEIBULL.DIST(CH$2,$M10,$L10,FALSE))*($T10*(1-$F10)+$S10*(1-$G10))*((1+Inputs!$D$7)^CH$2))))))))</f>
        <v>20.527091532022592</v>
      </c>
      <c r="CI10" s="88">
        <f>MAX(AS10,($E10*IF(CI$2&gt;Inputs!$D$5,0,IF(CI$2&gt;VLOOKUP($H10,Lists!$P$3:$Q$7,2),IF($N10=Lists!$K$3,IF($L10&lt;1,(($U10/$L10)*((1+Inputs!$D$7)^CI$2)),((INT(CI$2/$L10)-INT((CI$2-1)/$L10))*$U10*((1+Inputs!$D$7)^CI$2))),(Inputs!$D$8^((1-_xlfn.WEIBULL.DIST(CI$2,$M10,$L10,FALSE))/_xlfn.WEIBULL.DIST(CI$2,$M10,$L10,FALSE))*$U10*((1+Inputs!$D$7)^CI$2))),IF($N10=Lists!$K$3,IF($L10&lt;1,((($T10*(1-$F10)+$S10*(1-$G10))/$L10)*((1+Inputs!$D$7)^CI$2)),((INT(CI$2/$L10)-INT((CI$2-1)/$L10))*($T10*(1-$F10)+$S10*(1-$G10))*((1+Inputs!$D$7)^CI$2))),((Inputs!$D$8^((1-_xlfn.WEIBULL.DIST(CI$2,$M10,$L10,FALSE))/_xlfn.WEIBULL.DIST(CI$2,$M10,$L10,FALSE))*($T10*(1-$F10)+$S10*(1-$G10))*((1+Inputs!$D$7)^CI$2))))))))</f>
        <v>20.937633362663046</v>
      </c>
      <c r="CJ10" s="88">
        <f>MAX(AT10,($E10*IF(CJ$2&gt;Inputs!$D$5,0,IF(CJ$2&gt;VLOOKUP($H10,Lists!$P$3:$Q$7,2),IF($N10=Lists!$K$3,IF($L10&lt;1,(($U10/$L10)*((1+Inputs!$D$7)^CJ$2)),((INT(CJ$2/$L10)-INT((CJ$2-1)/$L10))*$U10*((1+Inputs!$D$7)^CJ$2))),(Inputs!$D$8^((1-_xlfn.WEIBULL.DIST(CJ$2,$M10,$L10,FALSE))/_xlfn.WEIBULL.DIST(CJ$2,$M10,$L10,FALSE))*$U10*((1+Inputs!$D$7)^CJ$2))),IF($N10=Lists!$K$3,IF($L10&lt;1,((($T10*(1-$F10)+$S10*(1-$G10))/$L10)*((1+Inputs!$D$7)^CJ$2)),((INT(CJ$2/$L10)-INT((CJ$2-1)/$L10))*($T10*(1-$F10)+$S10*(1-$G10))*((1+Inputs!$D$7)^CJ$2))),((Inputs!$D$8^((1-_xlfn.WEIBULL.DIST(CJ$2,$M10,$L10,FALSE))/_xlfn.WEIBULL.DIST(CJ$2,$M10,$L10,FALSE))*($T10*(1-$F10)+$S10*(1-$G10))*((1+Inputs!$D$7)^CJ$2))))))))</f>
        <v>21.356386029916308</v>
      </c>
      <c r="CK10" s="88">
        <f>MAX(AU10,($E10*IF(CK$2&gt;Inputs!$D$5,0,IF(CK$2&gt;VLOOKUP($H10,Lists!$P$3:$Q$7,2),IF($N10=Lists!$K$3,IF($L10&lt;1,(($U10/$L10)*((1+Inputs!$D$7)^CK$2)),((INT(CK$2/$L10)-INT((CK$2-1)/$L10))*$U10*((1+Inputs!$D$7)^CK$2))),(Inputs!$D$8^((1-_xlfn.WEIBULL.DIST(CK$2,$M10,$L10,FALSE))/_xlfn.WEIBULL.DIST(CK$2,$M10,$L10,FALSE))*$U10*((1+Inputs!$D$7)^CK$2))),IF($N10=Lists!$K$3,IF($L10&lt;1,((($T10*(1-$F10)+$S10*(1-$G10))/$L10)*((1+Inputs!$D$7)^CK$2)),((INT(CK$2/$L10)-INT((CK$2-1)/$L10))*($T10*(1-$F10)+$S10*(1-$G10))*((1+Inputs!$D$7)^CK$2))),((Inputs!$D$8^((1-_xlfn.WEIBULL.DIST(CK$2,$M10,$L10,FALSE))/_xlfn.WEIBULL.DIST(CK$2,$M10,$L10,FALSE))*($T10*(1-$F10)+$S10*(1-$G10))*((1+Inputs!$D$7)^CK$2))))))))</f>
        <v>21.783513750514633</v>
      </c>
      <c r="CL10" s="88">
        <f>MAX(AV10,($E10*IF(CL$2&gt;Inputs!$D$5,0,IF(CL$2&gt;VLOOKUP($H10,Lists!$P$3:$Q$7,2),IF($N10=Lists!$K$3,IF($L10&lt;1,(($U10/$L10)*((1+Inputs!$D$7)^CL$2)),((INT(CL$2/$L10)-INT((CL$2-1)/$L10))*$U10*((1+Inputs!$D$7)^CL$2))),(Inputs!$D$8^((1-_xlfn.WEIBULL.DIST(CL$2,$M10,$L10,FALSE))/_xlfn.WEIBULL.DIST(CL$2,$M10,$L10,FALSE))*$U10*((1+Inputs!$D$7)^CL$2))),IF($N10=Lists!$K$3,IF($L10&lt;1,((($T10*(1-$F10)+$S10*(1-$G10))/$L10)*((1+Inputs!$D$7)^CL$2)),((INT(CL$2/$L10)-INT((CL$2-1)/$L10))*($T10*(1-$F10)+$S10*(1-$G10))*((1+Inputs!$D$7)^CL$2))),((Inputs!$D$8^((1-_xlfn.WEIBULL.DIST(CL$2,$M10,$L10,FALSE))/_xlfn.WEIBULL.DIST(CL$2,$M10,$L10,FALSE))*($T10*(1-$F10)+$S10*(1-$G10))*((1+Inputs!$D$7)^CL$2))))))))</f>
        <v>22.219184025524925</v>
      </c>
      <c r="CM10" s="88">
        <f>MAX(AW10,($E10*IF(CM$2&gt;Inputs!$D$5,0,IF(CM$2&gt;VLOOKUP($H10,Lists!$P$3:$Q$7,2),IF($N10=Lists!$K$3,IF($L10&lt;1,(($U10/$L10)*((1+Inputs!$D$7)^CM$2)),((INT(CM$2/$L10)-INT((CM$2-1)/$L10))*$U10*((1+Inputs!$D$7)^CM$2))),(Inputs!$D$8^((1-_xlfn.WEIBULL.DIST(CM$2,$M10,$L10,FALSE))/_xlfn.WEIBULL.DIST(CM$2,$M10,$L10,FALSE))*$U10*((1+Inputs!$D$7)^CM$2))),IF($N10=Lists!$K$3,IF($L10&lt;1,((($T10*(1-$F10)+$S10*(1-$G10))/$L10)*((1+Inputs!$D$7)^CM$2)),((INT(CM$2/$L10)-INT((CM$2-1)/$L10))*($T10*(1-$F10)+$S10*(1-$G10))*((1+Inputs!$D$7)^CM$2))),((Inputs!$D$8^((1-_xlfn.WEIBULL.DIST(CM$2,$M10,$L10,FALSE))/_xlfn.WEIBULL.DIST(CM$2,$M10,$L10,FALSE))*($T10*(1-$F10)+$S10*(1-$G10))*((1+Inputs!$D$7)^CM$2))))))))</f>
        <v>22.663567706035419</v>
      </c>
      <c r="CN10" s="88">
        <f>MAX(AX10,($E10*IF(CN$2&gt;Inputs!$D$5,0,IF(CN$2&gt;VLOOKUP($H10,Lists!$P$3:$Q$7,2),IF($N10=Lists!$K$3,IF($L10&lt;1,(($U10/$L10)*((1+Inputs!$D$7)^CN$2)),((INT(CN$2/$L10)-INT((CN$2-1)/$L10))*$U10*((1+Inputs!$D$7)^CN$2))),(Inputs!$D$8^((1-_xlfn.WEIBULL.DIST(CN$2,$M10,$L10,FALSE))/_xlfn.WEIBULL.DIST(CN$2,$M10,$L10,FALSE))*$U10*((1+Inputs!$D$7)^CN$2))),IF($N10=Lists!$K$3,IF($L10&lt;1,((($T10*(1-$F10)+$S10*(1-$G10))/$L10)*((1+Inputs!$D$7)^CN$2)),((INT(CN$2/$L10)-INT((CN$2-1)/$L10))*($T10*(1-$F10)+$S10*(1-$G10))*((1+Inputs!$D$7)^CN$2))),((Inputs!$D$8^((1-_xlfn.WEIBULL.DIST(CN$2,$M10,$L10,FALSE))/_xlfn.WEIBULL.DIST(CN$2,$M10,$L10,FALSE))*($T10*(1-$F10)+$S10*(1-$G10))*((1+Inputs!$D$7)^CN$2))))))))</f>
        <v>23.116839060156131</v>
      </c>
      <c r="CO10" s="88">
        <f>MAX(AY10,($E10*IF(CO$2&gt;Inputs!$D$5,0,IF(CO$2&gt;VLOOKUP($H10,Lists!$P$3:$Q$7,2),IF($N10=Lists!$K$3,IF($L10&lt;1,(($U10/$L10)*((1+Inputs!$D$7)^CO$2)),((INT(CO$2/$L10)-INT((CO$2-1)/$L10))*$U10*((1+Inputs!$D$7)^CO$2))),(Inputs!$D$8^((1-_xlfn.WEIBULL.DIST(CO$2,$M10,$L10,FALSE))/_xlfn.WEIBULL.DIST(CO$2,$M10,$L10,FALSE))*$U10*((1+Inputs!$D$7)^CO$2))),IF($N10=Lists!$K$3,IF($L10&lt;1,((($T10*(1-$F10)+$S10*(1-$G10))/$L10)*((1+Inputs!$D$7)^CO$2)),((INT(CO$2/$L10)-INT((CO$2-1)/$L10))*($T10*(1-$F10)+$S10*(1-$G10))*((1+Inputs!$D$7)^CO$2))),((Inputs!$D$8^((1-_xlfn.WEIBULL.DIST(CO$2,$M10,$L10,FALSE))/_xlfn.WEIBULL.DIST(CO$2,$M10,$L10,FALSE))*($T10*(1-$F10)+$S10*(1-$G10))*((1+Inputs!$D$7)^CO$2))))))))</f>
        <v>23.579175841359252</v>
      </c>
      <c r="CP10" s="88">
        <f>MAX(AZ10,($E10*IF(CP$2&gt;Inputs!$D$5,0,IF(CP$2&gt;VLOOKUP($H10,Lists!$P$3:$Q$7,2),IF($N10=Lists!$K$3,IF($L10&lt;1,(($U10/$L10)*((1+Inputs!$D$7)^CP$2)),((INT(CP$2/$L10)-INT((CP$2-1)/$L10))*$U10*((1+Inputs!$D$7)^CP$2))),(Inputs!$D$8^((1-_xlfn.WEIBULL.DIST(CP$2,$M10,$L10,FALSE))/_xlfn.WEIBULL.DIST(CP$2,$M10,$L10,FALSE))*$U10*((1+Inputs!$D$7)^CP$2))),IF($N10=Lists!$K$3,IF($L10&lt;1,((($T10*(1-$F10)+$S10*(1-$G10))/$L10)*((1+Inputs!$D$7)^CP$2)),((INT(CP$2/$L10)-INT((CP$2-1)/$L10))*($T10*(1-$F10)+$S10*(1-$G10))*((1+Inputs!$D$7)^CP$2))),((Inputs!$D$8^((1-_xlfn.WEIBULL.DIST(CP$2,$M10,$L10,FALSE))/_xlfn.WEIBULL.DIST(CP$2,$M10,$L10,FALSE))*($T10*(1-$F10)+$S10*(1-$G10))*((1+Inputs!$D$7)^CP$2))))))))</f>
        <v>0</v>
      </c>
      <c r="CQ10" s="88">
        <f>MAX(BA10,($E10*IF(CQ$2&gt;Inputs!$D$5,0,IF(CQ$2&gt;VLOOKUP($H10,Lists!$P$3:$Q$7,2),IF($N10=Lists!$K$3,IF($L10&lt;1,(($U10/$L10)*((1+Inputs!$D$7)^CQ$2)),((INT(CQ$2/$L10)-INT((CQ$2-1)/$L10))*$U10*((1+Inputs!$D$7)^CQ$2))),(Inputs!$D$8^((1-_xlfn.WEIBULL.DIST(CQ$2,$M10,$L10,FALSE))/_xlfn.WEIBULL.DIST(CQ$2,$M10,$L10,FALSE))*$U10*((1+Inputs!$D$7)^CQ$2))),IF($N10=Lists!$K$3,IF($L10&lt;1,((($T10*(1-$F10)+$S10*(1-$G10))/$L10)*((1+Inputs!$D$7)^CQ$2)),((INT(CQ$2/$L10)-INT((CQ$2-1)/$L10))*($T10*(1-$F10)+$S10*(1-$G10))*((1+Inputs!$D$7)^CQ$2))),((Inputs!$D$8^((1-_xlfn.WEIBULL.DIST(CQ$2,$M10,$L10,FALSE))/_xlfn.WEIBULL.DIST(CQ$2,$M10,$L10,FALSE))*($T10*(1-$F10)+$S10*(1-$G10))*((1+Inputs!$D$7)^CQ$2))))))))</f>
        <v>0</v>
      </c>
      <c r="CR10" s="88">
        <f>MAX(BB10,($E10*IF(CR$2&gt;Inputs!$D$5,0,IF(CR$2&gt;VLOOKUP($H10,Lists!$P$3:$Q$7,2),IF($N10=Lists!$K$3,IF($L10&lt;1,(($U10/$L10)*((1+Inputs!$D$7)^CR$2)),((INT(CR$2/$L10)-INT((CR$2-1)/$L10))*$U10*((1+Inputs!$D$7)^CR$2))),(Inputs!$D$8^((1-_xlfn.WEIBULL.DIST(CR$2,$M10,$L10,FALSE))/_xlfn.WEIBULL.DIST(CR$2,$M10,$L10,FALSE))*$U10*((1+Inputs!$D$7)^CR$2))),IF($N10=Lists!$K$3,IF($L10&lt;1,((($T10*(1-$F10)+$S10*(1-$G10))/$L10)*((1+Inputs!$D$7)^CR$2)),((INT(CR$2/$L10)-INT((CR$2-1)/$L10))*($T10*(1-$F10)+$S10*(1-$G10))*((1+Inputs!$D$7)^CR$2))),((Inputs!$D$8^((1-_xlfn.WEIBULL.DIST(CR$2,$M10,$L10,FALSE))/_xlfn.WEIBULL.DIST(CR$2,$M10,$L10,FALSE))*($T10*(1-$F10)+$S10*(1-$G10))*((1+Inputs!$D$7)^CR$2))))))))</f>
        <v>0</v>
      </c>
      <c r="CS10" s="88">
        <f>MAX(BC10,($E10*IF(CS$2&gt;Inputs!$D$5,0,IF(CS$2&gt;VLOOKUP($H10,Lists!$P$3:$Q$7,2),IF($N10=Lists!$K$3,IF($L10&lt;1,(($U10/$L10)*((1+Inputs!$D$7)^CS$2)),((INT(CS$2/$L10)-INT((CS$2-1)/$L10))*$U10*((1+Inputs!$D$7)^CS$2))),(Inputs!$D$8^((1-_xlfn.WEIBULL.DIST(CS$2,$M10,$L10,FALSE))/_xlfn.WEIBULL.DIST(CS$2,$M10,$L10,FALSE))*$U10*((1+Inputs!$D$7)^CS$2))),IF($N10=Lists!$K$3,IF($L10&lt;1,((($T10*(1-$F10)+$S10*(1-$G10))/$L10)*((1+Inputs!$D$7)^CS$2)),((INT(CS$2/$L10)-INT((CS$2-1)/$L10))*($T10*(1-$F10)+$S10*(1-$G10))*((1+Inputs!$D$7)^CS$2))),((Inputs!$D$8^((1-_xlfn.WEIBULL.DIST(CS$2,$M10,$L10,FALSE))/_xlfn.WEIBULL.DIST(CS$2,$M10,$L10,FALSE))*($T10*(1-$F10)+$S10*(1-$G10))*((1+Inputs!$D$7)^CS$2))))))))</f>
        <v>0</v>
      </c>
      <c r="CT10" s="88">
        <f>MAX(BD10,($E10*IF(CT$2&gt;Inputs!$D$5,0,IF(CT$2&gt;VLOOKUP($H10,Lists!$P$3:$Q$7,2),IF($N10=Lists!$K$3,IF($L10&lt;1,(($U10/$L10)*((1+Inputs!$D$7)^CT$2)),((INT(CT$2/$L10)-INT((CT$2-1)/$L10))*$U10*((1+Inputs!$D$7)^CT$2))),(Inputs!$D$8^((1-_xlfn.WEIBULL.DIST(CT$2,$M10,$L10,FALSE))/_xlfn.WEIBULL.DIST(CT$2,$M10,$L10,FALSE))*$U10*((1+Inputs!$D$7)^CT$2))),IF($N10=Lists!$K$3,IF($L10&lt;1,((($T10*(1-$F10)+$S10*(1-$G10))/$L10)*((1+Inputs!$D$7)^CT$2)),((INT(CT$2/$L10)-INT((CT$2-1)/$L10))*($T10*(1-$F10)+$S10*(1-$G10))*((1+Inputs!$D$7)^CT$2))),((Inputs!$D$8^((1-_xlfn.WEIBULL.DIST(CT$2,$M10,$L10,FALSE))/_xlfn.WEIBULL.DIST(CT$2,$M10,$L10,FALSE))*($T10*(1-$F10)+$S10*(1-$G10))*((1+Inputs!$D$7)^CT$2))))))))</f>
        <v>0</v>
      </c>
      <c r="CU10" s="88">
        <f>MAX(BE10,($E10*IF(CU$2&gt;Inputs!$D$5,0,IF(CU$2&gt;VLOOKUP($H10,Lists!$P$3:$Q$7,2),IF($N10=Lists!$K$3,IF($L10&lt;1,(($U10/$L10)*((1+Inputs!$D$7)^CU$2)),((INT(CU$2/$L10)-INT((CU$2-1)/$L10))*$U10*((1+Inputs!$D$7)^CU$2))),(Inputs!$D$8^((1-_xlfn.WEIBULL.DIST(CU$2,$M10,$L10,FALSE))/_xlfn.WEIBULL.DIST(CU$2,$M10,$L10,FALSE))*$U10*((1+Inputs!$D$7)^CU$2))),IF($N10=Lists!$K$3,IF($L10&lt;1,((($T10*(1-$F10)+$S10*(1-$G10))/$L10)*((1+Inputs!$D$7)^CU$2)),((INT(CU$2/$L10)-INT((CU$2-1)/$L10))*($T10*(1-$F10)+$S10*(1-$G10))*((1+Inputs!$D$7)^CU$2))),((Inputs!$D$8^((1-_xlfn.WEIBULL.DIST(CU$2,$M10,$L10,FALSE))/_xlfn.WEIBULL.DIST(CU$2,$M10,$L10,FALSE))*($T10*(1-$F10)+$S10*(1-$G10))*((1+Inputs!$D$7)^CU$2))))))))</f>
        <v>0</v>
      </c>
      <c r="CV10" s="88">
        <f>MAX(BF10,($E10*IF(CV$2&gt;Inputs!$D$5,0,IF(CV$2&gt;VLOOKUP($H10,Lists!$P$3:$Q$7,2),IF($N10=Lists!$K$3,IF($L10&lt;1,(($U10/$L10)*((1+Inputs!$D$7)^CV$2)),((INT(CV$2/$L10)-INT((CV$2-1)/$L10))*$U10*((1+Inputs!$D$7)^CV$2))),(Inputs!$D$8^((1-_xlfn.WEIBULL.DIST(CV$2,$M10,$L10,FALSE))/_xlfn.WEIBULL.DIST(CV$2,$M10,$L10,FALSE))*$U10*((1+Inputs!$D$7)^CV$2))),IF($N10=Lists!$K$3,IF($L10&lt;1,((($T10*(1-$F10)+$S10*(1-$G10))/$L10)*((1+Inputs!$D$7)^CV$2)),((INT(CV$2/$L10)-INT((CV$2-1)/$L10))*($T10*(1-$F10)+$S10*(1-$G10))*((1+Inputs!$D$7)^CV$2))),((Inputs!$D$8^((1-_xlfn.WEIBULL.DIST(CV$2,$M10,$L10,FALSE))/_xlfn.WEIBULL.DIST(CV$2,$M10,$L10,FALSE))*($T10*(1-$F10)+$S10*(1-$G10))*((1+Inputs!$D$7)^CV$2))))))))</f>
        <v>0</v>
      </c>
      <c r="CW10" s="88">
        <f>MAX(BG10,($E10*IF(CW$2&gt;Inputs!$D$5,0,IF(CW$2&gt;VLOOKUP($H10,Lists!$P$3:$Q$7,2),IF($N10=Lists!$K$3,IF($L10&lt;1,(($U10/$L10)*((1+Inputs!$D$7)^CW$2)),((INT(CW$2/$L10)-INT((CW$2-1)/$L10))*$U10*((1+Inputs!$D$7)^CW$2))),(Inputs!$D$8^((1-_xlfn.WEIBULL.DIST(CW$2,$M10,$L10,FALSE))/_xlfn.WEIBULL.DIST(CW$2,$M10,$L10,FALSE))*$U10*((1+Inputs!$D$7)^CW$2))),IF($N10=Lists!$K$3,IF($L10&lt;1,((($T10*(1-$F10)+$S10*(1-$G10))/$L10)*((1+Inputs!$D$7)^CW$2)),((INT(CW$2/$L10)-INT((CW$2-1)/$L10))*($T10*(1-$F10)+$S10*(1-$G10))*((1+Inputs!$D$7)^CW$2))),((Inputs!$D$8^((1-_xlfn.WEIBULL.DIST(CW$2,$M10,$L10,FALSE))/_xlfn.WEIBULL.DIST(CW$2,$M10,$L10,FALSE))*($T10*(1-$F10)+$S10*(1-$G10))*((1+Inputs!$D$7)^CW$2))))))))</f>
        <v>0</v>
      </c>
      <c r="CX10" s="88">
        <f>MAX(BH10,($E10*IF(CX$2&gt;Inputs!$D$5,0,IF(CX$2&gt;VLOOKUP($H10,Lists!$P$3:$Q$7,2),IF($N10=Lists!$K$3,IF($L10&lt;1,(($U10/$L10)*((1+Inputs!$D$7)^CX$2)),((INT(CX$2/$L10)-INT((CX$2-1)/$L10))*$U10*((1+Inputs!$D$7)^CX$2))),(Inputs!$D$8^((1-_xlfn.WEIBULL.DIST(CX$2,$M10,$L10,FALSE))/_xlfn.WEIBULL.DIST(CX$2,$M10,$L10,FALSE))*$U10*((1+Inputs!$D$7)^CX$2))),IF($N10=Lists!$K$3,IF($L10&lt;1,((($T10*(1-$F10)+$S10*(1-$G10))/$L10)*((1+Inputs!$D$7)^CX$2)),((INT(CX$2/$L10)-INT((CX$2-1)/$L10))*($T10*(1-$F10)+$S10*(1-$G10))*((1+Inputs!$D$7)^CX$2))),((Inputs!$D$8^((1-_xlfn.WEIBULL.DIST(CX$2,$M10,$L10,FALSE))/_xlfn.WEIBULL.DIST(CX$2,$M10,$L10,FALSE))*($T10*(1-$F10)+$S10*(1-$G10))*((1+Inputs!$D$7)^CX$2))))))))</f>
        <v>0</v>
      </c>
      <c r="CY10" s="88">
        <f>MAX(BI10,($E10*IF(CY$2&gt;Inputs!$D$5,0,IF(CY$2&gt;VLOOKUP($H10,Lists!$P$3:$Q$7,2),IF($N10=Lists!$K$3,IF($L10&lt;1,(($U10/$L10)*((1+Inputs!$D$7)^CY$2)),((INT(CY$2/$L10)-INT((CY$2-1)/$L10))*$U10*((1+Inputs!$D$7)^CY$2))),(Inputs!$D$8^((1-_xlfn.WEIBULL.DIST(CY$2,$M10,$L10,FALSE))/_xlfn.WEIBULL.DIST(CY$2,$M10,$L10,FALSE))*$U10*((1+Inputs!$D$7)^CY$2))),IF($N10=Lists!$K$3,IF($L10&lt;1,((($T10*(1-$F10)+$S10*(1-$G10))/$L10)*((1+Inputs!$D$7)^CY$2)),((INT(CY$2/$L10)-INT((CY$2-1)/$L10))*($T10*(1-$F10)+$S10*(1-$G10))*((1+Inputs!$D$7)^CY$2))),((Inputs!$D$8^((1-_xlfn.WEIBULL.DIST(CY$2,$M10,$L10,FALSE))/_xlfn.WEIBULL.DIST(CY$2,$M10,$L10,FALSE))*($T10*(1-$F10)+$S10*(1-$G10))*((1+Inputs!$D$7)^CY$2))))))))</f>
        <v>0</v>
      </c>
      <c r="CZ10" s="88">
        <f>MAX(BJ10,($E10*IF(CZ$2&gt;Inputs!$D$5,0,IF(CZ$2&gt;VLOOKUP($H10,Lists!$P$3:$Q$7,2),IF($N10=Lists!$K$3,IF($L10&lt;1,(($U10/$L10)*((1+Inputs!$D$7)^CZ$2)),((INT(CZ$2/$L10)-INT((CZ$2-1)/$L10))*$U10*((1+Inputs!$D$7)^CZ$2))),(Inputs!$D$8^((1-_xlfn.WEIBULL.DIST(CZ$2,$M10,$L10,FALSE))/_xlfn.WEIBULL.DIST(CZ$2,$M10,$L10,FALSE))*$U10*((1+Inputs!$D$7)^CZ$2))),IF($N10=Lists!$K$3,IF($L10&lt;1,((($T10*(1-$F10)+$S10*(1-$G10))/$L10)*((1+Inputs!$D$7)^CZ$2)),((INT(CZ$2/$L10)-INT((CZ$2-1)/$L10))*($T10*(1-$F10)+$S10*(1-$G10))*((1+Inputs!$D$7)^CZ$2))),((Inputs!$D$8^((1-_xlfn.WEIBULL.DIST(CZ$2,$M10,$L10,FALSE))/_xlfn.WEIBULL.DIST(CZ$2,$M10,$L10,FALSE))*($T10*(1-$F10)+$S10*(1-$G10))*((1+Inputs!$D$7)^CZ$2))))))))</f>
        <v>0</v>
      </c>
      <c r="DA10" s="88">
        <f>MAX(BK10,($E10*IF(DA$2&gt;Inputs!$D$5,0,IF(DA$2&gt;VLOOKUP($H10,Lists!$P$3:$Q$7,2),IF($N10=Lists!$K$3,IF($L10&lt;1,(($U10/$L10)*((1+Inputs!$D$7)^DA$2)),((INT(DA$2/$L10)-INT((DA$2-1)/$L10))*$U10*((1+Inputs!$D$7)^DA$2))),(Inputs!$D$8^((1-_xlfn.WEIBULL.DIST(DA$2,$M10,$L10,FALSE))/_xlfn.WEIBULL.DIST(DA$2,$M10,$L10,FALSE))*$U10*((1+Inputs!$D$7)^DA$2))),IF($N10=Lists!$K$3,IF($L10&lt;1,((($T10*(1-$F10)+$S10*(1-$G10))/$L10)*((1+Inputs!$D$7)^DA$2)),((INT(DA$2/$L10)-INT((DA$2-1)/$L10))*($T10*(1-$F10)+$S10*(1-$G10))*((1+Inputs!$D$7)^DA$2))),((Inputs!$D$8^((1-_xlfn.WEIBULL.DIST(DA$2,$M10,$L10,FALSE))/_xlfn.WEIBULL.DIST(DA$2,$M10,$L10,FALSE))*($T10*(1-$F10)+$S10*(1-$G10))*((1+Inputs!$D$7)^DA$2))))))))</f>
        <v>0</v>
      </c>
      <c r="DB10" s="88">
        <f>MAX(BL10,($E10*IF(DB$2&gt;Inputs!$D$5,0,IF(DB$2&gt;VLOOKUP($H10,Lists!$P$3:$Q$7,2),IF($N10=Lists!$K$3,IF($L10&lt;1,(($U10/$L10)*((1+Inputs!$D$7)^DB$2)),((INT(DB$2/$L10)-INT((DB$2-1)/$L10))*$U10*((1+Inputs!$D$7)^DB$2))),(Inputs!$D$8^((1-_xlfn.WEIBULL.DIST(DB$2,$M10,$L10,FALSE))/_xlfn.WEIBULL.DIST(DB$2,$M10,$L10,FALSE))*$U10*((1+Inputs!$D$7)^DB$2))),IF($N10=Lists!$K$3,IF($L10&lt;1,((($T10*(1-$F10)+$S10*(1-$G10))/$L10)*((1+Inputs!$D$7)^DB$2)),((INT(DB$2/$L10)-INT((DB$2-1)/$L10))*($T10*(1-$F10)+$S10*(1-$G10))*((1+Inputs!$D$7)^DB$2))),((Inputs!$D$8^((1-_xlfn.WEIBULL.DIST(DB$2,$M10,$L10,FALSE))/_xlfn.WEIBULL.DIST(DB$2,$M10,$L10,FALSE))*($T10*(1-$F10)+$S10*(1-$G10))*((1+Inputs!$D$7)^DB$2))))))))</f>
        <v>0</v>
      </c>
      <c r="DC10" s="88">
        <f>MAX(BM10,($E10*IF(DC$2&gt;Inputs!$D$5,0,IF(DC$2&gt;VLOOKUP($H10,Lists!$P$3:$Q$7,2),IF($N10=Lists!$K$3,IF($L10&lt;1,(($U10/$L10)*((1+Inputs!$D$7)^DC$2)),((INT(DC$2/$L10)-INT((DC$2-1)/$L10))*$U10*((1+Inputs!$D$7)^DC$2))),(Inputs!$D$8^((1-_xlfn.WEIBULL.DIST(DC$2,$M10,$L10,FALSE))/_xlfn.WEIBULL.DIST(DC$2,$M10,$L10,FALSE))*$U10*((1+Inputs!$D$7)^DC$2))),IF($N10=Lists!$K$3,IF($L10&lt;1,((($T10*(1-$F10)+$S10*(1-$G10))/$L10)*((1+Inputs!$D$7)^DC$2)),((INT(DC$2/$L10)-INT((DC$2-1)/$L10))*($T10*(1-$F10)+$S10*(1-$G10))*((1+Inputs!$D$7)^DC$2))),((Inputs!$D$8^((1-_xlfn.WEIBULL.DIST(DC$2,$M10,$L10,FALSE))/_xlfn.WEIBULL.DIST(DC$2,$M10,$L10,FALSE))*($T10*(1-$F10)+$S10*(1-$G10))*((1+Inputs!$D$7)^DC$2))))))))</f>
        <v>0</v>
      </c>
      <c r="DD10" s="88">
        <f>MAX(BN10,($E10*IF(DD$2&gt;Inputs!$D$5,0,IF(DD$2&gt;VLOOKUP($H10,Lists!$P$3:$Q$7,2),IF($N10=Lists!$K$3,IF($L10&lt;1,(($U10/$L10)*((1+Inputs!$D$7)^DD$2)),((INT(DD$2/$L10)-INT((DD$2-1)/$L10))*$U10*((1+Inputs!$D$7)^DD$2))),(Inputs!$D$8^((1-_xlfn.WEIBULL.DIST(DD$2,$M10,$L10,FALSE))/_xlfn.WEIBULL.DIST(DD$2,$M10,$L10,FALSE))*$U10*((1+Inputs!$D$7)^DD$2))),IF($N10=Lists!$K$3,IF($L10&lt;1,((($T10*(1-$F10)+$S10*(1-$G10))/$L10)*((1+Inputs!$D$7)^DD$2)),((INT(DD$2/$L10)-INT((DD$2-1)/$L10))*($T10*(1-$F10)+$S10*(1-$G10))*((1+Inputs!$D$7)^DD$2))),((Inputs!$D$8^((1-_xlfn.WEIBULL.DIST(DD$2,$M10,$L10,FALSE))/_xlfn.WEIBULL.DIST(DD$2,$M10,$L10,FALSE))*($T10*(1-$F10)+$S10*(1-$G10))*((1+Inputs!$D$7)^DD$2))))))))</f>
        <v>0</v>
      </c>
    </row>
    <row r="11" spans="1:108" s="1" customFormat="1" ht="32.25" customHeight="1">
      <c r="A11" s="57" t="s">
        <v>210</v>
      </c>
      <c r="B11" s="13" t="s">
        <v>130</v>
      </c>
      <c r="C11" s="13" t="s">
        <v>474</v>
      </c>
      <c r="D11" s="13" t="s">
        <v>213</v>
      </c>
      <c r="E11" s="48">
        <v>1</v>
      </c>
      <c r="F11" s="48">
        <v>1</v>
      </c>
      <c r="G11" s="48">
        <v>1</v>
      </c>
      <c r="H11" s="105" t="s">
        <v>350</v>
      </c>
      <c r="I11" s="14"/>
      <c r="J11" s="14" t="s">
        <v>87</v>
      </c>
      <c r="K11" s="13">
        <f>VLOOKUP(J11,'Labor Rates'!$A$1:$F$16,2)</f>
        <v>32.012019230769226</v>
      </c>
      <c r="L11" s="15">
        <v>25</v>
      </c>
      <c r="M11" s="15">
        <v>3</v>
      </c>
      <c r="N11" s="16" t="s">
        <v>226</v>
      </c>
      <c r="O11" s="61">
        <v>3</v>
      </c>
      <c r="P11" s="15">
        <v>0.25</v>
      </c>
      <c r="Q11" s="15">
        <f t="shared" si="0"/>
        <v>0.03</v>
      </c>
      <c r="R11" s="4">
        <v>10</v>
      </c>
      <c r="S11" s="53">
        <f t="shared" si="1"/>
        <v>24.00901442307692</v>
      </c>
      <c r="T11" s="53">
        <f t="shared" si="2"/>
        <v>30</v>
      </c>
      <c r="U11" s="54">
        <f t="shared" si="3"/>
        <v>54.00901442307692</v>
      </c>
      <c r="V11" s="65"/>
      <c r="W11" s="58"/>
      <c r="X11" s="64">
        <f t="shared" si="4"/>
        <v>1.5378366827169123</v>
      </c>
      <c r="Y11" s="64">
        <f>NPV(Inputs!$D$6,AA11:BN11)</f>
        <v>15.676871025333412</v>
      </c>
      <c r="Z11" s="67">
        <f t="shared" si="5"/>
        <v>7.3939777314887182E-6</v>
      </c>
      <c r="AA11" s="88">
        <f>$E11*IF(AA$2&gt;Inputs!$D$5,0,IF(AA$2&gt;VLOOKUP($H11,Lists!$P$3:$Q$7,2),IF($N11=Lists!$K$3,IF($L11&lt;1,(($U11/$L11)*((1+Inputs!$D$7)^AA$2)),((INT(AA$2/$L11)-INT((AA$2-1)/$L11))*$U11*((1+Inputs!$D$7)^AA$2))),(_xlfn.WEIBULL.DIST(AA$2,$M11,$L11,FALSE)*$U11*((1+Inputs!$D$7)^AA$2))),IF($N11=Lists!$K$3,IF($L11&lt;1,((($T11*(1-$F11)+$S11*(1-$G11))/$L11)*((1+Inputs!$D$7)^AA$2)),((INT(AA$2/$L11)-INT((AA$2-1)/$L11))*($T11*(1-$F11)+$S11*(1-$G11))*((1+Inputs!$D$7)^AA$2))),((_xlfn.WEIBULL.DIST(AA$2,$M11,$L11,FALSE)*($T11*(1-$F11)+$S11*(1-$G11))*((1+Inputs!$D$7)^AA$2))))))</f>
        <v>1.057644847025227E-2</v>
      </c>
      <c r="AB11" s="88">
        <f>$E11*IF(AB$2&gt;Inputs!$D$5,0,IF(AB$2&gt;VLOOKUP($H11,Lists!$P$3:$Q$7,2),IF($N11=Lists!$K$3,IF($L11&lt;1,(($U11/$L11)*((1+Inputs!$D$7)^AB$2)),((INT(AB$2/$L11)-INT((AB$2-1)/$L11))*$U11*((1+Inputs!$D$7)^AB$2))),(_xlfn.WEIBULL.DIST(AB$2,$M11,$L11,FALSE)*$U11*((1+Inputs!$D$7)^AB$2))),IF($N11=Lists!$K$3,IF($L11&lt;1,((($T11*(1-$F11)+$S11*(1-$G11))/$L11)*((1+Inputs!$D$7)^AB$2)),((INT(AB$2/$L11)-INT((AB$2-1)/$L11))*($T11*(1-$F11)+$S11*(1-$G11))*((1+Inputs!$D$7)^AB$2))),((_xlfn.WEIBULL.DIST(AB$2,$M11,$L11,FALSE)*($T11*(1-$F11)+$S11*(1-$G11))*((1+Inputs!$D$7)^AB$2))))))</f>
        <v>4.3132582032791245E-2</v>
      </c>
      <c r="AC11" s="88">
        <f>$E11*IF(AC$2&gt;Inputs!$D$5,0,IF(AC$2&gt;VLOOKUP($H11,Lists!$P$3:$Q$7,2),IF($N11=Lists!$K$3,IF($L11&lt;1,(($U11/$L11)*((1+Inputs!$D$7)^AC$2)),((INT(AC$2/$L11)-INT((AC$2-1)/$L11))*$U11*((1+Inputs!$D$7)^AC$2))),(_xlfn.WEIBULL.DIST(AC$2,$M11,$L11,FALSE)*$U11*((1+Inputs!$D$7)^AC$2))),IF($N11=Lists!$K$3,IF($L11&lt;1,((($T11*(1-$F11)+$S11*(1-$G11))/$L11)*((1+Inputs!$D$7)^AC$2)),((INT(AC$2/$L11)-INT((AC$2-1)/$L11))*($T11*(1-$F11)+$S11*(1-$G11))*((1+Inputs!$D$7)^AC$2))),((_xlfn.WEIBULL.DIST(AC$2,$M11,$L11,FALSE)*($T11*(1-$F11)+$S11*(1-$G11))*((1+Inputs!$D$7)^AC$2))))))</f>
        <v>9.8868977961813126E-2</v>
      </c>
      <c r="AD11" s="88">
        <f>$E11*IF(AD$2&gt;Inputs!$D$5,0,IF(AD$2&gt;VLOOKUP($H11,Lists!$P$3:$Q$7,2),IF($N11=Lists!$K$3,IF($L11&lt;1,(($U11/$L11)*((1+Inputs!$D$7)^AD$2)),((INT(AD$2/$L11)-INT((AD$2-1)/$L11))*$U11*((1+Inputs!$D$7)^AD$2))),(_xlfn.WEIBULL.DIST(AD$2,$M11,$L11,FALSE)*$U11*((1+Inputs!$D$7)^AD$2))),IF($N11=Lists!$K$3,IF($L11&lt;1,((($T11*(1-$F11)+$S11*(1-$G11))/$L11)*((1+Inputs!$D$7)^AD$2)),((INT(AD$2/$L11)-INT((AD$2-1)/$L11))*($T11*(1-$F11)+$S11*(1-$G11))*((1+Inputs!$D$7)^AD$2))),((_xlfn.WEIBULL.DIST(AD$2,$M11,$L11,FALSE)*($T11*(1-$F11)+$S11*(1-$G11))*((1+Inputs!$D$7)^AD$2))))))</f>
        <v>0.17885837487561765</v>
      </c>
      <c r="AE11" s="88">
        <f>$E11*IF(AE$2&gt;Inputs!$D$5,0,IF(AE$2&gt;VLOOKUP($H11,Lists!$P$3:$Q$7,2),IF($N11=Lists!$K$3,IF($L11&lt;1,(($U11/$L11)*((1+Inputs!$D$7)^AE$2)),((INT(AE$2/$L11)-INT((AE$2-1)/$L11))*$U11*((1+Inputs!$D$7)^AE$2))),(_xlfn.WEIBULL.DIST(AE$2,$M11,$L11,FALSE)*$U11*((1+Inputs!$D$7)^AE$2))),IF($N11=Lists!$K$3,IF($L11&lt;1,((($T11*(1-$F11)+$S11*(1-$G11))/$L11)*((1+Inputs!$D$7)^AE$2)),((INT(AE$2/$L11)-INT((AE$2-1)/$L11))*($T11*(1-$F11)+$S11*(1-$G11))*((1+Inputs!$D$7)^AE$2))),((_xlfn.WEIBULL.DIST(AE$2,$M11,$L11,FALSE)*($T11*(1-$F11)+$S11*(1-$G11))*((1+Inputs!$D$7)^AE$2))))))</f>
        <v>0.28394484762190475</v>
      </c>
      <c r="AF11" s="88">
        <f>$E11*IF(AF$2&gt;Inputs!$D$5,0,IF(AF$2&gt;VLOOKUP($H11,Lists!$P$3:$Q$7,2),IF($N11=Lists!$K$3,IF($L11&lt;1,(($U11/$L11)*((1+Inputs!$D$7)^AF$2)),((INT(AF$2/$L11)-INT((AF$2-1)/$L11))*$U11*((1+Inputs!$D$7)^AF$2))),(_xlfn.WEIBULL.DIST(AF$2,$M11,$L11,FALSE)*$U11*((1+Inputs!$D$7)^AF$2))),IF($N11=Lists!$K$3,IF($L11&lt;1,((($T11*(1-$F11)+$S11*(1-$G11))/$L11)*((1+Inputs!$D$7)^AF$2)),((INT(AF$2/$L11)-INT((AF$2-1)/$L11))*($T11*(1-$F11)+$S11*(1-$G11))*((1+Inputs!$D$7)^AF$2))),((_xlfn.WEIBULL.DIST(AF$2,$M11,$L11,FALSE)*($T11*(1-$F11)+$S11*(1-$G11))*((1+Inputs!$D$7)^AF$2))))))</f>
        <v>0.41463630465789941</v>
      </c>
      <c r="AG11" s="88">
        <f>$E11*IF(AG$2&gt;Inputs!$D$5,0,IF(AG$2&gt;VLOOKUP($H11,Lists!$P$3:$Q$7,2),IF($N11=Lists!$K$3,IF($L11&lt;1,(($U11/$L11)*((1+Inputs!$D$7)^AG$2)),((INT(AG$2/$L11)-INT((AG$2-1)/$L11))*$U11*((1+Inputs!$D$7)^AG$2))),(_xlfn.WEIBULL.DIST(AG$2,$M11,$L11,FALSE)*$U11*((1+Inputs!$D$7)^AG$2))),IF($N11=Lists!$K$3,IF($L11&lt;1,((($T11*(1-$F11)+$S11*(1-$G11))/$L11)*((1+Inputs!$D$7)^AG$2)),((INT(AG$2/$L11)-INT((AG$2-1)/$L11))*($T11*(1-$F11)+$S11*(1-$G11))*((1+Inputs!$D$7)^AG$2))),((_xlfn.WEIBULL.DIST(AG$2,$M11,$L11,FALSE)*($T11*(1-$F11)+$S11*(1-$G11))*((1+Inputs!$D$7)^AG$2))))))</f>
        <v>0.57099345578742333</v>
      </c>
      <c r="AH11" s="88">
        <f>$E11*IF(AH$2&gt;Inputs!$D$5,0,IF(AH$2&gt;VLOOKUP($H11,Lists!$P$3:$Q$7,2),IF($N11=Lists!$K$3,IF($L11&lt;1,(($U11/$L11)*((1+Inputs!$D$7)^AH$2)),((INT(AH$2/$L11)-INT((AH$2-1)/$L11))*$U11*((1+Inputs!$D$7)^AH$2))),(_xlfn.WEIBULL.DIST(AH$2,$M11,$L11,FALSE)*$U11*((1+Inputs!$D$7)^AH$2))),IF($N11=Lists!$K$3,IF($L11&lt;1,((($T11*(1-$F11)+$S11*(1-$G11))/$L11)*((1+Inputs!$D$7)^AH$2)),((INT(AH$2/$L11)-INT((AH$2-1)/$L11))*($T11*(1-$F11)+$S11*(1-$G11))*((1+Inputs!$D$7)^AH$2))),((_xlfn.WEIBULL.DIST(AH$2,$M11,$L11,FALSE)*($T11*(1-$F11)+$S11*(1-$G11))*((1+Inputs!$D$7)^AH$2))))))</f>
        <v>0.75251968907753286</v>
      </c>
      <c r="AI11" s="88">
        <f>$E11*IF(AI$2&gt;Inputs!$D$5,0,IF(AI$2&gt;VLOOKUP($H11,Lists!$P$3:$Q$7,2),IF($N11=Lists!$K$3,IF($L11&lt;1,(($U11/$L11)*((1+Inputs!$D$7)^AI$2)),((INT(AI$2/$L11)-INT((AI$2-1)/$L11))*$U11*((1+Inputs!$D$7)^AI$2))),(_xlfn.WEIBULL.DIST(AI$2,$M11,$L11,FALSE)*$U11*((1+Inputs!$D$7)^AI$2))),IF($N11=Lists!$K$3,IF($L11&lt;1,((($T11*(1-$F11)+$S11*(1-$G11))/$L11)*((1+Inputs!$D$7)^AI$2)),((INT(AI$2/$L11)-INT((AI$2-1)/$L11))*($T11*(1-$F11)+$S11*(1-$G11))*((1+Inputs!$D$7)^AI$2))),((_xlfn.WEIBULL.DIST(AI$2,$M11,$L11,FALSE)*($T11*(1-$F11)+$S11*(1-$G11))*((1+Inputs!$D$7)^AI$2))))))</f>
        <v>0.95805756009920162</v>
      </c>
      <c r="AJ11" s="88">
        <f>$E11*IF(AJ$2&gt;Inputs!$D$5,0,IF(AJ$2&gt;VLOOKUP($H11,Lists!$P$3:$Q$7,2),IF($N11=Lists!$K$3,IF($L11&lt;1,(($U11/$L11)*((1+Inputs!$D$7)^AJ$2)),((INT(AJ$2/$L11)-INT((AJ$2-1)/$L11))*$U11*((1+Inputs!$D$7)^AJ$2))),(_xlfn.WEIBULL.DIST(AJ$2,$M11,$L11,FALSE)*$U11*((1+Inputs!$D$7)^AJ$2))),IF($N11=Lists!$K$3,IF($L11&lt;1,((($T11*(1-$F11)+$S11*(1-$G11))/$L11)*((1+Inputs!$D$7)^AJ$2)),((INT(AJ$2/$L11)-INT((AJ$2-1)/$L11))*($T11*(1-$F11)+$S11*(1-$G11))*((1+Inputs!$D$7)^AJ$2))),((_xlfn.WEIBULL.DIST(AJ$2,$M11,$L11,FALSE)*($T11*(1-$F11)+$S11*(1-$G11))*((1+Inputs!$D$7)^AJ$2))))))</f>
        <v>1.1856987217266608</v>
      </c>
      <c r="AK11" s="88">
        <f>$E11*IF(AK$2&gt;Inputs!$D$5,0,IF(AK$2&gt;VLOOKUP($H11,Lists!$P$3:$Q$7,2),IF($N11=Lists!$K$3,IF($L11&lt;1,(($U11/$L11)*((1+Inputs!$D$7)^AK$2)),((INT(AK$2/$L11)-INT((AK$2-1)/$L11))*$U11*((1+Inputs!$D$7)^AK$2))),(_xlfn.WEIBULL.DIST(AK$2,$M11,$L11,FALSE)*$U11*((1+Inputs!$D$7)^AK$2))),IF($N11=Lists!$K$3,IF($L11&lt;1,((($T11*(1-$F11)+$S11*(1-$G11))/$L11)*((1+Inputs!$D$7)^AK$2)),((INT(AK$2/$L11)-INT((AK$2-1)/$L11))*($T11*(1-$F11)+$S11*(1-$G11))*((1+Inputs!$D$7)^AK$2))),((_xlfn.WEIBULL.DIST(AK$2,$M11,$L11,FALSE)*($T11*(1-$F11)+$S11*(1-$G11))*((1+Inputs!$D$7)^AK$2))))))</f>
        <v>1.432714972357868</v>
      </c>
      <c r="AL11" s="88">
        <f>$E11*IF(AL$2&gt;Inputs!$D$5,0,IF(AL$2&gt;VLOOKUP($H11,Lists!$P$3:$Q$7,2),IF($N11=Lists!$K$3,IF($L11&lt;1,(($U11/$L11)*((1+Inputs!$D$7)^AL$2)),((INT(AL$2/$L11)-INT((AL$2-1)/$L11))*$U11*((1+Inputs!$D$7)^AL$2))),(_xlfn.WEIBULL.DIST(AL$2,$M11,$L11,FALSE)*$U11*((1+Inputs!$D$7)^AL$2))),IF($N11=Lists!$K$3,IF($L11&lt;1,((($T11*(1-$F11)+$S11*(1-$G11))/$L11)*((1+Inputs!$D$7)^AL$2)),((INT(AL$2/$L11)-INT((AL$2-1)/$L11))*($T11*(1-$F11)+$S11*(1-$G11))*((1+Inputs!$D$7)^AL$2))),((_xlfn.WEIBULL.DIST(AL$2,$M11,$L11,FALSE)*($T11*(1-$F11)+$S11*(1-$G11))*((1+Inputs!$D$7)^AL$2))))))</f>
        <v>1.6955185234440717</v>
      </c>
      <c r="AM11" s="88">
        <f>$E11*IF(AM$2&gt;Inputs!$D$5,0,IF(AM$2&gt;VLOOKUP($H11,Lists!$P$3:$Q$7,2),IF($N11=Lists!$K$3,IF($L11&lt;1,(($U11/$L11)*((1+Inputs!$D$7)^AM$2)),((INT(AM$2/$L11)-INT((AM$2-1)/$L11))*$U11*((1+Inputs!$D$7)^AM$2))),(_xlfn.WEIBULL.DIST(AM$2,$M11,$L11,FALSE)*$U11*((1+Inputs!$D$7)^AM$2))),IF($N11=Lists!$K$3,IF($L11&lt;1,((($T11*(1-$F11)+$S11*(1-$G11))/$L11)*((1+Inputs!$D$7)^AM$2)),((INT(AM$2/$L11)-INT((AM$2-1)/$L11))*($T11*(1-$F11)+$S11*(1-$G11))*((1+Inputs!$D$7)^AM$2))),((_xlfn.WEIBULL.DIST(AM$2,$M11,$L11,FALSE)*($T11*(1-$F11)+$S11*(1-$G11))*((1+Inputs!$D$7)^AM$2))))))</f>
        <v>1.9696594311775251</v>
      </c>
      <c r="AN11" s="88">
        <f>$E11*IF(AN$2&gt;Inputs!$D$5,0,IF(AN$2&gt;VLOOKUP($H11,Lists!$P$3:$Q$7,2),IF($N11=Lists!$K$3,IF($L11&lt;1,(($U11/$L11)*((1+Inputs!$D$7)^AN$2)),((INT(AN$2/$L11)-INT((AN$2-1)/$L11))*$U11*((1+Inputs!$D$7)^AN$2))),(_xlfn.WEIBULL.DIST(AN$2,$M11,$L11,FALSE)*$U11*((1+Inputs!$D$7)^AN$2))),IF($N11=Lists!$K$3,IF($L11&lt;1,((($T11*(1-$F11)+$S11*(1-$G11))/$L11)*((1+Inputs!$D$7)^AN$2)),((INT(AN$2/$L11)-INT((AN$2-1)/$L11))*($T11*(1-$F11)+$S11*(1-$G11))*((1+Inputs!$D$7)^AN$2))),((_xlfn.WEIBULL.DIST(AN$2,$M11,$L11,FALSE)*($T11*(1-$F11)+$S11*(1-$G11))*((1+Inputs!$D$7)^AN$2))))))</f>
        <v>2.2498672665541837</v>
      </c>
      <c r="AO11" s="88">
        <f>$E11*IF(AO$2&gt;Inputs!$D$5,0,IF(AO$2&gt;VLOOKUP($H11,Lists!$P$3:$Q$7,2),IF($N11=Lists!$K$3,IF($L11&lt;1,(($U11/$L11)*((1+Inputs!$D$7)^AO$2)),((INT(AO$2/$L11)-INT((AO$2-1)/$L11))*$U11*((1+Inputs!$D$7)^AO$2))),(_xlfn.WEIBULL.DIST(AO$2,$M11,$L11,FALSE)*$U11*((1+Inputs!$D$7)^AO$2))),IF($N11=Lists!$K$3,IF($L11&lt;1,((($T11*(1-$F11)+$S11*(1-$G11))/$L11)*((1+Inputs!$D$7)^AO$2)),((INT(AO$2/$L11)-INT((AO$2-1)/$L11))*($T11*(1-$F11)+$S11*(1-$G11))*((1+Inputs!$D$7)^AO$2))),((_xlfn.WEIBULL.DIST(AO$2,$M11,$L11,FALSE)*($T11*(1-$F11)+$S11*(1-$G11))*((1+Inputs!$D$7)^AO$2))))))</f>
        <v>2.5301424160998049</v>
      </c>
      <c r="AP11" s="88">
        <f>$E11*IF(AP$2&gt;Inputs!$D$5,0,IF(AP$2&gt;VLOOKUP($H11,Lists!$P$3:$Q$7,2),IF($N11=Lists!$K$3,IF($L11&lt;1,(($U11/$L11)*((1+Inputs!$D$7)^AP$2)),((INT(AP$2/$L11)-INT((AP$2-1)/$L11))*$U11*((1+Inputs!$D$7)^AP$2))),(_xlfn.WEIBULL.DIST(AP$2,$M11,$L11,FALSE)*$U11*((1+Inputs!$D$7)^AP$2))),IF($N11=Lists!$K$3,IF($L11&lt;1,((($T11*(1-$F11)+$S11*(1-$G11))/$L11)*((1+Inputs!$D$7)^AP$2)),((INT(AP$2/$L11)-INT((AP$2-1)/$L11))*($T11*(1-$F11)+$S11*(1-$G11))*((1+Inputs!$D$7)^AP$2))),((_xlfn.WEIBULL.DIST(AP$2,$M11,$L11,FALSE)*($T11*(1-$F11)+$S11*(1-$G11))*((1+Inputs!$D$7)^AP$2))))))</f>
        <v>2.8038998779650526</v>
      </c>
      <c r="AQ11" s="88">
        <f>$E11*IF(AQ$2&gt;Inputs!$D$5,0,IF(AQ$2&gt;VLOOKUP($H11,Lists!$P$3:$Q$7,2),IF($N11=Lists!$K$3,IF($L11&lt;1,(($U11/$L11)*((1+Inputs!$D$7)^AQ$2)),((INT(AQ$2/$L11)-INT((AQ$2-1)/$L11))*$U11*((1+Inputs!$D$7)^AQ$2))),(_xlfn.WEIBULL.DIST(AQ$2,$M11,$L11,FALSE)*$U11*((1+Inputs!$D$7)^AQ$2))),IF($N11=Lists!$K$3,IF($L11&lt;1,((($T11*(1-$F11)+$S11*(1-$G11))/$L11)*((1+Inputs!$D$7)^AQ$2)),((INT(AQ$2/$L11)-INT((AQ$2-1)/$L11))*($T11*(1-$F11)+$S11*(1-$G11))*((1+Inputs!$D$7)^AQ$2))),((_xlfn.WEIBULL.DIST(AQ$2,$M11,$L11,FALSE)*($T11*(1-$F11)+$S11*(1-$G11))*((1+Inputs!$D$7)^AQ$2))))))</f>
        <v>3.0641650949912824</v>
      </c>
      <c r="AR11" s="88">
        <f>$E11*IF(AR$2&gt;Inputs!$D$5,0,IF(AR$2&gt;VLOOKUP($H11,Lists!$P$3:$Q$7,2),IF($N11=Lists!$K$3,IF($L11&lt;1,(($U11/$L11)*((1+Inputs!$D$7)^AR$2)),((INT(AR$2/$L11)-INT((AR$2-1)/$L11))*$U11*((1+Inputs!$D$7)^AR$2))),(_xlfn.WEIBULL.DIST(AR$2,$M11,$L11,FALSE)*$U11*((1+Inputs!$D$7)^AR$2))),IF($N11=Lists!$K$3,IF($L11&lt;1,((($T11*(1-$F11)+$S11*(1-$G11))/$L11)*((1+Inputs!$D$7)^AR$2)),((INT(AR$2/$L11)-INT((AR$2-1)/$L11))*($T11*(1-$F11)+$S11*(1-$G11))*((1+Inputs!$D$7)^AR$2))),((_xlfn.WEIBULL.DIST(AR$2,$M11,$L11,FALSE)*($T11*(1-$F11)+$S11*(1-$G11))*((1+Inputs!$D$7)^AR$2))))))</f>
        <v>3.3038173993143753</v>
      </c>
      <c r="AS11" s="88">
        <f>$E11*IF(AS$2&gt;Inputs!$D$5,0,IF(AS$2&gt;VLOOKUP($H11,Lists!$P$3:$Q$7,2),IF($N11=Lists!$K$3,IF($L11&lt;1,(($U11/$L11)*((1+Inputs!$D$7)^AS$2)),((INT(AS$2/$L11)-INT((AS$2-1)/$L11))*$U11*((1+Inputs!$D$7)^AS$2))),(_xlfn.WEIBULL.DIST(AS$2,$M11,$L11,FALSE)*$U11*((1+Inputs!$D$7)^AS$2))),IF($N11=Lists!$K$3,IF($L11&lt;1,((($T11*(1-$F11)+$S11*(1-$G11))/$L11)*((1+Inputs!$D$7)^AS$2)),((INT(AS$2/$L11)-INT((AS$2-1)/$L11))*($T11*(1-$F11)+$S11*(1-$G11))*((1+Inputs!$D$7)^AS$2))),((_xlfn.WEIBULL.DIST(AS$2,$M11,$L11,FALSE)*($T11*(1-$F11)+$S11*(1-$G11))*((1+Inputs!$D$7)^AS$2))))))</f>
        <v>3.515872292739628</v>
      </c>
      <c r="AT11" s="88">
        <f>$E11*IF(AT$2&gt;Inputs!$D$5,0,IF(AT$2&gt;VLOOKUP($H11,Lists!$P$3:$Q$7,2),IF($N11=Lists!$K$3,IF($L11&lt;1,(($U11/$L11)*((1+Inputs!$D$7)^AT$2)),((INT(AT$2/$L11)-INT((AT$2-1)/$L11))*$U11*((1+Inputs!$D$7)^AT$2))),(_xlfn.WEIBULL.DIST(AT$2,$M11,$L11,FALSE)*$U11*((1+Inputs!$D$7)^AT$2))),IF($N11=Lists!$K$3,IF($L11&lt;1,((($T11*(1-$F11)+$S11*(1-$G11))/$L11)*((1+Inputs!$D$7)^AT$2)),((INT(AT$2/$L11)-INT((AT$2-1)/$L11))*($T11*(1-$F11)+$S11*(1-$G11))*((1+Inputs!$D$7)^AT$2))),((_xlfn.WEIBULL.DIST(AT$2,$M11,$L11,FALSE)*($T11*(1-$F11)+$S11*(1-$G11))*((1+Inputs!$D$7)^AT$2))))))</f>
        <v>3.6937894173833543</v>
      </c>
      <c r="AU11" s="88">
        <f>$E11*IF(AU$2&gt;Inputs!$D$5,0,IF(AU$2&gt;VLOOKUP($H11,Lists!$P$3:$Q$7,2),IF($N11=Lists!$K$3,IF($L11&lt;1,(($U11/$L11)*((1+Inputs!$D$7)^AU$2)),((INT(AU$2/$L11)-INT((AU$2-1)/$L11))*$U11*((1+Inputs!$D$7)^AU$2))),(_xlfn.WEIBULL.DIST(AU$2,$M11,$L11,FALSE)*$U11*((1+Inputs!$D$7)^AU$2))),IF($N11=Lists!$K$3,IF($L11&lt;1,((($T11*(1-$F11)+$S11*(1-$G11))/$L11)*((1+Inputs!$D$7)^AU$2)),((INT(AU$2/$L11)-INT((AU$2-1)/$L11))*($T11*(1-$F11)+$S11*(1-$G11))*((1+Inputs!$D$7)^AU$2))),((_xlfn.WEIBULL.DIST(AU$2,$M11,$L11,FALSE)*($T11*(1-$F11)+$S11*(1-$G11))*((1+Inputs!$D$7)^AU$2))))))</f>
        <v>3.8317891270662061</v>
      </c>
      <c r="AV11" s="88">
        <f>$E11*IF(AV$2&gt;Inputs!$D$5,0,IF(AV$2&gt;VLOOKUP($H11,Lists!$P$3:$Q$7,2),IF($N11=Lists!$K$3,IF($L11&lt;1,(($U11/$L11)*((1+Inputs!$D$7)^AV$2)),((INT(AV$2/$L11)-INT((AV$2-1)/$L11))*$U11*((1+Inputs!$D$7)^AV$2))),(_xlfn.WEIBULL.DIST(AV$2,$M11,$L11,FALSE)*$U11*((1+Inputs!$D$7)^AV$2))),IF($N11=Lists!$K$3,IF($L11&lt;1,((($T11*(1-$F11)+$S11*(1-$G11))/$L11)*((1+Inputs!$D$7)^AV$2)),((INT(AV$2/$L11)-INT((AV$2-1)/$L11))*($T11*(1-$F11)+$S11*(1-$G11))*((1+Inputs!$D$7)^AV$2))),((_xlfn.WEIBULL.DIST(AV$2,$M11,$L11,FALSE)*($T11*(1-$F11)+$S11*(1-$G11))*((1+Inputs!$D$7)^AV$2))))))</f>
        <v>3.9251575387465558</v>
      </c>
      <c r="AW11" s="88">
        <f>$E11*IF(AW$2&gt;Inputs!$D$5,0,IF(AW$2&gt;VLOOKUP($H11,Lists!$P$3:$Q$7,2),IF($N11=Lists!$K$3,IF($L11&lt;1,(($U11/$L11)*((1+Inputs!$D$7)^AW$2)),((INT(AW$2/$L11)-INT((AW$2-1)/$L11))*$U11*((1+Inputs!$D$7)^AW$2))),(_xlfn.WEIBULL.DIST(AW$2,$M11,$L11,FALSE)*$U11*((1+Inputs!$D$7)^AW$2))),IF($N11=Lists!$K$3,IF($L11&lt;1,((($T11*(1-$F11)+$S11*(1-$G11))/$L11)*((1+Inputs!$D$7)^AW$2)),((INT(AW$2/$L11)-INT((AW$2-1)/$L11))*($T11*(1-$F11)+$S11*(1-$G11))*((1+Inputs!$D$7)^AW$2))),((_xlfn.WEIBULL.DIST(AW$2,$M11,$L11,FALSE)*($T11*(1-$F11)+$S11*(1-$G11))*((1+Inputs!$D$7)^AW$2))))))</f>
        <v>3.9705182991788615</v>
      </c>
      <c r="AX11" s="88">
        <f>$E11*IF(AX$2&gt;Inputs!$D$5,0,IF(AX$2&gt;VLOOKUP($H11,Lists!$P$3:$Q$7,2),IF($N11=Lists!$K$3,IF($L11&lt;1,(($U11/$L11)*((1+Inputs!$D$7)^AX$2)),((INT(AX$2/$L11)-INT((AX$2-1)/$L11))*$U11*((1+Inputs!$D$7)^AX$2))),(_xlfn.WEIBULL.DIST(AX$2,$M11,$L11,FALSE)*$U11*((1+Inputs!$D$7)^AX$2))),IF($N11=Lists!$K$3,IF($L11&lt;1,((($T11*(1-$F11)+$S11*(1-$G11))/$L11)*((1+Inputs!$D$7)^AX$2)),((INT(AX$2/$L11)-INT((AX$2-1)/$L11))*($T11*(1-$F11)+$S11*(1-$G11))*((1+Inputs!$D$7)^AX$2))),((_xlfn.WEIBULL.DIST(AX$2,$M11,$L11,FALSE)*($T11*(1-$F11)+$S11*(1-$G11))*((1+Inputs!$D$7)^AX$2))))))</f>
        <v>3.9660494411113301</v>
      </c>
      <c r="AY11" s="88">
        <f>$E11*IF(AY$2&gt;Inputs!$D$5,0,IF(AY$2&gt;VLOOKUP($H11,Lists!$P$3:$Q$7,2),IF($N11=Lists!$K$3,IF($L11&lt;1,(($U11/$L11)*((1+Inputs!$D$7)^AY$2)),((INT(AY$2/$L11)-INT((AY$2-1)/$L11))*$U11*((1+Inputs!$D$7)^AY$2))),(_xlfn.WEIBULL.DIST(AY$2,$M11,$L11,FALSE)*$U11*((1+Inputs!$D$7)^AY$2))),IF($N11=Lists!$K$3,IF($L11&lt;1,((($T11*(1-$F11)+$S11*(1-$G11))/$L11)*((1+Inputs!$D$7)^AY$2)),((INT(AY$2/$L11)-INT((AY$2-1)/$L11))*($T11*(1-$F11)+$S11*(1-$G11))*((1+Inputs!$D$7)^AY$2))),((_xlfn.WEIBULL.DIST(AY$2,$M11,$L11,FALSE)*($T11*(1-$F11)+$S11*(1-$G11))*((1+Inputs!$D$7)^AY$2))))))</f>
        <v>3.9116258758730287</v>
      </c>
      <c r="AZ11" s="88">
        <f>$E11*IF(AZ$2&gt;Inputs!$D$5,0,IF(AZ$2&gt;VLOOKUP($H11,Lists!$P$3:$Q$7,2),IF($N11=Lists!$K$3,IF($L11&lt;1,(($U11/$L11)*((1+Inputs!$D$7)^AZ$2)),((INT(AZ$2/$L11)-INT((AZ$2-1)/$L11))*$U11*((1+Inputs!$D$7)^AZ$2))),(_xlfn.WEIBULL.DIST(AZ$2,$M11,$L11,FALSE)*$U11*((1+Inputs!$D$7)^AZ$2))),IF($N11=Lists!$K$3,IF($L11&lt;1,((($T11*(1-$F11)+$S11*(1-$G11))/$L11)*((1+Inputs!$D$7)^AZ$2)),((INT(AZ$2/$L11)-INT((AZ$2-1)/$L11))*($T11*(1-$F11)+$S11*(1-$G11))*((1+Inputs!$D$7)^AZ$2))),((_xlfn.WEIBULL.DIST(AZ$2,$M11,$L11,FALSE)*($T11*(1-$F11)+$S11*(1-$G11))*((1+Inputs!$D$7)^AZ$2))))))</f>
        <v>0</v>
      </c>
      <c r="BA11" s="88">
        <f>$E11*IF(BA$2&gt;Inputs!$D$5,0,IF(BA$2&gt;VLOOKUP($H11,Lists!$P$3:$Q$7,2),IF($N11=Lists!$K$3,IF($L11&lt;1,(($U11/$L11)*((1+Inputs!$D$7)^BA$2)),((INT(BA$2/$L11)-INT((BA$2-1)/$L11))*$U11*((1+Inputs!$D$7)^BA$2))),(_xlfn.WEIBULL.DIST(BA$2,$M11,$L11,FALSE)*$U11*((1+Inputs!$D$7)^BA$2))),IF($N11=Lists!$K$3,IF($L11&lt;1,((($T11*(1-$F11)+$S11*(1-$G11))/$L11)*((1+Inputs!$D$7)^BA$2)),((INT(BA$2/$L11)-INT((BA$2-1)/$L11))*($T11*(1-$F11)+$S11*(1-$G11))*((1+Inputs!$D$7)^BA$2))),((_xlfn.WEIBULL.DIST(BA$2,$M11,$L11,FALSE)*($T11*(1-$F11)+$S11*(1-$G11))*((1+Inputs!$D$7)^BA$2))))))</f>
        <v>0</v>
      </c>
      <c r="BB11" s="88">
        <f>$E11*IF(BB$2&gt;Inputs!$D$5,0,IF(BB$2&gt;VLOOKUP($H11,Lists!$P$3:$Q$7,2),IF($N11=Lists!$K$3,IF($L11&lt;1,(($U11/$L11)*((1+Inputs!$D$7)^BB$2)),((INT(BB$2/$L11)-INT((BB$2-1)/$L11))*$U11*((1+Inputs!$D$7)^BB$2))),(_xlfn.WEIBULL.DIST(BB$2,$M11,$L11,FALSE)*$U11*((1+Inputs!$D$7)^BB$2))),IF($N11=Lists!$K$3,IF($L11&lt;1,((($T11*(1-$F11)+$S11*(1-$G11))/$L11)*((1+Inputs!$D$7)^BB$2)),((INT(BB$2/$L11)-INT((BB$2-1)/$L11))*($T11*(1-$F11)+$S11*(1-$G11))*((1+Inputs!$D$7)^BB$2))),((_xlfn.WEIBULL.DIST(BB$2,$M11,$L11,FALSE)*($T11*(1-$F11)+$S11*(1-$G11))*((1+Inputs!$D$7)^BB$2))))))</f>
        <v>0</v>
      </c>
      <c r="BC11" s="88">
        <f>$E11*IF(BC$2&gt;Inputs!$D$5,0,IF(BC$2&gt;VLOOKUP($H11,Lists!$P$3:$Q$7,2),IF($N11=Lists!$K$3,IF($L11&lt;1,(($U11/$L11)*((1+Inputs!$D$7)^BC$2)),((INT(BC$2/$L11)-INT((BC$2-1)/$L11))*$U11*((1+Inputs!$D$7)^BC$2))),(_xlfn.WEIBULL.DIST(BC$2,$M11,$L11,FALSE)*$U11*((1+Inputs!$D$7)^BC$2))),IF($N11=Lists!$K$3,IF($L11&lt;1,((($T11*(1-$F11)+$S11*(1-$G11))/$L11)*((1+Inputs!$D$7)^BC$2)),((INT(BC$2/$L11)-INT((BC$2-1)/$L11))*($T11*(1-$F11)+$S11*(1-$G11))*((1+Inputs!$D$7)^BC$2))),((_xlfn.WEIBULL.DIST(BC$2,$M11,$L11,FALSE)*($T11*(1-$F11)+$S11*(1-$G11))*((1+Inputs!$D$7)^BC$2))))))</f>
        <v>0</v>
      </c>
      <c r="BD11" s="88">
        <f>$E11*IF(BD$2&gt;Inputs!$D$5,0,IF(BD$2&gt;VLOOKUP($H11,Lists!$P$3:$Q$7,2),IF($N11=Lists!$K$3,IF($L11&lt;1,(($U11/$L11)*((1+Inputs!$D$7)^BD$2)),((INT(BD$2/$L11)-INT((BD$2-1)/$L11))*$U11*((1+Inputs!$D$7)^BD$2))),(_xlfn.WEIBULL.DIST(BD$2,$M11,$L11,FALSE)*$U11*((1+Inputs!$D$7)^BD$2))),IF($N11=Lists!$K$3,IF($L11&lt;1,((($T11*(1-$F11)+$S11*(1-$G11))/$L11)*((1+Inputs!$D$7)^BD$2)),((INT(BD$2/$L11)-INT((BD$2-1)/$L11))*($T11*(1-$F11)+$S11*(1-$G11))*((1+Inputs!$D$7)^BD$2))),((_xlfn.WEIBULL.DIST(BD$2,$M11,$L11,FALSE)*($T11*(1-$F11)+$S11*(1-$G11))*((1+Inputs!$D$7)^BD$2))))))</f>
        <v>0</v>
      </c>
      <c r="BE11" s="88">
        <f>$E11*IF(BE$2&gt;Inputs!$D$5,0,IF(BE$2&gt;VLOOKUP($H11,Lists!$P$3:$Q$7,2),IF($N11=Lists!$K$3,IF($L11&lt;1,(($U11/$L11)*((1+Inputs!$D$7)^BE$2)),((INT(BE$2/$L11)-INT((BE$2-1)/$L11))*$U11*((1+Inputs!$D$7)^BE$2))),(_xlfn.WEIBULL.DIST(BE$2,$M11,$L11,FALSE)*$U11*((1+Inputs!$D$7)^BE$2))),IF($N11=Lists!$K$3,IF($L11&lt;1,((($T11*(1-$F11)+$S11*(1-$G11))/$L11)*((1+Inputs!$D$7)^BE$2)),((INT(BE$2/$L11)-INT((BE$2-1)/$L11))*($T11*(1-$F11)+$S11*(1-$G11))*((1+Inputs!$D$7)^BE$2))),((_xlfn.WEIBULL.DIST(BE$2,$M11,$L11,FALSE)*($T11*(1-$F11)+$S11*(1-$G11))*((1+Inputs!$D$7)^BE$2))))))</f>
        <v>0</v>
      </c>
      <c r="BF11" s="88">
        <f>$E11*IF(BF$2&gt;Inputs!$D$5,0,IF(BF$2&gt;VLOOKUP($H11,Lists!$P$3:$Q$7,2),IF($N11=Lists!$K$3,IF($L11&lt;1,(($U11/$L11)*((1+Inputs!$D$7)^BF$2)),((INT(BF$2/$L11)-INT((BF$2-1)/$L11))*$U11*((1+Inputs!$D$7)^BF$2))),(_xlfn.WEIBULL.DIST(BF$2,$M11,$L11,FALSE)*$U11*((1+Inputs!$D$7)^BF$2))),IF($N11=Lists!$K$3,IF($L11&lt;1,((($T11*(1-$F11)+$S11*(1-$G11))/$L11)*((1+Inputs!$D$7)^BF$2)),((INT(BF$2/$L11)-INT((BF$2-1)/$L11))*($T11*(1-$F11)+$S11*(1-$G11))*((1+Inputs!$D$7)^BF$2))),((_xlfn.WEIBULL.DIST(BF$2,$M11,$L11,FALSE)*($T11*(1-$F11)+$S11*(1-$G11))*((1+Inputs!$D$7)^BF$2))))))</f>
        <v>0</v>
      </c>
      <c r="BG11" s="88">
        <f>$E11*IF(BG$2&gt;Inputs!$D$5,0,IF(BG$2&gt;VLOOKUP($H11,Lists!$P$3:$Q$7,2),IF($N11=Lists!$K$3,IF($L11&lt;1,(($U11/$L11)*((1+Inputs!$D$7)^BG$2)),((INT(BG$2/$L11)-INT((BG$2-1)/$L11))*$U11*((1+Inputs!$D$7)^BG$2))),(_xlfn.WEIBULL.DIST(BG$2,$M11,$L11,FALSE)*$U11*((1+Inputs!$D$7)^BG$2))),IF($N11=Lists!$K$3,IF($L11&lt;1,((($T11*(1-$F11)+$S11*(1-$G11))/$L11)*((1+Inputs!$D$7)^BG$2)),((INT(BG$2/$L11)-INT((BG$2-1)/$L11))*($T11*(1-$F11)+$S11*(1-$G11))*((1+Inputs!$D$7)^BG$2))),((_xlfn.WEIBULL.DIST(BG$2,$M11,$L11,FALSE)*($T11*(1-$F11)+$S11*(1-$G11))*((1+Inputs!$D$7)^BG$2))))))</f>
        <v>0</v>
      </c>
      <c r="BH11" s="88">
        <f>$E11*IF(BH$2&gt;Inputs!$D$5,0,IF(BH$2&gt;VLOOKUP($H11,Lists!$P$3:$Q$7,2),IF($N11=Lists!$K$3,IF($L11&lt;1,(($U11/$L11)*((1+Inputs!$D$7)^BH$2)),((INT(BH$2/$L11)-INT((BH$2-1)/$L11))*$U11*((1+Inputs!$D$7)^BH$2))),(_xlfn.WEIBULL.DIST(BH$2,$M11,$L11,FALSE)*$U11*((1+Inputs!$D$7)^BH$2))),IF($N11=Lists!$K$3,IF($L11&lt;1,((($T11*(1-$F11)+$S11*(1-$G11))/$L11)*((1+Inputs!$D$7)^BH$2)),((INT(BH$2/$L11)-INT((BH$2-1)/$L11))*($T11*(1-$F11)+$S11*(1-$G11))*((1+Inputs!$D$7)^BH$2))),((_xlfn.WEIBULL.DIST(BH$2,$M11,$L11,FALSE)*($T11*(1-$F11)+$S11*(1-$G11))*((1+Inputs!$D$7)^BH$2))))))</f>
        <v>0</v>
      </c>
      <c r="BI11" s="88">
        <f>$E11*IF(BI$2&gt;Inputs!$D$5,0,IF(BI$2&gt;VLOOKUP($H11,Lists!$P$3:$Q$7,2),IF($N11=Lists!$K$3,IF($L11&lt;1,(($U11/$L11)*((1+Inputs!$D$7)^BI$2)),((INT(BI$2/$L11)-INT((BI$2-1)/$L11))*$U11*((1+Inputs!$D$7)^BI$2))),(_xlfn.WEIBULL.DIST(BI$2,$M11,$L11,FALSE)*$U11*((1+Inputs!$D$7)^BI$2))),IF($N11=Lists!$K$3,IF($L11&lt;1,((($T11*(1-$F11)+$S11*(1-$G11))/$L11)*((1+Inputs!$D$7)^BI$2)),((INT(BI$2/$L11)-INT((BI$2-1)/$L11))*($T11*(1-$F11)+$S11*(1-$G11))*((1+Inputs!$D$7)^BI$2))),((_xlfn.WEIBULL.DIST(BI$2,$M11,$L11,FALSE)*($T11*(1-$F11)+$S11*(1-$G11))*((1+Inputs!$D$7)^BI$2))))))</f>
        <v>0</v>
      </c>
      <c r="BJ11" s="88">
        <f>$E11*IF(BJ$2&gt;Inputs!$D$5,0,IF(BJ$2&gt;VLOOKUP($H11,Lists!$P$3:$Q$7,2),IF($N11=Lists!$K$3,IF($L11&lt;1,(($U11/$L11)*((1+Inputs!$D$7)^BJ$2)),((INT(BJ$2/$L11)-INT((BJ$2-1)/$L11))*$U11*((1+Inputs!$D$7)^BJ$2))),(_xlfn.WEIBULL.DIST(BJ$2,$M11,$L11,FALSE)*$U11*((1+Inputs!$D$7)^BJ$2))),IF($N11=Lists!$K$3,IF($L11&lt;1,((($T11*(1-$F11)+$S11*(1-$G11))/$L11)*((1+Inputs!$D$7)^BJ$2)),((INT(BJ$2/$L11)-INT((BJ$2-1)/$L11))*($T11*(1-$F11)+$S11*(1-$G11))*((1+Inputs!$D$7)^BJ$2))),((_xlfn.WEIBULL.DIST(BJ$2,$M11,$L11,FALSE)*($T11*(1-$F11)+$S11*(1-$G11))*((1+Inputs!$D$7)^BJ$2))))))</f>
        <v>0</v>
      </c>
      <c r="BK11" s="88">
        <f>$E11*IF(BK$2&gt;Inputs!$D$5,0,IF(BK$2&gt;VLOOKUP($H11,Lists!$P$3:$Q$7,2),IF($N11=Lists!$K$3,IF($L11&lt;1,(($U11/$L11)*((1+Inputs!$D$7)^BK$2)),((INT(BK$2/$L11)-INT((BK$2-1)/$L11))*$U11*((1+Inputs!$D$7)^BK$2))),(_xlfn.WEIBULL.DIST(BK$2,$M11,$L11,FALSE)*$U11*((1+Inputs!$D$7)^BK$2))),IF($N11=Lists!$K$3,IF($L11&lt;1,((($T11*(1-$F11)+$S11*(1-$G11))/$L11)*((1+Inputs!$D$7)^BK$2)),((INT(BK$2/$L11)-INT((BK$2-1)/$L11))*($T11*(1-$F11)+$S11*(1-$G11))*((1+Inputs!$D$7)^BK$2))),((_xlfn.WEIBULL.DIST(BK$2,$M11,$L11,FALSE)*($T11*(1-$F11)+$S11*(1-$G11))*((1+Inputs!$D$7)^BK$2))))))</f>
        <v>0</v>
      </c>
      <c r="BL11" s="88">
        <f>$E11*IF(BL$2&gt;Inputs!$D$5,0,IF(BL$2&gt;VLOOKUP($H11,Lists!$P$3:$Q$7,2),IF($N11=Lists!$K$3,IF($L11&lt;1,(($U11/$L11)*((1+Inputs!$D$7)^BL$2)),((INT(BL$2/$L11)-INT((BL$2-1)/$L11))*$U11*((1+Inputs!$D$7)^BL$2))),(_xlfn.WEIBULL.DIST(BL$2,$M11,$L11,FALSE)*$U11*((1+Inputs!$D$7)^BL$2))),IF($N11=Lists!$K$3,IF($L11&lt;1,((($T11*(1-$F11)+$S11*(1-$G11))/$L11)*((1+Inputs!$D$7)^BL$2)),((INT(BL$2/$L11)-INT((BL$2-1)/$L11))*($T11*(1-$F11)+$S11*(1-$G11))*((1+Inputs!$D$7)^BL$2))),((_xlfn.WEIBULL.DIST(BL$2,$M11,$L11,FALSE)*($T11*(1-$F11)+$S11*(1-$G11))*((1+Inputs!$D$7)^BL$2))))))</f>
        <v>0</v>
      </c>
      <c r="BM11" s="88">
        <f>$E11*IF(BM$2&gt;Inputs!$D$5,0,IF(BM$2&gt;VLOOKUP($H11,Lists!$P$3:$Q$7,2),IF($N11=Lists!$K$3,IF($L11&lt;1,(($U11/$L11)*((1+Inputs!$D$7)^BM$2)),((INT(BM$2/$L11)-INT((BM$2-1)/$L11))*$U11*((1+Inputs!$D$7)^BM$2))),(_xlfn.WEIBULL.DIST(BM$2,$M11,$L11,FALSE)*$U11*((1+Inputs!$D$7)^BM$2))),IF($N11=Lists!$K$3,IF($L11&lt;1,((($T11*(1-$F11)+$S11*(1-$G11))/$L11)*((1+Inputs!$D$7)^BM$2)),((INT(BM$2/$L11)-INT((BM$2-1)/$L11))*($T11*(1-$F11)+$S11*(1-$G11))*((1+Inputs!$D$7)^BM$2))),((_xlfn.WEIBULL.DIST(BM$2,$M11,$L11,FALSE)*($T11*(1-$F11)+$S11*(1-$G11))*((1+Inputs!$D$7)^BM$2))))))</f>
        <v>0</v>
      </c>
      <c r="BN11" s="88">
        <f>$E11*IF(BN$2&gt;Inputs!$D$5,0,IF(BN$2&gt;VLOOKUP($H11,Lists!$P$3:$Q$7,2),IF($N11=Lists!$K$3,IF($L11&lt;1,(($U11/$L11)*((1+Inputs!$D$7)^BN$2)),((INT(BN$2/$L11)-INT((BN$2-1)/$L11))*$U11*((1+Inputs!$D$7)^BN$2))),(_xlfn.WEIBULL.DIST(BN$2,$M11,$L11,FALSE)*$U11*((1+Inputs!$D$7)^BN$2))),IF($N11=Lists!$K$3,IF($L11&lt;1,((($T11*(1-$F11)+$S11*(1-$G11))/$L11)*((1+Inputs!$D$7)^BN$2)),((INT(BN$2/$L11)-INT((BN$2-1)/$L11))*($T11*(1-$F11)+$S11*(1-$G11))*((1+Inputs!$D$7)^BN$2))),((_xlfn.WEIBULL.DIST(BN$2,$M11,$L11,FALSE)*($T11*(1-$F11)+$S11*(1-$G11))*((1+Inputs!$D$7)^BN$2))))))</f>
        <v>0</v>
      </c>
      <c r="BO11" s="64">
        <f>NPV(Inputs!$D$6,BQ11:DD11)</f>
        <v>44.142541805666987</v>
      </c>
      <c r="BP11" s="67">
        <f t="shared" si="6"/>
        <v>2.0819777785693041E-5</v>
      </c>
      <c r="BQ11" s="88">
        <f>MAX(AA11,($E11*IF(BQ$2&gt;Inputs!$D$5,0,IF(BQ$2&gt;VLOOKUP($H11,Lists!$P$3:$Q$7,2),IF($N11=Lists!$K$3,IF($L11&lt;1,(($U11/$L11)*((1+Inputs!$D$7)^BQ$2)),((INT(BQ$2/$L11)-INT((BQ$2-1)/$L11))*$U11*((1+Inputs!$D$7)^BQ$2))),(Inputs!$D$8^((1-_xlfn.WEIBULL.DIST(BQ$2,$M11,$L11,FALSE))/_xlfn.WEIBULL.DIST(BQ$2,$M11,$L11,FALSE))*$U11*((1+Inputs!$D$7)^BQ$2))),IF($N11=Lists!$K$3,IF($L11&lt;1,((($T11*(1-$F11)+$S11*(1-$G11))/$L11)*((1+Inputs!$D$7)^BQ$2)),((INT(BQ$2/$L11)-INT((BQ$2-1)/$L11))*($T11*(1-$F11)+$S11*(1-$G11))*((1+Inputs!$D$7)^BQ$2))),((Inputs!$D$8^((1-_xlfn.WEIBULL.DIST(BQ$2,$M11,$L11,FALSE))/_xlfn.WEIBULL.DIST(BQ$2,$M11,$L11,FALSE))*($T11*(1-$F11)+$S11*(1-$G11))*((1+Inputs!$D$7)^BQ$2))))))))</f>
        <v>1.057644847025227E-2</v>
      </c>
      <c r="BR11" s="88">
        <f>MAX(AB11,($E11*IF(BR$2&gt;Inputs!$D$5,0,IF(BR$2&gt;VLOOKUP($H11,Lists!$P$3:$Q$7,2),IF($N11=Lists!$K$3,IF($L11&lt;1,(($U11/$L11)*((1+Inputs!$D$7)^BR$2)),((INT(BR$2/$L11)-INT((BR$2-1)/$L11))*$U11*((1+Inputs!$D$7)^BR$2))),(Inputs!$D$8^((1-_xlfn.WEIBULL.DIST(BR$2,$M11,$L11,FALSE))/_xlfn.WEIBULL.DIST(BR$2,$M11,$L11,FALSE))*$U11*((1+Inputs!$D$7)^BR$2))),IF($N11=Lists!$K$3,IF($L11&lt;1,((($T11*(1-$F11)+$S11*(1-$G11))/$L11)*((1+Inputs!$D$7)^BR$2)),((INT(BR$2/$L11)-INT((BR$2-1)/$L11))*($T11*(1-$F11)+$S11*(1-$G11))*((1+Inputs!$D$7)^BR$2))),((Inputs!$D$8^((1-_xlfn.WEIBULL.DIST(BR$2,$M11,$L11,FALSE))/_xlfn.WEIBULL.DIST(BR$2,$M11,$L11,FALSE))*($T11*(1-$F11)+$S11*(1-$G11))*((1+Inputs!$D$7)^BR$2))))))))</f>
        <v>4.3132582032791245E-2</v>
      </c>
      <c r="BS11" s="88">
        <f>MAX(AC11,($E11*IF(BS$2&gt;Inputs!$D$5,0,IF(BS$2&gt;VLOOKUP($H11,Lists!$P$3:$Q$7,2),IF($N11=Lists!$K$3,IF($L11&lt;1,(($U11/$L11)*((1+Inputs!$D$7)^BS$2)),((INT(BS$2/$L11)-INT((BS$2-1)/$L11))*$U11*((1+Inputs!$D$7)^BS$2))),(Inputs!$D$8^((1-_xlfn.WEIBULL.DIST(BS$2,$M11,$L11,FALSE))/_xlfn.WEIBULL.DIST(BS$2,$M11,$L11,FALSE))*$U11*((1+Inputs!$D$7)^BS$2))),IF($N11=Lists!$K$3,IF($L11&lt;1,((($T11*(1-$F11)+$S11*(1-$G11))/$L11)*((1+Inputs!$D$7)^BS$2)),((INT(BS$2/$L11)-INT((BS$2-1)/$L11))*($T11*(1-$F11)+$S11*(1-$G11))*((1+Inputs!$D$7)^BS$2))),((Inputs!$D$8^((1-_xlfn.WEIBULL.DIST(BS$2,$M11,$L11,FALSE))/_xlfn.WEIBULL.DIST(BS$2,$M11,$L11,FALSE))*($T11*(1-$F11)+$S11*(1-$G11))*((1+Inputs!$D$7)^BS$2))))))))</f>
        <v>9.8868977961813126E-2</v>
      </c>
      <c r="BT11" s="88">
        <f>MAX(AD11,($E11*IF(BT$2&gt;Inputs!$D$5,0,IF(BT$2&gt;VLOOKUP($H11,Lists!$P$3:$Q$7,2),IF($N11=Lists!$K$3,IF($L11&lt;1,(($U11/$L11)*((1+Inputs!$D$7)^BT$2)),((INT(BT$2/$L11)-INT((BT$2-1)/$L11))*$U11*((1+Inputs!$D$7)^BT$2))),(Inputs!$D$8^((1-_xlfn.WEIBULL.DIST(BT$2,$M11,$L11,FALSE))/_xlfn.WEIBULL.DIST(BT$2,$M11,$L11,FALSE))*$U11*((1+Inputs!$D$7)^BT$2))),IF($N11=Lists!$K$3,IF($L11&lt;1,((($T11*(1-$F11)+$S11*(1-$G11))/$L11)*((1+Inputs!$D$7)^BT$2)),((INT(BT$2/$L11)-INT((BT$2-1)/$L11))*($T11*(1-$F11)+$S11*(1-$G11))*((1+Inputs!$D$7)^BT$2))),((Inputs!$D$8^((1-_xlfn.WEIBULL.DIST(BT$2,$M11,$L11,FALSE))/_xlfn.WEIBULL.DIST(BT$2,$M11,$L11,FALSE))*($T11*(1-$F11)+$S11*(1-$G11))*((1+Inputs!$D$7)^BT$2))))))))</f>
        <v>0.17885837487561765</v>
      </c>
      <c r="BU11" s="88">
        <f>MAX(AE11,($E11*IF(BU$2&gt;Inputs!$D$5,0,IF(BU$2&gt;VLOOKUP($H11,Lists!$P$3:$Q$7,2),IF($N11=Lists!$K$3,IF($L11&lt;1,(($U11/$L11)*((1+Inputs!$D$7)^BU$2)),((INT(BU$2/$L11)-INT((BU$2-1)/$L11))*$U11*((1+Inputs!$D$7)^BU$2))),(Inputs!$D$8^((1-_xlfn.WEIBULL.DIST(BU$2,$M11,$L11,FALSE))/_xlfn.WEIBULL.DIST(BU$2,$M11,$L11,FALSE))*$U11*((1+Inputs!$D$7)^BU$2))),IF($N11=Lists!$K$3,IF($L11&lt;1,((($T11*(1-$F11)+$S11*(1-$G11))/$L11)*((1+Inputs!$D$7)^BU$2)),((INT(BU$2/$L11)-INT((BU$2-1)/$L11))*($T11*(1-$F11)+$S11*(1-$G11))*((1+Inputs!$D$7)^BU$2))),((Inputs!$D$8^((1-_xlfn.WEIBULL.DIST(BU$2,$M11,$L11,FALSE))/_xlfn.WEIBULL.DIST(BU$2,$M11,$L11,FALSE))*($T11*(1-$F11)+$S11*(1-$G11))*((1+Inputs!$D$7)^BU$2))))))))</f>
        <v>0.28394484762190475</v>
      </c>
      <c r="BV11" s="88">
        <f>MAX(AF11,($E11*IF(BV$2&gt;Inputs!$D$5,0,IF(BV$2&gt;VLOOKUP($H11,Lists!$P$3:$Q$7,2),IF($N11=Lists!$K$3,IF($L11&lt;1,(($U11/$L11)*((1+Inputs!$D$7)^BV$2)),((INT(BV$2/$L11)-INT((BV$2-1)/$L11))*$U11*((1+Inputs!$D$7)^BV$2))),(Inputs!$D$8^((1-_xlfn.WEIBULL.DIST(BV$2,$M11,$L11,FALSE))/_xlfn.WEIBULL.DIST(BV$2,$M11,$L11,FALSE))*$U11*((1+Inputs!$D$7)^BV$2))),IF($N11=Lists!$K$3,IF($L11&lt;1,((($T11*(1-$F11)+$S11*(1-$G11))/$L11)*((1+Inputs!$D$7)^BV$2)),((INT(BV$2/$L11)-INT((BV$2-1)/$L11))*($T11*(1-$F11)+$S11*(1-$G11))*((1+Inputs!$D$7)^BV$2))),((Inputs!$D$8^((1-_xlfn.WEIBULL.DIST(BV$2,$M11,$L11,FALSE))/_xlfn.WEIBULL.DIST(BV$2,$M11,$L11,FALSE))*($T11*(1-$F11)+$S11*(1-$G11))*((1+Inputs!$D$7)^BV$2))))))))</f>
        <v>0.41463630465789941</v>
      </c>
      <c r="BW11" s="88">
        <f>MAX(AG11,($E11*IF(BW$2&gt;Inputs!$D$5,0,IF(BW$2&gt;VLOOKUP($H11,Lists!$P$3:$Q$7,2),IF($N11=Lists!$K$3,IF($L11&lt;1,(($U11/$L11)*((1+Inputs!$D$7)^BW$2)),((INT(BW$2/$L11)-INT((BW$2-1)/$L11))*$U11*((1+Inputs!$D$7)^BW$2))),(Inputs!$D$8^((1-_xlfn.WEIBULL.DIST(BW$2,$M11,$L11,FALSE))/_xlfn.WEIBULL.DIST(BW$2,$M11,$L11,FALSE))*$U11*((1+Inputs!$D$7)^BW$2))),IF($N11=Lists!$K$3,IF($L11&lt;1,((($T11*(1-$F11)+$S11*(1-$G11))/$L11)*((1+Inputs!$D$7)^BW$2)),((INT(BW$2/$L11)-INT((BW$2-1)/$L11))*($T11*(1-$F11)+$S11*(1-$G11))*((1+Inputs!$D$7)^BW$2))),((Inputs!$D$8^((1-_xlfn.WEIBULL.DIST(BW$2,$M11,$L11,FALSE))/_xlfn.WEIBULL.DIST(BW$2,$M11,$L11,FALSE))*($T11*(1-$F11)+$S11*(1-$G11))*((1+Inputs!$D$7)^BW$2))))))))</f>
        <v>0.57099345578742333</v>
      </c>
      <c r="BX11" s="88">
        <f>MAX(AH11,($E11*IF(BX$2&gt;Inputs!$D$5,0,IF(BX$2&gt;VLOOKUP($H11,Lists!$P$3:$Q$7,2),IF($N11=Lists!$K$3,IF($L11&lt;1,(($U11/$L11)*((1+Inputs!$D$7)^BX$2)),((INT(BX$2/$L11)-INT((BX$2-1)/$L11))*$U11*((1+Inputs!$D$7)^BX$2))),(Inputs!$D$8^((1-_xlfn.WEIBULL.DIST(BX$2,$M11,$L11,FALSE))/_xlfn.WEIBULL.DIST(BX$2,$M11,$L11,FALSE))*$U11*((1+Inputs!$D$7)^BX$2))),IF($N11=Lists!$K$3,IF($L11&lt;1,((($T11*(1-$F11)+$S11*(1-$G11))/$L11)*((1+Inputs!$D$7)^BX$2)),((INT(BX$2/$L11)-INT((BX$2-1)/$L11))*($T11*(1-$F11)+$S11*(1-$G11))*((1+Inputs!$D$7)^BX$2))),((Inputs!$D$8^((1-_xlfn.WEIBULL.DIST(BX$2,$M11,$L11,FALSE))/_xlfn.WEIBULL.DIST(BX$2,$M11,$L11,FALSE))*($T11*(1-$F11)+$S11*(1-$G11))*((1+Inputs!$D$7)^BX$2))))))))</f>
        <v>0.75251968907753286</v>
      </c>
      <c r="BY11" s="88">
        <f>MAX(AI11,($E11*IF(BY$2&gt;Inputs!$D$5,0,IF(BY$2&gt;VLOOKUP($H11,Lists!$P$3:$Q$7,2),IF($N11=Lists!$K$3,IF($L11&lt;1,(($U11/$L11)*((1+Inputs!$D$7)^BY$2)),((INT(BY$2/$L11)-INT((BY$2-1)/$L11))*$U11*((1+Inputs!$D$7)^BY$2))),(Inputs!$D$8^((1-_xlfn.WEIBULL.DIST(BY$2,$M11,$L11,FALSE))/_xlfn.WEIBULL.DIST(BY$2,$M11,$L11,FALSE))*$U11*((1+Inputs!$D$7)^BY$2))),IF($N11=Lists!$K$3,IF($L11&lt;1,((($T11*(1-$F11)+$S11*(1-$G11))/$L11)*((1+Inputs!$D$7)^BY$2)),((INT(BY$2/$L11)-INT((BY$2-1)/$L11))*($T11*(1-$F11)+$S11*(1-$G11))*((1+Inputs!$D$7)^BY$2))),((Inputs!$D$8^((1-_xlfn.WEIBULL.DIST(BY$2,$M11,$L11,FALSE))/_xlfn.WEIBULL.DIST(BY$2,$M11,$L11,FALSE))*($T11*(1-$F11)+$S11*(1-$G11))*((1+Inputs!$D$7)^BY$2))))))))</f>
        <v>0.95805756009920162</v>
      </c>
      <c r="BZ11" s="88">
        <f>MAX(AJ11,($E11*IF(BZ$2&gt;Inputs!$D$5,0,IF(BZ$2&gt;VLOOKUP($H11,Lists!$P$3:$Q$7,2),IF($N11=Lists!$K$3,IF($L11&lt;1,(($U11/$L11)*((1+Inputs!$D$7)^BZ$2)),((INT(BZ$2/$L11)-INT((BZ$2-1)/$L11))*$U11*((1+Inputs!$D$7)^BZ$2))),(Inputs!$D$8^((1-_xlfn.WEIBULL.DIST(BZ$2,$M11,$L11,FALSE))/_xlfn.WEIBULL.DIST(BZ$2,$M11,$L11,FALSE))*$U11*((1+Inputs!$D$7)^BZ$2))),IF($N11=Lists!$K$3,IF($L11&lt;1,((($T11*(1-$F11)+$S11*(1-$G11))/$L11)*((1+Inputs!$D$7)^BZ$2)),((INT(BZ$2/$L11)-INT((BZ$2-1)/$L11))*($T11*(1-$F11)+$S11*(1-$G11))*((1+Inputs!$D$7)^BZ$2))),((Inputs!$D$8^((1-_xlfn.WEIBULL.DIST(BZ$2,$M11,$L11,FALSE))/_xlfn.WEIBULL.DIST(BZ$2,$M11,$L11,FALSE))*($T11*(1-$F11)+$S11*(1-$G11))*((1+Inputs!$D$7)^BZ$2))))))))</f>
        <v>1.1856987217266608</v>
      </c>
      <c r="CA11" s="88">
        <f>MAX(AK11,($E11*IF(CA$2&gt;Inputs!$D$5,0,IF(CA$2&gt;VLOOKUP($H11,Lists!$P$3:$Q$7,2),IF($N11=Lists!$K$3,IF($L11&lt;1,(($U11/$L11)*((1+Inputs!$D$7)^CA$2)),((INT(CA$2/$L11)-INT((CA$2-1)/$L11))*$U11*((1+Inputs!$D$7)^CA$2))),(Inputs!$D$8^((1-_xlfn.WEIBULL.DIST(CA$2,$M11,$L11,FALSE))/_xlfn.WEIBULL.DIST(CA$2,$M11,$L11,FALSE))*$U11*((1+Inputs!$D$7)^CA$2))),IF($N11=Lists!$K$3,IF($L11&lt;1,((($T11*(1-$F11)+$S11*(1-$G11))/$L11)*((1+Inputs!$D$7)^CA$2)),((INT(CA$2/$L11)-INT((CA$2-1)/$L11))*($T11*(1-$F11)+$S11*(1-$G11))*((1+Inputs!$D$7)^CA$2))),((Inputs!$D$8^((1-_xlfn.WEIBULL.DIST(CA$2,$M11,$L11,FALSE))/_xlfn.WEIBULL.DIST(CA$2,$M11,$L11,FALSE))*($T11*(1-$F11)+$S11*(1-$G11))*((1+Inputs!$D$7)^CA$2))))))))</f>
        <v>1.4654245304866467</v>
      </c>
      <c r="CB11" s="88">
        <f>MAX(AL11,($E11*IF(CB$2&gt;Inputs!$D$5,0,IF(CB$2&gt;VLOOKUP($H11,Lists!$P$3:$Q$7,2),IF($N11=Lists!$K$3,IF($L11&lt;1,(($U11/$L11)*((1+Inputs!$D$7)^CB$2)),((INT(CB$2/$L11)-INT((CB$2-1)/$L11))*$U11*((1+Inputs!$D$7)^CB$2))),(Inputs!$D$8^((1-_xlfn.WEIBULL.DIST(CB$2,$M11,$L11,FALSE))/_xlfn.WEIBULL.DIST(CB$2,$M11,$L11,FALSE))*$U11*((1+Inputs!$D$7)^CB$2))),IF($N11=Lists!$K$3,IF($L11&lt;1,((($T11*(1-$F11)+$S11*(1-$G11))/$L11)*((1+Inputs!$D$7)^CB$2)),((INT(CB$2/$L11)-INT((CB$2-1)/$L11))*($T11*(1-$F11)+$S11*(1-$G11))*((1+Inputs!$D$7)^CB$2))),((Inputs!$D$8^((1-_xlfn.WEIBULL.DIST(CB$2,$M11,$L11,FALSE))/_xlfn.WEIBULL.DIST(CB$2,$M11,$L11,FALSE))*($T11*(1-$F11)+$S11*(1-$G11))*((1+Inputs!$D$7)^CB$2))))))))</f>
        <v>2.5642551029375245</v>
      </c>
      <c r="CC11" s="88">
        <f>MAX(AM11,($E11*IF(CC$2&gt;Inputs!$D$5,0,IF(CC$2&gt;VLOOKUP($H11,Lists!$P$3:$Q$7,2),IF($N11=Lists!$K$3,IF($L11&lt;1,(($U11/$L11)*((1+Inputs!$D$7)^CC$2)),((INT(CC$2/$L11)-INT((CC$2-1)/$L11))*$U11*((1+Inputs!$D$7)^CC$2))),(Inputs!$D$8^((1-_xlfn.WEIBULL.DIST(CC$2,$M11,$L11,FALSE))/_xlfn.WEIBULL.DIST(CC$2,$M11,$L11,FALSE))*$U11*((1+Inputs!$D$7)^CC$2))),IF($N11=Lists!$K$3,IF($L11&lt;1,((($T11*(1-$F11)+$S11*(1-$G11))/$L11)*((1+Inputs!$D$7)^CC$2)),((INT(CC$2/$L11)-INT((CC$2-1)/$L11))*($T11*(1-$F11)+$S11*(1-$G11))*((1+Inputs!$D$7)^CC$2))),((Inputs!$D$8^((1-_xlfn.WEIBULL.DIST(CC$2,$M11,$L11,FALSE))/_xlfn.WEIBULL.DIST(CC$2,$M11,$L11,FALSE))*($T11*(1-$F11)+$S11*(1-$G11))*((1+Inputs!$D$7)^CC$2))))))))</f>
        <v>3.9444559331863096</v>
      </c>
      <c r="CD11" s="88">
        <f>MAX(AN11,($E11*IF(CD$2&gt;Inputs!$D$5,0,IF(CD$2&gt;VLOOKUP($H11,Lists!$P$3:$Q$7,2),IF($N11=Lists!$K$3,IF($L11&lt;1,(($U11/$L11)*((1+Inputs!$D$7)^CD$2)),((INT(CD$2/$L11)-INT((CD$2-1)/$L11))*$U11*((1+Inputs!$D$7)^CD$2))),(Inputs!$D$8^((1-_xlfn.WEIBULL.DIST(CD$2,$M11,$L11,FALSE))/_xlfn.WEIBULL.DIST(CD$2,$M11,$L11,FALSE))*$U11*((1+Inputs!$D$7)^CD$2))),IF($N11=Lists!$K$3,IF($L11&lt;1,((($T11*(1-$F11)+$S11*(1-$G11))/$L11)*((1+Inputs!$D$7)^CD$2)),((INT(CD$2/$L11)-INT((CD$2-1)/$L11))*($T11*(1-$F11)+$S11*(1-$G11))*((1+Inputs!$D$7)^CD$2))),((Inputs!$D$8^((1-_xlfn.WEIBULL.DIST(CD$2,$M11,$L11,FALSE))/_xlfn.WEIBULL.DIST(CD$2,$M11,$L11,FALSE))*($T11*(1-$F11)+$S11*(1-$G11))*((1+Inputs!$D$7)^CD$2))))))))</f>
        <v>5.5217038067754531</v>
      </c>
      <c r="CE11" s="88">
        <f>MAX(AO11,($E11*IF(CE$2&gt;Inputs!$D$5,0,IF(CE$2&gt;VLOOKUP($H11,Lists!$P$3:$Q$7,2),IF($N11=Lists!$K$3,IF($L11&lt;1,(($U11/$L11)*((1+Inputs!$D$7)^CE$2)),((INT(CE$2/$L11)-INT((CE$2-1)/$L11))*$U11*((1+Inputs!$D$7)^CE$2))),(Inputs!$D$8^((1-_xlfn.WEIBULL.DIST(CE$2,$M11,$L11,FALSE))/_xlfn.WEIBULL.DIST(CE$2,$M11,$L11,FALSE))*$U11*((1+Inputs!$D$7)^CE$2))),IF($N11=Lists!$K$3,IF($L11&lt;1,((($T11*(1-$F11)+$S11*(1-$G11))/$L11)*((1+Inputs!$D$7)^CE$2)),((INT(CE$2/$L11)-INT((CE$2-1)/$L11))*($T11*(1-$F11)+$S11*(1-$G11))*((1+Inputs!$D$7)^CE$2))),((Inputs!$D$8^((1-_xlfn.WEIBULL.DIST(CE$2,$M11,$L11,FALSE))/_xlfn.WEIBULL.DIST(CE$2,$M11,$L11,FALSE))*($T11*(1-$F11)+$S11*(1-$G11))*((1+Inputs!$D$7)^CE$2))))))))</f>
        <v>7.2000160331780858</v>
      </c>
      <c r="CF11" s="88">
        <f>MAX(AP11,($E11*IF(CF$2&gt;Inputs!$D$5,0,IF(CF$2&gt;VLOOKUP($H11,Lists!$P$3:$Q$7,2),IF($N11=Lists!$K$3,IF($L11&lt;1,(($U11/$L11)*((1+Inputs!$D$7)^CF$2)),((INT(CF$2/$L11)-INT((CF$2-1)/$L11))*$U11*((1+Inputs!$D$7)^CF$2))),(Inputs!$D$8^((1-_xlfn.WEIBULL.DIST(CF$2,$M11,$L11,FALSE))/_xlfn.WEIBULL.DIST(CF$2,$M11,$L11,FALSE))*$U11*((1+Inputs!$D$7)^CF$2))),IF($N11=Lists!$K$3,IF($L11&lt;1,((($T11*(1-$F11)+$S11*(1-$G11))/$L11)*((1+Inputs!$D$7)^CF$2)),((INT(CF$2/$L11)-INT((CF$2-1)/$L11))*($T11*(1-$F11)+$S11*(1-$G11))*((1+Inputs!$D$7)^CF$2))),((Inputs!$D$8^((1-_xlfn.WEIBULL.DIST(CF$2,$M11,$L11,FALSE))/_xlfn.WEIBULL.DIST(CF$2,$M11,$L11,FALSE))*($T11*(1-$F11)+$S11*(1-$G11))*((1+Inputs!$D$7)^CF$2))))))))</f>
        <v>8.8865258797524831</v>
      </c>
      <c r="CG11" s="88">
        <f>MAX(AQ11,($E11*IF(CG$2&gt;Inputs!$D$5,0,IF(CG$2&gt;VLOOKUP($H11,Lists!$P$3:$Q$7,2),IF($N11=Lists!$K$3,IF($L11&lt;1,(($U11/$L11)*((1+Inputs!$D$7)^CG$2)),((INT(CG$2/$L11)-INT((CG$2-1)/$L11))*$U11*((1+Inputs!$D$7)^CG$2))),(Inputs!$D$8^((1-_xlfn.WEIBULL.DIST(CG$2,$M11,$L11,FALSE))/_xlfn.WEIBULL.DIST(CG$2,$M11,$L11,FALSE))*$U11*((1+Inputs!$D$7)^CG$2))),IF($N11=Lists!$K$3,IF($L11&lt;1,((($T11*(1-$F11)+$S11*(1-$G11))/$L11)*((1+Inputs!$D$7)^CG$2)),((INT(CG$2/$L11)-INT((CG$2-1)/$L11))*($T11*(1-$F11)+$S11*(1-$G11))*((1+Inputs!$D$7)^CG$2))),((Inputs!$D$8^((1-_xlfn.WEIBULL.DIST(CG$2,$M11,$L11,FALSE))/_xlfn.WEIBULL.DIST(CG$2,$M11,$L11,FALSE))*($T11*(1-$F11)+$S11*(1-$G11))*((1+Inputs!$D$7)^CG$2))))))))</f>
        <v>10.498820872019438</v>
      </c>
      <c r="CH11" s="88">
        <f>MAX(AR11,($E11*IF(CH$2&gt;Inputs!$D$5,0,IF(CH$2&gt;VLOOKUP($H11,Lists!$P$3:$Q$7,2),IF($N11=Lists!$K$3,IF($L11&lt;1,(($U11/$L11)*((1+Inputs!$D$7)^CH$2)),((INT(CH$2/$L11)-INT((CH$2-1)/$L11))*$U11*((1+Inputs!$D$7)^CH$2))),(Inputs!$D$8^((1-_xlfn.WEIBULL.DIST(CH$2,$M11,$L11,FALSE))/_xlfn.WEIBULL.DIST(CH$2,$M11,$L11,FALSE))*$U11*((1+Inputs!$D$7)^CH$2))),IF($N11=Lists!$K$3,IF($L11&lt;1,((($T11*(1-$F11)+$S11*(1-$G11))/$L11)*((1+Inputs!$D$7)^CH$2)),((INT(CH$2/$L11)-INT((CH$2-1)/$L11))*($T11*(1-$F11)+$S11*(1-$G11))*((1+Inputs!$D$7)^CH$2))),((Inputs!$D$8^((1-_xlfn.WEIBULL.DIST(CH$2,$M11,$L11,FALSE))/_xlfn.WEIBULL.DIST(CH$2,$M11,$L11,FALSE))*($T11*(1-$F11)+$S11*(1-$G11))*((1+Inputs!$D$7)^CH$2))))))))</f>
        <v>11.967202935459605</v>
      </c>
      <c r="CI11" s="88">
        <f>MAX(AS11,($E11*IF(CI$2&gt;Inputs!$D$5,0,IF(CI$2&gt;VLOOKUP($H11,Lists!$P$3:$Q$7,2),IF($N11=Lists!$K$3,IF($L11&lt;1,(($U11/$L11)*((1+Inputs!$D$7)^CI$2)),((INT(CI$2/$L11)-INT((CI$2-1)/$L11))*$U11*((1+Inputs!$D$7)^CI$2))),(Inputs!$D$8^((1-_xlfn.WEIBULL.DIST(CI$2,$M11,$L11,FALSE))/_xlfn.WEIBULL.DIST(CI$2,$M11,$L11,FALSE))*$U11*((1+Inputs!$D$7)^CI$2))),IF($N11=Lists!$K$3,IF($L11&lt;1,((($T11*(1-$F11)+$S11*(1-$G11))/$L11)*((1+Inputs!$D$7)^CI$2)),((INT(CI$2/$L11)-INT((CI$2-1)/$L11))*($T11*(1-$F11)+$S11*(1-$G11))*((1+Inputs!$D$7)^CI$2))),((Inputs!$D$8^((1-_xlfn.WEIBULL.DIST(CI$2,$M11,$L11,FALSE))/_xlfn.WEIBULL.DIST(CI$2,$M11,$L11,FALSE))*($T11*(1-$F11)+$S11*(1-$G11))*((1+Inputs!$D$7)^CI$2))))))))</f>
        <v>13.23419140205217</v>
      </c>
      <c r="CJ11" s="88">
        <f>MAX(AT11,($E11*IF(CJ$2&gt;Inputs!$D$5,0,IF(CJ$2&gt;VLOOKUP($H11,Lists!$P$3:$Q$7,2),IF($N11=Lists!$K$3,IF($L11&lt;1,(($U11/$L11)*((1+Inputs!$D$7)^CJ$2)),((INT(CJ$2/$L11)-INT((CJ$2-1)/$L11))*$U11*((1+Inputs!$D$7)^CJ$2))),(Inputs!$D$8^((1-_xlfn.WEIBULL.DIST(CJ$2,$M11,$L11,FALSE))/_xlfn.WEIBULL.DIST(CJ$2,$M11,$L11,FALSE))*$U11*((1+Inputs!$D$7)^CJ$2))),IF($N11=Lists!$K$3,IF($L11&lt;1,((($T11*(1-$F11)+$S11*(1-$G11))/$L11)*((1+Inputs!$D$7)^CJ$2)),((INT(CJ$2/$L11)-INT((CJ$2-1)/$L11))*($T11*(1-$F11)+$S11*(1-$G11))*((1+Inputs!$D$7)^CJ$2))),((Inputs!$D$8^((1-_xlfn.WEIBULL.DIST(CJ$2,$M11,$L11,FALSE))/_xlfn.WEIBULL.DIST(CJ$2,$M11,$L11,FALSE))*($T11*(1-$F11)+$S11*(1-$G11))*((1+Inputs!$D$7)^CJ$2))))))))</f>
        <v>14.25292460736989</v>
      </c>
      <c r="CK11" s="88">
        <f>MAX(AU11,($E11*IF(CK$2&gt;Inputs!$D$5,0,IF(CK$2&gt;VLOOKUP($H11,Lists!$P$3:$Q$7,2),IF($N11=Lists!$K$3,IF($L11&lt;1,(($U11/$L11)*((1+Inputs!$D$7)^CK$2)),((INT(CK$2/$L11)-INT((CK$2-1)/$L11))*$U11*((1+Inputs!$D$7)^CK$2))),(Inputs!$D$8^((1-_xlfn.WEIBULL.DIST(CK$2,$M11,$L11,FALSE))/_xlfn.WEIBULL.DIST(CK$2,$M11,$L11,FALSE))*$U11*((1+Inputs!$D$7)^CK$2))),IF($N11=Lists!$K$3,IF($L11&lt;1,((($T11*(1-$F11)+$S11*(1-$G11))/$L11)*((1+Inputs!$D$7)^CK$2)),((INT(CK$2/$L11)-INT((CK$2-1)/$L11))*($T11*(1-$F11)+$S11*(1-$G11))*((1+Inputs!$D$7)^CK$2))),((Inputs!$D$8^((1-_xlfn.WEIBULL.DIST(CK$2,$M11,$L11,FALSE))/_xlfn.WEIBULL.DIST(CK$2,$M11,$L11,FALSE))*($T11*(1-$F11)+$S11*(1-$G11))*((1+Inputs!$D$7)^CK$2))))))))</f>
        <v>14.985480321154187</v>
      </c>
      <c r="CL11" s="88">
        <f>MAX(AV11,($E11*IF(CL$2&gt;Inputs!$D$5,0,IF(CL$2&gt;VLOOKUP($H11,Lists!$P$3:$Q$7,2),IF($N11=Lists!$K$3,IF($L11&lt;1,(($U11/$L11)*((1+Inputs!$D$7)^CL$2)),((INT(CL$2/$L11)-INT((CL$2-1)/$L11))*$U11*((1+Inputs!$D$7)^CL$2))),(Inputs!$D$8^((1-_xlfn.WEIBULL.DIST(CL$2,$M11,$L11,FALSE))/_xlfn.WEIBULL.DIST(CL$2,$M11,$L11,FALSE))*$U11*((1+Inputs!$D$7)^CL$2))),IF($N11=Lists!$K$3,IF($L11&lt;1,((($T11*(1-$F11)+$S11*(1-$G11))/$L11)*((1+Inputs!$D$7)^CL$2)),((INT(CL$2/$L11)-INT((CL$2-1)/$L11))*($T11*(1-$F11)+$S11*(1-$G11))*((1+Inputs!$D$7)^CL$2))),((Inputs!$D$8^((1-_xlfn.WEIBULL.DIST(CL$2,$M11,$L11,FALSE))/_xlfn.WEIBULL.DIST(CL$2,$M11,$L11,FALSE))*($T11*(1-$F11)+$S11*(1-$G11))*((1+Inputs!$D$7)^CL$2))))))))</f>
        <v>15.401700792718046</v>
      </c>
      <c r="CM11" s="88">
        <f>MAX(AW11,($E11*IF(CM$2&gt;Inputs!$D$5,0,IF(CM$2&gt;VLOOKUP($H11,Lists!$P$3:$Q$7,2),IF($N11=Lists!$K$3,IF($L11&lt;1,(($U11/$L11)*((1+Inputs!$D$7)^CM$2)),((INT(CM$2/$L11)-INT((CM$2-1)/$L11))*$U11*((1+Inputs!$D$7)^CM$2))),(Inputs!$D$8^((1-_xlfn.WEIBULL.DIST(CM$2,$M11,$L11,FALSE))/_xlfn.WEIBULL.DIST(CM$2,$M11,$L11,FALSE))*$U11*((1+Inputs!$D$7)^CM$2))),IF($N11=Lists!$K$3,IF($L11&lt;1,((($T11*(1-$F11)+$S11*(1-$G11))/$L11)*((1+Inputs!$D$7)^CM$2)),((INT(CM$2/$L11)-INT((CM$2-1)/$L11))*($T11*(1-$F11)+$S11*(1-$G11))*((1+Inputs!$D$7)^CM$2))),((Inputs!$D$8^((1-_xlfn.WEIBULL.DIST(CM$2,$M11,$L11,FALSE))/_xlfn.WEIBULL.DIST(CM$2,$M11,$L11,FALSE))*($T11*(1-$F11)+$S11*(1-$G11))*((1+Inputs!$D$7)^CM$2))))))))</f>
        <v>15.478859384081497</v>
      </c>
      <c r="CN11" s="88">
        <f>MAX(AX11,($E11*IF(CN$2&gt;Inputs!$D$5,0,IF(CN$2&gt;VLOOKUP($H11,Lists!$P$3:$Q$7,2),IF($N11=Lists!$K$3,IF($L11&lt;1,(($U11/$L11)*((1+Inputs!$D$7)^CN$2)),((INT(CN$2/$L11)-INT((CN$2-1)/$L11))*$U11*((1+Inputs!$D$7)^CN$2))),(Inputs!$D$8^((1-_xlfn.WEIBULL.DIST(CN$2,$M11,$L11,FALSE))/_xlfn.WEIBULL.DIST(CN$2,$M11,$L11,FALSE))*$U11*((1+Inputs!$D$7)^CN$2))),IF($N11=Lists!$K$3,IF($L11&lt;1,((($T11*(1-$F11)+$S11*(1-$G11))/$L11)*((1+Inputs!$D$7)^CN$2)),((INT(CN$2/$L11)-INT((CN$2-1)/$L11))*($T11*(1-$F11)+$S11*(1-$G11))*((1+Inputs!$D$7)^CN$2))),((Inputs!$D$8^((1-_xlfn.WEIBULL.DIST(CN$2,$M11,$L11,FALSE))/_xlfn.WEIBULL.DIST(CN$2,$M11,$L11,FALSE))*($T11*(1-$F11)+$S11*(1-$G11))*((1+Inputs!$D$7)^CN$2))))))))</f>
        <v>15.202378334233039</v>
      </c>
      <c r="CO11" s="88">
        <f>MAX(AY11,($E11*IF(CO$2&gt;Inputs!$D$5,0,IF(CO$2&gt;VLOOKUP($H11,Lists!$P$3:$Q$7,2),IF($N11=Lists!$K$3,IF($L11&lt;1,(($U11/$L11)*((1+Inputs!$D$7)^CO$2)),((INT(CO$2/$L11)-INT((CO$2-1)/$L11))*$U11*((1+Inputs!$D$7)^CO$2))),(Inputs!$D$8^((1-_xlfn.WEIBULL.DIST(CO$2,$M11,$L11,FALSE))/_xlfn.WEIBULL.DIST(CO$2,$M11,$L11,FALSE))*$U11*((1+Inputs!$D$7)^CO$2))),IF($N11=Lists!$K$3,IF($L11&lt;1,((($T11*(1-$F11)+$S11*(1-$G11))/$L11)*((1+Inputs!$D$7)^CO$2)),((INT(CO$2/$L11)-INT((CO$2-1)/$L11))*($T11*(1-$F11)+$S11*(1-$G11))*((1+Inputs!$D$7)^CO$2))),((Inputs!$D$8^((1-_xlfn.WEIBULL.DIST(CO$2,$M11,$L11,FALSE))/_xlfn.WEIBULL.DIST(CO$2,$M11,$L11,FALSE))*($T11*(1-$F11)+$S11*(1-$G11))*((1+Inputs!$D$7)^CO$2))))))))</f>
        <v>14.56773261053559</v>
      </c>
      <c r="CP11" s="88">
        <f>MAX(AZ11,($E11*IF(CP$2&gt;Inputs!$D$5,0,IF(CP$2&gt;VLOOKUP($H11,Lists!$P$3:$Q$7,2),IF($N11=Lists!$K$3,IF($L11&lt;1,(($U11/$L11)*((1+Inputs!$D$7)^CP$2)),((INT(CP$2/$L11)-INT((CP$2-1)/$L11))*$U11*((1+Inputs!$D$7)^CP$2))),(Inputs!$D$8^((1-_xlfn.WEIBULL.DIST(CP$2,$M11,$L11,FALSE))/_xlfn.WEIBULL.DIST(CP$2,$M11,$L11,FALSE))*$U11*((1+Inputs!$D$7)^CP$2))),IF($N11=Lists!$K$3,IF($L11&lt;1,((($T11*(1-$F11)+$S11*(1-$G11))/$L11)*((1+Inputs!$D$7)^CP$2)),((INT(CP$2/$L11)-INT((CP$2-1)/$L11))*($T11*(1-$F11)+$S11*(1-$G11))*((1+Inputs!$D$7)^CP$2))),((Inputs!$D$8^((1-_xlfn.WEIBULL.DIST(CP$2,$M11,$L11,FALSE))/_xlfn.WEIBULL.DIST(CP$2,$M11,$L11,FALSE))*($T11*(1-$F11)+$S11*(1-$G11))*((1+Inputs!$D$7)^CP$2))))))))</f>
        <v>0</v>
      </c>
      <c r="CQ11" s="88">
        <f>MAX(BA11,($E11*IF(CQ$2&gt;Inputs!$D$5,0,IF(CQ$2&gt;VLOOKUP($H11,Lists!$P$3:$Q$7,2),IF($N11=Lists!$K$3,IF($L11&lt;1,(($U11/$L11)*((1+Inputs!$D$7)^CQ$2)),((INT(CQ$2/$L11)-INT((CQ$2-1)/$L11))*$U11*((1+Inputs!$D$7)^CQ$2))),(Inputs!$D$8^((1-_xlfn.WEIBULL.DIST(CQ$2,$M11,$L11,FALSE))/_xlfn.WEIBULL.DIST(CQ$2,$M11,$L11,FALSE))*$U11*((1+Inputs!$D$7)^CQ$2))),IF($N11=Lists!$K$3,IF($L11&lt;1,((($T11*(1-$F11)+$S11*(1-$G11))/$L11)*((1+Inputs!$D$7)^CQ$2)),((INT(CQ$2/$L11)-INT((CQ$2-1)/$L11))*($T11*(1-$F11)+$S11*(1-$G11))*((1+Inputs!$D$7)^CQ$2))),((Inputs!$D$8^((1-_xlfn.WEIBULL.DIST(CQ$2,$M11,$L11,FALSE))/_xlfn.WEIBULL.DIST(CQ$2,$M11,$L11,FALSE))*($T11*(1-$F11)+$S11*(1-$G11))*((1+Inputs!$D$7)^CQ$2))))))))</f>
        <v>0</v>
      </c>
      <c r="CR11" s="88">
        <f>MAX(BB11,($E11*IF(CR$2&gt;Inputs!$D$5,0,IF(CR$2&gt;VLOOKUP($H11,Lists!$P$3:$Q$7,2),IF($N11=Lists!$K$3,IF($L11&lt;1,(($U11/$L11)*((1+Inputs!$D$7)^CR$2)),((INT(CR$2/$L11)-INT((CR$2-1)/$L11))*$U11*((1+Inputs!$D$7)^CR$2))),(Inputs!$D$8^((1-_xlfn.WEIBULL.DIST(CR$2,$M11,$L11,FALSE))/_xlfn.WEIBULL.DIST(CR$2,$M11,$L11,FALSE))*$U11*((1+Inputs!$D$7)^CR$2))),IF($N11=Lists!$K$3,IF($L11&lt;1,((($T11*(1-$F11)+$S11*(1-$G11))/$L11)*((1+Inputs!$D$7)^CR$2)),((INT(CR$2/$L11)-INT((CR$2-1)/$L11))*($T11*(1-$F11)+$S11*(1-$G11))*((1+Inputs!$D$7)^CR$2))),((Inputs!$D$8^((1-_xlfn.WEIBULL.DIST(CR$2,$M11,$L11,FALSE))/_xlfn.WEIBULL.DIST(CR$2,$M11,$L11,FALSE))*($T11*(1-$F11)+$S11*(1-$G11))*((1+Inputs!$D$7)^CR$2))))))))</f>
        <v>0</v>
      </c>
      <c r="CS11" s="88">
        <f>MAX(BC11,($E11*IF(CS$2&gt;Inputs!$D$5,0,IF(CS$2&gt;VLOOKUP($H11,Lists!$P$3:$Q$7,2),IF($N11=Lists!$K$3,IF($L11&lt;1,(($U11/$L11)*((1+Inputs!$D$7)^CS$2)),((INT(CS$2/$L11)-INT((CS$2-1)/$L11))*$U11*((1+Inputs!$D$7)^CS$2))),(Inputs!$D$8^((1-_xlfn.WEIBULL.DIST(CS$2,$M11,$L11,FALSE))/_xlfn.WEIBULL.DIST(CS$2,$M11,$L11,FALSE))*$U11*((1+Inputs!$D$7)^CS$2))),IF($N11=Lists!$K$3,IF($L11&lt;1,((($T11*(1-$F11)+$S11*(1-$G11))/$L11)*((1+Inputs!$D$7)^CS$2)),((INT(CS$2/$L11)-INT((CS$2-1)/$L11))*($T11*(1-$F11)+$S11*(1-$G11))*((1+Inputs!$D$7)^CS$2))),((Inputs!$D$8^((1-_xlfn.WEIBULL.DIST(CS$2,$M11,$L11,FALSE))/_xlfn.WEIBULL.DIST(CS$2,$M11,$L11,FALSE))*($T11*(1-$F11)+$S11*(1-$G11))*((1+Inputs!$D$7)^CS$2))))))))</f>
        <v>0</v>
      </c>
      <c r="CT11" s="88">
        <f>MAX(BD11,($E11*IF(CT$2&gt;Inputs!$D$5,0,IF(CT$2&gt;VLOOKUP($H11,Lists!$P$3:$Q$7,2),IF($N11=Lists!$K$3,IF($L11&lt;1,(($U11/$L11)*((1+Inputs!$D$7)^CT$2)),((INT(CT$2/$L11)-INT((CT$2-1)/$L11))*$U11*((1+Inputs!$D$7)^CT$2))),(Inputs!$D$8^((1-_xlfn.WEIBULL.DIST(CT$2,$M11,$L11,FALSE))/_xlfn.WEIBULL.DIST(CT$2,$M11,$L11,FALSE))*$U11*((1+Inputs!$D$7)^CT$2))),IF($N11=Lists!$K$3,IF($L11&lt;1,((($T11*(1-$F11)+$S11*(1-$G11))/$L11)*((1+Inputs!$D$7)^CT$2)),((INT(CT$2/$L11)-INT((CT$2-1)/$L11))*($T11*(1-$F11)+$S11*(1-$G11))*((1+Inputs!$D$7)^CT$2))),((Inputs!$D$8^((1-_xlfn.WEIBULL.DIST(CT$2,$M11,$L11,FALSE))/_xlfn.WEIBULL.DIST(CT$2,$M11,$L11,FALSE))*($T11*(1-$F11)+$S11*(1-$G11))*((1+Inputs!$D$7)^CT$2))))))))</f>
        <v>0</v>
      </c>
      <c r="CU11" s="88">
        <f>MAX(BE11,($E11*IF(CU$2&gt;Inputs!$D$5,0,IF(CU$2&gt;VLOOKUP($H11,Lists!$P$3:$Q$7,2),IF($N11=Lists!$K$3,IF($L11&lt;1,(($U11/$L11)*((1+Inputs!$D$7)^CU$2)),((INT(CU$2/$L11)-INT((CU$2-1)/$L11))*$U11*((1+Inputs!$D$7)^CU$2))),(Inputs!$D$8^((1-_xlfn.WEIBULL.DIST(CU$2,$M11,$L11,FALSE))/_xlfn.WEIBULL.DIST(CU$2,$M11,$L11,FALSE))*$U11*((1+Inputs!$D$7)^CU$2))),IF($N11=Lists!$K$3,IF($L11&lt;1,((($T11*(1-$F11)+$S11*(1-$G11))/$L11)*((1+Inputs!$D$7)^CU$2)),((INT(CU$2/$L11)-INT((CU$2-1)/$L11))*($T11*(1-$F11)+$S11*(1-$G11))*((1+Inputs!$D$7)^CU$2))),((Inputs!$D$8^((1-_xlfn.WEIBULL.DIST(CU$2,$M11,$L11,FALSE))/_xlfn.WEIBULL.DIST(CU$2,$M11,$L11,FALSE))*($T11*(1-$F11)+$S11*(1-$G11))*((1+Inputs!$D$7)^CU$2))))))))</f>
        <v>0</v>
      </c>
      <c r="CV11" s="88">
        <f>MAX(BF11,($E11*IF(CV$2&gt;Inputs!$D$5,0,IF(CV$2&gt;VLOOKUP($H11,Lists!$P$3:$Q$7,2),IF($N11=Lists!$K$3,IF($L11&lt;1,(($U11/$L11)*((1+Inputs!$D$7)^CV$2)),((INT(CV$2/$L11)-INT((CV$2-1)/$L11))*$U11*((1+Inputs!$D$7)^CV$2))),(Inputs!$D$8^((1-_xlfn.WEIBULL.DIST(CV$2,$M11,$L11,FALSE))/_xlfn.WEIBULL.DIST(CV$2,$M11,$L11,FALSE))*$U11*((1+Inputs!$D$7)^CV$2))),IF($N11=Lists!$K$3,IF($L11&lt;1,((($T11*(1-$F11)+$S11*(1-$G11))/$L11)*((1+Inputs!$D$7)^CV$2)),((INT(CV$2/$L11)-INT((CV$2-1)/$L11))*($T11*(1-$F11)+$S11*(1-$G11))*((1+Inputs!$D$7)^CV$2))),((Inputs!$D$8^((1-_xlfn.WEIBULL.DIST(CV$2,$M11,$L11,FALSE))/_xlfn.WEIBULL.DIST(CV$2,$M11,$L11,FALSE))*($T11*(1-$F11)+$S11*(1-$G11))*((1+Inputs!$D$7)^CV$2))))))))</f>
        <v>0</v>
      </c>
      <c r="CW11" s="88">
        <f>MAX(BG11,($E11*IF(CW$2&gt;Inputs!$D$5,0,IF(CW$2&gt;VLOOKUP($H11,Lists!$P$3:$Q$7,2),IF($N11=Lists!$K$3,IF($L11&lt;1,(($U11/$L11)*((1+Inputs!$D$7)^CW$2)),((INT(CW$2/$L11)-INT((CW$2-1)/$L11))*$U11*((1+Inputs!$D$7)^CW$2))),(Inputs!$D$8^((1-_xlfn.WEIBULL.DIST(CW$2,$M11,$L11,FALSE))/_xlfn.WEIBULL.DIST(CW$2,$M11,$L11,FALSE))*$U11*((1+Inputs!$D$7)^CW$2))),IF($N11=Lists!$K$3,IF($L11&lt;1,((($T11*(1-$F11)+$S11*(1-$G11))/$L11)*((1+Inputs!$D$7)^CW$2)),((INT(CW$2/$L11)-INT((CW$2-1)/$L11))*($T11*(1-$F11)+$S11*(1-$G11))*((1+Inputs!$D$7)^CW$2))),((Inputs!$D$8^((1-_xlfn.WEIBULL.DIST(CW$2,$M11,$L11,FALSE))/_xlfn.WEIBULL.DIST(CW$2,$M11,$L11,FALSE))*($T11*(1-$F11)+$S11*(1-$G11))*((1+Inputs!$D$7)^CW$2))))))))</f>
        <v>0</v>
      </c>
      <c r="CX11" s="88">
        <f>MAX(BH11,($E11*IF(CX$2&gt;Inputs!$D$5,0,IF(CX$2&gt;VLOOKUP($H11,Lists!$P$3:$Q$7,2),IF($N11=Lists!$K$3,IF($L11&lt;1,(($U11/$L11)*((1+Inputs!$D$7)^CX$2)),((INT(CX$2/$L11)-INT((CX$2-1)/$L11))*$U11*((1+Inputs!$D$7)^CX$2))),(Inputs!$D$8^((1-_xlfn.WEIBULL.DIST(CX$2,$M11,$L11,FALSE))/_xlfn.WEIBULL.DIST(CX$2,$M11,$L11,FALSE))*$U11*((1+Inputs!$D$7)^CX$2))),IF($N11=Lists!$K$3,IF($L11&lt;1,((($T11*(1-$F11)+$S11*(1-$G11))/$L11)*((1+Inputs!$D$7)^CX$2)),((INT(CX$2/$L11)-INT((CX$2-1)/$L11))*($T11*(1-$F11)+$S11*(1-$G11))*((1+Inputs!$D$7)^CX$2))),((Inputs!$D$8^((1-_xlfn.WEIBULL.DIST(CX$2,$M11,$L11,FALSE))/_xlfn.WEIBULL.DIST(CX$2,$M11,$L11,FALSE))*($T11*(1-$F11)+$S11*(1-$G11))*((1+Inputs!$D$7)^CX$2))))))))</f>
        <v>0</v>
      </c>
      <c r="CY11" s="88">
        <f>MAX(BI11,($E11*IF(CY$2&gt;Inputs!$D$5,0,IF(CY$2&gt;VLOOKUP($H11,Lists!$P$3:$Q$7,2),IF($N11=Lists!$K$3,IF($L11&lt;1,(($U11/$L11)*((1+Inputs!$D$7)^CY$2)),((INT(CY$2/$L11)-INT((CY$2-1)/$L11))*$U11*((1+Inputs!$D$7)^CY$2))),(Inputs!$D$8^((1-_xlfn.WEIBULL.DIST(CY$2,$M11,$L11,FALSE))/_xlfn.WEIBULL.DIST(CY$2,$M11,$L11,FALSE))*$U11*((1+Inputs!$D$7)^CY$2))),IF($N11=Lists!$K$3,IF($L11&lt;1,((($T11*(1-$F11)+$S11*(1-$G11))/$L11)*((1+Inputs!$D$7)^CY$2)),((INT(CY$2/$L11)-INT((CY$2-1)/$L11))*($T11*(1-$F11)+$S11*(1-$G11))*((1+Inputs!$D$7)^CY$2))),((Inputs!$D$8^((1-_xlfn.WEIBULL.DIST(CY$2,$M11,$L11,FALSE))/_xlfn.WEIBULL.DIST(CY$2,$M11,$L11,FALSE))*($T11*(1-$F11)+$S11*(1-$G11))*((1+Inputs!$D$7)^CY$2))))))))</f>
        <v>0</v>
      </c>
      <c r="CZ11" s="88">
        <f>MAX(BJ11,($E11*IF(CZ$2&gt;Inputs!$D$5,0,IF(CZ$2&gt;VLOOKUP($H11,Lists!$P$3:$Q$7,2),IF($N11=Lists!$K$3,IF($L11&lt;1,(($U11/$L11)*((1+Inputs!$D$7)^CZ$2)),((INT(CZ$2/$L11)-INT((CZ$2-1)/$L11))*$U11*((1+Inputs!$D$7)^CZ$2))),(Inputs!$D$8^((1-_xlfn.WEIBULL.DIST(CZ$2,$M11,$L11,FALSE))/_xlfn.WEIBULL.DIST(CZ$2,$M11,$L11,FALSE))*$U11*((1+Inputs!$D$7)^CZ$2))),IF($N11=Lists!$K$3,IF($L11&lt;1,((($T11*(1-$F11)+$S11*(1-$G11))/$L11)*((1+Inputs!$D$7)^CZ$2)),((INT(CZ$2/$L11)-INT((CZ$2-1)/$L11))*($T11*(1-$F11)+$S11*(1-$G11))*((1+Inputs!$D$7)^CZ$2))),((Inputs!$D$8^((1-_xlfn.WEIBULL.DIST(CZ$2,$M11,$L11,FALSE))/_xlfn.WEIBULL.DIST(CZ$2,$M11,$L11,FALSE))*($T11*(1-$F11)+$S11*(1-$G11))*((1+Inputs!$D$7)^CZ$2))))))))</f>
        <v>0</v>
      </c>
      <c r="DA11" s="88">
        <f>MAX(BK11,($E11*IF(DA$2&gt;Inputs!$D$5,0,IF(DA$2&gt;VLOOKUP($H11,Lists!$P$3:$Q$7,2),IF($N11=Lists!$K$3,IF($L11&lt;1,(($U11/$L11)*((1+Inputs!$D$7)^DA$2)),((INT(DA$2/$L11)-INT((DA$2-1)/$L11))*$U11*((1+Inputs!$D$7)^DA$2))),(Inputs!$D$8^((1-_xlfn.WEIBULL.DIST(DA$2,$M11,$L11,FALSE))/_xlfn.WEIBULL.DIST(DA$2,$M11,$L11,FALSE))*$U11*((1+Inputs!$D$7)^DA$2))),IF($N11=Lists!$K$3,IF($L11&lt;1,((($T11*(1-$F11)+$S11*(1-$G11))/$L11)*((1+Inputs!$D$7)^DA$2)),((INT(DA$2/$L11)-INT((DA$2-1)/$L11))*($T11*(1-$F11)+$S11*(1-$G11))*((1+Inputs!$D$7)^DA$2))),((Inputs!$D$8^((1-_xlfn.WEIBULL.DIST(DA$2,$M11,$L11,FALSE))/_xlfn.WEIBULL.DIST(DA$2,$M11,$L11,FALSE))*($T11*(1-$F11)+$S11*(1-$G11))*((1+Inputs!$D$7)^DA$2))))))))</f>
        <v>0</v>
      </c>
      <c r="DB11" s="88">
        <f>MAX(BL11,($E11*IF(DB$2&gt;Inputs!$D$5,0,IF(DB$2&gt;VLOOKUP($H11,Lists!$P$3:$Q$7,2),IF($N11=Lists!$K$3,IF($L11&lt;1,(($U11/$L11)*((1+Inputs!$D$7)^DB$2)),((INT(DB$2/$L11)-INT((DB$2-1)/$L11))*$U11*((1+Inputs!$D$7)^DB$2))),(Inputs!$D$8^((1-_xlfn.WEIBULL.DIST(DB$2,$M11,$L11,FALSE))/_xlfn.WEIBULL.DIST(DB$2,$M11,$L11,FALSE))*$U11*((1+Inputs!$D$7)^DB$2))),IF($N11=Lists!$K$3,IF($L11&lt;1,((($T11*(1-$F11)+$S11*(1-$G11))/$L11)*((1+Inputs!$D$7)^DB$2)),((INT(DB$2/$L11)-INT((DB$2-1)/$L11))*($T11*(1-$F11)+$S11*(1-$G11))*((1+Inputs!$D$7)^DB$2))),((Inputs!$D$8^((1-_xlfn.WEIBULL.DIST(DB$2,$M11,$L11,FALSE))/_xlfn.WEIBULL.DIST(DB$2,$M11,$L11,FALSE))*($T11*(1-$F11)+$S11*(1-$G11))*((1+Inputs!$D$7)^DB$2))))))))</f>
        <v>0</v>
      </c>
      <c r="DC11" s="88">
        <f>MAX(BM11,($E11*IF(DC$2&gt;Inputs!$D$5,0,IF(DC$2&gt;VLOOKUP($H11,Lists!$P$3:$Q$7,2),IF($N11=Lists!$K$3,IF($L11&lt;1,(($U11/$L11)*((1+Inputs!$D$7)^DC$2)),((INT(DC$2/$L11)-INT((DC$2-1)/$L11))*$U11*((1+Inputs!$D$7)^DC$2))),(Inputs!$D$8^((1-_xlfn.WEIBULL.DIST(DC$2,$M11,$L11,FALSE))/_xlfn.WEIBULL.DIST(DC$2,$M11,$L11,FALSE))*$U11*((1+Inputs!$D$7)^DC$2))),IF($N11=Lists!$K$3,IF($L11&lt;1,((($T11*(1-$F11)+$S11*(1-$G11))/$L11)*((1+Inputs!$D$7)^DC$2)),((INT(DC$2/$L11)-INT((DC$2-1)/$L11))*($T11*(1-$F11)+$S11*(1-$G11))*((1+Inputs!$D$7)^DC$2))),((Inputs!$D$8^((1-_xlfn.WEIBULL.DIST(DC$2,$M11,$L11,FALSE))/_xlfn.WEIBULL.DIST(DC$2,$M11,$L11,FALSE))*($T11*(1-$F11)+$S11*(1-$G11))*((1+Inputs!$D$7)^DC$2))))))))</f>
        <v>0</v>
      </c>
      <c r="DD11" s="88">
        <f>MAX(BN11,($E11*IF(DD$2&gt;Inputs!$D$5,0,IF(DD$2&gt;VLOOKUP($H11,Lists!$P$3:$Q$7,2),IF($N11=Lists!$K$3,IF($L11&lt;1,(($U11/$L11)*((1+Inputs!$D$7)^DD$2)),((INT(DD$2/$L11)-INT((DD$2-1)/$L11))*$U11*((1+Inputs!$D$7)^DD$2))),(Inputs!$D$8^((1-_xlfn.WEIBULL.DIST(DD$2,$M11,$L11,FALSE))/_xlfn.WEIBULL.DIST(DD$2,$M11,$L11,FALSE))*$U11*((1+Inputs!$D$7)^DD$2))),IF($N11=Lists!$K$3,IF($L11&lt;1,((($T11*(1-$F11)+$S11*(1-$G11))/$L11)*((1+Inputs!$D$7)^DD$2)),((INT(DD$2/$L11)-INT((DD$2-1)/$L11))*($T11*(1-$F11)+$S11*(1-$G11))*((1+Inputs!$D$7)^DD$2))),((Inputs!$D$8^((1-_xlfn.WEIBULL.DIST(DD$2,$M11,$L11,FALSE))/_xlfn.WEIBULL.DIST(DD$2,$M11,$L11,FALSE))*($T11*(1-$F11)+$S11*(1-$G11))*((1+Inputs!$D$7)^DD$2))))))))</f>
        <v>0</v>
      </c>
    </row>
    <row r="12" spans="1:108" s="1" customFormat="1" ht="16">
      <c r="A12" s="57" t="s">
        <v>211</v>
      </c>
      <c r="B12" s="13" t="s">
        <v>130</v>
      </c>
      <c r="C12" s="13" t="s">
        <v>474</v>
      </c>
      <c r="D12" s="13" t="s">
        <v>213</v>
      </c>
      <c r="E12" s="48">
        <f>IF(Inputs!D30=Lists!M5,0,1)</f>
        <v>1</v>
      </c>
      <c r="F12" s="48">
        <v>1</v>
      </c>
      <c r="G12" s="48">
        <v>1</v>
      </c>
      <c r="H12" s="105" t="s">
        <v>349</v>
      </c>
      <c r="I12" s="14"/>
      <c r="J12" s="14" t="s">
        <v>88</v>
      </c>
      <c r="K12" s="13">
        <f>VLOOKUP(J12,'Labor Rates'!$A$1:$F$16,2)</f>
        <v>19.903846153846153</v>
      </c>
      <c r="L12" s="15">
        <v>25</v>
      </c>
      <c r="M12" s="15">
        <v>1</v>
      </c>
      <c r="N12" s="16" t="s">
        <v>226</v>
      </c>
      <c r="O12" s="61">
        <f>Inputs!$D$34*3</f>
        <v>30</v>
      </c>
      <c r="P12" s="15">
        <v>0.15</v>
      </c>
      <c r="Q12" s="15">
        <f t="shared" si="0"/>
        <v>0.18</v>
      </c>
      <c r="R12" s="4">
        <v>10</v>
      </c>
      <c r="S12" s="53">
        <f t="shared" si="1"/>
        <v>89.567307692307693</v>
      </c>
      <c r="T12" s="53">
        <f t="shared" si="2"/>
        <v>300</v>
      </c>
      <c r="U12" s="54">
        <f t="shared" si="3"/>
        <v>389.56730769230768</v>
      </c>
      <c r="V12" s="65"/>
      <c r="W12" s="58"/>
      <c r="X12" s="64">
        <f t="shared" si="4"/>
        <v>11.927038102298102</v>
      </c>
      <c r="Y12" s="64">
        <f>NPV(Inputs!$D$6,AA12:BN12)</f>
        <v>136.54701955688262</v>
      </c>
      <c r="Z12" s="67">
        <f t="shared" si="5"/>
        <v>6.4402240745185436E-5</v>
      </c>
      <c r="AA12" s="88">
        <f>$E12*IF(AA$2&gt;Inputs!$D$5,0,IF(AA$2&gt;VLOOKUP($H12,Lists!$P$3:$Q$7,2),IF($N12=Lists!$K$3,IF($L12&lt;1,(($U12/$L12)*((1+Inputs!$D$7)^AA$2)),((INT(AA$2/$L12)-INT((AA$2-1)/$L12))*$U12*((1+Inputs!$D$7)^AA$2))),(_xlfn.WEIBULL.DIST(AA$2,$M12,$L12,FALSE)*$U12*((1+Inputs!$D$7)^AA$2))),IF($N12=Lists!$K$3,IF($L12&lt;1,((($T12*(1-$F12)+$S12*(1-$G12))/$L12)*((1+Inputs!$D$7)^AA$2)),((INT(AA$2/$L12)-INT((AA$2-1)/$L12))*($T12*(1-$F12)+$S12*(1-$G12))*((1+Inputs!$D$7)^AA$2))),((_xlfn.WEIBULL.DIST(AA$2,$M12,$L12,FALSE)*($T12*(1-$F12)+$S12*(1-$G12))*((1+Inputs!$D$7)^AA$2))))))</f>
        <v>0</v>
      </c>
      <c r="AB12" s="88">
        <f>$E12*IF(AB$2&gt;Inputs!$D$5,0,IF(AB$2&gt;VLOOKUP($H12,Lists!$P$3:$Q$7,2),IF($N12=Lists!$K$3,IF($L12&lt;1,(($U12/$L12)*((1+Inputs!$D$7)^AB$2)),((INT(AB$2/$L12)-INT((AB$2-1)/$L12))*$U12*((1+Inputs!$D$7)^AB$2))),(_xlfn.WEIBULL.DIST(AB$2,$M12,$L12,FALSE)*$U12*((1+Inputs!$D$7)^AB$2))),IF($N12=Lists!$K$3,IF($L12&lt;1,((($T12*(1-$F12)+$S12*(1-$G12))/$L12)*((1+Inputs!$D$7)^AB$2)),((INT(AB$2/$L12)-INT((AB$2-1)/$L12))*($T12*(1-$F12)+$S12*(1-$G12))*((1+Inputs!$D$7)^AB$2))),((_xlfn.WEIBULL.DIST(AB$2,$M12,$L12,FALSE)*($T12*(1-$F12)+$S12*(1-$G12))*((1+Inputs!$D$7)^AB$2))))))</f>
        <v>14.965777364737798</v>
      </c>
      <c r="AC12" s="88">
        <f>$E12*IF(AC$2&gt;Inputs!$D$5,0,IF(AC$2&gt;VLOOKUP($H12,Lists!$P$3:$Q$7,2),IF($N12=Lists!$K$3,IF($L12&lt;1,(($U12/$L12)*((1+Inputs!$D$7)^AC$2)),((INT(AC$2/$L12)-INT((AC$2-1)/$L12))*$U12*((1+Inputs!$D$7)^AC$2))),(_xlfn.WEIBULL.DIST(AC$2,$M12,$L12,FALSE)*$U12*((1+Inputs!$D$7)^AC$2))),IF($N12=Lists!$K$3,IF($L12&lt;1,((($T12*(1-$F12)+$S12*(1-$G12))/$L12)*((1+Inputs!$D$7)^AC$2)),((INT(AC$2/$L12)-INT((AC$2-1)/$L12))*($T12*(1-$F12)+$S12*(1-$G12))*((1+Inputs!$D$7)^AC$2))),((_xlfn.WEIBULL.DIST(AC$2,$M12,$L12,FALSE)*($T12*(1-$F12)+$S12*(1-$G12))*((1+Inputs!$D$7)^AC$2))))))</f>
        <v>14.666540057559862</v>
      </c>
      <c r="AD12" s="88">
        <f>$E12*IF(AD$2&gt;Inputs!$D$5,0,IF(AD$2&gt;VLOOKUP($H12,Lists!$P$3:$Q$7,2),IF($N12=Lists!$K$3,IF($L12&lt;1,(($U12/$L12)*((1+Inputs!$D$7)^AD$2)),((INT(AD$2/$L12)-INT((AD$2-1)/$L12))*$U12*((1+Inputs!$D$7)^AD$2))),(_xlfn.WEIBULL.DIST(AD$2,$M12,$L12,FALSE)*$U12*((1+Inputs!$D$7)^AD$2))),IF($N12=Lists!$K$3,IF($L12&lt;1,((($T12*(1-$F12)+$S12*(1-$G12))/$L12)*((1+Inputs!$D$7)^AD$2)),((INT(AD$2/$L12)-INT((AD$2-1)/$L12))*($T12*(1-$F12)+$S12*(1-$G12))*((1+Inputs!$D$7)^AD$2))),((_xlfn.WEIBULL.DIST(AD$2,$M12,$L12,FALSE)*($T12*(1-$F12)+$S12*(1-$G12))*((1+Inputs!$D$7)^AD$2))))))</f>
        <v>14.373285932132182</v>
      </c>
      <c r="AE12" s="88">
        <f>$E12*IF(AE$2&gt;Inputs!$D$5,0,IF(AE$2&gt;VLOOKUP($H12,Lists!$P$3:$Q$7,2),IF($N12=Lists!$K$3,IF($L12&lt;1,(($U12/$L12)*((1+Inputs!$D$7)^AE$2)),((INT(AE$2/$L12)-INT((AE$2-1)/$L12))*$U12*((1+Inputs!$D$7)^AE$2))),(_xlfn.WEIBULL.DIST(AE$2,$M12,$L12,FALSE)*$U12*((1+Inputs!$D$7)^AE$2))),IF($N12=Lists!$K$3,IF($L12&lt;1,((($T12*(1-$F12)+$S12*(1-$G12))/$L12)*((1+Inputs!$D$7)^AE$2)),((INT(AE$2/$L12)-INT((AE$2-1)/$L12))*($T12*(1-$F12)+$S12*(1-$G12))*((1+Inputs!$D$7)^AE$2))),((_xlfn.WEIBULL.DIST(AE$2,$M12,$L12,FALSE)*($T12*(1-$F12)+$S12*(1-$G12))*((1+Inputs!$D$7)^AE$2))))))</f>
        <v>14.08589535609944</v>
      </c>
      <c r="AF12" s="88">
        <f>$E12*IF(AF$2&gt;Inputs!$D$5,0,IF(AF$2&gt;VLOOKUP($H12,Lists!$P$3:$Q$7,2),IF($N12=Lists!$K$3,IF($L12&lt;1,(($U12/$L12)*((1+Inputs!$D$7)^AF$2)),((INT(AF$2/$L12)-INT((AF$2-1)/$L12))*$U12*((1+Inputs!$D$7)^AF$2))),(_xlfn.WEIBULL.DIST(AF$2,$M12,$L12,FALSE)*$U12*((1+Inputs!$D$7)^AF$2))),IF($N12=Lists!$K$3,IF($L12&lt;1,((($T12*(1-$F12)+$S12*(1-$G12))/$L12)*((1+Inputs!$D$7)^AF$2)),((INT(AF$2/$L12)-INT((AF$2-1)/$L12))*($T12*(1-$F12)+$S12*(1-$G12))*((1+Inputs!$D$7)^AF$2))),((_xlfn.WEIBULL.DIST(AF$2,$M12,$L12,FALSE)*($T12*(1-$F12)+$S12*(1-$G12))*((1+Inputs!$D$7)^AF$2))))))</f>
        <v>13.804251089128002</v>
      </c>
      <c r="AG12" s="88">
        <f>$E12*IF(AG$2&gt;Inputs!$D$5,0,IF(AG$2&gt;VLOOKUP($H12,Lists!$P$3:$Q$7,2),IF($N12=Lists!$K$3,IF($L12&lt;1,(($U12/$L12)*((1+Inputs!$D$7)^AG$2)),((INT(AG$2/$L12)-INT((AG$2-1)/$L12))*$U12*((1+Inputs!$D$7)^AG$2))),(_xlfn.WEIBULL.DIST(AG$2,$M12,$L12,FALSE)*$U12*((1+Inputs!$D$7)^AG$2))),IF($N12=Lists!$K$3,IF($L12&lt;1,((($T12*(1-$F12)+$S12*(1-$G12))/$L12)*((1+Inputs!$D$7)^AG$2)),((INT(AG$2/$L12)-INT((AG$2-1)/$L12))*($T12*(1-$F12)+$S12*(1-$G12))*((1+Inputs!$D$7)^AG$2))),((_xlfn.WEIBULL.DIST(AG$2,$M12,$L12,FALSE)*($T12*(1-$F12)+$S12*(1-$G12))*((1+Inputs!$D$7)^AG$2))))))</f>
        <v>13.528238235077959</v>
      </c>
      <c r="AH12" s="88">
        <f>$E12*IF(AH$2&gt;Inputs!$D$5,0,IF(AH$2&gt;VLOOKUP($H12,Lists!$P$3:$Q$7,2),IF($N12=Lists!$K$3,IF($L12&lt;1,(($U12/$L12)*((1+Inputs!$D$7)^AH$2)),((INT(AH$2/$L12)-INT((AH$2-1)/$L12))*$U12*((1+Inputs!$D$7)^AH$2))),(_xlfn.WEIBULL.DIST(AH$2,$M12,$L12,FALSE)*$U12*((1+Inputs!$D$7)^AH$2))),IF($N12=Lists!$K$3,IF($L12&lt;1,((($T12*(1-$F12)+$S12*(1-$G12))/$L12)*((1+Inputs!$D$7)^AH$2)),((INT(AH$2/$L12)-INT((AH$2-1)/$L12))*($T12*(1-$F12)+$S12*(1-$G12))*((1+Inputs!$D$7)^AH$2))),((_xlfn.WEIBULL.DIST(AH$2,$M12,$L12,FALSE)*($T12*(1-$F12)+$S12*(1-$G12))*((1+Inputs!$D$7)^AH$2))))))</f>
        <v>13.25774419513156</v>
      </c>
      <c r="AI12" s="88">
        <f>$E12*IF(AI$2&gt;Inputs!$D$5,0,IF(AI$2&gt;VLOOKUP($H12,Lists!$P$3:$Q$7,2),IF($N12=Lists!$K$3,IF($L12&lt;1,(($U12/$L12)*((1+Inputs!$D$7)^AI$2)),((INT(AI$2/$L12)-INT((AI$2-1)/$L12))*$U12*((1+Inputs!$D$7)^AI$2))),(_xlfn.WEIBULL.DIST(AI$2,$M12,$L12,FALSE)*$U12*((1+Inputs!$D$7)^AI$2))),IF($N12=Lists!$K$3,IF($L12&lt;1,((($T12*(1-$F12)+$S12*(1-$G12))/$L12)*((1+Inputs!$D$7)^AI$2)),((INT(AI$2/$L12)-INT((AI$2-1)/$L12))*($T12*(1-$F12)+$S12*(1-$G12))*((1+Inputs!$D$7)^AI$2))),((_xlfn.WEIBULL.DIST(AI$2,$M12,$L12,FALSE)*($T12*(1-$F12)+$S12*(1-$G12))*((1+Inputs!$D$7)^AI$2))))))</f>
        <v>12.992658621858725</v>
      </c>
      <c r="AJ12" s="88">
        <f>$E12*IF(AJ$2&gt;Inputs!$D$5,0,IF(AJ$2&gt;VLOOKUP($H12,Lists!$P$3:$Q$7,2),IF($N12=Lists!$K$3,IF($L12&lt;1,(($U12/$L12)*((1+Inputs!$D$7)^AJ$2)),((INT(AJ$2/$L12)-INT((AJ$2-1)/$L12))*$U12*((1+Inputs!$D$7)^AJ$2))),(_xlfn.WEIBULL.DIST(AJ$2,$M12,$L12,FALSE)*$U12*((1+Inputs!$D$7)^AJ$2))),IF($N12=Lists!$K$3,IF($L12&lt;1,((($T12*(1-$F12)+$S12*(1-$G12))/$L12)*((1+Inputs!$D$7)^AJ$2)),((INT(AJ$2/$L12)-INT((AJ$2-1)/$L12))*($T12*(1-$F12)+$S12*(1-$G12))*((1+Inputs!$D$7)^AJ$2))),((_xlfn.WEIBULL.DIST(AJ$2,$M12,$L12,FALSE)*($T12*(1-$F12)+$S12*(1-$G12))*((1+Inputs!$D$7)^AJ$2))))))</f>
        <v>12.732873374201109</v>
      </c>
      <c r="AK12" s="88">
        <f>$E12*IF(AK$2&gt;Inputs!$D$5,0,IF(AK$2&gt;VLOOKUP($H12,Lists!$P$3:$Q$7,2),IF($N12=Lists!$K$3,IF($L12&lt;1,(($U12/$L12)*((1+Inputs!$D$7)^AK$2)),((INT(AK$2/$L12)-INT((AK$2-1)/$L12))*$U12*((1+Inputs!$D$7)^AK$2))),(_xlfn.WEIBULL.DIST(AK$2,$M12,$L12,FALSE)*$U12*((1+Inputs!$D$7)^AK$2))),IF($N12=Lists!$K$3,IF($L12&lt;1,((($T12*(1-$F12)+$S12*(1-$G12))/$L12)*((1+Inputs!$D$7)^AK$2)),((INT(AK$2/$L12)-INT((AK$2-1)/$L12))*($T12*(1-$F12)+$S12*(1-$G12))*((1+Inputs!$D$7)^AK$2))),((_xlfn.WEIBULL.DIST(AK$2,$M12,$L12,FALSE)*($T12*(1-$F12)+$S12*(1-$G12))*((1+Inputs!$D$7)^AK$2))))))</f>
        <v>12.478282473356156</v>
      </c>
      <c r="AL12" s="88">
        <f>$E12*IF(AL$2&gt;Inputs!$D$5,0,IF(AL$2&gt;VLOOKUP($H12,Lists!$P$3:$Q$7,2),IF($N12=Lists!$K$3,IF($L12&lt;1,(($U12/$L12)*((1+Inputs!$D$7)^AL$2)),((INT(AL$2/$L12)-INT((AL$2-1)/$L12))*$U12*((1+Inputs!$D$7)^AL$2))),(_xlfn.WEIBULL.DIST(AL$2,$M12,$L12,FALSE)*$U12*((1+Inputs!$D$7)^AL$2))),IF($N12=Lists!$K$3,IF($L12&lt;1,((($T12*(1-$F12)+$S12*(1-$G12))/$L12)*((1+Inputs!$D$7)^AL$2)),((INT(AL$2/$L12)-INT((AL$2-1)/$L12))*($T12*(1-$F12)+$S12*(1-$G12))*((1+Inputs!$D$7)^AL$2))),((_xlfn.WEIBULL.DIST(AL$2,$M12,$L12,FALSE)*($T12*(1-$F12)+$S12*(1-$G12))*((1+Inputs!$D$7)^AL$2))))))</f>
        <v>12.228782059543329</v>
      </c>
      <c r="AM12" s="88">
        <f>$E12*IF(AM$2&gt;Inputs!$D$5,0,IF(AM$2&gt;VLOOKUP($H12,Lists!$P$3:$Q$7,2),IF($N12=Lists!$K$3,IF($L12&lt;1,(($U12/$L12)*((1+Inputs!$D$7)^AM$2)),((INT(AM$2/$L12)-INT((AM$2-1)/$L12))*$U12*((1+Inputs!$D$7)^AM$2))),(_xlfn.WEIBULL.DIST(AM$2,$M12,$L12,FALSE)*$U12*((1+Inputs!$D$7)^AM$2))),IF($N12=Lists!$K$3,IF($L12&lt;1,((($T12*(1-$F12)+$S12*(1-$G12))/$L12)*((1+Inputs!$D$7)^AM$2)),((INT(AM$2/$L12)-INT((AM$2-1)/$L12))*($T12*(1-$F12)+$S12*(1-$G12))*((1+Inputs!$D$7)^AM$2))),((_xlfn.WEIBULL.DIST(AM$2,$M12,$L12,FALSE)*($T12*(1-$F12)+$S12*(1-$G12))*((1+Inputs!$D$7)^AM$2))))))</f>
        <v>11.98427034963472</v>
      </c>
      <c r="AN12" s="88">
        <f>$E12*IF(AN$2&gt;Inputs!$D$5,0,IF(AN$2&gt;VLOOKUP($H12,Lists!$P$3:$Q$7,2),IF($N12=Lists!$K$3,IF($L12&lt;1,(($U12/$L12)*((1+Inputs!$D$7)^AN$2)),((INT(AN$2/$L12)-INT((AN$2-1)/$L12))*$U12*((1+Inputs!$D$7)^AN$2))),(_xlfn.WEIBULL.DIST(AN$2,$M12,$L12,FALSE)*$U12*((1+Inputs!$D$7)^AN$2))),IF($N12=Lists!$K$3,IF($L12&lt;1,((($T12*(1-$F12)+$S12*(1-$G12))/$L12)*((1+Inputs!$D$7)^AN$2)),((INT(AN$2/$L12)-INT((AN$2-1)/$L12))*($T12*(1-$F12)+$S12*(1-$G12))*((1+Inputs!$D$7)^AN$2))),((_xlfn.WEIBULL.DIST(AN$2,$M12,$L12,FALSE)*($T12*(1-$F12)+$S12*(1-$G12))*((1+Inputs!$D$7)^AN$2))))))</f>
        <v>11.744647595632868</v>
      </c>
      <c r="AO12" s="88">
        <f>$E12*IF(AO$2&gt;Inputs!$D$5,0,IF(AO$2&gt;VLOOKUP($H12,Lists!$P$3:$Q$7,2),IF($N12=Lists!$K$3,IF($L12&lt;1,(($U12/$L12)*((1+Inputs!$D$7)^AO$2)),((INT(AO$2/$L12)-INT((AO$2-1)/$L12))*$U12*((1+Inputs!$D$7)^AO$2))),(_xlfn.WEIBULL.DIST(AO$2,$M12,$L12,FALSE)*$U12*((1+Inputs!$D$7)^AO$2))),IF($N12=Lists!$K$3,IF($L12&lt;1,((($T12*(1-$F12)+$S12*(1-$G12))/$L12)*((1+Inputs!$D$7)^AO$2)),((INT(AO$2/$L12)-INT((AO$2-1)/$L12))*($T12*(1-$F12)+$S12*(1-$G12))*((1+Inputs!$D$7)^AO$2))),((_xlfn.WEIBULL.DIST(AO$2,$M12,$L12,FALSE)*($T12*(1-$F12)+$S12*(1-$G12))*((1+Inputs!$D$7)^AO$2))))))</f>
        <v>11.509816043978775</v>
      </c>
      <c r="AP12" s="88">
        <f>$E12*IF(AP$2&gt;Inputs!$D$5,0,IF(AP$2&gt;VLOOKUP($H12,Lists!$P$3:$Q$7,2),IF($N12=Lists!$K$3,IF($L12&lt;1,(($U12/$L12)*((1+Inputs!$D$7)^AP$2)),((INT(AP$2/$L12)-INT((AP$2-1)/$L12))*$U12*((1+Inputs!$D$7)^AP$2))),(_xlfn.WEIBULL.DIST(AP$2,$M12,$L12,FALSE)*$U12*((1+Inputs!$D$7)^AP$2))),IF($N12=Lists!$K$3,IF($L12&lt;1,((($T12*(1-$F12)+$S12*(1-$G12))/$L12)*((1+Inputs!$D$7)^AP$2)),((INT(AP$2/$L12)-INT((AP$2-1)/$L12))*($T12*(1-$F12)+$S12*(1-$G12))*((1+Inputs!$D$7)^AP$2))),((_xlfn.WEIBULL.DIST(AP$2,$M12,$L12,FALSE)*($T12*(1-$F12)+$S12*(1-$G12))*((1+Inputs!$D$7)^AP$2))))))</f>
        <v>11.279679895673597</v>
      </c>
      <c r="AQ12" s="88">
        <f>$E12*IF(AQ$2&gt;Inputs!$D$5,0,IF(AQ$2&gt;VLOOKUP($H12,Lists!$P$3:$Q$7,2),IF($N12=Lists!$K$3,IF($L12&lt;1,(($U12/$L12)*((1+Inputs!$D$7)^AQ$2)),((INT(AQ$2/$L12)-INT((AQ$2-1)/$L12))*$U12*((1+Inputs!$D$7)^AQ$2))),(_xlfn.WEIBULL.DIST(AQ$2,$M12,$L12,FALSE)*$U12*((1+Inputs!$D$7)^AQ$2))),IF($N12=Lists!$K$3,IF($L12&lt;1,((($T12*(1-$F12)+$S12*(1-$G12))/$L12)*((1+Inputs!$D$7)^AQ$2)),((INT(AQ$2/$L12)-INT((AQ$2-1)/$L12))*($T12*(1-$F12)+$S12*(1-$G12))*((1+Inputs!$D$7)^AQ$2))),((_xlfn.WEIBULL.DIST(AQ$2,$M12,$L12,FALSE)*($T12*(1-$F12)+$S12*(1-$G12))*((1+Inputs!$D$7)^AQ$2))))))</f>
        <v>11.05414526719761</v>
      </c>
      <c r="AR12" s="88">
        <f>$E12*IF(AR$2&gt;Inputs!$D$5,0,IF(AR$2&gt;VLOOKUP($H12,Lists!$P$3:$Q$7,2),IF($N12=Lists!$K$3,IF($L12&lt;1,(($U12/$L12)*((1+Inputs!$D$7)^AR$2)),((INT(AR$2/$L12)-INT((AR$2-1)/$L12))*$U12*((1+Inputs!$D$7)^AR$2))),(_xlfn.WEIBULL.DIST(AR$2,$M12,$L12,FALSE)*$U12*((1+Inputs!$D$7)^AR$2))),IF($N12=Lists!$K$3,IF($L12&lt;1,((($T12*(1-$F12)+$S12*(1-$G12))/$L12)*((1+Inputs!$D$7)^AR$2)),((INT(AR$2/$L12)-INT((AR$2-1)/$L12))*($T12*(1-$F12)+$S12*(1-$G12))*((1+Inputs!$D$7)^AR$2))),((_xlfn.WEIBULL.DIST(AR$2,$M12,$L12,FALSE)*($T12*(1-$F12)+$S12*(1-$G12))*((1+Inputs!$D$7)^AR$2))))))</f>
        <v>10.833120152210682</v>
      </c>
      <c r="AS12" s="88">
        <f>$E12*IF(AS$2&gt;Inputs!$D$5,0,IF(AS$2&gt;VLOOKUP($H12,Lists!$P$3:$Q$7,2),IF($N12=Lists!$K$3,IF($L12&lt;1,(($U12/$L12)*((1+Inputs!$D$7)^AS$2)),((INT(AS$2/$L12)-INT((AS$2-1)/$L12))*$U12*((1+Inputs!$D$7)^AS$2))),(_xlfn.WEIBULL.DIST(AS$2,$M12,$L12,FALSE)*$U12*((1+Inputs!$D$7)^AS$2))),IF($N12=Lists!$K$3,IF($L12&lt;1,((($T12*(1-$F12)+$S12*(1-$G12))/$L12)*((1+Inputs!$D$7)^AS$2)),((INT(AS$2/$L12)-INT((AS$2-1)/$L12))*($T12*(1-$F12)+$S12*(1-$G12))*((1+Inputs!$D$7)^AS$2))),((_xlfn.WEIBULL.DIST(AS$2,$M12,$L12,FALSE)*($T12*(1-$F12)+$S12*(1-$G12))*((1+Inputs!$D$7)^AS$2))))))</f>
        <v>10.616514384018474</v>
      </c>
      <c r="AT12" s="88">
        <f>$E12*IF(AT$2&gt;Inputs!$D$5,0,IF(AT$2&gt;VLOOKUP($H12,Lists!$P$3:$Q$7,2),IF($N12=Lists!$K$3,IF($L12&lt;1,(($U12/$L12)*((1+Inputs!$D$7)^AT$2)),((INT(AT$2/$L12)-INT((AT$2-1)/$L12))*$U12*((1+Inputs!$D$7)^AT$2))),(_xlfn.WEIBULL.DIST(AT$2,$M12,$L12,FALSE)*$U12*((1+Inputs!$D$7)^AT$2))),IF($N12=Lists!$K$3,IF($L12&lt;1,((($T12*(1-$F12)+$S12*(1-$G12))/$L12)*((1+Inputs!$D$7)^AT$2)),((INT(AT$2/$L12)-INT((AT$2-1)/$L12))*($T12*(1-$F12)+$S12*(1-$G12))*((1+Inputs!$D$7)^AT$2))),((_xlfn.WEIBULL.DIST(AT$2,$M12,$L12,FALSE)*($T12*(1-$F12)+$S12*(1-$G12))*((1+Inputs!$D$7)^AT$2))))))</f>
        <v>10.404239598789156</v>
      </c>
      <c r="AU12" s="88">
        <f>$E12*IF(AU$2&gt;Inputs!$D$5,0,IF(AU$2&gt;VLOOKUP($H12,Lists!$P$3:$Q$7,2),IF($N12=Lists!$K$3,IF($L12&lt;1,(($U12/$L12)*((1+Inputs!$D$7)^AU$2)),((INT(AU$2/$L12)-INT((AU$2-1)/$L12))*$U12*((1+Inputs!$D$7)^AU$2))),(_xlfn.WEIBULL.DIST(AU$2,$M12,$L12,FALSE)*$U12*((1+Inputs!$D$7)^AU$2))),IF($N12=Lists!$K$3,IF($L12&lt;1,((($T12*(1-$F12)+$S12*(1-$G12))/$L12)*((1+Inputs!$D$7)^AU$2)),((INT(AU$2/$L12)-INT((AU$2-1)/$L12))*($T12*(1-$F12)+$S12*(1-$G12))*((1+Inputs!$D$7)^AU$2))),((_xlfn.WEIBULL.DIST(AU$2,$M12,$L12,FALSE)*($T12*(1-$F12)+$S12*(1-$G12))*((1+Inputs!$D$7)^AU$2))))))</f>
        <v>10.196209199505569</v>
      </c>
      <c r="AV12" s="88">
        <f>$E12*IF(AV$2&gt;Inputs!$D$5,0,IF(AV$2&gt;VLOOKUP($H12,Lists!$P$3:$Q$7,2),IF($N12=Lists!$K$3,IF($L12&lt;1,(($U12/$L12)*((1+Inputs!$D$7)^AV$2)),((INT(AV$2/$L12)-INT((AV$2-1)/$L12))*$U12*((1+Inputs!$D$7)^AV$2))),(_xlfn.WEIBULL.DIST(AV$2,$M12,$L12,FALSE)*$U12*((1+Inputs!$D$7)^AV$2))),IF($N12=Lists!$K$3,IF($L12&lt;1,((($T12*(1-$F12)+$S12*(1-$G12))/$L12)*((1+Inputs!$D$7)^AV$2)),((INT(AV$2/$L12)-INT((AV$2-1)/$L12))*($T12*(1-$F12)+$S12*(1-$G12))*((1+Inputs!$D$7)^AV$2))),((_xlfn.WEIBULL.DIST(AV$2,$M12,$L12,FALSE)*($T12*(1-$F12)+$S12*(1-$G12))*((1+Inputs!$D$7)^AV$2))))))</f>
        <v>9.9923383206381668</v>
      </c>
      <c r="AW12" s="88">
        <f>$E12*IF(AW$2&gt;Inputs!$D$5,0,IF(AW$2&gt;VLOOKUP($H12,Lists!$P$3:$Q$7,2),IF($N12=Lists!$K$3,IF($L12&lt;1,(($U12/$L12)*((1+Inputs!$D$7)^AW$2)),((INT(AW$2/$L12)-INT((AW$2-1)/$L12))*$U12*((1+Inputs!$D$7)^AW$2))),(_xlfn.WEIBULL.DIST(AW$2,$M12,$L12,FALSE)*$U12*((1+Inputs!$D$7)^AW$2))),IF($N12=Lists!$K$3,IF($L12&lt;1,((($T12*(1-$F12)+$S12*(1-$G12))/$L12)*((1+Inputs!$D$7)^AW$2)),((INT(AW$2/$L12)-INT((AW$2-1)/$L12))*($T12*(1-$F12)+$S12*(1-$G12))*((1+Inputs!$D$7)^AW$2))),((_xlfn.WEIBULL.DIST(AW$2,$M12,$L12,FALSE)*($T12*(1-$F12)+$S12*(1-$G12))*((1+Inputs!$D$7)^AW$2))))))</f>
        <v>9.7925437935243327</v>
      </c>
      <c r="AX12" s="88">
        <f>$E12*IF(AX$2&gt;Inputs!$D$5,0,IF(AX$2&gt;VLOOKUP($H12,Lists!$P$3:$Q$7,2),IF($N12=Lists!$K$3,IF($L12&lt;1,(($U12/$L12)*((1+Inputs!$D$7)^AX$2)),((INT(AX$2/$L12)-INT((AX$2-1)/$L12))*$U12*((1+Inputs!$D$7)^AX$2))),(_xlfn.WEIBULL.DIST(AX$2,$M12,$L12,FALSE)*$U12*((1+Inputs!$D$7)^AX$2))),IF($N12=Lists!$K$3,IF($L12&lt;1,((($T12*(1-$F12)+$S12*(1-$G12))/$L12)*((1+Inputs!$D$7)^AX$2)),((INT(AX$2/$L12)-INT((AX$2-1)/$L12))*($T12*(1-$F12)+$S12*(1-$G12))*((1+Inputs!$D$7)^AX$2))),((_xlfn.WEIBULL.DIST(AX$2,$M12,$L12,FALSE)*($T12*(1-$F12)+$S12*(1-$G12))*((1+Inputs!$D$7)^AX$2))))))</f>
        <v>9.5967441124399055</v>
      </c>
      <c r="AY12" s="88">
        <f>$E12*IF(AY$2&gt;Inputs!$D$5,0,IF(AY$2&gt;VLOOKUP($H12,Lists!$P$3:$Q$7,2),IF($N12=Lists!$K$3,IF($L12&lt;1,(($U12/$L12)*((1+Inputs!$D$7)^AY$2)),((INT(AY$2/$L12)-INT((AY$2-1)/$L12))*$U12*((1+Inputs!$D$7)^AY$2))),(_xlfn.WEIBULL.DIST(AY$2,$M12,$L12,FALSE)*$U12*((1+Inputs!$D$7)^AY$2))),IF($N12=Lists!$K$3,IF($L12&lt;1,((($T12*(1-$F12)+$S12*(1-$G12))/$L12)*((1+Inputs!$D$7)^AY$2)),((INT(AY$2/$L12)-INT((AY$2-1)/$L12))*($T12*(1-$F12)+$S12*(1-$G12))*((1+Inputs!$D$7)^AY$2))),((_xlfn.WEIBULL.DIST(AY$2,$M12,$L12,FALSE)*($T12*(1-$F12)+$S12*(1-$G12))*((1+Inputs!$D$7)^AY$2))))))</f>
        <v>9.4048594013490856</v>
      </c>
      <c r="AZ12" s="88">
        <f>$E12*IF(AZ$2&gt;Inputs!$D$5,0,IF(AZ$2&gt;VLOOKUP($H12,Lists!$P$3:$Q$7,2),IF($N12=Lists!$K$3,IF($L12&lt;1,(($U12/$L12)*((1+Inputs!$D$7)^AZ$2)),((INT(AZ$2/$L12)-INT((AZ$2-1)/$L12))*$U12*((1+Inputs!$D$7)^AZ$2))),(_xlfn.WEIBULL.DIST(AZ$2,$M12,$L12,FALSE)*$U12*((1+Inputs!$D$7)^AZ$2))),IF($N12=Lists!$K$3,IF($L12&lt;1,((($T12*(1-$F12)+$S12*(1-$G12))/$L12)*((1+Inputs!$D$7)^AZ$2)),((INT(AZ$2/$L12)-INT((AZ$2-1)/$L12))*($T12*(1-$F12)+$S12*(1-$G12))*((1+Inputs!$D$7)^AZ$2))),((_xlfn.WEIBULL.DIST(AZ$2,$M12,$L12,FALSE)*($T12*(1-$F12)+$S12*(1-$G12))*((1+Inputs!$D$7)^AZ$2))))))</f>
        <v>0</v>
      </c>
      <c r="BA12" s="88">
        <f>$E12*IF(BA$2&gt;Inputs!$D$5,0,IF(BA$2&gt;VLOOKUP($H12,Lists!$P$3:$Q$7,2),IF($N12=Lists!$K$3,IF($L12&lt;1,(($U12/$L12)*((1+Inputs!$D$7)^BA$2)),((INT(BA$2/$L12)-INT((BA$2-1)/$L12))*$U12*((1+Inputs!$D$7)^BA$2))),(_xlfn.WEIBULL.DIST(BA$2,$M12,$L12,FALSE)*$U12*((1+Inputs!$D$7)^BA$2))),IF($N12=Lists!$K$3,IF($L12&lt;1,((($T12*(1-$F12)+$S12*(1-$G12))/$L12)*((1+Inputs!$D$7)^BA$2)),((INT(BA$2/$L12)-INT((BA$2-1)/$L12))*($T12*(1-$F12)+$S12*(1-$G12))*((1+Inputs!$D$7)^BA$2))),((_xlfn.WEIBULL.DIST(BA$2,$M12,$L12,FALSE)*($T12*(1-$F12)+$S12*(1-$G12))*((1+Inputs!$D$7)^BA$2))))))</f>
        <v>0</v>
      </c>
      <c r="BB12" s="88">
        <f>$E12*IF(BB$2&gt;Inputs!$D$5,0,IF(BB$2&gt;VLOOKUP($H12,Lists!$P$3:$Q$7,2),IF($N12=Lists!$K$3,IF($L12&lt;1,(($U12/$L12)*((1+Inputs!$D$7)^BB$2)),((INT(BB$2/$L12)-INT((BB$2-1)/$L12))*$U12*((1+Inputs!$D$7)^BB$2))),(_xlfn.WEIBULL.DIST(BB$2,$M12,$L12,FALSE)*$U12*((1+Inputs!$D$7)^BB$2))),IF($N12=Lists!$K$3,IF($L12&lt;1,((($T12*(1-$F12)+$S12*(1-$G12))/$L12)*((1+Inputs!$D$7)^BB$2)),((INT(BB$2/$L12)-INT((BB$2-1)/$L12))*($T12*(1-$F12)+$S12*(1-$G12))*((1+Inputs!$D$7)^BB$2))),((_xlfn.WEIBULL.DIST(BB$2,$M12,$L12,FALSE)*($T12*(1-$F12)+$S12*(1-$G12))*((1+Inputs!$D$7)^BB$2))))))</f>
        <v>0</v>
      </c>
      <c r="BC12" s="88">
        <f>$E12*IF(BC$2&gt;Inputs!$D$5,0,IF(BC$2&gt;VLOOKUP($H12,Lists!$P$3:$Q$7,2),IF($N12=Lists!$K$3,IF($L12&lt;1,(($U12/$L12)*((1+Inputs!$D$7)^BC$2)),((INT(BC$2/$L12)-INT((BC$2-1)/$L12))*$U12*((1+Inputs!$D$7)^BC$2))),(_xlfn.WEIBULL.DIST(BC$2,$M12,$L12,FALSE)*$U12*((1+Inputs!$D$7)^BC$2))),IF($N12=Lists!$K$3,IF($L12&lt;1,((($T12*(1-$F12)+$S12*(1-$G12))/$L12)*((1+Inputs!$D$7)^BC$2)),((INT(BC$2/$L12)-INT((BC$2-1)/$L12))*($T12*(1-$F12)+$S12*(1-$G12))*((1+Inputs!$D$7)^BC$2))),((_xlfn.WEIBULL.DIST(BC$2,$M12,$L12,FALSE)*($T12*(1-$F12)+$S12*(1-$G12))*((1+Inputs!$D$7)^BC$2))))))</f>
        <v>0</v>
      </c>
      <c r="BD12" s="88">
        <f>$E12*IF(BD$2&gt;Inputs!$D$5,0,IF(BD$2&gt;VLOOKUP($H12,Lists!$P$3:$Q$7,2),IF($N12=Lists!$K$3,IF($L12&lt;1,(($U12/$L12)*((1+Inputs!$D$7)^BD$2)),((INT(BD$2/$L12)-INT((BD$2-1)/$L12))*$U12*((1+Inputs!$D$7)^BD$2))),(_xlfn.WEIBULL.DIST(BD$2,$M12,$L12,FALSE)*$U12*((1+Inputs!$D$7)^BD$2))),IF($N12=Lists!$K$3,IF($L12&lt;1,((($T12*(1-$F12)+$S12*(1-$G12))/$L12)*((1+Inputs!$D$7)^BD$2)),((INT(BD$2/$L12)-INT((BD$2-1)/$L12))*($T12*(1-$F12)+$S12*(1-$G12))*((1+Inputs!$D$7)^BD$2))),((_xlfn.WEIBULL.DIST(BD$2,$M12,$L12,FALSE)*($T12*(1-$F12)+$S12*(1-$G12))*((1+Inputs!$D$7)^BD$2))))))</f>
        <v>0</v>
      </c>
      <c r="BE12" s="88">
        <f>$E12*IF(BE$2&gt;Inputs!$D$5,0,IF(BE$2&gt;VLOOKUP($H12,Lists!$P$3:$Q$7,2),IF($N12=Lists!$K$3,IF($L12&lt;1,(($U12/$L12)*((1+Inputs!$D$7)^BE$2)),((INT(BE$2/$L12)-INT((BE$2-1)/$L12))*$U12*((1+Inputs!$D$7)^BE$2))),(_xlfn.WEIBULL.DIST(BE$2,$M12,$L12,FALSE)*$U12*((1+Inputs!$D$7)^BE$2))),IF($N12=Lists!$K$3,IF($L12&lt;1,((($T12*(1-$F12)+$S12*(1-$G12))/$L12)*((1+Inputs!$D$7)^BE$2)),((INT(BE$2/$L12)-INT((BE$2-1)/$L12))*($T12*(1-$F12)+$S12*(1-$G12))*((1+Inputs!$D$7)^BE$2))),((_xlfn.WEIBULL.DIST(BE$2,$M12,$L12,FALSE)*($T12*(1-$F12)+$S12*(1-$G12))*((1+Inputs!$D$7)^BE$2))))))</f>
        <v>0</v>
      </c>
      <c r="BF12" s="88">
        <f>$E12*IF(BF$2&gt;Inputs!$D$5,0,IF(BF$2&gt;VLOOKUP($H12,Lists!$P$3:$Q$7,2),IF($N12=Lists!$K$3,IF($L12&lt;1,(($U12/$L12)*((1+Inputs!$D$7)^BF$2)),((INT(BF$2/$L12)-INT((BF$2-1)/$L12))*$U12*((1+Inputs!$D$7)^BF$2))),(_xlfn.WEIBULL.DIST(BF$2,$M12,$L12,FALSE)*$U12*((1+Inputs!$D$7)^BF$2))),IF($N12=Lists!$K$3,IF($L12&lt;1,((($T12*(1-$F12)+$S12*(1-$G12))/$L12)*((1+Inputs!$D$7)^BF$2)),((INT(BF$2/$L12)-INT((BF$2-1)/$L12))*($T12*(1-$F12)+$S12*(1-$G12))*((1+Inputs!$D$7)^BF$2))),((_xlfn.WEIBULL.DIST(BF$2,$M12,$L12,FALSE)*($T12*(1-$F12)+$S12*(1-$G12))*((1+Inputs!$D$7)^BF$2))))))</f>
        <v>0</v>
      </c>
      <c r="BG12" s="88">
        <f>$E12*IF(BG$2&gt;Inputs!$D$5,0,IF(BG$2&gt;VLOOKUP($H12,Lists!$P$3:$Q$7,2),IF($N12=Lists!$K$3,IF($L12&lt;1,(($U12/$L12)*((1+Inputs!$D$7)^BG$2)),((INT(BG$2/$L12)-INT((BG$2-1)/$L12))*$U12*((1+Inputs!$D$7)^BG$2))),(_xlfn.WEIBULL.DIST(BG$2,$M12,$L12,FALSE)*$U12*((1+Inputs!$D$7)^BG$2))),IF($N12=Lists!$K$3,IF($L12&lt;1,((($T12*(1-$F12)+$S12*(1-$G12))/$L12)*((1+Inputs!$D$7)^BG$2)),((INT(BG$2/$L12)-INT((BG$2-1)/$L12))*($T12*(1-$F12)+$S12*(1-$G12))*((1+Inputs!$D$7)^BG$2))),((_xlfn.WEIBULL.DIST(BG$2,$M12,$L12,FALSE)*($T12*(1-$F12)+$S12*(1-$G12))*((1+Inputs!$D$7)^BG$2))))))</f>
        <v>0</v>
      </c>
      <c r="BH12" s="88">
        <f>$E12*IF(BH$2&gt;Inputs!$D$5,0,IF(BH$2&gt;VLOOKUP($H12,Lists!$P$3:$Q$7,2),IF($N12=Lists!$K$3,IF($L12&lt;1,(($U12/$L12)*((1+Inputs!$D$7)^BH$2)),((INT(BH$2/$L12)-INT((BH$2-1)/$L12))*$U12*((1+Inputs!$D$7)^BH$2))),(_xlfn.WEIBULL.DIST(BH$2,$M12,$L12,FALSE)*$U12*((1+Inputs!$D$7)^BH$2))),IF($N12=Lists!$K$3,IF($L12&lt;1,((($T12*(1-$F12)+$S12*(1-$G12))/$L12)*((1+Inputs!$D$7)^BH$2)),((INT(BH$2/$L12)-INT((BH$2-1)/$L12))*($T12*(1-$F12)+$S12*(1-$G12))*((1+Inputs!$D$7)^BH$2))),((_xlfn.WEIBULL.DIST(BH$2,$M12,$L12,FALSE)*($T12*(1-$F12)+$S12*(1-$G12))*((1+Inputs!$D$7)^BH$2))))))</f>
        <v>0</v>
      </c>
      <c r="BI12" s="88">
        <f>$E12*IF(BI$2&gt;Inputs!$D$5,0,IF(BI$2&gt;VLOOKUP($H12,Lists!$P$3:$Q$7,2),IF($N12=Lists!$K$3,IF($L12&lt;1,(($U12/$L12)*((1+Inputs!$D$7)^BI$2)),((INT(BI$2/$L12)-INT((BI$2-1)/$L12))*$U12*((1+Inputs!$D$7)^BI$2))),(_xlfn.WEIBULL.DIST(BI$2,$M12,$L12,FALSE)*$U12*((1+Inputs!$D$7)^BI$2))),IF($N12=Lists!$K$3,IF($L12&lt;1,((($T12*(1-$F12)+$S12*(1-$G12))/$L12)*((1+Inputs!$D$7)^BI$2)),((INT(BI$2/$L12)-INT((BI$2-1)/$L12))*($T12*(1-$F12)+$S12*(1-$G12))*((1+Inputs!$D$7)^BI$2))),((_xlfn.WEIBULL.DIST(BI$2,$M12,$L12,FALSE)*($T12*(1-$F12)+$S12*(1-$G12))*((1+Inputs!$D$7)^BI$2))))))</f>
        <v>0</v>
      </c>
      <c r="BJ12" s="88">
        <f>$E12*IF(BJ$2&gt;Inputs!$D$5,0,IF(BJ$2&gt;VLOOKUP($H12,Lists!$P$3:$Q$7,2),IF($N12=Lists!$K$3,IF($L12&lt;1,(($U12/$L12)*((1+Inputs!$D$7)^BJ$2)),((INT(BJ$2/$L12)-INT((BJ$2-1)/$L12))*$U12*((1+Inputs!$D$7)^BJ$2))),(_xlfn.WEIBULL.DIST(BJ$2,$M12,$L12,FALSE)*$U12*((1+Inputs!$D$7)^BJ$2))),IF($N12=Lists!$K$3,IF($L12&lt;1,((($T12*(1-$F12)+$S12*(1-$G12))/$L12)*((1+Inputs!$D$7)^BJ$2)),((INT(BJ$2/$L12)-INT((BJ$2-1)/$L12))*($T12*(1-$F12)+$S12*(1-$G12))*((1+Inputs!$D$7)^BJ$2))),((_xlfn.WEIBULL.DIST(BJ$2,$M12,$L12,FALSE)*($T12*(1-$F12)+$S12*(1-$G12))*((1+Inputs!$D$7)^BJ$2))))))</f>
        <v>0</v>
      </c>
      <c r="BK12" s="88">
        <f>$E12*IF(BK$2&gt;Inputs!$D$5,0,IF(BK$2&gt;VLOOKUP($H12,Lists!$P$3:$Q$7,2),IF($N12=Lists!$K$3,IF($L12&lt;1,(($U12/$L12)*((1+Inputs!$D$7)^BK$2)),((INT(BK$2/$L12)-INT((BK$2-1)/$L12))*$U12*((1+Inputs!$D$7)^BK$2))),(_xlfn.WEIBULL.DIST(BK$2,$M12,$L12,FALSE)*$U12*((1+Inputs!$D$7)^BK$2))),IF($N12=Lists!$K$3,IF($L12&lt;1,((($T12*(1-$F12)+$S12*(1-$G12))/$L12)*((1+Inputs!$D$7)^BK$2)),((INT(BK$2/$L12)-INT((BK$2-1)/$L12))*($T12*(1-$F12)+$S12*(1-$G12))*((1+Inputs!$D$7)^BK$2))),((_xlfn.WEIBULL.DIST(BK$2,$M12,$L12,FALSE)*($T12*(1-$F12)+$S12*(1-$G12))*((1+Inputs!$D$7)^BK$2))))))</f>
        <v>0</v>
      </c>
      <c r="BL12" s="88">
        <f>$E12*IF(BL$2&gt;Inputs!$D$5,0,IF(BL$2&gt;VLOOKUP($H12,Lists!$P$3:$Q$7,2),IF($N12=Lists!$K$3,IF($L12&lt;1,(($U12/$L12)*((1+Inputs!$D$7)^BL$2)),((INT(BL$2/$L12)-INT((BL$2-1)/$L12))*$U12*((1+Inputs!$D$7)^BL$2))),(_xlfn.WEIBULL.DIST(BL$2,$M12,$L12,FALSE)*$U12*((1+Inputs!$D$7)^BL$2))),IF($N12=Lists!$K$3,IF($L12&lt;1,((($T12*(1-$F12)+$S12*(1-$G12))/$L12)*((1+Inputs!$D$7)^BL$2)),((INT(BL$2/$L12)-INT((BL$2-1)/$L12))*($T12*(1-$F12)+$S12*(1-$G12))*((1+Inputs!$D$7)^BL$2))),((_xlfn.WEIBULL.DIST(BL$2,$M12,$L12,FALSE)*($T12*(1-$F12)+$S12*(1-$G12))*((1+Inputs!$D$7)^BL$2))))))</f>
        <v>0</v>
      </c>
      <c r="BM12" s="88">
        <f>$E12*IF(BM$2&gt;Inputs!$D$5,0,IF(BM$2&gt;VLOOKUP($H12,Lists!$P$3:$Q$7,2),IF($N12=Lists!$K$3,IF($L12&lt;1,(($U12/$L12)*((1+Inputs!$D$7)^BM$2)),((INT(BM$2/$L12)-INT((BM$2-1)/$L12))*$U12*((1+Inputs!$D$7)^BM$2))),(_xlfn.WEIBULL.DIST(BM$2,$M12,$L12,FALSE)*$U12*((1+Inputs!$D$7)^BM$2))),IF($N12=Lists!$K$3,IF($L12&lt;1,((($T12*(1-$F12)+$S12*(1-$G12))/$L12)*((1+Inputs!$D$7)^BM$2)),((INT(BM$2/$L12)-INT((BM$2-1)/$L12))*($T12*(1-$F12)+$S12*(1-$G12))*((1+Inputs!$D$7)^BM$2))),((_xlfn.WEIBULL.DIST(BM$2,$M12,$L12,FALSE)*($T12*(1-$F12)+$S12*(1-$G12))*((1+Inputs!$D$7)^BM$2))))))</f>
        <v>0</v>
      </c>
      <c r="BN12" s="88">
        <f>$E12*IF(BN$2&gt;Inputs!$D$5,0,IF(BN$2&gt;VLOOKUP($H12,Lists!$P$3:$Q$7,2),IF($N12=Lists!$K$3,IF($L12&lt;1,(($U12/$L12)*((1+Inputs!$D$7)^BN$2)),((INT(BN$2/$L12)-INT((BN$2-1)/$L12))*$U12*((1+Inputs!$D$7)^BN$2))),(_xlfn.WEIBULL.DIST(BN$2,$M12,$L12,FALSE)*$U12*((1+Inputs!$D$7)^BN$2))),IF($N12=Lists!$K$3,IF($L12&lt;1,((($T12*(1-$F12)+$S12*(1-$G12))/$L12)*((1+Inputs!$D$7)^BN$2)),((INT(BN$2/$L12)-INT((BN$2-1)/$L12))*($T12*(1-$F12)+$S12*(1-$G12))*((1+Inputs!$D$7)^BN$2))),((_xlfn.WEIBULL.DIST(BN$2,$M12,$L12,FALSE)*($T12*(1-$F12)+$S12*(1-$G12))*((1+Inputs!$D$7)^BN$2))))))</f>
        <v>0</v>
      </c>
      <c r="BO12" s="64">
        <f>NPV(Inputs!$D$6,BQ12:DD12)</f>
        <v>276.89681638461434</v>
      </c>
      <c r="BP12" s="67">
        <f t="shared" si="6"/>
        <v>1.3059805690558175E-4</v>
      </c>
      <c r="BQ12" s="88">
        <f>MAX(AA12,($E12*IF(BQ$2&gt;Inputs!$D$5,0,IF(BQ$2&gt;VLOOKUP($H12,Lists!$P$3:$Q$7,2),IF($N12=Lists!$K$3,IF($L12&lt;1,(($U12/$L12)*((1+Inputs!$D$7)^BQ$2)),((INT(BQ$2/$L12)-INT((BQ$2-1)/$L12))*$U12*((1+Inputs!$D$7)^BQ$2))),(Inputs!$D$8^((1-_xlfn.WEIBULL.DIST(BQ$2,$M12,$L12,FALSE))/_xlfn.WEIBULL.DIST(BQ$2,$M12,$L12,FALSE))*$U12*((1+Inputs!$D$7)^BQ$2))),IF($N12=Lists!$K$3,IF($L12&lt;1,((($T12*(1-$F12)+$S12*(1-$G12))/$L12)*((1+Inputs!$D$7)^BQ$2)),((INT(BQ$2/$L12)-INT((BQ$2-1)/$L12))*($T12*(1-$F12)+$S12*(1-$G12))*((1+Inputs!$D$7)^BQ$2))),((Inputs!$D$8^((1-_xlfn.WEIBULL.DIST(BQ$2,$M12,$L12,FALSE))/_xlfn.WEIBULL.DIST(BQ$2,$M12,$L12,FALSE))*($T12*(1-$F12)+$S12*(1-$G12))*((1+Inputs!$D$7)^BQ$2))))))))</f>
        <v>0</v>
      </c>
      <c r="BR12" s="88">
        <f>MAX(AB12,($E12*IF(BR$2&gt;Inputs!$D$5,0,IF(BR$2&gt;VLOOKUP($H12,Lists!$P$3:$Q$7,2),IF($N12=Lists!$K$3,IF($L12&lt;1,(($U12/$L12)*((1+Inputs!$D$7)^BR$2)),((INT(BR$2/$L12)-INT((BR$2-1)/$L12))*$U12*((1+Inputs!$D$7)^BR$2))),(Inputs!$D$8^((1-_xlfn.WEIBULL.DIST(BR$2,$M12,$L12,FALSE))/_xlfn.WEIBULL.DIST(BR$2,$M12,$L12,FALSE))*$U12*((1+Inputs!$D$7)^BR$2))),IF($N12=Lists!$K$3,IF($L12&lt;1,((($T12*(1-$F12)+$S12*(1-$G12))/$L12)*((1+Inputs!$D$7)^BR$2)),((INT(BR$2/$L12)-INT((BR$2-1)/$L12))*($T12*(1-$F12)+$S12*(1-$G12))*((1+Inputs!$D$7)^BR$2))),((Inputs!$D$8^((1-_xlfn.WEIBULL.DIST(BR$2,$M12,$L12,FALSE))/_xlfn.WEIBULL.DIST(BR$2,$M12,$L12,FALSE))*($T12*(1-$F12)+$S12*(1-$G12))*((1+Inputs!$D$7)^BR$2))))))))</f>
        <v>46.056460828105614</v>
      </c>
      <c r="BS12" s="88">
        <f>MAX(AC12,($E12*IF(BS$2&gt;Inputs!$D$5,0,IF(BS$2&gt;VLOOKUP($H12,Lists!$P$3:$Q$7,2),IF($N12=Lists!$K$3,IF($L12&lt;1,(($U12/$L12)*((1+Inputs!$D$7)^BS$2)),((INT(BS$2/$L12)-INT((BS$2-1)/$L12))*$U12*((1+Inputs!$D$7)^BS$2))),(Inputs!$D$8^((1-_xlfn.WEIBULL.DIST(BS$2,$M12,$L12,FALSE))/_xlfn.WEIBULL.DIST(BS$2,$M12,$L12,FALSE))*$U12*((1+Inputs!$D$7)^BS$2))),IF($N12=Lists!$K$3,IF($L12&lt;1,((($T12*(1-$F12)+$S12*(1-$G12))/$L12)*((1+Inputs!$D$7)^BS$2)),((INT(BS$2/$L12)-INT((BS$2-1)/$L12))*($T12*(1-$F12)+$S12*(1-$G12))*((1+Inputs!$D$7)^BS$2))),((Inputs!$D$8^((1-_xlfn.WEIBULL.DIST(BS$2,$M12,$L12,FALSE))/_xlfn.WEIBULL.DIST(BS$2,$M12,$L12,FALSE))*($T12*(1-$F12)+$S12*(1-$G12))*((1+Inputs!$D$7)^BS$2))))))))</f>
        <v>42.841771986500952</v>
      </c>
      <c r="BT12" s="88">
        <f>MAX(AD12,($E12*IF(BT$2&gt;Inputs!$D$5,0,IF(BT$2&gt;VLOOKUP($H12,Lists!$P$3:$Q$7,2),IF($N12=Lists!$K$3,IF($L12&lt;1,(($U12/$L12)*((1+Inputs!$D$7)^BT$2)),((INT(BT$2/$L12)-INT((BT$2-1)/$L12))*$U12*((1+Inputs!$D$7)^BT$2))),(Inputs!$D$8^((1-_xlfn.WEIBULL.DIST(BT$2,$M12,$L12,FALSE))/_xlfn.WEIBULL.DIST(BT$2,$M12,$L12,FALSE))*$U12*((1+Inputs!$D$7)^BT$2))),IF($N12=Lists!$K$3,IF($L12&lt;1,((($T12*(1-$F12)+$S12*(1-$G12))/$L12)*((1+Inputs!$D$7)^BT$2)),((INT(BT$2/$L12)-INT((BT$2-1)/$L12))*($T12*(1-$F12)+$S12*(1-$G12))*((1+Inputs!$D$7)^BT$2))),((Inputs!$D$8^((1-_xlfn.WEIBULL.DIST(BT$2,$M12,$L12,FALSE))/_xlfn.WEIBULL.DIST(BT$2,$M12,$L12,FALSE))*($T12*(1-$F12)+$S12*(1-$G12))*((1+Inputs!$D$7)^BT$2))))))))</f>
        <v>39.701864868523195</v>
      </c>
      <c r="BU12" s="88">
        <f>MAX(AE12,($E12*IF(BU$2&gt;Inputs!$D$5,0,IF(BU$2&gt;VLOOKUP($H12,Lists!$P$3:$Q$7,2),IF($N12=Lists!$K$3,IF($L12&lt;1,(($U12/$L12)*((1+Inputs!$D$7)^BU$2)),((INT(BU$2/$L12)-INT((BU$2-1)/$L12))*$U12*((1+Inputs!$D$7)^BU$2))),(Inputs!$D$8^((1-_xlfn.WEIBULL.DIST(BU$2,$M12,$L12,FALSE))/_xlfn.WEIBULL.DIST(BU$2,$M12,$L12,FALSE))*$U12*((1+Inputs!$D$7)^BU$2))),IF($N12=Lists!$K$3,IF($L12&lt;1,((($T12*(1-$F12)+$S12*(1-$G12))/$L12)*((1+Inputs!$D$7)^BU$2)),((INT(BU$2/$L12)-INT((BU$2-1)/$L12))*($T12*(1-$F12)+$S12*(1-$G12))*((1+Inputs!$D$7)^BU$2))),((Inputs!$D$8^((1-_xlfn.WEIBULL.DIST(BU$2,$M12,$L12,FALSE))/_xlfn.WEIBULL.DIST(BU$2,$M12,$L12,FALSE))*($T12*(1-$F12)+$S12*(1-$G12))*((1+Inputs!$D$7)^BU$2))))))))</f>
        <v>36.648343251877684</v>
      </c>
      <c r="BV12" s="88">
        <f>MAX(AF12,($E12*IF(BV$2&gt;Inputs!$D$5,0,IF(BV$2&gt;VLOOKUP($H12,Lists!$P$3:$Q$7,2),IF($N12=Lists!$K$3,IF($L12&lt;1,(($U12/$L12)*((1+Inputs!$D$7)^BV$2)),((INT(BV$2/$L12)-INT((BV$2-1)/$L12))*$U12*((1+Inputs!$D$7)^BV$2))),(Inputs!$D$8^((1-_xlfn.WEIBULL.DIST(BV$2,$M12,$L12,FALSE))/_xlfn.WEIBULL.DIST(BV$2,$M12,$L12,FALSE))*$U12*((1+Inputs!$D$7)^BV$2))),IF($N12=Lists!$K$3,IF($L12&lt;1,((($T12*(1-$F12)+$S12*(1-$G12))/$L12)*((1+Inputs!$D$7)^BV$2)),((INT(BV$2/$L12)-INT((BV$2-1)/$L12))*($T12*(1-$F12)+$S12*(1-$G12))*((1+Inputs!$D$7)^BV$2))),((Inputs!$D$8^((1-_xlfn.WEIBULL.DIST(BV$2,$M12,$L12,FALSE))/_xlfn.WEIBULL.DIST(BV$2,$M12,$L12,FALSE))*($T12*(1-$F12)+$S12*(1-$G12))*((1+Inputs!$D$7)^BV$2))))))))</f>
        <v>33.692121969016064</v>
      </c>
      <c r="BW12" s="88">
        <f>MAX(AG12,($E12*IF(BW$2&gt;Inputs!$D$5,0,IF(BW$2&gt;VLOOKUP($H12,Lists!$P$3:$Q$7,2),IF($N12=Lists!$K$3,IF($L12&lt;1,(($U12/$L12)*((1+Inputs!$D$7)^BW$2)),((INT(BW$2/$L12)-INT((BW$2-1)/$L12))*$U12*((1+Inputs!$D$7)^BW$2))),(Inputs!$D$8^((1-_xlfn.WEIBULL.DIST(BW$2,$M12,$L12,FALSE))/_xlfn.WEIBULL.DIST(BW$2,$M12,$L12,FALSE))*$U12*((1+Inputs!$D$7)^BW$2))),IF($N12=Lists!$K$3,IF($L12&lt;1,((($T12*(1-$F12)+$S12*(1-$G12))/$L12)*((1+Inputs!$D$7)^BW$2)),((INT(BW$2/$L12)-INT((BW$2-1)/$L12))*($T12*(1-$F12)+$S12*(1-$G12))*((1+Inputs!$D$7)^BW$2))),((Inputs!$D$8^((1-_xlfn.WEIBULL.DIST(BW$2,$M12,$L12,FALSE))/_xlfn.WEIBULL.DIST(BW$2,$M12,$L12,FALSE))*($T12*(1-$F12)+$S12*(1-$G12))*((1+Inputs!$D$7)^BW$2))))))))</f>
        <v>30.843293652637289</v>
      </c>
      <c r="BX12" s="88">
        <f>MAX(AH12,($E12*IF(BX$2&gt;Inputs!$D$5,0,IF(BX$2&gt;VLOOKUP($H12,Lists!$P$3:$Q$7,2),IF($N12=Lists!$K$3,IF($L12&lt;1,(($U12/$L12)*((1+Inputs!$D$7)^BX$2)),((INT(BX$2/$L12)-INT((BX$2-1)/$L12))*$U12*((1+Inputs!$D$7)^BX$2))),(Inputs!$D$8^((1-_xlfn.WEIBULL.DIST(BX$2,$M12,$L12,FALSE))/_xlfn.WEIBULL.DIST(BX$2,$M12,$L12,FALSE))*$U12*((1+Inputs!$D$7)^BX$2))),IF($N12=Lists!$K$3,IF($L12&lt;1,((($T12*(1-$F12)+$S12*(1-$G12))/$L12)*((1+Inputs!$D$7)^BX$2)),((INT(BX$2/$L12)-INT((BX$2-1)/$L12))*($T12*(1-$F12)+$S12*(1-$G12))*((1+Inputs!$D$7)^BX$2))),((Inputs!$D$8^((1-_xlfn.WEIBULL.DIST(BX$2,$M12,$L12,FALSE))/_xlfn.WEIBULL.DIST(BX$2,$M12,$L12,FALSE))*($T12*(1-$F12)+$S12*(1-$G12))*((1+Inputs!$D$7)^BX$2))))))))</f>
        <v>28.111002997289535</v>
      </c>
      <c r="BY12" s="88">
        <f>MAX(AI12,($E12*IF(BY$2&gt;Inputs!$D$5,0,IF(BY$2&gt;VLOOKUP($H12,Lists!$P$3:$Q$7,2),IF($N12=Lists!$K$3,IF($L12&lt;1,(($U12/$L12)*((1+Inputs!$D$7)^BY$2)),((INT(BY$2/$L12)-INT((BY$2-1)/$L12))*$U12*((1+Inputs!$D$7)^BY$2))),(Inputs!$D$8^((1-_xlfn.WEIBULL.DIST(BY$2,$M12,$L12,FALSE))/_xlfn.WEIBULL.DIST(BY$2,$M12,$L12,FALSE))*$U12*((1+Inputs!$D$7)^BY$2))),IF($N12=Lists!$K$3,IF($L12&lt;1,((($T12*(1-$F12)+$S12*(1-$G12))/$L12)*((1+Inputs!$D$7)^BY$2)),((INT(BY$2/$L12)-INT((BY$2-1)/$L12))*($T12*(1-$F12)+$S12*(1-$G12))*((1+Inputs!$D$7)^BY$2))),((Inputs!$D$8^((1-_xlfn.WEIBULL.DIST(BY$2,$M12,$L12,FALSE))/_xlfn.WEIBULL.DIST(BY$2,$M12,$L12,FALSE))*($T12*(1-$F12)+$S12*(1-$G12))*((1+Inputs!$D$7)^BY$2))))))))</f>
        <v>25.503331538912242</v>
      </c>
      <c r="BZ12" s="88">
        <f>MAX(AJ12,($E12*IF(BZ$2&gt;Inputs!$D$5,0,IF(BZ$2&gt;VLOOKUP($H12,Lists!$P$3:$Q$7,2),IF($N12=Lists!$K$3,IF($L12&lt;1,(($U12/$L12)*((1+Inputs!$D$7)^BZ$2)),((INT(BZ$2/$L12)-INT((BZ$2-1)/$L12))*$U12*((1+Inputs!$D$7)^BZ$2))),(Inputs!$D$8^((1-_xlfn.WEIBULL.DIST(BZ$2,$M12,$L12,FALSE))/_xlfn.WEIBULL.DIST(BZ$2,$M12,$L12,FALSE))*$U12*((1+Inputs!$D$7)^BZ$2))),IF($N12=Lists!$K$3,IF($L12&lt;1,((($T12*(1-$F12)+$S12*(1-$G12))/$L12)*((1+Inputs!$D$7)^BZ$2)),((INT(BZ$2/$L12)-INT((BZ$2-1)/$L12))*($T12*(1-$F12)+$S12*(1-$G12))*((1+Inputs!$D$7)^BZ$2))),((Inputs!$D$8^((1-_xlfn.WEIBULL.DIST(BZ$2,$M12,$L12,FALSE))/_xlfn.WEIBULL.DIST(BZ$2,$M12,$L12,FALSE))*($T12*(1-$F12)+$S12*(1-$G12))*((1+Inputs!$D$7)^BZ$2))))))))</f>
        <v>23.027195927680879</v>
      </c>
      <c r="CA12" s="88">
        <f>MAX(AK12,($E12*IF(CA$2&gt;Inputs!$D$5,0,IF(CA$2&gt;VLOOKUP($H12,Lists!$P$3:$Q$7,2),IF($N12=Lists!$K$3,IF($L12&lt;1,(($U12/$L12)*((1+Inputs!$D$7)^CA$2)),((INT(CA$2/$L12)-INT((CA$2-1)/$L12))*$U12*((1+Inputs!$D$7)^CA$2))),(Inputs!$D$8^((1-_xlfn.WEIBULL.DIST(CA$2,$M12,$L12,FALSE))/_xlfn.WEIBULL.DIST(CA$2,$M12,$L12,FALSE))*$U12*((1+Inputs!$D$7)^CA$2))),IF($N12=Lists!$K$3,IF($L12&lt;1,((($T12*(1-$F12)+$S12*(1-$G12))/$L12)*((1+Inputs!$D$7)^CA$2)),((INT(CA$2/$L12)-INT((CA$2-1)/$L12))*($T12*(1-$F12)+$S12*(1-$G12))*((1+Inputs!$D$7)^CA$2))),((Inputs!$D$8^((1-_xlfn.WEIBULL.DIST(CA$2,$M12,$L12,FALSE))/_xlfn.WEIBULL.DIST(CA$2,$M12,$L12,FALSE))*($T12*(1-$F12)+$S12*(1-$G12))*((1+Inputs!$D$7)^CA$2))))))))</f>
        <v>20.688262545877272</v>
      </c>
      <c r="CB12" s="88">
        <f>MAX(AL12,($E12*IF(CB$2&gt;Inputs!$D$5,0,IF(CB$2&gt;VLOOKUP($H12,Lists!$P$3:$Q$7,2),IF($N12=Lists!$K$3,IF($L12&lt;1,(($U12/$L12)*((1+Inputs!$D$7)^CB$2)),((INT(CB$2/$L12)-INT((CB$2-1)/$L12))*$U12*((1+Inputs!$D$7)^CB$2))),(Inputs!$D$8^((1-_xlfn.WEIBULL.DIST(CB$2,$M12,$L12,FALSE))/_xlfn.WEIBULL.DIST(CB$2,$M12,$L12,FALSE))*$U12*((1+Inputs!$D$7)^CB$2))),IF($N12=Lists!$K$3,IF($L12&lt;1,((($T12*(1-$F12)+$S12*(1-$G12))/$L12)*((1+Inputs!$D$7)^CB$2)),((INT(CB$2/$L12)-INT((CB$2-1)/$L12))*($T12*(1-$F12)+$S12*(1-$G12))*((1+Inputs!$D$7)^CB$2))),((Inputs!$D$8^((1-_xlfn.WEIBULL.DIST(CB$2,$M12,$L12,FALSE))/_xlfn.WEIBULL.DIST(CB$2,$M12,$L12,FALSE))*($T12*(1-$F12)+$S12*(1-$G12))*((1+Inputs!$D$7)^CB$2))))))))</f>
        <v>18.490881094383102</v>
      </c>
      <c r="CC12" s="88">
        <f>MAX(AM12,($E12*IF(CC$2&gt;Inputs!$D$5,0,IF(CC$2&gt;VLOOKUP($H12,Lists!$P$3:$Q$7,2),IF($N12=Lists!$K$3,IF($L12&lt;1,(($U12/$L12)*((1+Inputs!$D$7)^CC$2)),((INT(CC$2/$L12)-INT((CC$2-1)/$L12))*$U12*((1+Inputs!$D$7)^CC$2))),(Inputs!$D$8^((1-_xlfn.WEIBULL.DIST(CC$2,$M12,$L12,FALSE))/_xlfn.WEIBULL.DIST(CC$2,$M12,$L12,FALSE))*$U12*((1+Inputs!$D$7)^CC$2))),IF($N12=Lists!$K$3,IF($L12&lt;1,((($T12*(1-$F12)+$S12*(1-$G12))/$L12)*((1+Inputs!$D$7)^CC$2)),((INT(CC$2/$L12)-INT((CC$2-1)/$L12))*($T12*(1-$F12)+$S12*(1-$G12))*((1+Inputs!$D$7)^CC$2))),((Inputs!$D$8^((1-_xlfn.WEIBULL.DIST(CC$2,$M12,$L12,FALSE))/_xlfn.WEIBULL.DIST(CC$2,$M12,$L12,FALSE))*($T12*(1-$F12)+$S12*(1-$G12))*((1+Inputs!$D$7)^CC$2))))))))</f>
        <v>16.43803943513711</v>
      </c>
      <c r="CD12" s="88">
        <f>MAX(AN12,($E12*IF(CD$2&gt;Inputs!$D$5,0,IF(CD$2&gt;VLOOKUP($H12,Lists!$P$3:$Q$7,2),IF($N12=Lists!$K$3,IF($L12&lt;1,(($U12/$L12)*((1+Inputs!$D$7)^CD$2)),((INT(CD$2/$L12)-INT((CD$2-1)/$L12))*$U12*((1+Inputs!$D$7)^CD$2))),(Inputs!$D$8^((1-_xlfn.WEIBULL.DIST(CD$2,$M12,$L12,FALSE))/_xlfn.WEIBULL.DIST(CD$2,$M12,$L12,FALSE))*$U12*((1+Inputs!$D$7)^CD$2))),IF($N12=Lists!$K$3,IF($L12&lt;1,((($T12*(1-$F12)+$S12*(1-$G12))/$L12)*((1+Inputs!$D$7)^CD$2)),((INT(CD$2/$L12)-INT((CD$2-1)/$L12))*($T12*(1-$F12)+$S12*(1-$G12))*((1+Inputs!$D$7)^CD$2))),((Inputs!$D$8^((1-_xlfn.WEIBULL.DIST(CD$2,$M12,$L12,FALSE))/_xlfn.WEIBULL.DIST(CD$2,$M12,$L12,FALSE))*($T12*(1-$F12)+$S12*(1-$G12))*((1+Inputs!$D$7)^CD$2))))))))</f>
        <v>14.531341533364214</v>
      </c>
      <c r="CE12" s="88">
        <f>MAX(AO12,($E12*IF(CE$2&gt;Inputs!$D$5,0,IF(CE$2&gt;VLOOKUP($H12,Lists!$P$3:$Q$7,2),IF($N12=Lists!$K$3,IF($L12&lt;1,(($U12/$L12)*((1+Inputs!$D$7)^CE$2)),((INT(CE$2/$L12)-INT((CE$2-1)/$L12))*$U12*((1+Inputs!$D$7)^CE$2))),(Inputs!$D$8^((1-_xlfn.WEIBULL.DIST(CE$2,$M12,$L12,FALSE))/_xlfn.WEIBULL.DIST(CE$2,$M12,$L12,FALSE))*$U12*((1+Inputs!$D$7)^CE$2))),IF($N12=Lists!$K$3,IF($L12&lt;1,((($T12*(1-$F12)+$S12*(1-$G12))/$L12)*((1+Inputs!$D$7)^CE$2)),((INT(CE$2/$L12)-INT((CE$2-1)/$L12))*($T12*(1-$F12)+$S12*(1-$G12))*((1+Inputs!$D$7)^CE$2))),((Inputs!$D$8^((1-_xlfn.WEIBULL.DIST(CE$2,$M12,$L12,FALSE))/_xlfn.WEIBULL.DIST(CE$2,$M12,$L12,FALSE))*($T12*(1-$F12)+$S12*(1-$G12))*((1+Inputs!$D$7)^CE$2))))))))</f>
        <v>12.771009798613795</v>
      </c>
      <c r="CF12" s="88">
        <f>MAX(AP12,($E12*IF(CF$2&gt;Inputs!$D$5,0,IF(CF$2&gt;VLOOKUP($H12,Lists!$P$3:$Q$7,2),IF($N12=Lists!$K$3,IF($L12&lt;1,(($U12/$L12)*((1+Inputs!$D$7)^CF$2)),((INT(CF$2/$L12)-INT((CF$2-1)/$L12))*$U12*((1+Inputs!$D$7)^CF$2))),(Inputs!$D$8^((1-_xlfn.WEIBULL.DIST(CF$2,$M12,$L12,FALSE))/_xlfn.WEIBULL.DIST(CF$2,$M12,$L12,FALSE))*$U12*((1+Inputs!$D$7)^CF$2))),IF($N12=Lists!$K$3,IF($L12&lt;1,((($T12*(1-$F12)+$S12*(1-$G12))/$L12)*((1+Inputs!$D$7)^CF$2)),((INT(CF$2/$L12)-INT((CF$2-1)/$L12))*($T12*(1-$F12)+$S12*(1-$G12))*((1+Inputs!$D$7)^CF$2))),((Inputs!$D$8^((1-_xlfn.WEIBULL.DIST(CF$2,$M12,$L12,FALSE))/_xlfn.WEIBULL.DIST(CF$2,$M12,$L12,FALSE))*($T12*(1-$F12)+$S12*(1-$G12))*((1+Inputs!$D$7)^CF$2))))))))</f>
        <v>11.279679895673597</v>
      </c>
      <c r="CG12" s="88">
        <f>MAX(AQ12,($E12*IF(CG$2&gt;Inputs!$D$5,0,IF(CG$2&gt;VLOOKUP($H12,Lists!$P$3:$Q$7,2),IF($N12=Lists!$K$3,IF($L12&lt;1,(($U12/$L12)*((1+Inputs!$D$7)^CG$2)),((INT(CG$2/$L12)-INT((CG$2-1)/$L12))*$U12*((1+Inputs!$D$7)^CG$2))),(Inputs!$D$8^((1-_xlfn.WEIBULL.DIST(CG$2,$M12,$L12,FALSE))/_xlfn.WEIBULL.DIST(CG$2,$M12,$L12,FALSE))*$U12*((1+Inputs!$D$7)^CG$2))),IF($N12=Lists!$K$3,IF($L12&lt;1,((($T12*(1-$F12)+$S12*(1-$G12))/$L12)*((1+Inputs!$D$7)^CG$2)),((INT(CG$2/$L12)-INT((CG$2-1)/$L12))*($T12*(1-$F12)+$S12*(1-$G12))*((1+Inputs!$D$7)^CG$2))),((Inputs!$D$8^((1-_xlfn.WEIBULL.DIST(CG$2,$M12,$L12,FALSE))/_xlfn.WEIBULL.DIST(CG$2,$M12,$L12,FALSE))*($T12*(1-$F12)+$S12*(1-$G12))*((1+Inputs!$D$7)^CG$2))))))))</f>
        <v>11.05414526719761</v>
      </c>
      <c r="CH12" s="88">
        <f>MAX(AR12,($E12*IF(CH$2&gt;Inputs!$D$5,0,IF(CH$2&gt;VLOOKUP($H12,Lists!$P$3:$Q$7,2),IF($N12=Lists!$K$3,IF($L12&lt;1,(($U12/$L12)*((1+Inputs!$D$7)^CH$2)),((INT(CH$2/$L12)-INT((CH$2-1)/$L12))*$U12*((1+Inputs!$D$7)^CH$2))),(Inputs!$D$8^((1-_xlfn.WEIBULL.DIST(CH$2,$M12,$L12,FALSE))/_xlfn.WEIBULL.DIST(CH$2,$M12,$L12,FALSE))*$U12*((1+Inputs!$D$7)^CH$2))),IF($N12=Lists!$K$3,IF($L12&lt;1,((($T12*(1-$F12)+$S12*(1-$G12))/$L12)*((1+Inputs!$D$7)^CH$2)),((INT(CH$2/$L12)-INT((CH$2-1)/$L12))*($T12*(1-$F12)+$S12*(1-$G12))*((1+Inputs!$D$7)^CH$2))),((Inputs!$D$8^((1-_xlfn.WEIBULL.DIST(CH$2,$M12,$L12,FALSE))/_xlfn.WEIBULL.DIST(CH$2,$M12,$L12,FALSE))*($T12*(1-$F12)+$S12*(1-$G12))*((1+Inputs!$D$7)^CH$2))))))))</f>
        <v>10.833120152210682</v>
      </c>
      <c r="CI12" s="88">
        <f>MAX(AS12,($E12*IF(CI$2&gt;Inputs!$D$5,0,IF(CI$2&gt;VLOOKUP($H12,Lists!$P$3:$Q$7,2),IF($N12=Lists!$K$3,IF($L12&lt;1,(($U12/$L12)*((1+Inputs!$D$7)^CI$2)),((INT(CI$2/$L12)-INT((CI$2-1)/$L12))*$U12*((1+Inputs!$D$7)^CI$2))),(Inputs!$D$8^((1-_xlfn.WEIBULL.DIST(CI$2,$M12,$L12,FALSE))/_xlfn.WEIBULL.DIST(CI$2,$M12,$L12,FALSE))*$U12*((1+Inputs!$D$7)^CI$2))),IF($N12=Lists!$K$3,IF($L12&lt;1,((($T12*(1-$F12)+$S12*(1-$G12))/$L12)*((1+Inputs!$D$7)^CI$2)),((INT(CI$2/$L12)-INT((CI$2-1)/$L12))*($T12*(1-$F12)+$S12*(1-$G12))*((1+Inputs!$D$7)^CI$2))),((Inputs!$D$8^((1-_xlfn.WEIBULL.DIST(CI$2,$M12,$L12,FALSE))/_xlfn.WEIBULL.DIST(CI$2,$M12,$L12,FALSE))*($T12*(1-$F12)+$S12*(1-$G12))*((1+Inputs!$D$7)^CI$2))))))))</f>
        <v>10.616514384018474</v>
      </c>
      <c r="CJ12" s="88">
        <f>MAX(AT12,($E12*IF(CJ$2&gt;Inputs!$D$5,0,IF(CJ$2&gt;VLOOKUP($H12,Lists!$P$3:$Q$7,2),IF($N12=Lists!$K$3,IF($L12&lt;1,(($U12/$L12)*((1+Inputs!$D$7)^CJ$2)),((INT(CJ$2/$L12)-INT((CJ$2-1)/$L12))*$U12*((1+Inputs!$D$7)^CJ$2))),(Inputs!$D$8^((1-_xlfn.WEIBULL.DIST(CJ$2,$M12,$L12,FALSE))/_xlfn.WEIBULL.DIST(CJ$2,$M12,$L12,FALSE))*$U12*((1+Inputs!$D$7)^CJ$2))),IF($N12=Lists!$K$3,IF($L12&lt;1,((($T12*(1-$F12)+$S12*(1-$G12))/$L12)*((1+Inputs!$D$7)^CJ$2)),((INT(CJ$2/$L12)-INT((CJ$2-1)/$L12))*($T12*(1-$F12)+$S12*(1-$G12))*((1+Inputs!$D$7)^CJ$2))),((Inputs!$D$8^((1-_xlfn.WEIBULL.DIST(CJ$2,$M12,$L12,FALSE))/_xlfn.WEIBULL.DIST(CJ$2,$M12,$L12,FALSE))*($T12*(1-$F12)+$S12*(1-$G12))*((1+Inputs!$D$7)^CJ$2))))))))</f>
        <v>10.404239598789156</v>
      </c>
      <c r="CK12" s="88">
        <f>MAX(AU12,($E12*IF(CK$2&gt;Inputs!$D$5,0,IF(CK$2&gt;VLOOKUP($H12,Lists!$P$3:$Q$7,2),IF($N12=Lists!$K$3,IF($L12&lt;1,(($U12/$L12)*((1+Inputs!$D$7)^CK$2)),((INT(CK$2/$L12)-INT((CK$2-1)/$L12))*$U12*((1+Inputs!$D$7)^CK$2))),(Inputs!$D$8^((1-_xlfn.WEIBULL.DIST(CK$2,$M12,$L12,FALSE))/_xlfn.WEIBULL.DIST(CK$2,$M12,$L12,FALSE))*$U12*((1+Inputs!$D$7)^CK$2))),IF($N12=Lists!$K$3,IF($L12&lt;1,((($T12*(1-$F12)+$S12*(1-$G12))/$L12)*((1+Inputs!$D$7)^CK$2)),((INT(CK$2/$L12)-INT((CK$2-1)/$L12))*($T12*(1-$F12)+$S12*(1-$G12))*((1+Inputs!$D$7)^CK$2))),((Inputs!$D$8^((1-_xlfn.WEIBULL.DIST(CK$2,$M12,$L12,FALSE))/_xlfn.WEIBULL.DIST(CK$2,$M12,$L12,FALSE))*($T12*(1-$F12)+$S12*(1-$G12))*((1+Inputs!$D$7)^CK$2))))))))</f>
        <v>10.196209199505569</v>
      </c>
      <c r="CL12" s="88">
        <f>MAX(AV12,($E12*IF(CL$2&gt;Inputs!$D$5,0,IF(CL$2&gt;VLOOKUP($H12,Lists!$P$3:$Q$7,2),IF($N12=Lists!$K$3,IF($L12&lt;1,(($U12/$L12)*((1+Inputs!$D$7)^CL$2)),((INT(CL$2/$L12)-INT((CL$2-1)/$L12))*$U12*((1+Inputs!$D$7)^CL$2))),(Inputs!$D$8^((1-_xlfn.WEIBULL.DIST(CL$2,$M12,$L12,FALSE))/_xlfn.WEIBULL.DIST(CL$2,$M12,$L12,FALSE))*$U12*((1+Inputs!$D$7)^CL$2))),IF($N12=Lists!$K$3,IF($L12&lt;1,((($T12*(1-$F12)+$S12*(1-$G12))/$L12)*((1+Inputs!$D$7)^CL$2)),((INT(CL$2/$L12)-INT((CL$2-1)/$L12))*($T12*(1-$F12)+$S12*(1-$G12))*((1+Inputs!$D$7)^CL$2))),((Inputs!$D$8^((1-_xlfn.WEIBULL.DIST(CL$2,$M12,$L12,FALSE))/_xlfn.WEIBULL.DIST(CL$2,$M12,$L12,FALSE))*($T12*(1-$F12)+$S12*(1-$G12))*((1+Inputs!$D$7)^CL$2))))))))</f>
        <v>9.9923383206381668</v>
      </c>
      <c r="CM12" s="88">
        <f>MAX(AW12,($E12*IF(CM$2&gt;Inputs!$D$5,0,IF(CM$2&gt;VLOOKUP($H12,Lists!$P$3:$Q$7,2),IF($N12=Lists!$K$3,IF($L12&lt;1,(($U12/$L12)*((1+Inputs!$D$7)^CM$2)),((INT(CM$2/$L12)-INT((CM$2-1)/$L12))*$U12*((1+Inputs!$D$7)^CM$2))),(Inputs!$D$8^((1-_xlfn.WEIBULL.DIST(CM$2,$M12,$L12,FALSE))/_xlfn.WEIBULL.DIST(CM$2,$M12,$L12,FALSE))*$U12*((1+Inputs!$D$7)^CM$2))),IF($N12=Lists!$K$3,IF($L12&lt;1,((($T12*(1-$F12)+$S12*(1-$G12))/$L12)*((1+Inputs!$D$7)^CM$2)),((INT(CM$2/$L12)-INT((CM$2-1)/$L12))*($T12*(1-$F12)+$S12*(1-$G12))*((1+Inputs!$D$7)^CM$2))),((Inputs!$D$8^((1-_xlfn.WEIBULL.DIST(CM$2,$M12,$L12,FALSE))/_xlfn.WEIBULL.DIST(CM$2,$M12,$L12,FALSE))*($T12*(1-$F12)+$S12*(1-$G12))*((1+Inputs!$D$7)^CM$2))))))))</f>
        <v>9.7925437935243327</v>
      </c>
      <c r="CN12" s="88">
        <f>MAX(AX12,($E12*IF(CN$2&gt;Inputs!$D$5,0,IF(CN$2&gt;VLOOKUP($H12,Lists!$P$3:$Q$7,2),IF($N12=Lists!$K$3,IF($L12&lt;1,(($U12/$L12)*((1+Inputs!$D$7)^CN$2)),((INT(CN$2/$L12)-INT((CN$2-1)/$L12))*$U12*((1+Inputs!$D$7)^CN$2))),(Inputs!$D$8^((1-_xlfn.WEIBULL.DIST(CN$2,$M12,$L12,FALSE))/_xlfn.WEIBULL.DIST(CN$2,$M12,$L12,FALSE))*$U12*((1+Inputs!$D$7)^CN$2))),IF($N12=Lists!$K$3,IF($L12&lt;1,((($T12*(1-$F12)+$S12*(1-$G12))/$L12)*((1+Inputs!$D$7)^CN$2)),((INT(CN$2/$L12)-INT((CN$2-1)/$L12))*($T12*(1-$F12)+$S12*(1-$G12))*((1+Inputs!$D$7)^CN$2))),((Inputs!$D$8^((1-_xlfn.WEIBULL.DIST(CN$2,$M12,$L12,FALSE))/_xlfn.WEIBULL.DIST(CN$2,$M12,$L12,FALSE))*($T12*(1-$F12)+$S12*(1-$G12))*((1+Inputs!$D$7)^CN$2))))))))</f>
        <v>9.5967441124399055</v>
      </c>
      <c r="CO12" s="88">
        <f>MAX(AY12,($E12*IF(CO$2&gt;Inputs!$D$5,0,IF(CO$2&gt;VLOOKUP($H12,Lists!$P$3:$Q$7,2),IF($N12=Lists!$K$3,IF($L12&lt;1,(($U12/$L12)*((1+Inputs!$D$7)^CO$2)),((INT(CO$2/$L12)-INT((CO$2-1)/$L12))*$U12*((1+Inputs!$D$7)^CO$2))),(Inputs!$D$8^((1-_xlfn.WEIBULL.DIST(CO$2,$M12,$L12,FALSE))/_xlfn.WEIBULL.DIST(CO$2,$M12,$L12,FALSE))*$U12*((1+Inputs!$D$7)^CO$2))),IF($N12=Lists!$K$3,IF($L12&lt;1,((($T12*(1-$F12)+$S12*(1-$G12))/$L12)*((1+Inputs!$D$7)^CO$2)),((INT(CO$2/$L12)-INT((CO$2-1)/$L12))*($T12*(1-$F12)+$S12*(1-$G12))*((1+Inputs!$D$7)^CO$2))),((Inputs!$D$8^((1-_xlfn.WEIBULL.DIST(CO$2,$M12,$L12,FALSE))/_xlfn.WEIBULL.DIST(CO$2,$M12,$L12,FALSE))*($T12*(1-$F12)+$S12*(1-$G12))*((1+Inputs!$D$7)^CO$2))))))))</f>
        <v>9.4048594013490856</v>
      </c>
      <c r="CP12" s="88">
        <f>MAX(AZ12,($E12*IF(CP$2&gt;Inputs!$D$5,0,IF(CP$2&gt;VLOOKUP($H12,Lists!$P$3:$Q$7,2),IF($N12=Lists!$K$3,IF($L12&lt;1,(($U12/$L12)*((1+Inputs!$D$7)^CP$2)),((INT(CP$2/$L12)-INT((CP$2-1)/$L12))*$U12*((1+Inputs!$D$7)^CP$2))),(Inputs!$D$8^((1-_xlfn.WEIBULL.DIST(CP$2,$M12,$L12,FALSE))/_xlfn.WEIBULL.DIST(CP$2,$M12,$L12,FALSE))*$U12*((1+Inputs!$D$7)^CP$2))),IF($N12=Lists!$K$3,IF($L12&lt;1,((($T12*(1-$F12)+$S12*(1-$G12))/$L12)*((1+Inputs!$D$7)^CP$2)),((INT(CP$2/$L12)-INT((CP$2-1)/$L12))*($T12*(1-$F12)+$S12*(1-$G12))*((1+Inputs!$D$7)^CP$2))),((Inputs!$D$8^((1-_xlfn.WEIBULL.DIST(CP$2,$M12,$L12,FALSE))/_xlfn.WEIBULL.DIST(CP$2,$M12,$L12,FALSE))*($T12*(1-$F12)+$S12*(1-$G12))*((1+Inputs!$D$7)^CP$2))))))))</f>
        <v>0</v>
      </c>
      <c r="CQ12" s="88">
        <f>MAX(BA12,($E12*IF(CQ$2&gt;Inputs!$D$5,0,IF(CQ$2&gt;VLOOKUP($H12,Lists!$P$3:$Q$7,2),IF($N12=Lists!$K$3,IF($L12&lt;1,(($U12/$L12)*((1+Inputs!$D$7)^CQ$2)),((INT(CQ$2/$L12)-INT((CQ$2-1)/$L12))*$U12*((1+Inputs!$D$7)^CQ$2))),(Inputs!$D$8^((1-_xlfn.WEIBULL.DIST(CQ$2,$M12,$L12,FALSE))/_xlfn.WEIBULL.DIST(CQ$2,$M12,$L12,FALSE))*$U12*((1+Inputs!$D$7)^CQ$2))),IF($N12=Lists!$K$3,IF($L12&lt;1,((($T12*(1-$F12)+$S12*(1-$G12))/$L12)*((1+Inputs!$D$7)^CQ$2)),((INT(CQ$2/$L12)-INT((CQ$2-1)/$L12))*($T12*(1-$F12)+$S12*(1-$G12))*((1+Inputs!$D$7)^CQ$2))),((Inputs!$D$8^((1-_xlfn.WEIBULL.DIST(CQ$2,$M12,$L12,FALSE))/_xlfn.WEIBULL.DIST(CQ$2,$M12,$L12,FALSE))*($T12*(1-$F12)+$S12*(1-$G12))*((1+Inputs!$D$7)^CQ$2))))))))</f>
        <v>0</v>
      </c>
      <c r="CR12" s="88">
        <f>MAX(BB12,($E12*IF(CR$2&gt;Inputs!$D$5,0,IF(CR$2&gt;VLOOKUP($H12,Lists!$P$3:$Q$7,2),IF($N12=Lists!$K$3,IF($L12&lt;1,(($U12/$L12)*((1+Inputs!$D$7)^CR$2)),((INT(CR$2/$L12)-INT((CR$2-1)/$L12))*$U12*((1+Inputs!$D$7)^CR$2))),(Inputs!$D$8^((1-_xlfn.WEIBULL.DIST(CR$2,$M12,$L12,FALSE))/_xlfn.WEIBULL.DIST(CR$2,$M12,$L12,FALSE))*$U12*((1+Inputs!$D$7)^CR$2))),IF($N12=Lists!$K$3,IF($L12&lt;1,((($T12*(1-$F12)+$S12*(1-$G12))/$L12)*((1+Inputs!$D$7)^CR$2)),((INT(CR$2/$L12)-INT((CR$2-1)/$L12))*($T12*(1-$F12)+$S12*(1-$G12))*((1+Inputs!$D$7)^CR$2))),((Inputs!$D$8^((1-_xlfn.WEIBULL.DIST(CR$2,$M12,$L12,FALSE))/_xlfn.WEIBULL.DIST(CR$2,$M12,$L12,FALSE))*($T12*(1-$F12)+$S12*(1-$G12))*((1+Inputs!$D$7)^CR$2))))))))</f>
        <v>0</v>
      </c>
      <c r="CS12" s="88">
        <f>MAX(BC12,($E12*IF(CS$2&gt;Inputs!$D$5,0,IF(CS$2&gt;VLOOKUP($H12,Lists!$P$3:$Q$7,2),IF($N12=Lists!$K$3,IF($L12&lt;1,(($U12/$L12)*((1+Inputs!$D$7)^CS$2)),((INT(CS$2/$L12)-INT((CS$2-1)/$L12))*$U12*((1+Inputs!$D$7)^CS$2))),(Inputs!$D$8^((1-_xlfn.WEIBULL.DIST(CS$2,$M12,$L12,FALSE))/_xlfn.WEIBULL.DIST(CS$2,$M12,$L12,FALSE))*$U12*((1+Inputs!$D$7)^CS$2))),IF($N12=Lists!$K$3,IF($L12&lt;1,((($T12*(1-$F12)+$S12*(1-$G12))/$L12)*((1+Inputs!$D$7)^CS$2)),((INT(CS$2/$L12)-INT((CS$2-1)/$L12))*($T12*(1-$F12)+$S12*(1-$G12))*((1+Inputs!$D$7)^CS$2))),((Inputs!$D$8^((1-_xlfn.WEIBULL.DIST(CS$2,$M12,$L12,FALSE))/_xlfn.WEIBULL.DIST(CS$2,$M12,$L12,FALSE))*($T12*(1-$F12)+$S12*(1-$G12))*((1+Inputs!$D$7)^CS$2))))))))</f>
        <v>0</v>
      </c>
      <c r="CT12" s="88">
        <f>MAX(BD12,($E12*IF(CT$2&gt;Inputs!$D$5,0,IF(CT$2&gt;VLOOKUP($H12,Lists!$P$3:$Q$7,2),IF($N12=Lists!$K$3,IF($L12&lt;1,(($U12/$L12)*((1+Inputs!$D$7)^CT$2)),((INT(CT$2/$L12)-INT((CT$2-1)/$L12))*$U12*((1+Inputs!$D$7)^CT$2))),(Inputs!$D$8^((1-_xlfn.WEIBULL.DIST(CT$2,$M12,$L12,FALSE))/_xlfn.WEIBULL.DIST(CT$2,$M12,$L12,FALSE))*$U12*((1+Inputs!$D$7)^CT$2))),IF($N12=Lists!$K$3,IF($L12&lt;1,((($T12*(1-$F12)+$S12*(1-$G12))/$L12)*((1+Inputs!$D$7)^CT$2)),((INT(CT$2/$L12)-INT((CT$2-1)/$L12))*($T12*(1-$F12)+$S12*(1-$G12))*((1+Inputs!$D$7)^CT$2))),((Inputs!$D$8^((1-_xlfn.WEIBULL.DIST(CT$2,$M12,$L12,FALSE))/_xlfn.WEIBULL.DIST(CT$2,$M12,$L12,FALSE))*($T12*(1-$F12)+$S12*(1-$G12))*((1+Inputs!$D$7)^CT$2))))))))</f>
        <v>0</v>
      </c>
      <c r="CU12" s="88">
        <f>MAX(BE12,($E12*IF(CU$2&gt;Inputs!$D$5,0,IF(CU$2&gt;VLOOKUP($H12,Lists!$P$3:$Q$7,2),IF($N12=Lists!$K$3,IF($L12&lt;1,(($U12/$L12)*((1+Inputs!$D$7)^CU$2)),((INT(CU$2/$L12)-INT((CU$2-1)/$L12))*$U12*((1+Inputs!$D$7)^CU$2))),(Inputs!$D$8^((1-_xlfn.WEIBULL.DIST(CU$2,$M12,$L12,FALSE))/_xlfn.WEIBULL.DIST(CU$2,$M12,$L12,FALSE))*$U12*((1+Inputs!$D$7)^CU$2))),IF($N12=Lists!$K$3,IF($L12&lt;1,((($T12*(1-$F12)+$S12*(1-$G12))/$L12)*((1+Inputs!$D$7)^CU$2)),((INT(CU$2/$L12)-INT((CU$2-1)/$L12))*($T12*(1-$F12)+$S12*(1-$G12))*((1+Inputs!$D$7)^CU$2))),((Inputs!$D$8^((1-_xlfn.WEIBULL.DIST(CU$2,$M12,$L12,FALSE))/_xlfn.WEIBULL.DIST(CU$2,$M12,$L12,FALSE))*($T12*(1-$F12)+$S12*(1-$G12))*((1+Inputs!$D$7)^CU$2))))))))</f>
        <v>0</v>
      </c>
      <c r="CV12" s="88">
        <f>MAX(BF12,($E12*IF(CV$2&gt;Inputs!$D$5,0,IF(CV$2&gt;VLOOKUP($H12,Lists!$P$3:$Q$7,2),IF($N12=Lists!$K$3,IF($L12&lt;1,(($U12/$L12)*((1+Inputs!$D$7)^CV$2)),((INT(CV$2/$L12)-INT((CV$2-1)/$L12))*$U12*((1+Inputs!$D$7)^CV$2))),(Inputs!$D$8^((1-_xlfn.WEIBULL.DIST(CV$2,$M12,$L12,FALSE))/_xlfn.WEIBULL.DIST(CV$2,$M12,$L12,FALSE))*$U12*((1+Inputs!$D$7)^CV$2))),IF($N12=Lists!$K$3,IF($L12&lt;1,((($T12*(1-$F12)+$S12*(1-$G12))/$L12)*((1+Inputs!$D$7)^CV$2)),((INT(CV$2/$L12)-INT((CV$2-1)/$L12))*($T12*(1-$F12)+$S12*(1-$G12))*((1+Inputs!$D$7)^CV$2))),((Inputs!$D$8^((1-_xlfn.WEIBULL.DIST(CV$2,$M12,$L12,FALSE))/_xlfn.WEIBULL.DIST(CV$2,$M12,$L12,FALSE))*($T12*(1-$F12)+$S12*(1-$G12))*((1+Inputs!$D$7)^CV$2))))))))</f>
        <v>0</v>
      </c>
      <c r="CW12" s="88">
        <f>MAX(BG12,($E12*IF(CW$2&gt;Inputs!$D$5,0,IF(CW$2&gt;VLOOKUP($H12,Lists!$P$3:$Q$7,2),IF($N12=Lists!$K$3,IF($L12&lt;1,(($U12/$L12)*((1+Inputs!$D$7)^CW$2)),((INT(CW$2/$L12)-INT((CW$2-1)/$L12))*$U12*((1+Inputs!$D$7)^CW$2))),(Inputs!$D$8^((1-_xlfn.WEIBULL.DIST(CW$2,$M12,$L12,FALSE))/_xlfn.WEIBULL.DIST(CW$2,$M12,$L12,FALSE))*$U12*((1+Inputs!$D$7)^CW$2))),IF($N12=Lists!$K$3,IF($L12&lt;1,((($T12*(1-$F12)+$S12*(1-$G12))/$L12)*((1+Inputs!$D$7)^CW$2)),((INT(CW$2/$L12)-INT((CW$2-1)/$L12))*($T12*(1-$F12)+$S12*(1-$G12))*((1+Inputs!$D$7)^CW$2))),((Inputs!$D$8^((1-_xlfn.WEIBULL.DIST(CW$2,$M12,$L12,FALSE))/_xlfn.WEIBULL.DIST(CW$2,$M12,$L12,FALSE))*($T12*(1-$F12)+$S12*(1-$G12))*((1+Inputs!$D$7)^CW$2))))))))</f>
        <v>0</v>
      </c>
      <c r="CX12" s="88">
        <f>MAX(BH12,($E12*IF(CX$2&gt;Inputs!$D$5,0,IF(CX$2&gt;VLOOKUP($H12,Lists!$P$3:$Q$7,2),IF($N12=Lists!$K$3,IF($L12&lt;1,(($U12/$L12)*((1+Inputs!$D$7)^CX$2)),((INT(CX$2/$L12)-INT((CX$2-1)/$L12))*$U12*((1+Inputs!$D$7)^CX$2))),(Inputs!$D$8^((1-_xlfn.WEIBULL.DIST(CX$2,$M12,$L12,FALSE))/_xlfn.WEIBULL.DIST(CX$2,$M12,$L12,FALSE))*$U12*((1+Inputs!$D$7)^CX$2))),IF($N12=Lists!$K$3,IF($L12&lt;1,((($T12*(1-$F12)+$S12*(1-$G12))/$L12)*((1+Inputs!$D$7)^CX$2)),((INT(CX$2/$L12)-INT((CX$2-1)/$L12))*($T12*(1-$F12)+$S12*(1-$G12))*((1+Inputs!$D$7)^CX$2))),((Inputs!$D$8^((1-_xlfn.WEIBULL.DIST(CX$2,$M12,$L12,FALSE))/_xlfn.WEIBULL.DIST(CX$2,$M12,$L12,FALSE))*($T12*(1-$F12)+$S12*(1-$G12))*((1+Inputs!$D$7)^CX$2))))))))</f>
        <v>0</v>
      </c>
      <c r="CY12" s="88">
        <f>MAX(BI12,($E12*IF(CY$2&gt;Inputs!$D$5,0,IF(CY$2&gt;VLOOKUP($H12,Lists!$P$3:$Q$7,2),IF($N12=Lists!$K$3,IF($L12&lt;1,(($U12/$L12)*((1+Inputs!$D$7)^CY$2)),((INT(CY$2/$L12)-INT((CY$2-1)/$L12))*$U12*((1+Inputs!$D$7)^CY$2))),(Inputs!$D$8^((1-_xlfn.WEIBULL.DIST(CY$2,$M12,$L12,FALSE))/_xlfn.WEIBULL.DIST(CY$2,$M12,$L12,FALSE))*$U12*((1+Inputs!$D$7)^CY$2))),IF($N12=Lists!$K$3,IF($L12&lt;1,((($T12*(1-$F12)+$S12*(1-$G12))/$L12)*((1+Inputs!$D$7)^CY$2)),((INT(CY$2/$L12)-INT((CY$2-1)/$L12))*($T12*(1-$F12)+$S12*(1-$G12))*((1+Inputs!$D$7)^CY$2))),((Inputs!$D$8^((1-_xlfn.WEIBULL.DIST(CY$2,$M12,$L12,FALSE))/_xlfn.WEIBULL.DIST(CY$2,$M12,$L12,FALSE))*($T12*(1-$F12)+$S12*(1-$G12))*((1+Inputs!$D$7)^CY$2))))))))</f>
        <v>0</v>
      </c>
      <c r="CZ12" s="88">
        <f>MAX(BJ12,($E12*IF(CZ$2&gt;Inputs!$D$5,0,IF(CZ$2&gt;VLOOKUP($H12,Lists!$P$3:$Q$7,2),IF($N12=Lists!$K$3,IF($L12&lt;1,(($U12/$L12)*((1+Inputs!$D$7)^CZ$2)),((INT(CZ$2/$L12)-INT((CZ$2-1)/$L12))*$U12*((1+Inputs!$D$7)^CZ$2))),(Inputs!$D$8^((1-_xlfn.WEIBULL.DIST(CZ$2,$M12,$L12,FALSE))/_xlfn.WEIBULL.DIST(CZ$2,$M12,$L12,FALSE))*$U12*((1+Inputs!$D$7)^CZ$2))),IF($N12=Lists!$K$3,IF($L12&lt;1,((($T12*(1-$F12)+$S12*(1-$G12))/$L12)*((1+Inputs!$D$7)^CZ$2)),((INT(CZ$2/$L12)-INT((CZ$2-1)/$L12))*($T12*(1-$F12)+$S12*(1-$G12))*((1+Inputs!$D$7)^CZ$2))),((Inputs!$D$8^((1-_xlfn.WEIBULL.DIST(CZ$2,$M12,$L12,FALSE))/_xlfn.WEIBULL.DIST(CZ$2,$M12,$L12,FALSE))*($T12*(1-$F12)+$S12*(1-$G12))*((1+Inputs!$D$7)^CZ$2))))))))</f>
        <v>0</v>
      </c>
      <c r="DA12" s="88">
        <f>MAX(BK12,($E12*IF(DA$2&gt;Inputs!$D$5,0,IF(DA$2&gt;VLOOKUP($H12,Lists!$P$3:$Q$7,2),IF($N12=Lists!$K$3,IF($L12&lt;1,(($U12/$L12)*((1+Inputs!$D$7)^DA$2)),((INT(DA$2/$L12)-INT((DA$2-1)/$L12))*$U12*((1+Inputs!$D$7)^DA$2))),(Inputs!$D$8^((1-_xlfn.WEIBULL.DIST(DA$2,$M12,$L12,FALSE))/_xlfn.WEIBULL.DIST(DA$2,$M12,$L12,FALSE))*$U12*((1+Inputs!$D$7)^DA$2))),IF($N12=Lists!$K$3,IF($L12&lt;1,((($T12*(1-$F12)+$S12*(1-$G12))/$L12)*((1+Inputs!$D$7)^DA$2)),((INT(DA$2/$L12)-INT((DA$2-1)/$L12))*($T12*(1-$F12)+$S12*(1-$G12))*((1+Inputs!$D$7)^DA$2))),((Inputs!$D$8^((1-_xlfn.WEIBULL.DIST(DA$2,$M12,$L12,FALSE))/_xlfn.WEIBULL.DIST(DA$2,$M12,$L12,FALSE))*($T12*(1-$F12)+$S12*(1-$G12))*((1+Inputs!$D$7)^DA$2))))))))</f>
        <v>0</v>
      </c>
      <c r="DB12" s="88">
        <f>MAX(BL12,($E12*IF(DB$2&gt;Inputs!$D$5,0,IF(DB$2&gt;VLOOKUP($H12,Lists!$P$3:$Q$7,2),IF($N12=Lists!$K$3,IF($L12&lt;1,(($U12/$L12)*((1+Inputs!$D$7)^DB$2)),((INT(DB$2/$L12)-INT((DB$2-1)/$L12))*$U12*((1+Inputs!$D$7)^DB$2))),(Inputs!$D$8^((1-_xlfn.WEIBULL.DIST(DB$2,$M12,$L12,FALSE))/_xlfn.WEIBULL.DIST(DB$2,$M12,$L12,FALSE))*$U12*((1+Inputs!$D$7)^DB$2))),IF($N12=Lists!$K$3,IF($L12&lt;1,((($T12*(1-$F12)+$S12*(1-$G12))/$L12)*((1+Inputs!$D$7)^DB$2)),((INT(DB$2/$L12)-INT((DB$2-1)/$L12))*($T12*(1-$F12)+$S12*(1-$G12))*((1+Inputs!$D$7)^DB$2))),((Inputs!$D$8^((1-_xlfn.WEIBULL.DIST(DB$2,$M12,$L12,FALSE))/_xlfn.WEIBULL.DIST(DB$2,$M12,$L12,FALSE))*($T12*(1-$F12)+$S12*(1-$G12))*((1+Inputs!$D$7)^DB$2))))))))</f>
        <v>0</v>
      </c>
      <c r="DC12" s="88">
        <f>MAX(BM12,($E12*IF(DC$2&gt;Inputs!$D$5,0,IF(DC$2&gt;VLOOKUP($H12,Lists!$P$3:$Q$7,2),IF($N12=Lists!$K$3,IF($L12&lt;1,(($U12/$L12)*((1+Inputs!$D$7)^DC$2)),((INT(DC$2/$L12)-INT((DC$2-1)/$L12))*$U12*((1+Inputs!$D$7)^DC$2))),(Inputs!$D$8^((1-_xlfn.WEIBULL.DIST(DC$2,$M12,$L12,FALSE))/_xlfn.WEIBULL.DIST(DC$2,$M12,$L12,FALSE))*$U12*((1+Inputs!$D$7)^DC$2))),IF($N12=Lists!$K$3,IF($L12&lt;1,((($T12*(1-$F12)+$S12*(1-$G12))/$L12)*((1+Inputs!$D$7)^DC$2)),((INT(DC$2/$L12)-INT((DC$2-1)/$L12))*($T12*(1-$F12)+$S12*(1-$G12))*((1+Inputs!$D$7)^DC$2))),((Inputs!$D$8^((1-_xlfn.WEIBULL.DIST(DC$2,$M12,$L12,FALSE))/_xlfn.WEIBULL.DIST(DC$2,$M12,$L12,FALSE))*($T12*(1-$F12)+$S12*(1-$G12))*((1+Inputs!$D$7)^DC$2))))))))</f>
        <v>0</v>
      </c>
      <c r="DD12" s="88">
        <f>MAX(BN12,($E12*IF(DD$2&gt;Inputs!$D$5,0,IF(DD$2&gt;VLOOKUP($H12,Lists!$P$3:$Q$7,2),IF($N12=Lists!$K$3,IF($L12&lt;1,(($U12/$L12)*((1+Inputs!$D$7)^DD$2)),((INT(DD$2/$L12)-INT((DD$2-1)/$L12))*$U12*((1+Inputs!$D$7)^DD$2))),(Inputs!$D$8^((1-_xlfn.WEIBULL.DIST(DD$2,$M12,$L12,FALSE))/_xlfn.WEIBULL.DIST(DD$2,$M12,$L12,FALSE))*$U12*((1+Inputs!$D$7)^DD$2))),IF($N12=Lists!$K$3,IF($L12&lt;1,((($T12*(1-$F12)+$S12*(1-$G12))/$L12)*((1+Inputs!$D$7)^DD$2)),((INT(DD$2/$L12)-INT((DD$2-1)/$L12))*($T12*(1-$F12)+$S12*(1-$G12))*((1+Inputs!$D$7)^DD$2))),((Inputs!$D$8^((1-_xlfn.WEIBULL.DIST(DD$2,$M12,$L12,FALSE))/_xlfn.WEIBULL.DIST(DD$2,$M12,$L12,FALSE))*($T12*(1-$F12)+$S12*(1-$G12))*((1+Inputs!$D$7)^DD$2))))))))</f>
        <v>0</v>
      </c>
    </row>
    <row r="13" spans="1:108" s="1" customFormat="1" ht="16">
      <c r="A13" s="57" t="s">
        <v>207</v>
      </c>
      <c r="B13" s="13" t="s">
        <v>130</v>
      </c>
      <c r="C13" s="13" t="s">
        <v>474</v>
      </c>
      <c r="D13" s="13" t="s">
        <v>122</v>
      </c>
      <c r="E13" s="48">
        <v>1</v>
      </c>
      <c r="F13" s="48">
        <v>1</v>
      </c>
      <c r="G13" s="48">
        <v>1</v>
      </c>
      <c r="H13" s="105" t="s">
        <v>349</v>
      </c>
      <c r="I13" s="14"/>
      <c r="J13" s="14" t="s">
        <v>87</v>
      </c>
      <c r="K13" s="13">
        <f>VLOOKUP(J13,'Labor Rates'!$A$1:$F$16,2)</f>
        <v>32.012019230769226</v>
      </c>
      <c r="L13" s="15">
        <v>25</v>
      </c>
      <c r="M13" s="15">
        <v>3</v>
      </c>
      <c r="N13" s="16" t="s">
        <v>226</v>
      </c>
      <c r="O13" s="61">
        <v>1</v>
      </c>
      <c r="P13" s="15">
        <v>1</v>
      </c>
      <c r="Q13" s="15">
        <f t="shared" si="0"/>
        <v>0.04</v>
      </c>
      <c r="R13" s="4">
        <v>0</v>
      </c>
      <c r="S13" s="53">
        <f t="shared" si="1"/>
        <v>32.012019230769226</v>
      </c>
      <c r="T13" s="53">
        <f t="shared" si="2"/>
        <v>0</v>
      </c>
      <c r="U13" s="54">
        <f t="shared" si="3"/>
        <v>32.012019230769226</v>
      </c>
      <c r="V13" s="65"/>
      <c r="W13" s="58"/>
      <c r="X13" s="64">
        <f t="shared" si="4"/>
        <v>0.91118731406247611</v>
      </c>
      <c r="Y13" s="64">
        <f>NPV(Inputs!$D$6,AA13:BN13)</f>
        <v>9.2860771168141536</v>
      </c>
      <c r="Z13" s="67">
        <f t="shared" si="5"/>
        <v>4.3797673211482294E-6</v>
      </c>
      <c r="AA13" s="88">
        <f>$E13*IF(AA$2&gt;Inputs!$D$5,0,IF(AA$2&gt;VLOOKUP($H13,Lists!$P$3:$Q$7,2),IF($N13=Lists!$K$3,IF($L13&lt;1,(($U13/$L13)*((1+Inputs!$D$7)^AA$2)),((INT(AA$2/$L13)-INT((AA$2-1)/$L13))*$U13*((1+Inputs!$D$7)^AA$2))),(_xlfn.WEIBULL.DIST(AA$2,$M13,$L13,FALSE)*$U13*((1+Inputs!$D$7)^AA$2))),IF($N13=Lists!$K$3,IF($L13&lt;1,((($T13*(1-$F13)+$S13*(1-$G13))/$L13)*((1+Inputs!$D$7)^AA$2)),((INT(AA$2/$L13)-INT((AA$2-1)/$L13))*($T13*(1-$F13)+$S13*(1-$G13))*((1+Inputs!$D$7)^AA$2))),((_xlfn.WEIBULL.DIST(AA$2,$M13,$L13,FALSE)*($T13*(1-$F13)+$S13*(1-$G13))*((1+Inputs!$D$7)^AA$2))))))</f>
        <v>0</v>
      </c>
      <c r="AB13" s="88">
        <f>$E13*IF(AB$2&gt;Inputs!$D$5,0,IF(AB$2&gt;VLOOKUP($H13,Lists!$P$3:$Q$7,2),IF($N13=Lists!$K$3,IF($L13&lt;1,(($U13/$L13)*((1+Inputs!$D$7)^AB$2)),((INT(AB$2/$L13)-INT((AB$2-1)/$L13))*$U13*((1+Inputs!$D$7)^AB$2))),(_xlfn.WEIBULL.DIST(AB$2,$M13,$L13,FALSE)*$U13*((1+Inputs!$D$7)^AB$2))),IF($N13=Lists!$K$3,IF($L13&lt;1,((($T13*(1-$F13)+$S13*(1-$G13))/$L13)*((1+Inputs!$D$7)^AB$2)),((INT(AB$2/$L13)-INT((AB$2-1)/$L13))*($T13*(1-$F13)+$S13*(1-$G13))*((1+Inputs!$D$7)^AB$2))),((_xlfn.WEIBULL.DIST(AB$2,$M13,$L13,FALSE)*($T13*(1-$F13)+$S13*(1-$G13))*((1+Inputs!$D$7)^AB$2))))))</f>
        <v>2.5565381265622102E-2</v>
      </c>
      <c r="AC13" s="88">
        <f>$E13*IF(AC$2&gt;Inputs!$D$5,0,IF(AC$2&gt;VLOOKUP($H13,Lists!$P$3:$Q$7,2),IF($N13=Lists!$K$3,IF($L13&lt;1,(($U13/$L13)*((1+Inputs!$D$7)^AC$2)),((INT(AC$2/$L13)-INT((AC$2-1)/$L13))*$U13*((1+Inputs!$D$7)^AC$2))),(_xlfn.WEIBULL.DIST(AC$2,$M13,$L13,FALSE)*$U13*((1+Inputs!$D$7)^AC$2))),IF($N13=Lists!$K$3,IF($L13&lt;1,((($T13*(1-$F13)+$S13*(1-$G13))/$L13)*((1+Inputs!$D$7)^AC$2)),((INT(AC$2/$L13)-INT((AC$2-1)/$L13))*($T13*(1-$F13)+$S13*(1-$G13))*((1+Inputs!$D$7)^AC$2))),((_xlfn.WEIBULL.DIST(AC$2,$M13,$L13,FALSE)*($T13*(1-$F13)+$S13*(1-$G13))*((1+Inputs!$D$7)^AC$2))))))</f>
        <v>5.8601247544478881E-2</v>
      </c>
      <c r="AD13" s="88">
        <f>$E13*IF(AD$2&gt;Inputs!$D$5,0,IF(AD$2&gt;VLOOKUP($H13,Lists!$P$3:$Q$7,2),IF($N13=Lists!$K$3,IF($L13&lt;1,(($U13/$L13)*((1+Inputs!$D$7)^AD$2)),((INT(AD$2/$L13)-INT((AD$2-1)/$L13))*$U13*((1+Inputs!$D$7)^AD$2))),(_xlfn.WEIBULL.DIST(AD$2,$M13,$L13,FALSE)*$U13*((1+Inputs!$D$7)^AD$2))),IF($N13=Lists!$K$3,IF($L13&lt;1,((($T13*(1-$F13)+$S13*(1-$G13))/$L13)*((1+Inputs!$D$7)^AD$2)),((INT(AD$2/$L13)-INT((AD$2-1)/$L13))*($T13*(1-$F13)+$S13*(1-$G13))*((1+Inputs!$D$7)^AD$2))),((_xlfn.WEIBULL.DIST(AD$2,$M13,$L13,FALSE)*($T13*(1-$F13)+$S13*(1-$G13))*((1+Inputs!$D$7)^AD$2))))))</f>
        <v>0.1060122610505547</v>
      </c>
      <c r="AE13" s="88">
        <f>$E13*IF(AE$2&gt;Inputs!$D$5,0,IF(AE$2&gt;VLOOKUP($H13,Lists!$P$3:$Q$7,2),IF($N13=Lists!$K$3,IF($L13&lt;1,(($U13/$L13)*((1+Inputs!$D$7)^AE$2)),((INT(AE$2/$L13)-INT((AE$2-1)/$L13))*$U13*((1+Inputs!$D$7)^AE$2))),(_xlfn.WEIBULL.DIST(AE$2,$M13,$L13,FALSE)*$U13*((1+Inputs!$D$7)^AE$2))),IF($N13=Lists!$K$3,IF($L13&lt;1,((($T13*(1-$F13)+$S13*(1-$G13))/$L13)*((1+Inputs!$D$7)^AE$2)),((INT(AE$2/$L13)-INT((AE$2-1)/$L13))*($T13*(1-$F13)+$S13*(1-$G13))*((1+Inputs!$D$7)^AE$2))),((_xlfn.WEIBULL.DIST(AE$2,$M13,$L13,FALSE)*($T13*(1-$F13)+$S13*(1-$G13))*((1+Inputs!$D$7)^AE$2))))))</f>
        <v>0.16829871864253901</v>
      </c>
      <c r="AF13" s="88">
        <f>$E13*IF(AF$2&gt;Inputs!$D$5,0,IF(AF$2&gt;VLOOKUP($H13,Lists!$P$3:$Q$7,2),IF($N13=Lists!$K$3,IF($L13&lt;1,(($U13/$L13)*((1+Inputs!$D$7)^AF$2)),((INT(AF$2/$L13)-INT((AF$2-1)/$L13))*$U13*((1+Inputs!$D$7)^AF$2))),(_xlfn.WEIBULL.DIST(AF$2,$M13,$L13,FALSE)*$U13*((1+Inputs!$D$7)^AF$2))),IF($N13=Lists!$K$3,IF($L13&lt;1,((($T13*(1-$F13)+$S13*(1-$G13))/$L13)*((1+Inputs!$D$7)^AF$2)),((INT(AF$2/$L13)-INT((AF$2-1)/$L13))*($T13*(1-$F13)+$S13*(1-$G13))*((1+Inputs!$D$7)^AF$2))),((_xlfn.WEIBULL.DIST(AF$2,$M13,$L13,FALSE)*($T13*(1-$F13)+$S13*(1-$G13))*((1+Inputs!$D$7)^AF$2))))))</f>
        <v>0.24576166590465207</v>
      </c>
      <c r="AG13" s="88">
        <f>$E13*IF(AG$2&gt;Inputs!$D$5,0,IF(AG$2&gt;VLOOKUP($H13,Lists!$P$3:$Q$7,2),IF($N13=Lists!$K$3,IF($L13&lt;1,(($U13/$L13)*((1+Inputs!$D$7)^AG$2)),((INT(AG$2/$L13)-INT((AG$2-1)/$L13))*$U13*((1+Inputs!$D$7)^AG$2))),(_xlfn.WEIBULL.DIST(AG$2,$M13,$L13,FALSE)*$U13*((1+Inputs!$D$7)^AG$2))),IF($N13=Lists!$K$3,IF($L13&lt;1,((($T13*(1-$F13)+$S13*(1-$G13))/$L13)*((1+Inputs!$D$7)^AG$2)),((INT(AG$2/$L13)-INT((AG$2-1)/$L13))*($T13*(1-$F13)+$S13*(1-$G13))*((1+Inputs!$D$7)^AG$2))),((_xlfn.WEIBULL.DIST(AG$2,$M13,$L13,FALSE)*($T13*(1-$F13)+$S13*(1-$G13))*((1+Inputs!$D$7)^AG$2))))))</f>
        <v>0.33843708652273219</v>
      </c>
      <c r="AH13" s="88">
        <f>$E13*IF(AH$2&gt;Inputs!$D$5,0,IF(AH$2&gt;VLOOKUP($H13,Lists!$P$3:$Q$7,2),IF($N13=Lists!$K$3,IF($L13&lt;1,(($U13/$L13)*((1+Inputs!$D$7)^AH$2)),((INT(AH$2/$L13)-INT((AH$2-1)/$L13))*$U13*((1+Inputs!$D$7)^AH$2))),(_xlfn.WEIBULL.DIST(AH$2,$M13,$L13,FALSE)*$U13*((1+Inputs!$D$7)^AH$2))),IF($N13=Lists!$K$3,IF($L13&lt;1,((($T13*(1-$F13)+$S13*(1-$G13))/$L13)*((1+Inputs!$D$7)^AH$2)),((INT(AH$2/$L13)-INT((AH$2-1)/$L13))*($T13*(1-$F13)+$S13*(1-$G13))*((1+Inputs!$D$7)^AH$2))),((_xlfn.WEIBULL.DIST(AH$2,$M13,$L13,FALSE)*($T13*(1-$F13)+$S13*(1-$G13))*((1+Inputs!$D$7)^AH$2))))))</f>
        <v>0.44603063054580472</v>
      </c>
      <c r="AI13" s="88">
        <f>$E13*IF(AI$2&gt;Inputs!$D$5,0,IF(AI$2&gt;VLOOKUP($H13,Lists!$P$3:$Q$7,2),IF($N13=Lists!$K$3,IF($L13&lt;1,(($U13/$L13)*((1+Inputs!$D$7)^AI$2)),((INT(AI$2/$L13)-INT((AI$2-1)/$L13))*$U13*((1+Inputs!$D$7)^AI$2))),(_xlfn.WEIBULL.DIST(AI$2,$M13,$L13,FALSE)*$U13*((1+Inputs!$D$7)^AI$2))),IF($N13=Lists!$K$3,IF($L13&lt;1,((($T13*(1-$F13)+$S13*(1-$G13))/$L13)*((1+Inputs!$D$7)^AI$2)),((INT(AI$2/$L13)-INT((AI$2-1)/$L13))*($T13*(1-$F13)+$S13*(1-$G13))*((1+Inputs!$D$7)^AI$2))),((_xlfn.WEIBULL.DIST(AI$2,$M13,$L13,FALSE)*($T13*(1-$F13)+$S13*(1-$G13))*((1+Inputs!$D$7)^AI$2))))))</f>
        <v>0.56785626187940785</v>
      </c>
      <c r="AJ13" s="88">
        <f>$E13*IF(AJ$2&gt;Inputs!$D$5,0,IF(AJ$2&gt;VLOOKUP($H13,Lists!$P$3:$Q$7,2),IF($N13=Lists!$K$3,IF($L13&lt;1,(($U13/$L13)*((1+Inputs!$D$7)^AJ$2)),((INT(AJ$2/$L13)-INT((AJ$2-1)/$L13))*$U13*((1+Inputs!$D$7)^AJ$2))),(_xlfn.WEIBULL.DIST(AJ$2,$M13,$L13,FALSE)*$U13*((1+Inputs!$D$7)^AJ$2))),IF($N13=Lists!$K$3,IF($L13&lt;1,((($T13*(1-$F13)+$S13*(1-$G13))/$L13)*((1+Inputs!$D$7)^AJ$2)),((INT(AJ$2/$L13)-INT((AJ$2-1)/$L13))*($T13*(1-$F13)+$S13*(1-$G13))*((1+Inputs!$D$7)^AJ$2))),((_xlfn.WEIBULL.DIST(AJ$2,$M13,$L13,FALSE)*($T13*(1-$F13)+$S13*(1-$G13))*((1+Inputs!$D$7)^AJ$2))))))</f>
        <v>0.70278287221612934</v>
      </c>
      <c r="AK13" s="88">
        <f>$E13*IF(AK$2&gt;Inputs!$D$5,0,IF(AK$2&gt;VLOOKUP($H13,Lists!$P$3:$Q$7,2),IF($N13=Lists!$K$3,IF($L13&lt;1,(($U13/$L13)*((1+Inputs!$D$7)^AK$2)),((INT(AK$2/$L13)-INT((AK$2-1)/$L13))*$U13*((1+Inputs!$D$7)^AK$2))),(_xlfn.WEIBULL.DIST(AK$2,$M13,$L13,FALSE)*$U13*((1+Inputs!$D$7)^AK$2))),IF($N13=Lists!$K$3,IF($L13&lt;1,((($T13*(1-$F13)+$S13*(1-$G13))/$L13)*((1+Inputs!$D$7)^AK$2)),((INT(AK$2/$L13)-INT((AK$2-1)/$L13))*($T13*(1-$F13)+$S13*(1-$G13))*((1+Inputs!$D$7)^AK$2))),((_xlfn.WEIBULL.DIST(AK$2,$M13,$L13,FALSE)*($T13*(1-$F13)+$S13*(1-$G13))*((1+Inputs!$D$7)^AK$2))))))</f>
        <v>0.84919341219702571</v>
      </c>
      <c r="AL13" s="88">
        <f>$E13*IF(AL$2&gt;Inputs!$D$5,0,IF(AL$2&gt;VLOOKUP($H13,Lists!$P$3:$Q$7,2),IF($N13=Lists!$K$3,IF($L13&lt;1,(($U13/$L13)*((1+Inputs!$D$7)^AL$2)),((INT(AL$2/$L13)-INT((AL$2-1)/$L13))*$U13*((1+Inputs!$D$7)^AL$2))),(_xlfn.WEIBULL.DIST(AL$2,$M13,$L13,FALSE)*$U13*((1+Inputs!$D$7)^AL$2))),IF($N13=Lists!$K$3,IF($L13&lt;1,((($T13*(1-$F13)+$S13*(1-$G13))/$L13)*((1+Inputs!$D$7)^AL$2)),((INT(AL$2/$L13)-INT((AL$2-1)/$L13))*($T13*(1-$F13)+$S13*(1-$G13))*((1+Inputs!$D$7)^AL$2))),((_xlfn.WEIBULL.DIST(AL$2,$M13,$L13,FALSE)*($T13*(1-$F13)+$S13*(1-$G13))*((1+Inputs!$D$7)^AL$2))))))</f>
        <v>1.0049613413316731</v>
      </c>
      <c r="AM13" s="88">
        <f>$E13*IF(AM$2&gt;Inputs!$D$5,0,IF(AM$2&gt;VLOOKUP($H13,Lists!$P$3:$Q$7,2),IF($N13=Lists!$K$3,IF($L13&lt;1,(($U13/$L13)*((1+Inputs!$D$7)^AM$2)),((INT(AM$2/$L13)-INT((AM$2-1)/$L13))*$U13*((1+Inputs!$D$7)^AM$2))),(_xlfn.WEIBULL.DIST(AM$2,$M13,$L13,FALSE)*$U13*((1+Inputs!$D$7)^AM$2))),IF($N13=Lists!$K$3,IF($L13&lt;1,((($T13*(1-$F13)+$S13*(1-$G13))/$L13)*((1+Inputs!$D$7)^AM$2)),((INT(AM$2/$L13)-INT((AM$2-1)/$L13))*($T13*(1-$F13)+$S13*(1-$G13))*((1+Inputs!$D$7)^AM$2))),((_xlfn.WEIBULL.DIST(AM$2,$M13,$L13,FALSE)*($T13*(1-$F13)+$S13*(1-$G13))*((1+Inputs!$D$7)^AM$2))))))</f>
        <v>1.1674491057177998</v>
      </c>
      <c r="AN13" s="88">
        <f>$E13*IF(AN$2&gt;Inputs!$D$5,0,IF(AN$2&gt;VLOOKUP($H13,Lists!$P$3:$Q$7,2),IF($N13=Lists!$K$3,IF($L13&lt;1,(($U13/$L13)*((1+Inputs!$D$7)^AN$2)),((INT(AN$2/$L13)-INT((AN$2-1)/$L13))*$U13*((1+Inputs!$D$7)^AN$2))),(_xlfn.WEIBULL.DIST(AN$2,$M13,$L13,FALSE)*$U13*((1+Inputs!$D$7)^AN$2))),IF($N13=Lists!$K$3,IF($L13&lt;1,((($T13*(1-$F13)+$S13*(1-$G13))/$L13)*((1+Inputs!$D$7)^AN$2)),((INT(AN$2/$L13)-INT((AN$2-1)/$L13))*($T13*(1-$F13)+$S13*(1-$G13))*((1+Inputs!$D$7)^AN$2))),((_xlfn.WEIBULL.DIST(AN$2,$M13,$L13,FALSE)*($T13*(1-$F13)+$S13*(1-$G13))*((1+Inputs!$D$7)^AN$2))))))</f>
        <v>1.3335328365636108</v>
      </c>
      <c r="AO13" s="88">
        <f>$E13*IF(AO$2&gt;Inputs!$D$5,0,IF(AO$2&gt;VLOOKUP($H13,Lists!$P$3:$Q$7,2),IF($N13=Lists!$K$3,IF($L13&lt;1,(($U13/$L13)*((1+Inputs!$D$7)^AO$2)),((INT(AO$2/$L13)-INT((AO$2-1)/$L13))*$U13*((1+Inputs!$D$7)^AO$2))),(_xlfn.WEIBULL.DIST(AO$2,$M13,$L13,FALSE)*$U13*((1+Inputs!$D$7)^AO$2))),IF($N13=Lists!$K$3,IF($L13&lt;1,((($T13*(1-$F13)+$S13*(1-$G13))/$L13)*((1+Inputs!$D$7)^AO$2)),((INT(AO$2/$L13)-INT((AO$2-1)/$L13))*($T13*(1-$F13)+$S13*(1-$G13))*((1+Inputs!$D$7)^AO$2))),((_xlfn.WEIBULL.DIST(AO$2,$M13,$L13,FALSE)*($T13*(1-$F13)+$S13*(1-$G13))*((1+Inputs!$D$7)^AO$2))))))</f>
        <v>1.4996564656096449</v>
      </c>
      <c r="AP13" s="88">
        <f>$E13*IF(AP$2&gt;Inputs!$D$5,0,IF(AP$2&gt;VLOOKUP($H13,Lists!$P$3:$Q$7,2),IF($N13=Lists!$K$3,IF($L13&lt;1,(($U13/$L13)*((1+Inputs!$D$7)^AP$2)),((INT(AP$2/$L13)-INT((AP$2-1)/$L13))*$U13*((1+Inputs!$D$7)^AP$2))),(_xlfn.WEIBULL.DIST(AP$2,$M13,$L13,FALSE)*$U13*((1+Inputs!$D$7)^AP$2))),IF($N13=Lists!$K$3,IF($L13&lt;1,((($T13*(1-$F13)+$S13*(1-$G13))/$L13)*((1+Inputs!$D$7)^AP$2)),((INT(AP$2/$L13)-INT((AP$2-1)/$L13))*($T13*(1-$F13)+$S13*(1-$G13))*((1+Inputs!$D$7)^AP$2))),((_xlfn.WEIBULL.DIST(AP$2,$M13,$L13,FALSE)*($T13*(1-$F13)+$S13*(1-$G13))*((1+Inputs!$D$7)^AP$2))))))</f>
        <v>1.6619169554076667</v>
      </c>
      <c r="AQ13" s="88">
        <f>$E13*IF(AQ$2&gt;Inputs!$D$5,0,IF(AQ$2&gt;VLOOKUP($H13,Lists!$P$3:$Q$7,2),IF($N13=Lists!$K$3,IF($L13&lt;1,(($U13/$L13)*((1+Inputs!$D$7)^AQ$2)),((INT(AQ$2/$L13)-INT((AQ$2-1)/$L13))*$U13*((1+Inputs!$D$7)^AQ$2))),(_xlfn.WEIBULL.DIST(AQ$2,$M13,$L13,FALSE)*$U13*((1+Inputs!$D$7)^AQ$2))),IF($N13=Lists!$K$3,IF($L13&lt;1,((($T13*(1-$F13)+$S13*(1-$G13))/$L13)*((1+Inputs!$D$7)^AQ$2)),((INT(AQ$2/$L13)-INT((AQ$2-1)/$L13))*($T13*(1-$F13)+$S13*(1-$G13))*((1+Inputs!$D$7)^AQ$2))),((_xlfn.WEIBULL.DIST(AQ$2,$M13,$L13,FALSE)*($T13*(1-$F13)+$S13*(1-$G13))*((1+Inputs!$D$7)^AQ$2))))))</f>
        <v>1.8161803727564578</v>
      </c>
      <c r="AR13" s="88">
        <f>$E13*IF(AR$2&gt;Inputs!$D$5,0,IF(AR$2&gt;VLOOKUP($H13,Lists!$P$3:$Q$7,2),IF($N13=Lists!$K$3,IF($L13&lt;1,(($U13/$L13)*((1+Inputs!$D$7)^AR$2)),((INT(AR$2/$L13)-INT((AR$2-1)/$L13))*$U13*((1+Inputs!$D$7)^AR$2))),(_xlfn.WEIBULL.DIST(AR$2,$M13,$L13,FALSE)*$U13*((1+Inputs!$D$7)^AR$2))),IF($N13=Lists!$K$3,IF($L13&lt;1,((($T13*(1-$F13)+$S13*(1-$G13))/$L13)*((1+Inputs!$D$7)^AR$2)),((INT(AR$2/$L13)-INT((AR$2-1)/$L13))*($T13*(1-$F13)+$S13*(1-$G13))*((1+Inputs!$D$7)^AR$2))),((_xlfn.WEIBULL.DIST(AR$2,$M13,$L13,FALSE)*($T13*(1-$F13)+$S13*(1-$G13))*((1+Inputs!$D$7)^AR$2))))))</f>
        <v>1.9582261822687868</v>
      </c>
      <c r="AS13" s="88">
        <f>$E13*IF(AS$2&gt;Inputs!$D$5,0,IF(AS$2&gt;VLOOKUP($H13,Lists!$P$3:$Q$7,2),IF($N13=Lists!$K$3,IF($L13&lt;1,(($U13/$L13)*((1+Inputs!$D$7)^AS$2)),((INT(AS$2/$L13)-INT((AS$2-1)/$L13))*$U13*((1+Inputs!$D$7)^AS$2))),(_xlfn.WEIBULL.DIST(AS$2,$M13,$L13,FALSE)*$U13*((1+Inputs!$D$7)^AS$2))),IF($N13=Lists!$K$3,IF($L13&lt;1,((($T13*(1-$F13)+$S13*(1-$G13))/$L13)*((1+Inputs!$D$7)^AS$2)),((INT(AS$2/$L13)-INT((AS$2-1)/$L13))*($T13*(1-$F13)+$S13*(1-$G13))*((1+Inputs!$D$7)^AS$2))),((_xlfn.WEIBULL.DIST(AS$2,$M13,$L13,FALSE)*($T13*(1-$F13)+$S13*(1-$G13))*((1+Inputs!$D$7)^AS$2))))))</f>
        <v>2.0839145585300543</v>
      </c>
      <c r="AT13" s="88">
        <f>$E13*IF(AT$2&gt;Inputs!$D$5,0,IF(AT$2&gt;VLOOKUP($H13,Lists!$P$3:$Q$7,2),IF($N13=Lists!$K$3,IF($L13&lt;1,(($U13/$L13)*((1+Inputs!$D$7)^AT$2)),((INT(AT$2/$L13)-INT((AT$2-1)/$L13))*$U13*((1+Inputs!$D$7)^AT$2))),(_xlfn.WEIBULL.DIST(AT$2,$M13,$L13,FALSE)*$U13*((1+Inputs!$D$7)^AT$2))),IF($N13=Lists!$K$3,IF($L13&lt;1,((($T13*(1-$F13)+$S13*(1-$G13))/$L13)*((1+Inputs!$D$7)^AT$2)),((INT(AT$2/$L13)-INT((AT$2-1)/$L13))*($T13*(1-$F13)+$S13*(1-$G13))*((1+Inputs!$D$7)^AT$2))),((_xlfn.WEIBULL.DIST(AT$2,$M13,$L13,FALSE)*($T13*(1-$F13)+$S13*(1-$G13))*((1+Inputs!$D$7)^AT$2))))))</f>
        <v>2.1893689252948838</v>
      </c>
      <c r="AU13" s="88">
        <f>$E13*IF(AU$2&gt;Inputs!$D$5,0,IF(AU$2&gt;VLOOKUP($H13,Lists!$P$3:$Q$7,2),IF($N13=Lists!$K$3,IF($L13&lt;1,(($U13/$L13)*((1+Inputs!$D$7)^AU$2)),((INT(AU$2/$L13)-INT((AU$2-1)/$L13))*$U13*((1+Inputs!$D$7)^AU$2))),(_xlfn.WEIBULL.DIST(AU$2,$M13,$L13,FALSE)*$U13*((1+Inputs!$D$7)^AU$2))),IF($N13=Lists!$K$3,IF($L13&lt;1,((($T13*(1-$F13)+$S13*(1-$G13))/$L13)*((1+Inputs!$D$7)^AU$2)),((INT(AU$2/$L13)-INT((AU$2-1)/$L13))*($T13*(1-$F13)+$S13*(1-$G13))*((1+Inputs!$D$7)^AU$2))),((_xlfn.WEIBULL.DIST(AU$2,$M13,$L13,FALSE)*($T13*(1-$F13)+$S13*(1-$G13))*((1+Inputs!$D$7)^AU$2))))))</f>
        <v>2.2711635924888189</v>
      </c>
      <c r="AV13" s="88">
        <f>$E13*IF(AV$2&gt;Inputs!$D$5,0,IF(AV$2&gt;VLOOKUP($H13,Lists!$P$3:$Q$7,2),IF($N13=Lists!$K$3,IF($L13&lt;1,(($U13/$L13)*((1+Inputs!$D$7)^AV$2)),((INT(AV$2/$L13)-INT((AV$2-1)/$L13))*$U13*((1+Inputs!$D$7)^AV$2))),(_xlfn.WEIBULL.DIST(AV$2,$M13,$L13,FALSE)*$U13*((1+Inputs!$D$7)^AV$2))),IF($N13=Lists!$K$3,IF($L13&lt;1,((($T13*(1-$F13)+$S13*(1-$G13))/$L13)*((1+Inputs!$D$7)^AV$2)),((INT(AV$2/$L13)-INT((AV$2-1)/$L13))*($T13*(1-$F13)+$S13*(1-$G13))*((1+Inputs!$D$7)^AV$2))),((_xlfn.WEIBULL.DIST(AV$2,$M13,$L13,FALSE)*($T13*(1-$F13)+$S13*(1-$G13))*((1+Inputs!$D$7)^AV$2))))))</f>
        <v>2.3265045651428329</v>
      </c>
      <c r="AW13" s="88">
        <f>$E13*IF(AW$2&gt;Inputs!$D$5,0,IF(AW$2&gt;VLOOKUP($H13,Lists!$P$3:$Q$7,2),IF($N13=Lists!$K$3,IF($L13&lt;1,(($U13/$L13)*((1+Inputs!$D$7)^AW$2)),((INT(AW$2/$L13)-INT((AW$2-1)/$L13))*$U13*((1+Inputs!$D$7)^AW$2))),(_xlfn.WEIBULL.DIST(AW$2,$M13,$L13,FALSE)*$U13*((1+Inputs!$D$7)^AW$2))),IF($N13=Lists!$K$3,IF($L13&lt;1,((($T13*(1-$F13)+$S13*(1-$G13))/$L13)*((1+Inputs!$D$7)^AW$2)),((INT(AW$2/$L13)-INT((AW$2-1)/$L13))*($T13*(1-$F13)+$S13*(1-$G13))*((1+Inputs!$D$7)^AW$2))),((_xlfn.WEIBULL.DIST(AW$2,$M13,$L13,FALSE)*($T13*(1-$F13)+$S13*(1-$G13))*((1+Inputs!$D$7)^AW$2))))))</f>
        <v>2.3533906239015878</v>
      </c>
      <c r="AX13" s="88">
        <f>$E13*IF(AX$2&gt;Inputs!$D$5,0,IF(AX$2&gt;VLOOKUP($H13,Lists!$P$3:$Q$7,2),IF($N13=Lists!$K$3,IF($L13&lt;1,(($U13/$L13)*((1+Inputs!$D$7)^AX$2)),((INT(AX$2/$L13)-INT((AX$2-1)/$L13))*$U13*((1+Inputs!$D$7)^AX$2))),(_xlfn.WEIBULL.DIST(AX$2,$M13,$L13,FALSE)*$U13*((1+Inputs!$D$7)^AX$2))),IF($N13=Lists!$K$3,IF($L13&lt;1,((($T13*(1-$F13)+$S13*(1-$G13))/$L13)*((1+Inputs!$D$7)^AX$2)),((INT(AX$2/$L13)-INT((AX$2-1)/$L13))*($T13*(1-$F13)+$S13*(1-$G13))*((1+Inputs!$D$7)^AX$2))),((_xlfn.WEIBULL.DIST(AX$2,$M13,$L13,FALSE)*($T13*(1-$F13)+$S13*(1-$G13))*((1+Inputs!$D$7)^AX$2))))))</f>
        <v>2.3507418592106277</v>
      </c>
      <c r="AY13" s="88">
        <f>$E13*IF(AY$2&gt;Inputs!$D$5,0,IF(AY$2&gt;VLOOKUP($H13,Lists!$P$3:$Q$7,2),IF($N13=Lists!$K$3,IF($L13&lt;1,(($U13/$L13)*((1+Inputs!$D$7)^AY$2)),((INT(AY$2/$L13)-INT((AY$2-1)/$L13))*$U13*((1+Inputs!$D$7)^AY$2))),(_xlfn.WEIBULL.DIST(AY$2,$M13,$L13,FALSE)*$U13*((1+Inputs!$D$7)^AY$2))),IF($N13=Lists!$K$3,IF($L13&lt;1,((($T13*(1-$F13)+$S13*(1-$G13))/$L13)*((1+Inputs!$D$7)^AY$2)),((INT(AY$2/$L13)-INT((AY$2-1)/$L13))*($T13*(1-$F13)+$S13*(1-$G13))*((1+Inputs!$D$7)^AY$2))),((_xlfn.WEIBULL.DIST(AY$2,$M13,$L13,FALSE)*($T13*(1-$F13)+$S13*(1-$G13))*((1+Inputs!$D$7)^AY$2))))))</f>
        <v>2.3184841289849278</v>
      </c>
      <c r="AZ13" s="88">
        <f>$E13*IF(AZ$2&gt;Inputs!$D$5,0,IF(AZ$2&gt;VLOOKUP($H13,Lists!$P$3:$Q$7,2),IF($N13=Lists!$K$3,IF($L13&lt;1,(($U13/$L13)*((1+Inputs!$D$7)^AZ$2)),((INT(AZ$2/$L13)-INT((AZ$2-1)/$L13))*$U13*((1+Inputs!$D$7)^AZ$2))),(_xlfn.WEIBULL.DIST(AZ$2,$M13,$L13,FALSE)*$U13*((1+Inputs!$D$7)^AZ$2))),IF($N13=Lists!$K$3,IF($L13&lt;1,((($T13*(1-$F13)+$S13*(1-$G13))/$L13)*((1+Inputs!$D$7)^AZ$2)),((INT(AZ$2/$L13)-INT((AZ$2-1)/$L13))*($T13*(1-$F13)+$S13*(1-$G13))*((1+Inputs!$D$7)^AZ$2))),((_xlfn.WEIBULL.DIST(AZ$2,$M13,$L13,FALSE)*($T13*(1-$F13)+$S13*(1-$G13))*((1+Inputs!$D$7)^AZ$2))))))</f>
        <v>0</v>
      </c>
      <c r="BA13" s="88">
        <f>$E13*IF(BA$2&gt;Inputs!$D$5,0,IF(BA$2&gt;VLOOKUP($H13,Lists!$P$3:$Q$7,2),IF($N13=Lists!$K$3,IF($L13&lt;1,(($U13/$L13)*((1+Inputs!$D$7)^BA$2)),((INT(BA$2/$L13)-INT((BA$2-1)/$L13))*$U13*((1+Inputs!$D$7)^BA$2))),(_xlfn.WEIBULL.DIST(BA$2,$M13,$L13,FALSE)*$U13*((1+Inputs!$D$7)^BA$2))),IF($N13=Lists!$K$3,IF($L13&lt;1,((($T13*(1-$F13)+$S13*(1-$G13))/$L13)*((1+Inputs!$D$7)^BA$2)),((INT(BA$2/$L13)-INT((BA$2-1)/$L13))*($T13*(1-$F13)+$S13*(1-$G13))*((1+Inputs!$D$7)^BA$2))),((_xlfn.WEIBULL.DIST(BA$2,$M13,$L13,FALSE)*($T13*(1-$F13)+$S13*(1-$G13))*((1+Inputs!$D$7)^BA$2))))))</f>
        <v>0</v>
      </c>
      <c r="BB13" s="88">
        <f>$E13*IF(BB$2&gt;Inputs!$D$5,0,IF(BB$2&gt;VLOOKUP($H13,Lists!$P$3:$Q$7,2),IF($N13=Lists!$K$3,IF($L13&lt;1,(($U13/$L13)*((1+Inputs!$D$7)^BB$2)),((INT(BB$2/$L13)-INT((BB$2-1)/$L13))*$U13*((1+Inputs!$D$7)^BB$2))),(_xlfn.WEIBULL.DIST(BB$2,$M13,$L13,FALSE)*$U13*((1+Inputs!$D$7)^BB$2))),IF($N13=Lists!$K$3,IF($L13&lt;1,((($T13*(1-$F13)+$S13*(1-$G13))/$L13)*((1+Inputs!$D$7)^BB$2)),((INT(BB$2/$L13)-INT((BB$2-1)/$L13))*($T13*(1-$F13)+$S13*(1-$G13))*((1+Inputs!$D$7)^BB$2))),((_xlfn.WEIBULL.DIST(BB$2,$M13,$L13,FALSE)*($T13*(1-$F13)+$S13*(1-$G13))*((1+Inputs!$D$7)^BB$2))))))</f>
        <v>0</v>
      </c>
      <c r="BC13" s="88">
        <f>$E13*IF(BC$2&gt;Inputs!$D$5,0,IF(BC$2&gt;VLOOKUP($H13,Lists!$P$3:$Q$7,2),IF($N13=Lists!$K$3,IF($L13&lt;1,(($U13/$L13)*((1+Inputs!$D$7)^BC$2)),((INT(BC$2/$L13)-INT((BC$2-1)/$L13))*$U13*((1+Inputs!$D$7)^BC$2))),(_xlfn.WEIBULL.DIST(BC$2,$M13,$L13,FALSE)*$U13*((1+Inputs!$D$7)^BC$2))),IF($N13=Lists!$K$3,IF($L13&lt;1,((($T13*(1-$F13)+$S13*(1-$G13))/$L13)*((1+Inputs!$D$7)^BC$2)),((INT(BC$2/$L13)-INT((BC$2-1)/$L13))*($T13*(1-$F13)+$S13*(1-$G13))*((1+Inputs!$D$7)^BC$2))),((_xlfn.WEIBULL.DIST(BC$2,$M13,$L13,FALSE)*($T13*(1-$F13)+$S13*(1-$G13))*((1+Inputs!$D$7)^BC$2))))))</f>
        <v>0</v>
      </c>
      <c r="BD13" s="88">
        <f>$E13*IF(BD$2&gt;Inputs!$D$5,0,IF(BD$2&gt;VLOOKUP($H13,Lists!$P$3:$Q$7,2),IF($N13=Lists!$K$3,IF($L13&lt;1,(($U13/$L13)*((1+Inputs!$D$7)^BD$2)),((INT(BD$2/$L13)-INT((BD$2-1)/$L13))*$U13*((1+Inputs!$D$7)^BD$2))),(_xlfn.WEIBULL.DIST(BD$2,$M13,$L13,FALSE)*$U13*((1+Inputs!$D$7)^BD$2))),IF($N13=Lists!$K$3,IF($L13&lt;1,((($T13*(1-$F13)+$S13*(1-$G13))/$L13)*((1+Inputs!$D$7)^BD$2)),((INT(BD$2/$L13)-INT((BD$2-1)/$L13))*($T13*(1-$F13)+$S13*(1-$G13))*((1+Inputs!$D$7)^BD$2))),((_xlfn.WEIBULL.DIST(BD$2,$M13,$L13,FALSE)*($T13*(1-$F13)+$S13*(1-$G13))*((1+Inputs!$D$7)^BD$2))))))</f>
        <v>0</v>
      </c>
      <c r="BE13" s="88">
        <f>$E13*IF(BE$2&gt;Inputs!$D$5,0,IF(BE$2&gt;VLOOKUP($H13,Lists!$P$3:$Q$7,2),IF($N13=Lists!$K$3,IF($L13&lt;1,(($U13/$L13)*((1+Inputs!$D$7)^BE$2)),((INT(BE$2/$L13)-INT((BE$2-1)/$L13))*$U13*((1+Inputs!$D$7)^BE$2))),(_xlfn.WEIBULL.DIST(BE$2,$M13,$L13,FALSE)*$U13*((1+Inputs!$D$7)^BE$2))),IF($N13=Lists!$K$3,IF($L13&lt;1,((($T13*(1-$F13)+$S13*(1-$G13))/$L13)*((1+Inputs!$D$7)^BE$2)),((INT(BE$2/$L13)-INT((BE$2-1)/$L13))*($T13*(1-$F13)+$S13*(1-$G13))*((1+Inputs!$D$7)^BE$2))),((_xlfn.WEIBULL.DIST(BE$2,$M13,$L13,FALSE)*($T13*(1-$F13)+$S13*(1-$G13))*((1+Inputs!$D$7)^BE$2))))))</f>
        <v>0</v>
      </c>
      <c r="BF13" s="88">
        <f>$E13*IF(BF$2&gt;Inputs!$D$5,0,IF(BF$2&gt;VLOOKUP($H13,Lists!$P$3:$Q$7,2),IF($N13=Lists!$K$3,IF($L13&lt;1,(($U13/$L13)*((1+Inputs!$D$7)^BF$2)),((INT(BF$2/$L13)-INT((BF$2-1)/$L13))*$U13*((1+Inputs!$D$7)^BF$2))),(_xlfn.WEIBULL.DIST(BF$2,$M13,$L13,FALSE)*$U13*((1+Inputs!$D$7)^BF$2))),IF($N13=Lists!$K$3,IF($L13&lt;1,((($T13*(1-$F13)+$S13*(1-$G13))/$L13)*((1+Inputs!$D$7)^BF$2)),((INT(BF$2/$L13)-INT((BF$2-1)/$L13))*($T13*(1-$F13)+$S13*(1-$G13))*((1+Inputs!$D$7)^BF$2))),((_xlfn.WEIBULL.DIST(BF$2,$M13,$L13,FALSE)*($T13*(1-$F13)+$S13*(1-$G13))*((1+Inputs!$D$7)^BF$2))))))</f>
        <v>0</v>
      </c>
      <c r="BG13" s="88">
        <f>$E13*IF(BG$2&gt;Inputs!$D$5,0,IF(BG$2&gt;VLOOKUP($H13,Lists!$P$3:$Q$7,2),IF($N13=Lists!$K$3,IF($L13&lt;1,(($U13/$L13)*((1+Inputs!$D$7)^BG$2)),((INT(BG$2/$L13)-INT((BG$2-1)/$L13))*$U13*((1+Inputs!$D$7)^BG$2))),(_xlfn.WEIBULL.DIST(BG$2,$M13,$L13,FALSE)*$U13*((1+Inputs!$D$7)^BG$2))),IF($N13=Lists!$K$3,IF($L13&lt;1,((($T13*(1-$F13)+$S13*(1-$G13))/$L13)*((1+Inputs!$D$7)^BG$2)),((INT(BG$2/$L13)-INT((BG$2-1)/$L13))*($T13*(1-$F13)+$S13*(1-$G13))*((1+Inputs!$D$7)^BG$2))),((_xlfn.WEIBULL.DIST(BG$2,$M13,$L13,FALSE)*($T13*(1-$F13)+$S13*(1-$G13))*((1+Inputs!$D$7)^BG$2))))))</f>
        <v>0</v>
      </c>
      <c r="BH13" s="88">
        <f>$E13*IF(BH$2&gt;Inputs!$D$5,0,IF(BH$2&gt;VLOOKUP($H13,Lists!$P$3:$Q$7,2),IF($N13=Lists!$K$3,IF($L13&lt;1,(($U13/$L13)*((1+Inputs!$D$7)^BH$2)),((INT(BH$2/$L13)-INT((BH$2-1)/$L13))*$U13*((1+Inputs!$D$7)^BH$2))),(_xlfn.WEIBULL.DIST(BH$2,$M13,$L13,FALSE)*$U13*((1+Inputs!$D$7)^BH$2))),IF($N13=Lists!$K$3,IF($L13&lt;1,((($T13*(1-$F13)+$S13*(1-$G13))/$L13)*((1+Inputs!$D$7)^BH$2)),((INT(BH$2/$L13)-INT((BH$2-1)/$L13))*($T13*(1-$F13)+$S13*(1-$G13))*((1+Inputs!$D$7)^BH$2))),((_xlfn.WEIBULL.DIST(BH$2,$M13,$L13,FALSE)*($T13*(1-$F13)+$S13*(1-$G13))*((1+Inputs!$D$7)^BH$2))))))</f>
        <v>0</v>
      </c>
      <c r="BI13" s="88">
        <f>$E13*IF(BI$2&gt;Inputs!$D$5,0,IF(BI$2&gt;VLOOKUP($H13,Lists!$P$3:$Q$7,2),IF($N13=Lists!$K$3,IF($L13&lt;1,(($U13/$L13)*((1+Inputs!$D$7)^BI$2)),((INT(BI$2/$L13)-INT((BI$2-1)/$L13))*$U13*((1+Inputs!$D$7)^BI$2))),(_xlfn.WEIBULL.DIST(BI$2,$M13,$L13,FALSE)*$U13*((1+Inputs!$D$7)^BI$2))),IF($N13=Lists!$K$3,IF($L13&lt;1,((($T13*(1-$F13)+$S13*(1-$G13))/$L13)*((1+Inputs!$D$7)^BI$2)),((INT(BI$2/$L13)-INT((BI$2-1)/$L13))*($T13*(1-$F13)+$S13*(1-$G13))*((1+Inputs!$D$7)^BI$2))),((_xlfn.WEIBULL.DIST(BI$2,$M13,$L13,FALSE)*($T13*(1-$F13)+$S13*(1-$G13))*((1+Inputs!$D$7)^BI$2))))))</f>
        <v>0</v>
      </c>
      <c r="BJ13" s="88">
        <f>$E13*IF(BJ$2&gt;Inputs!$D$5,0,IF(BJ$2&gt;VLOOKUP($H13,Lists!$P$3:$Q$7,2),IF($N13=Lists!$K$3,IF($L13&lt;1,(($U13/$L13)*((1+Inputs!$D$7)^BJ$2)),((INT(BJ$2/$L13)-INT((BJ$2-1)/$L13))*$U13*((1+Inputs!$D$7)^BJ$2))),(_xlfn.WEIBULL.DIST(BJ$2,$M13,$L13,FALSE)*$U13*((1+Inputs!$D$7)^BJ$2))),IF($N13=Lists!$K$3,IF($L13&lt;1,((($T13*(1-$F13)+$S13*(1-$G13))/$L13)*((1+Inputs!$D$7)^BJ$2)),((INT(BJ$2/$L13)-INT((BJ$2-1)/$L13))*($T13*(1-$F13)+$S13*(1-$G13))*((1+Inputs!$D$7)^BJ$2))),((_xlfn.WEIBULL.DIST(BJ$2,$M13,$L13,FALSE)*($T13*(1-$F13)+$S13*(1-$G13))*((1+Inputs!$D$7)^BJ$2))))))</f>
        <v>0</v>
      </c>
      <c r="BK13" s="88">
        <f>$E13*IF(BK$2&gt;Inputs!$D$5,0,IF(BK$2&gt;VLOOKUP($H13,Lists!$P$3:$Q$7,2),IF($N13=Lists!$K$3,IF($L13&lt;1,(($U13/$L13)*((1+Inputs!$D$7)^BK$2)),((INT(BK$2/$L13)-INT((BK$2-1)/$L13))*$U13*((1+Inputs!$D$7)^BK$2))),(_xlfn.WEIBULL.DIST(BK$2,$M13,$L13,FALSE)*$U13*((1+Inputs!$D$7)^BK$2))),IF($N13=Lists!$K$3,IF($L13&lt;1,((($T13*(1-$F13)+$S13*(1-$G13))/$L13)*((1+Inputs!$D$7)^BK$2)),((INT(BK$2/$L13)-INT((BK$2-1)/$L13))*($T13*(1-$F13)+$S13*(1-$G13))*((1+Inputs!$D$7)^BK$2))),((_xlfn.WEIBULL.DIST(BK$2,$M13,$L13,FALSE)*($T13*(1-$F13)+$S13*(1-$G13))*((1+Inputs!$D$7)^BK$2))))))</f>
        <v>0</v>
      </c>
      <c r="BL13" s="88">
        <f>$E13*IF(BL$2&gt;Inputs!$D$5,0,IF(BL$2&gt;VLOOKUP($H13,Lists!$P$3:$Q$7,2),IF($N13=Lists!$K$3,IF($L13&lt;1,(($U13/$L13)*((1+Inputs!$D$7)^BL$2)),((INT(BL$2/$L13)-INT((BL$2-1)/$L13))*$U13*((1+Inputs!$D$7)^BL$2))),(_xlfn.WEIBULL.DIST(BL$2,$M13,$L13,FALSE)*$U13*((1+Inputs!$D$7)^BL$2))),IF($N13=Lists!$K$3,IF($L13&lt;1,((($T13*(1-$F13)+$S13*(1-$G13))/$L13)*((1+Inputs!$D$7)^BL$2)),((INT(BL$2/$L13)-INT((BL$2-1)/$L13))*($T13*(1-$F13)+$S13*(1-$G13))*((1+Inputs!$D$7)^BL$2))),((_xlfn.WEIBULL.DIST(BL$2,$M13,$L13,FALSE)*($T13*(1-$F13)+$S13*(1-$G13))*((1+Inputs!$D$7)^BL$2))))))</f>
        <v>0</v>
      </c>
      <c r="BM13" s="88">
        <f>$E13*IF(BM$2&gt;Inputs!$D$5,0,IF(BM$2&gt;VLOOKUP($H13,Lists!$P$3:$Q$7,2),IF($N13=Lists!$K$3,IF($L13&lt;1,(($U13/$L13)*((1+Inputs!$D$7)^BM$2)),((INT(BM$2/$L13)-INT((BM$2-1)/$L13))*$U13*((1+Inputs!$D$7)^BM$2))),(_xlfn.WEIBULL.DIST(BM$2,$M13,$L13,FALSE)*$U13*((1+Inputs!$D$7)^BM$2))),IF($N13=Lists!$K$3,IF($L13&lt;1,((($T13*(1-$F13)+$S13*(1-$G13))/$L13)*((1+Inputs!$D$7)^BM$2)),((INT(BM$2/$L13)-INT((BM$2-1)/$L13))*($T13*(1-$F13)+$S13*(1-$G13))*((1+Inputs!$D$7)^BM$2))),((_xlfn.WEIBULL.DIST(BM$2,$M13,$L13,FALSE)*($T13*(1-$F13)+$S13*(1-$G13))*((1+Inputs!$D$7)^BM$2))))))</f>
        <v>0</v>
      </c>
      <c r="BN13" s="88">
        <f>$E13*IF(BN$2&gt;Inputs!$D$5,0,IF(BN$2&gt;VLOOKUP($H13,Lists!$P$3:$Q$7,2),IF($N13=Lists!$K$3,IF($L13&lt;1,(($U13/$L13)*((1+Inputs!$D$7)^BN$2)),((INT(BN$2/$L13)-INT((BN$2-1)/$L13))*$U13*((1+Inputs!$D$7)^BN$2))),(_xlfn.WEIBULL.DIST(BN$2,$M13,$L13,FALSE)*$U13*((1+Inputs!$D$7)^BN$2))),IF($N13=Lists!$K$3,IF($L13&lt;1,((($T13*(1-$F13)+$S13*(1-$G13))/$L13)*((1+Inputs!$D$7)^BN$2)),((INT(BN$2/$L13)-INT((BN$2-1)/$L13))*($T13*(1-$F13)+$S13*(1-$G13))*((1+Inputs!$D$7)^BN$2))),((_xlfn.WEIBULL.DIST(BN$2,$M13,$L13,FALSE)*($T13*(1-$F13)+$S13*(1-$G13))*((1+Inputs!$D$7)^BN$2))))))</f>
        <v>0</v>
      </c>
      <c r="BO13" s="64">
        <f>NPV(Inputs!$D$6,BQ13:DD13)</f>
        <v>26.158142089127896</v>
      </c>
      <c r="BP13" s="67">
        <f t="shared" si="6"/>
        <v>1.2337456868247468E-5</v>
      </c>
      <c r="BQ13" s="88">
        <f>MAX(AA13,($E13*IF(BQ$2&gt;Inputs!$D$5,0,IF(BQ$2&gt;VLOOKUP($H13,Lists!$P$3:$Q$7,2),IF($N13=Lists!$K$3,IF($L13&lt;1,(($U13/$L13)*((1+Inputs!$D$7)^BQ$2)),((INT(BQ$2/$L13)-INT((BQ$2-1)/$L13))*$U13*((1+Inputs!$D$7)^BQ$2))),(Inputs!$D$8^((1-_xlfn.WEIBULL.DIST(BQ$2,$M13,$L13,FALSE))/_xlfn.WEIBULL.DIST(BQ$2,$M13,$L13,FALSE))*$U13*((1+Inputs!$D$7)^BQ$2))),IF($N13=Lists!$K$3,IF($L13&lt;1,((($T13*(1-$F13)+$S13*(1-$G13))/$L13)*((1+Inputs!$D$7)^BQ$2)),((INT(BQ$2/$L13)-INT((BQ$2-1)/$L13))*($T13*(1-$F13)+$S13*(1-$G13))*((1+Inputs!$D$7)^BQ$2))),((Inputs!$D$8^((1-_xlfn.WEIBULL.DIST(BQ$2,$M13,$L13,FALSE))/_xlfn.WEIBULL.DIST(BQ$2,$M13,$L13,FALSE))*($T13*(1-$F13)+$S13*(1-$G13))*((1+Inputs!$D$7)^BQ$2))))))))</f>
        <v>0</v>
      </c>
      <c r="BR13" s="88">
        <f>MAX(AB13,($E13*IF(BR$2&gt;Inputs!$D$5,0,IF(BR$2&gt;VLOOKUP($H13,Lists!$P$3:$Q$7,2),IF($N13=Lists!$K$3,IF($L13&lt;1,(($U13/$L13)*((1+Inputs!$D$7)^BR$2)),((INT(BR$2/$L13)-INT((BR$2-1)/$L13))*$U13*((1+Inputs!$D$7)^BR$2))),(Inputs!$D$8^((1-_xlfn.WEIBULL.DIST(BR$2,$M13,$L13,FALSE))/_xlfn.WEIBULL.DIST(BR$2,$M13,$L13,FALSE))*$U13*((1+Inputs!$D$7)^BR$2))),IF($N13=Lists!$K$3,IF($L13&lt;1,((($T13*(1-$F13)+$S13*(1-$G13))/$L13)*((1+Inputs!$D$7)^BR$2)),((INT(BR$2/$L13)-INT((BR$2-1)/$L13))*($T13*(1-$F13)+$S13*(1-$G13))*((1+Inputs!$D$7)^BR$2))),((Inputs!$D$8^((1-_xlfn.WEIBULL.DIST(BR$2,$M13,$L13,FALSE))/_xlfn.WEIBULL.DIST(BR$2,$M13,$L13,FALSE))*($T13*(1-$F13)+$S13*(1-$G13))*((1+Inputs!$D$7)^BR$2))))))))</f>
        <v>2.5565381265622102E-2</v>
      </c>
      <c r="BS13" s="88">
        <f>MAX(AC13,($E13*IF(BS$2&gt;Inputs!$D$5,0,IF(BS$2&gt;VLOOKUP($H13,Lists!$P$3:$Q$7,2),IF($N13=Lists!$K$3,IF($L13&lt;1,(($U13/$L13)*((1+Inputs!$D$7)^BS$2)),((INT(BS$2/$L13)-INT((BS$2-1)/$L13))*$U13*((1+Inputs!$D$7)^BS$2))),(Inputs!$D$8^((1-_xlfn.WEIBULL.DIST(BS$2,$M13,$L13,FALSE))/_xlfn.WEIBULL.DIST(BS$2,$M13,$L13,FALSE))*$U13*((1+Inputs!$D$7)^BS$2))),IF($N13=Lists!$K$3,IF($L13&lt;1,((($T13*(1-$F13)+$S13*(1-$G13))/$L13)*((1+Inputs!$D$7)^BS$2)),((INT(BS$2/$L13)-INT((BS$2-1)/$L13))*($T13*(1-$F13)+$S13*(1-$G13))*((1+Inputs!$D$7)^BS$2))),((Inputs!$D$8^((1-_xlfn.WEIBULL.DIST(BS$2,$M13,$L13,FALSE))/_xlfn.WEIBULL.DIST(BS$2,$M13,$L13,FALSE))*($T13*(1-$F13)+$S13*(1-$G13))*((1+Inputs!$D$7)^BS$2))))))))</f>
        <v>5.8601247544478881E-2</v>
      </c>
      <c r="BT13" s="88">
        <f>MAX(AD13,($E13*IF(BT$2&gt;Inputs!$D$5,0,IF(BT$2&gt;VLOOKUP($H13,Lists!$P$3:$Q$7,2),IF($N13=Lists!$K$3,IF($L13&lt;1,(($U13/$L13)*((1+Inputs!$D$7)^BT$2)),((INT(BT$2/$L13)-INT((BT$2-1)/$L13))*$U13*((1+Inputs!$D$7)^BT$2))),(Inputs!$D$8^((1-_xlfn.WEIBULL.DIST(BT$2,$M13,$L13,FALSE))/_xlfn.WEIBULL.DIST(BT$2,$M13,$L13,FALSE))*$U13*((1+Inputs!$D$7)^BT$2))),IF($N13=Lists!$K$3,IF($L13&lt;1,((($T13*(1-$F13)+$S13*(1-$G13))/$L13)*((1+Inputs!$D$7)^BT$2)),((INT(BT$2/$L13)-INT((BT$2-1)/$L13))*($T13*(1-$F13)+$S13*(1-$G13))*((1+Inputs!$D$7)^BT$2))),((Inputs!$D$8^((1-_xlfn.WEIBULL.DIST(BT$2,$M13,$L13,FALSE))/_xlfn.WEIBULL.DIST(BT$2,$M13,$L13,FALSE))*($T13*(1-$F13)+$S13*(1-$G13))*((1+Inputs!$D$7)^BT$2))))))))</f>
        <v>0.1060122610505547</v>
      </c>
      <c r="BU13" s="88">
        <f>MAX(AE13,($E13*IF(BU$2&gt;Inputs!$D$5,0,IF(BU$2&gt;VLOOKUP($H13,Lists!$P$3:$Q$7,2),IF($N13=Lists!$K$3,IF($L13&lt;1,(($U13/$L13)*((1+Inputs!$D$7)^BU$2)),((INT(BU$2/$L13)-INT((BU$2-1)/$L13))*$U13*((1+Inputs!$D$7)^BU$2))),(Inputs!$D$8^((1-_xlfn.WEIBULL.DIST(BU$2,$M13,$L13,FALSE))/_xlfn.WEIBULL.DIST(BU$2,$M13,$L13,FALSE))*$U13*((1+Inputs!$D$7)^BU$2))),IF($N13=Lists!$K$3,IF($L13&lt;1,((($T13*(1-$F13)+$S13*(1-$G13))/$L13)*((1+Inputs!$D$7)^BU$2)),((INT(BU$2/$L13)-INT((BU$2-1)/$L13))*($T13*(1-$F13)+$S13*(1-$G13))*((1+Inputs!$D$7)^BU$2))),((Inputs!$D$8^((1-_xlfn.WEIBULL.DIST(BU$2,$M13,$L13,FALSE))/_xlfn.WEIBULL.DIST(BU$2,$M13,$L13,FALSE))*($T13*(1-$F13)+$S13*(1-$G13))*((1+Inputs!$D$7)^BU$2))))))))</f>
        <v>0.16829871864253901</v>
      </c>
      <c r="BV13" s="88">
        <f>MAX(AF13,($E13*IF(BV$2&gt;Inputs!$D$5,0,IF(BV$2&gt;VLOOKUP($H13,Lists!$P$3:$Q$7,2),IF($N13=Lists!$K$3,IF($L13&lt;1,(($U13/$L13)*((1+Inputs!$D$7)^BV$2)),((INT(BV$2/$L13)-INT((BV$2-1)/$L13))*$U13*((1+Inputs!$D$7)^BV$2))),(Inputs!$D$8^((1-_xlfn.WEIBULL.DIST(BV$2,$M13,$L13,FALSE))/_xlfn.WEIBULL.DIST(BV$2,$M13,$L13,FALSE))*$U13*((1+Inputs!$D$7)^BV$2))),IF($N13=Lists!$K$3,IF($L13&lt;1,((($T13*(1-$F13)+$S13*(1-$G13))/$L13)*((1+Inputs!$D$7)^BV$2)),((INT(BV$2/$L13)-INT((BV$2-1)/$L13))*($T13*(1-$F13)+$S13*(1-$G13))*((1+Inputs!$D$7)^BV$2))),((Inputs!$D$8^((1-_xlfn.WEIBULL.DIST(BV$2,$M13,$L13,FALSE))/_xlfn.WEIBULL.DIST(BV$2,$M13,$L13,FALSE))*($T13*(1-$F13)+$S13*(1-$G13))*((1+Inputs!$D$7)^BV$2))))))))</f>
        <v>0.24576166590465207</v>
      </c>
      <c r="BW13" s="88">
        <f>MAX(AG13,($E13*IF(BW$2&gt;Inputs!$D$5,0,IF(BW$2&gt;VLOOKUP($H13,Lists!$P$3:$Q$7,2),IF($N13=Lists!$K$3,IF($L13&lt;1,(($U13/$L13)*((1+Inputs!$D$7)^BW$2)),((INT(BW$2/$L13)-INT((BW$2-1)/$L13))*$U13*((1+Inputs!$D$7)^BW$2))),(Inputs!$D$8^((1-_xlfn.WEIBULL.DIST(BW$2,$M13,$L13,FALSE))/_xlfn.WEIBULL.DIST(BW$2,$M13,$L13,FALSE))*$U13*((1+Inputs!$D$7)^BW$2))),IF($N13=Lists!$K$3,IF($L13&lt;1,((($T13*(1-$F13)+$S13*(1-$G13))/$L13)*((1+Inputs!$D$7)^BW$2)),((INT(BW$2/$L13)-INT((BW$2-1)/$L13))*($T13*(1-$F13)+$S13*(1-$G13))*((1+Inputs!$D$7)^BW$2))),((Inputs!$D$8^((1-_xlfn.WEIBULL.DIST(BW$2,$M13,$L13,FALSE))/_xlfn.WEIBULL.DIST(BW$2,$M13,$L13,FALSE))*($T13*(1-$F13)+$S13*(1-$G13))*((1+Inputs!$D$7)^BW$2))))))))</f>
        <v>0.33843708652273219</v>
      </c>
      <c r="BX13" s="88">
        <f>MAX(AH13,($E13*IF(BX$2&gt;Inputs!$D$5,0,IF(BX$2&gt;VLOOKUP($H13,Lists!$P$3:$Q$7,2),IF($N13=Lists!$K$3,IF($L13&lt;1,(($U13/$L13)*((1+Inputs!$D$7)^BX$2)),((INT(BX$2/$L13)-INT((BX$2-1)/$L13))*$U13*((1+Inputs!$D$7)^BX$2))),(Inputs!$D$8^((1-_xlfn.WEIBULL.DIST(BX$2,$M13,$L13,FALSE))/_xlfn.WEIBULL.DIST(BX$2,$M13,$L13,FALSE))*$U13*((1+Inputs!$D$7)^BX$2))),IF($N13=Lists!$K$3,IF($L13&lt;1,((($T13*(1-$F13)+$S13*(1-$G13))/$L13)*((1+Inputs!$D$7)^BX$2)),((INT(BX$2/$L13)-INT((BX$2-1)/$L13))*($T13*(1-$F13)+$S13*(1-$G13))*((1+Inputs!$D$7)^BX$2))),((Inputs!$D$8^((1-_xlfn.WEIBULL.DIST(BX$2,$M13,$L13,FALSE))/_xlfn.WEIBULL.DIST(BX$2,$M13,$L13,FALSE))*($T13*(1-$F13)+$S13*(1-$G13))*((1+Inputs!$D$7)^BX$2))))))))</f>
        <v>0.44603063054580472</v>
      </c>
      <c r="BY13" s="88">
        <f>MAX(AI13,($E13*IF(BY$2&gt;Inputs!$D$5,0,IF(BY$2&gt;VLOOKUP($H13,Lists!$P$3:$Q$7,2),IF($N13=Lists!$K$3,IF($L13&lt;1,(($U13/$L13)*((1+Inputs!$D$7)^BY$2)),((INT(BY$2/$L13)-INT((BY$2-1)/$L13))*$U13*((1+Inputs!$D$7)^BY$2))),(Inputs!$D$8^((1-_xlfn.WEIBULL.DIST(BY$2,$M13,$L13,FALSE))/_xlfn.WEIBULL.DIST(BY$2,$M13,$L13,FALSE))*$U13*((1+Inputs!$D$7)^BY$2))),IF($N13=Lists!$K$3,IF($L13&lt;1,((($T13*(1-$F13)+$S13*(1-$G13))/$L13)*((1+Inputs!$D$7)^BY$2)),((INT(BY$2/$L13)-INT((BY$2-1)/$L13))*($T13*(1-$F13)+$S13*(1-$G13))*((1+Inputs!$D$7)^BY$2))),((Inputs!$D$8^((1-_xlfn.WEIBULL.DIST(BY$2,$M13,$L13,FALSE))/_xlfn.WEIBULL.DIST(BY$2,$M13,$L13,FALSE))*($T13*(1-$F13)+$S13*(1-$G13))*((1+Inputs!$D$7)^BY$2))))))))</f>
        <v>0.56785626187940785</v>
      </c>
      <c r="BZ13" s="88">
        <f>MAX(AJ13,($E13*IF(BZ$2&gt;Inputs!$D$5,0,IF(BZ$2&gt;VLOOKUP($H13,Lists!$P$3:$Q$7,2),IF($N13=Lists!$K$3,IF($L13&lt;1,(($U13/$L13)*((1+Inputs!$D$7)^BZ$2)),((INT(BZ$2/$L13)-INT((BZ$2-1)/$L13))*$U13*((1+Inputs!$D$7)^BZ$2))),(Inputs!$D$8^((1-_xlfn.WEIBULL.DIST(BZ$2,$M13,$L13,FALSE))/_xlfn.WEIBULL.DIST(BZ$2,$M13,$L13,FALSE))*$U13*((1+Inputs!$D$7)^BZ$2))),IF($N13=Lists!$K$3,IF($L13&lt;1,((($T13*(1-$F13)+$S13*(1-$G13))/$L13)*((1+Inputs!$D$7)^BZ$2)),((INT(BZ$2/$L13)-INT((BZ$2-1)/$L13))*($T13*(1-$F13)+$S13*(1-$G13))*((1+Inputs!$D$7)^BZ$2))),((Inputs!$D$8^((1-_xlfn.WEIBULL.DIST(BZ$2,$M13,$L13,FALSE))/_xlfn.WEIBULL.DIST(BZ$2,$M13,$L13,FALSE))*($T13*(1-$F13)+$S13*(1-$G13))*((1+Inputs!$D$7)^BZ$2))))))))</f>
        <v>0.70278287221612934</v>
      </c>
      <c r="CA13" s="88">
        <f>MAX(AK13,($E13*IF(CA$2&gt;Inputs!$D$5,0,IF(CA$2&gt;VLOOKUP($H13,Lists!$P$3:$Q$7,2),IF($N13=Lists!$K$3,IF($L13&lt;1,(($U13/$L13)*((1+Inputs!$D$7)^CA$2)),((INT(CA$2/$L13)-INT((CA$2-1)/$L13))*$U13*((1+Inputs!$D$7)^CA$2))),(Inputs!$D$8^((1-_xlfn.WEIBULL.DIST(CA$2,$M13,$L13,FALSE))/_xlfn.WEIBULL.DIST(CA$2,$M13,$L13,FALSE))*$U13*((1+Inputs!$D$7)^CA$2))),IF($N13=Lists!$K$3,IF($L13&lt;1,((($T13*(1-$F13)+$S13*(1-$G13))/$L13)*((1+Inputs!$D$7)^CA$2)),((INT(CA$2/$L13)-INT((CA$2-1)/$L13))*($T13*(1-$F13)+$S13*(1-$G13))*((1+Inputs!$D$7)^CA$2))),((Inputs!$D$8^((1-_xlfn.WEIBULL.DIST(CA$2,$M13,$L13,FALSE))/_xlfn.WEIBULL.DIST(CA$2,$M13,$L13,FALSE))*($T13*(1-$F13)+$S13*(1-$G13))*((1+Inputs!$D$7)^CA$2))))))))</f>
        <v>0.86858089806458916</v>
      </c>
      <c r="CB13" s="88">
        <f>MAX(AL13,($E13*IF(CB$2&gt;Inputs!$D$5,0,IF(CB$2&gt;VLOOKUP($H13,Lists!$P$3:$Q$7,2),IF($N13=Lists!$K$3,IF($L13&lt;1,(($U13/$L13)*((1+Inputs!$D$7)^CB$2)),((INT(CB$2/$L13)-INT((CB$2-1)/$L13))*$U13*((1+Inputs!$D$7)^CB$2))),(Inputs!$D$8^((1-_xlfn.WEIBULL.DIST(CB$2,$M13,$L13,FALSE))/_xlfn.WEIBULL.DIST(CB$2,$M13,$L13,FALSE))*$U13*((1+Inputs!$D$7)^CB$2))),IF($N13=Lists!$K$3,IF($L13&lt;1,((($T13*(1-$F13)+$S13*(1-$G13))/$L13)*((1+Inputs!$D$7)^CB$2)),((INT(CB$2/$L13)-INT((CB$2-1)/$L13))*($T13*(1-$F13)+$S13*(1-$G13))*((1+Inputs!$D$7)^CB$2))),((Inputs!$D$8^((1-_xlfn.WEIBULL.DIST(CB$2,$M13,$L13,FALSE))/_xlfn.WEIBULL.DIST(CB$2,$M13,$L13,FALSE))*($T13*(1-$F13)+$S13*(1-$G13))*((1+Inputs!$D$7)^CB$2))))))))</f>
        <v>1.5198756086309939</v>
      </c>
      <c r="CC13" s="88">
        <f>MAX(AM13,($E13*IF(CC$2&gt;Inputs!$D$5,0,IF(CC$2&gt;VLOOKUP($H13,Lists!$P$3:$Q$7,2),IF($N13=Lists!$K$3,IF($L13&lt;1,(($U13/$L13)*((1+Inputs!$D$7)^CC$2)),((INT(CC$2/$L13)-INT((CC$2-1)/$L13))*$U13*((1+Inputs!$D$7)^CC$2))),(Inputs!$D$8^((1-_xlfn.WEIBULL.DIST(CC$2,$M13,$L13,FALSE))/_xlfn.WEIBULL.DIST(CC$2,$M13,$L13,FALSE))*$U13*((1+Inputs!$D$7)^CC$2))),IF($N13=Lists!$K$3,IF($L13&lt;1,((($T13*(1-$F13)+$S13*(1-$G13))/$L13)*((1+Inputs!$D$7)^CC$2)),((INT(CC$2/$L13)-INT((CC$2-1)/$L13))*($T13*(1-$F13)+$S13*(1-$G13))*((1+Inputs!$D$7)^CC$2))),((Inputs!$D$8^((1-_xlfn.WEIBULL.DIST(CC$2,$M13,$L13,FALSE))/_xlfn.WEIBULL.DIST(CC$2,$M13,$L13,FALSE))*($T13*(1-$F13)+$S13*(1-$G13))*((1+Inputs!$D$7)^CC$2))))))))</f>
        <v>2.3379430366744374</v>
      </c>
      <c r="CD13" s="88">
        <f>MAX(AN13,($E13*IF(CD$2&gt;Inputs!$D$5,0,IF(CD$2&gt;VLOOKUP($H13,Lists!$P$3:$Q$7,2),IF($N13=Lists!$K$3,IF($L13&lt;1,(($U13/$L13)*((1+Inputs!$D$7)^CD$2)),((INT(CD$2/$L13)-INT((CD$2-1)/$L13))*$U13*((1+Inputs!$D$7)^CD$2))),(Inputs!$D$8^((1-_xlfn.WEIBULL.DIST(CD$2,$M13,$L13,FALSE))/_xlfn.WEIBULL.DIST(CD$2,$M13,$L13,FALSE))*$U13*((1+Inputs!$D$7)^CD$2))),IF($N13=Lists!$K$3,IF($L13&lt;1,((($T13*(1-$F13)+$S13*(1-$G13))/$L13)*((1+Inputs!$D$7)^CD$2)),((INT(CD$2/$L13)-INT((CD$2-1)/$L13))*($T13*(1-$F13)+$S13*(1-$G13))*((1+Inputs!$D$7)^CD$2))),((Inputs!$D$8^((1-_xlfn.WEIBULL.DIST(CD$2,$M13,$L13,FALSE))/_xlfn.WEIBULL.DIST(CD$2,$M13,$L13,FALSE))*($T13*(1-$F13)+$S13*(1-$G13))*((1+Inputs!$D$7)^CD$2))))))))</f>
        <v>3.2728034447075784</v>
      </c>
      <c r="CE13" s="88">
        <f>MAX(AO13,($E13*IF(CE$2&gt;Inputs!$D$5,0,IF(CE$2&gt;VLOOKUP($H13,Lists!$P$3:$Q$7,2),IF($N13=Lists!$K$3,IF($L13&lt;1,(($U13/$L13)*((1+Inputs!$D$7)^CE$2)),((INT(CE$2/$L13)-INT((CE$2-1)/$L13))*$U13*((1+Inputs!$D$7)^CE$2))),(Inputs!$D$8^((1-_xlfn.WEIBULL.DIST(CE$2,$M13,$L13,FALSE))/_xlfn.WEIBULL.DIST(CE$2,$M13,$L13,FALSE))*$U13*((1+Inputs!$D$7)^CE$2))),IF($N13=Lists!$K$3,IF($L13&lt;1,((($T13*(1-$F13)+$S13*(1-$G13))/$L13)*((1+Inputs!$D$7)^CE$2)),((INT(CE$2/$L13)-INT((CE$2-1)/$L13))*($T13*(1-$F13)+$S13*(1-$G13))*((1+Inputs!$D$7)^CE$2))),((Inputs!$D$8^((1-_xlfn.WEIBULL.DIST(CE$2,$M13,$L13,FALSE))/_xlfn.WEIBULL.DIST(CE$2,$M13,$L13,FALSE))*($T13*(1-$F13)+$S13*(1-$G13))*((1+Inputs!$D$7)^CE$2))))))))</f>
        <v>4.2675663345832389</v>
      </c>
      <c r="CF13" s="88">
        <f>MAX(AP13,($E13*IF(CF$2&gt;Inputs!$D$5,0,IF(CF$2&gt;VLOOKUP($H13,Lists!$P$3:$Q$7,2),IF($N13=Lists!$K$3,IF($L13&lt;1,(($U13/$L13)*((1+Inputs!$D$7)^CF$2)),((INT(CF$2/$L13)-INT((CF$2-1)/$L13))*$U13*((1+Inputs!$D$7)^CF$2))),(Inputs!$D$8^((1-_xlfn.WEIBULL.DIST(CF$2,$M13,$L13,FALSE))/_xlfn.WEIBULL.DIST(CF$2,$M13,$L13,FALSE))*$U13*((1+Inputs!$D$7)^CF$2))),IF($N13=Lists!$K$3,IF($L13&lt;1,((($T13*(1-$F13)+$S13*(1-$G13))/$L13)*((1+Inputs!$D$7)^CF$2)),((INT(CF$2/$L13)-INT((CF$2-1)/$L13))*($T13*(1-$F13)+$S13*(1-$G13))*((1+Inputs!$D$7)^CF$2))),((Inputs!$D$8^((1-_xlfn.WEIBULL.DIST(CF$2,$M13,$L13,FALSE))/_xlfn.WEIBULL.DIST(CF$2,$M13,$L13,FALSE))*($T13*(1-$F13)+$S13*(1-$G13))*((1+Inputs!$D$7)^CF$2))))))))</f>
        <v>5.2671880869541372</v>
      </c>
      <c r="CG13" s="88">
        <f>MAX(AQ13,($E13*IF(CG$2&gt;Inputs!$D$5,0,IF(CG$2&gt;VLOOKUP($H13,Lists!$P$3:$Q$7,2),IF($N13=Lists!$K$3,IF($L13&lt;1,(($U13/$L13)*((1+Inputs!$D$7)^CG$2)),((INT(CG$2/$L13)-INT((CG$2-1)/$L13))*$U13*((1+Inputs!$D$7)^CG$2))),(Inputs!$D$8^((1-_xlfn.WEIBULL.DIST(CG$2,$M13,$L13,FALSE))/_xlfn.WEIBULL.DIST(CG$2,$M13,$L13,FALSE))*$U13*((1+Inputs!$D$7)^CG$2))),IF($N13=Lists!$K$3,IF($L13&lt;1,((($T13*(1-$F13)+$S13*(1-$G13))/$L13)*((1+Inputs!$D$7)^CG$2)),((INT(CG$2/$L13)-INT((CG$2-1)/$L13))*($T13*(1-$F13)+$S13*(1-$G13))*((1+Inputs!$D$7)^CG$2))),((Inputs!$D$8^((1-_xlfn.WEIBULL.DIST(CG$2,$M13,$L13,FALSE))/_xlfn.WEIBULL.DIST(CG$2,$M13,$L13,FALSE))*($T13*(1-$F13)+$S13*(1-$G13))*((1+Inputs!$D$7)^CG$2))))))))</f>
        <v>6.2228214909228932</v>
      </c>
      <c r="CH13" s="88">
        <f>MAX(AR13,($E13*IF(CH$2&gt;Inputs!$D$5,0,IF(CH$2&gt;VLOOKUP($H13,Lists!$P$3:$Q$7,2),IF($N13=Lists!$K$3,IF($L13&lt;1,(($U13/$L13)*((1+Inputs!$D$7)^CH$2)),((INT(CH$2/$L13)-INT((CH$2-1)/$L13))*$U13*((1+Inputs!$D$7)^CH$2))),(Inputs!$D$8^((1-_xlfn.WEIBULL.DIST(CH$2,$M13,$L13,FALSE))/_xlfn.WEIBULL.DIST(CH$2,$M13,$L13,FALSE))*$U13*((1+Inputs!$D$7)^CH$2))),IF($N13=Lists!$K$3,IF($L13&lt;1,((($T13*(1-$F13)+$S13*(1-$G13))/$L13)*((1+Inputs!$D$7)^CH$2)),((INT(CH$2/$L13)-INT((CH$2-1)/$L13))*($T13*(1-$F13)+$S13*(1-$G13))*((1+Inputs!$D$7)^CH$2))),((Inputs!$D$8^((1-_xlfn.WEIBULL.DIST(CH$2,$M13,$L13,FALSE))/_xlfn.WEIBULL.DIST(CH$2,$M13,$L13,FALSE))*($T13*(1-$F13)+$S13*(1-$G13))*((1+Inputs!$D$7)^CH$2))))))))</f>
        <v>7.0931553667597136</v>
      </c>
      <c r="CI13" s="88">
        <f>MAX(AS13,($E13*IF(CI$2&gt;Inputs!$D$5,0,IF(CI$2&gt;VLOOKUP($H13,Lists!$P$3:$Q$7,2),IF($N13=Lists!$K$3,IF($L13&lt;1,(($U13/$L13)*((1+Inputs!$D$7)^CI$2)),((INT(CI$2/$L13)-INT((CI$2-1)/$L13))*$U13*((1+Inputs!$D$7)^CI$2))),(Inputs!$D$8^((1-_xlfn.WEIBULL.DIST(CI$2,$M13,$L13,FALSE))/_xlfn.WEIBULL.DIST(CI$2,$M13,$L13,FALSE))*$U13*((1+Inputs!$D$7)^CI$2))),IF($N13=Lists!$K$3,IF($L13&lt;1,((($T13*(1-$F13)+$S13*(1-$G13))/$L13)*((1+Inputs!$D$7)^CI$2)),((INT(CI$2/$L13)-INT((CI$2-1)/$L13))*($T13*(1-$F13)+$S13*(1-$G13))*((1+Inputs!$D$7)^CI$2))),((Inputs!$D$8^((1-_xlfn.WEIBULL.DIST(CI$2,$M13,$L13,FALSE))/_xlfn.WEIBULL.DIST(CI$2,$M13,$L13,FALSE))*($T13*(1-$F13)+$S13*(1-$G13))*((1+Inputs!$D$7)^CI$2))))))))</f>
        <v>7.8441199898133434</v>
      </c>
      <c r="CJ13" s="88">
        <f>MAX(AT13,($E13*IF(CJ$2&gt;Inputs!$D$5,0,IF(CJ$2&gt;VLOOKUP($H13,Lists!$P$3:$Q$7,2),IF($N13=Lists!$K$3,IF($L13&lt;1,(($U13/$L13)*((1+Inputs!$D$7)^CJ$2)),((INT(CJ$2/$L13)-INT((CJ$2-1)/$L13))*$U13*((1+Inputs!$D$7)^CJ$2))),(Inputs!$D$8^((1-_xlfn.WEIBULL.DIST(CJ$2,$M13,$L13,FALSE))/_xlfn.WEIBULL.DIST(CJ$2,$M13,$L13,FALSE))*$U13*((1+Inputs!$D$7)^CJ$2))),IF($N13=Lists!$K$3,IF($L13&lt;1,((($T13*(1-$F13)+$S13*(1-$G13))/$L13)*((1+Inputs!$D$7)^CJ$2)),((INT(CJ$2/$L13)-INT((CJ$2-1)/$L13))*($T13*(1-$F13)+$S13*(1-$G13))*((1+Inputs!$D$7)^CJ$2))),((Inputs!$D$8^((1-_xlfn.WEIBULL.DIST(CJ$2,$M13,$L13,FALSE))/_xlfn.WEIBULL.DIST(CJ$2,$M13,$L13,FALSE))*($T13*(1-$F13)+$S13*(1-$G13))*((1+Inputs!$D$7)^CJ$2))))))))</f>
        <v>8.4479396911726727</v>
      </c>
      <c r="CK13" s="88">
        <f>MAX(AU13,($E13*IF(CK$2&gt;Inputs!$D$5,0,IF(CK$2&gt;VLOOKUP($H13,Lists!$P$3:$Q$7,2),IF($N13=Lists!$K$3,IF($L13&lt;1,(($U13/$L13)*((1+Inputs!$D$7)^CK$2)),((INT(CK$2/$L13)-INT((CK$2-1)/$L13))*$U13*((1+Inputs!$D$7)^CK$2))),(Inputs!$D$8^((1-_xlfn.WEIBULL.DIST(CK$2,$M13,$L13,FALSE))/_xlfn.WEIBULL.DIST(CK$2,$M13,$L13,FALSE))*$U13*((1+Inputs!$D$7)^CK$2))),IF($N13=Lists!$K$3,IF($L13&lt;1,((($T13*(1-$F13)+$S13*(1-$G13))/$L13)*((1+Inputs!$D$7)^CK$2)),((INT(CK$2/$L13)-INT((CK$2-1)/$L13))*($T13*(1-$F13)+$S13*(1-$G13))*((1+Inputs!$D$7)^CK$2))),((Inputs!$D$8^((1-_xlfn.WEIBULL.DIST(CK$2,$M13,$L13,FALSE))/_xlfn.WEIBULL.DIST(CK$2,$M13,$L13,FALSE))*($T13*(1-$F13)+$S13*(1-$G13))*((1+Inputs!$D$7)^CK$2))))))))</f>
        <v>8.8821373496149061</v>
      </c>
      <c r="CL13" s="88">
        <f>MAX(AV13,($E13*IF(CL$2&gt;Inputs!$D$5,0,IF(CL$2&gt;VLOOKUP($H13,Lists!$P$3:$Q$7,2),IF($N13=Lists!$K$3,IF($L13&lt;1,(($U13/$L13)*((1+Inputs!$D$7)^CL$2)),((INT(CL$2/$L13)-INT((CL$2-1)/$L13))*$U13*((1+Inputs!$D$7)^CL$2))),(Inputs!$D$8^((1-_xlfn.WEIBULL.DIST(CL$2,$M13,$L13,FALSE))/_xlfn.WEIBULL.DIST(CL$2,$M13,$L13,FALSE))*$U13*((1+Inputs!$D$7)^CL$2))),IF($N13=Lists!$K$3,IF($L13&lt;1,((($T13*(1-$F13)+$S13*(1-$G13))/$L13)*((1+Inputs!$D$7)^CL$2)),((INT(CL$2/$L13)-INT((CL$2-1)/$L13))*($T13*(1-$F13)+$S13*(1-$G13))*((1+Inputs!$D$7)^CL$2))),((Inputs!$D$8^((1-_xlfn.WEIBULL.DIST(CL$2,$M13,$L13,FALSE))/_xlfn.WEIBULL.DIST(CL$2,$M13,$L13,FALSE))*($T13*(1-$F13)+$S13*(1-$G13))*((1+Inputs!$D$7)^CL$2))))))))</f>
        <v>9.1288379769503489</v>
      </c>
      <c r="CM13" s="88">
        <f>MAX(AW13,($E13*IF(CM$2&gt;Inputs!$D$5,0,IF(CM$2&gt;VLOOKUP($H13,Lists!$P$3:$Q$7,2),IF($N13=Lists!$K$3,IF($L13&lt;1,(($U13/$L13)*((1+Inputs!$D$7)^CM$2)),((INT(CM$2/$L13)-INT((CM$2-1)/$L13))*$U13*((1+Inputs!$D$7)^CM$2))),(Inputs!$D$8^((1-_xlfn.WEIBULL.DIST(CM$2,$M13,$L13,FALSE))/_xlfn.WEIBULL.DIST(CM$2,$M13,$L13,FALSE))*$U13*((1+Inputs!$D$7)^CM$2))),IF($N13=Lists!$K$3,IF($L13&lt;1,((($T13*(1-$F13)+$S13*(1-$G13))/$L13)*((1+Inputs!$D$7)^CM$2)),((INT(CM$2/$L13)-INT((CM$2-1)/$L13))*($T13*(1-$F13)+$S13*(1-$G13))*((1+Inputs!$D$7)^CM$2))),((Inputs!$D$8^((1-_xlfn.WEIBULL.DIST(CM$2,$M13,$L13,FALSE))/_xlfn.WEIBULL.DIST(CM$2,$M13,$L13,FALSE))*($T13*(1-$F13)+$S13*(1-$G13))*((1+Inputs!$D$7)^CM$2))))))))</f>
        <v>9.1745711260724061</v>
      </c>
      <c r="CN13" s="88">
        <f>MAX(AX13,($E13*IF(CN$2&gt;Inputs!$D$5,0,IF(CN$2&gt;VLOOKUP($H13,Lists!$P$3:$Q$7,2),IF($N13=Lists!$K$3,IF($L13&lt;1,(($U13/$L13)*((1+Inputs!$D$7)^CN$2)),((INT(CN$2/$L13)-INT((CN$2-1)/$L13))*$U13*((1+Inputs!$D$7)^CN$2))),(Inputs!$D$8^((1-_xlfn.WEIBULL.DIST(CN$2,$M13,$L13,FALSE))/_xlfn.WEIBULL.DIST(CN$2,$M13,$L13,FALSE))*$U13*((1+Inputs!$D$7)^CN$2))),IF($N13=Lists!$K$3,IF($L13&lt;1,((($T13*(1-$F13)+$S13*(1-$G13))/$L13)*((1+Inputs!$D$7)^CN$2)),((INT(CN$2/$L13)-INT((CN$2-1)/$L13))*($T13*(1-$F13)+$S13*(1-$G13))*((1+Inputs!$D$7)^CN$2))),((Inputs!$D$8^((1-_xlfn.WEIBULL.DIST(CN$2,$M13,$L13,FALSE))/_xlfn.WEIBULL.DIST(CN$2,$M13,$L13,FALSE))*($T13*(1-$F13)+$S13*(1-$G13))*((1+Inputs!$D$7)^CN$2))))))))</f>
        <v>9.0106963214821842</v>
      </c>
      <c r="CO13" s="88">
        <f>MAX(AY13,($E13*IF(CO$2&gt;Inputs!$D$5,0,IF(CO$2&gt;VLOOKUP($H13,Lists!$P$3:$Q$7,2),IF($N13=Lists!$K$3,IF($L13&lt;1,(($U13/$L13)*((1+Inputs!$D$7)^CO$2)),((INT(CO$2/$L13)-INT((CO$2-1)/$L13))*$U13*((1+Inputs!$D$7)^CO$2))),(Inputs!$D$8^((1-_xlfn.WEIBULL.DIST(CO$2,$M13,$L13,FALSE))/_xlfn.WEIBULL.DIST(CO$2,$M13,$L13,FALSE))*$U13*((1+Inputs!$D$7)^CO$2))),IF($N13=Lists!$K$3,IF($L13&lt;1,((($T13*(1-$F13)+$S13*(1-$G13))/$L13)*((1+Inputs!$D$7)^CO$2)),((INT(CO$2/$L13)-INT((CO$2-1)/$L13))*($T13*(1-$F13)+$S13*(1-$G13))*((1+Inputs!$D$7)^CO$2))),((Inputs!$D$8^((1-_xlfn.WEIBULL.DIST(CO$2,$M13,$L13,FALSE))/_xlfn.WEIBULL.DIST(CO$2,$M13,$L13,FALSE))*($T13*(1-$F13)+$S13*(1-$G13))*((1+Inputs!$D$7)^CO$2))))))))</f>
        <v>8.6345315029098337</v>
      </c>
      <c r="CP13" s="88">
        <f>MAX(AZ13,($E13*IF(CP$2&gt;Inputs!$D$5,0,IF(CP$2&gt;VLOOKUP($H13,Lists!$P$3:$Q$7,2),IF($N13=Lists!$K$3,IF($L13&lt;1,(($U13/$L13)*((1+Inputs!$D$7)^CP$2)),((INT(CP$2/$L13)-INT((CP$2-1)/$L13))*$U13*((1+Inputs!$D$7)^CP$2))),(Inputs!$D$8^((1-_xlfn.WEIBULL.DIST(CP$2,$M13,$L13,FALSE))/_xlfn.WEIBULL.DIST(CP$2,$M13,$L13,FALSE))*$U13*((1+Inputs!$D$7)^CP$2))),IF($N13=Lists!$K$3,IF($L13&lt;1,((($T13*(1-$F13)+$S13*(1-$G13))/$L13)*((1+Inputs!$D$7)^CP$2)),((INT(CP$2/$L13)-INT((CP$2-1)/$L13))*($T13*(1-$F13)+$S13*(1-$G13))*((1+Inputs!$D$7)^CP$2))),((Inputs!$D$8^((1-_xlfn.WEIBULL.DIST(CP$2,$M13,$L13,FALSE))/_xlfn.WEIBULL.DIST(CP$2,$M13,$L13,FALSE))*($T13*(1-$F13)+$S13*(1-$G13))*((1+Inputs!$D$7)^CP$2))))))))</f>
        <v>0</v>
      </c>
      <c r="CQ13" s="88">
        <f>MAX(BA13,($E13*IF(CQ$2&gt;Inputs!$D$5,0,IF(CQ$2&gt;VLOOKUP($H13,Lists!$P$3:$Q$7,2),IF($N13=Lists!$K$3,IF($L13&lt;1,(($U13/$L13)*((1+Inputs!$D$7)^CQ$2)),((INT(CQ$2/$L13)-INT((CQ$2-1)/$L13))*$U13*((1+Inputs!$D$7)^CQ$2))),(Inputs!$D$8^((1-_xlfn.WEIBULL.DIST(CQ$2,$M13,$L13,FALSE))/_xlfn.WEIBULL.DIST(CQ$2,$M13,$L13,FALSE))*$U13*((1+Inputs!$D$7)^CQ$2))),IF($N13=Lists!$K$3,IF($L13&lt;1,((($T13*(1-$F13)+$S13*(1-$G13))/$L13)*((1+Inputs!$D$7)^CQ$2)),((INT(CQ$2/$L13)-INT((CQ$2-1)/$L13))*($T13*(1-$F13)+$S13*(1-$G13))*((1+Inputs!$D$7)^CQ$2))),((Inputs!$D$8^((1-_xlfn.WEIBULL.DIST(CQ$2,$M13,$L13,FALSE))/_xlfn.WEIBULL.DIST(CQ$2,$M13,$L13,FALSE))*($T13*(1-$F13)+$S13*(1-$G13))*((1+Inputs!$D$7)^CQ$2))))))))</f>
        <v>0</v>
      </c>
      <c r="CR13" s="88">
        <f>MAX(BB13,($E13*IF(CR$2&gt;Inputs!$D$5,0,IF(CR$2&gt;VLOOKUP($H13,Lists!$P$3:$Q$7,2),IF($N13=Lists!$K$3,IF($L13&lt;1,(($U13/$L13)*((1+Inputs!$D$7)^CR$2)),((INT(CR$2/$L13)-INT((CR$2-1)/$L13))*$U13*((1+Inputs!$D$7)^CR$2))),(Inputs!$D$8^((1-_xlfn.WEIBULL.DIST(CR$2,$M13,$L13,FALSE))/_xlfn.WEIBULL.DIST(CR$2,$M13,$L13,FALSE))*$U13*((1+Inputs!$D$7)^CR$2))),IF($N13=Lists!$K$3,IF($L13&lt;1,((($T13*(1-$F13)+$S13*(1-$G13))/$L13)*((1+Inputs!$D$7)^CR$2)),((INT(CR$2/$L13)-INT((CR$2-1)/$L13))*($T13*(1-$F13)+$S13*(1-$G13))*((1+Inputs!$D$7)^CR$2))),((Inputs!$D$8^((1-_xlfn.WEIBULL.DIST(CR$2,$M13,$L13,FALSE))/_xlfn.WEIBULL.DIST(CR$2,$M13,$L13,FALSE))*($T13*(1-$F13)+$S13*(1-$G13))*((1+Inputs!$D$7)^CR$2))))))))</f>
        <v>0</v>
      </c>
      <c r="CS13" s="88">
        <f>MAX(BC13,($E13*IF(CS$2&gt;Inputs!$D$5,0,IF(CS$2&gt;VLOOKUP($H13,Lists!$P$3:$Q$7,2),IF($N13=Lists!$K$3,IF($L13&lt;1,(($U13/$L13)*((1+Inputs!$D$7)^CS$2)),((INT(CS$2/$L13)-INT((CS$2-1)/$L13))*$U13*((1+Inputs!$D$7)^CS$2))),(Inputs!$D$8^((1-_xlfn.WEIBULL.DIST(CS$2,$M13,$L13,FALSE))/_xlfn.WEIBULL.DIST(CS$2,$M13,$L13,FALSE))*$U13*((1+Inputs!$D$7)^CS$2))),IF($N13=Lists!$K$3,IF($L13&lt;1,((($T13*(1-$F13)+$S13*(1-$G13))/$L13)*((1+Inputs!$D$7)^CS$2)),((INT(CS$2/$L13)-INT((CS$2-1)/$L13))*($T13*(1-$F13)+$S13*(1-$G13))*((1+Inputs!$D$7)^CS$2))),((Inputs!$D$8^((1-_xlfn.WEIBULL.DIST(CS$2,$M13,$L13,FALSE))/_xlfn.WEIBULL.DIST(CS$2,$M13,$L13,FALSE))*($T13*(1-$F13)+$S13*(1-$G13))*((1+Inputs!$D$7)^CS$2))))))))</f>
        <v>0</v>
      </c>
      <c r="CT13" s="88">
        <f>MAX(BD13,($E13*IF(CT$2&gt;Inputs!$D$5,0,IF(CT$2&gt;VLOOKUP($H13,Lists!$P$3:$Q$7,2),IF($N13=Lists!$K$3,IF($L13&lt;1,(($U13/$L13)*((1+Inputs!$D$7)^CT$2)),((INT(CT$2/$L13)-INT((CT$2-1)/$L13))*$U13*((1+Inputs!$D$7)^CT$2))),(Inputs!$D$8^((1-_xlfn.WEIBULL.DIST(CT$2,$M13,$L13,FALSE))/_xlfn.WEIBULL.DIST(CT$2,$M13,$L13,FALSE))*$U13*((1+Inputs!$D$7)^CT$2))),IF($N13=Lists!$K$3,IF($L13&lt;1,((($T13*(1-$F13)+$S13*(1-$G13))/$L13)*((1+Inputs!$D$7)^CT$2)),((INT(CT$2/$L13)-INT((CT$2-1)/$L13))*($T13*(1-$F13)+$S13*(1-$G13))*((1+Inputs!$D$7)^CT$2))),((Inputs!$D$8^((1-_xlfn.WEIBULL.DIST(CT$2,$M13,$L13,FALSE))/_xlfn.WEIBULL.DIST(CT$2,$M13,$L13,FALSE))*($T13*(1-$F13)+$S13*(1-$G13))*((1+Inputs!$D$7)^CT$2))))))))</f>
        <v>0</v>
      </c>
      <c r="CU13" s="88">
        <f>MAX(BE13,($E13*IF(CU$2&gt;Inputs!$D$5,0,IF(CU$2&gt;VLOOKUP($H13,Lists!$P$3:$Q$7,2),IF($N13=Lists!$K$3,IF($L13&lt;1,(($U13/$L13)*((1+Inputs!$D$7)^CU$2)),((INT(CU$2/$L13)-INT((CU$2-1)/$L13))*$U13*((1+Inputs!$D$7)^CU$2))),(Inputs!$D$8^((1-_xlfn.WEIBULL.DIST(CU$2,$M13,$L13,FALSE))/_xlfn.WEIBULL.DIST(CU$2,$M13,$L13,FALSE))*$U13*((1+Inputs!$D$7)^CU$2))),IF($N13=Lists!$K$3,IF($L13&lt;1,((($T13*(1-$F13)+$S13*(1-$G13))/$L13)*((1+Inputs!$D$7)^CU$2)),((INT(CU$2/$L13)-INT((CU$2-1)/$L13))*($T13*(1-$F13)+$S13*(1-$G13))*((1+Inputs!$D$7)^CU$2))),((Inputs!$D$8^((1-_xlfn.WEIBULL.DIST(CU$2,$M13,$L13,FALSE))/_xlfn.WEIBULL.DIST(CU$2,$M13,$L13,FALSE))*($T13*(1-$F13)+$S13*(1-$G13))*((1+Inputs!$D$7)^CU$2))))))))</f>
        <v>0</v>
      </c>
      <c r="CV13" s="88">
        <f>MAX(BF13,($E13*IF(CV$2&gt;Inputs!$D$5,0,IF(CV$2&gt;VLOOKUP($H13,Lists!$P$3:$Q$7,2),IF($N13=Lists!$K$3,IF($L13&lt;1,(($U13/$L13)*((1+Inputs!$D$7)^CV$2)),((INT(CV$2/$L13)-INT((CV$2-1)/$L13))*$U13*((1+Inputs!$D$7)^CV$2))),(Inputs!$D$8^((1-_xlfn.WEIBULL.DIST(CV$2,$M13,$L13,FALSE))/_xlfn.WEIBULL.DIST(CV$2,$M13,$L13,FALSE))*$U13*((1+Inputs!$D$7)^CV$2))),IF($N13=Lists!$K$3,IF($L13&lt;1,((($T13*(1-$F13)+$S13*(1-$G13))/$L13)*((1+Inputs!$D$7)^CV$2)),((INT(CV$2/$L13)-INT((CV$2-1)/$L13))*($T13*(1-$F13)+$S13*(1-$G13))*((1+Inputs!$D$7)^CV$2))),((Inputs!$D$8^((1-_xlfn.WEIBULL.DIST(CV$2,$M13,$L13,FALSE))/_xlfn.WEIBULL.DIST(CV$2,$M13,$L13,FALSE))*($T13*(1-$F13)+$S13*(1-$G13))*((1+Inputs!$D$7)^CV$2))))))))</f>
        <v>0</v>
      </c>
      <c r="CW13" s="88">
        <f>MAX(BG13,($E13*IF(CW$2&gt;Inputs!$D$5,0,IF(CW$2&gt;VLOOKUP($H13,Lists!$P$3:$Q$7,2),IF($N13=Lists!$K$3,IF($L13&lt;1,(($U13/$L13)*((1+Inputs!$D$7)^CW$2)),((INT(CW$2/$L13)-INT((CW$2-1)/$L13))*$U13*((1+Inputs!$D$7)^CW$2))),(Inputs!$D$8^((1-_xlfn.WEIBULL.DIST(CW$2,$M13,$L13,FALSE))/_xlfn.WEIBULL.DIST(CW$2,$M13,$L13,FALSE))*$U13*((1+Inputs!$D$7)^CW$2))),IF($N13=Lists!$K$3,IF($L13&lt;1,((($T13*(1-$F13)+$S13*(1-$G13))/$L13)*((1+Inputs!$D$7)^CW$2)),((INT(CW$2/$L13)-INT((CW$2-1)/$L13))*($T13*(1-$F13)+$S13*(1-$G13))*((1+Inputs!$D$7)^CW$2))),((Inputs!$D$8^((1-_xlfn.WEIBULL.DIST(CW$2,$M13,$L13,FALSE))/_xlfn.WEIBULL.DIST(CW$2,$M13,$L13,FALSE))*($T13*(1-$F13)+$S13*(1-$G13))*((1+Inputs!$D$7)^CW$2))))))))</f>
        <v>0</v>
      </c>
      <c r="CX13" s="88">
        <f>MAX(BH13,($E13*IF(CX$2&gt;Inputs!$D$5,0,IF(CX$2&gt;VLOOKUP($H13,Lists!$P$3:$Q$7,2),IF($N13=Lists!$K$3,IF($L13&lt;1,(($U13/$L13)*((1+Inputs!$D$7)^CX$2)),((INT(CX$2/$L13)-INT((CX$2-1)/$L13))*$U13*((1+Inputs!$D$7)^CX$2))),(Inputs!$D$8^((1-_xlfn.WEIBULL.DIST(CX$2,$M13,$L13,FALSE))/_xlfn.WEIBULL.DIST(CX$2,$M13,$L13,FALSE))*$U13*((1+Inputs!$D$7)^CX$2))),IF($N13=Lists!$K$3,IF($L13&lt;1,((($T13*(1-$F13)+$S13*(1-$G13))/$L13)*((1+Inputs!$D$7)^CX$2)),((INT(CX$2/$L13)-INT((CX$2-1)/$L13))*($T13*(1-$F13)+$S13*(1-$G13))*((1+Inputs!$D$7)^CX$2))),((Inputs!$D$8^((1-_xlfn.WEIBULL.DIST(CX$2,$M13,$L13,FALSE))/_xlfn.WEIBULL.DIST(CX$2,$M13,$L13,FALSE))*($T13*(1-$F13)+$S13*(1-$G13))*((1+Inputs!$D$7)^CX$2))))))))</f>
        <v>0</v>
      </c>
      <c r="CY13" s="88">
        <f>MAX(BI13,($E13*IF(CY$2&gt;Inputs!$D$5,0,IF(CY$2&gt;VLOOKUP($H13,Lists!$P$3:$Q$7,2),IF($N13=Lists!$K$3,IF($L13&lt;1,(($U13/$L13)*((1+Inputs!$D$7)^CY$2)),((INT(CY$2/$L13)-INT((CY$2-1)/$L13))*$U13*((1+Inputs!$D$7)^CY$2))),(Inputs!$D$8^((1-_xlfn.WEIBULL.DIST(CY$2,$M13,$L13,FALSE))/_xlfn.WEIBULL.DIST(CY$2,$M13,$L13,FALSE))*$U13*((1+Inputs!$D$7)^CY$2))),IF($N13=Lists!$K$3,IF($L13&lt;1,((($T13*(1-$F13)+$S13*(1-$G13))/$L13)*((1+Inputs!$D$7)^CY$2)),((INT(CY$2/$L13)-INT((CY$2-1)/$L13))*($T13*(1-$F13)+$S13*(1-$G13))*((1+Inputs!$D$7)^CY$2))),((Inputs!$D$8^((1-_xlfn.WEIBULL.DIST(CY$2,$M13,$L13,FALSE))/_xlfn.WEIBULL.DIST(CY$2,$M13,$L13,FALSE))*($T13*(1-$F13)+$S13*(1-$G13))*((1+Inputs!$D$7)^CY$2))))))))</f>
        <v>0</v>
      </c>
      <c r="CZ13" s="88">
        <f>MAX(BJ13,($E13*IF(CZ$2&gt;Inputs!$D$5,0,IF(CZ$2&gt;VLOOKUP($H13,Lists!$P$3:$Q$7,2),IF($N13=Lists!$K$3,IF($L13&lt;1,(($U13/$L13)*((1+Inputs!$D$7)^CZ$2)),((INT(CZ$2/$L13)-INT((CZ$2-1)/$L13))*$U13*((1+Inputs!$D$7)^CZ$2))),(Inputs!$D$8^((1-_xlfn.WEIBULL.DIST(CZ$2,$M13,$L13,FALSE))/_xlfn.WEIBULL.DIST(CZ$2,$M13,$L13,FALSE))*$U13*((1+Inputs!$D$7)^CZ$2))),IF($N13=Lists!$K$3,IF($L13&lt;1,((($T13*(1-$F13)+$S13*(1-$G13))/$L13)*((1+Inputs!$D$7)^CZ$2)),((INT(CZ$2/$L13)-INT((CZ$2-1)/$L13))*($T13*(1-$F13)+$S13*(1-$G13))*((1+Inputs!$D$7)^CZ$2))),((Inputs!$D$8^((1-_xlfn.WEIBULL.DIST(CZ$2,$M13,$L13,FALSE))/_xlfn.WEIBULL.DIST(CZ$2,$M13,$L13,FALSE))*($T13*(1-$F13)+$S13*(1-$G13))*((1+Inputs!$D$7)^CZ$2))))))))</f>
        <v>0</v>
      </c>
      <c r="DA13" s="88">
        <f>MAX(BK13,($E13*IF(DA$2&gt;Inputs!$D$5,0,IF(DA$2&gt;VLOOKUP($H13,Lists!$P$3:$Q$7,2),IF($N13=Lists!$K$3,IF($L13&lt;1,(($U13/$L13)*((1+Inputs!$D$7)^DA$2)),((INT(DA$2/$L13)-INT((DA$2-1)/$L13))*$U13*((1+Inputs!$D$7)^DA$2))),(Inputs!$D$8^((1-_xlfn.WEIBULL.DIST(DA$2,$M13,$L13,FALSE))/_xlfn.WEIBULL.DIST(DA$2,$M13,$L13,FALSE))*$U13*((1+Inputs!$D$7)^DA$2))),IF($N13=Lists!$K$3,IF($L13&lt;1,((($T13*(1-$F13)+$S13*(1-$G13))/$L13)*((1+Inputs!$D$7)^DA$2)),((INT(DA$2/$L13)-INT((DA$2-1)/$L13))*($T13*(1-$F13)+$S13*(1-$G13))*((1+Inputs!$D$7)^DA$2))),((Inputs!$D$8^((1-_xlfn.WEIBULL.DIST(DA$2,$M13,$L13,FALSE))/_xlfn.WEIBULL.DIST(DA$2,$M13,$L13,FALSE))*($T13*(1-$F13)+$S13*(1-$G13))*((1+Inputs!$D$7)^DA$2))))))))</f>
        <v>0</v>
      </c>
      <c r="DB13" s="88">
        <f>MAX(BL13,($E13*IF(DB$2&gt;Inputs!$D$5,0,IF(DB$2&gt;VLOOKUP($H13,Lists!$P$3:$Q$7,2),IF($N13=Lists!$K$3,IF($L13&lt;1,(($U13/$L13)*((1+Inputs!$D$7)^DB$2)),((INT(DB$2/$L13)-INT((DB$2-1)/$L13))*$U13*((1+Inputs!$D$7)^DB$2))),(Inputs!$D$8^((1-_xlfn.WEIBULL.DIST(DB$2,$M13,$L13,FALSE))/_xlfn.WEIBULL.DIST(DB$2,$M13,$L13,FALSE))*$U13*((1+Inputs!$D$7)^DB$2))),IF($N13=Lists!$K$3,IF($L13&lt;1,((($T13*(1-$F13)+$S13*(1-$G13))/$L13)*((1+Inputs!$D$7)^DB$2)),((INT(DB$2/$L13)-INT((DB$2-1)/$L13))*($T13*(1-$F13)+$S13*(1-$G13))*((1+Inputs!$D$7)^DB$2))),((Inputs!$D$8^((1-_xlfn.WEIBULL.DIST(DB$2,$M13,$L13,FALSE))/_xlfn.WEIBULL.DIST(DB$2,$M13,$L13,FALSE))*($T13*(1-$F13)+$S13*(1-$G13))*((1+Inputs!$D$7)^DB$2))))))))</f>
        <v>0</v>
      </c>
      <c r="DC13" s="88">
        <f>MAX(BM13,($E13*IF(DC$2&gt;Inputs!$D$5,0,IF(DC$2&gt;VLOOKUP($H13,Lists!$P$3:$Q$7,2),IF($N13=Lists!$K$3,IF($L13&lt;1,(($U13/$L13)*((1+Inputs!$D$7)^DC$2)),((INT(DC$2/$L13)-INT((DC$2-1)/$L13))*$U13*((1+Inputs!$D$7)^DC$2))),(Inputs!$D$8^((1-_xlfn.WEIBULL.DIST(DC$2,$M13,$L13,FALSE))/_xlfn.WEIBULL.DIST(DC$2,$M13,$L13,FALSE))*$U13*((1+Inputs!$D$7)^DC$2))),IF($N13=Lists!$K$3,IF($L13&lt;1,((($T13*(1-$F13)+$S13*(1-$G13))/$L13)*((1+Inputs!$D$7)^DC$2)),((INT(DC$2/$L13)-INT((DC$2-1)/$L13))*($T13*(1-$F13)+$S13*(1-$G13))*((1+Inputs!$D$7)^DC$2))),((Inputs!$D$8^((1-_xlfn.WEIBULL.DIST(DC$2,$M13,$L13,FALSE))/_xlfn.WEIBULL.DIST(DC$2,$M13,$L13,FALSE))*($T13*(1-$F13)+$S13*(1-$G13))*((1+Inputs!$D$7)^DC$2))))))))</f>
        <v>0</v>
      </c>
      <c r="DD13" s="88">
        <f>MAX(BN13,($E13*IF(DD$2&gt;Inputs!$D$5,0,IF(DD$2&gt;VLOOKUP($H13,Lists!$P$3:$Q$7,2),IF($N13=Lists!$K$3,IF($L13&lt;1,(($U13/$L13)*((1+Inputs!$D$7)^DD$2)),((INT(DD$2/$L13)-INT((DD$2-1)/$L13))*$U13*((1+Inputs!$D$7)^DD$2))),(Inputs!$D$8^((1-_xlfn.WEIBULL.DIST(DD$2,$M13,$L13,FALSE))/_xlfn.WEIBULL.DIST(DD$2,$M13,$L13,FALSE))*$U13*((1+Inputs!$D$7)^DD$2))),IF($N13=Lists!$K$3,IF($L13&lt;1,((($T13*(1-$F13)+$S13*(1-$G13))/$L13)*((1+Inputs!$D$7)^DD$2)),((INT(DD$2/$L13)-INT((DD$2-1)/$L13))*($T13*(1-$F13)+$S13*(1-$G13))*((1+Inputs!$D$7)^DD$2))),((Inputs!$D$8^((1-_xlfn.WEIBULL.DIST(DD$2,$M13,$L13,FALSE))/_xlfn.WEIBULL.DIST(DD$2,$M13,$L13,FALSE))*($T13*(1-$F13)+$S13*(1-$G13))*((1+Inputs!$D$7)^DD$2))))))))</f>
        <v>0</v>
      </c>
    </row>
    <row r="14" spans="1:108" s="1" customFormat="1" ht="16">
      <c r="A14" s="57" t="s">
        <v>167</v>
      </c>
      <c r="B14" s="13" t="s">
        <v>130</v>
      </c>
      <c r="C14" s="13" t="s">
        <v>474</v>
      </c>
      <c r="D14" s="13" t="s">
        <v>122</v>
      </c>
      <c r="E14" s="48">
        <f>IF(Inputs!D41=Lists!I6,1,0)*IF(Inputs!D42=Lists!H4,1,0)</f>
        <v>1</v>
      </c>
      <c r="F14" s="48">
        <v>0</v>
      </c>
      <c r="G14" s="48">
        <v>0</v>
      </c>
      <c r="H14" s="105" t="s">
        <v>350</v>
      </c>
      <c r="I14" s="14"/>
      <c r="J14" s="14" t="s">
        <v>93</v>
      </c>
      <c r="K14" s="13">
        <f>VLOOKUP(J14,'Labor Rates'!$A$1:$F$16,2)</f>
        <v>25.549903846153843</v>
      </c>
      <c r="L14" s="15">
        <v>25</v>
      </c>
      <c r="M14" s="15">
        <v>3</v>
      </c>
      <c r="N14" s="16" t="s">
        <v>226</v>
      </c>
      <c r="O14" s="61">
        <v>1</v>
      </c>
      <c r="P14" s="15">
        <v>4</v>
      </c>
      <c r="Q14" s="15">
        <f t="shared" si="0"/>
        <v>0.16</v>
      </c>
      <c r="R14" s="4">
        <v>0</v>
      </c>
      <c r="S14" s="53">
        <f t="shared" si="1"/>
        <v>102.19961538461537</v>
      </c>
      <c r="T14" s="53">
        <f t="shared" si="2"/>
        <v>0</v>
      </c>
      <c r="U14" s="54">
        <f t="shared" si="3"/>
        <v>102.19961538461537</v>
      </c>
      <c r="V14" s="65"/>
      <c r="W14" s="58"/>
      <c r="X14" s="64">
        <f t="shared" si="4"/>
        <v>2.9100015835665265</v>
      </c>
      <c r="Y14" s="64">
        <f>NPV(Inputs!$D$6,AA14:BN14)</f>
        <v>29.664866251266421</v>
      </c>
      <c r="Z14" s="67">
        <f t="shared" si="5"/>
        <v>1.3991399183868085E-5</v>
      </c>
      <c r="AA14" s="88">
        <f>$E14*IF(AA$2&gt;Inputs!$D$5,0,IF(AA$2&gt;VLOOKUP($H14,Lists!$P$3:$Q$7,2),IF($N14=Lists!$K$3,IF($L14&lt;1,(($U14/$L14)*((1+Inputs!$D$7)^AA$2)),((INT(AA$2/$L14)-INT((AA$2-1)/$L14))*$U14*((1+Inputs!$D$7)^AA$2))),(_xlfn.WEIBULL.DIST(AA$2,$M14,$L14,FALSE)*$U14*((1+Inputs!$D$7)^AA$2))),IF($N14=Lists!$K$3,IF($L14&lt;1,((($T14*(1-$F14)+$S14*(1-$G14))/$L14)*((1+Inputs!$D$7)^AA$2)),((INT(AA$2/$L14)-INT((AA$2-1)/$L14))*($T14*(1-$F14)+$S14*(1-$G14))*((1+Inputs!$D$7)^AA$2))),((_xlfn.WEIBULL.DIST(AA$2,$M14,$L14,FALSE)*($T14*(1-$F14)+$S14*(1-$G14))*((1+Inputs!$D$7)^AA$2))))))</f>
        <v>2.0013491772461152E-2</v>
      </c>
      <c r="AB14" s="88">
        <f>$E14*IF(AB$2&gt;Inputs!$D$5,0,IF(AB$2&gt;VLOOKUP($H14,Lists!$P$3:$Q$7,2),IF($N14=Lists!$K$3,IF($L14&lt;1,(($U14/$L14)*((1+Inputs!$D$7)^AB$2)),((INT(AB$2/$L14)-INT((AB$2-1)/$L14))*$U14*((1+Inputs!$D$7)^AB$2))),(_xlfn.WEIBULL.DIST(AB$2,$M14,$L14,FALSE)*$U14*((1+Inputs!$D$7)^AB$2))),IF($N14=Lists!$K$3,IF($L14&lt;1,((($T14*(1-$F14)+$S14*(1-$G14))/$L14)*((1+Inputs!$D$7)^AB$2)),((INT(AB$2/$L14)-INT((AB$2-1)/$L14))*($T14*(1-$F14)+$S14*(1-$G14))*((1+Inputs!$D$7)^AB$2))),((_xlfn.WEIBULL.DIST(AB$2,$M14,$L14,FALSE)*($T14*(1-$F14)+$S14*(1-$G14))*((1+Inputs!$D$7)^AB$2))))))</f>
        <v>8.1618473163863808E-2</v>
      </c>
      <c r="AC14" s="88">
        <f>$E14*IF(AC$2&gt;Inputs!$D$5,0,IF(AC$2&gt;VLOOKUP($H14,Lists!$P$3:$Q$7,2),IF($N14=Lists!$K$3,IF($L14&lt;1,(($U14/$L14)*((1+Inputs!$D$7)^AC$2)),((INT(AC$2/$L14)-INT((AC$2-1)/$L14))*$U14*((1+Inputs!$D$7)^AC$2))),(_xlfn.WEIBULL.DIST(AC$2,$M14,$L14,FALSE)*$U14*((1+Inputs!$D$7)^AC$2))),IF($N14=Lists!$K$3,IF($L14&lt;1,((($T14*(1-$F14)+$S14*(1-$G14))/$L14)*((1+Inputs!$D$7)^AC$2)),((INT(AC$2/$L14)-INT((AC$2-1)/$L14))*($T14*(1-$F14)+$S14*(1-$G14))*((1+Inputs!$D$7)^AC$2))),((_xlfn.WEIBULL.DIST(AC$2,$M14,$L14,FALSE)*($T14*(1-$F14)+$S14*(1-$G14))*((1+Inputs!$D$7)^AC$2))))))</f>
        <v>0.18708676003630106</v>
      </c>
      <c r="AD14" s="88">
        <f>$E14*IF(AD$2&gt;Inputs!$D$5,0,IF(AD$2&gt;VLOOKUP($H14,Lists!$P$3:$Q$7,2),IF($N14=Lists!$K$3,IF($L14&lt;1,(($U14/$L14)*((1+Inputs!$D$7)^AD$2)),((INT(AD$2/$L14)-INT((AD$2-1)/$L14))*$U14*((1+Inputs!$D$7)^AD$2))),(_xlfn.WEIBULL.DIST(AD$2,$M14,$L14,FALSE)*$U14*((1+Inputs!$D$7)^AD$2))),IF($N14=Lists!$K$3,IF($L14&lt;1,((($T14*(1-$F14)+$S14*(1-$G14))/$L14)*((1+Inputs!$D$7)^AD$2)),((INT(AD$2/$L14)-INT((AD$2-1)/$L14))*($T14*(1-$F14)+$S14*(1-$G14))*((1+Inputs!$D$7)^AD$2))),((_xlfn.WEIBULL.DIST(AD$2,$M14,$L14,FALSE)*($T14*(1-$F14)+$S14*(1-$G14))*((1+Inputs!$D$7)^AD$2))))))</f>
        <v>0.33844826305134601</v>
      </c>
      <c r="AE14" s="88">
        <f>$E14*IF(AE$2&gt;Inputs!$D$5,0,IF(AE$2&gt;VLOOKUP($H14,Lists!$P$3:$Q$7,2),IF($N14=Lists!$K$3,IF($L14&lt;1,(($U14/$L14)*((1+Inputs!$D$7)^AE$2)),((INT(AE$2/$L14)-INT((AE$2-1)/$L14))*$U14*((1+Inputs!$D$7)^AE$2))),(_xlfn.WEIBULL.DIST(AE$2,$M14,$L14,FALSE)*$U14*((1+Inputs!$D$7)^AE$2))),IF($N14=Lists!$K$3,IF($L14&lt;1,((($T14*(1-$F14)+$S14*(1-$G14))/$L14)*((1+Inputs!$D$7)^AE$2)),((INT(AE$2/$L14)-INT((AE$2-1)/$L14))*($T14*(1-$F14)+$S14*(1-$G14))*((1+Inputs!$D$7)^AE$2))),((_xlfn.WEIBULL.DIST(AE$2,$M14,$L14,FALSE)*($T14*(1-$F14)+$S14*(1-$G14))*((1+Inputs!$D$7)^AE$2))))))</f>
        <v>0.53730019937195239</v>
      </c>
      <c r="AF14" s="88">
        <f>$E14*IF(AF$2&gt;Inputs!$D$5,0,IF(AF$2&gt;VLOOKUP($H14,Lists!$P$3:$Q$7,2),IF($N14=Lists!$K$3,IF($L14&lt;1,(($U14/$L14)*((1+Inputs!$D$7)^AF$2)),((INT(AF$2/$L14)-INT((AF$2-1)/$L14))*$U14*((1+Inputs!$D$7)^AF$2))),(_xlfn.WEIBULL.DIST(AF$2,$M14,$L14,FALSE)*$U14*((1+Inputs!$D$7)^AF$2))),IF($N14=Lists!$K$3,IF($L14&lt;1,((($T14*(1-$F14)+$S14*(1-$G14))/$L14)*((1+Inputs!$D$7)^AF$2)),((INT(AF$2/$L14)-INT((AF$2-1)/$L14))*($T14*(1-$F14)+$S14*(1-$G14))*((1+Inputs!$D$7)^AF$2))),((_xlfn.WEIBULL.DIST(AF$2,$M14,$L14,FALSE)*($T14*(1-$F14)+$S14*(1-$G14))*((1+Inputs!$D$7)^AF$2))))))</f>
        <v>0.78460366872440623</v>
      </c>
      <c r="AG14" s="88">
        <f>$E14*IF(AG$2&gt;Inputs!$D$5,0,IF(AG$2&gt;VLOOKUP($H14,Lists!$P$3:$Q$7,2),IF($N14=Lists!$K$3,IF($L14&lt;1,(($U14/$L14)*((1+Inputs!$D$7)^AG$2)),((INT(AG$2/$L14)-INT((AG$2-1)/$L14))*$U14*((1+Inputs!$D$7)^AG$2))),(_xlfn.WEIBULL.DIST(AG$2,$M14,$L14,FALSE)*$U14*((1+Inputs!$D$7)^AG$2))),IF($N14=Lists!$K$3,IF($L14&lt;1,((($T14*(1-$F14)+$S14*(1-$G14))/$L14)*((1+Inputs!$D$7)^AG$2)),((INT(AG$2/$L14)-INT((AG$2-1)/$L14))*($T14*(1-$F14)+$S14*(1-$G14))*((1+Inputs!$D$7)^AG$2))),((_xlfn.WEIBULL.DIST(AG$2,$M14,$L14,FALSE)*($T14*(1-$F14)+$S14*(1-$G14))*((1+Inputs!$D$7)^AG$2))))))</f>
        <v>1.0804735504240761</v>
      </c>
      <c r="AH14" s="88">
        <f>$E14*IF(AH$2&gt;Inputs!$D$5,0,IF(AH$2&gt;VLOOKUP($H14,Lists!$P$3:$Q$7,2),IF($N14=Lists!$K$3,IF($L14&lt;1,(($U14/$L14)*((1+Inputs!$D$7)^AH$2)),((INT(AH$2/$L14)-INT((AH$2-1)/$L14))*$U14*((1+Inputs!$D$7)^AH$2))),(_xlfn.WEIBULL.DIST(AH$2,$M14,$L14,FALSE)*$U14*((1+Inputs!$D$7)^AH$2))),IF($N14=Lists!$K$3,IF($L14&lt;1,((($T14*(1-$F14)+$S14*(1-$G14))/$L14)*((1+Inputs!$D$7)^AH$2)),((INT(AH$2/$L14)-INT((AH$2-1)/$L14))*($T14*(1-$F14)+$S14*(1-$G14))*((1+Inputs!$D$7)^AH$2))),((_xlfn.WEIBULL.DIST(AH$2,$M14,$L14,FALSE)*($T14*(1-$F14)+$S14*(1-$G14))*((1+Inputs!$D$7)^AH$2))))))</f>
        <v>1.4239701208140054</v>
      </c>
      <c r="AI14" s="88">
        <f>$E14*IF(AI$2&gt;Inputs!$D$5,0,IF(AI$2&gt;VLOOKUP($H14,Lists!$P$3:$Q$7,2),IF($N14=Lists!$K$3,IF($L14&lt;1,(($U14/$L14)*((1+Inputs!$D$7)^AI$2)),((INT(AI$2/$L14)-INT((AI$2-1)/$L14))*$U14*((1+Inputs!$D$7)^AI$2))),(_xlfn.WEIBULL.DIST(AI$2,$M14,$L14,FALSE)*$U14*((1+Inputs!$D$7)^AI$2))),IF($N14=Lists!$K$3,IF($L14&lt;1,((($T14*(1-$F14)+$S14*(1-$G14))/$L14)*((1+Inputs!$D$7)^AI$2)),((INT(AI$2/$L14)-INT((AI$2-1)/$L14))*($T14*(1-$F14)+$S14*(1-$G14))*((1+Inputs!$D$7)^AI$2))),((_xlfn.WEIBULL.DIST(AI$2,$M14,$L14,FALSE)*($T14*(1-$F14)+$S14*(1-$G14))*((1+Inputs!$D$7)^AI$2))))))</f>
        <v>1.8129031830031914</v>
      </c>
      <c r="AJ14" s="88">
        <f>$E14*IF(AJ$2&gt;Inputs!$D$5,0,IF(AJ$2&gt;VLOOKUP($H14,Lists!$P$3:$Q$7,2),IF($N14=Lists!$K$3,IF($L14&lt;1,(($U14/$L14)*((1+Inputs!$D$7)^AJ$2)),((INT(AJ$2/$L14)-INT((AJ$2-1)/$L14))*$U14*((1+Inputs!$D$7)^AJ$2))),(_xlfn.WEIBULL.DIST(AJ$2,$M14,$L14,FALSE)*$U14*((1+Inputs!$D$7)^AJ$2))),IF($N14=Lists!$K$3,IF($L14&lt;1,((($T14*(1-$F14)+$S14*(1-$G14))/$L14)*((1+Inputs!$D$7)^AJ$2)),((INT(AJ$2/$L14)-INT((AJ$2-1)/$L14))*($T14*(1-$F14)+$S14*(1-$G14))*((1+Inputs!$D$7)^AJ$2))),((_xlfn.WEIBULL.DIST(AJ$2,$M14,$L14,FALSE)*($T14*(1-$F14)+$S14*(1-$G14))*((1+Inputs!$D$7)^AJ$2))))))</f>
        <v>2.2436616297652345</v>
      </c>
      <c r="AK14" s="88">
        <f>$E14*IF(AK$2&gt;Inputs!$D$5,0,IF(AK$2&gt;VLOOKUP($H14,Lists!$P$3:$Q$7,2),IF($N14=Lists!$K$3,IF($L14&lt;1,(($U14/$L14)*((1+Inputs!$D$7)^AK$2)),((INT(AK$2/$L14)-INT((AK$2-1)/$L14))*$U14*((1+Inputs!$D$7)^AK$2))),(_xlfn.WEIBULL.DIST(AK$2,$M14,$L14,FALSE)*$U14*((1+Inputs!$D$7)^AK$2))),IF($N14=Lists!$K$3,IF($L14&lt;1,((($T14*(1-$F14)+$S14*(1-$G14))/$L14)*((1+Inputs!$D$7)^AK$2)),((INT(AK$2/$L14)-INT((AK$2-1)/$L14))*($T14*(1-$F14)+$S14*(1-$G14))*((1+Inputs!$D$7)^AK$2))),((_xlfn.WEIBULL.DIST(AK$2,$M14,$L14,FALSE)*($T14*(1-$F14)+$S14*(1-$G14))*((1+Inputs!$D$7)^AK$2))))))</f>
        <v>2.7110829681830024</v>
      </c>
      <c r="AL14" s="88">
        <f>$E14*IF(AL$2&gt;Inputs!$D$5,0,IF(AL$2&gt;VLOOKUP($H14,Lists!$P$3:$Q$7,2),IF($N14=Lists!$K$3,IF($L14&lt;1,(($U14/$L14)*((1+Inputs!$D$7)^AL$2)),((INT(AL$2/$L14)-INT((AL$2-1)/$L14))*$U14*((1+Inputs!$D$7)^AL$2))),(_xlfn.WEIBULL.DIST(AL$2,$M14,$L14,FALSE)*$U14*((1+Inputs!$D$7)^AL$2))),IF($N14=Lists!$K$3,IF($L14&lt;1,((($T14*(1-$F14)+$S14*(1-$G14))/$L14)*((1+Inputs!$D$7)^AL$2)),((INT(AL$2/$L14)-INT((AL$2-1)/$L14))*($T14*(1-$F14)+$S14*(1-$G14))*((1+Inputs!$D$7)^AL$2))),((_xlfn.WEIBULL.DIST(AL$2,$M14,$L14,FALSE)*($T14*(1-$F14)+$S14*(1-$G14))*((1+Inputs!$D$7)^AL$2))))))</f>
        <v>3.2083781351032319</v>
      </c>
      <c r="AM14" s="88">
        <f>$E14*IF(AM$2&gt;Inputs!$D$5,0,IF(AM$2&gt;VLOOKUP($H14,Lists!$P$3:$Q$7,2),IF($N14=Lists!$K$3,IF($L14&lt;1,(($U14/$L14)*((1+Inputs!$D$7)^AM$2)),((INT(AM$2/$L14)-INT((AM$2-1)/$L14))*$U14*((1+Inputs!$D$7)^AM$2))),(_xlfn.WEIBULL.DIST(AM$2,$M14,$L14,FALSE)*$U14*((1+Inputs!$D$7)^AM$2))),IF($N14=Lists!$K$3,IF($L14&lt;1,((($T14*(1-$F14)+$S14*(1-$G14))/$L14)*((1+Inputs!$D$7)^AM$2)),((INT(AM$2/$L14)-INT((AM$2-1)/$L14))*($T14*(1-$F14)+$S14*(1-$G14))*((1+Inputs!$D$7)^AM$2))),((_xlfn.WEIBULL.DIST(AM$2,$M14,$L14,FALSE)*($T14*(1-$F14)+$S14*(1-$G14))*((1+Inputs!$D$7)^AM$2))))))</f>
        <v>3.7271266371973035</v>
      </c>
      <c r="AN14" s="88">
        <f>$E14*IF(AN$2&gt;Inputs!$D$5,0,IF(AN$2&gt;VLOOKUP($H14,Lists!$P$3:$Q$7,2),IF($N14=Lists!$K$3,IF($L14&lt;1,(($U14/$L14)*((1+Inputs!$D$7)^AN$2)),((INT(AN$2/$L14)-INT((AN$2-1)/$L14))*$U14*((1+Inputs!$D$7)^AN$2))),(_xlfn.WEIBULL.DIST(AN$2,$M14,$L14,FALSE)*$U14*((1+Inputs!$D$7)^AN$2))),IF($N14=Lists!$K$3,IF($L14&lt;1,((($T14*(1-$F14)+$S14*(1-$G14))/$L14)*((1+Inputs!$D$7)^AN$2)),((INT(AN$2/$L14)-INT((AN$2-1)/$L14))*($T14*(1-$F14)+$S14*(1-$G14))*((1+Inputs!$D$7)^AN$2))),((_xlfn.WEIBULL.DIST(AN$2,$M14,$L14,FALSE)*($T14*(1-$F14)+$S14*(1-$G14))*((1+Inputs!$D$7)^AN$2))))))</f>
        <v>4.2573554019535456</v>
      </c>
      <c r="AO14" s="88">
        <f>$E14*IF(AO$2&gt;Inputs!$D$5,0,IF(AO$2&gt;VLOOKUP($H14,Lists!$P$3:$Q$7,2),IF($N14=Lists!$K$3,IF($L14&lt;1,(($U14/$L14)*((1+Inputs!$D$7)^AO$2)),((INT(AO$2/$L14)-INT((AO$2-1)/$L14))*$U14*((1+Inputs!$D$7)^AO$2))),(_xlfn.WEIBULL.DIST(AO$2,$M14,$L14,FALSE)*$U14*((1+Inputs!$D$7)^AO$2))),IF($N14=Lists!$K$3,IF($L14&lt;1,((($T14*(1-$F14)+$S14*(1-$G14))/$L14)*((1+Inputs!$D$7)^AO$2)),((INT(AO$2/$L14)-INT((AO$2-1)/$L14))*($T14*(1-$F14)+$S14*(1-$G14))*((1+Inputs!$D$7)^AO$2))),((_xlfn.WEIBULL.DIST(AO$2,$M14,$L14,FALSE)*($T14*(1-$F14)+$S14*(1-$G14))*((1+Inputs!$D$7)^AO$2))))))</f>
        <v>4.7877115432644501</v>
      </c>
      <c r="AP14" s="88">
        <f>$E14*IF(AP$2&gt;Inputs!$D$5,0,IF(AP$2&gt;VLOOKUP($H14,Lists!$P$3:$Q$7,2),IF($N14=Lists!$K$3,IF($L14&lt;1,(($U14/$L14)*((1+Inputs!$D$7)^AP$2)),((INT(AP$2/$L14)-INT((AP$2-1)/$L14))*$U14*((1+Inputs!$D$7)^AP$2))),(_xlfn.WEIBULL.DIST(AP$2,$M14,$L14,FALSE)*$U14*((1+Inputs!$D$7)^AP$2))),IF($N14=Lists!$K$3,IF($L14&lt;1,((($T14*(1-$F14)+$S14*(1-$G14))/$L14)*((1+Inputs!$D$7)^AP$2)),((INT(AP$2/$L14)-INT((AP$2-1)/$L14))*($T14*(1-$F14)+$S14*(1-$G14))*((1+Inputs!$D$7)^AP$2))),((_xlfn.WEIBULL.DIST(AP$2,$M14,$L14,FALSE)*($T14*(1-$F14)+$S14*(1-$G14))*((1+Inputs!$D$7)^AP$2))))))</f>
        <v>5.3057344624040832</v>
      </c>
      <c r="AQ14" s="88">
        <f>$E14*IF(AQ$2&gt;Inputs!$D$5,0,IF(AQ$2&gt;VLOOKUP($H14,Lists!$P$3:$Q$7,2),IF($N14=Lists!$K$3,IF($L14&lt;1,(($U14/$L14)*((1+Inputs!$D$7)^AQ$2)),((INT(AQ$2/$L14)-INT((AQ$2-1)/$L14))*$U14*((1+Inputs!$D$7)^AQ$2))),(_xlfn.WEIBULL.DIST(AQ$2,$M14,$L14,FALSE)*$U14*((1+Inputs!$D$7)^AQ$2))),IF($N14=Lists!$K$3,IF($L14&lt;1,((($T14*(1-$F14)+$S14*(1-$G14))/$L14)*((1+Inputs!$D$7)^AQ$2)),((INT(AQ$2/$L14)-INT((AQ$2-1)/$L14))*($T14*(1-$F14)+$S14*(1-$G14))*((1+Inputs!$D$7)^AQ$2))),((_xlfn.WEIBULL.DIST(AQ$2,$M14,$L14,FALSE)*($T14*(1-$F14)+$S14*(1-$G14))*((1+Inputs!$D$7)^AQ$2))))))</f>
        <v>5.798226416982482</v>
      </c>
      <c r="AR14" s="88">
        <f>$E14*IF(AR$2&gt;Inputs!$D$5,0,IF(AR$2&gt;VLOOKUP($H14,Lists!$P$3:$Q$7,2),IF($N14=Lists!$K$3,IF($L14&lt;1,(($U14/$L14)*((1+Inputs!$D$7)^AR$2)),((INT(AR$2/$L14)-INT((AR$2-1)/$L14))*$U14*((1+Inputs!$D$7)^AR$2))),(_xlfn.WEIBULL.DIST(AR$2,$M14,$L14,FALSE)*$U14*((1+Inputs!$D$7)^AR$2))),IF($N14=Lists!$K$3,IF($L14&lt;1,((($T14*(1-$F14)+$S14*(1-$G14))/$L14)*((1+Inputs!$D$7)^AR$2)),((INT(AR$2/$L14)-INT((AR$2-1)/$L14))*($T14*(1-$F14)+$S14*(1-$G14))*((1+Inputs!$D$7)^AR$2))),((_xlfn.WEIBULL.DIST(AR$2,$M14,$L14,FALSE)*($T14*(1-$F14)+$S14*(1-$G14))*((1+Inputs!$D$7)^AR$2))))))</f>
        <v>6.2517131837654709</v>
      </c>
      <c r="AS14" s="88">
        <f>$E14*IF(AS$2&gt;Inputs!$D$5,0,IF(AS$2&gt;VLOOKUP($H14,Lists!$P$3:$Q$7,2),IF($N14=Lists!$K$3,IF($L14&lt;1,(($U14/$L14)*((1+Inputs!$D$7)^AS$2)),((INT(AS$2/$L14)-INT((AS$2-1)/$L14))*$U14*((1+Inputs!$D$7)^AS$2))),(_xlfn.WEIBULL.DIST(AS$2,$M14,$L14,FALSE)*$U14*((1+Inputs!$D$7)^AS$2))),IF($N14=Lists!$K$3,IF($L14&lt;1,((($T14*(1-$F14)+$S14*(1-$G14))/$L14)*((1+Inputs!$D$7)^AS$2)),((INT(AS$2/$L14)-INT((AS$2-1)/$L14))*($T14*(1-$F14)+$S14*(1-$G14))*((1+Inputs!$D$7)^AS$2))),((_xlfn.WEIBULL.DIST(AS$2,$M14,$L14,FALSE)*($T14*(1-$F14)+$S14*(1-$G14))*((1+Inputs!$D$7)^AS$2))))))</f>
        <v>6.6529782092428924</v>
      </c>
      <c r="AT14" s="88">
        <f>$E14*IF(AT$2&gt;Inputs!$D$5,0,IF(AT$2&gt;VLOOKUP($H14,Lists!$P$3:$Q$7,2),IF($N14=Lists!$K$3,IF($L14&lt;1,(($U14/$L14)*((1+Inputs!$D$7)^AT$2)),((INT(AT$2/$L14)-INT((AT$2-1)/$L14))*$U14*((1+Inputs!$D$7)^AT$2))),(_xlfn.WEIBULL.DIST(AT$2,$M14,$L14,FALSE)*$U14*((1+Inputs!$D$7)^AT$2))),IF($N14=Lists!$K$3,IF($L14&lt;1,((($T14*(1-$F14)+$S14*(1-$G14))/$L14)*((1+Inputs!$D$7)^AT$2)),((INT(AT$2/$L14)-INT((AT$2-1)/$L14))*($T14*(1-$F14)+$S14*(1-$G14))*((1+Inputs!$D$7)^AT$2))),((_xlfn.WEIBULL.DIST(AT$2,$M14,$L14,FALSE)*($T14*(1-$F14)+$S14*(1-$G14))*((1+Inputs!$D$7)^AT$2))))))</f>
        <v>6.9896453731072308</v>
      </c>
      <c r="AU14" s="88">
        <f>$E14*IF(AU$2&gt;Inputs!$D$5,0,IF(AU$2&gt;VLOOKUP($H14,Lists!$P$3:$Q$7,2),IF($N14=Lists!$K$3,IF($L14&lt;1,(($U14/$L14)*((1+Inputs!$D$7)^AU$2)),((INT(AU$2/$L14)-INT((AU$2-1)/$L14))*$U14*((1+Inputs!$D$7)^AU$2))),(_xlfn.WEIBULL.DIST(AU$2,$M14,$L14,FALSE)*$U14*((1+Inputs!$D$7)^AU$2))),IF($N14=Lists!$K$3,IF($L14&lt;1,((($T14*(1-$F14)+$S14*(1-$G14))/$L14)*((1+Inputs!$D$7)^AU$2)),((INT(AU$2/$L14)-INT((AU$2-1)/$L14))*($T14*(1-$F14)+$S14*(1-$G14))*((1+Inputs!$D$7)^AU$2))),((_xlfn.WEIBULL.DIST(AU$2,$M14,$L14,FALSE)*($T14*(1-$F14)+$S14*(1-$G14))*((1+Inputs!$D$7)^AU$2))))))</f>
        <v>7.2507780266731121</v>
      </c>
      <c r="AV14" s="88">
        <f>$E14*IF(AV$2&gt;Inputs!$D$5,0,IF(AV$2&gt;VLOOKUP($H14,Lists!$P$3:$Q$7,2),IF($N14=Lists!$K$3,IF($L14&lt;1,(($U14/$L14)*((1+Inputs!$D$7)^AV$2)),((INT(AV$2/$L14)-INT((AV$2-1)/$L14))*$U14*((1+Inputs!$D$7)^AV$2))),(_xlfn.WEIBULL.DIST(AV$2,$M14,$L14,FALSE)*$U14*((1+Inputs!$D$7)^AV$2))),IF($N14=Lists!$K$3,IF($L14&lt;1,((($T14*(1-$F14)+$S14*(1-$G14))/$L14)*((1+Inputs!$D$7)^AV$2)),((INT(AV$2/$L14)-INT((AV$2-1)/$L14))*($T14*(1-$F14)+$S14*(1-$G14))*((1+Inputs!$D$7)^AV$2))),((_xlfn.WEIBULL.DIST(AV$2,$M14,$L14,FALSE)*($T14*(1-$F14)+$S14*(1-$G14))*((1+Inputs!$D$7)^AV$2))))))</f>
        <v>7.4274562324269846</v>
      </c>
      <c r="AW14" s="88">
        <f>$E14*IF(AW$2&gt;Inputs!$D$5,0,IF(AW$2&gt;VLOOKUP($H14,Lists!$P$3:$Q$7,2),IF($N14=Lists!$K$3,IF($L14&lt;1,(($U14/$L14)*((1+Inputs!$D$7)^AW$2)),((INT(AW$2/$L14)-INT((AW$2-1)/$L14))*$U14*((1+Inputs!$D$7)^AW$2))),(_xlfn.WEIBULL.DIST(AW$2,$M14,$L14,FALSE)*$U14*((1+Inputs!$D$7)^AW$2))),IF($N14=Lists!$K$3,IF($L14&lt;1,((($T14*(1-$F14)+$S14*(1-$G14))/$L14)*((1+Inputs!$D$7)^AW$2)),((INT(AW$2/$L14)-INT((AW$2-1)/$L14))*($T14*(1-$F14)+$S14*(1-$G14))*((1+Inputs!$D$7)^AW$2))),((_xlfn.WEIBULL.DIST(AW$2,$M14,$L14,FALSE)*($T14*(1-$F14)+$S14*(1-$G14))*((1+Inputs!$D$7)^AW$2))))))</f>
        <v>7.5132910198093379</v>
      </c>
      <c r="AX14" s="88">
        <f>$E14*IF(AX$2&gt;Inputs!$D$5,0,IF(AX$2&gt;VLOOKUP($H14,Lists!$P$3:$Q$7,2),IF($N14=Lists!$K$3,IF($L14&lt;1,(($U14/$L14)*((1+Inputs!$D$7)^AX$2)),((INT(AX$2/$L14)-INT((AX$2-1)/$L14))*$U14*((1+Inputs!$D$7)^AX$2))),(_xlfn.WEIBULL.DIST(AX$2,$M14,$L14,FALSE)*$U14*((1+Inputs!$D$7)^AX$2))),IF($N14=Lists!$K$3,IF($L14&lt;1,((($T14*(1-$F14)+$S14*(1-$G14))/$L14)*((1+Inputs!$D$7)^AX$2)),((INT(AX$2/$L14)-INT((AX$2-1)/$L14))*($T14*(1-$F14)+$S14*(1-$G14))*((1+Inputs!$D$7)^AX$2))),((_xlfn.WEIBULL.DIST(AX$2,$M14,$L14,FALSE)*($T14*(1-$F14)+$S14*(1-$G14))*((1+Inputs!$D$7)^AX$2))))))</f>
        <v>7.5048347356021772</v>
      </c>
      <c r="AY14" s="88">
        <f>$E14*IF(AY$2&gt;Inputs!$D$5,0,IF(AY$2&gt;VLOOKUP($H14,Lists!$P$3:$Q$7,2),IF($N14=Lists!$K$3,IF($L14&lt;1,(($U14/$L14)*((1+Inputs!$D$7)^AY$2)),((INT(AY$2/$L14)-INT((AY$2-1)/$L14))*$U14*((1+Inputs!$D$7)^AY$2))),(_xlfn.WEIBULL.DIST(AY$2,$M14,$L14,FALSE)*$U14*((1+Inputs!$D$7)^AY$2))),IF($N14=Lists!$K$3,IF($L14&lt;1,((($T14*(1-$F14)+$S14*(1-$G14))/$L14)*((1+Inputs!$D$7)^AY$2)),((INT(AY$2/$L14)-INT((AY$2-1)/$L14))*($T14*(1-$F14)+$S14*(1-$G14))*((1+Inputs!$D$7)^AY$2))),((_xlfn.WEIBULL.DIST(AY$2,$M14,$L14,FALSE)*($T14*(1-$F14)+$S14*(1-$G14))*((1+Inputs!$D$7)^AY$2))))))</f>
        <v>7.401850678317893</v>
      </c>
      <c r="AZ14" s="88">
        <f>$E14*IF(AZ$2&gt;Inputs!$D$5,0,IF(AZ$2&gt;VLOOKUP($H14,Lists!$P$3:$Q$7,2),IF($N14=Lists!$K$3,IF($L14&lt;1,(($U14/$L14)*((1+Inputs!$D$7)^AZ$2)),((INT(AZ$2/$L14)-INT((AZ$2-1)/$L14))*$U14*((1+Inputs!$D$7)^AZ$2))),(_xlfn.WEIBULL.DIST(AZ$2,$M14,$L14,FALSE)*$U14*((1+Inputs!$D$7)^AZ$2))),IF($N14=Lists!$K$3,IF($L14&lt;1,((($T14*(1-$F14)+$S14*(1-$G14))/$L14)*((1+Inputs!$D$7)^AZ$2)),((INT(AZ$2/$L14)-INT((AZ$2-1)/$L14))*($T14*(1-$F14)+$S14*(1-$G14))*((1+Inputs!$D$7)^AZ$2))),((_xlfn.WEIBULL.DIST(AZ$2,$M14,$L14,FALSE)*($T14*(1-$F14)+$S14*(1-$G14))*((1+Inputs!$D$7)^AZ$2))))))</f>
        <v>0</v>
      </c>
      <c r="BA14" s="88">
        <f>$E14*IF(BA$2&gt;Inputs!$D$5,0,IF(BA$2&gt;VLOOKUP($H14,Lists!$P$3:$Q$7,2),IF($N14=Lists!$K$3,IF($L14&lt;1,(($U14/$L14)*((1+Inputs!$D$7)^BA$2)),((INT(BA$2/$L14)-INT((BA$2-1)/$L14))*$U14*((1+Inputs!$D$7)^BA$2))),(_xlfn.WEIBULL.DIST(BA$2,$M14,$L14,FALSE)*$U14*((1+Inputs!$D$7)^BA$2))),IF($N14=Lists!$K$3,IF($L14&lt;1,((($T14*(1-$F14)+$S14*(1-$G14))/$L14)*((1+Inputs!$D$7)^BA$2)),((INT(BA$2/$L14)-INT((BA$2-1)/$L14))*($T14*(1-$F14)+$S14*(1-$G14))*((1+Inputs!$D$7)^BA$2))),((_xlfn.WEIBULL.DIST(BA$2,$M14,$L14,FALSE)*($T14*(1-$F14)+$S14*(1-$G14))*((1+Inputs!$D$7)^BA$2))))))</f>
        <v>0</v>
      </c>
      <c r="BB14" s="88">
        <f>$E14*IF(BB$2&gt;Inputs!$D$5,0,IF(BB$2&gt;VLOOKUP($H14,Lists!$P$3:$Q$7,2),IF($N14=Lists!$K$3,IF($L14&lt;1,(($U14/$L14)*((1+Inputs!$D$7)^BB$2)),((INT(BB$2/$L14)-INT((BB$2-1)/$L14))*$U14*((1+Inputs!$D$7)^BB$2))),(_xlfn.WEIBULL.DIST(BB$2,$M14,$L14,FALSE)*$U14*((1+Inputs!$D$7)^BB$2))),IF($N14=Lists!$K$3,IF($L14&lt;1,((($T14*(1-$F14)+$S14*(1-$G14))/$L14)*((1+Inputs!$D$7)^BB$2)),((INT(BB$2/$L14)-INT((BB$2-1)/$L14))*($T14*(1-$F14)+$S14*(1-$G14))*((1+Inputs!$D$7)^BB$2))),((_xlfn.WEIBULL.DIST(BB$2,$M14,$L14,FALSE)*($T14*(1-$F14)+$S14*(1-$G14))*((1+Inputs!$D$7)^BB$2))))))</f>
        <v>0</v>
      </c>
      <c r="BC14" s="88">
        <f>$E14*IF(BC$2&gt;Inputs!$D$5,0,IF(BC$2&gt;VLOOKUP($H14,Lists!$P$3:$Q$7,2),IF($N14=Lists!$K$3,IF($L14&lt;1,(($U14/$L14)*((1+Inputs!$D$7)^BC$2)),((INT(BC$2/$L14)-INT((BC$2-1)/$L14))*$U14*((1+Inputs!$D$7)^BC$2))),(_xlfn.WEIBULL.DIST(BC$2,$M14,$L14,FALSE)*$U14*((1+Inputs!$D$7)^BC$2))),IF($N14=Lists!$K$3,IF($L14&lt;1,((($T14*(1-$F14)+$S14*(1-$G14))/$L14)*((1+Inputs!$D$7)^BC$2)),((INT(BC$2/$L14)-INT((BC$2-1)/$L14))*($T14*(1-$F14)+$S14*(1-$G14))*((1+Inputs!$D$7)^BC$2))),((_xlfn.WEIBULL.DIST(BC$2,$M14,$L14,FALSE)*($T14*(1-$F14)+$S14*(1-$G14))*((1+Inputs!$D$7)^BC$2))))))</f>
        <v>0</v>
      </c>
      <c r="BD14" s="88">
        <f>$E14*IF(BD$2&gt;Inputs!$D$5,0,IF(BD$2&gt;VLOOKUP($H14,Lists!$P$3:$Q$7,2),IF($N14=Lists!$K$3,IF($L14&lt;1,(($U14/$L14)*((1+Inputs!$D$7)^BD$2)),((INT(BD$2/$L14)-INT((BD$2-1)/$L14))*$U14*((1+Inputs!$D$7)^BD$2))),(_xlfn.WEIBULL.DIST(BD$2,$M14,$L14,FALSE)*$U14*((1+Inputs!$D$7)^BD$2))),IF($N14=Lists!$K$3,IF($L14&lt;1,((($T14*(1-$F14)+$S14*(1-$G14))/$L14)*((1+Inputs!$D$7)^BD$2)),((INT(BD$2/$L14)-INT((BD$2-1)/$L14))*($T14*(1-$F14)+$S14*(1-$G14))*((1+Inputs!$D$7)^BD$2))),((_xlfn.WEIBULL.DIST(BD$2,$M14,$L14,FALSE)*($T14*(1-$F14)+$S14*(1-$G14))*((1+Inputs!$D$7)^BD$2))))))</f>
        <v>0</v>
      </c>
      <c r="BE14" s="88">
        <f>$E14*IF(BE$2&gt;Inputs!$D$5,0,IF(BE$2&gt;VLOOKUP($H14,Lists!$P$3:$Q$7,2),IF($N14=Lists!$K$3,IF($L14&lt;1,(($U14/$L14)*((1+Inputs!$D$7)^BE$2)),((INT(BE$2/$L14)-INT((BE$2-1)/$L14))*$U14*((1+Inputs!$D$7)^BE$2))),(_xlfn.WEIBULL.DIST(BE$2,$M14,$L14,FALSE)*$U14*((1+Inputs!$D$7)^BE$2))),IF($N14=Lists!$K$3,IF($L14&lt;1,((($T14*(1-$F14)+$S14*(1-$G14))/$L14)*((1+Inputs!$D$7)^BE$2)),((INT(BE$2/$L14)-INT((BE$2-1)/$L14))*($T14*(1-$F14)+$S14*(1-$G14))*((1+Inputs!$D$7)^BE$2))),((_xlfn.WEIBULL.DIST(BE$2,$M14,$L14,FALSE)*($T14*(1-$F14)+$S14*(1-$G14))*((1+Inputs!$D$7)^BE$2))))))</f>
        <v>0</v>
      </c>
      <c r="BF14" s="88">
        <f>$E14*IF(BF$2&gt;Inputs!$D$5,0,IF(BF$2&gt;VLOOKUP($H14,Lists!$P$3:$Q$7,2),IF($N14=Lists!$K$3,IF($L14&lt;1,(($U14/$L14)*((1+Inputs!$D$7)^BF$2)),((INT(BF$2/$L14)-INT((BF$2-1)/$L14))*$U14*((1+Inputs!$D$7)^BF$2))),(_xlfn.WEIBULL.DIST(BF$2,$M14,$L14,FALSE)*$U14*((1+Inputs!$D$7)^BF$2))),IF($N14=Lists!$K$3,IF($L14&lt;1,((($T14*(1-$F14)+$S14*(1-$G14))/$L14)*((1+Inputs!$D$7)^BF$2)),((INT(BF$2/$L14)-INT((BF$2-1)/$L14))*($T14*(1-$F14)+$S14*(1-$G14))*((1+Inputs!$D$7)^BF$2))),((_xlfn.WEIBULL.DIST(BF$2,$M14,$L14,FALSE)*($T14*(1-$F14)+$S14*(1-$G14))*((1+Inputs!$D$7)^BF$2))))))</f>
        <v>0</v>
      </c>
      <c r="BG14" s="88">
        <f>$E14*IF(BG$2&gt;Inputs!$D$5,0,IF(BG$2&gt;VLOOKUP($H14,Lists!$P$3:$Q$7,2),IF($N14=Lists!$K$3,IF($L14&lt;1,(($U14/$L14)*((1+Inputs!$D$7)^BG$2)),((INT(BG$2/$L14)-INT((BG$2-1)/$L14))*$U14*((1+Inputs!$D$7)^BG$2))),(_xlfn.WEIBULL.DIST(BG$2,$M14,$L14,FALSE)*$U14*((1+Inputs!$D$7)^BG$2))),IF($N14=Lists!$K$3,IF($L14&lt;1,((($T14*(1-$F14)+$S14*(1-$G14))/$L14)*((1+Inputs!$D$7)^BG$2)),((INT(BG$2/$L14)-INT((BG$2-1)/$L14))*($T14*(1-$F14)+$S14*(1-$G14))*((1+Inputs!$D$7)^BG$2))),((_xlfn.WEIBULL.DIST(BG$2,$M14,$L14,FALSE)*($T14*(1-$F14)+$S14*(1-$G14))*((1+Inputs!$D$7)^BG$2))))))</f>
        <v>0</v>
      </c>
      <c r="BH14" s="88">
        <f>$E14*IF(BH$2&gt;Inputs!$D$5,0,IF(BH$2&gt;VLOOKUP($H14,Lists!$P$3:$Q$7,2),IF($N14=Lists!$K$3,IF($L14&lt;1,(($U14/$L14)*((1+Inputs!$D$7)^BH$2)),((INT(BH$2/$L14)-INT((BH$2-1)/$L14))*$U14*((1+Inputs!$D$7)^BH$2))),(_xlfn.WEIBULL.DIST(BH$2,$M14,$L14,FALSE)*$U14*((1+Inputs!$D$7)^BH$2))),IF($N14=Lists!$K$3,IF($L14&lt;1,((($T14*(1-$F14)+$S14*(1-$G14))/$L14)*((1+Inputs!$D$7)^BH$2)),((INT(BH$2/$L14)-INT((BH$2-1)/$L14))*($T14*(1-$F14)+$S14*(1-$G14))*((1+Inputs!$D$7)^BH$2))),((_xlfn.WEIBULL.DIST(BH$2,$M14,$L14,FALSE)*($T14*(1-$F14)+$S14*(1-$G14))*((1+Inputs!$D$7)^BH$2))))))</f>
        <v>0</v>
      </c>
      <c r="BI14" s="88">
        <f>$E14*IF(BI$2&gt;Inputs!$D$5,0,IF(BI$2&gt;VLOOKUP($H14,Lists!$P$3:$Q$7,2),IF($N14=Lists!$K$3,IF($L14&lt;1,(($U14/$L14)*((1+Inputs!$D$7)^BI$2)),((INT(BI$2/$L14)-INT((BI$2-1)/$L14))*$U14*((1+Inputs!$D$7)^BI$2))),(_xlfn.WEIBULL.DIST(BI$2,$M14,$L14,FALSE)*$U14*((1+Inputs!$D$7)^BI$2))),IF($N14=Lists!$K$3,IF($L14&lt;1,((($T14*(1-$F14)+$S14*(1-$G14))/$L14)*((1+Inputs!$D$7)^BI$2)),((INT(BI$2/$L14)-INT((BI$2-1)/$L14))*($T14*(1-$F14)+$S14*(1-$G14))*((1+Inputs!$D$7)^BI$2))),((_xlfn.WEIBULL.DIST(BI$2,$M14,$L14,FALSE)*($T14*(1-$F14)+$S14*(1-$G14))*((1+Inputs!$D$7)^BI$2))))))</f>
        <v>0</v>
      </c>
      <c r="BJ14" s="88">
        <f>$E14*IF(BJ$2&gt;Inputs!$D$5,0,IF(BJ$2&gt;VLOOKUP($H14,Lists!$P$3:$Q$7,2),IF($N14=Lists!$K$3,IF($L14&lt;1,(($U14/$L14)*((1+Inputs!$D$7)^BJ$2)),((INT(BJ$2/$L14)-INT((BJ$2-1)/$L14))*$U14*((1+Inputs!$D$7)^BJ$2))),(_xlfn.WEIBULL.DIST(BJ$2,$M14,$L14,FALSE)*$U14*((1+Inputs!$D$7)^BJ$2))),IF($N14=Lists!$K$3,IF($L14&lt;1,((($T14*(1-$F14)+$S14*(1-$G14))/$L14)*((1+Inputs!$D$7)^BJ$2)),((INT(BJ$2/$L14)-INT((BJ$2-1)/$L14))*($T14*(1-$F14)+$S14*(1-$G14))*((1+Inputs!$D$7)^BJ$2))),((_xlfn.WEIBULL.DIST(BJ$2,$M14,$L14,FALSE)*($T14*(1-$F14)+$S14*(1-$G14))*((1+Inputs!$D$7)^BJ$2))))))</f>
        <v>0</v>
      </c>
      <c r="BK14" s="88">
        <f>$E14*IF(BK$2&gt;Inputs!$D$5,0,IF(BK$2&gt;VLOOKUP($H14,Lists!$P$3:$Q$7,2),IF($N14=Lists!$K$3,IF($L14&lt;1,(($U14/$L14)*((1+Inputs!$D$7)^BK$2)),((INT(BK$2/$L14)-INT((BK$2-1)/$L14))*$U14*((1+Inputs!$D$7)^BK$2))),(_xlfn.WEIBULL.DIST(BK$2,$M14,$L14,FALSE)*$U14*((1+Inputs!$D$7)^BK$2))),IF($N14=Lists!$K$3,IF($L14&lt;1,((($T14*(1-$F14)+$S14*(1-$G14))/$L14)*((1+Inputs!$D$7)^BK$2)),((INT(BK$2/$L14)-INT((BK$2-1)/$L14))*($T14*(1-$F14)+$S14*(1-$G14))*((1+Inputs!$D$7)^BK$2))),((_xlfn.WEIBULL.DIST(BK$2,$M14,$L14,FALSE)*($T14*(1-$F14)+$S14*(1-$G14))*((1+Inputs!$D$7)^BK$2))))))</f>
        <v>0</v>
      </c>
      <c r="BL14" s="88">
        <f>$E14*IF(BL$2&gt;Inputs!$D$5,0,IF(BL$2&gt;VLOOKUP($H14,Lists!$P$3:$Q$7,2),IF($N14=Lists!$K$3,IF($L14&lt;1,(($U14/$L14)*((1+Inputs!$D$7)^BL$2)),((INT(BL$2/$L14)-INT((BL$2-1)/$L14))*$U14*((1+Inputs!$D$7)^BL$2))),(_xlfn.WEIBULL.DIST(BL$2,$M14,$L14,FALSE)*$U14*((1+Inputs!$D$7)^BL$2))),IF($N14=Lists!$K$3,IF($L14&lt;1,((($T14*(1-$F14)+$S14*(1-$G14))/$L14)*((1+Inputs!$D$7)^BL$2)),((INT(BL$2/$L14)-INT((BL$2-1)/$L14))*($T14*(1-$F14)+$S14*(1-$G14))*((1+Inputs!$D$7)^BL$2))),((_xlfn.WEIBULL.DIST(BL$2,$M14,$L14,FALSE)*($T14*(1-$F14)+$S14*(1-$G14))*((1+Inputs!$D$7)^BL$2))))))</f>
        <v>0</v>
      </c>
      <c r="BM14" s="88">
        <f>$E14*IF(BM$2&gt;Inputs!$D$5,0,IF(BM$2&gt;VLOOKUP($H14,Lists!$P$3:$Q$7,2),IF($N14=Lists!$K$3,IF($L14&lt;1,(($U14/$L14)*((1+Inputs!$D$7)^BM$2)),((INT(BM$2/$L14)-INT((BM$2-1)/$L14))*$U14*((1+Inputs!$D$7)^BM$2))),(_xlfn.WEIBULL.DIST(BM$2,$M14,$L14,FALSE)*$U14*((1+Inputs!$D$7)^BM$2))),IF($N14=Lists!$K$3,IF($L14&lt;1,((($T14*(1-$F14)+$S14*(1-$G14))/$L14)*((1+Inputs!$D$7)^BM$2)),((INT(BM$2/$L14)-INT((BM$2-1)/$L14))*($T14*(1-$F14)+$S14*(1-$G14))*((1+Inputs!$D$7)^BM$2))),((_xlfn.WEIBULL.DIST(BM$2,$M14,$L14,FALSE)*($T14*(1-$F14)+$S14*(1-$G14))*((1+Inputs!$D$7)^BM$2))))))</f>
        <v>0</v>
      </c>
      <c r="BN14" s="88">
        <f>$E14*IF(BN$2&gt;Inputs!$D$5,0,IF(BN$2&gt;VLOOKUP($H14,Lists!$P$3:$Q$7,2),IF($N14=Lists!$K$3,IF($L14&lt;1,(($U14/$L14)*((1+Inputs!$D$7)^BN$2)),((INT(BN$2/$L14)-INT((BN$2-1)/$L14))*$U14*((1+Inputs!$D$7)^BN$2))),(_xlfn.WEIBULL.DIST(BN$2,$M14,$L14,FALSE)*$U14*((1+Inputs!$D$7)^BN$2))),IF($N14=Lists!$K$3,IF($L14&lt;1,((($T14*(1-$F14)+$S14*(1-$G14))/$L14)*((1+Inputs!$D$7)^BN$2)),((INT(BN$2/$L14)-INT((BN$2-1)/$L14))*($T14*(1-$F14)+$S14*(1-$G14))*((1+Inputs!$D$7)^BN$2))),((_xlfn.WEIBULL.DIST(BN$2,$M14,$L14,FALSE)*($T14*(1-$F14)+$S14*(1-$G14))*((1+Inputs!$D$7)^BN$2))))))</f>
        <v>0</v>
      </c>
      <c r="BO14" s="64">
        <f>NPV(Inputs!$D$6,BQ14:DD14)</f>
        <v>83.529589325571266</v>
      </c>
      <c r="BP14" s="67">
        <f t="shared" si="6"/>
        <v>3.9396632299622837E-5</v>
      </c>
      <c r="BQ14" s="88">
        <f>MAX(AA14,($E14*IF(BQ$2&gt;Inputs!$D$5,0,IF(BQ$2&gt;VLOOKUP($H14,Lists!$P$3:$Q$7,2),IF($N14=Lists!$K$3,IF($L14&lt;1,(($U14/$L14)*((1+Inputs!$D$7)^BQ$2)),((INT(BQ$2/$L14)-INT((BQ$2-1)/$L14))*$U14*((1+Inputs!$D$7)^BQ$2))),(Inputs!$D$8^((1-_xlfn.WEIBULL.DIST(BQ$2,$M14,$L14,FALSE))/_xlfn.WEIBULL.DIST(BQ$2,$M14,$L14,FALSE))*$U14*((1+Inputs!$D$7)^BQ$2))),IF($N14=Lists!$K$3,IF($L14&lt;1,((($T14*(1-$F14)+$S14*(1-$G14))/$L14)*((1+Inputs!$D$7)^BQ$2)),((INT(BQ$2/$L14)-INT((BQ$2-1)/$L14))*($T14*(1-$F14)+$S14*(1-$G14))*((1+Inputs!$D$7)^BQ$2))),((Inputs!$D$8^((1-_xlfn.WEIBULL.DIST(BQ$2,$M14,$L14,FALSE))/_xlfn.WEIBULL.DIST(BQ$2,$M14,$L14,FALSE))*($T14*(1-$F14)+$S14*(1-$G14))*((1+Inputs!$D$7)^BQ$2))))))))</f>
        <v>2.0013491772461152E-2</v>
      </c>
      <c r="BR14" s="88">
        <f>MAX(AB14,($E14*IF(BR$2&gt;Inputs!$D$5,0,IF(BR$2&gt;VLOOKUP($H14,Lists!$P$3:$Q$7,2),IF($N14=Lists!$K$3,IF($L14&lt;1,(($U14/$L14)*((1+Inputs!$D$7)^BR$2)),((INT(BR$2/$L14)-INT((BR$2-1)/$L14))*$U14*((1+Inputs!$D$7)^BR$2))),(Inputs!$D$8^((1-_xlfn.WEIBULL.DIST(BR$2,$M14,$L14,FALSE))/_xlfn.WEIBULL.DIST(BR$2,$M14,$L14,FALSE))*$U14*((1+Inputs!$D$7)^BR$2))),IF($N14=Lists!$K$3,IF($L14&lt;1,((($T14*(1-$F14)+$S14*(1-$G14))/$L14)*((1+Inputs!$D$7)^BR$2)),((INT(BR$2/$L14)-INT((BR$2-1)/$L14))*($T14*(1-$F14)+$S14*(1-$G14))*((1+Inputs!$D$7)^BR$2))),((Inputs!$D$8^((1-_xlfn.WEIBULL.DIST(BR$2,$M14,$L14,FALSE))/_xlfn.WEIBULL.DIST(BR$2,$M14,$L14,FALSE))*($T14*(1-$F14)+$S14*(1-$G14))*((1+Inputs!$D$7)^BR$2))))))))</f>
        <v>8.1618473163863808E-2</v>
      </c>
      <c r="BS14" s="88">
        <f>MAX(AC14,($E14*IF(BS$2&gt;Inputs!$D$5,0,IF(BS$2&gt;VLOOKUP($H14,Lists!$P$3:$Q$7,2),IF($N14=Lists!$K$3,IF($L14&lt;1,(($U14/$L14)*((1+Inputs!$D$7)^BS$2)),((INT(BS$2/$L14)-INT((BS$2-1)/$L14))*$U14*((1+Inputs!$D$7)^BS$2))),(Inputs!$D$8^((1-_xlfn.WEIBULL.DIST(BS$2,$M14,$L14,FALSE))/_xlfn.WEIBULL.DIST(BS$2,$M14,$L14,FALSE))*$U14*((1+Inputs!$D$7)^BS$2))),IF($N14=Lists!$K$3,IF($L14&lt;1,((($T14*(1-$F14)+$S14*(1-$G14))/$L14)*((1+Inputs!$D$7)^BS$2)),((INT(BS$2/$L14)-INT((BS$2-1)/$L14))*($T14*(1-$F14)+$S14*(1-$G14))*((1+Inputs!$D$7)^BS$2))),((Inputs!$D$8^((1-_xlfn.WEIBULL.DIST(BS$2,$M14,$L14,FALSE))/_xlfn.WEIBULL.DIST(BS$2,$M14,$L14,FALSE))*($T14*(1-$F14)+$S14*(1-$G14))*((1+Inputs!$D$7)^BS$2))))))))</f>
        <v>0.18708676003630106</v>
      </c>
      <c r="BT14" s="88">
        <f>MAX(AD14,($E14*IF(BT$2&gt;Inputs!$D$5,0,IF(BT$2&gt;VLOOKUP($H14,Lists!$P$3:$Q$7,2),IF($N14=Lists!$K$3,IF($L14&lt;1,(($U14/$L14)*((1+Inputs!$D$7)^BT$2)),((INT(BT$2/$L14)-INT((BT$2-1)/$L14))*$U14*((1+Inputs!$D$7)^BT$2))),(Inputs!$D$8^((1-_xlfn.WEIBULL.DIST(BT$2,$M14,$L14,FALSE))/_xlfn.WEIBULL.DIST(BT$2,$M14,$L14,FALSE))*$U14*((1+Inputs!$D$7)^BT$2))),IF($N14=Lists!$K$3,IF($L14&lt;1,((($T14*(1-$F14)+$S14*(1-$G14))/$L14)*((1+Inputs!$D$7)^BT$2)),((INT(BT$2/$L14)-INT((BT$2-1)/$L14))*($T14*(1-$F14)+$S14*(1-$G14))*((1+Inputs!$D$7)^BT$2))),((Inputs!$D$8^((1-_xlfn.WEIBULL.DIST(BT$2,$M14,$L14,FALSE))/_xlfn.WEIBULL.DIST(BT$2,$M14,$L14,FALSE))*($T14*(1-$F14)+$S14*(1-$G14))*((1+Inputs!$D$7)^BT$2))))))))</f>
        <v>0.33844826305134601</v>
      </c>
      <c r="BU14" s="88">
        <f>MAX(AE14,($E14*IF(BU$2&gt;Inputs!$D$5,0,IF(BU$2&gt;VLOOKUP($H14,Lists!$P$3:$Q$7,2),IF($N14=Lists!$K$3,IF($L14&lt;1,(($U14/$L14)*((1+Inputs!$D$7)^BU$2)),((INT(BU$2/$L14)-INT((BU$2-1)/$L14))*$U14*((1+Inputs!$D$7)^BU$2))),(Inputs!$D$8^((1-_xlfn.WEIBULL.DIST(BU$2,$M14,$L14,FALSE))/_xlfn.WEIBULL.DIST(BU$2,$M14,$L14,FALSE))*$U14*((1+Inputs!$D$7)^BU$2))),IF($N14=Lists!$K$3,IF($L14&lt;1,((($T14*(1-$F14)+$S14*(1-$G14))/$L14)*((1+Inputs!$D$7)^BU$2)),((INT(BU$2/$L14)-INT((BU$2-1)/$L14))*($T14*(1-$F14)+$S14*(1-$G14))*((1+Inputs!$D$7)^BU$2))),((Inputs!$D$8^((1-_xlfn.WEIBULL.DIST(BU$2,$M14,$L14,FALSE))/_xlfn.WEIBULL.DIST(BU$2,$M14,$L14,FALSE))*($T14*(1-$F14)+$S14*(1-$G14))*((1+Inputs!$D$7)^BU$2))))))))</f>
        <v>0.53730019937195239</v>
      </c>
      <c r="BV14" s="88">
        <f>MAX(AF14,($E14*IF(BV$2&gt;Inputs!$D$5,0,IF(BV$2&gt;VLOOKUP($H14,Lists!$P$3:$Q$7,2),IF($N14=Lists!$K$3,IF($L14&lt;1,(($U14/$L14)*((1+Inputs!$D$7)^BV$2)),((INT(BV$2/$L14)-INT((BV$2-1)/$L14))*$U14*((1+Inputs!$D$7)^BV$2))),(Inputs!$D$8^((1-_xlfn.WEIBULL.DIST(BV$2,$M14,$L14,FALSE))/_xlfn.WEIBULL.DIST(BV$2,$M14,$L14,FALSE))*$U14*((1+Inputs!$D$7)^BV$2))),IF($N14=Lists!$K$3,IF($L14&lt;1,((($T14*(1-$F14)+$S14*(1-$G14))/$L14)*((1+Inputs!$D$7)^BV$2)),((INT(BV$2/$L14)-INT((BV$2-1)/$L14))*($T14*(1-$F14)+$S14*(1-$G14))*((1+Inputs!$D$7)^BV$2))),((Inputs!$D$8^((1-_xlfn.WEIBULL.DIST(BV$2,$M14,$L14,FALSE))/_xlfn.WEIBULL.DIST(BV$2,$M14,$L14,FALSE))*($T14*(1-$F14)+$S14*(1-$G14))*((1+Inputs!$D$7)^BV$2))))))))</f>
        <v>0.78460366872440623</v>
      </c>
      <c r="BW14" s="88">
        <f>MAX(AG14,($E14*IF(BW$2&gt;Inputs!$D$5,0,IF(BW$2&gt;VLOOKUP($H14,Lists!$P$3:$Q$7,2),IF($N14=Lists!$K$3,IF($L14&lt;1,(($U14/$L14)*((1+Inputs!$D$7)^BW$2)),((INT(BW$2/$L14)-INT((BW$2-1)/$L14))*$U14*((1+Inputs!$D$7)^BW$2))),(Inputs!$D$8^((1-_xlfn.WEIBULL.DIST(BW$2,$M14,$L14,FALSE))/_xlfn.WEIBULL.DIST(BW$2,$M14,$L14,FALSE))*$U14*((1+Inputs!$D$7)^BW$2))),IF($N14=Lists!$K$3,IF($L14&lt;1,((($T14*(1-$F14)+$S14*(1-$G14))/$L14)*((1+Inputs!$D$7)^BW$2)),((INT(BW$2/$L14)-INT((BW$2-1)/$L14))*($T14*(1-$F14)+$S14*(1-$G14))*((1+Inputs!$D$7)^BW$2))),((Inputs!$D$8^((1-_xlfn.WEIBULL.DIST(BW$2,$M14,$L14,FALSE))/_xlfn.WEIBULL.DIST(BW$2,$M14,$L14,FALSE))*($T14*(1-$F14)+$S14*(1-$G14))*((1+Inputs!$D$7)^BW$2))))))))</f>
        <v>1.0804735504240761</v>
      </c>
      <c r="BX14" s="88">
        <f>MAX(AH14,($E14*IF(BX$2&gt;Inputs!$D$5,0,IF(BX$2&gt;VLOOKUP($H14,Lists!$P$3:$Q$7,2),IF($N14=Lists!$K$3,IF($L14&lt;1,(($U14/$L14)*((1+Inputs!$D$7)^BX$2)),((INT(BX$2/$L14)-INT((BX$2-1)/$L14))*$U14*((1+Inputs!$D$7)^BX$2))),(Inputs!$D$8^((1-_xlfn.WEIBULL.DIST(BX$2,$M14,$L14,FALSE))/_xlfn.WEIBULL.DIST(BX$2,$M14,$L14,FALSE))*$U14*((1+Inputs!$D$7)^BX$2))),IF($N14=Lists!$K$3,IF($L14&lt;1,((($T14*(1-$F14)+$S14*(1-$G14))/$L14)*((1+Inputs!$D$7)^BX$2)),((INT(BX$2/$L14)-INT((BX$2-1)/$L14))*($T14*(1-$F14)+$S14*(1-$G14))*((1+Inputs!$D$7)^BX$2))),((Inputs!$D$8^((1-_xlfn.WEIBULL.DIST(BX$2,$M14,$L14,FALSE))/_xlfn.WEIBULL.DIST(BX$2,$M14,$L14,FALSE))*($T14*(1-$F14)+$S14*(1-$G14))*((1+Inputs!$D$7)^BX$2))))))))</f>
        <v>1.4239701208140054</v>
      </c>
      <c r="BY14" s="88">
        <f>MAX(AI14,($E14*IF(BY$2&gt;Inputs!$D$5,0,IF(BY$2&gt;VLOOKUP($H14,Lists!$P$3:$Q$7,2),IF($N14=Lists!$K$3,IF($L14&lt;1,(($U14/$L14)*((1+Inputs!$D$7)^BY$2)),((INT(BY$2/$L14)-INT((BY$2-1)/$L14))*$U14*((1+Inputs!$D$7)^BY$2))),(Inputs!$D$8^((1-_xlfn.WEIBULL.DIST(BY$2,$M14,$L14,FALSE))/_xlfn.WEIBULL.DIST(BY$2,$M14,$L14,FALSE))*$U14*((1+Inputs!$D$7)^BY$2))),IF($N14=Lists!$K$3,IF($L14&lt;1,((($T14*(1-$F14)+$S14*(1-$G14))/$L14)*((1+Inputs!$D$7)^BY$2)),((INT(BY$2/$L14)-INT((BY$2-1)/$L14))*($T14*(1-$F14)+$S14*(1-$G14))*((1+Inputs!$D$7)^BY$2))),((Inputs!$D$8^((1-_xlfn.WEIBULL.DIST(BY$2,$M14,$L14,FALSE))/_xlfn.WEIBULL.DIST(BY$2,$M14,$L14,FALSE))*($T14*(1-$F14)+$S14*(1-$G14))*((1+Inputs!$D$7)^BY$2))))))))</f>
        <v>1.8129031830031914</v>
      </c>
      <c r="BZ14" s="88">
        <f>MAX(AJ14,($E14*IF(BZ$2&gt;Inputs!$D$5,0,IF(BZ$2&gt;VLOOKUP($H14,Lists!$P$3:$Q$7,2),IF($N14=Lists!$K$3,IF($L14&lt;1,(($U14/$L14)*((1+Inputs!$D$7)^BZ$2)),((INT(BZ$2/$L14)-INT((BZ$2-1)/$L14))*$U14*((1+Inputs!$D$7)^BZ$2))),(Inputs!$D$8^((1-_xlfn.WEIBULL.DIST(BZ$2,$M14,$L14,FALSE))/_xlfn.WEIBULL.DIST(BZ$2,$M14,$L14,FALSE))*$U14*((1+Inputs!$D$7)^BZ$2))),IF($N14=Lists!$K$3,IF($L14&lt;1,((($T14*(1-$F14)+$S14*(1-$G14))/$L14)*((1+Inputs!$D$7)^BZ$2)),((INT(BZ$2/$L14)-INT((BZ$2-1)/$L14))*($T14*(1-$F14)+$S14*(1-$G14))*((1+Inputs!$D$7)^BZ$2))),((Inputs!$D$8^((1-_xlfn.WEIBULL.DIST(BZ$2,$M14,$L14,FALSE))/_xlfn.WEIBULL.DIST(BZ$2,$M14,$L14,FALSE))*($T14*(1-$F14)+$S14*(1-$G14))*((1+Inputs!$D$7)^BZ$2))))))))</f>
        <v>2.2436616297652345</v>
      </c>
      <c r="CA14" s="88">
        <f>MAX(AK14,($E14*IF(CA$2&gt;Inputs!$D$5,0,IF(CA$2&gt;VLOOKUP($H14,Lists!$P$3:$Q$7,2),IF($N14=Lists!$K$3,IF($L14&lt;1,(($U14/$L14)*((1+Inputs!$D$7)^CA$2)),((INT(CA$2/$L14)-INT((CA$2-1)/$L14))*$U14*((1+Inputs!$D$7)^CA$2))),(Inputs!$D$8^((1-_xlfn.WEIBULL.DIST(CA$2,$M14,$L14,FALSE))/_xlfn.WEIBULL.DIST(CA$2,$M14,$L14,FALSE))*$U14*((1+Inputs!$D$7)^CA$2))),IF($N14=Lists!$K$3,IF($L14&lt;1,((($T14*(1-$F14)+$S14*(1-$G14))/$L14)*((1+Inputs!$D$7)^CA$2)),((INT(CA$2/$L14)-INT((CA$2-1)/$L14))*($T14*(1-$F14)+$S14*(1-$G14))*((1+Inputs!$D$7)^CA$2))),((Inputs!$D$8^((1-_xlfn.WEIBULL.DIST(CA$2,$M14,$L14,FALSE))/_xlfn.WEIBULL.DIST(CA$2,$M14,$L14,FALSE))*($T14*(1-$F14)+$S14*(1-$G14))*((1+Inputs!$D$7)^CA$2))))))))</f>
        <v>2.7729782702149079</v>
      </c>
      <c r="CB14" s="88">
        <f>MAX(AL14,($E14*IF(CB$2&gt;Inputs!$D$5,0,IF(CB$2&gt;VLOOKUP($H14,Lists!$P$3:$Q$7,2),IF($N14=Lists!$K$3,IF($L14&lt;1,(($U14/$L14)*((1+Inputs!$D$7)^CB$2)),((INT(CB$2/$L14)-INT((CB$2-1)/$L14))*$U14*((1+Inputs!$D$7)^CB$2))),(Inputs!$D$8^((1-_xlfn.WEIBULL.DIST(CB$2,$M14,$L14,FALSE))/_xlfn.WEIBULL.DIST(CB$2,$M14,$L14,FALSE))*$U14*((1+Inputs!$D$7)^CB$2))),IF($N14=Lists!$K$3,IF($L14&lt;1,((($T14*(1-$F14)+$S14*(1-$G14))/$L14)*((1+Inputs!$D$7)^CB$2)),((INT(CB$2/$L14)-INT((CB$2-1)/$L14))*($T14*(1-$F14)+$S14*(1-$G14))*((1+Inputs!$D$7)^CB$2))),((Inputs!$D$8^((1-_xlfn.WEIBULL.DIST(CB$2,$M14,$L14,FALSE))/_xlfn.WEIBULL.DIST(CB$2,$M14,$L14,FALSE))*($T14*(1-$F14)+$S14*(1-$G14))*((1+Inputs!$D$7)^CB$2))))))))</f>
        <v>4.8522619430780995</v>
      </c>
      <c r="CC14" s="88">
        <f>MAX(AM14,($E14*IF(CC$2&gt;Inputs!$D$5,0,IF(CC$2&gt;VLOOKUP($H14,Lists!$P$3:$Q$7,2),IF($N14=Lists!$K$3,IF($L14&lt;1,(($U14/$L14)*((1+Inputs!$D$7)^CC$2)),((INT(CC$2/$L14)-INT((CC$2-1)/$L14))*$U14*((1+Inputs!$D$7)^CC$2))),(Inputs!$D$8^((1-_xlfn.WEIBULL.DIST(CC$2,$M14,$L14,FALSE))/_xlfn.WEIBULL.DIST(CC$2,$M14,$L14,FALSE))*$U14*((1+Inputs!$D$7)^CC$2))),IF($N14=Lists!$K$3,IF($L14&lt;1,((($T14*(1-$F14)+$S14*(1-$G14))/$L14)*((1+Inputs!$D$7)^CC$2)),((INT(CC$2/$L14)-INT((CC$2-1)/$L14))*($T14*(1-$F14)+$S14*(1-$G14))*((1+Inputs!$D$7)^CC$2))),((Inputs!$D$8^((1-_xlfn.WEIBULL.DIST(CC$2,$M14,$L14,FALSE))/_xlfn.WEIBULL.DIST(CC$2,$M14,$L14,FALSE))*($T14*(1-$F14)+$S14*(1-$G14))*((1+Inputs!$D$7)^CC$2))))))))</f>
        <v>7.4639739972918191</v>
      </c>
      <c r="CD14" s="88">
        <f>MAX(AN14,($E14*IF(CD$2&gt;Inputs!$D$5,0,IF(CD$2&gt;VLOOKUP($H14,Lists!$P$3:$Q$7,2),IF($N14=Lists!$K$3,IF($L14&lt;1,(($U14/$L14)*((1+Inputs!$D$7)^CD$2)),((INT(CD$2/$L14)-INT((CD$2-1)/$L14))*$U14*((1+Inputs!$D$7)^CD$2))),(Inputs!$D$8^((1-_xlfn.WEIBULL.DIST(CD$2,$M14,$L14,FALSE))/_xlfn.WEIBULL.DIST(CD$2,$M14,$L14,FALSE))*$U14*((1+Inputs!$D$7)^CD$2))),IF($N14=Lists!$K$3,IF($L14&lt;1,((($T14*(1-$F14)+$S14*(1-$G14))/$L14)*((1+Inputs!$D$7)^CD$2)),((INT(CD$2/$L14)-INT((CD$2-1)/$L14))*($T14*(1-$F14)+$S14*(1-$G14))*((1+Inputs!$D$7)^CD$2))),((Inputs!$D$8^((1-_xlfn.WEIBULL.DIST(CD$2,$M14,$L14,FALSE))/_xlfn.WEIBULL.DIST(CD$2,$M14,$L14,FALSE))*($T14*(1-$F14)+$S14*(1-$G14))*((1+Inputs!$D$7)^CD$2))))))))</f>
        <v>10.448552178709958</v>
      </c>
      <c r="CE14" s="88">
        <f>MAX(AO14,($E14*IF(CE$2&gt;Inputs!$D$5,0,IF(CE$2&gt;VLOOKUP($H14,Lists!$P$3:$Q$7,2),IF($N14=Lists!$K$3,IF($L14&lt;1,(($U14/$L14)*((1+Inputs!$D$7)^CE$2)),((INT(CE$2/$L14)-INT((CE$2-1)/$L14))*$U14*((1+Inputs!$D$7)^CE$2))),(Inputs!$D$8^((1-_xlfn.WEIBULL.DIST(CE$2,$M14,$L14,FALSE))/_xlfn.WEIBULL.DIST(CE$2,$M14,$L14,FALSE))*$U14*((1+Inputs!$D$7)^CE$2))),IF($N14=Lists!$K$3,IF($L14&lt;1,((($T14*(1-$F14)+$S14*(1-$G14))/$L14)*((1+Inputs!$D$7)^CE$2)),((INT(CE$2/$L14)-INT((CE$2-1)/$L14))*($T14*(1-$F14)+$S14*(1-$G14))*((1+Inputs!$D$7)^CE$2))),((Inputs!$D$8^((1-_xlfn.WEIBULL.DIST(CE$2,$M14,$L14,FALSE))/_xlfn.WEIBULL.DIST(CE$2,$M14,$L14,FALSE))*($T14*(1-$F14)+$S14*(1-$G14))*((1+Inputs!$D$7)^CE$2))))))))</f>
        <v>13.624371361226988</v>
      </c>
      <c r="CF14" s="88">
        <f>MAX(AP14,($E14*IF(CF$2&gt;Inputs!$D$5,0,IF(CF$2&gt;VLOOKUP($H14,Lists!$P$3:$Q$7,2),IF($N14=Lists!$K$3,IF($L14&lt;1,(($U14/$L14)*((1+Inputs!$D$7)^CF$2)),((INT(CF$2/$L14)-INT((CF$2-1)/$L14))*$U14*((1+Inputs!$D$7)^CF$2))),(Inputs!$D$8^((1-_xlfn.WEIBULL.DIST(CF$2,$M14,$L14,FALSE))/_xlfn.WEIBULL.DIST(CF$2,$M14,$L14,FALSE))*$U14*((1+Inputs!$D$7)^CF$2))),IF($N14=Lists!$K$3,IF($L14&lt;1,((($T14*(1-$F14)+$S14*(1-$G14))/$L14)*((1+Inputs!$D$7)^CF$2)),((INT(CF$2/$L14)-INT((CF$2-1)/$L14))*($T14*(1-$F14)+$S14*(1-$G14))*((1+Inputs!$D$7)^CF$2))),((Inputs!$D$8^((1-_xlfn.WEIBULL.DIST(CF$2,$M14,$L14,FALSE))/_xlfn.WEIBULL.DIST(CF$2,$M14,$L14,FALSE))*($T14*(1-$F14)+$S14*(1-$G14))*((1+Inputs!$D$7)^CF$2))))))))</f>
        <v>16.815702651075963</v>
      </c>
      <c r="CG14" s="88">
        <f>MAX(AQ14,($E14*IF(CG$2&gt;Inputs!$D$5,0,IF(CG$2&gt;VLOOKUP($H14,Lists!$P$3:$Q$7,2),IF($N14=Lists!$K$3,IF($L14&lt;1,(($U14/$L14)*((1+Inputs!$D$7)^CG$2)),((INT(CG$2/$L14)-INT((CG$2-1)/$L14))*$U14*((1+Inputs!$D$7)^CG$2))),(Inputs!$D$8^((1-_xlfn.WEIBULL.DIST(CG$2,$M14,$L14,FALSE))/_xlfn.WEIBULL.DIST(CG$2,$M14,$L14,FALSE))*$U14*((1+Inputs!$D$7)^CG$2))),IF($N14=Lists!$K$3,IF($L14&lt;1,((($T14*(1-$F14)+$S14*(1-$G14))/$L14)*((1+Inputs!$D$7)^CG$2)),((INT(CG$2/$L14)-INT((CG$2-1)/$L14))*($T14*(1-$F14)+$S14*(1-$G14))*((1+Inputs!$D$7)^CG$2))),((Inputs!$D$8^((1-_xlfn.WEIBULL.DIST(CG$2,$M14,$L14,FALSE))/_xlfn.WEIBULL.DIST(CG$2,$M14,$L14,FALSE))*($T14*(1-$F14)+$S14*(1-$G14))*((1+Inputs!$D$7)^CG$2))))))))</f>
        <v>19.866599429259324</v>
      </c>
      <c r="CH14" s="88">
        <f>MAX(AR14,($E14*IF(CH$2&gt;Inputs!$D$5,0,IF(CH$2&gt;VLOOKUP($H14,Lists!$P$3:$Q$7,2),IF($N14=Lists!$K$3,IF($L14&lt;1,(($U14/$L14)*((1+Inputs!$D$7)^CH$2)),((INT(CH$2/$L14)-INT((CH$2-1)/$L14))*$U14*((1+Inputs!$D$7)^CH$2))),(Inputs!$D$8^((1-_xlfn.WEIBULL.DIST(CH$2,$M14,$L14,FALSE))/_xlfn.WEIBULL.DIST(CH$2,$M14,$L14,FALSE))*$U14*((1+Inputs!$D$7)^CH$2))),IF($N14=Lists!$K$3,IF($L14&lt;1,((($T14*(1-$F14)+$S14*(1-$G14))/$L14)*((1+Inputs!$D$7)^CH$2)),((INT(CH$2/$L14)-INT((CH$2-1)/$L14))*($T14*(1-$F14)+$S14*(1-$G14))*((1+Inputs!$D$7)^CH$2))),((Inputs!$D$8^((1-_xlfn.WEIBULL.DIST(CH$2,$M14,$L14,FALSE))/_xlfn.WEIBULL.DIST(CH$2,$M14,$L14,FALSE))*($T14*(1-$F14)+$S14*(1-$G14))*((1+Inputs!$D$7)^CH$2))))))))</f>
        <v>22.645174149132977</v>
      </c>
      <c r="CI14" s="88">
        <f>MAX(AS14,($E14*IF(CI$2&gt;Inputs!$D$5,0,IF(CI$2&gt;VLOOKUP($H14,Lists!$P$3:$Q$7,2),IF($N14=Lists!$K$3,IF($L14&lt;1,(($U14/$L14)*((1+Inputs!$D$7)^CI$2)),((INT(CI$2/$L14)-INT((CI$2-1)/$L14))*$U14*((1+Inputs!$D$7)^CI$2))),(Inputs!$D$8^((1-_xlfn.WEIBULL.DIST(CI$2,$M14,$L14,FALSE))/_xlfn.WEIBULL.DIST(CI$2,$M14,$L14,FALSE))*$U14*((1+Inputs!$D$7)^CI$2))),IF($N14=Lists!$K$3,IF($L14&lt;1,((($T14*(1-$F14)+$S14*(1-$G14))/$L14)*((1+Inputs!$D$7)^CI$2)),((INT(CI$2/$L14)-INT((CI$2-1)/$L14))*($T14*(1-$F14)+$S14*(1-$G14))*((1+Inputs!$D$7)^CI$2))),((Inputs!$D$8^((1-_xlfn.WEIBULL.DIST(CI$2,$M14,$L14,FALSE))/_xlfn.WEIBULL.DIST(CI$2,$M14,$L14,FALSE))*($T14*(1-$F14)+$S14*(1-$G14))*((1+Inputs!$D$7)^CI$2))))))))</f>
        <v>25.042657890794768</v>
      </c>
      <c r="CJ14" s="88">
        <f>MAX(AT14,($E14*IF(CJ$2&gt;Inputs!$D$5,0,IF(CJ$2&gt;VLOOKUP($H14,Lists!$P$3:$Q$7,2),IF($N14=Lists!$K$3,IF($L14&lt;1,(($U14/$L14)*((1+Inputs!$D$7)^CJ$2)),((INT(CJ$2/$L14)-INT((CJ$2-1)/$L14))*$U14*((1+Inputs!$D$7)^CJ$2))),(Inputs!$D$8^((1-_xlfn.WEIBULL.DIST(CJ$2,$M14,$L14,FALSE))/_xlfn.WEIBULL.DIST(CJ$2,$M14,$L14,FALSE))*$U14*((1+Inputs!$D$7)^CJ$2))),IF($N14=Lists!$K$3,IF($L14&lt;1,((($T14*(1-$F14)+$S14*(1-$G14))/$L14)*((1+Inputs!$D$7)^CJ$2)),((INT(CJ$2/$L14)-INT((CJ$2-1)/$L14))*($T14*(1-$F14)+$S14*(1-$G14))*((1+Inputs!$D$7)^CJ$2))),((Inputs!$D$8^((1-_xlfn.WEIBULL.DIST(CJ$2,$M14,$L14,FALSE))/_xlfn.WEIBULL.DIST(CJ$2,$M14,$L14,FALSE))*($T14*(1-$F14)+$S14*(1-$G14))*((1+Inputs!$D$7)^CJ$2))))))))</f>
        <v>26.970375751880589</v>
      </c>
      <c r="CK14" s="88">
        <f>MAX(AU14,($E14*IF(CK$2&gt;Inputs!$D$5,0,IF(CK$2&gt;VLOOKUP($H14,Lists!$P$3:$Q$7,2),IF($N14=Lists!$K$3,IF($L14&lt;1,(($U14/$L14)*((1+Inputs!$D$7)^CK$2)),((INT(CK$2/$L14)-INT((CK$2-1)/$L14))*$U14*((1+Inputs!$D$7)^CK$2))),(Inputs!$D$8^((1-_xlfn.WEIBULL.DIST(CK$2,$M14,$L14,FALSE))/_xlfn.WEIBULL.DIST(CK$2,$M14,$L14,FALSE))*$U14*((1+Inputs!$D$7)^CK$2))),IF($N14=Lists!$K$3,IF($L14&lt;1,((($T14*(1-$F14)+$S14*(1-$G14))/$L14)*((1+Inputs!$D$7)^CK$2)),((INT(CK$2/$L14)-INT((CK$2-1)/$L14))*($T14*(1-$F14)+$S14*(1-$G14))*((1+Inputs!$D$7)^CK$2))),((Inputs!$D$8^((1-_xlfn.WEIBULL.DIST(CK$2,$M14,$L14,FALSE))/_xlfn.WEIBULL.DIST(CK$2,$M14,$L14,FALSE))*($T14*(1-$F14)+$S14*(1-$G14))*((1+Inputs!$D$7)^CK$2))))))))</f>
        <v>28.356568649423419</v>
      </c>
      <c r="CL14" s="88">
        <f>MAX(AV14,($E14*IF(CL$2&gt;Inputs!$D$5,0,IF(CL$2&gt;VLOOKUP($H14,Lists!$P$3:$Q$7,2),IF($N14=Lists!$K$3,IF($L14&lt;1,(($U14/$L14)*((1+Inputs!$D$7)^CL$2)),((INT(CL$2/$L14)-INT((CL$2-1)/$L14))*$U14*((1+Inputs!$D$7)^CL$2))),(Inputs!$D$8^((1-_xlfn.WEIBULL.DIST(CL$2,$M14,$L14,FALSE))/_xlfn.WEIBULL.DIST(CL$2,$M14,$L14,FALSE))*$U14*((1+Inputs!$D$7)^CL$2))),IF($N14=Lists!$K$3,IF($L14&lt;1,((($T14*(1-$F14)+$S14*(1-$G14))/$L14)*((1+Inputs!$D$7)^CL$2)),((INT(CL$2/$L14)-INT((CL$2-1)/$L14))*($T14*(1-$F14)+$S14*(1-$G14))*((1+Inputs!$D$7)^CL$2))),((Inputs!$D$8^((1-_xlfn.WEIBULL.DIST(CL$2,$M14,$L14,FALSE))/_xlfn.WEIBULL.DIST(CL$2,$M14,$L14,FALSE))*($T14*(1-$F14)+$S14*(1-$G14))*((1+Inputs!$D$7)^CL$2))))))))</f>
        <v>29.144169989003771</v>
      </c>
      <c r="CM14" s="88">
        <f>MAX(AW14,($E14*IF(CM$2&gt;Inputs!$D$5,0,IF(CM$2&gt;VLOOKUP($H14,Lists!$P$3:$Q$7,2),IF($N14=Lists!$K$3,IF($L14&lt;1,(($U14/$L14)*((1+Inputs!$D$7)^CM$2)),((INT(CM$2/$L14)-INT((CM$2-1)/$L14))*$U14*((1+Inputs!$D$7)^CM$2))),(Inputs!$D$8^((1-_xlfn.WEIBULL.DIST(CM$2,$M14,$L14,FALSE))/_xlfn.WEIBULL.DIST(CM$2,$M14,$L14,FALSE))*$U14*((1+Inputs!$D$7)^CM$2))),IF($N14=Lists!$K$3,IF($L14&lt;1,((($T14*(1-$F14)+$S14*(1-$G14))/$L14)*((1+Inputs!$D$7)^CM$2)),((INT(CM$2/$L14)-INT((CM$2-1)/$L14))*($T14*(1-$F14)+$S14*(1-$G14))*((1+Inputs!$D$7)^CM$2))),((Inputs!$D$8^((1-_xlfn.WEIBULL.DIST(CM$2,$M14,$L14,FALSE))/_xlfn.WEIBULL.DIST(CM$2,$M14,$L14,FALSE))*($T14*(1-$F14)+$S14*(1-$G14))*((1+Inputs!$D$7)^CM$2))))))))</f>
        <v>29.290174844770849</v>
      </c>
      <c r="CN14" s="88">
        <f>MAX(AX14,($E14*IF(CN$2&gt;Inputs!$D$5,0,IF(CN$2&gt;VLOOKUP($H14,Lists!$P$3:$Q$7,2),IF($N14=Lists!$K$3,IF($L14&lt;1,(($U14/$L14)*((1+Inputs!$D$7)^CN$2)),((INT(CN$2/$L14)-INT((CN$2-1)/$L14))*$U14*((1+Inputs!$D$7)^CN$2))),(Inputs!$D$8^((1-_xlfn.WEIBULL.DIST(CN$2,$M14,$L14,FALSE))/_xlfn.WEIBULL.DIST(CN$2,$M14,$L14,FALSE))*$U14*((1+Inputs!$D$7)^CN$2))),IF($N14=Lists!$K$3,IF($L14&lt;1,((($T14*(1-$F14)+$S14*(1-$G14))/$L14)*((1+Inputs!$D$7)^CN$2)),((INT(CN$2/$L14)-INT((CN$2-1)/$L14))*($T14*(1-$F14)+$S14*(1-$G14))*((1+Inputs!$D$7)^CN$2))),((Inputs!$D$8^((1-_xlfn.WEIBULL.DIST(CN$2,$M14,$L14,FALSE))/_xlfn.WEIBULL.DIST(CN$2,$M14,$L14,FALSE))*($T14*(1-$F14)+$S14*(1-$G14))*((1+Inputs!$D$7)^CN$2))))))))</f>
        <v>28.766998162924679</v>
      </c>
      <c r="CO14" s="88">
        <f>MAX(AY14,($E14*IF(CO$2&gt;Inputs!$D$5,0,IF(CO$2&gt;VLOOKUP($H14,Lists!$P$3:$Q$7,2),IF($N14=Lists!$K$3,IF($L14&lt;1,(($U14/$L14)*((1+Inputs!$D$7)^CO$2)),((INT(CO$2/$L14)-INT((CO$2-1)/$L14))*$U14*((1+Inputs!$D$7)^CO$2))),(Inputs!$D$8^((1-_xlfn.WEIBULL.DIST(CO$2,$M14,$L14,FALSE))/_xlfn.WEIBULL.DIST(CO$2,$M14,$L14,FALSE))*$U14*((1+Inputs!$D$7)^CO$2))),IF($N14=Lists!$K$3,IF($L14&lt;1,((($T14*(1-$F14)+$S14*(1-$G14))/$L14)*((1+Inputs!$D$7)^CO$2)),((INT(CO$2/$L14)-INT((CO$2-1)/$L14))*($T14*(1-$F14)+$S14*(1-$G14))*((1+Inputs!$D$7)^CO$2))),((Inputs!$D$8^((1-_xlfn.WEIBULL.DIST(CO$2,$M14,$L14,FALSE))/_xlfn.WEIBULL.DIST(CO$2,$M14,$L14,FALSE))*($T14*(1-$F14)+$S14*(1-$G14))*((1+Inputs!$D$7)^CO$2))))))))</f>
        <v>27.566077361828619</v>
      </c>
      <c r="CP14" s="88">
        <f>MAX(AZ14,($E14*IF(CP$2&gt;Inputs!$D$5,0,IF(CP$2&gt;VLOOKUP($H14,Lists!$P$3:$Q$7,2),IF($N14=Lists!$K$3,IF($L14&lt;1,(($U14/$L14)*((1+Inputs!$D$7)^CP$2)),((INT(CP$2/$L14)-INT((CP$2-1)/$L14))*$U14*((1+Inputs!$D$7)^CP$2))),(Inputs!$D$8^((1-_xlfn.WEIBULL.DIST(CP$2,$M14,$L14,FALSE))/_xlfn.WEIBULL.DIST(CP$2,$M14,$L14,FALSE))*$U14*((1+Inputs!$D$7)^CP$2))),IF($N14=Lists!$K$3,IF($L14&lt;1,((($T14*(1-$F14)+$S14*(1-$G14))/$L14)*((1+Inputs!$D$7)^CP$2)),((INT(CP$2/$L14)-INT((CP$2-1)/$L14))*($T14*(1-$F14)+$S14*(1-$G14))*((1+Inputs!$D$7)^CP$2))),((Inputs!$D$8^((1-_xlfn.WEIBULL.DIST(CP$2,$M14,$L14,FALSE))/_xlfn.WEIBULL.DIST(CP$2,$M14,$L14,FALSE))*($T14*(1-$F14)+$S14*(1-$G14))*((1+Inputs!$D$7)^CP$2))))))))</f>
        <v>0</v>
      </c>
      <c r="CQ14" s="88">
        <f>MAX(BA14,($E14*IF(CQ$2&gt;Inputs!$D$5,0,IF(CQ$2&gt;VLOOKUP($H14,Lists!$P$3:$Q$7,2),IF($N14=Lists!$K$3,IF($L14&lt;1,(($U14/$L14)*((1+Inputs!$D$7)^CQ$2)),((INT(CQ$2/$L14)-INT((CQ$2-1)/$L14))*$U14*((1+Inputs!$D$7)^CQ$2))),(Inputs!$D$8^((1-_xlfn.WEIBULL.DIST(CQ$2,$M14,$L14,FALSE))/_xlfn.WEIBULL.DIST(CQ$2,$M14,$L14,FALSE))*$U14*((1+Inputs!$D$7)^CQ$2))),IF($N14=Lists!$K$3,IF($L14&lt;1,((($T14*(1-$F14)+$S14*(1-$G14))/$L14)*((1+Inputs!$D$7)^CQ$2)),((INT(CQ$2/$L14)-INT((CQ$2-1)/$L14))*($T14*(1-$F14)+$S14*(1-$G14))*((1+Inputs!$D$7)^CQ$2))),((Inputs!$D$8^((1-_xlfn.WEIBULL.DIST(CQ$2,$M14,$L14,FALSE))/_xlfn.WEIBULL.DIST(CQ$2,$M14,$L14,FALSE))*($T14*(1-$F14)+$S14*(1-$G14))*((1+Inputs!$D$7)^CQ$2))))))))</f>
        <v>0</v>
      </c>
      <c r="CR14" s="88">
        <f>MAX(BB14,($E14*IF(CR$2&gt;Inputs!$D$5,0,IF(CR$2&gt;VLOOKUP($H14,Lists!$P$3:$Q$7,2),IF($N14=Lists!$K$3,IF($L14&lt;1,(($U14/$L14)*((1+Inputs!$D$7)^CR$2)),((INT(CR$2/$L14)-INT((CR$2-1)/$L14))*$U14*((1+Inputs!$D$7)^CR$2))),(Inputs!$D$8^((1-_xlfn.WEIBULL.DIST(CR$2,$M14,$L14,FALSE))/_xlfn.WEIBULL.DIST(CR$2,$M14,$L14,FALSE))*$U14*((1+Inputs!$D$7)^CR$2))),IF($N14=Lists!$K$3,IF($L14&lt;1,((($T14*(1-$F14)+$S14*(1-$G14))/$L14)*((1+Inputs!$D$7)^CR$2)),((INT(CR$2/$L14)-INT((CR$2-1)/$L14))*($T14*(1-$F14)+$S14*(1-$G14))*((1+Inputs!$D$7)^CR$2))),((Inputs!$D$8^((1-_xlfn.WEIBULL.DIST(CR$2,$M14,$L14,FALSE))/_xlfn.WEIBULL.DIST(CR$2,$M14,$L14,FALSE))*($T14*(1-$F14)+$S14*(1-$G14))*((1+Inputs!$D$7)^CR$2))))))))</f>
        <v>0</v>
      </c>
      <c r="CS14" s="88">
        <f>MAX(BC14,($E14*IF(CS$2&gt;Inputs!$D$5,0,IF(CS$2&gt;VLOOKUP($H14,Lists!$P$3:$Q$7,2),IF($N14=Lists!$K$3,IF($L14&lt;1,(($U14/$L14)*((1+Inputs!$D$7)^CS$2)),((INT(CS$2/$L14)-INT((CS$2-1)/$L14))*$U14*((1+Inputs!$D$7)^CS$2))),(Inputs!$D$8^((1-_xlfn.WEIBULL.DIST(CS$2,$M14,$L14,FALSE))/_xlfn.WEIBULL.DIST(CS$2,$M14,$L14,FALSE))*$U14*((1+Inputs!$D$7)^CS$2))),IF($N14=Lists!$K$3,IF($L14&lt;1,((($T14*(1-$F14)+$S14*(1-$G14))/$L14)*((1+Inputs!$D$7)^CS$2)),((INT(CS$2/$L14)-INT((CS$2-1)/$L14))*($T14*(1-$F14)+$S14*(1-$G14))*((1+Inputs!$D$7)^CS$2))),((Inputs!$D$8^((1-_xlfn.WEIBULL.DIST(CS$2,$M14,$L14,FALSE))/_xlfn.WEIBULL.DIST(CS$2,$M14,$L14,FALSE))*($T14*(1-$F14)+$S14*(1-$G14))*((1+Inputs!$D$7)^CS$2))))))))</f>
        <v>0</v>
      </c>
      <c r="CT14" s="88">
        <f>MAX(BD14,($E14*IF(CT$2&gt;Inputs!$D$5,0,IF(CT$2&gt;VLOOKUP($H14,Lists!$P$3:$Q$7,2),IF($N14=Lists!$K$3,IF($L14&lt;1,(($U14/$L14)*((1+Inputs!$D$7)^CT$2)),((INT(CT$2/$L14)-INT((CT$2-1)/$L14))*$U14*((1+Inputs!$D$7)^CT$2))),(Inputs!$D$8^((1-_xlfn.WEIBULL.DIST(CT$2,$M14,$L14,FALSE))/_xlfn.WEIBULL.DIST(CT$2,$M14,$L14,FALSE))*$U14*((1+Inputs!$D$7)^CT$2))),IF($N14=Lists!$K$3,IF($L14&lt;1,((($T14*(1-$F14)+$S14*(1-$G14))/$L14)*((1+Inputs!$D$7)^CT$2)),((INT(CT$2/$L14)-INT((CT$2-1)/$L14))*($T14*(1-$F14)+$S14*(1-$G14))*((1+Inputs!$D$7)^CT$2))),((Inputs!$D$8^((1-_xlfn.WEIBULL.DIST(CT$2,$M14,$L14,FALSE))/_xlfn.WEIBULL.DIST(CT$2,$M14,$L14,FALSE))*($T14*(1-$F14)+$S14*(1-$G14))*((1+Inputs!$D$7)^CT$2))))))))</f>
        <v>0</v>
      </c>
      <c r="CU14" s="88">
        <f>MAX(BE14,($E14*IF(CU$2&gt;Inputs!$D$5,0,IF(CU$2&gt;VLOOKUP($H14,Lists!$P$3:$Q$7,2),IF($N14=Lists!$K$3,IF($L14&lt;1,(($U14/$L14)*((1+Inputs!$D$7)^CU$2)),((INT(CU$2/$L14)-INT((CU$2-1)/$L14))*$U14*((1+Inputs!$D$7)^CU$2))),(Inputs!$D$8^((1-_xlfn.WEIBULL.DIST(CU$2,$M14,$L14,FALSE))/_xlfn.WEIBULL.DIST(CU$2,$M14,$L14,FALSE))*$U14*((1+Inputs!$D$7)^CU$2))),IF($N14=Lists!$K$3,IF($L14&lt;1,((($T14*(1-$F14)+$S14*(1-$G14))/$L14)*((1+Inputs!$D$7)^CU$2)),((INT(CU$2/$L14)-INT((CU$2-1)/$L14))*($T14*(1-$F14)+$S14*(1-$G14))*((1+Inputs!$D$7)^CU$2))),((Inputs!$D$8^((1-_xlfn.WEIBULL.DIST(CU$2,$M14,$L14,FALSE))/_xlfn.WEIBULL.DIST(CU$2,$M14,$L14,FALSE))*($T14*(1-$F14)+$S14*(1-$G14))*((1+Inputs!$D$7)^CU$2))))))))</f>
        <v>0</v>
      </c>
      <c r="CV14" s="88">
        <f>MAX(BF14,($E14*IF(CV$2&gt;Inputs!$D$5,0,IF(CV$2&gt;VLOOKUP($H14,Lists!$P$3:$Q$7,2),IF($N14=Lists!$K$3,IF($L14&lt;1,(($U14/$L14)*((1+Inputs!$D$7)^CV$2)),((INT(CV$2/$L14)-INT((CV$2-1)/$L14))*$U14*((1+Inputs!$D$7)^CV$2))),(Inputs!$D$8^((1-_xlfn.WEIBULL.DIST(CV$2,$M14,$L14,FALSE))/_xlfn.WEIBULL.DIST(CV$2,$M14,$L14,FALSE))*$U14*((1+Inputs!$D$7)^CV$2))),IF($N14=Lists!$K$3,IF($L14&lt;1,((($T14*(1-$F14)+$S14*(1-$G14))/$L14)*((1+Inputs!$D$7)^CV$2)),((INT(CV$2/$L14)-INT((CV$2-1)/$L14))*($T14*(1-$F14)+$S14*(1-$G14))*((1+Inputs!$D$7)^CV$2))),((Inputs!$D$8^((1-_xlfn.WEIBULL.DIST(CV$2,$M14,$L14,FALSE))/_xlfn.WEIBULL.DIST(CV$2,$M14,$L14,FALSE))*($T14*(1-$F14)+$S14*(1-$G14))*((1+Inputs!$D$7)^CV$2))))))))</f>
        <v>0</v>
      </c>
      <c r="CW14" s="88">
        <f>MAX(BG14,($E14*IF(CW$2&gt;Inputs!$D$5,0,IF(CW$2&gt;VLOOKUP($H14,Lists!$P$3:$Q$7,2),IF($N14=Lists!$K$3,IF($L14&lt;1,(($U14/$L14)*((1+Inputs!$D$7)^CW$2)),((INT(CW$2/$L14)-INT((CW$2-1)/$L14))*$U14*((1+Inputs!$D$7)^CW$2))),(Inputs!$D$8^((1-_xlfn.WEIBULL.DIST(CW$2,$M14,$L14,FALSE))/_xlfn.WEIBULL.DIST(CW$2,$M14,$L14,FALSE))*$U14*((1+Inputs!$D$7)^CW$2))),IF($N14=Lists!$K$3,IF($L14&lt;1,((($T14*(1-$F14)+$S14*(1-$G14))/$L14)*((1+Inputs!$D$7)^CW$2)),((INT(CW$2/$L14)-INT((CW$2-1)/$L14))*($T14*(1-$F14)+$S14*(1-$G14))*((1+Inputs!$D$7)^CW$2))),((Inputs!$D$8^((1-_xlfn.WEIBULL.DIST(CW$2,$M14,$L14,FALSE))/_xlfn.WEIBULL.DIST(CW$2,$M14,$L14,FALSE))*($T14*(1-$F14)+$S14*(1-$G14))*((1+Inputs!$D$7)^CW$2))))))))</f>
        <v>0</v>
      </c>
      <c r="CX14" s="88">
        <f>MAX(BH14,($E14*IF(CX$2&gt;Inputs!$D$5,0,IF(CX$2&gt;VLOOKUP($H14,Lists!$P$3:$Q$7,2),IF($N14=Lists!$K$3,IF($L14&lt;1,(($U14/$L14)*((1+Inputs!$D$7)^CX$2)),((INT(CX$2/$L14)-INT((CX$2-1)/$L14))*$U14*((1+Inputs!$D$7)^CX$2))),(Inputs!$D$8^((1-_xlfn.WEIBULL.DIST(CX$2,$M14,$L14,FALSE))/_xlfn.WEIBULL.DIST(CX$2,$M14,$L14,FALSE))*$U14*((1+Inputs!$D$7)^CX$2))),IF($N14=Lists!$K$3,IF($L14&lt;1,((($T14*(1-$F14)+$S14*(1-$G14))/$L14)*((1+Inputs!$D$7)^CX$2)),((INT(CX$2/$L14)-INT((CX$2-1)/$L14))*($T14*(1-$F14)+$S14*(1-$G14))*((1+Inputs!$D$7)^CX$2))),((Inputs!$D$8^((1-_xlfn.WEIBULL.DIST(CX$2,$M14,$L14,FALSE))/_xlfn.WEIBULL.DIST(CX$2,$M14,$L14,FALSE))*($T14*(1-$F14)+$S14*(1-$G14))*((1+Inputs!$D$7)^CX$2))))))))</f>
        <v>0</v>
      </c>
      <c r="CY14" s="88">
        <f>MAX(BI14,($E14*IF(CY$2&gt;Inputs!$D$5,0,IF(CY$2&gt;VLOOKUP($H14,Lists!$P$3:$Q$7,2),IF($N14=Lists!$K$3,IF($L14&lt;1,(($U14/$L14)*((1+Inputs!$D$7)^CY$2)),((INT(CY$2/$L14)-INT((CY$2-1)/$L14))*$U14*((1+Inputs!$D$7)^CY$2))),(Inputs!$D$8^((1-_xlfn.WEIBULL.DIST(CY$2,$M14,$L14,FALSE))/_xlfn.WEIBULL.DIST(CY$2,$M14,$L14,FALSE))*$U14*((1+Inputs!$D$7)^CY$2))),IF($N14=Lists!$K$3,IF($L14&lt;1,((($T14*(1-$F14)+$S14*(1-$G14))/$L14)*((1+Inputs!$D$7)^CY$2)),((INT(CY$2/$L14)-INT((CY$2-1)/$L14))*($T14*(1-$F14)+$S14*(1-$G14))*((1+Inputs!$D$7)^CY$2))),((Inputs!$D$8^((1-_xlfn.WEIBULL.DIST(CY$2,$M14,$L14,FALSE))/_xlfn.WEIBULL.DIST(CY$2,$M14,$L14,FALSE))*($T14*(1-$F14)+$S14*(1-$G14))*((1+Inputs!$D$7)^CY$2))))))))</f>
        <v>0</v>
      </c>
      <c r="CZ14" s="88">
        <f>MAX(BJ14,($E14*IF(CZ$2&gt;Inputs!$D$5,0,IF(CZ$2&gt;VLOOKUP($H14,Lists!$P$3:$Q$7,2),IF($N14=Lists!$K$3,IF($L14&lt;1,(($U14/$L14)*((1+Inputs!$D$7)^CZ$2)),((INT(CZ$2/$L14)-INT((CZ$2-1)/$L14))*$U14*((1+Inputs!$D$7)^CZ$2))),(Inputs!$D$8^((1-_xlfn.WEIBULL.DIST(CZ$2,$M14,$L14,FALSE))/_xlfn.WEIBULL.DIST(CZ$2,$M14,$L14,FALSE))*$U14*((1+Inputs!$D$7)^CZ$2))),IF($N14=Lists!$K$3,IF($L14&lt;1,((($T14*(1-$F14)+$S14*(1-$G14))/$L14)*((1+Inputs!$D$7)^CZ$2)),((INT(CZ$2/$L14)-INT((CZ$2-1)/$L14))*($T14*(1-$F14)+$S14*(1-$G14))*((1+Inputs!$D$7)^CZ$2))),((Inputs!$D$8^((1-_xlfn.WEIBULL.DIST(CZ$2,$M14,$L14,FALSE))/_xlfn.WEIBULL.DIST(CZ$2,$M14,$L14,FALSE))*($T14*(1-$F14)+$S14*(1-$G14))*((1+Inputs!$D$7)^CZ$2))))))))</f>
        <v>0</v>
      </c>
      <c r="DA14" s="88">
        <f>MAX(BK14,($E14*IF(DA$2&gt;Inputs!$D$5,0,IF(DA$2&gt;VLOOKUP($H14,Lists!$P$3:$Q$7,2),IF($N14=Lists!$K$3,IF($L14&lt;1,(($U14/$L14)*((1+Inputs!$D$7)^DA$2)),((INT(DA$2/$L14)-INT((DA$2-1)/$L14))*$U14*((1+Inputs!$D$7)^DA$2))),(Inputs!$D$8^((1-_xlfn.WEIBULL.DIST(DA$2,$M14,$L14,FALSE))/_xlfn.WEIBULL.DIST(DA$2,$M14,$L14,FALSE))*$U14*((1+Inputs!$D$7)^DA$2))),IF($N14=Lists!$K$3,IF($L14&lt;1,((($T14*(1-$F14)+$S14*(1-$G14))/$L14)*((1+Inputs!$D$7)^DA$2)),((INT(DA$2/$L14)-INT((DA$2-1)/$L14))*($T14*(1-$F14)+$S14*(1-$G14))*((1+Inputs!$D$7)^DA$2))),((Inputs!$D$8^((1-_xlfn.WEIBULL.DIST(DA$2,$M14,$L14,FALSE))/_xlfn.WEIBULL.DIST(DA$2,$M14,$L14,FALSE))*($T14*(1-$F14)+$S14*(1-$G14))*((1+Inputs!$D$7)^DA$2))))))))</f>
        <v>0</v>
      </c>
      <c r="DB14" s="88">
        <f>MAX(BL14,($E14*IF(DB$2&gt;Inputs!$D$5,0,IF(DB$2&gt;VLOOKUP($H14,Lists!$P$3:$Q$7,2),IF($N14=Lists!$K$3,IF($L14&lt;1,(($U14/$L14)*((1+Inputs!$D$7)^DB$2)),((INT(DB$2/$L14)-INT((DB$2-1)/$L14))*$U14*((1+Inputs!$D$7)^DB$2))),(Inputs!$D$8^((1-_xlfn.WEIBULL.DIST(DB$2,$M14,$L14,FALSE))/_xlfn.WEIBULL.DIST(DB$2,$M14,$L14,FALSE))*$U14*((1+Inputs!$D$7)^DB$2))),IF($N14=Lists!$K$3,IF($L14&lt;1,((($T14*(1-$F14)+$S14*(1-$G14))/$L14)*((1+Inputs!$D$7)^DB$2)),((INT(DB$2/$L14)-INT((DB$2-1)/$L14))*($T14*(1-$F14)+$S14*(1-$G14))*((1+Inputs!$D$7)^DB$2))),((Inputs!$D$8^((1-_xlfn.WEIBULL.DIST(DB$2,$M14,$L14,FALSE))/_xlfn.WEIBULL.DIST(DB$2,$M14,$L14,FALSE))*($T14*(1-$F14)+$S14*(1-$G14))*((1+Inputs!$D$7)^DB$2))))))))</f>
        <v>0</v>
      </c>
      <c r="DC14" s="88">
        <f>MAX(BM14,($E14*IF(DC$2&gt;Inputs!$D$5,0,IF(DC$2&gt;VLOOKUP($H14,Lists!$P$3:$Q$7,2),IF($N14=Lists!$K$3,IF($L14&lt;1,(($U14/$L14)*((1+Inputs!$D$7)^DC$2)),((INT(DC$2/$L14)-INT((DC$2-1)/$L14))*$U14*((1+Inputs!$D$7)^DC$2))),(Inputs!$D$8^((1-_xlfn.WEIBULL.DIST(DC$2,$M14,$L14,FALSE))/_xlfn.WEIBULL.DIST(DC$2,$M14,$L14,FALSE))*$U14*((1+Inputs!$D$7)^DC$2))),IF($N14=Lists!$K$3,IF($L14&lt;1,((($T14*(1-$F14)+$S14*(1-$G14))/$L14)*((1+Inputs!$D$7)^DC$2)),((INT(DC$2/$L14)-INT((DC$2-1)/$L14))*($T14*(1-$F14)+$S14*(1-$G14))*((1+Inputs!$D$7)^DC$2))),((Inputs!$D$8^((1-_xlfn.WEIBULL.DIST(DC$2,$M14,$L14,FALSE))/_xlfn.WEIBULL.DIST(DC$2,$M14,$L14,FALSE))*($T14*(1-$F14)+$S14*(1-$G14))*((1+Inputs!$D$7)^DC$2))))))))</f>
        <v>0</v>
      </c>
      <c r="DD14" s="88">
        <f>MAX(BN14,($E14*IF(DD$2&gt;Inputs!$D$5,0,IF(DD$2&gt;VLOOKUP($H14,Lists!$P$3:$Q$7,2),IF($N14=Lists!$K$3,IF($L14&lt;1,(($U14/$L14)*((1+Inputs!$D$7)^DD$2)),((INT(DD$2/$L14)-INT((DD$2-1)/$L14))*$U14*((1+Inputs!$D$7)^DD$2))),(Inputs!$D$8^((1-_xlfn.WEIBULL.DIST(DD$2,$M14,$L14,FALSE))/_xlfn.WEIBULL.DIST(DD$2,$M14,$L14,FALSE))*$U14*((1+Inputs!$D$7)^DD$2))),IF($N14=Lists!$K$3,IF($L14&lt;1,((($T14*(1-$F14)+$S14*(1-$G14))/$L14)*((1+Inputs!$D$7)^DD$2)),((INT(DD$2/$L14)-INT((DD$2-1)/$L14))*($T14*(1-$F14)+$S14*(1-$G14))*((1+Inputs!$D$7)^DD$2))),((Inputs!$D$8^((1-_xlfn.WEIBULL.DIST(DD$2,$M14,$L14,FALSE))/_xlfn.WEIBULL.DIST(DD$2,$M14,$L14,FALSE))*($T14*(1-$F14)+$S14*(1-$G14))*((1+Inputs!$D$7)^DD$2))))))))</f>
        <v>0</v>
      </c>
    </row>
    <row r="15" spans="1:108" s="1" customFormat="1" ht="16">
      <c r="A15" s="57" t="s">
        <v>208</v>
      </c>
      <c r="B15" s="13" t="s">
        <v>130</v>
      </c>
      <c r="C15" s="13" t="s">
        <v>474</v>
      </c>
      <c r="D15" s="13" t="s">
        <v>122</v>
      </c>
      <c r="E15" s="48">
        <v>1</v>
      </c>
      <c r="F15" s="48">
        <v>0</v>
      </c>
      <c r="G15" s="48">
        <v>0</v>
      </c>
      <c r="H15" s="105" t="s">
        <v>350</v>
      </c>
      <c r="I15" s="14"/>
      <c r="J15" s="14" t="s">
        <v>87</v>
      </c>
      <c r="K15" s="13">
        <f>VLOOKUP(J15,'Labor Rates'!$A$1:$F$16,2)</f>
        <v>32.012019230769226</v>
      </c>
      <c r="L15" s="15">
        <v>25</v>
      </c>
      <c r="M15" s="15">
        <v>3</v>
      </c>
      <c r="N15" s="16" t="s">
        <v>226</v>
      </c>
      <c r="O15" s="61">
        <v>1</v>
      </c>
      <c r="P15" s="15">
        <v>1</v>
      </c>
      <c r="Q15" s="15">
        <f t="shared" si="0"/>
        <v>0.04</v>
      </c>
      <c r="R15" s="4">
        <v>20</v>
      </c>
      <c r="S15" s="53">
        <f t="shared" si="1"/>
        <v>32.012019230769226</v>
      </c>
      <c r="T15" s="53">
        <f t="shared" si="2"/>
        <v>20</v>
      </c>
      <c r="U15" s="54">
        <f t="shared" si="3"/>
        <v>52.012019230769226</v>
      </c>
      <c r="V15" s="65"/>
      <c r="W15" s="58"/>
      <c r="X15" s="64">
        <f t="shared" si="4"/>
        <v>1.4809748329915469</v>
      </c>
      <c r="Y15" s="64">
        <f>NPV(Inputs!$D$6,AA15:BN15)</f>
        <v>15.097215269670491</v>
      </c>
      <c r="Z15" s="67">
        <f t="shared" si="5"/>
        <v>7.120583777913741E-6</v>
      </c>
      <c r="AA15" s="88">
        <f>$E15*IF(AA$2&gt;Inputs!$D$5,0,IF(AA$2&gt;VLOOKUP($H15,Lists!$P$3:$Q$7,2),IF($N15=Lists!$K$3,IF($L15&lt;1,(($U15/$L15)*((1+Inputs!$D$7)^AA$2)),((INT(AA$2/$L15)-INT((AA$2-1)/$L15))*$U15*((1+Inputs!$D$7)^AA$2))),(_xlfn.WEIBULL.DIST(AA$2,$M15,$L15,FALSE)*$U15*((1+Inputs!$D$7)^AA$2))),IF($N15=Lists!$K$3,IF($L15&lt;1,((($T15*(1-$F15)+$S15*(1-$G15))/$L15)*((1+Inputs!$D$7)^AA$2)),((INT(AA$2/$L15)-INT((AA$2-1)/$L15))*($T15*(1-$F15)+$S15*(1-$G15))*((1+Inputs!$D$7)^AA$2))),((_xlfn.WEIBULL.DIST(AA$2,$M15,$L15,FALSE)*($T15*(1-$F15)+$S15*(1-$G15))*((1+Inputs!$D$7)^AA$2))))))</f>
        <v>1.0185381960848255E-2</v>
      </c>
      <c r="AB15" s="88">
        <f>$E15*IF(AB$2&gt;Inputs!$D$5,0,IF(AB$2&gt;VLOOKUP($H15,Lists!$P$3:$Q$7,2),IF($N15=Lists!$K$3,IF($L15&lt;1,(($U15/$L15)*((1+Inputs!$D$7)^AB$2)),((INT(AB$2/$L15)-INT((AB$2-1)/$L15))*$U15*((1+Inputs!$D$7)^AB$2))),(_xlfn.WEIBULL.DIST(AB$2,$M15,$L15,FALSE)*$U15*((1+Inputs!$D$7)^AB$2))),IF($N15=Lists!$K$3,IF($L15&lt;1,((($T15*(1-$F15)+$S15*(1-$G15))/$L15)*((1+Inputs!$D$7)^AB$2)),((INT(AB$2/$L15)-INT((AB$2-1)/$L15))*($T15*(1-$F15)+$S15*(1-$G15))*((1+Inputs!$D$7)^AB$2))),((_xlfn.WEIBULL.DIST(AB$2,$M15,$L15,FALSE)*($T15*(1-$F15)+$S15*(1-$G15))*((1+Inputs!$D$7)^AB$2))))))</f>
        <v>4.1537745321338547E-2</v>
      </c>
      <c r="AC15" s="88">
        <f>$E15*IF(AC$2&gt;Inputs!$D$5,0,IF(AC$2&gt;VLOOKUP($H15,Lists!$P$3:$Q$7,2),IF($N15=Lists!$K$3,IF($L15&lt;1,(($U15/$L15)*((1+Inputs!$D$7)^AC$2)),((INT(AC$2/$L15)-INT((AC$2-1)/$L15))*$U15*((1+Inputs!$D$7)^AC$2))),(_xlfn.WEIBULL.DIST(AC$2,$M15,$L15,FALSE)*$U15*((1+Inputs!$D$7)^AC$2))),IF($N15=Lists!$K$3,IF($L15&lt;1,((($T15*(1-$F15)+$S15*(1-$G15))/$L15)*((1+Inputs!$D$7)^AC$2)),((INT(AC$2/$L15)-INT((AC$2-1)/$L15))*($T15*(1-$F15)+$S15*(1-$G15))*((1+Inputs!$D$7)^AC$2))),((_xlfn.WEIBULL.DIST(AC$2,$M15,$L15,FALSE)*($T15*(1-$F15)+$S15*(1-$G15))*((1+Inputs!$D$7)^AC$2))))))</f>
        <v>9.5213275746781525E-2</v>
      </c>
      <c r="AD15" s="88">
        <f>$E15*IF(AD$2&gt;Inputs!$D$5,0,IF(AD$2&gt;VLOOKUP($H15,Lists!$P$3:$Q$7,2),IF($N15=Lists!$K$3,IF($L15&lt;1,(($U15/$L15)*((1+Inputs!$D$7)^AD$2)),((INT(AD$2/$L15)-INT((AD$2-1)/$L15))*$U15*((1+Inputs!$D$7)^AD$2))),(_xlfn.WEIBULL.DIST(AD$2,$M15,$L15,FALSE)*$U15*((1+Inputs!$D$7)^AD$2))),IF($N15=Lists!$K$3,IF($L15&lt;1,((($T15*(1-$F15)+$S15*(1-$G15))/$L15)*((1+Inputs!$D$7)^AD$2)),((INT(AD$2/$L15)-INT((AD$2-1)/$L15))*($T15*(1-$F15)+$S15*(1-$G15))*((1+Inputs!$D$7)^AD$2))),((_xlfn.WEIBULL.DIST(AD$2,$M15,$L15,FALSE)*($T15*(1-$F15)+$S15*(1-$G15))*((1+Inputs!$D$7)^AD$2))))))</f>
        <v>0.17224504710902244</v>
      </c>
      <c r="AE15" s="88">
        <f>$E15*IF(AE$2&gt;Inputs!$D$5,0,IF(AE$2&gt;VLOOKUP($H15,Lists!$P$3:$Q$7,2),IF($N15=Lists!$K$3,IF($L15&lt;1,(($U15/$L15)*((1+Inputs!$D$7)^AE$2)),((INT(AE$2/$L15)-INT((AE$2-1)/$L15))*$U15*((1+Inputs!$D$7)^AE$2))),(_xlfn.WEIBULL.DIST(AE$2,$M15,$L15,FALSE)*$U15*((1+Inputs!$D$7)^AE$2))),IF($N15=Lists!$K$3,IF($L15&lt;1,((($T15*(1-$F15)+$S15*(1-$G15))/$L15)*((1+Inputs!$D$7)^AE$2)),((INT(AE$2/$L15)-INT((AE$2-1)/$L15))*($T15*(1-$F15)+$S15*(1-$G15))*((1+Inputs!$D$7)^AE$2))),((_xlfn.WEIBULL.DIST(AE$2,$M15,$L15,FALSE)*($T15*(1-$F15)+$S15*(1-$G15))*((1+Inputs!$D$7)^AE$2))))))</f>
        <v>0.27344592440253934</v>
      </c>
      <c r="AF15" s="88">
        <f>$E15*IF(AF$2&gt;Inputs!$D$5,0,IF(AF$2&gt;VLOOKUP($H15,Lists!$P$3:$Q$7,2),IF($N15=Lists!$K$3,IF($L15&lt;1,(($U15/$L15)*((1+Inputs!$D$7)^AF$2)),((INT(AF$2/$L15)-INT((AF$2-1)/$L15))*$U15*((1+Inputs!$D$7)^AF$2))),(_xlfn.WEIBULL.DIST(AF$2,$M15,$L15,FALSE)*$U15*((1+Inputs!$D$7)^AF$2))),IF($N15=Lists!$K$3,IF($L15&lt;1,((($T15*(1-$F15)+$S15*(1-$G15))/$L15)*((1+Inputs!$D$7)^AF$2)),((INT(AF$2/$L15)-INT((AF$2-1)/$L15))*($T15*(1-$F15)+$S15*(1-$G15))*((1+Inputs!$D$7)^AF$2))),((_xlfn.WEIBULL.DIST(AF$2,$M15,$L15,FALSE)*($T15*(1-$F15)+$S15*(1-$G15))*((1+Inputs!$D$7)^AF$2))))))</f>
        <v>0.39930503605759232</v>
      </c>
      <c r="AG15" s="88">
        <f>$E15*IF(AG$2&gt;Inputs!$D$5,0,IF(AG$2&gt;VLOOKUP($H15,Lists!$P$3:$Q$7,2),IF($N15=Lists!$K$3,IF($L15&lt;1,(($U15/$L15)*((1+Inputs!$D$7)^AG$2)),((INT(AG$2/$L15)-INT((AG$2-1)/$L15))*$U15*((1+Inputs!$D$7)^AG$2))),(_xlfn.WEIBULL.DIST(AG$2,$M15,$L15,FALSE)*$U15*((1+Inputs!$D$7)^AG$2))),IF($N15=Lists!$K$3,IF($L15&lt;1,((($T15*(1-$F15)+$S15*(1-$G15))/$L15)*((1+Inputs!$D$7)^AG$2)),((INT(AG$2/$L15)-INT((AG$2-1)/$L15))*($T15*(1-$F15)+$S15*(1-$G15))*((1+Inputs!$D$7)^AG$2))),((_xlfn.WEIBULL.DIST(AG$2,$M15,$L15,FALSE)*($T15*(1-$F15)+$S15*(1-$G15))*((1+Inputs!$D$7)^AG$2))))))</f>
        <v>0.54988084711964835</v>
      </c>
      <c r="AH15" s="88">
        <f>$E15*IF(AH$2&gt;Inputs!$D$5,0,IF(AH$2&gt;VLOOKUP($H15,Lists!$P$3:$Q$7,2),IF($N15=Lists!$K$3,IF($L15&lt;1,(($U15/$L15)*((1+Inputs!$D$7)^AH$2)),((INT(AH$2/$L15)-INT((AH$2-1)/$L15))*$U15*((1+Inputs!$D$7)^AH$2))),(_xlfn.WEIBULL.DIST(AH$2,$M15,$L15,FALSE)*$U15*((1+Inputs!$D$7)^AH$2))),IF($N15=Lists!$K$3,IF($L15&lt;1,((($T15*(1-$F15)+$S15*(1-$G15))/$L15)*((1+Inputs!$D$7)^AH$2)),((INT(AH$2/$L15)-INT((AH$2-1)/$L15))*($T15*(1-$F15)+$S15*(1-$G15))*((1+Inputs!$D$7)^AH$2))),((_xlfn.WEIBULL.DIST(AH$2,$M15,$L15,FALSE)*($T15*(1-$F15)+$S15*(1-$G15))*((1+Inputs!$D$7)^AH$2))))))</f>
        <v>0.72469510799125758</v>
      </c>
      <c r="AI15" s="88">
        <f>$E15*IF(AI$2&gt;Inputs!$D$5,0,IF(AI$2&gt;VLOOKUP($H15,Lists!$P$3:$Q$7,2),IF($N15=Lists!$K$3,IF($L15&lt;1,(($U15/$L15)*((1+Inputs!$D$7)^AI$2)),((INT(AI$2/$L15)-INT((AI$2-1)/$L15))*$U15*((1+Inputs!$D$7)^AI$2))),(_xlfn.WEIBULL.DIST(AI$2,$M15,$L15,FALSE)*$U15*((1+Inputs!$D$7)^AI$2))),IF($N15=Lists!$K$3,IF($L15&lt;1,((($T15*(1-$F15)+$S15*(1-$G15))/$L15)*((1+Inputs!$D$7)^AI$2)),((INT(AI$2/$L15)-INT((AI$2-1)/$L15))*($T15*(1-$F15)+$S15*(1-$G15))*((1+Inputs!$D$7)^AI$2))),((_xlfn.WEIBULL.DIST(AI$2,$M15,$L15,FALSE)*($T15*(1-$F15)+$S15*(1-$G15))*((1+Inputs!$D$7)^AI$2))))))</f>
        <v>0.9226331710058383</v>
      </c>
      <c r="AJ15" s="88">
        <f>$E15*IF(AJ$2&gt;Inputs!$D$5,0,IF(AJ$2&gt;VLOOKUP($H15,Lists!$P$3:$Q$7,2),IF($N15=Lists!$K$3,IF($L15&lt;1,(($U15/$L15)*((1+Inputs!$D$7)^AJ$2)),((INT(AJ$2/$L15)-INT((AJ$2-1)/$L15))*$U15*((1+Inputs!$D$7)^AJ$2))),(_xlfn.WEIBULL.DIST(AJ$2,$M15,$L15,FALSE)*$U15*((1+Inputs!$D$7)^AJ$2))),IF($N15=Lists!$K$3,IF($L15&lt;1,((($T15*(1-$F15)+$S15*(1-$G15))/$L15)*((1+Inputs!$D$7)^AJ$2)),((INT(AJ$2/$L15)-INT((AJ$2-1)/$L15))*($T15*(1-$F15)+$S15*(1-$G15))*((1+Inputs!$D$7)^AJ$2))),((_xlfn.WEIBULL.DIST(AJ$2,$M15,$L15,FALSE)*($T15*(1-$F15)+$S15*(1-$G15))*((1+Inputs!$D$7)^AJ$2))))))</f>
        <v>1.1418572505925051</v>
      </c>
      <c r="AK15" s="88">
        <f>$E15*IF(AK$2&gt;Inputs!$D$5,0,IF(AK$2&gt;VLOOKUP($H15,Lists!$P$3:$Q$7,2),IF($N15=Lists!$K$3,IF($L15&lt;1,(($U15/$L15)*((1+Inputs!$D$7)^AK$2)),((INT(AK$2/$L15)-INT((AK$2-1)/$L15))*$U15*((1+Inputs!$D$7)^AK$2))),(_xlfn.WEIBULL.DIST(AK$2,$M15,$L15,FALSE)*$U15*((1+Inputs!$D$7)^AK$2))),IF($N15=Lists!$K$3,IF($L15&lt;1,((($T15*(1-$F15)+$S15*(1-$G15))/$L15)*((1+Inputs!$D$7)^AK$2)),((INT(AK$2/$L15)-INT((AK$2-1)/$L15))*($T15*(1-$F15)+$S15*(1-$G15))*((1+Inputs!$D$7)^AK$2))),((_xlfn.WEIBULL.DIST(AK$2,$M15,$L15,FALSE)*($T15*(1-$F15)+$S15*(1-$G15))*((1+Inputs!$D$7)^AK$2))))))</f>
        <v>1.3797400210037583</v>
      </c>
      <c r="AL15" s="88">
        <f>$E15*IF(AL$2&gt;Inputs!$D$5,0,IF(AL$2&gt;VLOOKUP($H15,Lists!$P$3:$Q$7,2),IF($N15=Lists!$K$3,IF($L15&lt;1,(($U15/$L15)*((1+Inputs!$D$7)^AL$2)),((INT(AL$2/$L15)-INT((AL$2-1)/$L15))*$U15*((1+Inputs!$D$7)^AL$2))),(_xlfn.WEIBULL.DIST(AL$2,$M15,$L15,FALSE)*$U15*((1+Inputs!$D$7)^AL$2))),IF($N15=Lists!$K$3,IF($L15&lt;1,((($T15*(1-$F15)+$S15*(1-$G15))/$L15)*((1+Inputs!$D$7)^AL$2)),((INT(AL$2/$L15)-INT((AL$2-1)/$L15))*($T15*(1-$F15)+$S15*(1-$G15))*((1+Inputs!$D$7)^AL$2))),((_xlfn.WEIBULL.DIST(AL$2,$M15,$L15,FALSE)*($T15*(1-$F15)+$S15*(1-$G15))*((1+Inputs!$D$7)^AL$2))))))</f>
        <v>1.6328263529618845</v>
      </c>
      <c r="AM15" s="88">
        <f>$E15*IF(AM$2&gt;Inputs!$D$5,0,IF(AM$2&gt;VLOOKUP($H15,Lists!$P$3:$Q$7,2),IF($N15=Lists!$K$3,IF($L15&lt;1,(($U15/$L15)*((1+Inputs!$D$7)^AM$2)),((INT(AM$2/$L15)-INT((AM$2-1)/$L15))*$U15*((1+Inputs!$D$7)^AM$2))),(_xlfn.WEIBULL.DIST(AM$2,$M15,$L15,FALSE)*$U15*((1+Inputs!$D$7)^AM$2))),IF($N15=Lists!$K$3,IF($L15&lt;1,((($T15*(1-$F15)+$S15*(1-$G15))/$L15)*((1+Inputs!$D$7)^AM$2)),((INT(AM$2/$L15)-INT((AM$2-1)/$L15))*($T15*(1-$F15)+$S15*(1-$G15))*((1+Inputs!$D$7)^AM$2))),((_xlfn.WEIBULL.DIST(AM$2,$M15,$L15,FALSE)*($T15*(1-$F15)+$S15*(1-$G15))*((1+Inputs!$D$7)^AM$2))))))</f>
        <v>1.8968308403105834</v>
      </c>
      <c r="AN15" s="88">
        <f>$E15*IF(AN$2&gt;Inputs!$D$5,0,IF(AN$2&gt;VLOOKUP($H15,Lists!$P$3:$Q$7,2),IF($N15=Lists!$K$3,IF($L15&lt;1,(($U15/$L15)*((1+Inputs!$D$7)^AN$2)),((INT(AN$2/$L15)-INT((AN$2-1)/$L15))*$U15*((1+Inputs!$D$7)^AN$2))),(_xlfn.WEIBULL.DIST(AN$2,$M15,$L15,FALSE)*$U15*((1+Inputs!$D$7)^AN$2))),IF($N15=Lists!$K$3,IF($L15&lt;1,((($T15*(1-$F15)+$S15*(1-$G15))/$L15)*((1+Inputs!$D$7)^AN$2)),((INT(AN$2/$L15)-INT((AN$2-1)/$L15))*($T15*(1-$F15)+$S15*(1-$G15))*((1+Inputs!$D$7)^AN$2))),((_xlfn.WEIBULL.DIST(AN$2,$M15,$L15,FALSE)*($T15*(1-$F15)+$S15*(1-$G15))*((1+Inputs!$D$7)^AN$2))))))</f>
        <v>2.1666779293179279</v>
      </c>
      <c r="AO15" s="88">
        <f>$E15*IF(AO$2&gt;Inputs!$D$5,0,IF(AO$2&gt;VLOOKUP($H15,Lists!$P$3:$Q$7,2),IF($N15=Lists!$K$3,IF($L15&lt;1,(($U15/$L15)*((1+Inputs!$D$7)^AO$2)),((INT(AO$2/$L15)-INT((AO$2-1)/$L15))*$U15*((1+Inputs!$D$7)^AO$2))),(_xlfn.WEIBULL.DIST(AO$2,$M15,$L15,FALSE)*$U15*((1+Inputs!$D$7)^AO$2))),IF($N15=Lists!$K$3,IF($L15&lt;1,((($T15*(1-$F15)+$S15*(1-$G15))/$L15)*((1+Inputs!$D$7)^AO$2)),((INT(AO$2/$L15)-INT((AO$2-1)/$L15))*($T15*(1-$F15)+$S15*(1-$G15))*((1+Inputs!$D$7)^AO$2))),((_xlfn.WEIBULL.DIST(AO$2,$M15,$L15,FALSE)*($T15*(1-$F15)+$S15*(1-$G15))*((1+Inputs!$D$7)^AO$2))))))</f>
        <v>2.4365898435380258</v>
      </c>
      <c r="AP15" s="88">
        <f>$E15*IF(AP$2&gt;Inputs!$D$5,0,IF(AP$2&gt;VLOOKUP($H15,Lists!$P$3:$Q$7,2),IF($N15=Lists!$K$3,IF($L15&lt;1,(($U15/$L15)*((1+Inputs!$D$7)^AP$2)),((INT(AP$2/$L15)-INT((AP$2-1)/$L15))*$U15*((1+Inputs!$D$7)^AP$2))),(_xlfn.WEIBULL.DIST(AP$2,$M15,$L15,FALSE)*$U15*((1+Inputs!$D$7)^AP$2))),IF($N15=Lists!$K$3,IF($L15&lt;1,((($T15*(1-$F15)+$S15*(1-$G15))/$L15)*((1+Inputs!$D$7)^AP$2)),((INT(AP$2/$L15)-INT((AP$2-1)/$L15))*($T15*(1-$F15)+$S15*(1-$G15))*((1+Inputs!$D$7)^AP$2))),((_xlfn.WEIBULL.DIST(AP$2,$M15,$L15,FALSE)*($T15*(1-$F15)+$S15*(1-$G15))*((1+Inputs!$D$7)^AP$2))))))</f>
        <v>2.7002250630138684</v>
      </c>
      <c r="AQ15" s="88">
        <f>$E15*IF(AQ$2&gt;Inputs!$D$5,0,IF(AQ$2&gt;VLOOKUP($H15,Lists!$P$3:$Q$7,2),IF($N15=Lists!$K$3,IF($L15&lt;1,(($U15/$L15)*((1+Inputs!$D$7)^AQ$2)),((INT(AQ$2/$L15)-INT((AQ$2-1)/$L15))*$U15*((1+Inputs!$D$7)^AQ$2))),(_xlfn.WEIBULL.DIST(AQ$2,$M15,$L15,FALSE)*$U15*((1+Inputs!$D$7)^AQ$2))),IF($N15=Lists!$K$3,IF($L15&lt;1,((($T15*(1-$F15)+$S15*(1-$G15))/$L15)*((1+Inputs!$D$7)^AQ$2)),((INT(AQ$2/$L15)-INT((AQ$2-1)/$L15))*($T15*(1-$F15)+$S15*(1-$G15))*((1+Inputs!$D$7)^AQ$2))),((_xlfn.WEIBULL.DIST(AQ$2,$M15,$L15,FALSE)*($T15*(1-$F15)+$S15*(1-$G15))*((1+Inputs!$D$7)^AQ$2))))))</f>
        <v>2.9508669163724175</v>
      </c>
      <c r="AR15" s="88">
        <f>$E15*IF(AR$2&gt;Inputs!$D$5,0,IF(AR$2&gt;VLOOKUP($H15,Lists!$P$3:$Q$7,2),IF($N15=Lists!$K$3,IF($L15&lt;1,(($U15/$L15)*((1+Inputs!$D$7)^AR$2)),((INT(AR$2/$L15)-INT((AR$2-1)/$L15))*$U15*((1+Inputs!$D$7)^AR$2))),(_xlfn.WEIBULL.DIST(AR$2,$M15,$L15,FALSE)*$U15*((1+Inputs!$D$7)^AR$2))),IF($N15=Lists!$K$3,IF($L15&lt;1,((($T15*(1-$F15)+$S15*(1-$G15))/$L15)*((1+Inputs!$D$7)^AR$2)),((INT(AR$2/$L15)-INT((AR$2-1)/$L15))*($T15*(1-$F15)+$S15*(1-$G15))*((1+Inputs!$D$7)^AR$2))),((_xlfn.WEIBULL.DIST(AR$2,$M15,$L15,FALSE)*($T15*(1-$F15)+$S15*(1-$G15))*((1+Inputs!$D$7)^AR$2))))))</f>
        <v>3.1816580240106442</v>
      </c>
      <c r="AS15" s="88">
        <f>$E15*IF(AS$2&gt;Inputs!$D$5,0,IF(AS$2&gt;VLOOKUP($H15,Lists!$P$3:$Q$7,2),IF($N15=Lists!$K$3,IF($L15&lt;1,(($U15/$L15)*((1+Inputs!$D$7)^AS$2)),((INT(AS$2/$L15)-INT((AS$2-1)/$L15))*$U15*((1+Inputs!$D$7)^AS$2))),(_xlfn.WEIBULL.DIST(AS$2,$M15,$L15,FALSE)*$U15*((1+Inputs!$D$7)^AS$2))),IF($N15=Lists!$K$3,IF($L15&lt;1,((($T15*(1-$F15)+$S15*(1-$G15))/$L15)*((1+Inputs!$D$7)^AS$2)),((INT(AS$2/$L15)-INT((AS$2-1)/$L15))*($T15*(1-$F15)+$S15*(1-$G15))*((1+Inputs!$D$7)^AS$2))),((_xlfn.WEIBULL.DIST(AS$2,$M15,$L15,FALSE)*($T15*(1-$F15)+$S15*(1-$G15))*((1+Inputs!$D$7)^AS$2))))))</f>
        <v>3.3858721410914456</v>
      </c>
      <c r="AT15" s="88">
        <f>$E15*IF(AT$2&gt;Inputs!$D$5,0,IF(AT$2&gt;VLOOKUP($H15,Lists!$P$3:$Q$7,2),IF($N15=Lists!$K$3,IF($L15&lt;1,(($U15/$L15)*((1+Inputs!$D$7)^AT$2)),((INT(AT$2/$L15)-INT((AT$2-1)/$L15))*$U15*((1+Inputs!$D$7)^AT$2))),(_xlfn.WEIBULL.DIST(AT$2,$M15,$L15,FALSE)*$U15*((1+Inputs!$D$7)^AT$2))),IF($N15=Lists!$K$3,IF($L15&lt;1,((($T15*(1-$F15)+$S15*(1-$G15))/$L15)*((1+Inputs!$D$7)^AT$2)),((INT(AT$2/$L15)-INT((AT$2-1)/$L15))*($T15*(1-$F15)+$S15*(1-$G15))*((1+Inputs!$D$7)^AT$2))),((_xlfn.WEIBULL.DIST(AT$2,$M15,$L15,FALSE)*($T15*(1-$F15)+$S15*(1-$G15))*((1+Inputs!$D$7)^AT$2))))))</f>
        <v>3.5572107409030114</v>
      </c>
      <c r="AU15" s="88">
        <f>$E15*IF(AU$2&gt;Inputs!$D$5,0,IF(AU$2&gt;VLOOKUP($H15,Lists!$P$3:$Q$7,2),IF($N15=Lists!$K$3,IF($L15&lt;1,(($U15/$L15)*((1+Inputs!$D$7)^AU$2)),((INT(AU$2/$L15)-INT((AU$2-1)/$L15))*$U15*((1+Inputs!$D$7)^AU$2))),(_xlfn.WEIBULL.DIST(AU$2,$M15,$L15,FALSE)*$U15*((1+Inputs!$D$7)^AU$2))),IF($N15=Lists!$K$3,IF($L15&lt;1,((($T15*(1-$F15)+$S15*(1-$G15))/$L15)*((1+Inputs!$D$7)^AU$2)),((INT(AU$2/$L15)-INT((AU$2-1)/$L15))*($T15*(1-$F15)+$S15*(1-$G15))*((1+Inputs!$D$7)^AU$2))),((_xlfn.WEIBULL.DIST(AU$2,$M15,$L15,FALSE)*($T15*(1-$F15)+$S15*(1-$G15))*((1+Inputs!$D$7)^AU$2))))))</f>
        <v>3.6901078809552135</v>
      </c>
      <c r="AV15" s="88">
        <f>$E15*IF(AV$2&gt;Inputs!$D$5,0,IF(AV$2&gt;VLOOKUP($H15,Lists!$P$3:$Q$7,2),IF($N15=Lists!$K$3,IF($L15&lt;1,(($U15/$L15)*((1+Inputs!$D$7)^AV$2)),((INT(AV$2/$L15)-INT((AV$2-1)/$L15))*$U15*((1+Inputs!$D$7)^AV$2))),(_xlfn.WEIBULL.DIST(AV$2,$M15,$L15,FALSE)*$U15*((1+Inputs!$D$7)^AV$2))),IF($N15=Lists!$K$3,IF($L15&lt;1,((($T15*(1-$F15)+$S15*(1-$G15))/$L15)*((1+Inputs!$D$7)^AV$2)),((INT(AV$2/$L15)-INT((AV$2-1)/$L15))*($T15*(1-$F15)+$S15*(1-$G15))*((1+Inputs!$D$7)^AV$2))),((_xlfn.WEIBULL.DIST(AV$2,$M15,$L15,FALSE)*($T15*(1-$F15)+$S15*(1-$G15))*((1+Inputs!$D$7)^AV$2))))))</f>
        <v>3.7800239750691209</v>
      </c>
      <c r="AW15" s="88">
        <f>$E15*IF(AW$2&gt;Inputs!$D$5,0,IF(AW$2&gt;VLOOKUP($H15,Lists!$P$3:$Q$7,2),IF($N15=Lists!$K$3,IF($L15&lt;1,(($U15/$L15)*((1+Inputs!$D$7)^AW$2)),((INT(AW$2/$L15)-INT((AW$2-1)/$L15))*$U15*((1+Inputs!$D$7)^AW$2))),(_xlfn.WEIBULL.DIST(AW$2,$M15,$L15,FALSE)*$U15*((1+Inputs!$D$7)^AW$2))),IF($N15=Lists!$K$3,IF($L15&lt;1,((($T15*(1-$F15)+$S15*(1-$G15))/$L15)*((1+Inputs!$D$7)^AW$2)),((INT(AW$2/$L15)-INT((AW$2-1)/$L15))*($T15*(1-$F15)+$S15*(1-$G15))*((1+Inputs!$D$7)^AW$2))),((_xlfn.WEIBULL.DIST(AW$2,$M15,$L15,FALSE)*($T15*(1-$F15)+$S15*(1-$G15))*((1+Inputs!$D$7)^AW$2))))))</f>
        <v>3.8237075114033678</v>
      </c>
      <c r="AX15" s="88">
        <f>$E15*IF(AX$2&gt;Inputs!$D$5,0,IF(AX$2&gt;VLOOKUP($H15,Lists!$P$3:$Q$7,2),IF($N15=Lists!$K$3,IF($L15&lt;1,(($U15/$L15)*((1+Inputs!$D$7)^AX$2)),((INT(AX$2/$L15)-INT((AX$2-1)/$L15))*$U15*((1+Inputs!$D$7)^AX$2))),(_xlfn.WEIBULL.DIST(AX$2,$M15,$L15,FALSE)*$U15*((1+Inputs!$D$7)^AX$2))),IF($N15=Lists!$K$3,IF($L15&lt;1,((($T15*(1-$F15)+$S15*(1-$G15))/$L15)*((1+Inputs!$D$7)^AX$2)),((INT(AX$2/$L15)-INT((AX$2-1)/$L15))*($T15*(1-$F15)+$S15*(1-$G15))*((1+Inputs!$D$7)^AX$2))),((_xlfn.WEIBULL.DIST(AX$2,$M15,$L15,FALSE)*($T15*(1-$F15)+$S15*(1-$G15))*((1+Inputs!$D$7)^AX$2))))))</f>
        <v>3.8194038903462006</v>
      </c>
      <c r="AY15" s="88">
        <f>$E15*IF(AY$2&gt;Inputs!$D$5,0,IF(AY$2&gt;VLOOKUP($H15,Lists!$P$3:$Q$7,2),IF($N15=Lists!$K$3,IF($L15&lt;1,(($U15/$L15)*((1+Inputs!$D$7)^AY$2)),((INT(AY$2/$L15)-INT((AY$2-1)/$L15))*$U15*((1+Inputs!$D$7)^AY$2))),(_xlfn.WEIBULL.DIST(AY$2,$M15,$L15,FALSE)*$U15*((1+Inputs!$D$7)^AY$2))),IF($N15=Lists!$K$3,IF($L15&lt;1,((($T15*(1-$F15)+$S15*(1-$G15))/$L15)*((1+Inputs!$D$7)^AY$2)),((INT(AY$2/$L15)-INT((AY$2-1)/$L15))*($T15*(1-$F15)+$S15*(1-$G15))*((1+Inputs!$D$7)^AY$2))),((_xlfn.WEIBULL.DIST(AY$2,$M15,$L15,FALSE)*($T15*(1-$F15)+$S15*(1-$G15))*((1+Inputs!$D$7)^AY$2))))))</f>
        <v>3.7669926484078169</v>
      </c>
      <c r="AZ15" s="88">
        <f>$E15*IF(AZ$2&gt;Inputs!$D$5,0,IF(AZ$2&gt;VLOOKUP($H15,Lists!$P$3:$Q$7,2),IF($N15=Lists!$K$3,IF($L15&lt;1,(($U15/$L15)*((1+Inputs!$D$7)^AZ$2)),((INT(AZ$2/$L15)-INT((AZ$2-1)/$L15))*$U15*((1+Inputs!$D$7)^AZ$2))),(_xlfn.WEIBULL.DIST(AZ$2,$M15,$L15,FALSE)*$U15*((1+Inputs!$D$7)^AZ$2))),IF($N15=Lists!$K$3,IF($L15&lt;1,((($T15*(1-$F15)+$S15*(1-$G15))/$L15)*((1+Inputs!$D$7)^AZ$2)),((INT(AZ$2/$L15)-INT((AZ$2-1)/$L15))*($T15*(1-$F15)+$S15*(1-$G15))*((1+Inputs!$D$7)^AZ$2))),((_xlfn.WEIBULL.DIST(AZ$2,$M15,$L15,FALSE)*($T15*(1-$F15)+$S15*(1-$G15))*((1+Inputs!$D$7)^AZ$2))))))</f>
        <v>0</v>
      </c>
      <c r="BA15" s="88">
        <f>$E15*IF(BA$2&gt;Inputs!$D$5,0,IF(BA$2&gt;VLOOKUP($H15,Lists!$P$3:$Q$7,2),IF($N15=Lists!$K$3,IF($L15&lt;1,(($U15/$L15)*((1+Inputs!$D$7)^BA$2)),((INT(BA$2/$L15)-INT((BA$2-1)/$L15))*$U15*((1+Inputs!$D$7)^BA$2))),(_xlfn.WEIBULL.DIST(BA$2,$M15,$L15,FALSE)*$U15*((1+Inputs!$D$7)^BA$2))),IF($N15=Lists!$K$3,IF($L15&lt;1,((($T15*(1-$F15)+$S15*(1-$G15))/$L15)*((1+Inputs!$D$7)^BA$2)),((INT(BA$2/$L15)-INT((BA$2-1)/$L15))*($T15*(1-$F15)+$S15*(1-$G15))*((1+Inputs!$D$7)^BA$2))),((_xlfn.WEIBULL.DIST(BA$2,$M15,$L15,FALSE)*($T15*(1-$F15)+$S15*(1-$G15))*((1+Inputs!$D$7)^BA$2))))))</f>
        <v>0</v>
      </c>
      <c r="BB15" s="88">
        <f>$E15*IF(BB$2&gt;Inputs!$D$5,0,IF(BB$2&gt;VLOOKUP($H15,Lists!$P$3:$Q$7,2),IF($N15=Lists!$K$3,IF($L15&lt;1,(($U15/$L15)*((1+Inputs!$D$7)^BB$2)),((INT(BB$2/$L15)-INT((BB$2-1)/$L15))*$U15*((1+Inputs!$D$7)^BB$2))),(_xlfn.WEIBULL.DIST(BB$2,$M15,$L15,FALSE)*$U15*((1+Inputs!$D$7)^BB$2))),IF($N15=Lists!$K$3,IF($L15&lt;1,((($T15*(1-$F15)+$S15*(1-$G15))/$L15)*((1+Inputs!$D$7)^BB$2)),((INT(BB$2/$L15)-INT((BB$2-1)/$L15))*($T15*(1-$F15)+$S15*(1-$G15))*((1+Inputs!$D$7)^BB$2))),((_xlfn.WEIBULL.DIST(BB$2,$M15,$L15,FALSE)*($T15*(1-$F15)+$S15*(1-$G15))*((1+Inputs!$D$7)^BB$2))))))</f>
        <v>0</v>
      </c>
      <c r="BC15" s="88">
        <f>$E15*IF(BC$2&gt;Inputs!$D$5,0,IF(BC$2&gt;VLOOKUP($H15,Lists!$P$3:$Q$7,2),IF($N15=Lists!$K$3,IF($L15&lt;1,(($U15/$L15)*((1+Inputs!$D$7)^BC$2)),((INT(BC$2/$L15)-INT((BC$2-1)/$L15))*$U15*((1+Inputs!$D$7)^BC$2))),(_xlfn.WEIBULL.DIST(BC$2,$M15,$L15,FALSE)*$U15*((1+Inputs!$D$7)^BC$2))),IF($N15=Lists!$K$3,IF($L15&lt;1,((($T15*(1-$F15)+$S15*(1-$G15))/$L15)*((1+Inputs!$D$7)^BC$2)),((INT(BC$2/$L15)-INT((BC$2-1)/$L15))*($T15*(1-$F15)+$S15*(1-$G15))*((1+Inputs!$D$7)^BC$2))),((_xlfn.WEIBULL.DIST(BC$2,$M15,$L15,FALSE)*($T15*(1-$F15)+$S15*(1-$G15))*((1+Inputs!$D$7)^BC$2))))))</f>
        <v>0</v>
      </c>
      <c r="BD15" s="88">
        <f>$E15*IF(BD$2&gt;Inputs!$D$5,0,IF(BD$2&gt;VLOOKUP($H15,Lists!$P$3:$Q$7,2),IF($N15=Lists!$K$3,IF($L15&lt;1,(($U15/$L15)*((1+Inputs!$D$7)^BD$2)),((INT(BD$2/$L15)-INT((BD$2-1)/$L15))*$U15*((1+Inputs!$D$7)^BD$2))),(_xlfn.WEIBULL.DIST(BD$2,$M15,$L15,FALSE)*$U15*((1+Inputs!$D$7)^BD$2))),IF($N15=Lists!$K$3,IF($L15&lt;1,((($T15*(1-$F15)+$S15*(1-$G15))/$L15)*((1+Inputs!$D$7)^BD$2)),((INT(BD$2/$L15)-INT((BD$2-1)/$L15))*($T15*(1-$F15)+$S15*(1-$G15))*((1+Inputs!$D$7)^BD$2))),((_xlfn.WEIBULL.DIST(BD$2,$M15,$L15,FALSE)*($T15*(1-$F15)+$S15*(1-$G15))*((1+Inputs!$D$7)^BD$2))))))</f>
        <v>0</v>
      </c>
      <c r="BE15" s="88">
        <f>$E15*IF(BE$2&gt;Inputs!$D$5,0,IF(BE$2&gt;VLOOKUP($H15,Lists!$P$3:$Q$7,2),IF($N15=Lists!$K$3,IF($L15&lt;1,(($U15/$L15)*((1+Inputs!$D$7)^BE$2)),((INT(BE$2/$L15)-INT((BE$2-1)/$L15))*$U15*((1+Inputs!$D$7)^BE$2))),(_xlfn.WEIBULL.DIST(BE$2,$M15,$L15,FALSE)*$U15*((1+Inputs!$D$7)^BE$2))),IF($N15=Lists!$K$3,IF($L15&lt;1,((($T15*(1-$F15)+$S15*(1-$G15))/$L15)*((1+Inputs!$D$7)^BE$2)),((INT(BE$2/$L15)-INT((BE$2-1)/$L15))*($T15*(1-$F15)+$S15*(1-$G15))*((1+Inputs!$D$7)^BE$2))),((_xlfn.WEIBULL.DIST(BE$2,$M15,$L15,FALSE)*($T15*(1-$F15)+$S15*(1-$G15))*((1+Inputs!$D$7)^BE$2))))))</f>
        <v>0</v>
      </c>
      <c r="BF15" s="88">
        <f>$E15*IF(BF$2&gt;Inputs!$D$5,0,IF(BF$2&gt;VLOOKUP($H15,Lists!$P$3:$Q$7,2),IF($N15=Lists!$K$3,IF($L15&lt;1,(($U15/$L15)*((1+Inputs!$D$7)^BF$2)),((INT(BF$2/$L15)-INT((BF$2-1)/$L15))*$U15*((1+Inputs!$D$7)^BF$2))),(_xlfn.WEIBULL.DIST(BF$2,$M15,$L15,FALSE)*$U15*((1+Inputs!$D$7)^BF$2))),IF($N15=Lists!$K$3,IF($L15&lt;1,((($T15*(1-$F15)+$S15*(1-$G15))/$L15)*((1+Inputs!$D$7)^BF$2)),((INT(BF$2/$L15)-INT((BF$2-1)/$L15))*($T15*(1-$F15)+$S15*(1-$G15))*((1+Inputs!$D$7)^BF$2))),((_xlfn.WEIBULL.DIST(BF$2,$M15,$L15,FALSE)*($T15*(1-$F15)+$S15*(1-$G15))*((1+Inputs!$D$7)^BF$2))))))</f>
        <v>0</v>
      </c>
      <c r="BG15" s="88">
        <f>$E15*IF(BG$2&gt;Inputs!$D$5,0,IF(BG$2&gt;VLOOKUP($H15,Lists!$P$3:$Q$7,2),IF($N15=Lists!$K$3,IF($L15&lt;1,(($U15/$L15)*((1+Inputs!$D$7)^BG$2)),((INT(BG$2/$L15)-INT((BG$2-1)/$L15))*$U15*((1+Inputs!$D$7)^BG$2))),(_xlfn.WEIBULL.DIST(BG$2,$M15,$L15,FALSE)*$U15*((1+Inputs!$D$7)^BG$2))),IF($N15=Lists!$K$3,IF($L15&lt;1,((($T15*(1-$F15)+$S15*(1-$G15))/$L15)*((1+Inputs!$D$7)^BG$2)),((INT(BG$2/$L15)-INT((BG$2-1)/$L15))*($T15*(1-$F15)+$S15*(1-$G15))*((1+Inputs!$D$7)^BG$2))),((_xlfn.WEIBULL.DIST(BG$2,$M15,$L15,FALSE)*($T15*(1-$F15)+$S15*(1-$G15))*((1+Inputs!$D$7)^BG$2))))))</f>
        <v>0</v>
      </c>
      <c r="BH15" s="88">
        <f>$E15*IF(BH$2&gt;Inputs!$D$5,0,IF(BH$2&gt;VLOOKUP($H15,Lists!$P$3:$Q$7,2),IF($N15=Lists!$K$3,IF($L15&lt;1,(($U15/$L15)*((1+Inputs!$D$7)^BH$2)),((INT(BH$2/$L15)-INT((BH$2-1)/$L15))*$U15*((1+Inputs!$D$7)^BH$2))),(_xlfn.WEIBULL.DIST(BH$2,$M15,$L15,FALSE)*$U15*((1+Inputs!$D$7)^BH$2))),IF($N15=Lists!$K$3,IF($L15&lt;1,((($T15*(1-$F15)+$S15*(1-$G15))/$L15)*((1+Inputs!$D$7)^BH$2)),((INT(BH$2/$L15)-INT((BH$2-1)/$L15))*($T15*(1-$F15)+$S15*(1-$G15))*((1+Inputs!$D$7)^BH$2))),((_xlfn.WEIBULL.DIST(BH$2,$M15,$L15,FALSE)*($T15*(1-$F15)+$S15*(1-$G15))*((1+Inputs!$D$7)^BH$2))))))</f>
        <v>0</v>
      </c>
      <c r="BI15" s="88">
        <f>$E15*IF(BI$2&gt;Inputs!$D$5,0,IF(BI$2&gt;VLOOKUP($H15,Lists!$P$3:$Q$7,2),IF($N15=Lists!$K$3,IF($L15&lt;1,(($U15/$L15)*((1+Inputs!$D$7)^BI$2)),((INT(BI$2/$L15)-INT((BI$2-1)/$L15))*$U15*((1+Inputs!$D$7)^BI$2))),(_xlfn.WEIBULL.DIST(BI$2,$M15,$L15,FALSE)*$U15*((1+Inputs!$D$7)^BI$2))),IF($N15=Lists!$K$3,IF($L15&lt;1,((($T15*(1-$F15)+$S15*(1-$G15))/$L15)*((1+Inputs!$D$7)^BI$2)),((INT(BI$2/$L15)-INT((BI$2-1)/$L15))*($T15*(1-$F15)+$S15*(1-$G15))*((1+Inputs!$D$7)^BI$2))),((_xlfn.WEIBULL.DIST(BI$2,$M15,$L15,FALSE)*($T15*(1-$F15)+$S15*(1-$G15))*((1+Inputs!$D$7)^BI$2))))))</f>
        <v>0</v>
      </c>
      <c r="BJ15" s="88">
        <f>$E15*IF(BJ$2&gt;Inputs!$D$5,0,IF(BJ$2&gt;VLOOKUP($H15,Lists!$P$3:$Q$7,2),IF($N15=Lists!$K$3,IF($L15&lt;1,(($U15/$L15)*((1+Inputs!$D$7)^BJ$2)),((INT(BJ$2/$L15)-INT((BJ$2-1)/$L15))*$U15*((1+Inputs!$D$7)^BJ$2))),(_xlfn.WEIBULL.DIST(BJ$2,$M15,$L15,FALSE)*$U15*((1+Inputs!$D$7)^BJ$2))),IF($N15=Lists!$K$3,IF($L15&lt;1,((($T15*(1-$F15)+$S15*(1-$G15))/$L15)*((1+Inputs!$D$7)^BJ$2)),((INT(BJ$2/$L15)-INT((BJ$2-1)/$L15))*($T15*(1-$F15)+$S15*(1-$G15))*((1+Inputs!$D$7)^BJ$2))),((_xlfn.WEIBULL.DIST(BJ$2,$M15,$L15,FALSE)*($T15*(1-$F15)+$S15*(1-$G15))*((1+Inputs!$D$7)^BJ$2))))))</f>
        <v>0</v>
      </c>
      <c r="BK15" s="88">
        <f>$E15*IF(BK$2&gt;Inputs!$D$5,0,IF(BK$2&gt;VLOOKUP($H15,Lists!$P$3:$Q$7,2),IF($N15=Lists!$K$3,IF($L15&lt;1,(($U15/$L15)*((1+Inputs!$D$7)^BK$2)),((INT(BK$2/$L15)-INT((BK$2-1)/$L15))*$U15*((1+Inputs!$D$7)^BK$2))),(_xlfn.WEIBULL.DIST(BK$2,$M15,$L15,FALSE)*$U15*((1+Inputs!$D$7)^BK$2))),IF($N15=Lists!$K$3,IF($L15&lt;1,((($T15*(1-$F15)+$S15*(1-$G15))/$L15)*((1+Inputs!$D$7)^BK$2)),((INT(BK$2/$L15)-INT((BK$2-1)/$L15))*($T15*(1-$F15)+$S15*(1-$G15))*((1+Inputs!$D$7)^BK$2))),((_xlfn.WEIBULL.DIST(BK$2,$M15,$L15,FALSE)*($T15*(1-$F15)+$S15*(1-$G15))*((1+Inputs!$D$7)^BK$2))))))</f>
        <v>0</v>
      </c>
      <c r="BL15" s="88">
        <f>$E15*IF(BL$2&gt;Inputs!$D$5,0,IF(BL$2&gt;VLOOKUP($H15,Lists!$P$3:$Q$7,2),IF($N15=Lists!$K$3,IF($L15&lt;1,(($U15/$L15)*((1+Inputs!$D$7)^BL$2)),((INT(BL$2/$L15)-INT((BL$2-1)/$L15))*$U15*((1+Inputs!$D$7)^BL$2))),(_xlfn.WEIBULL.DIST(BL$2,$M15,$L15,FALSE)*$U15*((1+Inputs!$D$7)^BL$2))),IF($N15=Lists!$K$3,IF($L15&lt;1,((($T15*(1-$F15)+$S15*(1-$G15))/$L15)*((1+Inputs!$D$7)^BL$2)),((INT(BL$2/$L15)-INT((BL$2-1)/$L15))*($T15*(1-$F15)+$S15*(1-$G15))*((1+Inputs!$D$7)^BL$2))),((_xlfn.WEIBULL.DIST(BL$2,$M15,$L15,FALSE)*($T15*(1-$F15)+$S15*(1-$G15))*((1+Inputs!$D$7)^BL$2))))))</f>
        <v>0</v>
      </c>
      <c r="BM15" s="88">
        <f>$E15*IF(BM$2&gt;Inputs!$D$5,0,IF(BM$2&gt;VLOOKUP($H15,Lists!$P$3:$Q$7,2),IF($N15=Lists!$K$3,IF($L15&lt;1,(($U15/$L15)*((1+Inputs!$D$7)^BM$2)),((INT(BM$2/$L15)-INT((BM$2-1)/$L15))*$U15*((1+Inputs!$D$7)^BM$2))),(_xlfn.WEIBULL.DIST(BM$2,$M15,$L15,FALSE)*$U15*((1+Inputs!$D$7)^BM$2))),IF($N15=Lists!$K$3,IF($L15&lt;1,((($T15*(1-$F15)+$S15*(1-$G15))/$L15)*((1+Inputs!$D$7)^BM$2)),((INT(BM$2/$L15)-INT((BM$2-1)/$L15))*($T15*(1-$F15)+$S15*(1-$G15))*((1+Inputs!$D$7)^BM$2))),((_xlfn.WEIBULL.DIST(BM$2,$M15,$L15,FALSE)*($T15*(1-$F15)+$S15*(1-$G15))*((1+Inputs!$D$7)^BM$2))))))</f>
        <v>0</v>
      </c>
      <c r="BN15" s="88">
        <f>$E15*IF(BN$2&gt;Inputs!$D$5,0,IF(BN$2&gt;VLOOKUP($H15,Lists!$P$3:$Q$7,2),IF($N15=Lists!$K$3,IF($L15&lt;1,(($U15/$L15)*((1+Inputs!$D$7)^BN$2)),((INT(BN$2/$L15)-INT((BN$2-1)/$L15))*$U15*((1+Inputs!$D$7)^BN$2))),(_xlfn.WEIBULL.DIST(BN$2,$M15,$L15,FALSE)*$U15*((1+Inputs!$D$7)^BN$2))),IF($N15=Lists!$K$3,IF($L15&lt;1,((($T15*(1-$F15)+$S15*(1-$G15))/$L15)*((1+Inputs!$D$7)^BN$2)),((INT(BN$2/$L15)-INT((BN$2-1)/$L15))*($T15*(1-$F15)+$S15*(1-$G15))*((1+Inputs!$D$7)^BN$2))),((_xlfn.WEIBULL.DIST(BN$2,$M15,$L15,FALSE)*($T15*(1-$F15)+$S15*(1-$G15))*((1+Inputs!$D$7)^BN$2))))))</f>
        <v>0</v>
      </c>
      <c r="BO15" s="64">
        <f>NPV(Inputs!$D$6,BQ15:DD15)</f>
        <v>42.510361609383068</v>
      </c>
      <c r="BP15" s="67">
        <f t="shared" si="6"/>
        <v>2.0049961920932905E-5</v>
      </c>
      <c r="BQ15" s="88">
        <f>MAX(AA15,($E15*IF(BQ$2&gt;Inputs!$D$5,0,IF(BQ$2&gt;VLOOKUP($H15,Lists!$P$3:$Q$7,2),IF($N15=Lists!$K$3,IF($L15&lt;1,(($U15/$L15)*((1+Inputs!$D$7)^BQ$2)),((INT(BQ$2/$L15)-INT((BQ$2-1)/$L15))*$U15*((1+Inputs!$D$7)^BQ$2))),(Inputs!$D$8^((1-_xlfn.WEIBULL.DIST(BQ$2,$M15,$L15,FALSE))/_xlfn.WEIBULL.DIST(BQ$2,$M15,$L15,FALSE))*$U15*((1+Inputs!$D$7)^BQ$2))),IF($N15=Lists!$K$3,IF($L15&lt;1,((($T15*(1-$F15)+$S15*(1-$G15))/$L15)*((1+Inputs!$D$7)^BQ$2)),((INT(BQ$2/$L15)-INT((BQ$2-1)/$L15))*($T15*(1-$F15)+$S15*(1-$G15))*((1+Inputs!$D$7)^BQ$2))),((Inputs!$D$8^((1-_xlfn.WEIBULL.DIST(BQ$2,$M15,$L15,FALSE))/_xlfn.WEIBULL.DIST(BQ$2,$M15,$L15,FALSE))*($T15*(1-$F15)+$S15*(1-$G15))*((1+Inputs!$D$7)^BQ$2))))))))</f>
        <v>1.0185381960848255E-2</v>
      </c>
      <c r="BR15" s="88">
        <f>MAX(AB15,($E15*IF(BR$2&gt;Inputs!$D$5,0,IF(BR$2&gt;VLOOKUP($H15,Lists!$P$3:$Q$7,2),IF($N15=Lists!$K$3,IF($L15&lt;1,(($U15/$L15)*((1+Inputs!$D$7)^BR$2)),((INT(BR$2/$L15)-INT((BR$2-1)/$L15))*$U15*((1+Inputs!$D$7)^BR$2))),(Inputs!$D$8^((1-_xlfn.WEIBULL.DIST(BR$2,$M15,$L15,FALSE))/_xlfn.WEIBULL.DIST(BR$2,$M15,$L15,FALSE))*$U15*((1+Inputs!$D$7)^BR$2))),IF($N15=Lists!$K$3,IF($L15&lt;1,((($T15*(1-$F15)+$S15*(1-$G15))/$L15)*((1+Inputs!$D$7)^BR$2)),((INT(BR$2/$L15)-INT((BR$2-1)/$L15))*($T15*(1-$F15)+$S15*(1-$G15))*((1+Inputs!$D$7)^BR$2))),((Inputs!$D$8^((1-_xlfn.WEIBULL.DIST(BR$2,$M15,$L15,FALSE))/_xlfn.WEIBULL.DIST(BR$2,$M15,$L15,FALSE))*($T15*(1-$F15)+$S15*(1-$G15))*((1+Inputs!$D$7)^BR$2))))))))</f>
        <v>4.1537745321338547E-2</v>
      </c>
      <c r="BS15" s="88">
        <f>MAX(AC15,($E15*IF(BS$2&gt;Inputs!$D$5,0,IF(BS$2&gt;VLOOKUP($H15,Lists!$P$3:$Q$7,2),IF($N15=Lists!$K$3,IF($L15&lt;1,(($U15/$L15)*((1+Inputs!$D$7)^BS$2)),((INT(BS$2/$L15)-INT((BS$2-1)/$L15))*$U15*((1+Inputs!$D$7)^BS$2))),(Inputs!$D$8^((1-_xlfn.WEIBULL.DIST(BS$2,$M15,$L15,FALSE))/_xlfn.WEIBULL.DIST(BS$2,$M15,$L15,FALSE))*$U15*((1+Inputs!$D$7)^BS$2))),IF($N15=Lists!$K$3,IF($L15&lt;1,((($T15*(1-$F15)+$S15*(1-$G15))/$L15)*((1+Inputs!$D$7)^BS$2)),((INT(BS$2/$L15)-INT((BS$2-1)/$L15))*($T15*(1-$F15)+$S15*(1-$G15))*((1+Inputs!$D$7)^BS$2))),((Inputs!$D$8^((1-_xlfn.WEIBULL.DIST(BS$2,$M15,$L15,FALSE))/_xlfn.WEIBULL.DIST(BS$2,$M15,$L15,FALSE))*($T15*(1-$F15)+$S15*(1-$G15))*((1+Inputs!$D$7)^BS$2))))))))</f>
        <v>9.5213275746781525E-2</v>
      </c>
      <c r="BT15" s="88">
        <f>MAX(AD15,($E15*IF(BT$2&gt;Inputs!$D$5,0,IF(BT$2&gt;VLOOKUP($H15,Lists!$P$3:$Q$7,2),IF($N15=Lists!$K$3,IF($L15&lt;1,(($U15/$L15)*((1+Inputs!$D$7)^BT$2)),((INT(BT$2/$L15)-INT((BT$2-1)/$L15))*$U15*((1+Inputs!$D$7)^BT$2))),(Inputs!$D$8^((1-_xlfn.WEIBULL.DIST(BT$2,$M15,$L15,FALSE))/_xlfn.WEIBULL.DIST(BT$2,$M15,$L15,FALSE))*$U15*((1+Inputs!$D$7)^BT$2))),IF($N15=Lists!$K$3,IF($L15&lt;1,((($T15*(1-$F15)+$S15*(1-$G15))/$L15)*((1+Inputs!$D$7)^BT$2)),((INT(BT$2/$L15)-INT((BT$2-1)/$L15))*($T15*(1-$F15)+$S15*(1-$G15))*((1+Inputs!$D$7)^BT$2))),((Inputs!$D$8^((1-_xlfn.WEIBULL.DIST(BT$2,$M15,$L15,FALSE))/_xlfn.WEIBULL.DIST(BT$2,$M15,$L15,FALSE))*($T15*(1-$F15)+$S15*(1-$G15))*((1+Inputs!$D$7)^BT$2))))))))</f>
        <v>0.17224504710902244</v>
      </c>
      <c r="BU15" s="88">
        <f>MAX(AE15,($E15*IF(BU$2&gt;Inputs!$D$5,0,IF(BU$2&gt;VLOOKUP($H15,Lists!$P$3:$Q$7,2),IF($N15=Lists!$K$3,IF($L15&lt;1,(($U15/$L15)*((1+Inputs!$D$7)^BU$2)),((INT(BU$2/$L15)-INT((BU$2-1)/$L15))*$U15*((1+Inputs!$D$7)^BU$2))),(Inputs!$D$8^((1-_xlfn.WEIBULL.DIST(BU$2,$M15,$L15,FALSE))/_xlfn.WEIBULL.DIST(BU$2,$M15,$L15,FALSE))*$U15*((1+Inputs!$D$7)^BU$2))),IF($N15=Lists!$K$3,IF($L15&lt;1,((($T15*(1-$F15)+$S15*(1-$G15))/$L15)*((1+Inputs!$D$7)^BU$2)),((INT(BU$2/$L15)-INT((BU$2-1)/$L15))*($T15*(1-$F15)+$S15*(1-$G15))*((1+Inputs!$D$7)^BU$2))),((Inputs!$D$8^((1-_xlfn.WEIBULL.DIST(BU$2,$M15,$L15,FALSE))/_xlfn.WEIBULL.DIST(BU$2,$M15,$L15,FALSE))*($T15*(1-$F15)+$S15*(1-$G15))*((1+Inputs!$D$7)^BU$2))))))))</f>
        <v>0.27344592440253934</v>
      </c>
      <c r="BV15" s="88">
        <f>MAX(AF15,($E15*IF(BV$2&gt;Inputs!$D$5,0,IF(BV$2&gt;VLOOKUP($H15,Lists!$P$3:$Q$7,2),IF($N15=Lists!$K$3,IF($L15&lt;1,(($U15/$L15)*((1+Inputs!$D$7)^BV$2)),((INT(BV$2/$L15)-INT((BV$2-1)/$L15))*$U15*((1+Inputs!$D$7)^BV$2))),(Inputs!$D$8^((1-_xlfn.WEIBULL.DIST(BV$2,$M15,$L15,FALSE))/_xlfn.WEIBULL.DIST(BV$2,$M15,$L15,FALSE))*$U15*((1+Inputs!$D$7)^BV$2))),IF($N15=Lists!$K$3,IF($L15&lt;1,((($T15*(1-$F15)+$S15*(1-$G15))/$L15)*((1+Inputs!$D$7)^BV$2)),((INT(BV$2/$L15)-INT((BV$2-1)/$L15))*($T15*(1-$F15)+$S15*(1-$G15))*((1+Inputs!$D$7)^BV$2))),((Inputs!$D$8^((1-_xlfn.WEIBULL.DIST(BV$2,$M15,$L15,FALSE))/_xlfn.WEIBULL.DIST(BV$2,$M15,$L15,FALSE))*($T15*(1-$F15)+$S15*(1-$G15))*((1+Inputs!$D$7)^BV$2))))))))</f>
        <v>0.39930503605759232</v>
      </c>
      <c r="BW15" s="88">
        <f>MAX(AG15,($E15*IF(BW$2&gt;Inputs!$D$5,0,IF(BW$2&gt;VLOOKUP($H15,Lists!$P$3:$Q$7,2),IF($N15=Lists!$K$3,IF($L15&lt;1,(($U15/$L15)*((1+Inputs!$D$7)^BW$2)),((INT(BW$2/$L15)-INT((BW$2-1)/$L15))*$U15*((1+Inputs!$D$7)^BW$2))),(Inputs!$D$8^((1-_xlfn.WEIBULL.DIST(BW$2,$M15,$L15,FALSE))/_xlfn.WEIBULL.DIST(BW$2,$M15,$L15,FALSE))*$U15*((1+Inputs!$D$7)^BW$2))),IF($N15=Lists!$K$3,IF($L15&lt;1,((($T15*(1-$F15)+$S15*(1-$G15))/$L15)*((1+Inputs!$D$7)^BW$2)),((INT(BW$2/$L15)-INT((BW$2-1)/$L15))*($T15*(1-$F15)+$S15*(1-$G15))*((1+Inputs!$D$7)^BW$2))),((Inputs!$D$8^((1-_xlfn.WEIBULL.DIST(BW$2,$M15,$L15,FALSE))/_xlfn.WEIBULL.DIST(BW$2,$M15,$L15,FALSE))*($T15*(1-$F15)+$S15*(1-$G15))*((1+Inputs!$D$7)^BW$2))))))))</f>
        <v>0.54988084711964835</v>
      </c>
      <c r="BX15" s="88">
        <f>MAX(AH15,($E15*IF(BX$2&gt;Inputs!$D$5,0,IF(BX$2&gt;VLOOKUP($H15,Lists!$P$3:$Q$7,2),IF($N15=Lists!$K$3,IF($L15&lt;1,(($U15/$L15)*((1+Inputs!$D$7)^BX$2)),((INT(BX$2/$L15)-INT((BX$2-1)/$L15))*$U15*((1+Inputs!$D$7)^BX$2))),(Inputs!$D$8^((1-_xlfn.WEIBULL.DIST(BX$2,$M15,$L15,FALSE))/_xlfn.WEIBULL.DIST(BX$2,$M15,$L15,FALSE))*$U15*((1+Inputs!$D$7)^BX$2))),IF($N15=Lists!$K$3,IF($L15&lt;1,((($T15*(1-$F15)+$S15*(1-$G15))/$L15)*((1+Inputs!$D$7)^BX$2)),((INT(BX$2/$L15)-INT((BX$2-1)/$L15))*($T15*(1-$F15)+$S15*(1-$G15))*((1+Inputs!$D$7)^BX$2))),((Inputs!$D$8^((1-_xlfn.WEIBULL.DIST(BX$2,$M15,$L15,FALSE))/_xlfn.WEIBULL.DIST(BX$2,$M15,$L15,FALSE))*($T15*(1-$F15)+$S15*(1-$G15))*((1+Inputs!$D$7)^BX$2))))))))</f>
        <v>0.72469510799125758</v>
      </c>
      <c r="BY15" s="88">
        <f>MAX(AI15,($E15*IF(BY$2&gt;Inputs!$D$5,0,IF(BY$2&gt;VLOOKUP($H15,Lists!$P$3:$Q$7,2),IF($N15=Lists!$K$3,IF($L15&lt;1,(($U15/$L15)*((1+Inputs!$D$7)^BY$2)),((INT(BY$2/$L15)-INT((BY$2-1)/$L15))*$U15*((1+Inputs!$D$7)^BY$2))),(Inputs!$D$8^((1-_xlfn.WEIBULL.DIST(BY$2,$M15,$L15,FALSE))/_xlfn.WEIBULL.DIST(BY$2,$M15,$L15,FALSE))*$U15*((1+Inputs!$D$7)^BY$2))),IF($N15=Lists!$K$3,IF($L15&lt;1,((($T15*(1-$F15)+$S15*(1-$G15))/$L15)*((1+Inputs!$D$7)^BY$2)),((INT(BY$2/$L15)-INT((BY$2-1)/$L15))*($T15*(1-$F15)+$S15*(1-$G15))*((1+Inputs!$D$7)^BY$2))),((Inputs!$D$8^((1-_xlfn.WEIBULL.DIST(BY$2,$M15,$L15,FALSE))/_xlfn.WEIBULL.DIST(BY$2,$M15,$L15,FALSE))*($T15*(1-$F15)+$S15*(1-$G15))*((1+Inputs!$D$7)^BY$2))))))))</f>
        <v>0.9226331710058383</v>
      </c>
      <c r="BZ15" s="88">
        <f>MAX(AJ15,($E15*IF(BZ$2&gt;Inputs!$D$5,0,IF(BZ$2&gt;VLOOKUP($H15,Lists!$P$3:$Q$7,2),IF($N15=Lists!$K$3,IF($L15&lt;1,(($U15/$L15)*((1+Inputs!$D$7)^BZ$2)),((INT(BZ$2/$L15)-INT((BZ$2-1)/$L15))*$U15*((1+Inputs!$D$7)^BZ$2))),(Inputs!$D$8^((1-_xlfn.WEIBULL.DIST(BZ$2,$M15,$L15,FALSE))/_xlfn.WEIBULL.DIST(BZ$2,$M15,$L15,FALSE))*$U15*((1+Inputs!$D$7)^BZ$2))),IF($N15=Lists!$K$3,IF($L15&lt;1,((($T15*(1-$F15)+$S15*(1-$G15))/$L15)*((1+Inputs!$D$7)^BZ$2)),((INT(BZ$2/$L15)-INT((BZ$2-1)/$L15))*($T15*(1-$F15)+$S15*(1-$G15))*((1+Inputs!$D$7)^BZ$2))),((Inputs!$D$8^((1-_xlfn.WEIBULL.DIST(BZ$2,$M15,$L15,FALSE))/_xlfn.WEIBULL.DIST(BZ$2,$M15,$L15,FALSE))*($T15*(1-$F15)+$S15*(1-$G15))*((1+Inputs!$D$7)^BZ$2))))))))</f>
        <v>1.1418572505925051</v>
      </c>
      <c r="CA15" s="88">
        <f>MAX(AK15,($E15*IF(CA$2&gt;Inputs!$D$5,0,IF(CA$2&gt;VLOOKUP($H15,Lists!$P$3:$Q$7,2),IF($N15=Lists!$K$3,IF($L15&lt;1,(($U15/$L15)*((1+Inputs!$D$7)^CA$2)),((INT(CA$2/$L15)-INT((CA$2-1)/$L15))*$U15*((1+Inputs!$D$7)^CA$2))),(Inputs!$D$8^((1-_xlfn.WEIBULL.DIST(CA$2,$M15,$L15,FALSE))/_xlfn.WEIBULL.DIST(CA$2,$M15,$L15,FALSE))*$U15*((1+Inputs!$D$7)^CA$2))),IF($N15=Lists!$K$3,IF($L15&lt;1,((($T15*(1-$F15)+$S15*(1-$G15))/$L15)*((1+Inputs!$D$7)^CA$2)),((INT(CA$2/$L15)-INT((CA$2-1)/$L15))*($T15*(1-$F15)+$S15*(1-$G15))*((1+Inputs!$D$7)^CA$2))),((Inputs!$D$8^((1-_xlfn.WEIBULL.DIST(CA$2,$M15,$L15,FALSE))/_xlfn.WEIBULL.DIST(CA$2,$M15,$L15,FALSE))*($T15*(1-$F15)+$S15*(1-$G15))*((1+Inputs!$D$7)^CA$2))))))))</f>
        <v>1.4112401360233924</v>
      </c>
      <c r="CB15" s="88">
        <f>MAX(AL15,($E15*IF(CB$2&gt;Inputs!$D$5,0,IF(CB$2&gt;VLOOKUP($H15,Lists!$P$3:$Q$7,2),IF($N15=Lists!$K$3,IF($L15&lt;1,(($U15/$L15)*((1+Inputs!$D$7)^CB$2)),((INT(CB$2/$L15)-INT((CB$2-1)/$L15))*$U15*((1+Inputs!$D$7)^CB$2))),(Inputs!$D$8^((1-_xlfn.WEIBULL.DIST(CB$2,$M15,$L15,FALSE))/_xlfn.WEIBULL.DIST(CB$2,$M15,$L15,FALSE))*$U15*((1+Inputs!$D$7)^CB$2))),IF($N15=Lists!$K$3,IF($L15&lt;1,((($T15*(1-$F15)+$S15*(1-$G15))/$L15)*((1+Inputs!$D$7)^CB$2)),((INT(CB$2/$L15)-INT((CB$2-1)/$L15))*($T15*(1-$F15)+$S15*(1-$G15))*((1+Inputs!$D$7)^CB$2))),((Inputs!$D$8^((1-_xlfn.WEIBULL.DIST(CB$2,$M15,$L15,FALSE))/_xlfn.WEIBULL.DIST(CB$2,$M15,$L15,FALSE))*($T15*(1-$F15)+$S15*(1-$G15))*((1+Inputs!$D$7)^CB$2))))))))</f>
        <v>2.4694412062738467</v>
      </c>
      <c r="CC15" s="88">
        <f>MAX(AM15,($E15*IF(CC$2&gt;Inputs!$D$5,0,IF(CC$2&gt;VLOOKUP($H15,Lists!$P$3:$Q$7,2),IF($N15=Lists!$K$3,IF($L15&lt;1,(($U15/$L15)*((1+Inputs!$D$7)^CC$2)),((INT(CC$2/$L15)-INT((CC$2-1)/$L15))*$U15*((1+Inputs!$D$7)^CC$2))),(Inputs!$D$8^((1-_xlfn.WEIBULL.DIST(CC$2,$M15,$L15,FALSE))/_xlfn.WEIBULL.DIST(CC$2,$M15,$L15,FALSE))*$U15*((1+Inputs!$D$7)^CC$2))),IF($N15=Lists!$K$3,IF($L15&lt;1,((($T15*(1-$F15)+$S15*(1-$G15))/$L15)*((1+Inputs!$D$7)^CC$2)),((INT(CC$2/$L15)-INT((CC$2-1)/$L15))*($T15*(1-$F15)+$S15*(1-$G15))*((1+Inputs!$D$7)^CC$2))),((Inputs!$D$8^((1-_xlfn.WEIBULL.DIST(CC$2,$M15,$L15,FALSE))/_xlfn.WEIBULL.DIST(CC$2,$M15,$L15,FALSE))*($T15*(1-$F15)+$S15*(1-$G15))*((1+Inputs!$D$7)^CC$2))))))))</f>
        <v>3.7986088071280921</v>
      </c>
      <c r="CD15" s="88">
        <f>MAX(AN15,($E15*IF(CD$2&gt;Inputs!$D$5,0,IF(CD$2&gt;VLOOKUP($H15,Lists!$P$3:$Q$7,2),IF($N15=Lists!$K$3,IF($L15&lt;1,(($U15/$L15)*((1+Inputs!$D$7)^CD$2)),((INT(CD$2/$L15)-INT((CD$2-1)/$L15))*$U15*((1+Inputs!$D$7)^CD$2))),(Inputs!$D$8^((1-_xlfn.WEIBULL.DIST(CD$2,$M15,$L15,FALSE))/_xlfn.WEIBULL.DIST(CD$2,$M15,$L15,FALSE))*$U15*((1+Inputs!$D$7)^CD$2))),IF($N15=Lists!$K$3,IF($L15&lt;1,((($T15*(1-$F15)+$S15*(1-$G15))/$L15)*((1+Inputs!$D$7)^CD$2)),((INT(CD$2/$L15)-INT((CD$2-1)/$L15))*($T15*(1-$F15)+$S15*(1-$G15))*((1+Inputs!$D$7)^CD$2))),((Inputs!$D$8^((1-_xlfn.WEIBULL.DIST(CD$2,$M15,$L15,FALSE))/_xlfn.WEIBULL.DIST(CD$2,$M15,$L15,FALSE))*($T15*(1-$F15)+$S15*(1-$G15))*((1+Inputs!$D$7)^CD$2))))))))</f>
        <v>5.3175375935374252</v>
      </c>
      <c r="CE15" s="88">
        <f>MAX(AO15,($E15*IF(CE$2&gt;Inputs!$D$5,0,IF(CE$2&gt;VLOOKUP($H15,Lists!$P$3:$Q$7,2),IF($N15=Lists!$K$3,IF($L15&lt;1,(($U15/$L15)*((1+Inputs!$D$7)^CE$2)),((INT(CE$2/$L15)-INT((CE$2-1)/$L15))*$U15*((1+Inputs!$D$7)^CE$2))),(Inputs!$D$8^((1-_xlfn.WEIBULL.DIST(CE$2,$M15,$L15,FALSE))/_xlfn.WEIBULL.DIST(CE$2,$M15,$L15,FALSE))*$U15*((1+Inputs!$D$7)^CE$2))),IF($N15=Lists!$K$3,IF($L15&lt;1,((($T15*(1-$F15)+$S15*(1-$G15))/$L15)*((1+Inputs!$D$7)^CE$2)),((INT(CE$2/$L15)-INT((CE$2-1)/$L15))*($T15*(1-$F15)+$S15*(1-$G15))*((1+Inputs!$D$7)^CE$2))),((Inputs!$D$8^((1-_xlfn.WEIBULL.DIST(CE$2,$M15,$L15,FALSE))/_xlfn.WEIBULL.DIST(CE$2,$M15,$L15,FALSE))*($T15*(1-$F15)+$S15*(1-$G15))*((1+Inputs!$D$7)^CE$2))))))))</f>
        <v>6.9337938560770089</v>
      </c>
      <c r="CF15" s="88">
        <f>MAX(AP15,($E15*IF(CF$2&gt;Inputs!$D$5,0,IF(CF$2&gt;VLOOKUP($H15,Lists!$P$3:$Q$7,2),IF($N15=Lists!$K$3,IF($L15&lt;1,(($U15/$L15)*((1+Inputs!$D$7)^CF$2)),((INT(CF$2/$L15)-INT((CF$2-1)/$L15))*$U15*((1+Inputs!$D$7)^CF$2))),(Inputs!$D$8^((1-_xlfn.WEIBULL.DIST(CF$2,$M15,$L15,FALSE))/_xlfn.WEIBULL.DIST(CF$2,$M15,$L15,FALSE))*$U15*((1+Inputs!$D$7)^CF$2))),IF($N15=Lists!$K$3,IF($L15&lt;1,((($T15*(1-$F15)+$S15*(1-$G15))/$L15)*((1+Inputs!$D$7)^CF$2)),((INT(CF$2/$L15)-INT((CF$2-1)/$L15))*($T15*(1-$F15)+$S15*(1-$G15))*((1+Inputs!$D$7)^CF$2))),((Inputs!$D$8^((1-_xlfn.WEIBULL.DIST(CF$2,$M15,$L15,FALSE))/_xlfn.WEIBULL.DIST(CF$2,$M15,$L15,FALSE))*($T15*(1-$F15)+$S15*(1-$G15))*((1+Inputs!$D$7)^CF$2))))))))</f>
        <v>8.5579446299787243</v>
      </c>
      <c r="CG15" s="88">
        <f>MAX(AQ15,($E15*IF(CG$2&gt;Inputs!$D$5,0,IF(CG$2&gt;VLOOKUP($H15,Lists!$P$3:$Q$7,2),IF($N15=Lists!$K$3,IF($L15&lt;1,(($U15/$L15)*((1+Inputs!$D$7)^CG$2)),((INT(CG$2/$L15)-INT((CG$2-1)/$L15))*$U15*((1+Inputs!$D$7)^CG$2))),(Inputs!$D$8^((1-_xlfn.WEIBULL.DIST(CG$2,$M15,$L15,FALSE))/_xlfn.WEIBULL.DIST(CG$2,$M15,$L15,FALSE))*$U15*((1+Inputs!$D$7)^CG$2))),IF($N15=Lists!$K$3,IF($L15&lt;1,((($T15*(1-$F15)+$S15*(1-$G15))/$L15)*((1+Inputs!$D$7)^CG$2)),((INT(CG$2/$L15)-INT((CG$2-1)/$L15))*($T15*(1-$F15)+$S15*(1-$G15))*((1+Inputs!$D$7)^CG$2))),((Inputs!$D$8^((1-_xlfn.WEIBULL.DIST(CG$2,$M15,$L15,FALSE))/_xlfn.WEIBULL.DIST(CG$2,$M15,$L15,FALSE))*($T15*(1-$F15)+$S15*(1-$G15))*((1+Inputs!$D$7)^CG$2))))))))</f>
        <v>10.110624660141072</v>
      </c>
      <c r="CH15" s="88">
        <f>MAX(AR15,($E15*IF(CH$2&gt;Inputs!$D$5,0,IF(CH$2&gt;VLOOKUP($H15,Lists!$P$3:$Q$7,2),IF($N15=Lists!$K$3,IF($L15&lt;1,(($U15/$L15)*((1+Inputs!$D$7)^CH$2)),((INT(CH$2/$L15)-INT((CH$2-1)/$L15))*$U15*((1+Inputs!$D$7)^CH$2))),(Inputs!$D$8^((1-_xlfn.WEIBULL.DIST(CH$2,$M15,$L15,FALSE))/_xlfn.WEIBULL.DIST(CH$2,$M15,$L15,FALSE))*$U15*((1+Inputs!$D$7)^CH$2))),IF($N15=Lists!$K$3,IF($L15&lt;1,((($T15*(1-$F15)+$S15*(1-$G15))/$L15)*((1+Inputs!$D$7)^CH$2)),((INT(CH$2/$L15)-INT((CH$2-1)/$L15))*($T15*(1-$F15)+$S15*(1-$G15))*((1+Inputs!$D$7)^CH$2))),((Inputs!$D$8^((1-_xlfn.WEIBULL.DIST(CH$2,$M15,$L15,FALSE))/_xlfn.WEIBULL.DIST(CH$2,$M15,$L15,FALSE))*($T15*(1-$F15)+$S15*(1-$G15))*((1+Inputs!$D$7)^CH$2))))))))</f>
        <v>11.52471297368626</v>
      </c>
      <c r="CI15" s="88">
        <f>MAX(AS15,($E15*IF(CI$2&gt;Inputs!$D$5,0,IF(CI$2&gt;VLOOKUP($H15,Lists!$P$3:$Q$7,2),IF($N15=Lists!$K$3,IF($L15&lt;1,(($U15/$L15)*((1+Inputs!$D$7)^CI$2)),((INT(CI$2/$L15)-INT((CI$2-1)/$L15))*$U15*((1+Inputs!$D$7)^CI$2))),(Inputs!$D$8^((1-_xlfn.WEIBULL.DIST(CI$2,$M15,$L15,FALSE))/_xlfn.WEIBULL.DIST(CI$2,$M15,$L15,FALSE))*$U15*((1+Inputs!$D$7)^CI$2))),IF($N15=Lists!$K$3,IF($L15&lt;1,((($T15*(1-$F15)+$S15*(1-$G15))/$L15)*((1+Inputs!$D$7)^CI$2)),((INT(CI$2/$L15)-INT((CI$2-1)/$L15))*($T15*(1-$F15)+$S15*(1-$G15))*((1+Inputs!$D$7)^CI$2))),((Inputs!$D$8^((1-_xlfn.WEIBULL.DIST(CI$2,$M15,$L15,FALSE))/_xlfn.WEIBULL.DIST(CI$2,$M15,$L15,FALSE))*($T15*(1-$F15)+$S15*(1-$G15))*((1+Inputs!$D$7)^CI$2))))))))</f>
        <v>12.744854262941452</v>
      </c>
      <c r="CJ15" s="88">
        <f>MAX(AT15,($E15*IF(CJ$2&gt;Inputs!$D$5,0,IF(CJ$2&gt;VLOOKUP($H15,Lists!$P$3:$Q$7,2),IF($N15=Lists!$K$3,IF($L15&lt;1,(($U15/$L15)*((1+Inputs!$D$7)^CJ$2)),((INT(CJ$2/$L15)-INT((CJ$2-1)/$L15))*$U15*((1+Inputs!$D$7)^CJ$2))),(Inputs!$D$8^((1-_xlfn.WEIBULL.DIST(CJ$2,$M15,$L15,FALSE))/_xlfn.WEIBULL.DIST(CJ$2,$M15,$L15,FALSE))*$U15*((1+Inputs!$D$7)^CJ$2))),IF($N15=Lists!$K$3,IF($L15&lt;1,((($T15*(1-$F15)+$S15*(1-$G15))/$L15)*((1+Inputs!$D$7)^CJ$2)),((INT(CJ$2/$L15)-INT((CJ$2-1)/$L15))*($T15*(1-$F15)+$S15*(1-$G15))*((1+Inputs!$D$7)^CJ$2))),((Inputs!$D$8^((1-_xlfn.WEIBULL.DIST(CJ$2,$M15,$L15,FALSE))/_xlfn.WEIBULL.DIST(CJ$2,$M15,$L15,FALSE))*($T15*(1-$F15)+$S15*(1-$G15))*((1+Inputs!$D$7)^CJ$2))))))))</f>
        <v>13.725919583832928</v>
      </c>
      <c r="CK15" s="88">
        <f>MAX(AU15,($E15*IF(CK$2&gt;Inputs!$D$5,0,IF(CK$2&gt;VLOOKUP($H15,Lists!$P$3:$Q$7,2),IF($N15=Lists!$K$3,IF($L15&lt;1,(($U15/$L15)*((1+Inputs!$D$7)^CK$2)),((INT(CK$2/$L15)-INT((CK$2-1)/$L15))*$U15*((1+Inputs!$D$7)^CK$2))),(Inputs!$D$8^((1-_xlfn.WEIBULL.DIST(CK$2,$M15,$L15,FALSE))/_xlfn.WEIBULL.DIST(CK$2,$M15,$L15,FALSE))*$U15*((1+Inputs!$D$7)^CK$2))),IF($N15=Lists!$K$3,IF($L15&lt;1,((($T15*(1-$F15)+$S15*(1-$G15))/$L15)*((1+Inputs!$D$7)^CK$2)),((INT(CK$2/$L15)-INT((CK$2-1)/$L15))*($T15*(1-$F15)+$S15*(1-$G15))*((1+Inputs!$D$7)^CK$2))),((Inputs!$D$8^((1-_xlfn.WEIBULL.DIST(CK$2,$M15,$L15,FALSE))/_xlfn.WEIBULL.DIST(CK$2,$M15,$L15,FALSE))*($T15*(1-$F15)+$S15*(1-$G15))*((1+Inputs!$D$7)^CK$2))))))))</f>
        <v>14.431388888910243</v>
      </c>
      <c r="CL15" s="88">
        <f>MAX(AV15,($E15*IF(CL$2&gt;Inputs!$D$5,0,IF(CL$2&gt;VLOOKUP($H15,Lists!$P$3:$Q$7,2),IF($N15=Lists!$K$3,IF($L15&lt;1,(($U15/$L15)*((1+Inputs!$D$7)^CL$2)),((INT(CL$2/$L15)-INT((CL$2-1)/$L15))*$U15*((1+Inputs!$D$7)^CL$2))),(Inputs!$D$8^((1-_xlfn.WEIBULL.DIST(CL$2,$M15,$L15,FALSE))/_xlfn.WEIBULL.DIST(CL$2,$M15,$L15,FALSE))*$U15*((1+Inputs!$D$7)^CL$2))),IF($N15=Lists!$K$3,IF($L15&lt;1,((($T15*(1-$F15)+$S15*(1-$G15))/$L15)*((1+Inputs!$D$7)^CL$2)),((INT(CL$2/$L15)-INT((CL$2-1)/$L15))*($T15*(1-$F15)+$S15*(1-$G15))*((1+Inputs!$D$7)^CL$2))),((Inputs!$D$8^((1-_xlfn.WEIBULL.DIST(CL$2,$M15,$L15,FALSE))/_xlfn.WEIBULL.DIST(CL$2,$M15,$L15,FALSE))*($T15*(1-$F15)+$S15*(1-$G15))*((1+Inputs!$D$7)^CL$2))))))))</f>
        <v>14.832219516953874</v>
      </c>
      <c r="CM15" s="88">
        <f>MAX(AW15,($E15*IF(CM$2&gt;Inputs!$D$5,0,IF(CM$2&gt;VLOOKUP($H15,Lists!$P$3:$Q$7,2),IF($N15=Lists!$K$3,IF($L15&lt;1,(($U15/$L15)*((1+Inputs!$D$7)^CM$2)),((INT(CM$2/$L15)-INT((CM$2-1)/$L15))*$U15*((1+Inputs!$D$7)^CM$2))),(Inputs!$D$8^((1-_xlfn.WEIBULL.DIST(CM$2,$M15,$L15,FALSE))/_xlfn.WEIBULL.DIST(CM$2,$M15,$L15,FALSE))*$U15*((1+Inputs!$D$7)^CM$2))),IF($N15=Lists!$K$3,IF($L15&lt;1,((($T15*(1-$F15)+$S15*(1-$G15))/$L15)*((1+Inputs!$D$7)^CM$2)),((INT(CM$2/$L15)-INT((CM$2-1)/$L15))*($T15*(1-$F15)+$S15*(1-$G15))*((1+Inputs!$D$7)^CM$2))),((Inputs!$D$8^((1-_xlfn.WEIBULL.DIST(CM$2,$M15,$L15,FALSE))/_xlfn.WEIBULL.DIST(CM$2,$M15,$L15,FALSE))*($T15*(1-$F15)+$S15*(1-$G15))*((1+Inputs!$D$7)^CM$2))))))))</f>
        <v>14.906525152423868</v>
      </c>
      <c r="CN15" s="88">
        <f>MAX(AX15,($E15*IF(CN$2&gt;Inputs!$D$5,0,IF(CN$2&gt;VLOOKUP($H15,Lists!$P$3:$Q$7,2),IF($N15=Lists!$K$3,IF($L15&lt;1,(($U15/$L15)*((1+Inputs!$D$7)^CN$2)),((INT(CN$2/$L15)-INT((CN$2-1)/$L15))*$U15*((1+Inputs!$D$7)^CN$2))),(Inputs!$D$8^((1-_xlfn.WEIBULL.DIST(CN$2,$M15,$L15,FALSE))/_xlfn.WEIBULL.DIST(CN$2,$M15,$L15,FALSE))*$U15*((1+Inputs!$D$7)^CN$2))),IF($N15=Lists!$K$3,IF($L15&lt;1,((($T15*(1-$F15)+$S15*(1-$G15))/$L15)*((1+Inputs!$D$7)^CN$2)),((INT(CN$2/$L15)-INT((CN$2-1)/$L15))*($T15*(1-$F15)+$S15*(1-$G15))*((1+Inputs!$D$7)^CN$2))),((Inputs!$D$8^((1-_xlfn.WEIBULL.DIST(CN$2,$M15,$L15,FALSE))/_xlfn.WEIBULL.DIST(CN$2,$M15,$L15,FALSE))*($T15*(1-$F15)+$S15*(1-$G15))*((1+Inputs!$D$7)^CN$2))))))))</f>
        <v>14.640267050229784</v>
      </c>
      <c r="CO15" s="88">
        <f>MAX(AY15,($E15*IF(CO$2&gt;Inputs!$D$5,0,IF(CO$2&gt;VLOOKUP($H15,Lists!$P$3:$Q$7,2),IF($N15=Lists!$K$3,IF($L15&lt;1,(($U15/$L15)*((1+Inputs!$D$7)^CO$2)),((INT(CO$2/$L15)-INT((CO$2-1)/$L15))*$U15*((1+Inputs!$D$7)^CO$2))),(Inputs!$D$8^((1-_xlfn.WEIBULL.DIST(CO$2,$M15,$L15,FALSE))/_xlfn.WEIBULL.DIST(CO$2,$M15,$L15,FALSE))*$U15*((1+Inputs!$D$7)^CO$2))),IF($N15=Lists!$K$3,IF($L15&lt;1,((($T15*(1-$F15)+$S15*(1-$G15))/$L15)*((1+Inputs!$D$7)^CO$2)),((INT(CO$2/$L15)-INT((CO$2-1)/$L15))*($T15*(1-$F15)+$S15*(1-$G15))*((1+Inputs!$D$7)^CO$2))),((Inputs!$D$8^((1-_xlfn.WEIBULL.DIST(CO$2,$M15,$L15,FALSE))/_xlfn.WEIBULL.DIST(CO$2,$M15,$L15,FALSE))*($T15*(1-$F15)+$S15*(1-$G15))*((1+Inputs!$D$7)^CO$2))))))))</f>
        <v>14.029087491811977</v>
      </c>
      <c r="CP15" s="88">
        <f>MAX(AZ15,($E15*IF(CP$2&gt;Inputs!$D$5,0,IF(CP$2&gt;VLOOKUP($H15,Lists!$P$3:$Q$7,2),IF($N15=Lists!$K$3,IF($L15&lt;1,(($U15/$L15)*((1+Inputs!$D$7)^CP$2)),((INT(CP$2/$L15)-INT((CP$2-1)/$L15))*$U15*((1+Inputs!$D$7)^CP$2))),(Inputs!$D$8^((1-_xlfn.WEIBULL.DIST(CP$2,$M15,$L15,FALSE))/_xlfn.WEIBULL.DIST(CP$2,$M15,$L15,FALSE))*$U15*((1+Inputs!$D$7)^CP$2))),IF($N15=Lists!$K$3,IF($L15&lt;1,((($T15*(1-$F15)+$S15*(1-$G15))/$L15)*((1+Inputs!$D$7)^CP$2)),((INT(CP$2/$L15)-INT((CP$2-1)/$L15))*($T15*(1-$F15)+$S15*(1-$G15))*((1+Inputs!$D$7)^CP$2))),((Inputs!$D$8^((1-_xlfn.WEIBULL.DIST(CP$2,$M15,$L15,FALSE))/_xlfn.WEIBULL.DIST(CP$2,$M15,$L15,FALSE))*($T15*(1-$F15)+$S15*(1-$G15))*((1+Inputs!$D$7)^CP$2))))))))</f>
        <v>0</v>
      </c>
      <c r="CQ15" s="88">
        <f>MAX(BA15,($E15*IF(CQ$2&gt;Inputs!$D$5,0,IF(CQ$2&gt;VLOOKUP($H15,Lists!$P$3:$Q$7,2),IF($N15=Lists!$K$3,IF($L15&lt;1,(($U15/$L15)*((1+Inputs!$D$7)^CQ$2)),((INT(CQ$2/$L15)-INT((CQ$2-1)/$L15))*$U15*((1+Inputs!$D$7)^CQ$2))),(Inputs!$D$8^((1-_xlfn.WEIBULL.DIST(CQ$2,$M15,$L15,FALSE))/_xlfn.WEIBULL.DIST(CQ$2,$M15,$L15,FALSE))*$U15*((1+Inputs!$D$7)^CQ$2))),IF($N15=Lists!$K$3,IF($L15&lt;1,((($T15*(1-$F15)+$S15*(1-$G15))/$L15)*((1+Inputs!$D$7)^CQ$2)),((INT(CQ$2/$L15)-INT((CQ$2-1)/$L15))*($T15*(1-$F15)+$S15*(1-$G15))*((1+Inputs!$D$7)^CQ$2))),((Inputs!$D$8^((1-_xlfn.WEIBULL.DIST(CQ$2,$M15,$L15,FALSE))/_xlfn.WEIBULL.DIST(CQ$2,$M15,$L15,FALSE))*($T15*(1-$F15)+$S15*(1-$G15))*((1+Inputs!$D$7)^CQ$2))))))))</f>
        <v>0</v>
      </c>
      <c r="CR15" s="88">
        <f>MAX(BB15,($E15*IF(CR$2&gt;Inputs!$D$5,0,IF(CR$2&gt;VLOOKUP($H15,Lists!$P$3:$Q$7,2),IF($N15=Lists!$K$3,IF($L15&lt;1,(($U15/$L15)*((1+Inputs!$D$7)^CR$2)),((INT(CR$2/$L15)-INT((CR$2-1)/$L15))*$U15*((1+Inputs!$D$7)^CR$2))),(Inputs!$D$8^((1-_xlfn.WEIBULL.DIST(CR$2,$M15,$L15,FALSE))/_xlfn.WEIBULL.DIST(CR$2,$M15,$L15,FALSE))*$U15*((1+Inputs!$D$7)^CR$2))),IF($N15=Lists!$K$3,IF($L15&lt;1,((($T15*(1-$F15)+$S15*(1-$G15))/$L15)*((1+Inputs!$D$7)^CR$2)),((INT(CR$2/$L15)-INT((CR$2-1)/$L15))*($T15*(1-$F15)+$S15*(1-$G15))*((1+Inputs!$D$7)^CR$2))),((Inputs!$D$8^((1-_xlfn.WEIBULL.DIST(CR$2,$M15,$L15,FALSE))/_xlfn.WEIBULL.DIST(CR$2,$M15,$L15,FALSE))*($T15*(1-$F15)+$S15*(1-$G15))*((1+Inputs!$D$7)^CR$2))))))))</f>
        <v>0</v>
      </c>
      <c r="CS15" s="88">
        <f>MAX(BC15,($E15*IF(CS$2&gt;Inputs!$D$5,0,IF(CS$2&gt;VLOOKUP($H15,Lists!$P$3:$Q$7,2),IF($N15=Lists!$K$3,IF($L15&lt;1,(($U15/$L15)*((1+Inputs!$D$7)^CS$2)),((INT(CS$2/$L15)-INT((CS$2-1)/$L15))*$U15*((1+Inputs!$D$7)^CS$2))),(Inputs!$D$8^((1-_xlfn.WEIBULL.DIST(CS$2,$M15,$L15,FALSE))/_xlfn.WEIBULL.DIST(CS$2,$M15,$L15,FALSE))*$U15*((1+Inputs!$D$7)^CS$2))),IF($N15=Lists!$K$3,IF($L15&lt;1,((($T15*(1-$F15)+$S15*(1-$G15))/$L15)*((1+Inputs!$D$7)^CS$2)),((INT(CS$2/$L15)-INT((CS$2-1)/$L15))*($T15*(1-$F15)+$S15*(1-$G15))*((1+Inputs!$D$7)^CS$2))),((Inputs!$D$8^((1-_xlfn.WEIBULL.DIST(CS$2,$M15,$L15,FALSE))/_xlfn.WEIBULL.DIST(CS$2,$M15,$L15,FALSE))*($T15*(1-$F15)+$S15*(1-$G15))*((1+Inputs!$D$7)^CS$2))))))))</f>
        <v>0</v>
      </c>
      <c r="CT15" s="88">
        <f>MAX(BD15,($E15*IF(CT$2&gt;Inputs!$D$5,0,IF(CT$2&gt;VLOOKUP($H15,Lists!$P$3:$Q$7,2),IF($N15=Lists!$K$3,IF($L15&lt;1,(($U15/$L15)*((1+Inputs!$D$7)^CT$2)),((INT(CT$2/$L15)-INT((CT$2-1)/$L15))*$U15*((1+Inputs!$D$7)^CT$2))),(Inputs!$D$8^((1-_xlfn.WEIBULL.DIST(CT$2,$M15,$L15,FALSE))/_xlfn.WEIBULL.DIST(CT$2,$M15,$L15,FALSE))*$U15*((1+Inputs!$D$7)^CT$2))),IF($N15=Lists!$K$3,IF($L15&lt;1,((($T15*(1-$F15)+$S15*(1-$G15))/$L15)*((1+Inputs!$D$7)^CT$2)),((INT(CT$2/$L15)-INT((CT$2-1)/$L15))*($T15*(1-$F15)+$S15*(1-$G15))*((1+Inputs!$D$7)^CT$2))),((Inputs!$D$8^((1-_xlfn.WEIBULL.DIST(CT$2,$M15,$L15,FALSE))/_xlfn.WEIBULL.DIST(CT$2,$M15,$L15,FALSE))*($T15*(1-$F15)+$S15*(1-$G15))*((1+Inputs!$D$7)^CT$2))))))))</f>
        <v>0</v>
      </c>
      <c r="CU15" s="88">
        <f>MAX(BE15,($E15*IF(CU$2&gt;Inputs!$D$5,0,IF(CU$2&gt;VLOOKUP($H15,Lists!$P$3:$Q$7,2),IF($N15=Lists!$K$3,IF($L15&lt;1,(($U15/$L15)*((1+Inputs!$D$7)^CU$2)),((INT(CU$2/$L15)-INT((CU$2-1)/$L15))*$U15*((1+Inputs!$D$7)^CU$2))),(Inputs!$D$8^((1-_xlfn.WEIBULL.DIST(CU$2,$M15,$L15,FALSE))/_xlfn.WEIBULL.DIST(CU$2,$M15,$L15,FALSE))*$U15*((1+Inputs!$D$7)^CU$2))),IF($N15=Lists!$K$3,IF($L15&lt;1,((($T15*(1-$F15)+$S15*(1-$G15))/$L15)*((1+Inputs!$D$7)^CU$2)),((INT(CU$2/$L15)-INT((CU$2-1)/$L15))*($T15*(1-$F15)+$S15*(1-$G15))*((1+Inputs!$D$7)^CU$2))),((Inputs!$D$8^((1-_xlfn.WEIBULL.DIST(CU$2,$M15,$L15,FALSE))/_xlfn.WEIBULL.DIST(CU$2,$M15,$L15,FALSE))*($T15*(1-$F15)+$S15*(1-$G15))*((1+Inputs!$D$7)^CU$2))))))))</f>
        <v>0</v>
      </c>
      <c r="CV15" s="88">
        <f>MAX(BF15,($E15*IF(CV$2&gt;Inputs!$D$5,0,IF(CV$2&gt;VLOOKUP($H15,Lists!$P$3:$Q$7,2),IF($N15=Lists!$K$3,IF($L15&lt;1,(($U15/$L15)*((1+Inputs!$D$7)^CV$2)),((INT(CV$2/$L15)-INT((CV$2-1)/$L15))*$U15*((1+Inputs!$D$7)^CV$2))),(Inputs!$D$8^((1-_xlfn.WEIBULL.DIST(CV$2,$M15,$L15,FALSE))/_xlfn.WEIBULL.DIST(CV$2,$M15,$L15,FALSE))*$U15*((1+Inputs!$D$7)^CV$2))),IF($N15=Lists!$K$3,IF($L15&lt;1,((($T15*(1-$F15)+$S15*(1-$G15))/$L15)*((1+Inputs!$D$7)^CV$2)),((INT(CV$2/$L15)-INT((CV$2-1)/$L15))*($T15*(1-$F15)+$S15*(1-$G15))*((1+Inputs!$D$7)^CV$2))),((Inputs!$D$8^((1-_xlfn.WEIBULL.DIST(CV$2,$M15,$L15,FALSE))/_xlfn.WEIBULL.DIST(CV$2,$M15,$L15,FALSE))*($T15*(1-$F15)+$S15*(1-$G15))*((1+Inputs!$D$7)^CV$2))))))))</f>
        <v>0</v>
      </c>
      <c r="CW15" s="88">
        <f>MAX(BG15,($E15*IF(CW$2&gt;Inputs!$D$5,0,IF(CW$2&gt;VLOOKUP($H15,Lists!$P$3:$Q$7,2),IF($N15=Lists!$K$3,IF($L15&lt;1,(($U15/$L15)*((1+Inputs!$D$7)^CW$2)),((INT(CW$2/$L15)-INT((CW$2-1)/$L15))*$U15*((1+Inputs!$D$7)^CW$2))),(Inputs!$D$8^((1-_xlfn.WEIBULL.DIST(CW$2,$M15,$L15,FALSE))/_xlfn.WEIBULL.DIST(CW$2,$M15,$L15,FALSE))*$U15*((1+Inputs!$D$7)^CW$2))),IF($N15=Lists!$K$3,IF($L15&lt;1,((($T15*(1-$F15)+$S15*(1-$G15))/$L15)*((1+Inputs!$D$7)^CW$2)),((INT(CW$2/$L15)-INT((CW$2-1)/$L15))*($T15*(1-$F15)+$S15*(1-$G15))*((1+Inputs!$D$7)^CW$2))),((Inputs!$D$8^((1-_xlfn.WEIBULL.DIST(CW$2,$M15,$L15,FALSE))/_xlfn.WEIBULL.DIST(CW$2,$M15,$L15,FALSE))*($T15*(1-$F15)+$S15*(1-$G15))*((1+Inputs!$D$7)^CW$2))))))))</f>
        <v>0</v>
      </c>
      <c r="CX15" s="88">
        <f>MAX(BH15,($E15*IF(CX$2&gt;Inputs!$D$5,0,IF(CX$2&gt;VLOOKUP($H15,Lists!$P$3:$Q$7,2),IF($N15=Lists!$K$3,IF($L15&lt;1,(($U15/$L15)*((1+Inputs!$D$7)^CX$2)),((INT(CX$2/$L15)-INT((CX$2-1)/$L15))*$U15*((1+Inputs!$D$7)^CX$2))),(Inputs!$D$8^((1-_xlfn.WEIBULL.DIST(CX$2,$M15,$L15,FALSE))/_xlfn.WEIBULL.DIST(CX$2,$M15,$L15,FALSE))*$U15*((1+Inputs!$D$7)^CX$2))),IF($N15=Lists!$K$3,IF($L15&lt;1,((($T15*(1-$F15)+$S15*(1-$G15))/$L15)*((1+Inputs!$D$7)^CX$2)),((INT(CX$2/$L15)-INT((CX$2-1)/$L15))*($T15*(1-$F15)+$S15*(1-$G15))*((1+Inputs!$D$7)^CX$2))),((Inputs!$D$8^((1-_xlfn.WEIBULL.DIST(CX$2,$M15,$L15,FALSE))/_xlfn.WEIBULL.DIST(CX$2,$M15,$L15,FALSE))*($T15*(1-$F15)+$S15*(1-$G15))*((1+Inputs!$D$7)^CX$2))))))))</f>
        <v>0</v>
      </c>
      <c r="CY15" s="88">
        <f>MAX(BI15,($E15*IF(CY$2&gt;Inputs!$D$5,0,IF(CY$2&gt;VLOOKUP($H15,Lists!$P$3:$Q$7,2),IF($N15=Lists!$K$3,IF($L15&lt;1,(($U15/$L15)*((1+Inputs!$D$7)^CY$2)),((INT(CY$2/$L15)-INT((CY$2-1)/$L15))*$U15*((1+Inputs!$D$7)^CY$2))),(Inputs!$D$8^((1-_xlfn.WEIBULL.DIST(CY$2,$M15,$L15,FALSE))/_xlfn.WEIBULL.DIST(CY$2,$M15,$L15,FALSE))*$U15*((1+Inputs!$D$7)^CY$2))),IF($N15=Lists!$K$3,IF($L15&lt;1,((($T15*(1-$F15)+$S15*(1-$G15))/$L15)*((1+Inputs!$D$7)^CY$2)),((INT(CY$2/$L15)-INT((CY$2-1)/$L15))*($T15*(1-$F15)+$S15*(1-$G15))*((1+Inputs!$D$7)^CY$2))),((Inputs!$D$8^((1-_xlfn.WEIBULL.DIST(CY$2,$M15,$L15,FALSE))/_xlfn.WEIBULL.DIST(CY$2,$M15,$L15,FALSE))*($T15*(1-$F15)+$S15*(1-$G15))*((1+Inputs!$D$7)^CY$2))))))))</f>
        <v>0</v>
      </c>
      <c r="CZ15" s="88">
        <f>MAX(BJ15,($E15*IF(CZ$2&gt;Inputs!$D$5,0,IF(CZ$2&gt;VLOOKUP($H15,Lists!$P$3:$Q$7,2),IF($N15=Lists!$K$3,IF($L15&lt;1,(($U15/$L15)*((1+Inputs!$D$7)^CZ$2)),((INT(CZ$2/$L15)-INT((CZ$2-1)/$L15))*$U15*((1+Inputs!$D$7)^CZ$2))),(Inputs!$D$8^((1-_xlfn.WEIBULL.DIST(CZ$2,$M15,$L15,FALSE))/_xlfn.WEIBULL.DIST(CZ$2,$M15,$L15,FALSE))*$U15*((1+Inputs!$D$7)^CZ$2))),IF($N15=Lists!$K$3,IF($L15&lt;1,((($T15*(1-$F15)+$S15*(1-$G15))/$L15)*((1+Inputs!$D$7)^CZ$2)),((INT(CZ$2/$L15)-INT((CZ$2-1)/$L15))*($T15*(1-$F15)+$S15*(1-$G15))*((1+Inputs!$D$7)^CZ$2))),((Inputs!$D$8^((1-_xlfn.WEIBULL.DIST(CZ$2,$M15,$L15,FALSE))/_xlfn.WEIBULL.DIST(CZ$2,$M15,$L15,FALSE))*($T15*(1-$F15)+$S15*(1-$G15))*((1+Inputs!$D$7)^CZ$2))))))))</f>
        <v>0</v>
      </c>
      <c r="DA15" s="88">
        <f>MAX(BK15,($E15*IF(DA$2&gt;Inputs!$D$5,0,IF(DA$2&gt;VLOOKUP($H15,Lists!$P$3:$Q$7,2),IF($N15=Lists!$K$3,IF($L15&lt;1,(($U15/$L15)*((1+Inputs!$D$7)^DA$2)),((INT(DA$2/$L15)-INT((DA$2-1)/$L15))*$U15*((1+Inputs!$D$7)^DA$2))),(Inputs!$D$8^((1-_xlfn.WEIBULL.DIST(DA$2,$M15,$L15,FALSE))/_xlfn.WEIBULL.DIST(DA$2,$M15,$L15,FALSE))*$U15*((1+Inputs!$D$7)^DA$2))),IF($N15=Lists!$K$3,IF($L15&lt;1,((($T15*(1-$F15)+$S15*(1-$G15))/$L15)*((1+Inputs!$D$7)^DA$2)),((INT(DA$2/$L15)-INT((DA$2-1)/$L15))*($T15*(1-$F15)+$S15*(1-$G15))*((1+Inputs!$D$7)^DA$2))),((Inputs!$D$8^((1-_xlfn.WEIBULL.DIST(DA$2,$M15,$L15,FALSE))/_xlfn.WEIBULL.DIST(DA$2,$M15,$L15,FALSE))*($T15*(1-$F15)+$S15*(1-$G15))*((1+Inputs!$D$7)^DA$2))))))))</f>
        <v>0</v>
      </c>
      <c r="DB15" s="88">
        <f>MAX(BL15,($E15*IF(DB$2&gt;Inputs!$D$5,0,IF(DB$2&gt;VLOOKUP($H15,Lists!$P$3:$Q$7,2),IF($N15=Lists!$K$3,IF($L15&lt;1,(($U15/$L15)*((1+Inputs!$D$7)^DB$2)),((INT(DB$2/$L15)-INT((DB$2-1)/$L15))*$U15*((1+Inputs!$D$7)^DB$2))),(Inputs!$D$8^((1-_xlfn.WEIBULL.DIST(DB$2,$M15,$L15,FALSE))/_xlfn.WEIBULL.DIST(DB$2,$M15,$L15,FALSE))*$U15*((1+Inputs!$D$7)^DB$2))),IF($N15=Lists!$K$3,IF($L15&lt;1,((($T15*(1-$F15)+$S15*(1-$G15))/$L15)*((1+Inputs!$D$7)^DB$2)),((INT(DB$2/$L15)-INT((DB$2-1)/$L15))*($T15*(1-$F15)+$S15*(1-$G15))*((1+Inputs!$D$7)^DB$2))),((Inputs!$D$8^((1-_xlfn.WEIBULL.DIST(DB$2,$M15,$L15,FALSE))/_xlfn.WEIBULL.DIST(DB$2,$M15,$L15,FALSE))*($T15*(1-$F15)+$S15*(1-$G15))*((1+Inputs!$D$7)^DB$2))))))))</f>
        <v>0</v>
      </c>
      <c r="DC15" s="88">
        <f>MAX(BM15,($E15*IF(DC$2&gt;Inputs!$D$5,0,IF(DC$2&gt;VLOOKUP($H15,Lists!$P$3:$Q$7,2),IF($N15=Lists!$K$3,IF($L15&lt;1,(($U15/$L15)*((1+Inputs!$D$7)^DC$2)),((INT(DC$2/$L15)-INT((DC$2-1)/$L15))*$U15*((1+Inputs!$D$7)^DC$2))),(Inputs!$D$8^((1-_xlfn.WEIBULL.DIST(DC$2,$M15,$L15,FALSE))/_xlfn.WEIBULL.DIST(DC$2,$M15,$L15,FALSE))*$U15*((1+Inputs!$D$7)^DC$2))),IF($N15=Lists!$K$3,IF($L15&lt;1,((($T15*(1-$F15)+$S15*(1-$G15))/$L15)*((1+Inputs!$D$7)^DC$2)),((INT(DC$2/$L15)-INT((DC$2-1)/$L15))*($T15*(1-$F15)+$S15*(1-$G15))*((1+Inputs!$D$7)^DC$2))),((Inputs!$D$8^((1-_xlfn.WEIBULL.DIST(DC$2,$M15,$L15,FALSE))/_xlfn.WEIBULL.DIST(DC$2,$M15,$L15,FALSE))*($T15*(1-$F15)+$S15*(1-$G15))*((1+Inputs!$D$7)^DC$2))))))))</f>
        <v>0</v>
      </c>
      <c r="DD15" s="88">
        <f>MAX(BN15,($E15*IF(DD$2&gt;Inputs!$D$5,0,IF(DD$2&gt;VLOOKUP($H15,Lists!$P$3:$Q$7,2),IF($N15=Lists!$K$3,IF($L15&lt;1,(($U15/$L15)*((1+Inputs!$D$7)^DD$2)),((INT(DD$2/$L15)-INT((DD$2-1)/$L15))*$U15*((1+Inputs!$D$7)^DD$2))),(Inputs!$D$8^((1-_xlfn.WEIBULL.DIST(DD$2,$M15,$L15,FALSE))/_xlfn.WEIBULL.DIST(DD$2,$M15,$L15,FALSE))*$U15*((1+Inputs!$D$7)^DD$2))),IF($N15=Lists!$K$3,IF($L15&lt;1,((($T15*(1-$F15)+$S15*(1-$G15))/$L15)*((1+Inputs!$D$7)^DD$2)),((INT(DD$2/$L15)-INT((DD$2-1)/$L15))*($T15*(1-$F15)+$S15*(1-$G15))*((1+Inputs!$D$7)^DD$2))),((Inputs!$D$8^((1-_xlfn.WEIBULL.DIST(DD$2,$M15,$L15,FALSE))/_xlfn.WEIBULL.DIST(DD$2,$M15,$L15,FALSE))*($T15*(1-$F15)+$S15*(1-$G15))*((1+Inputs!$D$7)^DD$2))))))))</f>
        <v>0</v>
      </c>
    </row>
    <row r="16" spans="1:108" s="1" customFormat="1" ht="16">
      <c r="A16" s="57" t="s">
        <v>209</v>
      </c>
      <c r="B16" s="13" t="s">
        <v>130</v>
      </c>
      <c r="C16" s="13" t="s">
        <v>474</v>
      </c>
      <c r="D16" s="13" t="s">
        <v>213</v>
      </c>
      <c r="E16" s="48">
        <v>1</v>
      </c>
      <c r="F16" s="48">
        <v>0</v>
      </c>
      <c r="G16" s="48">
        <v>0</v>
      </c>
      <c r="H16" s="105" t="s">
        <v>350</v>
      </c>
      <c r="I16" s="14" t="s">
        <v>263</v>
      </c>
      <c r="J16" s="14" t="s">
        <v>88</v>
      </c>
      <c r="K16" s="13">
        <f>VLOOKUP(J16,'Labor Rates'!$A$1:$F$16,2)</f>
        <v>19.903846153846153</v>
      </c>
      <c r="L16" s="15">
        <v>25</v>
      </c>
      <c r="M16" s="15">
        <v>3</v>
      </c>
      <c r="N16" s="16" t="s">
        <v>226</v>
      </c>
      <c r="O16" s="61">
        <f>Inputs!$D$25</f>
        <v>2341.9203747072602</v>
      </c>
      <c r="P16" s="15">
        <v>0.25</v>
      </c>
      <c r="Q16" s="15">
        <f t="shared" si="0"/>
        <v>23.419203747072601</v>
      </c>
      <c r="R16" s="4">
        <v>10</v>
      </c>
      <c r="S16" s="53">
        <f t="shared" si="1"/>
        <v>11653.30571068276</v>
      </c>
      <c r="T16" s="53">
        <f t="shared" si="2"/>
        <v>23419.203747072603</v>
      </c>
      <c r="U16" s="54">
        <f t="shared" si="3"/>
        <v>35072.509457755361</v>
      </c>
      <c r="V16" s="65"/>
      <c r="W16" s="58"/>
      <c r="X16" s="64">
        <f t="shared" si="4"/>
        <v>998.64424809845082</v>
      </c>
      <c r="Y16" s="64">
        <f>NPV(Inputs!$D$6,AA16:BN16)</f>
        <v>10180.285887036805</v>
      </c>
      <c r="Z16" s="67">
        <f t="shared" si="5"/>
        <v>4.8015198330904254E-3</v>
      </c>
      <c r="AA16" s="88">
        <f>$E16*IF(AA$2&gt;Inputs!$D$5,0,IF(AA$2&gt;VLOOKUP($H16,Lists!$P$3:$Q$7,2),IF($N16=Lists!$K$3,IF($L16&lt;1,(($U16/$L16)*((1+Inputs!$D$7)^AA$2)),((INT(AA$2/$L16)-INT((AA$2-1)/$L16))*$U16*((1+Inputs!$D$7)^AA$2))),(_xlfn.WEIBULL.DIST(AA$2,$M16,$L16,FALSE)*$U16*((1+Inputs!$D$7)^AA$2))),IF($N16=Lists!$K$3,IF($L16&lt;1,((($T16*(1-$F16)+$S16*(1-$G16))/$L16)*((1+Inputs!$D$7)^AA$2)),((INT(AA$2/$L16)-INT((AA$2-1)/$L16))*($T16*(1-$F16)+$S16*(1-$G16))*((1+Inputs!$D$7)^AA$2))),((_xlfn.WEIBULL.DIST(AA$2,$M16,$L16,FALSE)*($T16*(1-$F16)+$S16*(1-$G16))*((1+Inputs!$D$7)^AA$2))))))</f>
        <v>6.8681606758572693</v>
      </c>
      <c r="AB16" s="88">
        <f>$E16*IF(AB$2&gt;Inputs!$D$5,0,IF(AB$2&gt;VLOOKUP($H16,Lists!$P$3:$Q$7,2),IF($N16=Lists!$K$3,IF($L16&lt;1,(($U16/$L16)*((1+Inputs!$D$7)^AB$2)),((INT(AB$2/$L16)-INT((AB$2-1)/$L16))*$U16*((1+Inputs!$D$7)^AB$2))),(_xlfn.WEIBULL.DIST(AB$2,$M16,$L16,FALSE)*$U16*((1+Inputs!$D$7)^AB$2))),IF($N16=Lists!$K$3,IF($L16&lt;1,((($T16*(1-$F16)+$S16*(1-$G16))/$L16)*((1+Inputs!$D$7)^AB$2)),((INT(AB$2/$L16)-INT((AB$2-1)/$L16))*($T16*(1-$F16)+$S16*(1-$G16))*((1+Inputs!$D$7)^AB$2))),((_xlfn.WEIBULL.DIST(AB$2,$M16,$L16,FALSE)*($T16*(1-$F16)+$S16*(1-$G16))*((1+Inputs!$D$7)^AB$2))))))</f>
        <v>28.009544470341339</v>
      </c>
      <c r="AC16" s="88">
        <f>$E16*IF(AC$2&gt;Inputs!$D$5,0,IF(AC$2&gt;VLOOKUP($H16,Lists!$P$3:$Q$7,2),IF($N16=Lists!$K$3,IF($L16&lt;1,(($U16/$L16)*((1+Inputs!$D$7)^AC$2)),((INT(AC$2/$L16)-INT((AC$2-1)/$L16))*$U16*((1+Inputs!$D$7)^AC$2))),(_xlfn.WEIBULL.DIST(AC$2,$M16,$L16,FALSE)*$U16*((1+Inputs!$D$7)^AC$2))),IF($N16=Lists!$K$3,IF($L16&lt;1,((($T16*(1-$F16)+$S16*(1-$G16))/$L16)*((1+Inputs!$D$7)^AC$2)),((INT(AC$2/$L16)-INT((AC$2-1)/$L16))*($T16*(1-$F16)+$S16*(1-$G16))*((1+Inputs!$D$7)^AC$2))),((_xlfn.WEIBULL.DIST(AC$2,$M16,$L16,FALSE)*($T16*(1-$F16)+$S16*(1-$G16))*((1+Inputs!$D$7)^AC$2))))))</f>
        <v>64.203785269643276</v>
      </c>
      <c r="AD16" s="88">
        <f>$E16*IF(AD$2&gt;Inputs!$D$5,0,IF(AD$2&gt;VLOOKUP($H16,Lists!$P$3:$Q$7,2),IF($N16=Lists!$K$3,IF($L16&lt;1,(($U16/$L16)*((1+Inputs!$D$7)^AD$2)),((INT(AD$2/$L16)-INT((AD$2-1)/$L16))*$U16*((1+Inputs!$D$7)^AD$2))),(_xlfn.WEIBULL.DIST(AD$2,$M16,$L16,FALSE)*$U16*((1+Inputs!$D$7)^AD$2))),IF($N16=Lists!$K$3,IF($L16&lt;1,((($T16*(1-$F16)+$S16*(1-$G16))/$L16)*((1+Inputs!$D$7)^AD$2)),((INT(AD$2/$L16)-INT((AD$2-1)/$L16))*($T16*(1-$F16)+$S16*(1-$G16))*((1+Inputs!$D$7)^AD$2))),((_xlfn.WEIBULL.DIST(AD$2,$M16,$L16,FALSE)*($T16*(1-$F16)+$S16*(1-$G16))*((1+Inputs!$D$7)^AD$2))))))</f>
        <v>116.14750077245489</v>
      </c>
      <c r="AE16" s="88">
        <f>$E16*IF(AE$2&gt;Inputs!$D$5,0,IF(AE$2&gt;VLOOKUP($H16,Lists!$P$3:$Q$7,2),IF($N16=Lists!$K$3,IF($L16&lt;1,(($U16/$L16)*((1+Inputs!$D$7)^AE$2)),((INT(AE$2/$L16)-INT((AE$2-1)/$L16))*$U16*((1+Inputs!$D$7)^AE$2))),(_xlfn.WEIBULL.DIST(AE$2,$M16,$L16,FALSE)*$U16*((1+Inputs!$D$7)^AE$2))),IF($N16=Lists!$K$3,IF($L16&lt;1,((($T16*(1-$F16)+$S16*(1-$G16))/$L16)*((1+Inputs!$D$7)^AE$2)),((INT(AE$2/$L16)-INT((AE$2-1)/$L16))*($T16*(1-$F16)+$S16*(1-$G16))*((1+Inputs!$D$7)^AE$2))),((_xlfn.WEIBULL.DIST(AE$2,$M16,$L16,FALSE)*($T16*(1-$F16)+$S16*(1-$G16))*((1+Inputs!$D$7)^AE$2))))))</f>
        <v>184.38881842370805</v>
      </c>
      <c r="AF16" s="88">
        <f>$E16*IF(AF$2&gt;Inputs!$D$5,0,IF(AF$2&gt;VLOOKUP($H16,Lists!$P$3:$Q$7,2),IF($N16=Lists!$K$3,IF($L16&lt;1,(($U16/$L16)*((1+Inputs!$D$7)^AF$2)),((INT(AF$2/$L16)-INT((AF$2-1)/$L16))*$U16*((1+Inputs!$D$7)^AF$2))),(_xlfn.WEIBULL.DIST(AF$2,$M16,$L16,FALSE)*$U16*((1+Inputs!$D$7)^AF$2))),IF($N16=Lists!$K$3,IF($L16&lt;1,((($T16*(1-$F16)+$S16*(1-$G16))/$L16)*((1+Inputs!$D$7)^AF$2)),((INT(AF$2/$L16)-INT((AF$2-1)/$L16))*($T16*(1-$F16)+$S16*(1-$G16))*((1+Inputs!$D$7)^AF$2))),((_xlfn.WEIBULL.DIST(AF$2,$M16,$L16,FALSE)*($T16*(1-$F16)+$S16*(1-$G16))*((1+Inputs!$D$7)^AF$2))))))</f>
        <v>269.25756509323145</v>
      </c>
      <c r="AG16" s="88">
        <f>$E16*IF(AG$2&gt;Inputs!$D$5,0,IF(AG$2&gt;VLOOKUP($H16,Lists!$P$3:$Q$7,2),IF($N16=Lists!$K$3,IF($L16&lt;1,(($U16/$L16)*((1+Inputs!$D$7)^AG$2)),((INT(AG$2/$L16)-INT((AG$2-1)/$L16))*$U16*((1+Inputs!$D$7)^AG$2))),(_xlfn.WEIBULL.DIST(AG$2,$M16,$L16,FALSE)*$U16*((1+Inputs!$D$7)^AG$2))),IF($N16=Lists!$K$3,IF($L16&lt;1,((($T16*(1-$F16)+$S16*(1-$G16))/$L16)*((1+Inputs!$D$7)^AG$2)),((INT(AG$2/$L16)-INT((AG$2-1)/$L16))*($T16*(1-$F16)+$S16*(1-$G16))*((1+Inputs!$D$7)^AG$2))),((_xlfn.WEIBULL.DIST(AG$2,$M16,$L16,FALSE)*($T16*(1-$F16)+$S16*(1-$G16))*((1+Inputs!$D$7)^AG$2))))))</f>
        <v>370.79316466593514</v>
      </c>
      <c r="AH16" s="88">
        <f>$E16*IF(AH$2&gt;Inputs!$D$5,0,IF(AH$2&gt;VLOOKUP($H16,Lists!$P$3:$Q$7,2),IF($N16=Lists!$K$3,IF($L16&lt;1,(($U16/$L16)*((1+Inputs!$D$7)^AH$2)),((INT(AH$2/$L16)-INT((AH$2-1)/$L16))*$U16*((1+Inputs!$D$7)^AH$2))),(_xlfn.WEIBULL.DIST(AH$2,$M16,$L16,FALSE)*$U16*((1+Inputs!$D$7)^AH$2))),IF($N16=Lists!$K$3,IF($L16&lt;1,((($T16*(1-$F16)+$S16*(1-$G16))/$L16)*((1+Inputs!$D$7)^AH$2)),((INT(AH$2/$L16)-INT((AH$2-1)/$L16))*($T16*(1-$F16)+$S16*(1-$G16))*((1+Inputs!$D$7)^AH$2))),((_xlfn.WEIBULL.DIST(AH$2,$M16,$L16,FALSE)*($T16*(1-$F16)+$S16*(1-$G16))*((1+Inputs!$D$7)^AH$2))))))</f>
        <v>488.67312603730505</v>
      </c>
      <c r="AI16" s="88">
        <f>$E16*IF(AI$2&gt;Inputs!$D$5,0,IF(AI$2&gt;VLOOKUP($H16,Lists!$P$3:$Q$7,2),IF($N16=Lists!$K$3,IF($L16&lt;1,(($U16/$L16)*((1+Inputs!$D$7)^AI$2)),((INT(AI$2/$L16)-INT((AI$2-1)/$L16))*$U16*((1+Inputs!$D$7)^AI$2))),(_xlfn.WEIBULL.DIST(AI$2,$M16,$L16,FALSE)*$U16*((1+Inputs!$D$7)^AI$2))),IF($N16=Lists!$K$3,IF($L16&lt;1,((($T16*(1-$F16)+$S16*(1-$G16))/$L16)*((1+Inputs!$D$7)^AI$2)),((INT(AI$2/$L16)-INT((AI$2-1)/$L16))*($T16*(1-$F16)+$S16*(1-$G16))*((1+Inputs!$D$7)^AI$2))),((_xlfn.WEIBULL.DIST(AI$2,$M16,$L16,FALSE)*($T16*(1-$F16)+$S16*(1-$G16))*((1+Inputs!$D$7)^AI$2))))))</f>
        <v>622.14582503649729</v>
      </c>
      <c r="AJ16" s="88">
        <f>$E16*IF(AJ$2&gt;Inputs!$D$5,0,IF(AJ$2&gt;VLOOKUP($H16,Lists!$P$3:$Q$7,2),IF($N16=Lists!$K$3,IF($L16&lt;1,(($U16/$L16)*((1+Inputs!$D$7)^AJ$2)),((INT(AJ$2/$L16)-INT((AJ$2-1)/$L16))*$U16*((1+Inputs!$D$7)^AJ$2))),(_xlfn.WEIBULL.DIST(AJ$2,$M16,$L16,FALSE)*$U16*((1+Inputs!$D$7)^AJ$2))),IF($N16=Lists!$K$3,IF($L16&lt;1,((($T16*(1-$F16)+$S16*(1-$G16))/$L16)*((1+Inputs!$D$7)^AJ$2)),((INT(AJ$2/$L16)-INT((AJ$2-1)/$L16))*($T16*(1-$F16)+$S16*(1-$G16))*((1+Inputs!$D$7)^AJ$2))),((_xlfn.WEIBULL.DIST(AJ$2,$M16,$L16,FALSE)*($T16*(1-$F16)+$S16*(1-$G16))*((1+Inputs!$D$7)^AJ$2))))))</f>
        <v>769.97201441317486</v>
      </c>
      <c r="AK16" s="88">
        <f>$E16*IF(AK$2&gt;Inputs!$D$5,0,IF(AK$2&gt;VLOOKUP($H16,Lists!$P$3:$Q$7,2),IF($N16=Lists!$K$3,IF($L16&lt;1,(($U16/$L16)*((1+Inputs!$D$7)^AK$2)),((INT(AK$2/$L16)-INT((AK$2-1)/$L16))*$U16*((1+Inputs!$D$7)^AK$2))),(_xlfn.WEIBULL.DIST(AK$2,$M16,$L16,FALSE)*$U16*((1+Inputs!$D$7)^AK$2))),IF($N16=Lists!$K$3,IF($L16&lt;1,((($T16*(1-$F16)+$S16*(1-$G16))/$L16)*((1+Inputs!$D$7)^AK$2)),((INT(AK$2/$L16)-INT((AK$2-1)/$L16))*($T16*(1-$F16)+$S16*(1-$G16))*((1+Inputs!$D$7)^AK$2))),((_xlfn.WEIBULL.DIST(AK$2,$M16,$L16,FALSE)*($T16*(1-$F16)+$S16*(1-$G16))*((1+Inputs!$D$7)^AK$2))))))</f>
        <v>930.38004775770787</v>
      </c>
      <c r="AL16" s="88">
        <f>$E16*IF(AL$2&gt;Inputs!$D$5,0,IF(AL$2&gt;VLOOKUP($H16,Lists!$P$3:$Q$7,2),IF($N16=Lists!$K$3,IF($L16&lt;1,(($U16/$L16)*((1+Inputs!$D$7)^AL$2)),((INT(AL$2/$L16)-INT((AL$2-1)/$L16))*$U16*((1+Inputs!$D$7)^AL$2))),(_xlfn.WEIBULL.DIST(AL$2,$M16,$L16,FALSE)*$U16*((1+Inputs!$D$7)^AL$2))),IF($N16=Lists!$K$3,IF($L16&lt;1,((($T16*(1-$F16)+$S16*(1-$G16))/$L16)*((1+Inputs!$D$7)^AL$2)),((INT(AL$2/$L16)-INT((AL$2-1)/$L16))*($T16*(1-$F16)+$S16*(1-$G16))*((1+Inputs!$D$7)^AL$2))),((_xlfn.WEIBULL.DIST(AL$2,$M16,$L16,FALSE)*($T16*(1-$F16)+$S16*(1-$G16))*((1+Inputs!$D$7)^AL$2))))))</f>
        <v>1101.0400779297131</v>
      </c>
      <c r="AM16" s="88">
        <f>$E16*IF(AM$2&gt;Inputs!$D$5,0,IF(AM$2&gt;VLOOKUP($H16,Lists!$P$3:$Q$7,2),IF($N16=Lists!$K$3,IF($L16&lt;1,(($U16/$L16)*((1+Inputs!$D$7)^AM$2)),((INT(AM$2/$L16)-INT((AM$2-1)/$L16))*$U16*((1+Inputs!$D$7)^AM$2))),(_xlfn.WEIBULL.DIST(AM$2,$M16,$L16,FALSE)*$U16*((1+Inputs!$D$7)^AM$2))),IF($N16=Lists!$K$3,IF($L16&lt;1,((($T16*(1-$F16)+$S16*(1-$G16))/$L16)*((1+Inputs!$D$7)^AM$2)),((INT(AM$2/$L16)-INT((AM$2-1)/$L16))*($T16*(1-$F16)+$S16*(1-$G16))*((1+Inputs!$D$7)^AM$2))),((_xlfn.WEIBULL.DIST(AM$2,$M16,$L16,FALSE)*($T16*(1-$F16)+$S16*(1-$G16))*((1+Inputs!$D$7)^AM$2))))))</f>
        <v>1279.0623892409703</v>
      </c>
      <c r="AN16" s="88">
        <f>$E16*IF(AN$2&gt;Inputs!$D$5,0,IF(AN$2&gt;VLOOKUP($H16,Lists!$P$3:$Q$7,2),IF($N16=Lists!$K$3,IF($L16&lt;1,(($U16/$L16)*((1+Inputs!$D$7)^AN$2)),((INT(AN$2/$L16)-INT((AN$2-1)/$L16))*$U16*((1+Inputs!$D$7)^AN$2))),(_xlfn.WEIBULL.DIST(AN$2,$M16,$L16,FALSE)*$U16*((1+Inputs!$D$7)^AN$2))),IF($N16=Lists!$K$3,IF($L16&lt;1,((($T16*(1-$F16)+$S16*(1-$G16))/$L16)*((1+Inputs!$D$7)^AN$2)),((INT(AN$2/$L16)-INT((AN$2-1)/$L16))*($T16*(1-$F16)+$S16*(1-$G16))*((1+Inputs!$D$7)^AN$2))),((_xlfn.WEIBULL.DIST(AN$2,$M16,$L16,FALSE)*($T16*(1-$F16)+$S16*(1-$G16))*((1+Inputs!$D$7)^AN$2))))))</f>
        <v>1461.024457265413</v>
      </c>
      <c r="AO16" s="88">
        <f>$E16*IF(AO$2&gt;Inputs!$D$5,0,IF(AO$2&gt;VLOOKUP($H16,Lists!$P$3:$Q$7,2),IF($N16=Lists!$K$3,IF($L16&lt;1,(($U16/$L16)*((1+Inputs!$D$7)^AO$2)),((INT(AO$2/$L16)-INT((AO$2-1)/$L16))*$U16*((1+Inputs!$D$7)^AO$2))),(_xlfn.WEIBULL.DIST(AO$2,$M16,$L16,FALSE)*$U16*((1+Inputs!$D$7)^AO$2))),IF($N16=Lists!$K$3,IF($L16&lt;1,((($T16*(1-$F16)+$S16*(1-$G16))/$L16)*((1+Inputs!$D$7)^AO$2)),((INT(AO$2/$L16)-INT((AO$2-1)/$L16))*($T16*(1-$F16)+$S16*(1-$G16))*((1+Inputs!$D$7)^AO$2))),((_xlfn.WEIBULL.DIST(AO$2,$M16,$L16,FALSE)*($T16*(1-$F16)+$S16*(1-$G16))*((1+Inputs!$D$7)^AO$2))))))</f>
        <v>1643.0302379339905</v>
      </c>
      <c r="AP16" s="88">
        <f>$E16*IF(AP$2&gt;Inputs!$D$5,0,IF(AP$2&gt;VLOOKUP($H16,Lists!$P$3:$Q$7,2),IF($N16=Lists!$K$3,IF($L16&lt;1,(($U16/$L16)*((1+Inputs!$D$7)^AP$2)),((INT(AP$2/$L16)-INT((AP$2-1)/$L16))*$U16*((1+Inputs!$D$7)^AP$2))),(_xlfn.WEIBULL.DIST(AP$2,$M16,$L16,FALSE)*$U16*((1+Inputs!$D$7)^AP$2))),IF($N16=Lists!$K$3,IF($L16&lt;1,((($T16*(1-$F16)+$S16*(1-$G16))/$L16)*((1+Inputs!$D$7)^AP$2)),((INT(AP$2/$L16)-INT((AP$2-1)/$L16))*($T16*(1-$F16)+$S16*(1-$G16))*((1+Inputs!$D$7)^AP$2))),((_xlfn.WEIBULL.DIST(AP$2,$M16,$L16,FALSE)*($T16*(1-$F16)+$S16*(1-$G16))*((1+Inputs!$D$7)^AP$2))))))</f>
        <v>1820.8035462041291</v>
      </c>
      <c r="AQ16" s="88">
        <f>$E16*IF(AQ$2&gt;Inputs!$D$5,0,IF(AQ$2&gt;VLOOKUP($H16,Lists!$P$3:$Q$7,2),IF($N16=Lists!$K$3,IF($L16&lt;1,(($U16/$L16)*((1+Inputs!$D$7)^AQ$2)),((INT(AQ$2/$L16)-INT((AQ$2-1)/$L16))*$U16*((1+Inputs!$D$7)^AQ$2))),(_xlfn.WEIBULL.DIST(AQ$2,$M16,$L16,FALSE)*$U16*((1+Inputs!$D$7)^AQ$2))),IF($N16=Lists!$K$3,IF($L16&lt;1,((($T16*(1-$F16)+$S16*(1-$G16))/$L16)*((1+Inputs!$D$7)^AQ$2)),((INT(AQ$2/$L16)-INT((AQ$2-1)/$L16))*($T16*(1-$F16)+$S16*(1-$G16))*((1+Inputs!$D$7)^AQ$2))),((_xlfn.WEIBULL.DIST(AQ$2,$M16,$L16,FALSE)*($T16*(1-$F16)+$S16*(1-$G16))*((1+Inputs!$D$7)^AQ$2))))))</f>
        <v>1989.8152266279242</v>
      </c>
      <c r="AR16" s="88">
        <f>$E16*IF(AR$2&gt;Inputs!$D$5,0,IF(AR$2&gt;VLOOKUP($H16,Lists!$P$3:$Q$7,2),IF($N16=Lists!$K$3,IF($L16&lt;1,(($U16/$L16)*((1+Inputs!$D$7)^AR$2)),((INT(AR$2/$L16)-INT((AR$2-1)/$L16))*$U16*((1+Inputs!$D$7)^AR$2))),(_xlfn.WEIBULL.DIST(AR$2,$M16,$L16,FALSE)*$U16*((1+Inputs!$D$7)^AR$2))),IF($N16=Lists!$K$3,IF($L16&lt;1,((($T16*(1-$F16)+$S16*(1-$G16))/$L16)*((1+Inputs!$D$7)^AR$2)),((INT(AR$2/$L16)-INT((AR$2-1)/$L16))*($T16*(1-$F16)+$S16*(1-$G16))*((1+Inputs!$D$7)^AR$2))),((_xlfn.WEIBULL.DIST(AR$2,$M16,$L16,FALSE)*($T16*(1-$F16)+$S16*(1-$G16))*((1+Inputs!$D$7)^AR$2))))))</f>
        <v>2145.4412420205172</v>
      </c>
      <c r="AS16" s="88">
        <f>$E16*IF(AS$2&gt;Inputs!$D$5,0,IF(AS$2&gt;VLOOKUP($H16,Lists!$P$3:$Q$7,2),IF($N16=Lists!$K$3,IF($L16&lt;1,(($U16/$L16)*((1+Inputs!$D$7)^AS$2)),((INT(AS$2/$L16)-INT((AS$2-1)/$L16))*$U16*((1+Inputs!$D$7)^AS$2))),(_xlfn.WEIBULL.DIST(AS$2,$M16,$L16,FALSE)*$U16*((1+Inputs!$D$7)^AS$2))),IF($N16=Lists!$K$3,IF($L16&lt;1,((($T16*(1-$F16)+$S16*(1-$G16))/$L16)*((1+Inputs!$D$7)^AS$2)),((INT(AS$2/$L16)-INT((AS$2-1)/$L16))*($T16*(1-$F16)+$S16*(1-$G16))*((1+Inputs!$D$7)^AS$2))),((_xlfn.WEIBULL.DIST(AS$2,$M16,$L16,FALSE)*($T16*(1-$F16)+$S16*(1-$G16))*((1+Inputs!$D$7)^AS$2))))))</f>
        <v>2283.1459813990355</v>
      </c>
      <c r="AT16" s="88">
        <f>$E16*IF(AT$2&gt;Inputs!$D$5,0,IF(AT$2&gt;VLOOKUP($H16,Lists!$P$3:$Q$7,2),IF($N16=Lists!$K$3,IF($L16&lt;1,(($U16/$L16)*((1+Inputs!$D$7)^AT$2)),((INT(AT$2/$L16)-INT((AT$2-1)/$L16))*$U16*((1+Inputs!$D$7)^AT$2))),(_xlfn.WEIBULL.DIST(AT$2,$M16,$L16,FALSE)*$U16*((1+Inputs!$D$7)^AT$2))),IF($N16=Lists!$K$3,IF($L16&lt;1,((($T16*(1-$F16)+$S16*(1-$G16))/$L16)*((1+Inputs!$D$7)^AT$2)),((INT(AT$2/$L16)-INT((AT$2-1)/$L16))*($T16*(1-$F16)+$S16*(1-$G16))*((1+Inputs!$D$7)^AT$2))),((_xlfn.WEIBULL.DIST(AT$2,$M16,$L16,FALSE)*($T16*(1-$F16)+$S16*(1-$G16))*((1+Inputs!$D$7)^AT$2))))))</f>
        <v>2398.682250731466</v>
      </c>
      <c r="AU16" s="88">
        <f>$E16*IF(AU$2&gt;Inputs!$D$5,0,IF(AU$2&gt;VLOOKUP($H16,Lists!$P$3:$Q$7,2),IF($N16=Lists!$K$3,IF($L16&lt;1,(($U16/$L16)*((1+Inputs!$D$7)^AU$2)),((INT(AU$2/$L16)-INT((AU$2-1)/$L16))*$U16*((1+Inputs!$D$7)^AU$2))),(_xlfn.WEIBULL.DIST(AU$2,$M16,$L16,FALSE)*$U16*((1+Inputs!$D$7)^AU$2))),IF($N16=Lists!$K$3,IF($L16&lt;1,((($T16*(1-$F16)+$S16*(1-$G16))/$L16)*((1+Inputs!$D$7)^AU$2)),((INT(AU$2/$L16)-INT((AU$2-1)/$L16))*($T16*(1-$F16)+$S16*(1-$G16))*((1+Inputs!$D$7)^AU$2))),((_xlfn.WEIBULL.DIST(AU$2,$M16,$L16,FALSE)*($T16*(1-$F16)+$S16*(1-$G16))*((1+Inputs!$D$7)^AU$2))))))</f>
        <v>2488.2968488632787</v>
      </c>
      <c r="AV16" s="88">
        <f>$E16*IF(AV$2&gt;Inputs!$D$5,0,IF(AV$2&gt;VLOOKUP($H16,Lists!$P$3:$Q$7,2),IF($N16=Lists!$K$3,IF($L16&lt;1,(($U16/$L16)*((1+Inputs!$D$7)^AV$2)),((INT(AV$2/$L16)-INT((AV$2-1)/$L16))*$U16*((1+Inputs!$D$7)^AV$2))),(_xlfn.WEIBULL.DIST(AV$2,$M16,$L16,FALSE)*$U16*((1+Inputs!$D$7)^AV$2))),IF($N16=Lists!$K$3,IF($L16&lt;1,((($T16*(1-$F16)+$S16*(1-$G16))/$L16)*((1+Inputs!$D$7)^AV$2)),((INT(AV$2/$L16)-INT((AV$2-1)/$L16))*($T16*(1-$F16)+$S16*(1-$G16))*((1+Inputs!$D$7)^AV$2))),((_xlfn.WEIBULL.DIST(AV$2,$M16,$L16,FALSE)*($T16*(1-$F16)+$S16*(1-$G16))*((1+Inputs!$D$7)^AV$2))))))</f>
        <v>2548.9286625835357</v>
      </c>
      <c r="AW16" s="88">
        <f>$E16*IF(AW$2&gt;Inputs!$D$5,0,IF(AW$2&gt;VLOOKUP($H16,Lists!$P$3:$Q$7,2),IF($N16=Lists!$K$3,IF($L16&lt;1,(($U16/$L16)*((1+Inputs!$D$7)^AW$2)),((INT(AW$2/$L16)-INT((AW$2-1)/$L16))*$U16*((1+Inputs!$D$7)^AW$2))),(_xlfn.WEIBULL.DIST(AW$2,$M16,$L16,FALSE)*$U16*((1+Inputs!$D$7)^AW$2))),IF($N16=Lists!$K$3,IF($L16&lt;1,((($T16*(1-$F16)+$S16*(1-$G16))/$L16)*((1+Inputs!$D$7)^AW$2)),((INT(AW$2/$L16)-INT((AW$2-1)/$L16))*($T16*(1-$F16)+$S16*(1-$G16))*((1+Inputs!$D$7)^AW$2))),((_xlfn.WEIBULL.DIST(AW$2,$M16,$L16,FALSE)*($T16*(1-$F16)+$S16*(1-$G16))*((1+Inputs!$D$7)^AW$2))))))</f>
        <v>2578.3851471401813</v>
      </c>
      <c r="AX16" s="88">
        <f>$E16*IF(AX$2&gt;Inputs!$D$5,0,IF(AX$2&gt;VLOOKUP($H16,Lists!$P$3:$Q$7,2),IF($N16=Lists!$K$3,IF($L16&lt;1,(($U16/$L16)*((1+Inputs!$D$7)^AX$2)),((INT(AX$2/$L16)-INT((AX$2-1)/$L16))*$U16*((1+Inputs!$D$7)^AX$2))),(_xlfn.WEIBULL.DIST(AX$2,$M16,$L16,FALSE)*$U16*((1+Inputs!$D$7)^AX$2))),IF($N16=Lists!$K$3,IF($L16&lt;1,((($T16*(1-$F16)+$S16*(1-$G16))/$L16)*((1+Inputs!$D$7)^AX$2)),((INT(AX$2/$L16)-INT((AX$2-1)/$L16))*($T16*(1-$F16)+$S16*(1-$G16))*((1+Inputs!$D$7)^AX$2))),((_xlfn.WEIBULL.DIST(AX$2,$M16,$L16,FALSE)*($T16*(1-$F16)+$S16*(1-$G16))*((1+Inputs!$D$7)^AX$2))))))</f>
        <v>2575.4831488624291</v>
      </c>
      <c r="AY16" s="88">
        <f>$E16*IF(AY$2&gt;Inputs!$D$5,0,IF(AY$2&gt;VLOOKUP($H16,Lists!$P$3:$Q$7,2),IF($N16=Lists!$K$3,IF($L16&lt;1,(($U16/$L16)*((1+Inputs!$D$7)^AY$2)),((INT(AY$2/$L16)-INT((AY$2-1)/$L16))*$U16*((1+Inputs!$D$7)^AY$2))),(_xlfn.WEIBULL.DIST(AY$2,$M16,$L16,FALSE)*$U16*((1+Inputs!$D$7)^AY$2))),IF($N16=Lists!$K$3,IF($L16&lt;1,((($T16*(1-$F16)+$S16*(1-$G16))/$L16)*((1+Inputs!$D$7)^AY$2)),((INT(AY$2/$L16)-INT((AY$2-1)/$L16))*($T16*(1-$F16)+$S16*(1-$G16))*((1+Inputs!$D$7)^AY$2))),((_xlfn.WEIBULL.DIST(AY$2,$M16,$L16,FALSE)*($T16*(1-$F16)+$S16*(1-$G16))*((1+Inputs!$D$7)^AY$2))))))</f>
        <v>2540.1414373549233</v>
      </c>
      <c r="AZ16" s="88">
        <f>$E16*IF(AZ$2&gt;Inputs!$D$5,0,IF(AZ$2&gt;VLOOKUP($H16,Lists!$P$3:$Q$7,2),IF($N16=Lists!$K$3,IF($L16&lt;1,(($U16/$L16)*((1+Inputs!$D$7)^AZ$2)),((INT(AZ$2/$L16)-INT((AZ$2-1)/$L16))*$U16*((1+Inputs!$D$7)^AZ$2))),(_xlfn.WEIBULL.DIST(AZ$2,$M16,$L16,FALSE)*$U16*((1+Inputs!$D$7)^AZ$2))),IF($N16=Lists!$K$3,IF($L16&lt;1,((($T16*(1-$F16)+$S16*(1-$G16))/$L16)*((1+Inputs!$D$7)^AZ$2)),((INT(AZ$2/$L16)-INT((AZ$2-1)/$L16))*($T16*(1-$F16)+$S16*(1-$G16))*((1+Inputs!$D$7)^AZ$2))),((_xlfn.WEIBULL.DIST(AZ$2,$M16,$L16,FALSE)*($T16*(1-$F16)+$S16*(1-$G16))*((1+Inputs!$D$7)^AZ$2))))))</f>
        <v>0</v>
      </c>
      <c r="BA16" s="88">
        <f>$E16*IF(BA$2&gt;Inputs!$D$5,0,IF(BA$2&gt;VLOOKUP($H16,Lists!$P$3:$Q$7,2),IF($N16=Lists!$K$3,IF($L16&lt;1,(($U16/$L16)*((1+Inputs!$D$7)^BA$2)),((INT(BA$2/$L16)-INT((BA$2-1)/$L16))*$U16*((1+Inputs!$D$7)^BA$2))),(_xlfn.WEIBULL.DIST(BA$2,$M16,$L16,FALSE)*$U16*((1+Inputs!$D$7)^BA$2))),IF($N16=Lists!$K$3,IF($L16&lt;1,((($T16*(1-$F16)+$S16*(1-$G16))/$L16)*((1+Inputs!$D$7)^BA$2)),((INT(BA$2/$L16)-INT((BA$2-1)/$L16))*($T16*(1-$F16)+$S16*(1-$G16))*((1+Inputs!$D$7)^BA$2))),((_xlfn.WEIBULL.DIST(BA$2,$M16,$L16,FALSE)*($T16*(1-$F16)+$S16*(1-$G16))*((1+Inputs!$D$7)^BA$2))))))</f>
        <v>0</v>
      </c>
      <c r="BB16" s="88">
        <f>$E16*IF(BB$2&gt;Inputs!$D$5,0,IF(BB$2&gt;VLOOKUP($H16,Lists!$P$3:$Q$7,2),IF($N16=Lists!$K$3,IF($L16&lt;1,(($U16/$L16)*((1+Inputs!$D$7)^BB$2)),((INT(BB$2/$L16)-INT((BB$2-1)/$L16))*$U16*((1+Inputs!$D$7)^BB$2))),(_xlfn.WEIBULL.DIST(BB$2,$M16,$L16,FALSE)*$U16*((1+Inputs!$D$7)^BB$2))),IF($N16=Lists!$K$3,IF($L16&lt;1,((($T16*(1-$F16)+$S16*(1-$G16))/$L16)*((1+Inputs!$D$7)^BB$2)),((INT(BB$2/$L16)-INT((BB$2-1)/$L16))*($T16*(1-$F16)+$S16*(1-$G16))*((1+Inputs!$D$7)^BB$2))),((_xlfn.WEIBULL.DIST(BB$2,$M16,$L16,FALSE)*($T16*(1-$F16)+$S16*(1-$G16))*((1+Inputs!$D$7)^BB$2))))))</f>
        <v>0</v>
      </c>
      <c r="BC16" s="88">
        <f>$E16*IF(BC$2&gt;Inputs!$D$5,0,IF(BC$2&gt;VLOOKUP($H16,Lists!$P$3:$Q$7,2),IF($N16=Lists!$K$3,IF($L16&lt;1,(($U16/$L16)*((1+Inputs!$D$7)^BC$2)),((INT(BC$2/$L16)-INT((BC$2-1)/$L16))*$U16*((1+Inputs!$D$7)^BC$2))),(_xlfn.WEIBULL.DIST(BC$2,$M16,$L16,FALSE)*$U16*((1+Inputs!$D$7)^BC$2))),IF($N16=Lists!$K$3,IF($L16&lt;1,((($T16*(1-$F16)+$S16*(1-$G16))/$L16)*((1+Inputs!$D$7)^BC$2)),((INT(BC$2/$L16)-INT((BC$2-1)/$L16))*($T16*(1-$F16)+$S16*(1-$G16))*((1+Inputs!$D$7)^BC$2))),((_xlfn.WEIBULL.DIST(BC$2,$M16,$L16,FALSE)*($T16*(1-$F16)+$S16*(1-$G16))*((1+Inputs!$D$7)^BC$2))))))</f>
        <v>0</v>
      </c>
      <c r="BD16" s="88">
        <f>$E16*IF(BD$2&gt;Inputs!$D$5,0,IF(BD$2&gt;VLOOKUP($H16,Lists!$P$3:$Q$7,2),IF($N16=Lists!$K$3,IF($L16&lt;1,(($U16/$L16)*((1+Inputs!$D$7)^BD$2)),((INT(BD$2/$L16)-INT((BD$2-1)/$L16))*$U16*((1+Inputs!$D$7)^BD$2))),(_xlfn.WEIBULL.DIST(BD$2,$M16,$L16,FALSE)*$U16*((1+Inputs!$D$7)^BD$2))),IF($N16=Lists!$K$3,IF($L16&lt;1,((($T16*(1-$F16)+$S16*(1-$G16))/$L16)*((1+Inputs!$D$7)^BD$2)),((INT(BD$2/$L16)-INT((BD$2-1)/$L16))*($T16*(1-$F16)+$S16*(1-$G16))*((1+Inputs!$D$7)^BD$2))),((_xlfn.WEIBULL.DIST(BD$2,$M16,$L16,FALSE)*($T16*(1-$F16)+$S16*(1-$G16))*((1+Inputs!$D$7)^BD$2))))))</f>
        <v>0</v>
      </c>
      <c r="BE16" s="88">
        <f>$E16*IF(BE$2&gt;Inputs!$D$5,0,IF(BE$2&gt;VLOOKUP($H16,Lists!$P$3:$Q$7,2),IF($N16=Lists!$K$3,IF($L16&lt;1,(($U16/$L16)*((1+Inputs!$D$7)^BE$2)),((INT(BE$2/$L16)-INT((BE$2-1)/$L16))*$U16*((1+Inputs!$D$7)^BE$2))),(_xlfn.WEIBULL.DIST(BE$2,$M16,$L16,FALSE)*$U16*((1+Inputs!$D$7)^BE$2))),IF($N16=Lists!$K$3,IF($L16&lt;1,((($T16*(1-$F16)+$S16*(1-$G16))/$L16)*((1+Inputs!$D$7)^BE$2)),((INT(BE$2/$L16)-INT((BE$2-1)/$L16))*($T16*(1-$F16)+$S16*(1-$G16))*((1+Inputs!$D$7)^BE$2))),((_xlfn.WEIBULL.DIST(BE$2,$M16,$L16,FALSE)*($T16*(1-$F16)+$S16*(1-$G16))*((1+Inputs!$D$7)^BE$2))))))</f>
        <v>0</v>
      </c>
      <c r="BF16" s="88">
        <f>$E16*IF(BF$2&gt;Inputs!$D$5,0,IF(BF$2&gt;VLOOKUP($H16,Lists!$P$3:$Q$7,2),IF($N16=Lists!$K$3,IF($L16&lt;1,(($U16/$L16)*((1+Inputs!$D$7)^BF$2)),((INT(BF$2/$L16)-INT((BF$2-1)/$L16))*$U16*((1+Inputs!$D$7)^BF$2))),(_xlfn.WEIBULL.DIST(BF$2,$M16,$L16,FALSE)*$U16*((1+Inputs!$D$7)^BF$2))),IF($N16=Lists!$K$3,IF($L16&lt;1,((($T16*(1-$F16)+$S16*(1-$G16))/$L16)*((1+Inputs!$D$7)^BF$2)),((INT(BF$2/$L16)-INT((BF$2-1)/$L16))*($T16*(1-$F16)+$S16*(1-$G16))*((1+Inputs!$D$7)^BF$2))),((_xlfn.WEIBULL.DIST(BF$2,$M16,$L16,FALSE)*($T16*(1-$F16)+$S16*(1-$G16))*((1+Inputs!$D$7)^BF$2))))))</f>
        <v>0</v>
      </c>
      <c r="BG16" s="88">
        <f>$E16*IF(BG$2&gt;Inputs!$D$5,0,IF(BG$2&gt;VLOOKUP($H16,Lists!$P$3:$Q$7,2),IF($N16=Lists!$K$3,IF($L16&lt;1,(($U16/$L16)*((1+Inputs!$D$7)^BG$2)),((INT(BG$2/$L16)-INT((BG$2-1)/$L16))*$U16*((1+Inputs!$D$7)^BG$2))),(_xlfn.WEIBULL.DIST(BG$2,$M16,$L16,FALSE)*$U16*((1+Inputs!$D$7)^BG$2))),IF($N16=Lists!$K$3,IF($L16&lt;1,((($T16*(1-$F16)+$S16*(1-$G16))/$L16)*((1+Inputs!$D$7)^BG$2)),((INT(BG$2/$L16)-INT((BG$2-1)/$L16))*($T16*(1-$F16)+$S16*(1-$G16))*((1+Inputs!$D$7)^BG$2))),((_xlfn.WEIBULL.DIST(BG$2,$M16,$L16,FALSE)*($T16*(1-$F16)+$S16*(1-$G16))*((1+Inputs!$D$7)^BG$2))))))</f>
        <v>0</v>
      </c>
      <c r="BH16" s="88">
        <f>$E16*IF(BH$2&gt;Inputs!$D$5,0,IF(BH$2&gt;VLOOKUP($H16,Lists!$P$3:$Q$7,2),IF($N16=Lists!$K$3,IF($L16&lt;1,(($U16/$L16)*((1+Inputs!$D$7)^BH$2)),((INT(BH$2/$L16)-INT((BH$2-1)/$L16))*$U16*((1+Inputs!$D$7)^BH$2))),(_xlfn.WEIBULL.DIST(BH$2,$M16,$L16,FALSE)*$U16*((1+Inputs!$D$7)^BH$2))),IF($N16=Lists!$K$3,IF($L16&lt;1,((($T16*(1-$F16)+$S16*(1-$G16))/$L16)*((1+Inputs!$D$7)^BH$2)),((INT(BH$2/$L16)-INT((BH$2-1)/$L16))*($T16*(1-$F16)+$S16*(1-$G16))*((1+Inputs!$D$7)^BH$2))),((_xlfn.WEIBULL.DIST(BH$2,$M16,$L16,FALSE)*($T16*(1-$F16)+$S16*(1-$G16))*((1+Inputs!$D$7)^BH$2))))))</f>
        <v>0</v>
      </c>
      <c r="BI16" s="88">
        <f>$E16*IF(BI$2&gt;Inputs!$D$5,0,IF(BI$2&gt;VLOOKUP($H16,Lists!$P$3:$Q$7,2),IF($N16=Lists!$K$3,IF($L16&lt;1,(($U16/$L16)*((1+Inputs!$D$7)^BI$2)),((INT(BI$2/$L16)-INT((BI$2-1)/$L16))*$U16*((1+Inputs!$D$7)^BI$2))),(_xlfn.WEIBULL.DIST(BI$2,$M16,$L16,FALSE)*$U16*((1+Inputs!$D$7)^BI$2))),IF($N16=Lists!$K$3,IF($L16&lt;1,((($T16*(1-$F16)+$S16*(1-$G16))/$L16)*((1+Inputs!$D$7)^BI$2)),((INT(BI$2/$L16)-INT((BI$2-1)/$L16))*($T16*(1-$F16)+$S16*(1-$G16))*((1+Inputs!$D$7)^BI$2))),((_xlfn.WEIBULL.DIST(BI$2,$M16,$L16,FALSE)*($T16*(1-$F16)+$S16*(1-$G16))*((1+Inputs!$D$7)^BI$2))))))</f>
        <v>0</v>
      </c>
      <c r="BJ16" s="88">
        <f>$E16*IF(BJ$2&gt;Inputs!$D$5,0,IF(BJ$2&gt;VLOOKUP($H16,Lists!$P$3:$Q$7,2),IF($N16=Lists!$K$3,IF($L16&lt;1,(($U16/$L16)*((1+Inputs!$D$7)^BJ$2)),((INT(BJ$2/$L16)-INT((BJ$2-1)/$L16))*$U16*((1+Inputs!$D$7)^BJ$2))),(_xlfn.WEIBULL.DIST(BJ$2,$M16,$L16,FALSE)*$U16*((1+Inputs!$D$7)^BJ$2))),IF($N16=Lists!$K$3,IF($L16&lt;1,((($T16*(1-$F16)+$S16*(1-$G16))/$L16)*((1+Inputs!$D$7)^BJ$2)),((INT(BJ$2/$L16)-INT((BJ$2-1)/$L16))*($T16*(1-$F16)+$S16*(1-$G16))*((1+Inputs!$D$7)^BJ$2))),((_xlfn.WEIBULL.DIST(BJ$2,$M16,$L16,FALSE)*($T16*(1-$F16)+$S16*(1-$G16))*((1+Inputs!$D$7)^BJ$2))))))</f>
        <v>0</v>
      </c>
      <c r="BK16" s="88">
        <f>$E16*IF(BK$2&gt;Inputs!$D$5,0,IF(BK$2&gt;VLOOKUP($H16,Lists!$P$3:$Q$7,2),IF($N16=Lists!$K$3,IF($L16&lt;1,(($U16/$L16)*((1+Inputs!$D$7)^BK$2)),((INT(BK$2/$L16)-INT((BK$2-1)/$L16))*$U16*((1+Inputs!$D$7)^BK$2))),(_xlfn.WEIBULL.DIST(BK$2,$M16,$L16,FALSE)*$U16*((1+Inputs!$D$7)^BK$2))),IF($N16=Lists!$K$3,IF($L16&lt;1,((($T16*(1-$F16)+$S16*(1-$G16))/$L16)*((1+Inputs!$D$7)^BK$2)),((INT(BK$2/$L16)-INT((BK$2-1)/$L16))*($T16*(1-$F16)+$S16*(1-$G16))*((1+Inputs!$D$7)^BK$2))),((_xlfn.WEIBULL.DIST(BK$2,$M16,$L16,FALSE)*($T16*(1-$F16)+$S16*(1-$G16))*((1+Inputs!$D$7)^BK$2))))))</f>
        <v>0</v>
      </c>
      <c r="BL16" s="88">
        <f>$E16*IF(BL$2&gt;Inputs!$D$5,0,IF(BL$2&gt;VLOOKUP($H16,Lists!$P$3:$Q$7,2),IF($N16=Lists!$K$3,IF($L16&lt;1,(($U16/$L16)*((1+Inputs!$D$7)^BL$2)),((INT(BL$2/$L16)-INT((BL$2-1)/$L16))*$U16*((1+Inputs!$D$7)^BL$2))),(_xlfn.WEIBULL.DIST(BL$2,$M16,$L16,FALSE)*$U16*((1+Inputs!$D$7)^BL$2))),IF($N16=Lists!$K$3,IF($L16&lt;1,((($T16*(1-$F16)+$S16*(1-$G16))/$L16)*((1+Inputs!$D$7)^BL$2)),((INT(BL$2/$L16)-INT((BL$2-1)/$L16))*($T16*(1-$F16)+$S16*(1-$G16))*((1+Inputs!$D$7)^BL$2))),((_xlfn.WEIBULL.DIST(BL$2,$M16,$L16,FALSE)*($T16*(1-$F16)+$S16*(1-$G16))*((1+Inputs!$D$7)^BL$2))))))</f>
        <v>0</v>
      </c>
      <c r="BM16" s="88">
        <f>$E16*IF(BM$2&gt;Inputs!$D$5,0,IF(BM$2&gt;VLOOKUP($H16,Lists!$P$3:$Q$7,2),IF($N16=Lists!$K$3,IF($L16&lt;1,(($U16/$L16)*((1+Inputs!$D$7)^BM$2)),((INT(BM$2/$L16)-INT((BM$2-1)/$L16))*$U16*((1+Inputs!$D$7)^BM$2))),(_xlfn.WEIBULL.DIST(BM$2,$M16,$L16,FALSE)*$U16*((1+Inputs!$D$7)^BM$2))),IF($N16=Lists!$K$3,IF($L16&lt;1,((($T16*(1-$F16)+$S16*(1-$G16))/$L16)*((1+Inputs!$D$7)^BM$2)),((INT(BM$2/$L16)-INT((BM$2-1)/$L16))*($T16*(1-$F16)+$S16*(1-$G16))*((1+Inputs!$D$7)^BM$2))),((_xlfn.WEIBULL.DIST(BM$2,$M16,$L16,FALSE)*($T16*(1-$F16)+$S16*(1-$G16))*((1+Inputs!$D$7)^BM$2))))))</f>
        <v>0</v>
      </c>
      <c r="BN16" s="88">
        <f>$E16*IF(BN$2&gt;Inputs!$D$5,0,IF(BN$2&gt;VLOOKUP($H16,Lists!$P$3:$Q$7,2),IF($N16=Lists!$K$3,IF($L16&lt;1,(($U16/$L16)*((1+Inputs!$D$7)^BN$2)),((INT(BN$2/$L16)-INT((BN$2-1)/$L16))*$U16*((1+Inputs!$D$7)^BN$2))),(_xlfn.WEIBULL.DIST(BN$2,$M16,$L16,FALSE)*$U16*((1+Inputs!$D$7)^BN$2))),IF($N16=Lists!$K$3,IF($L16&lt;1,((($T16*(1-$F16)+$S16*(1-$G16))/$L16)*((1+Inputs!$D$7)^BN$2)),((INT(BN$2/$L16)-INT((BN$2-1)/$L16))*($T16*(1-$F16)+$S16*(1-$G16))*((1+Inputs!$D$7)^BN$2))),((_xlfn.WEIBULL.DIST(BN$2,$M16,$L16,FALSE)*($T16*(1-$F16)+$S16*(1-$G16))*((1+Inputs!$D$7)^BN$2))))))</f>
        <v>0</v>
      </c>
      <c r="BO16" s="64">
        <f>NPV(Inputs!$D$6,BQ16:DD16)</f>
        <v>28665.394684690033</v>
      </c>
      <c r="BP16" s="67">
        <f t="shared" si="6"/>
        <v>1.351999959816123E-2</v>
      </c>
      <c r="BQ16" s="88">
        <f>MAX(AA16,($E16*IF(BQ$2&gt;Inputs!$D$5,0,IF(BQ$2&gt;VLOOKUP($H16,Lists!$P$3:$Q$7,2),IF($N16=Lists!$K$3,IF($L16&lt;1,(($U16/$L16)*((1+Inputs!$D$7)^BQ$2)),((INT(BQ$2/$L16)-INT((BQ$2-1)/$L16))*$U16*((1+Inputs!$D$7)^BQ$2))),(Inputs!$D$8^((1-_xlfn.WEIBULL.DIST(BQ$2,$M16,$L16,FALSE))/_xlfn.WEIBULL.DIST(BQ$2,$M16,$L16,FALSE))*$U16*((1+Inputs!$D$7)^BQ$2))),IF($N16=Lists!$K$3,IF($L16&lt;1,((($T16*(1-$F16)+$S16*(1-$G16))/$L16)*((1+Inputs!$D$7)^BQ$2)),((INT(BQ$2/$L16)-INT((BQ$2-1)/$L16))*($T16*(1-$F16)+$S16*(1-$G16))*((1+Inputs!$D$7)^BQ$2))),((Inputs!$D$8^((1-_xlfn.WEIBULL.DIST(BQ$2,$M16,$L16,FALSE))/_xlfn.WEIBULL.DIST(BQ$2,$M16,$L16,FALSE))*($T16*(1-$F16)+$S16*(1-$G16))*((1+Inputs!$D$7)^BQ$2))))))))</f>
        <v>6.8681606758572693</v>
      </c>
      <c r="BR16" s="88">
        <f>MAX(AB16,($E16*IF(BR$2&gt;Inputs!$D$5,0,IF(BR$2&gt;VLOOKUP($H16,Lists!$P$3:$Q$7,2),IF($N16=Lists!$K$3,IF($L16&lt;1,(($U16/$L16)*((1+Inputs!$D$7)^BR$2)),((INT(BR$2/$L16)-INT((BR$2-1)/$L16))*$U16*((1+Inputs!$D$7)^BR$2))),(Inputs!$D$8^((1-_xlfn.WEIBULL.DIST(BR$2,$M16,$L16,FALSE))/_xlfn.WEIBULL.DIST(BR$2,$M16,$L16,FALSE))*$U16*((1+Inputs!$D$7)^BR$2))),IF($N16=Lists!$K$3,IF($L16&lt;1,((($T16*(1-$F16)+$S16*(1-$G16))/$L16)*((1+Inputs!$D$7)^BR$2)),((INT(BR$2/$L16)-INT((BR$2-1)/$L16))*($T16*(1-$F16)+$S16*(1-$G16))*((1+Inputs!$D$7)^BR$2))),((Inputs!$D$8^((1-_xlfn.WEIBULL.DIST(BR$2,$M16,$L16,FALSE))/_xlfn.WEIBULL.DIST(BR$2,$M16,$L16,FALSE))*($T16*(1-$F16)+$S16*(1-$G16))*((1+Inputs!$D$7)^BR$2))))))))</f>
        <v>28.009544470341339</v>
      </c>
      <c r="BS16" s="88">
        <f>MAX(AC16,($E16*IF(BS$2&gt;Inputs!$D$5,0,IF(BS$2&gt;VLOOKUP($H16,Lists!$P$3:$Q$7,2),IF($N16=Lists!$K$3,IF($L16&lt;1,(($U16/$L16)*((1+Inputs!$D$7)^BS$2)),((INT(BS$2/$L16)-INT((BS$2-1)/$L16))*$U16*((1+Inputs!$D$7)^BS$2))),(Inputs!$D$8^((1-_xlfn.WEIBULL.DIST(BS$2,$M16,$L16,FALSE))/_xlfn.WEIBULL.DIST(BS$2,$M16,$L16,FALSE))*$U16*((1+Inputs!$D$7)^BS$2))),IF($N16=Lists!$K$3,IF($L16&lt;1,((($T16*(1-$F16)+$S16*(1-$G16))/$L16)*((1+Inputs!$D$7)^BS$2)),((INT(BS$2/$L16)-INT((BS$2-1)/$L16))*($T16*(1-$F16)+$S16*(1-$G16))*((1+Inputs!$D$7)^BS$2))),((Inputs!$D$8^((1-_xlfn.WEIBULL.DIST(BS$2,$M16,$L16,FALSE))/_xlfn.WEIBULL.DIST(BS$2,$M16,$L16,FALSE))*($T16*(1-$F16)+$S16*(1-$G16))*((1+Inputs!$D$7)^BS$2))))))))</f>
        <v>64.203785269643276</v>
      </c>
      <c r="BT16" s="88">
        <f>MAX(AD16,($E16*IF(BT$2&gt;Inputs!$D$5,0,IF(BT$2&gt;VLOOKUP($H16,Lists!$P$3:$Q$7,2),IF($N16=Lists!$K$3,IF($L16&lt;1,(($U16/$L16)*((1+Inputs!$D$7)^BT$2)),((INT(BT$2/$L16)-INT((BT$2-1)/$L16))*$U16*((1+Inputs!$D$7)^BT$2))),(Inputs!$D$8^((1-_xlfn.WEIBULL.DIST(BT$2,$M16,$L16,FALSE))/_xlfn.WEIBULL.DIST(BT$2,$M16,$L16,FALSE))*$U16*((1+Inputs!$D$7)^BT$2))),IF($N16=Lists!$K$3,IF($L16&lt;1,((($T16*(1-$F16)+$S16*(1-$G16))/$L16)*((1+Inputs!$D$7)^BT$2)),((INT(BT$2/$L16)-INT((BT$2-1)/$L16))*($T16*(1-$F16)+$S16*(1-$G16))*((1+Inputs!$D$7)^BT$2))),((Inputs!$D$8^((1-_xlfn.WEIBULL.DIST(BT$2,$M16,$L16,FALSE))/_xlfn.WEIBULL.DIST(BT$2,$M16,$L16,FALSE))*($T16*(1-$F16)+$S16*(1-$G16))*((1+Inputs!$D$7)^BT$2))))))))</f>
        <v>116.14750077245489</v>
      </c>
      <c r="BU16" s="88">
        <f>MAX(AE16,($E16*IF(BU$2&gt;Inputs!$D$5,0,IF(BU$2&gt;VLOOKUP($H16,Lists!$P$3:$Q$7,2),IF($N16=Lists!$K$3,IF($L16&lt;1,(($U16/$L16)*((1+Inputs!$D$7)^BU$2)),((INT(BU$2/$L16)-INT((BU$2-1)/$L16))*$U16*((1+Inputs!$D$7)^BU$2))),(Inputs!$D$8^((1-_xlfn.WEIBULL.DIST(BU$2,$M16,$L16,FALSE))/_xlfn.WEIBULL.DIST(BU$2,$M16,$L16,FALSE))*$U16*((1+Inputs!$D$7)^BU$2))),IF($N16=Lists!$K$3,IF($L16&lt;1,((($T16*(1-$F16)+$S16*(1-$G16))/$L16)*((1+Inputs!$D$7)^BU$2)),((INT(BU$2/$L16)-INT((BU$2-1)/$L16))*($T16*(1-$F16)+$S16*(1-$G16))*((1+Inputs!$D$7)^BU$2))),((Inputs!$D$8^((1-_xlfn.WEIBULL.DIST(BU$2,$M16,$L16,FALSE))/_xlfn.WEIBULL.DIST(BU$2,$M16,$L16,FALSE))*($T16*(1-$F16)+$S16*(1-$G16))*((1+Inputs!$D$7)^BU$2))))))))</f>
        <v>184.38881842370805</v>
      </c>
      <c r="BV16" s="88">
        <f>MAX(AF16,($E16*IF(BV$2&gt;Inputs!$D$5,0,IF(BV$2&gt;VLOOKUP($H16,Lists!$P$3:$Q$7,2),IF($N16=Lists!$K$3,IF($L16&lt;1,(($U16/$L16)*((1+Inputs!$D$7)^BV$2)),((INT(BV$2/$L16)-INT((BV$2-1)/$L16))*$U16*((1+Inputs!$D$7)^BV$2))),(Inputs!$D$8^((1-_xlfn.WEIBULL.DIST(BV$2,$M16,$L16,FALSE))/_xlfn.WEIBULL.DIST(BV$2,$M16,$L16,FALSE))*$U16*((1+Inputs!$D$7)^BV$2))),IF($N16=Lists!$K$3,IF($L16&lt;1,((($T16*(1-$F16)+$S16*(1-$G16))/$L16)*((1+Inputs!$D$7)^BV$2)),((INT(BV$2/$L16)-INT((BV$2-1)/$L16))*($T16*(1-$F16)+$S16*(1-$G16))*((1+Inputs!$D$7)^BV$2))),((Inputs!$D$8^((1-_xlfn.WEIBULL.DIST(BV$2,$M16,$L16,FALSE))/_xlfn.WEIBULL.DIST(BV$2,$M16,$L16,FALSE))*($T16*(1-$F16)+$S16*(1-$G16))*((1+Inputs!$D$7)^BV$2))))))))</f>
        <v>269.25756509323145</v>
      </c>
      <c r="BW16" s="88">
        <f>MAX(AG16,($E16*IF(BW$2&gt;Inputs!$D$5,0,IF(BW$2&gt;VLOOKUP($H16,Lists!$P$3:$Q$7,2),IF($N16=Lists!$K$3,IF($L16&lt;1,(($U16/$L16)*((1+Inputs!$D$7)^BW$2)),((INT(BW$2/$L16)-INT((BW$2-1)/$L16))*$U16*((1+Inputs!$D$7)^BW$2))),(Inputs!$D$8^((1-_xlfn.WEIBULL.DIST(BW$2,$M16,$L16,FALSE))/_xlfn.WEIBULL.DIST(BW$2,$M16,$L16,FALSE))*$U16*((1+Inputs!$D$7)^BW$2))),IF($N16=Lists!$K$3,IF($L16&lt;1,((($T16*(1-$F16)+$S16*(1-$G16))/$L16)*((1+Inputs!$D$7)^BW$2)),((INT(BW$2/$L16)-INT((BW$2-1)/$L16))*($T16*(1-$F16)+$S16*(1-$G16))*((1+Inputs!$D$7)^BW$2))),((Inputs!$D$8^((1-_xlfn.WEIBULL.DIST(BW$2,$M16,$L16,FALSE))/_xlfn.WEIBULL.DIST(BW$2,$M16,$L16,FALSE))*($T16*(1-$F16)+$S16*(1-$G16))*((1+Inputs!$D$7)^BW$2))))))))</f>
        <v>370.79316466593514</v>
      </c>
      <c r="BX16" s="88">
        <f>MAX(AH16,($E16*IF(BX$2&gt;Inputs!$D$5,0,IF(BX$2&gt;VLOOKUP($H16,Lists!$P$3:$Q$7,2),IF($N16=Lists!$K$3,IF($L16&lt;1,(($U16/$L16)*((1+Inputs!$D$7)^BX$2)),((INT(BX$2/$L16)-INT((BX$2-1)/$L16))*$U16*((1+Inputs!$D$7)^BX$2))),(Inputs!$D$8^((1-_xlfn.WEIBULL.DIST(BX$2,$M16,$L16,FALSE))/_xlfn.WEIBULL.DIST(BX$2,$M16,$L16,FALSE))*$U16*((1+Inputs!$D$7)^BX$2))),IF($N16=Lists!$K$3,IF($L16&lt;1,((($T16*(1-$F16)+$S16*(1-$G16))/$L16)*((1+Inputs!$D$7)^BX$2)),((INT(BX$2/$L16)-INT((BX$2-1)/$L16))*($T16*(1-$F16)+$S16*(1-$G16))*((1+Inputs!$D$7)^BX$2))),((Inputs!$D$8^((1-_xlfn.WEIBULL.DIST(BX$2,$M16,$L16,FALSE))/_xlfn.WEIBULL.DIST(BX$2,$M16,$L16,FALSE))*($T16*(1-$F16)+$S16*(1-$G16))*((1+Inputs!$D$7)^BX$2))))))))</f>
        <v>488.67312603730505</v>
      </c>
      <c r="BY16" s="88">
        <f>MAX(AI16,($E16*IF(BY$2&gt;Inputs!$D$5,0,IF(BY$2&gt;VLOOKUP($H16,Lists!$P$3:$Q$7,2),IF($N16=Lists!$K$3,IF($L16&lt;1,(($U16/$L16)*((1+Inputs!$D$7)^BY$2)),((INT(BY$2/$L16)-INT((BY$2-1)/$L16))*$U16*((1+Inputs!$D$7)^BY$2))),(Inputs!$D$8^((1-_xlfn.WEIBULL.DIST(BY$2,$M16,$L16,FALSE))/_xlfn.WEIBULL.DIST(BY$2,$M16,$L16,FALSE))*$U16*((1+Inputs!$D$7)^BY$2))),IF($N16=Lists!$K$3,IF($L16&lt;1,((($T16*(1-$F16)+$S16*(1-$G16))/$L16)*((1+Inputs!$D$7)^BY$2)),((INT(BY$2/$L16)-INT((BY$2-1)/$L16))*($T16*(1-$F16)+$S16*(1-$G16))*((1+Inputs!$D$7)^BY$2))),((Inputs!$D$8^((1-_xlfn.WEIBULL.DIST(BY$2,$M16,$L16,FALSE))/_xlfn.WEIBULL.DIST(BY$2,$M16,$L16,FALSE))*($T16*(1-$F16)+$S16*(1-$G16))*((1+Inputs!$D$7)^BY$2))))))))</f>
        <v>622.14582503649729</v>
      </c>
      <c r="BZ16" s="88">
        <f>MAX(AJ16,($E16*IF(BZ$2&gt;Inputs!$D$5,0,IF(BZ$2&gt;VLOOKUP($H16,Lists!$P$3:$Q$7,2),IF($N16=Lists!$K$3,IF($L16&lt;1,(($U16/$L16)*((1+Inputs!$D$7)^BZ$2)),((INT(BZ$2/$L16)-INT((BZ$2-1)/$L16))*$U16*((1+Inputs!$D$7)^BZ$2))),(Inputs!$D$8^((1-_xlfn.WEIBULL.DIST(BZ$2,$M16,$L16,FALSE))/_xlfn.WEIBULL.DIST(BZ$2,$M16,$L16,FALSE))*$U16*((1+Inputs!$D$7)^BZ$2))),IF($N16=Lists!$K$3,IF($L16&lt;1,((($T16*(1-$F16)+$S16*(1-$G16))/$L16)*((1+Inputs!$D$7)^BZ$2)),((INT(BZ$2/$L16)-INT((BZ$2-1)/$L16))*($T16*(1-$F16)+$S16*(1-$G16))*((1+Inputs!$D$7)^BZ$2))),((Inputs!$D$8^((1-_xlfn.WEIBULL.DIST(BZ$2,$M16,$L16,FALSE))/_xlfn.WEIBULL.DIST(BZ$2,$M16,$L16,FALSE))*($T16*(1-$F16)+$S16*(1-$G16))*((1+Inputs!$D$7)^BZ$2))))))))</f>
        <v>769.97201441317486</v>
      </c>
      <c r="CA16" s="88">
        <f>MAX(AK16,($E16*IF(CA$2&gt;Inputs!$D$5,0,IF(CA$2&gt;VLOOKUP($H16,Lists!$P$3:$Q$7,2),IF($N16=Lists!$K$3,IF($L16&lt;1,(($U16/$L16)*((1+Inputs!$D$7)^CA$2)),((INT(CA$2/$L16)-INT((CA$2-1)/$L16))*$U16*((1+Inputs!$D$7)^CA$2))),(Inputs!$D$8^((1-_xlfn.WEIBULL.DIST(CA$2,$M16,$L16,FALSE))/_xlfn.WEIBULL.DIST(CA$2,$M16,$L16,FALSE))*$U16*((1+Inputs!$D$7)^CA$2))),IF($N16=Lists!$K$3,IF($L16&lt;1,((($T16*(1-$F16)+$S16*(1-$G16))/$L16)*((1+Inputs!$D$7)^CA$2)),((INT(CA$2/$L16)-INT((CA$2-1)/$L16))*($T16*(1-$F16)+$S16*(1-$G16))*((1+Inputs!$D$7)^CA$2))),((Inputs!$D$8^((1-_xlfn.WEIBULL.DIST(CA$2,$M16,$L16,FALSE))/_xlfn.WEIBULL.DIST(CA$2,$M16,$L16,FALSE))*($T16*(1-$F16)+$S16*(1-$G16))*((1+Inputs!$D$7)^CA$2))))))))</f>
        <v>951.62106278242209</v>
      </c>
      <c r="CB16" s="88">
        <f>MAX(AL16,($E16*IF(CB$2&gt;Inputs!$D$5,0,IF(CB$2&gt;VLOOKUP($H16,Lists!$P$3:$Q$7,2),IF($N16=Lists!$K$3,IF($L16&lt;1,(($U16/$L16)*((1+Inputs!$D$7)^CB$2)),((INT(CB$2/$L16)-INT((CB$2-1)/$L16))*$U16*((1+Inputs!$D$7)^CB$2))),(Inputs!$D$8^((1-_xlfn.WEIBULL.DIST(CB$2,$M16,$L16,FALSE))/_xlfn.WEIBULL.DIST(CB$2,$M16,$L16,FALSE))*$U16*((1+Inputs!$D$7)^CB$2))),IF($N16=Lists!$K$3,IF($L16&lt;1,((($T16*(1-$F16)+$S16*(1-$G16))/$L16)*((1+Inputs!$D$7)^CB$2)),((INT(CB$2/$L16)-INT((CB$2-1)/$L16))*($T16*(1-$F16)+$S16*(1-$G16))*((1+Inputs!$D$7)^CB$2))),((Inputs!$D$8^((1-_xlfn.WEIBULL.DIST(CB$2,$M16,$L16,FALSE))/_xlfn.WEIBULL.DIST(CB$2,$M16,$L16,FALSE))*($T16*(1-$F16)+$S16*(1-$G16))*((1+Inputs!$D$7)^CB$2))))))))</f>
        <v>1665.1824202044038</v>
      </c>
      <c r="CC16" s="88">
        <f>MAX(AM16,($E16*IF(CC$2&gt;Inputs!$D$5,0,IF(CC$2&gt;VLOOKUP($H16,Lists!$P$3:$Q$7,2),IF($N16=Lists!$K$3,IF($L16&lt;1,(($U16/$L16)*((1+Inputs!$D$7)^CC$2)),((INT(CC$2/$L16)-INT((CC$2-1)/$L16))*$U16*((1+Inputs!$D$7)^CC$2))),(Inputs!$D$8^((1-_xlfn.WEIBULL.DIST(CC$2,$M16,$L16,FALSE))/_xlfn.WEIBULL.DIST(CC$2,$M16,$L16,FALSE))*$U16*((1+Inputs!$D$7)^CC$2))),IF($N16=Lists!$K$3,IF($L16&lt;1,((($T16*(1-$F16)+$S16*(1-$G16))/$L16)*((1+Inputs!$D$7)^CC$2)),((INT(CC$2/$L16)-INT((CC$2-1)/$L16))*($T16*(1-$F16)+$S16*(1-$G16))*((1+Inputs!$D$7)^CC$2))),((Inputs!$D$8^((1-_xlfn.WEIBULL.DIST(CC$2,$M16,$L16,FALSE))/_xlfn.WEIBULL.DIST(CC$2,$M16,$L16,FALSE))*($T16*(1-$F16)+$S16*(1-$G16))*((1+Inputs!$D$7)^CC$2))))))))</f>
        <v>2561.4607024427664</v>
      </c>
      <c r="CD16" s="88">
        <f>MAX(AN16,($E16*IF(CD$2&gt;Inputs!$D$5,0,IF(CD$2&gt;VLOOKUP($H16,Lists!$P$3:$Q$7,2),IF($N16=Lists!$K$3,IF($L16&lt;1,(($U16/$L16)*((1+Inputs!$D$7)^CD$2)),((INT(CD$2/$L16)-INT((CD$2-1)/$L16))*$U16*((1+Inputs!$D$7)^CD$2))),(Inputs!$D$8^((1-_xlfn.WEIBULL.DIST(CD$2,$M16,$L16,FALSE))/_xlfn.WEIBULL.DIST(CD$2,$M16,$L16,FALSE))*$U16*((1+Inputs!$D$7)^CD$2))),IF($N16=Lists!$K$3,IF($L16&lt;1,((($T16*(1-$F16)+$S16*(1-$G16))/$L16)*((1+Inputs!$D$7)^CD$2)),((INT(CD$2/$L16)-INT((CD$2-1)/$L16))*($T16*(1-$F16)+$S16*(1-$G16))*((1+Inputs!$D$7)^CD$2))),((Inputs!$D$8^((1-_xlfn.WEIBULL.DIST(CD$2,$M16,$L16,FALSE))/_xlfn.WEIBULL.DIST(CD$2,$M16,$L16,FALSE))*($T16*(1-$F16)+$S16*(1-$G16))*((1+Inputs!$D$7)^CD$2))))))))</f>
        <v>3585.6978886715065</v>
      </c>
      <c r="CE16" s="88">
        <f>MAX(AO16,($E16*IF(CE$2&gt;Inputs!$D$5,0,IF(CE$2&gt;VLOOKUP($H16,Lists!$P$3:$Q$7,2),IF($N16=Lists!$K$3,IF($L16&lt;1,(($U16/$L16)*((1+Inputs!$D$7)^CE$2)),((INT(CE$2/$L16)-INT((CE$2-1)/$L16))*$U16*((1+Inputs!$D$7)^CE$2))),(Inputs!$D$8^((1-_xlfn.WEIBULL.DIST(CE$2,$M16,$L16,FALSE))/_xlfn.WEIBULL.DIST(CE$2,$M16,$L16,FALSE))*$U16*((1+Inputs!$D$7)^CE$2))),IF($N16=Lists!$K$3,IF($L16&lt;1,((($T16*(1-$F16)+$S16*(1-$G16))/$L16)*((1+Inputs!$D$7)^CE$2)),((INT(CE$2/$L16)-INT((CE$2-1)/$L16))*($T16*(1-$F16)+$S16*(1-$G16))*((1+Inputs!$D$7)^CE$2))),((Inputs!$D$8^((1-_xlfn.WEIBULL.DIST(CE$2,$M16,$L16,FALSE))/_xlfn.WEIBULL.DIST(CE$2,$M16,$L16,FALSE))*($T16*(1-$F16)+$S16*(1-$G16))*((1+Inputs!$D$7)^CE$2))))))))</f>
        <v>4675.5644982058957</v>
      </c>
      <c r="CF16" s="88">
        <f>MAX(AP16,($E16*IF(CF$2&gt;Inputs!$D$5,0,IF(CF$2&gt;VLOOKUP($H16,Lists!$P$3:$Q$7,2),IF($N16=Lists!$K$3,IF($L16&lt;1,(($U16/$L16)*((1+Inputs!$D$7)^CF$2)),((INT(CF$2/$L16)-INT((CF$2-1)/$L16))*$U16*((1+Inputs!$D$7)^CF$2))),(Inputs!$D$8^((1-_xlfn.WEIBULL.DIST(CF$2,$M16,$L16,FALSE))/_xlfn.WEIBULL.DIST(CF$2,$M16,$L16,FALSE))*$U16*((1+Inputs!$D$7)^CF$2))),IF($N16=Lists!$K$3,IF($L16&lt;1,((($T16*(1-$F16)+$S16*(1-$G16))/$L16)*((1+Inputs!$D$7)^CF$2)),((INT(CF$2/$L16)-INT((CF$2-1)/$L16))*($T16*(1-$F16)+$S16*(1-$G16))*((1+Inputs!$D$7)^CF$2))),((Inputs!$D$8^((1-_xlfn.WEIBULL.DIST(CF$2,$M16,$L16,FALSE))/_xlfn.WEIBULL.DIST(CF$2,$M16,$L16,FALSE))*($T16*(1-$F16)+$S16*(1-$G16))*((1+Inputs!$D$7)^CF$2))))))))</f>
        <v>5770.7544989200087</v>
      </c>
      <c r="CG16" s="88">
        <f>MAX(AQ16,($E16*IF(CG$2&gt;Inputs!$D$5,0,IF(CG$2&gt;VLOOKUP($H16,Lists!$P$3:$Q$7,2),IF($N16=Lists!$K$3,IF($L16&lt;1,(($U16/$L16)*((1+Inputs!$D$7)^CG$2)),((INT(CG$2/$L16)-INT((CG$2-1)/$L16))*$U16*((1+Inputs!$D$7)^CG$2))),(Inputs!$D$8^((1-_xlfn.WEIBULL.DIST(CG$2,$M16,$L16,FALSE))/_xlfn.WEIBULL.DIST(CG$2,$M16,$L16,FALSE))*$U16*((1+Inputs!$D$7)^CG$2))),IF($N16=Lists!$K$3,IF($L16&lt;1,((($T16*(1-$F16)+$S16*(1-$G16))/$L16)*((1+Inputs!$D$7)^CG$2)),((INT(CG$2/$L16)-INT((CG$2-1)/$L16))*($T16*(1-$F16)+$S16*(1-$G16))*((1+Inputs!$D$7)^CG$2))),((Inputs!$D$8^((1-_xlfn.WEIBULL.DIST(CG$2,$M16,$L16,FALSE))/_xlfn.WEIBULL.DIST(CG$2,$M16,$L16,FALSE))*($T16*(1-$F16)+$S16*(1-$G16))*((1+Inputs!$D$7)^CG$2))))))))</f>
        <v>6817.7506711147907</v>
      </c>
      <c r="CH16" s="88">
        <f>MAX(AR16,($E16*IF(CH$2&gt;Inputs!$D$5,0,IF(CH$2&gt;VLOOKUP($H16,Lists!$P$3:$Q$7,2),IF($N16=Lists!$K$3,IF($L16&lt;1,(($U16/$L16)*((1+Inputs!$D$7)^CH$2)),((INT(CH$2/$L16)-INT((CH$2-1)/$L16))*$U16*((1+Inputs!$D$7)^CH$2))),(Inputs!$D$8^((1-_xlfn.WEIBULL.DIST(CH$2,$M16,$L16,FALSE))/_xlfn.WEIBULL.DIST(CH$2,$M16,$L16,FALSE))*$U16*((1+Inputs!$D$7)^CH$2))),IF($N16=Lists!$K$3,IF($L16&lt;1,((($T16*(1-$F16)+$S16*(1-$G16))/$L16)*((1+Inputs!$D$7)^CH$2)),((INT(CH$2/$L16)-INT((CH$2-1)/$L16))*($T16*(1-$F16)+$S16*(1-$G16))*((1+Inputs!$D$7)^CH$2))),((Inputs!$D$8^((1-_xlfn.WEIBULL.DIST(CH$2,$M16,$L16,FALSE))/_xlfn.WEIBULL.DIST(CH$2,$M16,$L16,FALSE))*($T16*(1-$F16)+$S16*(1-$G16))*((1+Inputs!$D$7)^CH$2))))))))</f>
        <v>7771.2923040759515</v>
      </c>
      <c r="CI16" s="88">
        <f>MAX(AS16,($E16*IF(CI$2&gt;Inputs!$D$5,0,IF(CI$2&gt;VLOOKUP($H16,Lists!$P$3:$Q$7,2),IF($N16=Lists!$K$3,IF($L16&lt;1,(($U16/$L16)*((1+Inputs!$D$7)^CI$2)),((INT(CI$2/$L16)-INT((CI$2-1)/$L16))*$U16*((1+Inputs!$D$7)^CI$2))),(Inputs!$D$8^((1-_xlfn.WEIBULL.DIST(CI$2,$M16,$L16,FALSE))/_xlfn.WEIBULL.DIST(CI$2,$M16,$L16,FALSE))*$U16*((1+Inputs!$D$7)^CI$2))),IF($N16=Lists!$K$3,IF($L16&lt;1,((($T16*(1-$F16)+$S16*(1-$G16))/$L16)*((1+Inputs!$D$7)^CI$2)),((INT(CI$2/$L16)-INT((CI$2-1)/$L16))*($T16*(1-$F16)+$S16*(1-$G16))*((1+Inputs!$D$7)^CI$2))),((Inputs!$D$8^((1-_xlfn.WEIBULL.DIST(CI$2,$M16,$L16,FALSE))/_xlfn.WEIBULL.DIST(CI$2,$M16,$L16,FALSE))*($T16*(1-$F16)+$S16*(1-$G16))*((1+Inputs!$D$7)^CI$2))))))))</f>
        <v>8594.0524572115737</v>
      </c>
      <c r="CJ16" s="88">
        <f>MAX(AT16,($E16*IF(CJ$2&gt;Inputs!$D$5,0,IF(CJ$2&gt;VLOOKUP($H16,Lists!$P$3:$Q$7,2),IF($N16=Lists!$K$3,IF($L16&lt;1,(($U16/$L16)*((1+Inputs!$D$7)^CJ$2)),((INT(CJ$2/$L16)-INT((CJ$2-1)/$L16))*$U16*((1+Inputs!$D$7)^CJ$2))),(Inputs!$D$8^((1-_xlfn.WEIBULL.DIST(CJ$2,$M16,$L16,FALSE))/_xlfn.WEIBULL.DIST(CJ$2,$M16,$L16,FALSE))*$U16*((1+Inputs!$D$7)^CJ$2))),IF($N16=Lists!$K$3,IF($L16&lt;1,((($T16*(1-$F16)+$S16*(1-$G16))/$L16)*((1+Inputs!$D$7)^CJ$2)),((INT(CJ$2/$L16)-INT((CJ$2-1)/$L16))*($T16*(1-$F16)+$S16*(1-$G16))*((1+Inputs!$D$7)^CJ$2))),((Inputs!$D$8^((1-_xlfn.WEIBULL.DIST(CJ$2,$M16,$L16,FALSE))/_xlfn.WEIBULL.DIST(CJ$2,$M16,$L16,FALSE))*($T16*(1-$F16)+$S16*(1-$G16))*((1+Inputs!$D$7)^CJ$2))))))))</f>
        <v>9255.5999851584729</v>
      </c>
      <c r="CK16" s="88">
        <f>MAX(AU16,($E16*IF(CK$2&gt;Inputs!$D$5,0,IF(CK$2&gt;VLOOKUP($H16,Lists!$P$3:$Q$7,2),IF($N16=Lists!$K$3,IF($L16&lt;1,(($U16/$L16)*((1+Inputs!$D$7)^CK$2)),((INT(CK$2/$L16)-INT((CK$2-1)/$L16))*$U16*((1+Inputs!$D$7)^CK$2))),(Inputs!$D$8^((1-_xlfn.WEIBULL.DIST(CK$2,$M16,$L16,FALSE))/_xlfn.WEIBULL.DIST(CK$2,$M16,$L16,FALSE))*$U16*((1+Inputs!$D$7)^CK$2))),IF($N16=Lists!$K$3,IF($L16&lt;1,((($T16*(1-$F16)+$S16*(1-$G16))/$L16)*((1+Inputs!$D$7)^CK$2)),((INT(CK$2/$L16)-INT((CK$2-1)/$L16))*($T16*(1-$F16)+$S16*(1-$G16))*((1+Inputs!$D$7)^CK$2))),((Inputs!$D$8^((1-_xlfn.WEIBULL.DIST(CK$2,$M16,$L16,FALSE))/_xlfn.WEIBULL.DIST(CK$2,$M16,$L16,FALSE))*($T16*(1-$F16)+$S16*(1-$G16))*((1+Inputs!$D$7)^CK$2))))))))</f>
        <v>9731.3088547699626</v>
      </c>
      <c r="CL16" s="88">
        <f>MAX(AV16,($E16*IF(CL$2&gt;Inputs!$D$5,0,IF(CL$2&gt;VLOOKUP($H16,Lists!$P$3:$Q$7,2),IF($N16=Lists!$K$3,IF($L16&lt;1,(($U16/$L16)*((1+Inputs!$D$7)^CL$2)),((INT(CL$2/$L16)-INT((CL$2-1)/$L16))*$U16*((1+Inputs!$D$7)^CL$2))),(Inputs!$D$8^((1-_xlfn.WEIBULL.DIST(CL$2,$M16,$L16,FALSE))/_xlfn.WEIBULL.DIST(CL$2,$M16,$L16,FALSE))*$U16*((1+Inputs!$D$7)^CL$2))),IF($N16=Lists!$K$3,IF($L16&lt;1,((($T16*(1-$F16)+$S16*(1-$G16))/$L16)*((1+Inputs!$D$7)^CL$2)),((INT(CL$2/$L16)-INT((CL$2-1)/$L16))*($T16*(1-$F16)+$S16*(1-$G16))*((1+Inputs!$D$7)^CL$2))),((Inputs!$D$8^((1-_xlfn.WEIBULL.DIST(CL$2,$M16,$L16,FALSE))/_xlfn.WEIBULL.DIST(CL$2,$M16,$L16,FALSE))*($T16*(1-$F16)+$S16*(1-$G16))*((1+Inputs!$D$7)^CL$2))))))))</f>
        <v>10001.595150148045</v>
      </c>
      <c r="CM16" s="88">
        <f>MAX(AW16,($E16*IF(CM$2&gt;Inputs!$D$5,0,IF(CM$2&gt;VLOOKUP($H16,Lists!$P$3:$Q$7,2),IF($N16=Lists!$K$3,IF($L16&lt;1,(($U16/$L16)*((1+Inputs!$D$7)^CM$2)),((INT(CM$2/$L16)-INT((CM$2-1)/$L16))*$U16*((1+Inputs!$D$7)^CM$2))),(Inputs!$D$8^((1-_xlfn.WEIBULL.DIST(CM$2,$M16,$L16,FALSE))/_xlfn.WEIBULL.DIST(CM$2,$M16,$L16,FALSE))*$U16*((1+Inputs!$D$7)^CM$2))),IF($N16=Lists!$K$3,IF($L16&lt;1,((($T16*(1-$F16)+$S16*(1-$G16))/$L16)*((1+Inputs!$D$7)^CM$2)),((INT(CM$2/$L16)-INT((CM$2-1)/$L16))*($T16*(1-$F16)+$S16*(1-$G16))*((1+Inputs!$D$7)^CM$2))),((Inputs!$D$8^((1-_xlfn.WEIBULL.DIST(CM$2,$M16,$L16,FALSE))/_xlfn.WEIBULL.DIST(CM$2,$M16,$L16,FALSE))*($T16*(1-$F16)+$S16*(1-$G16))*((1+Inputs!$D$7)^CM$2))))))))</f>
        <v>10051.700590031531</v>
      </c>
      <c r="CN16" s="88">
        <f>MAX(AX16,($E16*IF(CN$2&gt;Inputs!$D$5,0,IF(CN$2&gt;VLOOKUP($H16,Lists!$P$3:$Q$7,2),IF($N16=Lists!$K$3,IF($L16&lt;1,(($U16/$L16)*((1+Inputs!$D$7)^CN$2)),((INT(CN$2/$L16)-INT((CN$2-1)/$L16))*$U16*((1+Inputs!$D$7)^CN$2))),(Inputs!$D$8^((1-_xlfn.WEIBULL.DIST(CN$2,$M16,$L16,FALSE))/_xlfn.WEIBULL.DIST(CN$2,$M16,$L16,FALSE))*$U16*((1+Inputs!$D$7)^CN$2))),IF($N16=Lists!$K$3,IF($L16&lt;1,((($T16*(1-$F16)+$S16*(1-$G16))/$L16)*((1+Inputs!$D$7)^CN$2)),((INT(CN$2/$L16)-INT((CN$2-1)/$L16))*($T16*(1-$F16)+$S16*(1-$G16))*((1+Inputs!$D$7)^CN$2))),((Inputs!$D$8^((1-_xlfn.WEIBULL.DIST(CN$2,$M16,$L16,FALSE))/_xlfn.WEIBULL.DIST(CN$2,$M16,$L16,FALSE))*($T16*(1-$F16)+$S16*(1-$G16))*((1+Inputs!$D$7)^CN$2))))))))</f>
        <v>9872.158631355147</v>
      </c>
      <c r="CO16" s="88">
        <f>MAX(AY16,($E16*IF(CO$2&gt;Inputs!$D$5,0,IF(CO$2&gt;VLOOKUP($H16,Lists!$P$3:$Q$7,2),IF($N16=Lists!$K$3,IF($L16&lt;1,(($U16/$L16)*((1+Inputs!$D$7)^CO$2)),((INT(CO$2/$L16)-INT((CO$2-1)/$L16))*$U16*((1+Inputs!$D$7)^CO$2))),(Inputs!$D$8^((1-_xlfn.WEIBULL.DIST(CO$2,$M16,$L16,FALSE))/_xlfn.WEIBULL.DIST(CO$2,$M16,$L16,FALSE))*$U16*((1+Inputs!$D$7)^CO$2))),IF($N16=Lists!$K$3,IF($L16&lt;1,((($T16*(1-$F16)+$S16*(1-$G16))/$L16)*((1+Inputs!$D$7)^CO$2)),((INT(CO$2/$L16)-INT((CO$2-1)/$L16))*($T16*(1-$F16)+$S16*(1-$G16))*((1+Inputs!$D$7)^CO$2))),((Inputs!$D$8^((1-_xlfn.WEIBULL.DIST(CO$2,$M16,$L16,FALSE))/_xlfn.WEIBULL.DIST(CO$2,$M16,$L16,FALSE))*($T16*(1-$F16)+$S16*(1-$G16))*((1+Inputs!$D$7)^CO$2))))))))</f>
        <v>9460.0307970580598</v>
      </c>
      <c r="CP16" s="88">
        <f>MAX(AZ16,($E16*IF(CP$2&gt;Inputs!$D$5,0,IF(CP$2&gt;VLOOKUP($H16,Lists!$P$3:$Q$7,2),IF($N16=Lists!$K$3,IF($L16&lt;1,(($U16/$L16)*((1+Inputs!$D$7)^CP$2)),((INT(CP$2/$L16)-INT((CP$2-1)/$L16))*$U16*((1+Inputs!$D$7)^CP$2))),(Inputs!$D$8^((1-_xlfn.WEIBULL.DIST(CP$2,$M16,$L16,FALSE))/_xlfn.WEIBULL.DIST(CP$2,$M16,$L16,FALSE))*$U16*((1+Inputs!$D$7)^CP$2))),IF($N16=Lists!$K$3,IF($L16&lt;1,((($T16*(1-$F16)+$S16*(1-$G16))/$L16)*((1+Inputs!$D$7)^CP$2)),((INT(CP$2/$L16)-INT((CP$2-1)/$L16))*($T16*(1-$F16)+$S16*(1-$G16))*((1+Inputs!$D$7)^CP$2))),((Inputs!$D$8^((1-_xlfn.WEIBULL.DIST(CP$2,$M16,$L16,FALSE))/_xlfn.WEIBULL.DIST(CP$2,$M16,$L16,FALSE))*($T16*(1-$F16)+$S16*(1-$G16))*((1+Inputs!$D$7)^CP$2))))))))</f>
        <v>0</v>
      </c>
      <c r="CQ16" s="88">
        <f>MAX(BA16,($E16*IF(CQ$2&gt;Inputs!$D$5,0,IF(CQ$2&gt;VLOOKUP($H16,Lists!$P$3:$Q$7,2),IF($N16=Lists!$K$3,IF($L16&lt;1,(($U16/$L16)*((1+Inputs!$D$7)^CQ$2)),((INT(CQ$2/$L16)-INT((CQ$2-1)/$L16))*$U16*((1+Inputs!$D$7)^CQ$2))),(Inputs!$D$8^((1-_xlfn.WEIBULL.DIST(CQ$2,$M16,$L16,FALSE))/_xlfn.WEIBULL.DIST(CQ$2,$M16,$L16,FALSE))*$U16*((1+Inputs!$D$7)^CQ$2))),IF($N16=Lists!$K$3,IF($L16&lt;1,((($T16*(1-$F16)+$S16*(1-$G16))/$L16)*((1+Inputs!$D$7)^CQ$2)),((INT(CQ$2/$L16)-INT((CQ$2-1)/$L16))*($T16*(1-$F16)+$S16*(1-$G16))*((1+Inputs!$D$7)^CQ$2))),((Inputs!$D$8^((1-_xlfn.WEIBULL.DIST(CQ$2,$M16,$L16,FALSE))/_xlfn.WEIBULL.DIST(CQ$2,$M16,$L16,FALSE))*($T16*(1-$F16)+$S16*(1-$G16))*((1+Inputs!$D$7)^CQ$2))))))))</f>
        <v>0</v>
      </c>
      <c r="CR16" s="88">
        <f>MAX(BB16,($E16*IF(CR$2&gt;Inputs!$D$5,0,IF(CR$2&gt;VLOOKUP($H16,Lists!$P$3:$Q$7,2),IF($N16=Lists!$K$3,IF($L16&lt;1,(($U16/$L16)*((1+Inputs!$D$7)^CR$2)),((INT(CR$2/$L16)-INT((CR$2-1)/$L16))*$U16*((1+Inputs!$D$7)^CR$2))),(Inputs!$D$8^((1-_xlfn.WEIBULL.DIST(CR$2,$M16,$L16,FALSE))/_xlfn.WEIBULL.DIST(CR$2,$M16,$L16,FALSE))*$U16*((1+Inputs!$D$7)^CR$2))),IF($N16=Lists!$K$3,IF($L16&lt;1,((($T16*(1-$F16)+$S16*(1-$G16))/$L16)*((1+Inputs!$D$7)^CR$2)),((INT(CR$2/$L16)-INT((CR$2-1)/$L16))*($T16*(1-$F16)+$S16*(1-$G16))*((1+Inputs!$D$7)^CR$2))),((Inputs!$D$8^((1-_xlfn.WEIBULL.DIST(CR$2,$M16,$L16,FALSE))/_xlfn.WEIBULL.DIST(CR$2,$M16,$L16,FALSE))*($T16*(1-$F16)+$S16*(1-$G16))*((1+Inputs!$D$7)^CR$2))))))))</f>
        <v>0</v>
      </c>
      <c r="CS16" s="88">
        <f>MAX(BC16,($E16*IF(CS$2&gt;Inputs!$D$5,0,IF(CS$2&gt;VLOOKUP($H16,Lists!$P$3:$Q$7,2),IF($N16=Lists!$K$3,IF($L16&lt;1,(($U16/$L16)*((1+Inputs!$D$7)^CS$2)),((INT(CS$2/$L16)-INT((CS$2-1)/$L16))*$U16*((1+Inputs!$D$7)^CS$2))),(Inputs!$D$8^((1-_xlfn.WEIBULL.DIST(CS$2,$M16,$L16,FALSE))/_xlfn.WEIBULL.DIST(CS$2,$M16,$L16,FALSE))*$U16*((1+Inputs!$D$7)^CS$2))),IF($N16=Lists!$K$3,IF($L16&lt;1,((($T16*(1-$F16)+$S16*(1-$G16))/$L16)*((1+Inputs!$D$7)^CS$2)),((INT(CS$2/$L16)-INT((CS$2-1)/$L16))*($T16*(1-$F16)+$S16*(1-$G16))*((1+Inputs!$D$7)^CS$2))),((Inputs!$D$8^((1-_xlfn.WEIBULL.DIST(CS$2,$M16,$L16,FALSE))/_xlfn.WEIBULL.DIST(CS$2,$M16,$L16,FALSE))*($T16*(1-$F16)+$S16*(1-$G16))*((1+Inputs!$D$7)^CS$2))))))))</f>
        <v>0</v>
      </c>
      <c r="CT16" s="88">
        <f>MAX(BD16,($E16*IF(CT$2&gt;Inputs!$D$5,0,IF(CT$2&gt;VLOOKUP($H16,Lists!$P$3:$Q$7,2),IF($N16=Lists!$K$3,IF($L16&lt;1,(($U16/$L16)*((1+Inputs!$D$7)^CT$2)),((INT(CT$2/$L16)-INT((CT$2-1)/$L16))*$U16*((1+Inputs!$D$7)^CT$2))),(Inputs!$D$8^((1-_xlfn.WEIBULL.DIST(CT$2,$M16,$L16,FALSE))/_xlfn.WEIBULL.DIST(CT$2,$M16,$L16,FALSE))*$U16*((1+Inputs!$D$7)^CT$2))),IF($N16=Lists!$K$3,IF($L16&lt;1,((($T16*(1-$F16)+$S16*(1-$G16))/$L16)*((1+Inputs!$D$7)^CT$2)),((INT(CT$2/$L16)-INT((CT$2-1)/$L16))*($T16*(1-$F16)+$S16*(1-$G16))*((1+Inputs!$D$7)^CT$2))),((Inputs!$D$8^((1-_xlfn.WEIBULL.DIST(CT$2,$M16,$L16,FALSE))/_xlfn.WEIBULL.DIST(CT$2,$M16,$L16,FALSE))*($T16*(1-$F16)+$S16*(1-$G16))*((1+Inputs!$D$7)^CT$2))))))))</f>
        <v>0</v>
      </c>
      <c r="CU16" s="88">
        <f>MAX(BE16,($E16*IF(CU$2&gt;Inputs!$D$5,0,IF(CU$2&gt;VLOOKUP($H16,Lists!$P$3:$Q$7,2),IF($N16=Lists!$K$3,IF($L16&lt;1,(($U16/$L16)*((1+Inputs!$D$7)^CU$2)),((INT(CU$2/$L16)-INT((CU$2-1)/$L16))*$U16*((1+Inputs!$D$7)^CU$2))),(Inputs!$D$8^((1-_xlfn.WEIBULL.DIST(CU$2,$M16,$L16,FALSE))/_xlfn.WEIBULL.DIST(CU$2,$M16,$L16,FALSE))*$U16*((1+Inputs!$D$7)^CU$2))),IF($N16=Lists!$K$3,IF($L16&lt;1,((($T16*(1-$F16)+$S16*(1-$G16))/$L16)*((1+Inputs!$D$7)^CU$2)),((INT(CU$2/$L16)-INT((CU$2-1)/$L16))*($T16*(1-$F16)+$S16*(1-$G16))*((1+Inputs!$D$7)^CU$2))),((Inputs!$D$8^((1-_xlfn.WEIBULL.DIST(CU$2,$M16,$L16,FALSE))/_xlfn.WEIBULL.DIST(CU$2,$M16,$L16,FALSE))*($T16*(1-$F16)+$S16*(1-$G16))*((1+Inputs!$D$7)^CU$2))))))))</f>
        <v>0</v>
      </c>
      <c r="CV16" s="88">
        <f>MAX(BF16,($E16*IF(CV$2&gt;Inputs!$D$5,0,IF(CV$2&gt;VLOOKUP($H16,Lists!$P$3:$Q$7,2),IF($N16=Lists!$K$3,IF($L16&lt;1,(($U16/$L16)*((1+Inputs!$D$7)^CV$2)),((INT(CV$2/$L16)-INT((CV$2-1)/$L16))*$U16*((1+Inputs!$D$7)^CV$2))),(Inputs!$D$8^((1-_xlfn.WEIBULL.DIST(CV$2,$M16,$L16,FALSE))/_xlfn.WEIBULL.DIST(CV$2,$M16,$L16,FALSE))*$U16*((1+Inputs!$D$7)^CV$2))),IF($N16=Lists!$K$3,IF($L16&lt;1,((($T16*(1-$F16)+$S16*(1-$G16))/$L16)*((1+Inputs!$D$7)^CV$2)),((INT(CV$2/$L16)-INT((CV$2-1)/$L16))*($T16*(1-$F16)+$S16*(1-$G16))*((1+Inputs!$D$7)^CV$2))),((Inputs!$D$8^((1-_xlfn.WEIBULL.DIST(CV$2,$M16,$L16,FALSE))/_xlfn.WEIBULL.DIST(CV$2,$M16,$L16,FALSE))*($T16*(1-$F16)+$S16*(1-$G16))*((1+Inputs!$D$7)^CV$2))))))))</f>
        <v>0</v>
      </c>
      <c r="CW16" s="88">
        <f>MAX(BG16,($E16*IF(CW$2&gt;Inputs!$D$5,0,IF(CW$2&gt;VLOOKUP($H16,Lists!$P$3:$Q$7,2),IF($N16=Lists!$K$3,IF($L16&lt;1,(($U16/$L16)*((1+Inputs!$D$7)^CW$2)),((INT(CW$2/$L16)-INT((CW$2-1)/$L16))*$U16*((1+Inputs!$D$7)^CW$2))),(Inputs!$D$8^((1-_xlfn.WEIBULL.DIST(CW$2,$M16,$L16,FALSE))/_xlfn.WEIBULL.DIST(CW$2,$M16,$L16,FALSE))*$U16*((1+Inputs!$D$7)^CW$2))),IF($N16=Lists!$K$3,IF($L16&lt;1,((($T16*(1-$F16)+$S16*(1-$G16))/$L16)*((1+Inputs!$D$7)^CW$2)),((INT(CW$2/$L16)-INT((CW$2-1)/$L16))*($T16*(1-$F16)+$S16*(1-$G16))*((1+Inputs!$D$7)^CW$2))),((Inputs!$D$8^((1-_xlfn.WEIBULL.DIST(CW$2,$M16,$L16,FALSE))/_xlfn.WEIBULL.DIST(CW$2,$M16,$L16,FALSE))*($T16*(1-$F16)+$S16*(1-$G16))*((1+Inputs!$D$7)^CW$2))))))))</f>
        <v>0</v>
      </c>
      <c r="CX16" s="88">
        <f>MAX(BH16,($E16*IF(CX$2&gt;Inputs!$D$5,0,IF(CX$2&gt;VLOOKUP($H16,Lists!$P$3:$Q$7,2),IF($N16=Lists!$K$3,IF($L16&lt;1,(($U16/$L16)*((1+Inputs!$D$7)^CX$2)),((INT(CX$2/$L16)-INT((CX$2-1)/$L16))*$U16*((1+Inputs!$D$7)^CX$2))),(Inputs!$D$8^((1-_xlfn.WEIBULL.DIST(CX$2,$M16,$L16,FALSE))/_xlfn.WEIBULL.DIST(CX$2,$M16,$L16,FALSE))*$U16*((1+Inputs!$D$7)^CX$2))),IF($N16=Lists!$K$3,IF($L16&lt;1,((($T16*(1-$F16)+$S16*(1-$G16))/$L16)*((1+Inputs!$D$7)^CX$2)),((INT(CX$2/$L16)-INT((CX$2-1)/$L16))*($T16*(1-$F16)+$S16*(1-$G16))*((1+Inputs!$D$7)^CX$2))),((Inputs!$D$8^((1-_xlfn.WEIBULL.DIST(CX$2,$M16,$L16,FALSE))/_xlfn.WEIBULL.DIST(CX$2,$M16,$L16,FALSE))*($T16*(1-$F16)+$S16*(1-$G16))*((1+Inputs!$D$7)^CX$2))))))))</f>
        <v>0</v>
      </c>
      <c r="CY16" s="88">
        <f>MAX(BI16,($E16*IF(CY$2&gt;Inputs!$D$5,0,IF(CY$2&gt;VLOOKUP($H16,Lists!$P$3:$Q$7,2),IF($N16=Lists!$K$3,IF($L16&lt;1,(($U16/$L16)*((1+Inputs!$D$7)^CY$2)),((INT(CY$2/$L16)-INT((CY$2-1)/$L16))*$U16*((1+Inputs!$D$7)^CY$2))),(Inputs!$D$8^((1-_xlfn.WEIBULL.DIST(CY$2,$M16,$L16,FALSE))/_xlfn.WEIBULL.DIST(CY$2,$M16,$L16,FALSE))*$U16*((1+Inputs!$D$7)^CY$2))),IF($N16=Lists!$K$3,IF($L16&lt;1,((($T16*(1-$F16)+$S16*(1-$G16))/$L16)*((1+Inputs!$D$7)^CY$2)),((INT(CY$2/$L16)-INT((CY$2-1)/$L16))*($T16*(1-$F16)+$S16*(1-$G16))*((1+Inputs!$D$7)^CY$2))),((Inputs!$D$8^((1-_xlfn.WEIBULL.DIST(CY$2,$M16,$L16,FALSE))/_xlfn.WEIBULL.DIST(CY$2,$M16,$L16,FALSE))*($T16*(1-$F16)+$S16*(1-$G16))*((1+Inputs!$D$7)^CY$2))))))))</f>
        <v>0</v>
      </c>
      <c r="CZ16" s="88">
        <f>MAX(BJ16,($E16*IF(CZ$2&gt;Inputs!$D$5,0,IF(CZ$2&gt;VLOOKUP($H16,Lists!$P$3:$Q$7,2),IF($N16=Lists!$K$3,IF($L16&lt;1,(($U16/$L16)*((1+Inputs!$D$7)^CZ$2)),((INT(CZ$2/$L16)-INT((CZ$2-1)/$L16))*$U16*((1+Inputs!$D$7)^CZ$2))),(Inputs!$D$8^((1-_xlfn.WEIBULL.DIST(CZ$2,$M16,$L16,FALSE))/_xlfn.WEIBULL.DIST(CZ$2,$M16,$L16,FALSE))*$U16*((1+Inputs!$D$7)^CZ$2))),IF($N16=Lists!$K$3,IF($L16&lt;1,((($T16*(1-$F16)+$S16*(1-$G16))/$L16)*((1+Inputs!$D$7)^CZ$2)),((INT(CZ$2/$L16)-INT((CZ$2-1)/$L16))*($T16*(1-$F16)+$S16*(1-$G16))*((1+Inputs!$D$7)^CZ$2))),((Inputs!$D$8^((1-_xlfn.WEIBULL.DIST(CZ$2,$M16,$L16,FALSE))/_xlfn.WEIBULL.DIST(CZ$2,$M16,$L16,FALSE))*($T16*(1-$F16)+$S16*(1-$G16))*((1+Inputs!$D$7)^CZ$2))))))))</f>
        <v>0</v>
      </c>
      <c r="DA16" s="88">
        <f>MAX(BK16,($E16*IF(DA$2&gt;Inputs!$D$5,0,IF(DA$2&gt;VLOOKUP($H16,Lists!$P$3:$Q$7,2),IF($N16=Lists!$K$3,IF($L16&lt;1,(($U16/$L16)*((1+Inputs!$D$7)^DA$2)),((INT(DA$2/$L16)-INT((DA$2-1)/$L16))*$U16*((1+Inputs!$D$7)^DA$2))),(Inputs!$D$8^((1-_xlfn.WEIBULL.DIST(DA$2,$M16,$L16,FALSE))/_xlfn.WEIBULL.DIST(DA$2,$M16,$L16,FALSE))*$U16*((1+Inputs!$D$7)^DA$2))),IF($N16=Lists!$K$3,IF($L16&lt;1,((($T16*(1-$F16)+$S16*(1-$G16))/$L16)*((1+Inputs!$D$7)^DA$2)),((INT(DA$2/$L16)-INT((DA$2-1)/$L16))*($T16*(1-$F16)+$S16*(1-$G16))*((1+Inputs!$D$7)^DA$2))),((Inputs!$D$8^((1-_xlfn.WEIBULL.DIST(DA$2,$M16,$L16,FALSE))/_xlfn.WEIBULL.DIST(DA$2,$M16,$L16,FALSE))*($T16*(1-$F16)+$S16*(1-$G16))*((1+Inputs!$D$7)^DA$2))))))))</f>
        <v>0</v>
      </c>
      <c r="DB16" s="88">
        <f>MAX(BL16,($E16*IF(DB$2&gt;Inputs!$D$5,0,IF(DB$2&gt;VLOOKUP($H16,Lists!$P$3:$Q$7,2),IF($N16=Lists!$K$3,IF($L16&lt;1,(($U16/$L16)*((1+Inputs!$D$7)^DB$2)),((INT(DB$2/$L16)-INT((DB$2-1)/$L16))*$U16*((1+Inputs!$D$7)^DB$2))),(Inputs!$D$8^((1-_xlfn.WEIBULL.DIST(DB$2,$M16,$L16,FALSE))/_xlfn.WEIBULL.DIST(DB$2,$M16,$L16,FALSE))*$U16*((1+Inputs!$D$7)^DB$2))),IF($N16=Lists!$K$3,IF($L16&lt;1,((($T16*(1-$F16)+$S16*(1-$G16))/$L16)*((1+Inputs!$D$7)^DB$2)),((INT(DB$2/$L16)-INT((DB$2-1)/$L16))*($T16*(1-$F16)+$S16*(1-$G16))*((1+Inputs!$D$7)^DB$2))),((Inputs!$D$8^((1-_xlfn.WEIBULL.DIST(DB$2,$M16,$L16,FALSE))/_xlfn.WEIBULL.DIST(DB$2,$M16,$L16,FALSE))*($T16*(1-$F16)+$S16*(1-$G16))*((1+Inputs!$D$7)^DB$2))))))))</f>
        <v>0</v>
      </c>
      <c r="DC16" s="88">
        <f>MAX(BM16,($E16*IF(DC$2&gt;Inputs!$D$5,0,IF(DC$2&gt;VLOOKUP($H16,Lists!$P$3:$Q$7,2),IF($N16=Lists!$K$3,IF($L16&lt;1,(($U16/$L16)*((1+Inputs!$D$7)^DC$2)),((INT(DC$2/$L16)-INT((DC$2-1)/$L16))*$U16*((1+Inputs!$D$7)^DC$2))),(Inputs!$D$8^((1-_xlfn.WEIBULL.DIST(DC$2,$M16,$L16,FALSE))/_xlfn.WEIBULL.DIST(DC$2,$M16,$L16,FALSE))*$U16*((1+Inputs!$D$7)^DC$2))),IF($N16=Lists!$K$3,IF($L16&lt;1,((($T16*(1-$F16)+$S16*(1-$G16))/$L16)*((1+Inputs!$D$7)^DC$2)),((INT(DC$2/$L16)-INT((DC$2-1)/$L16))*($T16*(1-$F16)+$S16*(1-$G16))*((1+Inputs!$D$7)^DC$2))),((Inputs!$D$8^((1-_xlfn.WEIBULL.DIST(DC$2,$M16,$L16,FALSE))/_xlfn.WEIBULL.DIST(DC$2,$M16,$L16,FALSE))*($T16*(1-$F16)+$S16*(1-$G16))*((1+Inputs!$D$7)^DC$2))))))))</f>
        <v>0</v>
      </c>
      <c r="DD16" s="88">
        <f>MAX(BN16,($E16*IF(DD$2&gt;Inputs!$D$5,0,IF(DD$2&gt;VLOOKUP($H16,Lists!$P$3:$Q$7,2),IF($N16=Lists!$K$3,IF($L16&lt;1,(($U16/$L16)*((1+Inputs!$D$7)^DD$2)),((INT(DD$2/$L16)-INT((DD$2-1)/$L16))*$U16*((1+Inputs!$D$7)^DD$2))),(Inputs!$D$8^((1-_xlfn.WEIBULL.DIST(DD$2,$M16,$L16,FALSE))/_xlfn.WEIBULL.DIST(DD$2,$M16,$L16,FALSE))*$U16*((1+Inputs!$D$7)^DD$2))),IF($N16=Lists!$K$3,IF($L16&lt;1,((($T16*(1-$F16)+$S16*(1-$G16))/$L16)*((1+Inputs!$D$7)^DD$2)),((INT(DD$2/$L16)-INT((DD$2-1)/$L16))*($T16*(1-$F16)+$S16*(1-$G16))*((1+Inputs!$D$7)^DD$2))),((Inputs!$D$8^((1-_xlfn.WEIBULL.DIST(DD$2,$M16,$L16,FALSE))/_xlfn.WEIBULL.DIST(DD$2,$M16,$L16,FALSE))*($T16*(1-$F16)+$S16*(1-$G16))*((1+Inputs!$D$7)^DD$2))))))))</f>
        <v>0</v>
      </c>
    </row>
    <row r="17" spans="1:108" s="1" customFormat="1" ht="16">
      <c r="A17" s="57" t="s">
        <v>205</v>
      </c>
      <c r="B17" s="13" t="s">
        <v>130</v>
      </c>
      <c r="C17" s="13" t="s">
        <v>474</v>
      </c>
      <c r="D17" s="13" t="s">
        <v>214</v>
      </c>
      <c r="E17" s="48">
        <f>IF(Inputs!$D$30=Lists!$M$4,1,0)</f>
        <v>1</v>
      </c>
      <c r="F17" s="48">
        <v>1</v>
      </c>
      <c r="G17" s="48">
        <v>1</v>
      </c>
      <c r="H17" s="105" t="s">
        <v>349</v>
      </c>
      <c r="I17" s="14" t="s">
        <v>267</v>
      </c>
      <c r="J17" s="14" t="s">
        <v>92</v>
      </c>
      <c r="K17" s="13">
        <f>VLOOKUP(J17,'Labor Rates'!$A$1:$F$16,2)</f>
        <v>33.17307692307692</v>
      </c>
      <c r="L17" s="15">
        <v>25</v>
      </c>
      <c r="M17" s="15">
        <v>1</v>
      </c>
      <c r="N17" s="16" t="s">
        <v>226</v>
      </c>
      <c r="O17" s="61">
        <f>Inputs!$D$21</f>
        <v>32787</v>
      </c>
      <c r="P17" s="15">
        <v>0.1</v>
      </c>
      <c r="Q17" s="15">
        <f t="shared" si="0"/>
        <v>131.14800000000002</v>
      </c>
      <c r="R17" s="4">
        <v>20</v>
      </c>
      <c r="S17" s="53">
        <f t="shared" si="1"/>
        <v>108764.56730769231</v>
      </c>
      <c r="T17" s="53">
        <f t="shared" si="2"/>
        <v>655740</v>
      </c>
      <c r="U17" s="54">
        <f t="shared" si="3"/>
        <v>764504.56730769225</v>
      </c>
      <c r="V17" s="65"/>
      <c r="W17" s="58"/>
      <c r="X17" s="64">
        <f t="shared" si="4"/>
        <v>23406.160947318673</v>
      </c>
      <c r="Y17" s="64">
        <f>NPV(Inputs!$D$6,AA17:BN17)</f>
        <v>267966.06912903639</v>
      </c>
      <c r="Z17" s="67">
        <f t="shared" si="5"/>
        <v>0.12638588049444791</v>
      </c>
      <c r="AA17" s="88">
        <f>$E17*IF(AA$2&gt;Inputs!$D$5,0,IF(AA$2&gt;VLOOKUP($H17,Lists!$P$3:$Q$7,2),IF($N17=Lists!$K$3,IF($L17&lt;1,(($U17/$L17)*((1+Inputs!$D$7)^AA$2)),((INT(AA$2/$L17)-INT((AA$2-1)/$L17))*$U17*((1+Inputs!$D$7)^AA$2))),(_xlfn.WEIBULL.DIST(AA$2,$M17,$L17,FALSE)*$U17*((1+Inputs!$D$7)^AA$2))),IF($N17=Lists!$K$3,IF($L17&lt;1,((($T17*(1-$F17)+$S17*(1-$G17))/$L17)*((1+Inputs!$D$7)^AA$2)),((INT(AA$2/$L17)-INT((AA$2-1)/$L17))*($T17*(1-$F17)+$S17*(1-$G17))*((1+Inputs!$D$7)^AA$2))),((_xlfn.WEIBULL.DIST(AA$2,$M17,$L17,FALSE)*($T17*(1-$F17)+$S17*(1-$G17))*((1+Inputs!$D$7)^AA$2))))))</f>
        <v>0</v>
      </c>
      <c r="AB17" s="88">
        <f>$E17*IF(AB$2&gt;Inputs!$D$5,0,IF(AB$2&gt;VLOOKUP($H17,Lists!$P$3:$Q$7,2),IF($N17=Lists!$K$3,IF($L17&lt;1,(($U17/$L17)*((1+Inputs!$D$7)^AB$2)),((INT(AB$2/$L17)-INT((AB$2-1)/$L17))*$U17*((1+Inputs!$D$7)^AB$2))),(_xlfn.WEIBULL.DIST(AB$2,$M17,$L17,FALSE)*$U17*((1+Inputs!$D$7)^AB$2))),IF($N17=Lists!$K$3,IF($L17&lt;1,((($T17*(1-$F17)+$S17*(1-$G17))/$L17)*((1+Inputs!$D$7)^AB$2)),((INT(AB$2/$L17)-INT((AB$2-1)/$L17))*($T17*(1-$F17)+$S17*(1-$G17))*((1+Inputs!$D$7)^AB$2))),((_xlfn.WEIBULL.DIST(AB$2,$M17,$L17,FALSE)*($T17*(1-$F17)+$S17*(1-$G17))*((1+Inputs!$D$7)^AB$2))))))</f>
        <v>29369.520806116776</v>
      </c>
      <c r="AC17" s="88">
        <f>$E17*IF(AC$2&gt;Inputs!$D$5,0,IF(AC$2&gt;VLOOKUP($H17,Lists!$P$3:$Q$7,2),IF($N17=Lists!$K$3,IF($L17&lt;1,(($U17/$L17)*((1+Inputs!$D$7)^AC$2)),((INT(AC$2/$L17)-INT((AC$2-1)/$L17))*$U17*((1+Inputs!$D$7)^AC$2))),(_xlfn.WEIBULL.DIST(AC$2,$M17,$L17,FALSE)*$U17*((1+Inputs!$D$7)^AC$2))),IF($N17=Lists!$K$3,IF($L17&lt;1,((($T17*(1-$F17)+$S17*(1-$G17))/$L17)*((1+Inputs!$D$7)^AC$2)),((INT(AC$2/$L17)-INT((AC$2-1)/$L17))*($T17*(1-$F17)+$S17*(1-$G17))*((1+Inputs!$D$7)^AC$2))),((_xlfn.WEIBULL.DIST(AC$2,$M17,$L17,FALSE)*($T17*(1-$F17)+$S17*(1-$G17))*((1+Inputs!$D$7)^AC$2))))))</f>
        <v>28782.283931951049</v>
      </c>
      <c r="AD17" s="88">
        <f>$E17*IF(AD$2&gt;Inputs!$D$5,0,IF(AD$2&gt;VLOOKUP($H17,Lists!$P$3:$Q$7,2),IF($N17=Lists!$K$3,IF($L17&lt;1,(($U17/$L17)*((1+Inputs!$D$7)^AD$2)),((INT(AD$2/$L17)-INT((AD$2-1)/$L17))*$U17*((1+Inputs!$D$7)^AD$2))),(_xlfn.WEIBULL.DIST(AD$2,$M17,$L17,FALSE)*$U17*((1+Inputs!$D$7)^AD$2))),IF($N17=Lists!$K$3,IF($L17&lt;1,((($T17*(1-$F17)+$S17*(1-$G17))/$L17)*((1+Inputs!$D$7)^AD$2)),((INT(AD$2/$L17)-INT((AD$2-1)/$L17))*($T17*(1-$F17)+$S17*(1-$G17))*((1+Inputs!$D$7)^AD$2))),((_xlfn.WEIBULL.DIST(AD$2,$M17,$L17,FALSE)*($T17*(1-$F17)+$S17*(1-$G17))*((1+Inputs!$D$7)^AD$2))))))</f>
        <v>28206.788725232218</v>
      </c>
      <c r="AE17" s="88">
        <f>$E17*IF(AE$2&gt;Inputs!$D$5,0,IF(AE$2&gt;VLOOKUP($H17,Lists!$P$3:$Q$7,2),IF($N17=Lists!$K$3,IF($L17&lt;1,(($U17/$L17)*((1+Inputs!$D$7)^AE$2)),((INT(AE$2/$L17)-INT((AE$2-1)/$L17))*$U17*((1+Inputs!$D$7)^AE$2))),(_xlfn.WEIBULL.DIST(AE$2,$M17,$L17,FALSE)*$U17*((1+Inputs!$D$7)^AE$2))),IF($N17=Lists!$K$3,IF($L17&lt;1,((($T17*(1-$F17)+$S17*(1-$G17))/$L17)*((1+Inputs!$D$7)^AE$2)),((INT(AE$2/$L17)-INT((AE$2-1)/$L17))*($T17*(1-$F17)+$S17*(1-$G17))*((1+Inputs!$D$7)^AE$2))),((_xlfn.WEIBULL.DIST(AE$2,$M17,$L17,FALSE)*($T17*(1-$F17)+$S17*(1-$G17))*((1+Inputs!$D$7)^AE$2))))))</f>
        <v>27642.80041399601</v>
      </c>
      <c r="AF17" s="88">
        <f>$E17*IF(AF$2&gt;Inputs!$D$5,0,IF(AF$2&gt;VLOOKUP($H17,Lists!$P$3:$Q$7,2),IF($N17=Lists!$K$3,IF($L17&lt;1,(($U17/$L17)*((1+Inputs!$D$7)^AF$2)),((INT(AF$2/$L17)-INT((AF$2-1)/$L17))*$U17*((1+Inputs!$D$7)^AF$2))),(_xlfn.WEIBULL.DIST(AF$2,$M17,$L17,FALSE)*$U17*((1+Inputs!$D$7)^AF$2))),IF($N17=Lists!$K$3,IF($L17&lt;1,((($T17*(1-$F17)+$S17*(1-$G17))/$L17)*((1+Inputs!$D$7)^AF$2)),((INT(AF$2/$L17)-INT((AF$2-1)/$L17))*($T17*(1-$F17)+$S17*(1-$G17))*((1+Inputs!$D$7)^AF$2))),((_xlfn.WEIBULL.DIST(AF$2,$M17,$L17,FALSE)*($T17*(1-$F17)+$S17*(1-$G17))*((1+Inputs!$D$7)^AF$2))))))</f>
        <v>27090.0889204901</v>
      </c>
      <c r="AG17" s="88">
        <f>$E17*IF(AG$2&gt;Inputs!$D$5,0,IF(AG$2&gt;VLOOKUP($H17,Lists!$P$3:$Q$7,2),IF($N17=Lists!$K$3,IF($L17&lt;1,(($U17/$L17)*((1+Inputs!$D$7)^AG$2)),((INT(AG$2/$L17)-INT((AG$2-1)/$L17))*$U17*((1+Inputs!$D$7)^AG$2))),(_xlfn.WEIBULL.DIST(AG$2,$M17,$L17,FALSE)*$U17*((1+Inputs!$D$7)^AG$2))),IF($N17=Lists!$K$3,IF($L17&lt;1,((($T17*(1-$F17)+$S17*(1-$G17))/$L17)*((1+Inputs!$D$7)^AG$2)),((INT(AG$2/$L17)-INT((AG$2-1)/$L17))*($T17*(1-$F17)+$S17*(1-$G17))*((1+Inputs!$D$7)^AG$2))),((_xlfn.WEIBULL.DIST(AG$2,$M17,$L17,FALSE)*($T17*(1-$F17)+$S17*(1-$G17))*((1+Inputs!$D$7)^AG$2))))))</f>
        <v>26548.428767314326</v>
      </c>
      <c r="AH17" s="88">
        <f>$E17*IF(AH$2&gt;Inputs!$D$5,0,IF(AH$2&gt;VLOOKUP($H17,Lists!$P$3:$Q$7,2),IF($N17=Lists!$K$3,IF($L17&lt;1,(($U17/$L17)*((1+Inputs!$D$7)^AH$2)),((INT(AH$2/$L17)-INT((AH$2-1)/$L17))*$U17*((1+Inputs!$D$7)^AH$2))),(_xlfn.WEIBULL.DIST(AH$2,$M17,$L17,FALSE)*$U17*((1+Inputs!$D$7)^AH$2))),IF($N17=Lists!$K$3,IF($L17&lt;1,((($T17*(1-$F17)+$S17*(1-$G17))/$L17)*((1+Inputs!$D$7)^AH$2)),((INT(AH$2/$L17)-INT((AH$2-1)/$L17))*($T17*(1-$F17)+$S17*(1-$G17))*((1+Inputs!$D$7)^AH$2))),((_xlfn.WEIBULL.DIST(AH$2,$M17,$L17,FALSE)*($T17*(1-$F17)+$S17*(1-$G17))*((1+Inputs!$D$7)^AH$2))))))</f>
        <v>26017.598985437802</v>
      </c>
      <c r="AI17" s="88">
        <f>$E17*IF(AI$2&gt;Inputs!$D$5,0,IF(AI$2&gt;VLOOKUP($H17,Lists!$P$3:$Q$7,2),IF($N17=Lists!$K$3,IF($L17&lt;1,(($U17/$L17)*((1+Inputs!$D$7)^AI$2)),((INT(AI$2/$L17)-INT((AI$2-1)/$L17))*$U17*((1+Inputs!$D$7)^AI$2))),(_xlfn.WEIBULL.DIST(AI$2,$M17,$L17,FALSE)*$U17*((1+Inputs!$D$7)^AI$2))),IF($N17=Lists!$K$3,IF($L17&lt;1,((($T17*(1-$F17)+$S17*(1-$G17))/$L17)*((1+Inputs!$D$7)^AI$2)),((INT(AI$2/$L17)-INT((AI$2-1)/$L17))*($T17*(1-$F17)+$S17*(1-$G17))*((1+Inputs!$D$7)^AI$2))),((_xlfn.WEIBULL.DIST(AI$2,$M17,$L17,FALSE)*($T17*(1-$F17)+$S17*(1-$G17))*((1+Inputs!$D$7)^AI$2))))))</f>
        <v>25497.38302405502</v>
      </c>
      <c r="AJ17" s="88">
        <f>$E17*IF(AJ$2&gt;Inputs!$D$5,0,IF(AJ$2&gt;VLOOKUP($H17,Lists!$P$3:$Q$7,2),IF($N17=Lists!$K$3,IF($L17&lt;1,(($U17/$L17)*((1+Inputs!$D$7)^AJ$2)),((INT(AJ$2/$L17)-INT((AJ$2-1)/$L17))*$U17*((1+Inputs!$D$7)^AJ$2))),(_xlfn.WEIBULL.DIST(AJ$2,$M17,$L17,FALSE)*$U17*((1+Inputs!$D$7)^AJ$2))),IF($N17=Lists!$K$3,IF($L17&lt;1,((($T17*(1-$F17)+$S17*(1-$G17))/$L17)*((1+Inputs!$D$7)^AJ$2)),((INT(AJ$2/$L17)-INT((AJ$2-1)/$L17))*($T17*(1-$F17)+$S17*(1-$G17))*((1+Inputs!$D$7)^AJ$2))),((_xlfn.WEIBULL.DIST(AJ$2,$M17,$L17,FALSE)*($T17*(1-$F17)+$S17*(1-$G17))*((1+Inputs!$D$7)^AJ$2))))))</f>
        <v>24987.568662244466</v>
      </c>
      <c r="AK17" s="88">
        <f>$E17*IF(AK$2&gt;Inputs!$D$5,0,IF(AK$2&gt;VLOOKUP($H17,Lists!$P$3:$Q$7,2),IF($N17=Lists!$K$3,IF($L17&lt;1,(($U17/$L17)*((1+Inputs!$D$7)^AK$2)),((INT(AK$2/$L17)-INT((AK$2-1)/$L17))*$U17*((1+Inputs!$D$7)^AK$2))),(_xlfn.WEIBULL.DIST(AK$2,$M17,$L17,FALSE)*$U17*((1+Inputs!$D$7)^AK$2))),IF($N17=Lists!$K$3,IF($L17&lt;1,((($T17*(1-$F17)+$S17*(1-$G17))/$L17)*((1+Inputs!$D$7)^AK$2)),((INT(AK$2/$L17)-INT((AK$2-1)/$L17))*($T17*(1-$F17)+$S17*(1-$G17))*((1+Inputs!$D$7)^AK$2))),((_xlfn.WEIBULL.DIST(AK$2,$M17,$L17,FALSE)*($T17*(1-$F17)+$S17*(1-$G17))*((1+Inputs!$D$7)^AK$2))))))</f>
        <v>24487.947922393585</v>
      </c>
      <c r="AL17" s="88">
        <f>$E17*IF(AL$2&gt;Inputs!$D$5,0,IF(AL$2&gt;VLOOKUP($H17,Lists!$P$3:$Q$7,2),IF($N17=Lists!$K$3,IF($L17&lt;1,(($U17/$L17)*((1+Inputs!$D$7)^AL$2)),((INT(AL$2/$L17)-INT((AL$2-1)/$L17))*$U17*((1+Inputs!$D$7)^AL$2))),(_xlfn.WEIBULL.DIST(AL$2,$M17,$L17,FALSE)*$U17*((1+Inputs!$D$7)^AL$2))),IF($N17=Lists!$K$3,IF($L17&lt;1,((($T17*(1-$F17)+$S17*(1-$G17))/$L17)*((1+Inputs!$D$7)^AL$2)),((INT(AL$2/$L17)-INT((AL$2-1)/$L17))*($T17*(1-$F17)+$S17*(1-$G17))*((1+Inputs!$D$7)^AL$2))),((_xlfn.WEIBULL.DIST(AL$2,$M17,$L17,FALSE)*($T17*(1-$F17)+$S17*(1-$G17))*((1+Inputs!$D$7)^AL$2))))))</f>
        <v>23998.316985354788</v>
      </c>
      <c r="AM17" s="88">
        <f>$E17*IF(AM$2&gt;Inputs!$D$5,0,IF(AM$2&gt;VLOOKUP($H17,Lists!$P$3:$Q$7,2),IF($N17=Lists!$K$3,IF($L17&lt;1,(($U17/$L17)*((1+Inputs!$D$7)^AM$2)),((INT(AM$2/$L17)-INT((AM$2-1)/$L17))*$U17*((1+Inputs!$D$7)^AM$2))),(_xlfn.WEIBULL.DIST(AM$2,$M17,$L17,FALSE)*$U17*((1+Inputs!$D$7)^AM$2))),IF($N17=Lists!$K$3,IF($L17&lt;1,((($T17*(1-$F17)+$S17*(1-$G17))/$L17)*((1+Inputs!$D$7)^AM$2)),((INT(AM$2/$L17)-INT((AM$2-1)/$L17))*($T17*(1-$F17)+$S17*(1-$G17))*((1+Inputs!$D$7)^AM$2))),((_xlfn.WEIBULL.DIST(AM$2,$M17,$L17,FALSE)*($T17*(1-$F17)+$S17*(1-$G17))*((1+Inputs!$D$7)^AM$2))))))</f>
        <v>23518.476107297876</v>
      </c>
      <c r="AN17" s="88">
        <f>$E17*IF(AN$2&gt;Inputs!$D$5,0,IF(AN$2&gt;VLOOKUP($H17,Lists!$P$3:$Q$7,2),IF($N17=Lists!$K$3,IF($L17&lt;1,(($U17/$L17)*((1+Inputs!$D$7)^AN$2)),((INT(AN$2/$L17)-INT((AN$2-1)/$L17))*$U17*((1+Inputs!$D$7)^AN$2))),(_xlfn.WEIBULL.DIST(AN$2,$M17,$L17,FALSE)*$U17*((1+Inputs!$D$7)^AN$2))),IF($N17=Lists!$K$3,IF($L17&lt;1,((($T17*(1-$F17)+$S17*(1-$G17))/$L17)*((1+Inputs!$D$7)^AN$2)),((INT(AN$2/$L17)-INT((AN$2-1)/$L17))*($T17*(1-$F17)+$S17*(1-$G17))*((1+Inputs!$D$7)^AN$2))),((_xlfn.WEIBULL.DIST(AN$2,$M17,$L17,FALSE)*($T17*(1-$F17)+$S17*(1-$G17))*((1+Inputs!$D$7)^AN$2))))))</f>
        <v>23048.229538224998</v>
      </c>
      <c r="AO17" s="88">
        <f>$E17*IF(AO$2&gt;Inputs!$D$5,0,IF(AO$2&gt;VLOOKUP($H17,Lists!$P$3:$Q$7,2),IF($N17=Lists!$K$3,IF($L17&lt;1,(($U17/$L17)*((1+Inputs!$D$7)^AO$2)),((INT(AO$2/$L17)-INT((AO$2-1)/$L17))*$U17*((1+Inputs!$D$7)^AO$2))),(_xlfn.WEIBULL.DIST(AO$2,$M17,$L17,FALSE)*$U17*((1+Inputs!$D$7)^AO$2))),IF($N17=Lists!$K$3,IF($L17&lt;1,((($T17*(1-$F17)+$S17*(1-$G17))/$L17)*((1+Inputs!$D$7)^AO$2)),((INT(AO$2/$L17)-INT((AO$2-1)/$L17))*($T17*(1-$F17)+$S17*(1-$G17))*((1+Inputs!$D$7)^AO$2))),((_xlfn.WEIBULL.DIST(AO$2,$M17,$L17,FALSE)*($T17*(1-$F17)+$S17*(1-$G17))*((1+Inputs!$D$7)^AO$2))))))</f>
        <v>22587.385442114904</v>
      </c>
      <c r="AP17" s="88">
        <f>$E17*IF(AP$2&gt;Inputs!$D$5,0,IF(AP$2&gt;VLOOKUP($H17,Lists!$P$3:$Q$7,2),IF($N17=Lists!$K$3,IF($L17&lt;1,(($U17/$L17)*((1+Inputs!$D$7)^AP$2)),((INT(AP$2/$L17)-INT((AP$2-1)/$L17))*$U17*((1+Inputs!$D$7)^AP$2))),(_xlfn.WEIBULL.DIST(AP$2,$M17,$L17,FALSE)*$U17*((1+Inputs!$D$7)^AP$2))),IF($N17=Lists!$K$3,IF($L17&lt;1,((($T17*(1-$F17)+$S17*(1-$G17))/$L17)*((1+Inputs!$D$7)^AP$2)),((INT(AP$2/$L17)-INT((AP$2-1)/$L17))*($T17*(1-$F17)+$S17*(1-$G17))*((1+Inputs!$D$7)^AP$2))),((_xlfn.WEIBULL.DIST(AP$2,$M17,$L17,FALSE)*($T17*(1-$F17)+$S17*(1-$G17))*((1+Inputs!$D$7)^AP$2))))))</f>
        <v>22135.755818663871</v>
      </c>
      <c r="AQ17" s="88">
        <f>$E17*IF(AQ$2&gt;Inputs!$D$5,0,IF(AQ$2&gt;VLOOKUP($H17,Lists!$P$3:$Q$7,2),IF($N17=Lists!$K$3,IF($L17&lt;1,(($U17/$L17)*((1+Inputs!$D$7)^AQ$2)),((INT(AQ$2/$L17)-INT((AQ$2-1)/$L17))*$U17*((1+Inputs!$D$7)^AQ$2))),(_xlfn.WEIBULL.DIST(AQ$2,$M17,$L17,FALSE)*$U17*((1+Inputs!$D$7)^AQ$2))),IF($N17=Lists!$K$3,IF($L17&lt;1,((($T17*(1-$F17)+$S17*(1-$G17))/$L17)*((1+Inputs!$D$7)^AQ$2)),((INT(AQ$2/$L17)-INT((AQ$2-1)/$L17))*($T17*(1-$F17)+$S17*(1-$G17))*((1+Inputs!$D$7)^AQ$2))),((_xlfn.WEIBULL.DIST(AQ$2,$M17,$L17,FALSE)*($T17*(1-$F17)+$S17*(1-$G17))*((1+Inputs!$D$7)^AQ$2))))))</f>
        <v>21693.156426591369</v>
      </c>
      <c r="AR17" s="88">
        <f>$E17*IF(AR$2&gt;Inputs!$D$5,0,IF(AR$2&gt;VLOOKUP($H17,Lists!$P$3:$Q$7,2),IF($N17=Lists!$K$3,IF($L17&lt;1,(($U17/$L17)*((1+Inputs!$D$7)^AR$2)),((INT(AR$2/$L17)-INT((AR$2-1)/$L17))*$U17*((1+Inputs!$D$7)^AR$2))),(_xlfn.WEIBULL.DIST(AR$2,$M17,$L17,FALSE)*$U17*((1+Inputs!$D$7)^AR$2))),IF($N17=Lists!$K$3,IF($L17&lt;1,((($T17*(1-$F17)+$S17*(1-$G17))/$L17)*((1+Inputs!$D$7)^AR$2)),((INT(AR$2/$L17)-INT((AR$2-1)/$L17))*($T17*(1-$F17)+$S17*(1-$G17))*((1+Inputs!$D$7)^AR$2))),((_xlfn.WEIBULL.DIST(AR$2,$M17,$L17,FALSE)*($T17*(1-$F17)+$S17*(1-$G17))*((1+Inputs!$D$7)^AR$2))))))</f>
        <v>21259.40670847931</v>
      </c>
      <c r="AS17" s="88">
        <f>$E17*IF(AS$2&gt;Inputs!$D$5,0,IF(AS$2&gt;VLOOKUP($H17,Lists!$P$3:$Q$7,2),IF($N17=Lists!$K$3,IF($L17&lt;1,(($U17/$L17)*((1+Inputs!$D$7)^AS$2)),((INT(AS$2/$L17)-INT((AS$2-1)/$L17))*$U17*((1+Inputs!$D$7)^AS$2))),(_xlfn.WEIBULL.DIST(AS$2,$M17,$L17,FALSE)*$U17*((1+Inputs!$D$7)^AS$2))),IF($N17=Lists!$K$3,IF($L17&lt;1,((($T17*(1-$F17)+$S17*(1-$G17))/$L17)*((1+Inputs!$D$7)^AS$2)),((INT(AS$2/$L17)-INT((AS$2-1)/$L17))*($T17*(1-$F17)+$S17*(1-$G17))*((1+Inputs!$D$7)^AS$2))),((_xlfn.WEIBULL.DIST(AS$2,$M17,$L17,FALSE)*($T17*(1-$F17)+$S17*(1-$G17))*((1+Inputs!$D$7)^AS$2))))))</f>
        <v>20834.329717113989</v>
      </c>
      <c r="AT17" s="88">
        <f>$E17*IF(AT$2&gt;Inputs!$D$5,0,IF(AT$2&gt;VLOOKUP($H17,Lists!$P$3:$Q$7,2),IF($N17=Lists!$K$3,IF($L17&lt;1,(($U17/$L17)*((1+Inputs!$D$7)^AT$2)),((INT(AT$2/$L17)-INT((AT$2-1)/$L17))*$U17*((1+Inputs!$D$7)^AT$2))),(_xlfn.WEIBULL.DIST(AT$2,$M17,$L17,FALSE)*$U17*((1+Inputs!$D$7)^AT$2))),IF($N17=Lists!$K$3,IF($L17&lt;1,((($T17*(1-$F17)+$S17*(1-$G17))/$L17)*((1+Inputs!$D$7)^AT$2)),((INT(AT$2/$L17)-INT((AT$2-1)/$L17))*($T17*(1-$F17)+$S17*(1-$G17))*((1+Inputs!$D$7)^AT$2))),((_xlfn.WEIBULL.DIST(AT$2,$M17,$L17,FALSE)*($T17*(1-$F17)+$S17*(1-$G17))*((1+Inputs!$D$7)^AT$2))))))</f>
        <v>20417.752043300938</v>
      </c>
      <c r="AU17" s="88">
        <f>$E17*IF(AU$2&gt;Inputs!$D$5,0,IF(AU$2&gt;VLOOKUP($H17,Lists!$P$3:$Q$7,2),IF($N17=Lists!$K$3,IF($L17&lt;1,(($U17/$L17)*((1+Inputs!$D$7)^AU$2)),((INT(AU$2/$L17)-INT((AU$2-1)/$L17))*$U17*((1+Inputs!$D$7)^AU$2))),(_xlfn.WEIBULL.DIST(AU$2,$M17,$L17,FALSE)*$U17*((1+Inputs!$D$7)^AU$2))),IF($N17=Lists!$K$3,IF($L17&lt;1,((($T17*(1-$F17)+$S17*(1-$G17))/$L17)*((1+Inputs!$D$7)^AU$2)),((INT(AU$2/$L17)-INT((AU$2-1)/$L17))*($T17*(1-$F17)+$S17*(1-$G17))*((1+Inputs!$D$7)^AU$2))),((_xlfn.WEIBULL.DIST(AU$2,$M17,$L17,FALSE)*($T17*(1-$F17)+$S17*(1-$G17))*((1+Inputs!$D$7)^AU$2))))))</f>
        <v>20009.503745123002</v>
      </c>
      <c r="AV17" s="88">
        <f>$E17*IF(AV$2&gt;Inputs!$D$5,0,IF(AV$2&gt;VLOOKUP($H17,Lists!$P$3:$Q$7,2),IF($N17=Lists!$K$3,IF($L17&lt;1,(($U17/$L17)*((1+Inputs!$D$7)^AV$2)),((INT(AV$2/$L17)-INT((AV$2-1)/$L17))*$U17*((1+Inputs!$D$7)^AV$2))),(_xlfn.WEIBULL.DIST(AV$2,$M17,$L17,FALSE)*$U17*((1+Inputs!$D$7)^AV$2))),IF($N17=Lists!$K$3,IF($L17&lt;1,((($T17*(1-$F17)+$S17*(1-$G17))/$L17)*((1+Inputs!$D$7)^AV$2)),((INT(AV$2/$L17)-INT((AV$2-1)/$L17))*($T17*(1-$F17)+$S17*(1-$G17))*((1+Inputs!$D$7)^AV$2))),((_xlfn.WEIBULL.DIST(AV$2,$M17,$L17,FALSE)*($T17*(1-$F17)+$S17*(1-$G17))*((1+Inputs!$D$7)^AV$2))))))</f>
        <v>19609.418278612899</v>
      </c>
      <c r="AW17" s="88">
        <f>$E17*IF(AW$2&gt;Inputs!$D$5,0,IF(AW$2&gt;VLOOKUP($H17,Lists!$P$3:$Q$7,2),IF($N17=Lists!$K$3,IF($L17&lt;1,(($U17/$L17)*((1+Inputs!$D$7)^AW$2)),((INT(AW$2/$L17)-INT((AW$2-1)/$L17))*$U17*((1+Inputs!$D$7)^AW$2))),(_xlfn.WEIBULL.DIST(AW$2,$M17,$L17,FALSE)*$U17*((1+Inputs!$D$7)^AW$2))),IF($N17=Lists!$K$3,IF($L17&lt;1,((($T17*(1-$F17)+$S17*(1-$G17))/$L17)*((1+Inputs!$D$7)^AW$2)),((INT(AW$2/$L17)-INT((AW$2-1)/$L17))*($T17*(1-$F17)+$S17*(1-$G17))*((1+Inputs!$D$7)^AW$2))),((_xlfn.WEIBULL.DIST(AW$2,$M17,$L17,FALSE)*($T17*(1-$F17)+$S17*(1-$G17))*((1+Inputs!$D$7)^AW$2))))))</f>
        <v>19217.332429812035</v>
      </c>
      <c r="AX17" s="88">
        <f>$E17*IF(AX$2&gt;Inputs!$D$5,0,IF(AX$2&gt;VLOOKUP($H17,Lists!$P$3:$Q$7,2),IF($N17=Lists!$K$3,IF($L17&lt;1,(($U17/$L17)*((1+Inputs!$D$7)^AX$2)),((INT(AX$2/$L17)-INT((AX$2-1)/$L17))*$U17*((1+Inputs!$D$7)^AX$2))),(_xlfn.WEIBULL.DIST(AX$2,$M17,$L17,FALSE)*$U17*((1+Inputs!$D$7)^AX$2))),IF($N17=Lists!$K$3,IF($L17&lt;1,((($T17*(1-$F17)+$S17*(1-$G17))/$L17)*((1+Inputs!$D$7)^AX$2)),((INT(AX$2/$L17)-INT((AX$2-1)/$L17))*($T17*(1-$F17)+$S17*(1-$G17))*((1+Inputs!$D$7)^AX$2))),((_xlfn.WEIBULL.DIST(AX$2,$M17,$L17,FALSE)*($T17*(1-$F17)+$S17*(1-$G17))*((1+Inputs!$D$7)^AX$2))))))</f>
        <v>18833.086248187719</v>
      </c>
      <c r="AY17" s="88">
        <f>$E17*IF(AY$2&gt;Inputs!$D$5,0,IF(AY$2&gt;VLOOKUP($H17,Lists!$P$3:$Q$7,2),IF($N17=Lists!$K$3,IF($L17&lt;1,(($U17/$L17)*((1+Inputs!$D$7)^AY$2)),((INT(AY$2/$L17)-INT((AY$2-1)/$L17))*$U17*((1+Inputs!$D$7)^AY$2))),(_xlfn.WEIBULL.DIST(AY$2,$M17,$L17,FALSE)*$U17*((1+Inputs!$D$7)^AY$2))),IF($N17=Lists!$K$3,IF($L17&lt;1,((($T17*(1-$F17)+$S17*(1-$G17))/$L17)*((1+Inputs!$D$7)^AY$2)),((INT(AY$2/$L17)-INT((AY$2-1)/$L17))*($T17*(1-$F17)+$S17*(1-$G17))*((1+Inputs!$D$7)^AY$2))),((_xlfn.WEIBULL.DIST(AY$2,$M17,$L17,FALSE)*($T17*(1-$F17)+$S17*(1-$G17))*((1+Inputs!$D$7)^AY$2))))))</f>
        <v>18456.52298138168</v>
      </c>
      <c r="AZ17" s="88">
        <f>$E17*IF(AZ$2&gt;Inputs!$D$5,0,IF(AZ$2&gt;VLOOKUP($H17,Lists!$P$3:$Q$7,2),IF($N17=Lists!$K$3,IF($L17&lt;1,(($U17/$L17)*((1+Inputs!$D$7)^AZ$2)),((INT(AZ$2/$L17)-INT((AZ$2-1)/$L17))*$U17*((1+Inputs!$D$7)^AZ$2))),(_xlfn.WEIBULL.DIST(AZ$2,$M17,$L17,FALSE)*$U17*((1+Inputs!$D$7)^AZ$2))),IF($N17=Lists!$K$3,IF($L17&lt;1,((($T17*(1-$F17)+$S17*(1-$G17))/$L17)*((1+Inputs!$D$7)^AZ$2)),((INT(AZ$2/$L17)-INT((AZ$2-1)/$L17))*($T17*(1-$F17)+$S17*(1-$G17))*((1+Inputs!$D$7)^AZ$2))),((_xlfn.WEIBULL.DIST(AZ$2,$M17,$L17,FALSE)*($T17*(1-$F17)+$S17*(1-$G17))*((1+Inputs!$D$7)^AZ$2))))))</f>
        <v>0</v>
      </c>
      <c r="BA17" s="88">
        <f>$E17*IF(BA$2&gt;Inputs!$D$5,0,IF(BA$2&gt;VLOOKUP($H17,Lists!$P$3:$Q$7,2),IF($N17=Lists!$K$3,IF($L17&lt;1,(($U17/$L17)*((1+Inputs!$D$7)^BA$2)),((INT(BA$2/$L17)-INT((BA$2-1)/$L17))*$U17*((1+Inputs!$D$7)^BA$2))),(_xlfn.WEIBULL.DIST(BA$2,$M17,$L17,FALSE)*$U17*((1+Inputs!$D$7)^BA$2))),IF($N17=Lists!$K$3,IF($L17&lt;1,((($T17*(1-$F17)+$S17*(1-$G17))/$L17)*((1+Inputs!$D$7)^BA$2)),((INT(BA$2/$L17)-INT((BA$2-1)/$L17))*($T17*(1-$F17)+$S17*(1-$G17))*((1+Inputs!$D$7)^BA$2))),((_xlfn.WEIBULL.DIST(BA$2,$M17,$L17,FALSE)*($T17*(1-$F17)+$S17*(1-$G17))*((1+Inputs!$D$7)^BA$2))))))</f>
        <v>0</v>
      </c>
      <c r="BB17" s="88">
        <f>$E17*IF(BB$2&gt;Inputs!$D$5,0,IF(BB$2&gt;VLOOKUP($H17,Lists!$P$3:$Q$7,2),IF($N17=Lists!$K$3,IF($L17&lt;1,(($U17/$L17)*((1+Inputs!$D$7)^BB$2)),((INT(BB$2/$L17)-INT((BB$2-1)/$L17))*$U17*((1+Inputs!$D$7)^BB$2))),(_xlfn.WEIBULL.DIST(BB$2,$M17,$L17,FALSE)*$U17*((1+Inputs!$D$7)^BB$2))),IF($N17=Lists!$K$3,IF($L17&lt;1,((($T17*(1-$F17)+$S17*(1-$G17))/$L17)*((1+Inputs!$D$7)^BB$2)),((INT(BB$2/$L17)-INT((BB$2-1)/$L17))*($T17*(1-$F17)+$S17*(1-$G17))*((1+Inputs!$D$7)^BB$2))),((_xlfn.WEIBULL.DIST(BB$2,$M17,$L17,FALSE)*($T17*(1-$F17)+$S17*(1-$G17))*((1+Inputs!$D$7)^BB$2))))))</f>
        <v>0</v>
      </c>
      <c r="BC17" s="88">
        <f>$E17*IF(BC$2&gt;Inputs!$D$5,0,IF(BC$2&gt;VLOOKUP($H17,Lists!$P$3:$Q$7,2),IF($N17=Lists!$K$3,IF($L17&lt;1,(($U17/$L17)*((1+Inputs!$D$7)^BC$2)),((INT(BC$2/$L17)-INT((BC$2-1)/$L17))*$U17*((1+Inputs!$D$7)^BC$2))),(_xlfn.WEIBULL.DIST(BC$2,$M17,$L17,FALSE)*$U17*((1+Inputs!$D$7)^BC$2))),IF($N17=Lists!$K$3,IF($L17&lt;1,((($T17*(1-$F17)+$S17*(1-$G17))/$L17)*((1+Inputs!$D$7)^BC$2)),((INT(BC$2/$L17)-INT((BC$2-1)/$L17))*($T17*(1-$F17)+$S17*(1-$G17))*((1+Inputs!$D$7)^BC$2))),((_xlfn.WEIBULL.DIST(BC$2,$M17,$L17,FALSE)*($T17*(1-$F17)+$S17*(1-$G17))*((1+Inputs!$D$7)^BC$2))))))</f>
        <v>0</v>
      </c>
      <c r="BD17" s="88">
        <f>$E17*IF(BD$2&gt;Inputs!$D$5,0,IF(BD$2&gt;VLOOKUP($H17,Lists!$P$3:$Q$7,2),IF($N17=Lists!$K$3,IF($L17&lt;1,(($U17/$L17)*((1+Inputs!$D$7)^BD$2)),((INT(BD$2/$L17)-INT((BD$2-1)/$L17))*$U17*((1+Inputs!$D$7)^BD$2))),(_xlfn.WEIBULL.DIST(BD$2,$M17,$L17,FALSE)*$U17*((1+Inputs!$D$7)^BD$2))),IF($N17=Lists!$K$3,IF($L17&lt;1,((($T17*(1-$F17)+$S17*(1-$G17))/$L17)*((1+Inputs!$D$7)^BD$2)),((INT(BD$2/$L17)-INT((BD$2-1)/$L17))*($T17*(1-$F17)+$S17*(1-$G17))*((1+Inputs!$D$7)^BD$2))),((_xlfn.WEIBULL.DIST(BD$2,$M17,$L17,FALSE)*($T17*(1-$F17)+$S17*(1-$G17))*((1+Inputs!$D$7)^BD$2))))))</f>
        <v>0</v>
      </c>
      <c r="BE17" s="88">
        <f>$E17*IF(BE$2&gt;Inputs!$D$5,0,IF(BE$2&gt;VLOOKUP($H17,Lists!$P$3:$Q$7,2),IF($N17=Lists!$K$3,IF($L17&lt;1,(($U17/$L17)*((1+Inputs!$D$7)^BE$2)),((INT(BE$2/$L17)-INT((BE$2-1)/$L17))*$U17*((1+Inputs!$D$7)^BE$2))),(_xlfn.WEIBULL.DIST(BE$2,$M17,$L17,FALSE)*$U17*((1+Inputs!$D$7)^BE$2))),IF($N17=Lists!$K$3,IF($L17&lt;1,((($T17*(1-$F17)+$S17*(1-$G17))/$L17)*((1+Inputs!$D$7)^BE$2)),((INT(BE$2/$L17)-INT((BE$2-1)/$L17))*($T17*(1-$F17)+$S17*(1-$G17))*((1+Inputs!$D$7)^BE$2))),((_xlfn.WEIBULL.DIST(BE$2,$M17,$L17,FALSE)*($T17*(1-$F17)+$S17*(1-$G17))*((1+Inputs!$D$7)^BE$2))))))</f>
        <v>0</v>
      </c>
      <c r="BF17" s="88">
        <f>$E17*IF(BF$2&gt;Inputs!$D$5,0,IF(BF$2&gt;VLOOKUP($H17,Lists!$P$3:$Q$7,2),IF($N17=Lists!$K$3,IF($L17&lt;1,(($U17/$L17)*((1+Inputs!$D$7)^BF$2)),((INT(BF$2/$L17)-INT((BF$2-1)/$L17))*$U17*((1+Inputs!$D$7)^BF$2))),(_xlfn.WEIBULL.DIST(BF$2,$M17,$L17,FALSE)*$U17*((1+Inputs!$D$7)^BF$2))),IF($N17=Lists!$K$3,IF($L17&lt;1,((($T17*(1-$F17)+$S17*(1-$G17))/$L17)*((1+Inputs!$D$7)^BF$2)),((INT(BF$2/$L17)-INT((BF$2-1)/$L17))*($T17*(1-$F17)+$S17*(1-$G17))*((1+Inputs!$D$7)^BF$2))),((_xlfn.WEIBULL.DIST(BF$2,$M17,$L17,FALSE)*($T17*(1-$F17)+$S17*(1-$G17))*((1+Inputs!$D$7)^BF$2))))))</f>
        <v>0</v>
      </c>
      <c r="BG17" s="88">
        <f>$E17*IF(BG$2&gt;Inputs!$D$5,0,IF(BG$2&gt;VLOOKUP($H17,Lists!$P$3:$Q$7,2),IF($N17=Lists!$K$3,IF($L17&lt;1,(($U17/$L17)*((1+Inputs!$D$7)^BG$2)),((INT(BG$2/$L17)-INT((BG$2-1)/$L17))*$U17*((1+Inputs!$D$7)^BG$2))),(_xlfn.WEIBULL.DIST(BG$2,$M17,$L17,FALSE)*$U17*((1+Inputs!$D$7)^BG$2))),IF($N17=Lists!$K$3,IF($L17&lt;1,((($T17*(1-$F17)+$S17*(1-$G17))/$L17)*((1+Inputs!$D$7)^BG$2)),((INT(BG$2/$L17)-INT((BG$2-1)/$L17))*($T17*(1-$F17)+$S17*(1-$G17))*((1+Inputs!$D$7)^BG$2))),((_xlfn.WEIBULL.DIST(BG$2,$M17,$L17,FALSE)*($T17*(1-$F17)+$S17*(1-$G17))*((1+Inputs!$D$7)^BG$2))))))</f>
        <v>0</v>
      </c>
      <c r="BH17" s="88">
        <f>$E17*IF(BH$2&gt;Inputs!$D$5,0,IF(BH$2&gt;VLOOKUP($H17,Lists!$P$3:$Q$7,2),IF($N17=Lists!$K$3,IF($L17&lt;1,(($U17/$L17)*((1+Inputs!$D$7)^BH$2)),((INT(BH$2/$L17)-INT((BH$2-1)/$L17))*$U17*((1+Inputs!$D$7)^BH$2))),(_xlfn.WEIBULL.DIST(BH$2,$M17,$L17,FALSE)*$U17*((1+Inputs!$D$7)^BH$2))),IF($N17=Lists!$K$3,IF($L17&lt;1,((($T17*(1-$F17)+$S17*(1-$G17))/$L17)*((1+Inputs!$D$7)^BH$2)),((INT(BH$2/$L17)-INT((BH$2-1)/$L17))*($T17*(1-$F17)+$S17*(1-$G17))*((1+Inputs!$D$7)^BH$2))),((_xlfn.WEIBULL.DIST(BH$2,$M17,$L17,FALSE)*($T17*(1-$F17)+$S17*(1-$G17))*((1+Inputs!$D$7)^BH$2))))))</f>
        <v>0</v>
      </c>
      <c r="BI17" s="88">
        <f>$E17*IF(BI$2&gt;Inputs!$D$5,0,IF(BI$2&gt;VLOOKUP($H17,Lists!$P$3:$Q$7,2),IF($N17=Lists!$K$3,IF($L17&lt;1,(($U17/$L17)*((1+Inputs!$D$7)^BI$2)),((INT(BI$2/$L17)-INT((BI$2-1)/$L17))*$U17*((1+Inputs!$D$7)^BI$2))),(_xlfn.WEIBULL.DIST(BI$2,$M17,$L17,FALSE)*$U17*((1+Inputs!$D$7)^BI$2))),IF($N17=Lists!$K$3,IF($L17&lt;1,((($T17*(1-$F17)+$S17*(1-$G17))/$L17)*((1+Inputs!$D$7)^BI$2)),((INT(BI$2/$L17)-INT((BI$2-1)/$L17))*($T17*(1-$F17)+$S17*(1-$G17))*((1+Inputs!$D$7)^BI$2))),((_xlfn.WEIBULL.DIST(BI$2,$M17,$L17,FALSE)*($T17*(1-$F17)+$S17*(1-$G17))*((1+Inputs!$D$7)^BI$2))))))</f>
        <v>0</v>
      </c>
      <c r="BJ17" s="88">
        <f>$E17*IF(BJ$2&gt;Inputs!$D$5,0,IF(BJ$2&gt;VLOOKUP($H17,Lists!$P$3:$Q$7,2),IF($N17=Lists!$K$3,IF($L17&lt;1,(($U17/$L17)*((1+Inputs!$D$7)^BJ$2)),((INT(BJ$2/$L17)-INT((BJ$2-1)/$L17))*$U17*((1+Inputs!$D$7)^BJ$2))),(_xlfn.WEIBULL.DIST(BJ$2,$M17,$L17,FALSE)*$U17*((1+Inputs!$D$7)^BJ$2))),IF($N17=Lists!$K$3,IF($L17&lt;1,((($T17*(1-$F17)+$S17*(1-$G17))/$L17)*((1+Inputs!$D$7)^BJ$2)),((INT(BJ$2/$L17)-INT((BJ$2-1)/$L17))*($T17*(1-$F17)+$S17*(1-$G17))*((1+Inputs!$D$7)^BJ$2))),((_xlfn.WEIBULL.DIST(BJ$2,$M17,$L17,FALSE)*($T17*(1-$F17)+$S17*(1-$G17))*((1+Inputs!$D$7)^BJ$2))))))</f>
        <v>0</v>
      </c>
      <c r="BK17" s="88">
        <f>$E17*IF(BK$2&gt;Inputs!$D$5,0,IF(BK$2&gt;VLOOKUP($H17,Lists!$P$3:$Q$7,2),IF($N17=Lists!$K$3,IF($L17&lt;1,(($U17/$L17)*((1+Inputs!$D$7)^BK$2)),((INT(BK$2/$L17)-INT((BK$2-1)/$L17))*$U17*((1+Inputs!$D$7)^BK$2))),(_xlfn.WEIBULL.DIST(BK$2,$M17,$L17,FALSE)*$U17*((1+Inputs!$D$7)^BK$2))),IF($N17=Lists!$K$3,IF($L17&lt;1,((($T17*(1-$F17)+$S17*(1-$G17))/$L17)*((1+Inputs!$D$7)^BK$2)),((INT(BK$2/$L17)-INT((BK$2-1)/$L17))*($T17*(1-$F17)+$S17*(1-$G17))*((1+Inputs!$D$7)^BK$2))),((_xlfn.WEIBULL.DIST(BK$2,$M17,$L17,FALSE)*($T17*(1-$F17)+$S17*(1-$G17))*((1+Inputs!$D$7)^BK$2))))))</f>
        <v>0</v>
      </c>
      <c r="BL17" s="88">
        <f>$E17*IF(BL$2&gt;Inputs!$D$5,0,IF(BL$2&gt;VLOOKUP($H17,Lists!$P$3:$Q$7,2),IF($N17=Lists!$K$3,IF($L17&lt;1,(($U17/$L17)*((1+Inputs!$D$7)^BL$2)),((INT(BL$2/$L17)-INT((BL$2-1)/$L17))*$U17*((1+Inputs!$D$7)^BL$2))),(_xlfn.WEIBULL.DIST(BL$2,$M17,$L17,FALSE)*$U17*((1+Inputs!$D$7)^BL$2))),IF($N17=Lists!$K$3,IF($L17&lt;1,((($T17*(1-$F17)+$S17*(1-$G17))/$L17)*((1+Inputs!$D$7)^BL$2)),((INT(BL$2/$L17)-INT((BL$2-1)/$L17))*($T17*(1-$F17)+$S17*(1-$G17))*((1+Inputs!$D$7)^BL$2))),((_xlfn.WEIBULL.DIST(BL$2,$M17,$L17,FALSE)*($T17*(1-$F17)+$S17*(1-$G17))*((1+Inputs!$D$7)^BL$2))))))</f>
        <v>0</v>
      </c>
      <c r="BM17" s="88">
        <f>$E17*IF(BM$2&gt;Inputs!$D$5,0,IF(BM$2&gt;VLOOKUP($H17,Lists!$P$3:$Q$7,2),IF($N17=Lists!$K$3,IF($L17&lt;1,(($U17/$L17)*((1+Inputs!$D$7)^BM$2)),((INT(BM$2/$L17)-INT((BM$2-1)/$L17))*$U17*((1+Inputs!$D$7)^BM$2))),(_xlfn.WEIBULL.DIST(BM$2,$M17,$L17,FALSE)*$U17*((1+Inputs!$D$7)^BM$2))),IF($N17=Lists!$K$3,IF($L17&lt;1,((($T17*(1-$F17)+$S17*(1-$G17))/$L17)*((1+Inputs!$D$7)^BM$2)),((INT(BM$2/$L17)-INT((BM$2-1)/$L17))*($T17*(1-$F17)+$S17*(1-$G17))*((1+Inputs!$D$7)^BM$2))),((_xlfn.WEIBULL.DIST(BM$2,$M17,$L17,FALSE)*($T17*(1-$F17)+$S17*(1-$G17))*((1+Inputs!$D$7)^BM$2))))))</f>
        <v>0</v>
      </c>
      <c r="BN17" s="88">
        <f>$E17*IF(BN$2&gt;Inputs!$D$5,0,IF(BN$2&gt;VLOOKUP($H17,Lists!$P$3:$Q$7,2),IF($N17=Lists!$K$3,IF($L17&lt;1,(($U17/$L17)*((1+Inputs!$D$7)^BN$2)),((INT(BN$2/$L17)-INT((BN$2-1)/$L17))*$U17*((1+Inputs!$D$7)^BN$2))),(_xlfn.WEIBULL.DIST(BN$2,$M17,$L17,FALSE)*$U17*((1+Inputs!$D$7)^BN$2))),IF($N17=Lists!$K$3,IF($L17&lt;1,((($T17*(1-$F17)+$S17*(1-$G17))/$L17)*((1+Inputs!$D$7)^BN$2)),((INT(BN$2/$L17)-INT((BN$2-1)/$L17))*($T17*(1-$F17)+$S17*(1-$G17))*((1+Inputs!$D$7)^BN$2))),((_xlfn.WEIBULL.DIST(BN$2,$M17,$L17,FALSE)*($T17*(1-$F17)+$S17*(1-$G17))*((1+Inputs!$D$7)^BN$2))))))</f>
        <v>0</v>
      </c>
      <c r="BO17" s="64">
        <f>NPV(Inputs!$D$6,BQ17:DD17)</f>
        <v>543394.88098471425</v>
      </c>
      <c r="BP17" s="67">
        <f t="shared" si="6"/>
        <v>0.25629155479516286</v>
      </c>
      <c r="BQ17" s="88">
        <f>MAX(AA17,($E17*IF(BQ$2&gt;Inputs!$D$5,0,IF(BQ$2&gt;VLOOKUP($H17,Lists!$P$3:$Q$7,2),IF($N17=Lists!$K$3,IF($L17&lt;1,(($U17/$L17)*((1+Inputs!$D$7)^BQ$2)),((INT(BQ$2/$L17)-INT((BQ$2-1)/$L17))*$U17*((1+Inputs!$D$7)^BQ$2))),(Inputs!$D$8^((1-_xlfn.WEIBULL.DIST(BQ$2,$M17,$L17,FALSE))/_xlfn.WEIBULL.DIST(BQ$2,$M17,$L17,FALSE))*$U17*((1+Inputs!$D$7)^BQ$2))),IF($N17=Lists!$K$3,IF($L17&lt;1,((($T17*(1-$F17)+$S17*(1-$G17))/$L17)*((1+Inputs!$D$7)^BQ$2)),((INT(BQ$2/$L17)-INT((BQ$2-1)/$L17))*($T17*(1-$F17)+$S17*(1-$G17))*((1+Inputs!$D$7)^BQ$2))),((Inputs!$D$8^((1-_xlfn.WEIBULL.DIST(BQ$2,$M17,$L17,FALSE))/_xlfn.WEIBULL.DIST(BQ$2,$M17,$L17,FALSE))*($T17*(1-$F17)+$S17*(1-$G17))*((1+Inputs!$D$7)^BQ$2))))))))</f>
        <v>0</v>
      </c>
      <c r="BR17" s="88">
        <f>MAX(AB17,($E17*IF(BR$2&gt;Inputs!$D$5,0,IF(BR$2&gt;VLOOKUP($H17,Lists!$P$3:$Q$7,2),IF($N17=Lists!$K$3,IF($L17&lt;1,(($U17/$L17)*((1+Inputs!$D$7)^BR$2)),((INT(BR$2/$L17)-INT((BR$2-1)/$L17))*$U17*((1+Inputs!$D$7)^BR$2))),(Inputs!$D$8^((1-_xlfn.WEIBULL.DIST(BR$2,$M17,$L17,FALSE))/_xlfn.WEIBULL.DIST(BR$2,$M17,$L17,FALSE))*$U17*((1+Inputs!$D$7)^BR$2))),IF($N17=Lists!$K$3,IF($L17&lt;1,((($T17*(1-$F17)+$S17*(1-$G17))/$L17)*((1+Inputs!$D$7)^BR$2)),((INT(BR$2/$L17)-INT((BR$2-1)/$L17))*($T17*(1-$F17)+$S17*(1-$G17))*((1+Inputs!$D$7)^BR$2))),((Inputs!$D$8^((1-_xlfn.WEIBULL.DIST(BR$2,$M17,$L17,FALSE))/_xlfn.WEIBULL.DIST(BR$2,$M17,$L17,FALSE))*($T17*(1-$F17)+$S17*(1-$G17))*((1+Inputs!$D$7)^BR$2))))))))</f>
        <v>90383.289259284575</v>
      </c>
      <c r="BS17" s="88">
        <f>MAX(AC17,($E17*IF(BS$2&gt;Inputs!$D$5,0,IF(BS$2&gt;VLOOKUP($H17,Lists!$P$3:$Q$7,2),IF($N17=Lists!$K$3,IF($L17&lt;1,(($U17/$L17)*((1+Inputs!$D$7)^BS$2)),((INT(BS$2/$L17)-INT((BS$2-1)/$L17))*$U17*((1+Inputs!$D$7)^BS$2))),(Inputs!$D$8^((1-_xlfn.WEIBULL.DIST(BS$2,$M17,$L17,FALSE))/_xlfn.WEIBULL.DIST(BS$2,$M17,$L17,FALSE))*$U17*((1+Inputs!$D$7)^BS$2))),IF($N17=Lists!$K$3,IF($L17&lt;1,((($T17*(1-$F17)+$S17*(1-$G17))/$L17)*((1+Inputs!$D$7)^BS$2)),((INT(BS$2/$L17)-INT((BS$2-1)/$L17))*($T17*(1-$F17)+$S17*(1-$G17))*((1+Inputs!$D$7)^BS$2))),((Inputs!$D$8^((1-_xlfn.WEIBULL.DIST(BS$2,$M17,$L17,FALSE))/_xlfn.WEIBULL.DIST(BS$2,$M17,$L17,FALSE))*($T17*(1-$F17)+$S17*(1-$G17))*((1+Inputs!$D$7)^BS$2))))))))</f>
        <v>84074.637959876854</v>
      </c>
      <c r="BT17" s="88">
        <f>MAX(AD17,($E17*IF(BT$2&gt;Inputs!$D$5,0,IF(BT$2&gt;VLOOKUP($H17,Lists!$P$3:$Q$7,2),IF($N17=Lists!$K$3,IF($L17&lt;1,(($U17/$L17)*((1+Inputs!$D$7)^BT$2)),((INT(BT$2/$L17)-INT((BT$2-1)/$L17))*$U17*((1+Inputs!$D$7)^BT$2))),(Inputs!$D$8^((1-_xlfn.WEIBULL.DIST(BT$2,$M17,$L17,FALSE))/_xlfn.WEIBULL.DIST(BT$2,$M17,$L17,FALSE))*$U17*((1+Inputs!$D$7)^BT$2))),IF($N17=Lists!$K$3,IF($L17&lt;1,((($T17*(1-$F17)+$S17*(1-$G17))/$L17)*((1+Inputs!$D$7)^BT$2)),((INT(BT$2/$L17)-INT((BT$2-1)/$L17))*($T17*(1-$F17)+$S17*(1-$G17))*((1+Inputs!$D$7)^BT$2))),((Inputs!$D$8^((1-_xlfn.WEIBULL.DIST(BT$2,$M17,$L17,FALSE))/_xlfn.WEIBULL.DIST(BT$2,$M17,$L17,FALSE))*($T17*(1-$F17)+$S17*(1-$G17))*((1+Inputs!$D$7)^BT$2))))))))</f>
        <v>77912.741709301612</v>
      </c>
      <c r="BU17" s="88">
        <f>MAX(AE17,($E17*IF(BU$2&gt;Inputs!$D$5,0,IF(BU$2&gt;VLOOKUP($H17,Lists!$P$3:$Q$7,2),IF($N17=Lists!$K$3,IF($L17&lt;1,(($U17/$L17)*((1+Inputs!$D$7)^BU$2)),((INT(BU$2/$L17)-INT((BU$2-1)/$L17))*$U17*((1+Inputs!$D$7)^BU$2))),(Inputs!$D$8^((1-_xlfn.WEIBULL.DIST(BU$2,$M17,$L17,FALSE))/_xlfn.WEIBULL.DIST(BU$2,$M17,$L17,FALSE))*$U17*((1+Inputs!$D$7)^BU$2))),IF($N17=Lists!$K$3,IF($L17&lt;1,((($T17*(1-$F17)+$S17*(1-$G17))/$L17)*((1+Inputs!$D$7)^BU$2)),((INT(BU$2/$L17)-INT((BU$2-1)/$L17))*($T17*(1-$F17)+$S17*(1-$G17))*((1+Inputs!$D$7)^BU$2))),((Inputs!$D$8^((1-_xlfn.WEIBULL.DIST(BU$2,$M17,$L17,FALSE))/_xlfn.WEIBULL.DIST(BU$2,$M17,$L17,FALSE))*($T17*(1-$F17)+$S17*(1-$G17))*((1+Inputs!$D$7)^BU$2))))))))</f>
        <v>71920.372287630147</v>
      </c>
      <c r="BV17" s="88">
        <f>MAX(AF17,($E17*IF(BV$2&gt;Inputs!$D$5,0,IF(BV$2&gt;VLOOKUP($H17,Lists!$P$3:$Q$7,2),IF($N17=Lists!$K$3,IF($L17&lt;1,(($U17/$L17)*((1+Inputs!$D$7)^BV$2)),((INT(BV$2/$L17)-INT((BV$2-1)/$L17))*$U17*((1+Inputs!$D$7)^BV$2))),(Inputs!$D$8^((1-_xlfn.WEIBULL.DIST(BV$2,$M17,$L17,FALSE))/_xlfn.WEIBULL.DIST(BV$2,$M17,$L17,FALSE))*$U17*((1+Inputs!$D$7)^BV$2))),IF($N17=Lists!$K$3,IF($L17&lt;1,((($T17*(1-$F17)+$S17*(1-$G17))/$L17)*((1+Inputs!$D$7)^BV$2)),((INT(BV$2/$L17)-INT((BV$2-1)/$L17))*($T17*(1-$F17)+$S17*(1-$G17))*((1+Inputs!$D$7)^BV$2))),((Inputs!$D$8^((1-_xlfn.WEIBULL.DIST(BV$2,$M17,$L17,FALSE))/_xlfn.WEIBULL.DIST(BV$2,$M17,$L17,FALSE))*($T17*(1-$F17)+$S17*(1-$G17))*((1+Inputs!$D$7)^BV$2))))))))</f>
        <v>66118.949457496346</v>
      </c>
      <c r="BW17" s="88">
        <f>MAX(AG17,($E17*IF(BW$2&gt;Inputs!$D$5,0,IF(BW$2&gt;VLOOKUP($H17,Lists!$P$3:$Q$7,2),IF($N17=Lists!$K$3,IF($L17&lt;1,(($U17/$L17)*((1+Inputs!$D$7)^BW$2)),((INT(BW$2/$L17)-INT((BW$2-1)/$L17))*$U17*((1+Inputs!$D$7)^BW$2))),(Inputs!$D$8^((1-_xlfn.WEIBULL.DIST(BW$2,$M17,$L17,FALSE))/_xlfn.WEIBULL.DIST(BW$2,$M17,$L17,FALSE))*$U17*((1+Inputs!$D$7)^BW$2))),IF($N17=Lists!$K$3,IF($L17&lt;1,((($T17*(1-$F17)+$S17*(1-$G17))/$L17)*((1+Inputs!$D$7)^BW$2)),((INT(BW$2/$L17)-INT((BW$2-1)/$L17))*($T17*(1-$F17)+$S17*(1-$G17))*((1+Inputs!$D$7)^BW$2))),((Inputs!$D$8^((1-_xlfn.WEIBULL.DIST(BW$2,$M17,$L17,FALSE))/_xlfn.WEIBULL.DIST(BW$2,$M17,$L17,FALSE))*($T17*(1-$F17)+$S17*(1-$G17))*((1+Inputs!$D$7)^BW$2))))))))</f>
        <v>60528.279459419238</v>
      </c>
      <c r="BX17" s="88">
        <f>MAX(AH17,($E17*IF(BX$2&gt;Inputs!$D$5,0,IF(BX$2&gt;VLOOKUP($H17,Lists!$P$3:$Q$7,2),IF($N17=Lists!$K$3,IF($L17&lt;1,(($U17/$L17)*((1+Inputs!$D$7)^BX$2)),((INT(BX$2/$L17)-INT((BX$2-1)/$L17))*$U17*((1+Inputs!$D$7)^BX$2))),(Inputs!$D$8^((1-_xlfn.WEIBULL.DIST(BX$2,$M17,$L17,FALSE))/_xlfn.WEIBULL.DIST(BX$2,$M17,$L17,FALSE))*$U17*((1+Inputs!$D$7)^BX$2))),IF($N17=Lists!$K$3,IF($L17&lt;1,((($T17*(1-$F17)+$S17*(1-$G17))/$L17)*((1+Inputs!$D$7)^BX$2)),((INT(BX$2/$L17)-INT((BX$2-1)/$L17))*($T17*(1-$F17)+$S17*(1-$G17))*((1+Inputs!$D$7)^BX$2))),((Inputs!$D$8^((1-_xlfn.WEIBULL.DIST(BX$2,$M17,$L17,FALSE))/_xlfn.WEIBULL.DIST(BX$2,$M17,$L17,FALSE))*($T17*(1-$F17)+$S17*(1-$G17))*((1+Inputs!$D$7)^BX$2))))))))</f>
        <v>55166.308257063305</v>
      </c>
      <c r="BY17" s="88">
        <f>MAX(AI17,($E17*IF(BY$2&gt;Inputs!$D$5,0,IF(BY$2&gt;VLOOKUP($H17,Lists!$P$3:$Q$7,2),IF($N17=Lists!$K$3,IF($L17&lt;1,(($U17/$L17)*((1+Inputs!$D$7)^BY$2)),((INT(BY$2/$L17)-INT((BY$2-1)/$L17))*$U17*((1+Inputs!$D$7)^BY$2))),(Inputs!$D$8^((1-_xlfn.WEIBULL.DIST(BY$2,$M17,$L17,FALSE))/_xlfn.WEIBULL.DIST(BY$2,$M17,$L17,FALSE))*$U17*((1+Inputs!$D$7)^BY$2))),IF($N17=Lists!$K$3,IF($L17&lt;1,((($T17*(1-$F17)+$S17*(1-$G17))/$L17)*((1+Inputs!$D$7)^BY$2)),((INT(BY$2/$L17)-INT((BY$2-1)/$L17))*($T17*(1-$F17)+$S17*(1-$G17))*((1+Inputs!$D$7)^BY$2))),((Inputs!$D$8^((1-_xlfn.WEIBULL.DIST(BY$2,$M17,$L17,FALSE))/_xlfn.WEIBULL.DIST(BY$2,$M17,$L17,FALSE))*($T17*(1-$F17)+$S17*(1-$G17))*((1+Inputs!$D$7)^BY$2))))))))</f>
        <v>50048.895423381851</v>
      </c>
      <c r="BZ17" s="88">
        <f>MAX(AJ17,($E17*IF(BZ$2&gt;Inputs!$D$5,0,IF(BZ$2&gt;VLOOKUP($H17,Lists!$P$3:$Q$7,2),IF($N17=Lists!$K$3,IF($L17&lt;1,(($U17/$L17)*((1+Inputs!$D$7)^BZ$2)),((INT(BZ$2/$L17)-INT((BZ$2-1)/$L17))*$U17*((1+Inputs!$D$7)^BZ$2))),(Inputs!$D$8^((1-_xlfn.WEIBULL.DIST(BZ$2,$M17,$L17,FALSE))/_xlfn.WEIBULL.DIST(BZ$2,$M17,$L17,FALSE))*$U17*((1+Inputs!$D$7)^BZ$2))),IF($N17=Lists!$K$3,IF($L17&lt;1,((($T17*(1-$F17)+$S17*(1-$G17))/$L17)*((1+Inputs!$D$7)^BZ$2)),((INT(BZ$2/$L17)-INT((BZ$2-1)/$L17))*($T17*(1-$F17)+$S17*(1-$G17))*((1+Inputs!$D$7)^BZ$2))),((Inputs!$D$8^((1-_xlfn.WEIBULL.DIST(BZ$2,$M17,$L17,FALSE))/_xlfn.WEIBULL.DIST(BZ$2,$M17,$L17,FALSE))*($T17*(1-$F17)+$S17*(1-$G17))*((1+Inputs!$D$7)^BZ$2))))))))</f>
        <v>45189.61450663006</v>
      </c>
      <c r="CA17" s="88">
        <f>MAX(AK17,($E17*IF(CA$2&gt;Inputs!$D$5,0,IF(CA$2&gt;VLOOKUP($H17,Lists!$P$3:$Q$7,2),IF($N17=Lists!$K$3,IF($L17&lt;1,(($U17/$L17)*((1+Inputs!$D$7)^CA$2)),((INT(CA$2/$L17)-INT((CA$2-1)/$L17))*$U17*((1+Inputs!$D$7)^CA$2))),(Inputs!$D$8^((1-_xlfn.WEIBULL.DIST(CA$2,$M17,$L17,FALSE))/_xlfn.WEIBULL.DIST(CA$2,$M17,$L17,FALSE))*$U17*((1+Inputs!$D$7)^CA$2))),IF($N17=Lists!$K$3,IF($L17&lt;1,((($T17*(1-$F17)+$S17*(1-$G17))/$L17)*((1+Inputs!$D$7)^CA$2)),((INT(CA$2/$L17)-INT((CA$2-1)/$L17))*($T17*(1-$F17)+$S17*(1-$G17))*((1+Inputs!$D$7)^CA$2))),((Inputs!$D$8^((1-_xlfn.WEIBULL.DIST(CA$2,$M17,$L17,FALSE))/_xlfn.WEIBULL.DIST(CA$2,$M17,$L17,FALSE))*($T17*(1-$F17)+$S17*(1-$G17))*((1+Inputs!$D$7)^CA$2))))))))</f>
        <v>40599.585472598279</v>
      </c>
      <c r="CB17" s="88">
        <f>MAX(AL17,($E17*IF(CB$2&gt;Inputs!$D$5,0,IF(CB$2&gt;VLOOKUP($H17,Lists!$P$3:$Q$7,2),IF($N17=Lists!$K$3,IF($L17&lt;1,(($U17/$L17)*((1+Inputs!$D$7)^CB$2)),((INT(CB$2/$L17)-INT((CB$2-1)/$L17))*$U17*((1+Inputs!$D$7)^CB$2))),(Inputs!$D$8^((1-_xlfn.WEIBULL.DIST(CB$2,$M17,$L17,FALSE))/_xlfn.WEIBULL.DIST(CB$2,$M17,$L17,FALSE))*$U17*((1+Inputs!$D$7)^CB$2))),IF($N17=Lists!$K$3,IF($L17&lt;1,((($T17*(1-$F17)+$S17*(1-$G17))/$L17)*((1+Inputs!$D$7)^CB$2)),((INT(CB$2/$L17)-INT((CB$2-1)/$L17))*($T17*(1-$F17)+$S17*(1-$G17))*((1+Inputs!$D$7)^CB$2))),((Inputs!$D$8^((1-_xlfn.WEIBULL.DIST(CB$2,$M17,$L17,FALSE))/_xlfn.WEIBULL.DIST(CB$2,$M17,$L17,FALSE))*($T17*(1-$F17)+$S17*(1-$G17))*((1+Inputs!$D$7)^CB$2))))))))</f>
        <v>36287.344371732237</v>
      </c>
      <c r="CC17" s="88">
        <f>MAX(AM17,($E17*IF(CC$2&gt;Inputs!$D$5,0,IF(CC$2&gt;VLOOKUP($H17,Lists!$P$3:$Q$7,2),IF($N17=Lists!$K$3,IF($L17&lt;1,(($U17/$L17)*((1+Inputs!$D$7)^CC$2)),((INT(CC$2/$L17)-INT((CC$2-1)/$L17))*$U17*((1+Inputs!$D$7)^CC$2))),(Inputs!$D$8^((1-_xlfn.WEIBULL.DIST(CC$2,$M17,$L17,FALSE))/_xlfn.WEIBULL.DIST(CC$2,$M17,$L17,FALSE))*$U17*((1+Inputs!$D$7)^CC$2))),IF($N17=Lists!$K$3,IF($L17&lt;1,((($T17*(1-$F17)+$S17*(1-$G17))/$L17)*((1+Inputs!$D$7)^CC$2)),((INT(CC$2/$L17)-INT((CC$2-1)/$L17))*($T17*(1-$F17)+$S17*(1-$G17))*((1+Inputs!$D$7)^CC$2))),((Inputs!$D$8^((1-_xlfn.WEIBULL.DIST(CC$2,$M17,$L17,FALSE))/_xlfn.WEIBULL.DIST(CC$2,$M17,$L17,FALSE))*($T17*(1-$F17)+$S17*(1-$G17))*((1+Inputs!$D$7)^CC$2))))))))</f>
        <v>32258.754719921337</v>
      </c>
      <c r="CD17" s="88">
        <f>MAX(AN17,($E17*IF(CD$2&gt;Inputs!$D$5,0,IF(CD$2&gt;VLOOKUP($H17,Lists!$P$3:$Q$7,2),IF($N17=Lists!$K$3,IF($L17&lt;1,(($U17/$L17)*((1+Inputs!$D$7)^CD$2)),((INT(CD$2/$L17)-INT((CD$2-1)/$L17))*$U17*((1+Inputs!$D$7)^CD$2))),(Inputs!$D$8^((1-_xlfn.WEIBULL.DIST(CD$2,$M17,$L17,FALSE))/_xlfn.WEIBULL.DIST(CD$2,$M17,$L17,FALSE))*$U17*((1+Inputs!$D$7)^CD$2))),IF($N17=Lists!$K$3,IF($L17&lt;1,((($T17*(1-$F17)+$S17*(1-$G17))/$L17)*((1+Inputs!$D$7)^CD$2)),((INT(CD$2/$L17)-INT((CD$2-1)/$L17))*($T17*(1-$F17)+$S17*(1-$G17))*((1+Inputs!$D$7)^CD$2))),((Inputs!$D$8^((1-_xlfn.WEIBULL.DIST(CD$2,$M17,$L17,FALSE))/_xlfn.WEIBULL.DIST(CD$2,$M17,$L17,FALSE))*($T17*(1-$F17)+$S17*(1-$G17))*((1+Inputs!$D$7)^CD$2))))))))</f>
        <v>28516.964211327908</v>
      </c>
      <c r="CE17" s="88">
        <f>MAX(AO17,($E17*IF(CE$2&gt;Inputs!$D$5,0,IF(CE$2&gt;VLOOKUP($H17,Lists!$P$3:$Q$7,2),IF($N17=Lists!$K$3,IF($L17&lt;1,(($U17/$L17)*((1+Inputs!$D$7)^CE$2)),((INT(CE$2/$L17)-INT((CE$2-1)/$L17))*$U17*((1+Inputs!$D$7)^CE$2))),(Inputs!$D$8^((1-_xlfn.WEIBULL.DIST(CE$2,$M17,$L17,FALSE))/_xlfn.WEIBULL.DIST(CE$2,$M17,$L17,FALSE))*$U17*((1+Inputs!$D$7)^CE$2))),IF($N17=Lists!$K$3,IF($L17&lt;1,((($T17*(1-$F17)+$S17*(1-$G17))/$L17)*((1+Inputs!$D$7)^CE$2)),((INT(CE$2/$L17)-INT((CE$2-1)/$L17))*($T17*(1-$F17)+$S17*(1-$G17))*((1+Inputs!$D$7)^CE$2))),((Inputs!$D$8^((1-_xlfn.WEIBULL.DIST(CE$2,$M17,$L17,FALSE))/_xlfn.WEIBULL.DIST(CE$2,$M17,$L17,FALSE))*($T17*(1-$F17)+$S17*(1-$G17))*((1+Inputs!$D$7)^CE$2))))))))</f>
        <v>25062.409312546955</v>
      </c>
      <c r="CF17" s="88">
        <f>MAX(AP17,($E17*IF(CF$2&gt;Inputs!$D$5,0,IF(CF$2&gt;VLOOKUP($H17,Lists!$P$3:$Q$7,2),IF($N17=Lists!$K$3,IF($L17&lt;1,(($U17/$L17)*((1+Inputs!$D$7)^CF$2)),((INT(CF$2/$L17)-INT((CF$2-1)/$L17))*$U17*((1+Inputs!$D$7)^CF$2))),(Inputs!$D$8^((1-_xlfn.WEIBULL.DIST(CF$2,$M17,$L17,FALSE))/_xlfn.WEIBULL.DIST(CF$2,$M17,$L17,FALSE))*$U17*((1+Inputs!$D$7)^CF$2))),IF($N17=Lists!$K$3,IF($L17&lt;1,((($T17*(1-$F17)+$S17*(1-$G17))/$L17)*((1+Inputs!$D$7)^CF$2)),((INT(CF$2/$L17)-INT((CF$2-1)/$L17))*($T17*(1-$F17)+$S17*(1-$G17))*((1+Inputs!$D$7)^CF$2))),((Inputs!$D$8^((1-_xlfn.WEIBULL.DIST(CF$2,$M17,$L17,FALSE))/_xlfn.WEIBULL.DIST(CF$2,$M17,$L17,FALSE))*($T17*(1-$F17)+$S17*(1-$G17))*((1+Inputs!$D$7)^CF$2))))))))</f>
        <v>22135.755818663871</v>
      </c>
      <c r="CG17" s="88">
        <f>MAX(AQ17,($E17*IF(CG$2&gt;Inputs!$D$5,0,IF(CG$2&gt;VLOOKUP($H17,Lists!$P$3:$Q$7,2),IF($N17=Lists!$K$3,IF($L17&lt;1,(($U17/$L17)*((1+Inputs!$D$7)^CG$2)),((INT(CG$2/$L17)-INT((CG$2-1)/$L17))*$U17*((1+Inputs!$D$7)^CG$2))),(Inputs!$D$8^((1-_xlfn.WEIBULL.DIST(CG$2,$M17,$L17,FALSE))/_xlfn.WEIBULL.DIST(CG$2,$M17,$L17,FALSE))*$U17*((1+Inputs!$D$7)^CG$2))),IF($N17=Lists!$K$3,IF($L17&lt;1,((($T17*(1-$F17)+$S17*(1-$G17))/$L17)*((1+Inputs!$D$7)^CG$2)),((INT(CG$2/$L17)-INT((CG$2-1)/$L17))*($T17*(1-$F17)+$S17*(1-$G17))*((1+Inputs!$D$7)^CG$2))),((Inputs!$D$8^((1-_xlfn.WEIBULL.DIST(CG$2,$M17,$L17,FALSE))/_xlfn.WEIBULL.DIST(CG$2,$M17,$L17,FALSE))*($T17*(1-$F17)+$S17*(1-$G17))*((1+Inputs!$D$7)^CG$2))))))))</f>
        <v>21693.156426591369</v>
      </c>
      <c r="CH17" s="88">
        <f>MAX(AR17,($E17*IF(CH$2&gt;Inputs!$D$5,0,IF(CH$2&gt;VLOOKUP($H17,Lists!$P$3:$Q$7,2),IF($N17=Lists!$K$3,IF($L17&lt;1,(($U17/$L17)*((1+Inputs!$D$7)^CH$2)),((INT(CH$2/$L17)-INT((CH$2-1)/$L17))*$U17*((1+Inputs!$D$7)^CH$2))),(Inputs!$D$8^((1-_xlfn.WEIBULL.DIST(CH$2,$M17,$L17,FALSE))/_xlfn.WEIBULL.DIST(CH$2,$M17,$L17,FALSE))*$U17*((1+Inputs!$D$7)^CH$2))),IF($N17=Lists!$K$3,IF($L17&lt;1,((($T17*(1-$F17)+$S17*(1-$G17))/$L17)*((1+Inputs!$D$7)^CH$2)),((INT(CH$2/$L17)-INT((CH$2-1)/$L17))*($T17*(1-$F17)+$S17*(1-$G17))*((1+Inputs!$D$7)^CH$2))),((Inputs!$D$8^((1-_xlfn.WEIBULL.DIST(CH$2,$M17,$L17,FALSE))/_xlfn.WEIBULL.DIST(CH$2,$M17,$L17,FALSE))*($T17*(1-$F17)+$S17*(1-$G17))*((1+Inputs!$D$7)^CH$2))))))))</f>
        <v>21259.40670847931</v>
      </c>
      <c r="CI17" s="88">
        <f>MAX(AS17,($E17*IF(CI$2&gt;Inputs!$D$5,0,IF(CI$2&gt;VLOOKUP($H17,Lists!$P$3:$Q$7,2),IF($N17=Lists!$K$3,IF($L17&lt;1,(($U17/$L17)*((1+Inputs!$D$7)^CI$2)),((INT(CI$2/$L17)-INT((CI$2-1)/$L17))*$U17*((1+Inputs!$D$7)^CI$2))),(Inputs!$D$8^((1-_xlfn.WEIBULL.DIST(CI$2,$M17,$L17,FALSE))/_xlfn.WEIBULL.DIST(CI$2,$M17,$L17,FALSE))*$U17*((1+Inputs!$D$7)^CI$2))),IF($N17=Lists!$K$3,IF($L17&lt;1,((($T17*(1-$F17)+$S17*(1-$G17))/$L17)*((1+Inputs!$D$7)^CI$2)),((INT(CI$2/$L17)-INT((CI$2-1)/$L17))*($T17*(1-$F17)+$S17*(1-$G17))*((1+Inputs!$D$7)^CI$2))),((Inputs!$D$8^((1-_xlfn.WEIBULL.DIST(CI$2,$M17,$L17,FALSE))/_xlfn.WEIBULL.DIST(CI$2,$M17,$L17,FALSE))*($T17*(1-$F17)+$S17*(1-$G17))*((1+Inputs!$D$7)^CI$2))))))))</f>
        <v>20834.329717113989</v>
      </c>
      <c r="CJ17" s="88">
        <f>MAX(AT17,($E17*IF(CJ$2&gt;Inputs!$D$5,0,IF(CJ$2&gt;VLOOKUP($H17,Lists!$P$3:$Q$7,2),IF($N17=Lists!$K$3,IF($L17&lt;1,(($U17/$L17)*((1+Inputs!$D$7)^CJ$2)),((INT(CJ$2/$L17)-INT((CJ$2-1)/$L17))*$U17*((1+Inputs!$D$7)^CJ$2))),(Inputs!$D$8^((1-_xlfn.WEIBULL.DIST(CJ$2,$M17,$L17,FALSE))/_xlfn.WEIBULL.DIST(CJ$2,$M17,$L17,FALSE))*$U17*((1+Inputs!$D$7)^CJ$2))),IF($N17=Lists!$K$3,IF($L17&lt;1,((($T17*(1-$F17)+$S17*(1-$G17))/$L17)*((1+Inputs!$D$7)^CJ$2)),((INT(CJ$2/$L17)-INT((CJ$2-1)/$L17))*($T17*(1-$F17)+$S17*(1-$G17))*((1+Inputs!$D$7)^CJ$2))),((Inputs!$D$8^((1-_xlfn.WEIBULL.DIST(CJ$2,$M17,$L17,FALSE))/_xlfn.WEIBULL.DIST(CJ$2,$M17,$L17,FALSE))*($T17*(1-$F17)+$S17*(1-$G17))*((1+Inputs!$D$7)^CJ$2))))))))</f>
        <v>20417.752043300938</v>
      </c>
      <c r="CK17" s="88">
        <f>MAX(AU17,($E17*IF(CK$2&gt;Inputs!$D$5,0,IF(CK$2&gt;VLOOKUP($H17,Lists!$P$3:$Q$7,2),IF($N17=Lists!$K$3,IF($L17&lt;1,(($U17/$L17)*((1+Inputs!$D$7)^CK$2)),((INT(CK$2/$L17)-INT((CK$2-1)/$L17))*$U17*((1+Inputs!$D$7)^CK$2))),(Inputs!$D$8^((1-_xlfn.WEIBULL.DIST(CK$2,$M17,$L17,FALSE))/_xlfn.WEIBULL.DIST(CK$2,$M17,$L17,FALSE))*$U17*((1+Inputs!$D$7)^CK$2))),IF($N17=Lists!$K$3,IF($L17&lt;1,((($T17*(1-$F17)+$S17*(1-$G17))/$L17)*((1+Inputs!$D$7)^CK$2)),((INT(CK$2/$L17)-INT((CK$2-1)/$L17))*($T17*(1-$F17)+$S17*(1-$G17))*((1+Inputs!$D$7)^CK$2))),((Inputs!$D$8^((1-_xlfn.WEIBULL.DIST(CK$2,$M17,$L17,FALSE))/_xlfn.WEIBULL.DIST(CK$2,$M17,$L17,FALSE))*($T17*(1-$F17)+$S17*(1-$G17))*((1+Inputs!$D$7)^CK$2))))))))</f>
        <v>20009.503745123002</v>
      </c>
      <c r="CL17" s="88">
        <f>MAX(AV17,($E17*IF(CL$2&gt;Inputs!$D$5,0,IF(CL$2&gt;VLOOKUP($H17,Lists!$P$3:$Q$7,2),IF($N17=Lists!$K$3,IF($L17&lt;1,(($U17/$L17)*((1+Inputs!$D$7)^CL$2)),((INT(CL$2/$L17)-INT((CL$2-1)/$L17))*$U17*((1+Inputs!$D$7)^CL$2))),(Inputs!$D$8^((1-_xlfn.WEIBULL.DIST(CL$2,$M17,$L17,FALSE))/_xlfn.WEIBULL.DIST(CL$2,$M17,$L17,FALSE))*$U17*((1+Inputs!$D$7)^CL$2))),IF($N17=Lists!$K$3,IF($L17&lt;1,((($T17*(1-$F17)+$S17*(1-$G17))/$L17)*((1+Inputs!$D$7)^CL$2)),((INT(CL$2/$L17)-INT((CL$2-1)/$L17))*($T17*(1-$F17)+$S17*(1-$G17))*((1+Inputs!$D$7)^CL$2))),((Inputs!$D$8^((1-_xlfn.WEIBULL.DIST(CL$2,$M17,$L17,FALSE))/_xlfn.WEIBULL.DIST(CL$2,$M17,$L17,FALSE))*($T17*(1-$F17)+$S17*(1-$G17))*((1+Inputs!$D$7)^CL$2))))))))</f>
        <v>19609.418278612899</v>
      </c>
      <c r="CM17" s="88">
        <f>MAX(AW17,($E17*IF(CM$2&gt;Inputs!$D$5,0,IF(CM$2&gt;VLOOKUP($H17,Lists!$P$3:$Q$7,2),IF($N17=Lists!$K$3,IF($L17&lt;1,(($U17/$L17)*((1+Inputs!$D$7)^CM$2)),((INT(CM$2/$L17)-INT((CM$2-1)/$L17))*$U17*((1+Inputs!$D$7)^CM$2))),(Inputs!$D$8^((1-_xlfn.WEIBULL.DIST(CM$2,$M17,$L17,FALSE))/_xlfn.WEIBULL.DIST(CM$2,$M17,$L17,FALSE))*$U17*((1+Inputs!$D$7)^CM$2))),IF($N17=Lists!$K$3,IF($L17&lt;1,((($T17*(1-$F17)+$S17*(1-$G17))/$L17)*((1+Inputs!$D$7)^CM$2)),((INT(CM$2/$L17)-INT((CM$2-1)/$L17))*($T17*(1-$F17)+$S17*(1-$G17))*((1+Inputs!$D$7)^CM$2))),((Inputs!$D$8^((1-_xlfn.WEIBULL.DIST(CM$2,$M17,$L17,FALSE))/_xlfn.WEIBULL.DIST(CM$2,$M17,$L17,FALSE))*($T17*(1-$F17)+$S17*(1-$G17))*((1+Inputs!$D$7)^CM$2))))))))</f>
        <v>19217.332429812035</v>
      </c>
      <c r="CN17" s="88">
        <f>MAX(AX17,($E17*IF(CN$2&gt;Inputs!$D$5,0,IF(CN$2&gt;VLOOKUP($H17,Lists!$P$3:$Q$7,2),IF($N17=Lists!$K$3,IF($L17&lt;1,(($U17/$L17)*((1+Inputs!$D$7)^CN$2)),((INT(CN$2/$L17)-INT((CN$2-1)/$L17))*$U17*((1+Inputs!$D$7)^CN$2))),(Inputs!$D$8^((1-_xlfn.WEIBULL.DIST(CN$2,$M17,$L17,FALSE))/_xlfn.WEIBULL.DIST(CN$2,$M17,$L17,FALSE))*$U17*((1+Inputs!$D$7)^CN$2))),IF($N17=Lists!$K$3,IF($L17&lt;1,((($T17*(1-$F17)+$S17*(1-$G17))/$L17)*((1+Inputs!$D$7)^CN$2)),((INT(CN$2/$L17)-INT((CN$2-1)/$L17))*($T17*(1-$F17)+$S17*(1-$G17))*((1+Inputs!$D$7)^CN$2))),((Inputs!$D$8^((1-_xlfn.WEIBULL.DIST(CN$2,$M17,$L17,FALSE))/_xlfn.WEIBULL.DIST(CN$2,$M17,$L17,FALSE))*($T17*(1-$F17)+$S17*(1-$G17))*((1+Inputs!$D$7)^CN$2))))))))</f>
        <v>18833.086248187719</v>
      </c>
      <c r="CO17" s="88">
        <f>MAX(AY17,($E17*IF(CO$2&gt;Inputs!$D$5,0,IF(CO$2&gt;VLOOKUP($H17,Lists!$P$3:$Q$7,2),IF($N17=Lists!$K$3,IF($L17&lt;1,(($U17/$L17)*((1+Inputs!$D$7)^CO$2)),((INT(CO$2/$L17)-INT((CO$2-1)/$L17))*$U17*((1+Inputs!$D$7)^CO$2))),(Inputs!$D$8^((1-_xlfn.WEIBULL.DIST(CO$2,$M17,$L17,FALSE))/_xlfn.WEIBULL.DIST(CO$2,$M17,$L17,FALSE))*$U17*((1+Inputs!$D$7)^CO$2))),IF($N17=Lists!$K$3,IF($L17&lt;1,((($T17*(1-$F17)+$S17*(1-$G17))/$L17)*((1+Inputs!$D$7)^CO$2)),((INT(CO$2/$L17)-INT((CO$2-1)/$L17))*($T17*(1-$F17)+$S17*(1-$G17))*((1+Inputs!$D$7)^CO$2))),((Inputs!$D$8^((1-_xlfn.WEIBULL.DIST(CO$2,$M17,$L17,FALSE))/_xlfn.WEIBULL.DIST(CO$2,$M17,$L17,FALSE))*($T17*(1-$F17)+$S17*(1-$G17))*((1+Inputs!$D$7)^CO$2))))))))</f>
        <v>18456.52298138168</v>
      </c>
      <c r="CP17" s="88">
        <f>MAX(AZ17,($E17*IF(CP$2&gt;Inputs!$D$5,0,IF(CP$2&gt;VLOOKUP($H17,Lists!$P$3:$Q$7,2),IF($N17=Lists!$K$3,IF($L17&lt;1,(($U17/$L17)*((1+Inputs!$D$7)^CP$2)),((INT(CP$2/$L17)-INT((CP$2-1)/$L17))*$U17*((1+Inputs!$D$7)^CP$2))),(Inputs!$D$8^((1-_xlfn.WEIBULL.DIST(CP$2,$M17,$L17,FALSE))/_xlfn.WEIBULL.DIST(CP$2,$M17,$L17,FALSE))*$U17*((1+Inputs!$D$7)^CP$2))),IF($N17=Lists!$K$3,IF($L17&lt;1,((($T17*(1-$F17)+$S17*(1-$G17))/$L17)*((1+Inputs!$D$7)^CP$2)),((INT(CP$2/$L17)-INT((CP$2-1)/$L17))*($T17*(1-$F17)+$S17*(1-$G17))*((1+Inputs!$D$7)^CP$2))),((Inputs!$D$8^((1-_xlfn.WEIBULL.DIST(CP$2,$M17,$L17,FALSE))/_xlfn.WEIBULL.DIST(CP$2,$M17,$L17,FALSE))*($T17*(1-$F17)+$S17*(1-$G17))*((1+Inputs!$D$7)^CP$2))))))))</f>
        <v>0</v>
      </c>
      <c r="CQ17" s="88">
        <f>MAX(BA17,($E17*IF(CQ$2&gt;Inputs!$D$5,0,IF(CQ$2&gt;VLOOKUP($H17,Lists!$P$3:$Q$7,2),IF($N17=Lists!$K$3,IF($L17&lt;1,(($U17/$L17)*((1+Inputs!$D$7)^CQ$2)),((INT(CQ$2/$L17)-INT((CQ$2-1)/$L17))*$U17*((1+Inputs!$D$7)^CQ$2))),(Inputs!$D$8^((1-_xlfn.WEIBULL.DIST(CQ$2,$M17,$L17,FALSE))/_xlfn.WEIBULL.DIST(CQ$2,$M17,$L17,FALSE))*$U17*((1+Inputs!$D$7)^CQ$2))),IF($N17=Lists!$K$3,IF($L17&lt;1,((($T17*(1-$F17)+$S17*(1-$G17))/$L17)*((1+Inputs!$D$7)^CQ$2)),((INT(CQ$2/$L17)-INT((CQ$2-1)/$L17))*($T17*(1-$F17)+$S17*(1-$G17))*((1+Inputs!$D$7)^CQ$2))),((Inputs!$D$8^((1-_xlfn.WEIBULL.DIST(CQ$2,$M17,$L17,FALSE))/_xlfn.WEIBULL.DIST(CQ$2,$M17,$L17,FALSE))*($T17*(1-$F17)+$S17*(1-$G17))*((1+Inputs!$D$7)^CQ$2))))))))</f>
        <v>0</v>
      </c>
      <c r="CR17" s="88">
        <f>MAX(BB17,($E17*IF(CR$2&gt;Inputs!$D$5,0,IF(CR$2&gt;VLOOKUP($H17,Lists!$P$3:$Q$7,2),IF($N17=Lists!$K$3,IF($L17&lt;1,(($U17/$L17)*((1+Inputs!$D$7)^CR$2)),((INT(CR$2/$L17)-INT((CR$2-1)/$L17))*$U17*((1+Inputs!$D$7)^CR$2))),(Inputs!$D$8^((1-_xlfn.WEIBULL.DIST(CR$2,$M17,$L17,FALSE))/_xlfn.WEIBULL.DIST(CR$2,$M17,$L17,FALSE))*$U17*((1+Inputs!$D$7)^CR$2))),IF($N17=Lists!$K$3,IF($L17&lt;1,((($T17*(1-$F17)+$S17*(1-$G17))/$L17)*((1+Inputs!$D$7)^CR$2)),((INT(CR$2/$L17)-INT((CR$2-1)/$L17))*($T17*(1-$F17)+$S17*(1-$G17))*((1+Inputs!$D$7)^CR$2))),((Inputs!$D$8^((1-_xlfn.WEIBULL.DIST(CR$2,$M17,$L17,FALSE))/_xlfn.WEIBULL.DIST(CR$2,$M17,$L17,FALSE))*($T17*(1-$F17)+$S17*(1-$G17))*((1+Inputs!$D$7)^CR$2))))))))</f>
        <v>0</v>
      </c>
      <c r="CS17" s="88">
        <f>MAX(BC17,($E17*IF(CS$2&gt;Inputs!$D$5,0,IF(CS$2&gt;VLOOKUP($H17,Lists!$P$3:$Q$7,2),IF($N17=Lists!$K$3,IF($L17&lt;1,(($U17/$L17)*((1+Inputs!$D$7)^CS$2)),((INT(CS$2/$L17)-INT((CS$2-1)/$L17))*$U17*((1+Inputs!$D$7)^CS$2))),(Inputs!$D$8^((1-_xlfn.WEIBULL.DIST(CS$2,$M17,$L17,FALSE))/_xlfn.WEIBULL.DIST(CS$2,$M17,$L17,FALSE))*$U17*((1+Inputs!$D$7)^CS$2))),IF($N17=Lists!$K$3,IF($L17&lt;1,((($T17*(1-$F17)+$S17*(1-$G17))/$L17)*((1+Inputs!$D$7)^CS$2)),((INT(CS$2/$L17)-INT((CS$2-1)/$L17))*($T17*(1-$F17)+$S17*(1-$G17))*((1+Inputs!$D$7)^CS$2))),((Inputs!$D$8^((1-_xlfn.WEIBULL.DIST(CS$2,$M17,$L17,FALSE))/_xlfn.WEIBULL.DIST(CS$2,$M17,$L17,FALSE))*($T17*(1-$F17)+$S17*(1-$G17))*((1+Inputs!$D$7)^CS$2))))))))</f>
        <v>0</v>
      </c>
      <c r="CT17" s="88">
        <f>MAX(BD17,($E17*IF(CT$2&gt;Inputs!$D$5,0,IF(CT$2&gt;VLOOKUP($H17,Lists!$P$3:$Q$7,2),IF($N17=Lists!$K$3,IF($L17&lt;1,(($U17/$L17)*((1+Inputs!$D$7)^CT$2)),((INT(CT$2/$L17)-INT((CT$2-1)/$L17))*$U17*((1+Inputs!$D$7)^CT$2))),(Inputs!$D$8^((1-_xlfn.WEIBULL.DIST(CT$2,$M17,$L17,FALSE))/_xlfn.WEIBULL.DIST(CT$2,$M17,$L17,FALSE))*$U17*((1+Inputs!$D$7)^CT$2))),IF($N17=Lists!$K$3,IF($L17&lt;1,((($T17*(1-$F17)+$S17*(1-$G17))/$L17)*((1+Inputs!$D$7)^CT$2)),((INT(CT$2/$L17)-INT((CT$2-1)/$L17))*($T17*(1-$F17)+$S17*(1-$G17))*((1+Inputs!$D$7)^CT$2))),((Inputs!$D$8^((1-_xlfn.WEIBULL.DIST(CT$2,$M17,$L17,FALSE))/_xlfn.WEIBULL.DIST(CT$2,$M17,$L17,FALSE))*($T17*(1-$F17)+$S17*(1-$G17))*((1+Inputs!$D$7)^CT$2))))))))</f>
        <v>0</v>
      </c>
      <c r="CU17" s="88">
        <f>MAX(BE17,($E17*IF(CU$2&gt;Inputs!$D$5,0,IF(CU$2&gt;VLOOKUP($H17,Lists!$P$3:$Q$7,2),IF($N17=Lists!$K$3,IF($L17&lt;1,(($U17/$L17)*((1+Inputs!$D$7)^CU$2)),((INT(CU$2/$L17)-INT((CU$2-1)/$L17))*$U17*((1+Inputs!$D$7)^CU$2))),(Inputs!$D$8^((1-_xlfn.WEIBULL.DIST(CU$2,$M17,$L17,FALSE))/_xlfn.WEIBULL.DIST(CU$2,$M17,$L17,FALSE))*$U17*((1+Inputs!$D$7)^CU$2))),IF($N17=Lists!$K$3,IF($L17&lt;1,((($T17*(1-$F17)+$S17*(1-$G17))/$L17)*((1+Inputs!$D$7)^CU$2)),((INT(CU$2/$L17)-INT((CU$2-1)/$L17))*($T17*(1-$F17)+$S17*(1-$G17))*((1+Inputs!$D$7)^CU$2))),((Inputs!$D$8^((1-_xlfn.WEIBULL.DIST(CU$2,$M17,$L17,FALSE))/_xlfn.WEIBULL.DIST(CU$2,$M17,$L17,FALSE))*($T17*(1-$F17)+$S17*(1-$G17))*((1+Inputs!$D$7)^CU$2))))))))</f>
        <v>0</v>
      </c>
      <c r="CV17" s="88">
        <f>MAX(BF17,($E17*IF(CV$2&gt;Inputs!$D$5,0,IF(CV$2&gt;VLOOKUP($H17,Lists!$P$3:$Q$7,2),IF($N17=Lists!$K$3,IF($L17&lt;1,(($U17/$L17)*((1+Inputs!$D$7)^CV$2)),((INT(CV$2/$L17)-INT((CV$2-1)/$L17))*$U17*((1+Inputs!$D$7)^CV$2))),(Inputs!$D$8^((1-_xlfn.WEIBULL.DIST(CV$2,$M17,$L17,FALSE))/_xlfn.WEIBULL.DIST(CV$2,$M17,$L17,FALSE))*$U17*((1+Inputs!$D$7)^CV$2))),IF($N17=Lists!$K$3,IF($L17&lt;1,((($T17*(1-$F17)+$S17*(1-$G17))/$L17)*((1+Inputs!$D$7)^CV$2)),((INT(CV$2/$L17)-INT((CV$2-1)/$L17))*($T17*(1-$F17)+$S17*(1-$G17))*((1+Inputs!$D$7)^CV$2))),((Inputs!$D$8^((1-_xlfn.WEIBULL.DIST(CV$2,$M17,$L17,FALSE))/_xlfn.WEIBULL.DIST(CV$2,$M17,$L17,FALSE))*($T17*(1-$F17)+$S17*(1-$G17))*((1+Inputs!$D$7)^CV$2))))))))</f>
        <v>0</v>
      </c>
      <c r="CW17" s="88">
        <f>MAX(BG17,($E17*IF(CW$2&gt;Inputs!$D$5,0,IF(CW$2&gt;VLOOKUP($H17,Lists!$P$3:$Q$7,2),IF($N17=Lists!$K$3,IF($L17&lt;1,(($U17/$L17)*((1+Inputs!$D$7)^CW$2)),((INT(CW$2/$L17)-INT((CW$2-1)/$L17))*$U17*((1+Inputs!$D$7)^CW$2))),(Inputs!$D$8^((1-_xlfn.WEIBULL.DIST(CW$2,$M17,$L17,FALSE))/_xlfn.WEIBULL.DIST(CW$2,$M17,$L17,FALSE))*$U17*((1+Inputs!$D$7)^CW$2))),IF($N17=Lists!$K$3,IF($L17&lt;1,((($T17*(1-$F17)+$S17*(1-$G17))/$L17)*((1+Inputs!$D$7)^CW$2)),((INT(CW$2/$L17)-INT((CW$2-1)/$L17))*($T17*(1-$F17)+$S17*(1-$G17))*((1+Inputs!$D$7)^CW$2))),((Inputs!$D$8^((1-_xlfn.WEIBULL.DIST(CW$2,$M17,$L17,FALSE))/_xlfn.WEIBULL.DIST(CW$2,$M17,$L17,FALSE))*($T17*(1-$F17)+$S17*(1-$G17))*((1+Inputs!$D$7)^CW$2))))))))</f>
        <v>0</v>
      </c>
      <c r="CX17" s="88">
        <f>MAX(BH17,($E17*IF(CX$2&gt;Inputs!$D$5,0,IF(CX$2&gt;VLOOKUP($H17,Lists!$P$3:$Q$7,2),IF($N17=Lists!$K$3,IF($L17&lt;1,(($U17/$L17)*((1+Inputs!$D$7)^CX$2)),((INT(CX$2/$L17)-INT((CX$2-1)/$L17))*$U17*((1+Inputs!$D$7)^CX$2))),(Inputs!$D$8^((1-_xlfn.WEIBULL.DIST(CX$2,$M17,$L17,FALSE))/_xlfn.WEIBULL.DIST(CX$2,$M17,$L17,FALSE))*$U17*((1+Inputs!$D$7)^CX$2))),IF($N17=Lists!$K$3,IF($L17&lt;1,((($T17*(1-$F17)+$S17*(1-$G17))/$L17)*((1+Inputs!$D$7)^CX$2)),((INT(CX$2/$L17)-INT((CX$2-1)/$L17))*($T17*(1-$F17)+$S17*(1-$G17))*((1+Inputs!$D$7)^CX$2))),((Inputs!$D$8^((1-_xlfn.WEIBULL.DIST(CX$2,$M17,$L17,FALSE))/_xlfn.WEIBULL.DIST(CX$2,$M17,$L17,FALSE))*($T17*(1-$F17)+$S17*(1-$G17))*((1+Inputs!$D$7)^CX$2))))))))</f>
        <v>0</v>
      </c>
      <c r="CY17" s="88">
        <f>MAX(BI17,($E17*IF(CY$2&gt;Inputs!$D$5,0,IF(CY$2&gt;VLOOKUP($H17,Lists!$P$3:$Q$7,2),IF($N17=Lists!$K$3,IF($L17&lt;1,(($U17/$L17)*((1+Inputs!$D$7)^CY$2)),((INT(CY$2/$L17)-INT((CY$2-1)/$L17))*$U17*((1+Inputs!$D$7)^CY$2))),(Inputs!$D$8^((1-_xlfn.WEIBULL.DIST(CY$2,$M17,$L17,FALSE))/_xlfn.WEIBULL.DIST(CY$2,$M17,$L17,FALSE))*$U17*((1+Inputs!$D$7)^CY$2))),IF($N17=Lists!$K$3,IF($L17&lt;1,((($T17*(1-$F17)+$S17*(1-$G17))/$L17)*((1+Inputs!$D$7)^CY$2)),((INT(CY$2/$L17)-INT((CY$2-1)/$L17))*($T17*(1-$F17)+$S17*(1-$G17))*((1+Inputs!$D$7)^CY$2))),((Inputs!$D$8^((1-_xlfn.WEIBULL.DIST(CY$2,$M17,$L17,FALSE))/_xlfn.WEIBULL.DIST(CY$2,$M17,$L17,FALSE))*($T17*(1-$F17)+$S17*(1-$G17))*((1+Inputs!$D$7)^CY$2))))))))</f>
        <v>0</v>
      </c>
      <c r="CZ17" s="88">
        <f>MAX(BJ17,($E17*IF(CZ$2&gt;Inputs!$D$5,0,IF(CZ$2&gt;VLOOKUP($H17,Lists!$P$3:$Q$7,2),IF($N17=Lists!$K$3,IF($L17&lt;1,(($U17/$L17)*((1+Inputs!$D$7)^CZ$2)),((INT(CZ$2/$L17)-INT((CZ$2-1)/$L17))*$U17*((1+Inputs!$D$7)^CZ$2))),(Inputs!$D$8^((1-_xlfn.WEIBULL.DIST(CZ$2,$M17,$L17,FALSE))/_xlfn.WEIBULL.DIST(CZ$2,$M17,$L17,FALSE))*$U17*((1+Inputs!$D$7)^CZ$2))),IF($N17=Lists!$K$3,IF($L17&lt;1,((($T17*(1-$F17)+$S17*(1-$G17))/$L17)*((1+Inputs!$D$7)^CZ$2)),((INT(CZ$2/$L17)-INT((CZ$2-1)/$L17))*($T17*(1-$F17)+$S17*(1-$G17))*((1+Inputs!$D$7)^CZ$2))),((Inputs!$D$8^((1-_xlfn.WEIBULL.DIST(CZ$2,$M17,$L17,FALSE))/_xlfn.WEIBULL.DIST(CZ$2,$M17,$L17,FALSE))*($T17*(1-$F17)+$S17*(1-$G17))*((1+Inputs!$D$7)^CZ$2))))))))</f>
        <v>0</v>
      </c>
      <c r="DA17" s="88">
        <f>MAX(BK17,($E17*IF(DA$2&gt;Inputs!$D$5,0,IF(DA$2&gt;VLOOKUP($H17,Lists!$P$3:$Q$7,2),IF($N17=Lists!$K$3,IF($L17&lt;1,(($U17/$L17)*((1+Inputs!$D$7)^DA$2)),((INT(DA$2/$L17)-INT((DA$2-1)/$L17))*$U17*((1+Inputs!$D$7)^DA$2))),(Inputs!$D$8^((1-_xlfn.WEIBULL.DIST(DA$2,$M17,$L17,FALSE))/_xlfn.WEIBULL.DIST(DA$2,$M17,$L17,FALSE))*$U17*((1+Inputs!$D$7)^DA$2))),IF($N17=Lists!$K$3,IF($L17&lt;1,((($T17*(1-$F17)+$S17*(1-$G17))/$L17)*((1+Inputs!$D$7)^DA$2)),((INT(DA$2/$L17)-INT((DA$2-1)/$L17))*($T17*(1-$F17)+$S17*(1-$G17))*((1+Inputs!$D$7)^DA$2))),((Inputs!$D$8^((1-_xlfn.WEIBULL.DIST(DA$2,$M17,$L17,FALSE))/_xlfn.WEIBULL.DIST(DA$2,$M17,$L17,FALSE))*($T17*(1-$F17)+$S17*(1-$G17))*((1+Inputs!$D$7)^DA$2))))))))</f>
        <v>0</v>
      </c>
      <c r="DB17" s="88">
        <f>MAX(BL17,($E17*IF(DB$2&gt;Inputs!$D$5,0,IF(DB$2&gt;VLOOKUP($H17,Lists!$P$3:$Q$7,2),IF($N17=Lists!$K$3,IF($L17&lt;1,(($U17/$L17)*((1+Inputs!$D$7)^DB$2)),((INT(DB$2/$L17)-INT((DB$2-1)/$L17))*$U17*((1+Inputs!$D$7)^DB$2))),(Inputs!$D$8^((1-_xlfn.WEIBULL.DIST(DB$2,$M17,$L17,FALSE))/_xlfn.WEIBULL.DIST(DB$2,$M17,$L17,FALSE))*$U17*((1+Inputs!$D$7)^DB$2))),IF($N17=Lists!$K$3,IF($L17&lt;1,((($T17*(1-$F17)+$S17*(1-$G17))/$L17)*((1+Inputs!$D$7)^DB$2)),((INT(DB$2/$L17)-INT((DB$2-1)/$L17))*($T17*(1-$F17)+$S17*(1-$G17))*((1+Inputs!$D$7)^DB$2))),((Inputs!$D$8^((1-_xlfn.WEIBULL.DIST(DB$2,$M17,$L17,FALSE))/_xlfn.WEIBULL.DIST(DB$2,$M17,$L17,FALSE))*($T17*(1-$F17)+$S17*(1-$G17))*((1+Inputs!$D$7)^DB$2))))))))</f>
        <v>0</v>
      </c>
      <c r="DC17" s="88">
        <f>MAX(BM17,($E17*IF(DC$2&gt;Inputs!$D$5,0,IF(DC$2&gt;VLOOKUP($H17,Lists!$P$3:$Q$7,2),IF($N17=Lists!$K$3,IF($L17&lt;1,(($U17/$L17)*((1+Inputs!$D$7)^DC$2)),((INT(DC$2/$L17)-INT((DC$2-1)/$L17))*$U17*((1+Inputs!$D$7)^DC$2))),(Inputs!$D$8^((1-_xlfn.WEIBULL.DIST(DC$2,$M17,$L17,FALSE))/_xlfn.WEIBULL.DIST(DC$2,$M17,$L17,FALSE))*$U17*((1+Inputs!$D$7)^DC$2))),IF($N17=Lists!$K$3,IF($L17&lt;1,((($T17*(1-$F17)+$S17*(1-$G17))/$L17)*((1+Inputs!$D$7)^DC$2)),((INT(DC$2/$L17)-INT((DC$2-1)/$L17))*($T17*(1-$F17)+$S17*(1-$G17))*((1+Inputs!$D$7)^DC$2))),((Inputs!$D$8^((1-_xlfn.WEIBULL.DIST(DC$2,$M17,$L17,FALSE))/_xlfn.WEIBULL.DIST(DC$2,$M17,$L17,FALSE))*($T17*(1-$F17)+$S17*(1-$G17))*((1+Inputs!$D$7)^DC$2))))))))</f>
        <v>0</v>
      </c>
      <c r="DD17" s="88">
        <f>MAX(BN17,($E17*IF(DD$2&gt;Inputs!$D$5,0,IF(DD$2&gt;VLOOKUP($H17,Lists!$P$3:$Q$7,2),IF($N17=Lists!$K$3,IF($L17&lt;1,(($U17/$L17)*((1+Inputs!$D$7)^DD$2)),((INT(DD$2/$L17)-INT((DD$2-1)/$L17))*$U17*((1+Inputs!$D$7)^DD$2))),(Inputs!$D$8^((1-_xlfn.WEIBULL.DIST(DD$2,$M17,$L17,FALSE))/_xlfn.WEIBULL.DIST(DD$2,$M17,$L17,FALSE))*$U17*((1+Inputs!$D$7)^DD$2))),IF($N17=Lists!$K$3,IF($L17&lt;1,((($T17*(1-$F17)+$S17*(1-$G17))/$L17)*((1+Inputs!$D$7)^DD$2)),((INT(DD$2/$L17)-INT((DD$2-1)/$L17))*($T17*(1-$F17)+$S17*(1-$G17))*((1+Inputs!$D$7)^DD$2))),((Inputs!$D$8^((1-_xlfn.WEIBULL.DIST(DD$2,$M17,$L17,FALSE))/_xlfn.WEIBULL.DIST(DD$2,$M17,$L17,FALSE))*($T17*(1-$F17)+$S17*(1-$G17))*((1+Inputs!$D$7)^DD$2))))))))</f>
        <v>0</v>
      </c>
    </row>
    <row r="18" spans="1:108" s="1" customFormat="1" ht="16">
      <c r="A18" s="57" t="s">
        <v>206</v>
      </c>
      <c r="B18" s="13" t="s">
        <v>130</v>
      </c>
      <c r="C18" s="13" t="s">
        <v>474</v>
      </c>
      <c r="D18" s="13" t="s">
        <v>214</v>
      </c>
      <c r="E18" s="48">
        <v>1</v>
      </c>
      <c r="F18" s="48">
        <v>1</v>
      </c>
      <c r="G18" s="48">
        <v>1</v>
      </c>
      <c r="H18" s="105" t="s">
        <v>357</v>
      </c>
      <c r="I18" s="14" t="s">
        <v>267</v>
      </c>
      <c r="J18" s="14" t="s">
        <v>92</v>
      </c>
      <c r="K18" s="13">
        <f>VLOOKUP(J18,'Labor Rates'!$A$1:$F$16,2)</f>
        <v>33.17307692307692</v>
      </c>
      <c r="L18" s="15">
        <v>25</v>
      </c>
      <c r="M18" s="15">
        <v>3</v>
      </c>
      <c r="N18" s="16" t="s">
        <v>226</v>
      </c>
      <c r="O18" s="61">
        <f>Inputs!$D$21</f>
        <v>32787</v>
      </c>
      <c r="P18" s="15">
        <v>0.1</v>
      </c>
      <c r="Q18" s="15">
        <f t="shared" si="0"/>
        <v>131.14800000000002</v>
      </c>
      <c r="R18" s="4">
        <v>5</v>
      </c>
      <c r="S18" s="53">
        <f t="shared" si="1"/>
        <v>108764.56730769231</v>
      </c>
      <c r="T18" s="53">
        <f t="shared" si="2"/>
        <v>163935</v>
      </c>
      <c r="U18" s="54">
        <f t="shared" si="3"/>
        <v>272699.56730769231</v>
      </c>
      <c r="V18" s="65"/>
      <c r="W18" s="58"/>
      <c r="X18" s="64">
        <f t="shared" si="4"/>
        <v>0</v>
      </c>
      <c r="Y18" s="64">
        <f>NPV(Inputs!$D$6,AA18:BN18)</f>
        <v>20961.85814001914</v>
      </c>
      <c r="Z18" s="67">
        <f t="shared" si="5"/>
        <v>9.8866356715868117E-3</v>
      </c>
      <c r="AA18" s="88">
        <f>$E18*IF(AA$2&gt;Inputs!$D$5,0,IF(AA$2&gt;VLOOKUP($H18,Lists!$P$3:$Q$7,2),IF($N18=Lists!$K$3,IF($L18&lt;1,(($U18/$L18)*((1+Inputs!$D$7)^AA$2)),((INT(AA$2/$L18)-INT((AA$2-1)/$L18))*$U18*((1+Inputs!$D$7)^AA$2))),(_xlfn.WEIBULL.DIST(AA$2,$M18,$L18,FALSE)*$U18*((1+Inputs!$D$7)^AA$2))),IF($N18=Lists!$K$3,IF($L18&lt;1,((($T18*(1-$F18)+$S18*(1-$G18))/$L18)*((1+Inputs!$D$7)^AA$2)),((INT(AA$2/$L18)-INT((AA$2-1)/$L18))*($T18*(1-$F18)+$S18*(1-$G18))*((1+Inputs!$D$7)^AA$2))),((_xlfn.WEIBULL.DIST(AA$2,$M18,$L18,FALSE)*($T18*(1-$F18)+$S18*(1-$G18))*((1+Inputs!$D$7)^AA$2))))))</f>
        <v>0</v>
      </c>
      <c r="AB18" s="88">
        <f>$E18*IF(AB$2&gt;Inputs!$D$5,0,IF(AB$2&gt;VLOOKUP($H18,Lists!$P$3:$Q$7,2),IF($N18=Lists!$K$3,IF($L18&lt;1,(($U18/$L18)*((1+Inputs!$D$7)^AB$2)),((INT(AB$2/$L18)-INT((AB$2-1)/$L18))*$U18*((1+Inputs!$D$7)^AB$2))),(_xlfn.WEIBULL.DIST(AB$2,$M18,$L18,FALSE)*$U18*((1+Inputs!$D$7)^AB$2))),IF($N18=Lists!$K$3,IF($L18&lt;1,((($T18*(1-$F18)+$S18*(1-$G18))/$L18)*((1+Inputs!$D$7)^AB$2)),((INT(AB$2/$L18)-INT((AB$2-1)/$L18))*($T18*(1-$F18)+$S18*(1-$G18))*((1+Inputs!$D$7)^AB$2))),((_xlfn.WEIBULL.DIST(AB$2,$M18,$L18,FALSE)*($T18*(1-$F18)+$S18*(1-$G18))*((1+Inputs!$D$7)^AB$2))))))</f>
        <v>0</v>
      </c>
      <c r="AC18" s="88">
        <f>$E18*IF(AC$2&gt;Inputs!$D$5,0,IF(AC$2&gt;VLOOKUP($H18,Lists!$P$3:$Q$7,2),IF($N18=Lists!$K$3,IF($L18&lt;1,(($U18/$L18)*((1+Inputs!$D$7)^AC$2)),((INT(AC$2/$L18)-INT((AC$2-1)/$L18))*$U18*((1+Inputs!$D$7)^AC$2))),(_xlfn.WEIBULL.DIST(AC$2,$M18,$L18,FALSE)*$U18*((1+Inputs!$D$7)^AC$2))),IF($N18=Lists!$K$3,IF($L18&lt;1,((($T18*(1-$F18)+$S18*(1-$G18))/$L18)*((1+Inputs!$D$7)^AC$2)),((INT(AC$2/$L18)-INT((AC$2-1)/$L18))*($T18*(1-$F18)+$S18*(1-$G18))*((1+Inputs!$D$7)^AC$2))),((_xlfn.WEIBULL.DIST(AC$2,$M18,$L18,FALSE)*($T18*(1-$F18)+$S18*(1-$G18))*((1+Inputs!$D$7)^AC$2))))))</f>
        <v>0</v>
      </c>
      <c r="AD18" s="88">
        <f>$E18*IF(AD$2&gt;Inputs!$D$5,0,IF(AD$2&gt;VLOOKUP($H18,Lists!$P$3:$Q$7,2),IF($N18=Lists!$K$3,IF($L18&lt;1,(($U18/$L18)*((1+Inputs!$D$7)^AD$2)),((INT(AD$2/$L18)-INT((AD$2-1)/$L18))*$U18*((1+Inputs!$D$7)^AD$2))),(_xlfn.WEIBULL.DIST(AD$2,$M18,$L18,FALSE)*$U18*((1+Inputs!$D$7)^AD$2))),IF($N18=Lists!$K$3,IF($L18&lt;1,((($T18*(1-$F18)+$S18*(1-$G18))/$L18)*((1+Inputs!$D$7)^AD$2)),((INT(AD$2/$L18)-INT((AD$2-1)/$L18))*($T18*(1-$F18)+$S18*(1-$G18))*((1+Inputs!$D$7)^AD$2))),((_xlfn.WEIBULL.DIST(AD$2,$M18,$L18,FALSE)*($T18*(1-$F18)+$S18*(1-$G18))*((1+Inputs!$D$7)^AD$2))))))</f>
        <v>0</v>
      </c>
      <c r="AE18" s="88">
        <f>$E18*IF(AE$2&gt;Inputs!$D$5,0,IF(AE$2&gt;VLOOKUP($H18,Lists!$P$3:$Q$7,2),IF($N18=Lists!$K$3,IF($L18&lt;1,(($U18/$L18)*((1+Inputs!$D$7)^AE$2)),((INT(AE$2/$L18)-INT((AE$2-1)/$L18))*$U18*((1+Inputs!$D$7)^AE$2))),(_xlfn.WEIBULL.DIST(AE$2,$M18,$L18,FALSE)*$U18*((1+Inputs!$D$7)^AE$2))),IF($N18=Lists!$K$3,IF($L18&lt;1,((($T18*(1-$F18)+$S18*(1-$G18))/$L18)*((1+Inputs!$D$7)^AE$2)),((INT(AE$2/$L18)-INT((AE$2-1)/$L18))*($T18*(1-$F18)+$S18*(1-$G18))*((1+Inputs!$D$7)^AE$2))),((_xlfn.WEIBULL.DIST(AE$2,$M18,$L18,FALSE)*($T18*(1-$F18)+$S18*(1-$G18))*((1+Inputs!$D$7)^AE$2))))))</f>
        <v>0</v>
      </c>
      <c r="AF18" s="88">
        <f>$E18*IF(AF$2&gt;Inputs!$D$5,0,IF(AF$2&gt;VLOOKUP($H18,Lists!$P$3:$Q$7,2),IF($N18=Lists!$K$3,IF($L18&lt;1,(($U18/$L18)*((1+Inputs!$D$7)^AF$2)),((INT(AF$2/$L18)-INT((AF$2-1)/$L18))*$U18*((1+Inputs!$D$7)^AF$2))),(_xlfn.WEIBULL.DIST(AF$2,$M18,$L18,FALSE)*$U18*((1+Inputs!$D$7)^AF$2))),IF($N18=Lists!$K$3,IF($L18&lt;1,((($T18*(1-$F18)+$S18*(1-$G18))/$L18)*((1+Inputs!$D$7)^AF$2)),((INT(AF$2/$L18)-INT((AF$2-1)/$L18))*($T18*(1-$F18)+$S18*(1-$G18))*((1+Inputs!$D$7)^AF$2))),((_xlfn.WEIBULL.DIST(AF$2,$M18,$L18,FALSE)*($T18*(1-$F18)+$S18*(1-$G18))*((1+Inputs!$D$7)^AF$2))))))</f>
        <v>0</v>
      </c>
      <c r="AG18" s="88">
        <f>$E18*IF(AG$2&gt;Inputs!$D$5,0,IF(AG$2&gt;VLOOKUP($H18,Lists!$P$3:$Q$7,2),IF($N18=Lists!$K$3,IF($L18&lt;1,(($U18/$L18)*((1+Inputs!$D$7)^AG$2)),((INT(AG$2/$L18)-INT((AG$2-1)/$L18))*$U18*((1+Inputs!$D$7)^AG$2))),(_xlfn.WEIBULL.DIST(AG$2,$M18,$L18,FALSE)*$U18*((1+Inputs!$D$7)^AG$2))),IF($N18=Lists!$K$3,IF($L18&lt;1,((($T18*(1-$F18)+$S18*(1-$G18))/$L18)*((1+Inputs!$D$7)^AG$2)),((INT(AG$2/$L18)-INT((AG$2-1)/$L18))*($T18*(1-$F18)+$S18*(1-$G18))*((1+Inputs!$D$7)^AG$2))),((_xlfn.WEIBULL.DIST(AG$2,$M18,$L18,FALSE)*($T18*(1-$F18)+$S18*(1-$G18))*((1+Inputs!$D$7)^AG$2))))))</f>
        <v>0</v>
      </c>
      <c r="AH18" s="88">
        <f>$E18*IF(AH$2&gt;Inputs!$D$5,0,IF(AH$2&gt;VLOOKUP($H18,Lists!$P$3:$Q$7,2),IF($N18=Lists!$K$3,IF($L18&lt;1,(($U18/$L18)*((1+Inputs!$D$7)^AH$2)),((INT(AH$2/$L18)-INT((AH$2-1)/$L18))*$U18*((1+Inputs!$D$7)^AH$2))),(_xlfn.WEIBULL.DIST(AH$2,$M18,$L18,FALSE)*$U18*((1+Inputs!$D$7)^AH$2))),IF($N18=Lists!$K$3,IF($L18&lt;1,((($T18*(1-$F18)+$S18*(1-$G18))/$L18)*((1+Inputs!$D$7)^AH$2)),((INT(AH$2/$L18)-INT((AH$2-1)/$L18))*($T18*(1-$F18)+$S18*(1-$G18))*((1+Inputs!$D$7)^AH$2))),((_xlfn.WEIBULL.DIST(AH$2,$M18,$L18,FALSE)*($T18*(1-$F18)+$S18*(1-$G18))*((1+Inputs!$D$7)^AH$2))))))</f>
        <v>0</v>
      </c>
      <c r="AI18" s="88">
        <f>$E18*IF(AI$2&gt;Inputs!$D$5,0,IF(AI$2&gt;VLOOKUP($H18,Lists!$P$3:$Q$7,2),IF($N18=Lists!$K$3,IF($L18&lt;1,(($U18/$L18)*((1+Inputs!$D$7)^AI$2)),((INT(AI$2/$L18)-INT((AI$2-1)/$L18))*$U18*((1+Inputs!$D$7)^AI$2))),(_xlfn.WEIBULL.DIST(AI$2,$M18,$L18,FALSE)*$U18*((1+Inputs!$D$7)^AI$2))),IF($N18=Lists!$K$3,IF($L18&lt;1,((($T18*(1-$F18)+$S18*(1-$G18))/$L18)*((1+Inputs!$D$7)^AI$2)),((INT(AI$2/$L18)-INT((AI$2-1)/$L18))*($T18*(1-$F18)+$S18*(1-$G18))*((1+Inputs!$D$7)^AI$2))),((_xlfn.WEIBULL.DIST(AI$2,$M18,$L18,FALSE)*($T18*(1-$F18)+$S18*(1-$G18))*((1+Inputs!$D$7)^AI$2))))))</f>
        <v>0</v>
      </c>
      <c r="AJ18" s="88">
        <f>$E18*IF(AJ$2&gt;Inputs!$D$5,0,IF(AJ$2&gt;VLOOKUP($H18,Lists!$P$3:$Q$7,2),IF($N18=Lists!$K$3,IF($L18&lt;1,(($U18/$L18)*((1+Inputs!$D$7)^AJ$2)),((INT(AJ$2/$L18)-INT((AJ$2-1)/$L18))*$U18*((1+Inputs!$D$7)^AJ$2))),(_xlfn.WEIBULL.DIST(AJ$2,$M18,$L18,FALSE)*$U18*((1+Inputs!$D$7)^AJ$2))),IF($N18=Lists!$K$3,IF($L18&lt;1,((($T18*(1-$F18)+$S18*(1-$G18))/$L18)*((1+Inputs!$D$7)^AJ$2)),((INT(AJ$2/$L18)-INT((AJ$2-1)/$L18))*($T18*(1-$F18)+$S18*(1-$G18))*((1+Inputs!$D$7)^AJ$2))),((_xlfn.WEIBULL.DIST(AJ$2,$M18,$L18,FALSE)*($T18*(1-$F18)+$S18*(1-$G18))*((1+Inputs!$D$7)^AJ$2))))))</f>
        <v>0</v>
      </c>
      <c r="AK18" s="88">
        <f>$E18*IF(AK$2&gt;Inputs!$D$5,0,IF(AK$2&gt;VLOOKUP($H18,Lists!$P$3:$Q$7,2),IF($N18=Lists!$K$3,IF($L18&lt;1,(($U18/$L18)*((1+Inputs!$D$7)^AK$2)),((INT(AK$2/$L18)-INT((AK$2-1)/$L18))*$U18*((1+Inputs!$D$7)^AK$2))),(_xlfn.WEIBULL.DIST(AK$2,$M18,$L18,FALSE)*$U18*((1+Inputs!$D$7)^AK$2))),IF($N18=Lists!$K$3,IF($L18&lt;1,((($T18*(1-$F18)+$S18*(1-$G18))/$L18)*((1+Inputs!$D$7)^AK$2)),((INT(AK$2/$L18)-INT((AK$2-1)/$L18))*($T18*(1-$F18)+$S18*(1-$G18))*((1+Inputs!$D$7)^AK$2))),((_xlfn.WEIBULL.DIST(AK$2,$M18,$L18,FALSE)*($T18*(1-$F18)+$S18*(1-$G18))*((1+Inputs!$D$7)^AK$2))))))</f>
        <v>0</v>
      </c>
      <c r="AL18" s="88">
        <f>$E18*IF(AL$2&gt;Inputs!$D$5,0,IF(AL$2&gt;VLOOKUP($H18,Lists!$P$3:$Q$7,2),IF($N18=Lists!$K$3,IF($L18&lt;1,(($U18/$L18)*((1+Inputs!$D$7)^AL$2)),((INT(AL$2/$L18)-INT((AL$2-1)/$L18))*$U18*((1+Inputs!$D$7)^AL$2))),(_xlfn.WEIBULL.DIST(AL$2,$M18,$L18,FALSE)*$U18*((1+Inputs!$D$7)^AL$2))),IF($N18=Lists!$K$3,IF($L18&lt;1,((($T18*(1-$F18)+$S18*(1-$G18))/$L18)*((1+Inputs!$D$7)^AL$2)),((INT(AL$2/$L18)-INT((AL$2-1)/$L18))*($T18*(1-$F18)+$S18*(1-$G18))*((1+Inputs!$D$7)^AL$2))),((_xlfn.WEIBULL.DIST(AL$2,$M18,$L18,FALSE)*($T18*(1-$F18)+$S18*(1-$G18))*((1+Inputs!$D$7)^AL$2))))))</f>
        <v>0</v>
      </c>
      <c r="AM18" s="88">
        <f>$E18*IF(AM$2&gt;Inputs!$D$5,0,IF(AM$2&gt;VLOOKUP($H18,Lists!$P$3:$Q$7,2),IF($N18=Lists!$K$3,IF($L18&lt;1,(($U18/$L18)*((1+Inputs!$D$7)^AM$2)),((INT(AM$2/$L18)-INT((AM$2-1)/$L18))*$U18*((1+Inputs!$D$7)^AM$2))),(_xlfn.WEIBULL.DIST(AM$2,$M18,$L18,FALSE)*$U18*((1+Inputs!$D$7)^AM$2))),IF($N18=Lists!$K$3,IF($L18&lt;1,((($T18*(1-$F18)+$S18*(1-$G18))/$L18)*((1+Inputs!$D$7)^AM$2)),((INT(AM$2/$L18)-INT((AM$2-1)/$L18))*($T18*(1-$F18)+$S18*(1-$G18))*((1+Inputs!$D$7)^AM$2))),((_xlfn.WEIBULL.DIST(AM$2,$M18,$L18,FALSE)*($T18*(1-$F18)+$S18*(1-$G18))*((1+Inputs!$D$7)^AM$2))))))</f>
        <v>0</v>
      </c>
      <c r="AN18" s="88">
        <f>$E18*IF(AN$2&gt;Inputs!$D$5,0,IF(AN$2&gt;VLOOKUP($H18,Lists!$P$3:$Q$7,2),IF($N18=Lists!$K$3,IF($L18&lt;1,(($U18/$L18)*((1+Inputs!$D$7)^AN$2)),((INT(AN$2/$L18)-INT((AN$2-1)/$L18))*$U18*((1+Inputs!$D$7)^AN$2))),(_xlfn.WEIBULL.DIST(AN$2,$M18,$L18,FALSE)*$U18*((1+Inputs!$D$7)^AN$2))),IF($N18=Lists!$K$3,IF($L18&lt;1,((($T18*(1-$F18)+$S18*(1-$G18))/$L18)*((1+Inputs!$D$7)^AN$2)),((INT(AN$2/$L18)-INT((AN$2-1)/$L18))*($T18*(1-$F18)+$S18*(1-$G18))*((1+Inputs!$D$7)^AN$2))),((_xlfn.WEIBULL.DIST(AN$2,$M18,$L18,FALSE)*($T18*(1-$F18)+$S18*(1-$G18))*((1+Inputs!$D$7)^AN$2))))))</f>
        <v>0</v>
      </c>
      <c r="AO18" s="88">
        <f>$E18*IF(AO$2&gt;Inputs!$D$5,0,IF(AO$2&gt;VLOOKUP($H18,Lists!$P$3:$Q$7,2),IF($N18=Lists!$K$3,IF($L18&lt;1,(($U18/$L18)*((1+Inputs!$D$7)^AO$2)),((INT(AO$2/$L18)-INT((AO$2-1)/$L18))*$U18*((1+Inputs!$D$7)^AO$2))),(_xlfn.WEIBULL.DIST(AO$2,$M18,$L18,FALSE)*$U18*((1+Inputs!$D$7)^AO$2))),IF($N18=Lists!$K$3,IF($L18&lt;1,((($T18*(1-$F18)+$S18*(1-$G18))/$L18)*((1+Inputs!$D$7)^AO$2)),((INT(AO$2/$L18)-INT((AO$2-1)/$L18))*($T18*(1-$F18)+$S18*(1-$G18))*((1+Inputs!$D$7)^AO$2))),((_xlfn.WEIBULL.DIST(AO$2,$M18,$L18,FALSE)*($T18*(1-$F18)+$S18*(1-$G18))*((1+Inputs!$D$7)^AO$2))))))</f>
        <v>0</v>
      </c>
      <c r="AP18" s="88">
        <f>$E18*IF(AP$2&gt;Inputs!$D$5,0,IF(AP$2&gt;VLOOKUP($H18,Lists!$P$3:$Q$7,2),IF($N18=Lists!$K$3,IF($L18&lt;1,(($U18/$L18)*((1+Inputs!$D$7)^AP$2)),((INT(AP$2/$L18)-INT((AP$2-1)/$L18))*$U18*((1+Inputs!$D$7)^AP$2))),(_xlfn.WEIBULL.DIST(AP$2,$M18,$L18,FALSE)*$U18*((1+Inputs!$D$7)^AP$2))),IF($N18=Lists!$K$3,IF($L18&lt;1,((($T18*(1-$F18)+$S18*(1-$G18))/$L18)*((1+Inputs!$D$7)^AP$2)),((INT(AP$2/$L18)-INT((AP$2-1)/$L18))*($T18*(1-$F18)+$S18*(1-$G18))*((1+Inputs!$D$7)^AP$2))),((_xlfn.WEIBULL.DIST(AP$2,$M18,$L18,FALSE)*($T18*(1-$F18)+$S18*(1-$G18))*((1+Inputs!$D$7)^AP$2))))))</f>
        <v>0</v>
      </c>
      <c r="AQ18" s="88">
        <f>$E18*IF(AQ$2&gt;Inputs!$D$5,0,IF(AQ$2&gt;VLOOKUP($H18,Lists!$P$3:$Q$7,2),IF($N18=Lists!$K$3,IF($L18&lt;1,(($U18/$L18)*((1+Inputs!$D$7)^AQ$2)),((INT(AQ$2/$L18)-INT((AQ$2-1)/$L18))*$U18*((1+Inputs!$D$7)^AQ$2))),(_xlfn.WEIBULL.DIST(AQ$2,$M18,$L18,FALSE)*$U18*((1+Inputs!$D$7)^AQ$2))),IF($N18=Lists!$K$3,IF($L18&lt;1,((($T18*(1-$F18)+$S18*(1-$G18))/$L18)*((1+Inputs!$D$7)^AQ$2)),((INT(AQ$2/$L18)-INT((AQ$2-1)/$L18))*($T18*(1-$F18)+$S18*(1-$G18))*((1+Inputs!$D$7)^AQ$2))),((_xlfn.WEIBULL.DIST(AQ$2,$M18,$L18,FALSE)*($T18*(1-$F18)+$S18*(1-$G18))*((1+Inputs!$D$7)^AQ$2))))))</f>
        <v>0</v>
      </c>
      <c r="AR18" s="88">
        <f>$E18*IF(AR$2&gt;Inputs!$D$5,0,IF(AR$2&gt;VLOOKUP($H18,Lists!$P$3:$Q$7,2),IF($N18=Lists!$K$3,IF($L18&lt;1,(($U18/$L18)*((1+Inputs!$D$7)^AR$2)),((INT(AR$2/$L18)-INT((AR$2-1)/$L18))*$U18*((1+Inputs!$D$7)^AR$2))),(_xlfn.WEIBULL.DIST(AR$2,$M18,$L18,FALSE)*$U18*((1+Inputs!$D$7)^AR$2))),IF($N18=Lists!$K$3,IF($L18&lt;1,((($T18*(1-$F18)+$S18*(1-$G18))/$L18)*((1+Inputs!$D$7)^AR$2)),((INT(AR$2/$L18)-INT((AR$2-1)/$L18))*($T18*(1-$F18)+$S18*(1-$G18))*((1+Inputs!$D$7)^AR$2))),((_xlfn.WEIBULL.DIST(AR$2,$M18,$L18,FALSE)*($T18*(1-$F18)+$S18*(1-$G18))*((1+Inputs!$D$7)^AR$2))))))</f>
        <v>0</v>
      </c>
      <c r="AS18" s="88">
        <f>$E18*IF(AS$2&gt;Inputs!$D$5,0,IF(AS$2&gt;VLOOKUP($H18,Lists!$P$3:$Q$7,2),IF($N18=Lists!$K$3,IF($L18&lt;1,(($U18/$L18)*((1+Inputs!$D$7)^AS$2)),((INT(AS$2/$L18)-INT((AS$2-1)/$L18))*$U18*((1+Inputs!$D$7)^AS$2))),(_xlfn.WEIBULL.DIST(AS$2,$M18,$L18,FALSE)*$U18*((1+Inputs!$D$7)^AS$2))),IF($N18=Lists!$K$3,IF($L18&lt;1,((($T18*(1-$F18)+$S18*(1-$G18))/$L18)*((1+Inputs!$D$7)^AS$2)),((INT(AS$2/$L18)-INT((AS$2-1)/$L18))*($T18*(1-$F18)+$S18*(1-$G18))*((1+Inputs!$D$7)^AS$2))),((_xlfn.WEIBULL.DIST(AS$2,$M18,$L18,FALSE)*($T18*(1-$F18)+$S18*(1-$G18))*((1+Inputs!$D$7)^AS$2))))))</f>
        <v>0</v>
      </c>
      <c r="AT18" s="88">
        <f>$E18*IF(AT$2&gt;Inputs!$D$5,0,IF(AT$2&gt;VLOOKUP($H18,Lists!$P$3:$Q$7,2),IF($N18=Lists!$K$3,IF($L18&lt;1,(($U18/$L18)*((1+Inputs!$D$7)^AT$2)),((INT(AT$2/$L18)-INT((AT$2-1)/$L18))*$U18*((1+Inputs!$D$7)^AT$2))),(_xlfn.WEIBULL.DIST(AT$2,$M18,$L18,FALSE)*$U18*((1+Inputs!$D$7)^AT$2))),IF($N18=Lists!$K$3,IF($L18&lt;1,((($T18*(1-$F18)+$S18*(1-$G18))/$L18)*((1+Inputs!$D$7)^AT$2)),((INT(AT$2/$L18)-INT((AT$2-1)/$L18))*($T18*(1-$F18)+$S18*(1-$G18))*((1+Inputs!$D$7)^AT$2))),((_xlfn.WEIBULL.DIST(AT$2,$M18,$L18,FALSE)*($T18*(1-$F18)+$S18*(1-$G18))*((1+Inputs!$D$7)^AT$2))))))</f>
        <v>0</v>
      </c>
      <c r="AU18" s="88">
        <f>$E18*IF(AU$2&gt;Inputs!$D$5,0,IF(AU$2&gt;VLOOKUP($H18,Lists!$P$3:$Q$7,2),IF($N18=Lists!$K$3,IF($L18&lt;1,(($U18/$L18)*((1+Inputs!$D$7)^AU$2)),((INT(AU$2/$L18)-INT((AU$2-1)/$L18))*$U18*((1+Inputs!$D$7)^AU$2))),(_xlfn.WEIBULL.DIST(AU$2,$M18,$L18,FALSE)*$U18*((1+Inputs!$D$7)^AU$2))),IF($N18=Lists!$K$3,IF($L18&lt;1,((($T18*(1-$F18)+$S18*(1-$G18))/$L18)*((1+Inputs!$D$7)^AU$2)),((INT(AU$2/$L18)-INT((AU$2-1)/$L18))*($T18*(1-$F18)+$S18*(1-$G18))*((1+Inputs!$D$7)^AU$2))),((_xlfn.WEIBULL.DIST(AU$2,$M18,$L18,FALSE)*($T18*(1-$F18)+$S18*(1-$G18))*((1+Inputs!$D$7)^AU$2))))))</f>
        <v>19347.274674925357</v>
      </c>
      <c r="AV18" s="88">
        <f>$E18*IF(AV$2&gt;Inputs!$D$5,0,IF(AV$2&gt;VLOOKUP($H18,Lists!$P$3:$Q$7,2),IF($N18=Lists!$K$3,IF($L18&lt;1,(($U18/$L18)*((1+Inputs!$D$7)^AV$2)),((INT(AV$2/$L18)-INT((AV$2-1)/$L18))*$U18*((1+Inputs!$D$7)^AV$2))),(_xlfn.WEIBULL.DIST(AV$2,$M18,$L18,FALSE)*$U18*((1+Inputs!$D$7)^AV$2))),IF($N18=Lists!$K$3,IF($L18&lt;1,((($T18*(1-$F18)+$S18*(1-$G18))/$L18)*((1+Inputs!$D$7)^AV$2)),((INT(AV$2/$L18)-INT((AV$2-1)/$L18))*($T18*(1-$F18)+$S18*(1-$G18))*((1+Inputs!$D$7)^AV$2))),((_xlfn.WEIBULL.DIST(AV$2,$M18,$L18,FALSE)*($T18*(1-$F18)+$S18*(1-$G18))*((1+Inputs!$D$7)^AV$2))))))</f>
        <v>19818.705708011545</v>
      </c>
      <c r="AW18" s="88">
        <f>$E18*IF(AW$2&gt;Inputs!$D$5,0,IF(AW$2&gt;VLOOKUP($H18,Lists!$P$3:$Q$7,2),IF($N18=Lists!$K$3,IF($L18&lt;1,(($U18/$L18)*((1+Inputs!$D$7)^AW$2)),((INT(AW$2/$L18)-INT((AW$2-1)/$L18))*$U18*((1+Inputs!$D$7)^AW$2))),(_xlfn.WEIBULL.DIST(AW$2,$M18,$L18,FALSE)*$U18*((1+Inputs!$D$7)^AW$2))),IF($N18=Lists!$K$3,IF($L18&lt;1,((($T18*(1-$F18)+$S18*(1-$G18))/$L18)*((1+Inputs!$D$7)^AW$2)),((INT(AW$2/$L18)-INT((AW$2-1)/$L18))*($T18*(1-$F18)+$S18*(1-$G18))*((1+Inputs!$D$7)^AW$2))),((_xlfn.WEIBULL.DIST(AW$2,$M18,$L18,FALSE)*($T18*(1-$F18)+$S18*(1-$G18))*((1+Inputs!$D$7)^AW$2))))))</f>
        <v>20047.738951346422</v>
      </c>
      <c r="AX18" s="88">
        <f>$E18*IF(AX$2&gt;Inputs!$D$5,0,IF(AX$2&gt;VLOOKUP($H18,Lists!$P$3:$Q$7,2),IF($N18=Lists!$K$3,IF($L18&lt;1,(($U18/$L18)*((1+Inputs!$D$7)^AX$2)),((INT(AX$2/$L18)-INT((AX$2-1)/$L18))*$U18*((1+Inputs!$D$7)^AX$2))),(_xlfn.WEIBULL.DIST(AX$2,$M18,$L18,FALSE)*$U18*((1+Inputs!$D$7)^AX$2))),IF($N18=Lists!$K$3,IF($L18&lt;1,((($T18*(1-$F18)+$S18*(1-$G18))/$L18)*((1+Inputs!$D$7)^AX$2)),((INT(AX$2/$L18)-INT((AX$2-1)/$L18))*($T18*(1-$F18)+$S18*(1-$G18))*((1+Inputs!$D$7)^AX$2))),((_xlfn.WEIBULL.DIST(AX$2,$M18,$L18,FALSE)*($T18*(1-$F18)+$S18*(1-$G18))*((1+Inputs!$D$7)^AX$2))))))</f>
        <v>20025.175020595365</v>
      </c>
      <c r="AY18" s="88">
        <f>$E18*IF(AY$2&gt;Inputs!$D$5,0,IF(AY$2&gt;VLOOKUP($H18,Lists!$P$3:$Q$7,2),IF($N18=Lists!$K$3,IF($L18&lt;1,(($U18/$L18)*((1+Inputs!$D$7)^AY$2)),((INT(AY$2/$L18)-INT((AY$2-1)/$L18))*$U18*((1+Inputs!$D$7)^AY$2))),(_xlfn.WEIBULL.DIST(AY$2,$M18,$L18,FALSE)*$U18*((1+Inputs!$D$7)^AY$2))),IF($N18=Lists!$K$3,IF($L18&lt;1,((($T18*(1-$F18)+$S18*(1-$G18))/$L18)*((1+Inputs!$D$7)^AY$2)),((INT(AY$2/$L18)-INT((AY$2-1)/$L18))*($T18*(1-$F18)+$S18*(1-$G18))*((1+Inputs!$D$7)^AY$2))),((_xlfn.WEIBULL.DIST(AY$2,$M18,$L18,FALSE)*($T18*(1-$F18)+$S18*(1-$G18))*((1+Inputs!$D$7)^AY$2))))))</f>
        <v>19750.382324406382</v>
      </c>
      <c r="AZ18" s="88">
        <f>$E18*IF(AZ$2&gt;Inputs!$D$5,0,IF(AZ$2&gt;VLOOKUP($H18,Lists!$P$3:$Q$7,2),IF($N18=Lists!$K$3,IF($L18&lt;1,(($U18/$L18)*((1+Inputs!$D$7)^AZ$2)),((INT(AZ$2/$L18)-INT((AZ$2-1)/$L18))*$U18*((1+Inputs!$D$7)^AZ$2))),(_xlfn.WEIBULL.DIST(AZ$2,$M18,$L18,FALSE)*$U18*((1+Inputs!$D$7)^AZ$2))),IF($N18=Lists!$K$3,IF($L18&lt;1,((($T18*(1-$F18)+$S18*(1-$G18))/$L18)*((1+Inputs!$D$7)^AZ$2)),((INT(AZ$2/$L18)-INT((AZ$2-1)/$L18))*($T18*(1-$F18)+$S18*(1-$G18))*((1+Inputs!$D$7)^AZ$2))),((_xlfn.WEIBULL.DIST(AZ$2,$M18,$L18,FALSE)*($T18*(1-$F18)+$S18*(1-$G18))*((1+Inputs!$D$7)^AZ$2))))))</f>
        <v>0</v>
      </c>
      <c r="BA18" s="88">
        <f>$E18*IF(BA$2&gt;Inputs!$D$5,0,IF(BA$2&gt;VLOOKUP($H18,Lists!$P$3:$Q$7,2),IF($N18=Lists!$K$3,IF($L18&lt;1,(($U18/$L18)*((1+Inputs!$D$7)^BA$2)),((INT(BA$2/$L18)-INT((BA$2-1)/$L18))*$U18*((1+Inputs!$D$7)^BA$2))),(_xlfn.WEIBULL.DIST(BA$2,$M18,$L18,FALSE)*$U18*((1+Inputs!$D$7)^BA$2))),IF($N18=Lists!$K$3,IF($L18&lt;1,((($T18*(1-$F18)+$S18*(1-$G18))/$L18)*((1+Inputs!$D$7)^BA$2)),((INT(BA$2/$L18)-INT((BA$2-1)/$L18))*($T18*(1-$F18)+$S18*(1-$G18))*((1+Inputs!$D$7)^BA$2))),((_xlfn.WEIBULL.DIST(BA$2,$M18,$L18,FALSE)*($T18*(1-$F18)+$S18*(1-$G18))*((1+Inputs!$D$7)^BA$2))))))</f>
        <v>0</v>
      </c>
      <c r="BB18" s="88">
        <f>$E18*IF(BB$2&gt;Inputs!$D$5,0,IF(BB$2&gt;VLOOKUP($H18,Lists!$P$3:$Q$7,2),IF($N18=Lists!$K$3,IF($L18&lt;1,(($U18/$L18)*((1+Inputs!$D$7)^BB$2)),((INT(BB$2/$L18)-INT((BB$2-1)/$L18))*$U18*((1+Inputs!$D$7)^BB$2))),(_xlfn.WEIBULL.DIST(BB$2,$M18,$L18,FALSE)*$U18*((1+Inputs!$D$7)^BB$2))),IF($N18=Lists!$K$3,IF($L18&lt;1,((($T18*(1-$F18)+$S18*(1-$G18))/$L18)*((1+Inputs!$D$7)^BB$2)),((INT(BB$2/$L18)-INT((BB$2-1)/$L18))*($T18*(1-$F18)+$S18*(1-$G18))*((1+Inputs!$D$7)^BB$2))),((_xlfn.WEIBULL.DIST(BB$2,$M18,$L18,FALSE)*($T18*(1-$F18)+$S18*(1-$G18))*((1+Inputs!$D$7)^BB$2))))))</f>
        <v>0</v>
      </c>
      <c r="BC18" s="88">
        <f>$E18*IF(BC$2&gt;Inputs!$D$5,0,IF(BC$2&gt;VLOOKUP($H18,Lists!$P$3:$Q$7,2),IF($N18=Lists!$K$3,IF($L18&lt;1,(($U18/$L18)*((1+Inputs!$D$7)^BC$2)),((INT(BC$2/$L18)-INT((BC$2-1)/$L18))*$U18*((1+Inputs!$D$7)^BC$2))),(_xlfn.WEIBULL.DIST(BC$2,$M18,$L18,FALSE)*$U18*((1+Inputs!$D$7)^BC$2))),IF($N18=Lists!$K$3,IF($L18&lt;1,((($T18*(1-$F18)+$S18*(1-$G18))/$L18)*((1+Inputs!$D$7)^BC$2)),((INT(BC$2/$L18)-INT((BC$2-1)/$L18))*($T18*(1-$F18)+$S18*(1-$G18))*((1+Inputs!$D$7)^BC$2))),((_xlfn.WEIBULL.DIST(BC$2,$M18,$L18,FALSE)*($T18*(1-$F18)+$S18*(1-$G18))*((1+Inputs!$D$7)^BC$2))))))</f>
        <v>0</v>
      </c>
      <c r="BD18" s="88">
        <f>$E18*IF(BD$2&gt;Inputs!$D$5,0,IF(BD$2&gt;VLOOKUP($H18,Lists!$P$3:$Q$7,2),IF($N18=Lists!$K$3,IF($L18&lt;1,(($U18/$L18)*((1+Inputs!$D$7)^BD$2)),((INT(BD$2/$L18)-INT((BD$2-1)/$L18))*$U18*((1+Inputs!$D$7)^BD$2))),(_xlfn.WEIBULL.DIST(BD$2,$M18,$L18,FALSE)*$U18*((1+Inputs!$D$7)^BD$2))),IF($N18=Lists!$K$3,IF($L18&lt;1,((($T18*(1-$F18)+$S18*(1-$G18))/$L18)*((1+Inputs!$D$7)^BD$2)),((INT(BD$2/$L18)-INT((BD$2-1)/$L18))*($T18*(1-$F18)+$S18*(1-$G18))*((1+Inputs!$D$7)^BD$2))),((_xlfn.WEIBULL.DIST(BD$2,$M18,$L18,FALSE)*($T18*(1-$F18)+$S18*(1-$G18))*((1+Inputs!$D$7)^BD$2))))))</f>
        <v>0</v>
      </c>
      <c r="BE18" s="88">
        <f>$E18*IF(BE$2&gt;Inputs!$D$5,0,IF(BE$2&gt;VLOOKUP($H18,Lists!$P$3:$Q$7,2),IF($N18=Lists!$K$3,IF($L18&lt;1,(($U18/$L18)*((1+Inputs!$D$7)^BE$2)),((INT(BE$2/$L18)-INT((BE$2-1)/$L18))*$U18*((1+Inputs!$D$7)^BE$2))),(_xlfn.WEIBULL.DIST(BE$2,$M18,$L18,FALSE)*$U18*((1+Inputs!$D$7)^BE$2))),IF($N18=Lists!$K$3,IF($L18&lt;1,((($T18*(1-$F18)+$S18*(1-$G18))/$L18)*((1+Inputs!$D$7)^BE$2)),((INT(BE$2/$L18)-INT((BE$2-1)/$L18))*($T18*(1-$F18)+$S18*(1-$G18))*((1+Inputs!$D$7)^BE$2))),((_xlfn.WEIBULL.DIST(BE$2,$M18,$L18,FALSE)*($T18*(1-$F18)+$S18*(1-$G18))*((1+Inputs!$D$7)^BE$2))))))</f>
        <v>0</v>
      </c>
      <c r="BF18" s="88">
        <f>$E18*IF(BF$2&gt;Inputs!$D$5,0,IF(BF$2&gt;VLOOKUP($H18,Lists!$P$3:$Q$7,2),IF($N18=Lists!$K$3,IF($L18&lt;1,(($U18/$L18)*((1+Inputs!$D$7)^BF$2)),((INT(BF$2/$L18)-INT((BF$2-1)/$L18))*$U18*((1+Inputs!$D$7)^BF$2))),(_xlfn.WEIBULL.DIST(BF$2,$M18,$L18,FALSE)*$U18*((1+Inputs!$D$7)^BF$2))),IF($N18=Lists!$K$3,IF($L18&lt;1,((($T18*(1-$F18)+$S18*(1-$G18))/$L18)*((1+Inputs!$D$7)^BF$2)),((INT(BF$2/$L18)-INT((BF$2-1)/$L18))*($T18*(1-$F18)+$S18*(1-$G18))*((1+Inputs!$D$7)^BF$2))),((_xlfn.WEIBULL.DIST(BF$2,$M18,$L18,FALSE)*($T18*(1-$F18)+$S18*(1-$G18))*((1+Inputs!$D$7)^BF$2))))))</f>
        <v>0</v>
      </c>
      <c r="BG18" s="88">
        <f>$E18*IF(BG$2&gt;Inputs!$D$5,0,IF(BG$2&gt;VLOOKUP($H18,Lists!$P$3:$Q$7,2),IF($N18=Lists!$K$3,IF($L18&lt;1,(($U18/$L18)*((1+Inputs!$D$7)^BG$2)),((INT(BG$2/$L18)-INT((BG$2-1)/$L18))*$U18*((1+Inputs!$D$7)^BG$2))),(_xlfn.WEIBULL.DIST(BG$2,$M18,$L18,FALSE)*$U18*((1+Inputs!$D$7)^BG$2))),IF($N18=Lists!$K$3,IF($L18&lt;1,((($T18*(1-$F18)+$S18*(1-$G18))/$L18)*((1+Inputs!$D$7)^BG$2)),((INT(BG$2/$L18)-INT((BG$2-1)/$L18))*($T18*(1-$F18)+$S18*(1-$G18))*((1+Inputs!$D$7)^BG$2))),((_xlfn.WEIBULL.DIST(BG$2,$M18,$L18,FALSE)*($T18*(1-$F18)+$S18*(1-$G18))*((1+Inputs!$D$7)^BG$2))))))</f>
        <v>0</v>
      </c>
      <c r="BH18" s="88">
        <f>$E18*IF(BH$2&gt;Inputs!$D$5,0,IF(BH$2&gt;VLOOKUP($H18,Lists!$P$3:$Q$7,2),IF($N18=Lists!$K$3,IF($L18&lt;1,(($U18/$L18)*((1+Inputs!$D$7)^BH$2)),((INT(BH$2/$L18)-INT((BH$2-1)/$L18))*$U18*((1+Inputs!$D$7)^BH$2))),(_xlfn.WEIBULL.DIST(BH$2,$M18,$L18,FALSE)*$U18*((1+Inputs!$D$7)^BH$2))),IF($N18=Lists!$K$3,IF($L18&lt;1,((($T18*(1-$F18)+$S18*(1-$G18))/$L18)*((1+Inputs!$D$7)^BH$2)),((INT(BH$2/$L18)-INT((BH$2-1)/$L18))*($T18*(1-$F18)+$S18*(1-$G18))*((1+Inputs!$D$7)^BH$2))),((_xlfn.WEIBULL.DIST(BH$2,$M18,$L18,FALSE)*($T18*(1-$F18)+$S18*(1-$G18))*((1+Inputs!$D$7)^BH$2))))))</f>
        <v>0</v>
      </c>
      <c r="BI18" s="88">
        <f>$E18*IF(BI$2&gt;Inputs!$D$5,0,IF(BI$2&gt;VLOOKUP($H18,Lists!$P$3:$Q$7,2),IF($N18=Lists!$K$3,IF($L18&lt;1,(($U18/$L18)*((1+Inputs!$D$7)^BI$2)),((INT(BI$2/$L18)-INT((BI$2-1)/$L18))*$U18*((1+Inputs!$D$7)^BI$2))),(_xlfn.WEIBULL.DIST(BI$2,$M18,$L18,FALSE)*$U18*((1+Inputs!$D$7)^BI$2))),IF($N18=Lists!$K$3,IF($L18&lt;1,((($T18*(1-$F18)+$S18*(1-$G18))/$L18)*((1+Inputs!$D$7)^BI$2)),((INT(BI$2/$L18)-INT((BI$2-1)/$L18))*($T18*(1-$F18)+$S18*(1-$G18))*((1+Inputs!$D$7)^BI$2))),((_xlfn.WEIBULL.DIST(BI$2,$M18,$L18,FALSE)*($T18*(1-$F18)+$S18*(1-$G18))*((1+Inputs!$D$7)^BI$2))))))</f>
        <v>0</v>
      </c>
      <c r="BJ18" s="88">
        <f>$E18*IF(BJ$2&gt;Inputs!$D$5,0,IF(BJ$2&gt;VLOOKUP($H18,Lists!$P$3:$Q$7,2),IF($N18=Lists!$K$3,IF($L18&lt;1,(($U18/$L18)*((1+Inputs!$D$7)^BJ$2)),((INT(BJ$2/$L18)-INT((BJ$2-1)/$L18))*$U18*((1+Inputs!$D$7)^BJ$2))),(_xlfn.WEIBULL.DIST(BJ$2,$M18,$L18,FALSE)*$U18*((1+Inputs!$D$7)^BJ$2))),IF($N18=Lists!$K$3,IF($L18&lt;1,((($T18*(1-$F18)+$S18*(1-$G18))/$L18)*((1+Inputs!$D$7)^BJ$2)),((INT(BJ$2/$L18)-INT((BJ$2-1)/$L18))*($T18*(1-$F18)+$S18*(1-$G18))*((1+Inputs!$D$7)^BJ$2))),((_xlfn.WEIBULL.DIST(BJ$2,$M18,$L18,FALSE)*($T18*(1-$F18)+$S18*(1-$G18))*((1+Inputs!$D$7)^BJ$2))))))</f>
        <v>0</v>
      </c>
      <c r="BK18" s="88">
        <f>$E18*IF(BK$2&gt;Inputs!$D$5,0,IF(BK$2&gt;VLOOKUP($H18,Lists!$P$3:$Q$7,2),IF($N18=Lists!$K$3,IF($L18&lt;1,(($U18/$L18)*((1+Inputs!$D$7)^BK$2)),((INT(BK$2/$L18)-INT((BK$2-1)/$L18))*$U18*((1+Inputs!$D$7)^BK$2))),(_xlfn.WEIBULL.DIST(BK$2,$M18,$L18,FALSE)*$U18*((1+Inputs!$D$7)^BK$2))),IF($N18=Lists!$K$3,IF($L18&lt;1,((($T18*(1-$F18)+$S18*(1-$G18))/$L18)*((1+Inputs!$D$7)^BK$2)),((INT(BK$2/$L18)-INT((BK$2-1)/$L18))*($T18*(1-$F18)+$S18*(1-$G18))*((1+Inputs!$D$7)^BK$2))),((_xlfn.WEIBULL.DIST(BK$2,$M18,$L18,FALSE)*($T18*(1-$F18)+$S18*(1-$G18))*((1+Inputs!$D$7)^BK$2))))))</f>
        <v>0</v>
      </c>
      <c r="BL18" s="88">
        <f>$E18*IF(BL$2&gt;Inputs!$D$5,0,IF(BL$2&gt;VLOOKUP($H18,Lists!$P$3:$Q$7,2),IF($N18=Lists!$K$3,IF($L18&lt;1,(($U18/$L18)*((1+Inputs!$D$7)^BL$2)),((INT(BL$2/$L18)-INT((BL$2-1)/$L18))*$U18*((1+Inputs!$D$7)^BL$2))),(_xlfn.WEIBULL.DIST(BL$2,$M18,$L18,FALSE)*$U18*((1+Inputs!$D$7)^BL$2))),IF($N18=Lists!$K$3,IF($L18&lt;1,((($T18*(1-$F18)+$S18*(1-$G18))/$L18)*((1+Inputs!$D$7)^BL$2)),((INT(BL$2/$L18)-INT((BL$2-1)/$L18))*($T18*(1-$F18)+$S18*(1-$G18))*((1+Inputs!$D$7)^BL$2))),((_xlfn.WEIBULL.DIST(BL$2,$M18,$L18,FALSE)*($T18*(1-$F18)+$S18*(1-$G18))*((1+Inputs!$D$7)^BL$2))))))</f>
        <v>0</v>
      </c>
      <c r="BM18" s="88">
        <f>$E18*IF(BM$2&gt;Inputs!$D$5,0,IF(BM$2&gt;VLOOKUP($H18,Lists!$P$3:$Q$7,2),IF($N18=Lists!$K$3,IF($L18&lt;1,(($U18/$L18)*((1+Inputs!$D$7)^BM$2)),((INT(BM$2/$L18)-INT((BM$2-1)/$L18))*$U18*((1+Inputs!$D$7)^BM$2))),(_xlfn.WEIBULL.DIST(BM$2,$M18,$L18,FALSE)*$U18*((1+Inputs!$D$7)^BM$2))),IF($N18=Lists!$K$3,IF($L18&lt;1,((($T18*(1-$F18)+$S18*(1-$G18))/$L18)*((1+Inputs!$D$7)^BM$2)),((INT(BM$2/$L18)-INT((BM$2-1)/$L18))*($T18*(1-$F18)+$S18*(1-$G18))*((1+Inputs!$D$7)^BM$2))),((_xlfn.WEIBULL.DIST(BM$2,$M18,$L18,FALSE)*($T18*(1-$F18)+$S18*(1-$G18))*((1+Inputs!$D$7)^BM$2))))))</f>
        <v>0</v>
      </c>
      <c r="BN18" s="88">
        <f>$E18*IF(BN$2&gt;Inputs!$D$5,0,IF(BN$2&gt;VLOOKUP($H18,Lists!$P$3:$Q$7,2),IF($N18=Lists!$K$3,IF($L18&lt;1,(($U18/$L18)*((1+Inputs!$D$7)^BN$2)),((INT(BN$2/$L18)-INT((BN$2-1)/$L18))*$U18*((1+Inputs!$D$7)^BN$2))),(_xlfn.WEIBULL.DIST(BN$2,$M18,$L18,FALSE)*$U18*((1+Inputs!$D$7)^BN$2))),IF($N18=Lists!$K$3,IF($L18&lt;1,((($T18*(1-$F18)+$S18*(1-$G18))/$L18)*((1+Inputs!$D$7)^BN$2)),((INT(BN$2/$L18)-INT((BN$2-1)/$L18))*($T18*(1-$F18)+$S18*(1-$G18))*((1+Inputs!$D$7)^BN$2))),((_xlfn.WEIBULL.DIST(BN$2,$M18,$L18,FALSE)*($T18*(1-$F18)+$S18*(1-$G18))*((1+Inputs!$D$7)^BN$2))))))</f>
        <v>0</v>
      </c>
      <c r="BO18" s="64">
        <f>NPV(Inputs!$D$6,BQ18:DD18)</f>
        <v>80998.266516521762</v>
      </c>
      <c r="BP18" s="67">
        <f t="shared" si="6"/>
        <v>3.8202736881903572E-2</v>
      </c>
      <c r="BQ18" s="88">
        <f>MAX(AA18,($E18*IF(BQ$2&gt;Inputs!$D$5,0,IF(BQ$2&gt;VLOOKUP($H18,Lists!$P$3:$Q$7,2),IF($N18=Lists!$K$3,IF($L18&lt;1,(($U18/$L18)*((1+Inputs!$D$7)^BQ$2)),((INT(BQ$2/$L18)-INT((BQ$2-1)/$L18))*$U18*((1+Inputs!$D$7)^BQ$2))),(Inputs!$D$8^((1-_xlfn.WEIBULL.DIST(BQ$2,$M18,$L18,FALSE))/_xlfn.WEIBULL.DIST(BQ$2,$M18,$L18,FALSE))*$U18*((1+Inputs!$D$7)^BQ$2))),IF($N18=Lists!$K$3,IF($L18&lt;1,((($T18*(1-$F18)+$S18*(1-$G18))/$L18)*((1+Inputs!$D$7)^BQ$2)),((INT(BQ$2/$L18)-INT((BQ$2-1)/$L18))*($T18*(1-$F18)+$S18*(1-$G18))*((1+Inputs!$D$7)^BQ$2))),((Inputs!$D$8^((1-_xlfn.WEIBULL.DIST(BQ$2,$M18,$L18,FALSE))/_xlfn.WEIBULL.DIST(BQ$2,$M18,$L18,FALSE))*($T18*(1-$F18)+$S18*(1-$G18))*((1+Inputs!$D$7)^BQ$2))))))))</f>
        <v>0</v>
      </c>
      <c r="BR18" s="88">
        <f>MAX(AB18,($E18*IF(BR$2&gt;Inputs!$D$5,0,IF(BR$2&gt;VLOOKUP($H18,Lists!$P$3:$Q$7,2),IF($N18=Lists!$K$3,IF($L18&lt;1,(($U18/$L18)*((1+Inputs!$D$7)^BR$2)),((INT(BR$2/$L18)-INT((BR$2-1)/$L18))*$U18*((1+Inputs!$D$7)^BR$2))),(Inputs!$D$8^((1-_xlfn.WEIBULL.DIST(BR$2,$M18,$L18,FALSE))/_xlfn.WEIBULL.DIST(BR$2,$M18,$L18,FALSE))*$U18*((1+Inputs!$D$7)^BR$2))),IF($N18=Lists!$K$3,IF($L18&lt;1,((($T18*(1-$F18)+$S18*(1-$G18))/$L18)*((1+Inputs!$D$7)^BR$2)),((INT(BR$2/$L18)-INT((BR$2-1)/$L18))*($T18*(1-$F18)+$S18*(1-$G18))*((1+Inputs!$D$7)^BR$2))),((Inputs!$D$8^((1-_xlfn.WEIBULL.DIST(BR$2,$M18,$L18,FALSE))/_xlfn.WEIBULL.DIST(BR$2,$M18,$L18,FALSE))*($T18*(1-$F18)+$S18*(1-$G18))*((1+Inputs!$D$7)^BR$2))))))))</f>
        <v>0</v>
      </c>
      <c r="BS18" s="88">
        <f>MAX(AC18,($E18*IF(BS$2&gt;Inputs!$D$5,0,IF(BS$2&gt;VLOOKUP($H18,Lists!$P$3:$Q$7,2),IF($N18=Lists!$K$3,IF($L18&lt;1,(($U18/$L18)*((1+Inputs!$D$7)^BS$2)),((INT(BS$2/$L18)-INT((BS$2-1)/$L18))*$U18*((1+Inputs!$D$7)^BS$2))),(Inputs!$D$8^((1-_xlfn.WEIBULL.DIST(BS$2,$M18,$L18,FALSE))/_xlfn.WEIBULL.DIST(BS$2,$M18,$L18,FALSE))*$U18*((1+Inputs!$D$7)^BS$2))),IF($N18=Lists!$K$3,IF($L18&lt;1,((($T18*(1-$F18)+$S18*(1-$G18))/$L18)*((1+Inputs!$D$7)^BS$2)),((INT(BS$2/$L18)-INT((BS$2-1)/$L18))*($T18*(1-$F18)+$S18*(1-$G18))*((1+Inputs!$D$7)^BS$2))),((Inputs!$D$8^((1-_xlfn.WEIBULL.DIST(BS$2,$M18,$L18,FALSE))/_xlfn.WEIBULL.DIST(BS$2,$M18,$L18,FALSE))*($T18*(1-$F18)+$S18*(1-$G18))*((1+Inputs!$D$7)^BS$2))))))))</f>
        <v>0</v>
      </c>
      <c r="BT18" s="88">
        <f>MAX(AD18,($E18*IF(BT$2&gt;Inputs!$D$5,0,IF(BT$2&gt;VLOOKUP($H18,Lists!$P$3:$Q$7,2),IF($N18=Lists!$K$3,IF($L18&lt;1,(($U18/$L18)*((1+Inputs!$D$7)^BT$2)),((INT(BT$2/$L18)-INT((BT$2-1)/$L18))*$U18*((1+Inputs!$D$7)^BT$2))),(Inputs!$D$8^((1-_xlfn.WEIBULL.DIST(BT$2,$M18,$L18,FALSE))/_xlfn.WEIBULL.DIST(BT$2,$M18,$L18,FALSE))*$U18*((1+Inputs!$D$7)^BT$2))),IF($N18=Lists!$K$3,IF($L18&lt;1,((($T18*(1-$F18)+$S18*(1-$G18))/$L18)*((1+Inputs!$D$7)^BT$2)),((INT(BT$2/$L18)-INT((BT$2-1)/$L18))*($T18*(1-$F18)+$S18*(1-$G18))*((1+Inputs!$D$7)^BT$2))),((Inputs!$D$8^((1-_xlfn.WEIBULL.DIST(BT$2,$M18,$L18,FALSE))/_xlfn.WEIBULL.DIST(BT$2,$M18,$L18,FALSE))*($T18*(1-$F18)+$S18*(1-$G18))*((1+Inputs!$D$7)^BT$2))))))))</f>
        <v>0</v>
      </c>
      <c r="BU18" s="88">
        <f>MAX(AE18,($E18*IF(BU$2&gt;Inputs!$D$5,0,IF(BU$2&gt;VLOOKUP($H18,Lists!$P$3:$Q$7,2),IF($N18=Lists!$K$3,IF($L18&lt;1,(($U18/$L18)*((1+Inputs!$D$7)^BU$2)),((INT(BU$2/$L18)-INT((BU$2-1)/$L18))*$U18*((1+Inputs!$D$7)^BU$2))),(Inputs!$D$8^((1-_xlfn.WEIBULL.DIST(BU$2,$M18,$L18,FALSE))/_xlfn.WEIBULL.DIST(BU$2,$M18,$L18,FALSE))*$U18*((1+Inputs!$D$7)^BU$2))),IF($N18=Lists!$K$3,IF($L18&lt;1,((($T18*(1-$F18)+$S18*(1-$G18))/$L18)*((1+Inputs!$D$7)^BU$2)),((INT(BU$2/$L18)-INT((BU$2-1)/$L18))*($T18*(1-$F18)+$S18*(1-$G18))*((1+Inputs!$D$7)^BU$2))),((Inputs!$D$8^((1-_xlfn.WEIBULL.DIST(BU$2,$M18,$L18,FALSE))/_xlfn.WEIBULL.DIST(BU$2,$M18,$L18,FALSE))*($T18*(1-$F18)+$S18*(1-$G18))*((1+Inputs!$D$7)^BU$2))))))))</f>
        <v>0</v>
      </c>
      <c r="BV18" s="88">
        <f>MAX(AF18,($E18*IF(BV$2&gt;Inputs!$D$5,0,IF(BV$2&gt;VLOOKUP($H18,Lists!$P$3:$Q$7,2),IF($N18=Lists!$K$3,IF($L18&lt;1,(($U18/$L18)*((1+Inputs!$D$7)^BV$2)),((INT(BV$2/$L18)-INT((BV$2-1)/$L18))*$U18*((1+Inputs!$D$7)^BV$2))),(Inputs!$D$8^((1-_xlfn.WEIBULL.DIST(BV$2,$M18,$L18,FALSE))/_xlfn.WEIBULL.DIST(BV$2,$M18,$L18,FALSE))*$U18*((1+Inputs!$D$7)^BV$2))),IF($N18=Lists!$K$3,IF($L18&lt;1,((($T18*(1-$F18)+$S18*(1-$G18))/$L18)*((1+Inputs!$D$7)^BV$2)),((INT(BV$2/$L18)-INT((BV$2-1)/$L18))*($T18*(1-$F18)+$S18*(1-$G18))*((1+Inputs!$D$7)^BV$2))),((Inputs!$D$8^((1-_xlfn.WEIBULL.DIST(BV$2,$M18,$L18,FALSE))/_xlfn.WEIBULL.DIST(BV$2,$M18,$L18,FALSE))*($T18*(1-$F18)+$S18*(1-$G18))*((1+Inputs!$D$7)^BV$2))))))))</f>
        <v>0</v>
      </c>
      <c r="BW18" s="88">
        <f>MAX(AG18,($E18*IF(BW$2&gt;Inputs!$D$5,0,IF(BW$2&gt;VLOOKUP($H18,Lists!$P$3:$Q$7,2),IF($N18=Lists!$K$3,IF($L18&lt;1,(($U18/$L18)*((1+Inputs!$D$7)^BW$2)),((INT(BW$2/$L18)-INT((BW$2-1)/$L18))*$U18*((1+Inputs!$D$7)^BW$2))),(Inputs!$D$8^((1-_xlfn.WEIBULL.DIST(BW$2,$M18,$L18,FALSE))/_xlfn.WEIBULL.DIST(BW$2,$M18,$L18,FALSE))*$U18*((1+Inputs!$D$7)^BW$2))),IF($N18=Lists!$K$3,IF($L18&lt;1,((($T18*(1-$F18)+$S18*(1-$G18))/$L18)*((1+Inputs!$D$7)^BW$2)),((INT(BW$2/$L18)-INT((BW$2-1)/$L18))*($T18*(1-$F18)+$S18*(1-$G18))*((1+Inputs!$D$7)^BW$2))),((Inputs!$D$8^((1-_xlfn.WEIBULL.DIST(BW$2,$M18,$L18,FALSE))/_xlfn.WEIBULL.DIST(BW$2,$M18,$L18,FALSE))*($T18*(1-$F18)+$S18*(1-$G18))*((1+Inputs!$D$7)^BW$2))))))))</f>
        <v>0</v>
      </c>
      <c r="BX18" s="88">
        <f>MAX(AH18,($E18*IF(BX$2&gt;Inputs!$D$5,0,IF(BX$2&gt;VLOOKUP($H18,Lists!$P$3:$Q$7,2),IF($N18=Lists!$K$3,IF($L18&lt;1,(($U18/$L18)*((1+Inputs!$D$7)^BX$2)),((INT(BX$2/$L18)-INT((BX$2-1)/$L18))*$U18*((1+Inputs!$D$7)^BX$2))),(Inputs!$D$8^((1-_xlfn.WEIBULL.DIST(BX$2,$M18,$L18,FALSE))/_xlfn.WEIBULL.DIST(BX$2,$M18,$L18,FALSE))*$U18*((1+Inputs!$D$7)^BX$2))),IF($N18=Lists!$K$3,IF($L18&lt;1,((($T18*(1-$F18)+$S18*(1-$G18))/$L18)*((1+Inputs!$D$7)^BX$2)),((INT(BX$2/$L18)-INT((BX$2-1)/$L18))*($T18*(1-$F18)+$S18*(1-$G18))*((1+Inputs!$D$7)^BX$2))),((Inputs!$D$8^((1-_xlfn.WEIBULL.DIST(BX$2,$M18,$L18,FALSE))/_xlfn.WEIBULL.DIST(BX$2,$M18,$L18,FALSE))*($T18*(1-$F18)+$S18*(1-$G18))*((1+Inputs!$D$7)^BX$2))))))))</f>
        <v>0</v>
      </c>
      <c r="BY18" s="88">
        <f>MAX(AI18,($E18*IF(BY$2&gt;Inputs!$D$5,0,IF(BY$2&gt;VLOOKUP($H18,Lists!$P$3:$Q$7,2),IF($N18=Lists!$K$3,IF($L18&lt;1,(($U18/$L18)*((1+Inputs!$D$7)^BY$2)),((INT(BY$2/$L18)-INT((BY$2-1)/$L18))*$U18*((1+Inputs!$D$7)^BY$2))),(Inputs!$D$8^((1-_xlfn.WEIBULL.DIST(BY$2,$M18,$L18,FALSE))/_xlfn.WEIBULL.DIST(BY$2,$M18,$L18,FALSE))*$U18*((1+Inputs!$D$7)^BY$2))),IF($N18=Lists!$K$3,IF($L18&lt;1,((($T18*(1-$F18)+$S18*(1-$G18))/$L18)*((1+Inputs!$D$7)^BY$2)),((INT(BY$2/$L18)-INT((BY$2-1)/$L18))*($T18*(1-$F18)+$S18*(1-$G18))*((1+Inputs!$D$7)^BY$2))),((Inputs!$D$8^((1-_xlfn.WEIBULL.DIST(BY$2,$M18,$L18,FALSE))/_xlfn.WEIBULL.DIST(BY$2,$M18,$L18,FALSE))*($T18*(1-$F18)+$S18*(1-$G18))*((1+Inputs!$D$7)^BY$2))))))))</f>
        <v>0</v>
      </c>
      <c r="BZ18" s="88">
        <f>MAX(AJ18,($E18*IF(BZ$2&gt;Inputs!$D$5,0,IF(BZ$2&gt;VLOOKUP($H18,Lists!$P$3:$Q$7,2),IF($N18=Lists!$K$3,IF($L18&lt;1,(($U18/$L18)*((1+Inputs!$D$7)^BZ$2)),((INT(BZ$2/$L18)-INT((BZ$2-1)/$L18))*$U18*((1+Inputs!$D$7)^BZ$2))),(Inputs!$D$8^((1-_xlfn.WEIBULL.DIST(BZ$2,$M18,$L18,FALSE))/_xlfn.WEIBULL.DIST(BZ$2,$M18,$L18,FALSE))*$U18*((1+Inputs!$D$7)^BZ$2))),IF($N18=Lists!$K$3,IF($L18&lt;1,((($T18*(1-$F18)+$S18*(1-$G18))/$L18)*((1+Inputs!$D$7)^BZ$2)),((INT(BZ$2/$L18)-INT((BZ$2-1)/$L18))*($T18*(1-$F18)+$S18*(1-$G18))*((1+Inputs!$D$7)^BZ$2))),((Inputs!$D$8^((1-_xlfn.WEIBULL.DIST(BZ$2,$M18,$L18,FALSE))/_xlfn.WEIBULL.DIST(BZ$2,$M18,$L18,FALSE))*($T18*(1-$F18)+$S18*(1-$G18))*((1+Inputs!$D$7)^BZ$2))))))))</f>
        <v>0</v>
      </c>
      <c r="CA18" s="88">
        <f>MAX(AK18,($E18*IF(CA$2&gt;Inputs!$D$5,0,IF(CA$2&gt;VLOOKUP($H18,Lists!$P$3:$Q$7,2),IF($N18=Lists!$K$3,IF($L18&lt;1,(($U18/$L18)*((1+Inputs!$D$7)^CA$2)),((INT(CA$2/$L18)-INT((CA$2-1)/$L18))*$U18*((1+Inputs!$D$7)^CA$2))),(Inputs!$D$8^((1-_xlfn.WEIBULL.DIST(CA$2,$M18,$L18,FALSE))/_xlfn.WEIBULL.DIST(CA$2,$M18,$L18,FALSE))*$U18*((1+Inputs!$D$7)^CA$2))),IF($N18=Lists!$K$3,IF($L18&lt;1,((($T18*(1-$F18)+$S18*(1-$G18))/$L18)*((1+Inputs!$D$7)^CA$2)),((INT(CA$2/$L18)-INT((CA$2-1)/$L18))*($T18*(1-$F18)+$S18*(1-$G18))*((1+Inputs!$D$7)^CA$2))),((Inputs!$D$8^((1-_xlfn.WEIBULL.DIST(CA$2,$M18,$L18,FALSE))/_xlfn.WEIBULL.DIST(CA$2,$M18,$L18,FALSE))*($T18*(1-$F18)+$S18*(1-$G18))*((1+Inputs!$D$7)^CA$2))))))))</f>
        <v>0</v>
      </c>
      <c r="CB18" s="88">
        <f>MAX(AL18,($E18*IF(CB$2&gt;Inputs!$D$5,0,IF(CB$2&gt;VLOOKUP($H18,Lists!$P$3:$Q$7,2),IF($N18=Lists!$K$3,IF($L18&lt;1,(($U18/$L18)*((1+Inputs!$D$7)^CB$2)),((INT(CB$2/$L18)-INT((CB$2-1)/$L18))*$U18*((1+Inputs!$D$7)^CB$2))),(Inputs!$D$8^((1-_xlfn.WEIBULL.DIST(CB$2,$M18,$L18,FALSE))/_xlfn.WEIBULL.DIST(CB$2,$M18,$L18,FALSE))*$U18*((1+Inputs!$D$7)^CB$2))),IF($N18=Lists!$K$3,IF($L18&lt;1,((($T18*(1-$F18)+$S18*(1-$G18))/$L18)*((1+Inputs!$D$7)^CB$2)),((INT(CB$2/$L18)-INT((CB$2-1)/$L18))*($T18*(1-$F18)+$S18*(1-$G18))*((1+Inputs!$D$7)^CB$2))),((Inputs!$D$8^((1-_xlfn.WEIBULL.DIST(CB$2,$M18,$L18,FALSE))/_xlfn.WEIBULL.DIST(CB$2,$M18,$L18,FALSE))*($T18*(1-$F18)+$S18*(1-$G18))*((1+Inputs!$D$7)^CB$2))))))))</f>
        <v>0</v>
      </c>
      <c r="CC18" s="88">
        <f>MAX(AM18,($E18*IF(CC$2&gt;Inputs!$D$5,0,IF(CC$2&gt;VLOOKUP($H18,Lists!$P$3:$Q$7,2),IF($N18=Lists!$K$3,IF($L18&lt;1,(($U18/$L18)*((1+Inputs!$D$7)^CC$2)),((INT(CC$2/$L18)-INT((CC$2-1)/$L18))*$U18*((1+Inputs!$D$7)^CC$2))),(Inputs!$D$8^((1-_xlfn.WEIBULL.DIST(CC$2,$M18,$L18,FALSE))/_xlfn.WEIBULL.DIST(CC$2,$M18,$L18,FALSE))*$U18*((1+Inputs!$D$7)^CC$2))),IF($N18=Lists!$K$3,IF($L18&lt;1,((($T18*(1-$F18)+$S18*(1-$G18))/$L18)*((1+Inputs!$D$7)^CC$2)),((INT(CC$2/$L18)-INT((CC$2-1)/$L18))*($T18*(1-$F18)+$S18*(1-$G18))*((1+Inputs!$D$7)^CC$2))),((Inputs!$D$8^((1-_xlfn.WEIBULL.DIST(CC$2,$M18,$L18,FALSE))/_xlfn.WEIBULL.DIST(CC$2,$M18,$L18,FALSE))*($T18*(1-$F18)+$S18*(1-$G18))*((1+Inputs!$D$7)^CC$2))))))))</f>
        <v>0</v>
      </c>
      <c r="CD18" s="88">
        <f>MAX(AN18,($E18*IF(CD$2&gt;Inputs!$D$5,0,IF(CD$2&gt;VLOOKUP($H18,Lists!$P$3:$Q$7,2),IF($N18=Lists!$K$3,IF($L18&lt;1,(($U18/$L18)*((1+Inputs!$D$7)^CD$2)),((INT(CD$2/$L18)-INT((CD$2-1)/$L18))*$U18*((1+Inputs!$D$7)^CD$2))),(Inputs!$D$8^((1-_xlfn.WEIBULL.DIST(CD$2,$M18,$L18,FALSE))/_xlfn.WEIBULL.DIST(CD$2,$M18,$L18,FALSE))*$U18*((1+Inputs!$D$7)^CD$2))),IF($N18=Lists!$K$3,IF($L18&lt;1,((($T18*(1-$F18)+$S18*(1-$G18))/$L18)*((1+Inputs!$D$7)^CD$2)),((INT(CD$2/$L18)-INT((CD$2-1)/$L18))*($T18*(1-$F18)+$S18*(1-$G18))*((1+Inputs!$D$7)^CD$2))),((Inputs!$D$8^((1-_xlfn.WEIBULL.DIST(CD$2,$M18,$L18,FALSE))/_xlfn.WEIBULL.DIST(CD$2,$M18,$L18,FALSE))*($T18*(1-$F18)+$S18*(1-$G18))*((1+Inputs!$D$7)^CD$2))))))))</f>
        <v>0</v>
      </c>
      <c r="CE18" s="88">
        <f>MAX(AO18,($E18*IF(CE$2&gt;Inputs!$D$5,0,IF(CE$2&gt;VLOOKUP($H18,Lists!$P$3:$Q$7,2),IF($N18=Lists!$K$3,IF($L18&lt;1,(($U18/$L18)*((1+Inputs!$D$7)^CE$2)),((INT(CE$2/$L18)-INT((CE$2-1)/$L18))*$U18*((1+Inputs!$D$7)^CE$2))),(Inputs!$D$8^((1-_xlfn.WEIBULL.DIST(CE$2,$M18,$L18,FALSE))/_xlfn.WEIBULL.DIST(CE$2,$M18,$L18,FALSE))*$U18*((1+Inputs!$D$7)^CE$2))),IF($N18=Lists!$K$3,IF($L18&lt;1,((($T18*(1-$F18)+$S18*(1-$G18))/$L18)*((1+Inputs!$D$7)^CE$2)),((INT(CE$2/$L18)-INT((CE$2-1)/$L18))*($T18*(1-$F18)+$S18*(1-$G18))*((1+Inputs!$D$7)^CE$2))),((Inputs!$D$8^((1-_xlfn.WEIBULL.DIST(CE$2,$M18,$L18,FALSE))/_xlfn.WEIBULL.DIST(CE$2,$M18,$L18,FALSE))*($T18*(1-$F18)+$S18*(1-$G18))*((1+Inputs!$D$7)^CE$2))))))))</f>
        <v>0</v>
      </c>
      <c r="CF18" s="88">
        <f>MAX(AP18,($E18*IF(CF$2&gt;Inputs!$D$5,0,IF(CF$2&gt;VLOOKUP($H18,Lists!$P$3:$Q$7,2),IF($N18=Lists!$K$3,IF($L18&lt;1,(($U18/$L18)*((1+Inputs!$D$7)^CF$2)),((INT(CF$2/$L18)-INT((CF$2-1)/$L18))*$U18*((1+Inputs!$D$7)^CF$2))),(Inputs!$D$8^((1-_xlfn.WEIBULL.DIST(CF$2,$M18,$L18,FALSE))/_xlfn.WEIBULL.DIST(CF$2,$M18,$L18,FALSE))*$U18*((1+Inputs!$D$7)^CF$2))),IF($N18=Lists!$K$3,IF($L18&lt;1,((($T18*(1-$F18)+$S18*(1-$G18))/$L18)*((1+Inputs!$D$7)^CF$2)),((INT(CF$2/$L18)-INT((CF$2-1)/$L18))*($T18*(1-$F18)+$S18*(1-$G18))*((1+Inputs!$D$7)^CF$2))),((Inputs!$D$8^((1-_xlfn.WEIBULL.DIST(CF$2,$M18,$L18,FALSE))/_xlfn.WEIBULL.DIST(CF$2,$M18,$L18,FALSE))*($T18*(1-$F18)+$S18*(1-$G18))*((1+Inputs!$D$7)^CF$2))))))))</f>
        <v>0</v>
      </c>
      <c r="CG18" s="88">
        <f>MAX(AQ18,($E18*IF(CG$2&gt;Inputs!$D$5,0,IF(CG$2&gt;VLOOKUP($H18,Lists!$P$3:$Q$7,2),IF($N18=Lists!$K$3,IF($L18&lt;1,(($U18/$L18)*((1+Inputs!$D$7)^CG$2)),((INT(CG$2/$L18)-INT((CG$2-1)/$L18))*$U18*((1+Inputs!$D$7)^CG$2))),(Inputs!$D$8^((1-_xlfn.WEIBULL.DIST(CG$2,$M18,$L18,FALSE))/_xlfn.WEIBULL.DIST(CG$2,$M18,$L18,FALSE))*$U18*((1+Inputs!$D$7)^CG$2))),IF($N18=Lists!$K$3,IF($L18&lt;1,((($T18*(1-$F18)+$S18*(1-$G18))/$L18)*((1+Inputs!$D$7)^CG$2)),((INT(CG$2/$L18)-INT((CG$2-1)/$L18))*($T18*(1-$F18)+$S18*(1-$G18))*((1+Inputs!$D$7)^CG$2))),((Inputs!$D$8^((1-_xlfn.WEIBULL.DIST(CG$2,$M18,$L18,FALSE))/_xlfn.WEIBULL.DIST(CG$2,$M18,$L18,FALSE))*($T18*(1-$F18)+$S18*(1-$G18))*((1+Inputs!$D$7)^CG$2))))))))</f>
        <v>0</v>
      </c>
      <c r="CH18" s="88">
        <f>MAX(AR18,($E18*IF(CH$2&gt;Inputs!$D$5,0,IF(CH$2&gt;VLOOKUP($H18,Lists!$P$3:$Q$7,2),IF($N18=Lists!$K$3,IF($L18&lt;1,(($U18/$L18)*((1+Inputs!$D$7)^CH$2)),((INT(CH$2/$L18)-INT((CH$2-1)/$L18))*$U18*((1+Inputs!$D$7)^CH$2))),(Inputs!$D$8^((1-_xlfn.WEIBULL.DIST(CH$2,$M18,$L18,FALSE))/_xlfn.WEIBULL.DIST(CH$2,$M18,$L18,FALSE))*$U18*((1+Inputs!$D$7)^CH$2))),IF($N18=Lists!$K$3,IF($L18&lt;1,((($T18*(1-$F18)+$S18*(1-$G18))/$L18)*((1+Inputs!$D$7)^CH$2)),((INT(CH$2/$L18)-INT((CH$2-1)/$L18))*($T18*(1-$F18)+$S18*(1-$G18))*((1+Inputs!$D$7)^CH$2))),((Inputs!$D$8^((1-_xlfn.WEIBULL.DIST(CH$2,$M18,$L18,FALSE))/_xlfn.WEIBULL.DIST(CH$2,$M18,$L18,FALSE))*($T18*(1-$F18)+$S18*(1-$G18))*((1+Inputs!$D$7)^CH$2))))))))</f>
        <v>0</v>
      </c>
      <c r="CI18" s="88">
        <f>MAX(AS18,($E18*IF(CI$2&gt;Inputs!$D$5,0,IF(CI$2&gt;VLOOKUP($H18,Lists!$P$3:$Q$7,2),IF($N18=Lists!$K$3,IF($L18&lt;1,(($U18/$L18)*((1+Inputs!$D$7)^CI$2)),((INT(CI$2/$L18)-INT((CI$2-1)/$L18))*$U18*((1+Inputs!$D$7)^CI$2))),(Inputs!$D$8^((1-_xlfn.WEIBULL.DIST(CI$2,$M18,$L18,FALSE))/_xlfn.WEIBULL.DIST(CI$2,$M18,$L18,FALSE))*$U18*((1+Inputs!$D$7)^CI$2))),IF($N18=Lists!$K$3,IF($L18&lt;1,((($T18*(1-$F18)+$S18*(1-$G18))/$L18)*((1+Inputs!$D$7)^CI$2)),((INT(CI$2/$L18)-INT((CI$2-1)/$L18))*($T18*(1-$F18)+$S18*(1-$G18))*((1+Inputs!$D$7)^CI$2))),((Inputs!$D$8^((1-_xlfn.WEIBULL.DIST(CI$2,$M18,$L18,FALSE))/_xlfn.WEIBULL.DIST(CI$2,$M18,$L18,FALSE))*($T18*(1-$F18)+$S18*(1-$G18))*((1+Inputs!$D$7)^CI$2))))))))</f>
        <v>0</v>
      </c>
      <c r="CJ18" s="88">
        <f>MAX(AT18,($E18*IF(CJ$2&gt;Inputs!$D$5,0,IF(CJ$2&gt;VLOOKUP($H18,Lists!$P$3:$Q$7,2),IF($N18=Lists!$K$3,IF($L18&lt;1,(($U18/$L18)*((1+Inputs!$D$7)^CJ$2)),((INT(CJ$2/$L18)-INT((CJ$2-1)/$L18))*$U18*((1+Inputs!$D$7)^CJ$2))),(Inputs!$D$8^((1-_xlfn.WEIBULL.DIST(CJ$2,$M18,$L18,FALSE))/_xlfn.WEIBULL.DIST(CJ$2,$M18,$L18,FALSE))*$U18*((1+Inputs!$D$7)^CJ$2))),IF($N18=Lists!$K$3,IF($L18&lt;1,((($T18*(1-$F18)+$S18*(1-$G18))/$L18)*((1+Inputs!$D$7)^CJ$2)),((INT(CJ$2/$L18)-INT((CJ$2-1)/$L18))*($T18*(1-$F18)+$S18*(1-$G18))*((1+Inputs!$D$7)^CJ$2))),((Inputs!$D$8^((1-_xlfn.WEIBULL.DIST(CJ$2,$M18,$L18,FALSE))/_xlfn.WEIBULL.DIST(CJ$2,$M18,$L18,FALSE))*($T18*(1-$F18)+$S18*(1-$G18))*((1+Inputs!$D$7)^CJ$2))))))))</f>
        <v>0</v>
      </c>
      <c r="CK18" s="88">
        <f>MAX(AU18,($E18*IF(CK$2&gt;Inputs!$D$5,0,IF(CK$2&gt;VLOOKUP($H18,Lists!$P$3:$Q$7,2),IF($N18=Lists!$K$3,IF($L18&lt;1,(($U18/$L18)*((1+Inputs!$D$7)^CK$2)),((INT(CK$2/$L18)-INT((CK$2-1)/$L18))*$U18*((1+Inputs!$D$7)^CK$2))),(Inputs!$D$8^((1-_xlfn.WEIBULL.DIST(CK$2,$M18,$L18,FALSE))/_xlfn.WEIBULL.DIST(CK$2,$M18,$L18,FALSE))*$U18*((1+Inputs!$D$7)^CK$2))),IF($N18=Lists!$K$3,IF($L18&lt;1,((($T18*(1-$F18)+$S18*(1-$G18))/$L18)*((1+Inputs!$D$7)^CK$2)),((INT(CK$2/$L18)-INT((CK$2-1)/$L18))*($T18*(1-$F18)+$S18*(1-$G18))*((1+Inputs!$D$7)^CK$2))),((Inputs!$D$8^((1-_xlfn.WEIBULL.DIST(CK$2,$M18,$L18,FALSE))/_xlfn.WEIBULL.DIST(CK$2,$M18,$L18,FALSE))*($T18*(1-$F18)+$S18*(1-$G18))*((1+Inputs!$D$7)^CK$2))))))))</f>
        <v>75663.924682369223</v>
      </c>
      <c r="CL18" s="88">
        <f>MAX(AV18,($E18*IF(CL$2&gt;Inputs!$D$5,0,IF(CL$2&gt;VLOOKUP($H18,Lists!$P$3:$Q$7,2),IF($N18=Lists!$K$3,IF($L18&lt;1,(($U18/$L18)*((1+Inputs!$D$7)^CL$2)),((INT(CL$2/$L18)-INT((CL$2-1)/$L18))*$U18*((1+Inputs!$D$7)^CL$2))),(Inputs!$D$8^((1-_xlfn.WEIBULL.DIST(CL$2,$M18,$L18,FALSE))/_xlfn.WEIBULL.DIST(CL$2,$M18,$L18,FALSE))*$U18*((1+Inputs!$D$7)^CL$2))),IF($N18=Lists!$K$3,IF($L18&lt;1,((($T18*(1-$F18)+$S18*(1-$G18))/$L18)*((1+Inputs!$D$7)^CL$2)),((INT(CL$2/$L18)-INT((CL$2-1)/$L18))*($T18*(1-$F18)+$S18*(1-$G18))*((1+Inputs!$D$7)^CL$2))),((Inputs!$D$8^((1-_xlfn.WEIBULL.DIST(CL$2,$M18,$L18,FALSE))/_xlfn.WEIBULL.DIST(CL$2,$M18,$L18,FALSE))*($T18*(1-$F18)+$S18*(1-$G18))*((1+Inputs!$D$7)^CL$2))))))))</f>
        <v>77765.483907482034</v>
      </c>
      <c r="CM18" s="88">
        <f>MAX(AW18,($E18*IF(CM$2&gt;Inputs!$D$5,0,IF(CM$2&gt;VLOOKUP($H18,Lists!$P$3:$Q$7,2),IF($N18=Lists!$K$3,IF($L18&lt;1,(($U18/$L18)*((1+Inputs!$D$7)^CM$2)),((INT(CM$2/$L18)-INT((CM$2-1)/$L18))*$U18*((1+Inputs!$D$7)^CM$2))),(Inputs!$D$8^((1-_xlfn.WEIBULL.DIST(CM$2,$M18,$L18,FALSE))/_xlfn.WEIBULL.DIST(CM$2,$M18,$L18,FALSE))*$U18*((1+Inputs!$D$7)^CM$2))),IF($N18=Lists!$K$3,IF($L18&lt;1,((($T18*(1-$F18)+$S18*(1-$G18))/$L18)*((1+Inputs!$D$7)^CM$2)),((INT(CM$2/$L18)-INT((CM$2-1)/$L18))*($T18*(1-$F18)+$S18*(1-$G18))*((1+Inputs!$D$7)^CM$2))),((Inputs!$D$8^((1-_xlfn.WEIBULL.DIST(CM$2,$M18,$L18,FALSE))/_xlfn.WEIBULL.DIST(CM$2,$M18,$L18,FALSE))*($T18*(1-$F18)+$S18*(1-$G18))*((1+Inputs!$D$7)^CM$2))))))))</f>
        <v>78155.069140681429</v>
      </c>
      <c r="CN18" s="88">
        <f>MAX(AX18,($E18*IF(CN$2&gt;Inputs!$D$5,0,IF(CN$2&gt;VLOOKUP($H18,Lists!$P$3:$Q$7,2),IF($N18=Lists!$K$3,IF($L18&lt;1,(($U18/$L18)*((1+Inputs!$D$7)^CN$2)),((INT(CN$2/$L18)-INT((CN$2-1)/$L18))*$U18*((1+Inputs!$D$7)^CN$2))),(Inputs!$D$8^((1-_xlfn.WEIBULL.DIST(CN$2,$M18,$L18,FALSE))/_xlfn.WEIBULL.DIST(CN$2,$M18,$L18,FALSE))*$U18*((1+Inputs!$D$7)^CN$2))),IF($N18=Lists!$K$3,IF($L18&lt;1,((($T18*(1-$F18)+$S18*(1-$G18))/$L18)*((1+Inputs!$D$7)^CN$2)),((INT(CN$2/$L18)-INT((CN$2-1)/$L18))*($T18*(1-$F18)+$S18*(1-$G18))*((1+Inputs!$D$7)^CN$2))),((Inputs!$D$8^((1-_xlfn.WEIBULL.DIST(CN$2,$M18,$L18,FALSE))/_xlfn.WEIBULL.DIST(CN$2,$M18,$L18,FALSE))*($T18*(1-$F18)+$S18*(1-$G18))*((1+Inputs!$D$7)^CN$2))))))))</f>
        <v>76759.075092876024</v>
      </c>
      <c r="CO18" s="88">
        <f>MAX(AY18,($E18*IF(CO$2&gt;Inputs!$D$5,0,IF(CO$2&gt;VLOOKUP($H18,Lists!$P$3:$Q$7,2),IF($N18=Lists!$K$3,IF($L18&lt;1,(($U18/$L18)*((1+Inputs!$D$7)^CO$2)),((INT(CO$2/$L18)-INT((CO$2-1)/$L18))*$U18*((1+Inputs!$D$7)^CO$2))),(Inputs!$D$8^((1-_xlfn.WEIBULL.DIST(CO$2,$M18,$L18,FALSE))/_xlfn.WEIBULL.DIST(CO$2,$M18,$L18,FALSE))*$U18*((1+Inputs!$D$7)^CO$2))),IF($N18=Lists!$K$3,IF($L18&lt;1,((($T18*(1-$F18)+$S18*(1-$G18))/$L18)*((1+Inputs!$D$7)^CO$2)),((INT(CO$2/$L18)-INT((CO$2-1)/$L18))*($T18*(1-$F18)+$S18*(1-$G18))*((1+Inputs!$D$7)^CO$2))),((Inputs!$D$8^((1-_xlfn.WEIBULL.DIST(CO$2,$M18,$L18,FALSE))/_xlfn.WEIBULL.DIST(CO$2,$M18,$L18,FALSE))*($T18*(1-$F18)+$S18*(1-$G18))*((1+Inputs!$D$7)^CO$2))))))))</f>
        <v>73554.654199536715</v>
      </c>
      <c r="CP18" s="88">
        <f>MAX(AZ18,($E18*IF(CP$2&gt;Inputs!$D$5,0,IF(CP$2&gt;VLOOKUP($H18,Lists!$P$3:$Q$7,2),IF($N18=Lists!$K$3,IF($L18&lt;1,(($U18/$L18)*((1+Inputs!$D$7)^CP$2)),((INT(CP$2/$L18)-INT((CP$2-1)/$L18))*$U18*((1+Inputs!$D$7)^CP$2))),(Inputs!$D$8^((1-_xlfn.WEIBULL.DIST(CP$2,$M18,$L18,FALSE))/_xlfn.WEIBULL.DIST(CP$2,$M18,$L18,FALSE))*$U18*((1+Inputs!$D$7)^CP$2))),IF($N18=Lists!$K$3,IF($L18&lt;1,((($T18*(1-$F18)+$S18*(1-$G18))/$L18)*((1+Inputs!$D$7)^CP$2)),((INT(CP$2/$L18)-INT((CP$2-1)/$L18))*($T18*(1-$F18)+$S18*(1-$G18))*((1+Inputs!$D$7)^CP$2))),((Inputs!$D$8^((1-_xlfn.WEIBULL.DIST(CP$2,$M18,$L18,FALSE))/_xlfn.WEIBULL.DIST(CP$2,$M18,$L18,FALSE))*($T18*(1-$F18)+$S18*(1-$G18))*((1+Inputs!$D$7)^CP$2))))))))</f>
        <v>0</v>
      </c>
      <c r="CQ18" s="88">
        <f>MAX(BA18,($E18*IF(CQ$2&gt;Inputs!$D$5,0,IF(CQ$2&gt;VLOOKUP($H18,Lists!$P$3:$Q$7,2),IF($N18=Lists!$K$3,IF($L18&lt;1,(($U18/$L18)*((1+Inputs!$D$7)^CQ$2)),((INT(CQ$2/$L18)-INT((CQ$2-1)/$L18))*$U18*((1+Inputs!$D$7)^CQ$2))),(Inputs!$D$8^((1-_xlfn.WEIBULL.DIST(CQ$2,$M18,$L18,FALSE))/_xlfn.WEIBULL.DIST(CQ$2,$M18,$L18,FALSE))*$U18*((1+Inputs!$D$7)^CQ$2))),IF($N18=Lists!$K$3,IF($L18&lt;1,((($T18*(1-$F18)+$S18*(1-$G18))/$L18)*((1+Inputs!$D$7)^CQ$2)),((INT(CQ$2/$L18)-INT((CQ$2-1)/$L18))*($T18*(1-$F18)+$S18*(1-$G18))*((1+Inputs!$D$7)^CQ$2))),((Inputs!$D$8^((1-_xlfn.WEIBULL.DIST(CQ$2,$M18,$L18,FALSE))/_xlfn.WEIBULL.DIST(CQ$2,$M18,$L18,FALSE))*($T18*(1-$F18)+$S18*(1-$G18))*((1+Inputs!$D$7)^CQ$2))))))))</f>
        <v>0</v>
      </c>
      <c r="CR18" s="88">
        <f>MAX(BB18,($E18*IF(CR$2&gt;Inputs!$D$5,0,IF(CR$2&gt;VLOOKUP($H18,Lists!$P$3:$Q$7,2),IF($N18=Lists!$K$3,IF($L18&lt;1,(($U18/$L18)*((1+Inputs!$D$7)^CR$2)),((INT(CR$2/$L18)-INT((CR$2-1)/$L18))*$U18*((1+Inputs!$D$7)^CR$2))),(Inputs!$D$8^((1-_xlfn.WEIBULL.DIST(CR$2,$M18,$L18,FALSE))/_xlfn.WEIBULL.DIST(CR$2,$M18,$L18,FALSE))*$U18*((1+Inputs!$D$7)^CR$2))),IF($N18=Lists!$K$3,IF($L18&lt;1,((($T18*(1-$F18)+$S18*(1-$G18))/$L18)*((1+Inputs!$D$7)^CR$2)),((INT(CR$2/$L18)-INT((CR$2-1)/$L18))*($T18*(1-$F18)+$S18*(1-$G18))*((1+Inputs!$D$7)^CR$2))),((Inputs!$D$8^((1-_xlfn.WEIBULL.DIST(CR$2,$M18,$L18,FALSE))/_xlfn.WEIBULL.DIST(CR$2,$M18,$L18,FALSE))*($T18*(1-$F18)+$S18*(1-$G18))*((1+Inputs!$D$7)^CR$2))))))))</f>
        <v>0</v>
      </c>
      <c r="CS18" s="88">
        <f>MAX(BC18,($E18*IF(CS$2&gt;Inputs!$D$5,0,IF(CS$2&gt;VLOOKUP($H18,Lists!$P$3:$Q$7,2),IF($N18=Lists!$K$3,IF($L18&lt;1,(($U18/$L18)*((1+Inputs!$D$7)^CS$2)),((INT(CS$2/$L18)-INT((CS$2-1)/$L18))*$U18*((1+Inputs!$D$7)^CS$2))),(Inputs!$D$8^((1-_xlfn.WEIBULL.DIST(CS$2,$M18,$L18,FALSE))/_xlfn.WEIBULL.DIST(CS$2,$M18,$L18,FALSE))*$U18*((1+Inputs!$D$7)^CS$2))),IF($N18=Lists!$K$3,IF($L18&lt;1,((($T18*(1-$F18)+$S18*(1-$G18))/$L18)*((1+Inputs!$D$7)^CS$2)),((INT(CS$2/$L18)-INT((CS$2-1)/$L18))*($T18*(1-$F18)+$S18*(1-$G18))*((1+Inputs!$D$7)^CS$2))),((Inputs!$D$8^((1-_xlfn.WEIBULL.DIST(CS$2,$M18,$L18,FALSE))/_xlfn.WEIBULL.DIST(CS$2,$M18,$L18,FALSE))*($T18*(1-$F18)+$S18*(1-$G18))*((1+Inputs!$D$7)^CS$2))))))))</f>
        <v>0</v>
      </c>
      <c r="CT18" s="88">
        <f>MAX(BD18,($E18*IF(CT$2&gt;Inputs!$D$5,0,IF(CT$2&gt;VLOOKUP($H18,Lists!$P$3:$Q$7,2),IF($N18=Lists!$K$3,IF($L18&lt;1,(($U18/$L18)*((1+Inputs!$D$7)^CT$2)),((INT(CT$2/$L18)-INT((CT$2-1)/$L18))*$U18*((1+Inputs!$D$7)^CT$2))),(Inputs!$D$8^((1-_xlfn.WEIBULL.DIST(CT$2,$M18,$L18,FALSE))/_xlfn.WEIBULL.DIST(CT$2,$M18,$L18,FALSE))*$U18*((1+Inputs!$D$7)^CT$2))),IF($N18=Lists!$K$3,IF($L18&lt;1,((($T18*(1-$F18)+$S18*(1-$G18))/$L18)*((1+Inputs!$D$7)^CT$2)),((INT(CT$2/$L18)-INT((CT$2-1)/$L18))*($T18*(1-$F18)+$S18*(1-$G18))*((1+Inputs!$D$7)^CT$2))),((Inputs!$D$8^((1-_xlfn.WEIBULL.DIST(CT$2,$M18,$L18,FALSE))/_xlfn.WEIBULL.DIST(CT$2,$M18,$L18,FALSE))*($T18*(1-$F18)+$S18*(1-$G18))*((1+Inputs!$D$7)^CT$2))))))))</f>
        <v>0</v>
      </c>
      <c r="CU18" s="88">
        <f>MAX(BE18,($E18*IF(CU$2&gt;Inputs!$D$5,0,IF(CU$2&gt;VLOOKUP($H18,Lists!$P$3:$Q$7,2),IF($N18=Lists!$K$3,IF($L18&lt;1,(($U18/$L18)*((1+Inputs!$D$7)^CU$2)),((INT(CU$2/$L18)-INT((CU$2-1)/$L18))*$U18*((1+Inputs!$D$7)^CU$2))),(Inputs!$D$8^((1-_xlfn.WEIBULL.DIST(CU$2,$M18,$L18,FALSE))/_xlfn.WEIBULL.DIST(CU$2,$M18,$L18,FALSE))*$U18*((1+Inputs!$D$7)^CU$2))),IF($N18=Lists!$K$3,IF($L18&lt;1,((($T18*(1-$F18)+$S18*(1-$G18))/$L18)*((1+Inputs!$D$7)^CU$2)),((INT(CU$2/$L18)-INT((CU$2-1)/$L18))*($T18*(1-$F18)+$S18*(1-$G18))*((1+Inputs!$D$7)^CU$2))),((Inputs!$D$8^((1-_xlfn.WEIBULL.DIST(CU$2,$M18,$L18,FALSE))/_xlfn.WEIBULL.DIST(CU$2,$M18,$L18,FALSE))*($T18*(1-$F18)+$S18*(1-$G18))*((1+Inputs!$D$7)^CU$2))))))))</f>
        <v>0</v>
      </c>
      <c r="CV18" s="88">
        <f>MAX(BF18,($E18*IF(CV$2&gt;Inputs!$D$5,0,IF(CV$2&gt;VLOOKUP($H18,Lists!$P$3:$Q$7,2),IF($N18=Lists!$K$3,IF($L18&lt;1,(($U18/$L18)*((1+Inputs!$D$7)^CV$2)),((INT(CV$2/$L18)-INT((CV$2-1)/$L18))*$U18*((1+Inputs!$D$7)^CV$2))),(Inputs!$D$8^((1-_xlfn.WEIBULL.DIST(CV$2,$M18,$L18,FALSE))/_xlfn.WEIBULL.DIST(CV$2,$M18,$L18,FALSE))*$U18*((1+Inputs!$D$7)^CV$2))),IF($N18=Lists!$K$3,IF($L18&lt;1,((($T18*(1-$F18)+$S18*(1-$G18))/$L18)*((1+Inputs!$D$7)^CV$2)),((INT(CV$2/$L18)-INT((CV$2-1)/$L18))*($T18*(1-$F18)+$S18*(1-$G18))*((1+Inputs!$D$7)^CV$2))),((Inputs!$D$8^((1-_xlfn.WEIBULL.DIST(CV$2,$M18,$L18,FALSE))/_xlfn.WEIBULL.DIST(CV$2,$M18,$L18,FALSE))*($T18*(1-$F18)+$S18*(1-$G18))*((1+Inputs!$D$7)^CV$2))))))))</f>
        <v>0</v>
      </c>
      <c r="CW18" s="88">
        <f>MAX(BG18,($E18*IF(CW$2&gt;Inputs!$D$5,0,IF(CW$2&gt;VLOOKUP($H18,Lists!$P$3:$Q$7,2),IF($N18=Lists!$K$3,IF($L18&lt;1,(($U18/$L18)*((1+Inputs!$D$7)^CW$2)),((INT(CW$2/$L18)-INT((CW$2-1)/$L18))*$U18*((1+Inputs!$D$7)^CW$2))),(Inputs!$D$8^((1-_xlfn.WEIBULL.DIST(CW$2,$M18,$L18,FALSE))/_xlfn.WEIBULL.DIST(CW$2,$M18,$L18,FALSE))*$U18*((1+Inputs!$D$7)^CW$2))),IF($N18=Lists!$K$3,IF($L18&lt;1,((($T18*(1-$F18)+$S18*(1-$G18))/$L18)*((1+Inputs!$D$7)^CW$2)),((INT(CW$2/$L18)-INT((CW$2-1)/$L18))*($T18*(1-$F18)+$S18*(1-$G18))*((1+Inputs!$D$7)^CW$2))),((Inputs!$D$8^((1-_xlfn.WEIBULL.DIST(CW$2,$M18,$L18,FALSE))/_xlfn.WEIBULL.DIST(CW$2,$M18,$L18,FALSE))*($T18*(1-$F18)+$S18*(1-$G18))*((1+Inputs!$D$7)^CW$2))))))))</f>
        <v>0</v>
      </c>
      <c r="CX18" s="88">
        <f>MAX(BH18,($E18*IF(CX$2&gt;Inputs!$D$5,0,IF(CX$2&gt;VLOOKUP($H18,Lists!$P$3:$Q$7,2),IF($N18=Lists!$K$3,IF($L18&lt;1,(($U18/$L18)*((1+Inputs!$D$7)^CX$2)),((INT(CX$2/$L18)-INT((CX$2-1)/$L18))*$U18*((1+Inputs!$D$7)^CX$2))),(Inputs!$D$8^((1-_xlfn.WEIBULL.DIST(CX$2,$M18,$L18,FALSE))/_xlfn.WEIBULL.DIST(CX$2,$M18,$L18,FALSE))*$U18*((1+Inputs!$D$7)^CX$2))),IF($N18=Lists!$K$3,IF($L18&lt;1,((($T18*(1-$F18)+$S18*(1-$G18))/$L18)*((1+Inputs!$D$7)^CX$2)),((INT(CX$2/$L18)-INT((CX$2-1)/$L18))*($T18*(1-$F18)+$S18*(1-$G18))*((1+Inputs!$D$7)^CX$2))),((Inputs!$D$8^((1-_xlfn.WEIBULL.DIST(CX$2,$M18,$L18,FALSE))/_xlfn.WEIBULL.DIST(CX$2,$M18,$L18,FALSE))*($T18*(1-$F18)+$S18*(1-$G18))*((1+Inputs!$D$7)^CX$2))))))))</f>
        <v>0</v>
      </c>
      <c r="CY18" s="88">
        <f>MAX(BI18,($E18*IF(CY$2&gt;Inputs!$D$5,0,IF(CY$2&gt;VLOOKUP($H18,Lists!$P$3:$Q$7,2),IF($N18=Lists!$K$3,IF($L18&lt;1,(($U18/$L18)*((1+Inputs!$D$7)^CY$2)),((INT(CY$2/$L18)-INT((CY$2-1)/$L18))*$U18*((1+Inputs!$D$7)^CY$2))),(Inputs!$D$8^((1-_xlfn.WEIBULL.DIST(CY$2,$M18,$L18,FALSE))/_xlfn.WEIBULL.DIST(CY$2,$M18,$L18,FALSE))*$U18*((1+Inputs!$D$7)^CY$2))),IF($N18=Lists!$K$3,IF($L18&lt;1,((($T18*(1-$F18)+$S18*(1-$G18))/$L18)*((1+Inputs!$D$7)^CY$2)),((INT(CY$2/$L18)-INT((CY$2-1)/$L18))*($T18*(1-$F18)+$S18*(1-$G18))*((1+Inputs!$D$7)^CY$2))),((Inputs!$D$8^((1-_xlfn.WEIBULL.DIST(CY$2,$M18,$L18,FALSE))/_xlfn.WEIBULL.DIST(CY$2,$M18,$L18,FALSE))*($T18*(1-$F18)+$S18*(1-$G18))*((1+Inputs!$D$7)^CY$2))))))))</f>
        <v>0</v>
      </c>
      <c r="CZ18" s="88">
        <f>MAX(BJ18,($E18*IF(CZ$2&gt;Inputs!$D$5,0,IF(CZ$2&gt;VLOOKUP($H18,Lists!$P$3:$Q$7,2),IF($N18=Lists!$K$3,IF($L18&lt;1,(($U18/$L18)*((1+Inputs!$D$7)^CZ$2)),((INT(CZ$2/$L18)-INT((CZ$2-1)/$L18))*$U18*((1+Inputs!$D$7)^CZ$2))),(Inputs!$D$8^((1-_xlfn.WEIBULL.DIST(CZ$2,$M18,$L18,FALSE))/_xlfn.WEIBULL.DIST(CZ$2,$M18,$L18,FALSE))*$U18*((1+Inputs!$D$7)^CZ$2))),IF($N18=Lists!$K$3,IF($L18&lt;1,((($T18*(1-$F18)+$S18*(1-$G18))/$L18)*((1+Inputs!$D$7)^CZ$2)),((INT(CZ$2/$L18)-INT((CZ$2-1)/$L18))*($T18*(1-$F18)+$S18*(1-$G18))*((1+Inputs!$D$7)^CZ$2))),((Inputs!$D$8^((1-_xlfn.WEIBULL.DIST(CZ$2,$M18,$L18,FALSE))/_xlfn.WEIBULL.DIST(CZ$2,$M18,$L18,FALSE))*($T18*(1-$F18)+$S18*(1-$G18))*((1+Inputs!$D$7)^CZ$2))))))))</f>
        <v>0</v>
      </c>
      <c r="DA18" s="88">
        <f>MAX(BK18,($E18*IF(DA$2&gt;Inputs!$D$5,0,IF(DA$2&gt;VLOOKUP($H18,Lists!$P$3:$Q$7,2),IF($N18=Lists!$K$3,IF($L18&lt;1,(($U18/$L18)*((1+Inputs!$D$7)^DA$2)),((INT(DA$2/$L18)-INT((DA$2-1)/$L18))*$U18*((1+Inputs!$D$7)^DA$2))),(Inputs!$D$8^((1-_xlfn.WEIBULL.DIST(DA$2,$M18,$L18,FALSE))/_xlfn.WEIBULL.DIST(DA$2,$M18,$L18,FALSE))*$U18*((1+Inputs!$D$7)^DA$2))),IF($N18=Lists!$K$3,IF($L18&lt;1,((($T18*(1-$F18)+$S18*(1-$G18))/$L18)*((1+Inputs!$D$7)^DA$2)),((INT(DA$2/$L18)-INT((DA$2-1)/$L18))*($T18*(1-$F18)+$S18*(1-$G18))*((1+Inputs!$D$7)^DA$2))),((Inputs!$D$8^((1-_xlfn.WEIBULL.DIST(DA$2,$M18,$L18,FALSE))/_xlfn.WEIBULL.DIST(DA$2,$M18,$L18,FALSE))*($T18*(1-$F18)+$S18*(1-$G18))*((1+Inputs!$D$7)^DA$2))))))))</f>
        <v>0</v>
      </c>
      <c r="DB18" s="88">
        <f>MAX(BL18,($E18*IF(DB$2&gt;Inputs!$D$5,0,IF(DB$2&gt;VLOOKUP($H18,Lists!$P$3:$Q$7,2),IF($N18=Lists!$K$3,IF($L18&lt;1,(($U18/$L18)*((1+Inputs!$D$7)^DB$2)),((INT(DB$2/$L18)-INT((DB$2-1)/$L18))*$U18*((1+Inputs!$D$7)^DB$2))),(Inputs!$D$8^((1-_xlfn.WEIBULL.DIST(DB$2,$M18,$L18,FALSE))/_xlfn.WEIBULL.DIST(DB$2,$M18,$L18,FALSE))*$U18*((1+Inputs!$D$7)^DB$2))),IF($N18=Lists!$K$3,IF($L18&lt;1,((($T18*(1-$F18)+$S18*(1-$G18))/$L18)*((1+Inputs!$D$7)^DB$2)),((INT(DB$2/$L18)-INT((DB$2-1)/$L18))*($T18*(1-$F18)+$S18*(1-$G18))*((1+Inputs!$D$7)^DB$2))),((Inputs!$D$8^((1-_xlfn.WEIBULL.DIST(DB$2,$M18,$L18,FALSE))/_xlfn.WEIBULL.DIST(DB$2,$M18,$L18,FALSE))*($T18*(1-$F18)+$S18*(1-$G18))*((1+Inputs!$D$7)^DB$2))))))))</f>
        <v>0</v>
      </c>
      <c r="DC18" s="88">
        <f>MAX(BM18,($E18*IF(DC$2&gt;Inputs!$D$5,0,IF(DC$2&gt;VLOOKUP($H18,Lists!$P$3:$Q$7,2),IF($N18=Lists!$K$3,IF($L18&lt;1,(($U18/$L18)*((1+Inputs!$D$7)^DC$2)),((INT(DC$2/$L18)-INT((DC$2-1)/$L18))*$U18*((1+Inputs!$D$7)^DC$2))),(Inputs!$D$8^((1-_xlfn.WEIBULL.DIST(DC$2,$M18,$L18,FALSE))/_xlfn.WEIBULL.DIST(DC$2,$M18,$L18,FALSE))*$U18*((1+Inputs!$D$7)^DC$2))),IF($N18=Lists!$K$3,IF($L18&lt;1,((($T18*(1-$F18)+$S18*(1-$G18))/$L18)*((1+Inputs!$D$7)^DC$2)),((INT(DC$2/$L18)-INT((DC$2-1)/$L18))*($T18*(1-$F18)+$S18*(1-$G18))*((1+Inputs!$D$7)^DC$2))),((Inputs!$D$8^((1-_xlfn.WEIBULL.DIST(DC$2,$M18,$L18,FALSE))/_xlfn.WEIBULL.DIST(DC$2,$M18,$L18,FALSE))*($T18*(1-$F18)+$S18*(1-$G18))*((1+Inputs!$D$7)^DC$2))))))))</f>
        <v>0</v>
      </c>
      <c r="DD18" s="88">
        <f>MAX(BN18,($E18*IF(DD$2&gt;Inputs!$D$5,0,IF(DD$2&gt;VLOOKUP($H18,Lists!$P$3:$Q$7,2),IF($N18=Lists!$K$3,IF($L18&lt;1,(($U18/$L18)*((1+Inputs!$D$7)^DD$2)),((INT(DD$2/$L18)-INT((DD$2-1)/$L18))*$U18*((1+Inputs!$D$7)^DD$2))),(Inputs!$D$8^((1-_xlfn.WEIBULL.DIST(DD$2,$M18,$L18,FALSE))/_xlfn.WEIBULL.DIST(DD$2,$M18,$L18,FALSE))*$U18*((1+Inputs!$D$7)^DD$2))),IF($N18=Lists!$K$3,IF($L18&lt;1,((($T18*(1-$F18)+$S18*(1-$G18))/$L18)*((1+Inputs!$D$7)^DD$2)),((INT(DD$2/$L18)-INT((DD$2-1)/$L18))*($T18*(1-$F18)+$S18*(1-$G18))*((1+Inputs!$D$7)^DD$2))),((Inputs!$D$8^((1-_xlfn.WEIBULL.DIST(DD$2,$M18,$L18,FALSE))/_xlfn.WEIBULL.DIST(DD$2,$M18,$L18,FALSE))*($T18*(1-$F18)+$S18*(1-$G18))*((1+Inputs!$D$7)^DD$2))))))))</f>
        <v>0</v>
      </c>
    </row>
    <row r="19" spans="1:108" s="1" customFormat="1" ht="16">
      <c r="A19" s="57" t="s">
        <v>201</v>
      </c>
      <c r="B19" s="13" t="s">
        <v>130</v>
      </c>
      <c r="C19" s="13" t="s">
        <v>474</v>
      </c>
      <c r="D19" s="13" t="s">
        <v>123</v>
      </c>
      <c r="E19" s="48">
        <v>1</v>
      </c>
      <c r="F19" s="48">
        <v>1</v>
      </c>
      <c r="G19" s="48">
        <v>1</v>
      </c>
      <c r="H19" s="105" t="s">
        <v>349</v>
      </c>
      <c r="I19" s="14"/>
      <c r="J19" s="14" t="s">
        <v>87</v>
      </c>
      <c r="K19" s="13">
        <f>VLOOKUP(J19,'Labor Rates'!$A$1:$F$16,2)</f>
        <v>32.012019230769226</v>
      </c>
      <c r="L19" s="15">
        <v>25</v>
      </c>
      <c r="M19" s="15">
        <v>3</v>
      </c>
      <c r="N19" s="16" t="s">
        <v>226</v>
      </c>
      <c r="O19" s="61">
        <v>1</v>
      </c>
      <c r="P19" s="15">
        <v>4</v>
      </c>
      <c r="Q19" s="15">
        <f t="shared" si="0"/>
        <v>0.16</v>
      </c>
      <c r="R19" s="4">
        <v>0</v>
      </c>
      <c r="S19" s="53">
        <f t="shared" si="1"/>
        <v>128.04807692307691</v>
      </c>
      <c r="T19" s="53">
        <f t="shared" si="2"/>
        <v>0</v>
      </c>
      <c r="U19" s="54">
        <f t="shared" si="3"/>
        <v>128.04807692307691</v>
      </c>
      <c r="V19" s="65"/>
      <c r="W19" s="58"/>
      <c r="X19" s="64">
        <f t="shared" si="4"/>
        <v>3.6447492562499044</v>
      </c>
      <c r="Y19" s="64">
        <f>NPV(Inputs!$D$6,AA19:BN19)</f>
        <v>37.144308467256614</v>
      </c>
      <c r="Z19" s="67">
        <f t="shared" si="5"/>
        <v>1.7519069284592918E-5</v>
      </c>
      <c r="AA19" s="88">
        <f>$E19*IF(AA$2&gt;Inputs!$D$5,0,IF(AA$2&gt;VLOOKUP($H19,Lists!$P$3:$Q$7,2),IF($N19=Lists!$K$3,IF($L19&lt;1,(($U19/$L19)*((1+Inputs!$D$7)^AA$2)),((INT(AA$2/$L19)-INT((AA$2-1)/$L19))*$U19*((1+Inputs!$D$7)^AA$2))),(_xlfn.WEIBULL.DIST(AA$2,$M19,$L19,FALSE)*$U19*((1+Inputs!$D$7)^AA$2))),IF($N19=Lists!$K$3,IF($L19&lt;1,((($T19*(1-$F19)+$S19*(1-$G19))/$L19)*((1+Inputs!$D$7)^AA$2)),((INT(AA$2/$L19)-INT((AA$2-1)/$L19))*($T19*(1-$F19)+$S19*(1-$G19))*((1+Inputs!$D$7)^AA$2))),((_xlfn.WEIBULL.DIST(AA$2,$M19,$L19,FALSE)*($T19*(1-$F19)+$S19*(1-$G19))*((1+Inputs!$D$7)^AA$2))))))</f>
        <v>0</v>
      </c>
      <c r="AB19" s="88">
        <f>$E19*IF(AB$2&gt;Inputs!$D$5,0,IF(AB$2&gt;VLOOKUP($H19,Lists!$P$3:$Q$7,2),IF($N19=Lists!$K$3,IF($L19&lt;1,(($U19/$L19)*((1+Inputs!$D$7)^AB$2)),((INT(AB$2/$L19)-INT((AB$2-1)/$L19))*$U19*((1+Inputs!$D$7)^AB$2))),(_xlfn.WEIBULL.DIST(AB$2,$M19,$L19,FALSE)*$U19*((1+Inputs!$D$7)^AB$2))),IF($N19=Lists!$K$3,IF($L19&lt;1,((($T19*(1-$F19)+$S19*(1-$G19))/$L19)*((1+Inputs!$D$7)^AB$2)),((INT(AB$2/$L19)-INT((AB$2-1)/$L19))*($T19*(1-$F19)+$S19*(1-$G19))*((1+Inputs!$D$7)^AB$2))),((_xlfn.WEIBULL.DIST(AB$2,$M19,$L19,FALSE)*($T19*(1-$F19)+$S19*(1-$G19))*((1+Inputs!$D$7)^AB$2))))))</f>
        <v>0.10226152506248841</v>
      </c>
      <c r="AC19" s="88">
        <f>$E19*IF(AC$2&gt;Inputs!$D$5,0,IF(AC$2&gt;VLOOKUP($H19,Lists!$P$3:$Q$7,2),IF($N19=Lists!$K$3,IF($L19&lt;1,(($U19/$L19)*((1+Inputs!$D$7)^AC$2)),((INT(AC$2/$L19)-INT((AC$2-1)/$L19))*$U19*((1+Inputs!$D$7)^AC$2))),(_xlfn.WEIBULL.DIST(AC$2,$M19,$L19,FALSE)*$U19*((1+Inputs!$D$7)^AC$2))),IF($N19=Lists!$K$3,IF($L19&lt;1,((($T19*(1-$F19)+$S19*(1-$G19))/$L19)*((1+Inputs!$D$7)^AC$2)),((INT(AC$2/$L19)-INT((AC$2-1)/$L19))*($T19*(1-$F19)+$S19*(1-$G19))*((1+Inputs!$D$7)^AC$2))),((_xlfn.WEIBULL.DIST(AC$2,$M19,$L19,FALSE)*($T19*(1-$F19)+$S19*(1-$G19))*((1+Inputs!$D$7)^AC$2))))))</f>
        <v>0.23440499017791552</v>
      </c>
      <c r="AD19" s="88">
        <f>$E19*IF(AD$2&gt;Inputs!$D$5,0,IF(AD$2&gt;VLOOKUP($H19,Lists!$P$3:$Q$7,2),IF($N19=Lists!$K$3,IF($L19&lt;1,(($U19/$L19)*((1+Inputs!$D$7)^AD$2)),((INT(AD$2/$L19)-INT((AD$2-1)/$L19))*$U19*((1+Inputs!$D$7)^AD$2))),(_xlfn.WEIBULL.DIST(AD$2,$M19,$L19,FALSE)*$U19*((1+Inputs!$D$7)^AD$2))),IF($N19=Lists!$K$3,IF($L19&lt;1,((($T19*(1-$F19)+$S19*(1-$G19))/$L19)*((1+Inputs!$D$7)^AD$2)),((INT(AD$2/$L19)-INT((AD$2-1)/$L19))*($T19*(1-$F19)+$S19*(1-$G19))*((1+Inputs!$D$7)^AD$2))),((_xlfn.WEIBULL.DIST(AD$2,$M19,$L19,FALSE)*($T19*(1-$F19)+$S19*(1-$G19))*((1+Inputs!$D$7)^AD$2))))))</f>
        <v>0.42404904420221878</v>
      </c>
      <c r="AE19" s="88">
        <f>$E19*IF(AE$2&gt;Inputs!$D$5,0,IF(AE$2&gt;VLOOKUP($H19,Lists!$P$3:$Q$7,2),IF($N19=Lists!$K$3,IF($L19&lt;1,(($U19/$L19)*((1+Inputs!$D$7)^AE$2)),((INT(AE$2/$L19)-INT((AE$2-1)/$L19))*$U19*((1+Inputs!$D$7)^AE$2))),(_xlfn.WEIBULL.DIST(AE$2,$M19,$L19,FALSE)*$U19*((1+Inputs!$D$7)^AE$2))),IF($N19=Lists!$K$3,IF($L19&lt;1,((($T19*(1-$F19)+$S19*(1-$G19))/$L19)*((1+Inputs!$D$7)^AE$2)),((INT(AE$2/$L19)-INT((AE$2-1)/$L19))*($T19*(1-$F19)+$S19*(1-$G19))*((1+Inputs!$D$7)^AE$2))),((_xlfn.WEIBULL.DIST(AE$2,$M19,$L19,FALSE)*($T19*(1-$F19)+$S19*(1-$G19))*((1+Inputs!$D$7)^AE$2))))))</f>
        <v>0.67319487457015603</v>
      </c>
      <c r="AF19" s="88">
        <f>$E19*IF(AF$2&gt;Inputs!$D$5,0,IF(AF$2&gt;VLOOKUP($H19,Lists!$P$3:$Q$7,2),IF($N19=Lists!$K$3,IF($L19&lt;1,(($U19/$L19)*((1+Inputs!$D$7)^AF$2)),((INT(AF$2/$L19)-INT((AF$2-1)/$L19))*$U19*((1+Inputs!$D$7)^AF$2))),(_xlfn.WEIBULL.DIST(AF$2,$M19,$L19,FALSE)*$U19*((1+Inputs!$D$7)^AF$2))),IF($N19=Lists!$K$3,IF($L19&lt;1,((($T19*(1-$F19)+$S19*(1-$G19))/$L19)*((1+Inputs!$D$7)^AF$2)),((INT(AF$2/$L19)-INT((AF$2-1)/$L19))*($T19*(1-$F19)+$S19*(1-$G19))*((1+Inputs!$D$7)^AF$2))),((_xlfn.WEIBULL.DIST(AF$2,$M19,$L19,FALSE)*($T19*(1-$F19)+$S19*(1-$G19))*((1+Inputs!$D$7)^AF$2))))))</f>
        <v>0.98304666361860826</v>
      </c>
      <c r="AG19" s="88">
        <f>$E19*IF(AG$2&gt;Inputs!$D$5,0,IF(AG$2&gt;VLOOKUP($H19,Lists!$P$3:$Q$7,2),IF($N19=Lists!$K$3,IF($L19&lt;1,(($U19/$L19)*((1+Inputs!$D$7)^AG$2)),((INT(AG$2/$L19)-INT((AG$2-1)/$L19))*$U19*((1+Inputs!$D$7)^AG$2))),(_xlfn.WEIBULL.DIST(AG$2,$M19,$L19,FALSE)*$U19*((1+Inputs!$D$7)^AG$2))),IF($N19=Lists!$K$3,IF($L19&lt;1,((($T19*(1-$F19)+$S19*(1-$G19))/$L19)*((1+Inputs!$D$7)^AG$2)),((INT(AG$2/$L19)-INT((AG$2-1)/$L19))*($T19*(1-$F19)+$S19*(1-$G19))*((1+Inputs!$D$7)^AG$2))),((_xlfn.WEIBULL.DIST(AG$2,$M19,$L19,FALSE)*($T19*(1-$F19)+$S19*(1-$G19))*((1+Inputs!$D$7)^AG$2))))))</f>
        <v>1.3537483460909288</v>
      </c>
      <c r="AH19" s="88">
        <f>$E19*IF(AH$2&gt;Inputs!$D$5,0,IF(AH$2&gt;VLOOKUP($H19,Lists!$P$3:$Q$7,2),IF($N19=Lists!$K$3,IF($L19&lt;1,(($U19/$L19)*((1+Inputs!$D$7)^AH$2)),((INT(AH$2/$L19)-INT((AH$2-1)/$L19))*$U19*((1+Inputs!$D$7)^AH$2))),(_xlfn.WEIBULL.DIST(AH$2,$M19,$L19,FALSE)*$U19*((1+Inputs!$D$7)^AH$2))),IF($N19=Lists!$K$3,IF($L19&lt;1,((($T19*(1-$F19)+$S19*(1-$G19))/$L19)*((1+Inputs!$D$7)^AH$2)),((INT(AH$2/$L19)-INT((AH$2-1)/$L19))*($T19*(1-$F19)+$S19*(1-$G19))*((1+Inputs!$D$7)^AH$2))),((_xlfn.WEIBULL.DIST(AH$2,$M19,$L19,FALSE)*($T19*(1-$F19)+$S19*(1-$G19))*((1+Inputs!$D$7)^AH$2))))))</f>
        <v>1.7841225221832189</v>
      </c>
      <c r="AI19" s="88">
        <f>$E19*IF(AI$2&gt;Inputs!$D$5,0,IF(AI$2&gt;VLOOKUP($H19,Lists!$P$3:$Q$7,2),IF($N19=Lists!$K$3,IF($L19&lt;1,(($U19/$L19)*((1+Inputs!$D$7)^AI$2)),((INT(AI$2/$L19)-INT((AI$2-1)/$L19))*$U19*((1+Inputs!$D$7)^AI$2))),(_xlfn.WEIBULL.DIST(AI$2,$M19,$L19,FALSE)*$U19*((1+Inputs!$D$7)^AI$2))),IF($N19=Lists!$K$3,IF($L19&lt;1,((($T19*(1-$F19)+$S19*(1-$G19))/$L19)*((1+Inputs!$D$7)^AI$2)),((INT(AI$2/$L19)-INT((AI$2-1)/$L19))*($T19*(1-$F19)+$S19*(1-$G19))*((1+Inputs!$D$7)^AI$2))),((_xlfn.WEIBULL.DIST(AI$2,$M19,$L19,FALSE)*($T19*(1-$F19)+$S19*(1-$G19))*((1+Inputs!$D$7)^AI$2))))))</f>
        <v>2.2714250475176314</v>
      </c>
      <c r="AJ19" s="88">
        <f>$E19*IF(AJ$2&gt;Inputs!$D$5,0,IF(AJ$2&gt;VLOOKUP($H19,Lists!$P$3:$Q$7,2),IF($N19=Lists!$K$3,IF($L19&lt;1,(($U19/$L19)*((1+Inputs!$D$7)^AJ$2)),((INT(AJ$2/$L19)-INT((AJ$2-1)/$L19))*$U19*((1+Inputs!$D$7)^AJ$2))),(_xlfn.WEIBULL.DIST(AJ$2,$M19,$L19,FALSE)*$U19*((1+Inputs!$D$7)^AJ$2))),IF($N19=Lists!$K$3,IF($L19&lt;1,((($T19*(1-$F19)+$S19*(1-$G19))/$L19)*((1+Inputs!$D$7)^AJ$2)),((INT(AJ$2/$L19)-INT((AJ$2-1)/$L19))*($T19*(1-$F19)+$S19*(1-$G19))*((1+Inputs!$D$7)^AJ$2))),((_xlfn.WEIBULL.DIST(AJ$2,$M19,$L19,FALSE)*($T19*(1-$F19)+$S19*(1-$G19))*((1+Inputs!$D$7)^AJ$2))))))</f>
        <v>2.8111314888645174</v>
      </c>
      <c r="AK19" s="88">
        <f>$E19*IF(AK$2&gt;Inputs!$D$5,0,IF(AK$2&gt;VLOOKUP($H19,Lists!$P$3:$Q$7,2),IF($N19=Lists!$K$3,IF($L19&lt;1,(($U19/$L19)*((1+Inputs!$D$7)^AK$2)),((INT(AK$2/$L19)-INT((AK$2-1)/$L19))*$U19*((1+Inputs!$D$7)^AK$2))),(_xlfn.WEIBULL.DIST(AK$2,$M19,$L19,FALSE)*$U19*((1+Inputs!$D$7)^AK$2))),IF($N19=Lists!$K$3,IF($L19&lt;1,((($T19*(1-$F19)+$S19*(1-$G19))/$L19)*((1+Inputs!$D$7)^AK$2)),((INT(AK$2/$L19)-INT((AK$2-1)/$L19))*($T19*(1-$F19)+$S19*(1-$G19))*((1+Inputs!$D$7)^AK$2))),((_xlfn.WEIBULL.DIST(AK$2,$M19,$L19,FALSE)*($T19*(1-$F19)+$S19*(1-$G19))*((1+Inputs!$D$7)^AK$2))))))</f>
        <v>3.3967736487881028</v>
      </c>
      <c r="AL19" s="88">
        <f>$E19*IF(AL$2&gt;Inputs!$D$5,0,IF(AL$2&gt;VLOOKUP($H19,Lists!$P$3:$Q$7,2),IF($N19=Lists!$K$3,IF($L19&lt;1,(($U19/$L19)*((1+Inputs!$D$7)^AL$2)),((INT(AL$2/$L19)-INT((AL$2-1)/$L19))*$U19*((1+Inputs!$D$7)^AL$2))),(_xlfn.WEIBULL.DIST(AL$2,$M19,$L19,FALSE)*$U19*((1+Inputs!$D$7)^AL$2))),IF($N19=Lists!$K$3,IF($L19&lt;1,((($T19*(1-$F19)+$S19*(1-$G19))/$L19)*((1+Inputs!$D$7)^AL$2)),((INT(AL$2/$L19)-INT((AL$2-1)/$L19))*($T19*(1-$F19)+$S19*(1-$G19))*((1+Inputs!$D$7)^AL$2))),((_xlfn.WEIBULL.DIST(AL$2,$M19,$L19,FALSE)*($T19*(1-$F19)+$S19*(1-$G19))*((1+Inputs!$D$7)^AL$2))))))</f>
        <v>4.0198453653266926</v>
      </c>
      <c r="AM19" s="88">
        <f>$E19*IF(AM$2&gt;Inputs!$D$5,0,IF(AM$2&gt;VLOOKUP($H19,Lists!$P$3:$Q$7,2),IF($N19=Lists!$K$3,IF($L19&lt;1,(($U19/$L19)*((1+Inputs!$D$7)^AM$2)),((INT(AM$2/$L19)-INT((AM$2-1)/$L19))*$U19*((1+Inputs!$D$7)^AM$2))),(_xlfn.WEIBULL.DIST(AM$2,$M19,$L19,FALSE)*$U19*((1+Inputs!$D$7)^AM$2))),IF($N19=Lists!$K$3,IF($L19&lt;1,((($T19*(1-$F19)+$S19*(1-$G19))/$L19)*((1+Inputs!$D$7)^AM$2)),((INT(AM$2/$L19)-INT((AM$2-1)/$L19))*($T19*(1-$F19)+$S19*(1-$G19))*((1+Inputs!$D$7)^AM$2))),((_xlfn.WEIBULL.DIST(AM$2,$M19,$L19,FALSE)*($T19*(1-$F19)+$S19*(1-$G19))*((1+Inputs!$D$7)^AM$2))))))</f>
        <v>4.6697964228711992</v>
      </c>
      <c r="AN19" s="88">
        <f>$E19*IF(AN$2&gt;Inputs!$D$5,0,IF(AN$2&gt;VLOOKUP($H19,Lists!$P$3:$Q$7,2),IF($N19=Lists!$K$3,IF($L19&lt;1,(($U19/$L19)*((1+Inputs!$D$7)^AN$2)),((INT(AN$2/$L19)-INT((AN$2-1)/$L19))*$U19*((1+Inputs!$D$7)^AN$2))),(_xlfn.WEIBULL.DIST(AN$2,$M19,$L19,FALSE)*$U19*((1+Inputs!$D$7)^AN$2))),IF($N19=Lists!$K$3,IF($L19&lt;1,((($T19*(1-$F19)+$S19*(1-$G19))/$L19)*((1+Inputs!$D$7)^AN$2)),((INT(AN$2/$L19)-INT((AN$2-1)/$L19))*($T19*(1-$F19)+$S19*(1-$G19))*((1+Inputs!$D$7)^AN$2))),((_xlfn.WEIBULL.DIST(AN$2,$M19,$L19,FALSE)*($T19*(1-$F19)+$S19*(1-$G19))*((1+Inputs!$D$7)^AN$2))))))</f>
        <v>5.3341313462544431</v>
      </c>
      <c r="AO19" s="88">
        <f>$E19*IF(AO$2&gt;Inputs!$D$5,0,IF(AO$2&gt;VLOOKUP($H19,Lists!$P$3:$Q$7,2),IF($N19=Lists!$K$3,IF($L19&lt;1,(($U19/$L19)*((1+Inputs!$D$7)^AO$2)),((INT(AO$2/$L19)-INT((AO$2-1)/$L19))*$U19*((1+Inputs!$D$7)^AO$2))),(_xlfn.WEIBULL.DIST(AO$2,$M19,$L19,FALSE)*$U19*((1+Inputs!$D$7)^AO$2))),IF($N19=Lists!$K$3,IF($L19&lt;1,((($T19*(1-$F19)+$S19*(1-$G19))/$L19)*((1+Inputs!$D$7)^AO$2)),((INT(AO$2/$L19)-INT((AO$2-1)/$L19))*($T19*(1-$F19)+$S19*(1-$G19))*((1+Inputs!$D$7)^AO$2))),((_xlfn.WEIBULL.DIST(AO$2,$M19,$L19,FALSE)*($T19*(1-$F19)+$S19*(1-$G19))*((1+Inputs!$D$7)^AO$2))))))</f>
        <v>5.9986258624385798</v>
      </c>
      <c r="AP19" s="88">
        <f>$E19*IF(AP$2&gt;Inputs!$D$5,0,IF(AP$2&gt;VLOOKUP($H19,Lists!$P$3:$Q$7,2),IF($N19=Lists!$K$3,IF($L19&lt;1,(($U19/$L19)*((1+Inputs!$D$7)^AP$2)),((INT(AP$2/$L19)-INT((AP$2-1)/$L19))*$U19*((1+Inputs!$D$7)^AP$2))),(_xlfn.WEIBULL.DIST(AP$2,$M19,$L19,FALSE)*$U19*((1+Inputs!$D$7)^AP$2))),IF($N19=Lists!$K$3,IF($L19&lt;1,((($T19*(1-$F19)+$S19*(1-$G19))/$L19)*((1+Inputs!$D$7)^AP$2)),((INT(AP$2/$L19)-INT((AP$2-1)/$L19))*($T19*(1-$F19)+$S19*(1-$G19))*((1+Inputs!$D$7)^AP$2))),((_xlfn.WEIBULL.DIST(AP$2,$M19,$L19,FALSE)*($T19*(1-$F19)+$S19*(1-$G19))*((1+Inputs!$D$7)^AP$2))))))</f>
        <v>6.6476678216306668</v>
      </c>
      <c r="AQ19" s="88">
        <f>$E19*IF(AQ$2&gt;Inputs!$D$5,0,IF(AQ$2&gt;VLOOKUP($H19,Lists!$P$3:$Q$7,2),IF($N19=Lists!$K$3,IF($L19&lt;1,(($U19/$L19)*((1+Inputs!$D$7)^AQ$2)),((INT(AQ$2/$L19)-INT((AQ$2-1)/$L19))*$U19*((1+Inputs!$D$7)^AQ$2))),(_xlfn.WEIBULL.DIST(AQ$2,$M19,$L19,FALSE)*$U19*((1+Inputs!$D$7)^AQ$2))),IF($N19=Lists!$K$3,IF($L19&lt;1,((($T19*(1-$F19)+$S19*(1-$G19))/$L19)*((1+Inputs!$D$7)^AQ$2)),((INT(AQ$2/$L19)-INT((AQ$2-1)/$L19))*($T19*(1-$F19)+$S19*(1-$G19))*((1+Inputs!$D$7)^AQ$2))),((_xlfn.WEIBULL.DIST(AQ$2,$M19,$L19,FALSE)*($T19*(1-$F19)+$S19*(1-$G19))*((1+Inputs!$D$7)^AQ$2))))))</f>
        <v>7.2647214910258313</v>
      </c>
      <c r="AR19" s="88">
        <f>$E19*IF(AR$2&gt;Inputs!$D$5,0,IF(AR$2&gt;VLOOKUP($H19,Lists!$P$3:$Q$7,2),IF($N19=Lists!$K$3,IF($L19&lt;1,(($U19/$L19)*((1+Inputs!$D$7)^AR$2)),((INT(AR$2/$L19)-INT((AR$2-1)/$L19))*$U19*((1+Inputs!$D$7)^AR$2))),(_xlfn.WEIBULL.DIST(AR$2,$M19,$L19,FALSE)*$U19*((1+Inputs!$D$7)^AR$2))),IF($N19=Lists!$K$3,IF($L19&lt;1,((($T19*(1-$F19)+$S19*(1-$G19))/$L19)*((1+Inputs!$D$7)^AR$2)),((INT(AR$2/$L19)-INT((AR$2-1)/$L19))*($T19*(1-$F19)+$S19*(1-$G19))*((1+Inputs!$D$7)^AR$2))),((_xlfn.WEIBULL.DIST(AR$2,$M19,$L19,FALSE)*($T19*(1-$F19)+$S19*(1-$G19))*((1+Inputs!$D$7)^AR$2))))))</f>
        <v>7.832904729075147</v>
      </c>
      <c r="AS19" s="88">
        <f>$E19*IF(AS$2&gt;Inputs!$D$5,0,IF(AS$2&gt;VLOOKUP($H19,Lists!$P$3:$Q$7,2),IF($N19=Lists!$K$3,IF($L19&lt;1,(($U19/$L19)*((1+Inputs!$D$7)^AS$2)),((INT(AS$2/$L19)-INT((AS$2-1)/$L19))*$U19*((1+Inputs!$D$7)^AS$2))),(_xlfn.WEIBULL.DIST(AS$2,$M19,$L19,FALSE)*$U19*((1+Inputs!$D$7)^AS$2))),IF($N19=Lists!$K$3,IF($L19&lt;1,((($T19*(1-$F19)+$S19*(1-$G19))/$L19)*((1+Inputs!$D$7)^AS$2)),((INT(AS$2/$L19)-INT((AS$2-1)/$L19))*($T19*(1-$F19)+$S19*(1-$G19))*((1+Inputs!$D$7)^AS$2))),((_xlfn.WEIBULL.DIST(AS$2,$M19,$L19,FALSE)*($T19*(1-$F19)+$S19*(1-$G19))*((1+Inputs!$D$7)^AS$2))))))</f>
        <v>8.335658234120217</v>
      </c>
      <c r="AT19" s="88">
        <f>$E19*IF(AT$2&gt;Inputs!$D$5,0,IF(AT$2&gt;VLOOKUP($H19,Lists!$P$3:$Q$7,2),IF($N19=Lists!$K$3,IF($L19&lt;1,(($U19/$L19)*((1+Inputs!$D$7)^AT$2)),((INT(AT$2/$L19)-INT((AT$2-1)/$L19))*$U19*((1+Inputs!$D$7)^AT$2))),(_xlfn.WEIBULL.DIST(AT$2,$M19,$L19,FALSE)*$U19*((1+Inputs!$D$7)^AT$2))),IF($N19=Lists!$K$3,IF($L19&lt;1,((($T19*(1-$F19)+$S19*(1-$G19))/$L19)*((1+Inputs!$D$7)^AT$2)),((INT(AT$2/$L19)-INT((AT$2-1)/$L19))*($T19*(1-$F19)+$S19*(1-$G19))*((1+Inputs!$D$7)^AT$2))),((_xlfn.WEIBULL.DIST(AT$2,$M19,$L19,FALSE)*($T19*(1-$F19)+$S19*(1-$G19))*((1+Inputs!$D$7)^AT$2))))))</f>
        <v>8.7574757011795352</v>
      </c>
      <c r="AU19" s="88">
        <f>$E19*IF(AU$2&gt;Inputs!$D$5,0,IF(AU$2&gt;VLOOKUP($H19,Lists!$P$3:$Q$7,2),IF($N19=Lists!$K$3,IF($L19&lt;1,(($U19/$L19)*((1+Inputs!$D$7)^AU$2)),((INT(AU$2/$L19)-INT((AU$2-1)/$L19))*$U19*((1+Inputs!$D$7)^AU$2))),(_xlfn.WEIBULL.DIST(AU$2,$M19,$L19,FALSE)*$U19*((1+Inputs!$D$7)^AU$2))),IF($N19=Lists!$K$3,IF($L19&lt;1,((($T19*(1-$F19)+$S19*(1-$G19))/$L19)*((1+Inputs!$D$7)^AU$2)),((INT(AU$2/$L19)-INT((AU$2-1)/$L19))*($T19*(1-$F19)+$S19*(1-$G19))*((1+Inputs!$D$7)^AU$2))),((_xlfn.WEIBULL.DIST(AU$2,$M19,$L19,FALSE)*($T19*(1-$F19)+$S19*(1-$G19))*((1+Inputs!$D$7)^AU$2))))))</f>
        <v>9.0846543699552758</v>
      </c>
      <c r="AV19" s="88">
        <f>$E19*IF(AV$2&gt;Inputs!$D$5,0,IF(AV$2&gt;VLOOKUP($H19,Lists!$P$3:$Q$7,2),IF($N19=Lists!$K$3,IF($L19&lt;1,(($U19/$L19)*((1+Inputs!$D$7)^AV$2)),((INT(AV$2/$L19)-INT((AV$2-1)/$L19))*$U19*((1+Inputs!$D$7)^AV$2))),(_xlfn.WEIBULL.DIST(AV$2,$M19,$L19,FALSE)*$U19*((1+Inputs!$D$7)^AV$2))),IF($N19=Lists!$K$3,IF($L19&lt;1,((($T19*(1-$F19)+$S19*(1-$G19))/$L19)*((1+Inputs!$D$7)^AV$2)),((INT(AV$2/$L19)-INT((AV$2-1)/$L19))*($T19*(1-$F19)+$S19*(1-$G19))*((1+Inputs!$D$7)^AV$2))),((_xlfn.WEIBULL.DIST(AV$2,$M19,$L19,FALSE)*($T19*(1-$F19)+$S19*(1-$G19))*((1+Inputs!$D$7)^AV$2))))))</f>
        <v>9.3060182605713315</v>
      </c>
      <c r="AW19" s="88">
        <f>$E19*IF(AW$2&gt;Inputs!$D$5,0,IF(AW$2&gt;VLOOKUP($H19,Lists!$P$3:$Q$7,2),IF($N19=Lists!$K$3,IF($L19&lt;1,(($U19/$L19)*((1+Inputs!$D$7)^AW$2)),((INT(AW$2/$L19)-INT((AW$2-1)/$L19))*$U19*((1+Inputs!$D$7)^AW$2))),(_xlfn.WEIBULL.DIST(AW$2,$M19,$L19,FALSE)*$U19*((1+Inputs!$D$7)^AW$2))),IF($N19=Lists!$K$3,IF($L19&lt;1,((($T19*(1-$F19)+$S19*(1-$G19))/$L19)*((1+Inputs!$D$7)^AW$2)),((INT(AW$2/$L19)-INT((AW$2-1)/$L19))*($T19*(1-$F19)+$S19*(1-$G19))*((1+Inputs!$D$7)^AW$2))),((_xlfn.WEIBULL.DIST(AW$2,$M19,$L19,FALSE)*($T19*(1-$F19)+$S19*(1-$G19))*((1+Inputs!$D$7)^AW$2))))))</f>
        <v>9.4135624956063513</v>
      </c>
      <c r="AX19" s="88">
        <f>$E19*IF(AX$2&gt;Inputs!$D$5,0,IF(AX$2&gt;VLOOKUP($H19,Lists!$P$3:$Q$7,2),IF($N19=Lists!$K$3,IF($L19&lt;1,(($U19/$L19)*((1+Inputs!$D$7)^AX$2)),((INT(AX$2/$L19)-INT((AX$2-1)/$L19))*$U19*((1+Inputs!$D$7)^AX$2))),(_xlfn.WEIBULL.DIST(AX$2,$M19,$L19,FALSE)*$U19*((1+Inputs!$D$7)^AX$2))),IF($N19=Lists!$K$3,IF($L19&lt;1,((($T19*(1-$F19)+$S19*(1-$G19))/$L19)*((1+Inputs!$D$7)^AX$2)),((INT(AX$2/$L19)-INT((AX$2-1)/$L19))*($T19*(1-$F19)+$S19*(1-$G19))*((1+Inputs!$D$7)^AX$2))),((_xlfn.WEIBULL.DIST(AX$2,$M19,$L19,FALSE)*($T19*(1-$F19)+$S19*(1-$G19))*((1+Inputs!$D$7)^AX$2))))))</f>
        <v>9.4029674368425109</v>
      </c>
      <c r="AY19" s="88">
        <f>$E19*IF(AY$2&gt;Inputs!$D$5,0,IF(AY$2&gt;VLOOKUP($H19,Lists!$P$3:$Q$7,2),IF($N19=Lists!$K$3,IF($L19&lt;1,(($U19/$L19)*((1+Inputs!$D$7)^AY$2)),((INT(AY$2/$L19)-INT((AY$2-1)/$L19))*$U19*((1+Inputs!$D$7)^AY$2))),(_xlfn.WEIBULL.DIST(AY$2,$M19,$L19,FALSE)*$U19*((1+Inputs!$D$7)^AY$2))),IF($N19=Lists!$K$3,IF($L19&lt;1,((($T19*(1-$F19)+$S19*(1-$G19))/$L19)*((1+Inputs!$D$7)^AY$2)),((INT(AY$2/$L19)-INT((AY$2-1)/$L19))*($T19*(1-$F19)+$S19*(1-$G19))*((1+Inputs!$D$7)^AY$2))),((_xlfn.WEIBULL.DIST(AY$2,$M19,$L19,FALSE)*($T19*(1-$F19)+$S19*(1-$G19))*((1+Inputs!$D$7)^AY$2))))))</f>
        <v>9.2739365159397114</v>
      </c>
      <c r="AZ19" s="88">
        <f>$E19*IF(AZ$2&gt;Inputs!$D$5,0,IF(AZ$2&gt;VLOOKUP($H19,Lists!$P$3:$Q$7,2),IF($N19=Lists!$K$3,IF($L19&lt;1,(($U19/$L19)*((1+Inputs!$D$7)^AZ$2)),((INT(AZ$2/$L19)-INT((AZ$2-1)/$L19))*$U19*((1+Inputs!$D$7)^AZ$2))),(_xlfn.WEIBULL.DIST(AZ$2,$M19,$L19,FALSE)*$U19*((1+Inputs!$D$7)^AZ$2))),IF($N19=Lists!$K$3,IF($L19&lt;1,((($T19*(1-$F19)+$S19*(1-$G19))/$L19)*((1+Inputs!$D$7)^AZ$2)),((INT(AZ$2/$L19)-INT((AZ$2-1)/$L19))*($T19*(1-$F19)+$S19*(1-$G19))*((1+Inputs!$D$7)^AZ$2))),((_xlfn.WEIBULL.DIST(AZ$2,$M19,$L19,FALSE)*($T19*(1-$F19)+$S19*(1-$G19))*((1+Inputs!$D$7)^AZ$2))))))</f>
        <v>0</v>
      </c>
      <c r="BA19" s="88">
        <f>$E19*IF(BA$2&gt;Inputs!$D$5,0,IF(BA$2&gt;VLOOKUP($H19,Lists!$P$3:$Q$7,2),IF($N19=Lists!$K$3,IF($L19&lt;1,(($U19/$L19)*((1+Inputs!$D$7)^BA$2)),((INT(BA$2/$L19)-INT((BA$2-1)/$L19))*$U19*((1+Inputs!$D$7)^BA$2))),(_xlfn.WEIBULL.DIST(BA$2,$M19,$L19,FALSE)*$U19*((1+Inputs!$D$7)^BA$2))),IF($N19=Lists!$K$3,IF($L19&lt;1,((($T19*(1-$F19)+$S19*(1-$G19))/$L19)*((1+Inputs!$D$7)^BA$2)),((INT(BA$2/$L19)-INT((BA$2-1)/$L19))*($T19*(1-$F19)+$S19*(1-$G19))*((1+Inputs!$D$7)^BA$2))),((_xlfn.WEIBULL.DIST(BA$2,$M19,$L19,FALSE)*($T19*(1-$F19)+$S19*(1-$G19))*((1+Inputs!$D$7)^BA$2))))))</f>
        <v>0</v>
      </c>
      <c r="BB19" s="88">
        <f>$E19*IF(BB$2&gt;Inputs!$D$5,0,IF(BB$2&gt;VLOOKUP($H19,Lists!$P$3:$Q$7,2),IF($N19=Lists!$K$3,IF($L19&lt;1,(($U19/$L19)*((1+Inputs!$D$7)^BB$2)),((INT(BB$2/$L19)-INT((BB$2-1)/$L19))*$U19*((1+Inputs!$D$7)^BB$2))),(_xlfn.WEIBULL.DIST(BB$2,$M19,$L19,FALSE)*$U19*((1+Inputs!$D$7)^BB$2))),IF($N19=Lists!$K$3,IF($L19&lt;1,((($T19*(1-$F19)+$S19*(1-$G19))/$L19)*((1+Inputs!$D$7)^BB$2)),((INT(BB$2/$L19)-INT((BB$2-1)/$L19))*($T19*(1-$F19)+$S19*(1-$G19))*((1+Inputs!$D$7)^BB$2))),((_xlfn.WEIBULL.DIST(BB$2,$M19,$L19,FALSE)*($T19*(1-$F19)+$S19*(1-$G19))*((1+Inputs!$D$7)^BB$2))))))</f>
        <v>0</v>
      </c>
      <c r="BC19" s="88">
        <f>$E19*IF(BC$2&gt;Inputs!$D$5,0,IF(BC$2&gt;VLOOKUP($H19,Lists!$P$3:$Q$7,2),IF($N19=Lists!$K$3,IF($L19&lt;1,(($U19/$L19)*((1+Inputs!$D$7)^BC$2)),((INT(BC$2/$L19)-INT((BC$2-1)/$L19))*$U19*((1+Inputs!$D$7)^BC$2))),(_xlfn.WEIBULL.DIST(BC$2,$M19,$L19,FALSE)*$U19*((1+Inputs!$D$7)^BC$2))),IF($N19=Lists!$K$3,IF($L19&lt;1,((($T19*(1-$F19)+$S19*(1-$G19))/$L19)*((1+Inputs!$D$7)^BC$2)),((INT(BC$2/$L19)-INT((BC$2-1)/$L19))*($T19*(1-$F19)+$S19*(1-$G19))*((1+Inputs!$D$7)^BC$2))),((_xlfn.WEIBULL.DIST(BC$2,$M19,$L19,FALSE)*($T19*(1-$F19)+$S19*(1-$G19))*((1+Inputs!$D$7)^BC$2))))))</f>
        <v>0</v>
      </c>
      <c r="BD19" s="88">
        <f>$E19*IF(BD$2&gt;Inputs!$D$5,0,IF(BD$2&gt;VLOOKUP($H19,Lists!$P$3:$Q$7,2),IF($N19=Lists!$K$3,IF($L19&lt;1,(($U19/$L19)*((1+Inputs!$D$7)^BD$2)),((INT(BD$2/$L19)-INT((BD$2-1)/$L19))*$U19*((1+Inputs!$D$7)^BD$2))),(_xlfn.WEIBULL.DIST(BD$2,$M19,$L19,FALSE)*$U19*((1+Inputs!$D$7)^BD$2))),IF($N19=Lists!$K$3,IF($L19&lt;1,((($T19*(1-$F19)+$S19*(1-$G19))/$L19)*((1+Inputs!$D$7)^BD$2)),((INT(BD$2/$L19)-INT((BD$2-1)/$L19))*($T19*(1-$F19)+$S19*(1-$G19))*((1+Inputs!$D$7)^BD$2))),((_xlfn.WEIBULL.DIST(BD$2,$M19,$L19,FALSE)*($T19*(1-$F19)+$S19*(1-$G19))*((1+Inputs!$D$7)^BD$2))))))</f>
        <v>0</v>
      </c>
      <c r="BE19" s="88">
        <f>$E19*IF(BE$2&gt;Inputs!$D$5,0,IF(BE$2&gt;VLOOKUP($H19,Lists!$P$3:$Q$7,2),IF($N19=Lists!$K$3,IF($L19&lt;1,(($U19/$L19)*((1+Inputs!$D$7)^BE$2)),((INT(BE$2/$L19)-INT((BE$2-1)/$L19))*$U19*((1+Inputs!$D$7)^BE$2))),(_xlfn.WEIBULL.DIST(BE$2,$M19,$L19,FALSE)*$U19*((1+Inputs!$D$7)^BE$2))),IF($N19=Lists!$K$3,IF($L19&lt;1,((($T19*(1-$F19)+$S19*(1-$G19))/$L19)*((1+Inputs!$D$7)^BE$2)),((INT(BE$2/$L19)-INT((BE$2-1)/$L19))*($T19*(1-$F19)+$S19*(1-$G19))*((1+Inputs!$D$7)^BE$2))),((_xlfn.WEIBULL.DIST(BE$2,$M19,$L19,FALSE)*($T19*(1-$F19)+$S19*(1-$G19))*((1+Inputs!$D$7)^BE$2))))))</f>
        <v>0</v>
      </c>
      <c r="BF19" s="88">
        <f>$E19*IF(BF$2&gt;Inputs!$D$5,0,IF(BF$2&gt;VLOOKUP($H19,Lists!$P$3:$Q$7,2),IF($N19=Lists!$K$3,IF($L19&lt;1,(($U19/$L19)*((1+Inputs!$D$7)^BF$2)),((INT(BF$2/$L19)-INT((BF$2-1)/$L19))*$U19*((1+Inputs!$D$7)^BF$2))),(_xlfn.WEIBULL.DIST(BF$2,$M19,$L19,FALSE)*$U19*((1+Inputs!$D$7)^BF$2))),IF($N19=Lists!$K$3,IF($L19&lt;1,((($T19*(1-$F19)+$S19*(1-$G19))/$L19)*((1+Inputs!$D$7)^BF$2)),((INT(BF$2/$L19)-INT((BF$2-1)/$L19))*($T19*(1-$F19)+$S19*(1-$G19))*((1+Inputs!$D$7)^BF$2))),((_xlfn.WEIBULL.DIST(BF$2,$M19,$L19,FALSE)*($T19*(1-$F19)+$S19*(1-$G19))*((1+Inputs!$D$7)^BF$2))))))</f>
        <v>0</v>
      </c>
      <c r="BG19" s="88">
        <f>$E19*IF(BG$2&gt;Inputs!$D$5,0,IF(BG$2&gt;VLOOKUP($H19,Lists!$P$3:$Q$7,2),IF($N19=Lists!$K$3,IF($L19&lt;1,(($U19/$L19)*((1+Inputs!$D$7)^BG$2)),((INT(BG$2/$L19)-INT((BG$2-1)/$L19))*$U19*((1+Inputs!$D$7)^BG$2))),(_xlfn.WEIBULL.DIST(BG$2,$M19,$L19,FALSE)*$U19*((1+Inputs!$D$7)^BG$2))),IF($N19=Lists!$K$3,IF($L19&lt;1,((($T19*(1-$F19)+$S19*(1-$G19))/$L19)*((1+Inputs!$D$7)^BG$2)),((INT(BG$2/$L19)-INT((BG$2-1)/$L19))*($T19*(1-$F19)+$S19*(1-$G19))*((1+Inputs!$D$7)^BG$2))),((_xlfn.WEIBULL.DIST(BG$2,$M19,$L19,FALSE)*($T19*(1-$F19)+$S19*(1-$G19))*((1+Inputs!$D$7)^BG$2))))))</f>
        <v>0</v>
      </c>
      <c r="BH19" s="88">
        <f>$E19*IF(BH$2&gt;Inputs!$D$5,0,IF(BH$2&gt;VLOOKUP($H19,Lists!$P$3:$Q$7,2),IF($N19=Lists!$K$3,IF($L19&lt;1,(($U19/$L19)*((1+Inputs!$D$7)^BH$2)),((INT(BH$2/$L19)-INT((BH$2-1)/$L19))*$U19*((1+Inputs!$D$7)^BH$2))),(_xlfn.WEIBULL.DIST(BH$2,$M19,$L19,FALSE)*$U19*((1+Inputs!$D$7)^BH$2))),IF($N19=Lists!$K$3,IF($L19&lt;1,((($T19*(1-$F19)+$S19*(1-$G19))/$L19)*((1+Inputs!$D$7)^BH$2)),((INT(BH$2/$L19)-INT((BH$2-1)/$L19))*($T19*(1-$F19)+$S19*(1-$G19))*((1+Inputs!$D$7)^BH$2))),((_xlfn.WEIBULL.DIST(BH$2,$M19,$L19,FALSE)*($T19*(1-$F19)+$S19*(1-$G19))*((1+Inputs!$D$7)^BH$2))))))</f>
        <v>0</v>
      </c>
      <c r="BI19" s="88">
        <f>$E19*IF(BI$2&gt;Inputs!$D$5,0,IF(BI$2&gt;VLOOKUP($H19,Lists!$P$3:$Q$7,2),IF($N19=Lists!$K$3,IF($L19&lt;1,(($U19/$L19)*((1+Inputs!$D$7)^BI$2)),((INT(BI$2/$L19)-INT((BI$2-1)/$L19))*$U19*((1+Inputs!$D$7)^BI$2))),(_xlfn.WEIBULL.DIST(BI$2,$M19,$L19,FALSE)*$U19*((1+Inputs!$D$7)^BI$2))),IF($N19=Lists!$K$3,IF($L19&lt;1,((($T19*(1-$F19)+$S19*(1-$G19))/$L19)*((1+Inputs!$D$7)^BI$2)),((INT(BI$2/$L19)-INT((BI$2-1)/$L19))*($T19*(1-$F19)+$S19*(1-$G19))*((1+Inputs!$D$7)^BI$2))),((_xlfn.WEIBULL.DIST(BI$2,$M19,$L19,FALSE)*($T19*(1-$F19)+$S19*(1-$G19))*((1+Inputs!$D$7)^BI$2))))))</f>
        <v>0</v>
      </c>
      <c r="BJ19" s="88">
        <f>$E19*IF(BJ$2&gt;Inputs!$D$5,0,IF(BJ$2&gt;VLOOKUP($H19,Lists!$P$3:$Q$7,2),IF($N19=Lists!$K$3,IF($L19&lt;1,(($U19/$L19)*((1+Inputs!$D$7)^BJ$2)),((INT(BJ$2/$L19)-INT((BJ$2-1)/$L19))*$U19*((1+Inputs!$D$7)^BJ$2))),(_xlfn.WEIBULL.DIST(BJ$2,$M19,$L19,FALSE)*$U19*((1+Inputs!$D$7)^BJ$2))),IF($N19=Lists!$K$3,IF($L19&lt;1,((($T19*(1-$F19)+$S19*(1-$G19))/$L19)*((1+Inputs!$D$7)^BJ$2)),((INT(BJ$2/$L19)-INT((BJ$2-1)/$L19))*($T19*(1-$F19)+$S19*(1-$G19))*((1+Inputs!$D$7)^BJ$2))),((_xlfn.WEIBULL.DIST(BJ$2,$M19,$L19,FALSE)*($T19*(1-$F19)+$S19*(1-$G19))*((1+Inputs!$D$7)^BJ$2))))))</f>
        <v>0</v>
      </c>
      <c r="BK19" s="88">
        <f>$E19*IF(BK$2&gt;Inputs!$D$5,0,IF(BK$2&gt;VLOOKUP($H19,Lists!$P$3:$Q$7,2),IF($N19=Lists!$K$3,IF($L19&lt;1,(($U19/$L19)*((1+Inputs!$D$7)^BK$2)),((INT(BK$2/$L19)-INT((BK$2-1)/$L19))*$U19*((1+Inputs!$D$7)^BK$2))),(_xlfn.WEIBULL.DIST(BK$2,$M19,$L19,FALSE)*$U19*((1+Inputs!$D$7)^BK$2))),IF($N19=Lists!$K$3,IF($L19&lt;1,((($T19*(1-$F19)+$S19*(1-$G19))/$L19)*((1+Inputs!$D$7)^BK$2)),((INT(BK$2/$L19)-INT((BK$2-1)/$L19))*($T19*(1-$F19)+$S19*(1-$G19))*((1+Inputs!$D$7)^BK$2))),((_xlfn.WEIBULL.DIST(BK$2,$M19,$L19,FALSE)*($T19*(1-$F19)+$S19*(1-$G19))*((1+Inputs!$D$7)^BK$2))))))</f>
        <v>0</v>
      </c>
      <c r="BL19" s="88">
        <f>$E19*IF(BL$2&gt;Inputs!$D$5,0,IF(BL$2&gt;VLOOKUP($H19,Lists!$P$3:$Q$7,2),IF($N19=Lists!$K$3,IF($L19&lt;1,(($U19/$L19)*((1+Inputs!$D$7)^BL$2)),((INT(BL$2/$L19)-INT((BL$2-1)/$L19))*$U19*((1+Inputs!$D$7)^BL$2))),(_xlfn.WEIBULL.DIST(BL$2,$M19,$L19,FALSE)*$U19*((1+Inputs!$D$7)^BL$2))),IF($N19=Lists!$K$3,IF($L19&lt;1,((($T19*(1-$F19)+$S19*(1-$G19))/$L19)*((1+Inputs!$D$7)^BL$2)),((INT(BL$2/$L19)-INT((BL$2-1)/$L19))*($T19*(1-$F19)+$S19*(1-$G19))*((1+Inputs!$D$7)^BL$2))),((_xlfn.WEIBULL.DIST(BL$2,$M19,$L19,FALSE)*($T19*(1-$F19)+$S19*(1-$G19))*((1+Inputs!$D$7)^BL$2))))))</f>
        <v>0</v>
      </c>
      <c r="BM19" s="88">
        <f>$E19*IF(BM$2&gt;Inputs!$D$5,0,IF(BM$2&gt;VLOOKUP($H19,Lists!$P$3:$Q$7,2),IF($N19=Lists!$K$3,IF($L19&lt;1,(($U19/$L19)*((1+Inputs!$D$7)^BM$2)),((INT(BM$2/$L19)-INT((BM$2-1)/$L19))*$U19*((1+Inputs!$D$7)^BM$2))),(_xlfn.WEIBULL.DIST(BM$2,$M19,$L19,FALSE)*$U19*((1+Inputs!$D$7)^BM$2))),IF($N19=Lists!$K$3,IF($L19&lt;1,((($T19*(1-$F19)+$S19*(1-$G19))/$L19)*((1+Inputs!$D$7)^BM$2)),((INT(BM$2/$L19)-INT((BM$2-1)/$L19))*($T19*(1-$F19)+$S19*(1-$G19))*((1+Inputs!$D$7)^BM$2))),((_xlfn.WEIBULL.DIST(BM$2,$M19,$L19,FALSE)*($T19*(1-$F19)+$S19*(1-$G19))*((1+Inputs!$D$7)^BM$2))))))</f>
        <v>0</v>
      </c>
      <c r="BN19" s="88">
        <f>$E19*IF(BN$2&gt;Inputs!$D$5,0,IF(BN$2&gt;VLOOKUP($H19,Lists!$P$3:$Q$7,2),IF($N19=Lists!$K$3,IF($L19&lt;1,(($U19/$L19)*((1+Inputs!$D$7)^BN$2)),((INT(BN$2/$L19)-INT((BN$2-1)/$L19))*$U19*((1+Inputs!$D$7)^BN$2))),(_xlfn.WEIBULL.DIST(BN$2,$M19,$L19,FALSE)*$U19*((1+Inputs!$D$7)^BN$2))),IF($N19=Lists!$K$3,IF($L19&lt;1,((($T19*(1-$F19)+$S19*(1-$G19))/$L19)*((1+Inputs!$D$7)^BN$2)),((INT(BN$2/$L19)-INT((BN$2-1)/$L19))*($T19*(1-$F19)+$S19*(1-$G19))*((1+Inputs!$D$7)^BN$2))),((_xlfn.WEIBULL.DIST(BN$2,$M19,$L19,FALSE)*($T19*(1-$F19)+$S19*(1-$G19))*((1+Inputs!$D$7)^BN$2))))))</f>
        <v>0</v>
      </c>
      <c r="BO19" s="64">
        <f>NPV(Inputs!$D$6,BQ19:DD19)</f>
        <v>104.63256835651158</v>
      </c>
      <c r="BP19" s="67">
        <f t="shared" si="6"/>
        <v>4.9349827472989873E-5</v>
      </c>
      <c r="BQ19" s="88">
        <f>MAX(AA19,($E19*IF(BQ$2&gt;Inputs!$D$5,0,IF(BQ$2&gt;VLOOKUP($H19,Lists!$P$3:$Q$7,2),IF($N19=Lists!$K$3,IF($L19&lt;1,(($U19/$L19)*((1+Inputs!$D$7)^BQ$2)),((INT(BQ$2/$L19)-INT((BQ$2-1)/$L19))*$U19*((1+Inputs!$D$7)^BQ$2))),(Inputs!$D$8^((1-_xlfn.WEIBULL.DIST(BQ$2,$M19,$L19,FALSE))/_xlfn.WEIBULL.DIST(BQ$2,$M19,$L19,FALSE))*$U19*((1+Inputs!$D$7)^BQ$2))),IF($N19=Lists!$K$3,IF($L19&lt;1,((($T19*(1-$F19)+$S19*(1-$G19))/$L19)*((1+Inputs!$D$7)^BQ$2)),((INT(BQ$2/$L19)-INT((BQ$2-1)/$L19))*($T19*(1-$F19)+$S19*(1-$G19))*((1+Inputs!$D$7)^BQ$2))),((Inputs!$D$8^((1-_xlfn.WEIBULL.DIST(BQ$2,$M19,$L19,FALSE))/_xlfn.WEIBULL.DIST(BQ$2,$M19,$L19,FALSE))*($T19*(1-$F19)+$S19*(1-$G19))*((1+Inputs!$D$7)^BQ$2))))))))</f>
        <v>0</v>
      </c>
      <c r="BR19" s="88">
        <f>MAX(AB19,($E19*IF(BR$2&gt;Inputs!$D$5,0,IF(BR$2&gt;VLOOKUP($H19,Lists!$P$3:$Q$7,2),IF($N19=Lists!$K$3,IF($L19&lt;1,(($U19/$L19)*((1+Inputs!$D$7)^BR$2)),((INT(BR$2/$L19)-INT((BR$2-1)/$L19))*$U19*((1+Inputs!$D$7)^BR$2))),(Inputs!$D$8^((1-_xlfn.WEIBULL.DIST(BR$2,$M19,$L19,FALSE))/_xlfn.WEIBULL.DIST(BR$2,$M19,$L19,FALSE))*$U19*((1+Inputs!$D$7)^BR$2))),IF($N19=Lists!$K$3,IF($L19&lt;1,((($T19*(1-$F19)+$S19*(1-$G19))/$L19)*((1+Inputs!$D$7)^BR$2)),((INT(BR$2/$L19)-INT((BR$2-1)/$L19))*($T19*(1-$F19)+$S19*(1-$G19))*((1+Inputs!$D$7)^BR$2))),((Inputs!$D$8^((1-_xlfn.WEIBULL.DIST(BR$2,$M19,$L19,FALSE))/_xlfn.WEIBULL.DIST(BR$2,$M19,$L19,FALSE))*($T19*(1-$F19)+$S19*(1-$G19))*((1+Inputs!$D$7)^BR$2))))))))</f>
        <v>0.10226152506248841</v>
      </c>
      <c r="BS19" s="88">
        <f>MAX(AC19,($E19*IF(BS$2&gt;Inputs!$D$5,0,IF(BS$2&gt;VLOOKUP($H19,Lists!$P$3:$Q$7,2),IF($N19=Lists!$K$3,IF($L19&lt;1,(($U19/$L19)*((1+Inputs!$D$7)^BS$2)),((INT(BS$2/$L19)-INT((BS$2-1)/$L19))*$U19*((1+Inputs!$D$7)^BS$2))),(Inputs!$D$8^((1-_xlfn.WEIBULL.DIST(BS$2,$M19,$L19,FALSE))/_xlfn.WEIBULL.DIST(BS$2,$M19,$L19,FALSE))*$U19*((1+Inputs!$D$7)^BS$2))),IF($N19=Lists!$K$3,IF($L19&lt;1,((($T19*(1-$F19)+$S19*(1-$G19))/$L19)*((1+Inputs!$D$7)^BS$2)),((INT(BS$2/$L19)-INT((BS$2-1)/$L19))*($T19*(1-$F19)+$S19*(1-$G19))*((1+Inputs!$D$7)^BS$2))),((Inputs!$D$8^((1-_xlfn.WEIBULL.DIST(BS$2,$M19,$L19,FALSE))/_xlfn.WEIBULL.DIST(BS$2,$M19,$L19,FALSE))*($T19*(1-$F19)+$S19*(1-$G19))*((1+Inputs!$D$7)^BS$2))))))))</f>
        <v>0.23440499017791552</v>
      </c>
      <c r="BT19" s="88">
        <f>MAX(AD19,($E19*IF(BT$2&gt;Inputs!$D$5,0,IF(BT$2&gt;VLOOKUP($H19,Lists!$P$3:$Q$7,2),IF($N19=Lists!$K$3,IF($L19&lt;1,(($U19/$L19)*((1+Inputs!$D$7)^BT$2)),((INT(BT$2/$L19)-INT((BT$2-1)/$L19))*$U19*((1+Inputs!$D$7)^BT$2))),(Inputs!$D$8^((1-_xlfn.WEIBULL.DIST(BT$2,$M19,$L19,FALSE))/_xlfn.WEIBULL.DIST(BT$2,$M19,$L19,FALSE))*$U19*((1+Inputs!$D$7)^BT$2))),IF($N19=Lists!$K$3,IF($L19&lt;1,((($T19*(1-$F19)+$S19*(1-$G19))/$L19)*((1+Inputs!$D$7)^BT$2)),((INT(BT$2/$L19)-INT((BT$2-1)/$L19))*($T19*(1-$F19)+$S19*(1-$G19))*((1+Inputs!$D$7)^BT$2))),((Inputs!$D$8^((1-_xlfn.WEIBULL.DIST(BT$2,$M19,$L19,FALSE))/_xlfn.WEIBULL.DIST(BT$2,$M19,$L19,FALSE))*($T19*(1-$F19)+$S19*(1-$G19))*((1+Inputs!$D$7)^BT$2))))))))</f>
        <v>0.42404904420221878</v>
      </c>
      <c r="BU19" s="88">
        <f>MAX(AE19,($E19*IF(BU$2&gt;Inputs!$D$5,0,IF(BU$2&gt;VLOOKUP($H19,Lists!$P$3:$Q$7,2),IF($N19=Lists!$K$3,IF($L19&lt;1,(($U19/$L19)*((1+Inputs!$D$7)^BU$2)),((INT(BU$2/$L19)-INT((BU$2-1)/$L19))*$U19*((1+Inputs!$D$7)^BU$2))),(Inputs!$D$8^((1-_xlfn.WEIBULL.DIST(BU$2,$M19,$L19,FALSE))/_xlfn.WEIBULL.DIST(BU$2,$M19,$L19,FALSE))*$U19*((1+Inputs!$D$7)^BU$2))),IF($N19=Lists!$K$3,IF($L19&lt;1,((($T19*(1-$F19)+$S19*(1-$G19))/$L19)*((1+Inputs!$D$7)^BU$2)),((INT(BU$2/$L19)-INT((BU$2-1)/$L19))*($T19*(1-$F19)+$S19*(1-$G19))*((1+Inputs!$D$7)^BU$2))),((Inputs!$D$8^((1-_xlfn.WEIBULL.DIST(BU$2,$M19,$L19,FALSE))/_xlfn.WEIBULL.DIST(BU$2,$M19,$L19,FALSE))*($T19*(1-$F19)+$S19*(1-$G19))*((1+Inputs!$D$7)^BU$2))))))))</f>
        <v>0.67319487457015603</v>
      </c>
      <c r="BV19" s="88">
        <f>MAX(AF19,($E19*IF(BV$2&gt;Inputs!$D$5,0,IF(BV$2&gt;VLOOKUP($H19,Lists!$P$3:$Q$7,2),IF($N19=Lists!$K$3,IF($L19&lt;1,(($U19/$L19)*((1+Inputs!$D$7)^BV$2)),((INT(BV$2/$L19)-INT((BV$2-1)/$L19))*$U19*((1+Inputs!$D$7)^BV$2))),(Inputs!$D$8^((1-_xlfn.WEIBULL.DIST(BV$2,$M19,$L19,FALSE))/_xlfn.WEIBULL.DIST(BV$2,$M19,$L19,FALSE))*$U19*((1+Inputs!$D$7)^BV$2))),IF($N19=Lists!$K$3,IF($L19&lt;1,((($T19*(1-$F19)+$S19*(1-$G19))/$L19)*((1+Inputs!$D$7)^BV$2)),((INT(BV$2/$L19)-INT((BV$2-1)/$L19))*($T19*(1-$F19)+$S19*(1-$G19))*((1+Inputs!$D$7)^BV$2))),((Inputs!$D$8^((1-_xlfn.WEIBULL.DIST(BV$2,$M19,$L19,FALSE))/_xlfn.WEIBULL.DIST(BV$2,$M19,$L19,FALSE))*($T19*(1-$F19)+$S19*(1-$G19))*((1+Inputs!$D$7)^BV$2))))))))</f>
        <v>0.98304666361860826</v>
      </c>
      <c r="BW19" s="88">
        <f>MAX(AG19,($E19*IF(BW$2&gt;Inputs!$D$5,0,IF(BW$2&gt;VLOOKUP($H19,Lists!$P$3:$Q$7,2),IF($N19=Lists!$K$3,IF($L19&lt;1,(($U19/$L19)*((1+Inputs!$D$7)^BW$2)),((INT(BW$2/$L19)-INT((BW$2-1)/$L19))*$U19*((1+Inputs!$D$7)^BW$2))),(Inputs!$D$8^((1-_xlfn.WEIBULL.DIST(BW$2,$M19,$L19,FALSE))/_xlfn.WEIBULL.DIST(BW$2,$M19,$L19,FALSE))*$U19*((1+Inputs!$D$7)^BW$2))),IF($N19=Lists!$K$3,IF($L19&lt;1,((($T19*(1-$F19)+$S19*(1-$G19))/$L19)*((1+Inputs!$D$7)^BW$2)),((INT(BW$2/$L19)-INT((BW$2-1)/$L19))*($T19*(1-$F19)+$S19*(1-$G19))*((1+Inputs!$D$7)^BW$2))),((Inputs!$D$8^((1-_xlfn.WEIBULL.DIST(BW$2,$M19,$L19,FALSE))/_xlfn.WEIBULL.DIST(BW$2,$M19,$L19,FALSE))*($T19*(1-$F19)+$S19*(1-$G19))*((1+Inputs!$D$7)^BW$2))))))))</f>
        <v>1.3537483460909288</v>
      </c>
      <c r="BX19" s="88">
        <f>MAX(AH19,($E19*IF(BX$2&gt;Inputs!$D$5,0,IF(BX$2&gt;VLOOKUP($H19,Lists!$P$3:$Q$7,2),IF($N19=Lists!$K$3,IF($L19&lt;1,(($U19/$L19)*((1+Inputs!$D$7)^BX$2)),((INT(BX$2/$L19)-INT((BX$2-1)/$L19))*$U19*((1+Inputs!$D$7)^BX$2))),(Inputs!$D$8^((1-_xlfn.WEIBULL.DIST(BX$2,$M19,$L19,FALSE))/_xlfn.WEIBULL.DIST(BX$2,$M19,$L19,FALSE))*$U19*((1+Inputs!$D$7)^BX$2))),IF($N19=Lists!$K$3,IF($L19&lt;1,((($T19*(1-$F19)+$S19*(1-$G19))/$L19)*((1+Inputs!$D$7)^BX$2)),((INT(BX$2/$L19)-INT((BX$2-1)/$L19))*($T19*(1-$F19)+$S19*(1-$G19))*((1+Inputs!$D$7)^BX$2))),((Inputs!$D$8^((1-_xlfn.WEIBULL.DIST(BX$2,$M19,$L19,FALSE))/_xlfn.WEIBULL.DIST(BX$2,$M19,$L19,FALSE))*($T19*(1-$F19)+$S19*(1-$G19))*((1+Inputs!$D$7)^BX$2))))))))</f>
        <v>1.7841225221832189</v>
      </c>
      <c r="BY19" s="88">
        <f>MAX(AI19,($E19*IF(BY$2&gt;Inputs!$D$5,0,IF(BY$2&gt;VLOOKUP($H19,Lists!$P$3:$Q$7,2),IF($N19=Lists!$K$3,IF($L19&lt;1,(($U19/$L19)*((1+Inputs!$D$7)^BY$2)),((INT(BY$2/$L19)-INT((BY$2-1)/$L19))*$U19*((1+Inputs!$D$7)^BY$2))),(Inputs!$D$8^((1-_xlfn.WEIBULL.DIST(BY$2,$M19,$L19,FALSE))/_xlfn.WEIBULL.DIST(BY$2,$M19,$L19,FALSE))*$U19*((1+Inputs!$D$7)^BY$2))),IF($N19=Lists!$K$3,IF($L19&lt;1,((($T19*(1-$F19)+$S19*(1-$G19))/$L19)*((1+Inputs!$D$7)^BY$2)),((INT(BY$2/$L19)-INT((BY$2-1)/$L19))*($T19*(1-$F19)+$S19*(1-$G19))*((1+Inputs!$D$7)^BY$2))),((Inputs!$D$8^((1-_xlfn.WEIBULL.DIST(BY$2,$M19,$L19,FALSE))/_xlfn.WEIBULL.DIST(BY$2,$M19,$L19,FALSE))*($T19*(1-$F19)+$S19*(1-$G19))*((1+Inputs!$D$7)^BY$2))))))))</f>
        <v>2.2714250475176314</v>
      </c>
      <c r="BZ19" s="88">
        <f>MAX(AJ19,($E19*IF(BZ$2&gt;Inputs!$D$5,0,IF(BZ$2&gt;VLOOKUP($H19,Lists!$P$3:$Q$7,2),IF($N19=Lists!$K$3,IF($L19&lt;1,(($U19/$L19)*((1+Inputs!$D$7)^BZ$2)),((INT(BZ$2/$L19)-INT((BZ$2-1)/$L19))*$U19*((1+Inputs!$D$7)^BZ$2))),(Inputs!$D$8^((1-_xlfn.WEIBULL.DIST(BZ$2,$M19,$L19,FALSE))/_xlfn.WEIBULL.DIST(BZ$2,$M19,$L19,FALSE))*$U19*((1+Inputs!$D$7)^BZ$2))),IF($N19=Lists!$K$3,IF($L19&lt;1,((($T19*(1-$F19)+$S19*(1-$G19))/$L19)*((1+Inputs!$D$7)^BZ$2)),((INT(BZ$2/$L19)-INT((BZ$2-1)/$L19))*($T19*(1-$F19)+$S19*(1-$G19))*((1+Inputs!$D$7)^BZ$2))),((Inputs!$D$8^((1-_xlfn.WEIBULL.DIST(BZ$2,$M19,$L19,FALSE))/_xlfn.WEIBULL.DIST(BZ$2,$M19,$L19,FALSE))*($T19*(1-$F19)+$S19*(1-$G19))*((1+Inputs!$D$7)^BZ$2))))))))</f>
        <v>2.8111314888645174</v>
      </c>
      <c r="CA19" s="88">
        <f>MAX(AK19,($E19*IF(CA$2&gt;Inputs!$D$5,0,IF(CA$2&gt;VLOOKUP($H19,Lists!$P$3:$Q$7,2),IF($N19=Lists!$K$3,IF($L19&lt;1,(($U19/$L19)*((1+Inputs!$D$7)^CA$2)),((INT(CA$2/$L19)-INT((CA$2-1)/$L19))*$U19*((1+Inputs!$D$7)^CA$2))),(Inputs!$D$8^((1-_xlfn.WEIBULL.DIST(CA$2,$M19,$L19,FALSE))/_xlfn.WEIBULL.DIST(CA$2,$M19,$L19,FALSE))*$U19*((1+Inputs!$D$7)^CA$2))),IF($N19=Lists!$K$3,IF($L19&lt;1,((($T19*(1-$F19)+$S19*(1-$G19))/$L19)*((1+Inputs!$D$7)^CA$2)),((INT(CA$2/$L19)-INT((CA$2-1)/$L19))*($T19*(1-$F19)+$S19*(1-$G19))*((1+Inputs!$D$7)^CA$2))),((Inputs!$D$8^((1-_xlfn.WEIBULL.DIST(CA$2,$M19,$L19,FALSE))/_xlfn.WEIBULL.DIST(CA$2,$M19,$L19,FALSE))*($T19*(1-$F19)+$S19*(1-$G19))*((1+Inputs!$D$7)^CA$2))))))))</f>
        <v>3.4743235922583566</v>
      </c>
      <c r="CB19" s="88">
        <f>MAX(AL19,($E19*IF(CB$2&gt;Inputs!$D$5,0,IF(CB$2&gt;VLOOKUP($H19,Lists!$P$3:$Q$7,2),IF($N19=Lists!$K$3,IF($L19&lt;1,(($U19/$L19)*((1+Inputs!$D$7)^CB$2)),((INT(CB$2/$L19)-INT((CB$2-1)/$L19))*$U19*((1+Inputs!$D$7)^CB$2))),(Inputs!$D$8^((1-_xlfn.WEIBULL.DIST(CB$2,$M19,$L19,FALSE))/_xlfn.WEIBULL.DIST(CB$2,$M19,$L19,FALSE))*$U19*((1+Inputs!$D$7)^CB$2))),IF($N19=Lists!$K$3,IF($L19&lt;1,((($T19*(1-$F19)+$S19*(1-$G19))/$L19)*((1+Inputs!$D$7)^CB$2)),((INT(CB$2/$L19)-INT((CB$2-1)/$L19))*($T19*(1-$F19)+$S19*(1-$G19))*((1+Inputs!$D$7)^CB$2))),((Inputs!$D$8^((1-_xlfn.WEIBULL.DIST(CB$2,$M19,$L19,FALSE))/_xlfn.WEIBULL.DIST(CB$2,$M19,$L19,FALSE))*($T19*(1-$F19)+$S19*(1-$G19))*((1+Inputs!$D$7)^CB$2))))))))</f>
        <v>6.0795024345239757</v>
      </c>
      <c r="CC19" s="88">
        <f>MAX(AM19,($E19*IF(CC$2&gt;Inputs!$D$5,0,IF(CC$2&gt;VLOOKUP($H19,Lists!$P$3:$Q$7,2),IF($N19=Lists!$K$3,IF($L19&lt;1,(($U19/$L19)*((1+Inputs!$D$7)^CC$2)),((INT(CC$2/$L19)-INT((CC$2-1)/$L19))*$U19*((1+Inputs!$D$7)^CC$2))),(Inputs!$D$8^((1-_xlfn.WEIBULL.DIST(CC$2,$M19,$L19,FALSE))/_xlfn.WEIBULL.DIST(CC$2,$M19,$L19,FALSE))*$U19*((1+Inputs!$D$7)^CC$2))),IF($N19=Lists!$K$3,IF($L19&lt;1,((($T19*(1-$F19)+$S19*(1-$G19))/$L19)*((1+Inputs!$D$7)^CC$2)),((INT(CC$2/$L19)-INT((CC$2-1)/$L19))*($T19*(1-$F19)+$S19*(1-$G19))*((1+Inputs!$D$7)^CC$2))),((Inputs!$D$8^((1-_xlfn.WEIBULL.DIST(CC$2,$M19,$L19,FALSE))/_xlfn.WEIBULL.DIST(CC$2,$M19,$L19,FALSE))*($T19*(1-$F19)+$S19*(1-$G19))*((1+Inputs!$D$7)^CC$2))))))))</f>
        <v>9.3517721466977495</v>
      </c>
      <c r="CD19" s="88">
        <f>MAX(AN19,($E19*IF(CD$2&gt;Inputs!$D$5,0,IF(CD$2&gt;VLOOKUP($H19,Lists!$P$3:$Q$7,2),IF($N19=Lists!$K$3,IF($L19&lt;1,(($U19/$L19)*((1+Inputs!$D$7)^CD$2)),((INT(CD$2/$L19)-INT((CD$2-1)/$L19))*$U19*((1+Inputs!$D$7)^CD$2))),(Inputs!$D$8^((1-_xlfn.WEIBULL.DIST(CD$2,$M19,$L19,FALSE))/_xlfn.WEIBULL.DIST(CD$2,$M19,$L19,FALSE))*$U19*((1+Inputs!$D$7)^CD$2))),IF($N19=Lists!$K$3,IF($L19&lt;1,((($T19*(1-$F19)+$S19*(1-$G19))/$L19)*((1+Inputs!$D$7)^CD$2)),((INT(CD$2/$L19)-INT((CD$2-1)/$L19))*($T19*(1-$F19)+$S19*(1-$G19))*((1+Inputs!$D$7)^CD$2))),((Inputs!$D$8^((1-_xlfn.WEIBULL.DIST(CD$2,$M19,$L19,FALSE))/_xlfn.WEIBULL.DIST(CD$2,$M19,$L19,FALSE))*($T19*(1-$F19)+$S19*(1-$G19))*((1+Inputs!$D$7)^CD$2))))))))</f>
        <v>13.091213778830314</v>
      </c>
      <c r="CE19" s="88">
        <f>MAX(AO19,($E19*IF(CE$2&gt;Inputs!$D$5,0,IF(CE$2&gt;VLOOKUP($H19,Lists!$P$3:$Q$7,2),IF($N19=Lists!$K$3,IF($L19&lt;1,(($U19/$L19)*((1+Inputs!$D$7)^CE$2)),((INT(CE$2/$L19)-INT((CE$2-1)/$L19))*$U19*((1+Inputs!$D$7)^CE$2))),(Inputs!$D$8^((1-_xlfn.WEIBULL.DIST(CE$2,$M19,$L19,FALSE))/_xlfn.WEIBULL.DIST(CE$2,$M19,$L19,FALSE))*$U19*((1+Inputs!$D$7)^CE$2))),IF($N19=Lists!$K$3,IF($L19&lt;1,((($T19*(1-$F19)+$S19*(1-$G19))/$L19)*((1+Inputs!$D$7)^CE$2)),((INT(CE$2/$L19)-INT((CE$2-1)/$L19))*($T19*(1-$F19)+$S19*(1-$G19))*((1+Inputs!$D$7)^CE$2))),((Inputs!$D$8^((1-_xlfn.WEIBULL.DIST(CE$2,$M19,$L19,FALSE))/_xlfn.WEIBULL.DIST(CE$2,$M19,$L19,FALSE))*($T19*(1-$F19)+$S19*(1-$G19))*((1+Inputs!$D$7)^CE$2))))))))</f>
        <v>17.070265338332955</v>
      </c>
      <c r="CF19" s="88">
        <f>MAX(AP19,($E19*IF(CF$2&gt;Inputs!$D$5,0,IF(CF$2&gt;VLOOKUP($H19,Lists!$P$3:$Q$7,2),IF($N19=Lists!$K$3,IF($L19&lt;1,(($U19/$L19)*((1+Inputs!$D$7)^CF$2)),((INT(CF$2/$L19)-INT((CF$2-1)/$L19))*$U19*((1+Inputs!$D$7)^CF$2))),(Inputs!$D$8^((1-_xlfn.WEIBULL.DIST(CF$2,$M19,$L19,FALSE))/_xlfn.WEIBULL.DIST(CF$2,$M19,$L19,FALSE))*$U19*((1+Inputs!$D$7)^CF$2))),IF($N19=Lists!$K$3,IF($L19&lt;1,((($T19*(1-$F19)+$S19*(1-$G19))/$L19)*((1+Inputs!$D$7)^CF$2)),((INT(CF$2/$L19)-INT((CF$2-1)/$L19))*($T19*(1-$F19)+$S19*(1-$G19))*((1+Inputs!$D$7)^CF$2))),((Inputs!$D$8^((1-_xlfn.WEIBULL.DIST(CF$2,$M19,$L19,FALSE))/_xlfn.WEIBULL.DIST(CF$2,$M19,$L19,FALSE))*($T19*(1-$F19)+$S19*(1-$G19))*((1+Inputs!$D$7)^CF$2))))))))</f>
        <v>21.068752347816549</v>
      </c>
      <c r="CG19" s="88">
        <f>MAX(AQ19,($E19*IF(CG$2&gt;Inputs!$D$5,0,IF(CG$2&gt;VLOOKUP($H19,Lists!$P$3:$Q$7,2),IF($N19=Lists!$K$3,IF($L19&lt;1,(($U19/$L19)*((1+Inputs!$D$7)^CG$2)),((INT(CG$2/$L19)-INT((CG$2-1)/$L19))*$U19*((1+Inputs!$D$7)^CG$2))),(Inputs!$D$8^((1-_xlfn.WEIBULL.DIST(CG$2,$M19,$L19,FALSE))/_xlfn.WEIBULL.DIST(CG$2,$M19,$L19,FALSE))*$U19*((1+Inputs!$D$7)^CG$2))),IF($N19=Lists!$K$3,IF($L19&lt;1,((($T19*(1-$F19)+$S19*(1-$G19))/$L19)*((1+Inputs!$D$7)^CG$2)),((INT(CG$2/$L19)-INT((CG$2-1)/$L19))*($T19*(1-$F19)+$S19*(1-$G19))*((1+Inputs!$D$7)^CG$2))),((Inputs!$D$8^((1-_xlfn.WEIBULL.DIST(CG$2,$M19,$L19,FALSE))/_xlfn.WEIBULL.DIST(CG$2,$M19,$L19,FALSE))*($T19*(1-$F19)+$S19*(1-$G19))*((1+Inputs!$D$7)^CG$2))))))))</f>
        <v>24.891285963691573</v>
      </c>
      <c r="CH19" s="88">
        <f>MAX(AR19,($E19*IF(CH$2&gt;Inputs!$D$5,0,IF(CH$2&gt;VLOOKUP($H19,Lists!$P$3:$Q$7,2),IF($N19=Lists!$K$3,IF($L19&lt;1,(($U19/$L19)*((1+Inputs!$D$7)^CH$2)),((INT(CH$2/$L19)-INT((CH$2-1)/$L19))*$U19*((1+Inputs!$D$7)^CH$2))),(Inputs!$D$8^((1-_xlfn.WEIBULL.DIST(CH$2,$M19,$L19,FALSE))/_xlfn.WEIBULL.DIST(CH$2,$M19,$L19,FALSE))*$U19*((1+Inputs!$D$7)^CH$2))),IF($N19=Lists!$K$3,IF($L19&lt;1,((($T19*(1-$F19)+$S19*(1-$G19))/$L19)*((1+Inputs!$D$7)^CH$2)),((INT(CH$2/$L19)-INT((CH$2-1)/$L19))*($T19*(1-$F19)+$S19*(1-$G19))*((1+Inputs!$D$7)^CH$2))),((Inputs!$D$8^((1-_xlfn.WEIBULL.DIST(CH$2,$M19,$L19,FALSE))/_xlfn.WEIBULL.DIST(CH$2,$M19,$L19,FALSE))*($T19*(1-$F19)+$S19*(1-$G19))*((1+Inputs!$D$7)^CH$2))))))))</f>
        <v>28.372621467038854</v>
      </c>
      <c r="CI19" s="88">
        <f>MAX(AS19,($E19*IF(CI$2&gt;Inputs!$D$5,0,IF(CI$2&gt;VLOOKUP($H19,Lists!$P$3:$Q$7,2),IF($N19=Lists!$K$3,IF($L19&lt;1,(($U19/$L19)*((1+Inputs!$D$7)^CI$2)),((INT(CI$2/$L19)-INT((CI$2-1)/$L19))*$U19*((1+Inputs!$D$7)^CI$2))),(Inputs!$D$8^((1-_xlfn.WEIBULL.DIST(CI$2,$M19,$L19,FALSE))/_xlfn.WEIBULL.DIST(CI$2,$M19,$L19,FALSE))*$U19*((1+Inputs!$D$7)^CI$2))),IF($N19=Lists!$K$3,IF($L19&lt;1,((($T19*(1-$F19)+$S19*(1-$G19))/$L19)*((1+Inputs!$D$7)^CI$2)),((INT(CI$2/$L19)-INT((CI$2-1)/$L19))*($T19*(1-$F19)+$S19*(1-$G19))*((1+Inputs!$D$7)^CI$2))),((Inputs!$D$8^((1-_xlfn.WEIBULL.DIST(CI$2,$M19,$L19,FALSE))/_xlfn.WEIBULL.DIST(CI$2,$M19,$L19,FALSE))*($T19*(1-$F19)+$S19*(1-$G19))*((1+Inputs!$D$7)^CI$2))))))))</f>
        <v>31.376479959253373</v>
      </c>
      <c r="CJ19" s="88">
        <f>MAX(AT19,($E19*IF(CJ$2&gt;Inputs!$D$5,0,IF(CJ$2&gt;VLOOKUP($H19,Lists!$P$3:$Q$7,2),IF($N19=Lists!$K$3,IF($L19&lt;1,(($U19/$L19)*((1+Inputs!$D$7)^CJ$2)),((INT(CJ$2/$L19)-INT((CJ$2-1)/$L19))*$U19*((1+Inputs!$D$7)^CJ$2))),(Inputs!$D$8^((1-_xlfn.WEIBULL.DIST(CJ$2,$M19,$L19,FALSE))/_xlfn.WEIBULL.DIST(CJ$2,$M19,$L19,FALSE))*$U19*((1+Inputs!$D$7)^CJ$2))),IF($N19=Lists!$K$3,IF($L19&lt;1,((($T19*(1-$F19)+$S19*(1-$G19))/$L19)*((1+Inputs!$D$7)^CJ$2)),((INT(CJ$2/$L19)-INT((CJ$2-1)/$L19))*($T19*(1-$F19)+$S19*(1-$G19))*((1+Inputs!$D$7)^CJ$2))),((Inputs!$D$8^((1-_xlfn.WEIBULL.DIST(CJ$2,$M19,$L19,FALSE))/_xlfn.WEIBULL.DIST(CJ$2,$M19,$L19,FALSE))*($T19*(1-$F19)+$S19*(1-$G19))*((1+Inputs!$D$7)^CJ$2))))))))</f>
        <v>33.791758764690691</v>
      </c>
      <c r="CK19" s="88">
        <f>MAX(AU19,($E19*IF(CK$2&gt;Inputs!$D$5,0,IF(CK$2&gt;VLOOKUP($H19,Lists!$P$3:$Q$7,2),IF($N19=Lists!$K$3,IF($L19&lt;1,(($U19/$L19)*((1+Inputs!$D$7)^CK$2)),((INT(CK$2/$L19)-INT((CK$2-1)/$L19))*$U19*((1+Inputs!$D$7)^CK$2))),(Inputs!$D$8^((1-_xlfn.WEIBULL.DIST(CK$2,$M19,$L19,FALSE))/_xlfn.WEIBULL.DIST(CK$2,$M19,$L19,FALSE))*$U19*((1+Inputs!$D$7)^CK$2))),IF($N19=Lists!$K$3,IF($L19&lt;1,((($T19*(1-$F19)+$S19*(1-$G19))/$L19)*((1+Inputs!$D$7)^CK$2)),((INT(CK$2/$L19)-INT((CK$2-1)/$L19))*($T19*(1-$F19)+$S19*(1-$G19))*((1+Inputs!$D$7)^CK$2))),((Inputs!$D$8^((1-_xlfn.WEIBULL.DIST(CK$2,$M19,$L19,FALSE))/_xlfn.WEIBULL.DIST(CK$2,$M19,$L19,FALSE))*($T19*(1-$F19)+$S19*(1-$G19))*((1+Inputs!$D$7)^CK$2))))))))</f>
        <v>35.528549398459624</v>
      </c>
      <c r="CL19" s="88">
        <f>MAX(AV19,($E19*IF(CL$2&gt;Inputs!$D$5,0,IF(CL$2&gt;VLOOKUP($H19,Lists!$P$3:$Q$7,2),IF($N19=Lists!$K$3,IF($L19&lt;1,(($U19/$L19)*((1+Inputs!$D$7)^CL$2)),((INT(CL$2/$L19)-INT((CL$2-1)/$L19))*$U19*((1+Inputs!$D$7)^CL$2))),(Inputs!$D$8^((1-_xlfn.WEIBULL.DIST(CL$2,$M19,$L19,FALSE))/_xlfn.WEIBULL.DIST(CL$2,$M19,$L19,FALSE))*$U19*((1+Inputs!$D$7)^CL$2))),IF($N19=Lists!$K$3,IF($L19&lt;1,((($T19*(1-$F19)+$S19*(1-$G19))/$L19)*((1+Inputs!$D$7)^CL$2)),((INT(CL$2/$L19)-INT((CL$2-1)/$L19))*($T19*(1-$F19)+$S19*(1-$G19))*((1+Inputs!$D$7)^CL$2))),((Inputs!$D$8^((1-_xlfn.WEIBULL.DIST(CL$2,$M19,$L19,FALSE))/_xlfn.WEIBULL.DIST(CL$2,$M19,$L19,FALSE))*($T19*(1-$F19)+$S19*(1-$G19))*((1+Inputs!$D$7)^CL$2))))))))</f>
        <v>36.515351907801396</v>
      </c>
      <c r="CM19" s="88">
        <f>MAX(AW19,($E19*IF(CM$2&gt;Inputs!$D$5,0,IF(CM$2&gt;VLOOKUP($H19,Lists!$P$3:$Q$7,2),IF($N19=Lists!$K$3,IF($L19&lt;1,(($U19/$L19)*((1+Inputs!$D$7)^CM$2)),((INT(CM$2/$L19)-INT((CM$2-1)/$L19))*$U19*((1+Inputs!$D$7)^CM$2))),(Inputs!$D$8^((1-_xlfn.WEIBULL.DIST(CM$2,$M19,$L19,FALSE))/_xlfn.WEIBULL.DIST(CM$2,$M19,$L19,FALSE))*$U19*((1+Inputs!$D$7)^CM$2))),IF($N19=Lists!$K$3,IF($L19&lt;1,((($T19*(1-$F19)+$S19*(1-$G19))/$L19)*((1+Inputs!$D$7)^CM$2)),((INT(CM$2/$L19)-INT((CM$2-1)/$L19))*($T19*(1-$F19)+$S19*(1-$G19))*((1+Inputs!$D$7)^CM$2))),((Inputs!$D$8^((1-_xlfn.WEIBULL.DIST(CM$2,$M19,$L19,FALSE))/_xlfn.WEIBULL.DIST(CM$2,$M19,$L19,FALSE))*($T19*(1-$F19)+$S19*(1-$G19))*((1+Inputs!$D$7)^CM$2))))))))</f>
        <v>36.698284504289624</v>
      </c>
      <c r="CN19" s="88">
        <f>MAX(AX19,($E19*IF(CN$2&gt;Inputs!$D$5,0,IF(CN$2&gt;VLOOKUP($H19,Lists!$P$3:$Q$7,2),IF($N19=Lists!$K$3,IF($L19&lt;1,(($U19/$L19)*((1+Inputs!$D$7)^CN$2)),((INT(CN$2/$L19)-INT((CN$2-1)/$L19))*$U19*((1+Inputs!$D$7)^CN$2))),(Inputs!$D$8^((1-_xlfn.WEIBULL.DIST(CN$2,$M19,$L19,FALSE))/_xlfn.WEIBULL.DIST(CN$2,$M19,$L19,FALSE))*$U19*((1+Inputs!$D$7)^CN$2))),IF($N19=Lists!$K$3,IF($L19&lt;1,((($T19*(1-$F19)+$S19*(1-$G19))/$L19)*((1+Inputs!$D$7)^CN$2)),((INT(CN$2/$L19)-INT((CN$2-1)/$L19))*($T19*(1-$F19)+$S19*(1-$G19))*((1+Inputs!$D$7)^CN$2))),((Inputs!$D$8^((1-_xlfn.WEIBULL.DIST(CN$2,$M19,$L19,FALSE))/_xlfn.WEIBULL.DIST(CN$2,$M19,$L19,FALSE))*($T19*(1-$F19)+$S19*(1-$G19))*((1+Inputs!$D$7)^CN$2))))))))</f>
        <v>36.042785285928737</v>
      </c>
      <c r="CO19" s="88">
        <f>MAX(AY19,($E19*IF(CO$2&gt;Inputs!$D$5,0,IF(CO$2&gt;VLOOKUP($H19,Lists!$P$3:$Q$7,2),IF($N19=Lists!$K$3,IF($L19&lt;1,(($U19/$L19)*((1+Inputs!$D$7)^CO$2)),((INT(CO$2/$L19)-INT((CO$2-1)/$L19))*$U19*((1+Inputs!$D$7)^CO$2))),(Inputs!$D$8^((1-_xlfn.WEIBULL.DIST(CO$2,$M19,$L19,FALSE))/_xlfn.WEIBULL.DIST(CO$2,$M19,$L19,FALSE))*$U19*((1+Inputs!$D$7)^CO$2))),IF($N19=Lists!$K$3,IF($L19&lt;1,((($T19*(1-$F19)+$S19*(1-$G19))/$L19)*((1+Inputs!$D$7)^CO$2)),((INT(CO$2/$L19)-INT((CO$2-1)/$L19))*($T19*(1-$F19)+$S19*(1-$G19))*((1+Inputs!$D$7)^CO$2))),((Inputs!$D$8^((1-_xlfn.WEIBULL.DIST(CO$2,$M19,$L19,FALSE))/_xlfn.WEIBULL.DIST(CO$2,$M19,$L19,FALSE))*($T19*(1-$F19)+$S19*(1-$G19))*((1+Inputs!$D$7)^CO$2))))))))</f>
        <v>34.538126011639335</v>
      </c>
      <c r="CP19" s="88">
        <f>MAX(AZ19,($E19*IF(CP$2&gt;Inputs!$D$5,0,IF(CP$2&gt;VLOOKUP($H19,Lists!$P$3:$Q$7,2),IF($N19=Lists!$K$3,IF($L19&lt;1,(($U19/$L19)*((1+Inputs!$D$7)^CP$2)),((INT(CP$2/$L19)-INT((CP$2-1)/$L19))*$U19*((1+Inputs!$D$7)^CP$2))),(Inputs!$D$8^((1-_xlfn.WEIBULL.DIST(CP$2,$M19,$L19,FALSE))/_xlfn.WEIBULL.DIST(CP$2,$M19,$L19,FALSE))*$U19*((1+Inputs!$D$7)^CP$2))),IF($N19=Lists!$K$3,IF($L19&lt;1,((($T19*(1-$F19)+$S19*(1-$G19))/$L19)*((1+Inputs!$D$7)^CP$2)),((INT(CP$2/$L19)-INT((CP$2-1)/$L19))*($T19*(1-$F19)+$S19*(1-$G19))*((1+Inputs!$D$7)^CP$2))),((Inputs!$D$8^((1-_xlfn.WEIBULL.DIST(CP$2,$M19,$L19,FALSE))/_xlfn.WEIBULL.DIST(CP$2,$M19,$L19,FALSE))*($T19*(1-$F19)+$S19*(1-$G19))*((1+Inputs!$D$7)^CP$2))))))))</f>
        <v>0</v>
      </c>
      <c r="CQ19" s="88">
        <f>MAX(BA19,($E19*IF(CQ$2&gt;Inputs!$D$5,0,IF(CQ$2&gt;VLOOKUP($H19,Lists!$P$3:$Q$7,2),IF($N19=Lists!$K$3,IF($L19&lt;1,(($U19/$L19)*((1+Inputs!$D$7)^CQ$2)),((INT(CQ$2/$L19)-INT((CQ$2-1)/$L19))*$U19*((1+Inputs!$D$7)^CQ$2))),(Inputs!$D$8^((1-_xlfn.WEIBULL.DIST(CQ$2,$M19,$L19,FALSE))/_xlfn.WEIBULL.DIST(CQ$2,$M19,$L19,FALSE))*$U19*((1+Inputs!$D$7)^CQ$2))),IF($N19=Lists!$K$3,IF($L19&lt;1,((($T19*(1-$F19)+$S19*(1-$G19))/$L19)*((1+Inputs!$D$7)^CQ$2)),((INT(CQ$2/$L19)-INT((CQ$2-1)/$L19))*($T19*(1-$F19)+$S19*(1-$G19))*((1+Inputs!$D$7)^CQ$2))),((Inputs!$D$8^((1-_xlfn.WEIBULL.DIST(CQ$2,$M19,$L19,FALSE))/_xlfn.WEIBULL.DIST(CQ$2,$M19,$L19,FALSE))*($T19*(1-$F19)+$S19*(1-$G19))*((1+Inputs!$D$7)^CQ$2))))))))</f>
        <v>0</v>
      </c>
      <c r="CR19" s="88">
        <f>MAX(BB19,($E19*IF(CR$2&gt;Inputs!$D$5,0,IF(CR$2&gt;VLOOKUP($H19,Lists!$P$3:$Q$7,2),IF($N19=Lists!$K$3,IF($L19&lt;1,(($U19/$L19)*((1+Inputs!$D$7)^CR$2)),((INT(CR$2/$L19)-INT((CR$2-1)/$L19))*$U19*((1+Inputs!$D$7)^CR$2))),(Inputs!$D$8^((1-_xlfn.WEIBULL.DIST(CR$2,$M19,$L19,FALSE))/_xlfn.WEIBULL.DIST(CR$2,$M19,$L19,FALSE))*$U19*((1+Inputs!$D$7)^CR$2))),IF($N19=Lists!$K$3,IF($L19&lt;1,((($T19*(1-$F19)+$S19*(1-$G19))/$L19)*((1+Inputs!$D$7)^CR$2)),((INT(CR$2/$L19)-INT((CR$2-1)/$L19))*($T19*(1-$F19)+$S19*(1-$G19))*((1+Inputs!$D$7)^CR$2))),((Inputs!$D$8^((1-_xlfn.WEIBULL.DIST(CR$2,$M19,$L19,FALSE))/_xlfn.WEIBULL.DIST(CR$2,$M19,$L19,FALSE))*($T19*(1-$F19)+$S19*(1-$G19))*((1+Inputs!$D$7)^CR$2))))))))</f>
        <v>0</v>
      </c>
      <c r="CS19" s="88">
        <f>MAX(BC19,($E19*IF(CS$2&gt;Inputs!$D$5,0,IF(CS$2&gt;VLOOKUP($H19,Lists!$P$3:$Q$7,2),IF($N19=Lists!$K$3,IF($L19&lt;1,(($U19/$L19)*((1+Inputs!$D$7)^CS$2)),((INT(CS$2/$L19)-INT((CS$2-1)/$L19))*$U19*((1+Inputs!$D$7)^CS$2))),(Inputs!$D$8^((1-_xlfn.WEIBULL.DIST(CS$2,$M19,$L19,FALSE))/_xlfn.WEIBULL.DIST(CS$2,$M19,$L19,FALSE))*$U19*((1+Inputs!$D$7)^CS$2))),IF($N19=Lists!$K$3,IF($L19&lt;1,((($T19*(1-$F19)+$S19*(1-$G19))/$L19)*((1+Inputs!$D$7)^CS$2)),((INT(CS$2/$L19)-INT((CS$2-1)/$L19))*($T19*(1-$F19)+$S19*(1-$G19))*((1+Inputs!$D$7)^CS$2))),((Inputs!$D$8^((1-_xlfn.WEIBULL.DIST(CS$2,$M19,$L19,FALSE))/_xlfn.WEIBULL.DIST(CS$2,$M19,$L19,FALSE))*($T19*(1-$F19)+$S19*(1-$G19))*((1+Inputs!$D$7)^CS$2))))))))</f>
        <v>0</v>
      </c>
      <c r="CT19" s="88">
        <f>MAX(BD19,($E19*IF(CT$2&gt;Inputs!$D$5,0,IF(CT$2&gt;VLOOKUP($H19,Lists!$P$3:$Q$7,2),IF($N19=Lists!$K$3,IF($L19&lt;1,(($U19/$L19)*((1+Inputs!$D$7)^CT$2)),((INT(CT$2/$L19)-INT((CT$2-1)/$L19))*$U19*((1+Inputs!$D$7)^CT$2))),(Inputs!$D$8^((1-_xlfn.WEIBULL.DIST(CT$2,$M19,$L19,FALSE))/_xlfn.WEIBULL.DIST(CT$2,$M19,$L19,FALSE))*$U19*((1+Inputs!$D$7)^CT$2))),IF($N19=Lists!$K$3,IF($L19&lt;1,((($T19*(1-$F19)+$S19*(1-$G19))/$L19)*((1+Inputs!$D$7)^CT$2)),((INT(CT$2/$L19)-INT((CT$2-1)/$L19))*($T19*(1-$F19)+$S19*(1-$G19))*((1+Inputs!$D$7)^CT$2))),((Inputs!$D$8^((1-_xlfn.WEIBULL.DIST(CT$2,$M19,$L19,FALSE))/_xlfn.WEIBULL.DIST(CT$2,$M19,$L19,FALSE))*($T19*(1-$F19)+$S19*(1-$G19))*((1+Inputs!$D$7)^CT$2))))))))</f>
        <v>0</v>
      </c>
      <c r="CU19" s="88">
        <f>MAX(BE19,($E19*IF(CU$2&gt;Inputs!$D$5,0,IF(CU$2&gt;VLOOKUP($H19,Lists!$P$3:$Q$7,2),IF($N19=Lists!$K$3,IF($L19&lt;1,(($U19/$L19)*((1+Inputs!$D$7)^CU$2)),((INT(CU$2/$L19)-INT((CU$2-1)/$L19))*$U19*((1+Inputs!$D$7)^CU$2))),(Inputs!$D$8^((1-_xlfn.WEIBULL.DIST(CU$2,$M19,$L19,FALSE))/_xlfn.WEIBULL.DIST(CU$2,$M19,$L19,FALSE))*$U19*((1+Inputs!$D$7)^CU$2))),IF($N19=Lists!$K$3,IF($L19&lt;1,((($T19*(1-$F19)+$S19*(1-$G19))/$L19)*((1+Inputs!$D$7)^CU$2)),((INT(CU$2/$L19)-INT((CU$2-1)/$L19))*($T19*(1-$F19)+$S19*(1-$G19))*((1+Inputs!$D$7)^CU$2))),((Inputs!$D$8^((1-_xlfn.WEIBULL.DIST(CU$2,$M19,$L19,FALSE))/_xlfn.WEIBULL.DIST(CU$2,$M19,$L19,FALSE))*($T19*(1-$F19)+$S19*(1-$G19))*((1+Inputs!$D$7)^CU$2))))))))</f>
        <v>0</v>
      </c>
      <c r="CV19" s="88">
        <f>MAX(BF19,($E19*IF(CV$2&gt;Inputs!$D$5,0,IF(CV$2&gt;VLOOKUP($H19,Lists!$P$3:$Q$7,2),IF($N19=Lists!$K$3,IF($L19&lt;1,(($U19/$L19)*((1+Inputs!$D$7)^CV$2)),((INT(CV$2/$L19)-INT((CV$2-1)/$L19))*$U19*((1+Inputs!$D$7)^CV$2))),(Inputs!$D$8^((1-_xlfn.WEIBULL.DIST(CV$2,$M19,$L19,FALSE))/_xlfn.WEIBULL.DIST(CV$2,$M19,$L19,FALSE))*$U19*((1+Inputs!$D$7)^CV$2))),IF($N19=Lists!$K$3,IF($L19&lt;1,((($T19*(1-$F19)+$S19*(1-$G19))/$L19)*((1+Inputs!$D$7)^CV$2)),((INT(CV$2/$L19)-INT((CV$2-1)/$L19))*($T19*(1-$F19)+$S19*(1-$G19))*((1+Inputs!$D$7)^CV$2))),((Inputs!$D$8^((1-_xlfn.WEIBULL.DIST(CV$2,$M19,$L19,FALSE))/_xlfn.WEIBULL.DIST(CV$2,$M19,$L19,FALSE))*($T19*(1-$F19)+$S19*(1-$G19))*((1+Inputs!$D$7)^CV$2))))))))</f>
        <v>0</v>
      </c>
      <c r="CW19" s="88">
        <f>MAX(BG19,($E19*IF(CW$2&gt;Inputs!$D$5,0,IF(CW$2&gt;VLOOKUP($H19,Lists!$P$3:$Q$7,2),IF($N19=Lists!$K$3,IF($L19&lt;1,(($U19/$L19)*((1+Inputs!$D$7)^CW$2)),((INT(CW$2/$L19)-INT((CW$2-1)/$L19))*$U19*((1+Inputs!$D$7)^CW$2))),(Inputs!$D$8^((1-_xlfn.WEIBULL.DIST(CW$2,$M19,$L19,FALSE))/_xlfn.WEIBULL.DIST(CW$2,$M19,$L19,FALSE))*$U19*((1+Inputs!$D$7)^CW$2))),IF($N19=Lists!$K$3,IF($L19&lt;1,((($T19*(1-$F19)+$S19*(1-$G19))/$L19)*((1+Inputs!$D$7)^CW$2)),((INT(CW$2/$L19)-INT((CW$2-1)/$L19))*($T19*(1-$F19)+$S19*(1-$G19))*((1+Inputs!$D$7)^CW$2))),((Inputs!$D$8^((1-_xlfn.WEIBULL.DIST(CW$2,$M19,$L19,FALSE))/_xlfn.WEIBULL.DIST(CW$2,$M19,$L19,FALSE))*($T19*(1-$F19)+$S19*(1-$G19))*((1+Inputs!$D$7)^CW$2))))))))</f>
        <v>0</v>
      </c>
      <c r="CX19" s="88">
        <f>MAX(BH19,($E19*IF(CX$2&gt;Inputs!$D$5,0,IF(CX$2&gt;VLOOKUP($H19,Lists!$P$3:$Q$7,2),IF($N19=Lists!$K$3,IF($L19&lt;1,(($U19/$L19)*((1+Inputs!$D$7)^CX$2)),((INT(CX$2/$L19)-INT((CX$2-1)/$L19))*$U19*((1+Inputs!$D$7)^CX$2))),(Inputs!$D$8^((1-_xlfn.WEIBULL.DIST(CX$2,$M19,$L19,FALSE))/_xlfn.WEIBULL.DIST(CX$2,$M19,$L19,FALSE))*$U19*((1+Inputs!$D$7)^CX$2))),IF($N19=Lists!$K$3,IF($L19&lt;1,((($T19*(1-$F19)+$S19*(1-$G19))/$L19)*((1+Inputs!$D$7)^CX$2)),((INT(CX$2/$L19)-INT((CX$2-1)/$L19))*($T19*(1-$F19)+$S19*(1-$G19))*((1+Inputs!$D$7)^CX$2))),((Inputs!$D$8^((1-_xlfn.WEIBULL.DIST(CX$2,$M19,$L19,FALSE))/_xlfn.WEIBULL.DIST(CX$2,$M19,$L19,FALSE))*($T19*(1-$F19)+$S19*(1-$G19))*((1+Inputs!$D$7)^CX$2))))))))</f>
        <v>0</v>
      </c>
      <c r="CY19" s="88">
        <f>MAX(BI19,($E19*IF(CY$2&gt;Inputs!$D$5,0,IF(CY$2&gt;VLOOKUP($H19,Lists!$P$3:$Q$7,2),IF($N19=Lists!$K$3,IF($L19&lt;1,(($U19/$L19)*((1+Inputs!$D$7)^CY$2)),((INT(CY$2/$L19)-INT((CY$2-1)/$L19))*$U19*((1+Inputs!$D$7)^CY$2))),(Inputs!$D$8^((1-_xlfn.WEIBULL.DIST(CY$2,$M19,$L19,FALSE))/_xlfn.WEIBULL.DIST(CY$2,$M19,$L19,FALSE))*$U19*((1+Inputs!$D$7)^CY$2))),IF($N19=Lists!$K$3,IF($L19&lt;1,((($T19*(1-$F19)+$S19*(1-$G19))/$L19)*((1+Inputs!$D$7)^CY$2)),((INT(CY$2/$L19)-INT((CY$2-1)/$L19))*($T19*(1-$F19)+$S19*(1-$G19))*((1+Inputs!$D$7)^CY$2))),((Inputs!$D$8^((1-_xlfn.WEIBULL.DIST(CY$2,$M19,$L19,FALSE))/_xlfn.WEIBULL.DIST(CY$2,$M19,$L19,FALSE))*($T19*(1-$F19)+$S19*(1-$G19))*((1+Inputs!$D$7)^CY$2))))))))</f>
        <v>0</v>
      </c>
      <c r="CZ19" s="88">
        <f>MAX(BJ19,($E19*IF(CZ$2&gt;Inputs!$D$5,0,IF(CZ$2&gt;VLOOKUP($H19,Lists!$P$3:$Q$7,2),IF($N19=Lists!$K$3,IF($L19&lt;1,(($U19/$L19)*((1+Inputs!$D$7)^CZ$2)),((INT(CZ$2/$L19)-INT((CZ$2-1)/$L19))*$U19*((1+Inputs!$D$7)^CZ$2))),(Inputs!$D$8^((1-_xlfn.WEIBULL.DIST(CZ$2,$M19,$L19,FALSE))/_xlfn.WEIBULL.DIST(CZ$2,$M19,$L19,FALSE))*$U19*((1+Inputs!$D$7)^CZ$2))),IF($N19=Lists!$K$3,IF($L19&lt;1,((($T19*(1-$F19)+$S19*(1-$G19))/$L19)*((1+Inputs!$D$7)^CZ$2)),((INT(CZ$2/$L19)-INT((CZ$2-1)/$L19))*($T19*(1-$F19)+$S19*(1-$G19))*((1+Inputs!$D$7)^CZ$2))),((Inputs!$D$8^((1-_xlfn.WEIBULL.DIST(CZ$2,$M19,$L19,FALSE))/_xlfn.WEIBULL.DIST(CZ$2,$M19,$L19,FALSE))*($T19*(1-$F19)+$S19*(1-$G19))*((1+Inputs!$D$7)^CZ$2))))))))</f>
        <v>0</v>
      </c>
      <c r="DA19" s="88">
        <f>MAX(BK19,($E19*IF(DA$2&gt;Inputs!$D$5,0,IF(DA$2&gt;VLOOKUP($H19,Lists!$P$3:$Q$7,2),IF($N19=Lists!$K$3,IF($L19&lt;1,(($U19/$L19)*((1+Inputs!$D$7)^DA$2)),((INT(DA$2/$L19)-INT((DA$2-1)/$L19))*$U19*((1+Inputs!$D$7)^DA$2))),(Inputs!$D$8^((1-_xlfn.WEIBULL.DIST(DA$2,$M19,$L19,FALSE))/_xlfn.WEIBULL.DIST(DA$2,$M19,$L19,FALSE))*$U19*((1+Inputs!$D$7)^DA$2))),IF($N19=Lists!$K$3,IF($L19&lt;1,((($T19*(1-$F19)+$S19*(1-$G19))/$L19)*((1+Inputs!$D$7)^DA$2)),((INT(DA$2/$L19)-INT((DA$2-1)/$L19))*($T19*(1-$F19)+$S19*(1-$G19))*((1+Inputs!$D$7)^DA$2))),((Inputs!$D$8^((1-_xlfn.WEIBULL.DIST(DA$2,$M19,$L19,FALSE))/_xlfn.WEIBULL.DIST(DA$2,$M19,$L19,FALSE))*($T19*(1-$F19)+$S19*(1-$G19))*((1+Inputs!$D$7)^DA$2))))))))</f>
        <v>0</v>
      </c>
      <c r="DB19" s="88">
        <f>MAX(BL19,($E19*IF(DB$2&gt;Inputs!$D$5,0,IF(DB$2&gt;VLOOKUP($H19,Lists!$P$3:$Q$7,2),IF($N19=Lists!$K$3,IF($L19&lt;1,(($U19/$L19)*((1+Inputs!$D$7)^DB$2)),((INT(DB$2/$L19)-INT((DB$2-1)/$L19))*$U19*((1+Inputs!$D$7)^DB$2))),(Inputs!$D$8^((1-_xlfn.WEIBULL.DIST(DB$2,$M19,$L19,FALSE))/_xlfn.WEIBULL.DIST(DB$2,$M19,$L19,FALSE))*$U19*((1+Inputs!$D$7)^DB$2))),IF($N19=Lists!$K$3,IF($L19&lt;1,((($T19*(1-$F19)+$S19*(1-$G19))/$L19)*((1+Inputs!$D$7)^DB$2)),((INT(DB$2/$L19)-INT((DB$2-1)/$L19))*($T19*(1-$F19)+$S19*(1-$G19))*((1+Inputs!$D$7)^DB$2))),((Inputs!$D$8^((1-_xlfn.WEIBULL.DIST(DB$2,$M19,$L19,FALSE))/_xlfn.WEIBULL.DIST(DB$2,$M19,$L19,FALSE))*($T19*(1-$F19)+$S19*(1-$G19))*((1+Inputs!$D$7)^DB$2))))))))</f>
        <v>0</v>
      </c>
      <c r="DC19" s="88">
        <f>MAX(BM19,($E19*IF(DC$2&gt;Inputs!$D$5,0,IF(DC$2&gt;VLOOKUP($H19,Lists!$P$3:$Q$7,2),IF($N19=Lists!$K$3,IF($L19&lt;1,(($U19/$L19)*((1+Inputs!$D$7)^DC$2)),((INT(DC$2/$L19)-INT((DC$2-1)/$L19))*$U19*((1+Inputs!$D$7)^DC$2))),(Inputs!$D$8^((1-_xlfn.WEIBULL.DIST(DC$2,$M19,$L19,FALSE))/_xlfn.WEIBULL.DIST(DC$2,$M19,$L19,FALSE))*$U19*((1+Inputs!$D$7)^DC$2))),IF($N19=Lists!$K$3,IF($L19&lt;1,((($T19*(1-$F19)+$S19*(1-$G19))/$L19)*((1+Inputs!$D$7)^DC$2)),((INT(DC$2/$L19)-INT((DC$2-1)/$L19))*($T19*(1-$F19)+$S19*(1-$G19))*((1+Inputs!$D$7)^DC$2))),((Inputs!$D$8^((1-_xlfn.WEIBULL.DIST(DC$2,$M19,$L19,FALSE))/_xlfn.WEIBULL.DIST(DC$2,$M19,$L19,FALSE))*($T19*(1-$F19)+$S19*(1-$G19))*((1+Inputs!$D$7)^DC$2))))))))</f>
        <v>0</v>
      </c>
      <c r="DD19" s="88">
        <f>MAX(BN19,($E19*IF(DD$2&gt;Inputs!$D$5,0,IF(DD$2&gt;VLOOKUP($H19,Lists!$P$3:$Q$7,2),IF($N19=Lists!$K$3,IF($L19&lt;1,(($U19/$L19)*((1+Inputs!$D$7)^DD$2)),((INT(DD$2/$L19)-INT((DD$2-1)/$L19))*$U19*((1+Inputs!$D$7)^DD$2))),(Inputs!$D$8^((1-_xlfn.WEIBULL.DIST(DD$2,$M19,$L19,FALSE))/_xlfn.WEIBULL.DIST(DD$2,$M19,$L19,FALSE))*$U19*((1+Inputs!$D$7)^DD$2))),IF($N19=Lists!$K$3,IF($L19&lt;1,((($T19*(1-$F19)+$S19*(1-$G19))/$L19)*((1+Inputs!$D$7)^DD$2)),((INT(DD$2/$L19)-INT((DD$2-1)/$L19))*($T19*(1-$F19)+$S19*(1-$G19))*((1+Inputs!$D$7)^DD$2))),((Inputs!$D$8^((1-_xlfn.WEIBULL.DIST(DD$2,$M19,$L19,FALSE))/_xlfn.WEIBULL.DIST(DD$2,$M19,$L19,FALSE))*($T19*(1-$F19)+$S19*(1-$G19))*((1+Inputs!$D$7)^DD$2))))))))</f>
        <v>0</v>
      </c>
    </row>
    <row r="20" spans="1:108" s="1" customFormat="1" ht="16">
      <c r="A20" s="57" t="s">
        <v>202</v>
      </c>
      <c r="B20" s="13" t="s">
        <v>130</v>
      </c>
      <c r="C20" s="13" t="s">
        <v>474</v>
      </c>
      <c r="D20" s="13" t="s">
        <v>123</v>
      </c>
      <c r="E20" s="48">
        <v>1</v>
      </c>
      <c r="F20" s="48">
        <v>1</v>
      </c>
      <c r="G20" s="48">
        <v>1</v>
      </c>
      <c r="H20" s="105" t="s">
        <v>349</v>
      </c>
      <c r="I20" s="14"/>
      <c r="J20" s="14" t="s">
        <v>87</v>
      </c>
      <c r="K20" s="13">
        <f>VLOOKUP(J20,'Labor Rates'!$A$1:$F$16,2)</f>
        <v>32.012019230769226</v>
      </c>
      <c r="L20" s="15">
        <v>25</v>
      </c>
      <c r="M20" s="15">
        <v>3</v>
      </c>
      <c r="N20" s="16" t="s">
        <v>226</v>
      </c>
      <c r="O20" s="61">
        <v>1</v>
      </c>
      <c r="P20" s="15">
        <v>1</v>
      </c>
      <c r="Q20" s="15">
        <f t="shared" si="0"/>
        <v>0.04</v>
      </c>
      <c r="R20" s="4">
        <v>20</v>
      </c>
      <c r="S20" s="53">
        <f t="shared" si="1"/>
        <v>32.012019230769226</v>
      </c>
      <c r="T20" s="53">
        <f t="shared" si="2"/>
        <v>20</v>
      </c>
      <c r="U20" s="54">
        <f t="shared" si="3"/>
        <v>52.012019230769226</v>
      </c>
      <c r="V20" s="65"/>
      <c r="W20" s="58"/>
      <c r="X20" s="64">
        <f t="shared" si="4"/>
        <v>1.4804655638935045</v>
      </c>
      <c r="Y20" s="64">
        <f>NPV(Inputs!$D$6,AA20:BN20)</f>
        <v>15.087696221108949</v>
      </c>
      <c r="Z20" s="67">
        <f t="shared" si="5"/>
        <v>7.1160941298854287E-6</v>
      </c>
      <c r="AA20" s="88">
        <f>$E20*IF(AA$2&gt;Inputs!$D$5,0,IF(AA$2&gt;VLOOKUP($H20,Lists!$P$3:$Q$7,2),IF($N20=Lists!$K$3,IF($L20&lt;1,(($U20/$L20)*((1+Inputs!$D$7)^AA$2)),((INT(AA$2/$L20)-INT((AA$2-1)/$L20))*$U20*((1+Inputs!$D$7)^AA$2))),(_xlfn.WEIBULL.DIST(AA$2,$M20,$L20,FALSE)*$U20*((1+Inputs!$D$7)^AA$2))),IF($N20=Lists!$K$3,IF($L20&lt;1,((($T20*(1-$F20)+$S20*(1-$G20))/$L20)*((1+Inputs!$D$7)^AA$2)),((INT(AA$2/$L20)-INT((AA$2-1)/$L20))*($T20*(1-$F20)+$S20*(1-$G20))*((1+Inputs!$D$7)^AA$2))),((_xlfn.WEIBULL.DIST(AA$2,$M20,$L20,FALSE)*($T20*(1-$F20)+$S20*(1-$G20))*((1+Inputs!$D$7)^AA$2))))))</f>
        <v>0</v>
      </c>
      <c r="AB20" s="88">
        <f>$E20*IF(AB$2&gt;Inputs!$D$5,0,IF(AB$2&gt;VLOOKUP($H20,Lists!$P$3:$Q$7,2),IF($N20=Lists!$K$3,IF($L20&lt;1,(($U20/$L20)*((1+Inputs!$D$7)^AB$2)),((INT(AB$2/$L20)-INT((AB$2-1)/$L20))*$U20*((1+Inputs!$D$7)^AB$2))),(_xlfn.WEIBULL.DIST(AB$2,$M20,$L20,FALSE)*$U20*((1+Inputs!$D$7)^AB$2))),IF($N20=Lists!$K$3,IF($L20&lt;1,((($T20*(1-$F20)+$S20*(1-$G20))/$L20)*((1+Inputs!$D$7)^AB$2)),((INT(AB$2/$L20)-INT((AB$2-1)/$L20))*($T20*(1-$F20)+$S20*(1-$G20))*((1+Inputs!$D$7)^AB$2))),((_xlfn.WEIBULL.DIST(AB$2,$M20,$L20,FALSE)*($T20*(1-$F20)+$S20*(1-$G20))*((1+Inputs!$D$7)^AB$2))))))</f>
        <v>4.1537745321338547E-2</v>
      </c>
      <c r="AC20" s="88">
        <f>$E20*IF(AC$2&gt;Inputs!$D$5,0,IF(AC$2&gt;VLOOKUP($H20,Lists!$P$3:$Q$7,2),IF($N20=Lists!$K$3,IF($L20&lt;1,(($U20/$L20)*((1+Inputs!$D$7)^AC$2)),((INT(AC$2/$L20)-INT((AC$2-1)/$L20))*$U20*((1+Inputs!$D$7)^AC$2))),(_xlfn.WEIBULL.DIST(AC$2,$M20,$L20,FALSE)*$U20*((1+Inputs!$D$7)^AC$2))),IF($N20=Lists!$K$3,IF($L20&lt;1,((($T20*(1-$F20)+$S20*(1-$G20))/$L20)*((1+Inputs!$D$7)^AC$2)),((INT(AC$2/$L20)-INT((AC$2-1)/$L20))*($T20*(1-$F20)+$S20*(1-$G20))*((1+Inputs!$D$7)^AC$2))),((_xlfn.WEIBULL.DIST(AC$2,$M20,$L20,FALSE)*($T20*(1-$F20)+$S20*(1-$G20))*((1+Inputs!$D$7)^AC$2))))))</f>
        <v>9.5213275746781525E-2</v>
      </c>
      <c r="AD20" s="88">
        <f>$E20*IF(AD$2&gt;Inputs!$D$5,0,IF(AD$2&gt;VLOOKUP($H20,Lists!$P$3:$Q$7,2),IF($N20=Lists!$K$3,IF($L20&lt;1,(($U20/$L20)*((1+Inputs!$D$7)^AD$2)),((INT(AD$2/$L20)-INT((AD$2-1)/$L20))*$U20*((1+Inputs!$D$7)^AD$2))),(_xlfn.WEIBULL.DIST(AD$2,$M20,$L20,FALSE)*$U20*((1+Inputs!$D$7)^AD$2))),IF($N20=Lists!$K$3,IF($L20&lt;1,((($T20*(1-$F20)+$S20*(1-$G20))/$L20)*((1+Inputs!$D$7)^AD$2)),((INT(AD$2/$L20)-INT((AD$2-1)/$L20))*($T20*(1-$F20)+$S20*(1-$G20))*((1+Inputs!$D$7)^AD$2))),((_xlfn.WEIBULL.DIST(AD$2,$M20,$L20,FALSE)*($T20*(1-$F20)+$S20*(1-$G20))*((1+Inputs!$D$7)^AD$2))))))</f>
        <v>0.17224504710902244</v>
      </c>
      <c r="AE20" s="88">
        <f>$E20*IF(AE$2&gt;Inputs!$D$5,0,IF(AE$2&gt;VLOOKUP($H20,Lists!$P$3:$Q$7,2),IF($N20=Lists!$K$3,IF($L20&lt;1,(($U20/$L20)*((1+Inputs!$D$7)^AE$2)),((INT(AE$2/$L20)-INT((AE$2-1)/$L20))*$U20*((1+Inputs!$D$7)^AE$2))),(_xlfn.WEIBULL.DIST(AE$2,$M20,$L20,FALSE)*$U20*((1+Inputs!$D$7)^AE$2))),IF($N20=Lists!$K$3,IF($L20&lt;1,((($T20*(1-$F20)+$S20*(1-$G20))/$L20)*((1+Inputs!$D$7)^AE$2)),((INT(AE$2/$L20)-INT((AE$2-1)/$L20))*($T20*(1-$F20)+$S20*(1-$G20))*((1+Inputs!$D$7)^AE$2))),((_xlfn.WEIBULL.DIST(AE$2,$M20,$L20,FALSE)*($T20*(1-$F20)+$S20*(1-$G20))*((1+Inputs!$D$7)^AE$2))))))</f>
        <v>0.27344592440253934</v>
      </c>
      <c r="AF20" s="88">
        <f>$E20*IF(AF$2&gt;Inputs!$D$5,0,IF(AF$2&gt;VLOOKUP($H20,Lists!$P$3:$Q$7,2),IF($N20=Lists!$K$3,IF($L20&lt;1,(($U20/$L20)*((1+Inputs!$D$7)^AF$2)),((INT(AF$2/$L20)-INT((AF$2-1)/$L20))*$U20*((1+Inputs!$D$7)^AF$2))),(_xlfn.WEIBULL.DIST(AF$2,$M20,$L20,FALSE)*$U20*((1+Inputs!$D$7)^AF$2))),IF($N20=Lists!$K$3,IF($L20&lt;1,((($T20*(1-$F20)+$S20*(1-$G20))/$L20)*((1+Inputs!$D$7)^AF$2)),((INT(AF$2/$L20)-INT((AF$2-1)/$L20))*($T20*(1-$F20)+$S20*(1-$G20))*((1+Inputs!$D$7)^AF$2))),((_xlfn.WEIBULL.DIST(AF$2,$M20,$L20,FALSE)*($T20*(1-$F20)+$S20*(1-$G20))*((1+Inputs!$D$7)^AF$2))))))</f>
        <v>0.39930503605759232</v>
      </c>
      <c r="AG20" s="88">
        <f>$E20*IF(AG$2&gt;Inputs!$D$5,0,IF(AG$2&gt;VLOOKUP($H20,Lists!$P$3:$Q$7,2),IF($N20=Lists!$K$3,IF($L20&lt;1,(($U20/$L20)*((1+Inputs!$D$7)^AG$2)),((INT(AG$2/$L20)-INT((AG$2-1)/$L20))*$U20*((1+Inputs!$D$7)^AG$2))),(_xlfn.WEIBULL.DIST(AG$2,$M20,$L20,FALSE)*$U20*((1+Inputs!$D$7)^AG$2))),IF($N20=Lists!$K$3,IF($L20&lt;1,((($T20*(1-$F20)+$S20*(1-$G20))/$L20)*((1+Inputs!$D$7)^AG$2)),((INT(AG$2/$L20)-INT((AG$2-1)/$L20))*($T20*(1-$F20)+$S20*(1-$G20))*((1+Inputs!$D$7)^AG$2))),((_xlfn.WEIBULL.DIST(AG$2,$M20,$L20,FALSE)*($T20*(1-$F20)+$S20*(1-$G20))*((1+Inputs!$D$7)^AG$2))))))</f>
        <v>0.54988084711964835</v>
      </c>
      <c r="AH20" s="88">
        <f>$E20*IF(AH$2&gt;Inputs!$D$5,0,IF(AH$2&gt;VLOOKUP($H20,Lists!$P$3:$Q$7,2),IF($N20=Lists!$K$3,IF($L20&lt;1,(($U20/$L20)*((1+Inputs!$D$7)^AH$2)),((INT(AH$2/$L20)-INT((AH$2-1)/$L20))*$U20*((1+Inputs!$D$7)^AH$2))),(_xlfn.WEIBULL.DIST(AH$2,$M20,$L20,FALSE)*$U20*((1+Inputs!$D$7)^AH$2))),IF($N20=Lists!$K$3,IF($L20&lt;1,((($T20*(1-$F20)+$S20*(1-$G20))/$L20)*((1+Inputs!$D$7)^AH$2)),((INT(AH$2/$L20)-INT((AH$2-1)/$L20))*($T20*(1-$F20)+$S20*(1-$G20))*((1+Inputs!$D$7)^AH$2))),((_xlfn.WEIBULL.DIST(AH$2,$M20,$L20,FALSE)*($T20*(1-$F20)+$S20*(1-$G20))*((1+Inputs!$D$7)^AH$2))))))</f>
        <v>0.72469510799125758</v>
      </c>
      <c r="AI20" s="88">
        <f>$E20*IF(AI$2&gt;Inputs!$D$5,0,IF(AI$2&gt;VLOOKUP($H20,Lists!$P$3:$Q$7,2),IF($N20=Lists!$K$3,IF($L20&lt;1,(($U20/$L20)*((1+Inputs!$D$7)^AI$2)),((INT(AI$2/$L20)-INT((AI$2-1)/$L20))*$U20*((1+Inputs!$D$7)^AI$2))),(_xlfn.WEIBULL.DIST(AI$2,$M20,$L20,FALSE)*$U20*((1+Inputs!$D$7)^AI$2))),IF($N20=Lists!$K$3,IF($L20&lt;1,((($T20*(1-$F20)+$S20*(1-$G20))/$L20)*((1+Inputs!$D$7)^AI$2)),((INT(AI$2/$L20)-INT((AI$2-1)/$L20))*($T20*(1-$F20)+$S20*(1-$G20))*((1+Inputs!$D$7)^AI$2))),((_xlfn.WEIBULL.DIST(AI$2,$M20,$L20,FALSE)*($T20*(1-$F20)+$S20*(1-$G20))*((1+Inputs!$D$7)^AI$2))))))</f>
        <v>0.9226331710058383</v>
      </c>
      <c r="AJ20" s="88">
        <f>$E20*IF(AJ$2&gt;Inputs!$D$5,0,IF(AJ$2&gt;VLOOKUP($H20,Lists!$P$3:$Q$7,2),IF($N20=Lists!$K$3,IF($L20&lt;1,(($U20/$L20)*((1+Inputs!$D$7)^AJ$2)),((INT(AJ$2/$L20)-INT((AJ$2-1)/$L20))*$U20*((1+Inputs!$D$7)^AJ$2))),(_xlfn.WEIBULL.DIST(AJ$2,$M20,$L20,FALSE)*$U20*((1+Inputs!$D$7)^AJ$2))),IF($N20=Lists!$K$3,IF($L20&lt;1,((($T20*(1-$F20)+$S20*(1-$G20))/$L20)*((1+Inputs!$D$7)^AJ$2)),((INT(AJ$2/$L20)-INT((AJ$2-1)/$L20))*($T20*(1-$F20)+$S20*(1-$G20))*((1+Inputs!$D$7)^AJ$2))),((_xlfn.WEIBULL.DIST(AJ$2,$M20,$L20,FALSE)*($T20*(1-$F20)+$S20*(1-$G20))*((1+Inputs!$D$7)^AJ$2))))))</f>
        <v>1.1418572505925051</v>
      </c>
      <c r="AK20" s="88">
        <f>$E20*IF(AK$2&gt;Inputs!$D$5,0,IF(AK$2&gt;VLOOKUP($H20,Lists!$P$3:$Q$7,2),IF($N20=Lists!$K$3,IF($L20&lt;1,(($U20/$L20)*((1+Inputs!$D$7)^AK$2)),((INT(AK$2/$L20)-INT((AK$2-1)/$L20))*$U20*((1+Inputs!$D$7)^AK$2))),(_xlfn.WEIBULL.DIST(AK$2,$M20,$L20,FALSE)*$U20*((1+Inputs!$D$7)^AK$2))),IF($N20=Lists!$K$3,IF($L20&lt;1,((($T20*(1-$F20)+$S20*(1-$G20))/$L20)*((1+Inputs!$D$7)^AK$2)),((INT(AK$2/$L20)-INT((AK$2-1)/$L20))*($T20*(1-$F20)+$S20*(1-$G20))*((1+Inputs!$D$7)^AK$2))),((_xlfn.WEIBULL.DIST(AK$2,$M20,$L20,FALSE)*($T20*(1-$F20)+$S20*(1-$G20))*((1+Inputs!$D$7)^AK$2))))))</f>
        <v>1.3797400210037583</v>
      </c>
      <c r="AL20" s="88">
        <f>$E20*IF(AL$2&gt;Inputs!$D$5,0,IF(AL$2&gt;VLOOKUP($H20,Lists!$P$3:$Q$7,2),IF($N20=Lists!$K$3,IF($L20&lt;1,(($U20/$L20)*((1+Inputs!$D$7)^AL$2)),((INT(AL$2/$L20)-INT((AL$2-1)/$L20))*$U20*((1+Inputs!$D$7)^AL$2))),(_xlfn.WEIBULL.DIST(AL$2,$M20,$L20,FALSE)*$U20*((1+Inputs!$D$7)^AL$2))),IF($N20=Lists!$K$3,IF($L20&lt;1,((($T20*(1-$F20)+$S20*(1-$G20))/$L20)*((1+Inputs!$D$7)^AL$2)),((INT(AL$2/$L20)-INT((AL$2-1)/$L20))*($T20*(1-$F20)+$S20*(1-$G20))*((1+Inputs!$D$7)^AL$2))),((_xlfn.WEIBULL.DIST(AL$2,$M20,$L20,FALSE)*($T20*(1-$F20)+$S20*(1-$G20))*((1+Inputs!$D$7)^AL$2))))))</f>
        <v>1.6328263529618845</v>
      </c>
      <c r="AM20" s="88">
        <f>$E20*IF(AM$2&gt;Inputs!$D$5,0,IF(AM$2&gt;VLOOKUP($H20,Lists!$P$3:$Q$7,2),IF($N20=Lists!$K$3,IF($L20&lt;1,(($U20/$L20)*((1+Inputs!$D$7)^AM$2)),((INT(AM$2/$L20)-INT((AM$2-1)/$L20))*$U20*((1+Inputs!$D$7)^AM$2))),(_xlfn.WEIBULL.DIST(AM$2,$M20,$L20,FALSE)*$U20*((1+Inputs!$D$7)^AM$2))),IF($N20=Lists!$K$3,IF($L20&lt;1,((($T20*(1-$F20)+$S20*(1-$G20))/$L20)*((1+Inputs!$D$7)^AM$2)),((INT(AM$2/$L20)-INT((AM$2-1)/$L20))*($T20*(1-$F20)+$S20*(1-$G20))*((1+Inputs!$D$7)^AM$2))),((_xlfn.WEIBULL.DIST(AM$2,$M20,$L20,FALSE)*($T20*(1-$F20)+$S20*(1-$G20))*((1+Inputs!$D$7)^AM$2))))))</f>
        <v>1.8968308403105834</v>
      </c>
      <c r="AN20" s="88">
        <f>$E20*IF(AN$2&gt;Inputs!$D$5,0,IF(AN$2&gt;VLOOKUP($H20,Lists!$P$3:$Q$7,2),IF($N20=Lists!$K$3,IF($L20&lt;1,(($U20/$L20)*((1+Inputs!$D$7)^AN$2)),((INT(AN$2/$L20)-INT((AN$2-1)/$L20))*$U20*((1+Inputs!$D$7)^AN$2))),(_xlfn.WEIBULL.DIST(AN$2,$M20,$L20,FALSE)*$U20*((1+Inputs!$D$7)^AN$2))),IF($N20=Lists!$K$3,IF($L20&lt;1,((($T20*(1-$F20)+$S20*(1-$G20))/$L20)*((1+Inputs!$D$7)^AN$2)),((INT(AN$2/$L20)-INT((AN$2-1)/$L20))*($T20*(1-$F20)+$S20*(1-$G20))*((1+Inputs!$D$7)^AN$2))),((_xlfn.WEIBULL.DIST(AN$2,$M20,$L20,FALSE)*($T20*(1-$F20)+$S20*(1-$G20))*((1+Inputs!$D$7)^AN$2))))))</f>
        <v>2.1666779293179279</v>
      </c>
      <c r="AO20" s="88">
        <f>$E20*IF(AO$2&gt;Inputs!$D$5,0,IF(AO$2&gt;VLOOKUP($H20,Lists!$P$3:$Q$7,2),IF($N20=Lists!$K$3,IF($L20&lt;1,(($U20/$L20)*((1+Inputs!$D$7)^AO$2)),((INT(AO$2/$L20)-INT((AO$2-1)/$L20))*$U20*((1+Inputs!$D$7)^AO$2))),(_xlfn.WEIBULL.DIST(AO$2,$M20,$L20,FALSE)*$U20*((1+Inputs!$D$7)^AO$2))),IF($N20=Lists!$K$3,IF($L20&lt;1,((($T20*(1-$F20)+$S20*(1-$G20))/$L20)*((1+Inputs!$D$7)^AO$2)),((INT(AO$2/$L20)-INT((AO$2-1)/$L20))*($T20*(1-$F20)+$S20*(1-$G20))*((1+Inputs!$D$7)^AO$2))),((_xlfn.WEIBULL.DIST(AO$2,$M20,$L20,FALSE)*($T20*(1-$F20)+$S20*(1-$G20))*((1+Inputs!$D$7)^AO$2))))))</f>
        <v>2.4365898435380258</v>
      </c>
      <c r="AP20" s="88">
        <f>$E20*IF(AP$2&gt;Inputs!$D$5,0,IF(AP$2&gt;VLOOKUP($H20,Lists!$P$3:$Q$7,2),IF($N20=Lists!$K$3,IF($L20&lt;1,(($U20/$L20)*((1+Inputs!$D$7)^AP$2)),((INT(AP$2/$L20)-INT((AP$2-1)/$L20))*$U20*((1+Inputs!$D$7)^AP$2))),(_xlfn.WEIBULL.DIST(AP$2,$M20,$L20,FALSE)*$U20*((1+Inputs!$D$7)^AP$2))),IF($N20=Lists!$K$3,IF($L20&lt;1,((($T20*(1-$F20)+$S20*(1-$G20))/$L20)*((1+Inputs!$D$7)^AP$2)),((INT(AP$2/$L20)-INT((AP$2-1)/$L20))*($T20*(1-$F20)+$S20*(1-$G20))*((1+Inputs!$D$7)^AP$2))),((_xlfn.WEIBULL.DIST(AP$2,$M20,$L20,FALSE)*($T20*(1-$F20)+$S20*(1-$G20))*((1+Inputs!$D$7)^AP$2))))))</f>
        <v>2.7002250630138684</v>
      </c>
      <c r="AQ20" s="88">
        <f>$E20*IF(AQ$2&gt;Inputs!$D$5,0,IF(AQ$2&gt;VLOOKUP($H20,Lists!$P$3:$Q$7,2),IF($N20=Lists!$K$3,IF($L20&lt;1,(($U20/$L20)*((1+Inputs!$D$7)^AQ$2)),((INT(AQ$2/$L20)-INT((AQ$2-1)/$L20))*$U20*((1+Inputs!$D$7)^AQ$2))),(_xlfn.WEIBULL.DIST(AQ$2,$M20,$L20,FALSE)*$U20*((1+Inputs!$D$7)^AQ$2))),IF($N20=Lists!$K$3,IF($L20&lt;1,((($T20*(1-$F20)+$S20*(1-$G20))/$L20)*((1+Inputs!$D$7)^AQ$2)),((INT(AQ$2/$L20)-INT((AQ$2-1)/$L20))*($T20*(1-$F20)+$S20*(1-$G20))*((1+Inputs!$D$7)^AQ$2))),((_xlfn.WEIBULL.DIST(AQ$2,$M20,$L20,FALSE)*($T20*(1-$F20)+$S20*(1-$G20))*((1+Inputs!$D$7)^AQ$2))))))</f>
        <v>2.9508669163724175</v>
      </c>
      <c r="AR20" s="88">
        <f>$E20*IF(AR$2&gt;Inputs!$D$5,0,IF(AR$2&gt;VLOOKUP($H20,Lists!$P$3:$Q$7,2),IF($N20=Lists!$K$3,IF($L20&lt;1,(($U20/$L20)*((1+Inputs!$D$7)^AR$2)),((INT(AR$2/$L20)-INT((AR$2-1)/$L20))*$U20*((1+Inputs!$D$7)^AR$2))),(_xlfn.WEIBULL.DIST(AR$2,$M20,$L20,FALSE)*$U20*((1+Inputs!$D$7)^AR$2))),IF($N20=Lists!$K$3,IF($L20&lt;1,((($T20*(1-$F20)+$S20*(1-$G20))/$L20)*((1+Inputs!$D$7)^AR$2)),((INT(AR$2/$L20)-INT((AR$2-1)/$L20))*($T20*(1-$F20)+$S20*(1-$G20))*((1+Inputs!$D$7)^AR$2))),((_xlfn.WEIBULL.DIST(AR$2,$M20,$L20,FALSE)*($T20*(1-$F20)+$S20*(1-$G20))*((1+Inputs!$D$7)^AR$2))))))</f>
        <v>3.1816580240106442</v>
      </c>
      <c r="AS20" s="88">
        <f>$E20*IF(AS$2&gt;Inputs!$D$5,0,IF(AS$2&gt;VLOOKUP($H20,Lists!$P$3:$Q$7,2),IF($N20=Lists!$K$3,IF($L20&lt;1,(($U20/$L20)*((1+Inputs!$D$7)^AS$2)),((INT(AS$2/$L20)-INT((AS$2-1)/$L20))*$U20*((1+Inputs!$D$7)^AS$2))),(_xlfn.WEIBULL.DIST(AS$2,$M20,$L20,FALSE)*$U20*((1+Inputs!$D$7)^AS$2))),IF($N20=Lists!$K$3,IF($L20&lt;1,((($T20*(1-$F20)+$S20*(1-$G20))/$L20)*((1+Inputs!$D$7)^AS$2)),((INT(AS$2/$L20)-INT((AS$2-1)/$L20))*($T20*(1-$F20)+$S20*(1-$G20))*((1+Inputs!$D$7)^AS$2))),((_xlfn.WEIBULL.DIST(AS$2,$M20,$L20,FALSE)*($T20*(1-$F20)+$S20*(1-$G20))*((1+Inputs!$D$7)^AS$2))))))</f>
        <v>3.3858721410914456</v>
      </c>
      <c r="AT20" s="88">
        <f>$E20*IF(AT$2&gt;Inputs!$D$5,0,IF(AT$2&gt;VLOOKUP($H20,Lists!$P$3:$Q$7,2),IF($N20=Lists!$K$3,IF($L20&lt;1,(($U20/$L20)*((1+Inputs!$D$7)^AT$2)),((INT(AT$2/$L20)-INT((AT$2-1)/$L20))*$U20*((1+Inputs!$D$7)^AT$2))),(_xlfn.WEIBULL.DIST(AT$2,$M20,$L20,FALSE)*$U20*((1+Inputs!$D$7)^AT$2))),IF($N20=Lists!$K$3,IF($L20&lt;1,((($T20*(1-$F20)+$S20*(1-$G20))/$L20)*((1+Inputs!$D$7)^AT$2)),((INT(AT$2/$L20)-INT((AT$2-1)/$L20))*($T20*(1-$F20)+$S20*(1-$G20))*((1+Inputs!$D$7)^AT$2))),((_xlfn.WEIBULL.DIST(AT$2,$M20,$L20,FALSE)*($T20*(1-$F20)+$S20*(1-$G20))*((1+Inputs!$D$7)^AT$2))))))</f>
        <v>3.5572107409030114</v>
      </c>
      <c r="AU20" s="88">
        <f>$E20*IF(AU$2&gt;Inputs!$D$5,0,IF(AU$2&gt;VLOOKUP($H20,Lists!$P$3:$Q$7,2),IF($N20=Lists!$K$3,IF($L20&lt;1,(($U20/$L20)*((1+Inputs!$D$7)^AU$2)),((INT(AU$2/$L20)-INT((AU$2-1)/$L20))*$U20*((1+Inputs!$D$7)^AU$2))),(_xlfn.WEIBULL.DIST(AU$2,$M20,$L20,FALSE)*$U20*((1+Inputs!$D$7)^AU$2))),IF($N20=Lists!$K$3,IF($L20&lt;1,((($T20*(1-$F20)+$S20*(1-$G20))/$L20)*((1+Inputs!$D$7)^AU$2)),((INT(AU$2/$L20)-INT((AU$2-1)/$L20))*($T20*(1-$F20)+$S20*(1-$G20))*((1+Inputs!$D$7)^AU$2))),((_xlfn.WEIBULL.DIST(AU$2,$M20,$L20,FALSE)*($T20*(1-$F20)+$S20*(1-$G20))*((1+Inputs!$D$7)^AU$2))))))</f>
        <v>3.6901078809552135</v>
      </c>
      <c r="AV20" s="88">
        <f>$E20*IF(AV$2&gt;Inputs!$D$5,0,IF(AV$2&gt;VLOOKUP($H20,Lists!$P$3:$Q$7,2),IF($N20=Lists!$K$3,IF($L20&lt;1,(($U20/$L20)*((1+Inputs!$D$7)^AV$2)),((INT(AV$2/$L20)-INT((AV$2-1)/$L20))*$U20*((1+Inputs!$D$7)^AV$2))),(_xlfn.WEIBULL.DIST(AV$2,$M20,$L20,FALSE)*$U20*((1+Inputs!$D$7)^AV$2))),IF($N20=Lists!$K$3,IF($L20&lt;1,((($T20*(1-$F20)+$S20*(1-$G20))/$L20)*((1+Inputs!$D$7)^AV$2)),((INT(AV$2/$L20)-INT((AV$2-1)/$L20))*($T20*(1-$F20)+$S20*(1-$G20))*((1+Inputs!$D$7)^AV$2))),((_xlfn.WEIBULL.DIST(AV$2,$M20,$L20,FALSE)*($T20*(1-$F20)+$S20*(1-$G20))*((1+Inputs!$D$7)^AV$2))))))</f>
        <v>3.7800239750691209</v>
      </c>
      <c r="AW20" s="88">
        <f>$E20*IF(AW$2&gt;Inputs!$D$5,0,IF(AW$2&gt;VLOOKUP($H20,Lists!$P$3:$Q$7,2),IF($N20=Lists!$K$3,IF($L20&lt;1,(($U20/$L20)*((1+Inputs!$D$7)^AW$2)),((INT(AW$2/$L20)-INT((AW$2-1)/$L20))*$U20*((1+Inputs!$D$7)^AW$2))),(_xlfn.WEIBULL.DIST(AW$2,$M20,$L20,FALSE)*$U20*((1+Inputs!$D$7)^AW$2))),IF($N20=Lists!$K$3,IF($L20&lt;1,((($T20*(1-$F20)+$S20*(1-$G20))/$L20)*((1+Inputs!$D$7)^AW$2)),((INT(AW$2/$L20)-INT((AW$2-1)/$L20))*($T20*(1-$F20)+$S20*(1-$G20))*((1+Inputs!$D$7)^AW$2))),((_xlfn.WEIBULL.DIST(AW$2,$M20,$L20,FALSE)*($T20*(1-$F20)+$S20*(1-$G20))*((1+Inputs!$D$7)^AW$2))))))</f>
        <v>3.8237075114033678</v>
      </c>
      <c r="AX20" s="88">
        <f>$E20*IF(AX$2&gt;Inputs!$D$5,0,IF(AX$2&gt;VLOOKUP($H20,Lists!$P$3:$Q$7,2),IF($N20=Lists!$K$3,IF($L20&lt;1,(($U20/$L20)*((1+Inputs!$D$7)^AX$2)),((INT(AX$2/$L20)-INT((AX$2-1)/$L20))*$U20*((1+Inputs!$D$7)^AX$2))),(_xlfn.WEIBULL.DIST(AX$2,$M20,$L20,FALSE)*$U20*((1+Inputs!$D$7)^AX$2))),IF($N20=Lists!$K$3,IF($L20&lt;1,((($T20*(1-$F20)+$S20*(1-$G20))/$L20)*((1+Inputs!$D$7)^AX$2)),((INT(AX$2/$L20)-INT((AX$2-1)/$L20))*($T20*(1-$F20)+$S20*(1-$G20))*((1+Inputs!$D$7)^AX$2))),((_xlfn.WEIBULL.DIST(AX$2,$M20,$L20,FALSE)*($T20*(1-$F20)+$S20*(1-$G20))*((1+Inputs!$D$7)^AX$2))))))</f>
        <v>3.8194038903462006</v>
      </c>
      <c r="AY20" s="88">
        <f>$E20*IF(AY$2&gt;Inputs!$D$5,0,IF(AY$2&gt;VLOOKUP($H20,Lists!$P$3:$Q$7,2),IF($N20=Lists!$K$3,IF($L20&lt;1,(($U20/$L20)*((1+Inputs!$D$7)^AY$2)),((INT(AY$2/$L20)-INT((AY$2-1)/$L20))*$U20*((1+Inputs!$D$7)^AY$2))),(_xlfn.WEIBULL.DIST(AY$2,$M20,$L20,FALSE)*$U20*((1+Inputs!$D$7)^AY$2))),IF($N20=Lists!$K$3,IF($L20&lt;1,((($T20*(1-$F20)+$S20*(1-$G20))/$L20)*((1+Inputs!$D$7)^AY$2)),((INT(AY$2/$L20)-INT((AY$2-1)/$L20))*($T20*(1-$F20)+$S20*(1-$G20))*((1+Inputs!$D$7)^AY$2))),((_xlfn.WEIBULL.DIST(AY$2,$M20,$L20,FALSE)*($T20*(1-$F20)+$S20*(1-$G20))*((1+Inputs!$D$7)^AY$2))))))</f>
        <v>3.7669926484078169</v>
      </c>
      <c r="AZ20" s="88">
        <f>$E20*IF(AZ$2&gt;Inputs!$D$5,0,IF(AZ$2&gt;VLOOKUP($H20,Lists!$P$3:$Q$7,2),IF($N20=Lists!$K$3,IF($L20&lt;1,(($U20/$L20)*((1+Inputs!$D$7)^AZ$2)),((INT(AZ$2/$L20)-INT((AZ$2-1)/$L20))*$U20*((1+Inputs!$D$7)^AZ$2))),(_xlfn.WEIBULL.DIST(AZ$2,$M20,$L20,FALSE)*$U20*((1+Inputs!$D$7)^AZ$2))),IF($N20=Lists!$K$3,IF($L20&lt;1,((($T20*(1-$F20)+$S20*(1-$G20))/$L20)*((1+Inputs!$D$7)^AZ$2)),((INT(AZ$2/$L20)-INT((AZ$2-1)/$L20))*($T20*(1-$F20)+$S20*(1-$G20))*((1+Inputs!$D$7)^AZ$2))),((_xlfn.WEIBULL.DIST(AZ$2,$M20,$L20,FALSE)*($T20*(1-$F20)+$S20*(1-$G20))*((1+Inputs!$D$7)^AZ$2))))))</f>
        <v>0</v>
      </c>
      <c r="BA20" s="88">
        <f>$E20*IF(BA$2&gt;Inputs!$D$5,0,IF(BA$2&gt;VLOOKUP($H20,Lists!$P$3:$Q$7,2),IF($N20=Lists!$K$3,IF($L20&lt;1,(($U20/$L20)*((1+Inputs!$D$7)^BA$2)),((INT(BA$2/$L20)-INT((BA$2-1)/$L20))*$U20*((1+Inputs!$D$7)^BA$2))),(_xlfn.WEIBULL.DIST(BA$2,$M20,$L20,FALSE)*$U20*((1+Inputs!$D$7)^BA$2))),IF($N20=Lists!$K$3,IF($L20&lt;1,((($T20*(1-$F20)+$S20*(1-$G20))/$L20)*((1+Inputs!$D$7)^BA$2)),((INT(BA$2/$L20)-INT((BA$2-1)/$L20))*($T20*(1-$F20)+$S20*(1-$G20))*((1+Inputs!$D$7)^BA$2))),((_xlfn.WEIBULL.DIST(BA$2,$M20,$L20,FALSE)*($T20*(1-$F20)+$S20*(1-$G20))*((1+Inputs!$D$7)^BA$2))))))</f>
        <v>0</v>
      </c>
      <c r="BB20" s="88">
        <f>$E20*IF(BB$2&gt;Inputs!$D$5,0,IF(BB$2&gt;VLOOKUP($H20,Lists!$P$3:$Q$7,2),IF($N20=Lists!$K$3,IF($L20&lt;1,(($U20/$L20)*((1+Inputs!$D$7)^BB$2)),((INT(BB$2/$L20)-INT((BB$2-1)/$L20))*$U20*((1+Inputs!$D$7)^BB$2))),(_xlfn.WEIBULL.DIST(BB$2,$M20,$L20,FALSE)*$U20*((1+Inputs!$D$7)^BB$2))),IF($N20=Lists!$K$3,IF($L20&lt;1,((($T20*(1-$F20)+$S20*(1-$G20))/$L20)*((1+Inputs!$D$7)^BB$2)),((INT(BB$2/$L20)-INT((BB$2-1)/$L20))*($T20*(1-$F20)+$S20*(1-$G20))*((1+Inputs!$D$7)^BB$2))),((_xlfn.WEIBULL.DIST(BB$2,$M20,$L20,FALSE)*($T20*(1-$F20)+$S20*(1-$G20))*((1+Inputs!$D$7)^BB$2))))))</f>
        <v>0</v>
      </c>
      <c r="BC20" s="88">
        <f>$E20*IF(BC$2&gt;Inputs!$D$5,0,IF(BC$2&gt;VLOOKUP($H20,Lists!$P$3:$Q$7,2),IF($N20=Lists!$K$3,IF($L20&lt;1,(($U20/$L20)*((1+Inputs!$D$7)^BC$2)),((INT(BC$2/$L20)-INT((BC$2-1)/$L20))*$U20*((1+Inputs!$D$7)^BC$2))),(_xlfn.WEIBULL.DIST(BC$2,$M20,$L20,FALSE)*$U20*((1+Inputs!$D$7)^BC$2))),IF($N20=Lists!$K$3,IF($L20&lt;1,((($T20*(1-$F20)+$S20*(1-$G20))/$L20)*((1+Inputs!$D$7)^BC$2)),((INT(BC$2/$L20)-INT((BC$2-1)/$L20))*($T20*(1-$F20)+$S20*(1-$G20))*((1+Inputs!$D$7)^BC$2))),((_xlfn.WEIBULL.DIST(BC$2,$M20,$L20,FALSE)*($T20*(1-$F20)+$S20*(1-$G20))*((1+Inputs!$D$7)^BC$2))))))</f>
        <v>0</v>
      </c>
      <c r="BD20" s="88">
        <f>$E20*IF(BD$2&gt;Inputs!$D$5,0,IF(BD$2&gt;VLOOKUP($H20,Lists!$P$3:$Q$7,2),IF($N20=Lists!$K$3,IF($L20&lt;1,(($U20/$L20)*((1+Inputs!$D$7)^BD$2)),((INT(BD$2/$L20)-INT((BD$2-1)/$L20))*$U20*((1+Inputs!$D$7)^BD$2))),(_xlfn.WEIBULL.DIST(BD$2,$M20,$L20,FALSE)*$U20*((1+Inputs!$D$7)^BD$2))),IF($N20=Lists!$K$3,IF($L20&lt;1,((($T20*(1-$F20)+$S20*(1-$G20))/$L20)*((1+Inputs!$D$7)^BD$2)),((INT(BD$2/$L20)-INT((BD$2-1)/$L20))*($T20*(1-$F20)+$S20*(1-$G20))*((1+Inputs!$D$7)^BD$2))),((_xlfn.WEIBULL.DIST(BD$2,$M20,$L20,FALSE)*($T20*(1-$F20)+$S20*(1-$G20))*((1+Inputs!$D$7)^BD$2))))))</f>
        <v>0</v>
      </c>
      <c r="BE20" s="88">
        <f>$E20*IF(BE$2&gt;Inputs!$D$5,0,IF(BE$2&gt;VLOOKUP($H20,Lists!$P$3:$Q$7,2),IF($N20=Lists!$K$3,IF($L20&lt;1,(($U20/$L20)*((1+Inputs!$D$7)^BE$2)),((INT(BE$2/$L20)-INT((BE$2-1)/$L20))*$U20*((1+Inputs!$D$7)^BE$2))),(_xlfn.WEIBULL.DIST(BE$2,$M20,$L20,FALSE)*$U20*((1+Inputs!$D$7)^BE$2))),IF($N20=Lists!$K$3,IF($L20&lt;1,((($T20*(1-$F20)+$S20*(1-$G20))/$L20)*((1+Inputs!$D$7)^BE$2)),((INT(BE$2/$L20)-INT((BE$2-1)/$L20))*($T20*(1-$F20)+$S20*(1-$G20))*((1+Inputs!$D$7)^BE$2))),((_xlfn.WEIBULL.DIST(BE$2,$M20,$L20,FALSE)*($T20*(1-$F20)+$S20*(1-$G20))*((1+Inputs!$D$7)^BE$2))))))</f>
        <v>0</v>
      </c>
      <c r="BF20" s="88">
        <f>$E20*IF(BF$2&gt;Inputs!$D$5,0,IF(BF$2&gt;VLOOKUP($H20,Lists!$P$3:$Q$7,2),IF($N20=Lists!$K$3,IF($L20&lt;1,(($U20/$L20)*((1+Inputs!$D$7)^BF$2)),((INT(BF$2/$L20)-INT((BF$2-1)/$L20))*$U20*((1+Inputs!$D$7)^BF$2))),(_xlfn.WEIBULL.DIST(BF$2,$M20,$L20,FALSE)*$U20*((1+Inputs!$D$7)^BF$2))),IF($N20=Lists!$K$3,IF($L20&lt;1,((($T20*(1-$F20)+$S20*(1-$G20))/$L20)*((1+Inputs!$D$7)^BF$2)),((INT(BF$2/$L20)-INT((BF$2-1)/$L20))*($T20*(1-$F20)+$S20*(1-$G20))*((1+Inputs!$D$7)^BF$2))),((_xlfn.WEIBULL.DIST(BF$2,$M20,$L20,FALSE)*($T20*(1-$F20)+$S20*(1-$G20))*((1+Inputs!$D$7)^BF$2))))))</f>
        <v>0</v>
      </c>
      <c r="BG20" s="88">
        <f>$E20*IF(BG$2&gt;Inputs!$D$5,0,IF(BG$2&gt;VLOOKUP($H20,Lists!$P$3:$Q$7,2),IF($N20=Lists!$K$3,IF($L20&lt;1,(($U20/$L20)*((1+Inputs!$D$7)^BG$2)),((INT(BG$2/$L20)-INT((BG$2-1)/$L20))*$U20*((1+Inputs!$D$7)^BG$2))),(_xlfn.WEIBULL.DIST(BG$2,$M20,$L20,FALSE)*$U20*((1+Inputs!$D$7)^BG$2))),IF($N20=Lists!$K$3,IF($L20&lt;1,((($T20*(1-$F20)+$S20*(1-$G20))/$L20)*((1+Inputs!$D$7)^BG$2)),((INT(BG$2/$L20)-INT((BG$2-1)/$L20))*($T20*(1-$F20)+$S20*(1-$G20))*((1+Inputs!$D$7)^BG$2))),((_xlfn.WEIBULL.DIST(BG$2,$M20,$L20,FALSE)*($T20*(1-$F20)+$S20*(1-$G20))*((1+Inputs!$D$7)^BG$2))))))</f>
        <v>0</v>
      </c>
      <c r="BH20" s="88">
        <f>$E20*IF(BH$2&gt;Inputs!$D$5,0,IF(BH$2&gt;VLOOKUP($H20,Lists!$P$3:$Q$7,2),IF($N20=Lists!$K$3,IF($L20&lt;1,(($U20/$L20)*((1+Inputs!$D$7)^BH$2)),((INT(BH$2/$L20)-INT((BH$2-1)/$L20))*$U20*((1+Inputs!$D$7)^BH$2))),(_xlfn.WEIBULL.DIST(BH$2,$M20,$L20,FALSE)*$U20*((1+Inputs!$D$7)^BH$2))),IF($N20=Lists!$K$3,IF($L20&lt;1,((($T20*(1-$F20)+$S20*(1-$G20))/$L20)*((1+Inputs!$D$7)^BH$2)),((INT(BH$2/$L20)-INT((BH$2-1)/$L20))*($T20*(1-$F20)+$S20*(1-$G20))*((1+Inputs!$D$7)^BH$2))),((_xlfn.WEIBULL.DIST(BH$2,$M20,$L20,FALSE)*($T20*(1-$F20)+$S20*(1-$G20))*((1+Inputs!$D$7)^BH$2))))))</f>
        <v>0</v>
      </c>
      <c r="BI20" s="88">
        <f>$E20*IF(BI$2&gt;Inputs!$D$5,0,IF(BI$2&gt;VLOOKUP($H20,Lists!$P$3:$Q$7,2),IF($N20=Lists!$K$3,IF($L20&lt;1,(($U20/$L20)*((1+Inputs!$D$7)^BI$2)),((INT(BI$2/$L20)-INT((BI$2-1)/$L20))*$U20*((1+Inputs!$D$7)^BI$2))),(_xlfn.WEIBULL.DIST(BI$2,$M20,$L20,FALSE)*$U20*((1+Inputs!$D$7)^BI$2))),IF($N20=Lists!$K$3,IF($L20&lt;1,((($T20*(1-$F20)+$S20*(1-$G20))/$L20)*((1+Inputs!$D$7)^BI$2)),((INT(BI$2/$L20)-INT((BI$2-1)/$L20))*($T20*(1-$F20)+$S20*(1-$G20))*((1+Inputs!$D$7)^BI$2))),((_xlfn.WEIBULL.DIST(BI$2,$M20,$L20,FALSE)*($T20*(1-$F20)+$S20*(1-$G20))*((1+Inputs!$D$7)^BI$2))))))</f>
        <v>0</v>
      </c>
      <c r="BJ20" s="88">
        <f>$E20*IF(BJ$2&gt;Inputs!$D$5,0,IF(BJ$2&gt;VLOOKUP($H20,Lists!$P$3:$Q$7,2),IF($N20=Lists!$K$3,IF($L20&lt;1,(($U20/$L20)*((1+Inputs!$D$7)^BJ$2)),((INT(BJ$2/$L20)-INT((BJ$2-1)/$L20))*$U20*((1+Inputs!$D$7)^BJ$2))),(_xlfn.WEIBULL.DIST(BJ$2,$M20,$L20,FALSE)*$U20*((1+Inputs!$D$7)^BJ$2))),IF($N20=Lists!$K$3,IF($L20&lt;1,((($T20*(1-$F20)+$S20*(1-$G20))/$L20)*((1+Inputs!$D$7)^BJ$2)),((INT(BJ$2/$L20)-INT((BJ$2-1)/$L20))*($T20*(1-$F20)+$S20*(1-$G20))*((1+Inputs!$D$7)^BJ$2))),((_xlfn.WEIBULL.DIST(BJ$2,$M20,$L20,FALSE)*($T20*(1-$F20)+$S20*(1-$G20))*((1+Inputs!$D$7)^BJ$2))))))</f>
        <v>0</v>
      </c>
      <c r="BK20" s="88">
        <f>$E20*IF(BK$2&gt;Inputs!$D$5,0,IF(BK$2&gt;VLOOKUP($H20,Lists!$P$3:$Q$7,2),IF($N20=Lists!$K$3,IF($L20&lt;1,(($U20/$L20)*((1+Inputs!$D$7)^BK$2)),((INT(BK$2/$L20)-INT((BK$2-1)/$L20))*$U20*((1+Inputs!$D$7)^BK$2))),(_xlfn.WEIBULL.DIST(BK$2,$M20,$L20,FALSE)*$U20*((1+Inputs!$D$7)^BK$2))),IF($N20=Lists!$K$3,IF($L20&lt;1,((($T20*(1-$F20)+$S20*(1-$G20))/$L20)*((1+Inputs!$D$7)^BK$2)),((INT(BK$2/$L20)-INT((BK$2-1)/$L20))*($T20*(1-$F20)+$S20*(1-$G20))*((1+Inputs!$D$7)^BK$2))),((_xlfn.WEIBULL.DIST(BK$2,$M20,$L20,FALSE)*($T20*(1-$F20)+$S20*(1-$G20))*((1+Inputs!$D$7)^BK$2))))))</f>
        <v>0</v>
      </c>
      <c r="BL20" s="88">
        <f>$E20*IF(BL$2&gt;Inputs!$D$5,0,IF(BL$2&gt;VLOOKUP($H20,Lists!$P$3:$Q$7,2),IF($N20=Lists!$K$3,IF($L20&lt;1,(($U20/$L20)*((1+Inputs!$D$7)^BL$2)),((INT(BL$2/$L20)-INT((BL$2-1)/$L20))*$U20*((1+Inputs!$D$7)^BL$2))),(_xlfn.WEIBULL.DIST(BL$2,$M20,$L20,FALSE)*$U20*((1+Inputs!$D$7)^BL$2))),IF($N20=Lists!$K$3,IF($L20&lt;1,((($T20*(1-$F20)+$S20*(1-$G20))/$L20)*((1+Inputs!$D$7)^BL$2)),((INT(BL$2/$L20)-INT((BL$2-1)/$L20))*($T20*(1-$F20)+$S20*(1-$G20))*((1+Inputs!$D$7)^BL$2))),((_xlfn.WEIBULL.DIST(BL$2,$M20,$L20,FALSE)*($T20*(1-$F20)+$S20*(1-$G20))*((1+Inputs!$D$7)^BL$2))))))</f>
        <v>0</v>
      </c>
      <c r="BM20" s="88">
        <f>$E20*IF(BM$2&gt;Inputs!$D$5,0,IF(BM$2&gt;VLOOKUP($H20,Lists!$P$3:$Q$7,2),IF($N20=Lists!$K$3,IF($L20&lt;1,(($U20/$L20)*((1+Inputs!$D$7)^BM$2)),((INT(BM$2/$L20)-INT((BM$2-1)/$L20))*$U20*((1+Inputs!$D$7)^BM$2))),(_xlfn.WEIBULL.DIST(BM$2,$M20,$L20,FALSE)*$U20*((1+Inputs!$D$7)^BM$2))),IF($N20=Lists!$K$3,IF($L20&lt;1,((($T20*(1-$F20)+$S20*(1-$G20))/$L20)*((1+Inputs!$D$7)^BM$2)),((INT(BM$2/$L20)-INT((BM$2-1)/$L20))*($T20*(1-$F20)+$S20*(1-$G20))*((1+Inputs!$D$7)^BM$2))),((_xlfn.WEIBULL.DIST(BM$2,$M20,$L20,FALSE)*($T20*(1-$F20)+$S20*(1-$G20))*((1+Inputs!$D$7)^BM$2))))))</f>
        <v>0</v>
      </c>
      <c r="BN20" s="88">
        <f>$E20*IF(BN$2&gt;Inputs!$D$5,0,IF(BN$2&gt;VLOOKUP($H20,Lists!$P$3:$Q$7,2),IF($N20=Lists!$K$3,IF($L20&lt;1,(($U20/$L20)*((1+Inputs!$D$7)^BN$2)),((INT(BN$2/$L20)-INT((BN$2-1)/$L20))*$U20*((1+Inputs!$D$7)^BN$2))),(_xlfn.WEIBULL.DIST(BN$2,$M20,$L20,FALSE)*$U20*((1+Inputs!$D$7)^BN$2))),IF($N20=Lists!$K$3,IF($L20&lt;1,((($T20*(1-$F20)+$S20*(1-$G20))/$L20)*((1+Inputs!$D$7)^BN$2)),((INT(BN$2/$L20)-INT((BN$2-1)/$L20))*($T20*(1-$F20)+$S20*(1-$G20))*((1+Inputs!$D$7)^BN$2))),((_xlfn.WEIBULL.DIST(BN$2,$M20,$L20,FALSE)*($T20*(1-$F20)+$S20*(1-$G20))*((1+Inputs!$D$7)^BN$2))))))</f>
        <v>0</v>
      </c>
      <c r="BO20" s="64">
        <f>NPV(Inputs!$D$6,BQ20:DD20)</f>
        <v>42.500842560821525</v>
      </c>
      <c r="BP20" s="67">
        <f t="shared" si="6"/>
        <v>2.0045472272904593E-5</v>
      </c>
      <c r="BQ20" s="88">
        <f>MAX(AA20,($E20*IF(BQ$2&gt;Inputs!$D$5,0,IF(BQ$2&gt;VLOOKUP($H20,Lists!$P$3:$Q$7,2),IF($N20=Lists!$K$3,IF($L20&lt;1,(($U20/$L20)*((1+Inputs!$D$7)^BQ$2)),((INT(BQ$2/$L20)-INT((BQ$2-1)/$L20))*$U20*((1+Inputs!$D$7)^BQ$2))),(Inputs!$D$8^((1-_xlfn.WEIBULL.DIST(BQ$2,$M20,$L20,FALSE))/_xlfn.WEIBULL.DIST(BQ$2,$M20,$L20,FALSE))*$U20*((1+Inputs!$D$7)^BQ$2))),IF($N20=Lists!$K$3,IF($L20&lt;1,((($T20*(1-$F20)+$S20*(1-$G20))/$L20)*((1+Inputs!$D$7)^BQ$2)),((INT(BQ$2/$L20)-INT((BQ$2-1)/$L20))*($T20*(1-$F20)+$S20*(1-$G20))*((1+Inputs!$D$7)^BQ$2))),((Inputs!$D$8^((1-_xlfn.WEIBULL.DIST(BQ$2,$M20,$L20,FALSE))/_xlfn.WEIBULL.DIST(BQ$2,$M20,$L20,FALSE))*($T20*(1-$F20)+$S20*(1-$G20))*((1+Inputs!$D$7)^BQ$2))))))))</f>
        <v>0</v>
      </c>
      <c r="BR20" s="88">
        <f>MAX(AB20,($E20*IF(BR$2&gt;Inputs!$D$5,0,IF(BR$2&gt;VLOOKUP($H20,Lists!$P$3:$Q$7,2),IF($N20=Lists!$K$3,IF($L20&lt;1,(($U20/$L20)*((1+Inputs!$D$7)^BR$2)),((INT(BR$2/$L20)-INT((BR$2-1)/$L20))*$U20*((1+Inputs!$D$7)^BR$2))),(Inputs!$D$8^((1-_xlfn.WEIBULL.DIST(BR$2,$M20,$L20,FALSE))/_xlfn.WEIBULL.DIST(BR$2,$M20,$L20,FALSE))*$U20*((1+Inputs!$D$7)^BR$2))),IF($N20=Lists!$K$3,IF($L20&lt;1,((($T20*(1-$F20)+$S20*(1-$G20))/$L20)*((1+Inputs!$D$7)^BR$2)),((INT(BR$2/$L20)-INT((BR$2-1)/$L20))*($T20*(1-$F20)+$S20*(1-$G20))*((1+Inputs!$D$7)^BR$2))),((Inputs!$D$8^((1-_xlfn.WEIBULL.DIST(BR$2,$M20,$L20,FALSE))/_xlfn.WEIBULL.DIST(BR$2,$M20,$L20,FALSE))*($T20*(1-$F20)+$S20*(1-$G20))*((1+Inputs!$D$7)^BR$2))))))))</f>
        <v>4.1537745321338547E-2</v>
      </c>
      <c r="BS20" s="88">
        <f>MAX(AC20,($E20*IF(BS$2&gt;Inputs!$D$5,0,IF(BS$2&gt;VLOOKUP($H20,Lists!$P$3:$Q$7,2),IF($N20=Lists!$K$3,IF($L20&lt;1,(($U20/$L20)*((1+Inputs!$D$7)^BS$2)),((INT(BS$2/$L20)-INT((BS$2-1)/$L20))*$U20*((1+Inputs!$D$7)^BS$2))),(Inputs!$D$8^((1-_xlfn.WEIBULL.DIST(BS$2,$M20,$L20,FALSE))/_xlfn.WEIBULL.DIST(BS$2,$M20,$L20,FALSE))*$U20*((1+Inputs!$D$7)^BS$2))),IF($N20=Lists!$K$3,IF($L20&lt;1,((($T20*(1-$F20)+$S20*(1-$G20))/$L20)*((1+Inputs!$D$7)^BS$2)),((INT(BS$2/$L20)-INT((BS$2-1)/$L20))*($T20*(1-$F20)+$S20*(1-$G20))*((1+Inputs!$D$7)^BS$2))),((Inputs!$D$8^((1-_xlfn.WEIBULL.DIST(BS$2,$M20,$L20,FALSE))/_xlfn.WEIBULL.DIST(BS$2,$M20,$L20,FALSE))*($T20*(1-$F20)+$S20*(1-$G20))*((1+Inputs!$D$7)^BS$2))))))))</f>
        <v>9.5213275746781525E-2</v>
      </c>
      <c r="BT20" s="88">
        <f>MAX(AD20,($E20*IF(BT$2&gt;Inputs!$D$5,0,IF(BT$2&gt;VLOOKUP($H20,Lists!$P$3:$Q$7,2),IF($N20=Lists!$K$3,IF($L20&lt;1,(($U20/$L20)*((1+Inputs!$D$7)^BT$2)),((INT(BT$2/$L20)-INT((BT$2-1)/$L20))*$U20*((1+Inputs!$D$7)^BT$2))),(Inputs!$D$8^((1-_xlfn.WEIBULL.DIST(BT$2,$M20,$L20,FALSE))/_xlfn.WEIBULL.DIST(BT$2,$M20,$L20,FALSE))*$U20*((1+Inputs!$D$7)^BT$2))),IF($N20=Lists!$K$3,IF($L20&lt;1,((($T20*(1-$F20)+$S20*(1-$G20))/$L20)*((1+Inputs!$D$7)^BT$2)),((INT(BT$2/$L20)-INT((BT$2-1)/$L20))*($T20*(1-$F20)+$S20*(1-$G20))*((1+Inputs!$D$7)^BT$2))),((Inputs!$D$8^((1-_xlfn.WEIBULL.DIST(BT$2,$M20,$L20,FALSE))/_xlfn.WEIBULL.DIST(BT$2,$M20,$L20,FALSE))*($T20*(1-$F20)+$S20*(1-$G20))*((1+Inputs!$D$7)^BT$2))))))))</f>
        <v>0.17224504710902244</v>
      </c>
      <c r="BU20" s="88">
        <f>MAX(AE20,($E20*IF(BU$2&gt;Inputs!$D$5,0,IF(BU$2&gt;VLOOKUP($H20,Lists!$P$3:$Q$7,2),IF($N20=Lists!$K$3,IF($L20&lt;1,(($U20/$L20)*((1+Inputs!$D$7)^BU$2)),((INT(BU$2/$L20)-INT((BU$2-1)/$L20))*$U20*((1+Inputs!$D$7)^BU$2))),(Inputs!$D$8^((1-_xlfn.WEIBULL.DIST(BU$2,$M20,$L20,FALSE))/_xlfn.WEIBULL.DIST(BU$2,$M20,$L20,FALSE))*$U20*((1+Inputs!$D$7)^BU$2))),IF($N20=Lists!$K$3,IF($L20&lt;1,((($T20*(1-$F20)+$S20*(1-$G20))/$L20)*((1+Inputs!$D$7)^BU$2)),((INT(BU$2/$L20)-INT((BU$2-1)/$L20))*($T20*(1-$F20)+$S20*(1-$G20))*((1+Inputs!$D$7)^BU$2))),((Inputs!$D$8^((1-_xlfn.WEIBULL.DIST(BU$2,$M20,$L20,FALSE))/_xlfn.WEIBULL.DIST(BU$2,$M20,$L20,FALSE))*($T20*(1-$F20)+$S20*(1-$G20))*((1+Inputs!$D$7)^BU$2))))))))</f>
        <v>0.27344592440253934</v>
      </c>
      <c r="BV20" s="88">
        <f>MAX(AF20,($E20*IF(BV$2&gt;Inputs!$D$5,0,IF(BV$2&gt;VLOOKUP($H20,Lists!$P$3:$Q$7,2),IF($N20=Lists!$K$3,IF($L20&lt;1,(($U20/$L20)*((1+Inputs!$D$7)^BV$2)),((INT(BV$2/$L20)-INT((BV$2-1)/$L20))*$U20*((1+Inputs!$D$7)^BV$2))),(Inputs!$D$8^((1-_xlfn.WEIBULL.DIST(BV$2,$M20,$L20,FALSE))/_xlfn.WEIBULL.DIST(BV$2,$M20,$L20,FALSE))*$U20*((1+Inputs!$D$7)^BV$2))),IF($N20=Lists!$K$3,IF($L20&lt;1,((($T20*(1-$F20)+$S20*(1-$G20))/$L20)*((1+Inputs!$D$7)^BV$2)),((INT(BV$2/$L20)-INT((BV$2-1)/$L20))*($T20*(1-$F20)+$S20*(1-$G20))*((1+Inputs!$D$7)^BV$2))),((Inputs!$D$8^((1-_xlfn.WEIBULL.DIST(BV$2,$M20,$L20,FALSE))/_xlfn.WEIBULL.DIST(BV$2,$M20,$L20,FALSE))*($T20*(1-$F20)+$S20*(1-$G20))*((1+Inputs!$D$7)^BV$2))))))))</f>
        <v>0.39930503605759232</v>
      </c>
      <c r="BW20" s="88">
        <f>MAX(AG20,($E20*IF(BW$2&gt;Inputs!$D$5,0,IF(BW$2&gt;VLOOKUP($H20,Lists!$P$3:$Q$7,2),IF($N20=Lists!$K$3,IF($L20&lt;1,(($U20/$L20)*((1+Inputs!$D$7)^BW$2)),((INT(BW$2/$L20)-INT((BW$2-1)/$L20))*$U20*((1+Inputs!$D$7)^BW$2))),(Inputs!$D$8^((1-_xlfn.WEIBULL.DIST(BW$2,$M20,$L20,FALSE))/_xlfn.WEIBULL.DIST(BW$2,$M20,$L20,FALSE))*$U20*((1+Inputs!$D$7)^BW$2))),IF($N20=Lists!$K$3,IF($L20&lt;1,((($T20*(1-$F20)+$S20*(1-$G20))/$L20)*((1+Inputs!$D$7)^BW$2)),((INT(BW$2/$L20)-INT((BW$2-1)/$L20))*($T20*(1-$F20)+$S20*(1-$G20))*((1+Inputs!$D$7)^BW$2))),((Inputs!$D$8^((1-_xlfn.WEIBULL.DIST(BW$2,$M20,$L20,FALSE))/_xlfn.WEIBULL.DIST(BW$2,$M20,$L20,FALSE))*($T20*(1-$F20)+$S20*(1-$G20))*((1+Inputs!$D$7)^BW$2))))))))</f>
        <v>0.54988084711964835</v>
      </c>
      <c r="BX20" s="88">
        <f>MAX(AH20,($E20*IF(BX$2&gt;Inputs!$D$5,0,IF(BX$2&gt;VLOOKUP($H20,Lists!$P$3:$Q$7,2),IF($N20=Lists!$K$3,IF($L20&lt;1,(($U20/$L20)*((1+Inputs!$D$7)^BX$2)),((INT(BX$2/$L20)-INT((BX$2-1)/$L20))*$U20*((1+Inputs!$D$7)^BX$2))),(Inputs!$D$8^((1-_xlfn.WEIBULL.DIST(BX$2,$M20,$L20,FALSE))/_xlfn.WEIBULL.DIST(BX$2,$M20,$L20,FALSE))*$U20*((1+Inputs!$D$7)^BX$2))),IF($N20=Lists!$K$3,IF($L20&lt;1,((($T20*(1-$F20)+$S20*(1-$G20))/$L20)*((1+Inputs!$D$7)^BX$2)),((INT(BX$2/$L20)-INT((BX$2-1)/$L20))*($T20*(1-$F20)+$S20*(1-$G20))*((1+Inputs!$D$7)^BX$2))),((Inputs!$D$8^((1-_xlfn.WEIBULL.DIST(BX$2,$M20,$L20,FALSE))/_xlfn.WEIBULL.DIST(BX$2,$M20,$L20,FALSE))*($T20*(1-$F20)+$S20*(1-$G20))*((1+Inputs!$D$7)^BX$2))))))))</f>
        <v>0.72469510799125758</v>
      </c>
      <c r="BY20" s="88">
        <f>MAX(AI20,($E20*IF(BY$2&gt;Inputs!$D$5,0,IF(BY$2&gt;VLOOKUP($H20,Lists!$P$3:$Q$7,2),IF($N20=Lists!$K$3,IF($L20&lt;1,(($U20/$L20)*((1+Inputs!$D$7)^BY$2)),((INT(BY$2/$L20)-INT((BY$2-1)/$L20))*$U20*((1+Inputs!$D$7)^BY$2))),(Inputs!$D$8^((1-_xlfn.WEIBULL.DIST(BY$2,$M20,$L20,FALSE))/_xlfn.WEIBULL.DIST(BY$2,$M20,$L20,FALSE))*$U20*((1+Inputs!$D$7)^BY$2))),IF($N20=Lists!$K$3,IF($L20&lt;1,((($T20*(1-$F20)+$S20*(1-$G20))/$L20)*((1+Inputs!$D$7)^BY$2)),((INT(BY$2/$L20)-INT((BY$2-1)/$L20))*($T20*(1-$F20)+$S20*(1-$G20))*((1+Inputs!$D$7)^BY$2))),((Inputs!$D$8^((1-_xlfn.WEIBULL.DIST(BY$2,$M20,$L20,FALSE))/_xlfn.WEIBULL.DIST(BY$2,$M20,$L20,FALSE))*($T20*(1-$F20)+$S20*(1-$G20))*((1+Inputs!$D$7)^BY$2))))))))</f>
        <v>0.9226331710058383</v>
      </c>
      <c r="BZ20" s="88">
        <f>MAX(AJ20,($E20*IF(BZ$2&gt;Inputs!$D$5,0,IF(BZ$2&gt;VLOOKUP($H20,Lists!$P$3:$Q$7,2),IF($N20=Lists!$K$3,IF($L20&lt;1,(($U20/$L20)*((1+Inputs!$D$7)^BZ$2)),((INT(BZ$2/$L20)-INT((BZ$2-1)/$L20))*$U20*((1+Inputs!$D$7)^BZ$2))),(Inputs!$D$8^((1-_xlfn.WEIBULL.DIST(BZ$2,$M20,$L20,FALSE))/_xlfn.WEIBULL.DIST(BZ$2,$M20,$L20,FALSE))*$U20*((1+Inputs!$D$7)^BZ$2))),IF($N20=Lists!$K$3,IF($L20&lt;1,((($T20*(1-$F20)+$S20*(1-$G20))/$L20)*((1+Inputs!$D$7)^BZ$2)),((INT(BZ$2/$L20)-INT((BZ$2-1)/$L20))*($T20*(1-$F20)+$S20*(1-$G20))*((1+Inputs!$D$7)^BZ$2))),((Inputs!$D$8^((1-_xlfn.WEIBULL.DIST(BZ$2,$M20,$L20,FALSE))/_xlfn.WEIBULL.DIST(BZ$2,$M20,$L20,FALSE))*($T20*(1-$F20)+$S20*(1-$G20))*((1+Inputs!$D$7)^BZ$2))))))))</f>
        <v>1.1418572505925051</v>
      </c>
      <c r="CA20" s="88">
        <f>MAX(AK20,($E20*IF(CA$2&gt;Inputs!$D$5,0,IF(CA$2&gt;VLOOKUP($H20,Lists!$P$3:$Q$7,2),IF($N20=Lists!$K$3,IF($L20&lt;1,(($U20/$L20)*((1+Inputs!$D$7)^CA$2)),((INT(CA$2/$L20)-INT((CA$2-1)/$L20))*$U20*((1+Inputs!$D$7)^CA$2))),(Inputs!$D$8^((1-_xlfn.WEIBULL.DIST(CA$2,$M20,$L20,FALSE))/_xlfn.WEIBULL.DIST(CA$2,$M20,$L20,FALSE))*$U20*((1+Inputs!$D$7)^CA$2))),IF($N20=Lists!$K$3,IF($L20&lt;1,((($T20*(1-$F20)+$S20*(1-$G20))/$L20)*((1+Inputs!$D$7)^CA$2)),((INT(CA$2/$L20)-INT((CA$2-1)/$L20))*($T20*(1-$F20)+$S20*(1-$G20))*((1+Inputs!$D$7)^CA$2))),((Inputs!$D$8^((1-_xlfn.WEIBULL.DIST(CA$2,$M20,$L20,FALSE))/_xlfn.WEIBULL.DIST(CA$2,$M20,$L20,FALSE))*($T20*(1-$F20)+$S20*(1-$G20))*((1+Inputs!$D$7)^CA$2))))))))</f>
        <v>1.4112401360233924</v>
      </c>
      <c r="CB20" s="88">
        <f>MAX(AL20,($E20*IF(CB$2&gt;Inputs!$D$5,0,IF(CB$2&gt;VLOOKUP($H20,Lists!$P$3:$Q$7,2),IF($N20=Lists!$K$3,IF($L20&lt;1,(($U20/$L20)*((1+Inputs!$D$7)^CB$2)),((INT(CB$2/$L20)-INT((CB$2-1)/$L20))*$U20*((1+Inputs!$D$7)^CB$2))),(Inputs!$D$8^((1-_xlfn.WEIBULL.DIST(CB$2,$M20,$L20,FALSE))/_xlfn.WEIBULL.DIST(CB$2,$M20,$L20,FALSE))*$U20*((1+Inputs!$D$7)^CB$2))),IF($N20=Lists!$K$3,IF($L20&lt;1,((($T20*(1-$F20)+$S20*(1-$G20))/$L20)*((1+Inputs!$D$7)^CB$2)),((INT(CB$2/$L20)-INT((CB$2-1)/$L20))*($T20*(1-$F20)+$S20*(1-$G20))*((1+Inputs!$D$7)^CB$2))),((Inputs!$D$8^((1-_xlfn.WEIBULL.DIST(CB$2,$M20,$L20,FALSE))/_xlfn.WEIBULL.DIST(CB$2,$M20,$L20,FALSE))*($T20*(1-$F20)+$S20*(1-$G20))*((1+Inputs!$D$7)^CB$2))))))))</f>
        <v>2.4694412062738467</v>
      </c>
      <c r="CC20" s="88">
        <f>MAX(AM20,($E20*IF(CC$2&gt;Inputs!$D$5,0,IF(CC$2&gt;VLOOKUP($H20,Lists!$P$3:$Q$7,2),IF($N20=Lists!$K$3,IF($L20&lt;1,(($U20/$L20)*((1+Inputs!$D$7)^CC$2)),((INT(CC$2/$L20)-INT((CC$2-1)/$L20))*$U20*((1+Inputs!$D$7)^CC$2))),(Inputs!$D$8^((1-_xlfn.WEIBULL.DIST(CC$2,$M20,$L20,FALSE))/_xlfn.WEIBULL.DIST(CC$2,$M20,$L20,FALSE))*$U20*((1+Inputs!$D$7)^CC$2))),IF($N20=Lists!$K$3,IF($L20&lt;1,((($T20*(1-$F20)+$S20*(1-$G20))/$L20)*((1+Inputs!$D$7)^CC$2)),((INT(CC$2/$L20)-INT((CC$2-1)/$L20))*($T20*(1-$F20)+$S20*(1-$G20))*((1+Inputs!$D$7)^CC$2))),((Inputs!$D$8^((1-_xlfn.WEIBULL.DIST(CC$2,$M20,$L20,FALSE))/_xlfn.WEIBULL.DIST(CC$2,$M20,$L20,FALSE))*($T20*(1-$F20)+$S20*(1-$G20))*((1+Inputs!$D$7)^CC$2))))))))</f>
        <v>3.7986088071280921</v>
      </c>
      <c r="CD20" s="88">
        <f>MAX(AN20,($E20*IF(CD$2&gt;Inputs!$D$5,0,IF(CD$2&gt;VLOOKUP($H20,Lists!$P$3:$Q$7,2),IF($N20=Lists!$K$3,IF($L20&lt;1,(($U20/$L20)*((1+Inputs!$D$7)^CD$2)),((INT(CD$2/$L20)-INT((CD$2-1)/$L20))*$U20*((1+Inputs!$D$7)^CD$2))),(Inputs!$D$8^((1-_xlfn.WEIBULL.DIST(CD$2,$M20,$L20,FALSE))/_xlfn.WEIBULL.DIST(CD$2,$M20,$L20,FALSE))*$U20*((1+Inputs!$D$7)^CD$2))),IF($N20=Lists!$K$3,IF($L20&lt;1,((($T20*(1-$F20)+$S20*(1-$G20))/$L20)*((1+Inputs!$D$7)^CD$2)),((INT(CD$2/$L20)-INT((CD$2-1)/$L20))*($T20*(1-$F20)+$S20*(1-$G20))*((1+Inputs!$D$7)^CD$2))),((Inputs!$D$8^((1-_xlfn.WEIBULL.DIST(CD$2,$M20,$L20,FALSE))/_xlfn.WEIBULL.DIST(CD$2,$M20,$L20,FALSE))*($T20*(1-$F20)+$S20*(1-$G20))*((1+Inputs!$D$7)^CD$2))))))))</f>
        <v>5.3175375935374252</v>
      </c>
      <c r="CE20" s="88">
        <f>MAX(AO20,($E20*IF(CE$2&gt;Inputs!$D$5,0,IF(CE$2&gt;VLOOKUP($H20,Lists!$P$3:$Q$7,2),IF($N20=Lists!$K$3,IF($L20&lt;1,(($U20/$L20)*((1+Inputs!$D$7)^CE$2)),((INT(CE$2/$L20)-INT((CE$2-1)/$L20))*$U20*((1+Inputs!$D$7)^CE$2))),(Inputs!$D$8^((1-_xlfn.WEIBULL.DIST(CE$2,$M20,$L20,FALSE))/_xlfn.WEIBULL.DIST(CE$2,$M20,$L20,FALSE))*$U20*((1+Inputs!$D$7)^CE$2))),IF($N20=Lists!$K$3,IF($L20&lt;1,((($T20*(1-$F20)+$S20*(1-$G20))/$L20)*((1+Inputs!$D$7)^CE$2)),((INT(CE$2/$L20)-INT((CE$2-1)/$L20))*($T20*(1-$F20)+$S20*(1-$G20))*((1+Inputs!$D$7)^CE$2))),((Inputs!$D$8^((1-_xlfn.WEIBULL.DIST(CE$2,$M20,$L20,FALSE))/_xlfn.WEIBULL.DIST(CE$2,$M20,$L20,FALSE))*($T20*(1-$F20)+$S20*(1-$G20))*((1+Inputs!$D$7)^CE$2))))))))</f>
        <v>6.9337938560770089</v>
      </c>
      <c r="CF20" s="88">
        <f>MAX(AP20,($E20*IF(CF$2&gt;Inputs!$D$5,0,IF(CF$2&gt;VLOOKUP($H20,Lists!$P$3:$Q$7,2),IF($N20=Lists!$K$3,IF($L20&lt;1,(($U20/$L20)*((1+Inputs!$D$7)^CF$2)),((INT(CF$2/$L20)-INT((CF$2-1)/$L20))*$U20*((1+Inputs!$D$7)^CF$2))),(Inputs!$D$8^((1-_xlfn.WEIBULL.DIST(CF$2,$M20,$L20,FALSE))/_xlfn.WEIBULL.DIST(CF$2,$M20,$L20,FALSE))*$U20*((1+Inputs!$D$7)^CF$2))),IF($N20=Lists!$K$3,IF($L20&lt;1,((($T20*(1-$F20)+$S20*(1-$G20))/$L20)*((1+Inputs!$D$7)^CF$2)),((INT(CF$2/$L20)-INT((CF$2-1)/$L20))*($T20*(1-$F20)+$S20*(1-$G20))*((1+Inputs!$D$7)^CF$2))),((Inputs!$D$8^((1-_xlfn.WEIBULL.DIST(CF$2,$M20,$L20,FALSE))/_xlfn.WEIBULL.DIST(CF$2,$M20,$L20,FALSE))*($T20*(1-$F20)+$S20*(1-$G20))*((1+Inputs!$D$7)^CF$2))))))))</f>
        <v>8.5579446299787243</v>
      </c>
      <c r="CG20" s="88">
        <f>MAX(AQ20,($E20*IF(CG$2&gt;Inputs!$D$5,0,IF(CG$2&gt;VLOOKUP($H20,Lists!$P$3:$Q$7,2),IF($N20=Lists!$K$3,IF($L20&lt;1,(($U20/$L20)*((1+Inputs!$D$7)^CG$2)),((INT(CG$2/$L20)-INT((CG$2-1)/$L20))*$U20*((1+Inputs!$D$7)^CG$2))),(Inputs!$D$8^((1-_xlfn.WEIBULL.DIST(CG$2,$M20,$L20,FALSE))/_xlfn.WEIBULL.DIST(CG$2,$M20,$L20,FALSE))*$U20*((1+Inputs!$D$7)^CG$2))),IF($N20=Lists!$K$3,IF($L20&lt;1,((($T20*(1-$F20)+$S20*(1-$G20))/$L20)*((1+Inputs!$D$7)^CG$2)),((INT(CG$2/$L20)-INT((CG$2-1)/$L20))*($T20*(1-$F20)+$S20*(1-$G20))*((1+Inputs!$D$7)^CG$2))),((Inputs!$D$8^((1-_xlfn.WEIBULL.DIST(CG$2,$M20,$L20,FALSE))/_xlfn.WEIBULL.DIST(CG$2,$M20,$L20,FALSE))*($T20*(1-$F20)+$S20*(1-$G20))*((1+Inputs!$D$7)^CG$2))))))))</f>
        <v>10.110624660141072</v>
      </c>
      <c r="CH20" s="88">
        <f>MAX(AR20,($E20*IF(CH$2&gt;Inputs!$D$5,0,IF(CH$2&gt;VLOOKUP($H20,Lists!$P$3:$Q$7,2),IF($N20=Lists!$K$3,IF($L20&lt;1,(($U20/$L20)*((1+Inputs!$D$7)^CH$2)),((INT(CH$2/$L20)-INT((CH$2-1)/$L20))*$U20*((1+Inputs!$D$7)^CH$2))),(Inputs!$D$8^((1-_xlfn.WEIBULL.DIST(CH$2,$M20,$L20,FALSE))/_xlfn.WEIBULL.DIST(CH$2,$M20,$L20,FALSE))*$U20*((1+Inputs!$D$7)^CH$2))),IF($N20=Lists!$K$3,IF($L20&lt;1,((($T20*(1-$F20)+$S20*(1-$G20))/$L20)*((1+Inputs!$D$7)^CH$2)),((INT(CH$2/$L20)-INT((CH$2-1)/$L20))*($T20*(1-$F20)+$S20*(1-$G20))*((1+Inputs!$D$7)^CH$2))),((Inputs!$D$8^((1-_xlfn.WEIBULL.DIST(CH$2,$M20,$L20,FALSE))/_xlfn.WEIBULL.DIST(CH$2,$M20,$L20,FALSE))*($T20*(1-$F20)+$S20*(1-$G20))*((1+Inputs!$D$7)^CH$2))))))))</f>
        <v>11.52471297368626</v>
      </c>
      <c r="CI20" s="88">
        <f>MAX(AS20,($E20*IF(CI$2&gt;Inputs!$D$5,0,IF(CI$2&gt;VLOOKUP($H20,Lists!$P$3:$Q$7,2),IF($N20=Lists!$K$3,IF($L20&lt;1,(($U20/$L20)*((1+Inputs!$D$7)^CI$2)),((INT(CI$2/$L20)-INT((CI$2-1)/$L20))*$U20*((1+Inputs!$D$7)^CI$2))),(Inputs!$D$8^((1-_xlfn.WEIBULL.DIST(CI$2,$M20,$L20,FALSE))/_xlfn.WEIBULL.DIST(CI$2,$M20,$L20,FALSE))*$U20*((1+Inputs!$D$7)^CI$2))),IF($N20=Lists!$K$3,IF($L20&lt;1,((($T20*(1-$F20)+$S20*(1-$G20))/$L20)*((1+Inputs!$D$7)^CI$2)),((INT(CI$2/$L20)-INT((CI$2-1)/$L20))*($T20*(1-$F20)+$S20*(1-$G20))*((1+Inputs!$D$7)^CI$2))),((Inputs!$D$8^((1-_xlfn.WEIBULL.DIST(CI$2,$M20,$L20,FALSE))/_xlfn.WEIBULL.DIST(CI$2,$M20,$L20,FALSE))*($T20*(1-$F20)+$S20*(1-$G20))*((1+Inputs!$D$7)^CI$2))))))))</f>
        <v>12.744854262941452</v>
      </c>
      <c r="CJ20" s="88">
        <f>MAX(AT20,($E20*IF(CJ$2&gt;Inputs!$D$5,0,IF(CJ$2&gt;VLOOKUP($H20,Lists!$P$3:$Q$7,2),IF($N20=Lists!$K$3,IF($L20&lt;1,(($U20/$L20)*((1+Inputs!$D$7)^CJ$2)),((INT(CJ$2/$L20)-INT((CJ$2-1)/$L20))*$U20*((1+Inputs!$D$7)^CJ$2))),(Inputs!$D$8^((1-_xlfn.WEIBULL.DIST(CJ$2,$M20,$L20,FALSE))/_xlfn.WEIBULL.DIST(CJ$2,$M20,$L20,FALSE))*$U20*((1+Inputs!$D$7)^CJ$2))),IF($N20=Lists!$K$3,IF($L20&lt;1,((($T20*(1-$F20)+$S20*(1-$G20))/$L20)*((1+Inputs!$D$7)^CJ$2)),((INT(CJ$2/$L20)-INT((CJ$2-1)/$L20))*($T20*(1-$F20)+$S20*(1-$G20))*((1+Inputs!$D$7)^CJ$2))),((Inputs!$D$8^((1-_xlfn.WEIBULL.DIST(CJ$2,$M20,$L20,FALSE))/_xlfn.WEIBULL.DIST(CJ$2,$M20,$L20,FALSE))*($T20*(1-$F20)+$S20*(1-$G20))*((1+Inputs!$D$7)^CJ$2))))))))</f>
        <v>13.725919583832928</v>
      </c>
      <c r="CK20" s="88">
        <f>MAX(AU20,($E20*IF(CK$2&gt;Inputs!$D$5,0,IF(CK$2&gt;VLOOKUP($H20,Lists!$P$3:$Q$7,2),IF($N20=Lists!$K$3,IF($L20&lt;1,(($U20/$L20)*((1+Inputs!$D$7)^CK$2)),((INT(CK$2/$L20)-INT((CK$2-1)/$L20))*$U20*((1+Inputs!$D$7)^CK$2))),(Inputs!$D$8^((1-_xlfn.WEIBULL.DIST(CK$2,$M20,$L20,FALSE))/_xlfn.WEIBULL.DIST(CK$2,$M20,$L20,FALSE))*$U20*((1+Inputs!$D$7)^CK$2))),IF($N20=Lists!$K$3,IF($L20&lt;1,((($T20*(1-$F20)+$S20*(1-$G20))/$L20)*((1+Inputs!$D$7)^CK$2)),((INT(CK$2/$L20)-INT((CK$2-1)/$L20))*($T20*(1-$F20)+$S20*(1-$G20))*((1+Inputs!$D$7)^CK$2))),((Inputs!$D$8^((1-_xlfn.WEIBULL.DIST(CK$2,$M20,$L20,FALSE))/_xlfn.WEIBULL.DIST(CK$2,$M20,$L20,FALSE))*($T20*(1-$F20)+$S20*(1-$G20))*((1+Inputs!$D$7)^CK$2))))))))</f>
        <v>14.431388888910243</v>
      </c>
      <c r="CL20" s="88">
        <f>MAX(AV20,($E20*IF(CL$2&gt;Inputs!$D$5,0,IF(CL$2&gt;VLOOKUP($H20,Lists!$P$3:$Q$7,2),IF($N20=Lists!$K$3,IF($L20&lt;1,(($U20/$L20)*((1+Inputs!$D$7)^CL$2)),((INT(CL$2/$L20)-INT((CL$2-1)/$L20))*$U20*((1+Inputs!$D$7)^CL$2))),(Inputs!$D$8^((1-_xlfn.WEIBULL.DIST(CL$2,$M20,$L20,FALSE))/_xlfn.WEIBULL.DIST(CL$2,$M20,$L20,FALSE))*$U20*((1+Inputs!$D$7)^CL$2))),IF($N20=Lists!$K$3,IF($L20&lt;1,((($T20*(1-$F20)+$S20*(1-$G20))/$L20)*((1+Inputs!$D$7)^CL$2)),((INT(CL$2/$L20)-INT((CL$2-1)/$L20))*($T20*(1-$F20)+$S20*(1-$G20))*((1+Inputs!$D$7)^CL$2))),((Inputs!$D$8^((1-_xlfn.WEIBULL.DIST(CL$2,$M20,$L20,FALSE))/_xlfn.WEIBULL.DIST(CL$2,$M20,$L20,FALSE))*($T20*(1-$F20)+$S20*(1-$G20))*((1+Inputs!$D$7)^CL$2))))))))</f>
        <v>14.832219516953874</v>
      </c>
      <c r="CM20" s="88">
        <f>MAX(AW20,($E20*IF(CM$2&gt;Inputs!$D$5,0,IF(CM$2&gt;VLOOKUP($H20,Lists!$P$3:$Q$7,2),IF($N20=Lists!$K$3,IF($L20&lt;1,(($U20/$L20)*((1+Inputs!$D$7)^CM$2)),((INT(CM$2/$L20)-INT((CM$2-1)/$L20))*$U20*((1+Inputs!$D$7)^CM$2))),(Inputs!$D$8^((1-_xlfn.WEIBULL.DIST(CM$2,$M20,$L20,FALSE))/_xlfn.WEIBULL.DIST(CM$2,$M20,$L20,FALSE))*$U20*((1+Inputs!$D$7)^CM$2))),IF($N20=Lists!$K$3,IF($L20&lt;1,((($T20*(1-$F20)+$S20*(1-$G20))/$L20)*((1+Inputs!$D$7)^CM$2)),((INT(CM$2/$L20)-INT((CM$2-1)/$L20))*($T20*(1-$F20)+$S20*(1-$G20))*((1+Inputs!$D$7)^CM$2))),((Inputs!$D$8^((1-_xlfn.WEIBULL.DIST(CM$2,$M20,$L20,FALSE))/_xlfn.WEIBULL.DIST(CM$2,$M20,$L20,FALSE))*($T20*(1-$F20)+$S20*(1-$G20))*((1+Inputs!$D$7)^CM$2))))))))</f>
        <v>14.906525152423868</v>
      </c>
      <c r="CN20" s="88">
        <f>MAX(AX20,($E20*IF(CN$2&gt;Inputs!$D$5,0,IF(CN$2&gt;VLOOKUP($H20,Lists!$P$3:$Q$7,2),IF($N20=Lists!$K$3,IF($L20&lt;1,(($U20/$L20)*((1+Inputs!$D$7)^CN$2)),((INT(CN$2/$L20)-INT((CN$2-1)/$L20))*$U20*((1+Inputs!$D$7)^CN$2))),(Inputs!$D$8^((1-_xlfn.WEIBULL.DIST(CN$2,$M20,$L20,FALSE))/_xlfn.WEIBULL.DIST(CN$2,$M20,$L20,FALSE))*$U20*((1+Inputs!$D$7)^CN$2))),IF($N20=Lists!$K$3,IF($L20&lt;1,((($T20*(1-$F20)+$S20*(1-$G20))/$L20)*((1+Inputs!$D$7)^CN$2)),((INT(CN$2/$L20)-INT((CN$2-1)/$L20))*($T20*(1-$F20)+$S20*(1-$G20))*((1+Inputs!$D$7)^CN$2))),((Inputs!$D$8^((1-_xlfn.WEIBULL.DIST(CN$2,$M20,$L20,FALSE))/_xlfn.WEIBULL.DIST(CN$2,$M20,$L20,FALSE))*($T20*(1-$F20)+$S20*(1-$G20))*((1+Inputs!$D$7)^CN$2))))))))</f>
        <v>14.640267050229784</v>
      </c>
      <c r="CO20" s="88">
        <f>MAX(AY20,($E20*IF(CO$2&gt;Inputs!$D$5,0,IF(CO$2&gt;VLOOKUP($H20,Lists!$P$3:$Q$7,2),IF($N20=Lists!$K$3,IF($L20&lt;1,(($U20/$L20)*((1+Inputs!$D$7)^CO$2)),((INT(CO$2/$L20)-INT((CO$2-1)/$L20))*$U20*((1+Inputs!$D$7)^CO$2))),(Inputs!$D$8^((1-_xlfn.WEIBULL.DIST(CO$2,$M20,$L20,FALSE))/_xlfn.WEIBULL.DIST(CO$2,$M20,$L20,FALSE))*$U20*((1+Inputs!$D$7)^CO$2))),IF($N20=Lists!$K$3,IF($L20&lt;1,((($T20*(1-$F20)+$S20*(1-$G20))/$L20)*((1+Inputs!$D$7)^CO$2)),((INT(CO$2/$L20)-INT((CO$2-1)/$L20))*($T20*(1-$F20)+$S20*(1-$G20))*((1+Inputs!$D$7)^CO$2))),((Inputs!$D$8^((1-_xlfn.WEIBULL.DIST(CO$2,$M20,$L20,FALSE))/_xlfn.WEIBULL.DIST(CO$2,$M20,$L20,FALSE))*($T20*(1-$F20)+$S20*(1-$G20))*((1+Inputs!$D$7)^CO$2))))))))</f>
        <v>14.029087491811977</v>
      </c>
      <c r="CP20" s="88">
        <f>MAX(AZ20,($E20*IF(CP$2&gt;Inputs!$D$5,0,IF(CP$2&gt;VLOOKUP($H20,Lists!$P$3:$Q$7,2),IF($N20=Lists!$K$3,IF($L20&lt;1,(($U20/$L20)*((1+Inputs!$D$7)^CP$2)),((INT(CP$2/$L20)-INT((CP$2-1)/$L20))*$U20*((1+Inputs!$D$7)^CP$2))),(Inputs!$D$8^((1-_xlfn.WEIBULL.DIST(CP$2,$M20,$L20,FALSE))/_xlfn.WEIBULL.DIST(CP$2,$M20,$L20,FALSE))*$U20*((1+Inputs!$D$7)^CP$2))),IF($N20=Lists!$K$3,IF($L20&lt;1,((($T20*(1-$F20)+$S20*(1-$G20))/$L20)*((1+Inputs!$D$7)^CP$2)),((INT(CP$2/$L20)-INT((CP$2-1)/$L20))*($T20*(1-$F20)+$S20*(1-$G20))*((1+Inputs!$D$7)^CP$2))),((Inputs!$D$8^((1-_xlfn.WEIBULL.DIST(CP$2,$M20,$L20,FALSE))/_xlfn.WEIBULL.DIST(CP$2,$M20,$L20,FALSE))*($T20*(1-$F20)+$S20*(1-$G20))*((1+Inputs!$D$7)^CP$2))))))))</f>
        <v>0</v>
      </c>
      <c r="CQ20" s="88">
        <f>MAX(BA20,($E20*IF(CQ$2&gt;Inputs!$D$5,0,IF(CQ$2&gt;VLOOKUP($H20,Lists!$P$3:$Q$7,2),IF($N20=Lists!$K$3,IF($L20&lt;1,(($U20/$L20)*((1+Inputs!$D$7)^CQ$2)),((INT(CQ$2/$L20)-INT((CQ$2-1)/$L20))*$U20*((1+Inputs!$D$7)^CQ$2))),(Inputs!$D$8^((1-_xlfn.WEIBULL.DIST(CQ$2,$M20,$L20,FALSE))/_xlfn.WEIBULL.DIST(CQ$2,$M20,$L20,FALSE))*$U20*((1+Inputs!$D$7)^CQ$2))),IF($N20=Lists!$K$3,IF($L20&lt;1,((($T20*(1-$F20)+$S20*(1-$G20))/$L20)*((1+Inputs!$D$7)^CQ$2)),((INT(CQ$2/$L20)-INT((CQ$2-1)/$L20))*($T20*(1-$F20)+$S20*(1-$G20))*((1+Inputs!$D$7)^CQ$2))),((Inputs!$D$8^((1-_xlfn.WEIBULL.DIST(CQ$2,$M20,$L20,FALSE))/_xlfn.WEIBULL.DIST(CQ$2,$M20,$L20,FALSE))*($T20*(1-$F20)+$S20*(1-$G20))*((1+Inputs!$D$7)^CQ$2))))))))</f>
        <v>0</v>
      </c>
      <c r="CR20" s="88">
        <f>MAX(BB20,($E20*IF(CR$2&gt;Inputs!$D$5,0,IF(CR$2&gt;VLOOKUP($H20,Lists!$P$3:$Q$7,2),IF($N20=Lists!$K$3,IF($L20&lt;1,(($U20/$L20)*((1+Inputs!$D$7)^CR$2)),((INT(CR$2/$L20)-INT((CR$2-1)/$L20))*$U20*((1+Inputs!$D$7)^CR$2))),(Inputs!$D$8^((1-_xlfn.WEIBULL.DIST(CR$2,$M20,$L20,FALSE))/_xlfn.WEIBULL.DIST(CR$2,$M20,$L20,FALSE))*$U20*((1+Inputs!$D$7)^CR$2))),IF($N20=Lists!$K$3,IF($L20&lt;1,((($T20*(1-$F20)+$S20*(1-$G20))/$L20)*((1+Inputs!$D$7)^CR$2)),((INT(CR$2/$L20)-INT((CR$2-1)/$L20))*($T20*(1-$F20)+$S20*(1-$G20))*((1+Inputs!$D$7)^CR$2))),((Inputs!$D$8^((1-_xlfn.WEIBULL.DIST(CR$2,$M20,$L20,FALSE))/_xlfn.WEIBULL.DIST(CR$2,$M20,$L20,FALSE))*($T20*(1-$F20)+$S20*(1-$G20))*((1+Inputs!$D$7)^CR$2))))))))</f>
        <v>0</v>
      </c>
      <c r="CS20" s="88">
        <f>MAX(BC20,($E20*IF(CS$2&gt;Inputs!$D$5,0,IF(CS$2&gt;VLOOKUP($H20,Lists!$P$3:$Q$7,2),IF($N20=Lists!$K$3,IF($L20&lt;1,(($U20/$L20)*((1+Inputs!$D$7)^CS$2)),((INT(CS$2/$L20)-INT((CS$2-1)/$L20))*$U20*((1+Inputs!$D$7)^CS$2))),(Inputs!$D$8^((1-_xlfn.WEIBULL.DIST(CS$2,$M20,$L20,FALSE))/_xlfn.WEIBULL.DIST(CS$2,$M20,$L20,FALSE))*$U20*((1+Inputs!$D$7)^CS$2))),IF($N20=Lists!$K$3,IF($L20&lt;1,((($T20*(1-$F20)+$S20*(1-$G20))/$L20)*((1+Inputs!$D$7)^CS$2)),((INT(CS$2/$L20)-INT((CS$2-1)/$L20))*($T20*(1-$F20)+$S20*(1-$G20))*((1+Inputs!$D$7)^CS$2))),((Inputs!$D$8^((1-_xlfn.WEIBULL.DIST(CS$2,$M20,$L20,FALSE))/_xlfn.WEIBULL.DIST(CS$2,$M20,$L20,FALSE))*($T20*(1-$F20)+$S20*(1-$G20))*((1+Inputs!$D$7)^CS$2))))))))</f>
        <v>0</v>
      </c>
      <c r="CT20" s="88">
        <f>MAX(BD20,($E20*IF(CT$2&gt;Inputs!$D$5,0,IF(CT$2&gt;VLOOKUP($H20,Lists!$P$3:$Q$7,2),IF($N20=Lists!$K$3,IF($L20&lt;1,(($U20/$L20)*((1+Inputs!$D$7)^CT$2)),((INT(CT$2/$L20)-INT((CT$2-1)/$L20))*$U20*((1+Inputs!$D$7)^CT$2))),(Inputs!$D$8^((1-_xlfn.WEIBULL.DIST(CT$2,$M20,$L20,FALSE))/_xlfn.WEIBULL.DIST(CT$2,$M20,$L20,FALSE))*$U20*((1+Inputs!$D$7)^CT$2))),IF($N20=Lists!$K$3,IF($L20&lt;1,((($T20*(1-$F20)+$S20*(1-$G20))/$L20)*((1+Inputs!$D$7)^CT$2)),((INT(CT$2/$L20)-INT((CT$2-1)/$L20))*($T20*(1-$F20)+$S20*(1-$G20))*((1+Inputs!$D$7)^CT$2))),((Inputs!$D$8^((1-_xlfn.WEIBULL.DIST(CT$2,$M20,$L20,FALSE))/_xlfn.WEIBULL.DIST(CT$2,$M20,$L20,FALSE))*($T20*(1-$F20)+$S20*(1-$G20))*((1+Inputs!$D$7)^CT$2))))))))</f>
        <v>0</v>
      </c>
      <c r="CU20" s="88">
        <f>MAX(BE20,($E20*IF(CU$2&gt;Inputs!$D$5,0,IF(CU$2&gt;VLOOKUP($H20,Lists!$P$3:$Q$7,2),IF($N20=Lists!$K$3,IF($L20&lt;1,(($U20/$L20)*((1+Inputs!$D$7)^CU$2)),((INT(CU$2/$L20)-INT((CU$2-1)/$L20))*$U20*((1+Inputs!$D$7)^CU$2))),(Inputs!$D$8^((1-_xlfn.WEIBULL.DIST(CU$2,$M20,$L20,FALSE))/_xlfn.WEIBULL.DIST(CU$2,$M20,$L20,FALSE))*$U20*((1+Inputs!$D$7)^CU$2))),IF($N20=Lists!$K$3,IF($L20&lt;1,((($T20*(1-$F20)+$S20*(1-$G20))/$L20)*((1+Inputs!$D$7)^CU$2)),((INT(CU$2/$L20)-INT((CU$2-1)/$L20))*($T20*(1-$F20)+$S20*(1-$G20))*((1+Inputs!$D$7)^CU$2))),((Inputs!$D$8^((1-_xlfn.WEIBULL.DIST(CU$2,$M20,$L20,FALSE))/_xlfn.WEIBULL.DIST(CU$2,$M20,$L20,FALSE))*($T20*(1-$F20)+$S20*(1-$G20))*((1+Inputs!$D$7)^CU$2))))))))</f>
        <v>0</v>
      </c>
      <c r="CV20" s="88">
        <f>MAX(BF20,($E20*IF(CV$2&gt;Inputs!$D$5,0,IF(CV$2&gt;VLOOKUP($H20,Lists!$P$3:$Q$7,2),IF($N20=Lists!$K$3,IF($L20&lt;1,(($U20/$L20)*((1+Inputs!$D$7)^CV$2)),((INT(CV$2/$L20)-INT((CV$2-1)/$L20))*$U20*((1+Inputs!$D$7)^CV$2))),(Inputs!$D$8^((1-_xlfn.WEIBULL.DIST(CV$2,$M20,$L20,FALSE))/_xlfn.WEIBULL.DIST(CV$2,$M20,$L20,FALSE))*$U20*((1+Inputs!$D$7)^CV$2))),IF($N20=Lists!$K$3,IF($L20&lt;1,((($T20*(1-$F20)+$S20*(1-$G20))/$L20)*((1+Inputs!$D$7)^CV$2)),((INT(CV$2/$L20)-INT((CV$2-1)/$L20))*($T20*(1-$F20)+$S20*(1-$G20))*((1+Inputs!$D$7)^CV$2))),((Inputs!$D$8^((1-_xlfn.WEIBULL.DIST(CV$2,$M20,$L20,FALSE))/_xlfn.WEIBULL.DIST(CV$2,$M20,$L20,FALSE))*($T20*(1-$F20)+$S20*(1-$G20))*((1+Inputs!$D$7)^CV$2))))))))</f>
        <v>0</v>
      </c>
      <c r="CW20" s="88">
        <f>MAX(BG20,($E20*IF(CW$2&gt;Inputs!$D$5,0,IF(CW$2&gt;VLOOKUP($H20,Lists!$P$3:$Q$7,2),IF($N20=Lists!$K$3,IF($L20&lt;1,(($U20/$L20)*((1+Inputs!$D$7)^CW$2)),((INT(CW$2/$L20)-INT((CW$2-1)/$L20))*$U20*((1+Inputs!$D$7)^CW$2))),(Inputs!$D$8^((1-_xlfn.WEIBULL.DIST(CW$2,$M20,$L20,FALSE))/_xlfn.WEIBULL.DIST(CW$2,$M20,$L20,FALSE))*$U20*((1+Inputs!$D$7)^CW$2))),IF($N20=Lists!$K$3,IF($L20&lt;1,((($T20*(1-$F20)+$S20*(1-$G20))/$L20)*((1+Inputs!$D$7)^CW$2)),((INT(CW$2/$L20)-INT((CW$2-1)/$L20))*($T20*(1-$F20)+$S20*(1-$G20))*((1+Inputs!$D$7)^CW$2))),((Inputs!$D$8^((1-_xlfn.WEIBULL.DIST(CW$2,$M20,$L20,FALSE))/_xlfn.WEIBULL.DIST(CW$2,$M20,$L20,FALSE))*($T20*(1-$F20)+$S20*(1-$G20))*((1+Inputs!$D$7)^CW$2))))))))</f>
        <v>0</v>
      </c>
      <c r="CX20" s="88">
        <f>MAX(BH20,($E20*IF(CX$2&gt;Inputs!$D$5,0,IF(CX$2&gt;VLOOKUP($H20,Lists!$P$3:$Q$7,2),IF($N20=Lists!$K$3,IF($L20&lt;1,(($U20/$L20)*((1+Inputs!$D$7)^CX$2)),((INT(CX$2/$L20)-INT((CX$2-1)/$L20))*$U20*((1+Inputs!$D$7)^CX$2))),(Inputs!$D$8^((1-_xlfn.WEIBULL.DIST(CX$2,$M20,$L20,FALSE))/_xlfn.WEIBULL.DIST(CX$2,$M20,$L20,FALSE))*$U20*((1+Inputs!$D$7)^CX$2))),IF($N20=Lists!$K$3,IF($L20&lt;1,((($T20*(1-$F20)+$S20*(1-$G20))/$L20)*((1+Inputs!$D$7)^CX$2)),((INT(CX$2/$L20)-INT((CX$2-1)/$L20))*($T20*(1-$F20)+$S20*(1-$G20))*((1+Inputs!$D$7)^CX$2))),((Inputs!$D$8^((1-_xlfn.WEIBULL.DIST(CX$2,$M20,$L20,FALSE))/_xlfn.WEIBULL.DIST(CX$2,$M20,$L20,FALSE))*($T20*(1-$F20)+$S20*(1-$G20))*((1+Inputs!$D$7)^CX$2))))))))</f>
        <v>0</v>
      </c>
      <c r="CY20" s="88">
        <f>MAX(BI20,($E20*IF(CY$2&gt;Inputs!$D$5,0,IF(CY$2&gt;VLOOKUP($H20,Lists!$P$3:$Q$7,2),IF($N20=Lists!$K$3,IF($L20&lt;1,(($U20/$L20)*((1+Inputs!$D$7)^CY$2)),((INT(CY$2/$L20)-INT((CY$2-1)/$L20))*$U20*((1+Inputs!$D$7)^CY$2))),(Inputs!$D$8^((1-_xlfn.WEIBULL.DIST(CY$2,$M20,$L20,FALSE))/_xlfn.WEIBULL.DIST(CY$2,$M20,$L20,FALSE))*$U20*((1+Inputs!$D$7)^CY$2))),IF($N20=Lists!$K$3,IF($L20&lt;1,((($T20*(1-$F20)+$S20*(1-$G20))/$L20)*((1+Inputs!$D$7)^CY$2)),((INT(CY$2/$L20)-INT((CY$2-1)/$L20))*($T20*(1-$F20)+$S20*(1-$G20))*((1+Inputs!$D$7)^CY$2))),((Inputs!$D$8^((1-_xlfn.WEIBULL.DIST(CY$2,$M20,$L20,FALSE))/_xlfn.WEIBULL.DIST(CY$2,$M20,$L20,FALSE))*($T20*(1-$F20)+$S20*(1-$G20))*((1+Inputs!$D$7)^CY$2))))))))</f>
        <v>0</v>
      </c>
      <c r="CZ20" s="88">
        <f>MAX(BJ20,($E20*IF(CZ$2&gt;Inputs!$D$5,0,IF(CZ$2&gt;VLOOKUP($H20,Lists!$P$3:$Q$7,2),IF($N20=Lists!$K$3,IF($L20&lt;1,(($U20/$L20)*((1+Inputs!$D$7)^CZ$2)),((INT(CZ$2/$L20)-INT((CZ$2-1)/$L20))*$U20*((1+Inputs!$D$7)^CZ$2))),(Inputs!$D$8^((1-_xlfn.WEIBULL.DIST(CZ$2,$M20,$L20,FALSE))/_xlfn.WEIBULL.DIST(CZ$2,$M20,$L20,FALSE))*$U20*((1+Inputs!$D$7)^CZ$2))),IF($N20=Lists!$K$3,IF($L20&lt;1,((($T20*(1-$F20)+$S20*(1-$G20))/$L20)*((1+Inputs!$D$7)^CZ$2)),((INT(CZ$2/$L20)-INT((CZ$2-1)/$L20))*($T20*(1-$F20)+$S20*(1-$G20))*((1+Inputs!$D$7)^CZ$2))),((Inputs!$D$8^((1-_xlfn.WEIBULL.DIST(CZ$2,$M20,$L20,FALSE))/_xlfn.WEIBULL.DIST(CZ$2,$M20,$L20,FALSE))*($T20*(1-$F20)+$S20*(1-$G20))*((1+Inputs!$D$7)^CZ$2))))))))</f>
        <v>0</v>
      </c>
      <c r="DA20" s="88">
        <f>MAX(BK20,($E20*IF(DA$2&gt;Inputs!$D$5,0,IF(DA$2&gt;VLOOKUP($H20,Lists!$P$3:$Q$7,2),IF($N20=Lists!$K$3,IF($L20&lt;1,(($U20/$L20)*((1+Inputs!$D$7)^DA$2)),((INT(DA$2/$L20)-INT((DA$2-1)/$L20))*$U20*((1+Inputs!$D$7)^DA$2))),(Inputs!$D$8^((1-_xlfn.WEIBULL.DIST(DA$2,$M20,$L20,FALSE))/_xlfn.WEIBULL.DIST(DA$2,$M20,$L20,FALSE))*$U20*((1+Inputs!$D$7)^DA$2))),IF($N20=Lists!$K$3,IF($L20&lt;1,((($T20*(1-$F20)+$S20*(1-$G20))/$L20)*((1+Inputs!$D$7)^DA$2)),((INT(DA$2/$L20)-INT((DA$2-1)/$L20))*($T20*(1-$F20)+$S20*(1-$G20))*((1+Inputs!$D$7)^DA$2))),((Inputs!$D$8^((1-_xlfn.WEIBULL.DIST(DA$2,$M20,$L20,FALSE))/_xlfn.WEIBULL.DIST(DA$2,$M20,$L20,FALSE))*($T20*(1-$F20)+$S20*(1-$G20))*((1+Inputs!$D$7)^DA$2))))))))</f>
        <v>0</v>
      </c>
      <c r="DB20" s="88">
        <f>MAX(BL20,($E20*IF(DB$2&gt;Inputs!$D$5,0,IF(DB$2&gt;VLOOKUP($H20,Lists!$P$3:$Q$7,2),IF($N20=Lists!$K$3,IF($L20&lt;1,(($U20/$L20)*((1+Inputs!$D$7)^DB$2)),((INT(DB$2/$L20)-INT((DB$2-1)/$L20))*$U20*((1+Inputs!$D$7)^DB$2))),(Inputs!$D$8^((1-_xlfn.WEIBULL.DIST(DB$2,$M20,$L20,FALSE))/_xlfn.WEIBULL.DIST(DB$2,$M20,$L20,FALSE))*$U20*((1+Inputs!$D$7)^DB$2))),IF($N20=Lists!$K$3,IF($L20&lt;1,((($T20*(1-$F20)+$S20*(1-$G20))/$L20)*((1+Inputs!$D$7)^DB$2)),((INT(DB$2/$L20)-INT((DB$2-1)/$L20))*($T20*(1-$F20)+$S20*(1-$G20))*((1+Inputs!$D$7)^DB$2))),((Inputs!$D$8^((1-_xlfn.WEIBULL.DIST(DB$2,$M20,$L20,FALSE))/_xlfn.WEIBULL.DIST(DB$2,$M20,$L20,FALSE))*($T20*(1-$F20)+$S20*(1-$G20))*((1+Inputs!$D$7)^DB$2))))))))</f>
        <v>0</v>
      </c>
      <c r="DC20" s="88">
        <f>MAX(BM20,($E20*IF(DC$2&gt;Inputs!$D$5,0,IF(DC$2&gt;VLOOKUP($H20,Lists!$P$3:$Q$7,2),IF($N20=Lists!$K$3,IF($L20&lt;1,(($U20/$L20)*((1+Inputs!$D$7)^DC$2)),((INT(DC$2/$L20)-INT((DC$2-1)/$L20))*$U20*((1+Inputs!$D$7)^DC$2))),(Inputs!$D$8^((1-_xlfn.WEIBULL.DIST(DC$2,$M20,$L20,FALSE))/_xlfn.WEIBULL.DIST(DC$2,$M20,$L20,FALSE))*$U20*((1+Inputs!$D$7)^DC$2))),IF($N20=Lists!$K$3,IF($L20&lt;1,((($T20*(1-$F20)+$S20*(1-$G20))/$L20)*((1+Inputs!$D$7)^DC$2)),((INT(DC$2/$L20)-INT((DC$2-1)/$L20))*($T20*(1-$F20)+$S20*(1-$G20))*((1+Inputs!$D$7)^DC$2))),((Inputs!$D$8^((1-_xlfn.WEIBULL.DIST(DC$2,$M20,$L20,FALSE))/_xlfn.WEIBULL.DIST(DC$2,$M20,$L20,FALSE))*($T20*(1-$F20)+$S20*(1-$G20))*((1+Inputs!$D$7)^DC$2))))))))</f>
        <v>0</v>
      </c>
      <c r="DD20" s="88">
        <f>MAX(BN20,($E20*IF(DD$2&gt;Inputs!$D$5,0,IF(DD$2&gt;VLOOKUP($H20,Lists!$P$3:$Q$7,2),IF($N20=Lists!$K$3,IF($L20&lt;1,(($U20/$L20)*((1+Inputs!$D$7)^DD$2)),((INT(DD$2/$L20)-INT((DD$2-1)/$L20))*$U20*((1+Inputs!$D$7)^DD$2))),(Inputs!$D$8^((1-_xlfn.WEIBULL.DIST(DD$2,$M20,$L20,FALSE))/_xlfn.WEIBULL.DIST(DD$2,$M20,$L20,FALSE))*$U20*((1+Inputs!$D$7)^DD$2))),IF($N20=Lists!$K$3,IF($L20&lt;1,((($T20*(1-$F20)+$S20*(1-$G20))/$L20)*((1+Inputs!$D$7)^DD$2)),((INT(DD$2/$L20)-INT((DD$2-1)/$L20))*($T20*(1-$F20)+$S20*(1-$G20))*((1+Inputs!$D$7)^DD$2))),((Inputs!$D$8^((1-_xlfn.WEIBULL.DIST(DD$2,$M20,$L20,FALSE))/_xlfn.WEIBULL.DIST(DD$2,$M20,$L20,FALSE))*($T20*(1-$F20)+$S20*(1-$G20))*((1+Inputs!$D$7)^DD$2))))))))</f>
        <v>0</v>
      </c>
    </row>
    <row r="21" spans="1:108" ht="16">
      <c r="A21" s="57" t="s">
        <v>204</v>
      </c>
      <c r="B21" s="13" t="s">
        <v>130</v>
      </c>
      <c r="C21" s="13" t="s">
        <v>474</v>
      </c>
      <c r="D21" s="13" t="s">
        <v>214</v>
      </c>
      <c r="E21" s="48">
        <f>IF(Inputs!$D$30=Lists!$M$4,1,0)</f>
        <v>1</v>
      </c>
      <c r="F21" s="48">
        <v>1</v>
      </c>
      <c r="G21" s="48">
        <v>1</v>
      </c>
      <c r="H21" s="105" t="s">
        <v>349</v>
      </c>
      <c r="I21" s="14"/>
      <c r="J21" s="14" t="s">
        <v>87</v>
      </c>
      <c r="K21" s="13">
        <f>VLOOKUP(J21,'Labor Rates'!$A$1:$F$16,2)</f>
        <v>32.012019230769226</v>
      </c>
      <c r="L21" s="15">
        <v>25</v>
      </c>
      <c r="M21" s="15">
        <v>3</v>
      </c>
      <c r="N21" s="16" t="s">
        <v>226</v>
      </c>
      <c r="O21" s="61">
        <f>IF(Inputs!$D$28=0,0,Inputs!$D$27/Inputs!$D$28)</f>
        <v>157</v>
      </c>
      <c r="P21" s="15">
        <v>0.08</v>
      </c>
      <c r="Q21" s="15">
        <f t="shared" si="0"/>
        <v>0.50240000000000007</v>
      </c>
      <c r="R21" s="4">
        <v>5</v>
      </c>
      <c r="S21" s="53">
        <f t="shared" si="1"/>
        <v>402.07096153846152</v>
      </c>
      <c r="T21" s="53">
        <f t="shared" si="2"/>
        <v>785</v>
      </c>
      <c r="U21" s="54">
        <f t="shared" si="3"/>
        <v>1187.0709615384615</v>
      </c>
      <c r="V21" s="65"/>
      <c r="W21" s="58"/>
      <c r="X21" s="64">
        <f t="shared" si="4"/>
        <v>33.788683970492556</v>
      </c>
      <c r="Y21" s="64">
        <f>NPV(Inputs!$D$6,AA21:BN21)</f>
        <v>344.34667843075641</v>
      </c>
      <c r="Z21" s="67">
        <f t="shared" si="5"/>
        <v>1.6241070479655679E-4</v>
      </c>
      <c r="AA21" s="88">
        <f>$E21*IF(AA$2&gt;Inputs!$D$5,0,IF(AA$2&gt;VLOOKUP($H21,Lists!$P$3:$Q$7,2),IF($N21=Lists!$K$3,IF($L21&lt;1,(($U21/$L21)*((1+Inputs!$D$7)^AA$2)),((INT(AA$2/$L21)-INT((AA$2-1)/$L21))*$U21*((1+Inputs!$D$7)^AA$2))),(_xlfn.WEIBULL.DIST(AA$2,$M21,$L21,FALSE)*$U21*((1+Inputs!$D$7)^AA$2))),IF($N21=Lists!$K$3,IF($L21&lt;1,((($T21*(1-$F21)+$S21*(1-$G21))/$L21)*((1+Inputs!$D$7)^AA$2)),((INT(AA$2/$L21)-INT((AA$2-1)/$L21))*($T21*(1-$F21)+$S21*(1-$G21))*((1+Inputs!$D$7)^AA$2))),((_xlfn.WEIBULL.DIST(AA$2,$M21,$L21,FALSE)*($T21*(1-$F21)+$S21*(1-$G21))*((1+Inputs!$D$7)^AA$2))))))</f>
        <v>0</v>
      </c>
      <c r="AB21" s="88">
        <f>$E21*IF(AB$2&gt;Inputs!$D$5,0,IF(AB$2&gt;VLOOKUP($H21,Lists!$P$3:$Q$7,2),IF($N21=Lists!$K$3,IF($L21&lt;1,(($U21/$L21)*((1+Inputs!$D$7)^AB$2)),((INT(AB$2/$L21)-INT((AB$2-1)/$L21))*$U21*((1+Inputs!$D$7)^AB$2))),(_xlfn.WEIBULL.DIST(AB$2,$M21,$L21,FALSE)*$U21*((1+Inputs!$D$7)^AB$2))),IF($N21=Lists!$K$3,IF($L21&lt;1,((($T21*(1-$F21)+$S21*(1-$G21))/$L21)*((1+Inputs!$D$7)^AB$2)),((INT(AB$2/$L21)-INT((AB$2-1)/$L21))*($T21*(1-$F21)+$S21*(1-$G21))*((1+Inputs!$D$7)^AB$2))),((_xlfn.WEIBULL.DIST(AB$2,$M21,$L21,FALSE)*($T21*(1-$F21)+$S21*(1-$G21))*((1+Inputs!$D$7)^AB$2))))))</f>
        <v>0.94801647788308407</v>
      </c>
      <c r="AC21" s="88">
        <f>$E21*IF(AC$2&gt;Inputs!$D$5,0,IF(AC$2&gt;VLOOKUP($H21,Lists!$P$3:$Q$7,2),IF($N21=Lists!$K$3,IF($L21&lt;1,(($U21/$L21)*((1+Inputs!$D$7)^AC$2)),((INT(AC$2/$L21)-INT((AC$2-1)/$L21))*$U21*((1+Inputs!$D$7)^AC$2))),(_xlfn.WEIBULL.DIST(AC$2,$M21,$L21,FALSE)*$U21*((1+Inputs!$D$7)^AC$2))),IF($N21=Lists!$K$3,IF($L21&lt;1,((($T21*(1-$F21)+$S21*(1-$G21))/$L21)*((1+Inputs!$D$7)^AC$2)),((INT(AC$2/$L21)-INT((AC$2-1)/$L21))*($T21*(1-$F21)+$S21*(1-$G21))*((1+Inputs!$D$7)^AC$2))),((_xlfn.WEIBULL.DIST(AC$2,$M21,$L21,FALSE)*($T21*(1-$F21)+$S21*(1-$G21))*((1+Inputs!$D$7)^AC$2))))))</f>
        <v>2.1730537760990338</v>
      </c>
      <c r="AD21" s="88">
        <f>$E21*IF(AD$2&gt;Inputs!$D$5,0,IF(AD$2&gt;VLOOKUP($H21,Lists!$P$3:$Q$7,2),IF($N21=Lists!$K$3,IF($L21&lt;1,(($U21/$L21)*((1+Inputs!$D$7)^AD$2)),((INT(AD$2/$L21)-INT((AD$2-1)/$L21))*$U21*((1+Inputs!$D$7)^AD$2))),(_xlfn.WEIBULL.DIST(AD$2,$M21,$L21,FALSE)*$U21*((1+Inputs!$D$7)^AD$2))),IF($N21=Lists!$K$3,IF($L21&lt;1,((($T21*(1-$F21)+$S21*(1-$G21))/$L21)*((1+Inputs!$D$7)^AD$2)),((INT(AD$2/$L21)-INT((AD$2-1)/$L21))*($T21*(1-$F21)+$S21*(1-$G21))*((1+Inputs!$D$7)^AD$2))),((_xlfn.WEIBULL.DIST(AD$2,$M21,$L21,FALSE)*($T21*(1-$F21)+$S21*(1-$G21))*((1+Inputs!$D$7)^AD$2))))))</f>
        <v>3.9311508515898264</v>
      </c>
      <c r="AE21" s="88">
        <f>$E21*IF(AE$2&gt;Inputs!$D$5,0,IF(AE$2&gt;VLOOKUP($H21,Lists!$P$3:$Q$7,2),IF($N21=Lists!$K$3,IF($L21&lt;1,(($U21/$L21)*((1+Inputs!$D$7)^AE$2)),((INT(AE$2/$L21)-INT((AE$2-1)/$L21))*$U21*((1+Inputs!$D$7)^AE$2))),(_xlfn.WEIBULL.DIST(AE$2,$M21,$L21,FALSE)*$U21*((1+Inputs!$D$7)^AE$2))),IF($N21=Lists!$K$3,IF($L21&lt;1,((($T21*(1-$F21)+$S21*(1-$G21))/$L21)*((1+Inputs!$D$7)^AE$2)),((INT(AE$2/$L21)-INT((AE$2-1)/$L21))*($T21*(1-$F21)+$S21*(1-$G21))*((1+Inputs!$D$7)^AE$2))),((_xlfn.WEIBULL.DIST(AE$2,$M21,$L21,FALSE)*($T21*(1-$F21)+$S21*(1-$G21))*((1+Inputs!$D$7)^AE$2))))))</f>
        <v>6.2408597322303025</v>
      </c>
      <c r="AF21" s="88">
        <f>$E21*IF(AF$2&gt;Inputs!$D$5,0,IF(AF$2&gt;VLOOKUP($H21,Lists!$P$3:$Q$7,2),IF($N21=Lists!$K$3,IF($L21&lt;1,(($U21/$L21)*((1+Inputs!$D$7)^AF$2)),((INT(AF$2/$L21)-INT((AF$2-1)/$L21))*$U21*((1+Inputs!$D$7)^AF$2))),(_xlfn.WEIBULL.DIST(AF$2,$M21,$L21,FALSE)*$U21*((1+Inputs!$D$7)^AF$2))),IF($N21=Lists!$K$3,IF($L21&lt;1,((($T21*(1-$F21)+$S21*(1-$G21))/$L21)*((1+Inputs!$D$7)^AF$2)),((INT(AF$2/$L21)-INT((AF$2-1)/$L21))*($T21*(1-$F21)+$S21*(1-$G21))*((1+Inputs!$D$7)^AF$2))),((_xlfn.WEIBULL.DIST(AF$2,$M21,$L21,FALSE)*($T21*(1-$F21)+$S21*(1-$G21))*((1+Inputs!$D$7)^AF$2))))))</f>
        <v>9.1133438022653355</v>
      </c>
      <c r="AG21" s="88">
        <f>$E21*IF(AG$2&gt;Inputs!$D$5,0,IF(AG$2&gt;VLOOKUP($H21,Lists!$P$3:$Q$7,2),IF($N21=Lists!$K$3,IF($L21&lt;1,(($U21/$L21)*((1+Inputs!$D$7)^AG$2)),((INT(AG$2/$L21)-INT((AG$2-1)/$L21))*$U21*((1+Inputs!$D$7)^AG$2))),(_xlfn.WEIBULL.DIST(AG$2,$M21,$L21,FALSE)*$U21*((1+Inputs!$D$7)^AG$2))),IF($N21=Lists!$K$3,IF($L21&lt;1,((($T21*(1-$F21)+$S21*(1-$G21))/$L21)*((1+Inputs!$D$7)^AG$2)),((INT(AG$2/$L21)-INT((AG$2-1)/$L21))*($T21*(1-$F21)+$S21*(1-$G21))*((1+Inputs!$D$7)^AG$2))),((_xlfn.WEIBULL.DIST(AG$2,$M21,$L21,FALSE)*($T21*(1-$F21)+$S21*(1-$G21))*((1+Inputs!$D$7)^AG$2))))))</f>
        <v>12.549937410154476</v>
      </c>
      <c r="AH21" s="88">
        <f>$E21*IF(AH$2&gt;Inputs!$D$5,0,IF(AH$2&gt;VLOOKUP($H21,Lists!$P$3:$Q$7,2),IF($N21=Lists!$K$3,IF($L21&lt;1,(($U21/$L21)*((1+Inputs!$D$7)^AH$2)),((INT(AH$2/$L21)-INT((AH$2-1)/$L21))*$U21*((1+Inputs!$D$7)^AH$2))),(_xlfn.WEIBULL.DIST(AH$2,$M21,$L21,FALSE)*$U21*((1+Inputs!$D$7)^AH$2))),IF($N21=Lists!$K$3,IF($L21&lt;1,((($T21*(1-$F21)+$S21*(1-$G21))/$L21)*((1+Inputs!$D$7)^AH$2)),((INT(AH$2/$L21)-INT((AH$2-1)/$L21))*($T21*(1-$F21)+$S21*(1-$G21))*((1+Inputs!$D$7)^AH$2))),((_xlfn.WEIBULL.DIST(AH$2,$M21,$L21,FALSE)*($T21*(1-$F21)+$S21*(1-$G21))*((1+Inputs!$D$7)^AH$2))))))</f>
        <v>16.539725459389334</v>
      </c>
      <c r="AI21" s="88">
        <f>$E21*IF(AI$2&gt;Inputs!$D$5,0,IF(AI$2&gt;VLOOKUP($H21,Lists!$P$3:$Q$7,2),IF($N21=Lists!$K$3,IF($L21&lt;1,(($U21/$L21)*((1+Inputs!$D$7)^AI$2)),((INT(AI$2/$L21)-INT((AI$2-1)/$L21))*$U21*((1+Inputs!$D$7)^AI$2))),(_xlfn.WEIBULL.DIST(AI$2,$M21,$L21,FALSE)*$U21*((1+Inputs!$D$7)^AI$2))),IF($N21=Lists!$K$3,IF($L21&lt;1,((($T21*(1-$F21)+$S21*(1-$G21))/$L21)*((1+Inputs!$D$7)^AI$2)),((INT(AI$2/$L21)-INT((AI$2-1)/$L21))*($T21*(1-$F21)+$S21*(1-$G21))*((1+Inputs!$D$7)^AI$2))),((_xlfn.WEIBULL.DIST(AI$2,$M21,$L21,FALSE)*($T21*(1-$F21)+$S21*(1-$G21))*((1+Inputs!$D$7)^AI$2))))))</f>
        <v>21.057268332417756</v>
      </c>
      <c r="AJ21" s="88">
        <f>$E21*IF(AJ$2&gt;Inputs!$D$5,0,IF(AJ$2&gt;VLOOKUP($H21,Lists!$P$3:$Q$7,2),IF($N21=Lists!$K$3,IF($L21&lt;1,(($U21/$L21)*((1+Inputs!$D$7)^AJ$2)),((INT(AJ$2/$L21)-INT((AJ$2-1)/$L21))*$U21*((1+Inputs!$D$7)^AJ$2))),(_xlfn.WEIBULL.DIST(AJ$2,$M21,$L21,FALSE)*$U21*((1+Inputs!$D$7)^AJ$2))),IF($N21=Lists!$K$3,IF($L21&lt;1,((($T21*(1-$F21)+$S21*(1-$G21))/$L21)*((1+Inputs!$D$7)^AJ$2)),((INT(AJ$2/$L21)-INT((AJ$2-1)/$L21))*($T21*(1-$F21)+$S21*(1-$G21))*((1+Inputs!$D$7)^AJ$2))),((_xlfn.WEIBULL.DIST(AJ$2,$M21,$L21,FALSE)*($T21*(1-$F21)+$S21*(1-$G21))*((1+Inputs!$D$7)^AJ$2))))))</f>
        <v>26.060622226307334</v>
      </c>
      <c r="AK21" s="88">
        <f>$E21*IF(AK$2&gt;Inputs!$D$5,0,IF(AK$2&gt;VLOOKUP($H21,Lists!$P$3:$Q$7,2),IF($N21=Lists!$K$3,IF($L21&lt;1,(($U21/$L21)*((1+Inputs!$D$7)^AK$2)),((INT(AK$2/$L21)-INT((AK$2-1)/$L21))*$U21*((1+Inputs!$D$7)^AK$2))),(_xlfn.WEIBULL.DIST(AK$2,$M21,$L21,FALSE)*$U21*((1+Inputs!$D$7)^AK$2))),IF($N21=Lists!$K$3,IF($L21&lt;1,((($T21*(1-$F21)+$S21*(1-$G21))/$L21)*((1+Inputs!$D$7)^AK$2)),((INT(AK$2/$L21)-INT((AK$2-1)/$L21))*($T21*(1-$F21)+$S21*(1-$G21))*((1+Inputs!$D$7)^AK$2))),((_xlfn.WEIBULL.DIST(AK$2,$M21,$L21,FALSE)*($T21*(1-$F21)+$S21*(1-$G21))*((1+Inputs!$D$7)^AK$2))))))</f>
        <v>31.489823652858892</v>
      </c>
      <c r="AL21" s="88">
        <f>$E21*IF(AL$2&gt;Inputs!$D$5,0,IF(AL$2&gt;VLOOKUP($H21,Lists!$P$3:$Q$7,2),IF($N21=Lists!$K$3,IF($L21&lt;1,(($U21/$L21)*((1+Inputs!$D$7)^AL$2)),((INT(AL$2/$L21)-INT((AL$2-1)/$L21))*$U21*((1+Inputs!$D$7)^AL$2))),(_xlfn.WEIBULL.DIST(AL$2,$M21,$L21,FALSE)*$U21*((1+Inputs!$D$7)^AL$2))),IF($N21=Lists!$K$3,IF($L21&lt;1,((($T21*(1-$F21)+$S21*(1-$G21))/$L21)*((1+Inputs!$D$7)^AL$2)),((INT(AL$2/$L21)-INT((AL$2-1)/$L21))*($T21*(1-$F21)+$S21*(1-$G21))*((1+Inputs!$D$7)^AL$2))),((_xlfn.WEIBULL.DIST(AL$2,$M21,$L21,FALSE)*($T21*(1-$F21)+$S21*(1-$G21))*((1+Inputs!$D$7)^AL$2))))))</f>
        <v>37.266016153611609</v>
      </c>
      <c r="AM21" s="88">
        <f>$E21*IF(AM$2&gt;Inputs!$D$5,0,IF(AM$2&gt;VLOOKUP($H21,Lists!$P$3:$Q$7,2),IF($N21=Lists!$K$3,IF($L21&lt;1,(($U21/$L21)*((1+Inputs!$D$7)^AM$2)),((INT(AM$2/$L21)-INT((AM$2-1)/$L21))*$U21*((1+Inputs!$D$7)^AM$2))),(_xlfn.WEIBULL.DIST(AM$2,$M21,$L21,FALSE)*$U21*((1+Inputs!$D$7)^AM$2))),IF($N21=Lists!$K$3,IF($L21&lt;1,((($T21*(1-$F21)+$S21*(1-$G21))/$L21)*((1+Inputs!$D$7)^AM$2)),((INT(AM$2/$L21)-INT((AM$2-1)/$L21))*($T21*(1-$F21)+$S21*(1-$G21))*((1+Inputs!$D$7)^AM$2))),((_xlfn.WEIBULL.DIST(AM$2,$M21,$L21,FALSE)*($T21*(1-$F21)+$S21*(1-$G21))*((1+Inputs!$D$7)^AM$2))))))</f>
        <v>43.291393850582324</v>
      </c>
      <c r="AN21" s="88">
        <f>$E21*IF(AN$2&gt;Inputs!$D$5,0,IF(AN$2&gt;VLOOKUP($H21,Lists!$P$3:$Q$7,2),IF($N21=Lists!$K$3,IF($L21&lt;1,(($U21/$L21)*((1+Inputs!$D$7)^AN$2)),((INT(AN$2/$L21)-INT((AN$2-1)/$L21))*$U21*((1+Inputs!$D$7)^AN$2))),(_xlfn.WEIBULL.DIST(AN$2,$M21,$L21,FALSE)*$U21*((1+Inputs!$D$7)^AN$2))),IF($N21=Lists!$K$3,IF($L21&lt;1,((($T21*(1-$F21)+$S21*(1-$G21))/$L21)*((1+Inputs!$D$7)^AN$2)),((INT(AN$2/$L21)-INT((AN$2-1)/$L21))*($T21*(1-$F21)+$S21*(1-$G21))*((1+Inputs!$D$7)^AN$2))),((_xlfn.WEIBULL.DIST(AN$2,$M21,$L21,FALSE)*($T21*(1-$F21)+$S21*(1-$G21))*((1+Inputs!$D$7)^AN$2))))))</f>
        <v>49.450117317845901</v>
      </c>
      <c r="AO21" s="88">
        <f>$E21*IF(AO$2&gt;Inputs!$D$5,0,IF(AO$2&gt;VLOOKUP($H21,Lists!$P$3:$Q$7,2),IF($N21=Lists!$K$3,IF($L21&lt;1,(($U21/$L21)*((1+Inputs!$D$7)^AO$2)),((INT(AO$2/$L21)-INT((AO$2-1)/$L21))*$U21*((1+Inputs!$D$7)^AO$2))),(_xlfn.WEIBULL.DIST(AO$2,$M21,$L21,FALSE)*$U21*((1+Inputs!$D$7)^AO$2))),IF($N21=Lists!$K$3,IF($L21&lt;1,((($T21*(1-$F21)+$S21*(1-$G21))/$L21)*((1+Inputs!$D$7)^AO$2)),((INT(AO$2/$L21)-INT((AO$2-1)/$L21))*($T21*(1-$F21)+$S21*(1-$G21))*((1+Inputs!$D$7)^AO$2))),((_xlfn.WEIBULL.DIST(AO$2,$M21,$L21,FALSE)*($T21*(1-$F21)+$S21*(1-$G21))*((1+Inputs!$D$7)^AO$2))))))</f>
        <v>55.610320291746078</v>
      </c>
      <c r="AP21" s="88">
        <f>$E21*IF(AP$2&gt;Inputs!$D$5,0,IF(AP$2&gt;VLOOKUP($H21,Lists!$P$3:$Q$7,2),IF($N21=Lists!$K$3,IF($L21&lt;1,(($U21/$L21)*((1+Inputs!$D$7)^AP$2)),((INT(AP$2/$L21)-INT((AP$2-1)/$L21))*$U21*((1+Inputs!$D$7)^AP$2))),(_xlfn.WEIBULL.DIST(AP$2,$M21,$L21,FALSE)*$U21*((1+Inputs!$D$7)^AP$2))),IF($N21=Lists!$K$3,IF($L21&lt;1,((($T21*(1-$F21)+$S21*(1-$G21))/$L21)*((1+Inputs!$D$7)^AP$2)),((INT(AP$2/$L21)-INT((AP$2-1)/$L21))*($T21*(1-$F21)+$S21*(1-$G21))*((1+Inputs!$D$7)^AP$2))),((_xlfn.WEIBULL.DIST(AP$2,$M21,$L21,FALSE)*($T21*(1-$F21)+$S21*(1-$G21))*((1+Inputs!$D$7)^AP$2))))))</f>
        <v>61.627270183463715</v>
      </c>
      <c r="AQ21" s="88">
        <f>$E21*IF(AQ$2&gt;Inputs!$D$5,0,IF(AQ$2&gt;VLOOKUP($H21,Lists!$P$3:$Q$7,2),IF($N21=Lists!$K$3,IF($L21&lt;1,(($U21/$L21)*((1+Inputs!$D$7)^AQ$2)),((INT(AQ$2/$L21)-INT((AQ$2-1)/$L21))*$U21*((1+Inputs!$D$7)^AQ$2))),(_xlfn.WEIBULL.DIST(AQ$2,$M21,$L21,FALSE)*$U21*((1+Inputs!$D$7)^AQ$2))),IF($N21=Lists!$K$3,IF($L21&lt;1,((($T21*(1-$F21)+$S21*(1-$G21))/$L21)*((1+Inputs!$D$7)^AQ$2)),((INT(AQ$2/$L21)-INT((AQ$2-1)/$L21))*($T21*(1-$F21)+$S21*(1-$G21))*((1+Inputs!$D$7)^AQ$2))),((_xlfn.WEIBULL.DIST(AQ$2,$M21,$L21,FALSE)*($T21*(1-$F21)+$S21*(1-$G21))*((1+Inputs!$D$7)^AQ$2))))))</f>
        <v>67.347672318747527</v>
      </c>
      <c r="AR21" s="88">
        <f>$E21*IF(AR$2&gt;Inputs!$D$5,0,IF(AR$2&gt;VLOOKUP($H21,Lists!$P$3:$Q$7,2),IF($N21=Lists!$K$3,IF($L21&lt;1,(($U21/$L21)*((1+Inputs!$D$7)^AR$2)),((INT(AR$2/$L21)-INT((AR$2-1)/$L21))*$U21*((1+Inputs!$D$7)^AR$2))),(_xlfn.WEIBULL.DIST(AR$2,$M21,$L21,FALSE)*$U21*((1+Inputs!$D$7)^AR$2))),IF($N21=Lists!$K$3,IF($L21&lt;1,((($T21*(1-$F21)+$S21*(1-$G21))/$L21)*((1+Inputs!$D$7)^AR$2)),((INT(AR$2/$L21)-INT((AR$2-1)/$L21))*($T21*(1-$F21)+$S21*(1-$G21))*((1+Inputs!$D$7)^AR$2))),((_xlfn.WEIBULL.DIST(AR$2,$M21,$L21,FALSE)*($T21*(1-$F21)+$S21*(1-$G21))*((1+Inputs!$D$7)^AR$2))))))</f>
        <v>72.615020637663847</v>
      </c>
      <c r="AS21" s="88">
        <f>$E21*IF(AS$2&gt;Inputs!$D$5,0,IF(AS$2&gt;VLOOKUP($H21,Lists!$P$3:$Q$7,2),IF($N21=Lists!$K$3,IF($L21&lt;1,(($U21/$L21)*((1+Inputs!$D$7)^AS$2)),((INT(AS$2/$L21)-INT((AS$2-1)/$L21))*$U21*((1+Inputs!$D$7)^AS$2))),(_xlfn.WEIBULL.DIST(AS$2,$M21,$L21,FALSE)*$U21*((1+Inputs!$D$7)^AS$2))),IF($N21=Lists!$K$3,IF($L21&lt;1,((($T21*(1-$F21)+$S21*(1-$G21))/$L21)*((1+Inputs!$D$7)^AS$2)),((INT(AS$2/$L21)-INT((AS$2-1)/$L21))*($T21*(1-$F21)+$S21*(1-$G21))*((1+Inputs!$D$7)^AS$2))),((_xlfn.WEIBULL.DIST(AS$2,$M21,$L21,FALSE)*($T21*(1-$F21)+$S21*(1-$G21))*((1+Inputs!$D$7)^AS$2))))))</f>
        <v>77.275801970672106</v>
      </c>
      <c r="AT21" s="88">
        <f>$E21*IF(AT$2&gt;Inputs!$D$5,0,IF(AT$2&gt;VLOOKUP($H21,Lists!$P$3:$Q$7,2),IF($N21=Lists!$K$3,IF($L21&lt;1,(($U21/$L21)*((1+Inputs!$D$7)^AT$2)),((INT(AT$2/$L21)-INT((AT$2-1)/$L21))*$U21*((1+Inputs!$D$7)^AT$2))),(_xlfn.WEIBULL.DIST(AT$2,$M21,$L21,FALSE)*$U21*((1+Inputs!$D$7)^AT$2))),IF($N21=Lists!$K$3,IF($L21&lt;1,((($T21*(1-$F21)+$S21*(1-$G21))/$L21)*((1+Inputs!$D$7)^AT$2)),((INT(AT$2/$L21)-INT((AT$2-1)/$L21))*($T21*(1-$F21)+$S21*(1-$G21))*((1+Inputs!$D$7)^AT$2))),((_xlfn.WEIBULL.DIST(AT$2,$M21,$L21,FALSE)*($T21*(1-$F21)+$S21*(1-$G21))*((1+Inputs!$D$7)^AT$2))))))</f>
        <v>81.186264964322746</v>
      </c>
      <c r="AU21" s="88">
        <f>$E21*IF(AU$2&gt;Inputs!$D$5,0,IF(AU$2&gt;VLOOKUP($H21,Lists!$P$3:$Q$7,2),IF($N21=Lists!$K$3,IF($L21&lt;1,(($U21/$L21)*((1+Inputs!$D$7)^AU$2)),((INT(AU$2/$L21)-INT((AU$2-1)/$L21))*$U21*((1+Inputs!$D$7)^AU$2))),(_xlfn.WEIBULL.DIST(AU$2,$M21,$L21,FALSE)*$U21*((1+Inputs!$D$7)^AU$2))),IF($N21=Lists!$K$3,IF($L21&lt;1,((($T21*(1-$F21)+$S21*(1-$G21))/$L21)*((1+Inputs!$D$7)^AU$2)),((INT(AU$2/$L21)-INT((AU$2-1)/$L21))*($T21*(1-$F21)+$S21*(1-$G21))*((1+Inputs!$D$7)^AU$2))),((_xlfn.WEIBULL.DIST(AU$2,$M21,$L21,FALSE)*($T21*(1-$F21)+$S21*(1-$G21))*((1+Inputs!$D$7)^AU$2))))))</f>
        <v>84.219378043965548</v>
      </c>
      <c r="AV21" s="88">
        <f>$E21*IF(AV$2&gt;Inputs!$D$5,0,IF(AV$2&gt;VLOOKUP($H21,Lists!$P$3:$Q$7,2),IF($N21=Lists!$K$3,IF($L21&lt;1,(($U21/$L21)*((1+Inputs!$D$7)^AV$2)),((INT(AV$2/$L21)-INT((AV$2-1)/$L21))*$U21*((1+Inputs!$D$7)^AV$2))),(_xlfn.WEIBULL.DIST(AV$2,$M21,$L21,FALSE)*$U21*((1+Inputs!$D$7)^AV$2))),IF($N21=Lists!$K$3,IF($L21&lt;1,((($T21*(1-$F21)+$S21*(1-$G21))/$L21)*((1+Inputs!$D$7)^AV$2)),((INT(AV$2/$L21)-INT((AV$2-1)/$L21))*($T21*(1-$F21)+$S21*(1-$G21))*((1+Inputs!$D$7)^AV$2))),((_xlfn.WEIBULL.DIST(AV$2,$M21,$L21,FALSE)*($T21*(1-$F21)+$S21*(1-$G21))*((1+Inputs!$D$7)^AV$2))))))</f>
        <v>86.271534177800774</v>
      </c>
      <c r="AW21" s="88">
        <f>$E21*IF(AW$2&gt;Inputs!$D$5,0,IF(AW$2&gt;VLOOKUP($H21,Lists!$P$3:$Q$7,2),IF($N21=Lists!$K$3,IF($L21&lt;1,(($U21/$L21)*((1+Inputs!$D$7)^AW$2)),((INT(AW$2/$L21)-INT((AW$2-1)/$L21))*$U21*((1+Inputs!$D$7)^AW$2))),(_xlfn.WEIBULL.DIST(AW$2,$M21,$L21,FALSE)*$U21*((1+Inputs!$D$7)^AW$2))),IF($N21=Lists!$K$3,IF($L21&lt;1,((($T21*(1-$F21)+$S21*(1-$G21))/$L21)*((1+Inputs!$D$7)^AW$2)),((INT(AW$2/$L21)-INT((AW$2-1)/$L21))*($T21*(1-$F21)+$S21*(1-$G21))*((1+Inputs!$D$7)^AW$2))),((_xlfn.WEIBULL.DIST(AW$2,$M21,$L21,FALSE)*($T21*(1-$F21)+$S21*(1-$G21))*((1+Inputs!$D$7)^AW$2))))))</f>
        <v>87.268524070648823</v>
      </c>
      <c r="AX21" s="88">
        <f>$E21*IF(AX$2&gt;Inputs!$D$5,0,IF(AX$2&gt;VLOOKUP($H21,Lists!$P$3:$Q$7,2),IF($N21=Lists!$K$3,IF($L21&lt;1,(($U21/$L21)*((1+Inputs!$D$7)^AX$2)),((INT(AX$2/$L21)-INT((AX$2-1)/$L21))*$U21*((1+Inputs!$D$7)^AX$2))),(_xlfn.WEIBULL.DIST(AX$2,$M21,$L21,FALSE)*$U21*((1+Inputs!$D$7)^AX$2))),IF($N21=Lists!$K$3,IF($L21&lt;1,((($T21*(1-$F21)+$S21*(1-$G21))/$L21)*((1+Inputs!$D$7)^AX$2)),((INT(AX$2/$L21)-INT((AX$2-1)/$L21))*($T21*(1-$F21)+$S21*(1-$G21))*((1+Inputs!$D$7)^AX$2))),((_xlfn.WEIBULL.DIST(AX$2,$M21,$L21,FALSE)*($T21*(1-$F21)+$S21*(1-$G21))*((1+Inputs!$D$7)^AX$2))))))</f>
        <v>87.17030247375672</v>
      </c>
      <c r="AY21" s="88">
        <f>$E21*IF(AY$2&gt;Inputs!$D$5,0,IF(AY$2&gt;VLOOKUP($H21,Lists!$P$3:$Q$7,2),IF($N21=Lists!$K$3,IF($L21&lt;1,(($U21/$L21)*((1+Inputs!$D$7)^AY$2)),((INT(AY$2/$L21)-INT((AY$2-1)/$L21))*$U21*((1+Inputs!$D$7)^AY$2))),(_xlfn.WEIBULL.DIST(AY$2,$M21,$L21,FALSE)*$U21*((1+Inputs!$D$7)^AY$2))),IF($N21=Lists!$K$3,IF($L21&lt;1,((($T21*(1-$F21)+$S21*(1-$G21))/$L21)*((1+Inputs!$D$7)^AY$2)),((INT(AY$2/$L21)-INT((AY$2-1)/$L21))*($T21*(1-$F21)+$S21*(1-$G21))*((1+Inputs!$D$7)^AY$2))),((_xlfn.WEIBULL.DIST(AY$2,$M21,$L21,FALSE)*($T21*(1-$F21)+$S21*(1-$G21))*((1+Inputs!$D$7)^AY$2))))))</f>
        <v>85.974120047399069</v>
      </c>
      <c r="AZ21" s="88">
        <f>$E21*IF(AZ$2&gt;Inputs!$D$5,0,IF(AZ$2&gt;VLOOKUP($H21,Lists!$P$3:$Q$7,2),IF($N21=Lists!$K$3,IF($L21&lt;1,(($U21/$L21)*((1+Inputs!$D$7)^AZ$2)),((INT(AZ$2/$L21)-INT((AZ$2-1)/$L21))*$U21*((1+Inputs!$D$7)^AZ$2))),(_xlfn.WEIBULL.DIST(AZ$2,$M21,$L21,FALSE)*$U21*((1+Inputs!$D$7)^AZ$2))),IF($N21=Lists!$K$3,IF($L21&lt;1,((($T21*(1-$F21)+$S21*(1-$G21))/$L21)*((1+Inputs!$D$7)^AZ$2)),((INT(AZ$2/$L21)-INT((AZ$2-1)/$L21))*($T21*(1-$F21)+$S21*(1-$G21))*((1+Inputs!$D$7)^AZ$2))),((_xlfn.WEIBULL.DIST(AZ$2,$M21,$L21,FALSE)*($T21*(1-$F21)+$S21*(1-$G21))*((1+Inputs!$D$7)^AZ$2))))))</f>
        <v>0</v>
      </c>
      <c r="BA21" s="88">
        <f>$E21*IF(BA$2&gt;Inputs!$D$5,0,IF(BA$2&gt;VLOOKUP($H21,Lists!$P$3:$Q$7,2),IF($N21=Lists!$K$3,IF($L21&lt;1,(($U21/$L21)*((1+Inputs!$D$7)^BA$2)),((INT(BA$2/$L21)-INT((BA$2-1)/$L21))*$U21*((1+Inputs!$D$7)^BA$2))),(_xlfn.WEIBULL.DIST(BA$2,$M21,$L21,FALSE)*$U21*((1+Inputs!$D$7)^BA$2))),IF($N21=Lists!$K$3,IF($L21&lt;1,((($T21*(1-$F21)+$S21*(1-$G21))/$L21)*((1+Inputs!$D$7)^BA$2)),((INT(BA$2/$L21)-INT((BA$2-1)/$L21))*($T21*(1-$F21)+$S21*(1-$G21))*((1+Inputs!$D$7)^BA$2))),((_xlfn.WEIBULL.DIST(BA$2,$M21,$L21,FALSE)*($T21*(1-$F21)+$S21*(1-$G21))*((1+Inputs!$D$7)^BA$2))))))</f>
        <v>0</v>
      </c>
      <c r="BB21" s="88">
        <f>$E21*IF(BB$2&gt;Inputs!$D$5,0,IF(BB$2&gt;VLOOKUP($H21,Lists!$P$3:$Q$7,2),IF($N21=Lists!$K$3,IF($L21&lt;1,(($U21/$L21)*((1+Inputs!$D$7)^BB$2)),((INT(BB$2/$L21)-INT((BB$2-1)/$L21))*$U21*((1+Inputs!$D$7)^BB$2))),(_xlfn.WEIBULL.DIST(BB$2,$M21,$L21,FALSE)*$U21*((1+Inputs!$D$7)^BB$2))),IF($N21=Lists!$K$3,IF($L21&lt;1,((($T21*(1-$F21)+$S21*(1-$G21))/$L21)*((1+Inputs!$D$7)^BB$2)),((INT(BB$2/$L21)-INT((BB$2-1)/$L21))*($T21*(1-$F21)+$S21*(1-$G21))*((1+Inputs!$D$7)^BB$2))),((_xlfn.WEIBULL.DIST(BB$2,$M21,$L21,FALSE)*($T21*(1-$F21)+$S21*(1-$G21))*((1+Inputs!$D$7)^BB$2))))))</f>
        <v>0</v>
      </c>
      <c r="BC21" s="88">
        <f>$E21*IF(BC$2&gt;Inputs!$D$5,0,IF(BC$2&gt;VLOOKUP($H21,Lists!$P$3:$Q$7,2),IF($N21=Lists!$K$3,IF($L21&lt;1,(($U21/$L21)*((1+Inputs!$D$7)^BC$2)),((INT(BC$2/$L21)-INT((BC$2-1)/$L21))*$U21*((1+Inputs!$D$7)^BC$2))),(_xlfn.WEIBULL.DIST(BC$2,$M21,$L21,FALSE)*$U21*((1+Inputs!$D$7)^BC$2))),IF($N21=Lists!$K$3,IF($L21&lt;1,((($T21*(1-$F21)+$S21*(1-$G21))/$L21)*((1+Inputs!$D$7)^BC$2)),((INT(BC$2/$L21)-INT((BC$2-1)/$L21))*($T21*(1-$F21)+$S21*(1-$G21))*((1+Inputs!$D$7)^BC$2))),((_xlfn.WEIBULL.DIST(BC$2,$M21,$L21,FALSE)*($T21*(1-$F21)+$S21*(1-$G21))*((1+Inputs!$D$7)^BC$2))))))</f>
        <v>0</v>
      </c>
      <c r="BD21" s="88">
        <f>$E21*IF(BD$2&gt;Inputs!$D$5,0,IF(BD$2&gt;VLOOKUP($H21,Lists!$P$3:$Q$7,2),IF($N21=Lists!$K$3,IF($L21&lt;1,(($U21/$L21)*((1+Inputs!$D$7)^BD$2)),((INT(BD$2/$L21)-INT((BD$2-1)/$L21))*$U21*((1+Inputs!$D$7)^BD$2))),(_xlfn.WEIBULL.DIST(BD$2,$M21,$L21,FALSE)*$U21*((1+Inputs!$D$7)^BD$2))),IF($N21=Lists!$K$3,IF($L21&lt;1,((($T21*(1-$F21)+$S21*(1-$G21))/$L21)*((1+Inputs!$D$7)^BD$2)),((INT(BD$2/$L21)-INT((BD$2-1)/$L21))*($T21*(1-$F21)+$S21*(1-$G21))*((1+Inputs!$D$7)^BD$2))),((_xlfn.WEIBULL.DIST(BD$2,$M21,$L21,FALSE)*($T21*(1-$F21)+$S21*(1-$G21))*((1+Inputs!$D$7)^BD$2))))))</f>
        <v>0</v>
      </c>
      <c r="BE21" s="88">
        <f>$E21*IF(BE$2&gt;Inputs!$D$5,0,IF(BE$2&gt;VLOOKUP($H21,Lists!$P$3:$Q$7,2),IF($N21=Lists!$K$3,IF($L21&lt;1,(($U21/$L21)*((1+Inputs!$D$7)^BE$2)),((INT(BE$2/$L21)-INT((BE$2-1)/$L21))*$U21*((1+Inputs!$D$7)^BE$2))),(_xlfn.WEIBULL.DIST(BE$2,$M21,$L21,FALSE)*$U21*((1+Inputs!$D$7)^BE$2))),IF($N21=Lists!$K$3,IF($L21&lt;1,((($T21*(1-$F21)+$S21*(1-$G21))/$L21)*((1+Inputs!$D$7)^BE$2)),((INT(BE$2/$L21)-INT((BE$2-1)/$L21))*($T21*(1-$F21)+$S21*(1-$G21))*((1+Inputs!$D$7)^BE$2))),((_xlfn.WEIBULL.DIST(BE$2,$M21,$L21,FALSE)*($T21*(1-$F21)+$S21*(1-$G21))*((1+Inputs!$D$7)^BE$2))))))</f>
        <v>0</v>
      </c>
      <c r="BF21" s="88">
        <f>$E21*IF(BF$2&gt;Inputs!$D$5,0,IF(BF$2&gt;VLOOKUP($H21,Lists!$P$3:$Q$7,2),IF($N21=Lists!$K$3,IF($L21&lt;1,(($U21/$L21)*((1+Inputs!$D$7)^BF$2)),((INT(BF$2/$L21)-INT((BF$2-1)/$L21))*$U21*((1+Inputs!$D$7)^BF$2))),(_xlfn.WEIBULL.DIST(BF$2,$M21,$L21,FALSE)*$U21*((1+Inputs!$D$7)^BF$2))),IF($N21=Lists!$K$3,IF($L21&lt;1,((($T21*(1-$F21)+$S21*(1-$G21))/$L21)*((1+Inputs!$D$7)^BF$2)),((INT(BF$2/$L21)-INT((BF$2-1)/$L21))*($T21*(1-$F21)+$S21*(1-$G21))*((1+Inputs!$D$7)^BF$2))),((_xlfn.WEIBULL.DIST(BF$2,$M21,$L21,FALSE)*($T21*(1-$F21)+$S21*(1-$G21))*((1+Inputs!$D$7)^BF$2))))))</f>
        <v>0</v>
      </c>
      <c r="BG21" s="88">
        <f>$E21*IF(BG$2&gt;Inputs!$D$5,0,IF(BG$2&gt;VLOOKUP($H21,Lists!$P$3:$Q$7,2),IF($N21=Lists!$K$3,IF($L21&lt;1,(($U21/$L21)*((1+Inputs!$D$7)^BG$2)),((INT(BG$2/$L21)-INT((BG$2-1)/$L21))*$U21*((1+Inputs!$D$7)^BG$2))),(_xlfn.WEIBULL.DIST(BG$2,$M21,$L21,FALSE)*$U21*((1+Inputs!$D$7)^BG$2))),IF($N21=Lists!$K$3,IF($L21&lt;1,((($T21*(1-$F21)+$S21*(1-$G21))/$L21)*((1+Inputs!$D$7)^BG$2)),((INT(BG$2/$L21)-INT((BG$2-1)/$L21))*($T21*(1-$F21)+$S21*(1-$G21))*((1+Inputs!$D$7)^BG$2))),((_xlfn.WEIBULL.DIST(BG$2,$M21,$L21,FALSE)*($T21*(1-$F21)+$S21*(1-$G21))*((1+Inputs!$D$7)^BG$2))))))</f>
        <v>0</v>
      </c>
      <c r="BH21" s="88">
        <f>$E21*IF(BH$2&gt;Inputs!$D$5,0,IF(BH$2&gt;VLOOKUP($H21,Lists!$P$3:$Q$7,2),IF($N21=Lists!$K$3,IF($L21&lt;1,(($U21/$L21)*((1+Inputs!$D$7)^BH$2)),((INT(BH$2/$L21)-INT((BH$2-1)/$L21))*$U21*((1+Inputs!$D$7)^BH$2))),(_xlfn.WEIBULL.DIST(BH$2,$M21,$L21,FALSE)*$U21*((1+Inputs!$D$7)^BH$2))),IF($N21=Lists!$K$3,IF($L21&lt;1,((($T21*(1-$F21)+$S21*(1-$G21))/$L21)*((1+Inputs!$D$7)^BH$2)),((INT(BH$2/$L21)-INT((BH$2-1)/$L21))*($T21*(1-$F21)+$S21*(1-$G21))*((1+Inputs!$D$7)^BH$2))),((_xlfn.WEIBULL.DIST(BH$2,$M21,$L21,FALSE)*($T21*(1-$F21)+$S21*(1-$G21))*((1+Inputs!$D$7)^BH$2))))))</f>
        <v>0</v>
      </c>
      <c r="BI21" s="88">
        <f>$E21*IF(BI$2&gt;Inputs!$D$5,0,IF(BI$2&gt;VLOOKUP($H21,Lists!$P$3:$Q$7,2),IF($N21=Lists!$K$3,IF($L21&lt;1,(($U21/$L21)*((1+Inputs!$D$7)^BI$2)),((INT(BI$2/$L21)-INT((BI$2-1)/$L21))*$U21*((1+Inputs!$D$7)^BI$2))),(_xlfn.WEIBULL.DIST(BI$2,$M21,$L21,FALSE)*$U21*((1+Inputs!$D$7)^BI$2))),IF($N21=Lists!$K$3,IF($L21&lt;1,((($T21*(1-$F21)+$S21*(1-$G21))/$L21)*((1+Inputs!$D$7)^BI$2)),((INT(BI$2/$L21)-INT((BI$2-1)/$L21))*($T21*(1-$F21)+$S21*(1-$G21))*((1+Inputs!$D$7)^BI$2))),((_xlfn.WEIBULL.DIST(BI$2,$M21,$L21,FALSE)*($T21*(1-$F21)+$S21*(1-$G21))*((1+Inputs!$D$7)^BI$2))))))</f>
        <v>0</v>
      </c>
      <c r="BJ21" s="88">
        <f>$E21*IF(BJ$2&gt;Inputs!$D$5,0,IF(BJ$2&gt;VLOOKUP($H21,Lists!$P$3:$Q$7,2),IF($N21=Lists!$K$3,IF($L21&lt;1,(($U21/$L21)*((1+Inputs!$D$7)^BJ$2)),((INT(BJ$2/$L21)-INT((BJ$2-1)/$L21))*$U21*((1+Inputs!$D$7)^BJ$2))),(_xlfn.WEIBULL.DIST(BJ$2,$M21,$L21,FALSE)*$U21*((1+Inputs!$D$7)^BJ$2))),IF($N21=Lists!$K$3,IF($L21&lt;1,((($T21*(1-$F21)+$S21*(1-$G21))/$L21)*((1+Inputs!$D$7)^BJ$2)),((INT(BJ$2/$L21)-INT((BJ$2-1)/$L21))*($T21*(1-$F21)+$S21*(1-$G21))*((1+Inputs!$D$7)^BJ$2))),((_xlfn.WEIBULL.DIST(BJ$2,$M21,$L21,FALSE)*($T21*(1-$F21)+$S21*(1-$G21))*((1+Inputs!$D$7)^BJ$2))))))</f>
        <v>0</v>
      </c>
      <c r="BK21" s="88">
        <f>$E21*IF(BK$2&gt;Inputs!$D$5,0,IF(BK$2&gt;VLOOKUP($H21,Lists!$P$3:$Q$7,2),IF($N21=Lists!$K$3,IF($L21&lt;1,(($U21/$L21)*((1+Inputs!$D$7)^BK$2)),((INT(BK$2/$L21)-INT((BK$2-1)/$L21))*$U21*((1+Inputs!$D$7)^BK$2))),(_xlfn.WEIBULL.DIST(BK$2,$M21,$L21,FALSE)*$U21*((1+Inputs!$D$7)^BK$2))),IF($N21=Lists!$K$3,IF($L21&lt;1,((($T21*(1-$F21)+$S21*(1-$G21))/$L21)*((1+Inputs!$D$7)^BK$2)),((INT(BK$2/$L21)-INT((BK$2-1)/$L21))*($T21*(1-$F21)+$S21*(1-$G21))*((1+Inputs!$D$7)^BK$2))),((_xlfn.WEIBULL.DIST(BK$2,$M21,$L21,FALSE)*($T21*(1-$F21)+$S21*(1-$G21))*((1+Inputs!$D$7)^BK$2))))))</f>
        <v>0</v>
      </c>
      <c r="BL21" s="88">
        <f>$E21*IF(BL$2&gt;Inputs!$D$5,0,IF(BL$2&gt;VLOOKUP($H21,Lists!$P$3:$Q$7,2),IF($N21=Lists!$K$3,IF($L21&lt;1,(($U21/$L21)*((1+Inputs!$D$7)^BL$2)),((INT(BL$2/$L21)-INT((BL$2-1)/$L21))*$U21*((1+Inputs!$D$7)^BL$2))),(_xlfn.WEIBULL.DIST(BL$2,$M21,$L21,FALSE)*$U21*((1+Inputs!$D$7)^BL$2))),IF($N21=Lists!$K$3,IF($L21&lt;1,((($T21*(1-$F21)+$S21*(1-$G21))/$L21)*((1+Inputs!$D$7)^BL$2)),((INT(BL$2/$L21)-INT((BL$2-1)/$L21))*($T21*(1-$F21)+$S21*(1-$G21))*((1+Inputs!$D$7)^BL$2))),((_xlfn.WEIBULL.DIST(BL$2,$M21,$L21,FALSE)*($T21*(1-$F21)+$S21*(1-$G21))*((1+Inputs!$D$7)^BL$2))))))</f>
        <v>0</v>
      </c>
      <c r="BM21" s="88">
        <f>$E21*IF(BM$2&gt;Inputs!$D$5,0,IF(BM$2&gt;VLOOKUP($H21,Lists!$P$3:$Q$7,2),IF($N21=Lists!$K$3,IF($L21&lt;1,(($U21/$L21)*((1+Inputs!$D$7)^BM$2)),((INT(BM$2/$L21)-INT((BM$2-1)/$L21))*$U21*((1+Inputs!$D$7)^BM$2))),(_xlfn.WEIBULL.DIST(BM$2,$M21,$L21,FALSE)*$U21*((1+Inputs!$D$7)^BM$2))),IF($N21=Lists!$K$3,IF($L21&lt;1,((($T21*(1-$F21)+$S21*(1-$G21))/$L21)*((1+Inputs!$D$7)^BM$2)),((INT(BM$2/$L21)-INT((BM$2-1)/$L21))*($T21*(1-$F21)+$S21*(1-$G21))*((1+Inputs!$D$7)^BM$2))),((_xlfn.WEIBULL.DIST(BM$2,$M21,$L21,FALSE)*($T21*(1-$F21)+$S21*(1-$G21))*((1+Inputs!$D$7)^BM$2))))))</f>
        <v>0</v>
      </c>
      <c r="BN21" s="88">
        <f>$E21*IF(BN$2&gt;Inputs!$D$5,0,IF(BN$2&gt;VLOOKUP($H21,Lists!$P$3:$Q$7,2),IF($N21=Lists!$K$3,IF($L21&lt;1,(($U21/$L21)*((1+Inputs!$D$7)^BN$2)),((INT(BN$2/$L21)-INT((BN$2-1)/$L21))*$U21*((1+Inputs!$D$7)^BN$2))),(_xlfn.WEIBULL.DIST(BN$2,$M21,$L21,FALSE)*$U21*((1+Inputs!$D$7)^BN$2))),IF($N21=Lists!$K$3,IF($L21&lt;1,((($T21*(1-$F21)+$S21*(1-$G21))/$L21)*((1+Inputs!$D$7)^BN$2)),((INT(BN$2/$L21)-INT((BN$2-1)/$L21))*($T21*(1-$F21)+$S21*(1-$G21))*((1+Inputs!$D$7)^BN$2))),((_xlfn.WEIBULL.DIST(BN$2,$M21,$L21,FALSE)*($T21*(1-$F21)+$S21*(1-$G21))*((1+Inputs!$D$7)^BN$2))))))</f>
        <v>0</v>
      </c>
      <c r="BO21" s="64">
        <f>NPV(Inputs!$D$6,BQ21:DD21)</f>
        <v>969.99725815342128</v>
      </c>
      <c r="BP21" s="67">
        <f t="shared" si="6"/>
        <v>4.5749806289798031E-4</v>
      </c>
      <c r="BQ21" s="88">
        <f>MAX(AA21,($E21*IF(BQ$2&gt;Inputs!$D$5,0,IF(BQ$2&gt;VLOOKUP($H21,Lists!$P$3:$Q$7,2),IF($N21=Lists!$K$3,IF($L21&lt;1,(($U21/$L21)*((1+Inputs!$D$7)^BQ$2)),((INT(BQ$2/$L21)-INT((BQ$2-1)/$L21))*$U21*((1+Inputs!$D$7)^BQ$2))),(Inputs!$D$8^((1-_xlfn.WEIBULL.DIST(BQ$2,$M21,$L21,FALSE))/_xlfn.WEIBULL.DIST(BQ$2,$M21,$L21,FALSE))*$U21*((1+Inputs!$D$7)^BQ$2))),IF($N21=Lists!$K$3,IF($L21&lt;1,((($T21*(1-$F21)+$S21*(1-$G21))/$L21)*((1+Inputs!$D$7)^BQ$2)),((INT(BQ$2/$L21)-INT((BQ$2-1)/$L21))*($T21*(1-$F21)+$S21*(1-$G21))*((1+Inputs!$D$7)^BQ$2))),((Inputs!$D$8^((1-_xlfn.WEIBULL.DIST(BQ$2,$M21,$L21,FALSE))/_xlfn.WEIBULL.DIST(BQ$2,$M21,$L21,FALSE))*($T21*(1-$F21)+$S21*(1-$G21))*((1+Inputs!$D$7)^BQ$2))))))))</f>
        <v>0</v>
      </c>
      <c r="BR21" s="88">
        <f>MAX(AB21,($E21*IF(BR$2&gt;Inputs!$D$5,0,IF(BR$2&gt;VLOOKUP($H21,Lists!$P$3:$Q$7,2),IF($N21=Lists!$K$3,IF($L21&lt;1,(($U21/$L21)*((1+Inputs!$D$7)^BR$2)),((INT(BR$2/$L21)-INT((BR$2-1)/$L21))*$U21*((1+Inputs!$D$7)^BR$2))),(Inputs!$D$8^((1-_xlfn.WEIBULL.DIST(BR$2,$M21,$L21,FALSE))/_xlfn.WEIBULL.DIST(BR$2,$M21,$L21,FALSE))*$U21*((1+Inputs!$D$7)^BR$2))),IF($N21=Lists!$K$3,IF($L21&lt;1,((($T21*(1-$F21)+$S21*(1-$G21))/$L21)*((1+Inputs!$D$7)^BR$2)),((INT(BR$2/$L21)-INT((BR$2-1)/$L21))*($T21*(1-$F21)+$S21*(1-$G21))*((1+Inputs!$D$7)^BR$2))),((Inputs!$D$8^((1-_xlfn.WEIBULL.DIST(BR$2,$M21,$L21,FALSE))/_xlfn.WEIBULL.DIST(BR$2,$M21,$L21,FALSE))*($T21*(1-$F21)+$S21*(1-$G21))*((1+Inputs!$D$7)^BR$2))))))))</f>
        <v>0.94801647788308407</v>
      </c>
      <c r="BS21" s="88">
        <f>MAX(AC21,($E21*IF(BS$2&gt;Inputs!$D$5,0,IF(BS$2&gt;VLOOKUP($H21,Lists!$P$3:$Q$7,2),IF($N21=Lists!$K$3,IF($L21&lt;1,(($U21/$L21)*((1+Inputs!$D$7)^BS$2)),((INT(BS$2/$L21)-INT((BS$2-1)/$L21))*$U21*((1+Inputs!$D$7)^BS$2))),(Inputs!$D$8^((1-_xlfn.WEIBULL.DIST(BS$2,$M21,$L21,FALSE))/_xlfn.WEIBULL.DIST(BS$2,$M21,$L21,FALSE))*$U21*((1+Inputs!$D$7)^BS$2))),IF($N21=Lists!$K$3,IF($L21&lt;1,((($T21*(1-$F21)+$S21*(1-$G21))/$L21)*((1+Inputs!$D$7)^BS$2)),((INT(BS$2/$L21)-INT((BS$2-1)/$L21))*($T21*(1-$F21)+$S21*(1-$G21))*((1+Inputs!$D$7)^BS$2))),((Inputs!$D$8^((1-_xlfn.WEIBULL.DIST(BS$2,$M21,$L21,FALSE))/_xlfn.WEIBULL.DIST(BS$2,$M21,$L21,FALSE))*($T21*(1-$F21)+$S21*(1-$G21))*((1+Inputs!$D$7)^BS$2))))))))</f>
        <v>2.1730537760990338</v>
      </c>
      <c r="BT21" s="88">
        <f>MAX(AD21,($E21*IF(BT$2&gt;Inputs!$D$5,0,IF(BT$2&gt;VLOOKUP($H21,Lists!$P$3:$Q$7,2),IF($N21=Lists!$K$3,IF($L21&lt;1,(($U21/$L21)*((1+Inputs!$D$7)^BT$2)),((INT(BT$2/$L21)-INT((BT$2-1)/$L21))*$U21*((1+Inputs!$D$7)^BT$2))),(Inputs!$D$8^((1-_xlfn.WEIBULL.DIST(BT$2,$M21,$L21,FALSE))/_xlfn.WEIBULL.DIST(BT$2,$M21,$L21,FALSE))*$U21*((1+Inputs!$D$7)^BT$2))),IF($N21=Lists!$K$3,IF($L21&lt;1,((($T21*(1-$F21)+$S21*(1-$G21))/$L21)*((1+Inputs!$D$7)^BT$2)),((INT(BT$2/$L21)-INT((BT$2-1)/$L21))*($T21*(1-$F21)+$S21*(1-$G21))*((1+Inputs!$D$7)^BT$2))),((Inputs!$D$8^((1-_xlfn.WEIBULL.DIST(BT$2,$M21,$L21,FALSE))/_xlfn.WEIBULL.DIST(BT$2,$M21,$L21,FALSE))*($T21*(1-$F21)+$S21*(1-$G21))*((1+Inputs!$D$7)^BT$2))))))))</f>
        <v>3.9311508515898264</v>
      </c>
      <c r="BU21" s="88">
        <f>MAX(AE21,($E21*IF(BU$2&gt;Inputs!$D$5,0,IF(BU$2&gt;VLOOKUP($H21,Lists!$P$3:$Q$7,2),IF($N21=Lists!$K$3,IF($L21&lt;1,(($U21/$L21)*((1+Inputs!$D$7)^BU$2)),((INT(BU$2/$L21)-INT((BU$2-1)/$L21))*$U21*((1+Inputs!$D$7)^BU$2))),(Inputs!$D$8^((1-_xlfn.WEIBULL.DIST(BU$2,$M21,$L21,FALSE))/_xlfn.WEIBULL.DIST(BU$2,$M21,$L21,FALSE))*$U21*((1+Inputs!$D$7)^BU$2))),IF($N21=Lists!$K$3,IF($L21&lt;1,((($T21*(1-$F21)+$S21*(1-$G21))/$L21)*((1+Inputs!$D$7)^BU$2)),((INT(BU$2/$L21)-INT((BU$2-1)/$L21))*($T21*(1-$F21)+$S21*(1-$G21))*((1+Inputs!$D$7)^BU$2))),((Inputs!$D$8^((1-_xlfn.WEIBULL.DIST(BU$2,$M21,$L21,FALSE))/_xlfn.WEIBULL.DIST(BU$2,$M21,$L21,FALSE))*($T21*(1-$F21)+$S21*(1-$G21))*((1+Inputs!$D$7)^BU$2))))))))</f>
        <v>6.2408597322303025</v>
      </c>
      <c r="BV21" s="88">
        <f>MAX(AF21,($E21*IF(BV$2&gt;Inputs!$D$5,0,IF(BV$2&gt;VLOOKUP($H21,Lists!$P$3:$Q$7,2),IF($N21=Lists!$K$3,IF($L21&lt;1,(($U21/$L21)*((1+Inputs!$D$7)^BV$2)),((INT(BV$2/$L21)-INT((BV$2-1)/$L21))*$U21*((1+Inputs!$D$7)^BV$2))),(Inputs!$D$8^((1-_xlfn.WEIBULL.DIST(BV$2,$M21,$L21,FALSE))/_xlfn.WEIBULL.DIST(BV$2,$M21,$L21,FALSE))*$U21*((1+Inputs!$D$7)^BV$2))),IF($N21=Lists!$K$3,IF($L21&lt;1,((($T21*(1-$F21)+$S21*(1-$G21))/$L21)*((1+Inputs!$D$7)^BV$2)),((INT(BV$2/$L21)-INT((BV$2-1)/$L21))*($T21*(1-$F21)+$S21*(1-$G21))*((1+Inputs!$D$7)^BV$2))),((Inputs!$D$8^((1-_xlfn.WEIBULL.DIST(BV$2,$M21,$L21,FALSE))/_xlfn.WEIBULL.DIST(BV$2,$M21,$L21,FALSE))*($T21*(1-$F21)+$S21*(1-$G21))*((1+Inputs!$D$7)^BV$2))))))))</f>
        <v>9.1133438022653355</v>
      </c>
      <c r="BW21" s="88">
        <f>MAX(AG21,($E21*IF(BW$2&gt;Inputs!$D$5,0,IF(BW$2&gt;VLOOKUP($H21,Lists!$P$3:$Q$7,2),IF($N21=Lists!$K$3,IF($L21&lt;1,(($U21/$L21)*((1+Inputs!$D$7)^BW$2)),((INT(BW$2/$L21)-INT((BW$2-1)/$L21))*$U21*((1+Inputs!$D$7)^BW$2))),(Inputs!$D$8^((1-_xlfn.WEIBULL.DIST(BW$2,$M21,$L21,FALSE))/_xlfn.WEIBULL.DIST(BW$2,$M21,$L21,FALSE))*$U21*((1+Inputs!$D$7)^BW$2))),IF($N21=Lists!$K$3,IF($L21&lt;1,((($T21*(1-$F21)+$S21*(1-$G21))/$L21)*((1+Inputs!$D$7)^BW$2)),((INT(BW$2/$L21)-INT((BW$2-1)/$L21))*($T21*(1-$F21)+$S21*(1-$G21))*((1+Inputs!$D$7)^BW$2))),((Inputs!$D$8^((1-_xlfn.WEIBULL.DIST(BW$2,$M21,$L21,FALSE))/_xlfn.WEIBULL.DIST(BW$2,$M21,$L21,FALSE))*($T21*(1-$F21)+$S21*(1-$G21))*((1+Inputs!$D$7)^BW$2))))))))</f>
        <v>12.549937410154476</v>
      </c>
      <c r="BX21" s="88">
        <f>MAX(AH21,($E21*IF(BX$2&gt;Inputs!$D$5,0,IF(BX$2&gt;VLOOKUP($H21,Lists!$P$3:$Q$7,2),IF($N21=Lists!$K$3,IF($L21&lt;1,(($U21/$L21)*((1+Inputs!$D$7)^BX$2)),((INT(BX$2/$L21)-INT((BX$2-1)/$L21))*$U21*((1+Inputs!$D$7)^BX$2))),(Inputs!$D$8^((1-_xlfn.WEIBULL.DIST(BX$2,$M21,$L21,FALSE))/_xlfn.WEIBULL.DIST(BX$2,$M21,$L21,FALSE))*$U21*((1+Inputs!$D$7)^BX$2))),IF($N21=Lists!$K$3,IF($L21&lt;1,((($T21*(1-$F21)+$S21*(1-$G21))/$L21)*((1+Inputs!$D$7)^BX$2)),((INT(BX$2/$L21)-INT((BX$2-1)/$L21))*($T21*(1-$F21)+$S21*(1-$G21))*((1+Inputs!$D$7)^BX$2))),((Inputs!$D$8^((1-_xlfn.WEIBULL.DIST(BX$2,$M21,$L21,FALSE))/_xlfn.WEIBULL.DIST(BX$2,$M21,$L21,FALSE))*($T21*(1-$F21)+$S21*(1-$G21))*((1+Inputs!$D$7)^BX$2))))))))</f>
        <v>16.539725459389334</v>
      </c>
      <c r="BY21" s="88">
        <f>MAX(AI21,($E21*IF(BY$2&gt;Inputs!$D$5,0,IF(BY$2&gt;VLOOKUP($H21,Lists!$P$3:$Q$7,2),IF($N21=Lists!$K$3,IF($L21&lt;1,(($U21/$L21)*((1+Inputs!$D$7)^BY$2)),((INT(BY$2/$L21)-INT((BY$2-1)/$L21))*$U21*((1+Inputs!$D$7)^BY$2))),(Inputs!$D$8^((1-_xlfn.WEIBULL.DIST(BY$2,$M21,$L21,FALSE))/_xlfn.WEIBULL.DIST(BY$2,$M21,$L21,FALSE))*$U21*((1+Inputs!$D$7)^BY$2))),IF($N21=Lists!$K$3,IF($L21&lt;1,((($T21*(1-$F21)+$S21*(1-$G21))/$L21)*((1+Inputs!$D$7)^BY$2)),((INT(BY$2/$L21)-INT((BY$2-1)/$L21))*($T21*(1-$F21)+$S21*(1-$G21))*((1+Inputs!$D$7)^BY$2))),((Inputs!$D$8^((1-_xlfn.WEIBULL.DIST(BY$2,$M21,$L21,FALSE))/_xlfn.WEIBULL.DIST(BY$2,$M21,$L21,FALSE))*($T21*(1-$F21)+$S21*(1-$G21))*((1+Inputs!$D$7)^BY$2))))))))</f>
        <v>21.057268332417756</v>
      </c>
      <c r="BZ21" s="88">
        <f>MAX(AJ21,($E21*IF(BZ$2&gt;Inputs!$D$5,0,IF(BZ$2&gt;VLOOKUP($H21,Lists!$P$3:$Q$7,2),IF($N21=Lists!$K$3,IF($L21&lt;1,(($U21/$L21)*((1+Inputs!$D$7)^BZ$2)),((INT(BZ$2/$L21)-INT((BZ$2-1)/$L21))*$U21*((1+Inputs!$D$7)^BZ$2))),(Inputs!$D$8^((1-_xlfn.WEIBULL.DIST(BZ$2,$M21,$L21,FALSE))/_xlfn.WEIBULL.DIST(BZ$2,$M21,$L21,FALSE))*$U21*((1+Inputs!$D$7)^BZ$2))),IF($N21=Lists!$K$3,IF($L21&lt;1,((($T21*(1-$F21)+$S21*(1-$G21))/$L21)*((1+Inputs!$D$7)^BZ$2)),((INT(BZ$2/$L21)-INT((BZ$2-1)/$L21))*($T21*(1-$F21)+$S21*(1-$G21))*((1+Inputs!$D$7)^BZ$2))),((Inputs!$D$8^((1-_xlfn.WEIBULL.DIST(BZ$2,$M21,$L21,FALSE))/_xlfn.WEIBULL.DIST(BZ$2,$M21,$L21,FALSE))*($T21*(1-$F21)+$S21*(1-$G21))*((1+Inputs!$D$7)^BZ$2))))))))</f>
        <v>26.060622226307334</v>
      </c>
      <c r="CA21" s="88">
        <f>MAX(AK21,($E21*IF(CA$2&gt;Inputs!$D$5,0,IF(CA$2&gt;VLOOKUP($H21,Lists!$P$3:$Q$7,2),IF($N21=Lists!$K$3,IF($L21&lt;1,(($U21/$L21)*((1+Inputs!$D$7)^CA$2)),((INT(CA$2/$L21)-INT((CA$2-1)/$L21))*$U21*((1+Inputs!$D$7)^CA$2))),(Inputs!$D$8^((1-_xlfn.WEIBULL.DIST(CA$2,$M21,$L21,FALSE))/_xlfn.WEIBULL.DIST(CA$2,$M21,$L21,FALSE))*$U21*((1+Inputs!$D$7)^CA$2))),IF($N21=Lists!$K$3,IF($L21&lt;1,((($T21*(1-$F21)+$S21*(1-$G21))/$L21)*((1+Inputs!$D$7)^CA$2)),((INT(CA$2/$L21)-INT((CA$2-1)/$L21))*($T21*(1-$F21)+$S21*(1-$G21))*((1+Inputs!$D$7)^CA$2))),((Inputs!$D$8^((1-_xlfn.WEIBULL.DIST(CA$2,$M21,$L21,FALSE))/_xlfn.WEIBULL.DIST(CA$2,$M21,$L21,FALSE))*($T21*(1-$F21)+$S21*(1-$G21))*((1+Inputs!$D$7)^CA$2))))))))</f>
        <v>32.208751169574271</v>
      </c>
      <c r="CB21" s="88">
        <f>MAX(AL21,($E21*IF(CB$2&gt;Inputs!$D$5,0,IF(CB$2&gt;VLOOKUP($H21,Lists!$P$3:$Q$7,2),IF($N21=Lists!$K$3,IF($L21&lt;1,(($U21/$L21)*((1+Inputs!$D$7)^CB$2)),((INT(CB$2/$L21)-INT((CB$2-1)/$L21))*$U21*((1+Inputs!$D$7)^CB$2))),(Inputs!$D$8^((1-_xlfn.WEIBULL.DIST(CB$2,$M21,$L21,FALSE))/_xlfn.WEIBULL.DIST(CB$2,$M21,$L21,FALSE))*$U21*((1+Inputs!$D$7)^CB$2))),IF($N21=Lists!$K$3,IF($L21&lt;1,((($T21*(1-$F21)+$S21*(1-$G21))/$L21)*((1+Inputs!$D$7)^CB$2)),((INT(CB$2/$L21)-INT((CB$2-1)/$L21))*($T21*(1-$F21)+$S21*(1-$G21))*((1+Inputs!$D$7)^CB$2))),((Inputs!$D$8^((1-_xlfn.WEIBULL.DIST(CB$2,$M21,$L21,FALSE))/_xlfn.WEIBULL.DIST(CB$2,$M21,$L21,FALSE))*($T21*(1-$F21)+$S21*(1-$G21))*((1+Inputs!$D$7)^CB$2))))))))</f>
        <v>56.360087351887252</v>
      </c>
      <c r="CC21" s="88">
        <f>MAX(AM21,($E21*IF(CC$2&gt;Inputs!$D$5,0,IF(CC$2&gt;VLOOKUP($H21,Lists!$P$3:$Q$7,2),IF($N21=Lists!$K$3,IF($L21&lt;1,(($U21/$L21)*((1+Inputs!$D$7)^CC$2)),((INT(CC$2/$L21)-INT((CC$2-1)/$L21))*$U21*((1+Inputs!$D$7)^CC$2))),(Inputs!$D$8^((1-_xlfn.WEIBULL.DIST(CC$2,$M21,$L21,FALSE))/_xlfn.WEIBULL.DIST(CC$2,$M21,$L21,FALSE))*$U21*((1+Inputs!$D$7)^CC$2))),IF($N21=Lists!$K$3,IF($L21&lt;1,((($T21*(1-$F21)+$S21*(1-$G21))/$L21)*((1+Inputs!$D$7)^CC$2)),((INT(CC$2/$L21)-INT((CC$2-1)/$L21))*($T21*(1-$F21)+$S21*(1-$G21))*((1+Inputs!$D$7)^CC$2))),((Inputs!$D$8^((1-_xlfn.WEIBULL.DIST(CC$2,$M21,$L21,FALSE))/_xlfn.WEIBULL.DIST(CC$2,$M21,$L21,FALSE))*($T21*(1-$F21)+$S21*(1-$G21))*((1+Inputs!$D$7)^CC$2))))))))</f>
        <v>86.695696030936887</v>
      </c>
      <c r="CD21" s="88">
        <f>MAX(AN21,($E21*IF(CD$2&gt;Inputs!$D$5,0,IF(CD$2&gt;VLOOKUP($H21,Lists!$P$3:$Q$7,2),IF($N21=Lists!$K$3,IF($L21&lt;1,(($U21/$L21)*((1+Inputs!$D$7)^CD$2)),((INT(CD$2/$L21)-INT((CD$2-1)/$L21))*$U21*((1+Inputs!$D$7)^CD$2))),(Inputs!$D$8^((1-_xlfn.WEIBULL.DIST(CD$2,$M21,$L21,FALSE))/_xlfn.WEIBULL.DIST(CD$2,$M21,$L21,FALSE))*$U21*((1+Inputs!$D$7)^CD$2))),IF($N21=Lists!$K$3,IF($L21&lt;1,((($T21*(1-$F21)+$S21*(1-$G21))/$L21)*((1+Inputs!$D$7)^CD$2)),((INT(CD$2/$L21)-INT((CD$2-1)/$L21))*($T21*(1-$F21)+$S21*(1-$G21))*((1+Inputs!$D$7)^CD$2))),((Inputs!$D$8^((1-_xlfn.WEIBULL.DIST(CD$2,$M21,$L21,FALSE))/_xlfn.WEIBULL.DIST(CD$2,$M21,$L21,FALSE))*($T21*(1-$F21)+$S21*(1-$G21))*((1+Inputs!$D$7)^CD$2))))))))</f>
        <v>121.36222660709865</v>
      </c>
      <c r="CE21" s="88">
        <f>MAX(AO21,($E21*IF(CE$2&gt;Inputs!$D$5,0,IF(CE$2&gt;VLOOKUP($H21,Lists!$P$3:$Q$7,2),IF($N21=Lists!$K$3,IF($L21&lt;1,(($U21/$L21)*((1+Inputs!$D$7)^CE$2)),((INT(CE$2/$L21)-INT((CE$2-1)/$L21))*$U21*((1+Inputs!$D$7)^CE$2))),(Inputs!$D$8^((1-_xlfn.WEIBULL.DIST(CE$2,$M21,$L21,FALSE))/_xlfn.WEIBULL.DIST(CE$2,$M21,$L21,FALSE))*$U21*((1+Inputs!$D$7)^CE$2))),IF($N21=Lists!$K$3,IF($L21&lt;1,((($T21*(1-$F21)+$S21*(1-$G21))/$L21)*((1+Inputs!$D$7)^CE$2)),((INT(CE$2/$L21)-INT((CE$2-1)/$L21))*($T21*(1-$F21)+$S21*(1-$G21))*((1+Inputs!$D$7)^CE$2))),((Inputs!$D$8^((1-_xlfn.WEIBULL.DIST(CE$2,$M21,$L21,FALSE))/_xlfn.WEIBULL.DIST(CE$2,$M21,$L21,FALSE))*($T21*(1-$F21)+$S21*(1-$G21))*((1+Inputs!$D$7)^CE$2))))))))</f>
        <v>158.25006338099598</v>
      </c>
      <c r="CF21" s="88">
        <f>MAX(AP21,($E21*IF(CF$2&gt;Inputs!$D$5,0,IF(CF$2&gt;VLOOKUP($H21,Lists!$P$3:$Q$7,2),IF($N21=Lists!$K$3,IF($L21&lt;1,(($U21/$L21)*((1+Inputs!$D$7)^CF$2)),((INT(CF$2/$L21)-INT((CF$2-1)/$L21))*$U21*((1+Inputs!$D$7)^CF$2))),(Inputs!$D$8^((1-_xlfn.WEIBULL.DIST(CF$2,$M21,$L21,FALSE))/_xlfn.WEIBULL.DIST(CF$2,$M21,$L21,FALSE))*$U21*((1+Inputs!$D$7)^CF$2))),IF($N21=Lists!$K$3,IF($L21&lt;1,((($T21*(1-$F21)+$S21*(1-$G21))/$L21)*((1+Inputs!$D$7)^CF$2)),((INT(CF$2/$L21)-INT((CF$2-1)/$L21))*($T21*(1-$F21)+$S21*(1-$G21))*((1+Inputs!$D$7)^CF$2))),((Inputs!$D$8^((1-_xlfn.WEIBULL.DIST(CF$2,$M21,$L21,FALSE))/_xlfn.WEIBULL.DIST(CF$2,$M21,$L21,FALSE))*($T21*(1-$F21)+$S21*(1-$G21))*((1+Inputs!$D$7)^CF$2))))))))</f>
        <v>195.31807668585895</v>
      </c>
      <c r="CG21" s="88">
        <f>MAX(AQ21,($E21*IF(CG$2&gt;Inputs!$D$5,0,IF(CG$2&gt;VLOOKUP($H21,Lists!$P$3:$Q$7,2),IF($N21=Lists!$K$3,IF($L21&lt;1,(($U21/$L21)*((1+Inputs!$D$7)^CG$2)),((INT(CG$2/$L21)-INT((CG$2-1)/$L21))*$U21*((1+Inputs!$D$7)^CG$2))),(Inputs!$D$8^((1-_xlfn.WEIBULL.DIST(CG$2,$M21,$L21,FALSE))/_xlfn.WEIBULL.DIST(CG$2,$M21,$L21,FALSE))*$U21*((1+Inputs!$D$7)^CG$2))),IF($N21=Lists!$K$3,IF($L21&lt;1,((($T21*(1-$F21)+$S21*(1-$G21))/$L21)*((1+Inputs!$D$7)^CG$2)),((INT(CG$2/$L21)-INT((CG$2-1)/$L21))*($T21*(1-$F21)+$S21*(1-$G21))*((1+Inputs!$D$7)^CG$2))),((Inputs!$D$8^((1-_xlfn.WEIBULL.DIST(CG$2,$M21,$L21,FALSE))/_xlfn.WEIBULL.DIST(CG$2,$M21,$L21,FALSE))*($T21*(1-$F21)+$S21*(1-$G21))*((1+Inputs!$D$7)^CG$2))))))))</f>
        <v>230.75491231780504</v>
      </c>
      <c r="CH21" s="88">
        <f>MAX(AR21,($E21*IF(CH$2&gt;Inputs!$D$5,0,IF(CH$2&gt;VLOOKUP($H21,Lists!$P$3:$Q$7,2),IF($N21=Lists!$K$3,IF($L21&lt;1,(($U21/$L21)*((1+Inputs!$D$7)^CH$2)),((INT(CH$2/$L21)-INT((CH$2-1)/$L21))*$U21*((1+Inputs!$D$7)^CH$2))),(Inputs!$D$8^((1-_xlfn.WEIBULL.DIST(CH$2,$M21,$L21,FALSE))/_xlfn.WEIBULL.DIST(CH$2,$M21,$L21,FALSE))*$U21*((1+Inputs!$D$7)^CH$2))),IF($N21=Lists!$K$3,IF($L21&lt;1,((($T21*(1-$F21)+$S21*(1-$G21))/$L21)*((1+Inputs!$D$7)^CH$2)),((INT(CH$2/$L21)-INT((CH$2-1)/$L21))*($T21*(1-$F21)+$S21*(1-$G21))*((1+Inputs!$D$7)^CH$2))),((Inputs!$D$8^((1-_xlfn.WEIBULL.DIST(CH$2,$M21,$L21,FALSE))/_xlfn.WEIBULL.DIST(CH$2,$M21,$L21,FALSE))*($T21*(1-$F21)+$S21*(1-$G21))*((1+Inputs!$D$7)^CH$2))))))))</f>
        <v>263.02866747836896</v>
      </c>
      <c r="CI21" s="88">
        <f>MAX(AS21,($E21*IF(CI$2&gt;Inputs!$D$5,0,IF(CI$2&gt;VLOOKUP($H21,Lists!$P$3:$Q$7,2),IF($N21=Lists!$K$3,IF($L21&lt;1,(($U21/$L21)*((1+Inputs!$D$7)^CI$2)),((INT(CI$2/$L21)-INT((CI$2-1)/$L21))*$U21*((1+Inputs!$D$7)^CI$2))),(Inputs!$D$8^((1-_xlfn.WEIBULL.DIST(CI$2,$M21,$L21,FALSE))/_xlfn.WEIBULL.DIST(CI$2,$M21,$L21,FALSE))*$U21*((1+Inputs!$D$7)^CI$2))),IF($N21=Lists!$K$3,IF($L21&lt;1,((($T21*(1-$F21)+$S21*(1-$G21))/$L21)*((1+Inputs!$D$7)^CI$2)),((INT(CI$2/$L21)-INT((CI$2-1)/$L21))*($T21*(1-$F21)+$S21*(1-$G21))*((1+Inputs!$D$7)^CI$2))),((Inputs!$D$8^((1-_xlfn.WEIBULL.DIST(CI$2,$M21,$L21,FALSE))/_xlfn.WEIBULL.DIST(CI$2,$M21,$L21,FALSE))*($T21*(1-$F21)+$S21*(1-$G21))*((1+Inputs!$D$7)^CI$2))))))))</f>
        <v>290.87596729233388</v>
      </c>
      <c r="CJ21" s="88">
        <f>MAX(AT21,($E21*IF(CJ$2&gt;Inputs!$D$5,0,IF(CJ$2&gt;VLOOKUP($H21,Lists!$P$3:$Q$7,2),IF($N21=Lists!$K$3,IF($L21&lt;1,(($U21/$L21)*((1+Inputs!$D$7)^CJ$2)),((INT(CJ$2/$L21)-INT((CJ$2-1)/$L21))*$U21*((1+Inputs!$D$7)^CJ$2))),(Inputs!$D$8^((1-_xlfn.WEIBULL.DIST(CJ$2,$M21,$L21,FALSE))/_xlfn.WEIBULL.DIST(CJ$2,$M21,$L21,FALSE))*$U21*((1+Inputs!$D$7)^CJ$2))),IF($N21=Lists!$K$3,IF($L21&lt;1,((($T21*(1-$F21)+$S21*(1-$G21))/$L21)*((1+Inputs!$D$7)^CJ$2)),((INT(CJ$2/$L21)-INT((CJ$2-1)/$L21))*($T21*(1-$F21)+$S21*(1-$G21))*((1+Inputs!$D$7)^CJ$2))),((Inputs!$D$8^((1-_xlfn.WEIBULL.DIST(CJ$2,$M21,$L21,FALSE))/_xlfn.WEIBULL.DIST(CJ$2,$M21,$L21,FALSE))*($T21*(1-$F21)+$S21*(1-$G21))*((1+Inputs!$D$7)^CJ$2))))))))</f>
        <v>313.26683330804383</v>
      </c>
      <c r="CK21" s="88">
        <f>MAX(AU21,($E21*IF(CK$2&gt;Inputs!$D$5,0,IF(CK$2&gt;VLOOKUP($H21,Lists!$P$3:$Q$7,2),IF($N21=Lists!$K$3,IF($L21&lt;1,(($U21/$L21)*((1+Inputs!$D$7)^CK$2)),((INT(CK$2/$L21)-INT((CK$2-1)/$L21))*$U21*((1+Inputs!$D$7)^CK$2))),(Inputs!$D$8^((1-_xlfn.WEIBULL.DIST(CK$2,$M21,$L21,FALSE))/_xlfn.WEIBULL.DIST(CK$2,$M21,$L21,FALSE))*$U21*((1+Inputs!$D$7)^CK$2))),IF($N21=Lists!$K$3,IF($L21&lt;1,((($T21*(1-$F21)+$S21*(1-$G21))/$L21)*((1+Inputs!$D$7)^CK$2)),((INT(CK$2/$L21)-INT((CK$2-1)/$L21))*($T21*(1-$F21)+$S21*(1-$G21))*((1+Inputs!$D$7)^CK$2))),((Inputs!$D$8^((1-_xlfn.WEIBULL.DIST(CK$2,$M21,$L21,FALSE))/_xlfn.WEIBULL.DIST(CK$2,$M21,$L21,FALSE))*($T21*(1-$F21)+$S21*(1-$G21))*((1+Inputs!$D$7)^CK$2))))))))</f>
        <v>329.36776802850522</v>
      </c>
      <c r="CL21" s="88">
        <f>MAX(AV21,($E21*IF(CL$2&gt;Inputs!$D$5,0,IF(CL$2&gt;VLOOKUP($H21,Lists!$P$3:$Q$7,2),IF($N21=Lists!$K$3,IF($L21&lt;1,(($U21/$L21)*((1+Inputs!$D$7)^CL$2)),((INT(CL$2/$L21)-INT((CL$2-1)/$L21))*$U21*((1+Inputs!$D$7)^CL$2))),(Inputs!$D$8^((1-_xlfn.WEIBULL.DIST(CL$2,$M21,$L21,FALSE))/_xlfn.WEIBULL.DIST(CL$2,$M21,$L21,FALSE))*$U21*((1+Inputs!$D$7)^CL$2))),IF($N21=Lists!$K$3,IF($L21&lt;1,((($T21*(1-$F21)+$S21*(1-$G21))/$L21)*((1+Inputs!$D$7)^CL$2)),((INT(CL$2/$L21)-INT((CL$2-1)/$L21))*($T21*(1-$F21)+$S21*(1-$G21))*((1+Inputs!$D$7)^CL$2))),((Inputs!$D$8^((1-_xlfn.WEIBULL.DIST(CL$2,$M21,$L21,FALSE))/_xlfn.WEIBULL.DIST(CL$2,$M21,$L21,FALSE))*($T21*(1-$F21)+$S21*(1-$G21))*((1+Inputs!$D$7)^CL$2))))))))</f>
        <v>338.51593043563469</v>
      </c>
      <c r="CM21" s="88">
        <f>MAX(AW21,($E21*IF(CM$2&gt;Inputs!$D$5,0,IF(CM$2&gt;VLOOKUP($H21,Lists!$P$3:$Q$7,2),IF($N21=Lists!$K$3,IF($L21&lt;1,(($U21/$L21)*((1+Inputs!$D$7)^CM$2)),((INT(CM$2/$L21)-INT((CM$2-1)/$L21))*$U21*((1+Inputs!$D$7)^CM$2))),(Inputs!$D$8^((1-_xlfn.WEIBULL.DIST(CM$2,$M21,$L21,FALSE))/_xlfn.WEIBULL.DIST(CM$2,$M21,$L21,FALSE))*$U21*((1+Inputs!$D$7)^CM$2))),IF($N21=Lists!$K$3,IF($L21&lt;1,((($T21*(1-$F21)+$S21*(1-$G21))/$L21)*((1+Inputs!$D$7)^CM$2)),((INT(CM$2/$L21)-INT((CM$2-1)/$L21))*($T21*(1-$F21)+$S21*(1-$G21))*((1+Inputs!$D$7)^CM$2))),((Inputs!$D$8^((1-_xlfn.WEIBULL.DIST(CM$2,$M21,$L21,FALSE))/_xlfn.WEIBULL.DIST(CM$2,$M21,$L21,FALSE))*($T21*(1-$F21)+$S21*(1-$G21))*((1+Inputs!$D$7)^CM$2))))))))</f>
        <v>340.21180887776427</v>
      </c>
      <c r="CN21" s="88">
        <f>MAX(AX21,($E21*IF(CN$2&gt;Inputs!$D$5,0,IF(CN$2&gt;VLOOKUP($H21,Lists!$P$3:$Q$7,2),IF($N21=Lists!$K$3,IF($L21&lt;1,(($U21/$L21)*((1+Inputs!$D$7)^CN$2)),((INT(CN$2/$L21)-INT((CN$2-1)/$L21))*$U21*((1+Inputs!$D$7)^CN$2))),(Inputs!$D$8^((1-_xlfn.WEIBULL.DIST(CN$2,$M21,$L21,FALSE))/_xlfn.WEIBULL.DIST(CN$2,$M21,$L21,FALSE))*$U21*((1+Inputs!$D$7)^CN$2))),IF($N21=Lists!$K$3,IF($L21&lt;1,((($T21*(1-$F21)+$S21*(1-$G21))/$L21)*((1+Inputs!$D$7)^CN$2)),((INT(CN$2/$L21)-INT((CN$2-1)/$L21))*($T21*(1-$F21)+$S21*(1-$G21))*((1+Inputs!$D$7)^CN$2))),((Inputs!$D$8^((1-_xlfn.WEIBULL.DIST(CN$2,$M21,$L21,FALSE))/_xlfn.WEIBULL.DIST(CN$2,$M21,$L21,FALSE))*($T21*(1-$F21)+$S21*(1-$G21))*((1+Inputs!$D$7)^CN$2))))))))</f>
        <v>334.13499690115952</v>
      </c>
      <c r="CO21" s="88">
        <f>MAX(AY21,($E21*IF(CO$2&gt;Inputs!$D$5,0,IF(CO$2&gt;VLOOKUP($H21,Lists!$P$3:$Q$7,2),IF($N21=Lists!$K$3,IF($L21&lt;1,(($U21/$L21)*((1+Inputs!$D$7)^CO$2)),((INT(CO$2/$L21)-INT((CO$2-1)/$L21))*$U21*((1+Inputs!$D$7)^CO$2))),(Inputs!$D$8^((1-_xlfn.WEIBULL.DIST(CO$2,$M21,$L21,FALSE))/_xlfn.WEIBULL.DIST(CO$2,$M21,$L21,FALSE))*$U21*((1+Inputs!$D$7)^CO$2))),IF($N21=Lists!$K$3,IF($L21&lt;1,((($T21*(1-$F21)+$S21*(1-$G21))/$L21)*((1+Inputs!$D$7)^CO$2)),((INT(CO$2/$L21)-INT((CO$2-1)/$L21))*($T21*(1-$F21)+$S21*(1-$G21))*((1+Inputs!$D$7)^CO$2))),((Inputs!$D$8^((1-_xlfn.WEIBULL.DIST(CO$2,$M21,$L21,FALSE))/_xlfn.WEIBULL.DIST(CO$2,$M21,$L21,FALSE))*($T21*(1-$F21)+$S21*(1-$G21))*((1+Inputs!$D$7)^CO$2))))))))</f>
        <v>320.18603824095658</v>
      </c>
      <c r="CP21" s="88">
        <f>MAX(AZ21,($E21*IF(CP$2&gt;Inputs!$D$5,0,IF(CP$2&gt;VLOOKUP($H21,Lists!$P$3:$Q$7,2),IF($N21=Lists!$K$3,IF($L21&lt;1,(($U21/$L21)*((1+Inputs!$D$7)^CP$2)),((INT(CP$2/$L21)-INT((CP$2-1)/$L21))*$U21*((1+Inputs!$D$7)^CP$2))),(Inputs!$D$8^((1-_xlfn.WEIBULL.DIST(CP$2,$M21,$L21,FALSE))/_xlfn.WEIBULL.DIST(CP$2,$M21,$L21,FALSE))*$U21*((1+Inputs!$D$7)^CP$2))),IF($N21=Lists!$K$3,IF($L21&lt;1,((($T21*(1-$F21)+$S21*(1-$G21))/$L21)*((1+Inputs!$D$7)^CP$2)),((INT(CP$2/$L21)-INT((CP$2-1)/$L21))*($T21*(1-$F21)+$S21*(1-$G21))*((1+Inputs!$D$7)^CP$2))),((Inputs!$D$8^((1-_xlfn.WEIBULL.DIST(CP$2,$M21,$L21,FALSE))/_xlfn.WEIBULL.DIST(CP$2,$M21,$L21,FALSE))*($T21*(1-$F21)+$S21*(1-$G21))*((1+Inputs!$D$7)^CP$2))))))))</f>
        <v>0</v>
      </c>
      <c r="CQ21" s="88">
        <f>MAX(BA21,($E21*IF(CQ$2&gt;Inputs!$D$5,0,IF(CQ$2&gt;VLOOKUP($H21,Lists!$P$3:$Q$7,2),IF($N21=Lists!$K$3,IF($L21&lt;1,(($U21/$L21)*((1+Inputs!$D$7)^CQ$2)),((INT(CQ$2/$L21)-INT((CQ$2-1)/$L21))*$U21*((1+Inputs!$D$7)^CQ$2))),(Inputs!$D$8^((1-_xlfn.WEIBULL.DIST(CQ$2,$M21,$L21,FALSE))/_xlfn.WEIBULL.DIST(CQ$2,$M21,$L21,FALSE))*$U21*((1+Inputs!$D$7)^CQ$2))),IF($N21=Lists!$K$3,IF($L21&lt;1,((($T21*(1-$F21)+$S21*(1-$G21))/$L21)*((1+Inputs!$D$7)^CQ$2)),((INT(CQ$2/$L21)-INT((CQ$2-1)/$L21))*($T21*(1-$F21)+$S21*(1-$G21))*((1+Inputs!$D$7)^CQ$2))),((Inputs!$D$8^((1-_xlfn.WEIBULL.DIST(CQ$2,$M21,$L21,FALSE))/_xlfn.WEIBULL.DIST(CQ$2,$M21,$L21,FALSE))*($T21*(1-$F21)+$S21*(1-$G21))*((1+Inputs!$D$7)^CQ$2))))))))</f>
        <v>0</v>
      </c>
      <c r="CR21" s="88">
        <f>MAX(BB21,($E21*IF(CR$2&gt;Inputs!$D$5,0,IF(CR$2&gt;VLOOKUP($H21,Lists!$P$3:$Q$7,2),IF($N21=Lists!$K$3,IF($L21&lt;1,(($U21/$L21)*((1+Inputs!$D$7)^CR$2)),((INT(CR$2/$L21)-INT((CR$2-1)/$L21))*$U21*((1+Inputs!$D$7)^CR$2))),(Inputs!$D$8^((1-_xlfn.WEIBULL.DIST(CR$2,$M21,$L21,FALSE))/_xlfn.WEIBULL.DIST(CR$2,$M21,$L21,FALSE))*$U21*((1+Inputs!$D$7)^CR$2))),IF($N21=Lists!$K$3,IF($L21&lt;1,((($T21*(1-$F21)+$S21*(1-$G21))/$L21)*((1+Inputs!$D$7)^CR$2)),((INT(CR$2/$L21)-INT((CR$2-1)/$L21))*($T21*(1-$F21)+$S21*(1-$G21))*((1+Inputs!$D$7)^CR$2))),((Inputs!$D$8^((1-_xlfn.WEIBULL.DIST(CR$2,$M21,$L21,FALSE))/_xlfn.WEIBULL.DIST(CR$2,$M21,$L21,FALSE))*($T21*(1-$F21)+$S21*(1-$G21))*((1+Inputs!$D$7)^CR$2))))))))</f>
        <v>0</v>
      </c>
      <c r="CS21" s="88">
        <f>MAX(BC21,($E21*IF(CS$2&gt;Inputs!$D$5,0,IF(CS$2&gt;VLOOKUP($H21,Lists!$P$3:$Q$7,2),IF($N21=Lists!$K$3,IF($L21&lt;1,(($U21/$L21)*((1+Inputs!$D$7)^CS$2)),((INT(CS$2/$L21)-INT((CS$2-1)/$L21))*$U21*((1+Inputs!$D$7)^CS$2))),(Inputs!$D$8^((1-_xlfn.WEIBULL.DIST(CS$2,$M21,$L21,FALSE))/_xlfn.WEIBULL.DIST(CS$2,$M21,$L21,FALSE))*$U21*((1+Inputs!$D$7)^CS$2))),IF($N21=Lists!$K$3,IF($L21&lt;1,((($T21*(1-$F21)+$S21*(1-$G21))/$L21)*((1+Inputs!$D$7)^CS$2)),((INT(CS$2/$L21)-INT((CS$2-1)/$L21))*($T21*(1-$F21)+$S21*(1-$G21))*((1+Inputs!$D$7)^CS$2))),((Inputs!$D$8^((1-_xlfn.WEIBULL.DIST(CS$2,$M21,$L21,FALSE))/_xlfn.WEIBULL.DIST(CS$2,$M21,$L21,FALSE))*($T21*(1-$F21)+$S21*(1-$G21))*((1+Inputs!$D$7)^CS$2))))))))</f>
        <v>0</v>
      </c>
      <c r="CT21" s="88">
        <f>MAX(BD21,($E21*IF(CT$2&gt;Inputs!$D$5,0,IF(CT$2&gt;VLOOKUP($H21,Lists!$P$3:$Q$7,2),IF($N21=Lists!$K$3,IF($L21&lt;1,(($U21/$L21)*((1+Inputs!$D$7)^CT$2)),((INT(CT$2/$L21)-INT((CT$2-1)/$L21))*$U21*((1+Inputs!$D$7)^CT$2))),(Inputs!$D$8^((1-_xlfn.WEIBULL.DIST(CT$2,$M21,$L21,FALSE))/_xlfn.WEIBULL.DIST(CT$2,$M21,$L21,FALSE))*$U21*((1+Inputs!$D$7)^CT$2))),IF($N21=Lists!$K$3,IF($L21&lt;1,((($T21*(1-$F21)+$S21*(1-$G21))/$L21)*((1+Inputs!$D$7)^CT$2)),((INT(CT$2/$L21)-INT((CT$2-1)/$L21))*($T21*(1-$F21)+$S21*(1-$G21))*((1+Inputs!$D$7)^CT$2))),((Inputs!$D$8^((1-_xlfn.WEIBULL.DIST(CT$2,$M21,$L21,FALSE))/_xlfn.WEIBULL.DIST(CT$2,$M21,$L21,FALSE))*($T21*(1-$F21)+$S21*(1-$G21))*((1+Inputs!$D$7)^CT$2))))))))</f>
        <v>0</v>
      </c>
      <c r="CU21" s="88">
        <f>MAX(BE21,($E21*IF(CU$2&gt;Inputs!$D$5,0,IF(CU$2&gt;VLOOKUP($H21,Lists!$P$3:$Q$7,2),IF($N21=Lists!$K$3,IF($L21&lt;1,(($U21/$L21)*((1+Inputs!$D$7)^CU$2)),((INT(CU$2/$L21)-INT((CU$2-1)/$L21))*$U21*((1+Inputs!$D$7)^CU$2))),(Inputs!$D$8^((1-_xlfn.WEIBULL.DIST(CU$2,$M21,$L21,FALSE))/_xlfn.WEIBULL.DIST(CU$2,$M21,$L21,FALSE))*$U21*((1+Inputs!$D$7)^CU$2))),IF($N21=Lists!$K$3,IF($L21&lt;1,((($T21*(1-$F21)+$S21*(1-$G21))/$L21)*((1+Inputs!$D$7)^CU$2)),((INT(CU$2/$L21)-INT((CU$2-1)/$L21))*($T21*(1-$F21)+$S21*(1-$G21))*((1+Inputs!$D$7)^CU$2))),((Inputs!$D$8^((1-_xlfn.WEIBULL.DIST(CU$2,$M21,$L21,FALSE))/_xlfn.WEIBULL.DIST(CU$2,$M21,$L21,FALSE))*($T21*(1-$F21)+$S21*(1-$G21))*((1+Inputs!$D$7)^CU$2))))))))</f>
        <v>0</v>
      </c>
      <c r="CV21" s="88">
        <f>MAX(BF21,($E21*IF(CV$2&gt;Inputs!$D$5,0,IF(CV$2&gt;VLOOKUP($H21,Lists!$P$3:$Q$7,2),IF($N21=Lists!$K$3,IF($L21&lt;1,(($U21/$L21)*((1+Inputs!$D$7)^CV$2)),((INT(CV$2/$L21)-INT((CV$2-1)/$L21))*$U21*((1+Inputs!$D$7)^CV$2))),(Inputs!$D$8^((1-_xlfn.WEIBULL.DIST(CV$2,$M21,$L21,FALSE))/_xlfn.WEIBULL.DIST(CV$2,$M21,$L21,FALSE))*$U21*((1+Inputs!$D$7)^CV$2))),IF($N21=Lists!$K$3,IF($L21&lt;1,((($T21*(1-$F21)+$S21*(1-$G21))/$L21)*((1+Inputs!$D$7)^CV$2)),((INT(CV$2/$L21)-INT((CV$2-1)/$L21))*($T21*(1-$F21)+$S21*(1-$G21))*((1+Inputs!$D$7)^CV$2))),((Inputs!$D$8^((1-_xlfn.WEIBULL.DIST(CV$2,$M21,$L21,FALSE))/_xlfn.WEIBULL.DIST(CV$2,$M21,$L21,FALSE))*($T21*(1-$F21)+$S21*(1-$G21))*((1+Inputs!$D$7)^CV$2))))))))</f>
        <v>0</v>
      </c>
      <c r="CW21" s="88">
        <f>MAX(BG21,($E21*IF(CW$2&gt;Inputs!$D$5,0,IF(CW$2&gt;VLOOKUP($H21,Lists!$P$3:$Q$7,2),IF($N21=Lists!$K$3,IF($L21&lt;1,(($U21/$L21)*((1+Inputs!$D$7)^CW$2)),((INT(CW$2/$L21)-INT((CW$2-1)/$L21))*$U21*((1+Inputs!$D$7)^CW$2))),(Inputs!$D$8^((1-_xlfn.WEIBULL.DIST(CW$2,$M21,$L21,FALSE))/_xlfn.WEIBULL.DIST(CW$2,$M21,$L21,FALSE))*$U21*((1+Inputs!$D$7)^CW$2))),IF($N21=Lists!$K$3,IF($L21&lt;1,((($T21*(1-$F21)+$S21*(1-$G21))/$L21)*((1+Inputs!$D$7)^CW$2)),((INT(CW$2/$L21)-INT((CW$2-1)/$L21))*($T21*(1-$F21)+$S21*(1-$G21))*((1+Inputs!$D$7)^CW$2))),((Inputs!$D$8^((1-_xlfn.WEIBULL.DIST(CW$2,$M21,$L21,FALSE))/_xlfn.WEIBULL.DIST(CW$2,$M21,$L21,FALSE))*($T21*(1-$F21)+$S21*(1-$G21))*((1+Inputs!$D$7)^CW$2))))))))</f>
        <v>0</v>
      </c>
      <c r="CX21" s="88">
        <f>MAX(BH21,($E21*IF(CX$2&gt;Inputs!$D$5,0,IF(CX$2&gt;VLOOKUP($H21,Lists!$P$3:$Q$7,2),IF($N21=Lists!$K$3,IF($L21&lt;1,(($U21/$L21)*((1+Inputs!$D$7)^CX$2)),((INT(CX$2/$L21)-INT((CX$2-1)/$L21))*$U21*((1+Inputs!$D$7)^CX$2))),(Inputs!$D$8^((1-_xlfn.WEIBULL.DIST(CX$2,$M21,$L21,FALSE))/_xlfn.WEIBULL.DIST(CX$2,$M21,$L21,FALSE))*$U21*((1+Inputs!$D$7)^CX$2))),IF($N21=Lists!$K$3,IF($L21&lt;1,((($T21*(1-$F21)+$S21*(1-$G21))/$L21)*((1+Inputs!$D$7)^CX$2)),((INT(CX$2/$L21)-INT((CX$2-1)/$L21))*($T21*(1-$F21)+$S21*(1-$G21))*((1+Inputs!$D$7)^CX$2))),((Inputs!$D$8^((1-_xlfn.WEIBULL.DIST(CX$2,$M21,$L21,FALSE))/_xlfn.WEIBULL.DIST(CX$2,$M21,$L21,FALSE))*($T21*(1-$F21)+$S21*(1-$G21))*((1+Inputs!$D$7)^CX$2))))))))</f>
        <v>0</v>
      </c>
      <c r="CY21" s="88">
        <f>MAX(BI21,($E21*IF(CY$2&gt;Inputs!$D$5,0,IF(CY$2&gt;VLOOKUP($H21,Lists!$P$3:$Q$7,2),IF($N21=Lists!$K$3,IF($L21&lt;1,(($U21/$L21)*((1+Inputs!$D$7)^CY$2)),((INT(CY$2/$L21)-INT((CY$2-1)/$L21))*$U21*((1+Inputs!$D$7)^CY$2))),(Inputs!$D$8^((1-_xlfn.WEIBULL.DIST(CY$2,$M21,$L21,FALSE))/_xlfn.WEIBULL.DIST(CY$2,$M21,$L21,FALSE))*$U21*((1+Inputs!$D$7)^CY$2))),IF($N21=Lists!$K$3,IF($L21&lt;1,((($T21*(1-$F21)+$S21*(1-$G21))/$L21)*((1+Inputs!$D$7)^CY$2)),((INT(CY$2/$L21)-INT((CY$2-1)/$L21))*($T21*(1-$F21)+$S21*(1-$G21))*((1+Inputs!$D$7)^CY$2))),((Inputs!$D$8^((1-_xlfn.WEIBULL.DIST(CY$2,$M21,$L21,FALSE))/_xlfn.WEIBULL.DIST(CY$2,$M21,$L21,FALSE))*($T21*(1-$F21)+$S21*(1-$G21))*((1+Inputs!$D$7)^CY$2))))))))</f>
        <v>0</v>
      </c>
      <c r="CZ21" s="88">
        <f>MAX(BJ21,($E21*IF(CZ$2&gt;Inputs!$D$5,0,IF(CZ$2&gt;VLOOKUP($H21,Lists!$P$3:$Q$7,2),IF($N21=Lists!$K$3,IF($L21&lt;1,(($U21/$L21)*((1+Inputs!$D$7)^CZ$2)),((INT(CZ$2/$L21)-INT((CZ$2-1)/$L21))*$U21*((1+Inputs!$D$7)^CZ$2))),(Inputs!$D$8^((1-_xlfn.WEIBULL.DIST(CZ$2,$M21,$L21,FALSE))/_xlfn.WEIBULL.DIST(CZ$2,$M21,$L21,FALSE))*$U21*((1+Inputs!$D$7)^CZ$2))),IF($N21=Lists!$K$3,IF($L21&lt;1,((($T21*(1-$F21)+$S21*(1-$G21))/$L21)*((1+Inputs!$D$7)^CZ$2)),((INT(CZ$2/$L21)-INT((CZ$2-1)/$L21))*($T21*(1-$F21)+$S21*(1-$G21))*((1+Inputs!$D$7)^CZ$2))),((Inputs!$D$8^((1-_xlfn.WEIBULL.DIST(CZ$2,$M21,$L21,FALSE))/_xlfn.WEIBULL.DIST(CZ$2,$M21,$L21,FALSE))*($T21*(1-$F21)+$S21*(1-$G21))*((1+Inputs!$D$7)^CZ$2))))))))</f>
        <v>0</v>
      </c>
      <c r="DA21" s="88">
        <f>MAX(BK21,($E21*IF(DA$2&gt;Inputs!$D$5,0,IF(DA$2&gt;VLOOKUP($H21,Lists!$P$3:$Q$7,2),IF($N21=Lists!$K$3,IF($L21&lt;1,(($U21/$L21)*((1+Inputs!$D$7)^DA$2)),((INT(DA$2/$L21)-INT((DA$2-1)/$L21))*$U21*((1+Inputs!$D$7)^DA$2))),(Inputs!$D$8^((1-_xlfn.WEIBULL.DIST(DA$2,$M21,$L21,FALSE))/_xlfn.WEIBULL.DIST(DA$2,$M21,$L21,FALSE))*$U21*((1+Inputs!$D$7)^DA$2))),IF($N21=Lists!$K$3,IF($L21&lt;1,((($T21*(1-$F21)+$S21*(1-$G21))/$L21)*((1+Inputs!$D$7)^DA$2)),((INT(DA$2/$L21)-INT((DA$2-1)/$L21))*($T21*(1-$F21)+$S21*(1-$G21))*((1+Inputs!$D$7)^DA$2))),((Inputs!$D$8^((1-_xlfn.WEIBULL.DIST(DA$2,$M21,$L21,FALSE))/_xlfn.WEIBULL.DIST(DA$2,$M21,$L21,FALSE))*($T21*(1-$F21)+$S21*(1-$G21))*((1+Inputs!$D$7)^DA$2))))))))</f>
        <v>0</v>
      </c>
      <c r="DB21" s="88">
        <f>MAX(BL21,($E21*IF(DB$2&gt;Inputs!$D$5,0,IF(DB$2&gt;VLOOKUP($H21,Lists!$P$3:$Q$7,2),IF($N21=Lists!$K$3,IF($L21&lt;1,(($U21/$L21)*((1+Inputs!$D$7)^DB$2)),((INT(DB$2/$L21)-INT((DB$2-1)/$L21))*$U21*((1+Inputs!$D$7)^DB$2))),(Inputs!$D$8^((1-_xlfn.WEIBULL.DIST(DB$2,$M21,$L21,FALSE))/_xlfn.WEIBULL.DIST(DB$2,$M21,$L21,FALSE))*$U21*((1+Inputs!$D$7)^DB$2))),IF($N21=Lists!$K$3,IF($L21&lt;1,((($T21*(1-$F21)+$S21*(1-$G21))/$L21)*((1+Inputs!$D$7)^DB$2)),((INT(DB$2/$L21)-INT((DB$2-1)/$L21))*($T21*(1-$F21)+$S21*(1-$G21))*((1+Inputs!$D$7)^DB$2))),((Inputs!$D$8^((1-_xlfn.WEIBULL.DIST(DB$2,$M21,$L21,FALSE))/_xlfn.WEIBULL.DIST(DB$2,$M21,$L21,FALSE))*($T21*(1-$F21)+$S21*(1-$G21))*((1+Inputs!$D$7)^DB$2))))))))</f>
        <v>0</v>
      </c>
      <c r="DC21" s="88">
        <f>MAX(BM21,($E21*IF(DC$2&gt;Inputs!$D$5,0,IF(DC$2&gt;VLOOKUP($H21,Lists!$P$3:$Q$7,2),IF($N21=Lists!$K$3,IF($L21&lt;1,(($U21/$L21)*((1+Inputs!$D$7)^DC$2)),((INT(DC$2/$L21)-INT((DC$2-1)/$L21))*$U21*((1+Inputs!$D$7)^DC$2))),(Inputs!$D$8^((1-_xlfn.WEIBULL.DIST(DC$2,$M21,$L21,FALSE))/_xlfn.WEIBULL.DIST(DC$2,$M21,$L21,FALSE))*$U21*((1+Inputs!$D$7)^DC$2))),IF($N21=Lists!$K$3,IF($L21&lt;1,((($T21*(1-$F21)+$S21*(1-$G21))/$L21)*((1+Inputs!$D$7)^DC$2)),((INT(DC$2/$L21)-INT((DC$2-1)/$L21))*($T21*(1-$F21)+$S21*(1-$G21))*((1+Inputs!$D$7)^DC$2))),((Inputs!$D$8^((1-_xlfn.WEIBULL.DIST(DC$2,$M21,$L21,FALSE))/_xlfn.WEIBULL.DIST(DC$2,$M21,$L21,FALSE))*($T21*(1-$F21)+$S21*(1-$G21))*((1+Inputs!$D$7)^DC$2))))))))</f>
        <v>0</v>
      </c>
      <c r="DD21" s="88">
        <f>MAX(BN21,($E21*IF(DD$2&gt;Inputs!$D$5,0,IF(DD$2&gt;VLOOKUP($H21,Lists!$P$3:$Q$7,2),IF($N21=Lists!$K$3,IF($L21&lt;1,(($U21/$L21)*((1+Inputs!$D$7)^DD$2)),((INT(DD$2/$L21)-INT((DD$2-1)/$L21))*$U21*((1+Inputs!$D$7)^DD$2))),(Inputs!$D$8^((1-_xlfn.WEIBULL.DIST(DD$2,$M21,$L21,FALSE))/_xlfn.WEIBULL.DIST(DD$2,$M21,$L21,FALSE))*$U21*((1+Inputs!$D$7)^DD$2))),IF($N21=Lists!$K$3,IF($L21&lt;1,((($T21*(1-$F21)+$S21*(1-$G21))/$L21)*((1+Inputs!$D$7)^DD$2)),((INT(DD$2/$L21)-INT((DD$2-1)/$L21))*($T21*(1-$F21)+$S21*(1-$G21))*((1+Inputs!$D$7)^DD$2))),((Inputs!$D$8^((1-_xlfn.WEIBULL.DIST(DD$2,$M21,$L21,FALSE))/_xlfn.WEIBULL.DIST(DD$2,$M21,$L21,FALSE))*($T21*(1-$F21)+$S21*(1-$G21))*((1+Inputs!$D$7)^DD$2))))))))</f>
        <v>0</v>
      </c>
    </row>
    <row r="22" spans="1:108" s="1" customFormat="1" ht="16">
      <c r="A22" s="57" t="s">
        <v>217</v>
      </c>
      <c r="B22" s="13" t="s">
        <v>130</v>
      </c>
      <c r="C22" s="13" t="s">
        <v>474</v>
      </c>
      <c r="D22" s="13" t="s">
        <v>123</v>
      </c>
      <c r="E22" s="48">
        <v>1</v>
      </c>
      <c r="F22" s="48">
        <v>1</v>
      </c>
      <c r="G22" s="48">
        <v>0</v>
      </c>
      <c r="H22" s="105" t="s">
        <v>357</v>
      </c>
      <c r="I22" s="14" t="s">
        <v>267</v>
      </c>
      <c r="J22" s="14" t="s">
        <v>88</v>
      </c>
      <c r="K22" s="13">
        <f>VLOOKUP(J22,'Labor Rates'!$A$1:$F$16,2)</f>
        <v>19.903846153846153</v>
      </c>
      <c r="L22" s="15">
        <v>25</v>
      </c>
      <c r="M22" s="15">
        <v>3</v>
      </c>
      <c r="N22" s="16" t="s">
        <v>226</v>
      </c>
      <c r="O22" s="61">
        <f>Inputs!$D$21</f>
        <v>32787</v>
      </c>
      <c r="P22" s="15">
        <v>0.25</v>
      </c>
      <c r="Q22" s="15">
        <f t="shared" si="0"/>
        <v>327.87</v>
      </c>
      <c r="R22" s="4">
        <v>10</v>
      </c>
      <c r="S22" s="53">
        <f t="shared" si="1"/>
        <v>163146.85096153847</v>
      </c>
      <c r="T22" s="53">
        <f t="shared" si="2"/>
        <v>327870</v>
      </c>
      <c r="U22" s="54">
        <f t="shared" si="3"/>
        <v>491016.8509615385</v>
      </c>
      <c r="V22" s="65"/>
      <c r="W22" s="58"/>
      <c r="X22" s="64">
        <f t="shared" si="4"/>
        <v>4645.3951207671253</v>
      </c>
      <c r="Y22" s="64">
        <f>NPV(Inputs!$D$6,AA22:BN22)</f>
        <v>72558.349396175181</v>
      </c>
      <c r="Z22" s="67">
        <f t="shared" si="5"/>
        <v>3.422205992521949E-2</v>
      </c>
      <c r="AA22" s="88">
        <f>$E22*IF(AA$2&gt;Inputs!$D$5,0,IF(AA$2&gt;VLOOKUP($H22,Lists!$P$3:$Q$7,2),IF($N22=Lists!$K$3,IF($L22&lt;1,(($U22/$L22)*((1+Inputs!$D$7)^AA$2)),((INT(AA$2/$L22)-INT((AA$2-1)/$L22))*$U22*((1+Inputs!$D$7)^AA$2))),(_xlfn.WEIBULL.DIST(AA$2,$M22,$L22,FALSE)*$U22*((1+Inputs!$D$7)^AA$2))),IF($N22=Lists!$K$3,IF($L22&lt;1,((($T22*(1-$F22)+$S22*(1-$G22))/$L22)*((1+Inputs!$D$7)^AA$2)),((INT(AA$2/$L22)-INT((AA$2-1)/$L22))*($T22*(1-$F22)+$S22*(1-$G22))*((1+Inputs!$D$7)^AA$2))),((_xlfn.WEIBULL.DIST(AA$2,$M22,$L22,FALSE)*($T22*(1-$F22)+$S22*(1-$G22))*((1+Inputs!$D$7)^AA$2))))))</f>
        <v>31.948634514266615</v>
      </c>
      <c r="AB22" s="88">
        <f>$E22*IF(AB$2&gt;Inputs!$D$5,0,IF(AB$2&gt;VLOOKUP($H22,Lists!$P$3:$Q$7,2),IF($N22=Lists!$K$3,IF($L22&lt;1,(($U22/$L22)*((1+Inputs!$D$7)^AB$2)),((INT(AB$2/$L22)-INT((AB$2-1)/$L22))*$U22*((1+Inputs!$D$7)^AB$2))),(_xlfn.WEIBULL.DIST(AB$2,$M22,$L22,FALSE)*$U22*((1+Inputs!$D$7)^AB$2))),IF($N22=Lists!$K$3,IF($L22&lt;1,((($T22*(1-$F22)+$S22*(1-$G22))/$L22)*((1+Inputs!$D$7)^AB$2)),((INT(AB$2/$L22)-INT((AB$2-1)/$L22))*($T22*(1-$F22)+$S22*(1-$G22))*((1+Inputs!$D$7)^AB$2))),((_xlfn.WEIBULL.DIST(AB$2,$M22,$L22,FALSE)*($T22*(1-$F22)+$S22*(1-$G22))*((1+Inputs!$D$7)^AB$2))))))</f>
        <v>130.29204490507024</v>
      </c>
      <c r="AC22" s="88">
        <f>$E22*IF(AC$2&gt;Inputs!$D$5,0,IF(AC$2&gt;VLOOKUP($H22,Lists!$P$3:$Q$7,2),IF($N22=Lists!$K$3,IF($L22&lt;1,(($U22/$L22)*((1+Inputs!$D$7)^AC$2)),((INT(AC$2/$L22)-INT((AC$2-1)/$L22))*$U22*((1+Inputs!$D$7)^AC$2))),(_xlfn.WEIBULL.DIST(AC$2,$M22,$L22,FALSE)*$U22*((1+Inputs!$D$7)^AC$2))),IF($N22=Lists!$K$3,IF($L22&lt;1,((($T22*(1-$F22)+$S22*(1-$G22))/$L22)*((1+Inputs!$D$7)^AC$2)),((INT(AC$2/$L22)-INT((AC$2-1)/$L22))*($T22*(1-$F22)+$S22*(1-$G22))*((1+Inputs!$D$7)^AC$2))),((_xlfn.WEIBULL.DIST(AC$2,$M22,$L22,FALSE)*($T22*(1-$F22)+$S22*(1-$G22))*((1+Inputs!$D$7)^AC$2))))))</f>
        <v>298.65685542603563</v>
      </c>
      <c r="AD22" s="88">
        <f>$E22*IF(AD$2&gt;Inputs!$D$5,0,IF(AD$2&gt;VLOOKUP($H22,Lists!$P$3:$Q$7,2),IF($N22=Lists!$K$3,IF($L22&lt;1,(($U22/$L22)*((1+Inputs!$D$7)^AD$2)),((INT(AD$2/$L22)-INT((AD$2-1)/$L22))*$U22*((1+Inputs!$D$7)^AD$2))),(_xlfn.WEIBULL.DIST(AD$2,$M22,$L22,FALSE)*$U22*((1+Inputs!$D$7)^AD$2))),IF($N22=Lists!$K$3,IF($L22&lt;1,((($T22*(1-$F22)+$S22*(1-$G22))/$L22)*((1+Inputs!$D$7)^AD$2)),((INT(AD$2/$L22)-INT((AD$2-1)/$L22))*($T22*(1-$F22)+$S22*(1-$G22))*((1+Inputs!$D$7)^AD$2))),((_xlfn.WEIBULL.DIST(AD$2,$M22,$L22,FALSE)*($T22*(1-$F22)+$S22*(1-$G22))*((1+Inputs!$D$7)^AD$2))))))</f>
        <v>540.28352379241505</v>
      </c>
      <c r="AE22" s="88">
        <f>$E22*IF(AE$2&gt;Inputs!$D$5,0,IF(AE$2&gt;VLOOKUP($H22,Lists!$P$3:$Q$7,2),IF($N22=Lists!$K$3,IF($L22&lt;1,(($U22/$L22)*((1+Inputs!$D$7)^AE$2)),((INT(AE$2/$L22)-INT((AE$2-1)/$L22))*$U22*((1+Inputs!$D$7)^AE$2))),(_xlfn.WEIBULL.DIST(AE$2,$M22,$L22,FALSE)*$U22*((1+Inputs!$D$7)^AE$2))),IF($N22=Lists!$K$3,IF($L22&lt;1,((($T22*(1-$F22)+$S22*(1-$G22))/$L22)*((1+Inputs!$D$7)^AE$2)),((INT(AE$2/$L22)-INT((AE$2-1)/$L22))*($T22*(1-$F22)+$S22*(1-$G22))*((1+Inputs!$D$7)^AE$2))),((_xlfn.WEIBULL.DIST(AE$2,$M22,$L22,FALSE)*($T22*(1-$F22)+$S22*(1-$G22))*((1+Inputs!$D$7)^AE$2))))))</f>
        <v>857.72177535744981</v>
      </c>
      <c r="AF22" s="88">
        <f>$E22*IF(AF$2&gt;Inputs!$D$5,0,IF(AF$2&gt;VLOOKUP($H22,Lists!$P$3:$Q$7,2),IF($N22=Lists!$K$3,IF($L22&lt;1,(($U22/$L22)*((1+Inputs!$D$7)^AF$2)),((INT(AF$2/$L22)-INT((AF$2-1)/$L22))*$U22*((1+Inputs!$D$7)^AF$2))),(_xlfn.WEIBULL.DIST(AF$2,$M22,$L22,FALSE)*$U22*((1+Inputs!$D$7)^AF$2))),IF($N22=Lists!$K$3,IF($L22&lt;1,((($T22*(1-$F22)+$S22*(1-$G22))/$L22)*((1+Inputs!$D$7)^AF$2)),((INT(AF$2/$L22)-INT((AF$2-1)/$L22))*($T22*(1-$F22)+$S22*(1-$G22))*((1+Inputs!$D$7)^AF$2))),((_xlfn.WEIBULL.DIST(AF$2,$M22,$L22,FALSE)*($T22*(1-$F22)+$S22*(1-$G22))*((1+Inputs!$D$7)^AF$2))))))</f>
        <v>1252.5058663237041</v>
      </c>
      <c r="AG22" s="88">
        <f>$E22*IF(AG$2&gt;Inputs!$D$5,0,IF(AG$2&gt;VLOOKUP($H22,Lists!$P$3:$Q$7,2),IF($N22=Lists!$K$3,IF($L22&lt;1,(($U22/$L22)*((1+Inputs!$D$7)^AG$2)),((INT(AG$2/$L22)-INT((AG$2-1)/$L22))*$U22*((1+Inputs!$D$7)^AG$2))),(_xlfn.WEIBULL.DIST(AG$2,$M22,$L22,FALSE)*$U22*((1+Inputs!$D$7)^AG$2))),IF($N22=Lists!$K$3,IF($L22&lt;1,((($T22*(1-$F22)+$S22*(1-$G22))/$L22)*((1+Inputs!$D$7)^AG$2)),((INT(AG$2/$L22)-INT((AG$2-1)/$L22))*($T22*(1-$F22)+$S22*(1-$G22))*((1+Inputs!$D$7)^AG$2))),((_xlfn.WEIBULL.DIST(AG$2,$M22,$L22,FALSE)*($T22*(1-$F22)+$S22*(1-$G22))*((1+Inputs!$D$7)^AG$2))))))</f>
        <v>1724.8191848426152</v>
      </c>
      <c r="AH22" s="88">
        <f>$E22*IF(AH$2&gt;Inputs!$D$5,0,IF(AH$2&gt;VLOOKUP($H22,Lists!$P$3:$Q$7,2),IF($N22=Lists!$K$3,IF($L22&lt;1,(($U22/$L22)*((1+Inputs!$D$7)^AH$2)),((INT(AH$2/$L22)-INT((AH$2-1)/$L22))*$U22*((1+Inputs!$D$7)^AH$2))),(_xlfn.WEIBULL.DIST(AH$2,$M22,$L22,FALSE)*$U22*((1+Inputs!$D$7)^AH$2))),IF($N22=Lists!$K$3,IF($L22&lt;1,((($T22*(1-$F22)+$S22*(1-$G22))/$L22)*((1+Inputs!$D$7)^AH$2)),((INT(AH$2/$L22)-INT((AH$2-1)/$L22))*($T22*(1-$F22)+$S22*(1-$G22))*((1+Inputs!$D$7)^AH$2))),((_xlfn.WEIBULL.DIST(AH$2,$M22,$L22,FALSE)*($T22*(1-$F22)+$S22*(1-$G22))*((1+Inputs!$D$7)^AH$2))))))</f>
        <v>2273.161598503415</v>
      </c>
      <c r="AI22" s="88">
        <f>$E22*IF(AI$2&gt;Inputs!$D$5,0,IF(AI$2&gt;VLOOKUP($H22,Lists!$P$3:$Q$7,2),IF($N22=Lists!$K$3,IF($L22&lt;1,(($U22/$L22)*((1+Inputs!$D$7)^AI$2)),((INT(AI$2/$L22)-INT((AI$2-1)/$L22))*$U22*((1+Inputs!$D$7)^AI$2))),(_xlfn.WEIBULL.DIST(AI$2,$M22,$L22,FALSE)*$U22*((1+Inputs!$D$7)^AI$2))),IF($N22=Lists!$K$3,IF($L22&lt;1,((($T22*(1-$F22)+$S22*(1-$G22))/$L22)*((1+Inputs!$D$7)^AI$2)),((INT(AI$2/$L22)-INT((AI$2-1)/$L22))*($T22*(1-$F22)+$S22*(1-$G22))*((1+Inputs!$D$7)^AI$2))),((_xlfn.WEIBULL.DIST(AI$2,$M22,$L22,FALSE)*($T22*(1-$F22)+$S22*(1-$G22))*((1+Inputs!$D$7)^AI$2))))))</f>
        <v>2894.0367758922512</v>
      </c>
      <c r="AJ22" s="88">
        <f>$E22*IF(AJ$2&gt;Inputs!$D$5,0,IF(AJ$2&gt;VLOOKUP($H22,Lists!$P$3:$Q$7,2),IF($N22=Lists!$K$3,IF($L22&lt;1,(($U22/$L22)*((1+Inputs!$D$7)^AJ$2)),((INT(AJ$2/$L22)-INT((AJ$2-1)/$L22))*$U22*((1+Inputs!$D$7)^AJ$2))),(_xlfn.WEIBULL.DIST(AJ$2,$M22,$L22,FALSE)*$U22*((1+Inputs!$D$7)^AJ$2))),IF($N22=Lists!$K$3,IF($L22&lt;1,((($T22*(1-$F22)+$S22*(1-$G22))/$L22)*((1+Inputs!$D$7)^AJ$2)),((INT(AJ$2/$L22)-INT((AJ$2-1)/$L22))*($T22*(1-$F22)+$S22*(1-$G22))*((1+Inputs!$D$7)^AJ$2))),((_xlfn.WEIBULL.DIST(AJ$2,$M22,$L22,FALSE)*($T22*(1-$F22)+$S22*(1-$G22))*((1+Inputs!$D$7)^AJ$2))))))</f>
        <v>3581.680108500037</v>
      </c>
      <c r="AK22" s="88">
        <f>$E22*IF(AK$2&gt;Inputs!$D$5,0,IF(AK$2&gt;VLOOKUP($H22,Lists!$P$3:$Q$7,2),IF($N22=Lists!$K$3,IF($L22&lt;1,(($U22/$L22)*((1+Inputs!$D$7)^AK$2)),((INT(AK$2/$L22)-INT((AK$2-1)/$L22))*$U22*((1+Inputs!$D$7)^AK$2))),(_xlfn.WEIBULL.DIST(AK$2,$M22,$L22,FALSE)*$U22*((1+Inputs!$D$7)^AK$2))),IF($N22=Lists!$K$3,IF($L22&lt;1,((($T22*(1-$F22)+$S22*(1-$G22))/$L22)*((1+Inputs!$D$7)^AK$2)),((INT(AK$2/$L22)-INT((AK$2-1)/$L22))*($T22*(1-$F22)+$S22*(1-$G22))*((1+Inputs!$D$7)^AK$2))),((_xlfn.WEIBULL.DIST(AK$2,$M22,$L22,FALSE)*($T22*(1-$F22)+$S22*(1-$G22))*((1+Inputs!$D$7)^AK$2))))))</f>
        <v>4327.8504257570812</v>
      </c>
      <c r="AL22" s="88">
        <f>$E22*IF(AL$2&gt;Inputs!$D$5,0,IF(AL$2&gt;VLOOKUP($H22,Lists!$P$3:$Q$7,2),IF($N22=Lists!$K$3,IF($L22&lt;1,(($U22/$L22)*((1+Inputs!$D$7)^AL$2)),((INT(AL$2/$L22)-INT((AL$2-1)/$L22))*$U22*((1+Inputs!$D$7)^AL$2))),(_xlfn.WEIBULL.DIST(AL$2,$M22,$L22,FALSE)*$U22*((1+Inputs!$D$7)^AL$2))),IF($N22=Lists!$K$3,IF($L22&lt;1,((($T22*(1-$F22)+$S22*(1-$G22))/$L22)*((1+Inputs!$D$7)^AL$2)),((INT(AL$2/$L22)-INT((AL$2-1)/$L22))*($T22*(1-$F22)+$S22*(1-$G22))*((1+Inputs!$D$7)^AL$2))),((_xlfn.WEIBULL.DIST(AL$2,$M22,$L22,FALSE)*($T22*(1-$F22)+$S22*(1-$G22))*((1+Inputs!$D$7)^AL$2))))))</f>
        <v>5121.709973819934</v>
      </c>
      <c r="AM22" s="88">
        <f>$E22*IF(AM$2&gt;Inputs!$D$5,0,IF(AM$2&gt;VLOOKUP($H22,Lists!$P$3:$Q$7,2),IF($N22=Lists!$K$3,IF($L22&lt;1,(($U22/$L22)*((1+Inputs!$D$7)^AM$2)),((INT(AM$2/$L22)-INT((AM$2-1)/$L22))*$U22*((1+Inputs!$D$7)^AM$2))),(_xlfn.WEIBULL.DIST(AM$2,$M22,$L22,FALSE)*$U22*((1+Inputs!$D$7)^AM$2))),IF($N22=Lists!$K$3,IF($L22&lt;1,((($T22*(1-$F22)+$S22*(1-$G22))/$L22)*((1+Inputs!$D$7)^AM$2)),((INT(AM$2/$L22)-INT((AM$2-1)/$L22))*($T22*(1-$F22)+$S22*(1-$G22))*((1+Inputs!$D$7)^AM$2))),((_xlfn.WEIBULL.DIST(AM$2,$M22,$L22,FALSE)*($T22*(1-$F22)+$S22*(1-$G22))*((1+Inputs!$D$7)^AM$2))))))</f>
        <v>5949.8166573838625</v>
      </c>
      <c r="AN22" s="88">
        <f>$E22*IF(AN$2&gt;Inputs!$D$5,0,IF(AN$2&gt;VLOOKUP($H22,Lists!$P$3:$Q$7,2),IF($N22=Lists!$K$3,IF($L22&lt;1,(($U22/$L22)*((1+Inputs!$D$7)^AN$2)),((INT(AN$2/$L22)-INT((AN$2-1)/$L22))*$U22*((1+Inputs!$D$7)^AN$2))),(_xlfn.WEIBULL.DIST(AN$2,$M22,$L22,FALSE)*$U22*((1+Inputs!$D$7)^AN$2))),IF($N22=Lists!$K$3,IF($L22&lt;1,((($T22*(1-$F22)+$S22*(1-$G22))/$L22)*((1+Inputs!$D$7)^AN$2)),((INT(AN$2/$L22)-INT((AN$2-1)/$L22))*($T22*(1-$F22)+$S22*(1-$G22))*((1+Inputs!$D$7)^AN$2))),((_xlfn.WEIBULL.DIST(AN$2,$M22,$L22,FALSE)*($T22*(1-$F22)+$S22*(1-$G22))*((1+Inputs!$D$7)^AN$2))))))</f>
        <v>6796.2499138462872</v>
      </c>
      <c r="AO22" s="88">
        <f>$E22*IF(AO$2&gt;Inputs!$D$5,0,IF(AO$2&gt;VLOOKUP($H22,Lists!$P$3:$Q$7,2),IF($N22=Lists!$K$3,IF($L22&lt;1,(($U22/$L22)*((1+Inputs!$D$7)^AO$2)),((INT(AO$2/$L22)-INT((AO$2-1)/$L22))*$U22*((1+Inputs!$D$7)^AO$2))),(_xlfn.WEIBULL.DIST(AO$2,$M22,$L22,FALSE)*$U22*((1+Inputs!$D$7)^AO$2))),IF($N22=Lists!$K$3,IF($L22&lt;1,((($T22*(1-$F22)+$S22*(1-$G22))/$L22)*((1+Inputs!$D$7)^AO$2)),((INT(AO$2/$L22)-INT((AO$2-1)/$L22))*($T22*(1-$F22)+$S22*(1-$G22))*((1+Inputs!$D$7)^AO$2))),((_xlfn.WEIBULL.DIST(AO$2,$M22,$L22,FALSE)*($T22*(1-$F22)+$S22*(1-$G22))*((1+Inputs!$D$7)^AO$2))))))</f>
        <v>7642.8865084886174</v>
      </c>
      <c r="AP22" s="88">
        <f>$E22*IF(AP$2&gt;Inputs!$D$5,0,IF(AP$2&gt;VLOOKUP($H22,Lists!$P$3:$Q$7,2),IF($N22=Lists!$K$3,IF($L22&lt;1,(($U22/$L22)*((1+Inputs!$D$7)^AP$2)),((INT(AP$2/$L22)-INT((AP$2-1)/$L22))*$U22*((1+Inputs!$D$7)^AP$2))),(_xlfn.WEIBULL.DIST(AP$2,$M22,$L22,FALSE)*$U22*((1+Inputs!$D$7)^AP$2))),IF($N22=Lists!$K$3,IF($L22&lt;1,((($T22*(1-$F22)+$S22*(1-$G22))/$L22)*((1+Inputs!$D$7)^AP$2)),((INT(AP$2/$L22)-INT((AP$2-1)/$L22))*($T22*(1-$F22)+$S22*(1-$G22))*((1+Inputs!$D$7)^AP$2))),((_xlfn.WEIBULL.DIST(AP$2,$M22,$L22,FALSE)*($T22*(1-$F22)+$S22*(1-$G22))*((1+Inputs!$D$7)^AP$2))))))</f>
        <v>8469.8349041893016</v>
      </c>
      <c r="AQ22" s="88">
        <f>$E22*IF(AQ$2&gt;Inputs!$D$5,0,IF(AQ$2&gt;VLOOKUP($H22,Lists!$P$3:$Q$7,2),IF($N22=Lists!$K$3,IF($L22&lt;1,(($U22/$L22)*((1+Inputs!$D$7)^AQ$2)),((INT(AQ$2/$L22)-INT((AQ$2-1)/$L22))*$U22*((1+Inputs!$D$7)^AQ$2))),(_xlfn.WEIBULL.DIST(AQ$2,$M22,$L22,FALSE)*$U22*((1+Inputs!$D$7)^AQ$2))),IF($N22=Lists!$K$3,IF($L22&lt;1,((($T22*(1-$F22)+$S22*(1-$G22))/$L22)*((1+Inputs!$D$7)^AQ$2)),((INT(AQ$2/$L22)-INT((AQ$2-1)/$L22))*($T22*(1-$F22)+$S22*(1-$G22))*((1+Inputs!$D$7)^AQ$2))),((_xlfn.WEIBULL.DIST(AQ$2,$M22,$L22,FALSE)*($T22*(1-$F22)+$S22*(1-$G22))*((1+Inputs!$D$7)^AQ$2))))))</f>
        <v>9256.0268209688074</v>
      </c>
      <c r="AR22" s="88">
        <f>$E22*IF(AR$2&gt;Inputs!$D$5,0,IF(AR$2&gt;VLOOKUP($H22,Lists!$P$3:$Q$7,2),IF($N22=Lists!$K$3,IF($L22&lt;1,(($U22/$L22)*((1+Inputs!$D$7)^AR$2)),((INT(AR$2/$L22)-INT((AR$2-1)/$L22))*$U22*((1+Inputs!$D$7)^AR$2))),(_xlfn.WEIBULL.DIST(AR$2,$M22,$L22,FALSE)*$U22*((1+Inputs!$D$7)^AR$2))),IF($N22=Lists!$K$3,IF($L22&lt;1,((($T22*(1-$F22)+$S22*(1-$G22))/$L22)*((1+Inputs!$D$7)^AR$2)),((INT(AR$2/$L22)-INT((AR$2-1)/$L22))*($T22*(1-$F22)+$S22*(1-$G22))*((1+Inputs!$D$7)^AR$2))),((_xlfn.WEIBULL.DIST(AR$2,$M22,$L22,FALSE)*($T22*(1-$F22)+$S22*(1-$G22))*((1+Inputs!$D$7)^AR$2))))))</f>
        <v>9979.9526173129634</v>
      </c>
      <c r="AS22" s="88">
        <f>$E22*IF(AS$2&gt;Inputs!$D$5,0,IF(AS$2&gt;VLOOKUP($H22,Lists!$P$3:$Q$7,2),IF($N22=Lists!$K$3,IF($L22&lt;1,(($U22/$L22)*((1+Inputs!$D$7)^AS$2)),((INT(AS$2/$L22)-INT((AS$2-1)/$L22))*$U22*((1+Inputs!$D$7)^AS$2))),(_xlfn.WEIBULL.DIST(AS$2,$M22,$L22,FALSE)*$U22*((1+Inputs!$D$7)^AS$2))),IF($N22=Lists!$K$3,IF($L22&lt;1,((($T22*(1-$F22)+$S22*(1-$G22))/$L22)*((1+Inputs!$D$7)^AS$2)),((INT(AS$2/$L22)-INT((AS$2-1)/$L22))*($T22*(1-$F22)+$S22*(1-$G22))*((1+Inputs!$D$7)^AS$2))),((_xlfn.WEIBULL.DIST(AS$2,$M22,$L22,FALSE)*($T22*(1-$F22)+$S22*(1-$G22))*((1+Inputs!$D$7)^AS$2))))))</f>
        <v>10620.513984019413</v>
      </c>
      <c r="AT22" s="88">
        <f>$E22*IF(AT$2&gt;Inputs!$D$5,0,IF(AT$2&gt;VLOOKUP($H22,Lists!$P$3:$Q$7,2),IF($N22=Lists!$K$3,IF($L22&lt;1,(($U22/$L22)*((1+Inputs!$D$7)^AT$2)),((INT(AT$2/$L22)-INT((AT$2-1)/$L22))*$U22*((1+Inputs!$D$7)^AT$2))),(_xlfn.WEIBULL.DIST(AT$2,$M22,$L22,FALSE)*$U22*((1+Inputs!$D$7)^AT$2))),IF($N22=Lists!$K$3,IF($L22&lt;1,((($T22*(1-$F22)+$S22*(1-$G22))/$L22)*((1+Inputs!$D$7)^AT$2)),((INT(AT$2/$L22)-INT((AT$2-1)/$L22))*($T22*(1-$F22)+$S22*(1-$G22))*((1+Inputs!$D$7)^AT$2))),((_xlfn.WEIBULL.DIST(AT$2,$M22,$L22,FALSE)*($T22*(1-$F22)+$S22*(1-$G22))*((1+Inputs!$D$7)^AT$2))))))</f>
        <v>11157.954241498968</v>
      </c>
      <c r="AU22" s="88">
        <f>$E22*IF(AU$2&gt;Inputs!$D$5,0,IF(AU$2&gt;VLOOKUP($H22,Lists!$P$3:$Q$7,2),IF($N22=Lists!$K$3,IF($L22&lt;1,(($U22/$L22)*((1+Inputs!$D$7)^AU$2)),((INT(AU$2/$L22)-INT((AU$2-1)/$L22))*$U22*((1+Inputs!$D$7)^AU$2))),(_xlfn.WEIBULL.DIST(AU$2,$M22,$L22,FALSE)*$U22*((1+Inputs!$D$7)^AU$2))),IF($N22=Lists!$K$3,IF($L22&lt;1,((($T22*(1-$F22)+$S22*(1-$G22))/$L22)*((1+Inputs!$D$7)^AU$2)),((INT(AU$2/$L22)-INT((AU$2-1)/$L22))*($T22*(1-$F22)+$S22*(1-$G22))*((1+Inputs!$D$7)^AU$2))),((_xlfn.WEIBULL.DIST(AU$2,$M22,$L22,FALSE)*($T22*(1-$F22)+$S22*(1-$G22))*((1+Inputs!$D$7)^AU$2))))))</f>
        <v>34836.277810631495</v>
      </c>
      <c r="AV22" s="88">
        <f>$E22*IF(AV$2&gt;Inputs!$D$5,0,IF(AV$2&gt;VLOOKUP($H22,Lists!$P$3:$Q$7,2),IF($N22=Lists!$K$3,IF($L22&lt;1,(($U22/$L22)*((1+Inputs!$D$7)^AV$2)),((INT(AV$2/$L22)-INT((AV$2-1)/$L22))*$U22*((1+Inputs!$D$7)^AV$2))),(_xlfn.WEIBULL.DIST(AV$2,$M22,$L22,FALSE)*$U22*((1+Inputs!$D$7)^AV$2))),IF($N22=Lists!$K$3,IF($L22&lt;1,((($T22*(1-$F22)+$S22*(1-$G22))/$L22)*((1+Inputs!$D$7)^AV$2)),((INT(AV$2/$L22)-INT((AV$2-1)/$L22))*($T22*(1-$F22)+$S22*(1-$G22))*((1+Inputs!$D$7)^AV$2))),((_xlfn.WEIBULL.DIST(AV$2,$M22,$L22,FALSE)*($T22*(1-$F22)+$S22*(1-$G22))*((1+Inputs!$D$7)^AV$2))))))</f>
        <v>35685.126173673969</v>
      </c>
      <c r="AW22" s="88">
        <f>$E22*IF(AW$2&gt;Inputs!$D$5,0,IF(AW$2&gt;VLOOKUP($H22,Lists!$P$3:$Q$7,2),IF($N22=Lists!$K$3,IF($L22&lt;1,(($U22/$L22)*((1+Inputs!$D$7)^AW$2)),((INT(AW$2/$L22)-INT((AW$2-1)/$L22))*$U22*((1+Inputs!$D$7)^AW$2))),(_xlfn.WEIBULL.DIST(AW$2,$M22,$L22,FALSE)*$U22*((1+Inputs!$D$7)^AW$2))),IF($N22=Lists!$K$3,IF($L22&lt;1,((($T22*(1-$F22)+$S22*(1-$G22))/$L22)*((1+Inputs!$D$7)^AW$2)),((INT(AW$2/$L22)-INT((AW$2-1)/$L22))*($T22*(1-$F22)+$S22*(1-$G22))*((1+Inputs!$D$7)^AW$2))),((_xlfn.WEIBULL.DIST(AW$2,$M22,$L22,FALSE)*($T22*(1-$F22)+$S22*(1-$G22))*((1+Inputs!$D$7)^AW$2))))))</f>
        <v>36097.518400834742</v>
      </c>
      <c r="AX22" s="88">
        <f>$E22*IF(AX$2&gt;Inputs!$D$5,0,IF(AX$2&gt;VLOOKUP($H22,Lists!$P$3:$Q$7,2),IF($N22=Lists!$K$3,IF($L22&lt;1,(($U22/$L22)*((1+Inputs!$D$7)^AX$2)),((INT(AX$2/$L22)-INT((AX$2-1)/$L22))*$U22*((1+Inputs!$D$7)^AX$2))),(_xlfn.WEIBULL.DIST(AX$2,$M22,$L22,FALSE)*$U22*((1+Inputs!$D$7)^AX$2))),IF($N22=Lists!$K$3,IF($L22&lt;1,((($T22*(1-$F22)+$S22*(1-$G22))/$L22)*((1+Inputs!$D$7)^AX$2)),((INT(AX$2/$L22)-INT((AX$2-1)/$L22))*($T22*(1-$F22)+$S22*(1-$G22))*((1+Inputs!$D$7)^AX$2))),((_xlfn.WEIBULL.DIST(AX$2,$M22,$L22,FALSE)*($T22*(1-$F22)+$S22*(1-$G22))*((1+Inputs!$D$7)^AX$2))))))</f>
        <v>36056.890282748303</v>
      </c>
      <c r="AY22" s="88">
        <f>$E22*IF(AY$2&gt;Inputs!$D$5,0,IF(AY$2&gt;VLOOKUP($H22,Lists!$P$3:$Q$7,2),IF($N22=Lists!$K$3,IF($L22&lt;1,(($U22/$L22)*((1+Inputs!$D$7)^AY$2)),((INT(AY$2/$L22)-INT((AY$2-1)/$L22))*$U22*((1+Inputs!$D$7)^AY$2))),(_xlfn.WEIBULL.DIST(AY$2,$M22,$L22,FALSE)*$U22*((1+Inputs!$D$7)^AY$2))),IF($N22=Lists!$K$3,IF($L22&lt;1,((($T22*(1-$F22)+$S22*(1-$G22))/$L22)*((1+Inputs!$D$7)^AY$2)),((INT(AY$2/$L22)-INT((AY$2-1)/$L22))*($T22*(1-$F22)+$S22*(1-$G22))*((1+Inputs!$D$7)^AY$2))),((_xlfn.WEIBULL.DIST(AY$2,$M22,$L22,FALSE)*($T22*(1-$F22)+$S22*(1-$G22))*((1+Inputs!$D$7)^AY$2))))))</f>
        <v>35562.104589899354</v>
      </c>
      <c r="AZ22" s="88">
        <f>$E22*IF(AZ$2&gt;Inputs!$D$5,0,IF(AZ$2&gt;VLOOKUP($H22,Lists!$P$3:$Q$7,2),IF($N22=Lists!$K$3,IF($L22&lt;1,(($U22/$L22)*((1+Inputs!$D$7)^AZ$2)),((INT(AZ$2/$L22)-INT((AZ$2-1)/$L22))*$U22*((1+Inputs!$D$7)^AZ$2))),(_xlfn.WEIBULL.DIST(AZ$2,$M22,$L22,FALSE)*$U22*((1+Inputs!$D$7)^AZ$2))),IF($N22=Lists!$K$3,IF($L22&lt;1,((($T22*(1-$F22)+$S22*(1-$G22))/$L22)*((1+Inputs!$D$7)^AZ$2)),((INT(AZ$2/$L22)-INT((AZ$2-1)/$L22))*($T22*(1-$F22)+$S22*(1-$G22))*((1+Inputs!$D$7)^AZ$2))),((_xlfn.WEIBULL.DIST(AZ$2,$M22,$L22,FALSE)*($T22*(1-$F22)+$S22*(1-$G22))*((1+Inputs!$D$7)^AZ$2))))))</f>
        <v>0</v>
      </c>
      <c r="BA22" s="88">
        <f>$E22*IF(BA$2&gt;Inputs!$D$5,0,IF(BA$2&gt;VLOOKUP($H22,Lists!$P$3:$Q$7,2),IF($N22=Lists!$K$3,IF($L22&lt;1,(($U22/$L22)*((1+Inputs!$D$7)^BA$2)),((INT(BA$2/$L22)-INT((BA$2-1)/$L22))*$U22*((1+Inputs!$D$7)^BA$2))),(_xlfn.WEIBULL.DIST(BA$2,$M22,$L22,FALSE)*$U22*((1+Inputs!$D$7)^BA$2))),IF($N22=Lists!$K$3,IF($L22&lt;1,((($T22*(1-$F22)+$S22*(1-$G22))/$L22)*((1+Inputs!$D$7)^BA$2)),((INT(BA$2/$L22)-INT((BA$2-1)/$L22))*($T22*(1-$F22)+$S22*(1-$G22))*((1+Inputs!$D$7)^BA$2))),((_xlfn.WEIBULL.DIST(BA$2,$M22,$L22,FALSE)*($T22*(1-$F22)+$S22*(1-$G22))*((1+Inputs!$D$7)^BA$2))))))</f>
        <v>0</v>
      </c>
      <c r="BB22" s="88">
        <f>$E22*IF(BB$2&gt;Inputs!$D$5,0,IF(BB$2&gt;VLOOKUP($H22,Lists!$P$3:$Q$7,2),IF($N22=Lists!$K$3,IF($L22&lt;1,(($U22/$L22)*((1+Inputs!$D$7)^BB$2)),((INT(BB$2/$L22)-INT((BB$2-1)/$L22))*$U22*((1+Inputs!$D$7)^BB$2))),(_xlfn.WEIBULL.DIST(BB$2,$M22,$L22,FALSE)*$U22*((1+Inputs!$D$7)^BB$2))),IF($N22=Lists!$K$3,IF($L22&lt;1,((($T22*(1-$F22)+$S22*(1-$G22))/$L22)*((1+Inputs!$D$7)^BB$2)),((INT(BB$2/$L22)-INT((BB$2-1)/$L22))*($T22*(1-$F22)+$S22*(1-$G22))*((1+Inputs!$D$7)^BB$2))),((_xlfn.WEIBULL.DIST(BB$2,$M22,$L22,FALSE)*($T22*(1-$F22)+$S22*(1-$G22))*((1+Inputs!$D$7)^BB$2))))))</f>
        <v>0</v>
      </c>
      <c r="BC22" s="88">
        <f>$E22*IF(BC$2&gt;Inputs!$D$5,0,IF(BC$2&gt;VLOOKUP($H22,Lists!$P$3:$Q$7,2),IF($N22=Lists!$K$3,IF($L22&lt;1,(($U22/$L22)*((1+Inputs!$D$7)^BC$2)),((INT(BC$2/$L22)-INT((BC$2-1)/$L22))*$U22*((1+Inputs!$D$7)^BC$2))),(_xlfn.WEIBULL.DIST(BC$2,$M22,$L22,FALSE)*$U22*((1+Inputs!$D$7)^BC$2))),IF($N22=Lists!$K$3,IF($L22&lt;1,((($T22*(1-$F22)+$S22*(1-$G22))/$L22)*((1+Inputs!$D$7)^BC$2)),((INT(BC$2/$L22)-INT((BC$2-1)/$L22))*($T22*(1-$F22)+$S22*(1-$G22))*((1+Inputs!$D$7)^BC$2))),((_xlfn.WEIBULL.DIST(BC$2,$M22,$L22,FALSE)*($T22*(1-$F22)+$S22*(1-$G22))*((1+Inputs!$D$7)^BC$2))))))</f>
        <v>0</v>
      </c>
      <c r="BD22" s="88">
        <f>$E22*IF(BD$2&gt;Inputs!$D$5,0,IF(BD$2&gt;VLOOKUP($H22,Lists!$P$3:$Q$7,2),IF($N22=Lists!$K$3,IF($L22&lt;1,(($U22/$L22)*((1+Inputs!$D$7)^BD$2)),((INT(BD$2/$L22)-INT((BD$2-1)/$L22))*$U22*((1+Inputs!$D$7)^BD$2))),(_xlfn.WEIBULL.DIST(BD$2,$M22,$L22,FALSE)*$U22*((1+Inputs!$D$7)^BD$2))),IF($N22=Lists!$K$3,IF($L22&lt;1,((($T22*(1-$F22)+$S22*(1-$G22))/$L22)*((1+Inputs!$D$7)^BD$2)),((INT(BD$2/$L22)-INT((BD$2-1)/$L22))*($T22*(1-$F22)+$S22*(1-$G22))*((1+Inputs!$D$7)^BD$2))),((_xlfn.WEIBULL.DIST(BD$2,$M22,$L22,FALSE)*($T22*(1-$F22)+$S22*(1-$G22))*((1+Inputs!$D$7)^BD$2))))))</f>
        <v>0</v>
      </c>
      <c r="BE22" s="88">
        <f>$E22*IF(BE$2&gt;Inputs!$D$5,0,IF(BE$2&gt;VLOOKUP($H22,Lists!$P$3:$Q$7,2),IF($N22=Lists!$K$3,IF($L22&lt;1,(($U22/$L22)*((1+Inputs!$D$7)^BE$2)),((INT(BE$2/$L22)-INT((BE$2-1)/$L22))*$U22*((1+Inputs!$D$7)^BE$2))),(_xlfn.WEIBULL.DIST(BE$2,$M22,$L22,FALSE)*$U22*((1+Inputs!$D$7)^BE$2))),IF($N22=Lists!$K$3,IF($L22&lt;1,((($T22*(1-$F22)+$S22*(1-$G22))/$L22)*((1+Inputs!$D$7)^BE$2)),((INT(BE$2/$L22)-INT((BE$2-1)/$L22))*($T22*(1-$F22)+$S22*(1-$G22))*((1+Inputs!$D$7)^BE$2))),((_xlfn.WEIBULL.DIST(BE$2,$M22,$L22,FALSE)*($T22*(1-$F22)+$S22*(1-$G22))*((1+Inputs!$D$7)^BE$2))))))</f>
        <v>0</v>
      </c>
      <c r="BF22" s="88">
        <f>$E22*IF(BF$2&gt;Inputs!$D$5,0,IF(BF$2&gt;VLOOKUP($H22,Lists!$P$3:$Q$7,2),IF($N22=Lists!$K$3,IF($L22&lt;1,(($U22/$L22)*((1+Inputs!$D$7)^BF$2)),((INT(BF$2/$L22)-INT((BF$2-1)/$L22))*$U22*((1+Inputs!$D$7)^BF$2))),(_xlfn.WEIBULL.DIST(BF$2,$M22,$L22,FALSE)*$U22*((1+Inputs!$D$7)^BF$2))),IF($N22=Lists!$K$3,IF($L22&lt;1,((($T22*(1-$F22)+$S22*(1-$G22))/$L22)*((1+Inputs!$D$7)^BF$2)),((INT(BF$2/$L22)-INT((BF$2-1)/$L22))*($T22*(1-$F22)+$S22*(1-$G22))*((1+Inputs!$D$7)^BF$2))),((_xlfn.WEIBULL.DIST(BF$2,$M22,$L22,FALSE)*($T22*(1-$F22)+$S22*(1-$G22))*((1+Inputs!$D$7)^BF$2))))))</f>
        <v>0</v>
      </c>
      <c r="BG22" s="88">
        <f>$E22*IF(BG$2&gt;Inputs!$D$5,0,IF(BG$2&gt;VLOOKUP($H22,Lists!$P$3:$Q$7,2),IF($N22=Lists!$K$3,IF($L22&lt;1,(($U22/$L22)*((1+Inputs!$D$7)^BG$2)),((INT(BG$2/$L22)-INT((BG$2-1)/$L22))*$U22*((1+Inputs!$D$7)^BG$2))),(_xlfn.WEIBULL.DIST(BG$2,$M22,$L22,FALSE)*$U22*((1+Inputs!$D$7)^BG$2))),IF($N22=Lists!$K$3,IF($L22&lt;1,((($T22*(1-$F22)+$S22*(1-$G22))/$L22)*((1+Inputs!$D$7)^BG$2)),((INT(BG$2/$L22)-INT((BG$2-1)/$L22))*($T22*(1-$F22)+$S22*(1-$G22))*((1+Inputs!$D$7)^BG$2))),((_xlfn.WEIBULL.DIST(BG$2,$M22,$L22,FALSE)*($T22*(1-$F22)+$S22*(1-$G22))*((1+Inputs!$D$7)^BG$2))))))</f>
        <v>0</v>
      </c>
      <c r="BH22" s="88">
        <f>$E22*IF(BH$2&gt;Inputs!$D$5,0,IF(BH$2&gt;VLOOKUP($H22,Lists!$P$3:$Q$7,2),IF($N22=Lists!$K$3,IF($L22&lt;1,(($U22/$L22)*((1+Inputs!$D$7)^BH$2)),((INT(BH$2/$L22)-INT((BH$2-1)/$L22))*$U22*((1+Inputs!$D$7)^BH$2))),(_xlfn.WEIBULL.DIST(BH$2,$M22,$L22,FALSE)*$U22*((1+Inputs!$D$7)^BH$2))),IF($N22=Lists!$K$3,IF($L22&lt;1,((($T22*(1-$F22)+$S22*(1-$G22))/$L22)*((1+Inputs!$D$7)^BH$2)),((INT(BH$2/$L22)-INT((BH$2-1)/$L22))*($T22*(1-$F22)+$S22*(1-$G22))*((1+Inputs!$D$7)^BH$2))),((_xlfn.WEIBULL.DIST(BH$2,$M22,$L22,FALSE)*($T22*(1-$F22)+$S22*(1-$G22))*((1+Inputs!$D$7)^BH$2))))))</f>
        <v>0</v>
      </c>
      <c r="BI22" s="88">
        <f>$E22*IF(BI$2&gt;Inputs!$D$5,0,IF(BI$2&gt;VLOOKUP($H22,Lists!$P$3:$Q$7,2),IF($N22=Lists!$K$3,IF($L22&lt;1,(($U22/$L22)*((1+Inputs!$D$7)^BI$2)),((INT(BI$2/$L22)-INT((BI$2-1)/$L22))*$U22*((1+Inputs!$D$7)^BI$2))),(_xlfn.WEIBULL.DIST(BI$2,$M22,$L22,FALSE)*$U22*((1+Inputs!$D$7)^BI$2))),IF($N22=Lists!$K$3,IF($L22&lt;1,((($T22*(1-$F22)+$S22*(1-$G22))/$L22)*((1+Inputs!$D$7)^BI$2)),((INT(BI$2/$L22)-INT((BI$2-1)/$L22))*($T22*(1-$F22)+$S22*(1-$G22))*((1+Inputs!$D$7)^BI$2))),((_xlfn.WEIBULL.DIST(BI$2,$M22,$L22,FALSE)*($T22*(1-$F22)+$S22*(1-$G22))*((1+Inputs!$D$7)^BI$2))))))</f>
        <v>0</v>
      </c>
      <c r="BJ22" s="88">
        <f>$E22*IF(BJ$2&gt;Inputs!$D$5,0,IF(BJ$2&gt;VLOOKUP($H22,Lists!$P$3:$Q$7,2),IF($N22=Lists!$K$3,IF($L22&lt;1,(($U22/$L22)*((1+Inputs!$D$7)^BJ$2)),((INT(BJ$2/$L22)-INT((BJ$2-1)/$L22))*$U22*((1+Inputs!$D$7)^BJ$2))),(_xlfn.WEIBULL.DIST(BJ$2,$M22,$L22,FALSE)*$U22*((1+Inputs!$D$7)^BJ$2))),IF($N22=Lists!$K$3,IF($L22&lt;1,((($T22*(1-$F22)+$S22*(1-$G22))/$L22)*((1+Inputs!$D$7)^BJ$2)),((INT(BJ$2/$L22)-INT((BJ$2-1)/$L22))*($T22*(1-$F22)+$S22*(1-$G22))*((1+Inputs!$D$7)^BJ$2))),((_xlfn.WEIBULL.DIST(BJ$2,$M22,$L22,FALSE)*($T22*(1-$F22)+$S22*(1-$G22))*((1+Inputs!$D$7)^BJ$2))))))</f>
        <v>0</v>
      </c>
      <c r="BK22" s="88">
        <f>$E22*IF(BK$2&gt;Inputs!$D$5,0,IF(BK$2&gt;VLOOKUP($H22,Lists!$P$3:$Q$7,2),IF($N22=Lists!$K$3,IF($L22&lt;1,(($U22/$L22)*((1+Inputs!$D$7)^BK$2)),((INT(BK$2/$L22)-INT((BK$2-1)/$L22))*$U22*((1+Inputs!$D$7)^BK$2))),(_xlfn.WEIBULL.DIST(BK$2,$M22,$L22,FALSE)*$U22*((1+Inputs!$D$7)^BK$2))),IF($N22=Lists!$K$3,IF($L22&lt;1,((($T22*(1-$F22)+$S22*(1-$G22))/$L22)*((1+Inputs!$D$7)^BK$2)),((INT(BK$2/$L22)-INT((BK$2-1)/$L22))*($T22*(1-$F22)+$S22*(1-$G22))*((1+Inputs!$D$7)^BK$2))),((_xlfn.WEIBULL.DIST(BK$2,$M22,$L22,FALSE)*($T22*(1-$F22)+$S22*(1-$G22))*((1+Inputs!$D$7)^BK$2))))))</f>
        <v>0</v>
      </c>
      <c r="BL22" s="88">
        <f>$E22*IF(BL$2&gt;Inputs!$D$5,0,IF(BL$2&gt;VLOOKUP($H22,Lists!$P$3:$Q$7,2),IF($N22=Lists!$K$3,IF($L22&lt;1,(($U22/$L22)*((1+Inputs!$D$7)^BL$2)),((INT(BL$2/$L22)-INT((BL$2-1)/$L22))*$U22*((1+Inputs!$D$7)^BL$2))),(_xlfn.WEIBULL.DIST(BL$2,$M22,$L22,FALSE)*$U22*((1+Inputs!$D$7)^BL$2))),IF($N22=Lists!$K$3,IF($L22&lt;1,((($T22*(1-$F22)+$S22*(1-$G22))/$L22)*((1+Inputs!$D$7)^BL$2)),((INT(BL$2/$L22)-INT((BL$2-1)/$L22))*($T22*(1-$F22)+$S22*(1-$G22))*((1+Inputs!$D$7)^BL$2))),((_xlfn.WEIBULL.DIST(BL$2,$M22,$L22,FALSE)*($T22*(1-$F22)+$S22*(1-$G22))*((1+Inputs!$D$7)^BL$2))))))</f>
        <v>0</v>
      </c>
      <c r="BM22" s="88">
        <f>$E22*IF(BM$2&gt;Inputs!$D$5,0,IF(BM$2&gt;VLOOKUP($H22,Lists!$P$3:$Q$7,2),IF($N22=Lists!$K$3,IF($L22&lt;1,(($U22/$L22)*((1+Inputs!$D$7)^BM$2)),((INT(BM$2/$L22)-INT((BM$2-1)/$L22))*$U22*((1+Inputs!$D$7)^BM$2))),(_xlfn.WEIBULL.DIST(BM$2,$M22,$L22,FALSE)*$U22*((1+Inputs!$D$7)^BM$2))),IF($N22=Lists!$K$3,IF($L22&lt;1,((($T22*(1-$F22)+$S22*(1-$G22))/$L22)*((1+Inputs!$D$7)^BM$2)),((INT(BM$2/$L22)-INT((BM$2-1)/$L22))*($T22*(1-$F22)+$S22*(1-$G22))*((1+Inputs!$D$7)^BM$2))),((_xlfn.WEIBULL.DIST(BM$2,$M22,$L22,FALSE)*($T22*(1-$F22)+$S22*(1-$G22))*((1+Inputs!$D$7)^BM$2))))))</f>
        <v>0</v>
      </c>
      <c r="BN22" s="88">
        <f>$E22*IF(BN$2&gt;Inputs!$D$5,0,IF(BN$2&gt;VLOOKUP($H22,Lists!$P$3:$Q$7,2),IF($N22=Lists!$K$3,IF($L22&lt;1,(($U22/$L22)*((1+Inputs!$D$7)^BN$2)),((INT(BN$2/$L22)-INT((BN$2-1)/$L22))*$U22*((1+Inputs!$D$7)^BN$2))),(_xlfn.WEIBULL.DIST(BN$2,$M22,$L22,FALSE)*$U22*((1+Inputs!$D$7)^BN$2))),IF($N22=Lists!$K$3,IF($L22&lt;1,((($T22*(1-$F22)+$S22*(1-$G22))/$L22)*((1+Inputs!$D$7)^BN$2)),((INT(BN$2/$L22)-INT((BN$2-1)/$L22))*($T22*(1-$F22)+$S22*(1-$G22))*((1+Inputs!$D$7)^BN$2))),((_xlfn.WEIBULL.DIST(BN$2,$M22,$L22,FALSE)*($T22*(1-$F22)+$S22*(1-$G22))*((1+Inputs!$D$7)^BN$2))))))</f>
        <v>0</v>
      </c>
      <c r="BO22" s="64">
        <f>NPV(Inputs!$D$6,BQ22:DD22)</f>
        <v>230728.0634939186</v>
      </c>
      <c r="BP22" s="67">
        <f t="shared" si="6"/>
        <v>0.10882261905112958</v>
      </c>
      <c r="BQ22" s="88">
        <f>MAX(AA22,($E22*IF(BQ$2&gt;Inputs!$D$5,0,IF(BQ$2&gt;VLOOKUP($H22,Lists!$P$3:$Q$7,2),IF($N22=Lists!$K$3,IF($L22&lt;1,(($U22/$L22)*((1+Inputs!$D$7)^BQ$2)),((INT(BQ$2/$L22)-INT((BQ$2-1)/$L22))*$U22*((1+Inputs!$D$7)^BQ$2))),(Inputs!$D$8^((1-_xlfn.WEIBULL.DIST(BQ$2,$M22,$L22,FALSE))/_xlfn.WEIBULL.DIST(BQ$2,$M22,$L22,FALSE))*$U22*((1+Inputs!$D$7)^BQ$2))),IF($N22=Lists!$K$3,IF($L22&lt;1,((($T22*(1-$F22)+$S22*(1-$G22))/$L22)*((1+Inputs!$D$7)^BQ$2)),((INT(BQ$2/$L22)-INT((BQ$2-1)/$L22))*($T22*(1-$F22)+$S22*(1-$G22))*((1+Inputs!$D$7)^BQ$2))),((Inputs!$D$8^((1-_xlfn.WEIBULL.DIST(BQ$2,$M22,$L22,FALSE))/_xlfn.WEIBULL.DIST(BQ$2,$M22,$L22,FALSE))*($T22*(1-$F22)+$S22*(1-$G22))*((1+Inputs!$D$7)^BQ$2))))))))</f>
        <v>31.948634514266615</v>
      </c>
      <c r="BR22" s="88">
        <f>MAX(AB22,($E22*IF(BR$2&gt;Inputs!$D$5,0,IF(BR$2&gt;VLOOKUP($H22,Lists!$P$3:$Q$7,2),IF($N22=Lists!$K$3,IF($L22&lt;1,(($U22/$L22)*((1+Inputs!$D$7)^BR$2)),((INT(BR$2/$L22)-INT((BR$2-1)/$L22))*$U22*((1+Inputs!$D$7)^BR$2))),(Inputs!$D$8^((1-_xlfn.WEIBULL.DIST(BR$2,$M22,$L22,FALSE))/_xlfn.WEIBULL.DIST(BR$2,$M22,$L22,FALSE))*$U22*((1+Inputs!$D$7)^BR$2))),IF($N22=Lists!$K$3,IF($L22&lt;1,((($T22*(1-$F22)+$S22*(1-$G22))/$L22)*((1+Inputs!$D$7)^BR$2)),((INT(BR$2/$L22)-INT((BR$2-1)/$L22))*($T22*(1-$F22)+$S22*(1-$G22))*((1+Inputs!$D$7)^BR$2))),((Inputs!$D$8^((1-_xlfn.WEIBULL.DIST(BR$2,$M22,$L22,FALSE))/_xlfn.WEIBULL.DIST(BR$2,$M22,$L22,FALSE))*($T22*(1-$F22)+$S22*(1-$G22))*((1+Inputs!$D$7)^BR$2))))))))</f>
        <v>130.29204490507024</v>
      </c>
      <c r="BS22" s="88">
        <f>MAX(AC22,($E22*IF(BS$2&gt;Inputs!$D$5,0,IF(BS$2&gt;VLOOKUP($H22,Lists!$P$3:$Q$7,2),IF($N22=Lists!$K$3,IF($L22&lt;1,(($U22/$L22)*((1+Inputs!$D$7)^BS$2)),((INT(BS$2/$L22)-INT((BS$2-1)/$L22))*$U22*((1+Inputs!$D$7)^BS$2))),(Inputs!$D$8^((1-_xlfn.WEIBULL.DIST(BS$2,$M22,$L22,FALSE))/_xlfn.WEIBULL.DIST(BS$2,$M22,$L22,FALSE))*$U22*((1+Inputs!$D$7)^BS$2))),IF($N22=Lists!$K$3,IF($L22&lt;1,((($T22*(1-$F22)+$S22*(1-$G22))/$L22)*((1+Inputs!$D$7)^BS$2)),((INT(BS$2/$L22)-INT((BS$2-1)/$L22))*($T22*(1-$F22)+$S22*(1-$G22))*((1+Inputs!$D$7)^BS$2))),((Inputs!$D$8^((1-_xlfn.WEIBULL.DIST(BS$2,$M22,$L22,FALSE))/_xlfn.WEIBULL.DIST(BS$2,$M22,$L22,FALSE))*($T22*(1-$F22)+$S22*(1-$G22))*((1+Inputs!$D$7)^BS$2))))))))</f>
        <v>298.65685542603563</v>
      </c>
      <c r="BT22" s="88">
        <f>MAX(AD22,($E22*IF(BT$2&gt;Inputs!$D$5,0,IF(BT$2&gt;VLOOKUP($H22,Lists!$P$3:$Q$7,2),IF($N22=Lists!$K$3,IF($L22&lt;1,(($U22/$L22)*((1+Inputs!$D$7)^BT$2)),((INT(BT$2/$L22)-INT((BT$2-1)/$L22))*$U22*((1+Inputs!$D$7)^BT$2))),(Inputs!$D$8^((1-_xlfn.WEIBULL.DIST(BT$2,$M22,$L22,FALSE))/_xlfn.WEIBULL.DIST(BT$2,$M22,$L22,FALSE))*$U22*((1+Inputs!$D$7)^BT$2))),IF($N22=Lists!$K$3,IF($L22&lt;1,((($T22*(1-$F22)+$S22*(1-$G22))/$L22)*((1+Inputs!$D$7)^BT$2)),((INT(BT$2/$L22)-INT((BT$2-1)/$L22))*($T22*(1-$F22)+$S22*(1-$G22))*((1+Inputs!$D$7)^BT$2))),((Inputs!$D$8^((1-_xlfn.WEIBULL.DIST(BT$2,$M22,$L22,FALSE))/_xlfn.WEIBULL.DIST(BT$2,$M22,$L22,FALSE))*($T22*(1-$F22)+$S22*(1-$G22))*((1+Inputs!$D$7)^BT$2))))))))</f>
        <v>540.28352379241505</v>
      </c>
      <c r="BU22" s="88">
        <f>MAX(AE22,($E22*IF(BU$2&gt;Inputs!$D$5,0,IF(BU$2&gt;VLOOKUP($H22,Lists!$P$3:$Q$7,2),IF($N22=Lists!$K$3,IF($L22&lt;1,(($U22/$L22)*((1+Inputs!$D$7)^BU$2)),((INT(BU$2/$L22)-INT((BU$2-1)/$L22))*$U22*((1+Inputs!$D$7)^BU$2))),(Inputs!$D$8^((1-_xlfn.WEIBULL.DIST(BU$2,$M22,$L22,FALSE))/_xlfn.WEIBULL.DIST(BU$2,$M22,$L22,FALSE))*$U22*((1+Inputs!$D$7)^BU$2))),IF($N22=Lists!$K$3,IF($L22&lt;1,((($T22*(1-$F22)+$S22*(1-$G22))/$L22)*((1+Inputs!$D$7)^BU$2)),((INT(BU$2/$L22)-INT((BU$2-1)/$L22))*($T22*(1-$F22)+$S22*(1-$G22))*((1+Inputs!$D$7)^BU$2))),((Inputs!$D$8^((1-_xlfn.WEIBULL.DIST(BU$2,$M22,$L22,FALSE))/_xlfn.WEIBULL.DIST(BU$2,$M22,$L22,FALSE))*($T22*(1-$F22)+$S22*(1-$G22))*((1+Inputs!$D$7)^BU$2))))))))</f>
        <v>857.72177535744981</v>
      </c>
      <c r="BV22" s="88">
        <f>MAX(AF22,($E22*IF(BV$2&gt;Inputs!$D$5,0,IF(BV$2&gt;VLOOKUP($H22,Lists!$P$3:$Q$7,2),IF($N22=Lists!$K$3,IF($L22&lt;1,(($U22/$L22)*((1+Inputs!$D$7)^BV$2)),((INT(BV$2/$L22)-INT((BV$2-1)/$L22))*$U22*((1+Inputs!$D$7)^BV$2))),(Inputs!$D$8^((1-_xlfn.WEIBULL.DIST(BV$2,$M22,$L22,FALSE))/_xlfn.WEIBULL.DIST(BV$2,$M22,$L22,FALSE))*$U22*((1+Inputs!$D$7)^BV$2))),IF($N22=Lists!$K$3,IF($L22&lt;1,((($T22*(1-$F22)+$S22*(1-$G22))/$L22)*((1+Inputs!$D$7)^BV$2)),((INT(BV$2/$L22)-INT((BV$2-1)/$L22))*($T22*(1-$F22)+$S22*(1-$G22))*((1+Inputs!$D$7)^BV$2))),((Inputs!$D$8^((1-_xlfn.WEIBULL.DIST(BV$2,$M22,$L22,FALSE))/_xlfn.WEIBULL.DIST(BV$2,$M22,$L22,FALSE))*($T22*(1-$F22)+$S22*(1-$G22))*((1+Inputs!$D$7)^BV$2))))))))</f>
        <v>1252.5058663237041</v>
      </c>
      <c r="BW22" s="88">
        <f>MAX(AG22,($E22*IF(BW$2&gt;Inputs!$D$5,0,IF(BW$2&gt;VLOOKUP($H22,Lists!$P$3:$Q$7,2),IF($N22=Lists!$K$3,IF($L22&lt;1,(($U22/$L22)*((1+Inputs!$D$7)^BW$2)),((INT(BW$2/$L22)-INT((BW$2-1)/$L22))*$U22*((1+Inputs!$D$7)^BW$2))),(Inputs!$D$8^((1-_xlfn.WEIBULL.DIST(BW$2,$M22,$L22,FALSE))/_xlfn.WEIBULL.DIST(BW$2,$M22,$L22,FALSE))*$U22*((1+Inputs!$D$7)^BW$2))),IF($N22=Lists!$K$3,IF($L22&lt;1,((($T22*(1-$F22)+$S22*(1-$G22))/$L22)*((1+Inputs!$D$7)^BW$2)),((INT(BW$2/$L22)-INT((BW$2-1)/$L22))*($T22*(1-$F22)+$S22*(1-$G22))*((1+Inputs!$D$7)^BW$2))),((Inputs!$D$8^((1-_xlfn.WEIBULL.DIST(BW$2,$M22,$L22,FALSE))/_xlfn.WEIBULL.DIST(BW$2,$M22,$L22,FALSE))*($T22*(1-$F22)+$S22*(1-$G22))*((1+Inputs!$D$7)^BW$2))))))))</f>
        <v>1724.8191848426152</v>
      </c>
      <c r="BX22" s="88">
        <f>MAX(AH22,($E22*IF(BX$2&gt;Inputs!$D$5,0,IF(BX$2&gt;VLOOKUP($H22,Lists!$P$3:$Q$7,2),IF($N22=Lists!$K$3,IF($L22&lt;1,(($U22/$L22)*((1+Inputs!$D$7)^BX$2)),((INT(BX$2/$L22)-INT((BX$2-1)/$L22))*$U22*((1+Inputs!$D$7)^BX$2))),(Inputs!$D$8^((1-_xlfn.WEIBULL.DIST(BX$2,$M22,$L22,FALSE))/_xlfn.WEIBULL.DIST(BX$2,$M22,$L22,FALSE))*$U22*((1+Inputs!$D$7)^BX$2))),IF($N22=Lists!$K$3,IF($L22&lt;1,((($T22*(1-$F22)+$S22*(1-$G22))/$L22)*((1+Inputs!$D$7)^BX$2)),((INT(BX$2/$L22)-INT((BX$2-1)/$L22))*($T22*(1-$F22)+$S22*(1-$G22))*((1+Inputs!$D$7)^BX$2))),((Inputs!$D$8^((1-_xlfn.WEIBULL.DIST(BX$2,$M22,$L22,FALSE))/_xlfn.WEIBULL.DIST(BX$2,$M22,$L22,FALSE))*($T22*(1-$F22)+$S22*(1-$G22))*((1+Inputs!$D$7)^BX$2))))))))</f>
        <v>2273.161598503415</v>
      </c>
      <c r="BY22" s="88">
        <f>MAX(AI22,($E22*IF(BY$2&gt;Inputs!$D$5,0,IF(BY$2&gt;VLOOKUP($H22,Lists!$P$3:$Q$7,2),IF($N22=Lists!$K$3,IF($L22&lt;1,(($U22/$L22)*((1+Inputs!$D$7)^BY$2)),((INT(BY$2/$L22)-INT((BY$2-1)/$L22))*$U22*((1+Inputs!$D$7)^BY$2))),(Inputs!$D$8^((1-_xlfn.WEIBULL.DIST(BY$2,$M22,$L22,FALSE))/_xlfn.WEIBULL.DIST(BY$2,$M22,$L22,FALSE))*$U22*((1+Inputs!$D$7)^BY$2))),IF($N22=Lists!$K$3,IF($L22&lt;1,((($T22*(1-$F22)+$S22*(1-$G22))/$L22)*((1+Inputs!$D$7)^BY$2)),((INT(BY$2/$L22)-INT((BY$2-1)/$L22))*($T22*(1-$F22)+$S22*(1-$G22))*((1+Inputs!$D$7)^BY$2))),((Inputs!$D$8^((1-_xlfn.WEIBULL.DIST(BY$2,$M22,$L22,FALSE))/_xlfn.WEIBULL.DIST(BY$2,$M22,$L22,FALSE))*($T22*(1-$F22)+$S22*(1-$G22))*((1+Inputs!$D$7)^BY$2))))))))</f>
        <v>2894.0367758922512</v>
      </c>
      <c r="BZ22" s="88">
        <f>MAX(AJ22,($E22*IF(BZ$2&gt;Inputs!$D$5,0,IF(BZ$2&gt;VLOOKUP($H22,Lists!$P$3:$Q$7,2),IF($N22=Lists!$K$3,IF($L22&lt;1,(($U22/$L22)*((1+Inputs!$D$7)^BZ$2)),((INT(BZ$2/$L22)-INT((BZ$2-1)/$L22))*$U22*((1+Inputs!$D$7)^BZ$2))),(Inputs!$D$8^((1-_xlfn.WEIBULL.DIST(BZ$2,$M22,$L22,FALSE))/_xlfn.WEIBULL.DIST(BZ$2,$M22,$L22,FALSE))*$U22*((1+Inputs!$D$7)^BZ$2))),IF($N22=Lists!$K$3,IF($L22&lt;1,((($T22*(1-$F22)+$S22*(1-$G22))/$L22)*((1+Inputs!$D$7)^BZ$2)),((INT(BZ$2/$L22)-INT((BZ$2-1)/$L22))*($T22*(1-$F22)+$S22*(1-$G22))*((1+Inputs!$D$7)^BZ$2))),((Inputs!$D$8^((1-_xlfn.WEIBULL.DIST(BZ$2,$M22,$L22,FALSE))/_xlfn.WEIBULL.DIST(BZ$2,$M22,$L22,FALSE))*($T22*(1-$F22)+$S22*(1-$G22))*((1+Inputs!$D$7)^BZ$2))))))))</f>
        <v>3581.680108500037</v>
      </c>
      <c r="CA22" s="88">
        <f>MAX(AK22,($E22*IF(CA$2&gt;Inputs!$D$5,0,IF(CA$2&gt;VLOOKUP($H22,Lists!$P$3:$Q$7,2),IF($N22=Lists!$K$3,IF($L22&lt;1,(($U22/$L22)*((1+Inputs!$D$7)^CA$2)),((INT(CA$2/$L22)-INT((CA$2-1)/$L22))*$U22*((1+Inputs!$D$7)^CA$2))),(Inputs!$D$8^((1-_xlfn.WEIBULL.DIST(CA$2,$M22,$L22,FALSE))/_xlfn.WEIBULL.DIST(CA$2,$M22,$L22,FALSE))*$U22*((1+Inputs!$D$7)^CA$2))),IF($N22=Lists!$K$3,IF($L22&lt;1,((($T22*(1-$F22)+$S22*(1-$G22))/$L22)*((1+Inputs!$D$7)^CA$2)),((INT(CA$2/$L22)-INT((CA$2-1)/$L22))*($T22*(1-$F22)+$S22*(1-$G22))*((1+Inputs!$D$7)^CA$2))),((Inputs!$D$8^((1-_xlfn.WEIBULL.DIST(CA$2,$M22,$L22,FALSE))/_xlfn.WEIBULL.DIST(CA$2,$M22,$L22,FALSE))*($T22*(1-$F22)+$S22*(1-$G22))*((1+Inputs!$D$7)^CA$2))))))))</f>
        <v>4426.6572909083452</v>
      </c>
      <c r="CB22" s="88">
        <f>MAX(AL22,($E22*IF(CB$2&gt;Inputs!$D$5,0,IF(CB$2&gt;VLOOKUP($H22,Lists!$P$3:$Q$7,2),IF($N22=Lists!$K$3,IF($L22&lt;1,(($U22/$L22)*((1+Inputs!$D$7)^CB$2)),((INT(CB$2/$L22)-INT((CB$2-1)/$L22))*$U22*((1+Inputs!$D$7)^CB$2))),(Inputs!$D$8^((1-_xlfn.WEIBULL.DIST(CB$2,$M22,$L22,FALSE))/_xlfn.WEIBULL.DIST(CB$2,$M22,$L22,FALSE))*$U22*((1+Inputs!$D$7)^CB$2))),IF($N22=Lists!$K$3,IF($L22&lt;1,((($T22*(1-$F22)+$S22*(1-$G22))/$L22)*((1+Inputs!$D$7)^CB$2)),((INT(CB$2/$L22)-INT((CB$2-1)/$L22))*($T22*(1-$F22)+$S22*(1-$G22))*((1+Inputs!$D$7)^CB$2))),((Inputs!$D$8^((1-_xlfn.WEIBULL.DIST(CB$2,$M22,$L22,FALSE))/_xlfn.WEIBULL.DIST(CB$2,$M22,$L22,FALSE))*($T22*(1-$F22)+$S22*(1-$G22))*((1+Inputs!$D$7)^CB$2))))))))</f>
        <v>7745.931851842136</v>
      </c>
      <c r="CC22" s="88">
        <f>MAX(AM22,($E22*IF(CC$2&gt;Inputs!$D$5,0,IF(CC$2&gt;VLOOKUP($H22,Lists!$P$3:$Q$7,2),IF($N22=Lists!$K$3,IF($L22&lt;1,(($U22/$L22)*((1+Inputs!$D$7)^CC$2)),((INT(CC$2/$L22)-INT((CC$2-1)/$L22))*$U22*((1+Inputs!$D$7)^CC$2))),(Inputs!$D$8^((1-_xlfn.WEIBULL.DIST(CC$2,$M22,$L22,FALSE))/_xlfn.WEIBULL.DIST(CC$2,$M22,$L22,FALSE))*$U22*((1+Inputs!$D$7)^CC$2))),IF($N22=Lists!$K$3,IF($L22&lt;1,((($T22*(1-$F22)+$S22*(1-$G22))/$L22)*((1+Inputs!$D$7)^CC$2)),((INT(CC$2/$L22)-INT((CC$2-1)/$L22))*($T22*(1-$F22)+$S22*(1-$G22))*((1+Inputs!$D$7)^CC$2))),((Inputs!$D$8^((1-_xlfn.WEIBULL.DIST(CC$2,$M22,$L22,FALSE))/_xlfn.WEIBULL.DIST(CC$2,$M22,$L22,FALSE))*($T22*(1-$F22)+$S22*(1-$G22))*((1+Inputs!$D$7)^CC$2))))))))</f>
        <v>11915.151037841159</v>
      </c>
      <c r="CD22" s="88">
        <f>MAX(AN22,($E22*IF(CD$2&gt;Inputs!$D$5,0,IF(CD$2&gt;VLOOKUP($H22,Lists!$P$3:$Q$7,2),IF($N22=Lists!$K$3,IF($L22&lt;1,(($U22/$L22)*((1+Inputs!$D$7)^CD$2)),((INT(CD$2/$L22)-INT((CD$2-1)/$L22))*$U22*((1+Inputs!$D$7)^CD$2))),(Inputs!$D$8^((1-_xlfn.WEIBULL.DIST(CD$2,$M22,$L22,FALSE))/_xlfn.WEIBULL.DIST(CD$2,$M22,$L22,FALSE))*$U22*((1+Inputs!$D$7)^CD$2))),IF($N22=Lists!$K$3,IF($L22&lt;1,((($T22*(1-$F22)+$S22*(1-$G22))/$L22)*((1+Inputs!$D$7)^CD$2)),((INT(CD$2/$L22)-INT((CD$2-1)/$L22))*($T22*(1-$F22)+$S22*(1-$G22))*((1+Inputs!$D$7)^CD$2))),((Inputs!$D$8^((1-_xlfn.WEIBULL.DIST(CD$2,$M22,$L22,FALSE))/_xlfn.WEIBULL.DIST(CD$2,$M22,$L22,FALSE))*($T22*(1-$F22)+$S22*(1-$G22))*((1+Inputs!$D$7)^CD$2))))))))</f>
        <v>16679.596871755555</v>
      </c>
      <c r="CE22" s="88">
        <f>MAX(AO22,($E22*IF(CE$2&gt;Inputs!$D$5,0,IF(CE$2&gt;VLOOKUP($H22,Lists!$P$3:$Q$7,2),IF($N22=Lists!$K$3,IF($L22&lt;1,(($U22/$L22)*((1+Inputs!$D$7)^CE$2)),((INT(CE$2/$L22)-INT((CE$2-1)/$L22))*$U22*((1+Inputs!$D$7)^CE$2))),(Inputs!$D$8^((1-_xlfn.WEIBULL.DIST(CE$2,$M22,$L22,FALSE))/_xlfn.WEIBULL.DIST(CE$2,$M22,$L22,FALSE))*$U22*((1+Inputs!$D$7)^CE$2))),IF($N22=Lists!$K$3,IF($L22&lt;1,((($T22*(1-$F22)+$S22*(1-$G22))/$L22)*((1+Inputs!$D$7)^CE$2)),((INT(CE$2/$L22)-INT((CE$2-1)/$L22))*($T22*(1-$F22)+$S22*(1-$G22))*((1+Inputs!$D$7)^CE$2))),((Inputs!$D$8^((1-_xlfn.WEIBULL.DIST(CE$2,$M22,$L22,FALSE))/_xlfn.WEIBULL.DIST(CE$2,$M22,$L22,FALSE))*($T22*(1-$F22)+$S22*(1-$G22))*((1+Inputs!$D$7)^CE$2))))))))</f>
        <v>21749.331203934817</v>
      </c>
      <c r="CF22" s="88">
        <f>MAX(AP22,($E22*IF(CF$2&gt;Inputs!$D$5,0,IF(CF$2&gt;VLOOKUP($H22,Lists!$P$3:$Q$7,2),IF($N22=Lists!$K$3,IF($L22&lt;1,(($U22/$L22)*((1+Inputs!$D$7)^CF$2)),((INT(CF$2/$L22)-INT((CF$2-1)/$L22))*$U22*((1+Inputs!$D$7)^CF$2))),(Inputs!$D$8^((1-_xlfn.WEIBULL.DIST(CF$2,$M22,$L22,FALSE))/_xlfn.WEIBULL.DIST(CF$2,$M22,$L22,FALSE))*$U22*((1+Inputs!$D$7)^CF$2))),IF($N22=Lists!$K$3,IF($L22&lt;1,((($T22*(1-$F22)+$S22*(1-$G22))/$L22)*((1+Inputs!$D$7)^CF$2)),((INT(CF$2/$L22)-INT((CF$2-1)/$L22))*($T22*(1-$F22)+$S22*(1-$G22))*((1+Inputs!$D$7)^CF$2))),((Inputs!$D$8^((1-_xlfn.WEIBULL.DIST(CF$2,$M22,$L22,FALSE))/_xlfn.WEIBULL.DIST(CF$2,$M22,$L22,FALSE))*($T22*(1-$F22)+$S22*(1-$G22))*((1+Inputs!$D$7)^CF$2))))))))</f>
        <v>26843.828363776993</v>
      </c>
      <c r="CG22" s="88">
        <f>MAX(AQ22,($E22*IF(CG$2&gt;Inputs!$D$5,0,IF(CG$2&gt;VLOOKUP($H22,Lists!$P$3:$Q$7,2),IF($N22=Lists!$K$3,IF($L22&lt;1,(($U22/$L22)*((1+Inputs!$D$7)^CG$2)),((INT(CG$2/$L22)-INT((CG$2-1)/$L22))*$U22*((1+Inputs!$D$7)^CG$2))),(Inputs!$D$8^((1-_xlfn.WEIBULL.DIST(CG$2,$M22,$L22,FALSE))/_xlfn.WEIBULL.DIST(CG$2,$M22,$L22,FALSE))*$U22*((1+Inputs!$D$7)^CG$2))),IF($N22=Lists!$K$3,IF($L22&lt;1,((($T22*(1-$F22)+$S22*(1-$G22))/$L22)*((1+Inputs!$D$7)^CG$2)),((INT(CG$2/$L22)-INT((CG$2-1)/$L22))*($T22*(1-$F22)+$S22*(1-$G22))*((1+Inputs!$D$7)^CG$2))),((Inputs!$D$8^((1-_xlfn.WEIBULL.DIST(CG$2,$M22,$L22,FALSE))/_xlfn.WEIBULL.DIST(CG$2,$M22,$L22,FALSE))*($T22*(1-$F22)+$S22*(1-$G22))*((1+Inputs!$D$7)^CG$2))))))))</f>
        <v>31714.142210811751</v>
      </c>
      <c r="CH22" s="88">
        <f>MAX(AR22,($E22*IF(CH$2&gt;Inputs!$D$5,0,IF(CH$2&gt;VLOOKUP($H22,Lists!$P$3:$Q$7,2),IF($N22=Lists!$K$3,IF($L22&lt;1,(($U22/$L22)*((1+Inputs!$D$7)^CH$2)),((INT(CH$2/$L22)-INT((CH$2-1)/$L22))*$U22*((1+Inputs!$D$7)^CH$2))),(Inputs!$D$8^((1-_xlfn.WEIBULL.DIST(CH$2,$M22,$L22,FALSE))/_xlfn.WEIBULL.DIST(CH$2,$M22,$L22,FALSE))*$U22*((1+Inputs!$D$7)^CH$2))),IF($N22=Lists!$K$3,IF($L22&lt;1,((($T22*(1-$F22)+$S22*(1-$G22))/$L22)*((1+Inputs!$D$7)^CH$2)),((INT(CH$2/$L22)-INT((CH$2-1)/$L22))*($T22*(1-$F22)+$S22*(1-$G22))*((1+Inputs!$D$7)^CH$2))),((Inputs!$D$8^((1-_xlfn.WEIBULL.DIST(CH$2,$M22,$L22,FALSE))/_xlfn.WEIBULL.DIST(CH$2,$M22,$L22,FALSE))*($T22*(1-$F22)+$S22*(1-$G22))*((1+Inputs!$D$7)^CH$2))))))))</f>
        <v>36149.733421235869</v>
      </c>
      <c r="CI22" s="88">
        <f>MAX(AS22,($E22*IF(CI$2&gt;Inputs!$D$5,0,IF(CI$2&gt;VLOOKUP($H22,Lists!$P$3:$Q$7,2),IF($N22=Lists!$K$3,IF($L22&lt;1,(($U22/$L22)*((1+Inputs!$D$7)^CI$2)),((INT(CI$2/$L22)-INT((CI$2-1)/$L22))*$U22*((1+Inputs!$D$7)^CI$2))),(Inputs!$D$8^((1-_xlfn.WEIBULL.DIST(CI$2,$M22,$L22,FALSE))/_xlfn.WEIBULL.DIST(CI$2,$M22,$L22,FALSE))*$U22*((1+Inputs!$D$7)^CI$2))),IF($N22=Lists!$K$3,IF($L22&lt;1,((($T22*(1-$F22)+$S22*(1-$G22))/$L22)*((1+Inputs!$D$7)^CI$2)),((INT(CI$2/$L22)-INT((CI$2-1)/$L22))*($T22*(1-$F22)+$S22*(1-$G22))*((1+Inputs!$D$7)^CI$2))),((Inputs!$D$8^((1-_xlfn.WEIBULL.DIST(CI$2,$M22,$L22,FALSE))/_xlfn.WEIBULL.DIST(CI$2,$M22,$L22,FALSE))*($T22*(1-$F22)+$S22*(1-$G22))*((1+Inputs!$D$7)^CI$2))))))))</f>
        <v>39976.968203006756</v>
      </c>
      <c r="CJ22" s="88">
        <f>MAX(AT22,($E22*IF(CJ$2&gt;Inputs!$D$5,0,IF(CJ$2&gt;VLOOKUP($H22,Lists!$P$3:$Q$7,2),IF($N22=Lists!$K$3,IF($L22&lt;1,(($U22/$L22)*((1+Inputs!$D$7)^CJ$2)),((INT(CJ$2/$L22)-INT((CJ$2-1)/$L22))*$U22*((1+Inputs!$D$7)^CJ$2))),(Inputs!$D$8^((1-_xlfn.WEIBULL.DIST(CJ$2,$M22,$L22,FALSE))/_xlfn.WEIBULL.DIST(CJ$2,$M22,$L22,FALSE))*$U22*((1+Inputs!$D$7)^CJ$2))),IF($N22=Lists!$K$3,IF($L22&lt;1,((($T22*(1-$F22)+$S22*(1-$G22))/$L22)*((1+Inputs!$D$7)^CJ$2)),((INT(CJ$2/$L22)-INT((CJ$2-1)/$L22))*($T22*(1-$F22)+$S22*(1-$G22))*((1+Inputs!$D$7)^CJ$2))),((Inputs!$D$8^((1-_xlfn.WEIBULL.DIST(CJ$2,$M22,$L22,FALSE))/_xlfn.WEIBULL.DIST(CJ$2,$M22,$L22,FALSE))*($T22*(1-$F22)+$S22*(1-$G22))*((1+Inputs!$D$7)^CJ$2))))))))</f>
        <v>43054.289946291989</v>
      </c>
      <c r="CK22" s="88">
        <f>MAX(AU22,($E22*IF(CK$2&gt;Inputs!$D$5,0,IF(CK$2&gt;VLOOKUP($H22,Lists!$P$3:$Q$7,2),IF($N22=Lists!$K$3,IF($L22&lt;1,(($U22/$L22)*((1+Inputs!$D$7)^CK$2)),((INT(CK$2/$L22)-INT((CK$2-1)/$L22))*$U22*((1+Inputs!$D$7)^CK$2))),(Inputs!$D$8^((1-_xlfn.WEIBULL.DIST(CK$2,$M22,$L22,FALSE))/_xlfn.WEIBULL.DIST(CK$2,$M22,$L22,FALSE))*$U22*((1+Inputs!$D$7)^CK$2))),IF($N22=Lists!$K$3,IF($L22&lt;1,((($T22*(1-$F22)+$S22*(1-$G22))/$L22)*((1+Inputs!$D$7)^CK$2)),((INT(CK$2/$L22)-INT((CK$2-1)/$L22))*($T22*(1-$F22)+$S22*(1-$G22))*((1+Inputs!$D$7)^CK$2))),((Inputs!$D$8^((1-_xlfn.WEIBULL.DIST(CK$2,$M22,$L22,FALSE))/_xlfn.WEIBULL.DIST(CK$2,$M22,$L22,FALSE))*($T22*(1-$F22)+$S22*(1-$G22))*((1+Inputs!$D$7)^CK$2))))))))</f>
        <v>136238.80080091339</v>
      </c>
      <c r="CL22" s="88">
        <f>MAX(AV22,($E22*IF(CL$2&gt;Inputs!$D$5,0,IF(CL$2&gt;VLOOKUP($H22,Lists!$P$3:$Q$7,2),IF($N22=Lists!$K$3,IF($L22&lt;1,(($U22/$L22)*((1+Inputs!$D$7)^CL$2)),((INT(CL$2/$L22)-INT((CL$2-1)/$L22))*$U22*((1+Inputs!$D$7)^CL$2))),(Inputs!$D$8^((1-_xlfn.WEIBULL.DIST(CL$2,$M22,$L22,FALSE))/_xlfn.WEIBULL.DIST(CL$2,$M22,$L22,FALSE))*$U22*((1+Inputs!$D$7)^CL$2))),IF($N22=Lists!$K$3,IF($L22&lt;1,((($T22*(1-$F22)+$S22*(1-$G22))/$L22)*((1+Inputs!$D$7)^CL$2)),((INT(CL$2/$L22)-INT((CL$2-1)/$L22))*($T22*(1-$F22)+$S22*(1-$G22))*((1+Inputs!$D$7)^CL$2))),((Inputs!$D$8^((1-_xlfn.WEIBULL.DIST(CL$2,$M22,$L22,FALSE))/_xlfn.WEIBULL.DIST(CL$2,$M22,$L22,FALSE))*($T22*(1-$F22)+$S22*(1-$G22))*((1+Inputs!$D$7)^CL$2))))))))</f>
        <v>140022.822180235</v>
      </c>
      <c r="CM22" s="88">
        <f>MAX(AW22,($E22*IF(CM$2&gt;Inputs!$D$5,0,IF(CM$2&gt;VLOOKUP($H22,Lists!$P$3:$Q$7,2),IF($N22=Lists!$K$3,IF($L22&lt;1,(($U22/$L22)*((1+Inputs!$D$7)^CM$2)),((INT(CM$2/$L22)-INT((CM$2-1)/$L22))*$U22*((1+Inputs!$D$7)^CM$2))),(Inputs!$D$8^((1-_xlfn.WEIBULL.DIST(CM$2,$M22,$L22,FALSE))/_xlfn.WEIBULL.DIST(CM$2,$M22,$L22,FALSE))*$U22*((1+Inputs!$D$7)^CM$2))),IF($N22=Lists!$K$3,IF($L22&lt;1,((($T22*(1-$F22)+$S22*(1-$G22))/$L22)*((1+Inputs!$D$7)^CM$2)),((INT(CM$2/$L22)-INT((CM$2-1)/$L22))*($T22*(1-$F22)+$S22*(1-$G22))*((1+Inputs!$D$7)^CM$2))),((Inputs!$D$8^((1-_xlfn.WEIBULL.DIST(CM$2,$M22,$L22,FALSE))/_xlfn.WEIBULL.DIST(CM$2,$M22,$L22,FALSE))*($T22*(1-$F22)+$S22*(1-$G22))*((1+Inputs!$D$7)^CM$2))))))))</f>
        <v>140724.30079377032</v>
      </c>
      <c r="CN22" s="88">
        <f>MAX(AX22,($E22*IF(CN$2&gt;Inputs!$D$5,0,IF(CN$2&gt;VLOOKUP($H22,Lists!$P$3:$Q$7,2),IF($N22=Lists!$K$3,IF($L22&lt;1,(($U22/$L22)*((1+Inputs!$D$7)^CN$2)),((INT(CN$2/$L22)-INT((CN$2-1)/$L22))*$U22*((1+Inputs!$D$7)^CN$2))),(Inputs!$D$8^((1-_xlfn.WEIBULL.DIST(CN$2,$M22,$L22,FALSE))/_xlfn.WEIBULL.DIST(CN$2,$M22,$L22,FALSE))*$U22*((1+Inputs!$D$7)^CN$2))),IF($N22=Lists!$K$3,IF($L22&lt;1,((($T22*(1-$F22)+$S22*(1-$G22))/$L22)*((1+Inputs!$D$7)^CN$2)),((INT(CN$2/$L22)-INT((CN$2-1)/$L22))*($T22*(1-$F22)+$S22*(1-$G22))*((1+Inputs!$D$7)^CN$2))),((Inputs!$D$8^((1-_xlfn.WEIBULL.DIST(CN$2,$M22,$L22,FALSE))/_xlfn.WEIBULL.DIST(CN$2,$M22,$L22,FALSE))*($T22*(1-$F22)+$S22*(1-$G22))*((1+Inputs!$D$7)^CN$2))))))))</f>
        <v>138210.704574745</v>
      </c>
      <c r="CO22" s="88">
        <f>MAX(AY22,($E22*IF(CO$2&gt;Inputs!$D$5,0,IF(CO$2&gt;VLOOKUP($H22,Lists!$P$3:$Q$7,2),IF($N22=Lists!$K$3,IF($L22&lt;1,(($U22/$L22)*((1+Inputs!$D$7)^CO$2)),((INT(CO$2/$L22)-INT((CO$2-1)/$L22))*$U22*((1+Inputs!$D$7)^CO$2))),(Inputs!$D$8^((1-_xlfn.WEIBULL.DIST(CO$2,$M22,$L22,FALSE))/_xlfn.WEIBULL.DIST(CO$2,$M22,$L22,FALSE))*$U22*((1+Inputs!$D$7)^CO$2))),IF($N22=Lists!$K$3,IF($L22&lt;1,((($T22*(1-$F22)+$S22*(1-$G22))/$L22)*((1+Inputs!$D$7)^CO$2)),((INT(CO$2/$L22)-INT((CO$2-1)/$L22))*($T22*(1-$F22)+$S22*(1-$G22))*((1+Inputs!$D$7)^CO$2))),((Inputs!$D$8^((1-_xlfn.WEIBULL.DIST(CO$2,$M22,$L22,FALSE))/_xlfn.WEIBULL.DIST(CO$2,$M22,$L22,FALSE))*($T22*(1-$F22)+$S22*(1-$G22))*((1+Inputs!$D$7)^CO$2))))))))</f>
        <v>132440.89470032192</v>
      </c>
      <c r="CP22" s="88">
        <f>MAX(AZ22,($E22*IF(CP$2&gt;Inputs!$D$5,0,IF(CP$2&gt;VLOOKUP($H22,Lists!$P$3:$Q$7,2),IF($N22=Lists!$K$3,IF($L22&lt;1,(($U22/$L22)*((1+Inputs!$D$7)^CP$2)),((INT(CP$2/$L22)-INT((CP$2-1)/$L22))*$U22*((1+Inputs!$D$7)^CP$2))),(Inputs!$D$8^((1-_xlfn.WEIBULL.DIST(CP$2,$M22,$L22,FALSE))/_xlfn.WEIBULL.DIST(CP$2,$M22,$L22,FALSE))*$U22*((1+Inputs!$D$7)^CP$2))),IF($N22=Lists!$K$3,IF($L22&lt;1,((($T22*(1-$F22)+$S22*(1-$G22))/$L22)*((1+Inputs!$D$7)^CP$2)),((INT(CP$2/$L22)-INT((CP$2-1)/$L22))*($T22*(1-$F22)+$S22*(1-$G22))*((1+Inputs!$D$7)^CP$2))),((Inputs!$D$8^((1-_xlfn.WEIBULL.DIST(CP$2,$M22,$L22,FALSE))/_xlfn.WEIBULL.DIST(CP$2,$M22,$L22,FALSE))*($T22*(1-$F22)+$S22*(1-$G22))*((1+Inputs!$D$7)^CP$2))))))))</f>
        <v>0</v>
      </c>
      <c r="CQ22" s="88">
        <f>MAX(BA22,($E22*IF(CQ$2&gt;Inputs!$D$5,0,IF(CQ$2&gt;VLOOKUP($H22,Lists!$P$3:$Q$7,2),IF($N22=Lists!$K$3,IF($L22&lt;1,(($U22/$L22)*((1+Inputs!$D$7)^CQ$2)),((INT(CQ$2/$L22)-INT((CQ$2-1)/$L22))*$U22*((1+Inputs!$D$7)^CQ$2))),(Inputs!$D$8^((1-_xlfn.WEIBULL.DIST(CQ$2,$M22,$L22,FALSE))/_xlfn.WEIBULL.DIST(CQ$2,$M22,$L22,FALSE))*$U22*((1+Inputs!$D$7)^CQ$2))),IF($N22=Lists!$K$3,IF($L22&lt;1,((($T22*(1-$F22)+$S22*(1-$G22))/$L22)*((1+Inputs!$D$7)^CQ$2)),((INT(CQ$2/$L22)-INT((CQ$2-1)/$L22))*($T22*(1-$F22)+$S22*(1-$G22))*((1+Inputs!$D$7)^CQ$2))),((Inputs!$D$8^((1-_xlfn.WEIBULL.DIST(CQ$2,$M22,$L22,FALSE))/_xlfn.WEIBULL.DIST(CQ$2,$M22,$L22,FALSE))*($T22*(1-$F22)+$S22*(1-$G22))*((1+Inputs!$D$7)^CQ$2))))))))</f>
        <v>0</v>
      </c>
      <c r="CR22" s="88">
        <f>MAX(BB22,($E22*IF(CR$2&gt;Inputs!$D$5,0,IF(CR$2&gt;VLOOKUP($H22,Lists!$P$3:$Q$7,2),IF($N22=Lists!$K$3,IF($L22&lt;1,(($U22/$L22)*((1+Inputs!$D$7)^CR$2)),((INT(CR$2/$L22)-INT((CR$2-1)/$L22))*$U22*((1+Inputs!$D$7)^CR$2))),(Inputs!$D$8^((1-_xlfn.WEIBULL.DIST(CR$2,$M22,$L22,FALSE))/_xlfn.WEIBULL.DIST(CR$2,$M22,$L22,FALSE))*$U22*((1+Inputs!$D$7)^CR$2))),IF($N22=Lists!$K$3,IF($L22&lt;1,((($T22*(1-$F22)+$S22*(1-$G22))/$L22)*((1+Inputs!$D$7)^CR$2)),((INT(CR$2/$L22)-INT((CR$2-1)/$L22))*($T22*(1-$F22)+$S22*(1-$G22))*((1+Inputs!$D$7)^CR$2))),((Inputs!$D$8^((1-_xlfn.WEIBULL.DIST(CR$2,$M22,$L22,FALSE))/_xlfn.WEIBULL.DIST(CR$2,$M22,$L22,FALSE))*($T22*(1-$F22)+$S22*(1-$G22))*((1+Inputs!$D$7)^CR$2))))))))</f>
        <v>0</v>
      </c>
      <c r="CS22" s="88">
        <f>MAX(BC22,($E22*IF(CS$2&gt;Inputs!$D$5,0,IF(CS$2&gt;VLOOKUP($H22,Lists!$P$3:$Q$7,2),IF($N22=Lists!$K$3,IF($L22&lt;1,(($U22/$L22)*((1+Inputs!$D$7)^CS$2)),((INT(CS$2/$L22)-INT((CS$2-1)/$L22))*$U22*((1+Inputs!$D$7)^CS$2))),(Inputs!$D$8^((1-_xlfn.WEIBULL.DIST(CS$2,$M22,$L22,FALSE))/_xlfn.WEIBULL.DIST(CS$2,$M22,$L22,FALSE))*$U22*((1+Inputs!$D$7)^CS$2))),IF($N22=Lists!$K$3,IF($L22&lt;1,((($T22*(1-$F22)+$S22*(1-$G22))/$L22)*((1+Inputs!$D$7)^CS$2)),((INT(CS$2/$L22)-INT((CS$2-1)/$L22))*($T22*(1-$F22)+$S22*(1-$G22))*((1+Inputs!$D$7)^CS$2))),((Inputs!$D$8^((1-_xlfn.WEIBULL.DIST(CS$2,$M22,$L22,FALSE))/_xlfn.WEIBULL.DIST(CS$2,$M22,$L22,FALSE))*($T22*(1-$F22)+$S22*(1-$G22))*((1+Inputs!$D$7)^CS$2))))))))</f>
        <v>0</v>
      </c>
      <c r="CT22" s="88">
        <f>MAX(BD22,($E22*IF(CT$2&gt;Inputs!$D$5,0,IF(CT$2&gt;VLOOKUP($H22,Lists!$P$3:$Q$7,2),IF($N22=Lists!$K$3,IF($L22&lt;1,(($U22/$L22)*((1+Inputs!$D$7)^CT$2)),((INT(CT$2/$L22)-INT((CT$2-1)/$L22))*$U22*((1+Inputs!$D$7)^CT$2))),(Inputs!$D$8^((1-_xlfn.WEIBULL.DIST(CT$2,$M22,$L22,FALSE))/_xlfn.WEIBULL.DIST(CT$2,$M22,$L22,FALSE))*$U22*((1+Inputs!$D$7)^CT$2))),IF($N22=Lists!$K$3,IF($L22&lt;1,((($T22*(1-$F22)+$S22*(1-$G22))/$L22)*((1+Inputs!$D$7)^CT$2)),((INT(CT$2/$L22)-INT((CT$2-1)/$L22))*($T22*(1-$F22)+$S22*(1-$G22))*((1+Inputs!$D$7)^CT$2))),((Inputs!$D$8^((1-_xlfn.WEIBULL.DIST(CT$2,$M22,$L22,FALSE))/_xlfn.WEIBULL.DIST(CT$2,$M22,$L22,FALSE))*($T22*(1-$F22)+$S22*(1-$G22))*((1+Inputs!$D$7)^CT$2))))))))</f>
        <v>0</v>
      </c>
      <c r="CU22" s="88">
        <f>MAX(BE22,($E22*IF(CU$2&gt;Inputs!$D$5,0,IF(CU$2&gt;VLOOKUP($H22,Lists!$P$3:$Q$7,2),IF($N22=Lists!$K$3,IF($L22&lt;1,(($U22/$L22)*((1+Inputs!$D$7)^CU$2)),((INT(CU$2/$L22)-INT((CU$2-1)/$L22))*$U22*((1+Inputs!$D$7)^CU$2))),(Inputs!$D$8^((1-_xlfn.WEIBULL.DIST(CU$2,$M22,$L22,FALSE))/_xlfn.WEIBULL.DIST(CU$2,$M22,$L22,FALSE))*$U22*((1+Inputs!$D$7)^CU$2))),IF($N22=Lists!$K$3,IF($L22&lt;1,((($T22*(1-$F22)+$S22*(1-$G22))/$L22)*((1+Inputs!$D$7)^CU$2)),((INT(CU$2/$L22)-INT((CU$2-1)/$L22))*($T22*(1-$F22)+$S22*(1-$G22))*((1+Inputs!$D$7)^CU$2))),((Inputs!$D$8^((1-_xlfn.WEIBULL.DIST(CU$2,$M22,$L22,FALSE))/_xlfn.WEIBULL.DIST(CU$2,$M22,$L22,FALSE))*($T22*(1-$F22)+$S22*(1-$G22))*((1+Inputs!$D$7)^CU$2))))))))</f>
        <v>0</v>
      </c>
      <c r="CV22" s="88">
        <f>MAX(BF22,($E22*IF(CV$2&gt;Inputs!$D$5,0,IF(CV$2&gt;VLOOKUP($H22,Lists!$P$3:$Q$7,2),IF($N22=Lists!$K$3,IF($L22&lt;1,(($U22/$L22)*((1+Inputs!$D$7)^CV$2)),((INT(CV$2/$L22)-INT((CV$2-1)/$L22))*$U22*((1+Inputs!$D$7)^CV$2))),(Inputs!$D$8^((1-_xlfn.WEIBULL.DIST(CV$2,$M22,$L22,FALSE))/_xlfn.WEIBULL.DIST(CV$2,$M22,$L22,FALSE))*$U22*((1+Inputs!$D$7)^CV$2))),IF($N22=Lists!$K$3,IF($L22&lt;1,((($T22*(1-$F22)+$S22*(1-$G22))/$L22)*((1+Inputs!$D$7)^CV$2)),((INT(CV$2/$L22)-INT((CV$2-1)/$L22))*($T22*(1-$F22)+$S22*(1-$G22))*((1+Inputs!$D$7)^CV$2))),((Inputs!$D$8^((1-_xlfn.WEIBULL.DIST(CV$2,$M22,$L22,FALSE))/_xlfn.WEIBULL.DIST(CV$2,$M22,$L22,FALSE))*($T22*(1-$F22)+$S22*(1-$G22))*((1+Inputs!$D$7)^CV$2))))))))</f>
        <v>0</v>
      </c>
      <c r="CW22" s="88">
        <f>MAX(BG22,($E22*IF(CW$2&gt;Inputs!$D$5,0,IF(CW$2&gt;VLOOKUP($H22,Lists!$P$3:$Q$7,2),IF($N22=Lists!$K$3,IF($L22&lt;1,(($U22/$L22)*((1+Inputs!$D$7)^CW$2)),((INT(CW$2/$L22)-INT((CW$2-1)/$L22))*$U22*((1+Inputs!$D$7)^CW$2))),(Inputs!$D$8^((1-_xlfn.WEIBULL.DIST(CW$2,$M22,$L22,FALSE))/_xlfn.WEIBULL.DIST(CW$2,$M22,$L22,FALSE))*$U22*((1+Inputs!$D$7)^CW$2))),IF($N22=Lists!$K$3,IF($L22&lt;1,((($T22*(1-$F22)+$S22*(1-$G22))/$L22)*((1+Inputs!$D$7)^CW$2)),((INT(CW$2/$L22)-INT((CW$2-1)/$L22))*($T22*(1-$F22)+$S22*(1-$G22))*((1+Inputs!$D$7)^CW$2))),((Inputs!$D$8^((1-_xlfn.WEIBULL.DIST(CW$2,$M22,$L22,FALSE))/_xlfn.WEIBULL.DIST(CW$2,$M22,$L22,FALSE))*($T22*(1-$F22)+$S22*(1-$G22))*((1+Inputs!$D$7)^CW$2))))))))</f>
        <v>0</v>
      </c>
      <c r="CX22" s="88">
        <f>MAX(BH22,($E22*IF(CX$2&gt;Inputs!$D$5,0,IF(CX$2&gt;VLOOKUP($H22,Lists!$P$3:$Q$7,2),IF($N22=Lists!$K$3,IF($L22&lt;1,(($U22/$L22)*((1+Inputs!$D$7)^CX$2)),((INT(CX$2/$L22)-INT((CX$2-1)/$L22))*$U22*((1+Inputs!$D$7)^CX$2))),(Inputs!$D$8^((1-_xlfn.WEIBULL.DIST(CX$2,$M22,$L22,FALSE))/_xlfn.WEIBULL.DIST(CX$2,$M22,$L22,FALSE))*$U22*((1+Inputs!$D$7)^CX$2))),IF($N22=Lists!$K$3,IF($L22&lt;1,((($T22*(1-$F22)+$S22*(1-$G22))/$L22)*((1+Inputs!$D$7)^CX$2)),((INT(CX$2/$L22)-INT((CX$2-1)/$L22))*($T22*(1-$F22)+$S22*(1-$G22))*((1+Inputs!$D$7)^CX$2))),((Inputs!$D$8^((1-_xlfn.WEIBULL.DIST(CX$2,$M22,$L22,FALSE))/_xlfn.WEIBULL.DIST(CX$2,$M22,$L22,FALSE))*($T22*(1-$F22)+$S22*(1-$G22))*((1+Inputs!$D$7)^CX$2))))))))</f>
        <v>0</v>
      </c>
      <c r="CY22" s="88">
        <f>MAX(BI22,($E22*IF(CY$2&gt;Inputs!$D$5,0,IF(CY$2&gt;VLOOKUP($H22,Lists!$P$3:$Q$7,2),IF($N22=Lists!$K$3,IF($L22&lt;1,(($U22/$L22)*((1+Inputs!$D$7)^CY$2)),((INT(CY$2/$L22)-INT((CY$2-1)/$L22))*$U22*((1+Inputs!$D$7)^CY$2))),(Inputs!$D$8^((1-_xlfn.WEIBULL.DIST(CY$2,$M22,$L22,FALSE))/_xlfn.WEIBULL.DIST(CY$2,$M22,$L22,FALSE))*$U22*((1+Inputs!$D$7)^CY$2))),IF($N22=Lists!$K$3,IF($L22&lt;1,((($T22*(1-$F22)+$S22*(1-$G22))/$L22)*((1+Inputs!$D$7)^CY$2)),((INT(CY$2/$L22)-INT((CY$2-1)/$L22))*($T22*(1-$F22)+$S22*(1-$G22))*((1+Inputs!$D$7)^CY$2))),((Inputs!$D$8^((1-_xlfn.WEIBULL.DIST(CY$2,$M22,$L22,FALSE))/_xlfn.WEIBULL.DIST(CY$2,$M22,$L22,FALSE))*($T22*(1-$F22)+$S22*(1-$G22))*((1+Inputs!$D$7)^CY$2))))))))</f>
        <v>0</v>
      </c>
      <c r="CZ22" s="88">
        <f>MAX(BJ22,($E22*IF(CZ$2&gt;Inputs!$D$5,0,IF(CZ$2&gt;VLOOKUP($H22,Lists!$P$3:$Q$7,2),IF($N22=Lists!$K$3,IF($L22&lt;1,(($U22/$L22)*((1+Inputs!$D$7)^CZ$2)),((INT(CZ$2/$L22)-INT((CZ$2-1)/$L22))*$U22*((1+Inputs!$D$7)^CZ$2))),(Inputs!$D$8^((1-_xlfn.WEIBULL.DIST(CZ$2,$M22,$L22,FALSE))/_xlfn.WEIBULL.DIST(CZ$2,$M22,$L22,FALSE))*$U22*((1+Inputs!$D$7)^CZ$2))),IF($N22=Lists!$K$3,IF($L22&lt;1,((($T22*(1-$F22)+$S22*(1-$G22))/$L22)*((1+Inputs!$D$7)^CZ$2)),((INT(CZ$2/$L22)-INT((CZ$2-1)/$L22))*($T22*(1-$F22)+$S22*(1-$G22))*((1+Inputs!$D$7)^CZ$2))),((Inputs!$D$8^((1-_xlfn.WEIBULL.DIST(CZ$2,$M22,$L22,FALSE))/_xlfn.WEIBULL.DIST(CZ$2,$M22,$L22,FALSE))*($T22*(1-$F22)+$S22*(1-$G22))*((1+Inputs!$D$7)^CZ$2))))))))</f>
        <v>0</v>
      </c>
      <c r="DA22" s="88">
        <f>MAX(BK22,($E22*IF(DA$2&gt;Inputs!$D$5,0,IF(DA$2&gt;VLOOKUP($H22,Lists!$P$3:$Q$7,2),IF($N22=Lists!$K$3,IF($L22&lt;1,(($U22/$L22)*((1+Inputs!$D$7)^DA$2)),((INT(DA$2/$L22)-INT((DA$2-1)/$L22))*$U22*((1+Inputs!$D$7)^DA$2))),(Inputs!$D$8^((1-_xlfn.WEIBULL.DIST(DA$2,$M22,$L22,FALSE))/_xlfn.WEIBULL.DIST(DA$2,$M22,$L22,FALSE))*$U22*((1+Inputs!$D$7)^DA$2))),IF($N22=Lists!$K$3,IF($L22&lt;1,((($T22*(1-$F22)+$S22*(1-$G22))/$L22)*((1+Inputs!$D$7)^DA$2)),((INT(DA$2/$L22)-INT((DA$2-1)/$L22))*($T22*(1-$F22)+$S22*(1-$G22))*((1+Inputs!$D$7)^DA$2))),((Inputs!$D$8^((1-_xlfn.WEIBULL.DIST(DA$2,$M22,$L22,FALSE))/_xlfn.WEIBULL.DIST(DA$2,$M22,$L22,FALSE))*($T22*(1-$F22)+$S22*(1-$G22))*((1+Inputs!$D$7)^DA$2))))))))</f>
        <v>0</v>
      </c>
      <c r="DB22" s="88">
        <f>MAX(BL22,($E22*IF(DB$2&gt;Inputs!$D$5,0,IF(DB$2&gt;VLOOKUP($H22,Lists!$P$3:$Q$7,2),IF($N22=Lists!$K$3,IF($L22&lt;1,(($U22/$L22)*((1+Inputs!$D$7)^DB$2)),((INT(DB$2/$L22)-INT((DB$2-1)/$L22))*$U22*((1+Inputs!$D$7)^DB$2))),(Inputs!$D$8^((1-_xlfn.WEIBULL.DIST(DB$2,$M22,$L22,FALSE))/_xlfn.WEIBULL.DIST(DB$2,$M22,$L22,FALSE))*$U22*((1+Inputs!$D$7)^DB$2))),IF($N22=Lists!$K$3,IF($L22&lt;1,((($T22*(1-$F22)+$S22*(1-$G22))/$L22)*((1+Inputs!$D$7)^DB$2)),((INT(DB$2/$L22)-INT((DB$2-1)/$L22))*($T22*(1-$F22)+$S22*(1-$G22))*((1+Inputs!$D$7)^DB$2))),((Inputs!$D$8^((1-_xlfn.WEIBULL.DIST(DB$2,$M22,$L22,FALSE))/_xlfn.WEIBULL.DIST(DB$2,$M22,$L22,FALSE))*($T22*(1-$F22)+$S22*(1-$G22))*((1+Inputs!$D$7)^DB$2))))))))</f>
        <v>0</v>
      </c>
      <c r="DC22" s="88">
        <f>MAX(BM22,($E22*IF(DC$2&gt;Inputs!$D$5,0,IF(DC$2&gt;VLOOKUP($H22,Lists!$P$3:$Q$7,2),IF($N22=Lists!$K$3,IF($L22&lt;1,(($U22/$L22)*((1+Inputs!$D$7)^DC$2)),((INT(DC$2/$L22)-INT((DC$2-1)/$L22))*$U22*((1+Inputs!$D$7)^DC$2))),(Inputs!$D$8^((1-_xlfn.WEIBULL.DIST(DC$2,$M22,$L22,FALSE))/_xlfn.WEIBULL.DIST(DC$2,$M22,$L22,FALSE))*$U22*((1+Inputs!$D$7)^DC$2))),IF($N22=Lists!$K$3,IF($L22&lt;1,((($T22*(1-$F22)+$S22*(1-$G22))/$L22)*((1+Inputs!$D$7)^DC$2)),((INT(DC$2/$L22)-INT((DC$2-1)/$L22))*($T22*(1-$F22)+$S22*(1-$G22))*((1+Inputs!$D$7)^DC$2))),((Inputs!$D$8^((1-_xlfn.WEIBULL.DIST(DC$2,$M22,$L22,FALSE))/_xlfn.WEIBULL.DIST(DC$2,$M22,$L22,FALSE))*($T22*(1-$F22)+$S22*(1-$G22))*((1+Inputs!$D$7)^DC$2))))))))</f>
        <v>0</v>
      </c>
      <c r="DD22" s="88">
        <f>MAX(BN22,($E22*IF(DD$2&gt;Inputs!$D$5,0,IF(DD$2&gt;VLOOKUP($H22,Lists!$P$3:$Q$7,2),IF($N22=Lists!$K$3,IF($L22&lt;1,(($U22/$L22)*((1+Inputs!$D$7)^DD$2)),((INT(DD$2/$L22)-INT((DD$2-1)/$L22))*$U22*((1+Inputs!$D$7)^DD$2))),(Inputs!$D$8^((1-_xlfn.WEIBULL.DIST(DD$2,$M22,$L22,FALSE))/_xlfn.WEIBULL.DIST(DD$2,$M22,$L22,FALSE))*$U22*((1+Inputs!$D$7)^DD$2))),IF($N22=Lists!$K$3,IF($L22&lt;1,((($T22*(1-$F22)+$S22*(1-$G22))/$L22)*((1+Inputs!$D$7)^DD$2)),((INT(DD$2/$L22)-INT((DD$2-1)/$L22))*($T22*(1-$F22)+$S22*(1-$G22))*((1+Inputs!$D$7)^DD$2))),((Inputs!$D$8^((1-_xlfn.WEIBULL.DIST(DD$2,$M22,$L22,FALSE))/_xlfn.WEIBULL.DIST(DD$2,$M22,$L22,FALSE))*($T22*(1-$F22)+$S22*(1-$G22))*((1+Inputs!$D$7)^DD$2))))))))</f>
        <v>0</v>
      </c>
    </row>
    <row r="23" spans="1:108" s="1" customFormat="1" ht="16">
      <c r="A23" s="57" t="s">
        <v>200</v>
      </c>
      <c r="B23" s="13" t="s">
        <v>130</v>
      </c>
      <c r="C23" s="13" t="s">
        <v>474</v>
      </c>
      <c r="D23" s="13" t="s">
        <v>214</v>
      </c>
      <c r="E23" s="48">
        <f>IF(Inputs!$D$42=Lists!$H$4,1,0)</f>
        <v>1</v>
      </c>
      <c r="F23" s="48">
        <v>1</v>
      </c>
      <c r="G23" s="48">
        <v>1</v>
      </c>
      <c r="H23" s="105" t="s">
        <v>350</v>
      </c>
      <c r="I23" s="14"/>
      <c r="J23" s="14" t="s">
        <v>93</v>
      </c>
      <c r="K23" s="13">
        <f>VLOOKUP(J23,'Labor Rates'!$A$1:$F$16,2)</f>
        <v>25.549903846153843</v>
      </c>
      <c r="L23" s="15">
        <v>25</v>
      </c>
      <c r="M23" s="15">
        <v>3</v>
      </c>
      <c r="N23" s="16" t="s">
        <v>226</v>
      </c>
      <c r="O23" s="61">
        <v>1</v>
      </c>
      <c r="P23" s="15">
        <v>2</v>
      </c>
      <c r="Q23" s="15">
        <f t="shared" si="0"/>
        <v>0.08</v>
      </c>
      <c r="R23" s="4">
        <v>0</v>
      </c>
      <c r="S23" s="53">
        <f t="shared" si="1"/>
        <v>51.099807692307685</v>
      </c>
      <c r="T23" s="53">
        <f t="shared" si="2"/>
        <v>0</v>
      </c>
      <c r="U23" s="54">
        <f t="shared" si="3"/>
        <v>51.099807692307685</v>
      </c>
      <c r="V23" s="65"/>
      <c r="W23" s="58"/>
      <c r="X23" s="64">
        <f t="shared" si="4"/>
        <v>1.4550007917832632</v>
      </c>
      <c r="Y23" s="64">
        <f>NPV(Inputs!$D$6,AA23:BN23)</f>
        <v>14.83243312563321</v>
      </c>
      <c r="Z23" s="67">
        <f t="shared" si="5"/>
        <v>6.9956995919340424E-6</v>
      </c>
      <c r="AA23" s="88">
        <f>$E23*IF(AA$2&gt;Inputs!$D$5,0,IF(AA$2&gt;VLOOKUP($H23,Lists!$P$3:$Q$7,2),IF($N23=Lists!$K$3,IF($L23&lt;1,(($U23/$L23)*((1+Inputs!$D$7)^AA$2)),((INT(AA$2/$L23)-INT((AA$2-1)/$L23))*$U23*((1+Inputs!$D$7)^AA$2))),(_xlfn.WEIBULL.DIST(AA$2,$M23,$L23,FALSE)*$U23*((1+Inputs!$D$7)^AA$2))),IF($N23=Lists!$K$3,IF($L23&lt;1,((($T23*(1-$F23)+$S23*(1-$G23))/$L23)*((1+Inputs!$D$7)^AA$2)),((INT(AA$2/$L23)-INT((AA$2-1)/$L23))*($T23*(1-$F23)+$S23*(1-$G23))*((1+Inputs!$D$7)^AA$2))),((_xlfn.WEIBULL.DIST(AA$2,$M23,$L23,FALSE)*($T23*(1-$F23)+$S23*(1-$G23))*((1+Inputs!$D$7)^AA$2))))))</f>
        <v>1.0006745886230576E-2</v>
      </c>
      <c r="AB23" s="88">
        <f>$E23*IF(AB$2&gt;Inputs!$D$5,0,IF(AB$2&gt;VLOOKUP($H23,Lists!$P$3:$Q$7,2),IF($N23=Lists!$K$3,IF($L23&lt;1,(($U23/$L23)*((1+Inputs!$D$7)^AB$2)),((INT(AB$2/$L23)-INT((AB$2-1)/$L23))*$U23*((1+Inputs!$D$7)^AB$2))),(_xlfn.WEIBULL.DIST(AB$2,$M23,$L23,FALSE)*$U23*((1+Inputs!$D$7)^AB$2))),IF($N23=Lists!$K$3,IF($L23&lt;1,((($T23*(1-$F23)+$S23*(1-$G23))/$L23)*((1+Inputs!$D$7)^AB$2)),((INT(AB$2/$L23)-INT((AB$2-1)/$L23))*($T23*(1-$F23)+$S23*(1-$G23))*((1+Inputs!$D$7)^AB$2))),((_xlfn.WEIBULL.DIST(AB$2,$M23,$L23,FALSE)*($T23*(1-$F23)+$S23*(1-$G23))*((1+Inputs!$D$7)^AB$2))))))</f>
        <v>4.0809236581931904E-2</v>
      </c>
      <c r="AC23" s="88">
        <f>$E23*IF(AC$2&gt;Inputs!$D$5,0,IF(AC$2&gt;VLOOKUP($H23,Lists!$P$3:$Q$7,2),IF($N23=Lists!$K$3,IF($L23&lt;1,(($U23/$L23)*((1+Inputs!$D$7)^AC$2)),((INT(AC$2/$L23)-INT((AC$2-1)/$L23))*$U23*((1+Inputs!$D$7)^AC$2))),(_xlfn.WEIBULL.DIST(AC$2,$M23,$L23,FALSE)*$U23*((1+Inputs!$D$7)^AC$2))),IF($N23=Lists!$K$3,IF($L23&lt;1,((($T23*(1-$F23)+$S23*(1-$G23))/$L23)*((1+Inputs!$D$7)^AC$2)),((INT(AC$2/$L23)-INT((AC$2-1)/$L23))*($T23*(1-$F23)+$S23*(1-$G23))*((1+Inputs!$D$7)^AC$2))),((_xlfn.WEIBULL.DIST(AC$2,$M23,$L23,FALSE)*($T23*(1-$F23)+$S23*(1-$G23))*((1+Inputs!$D$7)^AC$2))))))</f>
        <v>9.3543380018150532E-2</v>
      </c>
      <c r="AD23" s="88">
        <f>$E23*IF(AD$2&gt;Inputs!$D$5,0,IF(AD$2&gt;VLOOKUP($H23,Lists!$P$3:$Q$7,2),IF($N23=Lists!$K$3,IF($L23&lt;1,(($U23/$L23)*((1+Inputs!$D$7)^AD$2)),((INT(AD$2/$L23)-INT((AD$2-1)/$L23))*$U23*((1+Inputs!$D$7)^AD$2))),(_xlfn.WEIBULL.DIST(AD$2,$M23,$L23,FALSE)*$U23*((1+Inputs!$D$7)^AD$2))),IF($N23=Lists!$K$3,IF($L23&lt;1,((($T23*(1-$F23)+$S23*(1-$G23))/$L23)*((1+Inputs!$D$7)^AD$2)),((INT(AD$2/$L23)-INT((AD$2-1)/$L23))*($T23*(1-$F23)+$S23*(1-$G23))*((1+Inputs!$D$7)^AD$2))),((_xlfn.WEIBULL.DIST(AD$2,$M23,$L23,FALSE)*($T23*(1-$F23)+$S23*(1-$G23))*((1+Inputs!$D$7)^AD$2))))))</f>
        <v>0.169224131525673</v>
      </c>
      <c r="AE23" s="88">
        <f>$E23*IF(AE$2&gt;Inputs!$D$5,0,IF(AE$2&gt;VLOOKUP($H23,Lists!$P$3:$Q$7,2),IF($N23=Lists!$K$3,IF($L23&lt;1,(($U23/$L23)*((1+Inputs!$D$7)^AE$2)),((INT(AE$2/$L23)-INT((AE$2-1)/$L23))*$U23*((1+Inputs!$D$7)^AE$2))),(_xlfn.WEIBULL.DIST(AE$2,$M23,$L23,FALSE)*$U23*((1+Inputs!$D$7)^AE$2))),IF($N23=Lists!$K$3,IF($L23&lt;1,((($T23*(1-$F23)+$S23*(1-$G23))/$L23)*((1+Inputs!$D$7)^AE$2)),((INT(AE$2/$L23)-INT((AE$2-1)/$L23))*($T23*(1-$F23)+$S23*(1-$G23))*((1+Inputs!$D$7)^AE$2))),((_xlfn.WEIBULL.DIST(AE$2,$M23,$L23,FALSE)*($T23*(1-$F23)+$S23*(1-$G23))*((1+Inputs!$D$7)^AE$2))))))</f>
        <v>0.2686500996859762</v>
      </c>
      <c r="AF23" s="88">
        <f>$E23*IF(AF$2&gt;Inputs!$D$5,0,IF(AF$2&gt;VLOOKUP($H23,Lists!$P$3:$Q$7,2),IF($N23=Lists!$K$3,IF($L23&lt;1,(($U23/$L23)*((1+Inputs!$D$7)^AF$2)),((INT(AF$2/$L23)-INT((AF$2-1)/$L23))*$U23*((1+Inputs!$D$7)^AF$2))),(_xlfn.WEIBULL.DIST(AF$2,$M23,$L23,FALSE)*$U23*((1+Inputs!$D$7)^AF$2))),IF($N23=Lists!$K$3,IF($L23&lt;1,((($T23*(1-$F23)+$S23*(1-$G23))/$L23)*((1+Inputs!$D$7)^AF$2)),((INT(AF$2/$L23)-INT((AF$2-1)/$L23))*($T23*(1-$F23)+$S23*(1-$G23))*((1+Inputs!$D$7)^AF$2))),((_xlfn.WEIBULL.DIST(AF$2,$M23,$L23,FALSE)*($T23*(1-$F23)+$S23*(1-$G23))*((1+Inputs!$D$7)^AF$2))))))</f>
        <v>0.39230183436220312</v>
      </c>
      <c r="AG23" s="88">
        <f>$E23*IF(AG$2&gt;Inputs!$D$5,0,IF(AG$2&gt;VLOOKUP($H23,Lists!$P$3:$Q$7,2),IF($N23=Lists!$K$3,IF($L23&lt;1,(($U23/$L23)*((1+Inputs!$D$7)^AG$2)),((INT(AG$2/$L23)-INT((AG$2-1)/$L23))*$U23*((1+Inputs!$D$7)^AG$2))),(_xlfn.WEIBULL.DIST(AG$2,$M23,$L23,FALSE)*$U23*((1+Inputs!$D$7)^AG$2))),IF($N23=Lists!$K$3,IF($L23&lt;1,((($T23*(1-$F23)+$S23*(1-$G23))/$L23)*((1+Inputs!$D$7)^AG$2)),((INT(AG$2/$L23)-INT((AG$2-1)/$L23))*($T23*(1-$F23)+$S23*(1-$G23))*((1+Inputs!$D$7)^AG$2))),((_xlfn.WEIBULL.DIST(AG$2,$M23,$L23,FALSE)*($T23*(1-$F23)+$S23*(1-$G23))*((1+Inputs!$D$7)^AG$2))))))</f>
        <v>0.54023677521203806</v>
      </c>
      <c r="AH23" s="88">
        <f>$E23*IF(AH$2&gt;Inputs!$D$5,0,IF(AH$2&gt;VLOOKUP($H23,Lists!$P$3:$Q$7,2),IF($N23=Lists!$K$3,IF($L23&lt;1,(($U23/$L23)*((1+Inputs!$D$7)^AH$2)),((INT(AH$2/$L23)-INT((AH$2-1)/$L23))*$U23*((1+Inputs!$D$7)^AH$2))),(_xlfn.WEIBULL.DIST(AH$2,$M23,$L23,FALSE)*$U23*((1+Inputs!$D$7)^AH$2))),IF($N23=Lists!$K$3,IF($L23&lt;1,((($T23*(1-$F23)+$S23*(1-$G23))/$L23)*((1+Inputs!$D$7)^AH$2)),((INT(AH$2/$L23)-INT((AH$2-1)/$L23))*($T23*(1-$F23)+$S23*(1-$G23))*((1+Inputs!$D$7)^AH$2))),((_xlfn.WEIBULL.DIST(AH$2,$M23,$L23,FALSE)*($T23*(1-$F23)+$S23*(1-$G23))*((1+Inputs!$D$7)^AH$2))))))</f>
        <v>0.71198506040700271</v>
      </c>
      <c r="AI23" s="88">
        <f>$E23*IF(AI$2&gt;Inputs!$D$5,0,IF(AI$2&gt;VLOOKUP($H23,Lists!$P$3:$Q$7,2),IF($N23=Lists!$K$3,IF($L23&lt;1,(($U23/$L23)*((1+Inputs!$D$7)^AI$2)),((INT(AI$2/$L23)-INT((AI$2-1)/$L23))*$U23*((1+Inputs!$D$7)^AI$2))),(_xlfn.WEIBULL.DIST(AI$2,$M23,$L23,FALSE)*$U23*((1+Inputs!$D$7)^AI$2))),IF($N23=Lists!$K$3,IF($L23&lt;1,((($T23*(1-$F23)+$S23*(1-$G23))/$L23)*((1+Inputs!$D$7)^AI$2)),((INT(AI$2/$L23)-INT((AI$2-1)/$L23))*($T23*(1-$F23)+$S23*(1-$G23))*((1+Inputs!$D$7)^AI$2))),((_xlfn.WEIBULL.DIST(AI$2,$M23,$L23,FALSE)*($T23*(1-$F23)+$S23*(1-$G23))*((1+Inputs!$D$7)^AI$2))))))</f>
        <v>0.90645159150159571</v>
      </c>
      <c r="AJ23" s="88">
        <f>$E23*IF(AJ$2&gt;Inputs!$D$5,0,IF(AJ$2&gt;VLOOKUP($H23,Lists!$P$3:$Q$7,2),IF($N23=Lists!$K$3,IF($L23&lt;1,(($U23/$L23)*((1+Inputs!$D$7)^AJ$2)),((INT(AJ$2/$L23)-INT((AJ$2-1)/$L23))*$U23*((1+Inputs!$D$7)^AJ$2))),(_xlfn.WEIBULL.DIST(AJ$2,$M23,$L23,FALSE)*$U23*((1+Inputs!$D$7)^AJ$2))),IF($N23=Lists!$K$3,IF($L23&lt;1,((($T23*(1-$F23)+$S23*(1-$G23))/$L23)*((1+Inputs!$D$7)^AJ$2)),((INT(AJ$2/$L23)-INT((AJ$2-1)/$L23))*($T23*(1-$F23)+$S23*(1-$G23))*((1+Inputs!$D$7)^AJ$2))),((_xlfn.WEIBULL.DIST(AJ$2,$M23,$L23,FALSE)*($T23*(1-$F23)+$S23*(1-$G23))*((1+Inputs!$D$7)^AJ$2))))))</f>
        <v>1.1218308148826173</v>
      </c>
      <c r="AK23" s="88">
        <f>$E23*IF(AK$2&gt;Inputs!$D$5,0,IF(AK$2&gt;VLOOKUP($H23,Lists!$P$3:$Q$7,2),IF($N23=Lists!$K$3,IF($L23&lt;1,(($U23/$L23)*((1+Inputs!$D$7)^AK$2)),((INT(AK$2/$L23)-INT((AK$2-1)/$L23))*$U23*((1+Inputs!$D$7)^AK$2))),(_xlfn.WEIBULL.DIST(AK$2,$M23,$L23,FALSE)*$U23*((1+Inputs!$D$7)^AK$2))),IF($N23=Lists!$K$3,IF($L23&lt;1,((($T23*(1-$F23)+$S23*(1-$G23))/$L23)*((1+Inputs!$D$7)^AK$2)),((INT(AK$2/$L23)-INT((AK$2-1)/$L23))*($T23*(1-$F23)+$S23*(1-$G23))*((1+Inputs!$D$7)^AK$2))),((_xlfn.WEIBULL.DIST(AK$2,$M23,$L23,FALSE)*($T23*(1-$F23)+$S23*(1-$G23))*((1+Inputs!$D$7)^AK$2))))))</f>
        <v>1.3555414840915012</v>
      </c>
      <c r="AL23" s="88">
        <f>$E23*IF(AL$2&gt;Inputs!$D$5,0,IF(AL$2&gt;VLOOKUP($H23,Lists!$P$3:$Q$7,2),IF($N23=Lists!$K$3,IF($L23&lt;1,(($U23/$L23)*((1+Inputs!$D$7)^AL$2)),((INT(AL$2/$L23)-INT((AL$2-1)/$L23))*$U23*((1+Inputs!$D$7)^AL$2))),(_xlfn.WEIBULL.DIST(AL$2,$M23,$L23,FALSE)*$U23*((1+Inputs!$D$7)^AL$2))),IF($N23=Lists!$K$3,IF($L23&lt;1,((($T23*(1-$F23)+$S23*(1-$G23))/$L23)*((1+Inputs!$D$7)^AL$2)),((INT(AL$2/$L23)-INT((AL$2-1)/$L23))*($T23*(1-$F23)+$S23*(1-$G23))*((1+Inputs!$D$7)^AL$2))),((_xlfn.WEIBULL.DIST(AL$2,$M23,$L23,FALSE)*($T23*(1-$F23)+$S23*(1-$G23))*((1+Inputs!$D$7)^AL$2))))))</f>
        <v>1.6041890675516159</v>
      </c>
      <c r="AM23" s="88">
        <f>$E23*IF(AM$2&gt;Inputs!$D$5,0,IF(AM$2&gt;VLOOKUP($H23,Lists!$P$3:$Q$7,2),IF($N23=Lists!$K$3,IF($L23&lt;1,(($U23/$L23)*((1+Inputs!$D$7)^AM$2)),((INT(AM$2/$L23)-INT((AM$2-1)/$L23))*$U23*((1+Inputs!$D$7)^AM$2))),(_xlfn.WEIBULL.DIST(AM$2,$M23,$L23,FALSE)*$U23*((1+Inputs!$D$7)^AM$2))),IF($N23=Lists!$K$3,IF($L23&lt;1,((($T23*(1-$F23)+$S23*(1-$G23))/$L23)*((1+Inputs!$D$7)^AM$2)),((INT(AM$2/$L23)-INT((AM$2-1)/$L23))*($T23*(1-$F23)+$S23*(1-$G23))*((1+Inputs!$D$7)^AM$2))),((_xlfn.WEIBULL.DIST(AM$2,$M23,$L23,FALSE)*($T23*(1-$F23)+$S23*(1-$G23))*((1+Inputs!$D$7)^AM$2))))))</f>
        <v>1.8635633185986518</v>
      </c>
      <c r="AN23" s="88">
        <f>$E23*IF(AN$2&gt;Inputs!$D$5,0,IF(AN$2&gt;VLOOKUP($H23,Lists!$P$3:$Q$7,2),IF($N23=Lists!$K$3,IF($L23&lt;1,(($U23/$L23)*((1+Inputs!$D$7)^AN$2)),((INT(AN$2/$L23)-INT((AN$2-1)/$L23))*$U23*((1+Inputs!$D$7)^AN$2))),(_xlfn.WEIBULL.DIST(AN$2,$M23,$L23,FALSE)*$U23*((1+Inputs!$D$7)^AN$2))),IF($N23=Lists!$K$3,IF($L23&lt;1,((($T23*(1-$F23)+$S23*(1-$G23))/$L23)*((1+Inputs!$D$7)^AN$2)),((INT(AN$2/$L23)-INT((AN$2-1)/$L23))*($T23*(1-$F23)+$S23*(1-$G23))*((1+Inputs!$D$7)^AN$2))),((_xlfn.WEIBULL.DIST(AN$2,$M23,$L23,FALSE)*($T23*(1-$F23)+$S23*(1-$G23))*((1+Inputs!$D$7)^AN$2))))))</f>
        <v>2.1286777009767728</v>
      </c>
      <c r="AO23" s="88">
        <f>$E23*IF(AO$2&gt;Inputs!$D$5,0,IF(AO$2&gt;VLOOKUP($H23,Lists!$P$3:$Q$7,2),IF($N23=Lists!$K$3,IF($L23&lt;1,(($U23/$L23)*((1+Inputs!$D$7)^AO$2)),((INT(AO$2/$L23)-INT((AO$2-1)/$L23))*$U23*((1+Inputs!$D$7)^AO$2))),(_xlfn.WEIBULL.DIST(AO$2,$M23,$L23,FALSE)*$U23*((1+Inputs!$D$7)^AO$2))),IF($N23=Lists!$K$3,IF($L23&lt;1,((($T23*(1-$F23)+$S23*(1-$G23))/$L23)*((1+Inputs!$D$7)^AO$2)),((INT(AO$2/$L23)-INT((AO$2-1)/$L23))*($T23*(1-$F23)+$S23*(1-$G23))*((1+Inputs!$D$7)^AO$2))),((_xlfn.WEIBULL.DIST(AO$2,$M23,$L23,FALSE)*($T23*(1-$F23)+$S23*(1-$G23))*((1+Inputs!$D$7)^AO$2))))))</f>
        <v>2.3938557716322251</v>
      </c>
      <c r="AP23" s="88">
        <f>$E23*IF(AP$2&gt;Inputs!$D$5,0,IF(AP$2&gt;VLOOKUP($H23,Lists!$P$3:$Q$7,2),IF($N23=Lists!$K$3,IF($L23&lt;1,(($U23/$L23)*((1+Inputs!$D$7)^AP$2)),((INT(AP$2/$L23)-INT((AP$2-1)/$L23))*$U23*((1+Inputs!$D$7)^AP$2))),(_xlfn.WEIBULL.DIST(AP$2,$M23,$L23,FALSE)*$U23*((1+Inputs!$D$7)^AP$2))),IF($N23=Lists!$K$3,IF($L23&lt;1,((($T23*(1-$F23)+$S23*(1-$G23))/$L23)*((1+Inputs!$D$7)^AP$2)),((INT(AP$2/$L23)-INT((AP$2-1)/$L23))*($T23*(1-$F23)+$S23*(1-$G23))*((1+Inputs!$D$7)^AP$2))),((_xlfn.WEIBULL.DIST(AP$2,$M23,$L23,FALSE)*($T23*(1-$F23)+$S23*(1-$G23))*((1+Inputs!$D$7)^AP$2))))))</f>
        <v>2.6528672312020416</v>
      </c>
      <c r="AQ23" s="88">
        <f>$E23*IF(AQ$2&gt;Inputs!$D$5,0,IF(AQ$2&gt;VLOOKUP($H23,Lists!$P$3:$Q$7,2),IF($N23=Lists!$K$3,IF($L23&lt;1,(($U23/$L23)*((1+Inputs!$D$7)^AQ$2)),((INT(AQ$2/$L23)-INT((AQ$2-1)/$L23))*$U23*((1+Inputs!$D$7)^AQ$2))),(_xlfn.WEIBULL.DIST(AQ$2,$M23,$L23,FALSE)*$U23*((1+Inputs!$D$7)^AQ$2))),IF($N23=Lists!$K$3,IF($L23&lt;1,((($T23*(1-$F23)+$S23*(1-$G23))/$L23)*((1+Inputs!$D$7)^AQ$2)),((INT(AQ$2/$L23)-INT((AQ$2-1)/$L23))*($T23*(1-$F23)+$S23*(1-$G23))*((1+Inputs!$D$7)^AQ$2))),((_xlfn.WEIBULL.DIST(AQ$2,$M23,$L23,FALSE)*($T23*(1-$F23)+$S23*(1-$G23))*((1+Inputs!$D$7)^AQ$2))))))</f>
        <v>2.899113208491241</v>
      </c>
      <c r="AR23" s="88">
        <f>$E23*IF(AR$2&gt;Inputs!$D$5,0,IF(AR$2&gt;VLOOKUP($H23,Lists!$P$3:$Q$7,2),IF($N23=Lists!$K$3,IF($L23&lt;1,(($U23/$L23)*((1+Inputs!$D$7)^AR$2)),((INT(AR$2/$L23)-INT((AR$2-1)/$L23))*$U23*((1+Inputs!$D$7)^AR$2))),(_xlfn.WEIBULL.DIST(AR$2,$M23,$L23,FALSE)*$U23*((1+Inputs!$D$7)^AR$2))),IF($N23=Lists!$K$3,IF($L23&lt;1,((($T23*(1-$F23)+$S23*(1-$G23))/$L23)*((1+Inputs!$D$7)^AR$2)),((INT(AR$2/$L23)-INT((AR$2-1)/$L23))*($T23*(1-$F23)+$S23*(1-$G23))*((1+Inputs!$D$7)^AR$2))),((_xlfn.WEIBULL.DIST(AR$2,$M23,$L23,FALSE)*($T23*(1-$F23)+$S23*(1-$G23))*((1+Inputs!$D$7)^AR$2))))))</f>
        <v>3.1258565918827355</v>
      </c>
      <c r="AS23" s="88">
        <f>$E23*IF(AS$2&gt;Inputs!$D$5,0,IF(AS$2&gt;VLOOKUP($H23,Lists!$P$3:$Q$7,2),IF($N23=Lists!$K$3,IF($L23&lt;1,(($U23/$L23)*((1+Inputs!$D$7)^AS$2)),((INT(AS$2/$L23)-INT((AS$2-1)/$L23))*$U23*((1+Inputs!$D$7)^AS$2))),(_xlfn.WEIBULL.DIST(AS$2,$M23,$L23,FALSE)*$U23*((1+Inputs!$D$7)^AS$2))),IF($N23=Lists!$K$3,IF($L23&lt;1,((($T23*(1-$F23)+$S23*(1-$G23))/$L23)*((1+Inputs!$D$7)^AS$2)),((INT(AS$2/$L23)-INT((AS$2-1)/$L23))*($T23*(1-$F23)+$S23*(1-$G23))*((1+Inputs!$D$7)^AS$2))),((_xlfn.WEIBULL.DIST(AS$2,$M23,$L23,FALSE)*($T23*(1-$F23)+$S23*(1-$G23))*((1+Inputs!$D$7)^AS$2))))))</f>
        <v>3.3264891046214462</v>
      </c>
      <c r="AT23" s="88">
        <f>$E23*IF(AT$2&gt;Inputs!$D$5,0,IF(AT$2&gt;VLOOKUP($H23,Lists!$P$3:$Q$7,2),IF($N23=Lists!$K$3,IF($L23&lt;1,(($U23/$L23)*((1+Inputs!$D$7)^AT$2)),((INT(AT$2/$L23)-INT((AT$2-1)/$L23))*$U23*((1+Inputs!$D$7)^AT$2))),(_xlfn.WEIBULL.DIST(AT$2,$M23,$L23,FALSE)*$U23*((1+Inputs!$D$7)^AT$2))),IF($N23=Lists!$K$3,IF($L23&lt;1,((($T23*(1-$F23)+$S23*(1-$G23))/$L23)*((1+Inputs!$D$7)^AT$2)),((INT(AT$2/$L23)-INT((AT$2-1)/$L23))*($T23*(1-$F23)+$S23*(1-$G23))*((1+Inputs!$D$7)^AT$2))),((_xlfn.WEIBULL.DIST(AT$2,$M23,$L23,FALSE)*($T23*(1-$F23)+$S23*(1-$G23))*((1+Inputs!$D$7)^AT$2))))))</f>
        <v>3.4948226865536154</v>
      </c>
      <c r="AU23" s="88">
        <f>$E23*IF(AU$2&gt;Inputs!$D$5,0,IF(AU$2&gt;VLOOKUP($H23,Lists!$P$3:$Q$7,2),IF($N23=Lists!$K$3,IF($L23&lt;1,(($U23/$L23)*((1+Inputs!$D$7)^AU$2)),((INT(AU$2/$L23)-INT((AU$2-1)/$L23))*$U23*((1+Inputs!$D$7)^AU$2))),(_xlfn.WEIBULL.DIST(AU$2,$M23,$L23,FALSE)*$U23*((1+Inputs!$D$7)^AU$2))),IF($N23=Lists!$K$3,IF($L23&lt;1,((($T23*(1-$F23)+$S23*(1-$G23))/$L23)*((1+Inputs!$D$7)^AU$2)),((INT(AU$2/$L23)-INT((AU$2-1)/$L23))*($T23*(1-$F23)+$S23*(1-$G23))*((1+Inputs!$D$7)^AU$2))),((_xlfn.WEIBULL.DIST(AU$2,$M23,$L23,FALSE)*($T23*(1-$F23)+$S23*(1-$G23))*((1+Inputs!$D$7)^AU$2))))))</f>
        <v>3.6253890133365561</v>
      </c>
      <c r="AV23" s="88">
        <f>$E23*IF(AV$2&gt;Inputs!$D$5,0,IF(AV$2&gt;VLOOKUP($H23,Lists!$P$3:$Q$7,2),IF($N23=Lists!$K$3,IF($L23&lt;1,(($U23/$L23)*((1+Inputs!$D$7)^AV$2)),((INT(AV$2/$L23)-INT((AV$2-1)/$L23))*$U23*((1+Inputs!$D$7)^AV$2))),(_xlfn.WEIBULL.DIST(AV$2,$M23,$L23,FALSE)*$U23*((1+Inputs!$D$7)^AV$2))),IF($N23=Lists!$K$3,IF($L23&lt;1,((($T23*(1-$F23)+$S23*(1-$G23))/$L23)*((1+Inputs!$D$7)^AV$2)),((INT(AV$2/$L23)-INT((AV$2-1)/$L23))*($T23*(1-$F23)+$S23*(1-$G23))*((1+Inputs!$D$7)^AV$2))),((_xlfn.WEIBULL.DIST(AV$2,$M23,$L23,FALSE)*($T23*(1-$F23)+$S23*(1-$G23))*((1+Inputs!$D$7)^AV$2))))))</f>
        <v>3.7137281162134923</v>
      </c>
      <c r="AW23" s="88">
        <f>$E23*IF(AW$2&gt;Inputs!$D$5,0,IF(AW$2&gt;VLOOKUP($H23,Lists!$P$3:$Q$7,2),IF($N23=Lists!$K$3,IF($L23&lt;1,(($U23/$L23)*((1+Inputs!$D$7)^AW$2)),((INT(AW$2/$L23)-INT((AW$2-1)/$L23))*$U23*((1+Inputs!$D$7)^AW$2))),(_xlfn.WEIBULL.DIST(AW$2,$M23,$L23,FALSE)*$U23*((1+Inputs!$D$7)^AW$2))),IF($N23=Lists!$K$3,IF($L23&lt;1,((($T23*(1-$F23)+$S23*(1-$G23))/$L23)*((1+Inputs!$D$7)^AW$2)),((INT(AW$2/$L23)-INT((AW$2-1)/$L23))*($T23*(1-$F23)+$S23*(1-$G23))*((1+Inputs!$D$7)^AW$2))),((_xlfn.WEIBULL.DIST(AW$2,$M23,$L23,FALSE)*($T23*(1-$F23)+$S23*(1-$G23))*((1+Inputs!$D$7)^AW$2))))))</f>
        <v>3.7566455099046689</v>
      </c>
      <c r="AX23" s="88">
        <f>$E23*IF(AX$2&gt;Inputs!$D$5,0,IF(AX$2&gt;VLOOKUP($H23,Lists!$P$3:$Q$7,2),IF($N23=Lists!$K$3,IF($L23&lt;1,(($U23/$L23)*((1+Inputs!$D$7)^AX$2)),((INT(AX$2/$L23)-INT((AX$2-1)/$L23))*$U23*((1+Inputs!$D$7)^AX$2))),(_xlfn.WEIBULL.DIST(AX$2,$M23,$L23,FALSE)*$U23*((1+Inputs!$D$7)^AX$2))),IF($N23=Lists!$K$3,IF($L23&lt;1,((($T23*(1-$F23)+$S23*(1-$G23))/$L23)*((1+Inputs!$D$7)^AX$2)),((INT(AX$2/$L23)-INT((AX$2-1)/$L23))*($T23*(1-$F23)+$S23*(1-$G23))*((1+Inputs!$D$7)^AX$2))),((_xlfn.WEIBULL.DIST(AX$2,$M23,$L23,FALSE)*($T23*(1-$F23)+$S23*(1-$G23))*((1+Inputs!$D$7)^AX$2))))))</f>
        <v>3.7524173678010886</v>
      </c>
      <c r="AY23" s="88">
        <f>$E23*IF(AY$2&gt;Inputs!$D$5,0,IF(AY$2&gt;VLOOKUP($H23,Lists!$P$3:$Q$7,2),IF($N23=Lists!$K$3,IF($L23&lt;1,(($U23/$L23)*((1+Inputs!$D$7)^AY$2)),((INT(AY$2/$L23)-INT((AY$2-1)/$L23))*$U23*((1+Inputs!$D$7)^AY$2))),(_xlfn.WEIBULL.DIST(AY$2,$M23,$L23,FALSE)*$U23*((1+Inputs!$D$7)^AY$2))),IF($N23=Lists!$K$3,IF($L23&lt;1,((($T23*(1-$F23)+$S23*(1-$G23))/$L23)*((1+Inputs!$D$7)^AY$2)),((INT(AY$2/$L23)-INT((AY$2-1)/$L23))*($T23*(1-$F23)+$S23*(1-$G23))*((1+Inputs!$D$7)^AY$2))),((_xlfn.WEIBULL.DIST(AY$2,$M23,$L23,FALSE)*($T23*(1-$F23)+$S23*(1-$G23))*((1+Inputs!$D$7)^AY$2))))))</f>
        <v>3.7009253391589465</v>
      </c>
      <c r="AZ23" s="88">
        <f>$E23*IF(AZ$2&gt;Inputs!$D$5,0,IF(AZ$2&gt;VLOOKUP($H23,Lists!$P$3:$Q$7,2),IF($N23=Lists!$K$3,IF($L23&lt;1,(($U23/$L23)*((1+Inputs!$D$7)^AZ$2)),((INT(AZ$2/$L23)-INT((AZ$2-1)/$L23))*$U23*((1+Inputs!$D$7)^AZ$2))),(_xlfn.WEIBULL.DIST(AZ$2,$M23,$L23,FALSE)*$U23*((1+Inputs!$D$7)^AZ$2))),IF($N23=Lists!$K$3,IF($L23&lt;1,((($T23*(1-$F23)+$S23*(1-$G23))/$L23)*((1+Inputs!$D$7)^AZ$2)),((INT(AZ$2/$L23)-INT((AZ$2-1)/$L23))*($T23*(1-$F23)+$S23*(1-$G23))*((1+Inputs!$D$7)^AZ$2))),((_xlfn.WEIBULL.DIST(AZ$2,$M23,$L23,FALSE)*($T23*(1-$F23)+$S23*(1-$G23))*((1+Inputs!$D$7)^AZ$2))))))</f>
        <v>0</v>
      </c>
      <c r="BA23" s="88">
        <f>$E23*IF(BA$2&gt;Inputs!$D$5,0,IF(BA$2&gt;VLOOKUP($H23,Lists!$P$3:$Q$7,2),IF($N23=Lists!$K$3,IF($L23&lt;1,(($U23/$L23)*((1+Inputs!$D$7)^BA$2)),((INT(BA$2/$L23)-INT((BA$2-1)/$L23))*$U23*((1+Inputs!$D$7)^BA$2))),(_xlfn.WEIBULL.DIST(BA$2,$M23,$L23,FALSE)*$U23*((1+Inputs!$D$7)^BA$2))),IF($N23=Lists!$K$3,IF($L23&lt;1,((($T23*(1-$F23)+$S23*(1-$G23))/$L23)*((1+Inputs!$D$7)^BA$2)),((INT(BA$2/$L23)-INT((BA$2-1)/$L23))*($T23*(1-$F23)+$S23*(1-$G23))*((1+Inputs!$D$7)^BA$2))),((_xlfn.WEIBULL.DIST(BA$2,$M23,$L23,FALSE)*($T23*(1-$F23)+$S23*(1-$G23))*((1+Inputs!$D$7)^BA$2))))))</f>
        <v>0</v>
      </c>
      <c r="BB23" s="88">
        <f>$E23*IF(BB$2&gt;Inputs!$D$5,0,IF(BB$2&gt;VLOOKUP($H23,Lists!$P$3:$Q$7,2),IF($N23=Lists!$K$3,IF($L23&lt;1,(($U23/$L23)*((1+Inputs!$D$7)^BB$2)),((INT(BB$2/$L23)-INT((BB$2-1)/$L23))*$U23*((1+Inputs!$D$7)^BB$2))),(_xlfn.WEIBULL.DIST(BB$2,$M23,$L23,FALSE)*$U23*((1+Inputs!$D$7)^BB$2))),IF($N23=Lists!$K$3,IF($L23&lt;1,((($T23*(1-$F23)+$S23*(1-$G23))/$L23)*((1+Inputs!$D$7)^BB$2)),((INT(BB$2/$L23)-INT((BB$2-1)/$L23))*($T23*(1-$F23)+$S23*(1-$G23))*((1+Inputs!$D$7)^BB$2))),((_xlfn.WEIBULL.DIST(BB$2,$M23,$L23,FALSE)*($T23*(1-$F23)+$S23*(1-$G23))*((1+Inputs!$D$7)^BB$2))))))</f>
        <v>0</v>
      </c>
      <c r="BC23" s="88">
        <f>$E23*IF(BC$2&gt;Inputs!$D$5,0,IF(BC$2&gt;VLOOKUP($H23,Lists!$P$3:$Q$7,2),IF($N23=Lists!$K$3,IF($L23&lt;1,(($U23/$L23)*((1+Inputs!$D$7)^BC$2)),((INT(BC$2/$L23)-INT((BC$2-1)/$L23))*$U23*((1+Inputs!$D$7)^BC$2))),(_xlfn.WEIBULL.DIST(BC$2,$M23,$L23,FALSE)*$U23*((1+Inputs!$D$7)^BC$2))),IF($N23=Lists!$K$3,IF($L23&lt;1,((($T23*(1-$F23)+$S23*(1-$G23))/$L23)*((1+Inputs!$D$7)^BC$2)),((INT(BC$2/$L23)-INT((BC$2-1)/$L23))*($T23*(1-$F23)+$S23*(1-$G23))*((1+Inputs!$D$7)^BC$2))),((_xlfn.WEIBULL.DIST(BC$2,$M23,$L23,FALSE)*($T23*(1-$F23)+$S23*(1-$G23))*((1+Inputs!$D$7)^BC$2))))))</f>
        <v>0</v>
      </c>
      <c r="BD23" s="88">
        <f>$E23*IF(BD$2&gt;Inputs!$D$5,0,IF(BD$2&gt;VLOOKUP($H23,Lists!$P$3:$Q$7,2),IF($N23=Lists!$K$3,IF($L23&lt;1,(($U23/$L23)*((1+Inputs!$D$7)^BD$2)),((INT(BD$2/$L23)-INT((BD$2-1)/$L23))*$U23*((1+Inputs!$D$7)^BD$2))),(_xlfn.WEIBULL.DIST(BD$2,$M23,$L23,FALSE)*$U23*((1+Inputs!$D$7)^BD$2))),IF($N23=Lists!$K$3,IF($L23&lt;1,((($T23*(1-$F23)+$S23*(1-$G23))/$L23)*((1+Inputs!$D$7)^BD$2)),((INT(BD$2/$L23)-INT((BD$2-1)/$L23))*($T23*(1-$F23)+$S23*(1-$G23))*((1+Inputs!$D$7)^BD$2))),((_xlfn.WEIBULL.DIST(BD$2,$M23,$L23,FALSE)*($T23*(1-$F23)+$S23*(1-$G23))*((1+Inputs!$D$7)^BD$2))))))</f>
        <v>0</v>
      </c>
      <c r="BE23" s="88">
        <f>$E23*IF(BE$2&gt;Inputs!$D$5,0,IF(BE$2&gt;VLOOKUP($H23,Lists!$P$3:$Q$7,2),IF($N23=Lists!$K$3,IF($L23&lt;1,(($U23/$L23)*((1+Inputs!$D$7)^BE$2)),((INT(BE$2/$L23)-INT((BE$2-1)/$L23))*$U23*((1+Inputs!$D$7)^BE$2))),(_xlfn.WEIBULL.DIST(BE$2,$M23,$L23,FALSE)*$U23*((1+Inputs!$D$7)^BE$2))),IF($N23=Lists!$K$3,IF($L23&lt;1,((($T23*(1-$F23)+$S23*(1-$G23))/$L23)*((1+Inputs!$D$7)^BE$2)),((INT(BE$2/$L23)-INT((BE$2-1)/$L23))*($T23*(1-$F23)+$S23*(1-$G23))*((1+Inputs!$D$7)^BE$2))),((_xlfn.WEIBULL.DIST(BE$2,$M23,$L23,FALSE)*($T23*(1-$F23)+$S23*(1-$G23))*((1+Inputs!$D$7)^BE$2))))))</f>
        <v>0</v>
      </c>
      <c r="BF23" s="88">
        <f>$E23*IF(BF$2&gt;Inputs!$D$5,0,IF(BF$2&gt;VLOOKUP($H23,Lists!$P$3:$Q$7,2),IF($N23=Lists!$K$3,IF($L23&lt;1,(($U23/$L23)*((1+Inputs!$D$7)^BF$2)),((INT(BF$2/$L23)-INT((BF$2-1)/$L23))*$U23*((1+Inputs!$D$7)^BF$2))),(_xlfn.WEIBULL.DIST(BF$2,$M23,$L23,FALSE)*$U23*((1+Inputs!$D$7)^BF$2))),IF($N23=Lists!$K$3,IF($L23&lt;1,((($T23*(1-$F23)+$S23*(1-$G23))/$L23)*((1+Inputs!$D$7)^BF$2)),((INT(BF$2/$L23)-INT((BF$2-1)/$L23))*($T23*(1-$F23)+$S23*(1-$G23))*((1+Inputs!$D$7)^BF$2))),((_xlfn.WEIBULL.DIST(BF$2,$M23,$L23,FALSE)*($T23*(1-$F23)+$S23*(1-$G23))*((1+Inputs!$D$7)^BF$2))))))</f>
        <v>0</v>
      </c>
      <c r="BG23" s="88">
        <f>$E23*IF(BG$2&gt;Inputs!$D$5,0,IF(BG$2&gt;VLOOKUP($H23,Lists!$P$3:$Q$7,2),IF($N23=Lists!$K$3,IF($L23&lt;1,(($U23/$L23)*((1+Inputs!$D$7)^BG$2)),((INT(BG$2/$L23)-INT((BG$2-1)/$L23))*$U23*((1+Inputs!$D$7)^BG$2))),(_xlfn.WEIBULL.DIST(BG$2,$M23,$L23,FALSE)*$U23*((1+Inputs!$D$7)^BG$2))),IF($N23=Lists!$K$3,IF($L23&lt;1,((($T23*(1-$F23)+$S23*(1-$G23))/$L23)*((1+Inputs!$D$7)^BG$2)),((INT(BG$2/$L23)-INT((BG$2-1)/$L23))*($T23*(1-$F23)+$S23*(1-$G23))*((1+Inputs!$D$7)^BG$2))),((_xlfn.WEIBULL.DIST(BG$2,$M23,$L23,FALSE)*($T23*(1-$F23)+$S23*(1-$G23))*((1+Inputs!$D$7)^BG$2))))))</f>
        <v>0</v>
      </c>
      <c r="BH23" s="88">
        <f>$E23*IF(BH$2&gt;Inputs!$D$5,0,IF(BH$2&gt;VLOOKUP($H23,Lists!$P$3:$Q$7,2),IF($N23=Lists!$K$3,IF($L23&lt;1,(($U23/$L23)*((1+Inputs!$D$7)^BH$2)),((INT(BH$2/$L23)-INT((BH$2-1)/$L23))*$U23*((1+Inputs!$D$7)^BH$2))),(_xlfn.WEIBULL.DIST(BH$2,$M23,$L23,FALSE)*$U23*((1+Inputs!$D$7)^BH$2))),IF($N23=Lists!$K$3,IF($L23&lt;1,((($T23*(1-$F23)+$S23*(1-$G23))/$L23)*((1+Inputs!$D$7)^BH$2)),((INT(BH$2/$L23)-INT((BH$2-1)/$L23))*($T23*(1-$F23)+$S23*(1-$G23))*((1+Inputs!$D$7)^BH$2))),((_xlfn.WEIBULL.DIST(BH$2,$M23,$L23,FALSE)*($T23*(1-$F23)+$S23*(1-$G23))*((1+Inputs!$D$7)^BH$2))))))</f>
        <v>0</v>
      </c>
      <c r="BI23" s="88">
        <f>$E23*IF(BI$2&gt;Inputs!$D$5,0,IF(BI$2&gt;VLOOKUP($H23,Lists!$P$3:$Q$7,2),IF($N23=Lists!$K$3,IF($L23&lt;1,(($U23/$L23)*((1+Inputs!$D$7)^BI$2)),((INT(BI$2/$L23)-INT((BI$2-1)/$L23))*$U23*((1+Inputs!$D$7)^BI$2))),(_xlfn.WEIBULL.DIST(BI$2,$M23,$L23,FALSE)*$U23*((1+Inputs!$D$7)^BI$2))),IF($N23=Lists!$K$3,IF($L23&lt;1,((($T23*(1-$F23)+$S23*(1-$G23))/$L23)*((1+Inputs!$D$7)^BI$2)),((INT(BI$2/$L23)-INT((BI$2-1)/$L23))*($T23*(1-$F23)+$S23*(1-$G23))*((1+Inputs!$D$7)^BI$2))),((_xlfn.WEIBULL.DIST(BI$2,$M23,$L23,FALSE)*($T23*(1-$F23)+$S23*(1-$G23))*((1+Inputs!$D$7)^BI$2))))))</f>
        <v>0</v>
      </c>
      <c r="BJ23" s="88">
        <f>$E23*IF(BJ$2&gt;Inputs!$D$5,0,IF(BJ$2&gt;VLOOKUP($H23,Lists!$P$3:$Q$7,2),IF($N23=Lists!$K$3,IF($L23&lt;1,(($U23/$L23)*((1+Inputs!$D$7)^BJ$2)),((INT(BJ$2/$L23)-INT((BJ$2-1)/$L23))*$U23*((1+Inputs!$D$7)^BJ$2))),(_xlfn.WEIBULL.DIST(BJ$2,$M23,$L23,FALSE)*$U23*((1+Inputs!$D$7)^BJ$2))),IF($N23=Lists!$K$3,IF($L23&lt;1,((($T23*(1-$F23)+$S23*(1-$G23))/$L23)*((1+Inputs!$D$7)^BJ$2)),((INT(BJ$2/$L23)-INT((BJ$2-1)/$L23))*($T23*(1-$F23)+$S23*(1-$G23))*((1+Inputs!$D$7)^BJ$2))),((_xlfn.WEIBULL.DIST(BJ$2,$M23,$L23,FALSE)*($T23*(1-$F23)+$S23*(1-$G23))*((1+Inputs!$D$7)^BJ$2))))))</f>
        <v>0</v>
      </c>
      <c r="BK23" s="88">
        <f>$E23*IF(BK$2&gt;Inputs!$D$5,0,IF(BK$2&gt;VLOOKUP($H23,Lists!$P$3:$Q$7,2),IF($N23=Lists!$K$3,IF($L23&lt;1,(($U23/$L23)*((1+Inputs!$D$7)^BK$2)),((INT(BK$2/$L23)-INT((BK$2-1)/$L23))*$U23*((1+Inputs!$D$7)^BK$2))),(_xlfn.WEIBULL.DIST(BK$2,$M23,$L23,FALSE)*$U23*((1+Inputs!$D$7)^BK$2))),IF($N23=Lists!$K$3,IF($L23&lt;1,((($T23*(1-$F23)+$S23*(1-$G23))/$L23)*((1+Inputs!$D$7)^BK$2)),((INT(BK$2/$L23)-INT((BK$2-1)/$L23))*($T23*(1-$F23)+$S23*(1-$G23))*((1+Inputs!$D$7)^BK$2))),((_xlfn.WEIBULL.DIST(BK$2,$M23,$L23,FALSE)*($T23*(1-$F23)+$S23*(1-$G23))*((1+Inputs!$D$7)^BK$2))))))</f>
        <v>0</v>
      </c>
      <c r="BL23" s="88">
        <f>$E23*IF(BL$2&gt;Inputs!$D$5,0,IF(BL$2&gt;VLOOKUP($H23,Lists!$P$3:$Q$7,2),IF($N23=Lists!$K$3,IF($L23&lt;1,(($U23/$L23)*((1+Inputs!$D$7)^BL$2)),((INT(BL$2/$L23)-INT((BL$2-1)/$L23))*$U23*((1+Inputs!$D$7)^BL$2))),(_xlfn.WEIBULL.DIST(BL$2,$M23,$L23,FALSE)*$U23*((1+Inputs!$D$7)^BL$2))),IF($N23=Lists!$K$3,IF($L23&lt;1,((($T23*(1-$F23)+$S23*(1-$G23))/$L23)*((1+Inputs!$D$7)^BL$2)),((INT(BL$2/$L23)-INT((BL$2-1)/$L23))*($T23*(1-$F23)+$S23*(1-$G23))*((1+Inputs!$D$7)^BL$2))),((_xlfn.WEIBULL.DIST(BL$2,$M23,$L23,FALSE)*($T23*(1-$F23)+$S23*(1-$G23))*((1+Inputs!$D$7)^BL$2))))))</f>
        <v>0</v>
      </c>
      <c r="BM23" s="88">
        <f>$E23*IF(BM$2&gt;Inputs!$D$5,0,IF(BM$2&gt;VLOOKUP($H23,Lists!$P$3:$Q$7,2),IF($N23=Lists!$K$3,IF($L23&lt;1,(($U23/$L23)*((1+Inputs!$D$7)^BM$2)),((INT(BM$2/$L23)-INT((BM$2-1)/$L23))*$U23*((1+Inputs!$D$7)^BM$2))),(_xlfn.WEIBULL.DIST(BM$2,$M23,$L23,FALSE)*$U23*((1+Inputs!$D$7)^BM$2))),IF($N23=Lists!$K$3,IF($L23&lt;1,((($T23*(1-$F23)+$S23*(1-$G23))/$L23)*((1+Inputs!$D$7)^BM$2)),((INT(BM$2/$L23)-INT((BM$2-1)/$L23))*($T23*(1-$F23)+$S23*(1-$G23))*((1+Inputs!$D$7)^BM$2))),((_xlfn.WEIBULL.DIST(BM$2,$M23,$L23,FALSE)*($T23*(1-$F23)+$S23*(1-$G23))*((1+Inputs!$D$7)^BM$2))))))</f>
        <v>0</v>
      </c>
      <c r="BN23" s="88">
        <f>$E23*IF(BN$2&gt;Inputs!$D$5,0,IF(BN$2&gt;VLOOKUP($H23,Lists!$P$3:$Q$7,2),IF($N23=Lists!$K$3,IF($L23&lt;1,(($U23/$L23)*((1+Inputs!$D$7)^BN$2)),((INT(BN$2/$L23)-INT((BN$2-1)/$L23))*$U23*((1+Inputs!$D$7)^BN$2))),(_xlfn.WEIBULL.DIST(BN$2,$M23,$L23,FALSE)*$U23*((1+Inputs!$D$7)^BN$2))),IF($N23=Lists!$K$3,IF($L23&lt;1,((($T23*(1-$F23)+$S23*(1-$G23))/$L23)*((1+Inputs!$D$7)^BN$2)),((INT(BN$2/$L23)-INT((BN$2-1)/$L23))*($T23*(1-$F23)+$S23*(1-$G23))*((1+Inputs!$D$7)^BN$2))),((_xlfn.WEIBULL.DIST(BN$2,$M23,$L23,FALSE)*($T23*(1-$F23)+$S23*(1-$G23))*((1+Inputs!$D$7)^BN$2))))))</f>
        <v>0</v>
      </c>
      <c r="BO23" s="64">
        <f>NPV(Inputs!$D$6,BQ23:DD23)</f>
        <v>41.764794662785633</v>
      </c>
      <c r="BP23" s="67">
        <f t="shared" si="6"/>
        <v>1.9698316149811419E-5</v>
      </c>
      <c r="BQ23" s="88">
        <f>MAX(AA23,($E23*IF(BQ$2&gt;Inputs!$D$5,0,IF(BQ$2&gt;VLOOKUP($H23,Lists!$P$3:$Q$7,2),IF($N23=Lists!$K$3,IF($L23&lt;1,(($U23/$L23)*((1+Inputs!$D$7)^BQ$2)),((INT(BQ$2/$L23)-INT((BQ$2-1)/$L23))*$U23*((1+Inputs!$D$7)^BQ$2))),(Inputs!$D$8^((1-_xlfn.WEIBULL.DIST(BQ$2,$M23,$L23,FALSE))/_xlfn.WEIBULL.DIST(BQ$2,$M23,$L23,FALSE))*$U23*((1+Inputs!$D$7)^BQ$2))),IF($N23=Lists!$K$3,IF($L23&lt;1,((($T23*(1-$F23)+$S23*(1-$G23))/$L23)*((1+Inputs!$D$7)^BQ$2)),((INT(BQ$2/$L23)-INT((BQ$2-1)/$L23))*($T23*(1-$F23)+$S23*(1-$G23))*((1+Inputs!$D$7)^BQ$2))),((Inputs!$D$8^((1-_xlfn.WEIBULL.DIST(BQ$2,$M23,$L23,FALSE))/_xlfn.WEIBULL.DIST(BQ$2,$M23,$L23,FALSE))*($T23*(1-$F23)+$S23*(1-$G23))*((1+Inputs!$D$7)^BQ$2))))))))</f>
        <v>1.0006745886230576E-2</v>
      </c>
      <c r="BR23" s="88">
        <f>MAX(AB23,($E23*IF(BR$2&gt;Inputs!$D$5,0,IF(BR$2&gt;VLOOKUP($H23,Lists!$P$3:$Q$7,2),IF($N23=Lists!$K$3,IF($L23&lt;1,(($U23/$L23)*((1+Inputs!$D$7)^BR$2)),((INT(BR$2/$L23)-INT((BR$2-1)/$L23))*$U23*((1+Inputs!$D$7)^BR$2))),(Inputs!$D$8^((1-_xlfn.WEIBULL.DIST(BR$2,$M23,$L23,FALSE))/_xlfn.WEIBULL.DIST(BR$2,$M23,$L23,FALSE))*$U23*((1+Inputs!$D$7)^BR$2))),IF($N23=Lists!$K$3,IF($L23&lt;1,((($T23*(1-$F23)+$S23*(1-$G23))/$L23)*((1+Inputs!$D$7)^BR$2)),((INT(BR$2/$L23)-INT((BR$2-1)/$L23))*($T23*(1-$F23)+$S23*(1-$G23))*((1+Inputs!$D$7)^BR$2))),((Inputs!$D$8^((1-_xlfn.WEIBULL.DIST(BR$2,$M23,$L23,FALSE))/_xlfn.WEIBULL.DIST(BR$2,$M23,$L23,FALSE))*($T23*(1-$F23)+$S23*(1-$G23))*((1+Inputs!$D$7)^BR$2))))))))</f>
        <v>4.0809236581931904E-2</v>
      </c>
      <c r="BS23" s="88">
        <f>MAX(AC23,($E23*IF(BS$2&gt;Inputs!$D$5,0,IF(BS$2&gt;VLOOKUP($H23,Lists!$P$3:$Q$7,2),IF($N23=Lists!$K$3,IF($L23&lt;1,(($U23/$L23)*((1+Inputs!$D$7)^BS$2)),((INT(BS$2/$L23)-INT((BS$2-1)/$L23))*$U23*((1+Inputs!$D$7)^BS$2))),(Inputs!$D$8^((1-_xlfn.WEIBULL.DIST(BS$2,$M23,$L23,FALSE))/_xlfn.WEIBULL.DIST(BS$2,$M23,$L23,FALSE))*$U23*((1+Inputs!$D$7)^BS$2))),IF($N23=Lists!$K$3,IF($L23&lt;1,((($T23*(1-$F23)+$S23*(1-$G23))/$L23)*((1+Inputs!$D$7)^BS$2)),((INT(BS$2/$L23)-INT((BS$2-1)/$L23))*($T23*(1-$F23)+$S23*(1-$G23))*((1+Inputs!$D$7)^BS$2))),((Inputs!$D$8^((1-_xlfn.WEIBULL.DIST(BS$2,$M23,$L23,FALSE))/_xlfn.WEIBULL.DIST(BS$2,$M23,$L23,FALSE))*($T23*(1-$F23)+$S23*(1-$G23))*((1+Inputs!$D$7)^BS$2))))))))</f>
        <v>9.3543380018150532E-2</v>
      </c>
      <c r="BT23" s="88">
        <f>MAX(AD23,($E23*IF(BT$2&gt;Inputs!$D$5,0,IF(BT$2&gt;VLOOKUP($H23,Lists!$P$3:$Q$7,2),IF($N23=Lists!$K$3,IF($L23&lt;1,(($U23/$L23)*((1+Inputs!$D$7)^BT$2)),((INT(BT$2/$L23)-INT((BT$2-1)/$L23))*$U23*((1+Inputs!$D$7)^BT$2))),(Inputs!$D$8^((1-_xlfn.WEIBULL.DIST(BT$2,$M23,$L23,FALSE))/_xlfn.WEIBULL.DIST(BT$2,$M23,$L23,FALSE))*$U23*((1+Inputs!$D$7)^BT$2))),IF($N23=Lists!$K$3,IF($L23&lt;1,((($T23*(1-$F23)+$S23*(1-$G23))/$L23)*((1+Inputs!$D$7)^BT$2)),((INT(BT$2/$L23)-INT((BT$2-1)/$L23))*($T23*(1-$F23)+$S23*(1-$G23))*((1+Inputs!$D$7)^BT$2))),((Inputs!$D$8^((1-_xlfn.WEIBULL.DIST(BT$2,$M23,$L23,FALSE))/_xlfn.WEIBULL.DIST(BT$2,$M23,$L23,FALSE))*($T23*(1-$F23)+$S23*(1-$G23))*((1+Inputs!$D$7)^BT$2))))))))</f>
        <v>0.169224131525673</v>
      </c>
      <c r="BU23" s="88">
        <f>MAX(AE23,($E23*IF(BU$2&gt;Inputs!$D$5,0,IF(BU$2&gt;VLOOKUP($H23,Lists!$P$3:$Q$7,2),IF($N23=Lists!$K$3,IF($L23&lt;1,(($U23/$L23)*((1+Inputs!$D$7)^BU$2)),((INT(BU$2/$L23)-INT((BU$2-1)/$L23))*$U23*((1+Inputs!$D$7)^BU$2))),(Inputs!$D$8^((1-_xlfn.WEIBULL.DIST(BU$2,$M23,$L23,FALSE))/_xlfn.WEIBULL.DIST(BU$2,$M23,$L23,FALSE))*$U23*((1+Inputs!$D$7)^BU$2))),IF($N23=Lists!$K$3,IF($L23&lt;1,((($T23*(1-$F23)+$S23*(1-$G23))/$L23)*((1+Inputs!$D$7)^BU$2)),((INT(BU$2/$L23)-INT((BU$2-1)/$L23))*($T23*(1-$F23)+$S23*(1-$G23))*((1+Inputs!$D$7)^BU$2))),((Inputs!$D$8^((1-_xlfn.WEIBULL.DIST(BU$2,$M23,$L23,FALSE))/_xlfn.WEIBULL.DIST(BU$2,$M23,$L23,FALSE))*($T23*(1-$F23)+$S23*(1-$G23))*((1+Inputs!$D$7)^BU$2))))))))</f>
        <v>0.2686500996859762</v>
      </c>
      <c r="BV23" s="88">
        <f>MAX(AF23,($E23*IF(BV$2&gt;Inputs!$D$5,0,IF(BV$2&gt;VLOOKUP($H23,Lists!$P$3:$Q$7,2),IF($N23=Lists!$K$3,IF($L23&lt;1,(($U23/$L23)*((1+Inputs!$D$7)^BV$2)),((INT(BV$2/$L23)-INT((BV$2-1)/$L23))*$U23*((1+Inputs!$D$7)^BV$2))),(Inputs!$D$8^((1-_xlfn.WEIBULL.DIST(BV$2,$M23,$L23,FALSE))/_xlfn.WEIBULL.DIST(BV$2,$M23,$L23,FALSE))*$U23*((1+Inputs!$D$7)^BV$2))),IF($N23=Lists!$K$3,IF($L23&lt;1,((($T23*(1-$F23)+$S23*(1-$G23))/$L23)*((1+Inputs!$D$7)^BV$2)),((INT(BV$2/$L23)-INT((BV$2-1)/$L23))*($T23*(1-$F23)+$S23*(1-$G23))*((1+Inputs!$D$7)^BV$2))),((Inputs!$D$8^((1-_xlfn.WEIBULL.DIST(BV$2,$M23,$L23,FALSE))/_xlfn.WEIBULL.DIST(BV$2,$M23,$L23,FALSE))*($T23*(1-$F23)+$S23*(1-$G23))*((1+Inputs!$D$7)^BV$2))))))))</f>
        <v>0.39230183436220312</v>
      </c>
      <c r="BW23" s="88">
        <f>MAX(AG23,($E23*IF(BW$2&gt;Inputs!$D$5,0,IF(BW$2&gt;VLOOKUP($H23,Lists!$P$3:$Q$7,2),IF($N23=Lists!$K$3,IF($L23&lt;1,(($U23/$L23)*((1+Inputs!$D$7)^BW$2)),((INT(BW$2/$L23)-INT((BW$2-1)/$L23))*$U23*((1+Inputs!$D$7)^BW$2))),(Inputs!$D$8^((1-_xlfn.WEIBULL.DIST(BW$2,$M23,$L23,FALSE))/_xlfn.WEIBULL.DIST(BW$2,$M23,$L23,FALSE))*$U23*((1+Inputs!$D$7)^BW$2))),IF($N23=Lists!$K$3,IF($L23&lt;1,((($T23*(1-$F23)+$S23*(1-$G23))/$L23)*((1+Inputs!$D$7)^BW$2)),((INT(BW$2/$L23)-INT((BW$2-1)/$L23))*($T23*(1-$F23)+$S23*(1-$G23))*((1+Inputs!$D$7)^BW$2))),((Inputs!$D$8^((1-_xlfn.WEIBULL.DIST(BW$2,$M23,$L23,FALSE))/_xlfn.WEIBULL.DIST(BW$2,$M23,$L23,FALSE))*($T23*(1-$F23)+$S23*(1-$G23))*((1+Inputs!$D$7)^BW$2))))))))</f>
        <v>0.54023677521203806</v>
      </c>
      <c r="BX23" s="88">
        <f>MAX(AH23,($E23*IF(BX$2&gt;Inputs!$D$5,0,IF(BX$2&gt;VLOOKUP($H23,Lists!$P$3:$Q$7,2),IF($N23=Lists!$K$3,IF($L23&lt;1,(($U23/$L23)*((1+Inputs!$D$7)^BX$2)),((INT(BX$2/$L23)-INT((BX$2-1)/$L23))*$U23*((1+Inputs!$D$7)^BX$2))),(Inputs!$D$8^((1-_xlfn.WEIBULL.DIST(BX$2,$M23,$L23,FALSE))/_xlfn.WEIBULL.DIST(BX$2,$M23,$L23,FALSE))*$U23*((1+Inputs!$D$7)^BX$2))),IF($N23=Lists!$K$3,IF($L23&lt;1,((($T23*(1-$F23)+$S23*(1-$G23))/$L23)*((1+Inputs!$D$7)^BX$2)),((INT(BX$2/$L23)-INT((BX$2-1)/$L23))*($T23*(1-$F23)+$S23*(1-$G23))*((1+Inputs!$D$7)^BX$2))),((Inputs!$D$8^((1-_xlfn.WEIBULL.DIST(BX$2,$M23,$L23,FALSE))/_xlfn.WEIBULL.DIST(BX$2,$M23,$L23,FALSE))*($T23*(1-$F23)+$S23*(1-$G23))*((1+Inputs!$D$7)^BX$2))))))))</f>
        <v>0.71198506040700271</v>
      </c>
      <c r="BY23" s="88">
        <f>MAX(AI23,($E23*IF(BY$2&gt;Inputs!$D$5,0,IF(BY$2&gt;VLOOKUP($H23,Lists!$P$3:$Q$7,2),IF($N23=Lists!$K$3,IF($L23&lt;1,(($U23/$L23)*((1+Inputs!$D$7)^BY$2)),((INT(BY$2/$L23)-INT((BY$2-1)/$L23))*$U23*((1+Inputs!$D$7)^BY$2))),(Inputs!$D$8^((1-_xlfn.WEIBULL.DIST(BY$2,$M23,$L23,FALSE))/_xlfn.WEIBULL.DIST(BY$2,$M23,$L23,FALSE))*$U23*((1+Inputs!$D$7)^BY$2))),IF($N23=Lists!$K$3,IF($L23&lt;1,((($T23*(1-$F23)+$S23*(1-$G23))/$L23)*((1+Inputs!$D$7)^BY$2)),((INT(BY$2/$L23)-INT((BY$2-1)/$L23))*($T23*(1-$F23)+$S23*(1-$G23))*((1+Inputs!$D$7)^BY$2))),((Inputs!$D$8^((1-_xlfn.WEIBULL.DIST(BY$2,$M23,$L23,FALSE))/_xlfn.WEIBULL.DIST(BY$2,$M23,$L23,FALSE))*($T23*(1-$F23)+$S23*(1-$G23))*((1+Inputs!$D$7)^BY$2))))))))</f>
        <v>0.90645159150159571</v>
      </c>
      <c r="BZ23" s="88">
        <f>MAX(AJ23,($E23*IF(BZ$2&gt;Inputs!$D$5,0,IF(BZ$2&gt;VLOOKUP($H23,Lists!$P$3:$Q$7,2),IF($N23=Lists!$K$3,IF($L23&lt;1,(($U23/$L23)*((1+Inputs!$D$7)^BZ$2)),((INT(BZ$2/$L23)-INT((BZ$2-1)/$L23))*$U23*((1+Inputs!$D$7)^BZ$2))),(Inputs!$D$8^((1-_xlfn.WEIBULL.DIST(BZ$2,$M23,$L23,FALSE))/_xlfn.WEIBULL.DIST(BZ$2,$M23,$L23,FALSE))*$U23*((1+Inputs!$D$7)^BZ$2))),IF($N23=Lists!$K$3,IF($L23&lt;1,((($T23*(1-$F23)+$S23*(1-$G23))/$L23)*((1+Inputs!$D$7)^BZ$2)),((INT(BZ$2/$L23)-INT((BZ$2-1)/$L23))*($T23*(1-$F23)+$S23*(1-$G23))*((1+Inputs!$D$7)^BZ$2))),((Inputs!$D$8^((1-_xlfn.WEIBULL.DIST(BZ$2,$M23,$L23,FALSE))/_xlfn.WEIBULL.DIST(BZ$2,$M23,$L23,FALSE))*($T23*(1-$F23)+$S23*(1-$G23))*((1+Inputs!$D$7)^BZ$2))))))))</f>
        <v>1.1218308148826173</v>
      </c>
      <c r="CA23" s="88">
        <f>MAX(AK23,($E23*IF(CA$2&gt;Inputs!$D$5,0,IF(CA$2&gt;VLOOKUP($H23,Lists!$P$3:$Q$7,2),IF($N23=Lists!$K$3,IF($L23&lt;1,(($U23/$L23)*((1+Inputs!$D$7)^CA$2)),((INT(CA$2/$L23)-INT((CA$2-1)/$L23))*$U23*((1+Inputs!$D$7)^CA$2))),(Inputs!$D$8^((1-_xlfn.WEIBULL.DIST(CA$2,$M23,$L23,FALSE))/_xlfn.WEIBULL.DIST(CA$2,$M23,$L23,FALSE))*$U23*((1+Inputs!$D$7)^CA$2))),IF($N23=Lists!$K$3,IF($L23&lt;1,((($T23*(1-$F23)+$S23*(1-$G23))/$L23)*((1+Inputs!$D$7)^CA$2)),((INT(CA$2/$L23)-INT((CA$2-1)/$L23))*($T23*(1-$F23)+$S23*(1-$G23))*((1+Inputs!$D$7)^CA$2))),((Inputs!$D$8^((1-_xlfn.WEIBULL.DIST(CA$2,$M23,$L23,FALSE))/_xlfn.WEIBULL.DIST(CA$2,$M23,$L23,FALSE))*($T23*(1-$F23)+$S23*(1-$G23))*((1+Inputs!$D$7)^CA$2))))))))</f>
        <v>1.386489135107454</v>
      </c>
      <c r="CB23" s="88">
        <f>MAX(AL23,($E23*IF(CB$2&gt;Inputs!$D$5,0,IF(CB$2&gt;VLOOKUP($H23,Lists!$P$3:$Q$7,2),IF($N23=Lists!$K$3,IF($L23&lt;1,(($U23/$L23)*((1+Inputs!$D$7)^CB$2)),((INT(CB$2/$L23)-INT((CB$2-1)/$L23))*$U23*((1+Inputs!$D$7)^CB$2))),(Inputs!$D$8^((1-_xlfn.WEIBULL.DIST(CB$2,$M23,$L23,FALSE))/_xlfn.WEIBULL.DIST(CB$2,$M23,$L23,FALSE))*$U23*((1+Inputs!$D$7)^CB$2))),IF($N23=Lists!$K$3,IF($L23&lt;1,((($T23*(1-$F23)+$S23*(1-$G23))/$L23)*((1+Inputs!$D$7)^CB$2)),((INT(CB$2/$L23)-INT((CB$2-1)/$L23))*($T23*(1-$F23)+$S23*(1-$G23))*((1+Inputs!$D$7)^CB$2))),((Inputs!$D$8^((1-_xlfn.WEIBULL.DIST(CB$2,$M23,$L23,FALSE))/_xlfn.WEIBULL.DIST(CB$2,$M23,$L23,FALSE))*($T23*(1-$F23)+$S23*(1-$G23))*((1+Inputs!$D$7)^CB$2))))))))</f>
        <v>2.4261309715390498</v>
      </c>
      <c r="CC23" s="88">
        <f>MAX(AM23,($E23*IF(CC$2&gt;Inputs!$D$5,0,IF(CC$2&gt;VLOOKUP($H23,Lists!$P$3:$Q$7,2),IF($N23=Lists!$K$3,IF($L23&lt;1,(($U23/$L23)*((1+Inputs!$D$7)^CC$2)),((INT(CC$2/$L23)-INT((CC$2-1)/$L23))*$U23*((1+Inputs!$D$7)^CC$2))),(Inputs!$D$8^((1-_xlfn.WEIBULL.DIST(CC$2,$M23,$L23,FALSE))/_xlfn.WEIBULL.DIST(CC$2,$M23,$L23,FALSE))*$U23*((1+Inputs!$D$7)^CC$2))),IF($N23=Lists!$K$3,IF($L23&lt;1,((($T23*(1-$F23)+$S23*(1-$G23))/$L23)*((1+Inputs!$D$7)^CC$2)),((INT(CC$2/$L23)-INT((CC$2-1)/$L23))*($T23*(1-$F23)+$S23*(1-$G23))*((1+Inputs!$D$7)^CC$2))),((Inputs!$D$8^((1-_xlfn.WEIBULL.DIST(CC$2,$M23,$L23,FALSE))/_xlfn.WEIBULL.DIST(CC$2,$M23,$L23,FALSE))*($T23*(1-$F23)+$S23*(1-$G23))*((1+Inputs!$D$7)^CC$2))))))))</f>
        <v>3.7319869986459095</v>
      </c>
      <c r="CD23" s="88">
        <f>MAX(AN23,($E23*IF(CD$2&gt;Inputs!$D$5,0,IF(CD$2&gt;VLOOKUP($H23,Lists!$P$3:$Q$7,2),IF($N23=Lists!$K$3,IF($L23&lt;1,(($U23/$L23)*((1+Inputs!$D$7)^CD$2)),((INT(CD$2/$L23)-INT((CD$2-1)/$L23))*$U23*((1+Inputs!$D$7)^CD$2))),(Inputs!$D$8^((1-_xlfn.WEIBULL.DIST(CD$2,$M23,$L23,FALSE))/_xlfn.WEIBULL.DIST(CD$2,$M23,$L23,FALSE))*$U23*((1+Inputs!$D$7)^CD$2))),IF($N23=Lists!$K$3,IF($L23&lt;1,((($T23*(1-$F23)+$S23*(1-$G23))/$L23)*((1+Inputs!$D$7)^CD$2)),((INT(CD$2/$L23)-INT((CD$2-1)/$L23))*($T23*(1-$F23)+$S23*(1-$G23))*((1+Inputs!$D$7)^CD$2))),((Inputs!$D$8^((1-_xlfn.WEIBULL.DIST(CD$2,$M23,$L23,FALSE))/_xlfn.WEIBULL.DIST(CD$2,$M23,$L23,FALSE))*($T23*(1-$F23)+$S23*(1-$G23))*((1+Inputs!$D$7)^CD$2))))))))</f>
        <v>5.2242760893549791</v>
      </c>
      <c r="CE23" s="88">
        <f>MAX(AO23,($E23*IF(CE$2&gt;Inputs!$D$5,0,IF(CE$2&gt;VLOOKUP($H23,Lists!$P$3:$Q$7,2),IF($N23=Lists!$K$3,IF($L23&lt;1,(($U23/$L23)*((1+Inputs!$D$7)^CE$2)),((INT(CE$2/$L23)-INT((CE$2-1)/$L23))*$U23*((1+Inputs!$D$7)^CE$2))),(Inputs!$D$8^((1-_xlfn.WEIBULL.DIST(CE$2,$M23,$L23,FALSE))/_xlfn.WEIBULL.DIST(CE$2,$M23,$L23,FALSE))*$U23*((1+Inputs!$D$7)^CE$2))),IF($N23=Lists!$K$3,IF($L23&lt;1,((($T23*(1-$F23)+$S23*(1-$G23))/$L23)*((1+Inputs!$D$7)^CE$2)),((INT(CE$2/$L23)-INT((CE$2-1)/$L23))*($T23*(1-$F23)+$S23*(1-$G23))*((1+Inputs!$D$7)^CE$2))),((Inputs!$D$8^((1-_xlfn.WEIBULL.DIST(CE$2,$M23,$L23,FALSE))/_xlfn.WEIBULL.DIST(CE$2,$M23,$L23,FALSE))*($T23*(1-$F23)+$S23*(1-$G23))*((1+Inputs!$D$7)^CE$2))))))))</f>
        <v>6.8121856806134939</v>
      </c>
      <c r="CF23" s="88">
        <f>MAX(AP23,($E23*IF(CF$2&gt;Inputs!$D$5,0,IF(CF$2&gt;VLOOKUP($H23,Lists!$P$3:$Q$7,2),IF($N23=Lists!$K$3,IF($L23&lt;1,(($U23/$L23)*((1+Inputs!$D$7)^CF$2)),((INT(CF$2/$L23)-INT((CF$2-1)/$L23))*$U23*((1+Inputs!$D$7)^CF$2))),(Inputs!$D$8^((1-_xlfn.WEIBULL.DIST(CF$2,$M23,$L23,FALSE))/_xlfn.WEIBULL.DIST(CF$2,$M23,$L23,FALSE))*$U23*((1+Inputs!$D$7)^CF$2))),IF($N23=Lists!$K$3,IF($L23&lt;1,((($T23*(1-$F23)+$S23*(1-$G23))/$L23)*((1+Inputs!$D$7)^CF$2)),((INT(CF$2/$L23)-INT((CF$2-1)/$L23))*($T23*(1-$F23)+$S23*(1-$G23))*((1+Inputs!$D$7)^CF$2))),((Inputs!$D$8^((1-_xlfn.WEIBULL.DIST(CF$2,$M23,$L23,FALSE))/_xlfn.WEIBULL.DIST(CF$2,$M23,$L23,FALSE))*($T23*(1-$F23)+$S23*(1-$G23))*((1+Inputs!$D$7)^CF$2))))))))</f>
        <v>8.4078513255379814</v>
      </c>
      <c r="CG23" s="88">
        <f>MAX(AQ23,($E23*IF(CG$2&gt;Inputs!$D$5,0,IF(CG$2&gt;VLOOKUP($H23,Lists!$P$3:$Q$7,2),IF($N23=Lists!$K$3,IF($L23&lt;1,(($U23/$L23)*((1+Inputs!$D$7)^CG$2)),((INT(CG$2/$L23)-INT((CG$2-1)/$L23))*$U23*((1+Inputs!$D$7)^CG$2))),(Inputs!$D$8^((1-_xlfn.WEIBULL.DIST(CG$2,$M23,$L23,FALSE))/_xlfn.WEIBULL.DIST(CG$2,$M23,$L23,FALSE))*$U23*((1+Inputs!$D$7)^CG$2))),IF($N23=Lists!$K$3,IF($L23&lt;1,((($T23*(1-$F23)+$S23*(1-$G23))/$L23)*((1+Inputs!$D$7)^CG$2)),((INT(CG$2/$L23)-INT((CG$2-1)/$L23))*($T23*(1-$F23)+$S23*(1-$G23))*((1+Inputs!$D$7)^CG$2))),((Inputs!$D$8^((1-_xlfn.WEIBULL.DIST(CG$2,$M23,$L23,FALSE))/_xlfn.WEIBULL.DIST(CG$2,$M23,$L23,FALSE))*($T23*(1-$F23)+$S23*(1-$G23))*((1+Inputs!$D$7)^CG$2))))))))</f>
        <v>9.933299714629662</v>
      </c>
      <c r="CH23" s="88">
        <f>MAX(AR23,($E23*IF(CH$2&gt;Inputs!$D$5,0,IF(CH$2&gt;VLOOKUP($H23,Lists!$P$3:$Q$7,2),IF($N23=Lists!$K$3,IF($L23&lt;1,(($U23/$L23)*((1+Inputs!$D$7)^CH$2)),((INT(CH$2/$L23)-INT((CH$2-1)/$L23))*$U23*((1+Inputs!$D$7)^CH$2))),(Inputs!$D$8^((1-_xlfn.WEIBULL.DIST(CH$2,$M23,$L23,FALSE))/_xlfn.WEIBULL.DIST(CH$2,$M23,$L23,FALSE))*$U23*((1+Inputs!$D$7)^CH$2))),IF($N23=Lists!$K$3,IF($L23&lt;1,((($T23*(1-$F23)+$S23*(1-$G23))/$L23)*((1+Inputs!$D$7)^CH$2)),((INT(CH$2/$L23)-INT((CH$2-1)/$L23))*($T23*(1-$F23)+$S23*(1-$G23))*((1+Inputs!$D$7)^CH$2))),((Inputs!$D$8^((1-_xlfn.WEIBULL.DIST(CH$2,$M23,$L23,FALSE))/_xlfn.WEIBULL.DIST(CH$2,$M23,$L23,FALSE))*($T23*(1-$F23)+$S23*(1-$G23))*((1+Inputs!$D$7)^CH$2))))))))</f>
        <v>11.322587074566488</v>
      </c>
      <c r="CI23" s="88">
        <f>MAX(AS23,($E23*IF(CI$2&gt;Inputs!$D$5,0,IF(CI$2&gt;VLOOKUP($H23,Lists!$P$3:$Q$7,2),IF($N23=Lists!$K$3,IF($L23&lt;1,(($U23/$L23)*((1+Inputs!$D$7)^CI$2)),((INT(CI$2/$L23)-INT((CI$2-1)/$L23))*$U23*((1+Inputs!$D$7)^CI$2))),(Inputs!$D$8^((1-_xlfn.WEIBULL.DIST(CI$2,$M23,$L23,FALSE))/_xlfn.WEIBULL.DIST(CI$2,$M23,$L23,FALSE))*$U23*((1+Inputs!$D$7)^CI$2))),IF($N23=Lists!$K$3,IF($L23&lt;1,((($T23*(1-$F23)+$S23*(1-$G23))/$L23)*((1+Inputs!$D$7)^CI$2)),((INT(CI$2/$L23)-INT((CI$2-1)/$L23))*($T23*(1-$F23)+$S23*(1-$G23))*((1+Inputs!$D$7)^CI$2))),((Inputs!$D$8^((1-_xlfn.WEIBULL.DIST(CI$2,$M23,$L23,FALSE))/_xlfn.WEIBULL.DIST(CI$2,$M23,$L23,FALSE))*($T23*(1-$F23)+$S23*(1-$G23))*((1+Inputs!$D$7)^CI$2))))))))</f>
        <v>12.521328945397384</v>
      </c>
      <c r="CJ23" s="88">
        <f>MAX(AT23,($E23*IF(CJ$2&gt;Inputs!$D$5,0,IF(CJ$2&gt;VLOOKUP($H23,Lists!$P$3:$Q$7,2),IF($N23=Lists!$K$3,IF($L23&lt;1,(($U23/$L23)*((1+Inputs!$D$7)^CJ$2)),((INT(CJ$2/$L23)-INT((CJ$2-1)/$L23))*$U23*((1+Inputs!$D$7)^CJ$2))),(Inputs!$D$8^((1-_xlfn.WEIBULL.DIST(CJ$2,$M23,$L23,FALSE))/_xlfn.WEIBULL.DIST(CJ$2,$M23,$L23,FALSE))*$U23*((1+Inputs!$D$7)^CJ$2))),IF($N23=Lists!$K$3,IF($L23&lt;1,((($T23*(1-$F23)+$S23*(1-$G23))/$L23)*((1+Inputs!$D$7)^CJ$2)),((INT(CJ$2/$L23)-INT((CJ$2-1)/$L23))*($T23*(1-$F23)+$S23*(1-$G23))*((1+Inputs!$D$7)^CJ$2))),((Inputs!$D$8^((1-_xlfn.WEIBULL.DIST(CJ$2,$M23,$L23,FALSE))/_xlfn.WEIBULL.DIST(CJ$2,$M23,$L23,FALSE))*($T23*(1-$F23)+$S23*(1-$G23))*((1+Inputs!$D$7)^CJ$2))))))))</f>
        <v>13.485187875940294</v>
      </c>
      <c r="CK23" s="88">
        <f>MAX(AU23,($E23*IF(CK$2&gt;Inputs!$D$5,0,IF(CK$2&gt;VLOOKUP($H23,Lists!$P$3:$Q$7,2),IF($N23=Lists!$K$3,IF($L23&lt;1,(($U23/$L23)*((1+Inputs!$D$7)^CK$2)),((INT(CK$2/$L23)-INT((CK$2-1)/$L23))*$U23*((1+Inputs!$D$7)^CK$2))),(Inputs!$D$8^((1-_xlfn.WEIBULL.DIST(CK$2,$M23,$L23,FALSE))/_xlfn.WEIBULL.DIST(CK$2,$M23,$L23,FALSE))*$U23*((1+Inputs!$D$7)^CK$2))),IF($N23=Lists!$K$3,IF($L23&lt;1,((($T23*(1-$F23)+$S23*(1-$G23))/$L23)*((1+Inputs!$D$7)^CK$2)),((INT(CK$2/$L23)-INT((CK$2-1)/$L23))*($T23*(1-$F23)+$S23*(1-$G23))*((1+Inputs!$D$7)^CK$2))),((Inputs!$D$8^((1-_xlfn.WEIBULL.DIST(CK$2,$M23,$L23,FALSE))/_xlfn.WEIBULL.DIST(CK$2,$M23,$L23,FALSE))*($T23*(1-$F23)+$S23*(1-$G23))*((1+Inputs!$D$7)^CK$2))))))))</f>
        <v>14.17828432471171</v>
      </c>
      <c r="CL23" s="88">
        <f>MAX(AV23,($E23*IF(CL$2&gt;Inputs!$D$5,0,IF(CL$2&gt;VLOOKUP($H23,Lists!$P$3:$Q$7,2),IF($N23=Lists!$K$3,IF($L23&lt;1,(($U23/$L23)*((1+Inputs!$D$7)^CL$2)),((INT(CL$2/$L23)-INT((CL$2-1)/$L23))*$U23*((1+Inputs!$D$7)^CL$2))),(Inputs!$D$8^((1-_xlfn.WEIBULL.DIST(CL$2,$M23,$L23,FALSE))/_xlfn.WEIBULL.DIST(CL$2,$M23,$L23,FALSE))*$U23*((1+Inputs!$D$7)^CL$2))),IF($N23=Lists!$K$3,IF($L23&lt;1,((($T23*(1-$F23)+$S23*(1-$G23))/$L23)*((1+Inputs!$D$7)^CL$2)),((INT(CL$2/$L23)-INT((CL$2-1)/$L23))*($T23*(1-$F23)+$S23*(1-$G23))*((1+Inputs!$D$7)^CL$2))),((Inputs!$D$8^((1-_xlfn.WEIBULL.DIST(CL$2,$M23,$L23,FALSE))/_xlfn.WEIBULL.DIST(CL$2,$M23,$L23,FALSE))*($T23*(1-$F23)+$S23*(1-$G23))*((1+Inputs!$D$7)^CL$2))))))))</f>
        <v>14.572084994501886</v>
      </c>
      <c r="CM23" s="88">
        <f>MAX(AW23,($E23*IF(CM$2&gt;Inputs!$D$5,0,IF(CM$2&gt;VLOOKUP($H23,Lists!$P$3:$Q$7,2),IF($N23=Lists!$K$3,IF($L23&lt;1,(($U23/$L23)*((1+Inputs!$D$7)^CM$2)),((INT(CM$2/$L23)-INT((CM$2-1)/$L23))*$U23*((1+Inputs!$D$7)^CM$2))),(Inputs!$D$8^((1-_xlfn.WEIBULL.DIST(CM$2,$M23,$L23,FALSE))/_xlfn.WEIBULL.DIST(CM$2,$M23,$L23,FALSE))*$U23*((1+Inputs!$D$7)^CM$2))),IF($N23=Lists!$K$3,IF($L23&lt;1,((($T23*(1-$F23)+$S23*(1-$G23))/$L23)*((1+Inputs!$D$7)^CM$2)),((INT(CM$2/$L23)-INT((CM$2-1)/$L23))*($T23*(1-$F23)+$S23*(1-$G23))*((1+Inputs!$D$7)^CM$2))),((Inputs!$D$8^((1-_xlfn.WEIBULL.DIST(CM$2,$M23,$L23,FALSE))/_xlfn.WEIBULL.DIST(CM$2,$M23,$L23,FALSE))*($T23*(1-$F23)+$S23*(1-$G23))*((1+Inputs!$D$7)^CM$2))))))))</f>
        <v>14.645087422385425</v>
      </c>
      <c r="CN23" s="88">
        <f>MAX(AX23,($E23*IF(CN$2&gt;Inputs!$D$5,0,IF(CN$2&gt;VLOOKUP($H23,Lists!$P$3:$Q$7,2),IF($N23=Lists!$K$3,IF($L23&lt;1,(($U23/$L23)*((1+Inputs!$D$7)^CN$2)),((INT(CN$2/$L23)-INT((CN$2-1)/$L23))*$U23*((1+Inputs!$D$7)^CN$2))),(Inputs!$D$8^((1-_xlfn.WEIBULL.DIST(CN$2,$M23,$L23,FALSE))/_xlfn.WEIBULL.DIST(CN$2,$M23,$L23,FALSE))*$U23*((1+Inputs!$D$7)^CN$2))),IF($N23=Lists!$K$3,IF($L23&lt;1,((($T23*(1-$F23)+$S23*(1-$G23))/$L23)*((1+Inputs!$D$7)^CN$2)),((INT(CN$2/$L23)-INT((CN$2-1)/$L23))*($T23*(1-$F23)+$S23*(1-$G23))*((1+Inputs!$D$7)^CN$2))),((Inputs!$D$8^((1-_xlfn.WEIBULL.DIST(CN$2,$M23,$L23,FALSE))/_xlfn.WEIBULL.DIST(CN$2,$M23,$L23,FALSE))*($T23*(1-$F23)+$S23*(1-$G23))*((1+Inputs!$D$7)^CN$2))))))))</f>
        <v>14.38349908146234</v>
      </c>
      <c r="CO23" s="88">
        <f>MAX(AY23,($E23*IF(CO$2&gt;Inputs!$D$5,0,IF(CO$2&gt;VLOOKUP($H23,Lists!$P$3:$Q$7,2),IF($N23=Lists!$K$3,IF($L23&lt;1,(($U23/$L23)*((1+Inputs!$D$7)^CO$2)),((INT(CO$2/$L23)-INT((CO$2-1)/$L23))*$U23*((1+Inputs!$D$7)^CO$2))),(Inputs!$D$8^((1-_xlfn.WEIBULL.DIST(CO$2,$M23,$L23,FALSE))/_xlfn.WEIBULL.DIST(CO$2,$M23,$L23,FALSE))*$U23*((1+Inputs!$D$7)^CO$2))),IF($N23=Lists!$K$3,IF($L23&lt;1,((($T23*(1-$F23)+$S23*(1-$G23))/$L23)*((1+Inputs!$D$7)^CO$2)),((INT(CO$2/$L23)-INT((CO$2-1)/$L23))*($T23*(1-$F23)+$S23*(1-$G23))*((1+Inputs!$D$7)^CO$2))),((Inputs!$D$8^((1-_xlfn.WEIBULL.DIST(CO$2,$M23,$L23,FALSE))/_xlfn.WEIBULL.DIST(CO$2,$M23,$L23,FALSE))*($T23*(1-$F23)+$S23*(1-$G23))*((1+Inputs!$D$7)^CO$2))))))))</f>
        <v>13.783038680914309</v>
      </c>
      <c r="CP23" s="88">
        <f>MAX(AZ23,($E23*IF(CP$2&gt;Inputs!$D$5,0,IF(CP$2&gt;VLOOKUP($H23,Lists!$P$3:$Q$7,2),IF($N23=Lists!$K$3,IF($L23&lt;1,(($U23/$L23)*((1+Inputs!$D$7)^CP$2)),((INT(CP$2/$L23)-INT((CP$2-1)/$L23))*$U23*((1+Inputs!$D$7)^CP$2))),(Inputs!$D$8^((1-_xlfn.WEIBULL.DIST(CP$2,$M23,$L23,FALSE))/_xlfn.WEIBULL.DIST(CP$2,$M23,$L23,FALSE))*$U23*((1+Inputs!$D$7)^CP$2))),IF($N23=Lists!$K$3,IF($L23&lt;1,((($T23*(1-$F23)+$S23*(1-$G23))/$L23)*((1+Inputs!$D$7)^CP$2)),((INT(CP$2/$L23)-INT((CP$2-1)/$L23))*($T23*(1-$F23)+$S23*(1-$G23))*((1+Inputs!$D$7)^CP$2))),((Inputs!$D$8^((1-_xlfn.WEIBULL.DIST(CP$2,$M23,$L23,FALSE))/_xlfn.WEIBULL.DIST(CP$2,$M23,$L23,FALSE))*($T23*(1-$F23)+$S23*(1-$G23))*((1+Inputs!$D$7)^CP$2))))))))</f>
        <v>0</v>
      </c>
      <c r="CQ23" s="88">
        <f>MAX(BA23,($E23*IF(CQ$2&gt;Inputs!$D$5,0,IF(CQ$2&gt;VLOOKUP($H23,Lists!$P$3:$Q$7,2),IF($N23=Lists!$K$3,IF($L23&lt;1,(($U23/$L23)*((1+Inputs!$D$7)^CQ$2)),((INT(CQ$2/$L23)-INT((CQ$2-1)/$L23))*$U23*((1+Inputs!$D$7)^CQ$2))),(Inputs!$D$8^((1-_xlfn.WEIBULL.DIST(CQ$2,$M23,$L23,FALSE))/_xlfn.WEIBULL.DIST(CQ$2,$M23,$L23,FALSE))*$U23*((1+Inputs!$D$7)^CQ$2))),IF($N23=Lists!$K$3,IF($L23&lt;1,((($T23*(1-$F23)+$S23*(1-$G23))/$L23)*((1+Inputs!$D$7)^CQ$2)),((INT(CQ$2/$L23)-INT((CQ$2-1)/$L23))*($T23*(1-$F23)+$S23*(1-$G23))*((1+Inputs!$D$7)^CQ$2))),((Inputs!$D$8^((1-_xlfn.WEIBULL.DIST(CQ$2,$M23,$L23,FALSE))/_xlfn.WEIBULL.DIST(CQ$2,$M23,$L23,FALSE))*($T23*(1-$F23)+$S23*(1-$G23))*((1+Inputs!$D$7)^CQ$2))))))))</f>
        <v>0</v>
      </c>
      <c r="CR23" s="88">
        <f>MAX(BB23,($E23*IF(CR$2&gt;Inputs!$D$5,0,IF(CR$2&gt;VLOOKUP($H23,Lists!$P$3:$Q$7,2),IF($N23=Lists!$K$3,IF($L23&lt;1,(($U23/$L23)*((1+Inputs!$D$7)^CR$2)),((INT(CR$2/$L23)-INT((CR$2-1)/$L23))*$U23*((1+Inputs!$D$7)^CR$2))),(Inputs!$D$8^((1-_xlfn.WEIBULL.DIST(CR$2,$M23,$L23,FALSE))/_xlfn.WEIBULL.DIST(CR$2,$M23,$L23,FALSE))*$U23*((1+Inputs!$D$7)^CR$2))),IF($N23=Lists!$K$3,IF($L23&lt;1,((($T23*(1-$F23)+$S23*(1-$G23))/$L23)*((1+Inputs!$D$7)^CR$2)),((INT(CR$2/$L23)-INT((CR$2-1)/$L23))*($T23*(1-$F23)+$S23*(1-$G23))*((1+Inputs!$D$7)^CR$2))),((Inputs!$D$8^((1-_xlfn.WEIBULL.DIST(CR$2,$M23,$L23,FALSE))/_xlfn.WEIBULL.DIST(CR$2,$M23,$L23,FALSE))*($T23*(1-$F23)+$S23*(1-$G23))*((1+Inputs!$D$7)^CR$2))))))))</f>
        <v>0</v>
      </c>
      <c r="CS23" s="88">
        <f>MAX(BC23,($E23*IF(CS$2&gt;Inputs!$D$5,0,IF(CS$2&gt;VLOOKUP($H23,Lists!$P$3:$Q$7,2),IF($N23=Lists!$K$3,IF($L23&lt;1,(($U23/$L23)*((1+Inputs!$D$7)^CS$2)),((INT(CS$2/$L23)-INT((CS$2-1)/$L23))*$U23*((1+Inputs!$D$7)^CS$2))),(Inputs!$D$8^((1-_xlfn.WEIBULL.DIST(CS$2,$M23,$L23,FALSE))/_xlfn.WEIBULL.DIST(CS$2,$M23,$L23,FALSE))*$U23*((1+Inputs!$D$7)^CS$2))),IF($N23=Lists!$K$3,IF($L23&lt;1,((($T23*(1-$F23)+$S23*(1-$G23))/$L23)*((1+Inputs!$D$7)^CS$2)),((INT(CS$2/$L23)-INT((CS$2-1)/$L23))*($T23*(1-$F23)+$S23*(1-$G23))*((1+Inputs!$D$7)^CS$2))),((Inputs!$D$8^((1-_xlfn.WEIBULL.DIST(CS$2,$M23,$L23,FALSE))/_xlfn.WEIBULL.DIST(CS$2,$M23,$L23,FALSE))*($T23*(1-$F23)+$S23*(1-$G23))*((1+Inputs!$D$7)^CS$2))))))))</f>
        <v>0</v>
      </c>
      <c r="CT23" s="88">
        <f>MAX(BD23,($E23*IF(CT$2&gt;Inputs!$D$5,0,IF(CT$2&gt;VLOOKUP($H23,Lists!$P$3:$Q$7,2),IF($N23=Lists!$K$3,IF($L23&lt;1,(($U23/$L23)*((1+Inputs!$D$7)^CT$2)),((INT(CT$2/$L23)-INT((CT$2-1)/$L23))*$U23*((1+Inputs!$D$7)^CT$2))),(Inputs!$D$8^((1-_xlfn.WEIBULL.DIST(CT$2,$M23,$L23,FALSE))/_xlfn.WEIBULL.DIST(CT$2,$M23,$L23,FALSE))*$U23*((1+Inputs!$D$7)^CT$2))),IF($N23=Lists!$K$3,IF($L23&lt;1,((($T23*(1-$F23)+$S23*(1-$G23))/$L23)*((1+Inputs!$D$7)^CT$2)),((INT(CT$2/$L23)-INT((CT$2-1)/$L23))*($T23*(1-$F23)+$S23*(1-$G23))*((1+Inputs!$D$7)^CT$2))),((Inputs!$D$8^((1-_xlfn.WEIBULL.DIST(CT$2,$M23,$L23,FALSE))/_xlfn.WEIBULL.DIST(CT$2,$M23,$L23,FALSE))*($T23*(1-$F23)+$S23*(1-$G23))*((1+Inputs!$D$7)^CT$2))))))))</f>
        <v>0</v>
      </c>
      <c r="CU23" s="88">
        <f>MAX(BE23,($E23*IF(CU$2&gt;Inputs!$D$5,0,IF(CU$2&gt;VLOOKUP($H23,Lists!$P$3:$Q$7,2),IF($N23=Lists!$K$3,IF($L23&lt;1,(($U23/$L23)*((1+Inputs!$D$7)^CU$2)),((INT(CU$2/$L23)-INT((CU$2-1)/$L23))*$U23*((1+Inputs!$D$7)^CU$2))),(Inputs!$D$8^((1-_xlfn.WEIBULL.DIST(CU$2,$M23,$L23,FALSE))/_xlfn.WEIBULL.DIST(CU$2,$M23,$L23,FALSE))*$U23*((1+Inputs!$D$7)^CU$2))),IF($N23=Lists!$K$3,IF($L23&lt;1,((($T23*(1-$F23)+$S23*(1-$G23))/$L23)*((1+Inputs!$D$7)^CU$2)),((INT(CU$2/$L23)-INT((CU$2-1)/$L23))*($T23*(1-$F23)+$S23*(1-$G23))*((1+Inputs!$D$7)^CU$2))),((Inputs!$D$8^((1-_xlfn.WEIBULL.DIST(CU$2,$M23,$L23,FALSE))/_xlfn.WEIBULL.DIST(CU$2,$M23,$L23,FALSE))*($T23*(1-$F23)+$S23*(1-$G23))*((1+Inputs!$D$7)^CU$2))))))))</f>
        <v>0</v>
      </c>
      <c r="CV23" s="88">
        <f>MAX(BF23,($E23*IF(CV$2&gt;Inputs!$D$5,0,IF(CV$2&gt;VLOOKUP($H23,Lists!$P$3:$Q$7,2),IF($N23=Lists!$K$3,IF($L23&lt;1,(($U23/$L23)*((1+Inputs!$D$7)^CV$2)),((INT(CV$2/$L23)-INT((CV$2-1)/$L23))*$U23*((1+Inputs!$D$7)^CV$2))),(Inputs!$D$8^((1-_xlfn.WEIBULL.DIST(CV$2,$M23,$L23,FALSE))/_xlfn.WEIBULL.DIST(CV$2,$M23,$L23,FALSE))*$U23*((1+Inputs!$D$7)^CV$2))),IF($N23=Lists!$K$3,IF($L23&lt;1,((($T23*(1-$F23)+$S23*(1-$G23))/$L23)*((1+Inputs!$D$7)^CV$2)),((INT(CV$2/$L23)-INT((CV$2-1)/$L23))*($T23*(1-$F23)+$S23*(1-$G23))*((1+Inputs!$D$7)^CV$2))),((Inputs!$D$8^((1-_xlfn.WEIBULL.DIST(CV$2,$M23,$L23,FALSE))/_xlfn.WEIBULL.DIST(CV$2,$M23,$L23,FALSE))*($T23*(1-$F23)+$S23*(1-$G23))*((1+Inputs!$D$7)^CV$2))))))))</f>
        <v>0</v>
      </c>
      <c r="CW23" s="88">
        <f>MAX(BG23,($E23*IF(CW$2&gt;Inputs!$D$5,0,IF(CW$2&gt;VLOOKUP($H23,Lists!$P$3:$Q$7,2),IF($N23=Lists!$K$3,IF($L23&lt;1,(($U23/$L23)*((1+Inputs!$D$7)^CW$2)),((INT(CW$2/$L23)-INT((CW$2-1)/$L23))*$U23*((1+Inputs!$D$7)^CW$2))),(Inputs!$D$8^((1-_xlfn.WEIBULL.DIST(CW$2,$M23,$L23,FALSE))/_xlfn.WEIBULL.DIST(CW$2,$M23,$L23,FALSE))*$U23*((1+Inputs!$D$7)^CW$2))),IF($N23=Lists!$K$3,IF($L23&lt;1,((($T23*(1-$F23)+$S23*(1-$G23))/$L23)*((1+Inputs!$D$7)^CW$2)),((INT(CW$2/$L23)-INT((CW$2-1)/$L23))*($T23*(1-$F23)+$S23*(1-$G23))*((1+Inputs!$D$7)^CW$2))),((Inputs!$D$8^((1-_xlfn.WEIBULL.DIST(CW$2,$M23,$L23,FALSE))/_xlfn.WEIBULL.DIST(CW$2,$M23,$L23,FALSE))*($T23*(1-$F23)+$S23*(1-$G23))*((1+Inputs!$D$7)^CW$2))))))))</f>
        <v>0</v>
      </c>
      <c r="CX23" s="88">
        <f>MAX(BH23,($E23*IF(CX$2&gt;Inputs!$D$5,0,IF(CX$2&gt;VLOOKUP($H23,Lists!$P$3:$Q$7,2),IF($N23=Lists!$K$3,IF($L23&lt;1,(($U23/$L23)*((1+Inputs!$D$7)^CX$2)),((INT(CX$2/$L23)-INT((CX$2-1)/$L23))*$U23*((1+Inputs!$D$7)^CX$2))),(Inputs!$D$8^((1-_xlfn.WEIBULL.DIST(CX$2,$M23,$L23,FALSE))/_xlfn.WEIBULL.DIST(CX$2,$M23,$L23,FALSE))*$U23*((1+Inputs!$D$7)^CX$2))),IF($N23=Lists!$K$3,IF($L23&lt;1,((($T23*(1-$F23)+$S23*(1-$G23))/$L23)*((1+Inputs!$D$7)^CX$2)),((INT(CX$2/$L23)-INT((CX$2-1)/$L23))*($T23*(1-$F23)+$S23*(1-$G23))*((1+Inputs!$D$7)^CX$2))),((Inputs!$D$8^((1-_xlfn.WEIBULL.DIST(CX$2,$M23,$L23,FALSE))/_xlfn.WEIBULL.DIST(CX$2,$M23,$L23,FALSE))*($T23*(1-$F23)+$S23*(1-$G23))*((1+Inputs!$D$7)^CX$2))))))))</f>
        <v>0</v>
      </c>
      <c r="CY23" s="88">
        <f>MAX(BI23,($E23*IF(CY$2&gt;Inputs!$D$5,0,IF(CY$2&gt;VLOOKUP($H23,Lists!$P$3:$Q$7,2),IF($N23=Lists!$K$3,IF($L23&lt;1,(($U23/$L23)*((1+Inputs!$D$7)^CY$2)),((INT(CY$2/$L23)-INT((CY$2-1)/$L23))*$U23*((1+Inputs!$D$7)^CY$2))),(Inputs!$D$8^((1-_xlfn.WEIBULL.DIST(CY$2,$M23,$L23,FALSE))/_xlfn.WEIBULL.DIST(CY$2,$M23,$L23,FALSE))*$U23*((1+Inputs!$D$7)^CY$2))),IF($N23=Lists!$K$3,IF($L23&lt;1,((($T23*(1-$F23)+$S23*(1-$G23))/$L23)*((1+Inputs!$D$7)^CY$2)),((INT(CY$2/$L23)-INT((CY$2-1)/$L23))*($T23*(1-$F23)+$S23*(1-$G23))*((1+Inputs!$D$7)^CY$2))),((Inputs!$D$8^((1-_xlfn.WEIBULL.DIST(CY$2,$M23,$L23,FALSE))/_xlfn.WEIBULL.DIST(CY$2,$M23,$L23,FALSE))*($T23*(1-$F23)+$S23*(1-$G23))*((1+Inputs!$D$7)^CY$2))))))))</f>
        <v>0</v>
      </c>
      <c r="CZ23" s="88">
        <f>MAX(BJ23,($E23*IF(CZ$2&gt;Inputs!$D$5,0,IF(CZ$2&gt;VLOOKUP($H23,Lists!$P$3:$Q$7,2),IF($N23=Lists!$K$3,IF($L23&lt;1,(($U23/$L23)*((1+Inputs!$D$7)^CZ$2)),((INT(CZ$2/$L23)-INT((CZ$2-1)/$L23))*$U23*((1+Inputs!$D$7)^CZ$2))),(Inputs!$D$8^((1-_xlfn.WEIBULL.DIST(CZ$2,$M23,$L23,FALSE))/_xlfn.WEIBULL.DIST(CZ$2,$M23,$L23,FALSE))*$U23*((1+Inputs!$D$7)^CZ$2))),IF($N23=Lists!$K$3,IF($L23&lt;1,((($T23*(1-$F23)+$S23*(1-$G23))/$L23)*((1+Inputs!$D$7)^CZ$2)),((INT(CZ$2/$L23)-INT((CZ$2-1)/$L23))*($T23*(1-$F23)+$S23*(1-$G23))*((1+Inputs!$D$7)^CZ$2))),((Inputs!$D$8^((1-_xlfn.WEIBULL.DIST(CZ$2,$M23,$L23,FALSE))/_xlfn.WEIBULL.DIST(CZ$2,$M23,$L23,FALSE))*($T23*(1-$F23)+$S23*(1-$G23))*((1+Inputs!$D$7)^CZ$2))))))))</f>
        <v>0</v>
      </c>
      <c r="DA23" s="88">
        <f>MAX(BK23,($E23*IF(DA$2&gt;Inputs!$D$5,0,IF(DA$2&gt;VLOOKUP($H23,Lists!$P$3:$Q$7,2),IF($N23=Lists!$K$3,IF($L23&lt;1,(($U23/$L23)*((1+Inputs!$D$7)^DA$2)),((INT(DA$2/$L23)-INT((DA$2-1)/$L23))*$U23*((1+Inputs!$D$7)^DA$2))),(Inputs!$D$8^((1-_xlfn.WEIBULL.DIST(DA$2,$M23,$L23,FALSE))/_xlfn.WEIBULL.DIST(DA$2,$M23,$L23,FALSE))*$U23*((1+Inputs!$D$7)^DA$2))),IF($N23=Lists!$K$3,IF($L23&lt;1,((($T23*(1-$F23)+$S23*(1-$G23))/$L23)*((1+Inputs!$D$7)^DA$2)),((INT(DA$2/$L23)-INT((DA$2-1)/$L23))*($T23*(1-$F23)+$S23*(1-$G23))*((1+Inputs!$D$7)^DA$2))),((Inputs!$D$8^((1-_xlfn.WEIBULL.DIST(DA$2,$M23,$L23,FALSE))/_xlfn.WEIBULL.DIST(DA$2,$M23,$L23,FALSE))*($T23*(1-$F23)+$S23*(1-$G23))*((1+Inputs!$D$7)^DA$2))))))))</f>
        <v>0</v>
      </c>
      <c r="DB23" s="88">
        <f>MAX(BL23,($E23*IF(DB$2&gt;Inputs!$D$5,0,IF(DB$2&gt;VLOOKUP($H23,Lists!$P$3:$Q$7,2),IF($N23=Lists!$K$3,IF($L23&lt;1,(($U23/$L23)*((1+Inputs!$D$7)^DB$2)),((INT(DB$2/$L23)-INT((DB$2-1)/$L23))*$U23*((1+Inputs!$D$7)^DB$2))),(Inputs!$D$8^((1-_xlfn.WEIBULL.DIST(DB$2,$M23,$L23,FALSE))/_xlfn.WEIBULL.DIST(DB$2,$M23,$L23,FALSE))*$U23*((1+Inputs!$D$7)^DB$2))),IF($N23=Lists!$K$3,IF($L23&lt;1,((($T23*(1-$F23)+$S23*(1-$G23))/$L23)*((1+Inputs!$D$7)^DB$2)),((INT(DB$2/$L23)-INT((DB$2-1)/$L23))*($T23*(1-$F23)+$S23*(1-$G23))*((1+Inputs!$D$7)^DB$2))),((Inputs!$D$8^((1-_xlfn.WEIBULL.DIST(DB$2,$M23,$L23,FALSE))/_xlfn.WEIBULL.DIST(DB$2,$M23,$L23,FALSE))*($T23*(1-$F23)+$S23*(1-$G23))*((1+Inputs!$D$7)^DB$2))))))))</f>
        <v>0</v>
      </c>
      <c r="DC23" s="88">
        <f>MAX(BM23,($E23*IF(DC$2&gt;Inputs!$D$5,0,IF(DC$2&gt;VLOOKUP($H23,Lists!$P$3:$Q$7,2),IF($N23=Lists!$K$3,IF($L23&lt;1,(($U23/$L23)*((1+Inputs!$D$7)^DC$2)),((INT(DC$2/$L23)-INT((DC$2-1)/$L23))*$U23*((1+Inputs!$D$7)^DC$2))),(Inputs!$D$8^((1-_xlfn.WEIBULL.DIST(DC$2,$M23,$L23,FALSE))/_xlfn.WEIBULL.DIST(DC$2,$M23,$L23,FALSE))*$U23*((1+Inputs!$D$7)^DC$2))),IF($N23=Lists!$K$3,IF($L23&lt;1,((($T23*(1-$F23)+$S23*(1-$G23))/$L23)*((1+Inputs!$D$7)^DC$2)),((INT(DC$2/$L23)-INT((DC$2-1)/$L23))*($T23*(1-$F23)+$S23*(1-$G23))*((1+Inputs!$D$7)^DC$2))),((Inputs!$D$8^((1-_xlfn.WEIBULL.DIST(DC$2,$M23,$L23,FALSE))/_xlfn.WEIBULL.DIST(DC$2,$M23,$L23,FALSE))*($T23*(1-$F23)+$S23*(1-$G23))*((1+Inputs!$D$7)^DC$2))))))))</f>
        <v>0</v>
      </c>
      <c r="DD23" s="88">
        <f>MAX(BN23,($E23*IF(DD$2&gt;Inputs!$D$5,0,IF(DD$2&gt;VLOOKUP($H23,Lists!$P$3:$Q$7,2),IF($N23=Lists!$K$3,IF($L23&lt;1,(($U23/$L23)*((1+Inputs!$D$7)^DD$2)),((INT(DD$2/$L23)-INT((DD$2-1)/$L23))*$U23*((1+Inputs!$D$7)^DD$2))),(Inputs!$D$8^((1-_xlfn.WEIBULL.DIST(DD$2,$M23,$L23,FALSE))/_xlfn.WEIBULL.DIST(DD$2,$M23,$L23,FALSE))*$U23*((1+Inputs!$D$7)^DD$2))),IF($N23=Lists!$K$3,IF($L23&lt;1,((($T23*(1-$F23)+$S23*(1-$G23))/$L23)*((1+Inputs!$D$7)^DD$2)),((INT(DD$2/$L23)-INT((DD$2-1)/$L23))*($T23*(1-$F23)+$S23*(1-$G23))*((1+Inputs!$D$7)^DD$2))),((Inputs!$D$8^((1-_xlfn.WEIBULL.DIST(DD$2,$M23,$L23,FALSE))/_xlfn.WEIBULL.DIST(DD$2,$M23,$L23,FALSE))*($T23*(1-$F23)+$S23*(1-$G23))*((1+Inputs!$D$7)^DD$2))))))))</f>
        <v>0</v>
      </c>
    </row>
    <row r="24" spans="1:108" s="1" customFormat="1" ht="16">
      <c r="A24" s="57" t="s">
        <v>219</v>
      </c>
      <c r="B24" s="13" t="s">
        <v>130</v>
      </c>
      <c r="C24" s="13" t="s">
        <v>474</v>
      </c>
      <c r="D24" s="13" t="s">
        <v>214</v>
      </c>
      <c r="E24" s="48">
        <f>IF(Inputs!$D$30=Lists!$M$4,1,0)</f>
        <v>1</v>
      </c>
      <c r="F24" s="48">
        <v>1</v>
      </c>
      <c r="G24" s="48">
        <v>1</v>
      </c>
      <c r="H24" s="105" t="s">
        <v>350</v>
      </c>
      <c r="I24" s="14"/>
      <c r="J24" s="14" t="s">
        <v>88</v>
      </c>
      <c r="K24" s="13">
        <f>VLOOKUP(J24,'Labor Rates'!$A$1:$F$16,2)</f>
        <v>19.903846153846153</v>
      </c>
      <c r="L24" s="15">
        <v>25</v>
      </c>
      <c r="M24" s="15">
        <v>3</v>
      </c>
      <c r="N24" s="16" t="s">
        <v>226</v>
      </c>
      <c r="O24" s="61">
        <v>1</v>
      </c>
      <c r="P24" s="15">
        <v>4</v>
      </c>
      <c r="Q24" s="15">
        <f t="shared" si="0"/>
        <v>0.16</v>
      </c>
      <c r="R24" s="4">
        <v>100</v>
      </c>
      <c r="S24" s="53">
        <f t="shared" si="1"/>
        <v>79.615384615384613</v>
      </c>
      <c r="T24" s="53">
        <f t="shared" si="2"/>
        <v>100</v>
      </c>
      <c r="U24" s="54">
        <f t="shared" si="3"/>
        <v>179.61538461538461</v>
      </c>
      <c r="V24" s="65"/>
      <c r="W24" s="58"/>
      <c r="X24" s="64">
        <f t="shared" si="4"/>
        <v>5.1143152711156077</v>
      </c>
      <c r="Y24" s="64">
        <f>NPV(Inputs!$D$6,AA24:BN24)</f>
        <v>52.135874887913246</v>
      </c>
      <c r="Z24" s="67">
        <f t="shared" si="5"/>
        <v>2.4589823907460121E-5</v>
      </c>
      <c r="AA24" s="88">
        <f>$E24*IF(AA$2&gt;Inputs!$D$5,0,IF(AA$2&gt;VLOOKUP($H24,Lists!$P$3:$Q$7,2),IF($N24=Lists!$K$3,IF($L24&lt;1,(($U24/$L24)*((1+Inputs!$D$7)^AA$2)),((INT(AA$2/$L24)-INT((AA$2-1)/$L24))*$U24*((1+Inputs!$D$7)^AA$2))),(_xlfn.WEIBULL.DIST(AA$2,$M24,$L24,FALSE)*$U24*((1+Inputs!$D$7)^AA$2))),IF($N24=Lists!$K$3,IF($L24&lt;1,((($T24*(1-$F24)+$S24*(1-$G24))/$L24)*((1+Inputs!$D$7)^AA$2)),((INT(AA$2/$L24)-INT((AA$2-1)/$L24))*($T24*(1-$F24)+$S24*(1-$G24))*((1+Inputs!$D$7)^AA$2))),((_xlfn.WEIBULL.DIST(AA$2,$M24,$L24,FALSE)*($T24*(1-$F24)+$S24*(1-$G24))*((1+Inputs!$D$7)^AA$2))))))</f>
        <v>3.5173625738992548E-2</v>
      </c>
      <c r="AB24" s="88">
        <f>$E24*IF(AB$2&gt;Inputs!$D$5,0,IF(AB$2&gt;VLOOKUP($H24,Lists!$P$3:$Q$7,2),IF($N24=Lists!$K$3,IF($L24&lt;1,(($U24/$L24)*((1+Inputs!$D$7)^AB$2)),((INT(AB$2/$L24)-INT((AB$2-1)/$L24))*$U24*((1+Inputs!$D$7)^AB$2))),(_xlfn.WEIBULL.DIST(AB$2,$M24,$L24,FALSE)*$U24*((1+Inputs!$D$7)^AB$2))),IF($N24=Lists!$K$3,IF($L24&lt;1,((($T24*(1-$F24)+$S24*(1-$G24))/$L24)*((1+Inputs!$D$7)^AB$2)),((INT(AB$2/$L24)-INT((AB$2-1)/$L24))*($T24*(1-$F24)+$S24*(1-$G24))*((1+Inputs!$D$7)^AB$2))),((_xlfn.WEIBULL.DIST(AB$2,$M24,$L24,FALSE)*($T24*(1-$F24)+$S24*(1-$G24))*((1+Inputs!$D$7)^AB$2))))))</f>
        <v>0.14344411565422269</v>
      </c>
      <c r="AC24" s="88">
        <f>$E24*IF(AC$2&gt;Inputs!$D$5,0,IF(AC$2&gt;VLOOKUP($H24,Lists!$P$3:$Q$7,2),IF($N24=Lists!$K$3,IF($L24&lt;1,(($U24/$L24)*((1+Inputs!$D$7)^AC$2)),((INT(AC$2/$L24)-INT((AC$2-1)/$L24))*$U24*((1+Inputs!$D$7)^AC$2))),(_xlfn.WEIBULL.DIST(AC$2,$M24,$L24,FALSE)*$U24*((1+Inputs!$D$7)^AC$2))),IF($N24=Lists!$K$3,IF($L24&lt;1,((($T24*(1-$F24)+$S24*(1-$G24))/$L24)*((1+Inputs!$D$7)^AC$2)),((INT(AC$2/$L24)-INT((AC$2-1)/$L24))*($T24*(1-$F24)+$S24*(1-$G24))*((1+Inputs!$D$7)^AC$2))),((_xlfn.WEIBULL.DIST(AC$2,$M24,$L24,FALSE)*($T24*(1-$F24)+$S24*(1-$G24))*((1+Inputs!$D$7)^AC$2))))))</f>
        <v>0.32880417635529491</v>
      </c>
      <c r="AD24" s="88">
        <f>$E24*IF(AD$2&gt;Inputs!$D$5,0,IF(AD$2&gt;VLOOKUP($H24,Lists!$P$3:$Q$7,2),IF($N24=Lists!$K$3,IF($L24&lt;1,(($U24/$L24)*((1+Inputs!$D$7)^AD$2)),((INT(AD$2/$L24)-INT((AD$2-1)/$L24))*$U24*((1+Inputs!$D$7)^AD$2))),(_xlfn.WEIBULL.DIST(AD$2,$M24,$L24,FALSE)*$U24*((1+Inputs!$D$7)^AD$2))),IF($N24=Lists!$K$3,IF($L24&lt;1,((($T24*(1-$F24)+$S24*(1-$G24))/$L24)*((1+Inputs!$D$7)^AD$2)),((INT(AD$2/$L24)-INT((AD$2-1)/$L24))*($T24*(1-$F24)+$S24*(1-$G24))*((1+Inputs!$D$7)^AD$2))),((_xlfn.WEIBULL.DIST(AD$2,$M24,$L24,FALSE)*($T24*(1-$F24)+$S24*(1-$G24))*((1+Inputs!$D$7)^AD$2))))))</f>
        <v>0.5948213671020085</v>
      </c>
      <c r="AE24" s="88">
        <f>$E24*IF(AE$2&gt;Inputs!$D$5,0,IF(AE$2&gt;VLOOKUP($H24,Lists!$P$3:$Q$7,2),IF($N24=Lists!$K$3,IF($L24&lt;1,(($U24/$L24)*((1+Inputs!$D$7)^AE$2)),((INT(AE$2/$L24)-INT((AE$2-1)/$L24))*$U24*((1+Inputs!$D$7)^AE$2))),(_xlfn.WEIBULL.DIST(AE$2,$M24,$L24,FALSE)*$U24*((1+Inputs!$D$7)^AE$2))),IF($N24=Lists!$K$3,IF($L24&lt;1,((($T24*(1-$F24)+$S24*(1-$G24))/$L24)*((1+Inputs!$D$7)^AE$2)),((INT(AE$2/$L24)-INT((AE$2-1)/$L24))*($T24*(1-$F24)+$S24*(1-$G24))*((1+Inputs!$D$7)^AE$2))),((_xlfn.WEIBULL.DIST(AE$2,$M24,$L24,FALSE)*($T24*(1-$F24)+$S24*(1-$G24))*((1+Inputs!$D$7)^AE$2))))))</f>
        <v>0.94430279019077235</v>
      </c>
      <c r="AF24" s="88">
        <f>$E24*IF(AF$2&gt;Inputs!$D$5,0,IF(AF$2&gt;VLOOKUP($H24,Lists!$P$3:$Q$7,2),IF($N24=Lists!$K$3,IF($L24&lt;1,(($U24/$L24)*((1+Inputs!$D$7)^AF$2)),((INT(AF$2/$L24)-INT((AF$2-1)/$L24))*$U24*((1+Inputs!$D$7)^AF$2))),(_xlfn.WEIBULL.DIST(AF$2,$M24,$L24,FALSE)*$U24*((1+Inputs!$D$7)^AF$2))),IF($N24=Lists!$K$3,IF($L24&lt;1,((($T24*(1-$F24)+$S24*(1-$G24))/$L24)*((1+Inputs!$D$7)^AF$2)),((INT(AF$2/$L24)-INT((AF$2-1)/$L24))*($T24*(1-$F24)+$S24*(1-$G24))*((1+Inputs!$D$7)^AF$2))),((_xlfn.WEIBULL.DIST(AF$2,$M24,$L24,FALSE)*($T24*(1-$F24)+$S24*(1-$G24))*((1+Inputs!$D$7)^AF$2))))))</f>
        <v>1.3789375742581365</v>
      </c>
      <c r="AG24" s="88">
        <f>$E24*IF(AG$2&gt;Inputs!$D$5,0,IF(AG$2&gt;VLOOKUP($H24,Lists!$P$3:$Q$7,2),IF($N24=Lists!$K$3,IF($L24&lt;1,(($U24/$L24)*((1+Inputs!$D$7)^AG$2)),((INT(AG$2/$L24)-INT((AG$2-1)/$L24))*$U24*((1+Inputs!$D$7)^AG$2))),(_xlfn.WEIBULL.DIST(AG$2,$M24,$L24,FALSE)*$U24*((1+Inputs!$D$7)^AG$2))),IF($N24=Lists!$K$3,IF($L24&lt;1,((($T24*(1-$F24)+$S24*(1-$G24))/$L24)*((1+Inputs!$D$7)^AG$2)),((INT(AG$2/$L24)-INT((AG$2-1)/$L24))*($T24*(1-$F24)+$S24*(1-$G24))*((1+Inputs!$D$7)^AG$2))),((_xlfn.WEIBULL.DIST(AG$2,$M24,$L24,FALSE)*($T24*(1-$F24)+$S24*(1-$G24))*((1+Inputs!$D$7)^AG$2))))))</f>
        <v>1.89892761920692</v>
      </c>
      <c r="AH24" s="88">
        <f>$E24*IF(AH$2&gt;Inputs!$D$5,0,IF(AH$2&gt;VLOOKUP($H24,Lists!$P$3:$Q$7,2),IF($N24=Lists!$K$3,IF($L24&lt;1,(($U24/$L24)*((1+Inputs!$D$7)^AH$2)),((INT(AH$2/$L24)-INT((AH$2-1)/$L24))*$U24*((1+Inputs!$D$7)^AH$2))),(_xlfn.WEIBULL.DIST(AH$2,$M24,$L24,FALSE)*$U24*((1+Inputs!$D$7)^AH$2))),IF($N24=Lists!$K$3,IF($L24&lt;1,((($T24*(1-$F24)+$S24*(1-$G24))/$L24)*((1+Inputs!$D$7)^AH$2)),((INT(AH$2/$L24)-INT((AH$2-1)/$L24))*($T24*(1-$F24)+$S24*(1-$G24))*((1+Inputs!$D$7)^AH$2))),((_xlfn.WEIBULL.DIST(AH$2,$M24,$L24,FALSE)*($T24*(1-$F24)+$S24*(1-$G24))*((1+Inputs!$D$7)^AH$2))))))</f>
        <v>2.5026213647505098</v>
      </c>
      <c r="AI24" s="88">
        <f>$E24*IF(AI$2&gt;Inputs!$D$5,0,IF(AI$2&gt;VLOOKUP($H24,Lists!$P$3:$Q$7,2),IF($N24=Lists!$K$3,IF($L24&lt;1,(($U24/$L24)*((1+Inputs!$D$7)^AI$2)),((INT(AI$2/$L24)-INT((AI$2-1)/$L24))*$U24*((1+Inputs!$D$7)^AI$2))),(_xlfn.WEIBULL.DIST(AI$2,$M24,$L24,FALSE)*$U24*((1+Inputs!$D$7)^AI$2))),IF($N24=Lists!$K$3,IF($L24&lt;1,((($T24*(1-$F24)+$S24*(1-$G24))/$L24)*((1+Inputs!$D$7)^AI$2)),((INT(AI$2/$L24)-INT((AI$2-1)/$L24))*($T24*(1-$F24)+$S24*(1-$G24))*((1+Inputs!$D$7)^AI$2))),((_xlfn.WEIBULL.DIST(AI$2,$M24,$L24,FALSE)*($T24*(1-$F24)+$S24*(1-$G24))*((1+Inputs!$D$7)^AI$2))))))</f>
        <v>3.1861695492700584</v>
      </c>
      <c r="AJ24" s="88">
        <f>$E24*IF(AJ$2&gt;Inputs!$D$5,0,IF(AJ$2&gt;VLOOKUP($H24,Lists!$P$3:$Q$7,2),IF($N24=Lists!$K$3,IF($L24&lt;1,(($U24/$L24)*((1+Inputs!$D$7)^AJ$2)),((INT(AJ$2/$L24)-INT((AJ$2-1)/$L24))*$U24*((1+Inputs!$D$7)^AJ$2))),(_xlfn.WEIBULL.DIST(AJ$2,$M24,$L24,FALSE)*$U24*((1+Inputs!$D$7)^AJ$2))),IF($N24=Lists!$K$3,IF($L24&lt;1,((($T24*(1-$F24)+$S24*(1-$G24))/$L24)*((1+Inputs!$D$7)^AJ$2)),((INT(AJ$2/$L24)-INT((AJ$2-1)/$L24))*($T24*(1-$F24)+$S24*(1-$G24))*((1+Inputs!$D$7)^AJ$2))),((_xlfn.WEIBULL.DIST(AJ$2,$M24,$L24,FALSE)*($T24*(1-$F24)+$S24*(1-$G24))*((1+Inputs!$D$7)^AJ$2))))))</f>
        <v>3.9432256673416828</v>
      </c>
      <c r="AK24" s="88">
        <f>$E24*IF(AK$2&gt;Inputs!$D$5,0,IF(AK$2&gt;VLOOKUP($H24,Lists!$P$3:$Q$7,2),IF($N24=Lists!$K$3,IF($L24&lt;1,(($U24/$L24)*((1+Inputs!$D$7)^AK$2)),((INT(AK$2/$L24)-INT((AK$2-1)/$L24))*$U24*((1+Inputs!$D$7)^AK$2))),(_xlfn.WEIBULL.DIST(AK$2,$M24,$L24,FALSE)*$U24*((1+Inputs!$D$7)^AK$2))),IF($N24=Lists!$K$3,IF($L24&lt;1,((($T24*(1-$F24)+$S24*(1-$G24))/$L24)*((1+Inputs!$D$7)^AK$2)),((INT(AK$2/$L24)-INT((AK$2-1)/$L24))*($T24*(1-$F24)+$S24*(1-$G24))*((1+Inputs!$D$7)^AK$2))),((_xlfn.WEIBULL.DIST(AK$2,$M24,$L24,FALSE)*($T24*(1-$F24)+$S24*(1-$G24))*((1+Inputs!$D$7)^AK$2))))))</f>
        <v>4.7647166598604622</v>
      </c>
      <c r="AL24" s="88">
        <f>$E24*IF(AL$2&gt;Inputs!$D$5,0,IF(AL$2&gt;VLOOKUP($H24,Lists!$P$3:$Q$7,2),IF($N24=Lists!$K$3,IF($L24&lt;1,(($U24/$L24)*((1+Inputs!$D$7)^AL$2)),((INT(AL$2/$L24)-INT((AL$2-1)/$L24))*$U24*((1+Inputs!$D$7)^AL$2))),(_xlfn.WEIBULL.DIST(AL$2,$M24,$L24,FALSE)*$U24*((1+Inputs!$D$7)^AL$2))),IF($N24=Lists!$K$3,IF($L24&lt;1,((($T24*(1-$F24)+$S24*(1-$G24))/$L24)*((1+Inputs!$D$7)^AL$2)),((INT(AL$2/$L24)-INT((AL$2-1)/$L24))*($T24*(1-$F24)+$S24*(1-$G24))*((1+Inputs!$D$7)^AL$2))),((_xlfn.WEIBULL.DIST(AL$2,$M24,$L24,FALSE)*($T24*(1-$F24)+$S24*(1-$G24))*((1+Inputs!$D$7)^AL$2))))))</f>
        <v>5.6387107775251666</v>
      </c>
      <c r="AM24" s="88">
        <f>$E24*IF(AM$2&gt;Inputs!$D$5,0,IF(AM$2&gt;VLOOKUP($H24,Lists!$P$3:$Q$7,2),IF($N24=Lists!$K$3,IF($L24&lt;1,(($U24/$L24)*((1+Inputs!$D$7)^AM$2)),((INT(AM$2/$L24)-INT((AM$2-1)/$L24))*$U24*((1+Inputs!$D$7)^AM$2))),(_xlfn.WEIBULL.DIST(AM$2,$M24,$L24,FALSE)*$U24*((1+Inputs!$D$7)^AM$2))),IF($N24=Lists!$K$3,IF($L24&lt;1,((($T24*(1-$F24)+$S24*(1-$G24))/$L24)*((1+Inputs!$D$7)^AM$2)),((INT(AM$2/$L24)-INT((AM$2-1)/$L24))*($T24*(1-$F24)+$S24*(1-$G24))*((1+Inputs!$D$7)^AM$2))),((_xlfn.WEIBULL.DIST(AM$2,$M24,$L24,FALSE)*($T24*(1-$F24)+$S24*(1-$G24))*((1+Inputs!$D$7)^AM$2))))))</f>
        <v>6.5504090395159595</v>
      </c>
      <c r="AN24" s="88">
        <f>$E24*IF(AN$2&gt;Inputs!$D$5,0,IF(AN$2&gt;VLOOKUP($H24,Lists!$P$3:$Q$7,2),IF($N24=Lists!$K$3,IF($L24&lt;1,(($U24/$L24)*((1+Inputs!$D$7)^AN$2)),((INT(AN$2/$L24)-INT((AN$2-1)/$L24))*$U24*((1+Inputs!$D$7)^AN$2))),(_xlfn.WEIBULL.DIST(AN$2,$M24,$L24,FALSE)*$U24*((1+Inputs!$D$7)^AN$2))),IF($N24=Lists!$K$3,IF($L24&lt;1,((($T24*(1-$F24)+$S24*(1-$G24))/$L24)*((1+Inputs!$D$7)^AN$2)),((INT(AN$2/$L24)-INT((AN$2-1)/$L24))*($T24*(1-$F24)+$S24*(1-$G24))*((1+Inputs!$D$7)^AN$2))),((_xlfn.WEIBULL.DIST(AN$2,$M24,$L24,FALSE)*($T24*(1-$F24)+$S24*(1-$G24))*((1+Inputs!$D$7)^AN$2))))))</f>
        <v>7.4822838137743481</v>
      </c>
      <c r="AO24" s="88">
        <f>$E24*IF(AO$2&gt;Inputs!$D$5,0,IF(AO$2&gt;VLOOKUP($H24,Lists!$P$3:$Q$7,2),IF($N24=Lists!$K$3,IF($L24&lt;1,(($U24/$L24)*((1+Inputs!$D$7)^AO$2)),((INT(AO$2/$L24)-INT((AO$2-1)/$L24))*$U24*((1+Inputs!$D$7)^AO$2))),(_xlfn.WEIBULL.DIST(AO$2,$M24,$L24,FALSE)*$U24*((1+Inputs!$D$7)^AO$2))),IF($N24=Lists!$K$3,IF($L24&lt;1,((($T24*(1-$F24)+$S24*(1-$G24))/$L24)*((1+Inputs!$D$7)^AO$2)),((INT(AO$2/$L24)-INT((AO$2-1)/$L24))*($T24*(1-$F24)+$S24*(1-$G24))*((1+Inputs!$D$7)^AO$2))),((_xlfn.WEIBULL.DIST(AO$2,$M24,$L24,FALSE)*($T24*(1-$F24)+$S24*(1-$G24))*((1+Inputs!$D$7)^AO$2))))))</f>
        <v>8.4143824517798809</v>
      </c>
      <c r="AP24" s="88">
        <f>$E24*IF(AP$2&gt;Inputs!$D$5,0,IF(AP$2&gt;VLOOKUP($H24,Lists!$P$3:$Q$7,2),IF($N24=Lists!$K$3,IF($L24&lt;1,(($U24/$L24)*((1+Inputs!$D$7)^AP$2)),((INT(AP$2/$L24)-INT((AP$2-1)/$L24))*$U24*((1+Inputs!$D$7)^AP$2))),(_xlfn.WEIBULL.DIST(AP$2,$M24,$L24,FALSE)*$U24*((1+Inputs!$D$7)^AP$2))),IF($N24=Lists!$K$3,IF($L24&lt;1,((($T24*(1-$F24)+$S24*(1-$G24))/$L24)*((1+Inputs!$D$7)^AP$2)),((INT(AP$2/$L24)-INT((AP$2-1)/$L24))*($T24*(1-$F24)+$S24*(1-$G24))*((1+Inputs!$D$7)^AP$2))),((_xlfn.WEIBULL.DIST(AP$2,$M24,$L24,FALSE)*($T24*(1-$F24)+$S24*(1-$G24))*((1+Inputs!$D$7)^AP$2))))))</f>
        <v>9.3248055048480047</v>
      </c>
      <c r="AQ24" s="88">
        <f>$E24*IF(AQ$2&gt;Inputs!$D$5,0,IF(AQ$2&gt;VLOOKUP($H24,Lists!$P$3:$Q$7,2),IF($N24=Lists!$K$3,IF($L24&lt;1,(($U24/$L24)*((1+Inputs!$D$7)^AQ$2)),((INT(AQ$2/$L24)-INT((AQ$2-1)/$L24))*$U24*((1+Inputs!$D$7)^AQ$2))),(_xlfn.WEIBULL.DIST(AQ$2,$M24,$L24,FALSE)*$U24*((1+Inputs!$D$7)^AQ$2))),IF($N24=Lists!$K$3,IF($L24&lt;1,((($T24*(1-$F24)+$S24*(1-$G24))/$L24)*((1+Inputs!$D$7)^AQ$2)),((INT(AQ$2/$L24)-INT((AQ$2-1)/$L24))*($T24*(1-$F24)+$S24*(1-$G24))*((1+Inputs!$D$7)^AQ$2))),((_xlfn.WEIBULL.DIST(AQ$2,$M24,$L24,FALSE)*($T24*(1-$F24)+$S24*(1-$G24))*((1+Inputs!$D$7)^AQ$2))))))</f>
        <v>10.190357997474097</v>
      </c>
      <c r="AR24" s="88">
        <f>$E24*IF(AR$2&gt;Inputs!$D$5,0,IF(AR$2&gt;VLOOKUP($H24,Lists!$P$3:$Q$7,2),IF($N24=Lists!$K$3,IF($L24&lt;1,(($U24/$L24)*((1+Inputs!$D$7)^AR$2)),((INT(AR$2/$L24)-INT((AR$2-1)/$L24))*$U24*((1+Inputs!$D$7)^AR$2))),(_xlfn.WEIBULL.DIST(AR$2,$M24,$L24,FALSE)*$U24*((1+Inputs!$D$7)^AR$2))),IF($N24=Lists!$K$3,IF($L24&lt;1,((($T24*(1-$F24)+$S24*(1-$G24))/$L24)*((1+Inputs!$D$7)^AR$2)),((INT(AR$2/$L24)-INT((AR$2-1)/$L24))*($T24*(1-$F24)+$S24*(1-$G24))*((1+Inputs!$D$7)^AR$2))),((_xlfn.WEIBULL.DIST(AR$2,$M24,$L24,FALSE)*($T24*(1-$F24)+$S24*(1-$G24))*((1+Inputs!$D$7)^AR$2))))))</f>
        <v>10.9873590402586</v>
      </c>
      <c r="AS24" s="88">
        <f>$E24*IF(AS$2&gt;Inputs!$D$5,0,IF(AS$2&gt;VLOOKUP($H24,Lists!$P$3:$Q$7,2),IF($N24=Lists!$K$3,IF($L24&lt;1,(($U24/$L24)*((1+Inputs!$D$7)^AS$2)),((INT(AS$2/$L24)-INT((AS$2-1)/$L24))*$U24*((1+Inputs!$D$7)^AS$2))),(_xlfn.WEIBULL.DIST(AS$2,$M24,$L24,FALSE)*$U24*((1+Inputs!$D$7)^AS$2))),IF($N24=Lists!$K$3,IF($L24&lt;1,((($T24*(1-$F24)+$S24*(1-$G24))/$L24)*((1+Inputs!$D$7)^AS$2)),((INT(AS$2/$L24)-INT((AS$2-1)/$L24))*($T24*(1-$F24)+$S24*(1-$G24))*((1+Inputs!$D$7)^AS$2))),((_xlfn.WEIBULL.DIST(AS$2,$M24,$L24,FALSE)*($T24*(1-$F24)+$S24*(1-$G24))*((1+Inputs!$D$7)^AS$2))))))</f>
        <v>11.692580597234038</v>
      </c>
      <c r="AT24" s="88">
        <f>$E24*IF(AT$2&gt;Inputs!$D$5,0,IF(AT$2&gt;VLOOKUP($H24,Lists!$P$3:$Q$7,2),IF($N24=Lists!$K$3,IF($L24&lt;1,(($U24/$L24)*((1+Inputs!$D$7)^AT$2)),((INT(AT$2/$L24)-INT((AT$2-1)/$L24))*$U24*((1+Inputs!$D$7)^AT$2))),(_xlfn.WEIBULL.DIST(AT$2,$M24,$L24,FALSE)*$U24*((1+Inputs!$D$7)^AT$2))),IF($N24=Lists!$K$3,IF($L24&lt;1,((($T24*(1-$F24)+$S24*(1-$G24))/$L24)*((1+Inputs!$D$7)^AT$2)),((INT(AT$2/$L24)-INT((AT$2-1)/$L24))*($T24*(1-$F24)+$S24*(1-$G24))*((1+Inputs!$D$7)^AT$2))),((_xlfn.WEIBULL.DIST(AT$2,$M24,$L24,FALSE)*($T24*(1-$F24)+$S24*(1-$G24))*((1+Inputs!$D$7)^AT$2))))))</f>
        <v>12.284271690172993</v>
      </c>
      <c r="AU24" s="88">
        <f>$E24*IF(AU$2&gt;Inputs!$D$5,0,IF(AU$2&gt;VLOOKUP($H24,Lists!$P$3:$Q$7,2),IF($N24=Lists!$K$3,IF($L24&lt;1,(($U24/$L24)*((1+Inputs!$D$7)^AU$2)),((INT(AU$2/$L24)-INT((AU$2-1)/$L24))*$U24*((1+Inputs!$D$7)^AU$2))),(_xlfn.WEIBULL.DIST(AU$2,$M24,$L24,FALSE)*$U24*((1+Inputs!$D$7)^AU$2))),IF($N24=Lists!$K$3,IF($L24&lt;1,((($T24*(1-$F24)+$S24*(1-$G24))/$L24)*((1+Inputs!$D$7)^AU$2)),((INT(AU$2/$L24)-INT((AU$2-1)/$L24))*($T24*(1-$F24)+$S24*(1-$G24))*((1+Inputs!$D$7)^AU$2))),((_xlfn.WEIBULL.DIST(AU$2,$M24,$L24,FALSE)*($T24*(1-$F24)+$S24*(1-$G24))*((1+Inputs!$D$7)^AU$2))))))</f>
        <v>12.743211206034735</v>
      </c>
      <c r="AV24" s="88">
        <f>$E24*IF(AV$2&gt;Inputs!$D$5,0,IF(AV$2&gt;VLOOKUP($H24,Lists!$P$3:$Q$7,2),IF($N24=Lists!$K$3,IF($L24&lt;1,(($U24/$L24)*((1+Inputs!$D$7)^AV$2)),((INT(AV$2/$L24)-INT((AV$2-1)/$L24))*$U24*((1+Inputs!$D$7)^AV$2))),(_xlfn.WEIBULL.DIST(AV$2,$M24,$L24,FALSE)*$U24*((1+Inputs!$D$7)^AV$2))),IF($N24=Lists!$K$3,IF($L24&lt;1,((($T24*(1-$F24)+$S24*(1-$G24))/$L24)*((1+Inputs!$D$7)^AV$2)),((INT(AV$2/$L24)-INT((AV$2-1)/$L24))*($T24*(1-$F24)+$S24*(1-$G24))*((1+Inputs!$D$7)^AV$2))),((_xlfn.WEIBULL.DIST(AV$2,$M24,$L24,FALSE)*($T24*(1-$F24)+$S24*(1-$G24))*((1+Inputs!$D$7)^AV$2))))))</f>
        <v>13.053722392991853</v>
      </c>
      <c r="AW24" s="88">
        <f>$E24*IF(AW$2&gt;Inputs!$D$5,0,IF(AW$2&gt;VLOOKUP($H24,Lists!$P$3:$Q$7,2),IF($N24=Lists!$K$3,IF($L24&lt;1,(($U24/$L24)*((1+Inputs!$D$7)^AW$2)),((INT(AW$2/$L24)-INT((AW$2-1)/$L24))*$U24*((1+Inputs!$D$7)^AW$2))),(_xlfn.WEIBULL.DIST(AW$2,$M24,$L24,FALSE)*$U24*((1+Inputs!$D$7)^AW$2))),IF($N24=Lists!$K$3,IF($L24&lt;1,((($T24*(1-$F24)+$S24*(1-$G24))/$L24)*((1+Inputs!$D$7)^AW$2)),((INT(AW$2/$L24)-INT((AW$2-1)/$L24))*($T24*(1-$F24)+$S24*(1-$G24))*((1+Inputs!$D$7)^AW$2))),((_xlfn.WEIBULL.DIST(AW$2,$M24,$L24,FALSE)*($T24*(1-$F24)+$S24*(1-$G24))*((1+Inputs!$D$7)^AW$2))))))</f>
        <v>13.204576662756374</v>
      </c>
      <c r="AX24" s="88">
        <f>$E24*IF(AX$2&gt;Inputs!$D$5,0,IF(AX$2&gt;VLOOKUP($H24,Lists!$P$3:$Q$7,2),IF($N24=Lists!$K$3,IF($L24&lt;1,(($U24/$L24)*((1+Inputs!$D$7)^AX$2)),((INT(AX$2/$L24)-INT((AX$2-1)/$L24))*$U24*((1+Inputs!$D$7)^AX$2))),(_xlfn.WEIBULL.DIST(AX$2,$M24,$L24,FALSE)*$U24*((1+Inputs!$D$7)^AX$2))),IF($N24=Lists!$K$3,IF($L24&lt;1,((($T24*(1-$F24)+$S24*(1-$G24))/$L24)*((1+Inputs!$D$7)^AX$2)),((INT(AX$2/$L24)-INT((AX$2-1)/$L24))*($T24*(1-$F24)+$S24*(1-$G24))*((1+Inputs!$D$7)^AX$2))),((_xlfn.WEIBULL.DIST(AX$2,$M24,$L24,FALSE)*($T24*(1-$F24)+$S24*(1-$G24))*((1+Inputs!$D$7)^AX$2))))))</f>
        <v>13.189714779621394</v>
      </c>
      <c r="AY24" s="88">
        <f>$E24*IF(AY$2&gt;Inputs!$D$5,0,IF(AY$2&gt;VLOOKUP($H24,Lists!$P$3:$Q$7,2),IF($N24=Lists!$K$3,IF($L24&lt;1,(($U24/$L24)*((1+Inputs!$D$7)^AY$2)),((INT(AY$2/$L24)-INT((AY$2-1)/$L24))*$U24*((1+Inputs!$D$7)^AY$2))),(_xlfn.WEIBULL.DIST(AY$2,$M24,$L24,FALSE)*$U24*((1+Inputs!$D$7)^AY$2))),IF($N24=Lists!$K$3,IF($L24&lt;1,((($T24*(1-$F24)+$S24*(1-$G24))/$L24)*((1+Inputs!$D$7)^AY$2)),((INT(AY$2/$L24)-INT((AY$2-1)/$L24))*($T24*(1-$F24)+$S24*(1-$G24))*((1+Inputs!$D$7)^AY$2))),((_xlfn.WEIBULL.DIST(AY$2,$M24,$L24,FALSE)*($T24*(1-$F24)+$S24*(1-$G24))*((1+Inputs!$D$7)^AY$2))))))</f>
        <v>13.00872074174017</v>
      </c>
      <c r="AZ24" s="88">
        <f>$E24*IF(AZ$2&gt;Inputs!$D$5,0,IF(AZ$2&gt;VLOOKUP($H24,Lists!$P$3:$Q$7,2),IF($N24=Lists!$K$3,IF($L24&lt;1,(($U24/$L24)*((1+Inputs!$D$7)^AZ$2)),((INT(AZ$2/$L24)-INT((AZ$2-1)/$L24))*$U24*((1+Inputs!$D$7)^AZ$2))),(_xlfn.WEIBULL.DIST(AZ$2,$M24,$L24,FALSE)*$U24*((1+Inputs!$D$7)^AZ$2))),IF($N24=Lists!$K$3,IF($L24&lt;1,((($T24*(1-$F24)+$S24*(1-$G24))/$L24)*((1+Inputs!$D$7)^AZ$2)),((INT(AZ$2/$L24)-INT((AZ$2-1)/$L24))*($T24*(1-$F24)+$S24*(1-$G24))*((1+Inputs!$D$7)^AZ$2))),((_xlfn.WEIBULL.DIST(AZ$2,$M24,$L24,FALSE)*($T24*(1-$F24)+$S24*(1-$G24))*((1+Inputs!$D$7)^AZ$2))))))</f>
        <v>0</v>
      </c>
      <c r="BA24" s="88">
        <f>$E24*IF(BA$2&gt;Inputs!$D$5,0,IF(BA$2&gt;VLOOKUP($H24,Lists!$P$3:$Q$7,2),IF($N24=Lists!$K$3,IF($L24&lt;1,(($U24/$L24)*((1+Inputs!$D$7)^BA$2)),((INT(BA$2/$L24)-INT((BA$2-1)/$L24))*$U24*((1+Inputs!$D$7)^BA$2))),(_xlfn.WEIBULL.DIST(BA$2,$M24,$L24,FALSE)*$U24*((1+Inputs!$D$7)^BA$2))),IF($N24=Lists!$K$3,IF($L24&lt;1,((($T24*(1-$F24)+$S24*(1-$G24))/$L24)*((1+Inputs!$D$7)^BA$2)),((INT(BA$2/$L24)-INT((BA$2-1)/$L24))*($T24*(1-$F24)+$S24*(1-$G24))*((1+Inputs!$D$7)^BA$2))),((_xlfn.WEIBULL.DIST(BA$2,$M24,$L24,FALSE)*($T24*(1-$F24)+$S24*(1-$G24))*((1+Inputs!$D$7)^BA$2))))))</f>
        <v>0</v>
      </c>
      <c r="BB24" s="88">
        <f>$E24*IF(BB$2&gt;Inputs!$D$5,0,IF(BB$2&gt;VLOOKUP($H24,Lists!$P$3:$Q$7,2),IF($N24=Lists!$K$3,IF($L24&lt;1,(($U24/$L24)*((1+Inputs!$D$7)^BB$2)),((INT(BB$2/$L24)-INT((BB$2-1)/$L24))*$U24*((1+Inputs!$D$7)^BB$2))),(_xlfn.WEIBULL.DIST(BB$2,$M24,$L24,FALSE)*$U24*((1+Inputs!$D$7)^BB$2))),IF($N24=Lists!$K$3,IF($L24&lt;1,((($T24*(1-$F24)+$S24*(1-$G24))/$L24)*((1+Inputs!$D$7)^BB$2)),((INT(BB$2/$L24)-INT((BB$2-1)/$L24))*($T24*(1-$F24)+$S24*(1-$G24))*((1+Inputs!$D$7)^BB$2))),((_xlfn.WEIBULL.DIST(BB$2,$M24,$L24,FALSE)*($T24*(1-$F24)+$S24*(1-$G24))*((1+Inputs!$D$7)^BB$2))))))</f>
        <v>0</v>
      </c>
      <c r="BC24" s="88">
        <f>$E24*IF(BC$2&gt;Inputs!$D$5,0,IF(BC$2&gt;VLOOKUP($H24,Lists!$P$3:$Q$7,2),IF($N24=Lists!$K$3,IF($L24&lt;1,(($U24/$L24)*((1+Inputs!$D$7)^BC$2)),((INT(BC$2/$L24)-INT((BC$2-1)/$L24))*$U24*((1+Inputs!$D$7)^BC$2))),(_xlfn.WEIBULL.DIST(BC$2,$M24,$L24,FALSE)*$U24*((1+Inputs!$D$7)^BC$2))),IF($N24=Lists!$K$3,IF($L24&lt;1,((($T24*(1-$F24)+$S24*(1-$G24))/$L24)*((1+Inputs!$D$7)^BC$2)),((INT(BC$2/$L24)-INT((BC$2-1)/$L24))*($T24*(1-$F24)+$S24*(1-$G24))*((1+Inputs!$D$7)^BC$2))),((_xlfn.WEIBULL.DIST(BC$2,$M24,$L24,FALSE)*($T24*(1-$F24)+$S24*(1-$G24))*((1+Inputs!$D$7)^BC$2))))))</f>
        <v>0</v>
      </c>
      <c r="BD24" s="88">
        <f>$E24*IF(BD$2&gt;Inputs!$D$5,0,IF(BD$2&gt;VLOOKUP($H24,Lists!$P$3:$Q$7,2),IF($N24=Lists!$K$3,IF($L24&lt;1,(($U24/$L24)*((1+Inputs!$D$7)^BD$2)),((INT(BD$2/$L24)-INT((BD$2-1)/$L24))*$U24*((1+Inputs!$D$7)^BD$2))),(_xlfn.WEIBULL.DIST(BD$2,$M24,$L24,FALSE)*$U24*((1+Inputs!$D$7)^BD$2))),IF($N24=Lists!$K$3,IF($L24&lt;1,((($T24*(1-$F24)+$S24*(1-$G24))/$L24)*((1+Inputs!$D$7)^BD$2)),((INT(BD$2/$L24)-INT((BD$2-1)/$L24))*($T24*(1-$F24)+$S24*(1-$G24))*((1+Inputs!$D$7)^BD$2))),((_xlfn.WEIBULL.DIST(BD$2,$M24,$L24,FALSE)*($T24*(1-$F24)+$S24*(1-$G24))*((1+Inputs!$D$7)^BD$2))))))</f>
        <v>0</v>
      </c>
      <c r="BE24" s="88">
        <f>$E24*IF(BE$2&gt;Inputs!$D$5,0,IF(BE$2&gt;VLOOKUP($H24,Lists!$P$3:$Q$7,2),IF($N24=Lists!$K$3,IF($L24&lt;1,(($U24/$L24)*((1+Inputs!$D$7)^BE$2)),((INT(BE$2/$L24)-INT((BE$2-1)/$L24))*$U24*((1+Inputs!$D$7)^BE$2))),(_xlfn.WEIBULL.DIST(BE$2,$M24,$L24,FALSE)*$U24*((1+Inputs!$D$7)^BE$2))),IF($N24=Lists!$K$3,IF($L24&lt;1,((($T24*(1-$F24)+$S24*(1-$G24))/$L24)*((1+Inputs!$D$7)^BE$2)),((INT(BE$2/$L24)-INT((BE$2-1)/$L24))*($T24*(1-$F24)+$S24*(1-$G24))*((1+Inputs!$D$7)^BE$2))),((_xlfn.WEIBULL.DIST(BE$2,$M24,$L24,FALSE)*($T24*(1-$F24)+$S24*(1-$G24))*((1+Inputs!$D$7)^BE$2))))))</f>
        <v>0</v>
      </c>
      <c r="BF24" s="88">
        <f>$E24*IF(BF$2&gt;Inputs!$D$5,0,IF(BF$2&gt;VLOOKUP($H24,Lists!$P$3:$Q$7,2),IF($N24=Lists!$K$3,IF($L24&lt;1,(($U24/$L24)*((1+Inputs!$D$7)^BF$2)),((INT(BF$2/$L24)-INT((BF$2-1)/$L24))*$U24*((1+Inputs!$D$7)^BF$2))),(_xlfn.WEIBULL.DIST(BF$2,$M24,$L24,FALSE)*$U24*((1+Inputs!$D$7)^BF$2))),IF($N24=Lists!$K$3,IF($L24&lt;1,((($T24*(1-$F24)+$S24*(1-$G24))/$L24)*((1+Inputs!$D$7)^BF$2)),((INT(BF$2/$L24)-INT((BF$2-1)/$L24))*($T24*(1-$F24)+$S24*(1-$G24))*((1+Inputs!$D$7)^BF$2))),((_xlfn.WEIBULL.DIST(BF$2,$M24,$L24,FALSE)*($T24*(1-$F24)+$S24*(1-$G24))*((1+Inputs!$D$7)^BF$2))))))</f>
        <v>0</v>
      </c>
      <c r="BG24" s="88">
        <f>$E24*IF(BG$2&gt;Inputs!$D$5,0,IF(BG$2&gt;VLOOKUP($H24,Lists!$P$3:$Q$7,2),IF($N24=Lists!$K$3,IF($L24&lt;1,(($U24/$L24)*((1+Inputs!$D$7)^BG$2)),((INT(BG$2/$L24)-INT((BG$2-1)/$L24))*$U24*((1+Inputs!$D$7)^BG$2))),(_xlfn.WEIBULL.DIST(BG$2,$M24,$L24,FALSE)*$U24*((1+Inputs!$D$7)^BG$2))),IF($N24=Lists!$K$3,IF($L24&lt;1,((($T24*(1-$F24)+$S24*(1-$G24))/$L24)*((1+Inputs!$D$7)^BG$2)),((INT(BG$2/$L24)-INT((BG$2-1)/$L24))*($T24*(1-$F24)+$S24*(1-$G24))*((1+Inputs!$D$7)^BG$2))),((_xlfn.WEIBULL.DIST(BG$2,$M24,$L24,FALSE)*($T24*(1-$F24)+$S24*(1-$G24))*((1+Inputs!$D$7)^BG$2))))))</f>
        <v>0</v>
      </c>
      <c r="BH24" s="88">
        <f>$E24*IF(BH$2&gt;Inputs!$D$5,0,IF(BH$2&gt;VLOOKUP($H24,Lists!$P$3:$Q$7,2),IF($N24=Lists!$K$3,IF($L24&lt;1,(($U24/$L24)*((1+Inputs!$D$7)^BH$2)),((INT(BH$2/$L24)-INT((BH$2-1)/$L24))*$U24*((1+Inputs!$D$7)^BH$2))),(_xlfn.WEIBULL.DIST(BH$2,$M24,$L24,FALSE)*$U24*((1+Inputs!$D$7)^BH$2))),IF($N24=Lists!$K$3,IF($L24&lt;1,((($T24*(1-$F24)+$S24*(1-$G24))/$L24)*((1+Inputs!$D$7)^BH$2)),((INT(BH$2/$L24)-INT((BH$2-1)/$L24))*($T24*(1-$F24)+$S24*(1-$G24))*((1+Inputs!$D$7)^BH$2))),((_xlfn.WEIBULL.DIST(BH$2,$M24,$L24,FALSE)*($T24*(1-$F24)+$S24*(1-$G24))*((1+Inputs!$D$7)^BH$2))))))</f>
        <v>0</v>
      </c>
      <c r="BI24" s="88">
        <f>$E24*IF(BI$2&gt;Inputs!$D$5,0,IF(BI$2&gt;VLOOKUP($H24,Lists!$P$3:$Q$7,2),IF($N24=Lists!$K$3,IF($L24&lt;1,(($U24/$L24)*((1+Inputs!$D$7)^BI$2)),((INT(BI$2/$L24)-INT((BI$2-1)/$L24))*$U24*((1+Inputs!$D$7)^BI$2))),(_xlfn.WEIBULL.DIST(BI$2,$M24,$L24,FALSE)*$U24*((1+Inputs!$D$7)^BI$2))),IF($N24=Lists!$K$3,IF($L24&lt;1,((($T24*(1-$F24)+$S24*(1-$G24))/$L24)*((1+Inputs!$D$7)^BI$2)),((INT(BI$2/$L24)-INT((BI$2-1)/$L24))*($T24*(1-$F24)+$S24*(1-$G24))*((1+Inputs!$D$7)^BI$2))),((_xlfn.WEIBULL.DIST(BI$2,$M24,$L24,FALSE)*($T24*(1-$F24)+$S24*(1-$G24))*((1+Inputs!$D$7)^BI$2))))))</f>
        <v>0</v>
      </c>
      <c r="BJ24" s="88">
        <f>$E24*IF(BJ$2&gt;Inputs!$D$5,0,IF(BJ$2&gt;VLOOKUP($H24,Lists!$P$3:$Q$7,2),IF($N24=Lists!$K$3,IF($L24&lt;1,(($U24/$L24)*((1+Inputs!$D$7)^BJ$2)),((INT(BJ$2/$L24)-INT((BJ$2-1)/$L24))*$U24*((1+Inputs!$D$7)^BJ$2))),(_xlfn.WEIBULL.DIST(BJ$2,$M24,$L24,FALSE)*$U24*((1+Inputs!$D$7)^BJ$2))),IF($N24=Lists!$K$3,IF($L24&lt;1,((($T24*(1-$F24)+$S24*(1-$G24))/$L24)*((1+Inputs!$D$7)^BJ$2)),((INT(BJ$2/$L24)-INT((BJ$2-1)/$L24))*($T24*(1-$F24)+$S24*(1-$G24))*((1+Inputs!$D$7)^BJ$2))),((_xlfn.WEIBULL.DIST(BJ$2,$M24,$L24,FALSE)*($T24*(1-$F24)+$S24*(1-$G24))*((1+Inputs!$D$7)^BJ$2))))))</f>
        <v>0</v>
      </c>
      <c r="BK24" s="88">
        <f>$E24*IF(BK$2&gt;Inputs!$D$5,0,IF(BK$2&gt;VLOOKUP($H24,Lists!$P$3:$Q$7,2),IF($N24=Lists!$K$3,IF($L24&lt;1,(($U24/$L24)*((1+Inputs!$D$7)^BK$2)),((INT(BK$2/$L24)-INT((BK$2-1)/$L24))*$U24*((1+Inputs!$D$7)^BK$2))),(_xlfn.WEIBULL.DIST(BK$2,$M24,$L24,FALSE)*$U24*((1+Inputs!$D$7)^BK$2))),IF($N24=Lists!$K$3,IF($L24&lt;1,((($T24*(1-$F24)+$S24*(1-$G24))/$L24)*((1+Inputs!$D$7)^BK$2)),((INT(BK$2/$L24)-INT((BK$2-1)/$L24))*($T24*(1-$F24)+$S24*(1-$G24))*((1+Inputs!$D$7)^BK$2))),((_xlfn.WEIBULL.DIST(BK$2,$M24,$L24,FALSE)*($T24*(1-$F24)+$S24*(1-$G24))*((1+Inputs!$D$7)^BK$2))))))</f>
        <v>0</v>
      </c>
      <c r="BL24" s="88">
        <f>$E24*IF(BL$2&gt;Inputs!$D$5,0,IF(BL$2&gt;VLOOKUP($H24,Lists!$P$3:$Q$7,2),IF($N24=Lists!$K$3,IF($L24&lt;1,(($U24/$L24)*((1+Inputs!$D$7)^BL$2)),((INT(BL$2/$L24)-INT((BL$2-1)/$L24))*$U24*((1+Inputs!$D$7)^BL$2))),(_xlfn.WEIBULL.DIST(BL$2,$M24,$L24,FALSE)*$U24*((1+Inputs!$D$7)^BL$2))),IF($N24=Lists!$K$3,IF($L24&lt;1,((($T24*(1-$F24)+$S24*(1-$G24))/$L24)*((1+Inputs!$D$7)^BL$2)),((INT(BL$2/$L24)-INT((BL$2-1)/$L24))*($T24*(1-$F24)+$S24*(1-$G24))*((1+Inputs!$D$7)^BL$2))),((_xlfn.WEIBULL.DIST(BL$2,$M24,$L24,FALSE)*($T24*(1-$F24)+$S24*(1-$G24))*((1+Inputs!$D$7)^BL$2))))))</f>
        <v>0</v>
      </c>
      <c r="BM24" s="88">
        <f>$E24*IF(BM$2&gt;Inputs!$D$5,0,IF(BM$2&gt;VLOOKUP($H24,Lists!$P$3:$Q$7,2),IF($N24=Lists!$K$3,IF($L24&lt;1,(($U24/$L24)*((1+Inputs!$D$7)^BM$2)),((INT(BM$2/$L24)-INT((BM$2-1)/$L24))*$U24*((1+Inputs!$D$7)^BM$2))),(_xlfn.WEIBULL.DIST(BM$2,$M24,$L24,FALSE)*$U24*((1+Inputs!$D$7)^BM$2))),IF($N24=Lists!$K$3,IF($L24&lt;1,((($T24*(1-$F24)+$S24*(1-$G24))/$L24)*((1+Inputs!$D$7)^BM$2)),((INT(BM$2/$L24)-INT((BM$2-1)/$L24))*($T24*(1-$F24)+$S24*(1-$G24))*((1+Inputs!$D$7)^BM$2))),((_xlfn.WEIBULL.DIST(BM$2,$M24,$L24,FALSE)*($T24*(1-$F24)+$S24*(1-$G24))*((1+Inputs!$D$7)^BM$2))))))</f>
        <v>0</v>
      </c>
      <c r="BN24" s="88">
        <f>$E24*IF(BN$2&gt;Inputs!$D$5,0,IF(BN$2&gt;VLOOKUP($H24,Lists!$P$3:$Q$7,2),IF($N24=Lists!$K$3,IF($L24&lt;1,(($U24/$L24)*((1+Inputs!$D$7)^BN$2)),((INT(BN$2/$L24)-INT((BN$2-1)/$L24))*$U24*((1+Inputs!$D$7)^BN$2))),(_xlfn.WEIBULL.DIST(BN$2,$M24,$L24,FALSE)*$U24*((1+Inputs!$D$7)^BN$2))),IF($N24=Lists!$K$3,IF($L24&lt;1,((($T24*(1-$F24)+$S24*(1-$G24))/$L24)*((1+Inputs!$D$7)^BN$2)),((INT(BN$2/$L24)-INT((BN$2-1)/$L24))*($T24*(1-$F24)+$S24*(1-$G24))*((1+Inputs!$D$7)^BN$2))),((_xlfn.WEIBULL.DIST(BN$2,$M24,$L24,FALSE)*($T24*(1-$F24)+$S24*(1-$G24))*((1+Inputs!$D$7)^BN$2))))))</f>
        <v>0</v>
      </c>
      <c r="BO24" s="64">
        <f>NPV(Inputs!$D$6,BQ24:DD24)</f>
        <v>146.80289409128358</v>
      </c>
      <c r="BP24" s="67">
        <f t="shared" si="6"/>
        <v>6.9239411874664073E-5</v>
      </c>
      <c r="BQ24" s="88">
        <f>MAX(AA24,($E24*IF(BQ$2&gt;Inputs!$D$5,0,IF(BQ$2&gt;VLOOKUP($H24,Lists!$P$3:$Q$7,2),IF($N24=Lists!$K$3,IF($L24&lt;1,(($U24/$L24)*((1+Inputs!$D$7)^BQ$2)),((INT(BQ$2/$L24)-INT((BQ$2-1)/$L24))*$U24*((1+Inputs!$D$7)^BQ$2))),(Inputs!$D$8^((1-_xlfn.WEIBULL.DIST(BQ$2,$M24,$L24,FALSE))/_xlfn.WEIBULL.DIST(BQ$2,$M24,$L24,FALSE))*$U24*((1+Inputs!$D$7)^BQ$2))),IF($N24=Lists!$K$3,IF($L24&lt;1,((($T24*(1-$F24)+$S24*(1-$G24))/$L24)*((1+Inputs!$D$7)^BQ$2)),((INT(BQ$2/$L24)-INT((BQ$2-1)/$L24))*($T24*(1-$F24)+$S24*(1-$G24))*((1+Inputs!$D$7)^BQ$2))),((Inputs!$D$8^((1-_xlfn.WEIBULL.DIST(BQ$2,$M24,$L24,FALSE))/_xlfn.WEIBULL.DIST(BQ$2,$M24,$L24,FALSE))*($T24*(1-$F24)+$S24*(1-$G24))*((1+Inputs!$D$7)^BQ$2))))))))</f>
        <v>3.5173625738992548E-2</v>
      </c>
      <c r="BR24" s="88">
        <f>MAX(AB24,($E24*IF(BR$2&gt;Inputs!$D$5,0,IF(BR$2&gt;VLOOKUP($H24,Lists!$P$3:$Q$7,2),IF($N24=Lists!$K$3,IF($L24&lt;1,(($U24/$L24)*((1+Inputs!$D$7)^BR$2)),((INT(BR$2/$L24)-INT((BR$2-1)/$L24))*$U24*((1+Inputs!$D$7)^BR$2))),(Inputs!$D$8^((1-_xlfn.WEIBULL.DIST(BR$2,$M24,$L24,FALSE))/_xlfn.WEIBULL.DIST(BR$2,$M24,$L24,FALSE))*$U24*((1+Inputs!$D$7)^BR$2))),IF($N24=Lists!$K$3,IF($L24&lt;1,((($T24*(1-$F24)+$S24*(1-$G24))/$L24)*((1+Inputs!$D$7)^BR$2)),((INT(BR$2/$L24)-INT((BR$2-1)/$L24))*($T24*(1-$F24)+$S24*(1-$G24))*((1+Inputs!$D$7)^BR$2))),((Inputs!$D$8^((1-_xlfn.WEIBULL.DIST(BR$2,$M24,$L24,FALSE))/_xlfn.WEIBULL.DIST(BR$2,$M24,$L24,FALSE))*($T24*(1-$F24)+$S24*(1-$G24))*((1+Inputs!$D$7)^BR$2))))))))</f>
        <v>0.14344411565422269</v>
      </c>
      <c r="BS24" s="88">
        <f>MAX(AC24,($E24*IF(BS$2&gt;Inputs!$D$5,0,IF(BS$2&gt;VLOOKUP($H24,Lists!$P$3:$Q$7,2),IF($N24=Lists!$K$3,IF($L24&lt;1,(($U24/$L24)*((1+Inputs!$D$7)^BS$2)),((INT(BS$2/$L24)-INT((BS$2-1)/$L24))*$U24*((1+Inputs!$D$7)^BS$2))),(Inputs!$D$8^((1-_xlfn.WEIBULL.DIST(BS$2,$M24,$L24,FALSE))/_xlfn.WEIBULL.DIST(BS$2,$M24,$L24,FALSE))*$U24*((1+Inputs!$D$7)^BS$2))),IF($N24=Lists!$K$3,IF($L24&lt;1,((($T24*(1-$F24)+$S24*(1-$G24))/$L24)*((1+Inputs!$D$7)^BS$2)),((INT(BS$2/$L24)-INT((BS$2-1)/$L24))*($T24*(1-$F24)+$S24*(1-$G24))*((1+Inputs!$D$7)^BS$2))),((Inputs!$D$8^((1-_xlfn.WEIBULL.DIST(BS$2,$M24,$L24,FALSE))/_xlfn.WEIBULL.DIST(BS$2,$M24,$L24,FALSE))*($T24*(1-$F24)+$S24*(1-$G24))*((1+Inputs!$D$7)^BS$2))))))))</f>
        <v>0.32880417635529491</v>
      </c>
      <c r="BT24" s="88">
        <f>MAX(AD24,($E24*IF(BT$2&gt;Inputs!$D$5,0,IF(BT$2&gt;VLOOKUP($H24,Lists!$P$3:$Q$7,2),IF($N24=Lists!$K$3,IF($L24&lt;1,(($U24/$L24)*((1+Inputs!$D$7)^BT$2)),((INT(BT$2/$L24)-INT((BT$2-1)/$L24))*$U24*((1+Inputs!$D$7)^BT$2))),(Inputs!$D$8^((1-_xlfn.WEIBULL.DIST(BT$2,$M24,$L24,FALSE))/_xlfn.WEIBULL.DIST(BT$2,$M24,$L24,FALSE))*$U24*((1+Inputs!$D$7)^BT$2))),IF($N24=Lists!$K$3,IF($L24&lt;1,((($T24*(1-$F24)+$S24*(1-$G24))/$L24)*((1+Inputs!$D$7)^BT$2)),((INT(BT$2/$L24)-INT((BT$2-1)/$L24))*($T24*(1-$F24)+$S24*(1-$G24))*((1+Inputs!$D$7)^BT$2))),((Inputs!$D$8^((1-_xlfn.WEIBULL.DIST(BT$2,$M24,$L24,FALSE))/_xlfn.WEIBULL.DIST(BT$2,$M24,$L24,FALSE))*($T24*(1-$F24)+$S24*(1-$G24))*((1+Inputs!$D$7)^BT$2))))))))</f>
        <v>0.5948213671020085</v>
      </c>
      <c r="BU24" s="88">
        <f>MAX(AE24,($E24*IF(BU$2&gt;Inputs!$D$5,0,IF(BU$2&gt;VLOOKUP($H24,Lists!$P$3:$Q$7,2),IF($N24=Lists!$K$3,IF($L24&lt;1,(($U24/$L24)*((1+Inputs!$D$7)^BU$2)),((INT(BU$2/$L24)-INT((BU$2-1)/$L24))*$U24*((1+Inputs!$D$7)^BU$2))),(Inputs!$D$8^((1-_xlfn.WEIBULL.DIST(BU$2,$M24,$L24,FALSE))/_xlfn.WEIBULL.DIST(BU$2,$M24,$L24,FALSE))*$U24*((1+Inputs!$D$7)^BU$2))),IF($N24=Lists!$K$3,IF($L24&lt;1,((($T24*(1-$F24)+$S24*(1-$G24))/$L24)*((1+Inputs!$D$7)^BU$2)),((INT(BU$2/$L24)-INT((BU$2-1)/$L24))*($T24*(1-$F24)+$S24*(1-$G24))*((1+Inputs!$D$7)^BU$2))),((Inputs!$D$8^((1-_xlfn.WEIBULL.DIST(BU$2,$M24,$L24,FALSE))/_xlfn.WEIBULL.DIST(BU$2,$M24,$L24,FALSE))*($T24*(1-$F24)+$S24*(1-$G24))*((1+Inputs!$D$7)^BU$2))))))))</f>
        <v>0.94430279019077235</v>
      </c>
      <c r="BV24" s="88">
        <f>MAX(AF24,($E24*IF(BV$2&gt;Inputs!$D$5,0,IF(BV$2&gt;VLOOKUP($H24,Lists!$P$3:$Q$7,2),IF($N24=Lists!$K$3,IF($L24&lt;1,(($U24/$L24)*((1+Inputs!$D$7)^BV$2)),((INT(BV$2/$L24)-INT((BV$2-1)/$L24))*$U24*((1+Inputs!$D$7)^BV$2))),(Inputs!$D$8^((1-_xlfn.WEIBULL.DIST(BV$2,$M24,$L24,FALSE))/_xlfn.WEIBULL.DIST(BV$2,$M24,$L24,FALSE))*$U24*((1+Inputs!$D$7)^BV$2))),IF($N24=Lists!$K$3,IF($L24&lt;1,((($T24*(1-$F24)+$S24*(1-$G24))/$L24)*((1+Inputs!$D$7)^BV$2)),((INT(BV$2/$L24)-INT((BV$2-1)/$L24))*($T24*(1-$F24)+$S24*(1-$G24))*((1+Inputs!$D$7)^BV$2))),((Inputs!$D$8^((1-_xlfn.WEIBULL.DIST(BV$2,$M24,$L24,FALSE))/_xlfn.WEIBULL.DIST(BV$2,$M24,$L24,FALSE))*($T24*(1-$F24)+$S24*(1-$G24))*((1+Inputs!$D$7)^BV$2))))))))</f>
        <v>1.3789375742581365</v>
      </c>
      <c r="BW24" s="88">
        <f>MAX(AG24,($E24*IF(BW$2&gt;Inputs!$D$5,0,IF(BW$2&gt;VLOOKUP($H24,Lists!$P$3:$Q$7,2),IF($N24=Lists!$K$3,IF($L24&lt;1,(($U24/$L24)*((1+Inputs!$D$7)^BW$2)),((INT(BW$2/$L24)-INT((BW$2-1)/$L24))*$U24*((1+Inputs!$D$7)^BW$2))),(Inputs!$D$8^((1-_xlfn.WEIBULL.DIST(BW$2,$M24,$L24,FALSE))/_xlfn.WEIBULL.DIST(BW$2,$M24,$L24,FALSE))*$U24*((1+Inputs!$D$7)^BW$2))),IF($N24=Lists!$K$3,IF($L24&lt;1,((($T24*(1-$F24)+$S24*(1-$G24))/$L24)*((1+Inputs!$D$7)^BW$2)),((INT(BW$2/$L24)-INT((BW$2-1)/$L24))*($T24*(1-$F24)+$S24*(1-$G24))*((1+Inputs!$D$7)^BW$2))),((Inputs!$D$8^((1-_xlfn.WEIBULL.DIST(BW$2,$M24,$L24,FALSE))/_xlfn.WEIBULL.DIST(BW$2,$M24,$L24,FALSE))*($T24*(1-$F24)+$S24*(1-$G24))*((1+Inputs!$D$7)^BW$2))))))))</f>
        <v>1.89892761920692</v>
      </c>
      <c r="BX24" s="88">
        <f>MAX(AH24,($E24*IF(BX$2&gt;Inputs!$D$5,0,IF(BX$2&gt;VLOOKUP($H24,Lists!$P$3:$Q$7,2),IF($N24=Lists!$K$3,IF($L24&lt;1,(($U24/$L24)*((1+Inputs!$D$7)^BX$2)),((INT(BX$2/$L24)-INT((BX$2-1)/$L24))*$U24*((1+Inputs!$D$7)^BX$2))),(Inputs!$D$8^((1-_xlfn.WEIBULL.DIST(BX$2,$M24,$L24,FALSE))/_xlfn.WEIBULL.DIST(BX$2,$M24,$L24,FALSE))*$U24*((1+Inputs!$D$7)^BX$2))),IF($N24=Lists!$K$3,IF($L24&lt;1,((($T24*(1-$F24)+$S24*(1-$G24))/$L24)*((1+Inputs!$D$7)^BX$2)),((INT(BX$2/$L24)-INT((BX$2-1)/$L24))*($T24*(1-$F24)+$S24*(1-$G24))*((1+Inputs!$D$7)^BX$2))),((Inputs!$D$8^((1-_xlfn.WEIBULL.DIST(BX$2,$M24,$L24,FALSE))/_xlfn.WEIBULL.DIST(BX$2,$M24,$L24,FALSE))*($T24*(1-$F24)+$S24*(1-$G24))*((1+Inputs!$D$7)^BX$2))))))))</f>
        <v>2.5026213647505098</v>
      </c>
      <c r="BY24" s="88">
        <f>MAX(AI24,($E24*IF(BY$2&gt;Inputs!$D$5,0,IF(BY$2&gt;VLOOKUP($H24,Lists!$P$3:$Q$7,2),IF($N24=Lists!$K$3,IF($L24&lt;1,(($U24/$L24)*((1+Inputs!$D$7)^BY$2)),((INT(BY$2/$L24)-INT((BY$2-1)/$L24))*$U24*((1+Inputs!$D$7)^BY$2))),(Inputs!$D$8^((1-_xlfn.WEIBULL.DIST(BY$2,$M24,$L24,FALSE))/_xlfn.WEIBULL.DIST(BY$2,$M24,$L24,FALSE))*$U24*((1+Inputs!$D$7)^BY$2))),IF($N24=Lists!$K$3,IF($L24&lt;1,((($T24*(1-$F24)+$S24*(1-$G24))/$L24)*((1+Inputs!$D$7)^BY$2)),((INT(BY$2/$L24)-INT((BY$2-1)/$L24))*($T24*(1-$F24)+$S24*(1-$G24))*((1+Inputs!$D$7)^BY$2))),((Inputs!$D$8^((1-_xlfn.WEIBULL.DIST(BY$2,$M24,$L24,FALSE))/_xlfn.WEIBULL.DIST(BY$2,$M24,$L24,FALSE))*($T24*(1-$F24)+$S24*(1-$G24))*((1+Inputs!$D$7)^BY$2))))))))</f>
        <v>3.1861695492700584</v>
      </c>
      <c r="BZ24" s="88">
        <f>MAX(AJ24,($E24*IF(BZ$2&gt;Inputs!$D$5,0,IF(BZ$2&gt;VLOOKUP($H24,Lists!$P$3:$Q$7,2),IF($N24=Lists!$K$3,IF($L24&lt;1,(($U24/$L24)*((1+Inputs!$D$7)^BZ$2)),((INT(BZ$2/$L24)-INT((BZ$2-1)/$L24))*$U24*((1+Inputs!$D$7)^BZ$2))),(Inputs!$D$8^((1-_xlfn.WEIBULL.DIST(BZ$2,$M24,$L24,FALSE))/_xlfn.WEIBULL.DIST(BZ$2,$M24,$L24,FALSE))*$U24*((1+Inputs!$D$7)^BZ$2))),IF($N24=Lists!$K$3,IF($L24&lt;1,((($T24*(1-$F24)+$S24*(1-$G24))/$L24)*((1+Inputs!$D$7)^BZ$2)),((INT(BZ$2/$L24)-INT((BZ$2-1)/$L24))*($T24*(1-$F24)+$S24*(1-$G24))*((1+Inputs!$D$7)^BZ$2))),((Inputs!$D$8^((1-_xlfn.WEIBULL.DIST(BZ$2,$M24,$L24,FALSE))/_xlfn.WEIBULL.DIST(BZ$2,$M24,$L24,FALSE))*($T24*(1-$F24)+$S24*(1-$G24))*((1+Inputs!$D$7)^BZ$2))))))))</f>
        <v>3.9432256673416828</v>
      </c>
      <c r="CA24" s="88">
        <f>MAX(AK24,($E24*IF(CA$2&gt;Inputs!$D$5,0,IF(CA$2&gt;VLOOKUP($H24,Lists!$P$3:$Q$7,2),IF($N24=Lists!$K$3,IF($L24&lt;1,(($U24/$L24)*((1+Inputs!$D$7)^CA$2)),((INT(CA$2/$L24)-INT((CA$2-1)/$L24))*$U24*((1+Inputs!$D$7)^CA$2))),(Inputs!$D$8^((1-_xlfn.WEIBULL.DIST(CA$2,$M24,$L24,FALSE))/_xlfn.WEIBULL.DIST(CA$2,$M24,$L24,FALSE))*$U24*((1+Inputs!$D$7)^CA$2))),IF($N24=Lists!$K$3,IF($L24&lt;1,((($T24*(1-$F24)+$S24*(1-$G24))/$L24)*((1+Inputs!$D$7)^CA$2)),((INT(CA$2/$L24)-INT((CA$2-1)/$L24))*($T24*(1-$F24)+$S24*(1-$G24))*((1+Inputs!$D$7)^CA$2))),((Inputs!$D$8^((1-_xlfn.WEIBULL.DIST(CA$2,$M24,$L24,FALSE))/_xlfn.WEIBULL.DIST(CA$2,$M24,$L24,FALSE))*($T24*(1-$F24)+$S24*(1-$G24))*((1+Inputs!$D$7)^CA$2))))))))</f>
        <v>4.8734973870530984</v>
      </c>
      <c r="CB24" s="88">
        <f>MAX(AL24,($E24*IF(CB$2&gt;Inputs!$D$5,0,IF(CB$2&gt;VLOOKUP($H24,Lists!$P$3:$Q$7,2),IF($N24=Lists!$K$3,IF($L24&lt;1,(($U24/$L24)*((1+Inputs!$D$7)^CB$2)),((INT(CB$2/$L24)-INT((CB$2-1)/$L24))*$U24*((1+Inputs!$D$7)^CB$2))),(Inputs!$D$8^((1-_xlfn.WEIBULL.DIST(CB$2,$M24,$L24,FALSE))/_xlfn.WEIBULL.DIST(CB$2,$M24,$L24,FALSE))*$U24*((1+Inputs!$D$7)^CB$2))),IF($N24=Lists!$K$3,IF($L24&lt;1,((($T24*(1-$F24)+$S24*(1-$G24))/$L24)*((1+Inputs!$D$7)^CB$2)),((INT(CB$2/$L24)-INT((CB$2-1)/$L24))*($T24*(1-$F24)+$S24*(1-$G24))*((1+Inputs!$D$7)^CB$2))),((Inputs!$D$8^((1-_xlfn.WEIBULL.DIST(CB$2,$M24,$L24,FALSE))/_xlfn.WEIBULL.DIST(CB$2,$M24,$L24,FALSE))*($T24*(1-$F24)+$S24*(1-$G24))*((1+Inputs!$D$7)^CB$2))))))))</f>
        <v>8.5278295019079273</v>
      </c>
      <c r="CC24" s="88">
        <f>MAX(AM24,($E24*IF(CC$2&gt;Inputs!$D$5,0,IF(CC$2&gt;VLOOKUP($H24,Lists!$P$3:$Q$7,2),IF($N24=Lists!$K$3,IF($L24&lt;1,(($U24/$L24)*((1+Inputs!$D$7)^CC$2)),((INT(CC$2/$L24)-INT((CC$2-1)/$L24))*$U24*((1+Inputs!$D$7)^CC$2))),(Inputs!$D$8^((1-_xlfn.WEIBULL.DIST(CC$2,$M24,$L24,FALSE))/_xlfn.WEIBULL.DIST(CC$2,$M24,$L24,FALSE))*$U24*((1+Inputs!$D$7)^CC$2))),IF($N24=Lists!$K$3,IF($L24&lt;1,((($T24*(1-$F24)+$S24*(1-$G24))/$L24)*((1+Inputs!$D$7)^CC$2)),((INT(CC$2/$L24)-INT((CC$2-1)/$L24))*($T24*(1-$F24)+$S24*(1-$G24))*((1+Inputs!$D$7)^CC$2))),((Inputs!$D$8^((1-_xlfn.WEIBULL.DIST(CC$2,$M24,$L24,FALSE))/_xlfn.WEIBULL.DIST(CC$2,$M24,$L24,FALSE))*($T24*(1-$F24)+$S24*(1-$G24))*((1+Inputs!$D$7)^CC$2))))))))</f>
        <v>13.117902207728015</v>
      </c>
      <c r="CD24" s="88">
        <f>MAX(AN24,($E24*IF(CD$2&gt;Inputs!$D$5,0,IF(CD$2&gt;VLOOKUP($H24,Lists!$P$3:$Q$7,2),IF($N24=Lists!$K$3,IF($L24&lt;1,(($U24/$L24)*((1+Inputs!$D$7)^CD$2)),((INT(CD$2/$L24)-INT((CD$2-1)/$L24))*$U24*((1+Inputs!$D$7)^CD$2))),(Inputs!$D$8^((1-_xlfn.WEIBULL.DIST(CD$2,$M24,$L24,FALSE))/_xlfn.WEIBULL.DIST(CD$2,$M24,$L24,FALSE))*$U24*((1+Inputs!$D$7)^CD$2))),IF($N24=Lists!$K$3,IF($L24&lt;1,((($T24*(1-$F24)+$S24*(1-$G24))/$L24)*((1+Inputs!$D$7)^CD$2)),((INT(CD$2/$L24)-INT((CD$2-1)/$L24))*($T24*(1-$F24)+$S24*(1-$G24))*((1+Inputs!$D$7)^CD$2))),((Inputs!$D$8^((1-_xlfn.WEIBULL.DIST(CD$2,$M24,$L24,FALSE))/_xlfn.WEIBULL.DIST(CD$2,$M24,$L24,FALSE))*($T24*(1-$F24)+$S24*(1-$G24))*((1+Inputs!$D$7)^CD$2))))))))</f>
        <v>18.363285528914194</v>
      </c>
      <c r="CE24" s="88">
        <f>MAX(AO24,($E24*IF(CE$2&gt;Inputs!$D$5,0,IF(CE$2&gt;VLOOKUP($H24,Lists!$P$3:$Q$7,2),IF($N24=Lists!$K$3,IF($L24&lt;1,(($U24/$L24)*((1+Inputs!$D$7)^CE$2)),((INT(CE$2/$L24)-INT((CE$2-1)/$L24))*$U24*((1+Inputs!$D$7)^CE$2))),(Inputs!$D$8^((1-_xlfn.WEIBULL.DIST(CE$2,$M24,$L24,FALSE))/_xlfn.WEIBULL.DIST(CE$2,$M24,$L24,FALSE))*$U24*((1+Inputs!$D$7)^CE$2))),IF($N24=Lists!$K$3,IF($L24&lt;1,((($T24*(1-$F24)+$S24*(1-$G24))/$L24)*((1+Inputs!$D$7)^CE$2)),((INT(CE$2/$L24)-INT((CE$2-1)/$L24))*($T24*(1-$F24)+$S24*(1-$G24))*((1+Inputs!$D$7)^CE$2))),((Inputs!$D$8^((1-_xlfn.WEIBULL.DIST(CE$2,$M24,$L24,FALSE))/_xlfn.WEIBULL.DIST(CE$2,$M24,$L24,FALSE))*($T24*(1-$F24)+$S24*(1-$G24))*((1+Inputs!$D$7)^CE$2))))))))</f>
        <v>23.944774087261369</v>
      </c>
      <c r="CF24" s="88">
        <f>MAX(AP24,($E24*IF(CF$2&gt;Inputs!$D$5,0,IF(CF$2&gt;VLOOKUP($H24,Lists!$P$3:$Q$7,2),IF($N24=Lists!$K$3,IF($L24&lt;1,(($U24/$L24)*((1+Inputs!$D$7)^CF$2)),((INT(CF$2/$L24)-INT((CF$2-1)/$L24))*$U24*((1+Inputs!$D$7)^CF$2))),(Inputs!$D$8^((1-_xlfn.WEIBULL.DIST(CF$2,$M24,$L24,FALSE))/_xlfn.WEIBULL.DIST(CF$2,$M24,$L24,FALSE))*$U24*((1+Inputs!$D$7)^CF$2))),IF($N24=Lists!$K$3,IF($L24&lt;1,((($T24*(1-$F24)+$S24*(1-$G24))/$L24)*((1+Inputs!$D$7)^CF$2)),((INT(CF$2/$L24)-INT((CF$2-1)/$L24))*($T24*(1-$F24)+$S24*(1-$G24))*((1+Inputs!$D$7)^CF$2))),((Inputs!$D$8^((1-_xlfn.WEIBULL.DIST(CF$2,$M24,$L24,FALSE))/_xlfn.WEIBULL.DIST(CF$2,$M24,$L24,FALSE))*($T24*(1-$F24)+$S24*(1-$G24))*((1+Inputs!$D$7)^CF$2))))))))</f>
        <v>29.553525107547731</v>
      </c>
      <c r="CG24" s="88">
        <f>MAX(AQ24,($E24*IF(CG$2&gt;Inputs!$D$5,0,IF(CG$2&gt;VLOOKUP($H24,Lists!$P$3:$Q$7,2),IF($N24=Lists!$K$3,IF($L24&lt;1,(($U24/$L24)*((1+Inputs!$D$7)^CG$2)),((INT(CG$2/$L24)-INT((CG$2-1)/$L24))*$U24*((1+Inputs!$D$7)^CG$2))),(Inputs!$D$8^((1-_xlfn.WEIBULL.DIST(CG$2,$M24,$L24,FALSE))/_xlfn.WEIBULL.DIST(CG$2,$M24,$L24,FALSE))*$U24*((1+Inputs!$D$7)^CG$2))),IF($N24=Lists!$K$3,IF($L24&lt;1,((($T24*(1-$F24)+$S24*(1-$G24))/$L24)*((1+Inputs!$D$7)^CG$2)),((INT(CG$2/$L24)-INT((CG$2-1)/$L24))*($T24*(1-$F24)+$S24*(1-$G24))*((1+Inputs!$D$7)^CG$2))),((Inputs!$D$8^((1-_xlfn.WEIBULL.DIST(CG$2,$M24,$L24,FALSE))/_xlfn.WEIBULL.DIST(CG$2,$M24,$L24,FALSE))*($T24*(1-$F24)+$S24*(1-$G24))*((1+Inputs!$D$7)^CG$2))))))))</f>
        <v>34.915463077401718</v>
      </c>
      <c r="CH24" s="88">
        <f>MAX(AR24,($E24*IF(CH$2&gt;Inputs!$D$5,0,IF(CH$2&gt;VLOOKUP($H24,Lists!$P$3:$Q$7,2),IF($N24=Lists!$K$3,IF($L24&lt;1,(($U24/$L24)*((1+Inputs!$D$7)^CH$2)),((INT(CH$2/$L24)-INT((CH$2-1)/$L24))*$U24*((1+Inputs!$D$7)^CH$2))),(Inputs!$D$8^((1-_xlfn.WEIBULL.DIST(CH$2,$M24,$L24,FALSE))/_xlfn.WEIBULL.DIST(CH$2,$M24,$L24,FALSE))*$U24*((1+Inputs!$D$7)^CH$2))),IF($N24=Lists!$K$3,IF($L24&lt;1,((($T24*(1-$F24)+$S24*(1-$G24))/$L24)*((1+Inputs!$D$7)^CH$2)),((INT(CH$2/$L24)-INT((CH$2-1)/$L24))*($T24*(1-$F24)+$S24*(1-$G24))*((1+Inputs!$D$7)^CH$2))),((Inputs!$D$8^((1-_xlfn.WEIBULL.DIST(CH$2,$M24,$L24,FALSE))/_xlfn.WEIBULL.DIST(CH$2,$M24,$L24,FALSE))*($T24*(1-$F24)+$S24*(1-$G24))*((1+Inputs!$D$7)^CH$2))))))))</f>
        <v>39.798796200667255</v>
      </c>
      <c r="CI24" s="88">
        <f>MAX(AS24,($E24*IF(CI$2&gt;Inputs!$D$5,0,IF(CI$2&gt;VLOOKUP($H24,Lists!$P$3:$Q$7,2),IF($N24=Lists!$K$3,IF($L24&lt;1,(($U24/$L24)*((1+Inputs!$D$7)^CI$2)),((INT(CI$2/$L24)-INT((CI$2-1)/$L24))*$U24*((1+Inputs!$D$7)^CI$2))),(Inputs!$D$8^((1-_xlfn.WEIBULL.DIST(CI$2,$M24,$L24,FALSE))/_xlfn.WEIBULL.DIST(CI$2,$M24,$L24,FALSE))*$U24*((1+Inputs!$D$7)^CI$2))),IF($N24=Lists!$K$3,IF($L24&lt;1,((($T24*(1-$F24)+$S24*(1-$G24))/$L24)*((1+Inputs!$D$7)^CI$2)),((INT(CI$2/$L24)-INT((CI$2-1)/$L24))*($T24*(1-$F24)+$S24*(1-$G24))*((1+Inputs!$D$7)^CI$2))),((Inputs!$D$8^((1-_xlfn.WEIBULL.DIST(CI$2,$M24,$L24,FALSE))/_xlfn.WEIBULL.DIST(CI$2,$M24,$L24,FALSE))*($T24*(1-$F24)+$S24*(1-$G24))*((1+Inputs!$D$7)^CI$2))))))))</f>
        <v>44.012363568285132</v>
      </c>
      <c r="CJ24" s="88">
        <f>MAX(AT24,($E24*IF(CJ$2&gt;Inputs!$D$5,0,IF(CJ$2&gt;VLOOKUP($H24,Lists!$P$3:$Q$7,2),IF($N24=Lists!$K$3,IF($L24&lt;1,(($U24/$L24)*((1+Inputs!$D$7)^CJ$2)),((INT(CJ$2/$L24)-INT((CJ$2-1)/$L24))*$U24*((1+Inputs!$D$7)^CJ$2))),(Inputs!$D$8^((1-_xlfn.WEIBULL.DIST(CJ$2,$M24,$L24,FALSE))/_xlfn.WEIBULL.DIST(CJ$2,$M24,$L24,FALSE))*$U24*((1+Inputs!$D$7)^CJ$2))),IF($N24=Lists!$K$3,IF($L24&lt;1,((($T24*(1-$F24)+$S24*(1-$G24))/$L24)*((1+Inputs!$D$7)^CJ$2)),((INT(CJ$2/$L24)-INT((CJ$2-1)/$L24))*($T24*(1-$F24)+$S24*(1-$G24))*((1+Inputs!$D$7)^CJ$2))),((Inputs!$D$8^((1-_xlfn.WEIBULL.DIST(CJ$2,$M24,$L24,FALSE))/_xlfn.WEIBULL.DIST(CJ$2,$M24,$L24,FALSE))*($T24*(1-$F24)+$S24*(1-$G24))*((1+Inputs!$D$7)^CJ$2))))))))</f>
        <v>47.400319420621919</v>
      </c>
      <c r="CK24" s="88">
        <f>MAX(AU24,($E24*IF(CK$2&gt;Inputs!$D$5,0,IF(CK$2&gt;VLOOKUP($H24,Lists!$P$3:$Q$7,2),IF($N24=Lists!$K$3,IF($L24&lt;1,(($U24/$L24)*((1+Inputs!$D$7)^CK$2)),((INT(CK$2/$L24)-INT((CK$2-1)/$L24))*$U24*((1+Inputs!$D$7)^CK$2))),(Inputs!$D$8^((1-_xlfn.WEIBULL.DIST(CK$2,$M24,$L24,FALSE))/_xlfn.WEIBULL.DIST(CK$2,$M24,$L24,FALSE))*$U24*((1+Inputs!$D$7)^CK$2))),IF($N24=Lists!$K$3,IF($L24&lt;1,((($T24*(1-$F24)+$S24*(1-$G24))/$L24)*((1+Inputs!$D$7)^CK$2)),((INT(CK$2/$L24)-INT((CK$2-1)/$L24))*($T24*(1-$F24)+$S24*(1-$G24))*((1+Inputs!$D$7)^CK$2))),((Inputs!$D$8^((1-_xlfn.WEIBULL.DIST(CK$2,$M24,$L24,FALSE))/_xlfn.WEIBULL.DIST(CK$2,$M24,$L24,FALSE))*($T24*(1-$F24)+$S24*(1-$G24))*((1+Inputs!$D$7)^CK$2))))))))</f>
        <v>49.836547477902364</v>
      </c>
      <c r="CL24" s="88">
        <f>MAX(AV24,($E24*IF(CL$2&gt;Inputs!$D$5,0,IF(CL$2&gt;VLOOKUP($H24,Lists!$P$3:$Q$7,2),IF($N24=Lists!$K$3,IF($L24&lt;1,(($U24/$L24)*((1+Inputs!$D$7)^CL$2)),((INT(CL$2/$L24)-INT((CL$2-1)/$L24))*$U24*((1+Inputs!$D$7)^CL$2))),(Inputs!$D$8^((1-_xlfn.WEIBULL.DIST(CL$2,$M24,$L24,FALSE))/_xlfn.WEIBULL.DIST(CL$2,$M24,$L24,FALSE))*$U24*((1+Inputs!$D$7)^CL$2))),IF($N24=Lists!$K$3,IF($L24&lt;1,((($T24*(1-$F24)+$S24*(1-$G24))/$L24)*((1+Inputs!$D$7)^CL$2)),((INT(CL$2/$L24)-INT((CL$2-1)/$L24))*($T24*(1-$F24)+$S24*(1-$G24))*((1+Inputs!$D$7)^CL$2))),((Inputs!$D$8^((1-_xlfn.WEIBULL.DIST(CL$2,$M24,$L24,FALSE))/_xlfn.WEIBULL.DIST(CL$2,$M24,$L24,FALSE))*($T24*(1-$F24)+$S24*(1-$G24))*((1+Inputs!$D$7)^CL$2))))))))</f>
        <v>51.220753445800874</v>
      </c>
      <c r="CM24" s="88">
        <f>MAX(AW24,($E24*IF(CM$2&gt;Inputs!$D$5,0,IF(CM$2&gt;VLOOKUP($H24,Lists!$P$3:$Q$7,2),IF($N24=Lists!$K$3,IF($L24&lt;1,(($U24/$L24)*((1+Inputs!$D$7)^CM$2)),((INT(CM$2/$L24)-INT((CM$2-1)/$L24))*$U24*((1+Inputs!$D$7)^CM$2))),(Inputs!$D$8^((1-_xlfn.WEIBULL.DIST(CM$2,$M24,$L24,FALSE))/_xlfn.WEIBULL.DIST(CM$2,$M24,$L24,FALSE))*$U24*((1+Inputs!$D$7)^CM$2))),IF($N24=Lists!$K$3,IF($L24&lt;1,((($T24*(1-$F24)+$S24*(1-$G24))/$L24)*((1+Inputs!$D$7)^CM$2)),((INT(CM$2/$L24)-INT((CM$2-1)/$L24))*($T24*(1-$F24)+$S24*(1-$G24))*((1+Inputs!$D$7)^CM$2))),((Inputs!$D$8^((1-_xlfn.WEIBULL.DIST(CM$2,$M24,$L24,FALSE))/_xlfn.WEIBULL.DIST(CM$2,$M24,$L24,FALSE))*($T24*(1-$F24)+$S24*(1-$G24))*((1+Inputs!$D$7)^CM$2))))))))</f>
        <v>51.477356352041021</v>
      </c>
      <c r="CN24" s="88">
        <f>MAX(AX24,($E24*IF(CN$2&gt;Inputs!$D$5,0,IF(CN$2&gt;VLOOKUP($H24,Lists!$P$3:$Q$7,2),IF($N24=Lists!$K$3,IF($L24&lt;1,(($U24/$L24)*((1+Inputs!$D$7)^CN$2)),((INT(CN$2/$L24)-INT((CN$2-1)/$L24))*$U24*((1+Inputs!$D$7)^CN$2))),(Inputs!$D$8^((1-_xlfn.WEIBULL.DIST(CN$2,$M24,$L24,FALSE))/_xlfn.WEIBULL.DIST(CN$2,$M24,$L24,FALSE))*$U24*((1+Inputs!$D$7)^CN$2))),IF($N24=Lists!$K$3,IF($L24&lt;1,((($T24*(1-$F24)+$S24*(1-$G24))/$L24)*((1+Inputs!$D$7)^CN$2)),((INT(CN$2/$L24)-INT((CN$2-1)/$L24))*($T24*(1-$F24)+$S24*(1-$G24))*((1+Inputs!$D$7)^CN$2))),((Inputs!$D$8^((1-_xlfn.WEIBULL.DIST(CN$2,$M24,$L24,FALSE))/_xlfn.WEIBULL.DIST(CN$2,$M24,$L24,FALSE))*($T24*(1-$F24)+$S24*(1-$G24))*((1+Inputs!$D$7)^CN$2))))))))</f>
        <v>50.557875583175559</v>
      </c>
      <c r="CO24" s="88">
        <f>MAX(AY24,($E24*IF(CO$2&gt;Inputs!$D$5,0,IF(CO$2&gt;VLOOKUP($H24,Lists!$P$3:$Q$7,2),IF($N24=Lists!$K$3,IF($L24&lt;1,(($U24/$L24)*((1+Inputs!$D$7)^CO$2)),((INT(CO$2/$L24)-INT((CO$2-1)/$L24))*$U24*((1+Inputs!$D$7)^CO$2))),(Inputs!$D$8^((1-_xlfn.WEIBULL.DIST(CO$2,$M24,$L24,FALSE))/_xlfn.WEIBULL.DIST(CO$2,$M24,$L24,FALSE))*$U24*((1+Inputs!$D$7)^CO$2))),IF($N24=Lists!$K$3,IF($L24&lt;1,((($T24*(1-$F24)+$S24*(1-$G24))/$L24)*((1+Inputs!$D$7)^CO$2)),((INT(CO$2/$L24)-INT((CO$2-1)/$L24))*($T24*(1-$F24)+$S24*(1-$G24))*((1+Inputs!$D$7)^CO$2))),((Inputs!$D$8^((1-_xlfn.WEIBULL.DIST(CO$2,$M24,$L24,FALSE))/_xlfn.WEIBULL.DIST(CO$2,$M24,$L24,FALSE))*($T24*(1-$F24)+$S24*(1-$G24))*((1+Inputs!$D$7)^CO$2))))))))</f>
        <v>48.44726243879424</v>
      </c>
      <c r="CP24" s="88">
        <f>MAX(AZ24,($E24*IF(CP$2&gt;Inputs!$D$5,0,IF(CP$2&gt;VLOOKUP($H24,Lists!$P$3:$Q$7,2),IF($N24=Lists!$K$3,IF($L24&lt;1,(($U24/$L24)*((1+Inputs!$D$7)^CP$2)),((INT(CP$2/$L24)-INT((CP$2-1)/$L24))*$U24*((1+Inputs!$D$7)^CP$2))),(Inputs!$D$8^((1-_xlfn.WEIBULL.DIST(CP$2,$M24,$L24,FALSE))/_xlfn.WEIBULL.DIST(CP$2,$M24,$L24,FALSE))*$U24*((1+Inputs!$D$7)^CP$2))),IF($N24=Lists!$K$3,IF($L24&lt;1,((($T24*(1-$F24)+$S24*(1-$G24))/$L24)*((1+Inputs!$D$7)^CP$2)),((INT(CP$2/$L24)-INT((CP$2-1)/$L24))*($T24*(1-$F24)+$S24*(1-$G24))*((1+Inputs!$D$7)^CP$2))),((Inputs!$D$8^((1-_xlfn.WEIBULL.DIST(CP$2,$M24,$L24,FALSE))/_xlfn.WEIBULL.DIST(CP$2,$M24,$L24,FALSE))*($T24*(1-$F24)+$S24*(1-$G24))*((1+Inputs!$D$7)^CP$2))))))))</f>
        <v>0</v>
      </c>
      <c r="CQ24" s="88">
        <f>MAX(BA24,($E24*IF(CQ$2&gt;Inputs!$D$5,0,IF(CQ$2&gt;VLOOKUP($H24,Lists!$P$3:$Q$7,2),IF($N24=Lists!$K$3,IF($L24&lt;1,(($U24/$L24)*((1+Inputs!$D$7)^CQ$2)),((INT(CQ$2/$L24)-INT((CQ$2-1)/$L24))*$U24*((1+Inputs!$D$7)^CQ$2))),(Inputs!$D$8^((1-_xlfn.WEIBULL.DIST(CQ$2,$M24,$L24,FALSE))/_xlfn.WEIBULL.DIST(CQ$2,$M24,$L24,FALSE))*$U24*((1+Inputs!$D$7)^CQ$2))),IF($N24=Lists!$K$3,IF($L24&lt;1,((($T24*(1-$F24)+$S24*(1-$G24))/$L24)*((1+Inputs!$D$7)^CQ$2)),((INT(CQ$2/$L24)-INT((CQ$2-1)/$L24))*($T24*(1-$F24)+$S24*(1-$G24))*((1+Inputs!$D$7)^CQ$2))),((Inputs!$D$8^((1-_xlfn.WEIBULL.DIST(CQ$2,$M24,$L24,FALSE))/_xlfn.WEIBULL.DIST(CQ$2,$M24,$L24,FALSE))*($T24*(1-$F24)+$S24*(1-$G24))*((1+Inputs!$D$7)^CQ$2))))))))</f>
        <v>0</v>
      </c>
      <c r="CR24" s="88">
        <f>MAX(BB24,($E24*IF(CR$2&gt;Inputs!$D$5,0,IF(CR$2&gt;VLOOKUP($H24,Lists!$P$3:$Q$7,2),IF($N24=Lists!$K$3,IF($L24&lt;1,(($U24/$L24)*((1+Inputs!$D$7)^CR$2)),((INT(CR$2/$L24)-INT((CR$2-1)/$L24))*$U24*((1+Inputs!$D$7)^CR$2))),(Inputs!$D$8^((1-_xlfn.WEIBULL.DIST(CR$2,$M24,$L24,FALSE))/_xlfn.WEIBULL.DIST(CR$2,$M24,$L24,FALSE))*$U24*((1+Inputs!$D$7)^CR$2))),IF($N24=Lists!$K$3,IF($L24&lt;1,((($T24*(1-$F24)+$S24*(1-$G24))/$L24)*((1+Inputs!$D$7)^CR$2)),((INT(CR$2/$L24)-INT((CR$2-1)/$L24))*($T24*(1-$F24)+$S24*(1-$G24))*((1+Inputs!$D$7)^CR$2))),((Inputs!$D$8^((1-_xlfn.WEIBULL.DIST(CR$2,$M24,$L24,FALSE))/_xlfn.WEIBULL.DIST(CR$2,$M24,$L24,FALSE))*($T24*(1-$F24)+$S24*(1-$G24))*((1+Inputs!$D$7)^CR$2))))))))</f>
        <v>0</v>
      </c>
      <c r="CS24" s="88">
        <f>MAX(BC24,($E24*IF(CS$2&gt;Inputs!$D$5,0,IF(CS$2&gt;VLOOKUP($H24,Lists!$P$3:$Q$7,2),IF($N24=Lists!$K$3,IF($L24&lt;1,(($U24/$L24)*((1+Inputs!$D$7)^CS$2)),((INT(CS$2/$L24)-INT((CS$2-1)/$L24))*$U24*((1+Inputs!$D$7)^CS$2))),(Inputs!$D$8^((1-_xlfn.WEIBULL.DIST(CS$2,$M24,$L24,FALSE))/_xlfn.WEIBULL.DIST(CS$2,$M24,$L24,FALSE))*$U24*((1+Inputs!$D$7)^CS$2))),IF($N24=Lists!$K$3,IF($L24&lt;1,((($T24*(1-$F24)+$S24*(1-$G24))/$L24)*((1+Inputs!$D$7)^CS$2)),((INT(CS$2/$L24)-INT((CS$2-1)/$L24))*($T24*(1-$F24)+$S24*(1-$G24))*((1+Inputs!$D$7)^CS$2))),((Inputs!$D$8^((1-_xlfn.WEIBULL.DIST(CS$2,$M24,$L24,FALSE))/_xlfn.WEIBULL.DIST(CS$2,$M24,$L24,FALSE))*($T24*(1-$F24)+$S24*(1-$G24))*((1+Inputs!$D$7)^CS$2))))))))</f>
        <v>0</v>
      </c>
      <c r="CT24" s="88">
        <f>MAX(BD24,($E24*IF(CT$2&gt;Inputs!$D$5,0,IF(CT$2&gt;VLOOKUP($H24,Lists!$P$3:$Q$7,2),IF($N24=Lists!$K$3,IF($L24&lt;1,(($U24/$L24)*((1+Inputs!$D$7)^CT$2)),((INT(CT$2/$L24)-INT((CT$2-1)/$L24))*$U24*((1+Inputs!$D$7)^CT$2))),(Inputs!$D$8^((1-_xlfn.WEIBULL.DIST(CT$2,$M24,$L24,FALSE))/_xlfn.WEIBULL.DIST(CT$2,$M24,$L24,FALSE))*$U24*((1+Inputs!$D$7)^CT$2))),IF($N24=Lists!$K$3,IF($L24&lt;1,((($T24*(1-$F24)+$S24*(1-$G24))/$L24)*((1+Inputs!$D$7)^CT$2)),((INT(CT$2/$L24)-INT((CT$2-1)/$L24))*($T24*(1-$F24)+$S24*(1-$G24))*((1+Inputs!$D$7)^CT$2))),((Inputs!$D$8^((1-_xlfn.WEIBULL.DIST(CT$2,$M24,$L24,FALSE))/_xlfn.WEIBULL.DIST(CT$2,$M24,$L24,FALSE))*($T24*(1-$F24)+$S24*(1-$G24))*((1+Inputs!$D$7)^CT$2))))))))</f>
        <v>0</v>
      </c>
      <c r="CU24" s="88">
        <f>MAX(BE24,($E24*IF(CU$2&gt;Inputs!$D$5,0,IF(CU$2&gt;VLOOKUP($H24,Lists!$P$3:$Q$7,2),IF($N24=Lists!$K$3,IF($L24&lt;1,(($U24/$L24)*((1+Inputs!$D$7)^CU$2)),((INT(CU$2/$L24)-INT((CU$2-1)/$L24))*$U24*((1+Inputs!$D$7)^CU$2))),(Inputs!$D$8^((1-_xlfn.WEIBULL.DIST(CU$2,$M24,$L24,FALSE))/_xlfn.WEIBULL.DIST(CU$2,$M24,$L24,FALSE))*$U24*((1+Inputs!$D$7)^CU$2))),IF($N24=Lists!$K$3,IF($L24&lt;1,((($T24*(1-$F24)+$S24*(1-$G24))/$L24)*((1+Inputs!$D$7)^CU$2)),((INT(CU$2/$L24)-INT((CU$2-1)/$L24))*($T24*(1-$F24)+$S24*(1-$G24))*((1+Inputs!$D$7)^CU$2))),((Inputs!$D$8^((1-_xlfn.WEIBULL.DIST(CU$2,$M24,$L24,FALSE))/_xlfn.WEIBULL.DIST(CU$2,$M24,$L24,FALSE))*($T24*(1-$F24)+$S24*(1-$G24))*((1+Inputs!$D$7)^CU$2))))))))</f>
        <v>0</v>
      </c>
      <c r="CV24" s="88">
        <f>MAX(BF24,($E24*IF(CV$2&gt;Inputs!$D$5,0,IF(CV$2&gt;VLOOKUP($H24,Lists!$P$3:$Q$7,2),IF($N24=Lists!$K$3,IF($L24&lt;1,(($U24/$L24)*((1+Inputs!$D$7)^CV$2)),((INT(CV$2/$L24)-INT((CV$2-1)/$L24))*$U24*((1+Inputs!$D$7)^CV$2))),(Inputs!$D$8^((1-_xlfn.WEIBULL.DIST(CV$2,$M24,$L24,FALSE))/_xlfn.WEIBULL.DIST(CV$2,$M24,$L24,FALSE))*$U24*((1+Inputs!$D$7)^CV$2))),IF($N24=Lists!$K$3,IF($L24&lt;1,((($T24*(1-$F24)+$S24*(1-$G24))/$L24)*((1+Inputs!$D$7)^CV$2)),((INT(CV$2/$L24)-INT((CV$2-1)/$L24))*($T24*(1-$F24)+$S24*(1-$G24))*((1+Inputs!$D$7)^CV$2))),((Inputs!$D$8^((1-_xlfn.WEIBULL.DIST(CV$2,$M24,$L24,FALSE))/_xlfn.WEIBULL.DIST(CV$2,$M24,$L24,FALSE))*($T24*(1-$F24)+$S24*(1-$G24))*((1+Inputs!$D$7)^CV$2))))))))</f>
        <v>0</v>
      </c>
      <c r="CW24" s="88">
        <f>MAX(BG24,($E24*IF(CW$2&gt;Inputs!$D$5,0,IF(CW$2&gt;VLOOKUP($H24,Lists!$P$3:$Q$7,2),IF($N24=Lists!$K$3,IF($L24&lt;1,(($U24/$L24)*((1+Inputs!$D$7)^CW$2)),((INT(CW$2/$L24)-INT((CW$2-1)/$L24))*$U24*((1+Inputs!$D$7)^CW$2))),(Inputs!$D$8^((1-_xlfn.WEIBULL.DIST(CW$2,$M24,$L24,FALSE))/_xlfn.WEIBULL.DIST(CW$2,$M24,$L24,FALSE))*$U24*((1+Inputs!$D$7)^CW$2))),IF($N24=Lists!$K$3,IF($L24&lt;1,((($T24*(1-$F24)+$S24*(1-$G24))/$L24)*((1+Inputs!$D$7)^CW$2)),((INT(CW$2/$L24)-INT((CW$2-1)/$L24))*($T24*(1-$F24)+$S24*(1-$G24))*((1+Inputs!$D$7)^CW$2))),((Inputs!$D$8^((1-_xlfn.WEIBULL.DIST(CW$2,$M24,$L24,FALSE))/_xlfn.WEIBULL.DIST(CW$2,$M24,$L24,FALSE))*($T24*(1-$F24)+$S24*(1-$G24))*((1+Inputs!$D$7)^CW$2))))))))</f>
        <v>0</v>
      </c>
      <c r="CX24" s="88">
        <f>MAX(BH24,($E24*IF(CX$2&gt;Inputs!$D$5,0,IF(CX$2&gt;VLOOKUP($H24,Lists!$P$3:$Q$7,2),IF($N24=Lists!$K$3,IF($L24&lt;1,(($U24/$L24)*((1+Inputs!$D$7)^CX$2)),((INT(CX$2/$L24)-INT((CX$2-1)/$L24))*$U24*((1+Inputs!$D$7)^CX$2))),(Inputs!$D$8^((1-_xlfn.WEIBULL.DIST(CX$2,$M24,$L24,FALSE))/_xlfn.WEIBULL.DIST(CX$2,$M24,$L24,FALSE))*$U24*((1+Inputs!$D$7)^CX$2))),IF($N24=Lists!$K$3,IF($L24&lt;1,((($T24*(1-$F24)+$S24*(1-$G24))/$L24)*((1+Inputs!$D$7)^CX$2)),((INT(CX$2/$L24)-INT((CX$2-1)/$L24))*($T24*(1-$F24)+$S24*(1-$G24))*((1+Inputs!$D$7)^CX$2))),((Inputs!$D$8^((1-_xlfn.WEIBULL.DIST(CX$2,$M24,$L24,FALSE))/_xlfn.WEIBULL.DIST(CX$2,$M24,$L24,FALSE))*($T24*(1-$F24)+$S24*(1-$G24))*((1+Inputs!$D$7)^CX$2))))))))</f>
        <v>0</v>
      </c>
      <c r="CY24" s="88">
        <f>MAX(BI24,($E24*IF(CY$2&gt;Inputs!$D$5,0,IF(CY$2&gt;VLOOKUP($H24,Lists!$P$3:$Q$7,2),IF($N24=Lists!$K$3,IF($L24&lt;1,(($U24/$L24)*((1+Inputs!$D$7)^CY$2)),((INT(CY$2/$L24)-INT((CY$2-1)/$L24))*$U24*((1+Inputs!$D$7)^CY$2))),(Inputs!$D$8^((1-_xlfn.WEIBULL.DIST(CY$2,$M24,$L24,FALSE))/_xlfn.WEIBULL.DIST(CY$2,$M24,$L24,FALSE))*$U24*((1+Inputs!$D$7)^CY$2))),IF($N24=Lists!$K$3,IF($L24&lt;1,((($T24*(1-$F24)+$S24*(1-$G24))/$L24)*((1+Inputs!$D$7)^CY$2)),((INT(CY$2/$L24)-INT((CY$2-1)/$L24))*($T24*(1-$F24)+$S24*(1-$G24))*((1+Inputs!$D$7)^CY$2))),((Inputs!$D$8^((1-_xlfn.WEIBULL.DIST(CY$2,$M24,$L24,FALSE))/_xlfn.WEIBULL.DIST(CY$2,$M24,$L24,FALSE))*($T24*(1-$F24)+$S24*(1-$G24))*((1+Inputs!$D$7)^CY$2))))))))</f>
        <v>0</v>
      </c>
      <c r="CZ24" s="88">
        <f>MAX(BJ24,($E24*IF(CZ$2&gt;Inputs!$D$5,0,IF(CZ$2&gt;VLOOKUP($H24,Lists!$P$3:$Q$7,2),IF($N24=Lists!$K$3,IF($L24&lt;1,(($U24/$L24)*((1+Inputs!$D$7)^CZ$2)),((INT(CZ$2/$L24)-INT((CZ$2-1)/$L24))*$U24*((1+Inputs!$D$7)^CZ$2))),(Inputs!$D$8^((1-_xlfn.WEIBULL.DIST(CZ$2,$M24,$L24,FALSE))/_xlfn.WEIBULL.DIST(CZ$2,$M24,$L24,FALSE))*$U24*((1+Inputs!$D$7)^CZ$2))),IF($N24=Lists!$K$3,IF($L24&lt;1,((($T24*(1-$F24)+$S24*(1-$G24))/$L24)*((1+Inputs!$D$7)^CZ$2)),((INT(CZ$2/$L24)-INT((CZ$2-1)/$L24))*($T24*(1-$F24)+$S24*(1-$G24))*((1+Inputs!$D$7)^CZ$2))),((Inputs!$D$8^((1-_xlfn.WEIBULL.DIST(CZ$2,$M24,$L24,FALSE))/_xlfn.WEIBULL.DIST(CZ$2,$M24,$L24,FALSE))*($T24*(1-$F24)+$S24*(1-$G24))*((1+Inputs!$D$7)^CZ$2))))))))</f>
        <v>0</v>
      </c>
      <c r="DA24" s="88">
        <f>MAX(BK24,($E24*IF(DA$2&gt;Inputs!$D$5,0,IF(DA$2&gt;VLOOKUP($H24,Lists!$P$3:$Q$7,2),IF($N24=Lists!$K$3,IF($L24&lt;1,(($U24/$L24)*((1+Inputs!$D$7)^DA$2)),((INT(DA$2/$L24)-INT((DA$2-1)/$L24))*$U24*((1+Inputs!$D$7)^DA$2))),(Inputs!$D$8^((1-_xlfn.WEIBULL.DIST(DA$2,$M24,$L24,FALSE))/_xlfn.WEIBULL.DIST(DA$2,$M24,$L24,FALSE))*$U24*((1+Inputs!$D$7)^DA$2))),IF($N24=Lists!$K$3,IF($L24&lt;1,((($T24*(1-$F24)+$S24*(1-$G24))/$L24)*((1+Inputs!$D$7)^DA$2)),((INT(DA$2/$L24)-INT((DA$2-1)/$L24))*($T24*(1-$F24)+$S24*(1-$G24))*((1+Inputs!$D$7)^DA$2))),((Inputs!$D$8^((1-_xlfn.WEIBULL.DIST(DA$2,$M24,$L24,FALSE))/_xlfn.WEIBULL.DIST(DA$2,$M24,$L24,FALSE))*($T24*(1-$F24)+$S24*(1-$G24))*((1+Inputs!$D$7)^DA$2))))))))</f>
        <v>0</v>
      </c>
      <c r="DB24" s="88">
        <f>MAX(BL24,($E24*IF(DB$2&gt;Inputs!$D$5,0,IF(DB$2&gt;VLOOKUP($H24,Lists!$P$3:$Q$7,2),IF($N24=Lists!$K$3,IF($L24&lt;1,(($U24/$L24)*((1+Inputs!$D$7)^DB$2)),((INT(DB$2/$L24)-INT((DB$2-1)/$L24))*$U24*((1+Inputs!$D$7)^DB$2))),(Inputs!$D$8^((1-_xlfn.WEIBULL.DIST(DB$2,$M24,$L24,FALSE))/_xlfn.WEIBULL.DIST(DB$2,$M24,$L24,FALSE))*$U24*((1+Inputs!$D$7)^DB$2))),IF($N24=Lists!$K$3,IF($L24&lt;1,((($T24*(1-$F24)+$S24*(1-$G24))/$L24)*((1+Inputs!$D$7)^DB$2)),((INT(DB$2/$L24)-INT((DB$2-1)/$L24))*($T24*(1-$F24)+$S24*(1-$G24))*((1+Inputs!$D$7)^DB$2))),((Inputs!$D$8^((1-_xlfn.WEIBULL.DIST(DB$2,$M24,$L24,FALSE))/_xlfn.WEIBULL.DIST(DB$2,$M24,$L24,FALSE))*($T24*(1-$F24)+$S24*(1-$G24))*((1+Inputs!$D$7)^DB$2))))))))</f>
        <v>0</v>
      </c>
      <c r="DC24" s="88">
        <f>MAX(BM24,($E24*IF(DC$2&gt;Inputs!$D$5,0,IF(DC$2&gt;VLOOKUP($H24,Lists!$P$3:$Q$7,2),IF($N24=Lists!$K$3,IF($L24&lt;1,(($U24/$L24)*((1+Inputs!$D$7)^DC$2)),((INT(DC$2/$L24)-INT((DC$2-1)/$L24))*$U24*((1+Inputs!$D$7)^DC$2))),(Inputs!$D$8^((1-_xlfn.WEIBULL.DIST(DC$2,$M24,$L24,FALSE))/_xlfn.WEIBULL.DIST(DC$2,$M24,$L24,FALSE))*$U24*((1+Inputs!$D$7)^DC$2))),IF($N24=Lists!$K$3,IF($L24&lt;1,((($T24*(1-$F24)+$S24*(1-$G24))/$L24)*((1+Inputs!$D$7)^DC$2)),((INT(DC$2/$L24)-INT((DC$2-1)/$L24))*($T24*(1-$F24)+$S24*(1-$G24))*((1+Inputs!$D$7)^DC$2))),((Inputs!$D$8^((1-_xlfn.WEIBULL.DIST(DC$2,$M24,$L24,FALSE))/_xlfn.WEIBULL.DIST(DC$2,$M24,$L24,FALSE))*($T24*(1-$F24)+$S24*(1-$G24))*((1+Inputs!$D$7)^DC$2))))))))</f>
        <v>0</v>
      </c>
      <c r="DD24" s="88">
        <f>MAX(BN24,($E24*IF(DD$2&gt;Inputs!$D$5,0,IF(DD$2&gt;VLOOKUP($H24,Lists!$P$3:$Q$7,2),IF($N24=Lists!$K$3,IF($L24&lt;1,(($U24/$L24)*((1+Inputs!$D$7)^DD$2)),((INT(DD$2/$L24)-INT((DD$2-1)/$L24))*$U24*((1+Inputs!$D$7)^DD$2))),(Inputs!$D$8^((1-_xlfn.WEIBULL.DIST(DD$2,$M24,$L24,FALSE))/_xlfn.WEIBULL.DIST(DD$2,$M24,$L24,FALSE))*$U24*((1+Inputs!$D$7)^DD$2))),IF($N24=Lists!$K$3,IF($L24&lt;1,((($T24*(1-$F24)+$S24*(1-$G24))/$L24)*((1+Inputs!$D$7)^DD$2)),((INT(DD$2/$L24)-INT((DD$2-1)/$L24))*($T24*(1-$F24)+$S24*(1-$G24))*((1+Inputs!$D$7)^DD$2))),((Inputs!$D$8^((1-_xlfn.WEIBULL.DIST(DD$2,$M24,$L24,FALSE))/_xlfn.WEIBULL.DIST(DD$2,$M24,$L24,FALSE))*($T24*(1-$F24)+$S24*(1-$G24))*((1+Inputs!$D$7)^DD$2))))))))</f>
        <v>0</v>
      </c>
    </row>
    <row r="25" spans="1:108" s="1" customFormat="1" ht="16">
      <c r="A25" s="57" t="s">
        <v>218</v>
      </c>
      <c r="B25" s="13" t="s">
        <v>130</v>
      </c>
      <c r="C25" s="13" t="s">
        <v>474</v>
      </c>
      <c r="D25" s="13" t="s">
        <v>214</v>
      </c>
      <c r="E25" s="48">
        <f>IF(Inputs!$D$30=Lists!$M$4,1,0)</f>
        <v>1</v>
      </c>
      <c r="F25" s="48">
        <v>1</v>
      </c>
      <c r="G25" s="48">
        <v>1</v>
      </c>
      <c r="H25" s="105" t="s">
        <v>350</v>
      </c>
      <c r="I25" s="14" t="s">
        <v>263</v>
      </c>
      <c r="J25" s="14" t="s">
        <v>88</v>
      </c>
      <c r="K25" s="13">
        <f>VLOOKUP(J25,'Labor Rates'!$A$1:$F$16,2)</f>
        <v>19.903846153846153</v>
      </c>
      <c r="L25" s="15">
        <v>25</v>
      </c>
      <c r="M25" s="15">
        <v>3</v>
      </c>
      <c r="N25" s="16" t="s">
        <v>226</v>
      </c>
      <c r="O25" s="61">
        <f>Inputs!$D$25</f>
        <v>2341.9203747072602</v>
      </c>
      <c r="P25" s="15">
        <v>0.08</v>
      </c>
      <c r="Q25" s="15">
        <f t="shared" si="0"/>
        <v>7.4941451990632322</v>
      </c>
      <c r="R25" s="4">
        <v>1</v>
      </c>
      <c r="S25" s="53">
        <f t="shared" si="1"/>
        <v>3729.0578274184832</v>
      </c>
      <c r="T25" s="53">
        <f t="shared" si="2"/>
        <v>2341.9203747072602</v>
      </c>
      <c r="U25" s="54">
        <f t="shared" si="3"/>
        <v>6070.9782021257433</v>
      </c>
      <c r="V25" s="65"/>
      <c r="W25" s="58"/>
      <c r="X25" s="64">
        <f t="shared" si="4"/>
        <v>172.86323549749105</v>
      </c>
      <c r="Y25" s="64">
        <f>NPV(Inputs!$D$6,AA25:BN25)</f>
        <v>1762.1862440739148</v>
      </c>
      <c r="Z25" s="67">
        <f t="shared" si="5"/>
        <v>8.3113306388518681E-4</v>
      </c>
      <c r="AA25" s="88">
        <f>$E25*IF(AA$2&gt;Inputs!$D$5,0,IF(AA$2&gt;VLOOKUP($H25,Lists!$P$3:$Q$7,2),IF($N25=Lists!$K$3,IF($L25&lt;1,(($U25/$L25)*((1+Inputs!$D$7)^AA$2)),((INT(AA$2/$L25)-INT((AA$2-1)/$L25))*$U25*((1+Inputs!$D$7)^AA$2))),(_xlfn.WEIBULL.DIST(AA$2,$M25,$L25,FALSE)*$U25*((1+Inputs!$D$7)^AA$2))),IF($N25=Lists!$K$3,IF($L25&lt;1,((($T25*(1-$F25)+$S25*(1-$G25))/$L25)*((1+Inputs!$D$7)^AA$2)),((INT(AA$2/$L25)-INT((AA$2-1)/$L25))*($T25*(1-$F25)+$S25*(1-$G25))*((1+Inputs!$D$7)^AA$2))),((_xlfn.WEIBULL.DIST(AA$2,$M25,$L25,FALSE)*($T25*(1-$F25)+$S25*(1-$G25))*((1+Inputs!$D$7)^AA$2))))))</f>
        <v>1.188864281355454</v>
      </c>
      <c r="AB25" s="88">
        <f>$E25*IF(AB$2&gt;Inputs!$D$5,0,IF(AB$2&gt;VLOOKUP($H25,Lists!$P$3:$Q$7,2),IF($N25=Lists!$K$3,IF($L25&lt;1,(($U25/$L25)*((1+Inputs!$D$7)^AB$2)),((INT(AB$2/$L25)-INT((AB$2-1)/$L25))*$U25*((1+Inputs!$D$7)^AB$2))),(_xlfn.WEIBULL.DIST(AB$2,$M25,$L25,FALSE)*$U25*((1+Inputs!$D$7)^AB$2))),IF($N25=Lists!$K$3,IF($L25&lt;1,((($T25*(1-$F25)+$S25*(1-$G25))/$L25)*((1+Inputs!$D$7)^AB$2)),((INT(AB$2/$L25)-INT((AB$2-1)/$L25))*($T25*(1-$F25)+$S25*(1-$G25))*((1+Inputs!$D$7)^AB$2))),((_xlfn.WEIBULL.DIST(AB$2,$M25,$L25,FALSE)*($T25*(1-$F25)+$S25*(1-$G25))*((1+Inputs!$D$7)^AB$2))))))</f>
        <v>4.8483937009335634</v>
      </c>
      <c r="AC25" s="88">
        <f>$E25*IF(AC$2&gt;Inputs!$D$5,0,IF(AC$2&gt;VLOOKUP($H25,Lists!$P$3:$Q$7,2),IF($N25=Lists!$K$3,IF($L25&lt;1,(($U25/$L25)*((1+Inputs!$D$7)^AC$2)),((INT(AC$2/$L25)-INT((AC$2-1)/$L25))*$U25*((1+Inputs!$D$7)^AC$2))),(_xlfn.WEIBULL.DIST(AC$2,$M25,$L25,FALSE)*$U25*((1+Inputs!$D$7)^AC$2))),IF($N25=Lists!$K$3,IF($L25&lt;1,((($T25*(1-$F25)+$S25*(1-$G25))/$L25)*((1+Inputs!$D$7)^AC$2)),((INT(AC$2/$L25)-INT((AC$2-1)/$L25))*($T25*(1-$F25)+$S25*(1-$G25))*((1+Inputs!$D$7)^AC$2))),((_xlfn.WEIBULL.DIST(AC$2,$M25,$L25,FALSE)*($T25*(1-$F25)+$S25*(1-$G25))*((1+Inputs!$D$7)^AC$2))))))</f>
        <v>11.113541257589617</v>
      </c>
      <c r="AD25" s="88">
        <f>$E25*IF(AD$2&gt;Inputs!$D$5,0,IF(AD$2&gt;VLOOKUP($H25,Lists!$P$3:$Q$7,2),IF($N25=Lists!$K$3,IF($L25&lt;1,(($U25/$L25)*((1+Inputs!$D$7)^AD$2)),((INT(AD$2/$L25)-INT((AD$2-1)/$L25))*$U25*((1+Inputs!$D$7)^AD$2))),(_xlfn.WEIBULL.DIST(AD$2,$M25,$L25,FALSE)*$U25*((1+Inputs!$D$7)^AD$2))),IF($N25=Lists!$K$3,IF($L25&lt;1,((($T25*(1-$F25)+$S25*(1-$G25))/$L25)*((1+Inputs!$D$7)^AD$2)),((INT(AD$2/$L25)-INT((AD$2-1)/$L25))*($T25*(1-$F25)+$S25*(1-$G25))*((1+Inputs!$D$7)^AD$2))),((_xlfn.WEIBULL.DIST(AD$2,$M25,$L25,FALSE)*($T25*(1-$F25)+$S25*(1-$G25))*((1+Inputs!$D$7)^AD$2))))))</f>
        <v>20.104890021350776</v>
      </c>
      <c r="AE25" s="88">
        <f>$E25*IF(AE$2&gt;Inputs!$D$5,0,IF(AE$2&gt;VLOOKUP($H25,Lists!$P$3:$Q$7,2),IF($N25=Lists!$K$3,IF($L25&lt;1,(($U25/$L25)*((1+Inputs!$D$7)^AE$2)),((INT(AE$2/$L25)-INT((AE$2-1)/$L25))*$U25*((1+Inputs!$D$7)^AE$2))),(_xlfn.WEIBULL.DIST(AE$2,$M25,$L25,FALSE)*$U25*((1+Inputs!$D$7)^AE$2))),IF($N25=Lists!$K$3,IF($L25&lt;1,((($T25*(1-$F25)+$S25*(1-$G25))/$L25)*((1+Inputs!$D$7)^AE$2)),((INT(AE$2/$L25)-INT((AE$2-1)/$L25))*($T25*(1-$F25)+$S25*(1-$G25))*((1+Inputs!$D$7)^AE$2))),((_xlfn.WEIBULL.DIST(AE$2,$M25,$L25,FALSE)*($T25*(1-$F25)+$S25*(1-$G25))*((1+Inputs!$D$7)^AE$2))))))</f>
        <v>31.917319709169625</v>
      </c>
      <c r="AF25" s="88">
        <f>$E25*IF(AF$2&gt;Inputs!$D$5,0,IF(AF$2&gt;VLOOKUP($H25,Lists!$P$3:$Q$7,2),IF($N25=Lists!$K$3,IF($L25&lt;1,(($U25/$L25)*((1+Inputs!$D$7)^AF$2)),((INT(AF$2/$L25)-INT((AF$2-1)/$L25))*$U25*((1+Inputs!$D$7)^AF$2))),(_xlfn.WEIBULL.DIST(AF$2,$M25,$L25,FALSE)*$U25*((1+Inputs!$D$7)^AF$2))),IF($N25=Lists!$K$3,IF($L25&lt;1,((($T25*(1-$F25)+$S25*(1-$G25))/$L25)*((1+Inputs!$D$7)^AF$2)),((INT(AF$2/$L25)-INT((AF$2-1)/$L25))*($T25*(1-$F25)+$S25*(1-$G25))*((1+Inputs!$D$7)^AF$2))),((_xlfn.WEIBULL.DIST(AF$2,$M25,$L25,FALSE)*($T25*(1-$F25)+$S25*(1-$G25))*((1+Inputs!$D$7)^AF$2))))))</f>
        <v>46.607922663971245</v>
      </c>
      <c r="AG25" s="88">
        <f>$E25*IF(AG$2&gt;Inputs!$D$5,0,IF(AG$2&gt;VLOOKUP($H25,Lists!$P$3:$Q$7,2),IF($N25=Lists!$K$3,IF($L25&lt;1,(($U25/$L25)*((1+Inputs!$D$7)^AG$2)),((INT(AG$2/$L25)-INT((AG$2-1)/$L25))*$U25*((1+Inputs!$D$7)^AG$2))),(_xlfn.WEIBULL.DIST(AG$2,$M25,$L25,FALSE)*$U25*((1+Inputs!$D$7)^AG$2))),IF($N25=Lists!$K$3,IF($L25&lt;1,((($T25*(1-$F25)+$S25*(1-$G25))/$L25)*((1+Inputs!$D$7)^AG$2)),((INT(AG$2/$L25)-INT((AG$2-1)/$L25))*($T25*(1-$F25)+$S25*(1-$G25))*((1+Inputs!$D$7)^AG$2))),((_xlfn.WEIBULL.DIST(AG$2,$M25,$L25,FALSE)*($T25*(1-$F25)+$S25*(1-$G25))*((1+Inputs!$D$7)^AG$2))))))</f>
        <v>64.183523077968601</v>
      </c>
      <c r="AH25" s="88">
        <f>$E25*IF(AH$2&gt;Inputs!$D$5,0,IF(AH$2&gt;VLOOKUP($H25,Lists!$P$3:$Q$7,2),IF($N25=Lists!$K$3,IF($L25&lt;1,(($U25/$L25)*((1+Inputs!$D$7)^AH$2)),((INT(AH$2/$L25)-INT((AH$2-1)/$L25))*$U25*((1+Inputs!$D$7)^AH$2))),(_xlfn.WEIBULL.DIST(AH$2,$M25,$L25,FALSE)*$U25*((1+Inputs!$D$7)^AH$2))),IF($N25=Lists!$K$3,IF($L25&lt;1,((($T25*(1-$F25)+$S25*(1-$G25))/$L25)*((1+Inputs!$D$7)^AH$2)),((INT(AH$2/$L25)-INT((AH$2-1)/$L25))*($T25*(1-$F25)+$S25*(1-$G25))*((1+Inputs!$D$7)^AH$2))),((_xlfn.WEIBULL.DIST(AH$2,$M25,$L25,FALSE)*($T25*(1-$F25)+$S25*(1-$G25))*((1+Inputs!$D$7)^AH$2))))))</f>
        <v>84.588298413905264</v>
      </c>
      <c r="AI25" s="88">
        <f>$E25*IF(AI$2&gt;Inputs!$D$5,0,IF(AI$2&gt;VLOOKUP($H25,Lists!$P$3:$Q$7,2),IF($N25=Lists!$K$3,IF($L25&lt;1,(($U25/$L25)*((1+Inputs!$D$7)^AI$2)),((INT(AI$2/$L25)-INT((AI$2-1)/$L25))*$U25*((1+Inputs!$D$7)^AI$2))),(_xlfn.WEIBULL.DIST(AI$2,$M25,$L25,FALSE)*$U25*((1+Inputs!$D$7)^AI$2))),IF($N25=Lists!$K$3,IF($L25&lt;1,((($T25*(1-$F25)+$S25*(1-$G25))/$L25)*((1+Inputs!$D$7)^AI$2)),((INT(AI$2/$L25)-INT((AI$2-1)/$L25))*($T25*(1-$F25)+$S25*(1-$G25))*((1+Inputs!$D$7)^AI$2))),((_xlfn.WEIBULL.DIST(AI$2,$M25,$L25,FALSE)*($T25*(1-$F25)+$S25*(1-$G25))*((1+Inputs!$D$7)^AI$2))))))</f>
        <v>107.69214409620524</v>
      </c>
      <c r="AJ25" s="88">
        <f>$E25*IF(AJ$2&gt;Inputs!$D$5,0,IF(AJ$2&gt;VLOOKUP($H25,Lists!$P$3:$Q$7,2),IF($N25=Lists!$K$3,IF($L25&lt;1,(($U25/$L25)*((1+Inputs!$D$7)^AJ$2)),((INT(AJ$2/$L25)-INT((AJ$2-1)/$L25))*$U25*((1+Inputs!$D$7)^AJ$2))),(_xlfn.WEIBULL.DIST(AJ$2,$M25,$L25,FALSE)*$U25*((1+Inputs!$D$7)^AJ$2))),IF($N25=Lists!$K$3,IF($L25&lt;1,((($T25*(1-$F25)+$S25*(1-$G25))/$L25)*((1+Inputs!$D$7)^AJ$2)),((INT(AJ$2/$L25)-INT((AJ$2-1)/$L25))*($T25*(1-$F25)+$S25*(1-$G25))*((1+Inputs!$D$7)^AJ$2))),((_xlfn.WEIBULL.DIST(AJ$2,$M25,$L25,FALSE)*($T25*(1-$F25)+$S25*(1-$G25))*((1+Inputs!$D$7)^AJ$2))))))</f>
        <v>133.28054901174443</v>
      </c>
      <c r="AK25" s="88">
        <f>$E25*IF(AK$2&gt;Inputs!$D$5,0,IF(AK$2&gt;VLOOKUP($H25,Lists!$P$3:$Q$7,2),IF($N25=Lists!$K$3,IF($L25&lt;1,(($U25/$L25)*((1+Inputs!$D$7)^AK$2)),((INT(AK$2/$L25)-INT((AK$2-1)/$L25))*$U25*((1+Inputs!$D$7)^AK$2))),(_xlfn.WEIBULL.DIST(AK$2,$M25,$L25,FALSE)*$U25*((1+Inputs!$D$7)^AK$2))),IF($N25=Lists!$K$3,IF($L25&lt;1,((($T25*(1-$F25)+$S25*(1-$G25))/$L25)*((1+Inputs!$D$7)^AK$2)),((INT(AK$2/$L25)-INT((AK$2-1)/$L25))*($T25*(1-$F25)+$S25*(1-$G25))*((1+Inputs!$D$7)^AK$2))),((_xlfn.WEIBULL.DIST(AK$2,$M25,$L25,FALSE)*($T25*(1-$F25)+$S25*(1-$G25))*((1+Inputs!$D$7)^AK$2))))))</f>
        <v>161.04684486387032</v>
      </c>
      <c r="AL25" s="88">
        <f>$E25*IF(AL$2&gt;Inputs!$D$5,0,IF(AL$2&gt;VLOOKUP($H25,Lists!$P$3:$Q$7,2),IF($N25=Lists!$K$3,IF($L25&lt;1,(($U25/$L25)*((1+Inputs!$D$7)^AL$2)),((INT(AL$2/$L25)-INT((AL$2-1)/$L25))*$U25*((1+Inputs!$D$7)^AL$2))),(_xlfn.WEIBULL.DIST(AL$2,$M25,$L25,FALSE)*$U25*((1+Inputs!$D$7)^AL$2))),IF($N25=Lists!$K$3,IF($L25&lt;1,((($T25*(1-$F25)+$S25*(1-$G25))/$L25)*((1+Inputs!$D$7)^AL$2)),((INT(AL$2/$L25)-INT((AL$2-1)/$L25))*($T25*(1-$F25)+$S25*(1-$G25))*((1+Inputs!$D$7)^AL$2))),((_xlfn.WEIBULL.DIST(AL$2,$M25,$L25,FALSE)*($T25*(1-$F25)+$S25*(1-$G25))*((1+Inputs!$D$7)^AL$2))))))</f>
        <v>190.58773997422193</v>
      </c>
      <c r="AM25" s="88">
        <f>$E25*IF(AM$2&gt;Inputs!$D$5,0,IF(AM$2&gt;VLOOKUP($H25,Lists!$P$3:$Q$7,2),IF($N25=Lists!$K$3,IF($L25&lt;1,(($U25/$L25)*((1+Inputs!$D$7)^AM$2)),((INT(AM$2/$L25)-INT((AM$2-1)/$L25))*$U25*((1+Inputs!$D$7)^AM$2))),(_xlfn.WEIBULL.DIST(AM$2,$M25,$L25,FALSE)*$U25*((1+Inputs!$D$7)^AM$2))),IF($N25=Lists!$K$3,IF($L25&lt;1,((($T25*(1-$F25)+$S25*(1-$G25))/$L25)*((1+Inputs!$D$7)^AM$2)),((INT(AM$2/$L25)-INT((AM$2-1)/$L25))*($T25*(1-$F25)+$S25*(1-$G25))*((1+Inputs!$D$7)^AM$2))),((_xlfn.WEIBULL.DIST(AM$2,$M25,$L25,FALSE)*($T25*(1-$F25)+$S25*(1-$G25))*((1+Inputs!$D$7)^AM$2))))))</f>
        <v>221.40303058707264</v>
      </c>
      <c r="AN25" s="88">
        <f>$E25*IF(AN$2&gt;Inputs!$D$5,0,IF(AN$2&gt;VLOOKUP($H25,Lists!$P$3:$Q$7,2),IF($N25=Lists!$K$3,IF($L25&lt;1,(($U25/$L25)*((1+Inputs!$D$7)^AN$2)),((INT(AN$2/$L25)-INT((AN$2-1)/$L25))*$U25*((1+Inputs!$D$7)^AN$2))),(_xlfn.WEIBULL.DIST(AN$2,$M25,$L25,FALSE)*$U25*((1+Inputs!$D$7)^AN$2))),IF($N25=Lists!$K$3,IF($L25&lt;1,((($T25*(1-$F25)+$S25*(1-$G25))/$L25)*((1+Inputs!$D$7)^AN$2)),((INT(AN$2/$L25)-INT((AN$2-1)/$L25))*($T25*(1-$F25)+$S25*(1-$G25))*((1+Inputs!$D$7)^AN$2))),((_xlfn.WEIBULL.DIST(AN$2,$M25,$L25,FALSE)*($T25*(1-$F25)+$S25*(1-$G25))*((1+Inputs!$D$7)^AN$2))))))</f>
        <v>252.9002848659745</v>
      </c>
      <c r="AO25" s="88">
        <f>$E25*IF(AO$2&gt;Inputs!$D$5,0,IF(AO$2&gt;VLOOKUP($H25,Lists!$P$3:$Q$7,2),IF($N25=Lists!$K$3,IF($L25&lt;1,(($U25/$L25)*((1+Inputs!$D$7)^AO$2)),((INT(AO$2/$L25)-INT((AO$2-1)/$L25))*$U25*((1+Inputs!$D$7)^AO$2))),(_xlfn.WEIBULL.DIST(AO$2,$M25,$L25,FALSE)*$U25*((1+Inputs!$D$7)^AO$2))),IF($N25=Lists!$K$3,IF($L25&lt;1,((($T25*(1-$F25)+$S25*(1-$G25))/$L25)*((1+Inputs!$D$7)^AO$2)),((INT(AO$2/$L25)-INT((AO$2-1)/$L25))*($T25*(1-$F25)+$S25*(1-$G25))*((1+Inputs!$D$7)^AO$2))),((_xlfn.WEIBULL.DIST(AO$2,$M25,$L25,FALSE)*($T25*(1-$F25)+$S25*(1-$G25))*((1+Inputs!$D$7)^AO$2))))))</f>
        <v>284.40510571236206</v>
      </c>
      <c r="AP25" s="88">
        <f>$E25*IF(AP$2&gt;Inputs!$D$5,0,IF(AP$2&gt;VLOOKUP($H25,Lists!$P$3:$Q$7,2),IF($N25=Lists!$K$3,IF($L25&lt;1,(($U25/$L25)*((1+Inputs!$D$7)^AP$2)),((INT(AP$2/$L25)-INT((AP$2-1)/$L25))*$U25*((1+Inputs!$D$7)^AP$2))),(_xlfn.WEIBULL.DIST(AP$2,$M25,$L25,FALSE)*$U25*((1+Inputs!$D$7)^AP$2))),IF($N25=Lists!$K$3,IF($L25&lt;1,((($T25*(1-$F25)+$S25*(1-$G25))/$L25)*((1+Inputs!$D$7)^AP$2)),((INT(AP$2/$L25)-INT((AP$2-1)/$L25))*($T25*(1-$F25)+$S25*(1-$G25))*((1+Inputs!$D$7)^AP$2))),((_xlfn.WEIBULL.DIST(AP$2,$M25,$L25,FALSE)*($T25*(1-$F25)+$S25*(1-$G25))*((1+Inputs!$D$7)^AP$2))))))</f>
        <v>315.17729441838407</v>
      </c>
      <c r="AQ25" s="88">
        <f>$E25*IF(AQ$2&gt;Inputs!$D$5,0,IF(AQ$2&gt;VLOOKUP($H25,Lists!$P$3:$Q$7,2),IF($N25=Lists!$K$3,IF($L25&lt;1,(($U25/$L25)*((1+Inputs!$D$7)^AQ$2)),((INT(AQ$2/$L25)-INT((AQ$2-1)/$L25))*$U25*((1+Inputs!$D$7)^AQ$2))),(_xlfn.WEIBULL.DIST(AQ$2,$M25,$L25,FALSE)*$U25*((1+Inputs!$D$7)^AQ$2))),IF($N25=Lists!$K$3,IF($L25&lt;1,((($T25*(1-$F25)+$S25*(1-$G25))/$L25)*((1+Inputs!$D$7)^AQ$2)),((INT(AQ$2/$L25)-INT((AQ$2-1)/$L25))*($T25*(1-$F25)+$S25*(1-$G25))*((1+Inputs!$D$7)^AQ$2))),((_xlfn.WEIBULL.DIST(AQ$2,$M25,$L25,FALSE)*($T25*(1-$F25)+$S25*(1-$G25))*((1+Inputs!$D$7)^AQ$2))))))</f>
        <v>344.43286362689457</v>
      </c>
      <c r="AR25" s="88">
        <f>$E25*IF(AR$2&gt;Inputs!$D$5,0,IF(AR$2&gt;VLOOKUP($H25,Lists!$P$3:$Q$7,2),IF($N25=Lists!$K$3,IF($L25&lt;1,(($U25/$L25)*((1+Inputs!$D$7)^AR$2)),((INT(AR$2/$L25)-INT((AR$2-1)/$L25))*$U25*((1+Inputs!$D$7)^AR$2))),(_xlfn.WEIBULL.DIST(AR$2,$M25,$L25,FALSE)*$U25*((1+Inputs!$D$7)^AR$2))),IF($N25=Lists!$K$3,IF($L25&lt;1,((($T25*(1-$F25)+$S25*(1-$G25))/$L25)*((1+Inputs!$D$7)^AR$2)),((INT(AR$2/$L25)-INT((AR$2-1)/$L25))*($T25*(1-$F25)+$S25*(1-$G25))*((1+Inputs!$D$7)^AR$2))),((_xlfn.WEIBULL.DIST(AR$2,$M25,$L25,FALSE)*($T25*(1-$F25)+$S25*(1-$G25))*((1+Inputs!$D$7)^AR$2))))))</f>
        <v>371.37140215006832</v>
      </c>
      <c r="AS25" s="88">
        <f>$E25*IF(AS$2&gt;Inputs!$D$5,0,IF(AS$2&gt;VLOOKUP($H25,Lists!$P$3:$Q$7,2),IF($N25=Lists!$K$3,IF($L25&lt;1,(($U25/$L25)*((1+Inputs!$D$7)^AS$2)),((INT(AS$2/$L25)-INT((AS$2-1)/$L25))*$U25*((1+Inputs!$D$7)^AS$2))),(_xlfn.WEIBULL.DIST(AS$2,$M25,$L25,FALSE)*$U25*((1+Inputs!$D$7)^AS$2))),IF($N25=Lists!$K$3,IF($L25&lt;1,((($T25*(1-$F25)+$S25*(1-$G25))/$L25)*((1+Inputs!$D$7)^AS$2)),((INT(AS$2/$L25)-INT((AS$2-1)/$L25))*($T25*(1-$F25)+$S25*(1-$G25))*((1+Inputs!$D$7)^AS$2))),((_xlfn.WEIBULL.DIST(AS$2,$M25,$L25,FALSE)*($T25*(1-$F25)+$S25*(1-$G25))*((1+Inputs!$D$7)^AS$2))))))</f>
        <v>395.20780519112679</v>
      </c>
      <c r="AT25" s="88">
        <f>$E25*IF(AT$2&gt;Inputs!$D$5,0,IF(AT$2&gt;VLOOKUP($H25,Lists!$P$3:$Q$7,2),IF($N25=Lists!$K$3,IF($L25&lt;1,(($U25/$L25)*((1+Inputs!$D$7)^AT$2)),((INT(AT$2/$L25)-INT((AT$2-1)/$L25))*$U25*((1+Inputs!$D$7)^AT$2))),(_xlfn.WEIBULL.DIST(AT$2,$M25,$L25,FALSE)*$U25*((1+Inputs!$D$7)^AT$2))),IF($N25=Lists!$K$3,IF($L25&lt;1,((($T25*(1-$F25)+$S25*(1-$G25))/$L25)*((1+Inputs!$D$7)^AT$2)),((INT(AT$2/$L25)-INT((AT$2-1)/$L25))*($T25*(1-$F25)+$S25*(1-$G25))*((1+Inputs!$D$7)^AT$2))),((_xlfn.WEIBULL.DIST(AT$2,$M25,$L25,FALSE)*($T25*(1-$F25)+$S25*(1-$G25))*((1+Inputs!$D$7)^AT$2))))))</f>
        <v>415.20689232565218</v>
      </c>
      <c r="AU25" s="88">
        <f>$E25*IF(AU$2&gt;Inputs!$D$5,0,IF(AU$2&gt;VLOOKUP($H25,Lists!$P$3:$Q$7,2),IF($N25=Lists!$K$3,IF($L25&lt;1,(($U25/$L25)*((1+Inputs!$D$7)^AU$2)),((INT(AU$2/$L25)-INT((AU$2-1)/$L25))*$U25*((1+Inputs!$D$7)^AU$2))),(_xlfn.WEIBULL.DIST(AU$2,$M25,$L25,FALSE)*$U25*((1+Inputs!$D$7)^AU$2))),IF($N25=Lists!$K$3,IF($L25&lt;1,((($T25*(1-$F25)+$S25*(1-$G25))/$L25)*((1+Inputs!$D$7)^AU$2)),((INT(AU$2/$L25)-INT((AU$2-1)/$L25))*($T25*(1-$F25)+$S25*(1-$G25))*((1+Inputs!$D$7)^AU$2))),((_xlfn.WEIBULL.DIST(AU$2,$M25,$L25,FALSE)*($T25*(1-$F25)+$S25*(1-$G25))*((1+Inputs!$D$7)^AU$2))))))</f>
        <v>430.71899226551517</v>
      </c>
      <c r="AV25" s="88">
        <f>$E25*IF(AV$2&gt;Inputs!$D$5,0,IF(AV$2&gt;VLOOKUP($H25,Lists!$P$3:$Q$7,2),IF($N25=Lists!$K$3,IF($L25&lt;1,(($U25/$L25)*((1+Inputs!$D$7)^AV$2)),((INT(AV$2/$L25)-INT((AV$2-1)/$L25))*$U25*((1+Inputs!$D$7)^AV$2))),(_xlfn.WEIBULL.DIST(AV$2,$M25,$L25,FALSE)*$U25*((1+Inputs!$D$7)^AV$2))),IF($N25=Lists!$K$3,IF($L25&lt;1,((($T25*(1-$F25)+$S25*(1-$G25))/$L25)*((1+Inputs!$D$7)^AV$2)),((INT(AV$2/$L25)-INT((AV$2-1)/$L25))*($T25*(1-$F25)+$S25*(1-$G25))*((1+Inputs!$D$7)^AV$2))),((_xlfn.WEIBULL.DIST(AV$2,$M25,$L25,FALSE)*($T25*(1-$F25)+$S25*(1-$G25))*((1+Inputs!$D$7)^AV$2))))))</f>
        <v>441.21423270145823</v>
      </c>
      <c r="AW25" s="88">
        <f>$E25*IF(AW$2&gt;Inputs!$D$5,0,IF(AW$2&gt;VLOOKUP($H25,Lists!$P$3:$Q$7,2),IF($N25=Lists!$K$3,IF($L25&lt;1,(($U25/$L25)*((1+Inputs!$D$7)^AW$2)),((INT(AW$2/$L25)-INT((AW$2-1)/$L25))*$U25*((1+Inputs!$D$7)^AW$2))),(_xlfn.WEIBULL.DIST(AW$2,$M25,$L25,FALSE)*$U25*((1+Inputs!$D$7)^AW$2))),IF($N25=Lists!$K$3,IF($L25&lt;1,((($T25*(1-$F25)+$S25*(1-$G25))/$L25)*((1+Inputs!$D$7)^AW$2)),((INT(AW$2/$L25)-INT((AW$2-1)/$L25))*($T25*(1-$F25)+$S25*(1-$G25))*((1+Inputs!$D$7)^AW$2))),((_xlfn.WEIBULL.DIST(AW$2,$M25,$L25,FALSE)*($T25*(1-$F25)+$S25*(1-$G25))*((1+Inputs!$D$7)^AW$2))))))</f>
        <v>446.3130887120339</v>
      </c>
      <c r="AX25" s="88">
        <f>$E25*IF(AX$2&gt;Inputs!$D$5,0,IF(AX$2&gt;VLOOKUP($H25,Lists!$P$3:$Q$7,2),IF($N25=Lists!$K$3,IF($L25&lt;1,(($U25/$L25)*((1+Inputs!$D$7)^AX$2)),((INT(AX$2/$L25)-INT((AX$2-1)/$L25))*$U25*((1+Inputs!$D$7)^AX$2))),(_xlfn.WEIBULL.DIST(AX$2,$M25,$L25,FALSE)*$U25*((1+Inputs!$D$7)^AX$2))),IF($N25=Lists!$K$3,IF($L25&lt;1,((($T25*(1-$F25)+$S25*(1-$G25))/$L25)*((1+Inputs!$D$7)^AX$2)),((INT(AX$2/$L25)-INT((AX$2-1)/$L25))*($T25*(1-$F25)+$S25*(1-$G25))*((1+Inputs!$D$7)^AX$2))),((_xlfn.WEIBULL.DIST(AX$2,$M25,$L25,FALSE)*($T25*(1-$F25)+$S25*(1-$G25))*((1+Inputs!$D$7)^AX$2))))))</f>
        <v>445.81075886568919</v>
      </c>
      <c r="AY25" s="88">
        <f>$E25*IF(AY$2&gt;Inputs!$D$5,0,IF(AY$2&gt;VLOOKUP($H25,Lists!$P$3:$Q$7,2),IF($N25=Lists!$K$3,IF($L25&lt;1,(($U25/$L25)*((1+Inputs!$D$7)^AY$2)),((INT(AY$2/$L25)-INT((AY$2-1)/$L25))*$U25*((1+Inputs!$D$7)^AY$2))),(_xlfn.WEIBULL.DIST(AY$2,$M25,$L25,FALSE)*$U25*((1+Inputs!$D$7)^AY$2))),IF($N25=Lists!$K$3,IF($L25&lt;1,((($T25*(1-$F25)+$S25*(1-$G25))/$L25)*((1+Inputs!$D$7)^AY$2)),((INT(AY$2/$L25)-INT((AY$2-1)/$L25))*($T25*(1-$F25)+$S25*(1-$G25))*((1+Inputs!$D$7)^AY$2))),((_xlfn.WEIBULL.DIST(AY$2,$M25,$L25,FALSE)*($T25*(1-$F25)+$S25*(1-$G25))*((1+Inputs!$D$7)^AY$2))))))</f>
        <v>439.69318235048945</v>
      </c>
      <c r="AZ25" s="88">
        <f>$E25*IF(AZ$2&gt;Inputs!$D$5,0,IF(AZ$2&gt;VLOOKUP($H25,Lists!$P$3:$Q$7,2),IF($N25=Lists!$K$3,IF($L25&lt;1,(($U25/$L25)*((1+Inputs!$D$7)^AZ$2)),((INT(AZ$2/$L25)-INT((AZ$2-1)/$L25))*$U25*((1+Inputs!$D$7)^AZ$2))),(_xlfn.WEIBULL.DIST(AZ$2,$M25,$L25,FALSE)*$U25*((1+Inputs!$D$7)^AZ$2))),IF($N25=Lists!$K$3,IF($L25&lt;1,((($T25*(1-$F25)+$S25*(1-$G25))/$L25)*((1+Inputs!$D$7)^AZ$2)),((INT(AZ$2/$L25)-INT((AZ$2-1)/$L25))*($T25*(1-$F25)+$S25*(1-$G25))*((1+Inputs!$D$7)^AZ$2))),((_xlfn.WEIBULL.DIST(AZ$2,$M25,$L25,FALSE)*($T25*(1-$F25)+$S25*(1-$G25))*((1+Inputs!$D$7)^AZ$2))))))</f>
        <v>0</v>
      </c>
      <c r="BA25" s="88">
        <f>$E25*IF(BA$2&gt;Inputs!$D$5,0,IF(BA$2&gt;VLOOKUP($H25,Lists!$P$3:$Q$7,2),IF($N25=Lists!$K$3,IF($L25&lt;1,(($U25/$L25)*((1+Inputs!$D$7)^BA$2)),((INT(BA$2/$L25)-INT((BA$2-1)/$L25))*$U25*((1+Inputs!$D$7)^BA$2))),(_xlfn.WEIBULL.DIST(BA$2,$M25,$L25,FALSE)*$U25*((1+Inputs!$D$7)^BA$2))),IF($N25=Lists!$K$3,IF($L25&lt;1,((($T25*(1-$F25)+$S25*(1-$G25))/$L25)*((1+Inputs!$D$7)^BA$2)),((INT(BA$2/$L25)-INT((BA$2-1)/$L25))*($T25*(1-$F25)+$S25*(1-$G25))*((1+Inputs!$D$7)^BA$2))),((_xlfn.WEIBULL.DIST(BA$2,$M25,$L25,FALSE)*($T25*(1-$F25)+$S25*(1-$G25))*((1+Inputs!$D$7)^BA$2))))))</f>
        <v>0</v>
      </c>
      <c r="BB25" s="88">
        <f>$E25*IF(BB$2&gt;Inputs!$D$5,0,IF(BB$2&gt;VLOOKUP($H25,Lists!$P$3:$Q$7,2),IF($N25=Lists!$K$3,IF($L25&lt;1,(($U25/$L25)*((1+Inputs!$D$7)^BB$2)),((INT(BB$2/$L25)-INT((BB$2-1)/$L25))*$U25*((1+Inputs!$D$7)^BB$2))),(_xlfn.WEIBULL.DIST(BB$2,$M25,$L25,FALSE)*$U25*((1+Inputs!$D$7)^BB$2))),IF($N25=Lists!$K$3,IF($L25&lt;1,((($T25*(1-$F25)+$S25*(1-$G25))/$L25)*((1+Inputs!$D$7)^BB$2)),((INT(BB$2/$L25)-INT((BB$2-1)/$L25))*($T25*(1-$F25)+$S25*(1-$G25))*((1+Inputs!$D$7)^BB$2))),((_xlfn.WEIBULL.DIST(BB$2,$M25,$L25,FALSE)*($T25*(1-$F25)+$S25*(1-$G25))*((1+Inputs!$D$7)^BB$2))))))</f>
        <v>0</v>
      </c>
      <c r="BC25" s="88">
        <f>$E25*IF(BC$2&gt;Inputs!$D$5,0,IF(BC$2&gt;VLOOKUP($H25,Lists!$P$3:$Q$7,2),IF($N25=Lists!$K$3,IF($L25&lt;1,(($U25/$L25)*((1+Inputs!$D$7)^BC$2)),((INT(BC$2/$L25)-INT((BC$2-1)/$L25))*$U25*((1+Inputs!$D$7)^BC$2))),(_xlfn.WEIBULL.DIST(BC$2,$M25,$L25,FALSE)*$U25*((1+Inputs!$D$7)^BC$2))),IF($N25=Lists!$K$3,IF($L25&lt;1,((($T25*(1-$F25)+$S25*(1-$G25))/$L25)*((1+Inputs!$D$7)^BC$2)),((INT(BC$2/$L25)-INT((BC$2-1)/$L25))*($T25*(1-$F25)+$S25*(1-$G25))*((1+Inputs!$D$7)^BC$2))),((_xlfn.WEIBULL.DIST(BC$2,$M25,$L25,FALSE)*($T25*(1-$F25)+$S25*(1-$G25))*((1+Inputs!$D$7)^BC$2))))))</f>
        <v>0</v>
      </c>
      <c r="BD25" s="88">
        <f>$E25*IF(BD$2&gt;Inputs!$D$5,0,IF(BD$2&gt;VLOOKUP($H25,Lists!$P$3:$Q$7,2),IF($N25=Lists!$K$3,IF($L25&lt;1,(($U25/$L25)*((1+Inputs!$D$7)^BD$2)),((INT(BD$2/$L25)-INT((BD$2-1)/$L25))*$U25*((1+Inputs!$D$7)^BD$2))),(_xlfn.WEIBULL.DIST(BD$2,$M25,$L25,FALSE)*$U25*((1+Inputs!$D$7)^BD$2))),IF($N25=Lists!$K$3,IF($L25&lt;1,((($T25*(1-$F25)+$S25*(1-$G25))/$L25)*((1+Inputs!$D$7)^BD$2)),((INT(BD$2/$L25)-INT((BD$2-1)/$L25))*($T25*(1-$F25)+$S25*(1-$G25))*((1+Inputs!$D$7)^BD$2))),((_xlfn.WEIBULL.DIST(BD$2,$M25,$L25,FALSE)*($T25*(1-$F25)+$S25*(1-$G25))*((1+Inputs!$D$7)^BD$2))))))</f>
        <v>0</v>
      </c>
      <c r="BE25" s="88">
        <f>$E25*IF(BE$2&gt;Inputs!$D$5,0,IF(BE$2&gt;VLOOKUP($H25,Lists!$P$3:$Q$7,2),IF($N25=Lists!$K$3,IF($L25&lt;1,(($U25/$L25)*((1+Inputs!$D$7)^BE$2)),((INT(BE$2/$L25)-INT((BE$2-1)/$L25))*$U25*((1+Inputs!$D$7)^BE$2))),(_xlfn.WEIBULL.DIST(BE$2,$M25,$L25,FALSE)*$U25*((1+Inputs!$D$7)^BE$2))),IF($N25=Lists!$K$3,IF($L25&lt;1,((($T25*(1-$F25)+$S25*(1-$G25))/$L25)*((1+Inputs!$D$7)^BE$2)),((INT(BE$2/$L25)-INT((BE$2-1)/$L25))*($T25*(1-$F25)+$S25*(1-$G25))*((1+Inputs!$D$7)^BE$2))),((_xlfn.WEIBULL.DIST(BE$2,$M25,$L25,FALSE)*($T25*(1-$F25)+$S25*(1-$G25))*((1+Inputs!$D$7)^BE$2))))))</f>
        <v>0</v>
      </c>
      <c r="BF25" s="88">
        <f>$E25*IF(BF$2&gt;Inputs!$D$5,0,IF(BF$2&gt;VLOOKUP($H25,Lists!$P$3:$Q$7,2),IF($N25=Lists!$K$3,IF($L25&lt;1,(($U25/$L25)*((1+Inputs!$D$7)^BF$2)),((INT(BF$2/$L25)-INT((BF$2-1)/$L25))*$U25*((1+Inputs!$D$7)^BF$2))),(_xlfn.WEIBULL.DIST(BF$2,$M25,$L25,FALSE)*$U25*((1+Inputs!$D$7)^BF$2))),IF($N25=Lists!$K$3,IF($L25&lt;1,((($T25*(1-$F25)+$S25*(1-$G25))/$L25)*((1+Inputs!$D$7)^BF$2)),((INT(BF$2/$L25)-INT((BF$2-1)/$L25))*($T25*(1-$F25)+$S25*(1-$G25))*((1+Inputs!$D$7)^BF$2))),((_xlfn.WEIBULL.DIST(BF$2,$M25,$L25,FALSE)*($T25*(1-$F25)+$S25*(1-$G25))*((1+Inputs!$D$7)^BF$2))))))</f>
        <v>0</v>
      </c>
      <c r="BG25" s="88">
        <f>$E25*IF(BG$2&gt;Inputs!$D$5,0,IF(BG$2&gt;VLOOKUP($H25,Lists!$P$3:$Q$7,2),IF($N25=Lists!$K$3,IF($L25&lt;1,(($U25/$L25)*((1+Inputs!$D$7)^BG$2)),((INT(BG$2/$L25)-INT((BG$2-1)/$L25))*$U25*((1+Inputs!$D$7)^BG$2))),(_xlfn.WEIBULL.DIST(BG$2,$M25,$L25,FALSE)*$U25*((1+Inputs!$D$7)^BG$2))),IF($N25=Lists!$K$3,IF($L25&lt;1,((($T25*(1-$F25)+$S25*(1-$G25))/$L25)*((1+Inputs!$D$7)^BG$2)),((INT(BG$2/$L25)-INT((BG$2-1)/$L25))*($T25*(1-$F25)+$S25*(1-$G25))*((1+Inputs!$D$7)^BG$2))),((_xlfn.WEIBULL.DIST(BG$2,$M25,$L25,FALSE)*($T25*(1-$F25)+$S25*(1-$G25))*((1+Inputs!$D$7)^BG$2))))))</f>
        <v>0</v>
      </c>
      <c r="BH25" s="88">
        <f>$E25*IF(BH$2&gt;Inputs!$D$5,0,IF(BH$2&gt;VLOOKUP($H25,Lists!$P$3:$Q$7,2),IF($N25=Lists!$K$3,IF($L25&lt;1,(($U25/$L25)*((1+Inputs!$D$7)^BH$2)),((INT(BH$2/$L25)-INT((BH$2-1)/$L25))*$U25*((1+Inputs!$D$7)^BH$2))),(_xlfn.WEIBULL.DIST(BH$2,$M25,$L25,FALSE)*$U25*((1+Inputs!$D$7)^BH$2))),IF($N25=Lists!$K$3,IF($L25&lt;1,((($T25*(1-$F25)+$S25*(1-$G25))/$L25)*((1+Inputs!$D$7)^BH$2)),((INT(BH$2/$L25)-INT((BH$2-1)/$L25))*($T25*(1-$F25)+$S25*(1-$G25))*((1+Inputs!$D$7)^BH$2))),((_xlfn.WEIBULL.DIST(BH$2,$M25,$L25,FALSE)*($T25*(1-$F25)+$S25*(1-$G25))*((1+Inputs!$D$7)^BH$2))))))</f>
        <v>0</v>
      </c>
      <c r="BI25" s="88">
        <f>$E25*IF(BI$2&gt;Inputs!$D$5,0,IF(BI$2&gt;VLOOKUP($H25,Lists!$P$3:$Q$7,2),IF($N25=Lists!$K$3,IF($L25&lt;1,(($U25/$L25)*((1+Inputs!$D$7)^BI$2)),((INT(BI$2/$L25)-INT((BI$2-1)/$L25))*$U25*((1+Inputs!$D$7)^BI$2))),(_xlfn.WEIBULL.DIST(BI$2,$M25,$L25,FALSE)*$U25*((1+Inputs!$D$7)^BI$2))),IF($N25=Lists!$K$3,IF($L25&lt;1,((($T25*(1-$F25)+$S25*(1-$G25))/$L25)*((1+Inputs!$D$7)^BI$2)),((INT(BI$2/$L25)-INT((BI$2-1)/$L25))*($T25*(1-$F25)+$S25*(1-$G25))*((1+Inputs!$D$7)^BI$2))),((_xlfn.WEIBULL.DIST(BI$2,$M25,$L25,FALSE)*($T25*(1-$F25)+$S25*(1-$G25))*((1+Inputs!$D$7)^BI$2))))))</f>
        <v>0</v>
      </c>
      <c r="BJ25" s="88">
        <f>$E25*IF(BJ$2&gt;Inputs!$D$5,0,IF(BJ$2&gt;VLOOKUP($H25,Lists!$P$3:$Q$7,2),IF($N25=Lists!$K$3,IF($L25&lt;1,(($U25/$L25)*((1+Inputs!$D$7)^BJ$2)),((INT(BJ$2/$L25)-INT((BJ$2-1)/$L25))*$U25*((1+Inputs!$D$7)^BJ$2))),(_xlfn.WEIBULL.DIST(BJ$2,$M25,$L25,FALSE)*$U25*((1+Inputs!$D$7)^BJ$2))),IF($N25=Lists!$K$3,IF($L25&lt;1,((($T25*(1-$F25)+$S25*(1-$G25))/$L25)*((1+Inputs!$D$7)^BJ$2)),((INT(BJ$2/$L25)-INT((BJ$2-1)/$L25))*($T25*(1-$F25)+$S25*(1-$G25))*((1+Inputs!$D$7)^BJ$2))),((_xlfn.WEIBULL.DIST(BJ$2,$M25,$L25,FALSE)*($T25*(1-$F25)+$S25*(1-$G25))*((1+Inputs!$D$7)^BJ$2))))))</f>
        <v>0</v>
      </c>
      <c r="BK25" s="88">
        <f>$E25*IF(BK$2&gt;Inputs!$D$5,0,IF(BK$2&gt;VLOOKUP($H25,Lists!$P$3:$Q$7,2),IF($N25=Lists!$K$3,IF($L25&lt;1,(($U25/$L25)*((1+Inputs!$D$7)^BK$2)),((INT(BK$2/$L25)-INT((BK$2-1)/$L25))*$U25*((1+Inputs!$D$7)^BK$2))),(_xlfn.WEIBULL.DIST(BK$2,$M25,$L25,FALSE)*$U25*((1+Inputs!$D$7)^BK$2))),IF($N25=Lists!$K$3,IF($L25&lt;1,((($T25*(1-$F25)+$S25*(1-$G25))/$L25)*((1+Inputs!$D$7)^BK$2)),((INT(BK$2/$L25)-INT((BK$2-1)/$L25))*($T25*(1-$F25)+$S25*(1-$G25))*((1+Inputs!$D$7)^BK$2))),((_xlfn.WEIBULL.DIST(BK$2,$M25,$L25,FALSE)*($T25*(1-$F25)+$S25*(1-$G25))*((1+Inputs!$D$7)^BK$2))))))</f>
        <v>0</v>
      </c>
      <c r="BL25" s="88">
        <f>$E25*IF(BL$2&gt;Inputs!$D$5,0,IF(BL$2&gt;VLOOKUP($H25,Lists!$P$3:$Q$7,2),IF($N25=Lists!$K$3,IF($L25&lt;1,(($U25/$L25)*((1+Inputs!$D$7)^BL$2)),((INT(BL$2/$L25)-INT((BL$2-1)/$L25))*$U25*((1+Inputs!$D$7)^BL$2))),(_xlfn.WEIBULL.DIST(BL$2,$M25,$L25,FALSE)*$U25*((1+Inputs!$D$7)^BL$2))),IF($N25=Lists!$K$3,IF($L25&lt;1,((($T25*(1-$F25)+$S25*(1-$G25))/$L25)*((1+Inputs!$D$7)^BL$2)),((INT(BL$2/$L25)-INT((BL$2-1)/$L25))*($T25*(1-$F25)+$S25*(1-$G25))*((1+Inputs!$D$7)^BL$2))),((_xlfn.WEIBULL.DIST(BL$2,$M25,$L25,FALSE)*($T25*(1-$F25)+$S25*(1-$G25))*((1+Inputs!$D$7)^BL$2))))))</f>
        <v>0</v>
      </c>
      <c r="BM25" s="88">
        <f>$E25*IF(BM$2&gt;Inputs!$D$5,0,IF(BM$2&gt;VLOOKUP($H25,Lists!$P$3:$Q$7,2),IF($N25=Lists!$K$3,IF($L25&lt;1,(($U25/$L25)*((1+Inputs!$D$7)^BM$2)),((INT(BM$2/$L25)-INT((BM$2-1)/$L25))*$U25*((1+Inputs!$D$7)^BM$2))),(_xlfn.WEIBULL.DIST(BM$2,$M25,$L25,FALSE)*$U25*((1+Inputs!$D$7)^BM$2))),IF($N25=Lists!$K$3,IF($L25&lt;1,((($T25*(1-$F25)+$S25*(1-$G25))/$L25)*((1+Inputs!$D$7)^BM$2)),((INT(BM$2/$L25)-INT((BM$2-1)/$L25))*($T25*(1-$F25)+$S25*(1-$G25))*((1+Inputs!$D$7)^BM$2))),((_xlfn.WEIBULL.DIST(BM$2,$M25,$L25,FALSE)*($T25*(1-$F25)+$S25*(1-$G25))*((1+Inputs!$D$7)^BM$2))))))</f>
        <v>0</v>
      </c>
      <c r="BN25" s="88">
        <f>$E25*IF(BN$2&gt;Inputs!$D$5,0,IF(BN$2&gt;VLOOKUP($H25,Lists!$P$3:$Q$7,2),IF($N25=Lists!$K$3,IF($L25&lt;1,(($U25/$L25)*((1+Inputs!$D$7)^BN$2)),((INT(BN$2/$L25)-INT((BN$2-1)/$L25))*$U25*((1+Inputs!$D$7)^BN$2))),(_xlfn.WEIBULL.DIST(BN$2,$M25,$L25,FALSE)*$U25*((1+Inputs!$D$7)^BN$2))),IF($N25=Lists!$K$3,IF($L25&lt;1,((($T25*(1-$F25)+$S25*(1-$G25))/$L25)*((1+Inputs!$D$7)^BN$2)),((INT(BN$2/$L25)-INT((BN$2-1)/$L25))*($T25*(1-$F25)+$S25*(1-$G25))*((1+Inputs!$D$7)^BN$2))),((_xlfn.WEIBULL.DIST(BN$2,$M25,$L25,FALSE)*($T25*(1-$F25)+$S25*(1-$G25))*((1+Inputs!$D$7)^BN$2))))))</f>
        <v>0</v>
      </c>
      <c r="BO25" s="64">
        <f>NPV(Inputs!$D$6,BQ25:DD25)</f>
        <v>4961.9200044895251</v>
      </c>
      <c r="BP25" s="67">
        <f t="shared" si="6"/>
        <v>2.3402837185645385E-3</v>
      </c>
      <c r="BQ25" s="88">
        <f>MAX(AA25,($E25*IF(BQ$2&gt;Inputs!$D$5,0,IF(BQ$2&gt;VLOOKUP($H25,Lists!$P$3:$Q$7,2),IF($N25=Lists!$K$3,IF($L25&lt;1,(($U25/$L25)*((1+Inputs!$D$7)^BQ$2)),((INT(BQ$2/$L25)-INT((BQ$2-1)/$L25))*$U25*((1+Inputs!$D$7)^BQ$2))),(Inputs!$D$8^((1-_xlfn.WEIBULL.DIST(BQ$2,$M25,$L25,FALSE))/_xlfn.WEIBULL.DIST(BQ$2,$M25,$L25,FALSE))*$U25*((1+Inputs!$D$7)^BQ$2))),IF($N25=Lists!$K$3,IF($L25&lt;1,((($T25*(1-$F25)+$S25*(1-$G25))/$L25)*((1+Inputs!$D$7)^BQ$2)),((INT(BQ$2/$L25)-INT((BQ$2-1)/$L25))*($T25*(1-$F25)+$S25*(1-$G25))*((1+Inputs!$D$7)^BQ$2))),((Inputs!$D$8^((1-_xlfn.WEIBULL.DIST(BQ$2,$M25,$L25,FALSE))/_xlfn.WEIBULL.DIST(BQ$2,$M25,$L25,FALSE))*($T25*(1-$F25)+$S25*(1-$G25))*((1+Inputs!$D$7)^BQ$2))))))))</f>
        <v>1.188864281355454</v>
      </c>
      <c r="BR25" s="88">
        <f>MAX(AB25,($E25*IF(BR$2&gt;Inputs!$D$5,0,IF(BR$2&gt;VLOOKUP($H25,Lists!$P$3:$Q$7,2),IF($N25=Lists!$K$3,IF($L25&lt;1,(($U25/$L25)*((1+Inputs!$D$7)^BR$2)),((INT(BR$2/$L25)-INT((BR$2-1)/$L25))*$U25*((1+Inputs!$D$7)^BR$2))),(Inputs!$D$8^((1-_xlfn.WEIBULL.DIST(BR$2,$M25,$L25,FALSE))/_xlfn.WEIBULL.DIST(BR$2,$M25,$L25,FALSE))*$U25*((1+Inputs!$D$7)^BR$2))),IF($N25=Lists!$K$3,IF($L25&lt;1,((($T25*(1-$F25)+$S25*(1-$G25))/$L25)*((1+Inputs!$D$7)^BR$2)),((INT(BR$2/$L25)-INT((BR$2-1)/$L25))*($T25*(1-$F25)+$S25*(1-$G25))*((1+Inputs!$D$7)^BR$2))),((Inputs!$D$8^((1-_xlfn.WEIBULL.DIST(BR$2,$M25,$L25,FALSE))/_xlfn.WEIBULL.DIST(BR$2,$M25,$L25,FALSE))*($T25*(1-$F25)+$S25*(1-$G25))*((1+Inputs!$D$7)^BR$2))))))))</f>
        <v>4.8483937009335634</v>
      </c>
      <c r="BS25" s="88">
        <f>MAX(AC25,($E25*IF(BS$2&gt;Inputs!$D$5,0,IF(BS$2&gt;VLOOKUP($H25,Lists!$P$3:$Q$7,2),IF($N25=Lists!$K$3,IF($L25&lt;1,(($U25/$L25)*((1+Inputs!$D$7)^BS$2)),((INT(BS$2/$L25)-INT((BS$2-1)/$L25))*$U25*((1+Inputs!$D$7)^BS$2))),(Inputs!$D$8^((1-_xlfn.WEIBULL.DIST(BS$2,$M25,$L25,FALSE))/_xlfn.WEIBULL.DIST(BS$2,$M25,$L25,FALSE))*$U25*((1+Inputs!$D$7)^BS$2))),IF($N25=Lists!$K$3,IF($L25&lt;1,((($T25*(1-$F25)+$S25*(1-$G25))/$L25)*((1+Inputs!$D$7)^BS$2)),((INT(BS$2/$L25)-INT((BS$2-1)/$L25))*($T25*(1-$F25)+$S25*(1-$G25))*((1+Inputs!$D$7)^BS$2))),((Inputs!$D$8^((1-_xlfn.WEIBULL.DIST(BS$2,$M25,$L25,FALSE))/_xlfn.WEIBULL.DIST(BS$2,$M25,$L25,FALSE))*($T25*(1-$F25)+$S25*(1-$G25))*((1+Inputs!$D$7)^BS$2))))))))</f>
        <v>11.113541257589617</v>
      </c>
      <c r="BT25" s="88">
        <f>MAX(AD25,($E25*IF(BT$2&gt;Inputs!$D$5,0,IF(BT$2&gt;VLOOKUP($H25,Lists!$P$3:$Q$7,2),IF($N25=Lists!$K$3,IF($L25&lt;1,(($U25/$L25)*((1+Inputs!$D$7)^BT$2)),((INT(BT$2/$L25)-INT((BT$2-1)/$L25))*$U25*((1+Inputs!$D$7)^BT$2))),(Inputs!$D$8^((1-_xlfn.WEIBULL.DIST(BT$2,$M25,$L25,FALSE))/_xlfn.WEIBULL.DIST(BT$2,$M25,$L25,FALSE))*$U25*((1+Inputs!$D$7)^BT$2))),IF($N25=Lists!$K$3,IF($L25&lt;1,((($T25*(1-$F25)+$S25*(1-$G25))/$L25)*((1+Inputs!$D$7)^BT$2)),((INT(BT$2/$L25)-INT((BT$2-1)/$L25))*($T25*(1-$F25)+$S25*(1-$G25))*((1+Inputs!$D$7)^BT$2))),((Inputs!$D$8^((1-_xlfn.WEIBULL.DIST(BT$2,$M25,$L25,FALSE))/_xlfn.WEIBULL.DIST(BT$2,$M25,$L25,FALSE))*($T25*(1-$F25)+$S25*(1-$G25))*((1+Inputs!$D$7)^BT$2))))))))</f>
        <v>20.104890021350776</v>
      </c>
      <c r="BU25" s="88">
        <f>MAX(AE25,($E25*IF(BU$2&gt;Inputs!$D$5,0,IF(BU$2&gt;VLOOKUP($H25,Lists!$P$3:$Q$7,2),IF($N25=Lists!$K$3,IF($L25&lt;1,(($U25/$L25)*((1+Inputs!$D$7)^BU$2)),((INT(BU$2/$L25)-INT((BU$2-1)/$L25))*$U25*((1+Inputs!$D$7)^BU$2))),(Inputs!$D$8^((1-_xlfn.WEIBULL.DIST(BU$2,$M25,$L25,FALSE))/_xlfn.WEIBULL.DIST(BU$2,$M25,$L25,FALSE))*$U25*((1+Inputs!$D$7)^BU$2))),IF($N25=Lists!$K$3,IF($L25&lt;1,((($T25*(1-$F25)+$S25*(1-$G25))/$L25)*((1+Inputs!$D$7)^BU$2)),((INT(BU$2/$L25)-INT((BU$2-1)/$L25))*($T25*(1-$F25)+$S25*(1-$G25))*((1+Inputs!$D$7)^BU$2))),((Inputs!$D$8^((1-_xlfn.WEIBULL.DIST(BU$2,$M25,$L25,FALSE))/_xlfn.WEIBULL.DIST(BU$2,$M25,$L25,FALSE))*($T25*(1-$F25)+$S25*(1-$G25))*((1+Inputs!$D$7)^BU$2))))))))</f>
        <v>31.917319709169625</v>
      </c>
      <c r="BV25" s="88">
        <f>MAX(AF25,($E25*IF(BV$2&gt;Inputs!$D$5,0,IF(BV$2&gt;VLOOKUP($H25,Lists!$P$3:$Q$7,2),IF($N25=Lists!$K$3,IF($L25&lt;1,(($U25/$L25)*((1+Inputs!$D$7)^BV$2)),((INT(BV$2/$L25)-INT((BV$2-1)/$L25))*$U25*((1+Inputs!$D$7)^BV$2))),(Inputs!$D$8^((1-_xlfn.WEIBULL.DIST(BV$2,$M25,$L25,FALSE))/_xlfn.WEIBULL.DIST(BV$2,$M25,$L25,FALSE))*$U25*((1+Inputs!$D$7)^BV$2))),IF($N25=Lists!$K$3,IF($L25&lt;1,((($T25*(1-$F25)+$S25*(1-$G25))/$L25)*((1+Inputs!$D$7)^BV$2)),((INT(BV$2/$L25)-INT((BV$2-1)/$L25))*($T25*(1-$F25)+$S25*(1-$G25))*((1+Inputs!$D$7)^BV$2))),((Inputs!$D$8^((1-_xlfn.WEIBULL.DIST(BV$2,$M25,$L25,FALSE))/_xlfn.WEIBULL.DIST(BV$2,$M25,$L25,FALSE))*($T25*(1-$F25)+$S25*(1-$G25))*((1+Inputs!$D$7)^BV$2))))))))</f>
        <v>46.607922663971245</v>
      </c>
      <c r="BW25" s="88">
        <f>MAX(AG25,($E25*IF(BW$2&gt;Inputs!$D$5,0,IF(BW$2&gt;VLOOKUP($H25,Lists!$P$3:$Q$7,2),IF($N25=Lists!$K$3,IF($L25&lt;1,(($U25/$L25)*((1+Inputs!$D$7)^BW$2)),((INT(BW$2/$L25)-INT((BW$2-1)/$L25))*$U25*((1+Inputs!$D$7)^BW$2))),(Inputs!$D$8^((1-_xlfn.WEIBULL.DIST(BW$2,$M25,$L25,FALSE))/_xlfn.WEIBULL.DIST(BW$2,$M25,$L25,FALSE))*$U25*((1+Inputs!$D$7)^BW$2))),IF($N25=Lists!$K$3,IF($L25&lt;1,((($T25*(1-$F25)+$S25*(1-$G25))/$L25)*((1+Inputs!$D$7)^BW$2)),((INT(BW$2/$L25)-INT((BW$2-1)/$L25))*($T25*(1-$F25)+$S25*(1-$G25))*((1+Inputs!$D$7)^BW$2))),((Inputs!$D$8^((1-_xlfn.WEIBULL.DIST(BW$2,$M25,$L25,FALSE))/_xlfn.WEIBULL.DIST(BW$2,$M25,$L25,FALSE))*($T25*(1-$F25)+$S25*(1-$G25))*((1+Inputs!$D$7)^BW$2))))))))</f>
        <v>64.183523077968601</v>
      </c>
      <c r="BX25" s="88">
        <f>MAX(AH25,($E25*IF(BX$2&gt;Inputs!$D$5,0,IF(BX$2&gt;VLOOKUP($H25,Lists!$P$3:$Q$7,2),IF($N25=Lists!$K$3,IF($L25&lt;1,(($U25/$L25)*((1+Inputs!$D$7)^BX$2)),((INT(BX$2/$L25)-INT((BX$2-1)/$L25))*$U25*((1+Inputs!$D$7)^BX$2))),(Inputs!$D$8^((1-_xlfn.WEIBULL.DIST(BX$2,$M25,$L25,FALSE))/_xlfn.WEIBULL.DIST(BX$2,$M25,$L25,FALSE))*$U25*((1+Inputs!$D$7)^BX$2))),IF($N25=Lists!$K$3,IF($L25&lt;1,((($T25*(1-$F25)+$S25*(1-$G25))/$L25)*((1+Inputs!$D$7)^BX$2)),((INT(BX$2/$L25)-INT((BX$2-1)/$L25))*($T25*(1-$F25)+$S25*(1-$G25))*((1+Inputs!$D$7)^BX$2))),((Inputs!$D$8^((1-_xlfn.WEIBULL.DIST(BX$2,$M25,$L25,FALSE))/_xlfn.WEIBULL.DIST(BX$2,$M25,$L25,FALSE))*($T25*(1-$F25)+$S25*(1-$G25))*((1+Inputs!$D$7)^BX$2))))))))</f>
        <v>84.588298413905264</v>
      </c>
      <c r="BY25" s="88">
        <f>MAX(AI25,($E25*IF(BY$2&gt;Inputs!$D$5,0,IF(BY$2&gt;VLOOKUP($H25,Lists!$P$3:$Q$7,2),IF($N25=Lists!$K$3,IF($L25&lt;1,(($U25/$L25)*((1+Inputs!$D$7)^BY$2)),((INT(BY$2/$L25)-INT((BY$2-1)/$L25))*$U25*((1+Inputs!$D$7)^BY$2))),(Inputs!$D$8^((1-_xlfn.WEIBULL.DIST(BY$2,$M25,$L25,FALSE))/_xlfn.WEIBULL.DIST(BY$2,$M25,$L25,FALSE))*$U25*((1+Inputs!$D$7)^BY$2))),IF($N25=Lists!$K$3,IF($L25&lt;1,((($T25*(1-$F25)+$S25*(1-$G25))/$L25)*((1+Inputs!$D$7)^BY$2)),((INT(BY$2/$L25)-INT((BY$2-1)/$L25))*($T25*(1-$F25)+$S25*(1-$G25))*((1+Inputs!$D$7)^BY$2))),((Inputs!$D$8^((1-_xlfn.WEIBULL.DIST(BY$2,$M25,$L25,FALSE))/_xlfn.WEIBULL.DIST(BY$2,$M25,$L25,FALSE))*($T25*(1-$F25)+$S25*(1-$G25))*((1+Inputs!$D$7)^BY$2))))))))</f>
        <v>107.69214409620524</v>
      </c>
      <c r="BZ25" s="88">
        <f>MAX(AJ25,($E25*IF(BZ$2&gt;Inputs!$D$5,0,IF(BZ$2&gt;VLOOKUP($H25,Lists!$P$3:$Q$7,2),IF($N25=Lists!$K$3,IF($L25&lt;1,(($U25/$L25)*((1+Inputs!$D$7)^BZ$2)),((INT(BZ$2/$L25)-INT((BZ$2-1)/$L25))*$U25*((1+Inputs!$D$7)^BZ$2))),(Inputs!$D$8^((1-_xlfn.WEIBULL.DIST(BZ$2,$M25,$L25,FALSE))/_xlfn.WEIBULL.DIST(BZ$2,$M25,$L25,FALSE))*$U25*((1+Inputs!$D$7)^BZ$2))),IF($N25=Lists!$K$3,IF($L25&lt;1,((($T25*(1-$F25)+$S25*(1-$G25))/$L25)*((1+Inputs!$D$7)^BZ$2)),((INT(BZ$2/$L25)-INT((BZ$2-1)/$L25))*($T25*(1-$F25)+$S25*(1-$G25))*((1+Inputs!$D$7)^BZ$2))),((Inputs!$D$8^((1-_xlfn.WEIBULL.DIST(BZ$2,$M25,$L25,FALSE))/_xlfn.WEIBULL.DIST(BZ$2,$M25,$L25,FALSE))*($T25*(1-$F25)+$S25*(1-$G25))*((1+Inputs!$D$7)^BZ$2))))))))</f>
        <v>133.28054901174443</v>
      </c>
      <c r="CA25" s="88">
        <f>MAX(AK25,($E25*IF(CA$2&gt;Inputs!$D$5,0,IF(CA$2&gt;VLOOKUP($H25,Lists!$P$3:$Q$7,2),IF($N25=Lists!$K$3,IF($L25&lt;1,(($U25/$L25)*((1+Inputs!$D$7)^CA$2)),((INT(CA$2/$L25)-INT((CA$2-1)/$L25))*$U25*((1+Inputs!$D$7)^CA$2))),(Inputs!$D$8^((1-_xlfn.WEIBULL.DIST(CA$2,$M25,$L25,FALSE))/_xlfn.WEIBULL.DIST(CA$2,$M25,$L25,FALSE))*$U25*((1+Inputs!$D$7)^CA$2))),IF($N25=Lists!$K$3,IF($L25&lt;1,((($T25*(1-$F25)+$S25*(1-$G25))/$L25)*((1+Inputs!$D$7)^CA$2)),((INT(CA$2/$L25)-INT((CA$2-1)/$L25))*($T25*(1-$F25)+$S25*(1-$G25))*((1+Inputs!$D$7)^CA$2))),((Inputs!$D$8^((1-_xlfn.WEIBULL.DIST(CA$2,$M25,$L25,FALSE))/_xlfn.WEIBULL.DIST(CA$2,$M25,$L25,FALSE))*($T25*(1-$F25)+$S25*(1-$G25))*((1+Inputs!$D$7)^CA$2))))))))</f>
        <v>164.72362024150306</v>
      </c>
      <c r="CB25" s="88">
        <f>MAX(AL25,($E25*IF(CB$2&gt;Inputs!$D$5,0,IF(CB$2&gt;VLOOKUP($H25,Lists!$P$3:$Q$7,2),IF($N25=Lists!$K$3,IF($L25&lt;1,(($U25/$L25)*((1+Inputs!$D$7)^CB$2)),((INT(CB$2/$L25)-INT((CB$2-1)/$L25))*$U25*((1+Inputs!$D$7)^CB$2))),(Inputs!$D$8^((1-_xlfn.WEIBULL.DIST(CB$2,$M25,$L25,FALSE))/_xlfn.WEIBULL.DIST(CB$2,$M25,$L25,FALSE))*$U25*((1+Inputs!$D$7)^CB$2))),IF($N25=Lists!$K$3,IF($L25&lt;1,((($T25*(1-$F25)+$S25*(1-$G25))/$L25)*((1+Inputs!$D$7)^CB$2)),((INT(CB$2/$L25)-INT((CB$2-1)/$L25))*($T25*(1-$F25)+$S25*(1-$G25))*((1+Inputs!$D$7)^CB$2))),((Inputs!$D$8^((1-_xlfn.WEIBULL.DIST(CB$2,$M25,$L25,FALSE))/_xlfn.WEIBULL.DIST(CB$2,$M25,$L25,FALSE))*($T25*(1-$F25)+$S25*(1-$G25))*((1+Inputs!$D$7)^CB$2))))))))</f>
        <v>288.23960223891316</v>
      </c>
      <c r="CC25" s="88">
        <f>MAX(AM25,($E25*IF(CC$2&gt;Inputs!$D$5,0,IF(CC$2&gt;VLOOKUP($H25,Lists!$P$3:$Q$7,2),IF($N25=Lists!$K$3,IF($L25&lt;1,(($U25/$L25)*((1+Inputs!$D$7)^CC$2)),((INT(CC$2/$L25)-INT((CC$2-1)/$L25))*$U25*((1+Inputs!$D$7)^CC$2))),(Inputs!$D$8^((1-_xlfn.WEIBULL.DIST(CC$2,$M25,$L25,FALSE))/_xlfn.WEIBULL.DIST(CC$2,$M25,$L25,FALSE))*$U25*((1+Inputs!$D$7)^CC$2))),IF($N25=Lists!$K$3,IF($L25&lt;1,((($T25*(1-$F25)+$S25*(1-$G25))/$L25)*((1+Inputs!$D$7)^CC$2)),((INT(CC$2/$L25)-INT((CC$2-1)/$L25))*($T25*(1-$F25)+$S25*(1-$G25))*((1+Inputs!$D$7)^CC$2))),((Inputs!$D$8^((1-_xlfn.WEIBULL.DIST(CC$2,$M25,$L25,FALSE))/_xlfn.WEIBULL.DIST(CC$2,$M25,$L25,FALSE))*($T25*(1-$F25)+$S25*(1-$G25))*((1+Inputs!$D$7)^CC$2))))))))</f>
        <v>443.38350265076713</v>
      </c>
      <c r="CD25" s="88">
        <f>MAX(AN25,($E25*IF(CD$2&gt;Inputs!$D$5,0,IF(CD$2&gt;VLOOKUP($H25,Lists!$P$3:$Q$7,2),IF($N25=Lists!$K$3,IF($L25&lt;1,(($U25/$L25)*((1+Inputs!$D$7)^CD$2)),((INT(CD$2/$L25)-INT((CD$2-1)/$L25))*$U25*((1+Inputs!$D$7)^CD$2))),(Inputs!$D$8^((1-_xlfn.WEIBULL.DIST(CD$2,$M25,$L25,FALSE))/_xlfn.WEIBULL.DIST(CD$2,$M25,$L25,FALSE))*$U25*((1+Inputs!$D$7)^CD$2))),IF($N25=Lists!$K$3,IF($L25&lt;1,((($T25*(1-$F25)+$S25*(1-$G25))/$L25)*((1+Inputs!$D$7)^CD$2)),((INT(CD$2/$L25)-INT((CD$2-1)/$L25))*($T25*(1-$F25)+$S25*(1-$G25))*((1+Inputs!$D$7)^CD$2))),((Inputs!$D$8^((1-_xlfn.WEIBULL.DIST(CD$2,$M25,$L25,FALSE))/_xlfn.WEIBULL.DIST(CD$2,$M25,$L25,FALSE))*($T25*(1-$F25)+$S25*(1-$G25))*((1+Inputs!$D$7)^CD$2))))))))</f>
        <v>620.67682233440655</v>
      </c>
      <c r="CE25" s="88">
        <f>MAX(AO25,($E25*IF(CE$2&gt;Inputs!$D$5,0,IF(CE$2&gt;VLOOKUP($H25,Lists!$P$3:$Q$7,2),IF($N25=Lists!$K$3,IF($L25&lt;1,(($U25/$L25)*((1+Inputs!$D$7)^CE$2)),((INT(CE$2/$L25)-INT((CE$2-1)/$L25))*$U25*((1+Inputs!$D$7)^CE$2))),(Inputs!$D$8^((1-_xlfn.WEIBULL.DIST(CE$2,$M25,$L25,FALSE))/_xlfn.WEIBULL.DIST(CE$2,$M25,$L25,FALSE))*$U25*((1+Inputs!$D$7)^CE$2))),IF($N25=Lists!$K$3,IF($L25&lt;1,((($T25*(1-$F25)+$S25*(1-$G25))/$L25)*((1+Inputs!$D$7)^CE$2)),((INT(CE$2/$L25)-INT((CE$2-1)/$L25))*($T25*(1-$F25)+$S25*(1-$G25))*((1+Inputs!$D$7)^CE$2))),((Inputs!$D$8^((1-_xlfn.WEIBULL.DIST(CE$2,$M25,$L25,FALSE))/_xlfn.WEIBULL.DIST(CE$2,$M25,$L25,FALSE))*($T25*(1-$F25)+$S25*(1-$G25))*((1+Inputs!$D$7)^CE$2))))))))</f>
        <v>809.33045824482167</v>
      </c>
      <c r="CF25" s="88">
        <f>MAX(AP25,($E25*IF(CF$2&gt;Inputs!$D$5,0,IF(CF$2&gt;VLOOKUP($H25,Lists!$P$3:$Q$7,2),IF($N25=Lists!$K$3,IF($L25&lt;1,(($U25/$L25)*((1+Inputs!$D$7)^CF$2)),((INT(CF$2/$L25)-INT((CF$2-1)/$L25))*$U25*((1+Inputs!$D$7)^CF$2))),(Inputs!$D$8^((1-_xlfn.WEIBULL.DIST(CF$2,$M25,$L25,FALSE))/_xlfn.WEIBULL.DIST(CF$2,$M25,$L25,FALSE))*$U25*((1+Inputs!$D$7)^CF$2))),IF($N25=Lists!$K$3,IF($L25&lt;1,((($T25*(1-$F25)+$S25*(1-$G25))/$L25)*((1+Inputs!$D$7)^CF$2)),((INT(CF$2/$L25)-INT((CF$2-1)/$L25))*($T25*(1-$F25)+$S25*(1-$G25))*((1+Inputs!$D$7)^CF$2))),((Inputs!$D$8^((1-_xlfn.WEIBULL.DIST(CF$2,$M25,$L25,FALSE))/_xlfn.WEIBULL.DIST(CF$2,$M25,$L25,FALSE))*($T25*(1-$F25)+$S25*(1-$G25))*((1+Inputs!$D$7)^CF$2))))))))</f>
        <v>998.90556206024667</v>
      </c>
      <c r="CG25" s="88">
        <f>MAX(AQ25,($E25*IF(CG$2&gt;Inputs!$D$5,0,IF(CG$2&gt;VLOOKUP($H25,Lists!$P$3:$Q$7,2),IF($N25=Lists!$K$3,IF($L25&lt;1,(($U25/$L25)*((1+Inputs!$D$7)^CG$2)),((INT(CG$2/$L25)-INT((CG$2-1)/$L25))*$U25*((1+Inputs!$D$7)^CG$2))),(Inputs!$D$8^((1-_xlfn.WEIBULL.DIST(CG$2,$M25,$L25,FALSE))/_xlfn.WEIBULL.DIST(CG$2,$M25,$L25,FALSE))*$U25*((1+Inputs!$D$7)^CG$2))),IF($N25=Lists!$K$3,IF($L25&lt;1,((($T25*(1-$F25)+$S25*(1-$G25))/$L25)*((1+Inputs!$D$7)^CG$2)),((INT(CG$2/$L25)-INT((CG$2-1)/$L25))*($T25*(1-$F25)+$S25*(1-$G25))*((1+Inputs!$D$7)^CG$2))),((Inputs!$D$8^((1-_xlfn.WEIBULL.DIST(CG$2,$M25,$L25,FALSE))/_xlfn.WEIBULL.DIST(CG$2,$M25,$L25,FALSE))*($T25*(1-$F25)+$S25*(1-$G25))*((1+Inputs!$D$7)^CG$2))))))))</f>
        <v>1180.1384147239471</v>
      </c>
      <c r="CH25" s="88">
        <f>MAX(AR25,($E25*IF(CH$2&gt;Inputs!$D$5,0,IF(CH$2&gt;VLOOKUP($H25,Lists!$P$3:$Q$7,2),IF($N25=Lists!$K$3,IF($L25&lt;1,(($U25/$L25)*((1+Inputs!$D$7)^CH$2)),((INT(CH$2/$L25)-INT((CH$2-1)/$L25))*$U25*((1+Inputs!$D$7)^CH$2))),(Inputs!$D$8^((1-_xlfn.WEIBULL.DIST(CH$2,$M25,$L25,FALSE))/_xlfn.WEIBULL.DIST(CH$2,$M25,$L25,FALSE))*$U25*((1+Inputs!$D$7)^CH$2))),IF($N25=Lists!$K$3,IF($L25&lt;1,((($T25*(1-$F25)+$S25*(1-$G25))/$L25)*((1+Inputs!$D$7)^CH$2)),((INT(CH$2/$L25)-INT((CH$2-1)/$L25))*($T25*(1-$F25)+$S25*(1-$G25))*((1+Inputs!$D$7)^CH$2))),((Inputs!$D$8^((1-_xlfn.WEIBULL.DIST(CH$2,$M25,$L25,FALSE))/_xlfn.WEIBULL.DIST(CH$2,$M25,$L25,FALSE))*($T25*(1-$F25)+$S25*(1-$G25))*((1+Inputs!$D$7)^CH$2))))))))</f>
        <v>1345.1944816557793</v>
      </c>
      <c r="CI25" s="88">
        <f>MAX(AS25,($E25*IF(CI$2&gt;Inputs!$D$5,0,IF(CI$2&gt;VLOOKUP($H25,Lists!$P$3:$Q$7,2),IF($N25=Lists!$K$3,IF($L25&lt;1,(($U25/$L25)*((1+Inputs!$D$7)^CI$2)),((INT(CI$2/$L25)-INT((CI$2-1)/$L25))*$U25*((1+Inputs!$D$7)^CI$2))),(Inputs!$D$8^((1-_xlfn.WEIBULL.DIST(CI$2,$M25,$L25,FALSE))/_xlfn.WEIBULL.DIST(CI$2,$M25,$L25,FALSE))*$U25*((1+Inputs!$D$7)^CI$2))),IF($N25=Lists!$K$3,IF($L25&lt;1,((($T25*(1-$F25)+$S25*(1-$G25))/$L25)*((1+Inputs!$D$7)^CI$2)),((INT(CI$2/$L25)-INT((CI$2-1)/$L25))*($T25*(1-$F25)+$S25*(1-$G25))*((1+Inputs!$D$7)^CI$2))),((Inputs!$D$8^((1-_xlfn.WEIBULL.DIST(CI$2,$M25,$L25,FALSE))/_xlfn.WEIBULL.DIST(CI$2,$M25,$L25,FALSE))*($T25*(1-$F25)+$S25*(1-$G25))*((1+Inputs!$D$7)^CI$2))))))))</f>
        <v>1487.6125473285649</v>
      </c>
      <c r="CJ25" s="88">
        <f>MAX(AT25,($E25*IF(CJ$2&gt;Inputs!$D$5,0,IF(CJ$2&gt;VLOOKUP($H25,Lists!$P$3:$Q$7,2),IF($N25=Lists!$K$3,IF($L25&lt;1,(($U25/$L25)*((1+Inputs!$D$7)^CJ$2)),((INT(CJ$2/$L25)-INT((CJ$2-1)/$L25))*$U25*((1+Inputs!$D$7)^CJ$2))),(Inputs!$D$8^((1-_xlfn.WEIBULL.DIST(CJ$2,$M25,$L25,FALSE))/_xlfn.WEIBULL.DIST(CJ$2,$M25,$L25,FALSE))*$U25*((1+Inputs!$D$7)^CJ$2))),IF($N25=Lists!$K$3,IF($L25&lt;1,((($T25*(1-$F25)+$S25*(1-$G25))/$L25)*((1+Inputs!$D$7)^CJ$2)),((INT(CJ$2/$L25)-INT((CJ$2-1)/$L25))*($T25*(1-$F25)+$S25*(1-$G25))*((1+Inputs!$D$7)^CJ$2))),((Inputs!$D$8^((1-_xlfn.WEIBULL.DIST(CJ$2,$M25,$L25,FALSE))/_xlfn.WEIBULL.DIST(CJ$2,$M25,$L25,FALSE))*($T25*(1-$F25)+$S25*(1-$G25))*((1+Inputs!$D$7)^CJ$2))))))))</f>
        <v>1602.1250439799194</v>
      </c>
      <c r="CK25" s="88">
        <f>MAX(AU25,($E25*IF(CK$2&gt;Inputs!$D$5,0,IF(CK$2&gt;VLOOKUP($H25,Lists!$P$3:$Q$7,2),IF($N25=Lists!$K$3,IF($L25&lt;1,(($U25/$L25)*((1+Inputs!$D$7)^CK$2)),((INT(CK$2/$L25)-INT((CK$2-1)/$L25))*$U25*((1+Inputs!$D$7)^CK$2))),(Inputs!$D$8^((1-_xlfn.WEIBULL.DIST(CK$2,$M25,$L25,FALSE))/_xlfn.WEIBULL.DIST(CK$2,$M25,$L25,FALSE))*$U25*((1+Inputs!$D$7)^CK$2))),IF($N25=Lists!$K$3,IF($L25&lt;1,((($T25*(1-$F25)+$S25*(1-$G25))/$L25)*((1+Inputs!$D$7)^CK$2)),((INT(CK$2/$L25)-INT((CK$2-1)/$L25))*($T25*(1-$F25)+$S25*(1-$G25))*((1+Inputs!$D$7)^CK$2))),((Inputs!$D$8^((1-_xlfn.WEIBULL.DIST(CK$2,$M25,$L25,FALSE))/_xlfn.WEIBULL.DIST(CK$2,$M25,$L25,FALSE))*($T25*(1-$F25)+$S25*(1-$G25))*((1+Inputs!$D$7)^CK$2))))))))</f>
        <v>1684.4692566587364</v>
      </c>
      <c r="CL25" s="88">
        <f>MAX(AV25,($E25*IF(CL$2&gt;Inputs!$D$5,0,IF(CL$2&gt;VLOOKUP($H25,Lists!$P$3:$Q$7,2),IF($N25=Lists!$K$3,IF($L25&lt;1,(($U25/$L25)*((1+Inputs!$D$7)^CL$2)),((INT(CL$2/$L25)-INT((CL$2-1)/$L25))*$U25*((1+Inputs!$D$7)^CL$2))),(Inputs!$D$8^((1-_xlfn.WEIBULL.DIST(CL$2,$M25,$L25,FALSE))/_xlfn.WEIBULL.DIST(CL$2,$M25,$L25,FALSE))*$U25*((1+Inputs!$D$7)^CL$2))),IF($N25=Lists!$K$3,IF($L25&lt;1,((($T25*(1-$F25)+$S25*(1-$G25))/$L25)*((1+Inputs!$D$7)^CL$2)),((INT(CL$2/$L25)-INT((CL$2-1)/$L25))*($T25*(1-$F25)+$S25*(1-$G25))*((1+Inputs!$D$7)^CL$2))),((Inputs!$D$8^((1-_xlfn.WEIBULL.DIST(CL$2,$M25,$L25,FALSE))/_xlfn.WEIBULL.DIST(CL$2,$M25,$L25,FALSE))*($T25*(1-$F25)+$S25*(1-$G25))*((1+Inputs!$D$7)^CL$2))))))))</f>
        <v>1731.2552503883871</v>
      </c>
      <c r="CM25" s="88">
        <f>MAX(AW25,($E25*IF(CM$2&gt;Inputs!$D$5,0,IF(CM$2&gt;VLOOKUP($H25,Lists!$P$3:$Q$7,2),IF($N25=Lists!$K$3,IF($L25&lt;1,(($U25/$L25)*((1+Inputs!$D$7)^CM$2)),((INT(CM$2/$L25)-INT((CM$2-1)/$L25))*$U25*((1+Inputs!$D$7)^CM$2))),(Inputs!$D$8^((1-_xlfn.WEIBULL.DIST(CM$2,$M25,$L25,FALSE))/_xlfn.WEIBULL.DIST(CM$2,$M25,$L25,FALSE))*$U25*((1+Inputs!$D$7)^CM$2))),IF($N25=Lists!$K$3,IF($L25&lt;1,((($T25*(1-$F25)+$S25*(1-$G25))/$L25)*((1+Inputs!$D$7)^CM$2)),((INT(CM$2/$L25)-INT((CM$2-1)/$L25))*($T25*(1-$F25)+$S25*(1-$G25))*((1+Inputs!$D$7)^CM$2))),((Inputs!$D$8^((1-_xlfn.WEIBULL.DIST(CM$2,$M25,$L25,FALSE))/_xlfn.WEIBULL.DIST(CM$2,$M25,$L25,FALSE))*($T25*(1-$F25)+$S25*(1-$G25))*((1+Inputs!$D$7)^CM$2))))))))</f>
        <v>1739.9283974783309</v>
      </c>
      <c r="CN25" s="88">
        <f>MAX(AX25,($E25*IF(CN$2&gt;Inputs!$D$5,0,IF(CN$2&gt;VLOOKUP($H25,Lists!$P$3:$Q$7,2),IF($N25=Lists!$K$3,IF($L25&lt;1,(($U25/$L25)*((1+Inputs!$D$7)^CN$2)),((INT(CN$2/$L25)-INT((CN$2-1)/$L25))*$U25*((1+Inputs!$D$7)^CN$2))),(Inputs!$D$8^((1-_xlfn.WEIBULL.DIST(CN$2,$M25,$L25,FALSE))/_xlfn.WEIBULL.DIST(CN$2,$M25,$L25,FALSE))*$U25*((1+Inputs!$D$7)^CN$2))),IF($N25=Lists!$K$3,IF($L25&lt;1,((($T25*(1-$F25)+$S25*(1-$G25))/$L25)*((1+Inputs!$D$7)^CN$2)),((INT(CN$2/$L25)-INT((CN$2-1)/$L25))*($T25*(1-$F25)+$S25*(1-$G25))*((1+Inputs!$D$7)^CN$2))),((Inputs!$D$8^((1-_xlfn.WEIBULL.DIST(CN$2,$M25,$L25,FALSE))/_xlfn.WEIBULL.DIST(CN$2,$M25,$L25,FALSE))*($T25*(1-$F25)+$S25*(1-$G25))*((1+Inputs!$D$7)^CN$2))))))))</f>
        <v>1708.8500590775907</v>
      </c>
      <c r="CO25" s="88">
        <f>MAX(AY25,($E25*IF(CO$2&gt;Inputs!$D$5,0,IF(CO$2&gt;VLOOKUP($H25,Lists!$P$3:$Q$7,2),IF($N25=Lists!$K$3,IF($L25&lt;1,(($U25/$L25)*((1+Inputs!$D$7)^CO$2)),((INT(CO$2/$L25)-INT((CO$2-1)/$L25))*$U25*((1+Inputs!$D$7)^CO$2))),(Inputs!$D$8^((1-_xlfn.WEIBULL.DIST(CO$2,$M25,$L25,FALSE))/_xlfn.WEIBULL.DIST(CO$2,$M25,$L25,FALSE))*$U25*((1+Inputs!$D$7)^CO$2))),IF($N25=Lists!$K$3,IF($L25&lt;1,((($T25*(1-$F25)+$S25*(1-$G25))/$L25)*((1+Inputs!$D$7)^CO$2)),((INT(CO$2/$L25)-INT((CO$2-1)/$L25))*($T25*(1-$F25)+$S25*(1-$G25))*((1+Inputs!$D$7)^CO$2))),((Inputs!$D$8^((1-_xlfn.WEIBULL.DIST(CO$2,$M25,$L25,FALSE))/_xlfn.WEIBULL.DIST(CO$2,$M25,$L25,FALSE))*($T25*(1-$F25)+$S25*(1-$G25))*((1+Inputs!$D$7)^CO$2))))))))</f>
        <v>1637.5115909385897</v>
      </c>
      <c r="CP25" s="88">
        <f>MAX(AZ25,($E25*IF(CP$2&gt;Inputs!$D$5,0,IF(CP$2&gt;VLOOKUP($H25,Lists!$P$3:$Q$7,2),IF($N25=Lists!$K$3,IF($L25&lt;1,(($U25/$L25)*((1+Inputs!$D$7)^CP$2)),((INT(CP$2/$L25)-INT((CP$2-1)/$L25))*$U25*((1+Inputs!$D$7)^CP$2))),(Inputs!$D$8^((1-_xlfn.WEIBULL.DIST(CP$2,$M25,$L25,FALSE))/_xlfn.WEIBULL.DIST(CP$2,$M25,$L25,FALSE))*$U25*((1+Inputs!$D$7)^CP$2))),IF($N25=Lists!$K$3,IF($L25&lt;1,((($T25*(1-$F25)+$S25*(1-$G25))/$L25)*((1+Inputs!$D$7)^CP$2)),((INT(CP$2/$L25)-INT((CP$2-1)/$L25))*($T25*(1-$F25)+$S25*(1-$G25))*((1+Inputs!$D$7)^CP$2))),((Inputs!$D$8^((1-_xlfn.WEIBULL.DIST(CP$2,$M25,$L25,FALSE))/_xlfn.WEIBULL.DIST(CP$2,$M25,$L25,FALSE))*($T25*(1-$F25)+$S25*(1-$G25))*((1+Inputs!$D$7)^CP$2))))))))</f>
        <v>0</v>
      </c>
      <c r="CQ25" s="88">
        <f>MAX(BA25,($E25*IF(CQ$2&gt;Inputs!$D$5,0,IF(CQ$2&gt;VLOOKUP($H25,Lists!$P$3:$Q$7,2),IF($N25=Lists!$K$3,IF($L25&lt;1,(($U25/$L25)*((1+Inputs!$D$7)^CQ$2)),((INT(CQ$2/$L25)-INT((CQ$2-1)/$L25))*$U25*((1+Inputs!$D$7)^CQ$2))),(Inputs!$D$8^((1-_xlfn.WEIBULL.DIST(CQ$2,$M25,$L25,FALSE))/_xlfn.WEIBULL.DIST(CQ$2,$M25,$L25,FALSE))*$U25*((1+Inputs!$D$7)^CQ$2))),IF($N25=Lists!$K$3,IF($L25&lt;1,((($T25*(1-$F25)+$S25*(1-$G25))/$L25)*((1+Inputs!$D$7)^CQ$2)),((INT(CQ$2/$L25)-INT((CQ$2-1)/$L25))*($T25*(1-$F25)+$S25*(1-$G25))*((1+Inputs!$D$7)^CQ$2))),((Inputs!$D$8^((1-_xlfn.WEIBULL.DIST(CQ$2,$M25,$L25,FALSE))/_xlfn.WEIBULL.DIST(CQ$2,$M25,$L25,FALSE))*($T25*(1-$F25)+$S25*(1-$G25))*((1+Inputs!$D$7)^CQ$2))))))))</f>
        <v>0</v>
      </c>
      <c r="CR25" s="88">
        <f>MAX(BB25,($E25*IF(CR$2&gt;Inputs!$D$5,0,IF(CR$2&gt;VLOOKUP($H25,Lists!$P$3:$Q$7,2),IF($N25=Lists!$K$3,IF($L25&lt;1,(($U25/$L25)*((1+Inputs!$D$7)^CR$2)),((INT(CR$2/$L25)-INT((CR$2-1)/$L25))*$U25*((1+Inputs!$D$7)^CR$2))),(Inputs!$D$8^((1-_xlfn.WEIBULL.DIST(CR$2,$M25,$L25,FALSE))/_xlfn.WEIBULL.DIST(CR$2,$M25,$L25,FALSE))*$U25*((1+Inputs!$D$7)^CR$2))),IF($N25=Lists!$K$3,IF($L25&lt;1,((($T25*(1-$F25)+$S25*(1-$G25))/$L25)*((1+Inputs!$D$7)^CR$2)),((INT(CR$2/$L25)-INT((CR$2-1)/$L25))*($T25*(1-$F25)+$S25*(1-$G25))*((1+Inputs!$D$7)^CR$2))),((Inputs!$D$8^((1-_xlfn.WEIBULL.DIST(CR$2,$M25,$L25,FALSE))/_xlfn.WEIBULL.DIST(CR$2,$M25,$L25,FALSE))*($T25*(1-$F25)+$S25*(1-$G25))*((1+Inputs!$D$7)^CR$2))))))))</f>
        <v>0</v>
      </c>
      <c r="CS25" s="88">
        <f>MAX(BC25,($E25*IF(CS$2&gt;Inputs!$D$5,0,IF(CS$2&gt;VLOOKUP($H25,Lists!$P$3:$Q$7,2),IF($N25=Lists!$K$3,IF($L25&lt;1,(($U25/$L25)*((1+Inputs!$D$7)^CS$2)),((INT(CS$2/$L25)-INT((CS$2-1)/$L25))*$U25*((1+Inputs!$D$7)^CS$2))),(Inputs!$D$8^((1-_xlfn.WEIBULL.DIST(CS$2,$M25,$L25,FALSE))/_xlfn.WEIBULL.DIST(CS$2,$M25,$L25,FALSE))*$U25*((1+Inputs!$D$7)^CS$2))),IF($N25=Lists!$K$3,IF($L25&lt;1,((($T25*(1-$F25)+$S25*(1-$G25))/$L25)*((1+Inputs!$D$7)^CS$2)),((INT(CS$2/$L25)-INT((CS$2-1)/$L25))*($T25*(1-$F25)+$S25*(1-$G25))*((1+Inputs!$D$7)^CS$2))),((Inputs!$D$8^((1-_xlfn.WEIBULL.DIST(CS$2,$M25,$L25,FALSE))/_xlfn.WEIBULL.DIST(CS$2,$M25,$L25,FALSE))*($T25*(1-$F25)+$S25*(1-$G25))*((1+Inputs!$D$7)^CS$2))))))))</f>
        <v>0</v>
      </c>
      <c r="CT25" s="88">
        <f>MAX(BD25,($E25*IF(CT$2&gt;Inputs!$D$5,0,IF(CT$2&gt;VLOOKUP($H25,Lists!$P$3:$Q$7,2),IF($N25=Lists!$K$3,IF($L25&lt;1,(($U25/$L25)*((1+Inputs!$D$7)^CT$2)),((INT(CT$2/$L25)-INT((CT$2-1)/$L25))*$U25*((1+Inputs!$D$7)^CT$2))),(Inputs!$D$8^((1-_xlfn.WEIBULL.DIST(CT$2,$M25,$L25,FALSE))/_xlfn.WEIBULL.DIST(CT$2,$M25,$L25,FALSE))*$U25*((1+Inputs!$D$7)^CT$2))),IF($N25=Lists!$K$3,IF($L25&lt;1,((($T25*(1-$F25)+$S25*(1-$G25))/$L25)*((1+Inputs!$D$7)^CT$2)),((INT(CT$2/$L25)-INT((CT$2-1)/$L25))*($T25*(1-$F25)+$S25*(1-$G25))*((1+Inputs!$D$7)^CT$2))),((Inputs!$D$8^((1-_xlfn.WEIBULL.DIST(CT$2,$M25,$L25,FALSE))/_xlfn.WEIBULL.DIST(CT$2,$M25,$L25,FALSE))*($T25*(1-$F25)+$S25*(1-$G25))*((1+Inputs!$D$7)^CT$2))))))))</f>
        <v>0</v>
      </c>
      <c r="CU25" s="88">
        <f>MAX(BE25,($E25*IF(CU$2&gt;Inputs!$D$5,0,IF(CU$2&gt;VLOOKUP($H25,Lists!$P$3:$Q$7,2),IF($N25=Lists!$K$3,IF($L25&lt;1,(($U25/$L25)*((1+Inputs!$D$7)^CU$2)),((INT(CU$2/$L25)-INT((CU$2-1)/$L25))*$U25*((1+Inputs!$D$7)^CU$2))),(Inputs!$D$8^((1-_xlfn.WEIBULL.DIST(CU$2,$M25,$L25,FALSE))/_xlfn.WEIBULL.DIST(CU$2,$M25,$L25,FALSE))*$U25*((1+Inputs!$D$7)^CU$2))),IF($N25=Lists!$K$3,IF($L25&lt;1,((($T25*(1-$F25)+$S25*(1-$G25))/$L25)*((1+Inputs!$D$7)^CU$2)),((INT(CU$2/$L25)-INT((CU$2-1)/$L25))*($T25*(1-$F25)+$S25*(1-$G25))*((1+Inputs!$D$7)^CU$2))),((Inputs!$D$8^((1-_xlfn.WEIBULL.DIST(CU$2,$M25,$L25,FALSE))/_xlfn.WEIBULL.DIST(CU$2,$M25,$L25,FALSE))*($T25*(1-$F25)+$S25*(1-$G25))*((1+Inputs!$D$7)^CU$2))))))))</f>
        <v>0</v>
      </c>
      <c r="CV25" s="88">
        <f>MAX(BF25,($E25*IF(CV$2&gt;Inputs!$D$5,0,IF(CV$2&gt;VLOOKUP($H25,Lists!$P$3:$Q$7,2),IF($N25=Lists!$K$3,IF($L25&lt;1,(($U25/$L25)*((1+Inputs!$D$7)^CV$2)),((INT(CV$2/$L25)-INT((CV$2-1)/$L25))*$U25*((1+Inputs!$D$7)^CV$2))),(Inputs!$D$8^((1-_xlfn.WEIBULL.DIST(CV$2,$M25,$L25,FALSE))/_xlfn.WEIBULL.DIST(CV$2,$M25,$L25,FALSE))*$U25*((1+Inputs!$D$7)^CV$2))),IF($N25=Lists!$K$3,IF($L25&lt;1,((($T25*(1-$F25)+$S25*(1-$G25))/$L25)*((1+Inputs!$D$7)^CV$2)),((INT(CV$2/$L25)-INT((CV$2-1)/$L25))*($T25*(1-$F25)+$S25*(1-$G25))*((1+Inputs!$D$7)^CV$2))),((Inputs!$D$8^((1-_xlfn.WEIBULL.DIST(CV$2,$M25,$L25,FALSE))/_xlfn.WEIBULL.DIST(CV$2,$M25,$L25,FALSE))*($T25*(1-$F25)+$S25*(1-$G25))*((1+Inputs!$D$7)^CV$2))))))))</f>
        <v>0</v>
      </c>
      <c r="CW25" s="88">
        <f>MAX(BG25,($E25*IF(CW$2&gt;Inputs!$D$5,0,IF(CW$2&gt;VLOOKUP($H25,Lists!$P$3:$Q$7,2),IF($N25=Lists!$K$3,IF($L25&lt;1,(($U25/$L25)*((1+Inputs!$D$7)^CW$2)),((INT(CW$2/$L25)-INT((CW$2-1)/$L25))*$U25*((1+Inputs!$D$7)^CW$2))),(Inputs!$D$8^((1-_xlfn.WEIBULL.DIST(CW$2,$M25,$L25,FALSE))/_xlfn.WEIBULL.DIST(CW$2,$M25,$L25,FALSE))*$U25*((1+Inputs!$D$7)^CW$2))),IF($N25=Lists!$K$3,IF($L25&lt;1,((($T25*(1-$F25)+$S25*(1-$G25))/$L25)*((1+Inputs!$D$7)^CW$2)),((INT(CW$2/$L25)-INT((CW$2-1)/$L25))*($T25*(1-$F25)+$S25*(1-$G25))*((1+Inputs!$D$7)^CW$2))),((Inputs!$D$8^((1-_xlfn.WEIBULL.DIST(CW$2,$M25,$L25,FALSE))/_xlfn.WEIBULL.DIST(CW$2,$M25,$L25,FALSE))*($T25*(1-$F25)+$S25*(1-$G25))*((1+Inputs!$D$7)^CW$2))))))))</f>
        <v>0</v>
      </c>
      <c r="CX25" s="88">
        <f>MAX(BH25,($E25*IF(CX$2&gt;Inputs!$D$5,0,IF(CX$2&gt;VLOOKUP($H25,Lists!$P$3:$Q$7,2),IF($N25=Lists!$K$3,IF($L25&lt;1,(($U25/$L25)*((1+Inputs!$D$7)^CX$2)),((INT(CX$2/$L25)-INT((CX$2-1)/$L25))*$U25*((1+Inputs!$D$7)^CX$2))),(Inputs!$D$8^((1-_xlfn.WEIBULL.DIST(CX$2,$M25,$L25,FALSE))/_xlfn.WEIBULL.DIST(CX$2,$M25,$L25,FALSE))*$U25*((1+Inputs!$D$7)^CX$2))),IF($N25=Lists!$K$3,IF($L25&lt;1,((($T25*(1-$F25)+$S25*(1-$G25))/$L25)*((1+Inputs!$D$7)^CX$2)),((INT(CX$2/$L25)-INT((CX$2-1)/$L25))*($T25*(1-$F25)+$S25*(1-$G25))*((1+Inputs!$D$7)^CX$2))),((Inputs!$D$8^((1-_xlfn.WEIBULL.DIST(CX$2,$M25,$L25,FALSE))/_xlfn.WEIBULL.DIST(CX$2,$M25,$L25,FALSE))*($T25*(1-$F25)+$S25*(1-$G25))*((1+Inputs!$D$7)^CX$2))))))))</f>
        <v>0</v>
      </c>
      <c r="CY25" s="88">
        <f>MAX(BI25,($E25*IF(CY$2&gt;Inputs!$D$5,0,IF(CY$2&gt;VLOOKUP($H25,Lists!$P$3:$Q$7,2),IF($N25=Lists!$K$3,IF($L25&lt;1,(($U25/$L25)*((1+Inputs!$D$7)^CY$2)),((INT(CY$2/$L25)-INT((CY$2-1)/$L25))*$U25*((1+Inputs!$D$7)^CY$2))),(Inputs!$D$8^((1-_xlfn.WEIBULL.DIST(CY$2,$M25,$L25,FALSE))/_xlfn.WEIBULL.DIST(CY$2,$M25,$L25,FALSE))*$U25*((1+Inputs!$D$7)^CY$2))),IF($N25=Lists!$K$3,IF($L25&lt;1,((($T25*(1-$F25)+$S25*(1-$G25))/$L25)*((1+Inputs!$D$7)^CY$2)),((INT(CY$2/$L25)-INT((CY$2-1)/$L25))*($T25*(1-$F25)+$S25*(1-$G25))*((1+Inputs!$D$7)^CY$2))),((Inputs!$D$8^((1-_xlfn.WEIBULL.DIST(CY$2,$M25,$L25,FALSE))/_xlfn.WEIBULL.DIST(CY$2,$M25,$L25,FALSE))*($T25*(1-$F25)+$S25*(1-$G25))*((1+Inputs!$D$7)^CY$2))))))))</f>
        <v>0</v>
      </c>
      <c r="CZ25" s="88">
        <f>MAX(BJ25,($E25*IF(CZ$2&gt;Inputs!$D$5,0,IF(CZ$2&gt;VLOOKUP($H25,Lists!$P$3:$Q$7,2),IF($N25=Lists!$K$3,IF($L25&lt;1,(($U25/$L25)*((1+Inputs!$D$7)^CZ$2)),((INT(CZ$2/$L25)-INT((CZ$2-1)/$L25))*$U25*((1+Inputs!$D$7)^CZ$2))),(Inputs!$D$8^((1-_xlfn.WEIBULL.DIST(CZ$2,$M25,$L25,FALSE))/_xlfn.WEIBULL.DIST(CZ$2,$M25,$L25,FALSE))*$U25*((1+Inputs!$D$7)^CZ$2))),IF($N25=Lists!$K$3,IF($L25&lt;1,((($T25*(1-$F25)+$S25*(1-$G25))/$L25)*((1+Inputs!$D$7)^CZ$2)),((INT(CZ$2/$L25)-INT((CZ$2-1)/$L25))*($T25*(1-$F25)+$S25*(1-$G25))*((1+Inputs!$D$7)^CZ$2))),((Inputs!$D$8^((1-_xlfn.WEIBULL.DIST(CZ$2,$M25,$L25,FALSE))/_xlfn.WEIBULL.DIST(CZ$2,$M25,$L25,FALSE))*($T25*(1-$F25)+$S25*(1-$G25))*((1+Inputs!$D$7)^CZ$2))))))))</f>
        <v>0</v>
      </c>
      <c r="DA25" s="88">
        <f>MAX(BK25,($E25*IF(DA$2&gt;Inputs!$D$5,0,IF(DA$2&gt;VLOOKUP($H25,Lists!$P$3:$Q$7,2),IF($N25=Lists!$K$3,IF($L25&lt;1,(($U25/$L25)*((1+Inputs!$D$7)^DA$2)),((INT(DA$2/$L25)-INT((DA$2-1)/$L25))*$U25*((1+Inputs!$D$7)^DA$2))),(Inputs!$D$8^((1-_xlfn.WEIBULL.DIST(DA$2,$M25,$L25,FALSE))/_xlfn.WEIBULL.DIST(DA$2,$M25,$L25,FALSE))*$U25*((1+Inputs!$D$7)^DA$2))),IF($N25=Lists!$K$3,IF($L25&lt;1,((($T25*(1-$F25)+$S25*(1-$G25))/$L25)*((1+Inputs!$D$7)^DA$2)),((INT(DA$2/$L25)-INT((DA$2-1)/$L25))*($T25*(1-$F25)+$S25*(1-$G25))*((1+Inputs!$D$7)^DA$2))),((Inputs!$D$8^((1-_xlfn.WEIBULL.DIST(DA$2,$M25,$L25,FALSE))/_xlfn.WEIBULL.DIST(DA$2,$M25,$L25,FALSE))*($T25*(1-$F25)+$S25*(1-$G25))*((1+Inputs!$D$7)^DA$2))))))))</f>
        <v>0</v>
      </c>
      <c r="DB25" s="88">
        <f>MAX(BL25,($E25*IF(DB$2&gt;Inputs!$D$5,0,IF(DB$2&gt;VLOOKUP($H25,Lists!$P$3:$Q$7,2),IF($N25=Lists!$K$3,IF($L25&lt;1,(($U25/$L25)*((1+Inputs!$D$7)^DB$2)),((INT(DB$2/$L25)-INT((DB$2-1)/$L25))*$U25*((1+Inputs!$D$7)^DB$2))),(Inputs!$D$8^((1-_xlfn.WEIBULL.DIST(DB$2,$M25,$L25,FALSE))/_xlfn.WEIBULL.DIST(DB$2,$M25,$L25,FALSE))*$U25*((1+Inputs!$D$7)^DB$2))),IF($N25=Lists!$K$3,IF($L25&lt;1,((($T25*(1-$F25)+$S25*(1-$G25))/$L25)*((1+Inputs!$D$7)^DB$2)),((INT(DB$2/$L25)-INT((DB$2-1)/$L25))*($T25*(1-$F25)+$S25*(1-$G25))*((1+Inputs!$D$7)^DB$2))),((Inputs!$D$8^((1-_xlfn.WEIBULL.DIST(DB$2,$M25,$L25,FALSE))/_xlfn.WEIBULL.DIST(DB$2,$M25,$L25,FALSE))*($T25*(1-$F25)+$S25*(1-$G25))*((1+Inputs!$D$7)^DB$2))))))))</f>
        <v>0</v>
      </c>
      <c r="DC25" s="88">
        <f>MAX(BM25,($E25*IF(DC$2&gt;Inputs!$D$5,0,IF(DC$2&gt;VLOOKUP($H25,Lists!$P$3:$Q$7,2),IF($N25=Lists!$K$3,IF($L25&lt;1,(($U25/$L25)*((1+Inputs!$D$7)^DC$2)),((INT(DC$2/$L25)-INT((DC$2-1)/$L25))*$U25*((1+Inputs!$D$7)^DC$2))),(Inputs!$D$8^((1-_xlfn.WEIBULL.DIST(DC$2,$M25,$L25,FALSE))/_xlfn.WEIBULL.DIST(DC$2,$M25,$L25,FALSE))*$U25*((1+Inputs!$D$7)^DC$2))),IF($N25=Lists!$K$3,IF($L25&lt;1,((($T25*(1-$F25)+$S25*(1-$G25))/$L25)*((1+Inputs!$D$7)^DC$2)),((INT(DC$2/$L25)-INT((DC$2-1)/$L25))*($T25*(1-$F25)+$S25*(1-$G25))*((1+Inputs!$D$7)^DC$2))),((Inputs!$D$8^((1-_xlfn.WEIBULL.DIST(DC$2,$M25,$L25,FALSE))/_xlfn.WEIBULL.DIST(DC$2,$M25,$L25,FALSE))*($T25*(1-$F25)+$S25*(1-$G25))*((1+Inputs!$D$7)^DC$2))))))))</f>
        <v>0</v>
      </c>
      <c r="DD25" s="88">
        <f>MAX(BN25,($E25*IF(DD$2&gt;Inputs!$D$5,0,IF(DD$2&gt;VLOOKUP($H25,Lists!$P$3:$Q$7,2),IF($N25=Lists!$K$3,IF($L25&lt;1,(($U25/$L25)*((1+Inputs!$D$7)^DD$2)),((INT(DD$2/$L25)-INT((DD$2-1)/$L25))*$U25*((1+Inputs!$D$7)^DD$2))),(Inputs!$D$8^((1-_xlfn.WEIBULL.DIST(DD$2,$M25,$L25,FALSE))/_xlfn.WEIBULL.DIST(DD$2,$M25,$L25,FALSE))*$U25*((1+Inputs!$D$7)^DD$2))),IF($N25=Lists!$K$3,IF($L25&lt;1,((($T25*(1-$F25)+$S25*(1-$G25))/$L25)*((1+Inputs!$D$7)^DD$2)),((INT(DD$2/$L25)-INT((DD$2-1)/$L25))*($T25*(1-$F25)+$S25*(1-$G25))*((1+Inputs!$D$7)^DD$2))),((Inputs!$D$8^((1-_xlfn.WEIBULL.DIST(DD$2,$M25,$L25,FALSE))/_xlfn.WEIBULL.DIST(DD$2,$M25,$L25,FALSE))*($T25*(1-$F25)+$S25*(1-$G25))*((1+Inputs!$D$7)^DD$2))))))))</f>
        <v>0</v>
      </c>
    </row>
    <row r="26" spans="1:108" s="1" customFormat="1" ht="16">
      <c r="A26" s="57" t="s">
        <v>203</v>
      </c>
      <c r="B26" s="13" t="s">
        <v>130</v>
      </c>
      <c r="C26" s="13" t="s">
        <v>474</v>
      </c>
      <c r="D26" s="13" t="s">
        <v>214</v>
      </c>
      <c r="E26" s="48">
        <v>1</v>
      </c>
      <c r="F26" s="48">
        <v>1</v>
      </c>
      <c r="G26" s="48">
        <v>1</v>
      </c>
      <c r="H26" s="105" t="s">
        <v>350</v>
      </c>
      <c r="I26" s="14"/>
      <c r="J26" s="14" t="s">
        <v>88</v>
      </c>
      <c r="K26" s="13">
        <f>VLOOKUP(J26,'Labor Rates'!$A$1:$F$16,2)</f>
        <v>19.903846153846153</v>
      </c>
      <c r="L26" s="15">
        <v>25</v>
      </c>
      <c r="M26" s="15">
        <v>3</v>
      </c>
      <c r="N26" s="16" t="s">
        <v>226</v>
      </c>
      <c r="O26" s="61">
        <v>1</v>
      </c>
      <c r="P26" s="15">
        <v>4</v>
      </c>
      <c r="Q26" s="15">
        <f t="shared" si="0"/>
        <v>0.16</v>
      </c>
      <c r="R26" s="4">
        <v>100</v>
      </c>
      <c r="S26" s="53">
        <f t="shared" si="1"/>
        <v>79.615384615384613</v>
      </c>
      <c r="T26" s="53">
        <f t="shared" si="2"/>
        <v>100</v>
      </c>
      <c r="U26" s="54">
        <f t="shared" si="3"/>
        <v>179.61538461538461</v>
      </c>
      <c r="V26" s="65"/>
      <c r="W26" s="58"/>
      <c r="X26" s="64">
        <f t="shared" si="4"/>
        <v>5.1143152711156077</v>
      </c>
      <c r="Y26" s="64">
        <f>NPV(Inputs!$D$6,AA26:BN26)</f>
        <v>52.135874887913246</v>
      </c>
      <c r="Z26" s="67">
        <f t="shared" si="5"/>
        <v>2.4589823907460121E-5</v>
      </c>
      <c r="AA26" s="88">
        <f>$E26*IF(AA$2&gt;Inputs!$D$5,0,IF(AA$2&gt;VLOOKUP($H26,Lists!$P$3:$Q$7,2),IF($N26=Lists!$K$3,IF($L26&lt;1,(($U26/$L26)*((1+Inputs!$D$7)^AA$2)),((INT(AA$2/$L26)-INT((AA$2-1)/$L26))*$U26*((1+Inputs!$D$7)^AA$2))),(_xlfn.WEIBULL.DIST(AA$2,$M26,$L26,FALSE)*$U26*((1+Inputs!$D$7)^AA$2))),IF($N26=Lists!$K$3,IF($L26&lt;1,((($T26*(1-$F26)+$S26*(1-$G26))/$L26)*((1+Inputs!$D$7)^AA$2)),((INT(AA$2/$L26)-INT((AA$2-1)/$L26))*($T26*(1-$F26)+$S26*(1-$G26))*((1+Inputs!$D$7)^AA$2))),((_xlfn.WEIBULL.DIST(AA$2,$M26,$L26,FALSE)*($T26*(1-$F26)+$S26*(1-$G26))*((1+Inputs!$D$7)^AA$2))))))</f>
        <v>3.5173625738992548E-2</v>
      </c>
      <c r="AB26" s="88">
        <f>$E26*IF(AB$2&gt;Inputs!$D$5,0,IF(AB$2&gt;VLOOKUP($H26,Lists!$P$3:$Q$7,2),IF($N26=Lists!$K$3,IF($L26&lt;1,(($U26/$L26)*((1+Inputs!$D$7)^AB$2)),((INT(AB$2/$L26)-INT((AB$2-1)/$L26))*$U26*((1+Inputs!$D$7)^AB$2))),(_xlfn.WEIBULL.DIST(AB$2,$M26,$L26,FALSE)*$U26*((1+Inputs!$D$7)^AB$2))),IF($N26=Lists!$K$3,IF($L26&lt;1,((($T26*(1-$F26)+$S26*(1-$G26))/$L26)*((1+Inputs!$D$7)^AB$2)),((INT(AB$2/$L26)-INT((AB$2-1)/$L26))*($T26*(1-$F26)+$S26*(1-$G26))*((1+Inputs!$D$7)^AB$2))),((_xlfn.WEIBULL.DIST(AB$2,$M26,$L26,FALSE)*($T26*(1-$F26)+$S26*(1-$G26))*((1+Inputs!$D$7)^AB$2))))))</f>
        <v>0.14344411565422269</v>
      </c>
      <c r="AC26" s="88">
        <f>$E26*IF(AC$2&gt;Inputs!$D$5,0,IF(AC$2&gt;VLOOKUP($H26,Lists!$P$3:$Q$7,2),IF($N26=Lists!$K$3,IF($L26&lt;1,(($U26/$L26)*((1+Inputs!$D$7)^AC$2)),((INT(AC$2/$L26)-INT((AC$2-1)/$L26))*$U26*((1+Inputs!$D$7)^AC$2))),(_xlfn.WEIBULL.DIST(AC$2,$M26,$L26,FALSE)*$U26*((1+Inputs!$D$7)^AC$2))),IF($N26=Lists!$K$3,IF($L26&lt;1,((($T26*(1-$F26)+$S26*(1-$G26))/$L26)*((1+Inputs!$D$7)^AC$2)),((INT(AC$2/$L26)-INT((AC$2-1)/$L26))*($T26*(1-$F26)+$S26*(1-$G26))*((1+Inputs!$D$7)^AC$2))),((_xlfn.WEIBULL.DIST(AC$2,$M26,$L26,FALSE)*($T26*(1-$F26)+$S26*(1-$G26))*((1+Inputs!$D$7)^AC$2))))))</f>
        <v>0.32880417635529491</v>
      </c>
      <c r="AD26" s="88">
        <f>$E26*IF(AD$2&gt;Inputs!$D$5,0,IF(AD$2&gt;VLOOKUP($H26,Lists!$P$3:$Q$7,2),IF($N26=Lists!$K$3,IF($L26&lt;1,(($U26/$L26)*((1+Inputs!$D$7)^AD$2)),((INT(AD$2/$L26)-INT((AD$2-1)/$L26))*$U26*((1+Inputs!$D$7)^AD$2))),(_xlfn.WEIBULL.DIST(AD$2,$M26,$L26,FALSE)*$U26*((1+Inputs!$D$7)^AD$2))),IF($N26=Lists!$K$3,IF($L26&lt;1,((($T26*(1-$F26)+$S26*(1-$G26))/$L26)*((1+Inputs!$D$7)^AD$2)),((INT(AD$2/$L26)-INT((AD$2-1)/$L26))*($T26*(1-$F26)+$S26*(1-$G26))*((1+Inputs!$D$7)^AD$2))),((_xlfn.WEIBULL.DIST(AD$2,$M26,$L26,FALSE)*($T26*(1-$F26)+$S26*(1-$G26))*((1+Inputs!$D$7)^AD$2))))))</f>
        <v>0.5948213671020085</v>
      </c>
      <c r="AE26" s="88">
        <f>$E26*IF(AE$2&gt;Inputs!$D$5,0,IF(AE$2&gt;VLOOKUP($H26,Lists!$P$3:$Q$7,2),IF($N26=Lists!$K$3,IF($L26&lt;1,(($U26/$L26)*((1+Inputs!$D$7)^AE$2)),((INT(AE$2/$L26)-INT((AE$2-1)/$L26))*$U26*((1+Inputs!$D$7)^AE$2))),(_xlfn.WEIBULL.DIST(AE$2,$M26,$L26,FALSE)*$U26*((1+Inputs!$D$7)^AE$2))),IF($N26=Lists!$K$3,IF($L26&lt;1,((($T26*(1-$F26)+$S26*(1-$G26))/$L26)*((1+Inputs!$D$7)^AE$2)),((INT(AE$2/$L26)-INT((AE$2-1)/$L26))*($T26*(1-$F26)+$S26*(1-$G26))*((1+Inputs!$D$7)^AE$2))),((_xlfn.WEIBULL.DIST(AE$2,$M26,$L26,FALSE)*($T26*(1-$F26)+$S26*(1-$G26))*((1+Inputs!$D$7)^AE$2))))))</f>
        <v>0.94430279019077235</v>
      </c>
      <c r="AF26" s="88">
        <f>$E26*IF(AF$2&gt;Inputs!$D$5,0,IF(AF$2&gt;VLOOKUP($H26,Lists!$P$3:$Q$7,2),IF($N26=Lists!$K$3,IF($L26&lt;1,(($U26/$L26)*((1+Inputs!$D$7)^AF$2)),((INT(AF$2/$L26)-INT((AF$2-1)/$L26))*$U26*((1+Inputs!$D$7)^AF$2))),(_xlfn.WEIBULL.DIST(AF$2,$M26,$L26,FALSE)*$U26*((1+Inputs!$D$7)^AF$2))),IF($N26=Lists!$K$3,IF($L26&lt;1,((($T26*(1-$F26)+$S26*(1-$G26))/$L26)*((1+Inputs!$D$7)^AF$2)),((INT(AF$2/$L26)-INT((AF$2-1)/$L26))*($T26*(1-$F26)+$S26*(1-$G26))*((1+Inputs!$D$7)^AF$2))),((_xlfn.WEIBULL.DIST(AF$2,$M26,$L26,FALSE)*($T26*(1-$F26)+$S26*(1-$G26))*((1+Inputs!$D$7)^AF$2))))))</f>
        <v>1.3789375742581365</v>
      </c>
      <c r="AG26" s="88">
        <f>$E26*IF(AG$2&gt;Inputs!$D$5,0,IF(AG$2&gt;VLOOKUP($H26,Lists!$P$3:$Q$7,2),IF($N26=Lists!$K$3,IF($L26&lt;1,(($U26/$L26)*((1+Inputs!$D$7)^AG$2)),((INT(AG$2/$L26)-INT((AG$2-1)/$L26))*$U26*((1+Inputs!$D$7)^AG$2))),(_xlfn.WEIBULL.DIST(AG$2,$M26,$L26,FALSE)*$U26*((1+Inputs!$D$7)^AG$2))),IF($N26=Lists!$K$3,IF($L26&lt;1,((($T26*(1-$F26)+$S26*(1-$G26))/$L26)*((1+Inputs!$D$7)^AG$2)),((INT(AG$2/$L26)-INT((AG$2-1)/$L26))*($T26*(1-$F26)+$S26*(1-$G26))*((1+Inputs!$D$7)^AG$2))),((_xlfn.WEIBULL.DIST(AG$2,$M26,$L26,FALSE)*($T26*(1-$F26)+$S26*(1-$G26))*((1+Inputs!$D$7)^AG$2))))))</f>
        <v>1.89892761920692</v>
      </c>
      <c r="AH26" s="88">
        <f>$E26*IF(AH$2&gt;Inputs!$D$5,0,IF(AH$2&gt;VLOOKUP($H26,Lists!$P$3:$Q$7,2),IF($N26=Lists!$K$3,IF($L26&lt;1,(($U26/$L26)*((1+Inputs!$D$7)^AH$2)),((INT(AH$2/$L26)-INT((AH$2-1)/$L26))*$U26*((1+Inputs!$D$7)^AH$2))),(_xlfn.WEIBULL.DIST(AH$2,$M26,$L26,FALSE)*$U26*((1+Inputs!$D$7)^AH$2))),IF($N26=Lists!$K$3,IF($L26&lt;1,((($T26*(1-$F26)+$S26*(1-$G26))/$L26)*((1+Inputs!$D$7)^AH$2)),((INT(AH$2/$L26)-INT((AH$2-1)/$L26))*($T26*(1-$F26)+$S26*(1-$G26))*((1+Inputs!$D$7)^AH$2))),((_xlfn.WEIBULL.DIST(AH$2,$M26,$L26,FALSE)*($T26*(1-$F26)+$S26*(1-$G26))*((1+Inputs!$D$7)^AH$2))))))</f>
        <v>2.5026213647505098</v>
      </c>
      <c r="AI26" s="88">
        <f>$E26*IF(AI$2&gt;Inputs!$D$5,0,IF(AI$2&gt;VLOOKUP($H26,Lists!$P$3:$Q$7,2),IF($N26=Lists!$K$3,IF($L26&lt;1,(($U26/$L26)*((1+Inputs!$D$7)^AI$2)),((INT(AI$2/$L26)-INT((AI$2-1)/$L26))*$U26*((1+Inputs!$D$7)^AI$2))),(_xlfn.WEIBULL.DIST(AI$2,$M26,$L26,FALSE)*$U26*((1+Inputs!$D$7)^AI$2))),IF($N26=Lists!$K$3,IF($L26&lt;1,((($T26*(1-$F26)+$S26*(1-$G26))/$L26)*((1+Inputs!$D$7)^AI$2)),((INT(AI$2/$L26)-INT((AI$2-1)/$L26))*($T26*(1-$F26)+$S26*(1-$G26))*((1+Inputs!$D$7)^AI$2))),((_xlfn.WEIBULL.DIST(AI$2,$M26,$L26,FALSE)*($T26*(1-$F26)+$S26*(1-$G26))*((1+Inputs!$D$7)^AI$2))))))</f>
        <v>3.1861695492700584</v>
      </c>
      <c r="AJ26" s="88">
        <f>$E26*IF(AJ$2&gt;Inputs!$D$5,0,IF(AJ$2&gt;VLOOKUP($H26,Lists!$P$3:$Q$7,2),IF($N26=Lists!$K$3,IF($L26&lt;1,(($U26/$L26)*((1+Inputs!$D$7)^AJ$2)),((INT(AJ$2/$L26)-INT((AJ$2-1)/$L26))*$U26*((1+Inputs!$D$7)^AJ$2))),(_xlfn.WEIBULL.DIST(AJ$2,$M26,$L26,FALSE)*$U26*((1+Inputs!$D$7)^AJ$2))),IF($N26=Lists!$K$3,IF($L26&lt;1,((($T26*(1-$F26)+$S26*(1-$G26))/$L26)*((1+Inputs!$D$7)^AJ$2)),((INT(AJ$2/$L26)-INT((AJ$2-1)/$L26))*($T26*(1-$F26)+$S26*(1-$G26))*((1+Inputs!$D$7)^AJ$2))),((_xlfn.WEIBULL.DIST(AJ$2,$M26,$L26,FALSE)*($T26*(1-$F26)+$S26*(1-$G26))*((1+Inputs!$D$7)^AJ$2))))))</f>
        <v>3.9432256673416828</v>
      </c>
      <c r="AK26" s="88">
        <f>$E26*IF(AK$2&gt;Inputs!$D$5,0,IF(AK$2&gt;VLOOKUP($H26,Lists!$P$3:$Q$7,2),IF($N26=Lists!$K$3,IF($L26&lt;1,(($U26/$L26)*((1+Inputs!$D$7)^AK$2)),((INT(AK$2/$L26)-INT((AK$2-1)/$L26))*$U26*((1+Inputs!$D$7)^AK$2))),(_xlfn.WEIBULL.DIST(AK$2,$M26,$L26,FALSE)*$U26*((1+Inputs!$D$7)^AK$2))),IF($N26=Lists!$K$3,IF($L26&lt;1,((($T26*(1-$F26)+$S26*(1-$G26))/$L26)*((1+Inputs!$D$7)^AK$2)),((INT(AK$2/$L26)-INT((AK$2-1)/$L26))*($T26*(1-$F26)+$S26*(1-$G26))*((1+Inputs!$D$7)^AK$2))),((_xlfn.WEIBULL.DIST(AK$2,$M26,$L26,FALSE)*($T26*(1-$F26)+$S26*(1-$G26))*((1+Inputs!$D$7)^AK$2))))))</f>
        <v>4.7647166598604622</v>
      </c>
      <c r="AL26" s="88">
        <f>$E26*IF(AL$2&gt;Inputs!$D$5,0,IF(AL$2&gt;VLOOKUP($H26,Lists!$P$3:$Q$7,2),IF($N26=Lists!$K$3,IF($L26&lt;1,(($U26/$L26)*((1+Inputs!$D$7)^AL$2)),((INT(AL$2/$L26)-INT((AL$2-1)/$L26))*$U26*((1+Inputs!$D$7)^AL$2))),(_xlfn.WEIBULL.DIST(AL$2,$M26,$L26,FALSE)*$U26*((1+Inputs!$D$7)^AL$2))),IF($N26=Lists!$K$3,IF($L26&lt;1,((($T26*(1-$F26)+$S26*(1-$G26))/$L26)*((1+Inputs!$D$7)^AL$2)),((INT(AL$2/$L26)-INT((AL$2-1)/$L26))*($T26*(1-$F26)+$S26*(1-$G26))*((1+Inputs!$D$7)^AL$2))),((_xlfn.WEIBULL.DIST(AL$2,$M26,$L26,FALSE)*($T26*(1-$F26)+$S26*(1-$G26))*((1+Inputs!$D$7)^AL$2))))))</f>
        <v>5.6387107775251666</v>
      </c>
      <c r="AM26" s="88">
        <f>$E26*IF(AM$2&gt;Inputs!$D$5,0,IF(AM$2&gt;VLOOKUP($H26,Lists!$P$3:$Q$7,2),IF($N26=Lists!$K$3,IF($L26&lt;1,(($U26/$L26)*((1+Inputs!$D$7)^AM$2)),((INT(AM$2/$L26)-INT((AM$2-1)/$L26))*$U26*((1+Inputs!$D$7)^AM$2))),(_xlfn.WEIBULL.DIST(AM$2,$M26,$L26,FALSE)*$U26*((1+Inputs!$D$7)^AM$2))),IF($N26=Lists!$K$3,IF($L26&lt;1,((($T26*(1-$F26)+$S26*(1-$G26))/$L26)*((1+Inputs!$D$7)^AM$2)),((INT(AM$2/$L26)-INT((AM$2-1)/$L26))*($T26*(1-$F26)+$S26*(1-$G26))*((1+Inputs!$D$7)^AM$2))),((_xlfn.WEIBULL.DIST(AM$2,$M26,$L26,FALSE)*($T26*(1-$F26)+$S26*(1-$G26))*((1+Inputs!$D$7)^AM$2))))))</f>
        <v>6.5504090395159595</v>
      </c>
      <c r="AN26" s="88">
        <f>$E26*IF(AN$2&gt;Inputs!$D$5,0,IF(AN$2&gt;VLOOKUP($H26,Lists!$P$3:$Q$7,2),IF($N26=Lists!$K$3,IF($L26&lt;1,(($U26/$L26)*((1+Inputs!$D$7)^AN$2)),((INT(AN$2/$L26)-INT((AN$2-1)/$L26))*$U26*((1+Inputs!$D$7)^AN$2))),(_xlfn.WEIBULL.DIST(AN$2,$M26,$L26,FALSE)*$U26*((1+Inputs!$D$7)^AN$2))),IF($N26=Lists!$K$3,IF($L26&lt;1,((($T26*(1-$F26)+$S26*(1-$G26))/$L26)*((1+Inputs!$D$7)^AN$2)),((INT(AN$2/$L26)-INT((AN$2-1)/$L26))*($T26*(1-$F26)+$S26*(1-$G26))*((1+Inputs!$D$7)^AN$2))),((_xlfn.WEIBULL.DIST(AN$2,$M26,$L26,FALSE)*($T26*(1-$F26)+$S26*(1-$G26))*((1+Inputs!$D$7)^AN$2))))))</f>
        <v>7.4822838137743481</v>
      </c>
      <c r="AO26" s="88">
        <f>$E26*IF(AO$2&gt;Inputs!$D$5,0,IF(AO$2&gt;VLOOKUP($H26,Lists!$P$3:$Q$7,2),IF($N26=Lists!$K$3,IF($L26&lt;1,(($U26/$L26)*((1+Inputs!$D$7)^AO$2)),((INT(AO$2/$L26)-INT((AO$2-1)/$L26))*$U26*((1+Inputs!$D$7)^AO$2))),(_xlfn.WEIBULL.DIST(AO$2,$M26,$L26,FALSE)*$U26*((1+Inputs!$D$7)^AO$2))),IF($N26=Lists!$K$3,IF($L26&lt;1,((($T26*(1-$F26)+$S26*(1-$G26))/$L26)*((1+Inputs!$D$7)^AO$2)),((INT(AO$2/$L26)-INT((AO$2-1)/$L26))*($T26*(1-$F26)+$S26*(1-$G26))*((1+Inputs!$D$7)^AO$2))),((_xlfn.WEIBULL.DIST(AO$2,$M26,$L26,FALSE)*($T26*(1-$F26)+$S26*(1-$G26))*((1+Inputs!$D$7)^AO$2))))))</f>
        <v>8.4143824517798809</v>
      </c>
      <c r="AP26" s="88">
        <f>$E26*IF(AP$2&gt;Inputs!$D$5,0,IF(AP$2&gt;VLOOKUP($H26,Lists!$P$3:$Q$7,2),IF($N26=Lists!$K$3,IF($L26&lt;1,(($U26/$L26)*((1+Inputs!$D$7)^AP$2)),((INT(AP$2/$L26)-INT((AP$2-1)/$L26))*$U26*((1+Inputs!$D$7)^AP$2))),(_xlfn.WEIBULL.DIST(AP$2,$M26,$L26,FALSE)*$U26*((1+Inputs!$D$7)^AP$2))),IF($N26=Lists!$K$3,IF($L26&lt;1,((($T26*(1-$F26)+$S26*(1-$G26))/$L26)*((1+Inputs!$D$7)^AP$2)),((INT(AP$2/$L26)-INT((AP$2-1)/$L26))*($T26*(1-$F26)+$S26*(1-$G26))*((1+Inputs!$D$7)^AP$2))),((_xlfn.WEIBULL.DIST(AP$2,$M26,$L26,FALSE)*($T26*(1-$F26)+$S26*(1-$G26))*((1+Inputs!$D$7)^AP$2))))))</f>
        <v>9.3248055048480047</v>
      </c>
      <c r="AQ26" s="88">
        <f>$E26*IF(AQ$2&gt;Inputs!$D$5,0,IF(AQ$2&gt;VLOOKUP($H26,Lists!$P$3:$Q$7,2),IF($N26=Lists!$K$3,IF($L26&lt;1,(($U26/$L26)*((1+Inputs!$D$7)^AQ$2)),((INT(AQ$2/$L26)-INT((AQ$2-1)/$L26))*$U26*((1+Inputs!$D$7)^AQ$2))),(_xlfn.WEIBULL.DIST(AQ$2,$M26,$L26,FALSE)*$U26*((1+Inputs!$D$7)^AQ$2))),IF($N26=Lists!$K$3,IF($L26&lt;1,((($T26*(1-$F26)+$S26*(1-$G26))/$L26)*((1+Inputs!$D$7)^AQ$2)),((INT(AQ$2/$L26)-INT((AQ$2-1)/$L26))*($T26*(1-$F26)+$S26*(1-$G26))*((1+Inputs!$D$7)^AQ$2))),((_xlfn.WEIBULL.DIST(AQ$2,$M26,$L26,FALSE)*($T26*(1-$F26)+$S26*(1-$G26))*((1+Inputs!$D$7)^AQ$2))))))</f>
        <v>10.190357997474097</v>
      </c>
      <c r="AR26" s="88">
        <f>$E26*IF(AR$2&gt;Inputs!$D$5,0,IF(AR$2&gt;VLOOKUP($H26,Lists!$P$3:$Q$7,2),IF($N26=Lists!$K$3,IF($L26&lt;1,(($U26/$L26)*((1+Inputs!$D$7)^AR$2)),((INT(AR$2/$L26)-INT((AR$2-1)/$L26))*$U26*((1+Inputs!$D$7)^AR$2))),(_xlfn.WEIBULL.DIST(AR$2,$M26,$L26,FALSE)*$U26*((1+Inputs!$D$7)^AR$2))),IF($N26=Lists!$K$3,IF($L26&lt;1,((($T26*(1-$F26)+$S26*(1-$G26))/$L26)*((1+Inputs!$D$7)^AR$2)),((INT(AR$2/$L26)-INT((AR$2-1)/$L26))*($T26*(1-$F26)+$S26*(1-$G26))*((1+Inputs!$D$7)^AR$2))),((_xlfn.WEIBULL.DIST(AR$2,$M26,$L26,FALSE)*($T26*(1-$F26)+$S26*(1-$G26))*((1+Inputs!$D$7)^AR$2))))))</f>
        <v>10.9873590402586</v>
      </c>
      <c r="AS26" s="88">
        <f>$E26*IF(AS$2&gt;Inputs!$D$5,0,IF(AS$2&gt;VLOOKUP($H26,Lists!$P$3:$Q$7,2),IF($N26=Lists!$K$3,IF($L26&lt;1,(($U26/$L26)*((1+Inputs!$D$7)^AS$2)),((INT(AS$2/$L26)-INT((AS$2-1)/$L26))*$U26*((1+Inputs!$D$7)^AS$2))),(_xlfn.WEIBULL.DIST(AS$2,$M26,$L26,FALSE)*$U26*((1+Inputs!$D$7)^AS$2))),IF($N26=Lists!$K$3,IF($L26&lt;1,((($T26*(1-$F26)+$S26*(1-$G26))/$L26)*((1+Inputs!$D$7)^AS$2)),((INT(AS$2/$L26)-INT((AS$2-1)/$L26))*($T26*(1-$F26)+$S26*(1-$G26))*((1+Inputs!$D$7)^AS$2))),((_xlfn.WEIBULL.DIST(AS$2,$M26,$L26,FALSE)*($T26*(1-$F26)+$S26*(1-$G26))*((1+Inputs!$D$7)^AS$2))))))</f>
        <v>11.692580597234038</v>
      </c>
      <c r="AT26" s="88">
        <f>$E26*IF(AT$2&gt;Inputs!$D$5,0,IF(AT$2&gt;VLOOKUP($H26,Lists!$P$3:$Q$7,2),IF($N26=Lists!$K$3,IF($L26&lt;1,(($U26/$L26)*((1+Inputs!$D$7)^AT$2)),((INT(AT$2/$L26)-INT((AT$2-1)/$L26))*$U26*((1+Inputs!$D$7)^AT$2))),(_xlfn.WEIBULL.DIST(AT$2,$M26,$L26,FALSE)*$U26*((1+Inputs!$D$7)^AT$2))),IF($N26=Lists!$K$3,IF($L26&lt;1,((($T26*(1-$F26)+$S26*(1-$G26))/$L26)*((1+Inputs!$D$7)^AT$2)),((INT(AT$2/$L26)-INT((AT$2-1)/$L26))*($T26*(1-$F26)+$S26*(1-$G26))*((1+Inputs!$D$7)^AT$2))),((_xlfn.WEIBULL.DIST(AT$2,$M26,$L26,FALSE)*($T26*(1-$F26)+$S26*(1-$G26))*((1+Inputs!$D$7)^AT$2))))))</f>
        <v>12.284271690172993</v>
      </c>
      <c r="AU26" s="88">
        <f>$E26*IF(AU$2&gt;Inputs!$D$5,0,IF(AU$2&gt;VLOOKUP($H26,Lists!$P$3:$Q$7,2),IF($N26=Lists!$K$3,IF($L26&lt;1,(($U26/$L26)*((1+Inputs!$D$7)^AU$2)),((INT(AU$2/$L26)-INT((AU$2-1)/$L26))*$U26*((1+Inputs!$D$7)^AU$2))),(_xlfn.WEIBULL.DIST(AU$2,$M26,$L26,FALSE)*$U26*((1+Inputs!$D$7)^AU$2))),IF($N26=Lists!$K$3,IF($L26&lt;1,((($T26*(1-$F26)+$S26*(1-$G26))/$L26)*((1+Inputs!$D$7)^AU$2)),((INT(AU$2/$L26)-INT((AU$2-1)/$L26))*($T26*(1-$F26)+$S26*(1-$G26))*((1+Inputs!$D$7)^AU$2))),((_xlfn.WEIBULL.DIST(AU$2,$M26,$L26,FALSE)*($T26*(1-$F26)+$S26*(1-$G26))*((1+Inputs!$D$7)^AU$2))))))</f>
        <v>12.743211206034735</v>
      </c>
      <c r="AV26" s="88">
        <f>$E26*IF(AV$2&gt;Inputs!$D$5,0,IF(AV$2&gt;VLOOKUP($H26,Lists!$P$3:$Q$7,2),IF($N26=Lists!$K$3,IF($L26&lt;1,(($U26/$L26)*((1+Inputs!$D$7)^AV$2)),((INT(AV$2/$L26)-INT((AV$2-1)/$L26))*$U26*((1+Inputs!$D$7)^AV$2))),(_xlfn.WEIBULL.DIST(AV$2,$M26,$L26,FALSE)*$U26*((1+Inputs!$D$7)^AV$2))),IF($N26=Lists!$K$3,IF($L26&lt;1,((($T26*(1-$F26)+$S26*(1-$G26))/$L26)*((1+Inputs!$D$7)^AV$2)),((INT(AV$2/$L26)-INT((AV$2-1)/$L26))*($T26*(1-$F26)+$S26*(1-$G26))*((1+Inputs!$D$7)^AV$2))),((_xlfn.WEIBULL.DIST(AV$2,$M26,$L26,FALSE)*($T26*(1-$F26)+$S26*(1-$G26))*((1+Inputs!$D$7)^AV$2))))))</f>
        <v>13.053722392991853</v>
      </c>
      <c r="AW26" s="88">
        <f>$E26*IF(AW$2&gt;Inputs!$D$5,0,IF(AW$2&gt;VLOOKUP($H26,Lists!$P$3:$Q$7,2),IF($N26=Lists!$K$3,IF($L26&lt;1,(($U26/$L26)*((1+Inputs!$D$7)^AW$2)),((INT(AW$2/$L26)-INT((AW$2-1)/$L26))*$U26*((1+Inputs!$D$7)^AW$2))),(_xlfn.WEIBULL.DIST(AW$2,$M26,$L26,FALSE)*$U26*((1+Inputs!$D$7)^AW$2))),IF($N26=Lists!$K$3,IF($L26&lt;1,((($T26*(1-$F26)+$S26*(1-$G26))/$L26)*((1+Inputs!$D$7)^AW$2)),((INT(AW$2/$L26)-INT((AW$2-1)/$L26))*($T26*(1-$F26)+$S26*(1-$G26))*((1+Inputs!$D$7)^AW$2))),((_xlfn.WEIBULL.DIST(AW$2,$M26,$L26,FALSE)*($T26*(1-$F26)+$S26*(1-$G26))*((1+Inputs!$D$7)^AW$2))))))</f>
        <v>13.204576662756374</v>
      </c>
      <c r="AX26" s="88">
        <f>$E26*IF(AX$2&gt;Inputs!$D$5,0,IF(AX$2&gt;VLOOKUP($H26,Lists!$P$3:$Q$7,2),IF($N26=Lists!$K$3,IF($L26&lt;1,(($U26/$L26)*((1+Inputs!$D$7)^AX$2)),((INT(AX$2/$L26)-INT((AX$2-1)/$L26))*$U26*((1+Inputs!$D$7)^AX$2))),(_xlfn.WEIBULL.DIST(AX$2,$M26,$L26,FALSE)*$U26*((1+Inputs!$D$7)^AX$2))),IF($N26=Lists!$K$3,IF($L26&lt;1,((($T26*(1-$F26)+$S26*(1-$G26))/$L26)*((1+Inputs!$D$7)^AX$2)),((INT(AX$2/$L26)-INT((AX$2-1)/$L26))*($T26*(1-$F26)+$S26*(1-$G26))*((1+Inputs!$D$7)^AX$2))),((_xlfn.WEIBULL.DIST(AX$2,$M26,$L26,FALSE)*($T26*(1-$F26)+$S26*(1-$G26))*((1+Inputs!$D$7)^AX$2))))))</f>
        <v>13.189714779621394</v>
      </c>
      <c r="AY26" s="88">
        <f>$E26*IF(AY$2&gt;Inputs!$D$5,0,IF(AY$2&gt;VLOOKUP($H26,Lists!$P$3:$Q$7,2),IF($N26=Lists!$K$3,IF($L26&lt;1,(($U26/$L26)*((1+Inputs!$D$7)^AY$2)),((INT(AY$2/$L26)-INT((AY$2-1)/$L26))*$U26*((1+Inputs!$D$7)^AY$2))),(_xlfn.WEIBULL.DIST(AY$2,$M26,$L26,FALSE)*$U26*((1+Inputs!$D$7)^AY$2))),IF($N26=Lists!$K$3,IF($L26&lt;1,((($T26*(1-$F26)+$S26*(1-$G26))/$L26)*((1+Inputs!$D$7)^AY$2)),((INT(AY$2/$L26)-INT((AY$2-1)/$L26))*($T26*(1-$F26)+$S26*(1-$G26))*((1+Inputs!$D$7)^AY$2))),((_xlfn.WEIBULL.DIST(AY$2,$M26,$L26,FALSE)*($T26*(1-$F26)+$S26*(1-$G26))*((1+Inputs!$D$7)^AY$2))))))</f>
        <v>13.00872074174017</v>
      </c>
      <c r="AZ26" s="88">
        <f>$E26*IF(AZ$2&gt;Inputs!$D$5,0,IF(AZ$2&gt;VLOOKUP($H26,Lists!$P$3:$Q$7,2),IF($N26=Lists!$K$3,IF($L26&lt;1,(($U26/$L26)*((1+Inputs!$D$7)^AZ$2)),((INT(AZ$2/$L26)-INT((AZ$2-1)/$L26))*$U26*((1+Inputs!$D$7)^AZ$2))),(_xlfn.WEIBULL.DIST(AZ$2,$M26,$L26,FALSE)*$U26*((1+Inputs!$D$7)^AZ$2))),IF($N26=Lists!$K$3,IF($L26&lt;1,((($T26*(1-$F26)+$S26*(1-$G26))/$L26)*((1+Inputs!$D$7)^AZ$2)),((INT(AZ$2/$L26)-INT((AZ$2-1)/$L26))*($T26*(1-$F26)+$S26*(1-$G26))*((1+Inputs!$D$7)^AZ$2))),((_xlfn.WEIBULL.DIST(AZ$2,$M26,$L26,FALSE)*($T26*(1-$F26)+$S26*(1-$G26))*((1+Inputs!$D$7)^AZ$2))))))</f>
        <v>0</v>
      </c>
      <c r="BA26" s="88">
        <f>$E26*IF(BA$2&gt;Inputs!$D$5,0,IF(BA$2&gt;VLOOKUP($H26,Lists!$P$3:$Q$7,2),IF($N26=Lists!$K$3,IF($L26&lt;1,(($U26/$L26)*((1+Inputs!$D$7)^BA$2)),((INT(BA$2/$L26)-INT((BA$2-1)/$L26))*$U26*((1+Inputs!$D$7)^BA$2))),(_xlfn.WEIBULL.DIST(BA$2,$M26,$L26,FALSE)*$U26*((1+Inputs!$D$7)^BA$2))),IF($N26=Lists!$K$3,IF($L26&lt;1,((($T26*(1-$F26)+$S26*(1-$G26))/$L26)*((1+Inputs!$D$7)^BA$2)),((INT(BA$2/$L26)-INT((BA$2-1)/$L26))*($T26*(1-$F26)+$S26*(1-$G26))*((1+Inputs!$D$7)^BA$2))),((_xlfn.WEIBULL.DIST(BA$2,$M26,$L26,FALSE)*($T26*(1-$F26)+$S26*(1-$G26))*((1+Inputs!$D$7)^BA$2))))))</f>
        <v>0</v>
      </c>
      <c r="BB26" s="88">
        <f>$E26*IF(BB$2&gt;Inputs!$D$5,0,IF(BB$2&gt;VLOOKUP($H26,Lists!$P$3:$Q$7,2),IF($N26=Lists!$K$3,IF($L26&lt;1,(($U26/$L26)*((1+Inputs!$D$7)^BB$2)),((INT(BB$2/$L26)-INT((BB$2-1)/$L26))*$U26*((1+Inputs!$D$7)^BB$2))),(_xlfn.WEIBULL.DIST(BB$2,$M26,$L26,FALSE)*$U26*((1+Inputs!$D$7)^BB$2))),IF($N26=Lists!$K$3,IF($L26&lt;1,((($T26*(1-$F26)+$S26*(1-$G26))/$L26)*((1+Inputs!$D$7)^BB$2)),((INT(BB$2/$L26)-INT((BB$2-1)/$L26))*($T26*(1-$F26)+$S26*(1-$G26))*((1+Inputs!$D$7)^BB$2))),((_xlfn.WEIBULL.DIST(BB$2,$M26,$L26,FALSE)*($T26*(1-$F26)+$S26*(1-$G26))*((1+Inputs!$D$7)^BB$2))))))</f>
        <v>0</v>
      </c>
      <c r="BC26" s="88">
        <f>$E26*IF(BC$2&gt;Inputs!$D$5,0,IF(BC$2&gt;VLOOKUP($H26,Lists!$P$3:$Q$7,2),IF($N26=Lists!$K$3,IF($L26&lt;1,(($U26/$L26)*((1+Inputs!$D$7)^BC$2)),((INT(BC$2/$L26)-INT((BC$2-1)/$L26))*$U26*((1+Inputs!$D$7)^BC$2))),(_xlfn.WEIBULL.DIST(BC$2,$M26,$L26,FALSE)*$U26*((1+Inputs!$D$7)^BC$2))),IF($N26=Lists!$K$3,IF($L26&lt;1,((($T26*(1-$F26)+$S26*(1-$G26))/$L26)*((1+Inputs!$D$7)^BC$2)),((INT(BC$2/$L26)-INT((BC$2-1)/$L26))*($T26*(1-$F26)+$S26*(1-$G26))*((1+Inputs!$D$7)^BC$2))),((_xlfn.WEIBULL.DIST(BC$2,$M26,$L26,FALSE)*($T26*(1-$F26)+$S26*(1-$G26))*((1+Inputs!$D$7)^BC$2))))))</f>
        <v>0</v>
      </c>
      <c r="BD26" s="88">
        <f>$E26*IF(BD$2&gt;Inputs!$D$5,0,IF(BD$2&gt;VLOOKUP($H26,Lists!$P$3:$Q$7,2),IF($N26=Lists!$K$3,IF($L26&lt;1,(($U26/$L26)*((1+Inputs!$D$7)^BD$2)),((INT(BD$2/$L26)-INT((BD$2-1)/$L26))*$U26*((1+Inputs!$D$7)^BD$2))),(_xlfn.WEIBULL.DIST(BD$2,$M26,$L26,FALSE)*$U26*((1+Inputs!$D$7)^BD$2))),IF($N26=Lists!$K$3,IF($L26&lt;1,((($T26*(1-$F26)+$S26*(1-$G26))/$L26)*((1+Inputs!$D$7)^BD$2)),((INT(BD$2/$L26)-INT((BD$2-1)/$L26))*($T26*(1-$F26)+$S26*(1-$G26))*((1+Inputs!$D$7)^BD$2))),((_xlfn.WEIBULL.DIST(BD$2,$M26,$L26,FALSE)*($T26*(1-$F26)+$S26*(1-$G26))*((1+Inputs!$D$7)^BD$2))))))</f>
        <v>0</v>
      </c>
      <c r="BE26" s="88">
        <f>$E26*IF(BE$2&gt;Inputs!$D$5,0,IF(BE$2&gt;VLOOKUP($H26,Lists!$P$3:$Q$7,2),IF($N26=Lists!$K$3,IF($L26&lt;1,(($U26/$L26)*((1+Inputs!$D$7)^BE$2)),((INT(BE$2/$L26)-INT((BE$2-1)/$L26))*$U26*((1+Inputs!$D$7)^BE$2))),(_xlfn.WEIBULL.DIST(BE$2,$M26,$L26,FALSE)*$U26*((1+Inputs!$D$7)^BE$2))),IF($N26=Lists!$K$3,IF($L26&lt;1,((($T26*(1-$F26)+$S26*(1-$G26))/$L26)*((1+Inputs!$D$7)^BE$2)),((INT(BE$2/$L26)-INT((BE$2-1)/$L26))*($T26*(1-$F26)+$S26*(1-$G26))*((1+Inputs!$D$7)^BE$2))),((_xlfn.WEIBULL.DIST(BE$2,$M26,$L26,FALSE)*($T26*(1-$F26)+$S26*(1-$G26))*((1+Inputs!$D$7)^BE$2))))))</f>
        <v>0</v>
      </c>
      <c r="BF26" s="88">
        <f>$E26*IF(BF$2&gt;Inputs!$D$5,0,IF(BF$2&gt;VLOOKUP($H26,Lists!$P$3:$Q$7,2),IF($N26=Lists!$K$3,IF($L26&lt;1,(($U26/$L26)*((1+Inputs!$D$7)^BF$2)),((INT(BF$2/$L26)-INT((BF$2-1)/$L26))*$U26*((1+Inputs!$D$7)^BF$2))),(_xlfn.WEIBULL.DIST(BF$2,$M26,$L26,FALSE)*$U26*((1+Inputs!$D$7)^BF$2))),IF($N26=Lists!$K$3,IF($L26&lt;1,((($T26*(1-$F26)+$S26*(1-$G26))/$L26)*((1+Inputs!$D$7)^BF$2)),((INT(BF$2/$L26)-INT((BF$2-1)/$L26))*($T26*(1-$F26)+$S26*(1-$G26))*((1+Inputs!$D$7)^BF$2))),((_xlfn.WEIBULL.DIST(BF$2,$M26,$L26,FALSE)*($T26*(1-$F26)+$S26*(1-$G26))*((1+Inputs!$D$7)^BF$2))))))</f>
        <v>0</v>
      </c>
      <c r="BG26" s="88">
        <f>$E26*IF(BG$2&gt;Inputs!$D$5,0,IF(BG$2&gt;VLOOKUP($H26,Lists!$P$3:$Q$7,2),IF($N26=Lists!$K$3,IF($L26&lt;1,(($U26/$L26)*((1+Inputs!$D$7)^BG$2)),((INT(BG$2/$L26)-INT((BG$2-1)/$L26))*$U26*((1+Inputs!$D$7)^BG$2))),(_xlfn.WEIBULL.DIST(BG$2,$M26,$L26,FALSE)*$U26*((1+Inputs!$D$7)^BG$2))),IF($N26=Lists!$K$3,IF($L26&lt;1,((($T26*(1-$F26)+$S26*(1-$G26))/$L26)*((1+Inputs!$D$7)^BG$2)),((INT(BG$2/$L26)-INT((BG$2-1)/$L26))*($T26*(1-$F26)+$S26*(1-$G26))*((1+Inputs!$D$7)^BG$2))),((_xlfn.WEIBULL.DIST(BG$2,$M26,$L26,FALSE)*($T26*(1-$F26)+$S26*(1-$G26))*((1+Inputs!$D$7)^BG$2))))))</f>
        <v>0</v>
      </c>
      <c r="BH26" s="88">
        <f>$E26*IF(BH$2&gt;Inputs!$D$5,0,IF(BH$2&gt;VLOOKUP($H26,Lists!$P$3:$Q$7,2),IF($N26=Lists!$K$3,IF($L26&lt;1,(($U26/$L26)*((1+Inputs!$D$7)^BH$2)),((INT(BH$2/$L26)-INT((BH$2-1)/$L26))*$U26*((1+Inputs!$D$7)^BH$2))),(_xlfn.WEIBULL.DIST(BH$2,$M26,$L26,FALSE)*$U26*((1+Inputs!$D$7)^BH$2))),IF($N26=Lists!$K$3,IF($L26&lt;1,((($T26*(1-$F26)+$S26*(1-$G26))/$L26)*((1+Inputs!$D$7)^BH$2)),((INT(BH$2/$L26)-INT((BH$2-1)/$L26))*($T26*(1-$F26)+$S26*(1-$G26))*((1+Inputs!$D$7)^BH$2))),((_xlfn.WEIBULL.DIST(BH$2,$M26,$L26,FALSE)*($T26*(1-$F26)+$S26*(1-$G26))*((1+Inputs!$D$7)^BH$2))))))</f>
        <v>0</v>
      </c>
      <c r="BI26" s="88">
        <f>$E26*IF(BI$2&gt;Inputs!$D$5,0,IF(BI$2&gt;VLOOKUP($H26,Lists!$P$3:$Q$7,2),IF($N26=Lists!$K$3,IF($L26&lt;1,(($U26/$L26)*((1+Inputs!$D$7)^BI$2)),((INT(BI$2/$L26)-INT((BI$2-1)/$L26))*$U26*((1+Inputs!$D$7)^BI$2))),(_xlfn.WEIBULL.DIST(BI$2,$M26,$L26,FALSE)*$U26*((1+Inputs!$D$7)^BI$2))),IF($N26=Lists!$K$3,IF($L26&lt;1,((($T26*(1-$F26)+$S26*(1-$G26))/$L26)*((1+Inputs!$D$7)^BI$2)),((INT(BI$2/$L26)-INT((BI$2-1)/$L26))*($T26*(1-$F26)+$S26*(1-$G26))*((1+Inputs!$D$7)^BI$2))),((_xlfn.WEIBULL.DIST(BI$2,$M26,$L26,FALSE)*($T26*(1-$F26)+$S26*(1-$G26))*((1+Inputs!$D$7)^BI$2))))))</f>
        <v>0</v>
      </c>
      <c r="BJ26" s="88">
        <f>$E26*IF(BJ$2&gt;Inputs!$D$5,0,IF(BJ$2&gt;VLOOKUP($H26,Lists!$P$3:$Q$7,2),IF($N26=Lists!$K$3,IF($L26&lt;1,(($U26/$L26)*((1+Inputs!$D$7)^BJ$2)),((INT(BJ$2/$L26)-INT((BJ$2-1)/$L26))*$U26*((1+Inputs!$D$7)^BJ$2))),(_xlfn.WEIBULL.DIST(BJ$2,$M26,$L26,FALSE)*$U26*((1+Inputs!$D$7)^BJ$2))),IF($N26=Lists!$K$3,IF($L26&lt;1,((($T26*(1-$F26)+$S26*(1-$G26))/$L26)*((1+Inputs!$D$7)^BJ$2)),((INT(BJ$2/$L26)-INT((BJ$2-1)/$L26))*($T26*(1-$F26)+$S26*(1-$G26))*((1+Inputs!$D$7)^BJ$2))),((_xlfn.WEIBULL.DIST(BJ$2,$M26,$L26,FALSE)*($T26*(1-$F26)+$S26*(1-$G26))*((1+Inputs!$D$7)^BJ$2))))))</f>
        <v>0</v>
      </c>
      <c r="BK26" s="88">
        <f>$E26*IF(BK$2&gt;Inputs!$D$5,0,IF(BK$2&gt;VLOOKUP($H26,Lists!$P$3:$Q$7,2),IF($N26=Lists!$K$3,IF($L26&lt;1,(($U26/$L26)*((1+Inputs!$D$7)^BK$2)),((INT(BK$2/$L26)-INT((BK$2-1)/$L26))*$U26*((1+Inputs!$D$7)^BK$2))),(_xlfn.WEIBULL.DIST(BK$2,$M26,$L26,FALSE)*$U26*((1+Inputs!$D$7)^BK$2))),IF($N26=Lists!$K$3,IF($L26&lt;1,((($T26*(1-$F26)+$S26*(1-$G26))/$L26)*((1+Inputs!$D$7)^BK$2)),((INT(BK$2/$L26)-INT((BK$2-1)/$L26))*($T26*(1-$F26)+$S26*(1-$G26))*((1+Inputs!$D$7)^BK$2))),((_xlfn.WEIBULL.DIST(BK$2,$M26,$L26,FALSE)*($T26*(1-$F26)+$S26*(1-$G26))*((1+Inputs!$D$7)^BK$2))))))</f>
        <v>0</v>
      </c>
      <c r="BL26" s="88">
        <f>$E26*IF(BL$2&gt;Inputs!$D$5,0,IF(BL$2&gt;VLOOKUP($H26,Lists!$P$3:$Q$7,2),IF($N26=Lists!$K$3,IF($L26&lt;1,(($U26/$L26)*((1+Inputs!$D$7)^BL$2)),((INT(BL$2/$L26)-INT((BL$2-1)/$L26))*$U26*((1+Inputs!$D$7)^BL$2))),(_xlfn.WEIBULL.DIST(BL$2,$M26,$L26,FALSE)*$U26*((1+Inputs!$D$7)^BL$2))),IF($N26=Lists!$K$3,IF($L26&lt;1,((($T26*(1-$F26)+$S26*(1-$G26))/$L26)*((1+Inputs!$D$7)^BL$2)),((INT(BL$2/$L26)-INT((BL$2-1)/$L26))*($T26*(1-$F26)+$S26*(1-$G26))*((1+Inputs!$D$7)^BL$2))),((_xlfn.WEIBULL.DIST(BL$2,$M26,$L26,FALSE)*($T26*(1-$F26)+$S26*(1-$G26))*((1+Inputs!$D$7)^BL$2))))))</f>
        <v>0</v>
      </c>
      <c r="BM26" s="88">
        <f>$E26*IF(BM$2&gt;Inputs!$D$5,0,IF(BM$2&gt;VLOOKUP($H26,Lists!$P$3:$Q$7,2),IF($N26=Lists!$K$3,IF($L26&lt;1,(($U26/$L26)*((1+Inputs!$D$7)^BM$2)),((INT(BM$2/$L26)-INT((BM$2-1)/$L26))*$U26*((1+Inputs!$D$7)^BM$2))),(_xlfn.WEIBULL.DIST(BM$2,$M26,$L26,FALSE)*$U26*((1+Inputs!$D$7)^BM$2))),IF($N26=Lists!$K$3,IF($L26&lt;1,((($T26*(1-$F26)+$S26*(1-$G26))/$L26)*((1+Inputs!$D$7)^BM$2)),((INT(BM$2/$L26)-INT((BM$2-1)/$L26))*($T26*(1-$F26)+$S26*(1-$G26))*((1+Inputs!$D$7)^BM$2))),((_xlfn.WEIBULL.DIST(BM$2,$M26,$L26,FALSE)*($T26*(1-$F26)+$S26*(1-$G26))*((1+Inputs!$D$7)^BM$2))))))</f>
        <v>0</v>
      </c>
      <c r="BN26" s="88">
        <f>$E26*IF(BN$2&gt;Inputs!$D$5,0,IF(BN$2&gt;VLOOKUP($H26,Lists!$P$3:$Q$7,2),IF($N26=Lists!$K$3,IF($L26&lt;1,(($U26/$L26)*((1+Inputs!$D$7)^BN$2)),((INT(BN$2/$L26)-INT((BN$2-1)/$L26))*$U26*((1+Inputs!$D$7)^BN$2))),(_xlfn.WEIBULL.DIST(BN$2,$M26,$L26,FALSE)*$U26*((1+Inputs!$D$7)^BN$2))),IF($N26=Lists!$K$3,IF($L26&lt;1,((($T26*(1-$F26)+$S26*(1-$G26))/$L26)*((1+Inputs!$D$7)^BN$2)),((INT(BN$2/$L26)-INT((BN$2-1)/$L26))*($T26*(1-$F26)+$S26*(1-$G26))*((1+Inputs!$D$7)^BN$2))),((_xlfn.WEIBULL.DIST(BN$2,$M26,$L26,FALSE)*($T26*(1-$F26)+$S26*(1-$G26))*((1+Inputs!$D$7)^BN$2))))))</f>
        <v>0</v>
      </c>
      <c r="BO26" s="64">
        <f>NPV(Inputs!$D$6,BQ26:DD26)</f>
        <v>146.80289409128358</v>
      </c>
      <c r="BP26" s="67">
        <f t="shared" si="6"/>
        <v>6.9239411874664073E-5</v>
      </c>
      <c r="BQ26" s="88">
        <f>MAX(AA26,($E26*IF(BQ$2&gt;Inputs!$D$5,0,IF(BQ$2&gt;VLOOKUP($H26,Lists!$P$3:$Q$7,2),IF($N26=Lists!$K$3,IF($L26&lt;1,(($U26/$L26)*((1+Inputs!$D$7)^BQ$2)),((INT(BQ$2/$L26)-INT((BQ$2-1)/$L26))*$U26*((1+Inputs!$D$7)^BQ$2))),(Inputs!$D$8^((1-_xlfn.WEIBULL.DIST(BQ$2,$M26,$L26,FALSE))/_xlfn.WEIBULL.DIST(BQ$2,$M26,$L26,FALSE))*$U26*((1+Inputs!$D$7)^BQ$2))),IF($N26=Lists!$K$3,IF($L26&lt;1,((($T26*(1-$F26)+$S26*(1-$G26))/$L26)*((1+Inputs!$D$7)^BQ$2)),((INT(BQ$2/$L26)-INT((BQ$2-1)/$L26))*($T26*(1-$F26)+$S26*(1-$G26))*((1+Inputs!$D$7)^BQ$2))),((Inputs!$D$8^((1-_xlfn.WEIBULL.DIST(BQ$2,$M26,$L26,FALSE))/_xlfn.WEIBULL.DIST(BQ$2,$M26,$L26,FALSE))*($T26*(1-$F26)+$S26*(1-$G26))*((1+Inputs!$D$7)^BQ$2))))))))</f>
        <v>3.5173625738992548E-2</v>
      </c>
      <c r="BR26" s="88">
        <f>MAX(AB26,($E26*IF(BR$2&gt;Inputs!$D$5,0,IF(BR$2&gt;VLOOKUP($H26,Lists!$P$3:$Q$7,2),IF($N26=Lists!$K$3,IF($L26&lt;1,(($U26/$L26)*((1+Inputs!$D$7)^BR$2)),((INT(BR$2/$L26)-INT((BR$2-1)/$L26))*$U26*((1+Inputs!$D$7)^BR$2))),(Inputs!$D$8^((1-_xlfn.WEIBULL.DIST(BR$2,$M26,$L26,FALSE))/_xlfn.WEIBULL.DIST(BR$2,$M26,$L26,FALSE))*$U26*((1+Inputs!$D$7)^BR$2))),IF($N26=Lists!$K$3,IF($L26&lt;1,((($T26*(1-$F26)+$S26*(1-$G26))/$L26)*((1+Inputs!$D$7)^BR$2)),((INT(BR$2/$L26)-INT((BR$2-1)/$L26))*($T26*(1-$F26)+$S26*(1-$G26))*((1+Inputs!$D$7)^BR$2))),((Inputs!$D$8^((1-_xlfn.WEIBULL.DIST(BR$2,$M26,$L26,FALSE))/_xlfn.WEIBULL.DIST(BR$2,$M26,$L26,FALSE))*($T26*(1-$F26)+$S26*(1-$G26))*((1+Inputs!$D$7)^BR$2))))))))</f>
        <v>0.14344411565422269</v>
      </c>
      <c r="BS26" s="88">
        <f>MAX(AC26,($E26*IF(BS$2&gt;Inputs!$D$5,0,IF(BS$2&gt;VLOOKUP($H26,Lists!$P$3:$Q$7,2),IF($N26=Lists!$K$3,IF($L26&lt;1,(($U26/$L26)*((1+Inputs!$D$7)^BS$2)),((INT(BS$2/$L26)-INT((BS$2-1)/$L26))*$U26*((1+Inputs!$D$7)^BS$2))),(Inputs!$D$8^((1-_xlfn.WEIBULL.DIST(BS$2,$M26,$L26,FALSE))/_xlfn.WEIBULL.DIST(BS$2,$M26,$L26,FALSE))*$U26*((1+Inputs!$D$7)^BS$2))),IF($N26=Lists!$K$3,IF($L26&lt;1,((($T26*(1-$F26)+$S26*(1-$G26))/$L26)*((1+Inputs!$D$7)^BS$2)),((INT(BS$2/$L26)-INT((BS$2-1)/$L26))*($T26*(1-$F26)+$S26*(1-$G26))*((1+Inputs!$D$7)^BS$2))),((Inputs!$D$8^((1-_xlfn.WEIBULL.DIST(BS$2,$M26,$L26,FALSE))/_xlfn.WEIBULL.DIST(BS$2,$M26,$L26,FALSE))*($T26*(1-$F26)+$S26*(1-$G26))*((1+Inputs!$D$7)^BS$2))))))))</f>
        <v>0.32880417635529491</v>
      </c>
      <c r="BT26" s="88">
        <f>MAX(AD26,($E26*IF(BT$2&gt;Inputs!$D$5,0,IF(BT$2&gt;VLOOKUP($H26,Lists!$P$3:$Q$7,2),IF($N26=Lists!$K$3,IF($L26&lt;1,(($U26/$L26)*((1+Inputs!$D$7)^BT$2)),((INT(BT$2/$L26)-INT((BT$2-1)/$L26))*$U26*((1+Inputs!$D$7)^BT$2))),(Inputs!$D$8^((1-_xlfn.WEIBULL.DIST(BT$2,$M26,$L26,FALSE))/_xlfn.WEIBULL.DIST(BT$2,$M26,$L26,FALSE))*$U26*((1+Inputs!$D$7)^BT$2))),IF($N26=Lists!$K$3,IF($L26&lt;1,((($T26*(1-$F26)+$S26*(1-$G26))/$L26)*((1+Inputs!$D$7)^BT$2)),((INT(BT$2/$L26)-INT((BT$2-1)/$L26))*($T26*(1-$F26)+$S26*(1-$G26))*((1+Inputs!$D$7)^BT$2))),((Inputs!$D$8^((1-_xlfn.WEIBULL.DIST(BT$2,$M26,$L26,FALSE))/_xlfn.WEIBULL.DIST(BT$2,$M26,$L26,FALSE))*($T26*(1-$F26)+$S26*(1-$G26))*((1+Inputs!$D$7)^BT$2))))))))</f>
        <v>0.5948213671020085</v>
      </c>
      <c r="BU26" s="88">
        <f>MAX(AE26,($E26*IF(BU$2&gt;Inputs!$D$5,0,IF(BU$2&gt;VLOOKUP($H26,Lists!$P$3:$Q$7,2),IF($N26=Lists!$K$3,IF($L26&lt;1,(($U26/$L26)*((1+Inputs!$D$7)^BU$2)),((INT(BU$2/$L26)-INT((BU$2-1)/$L26))*$U26*((1+Inputs!$D$7)^BU$2))),(Inputs!$D$8^((1-_xlfn.WEIBULL.DIST(BU$2,$M26,$L26,FALSE))/_xlfn.WEIBULL.DIST(BU$2,$M26,$L26,FALSE))*$U26*((1+Inputs!$D$7)^BU$2))),IF($N26=Lists!$K$3,IF($L26&lt;1,((($T26*(1-$F26)+$S26*(1-$G26))/$L26)*((1+Inputs!$D$7)^BU$2)),((INT(BU$2/$L26)-INT((BU$2-1)/$L26))*($T26*(1-$F26)+$S26*(1-$G26))*((1+Inputs!$D$7)^BU$2))),((Inputs!$D$8^((1-_xlfn.WEIBULL.DIST(BU$2,$M26,$L26,FALSE))/_xlfn.WEIBULL.DIST(BU$2,$M26,$L26,FALSE))*($T26*(1-$F26)+$S26*(1-$G26))*((1+Inputs!$D$7)^BU$2))))))))</f>
        <v>0.94430279019077235</v>
      </c>
      <c r="BV26" s="88">
        <f>MAX(AF26,($E26*IF(BV$2&gt;Inputs!$D$5,0,IF(BV$2&gt;VLOOKUP($H26,Lists!$P$3:$Q$7,2),IF($N26=Lists!$K$3,IF($L26&lt;1,(($U26/$L26)*((1+Inputs!$D$7)^BV$2)),((INT(BV$2/$L26)-INT((BV$2-1)/$L26))*$U26*((1+Inputs!$D$7)^BV$2))),(Inputs!$D$8^((1-_xlfn.WEIBULL.DIST(BV$2,$M26,$L26,FALSE))/_xlfn.WEIBULL.DIST(BV$2,$M26,$L26,FALSE))*$U26*((1+Inputs!$D$7)^BV$2))),IF($N26=Lists!$K$3,IF($L26&lt;1,((($T26*(1-$F26)+$S26*(1-$G26))/$L26)*((1+Inputs!$D$7)^BV$2)),((INT(BV$2/$L26)-INT((BV$2-1)/$L26))*($T26*(1-$F26)+$S26*(1-$G26))*((1+Inputs!$D$7)^BV$2))),((Inputs!$D$8^((1-_xlfn.WEIBULL.DIST(BV$2,$M26,$L26,FALSE))/_xlfn.WEIBULL.DIST(BV$2,$M26,$L26,FALSE))*($T26*(1-$F26)+$S26*(1-$G26))*((1+Inputs!$D$7)^BV$2))))))))</f>
        <v>1.3789375742581365</v>
      </c>
      <c r="BW26" s="88">
        <f>MAX(AG26,($E26*IF(BW$2&gt;Inputs!$D$5,0,IF(BW$2&gt;VLOOKUP($H26,Lists!$P$3:$Q$7,2),IF($N26=Lists!$K$3,IF($L26&lt;1,(($U26/$L26)*((1+Inputs!$D$7)^BW$2)),((INT(BW$2/$L26)-INT((BW$2-1)/$L26))*$U26*((1+Inputs!$D$7)^BW$2))),(Inputs!$D$8^((1-_xlfn.WEIBULL.DIST(BW$2,$M26,$L26,FALSE))/_xlfn.WEIBULL.DIST(BW$2,$M26,$L26,FALSE))*$U26*((1+Inputs!$D$7)^BW$2))),IF($N26=Lists!$K$3,IF($L26&lt;1,((($T26*(1-$F26)+$S26*(1-$G26))/$L26)*((1+Inputs!$D$7)^BW$2)),((INT(BW$2/$L26)-INT((BW$2-1)/$L26))*($T26*(1-$F26)+$S26*(1-$G26))*((1+Inputs!$D$7)^BW$2))),((Inputs!$D$8^((1-_xlfn.WEIBULL.DIST(BW$2,$M26,$L26,FALSE))/_xlfn.WEIBULL.DIST(BW$2,$M26,$L26,FALSE))*($T26*(1-$F26)+$S26*(1-$G26))*((1+Inputs!$D$7)^BW$2))))))))</f>
        <v>1.89892761920692</v>
      </c>
      <c r="BX26" s="88">
        <f>MAX(AH26,($E26*IF(BX$2&gt;Inputs!$D$5,0,IF(BX$2&gt;VLOOKUP($H26,Lists!$P$3:$Q$7,2),IF($N26=Lists!$K$3,IF($L26&lt;1,(($U26/$L26)*((1+Inputs!$D$7)^BX$2)),((INT(BX$2/$L26)-INT((BX$2-1)/$L26))*$U26*((1+Inputs!$D$7)^BX$2))),(Inputs!$D$8^((1-_xlfn.WEIBULL.DIST(BX$2,$M26,$L26,FALSE))/_xlfn.WEIBULL.DIST(BX$2,$M26,$L26,FALSE))*$U26*((1+Inputs!$D$7)^BX$2))),IF($N26=Lists!$K$3,IF($L26&lt;1,((($T26*(1-$F26)+$S26*(1-$G26))/$L26)*((1+Inputs!$D$7)^BX$2)),((INT(BX$2/$L26)-INT((BX$2-1)/$L26))*($T26*(1-$F26)+$S26*(1-$G26))*((1+Inputs!$D$7)^BX$2))),((Inputs!$D$8^((1-_xlfn.WEIBULL.DIST(BX$2,$M26,$L26,FALSE))/_xlfn.WEIBULL.DIST(BX$2,$M26,$L26,FALSE))*($T26*(1-$F26)+$S26*(1-$G26))*((1+Inputs!$D$7)^BX$2))))))))</f>
        <v>2.5026213647505098</v>
      </c>
      <c r="BY26" s="88">
        <f>MAX(AI26,($E26*IF(BY$2&gt;Inputs!$D$5,0,IF(BY$2&gt;VLOOKUP($H26,Lists!$P$3:$Q$7,2),IF($N26=Lists!$K$3,IF($L26&lt;1,(($U26/$L26)*((1+Inputs!$D$7)^BY$2)),((INT(BY$2/$L26)-INT((BY$2-1)/$L26))*$U26*((1+Inputs!$D$7)^BY$2))),(Inputs!$D$8^((1-_xlfn.WEIBULL.DIST(BY$2,$M26,$L26,FALSE))/_xlfn.WEIBULL.DIST(BY$2,$M26,$L26,FALSE))*$U26*((1+Inputs!$D$7)^BY$2))),IF($N26=Lists!$K$3,IF($L26&lt;1,((($T26*(1-$F26)+$S26*(1-$G26))/$L26)*((1+Inputs!$D$7)^BY$2)),((INT(BY$2/$L26)-INT((BY$2-1)/$L26))*($T26*(1-$F26)+$S26*(1-$G26))*((1+Inputs!$D$7)^BY$2))),((Inputs!$D$8^((1-_xlfn.WEIBULL.DIST(BY$2,$M26,$L26,FALSE))/_xlfn.WEIBULL.DIST(BY$2,$M26,$L26,FALSE))*($T26*(1-$F26)+$S26*(1-$G26))*((1+Inputs!$D$7)^BY$2))))))))</f>
        <v>3.1861695492700584</v>
      </c>
      <c r="BZ26" s="88">
        <f>MAX(AJ26,($E26*IF(BZ$2&gt;Inputs!$D$5,0,IF(BZ$2&gt;VLOOKUP($H26,Lists!$P$3:$Q$7,2),IF($N26=Lists!$K$3,IF($L26&lt;1,(($U26/$L26)*((1+Inputs!$D$7)^BZ$2)),((INT(BZ$2/$L26)-INT((BZ$2-1)/$L26))*$U26*((1+Inputs!$D$7)^BZ$2))),(Inputs!$D$8^((1-_xlfn.WEIBULL.DIST(BZ$2,$M26,$L26,FALSE))/_xlfn.WEIBULL.DIST(BZ$2,$M26,$L26,FALSE))*$U26*((1+Inputs!$D$7)^BZ$2))),IF($N26=Lists!$K$3,IF($L26&lt;1,((($T26*(1-$F26)+$S26*(1-$G26))/$L26)*((1+Inputs!$D$7)^BZ$2)),((INT(BZ$2/$L26)-INT((BZ$2-1)/$L26))*($T26*(1-$F26)+$S26*(1-$G26))*((1+Inputs!$D$7)^BZ$2))),((Inputs!$D$8^((1-_xlfn.WEIBULL.DIST(BZ$2,$M26,$L26,FALSE))/_xlfn.WEIBULL.DIST(BZ$2,$M26,$L26,FALSE))*($T26*(1-$F26)+$S26*(1-$G26))*((1+Inputs!$D$7)^BZ$2))))))))</f>
        <v>3.9432256673416828</v>
      </c>
      <c r="CA26" s="88">
        <f>MAX(AK26,($E26*IF(CA$2&gt;Inputs!$D$5,0,IF(CA$2&gt;VLOOKUP($H26,Lists!$P$3:$Q$7,2),IF($N26=Lists!$K$3,IF($L26&lt;1,(($U26/$L26)*((1+Inputs!$D$7)^CA$2)),((INT(CA$2/$L26)-INT((CA$2-1)/$L26))*$U26*((1+Inputs!$D$7)^CA$2))),(Inputs!$D$8^((1-_xlfn.WEIBULL.DIST(CA$2,$M26,$L26,FALSE))/_xlfn.WEIBULL.DIST(CA$2,$M26,$L26,FALSE))*$U26*((1+Inputs!$D$7)^CA$2))),IF($N26=Lists!$K$3,IF($L26&lt;1,((($T26*(1-$F26)+$S26*(1-$G26))/$L26)*((1+Inputs!$D$7)^CA$2)),((INT(CA$2/$L26)-INT((CA$2-1)/$L26))*($T26*(1-$F26)+$S26*(1-$G26))*((1+Inputs!$D$7)^CA$2))),((Inputs!$D$8^((1-_xlfn.WEIBULL.DIST(CA$2,$M26,$L26,FALSE))/_xlfn.WEIBULL.DIST(CA$2,$M26,$L26,FALSE))*($T26*(1-$F26)+$S26*(1-$G26))*((1+Inputs!$D$7)^CA$2))))))))</f>
        <v>4.8734973870530984</v>
      </c>
      <c r="CB26" s="88">
        <f>MAX(AL26,($E26*IF(CB$2&gt;Inputs!$D$5,0,IF(CB$2&gt;VLOOKUP($H26,Lists!$P$3:$Q$7,2),IF($N26=Lists!$K$3,IF($L26&lt;1,(($U26/$L26)*((1+Inputs!$D$7)^CB$2)),((INT(CB$2/$L26)-INT((CB$2-1)/$L26))*$U26*((1+Inputs!$D$7)^CB$2))),(Inputs!$D$8^((1-_xlfn.WEIBULL.DIST(CB$2,$M26,$L26,FALSE))/_xlfn.WEIBULL.DIST(CB$2,$M26,$L26,FALSE))*$U26*((1+Inputs!$D$7)^CB$2))),IF($N26=Lists!$K$3,IF($L26&lt;1,((($T26*(1-$F26)+$S26*(1-$G26))/$L26)*((1+Inputs!$D$7)^CB$2)),((INT(CB$2/$L26)-INT((CB$2-1)/$L26))*($T26*(1-$F26)+$S26*(1-$G26))*((1+Inputs!$D$7)^CB$2))),((Inputs!$D$8^((1-_xlfn.WEIBULL.DIST(CB$2,$M26,$L26,FALSE))/_xlfn.WEIBULL.DIST(CB$2,$M26,$L26,FALSE))*($T26*(1-$F26)+$S26*(1-$G26))*((1+Inputs!$D$7)^CB$2))))))))</f>
        <v>8.5278295019079273</v>
      </c>
      <c r="CC26" s="88">
        <f>MAX(AM26,($E26*IF(CC$2&gt;Inputs!$D$5,0,IF(CC$2&gt;VLOOKUP($H26,Lists!$P$3:$Q$7,2),IF($N26=Lists!$K$3,IF($L26&lt;1,(($U26/$L26)*((1+Inputs!$D$7)^CC$2)),((INT(CC$2/$L26)-INT((CC$2-1)/$L26))*$U26*((1+Inputs!$D$7)^CC$2))),(Inputs!$D$8^((1-_xlfn.WEIBULL.DIST(CC$2,$M26,$L26,FALSE))/_xlfn.WEIBULL.DIST(CC$2,$M26,$L26,FALSE))*$U26*((1+Inputs!$D$7)^CC$2))),IF($N26=Lists!$K$3,IF($L26&lt;1,((($T26*(1-$F26)+$S26*(1-$G26))/$L26)*((1+Inputs!$D$7)^CC$2)),((INT(CC$2/$L26)-INT((CC$2-1)/$L26))*($T26*(1-$F26)+$S26*(1-$G26))*((1+Inputs!$D$7)^CC$2))),((Inputs!$D$8^((1-_xlfn.WEIBULL.DIST(CC$2,$M26,$L26,FALSE))/_xlfn.WEIBULL.DIST(CC$2,$M26,$L26,FALSE))*($T26*(1-$F26)+$S26*(1-$G26))*((1+Inputs!$D$7)^CC$2))))))))</f>
        <v>13.117902207728015</v>
      </c>
      <c r="CD26" s="88">
        <f>MAX(AN26,($E26*IF(CD$2&gt;Inputs!$D$5,0,IF(CD$2&gt;VLOOKUP($H26,Lists!$P$3:$Q$7,2),IF($N26=Lists!$K$3,IF($L26&lt;1,(($U26/$L26)*((1+Inputs!$D$7)^CD$2)),((INT(CD$2/$L26)-INT((CD$2-1)/$L26))*$U26*((1+Inputs!$D$7)^CD$2))),(Inputs!$D$8^((1-_xlfn.WEIBULL.DIST(CD$2,$M26,$L26,FALSE))/_xlfn.WEIBULL.DIST(CD$2,$M26,$L26,FALSE))*$U26*((1+Inputs!$D$7)^CD$2))),IF($N26=Lists!$K$3,IF($L26&lt;1,((($T26*(1-$F26)+$S26*(1-$G26))/$L26)*((1+Inputs!$D$7)^CD$2)),((INT(CD$2/$L26)-INT((CD$2-1)/$L26))*($T26*(1-$F26)+$S26*(1-$G26))*((1+Inputs!$D$7)^CD$2))),((Inputs!$D$8^((1-_xlfn.WEIBULL.DIST(CD$2,$M26,$L26,FALSE))/_xlfn.WEIBULL.DIST(CD$2,$M26,$L26,FALSE))*($T26*(1-$F26)+$S26*(1-$G26))*((1+Inputs!$D$7)^CD$2))))))))</f>
        <v>18.363285528914194</v>
      </c>
      <c r="CE26" s="88">
        <f>MAX(AO26,($E26*IF(CE$2&gt;Inputs!$D$5,0,IF(CE$2&gt;VLOOKUP($H26,Lists!$P$3:$Q$7,2),IF($N26=Lists!$K$3,IF($L26&lt;1,(($U26/$L26)*((1+Inputs!$D$7)^CE$2)),((INT(CE$2/$L26)-INT((CE$2-1)/$L26))*$U26*((1+Inputs!$D$7)^CE$2))),(Inputs!$D$8^((1-_xlfn.WEIBULL.DIST(CE$2,$M26,$L26,FALSE))/_xlfn.WEIBULL.DIST(CE$2,$M26,$L26,FALSE))*$U26*((1+Inputs!$D$7)^CE$2))),IF($N26=Lists!$K$3,IF($L26&lt;1,((($T26*(1-$F26)+$S26*(1-$G26))/$L26)*((1+Inputs!$D$7)^CE$2)),((INT(CE$2/$L26)-INT((CE$2-1)/$L26))*($T26*(1-$F26)+$S26*(1-$G26))*((1+Inputs!$D$7)^CE$2))),((Inputs!$D$8^((1-_xlfn.WEIBULL.DIST(CE$2,$M26,$L26,FALSE))/_xlfn.WEIBULL.DIST(CE$2,$M26,$L26,FALSE))*($T26*(1-$F26)+$S26*(1-$G26))*((1+Inputs!$D$7)^CE$2))))))))</f>
        <v>23.944774087261369</v>
      </c>
      <c r="CF26" s="88">
        <f>MAX(AP26,($E26*IF(CF$2&gt;Inputs!$D$5,0,IF(CF$2&gt;VLOOKUP($H26,Lists!$P$3:$Q$7,2),IF($N26=Lists!$K$3,IF($L26&lt;1,(($U26/$L26)*((1+Inputs!$D$7)^CF$2)),((INT(CF$2/$L26)-INT((CF$2-1)/$L26))*$U26*((1+Inputs!$D$7)^CF$2))),(Inputs!$D$8^((1-_xlfn.WEIBULL.DIST(CF$2,$M26,$L26,FALSE))/_xlfn.WEIBULL.DIST(CF$2,$M26,$L26,FALSE))*$U26*((1+Inputs!$D$7)^CF$2))),IF($N26=Lists!$K$3,IF($L26&lt;1,((($T26*(1-$F26)+$S26*(1-$G26))/$L26)*((1+Inputs!$D$7)^CF$2)),((INT(CF$2/$L26)-INT((CF$2-1)/$L26))*($T26*(1-$F26)+$S26*(1-$G26))*((1+Inputs!$D$7)^CF$2))),((Inputs!$D$8^((1-_xlfn.WEIBULL.DIST(CF$2,$M26,$L26,FALSE))/_xlfn.WEIBULL.DIST(CF$2,$M26,$L26,FALSE))*($T26*(1-$F26)+$S26*(1-$G26))*((1+Inputs!$D$7)^CF$2))))))))</f>
        <v>29.553525107547731</v>
      </c>
      <c r="CG26" s="88">
        <f>MAX(AQ26,($E26*IF(CG$2&gt;Inputs!$D$5,0,IF(CG$2&gt;VLOOKUP($H26,Lists!$P$3:$Q$7,2),IF($N26=Lists!$K$3,IF($L26&lt;1,(($U26/$L26)*((1+Inputs!$D$7)^CG$2)),((INT(CG$2/$L26)-INT((CG$2-1)/$L26))*$U26*((1+Inputs!$D$7)^CG$2))),(Inputs!$D$8^((1-_xlfn.WEIBULL.DIST(CG$2,$M26,$L26,FALSE))/_xlfn.WEIBULL.DIST(CG$2,$M26,$L26,FALSE))*$U26*((1+Inputs!$D$7)^CG$2))),IF($N26=Lists!$K$3,IF($L26&lt;1,((($T26*(1-$F26)+$S26*(1-$G26))/$L26)*((1+Inputs!$D$7)^CG$2)),((INT(CG$2/$L26)-INT((CG$2-1)/$L26))*($T26*(1-$F26)+$S26*(1-$G26))*((1+Inputs!$D$7)^CG$2))),((Inputs!$D$8^((1-_xlfn.WEIBULL.DIST(CG$2,$M26,$L26,FALSE))/_xlfn.WEIBULL.DIST(CG$2,$M26,$L26,FALSE))*($T26*(1-$F26)+$S26*(1-$G26))*((1+Inputs!$D$7)^CG$2))))))))</f>
        <v>34.915463077401718</v>
      </c>
      <c r="CH26" s="88">
        <f>MAX(AR26,($E26*IF(CH$2&gt;Inputs!$D$5,0,IF(CH$2&gt;VLOOKUP($H26,Lists!$P$3:$Q$7,2),IF($N26=Lists!$K$3,IF($L26&lt;1,(($U26/$L26)*((1+Inputs!$D$7)^CH$2)),((INT(CH$2/$L26)-INT((CH$2-1)/$L26))*$U26*((1+Inputs!$D$7)^CH$2))),(Inputs!$D$8^((1-_xlfn.WEIBULL.DIST(CH$2,$M26,$L26,FALSE))/_xlfn.WEIBULL.DIST(CH$2,$M26,$L26,FALSE))*$U26*((1+Inputs!$D$7)^CH$2))),IF($N26=Lists!$K$3,IF($L26&lt;1,((($T26*(1-$F26)+$S26*(1-$G26))/$L26)*((1+Inputs!$D$7)^CH$2)),((INT(CH$2/$L26)-INT((CH$2-1)/$L26))*($T26*(1-$F26)+$S26*(1-$G26))*((1+Inputs!$D$7)^CH$2))),((Inputs!$D$8^((1-_xlfn.WEIBULL.DIST(CH$2,$M26,$L26,FALSE))/_xlfn.WEIBULL.DIST(CH$2,$M26,$L26,FALSE))*($T26*(1-$F26)+$S26*(1-$G26))*((1+Inputs!$D$7)^CH$2))))))))</f>
        <v>39.798796200667255</v>
      </c>
      <c r="CI26" s="88">
        <f>MAX(AS26,($E26*IF(CI$2&gt;Inputs!$D$5,0,IF(CI$2&gt;VLOOKUP($H26,Lists!$P$3:$Q$7,2),IF($N26=Lists!$K$3,IF($L26&lt;1,(($U26/$L26)*((1+Inputs!$D$7)^CI$2)),((INT(CI$2/$L26)-INT((CI$2-1)/$L26))*$U26*((1+Inputs!$D$7)^CI$2))),(Inputs!$D$8^((1-_xlfn.WEIBULL.DIST(CI$2,$M26,$L26,FALSE))/_xlfn.WEIBULL.DIST(CI$2,$M26,$L26,FALSE))*$U26*((1+Inputs!$D$7)^CI$2))),IF($N26=Lists!$K$3,IF($L26&lt;1,((($T26*(1-$F26)+$S26*(1-$G26))/$L26)*((1+Inputs!$D$7)^CI$2)),((INT(CI$2/$L26)-INT((CI$2-1)/$L26))*($T26*(1-$F26)+$S26*(1-$G26))*((1+Inputs!$D$7)^CI$2))),((Inputs!$D$8^((1-_xlfn.WEIBULL.DIST(CI$2,$M26,$L26,FALSE))/_xlfn.WEIBULL.DIST(CI$2,$M26,$L26,FALSE))*($T26*(1-$F26)+$S26*(1-$G26))*((1+Inputs!$D$7)^CI$2))))))))</f>
        <v>44.012363568285132</v>
      </c>
      <c r="CJ26" s="88">
        <f>MAX(AT26,($E26*IF(CJ$2&gt;Inputs!$D$5,0,IF(CJ$2&gt;VLOOKUP($H26,Lists!$P$3:$Q$7,2),IF($N26=Lists!$K$3,IF($L26&lt;1,(($U26/$L26)*((1+Inputs!$D$7)^CJ$2)),((INT(CJ$2/$L26)-INT((CJ$2-1)/$L26))*$U26*((1+Inputs!$D$7)^CJ$2))),(Inputs!$D$8^((1-_xlfn.WEIBULL.DIST(CJ$2,$M26,$L26,FALSE))/_xlfn.WEIBULL.DIST(CJ$2,$M26,$L26,FALSE))*$U26*((1+Inputs!$D$7)^CJ$2))),IF($N26=Lists!$K$3,IF($L26&lt;1,((($T26*(1-$F26)+$S26*(1-$G26))/$L26)*((1+Inputs!$D$7)^CJ$2)),((INT(CJ$2/$L26)-INT((CJ$2-1)/$L26))*($T26*(1-$F26)+$S26*(1-$G26))*((1+Inputs!$D$7)^CJ$2))),((Inputs!$D$8^((1-_xlfn.WEIBULL.DIST(CJ$2,$M26,$L26,FALSE))/_xlfn.WEIBULL.DIST(CJ$2,$M26,$L26,FALSE))*($T26*(1-$F26)+$S26*(1-$G26))*((1+Inputs!$D$7)^CJ$2))))))))</f>
        <v>47.400319420621919</v>
      </c>
      <c r="CK26" s="88">
        <f>MAX(AU26,($E26*IF(CK$2&gt;Inputs!$D$5,0,IF(CK$2&gt;VLOOKUP($H26,Lists!$P$3:$Q$7,2),IF($N26=Lists!$K$3,IF($L26&lt;1,(($U26/$L26)*((1+Inputs!$D$7)^CK$2)),((INT(CK$2/$L26)-INT((CK$2-1)/$L26))*$U26*((1+Inputs!$D$7)^CK$2))),(Inputs!$D$8^((1-_xlfn.WEIBULL.DIST(CK$2,$M26,$L26,FALSE))/_xlfn.WEIBULL.DIST(CK$2,$M26,$L26,FALSE))*$U26*((1+Inputs!$D$7)^CK$2))),IF($N26=Lists!$K$3,IF($L26&lt;1,((($T26*(1-$F26)+$S26*(1-$G26))/$L26)*((1+Inputs!$D$7)^CK$2)),((INT(CK$2/$L26)-INT((CK$2-1)/$L26))*($T26*(1-$F26)+$S26*(1-$G26))*((1+Inputs!$D$7)^CK$2))),((Inputs!$D$8^((1-_xlfn.WEIBULL.DIST(CK$2,$M26,$L26,FALSE))/_xlfn.WEIBULL.DIST(CK$2,$M26,$L26,FALSE))*($T26*(1-$F26)+$S26*(1-$G26))*((1+Inputs!$D$7)^CK$2))))))))</f>
        <v>49.836547477902364</v>
      </c>
      <c r="CL26" s="88">
        <f>MAX(AV26,($E26*IF(CL$2&gt;Inputs!$D$5,0,IF(CL$2&gt;VLOOKUP($H26,Lists!$P$3:$Q$7,2),IF($N26=Lists!$K$3,IF($L26&lt;1,(($U26/$L26)*((1+Inputs!$D$7)^CL$2)),((INT(CL$2/$L26)-INT((CL$2-1)/$L26))*$U26*((1+Inputs!$D$7)^CL$2))),(Inputs!$D$8^((1-_xlfn.WEIBULL.DIST(CL$2,$M26,$L26,FALSE))/_xlfn.WEIBULL.DIST(CL$2,$M26,$L26,FALSE))*$U26*((1+Inputs!$D$7)^CL$2))),IF($N26=Lists!$K$3,IF($L26&lt;1,((($T26*(1-$F26)+$S26*(1-$G26))/$L26)*((1+Inputs!$D$7)^CL$2)),((INT(CL$2/$L26)-INT((CL$2-1)/$L26))*($T26*(1-$F26)+$S26*(1-$G26))*((1+Inputs!$D$7)^CL$2))),((Inputs!$D$8^((1-_xlfn.WEIBULL.DIST(CL$2,$M26,$L26,FALSE))/_xlfn.WEIBULL.DIST(CL$2,$M26,$L26,FALSE))*($T26*(1-$F26)+$S26*(1-$G26))*((1+Inputs!$D$7)^CL$2))))))))</f>
        <v>51.220753445800874</v>
      </c>
      <c r="CM26" s="88">
        <f>MAX(AW26,($E26*IF(CM$2&gt;Inputs!$D$5,0,IF(CM$2&gt;VLOOKUP($H26,Lists!$P$3:$Q$7,2),IF($N26=Lists!$K$3,IF($L26&lt;1,(($U26/$L26)*((1+Inputs!$D$7)^CM$2)),((INT(CM$2/$L26)-INT((CM$2-1)/$L26))*$U26*((1+Inputs!$D$7)^CM$2))),(Inputs!$D$8^((1-_xlfn.WEIBULL.DIST(CM$2,$M26,$L26,FALSE))/_xlfn.WEIBULL.DIST(CM$2,$M26,$L26,FALSE))*$U26*((1+Inputs!$D$7)^CM$2))),IF($N26=Lists!$K$3,IF($L26&lt;1,((($T26*(1-$F26)+$S26*(1-$G26))/$L26)*((1+Inputs!$D$7)^CM$2)),((INT(CM$2/$L26)-INT((CM$2-1)/$L26))*($T26*(1-$F26)+$S26*(1-$G26))*((1+Inputs!$D$7)^CM$2))),((Inputs!$D$8^((1-_xlfn.WEIBULL.DIST(CM$2,$M26,$L26,FALSE))/_xlfn.WEIBULL.DIST(CM$2,$M26,$L26,FALSE))*($T26*(1-$F26)+$S26*(1-$G26))*((1+Inputs!$D$7)^CM$2))))))))</f>
        <v>51.477356352041021</v>
      </c>
      <c r="CN26" s="88">
        <f>MAX(AX26,($E26*IF(CN$2&gt;Inputs!$D$5,0,IF(CN$2&gt;VLOOKUP($H26,Lists!$P$3:$Q$7,2),IF($N26=Lists!$K$3,IF($L26&lt;1,(($U26/$L26)*((1+Inputs!$D$7)^CN$2)),((INT(CN$2/$L26)-INT((CN$2-1)/$L26))*$U26*((1+Inputs!$D$7)^CN$2))),(Inputs!$D$8^((1-_xlfn.WEIBULL.DIST(CN$2,$M26,$L26,FALSE))/_xlfn.WEIBULL.DIST(CN$2,$M26,$L26,FALSE))*$U26*((1+Inputs!$D$7)^CN$2))),IF($N26=Lists!$K$3,IF($L26&lt;1,((($T26*(1-$F26)+$S26*(1-$G26))/$L26)*((1+Inputs!$D$7)^CN$2)),((INT(CN$2/$L26)-INT((CN$2-1)/$L26))*($T26*(1-$F26)+$S26*(1-$G26))*((1+Inputs!$D$7)^CN$2))),((Inputs!$D$8^((1-_xlfn.WEIBULL.DIST(CN$2,$M26,$L26,FALSE))/_xlfn.WEIBULL.DIST(CN$2,$M26,$L26,FALSE))*($T26*(1-$F26)+$S26*(1-$G26))*((1+Inputs!$D$7)^CN$2))))))))</f>
        <v>50.557875583175559</v>
      </c>
      <c r="CO26" s="88">
        <f>MAX(AY26,($E26*IF(CO$2&gt;Inputs!$D$5,0,IF(CO$2&gt;VLOOKUP($H26,Lists!$P$3:$Q$7,2),IF($N26=Lists!$K$3,IF($L26&lt;1,(($U26/$L26)*((1+Inputs!$D$7)^CO$2)),((INT(CO$2/$L26)-INT((CO$2-1)/$L26))*$U26*((1+Inputs!$D$7)^CO$2))),(Inputs!$D$8^((1-_xlfn.WEIBULL.DIST(CO$2,$M26,$L26,FALSE))/_xlfn.WEIBULL.DIST(CO$2,$M26,$L26,FALSE))*$U26*((1+Inputs!$D$7)^CO$2))),IF($N26=Lists!$K$3,IF($L26&lt;1,((($T26*(1-$F26)+$S26*(1-$G26))/$L26)*((1+Inputs!$D$7)^CO$2)),((INT(CO$2/$L26)-INT((CO$2-1)/$L26))*($T26*(1-$F26)+$S26*(1-$G26))*((1+Inputs!$D$7)^CO$2))),((Inputs!$D$8^((1-_xlfn.WEIBULL.DIST(CO$2,$M26,$L26,FALSE))/_xlfn.WEIBULL.DIST(CO$2,$M26,$L26,FALSE))*($T26*(1-$F26)+$S26*(1-$G26))*((1+Inputs!$D$7)^CO$2))))))))</f>
        <v>48.44726243879424</v>
      </c>
      <c r="CP26" s="88">
        <f>MAX(AZ26,($E26*IF(CP$2&gt;Inputs!$D$5,0,IF(CP$2&gt;VLOOKUP($H26,Lists!$P$3:$Q$7,2),IF($N26=Lists!$K$3,IF($L26&lt;1,(($U26/$L26)*((1+Inputs!$D$7)^CP$2)),((INT(CP$2/$L26)-INT((CP$2-1)/$L26))*$U26*((1+Inputs!$D$7)^CP$2))),(Inputs!$D$8^((1-_xlfn.WEIBULL.DIST(CP$2,$M26,$L26,FALSE))/_xlfn.WEIBULL.DIST(CP$2,$M26,$L26,FALSE))*$U26*((1+Inputs!$D$7)^CP$2))),IF($N26=Lists!$K$3,IF($L26&lt;1,((($T26*(1-$F26)+$S26*(1-$G26))/$L26)*((1+Inputs!$D$7)^CP$2)),((INT(CP$2/$L26)-INT((CP$2-1)/$L26))*($T26*(1-$F26)+$S26*(1-$G26))*((1+Inputs!$D$7)^CP$2))),((Inputs!$D$8^((1-_xlfn.WEIBULL.DIST(CP$2,$M26,$L26,FALSE))/_xlfn.WEIBULL.DIST(CP$2,$M26,$L26,FALSE))*($T26*(1-$F26)+$S26*(1-$G26))*((1+Inputs!$D$7)^CP$2))))))))</f>
        <v>0</v>
      </c>
      <c r="CQ26" s="88">
        <f>MAX(BA26,($E26*IF(CQ$2&gt;Inputs!$D$5,0,IF(CQ$2&gt;VLOOKUP($H26,Lists!$P$3:$Q$7,2),IF($N26=Lists!$K$3,IF($L26&lt;1,(($U26/$L26)*((1+Inputs!$D$7)^CQ$2)),((INT(CQ$2/$L26)-INT((CQ$2-1)/$L26))*$U26*((1+Inputs!$D$7)^CQ$2))),(Inputs!$D$8^((1-_xlfn.WEIBULL.DIST(CQ$2,$M26,$L26,FALSE))/_xlfn.WEIBULL.DIST(CQ$2,$M26,$L26,FALSE))*$U26*((1+Inputs!$D$7)^CQ$2))),IF($N26=Lists!$K$3,IF($L26&lt;1,((($T26*(1-$F26)+$S26*(1-$G26))/$L26)*((1+Inputs!$D$7)^CQ$2)),((INT(CQ$2/$L26)-INT((CQ$2-1)/$L26))*($T26*(1-$F26)+$S26*(1-$G26))*((1+Inputs!$D$7)^CQ$2))),((Inputs!$D$8^((1-_xlfn.WEIBULL.DIST(CQ$2,$M26,$L26,FALSE))/_xlfn.WEIBULL.DIST(CQ$2,$M26,$L26,FALSE))*($T26*(1-$F26)+$S26*(1-$G26))*((1+Inputs!$D$7)^CQ$2))))))))</f>
        <v>0</v>
      </c>
      <c r="CR26" s="88">
        <f>MAX(BB26,($E26*IF(CR$2&gt;Inputs!$D$5,0,IF(CR$2&gt;VLOOKUP($H26,Lists!$P$3:$Q$7,2),IF($N26=Lists!$K$3,IF($L26&lt;1,(($U26/$L26)*((1+Inputs!$D$7)^CR$2)),((INT(CR$2/$L26)-INT((CR$2-1)/$L26))*$U26*((1+Inputs!$D$7)^CR$2))),(Inputs!$D$8^((1-_xlfn.WEIBULL.DIST(CR$2,$M26,$L26,FALSE))/_xlfn.WEIBULL.DIST(CR$2,$M26,$L26,FALSE))*$U26*((1+Inputs!$D$7)^CR$2))),IF($N26=Lists!$K$3,IF($L26&lt;1,((($T26*(1-$F26)+$S26*(1-$G26))/$L26)*((1+Inputs!$D$7)^CR$2)),((INT(CR$2/$L26)-INT((CR$2-1)/$L26))*($T26*(1-$F26)+$S26*(1-$G26))*((1+Inputs!$D$7)^CR$2))),((Inputs!$D$8^((1-_xlfn.WEIBULL.DIST(CR$2,$M26,$L26,FALSE))/_xlfn.WEIBULL.DIST(CR$2,$M26,$L26,FALSE))*($T26*(1-$F26)+$S26*(1-$G26))*((1+Inputs!$D$7)^CR$2))))))))</f>
        <v>0</v>
      </c>
      <c r="CS26" s="88">
        <f>MAX(BC26,($E26*IF(CS$2&gt;Inputs!$D$5,0,IF(CS$2&gt;VLOOKUP($H26,Lists!$P$3:$Q$7,2),IF($N26=Lists!$K$3,IF($L26&lt;1,(($U26/$L26)*((1+Inputs!$D$7)^CS$2)),((INT(CS$2/$L26)-INT((CS$2-1)/$L26))*$U26*((1+Inputs!$D$7)^CS$2))),(Inputs!$D$8^((1-_xlfn.WEIBULL.DIST(CS$2,$M26,$L26,FALSE))/_xlfn.WEIBULL.DIST(CS$2,$M26,$L26,FALSE))*$U26*((1+Inputs!$D$7)^CS$2))),IF($N26=Lists!$K$3,IF($L26&lt;1,((($T26*(1-$F26)+$S26*(1-$G26))/$L26)*((1+Inputs!$D$7)^CS$2)),((INT(CS$2/$L26)-INT((CS$2-1)/$L26))*($T26*(1-$F26)+$S26*(1-$G26))*((1+Inputs!$D$7)^CS$2))),((Inputs!$D$8^((1-_xlfn.WEIBULL.DIST(CS$2,$M26,$L26,FALSE))/_xlfn.WEIBULL.DIST(CS$2,$M26,$L26,FALSE))*($T26*(1-$F26)+$S26*(1-$G26))*((1+Inputs!$D$7)^CS$2))))))))</f>
        <v>0</v>
      </c>
      <c r="CT26" s="88">
        <f>MAX(BD26,($E26*IF(CT$2&gt;Inputs!$D$5,0,IF(CT$2&gt;VLOOKUP($H26,Lists!$P$3:$Q$7,2),IF($N26=Lists!$K$3,IF($L26&lt;1,(($U26/$L26)*((1+Inputs!$D$7)^CT$2)),((INT(CT$2/$L26)-INT((CT$2-1)/$L26))*$U26*((1+Inputs!$D$7)^CT$2))),(Inputs!$D$8^((1-_xlfn.WEIBULL.DIST(CT$2,$M26,$L26,FALSE))/_xlfn.WEIBULL.DIST(CT$2,$M26,$L26,FALSE))*$U26*((1+Inputs!$D$7)^CT$2))),IF($N26=Lists!$K$3,IF($L26&lt;1,((($T26*(1-$F26)+$S26*(1-$G26))/$L26)*((1+Inputs!$D$7)^CT$2)),((INT(CT$2/$L26)-INT((CT$2-1)/$L26))*($T26*(1-$F26)+$S26*(1-$G26))*((1+Inputs!$D$7)^CT$2))),((Inputs!$D$8^((1-_xlfn.WEIBULL.DIST(CT$2,$M26,$L26,FALSE))/_xlfn.WEIBULL.DIST(CT$2,$M26,$L26,FALSE))*($T26*(1-$F26)+$S26*(1-$G26))*((1+Inputs!$D$7)^CT$2))))))))</f>
        <v>0</v>
      </c>
      <c r="CU26" s="88">
        <f>MAX(BE26,($E26*IF(CU$2&gt;Inputs!$D$5,0,IF(CU$2&gt;VLOOKUP($H26,Lists!$P$3:$Q$7,2),IF($N26=Lists!$K$3,IF($L26&lt;1,(($U26/$L26)*((1+Inputs!$D$7)^CU$2)),((INT(CU$2/$L26)-INT((CU$2-1)/$L26))*$U26*((1+Inputs!$D$7)^CU$2))),(Inputs!$D$8^((1-_xlfn.WEIBULL.DIST(CU$2,$M26,$L26,FALSE))/_xlfn.WEIBULL.DIST(CU$2,$M26,$L26,FALSE))*$U26*((1+Inputs!$D$7)^CU$2))),IF($N26=Lists!$K$3,IF($L26&lt;1,((($T26*(1-$F26)+$S26*(1-$G26))/$L26)*((1+Inputs!$D$7)^CU$2)),((INT(CU$2/$L26)-INT((CU$2-1)/$L26))*($T26*(1-$F26)+$S26*(1-$G26))*((1+Inputs!$D$7)^CU$2))),((Inputs!$D$8^((1-_xlfn.WEIBULL.DIST(CU$2,$M26,$L26,FALSE))/_xlfn.WEIBULL.DIST(CU$2,$M26,$L26,FALSE))*($T26*(1-$F26)+$S26*(1-$G26))*((1+Inputs!$D$7)^CU$2))))))))</f>
        <v>0</v>
      </c>
      <c r="CV26" s="88">
        <f>MAX(BF26,($E26*IF(CV$2&gt;Inputs!$D$5,0,IF(CV$2&gt;VLOOKUP($H26,Lists!$P$3:$Q$7,2),IF($N26=Lists!$K$3,IF($L26&lt;1,(($U26/$L26)*((1+Inputs!$D$7)^CV$2)),((INT(CV$2/$L26)-INT((CV$2-1)/$L26))*$U26*((1+Inputs!$D$7)^CV$2))),(Inputs!$D$8^((1-_xlfn.WEIBULL.DIST(CV$2,$M26,$L26,FALSE))/_xlfn.WEIBULL.DIST(CV$2,$M26,$L26,FALSE))*$U26*((1+Inputs!$D$7)^CV$2))),IF($N26=Lists!$K$3,IF($L26&lt;1,((($T26*(1-$F26)+$S26*(1-$G26))/$L26)*((1+Inputs!$D$7)^CV$2)),((INT(CV$2/$L26)-INT((CV$2-1)/$L26))*($T26*(1-$F26)+$S26*(1-$G26))*((1+Inputs!$D$7)^CV$2))),((Inputs!$D$8^((1-_xlfn.WEIBULL.DIST(CV$2,$M26,$L26,FALSE))/_xlfn.WEIBULL.DIST(CV$2,$M26,$L26,FALSE))*($T26*(1-$F26)+$S26*(1-$G26))*((1+Inputs!$D$7)^CV$2))))))))</f>
        <v>0</v>
      </c>
      <c r="CW26" s="88">
        <f>MAX(BG26,($E26*IF(CW$2&gt;Inputs!$D$5,0,IF(CW$2&gt;VLOOKUP($H26,Lists!$P$3:$Q$7,2),IF($N26=Lists!$K$3,IF($L26&lt;1,(($U26/$L26)*((1+Inputs!$D$7)^CW$2)),((INT(CW$2/$L26)-INT((CW$2-1)/$L26))*$U26*((1+Inputs!$D$7)^CW$2))),(Inputs!$D$8^((1-_xlfn.WEIBULL.DIST(CW$2,$M26,$L26,FALSE))/_xlfn.WEIBULL.DIST(CW$2,$M26,$L26,FALSE))*$U26*((1+Inputs!$D$7)^CW$2))),IF($N26=Lists!$K$3,IF($L26&lt;1,((($T26*(1-$F26)+$S26*(1-$G26))/$L26)*((1+Inputs!$D$7)^CW$2)),((INT(CW$2/$L26)-INT((CW$2-1)/$L26))*($T26*(1-$F26)+$S26*(1-$G26))*((1+Inputs!$D$7)^CW$2))),((Inputs!$D$8^((1-_xlfn.WEIBULL.DIST(CW$2,$M26,$L26,FALSE))/_xlfn.WEIBULL.DIST(CW$2,$M26,$L26,FALSE))*($T26*(1-$F26)+$S26*(1-$G26))*((1+Inputs!$D$7)^CW$2))))))))</f>
        <v>0</v>
      </c>
      <c r="CX26" s="88">
        <f>MAX(BH26,($E26*IF(CX$2&gt;Inputs!$D$5,0,IF(CX$2&gt;VLOOKUP($H26,Lists!$P$3:$Q$7,2),IF($N26=Lists!$K$3,IF($L26&lt;1,(($U26/$L26)*((1+Inputs!$D$7)^CX$2)),((INT(CX$2/$L26)-INT((CX$2-1)/$L26))*$U26*((1+Inputs!$D$7)^CX$2))),(Inputs!$D$8^((1-_xlfn.WEIBULL.DIST(CX$2,$M26,$L26,FALSE))/_xlfn.WEIBULL.DIST(CX$2,$M26,$L26,FALSE))*$U26*((1+Inputs!$D$7)^CX$2))),IF($N26=Lists!$K$3,IF($L26&lt;1,((($T26*(1-$F26)+$S26*(1-$G26))/$L26)*((1+Inputs!$D$7)^CX$2)),((INT(CX$2/$L26)-INT((CX$2-1)/$L26))*($T26*(1-$F26)+$S26*(1-$G26))*((1+Inputs!$D$7)^CX$2))),((Inputs!$D$8^((1-_xlfn.WEIBULL.DIST(CX$2,$M26,$L26,FALSE))/_xlfn.WEIBULL.DIST(CX$2,$M26,$L26,FALSE))*($T26*(1-$F26)+$S26*(1-$G26))*((1+Inputs!$D$7)^CX$2))))))))</f>
        <v>0</v>
      </c>
      <c r="CY26" s="88">
        <f>MAX(BI26,($E26*IF(CY$2&gt;Inputs!$D$5,0,IF(CY$2&gt;VLOOKUP($H26,Lists!$P$3:$Q$7,2),IF($N26=Lists!$K$3,IF($L26&lt;1,(($U26/$L26)*((1+Inputs!$D$7)^CY$2)),((INT(CY$2/$L26)-INT((CY$2-1)/$L26))*$U26*((1+Inputs!$D$7)^CY$2))),(Inputs!$D$8^((1-_xlfn.WEIBULL.DIST(CY$2,$M26,$L26,FALSE))/_xlfn.WEIBULL.DIST(CY$2,$M26,$L26,FALSE))*$U26*((1+Inputs!$D$7)^CY$2))),IF($N26=Lists!$K$3,IF($L26&lt;1,((($T26*(1-$F26)+$S26*(1-$G26))/$L26)*((1+Inputs!$D$7)^CY$2)),((INT(CY$2/$L26)-INT((CY$2-1)/$L26))*($T26*(1-$F26)+$S26*(1-$G26))*((1+Inputs!$D$7)^CY$2))),((Inputs!$D$8^((1-_xlfn.WEIBULL.DIST(CY$2,$M26,$L26,FALSE))/_xlfn.WEIBULL.DIST(CY$2,$M26,$L26,FALSE))*($T26*(1-$F26)+$S26*(1-$G26))*((1+Inputs!$D$7)^CY$2))))))))</f>
        <v>0</v>
      </c>
      <c r="CZ26" s="88">
        <f>MAX(BJ26,($E26*IF(CZ$2&gt;Inputs!$D$5,0,IF(CZ$2&gt;VLOOKUP($H26,Lists!$P$3:$Q$7,2),IF($N26=Lists!$K$3,IF($L26&lt;1,(($U26/$L26)*((1+Inputs!$D$7)^CZ$2)),((INT(CZ$2/$L26)-INT((CZ$2-1)/$L26))*$U26*((1+Inputs!$D$7)^CZ$2))),(Inputs!$D$8^((1-_xlfn.WEIBULL.DIST(CZ$2,$M26,$L26,FALSE))/_xlfn.WEIBULL.DIST(CZ$2,$M26,$L26,FALSE))*$U26*((1+Inputs!$D$7)^CZ$2))),IF($N26=Lists!$K$3,IF($L26&lt;1,((($T26*(1-$F26)+$S26*(1-$G26))/$L26)*((1+Inputs!$D$7)^CZ$2)),((INT(CZ$2/$L26)-INT((CZ$2-1)/$L26))*($T26*(1-$F26)+$S26*(1-$G26))*((1+Inputs!$D$7)^CZ$2))),((Inputs!$D$8^((1-_xlfn.WEIBULL.DIST(CZ$2,$M26,$L26,FALSE))/_xlfn.WEIBULL.DIST(CZ$2,$M26,$L26,FALSE))*($T26*(1-$F26)+$S26*(1-$G26))*((1+Inputs!$D$7)^CZ$2))))))))</f>
        <v>0</v>
      </c>
      <c r="DA26" s="88">
        <f>MAX(BK26,($E26*IF(DA$2&gt;Inputs!$D$5,0,IF(DA$2&gt;VLOOKUP($H26,Lists!$P$3:$Q$7,2),IF($N26=Lists!$K$3,IF($L26&lt;1,(($U26/$L26)*((1+Inputs!$D$7)^DA$2)),((INT(DA$2/$L26)-INT((DA$2-1)/$L26))*$U26*((1+Inputs!$D$7)^DA$2))),(Inputs!$D$8^((1-_xlfn.WEIBULL.DIST(DA$2,$M26,$L26,FALSE))/_xlfn.WEIBULL.DIST(DA$2,$M26,$L26,FALSE))*$U26*((1+Inputs!$D$7)^DA$2))),IF($N26=Lists!$K$3,IF($L26&lt;1,((($T26*(1-$F26)+$S26*(1-$G26))/$L26)*((1+Inputs!$D$7)^DA$2)),((INT(DA$2/$L26)-INT((DA$2-1)/$L26))*($T26*(1-$F26)+$S26*(1-$G26))*((1+Inputs!$D$7)^DA$2))),((Inputs!$D$8^((1-_xlfn.WEIBULL.DIST(DA$2,$M26,$L26,FALSE))/_xlfn.WEIBULL.DIST(DA$2,$M26,$L26,FALSE))*($T26*(1-$F26)+$S26*(1-$G26))*((1+Inputs!$D$7)^DA$2))))))))</f>
        <v>0</v>
      </c>
      <c r="DB26" s="88">
        <f>MAX(BL26,($E26*IF(DB$2&gt;Inputs!$D$5,0,IF(DB$2&gt;VLOOKUP($H26,Lists!$P$3:$Q$7,2),IF($N26=Lists!$K$3,IF($L26&lt;1,(($U26/$L26)*((1+Inputs!$D$7)^DB$2)),((INT(DB$2/$L26)-INT((DB$2-1)/$L26))*$U26*((1+Inputs!$D$7)^DB$2))),(Inputs!$D$8^((1-_xlfn.WEIBULL.DIST(DB$2,$M26,$L26,FALSE))/_xlfn.WEIBULL.DIST(DB$2,$M26,$L26,FALSE))*$U26*((1+Inputs!$D$7)^DB$2))),IF($N26=Lists!$K$3,IF($L26&lt;1,((($T26*(1-$F26)+$S26*(1-$G26))/$L26)*((1+Inputs!$D$7)^DB$2)),((INT(DB$2/$L26)-INT((DB$2-1)/$L26))*($T26*(1-$F26)+$S26*(1-$G26))*((1+Inputs!$D$7)^DB$2))),((Inputs!$D$8^((1-_xlfn.WEIBULL.DIST(DB$2,$M26,$L26,FALSE))/_xlfn.WEIBULL.DIST(DB$2,$M26,$L26,FALSE))*($T26*(1-$F26)+$S26*(1-$G26))*((1+Inputs!$D$7)^DB$2))))))))</f>
        <v>0</v>
      </c>
      <c r="DC26" s="88">
        <f>MAX(BM26,($E26*IF(DC$2&gt;Inputs!$D$5,0,IF(DC$2&gt;VLOOKUP($H26,Lists!$P$3:$Q$7,2),IF($N26=Lists!$K$3,IF($L26&lt;1,(($U26/$L26)*((1+Inputs!$D$7)^DC$2)),((INT(DC$2/$L26)-INT((DC$2-1)/$L26))*$U26*((1+Inputs!$D$7)^DC$2))),(Inputs!$D$8^((1-_xlfn.WEIBULL.DIST(DC$2,$M26,$L26,FALSE))/_xlfn.WEIBULL.DIST(DC$2,$M26,$L26,FALSE))*$U26*((1+Inputs!$D$7)^DC$2))),IF($N26=Lists!$K$3,IF($L26&lt;1,((($T26*(1-$F26)+$S26*(1-$G26))/$L26)*((1+Inputs!$D$7)^DC$2)),((INT(DC$2/$L26)-INT((DC$2-1)/$L26))*($T26*(1-$F26)+$S26*(1-$G26))*((1+Inputs!$D$7)^DC$2))),((Inputs!$D$8^((1-_xlfn.WEIBULL.DIST(DC$2,$M26,$L26,FALSE))/_xlfn.WEIBULL.DIST(DC$2,$M26,$L26,FALSE))*($T26*(1-$F26)+$S26*(1-$G26))*((1+Inputs!$D$7)^DC$2))))))))</f>
        <v>0</v>
      </c>
      <c r="DD26" s="88">
        <f>MAX(BN26,($E26*IF(DD$2&gt;Inputs!$D$5,0,IF(DD$2&gt;VLOOKUP($H26,Lists!$P$3:$Q$7,2),IF($N26=Lists!$K$3,IF($L26&lt;1,(($U26/$L26)*((1+Inputs!$D$7)^DD$2)),((INT(DD$2/$L26)-INT((DD$2-1)/$L26))*$U26*((1+Inputs!$D$7)^DD$2))),(Inputs!$D$8^((1-_xlfn.WEIBULL.DIST(DD$2,$M26,$L26,FALSE))/_xlfn.WEIBULL.DIST(DD$2,$M26,$L26,FALSE))*$U26*((1+Inputs!$D$7)^DD$2))),IF($N26=Lists!$K$3,IF($L26&lt;1,((($T26*(1-$F26)+$S26*(1-$G26))/$L26)*((1+Inputs!$D$7)^DD$2)),((INT(DD$2/$L26)-INT((DD$2-1)/$L26))*($T26*(1-$F26)+$S26*(1-$G26))*((1+Inputs!$D$7)^DD$2))),((Inputs!$D$8^((1-_xlfn.WEIBULL.DIST(DD$2,$M26,$L26,FALSE))/_xlfn.WEIBULL.DIST(DD$2,$M26,$L26,FALSE))*($T26*(1-$F26)+$S26*(1-$G26))*((1+Inputs!$D$7)^DD$2))))))))</f>
        <v>0</v>
      </c>
    </row>
    <row r="27" spans="1:108" s="1" customFormat="1" ht="32">
      <c r="A27" s="57" t="s">
        <v>322</v>
      </c>
      <c r="B27" s="13" t="s">
        <v>130</v>
      </c>
      <c r="C27" s="13" t="s">
        <v>474</v>
      </c>
      <c r="D27" s="13" t="s">
        <v>16</v>
      </c>
      <c r="E27" s="48">
        <f>IF(Inputs!$D$30=Lists!$M$4,0,1)</f>
        <v>0</v>
      </c>
      <c r="F27" s="48">
        <v>1</v>
      </c>
      <c r="G27" s="48">
        <v>1</v>
      </c>
      <c r="H27" s="105" t="s">
        <v>16</v>
      </c>
      <c r="I27" s="14" t="s">
        <v>16</v>
      </c>
      <c r="J27" s="14" t="s">
        <v>91</v>
      </c>
      <c r="K27" s="13">
        <f>VLOOKUP(J27,'Labor Rates'!$A$1:$F$16,2)</f>
        <v>33.17307692307692</v>
      </c>
      <c r="L27" s="15">
        <v>25</v>
      </c>
      <c r="M27" s="15">
        <v>2</v>
      </c>
      <c r="N27" s="16" t="s">
        <v>226</v>
      </c>
      <c r="O27" s="61">
        <f>Inputs!$D$32</f>
        <v>10</v>
      </c>
      <c r="P27" s="15">
        <f>0.5+Inputs!D33*0.25</f>
        <v>250.5</v>
      </c>
      <c r="Q27" s="15">
        <f t="shared" si="0"/>
        <v>100.2</v>
      </c>
      <c r="R27" s="4">
        <f>Inputs!D33*1000*Inputs!$D$31</f>
        <v>190000</v>
      </c>
      <c r="S27" s="53">
        <f t="shared" si="1"/>
        <v>83098.557692307688</v>
      </c>
      <c r="T27" s="53">
        <f t="shared" si="2"/>
        <v>1900000</v>
      </c>
      <c r="U27" s="54">
        <f t="shared" si="3"/>
        <v>0</v>
      </c>
      <c r="V27" s="65" t="s">
        <v>428</v>
      </c>
      <c r="W27" s="58"/>
      <c r="X27" s="64">
        <f t="shared" si="4"/>
        <v>0</v>
      </c>
      <c r="Y27" s="64">
        <f>NPV(Inputs!$D$6,AA27:BN27)</f>
        <v>0</v>
      </c>
      <c r="Z27" s="67">
        <f t="shared" si="5"/>
        <v>0</v>
      </c>
      <c r="AA27" s="88">
        <f>$E27*IF(AA$2&gt;Inputs!$D$5,0,IF(AA$2&gt;VLOOKUP($H27,Lists!$P$3:$Q$7,2),IF($N27=Lists!$K$3,IF($L27&lt;1,(($U27/$L27)*((1+Inputs!$D$7)^AA$2)),((INT(AA$2/$L27)-INT((AA$2-1)/$L27))*$U27*((1+Inputs!$D$7)^AA$2))),(_xlfn.WEIBULL.DIST(AA$2,$M27,$L27,FALSE)*$U27*((1+Inputs!$D$7)^AA$2))),IF($N27=Lists!$K$3,IF($L27&lt;1,((($T27*(1-$F27)+$S27*(1-$G27))/$L27)*((1+Inputs!$D$7)^AA$2)),((INT(AA$2/$L27)-INT((AA$2-1)/$L27))*($T27*(1-$F27)+$S27*(1-$G27))*((1+Inputs!$D$7)^AA$2))),((_xlfn.WEIBULL.DIST(AA$2,$M27,$L27,FALSE)*($T27*(1-$F27)+$S27*(1-$G27))*((1+Inputs!$D$7)^AA$2))))))</f>
        <v>0</v>
      </c>
      <c r="AB27" s="88">
        <f>$E27*IF(AB$2&gt;Inputs!$D$5,0,IF(AB$2&gt;VLOOKUP($H27,Lists!$P$3:$Q$7,2),IF($N27=Lists!$K$3,IF($L27&lt;1,(($U27/$L27)*((1+Inputs!$D$7)^AB$2)),((INT(AB$2/$L27)-INT((AB$2-1)/$L27))*$U27*((1+Inputs!$D$7)^AB$2))),(_xlfn.WEIBULL.DIST(AB$2,$M27,$L27,FALSE)*$U27*((1+Inputs!$D$7)^AB$2))),IF($N27=Lists!$K$3,IF($L27&lt;1,((($T27*(1-$F27)+$S27*(1-$G27))/$L27)*((1+Inputs!$D$7)^AB$2)),((INT(AB$2/$L27)-INT((AB$2-1)/$L27))*($T27*(1-$F27)+$S27*(1-$G27))*((1+Inputs!$D$7)^AB$2))),((_xlfn.WEIBULL.DIST(AB$2,$M27,$L27,FALSE)*($T27*(1-$F27)+$S27*(1-$G27))*((1+Inputs!$D$7)^AB$2))))))</f>
        <v>0</v>
      </c>
      <c r="AC27" s="88">
        <f>$E27*IF(AC$2&gt;Inputs!$D$5,0,IF(AC$2&gt;VLOOKUP($H27,Lists!$P$3:$Q$7,2),IF($N27=Lists!$K$3,IF($L27&lt;1,(($U27/$L27)*((1+Inputs!$D$7)^AC$2)),((INT(AC$2/$L27)-INT((AC$2-1)/$L27))*$U27*((1+Inputs!$D$7)^AC$2))),(_xlfn.WEIBULL.DIST(AC$2,$M27,$L27,FALSE)*$U27*((1+Inputs!$D$7)^AC$2))),IF($N27=Lists!$K$3,IF($L27&lt;1,((($T27*(1-$F27)+$S27*(1-$G27))/$L27)*((1+Inputs!$D$7)^AC$2)),((INT(AC$2/$L27)-INT((AC$2-1)/$L27))*($T27*(1-$F27)+$S27*(1-$G27))*((1+Inputs!$D$7)^AC$2))),((_xlfn.WEIBULL.DIST(AC$2,$M27,$L27,FALSE)*($T27*(1-$F27)+$S27*(1-$G27))*((1+Inputs!$D$7)^AC$2))))))</f>
        <v>0</v>
      </c>
      <c r="AD27" s="88">
        <f>$E27*IF(AD$2&gt;Inputs!$D$5,0,IF(AD$2&gt;VLOOKUP($H27,Lists!$P$3:$Q$7,2),IF($N27=Lists!$K$3,IF($L27&lt;1,(($U27/$L27)*((1+Inputs!$D$7)^AD$2)),((INT(AD$2/$L27)-INT((AD$2-1)/$L27))*$U27*((1+Inputs!$D$7)^AD$2))),(_xlfn.WEIBULL.DIST(AD$2,$M27,$L27,FALSE)*$U27*((1+Inputs!$D$7)^AD$2))),IF($N27=Lists!$K$3,IF($L27&lt;1,((($T27*(1-$F27)+$S27*(1-$G27))/$L27)*((1+Inputs!$D$7)^AD$2)),((INT(AD$2/$L27)-INT((AD$2-1)/$L27))*($T27*(1-$F27)+$S27*(1-$G27))*((1+Inputs!$D$7)^AD$2))),((_xlfn.WEIBULL.DIST(AD$2,$M27,$L27,FALSE)*($T27*(1-$F27)+$S27*(1-$G27))*((1+Inputs!$D$7)^AD$2))))))</f>
        <v>0</v>
      </c>
      <c r="AE27" s="88">
        <f>$E27*IF(AE$2&gt;Inputs!$D$5,0,IF(AE$2&gt;VLOOKUP($H27,Lists!$P$3:$Q$7,2),IF($N27=Lists!$K$3,IF($L27&lt;1,(($U27/$L27)*((1+Inputs!$D$7)^AE$2)),((INT(AE$2/$L27)-INT((AE$2-1)/$L27))*$U27*((1+Inputs!$D$7)^AE$2))),(_xlfn.WEIBULL.DIST(AE$2,$M27,$L27,FALSE)*$U27*((1+Inputs!$D$7)^AE$2))),IF($N27=Lists!$K$3,IF($L27&lt;1,((($T27*(1-$F27)+$S27*(1-$G27))/$L27)*((1+Inputs!$D$7)^AE$2)),((INT(AE$2/$L27)-INT((AE$2-1)/$L27))*($T27*(1-$F27)+$S27*(1-$G27))*((1+Inputs!$D$7)^AE$2))),((_xlfn.WEIBULL.DIST(AE$2,$M27,$L27,FALSE)*($T27*(1-$F27)+$S27*(1-$G27))*((1+Inputs!$D$7)^AE$2))))))</f>
        <v>0</v>
      </c>
      <c r="AF27" s="88">
        <f>$E27*IF(AF$2&gt;Inputs!$D$5,0,IF(AF$2&gt;VLOOKUP($H27,Lists!$P$3:$Q$7,2),IF($N27=Lists!$K$3,IF($L27&lt;1,(($U27/$L27)*((1+Inputs!$D$7)^AF$2)),((INT(AF$2/$L27)-INT((AF$2-1)/$L27))*$U27*((1+Inputs!$D$7)^AF$2))),(_xlfn.WEIBULL.DIST(AF$2,$M27,$L27,FALSE)*$U27*((1+Inputs!$D$7)^AF$2))),IF($N27=Lists!$K$3,IF($L27&lt;1,((($T27*(1-$F27)+$S27*(1-$G27))/$L27)*((1+Inputs!$D$7)^AF$2)),((INT(AF$2/$L27)-INT((AF$2-1)/$L27))*($T27*(1-$F27)+$S27*(1-$G27))*((1+Inputs!$D$7)^AF$2))),((_xlfn.WEIBULL.DIST(AF$2,$M27,$L27,FALSE)*($T27*(1-$F27)+$S27*(1-$G27))*((1+Inputs!$D$7)^AF$2))))))</f>
        <v>0</v>
      </c>
      <c r="AG27" s="88">
        <f>$E27*IF(AG$2&gt;Inputs!$D$5,0,IF(AG$2&gt;VLOOKUP($H27,Lists!$P$3:$Q$7,2),IF($N27=Lists!$K$3,IF($L27&lt;1,(($U27/$L27)*((1+Inputs!$D$7)^AG$2)),((INT(AG$2/$L27)-INT((AG$2-1)/$L27))*$U27*((1+Inputs!$D$7)^AG$2))),(_xlfn.WEIBULL.DIST(AG$2,$M27,$L27,FALSE)*$U27*((1+Inputs!$D$7)^AG$2))),IF($N27=Lists!$K$3,IF($L27&lt;1,((($T27*(1-$F27)+$S27*(1-$G27))/$L27)*((1+Inputs!$D$7)^AG$2)),((INT(AG$2/$L27)-INT((AG$2-1)/$L27))*($T27*(1-$F27)+$S27*(1-$G27))*((1+Inputs!$D$7)^AG$2))),((_xlfn.WEIBULL.DIST(AG$2,$M27,$L27,FALSE)*($T27*(1-$F27)+$S27*(1-$G27))*((1+Inputs!$D$7)^AG$2))))))</f>
        <v>0</v>
      </c>
      <c r="AH27" s="88">
        <f>$E27*IF(AH$2&gt;Inputs!$D$5,0,IF(AH$2&gt;VLOOKUP($H27,Lists!$P$3:$Q$7,2),IF($N27=Lists!$K$3,IF($L27&lt;1,(($U27/$L27)*((1+Inputs!$D$7)^AH$2)),((INT(AH$2/$L27)-INT((AH$2-1)/$L27))*$U27*((1+Inputs!$D$7)^AH$2))),(_xlfn.WEIBULL.DIST(AH$2,$M27,$L27,FALSE)*$U27*((1+Inputs!$D$7)^AH$2))),IF($N27=Lists!$K$3,IF($L27&lt;1,((($T27*(1-$F27)+$S27*(1-$G27))/$L27)*((1+Inputs!$D$7)^AH$2)),((INT(AH$2/$L27)-INT((AH$2-1)/$L27))*($T27*(1-$F27)+$S27*(1-$G27))*((1+Inputs!$D$7)^AH$2))),((_xlfn.WEIBULL.DIST(AH$2,$M27,$L27,FALSE)*($T27*(1-$F27)+$S27*(1-$G27))*((1+Inputs!$D$7)^AH$2))))))</f>
        <v>0</v>
      </c>
      <c r="AI27" s="88">
        <f>$E27*IF(AI$2&gt;Inputs!$D$5,0,IF(AI$2&gt;VLOOKUP($H27,Lists!$P$3:$Q$7,2),IF($N27=Lists!$K$3,IF($L27&lt;1,(($U27/$L27)*((1+Inputs!$D$7)^AI$2)),((INT(AI$2/$L27)-INT((AI$2-1)/$L27))*$U27*((1+Inputs!$D$7)^AI$2))),(_xlfn.WEIBULL.DIST(AI$2,$M27,$L27,FALSE)*$U27*((1+Inputs!$D$7)^AI$2))),IF($N27=Lists!$K$3,IF($L27&lt;1,((($T27*(1-$F27)+$S27*(1-$G27))/$L27)*((1+Inputs!$D$7)^AI$2)),((INT(AI$2/$L27)-INT((AI$2-1)/$L27))*($T27*(1-$F27)+$S27*(1-$G27))*((1+Inputs!$D$7)^AI$2))),((_xlfn.WEIBULL.DIST(AI$2,$M27,$L27,FALSE)*($T27*(1-$F27)+$S27*(1-$G27))*((1+Inputs!$D$7)^AI$2))))))</f>
        <v>0</v>
      </c>
      <c r="AJ27" s="88">
        <f>$E27*IF(AJ$2&gt;Inputs!$D$5,0,IF(AJ$2&gt;VLOOKUP($H27,Lists!$P$3:$Q$7,2),IF($N27=Lists!$K$3,IF($L27&lt;1,(($U27/$L27)*((1+Inputs!$D$7)^AJ$2)),((INT(AJ$2/$L27)-INT((AJ$2-1)/$L27))*$U27*((1+Inputs!$D$7)^AJ$2))),(_xlfn.WEIBULL.DIST(AJ$2,$M27,$L27,FALSE)*$U27*((1+Inputs!$D$7)^AJ$2))),IF($N27=Lists!$K$3,IF($L27&lt;1,((($T27*(1-$F27)+$S27*(1-$G27))/$L27)*((1+Inputs!$D$7)^AJ$2)),((INT(AJ$2/$L27)-INT((AJ$2-1)/$L27))*($T27*(1-$F27)+$S27*(1-$G27))*((1+Inputs!$D$7)^AJ$2))),((_xlfn.WEIBULL.DIST(AJ$2,$M27,$L27,FALSE)*($T27*(1-$F27)+$S27*(1-$G27))*((1+Inputs!$D$7)^AJ$2))))))</f>
        <v>0</v>
      </c>
      <c r="AK27" s="88">
        <f>$E27*IF(AK$2&gt;Inputs!$D$5,0,IF(AK$2&gt;VLOOKUP($H27,Lists!$P$3:$Q$7,2),IF($N27=Lists!$K$3,IF($L27&lt;1,(($U27/$L27)*((1+Inputs!$D$7)^AK$2)),((INT(AK$2/$L27)-INT((AK$2-1)/$L27))*$U27*((1+Inputs!$D$7)^AK$2))),(_xlfn.WEIBULL.DIST(AK$2,$M27,$L27,FALSE)*$U27*((1+Inputs!$D$7)^AK$2))),IF($N27=Lists!$K$3,IF($L27&lt;1,((($T27*(1-$F27)+$S27*(1-$G27))/$L27)*((1+Inputs!$D$7)^AK$2)),((INT(AK$2/$L27)-INT((AK$2-1)/$L27))*($T27*(1-$F27)+$S27*(1-$G27))*((1+Inputs!$D$7)^AK$2))),((_xlfn.WEIBULL.DIST(AK$2,$M27,$L27,FALSE)*($T27*(1-$F27)+$S27*(1-$G27))*((1+Inputs!$D$7)^AK$2))))))</f>
        <v>0</v>
      </c>
      <c r="AL27" s="88">
        <f>$E27*IF(AL$2&gt;Inputs!$D$5,0,IF(AL$2&gt;VLOOKUP($H27,Lists!$P$3:$Q$7,2),IF($N27=Lists!$K$3,IF($L27&lt;1,(($U27/$L27)*((1+Inputs!$D$7)^AL$2)),((INT(AL$2/$L27)-INT((AL$2-1)/$L27))*$U27*((1+Inputs!$D$7)^AL$2))),(_xlfn.WEIBULL.DIST(AL$2,$M27,$L27,FALSE)*$U27*((1+Inputs!$D$7)^AL$2))),IF($N27=Lists!$K$3,IF($L27&lt;1,((($T27*(1-$F27)+$S27*(1-$G27))/$L27)*((1+Inputs!$D$7)^AL$2)),((INT(AL$2/$L27)-INT((AL$2-1)/$L27))*($T27*(1-$F27)+$S27*(1-$G27))*((1+Inputs!$D$7)^AL$2))),((_xlfn.WEIBULL.DIST(AL$2,$M27,$L27,FALSE)*($T27*(1-$F27)+$S27*(1-$G27))*((1+Inputs!$D$7)^AL$2))))))</f>
        <v>0</v>
      </c>
      <c r="AM27" s="88">
        <f>$E27*IF(AM$2&gt;Inputs!$D$5,0,IF(AM$2&gt;VLOOKUP($H27,Lists!$P$3:$Q$7,2),IF($N27=Lists!$K$3,IF($L27&lt;1,(($U27/$L27)*((1+Inputs!$D$7)^AM$2)),((INT(AM$2/$L27)-INT((AM$2-1)/$L27))*$U27*((1+Inputs!$D$7)^AM$2))),(_xlfn.WEIBULL.DIST(AM$2,$M27,$L27,FALSE)*$U27*((1+Inputs!$D$7)^AM$2))),IF($N27=Lists!$K$3,IF($L27&lt;1,((($T27*(1-$F27)+$S27*(1-$G27))/$L27)*((1+Inputs!$D$7)^AM$2)),((INT(AM$2/$L27)-INT((AM$2-1)/$L27))*($T27*(1-$F27)+$S27*(1-$G27))*((1+Inputs!$D$7)^AM$2))),((_xlfn.WEIBULL.DIST(AM$2,$M27,$L27,FALSE)*($T27*(1-$F27)+$S27*(1-$G27))*((1+Inputs!$D$7)^AM$2))))))</f>
        <v>0</v>
      </c>
      <c r="AN27" s="88">
        <f>$E27*IF(AN$2&gt;Inputs!$D$5,0,IF(AN$2&gt;VLOOKUP($H27,Lists!$P$3:$Q$7,2),IF($N27=Lists!$K$3,IF($L27&lt;1,(($U27/$L27)*((1+Inputs!$D$7)^AN$2)),((INT(AN$2/$L27)-INT((AN$2-1)/$L27))*$U27*((1+Inputs!$D$7)^AN$2))),(_xlfn.WEIBULL.DIST(AN$2,$M27,$L27,FALSE)*$U27*((1+Inputs!$D$7)^AN$2))),IF($N27=Lists!$K$3,IF($L27&lt;1,((($T27*(1-$F27)+$S27*(1-$G27))/$L27)*((1+Inputs!$D$7)^AN$2)),((INT(AN$2/$L27)-INT((AN$2-1)/$L27))*($T27*(1-$F27)+$S27*(1-$G27))*((1+Inputs!$D$7)^AN$2))),((_xlfn.WEIBULL.DIST(AN$2,$M27,$L27,FALSE)*($T27*(1-$F27)+$S27*(1-$G27))*((1+Inputs!$D$7)^AN$2))))))</f>
        <v>0</v>
      </c>
      <c r="AO27" s="88">
        <f>$E27*IF(AO$2&gt;Inputs!$D$5,0,IF(AO$2&gt;VLOOKUP($H27,Lists!$P$3:$Q$7,2),IF($N27=Lists!$K$3,IF($L27&lt;1,(($U27/$L27)*((1+Inputs!$D$7)^AO$2)),((INT(AO$2/$L27)-INT((AO$2-1)/$L27))*$U27*((1+Inputs!$D$7)^AO$2))),(_xlfn.WEIBULL.DIST(AO$2,$M27,$L27,FALSE)*$U27*((1+Inputs!$D$7)^AO$2))),IF($N27=Lists!$K$3,IF($L27&lt;1,((($T27*(1-$F27)+$S27*(1-$G27))/$L27)*((1+Inputs!$D$7)^AO$2)),((INT(AO$2/$L27)-INT((AO$2-1)/$L27))*($T27*(1-$F27)+$S27*(1-$G27))*((1+Inputs!$D$7)^AO$2))),((_xlfn.WEIBULL.DIST(AO$2,$M27,$L27,FALSE)*($T27*(1-$F27)+$S27*(1-$G27))*((1+Inputs!$D$7)^AO$2))))))</f>
        <v>0</v>
      </c>
      <c r="AP27" s="88">
        <f>$E27*IF(AP$2&gt;Inputs!$D$5,0,IF(AP$2&gt;VLOOKUP($H27,Lists!$P$3:$Q$7,2),IF($N27=Lists!$K$3,IF($L27&lt;1,(($U27/$L27)*((1+Inputs!$D$7)^AP$2)),((INT(AP$2/$L27)-INT((AP$2-1)/$L27))*$U27*((1+Inputs!$D$7)^AP$2))),(_xlfn.WEIBULL.DIST(AP$2,$M27,$L27,FALSE)*$U27*((1+Inputs!$D$7)^AP$2))),IF($N27=Lists!$K$3,IF($L27&lt;1,((($T27*(1-$F27)+$S27*(1-$G27))/$L27)*((1+Inputs!$D$7)^AP$2)),((INT(AP$2/$L27)-INT((AP$2-1)/$L27))*($T27*(1-$F27)+$S27*(1-$G27))*((1+Inputs!$D$7)^AP$2))),((_xlfn.WEIBULL.DIST(AP$2,$M27,$L27,FALSE)*($T27*(1-$F27)+$S27*(1-$G27))*((1+Inputs!$D$7)^AP$2))))))</f>
        <v>0</v>
      </c>
      <c r="AQ27" s="88">
        <f>$E27*IF(AQ$2&gt;Inputs!$D$5,0,IF(AQ$2&gt;VLOOKUP($H27,Lists!$P$3:$Q$7,2),IF($N27=Lists!$K$3,IF($L27&lt;1,(($U27/$L27)*((1+Inputs!$D$7)^AQ$2)),((INT(AQ$2/$L27)-INT((AQ$2-1)/$L27))*$U27*((1+Inputs!$D$7)^AQ$2))),(_xlfn.WEIBULL.DIST(AQ$2,$M27,$L27,FALSE)*$U27*((1+Inputs!$D$7)^AQ$2))),IF($N27=Lists!$K$3,IF($L27&lt;1,((($T27*(1-$F27)+$S27*(1-$G27))/$L27)*((1+Inputs!$D$7)^AQ$2)),((INT(AQ$2/$L27)-INT((AQ$2-1)/$L27))*($T27*(1-$F27)+$S27*(1-$G27))*((1+Inputs!$D$7)^AQ$2))),((_xlfn.WEIBULL.DIST(AQ$2,$M27,$L27,FALSE)*($T27*(1-$F27)+$S27*(1-$G27))*((1+Inputs!$D$7)^AQ$2))))))</f>
        <v>0</v>
      </c>
      <c r="AR27" s="88">
        <f>$E27*IF(AR$2&gt;Inputs!$D$5,0,IF(AR$2&gt;VLOOKUP($H27,Lists!$P$3:$Q$7,2),IF($N27=Lists!$K$3,IF($L27&lt;1,(($U27/$L27)*((1+Inputs!$D$7)^AR$2)),((INT(AR$2/$L27)-INT((AR$2-1)/$L27))*$U27*((1+Inputs!$D$7)^AR$2))),(_xlfn.WEIBULL.DIST(AR$2,$M27,$L27,FALSE)*$U27*((1+Inputs!$D$7)^AR$2))),IF($N27=Lists!$K$3,IF($L27&lt;1,((($T27*(1-$F27)+$S27*(1-$G27))/$L27)*((1+Inputs!$D$7)^AR$2)),((INT(AR$2/$L27)-INT((AR$2-1)/$L27))*($T27*(1-$F27)+$S27*(1-$G27))*((1+Inputs!$D$7)^AR$2))),((_xlfn.WEIBULL.DIST(AR$2,$M27,$L27,FALSE)*($T27*(1-$F27)+$S27*(1-$G27))*((1+Inputs!$D$7)^AR$2))))))</f>
        <v>0</v>
      </c>
      <c r="AS27" s="88">
        <f>$E27*IF(AS$2&gt;Inputs!$D$5,0,IF(AS$2&gt;VLOOKUP($H27,Lists!$P$3:$Q$7,2),IF($N27=Lists!$K$3,IF($L27&lt;1,(($U27/$L27)*((1+Inputs!$D$7)^AS$2)),((INT(AS$2/$L27)-INT((AS$2-1)/$L27))*$U27*((1+Inputs!$D$7)^AS$2))),(_xlfn.WEIBULL.DIST(AS$2,$M27,$L27,FALSE)*$U27*((1+Inputs!$D$7)^AS$2))),IF($N27=Lists!$K$3,IF($L27&lt;1,((($T27*(1-$F27)+$S27*(1-$G27))/$L27)*((1+Inputs!$D$7)^AS$2)),((INT(AS$2/$L27)-INT((AS$2-1)/$L27))*($T27*(1-$F27)+$S27*(1-$G27))*((1+Inputs!$D$7)^AS$2))),((_xlfn.WEIBULL.DIST(AS$2,$M27,$L27,FALSE)*($T27*(1-$F27)+$S27*(1-$G27))*((1+Inputs!$D$7)^AS$2))))))</f>
        <v>0</v>
      </c>
      <c r="AT27" s="88">
        <f>$E27*IF(AT$2&gt;Inputs!$D$5,0,IF(AT$2&gt;VLOOKUP($H27,Lists!$P$3:$Q$7,2),IF($N27=Lists!$K$3,IF($L27&lt;1,(($U27/$L27)*((1+Inputs!$D$7)^AT$2)),((INT(AT$2/$L27)-INT((AT$2-1)/$L27))*$U27*((1+Inputs!$D$7)^AT$2))),(_xlfn.WEIBULL.DIST(AT$2,$M27,$L27,FALSE)*$U27*((1+Inputs!$D$7)^AT$2))),IF($N27=Lists!$K$3,IF($L27&lt;1,((($T27*(1-$F27)+$S27*(1-$G27))/$L27)*((1+Inputs!$D$7)^AT$2)),((INT(AT$2/$L27)-INT((AT$2-1)/$L27))*($T27*(1-$F27)+$S27*(1-$G27))*((1+Inputs!$D$7)^AT$2))),((_xlfn.WEIBULL.DIST(AT$2,$M27,$L27,FALSE)*($T27*(1-$F27)+$S27*(1-$G27))*((1+Inputs!$D$7)^AT$2))))))</f>
        <v>0</v>
      </c>
      <c r="AU27" s="88">
        <f>$E27*IF(AU$2&gt;Inputs!$D$5,0,IF(AU$2&gt;VLOOKUP($H27,Lists!$P$3:$Q$7,2),IF($N27=Lists!$K$3,IF($L27&lt;1,(($U27/$L27)*((1+Inputs!$D$7)^AU$2)),((INT(AU$2/$L27)-INT((AU$2-1)/$L27))*$U27*((1+Inputs!$D$7)^AU$2))),(_xlfn.WEIBULL.DIST(AU$2,$M27,$L27,FALSE)*$U27*((1+Inputs!$D$7)^AU$2))),IF($N27=Lists!$K$3,IF($L27&lt;1,((($T27*(1-$F27)+$S27*(1-$G27))/$L27)*((1+Inputs!$D$7)^AU$2)),((INT(AU$2/$L27)-INT((AU$2-1)/$L27))*($T27*(1-$F27)+$S27*(1-$G27))*((1+Inputs!$D$7)^AU$2))),((_xlfn.WEIBULL.DIST(AU$2,$M27,$L27,FALSE)*($T27*(1-$F27)+$S27*(1-$G27))*((1+Inputs!$D$7)^AU$2))))))</f>
        <v>0</v>
      </c>
      <c r="AV27" s="88">
        <f>$E27*IF(AV$2&gt;Inputs!$D$5,0,IF(AV$2&gt;VLOOKUP($H27,Lists!$P$3:$Q$7,2),IF($N27=Lists!$K$3,IF($L27&lt;1,(($U27/$L27)*((1+Inputs!$D$7)^AV$2)),((INT(AV$2/$L27)-INT((AV$2-1)/$L27))*$U27*((1+Inputs!$D$7)^AV$2))),(_xlfn.WEIBULL.DIST(AV$2,$M27,$L27,FALSE)*$U27*((1+Inputs!$D$7)^AV$2))),IF($N27=Lists!$K$3,IF($L27&lt;1,((($T27*(1-$F27)+$S27*(1-$G27))/$L27)*((1+Inputs!$D$7)^AV$2)),((INT(AV$2/$L27)-INT((AV$2-1)/$L27))*($T27*(1-$F27)+$S27*(1-$G27))*((1+Inputs!$D$7)^AV$2))),((_xlfn.WEIBULL.DIST(AV$2,$M27,$L27,FALSE)*($T27*(1-$F27)+$S27*(1-$G27))*((1+Inputs!$D$7)^AV$2))))))</f>
        <v>0</v>
      </c>
      <c r="AW27" s="88">
        <f>$E27*IF(AW$2&gt;Inputs!$D$5,0,IF(AW$2&gt;VLOOKUP($H27,Lists!$P$3:$Q$7,2),IF($N27=Lists!$K$3,IF($L27&lt;1,(($U27/$L27)*((1+Inputs!$D$7)^AW$2)),((INT(AW$2/$L27)-INT((AW$2-1)/$L27))*$U27*((1+Inputs!$D$7)^AW$2))),(_xlfn.WEIBULL.DIST(AW$2,$M27,$L27,FALSE)*$U27*((1+Inputs!$D$7)^AW$2))),IF($N27=Lists!$K$3,IF($L27&lt;1,((($T27*(1-$F27)+$S27*(1-$G27))/$L27)*((1+Inputs!$D$7)^AW$2)),((INT(AW$2/$L27)-INT((AW$2-1)/$L27))*($T27*(1-$F27)+$S27*(1-$G27))*((1+Inputs!$D$7)^AW$2))),((_xlfn.WEIBULL.DIST(AW$2,$M27,$L27,FALSE)*($T27*(1-$F27)+$S27*(1-$G27))*((1+Inputs!$D$7)^AW$2))))))</f>
        <v>0</v>
      </c>
      <c r="AX27" s="88">
        <f>$E27*IF(AX$2&gt;Inputs!$D$5,0,IF(AX$2&gt;VLOOKUP($H27,Lists!$P$3:$Q$7,2),IF($N27=Lists!$K$3,IF($L27&lt;1,(($U27/$L27)*((1+Inputs!$D$7)^AX$2)),((INT(AX$2/$L27)-INT((AX$2-1)/$L27))*$U27*((1+Inputs!$D$7)^AX$2))),(_xlfn.WEIBULL.DIST(AX$2,$M27,$L27,FALSE)*$U27*((1+Inputs!$D$7)^AX$2))),IF($N27=Lists!$K$3,IF($L27&lt;1,((($T27*(1-$F27)+$S27*(1-$G27))/$L27)*((1+Inputs!$D$7)^AX$2)),((INT(AX$2/$L27)-INT((AX$2-1)/$L27))*($T27*(1-$F27)+$S27*(1-$G27))*((1+Inputs!$D$7)^AX$2))),((_xlfn.WEIBULL.DIST(AX$2,$M27,$L27,FALSE)*($T27*(1-$F27)+$S27*(1-$G27))*((1+Inputs!$D$7)^AX$2))))))</f>
        <v>0</v>
      </c>
      <c r="AY27" s="88">
        <f>$E27*IF(AY$2&gt;Inputs!$D$5,0,IF(AY$2&gt;VLOOKUP($H27,Lists!$P$3:$Q$7,2),IF($N27=Lists!$K$3,IF($L27&lt;1,(($U27/$L27)*((1+Inputs!$D$7)^AY$2)),((INT(AY$2/$L27)-INT((AY$2-1)/$L27))*$U27*((1+Inputs!$D$7)^AY$2))),(_xlfn.WEIBULL.DIST(AY$2,$M27,$L27,FALSE)*$U27*((1+Inputs!$D$7)^AY$2))),IF($N27=Lists!$K$3,IF($L27&lt;1,((($T27*(1-$F27)+$S27*(1-$G27))/$L27)*((1+Inputs!$D$7)^AY$2)),((INT(AY$2/$L27)-INT((AY$2-1)/$L27))*($T27*(1-$F27)+$S27*(1-$G27))*((1+Inputs!$D$7)^AY$2))),((_xlfn.WEIBULL.DIST(AY$2,$M27,$L27,FALSE)*($T27*(1-$F27)+$S27*(1-$G27))*((1+Inputs!$D$7)^AY$2))))))</f>
        <v>0</v>
      </c>
      <c r="AZ27" s="88">
        <f>$E27*IF(AZ$2&gt;Inputs!$D$5,0,IF(AZ$2&gt;VLOOKUP($H27,Lists!$P$3:$Q$7,2),IF($N27=Lists!$K$3,IF($L27&lt;1,(($U27/$L27)*((1+Inputs!$D$7)^AZ$2)),((INT(AZ$2/$L27)-INT((AZ$2-1)/$L27))*$U27*((1+Inputs!$D$7)^AZ$2))),(_xlfn.WEIBULL.DIST(AZ$2,$M27,$L27,FALSE)*$U27*((1+Inputs!$D$7)^AZ$2))),IF($N27=Lists!$K$3,IF($L27&lt;1,((($T27*(1-$F27)+$S27*(1-$G27))/$L27)*((1+Inputs!$D$7)^AZ$2)),((INT(AZ$2/$L27)-INT((AZ$2-1)/$L27))*($T27*(1-$F27)+$S27*(1-$G27))*((1+Inputs!$D$7)^AZ$2))),((_xlfn.WEIBULL.DIST(AZ$2,$M27,$L27,FALSE)*($T27*(1-$F27)+$S27*(1-$G27))*((1+Inputs!$D$7)^AZ$2))))))</f>
        <v>0</v>
      </c>
      <c r="BA27" s="88">
        <f>$E27*IF(BA$2&gt;Inputs!$D$5,0,IF(BA$2&gt;VLOOKUP($H27,Lists!$P$3:$Q$7,2),IF($N27=Lists!$K$3,IF($L27&lt;1,(($U27/$L27)*((1+Inputs!$D$7)^BA$2)),((INT(BA$2/$L27)-INT((BA$2-1)/$L27))*$U27*((1+Inputs!$D$7)^BA$2))),(_xlfn.WEIBULL.DIST(BA$2,$M27,$L27,FALSE)*$U27*((1+Inputs!$D$7)^BA$2))),IF($N27=Lists!$K$3,IF($L27&lt;1,((($T27*(1-$F27)+$S27*(1-$G27))/$L27)*((1+Inputs!$D$7)^BA$2)),((INT(BA$2/$L27)-INT((BA$2-1)/$L27))*($T27*(1-$F27)+$S27*(1-$G27))*((1+Inputs!$D$7)^BA$2))),((_xlfn.WEIBULL.DIST(BA$2,$M27,$L27,FALSE)*($T27*(1-$F27)+$S27*(1-$G27))*((1+Inputs!$D$7)^BA$2))))))</f>
        <v>0</v>
      </c>
      <c r="BB27" s="88">
        <f>$E27*IF(BB$2&gt;Inputs!$D$5,0,IF(BB$2&gt;VLOOKUP($H27,Lists!$P$3:$Q$7,2),IF($N27=Lists!$K$3,IF($L27&lt;1,(($U27/$L27)*((1+Inputs!$D$7)^BB$2)),((INT(BB$2/$L27)-INT((BB$2-1)/$L27))*$U27*((1+Inputs!$D$7)^BB$2))),(_xlfn.WEIBULL.DIST(BB$2,$M27,$L27,FALSE)*$U27*((1+Inputs!$D$7)^BB$2))),IF($N27=Lists!$K$3,IF($L27&lt;1,((($T27*(1-$F27)+$S27*(1-$G27))/$L27)*((1+Inputs!$D$7)^BB$2)),((INT(BB$2/$L27)-INT((BB$2-1)/$L27))*($T27*(1-$F27)+$S27*(1-$G27))*((1+Inputs!$D$7)^BB$2))),((_xlfn.WEIBULL.DIST(BB$2,$M27,$L27,FALSE)*($T27*(1-$F27)+$S27*(1-$G27))*((1+Inputs!$D$7)^BB$2))))))</f>
        <v>0</v>
      </c>
      <c r="BC27" s="88">
        <f>$E27*IF(BC$2&gt;Inputs!$D$5,0,IF(BC$2&gt;VLOOKUP($H27,Lists!$P$3:$Q$7,2),IF($N27=Lists!$K$3,IF($L27&lt;1,(($U27/$L27)*((1+Inputs!$D$7)^BC$2)),((INT(BC$2/$L27)-INT((BC$2-1)/$L27))*$U27*((1+Inputs!$D$7)^BC$2))),(_xlfn.WEIBULL.DIST(BC$2,$M27,$L27,FALSE)*$U27*((1+Inputs!$D$7)^BC$2))),IF($N27=Lists!$K$3,IF($L27&lt;1,((($T27*(1-$F27)+$S27*(1-$G27))/$L27)*((1+Inputs!$D$7)^BC$2)),((INT(BC$2/$L27)-INT((BC$2-1)/$L27))*($T27*(1-$F27)+$S27*(1-$G27))*((1+Inputs!$D$7)^BC$2))),((_xlfn.WEIBULL.DIST(BC$2,$M27,$L27,FALSE)*($T27*(1-$F27)+$S27*(1-$G27))*((1+Inputs!$D$7)^BC$2))))))</f>
        <v>0</v>
      </c>
      <c r="BD27" s="88">
        <f>$E27*IF(BD$2&gt;Inputs!$D$5,0,IF(BD$2&gt;VLOOKUP($H27,Lists!$P$3:$Q$7,2),IF($N27=Lists!$K$3,IF($L27&lt;1,(($U27/$L27)*((1+Inputs!$D$7)^BD$2)),((INT(BD$2/$L27)-INT((BD$2-1)/$L27))*$U27*((1+Inputs!$D$7)^BD$2))),(_xlfn.WEIBULL.DIST(BD$2,$M27,$L27,FALSE)*$U27*((1+Inputs!$D$7)^BD$2))),IF($N27=Lists!$K$3,IF($L27&lt;1,((($T27*(1-$F27)+$S27*(1-$G27))/$L27)*((1+Inputs!$D$7)^BD$2)),((INT(BD$2/$L27)-INT((BD$2-1)/$L27))*($T27*(1-$F27)+$S27*(1-$G27))*((1+Inputs!$D$7)^BD$2))),((_xlfn.WEIBULL.DIST(BD$2,$M27,$L27,FALSE)*($T27*(1-$F27)+$S27*(1-$G27))*((1+Inputs!$D$7)^BD$2))))))</f>
        <v>0</v>
      </c>
      <c r="BE27" s="88">
        <f>$E27*IF(BE$2&gt;Inputs!$D$5,0,IF(BE$2&gt;VLOOKUP($H27,Lists!$P$3:$Q$7,2),IF($N27=Lists!$K$3,IF($L27&lt;1,(($U27/$L27)*((1+Inputs!$D$7)^BE$2)),((INT(BE$2/$L27)-INT((BE$2-1)/$L27))*$U27*((1+Inputs!$D$7)^BE$2))),(_xlfn.WEIBULL.DIST(BE$2,$M27,$L27,FALSE)*$U27*((1+Inputs!$D$7)^BE$2))),IF($N27=Lists!$K$3,IF($L27&lt;1,((($T27*(1-$F27)+$S27*(1-$G27))/$L27)*((1+Inputs!$D$7)^BE$2)),((INT(BE$2/$L27)-INT((BE$2-1)/$L27))*($T27*(1-$F27)+$S27*(1-$G27))*((1+Inputs!$D$7)^BE$2))),((_xlfn.WEIBULL.DIST(BE$2,$M27,$L27,FALSE)*($T27*(1-$F27)+$S27*(1-$G27))*((1+Inputs!$D$7)^BE$2))))))</f>
        <v>0</v>
      </c>
      <c r="BF27" s="88">
        <f>$E27*IF(BF$2&gt;Inputs!$D$5,0,IF(BF$2&gt;VLOOKUP($H27,Lists!$P$3:$Q$7,2),IF($N27=Lists!$K$3,IF($L27&lt;1,(($U27/$L27)*((1+Inputs!$D$7)^BF$2)),((INT(BF$2/$L27)-INT((BF$2-1)/$L27))*$U27*((1+Inputs!$D$7)^BF$2))),(_xlfn.WEIBULL.DIST(BF$2,$M27,$L27,FALSE)*$U27*((1+Inputs!$D$7)^BF$2))),IF($N27=Lists!$K$3,IF($L27&lt;1,((($T27*(1-$F27)+$S27*(1-$G27))/$L27)*((1+Inputs!$D$7)^BF$2)),((INT(BF$2/$L27)-INT((BF$2-1)/$L27))*($T27*(1-$F27)+$S27*(1-$G27))*((1+Inputs!$D$7)^BF$2))),((_xlfn.WEIBULL.DIST(BF$2,$M27,$L27,FALSE)*($T27*(1-$F27)+$S27*(1-$G27))*((1+Inputs!$D$7)^BF$2))))))</f>
        <v>0</v>
      </c>
      <c r="BG27" s="88">
        <f>$E27*IF(BG$2&gt;Inputs!$D$5,0,IF(BG$2&gt;VLOOKUP($H27,Lists!$P$3:$Q$7,2),IF($N27=Lists!$K$3,IF($L27&lt;1,(($U27/$L27)*((1+Inputs!$D$7)^BG$2)),((INT(BG$2/$L27)-INT((BG$2-1)/$L27))*$U27*((1+Inputs!$D$7)^BG$2))),(_xlfn.WEIBULL.DIST(BG$2,$M27,$L27,FALSE)*$U27*((1+Inputs!$D$7)^BG$2))),IF($N27=Lists!$K$3,IF($L27&lt;1,((($T27*(1-$F27)+$S27*(1-$G27))/$L27)*((1+Inputs!$D$7)^BG$2)),((INT(BG$2/$L27)-INT((BG$2-1)/$L27))*($T27*(1-$F27)+$S27*(1-$G27))*((1+Inputs!$D$7)^BG$2))),((_xlfn.WEIBULL.DIST(BG$2,$M27,$L27,FALSE)*($T27*(1-$F27)+$S27*(1-$G27))*((1+Inputs!$D$7)^BG$2))))))</f>
        <v>0</v>
      </c>
      <c r="BH27" s="88">
        <f>$E27*IF(BH$2&gt;Inputs!$D$5,0,IF(BH$2&gt;VLOOKUP($H27,Lists!$P$3:$Q$7,2),IF($N27=Lists!$K$3,IF($L27&lt;1,(($U27/$L27)*((1+Inputs!$D$7)^BH$2)),((INT(BH$2/$L27)-INT((BH$2-1)/$L27))*$U27*((1+Inputs!$D$7)^BH$2))),(_xlfn.WEIBULL.DIST(BH$2,$M27,$L27,FALSE)*$U27*((1+Inputs!$D$7)^BH$2))),IF($N27=Lists!$K$3,IF($L27&lt;1,((($T27*(1-$F27)+$S27*(1-$G27))/$L27)*((1+Inputs!$D$7)^BH$2)),((INT(BH$2/$L27)-INT((BH$2-1)/$L27))*($T27*(1-$F27)+$S27*(1-$G27))*((1+Inputs!$D$7)^BH$2))),((_xlfn.WEIBULL.DIST(BH$2,$M27,$L27,FALSE)*($T27*(1-$F27)+$S27*(1-$G27))*((1+Inputs!$D$7)^BH$2))))))</f>
        <v>0</v>
      </c>
      <c r="BI27" s="88">
        <f>$E27*IF(BI$2&gt;Inputs!$D$5,0,IF(BI$2&gt;VLOOKUP($H27,Lists!$P$3:$Q$7,2),IF($N27=Lists!$K$3,IF($L27&lt;1,(($U27/$L27)*((1+Inputs!$D$7)^BI$2)),((INT(BI$2/$L27)-INT((BI$2-1)/$L27))*$U27*((1+Inputs!$D$7)^BI$2))),(_xlfn.WEIBULL.DIST(BI$2,$M27,$L27,FALSE)*$U27*((1+Inputs!$D$7)^BI$2))),IF($N27=Lists!$K$3,IF($L27&lt;1,((($T27*(1-$F27)+$S27*(1-$G27))/$L27)*((1+Inputs!$D$7)^BI$2)),((INT(BI$2/$L27)-INT((BI$2-1)/$L27))*($T27*(1-$F27)+$S27*(1-$G27))*((1+Inputs!$D$7)^BI$2))),((_xlfn.WEIBULL.DIST(BI$2,$M27,$L27,FALSE)*($T27*(1-$F27)+$S27*(1-$G27))*((1+Inputs!$D$7)^BI$2))))))</f>
        <v>0</v>
      </c>
      <c r="BJ27" s="88">
        <f>$E27*IF(BJ$2&gt;Inputs!$D$5,0,IF(BJ$2&gt;VLOOKUP($H27,Lists!$P$3:$Q$7,2),IF($N27=Lists!$K$3,IF($L27&lt;1,(($U27/$L27)*((1+Inputs!$D$7)^BJ$2)),((INT(BJ$2/$L27)-INT((BJ$2-1)/$L27))*$U27*((1+Inputs!$D$7)^BJ$2))),(_xlfn.WEIBULL.DIST(BJ$2,$M27,$L27,FALSE)*$U27*((1+Inputs!$D$7)^BJ$2))),IF($N27=Lists!$K$3,IF($L27&lt;1,((($T27*(1-$F27)+$S27*(1-$G27))/$L27)*((1+Inputs!$D$7)^BJ$2)),((INT(BJ$2/$L27)-INT((BJ$2-1)/$L27))*($T27*(1-$F27)+$S27*(1-$G27))*((1+Inputs!$D$7)^BJ$2))),((_xlfn.WEIBULL.DIST(BJ$2,$M27,$L27,FALSE)*($T27*(1-$F27)+$S27*(1-$G27))*((1+Inputs!$D$7)^BJ$2))))))</f>
        <v>0</v>
      </c>
      <c r="BK27" s="88">
        <f>$E27*IF(BK$2&gt;Inputs!$D$5,0,IF(BK$2&gt;VLOOKUP($H27,Lists!$P$3:$Q$7,2),IF($N27=Lists!$K$3,IF($L27&lt;1,(($U27/$L27)*((1+Inputs!$D$7)^BK$2)),((INT(BK$2/$L27)-INT((BK$2-1)/$L27))*$U27*((1+Inputs!$D$7)^BK$2))),(_xlfn.WEIBULL.DIST(BK$2,$M27,$L27,FALSE)*$U27*((1+Inputs!$D$7)^BK$2))),IF($N27=Lists!$K$3,IF($L27&lt;1,((($T27*(1-$F27)+$S27*(1-$G27))/$L27)*((1+Inputs!$D$7)^BK$2)),((INT(BK$2/$L27)-INT((BK$2-1)/$L27))*($T27*(1-$F27)+$S27*(1-$G27))*((1+Inputs!$D$7)^BK$2))),((_xlfn.WEIBULL.DIST(BK$2,$M27,$L27,FALSE)*($T27*(1-$F27)+$S27*(1-$G27))*((1+Inputs!$D$7)^BK$2))))))</f>
        <v>0</v>
      </c>
      <c r="BL27" s="88">
        <f>$E27*IF(BL$2&gt;Inputs!$D$5,0,IF(BL$2&gt;VLOOKUP($H27,Lists!$P$3:$Q$7,2),IF($N27=Lists!$K$3,IF($L27&lt;1,(($U27/$L27)*((1+Inputs!$D$7)^BL$2)),((INT(BL$2/$L27)-INT((BL$2-1)/$L27))*$U27*((1+Inputs!$D$7)^BL$2))),(_xlfn.WEIBULL.DIST(BL$2,$M27,$L27,FALSE)*$U27*((1+Inputs!$D$7)^BL$2))),IF($N27=Lists!$K$3,IF($L27&lt;1,((($T27*(1-$F27)+$S27*(1-$G27))/$L27)*((1+Inputs!$D$7)^BL$2)),((INT(BL$2/$L27)-INT((BL$2-1)/$L27))*($T27*(1-$F27)+$S27*(1-$G27))*((1+Inputs!$D$7)^BL$2))),((_xlfn.WEIBULL.DIST(BL$2,$M27,$L27,FALSE)*($T27*(1-$F27)+$S27*(1-$G27))*((1+Inputs!$D$7)^BL$2))))))</f>
        <v>0</v>
      </c>
      <c r="BM27" s="88">
        <f>$E27*IF(BM$2&gt;Inputs!$D$5,0,IF(BM$2&gt;VLOOKUP($H27,Lists!$P$3:$Q$7,2),IF($N27=Lists!$K$3,IF($L27&lt;1,(($U27/$L27)*((1+Inputs!$D$7)^BM$2)),((INT(BM$2/$L27)-INT((BM$2-1)/$L27))*$U27*((1+Inputs!$D$7)^BM$2))),(_xlfn.WEIBULL.DIST(BM$2,$M27,$L27,FALSE)*$U27*((1+Inputs!$D$7)^BM$2))),IF($N27=Lists!$K$3,IF($L27&lt;1,((($T27*(1-$F27)+$S27*(1-$G27))/$L27)*((1+Inputs!$D$7)^BM$2)),((INT(BM$2/$L27)-INT((BM$2-1)/$L27))*($T27*(1-$F27)+$S27*(1-$G27))*((1+Inputs!$D$7)^BM$2))),((_xlfn.WEIBULL.DIST(BM$2,$M27,$L27,FALSE)*($T27*(1-$F27)+$S27*(1-$G27))*((1+Inputs!$D$7)^BM$2))))))</f>
        <v>0</v>
      </c>
      <c r="BN27" s="88">
        <f>$E27*IF(BN$2&gt;Inputs!$D$5,0,IF(BN$2&gt;VLOOKUP($H27,Lists!$P$3:$Q$7,2),IF($N27=Lists!$K$3,IF($L27&lt;1,(($U27/$L27)*((1+Inputs!$D$7)^BN$2)),((INT(BN$2/$L27)-INT((BN$2-1)/$L27))*$U27*((1+Inputs!$D$7)^BN$2))),(_xlfn.WEIBULL.DIST(BN$2,$M27,$L27,FALSE)*$U27*((1+Inputs!$D$7)^BN$2))),IF($N27=Lists!$K$3,IF($L27&lt;1,((($T27*(1-$F27)+$S27*(1-$G27))/$L27)*((1+Inputs!$D$7)^BN$2)),((INT(BN$2/$L27)-INT((BN$2-1)/$L27))*($T27*(1-$F27)+$S27*(1-$G27))*((1+Inputs!$D$7)^BN$2))),((_xlfn.WEIBULL.DIST(BN$2,$M27,$L27,FALSE)*($T27*(1-$F27)+$S27*(1-$G27))*((1+Inputs!$D$7)^BN$2))))))</f>
        <v>0</v>
      </c>
      <c r="BO27" s="64">
        <f>NPV(Inputs!$D$6,BQ27:DD27)</f>
        <v>0</v>
      </c>
      <c r="BP27" s="67">
        <f t="shared" si="6"/>
        <v>0</v>
      </c>
      <c r="BQ27" s="88">
        <f>MAX(AA27,($E27*IF(BQ$2&gt;Inputs!$D$5,0,IF(BQ$2&gt;VLOOKUP($H27,Lists!$P$3:$Q$7,2),IF($N27=Lists!$K$3,IF($L27&lt;1,(($U27/$L27)*((1+Inputs!$D$7)^BQ$2)),((INT(BQ$2/$L27)-INT((BQ$2-1)/$L27))*$U27*((1+Inputs!$D$7)^BQ$2))),(Inputs!$D$8^((1-_xlfn.WEIBULL.DIST(BQ$2,$M27,$L27,FALSE))/_xlfn.WEIBULL.DIST(BQ$2,$M27,$L27,FALSE))*$U27*((1+Inputs!$D$7)^BQ$2))),IF($N27=Lists!$K$3,IF($L27&lt;1,((($T27*(1-$F27)+$S27*(1-$G27))/$L27)*((1+Inputs!$D$7)^BQ$2)),((INT(BQ$2/$L27)-INT((BQ$2-1)/$L27))*($T27*(1-$F27)+$S27*(1-$G27))*((1+Inputs!$D$7)^BQ$2))),((Inputs!$D$8^((1-_xlfn.WEIBULL.DIST(BQ$2,$M27,$L27,FALSE))/_xlfn.WEIBULL.DIST(BQ$2,$M27,$L27,FALSE))*($T27*(1-$F27)+$S27*(1-$G27))*((1+Inputs!$D$7)^BQ$2))))))))</f>
        <v>0</v>
      </c>
      <c r="BR27" s="88">
        <f>MAX(AB27,($E27*IF(BR$2&gt;Inputs!$D$5,0,IF(BR$2&gt;VLOOKUP($H27,Lists!$P$3:$Q$7,2),IF($N27=Lists!$K$3,IF($L27&lt;1,(($U27/$L27)*((1+Inputs!$D$7)^BR$2)),((INT(BR$2/$L27)-INT((BR$2-1)/$L27))*$U27*((1+Inputs!$D$7)^BR$2))),(Inputs!$D$8^((1-_xlfn.WEIBULL.DIST(BR$2,$M27,$L27,FALSE))/_xlfn.WEIBULL.DIST(BR$2,$M27,$L27,FALSE))*$U27*((1+Inputs!$D$7)^BR$2))),IF($N27=Lists!$K$3,IF($L27&lt;1,((($T27*(1-$F27)+$S27*(1-$G27))/$L27)*((1+Inputs!$D$7)^BR$2)),((INT(BR$2/$L27)-INT((BR$2-1)/$L27))*($T27*(1-$F27)+$S27*(1-$G27))*((1+Inputs!$D$7)^BR$2))),((Inputs!$D$8^((1-_xlfn.WEIBULL.DIST(BR$2,$M27,$L27,FALSE))/_xlfn.WEIBULL.DIST(BR$2,$M27,$L27,FALSE))*($T27*(1-$F27)+$S27*(1-$G27))*((1+Inputs!$D$7)^BR$2))))))))</f>
        <v>0</v>
      </c>
      <c r="BS27" s="88">
        <f>MAX(AC27,($E27*IF(BS$2&gt;Inputs!$D$5,0,IF(BS$2&gt;VLOOKUP($H27,Lists!$P$3:$Q$7,2),IF($N27=Lists!$K$3,IF($L27&lt;1,(($U27/$L27)*((1+Inputs!$D$7)^BS$2)),((INT(BS$2/$L27)-INT((BS$2-1)/$L27))*$U27*((1+Inputs!$D$7)^BS$2))),(Inputs!$D$8^((1-_xlfn.WEIBULL.DIST(BS$2,$M27,$L27,FALSE))/_xlfn.WEIBULL.DIST(BS$2,$M27,$L27,FALSE))*$U27*((1+Inputs!$D$7)^BS$2))),IF($N27=Lists!$K$3,IF($L27&lt;1,((($T27*(1-$F27)+$S27*(1-$G27))/$L27)*((1+Inputs!$D$7)^BS$2)),((INT(BS$2/$L27)-INT((BS$2-1)/$L27))*($T27*(1-$F27)+$S27*(1-$G27))*((1+Inputs!$D$7)^BS$2))),((Inputs!$D$8^((1-_xlfn.WEIBULL.DIST(BS$2,$M27,$L27,FALSE))/_xlfn.WEIBULL.DIST(BS$2,$M27,$L27,FALSE))*($T27*(1-$F27)+$S27*(1-$G27))*((1+Inputs!$D$7)^BS$2))))))))</f>
        <v>0</v>
      </c>
      <c r="BT27" s="88">
        <f>MAX(AD27,($E27*IF(BT$2&gt;Inputs!$D$5,0,IF(BT$2&gt;VLOOKUP($H27,Lists!$P$3:$Q$7,2),IF($N27=Lists!$K$3,IF($L27&lt;1,(($U27/$L27)*((1+Inputs!$D$7)^BT$2)),((INT(BT$2/$L27)-INT((BT$2-1)/$L27))*$U27*((1+Inputs!$D$7)^BT$2))),(Inputs!$D$8^((1-_xlfn.WEIBULL.DIST(BT$2,$M27,$L27,FALSE))/_xlfn.WEIBULL.DIST(BT$2,$M27,$L27,FALSE))*$U27*((1+Inputs!$D$7)^BT$2))),IF($N27=Lists!$K$3,IF($L27&lt;1,((($T27*(1-$F27)+$S27*(1-$G27))/$L27)*((1+Inputs!$D$7)^BT$2)),((INT(BT$2/$L27)-INT((BT$2-1)/$L27))*($T27*(1-$F27)+$S27*(1-$G27))*((1+Inputs!$D$7)^BT$2))),((Inputs!$D$8^((1-_xlfn.WEIBULL.DIST(BT$2,$M27,$L27,FALSE))/_xlfn.WEIBULL.DIST(BT$2,$M27,$L27,FALSE))*($T27*(1-$F27)+$S27*(1-$G27))*((1+Inputs!$D$7)^BT$2))))))))</f>
        <v>0</v>
      </c>
      <c r="BU27" s="88">
        <f>MAX(AE27,($E27*IF(BU$2&gt;Inputs!$D$5,0,IF(BU$2&gt;VLOOKUP($H27,Lists!$P$3:$Q$7,2),IF($N27=Lists!$K$3,IF($L27&lt;1,(($U27/$L27)*((1+Inputs!$D$7)^BU$2)),((INT(BU$2/$L27)-INT((BU$2-1)/$L27))*$U27*((1+Inputs!$D$7)^BU$2))),(Inputs!$D$8^((1-_xlfn.WEIBULL.DIST(BU$2,$M27,$L27,FALSE))/_xlfn.WEIBULL.DIST(BU$2,$M27,$L27,FALSE))*$U27*((1+Inputs!$D$7)^BU$2))),IF($N27=Lists!$K$3,IF($L27&lt;1,((($T27*(1-$F27)+$S27*(1-$G27))/$L27)*((1+Inputs!$D$7)^BU$2)),((INT(BU$2/$L27)-INT((BU$2-1)/$L27))*($T27*(1-$F27)+$S27*(1-$G27))*((1+Inputs!$D$7)^BU$2))),((Inputs!$D$8^((1-_xlfn.WEIBULL.DIST(BU$2,$M27,$L27,FALSE))/_xlfn.WEIBULL.DIST(BU$2,$M27,$L27,FALSE))*($T27*(1-$F27)+$S27*(1-$G27))*((1+Inputs!$D$7)^BU$2))))))))</f>
        <v>0</v>
      </c>
      <c r="BV27" s="88">
        <f>MAX(AF27,($E27*IF(BV$2&gt;Inputs!$D$5,0,IF(BV$2&gt;VLOOKUP($H27,Lists!$P$3:$Q$7,2),IF($N27=Lists!$K$3,IF($L27&lt;1,(($U27/$L27)*((1+Inputs!$D$7)^BV$2)),((INT(BV$2/$L27)-INT((BV$2-1)/$L27))*$U27*((1+Inputs!$D$7)^BV$2))),(Inputs!$D$8^((1-_xlfn.WEIBULL.DIST(BV$2,$M27,$L27,FALSE))/_xlfn.WEIBULL.DIST(BV$2,$M27,$L27,FALSE))*$U27*((1+Inputs!$D$7)^BV$2))),IF($N27=Lists!$K$3,IF($L27&lt;1,((($T27*(1-$F27)+$S27*(1-$G27))/$L27)*((1+Inputs!$D$7)^BV$2)),((INT(BV$2/$L27)-INT((BV$2-1)/$L27))*($T27*(1-$F27)+$S27*(1-$G27))*((1+Inputs!$D$7)^BV$2))),((Inputs!$D$8^((1-_xlfn.WEIBULL.DIST(BV$2,$M27,$L27,FALSE))/_xlfn.WEIBULL.DIST(BV$2,$M27,$L27,FALSE))*($T27*(1-$F27)+$S27*(1-$G27))*((1+Inputs!$D$7)^BV$2))))))))</f>
        <v>0</v>
      </c>
      <c r="BW27" s="88">
        <f>MAX(AG27,($E27*IF(BW$2&gt;Inputs!$D$5,0,IF(BW$2&gt;VLOOKUP($H27,Lists!$P$3:$Q$7,2),IF($N27=Lists!$K$3,IF($L27&lt;1,(($U27/$L27)*((1+Inputs!$D$7)^BW$2)),((INT(BW$2/$L27)-INT((BW$2-1)/$L27))*$U27*((1+Inputs!$D$7)^BW$2))),(Inputs!$D$8^((1-_xlfn.WEIBULL.DIST(BW$2,$M27,$L27,FALSE))/_xlfn.WEIBULL.DIST(BW$2,$M27,$L27,FALSE))*$U27*((1+Inputs!$D$7)^BW$2))),IF($N27=Lists!$K$3,IF($L27&lt;1,((($T27*(1-$F27)+$S27*(1-$G27))/$L27)*((1+Inputs!$D$7)^BW$2)),((INT(BW$2/$L27)-INT((BW$2-1)/$L27))*($T27*(1-$F27)+$S27*(1-$G27))*((1+Inputs!$D$7)^BW$2))),((Inputs!$D$8^((1-_xlfn.WEIBULL.DIST(BW$2,$M27,$L27,FALSE))/_xlfn.WEIBULL.DIST(BW$2,$M27,$L27,FALSE))*($T27*(1-$F27)+$S27*(1-$G27))*((1+Inputs!$D$7)^BW$2))))))))</f>
        <v>0</v>
      </c>
      <c r="BX27" s="88">
        <f>MAX(AH27,($E27*IF(BX$2&gt;Inputs!$D$5,0,IF(BX$2&gt;VLOOKUP($H27,Lists!$P$3:$Q$7,2),IF($N27=Lists!$K$3,IF($L27&lt;1,(($U27/$L27)*((1+Inputs!$D$7)^BX$2)),((INT(BX$2/$L27)-INT((BX$2-1)/$L27))*$U27*((1+Inputs!$D$7)^BX$2))),(Inputs!$D$8^((1-_xlfn.WEIBULL.DIST(BX$2,$M27,$L27,FALSE))/_xlfn.WEIBULL.DIST(BX$2,$M27,$L27,FALSE))*$U27*((1+Inputs!$D$7)^BX$2))),IF($N27=Lists!$K$3,IF($L27&lt;1,((($T27*(1-$F27)+$S27*(1-$G27))/$L27)*((1+Inputs!$D$7)^BX$2)),((INT(BX$2/$L27)-INT((BX$2-1)/$L27))*($T27*(1-$F27)+$S27*(1-$G27))*((1+Inputs!$D$7)^BX$2))),((Inputs!$D$8^((1-_xlfn.WEIBULL.DIST(BX$2,$M27,$L27,FALSE))/_xlfn.WEIBULL.DIST(BX$2,$M27,$L27,FALSE))*($T27*(1-$F27)+$S27*(1-$G27))*((1+Inputs!$D$7)^BX$2))))))))</f>
        <v>0</v>
      </c>
      <c r="BY27" s="88">
        <f>MAX(AI27,($E27*IF(BY$2&gt;Inputs!$D$5,0,IF(BY$2&gt;VLOOKUP($H27,Lists!$P$3:$Q$7,2),IF($N27=Lists!$K$3,IF($L27&lt;1,(($U27/$L27)*((1+Inputs!$D$7)^BY$2)),((INT(BY$2/$L27)-INT((BY$2-1)/$L27))*$U27*((1+Inputs!$D$7)^BY$2))),(Inputs!$D$8^((1-_xlfn.WEIBULL.DIST(BY$2,$M27,$L27,FALSE))/_xlfn.WEIBULL.DIST(BY$2,$M27,$L27,FALSE))*$U27*((1+Inputs!$D$7)^BY$2))),IF($N27=Lists!$K$3,IF($L27&lt;1,((($T27*(1-$F27)+$S27*(1-$G27))/$L27)*((1+Inputs!$D$7)^BY$2)),((INT(BY$2/$L27)-INT((BY$2-1)/$L27))*($T27*(1-$F27)+$S27*(1-$G27))*((1+Inputs!$D$7)^BY$2))),((Inputs!$D$8^((1-_xlfn.WEIBULL.DIST(BY$2,$M27,$L27,FALSE))/_xlfn.WEIBULL.DIST(BY$2,$M27,$L27,FALSE))*($T27*(1-$F27)+$S27*(1-$G27))*((1+Inputs!$D$7)^BY$2))))))))</f>
        <v>0</v>
      </c>
      <c r="BZ27" s="88">
        <f>MAX(AJ27,($E27*IF(BZ$2&gt;Inputs!$D$5,0,IF(BZ$2&gt;VLOOKUP($H27,Lists!$P$3:$Q$7,2),IF($N27=Lists!$K$3,IF($L27&lt;1,(($U27/$L27)*((1+Inputs!$D$7)^BZ$2)),((INT(BZ$2/$L27)-INT((BZ$2-1)/$L27))*$U27*((1+Inputs!$D$7)^BZ$2))),(Inputs!$D$8^((1-_xlfn.WEIBULL.DIST(BZ$2,$M27,$L27,FALSE))/_xlfn.WEIBULL.DIST(BZ$2,$M27,$L27,FALSE))*$U27*((1+Inputs!$D$7)^BZ$2))),IF($N27=Lists!$K$3,IF($L27&lt;1,((($T27*(1-$F27)+$S27*(1-$G27))/$L27)*((1+Inputs!$D$7)^BZ$2)),((INT(BZ$2/$L27)-INT((BZ$2-1)/$L27))*($T27*(1-$F27)+$S27*(1-$G27))*((1+Inputs!$D$7)^BZ$2))),((Inputs!$D$8^((1-_xlfn.WEIBULL.DIST(BZ$2,$M27,$L27,FALSE))/_xlfn.WEIBULL.DIST(BZ$2,$M27,$L27,FALSE))*($T27*(1-$F27)+$S27*(1-$G27))*((1+Inputs!$D$7)^BZ$2))))))))</f>
        <v>0</v>
      </c>
      <c r="CA27" s="88">
        <f>MAX(AK27,($E27*IF(CA$2&gt;Inputs!$D$5,0,IF(CA$2&gt;VLOOKUP($H27,Lists!$P$3:$Q$7,2),IF($N27=Lists!$K$3,IF($L27&lt;1,(($U27/$L27)*((1+Inputs!$D$7)^CA$2)),((INT(CA$2/$L27)-INT((CA$2-1)/$L27))*$U27*((1+Inputs!$D$7)^CA$2))),(Inputs!$D$8^((1-_xlfn.WEIBULL.DIST(CA$2,$M27,$L27,FALSE))/_xlfn.WEIBULL.DIST(CA$2,$M27,$L27,FALSE))*$U27*((1+Inputs!$D$7)^CA$2))),IF($N27=Lists!$K$3,IF($L27&lt;1,((($T27*(1-$F27)+$S27*(1-$G27))/$L27)*((1+Inputs!$D$7)^CA$2)),((INT(CA$2/$L27)-INT((CA$2-1)/$L27))*($T27*(1-$F27)+$S27*(1-$G27))*((1+Inputs!$D$7)^CA$2))),((Inputs!$D$8^((1-_xlfn.WEIBULL.DIST(CA$2,$M27,$L27,FALSE))/_xlfn.WEIBULL.DIST(CA$2,$M27,$L27,FALSE))*($T27*(1-$F27)+$S27*(1-$G27))*((1+Inputs!$D$7)^CA$2))))))))</f>
        <v>0</v>
      </c>
      <c r="CB27" s="88">
        <f>MAX(AL27,($E27*IF(CB$2&gt;Inputs!$D$5,0,IF(CB$2&gt;VLOOKUP($H27,Lists!$P$3:$Q$7,2),IF($N27=Lists!$K$3,IF($L27&lt;1,(($U27/$L27)*((1+Inputs!$D$7)^CB$2)),((INT(CB$2/$L27)-INT((CB$2-1)/$L27))*$U27*((1+Inputs!$D$7)^CB$2))),(Inputs!$D$8^((1-_xlfn.WEIBULL.DIST(CB$2,$M27,$L27,FALSE))/_xlfn.WEIBULL.DIST(CB$2,$M27,$L27,FALSE))*$U27*((1+Inputs!$D$7)^CB$2))),IF($N27=Lists!$K$3,IF($L27&lt;1,((($T27*(1-$F27)+$S27*(1-$G27))/$L27)*((1+Inputs!$D$7)^CB$2)),((INT(CB$2/$L27)-INT((CB$2-1)/$L27))*($T27*(1-$F27)+$S27*(1-$G27))*((1+Inputs!$D$7)^CB$2))),((Inputs!$D$8^((1-_xlfn.WEIBULL.DIST(CB$2,$M27,$L27,FALSE))/_xlfn.WEIBULL.DIST(CB$2,$M27,$L27,FALSE))*($T27*(1-$F27)+$S27*(1-$G27))*((1+Inputs!$D$7)^CB$2))))))))</f>
        <v>0</v>
      </c>
      <c r="CC27" s="88">
        <f>MAX(AM27,($E27*IF(CC$2&gt;Inputs!$D$5,0,IF(CC$2&gt;VLOOKUP($H27,Lists!$P$3:$Q$7,2),IF($N27=Lists!$K$3,IF($L27&lt;1,(($U27/$L27)*((1+Inputs!$D$7)^CC$2)),((INT(CC$2/$L27)-INT((CC$2-1)/$L27))*$U27*((1+Inputs!$D$7)^CC$2))),(Inputs!$D$8^((1-_xlfn.WEIBULL.DIST(CC$2,$M27,$L27,FALSE))/_xlfn.WEIBULL.DIST(CC$2,$M27,$L27,FALSE))*$U27*((1+Inputs!$D$7)^CC$2))),IF($N27=Lists!$K$3,IF($L27&lt;1,((($T27*(1-$F27)+$S27*(1-$G27))/$L27)*((1+Inputs!$D$7)^CC$2)),((INT(CC$2/$L27)-INT((CC$2-1)/$L27))*($T27*(1-$F27)+$S27*(1-$G27))*((1+Inputs!$D$7)^CC$2))),((Inputs!$D$8^((1-_xlfn.WEIBULL.DIST(CC$2,$M27,$L27,FALSE))/_xlfn.WEIBULL.DIST(CC$2,$M27,$L27,FALSE))*($T27*(1-$F27)+$S27*(1-$G27))*((1+Inputs!$D$7)^CC$2))))))))</f>
        <v>0</v>
      </c>
      <c r="CD27" s="88">
        <f>MAX(AN27,($E27*IF(CD$2&gt;Inputs!$D$5,0,IF(CD$2&gt;VLOOKUP($H27,Lists!$P$3:$Q$7,2),IF($N27=Lists!$K$3,IF($L27&lt;1,(($U27/$L27)*((1+Inputs!$D$7)^CD$2)),((INT(CD$2/$L27)-INT((CD$2-1)/$L27))*$U27*((1+Inputs!$D$7)^CD$2))),(Inputs!$D$8^((1-_xlfn.WEIBULL.DIST(CD$2,$M27,$L27,FALSE))/_xlfn.WEIBULL.DIST(CD$2,$M27,$L27,FALSE))*$U27*((1+Inputs!$D$7)^CD$2))),IF($N27=Lists!$K$3,IF($L27&lt;1,((($T27*(1-$F27)+$S27*(1-$G27))/$L27)*((1+Inputs!$D$7)^CD$2)),((INT(CD$2/$L27)-INT((CD$2-1)/$L27))*($T27*(1-$F27)+$S27*(1-$G27))*((1+Inputs!$D$7)^CD$2))),((Inputs!$D$8^((1-_xlfn.WEIBULL.DIST(CD$2,$M27,$L27,FALSE))/_xlfn.WEIBULL.DIST(CD$2,$M27,$L27,FALSE))*($T27*(1-$F27)+$S27*(1-$G27))*((1+Inputs!$D$7)^CD$2))))))))</f>
        <v>0</v>
      </c>
      <c r="CE27" s="88">
        <f>MAX(AO27,($E27*IF(CE$2&gt;Inputs!$D$5,0,IF(CE$2&gt;VLOOKUP($H27,Lists!$P$3:$Q$7,2),IF($N27=Lists!$K$3,IF($L27&lt;1,(($U27/$L27)*((1+Inputs!$D$7)^CE$2)),((INT(CE$2/$L27)-INT((CE$2-1)/$L27))*$U27*((1+Inputs!$D$7)^CE$2))),(Inputs!$D$8^((1-_xlfn.WEIBULL.DIST(CE$2,$M27,$L27,FALSE))/_xlfn.WEIBULL.DIST(CE$2,$M27,$L27,FALSE))*$U27*((1+Inputs!$D$7)^CE$2))),IF($N27=Lists!$K$3,IF($L27&lt;1,((($T27*(1-$F27)+$S27*(1-$G27))/$L27)*((1+Inputs!$D$7)^CE$2)),((INT(CE$2/$L27)-INT((CE$2-1)/$L27))*($T27*(1-$F27)+$S27*(1-$G27))*((1+Inputs!$D$7)^CE$2))),((Inputs!$D$8^((1-_xlfn.WEIBULL.DIST(CE$2,$M27,$L27,FALSE))/_xlfn.WEIBULL.DIST(CE$2,$M27,$L27,FALSE))*($T27*(1-$F27)+$S27*(1-$G27))*((1+Inputs!$D$7)^CE$2))))))))</f>
        <v>0</v>
      </c>
      <c r="CF27" s="88">
        <f>MAX(AP27,($E27*IF(CF$2&gt;Inputs!$D$5,0,IF(CF$2&gt;VLOOKUP($H27,Lists!$P$3:$Q$7,2),IF($N27=Lists!$K$3,IF($L27&lt;1,(($U27/$L27)*((1+Inputs!$D$7)^CF$2)),((INT(CF$2/$L27)-INT((CF$2-1)/$L27))*$U27*((1+Inputs!$D$7)^CF$2))),(Inputs!$D$8^((1-_xlfn.WEIBULL.DIST(CF$2,$M27,$L27,FALSE))/_xlfn.WEIBULL.DIST(CF$2,$M27,$L27,FALSE))*$U27*((1+Inputs!$D$7)^CF$2))),IF($N27=Lists!$K$3,IF($L27&lt;1,((($T27*(1-$F27)+$S27*(1-$G27))/$L27)*((1+Inputs!$D$7)^CF$2)),((INT(CF$2/$L27)-INT((CF$2-1)/$L27))*($T27*(1-$F27)+$S27*(1-$G27))*((1+Inputs!$D$7)^CF$2))),((Inputs!$D$8^((1-_xlfn.WEIBULL.DIST(CF$2,$M27,$L27,FALSE))/_xlfn.WEIBULL.DIST(CF$2,$M27,$L27,FALSE))*($T27*(1-$F27)+$S27*(1-$G27))*((1+Inputs!$D$7)^CF$2))))))))</f>
        <v>0</v>
      </c>
      <c r="CG27" s="88">
        <f>MAX(AQ27,($E27*IF(CG$2&gt;Inputs!$D$5,0,IF(CG$2&gt;VLOOKUP($H27,Lists!$P$3:$Q$7,2),IF($N27=Lists!$K$3,IF($L27&lt;1,(($U27/$L27)*((1+Inputs!$D$7)^CG$2)),((INT(CG$2/$L27)-INT((CG$2-1)/$L27))*$U27*((1+Inputs!$D$7)^CG$2))),(Inputs!$D$8^((1-_xlfn.WEIBULL.DIST(CG$2,$M27,$L27,FALSE))/_xlfn.WEIBULL.DIST(CG$2,$M27,$L27,FALSE))*$U27*((1+Inputs!$D$7)^CG$2))),IF($N27=Lists!$K$3,IF($L27&lt;1,((($T27*(1-$F27)+$S27*(1-$G27))/$L27)*((1+Inputs!$D$7)^CG$2)),((INT(CG$2/$L27)-INT((CG$2-1)/$L27))*($T27*(1-$F27)+$S27*(1-$G27))*((1+Inputs!$D$7)^CG$2))),((Inputs!$D$8^((1-_xlfn.WEIBULL.DIST(CG$2,$M27,$L27,FALSE))/_xlfn.WEIBULL.DIST(CG$2,$M27,$L27,FALSE))*($T27*(1-$F27)+$S27*(1-$G27))*((1+Inputs!$D$7)^CG$2))))))))</f>
        <v>0</v>
      </c>
      <c r="CH27" s="88">
        <f>MAX(AR27,($E27*IF(CH$2&gt;Inputs!$D$5,0,IF(CH$2&gt;VLOOKUP($H27,Lists!$P$3:$Q$7,2),IF($N27=Lists!$K$3,IF($L27&lt;1,(($U27/$L27)*((1+Inputs!$D$7)^CH$2)),((INT(CH$2/$L27)-INT((CH$2-1)/$L27))*$U27*((1+Inputs!$D$7)^CH$2))),(Inputs!$D$8^((1-_xlfn.WEIBULL.DIST(CH$2,$M27,$L27,FALSE))/_xlfn.WEIBULL.DIST(CH$2,$M27,$L27,FALSE))*$U27*((1+Inputs!$D$7)^CH$2))),IF($N27=Lists!$K$3,IF($L27&lt;1,((($T27*(1-$F27)+$S27*(1-$G27))/$L27)*((1+Inputs!$D$7)^CH$2)),((INT(CH$2/$L27)-INT((CH$2-1)/$L27))*($T27*(1-$F27)+$S27*(1-$G27))*((1+Inputs!$D$7)^CH$2))),((Inputs!$D$8^((1-_xlfn.WEIBULL.DIST(CH$2,$M27,$L27,FALSE))/_xlfn.WEIBULL.DIST(CH$2,$M27,$L27,FALSE))*($T27*(1-$F27)+$S27*(1-$G27))*((1+Inputs!$D$7)^CH$2))))))))</f>
        <v>0</v>
      </c>
      <c r="CI27" s="88">
        <f>MAX(AS27,($E27*IF(CI$2&gt;Inputs!$D$5,0,IF(CI$2&gt;VLOOKUP($H27,Lists!$P$3:$Q$7,2),IF($N27=Lists!$K$3,IF($L27&lt;1,(($U27/$L27)*((1+Inputs!$D$7)^CI$2)),((INT(CI$2/$L27)-INT((CI$2-1)/$L27))*$U27*((1+Inputs!$D$7)^CI$2))),(Inputs!$D$8^((1-_xlfn.WEIBULL.DIST(CI$2,$M27,$L27,FALSE))/_xlfn.WEIBULL.DIST(CI$2,$M27,$L27,FALSE))*$U27*((1+Inputs!$D$7)^CI$2))),IF($N27=Lists!$K$3,IF($L27&lt;1,((($T27*(1-$F27)+$S27*(1-$G27))/$L27)*((1+Inputs!$D$7)^CI$2)),((INT(CI$2/$L27)-INT((CI$2-1)/$L27))*($T27*(1-$F27)+$S27*(1-$G27))*((1+Inputs!$D$7)^CI$2))),((Inputs!$D$8^((1-_xlfn.WEIBULL.DIST(CI$2,$M27,$L27,FALSE))/_xlfn.WEIBULL.DIST(CI$2,$M27,$L27,FALSE))*($T27*(1-$F27)+$S27*(1-$G27))*((1+Inputs!$D$7)^CI$2))))))))</f>
        <v>0</v>
      </c>
      <c r="CJ27" s="88">
        <f>MAX(AT27,($E27*IF(CJ$2&gt;Inputs!$D$5,0,IF(CJ$2&gt;VLOOKUP($H27,Lists!$P$3:$Q$7,2),IF($N27=Lists!$K$3,IF($L27&lt;1,(($U27/$L27)*((1+Inputs!$D$7)^CJ$2)),((INT(CJ$2/$L27)-INT((CJ$2-1)/$L27))*$U27*((1+Inputs!$D$7)^CJ$2))),(Inputs!$D$8^((1-_xlfn.WEIBULL.DIST(CJ$2,$M27,$L27,FALSE))/_xlfn.WEIBULL.DIST(CJ$2,$M27,$L27,FALSE))*$U27*((1+Inputs!$D$7)^CJ$2))),IF($N27=Lists!$K$3,IF($L27&lt;1,((($T27*(1-$F27)+$S27*(1-$G27))/$L27)*((1+Inputs!$D$7)^CJ$2)),((INT(CJ$2/$L27)-INT((CJ$2-1)/$L27))*($T27*(1-$F27)+$S27*(1-$G27))*((1+Inputs!$D$7)^CJ$2))),((Inputs!$D$8^((1-_xlfn.WEIBULL.DIST(CJ$2,$M27,$L27,FALSE))/_xlfn.WEIBULL.DIST(CJ$2,$M27,$L27,FALSE))*($T27*(1-$F27)+$S27*(1-$G27))*((1+Inputs!$D$7)^CJ$2))))))))</f>
        <v>0</v>
      </c>
      <c r="CK27" s="88">
        <f>MAX(AU27,($E27*IF(CK$2&gt;Inputs!$D$5,0,IF(CK$2&gt;VLOOKUP($H27,Lists!$P$3:$Q$7,2),IF($N27=Lists!$K$3,IF($L27&lt;1,(($U27/$L27)*((1+Inputs!$D$7)^CK$2)),((INT(CK$2/$L27)-INT((CK$2-1)/$L27))*$U27*((1+Inputs!$D$7)^CK$2))),(Inputs!$D$8^((1-_xlfn.WEIBULL.DIST(CK$2,$M27,$L27,FALSE))/_xlfn.WEIBULL.DIST(CK$2,$M27,$L27,FALSE))*$U27*((1+Inputs!$D$7)^CK$2))),IF($N27=Lists!$K$3,IF($L27&lt;1,((($T27*(1-$F27)+$S27*(1-$G27))/$L27)*((1+Inputs!$D$7)^CK$2)),((INT(CK$2/$L27)-INT((CK$2-1)/$L27))*($T27*(1-$F27)+$S27*(1-$G27))*((1+Inputs!$D$7)^CK$2))),((Inputs!$D$8^((1-_xlfn.WEIBULL.DIST(CK$2,$M27,$L27,FALSE))/_xlfn.WEIBULL.DIST(CK$2,$M27,$L27,FALSE))*($T27*(1-$F27)+$S27*(1-$G27))*((1+Inputs!$D$7)^CK$2))))))))</f>
        <v>0</v>
      </c>
      <c r="CL27" s="88">
        <f>MAX(AV27,($E27*IF(CL$2&gt;Inputs!$D$5,0,IF(CL$2&gt;VLOOKUP($H27,Lists!$P$3:$Q$7,2),IF($N27=Lists!$K$3,IF($L27&lt;1,(($U27/$L27)*((1+Inputs!$D$7)^CL$2)),((INT(CL$2/$L27)-INT((CL$2-1)/$L27))*$U27*((1+Inputs!$D$7)^CL$2))),(Inputs!$D$8^((1-_xlfn.WEIBULL.DIST(CL$2,$M27,$L27,FALSE))/_xlfn.WEIBULL.DIST(CL$2,$M27,$L27,FALSE))*$U27*((1+Inputs!$D$7)^CL$2))),IF($N27=Lists!$K$3,IF($L27&lt;1,((($T27*(1-$F27)+$S27*(1-$G27))/$L27)*((1+Inputs!$D$7)^CL$2)),((INT(CL$2/$L27)-INT((CL$2-1)/$L27))*($T27*(1-$F27)+$S27*(1-$G27))*((1+Inputs!$D$7)^CL$2))),((Inputs!$D$8^((1-_xlfn.WEIBULL.DIST(CL$2,$M27,$L27,FALSE))/_xlfn.WEIBULL.DIST(CL$2,$M27,$L27,FALSE))*($T27*(1-$F27)+$S27*(1-$G27))*((1+Inputs!$D$7)^CL$2))))))))</f>
        <v>0</v>
      </c>
      <c r="CM27" s="88">
        <f>MAX(AW27,($E27*IF(CM$2&gt;Inputs!$D$5,0,IF(CM$2&gt;VLOOKUP($H27,Lists!$P$3:$Q$7,2),IF($N27=Lists!$K$3,IF($L27&lt;1,(($U27/$L27)*((1+Inputs!$D$7)^CM$2)),((INT(CM$2/$L27)-INT((CM$2-1)/$L27))*$U27*((1+Inputs!$D$7)^CM$2))),(Inputs!$D$8^((1-_xlfn.WEIBULL.DIST(CM$2,$M27,$L27,FALSE))/_xlfn.WEIBULL.DIST(CM$2,$M27,$L27,FALSE))*$U27*((1+Inputs!$D$7)^CM$2))),IF($N27=Lists!$K$3,IF($L27&lt;1,((($T27*(1-$F27)+$S27*(1-$G27))/$L27)*((1+Inputs!$D$7)^CM$2)),((INT(CM$2/$L27)-INT((CM$2-1)/$L27))*($T27*(1-$F27)+$S27*(1-$G27))*((1+Inputs!$D$7)^CM$2))),((Inputs!$D$8^((1-_xlfn.WEIBULL.DIST(CM$2,$M27,$L27,FALSE))/_xlfn.WEIBULL.DIST(CM$2,$M27,$L27,FALSE))*($T27*(1-$F27)+$S27*(1-$G27))*((1+Inputs!$D$7)^CM$2))))))))</f>
        <v>0</v>
      </c>
      <c r="CN27" s="88">
        <f>MAX(AX27,($E27*IF(CN$2&gt;Inputs!$D$5,0,IF(CN$2&gt;VLOOKUP($H27,Lists!$P$3:$Q$7,2),IF($N27=Lists!$K$3,IF($L27&lt;1,(($U27/$L27)*((1+Inputs!$D$7)^CN$2)),((INT(CN$2/$L27)-INT((CN$2-1)/$L27))*$U27*((1+Inputs!$D$7)^CN$2))),(Inputs!$D$8^((1-_xlfn.WEIBULL.DIST(CN$2,$M27,$L27,FALSE))/_xlfn.WEIBULL.DIST(CN$2,$M27,$L27,FALSE))*$U27*((1+Inputs!$D$7)^CN$2))),IF($N27=Lists!$K$3,IF($L27&lt;1,((($T27*(1-$F27)+$S27*(1-$G27))/$L27)*((1+Inputs!$D$7)^CN$2)),((INT(CN$2/$L27)-INT((CN$2-1)/$L27))*($T27*(1-$F27)+$S27*(1-$G27))*((1+Inputs!$D$7)^CN$2))),((Inputs!$D$8^((1-_xlfn.WEIBULL.DIST(CN$2,$M27,$L27,FALSE))/_xlfn.WEIBULL.DIST(CN$2,$M27,$L27,FALSE))*($T27*(1-$F27)+$S27*(1-$G27))*((1+Inputs!$D$7)^CN$2))))))))</f>
        <v>0</v>
      </c>
      <c r="CO27" s="88">
        <f>MAX(AY27,($E27*IF(CO$2&gt;Inputs!$D$5,0,IF(CO$2&gt;VLOOKUP($H27,Lists!$P$3:$Q$7,2),IF($N27=Lists!$K$3,IF($L27&lt;1,(($U27/$L27)*((1+Inputs!$D$7)^CO$2)),((INT(CO$2/$L27)-INT((CO$2-1)/$L27))*$U27*((1+Inputs!$D$7)^CO$2))),(Inputs!$D$8^((1-_xlfn.WEIBULL.DIST(CO$2,$M27,$L27,FALSE))/_xlfn.WEIBULL.DIST(CO$2,$M27,$L27,FALSE))*$U27*((1+Inputs!$D$7)^CO$2))),IF($N27=Lists!$K$3,IF($L27&lt;1,((($T27*(1-$F27)+$S27*(1-$G27))/$L27)*((1+Inputs!$D$7)^CO$2)),((INT(CO$2/$L27)-INT((CO$2-1)/$L27))*($T27*(1-$F27)+$S27*(1-$G27))*((1+Inputs!$D$7)^CO$2))),((Inputs!$D$8^((1-_xlfn.WEIBULL.DIST(CO$2,$M27,$L27,FALSE))/_xlfn.WEIBULL.DIST(CO$2,$M27,$L27,FALSE))*($T27*(1-$F27)+$S27*(1-$G27))*((1+Inputs!$D$7)^CO$2))))))))</f>
        <v>0</v>
      </c>
      <c r="CP27" s="88">
        <f>MAX(AZ27,($E27*IF(CP$2&gt;Inputs!$D$5,0,IF(CP$2&gt;VLOOKUP($H27,Lists!$P$3:$Q$7,2),IF($N27=Lists!$K$3,IF($L27&lt;1,(($U27/$L27)*((1+Inputs!$D$7)^CP$2)),((INT(CP$2/$L27)-INT((CP$2-1)/$L27))*$U27*((1+Inputs!$D$7)^CP$2))),(Inputs!$D$8^((1-_xlfn.WEIBULL.DIST(CP$2,$M27,$L27,FALSE))/_xlfn.WEIBULL.DIST(CP$2,$M27,$L27,FALSE))*$U27*((1+Inputs!$D$7)^CP$2))),IF($N27=Lists!$K$3,IF($L27&lt;1,((($T27*(1-$F27)+$S27*(1-$G27))/$L27)*((1+Inputs!$D$7)^CP$2)),((INT(CP$2/$L27)-INT((CP$2-1)/$L27))*($T27*(1-$F27)+$S27*(1-$G27))*((1+Inputs!$D$7)^CP$2))),((Inputs!$D$8^((1-_xlfn.WEIBULL.DIST(CP$2,$M27,$L27,FALSE))/_xlfn.WEIBULL.DIST(CP$2,$M27,$L27,FALSE))*($T27*(1-$F27)+$S27*(1-$G27))*((1+Inputs!$D$7)^CP$2))))))))</f>
        <v>0</v>
      </c>
      <c r="CQ27" s="88">
        <f>MAX(BA27,($E27*IF(CQ$2&gt;Inputs!$D$5,0,IF(CQ$2&gt;VLOOKUP($H27,Lists!$P$3:$Q$7,2),IF($N27=Lists!$K$3,IF($L27&lt;1,(($U27/$L27)*((1+Inputs!$D$7)^CQ$2)),((INT(CQ$2/$L27)-INT((CQ$2-1)/$L27))*$U27*((1+Inputs!$D$7)^CQ$2))),(Inputs!$D$8^((1-_xlfn.WEIBULL.DIST(CQ$2,$M27,$L27,FALSE))/_xlfn.WEIBULL.DIST(CQ$2,$M27,$L27,FALSE))*$U27*((1+Inputs!$D$7)^CQ$2))),IF($N27=Lists!$K$3,IF($L27&lt;1,((($T27*(1-$F27)+$S27*(1-$G27))/$L27)*((1+Inputs!$D$7)^CQ$2)),((INT(CQ$2/$L27)-INT((CQ$2-1)/$L27))*($T27*(1-$F27)+$S27*(1-$G27))*((1+Inputs!$D$7)^CQ$2))),((Inputs!$D$8^((1-_xlfn.WEIBULL.DIST(CQ$2,$M27,$L27,FALSE))/_xlfn.WEIBULL.DIST(CQ$2,$M27,$L27,FALSE))*($T27*(1-$F27)+$S27*(1-$G27))*((1+Inputs!$D$7)^CQ$2))))))))</f>
        <v>0</v>
      </c>
      <c r="CR27" s="88">
        <f>MAX(BB27,($E27*IF(CR$2&gt;Inputs!$D$5,0,IF(CR$2&gt;VLOOKUP($H27,Lists!$P$3:$Q$7,2),IF($N27=Lists!$K$3,IF($L27&lt;1,(($U27/$L27)*((1+Inputs!$D$7)^CR$2)),((INT(CR$2/$L27)-INT((CR$2-1)/$L27))*$U27*((1+Inputs!$D$7)^CR$2))),(Inputs!$D$8^((1-_xlfn.WEIBULL.DIST(CR$2,$M27,$L27,FALSE))/_xlfn.WEIBULL.DIST(CR$2,$M27,$L27,FALSE))*$U27*((1+Inputs!$D$7)^CR$2))),IF($N27=Lists!$K$3,IF($L27&lt;1,((($T27*(1-$F27)+$S27*(1-$G27))/$L27)*((1+Inputs!$D$7)^CR$2)),((INT(CR$2/$L27)-INT((CR$2-1)/$L27))*($T27*(1-$F27)+$S27*(1-$G27))*((1+Inputs!$D$7)^CR$2))),((Inputs!$D$8^((1-_xlfn.WEIBULL.DIST(CR$2,$M27,$L27,FALSE))/_xlfn.WEIBULL.DIST(CR$2,$M27,$L27,FALSE))*($T27*(1-$F27)+$S27*(1-$G27))*((1+Inputs!$D$7)^CR$2))))))))</f>
        <v>0</v>
      </c>
      <c r="CS27" s="88">
        <f>MAX(BC27,($E27*IF(CS$2&gt;Inputs!$D$5,0,IF(CS$2&gt;VLOOKUP($H27,Lists!$P$3:$Q$7,2),IF($N27=Lists!$K$3,IF($L27&lt;1,(($U27/$L27)*((1+Inputs!$D$7)^CS$2)),((INT(CS$2/$L27)-INT((CS$2-1)/$L27))*$U27*((1+Inputs!$D$7)^CS$2))),(Inputs!$D$8^((1-_xlfn.WEIBULL.DIST(CS$2,$M27,$L27,FALSE))/_xlfn.WEIBULL.DIST(CS$2,$M27,$L27,FALSE))*$U27*((1+Inputs!$D$7)^CS$2))),IF($N27=Lists!$K$3,IF($L27&lt;1,((($T27*(1-$F27)+$S27*(1-$G27))/$L27)*((1+Inputs!$D$7)^CS$2)),((INT(CS$2/$L27)-INT((CS$2-1)/$L27))*($T27*(1-$F27)+$S27*(1-$G27))*((1+Inputs!$D$7)^CS$2))),((Inputs!$D$8^((1-_xlfn.WEIBULL.DIST(CS$2,$M27,$L27,FALSE))/_xlfn.WEIBULL.DIST(CS$2,$M27,$L27,FALSE))*($T27*(1-$F27)+$S27*(1-$G27))*((1+Inputs!$D$7)^CS$2))))))))</f>
        <v>0</v>
      </c>
      <c r="CT27" s="88">
        <f>MAX(BD27,($E27*IF(CT$2&gt;Inputs!$D$5,0,IF(CT$2&gt;VLOOKUP($H27,Lists!$P$3:$Q$7,2),IF($N27=Lists!$K$3,IF($L27&lt;1,(($U27/$L27)*((1+Inputs!$D$7)^CT$2)),((INT(CT$2/$L27)-INT((CT$2-1)/$L27))*$U27*((1+Inputs!$D$7)^CT$2))),(Inputs!$D$8^((1-_xlfn.WEIBULL.DIST(CT$2,$M27,$L27,FALSE))/_xlfn.WEIBULL.DIST(CT$2,$M27,$L27,FALSE))*$U27*((1+Inputs!$D$7)^CT$2))),IF($N27=Lists!$K$3,IF($L27&lt;1,((($T27*(1-$F27)+$S27*(1-$G27))/$L27)*((1+Inputs!$D$7)^CT$2)),((INT(CT$2/$L27)-INT((CT$2-1)/$L27))*($T27*(1-$F27)+$S27*(1-$G27))*((1+Inputs!$D$7)^CT$2))),((Inputs!$D$8^((1-_xlfn.WEIBULL.DIST(CT$2,$M27,$L27,FALSE))/_xlfn.WEIBULL.DIST(CT$2,$M27,$L27,FALSE))*($T27*(1-$F27)+$S27*(1-$G27))*((1+Inputs!$D$7)^CT$2))))))))</f>
        <v>0</v>
      </c>
      <c r="CU27" s="88">
        <f>MAX(BE27,($E27*IF(CU$2&gt;Inputs!$D$5,0,IF(CU$2&gt;VLOOKUP($H27,Lists!$P$3:$Q$7,2),IF($N27=Lists!$K$3,IF($L27&lt;1,(($U27/$L27)*((1+Inputs!$D$7)^CU$2)),((INT(CU$2/$L27)-INT((CU$2-1)/$L27))*$U27*((1+Inputs!$D$7)^CU$2))),(Inputs!$D$8^((1-_xlfn.WEIBULL.DIST(CU$2,$M27,$L27,FALSE))/_xlfn.WEIBULL.DIST(CU$2,$M27,$L27,FALSE))*$U27*((1+Inputs!$D$7)^CU$2))),IF($N27=Lists!$K$3,IF($L27&lt;1,((($T27*(1-$F27)+$S27*(1-$G27))/$L27)*((1+Inputs!$D$7)^CU$2)),((INT(CU$2/$L27)-INT((CU$2-1)/$L27))*($T27*(1-$F27)+$S27*(1-$G27))*((1+Inputs!$D$7)^CU$2))),((Inputs!$D$8^((1-_xlfn.WEIBULL.DIST(CU$2,$M27,$L27,FALSE))/_xlfn.WEIBULL.DIST(CU$2,$M27,$L27,FALSE))*($T27*(1-$F27)+$S27*(1-$G27))*((1+Inputs!$D$7)^CU$2))))))))</f>
        <v>0</v>
      </c>
      <c r="CV27" s="88">
        <f>MAX(BF27,($E27*IF(CV$2&gt;Inputs!$D$5,0,IF(CV$2&gt;VLOOKUP($H27,Lists!$P$3:$Q$7,2),IF($N27=Lists!$K$3,IF($L27&lt;1,(($U27/$L27)*((1+Inputs!$D$7)^CV$2)),((INT(CV$2/$L27)-INT((CV$2-1)/$L27))*$U27*((1+Inputs!$D$7)^CV$2))),(Inputs!$D$8^((1-_xlfn.WEIBULL.DIST(CV$2,$M27,$L27,FALSE))/_xlfn.WEIBULL.DIST(CV$2,$M27,$L27,FALSE))*$U27*((1+Inputs!$D$7)^CV$2))),IF($N27=Lists!$K$3,IF($L27&lt;1,((($T27*(1-$F27)+$S27*(1-$G27))/$L27)*((1+Inputs!$D$7)^CV$2)),((INT(CV$2/$L27)-INT((CV$2-1)/$L27))*($T27*(1-$F27)+$S27*(1-$G27))*((1+Inputs!$D$7)^CV$2))),((Inputs!$D$8^((1-_xlfn.WEIBULL.DIST(CV$2,$M27,$L27,FALSE))/_xlfn.WEIBULL.DIST(CV$2,$M27,$L27,FALSE))*($T27*(1-$F27)+$S27*(1-$G27))*((1+Inputs!$D$7)^CV$2))))))))</f>
        <v>0</v>
      </c>
      <c r="CW27" s="88">
        <f>MAX(BG27,($E27*IF(CW$2&gt;Inputs!$D$5,0,IF(CW$2&gt;VLOOKUP($H27,Lists!$P$3:$Q$7,2),IF($N27=Lists!$K$3,IF($L27&lt;1,(($U27/$L27)*((1+Inputs!$D$7)^CW$2)),((INT(CW$2/$L27)-INT((CW$2-1)/$L27))*$U27*((1+Inputs!$D$7)^CW$2))),(Inputs!$D$8^((1-_xlfn.WEIBULL.DIST(CW$2,$M27,$L27,FALSE))/_xlfn.WEIBULL.DIST(CW$2,$M27,$L27,FALSE))*$U27*((1+Inputs!$D$7)^CW$2))),IF($N27=Lists!$K$3,IF($L27&lt;1,((($T27*(1-$F27)+$S27*(1-$G27))/$L27)*((1+Inputs!$D$7)^CW$2)),((INT(CW$2/$L27)-INT((CW$2-1)/$L27))*($T27*(1-$F27)+$S27*(1-$G27))*((1+Inputs!$D$7)^CW$2))),((Inputs!$D$8^((1-_xlfn.WEIBULL.DIST(CW$2,$M27,$L27,FALSE))/_xlfn.WEIBULL.DIST(CW$2,$M27,$L27,FALSE))*($T27*(1-$F27)+$S27*(1-$G27))*((1+Inputs!$D$7)^CW$2))))))))</f>
        <v>0</v>
      </c>
      <c r="CX27" s="88">
        <f>MAX(BH27,($E27*IF(CX$2&gt;Inputs!$D$5,0,IF(CX$2&gt;VLOOKUP($H27,Lists!$P$3:$Q$7,2),IF($N27=Lists!$K$3,IF($L27&lt;1,(($U27/$L27)*((1+Inputs!$D$7)^CX$2)),((INT(CX$2/$L27)-INT((CX$2-1)/$L27))*$U27*((1+Inputs!$D$7)^CX$2))),(Inputs!$D$8^((1-_xlfn.WEIBULL.DIST(CX$2,$M27,$L27,FALSE))/_xlfn.WEIBULL.DIST(CX$2,$M27,$L27,FALSE))*$U27*((1+Inputs!$D$7)^CX$2))),IF($N27=Lists!$K$3,IF($L27&lt;1,((($T27*(1-$F27)+$S27*(1-$G27))/$L27)*((1+Inputs!$D$7)^CX$2)),((INT(CX$2/$L27)-INT((CX$2-1)/$L27))*($T27*(1-$F27)+$S27*(1-$G27))*((1+Inputs!$D$7)^CX$2))),((Inputs!$D$8^((1-_xlfn.WEIBULL.DIST(CX$2,$M27,$L27,FALSE))/_xlfn.WEIBULL.DIST(CX$2,$M27,$L27,FALSE))*($T27*(1-$F27)+$S27*(1-$G27))*((1+Inputs!$D$7)^CX$2))))))))</f>
        <v>0</v>
      </c>
      <c r="CY27" s="88">
        <f>MAX(BI27,($E27*IF(CY$2&gt;Inputs!$D$5,0,IF(CY$2&gt;VLOOKUP($H27,Lists!$P$3:$Q$7,2),IF($N27=Lists!$K$3,IF($L27&lt;1,(($U27/$L27)*((1+Inputs!$D$7)^CY$2)),((INT(CY$2/$L27)-INT((CY$2-1)/$L27))*$U27*((1+Inputs!$D$7)^CY$2))),(Inputs!$D$8^((1-_xlfn.WEIBULL.DIST(CY$2,$M27,$L27,FALSE))/_xlfn.WEIBULL.DIST(CY$2,$M27,$L27,FALSE))*$U27*((1+Inputs!$D$7)^CY$2))),IF($N27=Lists!$K$3,IF($L27&lt;1,((($T27*(1-$F27)+$S27*(1-$G27))/$L27)*((1+Inputs!$D$7)^CY$2)),((INT(CY$2/$L27)-INT((CY$2-1)/$L27))*($T27*(1-$F27)+$S27*(1-$G27))*((1+Inputs!$D$7)^CY$2))),((Inputs!$D$8^((1-_xlfn.WEIBULL.DIST(CY$2,$M27,$L27,FALSE))/_xlfn.WEIBULL.DIST(CY$2,$M27,$L27,FALSE))*($T27*(1-$F27)+$S27*(1-$G27))*((1+Inputs!$D$7)^CY$2))))))))</f>
        <v>0</v>
      </c>
      <c r="CZ27" s="88">
        <f>MAX(BJ27,($E27*IF(CZ$2&gt;Inputs!$D$5,0,IF(CZ$2&gt;VLOOKUP($H27,Lists!$P$3:$Q$7,2),IF($N27=Lists!$K$3,IF($L27&lt;1,(($U27/$L27)*((1+Inputs!$D$7)^CZ$2)),((INT(CZ$2/$L27)-INT((CZ$2-1)/$L27))*$U27*((1+Inputs!$D$7)^CZ$2))),(Inputs!$D$8^((1-_xlfn.WEIBULL.DIST(CZ$2,$M27,$L27,FALSE))/_xlfn.WEIBULL.DIST(CZ$2,$M27,$L27,FALSE))*$U27*((1+Inputs!$D$7)^CZ$2))),IF($N27=Lists!$K$3,IF($L27&lt;1,((($T27*(1-$F27)+$S27*(1-$G27))/$L27)*((1+Inputs!$D$7)^CZ$2)),((INT(CZ$2/$L27)-INT((CZ$2-1)/$L27))*($T27*(1-$F27)+$S27*(1-$G27))*((1+Inputs!$D$7)^CZ$2))),((Inputs!$D$8^((1-_xlfn.WEIBULL.DIST(CZ$2,$M27,$L27,FALSE))/_xlfn.WEIBULL.DIST(CZ$2,$M27,$L27,FALSE))*($T27*(1-$F27)+$S27*(1-$G27))*((1+Inputs!$D$7)^CZ$2))))))))</f>
        <v>0</v>
      </c>
      <c r="DA27" s="88">
        <f>MAX(BK27,($E27*IF(DA$2&gt;Inputs!$D$5,0,IF(DA$2&gt;VLOOKUP($H27,Lists!$P$3:$Q$7,2),IF($N27=Lists!$K$3,IF($L27&lt;1,(($U27/$L27)*((1+Inputs!$D$7)^DA$2)),((INT(DA$2/$L27)-INT((DA$2-1)/$L27))*$U27*((1+Inputs!$D$7)^DA$2))),(Inputs!$D$8^((1-_xlfn.WEIBULL.DIST(DA$2,$M27,$L27,FALSE))/_xlfn.WEIBULL.DIST(DA$2,$M27,$L27,FALSE))*$U27*((1+Inputs!$D$7)^DA$2))),IF($N27=Lists!$K$3,IF($L27&lt;1,((($T27*(1-$F27)+$S27*(1-$G27))/$L27)*((1+Inputs!$D$7)^DA$2)),((INT(DA$2/$L27)-INT((DA$2-1)/$L27))*($T27*(1-$F27)+$S27*(1-$G27))*((1+Inputs!$D$7)^DA$2))),((Inputs!$D$8^((1-_xlfn.WEIBULL.DIST(DA$2,$M27,$L27,FALSE))/_xlfn.WEIBULL.DIST(DA$2,$M27,$L27,FALSE))*($T27*(1-$F27)+$S27*(1-$G27))*((1+Inputs!$D$7)^DA$2))))))))</f>
        <v>0</v>
      </c>
      <c r="DB27" s="88">
        <f>MAX(BL27,($E27*IF(DB$2&gt;Inputs!$D$5,0,IF(DB$2&gt;VLOOKUP($H27,Lists!$P$3:$Q$7,2),IF($N27=Lists!$K$3,IF($L27&lt;1,(($U27/$L27)*((1+Inputs!$D$7)^DB$2)),((INT(DB$2/$L27)-INT((DB$2-1)/$L27))*$U27*((1+Inputs!$D$7)^DB$2))),(Inputs!$D$8^((1-_xlfn.WEIBULL.DIST(DB$2,$M27,$L27,FALSE))/_xlfn.WEIBULL.DIST(DB$2,$M27,$L27,FALSE))*$U27*((1+Inputs!$D$7)^DB$2))),IF($N27=Lists!$K$3,IF($L27&lt;1,((($T27*(1-$F27)+$S27*(1-$G27))/$L27)*((1+Inputs!$D$7)^DB$2)),((INT(DB$2/$L27)-INT((DB$2-1)/$L27))*($T27*(1-$F27)+$S27*(1-$G27))*((1+Inputs!$D$7)^DB$2))),((Inputs!$D$8^((1-_xlfn.WEIBULL.DIST(DB$2,$M27,$L27,FALSE))/_xlfn.WEIBULL.DIST(DB$2,$M27,$L27,FALSE))*($T27*(1-$F27)+$S27*(1-$G27))*((1+Inputs!$D$7)^DB$2))))))))</f>
        <v>0</v>
      </c>
      <c r="DC27" s="88">
        <f>MAX(BM27,($E27*IF(DC$2&gt;Inputs!$D$5,0,IF(DC$2&gt;VLOOKUP($H27,Lists!$P$3:$Q$7,2),IF($N27=Lists!$K$3,IF($L27&lt;1,(($U27/$L27)*((1+Inputs!$D$7)^DC$2)),((INT(DC$2/$L27)-INT((DC$2-1)/$L27))*$U27*((1+Inputs!$D$7)^DC$2))),(Inputs!$D$8^((1-_xlfn.WEIBULL.DIST(DC$2,$M27,$L27,FALSE))/_xlfn.WEIBULL.DIST(DC$2,$M27,$L27,FALSE))*$U27*((1+Inputs!$D$7)^DC$2))),IF($N27=Lists!$K$3,IF($L27&lt;1,((($T27*(1-$F27)+$S27*(1-$G27))/$L27)*((1+Inputs!$D$7)^DC$2)),((INT(DC$2/$L27)-INT((DC$2-1)/$L27))*($T27*(1-$F27)+$S27*(1-$G27))*((1+Inputs!$D$7)^DC$2))),((Inputs!$D$8^((1-_xlfn.WEIBULL.DIST(DC$2,$M27,$L27,FALSE))/_xlfn.WEIBULL.DIST(DC$2,$M27,$L27,FALSE))*($T27*(1-$F27)+$S27*(1-$G27))*((1+Inputs!$D$7)^DC$2))))))))</f>
        <v>0</v>
      </c>
      <c r="DD27" s="88">
        <f>MAX(BN27,($E27*IF(DD$2&gt;Inputs!$D$5,0,IF(DD$2&gt;VLOOKUP($H27,Lists!$P$3:$Q$7,2),IF($N27=Lists!$K$3,IF($L27&lt;1,(($U27/$L27)*((1+Inputs!$D$7)^DD$2)),((INT(DD$2/$L27)-INT((DD$2-1)/$L27))*$U27*((1+Inputs!$D$7)^DD$2))),(Inputs!$D$8^((1-_xlfn.WEIBULL.DIST(DD$2,$M27,$L27,FALSE))/_xlfn.WEIBULL.DIST(DD$2,$M27,$L27,FALSE))*$U27*((1+Inputs!$D$7)^DD$2))),IF($N27=Lists!$K$3,IF($L27&lt;1,((($T27*(1-$F27)+$S27*(1-$G27))/$L27)*((1+Inputs!$D$7)^DD$2)),((INT(DD$2/$L27)-INT((DD$2-1)/$L27))*($T27*(1-$F27)+$S27*(1-$G27))*((1+Inputs!$D$7)^DD$2))),((Inputs!$D$8^((1-_xlfn.WEIBULL.DIST(DD$2,$M27,$L27,FALSE))/_xlfn.WEIBULL.DIST(DD$2,$M27,$L27,FALSE))*($T27*(1-$F27)+$S27*(1-$G27))*((1+Inputs!$D$7)^DD$2))))))))</f>
        <v>0</v>
      </c>
    </row>
    <row r="28" spans="1:108" s="1" customFormat="1" ht="16">
      <c r="A28" s="57" t="s">
        <v>199</v>
      </c>
      <c r="B28" s="13" t="s">
        <v>130</v>
      </c>
      <c r="C28" s="13" t="s">
        <v>474</v>
      </c>
      <c r="D28" s="13" t="s">
        <v>16</v>
      </c>
      <c r="E28" s="48">
        <f>IF(Inputs!$D$30=Lists!$M$4,1,0)</f>
        <v>1</v>
      </c>
      <c r="F28" s="48">
        <v>0</v>
      </c>
      <c r="G28" s="48">
        <v>0</v>
      </c>
      <c r="H28" s="105" t="s">
        <v>349</v>
      </c>
      <c r="I28" s="14" t="s">
        <v>264</v>
      </c>
      <c r="J28" s="14" t="s">
        <v>246</v>
      </c>
      <c r="K28" s="13">
        <f>VLOOKUP(J28,'Labor Rates'!$A$1:$F$16,2)</f>
        <v>33.119999999999997</v>
      </c>
      <c r="L28" s="15">
        <v>1</v>
      </c>
      <c r="M28" s="15">
        <v>3</v>
      </c>
      <c r="N28" s="16" t="s">
        <v>240</v>
      </c>
      <c r="O28" s="61">
        <f>Inputs!$D$32</f>
        <v>10</v>
      </c>
      <c r="P28" s="15">
        <v>0.25</v>
      </c>
      <c r="Q28" s="15">
        <f t="shared" si="0"/>
        <v>2.5</v>
      </c>
      <c r="R28" s="4">
        <v>0</v>
      </c>
      <c r="S28" s="53">
        <f t="shared" si="1"/>
        <v>82.8</v>
      </c>
      <c r="T28" s="53">
        <f t="shared" si="2"/>
        <v>0</v>
      </c>
      <c r="U28" s="54">
        <f t="shared" si="3"/>
        <v>82.8</v>
      </c>
      <c r="V28" s="65"/>
      <c r="W28" s="58"/>
      <c r="X28" s="64">
        <f t="shared" si="4"/>
        <v>102.60293318686972</v>
      </c>
      <c r="Y28" s="64">
        <f>NPV(Inputs!$D$6,AA28:BN28)</f>
        <v>1178.5322910187749</v>
      </c>
      <c r="Z28" s="67">
        <f t="shared" si="5"/>
        <v>5.5585336522521241E-4</v>
      </c>
      <c r="AA28" s="88">
        <f>$E28*IF(AA$2&gt;Inputs!$D$5,0,IF(AA$2&gt;VLOOKUP($H28,Lists!$P$3:$Q$7,2),IF($N28=Lists!$K$3,IF($L28&lt;1,(($U28/$L28)*((1+Inputs!$D$7)^AA$2)),((INT(AA$2/$L28)-INT((AA$2-1)/$L28))*$U28*((1+Inputs!$D$7)^AA$2))),(_xlfn.WEIBULL.DIST(AA$2,$M28,$L28,FALSE)*$U28*((1+Inputs!$D$7)^AA$2))),IF($N28=Lists!$K$3,IF($L28&lt;1,((($T28*(1-$F28)+$S28*(1-$G28))/$L28)*((1+Inputs!$D$7)^AA$2)),((INT(AA$2/$L28)-INT((AA$2-1)/$L28))*($T28*(1-$F28)+$S28*(1-$G28))*((1+Inputs!$D$7)^AA$2))),((_xlfn.WEIBULL.DIST(AA$2,$M28,$L28,FALSE)*($T28*(1-$F28)+$S28*(1-$G28))*((1+Inputs!$D$7)^AA$2))))))</f>
        <v>84.456000000000003</v>
      </c>
      <c r="AB28" s="88">
        <f>$E28*IF(AB$2&gt;Inputs!$D$5,0,IF(AB$2&gt;VLOOKUP($H28,Lists!$P$3:$Q$7,2),IF($N28=Lists!$K$3,IF($L28&lt;1,(($U28/$L28)*((1+Inputs!$D$7)^AB$2)),((INT(AB$2/$L28)-INT((AB$2-1)/$L28))*$U28*((1+Inputs!$D$7)^AB$2))),(_xlfn.WEIBULL.DIST(AB$2,$M28,$L28,FALSE)*$U28*((1+Inputs!$D$7)^AB$2))),IF($N28=Lists!$K$3,IF($L28&lt;1,((($T28*(1-$F28)+$S28*(1-$G28))/$L28)*((1+Inputs!$D$7)^AB$2)),((INT(AB$2/$L28)-INT((AB$2-1)/$L28))*($T28*(1-$F28)+$S28*(1-$G28))*((1+Inputs!$D$7)^AB$2))),((_xlfn.WEIBULL.DIST(AB$2,$M28,$L28,FALSE)*($T28*(1-$F28)+$S28*(1-$G28))*((1+Inputs!$D$7)^AB$2))))))</f>
        <v>86.145119999999991</v>
      </c>
      <c r="AC28" s="88">
        <f>$E28*IF(AC$2&gt;Inputs!$D$5,0,IF(AC$2&gt;VLOOKUP($H28,Lists!$P$3:$Q$7,2),IF($N28=Lists!$K$3,IF($L28&lt;1,(($U28/$L28)*((1+Inputs!$D$7)^AC$2)),((INT(AC$2/$L28)-INT((AC$2-1)/$L28))*$U28*((1+Inputs!$D$7)^AC$2))),(_xlfn.WEIBULL.DIST(AC$2,$M28,$L28,FALSE)*$U28*((1+Inputs!$D$7)^AC$2))),IF($N28=Lists!$K$3,IF($L28&lt;1,((($T28*(1-$F28)+$S28*(1-$G28))/$L28)*((1+Inputs!$D$7)^AC$2)),((INT(AC$2/$L28)-INT((AC$2-1)/$L28))*($T28*(1-$F28)+$S28*(1-$G28))*((1+Inputs!$D$7)^AC$2))),((_xlfn.WEIBULL.DIST(AC$2,$M28,$L28,FALSE)*($T28*(1-$F28)+$S28*(1-$G28))*((1+Inputs!$D$7)^AC$2))))))</f>
        <v>87.868022399999987</v>
      </c>
      <c r="AD28" s="88">
        <f>$E28*IF(AD$2&gt;Inputs!$D$5,0,IF(AD$2&gt;VLOOKUP($H28,Lists!$P$3:$Q$7,2),IF($N28=Lists!$K$3,IF($L28&lt;1,(($U28/$L28)*((1+Inputs!$D$7)^AD$2)),((INT(AD$2/$L28)-INT((AD$2-1)/$L28))*$U28*((1+Inputs!$D$7)^AD$2))),(_xlfn.WEIBULL.DIST(AD$2,$M28,$L28,FALSE)*$U28*((1+Inputs!$D$7)^AD$2))),IF($N28=Lists!$K$3,IF($L28&lt;1,((($T28*(1-$F28)+$S28*(1-$G28))/$L28)*((1+Inputs!$D$7)^AD$2)),((INT(AD$2/$L28)-INT((AD$2-1)/$L28))*($T28*(1-$F28)+$S28*(1-$G28))*((1+Inputs!$D$7)^AD$2))),((_xlfn.WEIBULL.DIST(AD$2,$M28,$L28,FALSE)*($T28*(1-$F28)+$S28*(1-$G28))*((1+Inputs!$D$7)^AD$2))))))</f>
        <v>89.625382848000001</v>
      </c>
      <c r="AE28" s="88">
        <f>$E28*IF(AE$2&gt;Inputs!$D$5,0,IF(AE$2&gt;VLOOKUP($H28,Lists!$P$3:$Q$7,2),IF($N28=Lists!$K$3,IF($L28&lt;1,(($U28/$L28)*((1+Inputs!$D$7)^AE$2)),((INT(AE$2/$L28)-INT((AE$2-1)/$L28))*$U28*((1+Inputs!$D$7)^AE$2))),(_xlfn.WEIBULL.DIST(AE$2,$M28,$L28,FALSE)*$U28*((1+Inputs!$D$7)^AE$2))),IF($N28=Lists!$K$3,IF($L28&lt;1,((($T28*(1-$F28)+$S28*(1-$G28))/$L28)*((1+Inputs!$D$7)^AE$2)),((INT(AE$2/$L28)-INT((AE$2-1)/$L28))*($T28*(1-$F28)+$S28*(1-$G28))*((1+Inputs!$D$7)^AE$2))),((_xlfn.WEIBULL.DIST(AE$2,$M28,$L28,FALSE)*($T28*(1-$F28)+$S28*(1-$G28))*((1+Inputs!$D$7)^AE$2))))))</f>
        <v>91.417890504959999</v>
      </c>
      <c r="AF28" s="88">
        <f>$E28*IF(AF$2&gt;Inputs!$D$5,0,IF(AF$2&gt;VLOOKUP($H28,Lists!$P$3:$Q$7,2),IF($N28=Lists!$K$3,IF($L28&lt;1,(($U28/$L28)*((1+Inputs!$D$7)^AF$2)),((INT(AF$2/$L28)-INT((AF$2-1)/$L28))*$U28*((1+Inputs!$D$7)^AF$2))),(_xlfn.WEIBULL.DIST(AF$2,$M28,$L28,FALSE)*$U28*((1+Inputs!$D$7)^AF$2))),IF($N28=Lists!$K$3,IF($L28&lt;1,((($T28*(1-$F28)+$S28*(1-$G28))/$L28)*((1+Inputs!$D$7)^AF$2)),((INT(AF$2/$L28)-INT((AF$2-1)/$L28))*($T28*(1-$F28)+$S28*(1-$G28))*((1+Inputs!$D$7)^AF$2))),((_xlfn.WEIBULL.DIST(AF$2,$M28,$L28,FALSE)*($T28*(1-$F28)+$S28*(1-$G28))*((1+Inputs!$D$7)^AF$2))))))</f>
        <v>93.246248315059205</v>
      </c>
      <c r="AG28" s="88">
        <f>$E28*IF(AG$2&gt;Inputs!$D$5,0,IF(AG$2&gt;VLOOKUP($H28,Lists!$P$3:$Q$7,2),IF($N28=Lists!$K$3,IF($L28&lt;1,(($U28/$L28)*((1+Inputs!$D$7)^AG$2)),((INT(AG$2/$L28)-INT((AG$2-1)/$L28))*$U28*((1+Inputs!$D$7)^AG$2))),(_xlfn.WEIBULL.DIST(AG$2,$M28,$L28,FALSE)*$U28*((1+Inputs!$D$7)^AG$2))),IF($N28=Lists!$K$3,IF($L28&lt;1,((($T28*(1-$F28)+$S28*(1-$G28))/$L28)*((1+Inputs!$D$7)^AG$2)),((INT(AG$2/$L28)-INT((AG$2-1)/$L28))*($T28*(1-$F28)+$S28*(1-$G28))*((1+Inputs!$D$7)^AG$2))),((_xlfn.WEIBULL.DIST(AG$2,$M28,$L28,FALSE)*($T28*(1-$F28)+$S28*(1-$G28))*((1+Inputs!$D$7)^AG$2))))))</f>
        <v>95.111173281360365</v>
      </c>
      <c r="AH28" s="88">
        <f>$E28*IF(AH$2&gt;Inputs!$D$5,0,IF(AH$2&gt;VLOOKUP($H28,Lists!$P$3:$Q$7,2),IF($N28=Lists!$K$3,IF($L28&lt;1,(($U28/$L28)*((1+Inputs!$D$7)^AH$2)),((INT(AH$2/$L28)-INT((AH$2-1)/$L28))*$U28*((1+Inputs!$D$7)^AH$2))),(_xlfn.WEIBULL.DIST(AH$2,$M28,$L28,FALSE)*$U28*((1+Inputs!$D$7)^AH$2))),IF($N28=Lists!$K$3,IF($L28&lt;1,((($T28*(1-$F28)+$S28*(1-$G28))/$L28)*((1+Inputs!$D$7)^AH$2)),((INT(AH$2/$L28)-INT((AH$2-1)/$L28))*($T28*(1-$F28)+$S28*(1-$G28))*((1+Inputs!$D$7)^AH$2))),((_xlfn.WEIBULL.DIST(AH$2,$M28,$L28,FALSE)*($T28*(1-$F28)+$S28*(1-$G28))*((1+Inputs!$D$7)^AH$2))))))</f>
        <v>97.013396746987581</v>
      </c>
      <c r="AI28" s="88">
        <f>$E28*IF(AI$2&gt;Inputs!$D$5,0,IF(AI$2&gt;VLOOKUP($H28,Lists!$P$3:$Q$7,2),IF($N28=Lists!$K$3,IF($L28&lt;1,(($U28/$L28)*((1+Inputs!$D$7)^AI$2)),((INT(AI$2/$L28)-INT((AI$2-1)/$L28))*$U28*((1+Inputs!$D$7)^AI$2))),(_xlfn.WEIBULL.DIST(AI$2,$M28,$L28,FALSE)*$U28*((1+Inputs!$D$7)^AI$2))),IF($N28=Lists!$K$3,IF($L28&lt;1,((($T28*(1-$F28)+$S28*(1-$G28))/$L28)*((1+Inputs!$D$7)^AI$2)),((INT(AI$2/$L28)-INT((AI$2-1)/$L28))*($T28*(1-$F28)+$S28*(1-$G28))*((1+Inputs!$D$7)^AI$2))),((_xlfn.WEIBULL.DIST(AI$2,$M28,$L28,FALSE)*($T28*(1-$F28)+$S28*(1-$G28))*((1+Inputs!$D$7)^AI$2))))))</f>
        <v>98.953664681927336</v>
      </c>
      <c r="AJ28" s="88">
        <f>$E28*IF(AJ$2&gt;Inputs!$D$5,0,IF(AJ$2&gt;VLOOKUP($H28,Lists!$P$3:$Q$7,2),IF($N28=Lists!$K$3,IF($L28&lt;1,(($U28/$L28)*((1+Inputs!$D$7)^AJ$2)),((INT(AJ$2/$L28)-INT((AJ$2-1)/$L28))*$U28*((1+Inputs!$D$7)^AJ$2))),(_xlfn.WEIBULL.DIST(AJ$2,$M28,$L28,FALSE)*$U28*((1+Inputs!$D$7)^AJ$2))),IF($N28=Lists!$K$3,IF($L28&lt;1,((($T28*(1-$F28)+$S28*(1-$G28))/$L28)*((1+Inputs!$D$7)^AJ$2)),((INT(AJ$2/$L28)-INT((AJ$2-1)/$L28))*($T28*(1-$F28)+$S28*(1-$G28))*((1+Inputs!$D$7)^AJ$2))),((_xlfn.WEIBULL.DIST(AJ$2,$M28,$L28,FALSE)*($T28*(1-$F28)+$S28*(1-$G28))*((1+Inputs!$D$7)^AJ$2))))))</f>
        <v>100.93273797556589</v>
      </c>
      <c r="AK28" s="88">
        <f>$E28*IF(AK$2&gt;Inputs!$D$5,0,IF(AK$2&gt;VLOOKUP($H28,Lists!$P$3:$Q$7,2),IF($N28=Lists!$K$3,IF($L28&lt;1,(($U28/$L28)*((1+Inputs!$D$7)^AK$2)),((INT(AK$2/$L28)-INT((AK$2-1)/$L28))*$U28*((1+Inputs!$D$7)^AK$2))),(_xlfn.WEIBULL.DIST(AK$2,$M28,$L28,FALSE)*$U28*((1+Inputs!$D$7)^AK$2))),IF($N28=Lists!$K$3,IF($L28&lt;1,((($T28*(1-$F28)+$S28*(1-$G28))/$L28)*((1+Inputs!$D$7)^AK$2)),((INT(AK$2/$L28)-INT((AK$2-1)/$L28))*($T28*(1-$F28)+$S28*(1-$G28))*((1+Inputs!$D$7)^AK$2))),((_xlfn.WEIBULL.DIST(AK$2,$M28,$L28,FALSE)*($T28*(1-$F28)+$S28*(1-$G28))*((1+Inputs!$D$7)^AK$2))))))</f>
        <v>102.95139273507718</v>
      </c>
      <c r="AL28" s="88">
        <f>$E28*IF(AL$2&gt;Inputs!$D$5,0,IF(AL$2&gt;VLOOKUP($H28,Lists!$P$3:$Q$7,2),IF($N28=Lists!$K$3,IF($L28&lt;1,(($U28/$L28)*((1+Inputs!$D$7)^AL$2)),((INT(AL$2/$L28)-INT((AL$2-1)/$L28))*$U28*((1+Inputs!$D$7)^AL$2))),(_xlfn.WEIBULL.DIST(AL$2,$M28,$L28,FALSE)*$U28*((1+Inputs!$D$7)^AL$2))),IF($N28=Lists!$K$3,IF($L28&lt;1,((($T28*(1-$F28)+$S28*(1-$G28))/$L28)*((1+Inputs!$D$7)^AL$2)),((INT(AL$2/$L28)-INT((AL$2-1)/$L28))*($T28*(1-$F28)+$S28*(1-$G28))*((1+Inputs!$D$7)^AL$2))),((_xlfn.WEIBULL.DIST(AL$2,$M28,$L28,FALSE)*($T28*(1-$F28)+$S28*(1-$G28))*((1+Inputs!$D$7)^AL$2))))))</f>
        <v>105.01042058977875</v>
      </c>
      <c r="AM28" s="88">
        <f>$E28*IF(AM$2&gt;Inputs!$D$5,0,IF(AM$2&gt;VLOOKUP($H28,Lists!$P$3:$Q$7,2),IF($N28=Lists!$K$3,IF($L28&lt;1,(($U28/$L28)*((1+Inputs!$D$7)^AM$2)),((INT(AM$2/$L28)-INT((AM$2-1)/$L28))*$U28*((1+Inputs!$D$7)^AM$2))),(_xlfn.WEIBULL.DIST(AM$2,$M28,$L28,FALSE)*$U28*((1+Inputs!$D$7)^AM$2))),IF($N28=Lists!$K$3,IF($L28&lt;1,((($T28*(1-$F28)+$S28*(1-$G28))/$L28)*((1+Inputs!$D$7)^AM$2)),((INT(AM$2/$L28)-INT((AM$2-1)/$L28))*($T28*(1-$F28)+$S28*(1-$G28))*((1+Inputs!$D$7)^AM$2))),((_xlfn.WEIBULL.DIST(AM$2,$M28,$L28,FALSE)*($T28*(1-$F28)+$S28*(1-$G28))*((1+Inputs!$D$7)^AM$2))))))</f>
        <v>107.11062900157431</v>
      </c>
      <c r="AN28" s="88">
        <f>$E28*IF(AN$2&gt;Inputs!$D$5,0,IF(AN$2&gt;VLOOKUP($H28,Lists!$P$3:$Q$7,2),IF($N28=Lists!$K$3,IF($L28&lt;1,(($U28/$L28)*((1+Inputs!$D$7)^AN$2)),((INT(AN$2/$L28)-INT((AN$2-1)/$L28))*$U28*((1+Inputs!$D$7)^AN$2))),(_xlfn.WEIBULL.DIST(AN$2,$M28,$L28,FALSE)*$U28*((1+Inputs!$D$7)^AN$2))),IF($N28=Lists!$K$3,IF($L28&lt;1,((($T28*(1-$F28)+$S28*(1-$G28))/$L28)*((1+Inputs!$D$7)^AN$2)),((INT(AN$2/$L28)-INT((AN$2-1)/$L28))*($T28*(1-$F28)+$S28*(1-$G28))*((1+Inputs!$D$7)^AN$2))),((_xlfn.WEIBULL.DIST(AN$2,$M28,$L28,FALSE)*($T28*(1-$F28)+$S28*(1-$G28))*((1+Inputs!$D$7)^AN$2))))))</f>
        <v>109.25284158160581</v>
      </c>
      <c r="AO28" s="88">
        <f>$E28*IF(AO$2&gt;Inputs!$D$5,0,IF(AO$2&gt;VLOOKUP($H28,Lists!$P$3:$Q$7,2),IF($N28=Lists!$K$3,IF($L28&lt;1,(($U28/$L28)*((1+Inputs!$D$7)^AO$2)),((INT(AO$2/$L28)-INT((AO$2-1)/$L28))*$U28*((1+Inputs!$D$7)^AO$2))),(_xlfn.WEIBULL.DIST(AO$2,$M28,$L28,FALSE)*$U28*((1+Inputs!$D$7)^AO$2))),IF($N28=Lists!$K$3,IF($L28&lt;1,((($T28*(1-$F28)+$S28*(1-$G28))/$L28)*((1+Inputs!$D$7)^AO$2)),((INT(AO$2/$L28)-INT((AO$2-1)/$L28))*($T28*(1-$F28)+$S28*(1-$G28))*((1+Inputs!$D$7)^AO$2))),((_xlfn.WEIBULL.DIST(AO$2,$M28,$L28,FALSE)*($T28*(1-$F28)+$S28*(1-$G28))*((1+Inputs!$D$7)^AO$2))))))</f>
        <v>111.43789841323789</v>
      </c>
      <c r="AP28" s="88">
        <f>$E28*IF(AP$2&gt;Inputs!$D$5,0,IF(AP$2&gt;VLOOKUP($H28,Lists!$P$3:$Q$7,2),IF($N28=Lists!$K$3,IF($L28&lt;1,(($U28/$L28)*((1+Inputs!$D$7)^AP$2)),((INT(AP$2/$L28)-INT((AP$2-1)/$L28))*$U28*((1+Inputs!$D$7)^AP$2))),(_xlfn.WEIBULL.DIST(AP$2,$M28,$L28,FALSE)*$U28*((1+Inputs!$D$7)^AP$2))),IF($N28=Lists!$K$3,IF($L28&lt;1,((($T28*(1-$F28)+$S28*(1-$G28))/$L28)*((1+Inputs!$D$7)^AP$2)),((INT(AP$2/$L28)-INT((AP$2-1)/$L28))*($T28*(1-$F28)+$S28*(1-$G28))*((1+Inputs!$D$7)^AP$2))),((_xlfn.WEIBULL.DIST(AP$2,$M28,$L28,FALSE)*($T28*(1-$F28)+$S28*(1-$G28))*((1+Inputs!$D$7)^AP$2))))))</f>
        <v>113.66665638150268</v>
      </c>
      <c r="AQ28" s="88">
        <f>$E28*IF(AQ$2&gt;Inputs!$D$5,0,IF(AQ$2&gt;VLOOKUP($H28,Lists!$P$3:$Q$7,2),IF($N28=Lists!$K$3,IF($L28&lt;1,(($U28/$L28)*((1+Inputs!$D$7)^AQ$2)),((INT(AQ$2/$L28)-INT((AQ$2-1)/$L28))*$U28*((1+Inputs!$D$7)^AQ$2))),(_xlfn.WEIBULL.DIST(AQ$2,$M28,$L28,FALSE)*$U28*((1+Inputs!$D$7)^AQ$2))),IF($N28=Lists!$K$3,IF($L28&lt;1,((($T28*(1-$F28)+$S28*(1-$G28))/$L28)*((1+Inputs!$D$7)^AQ$2)),((INT(AQ$2/$L28)-INT((AQ$2-1)/$L28))*($T28*(1-$F28)+$S28*(1-$G28))*((1+Inputs!$D$7)^AQ$2))),((_xlfn.WEIBULL.DIST(AQ$2,$M28,$L28,FALSE)*($T28*(1-$F28)+$S28*(1-$G28))*((1+Inputs!$D$7)^AQ$2))))))</f>
        <v>115.93998950913273</v>
      </c>
      <c r="AR28" s="88">
        <f>$E28*IF(AR$2&gt;Inputs!$D$5,0,IF(AR$2&gt;VLOOKUP($H28,Lists!$P$3:$Q$7,2),IF($N28=Lists!$K$3,IF($L28&lt;1,(($U28/$L28)*((1+Inputs!$D$7)^AR$2)),((INT(AR$2/$L28)-INT((AR$2-1)/$L28))*$U28*((1+Inputs!$D$7)^AR$2))),(_xlfn.WEIBULL.DIST(AR$2,$M28,$L28,FALSE)*$U28*((1+Inputs!$D$7)^AR$2))),IF($N28=Lists!$K$3,IF($L28&lt;1,((($T28*(1-$F28)+$S28*(1-$G28))/$L28)*((1+Inputs!$D$7)^AR$2)),((INT(AR$2/$L28)-INT((AR$2-1)/$L28))*($T28*(1-$F28)+$S28*(1-$G28))*((1+Inputs!$D$7)^AR$2))),((_xlfn.WEIBULL.DIST(AR$2,$M28,$L28,FALSE)*($T28*(1-$F28)+$S28*(1-$G28))*((1+Inputs!$D$7)^AR$2))))))</f>
        <v>118.25878929931538</v>
      </c>
      <c r="AS28" s="88">
        <f>$E28*IF(AS$2&gt;Inputs!$D$5,0,IF(AS$2&gt;VLOOKUP($H28,Lists!$P$3:$Q$7,2),IF($N28=Lists!$K$3,IF($L28&lt;1,(($U28/$L28)*((1+Inputs!$D$7)^AS$2)),((INT(AS$2/$L28)-INT((AS$2-1)/$L28))*$U28*((1+Inputs!$D$7)^AS$2))),(_xlfn.WEIBULL.DIST(AS$2,$M28,$L28,FALSE)*$U28*((1+Inputs!$D$7)^AS$2))),IF($N28=Lists!$K$3,IF($L28&lt;1,((($T28*(1-$F28)+$S28*(1-$G28))/$L28)*((1+Inputs!$D$7)^AS$2)),((INT(AS$2/$L28)-INT((AS$2-1)/$L28))*($T28*(1-$F28)+$S28*(1-$G28))*((1+Inputs!$D$7)^AS$2))),((_xlfn.WEIBULL.DIST(AS$2,$M28,$L28,FALSE)*($T28*(1-$F28)+$S28*(1-$G28))*((1+Inputs!$D$7)^AS$2))))))</f>
        <v>120.62396508530168</v>
      </c>
      <c r="AT28" s="88">
        <f>$E28*IF(AT$2&gt;Inputs!$D$5,0,IF(AT$2&gt;VLOOKUP($H28,Lists!$P$3:$Q$7,2),IF($N28=Lists!$K$3,IF($L28&lt;1,(($U28/$L28)*((1+Inputs!$D$7)^AT$2)),((INT(AT$2/$L28)-INT((AT$2-1)/$L28))*$U28*((1+Inputs!$D$7)^AT$2))),(_xlfn.WEIBULL.DIST(AT$2,$M28,$L28,FALSE)*$U28*((1+Inputs!$D$7)^AT$2))),IF($N28=Lists!$K$3,IF($L28&lt;1,((($T28*(1-$F28)+$S28*(1-$G28))/$L28)*((1+Inputs!$D$7)^AT$2)),((INT(AT$2/$L28)-INT((AT$2-1)/$L28))*($T28*(1-$F28)+$S28*(1-$G28))*((1+Inputs!$D$7)^AT$2))),((_xlfn.WEIBULL.DIST(AT$2,$M28,$L28,FALSE)*($T28*(1-$F28)+$S28*(1-$G28))*((1+Inputs!$D$7)^AT$2))))))</f>
        <v>123.03644438700772</v>
      </c>
      <c r="AU28" s="88">
        <f>$E28*IF(AU$2&gt;Inputs!$D$5,0,IF(AU$2&gt;VLOOKUP($H28,Lists!$P$3:$Q$7,2),IF($N28=Lists!$K$3,IF($L28&lt;1,(($U28/$L28)*((1+Inputs!$D$7)^AU$2)),((INT(AU$2/$L28)-INT((AU$2-1)/$L28))*$U28*((1+Inputs!$D$7)^AU$2))),(_xlfn.WEIBULL.DIST(AU$2,$M28,$L28,FALSE)*$U28*((1+Inputs!$D$7)^AU$2))),IF($N28=Lists!$K$3,IF($L28&lt;1,((($T28*(1-$F28)+$S28*(1-$G28))/$L28)*((1+Inputs!$D$7)^AU$2)),((INT(AU$2/$L28)-INT((AU$2-1)/$L28))*($T28*(1-$F28)+$S28*(1-$G28))*((1+Inputs!$D$7)^AU$2))),((_xlfn.WEIBULL.DIST(AU$2,$M28,$L28,FALSE)*($T28*(1-$F28)+$S28*(1-$G28))*((1+Inputs!$D$7)^AU$2))))))</f>
        <v>125.49717327474787</v>
      </c>
      <c r="AV28" s="88">
        <f>$E28*IF(AV$2&gt;Inputs!$D$5,0,IF(AV$2&gt;VLOOKUP($H28,Lists!$P$3:$Q$7,2),IF($N28=Lists!$K$3,IF($L28&lt;1,(($U28/$L28)*((1+Inputs!$D$7)^AV$2)),((INT(AV$2/$L28)-INT((AV$2-1)/$L28))*$U28*((1+Inputs!$D$7)^AV$2))),(_xlfn.WEIBULL.DIST(AV$2,$M28,$L28,FALSE)*$U28*((1+Inputs!$D$7)^AV$2))),IF($N28=Lists!$K$3,IF($L28&lt;1,((($T28*(1-$F28)+$S28*(1-$G28))/$L28)*((1+Inputs!$D$7)^AV$2)),((INT(AV$2/$L28)-INT((AV$2-1)/$L28))*($T28*(1-$F28)+$S28*(1-$G28))*((1+Inputs!$D$7)^AV$2))),((_xlfn.WEIBULL.DIST(AV$2,$M28,$L28,FALSE)*($T28*(1-$F28)+$S28*(1-$G28))*((1+Inputs!$D$7)^AV$2))))))</f>
        <v>128.00711674024285</v>
      </c>
      <c r="AW28" s="88">
        <f>$E28*IF(AW$2&gt;Inputs!$D$5,0,IF(AW$2&gt;VLOOKUP($H28,Lists!$P$3:$Q$7,2),IF($N28=Lists!$K$3,IF($L28&lt;1,(($U28/$L28)*((1+Inputs!$D$7)^AW$2)),((INT(AW$2/$L28)-INT((AW$2-1)/$L28))*$U28*((1+Inputs!$D$7)^AW$2))),(_xlfn.WEIBULL.DIST(AW$2,$M28,$L28,FALSE)*$U28*((1+Inputs!$D$7)^AW$2))),IF($N28=Lists!$K$3,IF($L28&lt;1,((($T28*(1-$F28)+$S28*(1-$G28))/$L28)*((1+Inputs!$D$7)^AW$2)),((INT(AW$2/$L28)-INT((AW$2-1)/$L28))*($T28*(1-$F28)+$S28*(1-$G28))*((1+Inputs!$D$7)^AW$2))),((_xlfn.WEIBULL.DIST(AW$2,$M28,$L28,FALSE)*($T28*(1-$F28)+$S28*(1-$G28))*((1+Inputs!$D$7)^AW$2))))))</f>
        <v>130.56725907504767</v>
      </c>
      <c r="AX28" s="88">
        <f>$E28*IF(AX$2&gt;Inputs!$D$5,0,IF(AX$2&gt;VLOOKUP($H28,Lists!$P$3:$Q$7,2),IF($N28=Lists!$K$3,IF($L28&lt;1,(($U28/$L28)*((1+Inputs!$D$7)^AX$2)),((INT(AX$2/$L28)-INT((AX$2-1)/$L28))*$U28*((1+Inputs!$D$7)^AX$2))),(_xlfn.WEIBULL.DIST(AX$2,$M28,$L28,FALSE)*$U28*((1+Inputs!$D$7)^AX$2))),IF($N28=Lists!$K$3,IF($L28&lt;1,((($T28*(1-$F28)+$S28*(1-$G28))/$L28)*((1+Inputs!$D$7)^AX$2)),((INT(AX$2/$L28)-INT((AX$2-1)/$L28))*($T28*(1-$F28)+$S28*(1-$G28))*((1+Inputs!$D$7)^AX$2))),((_xlfn.WEIBULL.DIST(AX$2,$M28,$L28,FALSE)*($T28*(1-$F28)+$S28*(1-$G28))*((1+Inputs!$D$7)^AX$2))))))</f>
        <v>133.17860425654862</v>
      </c>
      <c r="AY28" s="88">
        <f>$E28*IF(AY$2&gt;Inputs!$D$5,0,IF(AY$2&gt;VLOOKUP($H28,Lists!$P$3:$Q$7,2),IF($N28=Lists!$K$3,IF($L28&lt;1,(($U28/$L28)*((1+Inputs!$D$7)^AY$2)),((INT(AY$2/$L28)-INT((AY$2-1)/$L28))*$U28*((1+Inputs!$D$7)^AY$2))),(_xlfn.WEIBULL.DIST(AY$2,$M28,$L28,FALSE)*$U28*((1+Inputs!$D$7)^AY$2))),IF($N28=Lists!$K$3,IF($L28&lt;1,((($T28*(1-$F28)+$S28*(1-$G28))/$L28)*((1+Inputs!$D$7)^AY$2)),((INT(AY$2/$L28)-INT((AY$2-1)/$L28))*($T28*(1-$F28)+$S28*(1-$G28))*((1+Inputs!$D$7)^AY$2))),((_xlfn.WEIBULL.DIST(AY$2,$M28,$L28,FALSE)*($T28*(1-$F28)+$S28*(1-$G28))*((1+Inputs!$D$7)^AY$2))))))</f>
        <v>135.84217634167959</v>
      </c>
      <c r="AZ28" s="88">
        <f>$E28*IF(AZ$2&gt;Inputs!$D$5,0,IF(AZ$2&gt;VLOOKUP($H28,Lists!$P$3:$Q$7,2),IF($N28=Lists!$K$3,IF($L28&lt;1,(($U28/$L28)*((1+Inputs!$D$7)^AZ$2)),((INT(AZ$2/$L28)-INT((AZ$2-1)/$L28))*$U28*((1+Inputs!$D$7)^AZ$2))),(_xlfn.WEIBULL.DIST(AZ$2,$M28,$L28,FALSE)*$U28*((1+Inputs!$D$7)^AZ$2))),IF($N28=Lists!$K$3,IF($L28&lt;1,((($T28*(1-$F28)+$S28*(1-$G28))/$L28)*((1+Inputs!$D$7)^AZ$2)),((INT(AZ$2/$L28)-INT((AZ$2-1)/$L28))*($T28*(1-$F28)+$S28*(1-$G28))*((1+Inputs!$D$7)^AZ$2))),((_xlfn.WEIBULL.DIST(AZ$2,$M28,$L28,FALSE)*($T28*(1-$F28)+$S28*(1-$G28))*((1+Inputs!$D$7)^AZ$2))))))</f>
        <v>0</v>
      </c>
      <c r="BA28" s="88">
        <f>$E28*IF(BA$2&gt;Inputs!$D$5,0,IF(BA$2&gt;VLOOKUP($H28,Lists!$P$3:$Q$7,2),IF($N28=Lists!$K$3,IF($L28&lt;1,(($U28/$L28)*((1+Inputs!$D$7)^BA$2)),((INT(BA$2/$L28)-INT((BA$2-1)/$L28))*$U28*((1+Inputs!$D$7)^BA$2))),(_xlfn.WEIBULL.DIST(BA$2,$M28,$L28,FALSE)*$U28*((1+Inputs!$D$7)^BA$2))),IF($N28=Lists!$K$3,IF($L28&lt;1,((($T28*(1-$F28)+$S28*(1-$G28))/$L28)*((1+Inputs!$D$7)^BA$2)),((INT(BA$2/$L28)-INT((BA$2-1)/$L28))*($T28*(1-$F28)+$S28*(1-$G28))*((1+Inputs!$D$7)^BA$2))),((_xlfn.WEIBULL.DIST(BA$2,$M28,$L28,FALSE)*($T28*(1-$F28)+$S28*(1-$G28))*((1+Inputs!$D$7)^BA$2))))))</f>
        <v>0</v>
      </c>
      <c r="BB28" s="88">
        <f>$E28*IF(BB$2&gt;Inputs!$D$5,0,IF(BB$2&gt;VLOOKUP($H28,Lists!$P$3:$Q$7,2),IF($N28=Lists!$K$3,IF($L28&lt;1,(($U28/$L28)*((1+Inputs!$D$7)^BB$2)),((INT(BB$2/$L28)-INT((BB$2-1)/$L28))*$U28*((1+Inputs!$D$7)^BB$2))),(_xlfn.WEIBULL.DIST(BB$2,$M28,$L28,FALSE)*$U28*((1+Inputs!$D$7)^BB$2))),IF($N28=Lists!$K$3,IF($L28&lt;1,((($T28*(1-$F28)+$S28*(1-$G28))/$L28)*((1+Inputs!$D$7)^BB$2)),((INT(BB$2/$L28)-INT((BB$2-1)/$L28))*($T28*(1-$F28)+$S28*(1-$G28))*((1+Inputs!$D$7)^BB$2))),((_xlfn.WEIBULL.DIST(BB$2,$M28,$L28,FALSE)*($T28*(1-$F28)+$S28*(1-$G28))*((1+Inputs!$D$7)^BB$2))))))</f>
        <v>0</v>
      </c>
      <c r="BC28" s="88">
        <f>$E28*IF(BC$2&gt;Inputs!$D$5,0,IF(BC$2&gt;VLOOKUP($H28,Lists!$P$3:$Q$7,2),IF($N28=Lists!$K$3,IF($L28&lt;1,(($U28/$L28)*((1+Inputs!$D$7)^BC$2)),((INT(BC$2/$L28)-INT((BC$2-1)/$L28))*$U28*((1+Inputs!$D$7)^BC$2))),(_xlfn.WEIBULL.DIST(BC$2,$M28,$L28,FALSE)*$U28*((1+Inputs!$D$7)^BC$2))),IF($N28=Lists!$K$3,IF($L28&lt;1,((($T28*(1-$F28)+$S28*(1-$G28))/$L28)*((1+Inputs!$D$7)^BC$2)),((INT(BC$2/$L28)-INT((BC$2-1)/$L28))*($T28*(1-$F28)+$S28*(1-$G28))*((1+Inputs!$D$7)^BC$2))),((_xlfn.WEIBULL.DIST(BC$2,$M28,$L28,FALSE)*($T28*(1-$F28)+$S28*(1-$G28))*((1+Inputs!$D$7)^BC$2))))))</f>
        <v>0</v>
      </c>
      <c r="BD28" s="88">
        <f>$E28*IF(BD$2&gt;Inputs!$D$5,0,IF(BD$2&gt;VLOOKUP($H28,Lists!$P$3:$Q$7,2),IF($N28=Lists!$K$3,IF($L28&lt;1,(($U28/$L28)*((1+Inputs!$D$7)^BD$2)),((INT(BD$2/$L28)-INT((BD$2-1)/$L28))*$U28*((1+Inputs!$D$7)^BD$2))),(_xlfn.WEIBULL.DIST(BD$2,$M28,$L28,FALSE)*$U28*((1+Inputs!$D$7)^BD$2))),IF($N28=Lists!$K$3,IF($L28&lt;1,((($T28*(1-$F28)+$S28*(1-$G28))/$L28)*((1+Inputs!$D$7)^BD$2)),((INT(BD$2/$L28)-INT((BD$2-1)/$L28))*($T28*(1-$F28)+$S28*(1-$G28))*((1+Inputs!$D$7)^BD$2))),((_xlfn.WEIBULL.DIST(BD$2,$M28,$L28,FALSE)*($T28*(1-$F28)+$S28*(1-$G28))*((1+Inputs!$D$7)^BD$2))))))</f>
        <v>0</v>
      </c>
      <c r="BE28" s="88">
        <f>$E28*IF(BE$2&gt;Inputs!$D$5,0,IF(BE$2&gt;VLOOKUP($H28,Lists!$P$3:$Q$7,2),IF($N28=Lists!$K$3,IF($L28&lt;1,(($U28/$L28)*((1+Inputs!$D$7)^BE$2)),((INT(BE$2/$L28)-INT((BE$2-1)/$L28))*$U28*((1+Inputs!$D$7)^BE$2))),(_xlfn.WEIBULL.DIST(BE$2,$M28,$L28,FALSE)*$U28*((1+Inputs!$D$7)^BE$2))),IF($N28=Lists!$K$3,IF($L28&lt;1,((($T28*(1-$F28)+$S28*(1-$G28))/$L28)*((1+Inputs!$D$7)^BE$2)),((INT(BE$2/$L28)-INT((BE$2-1)/$L28))*($T28*(1-$F28)+$S28*(1-$G28))*((1+Inputs!$D$7)^BE$2))),((_xlfn.WEIBULL.DIST(BE$2,$M28,$L28,FALSE)*($T28*(1-$F28)+$S28*(1-$G28))*((1+Inputs!$D$7)^BE$2))))))</f>
        <v>0</v>
      </c>
      <c r="BF28" s="88">
        <f>$E28*IF(BF$2&gt;Inputs!$D$5,0,IF(BF$2&gt;VLOOKUP($H28,Lists!$P$3:$Q$7,2),IF($N28=Lists!$K$3,IF($L28&lt;1,(($U28/$L28)*((1+Inputs!$D$7)^BF$2)),((INT(BF$2/$L28)-INT((BF$2-1)/$L28))*$U28*((1+Inputs!$D$7)^BF$2))),(_xlfn.WEIBULL.DIST(BF$2,$M28,$L28,FALSE)*$U28*((1+Inputs!$D$7)^BF$2))),IF($N28=Lists!$K$3,IF($L28&lt;1,((($T28*(1-$F28)+$S28*(1-$G28))/$L28)*((1+Inputs!$D$7)^BF$2)),((INT(BF$2/$L28)-INT((BF$2-1)/$L28))*($T28*(1-$F28)+$S28*(1-$G28))*((1+Inputs!$D$7)^BF$2))),((_xlfn.WEIBULL.DIST(BF$2,$M28,$L28,FALSE)*($T28*(1-$F28)+$S28*(1-$G28))*((1+Inputs!$D$7)^BF$2))))))</f>
        <v>0</v>
      </c>
      <c r="BG28" s="88">
        <f>$E28*IF(BG$2&gt;Inputs!$D$5,0,IF(BG$2&gt;VLOOKUP($H28,Lists!$P$3:$Q$7,2),IF($N28=Lists!$K$3,IF($L28&lt;1,(($U28/$L28)*((1+Inputs!$D$7)^BG$2)),((INT(BG$2/$L28)-INT((BG$2-1)/$L28))*$U28*((1+Inputs!$D$7)^BG$2))),(_xlfn.WEIBULL.DIST(BG$2,$M28,$L28,FALSE)*$U28*((1+Inputs!$D$7)^BG$2))),IF($N28=Lists!$K$3,IF($L28&lt;1,((($T28*(1-$F28)+$S28*(1-$G28))/$L28)*((1+Inputs!$D$7)^BG$2)),((INT(BG$2/$L28)-INT((BG$2-1)/$L28))*($T28*(1-$F28)+$S28*(1-$G28))*((1+Inputs!$D$7)^BG$2))),((_xlfn.WEIBULL.DIST(BG$2,$M28,$L28,FALSE)*($T28*(1-$F28)+$S28*(1-$G28))*((1+Inputs!$D$7)^BG$2))))))</f>
        <v>0</v>
      </c>
      <c r="BH28" s="88">
        <f>$E28*IF(BH$2&gt;Inputs!$D$5,0,IF(BH$2&gt;VLOOKUP($H28,Lists!$P$3:$Q$7,2),IF($N28=Lists!$K$3,IF($L28&lt;1,(($U28/$L28)*((1+Inputs!$D$7)^BH$2)),((INT(BH$2/$L28)-INT((BH$2-1)/$L28))*$U28*((1+Inputs!$D$7)^BH$2))),(_xlfn.WEIBULL.DIST(BH$2,$M28,$L28,FALSE)*$U28*((1+Inputs!$D$7)^BH$2))),IF($N28=Lists!$K$3,IF($L28&lt;1,((($T28*(1-$F28)+$S28*(1-$G28))/$L28)*((1+Inputs!$D$7)^BH$2)),((INT(BH$2/$L28)-INT((BH$2-1)/$L28))*($T28*(1-$F28)+$S28*(1-$G28))*((1+Inputs!$D$7)^BH$2))),((_xlfn.WEIBULL.DIST(BH$2,$M28,$L28,FALSE)*($T28*(1-$F28)+$S28*(1-$G28))*((1+Inputs!$D$7)^BH$2))))))</f>
        <v>0</v>
      </c>
      <c r="BI28" s="88">
        <f>$E28*IF(BI$2&gt;Inputs!$D$5,0,IF(BI$2&gt;VLOOKUP($H28,Lists!$P$3:$Q$7,2),IF($N28=Lists!$K$3,IF($L28&lt;1,(($U28/$L28)*((1+Inputs!$D$7)^BI$2)),((INT(BI$2/$L28)-INT((BI$2-1)/$L28))*$U28*((1+Inputs!$D$7)^BI$2))),(_xlfn.WEIBULL.DIST(BI$2,$M28,$L28,FALSE)*$U28*((1+Inputs!$D$7)^BI$2))),IF($N28=Lists!$K$3,IF($L28&lt;1,((($T28*(1-$F28)+$S28*(1-$G28))/$L28)*((1+Inputs!$D$7)^BI$2)),((INT(BI$2/$L28)-INT((BI$2-1)/$L28))*($T28*(1-$F28)+$S28*(1-$G28))*((1+Inputs!$D$7)^BI$2))),((_xlfn.WEIBULL.DIST(BI$2,$M28,$L28,FALSE)*($T28*(1-$F28)+$S28*(1-$G28))*((1+Inputs!$D$7)^BI$2))))))</f>
        <v>0</v>
      </c>
      <c r="BJ28" s="88">
        <f>$E28*IF(BJ$2&gt;Inputs!$D$5,0,IF(BJ$2&gt;VLOOKUP($H28,Lists!$P$3:$Q$7,2),IF($N28=Lists!$K$3,IF($L28&lt;1,(($U28/$L28)*((1+Inputs!$D$7)^BJ$2)),((INT(BJ$2/$L28)-INT((BJ$2-1)/$L28))*$U28*((1+Inputs!$D$7)^BJ$2))),(_xlfn.WEIBULL.DIST(BJ$2,$M28,$L28,FALSE)*$U28*((1+Inputs!$D$7)^BJ$2))),IF($N28=Lists!$K$3,IF($L28&lt;1,((($T28*(1-$F28)+$S28*(1-$G28))/$L28)*((1+Inputs!$D$7)^BJ$2)),((INT(BJ$2/$L28)-INT((BJ$2-1)/$L28))*($T28*(1-$F28)+$S28*(1-$G28))*((1+Inputs!$D$7)^BJ$2))),((_xlfn.WEIBULL.DIST(BJ$2,$M28,$L28,FALSE)*($T28*(1-$F28)+$S28*(1-$G28))*((1+Inputs!$D$7)^BJ$2))))))</f>
        <v>0</v>
      </c>
      <c r="BK28" s="88">
        <f>$E28*IF(BK$2&gt;Inputs!$D$5,0,IF(BK$2&gt;VLOOKUP($H28,Lists!$P$3:$Q$7,2),IF($N28=Lists!$K$3,IF($L28&lt;1,(($U28/$L28)*((1+Inputs!$D$7)^BK$2)),((INT(BK$2/$L28)-INT((BK$2-1)/$L28))*$U28*((1+Inputs!$D$7)^BK$2))),(_xlfn.WEIBULL.DIST(BK$2,$M28,$L28,FALSE)*$U28*((1+Inputs!$D$7)^BK$2))),IF($N28=Lists!$K$3,IF($L28&lt;1,((($T28*(1-$F28)+$S28*(1-$G28))/$L28)*((1+Inputs!$D$7)^BK$2)),((INT(BK$2/$L28)-INT((BK$2-1)/$L28))*($T28*(1-$F28)+$S28*(1-$G28))*((1+Inputs!$D$7)^BK$2))),((_xlfn.WEIBULL.DIST(BK$2,$M28,$L28,FALSE)*($T28*(1-$F28)+$S28*(1-$G28))*((1+Inputs!$D$7)^BK$2))))))</f>
        <v>0</v>
      </c>
      <c r="BL28" s="88">
        <f>$E28*IF(BL$2&gt;Inputs!$D$5,0,IF(BL$2&gt;VLOOKUP($H28,Lists!$P$3:$Q$7,2),IF($N28=Lists!$K$3,IF($L28&lt;1,(($U28/$L28)*((1+Inputs!$D$7)^BL$2)),((INT(BL$2/$L28)-INT((BL$2-1)/$L28))*$U28*((1+Inputs!$D$7)^BL$2))),(_xlfn.WEIBULL.DIST(BL$2,$M28,$L28,FALSE)*$U28*((1+Inputs!$D$7)^BL$2))),IF($N28=Lists!$K$3,IF($L28&lt;1,((($T28*(1-$F28)+$S28*(1-$G28))/$L28)*((1+Inputs!$D$7)^BL$2)),((INT(BL$2/$L28)-INT((BL$2-1)/$L28))*($T28*(1-$F28)+$S28*(1-$G28))*((1+Inputs!$D$7)^BL$2))),((_xlfn.WEIBULL.DIST(BL$2,$M28,$L28,FALSE)*($T28*(1-$F28)+$S28*(1-$G28))*((1+Inputs!$D$7)^BL$2))))))</f>
        <v>0</v>
      </c>
      <c r="BM28" s="88">
        <f>$E28*IF(BM$2&gt;Inputs!$D$5,0,IF(BM$2&gt;VLOOKUP($H28,Lists!$P$3:$Q$7,2),IF($N28=Lists!$K$3,IF($L28&lt;1,(($U28/$L28)*((1+Inputs!$D$7)^BM$2)),((INT(BM$2/$L28)-INT((BM$2-1)/$L28))*$U28*((1+Inputs!$D$7)^BM$2))),(_xlfn.WEIBULL.DIST(BM$2,$M28,$L28,FALSE)*$U28*((1+Inputs!$D$7)^BM$2))),IF($N28=Lists!$K$3,IF($L28&lt;1,((($T28*(1-$F28)+$S28*(1-$G28))/$L28)*((1+Inputs!$D$7)^BM$2)),((INT(BM$2/$L28)-INT((BM$2-1)/$L28))*($T28*(1-$F28)+$S28*(1-$G28))*((1+Inputs!$D$7)^BM$2))),((_xlfn.WEIBULL.DIST(BM$2,$M28,$L28,FALSE)*($T28*(1-$F28)+$S28*(1-$G28))*((1+Inputs!$D$7)^BM$2))))))</f>
        <v>0</v>
      </c>
      <c r="BN28" s="88">
        <f>$E28*IF(BN$2&gt;Inputs!$D$5,0,IF(BN$2&gt;VLOOKUP($H28,Lists!$P$3:$Q$7,2),IF($N28=Lists!$K$3,IF($L28&lt;1,(($U28/$L28)*((1+Inputs!$D$7)^BN$2)),((INT(BN$2/$L28)-INT((BN$2-1)/$L28))*$U28*((1+Inputs!$D$7)^BN$2))),(_xlfn.WEIBULL.DIST(BN$2,$M28,$L28,FALSE)*$U28*((1+Inputs!$D$7)^BN$2))),IF($N28=Lists!$K$3,IF($L28&lt;1,((($T28*(1-$F28)+$S28*(1-$G28))/$L28)*((1+Inputs!$D$7)^BN$2)),((INT(BN$2/$L28)-INT((BN$2-1)/$L28))*($T28*(1-$F28)+$S28*(1-$G28))*((1+Inputs!$D$7)^BN$2))),((_xlfn.WEIBULL.DIST(BN$2,$M28,$L28,FALSE)*($T28*(1-$F28)+$S28*(1-$G28))*((1+Inputs!$D$7)^BN$2))))))</f>
        <v>0</v>
      </c>
      <c r="BO28" s="64">
        <f>NPV(Inputs!$D$6,BQ28:DD28)</f>
        <v>1178.5322910187749</v>
      </c>
      <c r="BP28" s="67">
        <f t="shared" si="6"/>
        <v>5.5585336522521241E-4</v>
      </c>
      <c r="BQ28" s="88">
        <f>MAX(AA28,($E28*IF(BQ$2&gt;Inputs!$D$5,0,IF(BQ$2&gt;VLOOKUP($H28,Lists!$P$3:$Q$7,2),IF($N28=Lists!$K$3,IF($L28&lt;1,(($U28/$L28)*((1+Inputs!$D$7)^BQ$2)),((INT(BQ$2/$L28)-INT((BQ$2-1)/$L28))*$U28*((1+Inputs!$D$7)^BQ$2))),(Inputs!$D$8^((1-_xlfn.WEIBULL.DIST(BQ$2,$M28,$L28,FALSE))/_xlfn.WEIBULL.DIST(BQ$2,$M28,$L28,FALSE))*$U28*((1+Inputs!$D$7)^BQ$2))),IF($N28=Lists!$K$3,IF($L28&lt;1,((($T28*(1-$F28)+$S28*(1-$G28))/$L28)*((1+Inputs!$D$7)^BQ$2)),((INT(BQ$2/$L28)-INT((BQ$2-1)/$L28))*($T28*(1-$F28)+$S28*(1-$G28))*((1+Inputs!$D$7)^BQ$2))),((Inputs!$D$8^((1-_xlfn.WEIBULL.DIST(BQ$2,$M28,$L28,FALSE))/_xlfn.WEIBULL.DIST(BQ$2,$M28,$L28,FALSE))*($T28*(1-$F28)+$S28*(1-$G28))*((1+Inputs!$D$7)^BQ$2))))))))</f>
        <v>84.456000000000003</v>
      </c>
      <c r="BR28" s="88">
        <f>MAX(AB28,($E28*IF(BR$2&gt;Inputs!$D$5,0,IF(BR$2&gt;VLOOKUP($H28,Lists!$P$3:$Q$7,2),IF($N28=Lists!$K$3,IF($L28&lt;1,(($U28/$L28)*((1+Inputs!$D$7)^BR$2)),((INT(BR$2/$L28)-INT((BR$2-1)/$L28))*$U28*((1+Inputs!$D$7)^BR$2))),(Inputs!$D$8^((1-_xlfn.WEIBULL.DIST(BR$2,$M28,$L28,FALSE))/_xlfn.WEIBULL.DIST(BR$2,$M28,$L28,FALSE))*$U28*((1+Inputs!$D$7)^BR$2))),IF($N28=Lists!$K$3,IF($L28&lt;1,((($T28*(1-$F28)+$S28*(1-$G28))/$L28)*((1+Inputs!$D$7)^BR$2)),((INT(BR$2/$L28)-INT((BR$2-1)/$L28))*($T28*(1-$F28)+$S28*(1-$G28))*((1+Inputs!$D$7)^BR$2))),((Inputs!$D$8^((1-_xlfn.WEIBULL.DIST(BR$2,$M28,$L28,FALSE))/_xlfn.WEIBULL.DIST(BR$2,$M28,$L28,FALSE))*($T28*(1-$F28)+$S28*(1-$G28))*((1+Inputs!$D$7)^BR$2))))))))</f>
        <v>86.145119999999991</v>
      </c>
      <c r="BS28" s="88">
        <f>MAX(AC28,($E28*IF(BS$2&gt;Inputs!$D$5,0,IF(BS$2&gt;VLOOKUP($H28,Lists!$P$3:$Q$7,2),IF($N28=Lists!$K$3,IF($L28&lt;1,(($U28/$L28)*((1+Inputs!$D$7)^BS$2)),((INT(BS$2/$L28)-INT((BS$2-1)/$L28))*$U28*((1+Inputs!$D$7)^BS$2))),(Inputs!$D$8^((1-_xlfn.WEIBULL.DIST(BS$2,$M28,$L28,FALSE))/_xlfn.WEIBULL.DIST(BS$2,$M28,$L28,FALSE))*$U28*((1+Inputs!$D$7)^BS$2))),IF($N28=Lists!$K$3,IF($L28&lt;1,((($T28*(1-$F28)+$S28*(1-$G28))/$L28)*((1+Inputs!$D$7)^BS$2)),((INT(BS$2/$L28)-INT((BS$2-1)/$L28))*($T28*(1-$F28)+$S28*(1-$G28))*((1+Inputs!$D$7)^BS$2))),((Inputs!$D$8^((1-_xlfn.WEIBULL.DIST(BS$2,$M28,$L28,FALSE))/_xlfn.WEIBULL.DIST(BS$2,$M28,$L28,FALSE))*($T28*(1-$F28)+$S28*(1-$G28))*((1+Inputs!$D$7)^BS$2))))))))</f>
        <v>87.868022399999987</v>
      </c>
      <c r="BT28" s="88">
        <f>MAX(AD28,($E28*IF(BT$2&gt;Inputs!$D$5,0,IF(BT$2&gt;VLOOKUP($H28,Lists!$P$3:$Q$7,2),IF($N28=Lists!$K$3,IF($L28&lt;1,(($U28/$L28)*((1+Inputs!$D$7)^BT$2)),((INT(BT$2/$L28)-INT((BT$2-1)/$L28))*$U28*((1+Inputs!$D$7)^BT$2))),(Inputs!$D$8^((1-_xlfn.WEIBULL.DIST(BT$2,$M28,$L28,FALSE))/_xlfn.WEIBULL.DIST(BT$2,$M28,$L28,FALSE))*$U28*((1+Inputs!$D$7)^BT$2))),IF($N28=Lists!$K$3,IF($L28&lt;1,((($T28*(1-$F28)+$S28*(1-$G28))/$L28)*((1+Inputs!$D$7)^BT$2)),((INT(BT$2/$L28)-INT((BT$2-1)/$L28))*($T28*(1-$F28)+$S28*(1-$G28))*((1+Inputs!$D$7)^BT$2))),((Inputs!$D$8^((1-_xlfn.WEIBULL.DIST(BT$2,$M28,$L28,FALSE))/_xlfn.WEIBULL.DIST(BT$2,$M28,$L28,FALSE))*($T28*(1-$F28)+$S28*(1-$G28))*((1+Inputs!$D$7)^BT$2))))))))</f>
        <v>89.625382848000001</v>
      </c>
      <c r="BU28" s="88">
        <f>MAX(AE28,($E28*IF(BU$2&gt;Inputs!$D$5,0,IF(BU$2&gt;VLOOKUP($H28,Lists!$P$3:$Q$7,2),IF($N28=Lists!$K$3,IF($L28&lt;1,(($U28/$L28)*((1+Inputs!$D$7)^BU$2)),((INT(BU$2/$L28)-INT((BU$2-1)/$L28))*$U28*((1+Inputs!$D$7)^BU$2))),(Inputs!$D$8^((1-_xlfn.WEIBULL.DIST(BU$2,$M28,$L28,FALSE))/_xlfn.WEIBULL.DIST(BU$2,$M28,$L28,FALSE))*$U28*((1+Inputs!$D$7)^BU$2))),IF($N28=Lists!$K$3,IF($L28&lt;1,((($T28*(1-$F28)+$S28*(1-$G28))/$L28)*((1+Inputs!$D$7)^BU$2)),((INT(BU$2/$L28)-INT((BU$2-1)/$L28))*($T28*(1-$F28)+$S28*(1-$G28))*((1+Inputs!$D$7)^BU$2))),((Inputs!$D$8^((1-_xlfn.WEIBULL.DIST(BU$2,$M28,$L28,FALSE))/_xlfn.WEIBULL.DIST(BU$2,$M28,$L28,FALSE))*($T28*(1-$F28)+$S28*(1-$G28))*((1+Inputs!$D$7)^BU$2))))))))</f>
        <v>91.417890504959999</v>
      </c>
      <c r="BV28" s="88">
        <f>MAX(AF28,($E28*IF(BV$2&gt;Inputs!$D$5,0,IF(BV$2&gt;VLOOKUP($H28,Lists!$P$3:$Q$7,2),IF($N28=Lists!$K$3,IF($L28&lt;1,(($U28/$L28)*((1+Inputs!$D$7)^BV$2)),((INT(BV$2/$L28)-INT((BV$2-1)/$L28))*$U28*((1+Inputs!$D$7)^BV$2))),(Inputs!$D$8^((1-_xlfn.WEIBULL.DIST(BV$2,$M28,$L28,FALSE))/_xlfn.WEIBULL.DIST(BV$2,$M28,$L28,FALSE))*$U28*((1+Inputs!$D$7)^BV$2))),IF($N28=Lists!$K$3,IF($L28&lt;1,((($T28*(1-$F28)+$S28*(1-$G28))/$L28)*((1+Inputs!$D$7)^BV$2)),((INT(BV$2/$L28)-INT((BV$2-1)/$L28))*($T28*(1-$F28)+$S28*(1-$G28))*((1+Inputs!$D$7)^BV$2))),((Inputs!$D$8^((1-_xlfn.WEIBULL.DIST(BV$2,$M28,$L28,FALSE))/_xlfn.WEIBULL.DIST(BV$2,$M28,$L28,FALSE))*($T28*(1-$F28)+$S28*(1-$G28))*((1+Inputs!$D$7)^BV$2))))))))</f>
        <v>93.246248315059205</v>
      </c>
      <c r="BW28" s="88">
        <f>MAX(AG28,($E28*IF(BW$2&gt;Inputs!$D$5,0,IF(BW$2&gt;VLOOKUP($H28,Lists!$P$3:$Q$7,2),IF($N28=Lists!$K$3,IF($L28&lt;1,(($U28/$L28)*((1+Inputs!$D$7)^BW$2)),((INT(BW$2/$L28)-INT((BW$2-1)/$L28))*$U28*((1+Inputs!$D$7)^BW$2))),(Inputs!$D$8^((1-_xlfn.WEIBULL.DIST(BW$2,$M28,$L28,FALSE))/_xlfn.WEIBULL.DIST(BW$2,$M28,$L28,FALSE))*$U28*((1+Inputs!$D$7)^BW$2))),IF($N28=Lists!$K$3,IF($L28&lt;1,((($T28*(1-$F28)+$S28*(1-$G28))/$L28)*((1+Inputs!$D$7)^BW$2)),((INT(BW$2/$L28)-INT((BW$2-1)/$L28))*($T28*(1-$F28)+$S28*(1-$G28))*((1+Inputs!$D$7)^BW$2))),((Inputs!$D$8^((1-_xlfn.WEIBULL.DIST(BW$2,$M28,$L28,FALSE))/_xlfn.WEIBULL.DIST(BW$2,$M28,$L28,FALSE))*($T28*(1-$F28)+$S28*(1-$G28))*((1+Inputs!$D$7)^BW$2))))))))</f>
        <v>95.111173281360365</v>
      </c>
      <c r="BX28" s="88">
        <f>MAX(AH28,($E28*IF(BX$2&gt;Inputs!$D$5,0,IF(BX$2&gt;VLOOKUP($H28,Lists!$P$3:$Q$7,2),IF($N28=Lists!$K$3,IF($L28&lt;1,(($U28/$L28)*((1+Inputs!$D$7)^BX$2)),((INT(BX$2/$L28)-INT((BX$2-1)/$L28))*$U28*((1+Inputs!$D$7)^BX$2))),(Inputs!$D$8^((1-_xlfn.WEIBULL.DIST(BX$2,$M28,$L28,FALSE))/_xlfn.WEIBULL.DIST(BX$2,$M28,$L28,FALSE))*$U28*((1+Inputs!$D$7)^BX$2))),IF($N28=Lists!$K$3,IF($L28&lt;1,((($T28*(1-$F28)+$S28*(1-$G28))/$L28)*((1+Inputs!$D$7)^BX$2)),((INT(BX$2/$L28)-INT((BX$2-1)/$L28))*($T28*(1-$F28)+$S28*(1-$G28))*((1+Inputs!$D$7)^BX$2))),((Inputs!$D$8^((1-_xlfn.WEIBULL.DIST(BX$2,$M28,$L28,FALSE))/_xlfn.WEIBULL.DIST(BX$2,$M28,$L28,FALSE))*($T28*(1-$F28)+$S28*(1-$G28))*((1+Inputs!$D$7)^BX$2))))))))</f>
        <v>97.013396746987581</v>
      </c>
      <c r="BY28" s="88">
        <f>MAX(AI28,($E28*IF(BY$2&gt;Inputs!$D$5,0,IF(BY$2&gt;VLOOKUP($H28,Lists!$P$3:$Q$7,2),IF($N28=Lists!$K$3,IF($L28&lt;1,(($U28/$L28)*((1+Inputs!$D$7)^BY$2)),((INT(BY$2/$L28)-INT((BY$2-1)/$L28))*$U28*((1+Inputs!$D$7)^BY$2))),(Inputs!$D$8^((1-_xlfn.WEIBULL.DIST(BY$2,$M28,$L28,FALSE))/_xlfn.WEIBULL.DIST(BY$2,$M28,$L28,FALSE))*$U28*((1+Inputs!$D$7)^BY$2))),IF($N28=Lists!$K$3,IF($L28&lt;1,((($T28*(1-$F28)+$S28*(1-$G28))/$L28)*((1+Inputs!$D$7)^BY$2)),((INT(BY$2/$L28)-INT((BY$2-1)/$L28))*($T28*(1-$F28)+$S28*(1-$G28))*((1+Inputs!$D$7)^BY$2))),((Inputs!$D$8^((1-_xlfn.WEIBULL.DIST(BY$2,$M28,$L28,FALSE))/_xlfn.WEIBULL.DIST(BY$2,$M28,$L28,FALSE))*($T28*(1-$F28)+$S28*(1-$G28))*((1+Inputs!$D$7)^BY$2))))))))</f>
        <v>98.953664681927336</v>
      </c>
      <c r="BZ28" s="88">
        <f>MAX(AJ28,($E28*IF(BZ$2&gt;Inputs!$D$5,0,IF(BZ$2&gt;VLOOKUP($H28,Lists!$P$3:$Q$7,2),IF($N28=Lists!$K$3,IF($L28&lt;1,(($U28/$L28)*((1+Inputs!$D$7)^BZ$2)),((INT(BZ$2/$L28)-INT((BZ$2-1)/$L28))*$U28*((1+Inputs!$D$7)^BZ$2))),(Inputs!$D$8^((1-_xlfn.WEIBULL.DIST(BZ$2,$M28,$L28,FALSE))/_xlfn.WEIBULL.DIST(BZ$2,$M28,$L28,FALSE))*$U28*((1+Inputs!$D$7)^BZ$2))),IF($N28=Lists!$K$3,IF($L28&lt;1,((($T28*(1-$F28)+$S28*(1-$G28))/$L28)*((1+Inputs!$D$7)^BZ$2)),((INT(BZ$2/$L28)-INT((BZ$2-1)/$L28))*($T28*(1-$F28)+$S28*(1-$G28))*((1+Inputs!$D$7)^BZ$2))),((Inputs!$D$8^((1-_xlfn.WEIBULL.DIST(BZ$2,$M28,$L28,FALSE))/_xlfn.WEIBULL.DIST(BZ$2,$M28,$L28,FALSE))*($T28*(1-$F28)+$S28*(1-$G28))*((1+Inputs!$D$7)^BZ$2))))))))</f>
        <v>100.93273797556589</v>
      </c>
      <c r="CA28" s="88">
        <f>MAX(AK28,($E28*IF(CA$2&gt;Inputs!$D$5,0,IF(CA$2&gt;VLOOKUP($H28,Lists!$P$3:$Q$7,2),IF($N28=Lists!$K$3,IF($L28&lt;1,(($U28/$L28)*((1+Inputs!$D$7)^CA$2)),((INT(CA$2/$L28)-INT((CA$2-1)/$L28))*$U28*((1+Inputs!$D$7)^CA$2))),(Inputs!$D$8^((1-_xlfn.WEIBULL.DIST(CA$2,$M28,$L28,FALSE))/_xlfn.WEIBULL.DIST(CA$2,$M28,$L28,FALSE))*$U28*((1+Inputs!$D$7)^CA$2))),IF($N28=Lists!$K$3,IF($L28&lt;1,((($T28*(1-$F28)+$S28*(1-$G28))/$L28)*((1+Inputs!$D$7)^CA$2)),((INT(CA$2/$L28)-INT((CA$2-1)/$L28))*($T28*(1-$F28)+$S28*(1-$G28))*((1+Inputs!$D$7)^CA$2))),((Inputs!$D$8^((1-_xlfn.WEIBULL.DIST(CA$2,$M28,$L28,FALSE))/_xlfn.WEIBULL.DIST(CA$2,$M28,$L28,FALSE))*($T28*(1-$F28)+$S28*(1-$G28))*((1+Inputs!$D$7)^CA$2))))))))</f>
        <v>102.95139273507718</v>
      </c>
      <c r="CB28" s="88">
        <f>MAX(AL28,($E28*IF(CB$2&gt;Inputs!$D$5,0,IF(CB$2&gt;VLOOKUP($H28,Lists!$P$3:$Q$7,2),IF($N28=Lists!$K$3,IF($L28&lt;1,(($U28/$L28)*((1+Inputs!$D$7)^CB$2)),((INT(CB$2/$L28)-INT((CB$2-1)/$L28))*$U28*((1+Inputs!$D$7)^CB$2))),(Inputs!$D$8^((1-_xlfn.WEIBULL.DIST(CB$2,$M28,$L28,FALSE))/_xlfn.WEIBULL.DIST(CB$2,$M28,$L28,FALSE))*$U28*((1+Inputs!$D$7)^CB$2))),IF($N28=Lists!$K$3,IF($L28&lt;1,((($T28*(1-$F28)+$S28*(1-$G28))/$L28)*((1+Inputs!$D$7)^CB$2)),((INT(CB$2/$L28)-INT((CB$2-1)/$L28))*($T28*(1-$F28)+$S28*(1-$G28))*((1+Inputs!$D$7)^CB$2))),((Inputs!$D$8^((1-_xlfn.WEIBULL.DIST(CB$2,$M28,$L28,FALSE))/_xlfn.WEIBULL.DIST(CB$2,$M28,$L28,FALSE))*($T28*(1-$F28)+$S28*(1-$G28))*((1+Inputs!$D$7)^CB$2))))))))</f>
        <v>105.01042058977875</v>
      </c>
      <c r="CC28" s="88">
        <f>MAX(AM28,($E28*IF(CC$2&gt;Inputs!$D$5,0,IF(CC$2&gt;VLOOKUP($H28,Lists!$P$3:$Q$7,2),IF($N28=Lists!$K$3,IF($L28&lt;1,(($U28/$L28)*((1+Inputs!$D$7)^CC$2)),((INT(CC$2/$L28)-INT((CC$2-1)/$L28))*$U28*((1+Inputs!$D$7)^CC$2))),(Inputs!$D$8^((1-_xlfn.WEIBULL.DIST(CC$2,$M28,$L28,FALSE))/_xlfn.WEIBULL.DIST(CC$2,$M28,$L28,FALSE))*$U28*((1+Inputs!$D$7)^CC$2))),IF($N28=Lists!$K$3,IF($L28&lt;1,((($T28*(1-$F28)+$S28*(1-$G28))/$L28)*((1+Inputs!$D$7)^CC$2)),((INT(CC$2/$L28)-INT((CC$2-1)/$L28))*($T28*(1-$F28)+$S28*(1-$G28))*((1+Inputs!$D$7)^CC$2))),((Inputs!$D$8^((1-_xlfn.WEIBULL.DIST(CC$2,$M28,$L28,FALSE))/_xlfn.WEIBULL.DIST(CC$2,$M28,$L28,FALSE))*($T28*(1-$F28)+$S28*(1-$G28))*((1+Inputs!$D$7)^CC$2))))))))</f>
        <v>107.11062900157431</v>
      </c>
      <c r="CD28" s="88">
        <f>MAX(AN28,($E28*IF(CD$2&gt;Inputs!$D$5,0,IF(CD$2&gt;VLOOKUP($H28,Lists!$P$3:$Q$7,2),IF($N28=Lists!$K$3,IF($L28&lt;1,(($U28/$L28)*((1+Inputs!$D$7)^CD$2)),((INT(CD$2/$L28)-INT((CD$2-1)/$L28))*$U28*((1+Inputs!$D$7)^CD$2))),(Inputs!$D$8^((1-_xlfn.WEIBULL.DIST(CD$2,$M28,$L28,FALSE))/_xlfn.WEIBULL.DIST(CD$2,$M28,$L28,FALSE))*$U28*((1+Inputs!$D$7)^CD$2))),IF($N28=Lists!$K$3,IF($L28&lt;1,((($T28*(1-$F28)+$S28*(1-$G28))/$L28)*((1+Inputs!$D$7)^CD$2)),((INT(CD$2/$L28)-INT((CD$2-1)/$L28))*($T28*(1-$F28)+$S28*(1-$G28))*((1+Inputs!$D$7)^CD$2))),((Inputs!$D$8^((1-_xlfn.WEIBULL.DIST(CD$2,$M28,$L28,FALSE))/_xlfn.WEIBULL.DIST(CD$2,$M28,$L28,FALSE))*($T28*(1-$F28)+$S28*(1-$G28))*((1+Inputs!$D$7)^CD$2))))))))</f>
        <v>109.25284158160581</v>
      </c>
      <c r="CE28" s="88">
        <f>MAX(AO28,($E28*IF(CE$2&gt;Inputs!$D$5,0,IF(CE$2&gt;VLOOKUP($H28,Lists!$P$3:$Q$7,2),IF($N28=Lists!$K$3,IF($L28&lt;1,(($U28/$L28)*((1+Inputs!$D$7)^CE$2)),((INT(CE$2/$L28)-INT((CE$2-1)/$L28))*$U28*((1+Inputs!$D$7)^CE$2))),(Inputs!$D$8^((1-_xlfn.WEIBULL.DIST(CE$2,$M28,$L28,FALSE))/_xlfn.WEIBULL.DIST(CE$2,$M28,$L28,FALSE))*$U28*((1+Inputs!$D$7)^CE$2))),IF($N28=Lists!$K$3,IF($L28&lt;1,((($T28*(1-$F28)+$S28*(1-$G28))/$L28)*((1+Inputs!$D$7)^CE$2)),((INT(CE$2/$L28)-INT((CE$2-1)/$L28))*($T28*(1-$F28)+$S28*(1-$G28))*((1+Inputs!$D$7)^CE$2))),((Inputs!$D$8^((1-_xlfn.WEIBULL.DIST(CE$2,$M28,$L28,FALSE))/_xlfn.WEIBULL.DIST(CE$2,$M28,$L28,FALSE))*($T28*(1-$F28)+$S28*(1-$G28))*((1+Inputs!$D$7)^CE$2))))))))</f>
        <v>111.43789841323789</v>
      </c>
      <c r="CF28" s="88">
        <f>MAX(AP28,($E28*IF(CF$2&gt;Inputs!$D$5,0,IF(CF$2&gt;VLOOKUP($H28,Lists!$P$3:$Q$7,2),IF($N28=Lists!$K$3,IF($L28&lt;1,(($U28/$L28)*((1+Inputs!$D$7)^CF$2)),((INT(CF$2/$L28)-INT((CF$2-1)/$L28))*$U28*((1+Inputs!$D$7)^CF$2))),(Inputs!$D$8^((1-_xlfn.WEIBULL.DIST(CF$2,$M28,$L28,FALSE))/_xlfn.WEIBULL.DIST(CF$2,$M28,$L28,FALSE))*$U28*((1+Inputs!$D$7)^CF$2))),IF($N28=Lists!$K$3,IF($L28&lt;1,((($T28*(1-$F28)+$S28*(1-$G28))/$L28)*((1+Inputs!$D$7)^CF$2)),((INT(CF$2/$L28)-INT((CF$2-1)/$L28))*($T28*(1-$F28)+$S28*(1-$G28))*((1+Inputs!$D$7)^CF$2))),((Inputs!$D$8^((1-_xlfn.WEIBULL.DIST(CF$2,$M28,$L28,FALSE))/_xlfn.WEIBULL.DIST(CF$2,$M28,$L28,FALSE))*($T28*(1-$F28)+$S28*(1-$G28))*((1+Inputs!$D$7)^CF$2))))))))</f>
        <v>113.66665638150268</v>
      </c>
      <c r="CG28" s="88">
        <f>MAX(AQ28,($E28*IF(CG$2&gt;Inputs!$D$5,0,IF(CG$2&gt;VLOOKUP($H28,Lists!$P$3:$Q$7,2),IF($N28=Lists!$K$3,IF($L28&lt;1,(($U28/$L28)*((1+Inputs!$D$7)^CG$2)),((INT(CG$2/$L28)-INT((CG$2-1)/$L28))*$U28*((1+Inputs!$D$7)^CG$2))),(Inputs!$D$8^((1-_xlfn.WEIBULL.DIST(CG$2,$M28,$L28,FALSE))/_xlfn.WEIBULL.DIST(CG$2,$M28,$L28,FALSE))*$U28*((1+Inputs!$D$7)^CG$2))),IF($N28=Lists!$K$3,IF($L28&lt;1,((($T28*(1-$F28)+$S28*(1-$G28))/$L28)*((1+Inputs!$D$7)^CG$2)),((INT(CG$2/$L28)-INT((CG$2-1)/$L28))*($T28*(1-$F28)+$S28*(1-$G28))*((1+Inputs!$D$7)^CG$2))),((Inputs!$D$8^((1-_xlfn.WEIBULL.DIST(CG$2,$M28,$L28,FALSE))/_xlfn.WEIBULL.DIST(CG$2,$M28,$L28,FALSE))*($T28*(1-$F28)+$S28*(1-$G28))*((1+Inputs!$D$7)^CG$2))))))))</f>
        <v>115.93998950913273</v>
      </c>
      <c r="CH28" s="88">
        <f>MAX(AR28,($E28*IF(CH$2&gt;Inputs!$D$5,0,IF(CH$2&gt;VLOOKUP($H28,Lists!$P$3:$Q$7,2),IF($N28=Lists!$K$3,IF($L28&lt;1,(($U28/$L28)*((1+Inputs!$D$7)^CH$2)),((INT(CH$2/$L28)-INT((CH$2-1)/$L28))*$U28*((1+Inputs!$D$7)^CH$2))),(Inputs!$D$8^((1-_xlfn.WEIBULL.DIST(CH$2,$M28,$L28,FALSE))/_xlfn.WEIBULL.DIST(CH$2,$M28,$L28,FALSE))*$U28*((1+Inputs!$D$7)^CH$2))),IF($N28=Lists!$K$3,IF($L28&lt;1,((($T28*(1-$F28)+$S28*(1-$G28))/$L28)*((1+Inputs!$D$7)^CH$2)),((INT(CH$2/$L28)-INT((CH$2-1)/$L28))*($T28*(1-$F28)+$S28*(1-$G28))*((1+Inputs!$D$7)^CH$2))),((Inputs!$D$8^((1-_xlfn.WEIBULL.DIST(CH$2,$M28,$L28,FALSE))/_xlfn.WEIBULL.DIST(CH$2,$M28,$L28,FALSE))*($T28*(1-$F28)+$S28*(1-$G28))*((1+Inputs!$D$7)^CH$2))))))))</f>
        <v>118.25878929931538</v>
      </c>
      <c r="CI28" s="88">
        <f>MAX(AS28,($E28*IF(CI$2&gt;Inputs!$D$5,0,IF(CI$2&gt;VLOOKUP($H28,Lists!$P$3:$Q$7,2),IF($N28=Lists!$K$3,IF($L28&lt;1,(($U28/$L28)*((1+Inputs!$D$7)^CI$2)),((INT(CI$2/$L28)-INT((CI$2-1)/$L28))*$U28*((1+Inputs!$D$7)^CI$2))),(Inputs!$D$8^((1-_xlfn.WEIBULL.DIST(CI$2,$M28,$L28,FALSE))/_xlfn.WEIBULL.DIST(CI$2,$M28,$L28,FALSE))*$U28*((1+Inputs!$D$7)^CI$2))),IF($N28=Lists!$K$3,IF($L28&lt;1,((($T28*(1-$F28)+$S28*(1-$G28))/$L28)*((1+Inputs!$D$7)^CI$2)),((INT(CI$2/$L28)-INT((CI$2-1)/$L28))*($T28*(1-$F28)+$S28*(1-$G28))*((1+Inputs!$D$7)^CI$2))),((Inputs!$D$8^((1-_xlfn.WEIBULL.DIST(CI$2,$M28,$L28,FALSE))/_xlfn.WEIBULL.DIST(CI$2,$M28,$L28,FALSE))*($T28*(1-$F28)+$S28*(1-$G28))*((1+Inputs!$D$7)^CI$2))))))))</f>
        <v>120.62396508530168</v>
      </c>
      <c r="CJ28" s="88">
        <f>MAX(AT28,($E28*IF(CJ$2&gt;Inputs!$D$5,0,IF(CJ$2&gt;VLOOKUP($H28,Lists!$P$3:$Q$7,2),IF($N28=Lists!$K$3,IF($L28&lt;1,(($U28/$L28)*((1+Inputs!$D$7)^CJ$2)),((INT(CJ$2/$L28)-INT((CJ$2-1)/$L28))*$U28*((1+Inputs!$D$7)^CJ$2))),(Inputs!$D$8^((1-_xlfn.WEIBULL.DIST(CJ$2,$M28,$L28,FALSE))/_xlfn.WEIBULL.DIST(CJ$2,$M28,$L28,FALSE))*$U28*((1+Inputs!$D$7)^CJ$2))),IF($N28=Lists!$K$3,IF($L28&lt;1,((($T28*(1-$F28)+$S28*(1-$G28))/$L28)*((1+Inputs!$D$7)^CJ$2)),((INT(CJ$2/$L28)-INT((CJ$2-1)/$L28))*($T28*(1-$F28)+$S28*(1-$G28))*((1+Inputs!$D$7)^CJ$2))),((Inputs!$D$8^((1-_xlfn.WEIBULL.DIST(CJ$2,$M28,$L28,FALSE))/_xlfn.WEIBULL.DIST(CJ$2,$M28,$L28,FALSE))*($T28*(1-$F28)+$S28*(1-$G28))*((1+Inputs!$D$7)^CJ$2))))))))</f>
        <v>123.03644438700772</v>
      </c>
      <c r="CK28" s="88">
        <f>MAX(AU28,($E28*IF(CK$2&gt;Inputs!$D$5,0,IF(CK$2&gt;VLOOKUP($H28,Lists!$P$3:$Q$7,2),IF($N28=Lists!$K$3,IF($L28&lt;1,(($U28/$L28)*((1+Inputs!$D$7)^CK$2)),((INT(CK$2/$L28)-INT((CK$2-1)/$L28))*$U28*((1+Inputs!$D$7)^CK$2))),(Inputs!$D$8^((1-_xlfn.WEIBULL.DIST(CK$2,$M28,$L28,FALSE))/_xlfn.WEIBULL.DIST(CK$2,$M28,$L28,FALSE))*$U28*((1+Inputs!$D$7)^CK$2))),IF($N28=Lists!$K$3,IF($L28&lt;1,((($T28*(1-$F28)+$S28*(1-$G28))/$L28)*((1+Inputs!$D$7)^CK$2)),((INT(CK$2/$L28)-INT((CK$2-1)/$L28))*($T28*(1-$F28)+$S28*(1-$G28))*((1+Inputs!$D$7)^CK$2))),((Inputs!$D$8^((1-_xlfn.WEIBULL.DIST(CK$2,$M28,$L28,FALSE))/_xlfn.WEIBULL.DIST(CK$2,$M28,$L28,FALSE))*($T28*(1-$F28)+$S28*(1-$G28))*((1+Inputs!$D$7)^CK$2))))))))</f>
        <v>125.49717327474787</v>
      </c>
      <c r="CL28" s="88">
        <f>MAX(AV28,($E28*IF(CL$2&gt;Inputs!$D$5,0,IF(CL$2&gt;VLOOKUP($H28,Lists!$P$3:$Q$7,2),IF($N28=Lists!$K$3,IF($L28&lt;1,(($U28/$L28)*((1+Inputs!$D$7)^CL$2)),((INT(CL$2/$L28)-INT((CL$2-1)/$L28))*$U28*((1+Inputs!$D$7)^CL$2))),(Inputs!$D$8^((1-_xlfn.WEIBULL.DIST(CL$2,$M28,$L28,FALSE))/_xlfn.WEIBULL.DIST(CL$2,$M28,$L28,FALSE))*$U28*((1+Inputs!$D$7)^CL$2))),IF($N28=Lists!$K$3,IF($L28&lt;1,((($T28*(1-$F28)+$S28*(1-$G28))/$L28)*((1+Inputs!$D$7)^CL$2)),((INT(CL$2/$L28)-INT((CL$2-1)/$L28))*($T28*(1-$F28)+$S28*(1-$G28))*((1+Inputs!$D$7)^CL$2))),((Inputs!$D$8^((1-_xlfn.WEIBULL.DIST(CL$2,$M28,$L28,FALSE))/_xlfn.WEIBULL.DIST(CL$2,$M28,$L28,FALSE))*($T28*(1-$F28)+$S28*(1-$G28))*((1+Inputs!$D$7)^CL$2))))))))</f>
        <v>128.00711674024285</v>
      </c>
      <c r="CM28" s="88">
        <f>MAX(AW28,($E28*IF(CM$2&gt;Inputs!$D$5,0,IF(CM$2&gt;VLOOKUP($H28,Lists!$P$3:$Q$7,2),IF($N28=Lists!$K$3,IF($L28&lt;1,(($U28/$L28)*((1+Inputs!$D$7)^CM$2)),((INT(CM$2/$L28)-INT((CM$2-1)/$L28))*$U28*((1+Inputs!$D$7)^CM$2))),(Inputs!$D$8^((1-_xlfn.WEIBULL.DIST(CM$2,$M28,$L28,FALSE))/_xlfn.WEIBULL.DIST(CM$2,$M28,$L28,FALSE))*$U28*((1+Inputs!$D$7)^CM$2))),IF($N28=Lists!$K$3,IF($L28&lt;1,((($T28*(1-$F28)+$S28*(1-$G28))/$L28)*((1+Inputs!$D$7)^CM$2)),((INT(CM$2/$L28)-INT((CM$2-1)/$L28))*($T28*(1-$F28)+$S28*(1-$G28))*((1+Inputs!$D$7)^CM$2))),((Inputs!$D$8^((1-_xlfn.WEIBULL.DIST(CM$2,$M28,$L28,FALSE))/_xlfn.WEIBULL.DIST(CM$2,$M28,$L28,FALSE))*($T28*(1-$F28)+$S28*(1-$G28))*((1+Inputs!$D$7)^CM$2))))))))</f>
        <v>130.56725907504767</v>
      </c>
      <c r="CN28" s="88">
        <f>MAX(AX28,($E28*IF(CN$2&gt;Inputs!$D$5,0,IF(CN$2&gt;VLOOKUP($H28,Lists!$P$3:$Q$7,2),IF($N28=Lists!$K$3,IF($L28&lt;1,(($U28/$L28)*((1+Inputs!$D$7)^CN$2)),((INT(CN$2/$L28)-INT((CN$2-1)/$L28))*$U28*((1+Inputs!$D$7)^CN$2))),(Inputs!$D$8^((1-_xlfn.WEIBULL.DIST(CN$2,$M28,$L28,FALSE))/_xlfn.WEIBULL.DIST(CN$2,$M28,$L28,FALSE))*$U28*((1+Inputs!$D$7)^CN$2))),IF($N28=Lists!$K$3,IF($L28&lt;1,((($T28*(1-$F28)+$S28*(1-$G28))/$L28)*((1+Inputs!$D$7)^CN$2)),((INT(CN$2/$L28)-INT((CN$2-1)/$L28))*($T28*(1-$F28)+$S28*(1-$G28))*((1+Inputs!$D$7)^CN$2))),((Inputs!$D$8^((1-_xlfn.WEIBULL.DIST(CN$2,$M28,$L28,FALSE))/_xlfn.WEIBULL.DIST(CN$2,$M28,$L28,FALSE))*($T28*(1-$F28)+$S28*(1-$G28))*((1+Inputs!$D$7)^CN$2))))))))</f>
        <v>133.17860425654862</v>
      </c>
      <c r="CO28" s="88">
        <f>MAX(AY28,($E28*IF(CO$2&gt;Inputs!$D$5,0,IF(CO$2&gt;VLOOKUP($H28,Lists!$P$3:$Q$7,2),IF($N28=Lists!$K$3,IF($L28&lt;1,(($U28/$L28)*((1+Inputs!$D$7)^CO$2)),((INT(CO$2/$L28)-INT((CO$2-1)/$L28))*$U28*((1+Inputs!$D$7)^CO$2))),(Inputs!$D$8^((1-_xlfn.WEIBULL.DIST(CO$2,$M28,$L28,FALSE))/_xlfn.WEIBULL.DIST(CO$2,$M28,$L28,FALSE))*$U28*((1+Inputs!$D$7)^CO$2))),IF($N28=Lists!$K$3,IF($L28&lt;1,((($T28*(1-$F28)+$S28*(1-$G28))/$L28)*((1+Inputs!$D$7)^CO$2)),((INT(CO$2/$L28)-INT((CO$2-1)/$L28))*($T28*(1-$F28)+$S28*(1-$G28))*((1+Inputs!$D$7)^CO$2))),((Inputs!$D$8^((1-_xlfn.WEIBULL.DIST(CO$2,$M28,$L28,FALSE))/_xlfn.WEIBULL.DIST(CO$2,$M28,$L28,FALSE))*($T28*(1-$F28)+$S28*(1-$G28))*((1+Inputs!$D$7)^CO$2))))))))</f>
        <v>135.84217634167959</v>
      </c>
      <c r="CP28" s="88">
        <f>MAX(AZ28,($E28*IF(CP$2&gt;Inputs!$D$5,0,IF(CP$2&gt;VLOOKUP($H28,Lists!$P$3:$Q$7,2),IF($N28=Lists!$K$3,IF($L28&lt;1,(($U28/$L28)*((1+Inputs!$D$7)^CP$2)),((INT(CP$2/$L28)-INT((CP$2-1)/$L28))*$U28*((1+Inputs!$D$7)^CP$2))),(Inputs!$D$8^((1-_xlfn.WEIBULL.DIST(CP$2,$M28,$L28,FALSE))/_xlfn.WEIBULL.DIST(CP$2,$M28,$L28,FALSE))*$U28*((1+Inputs!$D$7)^CP$2))),IF($N28=Lists!$K$3,IF($L28&lt;1,((($T28*(1-$F28)+$S28*(1-$G28))/$L28)*((1+Inputs!$D$7)^CP$2)),((INT(CP$2/$L28)-INT((CP$2-1)/$L28))*($T28*(1-$F28)+$S28*(1-$G28))*((1+Inputs!$D$7)^CP$2))),((Inputs!$D$8^((1-_xlfn.WEIBULL.DIST(CP$2,$M28,$L28,FALSE))/_xlfn.WEIBULL.DIST(CP$2,$M28,$L28,FALSE))*($T28*(1-$F28)+$S28*(1-$G28))*((1+Inputs!$D$7)^CP$2))))))))</f>
        <v>0</v>
      </c>
      <c r="CQ28" s="88">
        <f>MAX(BA28,($E28*IF(CQ$2&gt;Inputs!$D$5,0,IF(CQ$2&gt;VLOOKUP($H28,Lists!$P$3:$Q$7,2),IF($N28=Lists!$K$3,IF($L28&lt;1,(($U28/$L28)*((1+Inputs!$D$7)^CQ$2)),((INT(CQ$2/$L28)-INT((CQ$2-1)/$L28))*$U28*((1+Inputs!$D$7)^CQ$2))),(Inputs!$D$8^((1-_xlfn.WEIBULL.DIST(CQ$2,$M28,$L28,FALSE))/_xlfn.WEIBULL.DIST(CQ$2,$M28,$L28,FALSE))*$U28*((1+Inputs!$D$7)^CQ$2))),IF($N28=Lists!$K$3,IF($L28&lt;1,((($T28*(1-$F28)+$S28*(1-$G28))/$L28)*((1+Inputs!$D$7)^CQ$2)),((INT(CQ$2/$L28)-INT((CQ$2-1)/$L28))*($T28*(1-$F28)+$S28*(1-$G28))*((1+Inputs!$D$7)^CQ$2))),((Inputs!$D$8^((1-_xlfn.WEIBULL.DIST(CQ$2,$M28,$L28,FALSE))/_xlfn.WEIBULL.DIST(CQ$2,$M28,$L28,FALSE))*($T28*(1-$F28)+$S28*(1-$G28))*((1+Inputs!$D$7)^CQ$2))))))))</f>
        <v>0</v>
      </c>
      <c r="CR28" s="88">
        <f>MAX(BB28,($E28*IF(CR$2&gt;Inputs!$D$5,0,IF(CR$2&gt;VLOOKUP($H28,Lists!$P$3:$Q$7,2),IF($N28=Lists!$K$3,IF($L28&lt;1,(($U28/$L28)*((1+Inputs!$D$7)^CR$2)),((INT(CR$2/$L28)-INT((CR$2-1)/$L28))*$U28*((1+Inputs!$D$7)^CR$2))),(Inputs!$D$8^((1-_xlfn.WEIBULL.DIST(CR$2,$M28,$L28,FALSE))/_xlfn.WEIBULL.DIST(CR$2,$M28,$L28,FALSE))*$U28*((1+Inputs!$D$7)^CR$2))),IF($N28=Lists!$K$3,IF($L28&lt;1,((($T28*(1-$F28)+$S28*(1-$G28))/$L28)*((1+Inputs!$D$7)^CR$2)),((INT(CR$2/$L28)-INT((CR$2-1)/$L28))*($T28*(1-$F28)+$S28*(1-$G28))*((1+Inputs!$D$7)^CR$2))),((Inputs!$D$8^((1-_xlfn.WEIBULL.DIST(CR$2,$M28,$L28,FALSE))/_xlfn.WEIBULL.DIST(CR$2,$M28,$L28,FALSE))*($T28*(1-$F28)+$S28*(1-$G28))*((1+Inputs!$D$7)^CR$2))))))))</f>
        <v>0</v>
      </c>
      <c r="CS28" s="88">
        <f>MAX(BC28,($E28*IF(CS$2&gt;Inputs!$D$5,0,IF(CS$2&gt;VLOOKUP($H28,Lists!$P$3:$Q$7,2),IF($N28=Lists!$K$3,IF($L28&lt;1,(($U28/$L28)*((1+Inputs!$D$7)^CS$2)),((INT(CS$2/$L28)-INT((CS$2-1)/$L28))*$U28*((1+Inputs!$D$7)^CS$2))),(Inputs!$D$8^((1-_xlfn.WEIBULL.DIST(CS$2,$M28,$L28,FALSE))/_xlfn.WEIBULL.DIST(CS$2,$M28,$L28,FALSE))*$U28*((1+Inputs!$D$7)^CS$2))),IF($N28=Lists!$K$3,IF($L28&lt;1,((($T28*(1-$F28)+$S28*(1-$G28))/$L28)*((1+Inputs!$D$7)^CS$2)),((INT(CS$2/$L28)-INT((CS$2-1)/$L28))*($T28*(1-$F28)+$S28*(1-$G28))*((1+Inputs!$D$7)^CS$2))),((Inputs!$D$8^((1-_xlfn.WEIBULL.DIST(CS$2,$M28,$L28,FALSE))/_xlfn.WEIBULL.DIST(CS$2,$M28,$L28,FALSE))*($T28*(1-$F28)+$S28*(1-$G28))*((1+Inputs!$D$7)^CS$2))))))))</f>
        <v>0</v>
      </c>
      <c r="CT28" s="88">
        <f>MAX(BD28,($E28*IF(CT$2&gt;Inputs!$D$5,0,IF(CT$2&gt;VLOOKUP($H28,Lists!$P$3:$Q$7,2),IF($N28=Lists!$K$3,IF($L28&lt;1,(($U28/$L28)*((1+Inputs!$D$7)^CT$2)),((INT(CT$2/$L28)-INT((CT$2-1)/$L28))*$U28*((1+Inputs!$D$7)^CT$2))),(Inputs!$D$8^((1-_xlfn.WEIBULL.DIST(CT$2,$M28,$L28,FALSE))/_xlfn.WEIBULL.DIST(CT$2,$M28,$L28,FALSE))*$U28*((1+Inputs!$D$7)^CT$2))),IF($N28=Lists!$K$3,IF($L28&lt;1,((($T28*(1-$F28)+$S28*(1-$G28))/$L28)*((1+Inputs!$D$7)^CT$2)),((INT(CT$2/$L28)-INT((CT$2-1)/$L28))*($T28*(1-$F28)+$S28*(1-$G28))*((1+Inputs!$D$7)^CT$2))),((Inputs!$D$8^((1-_xlfn.WEIBULL.DIST(CT$2,$M28,$L28,FALSE))/_xlfn.WEIBULL.DIST(CT$2,$M28,$L28,FALSE))*($T28*(1-$F28)+$S28*(1-$G28))*((1+Inputs!$D$7)^CT$2))))))))</f>
        <v>0</v>
      </c>
      <c r="CU28" s="88">
        <f>MAX(BE28,($E28*IF(CU$2&gt;Inputs!$D$5,0,IF(CU$2&gt;VLOOKUP($H28,Lists!$P$3:$Q$7,2),IF($N28=Lists!$K$3,IF($L28&lt;1,(($U28/$L28)*((1+Inputs!$D$7)^CU$2)),((INT(CU$2/$L28)-INT((CU$2-1)/$L28))*$U28*((1+Inputs!$D$7)^CU$2))),(Inputs!$D$8^((1-_xlfn.WEIBULL.DIST(CU$2,$M28,$L28,FALSE))/_xlfn.WEIBULL.DIST(CU$2,$M28,$L28,FALSE))*$U28*((1+Inputs!$D$7)^CU$2))),IF($N28=Lists!$K$3,IF($L28&lt;1,((($T28*(1-$F28)+$S28*(1-$G28))/$L28)*((1+Inputs!$D$7)^CU$2)),((INT(CU$2/$L28)-INT((CU$2-1)/$L28))*($T28*(1-$F28)+$S28*(1-$G28))*((1+Inputs!$D$7)^CU$2))),((Inputs!$D$8^((1-_xlfn.WEIBULL.DIST(CU$2,$M28,$L28,FALSE))/_xlfn.WEIBULL.DIST(CU$2,$M28,$L28,FALSE))*($T28*(1-$F28)+$S28*(1-$G28))*((1+Inputs!$D$7)^CU$2))))))))</f>
        <v>0</v>
      </c>
      <c r="CV28" s="88">
        <f>MAX(BF28,($E28*IF(CV$2&gt;Inputs!$D$5,0,IF(CV$2&gt;VLOOKUP($H28,Lists!$P$3:$Q$7,2),IF($N28=Lists!$K$3,IF($L28&lt;1,(($U28/$L28)*((1+Inputs!$D$7)^CV$2)),((INT(CV$2/$L28)-INT((CV$2-1)/$L28))*$U28*((1+Inputs!$D$7)^CV$2))),(Inputs!$D$8^((1-_xlfn.WEIBULL.DIST(CV$2,$M28,$L28,FALSE))/_xlfn.WEIBULL.DIST(CV$2,$M28,$L28,FALSE))*$U28*((1+Inputs!$D$7)^CV$2))),IF($N28=Lists!$K$3,IF($L28&lt;1,((($T28*(1-$F28)+$S28*(1-$G28))/$L28)*((1+Inputs!$D$7)^CV$2)),((INT(CV$2/$L28)-INT((CV$2-1)/$L28))*($T28*(1-$F28)+$S28*(1-$G28))*((1+Inputs!$D$7)^CV$2))),((Inputs!$D$8^((1-_xlfn.WEIBULL.DIST(CV$2,$M28,$L28,FALSE))/_xlfn.WEIBULL.DIST(CV$2,$M28,$L28,FALSE))*($T28*(1-$F28)+$S28*(1-$G28))*((1+Inputs!$D$7)^CV$2))))))))</f>
        <v>0</v>
      </c>
      <c r="CW28" s="88">
        <f>MAX(BG28,($E28*IF(CW$2&gt;Inputs!$D$5,0,IF(CW$2&gt;VLOOKUP($H28,Lists!$P$3:$Q$7,2),IF($N28=Lists!$K$3,IF($L28&lt;1,(($U28/$L28)*((1+Inputs!$D$7)^CW$2)),((INT(CW$2/$L28)-INT((CW$2-1)/$L28))*$U28*((1+Inputs!$D$7)^CW$2))),(Inputs!$D$8^((1-_xlfn.WEIBULL.DIST(CW$2,$M28,$L28,FALSE))/_xlfn.WEIBULL.DIST(CW$2,$M28,$L28,FALSE))*$U28*((1+Inputs!$D$7)^CW$2))),IF($N28=Lists!$K$3,IF($L28&lt;1,((($T28*(1-$F28)+$S28*(1-$G28))/$L28)*((1+Inputs!$D$7)^CW$2)),((INT(CW$2/$L28)-INT((CW$2-1)/$L28))*($T28*(1-$F28)+$S28*(1-$G28))*((1+Inputs!$D$7)^CW$2))),((Inputs!$D$8^((1-_xlfn.WEIBULL.DIST(CW$2,$M28,$L28,FALSE))/_xlfn.WEIBULL.DIST(CW$2,$M28,$L28,FALSE))*($T28*(1-$F28)+$S28*(1-$G28))*((1+Inputs!$D$7)^CW$2))))))))</f>
        <v>0</v>
      </c>
      <c r="CX28" s="88">
        <f>MAX(BH28,($E28*IF(CX$2&gt;Inputs!$D$5,0,IF(CX$2&gt;VLOOKUP($H28,Lists!$P$3:$Q$7,2),IF($N28=Lists!$K$3,IF($L28&lt;1,(($U28/$L28)*((1+Inputs!$D$7)^CX$2)),((INT(CX$2/$L28)-INT((CX$2-1)/$L28))*$U28*((1+Inputs!$D$7)^CX$2))),(Inputs!$D$8^((1-_xlfn.WEIBULL.DIST(CX$2,$M28,$L28,FALSE))/_xlfn.WEIBULL.DIST(CX$2,$M28,$L28,FALSE))*$U28*((1+Inputs!$D$7)^CX$2))),IF($N28=Lists!$K$3,IF($L28&lt;1,((($T28*(1-$F28)+$S28*(1-$G28))/$L28)*((1+Inputs!$D$7)^CX$2)),((INT(CX$2/$L28)-INT((CX$2-1)/$L28))*($T28*(1-$F28)+$S28*(1-$G28))*((1+Inputs!$D$7)^CX$2))),((Inputs!$D$8^((1-_xlfn.WEIBULL.DIST(CX$2,$M28,$L28,FALSE))/_xlfn.WEIBULL.DIST(CX$2,$M28,$L28,FALSE))*($T28*(1-$F28)+$S28*(1-$G28))*((1+Inputs!$D$7)^CX$2))))))))</f>
        <v>0</v>
      </c>
      <c r="CY28" s="88">
        <f>MAX(BI28,($E28*IF(CY$2&gt;Inputs!$D$5,0,IF(CY$2&gt;VLOOKUP($H28,Lists!$P$3:$Q$7,2),IF($N28=Lists!$K$3,IF($L28&lt;1,(($U28/$L28)*((1+Inputs!$D$7)^CY$2)),((INT(CY$2/$L28)-INT((CY$2-1)/$L28))*$U28*((1+Inputs!$D$7)^CY$2))),(Inputs!$D$8^((1-_xlfn.WEIBULL.DIST(CY$2,$M28,$L28,FALSE))/_xlfn.WEIBULL.DIST(CY$2,$M28,$L28,FALSE))*$U28*((1+Inputs!$D$7)^CY$2))),IF($N28=Lists!$K$3,IF($L28&lt;1,((($T28*(1-$F28)+$S28*(1-$G28))/$L28)*((1+Inputs!$D$7)^CY$2)),((INT(CY$2/$L28)-INT((CY$2-1)/$L28))*($T28*(1-$F28)+$S28*(1-$G28))*((1+Inputs!$D$7)^CY$2))),((Inputs!$D$8^((1-_xlfn.WEIBULL.DIST(CY$2,$M28,$L28,FALSE))/_xlfn.WEIBULL.DIST(CY$2,$M28,$L28,FALSE))*($T28*(1-$F28)+$S28*(1-$G28))*((1+Inputs!$D$7)^CY$2))))))))</f>
        <v>0</v>
      </c>
      <c r="CZ28" s="88">
        <f>MAX(BJ28,($E28*IF(CZ$2&gt;Inputs!$D$5,0,IF(CZ$2&gt;VLOOKUP($H28,Lists!$P$3:$Q$7,2),IF($N28=Lists!$K$3,IF($L28&lt;1,(($U28/$L28)*((1+Inputs!$D$7)^CZ$2)),((INT(CZ$2/$L28)-INT((CZ$2-1)/$L28))*$U28*((1+Inputs!$D$7)^CZ$2))),(Inputs!$D$8^((1-_xlfn.WEIBULL.DIST(CZ$2,$M28,$L28,FALSE))/_xlfn.WEIBULL.DIST(CZ$2,$M28,$L28,FALSE))*$U28*((1+Inputs!$D$7)^CZ$2))),IF($N28=Lists!$K$3,IF($L28&lt;1,((($T28*(1-$F28)+$S28*(1-$G28))/$L28)*((1+Inputs!$D$7)^CZ$2)),((INT(CZ$2/$L28)-INT((CZ$2-1)/$L28))*($T28*(1-$F28)+$S28*(1-$G28))*((1+Inputs!$D$7)^CZ$2))),((Inputs!$D$8^((1-_xlfn.WEIBULL.DIST(CZ$2,$M28,$L28,FALSE))/_xlfn.WEIBULL.DIST(CZ$2,$M28,$L28,FALSE))*($T28*(1-$F28)+$S28*(1-$G28))*((1+Inputs!$D$7)^CZ$2))))))))</f>
        <v>0</v>
      </c>
      <c r="DA28" s="88">
        <f>MAX(BK28,($E28*IF(DA$2&gt;Inputs!$D$5,0,IF(DA$2&gt;VLOOKUP($H28,Lists!$P$3:$Q$7,2),IF($N28=Lists!$K$3,IF($L28&lt;1,(($U28/$L28)*((1+Inputs!$D$7)^DA$2)),((INT(DA$2/$L28)-INT((DA$2-1)/$L28))*$U28*((1+Inputs!$D$7)^DA$2))),(Inputs!$D$8^((1-_xlfn.WEIBULL.DIST(DA$2,$M28,$L28,FALSE))/_xlfn.WEIBULL.DIST(DA$2,$M28,$L28,FALSE))*$U28*((1+Inputs!$D$7)^DA$2))),IF($N28=Lists!$K$3,IF($L28&lt;1,((($T28*(1-$F28)+$S28*(1-$G28))/$L28)*((1+Inputs!$D$7)^DA$2)),((INT(DA$2/$L28)-INT((DA$2-1)/$L28))*($T28*(1-$F28)+$S28*(1-$G28))*((1+Inputs!$D$7)^DA$2))),((Inputs!$D$8^((1-_xlfn.WEIBULL.DIST(DA$2,$M28,$L28,FALSE))/_xlfn.WEIBULL.DIST(DA$2,$M28,$L28,FALSE))*($T28*(1-$F28)+$S28*(1-$G28))*((1+Inputs!$D$7)^DA$2))))))))</f>
        <v>0</v>
      </c>
      <c r="DB28" s="88">
        <f>MAX(BL28,($E28*IF(DB$2&gt;Inputs!$D$5,0,IF(DB$2&gt;VLOOKUP($H28,Lists!$P$3:$Q$7,2),IF($N28=Lists!$K$3,IF($L28&lt;1,(($U28/$L28)*((1+Inputs!$D$7)^DB$2)),((INT(DB$2/$L28)-INT((DB$2-1)/$L28))*$U28*((1+Inputs!$D$7)^DB$2))),(Inputs!$D$8^((1-_xlfn.WEIBULL.DIST(DB$2,$M28,$L28,FALSE))/_xlfn.WEIBULL.DIST(DB$2,$M28,$L28,FALSE))*$U28*((1+Inputs!$D$7)^DB$2))),IF($N28=Lists!$K$3,IF($L28&lt;1,((($T28*(1-$F28)+$S28*(1-$G28))/$L28)*((1+Inputs!$D$7)^DB$2)),((INT(DB$2/$L28)-INT((DB$2-1)/$L28))*($T28*(1-$F28)+$S28*(1-$G28))*((1+Inputs!$D$7)^DB$2))),((Inputs!$D$8^((1-_xlfn.WEIBULL.DIST(DB$2,$M28,$L28,FALSE))/_xlfn.WEIBULL.DIST(DB$2,$M28,$L28,FALSE))*($T28*(1-$F28)+$S28*(1-$G28))*((1+Inputs!$D$7)^DB$2))))))))</f>
        <v>0</v>
      </c>
      <c r="DC28" s="88">
        <f>MAX(BM28,($E28*IF(DC$2&gt;Inputs!$D$5,0,IF(DC$2&gt;VLOOKUP($H28,Lists!$P$3:$Q$7,2),IF($N28=Lists!$K$3,IF($L28&lt;1,(($U28/$L28)*((1+Inputs!$D$7)^DC$2)),((INT(DC$2/$L28)-INT((DC$2-1)/$L28))*$U28*((1+Inputs!$D$7)^DC$2))),(Inputs!$D$8^((1-_xlfn.WEIBULL.DIST(DC$2,$M28,$L28,FALSE))/_xlfn.WEIBULL.DIST(DC$2,$M28,$L28,FALSE))*$U28*((1+Inputs!$D$7)^DC$2))),IF($N28=Lists!$K$3,IF($L28&lt;1,((($T28*(1-$F28)+$S28*(1-$G28))/$L28)*((1+Inputs!$D$7)^DC$2)),((INT(DC$2/$L28)-INT((DC$2-1)/$L28))*($T28*(1-$F28)+$S28*(1-$G28))*((1+Inputs!$D$7)^DC$2))),((Inputs!$D$8^((1-_xlfn.WEIBULL.DIST(DC$2,$M28,$L28,FALSE))/_xlfn.WEIBULL.DIST(DC$2,$M28,$L28,FALSE))*($T28*(1-$F28)+$S28*(1-$G28))*((1+Inputs!$D$7)^DC$2))))))))</f>
        <v>0</v>
      </c>
      <c r="DD28" s="88">
        <f>MAX(BN28,($E28*IF(DD$2&gt;Inputs!$D$5,0,IF(DD$2&gt;VLOOKUP($H28,Lists!$P$3:$Q$7,2),IF($N28=Lists!$K$3,IF($L28&lt;1,(($U28/$L28)*((1+Inputs!$D$7)^DD$2)),((INT(DD$2/$L28)-INT((DD$2-1)/$L28))*$U28*((1+Inputs!$D$7)^DD$2))),(Inputs!$D$8^((1-_xlfn.WEIBULL.DIST(DD$2,$M28,$L28,FALSE))/_xlfn.WEIBULL.DIST(DD$2,$M28,$L28,FALSE))*$U28*((1+Inputs!$D$7)^DD$2))),IF($N28=Lists!$K$3,IF($L28&lt;1,((($T28*(1-$F28)+$S28*(1-$G28))/$L28)*((1+Inputs!$D$7)^DD$2)),((INT(DD$2/$L28)-INT((DD$2-1)/$L28))*($T28*(1-$F28)+$S28*(1-$G28))*((1+Inputs!$D$7)^DD$2))),((Inputs!$D$8^((1-_xlfn.WEIBULL.DIST(DD$2,$M28,$L28,FALSE))/_xlfn.WEIBULL.DIST(DD$2,$M28,$L28,FALSE))*($T28*(1-$F28)+$S28*(1-$G28))*((1+Inputs!$D$7)^DD$2))))))))</f>
        <v>0</v>
      </c>
    </row>
    <row r="29" spans="1:108" s="1" customFormat="1" ht="16">
      <c r="A29" s="57" t="s">
        <v>198</v>
      </c>
      <c r="B29" s="13" t="s">
        <v>130</v>
      </c>
      <c r="C29" s="13" t="s">
        <v>474</v>
      </c>
      <c r="D29" s="13" t="s">
        <v>16</v>
      </c>
      <c r="E29" s="48">
        <f>IF(Inputs!D30=Lists!M4,1,0)</f>
        <v>1</v>
      </c>
      <c r="F29" s="48">
        <v>1</v>
      </c>
      <c r="G29" s="48">
        <v>0</v>
      </c>
      <c r="H29" s="105" t="s">
        <v>16</v>
      </c>
      <c r="I29" s="14" t="s">
        <v>264</v>
      </c>
      <c r="J29" s="14" t="s">
        <v>91</v>
      </c>
      <c r="K29" s="13">
        <f>VLOOKUP(J29,'Labor Rates'!$A$1:$F$16,2)</f>
        <v>33.17307692307692</v>
      </c>
      <c r="L29" s="15">
        <v>15</v>
      </c>
      <c r="M29" s="15">
        <v>1</v>
      </c>
      <c r="N29" s="16" t="s">
        <v>226</v>
      </c>
      <c r="O29" s="61">
        <f>Inputs!$D$32</f>
        <v>10</v>
      </c>
      <c r="P29" s="15">
        <v>1</v>
      </c>
      <c r="Q29" s="15">
        <f t="shared" si="0"/>
        <v>0.66666666666666663</v>
      </c>
      <c r="R29" s="4">
        <v>120</v>
      </c>
      <c r="S29" s="53">
        <f t="shared" si="1"/>
        <v>331.73076923076917</v>
      </c>
      <c r="T29" s="53">
        <f t="shared" si="2"/>
        <v>1200</v>
      </c>
      <c r="U29" s="54">
        <f t="shared" si="3"/>
        <v>1531.7307692307691</v>
      </c>
      <c r="V29" s="65"/>
      <c r="W29" s="58"/>
      <c r="X29" s="64">
        <f t="shared" si="4"/>
        <v>33.541258545257648</v>
      </c>
      <c r="Y29" s="64">
        <f>NPV(Inputs!$D$6,AA29:BN29)</f>
        <v>343.97618939691159</v>
      </c>
      <c r="Z29" s="67">
        <f t="shared" si="5"/>
        <v>1.6223596408065867E-4</v>
      </c>
      <c r="AA29" s="88">
        <f>$E29*IF(AA$2&gt;Inputs!$D$5,0,IF(AA$2&gt;VLOOKUP($H29,Lists!$P$3:$Q$7,2),IF($N29=Lists!$K$3,IF($L29&lt;1,(($U29/$L29)*((1+Inputs!$D$7)^AA$2)),((INT(AA$2/$L29)-INT((AA$2-1)/$L29))*$U29*((1+Inputs!$D$7)^AA$2))),(_xlfn.WEIBULL.DIST(AA$2,$M29,$L29,FALSE)*$U29*((1+Inputs!$D$7)^AA$2))),IF($N29=Lists!$K$3,IF($L29&lt;1,((($T29*(1-$F29)+$S29*(1-$G29))/$L29)*((1+Inputs!$D$7)^AA$2)),((INT(AA$2/$L29)-INT((AA$2-1)/$L29))*($T29*(1-$F29)+$S29*(1-$G29))*((1+Inputs!$D$7)^AA$2))),((_xlfn.WEIBULL.DIST(AA$2,$M29,$L29,FALSE)*($T29*(1-$F29)+$S29*(1-$G29))*((1+Inputs!$D$7)^AA$2))))))</f>
        <v>21.102878720040145</v>
      </c>
      <c r="AB29" s="88">
        <f>$E29*IF(AB$2&gt;Inputs!$D$5,0,IF(AB$2&gt;VLOOKUP($H29,Lists!$P$3:$Q$7,2),IF($N29=Lists!$K$3,IF($L29&lt;1,(($U29/$L29)*((1+Inputs!$D$7)^AB$2)),((INT(AB$2/$L29)-INT((AB$2-1)/$L29))*$U29*((1+Inputs!$D$7)^AB$2))),(_xlfn.WEIBULL.DIST(AB$2,$M29,$L29,FALSE)*$U29*((1+Inputs!$D$7)^AB$2))),IF($N29=Lists!$K$3,IF($L29&lt;1,((($T29*(1-$F29)+$S29*(1-$G29))/$L29)*((1+Inputs!$D$7)^AB$2)),((INT(AB$2/$L29)-INT((AB$2-1)/$L29))*($T29*(1-$F29)+$S29*(1-$G29))*((1+Inputs!$D$7)^AB$2))),((_xlfn.WEIBULL.DIST(AB$2,$M29,$L29,FALSE)*($T29*(1-$F29)+$S29*(1-$G29))*((1+Inputs!$D$7)^AB$2))))))</f>
        <v>20.136728255810091</v>
      </c>
      <c r="AC29" s="88">
        <f>$E29*IF(AC$2&gt;Inputs!$D$5,0,IF(AC$2&gt;VLOOKUP($H29,Lists!$P$3:$Q$7,2),IF($N29=Lists!$K$3,IF($L29&lt;1,(($U29/$L29)*((1+Inputs!$D$7)^AC$2)),((INT(AC$2/$L29)-INT((AC$2-1)/$L29))*$U29*((1+Inputs!$D$7)^AC$2))),(_xlfn.WEIBULL.DIST(AC$2,$M29,$L29,FALSE)*$U29*((1+Inputs!$D$7)^AC$2))),IF($N29=Lists!$K$3,IF($L29&lt;1,((($T29*(1-$F29)+$S29*(1-$G29))/$L29)*((1+Inputs!$D$7)^AC$2)),((INT(AC$2/$L29)-INT((AC$2-1)/$L29))*($T29*(1-$F29)+$S29*(1-$G29))*((1+Inputs!$D$7)^AC$2))),((_xlfn.WEIBULL.DIST(AC$2,$M29,$L29,FALSE)*($T29*(1-$F29)+$S29*(1-$G29))*((1+Inputs!$D$7)^AC$2))))))</f>
        <v>19.214810937773759</v>
      </c>
      <c r="AD29" s="88">
        <f>$E29*IF(AD$2&gt;Inputs!$D$5,0,IF(AD$2&gt;VLOOKUP($H29,Lists!$P$3:$Q$7,2),IF($N29=Lists!$K$3,IF($L29&lt;1,(($U29/$L29)*((1+Inputs!$D$7)^AD$2)),((INT(AD$2/$L29)-INT((AD$2-1)/$L29))*$U29*((1+Inputs!$D$7)^AD$2))),(_xlfn.WEIBULL.DIST(AD$2,$M29,$L29,FALSE)*$U29*((1+Inputs!$D$7)^AD$2))),IF($N29=Lists!$K$3,IF($L29&lt;1,((($T29*(1-$F29)+$S29*(1-$G29))/$L29)*((1+Inputs!$D$7)^AD$2)),((INT(AD$2/$L29)-INT((AD$2-1)/$L29))*($T29*(1-$F29)+$S29*(1-$G29))*((1+Inputs!$D$7)^AD$2))),((_xlfn.WEIBULL.DIST(AD$2,$M29,$L29,FALSE)*($T29*(1-$F29)+$S29*(1-$G29))*((1+Inputs!$D$7)^AD$2))))))</f>
        <v>18.335101645316268</v>
      </c>
      <c r="AE29" s="88">
        <f>$E29*IF(AE$2&gt;Inputs!$D$5,0,IF(AE$2&gt;VLOOKUP($H29,Lists!$P$3:$Q$7,2),IF($N29=Lists!$K$3,IF($L29&lt;1,(($U29/$L29)*((1+Inputs!$D$7)^AE$2)),((INT(AE$2/$L29)-INT((AE$2-1)/$L29))*$U29*((1+Inputs!$D$7)^AE$2))),(_xlfn.WEIBULL.DIST(AE$2,$M29,$L29,FALSE)*$U29*((1+Inputs!$D$7)^AE$2))),IF($N29=Lists!$K$3,IF($L29&lt;1,((($T29*(1-$F29)+$S29*(1-$G29))/$L29)*((1+Inputs!$D$7)^AE$2)),((INT(AE$2/$L29)-INT((AE$2-1)/$L29))*($T29*(1-$F29)+$S29*(1-$G29))*((1+Inputs!$D$7)^AE$2))),((_xlfn.WEIBULL.DIST(AE$2,$M29,$L29,FALSE)*($T29*(1-$F29)+$S29*(1-$G29))*((1+Inputs!$D$7)^AE$2))))))</f>
        <v>17.495667973667242</v>
      </c>
      <c r="AF29" s="88">
        <f>$E29*IF(AF$2&gt;Inputs!$D$5,0,IF(AF$2&gt;VLOOKUP($H29,Lists!$P$3:$Q$7,2),IF($N29=Lists!$K$3,IF($L29&lt;1,(($U29/$L29)*((1+Inputs!$D$7)^AF$2)),((INT(AF$2/$L29)-INT((AF$2-1)/$L29))*$U29*((1+Inputs!$D$7)^AF$2))),(_xlfn.WEIBULL.DIST(AF$2,$M29,$L29,FALSE)*$U29*((1+Inputs!$D$7)^AF$2))),IF($N29=Lists!$K$3,IF($L29&lt;1,((($T29*(1-$F29)+$S29*(1-$G29))/$L29)*((1+Inputs!$D$7)^AF$2)),((INT(AF$2/$L29)-INT((AF$2-1)/$L29))*($T29*(1-$F29)+$S29*(1-$G29))*((1+Inputs!$D$7)^AF$2))),((_xlfn.WEIBULL.DIST(AF$2,$M29,$L29,FALSE)*($T29*(1-$F29)+$S29*(1-$G29))*((1+Inputs!$D$7)^AF$2))))))</f>
        <v>16.694665989102866</v>
      </c>
      <c r="AG29" s="88">
        <f>$E29*IF(AG$2&gt;Inputs!$D$5,0,IF(AG$2&gt;VLOOKUP($H29,Lists!$P$3:$Q$7,2),IF($N29=Lists!$K$3,IF($L29&lt;1,(($U29/$L29)*((1+Inputs!$D$7)^AG$2)),((INT(AG$2/$L29)-INT((AG$2-1)/$L29))*$U29*((1+Inputs!$D$7)^AG$2))),(_xlfn.WEIBULL.DIST(AG$2,$M29,$L29,FALSE)*$U29*((1+Inputs!$D$7)^AG$2))),IF($N29=Lists!$K$3,IF($L29&lt;1,((($T29*(1-$F29)+$S29*(1-$G29))/$L29)*((1+Inputs!$D$7)^AG$2)),((INT(AG$2/$L29)-INT((AG$2-1)/$L29))*($T29*(1-$F29)+$S29*(1-$G29))*((1+Inputs!$D$7)^AG$2))),((_xlfn.WEIBULL.DIST(AG$2,$M29,$L29,FALSE)*($T29*(1-$F29)+$S29*(1-$G29))*((1+Inputs!$D$7)^AG$2))))))</f>
        <v>15.930336178487018</v>
      </c>
      <c r="AH29" s="88">
        <f>$E29*IF(AH$2&gt;Inputs!$D$5,0,IF(AH$2&gt;VLOOKUP($H29,Lists!$P$3:$Q$7,2),IF($N29=Lists!$K$3,IF($L29&lt;1,(($U29/$L29)*((1+Inputs!$D$7)^AH$2)),((INT(AH$2/$L29)-INT((AH$2-1)/$L29))*$U29*((1+Inputs!$D$7)^AH$2))),(_xlfn.WEIBULL.DIST(AH$2,$M29,$L29,FALSE)*$U29*((1+Inputs!$D$7)^AH$2))),IF($N29=Lists!$K$3,IF($L29&lt;1,((($T29*(1-$F29)+$S29*(1-$G29))/$L29)*((1+Inputs!$D$7)^AH$2)),((INT(AH$2/$L29)-INT((AH$2-1)/$L29))*($T29*(1-$F29)+$S29*(1-$G29))*((1+Inputs!$D$7)^AH$2))),((_xlfn.WEIBULL.DIST(AH$2,$M29,$L29,FALSE)*($T29*(1-$F29)+$S29*(1-$G29))*((1+Inputs!$D$7)^AH$2))))))</f>
        <v>15.200999584254028</v>
      </c>
      <c r="AI29" s="88">
        <f>$E29*IF(AI$2&gt;Inputs!$D$5,0,IF(AI$2&gt;VLOOKUP($H29,Lists!$P$3:$Q$7,2),IF($N29=Lists!$K$3,IF($L29&lt;1,(($U29/$L29)*((1+Inputs!$D$7)^AI$2)),((INT(AI$2/$L29)-INT((AI$2-1)/$L29))*$U29*((1+Inputs!$D$7)^AI$2))),(_xlfn.WEIBULL.DIST(AI$2,$M29,$L29,FALSE)*$U29*((1+Inputs!$D$7)^AI$2))),IF($N29=Lists!$K$3,IF($L29&lt;1,((($T29*(1-$F29)+$S29*(1-$G29))/$L29)*((1+Inputs!$D$7)^AI$2)),((INT(AI$2/$L29)-INT((AI$2-1)/$L29))*($T29*(1-$F29)+$S29*(1-$G29))*((1+Inputs!$D$7)^AI$2))),((_xlfn.WEIBULL.DIST(AI$2,$M29,$L29,FALSE)*($T29*(1-$F29)+$S29*(1-$G29))*((1+Inputs!$D$7)^AI$2))))))</f>
        <v>14.505054116343004</v>
      </c>
      <c r="AJ29" s="88">
        <f>$E29*IF(AJ$2&gt;Inputs!$D$5,0,IF(AJ$2&gt;VLOOKUP($H29,Lists!$P$3:$Q$7,2),IF($N29=Lists!$K$3,IF($L29&lt;1,(($U29/$L29)*((1+Inputs!$D$7)^AJ$2)),((INT(AJ$2/$L29)-INT((AJ$2-1)/$L29))*$U29*((1+Inputs!$D$7)^AJ$2))),(_xlfn.WEIBULL.DIST(AJ$2,$M29,$L29,FALSE)*$U29*((1+Inputs!$D$7)^AJ$2))),IF($N29=Lists!$K$3,IF($L29&lt;1,((($T29*(1-$F29)+$S29*(1-$G29))/$L29)*((1+Inputs!$D$7)^AJ$2)),((INT(AJ$2/$L29)-INT((AJ$2-1)/$L29))*($T29*(1-$F29)+$S29*(1-$G29))*((1+Inputs!$D$7)^AJ$2))),((_xlfn.WEIBULL.DIST(AJ$2,$M29,$L29,FALSE)*($T29*(1-$F29)+$S29*(1-$G29))*((1+Inputs!$D$7)^AJ$2))))))</f>
        <v>13.840971032982512</v>
      </c>
      <c r="AK29" s="88">
        <f>$E29*IF(AK$2&gt;Inputs!$D$5,0,IF(AK$2&gt;VLOOKUP($H29,Lists!$P$3:$Q$7,2),IF($N29=Lists!$K$3,IF($L29&lt;1,(($U29/$L29)*((1+Inputs!$D$7)^AK$2)),((INT(AK$2/$L29)-INT((AK$2-1)/$L29))*$U29*((1+Inputs!$D$7)^AK$2))),(_xlfn.WEIBULL.DIST(AK$2,$M29,$L29,FALSE)*$U29*((1+Inputs!$D$7)^AK$2))),IF($N29=Lists!$K$3,IF($L29&lt;1,((($T29*(1-$F29)+$S29*(1-$G29))/$L29)*((1+Inputs!$D$7)^AK$2)),((INT(AK$2/$L29)-INT((AK$2-1)/$L29))*($T29*(1-$F29)+$S29*(1-$G29))*((1+Inputs!$D$7)^AK$2))),((_xlfn.WEIBULL.DIST(AK$2,$M29,$L29,FALSE)*($T29*(1-$F29)+$S29*(1-$G29))*((1+Inputs!$D$7)^AK$2))))))</f>
        <v>60.98323330746009</v>
      </c>
      <c r="AL29" s="88">
        <f>$E29*IF(AL$2&gt;Inputs!$D$5,0,IF(AL$2&gt;VLOOKUP($H29,Lists!$P$3:$Q$7,2),IF($N29=Lists!$K$3,IF($L29&lt;1,(($U29/$L29)*((1+Inputs!$D$7)^AL$2)),((INT(AL$2/$L29)-INT((AL$2-1)/$L29))*$U29*((1+Inputs!$D$7)^AL$2))),(_xlfn.WEIBULL.DIST(AL$2,$M29,$L29,FALSE)*$U29*((1+Inputs!$D$7)^AL$2))),IF($N29=Lists!$K$3,IF($L29&lt;1,((($T29*(1-$F29)+$S29*(1-$G29))/$L29)*((1+Inputs!$D$7)^AL$2)),((INT(AL$2/$L29)-INT((AL$2-1)/$L29))*($T29*(1-$F29)+$S29*(1-$G29))*((1+Inputs!$D$7)^AL$2))),((_xlfn.WEIBULL.DIST(AL$2,$M29,$L29,FALSE)*($T29*(1-$F29)+$S29*(1-$G29))*((1+Inputs!$D$7)^AL$2))))))</f>
        <v>58.191245543520552</v>
      </c>
      <c r="AM29" s="88">
        <f>$E29*IF(AM$2&gt;Inputs!$D$5,0,IF(AM$2&gt;VLOOKUP($H29,Lists!$P$3:$Q$7,2),IF($N29=Lists!$K$3,IF($L29&lt;1,(($U29/$L29)*((1+Inputs!$D$7)^AM$2)),((INT(AM$2/$L29)-INT((AM$2-1)/$L29))*$U29*((1+Inputs!$D$7)^AM$2))),(_xlfn.WEIBULL.DIST(AM$2,$M29,$L29,FALSE)*$U29*((1+Inputs!$D$7)^AM$2))),IF($N29=Lists!$K$3,IF($L29&lt;1,((($T29*(1-$F29)+$S29*(1-$G29))/$L29)*((1+Inputs!$D$7)^AM$2)),((INT(AM$2/$L29)-INT((AM$2-1)/$L29))*($T29*(1-$F29)+$S29*(1-$G29))*((1+Inputs!$D$7)^AM$2))),((_xlfn.WEIBULL.DIST(AM$2,$M29,$L29,FALSE)*($T29*(1-$F29)+$S29*(1-$G29))*((1+Inputs!$D$7)^AM$2))))))</f>
        <v>55.527083007126535</v>
      </c>
      <c r="AN29" s="88">
        <f>$E29*IF(AN$2&gt;Inputs!$D$5,0,IF(AN$2&gt;VLOOKUP($H29,Lists!$P$3:$Q$7,2),IF($N29=Lists!$K$3,IF($L29&lt;1,(($U29/$L29)*((1+Inputs!$D$7)^AN$2)),((INT(AN$2/$L29)-INT((AN$2-1)/$L29))*$U29*((1+Inputs!$D$7)^AN$2))),(_xlfn.WEIBULL.DIST(AN$2,$M29,$L29,FALSE)*$U29*((1+Inputs!$D$7)^AN$2))),IF($N29=Lists!$K$3,IF($L29&lt;1,((($T29*(1-$F29)+$S29*(1-$G29))/$L29)*((1+Inputs!$D$7)^AN$2)),((INT(AN$2/$L29)-INT((AN$2-1)/$L29))*($T29*(1-$F29)+$S29*(1-$G29))*((1+Inputs!$D$7)^AN$2))),((_xlfn.WEIBULL.DIST(AN$2,$M29,$L29,FALSE)*($T29*(1-$F29)+$S29*(1-$G29))*((1+Inputs!$D$7)^AN$2))))))</f>
        <v>52.984893491829276</v>
      </c>
      <c r="AO29" s="88">
        <f>$E29*IF(AO$2&gt;Inputs!$D$5,0,IF(AO$2&gt;VLOOKUP($H29,Lists!$P$3:$Q$7,2),IF($N29=Lists!$K$3,IF($L29&lt;1,(($U29/$L29)*((1+Inputs!$D$7)^AO$2)),((INT(AO$2/$L29)-INT((AO$2-1)/$L29))*$U29*((1+Inputs!$D$7)^AO$2))),(_xlfn.WEIBULL.DIST(AO$2,$M29,$L29,FALSE)*$U29*((1+Inputs!$D$7)^AO$2))),IF($N29=Lists!$K$3,IF($L29&lt;1,((($T29*(1-$F29)+$S29*(1-$G29))/$L29)*((1+Inputs!$D$7)^AO$2)),((INT(AO$2/$L29)-INT((AO$2-1)/$L29))*($T29*(1-$F29)+$S29*(1-$G29))*((1+Inputs!$D$7)^AO$2))),((_xlfn.WEIBULL.DIST(AO$2,$M29,$L29,FALSE)*($T29*(1-$F29)+$S29*(1-$G29))*((1+Inputs!$D$7)^AO$2))))))</f>
        <v>50.559092722017837</v>
      </c>
      <c r="AP29" s="88">
        <f>$E29*IF(AP$2&gt;Inputs!$D$5,0,IF(AP$2&gt;VLOOKUP($H29,Lists!$P$3:$Q$7,2),IF($N29=Lists!$K$3,IF($L29&lt;1,(($U29/$L29)*((1+Inputs!$D$7)^AP$2)),((INT(AP$2/$L29)-INT((AP$2-1)/$L29))*$U29*((1+Inputs!$D$7)^AP$2))),(_xlfn.WEIBULL.DIST(AP$2,$M29,$L29,FALSE)*$U29*((1+Inputs!$D$7)^AP$2))),IF($N29=Lists!$K$3,IF($L29&lt;1,((($T29*(1-$F29)+$S29*(1-$G29))/$L29)*((1+Inputs!$D$7)^AP$2)),((INT(AP$2/$L29)-INT((AP$2-1)/$L29))*($T29*(1-$F29)+$S29*(1-$G29))*((1+Inputs!$D$7)^AP$2))),((_xlfn.WEIBULL.DIST(AP$2,$M29,$L29,FALSE)*($T29*(1-$F29)+$S29*(1-$G29))*((1+Inputs!$D$7)^AP$2))))))</f>
        <v>48.244352086275086</v>
      </c>
      <c r="AQ29" s="88">
        <f>$E29*IF(AQ$2&gt;Inputs!$D$5,0,IF(AQ$2&gt;VLOOKUP($H29,Lists!$P$3:$Q$7,2),IF($N29=Lists!$K$3,IF($L29&lt;1,(($U29/$L29)*((1+Inputs!$D$7)^AQ$2)),((INT(AQ$2/$L29)-INT((AQ$2-1)/$L29))*$U29*((1+Inputs!$D$7)^AQ$2))),(_xlfn.WEIBULL.DIST(AQ$2,$M29,$L29,FALSE)*$U29*((1+Inputs!$D$7)^AQ$2))),IF($N29=Lists!$K$3,IF($L29&lt;1,((($T29*(1-$F29)+$S29*(1-$G29))/$L29)*((1+Inputs!$D$7)^AQ$2)),((INT(AQ$2/$L29)-INT((AQ$2-1)/$L29))*($T29*(1-$F29)+$S29*(1-$G29))*((1+Inputs!$D$7)^AQ$2))),((_xlfn.WEIBULL.DIST(AQ$2,$M29,$L29,FALSE)*($T29*(1-$F29)+$S29*(1-$G29))*((1+Inputs!$D$7)^AQ$2))))))</f>
        <v>46.035586932335754</v>
      </c>
      <c r="AR29" s="88">
        <f>$E29*IF(AR$2&gt;Inputs!$D$5,0,IF(AR$2&gt;VLOOKUP($H29,Lists!$P$3:$Q$7,2),IF($N29=Lists!$K$3,IF($L29&lt;1,(($U29/$L29)*((1+Inputs!$D$7)^AR$2)),((INT(AR$2/$L29)-INT((AR$2-1)/$L29))*$U29*((1+Inputs!$D$7)^AR$2))),(_xlfn.WEIBULL.DIST(AR$2,$M29,$L29,FALSE)*$U29*((1+Inputs!$D$7)^AR$2))),IF($N29=Lists!$K$3,IF($L29&lt;1,((($T29*(1-$F29)+$S29*(1-$G29))/$L29)*((1+Inputs!$D$7)^AR$2)),((INT(AR$2/$L29)-INT((AR$2-1)/$L29))*($T29*(1-$F29)+$S29*(1-$G29))*((1+Inputs!$D$7)^AR$2))),((_xlfn.WEIBULL.DIST(AR$2,$M29,$L29,FALSE)*($T29*(1-$F29)+$S29*(1-$G29))*((1+Inputs!$D$7)^AR$2))))))</f>
        <v>43.92794539793497</v>
      </c>
      <c r="AS29" s="88">
        <f>$E29*IF(AS$2&gt;Inputs!$D$5,0,IF(AS$2&gt;VLOOKUP($H29,Lists!$P$3:$Q$7,2),IF($N29=Lists!$K$3,IF($L29&lt;1,(($U29/$L29)*((1+Inputs!$D$7)^AS$2)),((INT(AS$2/$L29)-INT((AS$2-1)/$L29))*$U29*((1+Inputs!$D$7)^AS$2))),(_xlfn.WEIBULL.DIST(AS$2,$M29,$L29,FALSE)*$U29*((1+Inputs!$D$7)^AS$2))),IF($N29=Lists!$K$3,IF($L29&lt;1,((($T29*(1-$F29)+$S29*(1-$G29))/$L29)*((1+Inputs!$D$7)^AS$2)),((INT(AS$2/$L29)-INT((AS$2-1)/$L29))*($T29*(1-$F29)+$S29*(1-$G29))*((1+Inputs!$D$7)^AS$2))),((_xlfn.WEIBULL.DIST(AS$2,$M29,$L29,FALSE)*($T29*(1-$F29)+$S29*(1-$G29))*((1+Inputs!$D$7)^AS$2))))))</f>
        <v>41.91679775301278</v>
      </c>
      <c r="AT29" s="88">
        <f>$E29*IF(AT$2&gt;Inputs!$D$5,0,IF(AT$2&gt;VLOOKUP($H29,Lists!$P$3:$Q$7,2),IF($N29=Lists!$K$3,IF($L29&lt;1,(($U29/$L29)*((1+Inputs!$D$7)^AT$2)),((INT(AT$2/$L29)-INT((AT$2-1)/$L29))*$U29*((1+Inputs!$D$7)^AT$2))),(_xlfn.WEIBULL.DIST(AT$2,$M29,$L29,FALSE)*$U29*((1+Inputs!$D$7)^AT$2))),IF($N29=Lists!$K$3,IF($L29&lt;1,((($T29*(1-$F29)+$S29*(1-$G29))/$L29)*((1+Inputs!$D$7)^AT$2)),((INT(AT$2/$L29)-INT((AT$2-1)/$L29))*($T29*(1-$F29)+$S29*(1-$G29))*((1+Inputs!$D$7)^AT$2))),((_xlfn.WEIBULL.DIST(AT$2,$M29,$L29,FALSE)*($T29*(1-$F29)+$S29*(1-$G29))*((1+Inputs!$D$7)^AT$2))))))</f>
        <v>39.997726229863098</v>
      </c>
      <c r="AU29" s="88">
        <f>$E29*IF(AU$2&gt;Inputs!$D$5,0,IF(AU$2&gt;VLOOKUP($H29,Lists!$P$3:$Q$7,2),IF($N29=Lists!$K$3,IF($L29&lt;1,(($U29/$L29)*((1+Inputs!$D$7)^AU$2)),((INT(AU$2/$L29)-INT((AU$2-1)/$L29))*$U29*((1+Inputs!$D$7)^AU$2))),(_xlfn.WEIBULL.DIST(AU$2,$M29,$L29,FALSE)*$U29*((1+Inputs!$D$7)^AU$2))),IF($N29=Lists!$K$3,IF($L29&lt;1,((($T29*(1-$F29)+$S29*(1-$G29))/$L29)*((1+Inputs!$D$7)^AU$2)),((INT(AU$2/$L29)-INT((AU$2-1)/$L29))*($T29*(1-$F29)+$S29*(1-$G29))*((1+Inputs!$D$7)^AU$2))),((_xlfn.WEIBULL.DIST(AU$2,$M29,$L29,FALSE)*($T29*(1-$F29)+$S29*(1-$G29))*((1+Inputs!$D$7)^AU$2))))))</f>
        <v>38.166515318887669</v>
      </c>
      <c r="AV29" s="88">
        <f>$E29*IF(AV$2&gt;Inputs!$D$5,0,IF(AV$2&gt;VLOOKUP($H29,Lists!$P$3:$Q$7,2),IF($N29=Lists!$K$3,IF($L29&lt;1,(($U29/$L29)*((1+Inputs!$D$7)^AV$2)),((INT(AV$2/$L29)-INT((AV$2-1)/$L29))*$U29*((1+Inputs!$D$7)^AV$2))),(_xlfn.WEIBULL.DIST(AV$2,$M29,$L29,FALSE)*$U29*((1+Inputs!$D$7)^AV$2))),IF($N29=Lists!$K$3,IF($L29&lt;1,((($T29*(1-$F29)+$S29*(1-$G29))/$L29)*((1+Inputs!$D$7)^AV$2)),((INT(AV$2/$L29)-INT((AV$2-1)/$L29))*($T29*(1-$F29)+$S29*(1-$G29))*((1+Inputs!$D$7)^AV$2))),((_xlfn.WEIBULL.DIST(AV$2,$M29,$L29,FALSE)*($T29*(1-$F29)+$S29*(1-$G29))*((1+Inputs!$D$7)^AV$2))))))</f>
        <v>36.419142508638366</v>
      </c>
      <c r="AW29" s="88">
        <f>$E29*IF(AW$2&gt;Inputs!$D$5,0,IF(AW$2&gt;VLOOKUP($H29,Lists!$P$3:$Q$7,2),IF($N29=Lists!$K$3,IF($L29&lt;1,(($U29/$L29)*((1+Inputs!$D$7)^AW$2)),((INT(AW$2/$L29)-INT((AW$2-1)/$L29))*$U29*((1+Inputs!$D$7)^AW$2))),(_xlfn.WEIBULL.DIST(AW$2,$M29,$L29,FALSE)*$U29*((1+Inputs!$D$7)^AW$2))),IF($N29=Lists!$K$3,IF($L29&lt;1,((($T29*(1-$F29)+$S29*(1-$G29))/$L29)*((1+Inputs!$D$7)^AW$2)),((INT(AW$2/$L29)-INT((AW$2-1)/$L29))*($T29*(1-$F29)+$S29*(1-$G29))*((1+Inputs!$D$7)^AW$2))),((_xlfn.WEIBULL.DIST(AW$2,$M29,$L29,FALSE)*($T29*(1-$F29)+$S29*(1-$G29))*((1+Inputs!$D$7)^AW$2))))))</f>
        <v>34.751769449806957</v>
      </c>
      <c r="AX29" s="88">
        <f>$E29*IF(AX$2&gt;Inputs!$D$5,0,IF(AX$2&gt;VLOOKUP($H29,Lists!$P$3:$Q$7,2),IF($N29=Lists!$K$3,IF($L29&lt;1,(($U29/$L29)*((1+Inputs!$D$7)^AX$2)),((INT(AX$2/$L29)-INT((AX$2-1)/$L29))*$U29*((1+Inputs!$D$7)^AX$2))),(_xlfn.WEIBULL.DIST(AX$2,$M29,$L29,FALSE)*$U29*((1+Inputs!$D$7)^AX$2))),IF($N29=Lists!$K$3,IF($L29&lt;1,((($T29*(1-$F29)+$S29*(1-$G29))/$L29)*((1+Inputs!$D$7)^AX$2)),((INT(AX$2/$L29)-INT((AX$2-1)/$L29))*($T29*(1-$F29)+$S29*(1-$G29))*((1+Inputs!$D$7)^AX$2))),((_xlfn.WEIBULL.DIST(AX$2,$M29,$L29,FALSE)*($T29*(1-$F29)+$S29*(1-$G29))*((1+Inputs!$D$7)^AX$2))))))</f>
        <v>33.160733523752846</v>
      </c>
      <c r="AY29" s="88">
        <f>$E29*IF(AY$2&gt;Inputs!$D$5,0,IF(AY$2&gt;VLOOKUP($H29,Lists!$P$3:$Q$7,2),IF($N29=Lists!$K$3,IF($L29&lt;1,(($U29/$L29)*((1+Inputs!$D$7)^AY$2)),((INT(AY$2/$L29)-INT((AY$2-1)/$L29))*$U29*((1+Inputs!$D$7)^AY$2))),(_xlfn.WEIBULL.DIST(AY$2,$M29,$L29,FALSE)*$U29*((1+Inputs!$D$7)^AY$2))),IF($N29=Lists!$K$3,IF($L29&lt;1,((($T29*(1-$F29)+$S29*(1-$G29))/$L29)*((1+Inputs!$D$7)^AY$2)),((INT(AY$2/$L29)-INT((AY$2-1)/$L29))*($T29*(1-$F29)+$S29*(1-$G29))*((1+Inputs!$D$7)^AY$2))),((_xlfn.WEIBULL.DIST(AY$2,$M29,$L29,FALSE)*($T29*(1-$F29)+$S29*(1-$G29))*((1+Inputs!$D$7)^AY$2))))))</f>
        <v>31.642539797047778</v>
      </c>
      <c r="AZ29" s="88">
        <f>$E29*IF(AZ$2&gt;Inputs!$D$5,0,IF(AZ$2&gt;VLOOKUP($H29,Lists!$P$3:$Q$7,2),IF($N29=Lists!$K$3,IF($L29&lt;1,(($U29/$L29)*((1+Inputs!$D$7)^AZ$2)),((INT(AZ$2/$L29)-INT((AZ$2-1)/$L29))*$U29*((1+Inputs!$D$7)^AZ$2))),(_xlfn.WEIBULL.DIST(AZ$2,$M29,$L29,FALSE)*$U29*((1+Inputs!$D$7)^AZ$2))),IF($N29=Lists!$K$3,IF($L29&lt;1,((($T29*(1-$F29)+$S29*(1-$G29))/$L29)*((1+Inputs!$D$7)^AZ$2)),((INT(AZ$2/$L29)-INT((AZ$2-1)/$L29))*($T29*(1-$F29)+$S29*(1-$G29))*((1+Inputs!$D$7)^AZ$2))),((_xlfn.WEIBULL.DIST(AZ$2,$M29,$L29,FALSE)*($T29*(1-$F29)+$S29*(1-$G29))*((1+Inputs!$D$7)^AZ$2))))))</f>
        <v>0</v>
      </c>
      <c r="BA29" s="88">
        <f>$E29*IF(BA$2&gt;Inputs!$D$5,0,IF(BA$2&gt;VLOOKUP($H29,Lists!$P$3:$Q$7,2),IF($N29=Lists!$K$3,IF($L29&lt;1,(($U29/$L29)*((1+Inputs!$D$7)^BA$2)),((INT(BA$2/$L29)-INT((BA$2-1)/$L29))*$U29*((1+Inputs!$D$7)^BA$2))),(_xlfn.WEIBULL.DIST(BA$2,$M29,$L29,FALSE)*$U29*((1+Inputs!$D$7)^BA$2))),IF($N29=Lists!$K$3,IF($L29&lt;1,((($T29*(1-$F29)+$S29*(1-$G29))/$L29)*((1+Inputs!$D$7)^BA$2)),((INT(BA$2/$L29)-INT((BA$2-1)/$L29))*($T29*(1-$F29)+$S29*(1-$G29))*((1+Inputs!$D$7)^BA$2))),((_xlfn.WEIBULL.DIST(BA$2,$M29,$L29,FALSE)*($T29*(1-$F29)+$S29*(1-$G29))*((1+Inputs!$D$7)^BA$2))))))</f>
        <v>0</v>
      </c>
      <c r="BB29" s="88">
        <f>$E29*IF(BB$2&gt;Inputs!$D$5,0,IF(BB$2&gt;VLOOKUP($H29,Lists!$P$3:$Q$7,2),IF($N29=Lists!$K$3,IF($L29&lt;1,(($U29/$L29)*((1+Inputs!$D$7)^BB$2)),((INT(BB$2/$L29)-INT((BB$2-1)/$L29))*$U29*((1+Inputs!$D$7)^BB$2))),(_xlfn.WEIBULL.DIST(BB$2,$M29,$L29,FALSE)*$U29*((1+Inputs!$D$7)^BB$2))),IF($N29=Lists!$K$3,IF($L29&lt;1,((($T29*(1-$F29)+$S29*(1-$G29))/$L29)*((1+Inputs!$D$7)^BB$2)),((INT(BB$2/$L29)-INT((BB$2-1)/$L29))*($T29*(1-$F29)+$S29*(1-$G29))*((1+Inputs!$D$7)^BB$2))),((_xlfn.WEIBULL.DIST(BB$2,$M29,$L29,FALSE)*($T29*(1-$F29)+$S29*(1-$G29))*((1+Inputs!$D$7)^BB$2))))))</f>
        <v>0</v>
      </c>
      <c r="BC29" s="88">
        <f>$E29*IF(BC$2&gt;Inputs!$D$5,0,IF(BC$2&gt;VLOOKUP($H29,Lists!$P$3:$Q$7,2),IF($N29=Lists!$K$3,IF($L29&lt;1,(($U29/$L29)*((1+Inputs!$D$7)^BC$2)),((INT(BC$2/$L29)-INT((BC$2-1)/$L29))*$U29*((1+Inputs!$D$7)^BC$2))),(_xlfn.WEIBULL.DIST(BC$2,$M29,$L29,FALSE)*$U29*((1+Inputs!$D$7)^BC$2))),IF($N29=Lists!$K$3,IF($L29&lt;1,((($T29*(1-$F29)+$S29*(1-$G29))/$L29)*((1+Inputs!$D$7)^BC$2)),((INT(BC$2/$L29)-INT((BC$2-1)/$L29))*($T29*(1-$F29)+$S29*(1-$G29))*((1+Inputs!$D$7)^BC$2))),((_xlfn.WEIBULL.DIST(BC$2,$M29,$L29,FALSE)*($T29*(1-$F29)+$S29*(1-$G29))*((1+Inputs!$D$7)^BC$2))))))</f>
        <v>0</v>
      </c>
      <c r="BD29" s="88">
        <f>$E29*IF(BD$2&gt;Inputs!$D$5,0,IF(BD$2&gt;VLOOKUP($H29,Lists!$P$3:$Q$7,2),IF($N29=Lists!$K$3,IF($L29&lt;1,(($U29/$L29)*((1+Inputs!$D$7)^BD$2)),((INT(BD$2/$L29)-INT((BD$2-1)/$L29))*$U29*((1+Inputs!$D$7)^BD$2))),(_xlfn.WEIBULL.DIST(BD$2,$M29,$L29,FALSE)*$U29*((1+Inputs!$D$7)^BD$2))),IF($N29=Lists!$K$3,IF($L29&lt;1,((($T29*(1-$F29)+$S29*(1-$G29))/$L29)*((1+Inputs!$D$7)^BD$2)),((INT(BD$2/$L29)-INT((BD$2-1)/$L29))*($T29*(1-$F29)+$S29*(1-$G29))*((1+Inputs!$D$7)^BD$2))),((_xlfn.WEIBULL.DIST(BD$2,$M29,$L29,FALSE)*($T29*(1-$F29)+$S29*(1-$G29))*((1+Inputs!$D$7)^BD$2))))))</f>
        <v>0</v>
      </c>
      <c r="BE29" s="88">
        <f>$E29*IF(BE$2&gt;Inputs!$D$5,0,IF(BE$2&gt;VLOOKUP($H29,Lists!$P$3:$Q$7,2),IF($N29=Lists!$K$3,IF($L29&lt;1,(($U29/$L29)*((1+Inputs!$D$7)^BE$2)),((INT(BE$2/$L29)-INT((BE$2-1)/$L29))*$U29*((1+Inputs!$D$7)^BE$2))),(_xlfn.WEIBULL.DIST(BE$2,$M29,$L29,FALSE)*$U29*((1+Inputs!$D$7)^BE$2))),IF($N29=Lists!$K$3,IF($L29&lt;1,((($T29*(1-$F29)+$S29*(1-$G29))/$L29)*((1+Inputs!$D$7)^BE$2)),((INT(BE$2/$L29)-INT((BE$2-1)/$L29))*($T29*(1-$F29)+$S29*(1-$G29))*((1+Inputs!$D$7)^BE$2))),((_xlfn.WEIBULL.DIST(BE$2,$M29,$L29,FALSE)*($T29*(1-$F29)+$S29*(1-$G29))*((1+Inputs!$D$7)^BE$2))))))</f>
        <v>0</v>
      </c>
      <c r="BF29" s="88">
        <f>$E29*IF(BF$2&gt;Inputs!$D$5,0,IF(BF$2&gt;VLOOKUP($H29,Lists!$P$3:$Q$7,2),IF($N29=Lists!$K$3,IF($L29&lt;1,(($U29/$L29)*((1+Inputs!$D$7)^BF$2)),((INT(BF$2/$L29)-INT((BF$2-1)/$L29))*$U29*((1+Inputs!$D$7)^BF$2))),(_xlfn.WEIBULL.DIST(BF$2,$M29,$L29,FALSE)*$U29*((1+Inputs!$D$7)^BF$2))),IF($N29=Lists!$K$3,IF($L29&lt;1,((($T29*(1-$F29)+$S29*(1-$G29))/$L29)*((1+Inputs!$D$7)^BF$2)),((INT(BF$2/$L29)-INT((BF$2-1)/$L29))*($T29*(1-$F29)+$S29*(1-$G29))*((1+Inputs!$D$7)^BF$2))),((_xlfn.WEIBULL.DIST(BF$2,$M29,$L29,FALSE)*($T29*(1-$F29)+$S29*(1-$G29))*((1+Inputs!$D$7)^BF$2))))))</f>
        <v>0</v>
      </c>
      <c r="BG29" s="88">
        <f>$E29*IF(BG$2&gt;Inputs!$D$5,0,IF(BG$2&gt;VLOOKUP($H29,Lists!$P$3:$Q$7,2),IF($N29=Lists!$K$3,IF($L29&lt;1,(($U29/$L29)*((1+Inputs!$D$7)^BG$2)),((INT(BG$2/$L29)-INT((BG$2-1)/$L29))*$U29*((1+Inputs!$D$7)^BG$2))),(_xlfn.WEIBULL.DIST(BG$2,$M29,$L29,FALSE)*$U29*((1+Inputs!$D$7)^BG$2))),IF($N29=Lists!$K$3,IF($L29&lt;1,((($T29*(1-$F29)+$S29*(1-$G29))/$L29)*((1+Inputs!$D$7)^BG$2)),((INT(BG$2/$L29)-INT((BG$2-1)/$L29))*($T29*(1-$F29)+$S29*(1-$G29))*((1+Inputs!$D$7)^BG$2))),((_xlfn.WEIBULL.DIST(BG$2,$M29,$L29,FALSE)*($T29*(1-$F29)+$S29*(1-$G29))*((1+Inputs!$D$7)^BG$2))))))</f>
        <v>0</v>
      </c>
      <c r="BH29" s="88">
        <f>$E29*IF(BH$2&gt;Inputs!$D$5,0,IF(BH$2&gt;VLOOKUP($H29,Lists!$P$3:$Q$7,2),IF($N29=Lists!$K$3,IF($L29&lt;1,(($U29/$L29)*((1+Inputs!$D$7)^BH$2)),((INT(BH$2/$L29)-INT((BH$2-1)/$L29))*$U29*((1+Inputs!$D$7)^BH$2))),(_xlfn.WEIBULL.DIST(BH$2,$M29,$L29,FALSE)*$U29*((1+Inputs!$D$7)^BH$2))),IF($N29=Lists!$K$3,IF($L29&lt;1,((($T29*(1-$F29)+$S29*(1-$G29))/$L29)*((1+Inputs!$D$7)^BH$2)),((INT(BH$2/$L29)-INT((BH$2-1)/$L29))*($T29*(1-$F29)+$S29*(1-$G29))*((1+Inputs!$D$7)^BH$2))),((_xlfn.WEIBULL.DIST(BH$2,$M29,$L29,FALSE)*($T29*(1-$F29)+$S29*(1-$G29))*((1+Inputs!$D$7)^BH$2))))))</f>
        <v>0</v>
      </c>
      <c r="BI29" s="88">
        <f>$E29*IF(BI$2&gt;Inputs!$D$5,0,IF(BI$2&gt;VLOOKUP($H29,Lists!$P$3:$Q$7,2),IF($N29=Lists!$K$3,IF($L29&lt;1,(($U29/$L29)*((1+Inputs!$D$7)^BI$2)),((INT(BI$2/$L29)-INT((BI$2-1)/$L29))*$U29*((1+Inputs!$D$7)^BI$2))),(_xlfn.WEIBULL.DIST(BI$2,$M29,$L29,FALSE)*$U29*((1+Inputs!$D$7)^BI$2))),IF($N29=Lists!$K$3,IF($L29&lt;1,((($T29*(1-$F29)+$S29*(1-$G29))/$L29)*((1+Inputs!$D$7)^BI$2)),((INT(BI$2/$L29)-INT((BI$2-1)/$L29))*($T29*(1-$F29)+$S29*(1-$G29))*((1+Inputs!$D$7)^BI$2))),((_xlfn.WEIBULL.DIST(BI$2,$M29,$L29,FALSE)*($T29*(1-$F29)+$S29*(1-$G29))*((1+Inputs!$D$7)^BI$2))))))</f>
        <v>0</v>
      </c>
      <c r="BJ29" s="88">
        <f>$E29*IF(BJ$2&gt;Inputs!$D$5,0,IF(BJ$2&gt;VLOOKUP($H29,Lists!$P$3:$Q$7,2),IF($N29=Lists!$K$3,IF($L29&lt;1,(($U29/$L29)*((1+Inputs!$D$7)^BJ$2)),((INT(BJ$2/$L29)-INT((BJ$2-1)/$L29))*$U29*((1+Inputs!$D$7)^BJ$2))),(_xlfn.WEIBULL.DIST(BJ$2,$M29,$L29,FALSE)*$U29*((1+Inputs!$D$7)^BJ$2))),IF($N29=Lists!$K$3,IF($L29&lt;1,((($T29*(1-$F29)+$S29*(1-$G29))/$L29)*((1+Inputs!$D$7)^BJ$2)),((INT(BJ$2/$L29)-INT((BJ$2-1)/$L29))*($T29*(1-$F29)+$S29*(1-$G29))*((1+Inputs!$D$7)^BJ$2))),((_xlfn.WEIBULL.DIST(BJ$2,$M29,$L29,FALSE)*($T29*(1-$F29)+$S29*(1-$G29))*((1+Inputs!$D$7)^BJ$2))))))</f>
        <v>0</v>
      </c>
      <c r="BK29" s="88">
        <f>$E29*IF(BK$2&gt;Inputs!$D$5,0,IF(BK$2&gt;VLOOKUP($H29,Lists!$P$3:$Q$7,2),IF($N29=Lists!$K$3,IF($L29&lt;1,(($U29/$L29)*((1+Inputs!$D$7)^BK$2)),((INT(BK$2/$L29)-INT((BK$2-1)/$L29))*$U29*((1+Inputs!$D$7)^BK$2))),(_xlfn.WEIBULL.DIST(BK$2,$M29,$L29,FALSE)*$U29*((1+Inputs!$D$7)^BK$2))),IF($N29=Lists!$K$3,IF($L29&lt;1,((($T29*(1-$F29)+$S29*(1-$G29))/$L29)*((1+Inputs!$D$7)^BK$2)),((INT(BK$2/$L29)-INT((BK$2-1)/$L29))*($T29*(1-$F29)+$S29*(1-$G29))*((1+Inputs!$D$7)^BK$2))),((_xlfn.WEIBULL.DIST(BK$2,$M29,$L29,FALSE)*($T29*(1-$F29)+$S29*(1-$G29))*((1+Inputs!$D$7)^BK$2))))))</f>
        <v>0</v>
      </c>
      <c r="BL29" s="88">
        <f>$E29*IF(BL$2&gt;Inputs!$D$5,0,IF(BL$2&gt;VLOOKUP($H29,Lists!$P$3:$Q$7,2),IF($N29=Lists!$K$3,IF($L29&lt;1,(($U29/$L29)*((1+Inputs!$D$7)^BL$2)),((INT(BL$2/$L29)-INT((BL$2-1)/$L29))*$U29*((1+Inputs!$D$7)^BL$2))),(_xlfn.WEIBULL.DIST(BL$2,$M29,$L29,FALSE)*$U29*((1+Inputs!$D$7)^BL$2))),IF($N29=Lists!$K$3,IF($L29&lt;1,((($T29*(1-$F29)+$S29*(1-$G29))/$L29)*((1+Inputs!$D$7)^BL$2)),((INT(BL$2/$L29)-INT((BL$2-1)/$L29))*($T29*(1-$F29)+$S29*(1-$G29))*((1+Inputs!$D$7)^BL$2))),((_xlfn.WEIBULL.DIST(BL$2,$M29,$L29,FALSE)*($T29*(1-$F29)+$S29*(1-$G29))*((1+Inputs!$D$7)^BL$2))))))</f>
        <v>0</v>
      </c>
      <c r="BM29" s="88">
        <f>$E29*IF(BM$2&gt;Inputs!$D$5,0,IF(BM$2&gt;VLOOKUP($H29,Lists!$P$3:$Q$7,2),IF($N29=Lists!$K$3,IF($L29&lt;1,(($U29/$L29)*((1+Inputs!$D$7)^BM$2)),((INT(BM$2/$L29)-INT((BM$2-1)/$L29))*$U29*((1+Inputs!$D$7)^BM$2))),(_xlfn.WEIBULL.DIST(BM$2,$M29,$L29,FALSE)*$U29*((1+Inputs!$D$7)^BM$2))),IF($N29=Lists!$K$3,IF($L29&lt;1,((($T29*(1-$F29)+$S29*(1-$G29))/$L29)*((1+Inputs!$D$7)^BM$2)),((INT(BM$2/$L29)-INT((BM$2-1)/$L29))*($T29*(1-$F29)+$S29*(1-$G29))*((1+Inputs!$D$7)^BM$2))),((_xlfn.WEIBULL.DIST(BM$2,$M29,$L29,FALSE)*($T29*(1-$F29)+$S29*(1-$G29))*((1+Inputs!$D$7)^BM$2))))))</f>
        <v>0</v>
      </c>
      <c r="BN29" s="88">
        <f>$E29*IF(BN$2&gt;Inputs!$D$5,0,IF(BN$2&gt;VLOOKUP($H29,Lists!$P$3:$Q$7,2),IF($N29=Lists!$K$3,IF($L29&lt;1,(($U29/$L29)*((1+Inputs!$D$7)^BN$2)),((INT(BN$2/$L29)-INT((BN$2-1)/$L29))*$U29*((1+Inputs!$D$7)^BN$2))),(_xlfn.WEIBULL.DIST(BN$2,$M29,$L29,FALSE)*$U29*((1+Inputs!$D$7)^BN$2))),IF($N29=Lists!$K$3,IF($L29&lt;1,((($T29*(1-$F29)+$S29*(1-$G29))/$L29)*((1+Inputs!$D$7)^BN$2)),((INT(BN$2/$L29)-INT((BN$2-1)/$L29))*($T29*(1-$F29)+$S29*(1-$G29))*((1+Inputs!$D$7)^BN$2))),((_xlfn.WEIBULL.DIST(BN$2,$M29,$L29,FALSE)*($T29*(1-$F29)+$S29*(1-$G29))*((1+Inputs!$D$7)^BN$2))))))</f>
        <v>0</v>
      </c>
      <c r="BO29" s="64">
        <f>NPV(Inputs!$D$6,BQ29:DD29)</f>
        <v>840.46763125907478</v>
      </c>
      <c r="BP29" s="67">
        <f t="shared" si="6"/>
        <v>3.9640556712652446E-4</v>
      </c>
      <c r="BQ29" s="88">
        <f>MAX(AA29,($E29*IF(BQ$2&gt;Inputs!$D$5,0,IF(BQ$2&gt;VLOOKUP($H29,Lists!$P$3:$Q$7,2),IF($N29=Lists!$K$3,IF($L29&lt;1,(($U29/$L29)*((1+Inputs!$D$7)^BQ$2)),((INT(BQ$2/$L29)-INT((BQ$2-1)/$L29))*$U29*((1+Inputs!$D$7)^BQ$2))),(Inputs!$D$8^((1-_xlfn.WEIBULL.DIST(BQ$2,$M29,$L29,FALSE))/_xlfn.WEIBULL.DIST(BQ$2,$M29,$L29,FALSE))*$U29*((1+Inputs!$D$7)^BQ$2))),IF($N29=Lists!$K$3,IF($L29&lt;1,((($T29*(1-$F29)+$S29*(1-$G29))/$L29)*((1+Inputs!$D$7)^BQ$2)),((INT(BQ$2/$L29)-INT((BQ$2-1)/$L29))*($T29*(1-$F29)+$S29*(1-$G29))*((1+Inputs!$D$7)^BQ$2))),((Inputs!$D$8^((1-_xlfn.WEIBULL.DIST(BQ$2,$M29,$L29,FALSE))/_xlfn.WEIBULL.DIST(BQ$2,$M29,$L29,FALSE))*($T29*(1-$F29)+$S29*(1-$G29))*((1+Inputs!$D$7)^BQ$2))))))))</f>
        <v>96.598189874836024</v>
      </c>
      <c r="BR29" s="88">
        <f>MAX(AB29,($E29*IF(BR$2&gt;Inputs!$D$5,0,IF(BR$2&gt;VLOOKUP($H29,Lists!$P$3:$Q$7,2),IF($N29=Lists!$K$3,IF($L29&lt;1,(($U29/$L29)*((1+Inputs!$D$7)^BR$2)),((INT(BR$2/$L29)-INT((BR$2-1)/$L29))*$U29*((1+Inputs!$D$7)^BR$2))),(Inputs!$D$8^((1-_xlfn.WEIBULL.DIST(BR$2,$M29,$L29,FALSE))/_xlfn.WEIBULL.DIST(BR$2,$M29,$L29,FALSE))*$U29*((1+Inputs!$D$7)^BR$2))),IF($N29=Lists!$K$3,IF($L29&lt;1,((($T29*(1-$F29)+$S29*(1-$G29))/$L29)*((1+Inputs!$D$7)^BR$2)),((INT(BR$2/$L29)-INT((BR$2-1)/$L29))*($T29*(1-$F29)+$S29*(1-$G29))*((1+Inputs!$D$7)^BR$2))),((Inputs!$D$8^((1-_xlfn.WEIBULL.DIST(BR$2,$M29,$L29,FALSE))/_xlfn.WEIBULL.DIST(BR$2,$M29,$L29,FALSE))*($T29*(1-$F29)+$S29*(1-$G29))*((1+Inputs!$D$7)^BR$2))))))))</f>
        <v>89.854764109601575</v>
      </c>
      <c r="BS29" s="88">
        <f>MAX(AC29,($E29*IF(BS$2&gt;Inputs!$D$5,0,IF(BS$2&gt;VLOOKUP($H29,Lists!$P$3:$Q$7,2),IF($N29=Lists!$K$3,IF($L29&lt;1,(($U29/$L29)*((1+Inputs!$D$7)^BS$2)),((INT(BS$2/$L29)-INT((BS$2-1)/$L29))*$U29*((1+Inputs!$D$7)^BS$2))),(Inputs!$D$8^((1-_xlfn.WEIBULL.DIST(BS$2,$M29,$L29,FALSE))/_xlfn.WEIBULL.DIST(BS$2,$M29,$L29,FALSE))*$U29*((1+Inputs!$D$7)^BS$2))),IF($N29=Lists!$K$3,IF($L29&lt;1,((($T29*(1-$F29)+$S29*(1-$G29))/$L29)*((1+Inputs!$D$7)^BS$2)),((INT(BS$2/$L29)-INT((BS$2-1)/$L29))*($T29*(1-$F29)+$S29*(1-$G29))*((1+Inputs!$D$7)^BS$2))),((Inputs!$D$8^((1-_xlfn.WEIBULL.DIST(BS$2,$M29,$L29,FALSE))/_xlfn.WEIBULL.DIST(BS$2,$M29,$L29,FALSE))*($T29*(1-$F29)+$S29*(1-$G29))*((1+Inputs!$D$7)^BS$2))))))))</f>
        <v>83.052695147160705</v>
      </c>
      <c r="BT29" s="88">
        <f>MAX(AD29,($E29*IF(BT$2&gt;Inputs!$D$5,0,IF(BT$2&gt;VLOOKUP($H29,Lists!$P$3:$Q$7,2),IF($N29=Lists!$K$3,IF($L29&lt;1,(($U29/$L29)*((1+Inputs!$D$7)^BT$2)),((INT(BT$2/$L29)-INT((BT$2-1)/$L29))*$U29*((1+Inputs!$D$7)^BT$2))),(Inputs!$D$8^((1-_xlfn.WEIBULL.DIST(BT$2,$M29,$L29,FALSE))/_xlfn.WEIBULL.DIST(BT$2,$M29,$L29,FALSE))*$U29*((1+Inputs!$D$7)^BT$2))),IF($N29=Lists!$K$3,IF($L29&lt;1,((($T29*(1-$F29)+$S29*(1-$G29))/$L29)*((1+Inputs!$D$7)^BT$2)),((INT(BT$2/$L29)-INT((BT$2-1)/$L29))*($T29*(1-$F29)+$S29*(1-$G29))*((1+Inputs!$D$7)^BT$2))),((Inputs!$D$8^((1-_xlfn.WEIBULL.DIST(BT$2,$M29,$L29,FALSE))/_xlfn.WEIBULL.DIST(BT$2,$M29,$L29,FALSE))*($T29*(1-$F29)+$S29*(1-$G29))*((1+Inputs!$D$7)^BT$2))))))))</f>
        <v>76.245921361281631</v>
      </c>
      <c r="BU29" s="88">
        <f>MAX(AE29,($E29*IF(BU$2&gt;Inputs!$D$5,0,IF(BU$2&gt;VLOOKUP($H29,Lists!$P$3:$Q$7,2),IF($N29=Lists!$K$3,IF($L29&lt;1,(($U29/$L29)*((1+Inputs!$D$7)^BU$2)),((INT(BU$2/$L29)-INT((BU$2-1)/$L29))*$U29*((1+Inputs!$D$7)^BU$2))),(Inputs!$D$8^((1-_xlfn.WEIBULL.DIST(BU$2,$M29,$L29,FALSE))/_xlfn.WEIBULL.DIST(BU$2,$M29,$L29,FALSE))*$U29*((1+Inputs!$D$7)^BU$2))),IF($N29=Lists!$K$3,IF($L29&lt;1,((($T29*(1-$F29)+$S29*(1-$G29))/$L29)*((1+Inputs!$D$7)^BU$2)),((INT(BU$2/$L29)-INT((BU$2-1)/$L29))*($T29*(1-$F29)+$S29*(1-$G29))*((1+Inputs!$D$7)^BU$2))),((Inputs!$D$8^((1-_xlfn.WEIBULL.DIST(BU$2,$M29,$L29,FALSE))/_xlfn.WEIBULL.DIST(BU$2,$M29,$L29,FALSE))*($T29*(1-$F29)+$S29*(1-$G29))*((1+Inputs!$D$7)^BU$2))))))))</f>
        <v>69.490656689624743</v>
      </c>
      <c r="BV29" s="88">
        <f>MAX(AF29,($E29*IF(BV$2&gt;Inputs!$D$5,0,IF(BV$2&gt;VLOOKUP($H29,Lists!$P$3:$Q$7,2),IF($N29=Lists!$K$3,IF($L29&lt;1,(($U29/$L29)*((1+Inputs!$D$7)^BV$2)),((INT(BV$2/$L29)-INT((BV$2-1)/$L29))*$U29*((1+Inputs!$D$7)^BV$2))),(Inputs!$D$8^((1-_xlfn.WEIBULL.DIST(BV$2,$M29,$L29,FALSE))/_xlfn.WEIBULL.DIST(BV$2,$M29,$L29,FALSE))*$U29*((1+Inputs!$D$7)^BV$2))),IF($N29=Lists!$K$3,IF($L29&lt;1,((($T29*(1-$F29)+$S29*(1-$G29))/$L29)*((1+Inputs!$D$7)^BV$2)),((INT(BV$2/$L29)-INT((BV$2-1)/$L29))*($T29*(1-$F29)+$S29*(1-$G29))*((1+Inputs!$D$7)^BV$2))),((Inputs!$D$8^((1-_xlfn.WEIBULL.DIST(BV$2,$M29,$L29,FALSE))/_xlfn.WEIBULL.DIST(BV$2,$M29,$L29,FALSE))*($T29*(1-$F29)+$S29*(1-$G29))*((1+Inputs!$D$7)^BV$2))))))))</f>
        <v>62.844280180777353</v>
      </c>
      <c r="BW29" s="88">
        <f>MAX(AG29,($E29*IF(BW$2&gt;Inputs!$D$5,0,IF(BW$2&gt;VLOOKUP($H29,Lists!$P$3:$Q$7,2),IF($N29=Lists!$K$3,IF($L29&lt;1,(($U29/$L29)*((1+Inputs!$D$7)^BW$2)),((INT(BW$2/$L29)-INT((BW$2-1)/$L29))*$U29*((1+Inputs!$D$7)^BW$2))),(Inputs!$D$8^((1-_xlfn.WEIBULL.DIST(BW$2,$M29,$L29,FALSE))/_xlfn.WEIBULL.DIST(BW$2,$M29,$L29,FALSE))*$U29*((1+Inputs!$D$7)^BW$2))),IF($N29=Lists!$K$3,IF($L29&lt;1,((($T29*(1-$F29)+$S29*(1-$G29))/$L29)*((1+Inputs!$D$7)^BW$2)),((INT(BW$2/$L29)-INT((BW$2-1)/$L29))*($T29*(1-$F29)+$S29*(1-$G29))*((1+Inputs!$D$7)^BW$2))),((Inputs!$D$8^((1-_xlfn.WEIBULL.DIST(BW$2,$M29,$L29,FALSE))/_xlfn.WEIBULL.DIST(BW$2,$M29,$L29,FALSE))*($T29*(1-$F29)+$S29*(1-$G29))*((1+Inputs!$D$7)^BW$2))))))))</f>
        <v>56.364061692949093</v>
      </c>
      <c r="BX29" s="88">
        <f>MAX(AH29,($E29*IF(BX$2&gt;Inputs!$D$5,0,IF(BX$2&gt;VLOOKUP($H29,Lists!$P$3:$Q$7,2),IF($N29=Lists!$K$3,IF($L29&lt;1,(($U29/$L29)*((1+Inputs!$D$7)^BX$2)),((INT(BX$2/$L29)-INT((BX$2-1)/$L29))*$U29*((1+Inputs!$D$7)^BX$2))),(Inputs!$D$8^((1-_xlfn.WEIBULL.DIST(BX$2,$M29,$L29,FALSE))/_xlfn.WEIBULL.DIST(BX$2,$M29,$L29,FALSE))*$U29*((1+Inputs!$D$7)^BX$2))),IF($N29=Lists!$K$3,IF($L29&lt;1,((($T29*(1-$F29)+$S29*(1-$G29))/$L29)*((1+Inputs!$D$7)^BX$2)),((INT(BX$2/$L29)-INT((BX$2-1)/$L29))*($T29*(1-$F29)+$S29*(1-$G29))*((1+Inputs!$D$7)^BX$2))),((Inputs!$D$8^((1-_xlfn.WEIBULL.DIST(BX$2,$M29,$L29,FALSE))/_xlfn.WEIBULL.DIST(BX$2,$M29,$L29,FALSE))*($T29*(1-$F29)+$S29*(1-$G29))*((1+Inputs!$D$7)^BX$2))))))))</f>
        <v>50.1057557663258</v>
      </c>
      <c r="BY29" s="88">
        <f>MAX(AI29,($E29*IF(BY$2&gt;Inputs!$D$5,0,IF(BY$2&gt;VLOOKUP($H29,Lists!$P$3:$Q$7,2),IF($N29=Lists!$K$3,IF($L29&lt;1,(($U29/$L29)*((1+Inputs!$D$7)^BY$2)),((INT(BY$2/$L29)-INT((BY$2-1)/$L29))*$U29*((1+Inputs!$D$7)^BY$2))),(Inputs!$D$8^((1-_xlfn.WEIBULL.DIST(BY$2,$M29,$L29,FALSE))/_xlfn.WEIBULL.DIST(BY$2,$M29,$L29,FALSE))*$U29*((1+Inputs!$D$7)^BY$2))),IF($N29=Lists!$K$3,IF($L29&lt;1,((($T29*(1-$F29)+$S29*(1-$G29))/$L29)*((1+Inputs!$D$7)^BY$2)),((INT(BY$2/$L29)-INT((BY$2-1)/$L29))*($T29*(1-$F29)+$S29*(1-$G29))*((1+Inputs!$D$7)^BY$2))),((Inputs!$D$8^((1-_xlfn.WEIBULL.DIST(BY$2,$M29,$L29,FALSE))/_xlfn.WEIBULL.DIST(BY$2,$M29,$L29,FALSE))*($T29*(1-$F29)+$S29*(1-$G29))*((1+Inputs!$D$7)^BY$2))))))))</f>
        <v>44.122109219264637</v>
      </c>
      <c r="BZ29" s="88">
        <f>MAX(AJ29,($E29*IF(BZ$2&gt;Inputs!$D$5,0,IF(BZ$2&gt;VLOOKUP($H29,Lists!$P$3:$Q$7,2),IF($N29=Lists!$K$3,IF($L29&lt;1,(($U29/$L29)*((1+Inputs!$D$7)^BZ$2)),((INT(BZ$2/$L29)-INT((BZ$2-1)/$L29))*$U29*((1+Inputs!$D$7)^BZ$2))),(Inputs!$D$8^((1-_xlfn.WEIBULL.DIST(BZ$2,$M29,$L29,FALSE))/_xlfn.WEIBULL.DIST(BZ$2,$M29,$L29,FALSE))*$U29*((1+Inputs!$D$7)^BZ$2))),IF($N29=Lists!$K$3,IF($L29&lt;1,((($T29*(1-$F29)+$S29*(1-$G29))/$L29)*((1+Inputs!$D$7)^BZ$2)),((INT(BZ$2/$L29)-INT((BZ$2-1)/$L29))*($T29*(1-$F29)+$S29*(1-$G29))*((1+Inputs!$D$7)^BZ$2))),((Inputs!$D$8^((1-_xlfn.WEIBULL.DIST(BZ$2,$M29,$L29,FALSE))/_xlfn.WEIBULL.DIST(BZ$2,$M29,$L29,FALSE))*($T29*(1-$F29)+$S29*(1-$G29))*((1+Inputs!$D$7)^BZ$2))))))))</f>
        <v>38.461341265536063</v>
      </c>
      <c r="CA29" s="88">
        <f>MAX(AK29,($E29*IF(CA$2&gt;Inputs!$D$5,0,IF(CA$2&gt;VLOOKUP($H29,Lists!$P$3:$Q$7,2),IF($N29=Lists!$K$3,IF($L29&lt;1,(($U29/$L29)*((1+Inputs!$D$7)^CA$2)),((INT(CA$2/$L29)-INT((CA$2-1)/$L29))*$U29*((1+Inputs!$D$7)^CA$2))),(Inputs!$D$8^((1-_xlfn.WEIBULL.DIST(CA$2,$M29,$L29,FALSE))/_xlfn.WEIBULL.DIST(CA$2,$M29,$L29,FALSE))*$U29*((1+Inputs!$D$7)^CA$2))),IF($N29=Lists!$K$3,IF($L29&lt;1,((($T29*(1-$F29)+$S29*(1-$G29))/$L29)*((1+Inputs!$D$7)^CA$2)),((INT(CA$2/$L29)-INT((CA$2-1)/$L29))*($T29*(1-$F29)+$S29*(1-$G29))*((1+Inputs!$D$7)^CA$2))),((Inputs!$D$8^((1-_xlfn.WEIBULL.DIST(CA$2,$M29,$L29,FALSE))/_xlfn.WEIBULL.DIST(CA$2,$M29,$L29,FALSE))*($T29*(1-$F29)+$S29*(1-$G29))*((1+Inputs!$D$7)^CA$2))))))))</f>
        <v>153.13886086102886</v>
      </c>
      <c r="CB29" s="88">
        <f>MAX(AL29,($E29*IF(CB$2&gt;Inputs!$D$5,0,IF(CB$2&gt;VLOOKUP($H29,Lists!$P$3:$Q$7,2),IF($N29=Lists!$K$3,IF($L29&lt;1,(($U29/$L29)*((1+Inputs!$D$7)^CB$2)),((INT(CB$2/$L29)-INT((CB$2-1)/$L29))*$U29*((1+Inputs!$D$7)^CB$2))),(Inputs!$D$8^((1-_xlfn.WEIBULL.DIST(CB$2,$M29,$L29,FALSE))/_xlfn.WEIBULL.DIST(CB$2,$M29,$L29,FALSE))*$U29*((1+Inputs!$D$7)^CB$2))),IF($N29=Lists!$K$3,IF($L29&lt;1,((($T29*(1-$F29)+$S29*(1-$G29))/$L29)*((1+Inputs!$D$7)^CB$2)),((INT(CB$2/$L29)-INT((CB$2-1)/$L29))*($T29*(1-$F29)+$S29*(1-$G29))*((1+Inputs!$D$7)^CB$2))),((Inputs!$D$8^((1-_xlfn.WEIBULL.DIST(CB$2,$M29,$L29,FALSE))/_xlfn.WEIBULL.DIST(CB$2,$M29,$L29,FALSE))*($T29*(1-$F29)+$S29*(1-$G29))*((1+Inputs!$D$7)^CB$2))))))))</f>
        <v>130.53338040373461</v>
      </c>
      <c r="CC29" s="88">
        <f>MAX(AM29,($E29*IF(CC$2&gt;Inputs!$D$5,0,IF(CC$2&gt;VLOOKUP($H29,Lists!$P$3:$Q$7,2),IF($N29=Lists!$K$3,IF($L29&lt;1,(($U29/$L29)*((1+Inputs!$D$7)^CC$2)),((INT(CC$2/$L29)-INT((CC$2-1)/$L29))*$U29*((1+Inputs!$D$7)^CC$2))),(Inputs!$D$8^((1-_xlfn.WEIBULL.DIST(CC$2,$M29,$L29,FALSE))/_xlfn.WEIBULL.DIST(CC$2,$M29,$L29,FALSE))*$U29*((1+Inputs!$D$7)^CC$2))),IF($N29=Lists!$K$3,IF($L29&lt;1,((($T29*(1-$F29)+$S29*(1-$G29))/$L29)*((1+Inputs!$D$7)^CC$2)),((INT(CC$2/$L29)-INT((CC$2-1)/$L29))*($T29*(1-$F29)+$S29*(1-$G29))*((1+Inputs!$D$7)^CC$2))),((Inputs!$D$8^((1-_xlfn.WEIBULL.DIST(CC$2,$M29,$L29,FALSE))/_xlfn.WEIBULL.DIST(CC$2,$M29,$L29,FALSE))*($T29*(1-$F29)+$S29*(1-$G29))*((1+Inputs!$D$7)^CC$2))))))))</f>
        <v>109.89627941289095</v>
      </c>
      <c r="CD29" s="88">
        <f>MAX(AN29,($E29*IF(CD$2&gt;Inputs!$D$5,0,IF(CD$2&gt;VLOOKUP($H29,Lists!$P$3:$Q$7,2),IF($N29=Lists!$K$3,IF($L29&lt;1,(($U29/$L29)*((1+Inputs!$D$7)^CD$2)),((INT(CD$2/$L29)-INT((CD$2-1)/$L29))*$U29*((1+Inputs!$D$7)^CD$2))),(Inputs!$D$8^((1-_xlfn.WEIBULL.DIST(CD$2,$M29,$L29,FALSE))/_xlfn.WEIBULL.DIST(CD$2,$M29,$L29,FALSE))*$U29*((1+Inputs!$D$7)^CD$2))),IF($N29=Lists!$K$3,IF($L29&lt;1,((($T29*(1-$F29)+$S29*(1-$G29))/$L29)*((1+Inputs!$D$7)^CD$2)),((INT(CD$2/$L29)-INT((CD$2-1)/$L29))*($T29*(1-$F29)+$S29*(1-$G29))*((1+Inputs!$D$7)^CD$2))),((Inputs!$D$8^((1-_xlfn.WEIBULL.DIST(CD$2,$M29,$L29,FALSE))/_xlfn.WEIBULL.DIST(CD$2,$M29,$L29,FALSE))*($T29*(1-$F29)+$S29*(1-$G29))*((1+Inputs!$D$7)^CD$2))))))))</f>
        <v>91.305953003314357</v>
      </c>
      <c r="CE29" s="88">
        <f>MAX(AO29,($E29*IF(CE$2&gt;Inputs!$D$5,0,IF(CE$2&gt;VLOOKUP($H29,Lists!$P$3:$Q$7,2),IF($N29=Lists!$K$3,IF($L29&lt;1,(($U29/$L29)*((1+Inputs!$D$7)^CE$2)),((INT(CE$2/$L29)-INT((CE$2-1)/$L29))*$U29*((1+Inputs!$D$7)^CE$2))),(Inputs!$D$8^((1-_xlfn.WEIBULL.DIST(CE$2,$M29,$L29,FALSE))/_xlfn.WEIBULL.DIST(CE$2,$M29,$L29,FALSE))*$U29*((1+Inputs!$D$7)^CE$2))),IF($N29=Lists!$K$3,IF($L29&lt;1,((($T29*(1-$F29)+$S29*(1-$G29))/$L29)*((1+Inputs!$D$7)^CE$2)),((INT(CE$2/$L29)-INT((CE$2-1)/$L29))*($T29*(1-$F29)+$S29*(1-$G29))*((1+Inputs!$D$7)^CE$2))),((Inputs!$D$8^((1-_xlfn.WEIBULL.DIST(CE$2,$M29,$L29,FALSE))/_xlfn.WEIBULL.DIST(CE$2,$M29,$L29,FALSE))*($T29*(1-$F29)+$S29*(1-$G29))*((1+Inputs!$D$7)^CE$2))))))))</f>
        <v>74.795216248482717</v>
      </c>
      <c r="CF29" s="88">
        <f>MAX(AP29,($E29*IF(CF$2&gt;Inputs!$D$5,0,IF(CF$2&gt;VLOOKUP($H29,Lists!$P$3:$Q$7,2),IF($N29=Lists!$K$3,IF($L29&lt;1,(($U29/$L29)*((1+Inputs!$D$7)^CF$2)),((INT(CF$2/$L29)-INT((CF$2-1)/$L29))*$U29*((1+Inputs!$D$7)^CF$2))),(Inputs!$D$8^((1-_xlfn.WEIBULL.DIST(CF$2,$M29,$L29,FALSE))/_xlfn.WEIBULL.DIST(CF$2,$M29,$L29,FALSE))*$U29*((1+Inputs!$D$7)^CF$2))),IF($N29=Lists!$K$3,IF($L29&lt;1,((($T29*(1-$F29)+$S29*(1-$G29))/$L29)*((1+Inputs!$D$7)^CF$2)),((INT(CF$2/$L29)-INT((CF$2-1)/$L29))*($T29*(1-$F29)+$S29*(1-$G29))*((1+Inputs!$D$7)^CF$2))),((Inputs!$D$8^((1-_xlfn.WEIBULL.DIST(CF$2,$M29,$L29,FALSE))/_xlfn.WEIBULL.DIST(CF$2,$M29,$L29,FALSE))*($T29*(1-$F29)+$S29*(1-$G29))*((1+Inputs!$D$7)^CF$2))))))))</f>
        <v>60.350905920038869</v>
      </c>
      <c r="CG29" s="88">
        <f>MAX(AQ29,($E29*IF(CG$2&gt;Inputs!$D$5,0,IF(CG$2&gt;VLOOKUP($H29,Lists!$P$3:$Q$7,2),IF($N29=Lists!$K$3,IF($L29&lt;1,(($U29/$L29)*((1+Inputs!$D$7)^CG$2)),((INT(CG$2/$L29)-INT((CG$2-1)/$L29))*$U29*((1+Inputs!$D$7)^CG$2))),(Inputs!$D$8^((1-_xlfn.WEIBULL.DIST(CG$2,$M29,$L29,FALSE))/_xlfn.WEIBULL.DIST(CG$2,$M29,$L29,FALSE))*$U29*((1+Inputs!$D$7)^CG$2))),IF($N29=Lists!$K$3,IF($L29&lt;1,((($T29*(1-$F29)+$S29*(1-$G29))/$L29)*((1+Inputs!$D$7)^CG$2)),((INT(CG$2/$L29)-INT((CG$2-1)/$L29))*($T29*(1-$F29)+$S29*(1-$G29))*((1+Inputs!$D$7)^CG$2))),((Inputs!$D$8^((1-_xlfn.WEIBULL.DIST(CG$2,$M29,$L29,FALSE))/_xlfn.WEIBULL.DIST(CG$2,$M29,$L29,FALSE))*($T29*(1-$F29)+$S29*(1-$G29))*((1+Inputs!$D$7)^CG$2))))))))</f>
        <v>47.915545822817542</v>
      </c>
      <c r="CH29" s="88">
        <f>MAX(AR29,($E29*IF(CH$2&gt;Inputs!$D$5,0,IF(CH$2&gt;VLOOKUP($H29,Lists!$P$3:$Q$7,2),IF($N29=Lists!$K$3,IF($L29&lt;1,(($U29/$L29)*((1+Inputs!$D$7)^CH$2)),((INT(CH$2/$L29)-INT((CH$2-1)/$L29))*$U29*((1+Inputs!$D$7)^CH$2))),(Inputs!$D$8^((1-_xlfn.WEIBULL.DIST(CH$2,$M29,$L29,FALSE))/_xlfn.WEIBULL.DIST(CH$2,$M29,$L29,FALSE))*$U29*((1+Inputs!$D$7)^CH$2))),IF($N29=Lists!$K$3,IF($L29&lt;1,((($T29*(1-$F29)+$S29*(1-$G29))/$L29)*((1+Inputs!$D$7)^CH$2)),((INT(CH$2/$L29)-INT((CH$2-1)/$L29))*($T29*(1-$F29)+$S29*(1-$G29))*((1+Inputs!$D$7)^CH$2))),((Inputs!$D$8^((1-_xlfn.WEIBULL.DIST(CH$2,$M29,$L29,FALSE))/_xlfn.WEIBULL.DIST(CH$2,$M29,$L29,FALSE))*($T29*(1-$F29)+$S29*(1-$G29))*((1+Inputs!$D$7)^CH$2))))))))</f>
        <v>43.92794539793497</v>
      </c>
      <c r="CI29" s="88">
        <f>MAX(AS29,($E29*IF(CI$2&gt;Inputs!$D$5,0,IF(CI$2&gt;VLOOKUP($H29,Lists!$P$3:$Q$7,2),IF($N29=Lists!$K$3,IF($L29&lt;1,(($U29/$L29)*((1+Inputs!$D$7)^CI$2)),((INT(CI$2/$L29)-INT((CI$2-1)/$L29))*$U29*((1+Inputs!$D$7)^CI$2))),(Inputs!$D$8^((1-_xlfn.WEIBULL.DIST(CI$2,$M29,$L29,FALSE))/_xlfn.WEIBULL.DIST(CI$2,$M29,$L29,FALSE))*$U29*((1+Inputs!$D$7)^CI$2))),IF($N29=Lists!$K$3,IF($L29&lt;1,((($T29*(1-$F29)+$S29*(1-$G29))/$L29)*((1+Inputs!$D$7)^CI$2)),((INT(CI$2/$L29)-INT((CI$2-1)/$L29))*($T29*(1-$F29)+$S29*(1-$G29))*((1+Inputs!$D$7)^CI$2))),((Inputs!$D$8^((1-_xlfn.WEIBULL.DIST(CI$2,$M29,$L29,FALSE))/_xlfn.WEIBULL.DIST(CI$2,$M29,$L29,FALSE))*($T29*(1-$F29)+$S29*(1-$G29))*((1+Inputs!$D$7)^CI$2))))))))</f>
        <v>41.91679775301278</v>
      </c>
      <c r="CJ29" s="88">
        <f>MAX(AT29,($E29*IF(CJ$2&gt;Inputs!$D$5,0,IF(CJ$2&gt;VLOOKUP($H29,Lists!$P$3:$Q$7,2),IF($N29=Lists!$K$3,IF($L29&lt;1,(($U29/$L29)*((1+Inputs!$D$7)^CJ$2)),((INT(CJ$2/$L29)-INT((CJ$2-1)/$L29))*$U29*((1+Inputs!$D$7)^CJ$2))),(Inputs!$D$8^((1-_xlfn.WEIBULL.DIST(CJ$2,$M29,$L29,FALSE))/_xlfn.WEIBULL.DIST(CJ$2,$M29,$L29,FALSE))*$U29*((1+Inputs!$D$7)^CJ$2))),IF($N29=Lists!$K$3,IF($L29&lt;1,((($T29*(1-$F29)+$S29*(1-$G29))/$L29)*((1+Inputs!$D$7)^CJ$2)),((INT(CJ$2/$L29)-INT((CJ$2-1)/$L29))*($T29*(1-$F29)+$S29*(1-$G29))*((1+Inputs!$D$7)^CJ$2))),((Inputs!$D$8^((1-_xlfn.WEIBULL.DIST(CJ$2,$M29,$L29,FALSE))/_xlfn.WEIBULL.DIST(CJ$2,$M29,$L29,FALSE))*($T29*(1-$F29)+$S29*(1-$G29))*((1+Inputs!$D$7)^CJ$2))))))))</f>
        <v>39.997726229863098</v>
      </c>
      <c r="CK29" s="88">
        <f>MAX(AU29,($E29*IF(CK$2&gt;Inputs!$D$5,0,IF(CK$2&gt;VLOOKUP($H29,Lists!$P$3:$Q$7,2),IF($N29=Lists!$K$3,IF($L29&lt;1,(($U29/$L29)*((1+Inputs!$D$7)^CK$2)),((INT(CK$2/$L29)-INT((CK$2-1)/$L29))*$U29*((1+Inputs!$D$7)^CK$2))),(Inputs!$D$8^((1-_xlfn.WEIBULL.DIST(CK$2,$M29,$L29,FALSE))/_xlfn.WEIBULL.DIST(CK$2,$M29,$L29,FALSE))*$U29*((1+Inputs!$D$7)^CK$2))),IF($N29=Lists!$K$3,IF($L29&lt;1,((($T29*(1-$F29)+$S29*(1-$G29))/$L29)*((1+Inputs!$D$7)^CK$2)),((INT(CK$2/$L29)-INT((CK$2-1)/$L29))*($T29*(1-$F29)+$S29*(1-$G29))*((1+Inputs!$D$7)^CK$2))),((Inputs!$D$8^((1-_xlfn.WEIBULL.DIST(CK$2,$M29,$L29,FALSE))/_xlfn.WEIBULL.DIST(CK$2,$M29,$L29,FALSE))*($T29*(1-$F29)+$S29*(1-$G29))*((1+Inputs!$D$7)^CK$2))))))))</f>
        <v>38.166515318887669</v>
      </c>
      <c r="CL29" s="88">
        <f>MAX(AV29,($E29*IF(CL$2&gt;Inputs!$D$5,0,IF(CL$2&gt;VLOOKUP($H29,Lists!$P$3:$Q$7,2),IF($N29=Lists!$K$3,IF($L29&lt;1,(($U29/$L29)*((1+Inputs!$D$7)^CL$2)),((INT(CL$2/$L29)-INT((CL$2-1)/$L29))*$U29*((1+Inputs!$D$7)^CL$2))),(Inputs!$D$8^((1-_xlfn.WEIBULL.DIST(CL$2,$M29,$L29,FALSE))/_xlfn.WEIBULL.DIST(CL$2,$M29,$L29,FALSE))*$U29*((1+Inputs!$D$7)^CL$2))),IF($N29=Lists!$K$3,IF($L29&lt;1,((($T29*(1-$F29)+$S29*(1-$G29))/$L29)*((1+Inputs!$D$7)^CL$2)),((INT(CL$2/$L29)-INT((CL$2-1)/$L29))*($T29*(1-$F29)+$S29*(1-$G29))*((1+Inputs!$D$7)^CL$2))),((Inputs!$D$8^((1-_xlfn.WEIBULL.DIST(CL$2,$M29,$L29,FALSE))/_xlfn.WEIBULL.DIST(CL$2,$M29,$L29,FALSE))*($T29*(1-$F29)+$S29*(1-$G29))*((1+Inputs!$D$7)^CL$2))))))))</f>
        <v>36.419142508638366</v>
      </c>
      <c r="CM29" s="88">
        <f>MAX(AW29,($E29*IF(CM$2&gt;Inputs!$D$5,0,IF(CM$2&gt;VLOOKUP($H29,Lists!$P$3:$Q$7,2),IF($N29=Lists!$K$3,IF($L29&lt;1,(($U29/$L29)*((1+Inputs!$D$7)^CM$2)),((INT(CM$2/$L29)-INT((CM$2-1)/$L29))*$U29*((1+Inputs!$D$7)^CM$2))),(Inputs!$D$8^((1-_xlfn.WEIBULL.DIST(CM$2,$M29,$L29,FALSE))/_xlfn.WEIBULL.DIST(CM$2,$M29,$L29,FALSE))*$U29*((1+Inputs!$D$7)^CM$2))),IF($N29=Lists!$K$3,IF($L29&lt;1,((($T29*(1-$F29)+$S29*(1-$G29))/$L29)*((1+Inputs!$D$7)^CM$2)),((INT(CM$2/$L29)-INT((CM$2-1)/$L29))*($T29*(1-$F29)+$S29*(1-$G29))*((1+Inputs!$D$7)^CM$2))),((Inputs!$D$8^((1-_xlfn.WEIBULL.DIST(CM$2,$M29,$L29,FALSE))/_xlfn.WEIBULL.DIST(CM$2,$M29,$L29,FALSE))*($T29*(1-$F29)+$S29*(1-$G29))*((1+Inputs!$D$7)^CM$2))))))))</f>
        <v>34.751769449806957</v>
      </c>
      <c r="CN29" s="88">
        <f>MAX(AX29,($E29*IF(CN$2&gt;Inputs!$D$5,0,IF(CN$2&gt;VLOOKUP($H29,Lists!$P$3:$Q$7,2),IF($N29=Lists!$K$3,IF($L29&lt;1,(($U29/$L29)*((1+Inputs!$D$7)^CN$2)),((INT(CN$2/$L29)-INT((CN$2-1)/$L29))*$U29*((1+Inputs!$D$7)^CN$2))),(Inputs!$D$8^((1-_xlfn.WEIBULL.DIST(CN$2,$M29,$L29,FALSE))/_xlfn.WEIBULL.DIST(CN$2,$M29,$L29,FALSE))*$U29*((1+Inputs!$D$7)^CN$2))),IF($N29=Lists!$K$3,IF($L29&lt;1,((($T29*(1-$F29)+$S29*(1-$G29))/$L29)*((1+Inputs!$D$7)^CN$2)),((INT(CN$2/$L29)-INT((CN$2-1)/$L29))*($T29*(1-$F29)+$S29*(1-$G29))*((1+Inputs!$D$7)^CN$2))),((Inputs!$D$8^((1-_xlfn.WEIBULL.DIST(CN$2,$M29,$L29,FALSE))/_xlfn.WEIBULL.DIST(CN$2,$M29,$L29,FALSE))*($T29*(1-$F29)+$S29*(1-$G29))*((1+Inputs!$D$7)^CN$2))))))))</f>
        <v>33.160733523752846</v>
      </c>
      <c r="CO29" s="88">
        <f>MAX(AY29,($E29*IF(CO$2&gt;Inputs!$D$5,0,IF(CO$2&gt;VLOOKUP($H29,Lists!$P$3:$Q$7,2),IF($N29=Lists!$K$3,IF($L29&lt;1,(($U29/$L29)*((1+Inputs!$D$7)^CO$2)),((INT(CO$2/$L29)-INT((CO$2-1)/$L29))*$U29*((1+Inputs!$D$7)^CO$2))),(Inputs!$D$8^((1-_xlfn.WEIBULL.DIST(CO$2,$M29,$L29,FALSE))/_xlfn.WEIBULL.DIST(CO$2,$M29,$L29,FALSE))*$U29*((1+Inputs!$D$7)^CO$2))),IF($N29=Lists!$K$3,IF($L29&lt;1,((($T29*(1-$F29)+$S29*(1-$G29))/$L29)*((1+Inputs!$D$7)^CO$2)),((INT(CO$2/$L29)-INT((CO$2-1)/$L29))*($T29*(1-$F29)+$S29*(1-$G29))*((1+Inputs!$D$7)^CO$2))),((Inputs!$D$8^((1-_xlfn.WEIBULL.DIST(CO$2,$M29,$L29,FALSE))/_xlfn.WEIBULL.DIST(CO$2,$M29,$L29,FALSE))*($T29*(1-$F29)+$S29*(1-$G29))*((1+Inputs!$D$7)^CO$2))))))))</f>
        <v>31.642539797047778</v>
      </c>
      <c r="CP29" s="88">
        <f>MAX(AZ29,($E29*IF(CP$2&gt;Inputs!$D$5,0,IF(CP$2&gt;VLOOKUP($H29,Lists!$P$3:$Q$7,2),IF($N29=Lists!$K$3,IF($L29&lt;1,(($U29/$L29)*((1+Inputs!$D$7)^CP$2)),((INT(CP$2/$L29)-INT((CP$2-1)/$L29))*$U29*((1+Inputs!$D$7)^CP$2))),(Inputs!$D$8^((1-_xlfn.WEIBULL.DIST(CP$2,$M29,$L29,FALSE))/_xlfn.WEIBULL.DIST(CP$2,$M29,$L29,FALSE))*$U29*((1+Inputs!$D$7)^CP$2))),IF($N29=Lists!$K$3,IF($L29&lt;1,((($T29*(1-$F29)+$S29*(1-$G29))/$L29)*((1+Inputs!$D$7)^CP$2)),((INT(CP$2/$L29)-INT((CP$2-1)/$L29))*($T29*(1-$F29)+$S29*(1-$G29))*((1+Inputs!$D$7)^CP$2))),((Inputs!$D$8^((1-_xlfn.WEIBULL.DIST(CP$2,$M29,$L29,FALSE))/_xlfn.WEIBULL.DIST(CP$2,$M29,$L29,FALSE))*($T29*(1-$F29)+$S29*(1-$G29))*((1+Inputs!$D$7)^CP$2))))))))</f>
        <v>0</v>
      </c>
      <c r="CQ29" s="88">
        <f>MAX(BA29,($E29*IF(CQ$2&gt;Inputs!$D$5,0,IF(CQ$2&gt;VLOOKUP($H29,Lists!$P$3:$Q$7,2),IF($N29=Lists!$K$3,IF($L29&lt;1,(($U29/$L29)*((1+Inputs!$D$7)^CQ$2)),((INT(CQ$2/$L29)-INT((CQ$2-1)/$L29))*$U29*((1+Inputs!$D$7)^CQ$2))),(Inputs!$D$8^((1-_xlfn.WEIBULL.DIST(CQ$2,$M29,$L29,FALSE))/_xlfn.WEIBULL.DIST(CQ$2,$M29,$L29,FALSE))*$U29*((1+Inputs!$D$7)^CQ$2))),IF($N29=Lists!$K$3,IF($L29&lt;1,((($T29*(1-$F29)+$S29*(1-$G29))/$L29)*((1+Inputs!$D$7)^CQ$2)),((INT(CQ$2/$L29)-INT((CQ$2-1)/$L29))*($T29*(1-$F29)+$S29*(1-$G29))*((1+Inputs!$D$7)^CQ$2))),((Inputs!$D$8^((1-_xlfn.WEIBULL.DIST(CQ$2,$M29,$L29,FALSE))/_xlfn.WEIBULL.DIST(CQ$2,$M29,$L29,FALSE))*($T29*(1-$F29)+$S29*(1-$G29))*((1+Inputs!$D$7)^CQ$2))))))))</f>
        <v>0</v>
      </c>
      <c r="CR29" s="88">
        <f>MAX(BB29,($E29*IF(CR$2&gt;Inputs!$D$5,0,IF(CR$2&gt;VLOOKUP($H29,Lists!$P$3:$Q$7,2),IF($N29=Lists!$K$3,IF($L29&lt;1,(($U29/$L29)*((1+Inputs!$D$7)^CR$2)),((INT(CR$2/$L29)-INT((CR$2-1)/$L29))*$U29*((1+Inputs!$D$7)^CR$2))),(Inputs!$D$8^((1-_xlfn.WEIBULL.DIST(CR$2,$M29,$L29,FALSE))/_xlfn.WEIBULL.DIST(CR$2,$M29,$L29,FALSE))*$U29*((1+Inputs!$D$7)^CR$2))),IF($N29=Lists!$K$3,IF($L29&lt;1,((($T29*(1-$F29)+$S29*(1-$G29))/$L29)*((1+Inputs!$D$7)^CR$2)),((INT(CR$2/$L29)-INT((CR$2-1)/$L29))*($T29*(1-$F29)+$S29*(1-$G29))*((1+Inputs!$D$7)^CR$2))),((Inputs!$D$8^((1-_xlfn.WEIBULL.DIST(CR$2,$M29,$L29,FALSE))/_xlfn.WEIBULL.DIST(CR$2,$M29,$L29,FALSE))*($T29*(1-$F29)+$S29*(1-$G29))*((1+Inputs!$D$7)^CR$2))))))))</f>
        <v>0</v>
      </c>
      <c r="CS29" s="88">
        <f>MAX(BC29,($E29*IF(CS$2&gt;Inputs!$D$5,0,IF(CS$2&gt;VLOOKUP($H29,Lists!$P$3:$Q$7,2),IF($N29=Lists!$K$3,IF($L29&lt;1,(($U29/$L29)*((1+Inputs!$D$7)^CS$2)),((INT(CS$2/$L29)-INT((CS$2-1)/$L29))*$U29*((1+Inputs!$D$7)^CS$2))),(Inputs!$D$8^((1-_xlfn.WEIBULL.DIST(CS$2,$M29,$L29,FALSE))/_xlfn.WEIBULL.DIST(CS$2,$M29,$L29,FALSE))*$U29*((1+Inputs!$D$7)^CS$2))),IF($N29=Lists!$K$3,IF($L29&lt;1,((($T29*(1-$F29)+$S29*(1-$G29))/$L29)*((1+Inputs!$D$7)^CS$2)),((INT(CS$2/$L29)-INT((CS$2-1)/$L29))*($T29*(1-$F29)+$S29*(1-$G29))*((1+Inputs!$D$7)^CS$2))),((Inputs!$D$8^((1-_xlfn.WEIBULL.DIST(CS$2,$M29,$L29,FALSE))/_xlfn.WEIBULL.DIST(CS$2,$M29,$L29,FALSE))*($T29*(1-$F29)+$S29*(1-$G29))*((1+Inputs!$D$7)^CS$2))))))))</f>
        <v>0</v>
      </c>
      <c r="CT29" s="88">
        <f>MAX(BD29,($E29*IF(CT$2&gt;Inputs!$D$5,0,IF(CT$2&gt;VLOOKUP($H29,Lists!$P$3:$Q$7,2),IF($N29=Lists!$K$3,IF($L29&lt;1,(($U29/$L29)*((1+Inputs!$D$7)^CT$2)),((INT(CT$2/$L29)-INT((CT$2-1)/$L29))*$U29*((1+Inputs!$D$7)^CT$2))),(Inputs!$D$8^((1-_xlfn.WEIBULL.DIST(CT$2,$M29,$L29,FALSE))/_xlfn.WEIBULL.DIST(CT$2,$M29,$L29,FALSE))*$U29*((1+Inputs!$D$7)^CT$2))),IF($N29=Lists!$K$3,IF($L29&lt;1,((($T29*(1-$F29)+$S29*(1-$G29))/$L29)*((1+Inputs!$D$7)^CT$2)),((INT(CT$2/$L29)-INT((CT$2-1)/$L29))*($T29*(1-$F29)+$S29*(1-$G29))*((1+Inputs!$D$7)^CT$2))),((Inputs!$D$8^((1-_xlfn.WEIBULL.DIST(CT$2,$M29,$L29,FALSE))/_xlfn.WEIBULL.DIST(CT$2,$M29,$L29,FALSE))*($T29*(1-$F29)+$S29*(1-$G29))*((1+Inputs!$D$7)^CT$2))))))))</f>
        <v>0</v>
      </c>
      <c r="CU29" s="88">
        <f>MAX(BE29,($E29*IF(CU$2&gt;Inputs!$D$5,0,IF(CU$2&gt;VLOOKUP($H29,Lists!$P$3:$Q$7,2),IF($N29=Lists!$K$3,IF($L29&lt;1,(($U29/$L29)*((1+Inputs!$D$7)^CU$2)),((INT(CU$2/$L29)-INT((CU$2-1)/$L29))*$U29*((1+Inputs!$D$7)^CU$2))),(Inputs!$D$8^((1-_xlfn.WEIBULL.DIST(CU$2,$M29,$L29,FALSE))/_xlfn.WEIBULL.DIST(CU$2,$M29,$L29,FALSE))*$U29*((1+Inputs!$D$7)^CU$2))),IF($N29=Lists!$K$3,IF($L29&lt;1,((($T29*(1-$F29)+$S29*(1-$G29))/$L29)*((1+Inputs!$D$7)^CU$2)),((INT(CU$2/$L29)-INT((CU$2-1)/$L29))*($T29*(1-$F29)+$S29*(1-$G29))*((1+Inputs!$D$7)^CU$2))),((Inputs!$D$8^((1-_xlfn.WEIBULL.DIST(CU$2,$M29,$L29,FALSE))/_xlfn.WEIBULL.DIST(CU$2,$M29,$L29,FALSE))*($T29*(1-$F29)+$S29*(1-$G29))*((1+Inputs!$D$7)^CU$2))))))))</f>
        <v>0</v>
      </c>
      <c r="CV29" s="88">
        <f>MAX(BF29,($E29*IF(CV$2&gt;Inputs!$D$5,0,IF(CV$2&gt;VLOOKUP($H29,Lists!$P$3:$Q$7,2),IF($N29=Lists!$K$3,IF($L29&lt;1,(($U29/$L29)*((1+Inputs!$D$7)^CV$2)),((INT(CV$2/$L29)-INT((CV$2-1)/$L29))*$U29*((1+Inputs!$D$7)^CV$2))),(Inputs!$D$8^((1-_xlfn.WEIBULL.DIST(CV$2,$M29,$L29,FALSE))/_xlfn.WEIBULL.DIST(CV$2,$M29,$L29,FALSE))*$U29*((1+Inputs!$D$7)^CV$2))),IF($N29=Lists!$K$3,IF($L29&lt;1,((($T29*(1-$F29)+$S29*(1-$G29))/$L29)*((1+Inputs!$D$7)^CV$2)),((INT(CV$2/$L29)-INT((CV$2-1)/$L29))*($T29*(1-$F29)+$S29*(1-$G29))*((1+Inputs!$D$7)^CV$2))),((Inputs!$D$8^((1-_xlfn.WEIBULL.DIST(CV$2,$M29,$L29,FALSE))/_xlfn.WEIBULL.DIST(CV$2,$M29,$L29,FALSE))*($T29*(1-$F29)+$S29*(1-$G29))*((1+Inputs!$D$7)^CV$2))))))))</f>
        <v>0</v>
      </c>
      <c r="CW29" s="88">
        <f>MAX(BG29,($E29*IF(CW$2&gt;Inputs!$D$5,0,IF(CW$2&gt;VLOOKUP($H29,Lists!$P$3:$Q$7,2),IF($N29=Lists!$K$3,IF($L29&lt;1,(($U29/$L29)*((1+Inputs!$D$7)^CW$2)),((INT(CW$2/$L29)-INT((CW$2-1)/$L29))*$U29*((1+Inputs!$D$7)^CW$2))),(Inputs!$D$8^((1-_xlfn.WEIBULL.DIST(CW$2,$M29,$L29,FALSE))/_xlfn.WEIBULL.DIST(CW$2,$M29,$L29,FALSE))*$U29*((1+Inputs!$D$7)^CW$2))),IF($N29=Lists!$K$3,IF($L29&lt;1,((($T29*(1-$F29)+$S29*(1-$G29))/$L29)*((1+Inputs!$D$7)^CW$2)),((INT(CW$2/$L29)-INT((CW$2-1)/$L29))*($T29*(1-$F29)+$S29*(1-$G29))*((1+Inputs!$D$7)^CW$2))),((Inputs!$D$8^((1-_xlfn.WEIBULL.DIST(CW$2,$M29,$L29,FALSE))/_xlfn.WEIBULL.DIST(CW$2,$M29,$L29,FALSE))*($T29*(1-$F29)+$S29*(1-$G29))*((1+Inputs!$D$7)^CW$2))))))))</f>
        <v>0</v>
      </c>
      <c r="CX29" s="88">
        <f>MAX(BH29,($E29*IF(CX$2&gt;Inputs!$D$5,0,IF(CX$2&gt;VLOOKUP($H29,Lists!$P$3:$Q$7,2),IF($N29=Lists!$K$3,IF($L29&lt;1,(($U29/$L29)*((1+Inputs!$D$7)^CX$2)),((INT(CX$2/$L29)-INT((CX$2-1)/$L29))*$U29*((1+Inputs!$D$7)^CX$2))),(Inputs!$D$8^((1-_xlfn.WEIBULL.DIST(CX$2,$M29,$L29,FALSE))/_xlfn.WEIBULL.DIST(CX$2,$M29,$L29,FALSE))*$U29*((1+Inputs!$D$7)^CX$2))),IF($N29=Lists!$K$3,IF($L29&lt;1,((($T29*(1-$F29)+$S29*(1-$G29))/$L29)*((1+Inputs!$D$7)^CX$2)),((INT(CX$2/$L29)-INT((CX$2-1)/$L29))*($T29*(1-$F29)+$S29*(1-$G29))*((1+Inputs!$D$7)^CX$2))),((Inputs!$D$8^((1-_xlfn.WEIBULL.DIST(CX$2,$M29,$L29,FALSE))/_xlfn.WEIBULL.DIST(CX$2,$M29,$L29,FALSE))*($T29*(1-$F29)+$S29*(1-$G29))*((1+Inputs!$D$7)^CX$2))))))))</f>
        <v>0</v>
      </c>
      <c r="CY29" s="88">
        <f>MAX(BI29,($E29*IF(CY$2&gt;Inputs!$D$5,0,IF(CY$2&gt;VLOOKUP($H29,Lists!$P$3:$Q$7,2),IF($N29=Lists!$K$3,IF($L29&lt;1,(($U29/$L29)*((1+Inputs!$D$7)^CY$2)),((INT(CY$2/$L29)-INT((CY$2-1)/$L29))*$U29*((1+Inputs!$D$7)^CY$2))),(Inputs!$D$8^((1-_xlfn.WEIBULL.DIST(CY$2,$M29,$L29,FALSE))/_xlfn.WEIBULL.DIST(CY$2,$M29,$L29,FALSE))*$U29*((1+Inputs!$D$7)^CY$2))),IF($N29=Lists!$K$3,IF($L29&lt;1,((($T29*(1-$F29)+$S29*(1-$G29))/$L29)*((1+Inputs!$D$7)^CY$2)),((INT(CY$2/$L29)-INT((CY$2-1)/$L29))*($T29*(1-$F29)+$S29*(1-$G29))*((1+Inputs!$D$7)^CY$2))),((Inputs!$D$8^((1-_xlfn.WEIBULL.DIST(CY$2,$M29,$L29,FALSE))/_xlfn.WEIBULL.DIST(CY$2,$M29,$L29,FALSE))*($T29*(1-$F29)+$S29*(1-$G29))*((1+Inputs!$D$7)^CY$2))))))))</f>
        <v>0</v>
      </c>
      <c r="CZ29" s="88">
        <f>MAX(BJ29,($E29*IF(CZ$2&gt;Inputs!$D$5,0,IF(CZ$2&gt;VLOOKUP($H29,Lists!$P$3:$Q$7,2),IF($N29=Lists!$K$3,IF($L29&lt;1,(($U29/$L29)*((1+Inputs!$D$7)^CZ$2)),((INT(CZ$2/$L29)-INT((CZ$2-1)/$L29))*$U29*((1+Inputs!$D$7)^CZ$2))),(Inputs!$D$8^((1-_xlfn.WEIBULL.DIST(CZ$2,$M29,$L29,FALSE))/_xlfn.WEIBULL.DIST(CZ$2,$M29,$L29,FALSE))*$U29*((1+Inputs!$D$7)^CZ$2))),IF($N29=Lists!$K$3,IF($L29&lt;1,((($T29*(1-$F29)+$S29*(1-$G29))/$L29)*((1+Inputs!$D$7)^CZ$2)),((INT(CZ$2/$L29)-INT((CZ$2-1)/$L29))*($T29*(1-$F29)+$S29*(1-$G29))*((1+Inputs!$D$7)^CZ$2))),((Inputs!$D$8^((1-_xlfn.WEIBULL.DIST(CZ$2,$M29,$L29,FALSE))/_xlfn.WEIBULL.DIST(CZ$2,$M29,$L29,FALSE))*($T29*(1-$F29)+$S29*(1-$G29))*((1+Inputs!$D$7)^CZ$2))))))))</f>
        <v>0</v>
      </c>
      <c r="DA29" s="88">
        <f>MAX(BK29,($E29*IF(DA$2&gt;Inputs!$D$5,0,IF(DA$2&gt;VLOOKUP($H29,Lists!$P$3:$Q$7,2),IF($N29=Lists!$K$3,IF($L29&lt;1,(($U29/$L29)*((1+Inputs!$D$7)^DA$2)),((INT(DA$2/$L29)-INT((DA$2-1)/$L29))*$U29*((1+Inputs!$D$7)^DA$2))),(Inputs!$D$8^((1-_xlfn.WEIBULL.DIST(DA$2,$M29,$L29,FALSE))/_xlfn.WEIBULL.DIST(DA$2,$M29,$L29,FALSE))*$U29*((1+Inputs!$D$7)^DA$2))),IF($N29=Lists!$K$3,IF($L29&lt;1,((($T29*(1-$F29)+$S29*(1-$G29))/$L29)*((1+Inputs!$D$7)^DA$2)),((INT(DA$2/$L29)-INT((DA$2-1)/$L29))*($T29*(1-$F29)+$S29*(1-$G29))*((1+Inputs!$D$7)^DA$2))),((Inputs!$D$8^((1-_xlfn.WEIBULL.DIST(DA$2,$M29,$L29,FALSE))/_xlfn.WEIBULL.DIST(DA$2,$M29,$L29,FALSE))*($T29*(1-$F29)+$S29*(1-$G29))*((1+Inputs!$D$7)^DA$2))))))))</f>
        <v>0</v>
      </c>
      <c r="DB29" s="88">
        <f>MAX(BL29,($E29*IF(DB$2&gt;Inputs!$D$5,0,IF(DB$2&gt;VLOOKUP($H29,Lists!$P$3:$Q$7,2),IF($N29=Lists!$K$3,IF($L29&lt;1,(($U29/$L29)*((1+Inputs!$D$7)^DB$2)),((INT(DB$2/$L29)-INT((DB$2-1)/$L29))*$U29*((1+Inputs!$D$7)^DB$2))),(Inputs!$D$8^((1-_xlfn.WEIBULL.DIST(DB$2,$M29,$L29,FALSE))/_xlfn.WEIBULL.DIST(DB$2,$M29,$L29,FALSE))*$U29*((1+Inputs!$D$7)^DB$2))),IF($N29=Lists!$K$3,IF($L29&lt;1,((($T29*(1-$F29)+$S29*(1-$G29))/$L29)*((1+Inputs!$D$7)^DB$2)),((INT(DB$2/$L29)-INT((DB$2-1)/$L29))*($T29*(1-$F29)+$S29*(1-$G29))*((1+Inputs!$D$7)^DB$2))),((Inputs!$D$8^((1-_xlfn.WEIBULL.DIST(DB$2,$M29,$L29,FALSE))/_xlfn.WEIBULL.DIST(DB$2,$M29,$L29,FALSE))*($T29*(1-$F29)+$S29*(1-$G29))*((1+Inputs!$D$7)^DB$2))))))))</f>
        <v>0</v>
      </c>
      <c r="DC29" s="88">
        <f>MAX(BM29,($E29*IF(DC$2&gt;Inputs!$D$5,0,IF(DC$2&gt;VLOOKUP($H29,Lists!$P$3:$Q$7,2),IF($N29=Lists!$K$3,IF($L29&lt;1,(($U29/$L29)*((1+Inputs!$D$7)^DC$2)),((INT(DC$2/$L29)-INT((DC$2-1)/$L29))*$U29*((1+Inputs!$D$7)^DC$2))),(Inputs!$D$8^((1-_xlfn.WEIBULL.DIST(DC$2,$M29,$L29,FALSE))/_xlfn.WEIBULL.DIST(DC$2,$M29,$L29,FALSE))*$U29*((1+Inputs!$D$7)^DC$2))),IF($N29=Lists!$K$3,IF($L29&lt;1,((($T29*(1-$F29)+$S29*(1-$G29))/$L29)*((1+Inputs!$D$7)^DC$2)),((INT(DC$2/$L29)-INT((DC$2-1)/$L29))*($T29*(1-$F29)+$S29*(1-$G29))*((1+Inputs!$D$7)^DC$2))),((Inputs!$D$8^((1-_xlfn.WEIBULL.DIST(DC$2,$M29,$L29,FALSE))/_xlfn.WEIBULL.DIST(DC$2,$M29,$L29,FALSE))*($T29*(1-$F29)+$S29*(1-$G29))*((1+Inputs!$D$7)^DC$2))))))))</f>
        <v>0</v>
      </c>
      <c r="DD29" s="88">
        <f>MAX(BN29,($E29*IF(DD$2&gt;Inputs!$D$5,0,IF(DD$2&gt;VLOOKUP($H29,Lists!$P$3:$Q$7,2),IF($N29=Lists!$K$3,IF($L29&lt;1,(($U29/$L29)*((1+Inputs!$D$7)^DD$2)),((INT(DD$2/$L29)-INT((DD$2-1)/$L29))*$U29*((1+Inputs!$D$7)^DD$2))),(Inputs!$D$8^((1-_xlfn.WEIBULL.DIST(DD$2,$M29,$L29,FALSE))/_xlfn.WEIBULL.DIST(DD$2,$M29,$L29,FALSE))*$U29*((1+Inputs!$D$7)^DD$2))),IF($N29=Lists!$K$3,IF($L29&lt;1,((($T29*(1-$F29)+$S29*(1-$G29))/$L29)*((1+Inputs!$D$7)^DD$2)),((INT(DD$2/$L29)-INT((DD$2-1)/$L29))*($T29*(1-$F29)+$S29*(1-$G29))*((1+Inputs!$D$7)^DD$2))),((Inputs!$D$8^((1-_xlfn.WEIBULL.DIST(DD$2,$M29,$L29,FALSE))/_xlfn.WEIBULL.DIST(DD$2,$M29,$L29,FALSE))*($T29*(1-$F29)+$S29*(1-$G29))*((1+Inputs!$D$7)^DD$2))))))))</f>
        <v>0</v>
      </c>
    </row>
    <row r="30" spans="1:108" s="1" customFormat="1" ht="16">
      <c r="A30" s="57" t="s">
        <v>223</v>
      </c>
      <c r="B30" s="13" t="s">
        <v>130</v>
      </c>
      <c r="C30" s="13" t="s">
        <v>474</v>
      </c>
      <c r="D30" s="13" t="s">
        <v>16</v>
      </c>
      <c r="E30" s="48">
        <v>1</v>
      </c>
      <c r="F30" s="48">
        <v>1</v>
      </c>
      <c r="G30" s="48">
        <v>1</v>
      </c>
      <c r="H30" s="105" t="s">
        <v>349</v>
      </c>
      <c r="I30" s="14" t="s">
        <v>264</v>
      </c>
      <c r="J30" s="14" t="s">
        <v>91</v>
      </c>
      <c r="K30" s="13">
        <f>VLOOKUP(J30,'Labor Rates'!$A$1:$F$16,2)</f>
        <v>33.17307692307692</v>
      </c>
      <c r="L30" s="15">
        <v>25</v>
      </c>
      <c r="M30" s="15">
        <v>1</v>
      </c>
      <c r="N30" s="16" t="s">
        <v>226</v>
      </c>
      <c r="O30" s="61">
        <f>Inputs!$D$32</f>
        <v>10</v>
      </c>
      <c r="P30" s="15">
        <v>0.08</v>
      </c>
      <c r="Q30" s="15">
        <f t="shared" si="0"/>
        <v>3.2000000000000001E-2</v>
      </c>
      <c r="R30" s="4">
        <v>0</v>
      </c>
      <c r="S30" s="53">
        <f t="shared" si="1"/>
        <v>26.538461538461537</v>
      </c>
      <c r="T30" s="53">
        <f t="shared" si="2"/>
        <v>0</v>
      </c>
      <c r="U30" s="54">
        <f t="shared" si="3"/>
        <v>26.538461538461537</v>
      </c>
      <c r="V30" s="65"/>
      <c r="W30" s="58"/>
      <c r="X30" s="64">
        <f t="shared" si="4"/>
        <v>0.81250463192256583</v>
      </c>
      <c r="Y30" s="64">
        <f>NPV(Inputs!$D$6,AA30:BN30)</f>
        <v>9.3019813396765638</v>
      </c>
      <c r="Z30" s="67">
        <f t="shared" si="5"/>
        <v>4.3872685291055606E-6</v>
      </c>
      <c r="AA30" s="88">
        <f>$E30*IF(AA$2&gt;Inputs!$D$5,0,IF(AA$2&gt;VLOOKUP($H30,Lists!$P$3:$Q$7,2),IF($N30=Lists!$K$3,IF($L30&lt;1,(($U30/$L30)*((1+Inputs!$D$7)^AA$2)),((INT(AA$2/$L30)-INT((AA$2-1)/$L30))*$U30*((1+Inputs!$D$7)^AA$2))),(_xlfn.WEIBULL.DIST(AA$2,$M30,$L30,FALSE)*$U30*((1+Inputs!$D$7)^AA$2))),IF($N30=Lists!$K$3,IF($L30&lt;1,((($T30*(1-$F30)+$S30*(1-$G30))/$L30)*((1+Inputs!$D$7)^AA$2)),((INT(AA$2/$L30)-INT((AA$2-1)/$L30))*($T30*(1-$F30)+$S30*(1-$G30))*((1+Inputs!$D$7)^AA$2))),((_xlfn.WEIBULL.DIST(AA$2,$M30,$L30,FALSE)*($T30*(1-$F30)+$S30*(1-$G30))*((1+Inputs!$D$7)^AA$2))))))</f>
        <v>0</v>
      </c>
      <c r="AB30" s="88">
        <f>$E30*IF(AB$2&gt;Inputs!$D$5,0,IF(AB$2&gt;VLOOKUP($H30,Lists!$P$3:$Q$7,2),IF($N30=Lists!$K$3,IF($L30&lt;1,(($U30/$L30)*((1+Inputs!$D$7)^AB$2)),((INT(AB$2/$L30)-INT((AB$2-1)/$L30))*$U30*((1+Inputs!$D$7)^AB$2))),(_xlfn.WEIBULL.DIST(AB$2,$M30,$L30,FALSE)*$U30*((1+Inputs!$D$7)^AB$2))),IF($N30=Lists!$K$3,IF($L30&lt;1,((($T30*(1-$F30)+$S30*(1-$G30))/$L30)*((1+Inputs!$D$7)^AB$2)),((INT(AB$2/$L30)-INT((AB$2-1)/$L30))*($T30*(1-$F30)+$S30*(1-$G30))*((1+Inputs!$D$7)^AB$2))),((_xlfn.WEIBULL.DIST(AB$2,$M30,$L30,FALSE)*($T30*(1-$F30)+$S30*(1-$G30))*((1+Inputs!$D$7)^AB$2))))))</f>
        <v>1.0195124158133115</v>
      </c>
      <c r="AC30" s="88">
        <f>$E30*IF(AC$2&gt;Inputs!$D$5,0,IF(AC$2&gt;VLOOKUP($H30,Lists!$P$3:$Q$7,2),IF($N30=Lists!$K$3,IF($L30&lt;1,(($U30/$L30)*((1+Inputs!$D$7)^AC$2)),((INT(AC$2/$L30)-INT((AC$2-1)/$L30))*$U30*((1+Inputs!$D$7)^AC$2))),(_xlfn.WEIBULL.DIST(AC$2,$M30,$L30,FALSE)*$U30*((1+Inputs!$D$7)^AC$2))),IF($N30=Lists!$K$3,IF($L30&lt;1,((($T30*(1-$F30)+$S30*(1-$G30))/$L30)*((1+Inputs!$D$7)^AC$2)),((INT(AC$2/$L30)-INT((AC$2-1)/$L30))*($T30*(1-$F30)+$S30*(1-$G30))*((1+Inputs!$D$7)^AC$2))),((_xlfn.WEIBULL.DIST(AC$2,$M30,$L30,FALSE)*($T30*(1-$F30)+$S30*(1-$G30))*((1+Inputs!$D$7)^AC$2))))))</f>
        <v>0.99912749744206386</v>
      </c>
      <c r="AD30" s="88">
        <f>$E30*IF(AD$2&gt;Inputs!$D$5,0,IF(AD$2&gt;VLOOKUP($H30,Lists!$P$3:$Q$7,2),IF($N30=Lists!$K$3,IF($L30&lt;1,(($U30/$L30)*((1+Inputs!$D$7)^AD$2)),((INT(AD$2/$L30)-INT((AD$2-1)/$L30))*$U30*((1+Inputs!$D$7)^AD$2))),(_xlfn.WEIBULL.DIST(AD$2,$M30,$L30,FALSE)*$U30*((1+Inputs!$D$7)^AD$2))),IF($N30=Lists!$K$3,IF($L30&lt;1,((($T30*(1-$F30)+$S30*(1-$G30))/$L30)*((1+Inputs!$D$7)^AD$2)),((INT(AD$2/$L30)-INT((AD$2-1)/$L30))*($T30*(1-$F30)+$S30*(1-$G30))*((1+Inputs!$D$7)^AD$2))),((_xlfn.WEIBULL.DIST(AD$2,$M30,$L30,FALSE)*($T30*(1-$F30)+$S30*(1-$G30))*((1+Inputs!$D$7)^AD$2))))))</f>
        <v>0.97915017086720535</v>
      </c>
      <c r="AE30" s="88">
        <f>$E30*IF(AE$2&gt;Inputs!$D$5,0,IF(AE$2&gt;VLOOKUP($H30,Lists!$P$3:$Q$7,2),IF($N30=Lists!$K$3,IF($L30&lt;1,(($U30/$L30)*((1+Inputs!$D$7)^AE$2)),((INT(AE$2/$L30)-INT((AE$2-1)/$L30))*$U30*((1+Inputs!$D$7)^AE$2))),(_xlfn.WEIBULL.DIST(AE$2,$M30,$L30,FALSE)*$U30*((1+Inputs!$D$7)^AE$2))),IF($N30=Lists!$K$3,IF($L30&lt;1,((($T30*(1-$F30)+$S30*(1-$G30))/$L30)*((1+Inputs!$D$7)^AE$2)),((INT(AE$2/$L30)-INT((AE$2-1)/$L30))*($T30*(1-$F30)+$S30*(1-$G30))*((1+Inputs!$D$7)^AE$2))),((_xlfn.WEIBULL.DIST(AE$2,$M30,$L30,FALSE)*($T30*(1-$F30)+$S30*(1-$G30))*((1+Inputs!$D$7)^AE$2))))))</f>
        <v>0.95957228638367165</v>
      </c>
      <c r="AF30" s="88">
        <f>$E30*IF(AF$2&gt;Inputs!$D$5,0,IF(AF$2&gt;VLOOKUP($H30,Lists!$P$3:$Q$7,2),IF($N30=Lists!$K$3,IF($L30&lt;1,(($U30/$L30)*((1+Inputs!$D$7)^AF$2)),((INT(AF$2/$L30)-INT((AF$2-1)/$L30))*$U30*((1+Inputs!$D$7)^AF$2))),(_xlfn.WEIBULL.DIST(AF$2,$M30,$L30,FALSE)*$U30*((1+Inputs!$D$7)^AF$2))),IF($N30=Lists!$K$3,IF($L30&lt;1,((($T30*(1-$F30)+$S30*(1-$G30))/$L30)*((1+Inputs!$D$7)^AF$2)),((INT(AF$2/$L30)-INT((AF$2-1)/$L30))*($T30*(1-$F30)+$S30*(1-$G30))*((1+Inputs!$D$7)^AF$2))),((_xlfn.WEIBULL.DIST(AF$2,$M30,$L30,FALSE)*($T30*(1-$F30)+$S30*(1-$G30))*((1+Inputs!$D$7)^AF$2))))))</f>
        <v>0.94038585723789414</v>
      </c>
      <c r="AG30" s="88">
        <f>$E30*IF(AG$2&gt;Inputs!$D$5,0,IF(AG$2&gt;VLOOKUP($H30,Lists!$P$3:$Q$7,2),IF($N30=Lists!$K$3,IF($L30&lt;1,(($U30/$L30)*((1+Inputs!$D$7)^AG$2)),((INT(AG$2/$L30)-INT((AG$2-1)/$L30))*$U30*((1+Inputs!$D$7)^AG$2))),(_xlfn.WEIBULL.DIST(AG$2,$M30,$L30,FALSE)*$U30*((1+Inputs!$D$7)^AG$2))),IF($N30=Lists!$K$3,IF($L30&lt;1,((($T30*(1-$F30)+$S30*(1-$G30))/$L30)*((1+Inputs!$D$7)^AG$2)),((INT(AG$2/$L30)-INT((AG$2-1)/$L30))*($T30*(1-$F30)+$S30*(1-$G30))*((1+Inputs!$D$7)^AG$2))),((_xlfn.WEIBULL.DIST(AG$2,$M30,$L30,FALSE)*($T30*(1-$F30)+$S30*(1-$G30))*((1+Inputs!$D$7)^AG$2))))))</f>
        <v>0.92158305636962023</v>
      </c>
      <c r="AH30" s="88">
        <f>$E30*IF(AH$2&gt;Inputs!$D$5,0,IF(AH$2&gt;VLOOKUP($H30,Lists!$P$3:$Q$7,2),IF($N30=Lists!$K$3,IF($L30&lt;1,(($U30/$L30)*((1+Inputs!$D$7)^AH$2)),((INT(AH$2/$L30)-INT((AH$2-1)/$L30))*$U30*((1+Inputs!$D$7)^AH$2))),(_xlfn.WEIBULL.DIST(AH$2,$M30,$L30,FALSE)*$U30*((1+Inputs!$D$7)^AH$2))),IF($N30=Lists!$K$3,IF($L30&lt;1,((($T30*(1-$F30)+$S30*(1-$G30))/$L30)*((1+Inputs!$D$7)^AH$2)),((INT(AH$2/$L30)-INT((AH$2-1)/$L30))*($T30*(1-$F30)+$S30*(1-$G30))*((1+Inputs!$D$7)^AH$2))),((_xlfn.WEIBULL.DIST(AH$2,$M30,$L30,FALSE)*($T30*(1-$F30)+$S30*(1-$G30))*((1+Inputs!$D$7)^AH$2))))))</f>
        <v>0.9031562132188844</v>
      </c>
      <c r="AI30" s="88">
        <f>$E30*IF(AI$2&gt;Inputs!$D$5,0,IF(AI$2&gt;VLOOKUP($H30,Lists!$P$3:$Q$7,2),IF($N30=Lists!$K$3,IF($L30&lt;1,(($U30/$L30)*((1+Inputs!$D$7)^AI$2)),((INT(AI$2/$L30)-INT((AI$2-1)/$L30))*$U30*((1+Inputs!$D$7)^AI$2))),(_xlfn.WEIBULL.DIST(AI$2,$M30,$L30,FALSE)*$U30*((1+Inputs!$D$7)^AI$2))),IF($N30=Lists!$K$3,IF($L30&lt;1,((($T30*(1-$F30)+$S30*(1-$G30))/$L30)*((1+Inputs!$D$7)^AI$2)),((INT(AI$2/$L30)-INT((AI$2-1)/$L30))*($T30*(1-$F30)+$S30*(1-$G30))*((1+Inputs!$D$7)^AI$2))),((_xlfn.WEIBULL.DIST(AI$2,$M30,$L30,FALSE)*($T30*(1-$F30)+$S30*(1-$G30))*((1+Inputs!$D$7)^AI$2))))))</f>
        <v>0.88509781059681802</v>
      </c>
      <c r="AJ30" s="88">
        <f>$E30*IF(AJ$2&gt;Inputs!$D$5,0,IF(AJ$2&gt;VLOOKUP($H30,Lists!$P$3:$Q$7,2),IF($N30=Lists!$K$3,IF($L30&lt;1,(($U30/$L30)*((1+Inputs!$D$7)^AJ$2)),((INT(AJ$2/$L30)-INT((AJ$2-1)/$L30))*$U30*((1+Inputs!$D$7)^AJ$2))),(_xlfn.WEIBULL.DIST(AJ$2,$M30,$L30,FALSE)*$U30*((1+Inputs!$D$7)^AJ$2))),IF($N30=Lists!$K$3,IF($L30&lt;1,((($T30*(1-$F30)+$S30*(1-$G30))/$L30)*((1+Inputs!$D$7)^AJ$2)),((INT(AJ$2/$L30)-INT((AJ$2-1)/$L30))*($T30*(1-$F30)+$S30*(1-$G30))*((1+Inputs!$D$7)^AJ$2))),((_xlfn.WEIBULL.DIST(AJ$2,$M30,$L30,FALSE)*($T30*(1-$F30)+$S30*(1-$G30))*((1+Inputs!$D$7)^AJ$2))))))</f>
        <v>0.8674004816190316</v>
      </c>
      <c r="AK30" s="88">
        <f>$E30*IF(AK$2&gt;Inputs!$D$5,0,IF(AK$2&gt;VLOOKUP($H30,Lists!$P$3:$Q$7,2),IF($N30=Lists!$K$3,IF($L30&lt;1,(($U30/$L30)*((1+Inputs!$D$7)^AK$2)),((INT(AK$2/$L30)-INT((AK$2-1)/$L30))*$U30*((1+Inputs!$D$7)^AK$2))),(_xlfn.WEIBULL.DIST(AK$2,$M30,$L30,FALSE)*$U30*((1+Inputs!$D$7)^AK$2))),IF($N30=Lists!$K$3,IF($L30&lt;1,((($T30*(1-$F30)+$S30*(1-$G30))/$L30)*((1+Inputs!$D$7)^AK$2)),((INT(AK$2/$L30)-INT((AK$2-1)/$L30))*($T30*(1-$F30)+$S30*(1-$G30))*((1+Inputs!$D$7)^AK$2))),((_xlfn.WEIBULL.DIST(AK$2,$M30,$L30,FALSE)*($T30*(1-$F30)+$S30*(1-$G30))*((1+Inputs!$D$7)^AK$2))))))</f>
        <v>0.85005700670030815</v>
      </c>
      <c r="AL30" s="88">
        <f>$E30*IF(AL$2&gt;Inputs!$D$5,0,IF(AL$2&gt;VLOOKUP($H30,Lists!$P$3:$Q$7,2),IF($N30=Lists!$K$3,IF($L30&lt;1,(($U30/$L30)*((1+Inputs!$D$7)^AL$2)),((INT(AL$2/$L30)-INT((AL$2-1)/$L30))*$U30*((1+Inputs!$D$7)^AL$2))),(_xlfn.WEIBULL.DIST(AL$2,$M30,$L30,FALSE)*$U30*((1+Inputs!$D$7)^AL$2))),IF($N30=Lists!$K$3,IF($L30&lt;1,((($T30*(1-$F30)+$S30*(1-$G30))/$L30)*((1+Inputs!$D$7)^AL$2)),((INT(AL$2/$L30)-INT((AL$2-1)/$L30))*($T30*(1-$F30)+$S30*(1-$G30))*((1+Inputs!$D$7)^AL$2))),((_xlfn.WEIBULL.DIST(AL$2,$M30,$L30,FALSE)*($T30*(1-$F30)+$S30*(1-$G30))*((1+Inputs!$D$7)^AL$2))))))</f>
        <v>0.83306031060939356</v>
      </c>
      <c r="AM30" s="88">
        <f>$E30*IF(AM$2&gt;Inputs!$D$5,0,IF(AM$2&gt;VLOOKUP($H30,Lists!$P$3:$Q$7,2),IF($N30=Lists!$K$3,IF($L30&lt;1,(($U30/$L30)*((1+Inputs!$D$7)^AM$2)),((INT(AM$2/$L30)-INT((AM$2-1)/$L30))*$U30*((1+Inputs!$D$7)^AM$2))),(_xlfn.WEIBULL.DIST(AM$2,$M30,$L30,FALSE)*$U30*((1+Inputs!$D$7)^AM$2))),IF($N30=Lists!$K$3,IF($L30&lt;1,((($T30*(1-$F30)+$S30*(1-$G30))/$L30)*((1+Inputs!$D$7)^AM$2)),((INT(AM$2/$L30)-INT((AM$2-1)/$L30))*($T30*(1-$F30)+$S30*(1-$G30))*((1+Inputs!$D$7)^AM$2))),((_xlfn.WEIBULL.DIST(AM$2,$M30,$L30,FALSE)*($T30*(1-$F30)+$S30*(1-$G30))*((1+Inputs!$D$7)^AM$2))))))</f>
        <v>0.8164034595826688</v>
      </c>
      <c r="AN30" s="88">
        <f>$E30*IF(AN$2&gt;Inputs!$D$5,0,IF(AN$2&gt;VLOOKUP($H30,Lists!$P$3:$Q$7,2),IF($N30=Lists!$K$3,IF($L30&lt;1,(($U30/$L30)*((1+Inputs!$D$7)^AN$2)),((INT(AN$2/$L30)-INT((AN$2-1)/$L30))*$U30*((1+Inputs!$D$7)^AN$2))),(_xlfn.WEIBULL.DIST(AN$2,$M30,$L30,FALSE)*$U30*((1+Inputs!$D$7)^AN$2))),IF($N30=Lists!$K$3,IF($L30&lt;1,((($T30*(1-$F30)+$S30*(1-$G30))/$L30)*((1+Inputs!$D$7)^AN$2)),((INT(AN$2/$L30)-INT((AN$2-1)/$L30))*($T30*(1-$F30)+$S30*(1-$G30))*((1+Inputs!$D$7)^AN$2))),((_xlfn.WEIBULL.DIST(AN$2,$M30,$L30,FALSE)*($T30*(1-$F30)+$S30*(1-$G30))*((1+Inputs!$D$7)^AN$2))))))</f>
        <v>0.80007965849553775</v>
      </c>
      <c r="AO30" s="88">
        <f>$E30*IF(AO$2&gt;Inputs!$D$5,0,IF(AO$2&gt;VLOOKUP($H30,Lists!$P$3:$Q$7,2),IF($N30=Lists!$K$3,IF($L30&lt;1,(($U30/$L30)*((1+Inputs!$D$7)^AO$2)),((INT(AO$2/$L30)-INT((AO$2-1)/$L30))*$U30*((1+Inputs!$D$7)^AO$2))),(_xlfn.WEIBULL.DIST(AO$2,$M30,$L30,FALSE)*$U30*((1+Inputs!$D$7)^AO$2))),IF($N30=Lists!$K$3,IF($L30&lt;1,((($T30*(1-$F30)+$S30*(1-$G30))/$L30)*((1+Inputs!$D$7)^AO$2)),((INT(AO$2/$L30)-INT((AO$2-1)/$L30))*($T30*(1-$F30)+$S30*(1-$G30))*((1+Inputs!$D$7)^AO$2))),((_xlfn.WEIBULL.DIST(AO$2,$M30,$L30,FALSE)*($T30*(1-$F30)+$S30*(1-$G30))*((1+Inputs!$D$7)^AO$2))))))</f>
        <v>0.78408224809037186</v>
      </c>
      <c r="AP30" s="88">
        <f>$E30*IF(AP$2&gt;Inputs!$D$5,0,IF(AP$2&gt;VLOOKUP($H30,Lists!$P$3:$Q$7,2),IF($N30=Lists!$K$3,IF($L30&lt;1,(($U30/$L30)*((1+Inputs!$D$7)^AP$2)),((INT(AP$2/$L30)-INT((AP$2-1)/$L30))*$U30*((1+Inputs!$D$7)^AP$2))),(_xlfn.WEIBULL.DIST(AP$2,$M30,$L30,FALSE)*$U30*((1+Inputs!$D$7)^AP$2))),IF($N30=Lists!$K$3,IF($L30&lt;1,((($T30*(1-$F30)+$S30*(1-$G30))/$L30)*((1+Inputs!$D$7)^AP$2)),((INT(AP$2/$L30)-INT((AP$2-1)/$L30))*($T30*(1-$F30)+$S30*(1-$G30))*((1+Inputs!$D$7)^AP$2))),((_xlfn.WEIBULL.DIST(AP$2,$M30,$L30,FALSE)*($T30*(1-$F30)+$S30*(1-$G30))*((1+Inputs!$D$7)^AP$2))))))</f>
        <v>0.76840470225988211</v>
      </c>
      <c r="AQ30" s="88">
        <f>$E30*IF(AQ$2&gt;Inputs!$D$5,0,IF(AQ$2&gt;VLOOKUP($H30,Lists!$P$3:$Q$7,2),IF($N30=Lists!$K$3,IF($L30&lt;1,(($U30/$L30)*((1+Inputs!$D$7)^AQ$2)),((INT(AQ$2/$L30)-INT((AQ$2-1)/$L30))*$U30*((1+Inputs!$D$7)^AQ$2))),(_xlfn.WEIBULL.DIST(AQ$2,$M30,$L30,FALSE)*$U30*((1+Inputs!$D$7)^AQ$2))),IF($N30=Lists!$K$3,IF($L30&lt;1,((($T30*(1-$F30)+$S30*(1-$G30))/$L30)*((1+Inputs!$D$7)^AQ$2)),((INT(AQ$2/$L30)-INT((AQ$2-1)/$L30))*($T30*(1-$F30)+$S30*(1-$G30))*((1+Inputs!$D$7)^AQ$2))),((_xlfn.WEIBULL.DIST(AQ$2,$M30,$L30,FALSE)*($T30*(1-$F30)+$S30*(1-$G30))*((1+Inputs!$D$7)^AQ$2))))))</f>
        <v>0.75304062538480565</v>
      </c>
      <c r="AR30" s="88">
        <f>$E30*IF(AR$2&gt;Inputs!$D$5,0,IF(AR$2&gt;VLOOKUP($H30,Lists!$P$3:$Q$7,2),IF($N30=Lists!$K$3,IF($L30&lt;1,(($U30/$L30)*((1+Inputs!$D$7)^AR$2)),((INT(AR$2/$L30)-INT((AR$2-1)/$L30))*$U30*((1+Inputs!$D$7)^AR$2))),(_xlfn.WEIBULL.DIST(AR$2,$M30,$L30,FALSE)*$U30*((1+Inputs!$D$7)^AR$2))),IF($N30=Lists!$K$3,IF($L30&lt;1,((($T30*(1-$F30)+$S30*(1-$G30))/$L30)*((1+Inputs!$D$7)^AR$2)),((INT(AR$2/$L30)-INT((AR$2-1)/$L30))*($T30*(1-$F30)+$S30*(1-$G30))*((1+Inputs!$D$7)^AR$2))),((_xlfn.WEIBULL.DIST(AR$2,$M30,$L30,FALSE)*($T30*(1-$F30)+$S30*(1-$G30))*((1+Inputs!$D$7)^AR$2))))))</f>
        <v>0.73798374972482994</v>
      </c>
      <c r="AS30" s="88">
        <f>$E30*IF(AS$2&gt;Inputs!$D$5,0,IF(AS$2&gt;VLOOKUP($H30,Lists!$P$3:$Q$7,2),IF($N30=Lists!$K$3,IF($L30&lt;1,(($U30/$L30)*((1+Inputs!$D$7)^AS$2)),((INT(AS$2/$L30)-INT((AS$2-1)/$L30))*$U30*((1+Inputs!$D$7)^AS$2))),(_xlfn.WEIBULL.DIST(AS$2,$M30,$L30,FALSE)*$U30*((1+Inputs!$D$7)^AS$2))),IF($N30=Lists!$K$3,IF($L30&lt;1,((($T30*(1-$F30)+$S30*(1-$G30))/$L30)*((1+Inputs!$D$7)^AS$2)),((INT(AS$2/$L30)-INT((AS$2-1)/$L30))*($T30*(1-$F30)+$S30*(1-$G30))*((1+Inputs!$D$7)^AS$2))),((_xlfn.WEIBULL.DIST(AS$2,$M30,$L30,FALSE)*($T30*(1-$F30)+$S30*(1-$G30))*((1+Inputs!$D$7)^AS$2))))))</f>
        <v>0.72322793286168063</v>
      </c>
      <c r="AT30" s="88">
        <f>$E30*IF(AT$2&gt;Inputs!$D$5,0,IF(AT$2&gt;VLOOKUP($H30,Lists!$P$3:$Q$7,2),IF($N30=Lists!$K$3,IF($L30&lt;1,(($U30/$L30)*((1+Inputs!$D$7)^AT$2)),((INT(AT$2/$L30)-INT((AT$2-1)/$L30))*$U30*((1+Inputs!$D$7)^AT$2))),(_xlfn.WEIBULL.DIST(AT$2,$M30,$L30,FALSE)*$U30*((1+Inputs!$D$7)^AT$2))),IF($N30=Lists!$K$3,IF($L30&lt;1,((($T30*(1-$F30)+$S30*(1-$G30))/$L30)*((1+Inputs!$D$7)^AT$2)),((INT(AT$2/$L30)-INT((AT$2-1)/$L30))*($T30*(1-$F30)+$S30*(1-$G30))*((1+Inputs!$D$7)^AT$2))),((_xlfn.WEIBULL.DIST(AT$2,$M30,$L30,FALSE)*($T30*(1-$F30)+$S30*(1-$G30))*((1+Inputs!$D$7)^AT$2))))))</f>
        <v>0.70876715519333744</v>
      </c>
      <c r="AU30" s="88">
        <f>$E30*IF(AU$2&gt;Inputs!$D$5,0,IF(AU$2&gt;VLOOKUP($H30,Lists!$P$3:$Q$7,2),IF($N30=Lists!$K$3,IF($L30&lt;1,(($U30/$L30)*((1+Inputs!$D$7)^AU$2)),((INT(AU$2/$L30)-INT((AU$2-1)/$L30))*$U30*((1+Inputs!$D$7)^AU$2))),(_xlfn.WEIBULL.DIST(AU$2,$M30,$L30,FALSE)*$U30*((1+Inputs!$D$7)^AU$2))),IF($N30=Lists!$K$3,IF($L30&lt;1,((($T30*(1-$F30)+$S30*(1-$G30))/$L30)*((1+Inputs!$D$7)^AU$2)),((INT(AU$2/$L30)-INT((AU$2-1)/$L30))*($T30*(1-$F30)+$S30*(1-$G30))*((1+Inputs!$D$7)^AU$2))),((_xlfn.WEIBULL.DIST(AU$2,$M30,$L30,FALSE)*($T30*(1-$F30)+$S30*(1-$G30))*((1+Inputs!$D$7)^AU$2))))))</f>
        <v>0.69459551747835047</v>
      </c>
      <c r="AV30" s="88">
        <f>$E30*IF(AV$2&gt;Inputs!$D$5,0,IF(AV$2&gt;VLOOKUP($H30,Lists!$P$3:$Q$7,2),IF($N30=Lists!$K$3,IF($L30&lt;1,(($U30/$L30)*((1+Inputs!$D$7)^AV$2)),((INT(AV$2/$L30)-INT((AV$2-1)/$L30))*$U30*((1+Inputs!$D$7)^AV$2))),(_xlfn.WEIBULL.DIST(AV$2,$M30,$L30,FALSE)*$U30*((1+Inputs!$D$7)^AV$2))),IF($N30=Lists!$K$3,IF($L30&lt;1,((($T30*(1-$F30)+$S30*(1-$G30))/$L30)*((1+Inputs!$D$7)^AV$2)),((INT(AV$2/$L30)-INT((AV$2-1)/$L30))*($T30*(1-$F30)+$S30*(1-$G30))*((1+Inputs!$D$7)^AV$2))),((_xlfn.WEIBULL.DIST(AV$2,$M30,$L30,FALSE)*($T30*(1-$F30)+$S30*(1-$G30))*((1+Inputs!$D$7)^AV$2))))))</f>
        <v>0.68070723842925673</v>
      </c>
      <c r="AW30" s="88">
        <f>$E30*IF(AW$2&gt;Inputs!$D$5,0,IF(AW$2&gt;VLOOKUP($H30,Lists!$P$3:$Q$7,2),IF($N30=Lists!$K$3,IF($L30&lt;1,(($U30/$L30)*((1+Inputs!$D$7)^AW$2)),((INT(AW$2/$L30)-INT((AW$2-1)/$L30))*$U30*((1+Inputs!$D$7)^AW$2))),(_xlfn.WEIBULL.DIST(AW$2,$M30,$L30,FALSE)*$U30*((1+Inputs!$D$7)^AW$2))),IF($N30=Lists!$K$3,IF($L30&lt;1,((($T30*(1-$F30)+$S30*(1-$G30))/$L30)*((1+Inputs!$D$7)^AW$2)),((INT(AW$2/$L30)-INT((AW$2-1)/$L30))*($T30*(1-$F30)+$S30*(1-$G30))*((1+Inputs!$D$7)^AW$2))),((_xlfn.WEIBULL.DIST(AW$2,$M30,$L30,FALSE)*($T30*(1-$F30)+$S30*(1-$G30))*((1+Inputs!$D$7)^AW$2))))))</f>
        <v>0.66709665235411963</v>
      </c>
      <c r="AX30" s="88">
        <f>$E30*IF(AX$2&gt;Inputs!$D$5,0,IF(AX$2&gt;VLOOKUP($H30,Lists!$P$3:$Q$7,2),IF($N30=Lists!$K$3,IF($L30&lt;1,(($U30/$L30)*((1+Inputs!$D$7)^AX$2)),((INT(AX$2/$L30)-INT((AX$2-1)/$L30))*$U30*((1+Inputs!$D$7)^AX$2))),(_xlfn.WEIBULL.DIST(AX$2,$M30,$L30,FALSE)*$U30*((1+Inputs!$D$7)^AX$2))),IF($N30=Lists!$K$3,IF($L30&lt;1,((($T30*(1-$F30)+$S30*(1-$G30))/$L30)*((1+Inputs!$D$7)^AX$2)),((INT(AX$2/$L30)-INT((AX$2-1)/$L30))*($T30*(1-$F30)+$S30*(1-$G30))*((1+Inputs!$D$7)^AX$2))),((_xlfn.WEIBULL.DIST(AX$2,$M30,$L30,FALSE)*($T30*(1-$F30)+$S30*(1-$G30))*((1+Inputs!$D$7)^AX$2))))))</f>
        <v>0.65375820684522123</v>
      </c>
      <c r="AY30" s="88">
        <f>$E30*IF(AY$2&gt;Inputs!$D$5,0,IF(AY$2&gt;VLOOKUP($H30,Lists!$P$3:$Q$7,2),IF($N30=Lists!$K$3,IF($L30&lt;1,(($U30/$L30)*((1+Inputs!$D$7)^AY$2)),((INT(AY$2/$L30)-INT((AY$2-1)/$L30))*$U30*((1+Inputs!$D$7)^AY$2))),(_xlfn.WEIBULL.DIST(AY$2,$M30,$L30,FALSE)*$U30*((1+Inputs!$D$7)^AY$2))),IF($N30=Lists!$K$3,IF($L30&lt;1,((($T30*(1-$F30)+$S30*(1-$G30))/$L30)*((1+Inputs!$D$7)^AY$2)),((INT(AY$2/$L30)-INT((AY$2-1)/$L30))*($T30*(1-$F30)+$S30*(1-$G30))*((1+Inputs!$D$7)^AY$2))),((_xlfn.WEIBULL.DIST(AY$2,$M30,$L30,FALSE)*($T30*(1-$F30)+$S30*(1-$G30))*((1+Inputs!$D$7)^AY$2))))))</f>
        <v>0.6406864605139696</v>
      </c>
      <c r="AZ30" s="88">
        <f>$E30*IF(AZ$2&gt;Inputs!$D$5,0,IF(AZ$2&gt;VLOOKUP($H30,Lists!$P$3:$Q$7,2),IF($N30=Lists!$K$3,IF($L30&lt;1,(($U30/$L30)*((1+Inputs!$D$7)^AZ$2)),((INT(AZ$2/$L30)-INT((AZ$2-1)/$L30))*$U30*((1+Inputs!$D$7)^AZ$2))),(_xlfn.WEIBULL.DIST(AZ$2,$M30,$L30,FALSE)*$U30*((1+Inputs!$D$7)^AZ$2))),IF($N30=Lists!$K$3,IF($L30&lt;1,((($T30*(1-$F30)+$S30*(1-$G30))/$L30)*((1+Inputs!$D$7)^AZ$2)),((INT(AZ$2/$L30)-INT((AZ$2-1)/$L30))*($T30*(1-$F30)+$S30*(1-$G30))*((1+Inputs!$D$7)^AZ$2))),((_xlfn.WEIBULL.DIST(AZ$2,$M30,$L30,FALSE)*($T30*(1-$F30)+$S30*(1-$G30))*((1+Inputs!$D$7)^AZ$2))))))</f>
        <v>0</v>
      </c>
      <c r="BA30" s="88">
        <f>$E30*IF(BA$2&gt;Inputs!$D$5,0,IF(BA$2&gt;VLOOKUP($H30,Lists!$P$3:$Q$7,2),IF($N30=Lists!$K$3,IF($L30&lt;1,(($U30/$L30)*((1+Inputs!$D$7)^BA$2)),((INT(BA$2/$L30)-INT((BA$2-1)/$L30))*$U30*((1+Inputs!$D$7)^BA$2))),(_xlfn.WEIBULL.DIST(BA$2,$M30,$L30,FALSE)*$U30*((1+Inputs!$D$7)^BA$2))),IF($N30=Lists!$K$3,IF($L30&lt;1,((($T30*(1-$F30)+$S30*(1-$G30))/$L30)*((1+Inputs!$D$7)^BA$2)),((INT(BA$2/$L30)-INT((BA$2-1)/$L30))*($T30*(1-$F30)+$S30*(1-$G30))*((1+Inputs!$D$7)^BA$2))),((_xlfn.WEIBULL.DIST(BA$2,$M30,$L30,FALSE)*($T30*(1-$F30)+$S30*(1-$G30))*((1+Inputs!$D$7)^BA$2))))))</f>
        <v>0</v>
      </c>
      <c r="BB30" s="88">
        <f>$E30*IF(BB$2&gt;Inputs!$D$5,0,IF(BB$2&gt;VLOOKUP($H30,Lists!$P$3:$Q$7,2),IF($N30=Lists!$K$3,IF($L30&lt;1,(($U30/$L30)*((1+Inputs!$D$7)^BB$2)),((INT(BB$2/$L30)-INT((BB$2-1)/$L30))*$U30*((1+Inputs!$D$7)^BB$2))),(_xlfn.WEIBULL.DIST(BB$2,$M30,$L30,FALSE)*$U30*((1+Inputs!$D$7)^BB$2))),IF($N30=Lists!$K$3,IF($L30&lt;1,((($T30*(1-$F30)+$S30*(1-$G30))/$L30)*((1+Inputs!$D$7)^BB$2)),((INT(BB$2/$L30)-INT((BB$2-1)/$L30))*($T30*(1-$F30)+$S30*(1-$G30))*((1+Inputs!$D$7)^BB$2))),((_xlfn.WEIBULL.DIST(BB$2,$M30,$L30,FALSE)*($T30*(1-$F30)+$S30*(1-$G30))*((1+Inputs!$D$7)^BB$2))))))</f>
        <v>0</v>
      </c>
      <c r="BC30" s="88">
        <f>$E30*IF(BC$2&gt;Inputs!$D$5,0,IF(BC$2&gt;VLOOKUP($H30,Lists!$P$3:$Q$7,2),IF($N30=Lists!$K$3,IF($L30&lt;1,(($U30/$L30)*((1+Inputs!$D$7)^BC$2)),((INT(BC$2/$L30)-INT((BC$2-1)/$L30))*$U30*((1+Inputs!$D$7)^BC$2))),(_xlfn.WEIBULL.DIST(BC$2,$M30,$L30,FALSE)*$U30*((1+Inputs!$D$7)^BC$2))),IF($N30=Lists!$K$3,IF($L30&lt;1,((($T30*(1-$F30)+$S30*(1-$G30))/$L30)*((1+Inputs!$D$7)^BC$2)),((INT(BC$2/$L30)-INT((BC$2-1)/$L30))*($T30*(1-$F30)+$S30*(1-$G30))*((1+Inputs!$D$7)^BC$2))),((_xlfn.WEIBULL.DIST(BC$2,$M30,$L30,FALSE)*($T30*(1-$F30)+$S30*(1-$G30))*((1+Inputs!$D$7)^BC$2))))))</f>
        <v>0</v>
      </c>
      <c r="BD30" s="88">
        <f>$E30*IF(BD$2&gt;Inputs!$D$5,0,IF(BD$2&gt;VLOOKUP($H30,Lists!$P$3:$Q$7,2),IF($N30=Lists!$K$3,IF($L30&lt;1,(($U30/$L30)*((1+Inputs!$D$7)^BD$2)),((INT(BD$2/$L30)-INT((BD$2-1)/$L30))*$U30*((1+Inputs!$D$7)^BD$2))),(_xlfn.WEIBULL.DIST(BD$2,$M30,$L30,FALSE)*$U30*((1+Inputs!$D$7)^BD$2))),IF($N30=Lists!$K$3,IF($L30&lt;1,((($T30*(1-$F30)+$S30*(1-$G30))/$L30)*((1+Inputs!$D$7)^BD$2)),((INT(BD$2/$L30)-INT((BD$2-1)/$L30))*($T30*(1-$F30)+$S30*(1-$G30))*((1+Inputs!$D$7)^BD$2))),((_xlfn.WEIBULL.DIST(BD$2,$M30,$L30,FALSE)*($T30*(1-$F30)+$S30*(1-$G30))*((1+Inputs!$D$7)^BD$2))))))</f>
        <v>0</v>
      </c>
      <c r="BE30" s="88">
        <f>$E30*IF(BE$2&gt;Inputs!$D$5,0,IF(BE$2&gt;VLOOKUP($H30,Lists!$P$3:$Q$7,2),IF($N30=Lists!$K$3,IF($L30&lt;1,(($U30/$L30)*((1+Inputs!$D$7)^BE$2)),((INT(BE$2/$L30)-INT((BE$2-1)/$L30))*$U30*((1+Inputs!$D$7)^BE$2))),(_xlfn.WEIBULL.DIST(BE$2,$M30,$L30,FALSE)*$U30*((1+Inputs!$D$7)^BE$2))),IF($N30=Lists!$K$3,IF($L30&lt;1,((($T30*(1-$F30)+$S30*(1-$G30))/$L30)*((1+Inputs!$D$7)^BE$2)),((INT(BE$2/$L30)-INT((BE$2-1)/$L30))*($T30*(1-$F30)+$S30*(1-$G30))*((1+Inputs!$D$7)^BE$2))),((_xlfn.WEIBULL.DIST(BE$2,$M30,$L30,FALSE)*($T30*(1-$F30)+$S30*(1-$G30))*((1+Inputs!$D$7)^BE$2))))))</f>
        <v>0</v>
      </c>
      <c r="BF30" s="88">
        <f>$E30*IF(BF$2&gt;Inputs!$D$5,0,IF(BF$2&gt;VLOOKUP($H30,Lists!$P$3:$Q$7,2),IF($N30=Lists!$K$3,IF($L30&lt;1,(($U30/$L30)*((1+Inputs!$D$7)^BF$2)),((INT(BF$2/$L30)-INT((BF$2-1)/$L30))*$U30*((1+Inputs!$D$7)^BF$2))),(_xlfn.WEIBULL.DIST(BF$2,$M30,$L30,FALSE)*$U30*((1+Inputs!$D$7)^BF$2))),IF($N30=Lists!$K$3,IF($L30&lt;1,((($T30*(1-$F30)+$S30*(1-$G30))/$L30)*((1+Inputs!$D$7)^BF$2)),((INT(BF$2/$L30)-INT((BF$2-1)/$L30))*($T30*(1-$F30)+$S30*(1-$G30))*((1+Inputs!$D$7)^BF$2))),((_xlfn.WEIBULL.DIST(BF$2,$M30,$L30,FALSE)*($T30*(1-$F30)+$S30*(1-$G30))*((1+Inputs!$D$7)^BF$2))))))</f>
        <v>0</v>
      </c>
      <c r="BG30" s="88">
        <f>$E30*IF(BG$2&gt;Inputs!$D$5,0,IF(BG$2&gt;VLOOKUP($H30,Lists!$P$3:$Q$7,2),IF($N30=Lists!$K$3,IF($L30&lt;1,(($U30/$L30)*((1+Inputs!$D$7)^BG$2)),((INT(BG$2/$L30)-INT((BG$2-1)/$L30))*$U30*((1+Inputs!$D$7)^BG$2))),(_xlfn.WEIBULL.DIST(BG$2,$M30,$L30,FALSE)*$U30*((1+Inputs!$D$7)^BG$2))),IF($N30=Lists!$K$3,IF($L30&lt;1,((($T30*(1-$F30)+$S30*(1-$G30))/$L30)*((1+Inputs!$D$7)^BG$2)),((INT(BG$2/$L30)-INT((BG$2-1)/$L30))*($T30*(1-$F30)+$S30*(1-$G30))*((1+Inputs!$D$7)^BG$2))),((_xlfn.WEIBULL.DIST(BG$2,$M30,$L30,FALSE)*($T30*(1-$F30)+$S30*(1-$G30))*((1+Inputs!$D$7)^BG$2))))))</f>
        <v>0</v>
      </c>
      <c r="BH30" s="88">
        <f>$E30*IF(BH$2&gt;Inputs!$D$5,0,IF(BH$2&gt;VLOOKUP($H30,Lists!$P$3:$Q$7,2),IF($N30=Lists!$K$3,IF($L30&lt;1,(($U30/$L30)*((1+Inputs!$D$7)^BH$2)),((INT(BH$2/$L30)-INT((BH$2-1)/$L30))*$U30*((1+Inputs!$D$7)^BH$2))),(_xlfn.WEIBULL.DIST(BH$2,$M30,$L30,FALSE)*$U30*((1+Inputs!$D$7)^BH$2))),IF($N30=Lists!$K$3,IF($L30&lt;1,((($T30*(1-$F30)+$S30*(1-$G30))/$L30)*((1+Inputs!$D$7)^BH$2)),((INT(BH$2/$L30)-INT((BH$2-1)/$L30))*($T30*(1-$F30)+$S30*(1-$G30))*((1+Inputs!$D$7)^BH$2))),((_xlfn.WEIBULL.DIST(BH$2,$M30,$L30,FALSE)*($T30*(1-$F30)+$S30*(1-$G30))*((1+Inputs!$D$7)^BH$2))))))</f>
        <v>0</v>
      </c>
      <c r="BI30" s="88">
        <f>$E30*IF(BI$2&gt;Inputs!$D$5,0,IF(BI$2&gt;VLOOKUP($H30,Lists!$P$3:$Q$7,2),IF($N30=Lists!$K$3,IF($L30&lt;1,(($U30/$L30)*((1+Inputs!$D$7)^BI$2)),((INT(BI$2/$L30)-INT((BI$2-1)/$L30))*$U30*((1+Inputs!$D$7)^BI$2))),(_xlfn.WEIBULL.DIST(BI$2,$M30,$L30,FALSE)*$U30*((1+Inputs!$D$7)^BI$2))),IF($N30=Lists!$K$3,IF($L30&lt;1,((($T30*(1-$F30)+$S30*(1-$G30))/$L30)*((1+Inputs!$D$7)^BI$2)),((INT(BI$2/$L30)-INT((BI$2-1)/$L30))*($T30*(1-$F30)+$S30*(1-$G30))*((1+Inputs!$D$7)^BI$2))),((_xlfn.WEIBULL.DIST(BI$2,$M30,$L30,FALSE)*($T30*(1-$F30)+$S30*(1-$G30))*((1+Inputs!$D$7)^BI$2))))))</f>
        <v>0</v>
      </c>
      <c r="BJ30" s="88">
        <f>$E30*IF(BJ$2&gt;Inputs!$D$5,0,IF(BJ$2&gt;VLOOKUP($H30,Lists!$P$3:$Q$7,2),IF($N30=Lists!$K$3,IF($L30&lt;1,(($U30/$L30)*((1+Inputs!$D$7)^BJ$2)),((INT(BJ$2/$L30)-INT((BJ$2-1)/$L30))*$U30*((1+Inputs!$D$7)^BJ$2))),(_xlfn.WEIBULL.DIST(BJ$2,$M30,$L30,FALSE)*$U30*((1+Inputs!$D$7)^BJ$2))),IF($N30=Lists!$K$3,IF($L30&lt;1,((($T30*(1-$F30)+$S30*(1-$G30))/$L30)*((1+Inputs!$D$7)^BJ$2)),((INT(BJ$2/$L30)-INT((BJ$2-1)/$L30))*($T30*(1-$F30)+$S30*(1-$G30))*((1+Inputs!$D$7)^BJ$2))),((_xlfn.WEIBULL.DIST(BJ$2,$M30,$L30,FALSE)*($T30*(1-$F30)+$S30*(1-$G30))*((1+Inputs!$D$7)^BJ$2))))))</f>
        <v>0</v>
      </c>
      <c r="BK30" s="88">
        <f>$E30*IF(BK$2&gt;Inputs!$D$5,0,IF(BK$2&gt;VLOOKUP($H30,Lists!$P$3:$Q$7,2),IF($N30=Lists!$K$3,IF($L30&lt;1,(($U30/$L30)*((1+Inputs!$D$7)^BK$2)),((INT(BK$2/$L30)-INT((BK$2-1)/$L30))*$U30*((1+Inputs!$D$7)^BK$2))),(_xlfn.WEIBULL.DIST(BK$2,$M30,$L30,FALSE)*$U30*((1+Inputs!$D$7)^BK$2))),IF($N30=Lists!$K$3,IF($L30&lt;1,((($T30*(1-$F30)+$S30*(1-$G30))/$L30)*((1+Inputs!$D$7)^BK$2)),((INT(BK$2/$L30)-INT((BK$2-1)/$L30))*($T30*(1-$F30)+$S30*(1-$G30))*((1+Inputs!$D$7)^BK$2))),((_xlfn.WEIBULL.DIST(BK$2,$M30,$L30,FALSE)*($T30*(1-$F30)+$S30*(1-$G30))*((1+Inputs!$D$7)^BK$2))))))</f>
        <v>0</v>
      </c>
      <c r="BL30" s="88">
        <f>$E30*IF(BL$2&gt;Inputs!$D$5,0,IF(BL$2&gt;VLOOKUP($H30,Lists!$P$3:$Q$7,2),IF($N30=Lists!$K$3,IF($L30&lt;1,(($U30/$L30)*((1+Inputs!$D$7)^BL$2)),((INT(BL$2/$L30)-INT((BL$2-1)/$L30))*$U30*((1+Inputs!$D$7)^BL$2))),(_xlfn.WEIBULL.DIST(BL$2,$M30,$L30,FALSE)*$U30*((1+Inputs!$D$7)^BL$2))),IF($N30=Lists!$K$3,IF($L30&lt;1,((($T30*(1-$F30)+$S30*(1-$G30))/$L30)*((1+Inputs!$D$7)^BL$2)),((INT(BL$2/$L30)-INT((BL$2-1)/$L30))*($T30*(1-$F30)+$S30*(1-$G30))*((1+Inputs!$D$7)^BL$2))),((_xlfn.WEIBULL.DIST(BL$2,$M30,$L30,FALSE)*($T30*(1-$F30)+$S30*(1-$G30))*((1+Inputs!$D$7)^BL$2))))))</f>
        <v>0</v>
      </c>
      <c r="BM30" s="88">
        <f>$E30*IF(BM$2&gt;Inputs!$D$5,0,IF(BM$2&gt;VLOOKUP($H30,Lists!$P$3:$Q$7,2),IF($N30=Lists!$K$3,IF($L30&lt;1,(($U30/$L30)*((1+Inputs!$D$7)^BM$2)),((INT(BM$2/$L30)-INT((BM$2-1)/$L30))*$U30*((1+Inputs!$D$7)^BM$2))),(_xlfn.WEIBULL.DIST(BM$2,$M30,$L30,FALSE)*$U30*((1+Inputs!$D$7)^BM$2))),IF($N30=Lists!$K$3,IF($L30&lt;1,((($T30*(1-$F30)+$S30*(1-$G30))/$L30)*((1+Inputs!$D$7)^BM$2)),((INT(BM$2/$L30)-INT((BM$2-1)/$L30))*($T30*(1-$F30)+$S30*(1-$G30))*((1+Inputs!$D$7)^BM$2))),((_xlfn.WEIBULL.DIST(BM$2,$M30,$L30,FALSE)*($T30*(1-$F30)+$S30*(1-$G30))*((1+Inputs!$D$7)^BM$2))))))</f>
        <v>0</v>
      </c>
      <c r="BN30" s="88">
        <f>$E30*IF(BN$2&gt;Inputs!$D$5,0,IF(BN$2&gt;VLOOKUP($H30,Lists!$P$3:$Q$7,2),IF($N30=Lists!$K$3,IF($L30&lt;1,(($U30/$L30)*((1+Inputs!$D$7)^BN$2)),((INT(BN$2/$L30)-INT((BN$2-1)/$L30))*$U30*((1+Inputs!$D$7)^BN$2))),(_xlfn.WEIBULL.DIST(BN$2,$M30,$L30,FALSE)*$U30*((1+Inputs!$D$7)^BN$2))),IF($N30=Lists!$K$3,IF($L30&lt;1,((($T30*(1-$F30)+$S30*(1-$G30))/$L30)*((1+Inputs!$D$7)^BN$2)),((INT(BN$2/$L30)-INT((BN$2-1)/$L30))*($T30*(1-$F30)+$S30*(1-$G30))*((1+Inputs!$D$7)^BN$2))),((_xlfn.WEIBULL.DIST(BN$2,$M30,$L30,FALSE)*($T30*(1-$F30)+$S30*(1-$G30))*((1+Inputs!$D$7)^BN$2))))))</f>
        <v>0</v>
      </c>
      <c r="BO30" s="64">
        <f>NPV(Inputs!$D$6,BQ30:DD30)</f>
        <v>18.86301896141023</v>
      </c>
      <c r="BP30" s="67">
        <f t="shared" si="6"/>
        <v>8.8967206481403333E-6</v>
      </c>
      <c r="BQ30" s="88">
        <f>MAX(AA30,($E30*IF(BQ$2&gt;Inputs!$D$5,0,IF(BQ$2&gt;VLOOKUP($H30,Lists!$P$3:$Q$7,2),IF($N30=Lists!$K$3,IF($L30&lt;1,(($U30/$L30)*((1+Inputs!$D$7)^BQ$2)),((INT(BQ$2/$L30)-INT((BQ$2-1)/$L30))*$U30*((1+Inputs!$D$7)^BQ$2))),(Inputs!$D$8^((1-_xlfn.WEIBULL.DIST(BQ$2,$M30,$L30,FALSE))/_xlfn.WEIBULL.DIST(BQ$2,$M30,$L30,FALSE))*$U30*((1+Inputs!$D$7)^BQ$2))),IF($N30=Lists!$K$3,IF($L30&lt;1,((($T30*(1-$F30)+$S30*(1-$G30))/$L30)*((1+Inputs!$D$7)^BQ$2)),((INT(BQ$2/$L30)-INT((BQ$2-1)/$L30))*($T30*(1-$F30)+$S30*(1-$G30))*((1+Inputs!$D$7)^BQ$2))),((Inputs!$D$8^((1-_xlfn.WEIBULL.DIST(BQ$2,$M30,$L30,FALSE))/_xlfn.WEIBULL.DIST(BQ$2,$M30,$L30,FALSE))*($T30*(1-$F30)+$S30*(1-$G30))*((1+Inputs!$D$7)^BQ$2))))))))</f>
        <v>0</v>
      </c>
      <c r="BR30" s="88">
        <f>MAX(AB30,($E30*IF(BR$2&gt;Inputs!$D$5,0,IF(BR$2&gt;VLOOKUP($H30,Lists!$P$3:$Q$7,2),IF($N30=Lists!$K$3,IF($L30&lt;1,(($U30/$L30)*((1+Inputs!$D$7)^BR$2)),((INT(BR$2/$L30)-INT((BR$2-1)/$L30))*$U30*((1+Inputs!$D$7)^BR$2))),(Inputs!$D$8^((1-_xlfn.WEIBULL.DIST(BR$2,$M30,$L30,FALSE))/_xlfn.WEIBULL.DIST(BR$2,$M30,$L30,FALSE))*$U30*((1+Inputs!$D$7)^BR$2))),IF($N30=Lists!$K$3,IF($L30&lt;1,((($T30*(1-$F30)+$S30*(1-$G30))/$L30)*((1+Inputs!$D$7)^BR$2)),((INT(BR$2/$L30)-INT((BR$2-1)/$L30))*($T30*(1-$F30)+$S30*(1-$G30))*((1+Inputs!$D$7)^BR$2))),((Inputs!$D$8^((1-_xlfn.WEIBULL.DIST(BR$2,$M30,$L30,FALSE))/_xlfn.WEIBULL.DIST(BR$2,$M30,$L30,FALSE))*($T30*(1-$F30)+$S30*(1-$G30))*((1+Inputs!$D$7)^BR$2))))))))</f>
        <v>3.1375004784788714</v>
      </c>
      <c r="BS30" s="88">
        <f>MAX(AC30,($E30*IF(BS$2&gt;Inputs!$D$5,0,IF(BS$2&gt;VLOOKUP($H30,Lists!$P$3:$Q$7,2),IF($N30=Lists!$K$3,IF($L30&lt;1,(($U30/$L30)*((1+Inputs!$D$7)^BS$2)),((INT(BS$2/$L30)-INT((BS$2-1)/$L30))*$U30*((1+Inputs!$D$7)^BS$2))),(Inputs!$D$8^((1-_xlfn.WEIBULL.DIST(BS$2,$M30,$L30,FALSE))/_xlfn.WEIBULL.DIST(BS$2,$M30,$L30,FALSE))*$U30*((1+Inputs!$D$7)^BS$2))),IF($N30=Lists!$K$3,IF($L30&lt;1,((($T30*(1-$F30)+$S30*(1-$G30))/$L30)*((1+Inputs!$D$7)^BS$2)),((INT(BS$2/$L30)-INT((BS$2-1)/$L30))*($T30*(1-$F30)+$S30*(1-$G30))*((1+Inputs!$D$7)^BS$2))),((Inputs!$D$8^((1-_xlfn.WEIBULL.DIST(BS$2,$M30,$L30,FALSE))/_xlfn.WEIBULL.DIST(BS$2,$M30,$L30,FALSE))*($T30*(1-$F30)+$S30*(1-$G30))*((1+Inputs!$D$7)^BS$2))))))))</f>
        <v>2.918506495933423</v>
      </c>
      <c r="BT30" s="88">
        <f>MAX(AD30,($E30*IF(BT$2&gt;Inputs!$D$5,0,IF(BT$2&gt;VLOOKUP($H30,Lists!$P$3:$Q$7,2),IF($N30=Lists!$K$3,IF($L30&lt;1,(($U30/$L30)*((1+Inputs!$D$7)^BT$2)),((INT(BT$2/$L30)-INT((BT$2-1)/$L30))*$U30*((1+Inputs!$D$7)^BT$2))),(Inputs!$D$8^((1-_xlfn.WEIBULL.DIST(BT$2,$M30,$L30,FALSE))/_xlfn.WEIBULL.DIST(BT$2,$M30,$L30,FALSE))*$U30*((1+Inputs!$D$7)^BT$2))),IF($N30=Lists!$K$3,IF($L30&lt;1,((($T30*(1-$F30)+$S30*(1-$G30))/$L30)*((1+Inputs!$D$7)^BT$2)),((INT(BT$2/$L30)-INT((BT$2-1)/$L30))*($T30*(1-$F30)+$S30*(1-$G30))*((1+Inputs!$D$7)^BT$2))),((Inputs!$D$8^((1-_xlfn.WEIBULL.DIST(BT$2,$M30,$L30,FALSE))/_xlfn.WEIBULL.DIST(BT$2,$M30,$L30,FALSE))*($T30*(1-$F30)+$S30*(1-$G30))*((1+Inputs!$D$7)^BT$2))))))))</f>
        <v>2.7046068625724802</v>
      </c>
      <c r="BU30" s="88">
        <f>MAX(AE30,($E30*IF(BU$2&gt;Inputs!$D$5,0,IF(BU$2&gt;VLOOKUP($H30,Lists!$P$3:$Q$7,2),IF($N30=Lists!$K$3,IF($L30&lt;1,(($U30/$L30)*((1+Inputs!$D$7)^BU$2)),((INT(BU$2/$L30)-INT((BU$2-1)/$L30))*$U30*((1+Inputs!$D$7)^BU$2))),(Inputs!$D$8^((1-_xlfn.WEIBULL.DIST(BU$2,$M30,$L30,FALSE))/_xlfn.WEIBULL.DIST(BU$2,$M30,$L30,FALSE))*$U30*((1+Inputs!$D$7)^BU$2))),IF($N30=Lists!$K$3,IF($L30&lt;1,((($T30*(1-$F30)+$S30*(1-$G30))/$L30)*((1+Inputs!$D$7)^BU$2)),((INT(BU$2/$L30)-INT((BU$2-1)/$L30))*($T30*(1-$F30)+$S30*(1-$G30))*((1+Inputs!$D$7)^BU$2))),((Inputs!$D$8^((1-_xlfn.WEIBULL.DIST(BU$2,$M30,$L30,FALSE))/_xlfn.WEIBULL.DIST(BU$2,$M30,$L30,FALSE))*($T30*(1-$F30)+$S30*(1-$G30))*((1+Inputs!$D$7)^BU$2))))))))</f>
        <v>2.4965920615866324</v>
      </c>
      <c r="BV30" s="88">
        <f>MAX(AF30,($E30*IF(BV$2&gt;Inputs!$D$5,0,IF(BV$2&gt;VLOOKUP($H30,Lists!$P$3:$Q$7,2),IF($N30=Lists!$K$3,IF($L30&lt;1,(($U30/$L30)*((1+Inputs!$D$7)^BV$2)),((INT(BV$2/$L30)-INT((BV$2-1)/$L30))*$U30*((1+Inputs!$D$7)^BV$2))),(Inputs!$D$8^((1-_xlfn.WEIBULL.DIST(BV$2,$M30,$L30,FALSE))/_xlfn.WEIBULL.DIST(BV$2,$M30,$L30,FALSE))*$U30*((1+Inputs!$D$7)^BV$2))),IF($N30=Lists!$K$3,IF($L30&lt;1,((($T30*(1-$F30)+$S30*(1-$G30))/$L30)*((1+Inputs!$D$7)^BV$2)),((INT(BV$2/$L30)-INT((BV$2-1)/$L30))*($T30*(1-$F30)+$S30*(1-$G30))*((1+Inputs!$D$7)^BV$2))),((Inputs!$D$8^((1-_xlfn.WEIBULL.DIST(BV$2,$M30,$L30,FALSE))/_xlfn.WEIBULL.DIST(BV$2,$M30,$L30,FALSE))*($T30*(1-$F30)+$S30*(1-$G30))*((1+Inputs!$D$7)^BV$2))))))))</f>
        <v>2.2952056432058332</v>
      </c>
      <c r="BW30" s="88">
        <f>MAX(AG30,($E30*IF(BW$2&gt;Inputs!$D$5,0,IF(BW$2&gt;VLOOKUP($H30,Lists!$P$3:$Q$7,2),IF($N30=Lists!$K$3,IF($L30&lt;1,(($U30/$L30)*((1+Inputs!$D$7)^BW$2)),((INT(BW$2/$L30)-INT((BW$2-1)/$L30))*$U30*((1+Inputs!$D$7)^BW$2))),(Inputs!$D$8^((1-_xlfn.WEIBULL.DIST(BW$2,$M30,$L30,FALSE))/_xlfn.WEIBULL.DIST(BW$2,$M30,$L30,FALSE))*$U30*((1+Inputs!$D$7)^BW$2))),IF($N30=Lists!$K$3,IF($L30&lt;1,((($T30*(1-$F30)+$S30*(1-$G30))/$L30)*((1+Inputs!$D$7)^BW$2)),((INT(BW$2/$L30)-INT((BW$2-1)/$L30))*($T30*(1-$F30)+$S30*(1-$G30))*((1+Inputs!$D$7)^BW$2))),((Inputs!$D$8^((1-_xlfn.WEIBULL.DIST(BW$2,$M30,$L30,FALSE))/_xlfn.WEIBULL.DIST(BW$2,$M30,$L30,FALSE))*($T30*(1-$F30)+$S30*(1-$G30))*((1+Inputs!$D$7)^BW$2))))))))</f>
        <v>2.1011351470141655</v>
      </c>
      <c r="BX30" s="88">
        <f>MAX(AH30,($E30*IF(BX$2&gt;Inputs!$D$5,0,IF(BX$2&gt;VLOOKUP($H30,Lists!$P$3:$Q$7,2),IF($N30=Lists!$K$3,IF($L30&lt;1,(($U30/$L30)*((1+Inputs!$D$7)^BX$2)),((INT(BX$2/$L30)-INT((BX$2-1)/$L30))*$U30*((1+Inputs!$D$7)^BX$2))),(Inputs!$D$8^((1-_xlfn.WEIBULL.DIST(BX$2,$M30,$L30,FALSE))/_xlfn.WEIBULL.DIST(BX$2,$M30,$L30,FALSE))*$U30*((1+Inputs!$D$7)^BX$2))),IF($N30=Lists!$K$3,IF($L30&lt;1,((($T30*(1-$F30)+$S30*(1-$G30))/$L30)*((1+Inputs!$D$7)^BX$2)),((INT(BX$2/$L30)-INT((BX$2-1)/$L30))*($T30*(1-$F30)+$S30*(1-$G30))*((1+Inputs!$D$7)^BX$2))),((Inputs!$D$8^((1-_xlfn.WEIBULL.DIST(BX$2,$M30,$L30,FALSE))/_xlfn.WEIBULL.DIST(BX$2,$M30,$L30,FALSE))*($T30*(1-$F30)+$S30*(1-$G30))*((1+Inputs!$D$7)^BX$2))))))))</f>
        <v>1.9150035362833298</v>
      </c>
      <c r="BY30" s="88">
        <f>MAX(AI30,($E30*IF(BY$2&gt;Inputs!$D$5,0,IF(BY$2&gt;VLOOKUP($H30,Lists!$P$3:$Q$7,2),IF($N30=Lists!$K$3,IF($L30&lt;1,(($U30/$L30)*((1+Inputs!$D$7)^BY$2)),((INT(BY$2/$L30)-INT((BY$2-1)/$L30))*$U30*((1+Inputs!$D$7)^BY$2))),(Inputs!$D$8^((1-_xlfn.WEIBULL.DIST(BY$2,$M30,$L30,FALSE))/_xlfn.WEIBULL.DIST(BY$2,$M30,$L30,FALSE))*$U30*((1+Inputs!$D$7)^BY$2))),IF($N30=Lists!$K$3,IF($L30&lt;1,((($T30*(1-$F30)+$S30*(1-$G30))/$L30)*((1+Inputs!$D$7)^BY$2)),((INT(BY$2/$L30)-INT((BY$2-1)/$L30))*($T30*(1-$F30)+$S30*(1-$G30))*((1+Inputs!$D$7)^BY$2))),((Inputs!$D$8^((1-_xlfn.WEIBULL.DIST(BY$2,$M30,$L30,FALSE))/_xlfn.WEIBULL.DIST(BY$2,$M30,$L30,FALSE))*($T30*(1-$F30)+$S30*(1-$G30))*((1+Inputs!$D$7)^BY$2))))))))</f>
        <v>1.7373613488189013</v>
      </c>
      <c r="BZ30" s="88">
        <f>MAX(AJ30,($E30*IF(BZ$2&gt;Inputs!$D$5,0,IF(BZ$2&gt;VLOOKUP($H30,Lists!$P$3:$Q$7,2),IF($N30=Lists!$K$3,IF($L30&lt;1,(($U30/$L30)*((1+Inputs!$D$7)^BZ$2)),((INT(BZ$2/$L30)-INT((BZ$2-1)/$L30))*$U30*((1+Inputs!$D$7)^BZ$2))),(Inputs!$D$8^((1-_xlfn.WEIBULL.DIST(BZ$2,$M30,$L30,FALSE))/_xlfn.WEIBULL.DIST(BZ$2,$M30,$L30,FALSE))*$U30*((1+Inputs!$D$7)^BZ$2))),IF($N30=Lists!$K$3,IF($L30&lt;1,((($T30*(1-$F30)+$S30*(1-$G30))/$L30)*((1+Inputs!$D$7)^BZ$2)),((INT(BZ$2/$L30)-INT((BZ$2-1)/$L30))*($T30*(1-$F30)+$S30*(1-$G30))*((1+Inputs!$D$7)^BZ$2))),((Inputs!$D$8^((1-_xlfn.WEIBULL.DIST(BZ$2,$M30,$L30,FALSE))/_xlfn.WEIBULL.DIST(BZ$2,$M30,$L30,FALSE))*($T30*(1-$F30)+$S30*(1-$G30))*((1+Inputs!$D$7)^BZ$2))))))))</f>
        <v>1.5686797670097303</v>
      </c>
      <c r="CA30" s="88">
        <f>MAX(AK30,($E30*IF(CA$2&gt;Inputs!$D$5,0,IF(CA$2&gt;VLOOKUP($H30,Lists!$P$3:$Q$7,2),IF($N30=Lists!$K$3,IF($L30&lt;1,(($U30/$L30)*((1+Inputs!$D$7)^CA$2)),((INT(CA$2/$L30)-INT((CA$2-1)/$L30))*$U30*((1+Inputs!$D$7)^CA$2))),(Inputs!$D$8^((1-_xlfn.WEIBULL.DIST(CA$2,$M30,$L30,FALSE))/_xlfn.WEIBULL.DIST(CA$2,$M30,$L30,FALSE))*$U30*((1+Inputs!$D$7)^CA$2))),IF($N30=Lists!$K$3,IF($L30&lt;1,((($T30*(1-$F30)+$S30*(1-$G30))/$L30)*((1+Inputs!$D$7)^CA$2)),((INT(CA$2/$L30)-INT((CA$2-1)/$L30))*($T30*(1-$F30)+$S30*(1-$G30))*((1+Inputs!$D$7)^CA$2))),((Inputs!$D$8^((1-_xlfn.WEIBULL.DIST(CA$2,$M30,$L30,FALSE))/_xlfn.WEIBULL.DIST(CA$2,$M30,$L30,FALSE))*($T30*(1-$F30)+$S30*(1-$G30))*((1+Inputs!$D$7)^CA$2))))))))</f>
        <v>1.409344801348174</v>
      </c>
      <c r="CB30" s="88">
        <f>MAX(AL30,($E30*IF(CB$2&gt;Inputs!$D$5,0,IF(CB$2&gt;VLOOKUP($H30,Lists!$P$3:$Q$7,2),IF($N30=Lists!$K$3,IF($L30&lt;1,(($U30/$L30)*((1+Inputs!$D$7)^CB$2)),((INT(CB$2/$L30)-INT((CB$2-1)/$L30))*$U30*((1+Inputs!$D$7)^CB$2))),(Inputs!$D$8^((1-_xlfn.WEIBULL.DIST(CB$2,$M30,$L30,FALSE))/_xlfn.WEIBULL.DIST(CB$2,$M30,$L30,FALSE))*$U30*((1+Inputs!$D$7)^CB$2))),IF($N30=Lists!$K$3,IF($L30&lt;1,((($T30*(1-$F30)+$S30*(1-$G30))/$L30)*((1+Inputs!$D$7)^CB$2)),((INT(CB$2/$L30)-INT((CB$2-1)/$L30))*($T30*(1-$F30)+$S30*(1-$G30))*((1+Inputs!$D$7)^CB$2))),((Inputs!$D$8^((1-_xlfn.WEIBULL.DIST(CB$2,$M30,$L30,FALSE))/_xlfn.WEIBULL.DIST(CB$2,$M30,$L30,FALSE))*($T30*(1-$F30)+$S30*(1-$G30))*((1+Inputs!$D$7)^CB$2))))))))</f>
        <v>1.259652766148275</v>
      </c>
      <c r="CC30" s="88">
        <f>MAX(AM30,($E30*IF(CC$2&gt;Inputs!$D$5,0,IF(CC$2&gt;VLOOKUP($H30,Lists!$P$3:$Q$7,2),IF($N30=Lists!$K$3,IF($L30&lt;1,(($U30/$L30)*((1+Inputs!$D$7)^CC$2)),((INT(CC$2/$L30)-INT((CC$2-1)/$L30))*$U30*((1+Inputs!$D$7)^CC$2))),(Inputs!$D$8^((1-_xlfn.WEIBULL.DIST(CC$2,$M30,$L30,FALSE))/_xlfn.WEIBULL.DIST(CC$2,$M30,$L30,FALSE))*$U30*((1+Inputs!$D$7)^CC$2))),IF($N30=Lists!$K$3,IF($L30&lt;1,((($T30*(1-$F30)+$S30*(1-$G30))/$L30)*((1+Inputs!$D$7)^CC$2)),((INT(CC$2/$L30)-INT((CC$2-1)/$L30))*($T30*(1-$F30)+$S30*(1-$G30))*((1+Inputs!$D$7)^CC$2))),((Inputs!$D$8^((1-_xlfn.WEIBULL.DIST(CC$2,$M30,$L30,FALSE))/_xlfn.WEIBULL.DIST(CC$2,$M30,$L30,FALSE))*($T30*(1-$F30)+$S30*(1-$G30))*((1+Inputs!$D$7)^CC$2))))))))</f>
        <v>1.119807203282202</v>
      </c>
      <c r="CD30" s="88">
        <f>MAX(AN30,($E30*IF(CD$2&gt;Inputs!$D$5,0,IF(CD$2&gt;VLOOKUP($H30,Lists!$P$3:$Q$7,2),IF($N30=Lists!$K$3,IF($L30&lt;1,(($U30/$L30)*((1+Inputs!$D$7)^CD$2)),((INT(CD$2/$L30)-INT((CD$2-1)/$L30))*$U30*((1+Inputs!$D$7)^CD$2))),(Inputs!$D$8^((1-_xlfn.WEIBULL.DIST(CD$2,$M30,$L30,FALSE))/_xlfn.WEIBULL.DIST(CD$2,$M30,$L30,FALSE))*$U30*((1+Inputs!$D$7)^CD$2))),IF($N30=Lists!$K$3,IF($L30&lt;1,((($T30*(1-$F30)+$S30*(1-$G30))/$L30)*((1+Inputs!$D$7)^CD$2)),((INT(CD$2/$L30)-INT((CD$2-1)/$L30))*($T30*(1-$F30)+$S30*(1-$G30))*((1+Inputs!$D$7)^CD$2))),((Inputs!$D$8^((1-_xlfn.WEIBULL.DIST(CD$2,$M30,$L30,FALSE))/_xlfn.WEIBULL.DIST(CD$2,$M30,$L30,FALSE))*($T30*(1-$F30)+$S30*(1-$G30))*((1+Inputs!$D$7)^CD$2))))))))</f>
        <v>0.98991737954054615</v>
      </c>
      <c r="CE30" s="88">
        <f>MAX(AO30,($E30*IF(CE$2&gt;Inputs!$D$5,0,IF(CE$2&gt;VLOOKUP($H30,Lists!$P$3:$Q$7,2),IF($N30=Lists!$K$3,IF($L30&lt;1,(($U30/$L30)*((1+Inputs!$D$7)^CE$2)),((INT(CE$2/$L30)-INT((CE$2-1)/$L30))*$U30*((1+Inputs!$D$7)^CE$2))),(Inputs!$D$8^((1-_xlfn.WEIBULL.DIST(CE$2,$M30,$L30,FALSE))/_xlfn.WEIBULL.DIST(CE$2,$M30,$L30,FALSE))*$U30*((1+Inputs!$D$7)^CE$2))),IF($N30=Lists!$K$3,IF($L30&lt;1,((($T30*(1-$F30)+$S30*(1-$G30))/$L30)*((1+Inputs!$D$7)^CE$2)),((INT(CE$2/$L30)-INT((CE$2-1)/$L30))*($T30*(1-$F30)+$S30*(1-$G30))*((1+Inputs!$D$7)^CE$2))),((Inputs!$D$8^((1-_xlfn.WEIBULL.DIST(CE$2,$M30,$L30,FALSE))/_xlfn.WEIBULL.DIST(CE$2,$M30,$L30,FALSE))*($T30*(1-$F30)+$S30*(1-$G30))*((1+Inputs!$D$7)^CE$2))))))))</f>
        <v>0.86999844611067689</v>
      </c>
      <c r="CF30" s="88">
        <f>MAX(AP30,($E30*IF(CF$2&gt;Inputs!$D$5,0,IF(CF$2&gt;VLOOKUP($H30,Lists!$P$3:$Q$7,2),IF($N30=Lists!$K$3,IF($L30&lt;1,(($U30/$L30)*((1+Inputs!$D$7)^CF$2)),((INT(CF$2/$L30)-INT((CF$2-1)/$L30))*$U30*((1+Inputs!$D$7)^CF$2))),(Inputs!$D$8^((1-_xlfn.WEIBULL.DIST(CF$2,$M30,$L30,FALSE))/_xlfn.WEIBULL.DIST(CF$2,$M30,$L30,FALSE))*$U30*((1+Inputs!$D$7)^CF$2))),IF($N30=Lists!$K$3,IF($L30&lt;1,((($T30*(1-$F30)+$S30*(1-$G30))/$L30)*((1+Inputs!$D$7)^CF$2)),((INT(CF$2/$L30)-INT((CF$2-1)/$L30))*($T30*(1-$F30)+$S30*(1-$G30))*((1+Inputs!$D$7)^CF$2))),((Inputs!$D$8^((1-_xlfn.WEIBULL.DIST(CF$2,$M30,$L30,FALSE))/_xlfn.WEIBULL.DIST(CF$2,$M30,$L30,FALSE))*($T30*(1-$F30)+$S30*(1-$G30))*((1+Inputs!$D$7)^CF$2))))))))</f>
        <v>0.76840470225988211</v>
      </c>
      <c r="CG30" s="88">
        <f>MAX(AQ30,($E30*IF(CG$2&gt;Inputs!$D$5,0,IF(CG$2&gt;VLOOKUP($H30,Lists!$P$3:$Q$7,2),IF($N30=Lists!$K$3,IF($L30&lt;1,(($U30/$L30)*((1+Inputs!$D$7)^CG$2)),((INT(CG$2/$L30)-INT((CG$2-1)/$L30))*$U30*((1+Inputs!$D$7)^CG$2))),(Inputs!$D$8^((1-_xlfn.WEIBULL.DIST(CG$2,$M30,$L30,FALSE))/_xlfn.WEIBULL.DIST(CG$2,$M30,$L30,FALSE))*$U30*((1+Inputs!$D$7)^CG$2))),IF($N30=Lists!$K$3,IF($L30&lt;1,((($T30*(1-$F30)+$S30*(1-$G30))/$L30)*((1+Inputs!$D$7)^CG$2)),((INT(CG$2/$L30)-INT((CG$2-1)/$L30))*($T30*(1-$F30)+$S30*(1-$G30))*((1+Inputs!$D$7)^CG$2))),((Inputs!$D$8^((1-_xlfn.WEIBULL.DIST(CG$2,$M30,$L30,FALSE))/_xlfn.WEIBULL.DIST(CG$2,$M30,$L30,FALSE))*($T30*(1-$F30)+$S30*(1-$G30))*((1+Inputs!$D$7)^CG$2))))))))</f>
        <v>0.75304062538480565</v>
      </c>
      <c r="CH30" s="88">
        <f>MAX(AR30,($E30*IF(CH$2&gt;Inputs!$D$5,0,IF(CH$2&gt;VLOOKUP($H30,Lists!$P$3:$Q$7,2),IF($N30=Lists!$K$3,IF($L30&lt;1,(($U30/$L30)*((1+Inputs!$D$7)^CH$2)),((INT(CH$2/$L30)-INT((CH$2-1)/$L30))*$U30*((1+Inputs!$D$7)^CH$2))),(Inputs!$D$8^((1-_xlfn.WEIBULL.DIST(CH$2,$M30,$L30,FALSE))/_xlfn.WEIBULL.DIST(CH$2,$M30,$L30,FALSE))*$U30*((1+Inputs!$D$7)^CH$2))),IF($N30=Lists!$K$3,IF($L30&lt;1,((($T30*(1-$F30)+$S30*(1-$G30))/$L30)*((1+Inputs!$D$7)^CH$2)),((INT(CH$2/$L30)-INT((CH$2-1)/$L30))*($T30*(1-$F30)+$S30*(1-$G30))*((1+Inputs!$D$7)^CH$2))),((Inputs!$D$8^((1-_xlfn.WEIBULL.DIST(CH$2,$M30,$L30,FALSE))/_xlfn.WEIBULL.DIST(CH$2,$M30,$L30,FALSE))*($T30*(1-$F30)+$S30*(1-$G30))*((1+Inputs!$D$7)^CH$2))))))))</f>
        <v>0.73798374972482994</v>
      </c>
      <c r="CI30" s="88">
        <f>MAX(AS30,($E30*IF(CI$2&gt;Inputs!$D$5,0,IF(CI$2&gt;VLOOKUP($H30,Lists!$P$3:$Q$7,2),IF($N30=Lists!$K$3,IF($L30&lt;1,(($U30/$L30)*((1+Inputs!$D$7)^CI$2)),((INT(CI$2/$L30)-INT((CI$2-1)/$L30))*$U30*((1+Inputs!$D$7)^CI$2))),(Inputs!$D$8^((1-_xlfn.WEIBULL.DIST(CI$2,$M30,$L30,FALSE))/_xlfn.WEIBULL.DIST(CI$2,$M30,$L30,FALSE))*$U30*((1+Inputs!$D$7)^CI$2))),IF($N30=Lists!$K$3,IF($L30&lt;1,((($T30*(1-$F30)+$S30*(1-$G30))/$L30)*((1+Inputs!$D$7)^CI$2)),((INT(CI$2/$L30)-INT((CI$2-1)/$L30))*($T30*(1-$F30)+$S30*(1-$G30))*((1+Inputs!$D$7)^CI$2))),((Inputs!$D$8^((1-_xlfn.WEIBULL.DIST(CI$2,$M30,$L30,FALSE))/_xlfn.WEIBULL.DIST(CI$2,$M30,$L30,FALSE))*($T30*(1-$F30)+$S30*(1-$G30))*((1+Inputs!$D$7)^CI$2))))))))</f>
        <v>0.72322793286168063</v>
      </c>
      <c r="CJ30" s="88">
        <f>MAX(AT30,($E30*IF(CJ$2&gt;Inputs!$D$5,0,IF(CJ$2&gt;VLOOKUP($H30,Lists!$P$3:$Q$7,2),IF($N30=Lists!$K$3,IF($L30&lt;1,(($U30/$L30)*((1+Inputs!$D$7)^CJ$2)),((INT(CJ$2/$L30)-INT((CJ$2-1)/$L30))*$U30*((1+Inputs!$D$7)^CJ$2))),(Inputs!$D$8^((1-_xlfn.WEIBULL.DIST(CJ$2,$M30,$L30,FALSE))/_xlfn.WEIBULL.DIST(CJ$2,$M30,$L30,FALSE))*$U30*((1+Inputs!$D$7)^CJ$2))),IF($N30=Lists!$K$3,IF($L30&lt;1,((($T30*(1-$F30)+$S30*(1-$G30))/$L30)*((1+Inputs!$D$7)^CJ$2)),((INT(CJ$2/$L30)-INT((CJ$2-1)/$L30))*($T30*(1-$F30)+$S30*(1-$G30))*((1+Inputs!$D$7)^CJ$2))),((Inputs!$D$8^((1-_xlfn.WEIBULL.DIST(CJ$2,$M30,$L30,FALSE))/_xlfn.WEIBULL.DIST(CJ$2,$M30,$L30,FALSE))*($T30*(1-$F30)+$S30*(1-$G30))*((1+Inputs!$D$7)^CJ$2))))))))</f>
        <v>0.70876715519333744</v>
      </c>
      <c r="CK30" s="88">
        <f>MAX(AU30,($E30*IF(CK$2&gt;Inputs!$D$5,0,IF(CK$2&gt;VLOOKUP($H30,Lists!$P$3:$Q$7,2),IF($N30=Lists!$K$3,IF($L30&lt;1,(($U30/$L30)*((1+Inputs!$D$7)^CK$2)),((INT(CK$2/$L30)-INT((CK$2-1)/$L30))*$U30*((1+Inputs!$D$7)^CK$2))),(Inputs!$D$8^((1-_xlfn.WEIBULL.DIST(CK$2,$M30,$L30,FALSE))/_xlfn.WEIBULL.DIST(CK$2,$M30,$L30,FALSE))*$U30*((1+Inputs!$D$7)^CK$2))),IF($N30=Lists!$K$3,IF($L30&lt;1,((($T30*(1-$F30)+$S30*(1-$G30))/$L30)*((1+Inputs!$D$7)^CK$2)),((INT(CK$2/$L30)-INT((CK$2-1)/$L30))*($T30*(1-$F30)+$S30*(1-$G30))*((1+Inputs!$D$7)^CK$2))),((Inputs!$D$8^((1-_xlfn.WEIBULL.DIST(CK$2,$M30,$L30,FALSE))/_xlfn.WEIBULL.DIST(CK$2,$M30,$L30,FALSE))*($T30*(1-$F30)+$S30*(1-$G30))*((1+Inputs!$D$7)^CK$2))))))))</f>
        <v>0.69459551747835047</v>
      </c>
      <c r="CL30" s="88">
        <f>MAX(AV30,($E30*IF(CL$2&gt;Inputs!$D$5,0,IF(CL$2&gt;VLOOKUP($H30,Lists!$P$3:$Q$7,2),IF($N30=Lists!$K$3,IF($L30&lt;1,(($U30/$L30)*((1+Inputs!$D$7)^CL$2)),((INT(CL$2/$L30)-INT((CL$2-1)/$L30))*$U30*((1+Inputs!$D$7)^CL$2))),(Inputs!$D$8^((1-_xlfn.WEIBULL.DIST(CL$2,$M30,$L30,FALSE))/_xlfn.WEIBULL.DIST(CL$2,$M30,$L30,FALSE))*$U30*((1+Inputs!$D$7)^CL$2))),IF($N30=Lists!$K$3,IF($L30&lt;1,((($T30*(1-$F30)+$S30*(1-$G30))/$L30)*((1+Inputs!$D$7)^CL$2)),((INT(CL$2/$L30)-INT((CL$2-1)/$L30))*($T30*(1-$F30)+$S30*(1-$G30))*((1+Inputs!$D$7)^CL$2))),((Inputs!$D$8^((1-_xlfn.WEIBULL.DIST(CL$2,$M30,$L30,FALSE))/_xlfn.WEIBULL.DIST(CL$2,$M30,$L30,FALSE))*($T30*(1-$F30)+$S30*(1-$G30))*((1+Inputs!$D$7)^CL$2))))))))</f>
        <v>0.68070723842925673</v>
      </c>
      <c r="CM30" s="88">
        <f>MAX(AW30,($E30*IF(CM$2&gt;Inputs!$D$5,0,IF(CM$2&gt;VLOOKUP($H30,Lists!$P$3:$Q$7,2),IF($N30=Lists!$K$3,IF($L30&lt;1,(($U30/$L30)*((1+Inputs!$D$7)^CM$2)),((INT(CM$2/$L30)-INT((CM$2-1)/$L30))*$U30*((1+Inputs!$D$7)^CM$2))),(Inputs!$D$8^((1-_xlfn.WEIBULL.DIST(CM$2,$M30,$L30,FALSE))/_xlfn.WEIBULL.DIST(CM$2,$M30,$L30,FALSE))*$U30*((1+Inputs!$D$7)^CM$2))),IF($N30=Lists!$K$3,IF($L30&lt;1,((($T30*(1-$F30)+$S30*(1-$G30))/$L30)*((1+Inputs!$D$7)^CM$2)),((INT(CM$2/$L30)-INT((CM$2-1)/$L30))*($T30*(1-$F30)+$S30*(1-$G30))*((1+Inputs!$D$7)^CM$2))),((Inputs!$D$8^((1-_xlfn.WEIBULL.DIST(CM$2,$M30,$L30,FALSE))/_xlfn.WEIBULL.DIST(CM$2,$M30,$L30,FALSE))*($T30*(1-$F30)+$S30*(1-$G30))*((1+Inputs!$D$7)^CM$2))))))))</f>
        <v>0.66709665235411963</v>
      </c>
      <c r="CN30" s="88">
        <f>MAX(AX30,($E30*IF(CN$2&gt;Inputs!$D$5,0,IF(CN$2&gt;VLOOKUP($H30,Lists!$P$3:$Q$7,2),IF($N30=Lists!$K$3,IF($L30&lt;1,(($U30/$L30)*((1+Inputs!$D$7)^CN$2)),((INT(CN$2/$L30)-INT((CN$2-1)/$L30))*$U30*((1+Inputs!$D$7)^CN$2))),(Inputs!$D$8^((1-_xlfn.WEIBULL.DIST(CN$2,$M30,$L30,FALSE))/_xlfn.WEIBULL.DIST(CN$2,$M30,$L30,FALSE))*$U30*((1+Inputs!$D$7)^CN$2))),IF($N30=Lists!$K$3,IF($L30&lt;1,((($T30*(1-$F30)+$S30*(1-$G30))/$L30)*((1+Inputs!$D$7)^CN$2)),((INT(CN$2/$L30)-INT((CN$2-1)/$L30))*($T30*(1-$F30)+$S30*(1-$G30))*((1+Inputs!$D$7)^CN$2))),((Inputs!$D$8^((1-_xlfn.WEIBULL.DIST(CN$2,$M30,$L30,FALSE))/_xlfn.WEIBULL.DIST(CN$2,$M30,$L30,FALSE))*($T30*(1-$F30)+$S30*(1-$G30))*((1+Inputs!$D$7)^CN$2))))))))</f>
        <v>0.65375820684522123</v>
      </c>
      <c r="CO30" s="88">
        <f>MAX(AY30,($E30*IF(CO$2&gt;Inputs!$D$5,0,IF(CO$2&gt;VLOOKUP($H30,Lists!$P$3:$Q$7,2),IF($N30=Lists!$K$3,IF($L30&lt;1,(($U30/$L30)*((1+Inputs!$D$7)^CO$2)),((INT(CO$2/$L30)-INT((CO$2-1)/$L30))*$U30*((1+Inputs!$D$7)^CO$2))),(Inputs!$D$8^((1-_xlfn.WEIBULL.DIST(CO$2,$M30,$L30,FALSE))/_xlfn.WEIBULL.DIST(CO$2,$M30,$L30,FALSE))*$U30*((1+Inputs!$D$7)^CO$2))),IF($N30=Lists!$K$3,IF($L30&lt;1,((($T30*(1-$F30)+$S30*(1-$G30))/$L30)*((1+Inputs!$D$7)^CO$2)),((INT(CO$2/$L30)-INT((CO$2-1)/$L30))*($T30*(1-$F30)+$S30*(1-$G30))*((1+Inputs!$D$7)^CO$2))),((Inputs!$D$8^((1-_xlfn.WEIBULL.DIST(CO$2,$M30,$L30,FALSE))/_xlfn.WEIBULL.DIST(CO$2,$M30,$L30,FALSE))*($T30*(1-$F30)+$S30*(1-$G30))*((1+Inputs!$D$7)^CO$2))))))))</f>
        <v>0.6406864605139696</v>
      </c>
      <c r="CP30" s="88">
        <f>MAX(AZ30,($E30*IF(CP$2&gt;Inputs!$D$5,0,IF(CP$2&gt;VLOOKUP($H30,Lists!$P$3:$Q$7,2),IF($N30=Lists!$K$3,IF($L30&lt;1,(($U30/$L30)*((1+Inputs!$D$7)^CP$2)),((INT(CP$2/$L30)-INT((CP$2-1)/$L30))*$U30*((1+Inputs!$D$7)^CP$2))),(Inputs!$D$8^((1-_xlfn.WEIBULL.DIST(CP$2,$M30,$L30,FALSE))/_xlfn.WEIBULL.DIST(CP$2,$M30,$L30,FALSE))*$U30*((1+Inputs!$D$7)^CP$2))),IF($N30=Lists!$K$3,IF($L30&lt;1,((($T30*(1-$F30)+$S30*(1-$G30))/$L30)*((1+Inputs!$D$7)^CP$2)),((INT(CP$2/$L30)-INT((CP$2-1)/$L30))*($T30*(1-$F30)+$S30*(1-$G30))*((1+Inputs!$D$7)^CP$2))),((Inputs!$D$8^((1-_xlfn.WEIBULL.DIST(CP$2,$M30,$L30,FALSE))/_xlfn.WEIBULL.DIST(CP$2,$M30,$L30,FALSE))*($T30*(1-$F30)+$S30*(1-$G30))*((1+Inputs!$D$7)^CP$2))))))))</f>
        <v>0</v>
      </c>
      <c r="CQ30" s="88">
        <f>MAX(BA30,($E30*IF(CQ$2&gt;Inputs!$D$5,0,IF(CQ$2&gt;VLOOKUP($H30,Lists!$P$3:$Q$7,2),IF($N30=Lists!$K$3,IF($L30&lt;1,(($U30/$L30)*((1+Inputs!$D$7)^CQ$2)),((INT(CQ$2/$L30)-INT((CQ$2-1)/$L30))*$U30*((1+Inputs!$D$7)^CQ$2))),(Inputs!$D$8^((1-_xlfn.WEIBULL.DIST(CQ$2,$M30,$L30,FALSE))/_xlfn.WEIBULL.DIST(CQ$2,$M30,$L30,FALSE))*$U30*((1+Inputs!$D$7)^CQ$2))),IF($N30=Lists!$K$3,IF($L30&lt;1,((($T30*(1-$F30)+$S30*(1-$G30))/$L30)*((1+Inputs!$D$7)^CQ$2)),((INT(CQ$2/$L30)-INT((CQ$2-1)/$L30))*($T30*(1-$F30)+$S30*(1-$G30))*((1+Inputs!$D$7)^CQ$2))),((Inputs!$D$8^((1-_xlfn.WEIBULL.DIST(CQ$2,$M30,$L30,FALSE))/_xlfn.WEIBULL.DIST(CQ$2,$M30,$L30,FALSE))*($T30*(1-$F30)+$S30*(1-$G30))*((1+Inputs!$D$7)^CQ$2))))))))</f>
        <v>0</v>
      </c>
      <c r="CR30" s="88">
        <f>MAX(BB30,($E30*IF(CR$2&gt;Inputs!$D$5,0,IF(CR$2&gt;VLOOKUP($H30,Lists!$P$3:$Q$7,2),IF($N30=Lists!$K$3,IF($L30&lt;1,(($U30/$L30)*((1+Inputs!$D$7)^CR$2)),((INT(CR$2/$L30)-INT((CR$2-1)/$L30))*$U30*((1+Inputs!$D$7)^CR$2))),(Inputs!$D$8^((1-_xlfn.WEIBULL.DIST(CR$2,$M30,$L30,FALSE))/_xlfn.WEIBULL.DIST(CR$2,$M30,$L30,FALSE))*$U30*((1+Inputs!$D$7)^CR$2))),IF($N30=Lists!$K$3,IF($L30&lt;1,((($T30*(1-$F30)+$S30*(1-$G30))/$L30)*((1+Inputs!$D$7)^CR$2)),((INT(CR$2/$L30)-INT((CR$2-1)/$L30))*($T30*(1-$F30)+$S30*(1-$G30))*((1+Inputs!$D$7)^CR$2))),((Inputs!$D$8^((1-_xlfn.WEIBULL.DIST(CR$2,$M30,$L30,FALSE))/_xlfn.WEIBULL.DIST(CR$2,$M30,$L30,FALSE))*($T30*(1-$F30)+$S30*(1-$G30))*((1+Inputs!$D$7)^CR$2))))))))</f>
        <v>0</v>
      </c>
      <c r="CS30" s="88">
        <f>MAX(BC30,($E30*IF(CS$2&gt;Inputs!$D$5,0,IF(CS$2&gt;VLOOKUP($H30,Lists!$P$3:$Q$7,2),IF($N30=Lists!$K$3,IF($L30&lt;1,(($U30/$L30)*((1+Inputs!$D$7)^CS$2)),((INT(CS$2/$L30)-INT((CS$2-1)/$L30))*$U30*((1+Inputs!$D$7)^CS$2))),(Inputs!$D$8^((1-_xlfn.WEIBULL.DIST(CS$2,$M30,$L30,FALSE))/_xlfn.WEIBULL.DIST(CS$2,$M30,$L30,FALSE))*$U30*((1+Inputs!$D$7)^CS$2))),IF($N30=Lists!$K$3,IF($L30&lt;1,((($T30*(1-$F30)+$S30*(1-$G30))/$L30)*((1+Inputs!$D$7)^CS$2)),((INT(CS$2/$L30)-INT((CS$2-1)/$L30))*($T30*(1-$F30)+$S30*(1-$G30))*((1+Inputs!$D$7)^CS$2))),((Inputs!$D$8^((1-_xlfn.WEIBULL.DIST(CS$2,$M30,$L30,FALSE))/_xlfn.WEIBULL.DIST(CS$2,$M30,$L30,FALSE))*($T30*(1-$F30)+$S30*(1-$G30))*((1+Inputs!$D$7)^CS$2))))))))</f>
        <v>0</v>
      </c>
      <c r="CT30" s="88">
        <f>MAX(BD30,($E30*IF(CT$2&gt;Inputs!$D$5,0,IF(CT$2&gt;VLOOKUP($H30,Lists!$P$3:$Q$7,2),IF($N30=Lists!$K$3,IF($L30&lt;1,(($U30/$L30)*((1+Inputs!$D$7)^CT$2)),((INT(CT$2/$L30)-INT((CT$2-1)/$L30))*$U30*((1+Inputs!$D$7)^CT$2))),(Inputs!$D$8^((1-_xlfn.WEIBULL.DIST(CT$2,$M30,$L30,FALSE))/_xlfn.WEIBULL.DIST(CT$2,$M30,$L30,FALSE))*$U30*((1+Inputs!$D$7)^CT$2))),IF($N30=Lists!$K$3,IF($L30&lt;1,((($T30*(1-$F30)+$S30*(1-$G30))/$L30)*((1+Inputs!$D$7)^CT$2)),((INT(CT$2/$L30)-INT((CT$2-1)/$L30))*($T30*(1-$F30)+$S30*(1-$G30))*((1+Inputs!$D$7)^CT$2))),((Inputs!$D$8^((1-_xlfn.WEIBULL.DIST(CT$2,$M30,$L30,FALSE))/_xlfn.WEIBULL.DIST(CT$2,$M30,$L30,FALSE))*($T30*(1-$F30)+$S30*(1-$G30))*((1+Inputs!$D$7)^CT$2))))))))</f>
        <v>0</v>
      </c>
      <c r="CU30" s="88">
        <f>MAX(BE30,($E30*IF(CU$2&gt;Inputs!$D$5,0,IF(CU$2&gt;VLOOKUP($H30,Lists!$P$3:$Q$7,2),IF($N30=Lists!$K$3,IF($L30&lt;1,(($U30/$L30)*((1+Inputs!$D$7)^CU$2)),((INT(CU$2/$L30)-INT((CU$2-1)/$L30))*$U30*((1+Inputs!$D$7)^CU$2))),(Inputs!$D$8^((1-_xlfn.WEIBULL.DIST(CU$2,$M30,$L30,FALSE))/_xlfn.WEIBULL.DIST(CU$2,$M30,$L30,FALSE))*$U30*((1+Inputs!$D$7)^CU$2))),IF($N30=Lists!$K$3,IF($L30&lt;1,((($T30*(1-$F30)+$S30*(1-$G30))/$L30)*((1+Inputs!$D$7)^CU$2)),((INT(CU$2/$L30)-INT((CU$2-1)/$L30))*($T30*(1-$F30)+$S30*(1-$G30))*((1+Inputs!$D$7)^CU$2))),((Inputs!$D$8^((1-_xlfn.WEIBULL.DIST(CU$2,$M30,$L30,FALSE))/_xlfn.WEIBULL.DIST(CU$2,$M30,$L30,FALSE))*($T30*(1-$F30)+$S30*(1-$G30))*((1+Inputs!$D$7)^CU$2))))))))</f>
        <v>0</v>
      </c>
      <c r="CV30" s="88">
        <f>MAX(BF30,($E30*IF(CV$2&gt;Inputs!$D$5,0,IF(CV$2&gt;VLOOKUP($H30,Lists!$P$3:$Q$7,2),IF($N30=Lists!$K$3,IF($L30&lt;1,(($U30/$L30)*((1+Inputs!$D$7)^CV$2)),((INT(CV$2/$L30)-INT((CV$2-1)/$L30))*$U30*((1+Inputs!$D$7)^CV$2))),(Inputs!$D$8^((1-_xlfn.WEIBULL.DIST(CV$2,$M30,$L30,FALSE))/_xlfn.WEIBULL.DIST(CV$2,$M30,$L30,FALSE))*$U30*((1+Inputs!$D$7)^CV$2))),IF($N30=Lists!$K$3,IF($L30&lt;1,((($T30*(1-$F30)+$S30*(1-$G30))/$L30)*((1+Inputs!$D$7)^CV$2)),((INT(CV$2/$L30)-INT((CV$2-1)/$L30))*($T30*(1-$F30)+$S30*(1-$G30))*((1+Inputs!$D$7)^CV$2))),((Inputs!$D$8^((1-_xlfn.WEIBULL.DIST(CV$2,$M30,$L30,FALSE))/_xlfn.WEIBULL.DIST(CV$2,$M30,$L30,FALSE))*($T30*(1-$F30)+$S30*(1-$G30))*((1+Inputs!$D$7)^CV$2))))))))</f>
        <v>0</v>
      </c>
      <c r="CW30" s="88">
        <f>MAX(BG30,($E30*IF(CW$2&gt;Inputs!$D$5,0,IF(CW$2&gt;VLOOKUP($H30,Lists!$P$3:$Q$7,2),IF($N30=Lists!$K$3,IF($L30&lt;1,(($U30/$L30)*((1+Inputs!$D$7)^CW$2)),((INT(CW$2/$L30)-INT((CW$2-1)/$L30))*$U30*((1+Inputs!$D$7)^CW$2))),(Inputs!$D$8^((1-_xlfn.WEIBULL.DIST(CW$2,$M30,$L30,FALSE))/_xlfn.WEIBULL.DIST(CW$2,$M30,$L30,FALSE))*$U30*((1+Inputs!$D$7)^CW$2))),IF($N30=Lists!$K$3,IF($L30&lt;1,((($T30*(1-$F30)+$S30*(1-$G30))/$L30)*((1+Inputs!$D$7)^CW$2)),((INT(CW$2/$L30)-INT((CW$2-1)/$L30))*($T30*(1-$F30)+$S30*(1-$G30))*((1+Inputs!$D$7)^CW$2))),((Inputs!$D$8^((1-_xlfn.WEIBULL.DIST(CW$2,$M30,$L30,FALSE))/_xlfn.WEIBULL.DIST(CW$2,$M30,$L30,FALSE))*($T30*(1-$F30)+$S30*(1-$G30))*((1+Inputs!$D$7)^CW$2))))))))</f>
        <v>0</v>
      </c>
      <c r="CX30" s="88">
        <f>MAX(BH30,($E30*IF(CX$2&gt;Inputs!$D$5,0,IF(CX$2&gt;VLOOKUP($H30,Lists!$P$3:$Q$7,2),IF($N30=Lists!$K$3,IF($L30&lt;1,(($U30/$L30)*((1+Inputs!$D$7)^CX$2)),((INT(CX$2/$L30)-INT((CX$2-1)/$L30))*$U30*((1+Inputs!$D$7)^CX$2))),(Inputs!$D$8^((1-_xlfn.WEIBULL.DIST(CX$2,$M30,$L30,FALSE))/_xlfn.WEIBULL.DIST(CX$2,$M30,$L30,FALSE))*$U30*((1+Inputs!$D$7)^CX$2))),IF($N30=Lists!$K$3,IF($L30&lt;1,((($T30*(1-$F30)+$S30*(1-$G30))/$L30)*((1+Inputs!$D$7)^CX$2)),((INT(CX$2/$L30)-INT((CX$2-1)/$L30))*($T30*(1-$F30)+$S30*(1-$G30))*((1+Inputs!$D$7)^CX$2))),((Inputs!$D$8^((1-_xlfn.WEIBULL.DIST(CX$2,$M30,$L30,FALSE))/_xlfn.WEIBULL.DIST(CX$2,$M30,$L30,FALSE))*($T30*(1-$F30)+$S30*(1-$G30))*((1+Inputs!$D$7)^CX$2))))))))</f>
        <v>0</v>
      </c>
      <c r="CY30" s="88">
        <f>MAX(BI30,($E30*IF(CY$2&gt;Inputs!$D$5,0,IF(CY$2&gt;VLOOKUP($H30,Lists!$P$3:$Q$7,2),IF($N30=Lists!$K$3,IF($L30&lt;1,(($U30/$L30)*((1+Inputs!$D$7)^CY$2)),((INT(CY$2/$L30)-INT((CY$2-1)/$L30))*$U30*((1+Inputs!$D$7)^CY$2))),(Inputs!$D$8^((1-_xlfn.WEIBULL.DIST(CY$2,$M30,$L30,FALSE))/_xlfn.WEIBULL.DIST(CY$2,$M30,$L30,FALSE))*$U30*((1+Inputs!$D$7)^CY$2))),IF($N30=Lists!$K$3,IF($L30&lt;1,((($T30*(1-$F30)+$S30*(1-$G30))/$L30)*((1+Inputs!$D$7)^CY$2)),((INT(CY$2/$L30)-INT((CY$2-1)/$L30))*($T30*(1-$F30)+$S30*(1-$G30))*((1+Inputs!$D$7)^CY$2))),((Inputs!$D$8^((1-_xlfn.WEIBULL.DIST(CY$2,$M30,$L30,FALSE))/_xlfn.WEIBULL.DIST(CY$2,$M30,$L30,FALSE))*($T30*(1-$F30)+$S30*(1-$G30))*((1+Inputs!$D$7)^CY$2))))))))</f>
        <v>0</v>
      </c>
      <c r="CZ30" s="88">
        <f>MAX(BJ30,($E30*IF(CZ$2&gt;Inputs!$D$5,0,IF(CZ$2&gt;VLOOKUP($H30,Lists!$P$3:$Q$7,2),IF($N30=Lists!$K$3,IF($L30&lt;1,(($U30/$L30)*((1+Inputs!$D$7)^CZ$2)),((INT(CZ$2/$L30)-INT((CZ$2-1)/$L30))*$U30*((1+Inputs!$D$7)^CZ$2))),(Inputs!$D$8^((1-_xlfn.WEIBULL.DIST(CZ$2,$M30,$L30,FALSE))/_xlfn.WEIBULL.DIST(CZ$2,$M30,$L30,FALSE))*$U30*((1+Inputs!$D$7)^CZ$2))),IF($N30=Lists!$K$3,IF($L30&lt;1,((($T30*(1-$F30)+$S30*(1-$G30))/$L30)*((1+Inputs!$D$7)^CZ$2)),((INT(CZ$2/$L30)-INT((CZ$2-1)/$L30))*($T30*(1-$F30)+$S30*(1-$G30))*((1+Inputs!$D$7)^CZ$2))),((Inputs!$D$8^((1-_xlfn.WEIBULL.DIST(CZ$2,$M30,$L30,FALSE))/_xlfn.WEIBULL.DIST(CZ$2,$M30,$L30,FALSE))*($T30*(1-$F30)+$S30*(1-$G30))*((1+Inputs!$D$7)^CZ$2))))))))</f>
        <v>0</v>
      </c>
      <c r="DA30" s="88">
        <f>MAX(BK30,($E30*IF(DA$2&gt;Inputs!$D$5,0,IF(DA$2&gt;VLOOKUP($H30,Lists!$P$3:$Q$7,2),IF($N30=Lists!$K$3,IF($L30&lt;1,(($U30/$L30)*((1+Inputs!$D$7)^DA$2)),((INT(DA$2/$L30)-INT((DA$2-1)/$L30))*$U30*((1+Inputs!$D$7)^DA$2))),(Inputs!$D$8^((1-_xlfn.WEIBULL.DIST(DA$2,$M30,$L30,FALSE))/_xlfn.WEIBULL.DIST(DA$2,$M30,$L30,FALSE))*$U30*((1+Inputs!$D$7)^DA$2))),IF($N30=Lists!$K$3,IF($L30&lt;1,((($T30*(1-$F30)+$S30*(1-$G30))/$L30)*((1+Inputs!$D$7)^DA$2)),((INT(DA$2/$L30)-INT((DA$2-1)/$L30))*($T30*(1-$F30)+$S30*(1-$G30))*((1+Inputs!$D$7)^DA$2))),((Inputs!$D$8^((1-_xlfn.WEIBULL.DIST(DA$2,$M30,$L30,FALSE))/_xlfn.WEIBULL.DIST(DA$2,$M30,$L30,FALSE))*($T30*(1-$F30)+$S30*(1-$G30))*((1+Inputs!$D$7)^DA$2))))))))</f>
        <v>0</v>
      </c>
      <c r="DB30" s="88">
        <f>MAX(BL30,($E30*IF(DB$2&gt;Inputs!$D$5,0,IF(DB$2&gt;VLOOKUP($H30,Lists!$P$3:$Q$7,2),IF($N30=Lists!$K$3,IF($L30&lt;1,(($U30/$L30)*((1+Inputs!$D$7)^DB$2)),((INT(DB$2/$L30)-INT((DB$2-1)/$L30))*$U30*((1+Inputs!$D$7)^DB$2))),(Inputs!$D$8^((1-_xlfn.WEIBULL.DIST(DB$2,$M30,$L30,FALSE))/_xlfn.WEIBULL.DIST(DB$2,$M30,$L30,FALSE))*$U30*((1+Inputs!$D$7)^DB$2))),IF($N30=Lists!$K$3,IF($L30&lt;1,((($T30*(1-$F30)+$S30*(1-$G30))/$L30)*((1+Inputs!$D$7)^DB$2)),((INT(DB$2/$L30)-INT((DB$2-1)/$L30))*($T30*(1-$F30)+$S30*(1-$G30))*((1+Inputs!$D$7)^DB$2))),((Inputs!$D$8^((1-_xlfn.WEIBULL.DIST(DB$2,$M30,$L30,FALSE))/_xlfn.WEIBULL.DIST(DB$2,$M30,$L30,FALSE))*($T30*(1-$F30)+$S30*(1-$G30))*((1+Inputs!$D$7)^DB$2))))))))</f>
        <v>0</v>
      </c>
      <c r="DC30" s="88">
        <f>MAX(BM30,($E30*IF(DC$2&gt;Inputs!$D$5,0,IF(DC$2&gt;VLOOKUP($H30,Lists!$P$3:$Q$7,2),IF($N30=Lists!$K$3,IF($L30&lt;1,(($U30/$L30)*((1+Inputs!$D$7)^DC$2)),((INT(DC$2/$L30)-INT((DC$2-1)/$L30))*$U30*((1+Inputs!$D$7)^DC$2))),(Inputs!$D$8^((1-_xlfn.WEIBULL.DIST(DC$2,$M30,$L30,FALSE))/_xlfn.WEIBULL.DIST(DC$2,$M30,$L30,FALSE))*$U30*((1+Inputs!$D$7)^DC$2))),IF($N30=Lists!$K$3,IF($L30&lt;1,((($T30*(1-$F30)+$S30*(1-$G30))/$L30)*((1+Inputs!$D$7)^DC$2)),((INT(DC$2/$L30)-INT((DC$2-1)/$L30))*($T30*(1-$F30)+$S30*(1-$G30))*((1+Inputs!$D$7)^DC$2))),((Inputs!$D$8^((1-_xlfn.WEIBULL.DIST(DC$2,$M30,$L30,FALSE))/_xlfn.WEIBULL.DIST(DC$2,$M30,$L30,FALSE))*($T30*(1-$F30)+$S30*(1-$G30))*((1+Inputs!$D$7)^DC$2))))))))</f>
        <v>0</v>
      </c>
      <c r="DD30" s="88">
        <f>MAX(BN30,($E30*IF(DD$2&gt;Inputs!$D$5,0,IF(DD$2&gt;VLOOKUP($H30,Lists!$P$3:$Q$7,2),IF($N30=Lists!$K$3,IF($L30&lt;1,(($U30/$L30)*((1+Inputs!$D$7)^DD$2)),((INT(DD$2/$L30)-INT((DD$2-1)/$L30))*$U30*((1+Inputs!$D$7)^DD$2))),(Inputs!$D$8^((1-_xlfn.WEIBULL.DIST(DD$2,$M30,$L30,FALSE))/_xlfn.WEIBULL.DIST(DD$2,$M30,$L30,FALSE))*$U30*((1+Inputs!$D$7)^DD$2))),IF($N30=Lists!$K$3,IF($L30&lt;1,((($T30*(1-$F30)+$S30*(1-$G30))/$L30)*((1+Inputs!$D$7)^DD$2)),((INT(DD$2/$L30)-INT((DD$2-1)/$L30))*($T30*(1-$F30)+$S30*(1-$G30))*((1+Inputs!$D$7)^DD$2))),((Inputs!$D$8^((1-_xlfn.WEIBULL.DIST(DD$2,$M30,$L30,FALSE))/_xlfn.WEIBULL.DIST(DD$2,$M30,$L30,FALSE))*($T30*(1-$F30)+$S30*(1-$G30))*((1+Inputs!$D$7)^DD$2))))))))</f>
        <v>0</v>
      </c>
    </row>
    <row r="31" spans="1:108" s="1" customFormat="1" ht="16">
      <c r="A31" s="57" t="s">
        <v>183</v>
      </c>
      <c r="B31" s="13" t="s">
        <v>130</v>
      </c>
      <c r="C31" s="13" t="s">
        <v>474</v>
      </c>
      <c r="D31" s="13" t="s">
        <v>16</v>
      </c>
      <c r="E31" s="48">
        <f>IF(Inputs!$D$30=Lists!$M$4,1,0)</f>
        <v>1</v>
      </c>
      <c r="F31" s="48">
        <v>1</v>
      </c>
      <c r="G31" s="48">
        <v>1</v>
      </c>
      <c r="H31" s="105" t="s">
        <v>349</v>
      </c>
      <c r="I31" s="14" t="s">
        <v>264</v>
      </c>
      <c r="J31" s="14" t="s">
        <v>91</v>
      </c>
      <c r="K31" s="13">
        <f>VLOOKUP(J31,'Labor Rates'!$A$1:$F$16,2)</f>
        <v>33.17307692307692</v>
      </c>
      <c r="L31" s="15">
        <v>20</v>
      </c>
      <c r="M31" s="15">
        <v>1</v>
      </c>
      <c r="N31" s="16" t="s">
        <v>226</v>
      </c>
      <c r="O31" s="61">
        <f>Inputs!$D$32</f>
        <v>10</v>
      </c>
      <c r="P31" s="15">
        <v>1</v>
      </c>
      <c r="Q31" s="15">
        <f t="shared" si="0"/>
        <v>0.5</v>
      </c>
      <c r="R31" s="4">
        <v>0</v>
      </c>
      <c r="S31" s="53">
        <f t="shared" si="1"/>
        <v>331.73076923076917</v>
      </c>
      <c r="T31" s="53">
        <f t="shared" si="2"/>
        <v>0</v>
      </c>
      <c r="U31" s="54">
        <f t="shared" si="3"/>
        <v>331.73076923076917</v>
      </c>
      <c r="V31" s="65"/>
      <c r="W31" s="58"/>
      <c r="X31" s="64">
        <f t="shared" si="4"/>
        <v>11.458912651880377</v>
      </c>
      <c r="Y31" s="64">
        <f>NPV(Inputs!$D$6,AA31:BN31)</f>
        <v>132.32811952015123</v>
      </c>
      <c r="Z31" s="67">
        <f t="shared" si="5"/>
        <v>6.2412401518176466E-5</v>
      </c>
      <c r="AA31" s="88">
        <f>$E31*IF(AA$2&gt;Inputs!$D$5,0,IF(AA$2&gt;VLOOKUP($H31,Lists!$P$3:$Q$7,2),IF($N31=Lists!$K$3,IF($L31&lt;1,(($U31/$L31)*((1+Inputs!$D$7)^AA$2)),((INT(AA$2/$L31)-INT((AA$2-1)/$L31))*$U31*((1+Inputs!$D$7)^AA$2))),(_xlfn.WEIBULL.DIST(AA$2,$M31,$L31,FALSE)*$U31*((1+Inputs!$D$7)^AA$2))),IF($N31=Lists!$K$3,IF($L31&lt;1,((($T31*(1-$F31)+$S31*(1-$G31))/$L31)*((1+Inputs!$D$7)^AA$2)),((INT(AA$2/$L31)-INT((AA$2-1)/$L31))*($T31*(1-$F31)+$S31*(1-$G31))*((1+Inputs!$D$7)^AA$2))),((_xlfn.WEIBULL.DIST(AA$2,$M31,$L31,FALSE)*($T31*(1-$F31)+$S31*(1-$G31))*((1+Inputs!$D$7)^AA$2))))))</f>
        <v>0</v>
      </c>
      <c r="AB31" s="88">
        <f>$E31*IF(AB$2&gt;Inputs!$D$5,0,IF(AB$2&gt;VLOOKUP($H31,Lists!$P$3:$Q$7,2),IF($N31=Lists!$K$3,IF($L31&lt;1,(($U31/$L31)*((1+Inputs!$D$7)^AB$2)),((INT(AB$2/$L31)-INT((AB$2-1)/$L31))*$U31*((1+Inputs!$D$7)^AB$2))),(_xlfn.WEIBULL.DIST(AB$2,$M31,$L31,FALSE)*$U31*((1+Inputs!$D$7)^AB$2))),IF($N31=Lists!$K$3,IF($L31&lt;1,((($T31*(1-$F31)+$S31*(1-$G31))/$L31)*((1+Inputs!$D$7)^AB$2)),((INT(AB$2/$L31)-INT((AB$2-1)/$L31))*($T31*(1-$F31)+$S31*(1-$G31))*((1+Inputs!$D$7)^AB$2))),((_xlfn.WEIBULL.DIST(AB$2,$M31,$L31,FALSE)*($T31*(1-$F31)+$S31*(1-$G31))*((1+Inputs!$D$7)^AB$2))))))</f>
        <v>15.61444870937458</v>
      </c>
      <c r="AC31" s="88">
        <f>$E31*IF(AC$2&gt;Inputs!$D$5,0,IF(AC$2&gt;VLOOKUP($H31,Lists!$P$3:$Q$7,2),IF($N31=Lists!$K$3,IF($L31&lt;1,(($U31/$L31)*((1+Inputs!$D$7)^AC$2)),((INT(AC$2/$L31)-INT((AC$2-1)/$L31))*$U31*((1+Inputs!$D$7)^AC$2))),(_xlfn.WEIBULL.DIST(AC$2,$M31,$L31,FALSE)*$U31*((1+Inputs!$D$7)^AC$2))),IF($N31=Lists!$K$3,IF($L31&lt;1,((($T31*(1-$F31)+$S31*(1-$G31))/$L31)*((1+Inputs!$D$7)^AC$2)),((INT(AC$2/$L31)-INT((AC$2-1)/$L31))*($T31*(1-$F31)+$S31*(1-$G31))*((1+Inputs!$D$7)^AC$2))),((_xlfn.WEIBULL.DIST(AC$2,$M31,$L31,FALSE)*($T31*(1-$F31)+$S31*(1-$G31))*((1+Inputs!$D$7)^AC$2))))))</f>
        <v>15.149981520908584</v>
      </c>
      <c r="AD31" s="88">
        <f>$E31*IF(AD$2&gt;Inputs!$D$5,0,IF(AD$2&gt;VLOOKUP($H31,Lists!$P$3:$Q$7,2),IF($N31=Lists!$K$3,IF($L31&lt;1,(($U31/$L31)*((1+Inputs!$D$7)^AD$2)),((INT(AD$2/$L31)-INT((AD$2-1)/$L31))*$U31*((1+Inputs!$D$7)^AD$2))),(_xlfn.WEIBULL.DIST(AD$2,$M31,$L31,FALSE)*$U31*((1+Inputs!$D$7)^AD$2))),IF($N31=Lists!$K$3,IF($L31&lt;1,((($T31*(1-$F31)+$S31*(1-$G31))/$L31)*((1+Inputs!$D$7)^AD$2)),((INT(AD$2/$L31)-INT((AD$2-1)/$L31))*($T31*(1-$F31)+$S31*(1-$G31))*((1+Inputs!$D$7)^AD$2))),((_xlfn.WEIBULL.DIST(AD$2,$M31,$L31,FALSE)*($T31*(1-$F31)+$S31*(1-$G31))*((1+Inputs!$D$7)^AD$2))))))</f>
        <v>14.69933036739693</v>
      </c>
      <c r="AE31" s="88">
        <f>$E31*IF(AE$2&gt;Inputs!$D$5,0,IF(AE$2&gt;VLOOKUP($H31,Lists!$P$3:$Q$7,2),IF($N31=Lists!$K$3,IF($L31&lt;1,(($U31/$L31)*((1+Inputs!$D$7)^AE$2)),((INT(AE$2/$L31)-INT((AE$2-1)/$L31))*$U31*((1+Inputs!$D$7)^AE$2))),(_xlfn.WEIBULL.DIST(AE$2,$M31,$L31,FALSE)*$U31*((1+Inputs!$D$7)^AE$2))),IF($N31=Lists!$K$3,IF($L31&lt;1,((($T31*(1-$F31)+$S31*(1-$G31))/$L31)*((1+Inputs!$D$7)^AE$2)),((INT(AE$2/$L31)-INT((AE$2-1)/$L31))*($T31*(1-$F31)+$S31*(1-$G31))*((1+Inputs!$D$7)^AE$2))),((_xlfn.WEIBULL.DIST(AE$2,$M31,$L31,FALSE)*($T31*(1-$F31)+$S31*(1-$G31))*((1+Inputs!$D$7)^AE$2))))))</f>
        <v>14.262084277243348</v>
      </c>
      <c r="AF31" s="88">
        <f>$E31*IF(AF$2&gt;Inputs!$D$5,0,IF(AF$2&gt;VLOOKUP($H31,Lists!$P$3:$Q$7,2),IF($N31=Lists!$K$3,IF($L31&lt;1,(($U31/$L31)*((1+Inputs!$D$7)^AF$2)),((INT(AF$2/$L31)-INT((AF$2-1)/$L31))*$U31*((1+Inputs!$D$7)^AF$2))),(_xlfn.WEIBULL.DIST(AF$2,$M31,$L31,FALSE)*$U31*((1+Inputs!$D$7)^AF$2))),IF($N31=Lists!$K$3,IF($L31&lt;1,((($T31*(1-$F31)+$S31*(1-$G31))/$L31)*((1+Inputs!$D$7)^AF$2)),((INT(AF$2/$L31)-INT((AF$2-1)/$L31))*($T31*(1-$F31)+$S31*(1-$G31))*((1+Inputs!$D$7)^AF$2))),((_xlfn.WEIBULL.DIST(AF$2,$M31,$L31,FALSE)*($T31*(1-$F31)+$S31*(1-$G31))*((1+Inputs!$D$7)^AF$2))))))</f>
        <v>13.837844503607332</v>
      </c>
      <c r="AG31" s="88">
        <f>$E31*IF(AG$2&gt;Inputs!$D$5,0,IF(AG$2&gt;VLOOKUP($H31,Lists!$P$3:$Q$7,2),IF($N31=Lists!$K$3,IF($L31&lt;1,(($U31/$L31)*((1+Inputs!$D$7)^AG$2)),((INT(AG$2/$L31)-INT((AG$2-1)/$L31))*$U31*((1+Inputs!$D$7)^AG$2))),(_xlfn.WEIBULL.DIST(AG$2,$M31,$L31,FALSE)*$U31*((1+Inputs!$D$7)^AG$2))),IF($N31=Lists!$K$3,IF($L31&lt;1,((($T31*(1-$F31)+$S31*(1-$G31))/$L31)*((1+Inputs!$D$7)^AG$2)),((INT(AG$2/$L31)-INT((AG$2-1)/$L31))*($T31*(1-$F31)+$S31*(1-$G31))*((1+Inputs!$D$7)^AG$2))),((_xlfn.WEIBULL.DIST(AG$2,$M31,$L31,FALSE)*($T31*(1-$F31)+$S31*(1-$G31))*((1+Inputs!$D$7)^AG$2))))))</f>
        <v>13.426224160766701</v>
      </c>
      <c r="AH31" s="88">
        <f>$E31*IF(AH$2&gt;Inputs!$D$5,0,IF(AH$2&gt;VLOOKUP($H31,Lists!$P$3:$Q$7,2),IF($N31=Lists!$K$3,IF($L31&lt;1,(($U31/$L31)*((1+Inputs!$D$7)^AH$2)),((INT(AH$2/$L31)-INT((AH$2-1)/$L31))*$U31*((1+Inputs!$D$7)^AH$2))),(_xlfn.WEIBULL.DIST(AH$2,$M31,$L31,FALSE)*$U31*((1+Inputs!$D$7)^AH$2))),IF($N31=Lists!$K$3,IF($L31&lt;1,((($T31*(1-$F31)+$S31*(1-$G31))/$L31)*((1+Inputs!$D$7)^AH$2)),((INT(AH$2/$L31)-INT((AH$2-1)/$L31))*($T31*(1-$F31)+$S31*(1-$G31))*((1+Inputs!$D$7)^AH$2))),((_xlfn.WEIBULL.DIST(AH$2,$M31,$L31,FALSE)*($T31*(1-$F31)+$S31*(1-$G31))*((1+Inputs!$D$7)^AH$2))))))</f>
        <v>13.026847871296967</v>
      </c>
      <c r="AI31" s="88">
        <f>$E31*IF(AI$2&gt;Inputs!$D$5,0,IF(AI$2&gt;VLOOKUP($H31,Lists!$P$3:$Q$7,2),IF($N31=Lists!$K$3,IF($L31&lt;1,(($U31/$L31)*((1+Inputs!$D$7)^AI$2)),((INT(AI$2/$L31)-INT((AI$2-1)/$L31))*$U31*((1+Inputs!$D$7)^AI$2))),(_xlfn.WEIBULL.DIST(AI$2,$M31,$L31,FALSE)*$U31*((1+Inputs!$D$7)^AI$2))),IF($N31=Lists!$K$3,IF($L31&lt;1,((($T31*(1-$F31)+$S31*(1-$G31))/$L31)*((1+Inputs!$D$7)^AI$2)),((INT(AI$2/$L31)-INT((AI$2-1)/$L31))*($T31*(1-$F31)+$S31*(1-$G31))*((1+Inputs!$D$7)^AI$2))),((_xlfn.WEIBULL.DIST(AI$2,$M31,$L31,FALSE)*($T31*(1-$F31)+$S31*(1-$G31))*((1+Inputs!$D$7)^AI$2))))))</f>
        <v>12.639351423745609</v>
      </c>
      <c r="AJ31" s="88">
        <f>$E31*IF(AJ$2&gt;Inputs!$D$5,0,IF(AJ$2&gt;VLOOKUP($H31,Lists!$P$3:$Q$7,2),IF($N31=Lists!$K$3,IF($L31&lt;1,(($U31/$L31)*((1+Inputs!$D$7)^AJ$2)),((INT(AJ$2/$L31)-INT((AJ$2-1)/$L31))*$U31*((1+Inputs!$D$7)^AJ$2))),(_xlfn.WEIBULL.DIST(AJ$2,$M31,$L31,FALSE)*$U31*((1+Inputs!$D$7)^AJ$2))),IF($N31=Lists!$K$3,IF($L31&lt;1,((($T31*(1-$F31)+$S31*(1-$G31))/$L31)*((1+Inputs!$D$7)^AJ$2)),((INT(AJ$2/$L31)-INT((AJ$2-1)/$L31))*($T31*(1-$F31)+$S31*(1-$G31))*((1+Inputs!$D$7)^AJ$2))),((_xlfn.WEIBULL.DIST(AJ$2,$M31,$L31,FALSE)*($T31*(1-$F31)+$S31*(1-$G31))*((1+Inputs!$D$7)^AJ$2))))))</f>
        <v>12.263381440489251</v>
      </c>
      <c r="AK31" s="88">
        <f>$E31*IF(AK$2&gt;Inputs!$D$5,0,IF(AK$2&gt;VLOOKUP($H31,Lists!$P$3:$Q$7,2),IF($N31=Lists!$K$3,IF($L31&lt;1,(($U31/$L31)*((1+Inputs!$D$7)^AK$2)),((INT(AK$2/$L31)-INT((AK$2-1)/$L31))*$U31*((1+Inputs!$D$7)^AK$2))),(_xlfn.WEIBULL.DIST(AK$2,$M31,$L31,FALSE)*$U31*((1+Inputs!$D$7)^AK$2))),IF($N31=Lists!$K$3,IF($L31&lt;1,((($T31*(1-$F31)+$S31*(1-$G31))/$L31)*((1+Inputs!$D$7)^AK$2)),((INT(AK$2/$L31)-INT((AK$2-1)/$L31))*($T31*(1-$F31)+$S31*(1-$G31))*((1+Inputs!$D$7)^AK$2))),((_xlfn.WEIBULL.DIST(AK$2,$M31,$L31,FALSE)*($T31*(1-$F31)+$S31*(1-$G31))*((1+Inputs!$D$7)^AK$2))))))</f>
        <v>11.898595055470711</v>
      </c>
      <c r="AL31" s="88">
        <f>$E31*IF(AL$2&gt;Inputs!$D$5,0,IF(AL$2&gt;VLOOKUP($H31,Lists!$P$3:$Q$7,2),IF($N31=Lists!$K$3,IF($L31&lt;1,(($U31/$L31)*((1+Inputs!$D$7)^AL$2)),((INT(AL$2/$L31)-INT((AL$2-1)/$L31))*$U31*((1+Inputs!$D$7)^AL$2))),(_xlfn.WEIBULL.DIST(AL$2,$M31,$L31,FALSE)*$U31*((1+Inputs!$D$7)^AL$2))),IF($N31=Lists!$K$3,IF($L31&lt;1,((($T31*(1-$F31)+$S31*(1-$G31))/$L31)*((1+Inputs!$D$7)^AL$2)),((INT(AL$2/$L31)-INT((AL$2-1)/$L31))*($T31*(1-$F31)+$S31*(1-$G31))*((1+Inputs!$D$7)^AL$2))),((_xlfn.WEIBULL.DIST(AL$2,$M31,$L31,FALSE)*($T31*(1-$F31)+$S31*(1-$G31))*((1+Inputs!$D$7)^AL$2))))))</f>
        <v>11.544659601522097</v>
      </c>
      <c r="AM31" s="88">
        <f>$E31*IF(AM$2&gt;Inputs!$D$5,0,IF(AM$2&gt;VLOOKUP($H31,Lists!$P$3:$Q$7,2),IF($N31=Lists!$K$3,IF($L31&lt;1,(($U31/$L31)*((1+Inputs!$D$7)^AM$2)),((INT(AM$2/$L31)-INT((AM$2-1)/$L31))*$U31*((1+Inputs!$D$7)^AM$2))),(_xlfn.WEIBULL.DIST(AM$2,$M31,$L31,FALSE)*$U31*((1+Inputs!$D$7)^AM$2))),IF($N31=Lists!$K$3,IF($L31&lt;1,((($T31*(1-$F31)+$S31*(1-$G31))/$L31)*((1+Inputs!$D$7)^AM$2)),((INT(AM$2/$L31)-INT((AM$2-1)/$L31))*($T31*(1-$F31)+$S31*(1-$G31))*((1+Inputs!$D$7)^AM$2))),((_xlfn.WEIBULL.DIST(AM$2,$M31,$L31,FALSE)*($T31*(1-$F31)+$S31*(1-$G31))*((1+Inputs!$D$7)^AM$2))))))</f>
        <v>11.201252306988758</v>
      </c>
      <c r="AN31" s="88">
        <f>$E31*IF(AN$2&gt;Inputs!$D$5,0,IF(AN$2&gt;VLOOKUP($H31,Lists!$P$3:$Q$7,2),IF($N31=Lists!$K$3,IF($L31&lt;1,(($U31/$L31)*((1+Inputs!$D$7)^AN$2)),((INT(AN$2/$L31)-INT((AN$2-1)/$L31))*$U31*((1+Inputs!$D$7)^AN$2))),(_xlfn.WEIBULL.DIST(AN$2,$M31,$L31,FALSE)*$U31*((1+Inputs!$D$7)^AN$2))),IF($N31=Lists!$K$3,IF($L31&lt;1,((($T31*(1-$F31)+$S31*(1-$G31))/$L31)*((1+Inputs!$D$7)^AN$2)),((INT(AN$2/$L31)-INT((AN$2-1)/$L31))*($T31*(1-$F31)+$S31*(1-$G31))*((1+Inputs!$D$7)^AN$2))),((_xlfn.WEIBULL.DIST(AN$2,$M31,$L31,FALSE)*($T31*(1-$F31)+$S31*(1-$G31))*((1+Inputs!$D$7)^AN$2))))))</f>
        <v>10.868060001377497</v>
      </c>
      <c r="AO31" s="88">
        <f>$E31*IF(AO$2&gt;Inputs!$D$5,0,IF(AO$2&gt;VLOOKUP($H31,Lists!$P$3:$Q$7,2),IF($N31=Lists!$K$3,IF($L31&lt;1,(($U31/$L31)*((1+Inputs!$D$7)^AO$2)),((INT(AO$2/$L31)-INT((AO$2-1)/$L31))*$U31*((1+Inputs!$D$7)^AO$2))),(_xlfn.WEIBULL.DIST(AO$2,$M31,$L31,FALSE)*$U31*((1+Inputs!$D$7)^AO$2))),IF($N31=Lists!$K$3,IF($L31&lt;1,((($T31*(1-$F31)+$S31*(1-$G31))/$L31)*((1+Inputs!$D$7)^AO$2)),((INT(AO$2/$L31)-INT((AO$2-1)/$L31))*($T31*(1-$F31)+$S31*(1-$G31))*((1+Inputs!$D$7)^AO$2))),((_xlfn.WEIBULL.DIST(AO$2,$M31,$L31,FALSE)*($T31*(1-$F31)+$S31*(1-$G31))*((1+Inputs!$D$7)^AO$2))))))</f>
        <v>10.544778829760533</v>
      </c>
      <c r="AP31" s="88">
        <f>$E31*IF(AP$2&gt;Inputs!$D$5,0,IF(AP$2&gt;VLOOKUP($H31,Lists!$P$3:$Q$7,2),IF($N31=Lists!$K$3,IF($L31&lt;1,(($U31/$L31)*((1+Inputs!$D$7)^AP$2)),((INT(AP$2/$L31)-INT((AP$2-1)/$L31))*$U31*((1+Inputs!$D$7)^AP$2))),(_xlfn.WEIBULL.DIST(AP$2,$M31,$L31,FALSE)*$U31*((1+Inputs!$D$7)^AP$2))),IF($N31=Lists!$K$3,IF($L31&lt;1,((($T31*(1-$F31)+$S31*(1-$G31))/$L31)*((1+Inputs!$D$7)^AP$2)),((INT(AP$2/$L31)-INT((AP$2-1)/$L31))*($T31*(1-$F31)+$S31*(1-$G31))*((1+Inputs!$D$7)^AP$2))),((_xlfn.WEIBULL.DIST(AP$2,$M31,$L31,FALSE)*($T31*(1-$F31)+$S31*(1-$G31))*((1+Inputs!$D$7)^AP$2))))))</f>
        <v>10.231113975674834</v>
      </c>
      <c r="AQ31" s="88">
        <f>$E31*IF(AQ$2&gt;Inputs!$D$5,0,IF(AQ$2&gt;VLOOKUP($H31,Lists!$P$3:$Q$7,2),IF($N31=Lists!$K$3,IF($L31&lt;1,(($U31/$L31)*((1+Inputs!$D$7)^AQ$2)),((INT(AQ$2/$L31)-INT((AQ$2-1)/$L31))*$U31*((1+Inputs!$D$7)^AQ$2))),(_xlfn.WEIBULL.DIST(AQ$2,$M31,$L31,FALSE)*$U31*((1+Inputs!$D$7)^AQ$2))),IF($N31=Lists!$K$3,IF($L31&lt;1,((($T31*(1-$F31)+$S31*(1-$G31))/$L31)*((1+Inputs!$D$7)^AQ$2)),((INT(AQ$2/$L31)-INT((AQ$2-1)/$L31))*($T31*(1-$F31)+$S31*(1-$G31))*((1+Inputs!$D$7)^AQ$2))),((_xlfn.WEIBULL.DIST(AQ$2,$M31,$L31,FALSE)*($T31*(1-$F31)+$S31*(1-$G31))*((1+Inputs!$D$7)^AQ$2))))))</f>
        <v>9.9267793922640344</v>
      </c>
      <c r="AR31" s="88">
        <f>$E31*IF(AR$2&gt;Inputs!$D$5,0,IF(AR$2&gt;VLOOKUP($H31,Lists!$P$3:$Q$7,2),IF($N31=Lists!$K$3,IF($L31&lt;1,(($U31/$L31)*((1+Inputs!$D$7)^AR$2)),((INT(AR$2/$L31)-INT((AR$2-1)/$L31))*$U31*((1+Inputs!$D$7)^AR$2))),(_xlfn.WEIBULL.DIST(AR$2,$M31,$L31,FALSE)*$U31*((1+Inputs!$D$7)^AR$2))),IF($N31=Lists!$K$3,IF($L31&lt;1,((($T31*(1-$F31)+$S31*(1-$G31))/$L31)*((1+Inputs!$D$7)^AR$2)),((INT(AR$2/$L31)-INT((AR$2-1)/$L31))*($T31*(1-$F31)+$S31*(1-$G31))*((1+Inputs!$D$7)^AR$2))),((_xlfn.WEIBULL.DIST(AR$2,$M31,$L31,FALSE)*($T31*(1-$F31)+$S31*(1-$G31))*((1+Inputs!$D$7)^AR$2))))))</f>
        <v>9.6314975414178399</v>
      </c>
      <c r="AS31" s="88">
        <f>$E31*IF(AS$2&gt;Inputs!$D$5,0,IF(AS$2&gt;VLOOKUP($H31,Lists!$P$3:$Q$7,2),IF($N31=Lists!$K$3,IF($L31&lt;1,(($U31/$L31)*((1+Inputs!$D$7)^AS$2)),((INT(AS$2/$L31)-INT((AS$2-1)/$L31))*$U31*((1+Inputs!$D$7)^AS$2))),(_xlfn.WEIBULL.DIST(AS$2,$M31,$L31,FALSE)*$U31*((1+Inputs!$D$7)^AS$2))),IF($N31=Lists!$K$3,IF($L31&lt;1,((($T31*(1-$F31)+$S31*(1-$G31))/$L31)*((1+Inputs!$D$7)^AS$2)),((INT(AS$2/$L31)-INT((AS$2-1)/$L31))*($T31*(1-$F31)+$S31*(1-$G31))*((1+Inputs!$D$7)^AS$2))),((_xlfn.WEIBULL.DIST(AS$2,$M31,$L31,FALSE)*($T31*(1-$F31)+$S31*(1-$G31))*((1+Inputs!$D$7)^AS$2))))))</f>
        <v>9.3449991406709927</v>
      </c>
      <c r="AT31" s="88">
        <f>$E31*IF(AT$2&gt;Inputs!$D$5,0,IF(AT$2&gt;VLOOKUP($H31,Lists!$P$3:$Q$7,2),IF($N31=Lists!$K$3,IF($L31&lt;1,(($U31/$L31)*((1+Inputs!$D$7)^AT$2)),((INT(AT$2/$L31)-INT((AT$2-1)/$L31))*$U31*((1+Inputs!$D$7)^AT$2))),(_xlfn.WEIBULL.DIST(AT$2,$M31,$L31,FALSE)*$U31*((1+Inputs!$D$7)^AT$2))),IF($N31=Lists!$K$3,IF($L31&lt;1,((($T31*(1-$F31)+$S31*(1-$G31))/$L31)*((1+Inputs!$D$7)^AT$2)),((INT(AT$2/$L31)-INT((AT$2-1)/$L31))*($T31*(1-$F31)+$S31*(1-$G31))*((1+Inputs!$D$7)^AT$2))),((_xlfn.WEIBULL.DIST(AT$2,$M31,$L31,FALSE)*($T31*(1-$F31)+$S31*(1-$G31))*((1+Inputs!$D$7)^AT$2))))))</f>
        <v>9.0670229176309398</v>
      </c>
      <c r="AU31" s="88">
        <f>$E31*IF(AU$2&gt;Inputs!$D$5,0,IF(AU$2&gt;VLOOKUP($H31,Lists!$P$3:$Q$7,2),IF($N31=Lists!$K$3,IF($L31&lt;1,(($U31/$L31)*((1+Inputs!$D$7)^AU$2)),((INT(AU$2/$L31)-INT((AU$2-1)/$L31))*$U31*((1+Inputs!$D$7)^AU$2))),(_xlfn.WEIBULL.DIST(AU$2,$M31,$L31,FALSE)*$U31*((1+Inputs!$D$7)^AU$2))),IF($N31=Lists!$K$3,IF($L31&lt;1,((($T31*(1-$F31)+$S31*(1-$G31))/$L31)*((1+Inputs!$D$7)^AU$2)),((INT(AU$2/$L31)-INT((AU$2-1)/$L31))*($T31*(1-$F31)+$S31*(1-$G31))*((1+Inputs!$D$7)^AU$2))),((_xlfn.WEIBULL.DIST(AU$2,$M31,$L31,FALSE)*($T31*(1-$F31)+$S31*(1-$G31))*((1+Inputs!$D$7)^AU$2))))))</f>
        <v>8.7973153717103187</v>
      </c>
      <c r="AV31" s="88">
        <f>$E31*IF(AV$2&gt;Inputs!$D$5,0,IF(AV$2&gt;VLOOKUP($H31,Lists!$P$3:$Q$7,2),IF($N31=Lists!$K$3,IF($L31&lt;1,(($U31/$L31)*((1+Inputs!$D$7)^AV$2)),((INT(AV$2/$L31)-INT((AV$2-1)/$L31))*$U31*((1+Inputs!$D$7)^AV$2))),(_xlfn.WEIBULL.DIST(AV$2,$M31,$L31,FALSE)*$U31*((1+Inputs!$D$7)^AV$2))),IF($N31=Lists!$K$3,IF($L31&lt;1,((($T31*(1-$F31)+$S31*(1-$G31))/$L31)*((1+Inputs!$D$7)^AV$2)),((INT(AV$2/$L31)-INT((AV$2-1)/$L31))*($T31*(1-$F31)+$S31*(1-$G31))*((1+Inputs!$D$7)^AV$2))),((_xlfn.WEIBULL.DIST(AV$2,$M31,$L31,FALSE)*($T31*(1-$F31)+$S31*(1-$G31))*((1+Inputs!$D$7)^AV$2))))))</f>
        <v>8.5356305429469597</v>
      </c>
      <c r="AW31" s="88">
        <f>$E31*IF(AW$2&gt;Inputs!$D$5,0,IF(AW$2&gt;VLOOKUP($H31,Lists!$P$3:$Q$7,2),IF($N31=Lists!$K$3,IF($L31&lt;1,(($U31/$L31)*((1+Inputs!$D$7)^AW$2)),((INT(AW$2/$L31)-INT((AW$2-1)/$L31))*$U31*((1+Inputs!$D$7)^AW$2))),(_xlfn.WEIBULL.DIST(AW$2,$M31,$L31,FALSE)*$U31*((1+Inputs!$D$7)^AW$2))),IF($N31=Lists!$K$3,IF($L31&lt;1,((($T31*(1-$F31)+$S31*(1-$G31))/$L31)*((1+Inputs!$D$7)^AW$2)),((INT(AW$2/$L31)-INT((AW$2-1)/$L31))*($T31*(1-$F31)+$S31*(1-$G31))*((1+Inputs!$D$7)^AW$2))),((_xlfn.WEIBULL.DIST(AW$2,$M31,$L31,FALSE)*($T31*(1-$F31)+$S31*(1-$G31))*((1+Inputs!$D$7)^AW$2))))))</f>
        <v>8.2817297877005149</v>
      </c>
      <c r="AX31" s="88">
        <f>$E31*IF(AX$2&gt;Inputs!$D$5,0,IF(AX$2&gt;VLOOKUP($H31,Lists!$P$3:$Q$7,2),IF($N31=Lists!$K$3,IF($L31&lt;1,(($U31/$L31)*((1+Inputs!$D$7)^AX$2)),((INT(AX$2/$L31)-INT((AX$2-1)/$L31))*$U31*((1+Inputs!$D$7)^AX$2))),(_xlfn.WEIBULL.DIST(AX$2,$M31,$L31,FALSE)*$U31*((1+Inputs!$D$7)^AX$2))),IF($N31=Lists!$K$3,IF($L31&lt;1,((($T31*(1-$F31)+$S31*(1-$G31))/$L31)*((1+Inputs!$D$7)^AX$2)),((INT(AX$2/$L31)-INT((AX$2-1)/$L31))*($T31*(1-$F31)+$S31*(1-$G31))*((1+Inputs!$D$7)^AX$2))),((_xlfn.WEIBULL.DIST(AX$2,$M31,$L31,FALSE)*($T31*(1-$F31)+$S31*(1-$G31))*((1+Inputs!$D$7)^AX$2))))))</f>
        <v>8.0353815610212784</v>
      </c>
      <c r="AY31" s="88">
        <f>$E31*IF(AY$2&gt;Inputs!$D$5,0,IF(AY$2&gt;VLOOKUP($H31,Lists!$P$3:$Q$7,2),IF($N31=Lists!$K$3,IF($L31&lt;1,(($U31/$L31)*((1+Inputs!$D$7)^AY$2)),((INT(AY$2/$L31)-INT((AY$2-1)/$L31))*$U31*((1+Inputs!$D$7)^AY$2))),(_xlfn.WEIBULL.DIST(AY$2,$M31,$L31,FALSE)*$U31*((1+Inputs!$D$7)^AY$2))),IF($N31=Lists!$K$3,IF($L31&lt;1,((($T31*(1-$F31)+$S31*(1-$G31))/$L31)*((1+Inputs!$D$7)^AY$2)),((INT(AY$2/$L31)-INT((AY$2-1)/$L31))*($T31*(1-$F31)+$S31*(1-$G31))*((1+Inputs!$D$7)^AY$2))),((_xlfn.WEIBULL.DIST(AY$2,$M31,$L31,FALSE)*($T31*(1-$F31)+$S31*(1-$G31))*((1+Inputs!$D$7)^AY$2))))))</f>
        <v>7.7963612054925946</v>
      </c>
      <c r="AZ31" s="88">
        <f>$E31*IF(AZ$2&gt;Inputs!$D$5,0,IF(AZ$2&gt;VLOOKUP($H31,Lists!$P$3:$Q$7,2),IF($N31=Lists!$K$3,IF($L31&lt;1,(($U31/$L31)*((1+Inputs!$D$7)^AZ$2)),((INT(AZ$2/$L31)-INT((AZ$2-1)/$L31))*$U31*((1+Inputs!$D$7)^AZ$2))),(_xlfn.WEIBULL.DIST(AZ$2,$M31,$L31,FALSE)*$U31*((1+Inputs!$D$7)^AZ$2))),IF($N31=Lists!$K$3,IF($L31&lt;1,((($T31*(1-$F31)+$S31*(1-$G31))/$L31)*((1+Inputs!$D$7)^AZ$2)),((INT(AZ$2/$L31)-INT((AZ$2-1)/$L31))*($T31*(1-$F31)+$S31*(1-$G31))*((1+Inputs!$D$7)^AZ$2))),((_xlfn.WEIBULL.DIST(AZ$2,$M31,$L31,FALSE)*($T31*(1-$F31)+$S31*(1-$G31))*((1+Inputs!$D$7)^AZ$2))))))</f>
        <v>0</v>
      </c>
      <c r="BA31" s="88">
        <f>$E31*IF(BA$2&gt;Inputs!$D$5,0,IF(BA$2&gt;VLOOKUP($H31,Lists!$P$3:$Q$7,2),IF($N31=Lists!$K$3,IF($L31&lt;1,(($U31/$L31)*((1+Inputs!$D$7)^BA$2)),((INT(BA$2/$L31)-INT((BA$2-1)/$L31))*$U31*((1+Inputs!$D$7)^BA$2))),(_xlfn.WEIBULL.DIST(BA$2,$M31,$L31,FALSE)*$U31*((1+Inputs!$D$7)^BA$2))),IF($N31=Lists!$K$3,IF($L31&lt;1,((($T31*(1-$F31)+$S31*(1-$G31))/$L31)*((1+Inputs!$D$7)^BA$2)),((INT(BA$2/$L31)-INT((BA$2-1)/$L31))*($T31*(1-$F31)+$S31*(1-$G31))*((1+Inputs!$D$7)^BA$2))),((_xlfn.WEIBULL.DIST(BA$2,$M31,$L31,FALSE)*($T31*(1-$F31)+$S31*(1-$G31))*((1+Inputs!$D$7)^BA$2))))))</f>
        <v>0</v>
      </c>
      <c r="BB31" s="88">
        <f>$E31*IF(BB$2&gt;Inputs!$D$5,0,IF(BB$2&gt;VLOOKUP($H31,Lists!$P$3:$Q$7,2),IF($N31=Lists!$K$3,IF($L31&lt;1,(($U31/$L31)*((1+Inputs!$D$7)^BB$2)),((INT(BB$2/$L31)-INT((BB$2-1)/$L31))*$U31*((1+Inputs!$D$7)^BB$2))),(_xlfn.WEIBULL.DIST(BB$2,$M31,$L31,FALSE)*$U31*((1+Inputs!$D$7)^BB$2))),IF($N31=Lists!$K$3,IF($L31&lt;1,((($T31*(1-$F31)+$S31*(1-$G31))/$L31)*((1+Inputs!$D$7)^BB$2)),((INT(BB$2/$L31)-INT((BB$2-1)/$L31))*($T31*(1-$F31)+$S31*(1-$G31))*((1+Inputs!$D$7)^BB$2))),((_xlfn.WEIBULL.DIST(BB$2,$M31,$L31,FALSE)*($T31*(1-$F31)+$S31*(1-$G31))*((1+Inputs!$D$7)^BB$2))))))</f>
        <v>0</v>
      </c>
      <c r="BC31" s="88">
        <f>$E31*IF(BC$2&gt;Inputs!$D$5,0,IF(BC$2&gt;VLOOKUP($H31,Lists!$P$3:$Q$7,2),IF($N31=Lists!$K$3,IF($L31&lt;1,(($U31/$L31)*((1+Inputs!$D$7)^BC$2)),((INT(BC$2/$L31)-INT((BC$2-1)/$L31))*$U31*((1+Inputs!$D$7)^BC$2))),(_xlfn.WEIBULL.DIST(BC$2,$M31,$L31,FALSE)*$U31*((1+Inputs!$D$7)^BC$2))),IF($N31=Lists!$K$3,IF($L31&lt;1,((($T31*(1-$F31)+$S31*(1-$G31))/$L31)*((1+Inputs!$D$7)^BC$2)),((INT(BC$2/$L31)-INT((BC$2-1)/$L31))*($T31*(1-$F31)+$S31*(1-$G31))*((1+Inputs!$D$7)^BC$2))),((_xlfn.WEIBULL.DIST(BC$2,$M31,$L31,FALSE)*($T31*(1-$F31)+$S31*(1-$G31))*((1+Inputs!$D$7)^BC$2))))))</f>
        <v>0</v>
      </c>
      <c r="BD31" s="88">
        <f>$E31*IF(BD$2&gt;Inputs!$D$5,0,IF(BD$2&gt;VLOOKUP($H31,Lists!$P$3:$Q$7,2),IF($N31=Lists!$K$3,IF($L31&lt;1,(($U31/$L31)*((1+Inputs!$D$7)^BD$2)),((INT(BD$2/$L31)-INT((BD$2-1)/$L31))*$U31*((1+Inputs!$D$7)^BD$2))),(_xlfn.WEIBULL.DIST(BD$2,$M31,$L31,FALSE)*$U31*((1+Inputs!$D$7)^BD$2))),IF($N31=Lists!$K$3,IF($L31&lt;1,((($T31*(1-$F31)+$S31*(1-$G31))/$L31)*((1+Inputs!$D$7)^BD$2)),((INT(BD$2/$L31)-INT((BD$2-1)/$L31))*($T31*(1-$F31)+$S31*(1-$G31))*((1+Inputs!$D$7)^BD$2))),((_xlfn.WEIBULL.DIST(BD$2,$M31,$L31,FALSE)*($T31*(1-$F31)+$S31*(1-$G31))*((1+Inputs!$D$7)^BD$2))))))</f>
        <v>0</v>
      </c>
      <c r="BE31" s="88">
        <f>$E31*IF(BE$2&gt;Inputs!$D$5,0,IF(BE$2&gt;VLOOKUP($H31,Lists!$P$3:$Q$7,2),IF($N31=Lists!$K$3,IF($L31&lt;1,(($U31/$L31)*((1+Inputs!$D$7)^BE$2)),((INT(BE$2/$L31)-INT((BE$2-1)/$L31))*$U31*((1+Inputs!$D$7)^BE$2))),(_xlfn.WEIBULL.DIST(BE$2,$M31,$L31,FALSE)*$U31*((1+Inputs!$D$7)^BE$2))),IF($N31=Lists!$K$3,IF($L31&lt;1,((($T31*(1-$F31)+$S31*(1-$G31))/$L31)*((1+Inputs!$D$7)^BE$2)),((INT(BE$2/$L31)-INT((BE$2-1)/$L31))*($T31*(1-$F31)+$S31*(1-$G31))*((1+Inputs!$D$7)^BE$2))),((_xlfn.WEIBULL.DIST(BE$2,$M31,$L31,FALSE)*($T31*(1-$F31)+$S31*(1-$G31))*((1+Inputs!$D$7)^BE$2))))))</f>
        <v>0</v>
      </c>
      <c r="BF31" s="88">
        <f>$E31*IF(BF$2&gt;Inputs!$D$5,0,IF(BF$2&gt;VLOOKUP($H31,Lists!$P$3:$Q$7,2),IF($N31=Lists!$K$3,IF($L31&lt;1,(($U31/$L31)*((1+Inputs!$D$7)^BF$2)),((INT(BF$2/$L31)-INT((BF$2-1)/$L31))*$U31*((1+Inputs!$D$7)^BF$2))),(_xlfn.WEIBULL.DIST(BF$2,$M31,$L31,FALSE)*$U31*((1+Inputs!$D$7)^BF$2))),IF($N31=Lists!$K$3,IF($L31&lt;1,((($T31*(1-$F31)+$S31*(1-$G31))/$L31)*((1+Inputs!$D$7)^BF$2)),((INT(BF$2/$L31)-INT((BF$2-1)/$L31))*($T31*(1-$F31)+$S31*(1-$G31))*((1+Inputs!$D$7)^BF$2))),((_xlfn.WEIBULL.DIST(BF$2,$M31,$L31,FALSE)*($T31*(1-$F31)+$S31*(1-$G31))*((1+Inputs!$D$7)^BF$2))))))</f>
        <v>0</v>
      </c>
      <c r="BG31" s="88">
        <f>$E31*IF(BG$2&gt;Inputs!$D$5,0,IF(BG$2&gt;VLOOKUP($H31,Lists!$P$3:$Q$7,2),IF($N31=Lists!$K$3,IF($L31&lt;1,(($U31/$L31)*((1+Inputs!$D$7)^BG$2)),((INT(BG$2/$L31)-INT((BG$2-1)/$L31))*$U31*((1+Inputs!$D$7)^BG$2))),(_xlfn.WEIBULL.DIST(BG$2,$M31,$L31,FALSE)*$U31*((1+Inputs!$D$7)^BG$2))),IF($N31=Lists!$K$3,IF($L31&lt;1,((($T31*(1-$F31)+$S31*(1-$G31))/$L31)*((1+Inputs!$D$7)^BG$2)),((INT(BG$2/$L31)-INT((BG$2-1)/$L31))*($T31*(1-$F31)+$S31*(1-$G31))*((1+Inputs!$D$7)^BG$2))),((_xlfn.WEIBULL.DIST(BG$2,$M31,$L31,FALSE)*($T31*(1-$F31)+$S31*(1-$G31))*((1+Inputs!$D$7)^BG$2))))))</f>
        <v>0</v>
      </c>
      <c r="BH31" s="88">
        <f>$E31*IF(BH$2&gt;Inputs!$D$5,0,IF(BH$2&gt;VLOOKUP($H31,Lists!$P$3:$Q$7,2),IF($N31=Lists!$K$3,IF($L31&lt;1,(($U31/$L31)*((1+Inputs!$D$7)^BH$2)),((INT(BH$2/$L31)-INT((BH$2-1)/$L31))*$U31*((1+Inputs!$D$7)^BH$2))),(_xlfn.WEIBULL.DIST(BH$2,$M31,$L31,FALSE)*$U31*((1+Inputs!$D$7)^BH$2))),IF($N31=Lists!$K$3,IF($L31&lt;1,((($T31*(1-$F31)+$S31*(1-$G31))/$L31)*((1+Inputs!$D$7)^BH$2)),((INT(BH$2/$L31)-INT((BH$2-1)/$L31))*($T31*(1-$F31)+$S31*(1-$G31))*((1+Inputs!$D$7)^BH$2))),((_xlfn.WEIBULL.DIST(BH$2,$M31,$L31,FALSE)*($T31*(1-$F31)+$S31*(1-$G31))*((1+Inputs!$D$7)^BH$2))))))</f>
        <v>0</v>
      </c>
      <c r="BI31" s="88">
        <f>$E31*IF(BI$2&gt;Inputs!$D$5,0,IF(BI$2&gt;VLOOKUP($H31,Lists!$P$3:$Q$7,2),IF($N31=Lists!$K$3,IF($L31&lt;1,(($U31/$L31)*((1+Inputs!$D$7)^BI$2)),((INT(BI$2/$L31)-INT((BI$2-1)/$L31))*$U31*((1+Inputs!$D$7)^BI$2))),(_xlfn.WEIBULL.DIST(BI$2,$M31,$L31,FALSE)*$U31*((1+Inputs!$D$7)^BI$2))),IF($N31=Lists!$K$3,IF($L31&lt;1,((($T31*(1-$F31)+$S31*(1-$G31))/$L31)*((1+Inputs!$D$7)^BI$2)),((INT(BI$2/$L31)-INT((BI$2-1)/$L31))*($T31*(1-$F31)+$S31*(1-$G31))*((1+Inputs!$D$7)^BI$2))),((_xlfn.WEIBULL.DIST(BI$2,$M31,$L31,FALSE)*($T31*(1-$F31)+$S31*(1-$G31))*((1+Inputs!$D$7)^BI$2))))))</f>
        <v>0</v>
      </c>
      <c r="BJ31" s="88">
        <f>$E31*IF(BJ$2&gt;Inputs!$D$5,0,IF(BJ$2&gt;VLOOKUP($H31,Lists!$P$3:$Q$7,2),IF($N31=Lists!$K$3,IF($L31&lt;1,(($U31/$L31)*((1+Inputs!$D$7)^BJ$2)),((INT(BJ$2/$L31)-INT((BJ$2-1)/$L31))*$U31*((1+Inputs!$D$7)^BJ$2))),(_xlfn.WEIBULL.DIST(BJ$2,$M31,$L31,FALSE)*$U31*((1+Inputs!$D$7)^BJ$2))),IF($N31=Lists!$K$3,IF($L31&lt;1,((($T31*(1-$F31)+$S31*(1-$G31))/$L31)*((1+Inputs!$D$7)^BJ$2)),((INT(BJ$2/$L31)-INT((BJ$2-1)/$L31))*($T31*(1-$F31)+$S31*(1-$G31))*((1+Inputs!$D$7)^BJ$2))),((_xlfn.WEIBULL.DIST(BJ$2,$M31,$L31,FALSE)*($T31*(1-$F31)+$S31*(1-$G31))*((1+Inputs!$D$7)^BJ$2))))))</f>
        <v>0</v>
      </c>
      <c r="BK31" s="88">
        <f>$E31*IF(BK$2&gt;Inputs!$D$5,0,IF(BK$2&gt;VLOOKUP($H31,Lists!$P$3:$Q$7,2),IF($N31=Lists!$K$3,IF($L31&lt;1,(($U31/$L31)*((1+Inputs!$D$7)^BK$2)),((INT(BK$2/$L31)-INT((BK$2-1)/$L31))*$U31*((1+Inputs!$D$7)^BK$2))),(_xlfn.WEIBULL.DIST(BK$2,$M31,$L31,FALSE)*$U31*((1+Inputs!$D$7)^BK$2))),IF($N31=Lists!$K$3,IF($L31&lt;1,((($T31*(1-$F31)+$S31*(1-$G31))/$L31)*((1+Inputs!$D$7)^BK$2)),((INT(BK$2/$L31)-INT((BK$2-1)/$L31))*($T31*(1-$F31)+$S31*(1-$G31))*((1+Inputs!$D$7)^BK$2))),((_xlfn.WEIBULL.DIST(BK$2,$M31,$L31,FALSE)*($T31*(1-$F31)+$S31*(1-$G31))*((1+Inputs!$D$7)^BK$2))))))</f>
        <v>0</v>
      </c>
      <c r="BL31" s="88">
        <f>$E31*IF(BL$2&gt;Inputs!$D$5,0,IF(BL$2&gt;VLOOKUP($H31,Lists!$P$3:$Q$7,2),IF($N31=Lists!$K$3,IF($L31&lt;1,(($U31/$L31)*((1+Inputs!$D$7)^BL$2)),((INT(BL$2/$L31)-INT((BL$2-1)/$L31))*$U31*((1+Inputs!$D$7)^BL$2))),(_xlfn.WEIBULL.DIST(BL$2,$M31,$L31,FALSE)*$U31*((1+Inputs!$D$7)^BL$2))),IF($N31=Lists!$K$3,IF($L31&lt;1,((($T31*(1-$F31)+$S31*(1-$G31))/$L31)*((1+Inputs!$D$7)^BL$2)),((INT(BL$2/$L31)-INT((BL$2-1)/$L31))*($T31*(1-$F31)+$S31*(1-$G31))*((1+Inputs!$D$7)^BL$2))),((_xlfn.WEIBULL.DIST(BL$2,$M31,$L31,FALSE)*($T31*(1-$F31)+$S31*(1-$G31))*((1+Inputs!$D$7)^BL$2))))))</f>
        <v>0</v>
      </c>
      <c r="BM31" s="88">
        <f>$E31*IF(BM$2&gt;Inputs!$D$5,0,IF(BM$2&gt;VLOOKUP($H31,Lists!$P$3:$Q$7,2),IF($N31=Lists!$K$3,IF($L31&lt;1,(($U31/$L31)*((1+Inputs!$D$7)^BM$2)),((INT(BM$2/$L31)-INT((BM$2-1)/$L31))*$U31*((1+Inputs!$D$7)^BM$2))),(_xlfn.WEIBULL.DIST(BM$2,$M31,$L31,FALSE)*$U31*((1+Inputs!$D$7)^BM$2))),IF($N31=Lists!$K$3,IF($L31&lt;1,((($T31*(1-$F31)+$S31*(1-$G31))/$L31)*((1+Inputs!$D$7)^BM$2)),((INT(BM$2/$L31)-INT((BM$2-1)/$L31))*($T31*(1-$F31)+$S31*(1-$G31))*((1+Inputs!$D$7)^BM$2))),((_xlfn.WEIBULL.DIST(BM$2,$M31,$L31,FALSE)*($T31*(1-$F31)+$S31*(1-$G31))*((1+Inputs!$D$7)^BM$2))))))</f>
        <v>0</v>
      </c>
      <c r="BN31" s="88">
        <f>$E31*IF(BN$2&gt;Inputs!$D$5,0,IF(BN$2&gt;VLOOKUP($H31,Lists!$P$3:$Q$7,2),IF($N31=Lists!$K$3,IF($L31&lt;1,(($U31/$L31)*((1+Inputs!$D$7)^BN$2)),((INT(BN$2/$L31)-INT((BN$2-1)/$L31))*$U31*((1+Inputs!$D$7)^BN$2))),(_xlfn.WEIBULL.DIST(BN$2,$M31,$L31,FALSE)*$U31*((1+Inputs!$D$7)^BN$2))),IF($N31=Lists!$K$3,IF($L31&lt;1,((($T31*(1-$F31)+$S31*(1-$G31))/$L31)*((1+Inputs!$D$7)^BN$2)),((INT(BN$2/$L31)-INT((BN$2-1)/$L31))*($T31*(1-$F31)+$S31*(1-$G31))*((1+Inputs!$D$7)^BN$2))),((_xlfn.WEIBULL.DIST(BN$2,$M31,$L31,FALSE)*($T31*(1-$F31)+$S31*(1-$G31))*((1+Inputs!$D$7)^BN$2))))))</f>
        <v>0</v>
      </c>
      <c r="BO31" s="64">
        <f>NPV(Inputs!$D$6,BQ31:DD31)</f>
        <v>338.61438217451268</v>
      </c>
      <c r="BP31" s="67">
        <f t="shared" si="6"/>
        <v>1.5970707402735099E-4</v>
      </c>
      <c r="BQ31" s="88">
        <f>MAX(AA31,($E31*IF(BQ$2&gt;Inputs!$D$5,0,IF(BQ$2&gt;VLOOKUP($H31,Lists!$P$3:$Q$7,2),IF($N31=Lists!$K$3,IF($L31&lt;1,(($U31/$L31)*((1+Inputs!$D$7)^BQ$2)),((INT(BQ$2/$L31)-INT((BQ$2-1)/$L31))*$U31*((1+Inputs!$D$7)^BQ$2))),(Inputs!$D$8^((1-_xlfn.WEIBULL.DIST(BQ$2,$M31,$L31,FALSE))/_xlfn.WEIBULL.DIST(BQ$2,$M31,$L31,FALSE))*$U31*((1+Inputs!$D$7)^BQ$2))),IF($N31=Lists!$K$3,IF($L31&lt;1,((($T31*(1-$F31)+$S31*(1-$G31))/$L31)*((1+Inputs!$D$7)^BQ$2)),((INT(BQ$2/$L31)-INT((BQ$2-1)/$L31))*($T31*(1-$F31)+$S31*(1-$G31))*((1+Inputs!$D$7)^BQ$2))),((Inputs!$D$8^((1-_xlfn.WEIBULL.DIST(BQ$2,$M31,$L31,FALSE))/_xlfn.WEIBULL.DIST(BQ$2,$M31,$L31,FALSE))*($T31*(1-$F31)+$S31*(1-$G31))*((1+Inputs!$D$7)^BQ$2))))))))</f>
        <v>0</v>
      </c>
      <c r="BR31" s="88">
        <f>MAX(AB31,($E31*IF(BR$2&gt;Inputs!$D$5,0,IF(BR$2&gt;VLOOKUP($H31,Lists!$P$3:$Q$7,2),IF($N31=Lists!$K$3,IF($L31&lt;1,(($U31/$L31)*((1+Inputs!$D$7)^BR$2)),((INT(BR$2/$L31)-INT((BR$2-1)/$L31))*$U31*((1+Inputs!$D$7)^BR$2))),(Inputs!$D$8^((1-_xlfn.WEIBULL.DIST(BR$2,$M31,$L31,FALSE))/_xlfn.WEIBULL.DIST(BR$2,$M31,$L31,FALSE))*$U31*((1+Inputs!$D$7)^BR$2))),IF($N31=Lists!$K$3,IF($L31&lt;1,((($T31*(1-$F31)+$S31*(1-$G31))/$L31)*((1+Inputs!$D$7)^BR$2)),((INT(BR$2/$L31)-INT((BR$2-1)/$L31))*($T31*(1-$F31)+$S31*(1-$G31))*((1+Inputs!$D$7)^BR$2))),((Inputs!$D$8^((1-_xlfn.WEIBULL.DIST(BR$2,$M31,$L31,FALSE))/_xlfn.WEIBULL.DIST(BR$2,$M31,$L31,FALSE))*($T31*(1-$F31)+$S31*(1-$G31))*((1+Inputs!$D$7)^BR$2))))))))</f>
        <v>59.399866647445343</v>
      </c>
      <c r="BS31" s="88">
        <f>MAX(AC31,($E31*IF(BS$2&gt;Inputs!$D$5,0,IF(BS$2&gt;VLOOKUP($H31,Lists!$P$3:$Q$7,2),IF($N31=Lists!$K$3,IF($L31&lt;1,(($U31/$L31)*((1+Inputs!$D$7)^BS$2)),((INT(BS$2/$L31)-INT((BS$2-1)/$L31))*$U31*((1+Inputs!$D$7)^BS$2))),(Inputs!$D$8^((1-_xlfn.WEIBULL.DIST(BS$2,$M31,$L31,FALSE))/_xlfn.WEIBULL.DIST(BS$2,$M31,$L31,FALSE))*$U31*((1+Inputs!$D$7)^BS$2))),IF($N31=Lists!$K$3,IF($L31&lt;1,((($T31*(1-$F31)+$S31*(1-$G31))/$L31)*((1+Inputs!$D$7)^BS$2)),((INT(BS$2/$L31)-INT((BS$2-1)/$L31))*($T31*(1-$F31)+$S31*(1-$G31))*((1+Inputs!$D$7)^BS$2))),((Inputs!$D$8^((1-_xlfn.WEIBULL.DIST(BS$2,$M31,$L31,FALSE))/_xlfn.WEIBULL.DIST(BS$2,$M31,$L31,FALSE))*($T31*(1-$F31)+$S31*(1-$G31))*((1+Inputs!$D$7)^BS$2))))))))</f>
        <v>55.124872736107534</v>
      </c>
      <c r="BT31" s="88">
        <f>MAX(AD31,($E31*IF(BT$2&gt;Inputs!$D$5,0,IF(BT$2&gt;VLOOKUP($H31,Lists!$P$3:$Q$7,2),IF($N31=Lists!$K$3,IF($L31&lt;1,(($U31/$L31)*((1+Inputs!$D$7)^BT$2)),((INT(BT$2/$L31)-INT((BT$2-1)/$L31))*$U31*((1+Inputs!$D$7)^BT$2))),(Inputs!$D$8^((1-_xlfn.WEIBULL.DIST(BT$2,$M31,$L31,FALSE))/_xlfn.WEIBULL.DIST(BT$2,$M31,$L31,FALSE))*$U31*((1+Inputs!$D$7)^BT$2))),IF($N31=Lists!$K$3,IF($L31&lt;1,((($T31*(1-$F31)+$S31*(1-$G31))/$L31)*((1+Inputs!$D$7)^BT$2)),((INT(BT$2/$L31)-INT((BT$2-1)/$L31))*($T31*(1-$F31)+$S31*(1-$G31))*((1+Inputs!$D$7)^BT$2))),((Inputs!$D$8^((1-_xlfn.WEIBULL.DIST(BT$2,$M31,$L31,FALSE))/_xlfn.WEIBULL.DIST(BT$2,$M31,$L31,FALSE))*($T31*(1-$F31)+$S31*(1-$G31))*((1+Inputs!$D$7)^BT$2))))))))</f>
        <v>50.9103009465884</v>
      </c>
      <c r="BU31" s="88">
        <f>MAX(AE31,($E31*IF(BU$2&gt;Inputs!$D$5,0,IF(BU$2&gt;VLOOKUP($H31,Lists!$P$3:$Q$7,2),IF($N31=Lists!$K$3,IF($L31&lt;1,(($U31/$L31)*((1+Inputs!$D$7)^BU$2)),((INT(BU$2/$L31)-INT((BU$2-1)/$L31))*$U31*((1+Inputs!$D$7)^BU$2))),(Inputs!$D$8^((1-_xlfn.WEIBULL.DIST(BU$2,$M31,$L31,FALSE))/_xlfn.WEIBULL.DIST(BU$2,$M31,$L31,FALSE))*$U31*((1+Inputs!$D$7)^BU$2))),IF($N31=Lists!$K$3,IF($L31&lt;1,((($T31*(1-$F31)+$S31*(1-$G31))/$L31)*((1+Inputs!$D$7)^BU$2)),((INT(BU$2/$L31)-INT((BU$2-1)/$L31))*($T31*(1-$F31)+$S31*(1-$G31))*((1+Inputs!$D$7)^BU$2))),((Inputs!$D$8^((1-_xlfn.WEIBULL.DIST(BU$2,$M31,$L31,FALSE))/_xlfn.WEIBULL.DIST(BU$2,$M31,$L31,FALSE))*($T31*(1-$F31)+$S31*(1-$G31))*((1+Inputs!$D$7)^BU$2))))))))</f>
        <v>46.779091770476576</v>
      </c>
      <c r="BV31" s="88">
        <f>MAX(AF31,($E31*IF(BV$2&gt;Inputs!$D$5,0,IF(BV$2&gt;VLOOKUP($H31,Lists!$P$3:$Q$7,2),IF($N31=Lists!$K$3,IF($L31&lt;1,(($U31/$L31)*((1+Inputs!$D$7)^BV$2)),((INT(BV$2/$L31)-INT((BV$2-1)/$L31))*$U31*((1+Inputs!$D$7)^BV$2))),(Inputs!$D$8^((1-_xlfn.WEIBULL.DIST(BV$2,$M31,$L31,FALSE))/_xlfn.WEIBULL.DIST(BV$2,$M31,$L31,FALSE))*$U31*((1+Inputs!$D$7)^BV$2))),IF($N31=Lists!$K$3,IF($L31&lt;1,((($T31*(1-$F31)+$S31*(1-$G31))/$L31)*((1+Inputs!$D$7)^BV$2)),((INT(BV$2/$L31)-INT((BV$2-1)/$L31))*($T31*(1-$F31)+$S31*(1-$G31))*((1+Inputs!$D$7)^BV$2))),((Inputs!$D$8^((1-_xlfn.WEIBULL.DIST(BV$2,$M31,$L31,FALSE))/_xlfn.WEIBULL.DIST(BV$2,$M31,$L31,FALSE))*($T31*(1-$F31)+$S31*(1-$G31))*((1+Inputs!$D$7)^BV$2))))))))</f>
        <v>42.753586742363382</v>
      </c>
      <c r="BW31" s="88">
        <f>MAX(AG31,($E31*IF(BW$2&gt;Inputs!$D$5,0,IF(BW$2&gt;VLOOKUP($H31,Lists!$P$3:$Q$7,2),IF($N31=Lists!$K$3,IF($L31&lt;1,(($U31/$L31)*((1+Inputs!$D$7)^BW$2)),((INT(BW$2/$L31)-INT((BW$2-1)/$L31))*$U31*((1+Inputs!$D$7)^BW$2))),(Inputs!$D$8^((1-_xlfn.WEIBULL.DIST(BW$2,$M31,$L31,FALSE))/_xlfn.WEIBULL.DIST(BW$2,$M31,$L31,FALSE))*$U31*((1+Inputs!$D$7)^BW$2))),IF($N31=Lists!$K$3,IF($L31&lt;1,((($T31*(1-$F31)+$S31*(1-$G31))/$L31)*((1+Inputs!$D$7)^BW$2)),((INT(BW$2/$L31)-INT((BW$2-1)/$L31))*($T31*(1-$F31)+$S31*(1-$G31))*((1+Inputs!$D$7)^BW$2))),((Inputs!$D$8^((1-_xlfn.WEIBULL.DIST(BW$2,$M31,$L31,FALSE))/_xlfn.WEIBULL.DIST(BW$2,$M31,$L31,FALSE))*($T31*(1-$F31)+$S31*(1-$G31))*((1+Inputs!$D$7)^BW$2))))))))</f>
        <v>38.855164253299677</v>
      </c>
      <c r="BX31" s="88">
        <f>MAX(AH31,($E31*IF(BX$2&gt;Inputs!$D$5,0,IF(BX$2&gt;VLOOKUP($H31,Lists!$P$3:$Q$7,2),IF($N31=Lists!$K$3,IF($L31&lt;1,(($U31/$L31)*((1+Inputs!$D$7)^BX$2)),((INT(BX$2/$L31)-INT((BX$2-1)/$L31))*$U31*((1+Inputs!$D$7)^BX$2))),(Inputs!$D$8^((1-_xlfn.WEIBULL.DIST(BX$2,$M31,$L31,FALSE))/_xlfn.WEIBULL.DIST(BX$2,$M31,$L31,FALSE))*$U31*((1+Inputs!$D$7)^BX$2))),IF($N31=Lists!$K$3,IF($L31&lt;1,((($T31*(1-$F31)+$S31*(1-$G31))/$L31)*((1+Inputs!$D$7)^BX$2)),((INT(BX$2/$L31)-INT((BX$2-1)/$L31))*($T31*(1-$F31)+$S31*(1-$G31))*((1+Inputs!$D$7)^BX$2))),((Inputs!$D$8^((1-_xlfn.WEIBULL.DIST(BX$2,$M31,$L31,FALSE))/_xlfn.WEIBULL.DIST(BX$2,$M31,$L31,FALSE))*($T31*(1-$F31)+$S31*(1-$G31))*((1+Inputs!$D$7)^BX$2))))))))</f>
        <v>35.103872790597485</v>
      </c>
      <c r="BY31" s="88">
        <f>MAX(AI31,($E31*IF(BY$2&gt;Inputs!$D$5,0,IF(BY$2&gt;VLOOKUP($H31,Lists!$P$3:$Q$7,2),IF($N31=Lists!$K$3,IF($L31&lt;1,(($U31/$L31)*((1+Inputs!$D$7)^BY$2)),((INT(BY$2/$L31)-INT((BY$2-1)/$L31))*$U31*((1+Inputs!$D$7)^BY$2))),(Inputs!$D$8^((1-_xlfn.WEIBULL.DIST(BY$2,$M31,$L31,FALSE))/_xlfn.WEIBULL.DIST(BY$2,$M31,$L31,FALSE))*$U31*((1+Inputs!$D$7)^BY$2))),IF($N31=Lists!$K$3,IF($L31&lt;1,((($T31*(1-$F31)+$S31*(1-$G31))/$L31)*((1+Inputs!$D$7)^BY$2)),((INT(BY$2/$L31)-INT((BY$2-1)/$L31))*($T31*(1-$F31)+$S31*(1-$G31))*((1+Inputs!$D$7)^BY$2))),((Inputs!$D$8^((1-_xlfn.WEIBULL.DIST(BY$2,$M31,$L31,FALSE))/_xlfn.WEIBULL.DIST(BY$2,$M31,$L31,FALSE))*($T31*(1-$F31)+$S31*(1-$G31))*((1+Inputs!$D$7)^BY$2))))))))</f>
        <v>31.518071873258709</v>
      </c>
      <c r="BZ31" s="88">
        <f>MAX(AJ31,($E31*IF(BZ$2&gt;Inputs!$D$5,0,IF(BZ$2&gt;VLOOKUP($H31,Lists!$P$3:$Q$7,2),IF($N31=Lists!$K$3,IF($L31&lt;1,(($U31/$L31)*((1+Inputs!$D$7)^BZ$2)),((INT(BZ$2/$L31)-INT((BZ$2-1)/$L31))*$U31*((1+Inputs!$D$7)^BZ$2))),(Inputs!$D$8^((1-_xlfn.WEIBULL.DIST(BZ$2,$M31,$L31,FALSE))/_xlfn.WEIBULL.DIST(BZ$2,$M31,$L31,FALSE))*$U31*((1+Inputs!$D$7)^BZ$2))),IF($N31=Lists!$K$3,IF($L31&lt;1,((($T31*(1-$F31)+$S31*(1-$G31))/$L31)*((1+Inputs!$D$7)^BZ$2)),((INT(BZ$2/$L31)-INT((BZ$2-1)/$L31))*($T31*(1-$F31)+$S31*(1-$G31))*((1+Inputs!$D$7)^BZ$2))),((Inputs!$D$8^((1-_xlfn.WEIBULL.DIST(BZ$2,$M31,$L31,FALSE))/_xlfn.WEIBULL.DIST(BZ$2,$M31,$L31,FALSE))*($T31*(1-$F31)+$S31*(1-$G31))*((1+Inputs!$D$7)^BZ$2))))))))</f>
        <v>28.114091876957563</v>
      </c>
      <c r="CA31" s="88">
        <f>MAX(AK31,($E31*IF(CA$2&gt;Inputs!$D$5,0,IF(CA$2&gt;VLOOKUP($H31,Lists!$P$3:$Q$7,2),IF($N31=Lists!$K$3,IF($L31&lt;1,(($U31/$L31)*((1+Inputs!$D$7)^CA$2)),((INT(CA$2/$L31)-INT((CA$2-1)/$L31))*$U31*((1+Inputs!$D$7)^CA$2))),(Inputs!$D$8^((1-_xlfn.WEIBULL.DIST(CA$2,$M31,$L31,FALSE))/_xlfn.WEIBULL.DIST(CA$2,$M31,$L31,FALSE))*$U31*((1+Inputs!$D$7)^CA$2))),IF($N31=Lists!$K$3,IF($L31&lt;1,((($T31*(1-$F31)+$S31*(1-$G31))/$L31)*((1+Inputs!$D$7)^CA$2)),((INT(CA$2/$L31)-INT((CA$2-1)/$L31))*($T31*(1-$F31)+$S31*(1-$G31))*((1+Inputs!$D$7)^CA$2))),((Inputs!$D$8^((1-_xlfn.WEIBULL.DIST(CA$2,$M31,$L31,FALSE))/_xlfn.WEIBULL.DIST(CA$2,$M31,$L31,FALSE))*($T31*(1-$F31)+$S31*(1-$G31))*((1+Inputs!$D$7)^CA$2))))))))</f>
        <v>24.905924490381771</v>
      </c>
      <c r="CB31" s="88">
        <f>MAX(AL31,($E31*IF(CB$2&gt;Inputs!$D$5,0,IF(CB$2&gt;VLOOKUP($H31,Lists!$P$3:$Q$7,2),IF($N31=Lists!$K$3,IF($L31&lt;1,(($U31/$L31)*((1+Inputs!$D$7)^CB$2)),((INT(CB$2/$L31)-INT((CB$2-1)/$L31))*$U31*((1+Inputs!$D$7)^CB$2))),(Inputs!$D$8^((1-_xlfn.WEIBULL.DIST(CB$2,$M31,$L31,FALSE))/_xlfn.WEIBULL.DIST(CB$2,$M31,$L31,FALSE))*$U31*((1+Inputs!$D$7)^CB$2))),IF($N31=Lists!$K$3,IF($L31&lt;1,((($T31*(1-$F31)+$S31*(1-$G31))/$L31)*((1+Inputs!$D$7)^CB$2)),((INT(CB$2/$L31)-INT((CB$2-1)/$L31))*($T31*(1-$F31)+$S31*(1-$G31))*((1+Inputs!$D$7)^CB$2))),((Inputs!$D$8^((1-_xlfn.WEIBULL.DIST(CB$2,$M31,$L31,FALSE))/_xlfn.WEIBULL.DIST(CB$2,$M31,$L31,FALSE))*($T31*(1-$F31)+$S31*(1-$G31))*((1+Inputs!$D$7)^CB$2))))))))</f>
        <v>21.904955620785291</v>
      </c>
      <c r="CC31" s="88">
        <f>MAX(AM31,($E31*IF(CC$2&gt;Inputs!$D$5,0,IF(CC$2&gt;VLOOKUP($H31,Lists!$P$3:$Q$7,2),IF($N31=Lists!$K$3,IF($L31&lt;1,(($U31/$L31)*((1+Inputs!$D$7)^CC$2)),((INT(CC$2/$L31)-INT((CC$2-1)/$L31))*$U31*((1+Inputs!$D$7)^CC$2))),(Inputs!$D$8^((1-_xlfn.WEIBULL.DIST(CC$2,$M31,$L31,FALSE))/_xlfn.WEIBULL.DIST(CC$2,$M31,$L31,FALSE))*$U31*((1+Inputs!$D$7)^CC$2))),IF($N31=Lists!$K$3,IF($L31&lt;1,((($T31*(1-$F31)+$S31*(1-$G31))/$L31)*((1+Inputs!$D$7)^CC$2)),((INT(CC$2/$L31)-INT((CC$2-1)/$L31))*($T31*(1-$F31)+$S31*(1-$G31))*((1+Inputs!$D$7)^CC$2))),((Inputs!$D$8^((1-_xlfn.WEIBULL.DIST(CC$2,$M31,$L31,FALSE))/_xlfn.WEIBULL.DIST(CC$2,$M31,$L31,FALSE))*($T31*(1-$F31)+$S31*(1-$G31))*((1+Inputs!$D$7)^CC$2))))))))</f>
        <v>19.119752088088195</v>
      </c>
      <c r="CD31" s="88">
        <f>MAX(AN31,($E31*IF(CD$2&gt;Inputs!$D$5,0,IF(CD$2&gt;VLOOKUP($H31,Lists!$P$3:$Q$7,2),IF($N31=Lists!$K$3,IF($L31&lt;1,(($U31/$L31)*((1+Inputs!$D$7)^CD$2)),((INT(CD$2/$L31)-INT((CD$2-1)/$L31))*$U31*((1+Inputs!$D$7)^CD$2))),(Inputs!$D$8^((1-_xlfn.WEIBULL.DIST(CD$2,$M31,$L31,FALSE))/_xlfn.WEIBULL.DIST(CD$2,$M31,$L31,FALSE))*$U31*((1+Inputs!$D$7)^CD$2))),IF($N31=Lists!$K$3,IF($L31&lt;1,((($T31*(1-$F31)+$S31*(1-$G31))/$L31)*((1+Inputs!$D$7)^CD$2)),((INT(CD$2/$L31)-INT((CD$2-1)/$L31))*($T31*(1-$F31)+$S31*(1-$G31))*((1+Inputs!$D$7)^CD$2))),((Inputs!$D$8^((1-_xlfn.WEIBULL.DIST(CD$2,$M31,$L31,FALSE))/_xlfn.WEIBULL.DIST(CD$2,$M31,$L31,FALSE))*($T31*(1-$F31)+$S31*(1-$G31))*((1+Inputs!$D$7)^CD$2))))))))</f>
        <v>16.555912352635399</v>
      </c>
      <c r="CE31" s="88">
        <f>MAX(AO31,($E31*IF(CE$2&gt;Inputs!$D$5,0,IF(CE$2&gt;VLOOKUP($H31,Lists!$P$3:$Q$7,2),IF($N31=Lists!$K$3,IF($L31&lt;1,(($U31/$L31)*((1+Inputs!$D$7)^CE$2)),((INT(CE$2/$L31)-INT((CE$2-1)/$L31))*$U31*((1+Inputs!$D$7)^CE$2))),(Inputs!$D$8^((1-_xlfn.WEIBULL.DIST(CE$2,$M31,$L31,FALSE))/_xlfn.WEIBULL.DIST(CE$2,$M31,$L31,FALSE))*$U31*((1+Inputs!$D$7)^CE$2))),IF($N31=Lists!$K$3,IF($L31&lt;1,((($T31*(1-$F31)+$S31*(1-$G31))/$L31)*((1+Inputs!$D$7)^CE$2)),((INT(CE$2/$L31)-INT((CE$2-1)/$L31))*($T31*(1-$F31)+$S31*(1-$G31))*((1+Inputs!$D$7)^CE$2))),((Inputs!$D$8^((1-_xlfn.WEIBULL.DIST(CE$2,$M31,$L31,FALSE))/_xlfn.WEIBULL.DIST(CE$2,$M31,$L31,FALSE))*($T31*(1-$F31)+$S31*(1-$G31))*((1+Inputs!$D$7)^CE$2))))))))</f>
        <v>14.215989781887243</v>
      </c>
      <c r="CF31" s="88">
        <f>MAX(AP31,($E31*IF(CF$2&gt;Inputs!$D$5,0,IF(CF$2&gt;VLOOKUP($H31,Lists!$P$3:$Q$7,2),IF($N31=Lists!$K$3,IF($L31&lt;1,(($U31/$L31)*((1+Inputs!$D$7)^CF$2)),((INT(CF$2/$L31)-INT((CF$2-1)/$L31))*$U31*((1+Inputs!$D$7)^CF$2))),(Inputs!$D$8^((1-_xlfn.WEIBULL.DIST(CF$2,$M31,$L31,FALSE))/_xlfn.WEIBULL.DIST(CF$2,$M31,$L31,FALSE))*$U31*((1+Inputs!$D$7)^CF$2))),IF($N31=Lists!$K$3,IF($L31&lt;1,((($T31*(1-$F31)+$S31*(1-$G31))/$L31)*((1+Inputs!$D$7)^CF$2)),((INT(CF$2/$L31)-INT((CF$2-1)/$L31))*($T31*(1-$F31)+$S31*(1-$G31))*((1+Inputs!$D$7)^CF$2))),((Inputs!$D$8^((1-_xlfn.WEIBULL.DIST(CF$2,$M31,$L31,FALSE))/_xlfn.WEIBULL.DIST(CF$2,$M31,$L31,FALSE))*($T31*(1-$F31)+$S31*(1-$G31))*((1+Inputs!$D$7)^CF$2))))))))</f>
        <v>12.099494586357265</v>
      </c>
      <c r="CG31" s="88">
        <f>MAX(AQ31,($E31*IF(CG$2&gt;Inputs!$D$5,0,IF(CG$2&gt;VLOOKUP($H31,Lists!$P$3:$Q$7,2),IF($N31=Lists!$K$3,IF($L31&lt;1,(($U31/$L31)*((1+Inputs!$D$7)^CG$2)),((INT(CG$2/$L31)-INT((CG$2-1)/$L31))*$U31*((1+Inputs!$D$7)^CG$2))),(Inputs!$D$8^((1-_xlfn.WEIBULL.DIST(CG$2,$M31,$L31,FALSE))/_xlfn.WEIBULL.DIST(CG$2,$M31,$L31,FALSE))*$U31*((1+Inputs!$D$7)^CG$2))),IF($N31=Lists!$K$3,IF($L31&lt;1,((($T31*(1-$F31)+$S31*(1-$G31))/$L31)*((1+Inputs!$D$7)^CG$2)),((INT(CG$2/$L31)-INT((CG$2-1)/$L31))*($T31*(1-$F31)+$S31*(1-$G31))*((1+Inputs!$D$7)^CG$2))),((Inputs!$D$8^((1-_xlfn.WEIBULL.DIST(CG$2,$M31,$L31,FALSE))/_xlfn.WEIBULL.DIST(CG$2,$M31,$L31,FALSE))*($T31*(1-$F31)+$S31*(1-$G31))*((1+Inputs!$D$7)^CG$2))))))))</f>
        <v>10.202977603455212</v>
      </c>
      <c r="CH31" s="88">
        <f>MAX(AR31,($E31*IF(CH$2&gt;Inputs!$D$5,0,IF(CH$2&gt;VLOOKUP($H31,Lists!$P$3:$Q$7,2),IF($N31=Lists!$K$3,IF($L31&lt;1,(($U31/$L31)*((1+Inputs!$D$7)^CH$2)),((INT(CH$2/$L31)-INT((CH$2-1)/$L31))*$U31*((1+Inputs!$D$7)^CH$2))),(Inputs!$D$8^((1-_xlfn.WEIBULL.DIST(CH$2,$M31,$L31,FALSE))/_xlfn.WEIBULL.DIST(CH$2,$M31,$L31,FALSE))*$U31*((1+Inputs!$D$7)^CH$2))),IF($N31=Lists!$K$3,IF($L31&lt;1,((($T31*(1-$F31)+$S31*(1-$G31))/$L31)*((1+Inputs!$D$7)^CH$2)),((INT(CH$2/$L31)-INT((CH$2-1)/$L31))*($T31*(1-$F31)+$S31*(1-$G31))*((1+Inputs!$D$7)^CH$2))),((Inputs!$D$8^((1-_xlfn.WEIBULL.DIST(CH$2,$M31,$L31,FALSE))/_xlfn.WEIBULL.DIST(CH$2,$M31,$L31,FALSE))*($T31*(1-$F31)+$S31*(1-$G31))*((1+Inputs!$D$7)^CH$2))))))))</f>
        <v>9.6314975414178399</v>
      </c>
      <c r="CI31" s="88">
        <f>MAX(AS31,($E31*IF(CI$2&gt;Inputs!$D$5,0,IF(CI$2&gt;VLOOKUP($H31,Lists!$P$3:$Q$7,2),IF($N31=Lists!$K$3,IF($L31&lt;1,(($U31/$L31)*((1+Inputs!$D$7)^CI$2)),((INT(CI$2/$L31)-INT((CI$2-1)/$L31))*$U31*((1+Inputs!$D$7)^CI$2))),(Inputs!$D$8^((1-_xlfn.WEIBULL.DIST(CI$2,$M31,$L31,FALSE))/_xlfn.WEIBULL.DIST(CI$2,$M31,$L31,FALSE))*$U31*((1+Inputs!$D$7)^CI$2))),IF($N31=Lists!$K$3,IF($L31&lt;1,((($T31*(1-$F31)+$S31*(1-$G31))/$L31)*((1+Inputs!$D$7)^CI$2)),((INT(CI$2/$L31)-INT((CI$2-1)/$L31))*($T31*(1-$F31)+$S31*(1-$G31))*((1+Inputs!$D$7)^CI$2))),((Inputs!$D$8^((1-_xlfn.WEIBULL.DIST(CI$2,$M31,$L31,FALSE))/_xlfn.WEIBULL.DIST(CI$2,$M31,$L31,FALSE))*($T31*(1-$F31)+$S31*(1-$G31))*((1+Inputs!$D$7)^CI$2))))))))</f>
        <v>9.3449991406709927</v>
      </c>
      <c r="CJ31" s="88">
        <f>MAX(AT31,($E31*IF(CJ$2&gt;Inputs!$D$5,0,IF(CJ$2&gt;VLOOKUP($H31,Lists!$P$3:$Q$7,2),IF($N31=Lists!$K$3,IF($L31&lt;1,(($U31/$L31)*((1+Inputs!$D$7)^CJ$2)),((INT(CJ$2/$L31)-INT((CJ$2-1)/$L31))*$U31*((1+Inputs!$D$7)^CJ$2))),(Inputs!$D$8^((1-_xlfn.WEIBULL.DIST(CJ$2,$M31,$L31,FALSE))/_xlfn.WEIBULL.DIST(CJ$2,$M31,$L31,FALSE))*$U31*((1+Inputs!$D$7)^CJ$2))),IF($N31=Lists!$K$3,IF($L31&lt;1,((($T31*(1-$F31)+$S31*(1-$G31))/$L31)*((1+Inputs!$D$7)^CJ$2)),((INT(CJ$2/$L31)-INT((CJ$2-1)/$L31))*($T31*(1-$F31)+$S31*(1-$G31))*((1+Inputs!$D$7)^CJ$2))),((Inputs!$D$8^((1-_xlfn.WEIBULL.DIST(CJ$2,$M31,$L31,FALSE))/_xlfn.WEIBULL.DIST(CJ$2,$M31,$L31,FALSE))*($T31*(1-$F31)+$S31*(1-$G31))*((1+Inputs!$D$7)^CJ$2))))))))</f>
        <v>9.0670229176309398</v>
      </c>
      <c r="CK31" s="88">
        <f>MAX(AU31,($E31*IF(CK$2&gt;Inputs!$D$5,0,IF(CK$2&gt;VLOOKUP($H31,Lists!$P$3:$Q$7,2),IF($N31=Lists!$K$3,IF($L31&lt;1,(($U31/$L31)*((1+Inputs!$D$7)^CK$2)),((INT(CK$2/$L31)-INT((CK$2-1)/$L31))*$U31*((1+Inputs!$D$7)^CK$2))),(Inputs!$D$8^((1-_xlfn.WEIBULL.DIST(CK$2,$M31,$L31,FALSE))/_xlfn.WEIBULL.DIST(CK$2,$M31,$L31,FALSE))*$U31*((1+Inputs!$D$7)^CK$2))),IF($N31=Lists!$K$3,IF($L31&lt;1,((($T31*(1-$F31)+$S31*(1-$G31))/$L31)*((1+Inputs!$D$7)^CK$2)),((INT(CK$2/$L31)-INT((CK$2-1)/$L31))*($T31*(1-$F31)+$S31*(1-$G31))*((1+Inputs!$D$7)^CK$2))),((Inputs!$D$8^((1-_xlfn.WEIBULL.DIST(CK$2,$M31,$L31,FALSE))/_xlfn.WEIBULL.DIST(CK$2,$M31,$L31,FALSE))*($T31*(1-$F31)+$S31*(1-$G31))*((1+Inputs!$D$7)^CK$2))))))))</f>
        <v>8.7973153717103187</v>
      </c>
      <c r="CL31" s="88">
        <f>MAX(AV31,($E31*IF(CL$2&gt;Inputs!$D$5,0,IF(CL$2&gt;VLOOKUP($H31,Lists!$P$3:$Q$7,2),IF($N31=Lists!$K$3,IF($L31&lt;1,(($U31/$L31)*((1+Inputs!$D$7)^CL$2)),((INT(CL$2/$L31)-INT((CL$2-1)/$L31))*$U31*((1+Inputs!$D$7)^CL$2))),(Inputs!$D$8^((1-_xlfn.WEIBULL.DIST(CL$2,$M31,$L31,FALSE))/_xlfn.WEIBULL.DIST(CL$2,$M31,$L31,FALSE))*$U31*((1+Inputs!$D$7)^CL$2))),IF($N31=Lists!$K$3,IF($L31&lt;1,((($T31*(1-$F31)+$S31*(1-$G31))/$L31)*((1+Inputs!$D$7)^CL$2)),((INT(CL$2/$L31)-INT((CL$2-1)/$L31))*($T31*(1-$F31)+$S31*(1-$G31))*((1+Inputs!$D$7)^CL$2))),((Inputs!$D$8^((1-_xlfn.WEIBULL.DIST(CL$2,$M31,$L31,FALSE))/_xlfn.WEIBULL.DIST(CL$2,$M31,$L31,FALSE))*($T31*(1-$F31)+$S31*(1-$G31))*((1+Inputs!$D$7)^CL$2))))))))</f>
        <v>8.5356305429469597</v>
      </c>
      <c r="CM31" s="88">
        <f>MAX(AW31,($E31*IF(CM$2&gt;Inputs!$D$5,0,IF(CM$2&gt;VLOOKUP($H31,Lists!$P$3:$Q$7,2),IF($N31=Lists!$K$3,IF($L31&lt;1,(($U31/$L31)*((1+Inputs!$D$7)^CM$2)),((INT(CM$2/$L31)-INT((CM$2-1)/$L31))*$U31*((1+Inputs!$D$7)^CM$2))),(Inputs!$D$8^((1-_xlfn.WEIBULL.DIST(CM$2,$M31,$L31,FALSE))/_xlfn.WEIBULL.DIST(CM$2,$M31,$L31,FALSE))*$U31*((1+Inputs!$D$7)^CM$2))),IF($N31=Lists!$K$3,IF($L31&lt;1,((($T31*(1-$F31)+$S31*(1-$G31))/$L31)*((1+Inputs!$D$7)^CM$2)),((INT(CM$2/$L31)-INT((CM$2-1)/$L31))*($T31*(1-$F31)+$S31*(1-$G31))*((1+Inputs!$D$7)^CM$2))),((Inputs!$D$8^((1-_xlfn.WEIBULL.DIST(CM$2,$M31,$L31,FALSE))/_xlfn.WEIBULL.DIST(CM$2,$M31,$L31,FALSE))*($T31*(1-$F31)+$S31*(1-$G31))*((1+Inputs!$D$7)^CM$2))))))))</f>
        <v>8.2817297877005149</v>
      </c>
      <c r="CN31" s="88">
        <f>MAX(AX31,($E31*IF(CN$2&gt;Inputs!$D$5,0,IF(CN$2&gt;VLOOKUP($H31,Lists!$P$3:$Q$7,2),IF($N31=Lists!$K$3,IF($L31&lt;1,(($U31/$L31)*((1+Inputs!$D$7)^CN$2)),((INT(CN$2/$L31)-INT((CN$2-1)/$L31))*$U31*((1+Inputs!$D$7)^CN$2))),(Inputs!$D$8^((1-_xlfn.WEIBULL.DIST(CN$2,$M31,$L31,FALSE))/_xlfn.WEIBULL.DIST(CN$2,$M31,$L31,FALSE))*$U31*((1+Inputs!$D$7)^CN$2))),IF($N31=Lists!$K$3,IF($L31&lt;1,((($T31*(1-$F31)+$S31*(1-$G31))/$L31)*((1+Inputs!$D$7)^CN$2)),((INT(CN$2/$L31)-INT((CN$2-1)/$L31))*($T31*(1-$F31)+$S31*(1-$G31))*((1+Inputs!$D$7)^CN$2))),((Inputs!$D$8^((1-_xlfn.WEIBULL.DIST(CN$2,$M31,$L31,FALSE))/_xlfn.WEIBULL.DIST(CN$2,$M31,$L31,FALSE))*($T31*(1-$F31)+$S31*(1-$G31))*((1+Inputs!$D$7)^CN$2))))))))</f>
        <v>8.0353815610212784</v>
      </c>
      <c r="CO31" s="88">
        <f>MAX(AY31,($E31*IF(CO$2&gt;Inputs!$D$5,0,IF(CO$2&gt;VLOOKUP($H31,Lists!$P$3:$Q$7,2),IF($N31=Lists!$K$3,IF($L31&lt;1,(($U31/$L31)*((1+Inputs!$D$7)^CO$2)),((INT(CO$2/$L31)-INT((CO$2-1)/$L31))*$U31*((1+Inputs!$D$7)^CO$2))),(Inputs!$D$8^((1-_xlfn.WEIBULL.DIST(CO$2,$M31,$L31,FALSE))/_xlfn.WEIBULL.DIST(CO$2,$M31,$L31,FALSE))*$U31*((1+Inputs!$D$7)^CO$2))),IF($N31=Lists!$K$3,IF($L31&lt;1,((($T31*(1-$F31)+$S31*(1-$G31))/$L31)*((1+Inputs!$D$7)^CO$2)),((INT(CO$2/$L31)-INT((CO$2-1)/$L31))*($T31*(1-$F31)+$S31*(1-$G31))*((1+Inputs!$D$7)^CO$2))),((Inputs!$D$8^((1-_xlfn.WEIBULL.DIST(CO$2,$M31,$L31,FALSE))/_xlfn.WEIBULL.DIST(CO$2,$M31,$L31,FALSE))*($T31*(1-$F31)+$S31*(1-$G31))*((1+Inputs!$D$7)^CO$2))))))))</f>
        <v>7.7963612054925946</v>
      </c>
      <c r="CP31" s="88">
        <f>MAX(AZ31,($E31*IF(CP$2&gt;Inputs!$D$5,0,IF(CP$2&gt;VLOOKUP($H31,Lists!$P$3:$Q$7,2),IF($N31=Lists!$K$3,IF($L31&lt;1,(($U31/$L31)*((1+Inputs!$D$7)^CP$2)),((INT(CP$2/$L31)-INT((CP$2-1)/$L31))*$U31*((1+Inputs!$D$7)^CP$2))),(Inputs!$D$8^((1-_xlfn.WEIBULL.DIST(CP$2,$M31,$L31,FALSE))/_xlfn.WEIBULL.DIST(CP$2,$M31,$L31,FALSE))*$U31*((1+Inputs!$D$7)^CP$2))),IF($N31=Lists!$K$3,IF($L31&lt;1,((($T31*(1-$F31)+$S31*(1-$G31))/$L31)*((1+Inputs!$D$7)^CP$2)),((INT(CP$2/$L31)-INT((CP$2-1)/$L31))*($T31*(1-$F31)+$S31*(1-$G31))*((1+Inputs!$D$7)^CP$2))),((Inputs!$D$8^((1-_xlfn.WEIBULL.DIST(CP$2,$M31,$L31,FALSE))/_xlfn.WEIBULL.DIST(CP$2,$M31,$L31,FALSE))*($T31*(1-$F31)+$S31*(1-$G31))*((1+Inputs!$D$7)^CP$2))))))))</f>
        <v>0</v>
      </c>
      <c r="CQ31" s="88">
        <f>MAX(BA31,($E31*IF(CQ$2&gt;Inputs!$D$5,0,IF(CQ$2&gt;VLOOKUP($H31,Lists!$P$3:$Q$7,2),IF($N31=Lists!$K$3,IF($L31&lt;1,(($U31/$L31)*((1+Inputs!$D$7)^CQ$2)),((INT(CQ$2/$L31)-INT((CQ$2-1)/$L31))*$U31*((1+Inputs!$D$7)^CQ$2))),(Inputs!$D$8^((1-_xlfn.WEIBULL.DIST(CQ$2,$M31,$L31,FALSE))/_xlfn.WEIBULL.DIST(CQ$2,$M31,$L31,FALSE))*$U31*((1+Inputs!$D$7)^CQ$2))),IF($N31=Lists!$K$3,IF($L31&lt;1,((($T31*(1-$F31)+$S31*(1-$G31))/$L31)*((1+Inputs!$D$7)^CQ$2)),((INT(CQ$2/$L31)-INT((CQ$2-1)/$L31))*($T31*(1-$F31)+$S31*(1-$G31))*((1+Inputs!$D$7)^CQ$2))),((Inputs!$D$8^((1-_xlfn.WEIBULL.DIST(CQ$2,$M31,$L31,FALSE))/_xlfn.WEIBULL.DIST(CQ$2,$M31,$L31,FALSE))*($T31*(1-$F31)+$S31*(1-$G31))*((1+Inputs!$D$7)^CQ$2))))))))</f>
        <v>0</v>
      </c>
      <c r="CR31" s="88">
        <f>MAX(BB31,($E31*IF(CR$2&gt;Inputs!$D$5,0,IF(CR$2&gt;VLOOKUP($H31,Lists!$P$3:$Q$7,2),IF($N31=Lists!$K$3,IF($L31&lt;1,(($U31/$L31)*((1+Inputs!$D$7)^CR$2)),((INT(CR$2/$L31)-INT((CR$2-1)/$L31))*$U31*((1+Inputs!$D$7)^CR$2))),(Inputs!$D$8^((1-_xlfn.WEIBULL.DIST(CR$2,$M31,$L31,FALSE))/_xlfn.WEIBULL.DIST(CR$2,$M31,$L31,FALSE))*$U31*((1+Inputs!$D$7)^CR$2))),IF($N31=Lists!$K$3,IF($L31&lt;1,((($T31*(1-$F31)+$S31*(1-$G31))/$L31)*((1+Inputs!$D$7)^CR$2)),((INT(CR$2/$L31)-INT((CR$2-1)/$L31))*($T31*(1-$F31)+$S31*(1-$G31))*((1+Inputs!$D$7)^CR$2))),((Inputs!$D$8^((1-_xlfn.WEIBULL.DIST(CR$2,$M31,$L31,FALSE))/_xlfn.WEIBULL.DIST(CR$2,$M31,$L31,FALSE))*($T31*(1-$F31)+$S31*(1-$G31))*((1+Inputs!$D$7)^CR$2))))))))</f>
        <v>0</v>
      </c>
      <c r="CS31" s="88">
        <f>MAX(BC31,($E31*IF(CS$2&gt;Inputs!$D$5,0,IF(CS$2&gt;VLOOKUP($H31,Lists!$P$3:$Q$7,2),IF($N31=Lists!$K$3,IF($L31&lt;1,(($U31/$L31)*((1+Inputs!$D$7)^CS$2)),((INT(CS$2/$L31)-INT((CS$2-1)/$L31))*$U31*((1+Inputs!$D$7)^CS$2))),(Inputs!$D$8^((1-_xlfn.WEIBULL.DIST(CS$2,$M31,$L31,FALSE))/_xlfn.WEIBULL.DIST(CS$2,$M31,$L31,FALSE))*$U31*((1+Inputs!$D$7)^CS$2))),IF($N31=Lists!$K$3,IF($L31&lt;1,((($T31*(1-$F31)+$S31*(1-$G31))/$L31)*((1+Inputs!$D$7)^CS$2)),((INT(CS$2/$L31)-INT((CS$2-1)/$L31))*($T31*(1-$F31)+$S31*(1-$G31))*((1+Inputs!$D$7)^CS$2))),((Inputs!$D$8^((1-_xlfn.WEIBULL.DIST(CS$2,$M31,$L31,FALSE))/_xlfn.WEIBULL.DIST(CS$2,$M31,$L31,FALSE))*($T31*(1-$F31)+$S31*(1-$G31))*((1+Inputs!$D$7)^CS$2))))))))</f>
        <v>0</v>
      </c>
      <c r="CT31" s="88">
        <f>MAX(BD31,($E31*IF(CT$2&gt;Inputs!$D$5,0,IF(CT$2&gt;VLOOKUP($H31,Lists!$P$3:$Q$7,2),IF($N31=Lists!$K$3,IF($L31&lt;1,(($U31/$L31)*((1+Inputs!$D$7)^CT$2)),((INT(CT$2/$L31)-INT((CT$2-1)/$L31))*$U31*((1+Inputs!$D$7)^CT$2))),(Inputs!$D$8^((1-_xlfn.WEIBULL.DIST(CT$2,$M31,$L31,FALSE))/_xlfn.WEIBULL.DIST(CT$2,$M31,$L31,FALSE))*$U31*((1+Inputs!$D$7)^CT$2))),IF($N31=Lists!$K$3,IF($L31&lt;1,((($T31*(1-$F31)+$S31*(1-$G31))/$L31)*((1+Inputs!$D$7)^CT$2)),((INT(CT$2/$L31)-INT((CT$2-1)/$L31))*($T31*(1-$F31)+$S31*(1-$G31))*((1+Inputs!$D$7)^CT$2))),((Inputs!$D$8^((1-_xlfn.WEIBULL.DIST(CT$2,$M31,$L31,FALSE))/_xlfn.WEIBULL.DIST(CT$2,$M31,$L31,FALSE))*($T31*(1-$F31)+$S31*(1-$G31))*((1+Inputs!$D$7)^CT$2))))))))</f>
        <v>0</v>
      </c>
      <c r="CU31" s="88">
        <f>MAX(BE31,($E31*IF(CU$2&gt;Inputs!$D$5,0,IF(CU$2&gt;VLOOKUP($H31,Lists!$P$3:$Q$7,2),IF($N31=Lists!$K$3,IF($L31&lt;1,(($U31/$L31)*((1+Inputs!$D$7)^CU$2)),((INT(CU$2/$L31)-INT((CU$2-1)/$L31))*$U31*((1+Inputs!$D$7)^CU$2))),(Inputs!$D$8^((1-_xlfn.WEIBULL.DIST(CU$2,$M31,$L31,FALSE))/_xlfn.WEIBULL.DIST(CU$2,$M31,$L31,FALSE))*$U31*((1+Inputs!$D$7)^CU$2))),IF($N31=Lists!$K$3,IF($L31&lt;1,((($T31*(1-$F31)+$S31*(1-$G31))/$L31)*((1+Inputs!$D$7)^CU$2)),((INT(CU$2/$L31)-INT((CU$2-1)/$L31))*($T31*(1-$F31)+$S31*(1-$G31))*((1+Inputs!$D$7)^CU$2))),((Inputs!$D$8^((1-_xlfn.WEIBULL.DIST(CU$2,$M31,$L31,FALSE))/_xlfn.WEIBULL.DIST(CU$2,$M31,$L31,FALSE))*($T31*(1-$F31)+$S31*(1-$G31))*((1+Inputs!$D$7)^CU$2))))))))</f>
        <v>0</v>
      </c>
      <c r="CV31" s="88">
        <f>MAX(BF31,($E31*IF(CV$2&gt;Inputs!$D$5,0,IF(CV$2&gt;VLOOKUP($H31,Lists!$P$3:$Q$7,2),IF($N31=Lists!$K$3,IF($L31&lt;1,(($U31/$L31)*((1+Inputs!$D$7)^CV$2)),((INT(CV$2/$L31)-INT((CV$2-1)/$L31))*$U31*((1+Inputs!$D$7)^CV$2))),(Inputs!$D$8^((1-_xlfn.WEIBULL.DIST(CV$2,$M31,$L31,FALSE))/_xlfn.WEIBULL.DIST(CV$2,$M31,$L31,FALSE))*$U31*((1+Inputs!$D$7)^CV$2))),IF($N31=Lists!$K$3,IF($L31&lt;1,((($T31*(1-$F31)+$S31*(1-$G31))/$L31)*((1+Inputs!$D$7)^CV$2)),((INT(CV$2/$L31)-INT((CV$2-1)/$L31))*($T31*(1-$F31)+$S31*(1-$G31))*((1+Inputs!$D$7)^CV$2))),((Inputs!$D$8^((1-_xlfn.WEIBULL.DIST(CV$2,$M31,$L31,FALSE))/_xlfn.WEIBULL.DIST(CV$2,$M31,$L31,FALSE))*($T31*(1-$F31)+$S31*(1-$G31))*((1+Inputs!$D$7)^CV$2))))))))</f>
        <v>0</v>
      </c>
      <c r="CW31" s="88">
        <f>MAX(BG31,($E31*IF(CW$2&gt;Inputs!$D$5,0,IF(CW$2&gt;VLOOKUP($H31,Lists!$P$3:$Q$7,2),IF($N31=Lists!$K$3,IF($L31&lt;1,(($U31/$L31)*((1+Inputs!$D$7)^CW$2)),((INT(CW$2/$L31)-INT((CW$2-1)/$L31))*$U31*((1+Inputs!$D$7)^CW$2))),(Inputs!$D$8^((1-_xlfn.WEIBULL.DIST(CW$2,$M31,$L31,FALSE))/_xlfn.WEIBULL.DIST(CW$2,$M31,$L31,FALSE))*$U31*((1+Inputs!$D$7)^CW$2))),IF($N31=Lists!$K$3,IF($L31&lt;1,((($T31*(1-$F31)+$S31*(1-$G31))/$L31)*((1+Inputs!$D$7)^CW$2)),((INT(CW$2/$L31)-INT((CW$2-1)/$L31))*($T31*(1-$F31)+$S31*(1-$G31))*((1+Inputs!$D$7)^CW$2))),((Inputs!$D$8^((1-_xlfn.WEIBULL.DIST(CW$2,$M31,$L31,FALSE))/_xlfn.WEIBULL.DIST(CW$2,$M31,$L31,FALSE))*($T31*(1-$F31)+$S31*(1-$G31))*((1+Inputs!$D$7)^CW$2))))))))</f>
        <v>0</v>
      </c>
      <c r="CX31" s="88">
        <f>MAX(BH31,($E31*IF(CX$2&gt;Inputs!$D$5,0,IF(CX$2&gt;VLOOKUP($H31,Lists!$P$3:$Q$7,2),IF($N31=Lists!$K$3,IF($L31&lt;1,(($U31/$L31)*((1+Inputs!$D$7)^CX$2)),((INT(CX$2/$L31)-INT((CX$2-1)/$L31))*$U31*((1+Inputs!$D$7)^CX$2))),(Inputs!$D$8^((1-_xlfn.WEIBULL.DIST(CX$2,$M31,$L31,FALSE))/_xlfn.WEIBULL.DIST(CX$2,$M31,$L31,FALSE))*$U31*((1+Inputs!$D$7)^CX$2))),IF($N31=Lists!$K$3,IF($L31&lt;1,((($T31*(1-$F31)+$S31*(1-$G31))/$L31)*((1+Inputs!$D$7)^CX$2)),((INT(CX$2/$L31)-INT((CX$2-1)/$L31))*($T31*(1-$F31)+$S31*(1-$G31))*((1+Inputs!$D$7)^CX$2))),((Inputs!$D$8^((1-_xlfn.WEIBULL.DIST(CX$2,$M31,$L31,FALSE))/_xlfn.WEIBULL.DIST(CX$2,$M31,$L31,FALSE))*($T31*(1-$F31)+$S31*(1-$G31))*((1+Inputs!$D$7)^CX$2))))))))</f>
        <v>0</v>
      </c>
      <c r="CY31" s="88">
        <f>MAX(BI31,($E31*IF(CY$2&gt;Inputs!$D$5,0,IF(CY$2&gt;VLOOKUP($H31,Lists!$P$3:$Q$7,2),IF($N31=Lists!$K$3,IF($L31&lt;1,(($U31/$L31)*((1+Inputs!$D$7)^CY$2)),((INT(CY$2/$L31)-INT((CY$2-1)/$L31))*$U31*((1+Inputs!$D$7)^CY$2))),(Inputs!$D$8^((1-_xlfn.WEIBULL.DIST(CY$2,$M31,$L31,FALSE))/_xlfn.WEIBULL.DIST(CY$2,$M31,$L31,FALSE))*$U31*((1+Inputs!$D$7)^CY$2))),IF($N31=Lists!$K$3,IF($L31&lt;1,((($T31*(1-$F31)+$S31*(1-$G31))/$L31)*((1+Inputs!$D$7)^CY$2)),((INT(CY$2/$L31)-INT((CY$2-1)/$L31))*($T31*(1-$F31)+$S31*(1-$G31))*((1+Inputs!$D$7)^CY$2))),((Inputs!$D$8^((1-_xlfn.WEIBULL.DIST(CY$2,$M31,$L31,FALSE))/_xlfn.WEIBULL.DIST(CY$2,$M31,$L31,FALSE))*($T31*(1-$F31)+$S31*(1-$G31))*((1+Inputs!$D$7)^CY$2))))))))</f>
        <v>0</v>
      </c>
      <c r="CZ31" s="88">
        <f>MAX(BJ31,($E31*IF(CZ$2&gt;Inputs!$D$5,0,IF(CZ$2&gt;VLOOKUP($H31,Lists!$P$3:$Q$7,2),IF($N31=Lists!$K$3,IF($L31&lt;1,(($U31/$L31)*((1+Inputs!$D$7)^CZ$2)),((INT(CZ$2/$L31)-INT((CZ$2-1)/$L31))*$U31*((1+Inputs!$D$7)^CZ$2))),(Inputs!$D$8^((1-_xlfn.WEIBULL.DIST(CZ$2,$M31,$L31,FALSE))/_xlfn.WEIBULL.DIST(CZ$2,$M31,$L31,FALSE))*$U31*((1+Inputs!$D$7)^CZ$2))),IF($N31=Lists!$K$3,IF($L31&lt;1,((($T31*(1-$F31)+$S31*(1-$G31))/$L31)*((1+Inputs!$D$7)^CZ$2)),((INT(CZ$2/$L31)-INT((CZ$2-1)/$L31))*($T31*(1-$F31)+$S31*(1-$G31))*((1+Inputs!$D$7)^CZ$2))),((Inputs!$D$8^((1-_xlfn.WEIBULL.DIST(CZ$2,$M31,$L31,FALSE))/_xlfn.WEIBULL.DIST(CZ$2,$M31,$L31,FALSE))*($T31*(1-$F31)+$S31*(1-$G31))*((1+Inputs!$D$7)^CZ$2))))))))</f>
        <v>0</v>
      </c>
      <c r="DA31" s="88">
        <f>MAX(BK31,($E31*IF(DA$2&gt;Inputs!$D$5,0,IF(DA$2&gt;VLOOKUP($H31,Lists!$P$3:$Q$7,2),IF($N31=Lists!$K$3,IF($L31&lt;1,(($U31/$L31)*((1+Inputs!$D$7)^DA$2)),((INT(DA$2/$L31)-INT((DA$2-1)/$L31))*$U31*((1+Inputs!$D$7)^DA$2))),(Inputs!$D$8^((1-_xlfn.WEIBULL.DIST(DA$2,$M31,$L31,FALSE))/_xlfn.WEIBULL.DIST(DA$2,$M31,$L31,FALSE))*$U31*((1+Inputs!$D$7)^DA$2))),IF($N31=Lists!$K$3,IF($L31&lt;1,((($T31*(1-$F31)+$S31*(1-$G31))/$L31)*((1+Inputs!$D$7)^DA$2)),((INT(DA$2/$L31)-INT((DA$2-1)/$L31))*($T31*(1-$F31)+$S31*(1-$G31))*((1+Inputs!$D$7)^DA$2))),((Inputs!$D$8^((1-_xlfn.WEIBULL.DIST(DA$2,$M31,$L31,FALSE))/_xlfn.WEIBULL.DIST(DA$2,$M31,$L31,FALSE))*($T31*(1-$F31)+$S31*(1-$G31))*((1+Inputs!$D$7)^DA$2))))))))</f>
        <v>0</v>
      </c>
      <c r="DB31" s="88">
        <f>MAX(BL31,($E31*IF(DB$2&gt;Inputs!$D$5,0,IF(DB$2&gt;VLOOKUP($H31,Lists!$P$3:$Q$7,2),IF($N31=Lists!$K$3,IF($L31&lt;1,(($U31/$L31)*((1+Inputs!$D$7)^DB$2)),((INT(DB$2/$L31)-INT((DB$2-1)/$L31))*$U31*((1+Inputs!$D$7)^DB$2))),(Inputs!$D$8^((1-_xlfn.WEIBULL.DIST(DB$2,$M31,$L31,FALSE))/_xlfn.WEIBULL.DIST(DB$2,$M31,$L31,FALSE))*$U31*((1+Inputs!$D$7)^DB$2))),IF($N31=Lists!$K$3,IF($L31&lt;1,((($T31*(1-$F31)+$S31*(1-$G31))/$L31)*((1+Inputs!$D$7)^DB$2)),((INT(DB$2/$L31)-INT((DB$2-1)/$L31))*($T31*(1-$F31)+$S31*(1-$G31))*((1+Inputs!$D$7)^DB$2))),((Inputs!$D$8^((1-_xlfn.WEIBULL.DIST(DB$2,$M31,$L31,FALSE))/_xlfn.WEIBULL.DIST(DB$2,$M31,$L31,FALSE))*($T31*(1-$F31)+$S31*(1-$G31))*((1+Inputs!$D$7)^DB$2))))))))</f>
        <v>0</v>
      </c>
      <c r="DC31" s="88">
        <f>MAX(BM31,($E31*IF(DC$2&gt;Inputs!$D$5,0,IF(DC$2&gt;VLOOKUP($H31,Lists!$P$3:$Q$7,2),IF($N31=Lists!$K$3,IF($L31&lt;1,(($U31/$L31)*((1+Inputs!$D$7)^DC$2)),((INT(DC$2/$L31)-INT((DC$2-1)/$L31))*$U31*((1+Inputs!$D$7)^DC$2))),(Inputs!$D$8^((1-_xlfn.WEIBULL.DIST(DC$2,$M31,$L31,FALSE))/_xlfn.WEIBULL.DIST(DC$2,$M31,$L31,FALSE))*$U31*((1+Inputs!$D$7)^DC$2))),IF($N31=Lists!$K$3,IF($L31&lt;1,((($T31*(1-$F31)+$S31*(1-$G31))/$L31)*((1+Inputs!$D$7)^DC$2)),((INT(DC$2/$L31)-INT((DC$2-1)/$L31))*($T31*(1-$F31)+$S31*(1-$G31))*((1+Inputs!$D$7)^DC$2))),((Inputs!$D$8^((1-_xlfn.WEIBULL.DIST(DC$2,$M31,$L31,FALSE))/_xlfn.WEIBULL.DIST(DC$2,$M31,$L31,FALSE))*($T31*(1-$F31)+$S31*(1-$G31))*((1+Inputs!$D$7)^DC$2))))))))</f>
        <v>0</v>
      </c>
      <c r="DD31" s="88">
        <f>MAX(BN31,($E31*IF(DD$2&gt;Inputs!$D$5,0,IF(DD$2&gt;VLOOKUP($H31,Lists!$P$3:$Q$7,2),IF($N31=Lists!$K$3,IF($L31&lt;1,(($U31/$L31)*((1+Inputs!$D$7)^DD$2)),((INT(DD$2/$L31)-INT((DD$2-1)/$L31))*$U31*((1+Inputs!$D$7)^DD$2))),(Inputs!$D$8^((1-_xlfn.WEIBULL.DIST(DD$2,$M31,$L31,FALSE))/_xlfn.WEIBULL.DIST(DD$2,$M31,$L31,FALSE))*$U31*((1+Inputs!$D$7)^DD$2))),IF($N31=Lists!$K$3,IF($L31&lt;1,((($T31*(1-$F31)+$S31*(1-$G31))/$L31)*((1+Inputs!$D$7)^DD$2)),((INT(DD$2/$L31)-INT((DD$2-1)/$L31))*($T31*(1-$F31)+$S31*(1-$G31))*((1+Inputs!$D$7)^DD$2))),((Inputs!$D$8^((1-_xlfn.WEIBULL.DIST(DD$2,$M31,$L31,FALSE))/_xlfn.WEIBULL.DIST(DD$2,$M31,$L31,FALSE))*($T31*(1-$F31)+$S31*(1-$G31))*((1+Inputs!$D$7)^DD$2))))))))</f>
        <v>0</v>
      </c>
    </row>
    <row r="32" spans="1:108" s="1" customFormat="1" ht="16">
      <c r="A32" s="57" t="s">
        <v>191</v>
      </c>
      <c r="B32" s="13" t="s">
        <v>130</v>
      </c>
      <c r="C32" s="13" t="s">
        <v>474</v>
      </c>
      <c r="D32" s="13" t="s">
        <v>16</v>
      </c>
      <c r="E32" s="48">
        <f>IF(Inputs!$D$30=Lists!$M$4,1,0)</f>
        <v>1</v>
      </c>
      <c r="F32" s="48">
        <v>1</v>
      </c>
      <c r="G32" s="48">
        <v>1</v>
      </c>
      <c r="H32" s="105" t="s">
        <v>349</v>
      </c>
      <c r="I32" s="14" t="s">
        <v>264</v>
      </c>
      <c r="J32" s="14" t="s">
        <v>91</v>
      </c>
      <c r="K32" s="13">
        <f>VLOOKUP(J32,'Labor Rates'!$A$1:$F$16,2)</f>
        <v>33.17307692307692</v>
      </c>
      <c r="L32" s="15">
        <v>20</v>
      </c>
      <c r="M32" s="15">
        <v>1</v>
      </c>
      <c r="N32" s="16" t="s">
        <v>226</v>
      </c>
      <c r="O32" s="61">
        <f>Inputs!$D$32</f>
        <v>10</v>
      </c>
      <c r="P32" s="15">
        <v>1</v>
      </c>
      <c r="Q32" s="15">
        <f t="shared" si="0"/>
        <v>0.5</v>
      </c>
      <c r="R32" s="4">
        <v>120</v>
      </c>
      <c r="S32" s="53">
        <f t="shared" si="1"/>
        <v>331.73076923076917</v>
      </c>
      <c r="T32" s="53">
        <f t="shared" si="2"/>
        <v>1200</v>
      </c>
      <c r="U32" s="54">
        <f t="shared" si="3"/>
        <v>1531.7307692307691</v>
      </c>
      <c r="V32" s="65"/>
      <c r="W32" s="58"/>
      <c r="X32" s="64">
        <f t="shared" si="4"/>
        <v>52.910283636073743</v>
      </c>
      <c r="Y32" s="64">
        <f>NPV(Inputs!$D$6,AA32:BN32)</f>
        <v>611.01070839304634</v>
      </c>
      <c r="Z32" s="67">
        <f t="shared" si="5"/>
        <v>2.8818248005349321E-4</v>
      </c>
      <c r="AA32" s="88">
        <f>$E32*IF(AA$2&gt;Inputs!$D$5,0,IF(AA$2&gt;VLOOKUP($H32,Lists!$P$3:$Q$7,2),IF($N32=Lists!$K$3,IF($L32&lt;1,(($U32/$L32)*((1+Inputs!$D$7)^AA$2)),((INT(AA$2/$L32)-INT((AA$2-1)/$L32))*$U32*((1+Inputs!$D$7)^AA$2))),(_xlfn.WEIBULL.DIST(AA$2,$M32,$L32,FALSE)*$U32*((1+Inputs!$D$7)^AA$2))),IF($N32=Lists!$K$3,IF($L32&lt;1,((($T32*(1-$F32)+$S32*(1-$G32))/$L32)*((1+Inputs!$D$7)^AA$2)),((INT(AA$2/$L32)-INT((AA$2-1)/$L32))*($T32*(1-$F32)+$S32*(1-$G32))*((1+Inputs!$D$7)^AA$2))),((_xlfn.WEIBULL.DIST(AA$2,$M32,$L32,FALSE)*($T32*(1-$F32)+$S32*(1-$G32))*((1+Inputs!$D$7)^AA$2))))))</f>
        <v>0</v>
      </c>
      <c r="AB32" s="88">
        <f>$E32*IF(AB$2&gt;Inputs!$D$5,0,IF(AB$2&gt;VLOOKUP($H32,Lists!$P$3:$Q$7,2),IF($N32=Lists!$K$3,IF($L32&lt;1,(($U32/$L32)*((1+Inputs!$D$7)^AB$2)),((INT(AB$2/$L32)-INT((AB$2-1)/$L32))*$U32*((1+Inputs!$D$7)^AB$2))),(_xlfn.WEIBULL.DIST(AB$2,$M32,$L32,FALSE)*$U32*((1+Inputs!$D$7)^AB$2))),IF($N32=Lists!$K$3,IF($L32&lt;1,((($T32*(1-$F32)+$S32*(1-$G32))/$L32)*((1+Inputs!$D$7)^AB$2)),((INT(AB$2/$L32)-INT((AB$2-1)/$L32))*($T32*(1-$F32)+$S32*(1-$G32))*((1+Inputs!$D$7)^AB$2))),((_xlfn.WEIBULL.DIST(AB$2,$M32,$L32,FALSE)*($T32*(1-$F32)+$S32*(1-$G32))*((1+Inputs!$D$7)^AB$2))))))</f>
        <v>72.098019692851324</v>
      </c>
      <c r="AC32" s="88">
        <f>$E32*IF(AC$2&gt;Inputs!$D$5,0,IF(AC$2&gt;VLOOKUP($H32,Lists!$P$3:$Q$7,2),IF($N32=Lists!$K$3,IF($L32&lt;1,(($U32/$L32)*((1+Inputs!$D$7)^AC$2)),((INT(AC$2/$L32)-INT((AC$2-1)/$L32))*$U32*((1+Inputs!$D$7)^AC$2))),(_xlfn.WEIBULL.DIST(AC$2,$M32,$L32,FALSE)*$U32*((1+Inputs!$D$7)^AC$2))),IF($N32=Lists!$K$3,IF($L32&lt;1,((($T32*(1-$F32)+$S32*(1-$G32))/$L32)*((1+Inputs!$D$7)^AC$2)),((INT(AC$2/$L32)-INT((AC$2-1)/$L32))*($T32*(1-$F32)+$S32*(1-$G32))*((1+Inputs!$D$7)^AC$2))),((_xlfn.WEIBULL.DIST(AC$2,$M32,$L32,FALSE)*($T32*(1-$F32)+$S32*(1-$G32))*((1+Inputs!$D$7)^AC$2))))))</f>
        <v>69.953392935673548</v>
      </c>
      <c r="AD32" s="88">
        <f>$E32*IF(AD$2&gt;Inputs!$D$5,0,IF(AD$2&gt;VLOOKUP($H32,Lists!$P$3:$Q$7,2),IF($N32=Lists!$K$3,IF($L32&lt;1,(($U32/$L32)*((1+Inputs!$D$7)^AD$2)),((INT(AD$2/$L32)-INT((AD$2-1)/$L32))*$U32*((1+Inputs!$D$7)^AD$2))),(_xlfn.WEIBULL.DIST(AD$2,$M32,$L32,FALSE)*$U32*((1+Inputs!$D$7)^AD$2))),IF($N32=Lists!$K$3,IF($L32&lt;1,((($T32*(1-$F32)+$S32*(1-$G32))/$L32)*((1+Inputs!$D$7)^AD$2)),((INT(AD$2/$L32)-INT((AD$2-1)/$L32))*($T32*(1-$F32)+$S32*(1-$G32))*((1+Inputs!$D$7)^AD$2))),((_xlfn.WEIBULL.DIST(AD$2,$M32,$L32,FALSE)*($T32*(1-$F32)+$S32*(1-$G32))*((1+Inputs!$D$7)^AD$2))))))</f>
        <v>67.872560218154518</v>
      </c>
      <c r="AE32" s="88">
        <f>$E32*IF(AE$2&gt;Inputs!$D$5,0,IF(AE$2&gt;VLOOKUP($H32,Lists!$P$3:$Q$7,2),IF($N32=Lists!$K$3,IF($L32&lt;1,(($U32/$L32)*((1+Inputs!$D$7)^AE$2)),((INT(AE$2/$L32)-INT((AE$2-1)/$L32))*$U32*((1+Inputs!$D$7)^AE$2))),(_xlfn.WEIBULL.DIST(AE$2,$M32,$L32,FALSE)*$U32*((1+Inputs!$D$7)^AE$2))),IF($N32=Lists!$K$3,IF($L32&lt;1,((($T32*(1-$F32)+$S32*(1-$G32))/$L32)*((1+Inputs!$D$7)^AE$2)),((INT(AE$2/$L32)-INT((AE$2-1)/$L32))*($T32*(1-$F32)+$S32*(1-$G32))*((1+Inputs!$D$7)^AE$2))),((_xlfn.WEIBULL.DIST(AE$2,$M32,$L32,FALSE)*($T32*(1-$F32)+$S32*(1-$G32))*((1+Inputs!$D$7)^AE$2))))))</f>
        <v>65.853623923619296</v>
      </c>
      <c r="AF32" s="88">
        <f>$E32*IF(AF$2&gt;Inputs!$D$5,0,IF(AF$2&gt;VLOOKUP($H32,Lists!$P$3:$Q$7,2),IF($N32=Lists!$K$3,IF($L32&lt;1,(($U32/$L32)*((1+Inputs!$D$7)^AF$2)),((INT(AF$2/$L32)-INT((AF$2-1)/$L32))*$U32*((1+Inputs!$D$7)^AF$2))),(_xlfn.WEIBULL.DIST(AF$2,$M32,$L32,FALSE)*$U32*((1+Inputs!$D$7)^AF$2))),IF($N32=Lists!$K$3,IF($L32&lt;1,((($T32*(1-$F32)+$S32*(1-$G32))/$L32)*((1+Inputs!$D$7)^AF$2)),((INT(AF$2/$L32)-INT((AF$2-1)/$L32))*($T32*(1-$F32)+$S32*(1-$G32))*((1+Inputs!$D$7)^AF$2))),((_xlfn.WEIBULL.DIST(AF$2,$M32,$L32,FALSE)*($T32*(1-$F32)+$S32*(1-$G32))*((1+Inputs!$D$7)^AF$2))))))</f>
        <v>63.89474288187386</v>
      </c>
      <c r="AG32" s="88">
        <f>$E32*IF(AG$2&gt;Inputs!$D$5,0,IF(AG$2&gt;VLOOKUP($H32,Lists!$P$3:$Q$7,2),IF($N32=Lists!$K$3,IF($L32&lt;1,(($U32/$L32)*((1+Inputs!$D$7)^AG$2)),((INT(AG$2/$L32)-INT((AG$2-1)/$L32))*$U32*((1+Inputs!$D$7)^AG$2))),(_xlfn.WEIBULL.DIST(AG$2,$M32,$L32,FALSE)*$U32*((1+Inputs!$D$7)^AG$2))),IF($N32=Lists!$K$3,IF($L32&lt;1,((($T32*(1-$F32)+$S32*(1-$G32))/$L32)*((1+Inputs!$D$7)^AG$2)),((INT(AG$2/$L32)-INT((AG$2-1)/$L32))*($T32*(1-$F32)+$S32*(1-$G32))*((1+Inputs!$D$7)^AG$2))),((_xlfn.WEIBULL.DIST(AG$2,$M32,$L32,FALSE)*($T32*(1-$F32)+$S32*(1-$G32))*((1+Inputs!$D$7)^AG$2))))))</f>
        <v>61.994130690148864</v>
      </c>
      <c r="AH32" s="88">
        <f>$E32*IF(AH$2&gt;Inputs!$D$5,0,IF(AH$2&gt;VLOOKUP($H32,Lists!$P$3:$Q$7,2),IF($N32=Lists!$K$3,IF($L32&lt;1,(($U32/$L32)*((1+Inputs!$D$7)^AH$2)),((INT(AH$2/$L32)-INT((AH$2-1)/$L32))*$U32*((1+Inputs!$D$7)^AH$2))),(_xlfn.WEIBULL.DIST(AH$2,$M32,$L32,FALSE)*$U32*((1+Inputs!$D$7)^AH$2))),IF($N32=Lists!$K$3,IF($L32&lt;1,((($T32*(1-$F32)+$S32*(1-$G32))/$L32)*((1+Inputs!$D$7)^AH$2)),((INT(AH$2/$L32)-INT((AH$2-1)/$L32))*($T32*(1-$F32)+$S32*(1-$G32))*((1+Inputs!$D$7)^AH$2))),((_xlfn.WEIBULL.DIST(AH$2,$M32,$L32,FALSE)*($T32*(1-$F32)+$S32*(1-$G32))*((1+Inputs!$D$7)^AH$2))))))</f>
        <v>60.150054083988607</v>
      </c>
      <c r="AI32" s="88">
        <f>$E32*IF(AI$2&gt;Inputs!$D$5,0,IF(AI$2&gt;VLOOKUP($H32,Lists!$P$3:$Q$7,2),IF($N32=Lists!$K$3,IF($L32&lt;1,(($U32/$L32)*((1+Inputs!$D$7)^AI$2)),((INT(AI$2/$L32)-INT((AI$2-1)/$L32))*$U32*((1+Inputs!$D$7)^AI$2))),(_xlfn.WEIBULL.DIST(AI$2,$M32,$L32,FALSE)*$U32*((1+Inputs!$D$7)^AI$2))),IF($N32=Lists!$K$3,IF($L32&lt;1,((($T32*(1-$F32)+$S32*(1-$G32))/$L32)*((1+Inputs!$D$7)^AI$2)),((INT(AI$2/$L32)-INT((AI$2-1)/$L32))*($T32*(1-$F32)+$S32*(1-$G32))*((1+Inputs!$D$7)^AI$2))),((_xlfn.WEIBULL.DIST(AI$2,$M32,$L32,FALSE)*($T32*(1-$F32)+$S32*(1-$G32))*((1+Inputs!$D$7)^AI$2))))))</f>
        <v>58.360831356599292</v>
      </c>
      <c r="AJ32" s="88">
        <f>$E32*IF(AJ$2&gt;Inputs!$D$5,0,IF(AJ$2&gt;VLOOKUP($H32,Lists!$P$3:$Q$7,2),IF($N32=Lists!$K$3,IF($L32&lt;1,(($U32/$L32)*((1+Inputs!$D$7)^AJ$2)),((INT(AJ$2/$L32)-INT((AJ$2-1)/$L32))*$U32*((1+Inputs!$D$7)^AJ$2))),(_xlfn.WEIBULL.DIST(AJ$2,$M32,$L32,FALSE)*$U32*((1+Inputs!$D$7)^AJ$2))),IF($N32=Lists!$K$3,IF($L32&lt;1,((($T32*(1-$F32)+$S32*(1-$G32))/$L32)*((1+Inputs!$D$7)^AJ$2)),((INT(AJ$2/$L32)-INT((AJ$2-1)/$L32))*($T32*(1-$F32)+$S32*(1-$G32))*((1+Inputs!$D$7)^AJ$2))),((_xlfn.WEIBULL.DIST(AJ$2,$M32,$L32,FALSE)*($T32*(1-$F32)+$S32*(1-$G32))*((1+Inputs!$D$7)^AJ$2))))))</f>
        <v>56.624830825215589</v>
      </c>
      <c r="AK32" s="88">
        <f>$E32*IF(AK$2&gt;Inputs!$D$5,0,IF(AK$2&gt;VLOOKUP($H32,Lists!$P$3:$Q$7,2),IF($N32=Lists!$K$3,IF($L32&lt;1,(($U32/$L32)*((1+Inputs!$D$7)^AK$2)),((INT(AK$2/$L32)-INT((AK$2-1)/$L32))*$U32*((1+Inputs!$D$7)^AK$2))),(_xlfn.WEIBULL.DIST(AK$2,$M32,$L32,FALSE)*$U32*((1+Inputs!$D$7)^AK$2))),IF($N32=Lists!$K$3,IF($L32&lt;1,((($T32*(1-$F32)+$S32*(1-$G32))/$L32)*((1+Inputs!$D$7)^AK$2)),((INT(AK$2/$L32)-INT((AK$2-1)/$L32))*($T32*(1-$F32)+$S32*(1-$G32))*((1+Inputs!$D$7)^AK$2))),((_xlfn.WEIBULL.DIST(AK$2,$M32,$L32,FALSE)*($T32*(1-$F32)+$S32*(1-$G32))*((1+Inputs!$D$7)^AK$2))))))</f>
        <v>54.940469343086512</v>
      </c>
      <c r="AL32" s="88">
        <f>$E32*IF(AL$2&gt;Inputs!$D$5,0,IF(AL$2&gt;VLOOKUP($H32,Lists!$P$3:$Q$7,2),IF($N32=Lists!$K$3,IF($L32&lt;1,(($U32/$L32)*((1+Inputs!$D$7)^AL$2)),((INT(AL$2/$L32)-INT((AL$2-1)/$L32))*$U32*((1+Inputs!$D$7)^AL$2))),(_xlfn.WEIBULL.DIST(AL$2,$M32,$L32,FALSE)*$U32*((1+Inputs!$D$7)^AL$2))),IF($N32=Lists!$K$3,IF($L32&lt;1,((($T32*(1-$F32)+$S32*(1-$G32))/$L32)*((1+Inputs!$D$7)^AL$2)),((INT(AL$2/$L32)-INT((AL$2-1)/$L32))*($T32*(1-$F32)+$S32*(1-$G32))*((1+Inputs!$D$7)^AL$2))),((_xlfn.WEIBULL.DIST(AL$2,$M32,$L32,FALSE)*($T32*(1-$F32)+$S32*(1-$G32))*((1+Inputs!$D$7)^AL$2))))))</f>
        <v>53.306210855723776</v>
      </c>
      <c r="AM32" s="88">
        <f>$E32*IF(AM$2&gt;Inputs!$D$5,0,IF(AM$2&gt;VLOOKUP($H32,Lists!$P$3:$Q$7,2),IF($N32=Lists!$K$3,IF($L32&lt;1,(($U32/$L32)*((1+Inputs!$D$7)^AM$2)),((INT(AM$2/$L32)-INT((AM$2-1)/$L32))*$U32*((1+Inputs!$D$7)^AM$2))),(_xlfn.WEIBULL.DIST(AM$2,$M32,$L32,FALSE)*$U32*((1+Inputs!$D$7)^AM$2))),IF($N32=Lists!$K$3,IF($L32&lt;1,((($T32*(1-$F32)+$S32*(1-$G32))/$L32)*((1+Inputs!$D$7)^AM$2)),((INT(AM$2/$L32)-INT((AM$2-1)/$L32))*($T32*(1-$F32)+$S32*(1-$G32))*((1+Inputs!$D$7)^AM$2))),((_xlfn.WEIBULL.DIST(AM$2,$M32,$L32,FALSE)*($T32*(1-$F32)+$S32*(1-$G32))*((1+Inputs!$D$7)^AM$2))))))</f>
        <v>51.720565000095924</v>
      </c>
      <c r="AN32" s="88">
        <f>$E32*IF(AN$2&gt;Inputs!$D$5,0,IF(AN$2&gt;VLOOKUP($H32,Lists!$P$3:$Q$7,2),IF($N32=Lists!$K$3,IF($L32&lt;1,(($U32/$L32)*((1+Inputs!$D$7)^AN$2)),((INT(AN$2/$L32)-INT((AN$2-1)/$L32))*$U32*((1+Inputs!$D$7)^AN$2))),(_xlfn.WEIBULL.DIST(AN$2,$M32,$L32,FALSE)*$U32*((1+Inputs!$D$7)^AN$2))),IF($N32=Lists!$K$3,IF($L32&lt;1,((($T32*(1-$F32)+$S32*(1-$G32))/$L32)*((1+Inputs!$D$7)^AN$2)),((INT(AN$2/$L32)-INT((AN$2-1)/$L32))*($T32*(1-$F32)+$S32*(1-$G32))*((1+Inputs!$D$7)^AN$2))),((_xlfn.WEIBULL.DIST(AN$2,$M32,$L32,FALSE)*($T32*(1-$F32)+$S32*(1-$G32))*((1+Inputs!$D$7)^AN$2))))))</f>
        <v>50.182085745490873</v>
      </c>
      <c r="AO32" s="88">
        <f>$E32*IF(AO$2&gt;Inputs!$D$5,0,IF(AO$2&gt;VLOOKUP($H32,Lists!$P$3:$Q$7,2),IF($N32=Lists!$K$3,IF($L32&lt;1,(($U32/$L32)*((1+Inputs!$D$7)^AO$2)),((INT(AO$2/$L32)-INT((AO$2-1)/$L32))*$U32*((1+Inputs!$D$7)^AO$2))),(_xlfn.WEIBULL.DIST(AO$2,$M32,$L32,FALSE)*$U32*((1+Inputs!$D$7)^AO$2))),IF($N32=Lists!$K$3,IF($L32&lt;1,((($T32*(1-$F32)+$S32*(1-$G32))/$L32)*((1+Inputs!$D$7)^AO$2)),((INT(AO$2/$L32)-INT((AO$2-1)/$L32))*($T32*(1-$F32)+$S32*(1-$G32))*((1+Inputs!$D$7)^AO$2))),((_xlfn.WEIBULL.DIST(AO$2,$M32,$L32,FALSE)*($T32*(1-$F32)+$S32*(1-$G32))*((1+Inputs!$D$7)^AO$2))))))</f>
        <v>48.689370074807336</v>
      </c>
      <c r="AP32" s="88">
        <f>$E32*IF(AP$2&gt;Inputs!$D$5,0,IF(AP$2&gt;VLOOKUP($H32,Lists!$P$3:$Q$7,2),IF($N32=Lists!$K$3,IF($L32&lt;1,(($U32/$L32)*((1+Inputs!$D$7)^AP$2)),((INT(AP$2/$L32)-INT((AP$2-1)/$L32))*$U32*((1+Inputs!$D$7)^AP$2))),(_xlfn.WEIBULL.DIST(AP$2,$M32,$L32,FALSE)*$U32*((1+Inputs!$D$7)^AP$2))),IF($N32=Lists!$K$3,IF($L32&lt;1,((($T32*(1-$F32)+$S32*(1-$G32))/$L32)*((1+Inputs!$D$7)^AP$2)),((INT(AP$2/$L32)-INT((AP$2-1)/$L32))*($T32*(1-$F32)+$S32*(1-$G32))*((1+Inputs!$D$7)^AP$2))),((_xlfn.WEIBULL.DIST(AP$2,$M32,$L32,FALSE)*($T32*(1-$F32)+$S32*(1-$G32))*((1+Inputs!$D$7)^AP$2))))))</f>
        <v>47.241056705072495</v>
      </c>
      <c r="AQ32" s="88">
        <f>$E32*IF(AQ$2&gt;Inputs!$D$5,0,IF(AQ$2&gt;VLOOKUP($H32,Lists!$P$3:$Q$7,2),IF($N32=Lists!$K$3,IF($L32&lt;1,(($U32/$L32)*((1+Inputs!$D$7)^AQ$2)),((INT(AQ$2/$L32)-INT((AQ$2-1)/$L32))*$U32*((1+Inputs!$D$7)^AQ$2))),(_xlfn.WEIBULL.DIST(AQ$2,$M32,$L32,FALSE)*$U32*((1+Inputs!$D$7)^AQ$2))),IF($N32=Lists!$K$3,IF($L32&lt;1,((($T32*(1-$F32)+$S32*(1-$G32))/$L32)*((1+Inputs!$D$7)^AQ$2)),((INT(AQ$2/$L32)-INT((AQ$2-1)/$L32))*($T32*(1-$F32)+$S32*(1-$G32))*((1+Inputs!$D$7)^AQ$2))),((_xlfn.WEIBULL.DIST(AQ$2,$M32,$L32,FALSE)*($T32*(1-$F32)+$S32*(1-$G32))*((1+Inputs!$D$7)^AQ$2))))))</f>
        <v>45.835824846019158</v>
      </c>
      <c r="AR32" s="88">
        <f>$E32*IF(AR$2&gt;Inputs!$D$5,0,IF(AR$2&gt;VLOOKUP($H32,Lists!$P$3:$Q$7,2),IF($N32=Lists!$K$3,IF($L32&lt;1,(($U32/$L32)*((1+Inputs!$D$7)^AR$2)),((INT(AR$2/$L32)-INT((AR$2-1)/$L32))*$U32*((1+Inputs!$D$7)^AR$2))),(_xlfn.WEIBULL.DIST(AR$2,$M32,$L32,FALSE)*$U32*((1+Inputs!$D$7)^AR$2))),IF($N32=Lists!$K$3,IF($L32&lt;1,((($T32*(1-$F32)+$S32*(1-$G32))/$L32)*((1+Inputs!$D$7)^AR$2)),((INT(AR$2/$L32)-INT((AR$2-1)/$L32))*($T32*(1-$F32)+$S32*(1-$G32))*((1+Inputs!$D$7)^AR$2))),((_xlfn.WEIBULL.DIST(AR$2,$M32,$L32,FALSE)*($T32*(1-$F32)+$S32*(1-$G32))*((1+Inputs!$D$7)^AR$2))))))</f>
        <v>44.472392995590205</v>
      </c>
      <c r="AS32" s="88">
        <f>$E32*IF(AS$2&gt;Inputs!$D$5,0,IF(AS$2&gt;VLOOKUP($H32,Lists!$P$3:$Q$7,2),IF($N32=Lists!$K$3,IF($L32&lt;1,(($U32/$L32)*((1+Inputs!$D$7)^AS$2)),((INT(AS$2/$L32)-INT((AS$2-1)/$L32))*$U32*((1+Inputs!$D$7)^AS$2))),(_xlfn.WEIBULL.DIST(AS$2,$M32,$L32,FALSE)*$U32*((1+Inputs!$D$7)^AS$2))),IF($N32=Lists!$K$3,IF($L32&lt;1,((($T32*(1-$F32)+$S32*(1-$G32))/$L32)*((1+Inputs!$D$7)^AS$2)),((INT(AS$2/$L32)-INT((AS$2-1)/$L32))*($T32*(1-$F32)+$S32*(1-$G32))*((1+Inputs!$D$7)^AS$2))),((_xlfn.WEIBULL.DIST(AS$2,$M32,$L32,FALSE)*($T32*(1-$F32)+$S32*(1-$G32))*((1+Inputs!$D$7)^AS$2))))))</f>
        <v>43.149517771272151</v>
      </c>
      <c r="AT32" s="88">
        <f>$E32*IF(AT$2&gt;Inputs!$D$5,0,IF(AT$2&gt;VLOOKUP($H32,Lists!$P$3:$Q$7,2),IF($N32=Lists!$K$3,IF($L32&lt;1,(($U32/$L32)*((1+Inputs!$D$7)^AT$2)),((INT(AT$2/$L32)-INT((AT$2-1)/$L32))*$U32*((1+Inputs!$D$7)^AT$2))),(_xlfn.WEIBULL.DIST(AT$2,$M32,$L32,FALSE)*$U32*((1+Inputs!$D$7)^AT$2))),IF($N32=Lists!$K$3,IF($L32&lt;1,((($T32*(1-$F32)+$S32*(1-$G32))/$L32)*((1+Inputs!$D$7)^AT$2)),((INT(AT$2/$L32)-INT((AT$2-1)/$L32))*($T32*(1-$F32)+$S32*(1-$G32))*((1+Inputs!$D$7)^AT$2))),((_xlfn.WEIBULL.DIST(AT$2,$M32,$L32,FALSE)*($T32*(1-$F32)+$S32*(1-$G32))*((1+Inputs!$D$7)^AT$2))))))</f>
        <v>41.865992776191554</v>
      </c>
      <c r="AU32" s="88">
        <f>$E32*IF(AU$2&gt;Inputs!$D$5,0,IF(AU$2&gt;VLOOKUP($H32,Lists!$P$3:$Q$7,2),IF($N32=Lists!$K$3,IF($L32&lt;1,(($U32/$L32)*((1+Inputs!$D$7)^AU$2)),((INT(AU$2/$L32)-INT((AU$2-1)/$L32))*$U32*((1+Inputs!$D$7)^AU$2))),(_xlfn.WEIBULL.DIST(AU$2,$M32,$L32,FALSE)*$U32*((1+Inputs!$D$7)^AU$2))),IF($N32=Lists!$K$3,IF($L32&lt;1,((($T32*(1-$F32)+$S32*(1-$G32))/$L32)*((1+Inputs!$D$7)^AU$2)),((INT(AU$2/$L32)-INT((AU$2-1)/$L32))*($T32*(1-$F32)+$S32*(1-$G32))*((1+Inputs!$D$7)^AU$2))),((_xlfn.WEIBULL.DIST(AU$2,$M32,$L32,FALSE)*($T32*(1-$F32)+$S32*(1-$G32))*((1+Inputs!$D$7)^AU$2))))))</f>
        <v>40.620647498940698</v>
      </c>
      <c r="AV32" s="88">
        <f>$E32*IF(AV$2&gt;Inputs!$D$5,0,IF(AV$2&gt;VLOOKUP($H32,Lists!$P$3:$Q$7,2),IF($N32=Lists!$K$3,IF($L32&lt;1,(($U32/$L32)*((1+Inputs!$D$7)^AV$2)),((INT(AV$2/$L32)-INT((AV$2-1)/$L32))*$U32*((1+Inputs!$D$7)^AV$2))),(_xlfn.WEIBULL.DIST(AV$2,$M32,$L32,FALSE)*$U32*((1+Inputs!$D$7)^AV$2))),IF($N32=Lists!$K$3,IF($L32&lt;1,((($T32*(1-$F32)+$S32*(1-$G32))/$L32)*((1+Inputs!$D$7)^AV$2)),((INT(AV$2/$L32)-INT((AV$2-1)/$L32))*($T32*(1-$F32)+$S32*(1-$G32))*((1+Inputs!$D$7)^AV$2))),((_xlfn.WEIBULL.DIST(AV$2,$M32,$L32,FALSE)*($T32*(1-$F32)+$S32*(1-$G32))*((1+Inputs!$D$7)^AV$2))))))</f>
        <v>39.412346246129005</v>
      </c>
      <c r="AW32" s="88">
        <f>$E32*IF(AW$2&gt;Inputs!$D$5,0,IF(AW$2&gt;VLOOKUP($H32,Lists!$P$3:$Q$7,2),IF($N32=Lists!$K$3,IF($L32&lt;1,(($U32/$L32)*((1+Inputs!$D$7)^AW$2)),((INT(AW$2/$L32)-INT((AW$2-1)/$L32))*$U32*((1+Inputs!$D$7)^AW$2))),(_xlfn.WEIBULL.DIST(AW$2,$M32,$L32,FALSE)*$U32*((1+Inputs!$D$7)^AW$2))),IF($N32=Lists!$K$3,IF($L32&lt;1,((($T32*(1-$F32)+$S32*(1-$G32))/$L32)*((1+Inputs!$D$7)^AW$2)),((INT(AW$2/$L32)-INT((AW$2-1)/$L32))*($T32*(1-$F32)+$S32*(1-$G32))*((1+Inputs!$D$7)^AW$2))),((_xlfn.WEIBULL.DIST(AW$2,$M32,$L32,FALSE)*($T32*(1-$F32)+$S32*(1-$G32))*((1+Inputs!$D$7)^AW$2))))))</f>
        <v>38.239987106686726</v>
      </c>
      <c r="AX32" s="88">
        <f>$E32*IF(AX$2&gt;Inputs!$D$5,0,IF(AX$2&gt;VLOOKUP($H32,Lists!$P$3:$Q$7,2),IF($N32=Lists!$K$3,IF($L32&lt;1,(($U32/$L32)*((1+Inputs!$D$7)^AX$2)),((INT(AX$2/$L32)-INT((AX$2-1)/$L32))*$U32*((1+Inputs!$D$7)^AX$2))),(_xlfn.WEIBULL.DIST(AX$2,$M32,$L32,FALSE)*$U32*((1+Inputs!$D$7)^AX$2))),IF($N32=Lists!$K$3,IF($L32&lt;1,((($T32*(1-$F32)+$S32*(1-$G32))/$L32)*((1+Inputs!$D$7)^AX$2)),((INT(AX$2/$L32)-INT((AX$2-1)/$L32))*($T32*(1-$F32)+$S32*(1-$G32))*((1+Inputs!$D$7)^AX$2))),((_xlfn.WEIBULL.DIST(AX$2,$M32,$L32,FALSE)*($T32*(1-$F32)+$S32*(1-$G32))*((1+Inputs!$D$7)^AX$2))))))</f>
        <v>37.102500946976512</v>
      </c>
      <c r="AY32" s="88">
        <f>$E32*IF(AY$2&gt;Inputs!$D$5,0,IF(AY$2&gt;VLOOKUP($H32,Lists!$P$3:$Q$7,2),IF($N32=Lists!$K$3,IF($L32&lt;1,(($U32/$L32)*((1+Inputs!$D$7)^AY$2)),((INT(AY$2/$L32)-INT((AY$2-1)/$L32))*$U32*((1+Inputs!$D$7)^AY$2))),(_xlfn.WEIBULL.DIST(AY$2,$M32,$L32,FALSE)*$U32*((1+Inputs!$D$7)^AY$2))),IF($N32=Lists!$K$3,IF($L32&lt;1,((($T32*(1-$F32)+$S32*(1-$G32))/$L32)*((1+Inputs!$D$7)^AY$2)),((INT(AY$2/$L32)-INT((AY$2-1)/$L32))*($T32*(1-$F32)+$S32*(1-$G32))*((1+Inputs!$D$7)^AY$2))),((_xlfn.WEIBULL.DIST(AY$2,$M32,$L32,FALSE)*($T32*(1-$F32)+$S32*(1-$G32))*((1+Inputs!$D$7)^AY$2))))))</f>
        <v>35.99885043579625</v>
      </c>
      <c r="AZ32" s="88">
        <f>$E32*IF(AZ$2&gt;Inputs!$D$5,0,IF(AZ$2&gt;VLOOKUP($H32,Lists!$P$3:$Q$7,2),IF($N32=Lists!$K$3,IF($L32&lt;1,(($U32/$L32)*((1+Inputs!$D$7)^AZ$2)),((INT(AZ$2/$L32)-INT((AZ$2-1)/$L32))*$U32*((1+Inputs!$D$7)^AZ$2))),(_xlfn.WEIBULL.DIST(AZ$2,$M32,$L32,FALSE)*$U32*((1+Inputs!$D$7)^AZ$2))),IF($N32=Lists!$K$3,IF($L32&lt;1,((($T32*(1-$F32)+$S32*(1-$G32))/$L32)*((1+Inputs!$D$7)^AZ$2)),((INT(AZ$2/$L32)-INT((AZ$2-1)/$L32))*($T32*(1-$F32)+$S32*(1-$G32))*((1+Inputs!$D$7)^AZ$2))),((_xlfn.WEIBULL.DIST(AZ$2,$M32,$L32,FALSE)*($T32*(1-$F32)+$S32*(1-$G32))*((1+Inputs!$D$7)^AZ$2))))))</f>
        <v>0</v>
      </c>
      <c r="BA32" s="88">
        <f>$E32*IF(BA$2&gt;Inputs!$D$5,0,IF(BA$2&gt;VLOOKUP($H32,Lists!$P$3:$Q$7,2),IF($N32=Lists!$K$3,IF($L32&lt;1,(($U32/$L32)*((1+Inputs!$D$7)^BA$2)),((INT(BA$2/$L32)-INT((BA$2-1)/$L32))*$U32*((1+Inputs!$D$7)^BA$2))),(_xlfn.WEIBULL.DIST(BA$2,$M32,$L32,FALSE)*$U32*((1+Inputs!$D$7)^BA$2))),IF($N32=Lists!$K$3,IF($L32&lt;1,((($T32*(1-$F32)+$S32*(1-$G32))/$L32)*((1+Inputs!$D$7)^BA$2)),((INT(BA$2/$L32)-INT((BA$2-1)/$L32))*($T32*(1-$F32)+$S32*(1-$G32))*((1+Inputs!$D$7)^BA$2))),((_xlfn.WEIBULL.DIST(BA$2,$M32,$L32,FALSE)*($T32*(1-$F32)+$S32*(1-$G32))*((1+Inputs!$D$7)^BA$2))))))</f>
        <v>0</v>
      </c>
      <c r="BB32" s="88">
        <f>$E32*IF(BB$2&gt;Inputs!$D$5,0,IF(BB$2&gt;VLOOKUP($H32,Lists!$P$3:$Q$7,2),IF($N32=Lists!$K$3,IF($L32&lt;1,(($U32/$L32)*((1+Inputs!$D$7)^BB$2)),((INT(BB$2/$L32)-INT((BB$2-1)/$L32))*$U32*((1+Inputs!$D$7)^BB$2))),(_xlfn.WEIBULL.DIST(BB$2,$M32,$L32,FALSE)*$U32*((1+Inputs!$D$7)^BB$2))),IF($N32=Lists!$K$3,IF($L32&lt;1,((($T32*(1-$F32)+$S32*(1-$G32))/$L32)*((1+Inputs!$D$7)^BB$2)),((INT(BB$2/$L32)-INT((BB$2-1)/$L32))*($T32*(1-$F32)+$S32*(1-$G32))*((1+Inputs!$D$7)^BB$2))),((_xlfn.WEIBULL.DIST(BB$2,$M32,$L32,FALSE)*($T32*(1-$F32)+$S32*(1-$G32))*((1+Inputs!$D$7)^BB$2))))))</f>
        <v>0</v>
      </c>
      <c r="BC32" s="88">
        <f>$E32*IF(BC$2&gt;Inputs!$D$5,0,IF(BC$2&gt;VLOOKUP($H32,Lists!$P$3:$Q$7,2),IF($N32=Lists!$K$3,IF($L32&lt;1,(($U32/$L32)*((1+Inputs!$D$7)^BC$2)),((INT(BC$2/$L32)-INT((BC$2-1)/$L32))*$U32*((1+Inputs!$D$7)^BC$2))),(_xlfn.WEIBULL.DIST(BC$2,$M32,$L32,FALSE)*$U32*((1+Inputs!$D$7)^BC$2))),IF($N32=Lists!$K$3,IF($L32&lt;1,((($T32*(1-$F32)+$S32*(1-$G32))/$L32)*((1+Inputs!$D$7)^BC$2)),((INT(BC$2/$L32)-INT((BC$2-1)/$L32))*($T32*(1-$F32)+$S32*(1-$G32))*((1+Inputs!$D$7)^BC$2))),((_xlfn.WEIBULL.DIST(BC$2,$M32,$L32,FALSE)*($T32*(1-$F32)+$S32*(1-$G32))*((1+Inputs!$D$7)^BC$2))))))</f>
        <v>0</v>
      </c>
      <c r="BD32" s="88">
        <f>$E32*IF(BD$2&gt;Inputs!$D$5,0,IF(BD$2&gt;VLOOKUP($H32,Lists!$P$3:$Q$7,2),IF($N32=Lists!$K$3,IF($L32&lt;1,(($U32/$L32)*((1+Inputs!$D$7)^BD$2)),((INT(BD$2/$L32)-INT((BD$2-1)/$L32))*$U32*((1+Inputs!$D$7)^BD$2))),(_xlfn.WEIBULL.DIST(BD$2,$M32,$L32,FALSE)*$U32*((1+Inputs!$D$7)^BD$2))),IF($N32=Lists!$K$3,IF($L32&lt;1,((($T32*(1-$F32)+$S32*(1-$G32))/$L32)*((1+Inputs!$D$7)^BD$2)),((INT(BD$2/$L32)-INT((BD$2-1)/$L32))*($T32*(1-$F32)+$S32*(1-$G32))*((1+Inputs!$D$7)^BD$2))),((_xlfn.WEIBULL.DIST(BD$2,$M32,$L32,FALSE)*($T32*(1-$F32)+$S32*(1-$G32))*((1+Inputs!$D$7)^BD$2))))))</f>
        <v>0</v>
      </c>
      <c r="BE32" s="88">
        <f>$E32*IF(BE$2&gt;Inputs!$D$5,0,IF(BE$2&gt;VLOOKUP($H32,Lists!$P$3:$Q$7,2),IF($N32=Lists!$K$3,IF($L32&lt;1,(($U32/$L32)*((1+Inputs!$D$7)^BE$2)),((INT(BE$2/$L32)-INT((BE$2-1)/$L32))*$U32*((1+Inputs!$D$7)^BE$2))),(_xlfn.WEIBULL.DIST(BE$2,$M32,$L32,FALSE)*$U32*((1+Inputs!$D$7)^BE$2))),IF($N32=Lists!$K$3,IF($L32&lt;1,((($T32*(1-$F32)+$S32*(1-$G32))/$L32)*((1+Inputs!$D$7)^BE$2)),((INT(BE$2/$L32)-INT((BE$2-1)/$L32))*($T32*(1-$F32)+$S32*(1-$G32))*((1+Inputs!$D$7)^BE$2))),((_xlfn.WEIBULL.DIST(BE$2,$M32,$L32,FALSE)*($T32*(1-$F32)+$S32*(1-$G32))*((1+Inputs!$D$7)^BE$2))))))</f>
        <v>0</v>
      </c>
      <c r="BF32" s="88">
        <f>$E32*IF(BF$2&gt;Inputs!$D$5,0,IF(BF$2&gt;VLOOKUP($H32,Lists!$P$3:$Q$7,2),IF($N32=Lists!$K$3,IF($L32&lt;1,(($U32/$L32)*((1+Inputs!$D$7)^BF$2)),((INT(BF$2/$L32)-INT((BF$2-1)/$L32))*$U32*((1+Inputs!$D$7)^BF$2))),(_xlfn.WEIBULL.DIST(BF$2,$M32,$L32,FALSE)*$U32*((1+Inputs!$D$7)^BF$2))),IF($N32=Lists!$K$3,IF($L32&lt;1,((($T32*(1-$F32)+$S32*(1-$G32))/$L32)*((1+Inputs!$D$7)^BF$2)),((INT(BF$2/$L32)-INT((BF$2-1)/$L32))*($T32*(1-$F32)+$S32*(1-$G32))*((1+Inputs!$D$7)^BF$2))),((_xlfn.WEIBULL.DIST(BF$2,$M32,$L32,FALSE)*($T32*(1-$F32)+$S32*(1-$G32))*((1+Inputs!$D$7)^BF$2))))))</f>
        <v>0</v>
      </c>
      <c r="BG32" s="88">
        <f>$E32*IF(BG$2&gt;Inputs!$D$5,0,IF(BG$2&gt;VLOOKUP($H32,Lists!$P$3:$Q$7,2),IF($N32=Lists!$K$3,IF($L32&lt;1,(($U32/$L32)*((1+Inputs!$D$7)^BG$2)),((INT(BG$2/$L32)-INT((BG$2-1)/$L32))*$U32*((1+Inputs!$D$7)^BG$2))),(_xlfn.WEIBULL.DIST(BG$2,$M32,$L32,FALSE)*$U32*((1+Inputs!$D$7)^BG$2))),IF($N32=Lists!$K$3,IF($L32&lt;1,((($T32*(1-$F32)+$S32*(1-$G32))/$L32)*((1+Inputs!$D$7)^BG$2)),((INT(BG$2/$L32)-INT((BG$2-1)/$L32))*($T32*(1-$F32)+$S32*(1-$G32))*((1+Inputs!$D$7)^BG$2))),((_xlfn.WEIBULL.DIST(BG$2,$M32,$L32,FALSE)*($T32*(1-$F32)+$S32*(1-$G32))*((1+Inputs!$D$7)^BG$2))))))</f>
        <v>0</v>
      </c>
      <c r="BH32" s="88">
        <f>$E32*IF(BH$2&gt;Inputs!$D$5,0,IF(BH$2&gt;VLOOKUP($H32,Lists!$P$3:$Q$7,2),IF($N32=Lists!$K$3,IF($L32&lt;1,(($U32/$L32)*((1+Inputs!$D$7)^BH$2)),((INT(BH$2/$L32)-INT((BH$2-1)/$L32))*$U32*((1+Inputs!$D$7)^BH$2))),(_xlfn.WEIBULL.DIST(BH$2,$M32,$L32,FALSE)*$U32*((1+Inputs!$D$7)^BH$2))),IF($N32=Lists!$K$3,IF($L32&lt;1,((($T32*(1-$F32)+$S32*(1-$G32))/$L32)*((1+Inputs!$D$7)^BH$2)),((INT(BH$2/$L32)-INT((BH$2-1)/$L32))*($T32*(1-$F32)+$S32*(1-$G32))*((1+Inputs!$D$7)^BH$2))),((_xlfn.WEIBULL.DIST(BH$2,$M32,$L32,FALSE)*($T32*(1-$F32)+$S32*(1-$G32))*((1+Inputs!$D$7)^BH$2))))))</f>
        <v>0</v>
      </c>
      <c r="BI32" s="88">
        <f>$E32*IF(BI$2&gt;Inputs!$D$5,0,IF(BI$2&gt;VLOOKUP($H32,Lists!$P$3:$Q$7,2),IF($N32=Lists!$K$3,IF($L32&lt;1,(($U32/$L32)*((1+Inputs!$D$7)^BI$2)),((INT(BI$2/$L32)-INT((BI$2-1)/$L32))*$U32*((1+Inputs!$D$7)^BI$2))),(_xlfn.WEIBULL.DIST(BI$2,$M32,$L32,FALSE)*$U32*((1+Inputs!$D$7)^BI$2))),IF($N32=Lists!$K$3,IF($L32&lt;1,((($T32*(1-$F32)+$S32*(1-$G32))/$L32)*((1+Inputs!$D$7)^BI$2)),((INT(BI$2/$L32)-INT((BI$2-1)/$L32))*($T32*(1-$F32)+$S32*(1-$G32))*((1+Inputs!$D$7)^BI$2))),((_xlfn.WEIBULL.DIST(BI$2,$M32,$L32,FALSE)*($T32*(1-$F32)+$S32*(1-$G32))*((1+Inputs!$D$7)^BI$2))))))</f>
        <v>0</v>
      </c>
      <c r="BJ32" s="88">
        <f>$E32*IF(BJ$2&gt;Inputs!$D$5,0,IF(BJ$2&gt;VLOOKUP($H32,Lists!$P$3:$Q$7,2),IF($N32=Lists!$K$3,IF($L32&lt;1,(($U32/$L32)*((1+Inputs!$D$7)^BJ$2)),((INT(BJ$2/$L32)-INT((BJ$2-1)/$L32))*$U32*((1+Inputs!$D$7)^BJ$2))),(_xlfn.WEIBULL.DIST(BJ$2,$M32,$L32,FALSE)*$U32*((1+Inputs!$D$7)^BJ$2))),IF($N32=Lists!$K$3,IF($L32&lt;1,((($T32*(1-$F32)+$S32*(1-$G32))/$L32)*((1+Inputs!$D$7)^BJ$2)),((INT(BJ$2/$L32)-INT((BJ$2-1)/$L32))*($T32*(1-$F32)+$S32*(1-$G32))*((1+Inputs!$D$7)^BJ$2))),((_xlfn.WEIBULL.DIST(BJ$2,$M32,$L32,FALSE)*($T32*(1-$F32)+$S32*(1-$G32))*((1+Inputs!$D$7)^BJ$2))))))</f>
        <v>0</v>
      </c>
      <c r="BK32" s="88">
        <f>$E32*IF(BK$2&gt;Inputs!$D$5,0,IF(BK$2&gt;VLOOKUP($H32,Lists!$P$3:$Q$7,2),IF($N32=Lists!$K$3,IF($L32&lt;1,(($U32/$L32)*((1+Inputs!$D$7)^BK$2)),((INT(BK$2/$L32)-INT((BK$2-1)/$L32))*$U32*((1+Inputs!$D$7)^BK$2))),(_xlfn.WEIBULL.DIST(BK$2,$M32,$L32,FALSE)*$U32*((1+Inputs!$D$7)^BK$2))),IF($N32=Lists!$K$3,IF($L32&lt;1,((($T32*(1-$F32)+$S32*(1-$G32))/$L32)*((1+Inputs!$D$7)^BK$2)),((INT(BK$2/$L32)-INT((BK$2-1)/$L32))*($T32*(1-$F32)+$S32*(1-$G32))*((1+Inputs!$D$7)^BK$2))),((_xlfn.WEIBULL.DIST(BK$2,$M32,$L32,FALSE)*($T32*(1-$F32)+$S32*(1-$G32))*((1+Inputs!$D$7)^BK$2))))))</f>
        <v>0</v>
      </c>
      <c r="BL32" s="88">
        <f>$E32*IF(BL$2&gt;Inputs!$D$5,0,IF(BL$2&gt;VLOOKUP($H32,Lists!$P$3:$Q$7,2),IF($N32=Lists!$K$3,IF($L32&lt;1,(($U32/$L32)*((1+Inputs!$D$7)^BL$2)),((INT(BL$2/$L32)-INT((BL$2-1)/$L32))*$U32*((1+Inputs!$D$7)^BL$2))),(_xlfn.WEIBULL.DIST(BL$2,$M32,$L32,FALSE)*$U32*((1+Inputs!$D$7)^BL$2))),IF($N32=Lists!$K$3,IF($L32&lt;1,((($T32*(1-$F32)+$S32*(1-$G32))/$L32)*((1+Inputs!$D$7)^BL$2)),((INT(BL$2/$L32)-INT((BL$2-1)/$L32))*($T32*(1-$F32)+$S32*(1-$G32))*((1+Inputs!$D$7)^BL$2))),((_xlfn.WEIBULL.DIST(BL$2,$M32,$L32,FALSE)*($T32*(1-$F32)+$S32*(1-$G32))*((1+Inputs!$D$7)^BL$2))))))</f>
        <v>0</v>
      </c>
      <c r="BM32" s="88">
        <f>$E32*IF(BM$2&gt;Inputs!$D$5,0,IF(BM$2&gt;VLOOKUP($H32,Lists!$P$3:$Q$7,2),IF($N32=Lists!$K$3,IF($L32&lt;1,(($U32/$L32)*((1+Inputs!$D$7)^BM$2)),((INT(BM$2/$L32)-INT((BM$2-1)/$L32))*$U32*((1+Inputs!$D$7)^BM$2))),(_xlfn.WEIBULL.DIST(BM$2,$M32,$L32,FALSE)*$U32*((1+Inputs!$D$7)^BM$2))),IF($N32=Lists!$K$3,IF($L32&lt;1,((($T32*(1-$F32)+$S32*(1-$G32))/$L32)*((1+Inputs!$D$7)^BM$2)),((INT(BM$2/$L32)-INT((BM$2-1)/$L32))*($T32*(1-$F32)+$S32*(1-$G32))*((1+Inputs!$D$7)^BM$2))),((_xlfn.WEIBULL.DIST(BM$2,$M32,$L32,FALSE)*($T32*(1-$F32)+$S32*(1-$G32))*((1+Inputs!$D$7)^BM$2))))))</f>
        <v>0</v>
      </c>
      <c r="BN32" s="88">
        <f>$E32*IF(BN$2&gt;Inputs!$D$5,0,IF(BN$2&gt;VLOOKUP($H32,Lists!$P$3:$Q$7,2),IF($N32=Lists!$K$3,IF($L32&lt;1,(($U32/$L32)*((1+Inputs!$D$7)^BN$2)),((INT(BN$2/$L32)-INT((BN$2-1)/$L32))*$U32*((1+Inputs!$D$7)^BN$2))),(_xlfn.WEIBULL.DIST(BN$2,$M32,$L32,FALSE)*$U32*((1+Inputs!$D$7)^BN$2))),IF($N32=Lists!$K$3,IF($L32&lt;1,((($T32*(1-$F32)+$S32*(1-$G32))/$L32)*((1+Inputs!$D$7)^BN$2)),((INT(BN$2/$L32)-INT((BN$2-1)/$L32))*($T32*(1-$F32)+$S32*(1-$G32))*((1+Inputs!$D$7)^BN$2))),((_xlfn.WEIBULL.DIST(BN$2,$M32,$L32,FALSE)*($T32*(1-$F32)+$S32*(1-$G32))*((1+Inputs!$D$7)^BN$2))))))</f>
        <v>0</v>
      </c>
      <c r="BO32" s="64">
        <f>NPV(Inputs!$D$6,BQ32:DD32)</f>
        <v>1563.5151037797075</v>
      </c>
      <c r="BP32" s="67">
        <f t="shared" si="6"/>
        <v>7.3743005485672557E-4</v>
      </c>
      <c r="BQ32" s="88">
        <f>MAX(AA32,($E32*IF(BQ$2&gt;Inputs!$D$5,0,IF(BQ$2&gt;VLOOKUP($H32,Lists!$P$3:$Q$7,2),IF($N32=Lists!$K$3,IF($L32&lt;1,(($U32/$L32)*((1+Inputs!$D$7)^BQ$2)),((INT(BQ$2/$L32)-INT((BQ$2-1)/$L32))*$U32*((1+Inputs!$D$7)^BQ$2))),(Inputs!$D$8^((1-_xlfn.WEIBULL.DIST(BQ$2,$M32,$L32,FALSE))/_xlfn.WEIBULL.DIST(BQ$2,$M32,$L32,FALSE))*$U32*((1+Inputs!$D$7)^BQ$2))),IF($N32=Lists!$K$3,IF($L32&lt;1,((($T32*(1-$F32)+$S32*(1-$G32))/$L32)*((1+Inputs!$D$7)^BQ$2)),((INT(BQ$2/$L32)-INT((BQ$2-1)/$L32))*($T32*(1-$F32)+$S32*(1-$G32))*((1+Inputs!$D$7)^BQ$2))),((Inputs!$D$8^((1-_xlfn.WEIBULL.DIST(BQ$2,$M32,$L32,FALSE))/_xlfn.WEIBULL.DIST(BQ$2,$M32,$L32,FALSE))*($T32*(1-$F32)+$S32*(1-$G32))*((1+Inputs!$D$7)^BQ$2))))))))</f>
        <v>0</v>
      </c>
      <c r="BR32" s="88">
        <f>MAX(AB32,($E32*IF(BR$2&gt;Inputs!$D$5,0,IF(BR$2&gt;VLOOKUP($H32,Lists!$P$3:$Q$7,2),IF($N32=Lists!$K$3,IF($L32&lt;1,(($U32/$L32)*((1+Inputs!$D$7)^BR$2)),((INT(BR$2/$L32)-INT((BR$2-1)/$L32))*$U32*((1+Inputs!$D$7)^BR$2))),(Inputs!$D$8^((1-_xlfn.WEIBULL.DIST(BR$2,$M32,$L32,FALSE))/_xlfn.WEIBULL.DIST(BR$2,$M32,$L32,FALSE))*$U32*((1+Inputs!$D$7)^BR$2))),IF($N32=Lists!$K$3,IF($L32&lt;1,((($T32*(1-$F32)+$S32*(1-$G32))/$L32)*((1+Inputs!$D$7)^BR$2)),((INT(BR$2/$L32)-INT((BR$2-1)/$L32))*($T32*(1-$F32)+$S32*(1-$G32))*((1+Inputs!$D$7)^BR$2))),((Inputs!$D$8^((1-_xlfn.WEIBULL.DIST(BR$2,$M32,$L32,FALSE))/_xlfn.WEIBULL.DIST(BR$2,$M32,$L32,FALSE))*($T32*(1-$F32)+$S32*(1-$G32))*((1+Inputs!$D$7)^BR$2))))))))</f>
        <v>274.27242773733462</v>
      </c>
      <c r="BS32" s="88">
        <f>MAX(AC32,($E32*IF(BS$2&gt;Inputs!$D$5,0,IF(BS$2&gt;VLOOKUP($H32,Lists!$P$3:$Q$7,2),IF($N32=Lists!$K$3,IF($L32&lt;1,(($U32/$L32)*((1+Inputs!$D$7)^BS$2)),((INT(BS$2/$L32)-INT((BS$2-1)/$L32))*$U32*((1+Inputs!$D$7)^BS$2))),(Inputs!$D$8^((1-_xlfn.WEIBULL.DIST(BS$2,$M32,$L32,FALSE))/_xlfn.WEIBULL.DIST(BS$2,$M32,$L32,FALSE))*$U32*((1+Inputs!$D$7)^BS$2))),IF($N32=Lists!$K$3,IF($L32&lt;1,((($T32*(1-$F32)+$S32*(1-$G32))/$L32)*((1+Inputs!$D$7)^BS$2)),((INT(BS$2/$L32)-INT((BS$2-1)/$L32))*($T32*(1-$F32)+$S32*(1-$G32))*((1+Inputs!$D$7)^BS$2))),((Inputs!$D$8^((1-_xlfn.WEIBULL.DIST(BS$2,$M32,$L32,FALSE))/_xlfn.WEIBULL.DIST(BS$2,$M32,$L32,FALSE))*($T32*(1-$F32)+$S32*(1-$G32))*((1+Inputs!$D$7)^BS$2))))))))</f>
        <v>254.53310802498353</v>
      </c>
      <c r="BT32" s="88">
        <f>MAX(AD32,($E32*IF(BT$2&gt;Inputs!$D$5,0,IF(BT$2&gt;VLOOKUP($H32,Lists!$P$3:$Q$7,2),IF($N32=Lists!$K$3,IF($L32&lt;1,(($U32/$L32)*((1+Inputs!$D$7)^BT$2)),((INT(BT$2/$L32)-INT((BT$2-1)/$L32))*$U32*((1+Inputs!$D$7)^BT$2))),(Inputs!$D$8^((1-_xlfn.WEIBULL.DIST(BT$2,$M32,$L32,FALSE))/_xlfn.WEIBULL.DIST(BT$2,$M32,$L32,FALSE))*$U32*((1+Inputs!$D$7)^BT$2))),IF($N32=Lists!$K$3,IF($L32&lt;1,((($T32*(1-$F32)+$S32*(1-$G32))/$L32)*((1+Inputs!$D$7)^BT$2)),((INT(BT$2/$L32)-INT((BT$2-1)/$L32))*($T32*(1-$F32)+$S32*(1-$G32))*((1+Inputs!$D$7)^BT$2))),((Inputs!$D$8^((1-_xlfn.WEIBULL.DIST(BT$2,$M32,$L32,FALSE))/_xlfn.WEIBULL.DIST(BT$2,$M32,$L32,FALSE))*($T32*(1-$F32)+$S32*(1-$G32))*((1+Inputs!$D$7)^BT$2))))))))</f>
        <v>235.07278089250823</v>
      </c>
      <c r="BU32" s="88">
        <f>MAX(AE32,($E32*IF(BU$2&gt;Inputs!$D$5,0,IF(BU$2&gt;VLOOKUP($H32,Lists!$P$3:$Q$7,2),IF($N32=Lists!$K$3,IF($L32&lt;1,(($U32/$L32)*((1+Inputs!$D$7)^BU$2)),((INT(BU$2/$L32)-INT((BU$2-1)/$L32))*$U32*((1+Inputs!$D$7)^BU$2))),(Inputs!$D$8^((1-_xlfn.WEIBULL.DIST(BU$2,$M32,$L32,FALSE))/_xlfn.WEIBULL.DIST(BU$2,$M32,$L32,FALSE))*$U32*((1+Inputs!$D$7)^BU$2))),IF($N32=Lists!$K$3,IF($L32&lt;1,((($T32*(1-$F32)+$S32*(1-$G32))/$L32)*((1+Inputs!$D$7)^BU$2)),((INT(BU$2/$L32)-INT((BU$2-1)/$L32))*($T32*(1-$F32)+$S32*(1-$G32))*((1+Inputs!$D$7)^BU$2))),((Inputs!$D$8^((1-_xlfn.WEIBULL.DIST(BU$2,$M32,$L32,FALSE))/_xlfn.WEIBULL.DIST(BU$2,$M32,$L32,FALSE))*($T32*(1-$F32)+$S32*(1-$G32))*((1+Inputs!$D$7)^BU$2))))))))</f>
        <v>215.99737156628751</v>
      </c>
      <c r="BV32" s="88">
        <f>MAX(AF32,($E32*IF(BV$2&gt;Inputs!$D$5,0,IF(BV$2&gt;VLOOKUP($H32,Lists!$P$3:$Q$7,2),IF($N32=Lists!$K$3,IF($L32&lt;1,(($U32/$L32)*((1+Inputs!$D$7)^BV$2)),((INT(BV$2/$L32)-INT((BV$2-1)/$L32))*$U32*((1+Inputs!$D$7)^BV$2))),(Inputs!$D$8^((1-_xlfn.WEIBULL.DIST(BV$2,$M32,$L32,FALSE))/_xlfn.WEIBULL.DIST(BV$2,$M32,$L32,FALSE))*$U32*((1+Inputs!$D$7)^BV$2))),IF($N32=Lists!$K$3,IF($L32&lt;1,((($T32*(1-$F32)+$S32*(1-$G32))/$L32)*((1+Inputs!$D$7)^BV$2)),((INT(BV$2/$L32)-INT((BV$2-1)/$L32))*($T32*(1-$F32)+$S32*(1-$G32))*((1+Inputs!$D$7)^BV$2))),((Inputs!$D$8^((1-_xlfn.WEIBULL.DIST(BV$2,$M32,$L32,FALSE))/_xlfn.WEIBULL.DIST(BV$2,$M32,$L32,FALSE))*($T32*(1-$F32)+$S32*(1-$G32))*((1+Inputs!$D$7)^BV$2))))))))</f>
        <v>197.41003965386921</v>
      </c>
      <c r="BW32" s="88">
        <f>MAX(AG32,($E32*IF(BW$2&gt;Inputs!$D$5,0,IF(BW$2&gt;VLOOKUP($H32,Lists!$P$3:$Q$7,2),IF($N32=Lists!$K$3,IF($L32&lt;1,(($U32/$L32)*((1+Inputs!$D$7)^BW$2)),((INT(BW$2/$L32)-INT((BW$2-1)/$L32))*$U32*((1+Inputs!$D$7)^BW$2))),(Inputs!$D$8^((1-_xlfn.WEIBULL.DIST(BW$2,$M32,$L32,FALSE))/_xlfn.WEIBULL.DIST(BW$2,$M32,$L32,FALSE))*$U32*((1+Inputs!$D$7)^BW$2))),IF($N32=Lists!$K$3,IF($L32&lt;1,((($T32*(1-$F32)+$S32*(1-$G32))/$L32)*((1+Inputs!$D$7)^BW$2)),((INT(BW$2/$L32)-INT((BW$2-1)/$L32))*($T32*(1-$F32)+$S32*(1-$G32))*((1+Inputs!$D$7)^BW$2))),((Inputs!$D$8^((1-_xlfn.WEIBULL.DIST(BW$2,$M32,$L32,FALSE))/_xlfn.WEIBULL.DIST(BW$2,$M32,$L32,FALSE))*($T32*(1-$F32)+$S32*(1-$G32))*((1+Inputs!$D$7)^BW$2))))))))</f>
        <v>179.40949755219242</v>
      </c>
      <c r="BX32" s="88">
        <f>MAX(AH32,($E32*IF(BX$2&gt;Inputs!$D$5,0,IF(BX$2&gt;VLOOKUP($H32,Lists!$P$3:$Q$7,2),IF($N32=Lists!$K$3,IF($L32&lt;1,(($U32/$L32)*((1+Inputs!$D$7)^BX$2)),((INT(BX$2/$L32)-INT((BX$2-1)/$L32))*$U32*((1+Inputs!$D$7)^BX$2))),(Inputs!$D$8^((1-_xlfn.WEIBULL.DIST(BX$2,$M32,$L32,FALSE))/_xlfn.WEIBULL.DIST(BX$2,$M32,$L32,FALSE))*$U32*((1+Inputs!$D$7)^BX$2))),IF($N32=Lists!$K$3,IF($L32&lt;1,((($T32*(1-$F32)+$S32*(1-$G32))/$L32)*((1+Inputs!$D$7)^BX$2)),((INT(BX$2/$L32)-INT((BX$2-1)/$L32))*($T32*(1-$F32)+$S32*(1-$G32))*((1+Inputs!$D$7)^BX$2))),((Inputs!$D$8^((1-_xlfn.WEIBULL.DIST(BX$2,$M32,$L32,FALSE))/_xlfn.WEIBULL.DIST(BX$2,$M32,$L32,FALSE))*($T32*(1-$F32)+$S32*(1-$G32))*((1+Inputs!$D$7)^BX$2))))))))</f>
        <v>162.0883169722371</v>
      </c>
      <c r="BY32" s="88">
        <f>MAX(AI32,($E32*IF(BY$2&gt;Inputs!$D$5,0,IF(BY$2&gt;VLOOKUP($H32,Lists!$P$3:$Q$7,2),IF($N32=Lists!$K$3,IF($L32&lt;1,(($U32/$L32)*((1+Inputs!$D$7)^BY$2)),((INT(BY$2/$L32)-INT((BY$2-1)/$L32))*$U32*((1+Inputs!$D$7)^BY$2))),(Inputs!$D$8^((1-_xlfn.WEIBULL.DIST(BY$2,$M32,$L32,FALSE))/_xlfn.WEIBULL.DIST(BY$2,$M32,$L32,FALSE))*$U32*((1+Inputs!$D$7)^BY$2))),IF($N32=Lists!$K$3,IF($L32&lt;1,((($T32*(1-$F32)+$S32*(1-$G32))/$L32)*((1+Inputs!$D$7)^BY$2)),((INT(BY$2/$L32)-INT((BY$2-1)/$L32))*($T32*(1-$F32)+$S32*(1-$G32))*((1+Inputs!$D$7)^BY$2))),((Inputs!$D$8^((1-_xlfn.WEIBULL.DIST(BY$2,$M32,$L32,FALSE))/_xlfn.WEIBULL.DIST(BY$2,$M32,$L32,FALSE))*($T32*(1-$F32)+$S32*(1-$G32))*((1+Inputs!$D$7)^BY$2))))))))</f>
        <v>145.53127099739456</v>
      </c>
      <c r="BZ32" s="88">
        <f>MAX(AJ32,($E32*IF(BZ$2&gt;Inputs!$D$5,0,IF(BZ$2&gt;VLOOKUP($H32,Lists!$P$3:$Q$7,2),IF($N32=Lists!$K$3,IF($L32&lt;1,(($U32/$L32)*((1+Inputs!$D$7)^BZ$2)),((INT(BZ$2/$L32)-INT((BZ$2-1)/$L32))*$U32*((1+Inputs!$D$7)^BZ$2))),(Inputs!$D$8^((1-_xlfn.WEIBULL.DIST(BZ$2,$M32,$L32,FALSE))/_xlfn.WEIBULL.DIST(BZ$2,$M32,$L32,FALSE))*$U32*((1+Inputs!$D$7)^BZ$2))),IF($N32=Lists!$K$3,IF($L32&lt;1,((($T32*(1-$F32)+$S32*(1-$G32))/$L32)*((1+Inputs!$D$7)^BZ$2)),((INT(BZ$2/$L32)-INT((BZ$2-1)/$L32))*($T32*(1-$F32)+$S32*(1-$G32))*((1+Inputs!$D$7)^BZ$2))),((Inputs!$D$8^((1-_xlfn.WEIBULL.DIST(BZ$2,$M32,$L32,FALSE))/_xlfn.WEIBULL.DIST(BZ$2,$M32,$L32,FALSE))*($T32*(1-$F32)+$S32*(1-$G32))*((1+Inputs!$D$7)^BZ$2))))))))</f>
        <v>129.81376336229971</v>
      </c>
      <c r="CA32" s="88">
        <f>MAX(AK32,($E32*IF(CA$2&gt;Inputs!$D$5,0,IF(CA$2&gt;VLOOKUP($H32,Lists!$P$3:$Q$7,2),IF($N32=Lists!$K$3,IF($L32&lt;1,(($U32/$L32)*((1+Inputs!$D$7)^CA$2)),((INT(CA$2/$L32)-INT((CA$2-1)/$L32))*$U32*((1+Inputs!$D$7)^CA$2))),(Inputs!$D$8^((1-_xlfn.WEIBULL.DIST(CA$2,$M32,$L32,FALSE))/_xlfn.WEIBULL.DIST(CA$2,$M32,$L32,FALSE))*$U32*((1+Inputs!$D$7)^CA$2))),IF($N32=Lists!$K$3,IF($L32&lt;1,((($T32*(1-$F32)+$S32*(1-$G32))/$L32)*((1+Inputs!$D$7)^CA$2)),((INT(CA$2/$L32)-INT((CA$2-1)/$L32))*($T32*(1-$F32)+$S32*(1-$G32))*((1+Inputs!$D$7)^CA$2))),((Inputs!$D$8^((1-_xlfn.WEIBULL.DIST(CA$2,$M32,$L32,FALSE))/_xlfn.WEIBULL.DIST(CA$2,$M32,$L32,FALSE))*($T32*(1-$F32)+$S32*(1-$G32))*((1+Inputs!$D$7)^CA$2))))))))</f>
        <v>115.00039916863236</v>
      </c>
      <c r="CB32" s="88">
        <f>MAX(AL32,($E32*IF(CB$2&gt;Inputs!$D$5,0,IF(CB$2&gt;VLOOKUP($H32,Lists!$P$3:$Q$7,2),IF($N32=Lists!$K$3,IF($L32&lt;1,(($U32/$L32)*((1+Inputs!$D$7)^CB$2)),((INT(CB$2/$L32)-INT((CB$2-1)/$L32))*$U32*((1+Inputs!$D$7)^CB$2))),(Inputs!$D$8^((1-_xlfn.WEIBULL.DIST(CB$2,$M32,$L32,FALSE))/_xlfn.WEIBULL.DIST(CB$2,$M32,$L32,FALSE))*$U32*((1+Inputs!$D$7)^CB$2))),IF($N32=Lists!$K$3,IF($L32&lt;1,((($T32*(1-$F32)+$S32*(1-$G32))/$L32)*((1+Inputs!$D$7)^CB$2)),((INT(CB$2/$L32)-INT((CB$2-1)/$L32))*($T32*(1-$F32)+$S32*(1-$G32))*((1+Inputs!$D$7)^CB$2))),((Inputs!$D$8^((1-_xlfn.WEIBULL.DIST(CB$2,$M32,$L32,FALSE))/_xlfn.WEIBULL.DIST(CB$2,$M32,$L32,FALSE))*($T32*(1-$F32)+$S32*(1-$G32))*((1+Inputs!$D$7)^CB$2))))))))</f>
        <v>101.14375160553904</v>
      </c>
      <c r="CC32" s="88">
        <f>MAX(AM32,($E32*IF(CC$2&gt;Inputs!$D$5,0,IF(CC$2&gt;VLOOKUP($H32,Lists!$P$3:$Q$7,2),IF($N32=Lists!$K$3,IF($L32&lt;1,(($U32/$L32)*((1+Inputs!$D$7)^CC$2)),((INT(CC$2/$L32)-INT((CC$2-1)/$L32))*$U32*((1+Inputs!$D$7)^CC$2))),(Inputs!$D$8^((1-_xlfn.WEIBULL.DIST(CC$2,$M32,$L32,FALSE))/_xlfn.WEIBULL.DIST(CC$2,$M32,$L32,FALSE))*$U32*((1+Inputs!$D$7)^CC$2))),IF($N32=Lists!$K$3,IF($L32&lt;1,((($T32*(1-$F32)+$S32*(1-$G32))/$L32)*((1+Inputs!$D$7)^CC$2)),((INT(CC$2/$L32)-INT((CC$2-1)/$L32))*($T32*(1-$F32)+$S32*(1-$G32))*((1+Inputs!$D$7)^CC$2))),((Inputs!$D$8^((1-_xlfn.WEIBULL.DIST(CC$2,$M32,$L32,FALSE))/_xlfn.WEIBULL.DIST(CC$2,$M32,$L32,FALSE))*($T32*(1-$F32)+$S32*(1-$G32))*((1+Inputs!$D$7)^CC$2))))))))</f>
        <v>88.283377032824617</v>
      </c>
      <c r="CD32" s="88">
        <f>MAX(AN32,($E32*IF(CD$2&gt;Inputs!$D$5,0,IF(CD$2&gt;VLOOKUP($H32,Lists!$P$3:$Q$7,2),IF($N32=Lists!$K$3,IF($L32&lt;1,(($U32/$L32)*((1+Inputs!$D$7)^CD$2)),((INT(CD$2/$L32)-INT((CD$2-1)/$L32))*$U32*((1+Inputs!$D$7)^CD$2))),(Inputs!$D$8^((1-_xlfn.WEIBULL.DIST(CD$2,$M32,$L32,FALSE))/_xlfn.WEIBULL.DIST(CD$2,$M32,$L32,FALSE))*$U32*((1+Inputs!$D$7)^CD$2))),IF($N32=Lists!$K$3,IF($L32&lt;1,((($T32*(1-$F32)+$S32*(1-$G32))/$L32)*((1+Inputs!$D$7)^CD$2)),((INT(CD$2/$L32)-INT((CD$2-1)/$L32))*($T32*(1-$F32)+$S32*(1-$G32))*((1+Inputs!$D$7)^CD$2))),((Inputs!$D$8^((1-_xlfn.WEIBULL.DIST(CD$2,$M32,$L32,FALSE))/_xlfn.WEIBULL.DIST(CD$2,$M32,$L32,FALSE))*($T32*(1-$F32)+$S32*(1-$G32))*((1+Inputs!$D$7)^CD$2))))))))</f>
        <v>76.445125732603458</v>
      </c>
      <c r="CE32" s="88">
        <f>MAX(AO32,($E32*IF(CE$2&gt;Inputs!$D$5,0,IF(CE$2&gt;VLOOKUP($H32,Lists!$P$3:$Q$7,2),IF($N32=Lists!$K$3,IF($L32&lt;1,(($U32/$L32)*((1+Inputs!$D$7)^CE$2)),((INT(CE$2/$L32)-INT((CE$2-1)/$L32))*$U32*((1+Inputs!$D$7)^CE$2))),(Inputs!$D$8^((1-_xlfn.WEIBULL.DIST(CE$2,$M32,$L32,FALSE))/_xlfn.WEIBULL.DIST(CE$2,$M32,$L32,FALSE))*$U32*((1+Inputs!$D$7)^CE$2))),IF($N32=Lists!$K$3,IF($L32&lt;1,((($T32*(1-$F32)+$S32*(1-$G32))/$L32)*((1+Inputs!$D$7)^CE$2)),((INT(CE$2/$L32)-INT((CE$2-1)/$L32))*($T32*(1-$F32)+$S32*(1-$G32))*((1+Inputs!$D$7)^CE$2))),((Inputs!$D$8^((1-_xlfn.WEIBULL.DIST(CE$2,$M32,$L32,FALSE))/_xlfn.WEIBULL.DIST(CE$2,$M32,$L32,FALSE))*($T32*(1-$F32)+$S32*(1-$G32))*((1+Inputs!$D$7)^CE$2))))))))</f>
        <v>65.64078760158371</v>
      </c>
      <c r="CF32" s="88">
        <f>MAX(AP32,($E32*IF(CF$2&gt;Inputs!$D$5,0,IF(CF$2&gt;VLOOKUP($H32,Lists!$P$3:$Q$7,2),IF($N32=Lists!$K$3,IF($L32&lt;1,(($U32/$L32)*((1+Inputs!$D$7)^CF$2)),((INT(CF$2/$L32)-INT((CF$2-1)/$L32))*$U32*((1+Inputs!$D$7)^CF$2))),(Inputs!$D$8^((1-_xlfn.WEIBULL.DIST(CF$2,$M32,$L32,FALSE))/_xlfn.WEIBULL.DIST(CF$2,$M32,$L32,FALSE))*$U32*((1+Inputs!$D$7)^CF$2))),IF($N32=Lists!$K$3,IF($L32&lt;1,((($T32*(1-$F32)+$S32*(1-$G32))/$L32)*((1+Inputs!$D$7)^CF$2)),((INT(CF$2/$L32)-INT((CF$2-1)/$L32))*($T32*(1-$F32)+$S32*(1-$G32))*((1+Inputs!$D$7)^CF$2))),((Inputs!$D$8^((1-_xlfn.WEIBULL.DIST(CF$2,$M32,$L32,FALSE))/_xlfn.WEIBULL.DIST(CF$2,$M32,$L32,FALSE))*($T32*(1-$F32)+$S32*(1-$G32))*((1+Inputs!$D$7)^CF$2))))))))</f>
        <v>55.868101090049635</v>
      </c>
      <c r="CG32" s="88">
        <f>MAX(AQ32,($E32*IF(CG$2&gt;Inputs!$D$5,0,IF(CG$2&gt;VLOOKUP($H32,Lists!$P$3:$Q$7,2),IF($N32=Lists!$K$3,IF($L32&lt;1,(($U32/$L32)*((1+Inputs!$D$7)^CG$2)),((INT(CG$2/$L32)-INT((CG$2-1)/$L32))*$U32*((1+Inputs!$D$7)^CG$2))),(Inputs!$D$8^((1-_xlfn.WEIBULL.DIST(CG$2,$M32,$L32,FALSE))/_xlfn.WEIBULL.DIST(CG$2,$M32,$L32,FALSE))*$U32*((1+Inputs!$D$7)^CG$2))),IF($N32=Lists!$K$3,IF($L32&lt;1,((($T32*(1-$F32)+$S32*(1-$G32))/$L32)*((1+Inputs!$D$7)^CG$2)),((INT(CG$2/$L32)-INT((CG$2-1)/$L32))*($T32*(1-$F32)+$S32*(1-$G32))*((1+Inputs!$D$7)^CG$2))),((Inputs!$D$8^((1-_xlfn.WEIBULL.DIST(CG$2,$M32,$L32,FALSE))/_xlfn.WEIBULL.DIST(CG$2,$M32,$L32,FALSE))*($T32*(1-$F32)+$S32*(1-$G32))*((1+Inputs!$D$7)^CG$2))))))))</f>
        <v>47.111140064649717</v>
      </c>
      <c r="CH32" s="88">
        <f>MAX(AR32,($E32*IF(CH$2&gt;Inputs!$D$5,0,IF(CH$2&gt;VLOOKUP($H32,Lists!$P$3:$Q$7,2),IF($N32=Lists!$K$3,IF($L32&lt;1,(($U32/$L32)*((1+Inputs!$D$7)^CH$2)),((INT(CH$2/$L32)-INT((CH$2-1)/$L32))*$U32*((1+Inputs!$D$7)^CH$2))),(Inputs!$D$8^((1-_xlfn.WEIBULL.DIST(CH$2,$M32,$L32,FALSE))/_xlfn.WEIBULL.DIST(CH$2,$M32,$L32,FALSE))*$U32*((1+Inputs!$D$7)^CH$2))),IF($N32=Lists!$K$3,IF($L32&lt;1,((($T32*(1-$F32)+$S32*(1-$G32))/$L32)*((1+Inputs!$D$7)^CH$2)),((INT(CH$2/$L32)-INT((CH$2-1)/$L32))*($T32*(1-$F32)+$S32*(1-$G32))*((1+Inputs!$D$7)^CH$2))),((Inputs!$D$8^((1-_xlfn.WEIBULL.DIST(CH$2,$M32,$L32,FALSE))/_xlfn.WEIBULL.DIST(CH$2,$M32,$L32,FALSE))*($T32*(1-$F32)+$S32*(1-$G32))*((1+Inputs!$D$7)^CH$2))))))))</f>
        <v>44.472392995590205</v>
      </c>
      <c r="CI32" s="88">
        <f>MAX(AS32,($E32*IF(CI$2&gt;Inputs!$D$5,0,IF(CI$2&gt;VLOOKUP($H32,Lists!$P$3:$Q$7,2),IF($N32=Lists!$K$3,IF($L32&lt;1,(($U32/$L32)*((1+Inputs!$D$7)^CI$2)),((INT(CI$2/$L32)-INT((CI$2-1)/$L32))*$U32*((1+Inputs!$D$7)^CI$2))),(Inputs!$D$8^((1-_xlfn.WEIBULL.DIST(CI$2,$M32,$L32,FALSE))/_xlfn.WEIBULL.DIST(CI$2,$M32,$L32,FALSE))*$U32*((1+Inputs!$D$7)^CI$2))),IF($N32=Lists!$K$3,IF($L32&lt;1,((($T32*(1-$F32)+$S32*(1-$G32))/$L32)*((1+Inputs!$D$7)^CI$2)),((INT(CI$2/$L32)-INT((CI$2-1)/$L32))*($T32*(1-$F32)+$S32*(1-$G32))*((1+Inputs!$D$7)^CI$2))),((Inputs!$D$8^((1-_xlfn.WEIBULL.DIST(CI$2,$M32,$L32,FALSE))/_xlfn.WEIBULL.DIST(CI$2,$M32,$L32,FALSE))*($T32*(1-$F32)+$S32*(1-$G32))*((1+Inputs!$D$7)^CI$2))))))))</f>
        <v>43.149517771272151</v>
      </c>
      <c r="CJ32" s="88">
        <f>MAX(AT32,($E32*IF(CJ$2&gt;Inputs!$D$5,0,IF(CJ$2&gt;VLOOKUP($H32,Lists!$P$3:$Q$7,2),IF($N32=Lists!$K$3,IF($L32&lt;1,(($U32/$L32)*((1+Inputs!$D$7)^CJ$2)),((INT(CJ$2/$L32)-INT((CJ$2-1)/$L32))*$U32*((1+Inputs!$D$7)^CJ$2))),(Inputs!$D$8^((1-_xlfn.WEIBULL.DIST(CJ$2,$M32,$L32,FALSE))/_xlfn.WEIBULL.DIST(CJ$2,$M32,$L32,FALSE))*$U32*((1+Inputs!$D$7)^CJ$2))),IF($N32=Lists!$K$3,IF($L32&lt;1,((($T32*(1-$F32)+$S32*(1-$G32))/$L32)*((1+Inputs!$D$7)^CJ$2)),((INT(CJ$2/$L32)-INT((CJ$2-1)/$L32))*($T32*(1-$F32)+$S32*(1-$G32))*((1+Inputs!$D$7)^CJ$2))),((Inputs!$D$8^((1-_xlfn.WEIBULL.DIST(CJ$2,$M32,$L32,FALSE))/_xlfn.WEIBULL.DIST(CJ$2,$M32,$L32,FALSE))*($T32*(1-$F32)+$S32*(1-$G32))*((1+Inputs!$D$7)^CJ$2))))))))</f>
        <v>41.865992776191554</v>
      </c>
      <c r="CK32" s="88">
        <f>MAX(AU32,($E32*IF(CK$2&gt;Inputs!$D$5,0,IF(CK$2&gt;VLOOKUP($H32,Lists!$P$3:$Q$7,2),IF($N32=Lists!$K$3,IF($L32&lt;1,(($U32/$L32)*((1+Inputs!$D$7)^CK$2)),((INT(CK$2/$L32)-INT((CK$2-1)/$L32))*$U32*((1+Inputs!$D$7)^CK$2))),(Inputs!$D$8^((1-_xlfn.WEIBULL.DIST(CK$2,$M32,$L32,FALSE))/_xlfn.WEIBULL.DIST(CK$2,$M32,$L32,FALSE))*$U32*((1+Inputs!$D$7)^CK$2))),IF($N32=Lists!$K$3,IF($L32&lt;1,((($T32*(1-$F32)+$S32*(1-$G32))/$L32)*((1+Inputs!$D$7)^CK$2)),((INT(CK$2/$L32)-INT((CK$2-1)/$L32))*($T32*(1-$F32)+$S32*(1-$G32))*((1+Inputs!$D$7)^CK$2))),((Inputs!$D$8^((1-_xlfn.WEIBULL.DIST(CK$2,$M32,$L32,FALSE))/_xlfn.WEIBULL.DIST(CK$2,$M32,$L32,FALSE))*($T32*(1-$F32)+$S32*(1-$G32))*((1+Inputs!$D$7)^CK$2))))))))</f>
        <v>40.620647498940698</v>
      </c>
      <c r="CL32" s="88">
        <f>MAX(AV32,($E32*IF(CL$2&gt;Inputs!$D$5,0,IF(CL$2&gt;VLOOKUP($H32,Lists!$P$3:$Q$7,2),IF($N32=Lists!$K$3,IF($L32&lt;1,(($U32/$L32)*((1+Inputs!$D$7)^CL$2)),((INT(CL$2/$L32)-INT((CL$2-1)/$L32))*$U32*((1+Inputs!$D$7)^CL$2))),(Inputs!$D$8^((1-_xlfn.WEIBULL.DIST(CL$2,$M32,$L32,FALSE))/_xlfn.WEIBULL.DIST(CL$2,$M32,$L32,FALSE))*$U32*((1+Inputs!$D$7)^CL$2))),IF($N32=Lists!$K$3,IF($L32&lt;1,((($T32*(1-$F32)+$S32*(1-$G32))/$L32)*((1+Inputs!$D$7)^CL$2)),((INT(CL$2/$L32)-INT((CL$2-1)/$L32))*($T32*(1-$F32)+$S32*(1-$G32))*((1+Inputs!$D$7)^CL$2))),((Inputs!$D$8^((1-_xlfn.WEIBULL.DIST(CL$2,$M32,$L32,FALSE))/_xlfn.WEIBULL.DIST(CL$2,$M32,$L32,FALSE))*($T32*(1-$F32)+$S32*(1-$G32))*((1+Inputs!$D$7)^CL$2))))))))</f>
        <v>39.412346246129005</v>
      </c>
      <c r="CM32" s="88">
        <f>MAX(AW32,($E32*IF(CM$2&gt;Inputs!$D$5,0,IF(CM$2&gt;VLOOKUP($H32,Lists!$P$3:$Q$7,2),IF($N32=Lists!$K$3,IF($L32&lt;1,(($U32/$L32)*((1+Inputs!$D$7)^CM$2)),((INT(CM$2/$L32)-INT((CM$2-1)/$L32))*$U32*((1+Inputs!$D$7)^CM$2))),(Inputs!$D$8^((1-_xlfn.WEIBULL.DIST(CM$2,$M32,$L32,FALSE))/_xlfn.WEIBULL.DIST(CM$2,$M32,$L32,FALSE))*$U32*((1+Inputs!$D$7)^CM$2))),IF($N32=Lists!$K$3,IF($L32&lt;1,((($T32*(1-$F32)+$S32*(1-$G32))/$L32)*((1+Inputs!$D$7)^CM$2)),((INT(CM$2/$L32)-INT((CM$2-1)/$L32))*($T32*(1-$F32)+$S32*(1-$G32))*((1+Inputs!$D$7)^CM$2))),((Inputs!$D$8^((1-_xlfn.WEIBULL.DIST(CM$2,$M32,$L32,FALSE))/_xlfn.WEIBULL.DIST(CM$2,$M32,$L32,FALSE))*($T32*(1-$F32)+$S32*(1-$G32))*((1+Inputs!$D$7)^CM$2))))))))</f>
        <v>38.239987106686726</v>
      </c>
      <c r="CN32" s="88">
        <f>MAX(AX32,($E32*IF(CN$2&gt;Inputs!$D$5,0,IF(CN$2&gt;VLOOKUP($H32,Lists!$P$3:$Q$7,2),IF($N32=Lists!$K$3,IF($L32&lt;1,(($U32/$L32)*((1+Inputs!$D$7)^CN$2)),((INT(CN$2/$L32)-INT((CN$2-1)/$L32))*$U32*((1+Inputs!$D$7)^CN$2))),(Inputs!$D$8^((1-_xlfn.WEIBULL.DIST(CN$2,$M32,$L32,FALSE))/_xlfn.WEIBULL.DIST(CN$2,$M32,$L32,FALSE))*$U32*((1+Inputs!$D$7)^CN$2))),IF($N32=Lists!$K$3,IF($L32&lt;1,((($T32*(1-$F32)+$S32*(1-$G32))/$L32)*((1+Inputs!$D$7)^CN$2)),((INT(CN$2/$L32)-INT((CN$2-1)/$L32))*($T32*(1-$F32)+$S32*(1-$G32))*((1+Inputs!$D$7)^CN$2))),((Inputs!$D$8^((1-_xlfn.WEIBULL.DIST(CN$2,$M32,$L32,FALSE))/_xlfn.WEIBULL.DIST(CN$2,$M32,$L32,FALSE))*($T32*(1-$F32)+$S32*(1-$G32))*((1+Inputs!$D$7)^CN$2))))))))</f>
        <v>37.102500946976512</v>
      </c>
      <c r="CO32" s="88">
        <f>MAX(AY32,($E32*IF(CO$2&gt;Inputs!$D$5,0,IF(CO$2&gt;VLOOKUP($H32,Lists!$P$3:$Q$7,2),IF($N32=Lists!$K$3,IF($L32&lt;1,(($U32/$L32)*((1+Inputs!$D$7)^CO$2)),((INT(CO$2/$L32)-INT((CO$2-1)/$L32))*$U32*((1+Inputs!$D$7)^CO$2))),(Inputs!$D$8^((1-_xlfn.WEIBULL.DIST(CO$2,$M32,$L32,FALSE))/_xlfn.WEIBULL.DIST(CO$2,$M32,$L32,FALSE))*$U32*((1+Inputs!$D$7)^CO$2))),IF($N32=Lists!$K$3,IF($L32&lt;1,((($T32*(1-$F32)+$S32*(1-$G32))/$L32)*((1+Inputs!$D$7)^CO$2)),((INT(CO$2/$L32)-INT((CO$2-1)/$L32))*($T32*(1-$F32)+$S32*(1-$G32))*((1+Inputs!$D$7)^CO$2))),((Inputs!$D$8^((1-_xlfn.WEIBULL.DIST(CO$2,$M32,$L32,FALSE))/_xlfn.WEIBULL.DIST(CO$2,$M32,$L32,FALSE))*($T32*(1-$F32)+$S32*(1-$G32))*((1+Inputs!$D$7)^CO$2))))))))</f>
        <v>35.99885043579625</v>
      </c>
      <c r="CP32" s="88">
        <f>MAX(AZ32,($E32*IF(CP$2&gt;Inputs!$D$5,0,IF(CP$2&gt;VLOOKUP($H32,Lists!$P$3:$Q$7,2),IF($N32=Lists!$K$3,IF($L32&lt;1,(($U32/$L32)*((1+Inputs!$D$7)^CP$2)),((INT(CP$2/$L32)-INT((CP$2-1)/$L32))*$U32*((1+Inputs!$D$7)^CP$2))),(Inputs!$D$8^((1-_xlfn.WEIBULL.DIST(CP$2,$M32,$L32,FALSE))/_xlfn.WEIBULL.DIST(CP$2,$M32,$L32,FALSE))*$U32*((1+Inputs!$D$7)^CP$2))),IF($N32=Lists!$K$3,IF($L32&lt;1,((($T32*(1-$F32)+$S32*(1-$G32))/$L32)*((1+Inputs!$D$7)^CP$2)),((INT(CP$2/$L32)-INT((CP$2-1)/$L32))*($T32*(1-$F32)+$S32*(1-$G32))*((1+Inputs!$D$7)^CP$2))),((Inputs!$D$8^((1-_xlfn.WEIBULL.DIST(CP$2,$M32,$L32,FALSE))/_xlfn.WEIBULL.DIST(CP$2,$M32,$L32,FALSE))*($T32*(1-$F32)+$S32*(1-$G32))*((1+Inputs!$D$7)^CP$2))))))))</f>
        <v>0</v>
      </c>
      <c r="CQ32" s="88">
        <f>MAX(BA32,($E32*IF(CQ$2&gt;Inputs!$D$5,0,IF(CQ$2&gt;VLOOKUP($H32,Lists!$P$3:$Q$7,2),IF($N32=Lists!$K$3,IF($L32&lt;1,(($U32/$L32)*((1+Inputs!$D$7)^CQ$2)),((INT(CQ$2/$L32)-INT((CQ$2-1)/$L32))*$U32*((1+Inputs!$D$7)^CQ$2))),(Inputs!$D$8^((1-_xlfn.WEIBULL.DIST(CQ$2,$M32,$L32,FALSE))/_xlfn.WEIBULL.DIST(CQ$2,$M32,$L32,FALSE))*$U32*((1+Inputs!$D$7)^CQ$2))),IF($N32=Lists!$K$3,IF($L32&lt;1,((($T32*(1-$F32)+$S32*(1-$G32))/$L32)*((1+Inputs!$D$7)^CQ$2)),((INT(CQ$2/$L32)-INT((CQ$2-1)/$L32))*($T32*(1-$F32)+$S32*(1-$G32))*((1+Inputs!$D$7)^CQ$2))),((Inputs!$D$8^((1-_xlfn.WEIBULL.DIST(CQ$2,$M32,$L32,FALSE))/_xlfn.WEIBULL.DIST(CQ$2,$M32,$L32,FALSE))*($T32*(1-$F32)+$S32*(1-$G32))*((1+Inputs!$D$7)^CQ$2))))))))</f>
        <v>0</v>
      </c>
      <c r="CR32" s="88">
        <f>MAX(BB32,($E32*IF(CR$2&gt;Inputs!$D$5,0,IF(CR$2&gt;VLOOKUP($H32,Lists!$P$3:$Q$7,2),IF($N32=Lists!$K$3,IF($L32&lt;1,(($U32/$L32)*((1+Inputs!$D$7)^CR$2)),((INT(CR$2/$L32)-INT((CR$2-1)/$L32))*$U32*((1+Inputs!$D$7)^CR$2))),(Inputs!$D$8^((1-_xlfn.WEIBULL.DIST(CR$2,$M32,$L32,FALSE))/_xlfn.WEIBULL.DIST(CR$2,$M32,$L32,FALSE))*$U32*((1+Inputs!$D$7)^CR$2))),IF($N32=Lists!$K$3,IF($L32&lt;1,((($T32*(1-$F32)+$S32*(1-$G32))/$L32)*((1+Inputs!$D$7)^CR$2)),((INT(CR$2/$L32)-INT((CR$2-1)/$L32))*($T32*(1-$F32)+$S32*(1-$G32))*((1+Inputs!$D$7)^CR$2))),((Inputs!$D$8^((1-_xlfn.WEIBULL.DIST(CR$2,$M32,$L32,FALSE))/_xlfn.WEIBULL.DIST(CR$2,$M32,$L32,FALSE))*($T32*(1-$F32)+$S32*(1-$G32))*((1+Inputs!$D$7)^CR$2))))))))</f>
        <v>0</v>
      </c>
      <c r="CS32" s="88">
        <f>MAX(BC32,($E32*IF(CS$2&gt;Inputs!$D$5,0,IF(CS$2&gt;VLOOKUP($H32,Lists!$P$3:$Q$7,2),IF($N32=Lists!$K$3,IF($L32&lt;1,(($U32/$L32)*((1+Inputs!$D$7)^CS$2)),((INT(CS$2/$L32)-INT((CS$2-1)/$L32))*$U32*((1+Inputs!$D$7)^CS$2))),(Inputs!$D$8^((1-_xlfn.WEIBULL.DIST(CS$2,$M32,$L32,FALSE))/_xlfn.WEIBULL.DIST(CS$2,$M32,$L32,FALSE))*$U32*((1+Inputs!$D$7)^CS$2))),IF($N32=Lists!$K$3,IF($L32&lt;1,((($T32*(1-$F32)+$S32*(1-$G32))/$L32)*((1+Inputs!$D$7)^CS$2)),((INT(CS$2/$L32)-INT((CS$2-1)/$L32))*($T32*(1-$F32)+$S32*(1-$G32))*((1+Inputs!$D$7)^CS$2))),((Inputs!$D$8^((1-_xlfn.WEIBULL.DIST(CS$2,$M32,$L32,FALSE))/_xlfn.WEIBULL.DIST(CS$2,$M32,$L32,FALSE))*($T32*(1-$F32)+$S32*(1-$G32))*((1+Inputs!$D$7)^CS$2))))))))</f>
        <v>0</v>
      </c>
      <c r="CT32" s="88">
        <f>MAX(BD32,($E32*IF(CT$2&gt;Inputs!$D$5,0,IF(CT$2&gt;VLOOKUP($H32,Lists!$P$3:$Q$7,2),IF($N32=Lists!$K$3,IF($L32&lt;1,(($U32/$L32)*((1+Inputs!$D$7)^CT$2)),((INT(CT$2/$L32)-INT((CT$2-1)/$L32))*$U32*((1+Inputs!$D$7)^CT$2))),(Inputs!$D$8^((1-_xlfn.WEIBULL.DIST(CT$2,$M32,$L32,FALSE))/_xlfn.WEIBULL.DIST(CT$2,$M32,$L32,FALSE))*$U32*((1+Inputs!$D$7)^CT$2))),IF($N32=Lists!$K$3,IF($L32&lt;1,((($T32*(1-$F32)+$S32*(1-$G32))/$L32)*((1+Inputs!$D$7)^CT$2)),((INT(CT$2/$L32)-INT((CT$2-1)/$L32))*($T32*(1-$F32)+$S32*(1-$G32))*((1+Inputs!$D$7)^CT$2))),((Inputs!$D$8^((1-_xlfn.WEIBULL.DIST(CT$2,$M32,$L32,FALSE))/_xlfn.WEIBULL.DIST(CT$2,$M32,$L32,FALSE))*($T32*(1-$F32)+$S32*(1-$G32))*((1+Inputs!$D$7)^CT$2))))))))</f>
        <v>0</v>
      </c>
      <c r="CU32" s="88">
        <f>MAX(BE32,($E32*IF(CU$2&gt;Inputs!$D$5,0,IF(CU$2&gt;VLOOKUP($H32,Lists!$P$3:$Q$7,2),IF($N32=Lists!$K$3,IF($L32&lt;1,(($U32/$L32)*((1+Inputs!$D$7)^CU$2)),((INT(CU$2/$L32)-INT((CU$2-1)/$L32))*$U32*((1+Inputs!$D$7)^CU$2))),(Inputs!$D$8^((1-_xlfn.WEIBULL.DIST(CU$2,$M32,$L32,FALSE))/_xlfn.WEIBULL.DIST(CU$2,$M32,$L32,FALSE))*$U32*((1+Inputs!$D$7)^CU$2))),IF($N32=Lists!$K$3,IF($L32&lt;1,((($T32*(1-$F32)+$S32*(1-$G32))/$L32)*((1+Inputs!$D$7)^CU$2)),((INT(CU$2/$L32)-INT((CU$2-1)/$L32))*($T32*(1-$F32)+$S32*(1-$G32))*((1+Inputs!$D$7)^CU$2))),((Inputs!$D$8^((1-_xlfn.WEIBULL.DIST(CU$2,$M32,$L32,FALSE))/_xlfn.WEIBULL.DIST(CU$2,$M32,$L32,FALSE))*($T32*(1-$F32)+$S32*(1-$G32))*((1+Inputs!$D$7)^CU$2))))))))</f>
        <v>0</v>
      </c>
      <c r="CV32" s="88">
        <f>MAX(BF32,($E32*IF(CV$2&gt;Inputs!$D$5,0,IF(CV$2&gt;VLOOKUP($H32,Lists!$P$3:$Q$7,2),IF($N32=Lists!$K$3,IF($L32&lt;1,(($U32/$L32)*((1+Inputs!$D$7)^CV$2)),((INT(CV$2/$L32)-INT((CV$2-1)/$L32))*$U32*((1+Inputs!$D$7)^CV$2))),(Inputs!$D$8^((1-_xlfn.WEIBULL.DIST(CV$2,$M32,$L32,FALSE))/_xlfn.WEIBULL.DIST(CV$2,$M32,$L32,FALSE))*$U32*((1+Inputs!$D$7)^CV$2))),IF($N32=Lists!$K$3,IF($L32&lt;1,((($T32*(1-$F32)+$S32*(1-$G32))/$L32)*((1+Inputs!$D$7)^CV$2)),((INT(CV$2/$L32)-INT((CV$2-1)/$L32))*($T32*(1-$F32)+$S32*(1-$G32))*((1+Inputs!$D$7)^CV$2))),((Inputs!$D$8^((1-_xlfn.WEIBULL.DIST(CV$2,$M32,$L32,FALSE))/_xlfn.WEIBULL.DIST(CV$2,$M32,$L32,FALSE))*($T32*(1-$F32)+$S32*(1-$G32))*((1+Inputs!$D$7)^CV$2))))))))</f>
        <v>0</v>
      </c>
      <c r="CW32" s="88">
        <f>MAX(BG32,($E32*IF(CW$2&gt;Inputs!$D$5,0,IF(CW$2&gt;VLOOKUP($H32,Lists!$P$3:$Q$7,2),IF($N32=Lists!$K$3,IF($L32&lt;1,(($U32/$L32)*((1+Inputs!$D$7)^CW$2)),((INT(CW$2/$L32)-INT((CW$2-1)/$L32))*$U32*((1+Inputs!$D$7)^CW$2))),(Inputs!$D$8^((1-_xlfn.WEIBULL.DIST(CW$2,$M32,$L32,FALSE))/_xlfn.WEIBULL.DIST(CW$2,$M32,$L32,FALSE))*$U32*((1+Inputs!$D$7)^CW$2))),IF($N32=Lists!$K$3,IF($L32&lt;1,((($T32*(1-$F32)+$S32*(1-$G32))/$L32)*((1+Inputs!$D$7)^CW$2)),((INT(CW$2/$L32)-INT((CW$2-1)/$L32))*($T32*(1-$F32)+$S32*(1-$G32))*((1+Inputs!$D$7)^CW$2))),((Inputs!$D$8^((1-_xlfn.WEIBULL.DIST(CW$2,$M32,$L32,FALSE))/_xlfn.WEIBULL.DIST(CW$2,$M32,$L32,FALSE))*($T32*(1-$F32)+$S32*(1-$G32))*((1+Inputs!$D$7)^CW$2))))))))</f>
        <v>0</v>
      </c>
      <c r="CX32" s="88">
        <f>MAX(BH32,($E32*IF(CX$2&gt;Inputs!$D$5,0,IF(CX$2&gt;VLOOKUP($H32,Lists!$P$3:$Q$7,2),IF($N32=Lists!$K$3,IF($L32&lt;1,(($U32/$L32)*((1+Inputs!$D$7)^CX$2)),((INT(CX$2/$L32)-INT((CX$2-1)/$L32))*$U32*((1+Inputs!$D$7)^CX$2))),(Inputs!$D$8^((1-_xlfn.WEIBULL.DIST(CX$2,$M32,$L32,FALSE))/_xlfn.WEIBULL.DIST(CX$2,$M32,$L32,FALSE))*$U32*((1+Inputs!$D$7)^CX$2))),IF($N32=Lists!$K$3,IF($L32&lt;1,((($T32*(1-$F32)+$S32*(1-$G32))/$L32)*((1+Inputs!$D$7)^CX$2)),((INT(CX$2/$L32)-INT((CX$2-1)/$L32))*($T32*(1-$F32)+$S32*(1-$G32))*((1+Inputs!$D$7)^CX$2))),((Inputs!$D$8^((1-_xlfn.WEIBULL.DIST(CX$2,$M32,$L32,FALSE))/_xlfn.WEIBULL.DIST(CX$2,$M32,$L32,FALSE))*($T32*(1-$F32)+$S32*(1-$G32))*((1+Inputs!$D$7)^CX$2))))))))</f>
        <v>0</v>
      </c>
      <c r="CY32" s="88">
        <f>MAX(BI32,($E32*IF(CY$2&gt;Inputs!$D$5,0,IF(CY$2&gt;VLOOKUP($H32,Lists!$P$3:$Q$7,2),IF($N32=Lists!$K$3,IF($L32&lt;1,(($U32/$L32)*((1+Inputs!$D$7)^CY$2)),((INT(CY$2/$L32)-INT((CY$2-1)/$L32))*$U32*((1+Inputs!$D$7)^CY$2))),(Inputs!$D$8^((1-_xlfn.WEIBULL.DIST(CY$2,$M32,$L32,FALSE))/_xlfn.WEIBULL.DIST(CY$2,$M32,$L32,FALSE))*$U32*((1+Inputs!$D$7)^CY$2))),IF($N32=Lists!$K$3,IF($L32&lt;1,((($T32*(1-$F32)+$S32*(1-$G32))/$L32)*((1+Inputs!$D$7)^CY$2)),((INT(CY$2/$L32)-INT((CY$2-1)/$L32))*($T32*(1-$F32)+$S32*(1-$G32))*((1+Inputs!$D$7)^CY$2))),((Inputs!$D$8^((1-_xlfn.WEIBULL.DIST(CY$2,$M32,$L32,FALSE))/_xlfn.WEIBULL.DIST(CY$2,$M32,$L32,FALSE))*($T32*(1-$F32)+$S32*(1-$G32))*((1+Inputs!$D$7)^CY$2))))))))</f>
        <v>0</v>
      </c>
      <c r="CZ32" s="88">
        <f>MAX(BJ32,($E32*IF(CZ$2&gt;Inputs!$D$5,0,IF(CZ$2&gt;VLOOKUP($H32,Lists!$P$3:$Q$7,2),IF($N32=Lists!$K$3,IF($L32&lt;1,(($U32/$L32)*((1+Inputs!$D$7)^CZ$2)),((INT(CZ$2/$L32)-INT((CZ$2-1)/$L32))*$U32*((1+Inputs!$D$7)^CZ$2))),(Inputs!$D$8^((1-_xlfn.WEIBULL.DIST(CZ$2,$M32,$L32,FALSE))/_xlfn.WEIBULL.DIST(CZ$2,$M32,$L32,FALSE))*$U32*((1+Inputs!$D$7)^CZ$2))),IF($N32=Lists!$K$3,IF($L32&lt;1,((($T32*(1-$F32)+$S32*(1-$G32))/$L32)*((1+Inputs!$D$7)^CZ$2)),((INT(CZ$2/$L32)-INT((CZ$2-1)/$L32))*($T32*(1-$F32)+$S32*(1-$G32))*((1+Inputs!$D$7)^CZ$2))),((Inputs!$D$8^((1-_xlfn.WEIBULL.DIST(CZ$2,$M32,$L32,FALSE))/_xlfn.WEIBULL.DIST(CZ$2,$M32,$L32,FALSE))*($T32*(1-$F32)+$S32*(1-$G32))*((1+Inputs!$D$7)^CZ$2))))))))</f>
        <v>0</v>
      </c>
      <c r="DA32" s="88">
        <f>MAX(BK32,($E32*IF(DA$2&gt;Inputs!$D$5,0,IF(DA$2&gt;VLOOKUP($H32,Lists!$P$3:$Q$7,2),IF($N32=Lists!$K$3,IF($L32&lt;1,(($U32/$L32)*((1+Inputs!$D$7)^DA$2)),((INT(DA$2/$L32)-INT((DA$2-1)/$L32))*$U32*((1+Inputs!$D$7)^DA$2))),(Inputs!$D$8^((1-_xlfn.WEIBULL.DIST(DA$2,$M32,$L32,FALSE))/_xlfn.WEIBULL.DIST(DA$2,$M32,$L32,FALSE))*$U32*((1+Inputs!$D$7)^DA$2))),IF($N32=Lists!$K$3,IF($L32&lt;1,((($T32*(1-$F32)+$S32*(1-$G32))/$L32)*((1+Inputs!$D$7)^DA$2)),((INT(DA$2/$L32)-INT((DA$2-1)/$L32))*($T32*(1-$F32)+$S32*(1-$G32))*((1+Inputs!$D$7)^DA$2))),((Inputs!$D$8^((1-_xlfn.WEIBULL.DIST(DA$2,$M32,$L32,FALSE))/_xlfn.WEIBULL.DIST(DA$2,$M32,$L32,FALSE))*($T32*(1-$F32)+$S32*(1-$G32))*((1+Inputs!$D$7)^DA$2))))))))</f>
        <v>0</v>
      </c>
      <c r="DB32" s="88">
        <f>MAX(BL32,($E32*IF(DB$2&gt;Inputs!$D$5,0,IF(DB$2&gt;VLOOKUP($H32,Lists!$P$3:$Q$7,2),IF($N32=Lists!$K$3,IF($L32&lt;1,(($U32/$L32)*((1+Inputs!$D$7)^DB$2)),((INT(DB$2/$L32)-INT((DB$2-1)/$L32))*$U32*((1+Inputs!$D$7)^DB$2))),(Inputs!$D$8^((1-_xlfn.WEIBULL.DIST(DB$2,$M32,$L32,FALSE))/_xlfn.WEIBULL.DIST(DB$2,$M32,$L32,FALSE))*$U32*((1+Inputs!$D$7)^DB$2))),IF($N32=Lists!$K$3,IF($L32&lt;1,((($T32*(1-$F32)+$S32*(1-$G32))/$L32)*((1+Inputs!$D$7)^DB$2)),((INT(DB$2/$L32)-INT((DB$2-1)/$L32))*($T32*(1-$F32)+$S32*(1-$G32))*((1+Inputs!$D$7)^DB$2))),((Inputs!$D$8^((1-_xlfn.WEIBULL.DIST(DB$2,$M32,$L32,FALSE))/_xlfn.WEIBULL.DIST(DB$2,$M32,$L32,FALSE))*($T32*(1-$F32)+$S32*(1-$G32))*((1+Inputs!$D$7)^DB$2))))))))</f>
        <v>0</v>
      </c>
      <c r="DC32" s="88">
        <f>MAX(BM32,($E32*IF(DC$2&gt;Inputs!$D$5,0,IF(DC$2&gt;VLOOKUP($H32,Lists!$P$3:$Q$7,2),IF($N32=Lists!$K$3,IF($L32&lt;1,(($U32/$L32)*((1+Inputs!$D$7)^DC$2)),((INT(DC$2/$L32)-INT((DC$2-1)/$L32))*$U32*((1+Inputs!$D$7)^DC$2))),(Inputs!$D$8^((1-_xlfn.WEIBULL.DIST(DC$2,$M32,$L32,FALSE))/_xlfn.WEIBULL.DIST(DC$2,$M32,$L32,FALSE))*$U32*((1+Inputs!$D$7)^DC$2))),IF($N32=Lists!$K$3,IF($L32&lt;1,((($T32*(1-$F32)+$S32*(1-$G32))/$L32)*((1+Inputs!$D$7)^DC$2)),((INT(DC$2/$L32)-INT((DC$2-1)/$L32))*($T32*(1-$F32)+$S32*(1-$G32))*((1+Inputs!$D$7)^DC$2))),((Inputs!$D$8^((1-_xlfn.WEIBULL.DIST(DC$2,$M32,$L32,FALSE))/_xlfn.WEIBULL.DIST(DC$2,$M32,$L32,FALSE))*($T32*(1-$F32)+$S32*(1-$G32))*((1+Inputs!$D$7)^DC$2))))))))</f>
        <v>0</v>
      </c>
      <c r="DD32" s="88">
        <f>MAX(BN32,($E32*IF(DD$2&gt;Inputs!$D$5,0,IF(DD$2&gt;VLOOKUP($H32,Lists!$P$3:$Q$7,2),IF($N32=Lists!$K$3,IF($L32&lt;1,(($U32/$L32)*((1+Inputs!$D$7)^DD$2)),((INT(DD$2/$L32)-INT((DD$2-1)/$L32))*$U32*((1+Inputs!$D$7)^DD$2))),(Inputs!$D$8^((1-_xlfn.WEIBULL.DIST(DD$2,$M32,$L32,FALSE))/_xlfn.WEIBULL.DIST(DD$2,$M32,$L32,FALSE))*$U32*((1+Inputs!$D$7)^DD$2))),IF($N32=Lists!$K$3,IF($L32&lt;1,((($T32*(1-$F32)+$S32*(1-$G32))/$L32)*((1+Inputs!$D$7)^DD$2)),((INT(DD$2/$L32)-INT((DD$2-1)/$L32))*($T32*(1-$F32)+$S32*(1-$G32))*((1+Inputs!$D$7)^DD$2))),((Inputs!$D$8^((1-_xlfn.WEIBULL.DIST(DD$2,$M32,$L32,FALSE))/_xlfn.WEIBULL.DIST(DD$2,$M32,$L32,FALSE))*($T32*(1-$F32)+$S32*(1-$G32))*((1+Inputs!$D$7)^DD$2))))))))</f>
        <v>0</v>
      </c>
    </row>
    <row r="33" spans="1:108" s="1" customFormat="1" ht="16">
      <c r="A33" s="57" t="s">
        <v>193</v>
      </c>
      <c r="B33" s="13" t="s">
        <v>130</v>
      </c>
      <c r="C33" s="13" t="s">
        <v>474</v>
      </c>
      <c r="D33" s="13" t="s">
        <v>16</v>
      </c>
      <c r="E33" s="48">
        <f>IF(Inputs!$D$30=Lists!$M$4,1,0)</f>
        <v>1</v>
      </c>
      <c r="F33" s="48">
        <v>1</v>
      </c>
      <c r="G33" s="48">
        <v>0</v>
      </c>
      <c r="H33" s="105" t="s">
        <v>16</v>
      </c>
      <c r="I33" s="14" t="s">
        <v>264</v>
      </c>
      <c r="J33" s="14" t="s">
        <v>91</v>
      </c>
      <c r="K33" s="13">
        <f>VLOOKUP(J33,'Labor Rates'!$A$1:$F$16,2)</f>
        <v>33.17307692307692</v>
      </c>
      <c r="L33" s="15">
        <v>20</v>
      </c>
      <c r="M33" s="15">
        <v>1</v>
      </c>
      <c r="N33" s="16" t="s">
        <v>226</v>
      </c>
      <c r="O33" s="61">
        <f>Inputs!$D$32</f>
        <v>10</v>
      </c>
      <c r="P33" s="15">
        <v>2</v>
      </c>
      <c r="Q33" s="15">
        <f t="shared" si="0"/>
        <v>1</v>
      </c>
      <c r="R33" s="4">
        <v>40</v>
      </c>
      <c r="S33" s="53">
        <f t="shared" si="1"/>
        <v>663.46153846153834</v>
      </c>
      <c r="T33" s="53">
        <f t="shared" si="2"/>
        <v>400</v>
      </c>
      <c r="U33" s="54">
        <f t="shared" si="3"/>
        <v>1063.4615384615383</v>
      </c>
      <c r="V33" s="65"/>
      <c r="W33" s="58"/>
      <c r="X33" s="64">
        <f t="shared" si="4"/>
        <v>30.812886309996891</v>
      </c>
      <c r="Y33" s="64">
        <f>NPV(Inputs!$D$6,AA33:BN33)</f>
        <v>351.00847236466586</v>
      </c>
      <c r="Z33" s="67">
        <f t="shared" si="5"/>
        <v>1.6555273204928438E-4</v>
      </c>
      <c r="AA33" s="88">
        <f>$E33*IF(AA$2&gt;Inputs!$D$5,0,IF(AA$2&gt;VLOOKUP($H33,Lists!$P$3:$Q$7,2),IF($N33=Lists!$K$3,IF($L33&lt;1,(($U33/$L33)*((1+Inputs!$D$7)^AA$2)),((INT(AA$2/$L33)-INT((AA$2-1)/$L33))*$U33*((1+Inputs!$D$7)^AA$2))),(_xlfn.WEIBULL.DIST(AA$2,$M33,$L33,FALSE)*$U33*((1+Inputs!$D$7)^AA$2))),IF($N33=Lists!$K$3,IF($L33&lt;1,((($T33*(1-$F33)+$S33*(1-$G33))/$L33)*((1+Inputs!$D$7)^AA$2)),((INT(AA$2/$L33)-INT((AA$2-1)/$L33))*($T33*(1-$F33)+$S33*(1-$G33))*((1+Inputs!$D$7)^AA$2))),((_xlfn.WEIBULL.DIST(AA$2,$M33,$L33,FALSE)*($T33*(1-$F33)+$S33*(1-$G33))*((1+Inputs!$D$7)^AA$2))))))</f>
        <v>32.186311007865505</v>
      </c>
      <c r="AB33" s="88">
        <f>$E33*IF(AB$2&gt;Inputs!$D$5,0,IF(AB$2&gt;VLOOKUP($H33,Lists!$P$3:$Q$7,2),IF($N33=Lists!$K$3,IF($L33&lt;1,(($U33/$L33)*((1+Inputs!$D$7)^AB$2)),((INT(AB$2/$L33)-INT((AB$2-1)/$L33))*$U33*((1+Inputs!$D$7)^AB$2))),(_xlfn.WEIBULL.DIST(AB$2,$M33,$L33,FALSE)*$U33*((1+Inputs!$D$7)^AB$2))),IF($N33=Lists!$K$3,IF($L33&lt;1,((($T33*(1-$F33)+$S33*(1-$G33))/$L33)*((1+Inputs!$D$7)^AB$2)),((INT(AB$2/$L33)-INT((AB$2-1)/$L33))*($T33*(1-$F33)+$S33*(1-$G33))*((1+Inputs!$D$7)^AB$2))),((_xlfn.WEIBULL.DIST(AB$2,$M33,$L33,FALSE)*($T33*(1-$F33)+$S33*(1-$G33))*((1+Inputs!$D$7)^AB$2))))))</f>
        <v>31.22889741874916</v>
      </c>
      <c r="AC33" s="88">
        <f>$E33*IF(AC$2&gt;Inputs!$D$5,0,IF(AC$2&gt;VLOOKUP($H33,Lists!$P$3:$Q$7,2),IF($N33=Lists!$K$3,IF($L33&lt;1,(($U33/$L33)*((1+Inputs!$D$7)^AC$2)),((INT(AC$2/$L33)-INT((AC$2-1)/$L33))*$U33*((1+Inputs!$D$7)^AC$2))),(_xlfn.WEIBULL.DIST(AC$2,$M33,$L33,FALSE)*$U33*((1+Inputs!$D$7)^AC$2))),IF($N33=Lists!$K$3,IF($L33&lt;1,((($T33*(1-$F33)+$S33*(1-$G33))/$L33)*((1+Inputs!$D$7)^AC$2)),((INT(AC$2/$L33)-INT((AC$2-1)/$L33))*($T33*(1-$F33)+$S33*(1-$G33))*((1+Inputs!$D$7)^AC$2))),((_xlfn.WEIBULL.DIST(AC$2,$M33,$L33,FALSE)*($T33*(1-$F33)+$S33*(1-$G33))*((1+Inputs!$D$7)^AC$2))))))</f>
        <v>30.299963041817168</v>
      </c>
      <c r="AD33" s="88">
        <f>$E33*IF(AD$2&gt;Inputs!$D$5,0,IF(AD$2&gt;VLOOKUP($H33,Lists!$P$3:$Q$7,2),IF($N33=Lists!$K$3,IF($L33&lt;1,(($U33/$L33)*((1+Inputs!$D$7)^AD$2)),((INT(AD$2/$L33)-INT((AD$2-1)/$L33))*$U33*((1+Inputs!$D$7)^AD$2))),(_xlfn.WEIBULL.DIST(AD$2,$M33,$L33,FALSE)*$U33*((1+Inputs!$D$7)^AD$2))),IF($N33=Lists!$K$3,IF($L33&lt;1,((($T33*(1-$F33)+$S33*(1-$G33))/$L33)*((1+Inputs!$D$7)^AD$2)),((INT(AD$2/$L33)-INT((AD$2-1)/$L33))*($T33*(1-$F33)+$S33*(1-$G33))*((1+Inputs!$D$7)^AD$2))),((_xlfn.WEIBULL.DIST(AD$2,$M33,$L33,FALSE)*($T33*(1-$F33)+$S33*(1-$G33))*((1+Inputs!$D$7)^AD$2))))))</f>
        <v>29.398660734793861</v>
      </c>
      <c r="AE33" s="88">
        <f>$E33*IF(AE$2&gt;Inputs!$D$5,0,IF(AE$2&gt;VLOOKUP($H33,Lists!$P$3:$Q$7,2),IF($N33=Lists!$K$3,IF($L33&lt;1,(($U33/$L33)*((1+Inputs!$D$7)^AE$2)),((INT(AE$2/$L33)-INT((AE$2-1)/$L33))*$U33*((1+Inputs!$D$7)^AE$2))),(_xlfn.WEIBULL.DIST(AE$2,$M33,$L33,FALSE)*$U33*((1+Inputs!$D$7)^AE$2))),IF($N33=Lists!$K$3,IF($L33&lt;1,((($T33*(1-$F33)+$S33*(1-$G33))/$L33)*((1+Inputs!$D$7)^AE$2)),((INT(AE$2/$L33)-INT((AE$2-1)/$L33))*($T33*(1-$F33)+$S33*(1-$G33))*((1+Inputs!$D$7)^AE$2))),((_xlfn.WEIBULL.DIST(AE$2,$M33,$L33,FALSE)*($T33*(1-$F33)+$S33*(1-$G33))*((1+Inputs!$D$7)^AE$2))))))</f>
        <v>28.524168554486696</v>
      </c>
      <c r="AF33" s="88">
        <f>$E33*IF(AF$2&gt;Inputs!$D$5,0,IF(AF$2&gt;VLOOKUP($H33,Lists!$P$3:$Q$7,2),IF($N33=Lists!$K$3,IF($L33&lt;1,(($U33/$L33)*((1+Inputs!$D$7)^AF$2)),((INT(AF$2/$L33)-INT((AF$2-1)/$L33))*$U33*((1+Inputs!$D$7)^AF$2))),(_xlfn.WEIBULL.DIST(AF$2,$M33,$L33,FALSE)*$U33*((1+Inputs!$D$7)^AF$2))),IF($N33=Lists!$K$3,IF($L33&lt;1,((($T33*(1-$F33)+$S33*(1-$G33))/$L33)*((1+Inputs!$D$7)^AF$2)),((INT(AF$2/$L33)-INT((AF$2-1)/$L33))*($T33*(1-$F33)+$S33*(1-$G33))*((1+Inputs!$D$7)^AF$2))),((_xlfn.WEIBULL.DIST(AF$2,$M33,$L33,FALSE)*($T33*(1-$F33)+$S33*(1-$G33))*((1+Inputs!$D$7)^AF$2))))))</f>
        <v>27.675689007214665</v>
      </c>
      <c r="AG33" s="88">
        <f>$E33*IF(AG$2&gt;Inputs!$D$5,0,IF(AG$2&gt;VLOOKUP($H33,Lists!$P$3:$Q$7,2),IF($N33=Lists!$K$3,IF($L33&lt;1,(($U33/$L33)*((1+Inputs!$D$7)^AG$2)),((INT(AG$2/$L33)-INT((AG$2-1)/$L33))*$U33*((1+Inputs!$D$7)^AG$2))),(_xlfn.WEIBULL.DIST(AG$2,$M33,$L33,FALSE)*$U33*((1+Inputs!$D$7)^AG$2))),IF($N33=Lists!$K$3,IF($L33&lt;1,((($T33*(1-$F33)+$S33*(1-$G33))/$L33)*((1+Inputs!$D$7)^AG$2)),((INT(AG$2/$L33)-INT((AG$2-1)/$L33))*($T33*(1-$F33)+$S33*(1-$G33))*((1+Inputs!$D$7)^AG$2))),((_xlfn.WEIBULL.DIST(AG$2,$M33,$L33,FALSE)*($T33*(1-$F33)+$S33*(1-$G33))*((1+Inputs!$D$7)^AG$2))))))</f>
        <v>26.852448321533402</v>
      </c>
      <c r="AH33" s="88">
        <f>$E33*IF(AH$2&gt;Inputs!$D$5,0,IF(AH$2&gt;VLOOKUP($H33,Lists!$P$3:$Q$7,2),IF($N33=Lists!$K$3,IF($L33&lt;1,(($U33/$L33)*((1+Inputs!$D$7)^AH$2)),((INT(AH$2/$L33)-INT((AH$2-1)/$L33))*$U33*((1+Inputs!$D$7)^AH$2))),(_xlfn.WEIBULL.DIST(AH$2,$M33,$L33,FALSE)*$U33*((1+Inputs!$D$7)^AH$2))),IF($N33=Lists!$K$3,IF($L33&lt;1,((($T33*(1-$F33)+$S33*(1-$G33))/$L33)*((1+Inputs!$D$7)^AH$2)),((INT(AH$2/$L33)-INT((AH$2-1)/$L33))*($T33*(1-$F33)+$S33*(1-$G33))*((1+Inputs!$D$7)^AH$2))),((_xlfn.WEIBULL.DIST(AH$2,$M33,$L33,FALSE)*($T33*(1-$F33)+$S33*(1-$G33))*((1+Inputs!$D$7)^AH$2))))))</f>
        <v>26.053695742593934</v>
      </c>
      <c r="AI33" s="88">
        <f>$E33*IF(AI$2&gt;Inputs!$D$5,0,IF(AI$2&gt;VLOOKUP($H33,Lists!$P$3:$Q$7,2),IF($N33=Lists!$K$3,IF($L33&lt;1,(($U33/$L33)*((1+Inputs!$D$7)^AI$2)),((INT(AI$2/$L33)-INT((AI$2-1)/$L33))*$U33*((1+Inputs!$D$7)^AI$2))),(_xlfn.WEIBULL.DIST(AI$2,$M33,$L33,FALSE)*$U33*((1+Inputs!$D$7)^AI$2))),IF($N33=Lists!$K$3,IF($L33&lt;1,((($T33*(1-$F33)+$S33*(1-$G33))/$L33)*((1+Inputs!$D$7)^AI$2)),((INT(AI$2/$L33)-INT((AI$2-1)/$L33))*($T33*(1-$F33)+$S33*(1-$G33))*((1+Inputs!$D$7)^AI$2))),((_xlfn.WEIBULL.DIST(AI$2,$M33,$L33,FALSE)*($T33*(1-$F33)+$S33*(1-$G33))*((1+Inputs!$D$7)^AI$2))))))</f>
        <v>25.278702847491218</v>
      </c>
      <c r="AJ33" s="88">
        <f>$E33*IF(AJ$2&gt;Inputs!$D$5,0,IF(AJ$2&gt;VLOOKUP($H33,Lists!$P$3:$Q$7,2),IF($N33=Lists!$K$3,IF($L33&lt;1,(($U33/$L33)*((1+Inputs!$D$7)^AJ$2)),((INT(AJ$2/$L33)-INT((AJ$2-1)/$L33))*$U33*((1+Inputs!$D$7)^AJ$2))),(_xlfn.WEIBULL.DIST(AJ$2,$M33,$L33,FALSE)*$U33*((1+Inputs!$D$7)^AJ$2))),IF($N33=Lists!$K$3,IF($L33&lt;1,((($T33*(1-$F33)+$S33*(1-$G33))/$L33)*((1+Inputs!$D$7)^AJ$2)),((INT(AJ$2/$L33)-INT((AJ$2-1)/$L33))*($T33*(1-$F33)+$S33*(1-$G33))*((1+Inputs!$D$7)^AJ$2))),((_xlfn.WEIBULL.DIST(AJ$2,$M33,$L33,FALSE)*($T33*(1-$F33)+$S33*(1-$G33))*((1+Inputs!$D$7)^AJ$2))))))</f>
        <v>24.526762880978502</v>
      </c>
      <c r="AK33" s="88">
        <f>$E33*IF(AK$2&gt;Inputs!$D$5,0,IF(AK$2&gt;VLOOKUP($H33,Lists!$P$3:$Q$7,2),IF($N33=Lists!$K$3,IF($L33&lt;1,(($U33/$L33)*((1+Inputs!$D$7)^AK$2)),((INT(AK$2/$L33)-INT((AK$2-1)/$L33))*$U33*((1+Inputs!$D$7)^AK$2))),(_xlfn.WEIBULL.DIST(AK$2,$M33,$L33,FALSE)*$U33*((1+Inputs!$D$7)^AK$2))),IF($N33=Lists!$K$3,IF($L33&lt;1,((($T33*(1-$F33)+$S33*(1-$G33))/$L33)*((1+Inputs!$D$7)^AK$2)),((INT(AK$2/$L33)-INT((AK$2-1)/$L33))*($T33*(1-$F33)+$S33*(1-$G33))*((1+Inputs!$D$7)^AK$2))),((_xlfn.WEIBULL.DIST(AK$2,$M33,$L33,FALSE)*($T33*(1-$F33)+$S33*(1-$G33))*((1+Inputs!$D$7)^AK$2))))))</f>
        <v>38.144481540146693</v>
      </c>
      <c r="AL33" s="88">
        <f>$E33*IF(AL$2&gt;Inputs!$D$5,0,IF(AL$2&gt;VLOOKUP($H33,Lists!$P$3:$Q$7,2),IF($N33=Lists!$K$3,IF($L33&lt;1,(($U33/$L33)*((1+Inputs!$D$7)^AL$2)),((INT(AL$2/$L33)-INT((AL$2-1)/$L33))*$U33*((1+Inputs!$D$7)^AL$2))),(_xlfn.WEIBULL.DIST(AL$2,$M33,$L33,FALSE)*$U33*((1+Inputs!$D$7)^AL$2))),IF($N33=Lists!$K$3,IF($L33&lt;1,((($T33*(1-$F33)+$S33*(1-$G33))/$L33)*((1+Inputs!$D$7)^AL$2)),((INT(AL$2/$L33)-INT((AL$2-1)/$L33))*($T33*(1-$F33)+$S33*(1-$G33))*((1+Inputs!$D$7)^AL$2))),((_xlfn.WEIBULL.DIST(AL$2,$M33,$L33,FALSE)*($T33*(1-$F33)+$S33*(1-$G33))*((1+Inputs!$D$7)^AL$2))))))</f>
        <v>37.009836287778093</v>
      </c>
      <c r="AM33" s="88">
        <f>$E33*IF(AM$2&gt;Inputs!$D$5,0,IF(AM$2&gt;VLOOKUP($H33,Lists!$P$3:$Q$7,2),IF($N33=Lists!$K$3,IF($L33&lt;1,(($U33/$L33)*((1+Inputs!$D$7)^AM$2)),((INT(AM$2/$L33)-INT((AM$2-1)/$L33))*$U33*((1+Inputs!$D$7)^AM$2))),(_xlfn.WEIBULL.DIST(AM$2,$M33,$L33,FALSE)*$U33*((1+Inputs!$D$7)^AM$2))),IF($N33=Lists!$K$3,IF($L33&lt;1,((($T33*(1-$F33)+$S33*(1-$G33))/$L33)*((1+Inputs!$D$7)^AM$2)),((INT(AM$2/$L33)-INT((AM$2-1)/$L33))*($T33*(1-$F33)+$S33*(1-$G33))*((1+Inputs!$D$7)^AM$2))),((_xlfn.WEIBULL.DIST(AM$2,$M33,$L33,FALSE)*($T33*(1-$F33)+$S33*(1-$G33))*((1+Inputs!$D$7)^AM$2))))))</f>
        <v>35.908942178346571</v>
      </c>
      <c r="AN33" s="88">
        <f>$E33*IF(AN$2&gt;Inputs!$D$5,0,IF(AN$2&gt;VLOOKUP($H33,Lists!$P$3:$Q$7,2),IF($N33=Lists!$K$3,IF($L33&lt;1,(($U33/$L33)*((1+Inputs!$D$7)^AN$2)),((INT(AN$2/$L33)-INT((AN$2-1)/$L33))*$U33*((1+Inputs!$D$7)^AN$2))),(_xlfn.WEIBULL.DIST(AN$2,$M33,$L33,FALSE)*$U33*((1+Inputs!$D$7)^AN$2))),IF($N33=Lists!$K$3,IF($L33&lt;1,((($T33*(1-$F33)+$S33*(1-$G33))/$L33)*((1+Inputs!$D$7)^AN$2)),((INT(AN$2/$L33)-INT((AN$2-1)/$L33))*($T33*(1-$F33)+$S33*(1-$G33))*((1+Inputs!$D$7)^AN$2))),((_xlfn.WEIBULL.DIST(AN$2,$M33,$L33,FALSE)*($T33*(1-$F33)+$S33*(1-$G33))*((1+Inputs!$D$7)^AN$2))))))</f>
        <v>34.840795250792787</v>
      </c>
      <c r="AO33" s="88">
        <f>$E33*IF(AO$2&gt;Inputs!$D$5,0,IF(AO$2&gt;VLOOKUP($H33,Lists!$P$3:$Q$7,2),IF($N33=Lists!$K$3,IF($L33&lt;1,(($U33/$L33)*((1+Inputs!$D$7)^AO$2)),((INT(AO$2/$L33)-INT((AO$2-1)/$L33))*$U33*((1+Inputs!$D$7)^AO$2))),(_xlfn.WEIBULL.DIST(AO$2,$M33,$L33,FALSE)*$U33*((1+Inputs!$D$7)^AO$2))),IF($N33=Lists!$K$3,IF($L33&lt;1,((($T33*(1-$F33)+$S33*(1-$G33))/$L33)*((1+Inputs!$D$7)^AO$2)),((INT(AO$2/$L33)-INT((AO$2-1)/$L33))*($T33*(1-$F33)+$S33*(1-$G33))*((1+Inputs!$D$7)^AO$2))),((_xlfn.WEIBULL.DIST(AO$2,$M33,$L33,FALSE)*($T33*(1-$F33)+$S33*(1-$G33))*((1+Inputs!$D$7)^AO$2))))))</f>
        <v>33.804421407870002</v>
      </c>
      <c r="AP33" s="88">
        <f>$E33*IF(AP$2&gt;Inputs!$D$5,0,IF(AP$2&gt;VLOOKUP($H33,Lists!$P$3:$Q$7,2),IF($N33=Lists!$K$3,IF($L33&lt;1,(($U33/$L33)*((1+Inputs!$D$7)^AP$2)),((INT(AP$2/$L33)-INT((AP$2-1)/$L33))*$U33*((1+Inputs!$D$7)^AP$2))),(_xlfn.WEIBULL.DIST(AP$2,$M33,$L33,FALSE)*$U33*((1+Inputs!$D$7)^AP$2))),IF($N33=Lists!$K$3,IF($L33&lt;1,((($T33*(1-$F33)+$S33*(1-$G33))/$L33)*((1+Inputs!$D$7)^AP$2)),((INT(AP$2/$L33)-INT((AP$2-1)/$L33))*($T33*(1-$F33)+$S33*(1-$G33))*((1+Inputs!$D$7)^AP$2))),((_xlfn.WEIBULL.DIST(AP$2,$M33,$L33,FALSE)*($T33*(1-$F33)+$S33*(1-$G33))*((1+Inputs!$D$7)^AP$2))))))</f>
        <v>32.798875527815554</v>
      </c>
      <c r="AQ33" s="88">
        <f>$E33*IF(AQ$2&gt;Inputs!$D$5,0,IF(AQ$2&gt;VLOOKUP($H33,Lists!$P$3:$Q$7,2),IF($N33=Lists!$K$3,IF($L33&lt;1,(($U33/$L33)*((1+Inputs!$D$7)^AQ$2)),((INT(AQ$2/$L33)-INT((AQ$2-1)/$L33))*$U33*((1+Inputs!$D$7)^AQ$2))),(_xlfn.WEIBULL.DIST(AQ$2,$M33,$L33,FALSE)*$U33*((1+Inputs!$D$7)^AQ$2))),IF($N33=Lists!$K$3,IF($L33&lt;1,((($T33*(1-$F33)+$S33*(1-$G33))/$L33)*((1+Inputs!$D$7)^AQ$2)),((INT(AQ$2/$L33)-INT((AQ$2-1)/$L33))*($T33*(1-$F33)+$S33*(1-$G33))*((1+Inputs!$D$7)^AQ$2))),((_xlfn.WEIBULL.DIST(AQ$2,$M33,$L33,FALSE)*($T33*(1-$F33)+$S33*(1-$G33))*((1+Inputs!$D$7)^AQ$2))))))</f>
        <v>31.823240602446443</v>
      </c>
      <c r="AR33" s="88">
        <f>$E33*IF(AR$2&gt;Inputs!$D$5,0,IF(AR$2&gt;VLOOKUP($H33,Lists!$P$3:$Q$7,2),IF($N33=Lists!$K$3,IF($L33&lt;1,(($U33/$L33)*((1+Inputs!$D$7)^AR$2)),((INT(AR$2/$L33)-INT((AR$2-1)/$L33))*$U33*((1+Inputs!$D$7)^AR$2))),(_xlfn.WEIBULL.DIST(AR$2,$M33,$L33,FALSE)*$U33*((1+Inputs!$D$7)^AR$2))),IF($N33=Lists!$K$3,IF($L33&lt;1,((($T33*(1-$F33)+$S33*(1-$G33))/$L33)*((1+Inputs!$D$7)^AR$2)),((INT(AR$2/$L33)-INT((AR$2-1)/$L33))*($T33*(1-$F33)+$S33*(1-$G33))*((1+Inputs!$D$7)^AR$2))),((_xlfn.WEIBULL.DIST(AR$2,$M33,$L33,FALSE)*($T33*(1-$F33)+$S33*(1-$G33))*((1+Inputs!$D$7)^AR$2))))))</f>
        <v>30.876626900893136</v>
      </c>
      <c r="AS33" s="88">
        <f>$E33*IF(AS$2&gt;Inputs!$D$5,0,IF(AS$2&gt;VLOOKUP($H33,Lists!$P$3:$Q$7,2),IF($N33=Lists!$K$3,IF($L33&lt;1,(($U33/$L33)*((1+Inputs!$D$7)^AS$2)),((INT(AS$2/$L33)-INT((AS$2-1)/$L33))*$U33*((1+Inputs!$D$7)^AS$2))),(_xlfn.WEIBULL.DIST(AS$2,$M33,$L33,FALSE)*$U33*((1+Inputs!$D$7)^AS$2))),IF($N33=Lists!$K$3,IF($L33&lt;1,((($T33*(1-$F33)+$S33*(1-$G33))/$L33)*((1+Inputs!$D$7)^AS$2)),((INT(AS$2/$L33)-INT((AS$2-1)/$L33))*($T33*(1-$F33)+$S33*(1-$G33))*((1+Inputs!$D$7)^AS$2))),((_xlfn.WEIBULL.DIST(AS$2,$M33,$L33,FALSE)*($T33*(1-$F33)+$S33*(1-$G33))*((1+Inputs!$D$7)^AS$2))))))</f>
        <v>29.958171158209037</v>
      </c>
      <c r="AT33" s="88">
        <f>$E33*IF(AT$2&gt;Inputs!$D$5,0,IF(AT$2&gt;VLOOKUP($H33,Lists!$P$3:$Q$7,2),IF($N33=Lists!$K$3,IF($L33&lt;1,(($U33/$L33)*((1+Inputs!$D$7)^AT$2)),((INT(AT$2/$L33)-INT((AT$2-1)/$L33))*$U33*((1+Inputs!$D$7)^AT$2))),(_xlfn.WEIBULL.DIST(AT$2,$M33,$L33,FALSE)*$U33*((1+Inputs!$D$7)^AT$2))),IF($N33=Lists!$K$3,IF($L33&lt;1,((($T33*(1-$F33)+$S33*(1-$G33))/$L33)*((1+Inputs!$D$7)^AT$2)),((INT(AT$2/$L33)-INT((AT$2-1)/$L33))*($T33*(1-$F33)+$S33*(1-$G33))*((1+Inputs!$D$7)^AT$2))),((_xlfn.WEIBULL.DIST(AT$2,$M33,$L33,FALSE)*($T33*(1-$F33)+$S33*(1-$G33))*((1+Inputs!$D$7)^AT$2))))))</f>
        <v>29.067035788115419</v>
      </c>
      <c r="AU33" s="88">
        <f>$E33*IF(AU$2&gt;Inputs!$D$5,0,IF(AU$2&gt;VLOOKUP($H33,Lists!$P$3:$Q$7,2),IF($N33=Lists!$K$3,IF($L33&lt;1,(($U33/$L33)*((1+Inputs!$D$7)^AU$2)),((INT(AU$2/$L33)-INT((AU$2-1)/$L33))*$U33*((1+Inputs!$D$7)^AU$2))),(_xlfn.WEIBULL.DIST(AU$2,$M33,$L33,FALSE)*$U33*((1+Inputs!$D$7)^AU$2))),IF($N33=Lists!$K$3,IF($L33&lt;1,((($T33*(1-$F33)+$S33*(1-$G33))/$L33)*((1+Inputs!$D$7)^AU$2)),((INT(AU$2/$L33)-INT((AU$2-1)/$L33))*($T33*(1-$F33)+$S33*(1-$G33))*((1+Inputs!$D$7)^AU$2))),((_xlfn.WEIBULL.DIST(AU$2,$M33,$L33,FALSE)*($T33*(1-$F33)+$S33*(1-$G33))*((1+Inputs!$D$7)^AU$2))))))</f>
        <v>28.202408119164097</v>
      </c>
      <c r="AV33" s="88">
        <f>$E33*IF(AV$2&gt;Inputs!$D$5,0,IF(AV$2&gt;VLOOKUP($H33,Lists!$P$3:$Q$7,2),IF($N33=Lists!$K$3,IF($L33&lt;1,(($U33/$L33)*((1+Inputs!$D$7)^AV$2)),((INT(AV$2/$L33)-INT((AV$2-1)/$L33))*$U33*((1+Inputs!$D$7)^AV$2))),(_xlfn.WEIBULL.DIST(AV$2,$M33,$L33,FALSE)*$U33*((1+Inputs!$D$7)^AV$2))),IF($N33=Lists!$K$3,IF($L33&lt;1,((($T33*(1-$F33)+$S33*(1-$G33))/$L33)*((1+Inputs!$D$7)^AV$2)),((INT(AV$2/$L33)-INT((AV$2-1)/$L33))*($T33*(1-$F33)+$S33*(1-$G33))*((1+Inputs!$D$7)^AV$2))),((_xlfn.WEIBULL.DIST(AV$2,$M33,$L33,FALSE)*($T33*(1-$F33)+$S33*(1-$G33))*((1+Inputs!$D$7)^AV$2))))))</f>
        <v>27.363499653621268</v>
      </c>
      <c r="AW33" s="88">
        <f>$E33*IF(AW$2&gt;Inputs!$D$5,0,IF(AW$2&gt;VLOOKUP($H33,Lists!$P$3:$Q$7,2),IF($N33=Lists!$K$3,IF($L33&lt;1,(($U33/$L33)*((1+Inputs!$D$7)^AW$2)),((INT(AW$2/$L33)-INT((AW$2-1)/$L33))*$U33*((1+Inputs!$D$7)^AW$2))),(_xlfn.WEIBULL.DIST(AW$2,$M33,$L33,FALSE)*$U33*((1+Inputs!$D$7)^AW$2))),IF($N33=Lists!$K$3,IF($L33&lt;1,((($T33*(1-$F33)+$S33*(1-$G33))/$L33)*((1+Inputs!$D$7)^AW$2)),((INT(AW$2/$L33)-INT((AW$2-1)/$L33))*($T33*(1-$F33)+$S33*(1-$G33))*((1+Inputs!$D$7)^AW$2))),((_xlfn.WEIBULL.DIST(AW$2,$M33,$L33,FALSE)*($T33*(1-$F33)+$S33*(1-$G33))*((1+Inputs!$D$7)^AW$2))))))</f>
        <v>26.549545348396435</v>
      </c>
      <c r="AX33" s="88">
        <f>$E33*IF(AX$2&gt;Inputs!$D$5,0,IF(AX$2&gt;VLOOKUP($H33,Lists!$P$3:$Q$7,2),IF($N33=Lists!$K$3,IF($L33&lt;1,(($U33/$L33)*((1+Inputs!$D$7)^AX$2)),((INT(AX$2/$L33)-INT((AX$2-1)/$L33))*$U33*((1+Inputs!$D$7)^AX$2))),(_xlfn.WEIBULL.DIST(AX$2,$M33,$L33,FALSE)*$U33*((1+Inputs!$D$7)^AX$2))),IF($N33=Lists!$K$3,IF($L33&lt;1,((($T33*(1-$F33)+$S33*(1-$G33))/$L33)*((1+Inputs!$D$7)^AX$2)),((INT(AX$2/$L33)-INT((AX$2-1)/$L33))*($T33*(1-$F33)+$S33*(1-$G33))*((1+Inputs!$D$7)^AX$2))),((_xlfn.WEIBULL.DIST(AX$2,$M33,$L33,FALSE)*($T33*(1-$F33)+$S33*(1-$G33))*((1+Inputs!$D$7)^AX$2))))))</f>
        <v>25.759802917360965</v>
      </c>
      <c r="AY33" s="88">
        <f>$E33*IF(AY$2&gt;Inputs!$D$5,0,IF(AY$2&gt;VLOOKUP($H33,Lists!$P$3:$Q$7,2),IF($N33=Lists!$K$3,IF($L33&lt;1,(($U33/$L33)*((1+Inputs!$D$7)^AY$2)),((INT(AY$2/$L33)-INT((AY$2-1)/$L33))*$U33*((1+Inputs!$D$7)^AY$2))),(_xlfn.WEIBULL.DIST(AY$2,$M33,$L33,FALSE)*$U33*((1+Inputs!$D$7)^AY$2))),IF($N33=Lists!$K$3,IF($L33&lt;1,((($T33*(1-$F33)+$S33*(1-$G33))/$L33)*((1+Inputs!$D$7)^AY$2)),((INT(AY$2/$L33)-INT((AY$2-1)/$L33))*($T33*(1-$F33)+$S33*(1-$G33))*((1+Inputs!$D$7)^AY$2))),((_xlfn.WEIBULL.DIST(AY$2,$M33,$L33,FALSE)*($T33*(1-$F33)+$S33*(1-$G33))*((1+Inputs!$D$7)^AY$2))))))</f>
        <v>24.993552154419746</v>
      </c>
      <c r="AZ33" s="88">
        <f>$E33*IF(AZ$2&gt;Inputs!$D$5,0,IF(AZ$2&gt;VLOOKUP($H33,Lists!$P$3:$Q$7,2),IF($N33=Lists!$K$3,IF($L33&lt;1,(($U33/$L33)*((1+Inputs!$D$7)^AZ$2)),((INT(AZ$2/$L33)-INT((AZ$2-1)/$L33))*$U33*((1+Inputs!$D$7)^AZ$2))),(_xlfn.WEIBULL.DIST(AZ$2,$M33,$L33,FALSE)*$U33*((1+Inputs!$D$7)^AZ$2))),IF($N33=Lists!$K$3,IF($L33&lt;1,((($T33*(1-$F33)+$S33*(1-$G33))/$L33)*((1+Inputs!$D$7)^AZ$2)),((INT(AZ$2/$L33)-INT((AZ$2-1)/$L33))*($T33*(1-$F33)+$S33*(1-$G33))*((1+Inputs!$D$7)^AZ$2))),((_xlfn.WEIBULL.DIST(AZ$2,$M33,$L33,FALSE)*($T33*(1-$F33)+$S33*(1-$G33))*((1+Inputs!$D$7)^AZ$2))))))</f>
        <v>0</v>
      </c>
      <c r="BA33" s="88">
        <f>$E33*IF(BA$2&gt;Inputs!$D$5,0,IF(BA$2&gt;VLOOKUP($H33,Lists!$P$3:$Q$7,2),IF($N33=Lists!$K$3,IF($L33&lt;1,(($U33/$L33)*((1+Inputs!$D$7)^BA$2)),((INT(BA$2/$L33)-INT((BA$2-1)/$L33))*$U33*((1+Inputs!$D$7)^BA$2))),(_xlfn.WEIBULL.DIST(BA$2,$M33,$L33,FALSE)*$U33*((1+Inputs!$D$7)^BA$2))),IF($N33=Lists!$K$3,IF($L33&lt;1,((($T33*(1-$F33)+$S33*(1-$G33))/$L33)*((1+Inputs!$D$7)^BA$2)),((INT(BA$2/$L33)-INT((BA$2-1)/$L33))*($T33*(1-$F33)+$S33*(1-$G33))*((1+Inputs!$D$7)^BA$2))),((_xlfn.WEIBULL.DIST(BA$2,$M33,$L33,FALSE)*($T33*(1-$F33)+$S33*(1-$G33))*((1+Inputs!$D$7)^BA$2))))))</f>
        <v>0</v>
      </c>
      <c r="BB33" s="88">
        <f>$E33*IF(BB$2&gt;Inputs!$D$5,0,IF(BB$2&gt;VLOOKUP($H33,Lists!$P$3:$Q$7,2),IF($N33=Lists!$K$3,IF($L33&lt;1,(($U33/$L33)*((1+Inputs!$D$7)^BB$2)),((INT(BB$2/$L33)-INT((BB$2-1)/$L33))*$U33*((1+Inputs!$D$7)^BB$2))),(_xlfn.WEIBULL.DIST(BB$2,$M33,$L33,FALSE)*$U33*((1+Inputs!$D$7)^BB$2))),IF($N33=Lists!$K$3,IF($L33&lt;1,((($T33*(1-$F33)+$S33*(1-$G33))/$L33)*((1+Inputs!$D$7)^BB$2)),((INT(BB$2/$L33)-INT((BB$2-1)/$L33))*($T33*(1-$F33)+$S33*(1-$G33))*((1+Inputs!$D$7)^BB$2))),((_xlfn.WEIBULL.DIST(BB$2,$M33,$L33,FALSE)*($T33*(1-$F33)+$S33*(1-$G33))*((1+Inputs!$D$7)^BB$2))))))</f>
        <v>0</v>
      </c>
      <c r="BC33" s="88">
        <f>$E33*IF(BC$2&gt;Inputs!$D$5,0,IF(BC$2&gt;VLOOKUP($H33,Lists!$P$3:$Q$7,2),IF($N33=Lists!$K$3,IF($L33&lt;1,(($U33/$L33)*((1+Inputs!$D$7)^BC$2)),((INT(BC$2/$L33)-INT((BC$2-1)/$L33))*$U33*((1+Inputs!$D$7)^BC$2))),(_xlfn.WEIBULL.DIST(BC$2,$M33,$L33,FALSE)*$U33*((1+Inputs!$D$7)^BC$2))),IF($N33=Lists!$K$3,IF($L33&lt;1,((($T33*(1-$F33)+$S33*(1-$G33))/$L33)*((1+Inputs!$D$7)^BC$2)),((INT(BC$2/$L33)-INT((BC$2-1)/$L33))*($T33*(1-$F33)+$S33*(1-$G33))*((1+Inputs!$D$7)^BC$2))),((_xlfn.WEIBULL.DIST(BC$2,$M33,$L33,FALSE)*($T33*(1-$F33)+$S33*(1-$G33))*((1+Inputs!$D$7)^BC$2))))))</f>
        <v>0</v>
      </c>
      <c r="BD33" s="88">
        <f>$E33*IF(BD$2&gt;Inputs!$D$5,0,IF(BD$2&gt;VLOOKUP($H33,Lists!$P$3:$Q$7,2),IF($N33=Lists!$K$3,IF($L33&lt;1,(($U33/$L33)*((1+Inputs!$D$7)^BD$2)),((INT(BD$2/$L33)-INT((BD$2-1)/$L33))*$U33*((1+Inputs!$D$7)^BD$2))),(_xlfn.WEIBULL.DIST(BD$2,$M33,$L33,FALSE)*$U33*((1+Inputs!$D$7)^BD$2))),IF($N33=Lists!$K$3,IF($L33&lt;1,((($T33*(1-$F33)+$S33*(1-$G33))/$L33)*((1+Inputs!$D$7)^BD$2)),((INT(BD$2/$L33)-INT((BD$2-1)/$L33))*($T33*(1-$F33)+$S33*(1-$G33))*((1+Inputs!$D$7)^BD$2))),((_xlfn.WEIBULL.DIST(BD$2,$M33,$L33,FALSE)*($T33*(1-$F33)+$S33*(1-$G33))*((1+Inputs!$D$7)^BD$2))))))</f>
        <v>0</v>
      </c>
      <c r="BE33" s="88">
        <f>$E33*IF(BE$2&gt;Inputs!$D$5,0,IF(BE$2&gt;VLOOKUP($H33,Lists!$P$3:$Q$7,2),IF($N33=Lists!$K$3,IF($L33&lt;1,(($U33/$L33)*((1+Inputs!$D$7)^BE$2)),((INT(BE$2/$L33)-INT((BE$2-1)/$L33))*$U33*((1+Inputs!$D$7)^BE$2))),(_xlfn.WEIBULL.DIST(BE$2,$M33,$L33,FALSE)*$U33*((1+Inputs!$D$7)^BE$2))),IF($N33=Lists!$K$3,IF($L33&lt;1,((($T33*(1-$F33)+$S33*(1-$G33))/$L33)*((1+Inputs!$D$7)^BE$2)),((INT(BE$2/$L33)-INT((BE$2-1)/$L33))*($T33*(1-$F33)+$S33*(1-$G33))*((1+Inputs!$D$7)^BE$2))),((_xlfn.WEIBULL.DIST(BE$2,$M33,$L33,FALSE)*($T33*(1-$F33)+$S33*(1-$G33))*((1+Inputs!$D$7)^BE$2))))))</f>
        <v>0</v>
      </c>
      <c r="BF33" s="88">
        <f>$E33*IF(BF$2&gt;Inputs!$D$5,0,IF(BF$2&gt;VLOOKUP($H33,Lists!$P$3:$Q$7,2),IF($N33=Lists!$K$3,IF($L33&lt;1,(($U33/$L33)*((1+Inputs!$D$7)^BF$2)),((INT(BF$2/$L33)-INT((BF$2-1)/$L33))*$U33*((1+Inputs!$D$7)^BF$2))),(_xlfn.WEIBULL.DIST(BF$2,$M33,$L33,FALSE)*$U33*((1+Inputs!$D$7)^BF$2))),IF($N33=Lists!$K$3,IF($L33&lt;1,((($T33*(1-$F33)+$S33*(1-$G33))/$L33)*((1+Inputs!$D$7)^BF$2)),((INT(BF$2/$L33)-INT((BF$2-1)/$L33))*($T33*(1-$F33)+$S33*(1-$G33))*((1+Inputs!$D$7)^BF$2))),((_xlfn.WEIBULL.DIST(BF$2,$M33,$L33,FALSE)*($T33*(1-$F33)+$S33*(1-$G33))*((1+Inputs!$D$7)^BF$2))))))</f>
        <v>0</v>
      </c>
      <c r="BG33" s="88">
        <f>$E33*IF(BG$2&gt;Inputs!$D$5,0,IF(BG$2&gt;VLOOKUP($H33,Lists!$P$3:$Q$7,2),IF($N33=Lists!$K$3,IF($L33&lt;1,(($U33/$L33)*((1+Inputs!$D$7)^BG$2)),((INT(BG$2/$L33)-INT((BG$2-1)/$L33))*$U33*((1+Inputs!$D$7)^BG$2))),(_xlfn.WEIBULL.DIST(BG$2,$M33,$L33,FALSE)*$U33*((1+Inputs!$D$7)^BG$2))),IF($N33=Lists!$K$3,IF($L33&lt;1,((($T33*(1-$F33)+$S33*(1-$G33))/$L33)*((1+Inputs!$D$7)^BG$2)),((INT(BG$2/$L33)-INT((BG$2-1)/$L33))*($T33*(1-$F33)+$S33*(1-$G33))*((1+Inputs!$D$7)^BG$2))),((_xlfn.WEIBULL.DIST(BG$2,$M33,$L33,FALSE)*($T33*(1-$F33)+$S33*(1-$G33))*((1+Inputs!$D$7)^BG$2))))))</f>
        <v>0</v>
      </c>
      <c r="BH33" s="88">
        <f>$E33*IF(BH$2&gt;Inputs!$D$5,0,IF(BH$2&gt;VLOOKUP($H33,Lists!$P$3:$Q$7,2),IF($N33=Lists!$K$3,IF($L33&lt;1,(($U33/$L33)*((1+Inputs!$D$7)^BH$2)),((INT(BH$2/$L33)-INT((BH$2-1)/$L33))*$U33*((1+Inputs!$D$7)^BH$2))),(_xlfn.WEIBULL.DIST(BH$2,$M33,$L33,FALSE)*$U33*((1+Inputs!$D$7)^BH$2))),IF($N33=Lists!$K$3,IF($L33&lt;1,((($T33*(1-$F33)+$S33*(1-$G33))/$L33)*((1+Inputs!$D$7)^BH$2)),((INT(BH$2/$L33)-INT((BH$2-1)/$L33))*($T33*(1-$F33)+$S33*(1-$G33))*((1+Inputs!$D$7)^BH$2))),((_xlfn.WEIBULL.DIST(BH$2,$M33,$L33,FALSE)*($T33*(1-$F33)+$S33*(1-$G33))*((1+Inputs!$D$7)^BH$2))))))</f>
        <v>0</v>
      </c>
      <c r="BI33" s="88">
        <f>$E33*IF(BI$2&gt;Inputs!$D$5,0,IF(BI$2&gt;VLOOKUP($H33,Lists!$P$3:$Q$7,2),IF($N33=Lists!$K$3,IF($L33&lt;1,(($U33/$L33)*((1+Inputs!$D$7)^BI$2)),((INT(BI$2/$L33)-INT((BI$2-1)/$L33))*$U33*((1+Inputs!$D$7)^BI$2))),(_xlfn.WEIBULL.DIST(BI$2,$M33,$L33,FALSE)*$U33*((1+Inputs!$D$7)^BI$2))),IF($N33=Lists!$K$3,IF($L33&lt;1,((($T33*(1-$F33)+$S33*(1-$G33))/$L33)*((1+Inputs!$D$7)^BI$2)),((INT(BI$2/$L33)-INT((BI$2-1)/$L33))*($T33*(1-$F33)+$S33*(1-$G33))*((1+Inputs!$D$7)^BI$2))),((_xlfn.WEIBULL.DIST(BI$2,$M33,$L33,FALSE)*($T33*(1-$F33)+$S33*(1-$G33))*((1+Inputs!$D$7)^BI$2))))))</f>
        <v>0</v>
      </c>
      <c r="BJ33" s="88">
        <f>$E33*IF(BJ$2&gt;Inputs!$D$5,0,IF(BJ$2&gt;VLOOKUP($H33,Lists!$P$3:$Q$7,2),IF($N33=Lists!$K$3,IF($L33&lt;1,(($U33/$L33)*((1+Inputs!$D$7)^BJ$2)),((INT(BJ$2/$L33)-INT((BJ$2-1)/$L33))*$U33*((1+Inputs!$D$7)^BJ$2))),(_xlfn.WEIBULL.DIST(BJ$2,$M33,$L33,FALSE)*$U33*((1+Inputs!$D$7)^BJ$2))),IF($N33=Lists!$K$3,IF($L33&lt;1,((($T33*(1-$F33)+$S33*(1-$G33))/$L33)*((1+Inputs!$D$7)^BJ$2)),((INT(BJ$2/$L33)-INT((BJ$2-1)/$L33))*($T33*(1-$F33)+$S33*(1-$G33))*((1+Inputs!$D$7)^BJ$2))),((_xlfn.WEIBULL.DIST(BJ$2,$M33,$L33,FALSE)*($T33*(1-$F33)+$S33*(1-$G33))*((1+Inputs!$D$7)^BJ$2))))))</f>
        <v>0</v>
      </c>
      <c r="BK33" s="88">
        <f>$E33*IF(BK$2&gt;Inputs!$D$5,0,IF(BK$2&gt;VLOOKUP($H33,Lists!$P$3:$Q$7,2),IF($N33=Lists!$K$3,IF($L33&lt;1,(($U33/$L33)*((1+Inputs!$D$7)^BK$2)),((INT(BK$2/$L33)-INT((BK$2-1)/$L33))*$U33*((1+Inputs!$D$7)^BK$2))),(_xlfn.WEIBULL.DIST(BK$2,$M33,$L33,FALSE)*$U33*((1+Inputs!$D$7)^BK$2))),IF($N33=Lists!$K$3,IF($L33&lt;1,((($T33*(1-$F33)+$S33*(1-$G33))/$L33)*((1+Inputs!$D$7)^BK$2)),((INT(BK$2/$L33)-INT((BK$2-1)/$L33))*($T33*(1-$F33)+$S33*(1-$G33))*((1+Inputs!$D$7)^BK$2))),((_xlfn.WEIBULL.DIST(BK$2,$M33,$L33,FALSE)*($T33*(1-$F33)+$S33*(1-$G33))*((1+Inputs!$D$7)^BK$2))))))</f>
        <v>0</v>
      </c>
      <c r="BL33" s="88">
        <f>$E33*IF(BL$2&gt;Inputs!$D$5,0,IF(BL$2&gt;VLOOKUP($H33,Lists!$P$3:$Q$7,2),IF($N33=Lists!$K$3,IF($L33&lt;1,(($U33/$L33)*((1+Inputs!$D$7)^BL$2)),((INT(BL$2/$L33)-INT((BL$2-1)/$L33))*$U33*((1+Inputs!$D$7)^BL$2))),(_xlfn.WEIBULL.DIST(BL$2,$M33,$L33,FALSE)*$U33*((1+Inputs!$D$7)^BL$2))),IF($N33=Lists!$K$3,IF($L33&lt;1,((($T33*(1-$F33)+$S33*(1-$G33))/$L33)*((1+Inputs!$D$7)^BL$2)),((INT(BL$2/$L33)-INT((BL$2-1)/$L33))*($T33*(1-$F33)+$S33*(1-$G33))*((1+Inputs!$D$7)^BL$2))),((_xlfn.WEIBULL.DIST(BL$2,$M33,$L33,FALSE)*($T33*(1-$F33)+$S33*(1-$G33))*((1+Inputs!$D$7)^BL$2))))))</f>
        <v>0</v>
      </c>
      <c r="BM33" s="88">
        <f>$E33*IF(BM$2&gt;Inputs!$D$5,0,IF(BM$2&gt;VLOOKUP($H33,Lists!$P$3:$Q$7,2),IF($N33=Lists!$K$3,IF($L33&lt;1,(($U33/$L33)*((1+Inputs!$D$7)^BM$2)),((INT(BM$2/$L33)-INT((BM$2-1)/$L33))*$U33*((1+Inputs!$D$7)^BM$2))),(_xlfn.WEIBULL.DIST(BM$2,$M33,$L33,FALSE)*$U33*((1+Inputs!$D$7)^BM$2))),IF($N33=Lists!$K$3,IF($L33&lt;1,((($T33*(1-$F33)+$S33*(1-$G33))/$L33)*((1+Inputs!$D$7)^BM$2)),((INT(BM$2/$L33)-INT((BM$2-1)/$L33))*($T33*(1-$F33)+$S33*(1-$G33))*((1+Inputs!$D$7)^BM$2))),((_xlfn.WEIBULL.DIST(BM$2,$M33,$L33,FALSE)*($T33*(1-$F33)+$S33*(1-$G33))*((1+Inputs!$D$7)^BM$2))))))</f>
        <v>0</v>
      </c>
      <c r="BN33" s="88">
        <f>$E33*IF(BN$2&gt;Inputs!$D$5,0,IF(BN$2&gt;VLOOKUP($H33,Lists!$P$3:$Q$7,2),IF($N33=Lists!$K$3,IF($L33&lt;1,(($U33/$L33)*((1+Inputs!$D$7)^BN$2)),((INT(BN$2/$L33)-INT((BN$2-1)/$L33))*$U33*((1+Inputs!$D$7)^BN$2))),(_xlfn.WEIBULL.DIST(BN$2,$M33,$L33,FALSE)*$U33*((1+Inputs!$D$7)^BN$2))),IF($N33=Lists!$K$3,IF($L33&lt;1,((($T33*(1-$F33)+$S33*(1-$G33))/$L33)*((1+Inputs!$D$7)^BN$2)),((INT(BN$2/$L33)-INT((BN$2-1)/$L33))*($T33*(1-$F33)+$S33*(1-$G33))*((1+Inputs!$D$7)^BN$2))),((_xlfn.WEIBULL.DIST(BN$2,$M33,$L33,FALSE)*($T33*(1-$F33)+$S33*(1-$G33))*((1+Inputs!$D$7)^BN$2))))))</f>
        <v>0</v>
      </c>
      <c r="BO33" s="64">
        <f>NPV(Inputs!$D$6,BQ33:DD33)</f>
        <v>874.68153807252156</v>
      </c>
      <c r="BP33" s="67">
        <f t="shared" si="6"/>
        <v>4.125425159268974E-4</v>
      </c>
      <c r="BQ33" s="88">
        <f>MAX(AA33,($E33*IF(BQ$2&gt;Inputs!$D$5,0,IF(BQ$2&gt;VLOOKUP($H33,Lists!$P$3:$Q$7,2),IF($N33=Lists!$K$3,IF($L33&lt;1,(($U33/$L33)*((1+Inputs!$D$7)^BQ$2)),((INT(BQ$2/$L33)-INT((BQ$2-1)/$L33))*$U33*((1+Inputs!$D$7)^BQ$2))),(Inputs!$D$8^((1-_xlfn.WEIBULL.DIST(BQ$2,$M33,$L33,FALSE))/_xlfn.WEIBULL.DIST(BQ$2,$M33,$L33,FALSE))*$U33*((1+Inputs!$D$7)^BQ$2))),IF($N33=Lists!$K$3,IF($L33&lt;1,((($T33*(1-$F33)+$S33*(1-$G33))/$L33)*((1+Inputs!$D$7)^BQ$2)),((INT(BQ$2/$L33)-INT((BQ$2-1)/$L33))*($T33*(1-$F33)+$S33*(1-$G33))*((1+Inputs!$D$7)^BQ$2))),((Inputs!$D$8^((1-_xlfn.WEIBULL.DIST(BQ$2,$M33,$L33,FALSE))/_xlfn.WEIBULL.DIST(BQ$2,$M33,$L33,FALSE))*($T33*(1-$F33)+$S33*(1-$G33))*((1+Inputs!$D$7)^BQ$2))))))))</f>
        <v>127.42419155568274</v>
      </c>
      <c r="BR33" s="88">
        <f>MAX(AB33,($E33*IF(BR$2&gt;Inputs!$D$5,0,IF(BR$2&gt;VLOOKUP($H33,Lists!$P$3:$Q$7,2),IF($N33=Lists!$K$3,IF($L33&lt;1,(($U33/$L33)*((1+Inputs!$D$7)^BR$2)),((INT(BR$2/$L33)-INT((BR$2-1)/$L33))*$U33*((1+Inputs!$D$7)^BR$2))),(Inputs!$D$8^((1-_xlfn.WEIBULL.DIST(BR$2,$M33,$L33,FALSE))/_xlfn.WEIBULL.DIST(BR$2,$M33,$L33,FALSE))*$U33*((1+Inputs!$D$7)^BR$2))),IF($N33=Lists!$K$3,IF($L33&lt;1,((($T33*(1-$F33)+$S33*(1-$G33))/$L33)*((1+Inputs!$D$7)^BR$2)),((INT(BR$2/$L33)-INT((BR$2-1)/$L33))*($T33*(1-$F33)+$S33*(1-$G33))*((1+Inputs!$D$7)^BR$2))),((Inputs!$D$8^((1-_xlfn.WEIBULL.DIST(BR$2,$M33,$L33,FALSE))/_xlfn.WEIBULL.DIST(BR$2,$M33,$L33,FALSE))*($T33*(1-$F33)+$S33*(1-$G33))*((1+Inputs!$D$7)^BR$2))))))))</f>
        <v>118.79973329489069</v>
      </c>
      <c r="BS33" s="88">
        <f>MAX(AC33,($E33*IF(BS$2&gt;Inputs!$D$5,0,IF(BS$2&gt;VLOOKUP($H33,Lists!$P$3:$Q$7,2),IF($N33=Lists!$K$3,IF($L33&lt;1,(($U33/$L33)*((1+Inputs!$D$7)^BS$2)),((INT(BS$2/$L33)-INT((BS$2-1)/$L33))*$U33*((1+Inputs!$D$7)^BS$2))),(Inputs!$D$8^((1-_xlfn.WEIBULL.DIST(BS$2,$M33,$L33,FALSE))/_xlfn.WEIBULL.DIST(BS$2,$M33,$L33,FALSE))*$U33*((1+Inputs!$D$7)^BS$2))),IF($N33=Lists!$K$3,IF($L33&lt;1,((($T33*(1-$F33)+$S33*(1-$G33))/$L33)*((1+Inputs!$D$7)^BS$2)),((INT(BS$2/$L33)-INT((BS$2-1)/$L33))*($T33*(1-$F33)+$S33*(1-$G33))*((1+Inputs!$D$7)^BS$2))),((Inputs!$D$8^((1-_xlfn.WEIBULL.DIST(BS$2,$M33,$L33,FALSE))/_xlfn.WEIBULL.DIST(BS$2,$M33,$L33,FALSE))*($T33*(1-$F33)+$S33*(1-$G33))*((1+Inputs!$D$7)^BS$2))))))))</f>
        <v>110.24974547221507</v>
      </c>
      <c r="BT33" s="88">
        <f>MAX(AD33,($E33*IF(BT$2&gt;Inputs!$D$5,0,IF(BT$2&gt;VLOOKUP($H33,Lists!$P$3:$Q$7,2),IF($N33=Lists!$K$3,IF($L33&lt;1,(($U33/$L33)*((1+Inputs!$D$7)^BT$2)),((INT(BT$2/$L33)-INT((BT$2-1)/$L33))*$U33*((1+Inputs!$D$7)^BT$2))),(Inputs!$D$8^((1-_xlfn.WEIBULL.DIST(BT$2,$M33,$L33,FALSE))/_xlfn.WEIBULL.DIST(BT$2,$M33,$L33,FALSE))*$U33*((1+Inputs!$D$7)^BT$2))),IF($N33=Lists!$K$3,IF($L33&lt;1,((($T33*(1-$F33)+$S33*(1-$G33))/$L33)*((1+Inputs!$D$7)^BT$2)),((INT(BT$2/$L33)-INT((BT$2-1)/$L33))*($T33*(1-$F33)+$S33*(1-$G33))*((1+Inputs!$D$7)^BT$2))),((Inputs!$D$8^((1-_xlfn.WEIBULL.DIST(BT$2,$M33,$L33,FALSE))/_xlfn.WEIBULL.DIST(BT$2,$M33,$L33,FALSE))*($T33*(1-$F33)+$S33*(1-$G33))*((1+Inputs!$D$7)^BT$2))))))))</f>
        <v>101.8206018931768</v>
      </c>
      <c r="BU33" s="88">
        <f>MAX(AE33,($E33*IF(BU$2&gt;Inputs!$D$5,0,IF(BU$2&gt;VLOOKUP($H33,Lists!$P$3:$Q$7,2),IF($N33=Lists!$K$3,IF($L33&lt;1,(($U33/$L33)*((1+Inputs!$D$7)^BU$2)),((INT(BU$2/$L33)-INT((BU$2-1)/$L33))*$U33*((1+Inputs!$D$7)^BU$2))),(Inputs!$D$8^((1-_xlfn.WEIBULL.DIST(BU$2,$M33,$L33,FALSE))/_xlfn.WEIBULL.DIST(BU$2,$M33,$L33,FALSE))*$U33*((1+Inputs!$D$7)^BU$2))),IF($N33=Lists!$K$3,IF($L33&lt;1,((($T33*(1-$F33)+$S33*(1-$G33))/$L33)*((1+Inputs!$D$7)^BU$2)),((INT(BU$2/$L33)-INT((BU$2-1)/$L33))*($T33*(1-$F33)+$S33*(1-$G33))*((1+Inputs!$D$7)^BU$2))),((Inputs!$D$8^((1-_xlfn.WEIBULL.DIST(BU$2,$M33,$L33,FALSE))/_xlfn.WEIBULL.DIST(BU$2,$M33,$L33,FALSE))*($T33*(1-$F33)+$S33*(1-$G33))*((1+Inputs!$D$7)^BU$2))))))))</f>
        <v>93.558183540953152</v>
      </c>
      <c r="BV33" s="88">
        <f>MAX(AF33,($E33*IF(BV$2&gt;Inputs!$D$5,0,IF(BV$2&gt;VLOOKUP($H33,Lists!$P$3:$Q$7,2),IF($N33=Lists!$K$3,IF($L33&lt;1,(($U33/$L33)*((1+Inputs!$D$7)^BV$2)),((INT(BV$2/$L33)-INT((BV$2-1)/$L33))*$U33*((1+Inputs!$D$7)^BV$2))),(Inputs!$D$8^((1-_xlfn.WEIBULL.DIST(BV$2,$M33,$L33,FALSE))/_xlfn.WEIBULL.DIST(BV$2,$M33,$L33,FALSE))*$U33*((1+Inputs!$D$7)^BV$2))),IF($N33=Lists!$K$3,IF($L33&lt;1,((($T33*(1-$F33)+$S33*(1-$G33))/$L33)*((1+Inputs!$D$7)^BV$2)),((INT(BV$2/$L33)-INT((BV$2-1)/$L33))*($T33*(1-$F33)+$S33*(1-$G33))*((1+Inputs!$D$7)^BV$2))),((Inputs!$D$8^((1-_xlfn.WEIBULL.DIST(BV$2,$M33,$L33,FALSE))/_xlfn.WEIBULL.DIST(BV$2,$M33,$L33,FALSE))*($T33*(1-$F33)+$S33*(1-$G33))*((1+Inputs!$D$7)^BV$2))))))))</f>
        <v>85.507173484726763</v>
      </c>
      <c r="BW33" s="88">
        <f>MAX(AG33,($E33*IF(BW$2&gt;Inputs!$D$5,0,IF(BW$2&gt;VLOOKUP($H33,Lists!$P$3:$Q$7,2),IF($N33=Lists!$K$3,IF($L33&lt;1,(($U33/$L33)*((1+Inputs!$D$7)^BW$2)),((INT(BW$2/$L33)-INT((BW$2-1)/$L33))*$U33*((1+Inputs!$D$7)^BW$2))),(Inputs!$D$8^((1-_xlfn.WEIBULL.DIST(BW$2,$M33,$L33,FALSE))/_xlfn.WEIBULL.DIST(BW$2,$M33,$L33,FALSE))*$U33*((1+Inputs!$D$7)^BW$2))),IF($N33=Lists!$K$3,IF($L33&lt;1,((($T33*(1-$F33)+$S33*(1-$G33))/$L33)*((1+Inputs!$D$7)^BW$2)),((INT(BW$2/$L33)-INT((BW$2-1)/$L33))*($T33*(1-$F33)+$S33*(1-$G33))*((1+Inputs!$D$7)^BW$2))),((Inputs!$D$8^((1-_xlfn.WEIBULL.DIST(BW$2,$M33,$L33,FALSE))/_xlfn.WEIBULL.DIST(BW$2,$M33,$L33,FALSE))*($T33*(1-$F33)+$S33*(1-$G33))*((1+Inputs!$D$7)^BW$2))))))))</f>
        <v>77.710328506599353</v>
      </c>
      <c r="BX33" s="88">
        <f>MAX(AH33,($E33*IF(BX$2&gt;Inputs!$D$5,0,IF(BX$2&gt;VLOOKUP($H33,Lists!$P$3:$Q$7,2),IF($N33=Lists!$K$3,IF($L33&lt;1,(($U33/$L33)*((1+Inputs!$D$7)^BX$2)),((INT(BX$2/$L33)-INT((BX$2-1)/$L33))*$U33*((1+Inputs!$D$7)^BX$2))),(Inputs!$D$8^((1-_xlfn.WEIBULL.DIST(BX$2,$M33,$L33,FALSE))/_xlfn.WEIBULL.DIST(BX$2,$M33,$L33,FALSE))*$U33*((1+Inputs!$D$7)^BX$2))),IF($N33=Lists!$K$3,IF($L33&lt;1,((($T33*(1-$F33)+$S33*(1-$G33))/$L33)*((1+Inputs!$D$7)^BX$2)),((INT(BX$2/$L33)-INT((BX$2-1)/$L33))*($T33*(1-$F33)+$S33*(1-$G33))*((1+Inputs!$D$7)^BX$2))),((Inputs!$D$8^((1-_xlfn.WEIBULL.DIST(BX$2,$M33,$L33,FALSE))/_xlfn.WEIBULL.DIST(BX$2,$M33,$L33,FALSE))*($T33*(1-$F33)+$S33*(1-$G33))*((1+Inputs!$D$7)^BX$2))))))))</f>
        <v>70.20774558119497</v>
      </c>
      <c r="BY33" s="88">
        <f>MAX(AI33,($E33*IF(BY$2&gt;Inputs!$D$5,0,IF(BY$2&gt;VLOOKUP($H33,Lists!$P$3:$Q$7,2),IF($N33=Lists!$K$3,IF($L33&lt;1,(($U33/$L33)*((1+Inputs!$D$7)^BY$2)),((INT(BY$2/$L33)-INT((BY$2-1)/$L33))*$U33*((1+Inputs!$D$7)^BY$2))),(Inputs!$D$8^((1-_xlfn.WEIBULL.DIST(BY$2,$M33,$L33,FALSE))/_xlfn.WEIBULL.DIST(BY$2,$M33,$L33,FALSE))*$U33*((1+Inputs!$D$7)^BY$2))),IF($N33=Lists!$K$3,IF($L33&lt;1,((($T33*(1-$F33)+$S33*(1-$G33))/$L33)*((1+Inputs!$D$7)^BY$2)),((INT(BY$2/$L33)-INT((BY$2-1)/$L33))*($T33*(1-$F33)+$S33*(1-$G33))*((1+Inputs!$D$7)^BY$2))),((Inputs!$D$8^((1-_xlfn.WEIBULL.DIST(BY$2,$M33,$L33,FALSE))/_xlfn.WEIBULL.DIST(BY$2,$M33,$L33,FALSE))*($T33*(1-$F33)+$S33*(1-$G33))*((1+Inputs!$D$7)^BY$2))))))))</f>
        <v>63.036143746517418</v>
      </c>
      <c r="BZ33" s="88">
        <f>MAX(AJ33,($E33*IF(BZ$2&gt;Inputs!$D$5,0,IF(BZ$2&gt;VLOOKUP($H33,Lists!$P$3:$Q$7,2),IF($N33=Lists!$K$3,IF($L33&lt;1,(($U33/$L33)*((1+Inputs!$D$7)^BZ$2)),((INT(BZ$2/$L33)-INT((BZ$2-1)/$L33))*$U33*((1+Inputs!$D$7)^BZ$2))),(Inputs!$D$8^((1-_xlfn.WEIBULL.DIST(BZ$2,$M33,$L33,FALSE))/_xlfn.WEIBULL.DIST(BZ$2,$M33,$L33,FALSE))*$U33*((1+Inputs!$D$7)^BZ$2))),IF($N33=Lists!$K$3,IF($L33&lt;1,((($T33*(1-$F33)+$S33*(1-$G33))/$L33)*((1+Inputs!$D$7)^BZ$2)),((INT(BZ$2/$L33)-INT((BZ$2-1)/$L33))*($T33*(1-$F33)+$S33*(1-$G33))*((1+Inputs!$D$7)^BZ$2))),((Inputs!$D$8^((1-_xlfn.WEIBULL.DIST(BZ$2,$M33,$L33,FALSE))/_xlfn.WEIBULL.DIST(BZ$2,$M33,$L33,FALSE))*($T33*(1-$F33)+$S33*(1-$G33))*((1+Inputs!$D$7)^BZ$2))))))))</f>
        <v>56.228183753915125</v>
      </c>
      <c r="CA33" s="88">
        <f>MAX(AK33,($E33*IF(CA$2&gt;Inputs!$D$5,0,IF(CA$2&gt;VLOOKUP($H33,Lists!$P$3:$Q$7,2),IF($N33=Lists!$K$3,IF($L33&lt;1,(($U33/$L33)*((1+Inputs!$D$7)^CA$2)),((INT(CA$2/$L33)-INT((CA$2-1)/$L33))*$U33*((1+Inputs!$D$7)^CA$2))),(Inputs!$D$8^((1-_xlfn.WEIBULL.DIST(CA$2,$M33,$L33,FALSE))/_xlfn.WEIBULL.DIST(CA$2,$M33,$L33,FALSE))*$U33*((1+Inputs!$D$7)^CA$2))),IF($N33=Lists!$K$3,IF($L33&lt;1,((($T33*(1-$F33)+$S33*(1-$G33))/$L33)*((1+Inputs!$D$7)^CA$2)),((INT(CA$2/$L33)-INT((CA$2-1)/$L33))*($T33*(1-$F33)+$S33*(1-$G33))*((1+Inputs!$D$7)^CA$2))),((Inputs!$D$8^((1-_xlfn.WEIBULL.DIST(CA$2,$M33,$L33,FALSE))/_xlfn.WEIBULL.DIST(CA$2,$M33,$L33,FALSE))*($T33*(1-$F33)+$S33*(1-$G33))*((1+Inputs!$D$7)^CA$2))))))))</f>
        <v>79.843340540180407</v>
      </c>
      <c r="CB33" s="88">
        <f>MAX(AL33,($E33*IF(CB$2&gt;Inputs!$D$5,0,IF(CB$2&gt;VLOOKUP($H33,Lists!$P$3:$Q$7,2),IF($N33=Lists!$K$3,IF($L33&lt;1,(($U33/$L33)*((1+Inputs!$D$7)^CB$2)),((INT(CB$2/$L33)-INT((CB$2-1)/$L33))*$U33*((1+Inputs!$D$7)^CB$2))),(Inputs!$D$8^((1-_xlfn.WEIBULL.DIST(CB$2,$M33,$L33,FALSE))/_xlfn.WEIBULL.DIST(CB$2,$M33,$L33,FALSE))*$U33*((1+Inputs!$D$7)^CB$2))),IF($N33=Lists!$K$3,IF($L33&lt;1,((($T33*(1-$F33)+$S33*(1-$G33))/$L33)*((1+Inputs!$D$7)^CB$2)),((INT(CB$2/$L33)-INT((CB$2-1)/$L33))*($T33*(1-$F33)+$S33*(1-$G33))*((1+Inputs!$D$7)^CB$2))),((Inputs!$D$8^((1-_xlfn.WEIBULL.DIST(CB$2,$M33,$L33,FALSE))/_xlfn.WEIBULL.DIST(CB$2,$M33,$L33,FALSE))*($T33*(1-$F33)+$S33*(1-$G33))*((1+Inputs!$D$7)^CB$2))))))))</f>
        <v>70.222843236488501</v>
      </c>
      <c r="CC33" s="88">
        <f>MAX(AM33,($E33*IF(CC$2&gt;Inputs!$D$5,0,IF(CC$2&gt;VLOOKUP($H33,Lists!$P$3:$Q$7,2),IF($N33=Lists!$K$3,IF($L33&lt;1,(($U33/$L33)*((1+Inputs!$D$7)^CC$2)),((INT(CC$2/$L33)-INT((CC$2-1)/$L33))*$U33*((1+Inputs!$D$7)^CC$2))),(Inputs!$D$8^((1-_xlfn.WEIBULL.DIST(CC$2,$M33,$L33,FALSE))/_xlfn.WEIBULL.DIST(CC$2,$M33,$L33,FALSE))*$U33*((1+Inputs!$D$7)^CC$2))),IF($N33=Lists!$K$3,IF($L33&lt;1,((($T33*(1-$F33)+$S33*(1-$G33))/$L33)*((1+Inputs!$D$7)^CC$2)),((INT(CC$2/$L33)-INT((CC$2-1)/$L33))*($T33*(1-$F33)+$S33*(1-$G33))*((1+Inputs!$D$7)^CC$2))),((Inputs!$D$8^((1-_xlfn.WEIBULL.DIST(CC$2,$M33,$L33,FALSE))/_xlfn.WEIBULL.DIST(CC$2,$M33,$L33,FALSE))*($T33*(1-$F33)+$S33*(1-$G33))*((1+Inputs!$D$7)^CC$2))))))))</f>
        <v>61.294045824421865</v>
      </c>
      <c r="CD33" s="88">
        <f>MAX(AN33,($E33*IF(CD$2&gt;Inputs!$D$5,0,IF(CD$2&gt;VLOOKUP($H33,Lists!$P$3:$Q$7,2),IF($N33=Lists!$K$3,IF($L33&lt;1,(($U33/$L33)*((1+Inputs!$D$7)^CD$2)),((INT(CD$2/$L33)-INT((CD$2-1)/$L33))*$U33*((1+Inputs!$D$7)^CD$2))),(Inputs!$D$8^((1-_xlfn.WEIBULL.DIST(CD$2,$M33,$L33,FALSE))/_xlfn.WEIBULL.DIST(CD$2,$M33,$L33,FALSE))*$U33*((1+Inputs!$D$7)^CD$2))),IF($N33=Lists!$K$3,IF($L33&lt;1,((($T33*(1-$F33)+$S33*(1-$G33))/$L33)*((1+Inputs!$D$7)^CD$2)),((INT(CD$2/$L33)-INT((CD$2-1)/$L33))*($T33*(1-$F33)+$S33*(1-$G33))*((1+Inputs!$D$7)^CD$2))),((Inputs!$D$8^((1-_xlfn.WEIBULL.DIST(CD$2,$M33,$L33,FALSE))/_xlfn.WEIBULL.DIST(CD$2,$M33,$L33,FALSE))*($T33*(1-$F33)+$S33*(1-$G33))*((1+Inputs!$D$7)^CD$2))))))))</f>
        <v>53.074895831926824</v>
      </c>
      <c r="CE33" s="88">
        <f>MAX(AO33,($E33*IF(CE$2&gt;Inputs!$D$5,0,IF(CE$2&gt;VLOOKUP($H33,Lists!$P$3:$Q$7,2),IF($N33=Lists!$K$3,IF($L33&lt;1,(($U33/$L33)*((1+Inputs!$D$7)^CE$2)),((INT(CE$2/$L33)-INT((CE$2-1)/$L33))*$U33*((1+Inputs!$D$7)^CE$2))),(Inputs!$D$8^((1-_xlfn.WEIBULL.DIST(CE$2,$M33,$L33,FALSE))/_xlfn.WEIBULL.DIST(CE$2,$M33,$L33,FALSE))*$U33*((1+Inputs!$D$7)^CE$2))),IF($N33=Lists!$K$3,IF($L33&lt;1,((($T33*(1-$F33)+$S33*(1-$G33))/$L33)*((1+Inputs!$D$7)^CE$2)),((INT(CE$2/$L33)-INT((CE$2-1)/$L33))*($T33*(1-$F33)+$S33*(1-$G33))*((1+Inputs!$D$7)^CE$2))),((Inputs!$D$8^((1-_xlfn.WEIBULL.DIST(CE$2,$M33,$L33,FALSE))/_xlfn.WEIBULL.DIST(CE$2,$M33,$L33,FALSE))*($T33*(1-$F33)+$S33*(1-$G33))*((1+Inputs!$D$7)^CE$2))))))))</f>
        <v>45.57357883700665</v>
      </c>
      <c r="CF33" s="88">
        <f>MAX(AP33,($E33*IF(CF$2&gt;Inputs!$D$5,0,IF(CF$2&gt;VLOOKUP($H33,Lists!$P$3:$Q$7,2),IF($N33=Lists!$K$3,IF($L33&lt;1,(($U33/$L33)*((1+Inputs!$D$7)^CF$2)),((INT(CF$2/$L33)-INT((CF$2-1)/$L33))*$U33*((1+Inputs!$D$7)^CF$2))),(Inputs!$D$8^((1-_xlfn.WEIBULL.DIST(CF$2,$M33,$L33,FALSE))/_xlfn.WEIBULL.DIST(CF$2,$M33,$L33,FALSE))*$U33*((1+Inputs!$D$7)^CF$2))),IF($N33=Lists!$K$3,IF($L33&lt;1,((($T33*(1-$F33)+$S33*(1-$G33))/$L33)*((1+Inputs!$D$7)^CF$2)),((INT(CF$2/$L33)-INT((CF$2-1)/$L33))*($T33*(1-$F33)+$S33*(1-$G33))*((1+Inputs!$D$7)^CF$2))),((Inputs!$D$8^((1-_xlfn.WEIBULL.DIST(CF$2,$M33,$L33,FALSE))/_xlfn.WEIBULL.DIST(CF$2,$M33,$L33,FALSE))*($T33*(1-$F33)+$S33*(1-$G33))*((1+Inputs!$D$7)^CF$2))))))))</f>
        <v>38.788524673945325</v>
      </c>
      <c r="CG33" s="88">
        <f>MAX(AQ33,($E33*IF(CG$2&gt;Inputs!$D$5,0,IF(CG$2&gt;VLOOKUP($H33,Lists!$P$3:$Q$7,2),IF($N33=Lists!$K$3,IF($L33&lt;1,(($U33/$L33)*((1+Inputs!$D$7)^CG$2)),((INT(CG$2/$L33)-INT((CG$2-1)/$L33))*$U33*((1+Inputs!$D$7)^CG$2))),(Inputs!$D$8^((1-_xlfn.WEIBULL.DIST(CG$2,$M33,$L33,FALSE))/_xlfn.WEIBULL.DIST(CG$2,$M33,$L33,FALSE))*$U33*((1+Inputs!$D$7)^CG$2))),IF($N33=Lists!$K$3,IF($L33&lt;1,((($T33*(1-$F33)+$S33*(1-$G33))/$L33)*((1+Inputs!$D$7)^CG$2)),((INT(CG$2/$L33)-INT((CG$2-1)/$L33))*($T33*(1-$F33)+$S33*(1-$G33))*((1+Inputs!$D$7)^CG$2))),((Inputs!$D$8^((1-_xlfn.WEIBULL.DIST(CG$2,$M33,$L33,FALSE))/_xlfn.WEIBULL.DIST(CG$2,$M33,$L33,FALSE))*($T33*(1-$F33)+$S33*(1-$G33))*((1+Inputs!$D$7)^CG$2))))))))</f>
        <v>32.708676027308591</v>
      </c>
      <c r="CH33" s="88">
        <f>MAX(AR33,($E33*IF(CH$2&gt;Inputs!$D$5,0,IF(CH$2&gt;VLOOKUP($H33,Lists!$P$3:$Q$7,2),IF($N33=Lists!$K$3,IF($L33&lt;1,(($U33/$L33)*((1+Inputs!$D$7)^CH$2)),((INT(CH$2/$L33)-INT((CH$2-1)/$L33))*$U33*((1+Inputs!$D$7)^CH$2))),(Inputs!$D$8^((1-_xlfn.WEIBULL.DIST(CH$2,$M33,$L33,FALSE))/_xlfn.WEIBULL.DIST(CH$2,$M33,$L33,FALSE))*$U33*((1+Inputs!$D$7)^CH$2))),IF($N33=Lists!$K$3,IF($L33&lt;1,((($T33*(1-$F33)+$S33*(1-$G33))/$L33)*((1+Inputs!$D$7)^CH$2)),((INT(CH$2/$L33)-INT((CH$2-1)/$L33))*($T33*(1-$F33)+$S33*(1-$G33))*((1+Inputs!$D$7)^CH$2))),((Inputs!$D$8^((1-_xlfn.WEIBULL.DIST(CH$2,$M33,$L33,FALSE))/_xlfn.WEIBULL.DIST(CH$2,$M33,$L33,FALSE))*($T33*(1-$F33)+$S33*(1-$G33))*((1+Inputs!$D$7)^CH$2))))))))</f>
        <v>30.876626900893136</v>
      </c>
      <c r="CI33" s="88">
        <f>MAX(AS33,($E33*IF(CI$2&gt;Inputs!$D$5,0,IF(CI$2&gt;VLOOKUP($H33,Lists!$P$3:$Q$7,2),IF($N33=Lists!$K$3,IF($L33&lt;1,(($U33/$L33)*((1+Inputs!$D$7)^CI$2)),((INT(CI$2/$L33)-INT((CI$2-1)/$L33))*$U33*((1+Inputs!$D$7)^CI$2))),(Inputs!$D$8^((1-_xlfn.WEIBULL.DIST(CI$2,$M33,$L33,FALSE))/_xlfn.WEIBULL.DIST(CI$2,$M33,$L33,FALSE))*$U33*((1+Inputs!$D$7)^CI$2))),IF($N33=Lists!$K$3,IF($L33&lt;1,((($T33*(1-$F33)+$S33*(1-$G33))/$L33)*((1+Inputs!$D$7)^CI$2)),((INT(CI$2/$L33)-INT((CI$2-1)/$L33))*($T33*(1-$F33)+$S33*(1-$G33))*((1+Inputs!$D$7)^CI$2))),((Inputs!$D$8^((1-_xlfn.WEIBULL.DIST(CI$2,$M33,$L33,FALSE))/_xlfn.WEIBULL.DIST(CI$2,$M33,$L33,FALSE))*($T33*(1-$F33)+$S33*(1-$G33))*((1+Inputs!$D$7)^CI$2))))))))</f>
        <v>29.958171158209037</v>
      </c>
      <c r="CJ33" s="88">
        <f>MAX(AT33,($E33*IF(CJ$2&gt;Inputs!$D$5,0,IF(CJ$2&gt;VLOOKUP($H33,Lists!$P$3:$Q$7,2),IF($N33=Lists!$K$3,IF($L33&lt;1,(($U33/$L33)*((1+Inputs!$D$7)^CJ$2)),((INT(CJ$2/$L33)-INT((CJ$2-1)/$L33))*$U33*((1+Inputs!$D$7)^CJ$2))),(Inputs!$D$8^((1-_xlfn.WEIBULL.DIST(CJ$2,$M33,$L33,FALSE))/_xlfn.WEIBULL.DIST(CJ$2,$M33,$L33,FALSE))*$U33*((1+Inputs!$D$7)^CJ$2))),IF($N33=Lists!$K$3,IF($L33&lt;1,((($T33*(1-$F33)+$S33*(1-$G33))/$L33)*((1+Inputs!$D$7)^CJ$2)),((INT(CJ$2/$L33)-INT((CJ$2-1)/$L33))*($T33*(1-$F33)+$S33*(1-$G33))*((1+Inputs!$D$7)^CJ$2))),((Inputs!$D$8^((1-_xlfn.WEIBULL.DIST(CJ$2,$M33,$L33,FALSE))/_xlfn.WEIBULL.DIST(CJ$2,$M33,$L33,FALSE))*($T33*(1-$F33)+$S33*(1-$G33))*((1+Inputs!$D$7)^CJ$2))))))))</f>
        <v>29.067035788115419</v>
      </c>
      <c r="CK33" s="88">
        <f>MAX(AU33,($E33*IF(CK$2&gt;Inputs!$D$5,0,IF(CK$2&gt;VLOOKUP($H33,Lists!$P$3:$Q$7,2),IF($N33=Lists!$K$3,IF($L33&lt;1,(($U33/$L33)*((1+Inputs!$D$7)^CK$2)),((INT(CK$2/$L33)-INT((CK$2-1)/$L33))*$U33*((1+Inputs!$D$7)^CK$2))),(Inputs!$D$8^((1-_xlfn.WEIBULL.DIST(CK$2,$M33,$L33,FALSE))/_xlfn.WEIBULL.DIST(CK$2,$M33,$L33,FALSE))*$U33*((1+Inputs!$D$7)^CK$2))),IF($N33=Lists!$K$3,IF($L33&lt;1,((($T33*(1-$F33)+$S33*(1-$G33))/$L33)*((1+Inputs!$D$7)^CK$2)),((INT(CK$2/$L33)-INT((CK$2-1)/$L33))*($T33*(1-$F33)+$S33*(1-$G33))*((1+Inputs!$D$7)^CK$2))),((Inputs!$D$8^((1-_xlfn.WEIBULL.DIST(CK$2,$M33,$L33,FALSE))/_xlfn.WEIBULL.DIST(CK$2,$M33,$L33,FALSE))*($T33*(1-$F33)+$S33*(1-$G33))*((1+Inputs!$D$7)^CK$2))))))))</f>
        <v>28.202408119164097</v>
      </c>
      <c r="CL33" s="88">
        <f>MAX(AV33,($E33*IF(CL$2&gt;Inputs!$D$5,0,IF(CL$2&gt;VLOOKUP($H33,Lists!$P$3:$Q$7,2),IF($N33=Lists!$K$3,IF($L33&lt;1,(($U33/$L33)*((1+Inputs!$D$7)^CL$2)),((INT(CL$2/$L33)-INT((CL$2-1)/$L33))*$U33*((1+Inputs!$D$7)^CL$2))),(Inputs!$D$8^((1-_xlfn.WEIBULL.DIST(CL$2,$M33,$L33,FALSE))/_xlfn.WEIBULL.DIST(CL$2,$M33,$L33,FALSE))*$U33*((1+Inputs!$D$7)^CL$2))),IF($N33=Lists!$K$3,IF($L33&lt;1,((($T33*(1-$F33)+$S33*(1-$G33))/$L33)*((1+Inputs!$D$7)^CL$2)),((INT(CL$2/$L33)-INT((CL$2-1)/$L33))*($T33*(1-$F33)+$S33*(1-$G33))*((1+Inputs!$D$7)^CL$2))),((Inputs!$D$8^((1-_xlfn.WEIBULL.DIST(CL$2,$M33,$L33,FALSE))/_xlfn.WEIBULL.DIST(CL$2,$M33,$L33,FALSE))*($T33*(1-$F33)+$S33*(1-$G33))*((1+Inputs!$D$7)^CL$2))))))))</f>
        <v>27.363499653621268</v>
      </c>
      <c r="CM33" s="88">
        <f>MAX(AW33,($E33*IF(CM$2&gt;Inputs!$D$5,0,IF(CM$2&gt;VLOOKUP($H33,Lists!$P$3:$Q$7,2),IF($N33=Lists!$K$3,IF($L33&lt;1,(($U33/$L33)*((1+Inputs!$D$7)^CM$2)),((INT(CM$2/$L33)-INT((CM$2-1)/$L33))*$U33*((1+Inputs!$D$7)^CM$2))),(Inputs!$D$8^((1-_xlfn.WEIBULL.DIST(CM$2,$M33,$L33,FALSE))/_xlfn.WEIBULL.DIST(CM$2,$M33,$L33,FALSE))*$U33*((1+Inputs!$D$7)^CM$2))),IF($N33=Lists!$K$3,IF($L33&lt;1,((($T33*(1-$F33)+$S33*(1-$G33))/$L33)*((1+Inputs!$D$7)^CM$2)),((INT(CM$2/$L33)-INT((CM$2-1)/$L33))*($T33*(1-$F33)+$S33*(1-$G33))*((1+Inputs!$D$7)^CM$2))),((Inputs!$D$8^((1-_xlfn.WEIBULL.DIST(CM$2,$M33,$L33,FALSE))/_xlfn.WEIBULL.DIST(CM$2,$M33,$L33,FALSE))*($T33*(1-$F33)+$S33*(1-$G33))*((1+Inputs!$D$7)^CM$2))))))))</f>
        <v>26.549545348396435</v>
      </c>
      <c r="CN33" s="88">
        <f>MAX(AX33,($E33*IF(CN$2&gt;Inputs!$D$5,0,IF(CN$2&gt;VLOOKUP($H33,Lists!$P$3:$Q$7,2),IF($N33=Lists!$K$3,IF($L33&lt;1,(($U33/$L33)*((1+Inputs!$D$7)^CN$2)),((INT(CN$2/$L33)-INT((CN$2-1)/$L33))*$U33*((1+Inputs!$D$7)^CN$2))),(Inputs!$D$8^((1-_xlfn.WEIBULL.DIST(CN$2,$M33,$L33,FALSE))/_xlfn.WEIBULL.DIST(CN$2,$M33,$L33,FALSE))*$U33*((1+Inputs!$D$7)^CN$2))),IF($N33=Lists!$K$3,IF($L33&lt;1,((($T33*(1-$F33)+$S33*(1-$G33))/$L33)*((1+Inputs!$D$7)^CN$2)),((INT(CN$2/$L33)-INT((CN$2-1)/$L33))*($T33*(1-$F33)+$S33*(1-$G33))*((1+Inputs!$D$7)^CN$2))),((Inputs!$D$8^((1-_xlfn.WEIBULL.DIST(CN$2,$M33,$L33,FALSE))/_xlfn.WEIBULL.DIST(CN$2,$M33,$L33,FALSE))*($T33*(1-$F33)+$S33*(1-$G33))*((1+Inputs!$D$7)^CN$2))))))))</f>
        <v>25.759802917360965</v>
      </c>
      <c r="CO33" s="88">
        <f>MAX(AY33,($E33*IF(CO$2&gt;Inputs!$D$5,0,IF(CO$2&gt;VLOOKUP($H33,Lists!$P$3:$Q$7,2),IF($N33=Lists!$K$3,IF($L33&lt;1,(($U33/$L33)*((1+Inputs!$D$7)^CO$2)),((INT(CO$2/$L33)-INT((CO$2-1)/$L33))*$U33*((1+Inputs!$D$7)^CO$2))),(Inputs!$D$8^((1-_xlfn.WEIBULL.DIST(CO$2,$M33,$L33,FALSE))/_xlfn.WEIBULL.DIST(CO$2,$M33,$L33,FALSE))*$U33*((1+Inputs!$D$7)^CO$2))),IF($N33=Lists!$K$3,IF($L33&lt;1,((($T33*(1-$F33)+$S33*(1-$G33))/$L33)*((1+Inputs!$D$7)^CO$2)),((INT(CO$2/$L33)-INT((CO$2-1)/$L33))*($T33*(1-$F33)+$S33*(1-$G33))*((1+Inputs!$D$7)^CO$2))),((Inputs!$D$8^((1-_xlfn.WEIBULL.DIST(CO$2,$M33,$L33,FALSE))/_xlfn.WEIBULL.DIST(CO$2,$M33,$L33,FALSE))*($T33*(1-$F33)+$S33*(1-$G33))*((1+Inputs!$D$7)^CO$2))))))))</f>
        <v>24.993552154419746</v>
      </c>
      <c r="CP33" s="88">
        <f>MAX(AZ33,($E33*IF(CP$2&gt;Inputs!$D$5,0,IF(CP$2&gt;VLOOKUP($H33,Lists!$P$3:$Q$7,2),IF($N33=Lists!$K$3,IF($L33&lt;1,(($U33/$L33)*((1+Inputs!$D$7)^CP$2)),((INT(CP$2/$L33)-INT((CP$2-1)/$L33))*$U33*((1+Inputs!$D$7)^CP$2))),(Inputs!$D$8^((1-_xlfn.WEIBULL.DIST(CP$2,$M33,$L33,FALSE))/_xlfn.WEIBULL.DIST(CP$2,$M33,$L33,FALSE))*$U33*((1+Inputs!$D$7)^CP$2))),IF($N33=Lists!$K$3,IF($L33&lt;1,((($T33*(1-$F33)+$S33*(1-$G33))/$L33)*((1+Inputs!$D$7)^CP$2)),((INT(CP$2/$L33)-INT((CP$2-1)/$L33))*($T33*(1-$F33)+$S33*(1-$G33))*((1+Inputs!$D$7)^CP$2))),((Inputs!$D$8^((1-_xlfn.WEIBULL.DIST(CP$2,$M33,$L33,FALSE))/_xlfn.WEIBULL.DIST(CP$2,$M33,$L33,FALSE))*($T33*(1-$F33)+$S33*(1-$G33))*((1+Inputs!$D$7)^CP$2))))))))</f>
        <v>0</v>
      </c>
      <c r="CQ33" s="88">
        <f>MAX(BA33,($E33*IF(CQ$2&gt;Inputs!$D$5,0,IF(CQ$2&gt;VLOOKUP($H33,Lists!$P$3:$Q$7,2),IF($N33=Lists!$K$3,IF($L33&lt;1,(($U33/$L33)*((1+Inputs!$D$7)^CQ$2)),((INT(CQ$2/$L33)-INT((CQ$2-1)/$L33))*$U33*((1+Inputs!$D$7)^CQ$2))),(Inputs!$D$8^((1-_xlfn.WEIBULL.DIST(CQ$2,$M33,$L33,FALSE))/_xlfn.WEIBULL.DIST(CQ$2,$M33,$L33,FALSE))*$U33*((1+Inputs!$D$7)^CQ$2))),IF($N33=Lists!$K$3,IF($L33&lt;1,((($T33*(1-$F33)+$S33*(1-$G33))/$L33)*((1+Inputs!$D$7)^CQ$2)),((INT(CQ$2/$L33)-INT((CQ$2-1)/$L33))*($T33*(1-$F33)+$S33*(1-$G33))*((1+Inputs!$D$7)^CQ$2))),((Inputs!$D$8^((1-_xlfn.WEIBULL.DIST(CQ$2,$M33,$L33,FALSE))/_xlfn.WEIBULL.DIST(CQ$2,$M33,$L33,FALSE))*($T33*(1-$F33)+$S33*(1-$G33))*((1+Inputs!$D$7)^CQ$2))))))))</f>
        <v>0</v>
      </c>
      <c r="CR33" s="88">
        <f>MAX(BB33,($E33*IF(CR$2&gt;Inputs!$D$5,0,IF(CR$2&gt;VLOOKUP($H33,Lists!$P$3:$Q$7,2),IF($N33=Lists!$K$3,IF($L33&lt;1,(($U33/$L33)*((1+Inputs!$D$7)^CR$2)),((INT(CR$2/$L33)-INT((CR$2-1)/$L33))*$U33*((1+Inputs!$D$7)^CR$2))),(Inputs!$D$8^((1-_xlfn.WEIBULL.DIST(CR$2,$M33,$L33,FALSE))/_xlfn.WEIBULL.DIST(CR$2,$M33,$L33,FALSE))*$U33*((1+Inputs!$D$7)^CR$2))),IF($N33=Lists!$K$3,IF($L33&lt;1,((($T33*(1-$F33)+$S33*(1-$G33))/$L33)*((1+Inputs!$D$7)^CR$2)),((INT(CR$2/$L33)-INT((CR$2-1)/$L33))*($T33*(1-$F33)+$S33*(1-$G33))*((1+Inputs!$D$7)^CR$2))),((Inputs!$D$8^((1-_xlfn.WEIBULL.DIST(CR$2,$M33,$L33,FALSE))/_xlfn.WEIBULL.DIST(CR$2,$M33,$L33,FALSE))*($T33*(1-$F33)+$S33*(1-$G33))*((1+Inputs!$D$7)^CR$2))))))))</f>
        <v>0</v>
      </c>
      <c r="CS33" s="88">
        <f>MAX(BC33,($E33*IF(CS$2&gt;Inputs!$D$5,0,IF(CS$2&gt;VLOOKUP($H33,Lists!$P$3:$Q$7,2),IF($N33=Lists!$K$3,IF($L33&lt;1,(($U33/$L33)*((1+Inputs!$D$7)^CS$2)),((INT(CS$2/$L33)-INT((CS$2-1)/$L33))*$U33*((1+Inputs!$D$7)^CS$2))),(Inputs!$D$8^((1-_xlfn.WEIBULL.DIST(CS$2,$M33,$L33,FALSE))/_xlfn.WEIBULL.DIST(CS$2,$M33,$L33,FALSE))*$U33*((1+Inputs!$D$7)^CS$2))),IF($N33=Lists!$K$3,IF($L33&lt;1,((($T33*(1-$F33)+$S33*(1-$G33))/$L33)*((1+Inputs!$D$7)^CS$2)),((INT(CS$2/$L33)-INT((CS$2-1)/$L33))*($T33*(1-$F33)+$S33*(1-$G33))*((1+Inputs!$D$7)^CS$2))),((Inputs!$D$8^((1-_xlfn.WEIBULL.DIST(CS$2,$M33,$L33,FALSE))/_xlfn.WEIBULL.DIST(CS$2,$M33,$L33,FALSE))*($T33*(1-$F33)+$S33*(1-$G33))*((1+Inputs!$D$7)^CS$2))))))))</f>
        <v>0</v>
      </c>
      <c r="CT33" s="88">
        <f>MAX(BD33,($E33*IF(CT$2&gt;Inputs!$D$5,0,IF(CT$2&gt;VLOOKUP($H33,Lists!$P$3:$Q$7,2),IF($N33=Lists!$K$3,IF($L33&lt;1,(($U33/$L33)*((1+Inputs!$D$7)^CT$2)),((INT(CT$2/$L33)-INT((CT$2-1)/$L33))*$U33*((1+Inputs!$D$7)^CT$2))),(Inputs!$D$8^((1-_xlfn.WEIBULL.DIST(CT$2,$M33,$L33,FALSE))/_xlfn.WEIBULL.DIST(CT$2,$M33,$L33,FALSE))*$U33*((1+Inputs!$D$7)^CT$2))),IF($N33=Lists!$K$3,IF($L33&lt;1,((($T33*(1-$F33)+$S33*(1-$G33))/$L33)*((1+Inputs!$D$7)^CT$2)),((INT(CT$2/$L33)-INT((CT$2-1)/$L33))*($T33*(1-$F33)+$S33*(1-$G33))*((1+Inputs!$D$7)^CT$2))),((Inputs!$D$8^((1-_xlfn.WEIBULL.DIST(CT$2,$M33,$L33,FALSE))/_xlfn.WEIBULL.DIST(CT$2,$M33,$L33,FALSE))*($T33*(1-$F33)+$S33*(1-$G33))*((1+Inputs!$D$7)^CT$2))))))))</f>
        <v>0</v>
      </c>
      <c r="CU33" s="88">
        <f>MAX(BE33,($E33*IF(CU$2&gt;Inputs!$D$5,0,IF(CU$2&gt;VLOOKUP($H33,Lists!$P$3:$Q$7,2),IF($N33=Lists!$K$3,IF($L33&lt;1,(($U33/$L33)*((1+Inputs!$D$7)^CU$2)),((INT(CU$2/$L33)-INT((CU$2-1)/$L33))*$U33*((1+Inputs!$D$7)^CU$2))),(Inputs!$D$8^((1-_xlfn.WEIBULL.DIST(CU$2,$M33,$L33,FALSE))/_xlfn.WEIBULL.DIST(CU$2,$M33,$L33,FALSE))*$U33*((1+Inputs!$D$7)^CU$2))),IF($N33=Lists!$K$3,IF($L33&lt;1,((($T33*(1-$F33)+$S33*(1-$G33))/$L33)*((1+Inputs!$D$7)^CU$2)),((INT(CU$2/$L33)-INT((CU$2-1)/$L33))*($T33*(1-$F33)+$S33*(1-$G33))*((1+Inputs!$D$7)^CU$2))),((Inputs!$D$8^((1-_xlfn.WEIBULL.DIST(CU$2,$M33,$L33,FALSE))/_xlfn.WEIBULL.DIST(CU$2,$M33,$L33,FALSE))*($T33*(1-$F33)+$S33*(1-$G33))*((1+Inputs!$D$7)^CU$2))))))))</f>
        <v>0</v>
      </c>
      <c r="CV33" s="88">
        <f>MAX(BF33,($E33*IF(CV$2&gt;Inputs!$D$5,0,IF(CV$2&gt;VLOOKUP($H33,Lists!$P$3:$Q$7,2),IF($N33=Lists!$K$3,IF($L33&lt;1,(($U33/$L33)*((1+Inputs!$D$7)^CV$2)),((INT(CV$2/$L33)-INT((CV$2-1)/$L33))*$U33*((1+Inputs!$D$7)^CV$2))),(Inputs!$D$8^((1-_xlfn.WEIBULL.DIST(CV$2,$M33,$L33,FALSE))/_xlfn.WEIBULL.DIST(CV$2,$M33,$L33,FALSE))*$U33*((1+Inputs!$D$7)^CV$2))),IF($N33=Lists!$K$3,IF($L33&lt;1,((($T33*(1-$F33)+$S33*(1-$G33))/$L33)*((1+Inputs!$D$7)^CV$2)),((INT(CV$2/$L33)-INT((CV$2-1)/$L33))*($T33*(1-$F33)+$S33*(1-$G33))*((1+Inputs!$D$7)^CV$2))),((Inputs!$D$8^((1-_xlfn.WEIBULL.DIST(CV$2,$M33,$L33,FALSE))/_xlfn.WEIBULL.DIST(CV$2,$M33,$L33,FALSE))*($T33*(1-$F33)+$S33*(1-$G33))*((1+Inputs!$D$7)^CV$2))))))))</f>
        <v>0</v>
      </c>
      <c r="CW33" s="88">
        <f>MAX(BG33,($E33*IF(CW$2&gt;Inputs!$D$5,0,IF(CW$2&gt;VLOOKUP($H33,Lists!$P$3:$Q$7,2),IF($N33=Lists!$K$3,IF($L33&lt;1,(($U33/$L33)*((1+Inputs!$D$7)^CW$2)),((INT(CW$2/$L33)-INT((CW$2-1)/$L33))*$U33*((1+Inputs!$D$7)^CW$2))),(Inputs!$D$8^((1-_xlfn.WEIBULL.DIST(CW$2,$M33,$L33,FALSE))/_xlfn.WEIBULL.DIST(CW$2,$M33,$L33,FALSE))*$U33*((1+Inputs!$D$7)^CW$2))),IF($N33=Lists!$K$3,IF($L33&lt;1,((($T33*(1-$F33)+$S33*(1-$G33))/$L33)*((1+Inputs!$D$7)^CW$2)),((INT(CW$2/$L33)-INT((CW$2-1)/$L33))*($T33*(1-$F33)+$S33*(1-$G33))*((1+Inputs!$D$7)^CW$2))),((Inputs!$D$8^((1-_xlfn.WEIBULL.DIST(CW$2,$M33,$L33,FALSE))/_xlfn.WEIBULL.DIST(CW$2,$M33,$L33,FALSE))*($T33*(1-$F33)+$S33*(1-$G33))*((1+Inputs!$D$7)^CW$2))))))))</f>
        <v>0</v>
      </c>
      <c r="CX33" s="88">
        <f>MAX(BH33,($E33*IF(CX$2&gt;Inputs!$D$5,0,IF(CX$2&gt;VLOOKUP($H33,Lists!$P$3:$Q$7,2),IF($N33=Lists!$K$3,IF($L33&lt;1,(($U33/$L33)*((1+Inputs!$D$7)^CX$2)),((INT(CX$2/$L33)-INT((CX$2-1)/$L33))*$U33*((1+Inputs!$D$7)^CX$2))),(Inputs!$D$8^((1-_xlfn.WEIBULL.DIST(CX$2,$M33,$L33,FALSE))/_xlfn.WEIBULL.DIST(CX$2,$M33,$L33,FALSE))*$U33*((1+Inputs!$D$7)^CX$2))),IF($N33=Lists!$K$3,IF($L33&lt;1,((($T33*(1-$F33)+$S33*(1-$G33))/$L33)*((1+Inputs!$D$7)^CX$2)),((INT(CX$2/$L33)-INT((CX$2-1)/$L33))*($T33*(1-$F33)+$S33*(1-$G33))*((1+Inputs!$D$7)^CX$2))),((Inputs!$D$8^((1-_xlfn.WEIBULL.DIST(CX$2,$M33,$L33,FALSE))/_xlfn.WEIBULL.DIST(CX$2,$M33,$L33,FALSE))*($T33*(1-$F33)+$S33*(1-$G33))*((1+Inputs!$D$7)^CX$2))))))))</f>
        <v>0</v>
      </c>
      <c r="CY33" s="88">
        <f>MAX(BI33,($E33*IF(CY$2&gt;Inputs!$D$5,0,IF(CY$2&gt;VLOOKUP($H33,Lists!$P$3:$Q$7,2),IF($N33=Lists!$K$3,IF($L33&lt;1,(($U33/$L33)*((1+Inputs!$D$7)^CY$2)),((INT(CY$2/$L33)-INT((CY$2-1)/$L33))*$U33*((1+Inputs!$D$7)^CY$2))),(Inputs!$D$8^((1-_xlfn.WEIBULL.DIST(CY$2,$M33,$L33,FALSE))/_xlfn.WEIBULL.DIST(CY$2,$M33,$L33,FALSE))*$U33*((1+Inputs!$D$7)^CY$2))),IF($N33=Lists!$K$3,IF($L33&lt;1,((($T33*(1-$F33)+$S33*(1-$G33))/$L33)*((1+Inputs!$D$7)^CY$2)),((INT(CY$2/$L33)-INT((CY$2-1)/$L33))*($T33*(1-$F33)+$S33*(1-$G33))*((1+Inputs!$D$7)^CY$2))),((Inputs!$D$8^((1-_xlfn.WEIBULL.DIST(CY$2,$M33,$L33,FALSE))/_xlfn.WEIBULL.DIST(CY$2,$M33,$L33,FALSE))*($T33*(1-$F33)+$S33*(1-$G33))*((1+Inputs!$D$7)^CY$2))))))))</f>
        <v>0</v>
      </c>
      <c r="CZ33" s="88">
        <f>MAX(BJ33,($E33*IF(CZ$2&gt;Inputs!$D$5,0,IF(CZ$2&gt;VLOOKUP($H33,Lists!$P$3:$Q$7,2),IF($N33=Lists!$K$3,IF($L33&lt;1,(($U33/$L33)*((1+Inputs!$D$7)^CZ$2)),((INT(CZ$2/$L33)-INT((CZ$2-1)/$L33))*$U33*((1+Inputs!$D$7)^CZ$2))),(Inputs!$D$8^((1-_xlfn.WEIBULL.DIST(CZ$2,$M33,$L33,FALSE))/_xlfn.WEIBULL.DIST(CZ$2,$M33,$L33,FALSE))*$U33*((1+Inputs!$D$7)^CZ$2))),IF($N33=Lists!$K$3,IF($L33&lt;1,((($T33*(1-$F33)+$S33*(1-$G33))/$L33)*((1+Inputs!$D$7)^CZ$2)),((INT(CZ$2/$L33)-INT((CZ$2-1)/$L33))*($T33*(1-$F33)+$S33*(1-$G33))*((1+Inputs!$D$7)^CZ$2))),((Inputs!$D$8^((1-_xlfn.WEIBULL.DIST(CZ$2,$M33,$L33,FALSE))/_xlfn.WEIBULL.DIST(CZ$2,$M33,$L33,FALSE))*($T33*(1-$F33)+$S33*(1-$G33))*((1+Inputs!$D$7)^CZ$2))))))))</f>
        <v>0</v>
      </c>
      <c r="DA33" s="88">
        <f>MAX(BK33,($E33*IF(DA$2&gt;Inputs!$D$5,0,IF(DA$2&gt;VLOOKUP($H33,Lists!$P$3:$Q$7,2),IF($N33=Lists!$K$3,IF($L33&lt;1,(($U33/$L33)*((1+Inputs!$D$7)^DA$2)),((INT(DA$2/$L33)-INT((DA$2-1)/$L33))*$U33*((1+Inputs!$D$7)^DA$2))),(Inputs!$D$8^((1-_xlfn.WEIBULL.DIST(DA$2,$M33,$L33,FALSE))/_xlfn.WEIBULL.DIST(DA$2,$M33,$L33,FALSE))*$U33*((1+Inputs!$D$7)^DA$2))),IF($N33=Lists!$K$3,IF($L33&lt;1,((($T33*(1-$F33)+$S33*(1-$G33))/$L33)*((1+Inputs!$D$7)^DA$2)),((INT(DA$2/$L33)-INT((DA$2-1)/$L33))*($T33*(1-$F33)+$S33*(1-$G33))*((1+Inputs!$D$7)^DA$2))),((Inputs!$D$8^((1-_xlfn.WEIBULL.DIST(DA$2,$M33,$L33,FALSE))/_xlfn.WEIBULL.DIST(DA$2,$M33,$L33,FALSE))*($T33*(1-$F33)+$S33*(1-$G33))*((1+Inputs!$D$7)^DA$2))))))))</f>
        <v>0</v>
      </c>
      <c r="DB33" s="88">
        <f>MAX(BL33,($E33*IF(DB$2&gt;Inputs!$D$5,0,IF(DB$2&gt;VLOOKUP($H33,Lists!$P$3:$Q$7,2),IF($N33=Lists!$K$3,IF($L33&lt;1,(($U33/$L33)*((1+Inputs!$D$7)^DB$2)),((INT(DB$2/$L33)-INT((DB$2-1)/$L33))*$U33*((1+Inputs!$D$7)^DB$2))),(Inputs!$D$8^((1-_xlfn.WEIBULL.DIST(DB$2,$M33,$L33,FALSE))/_xlfn.WEIBULL.DIST(DB$2,$M33,$L33,FALSE))*$U33*((1+Inputs!$D$7)^DB$2))),IF($N33=Lists!$K$3,IF($L33&lt;1,((($T33*(1-$F33)+$S33*(1-$G33))/$L33)*((1+Inputs!$D$7)^DB$2)),((INT(DB$2/$L33)-INT((DB$2-1)/$L33))*($T33*(1-$F33)+$S33*(1-$G33))*((1+Inputs!$D$7)^DB$2))),((Inputs!$D$8^((1-_xlfn.WEIBULL.DIST(DB$2,$M33,$L33,FALSE))/_xlfn.WEIBULL.DIST(DB$2,$M33,$L33,FALSE))*($T33*(1-$F33)+$S33*(1-$G33))*((1+Inputs!$D$7)^DB$2))))))))</f>
        <v>0</v>
      </c>
      <c r="DC33" s="88">
        <f>MAX(BM33,($E33*IF(DC$2&gt;Inputs!$D$5,0,IF(DC$2&gt;VLOOKUP($H33,Lists!$P$3:$Q$7,2),IF($N33=Lists!$K$3,IF($L33&lt;1,(($U33/$L33)*((1+Inputs!$D$7)^DC$2)),((INT(DC$2/$L33)-INT((DC$2-1)/$L33))*$U33*((1+Inputs!$D$7)^DC$2))),(Inputs!$D$8^((1-_xlfn.WEIBULL.DIST(DC$2,$M33,$L33,FALSE))/_xlfn.WEIBULL.DIST(DC$2,$M33,$L33,FALSE))*$U33*((1+Inputs!$D$7)^DC$2))),IF($N33=Lists!$K$3,IF($L33&lt;1,((($T33*(1-$F33)+$S33*(1-$G33))/$L33)*((1+Inputs!$D$7)^DC$2)),((INT(DC$2/$L33)-INT((DC$2-1)/$L33))*($T33*(1-$F33)+$S33*(1-$G33))*((1+Inputs!$D$7)^DC$2))),((Inputs!$D$8^((1-_xlfn.WEIBULL.DIST(DC$2,$M33,$L33,FALSE))/_xlfn.WEIBULL.DIST(DC$2,$M33,$L33,FALSE))*($T33*(1-$F33)+$S33*(1-$G33))*((1+Inputs!$D$7)^DC$2))))))))</f>
        <v>0</v>
      </c>
      <c r="DD33" s="88">
        <f>MAX(BN33,($E33*IF(DD$2&gt;Inputs!$D$5,0,IF(DD$2&gt;VLOOKUP($H33,Lists!$P$3:$Q$7,2),IF($N33=Lists!$K$3,IF($L33&lt;1,(($U33/$L33)*((1+Inputs!$D$7)^DD$2)),((INT(DD$2/$L33)-INT((DD$2-1)/$L33))*$U33*((1+Inputs!$D$7)^DD$2))),(Inputs!$D$8^((1-_xlfn.WEIBULL.DIST(DD$2,$M33,$L33,FALSE))/_xlfn.WEIBULL.DIST(DD$2,$M33,$L33,FALSE))*$U33*((1+Inputs!$D$7)^DD$2))),IF($N33=Lists!$K$3,IF($L33&lt;1,((($T33*(1-$F33)+$S33*(1-$G33))/$L33)*((1+Inputs!$D$7)^DD$2)),((INT(DD$2/$L33)-INT((DD$2-1)/$L33))*($T33*(1-$F33)+$S33*(1-$G33))*((1+Inputs!$D$7)^DD$2))),((Inputs!$D$8^((1-_xlfn.WEIBULL.DIST(DD$2,$M33,$L33,FALSE))/_xlfn.WEIBULL.DIST(DD$2,$M33,$L33,FALSE))*($T33*(1-$F33)+$S33*(1-$G33))*((1+Inputs!$D$7)^DD$2))))))))</f>
        <v>0</v>
      </c>
    </row>
    <row r="34" spans="1:108" s="1" customFormat="1" ht="16">
      <c r="A34" s="57" t="s">
        <v>188</v>
      </c>
      <c r="B34" s="13" t="s">
        <v>130</v>
      </c>
      <c r="C34" s="13" t="s">
        <v>474</v>
      </c>
      <c r="D34" s="13" t="s">
        <v>16</v>
      </c>
      <c r="E34" s="48">
        <f>IF(Inputs!$D$30=Lists!$M$4,1,0)</f>
        <v>1</v>
      </c>
      <c r="F34" s="48">
        <v>1</v>
      </c>
      <c r="G34" s="48">
        <v>0</v>
      </c>
      <c r="H34" s="105" t="s">
        <v>16</v>
      </c>
      <c r="I34" s="14" t="s">
        <v>264</v>
      </c>
      <c r="J34" s="14" t="s">
        <v>91</v>
      </c>
      <c r="K34" s="13">
        <f>VLOOKUP(J34,'Labor Rates'!$A$1:$F$16,2)</f>
        <v>33.17307692307692</v>
      </c>
      <c r="L34" s="15">
        <v>20</v>
      </c>
      <c r="M34" s="15">
        <v>1</v>
      </c>
      <c r="N34" s="16" t="s">
        <v>226</v>
      </c>
      <c r="O34" s="61">
        <f>Inputs!$D$32</f>
        <v>10</v>
      </c>
      <c r="P34" s="15">
        <v>2</v>
      </c>
      <c r="Q34" s="15">
        <f t="shared" si="0"/>
        <v>1</v>
      </c>
      <c r="R34" s="4">
        <f>0.03*Inputs!$D$33*1000</f>
        <v>30000</v>
      </c>
      <c r="S34" s="53">
        <f t="shared" si="1"/>
        <v>663.46153846153834</v>
      </c>
      <c r="T34" s="53">
        <f t="shared" si="2"/>
        <v>300000</v>
      </c>
      <c r="U34" s="54">
        <f t="shared" si="3"/>
        <v>300663.46153846156</v>
      </c>
      <c r="V34" s="65"/>
      <c r="W34" s="58"/>
      <c r="X34" s="64">
        <f t="shared" si="4"/>
        <v>4738.8362327363011</v>
      </c>
      <c r="Y34" s="64">
        <f>NPV(Inputs!$D$6,AA34:BN34)</f>
        <v>42498.413526807009</v>
      </c>
      <c r="Z34" s="67">
        <f t="shared" si="5"/>
        <v>2.0044326621876187E-2</v>
      </c>
      <c r="AA34" s="88">
        <f>$E34*IF(AA$2&gt;Inputs!$D$5,0,IF(AA$2&gt;VLOOKUP($H34,Lists!$P$3:$Q$7,2),IF($N34=Lists!$K$3,IF($L34&lt;1,(($U34/$L34)*((1+Inputs!$D$7)^AA$2)),((INT(AA$2/$L34)-INT((AA$2-1)/$L34))*$U34*((1+Inputs!$D$7)^AA$2))),(_xlfn.WEIBULL.DIST(AA$2,$M34,$L34,FALSE)*$U34*((1+Inputs!$D$7)^AA$2))),IF($N34=Lists!$K$3,IF($L34&lt;1,((($T34*(1-$F34)+$S34*(1-$G34))/$L34)*((1+Inputs!$D$7)^AA$2)),((INT(AA$2/$L34)-INT((AA$2-1)/$L34))*($T34*(1-$F34)+$S34*(1-$G34))*((1+Inputs!$D$7)^AA$2))),((_xlfn.WEIBULL.DIST(AA$2,$M34,$L34,FALSE)*($T34*(1-$F34)+$S34*(1-$G34))*((1+Inputs!$D$7)^AA$2))))))</f>
        <v>32.186311007865505</v>
      </c>
      <c r="AB34" s="88">
        <f>$E34*IF(AB$2&gt;Inputs!$D$5,0,IF(AB$2&gt;VLOOKUP($H34,Lists!$P$3:$Q$7,2),IF($N34=Lists!$K$3,IF($L34&lt;1,(($U34/$L34)*((1+Inputs!$D$7)^AB$2)),((INT(AB$2/$L34)-INT((AB$2-1)/$L34))*$U34*((1+Inputs!$D$7)^AB$2))),(_xlfn.WEIBULL.DIST(AB$2,$M34,$L34,FALSE)*$U34*((1+Inputs!$D$7)^AB$2))),IF($N34=Lists!$K$3,IF($L34&lt;1,((($T34*(1-$F34)+$S34*(1-$G34))/$L34)*((1+Inputs!$D$7)^AB$2)),((INT(AB$2/$L34)-INT((AB$2-1)/$L34))*($T34*(1-$F34)+$S34*(1-$G34))*((1+Inputs!$D$7)^AB$2))),((_xlfn.WEIBULL.DIST(AB$2,$M34,$L34,FALSE)*($T34*(1-$F34)+$S34*(1-$G34))*((1+Inputs!$D$7)^AB$2))))))</f>
        <v>31.22889741874916</v>
      </c>
      <c r="AC34" s="88">
        <f>$E34*IF(AC$2&gt;Inputs!$D$5,0,IF(AC$2&gt;VLOOKUP($H34,Lists!$P$3:$Q$7,2),IF($N34=Lists!$K$3,IF($L34&lt;1,(($U34/$L34)*((1+Inputs!$D$7)^AC$2)),((INT(AC$2/$L34)-INT((AC$2-1)/$L34))*$U34*((1+Inputs!$D$7)^AC$2))),(_xlfn.WEIBULL.DIST(AC$2,$M34,$L34,FALSE)*$U34*((1+Inputs!$D$7)^AC$2))),IF($N34=Lists!$K$3,IF($L34&lt;1,((($T34*(1-$F34)+$S34*(1-$G34))/$L34)*((1+Inputs!$D$7)^AC$2)),((INT(AC$2/$L34)-INT((AC$2-1)/$L34))*($T34*(1-$F34)+$S34*(1-$G34))*((1+Inputs!$D$7)^AC$2))),((_xlfn.WEIBULL.DIST(AC$2,$M34,$L34,FALSE)*($T34*(1-$F34)+$S34*(1-$G34))*((1+Inputs!$D$7)^AC$2))))))</f>
        <v>30.299963041817168</v>
      </c>
      <c r="AD34" s="88">
        <f>$E34*IF(AD$2&gt;Inputs!$D$5,0,IF(AD$2&gt;VLOOKUP($H34,Lists!$P$3:$Q$7,2),IF($N34=Lists!$K$3,IF($L34&lt;1,(($U34/$L34)*((1+Inputs!$D$7)^AD$2)),((INT(AD$2/$L34)-INT((AD$2-1)/$L34))*$U34*((1+Inputs!$D$7)^AD$2))),(_xlfn.WEIBULL.DIST(AD$2,$M34,$L34,FALSE)*$U34*((1+Inputs!$D$7)^AD$2))),IF($N34=Lists!$K$3,IF($L34&lt;1,((($T34*(1-$F34)+$S34*(1-$G34))/$L34)*((1+Inputs!$D$7)^AD$2)),((INT(AD$2/$L34)-INT((AD$2-1)/$L34))*($T34*(1-$F34)+$S34*(1-$G34))*((1+Inputs!$D$7)^AD$2))),((_xlfn.WEIBULL.DIST(AD$2,$M34,$L34,FALSE)*($T34*(1-$F34)+$S34*(1-$G34))*((1+Inputs!$D$7)^AD$2))))))</f>
        <v>29.398660734793861</v>
      </c>
      <c r="AE34" s="88">
        <f>$E34*IF(AE$2&gt;Inputs!$D$5,0,IF(AE$2&gt;VLOOKUP($H34,Lists!$P$3:$Q$7,2),IF($N34=Lists!$K$3,IF($L34&lt;1,(($U34/$L34)*((1+Inputs!$D$7)^AE$2)),((INT(AE$2/$L34)-INT((AE$2-1)/$L34))*$U34*((1+Inputs!$D$7)^AE$2))),(_xlfn.WEIBULL.DIST(AE$2,$M34,$L34,FALSE)*$U34*((1+Inputs!$D$7)^AE$2))),IF($N34=Lists!$K$3,IF($L34&lt;1,((($T34*(1-$F34)+$S34*(1-$G34))/$L34)*((1+Inputs!$D$7)^AE$2)),((INT(AE$2/$L34)-INT((AE$2-1)/$L34))*($T34*(1-$F34)+$S34*(1-$G34))*((1+Inputs!$D$7)^AE$2))),((_xlfn.WEIBULL.DIST(AE$2,$M34,$L34,FALSE)*($T34*(1-$F34)+$S34*(1-$G34))*((1+Inputs!$D$7)^AE$2))))))</f>
        <v>28.524168554486696</v>
      </c>
      <c r="AF34" s="88">
        <f>$E34*IF(AF$2&gt;Inputs!$D$5,0,IF(AF$2&gt;VLOOKUP($H34,Lists!$P$3:$Q$7,2),IF($N34=Lists!$K$3,IF($L34&lt;1,(($U34/$L34)*((1+Inputs!$D$7)^AF$2)),((INT(AF$2/$L34)-INT((AF$2-1)/$L34))*$U34*((1+Inputs!$D$7)^AF$2))),(_xlfn.WEIBULL.DIST(AF$2,$M34,$L34,FALSE)*$U34*((1+Inputs!$D$7)^AF$2))),IF($N34=Lists!$K$3,IF($L34&lt;1,((($T34*(1-$F34)+$S34*(1-$G34))/$L34)*((1+Inputs!$D$7)^AF$2)),((INT(AF$2/$L34)-INT((AF$2-1)/$L34))*($T34*(1-$F34)+$S34*(1-$G34))*((1+Inputs!$D$7)^AF$2))),((_xlfn.WEIBULL.DIST(AF$2,$M34,$L34,FALSE)*($T34*(1-$F34)+$S34*(1-$G34))*((1+Inputs!$D$7)^AF$2))))))</f>
        <v>27.675689007214665</v>
      </c>
      <c r="AG34" s="88">
        <f>$E34*IF(AG$2&gt;Inputs!$D$5,0,IF(AG$2&gt;VLOOKUP($H34,Lists!$P$3:$Q$7,2),IF($N34=Lists!$K$3,IF($L34&lt;1,(($U34/$L34)*((1+Inputs!$D$7)^AG$2)),((INT(AG$2/$L34)-INT((AG$2-1)/$L34))*$U34*((1+Inputs!$D$7)^AG$2))),(_xlfn.WEIBULL.DIST(AG$2,$M34,$L34,FALSE)*$U34*((1+Inputs!$D$7)^AG$2))),IF($N34=Lists!$K$3,IF($L34&lt;1,((($T34*(1-$F34)+$S34*(1-$G34))/$L34)*((1+Inputs!$D$7)^AG$2)),((INT(AG$2/$L34)-INT((AG$2-1)/$L34))*($T34*(1-$F34)+$S34*(1-$G34))*((1+Inputs!$D$7)^AG$2))),((_xlfn.WEIBULL.DIST(AG$2,$M34,$L34,FALSE)*($T34*(1-$F34)+$S34*(1-$G34))*((1+Inputs!$D$7)^AG$2))))))</f>
        <v>26.852448321533402</v>
      </c>
      <c r="AH34" s="88">
        <f>$E34*IF(AH$2&gt;Inputs!$D$5,0,IF(AH$2&gt;VLOOKUP($H34,Lists!$P$3:$Q$7,2),IF($N34=Lists!$K$3,IF($L34&lt;1,(($U34/$L34)*((1+Inputs!$D$7)^AH$2)),((INT(AH$2/$L34)-INT((AH$2-1)/$L34))*$U34*((1+Inputs!$D$7)^AH$2))),(_xlfn.WEIBULL.DIST(AH$2,$M34,$L34,FALSE)*$U34*((1+Inputs!$D$7)^AH$2))),IF($N34=Lists!$K$3,IF($L34&lt;1,((($T34*(1-$F34)+$S34*(1-$G34))/$L34)*((1+Inputs!$D$7)^AH$2)),((INT(AH$2/$L34)-INT((AH$2-1)/$L34))*($T34*(1-$F34)+$S34*(1-$G34))*((1+Inputs!$D$7)^AH$2))),((_xlfn.WEIBULL.DIST(AH$2,$M34,$L34,FALSE)*($T34*(1-$F34)+$S34*(1-$G34))*((1+Inputs!$D$7)^AH$2))))))</f>
        <v>26.053695742593934</v>
      </c>
      <c r="AI34" s="88">
        <f>$E34*IF(AI$2&gt;Inputs!$D$5,0,IF(AI$2&gt;VLOOKUP($H34,Lists!$P$3:$Q$7,2),IF($N34=Lists!$K$3,IF($L34&lt;1,(($U34/$L34)*((1+Inputs!$D$7)^AI$2)),((INT(AI$2/$L34)-INT((AI$2-1)/$L34))*$U34*((1+Inputs!$D$7)^AI$2))),(_xlfn.WEIBULL.DIST(AI$2,$M34,$L34,FALSE)*$U34*((1+Inputs!$D$7)^AI$2))),IF($N34=Lists!$K$3,IF($L34&lt;1,((($T34*(1-$F34)+$S34*(1-$G34))/$L34)*((1+Inputs!$D$7)^AI$2)),((INT(AI$2/$L34)-INT((AI$2-1)/$L34))*($T34*(1-$F34)+$S34*(1-$G34))*((1+Inputs!$D$7)^AI$2))),((_xlfn.WEIBULL.DIST(AI$2,$M34,$L34,FALSE)*($T34*(1-$F34)+$S34*(1-$G34))*((1+Inputs!$D$7)^AI$2))))))</f>
        <v>25.278702847491218</v>
      </c>
      <c r="AJ34" s="88">
        <f>$E34*IF(AJ$2&gt;Inputs!$D$5,0,IF(AJ$2&gt;VLOOKUP($H34,Lists!$P$3:$Q$7,2),IF($N34=Lists!$K$3,IF($L34&lt;1,(($U34/$L34)*((1+Inputs!$D$7)^AJ$2)),((INT(AJ$2/$L34)-INT((AJ$2-1)/$L34))*$U34*((1+Inputs!$D$7)^AJ$2))),(_xlfn.WEIBULL.DIST(AJ$2,$M34,$L34,FALSE)*$U34*((1+Inputs!$D$7)^AJ$2))),IF($N34=Lists!$K$3,IF($L34&lt;1,((($T34*(1-$F34)+$S34*(1-$G34))/$L34)*((1+Inputs!$D$7)^AJ$2)),((INT(AJ$2/$L34)-INT((AJ$2-1)/$L34))*($T34*(1-$F34)+$S34*(1-$G34))*((1+Inputs!$D$7)^AJ$2))),((_xlfn.WEIBULL.DIST(AJ$2,$M34,$L34,FALSE)*($T34*(1-$F34)+$S34*(1-$G34))*((1+Inputs!$D$7)^AJ$2))))))</f>
        <v>24.526762880978502</v>
      </c>
      <c r="AK34" s="88">
        <f>$E34*IF(AK$2&gt;Inputs!$D$5,0,IF(AK$2&gt;VLOOKUP($H34,Lists!$P$3:$Q$7,2),IF($N34=Lists!$K$3,IF($L34&lt;1,(($U34/$L34)*((1+Inputs!$D$7)^AK$2)),((INT(AK$2/$L34)-INT((AK$2-1)/$L34))*$U34*((1+Inputs!$D$7)^AK$2))),(_xlfn.WEIBULL.DIST(AK$2,$M34,$L34,FALSE)*$U34*((1+Inputs!$D$7)^AK$2))),IF($N34=Lists!$K$3,IF($L34&lt;1,((($T34*(1-$F34)+$S34*(1-$G34))/$L34)*((1+Inputs!$D$7)^AK$2)),((INT(AK$2/$L34)-INT((AK$2-1)/$L34))*($T34*(1-$F34)+$S34*(1-$G34))*((1+Inputs!$D$7)^AK$2))),((_xlfn.WEIBULL.DIST(AK$2,$M34,$L34,FALSE)*($T34*(1-$F34)+$S34*(1-$G34))*((1+Inputs!$D$7)^AK$2))))))</f>
        <v>10784.265762014893</v>
      </c>
      <c r="AL34" s="88">
        <f>$E34*IF(AL$2&gt;Inputs!$D$5,0,IF(AL$2&gt;VLOOKUP($H34,Lists!$P$3:$Q$7,2),IF($N34=Lists!$K$3,IF($L34&lt;1,(($U34/$L34)*((1+Inputs!$D$7)^AL$2)),((INT(AL$2/$L34)-INT((AL$2-1)/$L34))*$U34*((1+Inputs!$D$7)^AL$2))),(_xlfn.WEIBULL.DIST(AL$2,$M34,$L34,FALSE)*$U34*((1+Inputs!$D$7)^AL$2))),IF($N34=Lists!$K$3,IF($L34&lt;1,((($T34*(1-$F34)+$S34*(1-$G34))/$L34)*((1+Inputs!$D$7)^AL$2)),((INT(AL$2/$L34)-INT((AL$2-1)/$L34))*($T34*(1-$F34)+$S34*(1-$G34))*((1+Inputs!$D$7)^AL$2))),((_xlfn.WEIBULL.DIST(AL$2,$M34,$L34,FALSE)*($T34*(1-$F34)+$S34*(1-$G34))*((1+Inputs!$D$7)^AL$2))))))</f>
        <v>10463.477132753467</v>
      </c>
      <c r="AM34" s="88">
        <f>$E34*IF(AM$2&gt;Inputs!$D$5,0,IF(AM$2&gt;VLOOKUP($H34,Lists!$P$3:$Q$7,2),IF($N34=Lists!$K$3,IF($L34&lt;1,(($U34/$L34)*((1+Inputs!$D$7)^AM$2)),((INT(AM$2/$L34)-INT((AM$2-1)/$L34))*$U34*((1+Inputs!$D$7)^AM$2))),(_xlfn.WEIBULL.DIST(AM$2,$M34,$L34,FALSE)*$U34*((1+Inputs!$D$7)^AM$2))),IF($N34=Lists!$K$3,IF($L34&lt;1,((($T34*(1-$F34)+$S34*(1-$G34))/$L34)*((1+Inputs!$D$7)^AM$2)),((INT(AM$2/$L34)-INT((AM$2-1)/$L34))*($T34*(1-$F34)+$S34*(1-$G34))*((1+Inputs!$D$7)^AM$2))),((_xlfn.WEIBULL.DIST(AM$2,$M34,$L34,FALSE)*($T34*(1-$F34)+$S34*(1-$G34))*((1+Inputs!$D$7)^AM$2))))))</f>
        <v>10152.23067789077</v>
      </c>
      <c r="AN34" s="88">
        <f>$E34*IF(AN$2&gt;Inputs!$D$5,0,IF(AN$2&gt;VLOOKUP($H34,Lists!$P$3:$Q$7,2),IF($N34=Lists!$K$3,IF($L34&lt;1,(($U34/$L34)*((1+Inputs!$D$7)^AN$2)),((INT(AN$2/$L34)-INT((AN$2-1)/$L34))*$U34*((1+Inputs!$D$7)^AN$2))),(_xlfn.WEIBULL.DIST(AN$2,$M34,$L34,FALSE)*$U34*((1+Inputs!$D$7)^AN$2))),IF($N34=Lists!$K$3,IF($L34&lt;1,((($T34*(1-$F34)+$S34*(1-$G34))/$L34)*((1+Inputs!$D$7)^AN$2)),((INT(AN$2/$L34)-INT((AN$2-1)/$L34))*($T34*(1-$F34)+$S34*(1-$G34))*((1+Inputs!$D$7)^AN$2))),((_xlfn.WEIBULL.DIST(AN$2,$M34,$L34,FALSE)*($T34*(1-$F34)+$S34*(1-$G34))*((1+Inputs!$D$7)^AN$2))))))</f>
        <v>9850.2425560311021</v>
      </c>
      <c r="AO34" s="88">
        <f>$E34*IF(AO$2&gt;Inputs!$D$5,0,IF(AO$2&gt;VLOOKUP($H34,Lists!$P$3:$Q$7,2),IF($N34=Lists!$K$3,IF($L34&lt;1,(($U34/$L34)*((1+Inputs!$D$7)^AO$2)),((INT(AO$2/$L34)-INT((AO$2-1)/$L34))*$U34*((1+Inputs!$D$7)^AO$2))),(_xlfn.WEIBULL.DIST(AO$2,$M34,$L34,FALSE)*$U34*((1+Inputs!$D$7)^AO$2))),IF($N34=Lists!$K$3,IF($L34&lt;1,((($T34*(1-$F34)+$S34*(1-$G34))/$L34)*((1+Inputs!$D$7)^AO$2)),((INT(AO$2/$L34)-INT((AO$2-1)/$L34))*($T34*(1-$F34)+$S34*(1-$G34))*((1+Inputs!$D$7)^AO$2))),((_xlfn.WEIBULL.DIST(AO$2,$M34,$L34,FALSE)*($T34*(1-$F34)+$S34*(1-$G34))*((1+Inputs!$D$7)^AO$2))))))</f>
        <v>9557.2373689212236</v>
      </c>
      <c r="AP34" s="88">
        <f>$E34*IF(AP$2&gt;Inputs!$D$5,0,IF(AP$2&gt;VLOOKUP($H34,Lists!$P$3:$Q$7,2),IF($N34=Lists!$K$3,IF($L34&lt;1,(($U34/$L34)*((1+Inputs!$D$7)^AP$2)),((INT(AP$2/$L34)-INT((AP$2-1)/$L34))*$U34*((1+Inputs!$D$7)^AP$2))),(_xlfn.WEIBULL.DIST(AP$2,$M34,$L34,FALSE)*$U34*((1+Inputs!$D$7)^AP$2))),IF($N34=Lists!$K$3,IF($L34&lt;1,((($T34*(1-$F34)+$S34*(1-$G34))/$L34)*((1+Inputs!$D$7)^AP$2)),((INT(AP$2/$L34)-INT((AP$2-1)/$L34))*($T34*(1-$F34)+$S34*(1-$G34))*((1+Inputs!$D$7)^AP$2))),((_xlfn.WEIBULL.DIST(AP$2,$M34,$L34,FALSE)*($T34*(1-$F34)+$S34*(1-$G34))*((1+Inputs!$D$7)^AP$2))))))</f>
        <v>9272.947910300767</v>
      </c>
      <c r="AQ34" s="88">
        <f>$E34*IF(AQ$2&gt;Inputs!$D$5,0,IF(AQ$2&gt;VLOOKUP($H34,Lists!$P$3:$Q$7,2),IF($N34=Lists!$K$3,IF($L34&lt;1,(($U34/$L34)*((1+Inputs!$D$7)^AQ$2)),((INT(AQ$2/$L34)-INT((AQ$2-1)/$L34))*$U34*((1+Inputs!$D$7)^AQ$2))),(_xlfn.WEIBULL.DIST(AQ$2,$M34,$L34,FALSE)*$U34*((1+Inputs!$D$7)^AQ$2))),IF($N34=Lists!$K$3,IF($L34&lt;1,((($T34*(1-$F34)+$S34*(1-$G34))/$L34)*((1+Inputs!$D$7)^AQ$2)),((INT(AQ$2/$L34)-INT((AQ$2-1)/$L34))*($T34*(1-$F34)+$S34*(1-$G34))*((1+Inputs!$D$7)^AQ$2))),((_xlfn.WEIBULL.DIST(AQ$2,$M34,$L34,FALSE)*($T34*(1-$F34)+$S34*(1-$G34))*((1+Inputs!$D$7)^AQ$2))))))</f>
        <v>8997.1149222233089</v>
      </c>
      <c r="AR34" s="88">
        <f>$E34*IF(AR$2&gt;Inputs!$D$5,0,IF(AR$2&gt;VLOOKUP($H34,Lists!$P$3:$Q$7,2),IF($N34=Lists!$K$3,IF($L34&lt;1,(($U34/$L34)*((1+Inputs!$D$7)^AR$2)),((INT(AR$2/$L34)-INT((AR$2-1)/$L34))*$U34*((1+Inputs!$D$7)^AR$2))),(_xlfn.WEIBULL.DIST(AR$2,$M34,$L34,FALSE)*$U34*((1+Inputs!$D$7)^AR$2))),IF($N34=Lists!$K$3,IF($L34&lt;1,((($T34*(1-$F34)+$S34*(1-$G34))/$L34)*((1+Inputs!$D$7)^AR$2)),((INT(AR$2/$L34)-INT((AR$2-1)/$L34))*($T34*(1-$F34)+$S34*(1-$G34))*((1+Inputs!$D$7)^AR$2))),((_xlfn.WEIBULL.DIST(AR$2,$M34,$L34,FALSE)*($T34*(1-$F34)+$S34*(1-$G34))*((1+Inputs!$D$7)^AR$2))))))</f>
        <v>8729.486858625929</v>
      </c>
      <c r="AS34" s="88">
        <f>$E34*IF(AS$2&gt;Inputs!$D$5,0,IF(AS$2&gt;VLOOKUP($H34,Lists!$P$3:$Q$7,2),IF($N34=Lists!$K$3,IF($L34&lt;1,(($U34/$L34)*((1+Inputs!$D$7)^AS$2)),((INT(AS$2/$L34)-INT((AS$2-1)/$L34))*$U34*((1+Inputs!$D$7)^AS$2))),(_xlfn.WEIBULL.DIST(AS$2,$M34,$L34,FALSE)*$U34*((1+Inputs!$D$7)^AS$2))),IF($N34=Lists!$K$3,IF($L34&lt;1,((($T34*(1-$F34)+$S34*(1-$G34))/$L34)*((1+Inputs!$D$7)^AS$2)),((INT(AS$2/$L34)-INT((AS$2-1)/$L34))*($T34*(1-$F34)+$S34*(1-$G34))*((1+Inputs!$D$7)^AS$2))),((_xlfn.WEIBULL.DIST(AS$2,$M34,$L34,FALSE)*($T34*(1-$F34)+$S34*(1-$G34))*((1+Inputs!$D$7)^AS$2))))))</f>
        <v>8469.819655931633</v>
      </c>
      <c r="AT34" s="88">
        <f>$E34*IF(AT$2&gt;Inputs!$D$5,0,IF(AT$2&gt;VLOOKUP($H34,Lists!$P$3:$Q$7,2),IF($N34=Lists!$K$3,IF($L34&lt;1,(($U34/$L34)*((1+Inputs!$D$7)^AT$2)),((INT(AT$2/$L34)-INT((AT$2-1)/$L34))*$U34*((1+Inputs!$D$7)^AT$2))),(_xlfn.WEIBULL.DIST(AT$2,$M34,$L34,FALSE)*$U34*((1+Inputs!$D$7)^AT$2))),IF($N34=Lists!$K$3,IF($L34&lt;1,((($T34*(1-$F34)+$S34*(1-$G34))/$L34)*((1+Inputs!$D$7)^AT$2)),((INT(AT$2/$L34)-INT((AT$2-1)/$L34))*($T34*(1-$F34)+$S34*(1-$G34))*((1+Inputs!$D$7)^AT$2))),((_xlfn.WEIBULL.DIST(AT$2,$M34,$L34,FALSE)*($T34*(1-$F34)+$S34*(1-$G34))*((1+Inputs!$D$7)^AT$2))))))</f>
        <v>8217.8765104754184</v>
      </c>
      <c r="AU34" s="88">
        <f>$E34*IF(AU$2&gt;Inputs!$D$5,0,IF(AU$2&gt;VLOOKUP($H34,Lists!$P$3:$Q$7,2),IF($N34=Lists!$K$3,IF($L34&lt;1,(($U34/$L34)*((1+Inputs!$D$7)^AU$2)),((INT(AU$2/$L34)-INT((AU$2-1)/$L34))*$U34*((1+Inputs!$D$7)^AU$2))),(_xlfn.WEIBULL.DIST(AU$2,$M34,$L34,FALSE)*$U34*((1+Inputs!$D$7)^AU$2))),IF($N34=Lists!$K$3,IF($L34&lt;1,((($T34*(1-$F34)+$S34*(1-$G34))/$L34)*((1+Inputs!$D$7)^AU$2)),((INT(AU$2/$L34)-INT((AU$2-1)/$L34))*($T34*(1-$F34)+$S34*(1-$G34))*((1+Inputs!$D$7)^AU$2))),((_xlfn.WEIBULL.DIST(AU$2,$M34,$L34,FALSE)*($T34*(1-$F34)+$S34*(1-$G34))*((1+Inputs!$D$7)^AU$2))))))</f>
        <v>7973.4276625510156</v>
      </c>
      <c r="AV34" s="88">
        <f>$E34*IF(AV$2&gt;Inputs!$D$5,0,IF(AV$2&gt;VLOOKUP($H34,Lists!$P$3:$Q$7,2),IF($N34=Lists!$K$3,IF($L34&lt;1,(($U34/$L34)*((1+Inputs!$D$7)^AV$2)),((INT(AV$2/$L34)-INT((AV$2-1)/$L34))*$U34*((1+Inputs!$D$7)^AV$2))),(_xlfn.WEIBULL.DIST(AV$2,$M34,$L34,FALSE)*$U34*((1+Inputs!$D$7)^AV$2))),IF($N34=Lists!$K$3,IF($L34&lt;1,((($T34*(1-$F34)+$S34*(1-$G34))/$L34)*((1+Inputs!$D$7)^AV$2)),((INT(AV$2/$L34)-INT((AV$2-1)/$L34))*($T34*(1-$F34)+$S34*(1-$G34))*((1+Inputs!$D$7)^AV$2))),((_xlfn.WEIBULL.DIST(AV$2,$M34,$L34,FALSE)*($T34*(1-$F34)+$S34*(1-$G34))*((1+Inputs!$D$7)^AV$2))))))</f>
        <v>7736.2501868814061</v>
      </c>
      <c r="AW34" s="88">
        <f>$E34*IF(AW$2&gt;Inputs!$D$5,0,IF(AW$2&gt;VLOOKUP($H34,Lists!$P$3:$Q$7,2),IF($N34=Lists!$K$3,IF($L34&lt;1,(($U34/$L34)*((1+Inputs!$D$7)^AW$2)),((INT(AW$2/$L34)-INT((AW$2-1)/$L34))*$U34*((1+Inputs!$D$7)^AW$2))),(_xlfn.WEIBULL.DIST(AW$2,$M34,$L34,FALSE)*$U34*((1+Inputs!$D$7)^AW$2))),IF($N34=Lists!$K$3,IF($L34&lt;1,((($T34*(1-$F34)+$S34*(1-$G34))/$L34)*((1+Inputs!$D$7)^AW$2)),((INT(AW$2/$L34)-INT((AW$2-1)/$L34))*($T34*(1-$F34)+$S34*(1-$G34))*((1+Inputs!$D$7)^AW$2))),((_xlfn.WEIBULL.DIST(AW$2,$M34,$L34,FALSE)*($T34*(1-$F34)+$S34*(1-$G34))*((1+Inputs!$D$7)^AW$2))))))</f>
        <v>7506.1277893219549</v>
      </c>
      <c r="AX34" s="88">
        <f>$E34*IF(AX$2&gt;Inputs!$D$5,0,IF(AX$2&gt;VLOOKUP($H34,Lists!$P$3:$Q$7,2),IF($N34=Lists!$K$3,IF($L34&lt;1,(($U34/$L34)*((1+Inputs!$D$7)^AX$2)),((INT(AX$2/$L34)-INT((AX$2-1)/$L34))*$U34*((1+Inputs!$D$7)^AX$2))),(_xlfn.WEIBULL.DIST(AX$2,$M34,$L34,FALSE)*$U34*((1+Inputs!$D$7)^AX$2))),IF($N34=Lists!$K$3,IF($L34&lt;1,((($T34*(1-$F34)+$S34*(1-$G34))/$L34)*((1+Inputs!$D$7)^AX$2)),((INT(AX$2/$L34)-INT((AX$2-1)/$L34))*($T34*(1-$F34)+$S34*(1-$G34))*((1+Inputs!$D$7)^AX$2))),((_xlfn.WEIBULL.DIST(AX$2,$M34,$L34,FALSE)*($T34*(1-$F34)+$S34*(1-$G34))*((1+Inputs!$D$7)^AX$2))))))</f>
        <v>7282.8506096108522</v>
      </c>
      <c r="AY34" s="88">
        <f>$E34*IF(AY$2&gt;Inputs!$D$5,0,IF(AY$2&gt;VLOOKUP($H34,Lists!$P$3:$Q$7,2),IF($N34=Lists!$K$3,IF($L34&lt;1,(($U34/$L34)*((1+Inputs!$D$7)^AY$2)),((INT(AY$2/$L34)-INT((AY$2-1)/$L34))*$U34*((1+Inputs!$D$7)^AY$2))),(_xlfn.WEIBULL.DIST(AY$2,$M34,$L34,FALSE)*$U34*((1+Inputs!$D$7)^AY$2))),IF($N34=Lists!$K$3,IF($L34&lt;1,((($T34*(1-$F34)+$S34*(1-$G34))/$L34)*((1+Inputs!$D$7)^AY$2)),((INT(AY$2/$L34)-INT((AY$2-1)/$L34))*($T34*(1-$F34)+$S34*(1-$G34))*((1+Inputs!$D$7)^AY$2))),((_xlfn.WEIBULL.DIST(AY$2,$M34,$L34,FALSE)*($T34*(1-$F34)+$S34*(1-$G34))*((1+Inputs!$D$7)^AY$2))))))</f>
        <v>7066.2150299868999</v>
      </c>
      <c r="AZ34" s="88">
        <f>$E34*IF(AZ$2&gt;Inputs!$D$5,0,IF(AZ$2&gt;VLOOKUP($H34,Lists!$P$3:$Q$7,2),IF($N34=Lists!$K$3,IF($L34&lt;1,(($U34/$L34)*((1+Inputs!$D$7)^AZ$2)),((INT(AZ$2/$L34)-INT((AZ$2-1)/$L34))*$U34*((1+Inputs!$D$7)^AZ$2))),(_xlfn.WEIBULL.DIST(AZ$2,$M34,$L34,FALSE)*$U34*((1+Inputs!$D$7)^AZ$2))),IF($N34=Lists!$K$3,IF($L34&lt;1,((($T34*(1-$F34)+$S34*(1-$G34))/$L34)*((1+Inputs!$D$7)^AZ$2)),((INT(AZ$2/$L34)-INT((AZ$2-1)/$L34))*($T34*(1-$F34)+$S34*(1-$G34))*((1+Inputs!$D$7)^AZ$2))),((_xlfn.WEIBULL.DIST(AZ$2,$M34,$L34,FALSE)*($T34*(1-$F34)+$S34*(1-$G34))*((1+Inputs!$D$7)^AZ$2))))))</f>
        <v>0</v>
      </c>
      <c r="BA34" s="88">
        <f>$E34*IF(BA$2&gt;Inputs!$D$5,0,IF(BA$2&gt;VLOOKUP($H34,Lists!$P$3:$Q$7,2),IF($N34=Lists!$K$3,IF($L34&lt;1,(($U34/$L34)*((1+Inputs!$D$7)^BA$2)),((INT(BA$2/$L34)-INT((BA$2-1)/$L34))*$U34*((1+Inputs!$D$7)^BA$2))),(_xlfn.WEIBULL.DIST(BA$2,$M34,$L34,FALSE)*$U34*((1+Inputs!$D$7)^BA$2))),IF($N34=Lists!$K$3,IF($L34&lt;1,((($T34*(1-$F34)+$S34*(1-$G34))/$L34)*((1+Inputs!$D$7)^BA$2)),((INT(BA$2/$L34)-INT((BA$2-1)/$L34))*($T34*(1-$F34)+$S34*(1-$G34))*((1+Inputs!$D$7)^BA$2))),((_xlfn.WEIBULL.DIST(BA$2,$M34,$L34,FALSE)*($T34*(1-$F34)+$S34*(1-$G34))*((1+Inputs!$D$7)^BA$2))))))</f>
        <v>0</v>
      </c>
      <c r="BB34" s="88">
        <f>$E34*IF(BB$2&gt;Inputs!$D$5,0,IF(BB$2&gt;VLOOKUP($H34,Lists!$P$3:$Q$7,2),IF($N34=Lists!$K$3,IF($L34&lt;1,(($U34/$L34)*((1+Inputs!$D$7)^BB$2)),((INT(BB$2/$L34)-INT((BB$2-1)/$L34))*$U34*((1+Inputs!$D$7)^BB$2))),(_xlfn.WEIBULL.DIST(BB$2,$M34,$L34,FALSE)*$U34*((1+Inputs!$D$7)^BB$2))),IF($N34=Lists!$K$3,IF($L34&lt;1,((($T34*(1-$F34)+$S34*(1-$G34))/$L34)*((1+Inputs!$D$7)^BB$2)),((INT(BB$2/$L34)-INT((BB$2-1)/$L34))*($T34*(1-$F34)+$S34*(1-$G34))*((1+Inputs!$D$7)^BB$2))),((_xlfn.WEIBULL.DIST(BB$2,$M34,$L34,FALSE)*($T34*(1-$F34)+$S34*(1-$G34))*((1+Inputs!$D$7)^BB$2))))))</f>
        <v>0</v>
      </c>
      <c r="BC34" s="88">
        <f>$E34*IF(BC$2&gt;Inputs!$D$5,0,IF(BC$2&gt;VLOOKUP($H34,Lists!$P$3:$Q$7,2),IF($N34=Lists!$K$3,IF($L34&lt;1,(($U34/$L34)*((1+Inputs!$D$7)^BC$2)),((INT(BC$2/$L34)-INT((BC$2-1)/$L34))*$U34*((1+Inputs!$D$7)^BC$2))),(_xlfn.WEIBULL.DIST(BC$2,$M34,$L34,FALSE)*$U34*((1+Inputs!$D$7)^BC$2))),IF($N34=Lists!$K$3,IF($L34&lt;1,((($T34*(1-$F34)+$S34*(1-$G34))/$L34)*((1+Inputs!$D$7)^BC$2)),((INT(BC$2/$L34)-INT((BC$2-1)/$L34))*($T34*(1-$F34)+$S34*(1-$G34))*((1+Inputs!$D$7)^BC$2))),((_xlfn.WEIBULL.DIST(BC$2,$M34,$L34,FALSE)*($T34*(1-$F34)+$S34*(1-$G34))*((1+Inputs!$D$7)^BC$2))))))</f>
        <v>0</v>
      </c>
      <c r="BD34" s="88">
        <f>$E34*IF(BD$2&gt;Inputs!$D$5,0,IF(BD$2&gt;VLOOKUP($H34,Lists!$P$3:$Q$7,2),IF($N34=Lists!$K$3,IF($L34&lt;1,(($U34/$L34)*((1+Inputs!$D$7)^BD$2)),((INT(BD$2/$L34)-INT((BD$2-1)/$L34))*$U34*((1+Inputs!$D$7)^BD$2))),(_xlfn.WEIBULL.DIST(BD$2,$M34,$L34,FALSE)*$U34*((1+Inputs!$D$7)^BD$2))),IF($N34=Lists!$K$3,IF($L34&lt;1,((($T34*(1-$F34)+$S34*(1-$G34))/$L34)*((1+Inputs!$D$7)^BD$2)),((INT(BD$2/$L34)-INT((BD$2-1)/$L34))*($T34*(1-$F34)+$S34*(1-$G34))*((1+Inputs!$D$7)^BD$2))),((_xlfn.WEIBULL.DIST(BD$2,$M34,$L34,FALSE)*($T34*(1-$F34)+$S34*(1-$G34))*((1+Inputs!$D$7)^BD$2))))))</f>
        <v>0</v>
      </c>
      <c r="BE34" s="88">
        <f>$E34*IF(BE$2&gt;Inputs!$D$5,0,IF(BE$2&gt;VLOOKUP($H34,Lists!$P$3:$Q$7,2),IF($N34=Lists!$K$3,IF($L34&lt;1,(($U34/$L34)*((1+Inputs!$D$7)^BE$2)),((INT(BE$2/$L34)-INT((BE$2-1)/$L34))*$U34*((1+Inputs!$D$7)^BE$2))),(_xlfn.WEIBULL.DIST(BE$2,$M34,$L34,FALSE)*$U34*((1+Inputs!$D$7)^BE$2))),IF($N34=Lists!$K$3,IF($L34&lt;1,((($T34*(1-$F34)+$S34*(1-$G34))/$L34)*((1+Inputs!$D$7)^BE$2)),((INT(BE$2/$L34)-INT((BE$2-1)/$L34))*($T34*(1-$F34)+$S34*(1-$G34))*((1+Inputs!$D$7)^BE$2))),((_xlfn.WEIBULL.DIST(BE$2,$M34,$L34,FALSE)*($T34*(1-$F34)+$S34*(1-$G34))*((1+Inputs!$D$7)^BE$2))))))</f>
        <v>0</v>
      </c>
      <c r="BF34" s="88">
        <f>$E34*IF(BF$2&gt;Inputs!$D$5,0,IF(BF$2&gt;VLOOKUP($H34,Lists!$P$3:$Q$7,2),IF($N34=Lists!$K$3,IF($L34&lt;1,(($U34/$L34)*((1+Inputs!$D$7)^BF$2)),((INT(BF$2/$L34)-INT((BF$2-1)/$L34))*$U34*((1+Inputs!$D$7)^BF$2))),(_xlfn.WEIBULL.DIST(BF$2,$M34,$L34,FALSE)*$U34*((1+Inputs!$D$7)^BF$2))),IF($N34=Lists!$K$3,IF($L34&lt;1,((($T34*(1-$F34)+$S34*(1-$G34))/$L34)*((1+Inputs!$D$7)^BF$2)),((INT(BF$2/$L34)-INT((BF$2-1)/$L34))*($T34*(1-$F34)+$S34*(1-$G34))*((1+Inputs!$D$7)^BF$2))),((_xlfn.WEIBULL.DIST(BF$2,$M34,$L34,FALSE)*($T34*(1-$F34)+$S34*(1-$G34))*((1+Inputs!$D$7)^BF$2))))))</f>
        <v>0</v>
      </c>
      <c r="BG34" s="88">
        <f>$E34*IF(BG$2&gt;Inputs!$D$5,0,IF(BG$2&gt;VLOOKUP($H34,Lists!$P$3:$Q$7,2),IF($N34=Lists!$K$3,IF($L34&lt;1,(($U34/$L34)*((1+Inputs!$D$7)^BG$2)),((INT(BG$2/$L34)-INT((BG$2-1)/$L34))*$U34*((1+Inputs!$D$7)^BG$2))),(_xlfn.WEIBULL.DIST(BG$2,$M34,$L34,FALSE)*$U34*((1+Inputs!$D$7)^BG$2))),IF($N34=Lists!$K$3,IF($L34&lt;1,((($T34*(1-$F34)+$S34*(1-$G34))/$L34)*((1+Inputs!$D$7)^BG$2)),((INT(BG$2/$L34)-INT((BG$2-1)/$L34))*($T34*(1-$F34)+$S34*(1-$G34))*((1+Inputs!$D$7)^BG$2))),((_xlfn.WEIBULL.DIST(BG$2,$M34,$L34,FALSE)*($T34*(1-$F34)+$S34*(1-$G34))*((1+Inputs!$D$7)^BG$2))))))</f>
        <v>0</v>
      </c>
      <c r="BH34" s="88">
        <f>$E34*IF(BH$2&gt;Inputs!$D$5,0,IF(BH$2&gt;VLOOKUP($H34,Lists!$P$3:$Q$7,2),IF($N34=Lists!$K$3,IF($L34&lt;1,(($U34/$L34)*((1+Inputs!$D$7)^BH$2)),((INT(BH$2/$L34)-INT((BH$2-1)/$L34))*$U34*((1+Inputs!$D$7)^BH$2))),(_xlfn.WEIBULL.DIST(BH$2,$M34,$L34,FALSE)*$U34*((1+Inputs!$D$7)^BH$2))),IF($N34=Lists!$K$3,IF($L34&lt;1,((($T34*(1-$F34)+$S34*(1-$G34))/$L34)*((1+Inputs!$D$7)^BH$2)),((INT(BH$2/$L34)-INT((BH$2-1)/$L34))*($T34*(1-$F34)+$S34*(1-$G34))*((1+Inputs!$D$7)^BH$2))),((_xlfn.WEIBULL.DIST(BH$2,$M34,$L34,FALSE)*($T34*(1-$F34)+$S34*(1-$G34))*((1+Inputs!$D$7)^BH$2))))))</f>
        <v>0</v>
      </c>
      <c r="BI34" s="88">
        <f>$E34*IF(BI$2&gt;Inputs!$D$5,0,IF(BI$2&gt;VLOOKUP($H34,Lists!$P$3:$Q$7,2),IF($N34=Lists!$K$3,IF($L34&lt;1,(($U34/$L34)*((1+Inputs!$D$7)^BI$2)),((INT(BI$2/$L34)-INT((BI$2-1)/$L34))*$U34*((1+Inputs!$D$7)^BI$2))),(_xlfn.WEIBULL.DIST(BI$2,$M34,$L34,FALSE)*$U34*((1+Inputs!$D$7)^BI$2))),IF($N34=Lists!$K$3,IF($L34&lt;1,((($T34*(1-$F34)+$S34*(1-$G34))/$L34)*((1+Inputs!$D$7)^BI$2)),((INT(BI$2/$L34)-INT((BI$2-1)/$L34))*($T34*(1-$F34)+$S34*(1-$G34))*((1+Inputs!$D$7)^BI$2))),((_xlfn.WEIBULL.DIST(BI$2,$M34,$L34,FALSE)*($T34*(1-$F34)+$S34*(1-$G34))*((1+Inputs!$D$7)^BI$2))))))</f>
        <v>0</v>
      </c>
      <c r="BJ34" s="88">
        <f>$E34*IF(BJ$2&gt;Inputs!$D$5,0,IF(BJ$2&gt;VLOOKUP($H34,Lists!$P$3:$Q$7,2),IF($N34=Lists!$K$3,IF($L34&lt;1,(($U34/$L34)*((1+Inputs!$D$7)^BJ$2)),((INT(BJ$2/$L34)-INT((BJ$2-1)/$L34))*$U34*((1+Inputs!$D$7)^BJ$2))),(_xlfn.WEIBULL.DIST(BJ$2,$M34,$L34,FALSE)*$U34*((1+Inputs!$D$7)^BJ$2))),IF($N34=Lists!$K$3,IF($L34&lt;1,((($T34*(1-$F34)+$S34*(1-$G34))/$L34)*((1+Inputs!$D$7)^BJ$2)),((INT(BJ$2/$L34)-INT((BJ$2-1)/$L34))*($T34*(1-$F34)+$S34*(1-$G34))*((1+Inputs!$D$7)^BJ$2))),((_xlfn.WEIBULL.DIST(BJ$2,$M34,$L34,FALSE)*($T34*(1-$F34)+$S34*(1-$G34))*((1+Inputs!$D$7)^BJ$2))))))</f>
        <v>0</v>
      </c>
      <c r="BK34" s="88">
        <f>$E34*IF(BK$2&gt;Inputs!$D$5,0,IF(BK$2&gt;VLOOKUP($H34,Lists!$P$3:$Q$7,2),IF($N34=Lists!$K$3,IF($L34&lt;1,(($U34/$L34)*((1+Inputs!$D$7)^BK$2)),((INT(BK$2/$L34)-INT((BK$2-1)/$L34))*$U34*((1+Inputs!$D$7)^BK$2))),(_xlfn.WEIBULL.DIST(BK$2,$M34,$L34,FALSE)*$U34*((1+Inputs!$D$7)^BK$2))),IF($N34=Lists!$K$3,IF($L34&lt;1,((($T34*(1-$F34)+$S34*(1-$G34))/$L34)*((1+Inputs!$D$7)^BK$2)),((INT(BK$2/$L34)-INT((BK$2-1)/$L34))*($T34*(1-$F34)+$S34*(1-$G34))*((1+Inputs!$D$7)^BK$2))),((_xlfn.WEIBULL.DIST(BK$2,$M34,$L34,FALSE)*($T34*(1-$F34)+$S34*(1-$G34))*((1+Inputs!$D$7)^BK$2))))))</f>
        <v>0</v>
      </c>
      <c r="BL34" s="88">
        <f>$E34*IF(BL$2&gt;Inputs!$D$5,0,IF(BL$2&gt;VLOOKUP($H34,Lists!$P$3:$Q$7,2),IF($N34=Lists!$K$3,IF($L34&lt;1,(($U34/$L34)*((1+Inputs!$D$7)^BL$2)),((INT(BL$2/$L34)-INT((BL$2-1)/$L34))*$U34*((1+Inputs!$D$7)^BL$2))),(_xlfn.WEIBULL.DIST(BL$2,$M34,$L34,FALSE)*$U34*((1+Inputs!$D$7)^BL$2))),IF($N34=Lists!$K$3,IF($L34&lt;1,((($T34*(1-$F34)+$S34*(1-$G34))/$L34)*((1+Inputs!$D$7)^BL$2)),((INT(BL$2/$L34)-INT((BL$2-1)/$L34))*($T34*(1-$F34)+$S34*(1-$G34))*((1+Inputs!$D$7)^BL$2))),((_xlfn.WEIBULL.DIST(BL$2,$M34,$L34,FALSE)*($T34*(1-$F34)+$S34*(1-$G34))*((1+Inputs!$D$7)^BL$2))))))</f>
        <v>0</v>
      </c>
      <c r="BM34" s="88">
        <f>$E34*IF(BM$2&gt;Inputs!$D$5,0,IF(BM$2&gt;VLOOKUP($H34,Lists!$P$3:$Q$7,2),IF($N34=Lists!$K$3,IF($L34&lt;1,(($U34/$L34)*((1+Inputs!$D$7)^BM$2)),((INT(BM$2/$L34)-INT((BM$2-1)/$L34))*$U34*((1+Inputs!$D$7)^BM$2))),(_xlfn.WEIBULL.DIST(BM$2,$M34,$L34,FALSE)*$U34*((1+Inputs!$D$7)^BM$2))),IF($N34=Lists!$K$3,IF($L34&lt;1,((($T34*(1-$F34)+$S34*(1-$G34))/$L34)*((1+Inputs!$D$7)^BM$2)),((INT(BM$2/$L34)-INT((BM$2-1)/$L34))*($T34*(1-$F34)+$S34*(1-$G34))*((1+Inputs!$D$7)^BM$2))),((_xlfn.WEIBULL.DIST(BM$2,$M34,$L34,FALSE)*($T34*(1-$F34)+$S34*(1-$G34))*((1+Inputs!$D$7)^BM$2))))))</f>
        <v>0</v>
      </c>
      <c r="BN34" s="88">
        <f>$E34*IF(BN$2&gt;Inputs!$D$5,0,IF(BN$2&gt;VLOOKUP($H34,Lists!$P$3:$Q$7,2),IF($N34=Lists!$K$3,IF($L34&lt;1,(($U34/$L34)*((1+Inputs!$D$7)^BN$2)),((INT(BN$2/$L34)-INT((BN$2-1)/$L34))*$U34*((1+Inputs!$D$7)^BN$2))),(_xlfn.WEIBULL.DIST(BN$2,$M34,$L34,FALSE)*$U34*((1+Inputs!$D$7)^BN$2))),IF($N34=Lists!$K$3,IF($L34&lt;1,((($T34*(1-$F34)+$S34*(1-$G34))/$L34)*((1+Inputs!$D$7)^BN$2)),((INT(BN$2/$L34)-INT((BN$2-1)/$L34))*($T34*(1-$F34)+$S34*(1-$G34))*((1+Inputs!$D$7)^BN$2))),((_xlfn.WEIBULL.DIST(BN$2,$M34,$L34,FALSE)*($T34*(1-$F34)+$S34*(1-$G34))*((1+Inputs!$D$7)^BN$2))))))</f>
        <v>0</v>
      </c>
      <c r="BO34" s="64">
        <f>NPV(Inputs!$D$6,BQ34:DD34)</f>
        <v>59569.874967992961</v>
      </c>
      <c r="BP34" s="67">
        <f t="shared" si="6"/>
        <v>2.8096061278372327E-2</v>
      </c>
      <c r="BQ34" s="88">
        <f>MAX(AA34,($E34*IF(BQ$2&gt;Inputs!$D$5,0,IF(BQ$2&gt;VLOOKUP($H34,Lists!$P$3:$Q$7,2),IF($N34=Lists!$K$3,IF($L34&lt;1,(($U34/$L34)*((1+Inputs!$D$7)^BQ$2)),((INT(BQ$2/$L34)-INT((BQ$2-1)/$L34))*$U34*((1+Inputs!$D$7)^BQ$2))),(Inputs!$D$8^((1-_xlfn.WEIBULL.DIST(BQ$2,$M34,$L34,FALSE))/_xlfn.WEIBULL.DIST(BQ$2,$M34,$L34,FALSE))*$U34*((1+Inputs!$D$7)^BQ$2))),IF($N34=Lists!$K$3,IF($L34&lt;1,((($T34*(1-$F34)+$S34*(1-$G34))/$L34)*((1+Inputs!$D$7)^BQ$2)),((INT(BQ$2/$L34)-INT((BQ$2-1)/$L34))*($T34*(1-$F34)+$S34*(1-$G34))*((1+Inputs!$D$7)^BQ$2))),((Inputs!$D$8^((1-_xlfn.WEIBULL.DIST(BQ$2,$M34,$L34,FALSE))/_xlfn.WEIBULL.DIST(BQ$2,$M34,$L34,FALSE))*($T34*(1-$F34)+$S34*(1-$G34))*((1+Inputs!$D$7)^BQ$2))))))))</f>
        <v>127.42419155568274</v>
      </c>
      <c r="BR34" s="88">
        <f>MAX(AB34,($E34*IF(BR$2&gt;Inputs!$D$5,0,IF(BR$2&gt;VLOOKUP($H34,Lists!$P$3:$Q$7,2),IF($N34=Lists!$K$3,IF($L34&lt;1,(($U34/$L34)*((1+Inputs!$D$7)^BR$2)),((INT(BR$2/$L34)-INT((BR$2-1)/$L34))*$U34*((1+Inputs!$D$7)^BR$2))),(Inputs!$D$8^((1-_xlfn.WEIBULL.DIST(BR$2,$M34,$L34,FALSE))/_xlfn.WEIBULL.DIST(BR$2,$M34,$L34,FALSE))*$U34*((1+Inputs!$D$7)^BR$2))),IF($N34=Lists!$K$3,IF($L34&lt;1,((($T34*(1-$F34)+$S34*(1-$G34))/$L34)*((1+Inputs!$D$7)^BR$2)),((INT(BR$2/$L34)-INT((BR$2-1)/$L34))*($T34*(1-$F34)+$S34*(1-$G34))*((1+Inputs!$D$7)^BR$2))),((Inputs!$D$8^((1-_xlfn.WEIBULL.DIST(BR$2,$M34,$L34,FALSE))/_xlfn.WEIBULL.DIST(BR$2,$M34,$L34,FALSE))*($T34*(1-$F34)+$S34*(1-$G34))*((1+Inputs!$D$7)^BR$2))))))))</f>
        <v>118.79973329489069</v>
      </c>
      <c r="BS34" s="88">
        <f>MAX(AC34,($E34*IF(BS$2&gt;Inputs!$D$5,0,IF(BS$2&gt;VLOOKUP($H34,Lists!$P$3:$Q$7,2),IF($N34=Lists!$K$3,IF($L34&lt;1,(($U34/$L34)*((1+Inputs!$D$7)^BS$2)),((INT(BS$2/$L34)-INT((BS$2-1)/$L34))*$U34*((1+Inputs!$D$7)^BS$2))),(Inputs!$D$8^((1-_xlfn.WEIBULL.DIST(BS$2,$M34,$L34,FALSE))/_xlfn.WEIBULL.DIST(BS$2,$M34,$L34,FALSE))*$U34*((1+Inputs!$D$7)^BS$2))),IF($N34=Lists!$K$3,IF($L34&lt;1,((($T34*(1-$F34)+$S34*(1-$G34))/$L34)*((1+Inputs!$D$7)^BS$2)),((INT(BS$2/$L34)-INT((BS$2-1)/$L34))*($T34*(1-$F34)+$S34*(1-$G34))*((1+Inputs!$D$7)^BS$2))),((Inputs!$D$8^((1-_xlfn.WEIBULL.DIST(BS$2,$M34,$L34,FALSE))/_xlfn.WEIBULL.DIST(BS$2,$M34,$L34,FALSE))*($T34*(1-$F34)+$S34*(1-$G34))*((1+Inputs!$D$7)^BS$2))))))))</f>
        <v>110.24974547221507</v>
      </c>
      <c r="BT34" s="88">
        <f>MAX(AD34,($E34*IF(BT$2&gt;Inputs!$D$5,0,IF(BT$2&gt;VLOOKUP($H34,Lists!$P$3:$Q$7,2),IF($N34=Lists!$K$3,IF($L34&lt;1,(($U34/$L34)*((1+Inputs!$D$7)^BT$2)),((INT(BT$2/$L34)-INT((BT$2-1)/$L34))*$U34*((1+Inputs!$D$7)^BT$2))),(Inputs!$D$8^((1-_xlfn.WEIBULL.DIST(BT$2,$M34,$L34,FALSE))/_xlfn.WEIBULL.DIST(BT$2,$M34,$L34,FALSE))*$U34*((1+Inputs!$D$7)^BT$2))),IF($N34=Lists!$K$3,IF($L34&lt;1,((($T34*(1-$F34)+$S34*(1-$G34))/$L34)*((1+Inputs!$D$7)^BT$2)),((INT(BT$2/$L34)-INT((BT$2-1)/$L34))*($T34*(1-$F34)+$S34*(1-$G34))*((1+Inputs!$D$7)^BT$2))),((Inputs!$D$8^((1-_xlfn.WEIBULL.DIST(BT$2,$M34,$L34,FALSE))/_xlfn.WEIBULL.DIST(BT$2,$M34,$L34,FALSE))*($T34*(1-$F34)+$S34*(1-$G34))*((1+Inputs!$D$7)^BT$2))))))))</f>
        <v>101.8206018931768</v>
      </c>
      <c r="BU34" s="88">
        <f>MAX(AE34,($E34*IF(BU$2&gt;Inputs!$D$5,0,IF(BU$2&gt;VLOOKUP($H34,Lists!$P$3:$Q$7,2),IF($N34=Lists!$K$3,IF($L34&lt;1,(($U34/$L34)*((1+Inputs!$D$7)^BU$2)),((INT(BU$2/$L34)-INT((BU$2-1)/$L34))*$U34*((1+Inputs!$D$7)^BU$2))),(Inputs!$D$8^((1-_xlfn.WEIBULL.DIST(BU$2,$M34,$L34,FALSE))/_xlfn.WEIBULL.DIST(BU$2,$M34,$L34,FALSE))*$U34*((1+Inputs!$D$7)^BU$2))),IF($N34=Lists!$K$3,IF($L34&lt;1,((($T34*(1-$F34)+$S34*(1-$G34))/$L34)*((1+Inputs!$D$7)^BU$2)),((INT(BU$2/$L34)-INT((BU$2-1)/$L34))*($T34*(1-$F34)+$S34*(1-$G34))*((1+Inputs!$D$7)^BU$2))),((Inputs!$D$8^((1-_xlfn.WEIBULL.DIST(BU$2,$M34,$L34,FALSE))/_xlfn.WEIBULL.DIST(BU$2,$M34,$L34,FALSE))*($T34*(1-$F34)+$S34*(1-$G34))*((1+Inputs!$D$7)^BU$2))))))))</f>
        <v>93.558183540953152</v>
      </c>
      <c r="BV34" s="88">
        <f>MAX(AF34,($E34*IF(BV$2&gt;Inputs!$D$5,0,IF(BV$2&gt;VLOOKUP($H34,Lists!$P$3:$Q$7,2),IF($N34=Lists!$K$3,IF($L34&lt;1,(($U34/$L34)*((1+Inputs!$D$7)^BV$2)),((INT(BV$2/$L34)-INT((BV$2-1)/$L34))*$U34*((1+Inputs!$D$7)^BV$2))),(Inputs!$D$8^((1-_xlfn.WEIBULL.DIST(BV$2,$M34,$L34,FALSE))/_xlfn.WEIBULL.DIST(BV$2,$M34,$L34,FALSE))*$U34*((1+Inputs!$D$7)^BV$2))),IF($N34=Lists!$K$3,IF($L34&lt;1,((($T34*(1-$F34)+$S34*(1-$G34))/$L34)*((1+Inputs!$D$7)^BV$2)),((INT(BV$2/$L34)-INT((BV$2-1)/$L34))*($T34*(1-$F34)+$S34*(1-$G34))*((1+Inputs!$D$7)^BV$2))),((Inputs!$D$8^((1-_xlfn.WEIBULL.DIST(BV$2,$M34,$L34,FALSE))/_xlfn.WEIBULL.DIST(BV$2,$M34,$L34,FALSE))*($T34*(1-$F34)+$S34*(1-$G34))*((1+Inputs!$D$7)^BV$2))))))))</f>
        <v>85.507173484726763</v>
      </c>
      <c r="BW34" s="88">
        <f>MAX(AG34,($E34*IF(BW$2&gt;Inputs!$D$5,0,IF(BW$2&gt;VLOOKUP($H34,Lists!$P$3:$Q$7,2),IF($N34=Lists!$K$3,IF($L34&lt;1,(($U34/$L34)*((1+Inputs!$D$7)^BW$2)),((INT(BW$2/$L34)-INT((BW$2-1)/$L34))*$U34*((1+Inputs!$D$7)^BW$2))),(Inputs!$D$8^((1-_xlfn.WEIBULL.DIST(BW$2,$M34,$L34,FALSE))/_xlfn.WEIBULL.DIST(BW$2,$M34,$L34,FALSE))*$U34*((1+Inputs!$D$7)^BW$2))),IF($N34=Lists!$K$3,IF($L34&lt;1,((($T34*(1-$F34)+$S34*(1-$G34))/$L34)*((1+Inputs!$D$7)^BW$2)),((INT(BW$2/$L34)-INT((BW$2-1)/$L34))*($T34*(1-$F34)+$S34*(1-$G34))*((1+Inputs!$D$7)^BW$2))),((Inputs!$D$8^((1-_xlfn.WEIBULL.DIST(BW$2,$M34,$L34,FALSE))/_xlfn.WEIBULL.DIST(BW$2,$M34,$L34,FALSE))*($T34*(1-$F34)+$S34*(1-$G34))*((1+Inputs!$D$7)^BW$2))))))))</f>
        <v>77.710328506599353</v>
      </c>
      <c r="BX34" s="88">
        <f>MAX(AH34,($E34*IF(BX$2&gt;Inputs!$D$5,0,IF(BX$2&gt;VLOOKUP($H34,Lists!$P$3:$Q$7,2),IF($N34=Lists!$K$3,IF($L34&lt;1,(($U34/$L34)*((1+Inputs!$D$7)^BX$2)),((INT(BX$2/$L34)-INT((BX$2-1)/$L34))*$U34*((1+Inputs!$D$7)^BX$2))),(Inputs!$D$8^((1-_xlfn.WEIBULL.DIST(BX$2,$M34,$L34,FALSE))/_xlfn.WEIBULL.DIST(BX$2,$M34,$L34,FALSE))*$U34*((1+Inputs!$D$7)^BX$2))),IF($N34=Lists!$K$3,IF($L34&lt;1,((($T34*(1-$F34)+$S34*(1-$G34))/$L34)*((1+Inputs!$D$7)^BX$2)),((INT(BX$2/$L34)-INT((BX$2-1)/$L34))*($T34*(1-$F34)+$S34*(1-$G34))*((1+Inputs!$D$7)^BX$2))),((Inputs!$D$8^((1-_xlfn.WEIBULL.DIST(BX$2,$M34,$L34,FALSE))/_xlfn.WEIBULL.DIST(BX$2,$M34,$L34,FALSE))*($T34*(1-$F34)+$S34*(1-$G34))*((1+Inputs!$D$7)^BX$2))))))))</f>
        <v>70.20774558119497</v>
      </c>
      <c r="BY34" s="88">
        <f>MAX(AI34,($E34*IF(BY$2&gt;Inputs!$D$5,0,IF(BY$2&gt;VLOOKUP($H34,Lists!$P$3:$Q$7,2),IF($N34=Lists!$K$3,IF($L34&lt;1,(($U34/$L34)*((1+Inputs!$D$7)^BY$2)),((INT(BY$2/$L34)-INT((BY$2-1)/$L34))*$U34*((1+Inputs!$D$7)^BY$2))),(Inputs!$D$8^((1-_xlfn.WEIBULL.DIST(BY$2,$M34,$L34,FALSE))/_xlfn.WEIBULL.DIST(BY$2,$M34,$L34,FALSE))*$U34*((1+Inputs!$D$7)^BY$2))),IF($N34=Lists!$K$3,IF($L34&lt;1,((($T34*(1-$F34)+$S34*(1-$G34))/$L34)*((1+Inputs!$D$7)^BY$2)),((INT(BY$2/$L34)-INT((BY$2-1)/$L34))*($T34*(1-$F34)+$S34*(1-$G34))*((1+Inputs!$D$7)^BY$2))),((Inputs!$D$8^((1-_xlfn.WEIBULL.DIST(BY$2,$M34,$L34,FALSE))/_xlfn.WEIBULL.DIST(BY$2,$M34,$L34,FALSE))*($T34*(1-$F34)+$S34*(1-$G34))*((1+Inputs!$D$7)^BY$2))))))))</f>
        <v>63.036143746517418</v>
      </c>
      <c r="BZ34" s="88">
        <f>MAX(AJ34,($E34*IF(BZ$2&gt;Inputs!$D$5,0,IF(BZ$2&gt;VLOOKUP($H34,Lists!$P$3:$Q$7,2),IF($N34=Lists!$K$3,IF($L34&lt;1,(($U34/$L34)*((1+Inputs!$D$7)^BZ$2)),((INT(BZ$2/$L34)-INT((BZ$2-1)/$L34))*$U34*((1+Inputs!$D$7)^BZ$2))),(Inputs!$D$8^((1-_xlfn.WEIBULL.DIST(BZ$2,$M34,$L34,FALSE))/_xlfn.WEIBULL.DIST(BZ$2,$M34,$L34,FALSE))*$U34*((1+Inputs!$D$7)^BZ$2))),IF($N34=Lists!$K$3,IF($L34&lt;1,((($T34*(1-$F34)+$S34*(1-$G34))/$L34)*((1+Inputs!$D$7)^BZ$2)),((INT(BZ$2/$L34)-INT((BZ$2-1)/$L34))*($T34*(1-$F34)+$S34*(1-$G34))*((1+Inputs!$D$7)^BZ$2))),((Inputs!$D$8^((1-_xlfn.WEIBULL.DIST(BZ$2,$M34,$L34,FALSE))/_xlfn.WEIBULL.DIST(BZ$2,$M34,$L34,FALSE))*($T34*(1-$F34)+$S34*(1-$G34))*((1+Inputs!$D$7)^BZ$2))))))))</f>
        <v>56.228183753915125</v>
      </c>
      <c r="CA34" s="88">
        <f>MAX(AK34,($E34*IF(CA$2&gt;Inputs!$D$5,0,IF(CA$2&gt;VLOOKUP($H34,Lists!$P$3:$Q$7,2),IF($N34=Lists!$K$3,IF($L34&lt;1,(($U34/$L34)*((1+Inputs!$D$7)^CA$2)),((INT(CA$2/$L34)-INT((CA$2-1)/$L34))*$U34*((1+Inputs!$D$7)^CA$2))),(Inputs!$D$8^((1-_xlfn.WEIBULL.DIST(CA$2,$M34,$L34,FALSE))/_xlfn.WEIBULL.DIST(CA$2,$M34,$L34,FALSE))*$U34*((1+Inputs!$D$7)^CA$2))),IF($N34=Lists!$K$3,IF($L34&lt;1,((($T34*(1-$F34)+$S34*(1-$G34))/$L34)*((1+Inputs!$D$7)^CA$2)),((INT(CA$2/$L34)-INT((CA$2-1)/$L34))*($T34*(1-$F34)+$S34*(1-$G34))*((1+Inputs!$D$7)^CA$2))),((Inputs!$D$8^((1-_xlfn.WEIBULL.DIST(CA$2,$M34,$L34,FALSE))/_xlfn.WEIBULL.DIST(CA$2,$M34,$L34,FALSE))*($T34*(1-$F34)+$S34*(1-$G34))*((1+Inputs!$D$7)^CA$2))))))))</f>
        <v>22573.430518543417</v>
      </c>
      <c r="CB34" s="88">
        <f>MAX(AL34,($E34*IF(CB$2&gt;Inputs!$D$5,0,IF(CB$2&gt;VLOOKUP($H34,Lists!$P$3:$Q$7,2),IF($N34=Lists!$K$3,IF($L34&lt;1,(($U34/$L34)*((1+Inputs!$D$7)^CB$2)),((INT(CB$2/$L34)-INT((CB$2-1)/$L34))*$U34*((1+Inputs!$D$7)^CB$2))),(Inputs!$D$8^((1-_xlfn.WEIBULL.DIST(CB$2,$M34,$L34,FALSE))/_xlfn.WEIBULL.DIST(CB$2,$M34,$L34,FALSE))*$U34*((1+Inputs!$D$7)^CB$2))),IF($N34=Lists!$K$3,IF($L34&lt;1,((($T34*(1-$F34)+$S34*(1-$G34))/$L34)*((1+Inputs!$D$7)^CB$2)),((INT(CB$2/$L34)-INT((CB$2-1)/$L34))*($T34*(1-$F34)+$S34*(1-$G34))*((1+Inputs!$D$7)^CB$2))),((Inputs!$D$8^((1-_xlfn.WEIBULL.DIST(CB$2,$M34,$L34,FALSE))/_xlfn.WEIBULL.DIST(CB$2,$M34,$L34,FALSE))*($T34*(1-$F34)+$S34*(1-$G34))*((1+Inputs!$D$7)^CB$2))))))))</f>
        <v>19853.508907430012</v>
      </c>
      <c r="CC34" s="88">
        <f>MAX(AM34,($E34*IF(CC$2&gt;Inputs!$D$5,0,IF(CC$2&gt;VLOOKUP($H34,Lists!$P$3:$Q$7,2),IF($N34=Lists!$K$3,IF($L34&lt;1,(($U34/$L34)*((1+Inputs!$D$7)^CC$2)),((INT(CC$2/$L34)-INT((CC$2-1)/$L34))*$U34*((1+Inputs!$D$7)^CC$2))),(Inputs!$D$8^((1-_xlfn.WEIBULL.DIST(CC$2,$M34,$L34,FALSE))/_xlfn.WEIBULL.DIST(CC$2,$M34,$L34,FALSE))*$U34*((1+Inputs!$D$7)^CC$2))),IF($N34=Lists!$K$3,IF($L34&lt;1,((($T34*(1-$F34)+$S34*(1-$G34))/$L34)*((1+Inputs!$D$7)^CC$2)),((INT(CC$2/$L34)-INT((CC$2-1)/$L34))*($T34*(1-$F34)+$S34*(1-$G34))*((1+Inputs!$D$7)^CC$2))),((Inputs!$D$8^((1-_xlfn.WEIBULL.DIST(CC$2,$M34,$L34,FALSE))/_xlfn.WEIBULL.DIST(CC$2,$M34,$L34,FALSE))*($T34*(1-$F34)+$S34*(1-$G34))*((1+Inputs!$D$7)^CC$2))))))))</f>
        <v>17329.145740360284</v>
      </c>
      <c r="CD34" s="88">
        <f>MAX(AN34,($E34*IF(CD$2&gt;Inputs!$D$5,0,IF(CD$2&gt;VLOOKUP($H34,Lists!$P$3:$Q$7,2),IF($N34=Lists!$K$3,IF($L34&lt;1,(($U34/$L34)*((1+Inputs!$D$7)^CD$2)),((INT(CD$2/$L34)-INT((CD$2-1)/$L34))*$U34*((1+Inputs!$D$7)^CD$2))),(Inputs!$D$8^((1-_xlfn.WEIBULL.DIST(CD$2,$M34,$L34,FALSE))/_xlfn.WEIBULL.DIST(CD$2,$M34,$L34,FALSE))*$U34*((1+Inputs!$D$7)^CD$2))),IF($N34=Lists!$K$3,IF($L34&lt;1,((($T34*(1-$F34)+$S34*(1-$G34))/$L34)*((1+Inputs!$D$7)^CD$2)),((INT(CD$2/$L34)-INT((CD$2-1)/$L34))*($T34*(1-$F34)+$S34*(1-$G34))*((1+Inputs!$D$7)^CD$2))),((Inputs!$D$8^((1-_xlfn.WEIBULL.DIST(CD$2,$M34,$L34,FALSE))/_xlfn.WEIBULL.DIST(CD$2,$M34,$L34,FALSE))*($T34*(1-$F34)+$S34*(1-$G34))*((1+Inputs!$D$7)^CD$2))))))))</f>
        <v>15005.415169697288</v>
      </c>
      <c r="CE34" s="88">
        <f>MAX(AO34,($E34*IF(CE$2&gt;Inputs!$D$5,0,IF(CE$2&gt;VLOOKUP($H34,Lists!$P$3:$Q$7,2),IF($N34=Lists!$K$3,IF($L34&lt;1,(($U34/$L34)*((1+Inputs!$D$7)^CE$2)),((INT(CE$2/$L34)-INT((CE$2-1)/$L34))*$U34*((1+Inputs!$D$7)^CE$2))),(Inputs!$D$8^((1-_xlfn.WEIBULL.DIST(CE$2,$M34,$L34,FALSE))/_xlfn.WEIBULL.DIST(CE$2,$M34,$L34,FALSE))*$U34*((1+Inputs!$D$7)^CE$2))),IF($N34=Lists!$K$3,IF($L34&lt;1,((($T34*(1-$F34)+$S34*(1-$G34))/$L34)*((1+Inputs!$D$7)^CE$2)),((INT(CE$2/$L34)-INT((CE$2-1)/$L34))*($T34*(1-$F34)+$S34*(1-$G34))*((1+Inputs!$D$7)^CE$2))),((Inputs!$D$8^((1-_xlfn.WEIBULL.DIST(CE$2,$M34,$L34,FALSE))/_xlfn.WEIBULL.DIST(CE$2,$M34,$L34,FALSE))*($T34*(1-$F34)+$S34*(1-$G34))*((1+Inputs!$D$7)^CE$2))))))))</f>
        <v>12884.631434487894</v>
      </c>
      <c r="CF34" s="88">
        <f>MAX(AP34,($E34*IF(CF$2&gt;Inputs!$D$5,0,IF(CF$2&gt;VLOOKUP($H34,Lists!$P$3:$Q$7,2),IF($N34=Lists!$K$3,IF($L34&lt;1,(($U34/$L34)*((1+Inputs!$D$7)^CF$2)),((INT(CF$2/$L34)-INT((CF$2-1)/$L34))*$U34*((1+Inputs!$D$7)^CF$2))),(Inputs!$D$8^((1-_xlfn.WEIBULL.DIST(CF$2,$M34,$L34,FALSE))/_xlfn.WEIBULL.DIST(CF$2,$M34,$L34,FALSE))*$U34*((1+Inputs!$D$7)^CF$2))),IF($N34=Lists!$K$3,IF($L34&lt;1,((($T34*(1-$F34)+$S34*(1-$G34))/$L34)*((1+Inputs!$D$7)^CF$2)),((INT(CF$2/$L34)-INT((CF$2-1)/$L34))*($T34*(1-$F34)+$S34*(1-$G34))*((1+Inputs!$D$7)^CF$2))),((Inputs!$D$8^((1-_xlfn.WEIBULL.DIST(CF$2,$M34,$L34,FALSE))/_xlfn.WEIBULL.DIST(CF$2,$M34,$L34,FALSE))*($T34*(1-$F34)+$S34*(1-$G34))*((1+Inputs!$D$7)^CF$2))))))))</f>
        <v>10966.350615095809</v>
      </c>
      <c r="CG34" s="88">
        <f>MAX(AQ34,($E34*IF(CG$2&gt;Inputs!$D$5,0,IF(CG$2&gt;VLOOKUP($H34,Lists!$P$3:$Q$7,2),IF($N34=Lists!$K$3,IF($L34&lt;1,(($U34/$L34)*((1+Inputs!$D$7)^CG$2)),((INT(CG$2/$L34)-INT((CG$2-1)/$L34))*$U34*((1+Inputs!$D$7)^CG$2))),(Inputs!$D$8^((1-_xlfn.WEIBULL.DIST(CG$2,$M34,$L34,FALSE))/_xlfn.WEIBULL.DIST(CG$2,$M34,$L34,FALSE))*$U34*((1+Inputs!$D$7)^CG$2))),IF($N34=Lists!$K$3,IF($L34&lt;1,((($T34*(1-$F34)+$S34*(1-$G34))/$L34)*((1+Inputs!$D$7)^CG$2)),((INT(CG$2/$L34)-INT((CG$2-1)/$L34))*($T34*(1-$F34)+$S34*(1-$G34))*((1+Inputs!$D$7)^CG$2))),((Inputs!$D$8^((1-_xlfn.WEIBULL.DIST(CG$2,$M34,$L34,FALSE))/_xlfn.WEIBULL.DIST(CG$2,$M34,$L34,FALSE))*($T34*(1-$F34)+$S34*(1-$G34))*((1+Inputs!$D$7)^CG$2))))))))</f>
        <v>9247.4465705055372</v>
      </c>
      <c r="CH34" s="88">
        <f>MAX(AR34,($E34*IF(CH$2&gt;Inputs!$D$5,0,IF(CH$2&gt;VLOOKUP($H34,Lists!$P$3:$Q$7,2),IF($N34=Lists!$K$3,IF($L34&lt;1,(($U34/$L34)*((1+Inputs!$D$7)^CH$2)),((INT(CH$2/$L34)-INT((CH$2-1)/$L34))*$U34*((1+Inputs!$D$7)^CH$2))),(Inputs!$D$8^((1-_xlfn.WEIBULL.DIST(CH$2,$M34,$L34,FALSE))/_xlfn.WEIBULL.DIST(CH$2,$M34,$L34,FALSE))*$U34*((1+Inputs!$D$7)^CH$2))),IF($N34=Lists!$K$3,IF($L34&lt;1,((($T34*(1-$F34)+$S34*(1-$G34))/$L34)*((1+Inputs!$D$7)^CH$2)),((INT(CH$2/$L34)-INT((CH$2-1)/$L34))*($T34*(1-$F34)+$S34*(1-$G34))*((1+Inputs!$D$7)^CH$2))),((Inputs!$D$8^((1-_xlfn.WEIBULL.DIST(CH$2,$M34,$L34,FALSE))/_xlfn.WEIBULL.DIST(CH$2,$M34,$L34,FALSE))*($T34*(1-$F34)+$S34*(1-$G34))*((1+Inputs!$D$7)^CH$2))))))))</f>
        <v>8729.486858625929</v>
      </c>
      <c r="CI34" s="88">
        <f>MAX(AS34,($E34*IF(CI$2&gt;Inputs!$D$5,0,IF(CI$2&gt;VLOOKUP($H34,Lists!$P$3:$Q$7,2),IF($N34=Lists!$K$3,IF($L34&lt;1,(($U34/$L34)*((1+Inputs!$D$7)^CI$2)),((INT(CI$2/$L34)-INT((CI$2-1)/$L34))*$U34*((1+Inputs!$D$7)^CI$2))),(Inputs!$D$8^((1-_xlfn.WEIBULL.DIST(CI$2,$M34,$L34,FALSE))/_xlfn.WEIBULL.DIST(CI$2,$M34,$L34,FALSE))*$U34*((1+Inputs!$D$7)^CI$2))),IF($N34=Lists!$K$3,IF($L34&lt;1,((($T34*(1-$F34)+$S34*(1-$G34))/$L34)*((1+Inputs!$D$7)^CI$2)),((INT(CI$2/$L34)-INT((CI$2-1)/$L34))*($T34*(1-$F34)+$S34*(1-$G34))*((1+Inputs!$D$7)^CI$2))),((Inputs!$D$8^((1-_xlfn.WEIBULL.DIST(CI$2,$M34,$L34,FALSE))/_xlfn.WEIBULL.DIST(CI$2,$M34,$L34,FALSE))*($T34*(1-$F34)+$S34*(1-$G34))*((1+Inputs!$D$7)^CI$2))))))))</f>
        <v>8469.819655931633</v>
      </c>
      <c r="CJ34" s="88">
        <f>MAX(AT34,($E34*IF(CJ$2&gt;Inputs!$D$5,0,IF(CJ$2&gt;VLOOKUP($H34,Lists!$P$3:$Q$7,2),IF($N34=Lists!$K$3,IF($L34&lt;1,(($U34/$L34)*((1+Inputs!$D$7)^CJ$2)),((INT(CJ$2/$L34)-INT((CJ$2-1)/$L34))*$U34*((1+Inputs!$D$7)^CJ$2))),(Inputs!$D$8^((1-_xlfn.WEIBULL.DIST(CJ$2,$M34,$L34,FALSE))/_xlfn.WEIBULL.DIST(CJ$2,$M34,$L34,FALSE))*$U34*((1+Inputs!$D$7)^CJ$2))),IF($N34=Lists!$K$3,IF($L34&lt;1,((($T34*(1-$F34)+$S34*(1-$G34))/$L34)*((1+Inputs!$D$7)^CJ$2)),((INT(CJ$2/$L34)-INT((CJ$2-1)/$L34))*($T34*(1-$F34)+$S34*(1-$G34))*((1+Inputs!$D$7)^CJ$2))),((Inputs!$D$8^((1-_xlfn.WEIBULL.DIST(CJ$2,$M34,$L34,FALSE))/_xlfn.WEIBULL.DIST(CJ$2,$M34,$L34,FALSE))*($T34*(1-$F34)+$S34*(1-$G34))*((1+Inputs!$D$7)^CJ$2))))))))</f>
        <v>8217.8765104754184</v>
      </c>
      <c r="CK34" s="88">
        <f>MAX(AU34,($E34*IF(CK$2&gt;Inputs!$D$5,0,IF(CK$2&gt;VLOOKUP($H34,Lists!$P$3:$Q$7,2),IF($N34=Lists!$K$3,IF($L34&lt;1,(($U34/$L34)*((1+Inputs!$D$7)^CK$2)),((INT(CK$2/$L34)-INT((CK$2-1)/$L34))*$U34*((1+Inputs!$D$7)^CK$2))),(Inputs!$D$8^((1-_xlfn.WEIBULL.DIST(CK$2,$M34,$L34,FALSE))/_xlfn.WEIBULL.DIST(CK$2,$M34,$L34,FALSE))*$U34*((1+Inputs!$D$7)^CK$2))),IF($N34=Lists!$K$3,IF($L34&lt;1,((($T34*(1-$F34)+$S34*(1-$G34))/$L34)*((1+Inputs!$D$7)^CK$2)),((INT(CK$2/$L34)-INT((CK$2-1)/$L34))*($T34*(1-$F34)+$S34*(1-$G34))*((1+Inputs!$D$7)^CK$2))),((Inputs!$D$8^((1-_xlfn.WEIBULL.DIST(CK$2,$M34,$L34,FALSE))/_xlfn.WEIBULL.DIST(CK$2,$M34,$L34,FALSE))*($T34*(1-$F34)+$S34*(1-$G34))*((1+Inputs!$D$7)^CK$2))))))))</f>
        <v>7973.4276625510156</v>
      </c>
      <c r="CL34" s="88">
        <f>MAX(AV34,($E34*IF(CL$2&gt;Inputs!$D$5,0,IF(CL$2&gt;VLOOKUP($H34,Lists!$P$3:$Q$7,2),IF($N34=Lists!$K$3,IF($L34&lt;1,(($U34/$L34)*((1+Inputs!$D$7)^CL$2)),((INT(CL$2/$L34)-INT((CL$2-1)/$L34))*$U34*((1+Inputs!$D$7)^CL$2))),(Inputs!$D$8^((1-_xlfn.WEIBULL.DIST(CL$2,$M34,$L34,FALSE))/_xlfn.WEIBULL.DIST(CL$2,$M34,$L34,FALSE))*$U34*((1+Inputs!$D$7)^CL$2))),IF($N34=Lists!$K$3,IF($L34&lt;1,((($T34*(1-$F34)+$S34*(1-$G34))/$L34)*((1+Inputs!$D$7)^CL$2)),((INT(CL$2/$L34)-INT((CL$2-1)/$L34))*($T34*(1-$F34)+$S34*(1-$G34))*((1+Inputs!$D$7)^CL$2))),((Inputs!$D$8^((1-_xlfn.WEIBULL.DIST(CL$2,$M34,$L34,FALSE))/_xlfn.WEIBULL.DIST(CL$2,$M34,$L34,FALSE))*($T34*(1-$F34)+$S34*(1-$G34))*((1+Inputs!$D$7)^CL$2))))))))</f>
        <v>7736.2501868814061</v>
      </c>
      <c r="CM34" s="88">
        <f>MAX(AW34,($E34*IF(CM$2&gt;Inputs!$D$5,0,IF(CM$2&gt;VLOOKUP($H34,Lists!$P$3:$Q$7,2),IF($N34=Lists!$K$3,IF($L34&lt;1,(($U34/$L34)*((1+Inputs!$D$7)^CM$2)),((INT(CM$2/$L34)-INT((CM$2-1)/$L34))*$U34*((1+Inputs!$D$7)^CM$2))),(Inputs!$D$8^((1-_xlfn.WEIBULL.DIST(CM$2,$M34,$L34,FALSE))/_xlfn.WEIBULL.DIST(CM$2,$M34,$L34,FALSE))*$U34*((1+Inputs!$D$7)^CM$2))),IF($N34=Lists!$K$3,IF($L34&lt;1,((($T34*(1-$F34)+$S34*(1-$G34))/$L34)*((1+Inputs!$D$7)^CM$2)),((INT(CM$2/$L34)-INT((CM$2-1)/$L34))*($T34*(1-$F34)+$S34*(1-$G34))*((1+Inputs!$D$7)^CM$2))),((Inputs!$D$8^((1-_xlfn.WEIBULL.DIST(CM$2,$M34,$L34,FALSE))/_xlfn.WEIBULL.DIST(CM$2,$M34,$L34,FALSE))*($T34*(1-$F34)+$S34*(1-$G34))*((1+Inputs!$D$7)^CM$2))))))))</f>
        <v>7506.1277893219549</v>
      </c>
      <c r="CN34" s="88">
        <f>MAX(AX34,($E34*IF(CN$2&gt;Inputs!$D$5,0,IF(CN$2&gt;VLOOKUP($H34,Lists!$P$3:$Q$7,2),IF($N34=Lists!$K$3,IF($L34&lt;1,(($U34/$L34)*((1+Inputs!$D$7)^CN$2)),((INT(CN$2/$L34)-INT((CN$2-1)/$L34))*$U34*((1+Inputs!$D$7)^CN$2))),(Inputs!$D$8^((1-_xlfn.WEIBULL.DIST(CN$2,$M34,$L34,FALSE))/_xlfn.WEIBULL.DIST(CN$2,$M34,$L34,FALSE))*$U34*((1+Inputs!$D$7)^CN$2))),IF($N34=Lists!$K$3,IF($L34&lt;1,((($T34*(1-$F34)+$S34*(1-$G34))/$L34)*((1+Inputs!$D$7)^CN$2)),((INT(CN$2/$L34)-INT((CN$2-1)/$L34))*($T34*(1-$F34)+$S34*(1-$G34))*((1+Inputs!$D$7)^CN$2))),((Inputs!$D$8^((1-_xlfn.WEIBULL.DIST(CN$2,$M34,$L34,FALSE))/_xlfn.WEIBULL.DIST(CN$2,$M34,$L34,FALSE))*($T34*(1-$F34)+$S34*(1-$G34))*((1+Inputs!$D$7)^CN$2))))))))</f>
        <v>7282.8506096108522</v>
      </c>
      <c r="CO34" s="88">
        <f>MAX(AY34,($E34*IF(CO$2&gt;Inputs!$D$5,0,IF(CO$2&gt;VLOOKUP($H34,Lists!$P$3:$Q$7,2),IF($N34=Lists!$K$3,IF($L34&lt;1,(($U34/$L34)*((1+Inputs!$D$7)^CO$2)),((INT(CO$2/$L34)-INT((CO$2-1)/$L34))*$U34*((1+Inputs!$D$7)^CO$2))),(Inputs!$D$8^((1-_xlfn.WEIBULL.DIST(CO$2,$M34,$L34,FALSE))/_xlfn.WEIBULL.DIST(CO$2,$M34,$L34,FALSE))*$U34*((1+Inputs!$D$7)^CO$2))),IF($N34=Lists!$K$3,IF($L34&lt;1,((($T34*(1-$F34)+$S34*(1-$G34))/$L34)*((1+Inputs!$D$7)^CO$2)),((INT(CO$2/$L34)-INT((CO$2-1)/$L34))*($T34*(1-$F34)+$S34*(1-$G34))*((1+Inputs!$D$7)^CO$2))),((Inputs!$D$8^((1-_xlfn.WEIBULL.DIST(CO$2,$M34,$L34,FALSE))/_xlfn.WEIBULL.DIST(CO$2,$M34,$L34,FALSE))*($T34*(1-$F34)+$S34*(1-$G34))*((1+Inputs!$D$7)^CO$2))))))))</f>
        <v>7066.2150299868999</v>
      </c>
      <c r="CP34" s="88">
        <f>MAX(AZ34,($E34*IF(CP$2&gt;Inputs!$D$5,0,IF(CP$2&gt;VLOOKUP($H34,Lists!$P$3:$Q$7,2),IF($N34=Lists!$K$3,IF($L34&lt;1,(($U34/$L34)*((1+Inputs!$D$7)^CP$2)),((INT(CP$2/$L34)-INT((CP$2-1)/$L34))*$U34*((1+Inputs!$D$7)^CP$2))),(Inputs!$D$8^((1-_xlfn.WEIBULL.DIST(CP$2,$M34,$L34,FALSE))/_xlfn.WEIBULL.DIST(CP$2,$M34,$L34,FALSE))*$U34*((1+Inputs!$D$7)^CP$2))),IF($N34=Lists!$K$3,IF($L34&lt;1,((($T34*(1-$F34)+$S34*(1-$G34))/$L34)*((1+Inputs!$D$7)^CP$2)),((INT(CP$2/$L34)-INT((CP$2-1)/$L34))*($T34*(1-$F34)+$S34*(1-$G34))*((1+Inputs!$D$7)^CP$2))),((Inputs!$D$8^((1-_xlfn.WEIBULL.DIST(CP$2,$M34,$L34,FALSE))/_xlfn.WEIBULL.DIST(CP$2,$M34,$L34,FALSE))*($T34*(1-$F34)+$S34*(1-$G34))*((1+Inputs!$D$7)^CP$2))))))))</f>
        <v>0</v>
      </c>
      <c r="CQ34" s="88">
        <f>MAX(BA34,($E34*IF(CQ$2&gt;Inputs!$D$5,0,IF(CQ$2&gt;VLOOKUP($H34,Lists!$P$3:$Q$7,2),IF($N34=Lists!$K$3,IF($L34&lt;1,(($U34/$L34)*((1+Inputs!$D$7)^CQ$2)),((INT(CQ$2/$L34)-INT((CQ$2-1)/$L34))*$U34*((1+Inputs!$D$7)^CQ$2))),(Inputs!$D$8^((1-_xlfn.WEIBULL.DIST(CQ$2,$M34,$L34,FALSE))/_xlfn.WEIBULL.DIST(CQ$2,$M34,$L34,FALSE))*$U34*((1+Inputs!$D$7)^CQ$2))),IF($N34=Lists!$K$3,IF($L34&lt;1,((($T34*(1-$F34)+$S34*(1-$G34))/$L34)*((1+Inputs!$D$7)^CQ$2)),((INT(CQ$2/$L34)-INT((CQ$2-1)/$L34))*($T34*(1-$F34)+$S34*(1-$G34))*((1+Inputs!$D$7)^CQ$2))),((Inputs!$D$8^((1-_xlfn.WEIBULL.DIST(CQ$2,$M34,$L34,FALSE))/_xlfn.WEIBULL.DIST(CQ$2,$M34,$L34,FALSE))*($T34*(1-$F34)+$S34*(1-$G34))*((1+Inputs!$D$7)^CQ$2))))))))</f>
        <v>0</v>
      </c>
      <c r="CR34" s="88">
        <f>MAX(BB34,($E34*IF(CR$2&gt;Inputs!$D$5,0,IF(CR$2&gt;VLOOKUP($H34,Lists!$P$3:$Q$7,2),IF($N34=Lists!$K$3,IF($L34&lt;1,(($U34/$L34)*((1+Inputs!$D$7)^CR$2)),((INT(CR$2/$L34)-INT((CR$2-1)/$L34))*$U34*((1+Inputs!$D$7)^CR$2))),(Inputs!$D$8^((1-_xlfn.WEIBULL.DIST(CR$2,$M34,$L34,FALSE))/_xlfn.WEIBULL.DIST(CR$2,$M34,$L34,FALSE))*$U34*((1+Inputs!$D$7)^CR$2))),IF($N34=Lists!$K$3,IF($L34&lt;1,((($T34*(1-$F34)+$S34*(1-$G34))/$L34)*((1+Inputs!$D$7)^CR$2)),((INT(CR$2/$L34)-INT((CR$2-1)/$L34))*($T34*(1-$F34)+$S34*(1-$G34))*((1+Inputs!$D$7)^CR$2))),((Inputs!$D$8^((1-_xlfn.WEIBULL.DIST(CR$2,$M34,$L34,FALSE))/_xlfn.WEIBULL.DIST(CR$2,$M34,$L34,FALSE))*($T34*(1-$F34)+$S34*(1-$G34))*((1+Inputs!$D$7)^CR$2))))))))</f>
        <v>0</v>
      </c>
      <c r="CS34" s="88">
        <f>MAX(BC34,($E34*IF(CS$2&gt;Inputs!$D$5,0,IF(CS$2&gt;VLOOKUP($H34,Lists!$P$3:$Q$7,2),IF($N34=Lists!$K$3,IF($L34&lt;1,(($U34/$L34)*((1+Inputs!$D$7)^CS$2)),((INT(CS$2/$L34)-INT((CS$2-1)/$L34))*$U34*((1+Inputs!$D$7)^CS$2))),(Inputs!$D$8^((1-_xlfn.WEIBULL.DIST(CS$2,$M34,$L34,FALSE))/_xlfn.WEIBULL.DIST(CS$2,$M34,$L34,FALSE))*$U34*((1+Inputs!$D$7)^CS$2))),IF($N34=Lists!$K$3,IF($L34&lt;1,((($T34*(1-$F34)+$S34*(1-$G34))/$L34)*((1+Inputs!$D$7)^CS$2)),((INT(CS$2/$L34)-INT((CS$2-1)/$L34))*($T34*(1-$F34)+$S34*(1-$G34))*((1+Inputs!$D$7)^CS$2))),((Inputs!$D$8^((1-_xlfn.WEIBULL.DIST(CS$2,$M34,$L34,FALSE))/_xlfn.WEIBULL.DIST(CS$2,$M34,$L34,FALSE))*($T34*(1-$F34)+$S34*(1-$G34))*((1+Inputs!$D$7)^CS$2))))))))</f>
        <v>0</v>
      </c>
      <c r="CT34" s="88">
        <f>MAX(BD34,($E34*IF(CT$2&gt;Inputs!$D$5,0,IF(CT$2&gt;VLOOKUP($H34,Lists!$P$3:$Q$7,2),IF($N34=Lists!$K$3,IF($L34&lt;1,(($U34/$L34)*((1+Inputs!$D$7)^CT$2)),((INT(CT$2/$L34)-INT((CT$2-1)/$L34))*$U34*((1+Inputs!$D$7)^CT$2))),(Inputs!$D$8^((1-_xlfn.WEIBULL.DIST(CT$2,$M34,$L34,FALSE))/_xlfn.WEIBULL.DIST(CT$2,$M34,$L34,FALSE))*$U34*((1+Inputs!$D$7)^CT$2))),IF($N34=Lists!$K$3,IF($L34&lt;1,((($T34*(1-$F34)+$S34*(1-$G34))/$L34)*((1+Inputs!$D$7)^CT$2)),((INT(CT$2/$L34)-INT((CT$2-1)/$L34))*($T34*(1-$F34)+$S34*(1-$G34))*((1+Inputs!$D$7)^CT$2))),((Inputs!$D$8^((1-_xlfn.WEIBULL.DIST(CT$2,$M34,$L34,FALSE))/_xlfn.WEIBULL.DIST(CT$2,$M34,$L34,FALSE))*($T34*(1-$F34)+$S34*(1-$G34))*((1+Inputs!$D$7)^CT$2))))))))</f>
        <v>0</v>
      </c>
      <c r="CU34" s="88">
        <f>MAX(BE34,($E34*IF(CU$2&gt;Inputs!$D$5,0,IF(CU$2&gt;VLOOKUP($H34,Lists!$P$3:$Q$7,2),IF($N34=Lists!$K$3,IF($L34&lt;1,(($U34/$L34)*((1+Inputs!$D$7)^CU$2)),((INT(CU$2/$L34)-INT((CU$2-1)/$L34))*$U34*((1+Inputs!$D$7)^CU$2))),(Inputs!$D$8^((1-_xlfn.WEIBULL.DIST(CU$2,$M34,$L34,FALSE))/_xlfn.WEIBULL.DIST(CU$2,$M34,$L34,FALSE))*$U34*((1+Inputs!$D$7)^CU$2))),IF($N34=Lists!$K$3,IF($L34&lt;1,((($T34*(1-$F34)+$S34*(1-$G34))/$L34)*((1+Inputs!$D$7)^CU$2)),((INT(CU$2/$L34)-INT((CU$2-1)/$L34))*($T34*(1-$F34)+$S34*(1-$G34))*((1+Inputs!$D$7)^CU$2))),((Inputs!$D$8^((1-_xlfn.WEIBULL.DIST(CU$2,$M34,$L34,FALSE))/_xlfn.WEIBULL.DIST(CU$2,$M34,$L34,FALSE))*($T34*(1-$F34)+$S34*(1-$G34))*((1+Inputs!$D$7)^CU$2))))))))</f>
        <v>0</v>
      </c>
      <c r="CV34" s="88">
        <f>MAX(BF34,($E34*IF(CV$2&gt;Inputs!$D$5,0,IF(CV$2&gt;VLOOKUP($H34,Lists!$P$3:$Q$7,2),IF($N34=Lists!$K$3,IF($L34&lt;1,(($U34/$L34)*((1+Inputs!$D$7)^CV$2)),((INT(CV$2/$L34)-INT((CV$2-1)/$L34))*$U34*((1+Inputs!$D$7)^CV$2))),(Inputs!$D$8^((1-_xlfn.WEIBULL.DIST(CV$2,$M34,$L34,FALSE))/_xlfn.WEIBULL.DIST(CV$2,$M34,$L34,FALSE))*$U34*((1+Inputs!$D$7)^CV$2))),IF($N34=Lists!$K$3,IF($L34&lt;1,((($T34*(1-$F34)+$S34*(1-$G34))/$L34)*((1+Inputs!$D$7)^CV$2)),((INT(CV$2/$L34)-INT((CV$2-1)/$L34))*($T34*(1-$F34)+$S34*(1-$G34))*((1+Inputs!$D$7)^CV$2))),((Inputs!$D$8^((1-_xlfn.WEIBULL.DIST(CV$2,$M34,$L34,FALSE))/_xlfn.WEIBULL.DIST(CV$2,$M34,$L34,FALSE))*($T34*(1-$F34)+$S34*(1-$G34))*((1+Inputs!$D$7)^CV$2))))))))</f>
        <v>0</v>
      </c>
      <c r="CW34" s="88">
        <f>MAX(BG34,($E34*IF(CW$2&gt;Inputs!$D$5,0,IF(CW$2&gt;VLOOKUP($H34,Lists!$P$3:$Q$7,2),IF($N34=Lists!$K$3,IF($L34&lt;1,(($U34/$L34)*((1+Inputs!$D$7)^CW$2)),((INT(CW$2/$L34)-INT((CW$2-1)/$L34))*$U34*((1+Inputs!$D$7)^CW$2))),(Inputs!$D$8^((1-_xlfn.WEIBULL.DIST(CW$2,$M34,$L34,FALSE))/_xlfn.WEIBULL.DIST(CW$2,$M34,$L34,FALSE))*$U34*((1+Inputs!$D$7)^CW$2))),IF($N34=Lists!$K$3,IF($L34&lt;1,((($T34*(1-$F34)+$S34*(1-$G34))/$L34)*((1+Inputs!$D$7)^CW$2)),((INT(CW$2/$L34)-INT((CW$2-1)/$L34))*($T34*(1-$F34)+$S34*(1-$G34))*((1+Inputs!$D$7)^CW$2))),((Inputs!$D$8^((1-_xlfn.WEIBULL.DIST(CW$2,$M34,$L34,FALSE))/_xlfn.WEIBULL.DIST(CW$2,$M34,$L34,FALSE))*($T34*(1-$F34)+$S34*(1-$G34))*((1+Inputs!$D$7)^CW$2))))))))</f>
        <v>0</v>
      </c>
      <c r="CX34" s="88">
        <f>MAX(BH34,($E34*IF(CX$2&gt;Inputs!$D$5,0,IF(CX$2&gt;VLOOKUP($H34,Lists!$P$3:$Q$7,2),IF($N34=Lists!$K$3,IF($L34&lt;1,(($U34/$L34)*((1+Inputs!$D$7)^CX$2)),((INT(CX$2/$L34)-INT((CX$2-1)/$L34))*$U34*((1+Inputs!$D$7)^CX$2))),(Inputs!$D$8^((1-_xlfn.WEIBULL.DIST(CX$2,$M34,$L34,FALSE))/_xlfn.WEIBULL.DIST(CX$2,$M34,$L34,FALSE))*$U34*((1+Inputs!$D$7)^CX$2))),IF($N34=Lists!$K$3,IF($L34&lt;1,((($T34*(1-$F34)+$S34*(1-$G34))/$L34)*((1+Inputs!$D$7)^CX$2)),((INT(CX$2/$L34)-INT((CX$2-1)/$L34))*($T34*(1-$F34)+$S34*(1-$G34))*((1+Inputs!$D$7)^CX$2))),((Inputs!$D$8^((1-_xlfn.WEIBULL.DIST(CX$2,$M34,$L34,FALSE))/_xlfn.WEIBULL.DIST(CX$2,$M34,$L34,FALSE))*($T34*(1-$F34)+$S34*(1-$G34))*((1+Inputs!$D$7)^CX$2))))))))</f>
        <v>0</v>
      </c>
      <c r="CY34" s="88">
        <f>MAX(BI34,($E34*IF(CY$2&gt;Inputs!$D$5,0,IF(CY$2&gt;VLOOKUP($H34,Lists!$P$3:$Q$7,2),IF($N34=Lists!$K$3,IF($L34&lt;1,(($U34/$L34)*((1+Inputs!$D$7)^CY$2)),((INT(CY$2/$L34)-INT((CY$2-1)/$L34))*$U34*((1+Inputs!$D$7)^CY$2))),(Inputs!$D$8^((1-_xlfn.WEIBULL.DIST(CY$2,$M34,$L34,FALSE))/_xlfn.WEIBULL.DIST(CY$2,$M34,$L34,FALSE))*$U34*((1+Inputs!$D$7)^CY$2))),IF($N34=Lists!$K$3,IF($L34&lt;1,((($T34*(1-$F34)+$S34*(1-$G34))/$L34)*((1+Inputs!$D$7)^CY$2)),((INT(CY$2/$L34)-INT((CY$2-1)/$L34))*($T34*(1-$F34)+$S34*(1-$G34))*((1+Inputs!$D$7)^CY$2))),((Inputs!$D$8^((1-_xlfn.WEIBULL.DIST(CY$2,$M34,$L34,FALSE))/_xlfn.WEIBULL.DIST(CY$2,$M34,$L34,FALSE))*($T34*(1-$F34)+$S34*(1-$G34))*((1+Inputs!$D$7)^CY$2))))))))</f>
        <v>0</v>
      </c>
      <c r="CZ34" s="88">
        <f>MAX(BJ34,($E34*IF(CZ$2&gt;Inputs!$D$5,0,IF(CZ$2&gt;VLOOKUP($H34,Lists!$P$3:$Q$7,2),IF($N34=Lists!$K$3,IF($L34&lt;1,(($U34/$L34)*((1+Inputs!$D$7)^CZ$2)),((INT(CZ$2/$L34)-INT((CZ$2-1)/$L34))*$U34*((1+Inputs!$D$7)^CZ$2))),(Inputs!$D$8^((1-_xlfn.WEIBULL.DIST(CZ$2,$M34,$L34,FALSE))/_xlfn.WEIBULL.DIST(CZ$2,$M34,$L34,FALSE))*$U34*((1+Inputs!$D$7)^CZ$2))),IF($N34=Lists!$K$3,IF($L34&lt;1,((($T34*(1-$F34)+$S34*(1-$G34))/$L34)*((1+Inputs!$D$7)^CZ$2)),((INT(CZ$2/$L34)-INT((CZ$2-1)/$L34))*($T34*(1-$F34)+$S34*(1-$G34))*((1+Inputs!$D$7)^CZ$2))),((Inputs!$D$8^((1-_xlfn.WEIBULL.DIST(CZ$2,$M34,$L34,FALSE))/_xlfn.WEIBULL.DIST(CZ$2,$M34,$L34,FALSE))*($T34*(1-$F34)+$S34*(1-$G34))*((1+Inputs!$D$7)^CZ$2))))))))</f>
        <v>0</v>
      </c>
      <c r="DA34" s="88">
        <f>MAX(BK34,($E34*IF(DA$2&gt;Inputs!$D$5,0,IF(DA$2&gt;VLOOKUP($H34,Lists!$P$3:$Q$7,2),IF($N34=Lists!$K$3,IF($L34&lt;1,(($U34/$L34)*((1+Inputs!$D$7)^DA$2)),((INT(DA$2/$L34)-INT((DA$2-1)/$L34))*$U34*((1+Inputs!$D$7)^DA$2))),(Inputs!$D$8^((1-_xlfn.WEIBULL.DIST(DA$2,$M34,$L34,FALSE))/_xlfn.WEIBULL.DIST(DA$2,$M34,$L34,FALSE))*$U34*((1+Inputs!$D$7)^DA$2))),IF($N34=Lists!$K$3,IF($L34&lt;1,((($T34*(1-$F34)+$S34*(1-$G34))/$L34)*((1+Inputs!$D$7)^DA$2)),((INT(DA$2/$L34)-INT((DA$2-1)/$L34))*($T34*(1-$F34)+$S34*(1-$G34))*((1+Inputs!$D$7)^DA$2))),((Inputs!$D$8^((1-_xlfn.WEIBULL.DIST(DA$2,$M34,$L34,FALSE))/_xlfn.WEIBULL.DIST(DA$2,$M34,$L34,FALSE))*($T34*(1-$F34)+$S34*(1-$G34))*((1+Inputs!$D$7)^DA$2))))))))</f>
        <v>0</v>
      </c>
      <c r="DB34" s="88">
        <f>MAX(BL34,($E34*IF(DB$2&gt;Inputs!$D$5,0,IF(DB$2&gt;VLOOKUP($H34,Lists!$P$3:$Q$7,2),IF($N34=Lists!$K$3,IF($L34&lt;1,(($U34/$L34)*((1+Inputs!$D$7)^DB$2)),((INT(DB$2/$L34)-INT((DB$2-1)/$L34))*$U34*((1+Inputs!$D$7)^DB$2))),(Inputs!$D$8^((1-_xlfn.WEIBULL.DIST(DB$2,$M34,$L34,FALSE))/_xlfn.WEIBULL.DIST(DB$2,$M34,$L34,FALSE))*$U34*((1+Inputs!$D$7)^DB$2))),IF($N34=Lists!$K$3,IF($L34&lt;1,((($T34*(1-$F34)+$S34*(1-$G34))/$L34)*((1+Inputs!$D$7)^DB$2)),((INT(DB$2/$L34)-INT((DB$2-1)/$L34))*($T34*(1-$F34)+$S34*(1-$G34))*((1+Inputs!$D$7)^DB$2))),((Inputs!$D$8^((1-_xlfn.WEIBULL.DIST(DB$2,$M34,$L34,FALSE))/_xlfn.WEIBULL.DIST(DB$2,$M34,$L34,FALSE))*($T34*(1-$F34)+$S34*(1-$G34))*((1+Inputs!$D$7)^DB$2))))))))</f>
        <v>0</v>
      </c>
      <c r="DC34" s="88">
        <f>MAX(BM34,($E34*IF(DC$2&gt;Inputs!$D$5,0,IF(DC$2&gt;VLOOKUP($H34,Lists!$P$3:$Q$7,2),IF($N34=Lists!$K$3,IF($L34&lt;1,(($U34/$L34)*((1+Inputs!$D$7)^DC$2)),((INT(DC$2/$L34)-INT((DC$2-1)/$L34))*$U34*((1+Inputs!$D$7)^DC$2))),(Inputs!$D$8^((1-_xlfn.WEIBULL.DIST(DC$2,$M34,$L34,FALSE))/_xlfn.WEIBULL.DIST(DC$2,$M34,$L34,FALSE))*$U34*((1+Inputs!$D$7)^DC$2))),IF($N34=Lists!$K$3,IF($L34&lt;1,((($T34*(1-$F34)+$S34*(1-$G34))/$L34)*((1+Inputs!$D$7)^DC$2)),((INT(DC$2/$L34)-INT((DC$2-1)/$L34))*($T34*(1-$F34)+$S34*(1-$G34))*((1+Inputs!$D$7)^DC$2))),((Inputs!$D$8^((1-_xlfn.WEIBULL.DIST(DC$2,$M34,$L34,FALSE))/_xlfn.WEIBULL.DIST(DC$2,$M34,$L34,FALSE))*($T34*(1-$F34)+$S34*(1-$G34))*((1+Inputs!$D$7)^DC$2))))))))</f>
        <v>0</v>
      </c>
      <c r="DD34" s="88">
        <f>MAX(BN34,($E34*IF(DD$2&gt;Inputs!$D$5,0,IF(DD$2&gt;VLOOKUP($H34,Lists!$P$3:$Q$7,2),IF($N34=Lists!$K$3,IF($L34&lt;1,(($U34/$L34)*((1+Inputs!$D$7)^DD$2)),((INT(DD$2/$L34)-INT((DD$2-1)/$L34))*$U34*((1+Inputs!$D$7)^DD$2))),(Inputs!$D$8^((1-_xlfn.WEIBULL.DIST(DD$2,$M34,$L34,FALSE))/_xlfn.WEIBULL.DIST(DD$2,$M34,$L34,FALSE))*$U34*((1+Inputs!$D$7)^DD$2))),IF($N34=Lists!$K$3,IF($L34&lt;1,((($T34*(1-$F34)+$S34*(1-$G34))/$L34)*((1+Inputs!$D$7)^DD$2)),((INT(DD$2/$L34)-INT((DD$2-1)/$L34))*($T34*(1-$F34)+$S34*(1-$G34))*((1+Inputs!$D$7)^DD$2))),((Inputs!$D$8^((1-_xlfn.WEIBULL.DIST(DD$2,$M34,$L34,FALSE))/_xlfn.WEIBULL.DIST(DD$2,$M34,$L34,FALSE))*($T34*(1-$F34)+$S34*(1-$G34))*((1+Inputs!$D$7)^DD$2))))))))</f>
        <v>0</v>
      </c>
    </row>
    <row r="35" spans="1:108" s="1" customFormat="1" ht="16">
      <c r="A35" s="57" t="s">
        <v>190</v>
      </c>
      <c r="B35" s="13" t="s">
        <v>130</v>
      </c>
      <c r="C35" s="13" t="s">
        <v>474</v>
      </c>
      <c r="D35" s="13" t="s">
        <v>16</v>
      </c>
      <c r="E35" s="48">
        <f>IF(Inputs!$D$30=Lists!$M$4,1,0)</f>
        <v>1</v>
      </c>
      <c r="F35" s="48">
        <v>1</v>
      </c>
      <c r="G35" s="48">
        <v>0</v>
      </c>
      <c r="H35" s="105" t="s">
        <v>16</v>
      </c>
      <c r="I35" s="14" t="s">
        <v>264</v>
      </c>
      <c r="J35" s="14" t="s">
        <v>91</v>
      </c>
      <c r="K35" s="13">
        <f>VLOOKUP(J35,'Labor Rates'!$A$1:$F$16,2)</f>
        <v>33.17307692307692</v>
      </c>
      <c r="L35" s="15">
        <v>20</v>
      </c>
      <c r="M35" s="15">
        <v>1</v>
      </c>
      <c r="N35" s="16" t="s">
        <v>226</v>
      </c>
      <c r="O35" s="61">
        <f>Inputs!$D$32</f>
        <v>10</v>
      </c>
      <c r="P35" s="15">
        <v>2</v>
      </c>
      <c r="Q35" s="15">
        <f t="shared" ref="Q35:Q66" si="7">O35*P35/L35</f>
        <v>1</v>
      </c>
      <c r="R35" s="4">
        <v>40</v>
      </c>
      <c r="S35" s="53">
        <f t="shared" ref="S35:S66" si="8">P35*O35*K35</f>
        <v>663.46153846153834</v>
      </c>
      <c r="T35" s="53">
        <f t="shared" ref="T35:T66" si="9">R35*O35</f>
        <v>400</v>
      </c>
      <c r="U35" s="54">
        <f t="shared" ref="U35:U66" si="10">E35*(T35+S35)</f>
        <v>1063.4615384615383</v>
      </c>
      <c r="V35" s="65"/>
      <c r="W35" s="58"/>
      <c r="X35" s="64">
        <f t="shared" ref="X35:X66" si="11">AVERAGE(AA35:AT35)</f>
        <v>30.812886309996891</v>
      </c>
      <c r="Y35" s="64">
        <f>NPV(Inputs!$D$6,AA35:BN35)</f>
        <v>351.00847236466586</v>
      </c>
      <c r="Z35" s="67">
        <f t="shared" ref="Z35:Z66" si="12">Y35/SUM($Y$3:$Y$136)</f>
        <v>1.6555273204928438E-4</v>
      </c>
      <c r="AA35" s="88">
        <f>$E35*IF(AA$2&gt;Inputs!$D$5,0,IF(AA$2&gt;VLOOKUP($H35,Lists!$P$3:$Q$7,2),IF($N35=Lists!$K$3,IF($L35&lt;1,(($U35/$L35)*((1+Inputs!$D$7)^AA$2)),((INT(AA$2/$L35)-INT((AA$2-1)/$L35))*$U35*((1+Inputs!$D$7)^AA$2))),(_xlfn.WEIBULL.DIST(AA$2,$M35,$L35,FALSE)*$U35*((1+Inputs!$D$7)^AA$2))),IF($N35=Lists!$K$3,IF($L35&lt;1,((($T35*(1-$F35)+$S35*(1-$G35))/$L35)*((1+Inputs!$D$7)^AA$2)),((INT(AA$2/$L35)-INT((AA$2-1)/$L35))*($T35*(1-$F35)+$S35*(1-$G35))*((1+Inputs!$D$7)^AA$2))),((_xlfn.WEIBULL.DIST(AA$2,$M35,$L35,FALSE)*($T35*(1-$F35)+$S35*(1-$G35))*((1+Inputs!$D$7)^AA$2))))))</f>
        <v>32.186311007865505</v>
      </c>
      <c r="AB35" s="88">
        <f>$E35*IF(AB$2&gt;Inputs!$D$5,0,IF(AB$2&gt;VLOOKUP($H35,Lists!$P$3:$Q$7,2),IF($N35=Lists!$K$3,IF($L35&lt;1,(($U35/$L35)*((1+Inputs!$D$7)^AB$2)),((INT(AB$2/$L35)-INT((AB$2-1)/$L35))*$U35*((1+Inputs!$D$7)^AB$2))),(_xlfn.WEIBULL.DIST(AB$2,$M35,$L35,FALSE)*$U35*((1+Inputs!$D$7)^AB$2))),IF($N35=Lists!$K$3,IF($L35&lt;1,((($T35*(1-$F35)+$S35*(1-$G35))/$L35)*((1+Inputs!$D$7)^AB$2)),((INT(AB$2/$L35)-INT((AB$2-1)/$L35))*($T35*(1-$F35)+$S35*(1-$G35))*((1+Inputs!$D$7)^AB$2))),((_xlfn.WEIBULL.DIST(AB$2,$M35,$L35,FALSE)*($T35*(1-$F35)+$S35*(1-$G35))*((1+Inputs!$D$7)^AB$2))))))</f>
        <v>31.22889741874916</v>
      </c>
      <c r="AC35" s="88">
        <f>$E35*IF(AC$2&gt;Inputs!$D$5,0,IF(AC$2&gt;VLOOKUP($H35,Lists!$P$3:$Q$7,2),IF($N35=Lists!$K$3,IF($L35&lt;1,(($U35/$L35)*((1+Inputs!$D$7)^AC$2)),((INT(AC$2/$L35)-INT((AC$2-1)/$L35))*$U35*((1+Inputs!$D$7)^AC$2))),(_xlfn.WEIBULL.DIST(AC$2,$M35,$L35,FALSE)*$U35*((1+Inputs!$D$7)^AC$2))),IF($N35=Lists!$K$3,IF($L35&lt;1,((($T35*(1-$F35)+$S35*(1-$G35))/$L35)*((1+Inputs!$D$7)^AC$2)),((INT(AC$2/$L35)-INT((AC$2-1)/$L35))*($T35*(1-$F35)+$S35*(1-$G35))*((1+Inputs!$D$7)^AC$2))),((_xlfn.WEIBULL.DIST(AC$2,$M35,$L35,FALSE)*($T35*(1-$F35)+$S35*(1-$G35))*((1+Inputs!$D$7)^AC$2))))))</f>
        <v>30.299963041817168</v>
      </c>
      <c r="AD35" s="88">
        <f>$E35*IF(AD$2&gt;Inputs!$D$5,0,IF(AD$2&gt;VLOOKUP($H35,Lists!$P$3:$Q$7,2),IF($N35=Lists!$K$3,IF($L35&lt;1,(($U35/$L35)*((1+Inputs!$D$7)^AD$2)),((INT(AD$2/$L35)-INT((AD$2-1)/$L35))*$U35*((1+Inputs!$D$7)^AD$2))),(_xlfn.WEIBULL.DIST(AD$2,$M35,$L35,FALSE)*$U35*((1+Inputs!$D$7)^AD$2))),IF($N35=Lists!$K$3,IF($L35&lt;1,((($T35*(1-$F35)+$S35*(1-$G35))/$L35)*((1+Inputs!$D$7)^AD$2)),((INT(AD$2/$L35)-INT((AD$2-1)/$L35))*($T35*(1-$F35)+$S35*(1-$G35))*((1+Inputs!$D$7)^AD$2))),((_xlfn.WEIBULL.DIST(AD$2,$M35,$L35,FALSE)*($T35*(1-$F35)+$S35*(1-$G35))*((1+Inputs!$D$7)^AD$2))))))</f>
        <v>29.398660734793861</v>
      </c>
      <c r="AE35" s="88">
        <f>$E35*IF(AE$2&gt;Inputs!$D$5,0,IF(AE$2&gt;VLOOKUP($H35,Lists!$P$3:$Q$7,2),IF($N35=Lists!$K$3,IF($L35&lt;1,(($U35/$L35)*((1+Inputs!$D$7)^AE$2)),((INT(AE$2/$L35)-INT((AE$2-1)/$L35))*$U35*((1+Inputs!$D$7)^AE$2))),(_xlfn.WEIBULL.DIST(AE$2,$M35,$L35,FALSE)*$U35*((1+Inputs!$D$7)^AE$2))),IF($N35=Lists!$K$3,IF($L35&lt;1,((($T35*(1-$F35)+$S35*(1-$G35))/$L35)*((1+Inputs!$D$7)^AE$2)),((INT(AE$2/$L35)-INT((AE$2-1)/$L35))*($T35*(1-$F35)+$S35*(1-$G35))*((1+Inputs!$D$7)^AE$2))),((_xlfn.WEIBULL.DIST(AE$2,$M35,$L35,FALSE)*($T35*(1-$F35)+$S35*(1-$G35))*((1+Inputs!$D$7)^AE$2))))))</f>
        <v>28.524168554486696</v>
      </c>
      <c r="AF35" s="88">
        <f>$E35*IF(AF$2&gt;Inputs!$D$5,0,IF(AF$2&gt;VLOOKUP($H35,Lists!$P$3:$Q$7,2),IF($N35=Lists!$K$3,IF($L35&lt;1,(($U35/$L35)*((1+Inputs!$D$7)^AF$2)),((INT(AF$2/$L35)-INT((AF$2-1)/$L35))*$U35*((1+Inputs!$D$7)^AF$2))),(_xlfn.WEIBULL.DIST(AF$2,$M35,$L35,FALSE)*$U35*((1+Inputs!$D$7)^AF$2))),IF($N35=Lists!$K$3,IF($L35&lt;1,((($T35*(1-$F35)+$S35*(1-$G35))/$L35)*((1+Inputs!$D$7)^AF$2)),((INT(AF$2/$L35)-INT((AF$2-1)/$L35))*($T35*(1-$F35)+$S35*(1-$G35))*((1+Inputs!$D$7)^AF$2))),((_xlfn.WEIBULL.DIST(AF$2,$M35,$L35,FALSE)*($T35*(1-$F35)+$S35*(1-$G35))*((1+Inputs!$D$7)^AF$2))))))</f>
        <v>27.675689007214665</v>
      </c>
      <c r="AG35" s="88">
        <f>$E35*IF(AG$2&gt;Inputs!$D$5,0,IF(AG$2&gt;VLOOKUP($H35,Lists!$P$3:$Q$7,2),IF($N35=Lists!$K$3,IF($L35&lt;1,(($U35/$L35)*((1+Inputs!$D$7)^AG$2)),((INT(AG$2/$L35)-INT((AG$2-1)/$L35))*$U35*((1+Inputs!$D$7)^AG$2))),(_xlfn.WEIBULL.DIST(AG$2,$M35,$L35,FALSE)*$U35*((1+Inputs!$D$7)^AG$2))),IF($N35=Lists!$K$3,IF($L35&lt;1,((($T35*(1-$F35)+$S35*(1-$G35))/$L35)*((1+Inputs!$D$7)^AG$2)),((INT(AG$2/$L35)-INT((AG$2-1)/$L35))*($T35*(1-$F35)+$S35*(1-$G35))*((1+Inputs!$D$7)^AG$2))),((_xlfn.WEIBULL.DIST(AG$2,$M35,$L35,FALSE)*($T35*(1-$F35)+$S35*(1-$G35))*((1+Inputs!$D$7)^AG$2))))))</f>
        <v>26.852448321533402</v>
      </c>
      <c r="AH35" s="88">
        <f>$E35*IF(AH$2&gt;Inputs!$D$5,0,IF(AH$2&gt;VLOOKUP($H35,Lists!$P$3:$Q$7,2),IF($N35=Lists!$K$3,IF($L35&lt;1,(($U35/$L35)*((1+Inputs!$D$7)^AH$2)),((INT(AH$2/$L35)-INT((AH$2-1)/$L35))*$U35*((1+Inputs!$D$7)^AH$2))),(_xlfn.WEIBULL.DIST(AH$2,$M35,$L35,FALSE)*$U35*((1+Inputs!$D$7)^AH$2))),IF($N35=Lists!$K$3,IF($L35&lt;1,((($T35*(1-$F35)+$S35*(1-$G35))/$L35)*((1+Inputs!$D$7)^AH$2)),((INT(AH$2/$L35)-INT((AH$2-1)/$L35))*($T35*(1-$F35)+$S35*(1-$G35))*((1+Inputs!$D$7)^AH$2))),((_xlfn.WEIBULL.DIST(AH$2,$M35,$L35,FALSE)*($T35*(1-$F35)+$S35*(1-$G35))*((1+Inputs!$D$7)^AH$2))))))</f>
        <v>26.053695742593934</v>
      </c>
      <c r="AI35" s="88">
        <f>$E35*IF(AI$2&gt;Inputs!$D$5,0,IF(AI$2&gt;VLOOKUP($H35,Lists!$P$3:$Q$7,2),IF($N35=Lists!$K$3,IF($L35&lt;1,(($U35/$L35)*((1+Inputs!$D$7)^AI$2)),((INT(AI$2/$L35)-INT((AI$2-1)/$L35))*$U35*((1+Inputs!$D$7)^AI$2))),(_xlfn.WEIBULL.DIST(AI$2,$M35,$L35,FALSE)*$U35*((1+Inputs!$D$7)^AI$2))),IF($N35=Lists!$K$3,IF($L35&lt;1,((($T35*(1-$F35)+$S35*(1-$G35))/$L35)*((1+Inputs!$D$7)^AI$2)),((INT(AI$2/$L35)-INT((AI$2-1)/$L35))*($T35*(1-$F35)+$S35*(1-$G35))*((1+Inputs!$D$7)^AI$2))),((_xlfn.WEIBULL.DIST(AI$2,$M35,$L35,FALSE)*($T35*(1-$F35)+$S35*(1-$G35))*((1+Inputs!$D$7)^AI$2))))))</f>
        <v>25.278702847491218</v>
      </c>
      <c r="AJ35" s="88">
        <f>$E35*IF(AJ$2&gt;Inputs!$D$5,0,IF(AJ$2&gt;VLOOKUP($H35,Lists!$P$3:$Q$7,2),IF($N35=Lists!$K$3,IF($L35&lt;1,(($U35/$L35)*((1+Inputs!$D$7)^AJ$2)),((INT(AJ$2/$L35)-INT((AJ$2-1)/$L35))*$U35*((1+Inputs!$D$7)^AJ$2))),(_xlfn.WEIBULL.DIST(AJ$2,$M35,$L35,FALSE)*$U35*((1+Inputs!$D$7)^AJ$2))),IF($N35=Lists!$K$3,IF($L35&lt;1,((($T35*(1-$F35)+$S35*(1-$G35))/$L35)*((1+Inputs!$D$7)^AJ$2)),((INT(AJ$2/$L35)-INT((AJ$2-1)/$L35))*($T35*(1-$F35)+$S35*(1-$G35))*((1+Inputs!$D$7)^AJ$2))),((_xlfn.WEIBULL.DIST(AJ$2,$M35,$L35,FALSE)*($T35*(1-$F35)+$S35*(1-$G35))*((1+Inputs!$D$7)^AJ$2))))))</f>
        <v>24.526762880978502</v>
      </c>
      <c r="AK35" s="88">
        <f>$E35*IF(AK$2&gt;Inputs!$D$5,0,IF(AK$2&gt;VLOOKUP($H35,Lists!$P$3:$Q$7,2),IF($N35=Lists!$K$3,IF($L35&lt;1,(($U35/$L35)*((1+Inputs!$D$7)^AK$2)),((INT(AK$2/$L35)-INT((AK$2-1)/$L35))*$U35*((1+Inputs!$D$7)^AK$2))),(_xlfn.WEIBULL.DIST(AK$2,$M35,$L35,FALSE)*$U35*((1+Inputs!$D$7)^AK$2))),IF($N35=Lists!$K$3,IF($L35&lt;1,((($T35*(1-$F35)+$S35*(1-$G35))/$L35)*((1+Inputs!$D$7)^AK$2)),((INT(AK$2/$L35)-INT((AK$2-1)/$L35))*($T35*(1-$F35)+$S35*(1-$G35))*((1+Inputs!$D$7)^AK$2))),((_xlfn.WEIBULL.DIST(AK$2,$M35,$L35,FALSE)*($T35*(1-$F35)+$S35*(1-$G35))*((1+Inputs!$D$7)^AK$2))))))</f>
        <v>38.144481540146693</v>
      </c>
      <c r="AL35" s="88">
        <f>$E35*IF(AL$2&gt;Inputs!$D$5,0,IF(AL$2&gt;VLOOKUP($H35,Lists!$P$3:$Q$7,2),IF($N35=Lists!$K$3,IF($L35&lt;1,(($U35/$L35)*((1+Inputs!$D$7)^AL$2)),((INT(AL$2/$L35)-INT((AL$2-1)/$L35))*$U35*((1+Inputs!$D$7)^AL$2))),(_xlfn.WEIBULL.DIST(AL$2,$M35,$L35,FALSE)*$U35*((1+Inputs!$D$7)^AL$2))),IF($N35=Lists!$K$3,IF($L35&lt;1,((($T35*(1-$F35)+$S35*(1-$G35))/$L35)*((1+Inputs!$D$7)^AL$2)),((INT(AL$2/$L35)-INT((AL$2-1)/$L35))*($T35*(1-$F35)+$S35*(1-$G35))*((1+Inputs!$D$7)^AL$2))),((_xlfn.WEIBULL.DIST(AL$2,$M35,$L35,FALSE)*($T35*(1-$F35)+$S35*(1-$G35))*((1+Inputs!$D$7)^AL$2))))))</f>
        <v>37.009836287778093</v>
      </c>
      <c r="AM35" s="88">
        <f>$E35*IF(AM$2&gt;Inputs!$D$5,0,IF(AM$2&gt;VLOOKUP($H35,Lists!$P$3:$Q$7,2),IF($N35=Lists!$K$3,IF($L35&lt;1,(($U35/$L35)*((1+Inputs!$D$7)^AM$2)),((INT(AM$2/$L35)-INT((AM$2-1)/$L35))*$U35*((1+Inputs!$D$7)^AM$2))),(_xlfn.WEIBULL.DIST(AM$2,$M35,$L35,FALSE)*$U35*((1+Inputs!$D$7)^AM$2))),IF($N35=Lists!$K$3,IF($L35&lt;1,((($T35*(1-$F35)+$S35*(1-$G35))/$L35)*((1+Inputs!$D$7)^AM$2)),((INT(AM$2/$L35)-INT((AM$2-1)/$L35))*($T35*(1-$F35)+$S35*(1-$G35))*((1+Inputs!$D$7)^AM$2))),((_xlfn.WEIBULL.DIST(AM$2,$M35,$L35,FALSE)*($T35*(1-$F35)+$S35*(1-$G35))*((1+Inputs!$D$7)^AM$2))))))</f>
        <v>35.908942178346571</v>
      </c>
      <c r="AN35" s="88">
        <f>$E35*IF(AN$2&gt;Inputs!$D$5,0,IF(AN$2&gt;VLOOKUP($H35,Lists!$P$3:$Q$7,2),IF($N35=Lists!$K$3,IF($L35&lt;1,(($U35/$L35)*((1+Inputs!$D$7)^AN$2)),((INT(AN$2/$L35)-INT((AN$2-1)/$L35))*$U35*((1+Inputs!$D$7)^AN$2))),(_xlfn.WEIBULL.DIST(AN$2,$M35,$L35,FALSE)*$U35*((1+Inputs!$D$7)^AN$2))),IF($N35=Lists!$K$3,IF($L35&lt;1,((($T35*(1-$F35)+$S35*(1-$G35))/$L35)*((1+Inputs!$D$7)^AN$2)),((INT(AN$2/$L35)-INT((AN$2-1)/$L35))*($T35*(1-$F35)+$S35*(1-$G35))*((1+Inputs!$D$7)^AN$2))),((_xlfn.WEIBULL.DIST(AN$2,$M35,$L35,FALSE)*($T35*(1-$F35)+$S35*(1-$G35))*((1+Inputs!$D$7)^AN$2))))))</f>
        <v>34.840795250792787</v>
      </c>
      <c r="AO35" s="88">
        <f>$E35*IF(AO$2&gt;Inputs!$D$5,0,IF(AO$2&gt;VLOOKUP($H35,Lists!$P$3:$Q$7,2),IF($N35=Lists!$K$3,IF($L35&lt;1,(($U35/$L35)*((1+Inputs!$D$7)^AO$2)),((INT(AO$2/$L35)-INT((AO$2-1)/$L35))*$U35*((1+Inputs!$D$7)^AO$2))),(_xlfn.WEIBULL.DIST(AO$2,$M35,$L35,FALSE)*$U35*((1+Inputs!$D$7)^AO$2))),IF($N35=Lists!$K$3,IF($L35&lt;1,((($T35*(1-$F35)+$S35*(1-$G35))/$L35)*((1+Inputs!$D$7)^AO$2)),((INT(AO$2/$L35)-INT((AO$2-1)/$L35))*($T35*(1-$F35)+$S35*(1-$G35))*((1+Inputs!$D$7)^AO$2))),((_xlfn.WEIBULL.DIST(AO$2,$M35,$L35,FALSE)*($T35*(1-$F35)+$S35*(1-$G35))*((1+Inputs!$D$7)^AO$2))))))</f>
        <v>33.804421407870002</v>
      </c>
      <c r="AP35" s="88">
        <f>$E35*IF(AP$2&gt;Inputs!$D$5,0,IF(AP$2&gt;VLOOKUP($H35,Lists!$P$3:$Q$7,2),IF($N35=Lists!$K$3,IF($L35&lt;1,(($U35/$L35)*((1+Inputs!$D$7)^AP$2)),((INT(AP$2/$L35)-INT((AP$2-1)/$L35))*$U35*((1+Inputs!$D$7)^AP$2))),(_xlfn.WEIBULL.DIST(AP$2,$M35,$L35,FALSE)*$U35*((1+Inputs!$D$7)^AP$2))),IF($N35=Lists!$K$3,IF($L35&lt;1,((($T35*(1-$F35)+$S35*(1-$G35))/$L35)*((1+Inputs!$D$7)^AP$2)),((INT(AP$2/$L35)-INT((AP$2-1)/$L35))*($T35*(1-$F35)+$S35*(1-$G35))*((1+Inputs!$D$7)^AP$2))),((_xlfn.WEIBULL.DIST(AP$2,$M35,$L35,FALSE)*($T35*(1-$F35)+$S35*(1-$G35))*((1+Inputs!$D$7)^AP$2))))))</f>
        <v>32.798875527815554</v>
      </c>
      <c r="AQ35" s="88">
        <f>$E35*IF(AQ$2&gt;Inputs!$D$5,0,IF(AQ$2&gt;VLOOKUP($H35,Lists!$P$3:$Q$7,2),IF($N35=Lists!$K$3,IF($L35&lt;1,(($U35/$L35)*((1+Inputs!$D$7)^AQ$2)),((INT(AQ$2/$L35)-INT((AQ$2-1)/$L35))*$U35*((1+Inputs!$D$7)^AQ$2))),(_xlfn.WEIBULL.DIST(AQ$2,$M35,$L35,FALSE)*$U35*((1+Inputs!$D$7)^AQ$2))),IF($N35=Lists!$K$3,IF($L35&lt;1,((($T35*(1-$F35)+$S35*(1-$G35))/$L35)*((1+Inputs!$D$7)^AQ$2)),((INT(AQ$2/$L35)-INT((AQ$2-1)/$L35))*($T35*(1-$F35)+$S35*(1-$G35))*((1+Inputs!$D$7)^AQ$2))),((_xlfn.WEIBULL.DIST(AQ$2,$M35,$L35,FALSE)*($T35*(1-$F35)+$S35*(1-$G35))*((1+Inputs!$D$7)^AQ$2))))))</f>
        <v>31.823240602446443</v>
      </c>
      <c r="AR35" s="88">
        <f>$E35*IF(AR$2&gt;Inputs!$D$5,0,IF(AR$2&gt;VLOOKUP($H35,Lists!$P$3:$Q$7,2),IF($N35=Lists!$K$3,IF($L35&lt;1,(($U35/$L35)*((1+Inputs!$D$7)^AR$2)),((INT(AR$2/$L35)-INT((AR$2-1)/$L35))*$U35*((1+Inputs!$D$7)^AR$2))),(_xlfn.WEIBULL.DIST(AR$2,$M35,$L35,FALSE)*$U35*((1+Inputs!$D$7)^AR$2))),IF($N35=Lists!$K$3,IF($L35&lt;1,((($T35*(1-$F35)+$S35*(1-$G35))/$L35)*((1+Inputs!$D$7)^AR$2)),((INT(AR$2/$L35)-INT((AR$2-1)/$L35))*($T35*(1-$F35)+$S35*(1-$G35))*((1+Inputs!$D$7)^AR$2))),((_xlfn.WEIBULL.DIST(AR$2,$M35,$L35,FALSE)*($T35*(1-$F35)+$S35*(1-$G35))*((1+Inputs!$D$7)^AR$2))))))</f>
        <v>30.876626900893136</v>
      </c>
      <c r="AS35" s="88">
        <f>$E35*IF(AS$2&gt;Inputs!$D$5,0,IF(AS$2&gt;VLOOKUP($H35,Lists!$P$3:$Q$7,2),IF($N35=Lists!$K$3,IF($L35&lt;1,(($U35/$L35)*((1+Inputs!$D$7)^AS$2)),((INT(AS$2/$L35)-INT((AS$2-1)/$L35))*$U35*((1+Inputs!$D$7)^AS$2))),(_xlfn.WEIBULL.DIST(AS$2,$M35,$L35,FALSE)*$U35*((1+Inputs!$D$7)^AS$2))),IF($N35=Lists!$K$3,IF($L35&lt;1,((($T35*(1-$F35)+$S35*(1-$G35))/$L35)*((1+Inputs!$D$7)^AS$2)),((INT(AS$2/$L35)-INT((AS$2-1)/$L35))*($T35*(1-$F35)+$S35*(1-$G35))*((1+Inputs!$D$7)^AS$2))),((_xlfn.WEIBULL.DIST(AS$2,$M35,$L35,FALSE)*($T35*(1-$F35)+$S35*(1-$G35))*((1+Inputs!$D$7)^AS$2))))))</f>
        <v>29.958171158209037</v>
      </c>
      <c r="AT35" s="88">
        <f>$E35*IF(AT$2&gt;Inputs!$D$5,0,IF(AT$2&gt;VLOOKUP($H35,Lists!$P$3:$Q$7,2),IF($N35=Lists!$K$3,IF($L35&lt;1,(($U35/$L35)*((1+Inputs!$D$7)^AT$2)),((INT(AT$2/$L35)-INT((AT$2-1)/$L35))*$U35*((1+Inputs!$D$7)^AT$2))),(_xlfn.WEIBULL.DIST(AT$2,$M35,$L35,FALSE)*$U35*((1+Inputs!$D$7)^AT$2))),IF($N35=Lists!$K$3,IF($L35&lt;1,((($T35*(1-$F35)+$S35*(1-$G35))/$L35)*((1+Inputs!$D$7)^AT$2)),((INT(AT$2/$L35)-INT((AT$2-1)/$L35))*($T35*(1-$F35)+$S35*(1-$G35))*((1+Inputs!$D$7)^AT$2))),((_xlfn.WEIBULL.DIST(AT$2,$M35,$L35,FALSE)*($T35*(1-$F35)+$S35*(1-$G35))*((1+Inputs!$D$7)^AT$2))))))</f>
        <v>29.067035788115419</v>
      </c>
      <c r="AU35" s="88">
        <f>$E35*IF(AU$2&gt;Inputs!$D$5,0,IF(AU$2&gt;VLOOKUP($H35,Lists!$P$3:$Q$7,2),IF($N35=Lists!$K$3,IF($L35&lt;1,(($U35/$L35)*((1+Inputs!$D$7)^AU$2)),((INT(AU$2/$L35)-INT((AU$2-1)/$L35))*$U35*((1+Inputs!$D$7)^AU$2))),(_xlfn.WEIBULL.DIST(AU$2,$M35,$L35,FALSE)*$U35*((1+Inputs!$D$7)^AU$2))),IF($N35=Lists!$K$3,IF($L35&lt;1,((($T35*(1-$F35)+$S35*(1-$G35))/$L35)*((1+Inputs!$D$7)^AU$2)),((INT(AU$2/$L35)-INT((AU$2-1)/$L35))*($T35*(1-$F35)+$S35*(1-$G35))*((1+Inputs!$D$7)^AU$2))),((_xlfn.WEIBULL.DIST(AU$2,$M35,$L35,FALSE)*($T35*(1-$F35)+$S35*(1-$G35))*((1+Inputs!$D$7)^AU$2))))))</f>
        <v>28.202408119164097</v>
      </c>
      <c r="AV35" s="88">
        <f>$E35*IF(AV$2&gt;Inputs!$D$5,0,IF(AV$2&gt;VLOOKUP($H35,Lists!$P$3:$Q$7,2),IF($N35=Lists!$K$3,IF($L35&lt;1,(($U35/$L35)*((1+Inputs!$D$7)^AV$2)),((INT(AV$2/$L35)-INT((AV$2-1)/$L35))*$U35*((1+Inputs!$D$7)^AV$2))),(_xlfn.WEIBULL.DIST(AV$2,$M35,$L35,FALSE)*$U35*((1+Inputs!$D$7)^AV$2))),IF($N35=Lists!$K$3,IF($L35&lt;1,((($T35*(1-$F35)+$S35*(1-$G35))/$L35)*((1+Inputs!$D$7)^AV$2)),((INT(AV$2/$L35)-INT((AV$2-1)/$L35))*($T35*(1-$F35)+$S35*(1-$G35))*((1+Inputs!$D$7)^AV$2))),((_xlfn.WEIBULL.DIST(AV$2,$M35,$L35,FALSE)*($T35*(1-$F35)+$S35*(1-$G35))*((1+Inputs!$D$7)^AV$2))))))</f>
        <v>27.363499653621268</v>
      </c>
      <c r="AW35" s="88">
        <f>$E35*IF(AW$2&gt;Inputs!$D$5,0,IF(AW$2&gt;VLOOKUP($H35,Lists!$P$3:$Q$7,2),IF($N35=Lists!$K$3,IF($L35&lt;1,(($U35/$L35)*((1+Inputs!$D$7)^AW$2)),((INT(AW$2/$L35)-INT((AW$2-1)/$L35))*$U35*((1+Inputs!$D$7)^AW$2))),(_xlfn.WEIBULL.DIST(AW$2,$M35,$L35,FALSE)*$U35*((1+Inputs!$D$7)^AW$2))),IF($N35=Lists!$K$3,IF($L35&lt;1,((($T35*(1-$F35)+$S35*(1-$G35))/$L35)*((1+Inputs!$D$7)^AW$2)),((INT(AW$2/$L35)-INT((AW$2-1)/$L35))*($T35*(1-$F35)+$S35*(1-$G35))*((1+Inputs!$D$7)^AW$2))),((_xlfn.WEIBULL.DIST(AW$2,$M35,$L35,FALSE)*($T35*(1-$F35)+$S35*(1-$G35))*((1+Inputs!$D$7)^AW$2))))))</f>
        <v>26.549545348396435</v>
      </c>
      <c r="AX35" s="88">
        <f>$E35*IF(AX$2&gt;Inputs!$D$5,0,IF(AX$2&gt;VLOOKUP($H35,Lists!$P$3:$Q$7,2),IF($N35=Lists!$K$3,IF($L35&lt;1,(($U35/$L35)*((1+Inputs!$D$7)^AX$2)),((INT(AX$2/$L35)-INT((AX$2-1)/$L35))*$U35*((1+Inputs!$D$7)^AX$2))),(_xlfn.WEIBULL.DIST(AX$2,$M35,$L35,FALSE)*$U35*((1+Inputs!$D$7)^AX$2))),IF($N35=Lists!$K$3,IF($L35&lt;1,((($T35*(1-$F35)+$S35*(1-$G35))/$L35)*((1+Inputs!$D$7)^AX$2)),((INT(AX$2/$L35)-INT((AX$2-1)/$L35))*($T35*(1-$F35)+$S35*(1-$G35))*((1+Inputs!$D$7)^AX$2))),((_xlfn.WEIBULL.DIST(AX$2,$M35,$L35,FALSE)*($T35*(1-$F35)+$S35*(1-$G35))*((1+Inputs!$D$7)^AX$2))))))</f>
        <v>25.759802917360965</v>
      </c>
      <c r="AY35" s="88">
        <f>$E35*IF(AY$2&gt;Inputs!$D$5,0,IF(AY$2&gt;VLOOKUP($H35,Lists!$P$3:$Q$7,2),IF($N35=Lists!$K$3,IF($L35&lt;1,(($U35/$L35)*((1+Inputs!$D$7)^AY$2)),((INT(AY$2/$L35)-INT((AY$2-1)/$L35))*$U35*((1+Inputs!$D$7)^AY$2))),(_xlfn.WEIBULL.DIST(AY$2,$M35,$L35,FALSE)*$U35*((1+Inputs!$D$7)^AY$2))),IF($N35=Lists!$K$3,IF($L35&lt;1,((($T35*(1-$F35)+$S35*(1-$G35))/$L35)*((1+Inputs!$D$7)^AY$2)),((INT(AY$2/$L35)-INT((AY$2-1)/$L35))*($T35*(1-$F35)+$S35*(1-$G35))*((1+Inputs!$D$7)^AY$2))),((_xlfn.WEIBULL.DIST(AY$2,$M35,$L35,FALSE)*($T35*(1-$F35)+$S35*(1-$G35))*((1+Inputs!$D$7)^AY$2))))))</f>
        <v>24.993552154419746</v>
      </c>
      <c r="AZ35" s="88">
        <f>$E35*IF(AZ$2&gt;Inputs!$D$5,0,IF(AZ$2&gt;VLOOKUP($H35,Lists!$P$3:$Q$7,2),IF($N35=Lists!$K$3,IF($L35&lt;1,(($U35/$L35)*((1+Inputs!$D$7)^AZ$2)),((INT(AZ$2/$L35)-INT((AZ$2-1)/$L35))*$U35*((1+Inputs!$D$7)^AZ$2))),(_xlfn.WEIBULL.DIST(AZ$2,$M35,$L35,FALSE)*$U35*((1+Inputs!$D$7)^AZ$2))),IF($N35=Lists!$K$3,IF($L35&lt;1,((($T35*(1-$F35)+$S35*(1-$G35))/$L35)*((1+Inputs!$D$7)^AZ$2)),((INT(AZ$2/$L35)-INT((AZ$2-1)/$L35))*($T35*(1-$F35)+$S35*(1-$G35))*((1+Inputs!$D$7)^AZ$2))),((_xlfn.WEIBULL.DIST(AZ$2,$M35,$L35,FALSE)*($T35*(1-$F35)+$S35*(1-$G35))*((1+Inputs!$D$7)^AZ$2))))))</f>
        <v>0</v>
      </c>
      <c r="BA35" s="88">
        <f>$E35*IF(BA$2&gt;Inputs!$D$5,0,IF(BA$2&gt;VLOOKUP($H35,Lists!$P$3:$Q$7,2),IF($N35=Lists!$K$3,IF($L35&lt;1,(($U35/$L35)*((1+Inputs!$D$7)^BA$2)),((INT(BA$2/$L35)-INT((BA$2-1)/$L35))*$U35*((1+Inputs!$D$7)^BA$2))),(_xlfn.WEIBULL.DIST(BA$2,$M35,$L35,FALSE)*$U35*((1+Inputs!$D$7)^BA$2))),IF($N35=Lists!$K$3,IF($L35&lt;1,((($T35*(1-$F35)+$S35*(1-$G35))/$L35)*((1+Inputs!$D$7)^BA$2)),((INT(BA$2/$L35)-INT((BA$2-1)/$L35))*($T35*(1-$F35)+$S35*(1-$G35))*((1+Inputs!$D$7)^BA$2))),((_xlfn.WEIBULL.DIST(BA$2,$M35,$L35,FALSE)*($T35*(1-$F35)+$S35*(1-$G35))*((1+Inputs!$D$7)^BA$2))))))</f>
        <v>0</v>
      </c>
      <c r="BB35" s="88">
        <f>$E35*IF(BB$2&gt;Inputs!$D$5,0,IF(BB$2&gt;VLOOKUP($H35,Lists!$P$3:$Q$7,2),IF($N35=Lists!$K$3,IF($L35&lt;1,(($U35/$L35)*((1+Inputs!$D$7)^BB$2)),((INT(BB$2/$L35)-INT((BB$2-1)/$L35))*$U35*((1+Inputs!$D$7)^BB$2))),(_xlfn.WEIBULL.DIST(BB$2,$M35,$L35,FALSE)*$U35*((1+Inputs!$D$7)^BB$2))),IF($N35=Lists!$K$3,IF($L35&lt;1,((($T35*(1-$F35)+$S35*(1-$G35))/$L35)*((1+Inputs!$D$7)^BB$2)),((INT(BB$2/$L35)-INT((BB$2-1)/$L35))*($T35*(1-$F35)+$S35*(1-$G35))*((1+Inputs!$D$7)^BB$2))),((_xlfn.WEIBULL.DIST(BB$2,$M35,$L35,FALSE)*($T35*(1-$F35)+$S35*(1-$G35))*((1+Inputs!$D$7)^BB$2))))))</f>
        <v>0</v>
      </c>
      <c r="BC35" s="88">
        <f>$E35*IF(BC$2&gt;Inputs!$D$5,0,IF(BC$2&gt;VLOOKUP($H35,Lists!$P$3:$Q$7,2),IF($N35=Lists!$K$3,IF($L35&lt;1,(($U35/$L35)*((1+Inputs!$D$7)^BC$2)),((INT(BC$2/$L35)-INT((BC$2-1)/$L35))*$U35*((1+Inputs!$D$7)^BC$2))),(_xlfn.WEIBULL.DIST(BC$2,$M35,$L35,FALSE)*$U35*((1+Inputs!$D$7)^BC$2))),IF($N35=Lists!$K$3,IF($L35&lt;1,((($T35*(1-$F35)+$S35*(1-$G35))/$L35)*((1+Inputs!$D$7)^BC$2)),((INT(BC$2/$L35)-INT((BC$2-1)/$L35))*($T35*(1-$F35)+$S35*(1-$G35))*((1+Inputs!$D$7)^BC$2))),((_xlfn.WEIBULL.DIST(BC$2,$M35,$L35,FALSE)*($T35*(1-$F35)+$S35*(1-$G35))*((1+Inputs!$D$7)^BC$2))))))</f>
        <v>0</v>
      </c>
      <c r="BD35" s="88">
        <f>$E35*IF(BD$2&gt;Inputs!$D$5,0,IF(BD$2&gt;VLOOKUP($H35,Lists!$P$3:$Q$7,2),IF($N35=Lists!$K$3,IF($L35&lt;1,(($U35/$L35)*((1+Inputs!$D$7)^BD$2)),((INT(BD$2/$L35)-INT((BD$2-1)/$L35))*$U35*((1+Inputs!$D$7)^BD$2))),(_xlfn.WEIBULL.DIST(BD$2,$M35,$L35,FALSE)*$U35*((1+Inputs!$D$7)^BD$2))),IF($N35=Lists!$K$3,IF($L35&lt;1,((($T35*(1-$F35)+$S35*(1-$G35))/$L35)*((1+Inputs!$D$7)^BD$2)),((INT(BD$2/$L35)-INT((BD$2-1)/$L35))*($T35*(1-$F35)+$S35*(1-$G35))*((1+Inputs!$D$7)^BD$2))),((_xlfn.WEIBULL.DIST(BD$2,$M35,$L35,FALSE)*($T35*(1-$F35)+$S35*(1-$G35))*((1+Inputs!$D$7)^BD$2))))))</f>
        <v>0</v>
      </c>
      <c r="BE35" s="88">
        <f>$E35*IF(BE$2&gt;Inputs!$D$5,0,IF(BE$2&gt;VLOOKUP($H35,Lists!$P$3:$Q$7,2),IF($N35=Lists!$K$3,IF($L35&lt;1,(($U35/$L35)*((1+Inputs!$D$7)^BE$2)),((INT(BE$2/$L35)-INT((BE$2-1)/$L35))*$U35*((1+Inputs!$D$7)^BE$2))),(_xlfn.WEIBULL.DIST(BE$2,$M35,$L35,FALSE)*$U35*((1+Inputs!$D$7)^BE$2))),IF($N35=Lists!$K$3,IF($L35&lt;1,((($T35*(1-$F35)+$S35*(1-$G35))/$L35)*((1+Inputs!$D$7)^BE$2)),((INT(BE$2/$L35)-INT((BE$2-1)/$L35))*($T35*(1-$F35)+$S35*(1-$G35))*((1+Inputs!$D$7)^BE$2))),((_xlfn.WEIBULL.DIST(BE$2,$M35,$L35,FALSE)*($T35*(1-$F35)+$S35*(1-$G35))*((1+Inputs!$D$7)^BE$2))))))</f>
        <v>0</v>
      </c>
      <c r="BF35" s="88">
        <f>$E35*IF(BF$2&gt;Inputs!$D$5,0,IF(BF$2&gt;VLOOKUP($H35,Lists!$P$3:$Q$7,2),IF($N35=Lists!$K$3,IF($L35&lt;1,(($U35/$L35)*((1+Inputs!$D$7)^BF$2)),((INT(BF$2/$L35)-INT((BF$2-1)/$L35))*$U35*((1+Inputs!$D$7)^BF$2))),(_xlfn.WEIBULL.DIST(BF$2,$M35,$L35,FALSE)*$U35*((1+Inputs!$D$7)^BF$2))),IF($N35=Lists!$K$3,IF($L35&lt;1,((($T35*(1-$F35)+$S35*(1-$G35))/$L35)*((1+Inputs!$D$7)^BF$2)),((INT(BF$2/$L35)-INT((BF$2-1)/$L35))*($T35*(1-$F35)+$S35*(1-$G35))*((1+Inputs!$D$7)^BF$2))),((_xlfn.WEIBULL.DIST(BF$2,$M35,$L35,FALSE)*($T35*(1-$F35)+$S35*(1-$G35))*((1+Inputs!$D$7)^BF$2))))))</f>
        <v>0</v>
      </c>
      <c r="BG35" s="88">
        <f>$E35*IF(BG$2&gt;Inputs!$D$5,0,IF(BG$2&gt;VLOOKUP($H35,Lists!$P$3:$Q$7,2),IF($N35=Lists!$K$3,IF($L35&lt;1,(($U35/$L35)*((1+Inputs!$D$7)^BG$2)),((INT(BG$2/$L35)-INT((BG$2-1)/$L35))*$U35*((1+Inputs!$D$7)^BG$2))),(_xlfn.WEIBULL.DIST(BG$2,$M35,$L35,FALSE)*$U35*((1+Inputs!$D$7)^BG$2))),IF($N35=Lists!$K$3,IF($L35&lt;1,((($T35*(1-$F35)+$S35*(1-$G35))/$L35)*((1+Inputs!$D$7)^BG$2)),((INT(BG$2/$L35)-INT((BG$2-1)/$L35))*($T35*(1-$F35)+$S35*(1-$G35))*((1+Inputs!$D$7)^BG$2))),((_xlfn.WEIBULL.DIST(BG$2,$M35,$L35,FALSE)*($T35*(1-$F35)+$S35*(1-$G35))*((1+Inputs!$D$7)^BG$2))))))</f>
        <v>0</v>
      </c>
      <c r="BH35" s="88">
        <f>$E35*IF(BH$2&gt;Inputs!$D$5,0,IF(BH$2&gt;VLOOKUP($H35,Lists!$P$3:$Q$7,2),IF($N35=Lists!$K$3,IF($L35&lt;1,(($U35/$L35)*((1+Inputs!$D$7)^BH$2)),((INT(BH$2/$L35)-INT((BH$2-1)/$L35))*$U35*((1+Inputs!$D$7)^BH$2))),(_xlfn.WEIBULL.DIST(BH$2,$M35,$L35,FALSE)*$U35*((1+Inputs!$D$7)^BH$2))),IF($N35=Lists!$K$3,IF($L35&lt;1,((($T35*(1-$F35)+$S35*(1-$G35))/$L35)*((1+Inputs!$D$7)^BH$2)),((INT(BH$2/$L35)-INT((BH$2-1)/$L35))*($T35*(1-$F35)+$S35*(1-$G35))*((1+Inputs!$D$7)^BH$2))),((_xlfn.WEIBULL.DIST(BH$2,$M35,$L35,FALSE)*($T35*(1-$F35)+$S35*(1-$G35))*((1+Inputs!$D$7)^BH$2))))))</f>
        <v>0</v>
      </c>
      <c r="BI35" s="88">
        <f>$E35*IF(BI$2&gt;Inputs!$D$5,0,IF(BI$2&gt;VLOOKUP($H35,Lists!$P$3:$Q$7,2),IF($N35=Lists!$K$3,IF($L35&lt;1,(($U35/$L35)*((1+Inputs!$D$7)^BI$2)),((INT(BI$2/$L35)-INT((BI$2-1)/$L35))*$U35*((1+Inputs!$D$7)^BI$2))),(_xlfn.WEIBULL.DIST(BI$2,$M35,$L35,FALSE)*$U35*((1+Inputs!$D$7)^BI$2))),IF($N35=Lists!$K$3,IF($L35&lt;1,((($T35*(1-$F35)+$S35*(1-$G35))/$L35)*((1+Inputs!$D$7)^BI$2)),((INT(BI$2/$L35)-INT((BI$2-1)/$L35))*($T35*(1-$F35)+$S35*(1-$G35))*((1+Inputs!$D$7)^BI$2))),((_xlfn.WEIBULL.DIST(BI$2,$M35,$L35,FALSE)*($T35*(1-$F35)+$S35*(1-$G35))*((1+Inputs!$D$7)^BI$2))))))</f>
        <v>0</v>
      </c>
      <c r="BJ35" s="88">
        <f>$E35*IF(BJ$2&gt;Inputs!$D$5,0,IF(BJ$2&gt;VLOOKUP($H35,Lists!$P$3:$Q$7,2),IF($N35=Lists!$K$3,IF($L35&lt;1,(($U35/$L35)*((1+Inputs!$D$7)^BJ$2)),((INT(BJ$2/$L35)-INT((BJ$2-1)/$L35))*$U35*((1+Inputs!$D$7)^BJ$2))),(_xlfn.WEIBULL.DIST(BJ$2,$M35,$L35,FALSE)*$U35*((1+Inputs!$D$7)^BJ$2))),IF($N35=Lists!$K$3,IF($L35&lt;1,((($T35*(1-$F35)+$S35*(1-$G35))/$L35)*((1+Inputs!$D$7)^BJ$2)),((INT(BJ$2/$L35)-INT((BJ$2-1)/$L35))*($T35*(1-$F35)+$S35*(1-$G35))*((1+Inputs!$D$7)^BJ$2))),((_xlfn.WEIBULL.DIST(BJ$2,$M35,$L35,FALSE)*($T35*(1-$F35)+$S35*(1-$G35))*((1+Inputs!$D$7)^BJ$2))))))</f>
        <v>0</v>
      </c>
      <c r="BK35" s="88">
        <f>$E35*IF(BK$2&gt;Inputs!$D$5,0,IF(BK$2&gt;VLOOKUP($H35,Lists!$P$3:$Q$7,2),IF($N35=Lists!$K$3,IF($L35&lt;1,(($U35/$L35)*((1+Inputs!$D$7)^BK$2)),((INT(BK$2/$L35)-INT((BK$2-1)/$L35))*$U35*((1+Inputs!$D$7)^BK$2))),(_xlfn.WEIBULL.DIST(BK$2,$M35,$L35,FALSE)*$U35*((1+Inputs!$D$7)^BK$2))),IF($N35=Lists!$K$3,IF($L35&lt;1,((($T35*(1-$F35)+$S35*(1-$G35))/$L35)*((1+Inputs!$D$7)^BK$2)),((INT(BK$2/$L35)-INT((BK$2-1)/$L35))*($T35*(1-$F35)+$S35*(1-$G35))*((1+Inputs!$D$7)^BK$2))),((_xlfn.WEIBULL.DIST(BK$2,$M35,$L35,FALSE)*($T35*(1-$F35)+$S35*(1-$G35))*((1+Inputs!$D$7)^BK$2))))))</f>
        <v>0</v>
      </c>
      <c r="BL35" s="88">
        <f>$E35*IF(BL$2&gt;Inputs!$D$5,0,IF(BL$2&gt;VLOOKUP($H35,Lists!$P$3:$Q$7,2),IF($N35=Lists!$K$3,IF($L35&lt;1,(($U35/$L35)*((1+Inputs!$D$7)^BL$2)),((INT(BL$2/$L35)-INT((BL$2-1)/$L35))*$U35*((1+Inputs!$D$7)^BL$2))),(_xlfn.WEIBULL.DIST(BL$2,$M35,$L35,FALSE)*$U35*((1+Inputs!$D$7)^BL$2))),IF($N35=Lists!$K$3,IF($L35&lt;1,((($T35*(1-$F35)+$S35*(1-$G35))/$L35)*((1+Inputs!$D$7)^BL$2)),((INT(BL$2/$L35)-INT((BL$2-1)/$L35))*($T35*(1-$F35)+$S35*(1-$G35))*((1+Inputs!$D$7)^BL$2))),((_xlfn.WEIBULL.DIST(BL$2,$M35,$L35,FALSE)*($T35*(1-$F35)+$S35*(1-$G35))*((1+Inputs!$D$7)^BL$2))))))</f>
        <v>0</v>
      </c>
      <c r="BM35" s="88">
        <f>$E35*IF(BM$2&gt;Inputs!$D$5,0,IF(BM$2&gt;VLOOKUP($H35,Lists!$P$3:$Q$7,2),IF($N35=Lists!$K$3,IF($L35&lt;1,(($U35/$L35)*((1+Inputs!$D$7)^BM$2)),((INT(BM$2/$L35)-INT((BM$2-1)/$L35))*$U35*((1+Inputs!$D$7)^BM$2))),(_xlfn.WEIBULL.DIST(BM$2,$M35,$L35,FALSE)*$U35*((1+Inputs!$D$7)^BM$2))),IF($N35=Lists!$K$3,IF($L35&lt;1,((($T35*(1-$F35)+$S35*(1-$G35))/$L35)*((1+Inputs!$D$7)^BM$2)),((INT(BM$2/$L35)-INT((BM$2-1)/$L35))*($T35*(1-$F35)+$S35*(1-$G35))*((1+Inputs!$D$7)^BM$2))),((_xlfn.WEIBULL.DIST(BM$2,$M35,$L35,FALSE)*($T35*(1-$F35)+$S35*(1-$G35))*((1+Inputs!$D$7)^BM$2))))))</f>
        <v>0</v>
      </c>
      <c r="BN35" s="88">
        <f>$E35*IF(BN$2&gt;Inputs!$D$5,0,IF(BN$2&gt;VLOOKUP($H35,Lists!$P$3:$Q$7,2),IF($N35=Lists!$K$3,IF($L35&lt;1,(($U35/$L35)*((1+Inputs!$D$7)^BN$2)),((INT(BN$2/$L35)-INT((BN$2-1)/$L35))*$U35*((1+Inputs!$D$7)^BN$2))),(_xlfn.WEIBULL.DIST(BN$2,$M35,$L35,FALSE)*$U35*((1+Inputs!$D$7)^BN$2))),IF($N35=Lists!$K$3,IF($L35&lt;1,((($T35*(1-$F35)+$S35*(1-$G35))/$L35)*((1+Inputs!$D$7)^BN$2)),((INT(BN$2/$L35)-INT((BN$2-1)/$L35))*($T35*(1-$F35)+$S35*(1-$G35))*((1+Inputs!$D$7)^BN$2))),((_xlfn.WEIBULL.DIST(BN$2,$M35,$L35,FALSE)*($T35*(1-$F35)+$S35*(1-$G35))*((1+Inputs!$D$7)^BN$2))))))</f>
        <v>0</v>
      </c>
      <c r="BO35" s="64">
        <f>NPV(Inputs!$D$6,BQ35:DD35)</f>
        <v>874.68153807252156</v>
      </c>
      <c r="BP35" s="67">
        <f t="shared" ref="BP35:BP66" si="13">BO35/SUM($Y$3:$Y$136)</f>
        <v>4.125425159268974E-4</v>
      </c>
      <c r="BQ35" s="88">
        <f>MAX(AA35,($E35*IF(BQ$2&gt;Inputs!$D$5,0,IF(BQ$2&gt;VLOOKUP($H35,Lists!$P$3:$Q$7,2),IF($N35=Lists!$K$3,IF($L35&lt;1,(($U35/$L35)*((1+Inputs!$D$7)^BQ$2)),((INT(BQ$2/$L35)-INT((BQ$2-1)/$L35))*$U35*((1+Inputs!$D$7)^BQ$2))),(Inputs!$D$8^((1-_xlfn.WEIBULL.DIST(BQ$2,$M35,$L35,FALSE))/_xlfn.WEIBULL.DIST(BQ$2,$M35,$L35,FALSE))*$U35*((1+Inputs!$D$7)^BQ$2))),IF($N35=Lists!$K$3,IF($L35&lt;1,((($T35*(1-$F35)+$S35*(1-$G35))/$L35)*((1+Inputs!$D$7)^BQ$2)),((INT(BQ$2/$L35)-INT((BQ$2-1)/$L35))*($T35*(1-$F35)+$S35*(1-$G35))*((1+Inputs!$D$7)^BQ$2))),((Inputs!$D$8^((1-_xlfn.WEIBULL.DIST(BQ$2,$M35,$L35,FALSE))/_xlfn.WEIBULL.DIST(BQ$2,$M35,$L35,FALSE))*($T35*(1-$F35)+$S35*(1-$G35))*((1+Inputs!$D$7)^BQ$2))))))))</f>
        <v>127.42419155568274</v>
      </c>
      <c r="BR35" s="88">
        <f>MAX(AB35,($E35*IF(BR$2&gt;Inputs!$D$5,0,IF(BR$2&gt;VLOOKUP($H35,Lists!$P$3:$Q$7,2),IF($N35=Lists!$K$3,IF($L35&lt;1,(($U35/$L35)*((1+Inputs!$D$7)^BR$2)),((INT(BR$2/$L35)-INT((BR$2-1)/$L35))*$U35*((1+Inputs!$D$7)^BR$2))),(Inputs!$D$8^((1-_xlfn.WEIBULL.DIST(BR$2,$M35,$L35,FALSE))/_xlfn.WEIBULL.DIST(BR$2,$M35,$L35,FALSE))*$U35*((1+Inputs!$D$7)^BR$2))),IF($N35=Lists!$K$3,IF($L35&lt;1,((($T35*(1-$F35)+$S35*(1-$G35))/$L35)*((1+Inputs!$D$7)^BR$2)),((INT(BR$2/$L35)-INT((BR$2-1)/$L35))*($T35*(1-$F35)+$S35*(1-$G35))*((1+Inputs!$D$7)^BR$2))),((Inputs!$D$8^((1-_xlfn.WEIBULL.DIST(BR$2,$M35,$L35,FALSE))/_xlfn.WEIBULL.DIST(BR$2,$M35,$L35,FALSE))*($T35*(1-$F35)+$S35*(1-$G35))*((1+Inputs!$D$7)^BR$2))))))))</f>
        <v>118.79973329489069</v>
      </c>
      <c r="BS35" s="88">
        <f>MAX(AC35,($E35*IF(BS$2&gt;Inputs!$D$5,0,IF(BS$2&gt;VLOOKUP($H35,Lists!$P$3:$Q$7,2),IF($N35=Lists!$K$3,IF($L35&lt;1,(($U35/$L35)*((1+Inputs!$D$7)^BS$2)),((INT(BS$2/$L35)-INT((BS$2-1)/$L35))*$U35*((1+Inputs!$D$7)^BS$2))),(Inputs!$D$8^((1-_xlfn.WEIBULL.DIST(BS$2,$M35,$L35,FALSE))/_xlfn.WEIBULL.DIST(BS$2,$M35,$L35,FALSE))*$U35*((1+Inputs!$D$7)^BS$2))),IF($N35=Lists!$K$3,IF($L35&lt;1,((($T35*(1-$F35)+$S35*(1-$G35))/$L35)*((1+Inputs!$D$7)^BS$2)),((INT(BS$2/$L35)-INT((BS$2-1)/$L35))*($T35*(1-$F35)+$S35*(1-$G35))*((1+Inputs!$D$7)^BS$2))),((Inputs!$D$8^((1-_xlfn.WEIBULL.DIST(BS$2,$M35,$L35,FALSE))/_xlfn.WEIBULL.DIST(BS$2,$M35,$L35,FALSE))*($T35*(1-$F35)+$S35*(1-$G35))*((1+Inputs!$D$7)^BS$2))))))))</f>
        <v>110.24974547221507</v>
      </c>
      <c r="BT35" s="88">
        <f>MAX(AD35,($E35*IF(BT$2&gt;Inputs!$D$5,0,IF(BT$2&gt;VLOOKUP($H35,Lists!$P$3:$Q$7,2),IF($N35=Lists!$K$3,IF($L35&lt;1,(($U35/$L35)*((1+Inputs!$D$7)^BT$2)),((INT(BT$2/$L35)-INT((BT$2-1)/$L35))*$U35*((1+Inputs!$D$7)^BT$2))),(Inputs!$D$8^((1-_xlfn.WEIBULL.DIST(BT$2,$M35,$L35,FALSE))/_xlfn.WEIBULL.DIST(BT$2,$M35,$L35,FALSE))*$U35*((1+Inputs!$D$7)^BT$2))),IF($N35=Lists!$K$3,IF($L35&lt;1,((($T35*(1-$F35)+$S35*(1-$G35))/$L35)*((1+Inputs!$D$7)^BT$2)),((INT(BT$2/$L35)-INT((BT$2-1)/$L35))*($T35*(1-$F35)+$S35*(1-$G35))*((1+Inputs!$D$7)^BT$2))),((Inputs!$D$8^((1-_xlfn.WEIBULL.DIST(BT$2,$M35,$L35,FALSE))/_xlfn.WEIBULL.DIST(BT$2,$M35,$L35,FALSE))*($T35*(1-$F35)+$S35*(1-$G35))*((1+Inputs!$D$7)^BT$2))))))))</f>
        <v>101.8206018931768</v>
      </c>
      <c r="BU35" s="88">
        <f>MAX(AE35,($E35*IF(BU$2&gt;Inputs!$D$5,0,IF(BU$2&gt;VLOOKUP($H35,Lists!$P$3:$Q$7,2),IF($N35=Lists!$K$3,IF($L35&lt;1,(($U35/$L35)*((1+Inputs!$D$7)^BU$2)),((INT(BU$2/$L35)-INT((BU$2-1)/$L35))*$U35*((1+Inputs!$D$7)^BU$2))),(Inputs!$D$8^((1-_xlfn.WEIBULL.DIST(BU$2,$M35,$L35,FALSE))/_xlfn.WEIBULL.DIST(BU$2,$M35,$L35,FALSE))*$U35*((1+Inputs!$D$7)^BU$2))),IF($N35=Lists!$K$3,IF($L35&lt;1,((($T35*(1-$F35)+$S35*(1-$G35))/$L35)*((1+Inputs!$D$7)^BU$2)),((INT(BU$2/$L35)-INT((BU$2-1)/$L35))*($T35*(1-$F35)+$S35*(1-$G35))*((1+Inputs!$D$7)^BU$2))),((Inputs!$D$8^((1-_xlfn.WEIBULL.DIST(BU$2,$M35,$L35,FALSE))/_xlfn.WEIBULL.DIST(BU$2,$M35,$L35,FALSE))*($T35*(1-$F35)+$S35*(1-$G35))*((1+Inputs!$D$7)^BU$2))))))))</f>
        <v>93.558183540953152</v>
      </c>
      <c r="BV35" s="88">
        <f>MAX(AF35,($E35*IF(BV$2&gt;Inputs!$D$5,0,IF(BV$2&gt;VLOOKUP($H35,Lists!$P$3:$Q$7,2),IF($N35=Lists!$K$3,IF($L35&lt;1,(($U35/$L35)*((1+Inputs!$D$7)^BV$2)),((INT(BV$2/$L35)-INT((BV$2-1)/$L35))*$U35*((1+Inputs!$D$7)^BV$2))),(Inputs!$D$8^((1-_xlfn.WEIBULL.DIST(BV$2,$M35,$L35,FALSE))/_xlfn.WEIBULL.DIST(BV$2,$M35,$L35,FALSE))*$U35*((1+Inputs!$D$7)^BV$2))),IF($N35=Lists!$K$3,IF($L35&lt;1,((($T35*(1-$F35)+$S35*(1-$G35))/$L35)*((1+Inputs!$D$7)^BV$2)),((INT(BV$2/$L35)-INT((BV$2-1)/$L35))*($T35*(1-$F35)+$S35*(1-$G35))*((1+Inputs!$D$7)^BV$2))),((Inputs!$D$8^((1-_xlfn.WEIBULL.DIST(BV$2,$M35,$L35,FALSE))/_xlfn.WEIBULL.DIST(BV$2,$M35,$L35,FALSE))*($T35*(1-$F35)+$S35*(1-$G35))*((1+Inputs!$D$7)^BV$2))))))))</f>
        <v>85.507173484726763</v>
      </c>
      <c r="BW35" s="88">
        <f>MAX(AG35,($E35*IF(BW$2&gt;Inputs!$D$5,0,IF(BW$2&gt;VLOOKUP($H35,Lists!$P$3:$Q$7,2),IF($N35=Lists!$K$3,IF($L35&lt;1,(($U35/$L35)*((1+Inputs!$D$7)^BW$2)),((INT(BW$2/$L35)-INT((BW$2-1)/$L35))*$U35*((1+Inputs!$D$7)^BW$2))),(Inputs!$D$8^((1-_xlfn.WEIBULL.DIST(BW$2,$M35,$L35,FALSE))/_xlfn.WEIBULL.DIST(BW$2,$M35,$L35,FALSE))*$U35*((1+Inputs!$D$7)^BW$2))),IF($N35=Lists!$K$3,IF($L35&lt;1,((($T35*(1-$F35)+$S35*(1-$G35))/$L35)*((1+Inputs!$D$7)^BW$2)),((INT(BW$2/$L35)-INT((BW$2-1)/$L35))*($T35*(1-$F35)+$S35*(1-$G35))*((1+Inputs!$D$7)^BW$2))),((Inputs!$D$8^((1-_xlfn.WEIBULL.DIST(BW$2,$M35,$L35,FALSE))/_xlfn.WEIBULL.DIST(BW$2,$M35,$L35,FALSE))*($T35*(1-$F35)+$S35*(1-$G35))*((1+Inputs!$D$7)^BW$2))))))))</f>
        <v>77.710328506599353</v>
      </c>
      <c r="BX35" s="88">
        <f>MAX(AH35,($E35*IF(BX$2&gt;Inputs!$D$5,0,IF(BX$2&gt;VLOOKUP($H35,Lists!$P$3:$Q$7,2),IF($N35=Lists!$K$3,IF($L35&lt;1,(($U35/$L35)*((1+Inputs!$D$7)^BX$2)),((INT(BX$2/$L35)-INT((BX$2-1)/$L35))*$U35*((1+Inputs!$D$7)^BX$2))),(Inputs!$D$8^((1-_xlfn.WEIBULL.DIST(BX$2,$M35,$L35,FALSE))/_xlfn.WEIBULL.DIST(BX$2,$M35,$L35,FALSE))*$U35*((1+Inputs!$D$7)^BX$2))),IF($N35=Lists!$K$3,IF($L35&lt;1,((($T35*(1-$F35)+$S35*(1-$G35))/$L35)*((1+Inputs!$D$7)^BX$2)),((INT(BX$2/$L35)-INT((BX$2-1)/$L35))*($T35*(1-$F35)+$S35*(1-$G35))*((1+Inputs!$D$7)^BX$2))),((Inputs!$D$8^((1-_xlfn.WEIBULL.DIST(BX$2,$M35,$L35,FALSE))/_xlfn.WEIBULL.DIST(BX$2,$M35,$L35,FALSE))*($T35*(1-$F35)+$S35*(1-$G35))*((1+Inputs!$D$7)^BX$2))))))))</f>
        <v>70.20774558119497</v>
      </c>
      <c r="BY35" s="88">
        <f>MAX(AI35,($E35*IF(BY$2&gt;Inputs!$D$5,0,IF(BY$2&gt;VLOOKUP($H35,Lists!$P$3:$Q$7,2),IF($N35=Lists!$K$3,IF($L35&lt;1,(($U35/$L35)*((1+Inputs!$D$7)^BY$2)),((INT(BY$2/$L35)-INT((BY$2-1)/$L35))*$U35*((1+Inputs!$D$7)^BY$2))),(Inputs!$D$8^((1-_xlfn.WEIBULL.DIST(BY$2,$M35,$L35,FALSE))/_xlfn.WEIBULL.DIST(BY$2,$M35,$L35,FALSE))*$U35*((1+Inputs!$D$7)^BY$2))),IF($N35=Lists!$K$3,IF($L35&lt;1,((($T35*(1-$F35)+$S35*(1-$G35))/$L35)*((1+Inputs!$D$7)^BY$2)),((INT(BY$2/$L35)-INT((BY$2-1)/$L35))*($T35*(1-$F35)+$S35*(1-$G35))*((1+Inputs!$D$7)^BY$2))),((Inputs!$D$8^((1-_xlfn.WEIBULL.DIST(BY$2,$M35,$L35,FALSE))/_xlfn.WEIBULL.DIST(BY$2,$M35,$L35,FALSE))*($T35*(1-$F35)+$S35*(1-$G35))*((1+Inputs!$D$7)^BY$2))))))))</f>
        <v>63.036143746517418</v>
      </c>
      <c r="BZ35" s="88">
        <f>MAX(AJ35,($E35*IF(BZ$2&gt;Inputs!$D$5,0,IF(BZ$2&gt;VLOOKUP($H35,Lists!$P$3:$Q$7,2),IF($N35=Lists!$K$3,IF($L35&lt;1,(($U35/$L35)*((1+Inputs!$D$7)^BZ$2)),((INT(BZ$2/$L35)-INT((BZ$2-1)/$L35))*$U35*((1+Inputs!$D$7)^BZ$2))),(Inputs!$D$8^((1-_xlfn.WEIBULL.DIST(BZ$2,$M35,$L35,FALSE))/_xlfn.WEIBULL.DIST(BZ$2,$M35,$L35,FALSE))*$U35*((1+Inputs!$D$7)^BZ$2))),IF($N35=Lists!$K$3,IF($L35&lt;1,((($T35*(1-$F35)+$S35*(1-$G35))/$L35)*((1+Inputs!$D$7)^BZ$2)),((INT(BZ$2/$L35)-INT((BZ$2-1)/$L35))*($T35*(1-$F35)+$S35*(1-$G35))*((1+Inputs!$D$7)^BZ$2))),((Inputs!$D$8^((1-_xlfn.WEIBULL.DIST(BZ$2,$M35,$L35,FALSE))/_xlfn.WEIBULL.DIST(BZ$2,$M35,$L35,FALSE))*($T35*(1-$F35)+$S35*(1-$G35))*((1+Inputs!$D$7)^BZ$2))))))))</f>
        <v>56.228183753915125</v>
      </c>
      <c r="CA35" s="88">
        <f>MAX(AK35,($E35*IF(CA$2&gt;Inputs!$D$5,0,IF(CA$2&gt;VLOOKUP($H35,Lists!$P$3:$Q$7,2),IF($N35=Lists!$K$3,IF($L35&lt;1,(($U35/$L35)*((1+Inputs!$D$7)^CA$2)),((INT(CA$2/$L35)-INT((CA$2-1)/$L35))*$U35*((1+Inputs!$D$7)^CA$2))),(Inputs!$D$8^((1-_xlfn.WEIBULL.DIST(CA$2,$M35,$L35,FALSE))/_xlfn.WEIBULL.DIST(CA$2,$M35,$L35,FALSE))*$U35*((1+Inputs!$D$7)^CA$2))),IF($N35=Lists!$K$3,IF($L35&lt;1,((($T35*(1-$F35)+$S35*(1-$G35))/$L35)*((1+Inputs!$D$7)^CA$2)),((INT(CA$2/$L35)-INT((CA$2-1)/$L35))*($T35*(1-$F35)+$S35*(1-$G35))*((1+Inputs!$D$7)^CA$2))),((Inputs!$D$8^((1-_xlfn.WEIBULL.DIST(CA$2,$M35,$L35,FALSE))/_xlfn.WEIBULL.DIST(CA$2,$M35,$L35,FALSE))*($T35*(1-$F35)+$S35*(1-$G35))*((1+Inputs!$D$7)^CA$2))))))))</f>
        <v>79.843340540180407</v>
      </c>
      <c r="CB35" s="88">
        <f>MAX(AL35,($E35*IF(CB$2&gt;Inputs!$D$5,0,IF(CB$2&gt;VLOOKUP($H35,Lists!$P$3:$Q$7,2),IF($N35=Lists!$K$3,IF($L35&lt;1,(($U35/$L35)*((1+Inputs!$D$7)^CB$2)),((INT(CB$2/$L35)-INT((CB$2-1)/$L35))*$U35*((1+Inputs!$D$7)^CB$2))),(Inputs!$D$8^((1-_xlfn.WEIBULL.DIST(CB$2,$M35,$L35,FALSE))/_xlfn.WEIBULL.DIST(CB$2,$M35,$L35,FALSE))*$U35*((1+Inputs!$D$7)^CB$2))),IF($N35=Lists!$K$3,IF($L35&lt;1,((($T35*(1-$F35)+$S35*(1-$G35))/$L35)*((1+Inputs!$D$7)^CB$2)),((INT(CB$2/$L35)-INT((CB$2-1)/$L35))*($T35*(1-$F35)+$S35*(1-$G35))*((1+Inputs!$D$7)^CB$2))),((Inputs!$D$8^((1-_xlfn.WEIBULL.DIST(CB$2,$M35,$L35,FALSE))/_xlfn.WEIBULL.DIST(CB$2,$M35,$L35,FALSE))*($T35*(1-$F35)+$S35*(1-$G35))*((1+Inputs!$D$7)^CB$2))))))))</f>
        <v>70.222843236488501</v>
      </c>
      <c r="CC35" s="88">
        <f>MAX(AM35,($E35*IF(CC$2&gt;Inputs!$D$5,0,IF(CC$2&gt;VLOOKUP($H35,Lists!$P$3:$Q$7,2),IF($N35=Lists!$K$3,IF($L35&lt;1,(($U35/$L35)*((1+Inputs!$D$7)^CC$2)),((INT(CC$2/$L35)-INT((CC$2-1)/$L35))*$U35*((1+Inputs!$D$7)^CC$2))),(Inputs!$D$8^((1-_xlfn.WEIBULL.DIST(CC$2,$M35,$L35,FALSE))/_xlfn.WEIBULL.DIST(CC$2,$M35,$L35,FALSE))*$U35*((1+Inputs!$D$7)^CC$2))),IF($N35=Lists!$K$3,IF($L35&lt;1,((($T35*(1-$F35)+$S35*(1-$G35))/$L35)*((1+Inputs!$D$7)^CC$2)),((INT(CC$2/$L35)-INT((CC$2-1)/$L35))*($T35*(1-$F35)+$S35*(1-$G35))*((1+Inputs!$D$7)^CC$2))),((Inputs!$D$8^((1-_xlfn.WEIBULL.DIST(CC$2,$M35,$L35,FALSE))/_xlfn.WEIBULL.DIST(CC$2,$M35,$L35,FALSE))*($T35*(1-$F35)+$S35*(1-$G35))*((1+Inputs!$D$7)^CC$2))))))))</f>
        <v>61.294045824421865</v>
      </c>
      <c r="CD35" s="88">
        <f>MAX(AN35,($E35*IF(CD$2&gt;Inputs!$D$5,0,IF(CD$2&gt;VLOOKUP($H35,Lists!$P$3:$Q$7,2),IF($N35=Lists!$K$3,IF($L35&lt;1,(($U35/$L35)*((1+Inputs!$D$7)^CD$2)),((INT(CD$2/$L35)-INT((CD$2-1)/$L35))*$U35*((1+Inputs!$D$7)^CD$2))),(Inputs!$D$8^((1-_xlfn.WEIBULL.DIST(CD$2,$M35,$L35,FALSE))/_xlfn.WEIBULL.DIST(CD$2,$M35,$L35,FALSE))*$U35*((1+Inputs!$D$7)^CD$2))),IF($N35=Lists!$K$3,IF($L35&lt;1,((($T35*(1-$F35)+$S35*(1-$G35))/$L35)*((1+Inputs!$D$7)^CD$2)),((INT(CD$2/$L35)-INT((CD$2-1)/$L35))*($T35*(1-$F35)+$S35*(1-$G35))*((1+Inputs!$D$7)^CD$2))),((Inputs!$D$8^((1-_xlfn.WEIBULL.DIST(CD$2,$M35,$L35,FALSE))/_xlfn.WEIBULL.DIST(CD$2,$M35,$L35,FALSE))*($T35*(1-$F35)+$S35*(1-$G35))*((1+Inputs!$D$7)^CD$2))))))))</f>
        <v>53.074895831926824</v>
      </c>
      <c r="CE35" s="88">
        <f>MAX(AO35,($E35*IF(CE$2&gt;Inputs!$D$5,0,IF(CE$2&gt;VLOOKUP($H35,Lists!$P$3:$Q$7,2),IF($N35=Lists!$K$3,IF($L35&lt;1,(($U35/$L35)*((1+Inputs!$D$7)^CE$2)),((INT(CE$2/$L35)-INT((CE$2-1)/$L35))*$U35*((1+Inputs!$D$7)^CE$2))),(Inputs!$D$8^((1-_xlfn.WEIBULL.DIST(CE$2,$M35,$L35,FALSE))/_xlfn.WEIBULL.DIST(CE$2,$M35,$L35,FALSE))*$U35*((1+Inputs!$D$7)^CE$2))),IF($N35=Lists!$K$3,IF($L35&lt;1,((($T35*(1-$F35)+$S35*(1-$G35))/$L35)*((1+Inputs!$D$7)^CE$2)),((INT(CE$2/$L35)-INT((CE$2-1)/$L35))*($T35*(1-$F35)+$S35*(1-$G35))*((1+Inputs!$D$7)^CE$2))),((Inputs!$D$8^((1-_xlfn.WEIBULL.DIST(CE$2,$M35,$L35,FALSE))/_xlfn.WEIBULL.DIST(CE$2,$M35,$L35,FALSE))*($T35*(1-$F35)+$S35*(1-$G35))*((1+Inputs!$D$7)^CE$2))))))))</f>
        <v>45.57357883700665</v>
      </c>
      <c r="CF35" s="88">
        <f>MAX(AP35,($E35*IF(CF$2&gt;Inputs!$D$5,0,IF(CF$2&gt;VLOOKUP($H35,Lists!$P$3:$Q$7,2),IF($N35=Lists!$K$3,IF($L35&lt;1,(($U35/$L35)*((1+Inputs!$D$7)^CF$2)),((INT(CF$2/$L35)-INT((CF$2-1)/$L35))*$U35*((1+Inputs!$D$7)^CF$2))),(Inputs!$D$8^((1-_xlfn.WEIBULL.DIST(CF$2,$M35,$L35,FALSE))/_xlfn.WEIBULL.DIST(CF$2,$M35,$L35,FALSE))*$U35*((1+Inputs!$D$7)^CF$2))),IF($N35=Lists!$K$3,IF($L35&lt;1,((($T35*(1-$F35)+$S35*(1-$G35))/$L35)*((1+Inputs!$D$7)^CF$2)),((INT(CF$2/$L35)-INT((CF$2-1)/$L35))*($T35*(1-$F35)+$S35*(1-$G35))*((1+Inputs!$D$7)^CF$2))),((Inputs!$D$8^((1-_xlfn.WEIBULL.DIST(CF$2,$M35,$L35,FALSE))/_xlfn.WEIBULL.DIST(CF$2,$M35,$L35,FALSE))*($T35*(1-$F35)+$S35*(1-$G35))*((1+Inputs!$D$7)^CF$2))))))))</f>
        <v>38.788524673945325</v>
      </c>
      <c r="CG35" s="88">
        <f>MAX(AQ35,($E35*IF(CG$2&gt;Inputs!$D$5,0,IF(CG$2&gt;VLOOKUP($H35,Lists!$P$3:$Q$7,2),IF($N35=Lists!$K$3,IF($L35&lt;1,(($U35/$L35)*((1+Inputs!$D$7)^CG$2)),((INT(CG$2/$L35)-INT((CG$2-1)/$L35))*$U35*((1+Inputs!$D$7)^CG$2))),(Inputs!$D$8^((1-_xlfn.WEIBULL.DIST(CG$2,$M35,$L35,FALSE))/_xlfn.WEIBULL.DIST(CG$2,$M35,$L35,FALSE))*$U35*((1+Inputs!$D$7)^CG$2))),IF($N35=Lists!$K$3,IF($L35&lt;1,((($T35*(1-$F35)+$S35*(1-$G35))/$L35)*((1+Inputs!$D$7)^CG$2)),((INT(CG$2/$L35)-INT((CG$2-1)/$L35))*($T35*(1-$F35)+$S35*(1-$G35))*((1+Inputs!$D$7)^CG$2))),((Inputs!$D$8^((1-_xlfn.WEIBULL.DIST(CG$2,$M35,$L35,FALSE))/_xlfn.WEIBULL.DIST(CG$2,$M35,$L35,FALSE))*($T35*(1-$F35)+$S35*(1-$G35))*((1+Inputs!$D$7)^CG$2))))))))</f>
        <v>32.708676027308591</v>
      </c>
      <c r="CH35" s="88">
        <f>MAX(AR35,($E35*IF(CH$2&gt;Inputs!$D$5,0,IF(CH$2&gt;VLOOKUP($H35,Lists!$P$3:$Q$7,2),IF($N35=Lists!$K$3,IF($L35&lt;1,(($U35/$L35)*((1+Inputs!$D$7)^CH$2)),((INT(CH$2/$L35)-INT((CH$2-1)/$L35))*$U35*((1+Inputs!$D$7)^CH$2))),(Inputs!$D$8^((1-_xlfn.WEIBULL.DIST(CH$2,$M35,$L35,FALSE))/_xlfn.WEIBULL.DIST(CH$2,$M35,$L35,FALSE))*$U35*((1+Inputs!$D$7)^CH$2))),IF($N35=Lists!$K$3,IF($L35&lt;1,((($T35*(1-$F35)+$S35*(1-$G35))/$L35)*((1+Inputs!$D$7)^CH$2)),((INT(CH$2/$L35)-INT((CH$2-1)/$L35))*($T35*(1-$F35)+$S35*(1-$G35))*((1+Inputs!$D$7)^CH$2))),((Inputs!$D$8^((1-_xlfn.WEIBULL.DIST(CH$2,$M35,$L35,FALSE))/_xlfn.WEIBULL.DIST(CH$2,$M35,$L35,FALSE))*($T35*(1-$F35)+$S35*(1-$G35))*((1+Inputs!$D$7)^CH$2))))))))</f>
        <v>30.876626900893136</v>
      </c>
      <c r="CI35" s="88">
        <f>MAX(AS35,($E35*IF(CI$2&gt;Inputs!$D$5,0,IF(CI$2&gt;VLOOKUP($H35,Lists!$P$3:$Q$7,2),IF($N35=Lists!$K$3,IF($L35&lt;1,(($U35/$L35)*((1+Inputs!$D$7)^CI$2)),((INT(CI$2/$L35)-INT((CI$2-1)/$L35))*$U35*((1+Inputs!$D$7)^CI$2))),(Inputs!$D$8^((1-_xlfn.WEIBULL.DIST(CI$2,$M35,$L35,FALSE))/_xlfn.WEIBULL.DIST(CI$2,$M35,$L35,FALSE))*$U35*((1+Inputs!$D$7)^CI$2))),IF($N35=Lists!$K$3,IF($L35&lt;1,((($T35*(1-$F35)+$S35*(1-$G35))/$L35)*((1+Inputs!$D$7)^CI$2)),((INT(CI$2/$L35)-INT((CI$2-1)/$L35))*($T35*(1-$F35)+$S35*(1-$G35))*((1+Inputs!$D$7)^CI$2))),((Inputs!$D$8^((1-_xlfn.WEIBULL.DIST(CI$2,$M35,$L35,FALSE))/_xlfn.WEIBULL.DIST(CI$2,$M35,$L35,FALSE))*($T35*(1-$F35)+$S35*(1-$G35))*((1+Inputs!$D$7)^CI$2))))))))</f>
        <v>29.958171158209037</v>
      </c>
      <c r="CJ35" s="88">
        <f>MAX(AT35,($E35*IF(CJ$2&gt;Inputs!$D$5,0,IF(CJ$2&gt;VLOOKUP($H35,Lists!$P$3:$Q$7,2),IF($N35=Lists!$K$3,IF($L35&lt;1,(($U35/$L35)*((1+Inputs!$D$7)^CJ$2)),((INT(CJ$2/$L35)-INT((CJ$2-1)/$L35))*$U35*((1+Inputs!$D$7)^CJ$2))),(Inputs!$D$8^((1-_xlfn.WEIBULL.DIST(CJ$2,$M35,$L35,FALSE))/_xlfn.WEIBULL.DIST(CJ$2,$M35,$L35,FALSE))*$U35*((1+Inputs!$D$7)^CJ$2))),IF($N35=Lists!$K$3,IF($L35&lt;1,((($T35*(1-$F35)+$S35*(1-$G35))/$L35)*((1+Inputs!$D$7)^CJ$2)),((INT(CJ$2/$L35)-INT((CJ$2-1)/$L35))*($T35*(1-$F35)+$S35*(1-$G35))*((1+Inputs!$D$7)^CJ$2))),((Inputs!$D$8^((1-_xlfn.WEIBULL.DIST(CJ$2,$M35,$L35,FALSE))/_xlfn.WEIBULL.DIST(CJ$2,$M35,$L35,FALSE))*($T35*(1-$F35)+$S35*(1-$G35))*((1+Inputs!$D$7)^CJ$2))))))))</f>
        <v>29.067035788115419</v>
      </c>
      <c r="CK35" s="88">
        <f>MAX(AU35,($E35*IF(CK$2&gt;Inputs!$D$5,0,IF(CK$2&gt;VLOOKUP($H35,Lists!$P$3:$Q$7,2),IF($N35=Lists!$K$3,IF($L35&lt;1,(($U35/$L35)*((1+Inputs!$D$7)^CK$2)),((INT(CK$2/$L35)-INT((CK$2-1)/$L35))*$U35*((1+Inputs!$D$7)^CK$2))),(Inputs!$D$8^((1-_xlfn.WEIBULL.DIST(CK$2,$M35,$L35,FALSE))/_xlfn.WEIBULL.DIST(CK$2,$M35,$L35,FALSE))*$U35*((1+Inputs!$D$7)^CK$2))),IF($N35=Lists!$K$3,IF($L35&lt;1,((($T35*(1-$F35)+$S35*(1-$G35))/$L35)*((1+Inputs!$D$7)^CK$2)),((INT(CK$2/$L35)-INT((CK$2-1)/$L35))*($T35*(1-$F35)+$S35*(1-$G35))*((1+Inputs!$D$7)^CK$2))),((Inputs!$D$8^((1-_xlfn.WEIBULL.DIST(CK$2,$M35,$L35,FALSE))/_xlfn.WEIBULL.DIST(CK$2,$M35,$L35,FALSE))*($T35*(1-$F35)+$S35*(1-$G35))*((1+Inputs!$D$7)^CK$2))))))))</f>
        <v>28.202408119164097</v>
      </c>
      <c r="CL35" s="88">
        <f>MAX(AV35,($E35*IF(CL$2&gt;Inputs!$D$5,0,IF(CL$2&gt;VLOOKUP($H35,Lists!$P$3:$Q$7,2),IF($N35=Lists!$K$3,IF($L35&lt;1,(($U35/$L35)*((1+Inputs!$D$7)^CL$2)),((INT(CL$2/$L35)-INT((CL$2-1)/$L35))*$U35*((1+Inputs!$D$7)^CL$2))),(Inputs!$D$8^((1-_xlfn.WEIBULL.DIST(CL$2,$M35,$L35,FALSE))/_xlfn.WEIBULL.DIST(CL$2,$M35,$L35,FALSE))*$U35*((1+Inputs!$D$7)^CL$2))),IF($N35=Lists!$K$3,IF($L35&lt;1,((($T35*(1-$F35)+$S35*(1-$G35))/$L35)*((1+Inputs!$D$7)^CL$2)),((INT(CL$2/$L35)-INT((CL$2-1)/$L35))*($T35*(1-$F35)+$S35*(1-$G35))*((1+Inputs!$D$7)^CL$2))),((Inputs!$D$8^((1-_xlfn.WEIBULL.DIST(CL$2,$M35,$L35,FALSE))/_xlfn.WEIBULL.DIST(CL$2,$M35,$L35,FALSE))*($T35*(1-$F35)+$S35*(1-$G35))*((1+Inputs!$D$7)^CL$2))))))))</f>
        <v>27.363499653621268</v>
      </c>
      <c r="CM35" s="88">
        <f>MAX(AW35,($E35*IF(CM$2&gt;Inputs!$D$5,0,IF(CM$2&gt;VLOOKUP($H35,Lists!$P$3:$Q$7,2),IF($N35=Lists!$K$3,IF($L35&lt;1,(($U35/$L35)*((1+Inputs!$D$7)^CM$2)),((INT(CM$2/$L35)-INT((CM$2-1)/$L35))*$U35*((1+Inputs!$D$7)^CM$2))),(Inputs!$D$8^((1-_xlfn.WEIBULL.DIST(CM$2,$M35,$L35,FALSE))/_xlfn.WEIBULL.DIST(CM$2,$M35,$L35,FALSE))*$U35*((1+Inputs!$D$7)^CM$2))),IF($N35=Lists!$K$3,IF($L35&lt;1,((($T35*(1-$F35)+$S35*(1-$G35))/$L35)*((1+Inputs!$D$7)^CM$2)),((INT(CM$2/$L35)-INT((CM$2-1)/$L35))*($T35*(1-$F35)+$S35*(1-$G35))*((1+Inputs!$D$7)^CM$2))),((Inputs!$D$8^((1-_xlfn.WEIBULL.DIST(CM$2,$M35,$L35,FALSE))/_xlfn.WEIBULL.DIST(CM$2,$M35,$L35,FALSE))*($T35*(1-$F35)+$S35*(1-$G35))*((1+Inputs!$D$7)^CM$2))))))))</f>
        <v>26.549545348396435</v>
      </c>
      <c r="CN35" s="88">
        <f>MAX(AX35,($E35*IF(CN$2&gt;Inputs!$D$5,0,IF(CN$2&gt;VLOOKUP($H35,Lists!$P$3:$Q$7,2),IF($N35=Lists!$K$3,IF($L35&lt;1,(($U35/$L35)*((1+Inputs!$D$7)^CN$2)),((INT(CN$2/$L35)-INT((CN$2-1)/$L35))*$U35*((1+Inputs!$D$7)^CN$2))),(Inputs!$D$8^((1-_xlfn.WEIBULL.DIST(CN$2,$M35,$L35,FALSE))/_xlfn.WEIBULL.DIST(CN$2,$M35,$L35,FALSE))*$U35*((1+Inputs!$D$7)^CN$2))),IF($N35=Lists!$K$3,IF($L35&lt;1,((($T35*(1-$F35)+$S35*(1-$G35))/$L35)*((1+Inputs!$D$7)^CN$2)),((INT(CN$2/$L35)-INT((CN$2-1)/$L35))*($T35*(1-$F35)+$S35*(1-$G35))*((1+Inputs!$D$7)^CN$2))),((Inputs!$D$8^((1-_xlfn.WEIBULL.DIST(CN$2,$M35,$L35,FALSE))/_xlfn.WEIBULL.DIST(CN$2,$M35,$L35,FALSE))*($T35*(1-$F35)+$S35*(1-$G35))*((1+Inputs!$D$7)^CN$2))))))))</f>
        <v>25.759802917360965</v>
      </c>
      <c r="CO35" s="88">
        <f>MAX(AY35,($E35*IF(CO$2&gt;Inputs!$D$5,0,IF(CO$2&gt;VLOOKUP($H35,Lists!$P$3:$Q$7,2),IF($N35=Lists!$K$3,IF($L35&lt;1,(($U35/$L35)*((1+Inputs!$D$7)^CO$2)),((INT(CO$2/$L35)-INT((CO$2-1)/$L35))*$U35*((1+Inputs!$D$7)^CO$2))),(Inputs!$D$8^((1-_xlfn.WEIBULL.DIST(CO$2,$M35,$L35,FALSE))/_xlfn.WEIBULL.DIST(CO$2,$M35,$L35,FALSE))*$U35*((1+Inputs!$D$7)^CO$2))),IF($N35=Lists!$K$3,IF($L35&lt;1,((($T35*(1-$F35)+$S35*(1-$G35))/$L35)*((1+Inputs!$D$7)^CO$2)),((INT(CO$2/$L35)-INT((CO$2-1)/$L35))*($T35*(1-$F35)+$S35*(1-$G35))*((1+Inputs!$D$7)^CO$2))),((Inputs!$D$8^((1-_xlfn.WEIBULL.DIST(CO$2,$M35,$L35,FALSE))/_xlfn.WEIBULL.DIST(CO$2,$M35,$L35,FALSE))*($T35*(1-$F35)+$S35*(1-$G35))*((1+Inputs!$D$7)^CO$2))))))))</f>
        <v>24.993552154419746</v>
      </c>
      <c r="CP35" s="88">
        <f>MAX(AZ35,($E35*IF(CP$2&gt;Inputs!$D$5,0,IF(CP$2&gt;VLOOKUP($H35,Lists!$P$3:$Q$7,2),IF($N35=Lists!$K$3,IF($L35&lt;1,(($U35/$L35)*((1+Inputs!$D$7)^CP$2)),((INT(CP$2/$L35)-INT((CP$2-1)/$L35))*$U35*((1+Inputs!$D$7)^CP$2))),(Inputs!$D$8^((1-_xlfn.WEIBULL.DIST(CP$2,$M35,$L35,FALSE))/_xlfn.WEIBULL.DIST(CP$2,$M35,$L35,FALSE))*$U35*((1+Inputs!$D$7)^CP$2))),IF($N35=Lists!$K$3,IF($L35&lt;1,((($T35*(1-$F35)+$S35*(1-$G35))/$L35)*((1+Inputs!$D$7)^CP$2)),((INT(CP$2/$L35)-INT((CP$2-1)/$L35))*($T35*(1-$F35)+$S35*(1-$G35))*((1+Inputs!$D$7)^CP$2))),((Inputs!$D$8^((1-_xlfn.WEIBULL.DIST(CP$2,$M35,$L35,FALSE))/_xlfn.WEIBULL.DIST(CP$2,$M35,$L35,FALSE))*($T35*(1-$F35)+$S35*(1-$G35))*((1+Inputs!$D$7)^CP$2))))))))</f>
        <v>0</v>
      </c>
      <c r="CQ35" s="88">
        <f>MAX(BA35,($E35*IF(CQ$2&gt;Inputs!$D$5,0,IF(CQ$2&gt;VLOOKUP($H35,Lists!$P$3:$Q$7,2),IF($N35=Lists!$K$3,IF($L35&lt;1,(($U35/$L35)*((1+Inputs!$D$7)^CQ$2)),((INT(CQ$2/$L35)-INT((CQ$2-1)/$L35))*$U35*((1+Inputs!$D$7)^CQ$2))),(Inputs!$D$8^((1-_xlfn.WEIBULL.DIST(CQ$2,$M35,$L35,FALSE))/_xlfn.WEIBULL.DIST(CQ$2,$M35,$L35,FALSE))*$U35*((1+Inputs!$D$7)^CQ$2))),IF($N35=Lists!$K$3,IF($L35&lt;1,((($T35*(1-$F35)+$S35*(1-$G35))/$L35)*((1+Inputs!$D$7)^CQ$2)),((INT(CQ$2/$L35)-INT((CQ$2-1)/$L35))*($T35*(1-$F35)+$S35*(1-$G35))*((1+Inputs!$D$7)^CQ$2))),((Inputs!$D$8^((1-_xlfn.WEIBULL.DIST(CQ$2,$M35,$L35,FALSE))/_xlfn.WEIBULL.DIST(CQ$2,$M35,$L35,FALSE))*($T35*(1-$F35)+$S35*(1-$G35))*((1+Inputs!$D$7)^CQ$2))))))))</f>
        <v>0</v>
      </c>
      <c r="CR35" s="88">
        <f>MAX(BB35,($E35*IF(CR$2&gt;Inputs!$D$5,0,IF(CR$2&gt;VLOOKUP($H35,Lists!$P$3:$Q$7,2),IF($N35=Lists!$K$3,IF($L35&lt;1,(($U35/$L35)*((1+Inputs!$D$7)^CR$2)),((INT(CR$2/$L35)-INT((CR$2-1)/$L35))*$U35*((1+Inputs!$D$7)^CR$2))),(Inputs!$D$8^((1-_xlfn.WEIBULL.DIST(CR$2,$M35,$L35,FALSE))/_xlfn.WEIBULL.DIST(CR$2,$M35,$L35,FALSE))*$U35*((1+Inputs!$D$7)^CR$2))),IF($N35=Lists!$K$3,IF($L35&lt;1,((($T35*(1-$F35)+$S35*(1-$G35))/$L35)*((1+Inputs!$D$7)^CR$2)),((INT(CR$2/$L35)-INT((CR$2-1)/$L35))*($T35*(1-$F35)+$S35*(1-$G35))*((1+Inputs!$D$7)^CR$2))),((Inputs!$D$8^((1-_xlfn.WEIBULL.DIST(CR$2,$M35,$L35,FALSE))/_xlfn.WEIBULL.DIST(CR$2,$M35,$L35,FALSE))*($T35*(1-$F35)+$S35*(1-$G35))*((1+Inputs!$D$7)^CR$2))))))))</f>
        <v>0</v>
      </c>
      <c r="CS35" s="88">
        <f>MAX(BC35,($E35*IF(CS$2&gt;Inputs!$D$5,0,IF(CS$2&gt;VLOOKUP($H35,Lists!$P$3:$Q$7,2),IF($N35=Lists!$K$3,IF($L35&lt;1,(($U35/$L35)*((1+Inputs!$D$7)^CS$2)),((INT(CS$2/$L35)-INT((CS$2-1)/$L35))*$U35*((1+Inputs!$D$7)^CS$2))),(Inputs!$D$8^((1-_xlfn.WEIBULL.DIST(CS$2,$M35,$L35,FALSE))/_xlfn.WEIBULL.DIST(CS$2,$M35,$L35,FALSE))*$U35*((1+Inputs!$D$7)^CS$2))),IF($N35=Lists!$K$3,IF($L35&lt;1,((($T35*(1-$F35)+$S35*(1-$G35))/$L35)*((1+Inputs!$D$7)^CS$2)),((INT(CS$2/$L35)-INT((CS$2-1)/$L35))*($T35*(1-$F35)+$S35*(1-$G35))*((1+Inputs!$D$7)^CS$2))),((Inputs!$D$8^((1-_xlfn.WEIBULL.DIST(CS$2,$M35,$L35,FALSE))/_xlfn.WEIBULL.DIST(CS$2,$M35,$L35,FALSE))*($T35*(1-$F35)+$S35*(1-$G35))*((1+Inputs!$D$7)^CS$2))))))))</f>
        <v>0</v>
      </c>
      <c r="CT35" s="88">
        <f>MAX(BD35,($E35*IF(CT$2&gt;Inputs!$D$5,0,IF(CT$2&gt;VLOOKUP($H35,Lists!$P$3:$Q$7,2),IF($N35=Lists!$K$3,IF($L35&lt;1,(($U35/$L35)*((1+Inputs!$D$7)^CT$2)),((INT(CT$2/$L35)-INT((CT$2-1)/$L35))*$U35*((1+Inputs!$D$7)^CT$2))),(Inputs!$D$8^((1-_xlfn.WEIBULL.DIST(CT$2,$M35,$L35,FALSE))/_xlfn.WEIBULL.DIST(CT$2,$M35,$L35,FALSE))*$U35*((1+Inputs!$D$7)^CT$2))),IF($N35=Lists!$K$3,IF($L35&lt;1,((($T35*(1-$F35)+$S35*(1-$G35))/$L35)*((1+Inputs!$D$7)^CT$2)),((INT(CT$2/$L35)-INT((CT$2-1)/$L35))*($T35*(1-$F35)+$S35*(1-$G35))*((1+Inputs!$D$7)^CT$2))),((Inputs!$D$8^((1-_xlfn.WEIBULL.DIST(CT$2,$M35,$L35,FALSE))/_xlfn.WEIBULL.DIST(CT$2,$M35,$L35,FALSE))*($T35*(1-$F35)+$S35*(1-$G35))*((1+Inputs!$D$7)^CT$2))))))))</f>
        <v>0</v>
      </c>
      <c r="CU35" s="88">
        <f>MAX(BE35,($E35*IF(CU$2&gt;Inputs!$D$5,0,IF(CU$2&gt;VLOOKUP($H35,Lists!$P$3:$Q$7,2),IF($N35=Lists!$K$3,IF($L35&lt;1,(($U35/$L35)*((1+Inputs!$D$7)^CU$2)),((INT(CU$2/$L35)-INT((CU$2-1)/$L35))*$U35*((1+Inputs!$D$7)^CU$2))),(Inputs!$D$8^((1-_xlfn.WEIBULL.DIST(CU$2,$M35,$L35,FALSE))/_xlfn.WEIBULL.DIST(CU$2,$M35,$L35,FALSE))*$U35*((1+Inputs!$D$7)^CU$2))),IF($N35=Lists!$K$3,IF($L35&lt;1,((($T35*(1-$F35)+$S35*(1-$G35))/$L35)*((1+Inputs!$D$7)^CU$2)),((INT(CU$2/$L35)-INT((CU$2-1)/$L35))*($T35*(1-$F35)+$S35*(1-$G35))*((1+Inputs!$D$7)^CU$2))),((Inputs!$D$8^((1-_xlfn.WEIBULL.DIST(CU$2,$M35,$L35,FALSE))/_xlfn.WEIBULL.DIST(CU$2,$M35,$L35,FALSE))*($T35*(1-$F35)+$S35*(1-$G35))*((1+Inputs!$D$7)^CU$2))))))))</f>
        <v>0</v>
      </c>
      <c r="CV35" s="88">
        <f>MAX(BF35,($E35*IF(CV$2&gt;Inputs!$D$5,0,IF(CV$2&gt;VLOOKUP($H35,Lists!$P$3:$Q$7,2),IF($N35=Lists!$K$3,IF($L35&lt;1,(($U35/$L35)*((1+Inputs!$D$7)^CV$2)),((INT(CV$2/$L35)-INT((CV$2-1)/$L35))*$U35*((1+Inputs!$D$7)^CV$2))),(Inputs!$D$8^((1-_xlfn.WEIBULL.DIST(CV$2,$M35,$L35,FALSE))/_xlfn.WEIBULL.DIST(CV$2,$M35,$L35,FALSE))*$U35*((1+Inputs!$D$7)^CV$2))),IF($N35=Lists!$K$3,IF($L35&lt;1,((($T35*(1-$F35)+$S35*(1-$G35))/$L35)*((1+Inputs!$D$7)^CV$2)),((INT(CV$2/$L35)-INT((CV$2-1)/$L35))*($T35*(1-$F35)+$S35*(1-$G35))*((1+Inputs!$D$7)^CV$2))),((Inputs!$D$8^((1-_xlfn.WEIBULL.DIST(CV$2,$M35,$L35,FALSE))/_xlfn.WEIBULL.DIST(CV$2,$M35,$L35,FALSE))*($T35*(1-$F35)+$S35*(1-$G35))*((1+Inputs!$D$7)^CV$2))))))))</f>
        <v>0</v>
      </c>
      <c r="CW35" s="88">
        <f>MAX(BG35,($E35*IF(CW$2&gt;Inputs!$D$5,0,IF(CW$2&gt;VLOOKUP($H35,Lists!$P$3:$Q$7,2),IF($N35=Lists!$K$3,IF($L35&lt;1,(($U35/$L35)*((1+Inputs!$D$7)^CW$2)),((INT(CW$2/$L35)-INT((CW$2-1)/$L35))*$U35*((1+Inputs!$D$7)^CW$2))),(Inputs!$D$8^((1-_xlfn.WEIBULL.DIST(CW$2,$M35,$L35,FALSE))/_xlfn.WEIBULL.DIST(CW$2,$M35,$L35,FALSE))*$U35*((1+Inputs!$D$7)^CW$2))),IF($N35=Lists!$K$3,IF($L35&lt;1,((($T35*(1-$F35)+$S35*(1-$G35))/$L35)*((1+Inputs!$D$7)^CW$2)),((INT(CW$2/$L35)-INT((CW$2-1)/$L35))*($T35*(1-$F35)+$S35*(1-$G35))*((1+Inputs!$D$7)^CW$2))),((Inputs!$D$8^((1-_xlfn.WEIBULL.DIST(CW$2,$M35,$L35,FALSE))/_xlfn.WEIBULL.DIST(CW$2,$M35,$L35,FALSE))*($T35*(1-$F35)+$S35*(1-$G35))*((1+Inputs!$D$7)^CW$2))))))))</f>
        <v>0</v>
      </c>
      <c r="CX35" s="88">
        <f>MAX(BH35,($E35*IF(CX$2&gt;Inputs!$D$5,0,IF(CX$2&gt;VLOOKUP($H35,Lists!$P$3:$Q$7,2),IF($N35=Lists!$K$3,IF($L35&lt;1,(($U35/$L35)*((1+Inputs!$D$7)^CX$2)),((INT(CX$2/$L35)-INT((CX$2-1)/$L35))*$U35*((1+Inputs!$D$7)^CX$2))),(Inputs!$D$8^((1-_xlfn.WEIBULL.DIST(CX$2,$M35,$L35,FALSE))/_xlfn.WEIBULL.DIST(CX$2,$M35,$L35,FALSE))*$U35*((1+Inputs!$D$7)^CX$2))),IF($N35=Lists!$K$3,IF($L35&lt;1,((($T35*(1-$F35)+$S35*(1-$G35))/$L35)*((1+Inputs!$D$7)^CX$2)),((INT(CX$2/$L35)-INT((CX$2-1)/$L35))*($T35*(1-$F35)+$S35*(1-$G35))*((1+Inputs!$D$7)^CX$2))),((Inputs!$D$8^((1-_xlfn.WEIBULL.DIST(CX$2,$M35,$L35,FALSE))/_xlfn.WEIBULL.DIST(CX$2,$M35,$L35,FALSE))*($T35*(1-$F35)+$S35*(1-$G35))*((1+Inputs!$D$7)^CX$2))))))))</f>
        <v>0</v>
      </c>
      <c r="CY35" s="88">
        <f>MAX(BI35,($E35*IF(CY$2&gt;Inputs!$D$5,0,IF(CY$2&gt;VLOOKUP($H35,Lists!$P$3:$Q$7,2),IF($N35=Lists!$K$3,IF($L35&lt;1,(($U35/$L35)*((1+Inputs!$D$7)^CY$2)),((INT(CY$2/$L35)-INT((CY$2-1)/$L35))*$U35*((1+Inputs!$D$7)^CY$2))),(Inputs!$D$8^((1-_xlfn.WEIBULL.DIST(CY$2,$M35,$L35,FALSE))/_xlfn.WEIBULL.DIST(CY$2,$M35,$L35,FALSE))*$U35*((1+Inputs!$D$7)^CY$2))),IF($N35=Lists!$K$3,IF($L35&lt;1,((($T35*(1-$F35)+$S35*(1-$G35))/$L35)*((1+Inputs!$D$7)^CY$2)),((INT(CY$2/$L35)-INT((CY$2-1)/$L35))*($T35*(1-$F35)+$S35*(1-$G35))*((1+Inputs!$D$7)^CY$2))),((Inputs!$D$8^((1-_xlfn.WEIBULL.DIST(CY$2,$M35,$L35,FALSE))/_xlfn.WEIBULL.DIST(CY$2,$M35,$L35,FALSE))*($T35*(1-$F35)+$S35*(1-$G35))*((1+Inputs!$D$7)^CY$2))))))))</f>
        <v>0</v>
      </c>
      <c r="CZ35" s="88">
        <f>MAX(BJ35,($E35*IF(CZ$2&gt;Inputs!$D$5,0,IF(CZ$2&gt;VLOOKUP($H35,Lists!$P$3:$Q$7,2),IF($N35=Lists!$K$3,IF($L35&lt;1,(($U35/$L35)*((1+Inputs!$D$7)^CZ$2)),((INT(CZ$2/$L35)-INT((CZ$2-1)/$L35))*$U35*((1+Inputs!$D$7)^CZ$2))),(Inputs!$D$8^((1-_xlfn.WEIBULL.DIST(CZ$2,$M35,$L35,FALSE))/_xlfn.WEIBULL.DIST(CZ$2,$M35,$L35,FALSE))*$U35*((1+Inputs!$D$7)^CZ$2))),IF($N35=Lists!$K$3,IF($L35&lt;1,((($T35*(1-$F35)+$S35*(1-$G35))/$L35)*((1+Inputs!$D$7)^CZ$2)),((INT(CZ$2/$L35)-INT((CZ$2-1)/$L35))*($T35*(1-$F35)+$S35*(1-$G35))*((1+Inputs!$D$7)^CZ$2))),((Inputs!$D$8^((1-_xlfn.WEIBULL.DIST(CZ$2,$M35,$L35,FALSE))/_xlfn.WEIBULL.DIST(CZ$2,$M35,$L35,FALSE))*($T35*(1-$F35)+$S35*(1-$G35))*((1+Inputs!$D$7)^CZ$2))))))))</f>
        <v>0</v>
      </c>
      <c r="DA35" s="88">
        <f>MAX(BK35,($E35*IF(DA$2&gt;Inputs!$D$5,0,IF(DA$2&gt;VLOOKUP($H35,Lists!$P$3:$Q$7,2),IF($N35=Lists!$K$3,IF($L35&lt;1,(($U35/$L35)*((1+Inputs!$D$7)^DA$2)),((INT(DA$2/$L35)-INT((DA$2-1)/$L35))*$U35*((1+Inputs!$D$7)^DA$2))),(Inputs!$D$8^((1-_xlfn.WEIBULL.DIST(DA$2,$M35,$L35,FALSE))/_xlfn.WEIBULL.DIST(DA$2,$M35,$L35,FALSE))*$U35*((1+Inputs!$D$7)^DA$2))),IF($N35=Lists!$K$3,IF($L35&lt;1,((($T35*(1-$F35)+$S35*(1-$G35))/$L35)*((1+Inputs!$D$7)^DA$2)),((INT(DA$2/$L35)-INT((DA$2-1)/$L35))*($T35*(1-$F35)+$S35*(1-$G35))*((1+Inputs!$D$7)^DA$2))),((Inputs!$D$8^((1-_xlfn.WEIBULL.DIST(DA$2,$M35,$L35,FALSE))/_xlfn.WEIBULL.DIST(DA$2,$M35,$L35,FALSE))*($T35*(1-$F35)+$S35*(1-$G35))*((1+Inputs!$D$7)^DA$2))))))))</f>
        <v>0</v>
      </c>
      <c r="DB35" s="88">
        <f>MAX(BL35,($E35*IF(DB$2&gt;Inputs!$D$5,0,IF(DB$2&gt;VLOOKUP($H35,Lists!$P$3:$Q$7,2),IF($N35=Lists!$K$3,IF($L35&lt;1,(($U35/$L35)*((1+Inputs!$D$7)^DB$2)),((INT(DB$2/$L35)-INT((DB$2-1)/$L35))*$U35*((1+Inputs!$D$7)^DB$2))),(Inputs!$D$8^((1-_xlfn.WEIBULL.DIST(DB$2,$M35,$L35,FALSE))/_xlfn.WEIBULL.DIST(DB$2,$M35,$L35,FALSE))*$U35*((1+Inputs!$D$7)^DB$2))),IF($N35=Lists!$K$3,IF($L35&lt;1,((($T35*(1-$F35)+$S35*(1-$G35))/$L35)*((1+Inputs!$D$7)^DB$2)),((INT(DB$2/$L35)-INT((DB$2-1)/$L35))*($T35*(1-$F35)+$S35*(1-$G35))*((1+Inputs!$D$7)^DB$2))),((Inputs!$D$8^((1-_xlfn.WEIBULL.DIST(DB$2,$M35,$L35,FALSE))/_xlfn.WEIBULL.DIST(DB$2,$M35,$L35,FALSE))*($T35*(1-$F35)+$S35*(1-$G35))*((1+Inputs!$D$7)^DB$2))))))))</f>
        <v>0</v>
      </c>
      <c r="DC35" s="88">
        <f>MAX(BM35,($E35*IF(DC$2&gt;Inputs!$D$5,0,IF(DC$2&gt;VLOOKUP($H35,Lists!$P$3:$Q$7,2),IF($N35=Lists!$K$3,IF($L35&lt;1,(($U35/$L35)*((1+Inputs!$D$7)^DC$2)),((INT(DC$2/$L35)-INT((DC$2-1)/$L35))*$U35*((1+Inputs!$D$7)^DC$2))),(Inputs!$D$8^((1-_xlfn.WEIBULL.DIST(DC$2,$M35,$L35,FALSE))/_xlfn.WEIBULL.DIST(DC$2,$M35,$L35,FALSE))*$U35*((1+Inputs!$D$7)^DC$2))),IF($N35=Lists!$K$3,IF($L35&lt;1,((($T35*(1-$F35)+$S35*(1-$G35))/$L35)*((1+Inputs!$D$7)^DC$2)),((INT(DC$2/$L35)-INT((DC$2-1)/$L35))*($T35*(1-$F35)+$S35*(1-$G35))*((1+Inputs!$D$7)^DC$2))),((Inputs!$D$8^((1-_xlfn.WEIBULL.DIST(DC$2,$M35,$L35,FALSE))/_xlfn.WEIBULL.DIST(DC$2,$M35,$L35,FALSE))*($T35*(1-$F35)+$S35*(1-$G35))*((1+Inputs!$D$7)^DC$2))))))))</f>
        <v>0</v>
      </c>
      <c r="DD35" s="88">
        <f>MAX(BN35,($E35*IF(DD$2&gt;Inputs!$D$5,0,IF(DD$2&gt;VLOOKUP($H35,Lists!$P$3:$Q$7,2),IF($N35=Lists!$K$3,IF($L35&lt;1,(($U35/$L35)*((1+Inputs!$D$7)^DD$2)),((INT(DD$2/$L35)-INT((DD$2-1)/$L35))*$U35*((1+Inputs!$D$7)^DD$2))),(Inputs!$D$8^((1-_xlfn.WEIBULL.DIST(DD$2,$M35,$L35,FALSE))/_xlfn.WEIBULL.DIST(DD$2,$M35,$L35,FALSE))*$U35*((1+Inputs!$D$7)^DD$2))),IF($N35=Lists!$K$3,IF($L35&lt;1,((($T35*(1-$F35)+$S35*(1-$G35))/$L35)*((1+Inputs!$D$7)^DD$2)),((INT(DD$2/$L35)-INT((DD$2-1)/$L35))*($T35*(1-$F35)+$S35*(1-$G35))*((1+Inputs!$D$7)^DD$2))),((Inputs!$D$8^((1-_xlfn.WEIBULL.DIST(DD$2,$M35,$L35,FALSE))/_xlfn.WEIBULL.DIST(DD$2,$M35,$L35,FALSE))*($T35*(1-$F35)+$S35*(1-$G35))*((1+Inputs!$D$7)^DD$2))))))))</f>
        <v>0</v>
      </c>
    </row>
    <row r="36" spans="1:108" s="1" customFormat="1" ht="16">
      <c r="A36" s="57" t="s">
        <v>186</v>
      </c>
      <c r="B36" s="13" t="s">
        <v>130</v>
      </c>
      <c r="C36" s="13" t="s">
        <v>474</v>
      </c>
      <c r="D36" s="13" t="s">
        <v>16</v>
      </c>
      <c r="E36" s="48">
        <f>IF(Inputs!$D$30=Lists!$M$4,1,0)</f>
        <v>1</v>
      </c>
      <c r="F36" s="48">
        <v>0</v>
      </c>
      <c r="G36" s="48">
        <v>0</v>
      </c>
      <c r="H36" s="105" t="s">
        <v>16</v>
      </c>
      <c r="I36" s="14" t="s">
        <v>264</v>
      </c>
      <c r="J36" s="14" t="s">
        <v>91</v>
      </c>
      <c r="K36" s="13">
        <f>VLOOKUP(J36,'Labor Rates'!$A$1:$F$16,2)</f>
        <v>33.17307692307692</v>
      </c>
      <c r="L36" s="15">
        <v>20</v>
      </c>
      <c r="M36" s="15">
        <v>1</v>
      </c>
      <c r="N36" s="16" t="s">
        <v>226</v>
      </c>
      <c r="O36" s="61">
        <f>Inputs!$D$32</f>
        <v>10</v>
      </c>
      <c r="P36" s="15">
        <v>0.25</v>
      </c>
      <c r="Q36" s="15">
        <f t="shared" si="7"/>
        <v>0.125</v>
      </c>
      <c r="R36" s="4">
        <v>25</v>
      </c>
      <c r="S36" s="53">
        <f t="shared" si="8"/>
        <v>82.932692307692292</v>
      </c>
      <c r="T36" s="53">
        <f t="shared" si="9"/>
        <v>250</v>
      </c>
      <c r="U36" s="54">
        <f t="shared" si="10"/>
        <v>332.93269230769226</v>
      </c>
      <c r="V36" s="65"/>
      <c r="W36" s="58"/>
      <c r="X36" s="64">
        <f t="shared" si="11"/>
        <v>12.308003653262077</v>
      </c>
      <c r="Y36" s="64">
        <f>NPV(Inputs!$D$6,AA36:BN36)</f>
        <v>147.9023954326392</v>
      </c>
      <c r="Z36" s="67">
        <f t="shared" si="12"/>
        <v>6.9757990385681238E-5</v>
      </c>
      <c r="AA36" s="88">
        <f>$E36*IF(AA$2&gt;Inputs!$D$5,0,IF(AA$2&gt;VLOOKUP($H36,Lists!$P$3:$Q$7,2),IF($N36=Lists!$K$3,IF($L36&lt;1,(($U36/$L36)*((1+Inputs!$D$7)^AA$2)),((INT(AA$2/$L36)-INT((AA$2-1)/$L36))*$U36*((1+Inputs!$D$7)^AA$2))),(_xlfn.WEIBULL.DIST(AA$2,$M36,$L36,FALSE)*$U36*((1+Inputs!$D$7)^AA$2))),IF($N36=Lists!$K$3,IF($L36&lt;1,((($T36*(1-$F36)+$S36*(1-$G36))/$L36)*((1+Inputs!$D$7)^AA$2)),((INT(AA$2/$L36)-INT((AA$2-1)/$L36))*($T36*(1-$F36)+$S36*(1-$G36))*((1+Inputs!$D$7)^AA$2))),((_xlfn.WEIBULL.DIST(AA$2,$M36,$L36,FALSE)*($T36*(1-$F36)+$S36*(1-$G36))*((1+Inputs!$D$7)^AA$2))))))</f>
        <v>16.151464038367294</v>
      </c>
      <c r="AB36" s="88">
        <f>$E36*IF(AB$2&gt;Inputs!$D$5,0,IF(AB$2&gt;VLOOKUP($H36,Lists!$P$3:$Q$7,2),IF($N36=Lists!$K$3,IF($L36&lt;1,(($U36/$L36)*((1+Inputs!$D$7)^AB$2)),((INT(AB$2/$L36)-INT((AB$2-1)/$L36))*$U36*((1+Inputs!$D$7)^AB$2))),(_xlfn.WEIBULL.DIST(AB$2,$M36,$L36,FALSE)*$U36*((1+Inputs!$D$7)^AB$2))),IF($N36=Lists!$K$3,IF($L36&lt;1,((($T36*(1-$F36)+$S36*(1-$G36))/$L36)*((1+Inputs!$D$7)^AB$2)),((INT(AB$2/$L36)-INT((AB$2-1)/$L36))*($T36*(1-$F36)+$S36*(1-$G36))*((1+Inputs!$D$7)^AB$2))),((_xlfn.WEIBULL.DIST(AB$2,$M36,$L36,FALSE)*($T36*(1-$F36)+$S36*(1-$G36))*((1+Inputs!$D$7)^AB$2))))))</f>
        <v>15.6710227989013</v>
      </c>
      <c r="AC36" s="88">
        <f>$E36*IF(AC$2&gt;Inputs!$D$5,0,IF(AC$2&gt;VLOOKUP($H36,Lists!$P$3:$Q$7,2),IF($N36=Lists!$K$3,IF($L36&lt;1,(($U36/$L36)*((1+Inputs!$D$7)^AC$2)),((INT(AC$2/$L36)-INT((AC$2-1)/$L36))*$U36*((1+Inputs!$D$7)^AC$2))),(_xlfn.WEIBULL.DIST(AC$2,$M36,$L36,FALSE)*$U36*((1+Inputs!$D$7)^AC$2))),IF($N36=Lists!$K$3,IF($L36&lt;1,((($T36*(1-$F36)+$S36*(1-$G36))/$L36)*((1+Inputs!$D$7)^AC$2)),((INT(AC$2/$L36)-INT((AC$2-1)/$L36))*($T36*(1-$F36)+$S36*(1-$G36))*((1+Inputs!$D$7)^AC$2))),((_xlfn.WEIBULL.DIST(AC$2,$M36,$L36,FALSE)*($T36*(1-$F36)+$S36*(1-$G36))*((1+Inputs!$D$7)^AC$2))))))</f>
        <v>15.204872758303182</v>
      </c>
      <c r="AD36" s="88">
        <f>$E36*IF(AD$2&gt;Inputs!$D$5,0,IF(AD$2&gt;VLOOKUP($H36,Lists!$P$3:$Q$7,2),IF($N36=Lists!$K$3,IF($L36&lt;1,(($U36/$L36)*((1+Inputs!$D$7)^AD$2)),((INT(AD$2/$L36)-INT((AD$2-1)/$L36))*$U36*((1+Inputs!$D$7)^AD$2))),(_xlfn.WEIBULL.DIST(AD$2,$M36,$L36,FALSE)*$U36*((1+Inputs!$D$7)^AD$2))),IF($N36=Lists!$K$3,IF($L36&lt;1,((($T36*(1-$F36)+$S36*(1-$G36))/$L36)*((1+Inputs!$D$7)^AD$2)),((INT(AD$2/$L36)-INT((AD$2-1)/$L36))*($T36*(1-$F36)+$S36*(1-$G36))*((1+Inputs!$D$7)^AD$2))),((_xlfn.WEIBULL.DIST(AD$2,$M36,$L36,FALSE)*($T36*(1-$F36)+$S36*(1-$G36))*((1+Inputs!$D$7)^AD$2))))))</f>
        <v>14.752588810757064</v>
      </c>
      <c r="AE36" s="88">
        <f>$E36*IF(AE$2&gt;Inputs!$D$5,0,IF(AE$2&gt;VLOOKUP($H36,Lists!$P$3:$Q$7,2),IF($N36=Lists!$K$3,IF($L36&lt;1,(($U36/$L36)*((1+Inputs!$D$7)^AE$2)),((INT(AE$2/$L36)-INT((AE$2-1)/$L36))*$U36*((1+Inputs!$D$7)^AE$2))),(_xlfn.WEIBULL.DIST(AE$2,$M36,$L36,FALSE)*$U36*((1+Inputs!$D$7)^AE$2))),IF($N36=Lists!$K$3,IF($L36&lt;1,((($T36*(1-$F36)+$S36*(1-$G36))/$L36)*((1+Inputs!$D$7)^AE$2)),((INT(AE$2/$L36)-INT((AE$2-1)/$L36))*($T36*(1-$F36)+$S36*(1-$G36))*((1+Inputs!$D$7)^AE$2))),((_xlfn.WEIBULL.DIST(AE$2,$M36,$L36,FALSE)*($T36*(1-$F36)+$S36*(1-$G36))*((1+Inputs!$D$7)^AE$2))))))</f>
        <v>14.313758495639158</v>
      </c>
      <c r="AF36" s="88">
        <f>$E36*IF(AF$2&gt;Inputs!$D$5,0,IF(AF$2&gt;VLOOKUP($H36,Lists!$P$3:$Q$7,2),IF($N36=Lists!$K$3,IF($L36&lt;1,(($U36/$L36)*((1+Inputs!$D$7)^AF$2)),((INT(AF$2/$L36)-INT((AF$2-1)/$L36))*$U36*((1+Inputs!$D$7)^AF$2))),(_xlfn.WEIBULL.DIST(AF$2,$M36,$L36,FALSE)*$U36*((1+Inputs!$D$7)^AF$2))),IF($N36=Lists!$K$3,IF($L36&lt;1,((($T36*(1-$F36)+$S36*(1-$G36))/$L36)*((1+Inputs!$D$7)^AF$2)),((INT(AF$2/$L36)-INT((AF$2-1)/$L36))*($T36*(1-$F36)+$S36*(1-$G36))*((1+Inputs!$D$7)^AF$2))),((_xlfn.WEIBULL.DIST(AF$2,$M36,$L36,FALSE)*($T36*(1-$F36)+$S36*(1-$G36))*((1+Inputs!$D$7)^AF$2))))))</f>
        <v>13.887981621374026</v>
      </c>
      <c r="AG36" s="88">
        <f>$E36*IF(AG$2&gt;Inputs!$D$5,0,IF(AG$2&gt;VLOOKUP($H36,Lists!$P$3:$Q$7,2),IF($N36=Lists!$K$3,IF($L36&lt;1,(($U36/$L36)*((1+Inputs!$D$7)^AG$2)),((INT(AG$2/$L36)-INT((AG$2-1)/$L36))*$U36*((1+Inputs!$D$7)^AG$2))),(_xlfn.WEIBULL.DIST(AG$2,$M36,$L36,FALSE)*$U36*((1+Inputs!$D$7)^AG$2))),IF($N36=Lists!$K$3,IF($L36&lt;1,((($T36*(1-$F36)+$S36*(1-$G36))/$L36)*((1+Inputs!$D$7)^AG$2)),((INT(AG$2/$L36)-INT((AG$2-1)/$L36))*($T36*(1-$F36)+$S36*(1-$G36))*((1+Inputs!$D$7)^AG$2))),((_xlfn.WEIBULL.DIST(AG$2,$M36,$L36,FALSE)*($T36*(1-$F36)+$S36*(1-$G36))*((1+Inputs!$D$7)^AG$2))))))</f>
        <v>13.474869900479625</v>
      </c>
      <c r="AH36" s="88">
        <f>$E36*IF(AH$2&gt;Inputs!$D$5,0,IF(AH$2&gt;VLOOKUP($H36,Lists!$P$3:$Q$7,2),IF($N36=Lists!$K$3,IF($L36&lt;1,(($U36/$L36)*((1+Inputs!$D$7)^AH$2)),((INT(AH$2/$L36)-INT((AH$2-1)/$L36))*$U36*((1+Inputs!$D$7)^AH$2))),(_xlfn.WEIBULL.DIST(AH$2,$M36,$L36,FALSE)*$U36*((1+Inputs!$D$7)^AH$2))),IF($N36=Lists!$K$3,IF($L36&lt;1,((($T36*(1-$F36)+$S36*(1-$G36))/$L36)*((1+Inputs!$D$7)^AH$2)),((INT(AH$2/$L36)-INT((AH$2-1)/$L36))*($T36*(1-$F36)+$S36*(1-$G36))*((1+Inputs!$D$7)^AH$2))),((_xlfn.WEIBULL.DIST(AH$2,$M36,$L36,FALSE)*($T36*(1-$F36)+$S36*(1-$G36))*((1+Inputs!$D$7)^AH$2))))))</f>
        <v>13.074046595468332</v>
      </c>
      <c r="AI36" s="88">
        <f>$E36*IF(AI$2&gt;Inputs!$D$5,0,IF(AI$2&gt;VLOOKUP($H36,Lists!$P$3:$Q$7,2),IF($N36=Lists!$K$3,IF($L36&lt;1,(($U36/$L36)*((1+Inputs!$D$7)^AI$2)),((INT(AI$2/$L36)-INT((AI$2-1)/$L36))*$U36*((1+Inputs!$D$7)^AI$2))),(_xlfn.WEIBULL.DIST(AI$2,$M36,$L36,FALSE)*$U36*((1+Inputs!$D$7)^AI$2))),IF($N36=Lists!$K$3,IF($L36&lt;1,((($T36*(1-$F36)+$S36*(1-$G36))/$L36)*((1+Inputs!$D$7)^AI$2)),((INT(AI$2/$L36)-INT((AI$2-1)/$L36))*($T36*(1-$F36)+$S36*(1-$G36))*((1+Inputs!$D$7)^AI$2))),((_xlfn.WEIBULL.DIST(AI$2,$M36,$L36,FALSE)*($T36*(1-$F36)+$S36*(1-$G36))*((1+Inputs!$D$7)^AI$2))))))</f>
        <v>12.68514617528092</v>
      </c>
      <c r="AJ36" s="88">
        <f>$E36*IF(AJ$2&gt;Inputs!$D$5,0,IF(AJ$2&gt;VLOOKUP($H36,Lists!$P$3:$Q$7,2),IF($N36=Lists!$K$3,IF($L36&lt;1,(($U36/$L36)*((1+Inputs!$D$7)^AJ$2)),((INT(AJ$2/$L36)-INT((AJ$2-1)/$L36))*$U36*((1+Inputs!$D$7)^AJ$2))),(_xlfn.WEIBULL.DIST(AJ$2,$M36,$L36,FALSE)*$U36*((1+Inputs!$D$7)^AJ$2))),IF($N36=Lists!$K$3,IF($L36&lt;1,((($T36*(1-$F36)+$S36*(1-$G36))/$L36)*((1+Inputs!$D$7)^AJ$2)),((INT(AJ$2/$L36)-INT((AJ$2-1)/$L36))*($T36*(1-$F36)+$S36*(1-$G36))*((1+Inputs!$D$7)^AJ$2))),((_xlfn.WEIBULL.DIST(AJ$2,$M36,$L36,FALSE)*($T36*(1-$F36)+$S36*(1-$G36))*((1+Inputs!$D$7)^AJ$2))))))</f>
        <v>12.307813981940299</v>
      </c>
      <c r="AK36" s="88">
        <f>$E36*IF(AK$2&gt;Inputs!$D$5,0,IF(AK$2&gt;VLOOKUP($H36,Lists!$P$3:$Q$7,2),IF($N36=Lists!$K$3,IF($L36&lt;1,(($U36/$L36)*((1+Inputs!$D$7)^AK$2)),((INT(AK$2/$L36)-INT((AK$2-1)/$L36))*$U36*((1+Inputs!$D$7)^AK$2))),(_xlfn.WEIBULL.DIST(AK$2,$M36,$L36,FALSE)*$U36*((1+Inputs!$D$7)^AK$2))),IF($N36=Lists!$K$3,IF($L36&lt;1,((($T36*(1-$F36)+$S36*(1-$G36))/$L36)*((1+Inputs!$D$7)^AK$2)),((INT(AK$2/$L36)-INT((AK$2-1)/$L36))*($T36*(1-$F36)+$S36*(1-$G36))*((1+Inputs!$D$7)^AK$2))),((_xlfn.WEIBULL.DIST(AK$2,$M36,$L36,FALSE)*($T36*(1-$F36)+$S36*(1-$G36))*((1+Inputs!$D$7)^AK$2))))))</f>
        <v>11.941705907120967</v>
      </c>
      <c r="AL36" s="88">
        <f>$E36*IF(AL$2&gt;Inputs!$D$5,0,IF(AL$2&gt;VLOOKUP($H36,Lists!$P$3:$Q$7,2),IF($N36=Lists!$K$3,IF($L36&lt;1,(($U36/$L36)*((1+Inputs!$D$7)^AL$2)),((INT(AL$2/$L36)-INT((AL$2-1)/$L36))*$U36*((1+Inputs!$D$7)^AL$2))),(_xlfn.WEIBULL.DIST(AL$2,$M36,$L36,FALSE)*$U36*((1+Inputs!$D$7)^AL$2))),IF($N36=Lists!$K$3,IF($L36&lt;1,((($T36*(1-$F36)+$S36*(1-$G36))/$L36)*((1+Inputs!$D$7)^AL$2)),((INT(AL$2/$L36)-INT((AL$2-1)/$L36))*($T36*(1-$F36)+$S36*(1-$G36))*((1+Inputs!$D$7)^AL$2))),((_xlfn.WEIBULL.DIST(AL$2,$M36,$L36,FALSE)*($T36*(1-$F36)+$S36*(1-$G36))*((1+Inputs!$D$7)^AL$2))))))</f>
        <v>11.586488078339208</v>
      </c>
      <c r="AM36" s="88">
        <f>$E36*IF(AM$2&gt;Inputs!$D$5,0,IF(AM$2&gt;VLOOKUP($H36,Lists!$P$3:$Q$7,2),IF($N36=Lists!$K$3,IF($L36&lt;1,(($U36/$L36)*((1+Inputs!$D$7)^AM$2)),((INT(AM$2/$L36)-INT((AM$2-1)/$L36))*$U36*((1+Inputs!$D$7)^AM$2))),(_xlfn.WEIBULL.DIST(AM$2,$M36,$L36,FALSE)*$U36*((1+Inputs!$D$7)^AM$2))),IF($N36=Lists!$K$3,IF($L36&lt;1,((($T36*(1-$F36)+$S36*(1-$G36))/$L36)*((1+Inputs!$D$7)^AM$2)),((INT(AM$2/$L36)-INT((AM$2-1)/$L36))*($T36*(1-$F36)+$S36*(1-$G36))*((1+Inputs!$D$7)^AM$2))),((_xlfn.WEIBULL.DIST(AM$2,$M36,$L36,FALSE)*($T36*(1-$F36)+$S36*(1-$G36))*((1+Inputs!$D$7)^AM$2))))))</f>
        <v>11.241836554477848</v>
      </c>
      <c r="AN36" s="88">
        <f>$E36*IF(AN$2&gt;Inputs!$D$5,0,IF(AN$2&gt;VLOOKUP($H36,Lists!$P$3:$Q$7,2),IF($N36=Lists!$K$3,IF($L36&lt;1,(($U36/$L36)*((1+Inputs!$D$7)^AN$2)),((INT(AN$2/$L36)-INT((AN$2-1)/$L36))*$U36*((1+Inputs!$D$7)^AN$2))),(_xlfn.WEIBULL.DIST(AN$2,$M36,$L36,FALSE)*$U36*((1+Inputs!$D$7)^AN$2))),IF($N36=Lists!$K$3,IF($L36&lt;1,((($T36*(1-$F36)+$S36*(1-$G36))/$L36)*((1+Inputs!$D$7)^AN$2)),((INT(AN$2/$L36)-INT((AN$2-1)/$L36))*($T36*(1-$F36)+$S36*(1-$G36))*((1+Inputs!$D$7)^AN$2))),((_xlfn.WEIBULL.DIST(AN$2,$M36,$L36,FALSE)*($T36*(1-$F36)+$S36*(1-$G36))*((1+Inputs!$D$7)^AN$2))))))</f>
        <v>10.907437030367996</v>
      </c>
      <c r="AO36" s="88">
        <f>$E36*IF(AO$2&gt;Inputs!$D$5,0,IF(AO$2&gt;VLOOKUP($H36,Lists!$P$3:$Q$7,2),IF($N36=Lists!$K$3,IF($L36&lt;1,(($U36/$L36)*((1+Inputs!$D$7)^AO$2)),((INT(AO$2/$L36)-INT((AO$2-1)/$L36))*$U36*((1+Inputs!$D$7)^AO$2))),(_xlfn.WEIBULL.DIST(AO$2,$M36,$L36,FALSE)*$U36*((1+Inputs!$D$7)^AO$2))),IF($N36=Lists!$K$3,IF($L36&lt;1,((($T36*(1-$F36)+$S36*(1-$G36))/$L36)*((1+Inputs!$D$7)^AO$2)),((INT(AO$2/$L36)-INT((AO$2-1)/$L36))*($T36*(1-$F36)+$S36*(1-$G36))*((1+Inputs!$D$7)^AO$2))),((_xlfn.WEIBULL.DIST(AO$2,$M36,$L36,FALSE)*($T36*(1-$F36)+$S36*(1-$G36))*((1+Inputs!$D$7)^AO$2))))))</f>
        <v>10.582984550158216</v>
      </c>
      <c r="AP36" s="88">
        <f>$E36*IF(AP$2&gt;Inputs!$D$5,0,IF(AP$2&gt;VLOOKUP($H36,Lists!$P$3:$Q$7,2),IF($N36=Lists!$K$3,IF($L36&lt;1,(($U36/$L36)*((1+Inputs!$D$7)^AP$2)),((INT(AP$2/$L36)-INT((AP$2-1)/$L36))*$U36*((1+Inputs!$D$7)^AP$2))),(_xlfn.WEIBULL.DIST(AP$2,$M36,$L36,FALSE)*$U36*((1+Inputs!$D$7)^AP$2))),IF($N36=Lists!$K$3,IF($L36&lt;1,((($T36*(1-$F36)+$S36*(1-$G36))/$L36)*((1+Inputs!$D$7)^AP$2)),((INT(AP$2/$L36)-INT((AP$2-1)/$L36))*($T36*(1-$F36)+$S36*(1-$G36))*((1+Inputs!$D$7)^AP$2))),((_xlfn.WEIBULL.DIST(AP$2,$M36,$L36,FALSE)*($T36*(1-$F36)+$S36*(1-$G36))*((1+Inputs!$D$7)^AP$2))))))</f>
        <v>10.268183229209887</v>
      </c>
      <c r="AQ36" s="88">
        <f>$E36*IF(AQ$2&gt;Inputs!$D$5,0,IF(AQ$2&gt;VLOOKUP($H36,Lists!$P$3:$Q$7,2),IF($N36=Lists!$K$3,IF($L36&lt;1,(($U36/$L36)*((1+Inputs!$D$7)^AQ$2)),((INT(AQ$2/$L36)-INT((AQ$2-1)/$L36))*$U36*((1+Inputs!$D$7)^AQ$2))),(_xlfn.WEIBULL.DIST(AQ$2,$M36,$L36,FALSE)*$U36*((1+Inputs!$D$7)^AQ$2))),IF($N36=Lists!$K$3,IF($L36&lt;1,((($T36*(1-$F36)+$S36*(1-$G36))/$L36)*((1+Inputs!$D$7)^AQ$2)),((INT(AQ$2/$L36)-INT((AQ$2-1)/$L36))*($T36*(1-$F36)+$S36*(1-$G36))*((1+Inputs!$D$7)^AQ$2))),((_xlfn.WEIBULL.DIST(AQ$2,$M36,$L36,FALSE)*($T36*(1-$F36)+$S36*(1-$G36))*((1+Inputs!$D$7)^AQ$2))))))</f>
        <v>9.9627459842649913</v>
      </c>
      <c r="AR36" s="88">
        <f>$E36*IF(AR$2&gt;Inputs!$D$5,0,IF(AR$2&gt;VLOOKUP($H36,Lists!$P$3:$Q$7,2),IF($N36=Lists!$K$3,IF($L36&lt;1,(($U36/$L36)*((1+Inputs!$D$7)^AR$2)),((INT(AR$2/$L36)-INT((AR$2-1)/$L36))*$U36*((1+Inputs!$D$7)^AR$2))),(_xlfn.WEIBULL.DIST(AR$2,$M36,$L36,FALSE)*$U36*((1+Inputs!$D$7)^AR$2))),IF($N36=Lists!$K$3,IF($L36&lt;1,((($T36*(1-$F36)+$S36*(1-$G36))/$L36)*((1+Inputs!$D$7)^AR$2)),((INT(AR$2/$L36)-INT((AR$2-1)/$L36))*($T36*(1-$F36)+$S36*(1-$G36))*((1+Inputs!$D$7)^AR$2))),((_xlfn.WEIBULL.DIST(AR$2,$M36,$L36,FALSE)*($T36*(1-$F36)+$S36*(1-$G36))*((1+Inputs!$D$7)^AR$2))))))</f>
        <v>9.6663942716403692</v>
      </c>
      <c r="AS36" s="88">
        <f>$E36*IF(AS$2&gt;Inputs!$D$5,0,IF(AS$2&gt;VLOOKUP($H36,Lists!$P$3:$Q$7,2),IF($N36=Lists!$K$3,IF($L36&lt;1,(($U36/$L36)*((1+Inputs!$D$7)^AS$2)),((INT(AS$2/$L36)-INT((AS$2-1)/$L36))*$U36*((1+Inputs!$D$7)^AS$2))),(_xlfn.WEIBULL.DIST(AS$2,$M36,$L36,FALSE)*$U36*((1+Inputs!$D$7)^AS$2))),IF($N36=Lists!$K$3,IF($L36&lt;1,((($T36*(1-$F36)+$S36*(1-$G36))/$L36)*((1+Inputs!$D$7)^AS$2)),((INT(AS$2/$L36)-INT((AS$2-1)/$L36))*($T36*(1-$F36)+$S36*(1-$G36))*((1+Inputs!$D$7)^AS$2))),((_xlfn.WEIBULL.DIST(AS$2,$M36,$L36,FALSE)*($T36*(1-$F36)+$S36*(1-$G36))*((1+Inputs!$D$7)^AS$2))))))</f>
        <v>9.3788578332096559</v>
      </c>
      <c r="AT36" s="88">
        <f>$E36*IF(AT$2&gt;Inputs!$D$5,0,IF(AT$2&gt;VLOOKUP($H36,Lists!$P$3:$Q$7,2),IF($N36=Lists!$K$3,IF($L36&lt;1,(($U36/$L36)*((1+Inputs!$D$7)^AT$2)),((INT(AT$2/$L36)-INT((AT$2-1)/$L36))*$U36*((1+Inputs!$D$7)^AT$2))),(_xlfn.WEIBULL.DIST(AT$2,$M36,$L36,FALSE)*$U36*((1+Inputs!$D$7)^AT$2))),IF($N36=Lists!$K$3,IF($L36&lt;1,((($T36*(1-$F36)+$S36*(1-$G36))/$L36)*((1+Inputs!$D$7)^AT$2)),((INT(AT$2/$L36)-INT((AT$2-1)/$L36))*($T36*(1-$F36)+$S36*(1-$G36))*((1+Inputs!$D$7)^AT$2))),((_xlfn.WEIBULL.DIST(AT$2,$M36,$L36,FALSE)*($T36*(1-$F36)+$S36*(1-$G36))*((1+Inputs!$D$7)^AT$2))))))</f>
        <v>9.099874449941197</v>
      </c>
      <c r="AU36" s="88">
        <f>$E36*IF(AU$2&gt;Inputs!$D$5,0,IF(AU$2&gt;VLOOKUP($H36,Lists!$P$3:$Q$7,2),IF($N36=Lists!$K$3,IF($L36&lt;1,(($U36/$L36)*((1+Inputs!$D$7)^AU$2)),((INT(AU$2/$L36)-INT((AU$2-1)/$L36))*$U36*((1+Inputs!$D$7)^AU$2))),(_xlfn.WEIBULL.DIST(AU$2,$M36,$L36,FALSE)*$U36*((1+Inputs!$D$7)^AU$2))),IF($N36=Lists!$K$3,IF($L36&lt;1,((($T36*(1-$F36)+$S36*(1-$G36))/$L36)*((1+Inputs!$D$7)^AU$2)),((INT(AU$2/$L36)-INT((AU$2-1)/$L36))*($T36*(1-$F36)+$S36*(1-$G36))*((1+Inputs!$D$7)^AU$2))),((_xlfn.WEIBULL.DIST(AU$2,$M36,$L36,FALSE)*($T36*(1-$F36)+$S36*(1-$G36))*((1+Inputs!$D$7)^AU$2))))))</f>
        <v>8.8291897027672412</v>
      </c>
      <c r="AV36" s="88">
        <f>$E36*IF(AV$2&gt;Inputs!$D$5,0,IF(AV$2&gt;VLOOKUP($H36,Lists!$P$3:$Q$7,2),IF($N36=Lists!$K$3,IF($L36&lt;1,(($U36/$L36)*((1+Inputs!$D$7)^AV$2)),((INT(AV$2/$L36)-INT((AV$2-1)/$L36))*$U36*((1+Inputs!$D$7)^AV$2))),(_xlfn.WEIBULL.DIST(AV$2,$M36,$L36,FALSE)*$U36*((1+Inputs!$D$7)^AV$2))),IF($N36=Lists!$K$3,IF($L36&lt;1,((($T36*(1-$F36)+$S36*(1-$G36))/$L36)*((1+Inputs!$D$7)^AV$2)),((INT(AV$2/$L36)-INT((AV$2-1)/$L36))*($T36*(1-$F36)+$S36*(1-$G36))*((1+Inputs!$D$7)^AV$2))),((_xlfn.WEIBULL.DIST(AV$2,$M36,$L36,FALSE)*($T36*(1-$F36)+$S36*(1-$G36))*((1+Inputs!$D$7)^AV$2))))))</f>
        <v>8.5665567405663321</v>
      </c>
      <c r="AW36" s="88">
        <f>$E36*IF(AW$2&gt;Inputs!$D$5,0,IF(AW$2&gt;VLOOKUP($H36,Lists!$P$3:$Q$7,2),IF($N36=Lists!$K$3,IF($L36&lt;1,(($U36/$L36)*((1+Inputs!$D$7)^AW$2)),((INT(AW$2/$L36)-INT((AW$2-1)/$L36))*$U36*((1+Inputs!$D$7)^AW$2))),(_xlfn.WEIBULL.DIST(AW$2,$M36,$L36,FALSE)*$U36*((1+Inputs!$D$7)^AW$2))),IF($N36=Lists!$K$3,IF($L36&lt;1,((($T36*(1-$F36)+$S36*(1-$G36))/$L36)*((1+Inputs!$D$7)^AW$2)),((INT(AW$2/$L36)-INT((AW$2-1)/$L36))*($T36*(1-$F36)+$S36*(1-$G36))*((1+Inputs!$D$7)^AW$2))),((_xlfn.WEIBULL.DIST(AW$2,$M36,$L36,FALSE)*($T36*(1-$F36)+$S36*(1-$G36))*((1+Inputs!$D$7)^AW$2))))))</f>
        <v>8.3117360550472554</v>
      </c>
      <c r="AX36" s="88">
        <f>$E36*IF(AX$2&gt;Inputs!$D$5,0,IF(AX$2&gt;VLOOKUP($H36,Lists!$P$3:$Q$7,2),IF($N36=Lists!$K$3,IF($L36&lt;1,(($U36/$L36)*((1+Inputs!$D$7)^AX$2)),((INT(AX$2/$L36)-INT((AX$2-1)/$L36))*$U36*((1+Inputs!$D$7)^AX$2))),(_xlfn.WEIBULL.DIST(AX$2,$M36,$L36,FALSE)*$U36*((1+Inputs!$D$7)^AX$2))),IF($N36=Lists!$K$3,IF($L36&lt;1,((($T36*(1-$F36)+$S36*(1-$G36))/$L36)*((1+Inputs!$D$7)^AX$2)),((INT(AX$2/$L36)-INT((AX$2-1)/$L36))*($T36*(1-$F36)+$S36*(1-$G36))*((1+Inputs!$D$7)^AX$2))),((_xlfn.WEIBULL.DIST(AX$2,$M36,$L36,FALSE)*($T36*(1-$F36)+$S36*(1-$G36))*((1+Inputs!$D$7)^AX$2))))))</f>
        <v>8.0644952623293253</v>
      </c>
      <c r="AY36" s="88">
        <f>$E36*IF(AY$2&gt;Inputs!$D$5,0,IF(AY$2&gt;VLOOKUP($H36,Lists!$P$3:$Q$7,2),IF($N36=Lists!$K$3,IF($L36&lt;1,(($U36/$L36)*((1+Inputs!$D$7)^AY$2)),((INT(AY$2/$L36)-INT((AY$2-1)/$L36))*$U36*((1+Inputs!$D$7)^AY$2))),(_xlfn.WEIBULL.DIST(AY$2,$M36,$L36,FALSE)*$U36*((1+Inputs!$D$7)^AY$2))),IF($N36=Lists!$K$3,IF($L36&lt;1,((($T36*(1-$F36)+$S36*(1-$G36))/$L36)*((1+Inputs!$D$7)^AY$2)),((INT(AY$2/$L36)-INT((AY$2-1)/$L36))*($T36*(1-$F36)+$S36*(1-$G36))*((1+Inputs!$D$7)^AY$2))),((_xlfn.WEIBULL.DIST(AY$2,$M36,$L36,FALSE)*($T36*(1-$F36)+$S36*(1-$G36))*((1+Inputs!$D$7)^AY$2))))))</f>
        <v>7.8246088910197438</v>
      </c>
      <c r="AZ36" s="88">
        <f>$E36*IF(AZ$2&gt;Inputs!$D$5,0,IF(AZ$2&gt;VLOOKUP($H36,Lists!$P$3:$Q$7,2),IF($N36=Lists!$K$3,IF($L36&lt;1,(($U36/$L36)*((1+Inputs!$D$7)^AZ$2)),((INT(AZ$2/$L36)-INT((AZ$2-1)/$L36))*$U36*((1+Inputs!$D$7)^AZ$2))),(_xlfn.WEIBULL.DIST(AZ$2,$M36,$L36,FALSE)*$U36*((1+Inputs!$D$7)^AZ$2))),IF($N36=Lists!$K$3,IF($L36&lt;1,((($T36*(1-$F36)+$S36*(1-$G36))/$L36)*((1+Inputs!$D$7)^AZ$2)),((INT(AZ$2/$L36)-INT((AZ$2-1)/$L36))*($T36*(1-$F36)+$S36*(1-$G36))*((1+Inputs!$D$7)^AZ$2))),((_xlfn.WEIBULL.DIST(AZ$2,$M36,$L36,FALSE)*($T36*(1-$F36)+$S36*(1-$G36))*((1+Inputs!$D$7)^AZ$2))))))</f>
        <v>0</v>
      </c>
      <c r="BA36" s="88">
        <f>$E36*IF(BA$2&gt;Inputs!$D$5,0,IF(BA$2&gt;VLOOKUP($H36,Lists!$P$3:$Q$7,2),IF($N36=Lists!$K$3,IF($L36&lt;1,(($U36/$L36)*((1+Inputs!$D$7)^BA$2)),((INT(BA$2/$L36)-INT((BA$2-1)/$L36))*$U36*((1+Inputs!$D$7)^BA$2))),(_xlfn.WEIBULL.DIST(BA$2,$M36,$L36,FALSE)*$U36*((1+Inputs!$D$7)^BA$2))),IF($N36=Lists!$K$3,IF($L36&lt;1,((($T36*(1-$F36)+$S36*(1-$G36))/$L36)*((1+Inputs!$D$7)^BA$2)),((INT(BA$2/$L36)-INT((BA$2-1)/$L36))*($T36*(1-$F36)+$S36*(1-$G36))*((1+Inputs!$D$7)^BA$2))),((_xlfn.WEIBULL.DIST(BA$2,$M36,$L36,FALSE)*($T36*(1-$F36)+$S36*(1-$G36))*((1+Inputs!$D$7)^BA$2))))))</f>
        <v>0</v>
      </c>
      <c r="BB36" s="88">
        <f>$E36*IF(BB$2&gt;Inputs!$D$5,0,IF(BB$2&gt;VLOOKUP($H36,Lists!$P$3:$Q$7,2),IF($N36=Lists!$K$3,IF($L36&lt;1,(($U36/$L36)*((1+Inputs!$D$7)^BB$2)),((INT(BB$2/$L36)-INT((BB$2-1)/$L36))*$U36*((1+Inputs!$D$7)^BB$2))),(_xlfn.WEIBULL.DIST(BB$2,$M36,$L36,FALSE)*$U36*((1+Inputs!$D$7)^BB$2))),IF($N36=Lists!$K$3,IF($L36&lt;1,((($T36*(1-$F36)+$S36*(1-$G36))/$L36)*((1+Inputs!$D$7)^BB$2)),((INT(BB$2/$L36)-INT((BB$2-1)/$L36))*($T36*(1-$F36)+$S36*(1-$G36))*((1+Inputs!$D$7)^BB$2))),((_xlfn.WEIBULL.DIST(BB$2,$M36,$L36,FALSE)*($T36*(1-$F36)+$S36*(1-$G36))*((1+Inputs!$D$7)^BB$2))))))</f>
        <v>0</v>
      </c>
      <c r="BC36" s="88">
        <f>$E36*IF(BC$2&gt;Inputs!$D$5,0,IF(BC$2&gt;VLOOKUP($H36,Lists!$P$3:$Q$7,2),IF($N36=Lists!$K$3,IF($L36&lt;1,(($U36/$L36)*((1+Inputs!$D$7)^BC$2)),((INT(BC$2/$L36)-INT((BC$2-1)/$L36))*$U36*((1+Inputs!$D$7)^BC$2))),(_xlfn.WEIBULL.DIST(BC$2,$M36,$L36,FALSE)*$U36*((1+Inputs!$D$7)^BC$2))),IF($N36=Lists!$K$3,IF($L36&lt;1,((($T36*(1-$F36)+$S36*(1-$G36))/$L36)*((1+Inputs!$D$7)^BC$2)),((INT(BC$2/$L36)-INT((BC$2-1)/$L36))*($T36*(1-$F36)+$S36*(1-$G36))*((1+Inputs!$D$7)^BC$2))),((_xlfn.WEIBULL.DIST(BC$2,$M36,$L36,FALSE)*($T36*(1-$F36)+$S36*(1-$G36))*((1+Inputs!$D$7)^BC$2))))))</f>
        <v>0</v>
      </c>
      <c r="BD36" s="88">
        <f>$E36*IF(BD$2&gt;Inputs!$D$5,0,IF(BD$2&gt;VLOOKUP($H36,Lists!$P$3:$Q$7,2),IF($N36=Lists!$K$3,IF($L36&lt;1,(($U36/$L36)*((1+Inputs!$D$7)^BD$2)),((INT(BD$2/$L36)-INT((BD$2-1)/$L36))*$U36*((1+Inputs!$D$7)^BD$2))),(_xlfn.WEIBULL.DIST(BD$2,$M36,$L36,FALSE)*$U36*((1+Inputs!$D$7)^BD$2))),IF($N36=Lists!$K$3,IF($L36&lt;1,((($T36*(1-$F36)+$S36*(1-$G36))/$L36)*((1+Inputs!$D$7)^BD$2)),((INT(BD$2/$L36)-INT((BD$2-1)/$L36))*($T36*(1-$F36)+$S36*(1-$G36))*((1+Inputs!$D$7)^BD$2))),((_xlfn.WEIBULL.DIST(BD$2,$M36,$L36,FALSE)*($T36*(1-$F36)+$S36*(1-$G36))*((1+Inputs!$D$7)^BD$2))))))</f>
        <v>0</v>
      </c>
      <c r="BE36" s="88">
        <f>$E36*IF(BE$2&gt;Inputs!$D$5,0,IF(BE$2&gt;VLOOKUP($H36,Lists!$P$3:$Q$7,2),IF($N36=Lists!$K$3,IF($L36&lt;1,(($U36/$L36)*((1+Inputs!$D$7)^BE$2)),((INT(BE$2/$L36)-INT((BE$2-1)/$L36))*$U36*((1+Inputs!$D$7)^BE$2))),(_xlfn.WEIBULL.DIST(BE$2,$M36,$L36,FALSE)*$U36*((1+Inputs!$D$7)^BE$2))),IF($N36=Lists!$K$3,IF($L36&lt;1,((($T36*(1-$F36)+$S36*(1-$G36))/$L36)*((1+Inputs!$D$7)^BE$2)),((INT(BE$2/$L36)-INT((BE$2-1)/$L36))*($T36*(1-$F36)+$S36*(1-$G36))*((1+Inputs!$D$7)^BE$2))),((_xlfn.WEIBULL.DIST(BE$2,$M36,$L36,FALSE)*($T36*(1-$F36)+$S36*(1-$G36))*((1+Inputs!$D$7)^BE$2))))))</f>
        <v>0</v>
      </c>
      <c r="BF36" s="88">
        <f>$E36*IF(BF$2&gt;Inputs!$D$5,0,IF(BF$2&gt;VLOOKUP($H36,Lists!$P$3:$Q$7,2),IF($N36=Lists!$K$3,IF($L36&lt;1,(($U36/$L36)*((1+Inputs!$D$7)^BF$2)),((INT(BF$2/$L36)-INT((BF$2-1)/$L36))*$U36*((1+Inputs!$D$7)^BF$2))),(_xlfn.WEIBULL.DIST(BF$2,$M36,$L36,FALSE)*$U36*((1+Inputs!$D$7)^BF$2))),IF($N36=Lists!$K$3,IF($L36&lt;1,((($T36*(1-$F36)+$S36*(1-$G36))/$L36)*((1+Inputs!$D$7)^BF$2)),((INT(BF$2/$L36)-INT((BF$2-1)/$L36))*($T36*(1-$F36)+$S36*(1-$G36))*((1+Inputs!$D$7)^BF$2))),((_xlfn.WEIBULL.DIST(BF$2,$M36,$L36,FALSE)*($T36*(1-$F36)+$S36*(1-$G36))*((1+Inputs!$D$7)^BF$2))))))</f>
        <v>0</v>
      </c>
      <c r="BG36" s="88">
        <f>$E36*IF(BG$2&gt;Inputs!$D$5,0,IF(BG$2&gt;VLOOKUP($H36,Lists!$P$3:$Q$7,2),IF($N36=Lists!$K$3,IF($L36&lt;1,(($U36/$L36)*((1+Inputs!$D$7)^BG$2)),((INT(BG$2/$L36)-INT((BG$2-1)/$L36))*$U36*((1+Inputs!$D$7)^BG$2))),(_xlfn.WEIBULL.DIST(BG$2,$M36,$L36,FALSE)*$U36*((1+Inputs!$D$7)^BG$2))),IF($N36=Lists!$K$3,IF($L36&lt;1,((($T36*(1-$F36)+$S36*(1-$G36))/$L36)*((1+Inputs!$D$7)^BG$2)),((INT(BG$2/$L36)-INT((BG$2-1)/$L36))*($T36*(1-$F36)+$S36*(1-$G36))*((1+Inputs!$D$7)^BG$2))),((_xlfn.WEIBULL.DIST(BG$2,$M36,$L36,FALSE)*($T36*(1-$F36)+$S36*(1-$G36))*((1+Inputs!$D$7)^BG$2))))))</f>
        <v>0</v>
      </c>
      <c r="BH36" s="88">
        <f>$E36*IF(BH$2&gt;Inputs!$D$5,0,IF(BH$2&gt;VLOOKUP($H36,Lists!$P$3:$Q$7,2),IF($N36=Lists!$K$3,IF($L36&lt;1,(($U36/$L36)*((1+Inputs!$D$7)^BH$2)),((INT(BH$2/$L36)-INT((BH$2-1)/$L36))*$U36*((1+Inputs!$D$7)^BH$2))),(_xlfn.WEIBULL.DIST(BH$2,$M36,$L36,FALSE)*$U36*((1+Inputs!$D$7)^BH$2))),IF($N36=Lists!$K$3,IF($L36&lt;1,((($T36*(1-$F36)+$S36*(1-$G36))/$L36)*((1+Inputs!$D$7)^BH$2)),((INT(BH$2/$L36)-INT((BH$2-1)/$L36))*($T36*(1-$F36)+$S36*(1-$G36))*((1+Inputs!$D$7)^BH$2))),((_xlfn.WEIBULL.DIST(BH$2,$M36,$L36,FALSE)*($T36*(1-$F36)+$S36*(1-$G36))*((1+Inputs!$D$7)^BH$2))))))</f>
        <v>0</v>
      </c>
      <c r="BI36" s="88">
        <f>$E36*IF(BI$2&gt;Inputs!$D$5,0,IF(BI$2&gt;VLOOKUP($H36,Lists!$P$3:$Q$7,2),IF($N36=Lists!$K$3,IF($L36&lt;1,(($U36/$L36)*((1+Inputs!$D$7)^BI$2)),((INT(BI$2/$L36)-INT((BI$2-1)/$L36))*$U36*((1+Inputs!$D$7)^BI$2))),(_xlfn.WEIBULL.DIST(BI$2,$M36,$L36,FALSE)*$U36*((1+Inputs!$D$7)^BI$2))),IF($N36=Lists!$K$3,IF($L36&lt;1,((($T36*(1-$F36)+$S36*(1-$G36))/$L36)*((1+Inputs!$D$7)^BI$2)),((INT(BI$2/$L36)-INT((BI$2-1)/$L36))*($T36*(1-$F36)+$S36*(1-$G36))*((1+Inputs!$D$7)^BI$2))),((_xlfn.WEIBULL.DIST(BI$2,$M36,$L36,FALSE)*($T36*(1-$F36)+$S36*(1-$G36))*((1+Inputs!$D$7)^BI$2))))))</f>
        <v>0</v>
      </c>
      <c r="BJ36" s="88">
        <f>$E36*IF(BJ$2&gt;Inputs!$D$5,0,IF(BJ$2&gt;VLOOKUP($H36,Lists!$P$3:$Q$7,2),IF($N36=Lists!$K$3,IF($L36&lt;1,(($U36/$L36)*((1+Inputs!$D$7)^BJ$2)),((INT(BJ$2/$L36)-INT((BJ$2-1)/$L36))*$U36*((1+Inputs!$D$7)^BJ$2))),(_xlfn.WEIBULL.DIST(BJ$2,$M36,$L36,FALSE)*$U36*((1+Inputs!$D$7)^BJ$2))),IF($N36=Lists!$K$3,IF($L36&lt;1,((($T36*(1-$F36)+$S36*(1-$G36))/$L36)*((1+Inputs!$D$7)^BJ$2)),((INT(BJ$2/$L36)-INT((BJ$2-1)/$L36))*($T36*(1-$F36)+$S36*(1-$G36))*((1+Inputs!$D$7)^BJ$2))),((_xlfn.WEIBULL.DIST(BJ$2,$M36,$L36,FALSE)*($T36*(1-$F36)+$S36*(1-$G36))*((1+Inputs!$D$7)^BJ$2))))))</f>
        <v>0</v>
      </c>
      <c r="BK36" s="88">
        <f>$E36*IF(BK$2&gt;Inputs!$D$5,0,IF(BK$2&gt;VLOOKUP($H36,Lists!$P$3:$Q$7,2),IF($N36=Lists!$K$3,IF($L36&lt;1,(($U36/$L36)*((1+Inputs!$D$7)^BK$2)),((INT(BK$2/$L36)-INT((BK$2-1)/$L36))*$U36*((1+Inputs!$D$7)^BK$2))),(_xlfn.WEIBULL.DIST(BK$2,$M36,$L36,FALSE)*$U36*((1+Inputs!$D$7)^BK$2))),IF($N36=Lists!$K$3,IF($L36&lt;1,((($T36*(1-$F36)+$S36*(1-$G36))/$L36)*((1+Inputs!$D$7)^BK$2)),((INT(BK$2/$L36)-INT((BK$2-1)/$L36))*($T36*(1-$F36)+$S36*(1-$G36))*((1+Inputs!$D$7)^BK$2))),((_xlfn.WEIBULL.DIST(BK$2,$M36,$L36,FALSE)*($T36*(1-$F36)+$S36*(1-$G36))*((1+Inputs!$D$7)^BK$2))))))</f>
        <v>0</v>
      </c>
      <c r="BL36" s="88">
        <f>$E36*IF(BL$2&gt;Inputs!$D$5,0,IF(BL$2&gt;VLOOKUP($H36,Lists!$P$3:$Q$7,2),IF($N36=Lists!$K$3,IF($L36&lt;1,(($U36/$L36)*((1+Inputs!$D$7)^BL$2)),((INT(BL$2/$L36)-INT((BL$2-1)/$L36))*$U36*((1+Inputs!$D$7)^BL$2))),(_xlfn.WEIBULL.DIST(BL$2,$M36,$L36,FALSE)*$U36*((1+Inputs!$D$7)^BL$2))),IF($N36=Lists!$K$3,IF($L36&lt;1,((($T36*(1-$F36)+$S36*(1-$G36))/$L36)*((1+Inputs!$D$7)^BL$2)),((INT(BL$2/$L36)-INT((BL$2-1)/$L36))*($T36*(1-$F36)+$S36*(1-$G36))*((1+Inputs!$D$7)^BL$2))),((_xlfn.WEIBULL.DIST(BL$2,$M36,$L36,FALSE)*($T36*(1-$F36)+$S36*(1-$G36))*((1+Inputs!$D$7)^BL$2))))))</f>
        <v>0</v>
      </c>
      <c r="BM36" s="88">
        <f>$E36*IF(BM$2&gt;Inputs!$D$5,0,IF(BM$2&gt;VLOOKUP($H36,Lists!$P$3:$Q$7,2),IF($N36=Lists!$K$3,IF($L36&lt;1,(($U36/$L36)*((1+Inputs!$D$7)^BM$2)),((INT(BM$2/$L36)-INT((BM$2-1)/$L36))*$U36*((1+Inputs!$D$7)^BM$2))),(_xlfn.WEIBULL.DIST(BM$2,$M36,$L36,FALSE)*$U36*((1+Inputs!$D$7)^BM$2))),IF($N36=Lists!$K$3,IF($L36&lt;1,((($T36*(1-$F36)+$S36*(1-$G36))/$L36)*((1+Inputs!$D$7)^BM$2)),((INT(BM$2/$L36)-INT((BM$2-1)/$L36))*($T36*(1-$F36)+$S36*(1-$G36))*((1+Inputs!$D$7)^BM$2))),((_xlfn.WEIBULL.DIST(BM$2,$M36,$L36,FALSE)*($T36*(1-$F36)+$S36*(1-$G36))*((1+Inputs!$D$7)^BM$2))))))</f>
        <v>0</v>
      </c>
      <c r="BN36" s="88">
        <f>$E36*IF(BN$2&gt;Inputs!$D$5,0,IF(BN$2&gt;VLOOKUP($H36,Lists!$P$3:$Q$7,2),IF($N36=Lists!$K$3,IF($L36&lt;1,(($U36/$L36)*((1+Inputs!$D$7)^BN$2)),((INT(BN$2/$L36)-INT((BN$2-1)/$L36))*$U36*((1+Inputs!$D$7)^BN$2))),(_xlfn.WEIBULL.DIST(BN$2,$M36,$L36,FALSE)*$U36*((1+Inputs!$D$7)^BN$2))),IF($N36=Lists!$K$3,IF($L36&lt;1,((($T36*(1-$F36)+$S36*(1-$G36))/$L36)*((1+Inputs!$D$7)^BN$2)),((INT(BN$2/$L36)-INT((BN$2-1)/$L36))*($T36*(1-$F36)+$S36*(1-$G36))*((1+Inputs!$D$7)^BN$2))),((_xlfn.WEIBULL.DIST(BN$2,$M36,$L36,FALSE)*($T36*(1-$F36)+$S36*(1-$G36))*((1+Inputs!$D$7)^BN$2))))))</f>
        <v>0</v>
      </c>
      <c r="BO36" s="64">
        <f>NPV(Inputs!$D$6,BQ36:DD36)</f>
        <v>399.60099980755098</v>
      </c>
      <c r="BP36" s="67">
        <f t="shared" si="13"/>
        <v>1.8847134031293856E-4</v>
      </c>
      <c r="BQ36" s="88">
        <f>MAX(AA36,($E36*IF(BQ$2&gt;Inputs!$D$5,0,IF(BQ$2&gt;VLOOKUP($H36,Lists!$P$3:$Q$7,2),IF($N36=Lists!$K$3,IF($L36&lt;1,(($U36/$L36)*((1+Inputs!$D$7)^BQ$2)),((INT(BQ$2/$L36)-INT((BQ$2-1)/$L36))*$U36*((1+Inputs!$D$7)^BQ$2))),(Inputs!$D$8^((1-_xlfn.WEIBULL.DIST(BQ$2,$M36,$L36,FALSE))/_xlfn.WEIBULL.DIST(BQ$2,$M36,$L36,FALSE))*$U36*((1+Inputs!$D$7)^BQ$2))),IF($N36=Lists!$K$3,IF($L36&lt;1,((($T36*(1-$F36)+$S36*(1-$G36))/$L36)*((1+Inputs!$D$7)^BQ$2)),((INT(BQ$2/$L36)-INT((BQ$2-1)/$L36))*($T36*(1-$F36)+$S36*(1-$G36))*((1+Inputs!$D$7)^BQ$2))),((Inputs!$D$8^((1-_xlfn.WEIBULL.DIST(BQ$2,$M36,$L36,FALSE))/_xlfn.WEIBULL.DIST(BQ$2,$M36,$L36,FALSE))*($T36*(1-$F36)+$S36*(1-$G36))*((1+Inputs!$D$7)^BQ$2))))))))</f>
        <v>63.942936704572681</v>
      </c>
      <c r="BR36" s="88">
        <f>MAX(AB36,($E36*IF(BR$2&gt;Inputs!$D$5,0,IF(BR$2&gt;VLOOKUP($H36,Lists!$P$3:$Q$7,2),IF($N36=Lists!$K$3,IF($L36&lt;1,(($U36/$L36)*((1+Inputs!$D$7)^BR$2)),((INT(BR$2/$L36)-INT((BR$2-1)/$L36))*$U36*((1+Inputs!$D$7)^BR$2))),(Inputs!$D$8^((1-_xlfn.WEIBULL.DIST(BR$2,$M36,$L36,FALSE))/_xlfn.WEIBULL.DIST(BR$2,$M36,$L36,FALSE))*$U36*((1+Inputs!$D$7)^BR$2))),IF($N36=Lists!$K$3,IF($L36&lt;1,((($T36*(1-$F36)+$S36*(1-$G36))/$L36)*((1+Inputs!$D$7)^BR$2)),((INT(BR$2/$L36)-INT((BR$2-1)/$L36))*($T36*(1-$F36)+$S36*(1-$G36))*((1+Inputs!$D$7)^BR$2))),((Inputs!$D$8^((1-_xlfn.WEIBULL.DIST(BR$2,$M36,$L36,FALSE))/_xlfn.WEIBULL.DIST(BR$2,$M36,$L36,FALSE))*($T36*(1-$F36)+$S36*(1-$G36))*((1+Inputs!$D$7)^BR$2))))))))</f>
        <v>59.615083555588264</v>
      </c>
      <c r="BS36" s="88">
        <f>MAX(AC36,($E36*IF(BS$2&gt;Inputs!$D$5,0,IF(BS$2&gt;VLOOKUP($H36,Lists!$P$3:$Q$7,2),IF($N36=Lists!$K$3,IF($L36&lt;1,(($U36/$L36)*((1+Inputs!$D$7)^BS$2)),((INT(BS$2/$L36)-INT((BS$2-1)/$L36))*$U36*((1+Inputs!$D$7)^BS$2))),(Inputs!$D$8^((1-_xlfn.WEIBULL.DIST(BS$2,$M36,$L36,FALSE))/_xlfn.WEIBULL.DIST(BS$2,$M36,$L36,FALSE))*$U36*((1+Inputs!$D$7)^BS$2))),IF($N36=Lists!$K$3,IF($L36&lt;1,((($T36*(1-$F36)+$S36*(1-$G36))/$L36)*((1+Inputs!$D$7)^BS$2)),((INT(BS$2/$L36)-INT((BS$2-1)/$L36))*($T36*(1-$F36)+$S36*(1-$G36))*((1+Inputs!$D$7)^BS$2))),((Inputs!$D$8^((1-_xlfn.WEIBULL.DIST(BS$2,$M36,$L36,FALSE))/_xlfn.WEIBULL.DIST(BS$2,$M36,$L36,FALSE))*($T36*(1-$F36)+$S36*(1-$G36))*((1+Inputs!$D$7)^BS$2))))))))</f>
        <v>55.324600535876044</v>
      </c>
      <c r="BT36" s="88">
        <f>MAX(AD36,($E36*IF(BT$2&gt;Inputs!$D$5,0,IF(BT$2&gt;VLOOKUP($H36,Lists!$P$3:$Q$7,2),IF($N36=Lists!$K$3,IF($L36&lt;1,(($U36/$L36)*((1+Inputs!$D$7)^BT$2)),((INT(BT$2/$L36)-INT((BT$2-1)/$L36))*$U36*((1+Inputs!$D$7)^BT$2))),(Inputs!$D$8^((1-_xlfn.WEIBULL.DIST(BT$2,$M36,$L36,FALSE))/_xlfn.WEIBULL.DIST(BT$2,$M36,$L36,FALSE))*$U36*((1+Inputs!$D$7)^BT$2))),IF($N36=Lists!$K$3,IF($L36&lt;1,((($T36*(1-$F36)+$S36*(1-$G36))/$L36)*((1+Inputs!$D$7)^BT$2)),((INT(BT$2/$L36)-INT((BT$2-1)/$L36))*($T36*(1-$F36)+$S36*(1-$G36))*((1+Inputs!$D$7)^BT$2))),((Inputs!$D$8^((1-_xlfn.WEIBULL.DIST(BT$2,$M36,$L36,FALSE))/_xlfn.WEIBULL.DIST(BT$2,$M36,$L36,FALSE))*($T36*(1-$F36)+$S36*(1-$G36))*((1+Inputs!$D$7)^BT$2))))))))</f>
        <v>51.094758558713728</v>
      </c>
      <c r="BU36" s="88">
        <f>MAX(AE36,($E36*IF(BU$2&gt;Inputs!$D$5,0,IF(BU$2&gt;VLOOKUP($H36,Lists!$P$3:$Q$7,2),IF($N36=Lists!$K$3,IF($L36&lt;1,(($U36/$L36)*((1+Inputs!$D$7)^BU$2)),((INT(BU$2/$L36)-INT((BU$2-1)/$L36))*$U36*((1+Inputs!$D$7)^BU$2))),(Inputs!$D$8^((1-_xlfn.WEIBULL.DIST(BU$2,$M36,$L36,FALSE))/_xlfn.WEIBULL.DIST(BU$2,$M36,$L36,FALSE))*$U36*((1+Inputs!$D$7)^BU$2))),IF($N36=Lists!$K$3,IF($L36&lt;1,((($T36*(1-$F36)+$S36*(1-$G36))/$L36)*((1+Inputs!$D$7)^BU$2)),((INT(BU$2/$L36)-INT((BU$2-1)/$L36))*($T36*(1-$F36)+$S36*(1-$G36))*((1+Inputs!$D$7)^BU$2))),((Inputs!$D$8^((1-_xlfn.WEIBULL.DIST(BU$2,$M36,$L36,FALSE))/_xlfn.WEIBULL.DIST(BU$2,$M36,$L36,FALSE))*($T36*(1-$F36)+$S36*(1-$G36))*((1+Inputs!$D$7)^BU$2))))))))</f>
        <v>46.948581233413087</v>
      </c>
      <c r="BV36" s="88">
        <f>MAX(AF36,($E36*IF(BV$2&gt;Inputs!$D$5,0,IF(BV$2&gt;VLOOKUP($H36,Lists!$P$3:$Q$7,2),IF($N36=Lists!$K$3,IF($L36&lt;1,(($U36/$L36)*((1+Inputs!$D$7)^BV$2)),((INT(BV$2/$L36)-INT((BV$2-1)/$L36))*$U36*((1+Inputs!$D$7)^BV$2))),(Inputs!$D$8^((1-_xlfn.WEIBULL.DIST(BV$2,$M36,$L36,FALSE))/_xlfn.WEIBULL.DIST(BV$2,$M36,$L36,FALSE))*$U36*((1+Inputs!$D$7)^BV$2))),IF($N36=Lists!$K$3,IF($L36&lt;1,((($T36*(1-$F36)+$S36*(1-$G36))/$L36)*((1+Inputs!$D$7)^BV$2)),((INT(BV$2/$L36)-INT((BV$2-1)/$L36))*($T36*(1-$F36)+$S36*(1-$G36))*((1+Inputs!$D$7)^BV$2))),((Inputs!$D$8^((1-_xlfn.WEIBULL.DIST(BV$2,$M36,$L36,FALSE))/_xlfn.WEIBULL.DIST(BV$2,$M36,$L36,FALSE))*($T36*(1-$F36)+$S36*(1-$G36))*((1+Inputs!$D$7)^BV$2))))))))</f>
        <v>42.908491042154566</v>
      </c>
      <c r="BW36" s="88">
        <f>MAX(AG36,($E36*IF(BW$2&gt;Inputs!$D$5,0,IF(BW$2&gt;VLOOKUP($H36,Lists!$P$3:$Q$7,2),IF($N36=Lists!$K$3,IF($L36&lt;1,(($U36/$L36)*((1+Inputs!$D$7)^BW$2)),((INT(BW$2/$L36)-INT((BW$2-1)/$L36))*$U36*((1+Inputs!$D$7)^BW$2))),(Inputs!$D$8^((1-_xlfn.WEIBULL.DIST(BW$2,$M36,$L36,FALSE))/_xlfn.WEIBULL.DIST(BW$2,$M36,$L36,FALSE))*$U36*((1+Inputs!$D$7)^BW$2))),IF($N36=Lists!$K$3,IF($L36&lt;1,((($T36*(1-$F36)+$S36*(1-$G36))/$L36)*((1+Inputs!$D$7)^BW$2)),((INT(BW$2/$L36)-INT((BW$2-1)/$L36))*($T36*(1-$F36)+$S36*(1-$G36))*((1+Inputs!$D$7)^BW$2))),((Inputs!$D$8^((1-_xlfn.WEIBULL.DIST(BW$2,$M36,$L36,FALSE))/_xlfn.WEIBULL.DIST(BW$2,$M36,$L36,FALSE))*($T36*(1-$F36)+$S36*(1-$G36))*((1+Inputs!$D$7)^BW$2))))))))</f>
        <v>38.995943833927576</v>
      </c>
      <c r="BX36" s="88">
        <f>MAX(AH36,($E36*IF(BX$2&gt;Inputs!$D$5,0,IF(BX$2&gt;VLOOKUP($H36,Lists!$P$3:$Q$7,2),IF($N36=Lists!$K$3,IF($L36&lt;1,(($U36/$L36)*((1+Inputs!$D$7)^BX$2)),((INT(BX$2/$L36)-INT((BX$2-1)/$L36))*$U36*((1+Inputs!$D$7)^BX$2))),(Inputs!$D$8^((1-_xlfn.WEIBULL.DIST(BX$2,$M36,$L36,FALSE))/_xlfn.WEIBULL.DIST(BX$2,$M36,$L36,FALSE))*$U36*((1+Inputs!$D$7)^BX$2))),IF($N36=Lists!$K$3,IF($L36&lt;1,((($T36*(1-$F36)+$S36*(1-$G36))/$L36)*((1+Inputs!$D$7)^BX$2)),((INT(BX$2/$L36)-INT((BX$2-1)/$L36))*($T36*(1-$F36)+$S36*(1-$G36))*((1+Inputs!$D$7)^BX$2))),((Inputs!$D$8^((1-_xlfn.WEIBULL.DIST(BX$2,$M36,$L36,FALSE))/_xlfn.WEIBULL.DIST(BX$2,$M36,$L36,FALSE))*($T36*(1-$F36)+$S36*(1-$G36))*((1+Inputs!$D$7)^BX$2))))))))</f>
        <v>35.231060735490949</v>
      </c>
      <c r="BY36" s="88">
        <f>MAX(AI36,($E36*IF(BY$2&gt;Inputs!$D$5,0,IF(BY$2&gt;VLOOKUP($H36,Lists!$P$3:$Q$7,2),IF($N36=Lists!$K$3,IF($L36&lt;1,(($U36/$L36)*((1+Inputs!$D$7)^BY$2)),((INT(BY$2/$L36)-INT((BY$2-1)/$L36))*$U36*((1+Inputs!$D$7)^BY$2))),(Inputs!$D$8^((1-_xlfn.WEIBULL.DIST(BY$2,$M36,$L36,FALSE))/_xlfn.WEIBULL.DIST(BY$2,$M36,$L36,FALSE))*$U36*((1+Inputs!$D$7)^BY$2))),IF($N36=Lists!$K$3,IF($L36&lt;1,((($T36*(1-$F36)+$S36*(1-$G36))/$L36)*((1+Inputs!$D$7)^BY$2)),((INT(BY$2/$L36)-INT((BY$2-1)/$L36))*($T36*(1-$F36)+$S36*(1-$G36))*((1+Inputs!$D$7)^BY$2))),((Inputs!$D$8^((1-_xlfn.WEIBULL.DIST(BY$2,$M36,$L36,FALSE))/_xlfn.WEIBULL.DIST(BY$2,$M36,$L36,FALSE))*($T36*(1-$F36)+$S36*(1-$G36))*((1+Inputs!$D$7)^BY$2))))))))</f>
        <v>31.632267785842981</v>
      </c>
      <c r="BZ36" s="88">
        <f>MAX(AJ36,($E36*IF(BZ$2&gt;Inputs!$D$5,0,IF(BZ$2&gt;VLOOKUP($H36,Lists!$P$3:$Q$7,2),IF($N36=Lists!$K$3,IF($L36&lt;1,(($U36/$L36)*((1+Inputs!$D$7)^BZ$2)),((INT(BZ$2/$L36)-INT((BZ$2-1)/$L36))*$U36*((1+Inputs!$D$7)^BZ$2))),(Inputs!$D$8^((1-_xlfn.WEIBULL.DIST(BZ$2,$M36,$L36,FALSE))/_xlfn.WEIBULL.DIST(BZ$2,$M36,$L36,FALSE))*$U36*((1+Inputs!$D$7)^BZ$2))),IF($N36=Lists!$K$3,IF($L36&lt;1,((($T36*(1-$F36)+$S36*(1-$G36))/$L36)*((1+Inputs!$D$7)^BZ$2)),((INT(BZ$2/$L36)-INT((BZ$2-1)/$L36))*($T36*(1-$F36)+$S36*(1-$G36))*((1+Inputs!$D$7)^BZ$2))),((Inputs!$D$8^((1-_xlfn.WEIBULL.DIST(BZ$2,$M36,$L36,FALSE))/_xlfn.WEIBULL.DIST(BZ$2,$M36,$L36,FALSE))*($T36*(1-$F36)+$S36*(1-$G36))*((1+Inputs!$D$7)^BZ$2))))))))</f>
        <v>28.215954528685671</v>
      </c>
      <c r="CA36" s="88">
        <f>MAX(AK36,($E36*IF(CA$2&gt;Inputs!$D$5,0,IF(CA$2&gt;VLOOKUP($H36,Lists!$P$3:$Q$7,2),IF($N36=Lists!$K$3,IF($L36&lt;1,(($U36/$L36)*((1+Inputs!$D$7)^CA$2)),((INT(CA$2/$L36)-INT((CA$2-1)/$L36))*$U36*((1+Inputs!$D$7)^CA$2))),(Inputs!$D$8^((1-_xlfn.WEIBULL.DIST(CA$2,$M36,$L36,FALSE))/_xlfn.WEIBULL.DIST(CA$2,$M36,$L36,FALSE))*$U36*((1+Inputs!$D$7)^CA$2))),IF($N36=Lists!$K$3,IF($L36&lt;1,((($T36*(1-$F36)+$S36*(1-$G36))/$L36)*((1+Inputs!$D$7)^CA$2)),((INT(CA$2/$L36)-INT((CA$2-1)/$L36))*($T36*(1-$F36)+$S36*(1-$G36))*((1+Inputs!$D$7)^CA$2))),((Inputs!$D$8^((1-_xlfn.WEIBULL.DIST(CA$2,$M36,$L36,FALSE))/_xlfn.WEIBULL.DIST(CA$2,$M36,$L36,FALSE))*($T36*(1-$F36)+$S36*(1-$G36))*((1+Inputs!$D$7)^CA$2))))))))</f>
        <v>24.996163347230983</v>
      </c>
      <c r="CB36" s="88">
        <f>MAX(AL36,($E36*IF(CB$2&gt;Inputs!$D$5,0,IF(CB$2&gt;VLOOKUP($H36,Lists!$P$3:$Q$7,2),IF($N36=Lists!$K$3,IF($L36&lt;1,(($U36/$L36)*((1+Inputs!$D$7)^CB$2)),((INT(CB$2/$L36)-INT((CB$2-1)/$L36))*$U36*((1+Inputs!$D$7)^CB$2))),(Inputs!$D$8^((1-_xlfn.WEIBULL.DIST(CB$2,$M36,$L36,FALSE))/_xlfn.WEIBULL.DIST(CB$2,$M36,$L36,FALSE))*$U36*((1+Inputs!$D$7)^CB$2))),IF($N36=Lists!$K$3,IF($L36&lt;1,((($T36*(1-$F36)+$S36*(1-$G36))/$L36)*((1+Inputs!$D$7)^CB$2)),((INT(CB$2/$L36)-INT((CB$2-1)/$L36))*($T36*(1-$F36)+$S36*(1-$G36))*((1+Inputs!$D$7)^CB$2))),((Inputs!$D$8^((1-_xlfn.WEIBULL.DIST(CB$2,$M36,$L36,FALSE))/_xlfn.WEIBULL.DIST(CB$2,$M36,$L36,FALSE))*($T36*(1-$F36)+$S36*(1-$G36))*((1+Inputs!$D$7)^CB$2))))))))</f>
        <v>21.984321402020019</v>
      </c>
      <c r="CC36" s="88">
        <f>MAX(AM36,($E36*IF(CC$2&gt;Inputs!$D$5,0,IF(CC$2&gt;VLOOKUP($H36,Lists!$P$3:$Q$7,2),IF($N36=Lists!$K$3,IF($L36&lt;1,(($U36/$L36)*((1+Inputs!$D$7)^CC$2)),((INT(CC$2/$L36)-INT((CC$2-1)/$L36))*$U36*((1+Inputs!$D$7)^CC$2))),(Inputs!$D$8^((1-_xlfn.WEIBULL.DIST(CC$2,$M36,$L36,FALSE))/_xlfn.WEIBULL.DIST(CC$2,$M36,$L36,FALSE))*$U36*((1+Inputs!$D$7)^CC$2))),IF($N36=Lists!$K$3,IF($L36&lt;1,((($T36*(1-$F36)+$S36*(1-$G36))/$L36)*((1+Inputs!$D$7)^CC$2)),((INT(CC$2/$L36)-INT((CC$2-1)/$L36))*($T36*(1-$F36)+$S36*(1-$G36))*((1+Inputs!$D$7)^CC$2))),((Inputs!$D$8^((1-_xlfn.WEIBULL.DIST(CC$2,$M36,$L36,FALSE))/_xlfn.WEIBULL.DIST(CC$2,$M36,$L36,FALSE))*($T36*(1-$F36)+$S36*(1-$G36))*((1+Inputs!$D$7)^CC$2))))))))</f>
        <v>19.18902655217547</v>
      </c>
      <c r="CD36" s="88">
        <f>MAX(AN36,($E36*IF(CD$2&gt;Inputs!$D$5,0,IF(CD$2&gt;VLOOKUP($H36,Lists!$P$3:$Q$7,2),IF($N36=Lists!$K$3,IF($L36&lt;1,(($U36/$L36)*((1+Inputs!$D$7)^CD$2)),((INT(CD$2/$L36)-INT((CD$2-1)/$L36))*$U36*((1+Inputs!$D$7)^CD$2))),(Inputs!$D$8^((1-_xlfn.WEIBULL.DIST(CD$2,$M36,$L36,FALSE))/_xlfn.WEIBULL.DIST(CD$2,$M36,$L36,FALSE))*$U36*((1+Inputs!$D$7)^CD$2))),IF($N36=Lists!$K$3,IF($L36&lt;1,((($T36*(1-$F36)+$S36*(1-$G36))/$L36)*((1+Inputs!$D$7)^CD$2)),((INT(CD$2/$L36)-INT((CD$2-1)/$L36))*($T36*(1-$F36)+$S36*(1-$G36))*((1+Inputs!$D$7)^CD$2))),((Inputs!$D$8^((1-_xlfn.WEIBULL.DIST(CD$2,$M36,$L36,FALSE))/_xlfn.WEIBULL.DIST(CD$2,$M36,$L36,FALSE))*($T36*(1-$F36)+$S36*(1-$G36))*((1+Inputs!$D$7)^CD$2))))))))</f>
        <v>16.615897542318862</v>
      </c>
      <c r="CE36" s="88">
        <f>MAX(AO36,($E36*IF(CE$2&gt;Inputs!$D$5,0,IF(CE$2&gt;VLOOKUP($H36,Lists!$P$3:$Q$7,2),IF($N36=Lists!$K$3,IF($L36&lt;1,(($U36/$L36)*((1+Inputs!$D$7)^CE$2)),((INT(CE$2/$L36)-INT((CE$2-1)/$L36))*$U36*((1+Inputs!$D$7)^CE$2))),(Inputs!$D$8^((1-_xlfn.WEIBULL.DIST(CE$2,$M36,$L36,FALSE))/_xlfn.WEIBULL.DIST(CE$2,$M36,$L36,FALSE))*$U36*((1+Inputs!$D$7)^CE$2))),IF($N36=Lists!$K$3,IF($L36&lt;1,((($T36*(1-$F36)+$S36*(1-$G36))/$L36)*((1+Inputs!$D$7)^CE$2)),((INT(CE$2/$L36)-INT((CE$2-1)/$L36))*($T36*(1-$F36)+$S36*(1-$G36))*((1+Inputs!$D$7)^CE$2))),((Inputs!$D$8^((1-_xlfn.WEIBULL.DIST(CE$2,$M36,$L36,FALSE))/_xlfn.WEIBULL.DIST(CE$2,$M36,$L36,FALSE))*($T36*(1-$F36)+$S36*(1-$G36))*((1+Inputs!$D$7)^CE$2))))))))</f>
        <v>14.267496991241909</v>
      </c>
      <c r="CF36" s="88">
        <f>MAX(AP36,($E36*IF(CF$2&gt;Inputs!$D$5,0,IF(CF$2&gt;VLOOKUP($H36,Lists!$P$3:$Q$7,2),IF($N36=Lists!$K$3,IF($L36&lt;1,(($U36/$L36)*((1+Inputs!$D$7)^CF$2)),((INT(CF$2/$L36)-INT((CF$2-1)/$L36))*$U36*((1+Inputs!$D$7)^CF$2))),(Inputs!$D$8^((1-_xlfn.WEIBULL.DIST(CF$2,$M36,$L36,FALSE))/_xlfn.WEIBULL.DIST(CF$2,$M36,$L36,FALSE))*$U36*((1+Inputs!$D$7)^CF$2))),IF($N36=Lists!$K$3,IF($L36&lt;1,((($T36*(1-$F36)+$S36*(1-$G36))/$L36)*((1+Inputs!$D$7)^CF$2)),((INT(CF$2/$L36)-INT((CF$2-1)/$L36))*($T36*(1-$F36)+$S36*(1-$G36))*((1+Inputs!$D$7)^CF$2))),((Inputs!$D$8^((1-_xlfn.WEIBULL.DIST(CF$2,$M36,$L36,FALSE))/_xlfn.WEIBULL.DIST(CF$2,$M36,$L36,FALSE))*($T36*(1-$F36)+$S36*(1-$G36))*((1+Inputs!$D$7)^CF$2))))))))</f>
        <v>12.143333334858559</v>
      </c>
      <c r="CG36" s="88">
        <f>MAX(AQ36,($E36*IF(CG$2&gt;Inputs!$D$5,0,IF(CG$2&gt;VLOOKUP($H36,Lists!$P$3:$Q$7,2),IF($N36=Lists!$K$3,IF($L36&lt;1,(($U36/$L36)*((1+Inputs!$D$7)^CG$2)),((INT(CG$2/$L36)-INT((CG$2-1)/$L36))*$U36*((1+Inputs!$D$7)^CG$2))),(Inputs!$D$8^((1-_xlfn.WEIBULL.DIST(CG$2,$M36,$L36,FALSE))/_xlfn.WEIBULL.DIST(CG$2,$M36,$L36,FALSE))*$U36*((1+Inputs!$D$7)^CG$2))),IF($N36=Lists!$K$3,IF($L36&lt;1,((($T36*(1-$F36)+$S36*(1-$G36))/$L36)*((1+Inputs!$D$7)^CG$2)),((INT(CG$2/$L36)-INT((CG$2-1)/$L36))*($T36*(1-$F36)+$S36*(1-$G36))*((1+Inputs!$D$7)^CG$2))),((Inputs!$D$8^((1-_xlfn.WEIBULL.DIST(CG$2,$M36,$L36,FALSE))/_xlfn.WEIBULL.DIST(CG$2,$M36,$L36,FALSE))*($T36*(1-$F36)+$S36*(1-$G36))*((1+Inputs!$D$7)^CG$2))))))))</f>
        <v>10.239944913612657</v>
      </c>
      <c r="CH36" s="88">
        <f>MAX(AR36,($E36*IF(CH$2&gt;Inputs!$D$5,0,IF(CH$2&gt;VLOOKUP($H36,Lists!$P$3:$Q$7,2),IF($N36=Lists!$K$3,IF($L36&lt;1,(($U36/$L36)*((1+Inputs!$D$7)^CH$2)),((INT(CH$2/$L36)-INT((CH$2-1)/$L36))*$U36*((1+Inputs!$D$7)^CH$2))),(Inputs!$D$8^((1-_xlfn.WEIBULL.DIST(CH$2,$M36,$L36,FALSE))/_xlfn.WEIBULL.DIST(CH$2,$M36,$L36,FALSE))*$U36*((1+Inputs!$D$7)^CH$2))),IF($N36=Lists!$K$3,IF($L36&lt;1,((($T36*(1-$F36)+$S36*(1-$G36))/$L36)*((1+Inputs!$D$7)^CH$2)),((INT(CH$2/$L36)-INT((CH$2-1)/$L36))*($T36*(1-$F36)+$S36*(1-$G36))*((1+Inputs!$D$7)^CH$2))),((Inputs!$D$8^((1-_xlfn.WEIBULL.DIST(CH$2,$M36,$L36,FALSE))/_xlfn.WEIBULL.DIST(CH$2,$M36,$L36,FALSE))*($T36*(1-$F36)+$S36*(1-$G36))*((1+Inputs!$D$7)^CH$2))))))))</f>
        <v>9.6663942716403692</v>
      </c>
      <c r="CI36" s="88">
        <f>MAX(AS36,($E36*IF(CI$2&gt;Inputs!$D$5,0,IF(CI$2&gt;VLOOKUP($H36,Lists!$P$3:$Q$7,2),IF($N36=Lists!$K$3,IF($L36&lt;1,(($U36/$L36)*((1+Inputs!$D$7)^CI$2)),((INT(CI$2/$L36)-INT((CI$2-1)/$L36))*$U36*((1+Inputs!$D$7)^CI$2))),(Inputs!$D$8^((1-_xlfn.WEIBULL.DIST(CI$2,$M36,$L36,FALSE))/_xlfn.WEIBULL.DIST(CI$2,$M36,$L36,FALSE))*$U36*((1+Inputs!$D$7)^CI$2))),IF($N36=Lists!$K$3,IF($L36&lt;1,((($T36*(1-$F36)+$S36*(1-$G36))/$L36)*((1+Inputs!$D$7)^CI$2)),((INT(CI$2/$L36)-INT((CI$2-1)/$L36))*($T36*(1-$F36)+$S36*(1-$G36))*((1+Inputs!$D$7)^CI$2))),((Inputs!$D$8^((1-_xlfn.WEIBULL.DIST(CI$2,$M36,$L36,FALSE))/_xlfn.WEIBULL.DIST(CI$2,$M36,$L36,FALSE))*($T36*(1-$F36)+$S36*(1-$G36))*((1+Inputs!$D$7)^CI$2))))))))</f>
        <v>9.3788578332096559</v>
      </c>
      <c r="CJ36" s="88">
        <f>MAX(AT36,($E36*IF(CJ$2&gt;Inputs!$D$5,0,IF(CJ$2&gt;VLOOKUP($H36,Lists!$P$3:$Q$7,2),IF($N36=Lists!$K$3,IF($L36&lt;1,(($U36/$L36)*((1+Inputs!$D$7)^CJ$2)),((INT(CJ$2/$L36)-INT((CJ$2-1)/$L36))*$U36*((1+Inputs!$D$7)^CJ$2))),(Inputs!$D$8^((1-_xlfn.WEIBULL.DIST(CJ$2,$M36,$L36,FALSE))/_xlfn.WEIBULL.DIST(CJ$2,$M36,$L36,FALSE))*$U36*((1+Inputs!$D$7)^CJ$2))),IF($N36=Lists!$K$3,IF($L36&lt;1,((($T36*(1-$F36)+$S36*(1-$G36))/$L36)*((1+Inputs!$D$7)^CJ$2)),((INT(CJ$2/$L36)-INT((CJ$2-1)/$L36))*($T36*(1-$F36)+$S36*(1-$G36))*((1+Inputs!$D$7)^CJ$2))),((Inputs!$D$8^((1-_xlfn.WEIBULL.DIST(CJ$2,$M36,$L36,FALSE))/_xlfn.WEIBULL.DIST(CJ$2,$M36,$L36,FALSE))*($T36*(1-$F36)+$S36*(1-$G36))*((1+Inputs!$D$7)^CJ$2))))))))</f>
        <v>9.099874449941197</v>
      </c>
      <c r="CK36" s="88">
        <f>MAX(AU36,($E36*IF(CK$2&gt;Inputs!$D$5,0,IF(CK$2&gt;VLOOKUP($H36,Lists!$P$3:$Q$7,2),IF($N36=Lists!$K$3,IF($L36&lt;1,(($U36/$L36)*((1+Inputs!$D$7)^CK$2)),((INT(CK$2/$L36)-INT((CK$2-1)/$L36))*$U36*((1+Inputs!$D$7)^CK$2))),(Inputs!$D$8^((1-_xlfn.WEIBULL.DIST(CK$2,$M36,$L36,FALSE))/_xlfn.WEIBULL.DIST(CK$2,$M36,$L36,FALSE))*$U36*((1+Inputs!$D$7)^CK$2))),IF($N36=Lists!$K$3,IF($L36&lt;1,((($T36*(1-$F36)+$S36*(1-$G36))/$L36)*((1+Inputs!$D$7)^CK$2)),((INT(CK$2/$L36)-INT((CK$2-1)/$L36))*($T36*(1-$F36)+$S36*(1-$G36))*((1+Inputs!$D$7)^CK$2))),((Inputs!$D$8^((1-_xlfn.WEIBULL.DIST(CK$2,$M36,$L36,FALSE))/_xlfn.WEIBULL.DIST(CK$2,$M36,$L36,FALSE))*($T36*(1-$F36)+$S36*(1-$G36))*((1+Inputs!$D$7)^CK$2))))))))</f>
        <v>8.8291897027672412</v>
      </c>
      <c r="CL36" s="88">
        <f>MAX(AV36,($E36*IF(CL$2&gt;Inputs!$D$5,0,IF(CL$2&gt;VLOOKUP($H36,Lists!$P$3:$Q$7,2),IF($N36=Lists!$K$3,IF($L36&lt;1,(($U36/$L36)*((1+Inputs!$D$7)^CL$2)),((INT(CL$2/$L36)-INT((CL$2-1)/$L36))*$U36*((1+Inputs!$D$7)^CL$2))),(Inputs!$D$8^((1-_xlfn.WEIBULL.DIST(CL$2,$M36,$L36,FALSE))/_xlfn.WEIBULL.DIST(CL$2,$M36,$L36,FALSE))*$U36*((1+Inputs!$D$7)^CL$2))),IF($N36=Lists!$K$3,IF($L36&lt;1,((($T36*(1-$F36)+$S36*(1-$G36))/$L36)*((1+Inputs!$D$7)^CL$2)),((INT(CL$2/$L36)-INT((CL$2-1)/$L36))*($T36*(1-$F36)+$S36*(1-$G36))*((1+Inputs!$D$7)^CL$2))),((Inputs!$D$8^((1-_xlfn.WEIBULL.DIST(CL$2,$M36,$L36,FALSE))/_xlfn.WEIBULL.DIST(CL$2,$M36,$L36,FALSE))*($T36*(1-$F36)+$S36*(1-$G36))*((1+Inputs!$D$7)^CL$2))))))))</f>
        <v>8.5665567405663321</v>
      </c>
      <c r="CM36" s="88">
        <f>MAX(AW36,($E36*IF(CM$2&gt;Inputs!$D$5,0,IF(CM$2&gt;VLOOKUP($H36,Lists!$P$3:$Q$7,2),IF($N36=Lists!$K$3,IF($L36&lt;1,(($U36/$L36)*((1+Inputs!$D$7)^CM$2)),((INT(CM$2/$L36)-INT((CM$2-1)/$L36))*$U36*((1+Inputs!$D$7)^CM$2))),(Inputs!$D$8^((1-_xlfn.WEIBULL.DIST(CM$2,$M36,$L36,FALSE))/_xlfn.WEIBULL.DIST(CM$2,$M36,$L36,FALSE))*$U36*((1+Inputs!$D$7)^CM$2))),IF($N36=Lists!$K$3,IF($L36&lt;1,((($T36*(1-$F36)+$S36*(1-$G36))/$L36)*((1+Inputs!$D$7)^CM$2)),((INT(CM$2/$L36)-INT((CM$2-1)/$L36))*($T36*(1-$F36)+$S36*(1-$G36))*((1+Inputs!$D$7)^CM$2))),((Inputs!$D$8^((1-_xlfn.WEIBULL.DIST(CM$2,$M36,$L36,FALSE))/_xlfn.WEIBULL.DIST(CM$2,$M36,$L36,FALSE))*($T36*(1-$F36)+$S36*(1-$G36))*((1+Inputs!$D$7)^CM$2))))))))</f>
        <v>8.3117360550472554</v>
      </c>
      <c r="CN36" s="88">
        <f>MAX(AX36,($E36*IF(CN$2&gt;Inputs!$D$5,0,IF(CN$2&gt;VLOOKUP($H36,Lists!$P$3:$Q$7,2),IF($N36=Lists!$K$3,IF($L36&lt;1,(($U36/$L36)*((1+Inputs!$D$7)^CN$2)),((INT(CN$2/$L36)-INT((CN$2-1)/$L36))*$U36*((1+Inputs!$D$7)^CN$2))),(Inputs!$D$8^((1-_xlfn.WEIBULL.DIST(CN$2,$M36,$L36,FALSE))/_xlfn.WEIBULL.DIST(CN$2,$M36,$L36,FALSE))*$U36*((1+Inputs!$D$7)^CN$2))),IF($N36=Lists!$K$3,IF($L36&lt;1,((($T36*(1-$F36)+$S36*(1-$G36))/$L36)*((1+Inputs!$D$7)^CN$2)),((INT(CN$2/$L36)-INT((CN$2-1)/$L36))*($T36*(1-$F36)+$S36*(1-$G36))*((1+Inputs!$D$7)^CN$2))),((Inputs!$D$8^((1-_xlfn.WEIBULL.DIST(CN$2,$M36,$L36,FALSE))/_xlfn.WEIBULL.DIST(CN$2,$M36,$L36,FALSE))*($T36*(1-$F36)+$S36*(1-$G36))*((1+Inputs!$D$7)^CN$2))))))))</f>
        <v>8.0644952623293253</v>
      </c>
      <c r="CO36" s="88">
        <f>MAX(AY36,($E36*IF(CO$2&gt;Inputs!$D$5,0,IF(CO$2&gt;VLOOKUP($H36,Lists!$P$3:$Q$7,2),IF($N36=Lists!$K$3,IF($L36&lt;1,(($U36/$L36)*((1+Inputs!$D$7)^CO$2)),((INT(CO$2/$L36)-INT((CO$2-1)/$L36))*$U36*((1+Inputs!$D$7)^CO$2))),(Inputs!$D$8^((1-_xlfn.WEIBULL.DIST(CO$2,$M36,$L36,FALSE))/_xlfn.WEIBULL.DIST(CO$2,$M36,$L36,FALSE))*$U36*((1+Inputs!$D$7)^CO$2))),IF($N36=Lists!$K$3,IF($L36&lt;1,((($T36*(1-$F36)+$S36*(1-$G36))/$L36)*((1+Inputs!$D$7)^CO$2)),((INT(CO$2/$L36)-INT((CO$2-1)/$L36))*($T36*(1-$F36)+$S36*(1-$G36))*((1+Inputs!$D$7)^CO$2))),((Inputs!$D$8^((1-_xlfn.WEIBULL.DIST(CO$2,$M36,$L36,FALSE))/_xlfn.WEIBULL.DIST(CO$2,$M36,$L36,FALSE))*($T36*(1-$F36)+$S36*(1-$G36))*((1+Inputs!$D$7)^CO$2))))))))</f>
        <v>7.8246088910197438</v>
      </c>
      <c r="CP36" s="88">
        <f>MAX(AZ36,($E36*IF(CP$2&gt;Inputs!$D$5,0,IF(CP$2&gt;VLOOKUP($H36,Lists!$P$3:$Q$7,2),IF($N36=Lists!$K$3,IF($L36&lt;1,(($U36/$L36)*((1+Inputs!$D$7)^CP$2)),((INT(CP$2/$L36)-INT((CP$2-1)/$L36))*$U36*((1+Inputs!$D$7)^CP$2))),(Inputs!$D$8^((1-_xlfn.WEIBULL.DIST(CP$2,$M36,$L36,FALSE))/_xlfn.WEIBULL.DIST(CP$2,$M36,$L36,FALSE))*$U36*((1+Inputs!$D$7)^CP$2))),IF($N36=Lists!$K$3,IF($L36&lt;1,((($T36*(1-$F36)+$S36*(1-$G36))/$L36)*((1+Inputs!$D$7)^CP$2)),((INT(CP$2/$L36)-INT((CP$2-1)/$L36))*($T36*(1-$F36)+$S36*(1-$G36))*((1+Inputs!$D$7)^CP$2))),((Inputs!$D$8^((1-_xlfn.WEIBULL.DIST(CP$2,$M36,$L36,FALSE))/_xlfn.WEIBULL.DIST(CP$2,$M36,$L36,FALSE))*($T36*(1-$F36)+$S36*(1-$G36))*((1+Inputs!$D$7)^CP$2))))))))</f>
        <v>0</v>
      </c>
      <c r="CQ36" s="88">
        <f>MAX(BA36,($E36*IF(CQ$2&gt;Inputs!$D$5,0,IF(CQ$2&gt;VLOOKUP($H36,Lists!$P$3:$Q$7,2),IF($N36=Lists!$K$3,IF($L36&lt;1,(($U36/$L36)*((1+Inputs!$D$7)^CQ$2)),((INT(CQ$2/$L36)-INT((CQ$2-1)/$L36))*$U36*((1+Inputs!$D$7)^CQ$2))),(Inputs!$D$8^((1-_xlfn.WEIBULL.DIST(CQ$2,$M36,$L36,FALSE))/_xlfn.WEIBULL.DIST(CQ$2,$M36,$L36,FALSE))*$U36*((1+Inputs!$D$7)^CQ$2))),IF($N36=Lists!$K$3,IF($L36&lt;1,((($T36*(1-$F36)+$S36*(1-$G36))/$L36)*((1+Inputs!$D$7)^CQ$2)),((INT(CQ$2/$L36)-INT((CQ$2-1)/$L36))*($T36*(1-$F36)+$S36*(1-$G36))*((1+Inputs!$D$7)^CQ$2))),((Inputs!$D$8^((1-_xlfn.WEIBULL.DIST(CQ$2,$M36,$L36,FALSE))/_xlfn.WEIBULL.DIST(CQ$2,$M36,$L36,FALSE))*($T36*(1-$F36)+$S36*(1-$G36))*((1+Inputs!$D$7)^CQ$2))))))))</f>
        <v>0</v>
      </c>
      <c r="CR36" s="88">
        <f>MAX(BB36,($E36*IF(CR$2&gt;Inputs!$D$5,0,IF(CR$2&gt;VLOOKUP($H36,Lists!$P$3:$Q$7,2),IF($N36=Lists!$K$3,IF($L36&lt;1,(($U36/$L36)*((1+Inputs!$D$7)^CR$2)),((INT(CR$2/$L36)-INT((CR$2-1)/$L36))*$U36*((1+Inputs!$D$7)^CR$2))),(Inputs!$D$8^((1-_xlfn.WEIBULL.DIST(CR$2,$M36,$L36,FALSE))/_xlfn.WEIBULL.DIST(CR$2,$M36,$L36,FALSE))*$U36*((1+Inputs!$D$7)^CR$2))),IF($N36=Lists!$K$3,IF($L36&lt;1,((($T36*(1-$F36)+$S36*(1-$G36))/$L36)*((1+Inputs!$D$7)^CR$2)),((INT(CR$2/$L36)-INT((CR$2-1)/$L36))*($T36*(1-$F36)+$S36*(1-$G36))*((1+Inputs!$D$7)^CR$2))),((Inputs!$D$8^((1-_xlfn.WEIBULL.DIST(CR$2,$M36,$L36,FALSE))/_xlfn.WEIBULL.DIST(CR$2,$M36,$L36,FALSE))*($T36*(1-$F36)+$S36*(1-$G36))*((1+Inputs!$D$7)^CR$2))))))))</f>
        <v>0</v>
      </c>
      <c r="CS36" s="88">
        <f>MAX(BC36,($E36*IF(CS$2&gt;Inputs!$D$5,0,IF(CS$2&gt;VLOOKUP($H36,Lists!$P$3:$Q$7,2),IF($N36=Lists!$K$3,IF($L36&lt;1,(($U36/$L36)*((1+Inputs!$D$7)^CS$2)),((INT(CS$2/$L36)-INT((CS$2-1)/$L36))*$U36*((1+Inputs!$D$7)^CS$2))),(Inputs!$D$8^((1-_xlfn.WEIBULL.DIST(CS$2,$M36,$L36,FALSE))/_xlfn.WEIBULL.DIST(CS$2,$M36,$L36,FALSE))*$U36*((1+Inputs!$D$7)^CS$2))),IF($N36=Lists!$K$3,IF($L36&lt;1,((($T36*(1-$F36)+$S36*(1-$G36))/$L36)*((1+Inputs!$D$7)^CS$2)),((INT(CS$2/$L36)-INT((CS$2-1)/$L36))*($T36*(1-$F36)+$S36*(1-$G36))*((1+Inputs!$D$7)^CS$2))),((Inputs!$D$8^((1-_xlfn.WEIBULL.DIST(CS$2,$M36,$L36,FALSE))/_xlfn.WEIBULL.DIST(CS$2,$M36,$L36,FALSE))*($T36*(1-$F36)+$S36*(1-$G36))*((1+Inputs!$D$7)^CS$2))))))))</f>
        <v>0</v>
      </c>
      <c r="CT36" s="88">
        <f>MAX(BD36,($E36*IF(CT$2&gt;Inputs!$D$5,0,IF(CT$2&gt;VLOOKUP($H36,Lists!$P$3:$Q$7,2),IF($N36=Lists!$K$3,IF($L36&lt;1,(($U36/$L36)*((1+Inputs!$D$7)^CT$2)),((INT(CT$2/$L36)-INT((CT$2-1)/$L36))*$U36*((1+Inputs!$D$7)^CT$2))),(Inputs!$D$8^((1-_xlfn.WEIBULL.DIST(CT$2,$M36,$L36,FALSE))/_xlfn.WEIBULL.DIST(CT$2,$M36,$L36,FALSE))*$U36*((1+Inputs!$D$7)^CT$2))),IF($N36=Lists!$K$3,IF($L36&lt;1,((($T36*(1-$F36)+$S36*(1-$G36))/$L36)*((1+Inputs!$D$7)^CT$2)),((INT(CT$2/$L36)-INT((CT$2-1)/$L36))*($T36*(1-$F36)+$S36*(1-$G36))*((1+Inputs!$D$7)^CT$2))),((Inputs!$D$8^((1-_xlfn.WEIBULL.DIST(CT$2,$M36,$L36,FALSE))/_xlfn.WEIBULL.DIST(CT$2,$M36,$L36,FALSE))*($T36*(1-$F36)+$S36*(1-$G36))*((1+Inputs!$D$7)^CT$2))))))))</f>
        <v>0</v>
      </c>
      <c r="CU36" s="88">
        <f>MAX(BE36,($E36*IF(CU$2&gt;Inputs!$D$5,0,IF(CU$2&gt;VLOOKUP($H36,Lists!$P$3:$Q$7,2),IF($N36=Lists!$K$3,IF($L36&lt;1,(($U36/$L36)*((1+Inputs!$D$7)^CU$2)),((INT(CU$2/$L36)-INT((CU$2-1)/$L36))*$U36*((1+Inputs!$D$7)^CU$2))),(Inputs!$D$8^((1-_xlfn.WEIBULL.DIST(CU$2,$M36,$L36,FALSE))/_xlfn.WEIBULL.DIST(CU$2,$M36,$L36,FALSE))*$U36*((1+Inputs!$D$7)^CU$2))),IF($N36=Lists!$K$3,IF($L36&lt;1,((($T36*(1-$F36)+$S36*(1-$G36))/$L36)*((1+Inputs!$D$7)^CU$2)),((INT(CU$2/$L36)-INT((CU$2-1)/$L36))*($T36*(1-$F36)+$S36*(1-$G36))*((1+Inputs!$D$7)^CU$2))),((Inputs!$D$8^((1-_xlfn.WEIBULL.DIST(CU$2,$M36,$L36,FALSE))/_xlfn.WEIBULL.DIST(CU$2,$M36,$L36,FALSE))*($T36*(1-$F36)+$S36*(1-$G36))*((1+Inputs!$D$7)^CU$2))))))))</f>
        <v>0</v>
      </c>
      <c r="CV36" s="88">
        <f>MAX(BF36,($E36*IF(CV$2&gt;Inputs!$D$5,0,IF(CV$2&gt;VLOOKUP($H36,Lists!$P$3:$Q$7,2),IF($N36=Lists!$K$3,IF($L36&lt;1,(($U36/$L36)*((1+Inputs!$D$7)^CV$2)),((INT(CV$2/$L36)-INT((CV$2-1)/$L36))*$U36*((1+Inputs!$D$7)^CV$2))),(Inputs!$D$8^((1-_xlfn.WEIBULL.DIST(CV$2,$M36,$L36,FALSE))/_xlfn.WEIBULL.DIST(CV$2,$M36,$L36,FALSE))*$U36*((1+Inputs!$D$7)^CV$2))),IF($N36=Lists!$K$3,IF($L36&lt;1,((($T36*(1-$F36)+$S36*(1-$G36))/$L36)*((1+Inputs!$D$7)^CV$2)),((INT(CV$2/$L36)-INT((CV$2-1)/$L36))*($T36*(1-$F36)+$S36*(1-$G36))*((1+Inputs!$D$7)^CV$2))),((Inputs!$D$8^((1-_xlfn.WEIBULL.DIST(CV$2,$M36,$L36,FALSE))/_xlfn.WEIBULL.DIST(CV$2,$M36,$L36,FALSE))*($T36*(1-$F36)+$S36*(1-$G36))*((1+Inputs!$D$7)^CV$2))))))))</f>
        <v>0</v>
      </c>
      <c r="CW36" s="88">
        <f>MAX(BG36,($E36*IF(CW$2&gt;Inputs!$D$5,0,IF(CW$2&gt;VLOOKUP($H36,Lists!$P$3:$Q$7,2),IF($N36=Lists!$K$3,IF($L36&lt;1,(($U36/$L36)*((1+Inputs!$D$7)^CW$2)),((INT(CW$2/$L36)-INT((CW$2-1)/$L36))*$U36*((1+Inputs!$D$7)^CW$2))),(Inputs!$D$8^((1-_xlfn.WEIBULL.DIST(CW$2,$M36,$L36,FALSE))/_xlfn.WEIBULL.DIST(CW$2,$M36,$L36,FALSE))*$U36*((1+Inputs!$D$7)^CW$2))),IF($N36=Lists!$K$3,IF($L36&lt;1,((($T36*(1-$F36)+$S36*(1-$G36))/$L36)*((1+Inputs!$D$7)^CW$2)),((INT(CW$2/$L36)-INT((CW$2-1)/$L36))*($T36*(1-$F36)+$S36*(1-$G36))*((1+Inputs!$D$7)^CW$2))),((Inputs!$D$8^((1-_xlfn.WEIBULL.DIST(CW$2,$M36,$L36,FALSE))/_xlfn.WEIBULL.DIST(CW$2,$M36,$L36,FALSE))*($T36*(1-$F36)+$S36*(1-$G36))*((1+Inputs!$D$7)^CW$2))))))))</f>
        <v>0</v>
      </c>
      <c r="CX36" s="88">
        <f>MAX(BH36,($E36*IF(CX$2&gt;Inputs!$D$5,0,IF(CX$2&gt;VLOOKUP($H36,Lists!$P$3:$Q$7,2),IF($N36=Lists!$K$3,IF($L36&lt;1,(($U36/$L36)*((1+Inputs!$D$7)^CX$2)),((INT(CX$2/$L36)-INT((CX$2-1)/$L36))*$U36*((1+Inputs!$D$7)^CX$2))),(Inputs!$D$8^((1-_xlfn.WEIBULL.DIST(CX$2,$M36,$L36,FALSE))/_xlfn.WEIBULL.DIST(CX$2,$M36,$L36,FALSE))*$U36*((1+Inputs!$D$7)^CX$2))),IF($N36=Lists!$K$3,IF($L36&lt;1,((($T36*(1-$F36)+$S36*(1-$G36))/$L36)*((1+Inputs!$D$7)^CX$2)),((INT(CX$2/$L36)-INT((CX$2-1)/$L36))*($T36*(1-$F36)+$S36*(1-$G36))*((1+Inputs!$D$7)^CX$2))),((Inputs!$D$8^((1-_xlfn.WEIBULL.DIST(CX$2,$M36,$L36,FALSE))/_xlfn.WEIBULL.DIST(CX$2,$M36,$L36,FALSE))*($T36*(1-$F36)+$S36*(1-$G36))*((1+Inputs!$D$7)^CX$2))))))))</f>
        <v>0</v>
      </c>
      <c r="CY36" s="88">
        <f>MAX(BI36,($E36*IF(CY$2&gt;Inputs!$D$5,0,IF(CY$2&gt;VLOOKUP($H36,Lists!$P$3:$Q$7,2),IF($N36=Lists!$K$3,IF($L36&lt;1,(($U36/$L36)*((1+Inputs!$D$7)^CY$2)),((INT(CY$2/$L36)-INT((CY$2-1)/$L36))*$U36*((1+Inputs!$D$7)^CY$2))),(Inputs!$D$8^((1-_xlfn.WEIBULL.DIST(CY$2,$M36,$L36,FALSE))/_xlfn.WEIBULL.DIST(CY$2,$M36,$L36,FALSE))*$U36*((1+Inputs!$D$7)^CY$2))),IF($N36=Lists!$K$3,IF($L36&lt;1,((($T36*(1-$F36)+$S36*(1-$G36))/$L36)*((1+Inputs!$D$7)^CY$2)),((INT(CY$2/$L36)-INT((CY$2-1)/$L36))*($T36*(1-$F36)+$S36*(1-$G36))*((1+Inputs!$D$7)^CY$2))),((Inputs!$D$8^((1-_xlfn.WEIBULL.DIST(CY$2,$M36,$L36,FALSE))/_xlfn.WEIBULL.DIST(CY$2,$M36,$L36,FALSE))*($T36*(1-$F36)+$S36*(1-$G36))*((1+Inputs!$D$7)^CY$2))))))))</f>
        <v>0</v>
      </c>
      <c r="CZ36" s="88">
        <f>MAX(BJ36,($E36*IF(CZ$2&gt;Inputs!$D$5,0,IF(CZ$2&gt;VLOOKUP($H36,Lists!$P$3:$Q$7,2),IF($N36=Lists!$K$3,IF($L36&lt;1,(($U36/$L36)*((1+Inputs!$D$7)^CZ$2)),((INT(CZ$2/$L36)-INT((CZ$2-1)/$L36))*$U36*((1+Inputs!$D$7)^CZ$2))),(Inputs!$D$8^((1-_xlfn.WEIBULL.DIST(CZ$2,$M36,$L36,FALSE))/_xlfn.WEIBULL.DIST(CZ$2,$M36,$L36,FALSE))*$U36*((1+Inputs!$D$7)^CZ$2))),IF($N36=Lists!$K$3,IF($L36&lt;1,((($T36*(1-$F36)+$S36*(1-$G36))/$L36)*((1+Inputs!$D$7)^CZ$2)),((INT(CZ$2/$L36)-INT((CZ$2-1)/$L36))*($T36*(1-$F36)+$S36*(1-$G36))*((1+Inputs!$D$7)^CZ$2))),((Inputs!$D$8^((1-_xlfn.WEIBULL.DIST(CZ$2,$M36,$L36,FALSE))/_xlfn.WEIBULL.DIST(CZ$2,$M36,$L36,FALSE))*($T36*(1-$F36)+$S36*(1-$G36))*((1+Inputs!$D$7)^CZ$2))))))))</f>
        <v>0</v>
      </c>
      <c r="DA36" s="88">
        <f>MAX(BK36,($E36*IF(DA$2&gt;Inputs!$D$5,0,IF(DA$2&gt;VLOOKUP($H36,Lists!$P$3:$Q$7,2),IF($N36=Lists!$K$3,IF($L36&lt;1,(($U36/$L36)*((1+Inputs!$D$7)^DA$2)),((INT(DA$2/$L36)-INT((DA$2-1)/$L36))*$U36*((1+Inputs!$D$7)^DA$2))),(Inputs!$D$8^((1-_xlfn.WEIBULL.DIST(DA$2,$M36,$L36,FALSE))/_xlfn.WEIBULL.DIST(DA$2,$M36,$L36,FALSE))*$U36*((1+Inputs!$D$7)^DA$2))),IF($N36=Lists!$K$3,IF($L36&lt;1,((($T36*(1-$F36)+$S36*(1-$G36))/$L36)*((1+Inputs!$D$7)^DA$2)),((INT(DA$2/$L36)-INT((DA$2-1)/$L36))*($T36*(1-$F36)+$S36*(1-$G36))*((1+Inputs!$D$7)^DA$2))),((Inputs!$D$8^((1-_xlfn.WEIBULL.DIST(DA$2,$M36,$L36,FALSE))/_xlfn.WEIBULL.DIST(DA$2,$M36,$L36,FALSE))*($T36*(1-$F36)+$S36*(1-$G36))*((1+Inputs!$D$7)^DA$2))))))))</f>
        <v>0</v>
      </c>
      <c r="DB36" s="88">
        <f>MAX(BL36,($E36*IF(DB$2&gt;Inputs!$D$5,0,IF(DB$2&gt;VLOOKUP($H36,Lists!$P$3:$Q$7,2),IF($N36=Lists!$K$3,IF($L36&lt;1,(($U36/$L36)*((1+Inputs!$D$7)^DB$2)),((INT(DB$2/$L36)-INT((DB$2-1)/$L36))*$U36*((1+Inputs!$D$7)^DB$2))),(Inputs!$D$8^((1-_xlfn.WEIBULL.DIST(DB$2,$M36,$L36,FALSE))/_xlfn.WEIBULL.DIST(DB$2,$M36,$L36,FALSE))*$U36*((1+Inputs!$D$7)^DB$2))),IF($N36=Lists!$K$3,IF($L36&lt;1,((($T36*(1-$F36)+$S36*(1-$G36))/$L36)*((1+Inputs!$D$7)^DB$2)),((INT(DB$2/$L36)-INT((DB$2-1)/$L36))*($T36*(1-$F36)+$S36*(1-$G36))*((1+Inputs!$D$7)^DB$2))),((Inputs!$D$8^((1-_xlfn.WEIBULL.DIST(DB$2,$M36,$L36,FALSE))/_xlfn.WEIBULL.DIST(DB$2,$M36,$L36,FALSE))*($T36*(1-$F36)+$S36*(1-$G36))*((1+Inputs!$D$7)^DB$2))))))))</f>
        <v>0</v>
      </c>
      <c r="DC36" s="88">
        <f>MAX(BM36,($E36*IF(DC$2&gt;Inputs!$D$5,0,IF(DC$2&gt;VLOOKUP($H36,Lists!$P$3:$Q$7,2),IF($N36=Lists!$K$3,IF($L36&lt;1,(($U36/$L36)*((1+Inputs!$D$7)^DC$2)),((INT(DC$2/$L36)-INT((DC$2-1)/$L36))*$U36*((1+Inputs!$D$7)^DC$2))),(Inputs!$D$8^((1-_xlfn.WEIBULL.DIST(DC$2,$M36,$L36,FALSE))/_xlfn.WEIBULL.DIST(DC$2,$M36,$L36,FALSE))*$U36*((1+Inputs!$D$7)^DC$2))),IF($N36=Lists!$K$3,IF($L36&lt;1,((($T36*(1-$F36)+$S36*(1-$G36))/$L36)*((1+Inputs!$D$7)^DC$2)),((INT(DC$2/$L36)-INT((DC$2-1)/$L36))*($T36*(1-$F36)+$S36*(1-$G36))*((1+Inputs!$D$7)^DC$2))),((Inputs!$D$8^((1-_xlfn.WEIBULL.DIST(DC$2,$M36,$L36,FALSE))/_xlfn.WEIBULL.DIST(DC$2,$M36,$L36,FALSE))*($T36*(1-$F36)+$S36*(1-$G36))*((1+Inputs!$D$7)^DC$2))))))))</f>
        <v>0</v>
      </c>
      <c r="DD36" s="88">
        <f>MAX(BN36,($E36*IF(DD$2&gt;Inputs!$D$5,0,IF(DD$2&gt;VLOOKUP($H36,Lists!$P$3:$Q$7,2),IF($N36=Lists!$K$3,IF($L36&lt;1,(($U36/$L36)*((1+Inputs!$D$7)^DD$2)),((INT(DD$2/$L36)-INT((DD$2-1)/$L36))*$U36*((1+Inputs!$D$7)^DD$2))),(Inputs!$D$8^((1-_xlfn.WEIBULL.DIST(DD$2,$M36,$L36,FALSE))/_xlfn.WEIBULL.DIST(DD$2,$M36,$L36,FALSE))*$U36*((1+Inputs!$D$7)^DD$2))),IF($N36=Lists!$K$3,IF($L36&lt;1,((($T36*(1-$F36)+$S36*(1-$G36))/$L36)*((1+Inputs!$D$7)^DD$2)),((INT(DD$2/$L36)-INT((DD$2-1)/$L36))*($T36*(1-$F36)+$S36*(1-$G36))*((1+Inputs!$D$7)^DD$2))),((Inputs!$D$8^((1-_xlfn.WEIBULL.DIST(DD$2,$M36,$L36,FALSE))/_xlfn.WEIBULL.DIST(DD$2,$M36,$L36,FALSE))*($T36*(1-$F36)+$S36*(1-$G36))*((1+Inputs!$D$7)^DD$2))))))))</f>
        <v>0</v>
      </c>
    </row>
    <row r="37" spans="1:108" s="1" customFormat="1" ht="16">
      <c r="A37" s="57" t="s">
        <v>189</v>
      </c>
      <c r="B37" s="13" t="s">
        <v>130</v>
      </c>
      <c r="C37" s="13" t="s">
        <v>474</v>
      </c>
      <c r="D37" s="13" t="s">
        <v>16</v>
      </c>
      <c r="E37" s="48">
        <f>IF(Inputs!$D$30=Lists!$M$4,1,0)</f>
        <v>1</v>
      </c>
      <c r="F37" s="48">
        <v>1</v>
      </c>
      <c r="G37" s="48">
        <v>0</v>
      </c>
      <c r="H37" s="105" t="s">
        <v>16</v>
      </c>
      <c r="I37" s="14" t="s">
        <v>264</v>
      </c>
      <c r="J37" s="14" t="s">
        <v>91</v>
      </c>
      <c r="K37" s="13">
        <f>VLOOKUP(J37,'Labor Rates'!$A$1:$F$16,2)</f>
        <v>33.17307692307692</v>
      </c>
      <c r="L37" s="15">
        <v>20</v>
      </c>
      <c r="M37" s="15">
        <v>1</v>
      </c>
      <c r="N37" s="16" t="s">
        <v>226</v>
      </c>
      <c r="O37" s="61">
        <f>Inputs!$D$32</f>
        <v>10</v>
      </c>
      <c r="P37" s="15">
        <v>1</v>
      </c>
      <c r="Q37" s="15">
        <f t="shared" si="7"/>
        <v>0.5</v>
      </c>
      <c r="R37" s="4">
        <v>120</v>
      </c>
      <c r="S37" s="53">
        <f t="shared" si="8"/>
        <v>331.73076923076917</v>
      </c>
      <c r="T37" s="53">
        <f t="shared" si="9"/>
        <v>1200</v>
      </c>
      <c r="U37" s="54">
        <f t="shared" si="10"/>
        <v>1531.7307692307691</v>
      </c>
      <c r="V37" s="65"/>
      <c r="W37" s="58"/>
      <c r="X37" s="64">
        <f t="shared" si="11"/>
        <v>31.120806794605603</v>
      </c>
      <c r="Y37" s="64">
        <f>NPV(Inputs!$D$6,AA37:BN37)</f>
        <v>316.18315825991078</v>
      </c>
      <c r="Z37" s="67">
        <f t="shared" si="12"/>
        <v>1.4912741372099365E-4</v>
      </c>
      <c r="AA37" s="88">
        <f>$E37*IF(AA$2&gt;Inputs!$D$5,0,IF(AA$2&gt;VLOOKUP($H37,Lists!$P$3:$Q$7,2),IF($N37=Lists!$K$3,IF($L37&lt;1,(($U37/$L37)*((1+Inputs!$D$7)^AA$2)),((INT(AA$2/$L37)-INT((AA$2-1)/$L37))*$U37*((1+Inputs!$D$7)^AA$2))),(_xlfn.WEIBULL.DIST(AA$2,$M37,$L37,FALSE)*$U37*((1+Inputs!$D$7)^AA$2))),IF($N37=Lists!$K$3,IF($L37&lt;1,((($T37*(1-$F37)+$S37*(1-$G37))/$L37)*((1+Inputs!$D$7)^AA$2)),((INT(AA$2/$L37)-INT((AA$2-1)/$L37))*($T37*(1-$F37)+$S37*(1-$G37))*((1+Inputs!$D$7)^AA$2))),((_xlfn.WEIBULL.DIST(AA$2,$M37,$L37,FALSE)*($T37*(1-$F37)+$S37*(1-$G37))*((1+Inputs!$D$7)^AA$2))))))</f>
        <v>16.093155503932753</v>
      </c>
      <c r="AB37" s="88">
        <f>$E37*IF(AB$2&gt;Inputs!$D$5,0,IF(AB$2&gt;VLOOKUP($H37,Lists!$P$3:$Q$7,2),IF($N37=Lists!$K$3,IF($L37&lt;1,(($U37/$L37)*((1+Inputs!$D$7)^AB$2)),((INT(AB$2/$L37)-INT((AB$2-1)/$L37))*$U37*((1+Inputs!$D$7)^AB$2))),(_xlfn.WEIBULL.DIST(AB$2,$M37,$L37,FALSE)*$U37*((1+Inputs!$D$7)^AB$2))),IF($N37=Lists!$K$3,IF($L37&lt;1,((($T37*(1-$F37)+$S37*(1-$G37))/$L37)*((1+Inputs!$D$7)^AB$2)),((INT(AB$2/$L37)-INT((AB$2-1)/$L37))*($T37*(1-$F37)+$S37*(1-$G37))*((1+Inputs!$D$7)^AB$2))),((_xlfn.WEIBULL.DIST(AB$2,$M37,$L37,FALSE)*($T37*(1-$F37)+$S37*(1-$G37))*((1+Inputs!$D$7)^AB$2))))))</f>
        <v>15.61444870937458</v>
      </c>
      <c r="AC37" s="88">
        <f>$E37*IF(AC$2&gt;Inputs!$D$5,0,IF(AC$2&gt;VLOOKUP($H37,Lists!$P$3:$Q$7,2),IF($N37=Lists!$K$3,IF($L37&lt;1,(($U37/$L37)*((1+Inputs!$D$7)^AC$2)),((INT(AC$2/$L37)-INT((AC$2-1)/$L37))*$U37*((1+Inputs!$D$7)^AC$2))),(_xlfn.WEIBULL.DIST(AC$2,$M37,$L37,FALSE)*$U37*((1+Inputs!$D$7)^AC$2))),IF($N37=Lists!$K$3,IF($L37&lt;1,((($T37*(1-$F37)+$S37*(1-$G37))/$L37)*((1+Inputs!$D$7)^AC$2)),((INT(AC$2/$L37)-INT((AC$2-1)/$L37))*($T37*(1-$F37)+$S37*(1-$G37))*((1+Inputs!$D$7)^AC$2))),((_xlfn.WEIBULL.DIST(AC$2,$M37,$L37,FALSE)*($T37*(1-$F37)+$S37*(1-$G37))*((1+Inputs!$D$7)^AC$2))))))</f>
        <v>15.149981520908584</v>
      </c>
      <c r="AD37" s="88">
        <f>$E37*IF(AD$2&gt;Inputs!$D$5,0,IF(AD$2&gt;VLOOKUP($H37,Lists!$P$3:$Q$7,2),IF($N37=Lists!$K$3,IF($L37&lt;1,(($U37/$L37)*((1+Inputs!$D$7)^AD$2)),((INT(AD$2/$L37)-INT((AD$2-1)/$L37))*$U37*((1+Inputs!$D$7)^AD$2))),(_xlfn.WEIBULL.DIST(AD$2,$M37,$L37,FALSE)*$U37*((1+Inputs!$D$7)^AD$2))),IF($N37=Lists!$K$3,IF($L37&lt;1,((($T37*(1-$F37)+$S37*(1-$G37))/$L37)*((1+Inputs!$D$7)^AD$2)),((INT(AD$2/$L37)-INT((AD$2-1)/$L37))*($T37*(1-$F37)+$S37*(1-$G37))*((1+Inputs!$D$7)^AD$2))),((_xlfn.WEIBULL.DIST(AD$2,$M37,$L37,FALSE)*($T37*(1-$F37)+$S37*(1-$G37))*((1+Inputs!$D$7)^AD$2))))))</f>
        <v>14.69933036739693</v>
      </c>
      <c r="AE37" s="88">
        <f>$E37*IF(AE$2&gt;Inputs!$D$5,0,IF(AE$2&gt;VLOOKUP($H37,Lists!$P$3:$Q$7,2),IF($N37=Lists!$K$3,IF($L37&lt;1,(($U37/$L37)*((1+Inputs!$D$7)^AE$2)),((INT(AE$2/$L37)-INT((AE$2-1)/$L37))*$U37*((1+Inputs!$D$7)^AE$2))),(_xlfn.WEIBULL.DIST(AE$2,$M37,$L37,FALSE)*$U37*((1+Inputs!$D$7)^AE$2))),IF($N37=Lists!$K$3,IF($L37&lt;1,((($T37*(1-$F37)+$S37*(1-$G37))/$L37)*((1+Inputs!$D$7)^AE$2)),((INT(AE$2/$L37)-INT((AE$2-1)/$L37))*($T37*(1-$F37)+$S37*(1-$G37))*((1+Inputs!$D$7)^AE$2))),((_xlfn.WEIBULL.DIST(AE$2,$M37,$L37,FALSE)*($T37*(1-$F37)+$S37*(1-$G37))*((1+Inputs!$D$7)^AE$2))))))</f>
        <v>14.262084277243348</v>
      </c>
      <c r="AF37" s="88">
        <f>$E37*IF(AF$2&gt;Inputs!$D$5,0,IF(AF$2&gt;VLOOKUP($H37,Lists!$P$3:$Q$7,2),IF($N37=Lists!$K$3,IF($L37&lt;1,(($U37/$L37)*((1+Inputs!$D$7)^AF$2)),((INT(AF$2/$L37)-INT((AF$2-1)/$L37))*$U37*((1+Inputs!$D$7)^AF$2))),(_xlfn.WEIBULL.DIST(AF$2,$M37,$L37,FALSE)*$U37*((1+Inputs!$D$7)^AF$2))),IF($N37=Lists!$K$3,IF($L37&lt;1,((($T37*(1-$F37)+$S37*(1-$G37))/$L37)*((1+Inputs!$D$7)^AF$2)),((INT(AF$2/$L37)-INT((AF$2-1)/$L37))*($T37*(1-$F37)+$S37*(1-$G37))*((1+Inputs!$D$7)^AF$2))),((_xlfn.WEIBULL.DIST(AF$2,$M37,$L37,FALSE)*($T37*(1-$F37)+$S37*(1-$G37))*((1+Inputs!$D$7)^AF$2))))))</f>
        <v>13.837844503607332</v>
      </c>
      <c r="AG37" s="88">
        <f>$E37*IF(AG$2&gt;Inputs!$D$5,0,IF(AG$2&gt;VLOOKUP($H37,Lists!$P$3:$Q$7,2),IF($N37=Lists!$K$3,IF($L37&lt;1,(($U37/$L37)*((1+Inputs!$D$7)^AG$2)),((INT(AG$2/$L37)-INT((AG$2-1)/$L37))*$U37*((1+Inputs!$D$7)^AG$2))),(_xlfn.WEIBULL.DIST(AG$2,$M37,$L37,FALSE)*$U37*((1+Inputs!$D$7)^AG$2))),IF($N37=Lists!$K$3,IF($L37&lt;1,((($T37*(1-$F37)+$S37*(1-$G37))/$L37)*((1+Inputs!$D$7)^AG$2)),((INT(AG$2/$L37)-INT((AG$2-1)/$L37))*($T37*(1-$F37)+$S37*(1-$G37))*((1+Inputs!$D$7)^AG$2))),((_xlfn.WEIBULL.DIST(AG$2,$M37,$L37,FALSE)*($T37*(1-$F37)+$S37*(1-$G37))*((1+Inputs!$D$7)^AG$2))))))</f>
        <v>13.426224160766701</v>
      </c>
      <c r="AH37" s="88">
        <f>$E37*IF(AH$2&gt;Inputs!$D$5,0,IF(AH$2&gt;VLOOKUP($H37,Lists!$P$3:$Q$7,2),IF($N37=Lists!$K$3,IF($L37&lt;1,(($U37/$L37)*((1+Inputs!$D$7)^AH$2)),((INT(AH$2/$L37)-INT((AH$2-1)/$L37))*$U37*((1+Inputs!$D$7)^AH$2))),(_xlfn.WEIBULL.DIST(AH$2,$M37,$L37,FALSE)*$U37*((1+Inputs!$D$7)^AH$2))),IF($N37=Lists!$K$3,IF($L37&lt;1,((($T37*(1-$F37)+$S37*(1-$G37))/$L37)*((1+Inputs!$D$7)^AH$2)),((INT(AH$2/$L37)-INT((AH$2-1)/$L37))*($T37*(1-$F37)+$S37*(1-$G37))*((1+Inputs!$D$7)^AH$2))),((_xlfn.WEIBULL.DIST(AH$2,$M37,$L37,FALSE)*($T37*(1-$F37)+$S37*(1-$G37))*((1+Inputs!$D$7)^AH$2))))))</f>
        <v>13.026847871296967</v>
      </c>
      <c r="AI37" s="88">
        <f>$E37*IF(AI$2&gt;Inputs!$D$5,0,IF(AI$2&gt;VLOOKUP($H37,Lists!$P$3:$Q$7,2),IF($N37=Lists!$K$3,IF($L37&lt;1,(($U37/$L37)*((1+Inputs!$D$7)^AI$2)),((INT(AI$2/$L37)-INT((AI$2-1)/$L37))*$U37*((1+Inputs!$D$7)^AI$2))),(_xlfn.WEIBULL.DIST(AI$2,$M37,$L37,FALSE)*$U37*((1+Inputs!$D$7)^AI$2))),IF($N37=Lists!$K$3,IF($L37&lt;1,((($T37*(1-$F37)+$S37*(1-$G37))/$L37)*((1+Inputs!$D$7)^AI$2)),((INT(AI$2/$L37)-INT((AI$2-1)/$L37))*($T37*(1-$F37)+$S37*(1-$G37))*((1+Inputs!$D$7)^AI$2))),((_xlfn.WEIBULL.DIST(AI$2,$M37,$L37,FALSE)*($T37*(1-$F37)+$S37*(1-$G37))*((1+Inputs!$D$7)^AI$2))))))</f>
        <v>12.639351423745609</v>
      </c>
      <c r="AJ37" s="88">
        <f>$E37*IF(AJ$2&gt;Inputs!$D$5,0,IF(AJ$2&gt;VLOOKUP($H37,Lists!$P$3:$Q$7,2),IF($N37=Lists!$K$3,IF($L37&lt;1,(($U37/$L37)*((1+Inputs!$D$7)^AJ$2)),((INT(AJ$2/$L37)-INT((AJ$2-1)/$L37))*$U37*((1+Inputs!$D$7)^AJ$2))),(_xlfn.WEIBULL.DIST(AJ$2,$M37,$L37,FALSE)*$U37*((1+Inputs!$D$7)^AJ$2))),IF($N37=Lists!$K$3,IF($L37&lt;1,((($T37*(1-$F37)+$S37*(1-$G37))/$L37)*((1+Inputs!$D$7)^AJ$2)),((INT(AJ$2/$L37)-INT((AJ$2-1)/$L37))*($T37*(1-$F37)+$S37*(1-$G37))*((1+Inputs!$D$7)^AJ$2))),((_xlfn.WEIBULL.DIST(AJ$2,$M37,$L37,FALSE)*($T37*(1-$F37)+$S37*(1-$G37))*((1+Inputs!$D$7)^AJ$2))))))</f>
        <v>12.263381440489251</v>
      </c>
      <c r="AK37" s="88">
        <f>$E37*IF(AK$2&gt;Inputs!$D$5,0,IF(AK$2&gt;VLOOKUP($H37,Lists!$P$3:$Q$7,2),IF($N37=Lists!$K$3,IF($L37&lt;1,(($U37/$L37)*((1+Inputs!$D$7)^AK$2)),((INT(AK$2/$L37)-INT((AK$2-1)/$L37))*$U37*((1+Inputs!$D$7)^AK$2))),(_xlfn.WEIBULL.DIST(AK$2,$M37,$L37,FALSE)*$U37*((1+Inputs!$D$7)^AK$2))),IF($N37=Lists!$K$3,IF($L37&lt;1,((($T37*(1-$F37)+$S37*(1-$G37))/$L37)*((1+Inputs!$D$7)^AK$2)),((INT(AK$2/$L37)-INT((AK$2-1)/$L37))*($T37*(1-$F37)+$S37*(1-$G37))*((1+Inputs!$D$7)^AK$2))),((_xlfn.WEIBULL.DIST(AK$2,$M37,$L37,FALSE)*($T37*(1-$F37)+$S37*(1-$G37))*((1+Inputs!$D$7)^AK$2))))))</f>
        <v>54.940469343086512</v>
      </c>
      <c r="AL37" s="88">
        <f>$E37*IF(AL$2&gt;Inputs!$D$5,0,IF(AL$2&gt;VLOOKUP($H37,Lists!$P$3:$Q$7,2),IF($N37=Lists!$K$3,IF($L37&lt;1,(($U37/$L37)*((1+Inputs!$D$7)^AL$2)),((INT(AL$2/$L37)-INT((AL$2-1)/$L37))*$U37*((1+Inputs!$D$7)^AL$2))),(_xlfn.WEIBULL.DIST(AL$2,$M37,$L37,FALSE)*$U37*((1+Inputs!$D$7)^AL$2))),IF($N37=Lists!$K$3,IF($L37&lt;1,((($T37*(1-$F37)+$S37*(1-$G37))/$L37)*((1+Inputs!$D$7)^AL$2)),((INT(AL$2/$L37)-INT((AL$2-1)/$L37))*($T37*(1-$F37)+$S37*(1-$G37))*((1+Inputs!$D$7)^AL$2))),((_xlfn.WEIBULL.DIST(AL$2,$M37,$L37,FALSE)*($T37*(1-$F37)+$S37*(1-$G37))*((1+Inputs!$D$7)^AL$2))))))</f>
        <v>53.306210855723776</v>
      </c>
      <c r="AM37" s="88">
        <f>$E37*IF(AM$2&gt;Inputs!$D$5,0,IF(AM$2&gt;VLOOKUP($H37,Lists!$P$3:$Q$7,2),IF($N37=Lists!$K$3,IF($L37&lt;1,(($U37/$L37)*((1+Inputs!$D$7)^AM$2)),((INT(AM$2/$L37)-INT((AM$2-1)/$L37))*$U37*((1+Inputs!$D$7)^AM$2))),(_xlfn.WEIBULL.DIST(AM$2,$M37,$L37,FALSE)*$U37*((1+Inputs!$D$7)^AM$2))),IF($N37=Lists!$K$3,IF($L37&lt;1,((($T37*(1-$F37)+$S37*(1-$G37))/$L37)*((1+Inputs!$D$7)^AM$2)),((INT(AM$2/$L37)-INT((AM$2-1)/$L37))*($T37*(1-$F37)+$S37*(1-$G37))*((1+Inputs!$D$7)^AM$2))),((_xlfn.WEIBULL.DIST(AM$2,$M37,$L37,FALSE)*($T37*(1-$F37)+$S37*(1-$G37))*((1+Inputs!$D$7)^AM$2))))))</f>
        <v>51.720565000095924</v>
      </c>
      <c r="AN37" s="88">
        <f>$E37*IF(AN$2&gt;Inputs!$D$5,0,IF(AN$2&gt;VLOOKUP($H37,Lists!$P$3:$Q$7,2),IF($N37=Lists!$K$3,IF($L37&lt;1,(($U37/$L37)*((1+Inputs!$D$7)^AN$2)),((INT(AN$2/$L37)-INT((AN$2-1)/$L37))*$U37*((1+Inputs!$D$7)^AN$2))),(_xlfn.WEIBULL.DIST(AN$2,$M37,$L37,FALSE)*$U37*((1+Inputs!$D$7)^AN$2))),IF($N37=Lists!$K$3,IF($L37&lt;1,((($T37*(1-$F37)+$S37*(1-$G37))/$L37)*((1+Inputs!$D$7)^AN$2)),((INT(AN$2/$L37)-INT((AN$2-1)/$L37))*($T37*(1-$F37)+$S37*(1-$G37))*((1+Inputs!$D$7)^AN$2))),((_xlfn.WEIBULL.DIST(AN$2,$M37,$L37,FALSE)*($T37*(1-$F37)+$S37*(1-$G37))*((1+Inputs!$D$7)^AN$2))))))</f>
        <v>50.182085745490873</v>
      </c>
      <c r="AO37" s="88">
        <f>$E37*IF(AO$2&gt;Inputs!$D$5,0,IF(AO$2&gt;VLOOKUP($H37,Lists!$P$3:$Q$7,2),IF($N37=Lists!$K$3,IF($L37&lt;1,(($U37/$L37)*((1+Inputs!$D$7)^AO$2)),((INT(AO$2/$L37)-INT((AO$2-1)/$L37))*$U37*((1+Inputs!$D$7)^AO$2))),(_xlfn.WEIBULL.DIST(AO$2,$M37,$L37,FALSE)*$U37*((1+Inputs!$D$7)^AO$2))),IF($N37=Lists!$K$3,IF($L37&lt;1,((($T37*(1-$F37)+$S37*(1-$G37))/$L37)*((1+Inputs!$D$7)^AO$2)),((INT(AO$2/$L37)-INT((AO$2-1)/$L37))*($T37*(1-$F37)+$S37*(1-$G37))*((1+Inputs!$D$7)^AO$2))),((_xlfn.WEIBULL.DIST(AO$2,$M37,$L37,FALSE)*($T37*(1-$F37)+$S37*(1-$G37))*((1+Inputs!$D$7)^AO$2))))))</f>
        <v>48.689370074807336</v>
      </c>
      <c r="AP37" s="88">
        <f>$E37*IF(AP$2&gt;Inputs!$D$5,0,IF(AP$2&gt;VLOOKUP($H37,Lists!$P$3:$Q$7,2),IF($N37=Lists!$K$3,IF($L37&lt;1,(($U37/$L37)*((1+Inputs!$D$7)^AP$2)),((INT(AP$2/$L37)-INT((AP$2-1)/$L37))*$U37*((1+Inputs!$D$7)^AP$2))),(_xlfn.WEIBULL.DIST(AP$2,$M37,$L37,FALSE)*$U37*((1+Inputs!$D$7)^AP$2))),IF($N37=Lists!$K$3,IF($L37&lt;1,((($T37*(1-$F37)+$S37*(1-$G37))/$L37)*((1+Inputs!$D$7)^AP$2)),((INT(AP$2/$L37)-INT((AP$2-1)/$L37))*($T37*(1-$F37)+$S37*(1-$G37))*((1+Inputs!$D$7)^AP$2))),((_xlfn.WEIBULL.DIST(AP$2,$M37,$L37,FALSE)*($T37*(1-$F37)+$S37*(1-$G37))*((1+Inputs!$D$7)^AP$2))))))</f>
        <v>47.241056705072495</v>
      </c>
      <c r="AQ37" s="88">
        <f>$E37*IF(AQ$2&gt;Inputs!$D$5,0,IF(AQ$2&gt;VLOOKUP($H37,Lists!$P$3:$Q$7,2),IF($N37=Lists!$K$3,IF($L37&lt;1,(($U37/$L37)*((1+Inputs!$D$7)^AQ$2)),((INT(AQ$2/$L37)-INT((AQ$2-1)/$L37))*$U37*((1+Inputs!$D$7)^AQ$2))),(_xlfn.WEIBULL.DIST(AQ$2,$M37,$L37,FALSE)*$U37*((1+Inputs!$D$7)^AQ$2))),IF($N37=Lists!$K$3,IF($L37&lt;1,((($T37*(1-$F37)+$S37*(1-$G37))/$L37)*((1+Inputs!$D$7)^AQ$2)),((INT(AQ$2/$L37)-INT((AQ$2-1)/$L37))*($T37*(1-$F37)+$S37*(1-$G37))*((1+Inputs!$D$7)^AQ$2))),((_xlfn.WEIBULL.DIST(AQ$2,$M37,$L37,FALSE)*($T37*(1-$F37)+$S37*(1-$G37))*((1+Inputs!$D$7)^AQ$2))))))</f>
        <v>45.835824846019158</v>
      </c>
      <c r="AR37" s="88">
        <f>$E37*IF(AR$2&gt;Inputs!$D$5,0,IF(AR$2&gt;VLOOKUP($H37,Lists!$P$3:$Q$7,2),IF($N37=Lists!$K$3,IF($L37&lt;1,(($U37/$L37)*((1+Inputs!$D$7)^AR$2)),((INT(AR$2/$L37)-INT((AR$2-1)/$L37))*$U37*((1+Inputs!$D$7)^AR$2))),(_xlfn.WEIBULL.DIST(AR$2,$M37,$L37,FALSE)*$U37*((1+Inputs!$D$7)^AR$2))),IF($N37=Lists!$K$3,IF($L37&lt;1,((($T37*(1-$F37)+$S37*(1-$G37))/$L37)*((1+Inputs!$D$7)^AR$2)),((INT(AR$2/$L37)-INT((AR$2-1)/$L37))*($T37*(1-$F37)+$S37*(1-$G37))*((1+Inputs!$D$7)^AR$2))),((_xlfn.WEIBULL.DIST(AR$2,$M37,$L37,FALSE)*($T37*(1-$F37)+$S37*(1-$G37))*((1+Inputs!$D$7)^AR$2))))))</f>
        <v>44.472392995590205</v>
      </c>
      <c r="AS37" s="88">
        <f>$E37*IF(AS$2&gt;Inputs!$D$5,0,IF(AS$2&gt;VLOOKUP($H37,Lists!$P$3:$Q$7,2),IF($N37=Lists!$K$3,IF($L37&lt;1,(($U37/$L37)*((1+Inputs!$D$7)^AS$2)),((INT(AS$2/$L37)-INT((AS$2-1)/$L37))*$U37*((1+Inputs!$D$7)^AS$2))),(_xlfn.WEIBULL.DIST(AS$2,$M37,$L37,FALSE)*$U37*((1+Inputs!$D$7)^AS$2))),IF($N37=Lists!$K$3,IF($L37&lt;1,((($T37*(1-$F37)+$S37*(1-$G37))/$L37)*((1+Inputs!$D$7)^AS$2)),((INT(AS$2/$L37)-INT((AS$2-1)/$L37))*($T37*(1-$F37)+$S37*(1-$G37))*((1+Inputs!$D$7)^AS$2))),((_xlfn.WEIBULL.DIST(AS$2,$M37,$L37,FALSE)*($T37*(1-$F37)+$S37*(1-$G37))*((1+Inputs!$D$7)^AS$2))))))</f>
        <v>43.149517771272151</v>
      </c>
      <c r="AT37" s="88">
        <f>$E37*IF(AT$2&gt;Inputs!$D$5,0,IF(AT$2&gt;VLOOKUP($H37,Lists!$P$3:$Q$7,2),IF($N37=Lists!$K$3,IF($L37&lt;1,(($U37/$L37)*((1+Inputs!$D$7)^AT$2)),((INT(AT$2/$L37)-INT((AT$2-1)/$L37))*$U37*((1+Inputs!$D$7)^AT$2))),(_xlfn.WEIBULL.DIST(AT$2,$M37,$L37,FALSE)*$U37*((1+Inputs!$D$7)^AT$2))),IF($N37=Lists!$K$3,IF($L37&lt;1,((($T37*(1-$F37)+$S37*(1-$G37))/$L37)*((1+Inputs!$D$7)^AT$2)),((INT(AT$2/$L37)-INT((AT$2-1)/$L37))*($T37*(1-$F37)+$S37*(1-$G37))*((1+Inputs!$D$7)^AT$2))),((_xlfn.WEIBULL.DIST(AT$2,$M37,$L37,FALSE)*($T37*(1-$F37)+$S37*(1-$G37))*((1+Inputs!$D$7)^AT$2))))))</f>
        <v>41.865992776191554</v>
      </c>
      <c r="AU37" s="88">
        <f>$E37*IF(AU$2&gt;Inputs!$D$5,0,IF(AU$2&gt;VLOOKUP($H37,Lists!$P$3:$Q$7,2),IF($N37=Lists!$K$3,IF($L37&lt;1,(($U37/$L37)*((1+Inputs!$D$7)^AU$2)),((INT(AU$2/$L37)-INT((AU$2-1)/$L37))*$U37*((1+Inputs!$D$7)^AU$2))),(_xlfn.WEIBULL.DIST(AU$2,$M37,$L37,FALSE)*$U37*((1+Inputs!$D$7)^AU$2))),IF($N37=Lists!$K$3,IF($L37&lt;1,((($T37*(1-$F37)+$S37*(1-$G37))/$L37)*((1+Inputs!$D$7)^AU$2)),((INT(AU$2/$L37)-INT((AU$2-1)/$L37))*($T37*(1-$F37)+$S37*(1-$G37))*((1+Inputs!$D$7)^AU$2))),((_xlfn.WEIBULL.DIST(AU$2,$M37,$L37,FALSE)*($T37*(1-$F37)+$S37*(1-$G37))*((1+Inputs!$D$7)^AU$2))))))</f>
        <v>40.620647498940698</v>
      </c>
      <c r="AV37" s="88">
        <f>$E37*IF(AV$2&gt;Inputs!$D$5,0,IF(AV$2&gt;VLOOKUP($H37,Lists!$P$3:$Q$7,2),IF($N37=Lists!$K$3,IF($L37&lt;1,(($U37/$L37)*((1+Inputs!$D$7)^AV$2)),((INT(AV$2/$L37)-INT((AV$2-1)/$L37))*$U37*((1+Inputs!$D$7)^AV$2))),(_xlfn.WEIBULL.DIST(AV$2,$M37,$L37,FALSE)*$U37*((1+Inputs!$D$7)^AV$2))),IF($N37=Lists!$K$3,IF($L37&lt;1,((($T37*(1-$F37)+$S37*(1-$G37))/$L37)*((1+Inputs!$D$7)^AV$2)),((INT(AV$2/$L37)-INT((AV$2-1)/$L37))*($T37*(1-$F37)+$S37*(1-$G37))*((1+Inputs!$D$7)^AV$2))),((_xlfn.WEIBULL.DIST(AV$2,$M37,$L37,FALSE)*($T37*(1-$F37)+$S37*(1-$G37))*((1+Inputs!$D$7)^AV$2))))))</f>
        <v>39.412346246129005</v>
      </c>
      <c r="AW37" s="88">
        <f>$E37*IF(AW$2&gt;Inputs!$D$5,0,IF(AW$2&gt;VLOOKUP($H37,Lists!$P$3:$Q$7,2),IF($N37=Lists!$K$3,IF($L37&lt;1,(($U37/$L37)*((1+Inputs!$D$7)^AW$2)),((INT(AW$2/$L37)-INT((AW$2-1)/$L37))*$U37*((1+Inputs!$D$7)^AW$2))),(_xlfn.WEIBULL.DIST(AW$2,$M37,$L37,FALSE)*$U37*((1+Inputs!$D$7)^AW$2))),IF($N37=Lists!$K$3,IF($L37&lt;1,((($T37*(1-$F37)+$S37*(1-$G37))/$L37)*((1+Inputs!$D$7)^AW$2)),((INT(AW$2/$L37)-INT((AW$2-1)/$L37))*($T37*(1-$F37)+$S37*(1-$G37))*((1+Inputs!$D$7)^AW$2))),((_xlfn.WEIBULL.DIST(AW$2,$M37,$L37,FALSE)*($T37*(1-$F37)+$S37*(1-$G37))*((1+Inputs!$D$7)^AW$2))))))</f>
        <v>38.239987106686726</v>
      </c>
      <c r="AX37" s="88">
        <f>$E37*IF(AX$2&gt;Inputs!$D$5,0,IF(AX$2&gt;VLOOKUP($H37,Lists!$P$3:$Q$7,2),IF($N37=Lists!$K$3,IF($L37&lt;1,(($U37/$L37)*((1+Inputs!$D$7)^AX$2)),((INT(AX$2/$L37)-INT((AX$2-1)/$L37))*$U37*((1+Inputs!$D$7)^AX$2))),(_xlfn.WEIBULL.DIST(AX$2,$M37,$L37,FALSE)*$U37*((1+Inputs!$D$7)^AX$2))),IF($N37=Lists!$K$3,IF($L37&lt;1,((($T37*(1-$F37)+$S37*(1-$G37))/$L37)*((1+Inputs!$D$7)^AX$2)),((INT(AX$2/$L37)-INT((AX$2-1)/$L37))*($T37*(1-$F37)+$S37*(1-$G37))*((1+Inputs!$D$7)^AX$2))),((_xlfn.WEIBULL.DIST(AX$2,$M37,$L37,FALSE)*($T37*(1-$F37)+$S37*(1-$G37))*((1+Inputs!$D$7)^AX$2))))))</f>
        <v>37.102500946976512</v>
      </c>
      <c r="AY37" s="88">
        <f>$E37*IF(AY$2&gt;Inputs!$D$5,0,IF(AY$2&gt;VLOOKUP($H37,Lists!$P$3:$Q$7,2),IF($N37=Lists!$K$3,IF($L37&lt;1,(($U37/$L37)*((1+Inputs!$D$7)^AY$2)),((INT(AY$2/$L37)-INT((AY$2-1)/$L37))*$U37*((1+Inputs!$D$7)^AY$2))),(_xlfn.WEIBULL.DIST(AY$2,$M37,$L37,FALSE)*$U37*((1+Inputs!$D$7)^AY$2))),IF($N37=Lists!$K$3,IF($L37&lt;1,((($T37*(1-$F37)+$S37*(1-$G37))/$L37)*((1+Inputs!$D$7)^AY$2)),((INT(AY$2/$L37)-INT((AY$2-1)/$L37))*($T37*(1-$F37)+$S37*(1-$G37))*((1+Inputs!$D$7)^AY$2))),((_xlfn.WEIBULL.DIST(AY$2,$M37,$L37,FALSE)*($T37*(1-$F37)+$S37*(1-$G37))*((1+Inputs!$D$7)^AY$2))))))</f>
        <v>35.99885043579625</v>
      </c>
      <c r="AZ37" s="88">
        <f>$E37*IF(AZ$2&gt;Inputs!$D$5,0,IF(AZ$2&gt;VLOOKUP($H37,Lists!$P$3:$Q$7,2),IF($N37=Lists!$K$3,IF($L37&lt;1,(($U37/$L37)*((1+Inputs!$D$7)^AZ$2)),((INT(AZ$2/$L37)-INT((AZ$2-1)/$L37))*$U37*((1+Inputs!$D$7)^AZ$2))),(_xlfn.WEIBULL.DIST(AZ$2,$M37,$L37,FALSE)*$U37*((1+Inputs!$D$7)^AZ$2))),IF($N37=Lists!$K$3,IF($L37&lt;1,((($T37*(1-$F37)+$S37*(1-$G37))/$L37)*((1+Inputs!$D$7)^AZ$2)),((INT(AZ$2/$L37)-INT((AZ$2-1)/$L37))*($T37*(1-$F37)+$S37*(1-$G37))*((1+Inputs!$D$7)^AZ$2))),((_xlfn.WEIBULL.DIST(AZ$2,$M37,$L37,FALSE)*($T37*(1-$F37)+$S37*(1-$G37))*((1+Inputs!$D$7)^AZ$2))))))</f>
        <v>0</v>
      </c>
      <c r="BA37" s="88">
        <f>$E37*IF(BA$2&gt;Inputs!$D$5,0,IF(BA$2&gt;VLOOKUP($H37,Lists!$P$3:$Q$7,2),IF($N37=Lists!$K$3,IF($L37&lt;1,(($U37/$L37)*((1+Inputs!$D$7)^BA$2)),((INT(BA$2/$L37)-INT((BA$2-1)/$L37))*$U37*((1+Inputs!$D$7)^BA$2))),(_xlfn.WEIBULL.DIST(BA$2,$M37,$L37,FALSE)*$U37*((1+Inputs!$D$7)^BA$2))),IF($N37=Lists!$K$3,IF($L37&lt;1,((($T37*(1-$F37)+$S37*(1-$G37))/$L37)*((1+Inputs!$D$7)^BA$2)),((INT(BA$2/$L37)-INT((BA$2-1)/$L37))*($T37*(1-$F37)+$S37*(1-$G37))*((1+Inputs!$D$7)^BA$2))),((_xlfn.WEIBULL.DIST(BA$2,$M37,$L37,FALSE)*($T37*(1-$F37)+$S37*(1-$G37))*((1+Inputs!$D$7)^BA$2))))))</f>
        <v>0</v>
      </c>
      <c r="BB37" s="88">
        <f>$E37*IF(BB$2&gt;Inputs!$D$5,0,IF(BB$2&gt;VLOOKUP($H37,Lists!$P$3:$Q$7,2),IF($N37=Lists!$K$3,IF($L37&lt;1,(($U37/$L37)*((1+Inputs!$D$7)^BB$2)),((INT(BB$2/$L37)-INT((BB$2-1)/$L37))*$U37*((1+Inputs!$D$7)^BB$2))),(_xlfn.WEIBULL.DIST(BB$2,$M37,$L37,FALSE)*$U37*((1+Inputs!$D$7)^BB$2))),IF($N37=Lists!$K$3,IF($L37&lt;1,((($T37*(1-$F37)+$S37*(1-$G37))/$L37)*((1+Inputs!$D$7)^BB$2)),((INT(BB$2/$L37)-INT((BB$2-1)/$L37))*($T37*(1-$F37)+$S37*(1-$G37))*((1+Inputs!$D$7)^BB$2))),((_xlfn.WEIBULL.DIST(BB$2,$M37,$L37,FALSE)*($T37*(1-$F37)+$S37*(1-$G37))*((1+Inputs!$D$7)^BB$2))))))</f>
        <v>0</v>
      </c>
      <c r="BC37" s="88">
        <f>$E37*IF(BC$2&gt;Inputs!$D$5,0,IF(BC$2&gt;VLOOKUP($H37,Lists!$P$3:$Q$7,2),IF($N37=Lists!$K$3,IF($L37&lt;1,(($U37/$L37)*((1+Inputs!$D$7)^BC$2)),((INT(BC$2/$L37)-INT((BC$2-1)/$L37))*$U37*((1+Inputs!$D$7)^BC$2))),(_xlfn.WEIBULL.DIST(BC$2,$M37,$L37,FALSE)*$U37*((1+Inputs!$D$7)^BC$2))),IF($N37=Lists!$K$3,IF($L37&lt;1,((($T37*(1-$F37)+$S37*(1-$G37))/$L37)*((1+Inputs!$D$7)^BC$2)),((INT(BC$2/$L37)-INT((BC$2-1)/$L37))*($T37*(1-$F37)+$S37*(1-$G37))*((1+Inputs!$D$7)^BC$2))),((_xlfn.WEIBULL.DIST(BC$2,$M37,$L37,FALSE)*($T37*(1-$F37)+$S37*(1-$G37))*((1+Inputs!$D$7)^BC$2))))))</f>
        <v>0</v>
      </c>
      <c r="BD37" s="88">
        <f>$E37*IF(BD$2&gt;Inputs!$D$5,0,IF(BD$2&gt;VLOOKUP($H37,Lists!$P$3:$Q$7,2),IF($N37=Lists!$K$3,IF($L37&lt;1,(($U37/$L37)*((1+Inputs!$D$7)^BD$2)),((INT(BD$2/$L37)-INT((BD$2-1)/$L37))*$U37*((1+Inputs!$D$7)^BD$2))),(_xlfn.WEIBULL.DIST(BD$2,$M37,$L37,FALSE)*$U37*((1+Inputs!$D$7)^BD$2))),IF($N37=Lists!$K$3,IF($L37&lt;1,((($T37*(1-$F37)+$S37*(1-$G37))/$L37)*((1+Inputs!$D$7)^BD$2)),((INT(BD$2/$L37)-INT((BD$2-1)/$L37))*($T37*(1-$F37)+$S37*(1-$G37))*((1+Inputs!$D$7)^BD$2))),((_xlfn.WEIBULL.DIST(BD$2,$M37,$L37,FALSE)*($T37*(1-$F37)+$S37*(1-$G37))*((1+Inputs!$D$7)^BD$2))))))</f>
        <v>0</v>
      </c>
      <c r="BE37" s="88">
        <f>$E37*IF(BE$2&gt;Inputs!$D$5,0,IF(BE$2&gt;VLOOKUP($H37,Lists!$P$3:$Q$7,2),IF($N37=Lists!$K$3,IF($L37&lt;1,(($U37/$L37)*((1+Inputs!$D$7)^BE$2)),((INT(BE$2/$L37)-INT((BE$2-1)/$L37))*$U37*((1+Inputs!$D$7)^BE$2))),(_xlfn.WEIBULL.DIST(BE$2,$M37,$L37,FALSE)*$U37*((1+Inputs!$D$7)^BE$2))),IF($N37=Lists!$K$3,IF($L37&lt;1,((($T37*(1-$F37)+$S37*(1-$G37))/$L37)*((1+Inputs!$D$7)^BE$2)),((INT(BE$2/$L37)-INT((BE$2-1)/$L37))*($T37*(1-$F37)+$S37*(1-$G37))*((1+Inputs!$D$7)^BE$2))),((_xlfn.WEIBULL.DIST(BE$2,$M37,$L37,FALSE)*($T37*(1-$F37)+$S37*(1-$G37))*((1+Inputs!$D$7)^BE$2))))))</f>
        <v>0</v>
      </c>
      <c r="BF37" s="88">
        <f>$E37*IF(BF$2&gt;Inputs!$D$5,0,IF(BF$2&gt;VLOOKUP($H37,Lists!$P$3:$Q$7,2),IF($N37=Lists!$K$3,IF($L37&lt;1,(($U37/$L37)*((1+Inputs!$D$7)^BF$2)),((INT(BF$2/$L37)-INT((BF$2-1)/$L37))*$U37*((1+Inputs!$D$7)^BF$2))),(_xlfn.WEIBULL.DIST(BF$2,$M37,$L37,FALSE)*$U37*((1+Inputs!$D$7)^BF$2))),IF($N37=Lists!$K$3,IF($L37&lt;1,((($T37*(1-$F37)+$S37*(1-$G37))/$L37)*((1+Inputs!$D$7)^BF$2)),((INT(BF$2/$L37)-INT((BF$2-1)/$L37))*($T37*(1-$F37)+$S37*(1-$G37))*((1+Inputs!$D$7)^BF$2))),((_xlfn.WEIBULL.DIST(BF$2,$M37,$L37,FALSE)*($T37*(1-$F37)+$S37*(1-$G37))*((1+Inputs!$D$7)^BF$2))))))</f>
        <v>0</v>
      </c>
      <c r="BG37" s="88">
        <f>$E37*IF(BG$2&gt;Inputs!$D$5,0,IF(BG$2&gt;VLOOKUP($H37,Lists!$P$3:$Q$7,2),IF($N37=Lists!$K$3,IF($L37&lt;1,(($U37/$L37)*((1+Inputs!$D$7)^BG$2)),((INT(BG$2/$L37)-INT((BG$2-1)/$L37))*$U37*((1+Inputs!$D$7)^BG$2))),(_xlfn.WEIBULL.DIST(BG$2,$M37,$L37,FALSE)*$U37*((1+Inputs!$D$7)^BG$2))),IF($N37=Lists!$K$3,IF($L37&lt;1,((($T37*(1-$F37)+$S37*(1-$G37))/$L37)*((1+Inputs!$D$7)^BG$2)),((INT(BG$2/$L37)-INT((BG$2-1)/$L37))*($T37*(1-$F37)+$S37*(1-$G37))*((1+Inputs!$D$7)^BG$2))),((_xlfn.WEIBULL.DIST(BG$2,$M37,$L37,FALSE)*($T37*(1-$F37)+$S37*(1-$G37))*((1+Inputs!$D$7)^BG$2))))))</f>
        <v>0</v>
      </c>
      <c r="BH37" s="88">
        <f>$E37*IF(BH$2&gt;Inputs!$D$5,0,IF(BH$2&gt;VLOOKUP($H37,Lists!$P$3:$Q$7,2),IF($N37=Lists!$K$3,IF($L37&lt;1,(($U37/$L37)*((1+Inputs!$D$7)^BH$2)),((INT(BH$2/$L37)-INT((BH$2-1)/$L37))*$U37*((1+Inputs!$D$7)^BH$2))),(_xlfn.WEIBULL.DIST(BH$2,$M37,$L37,FALSE)*$U37*((1+Inputs!$D$7)^BH$2))),IF($N37=Lists!$K$3,IF($L37&lt;1,((($T37*(1-$F37)+$S37*(1-$G37))/$L37)*((1+Inputs!$D$7)^BH$2)),((INT(BH$2/$L37)-INT((BH$2-1)/$L37))*($T37*(1-$F37)+$S37*(1-$G37))*((1+Inputs!$D$7)^BH$2))),((_xlfn.WEIBULL.DIST(BH$2,$M37,$L37,FALSE)*($T37*(1-$F37)+$S37*(1-$G37))*((1+Inputs!$D$7)^BH$2))))))</f>
        <v>0</v>
      </c>
      <c r="BI37" s="88">
        <f>$E37*IF(BI$2&gt;Inputs!$D$5,0,IF(BI$2&gt;VLOOKUP($H37,Lists!$P$3:$Q$7,2),IF($N37=Lists!$K$3,IF($L37&lt;1,(($U37/$L37)*((1+Inputs!$D$7)^BI$2)),((INT(BI$2/$L37)-INT((BI$2-1)/$L37))*$U37*((1+Inputs!$D$7)^BI$2))),(_xlfn.WEIBULL.DIST(BI$2,$M37,$L37,FALSE)*$U37*((1+Inputs!$D$7)^BI$2))),IF($N37=Lists!$K$3,IF($L37&lt;1,((($T37*(1-$F37)+$S37*(1-$G37))/$L37)*((1+Inputs!$D$7)^BI$2)),((INT(BI$2/$L37)-INT((BI$2-1)/$L37))*($T37*(1-$F37)+$S37*(1-$G37))*((1+Inputs!$D$7)^BI$2))),((_xlfn.WEIBULL.DIST(BI$2,$M37,$L37,FALSE)*($T37*(1-$F37)+$S37*(1-$G37))*((1+Inputs!$D$7)^BI$2))))))</f>
        <v>0</v>
      </c>
      <c r="BJ37" s="88">
        <f>$E37*IF(BJ$2&gt;Inputs!$D$5,0,IF(BJ$2&gt;VLOOKUP($H37,Lists!$P$3:$Q$7,2),IF($N37=Lists!$K$3,IF($L37&lt;1,(($U37/$L37)*((1+Inputs!$D$7)^BJ$2)),((INT(BJ$2/$L37)-INT((BJ$2-1)/$L37))*$U37*((1+Inputs!$D$7)^BJ$2))),(_xlfn.WEIBULL.DIST(BJ$2,$M37,$L37,FALSE)*$U37*((1+Inputs!$D$7)^BJ$2))),IF($N37=Lists!$K$3,IF($L37&lt;1,((($T37*(1-$F37)+$S37*(1-$G37))/$L37)*((1+Inputs!$D$7)^BJ$2)),((INT(BJ$2/$L37)-INT((BJ$2-1)/$L37))*($T37*(1-$F37)+$S37*(1-$G37))*((1+Inputs!$D$7)^BJ$2))),((_xlfn.WEIBULL.DIST(BJ$2,$M37,$L37,FALSE)*($T37*(1-$F37)+$S37*(1-$G37))*((1+Inputs!$D$7)^BJ$2))))))</f>
        <v>0</v>
      </c>
      <c r="BK37" s="88">
        <f>$E37*IF(BK$2&gt;Inputs!$D$5,0,IF(BK$2&gt;VLOOKUP($H37,Lists!$P$3:$Q$7,2),IF($N37=Lists!$K$3,IF($L37&lt;1,(($U37/$L37)*((1+Inputs!$D$7)^BK$2)),((INT(BK$2/$L37)-INT((BK$2-1)/$L37))*$U37*((1+Inputs!$D$7)^BK$2))),(_xlfn.WEIBULL.DIST(BK$2,$M37,$L37,FALSE)*$U37*((1+Inputs!$D$7)^BK$2))),IF($N37=Lists!$K$3,IF($L37&lt;1,((($T37*(1-$F37)+$S37*(1-$G37))/$L37)*((1+Inputs!$D$7)^BK$2)),((INT(BK$2/$L37)-INT((BK$2-1)/$L37))*($T37*(1-$F37)+$S37*(1-$G37))*((1+Inputs!$D$7)^BK$2))),((_xlfn.WEIBULL.DIST(BK$2,$M37,$L37,FALSE)*($T37*(1-$F37)+$S37*(1-$G37))*((1+Inputs!$D$7)^BK$2))))))</f>
        <v>0</v>
      </c>
      <c r="BL37" s="88">
        <f>$E37*IF(BL$2&gt;Inputs!$D$5,0,IF(BL$2&gt;VLOOKUP($H37,Lists!$P$3:$Q$7,2),IF($N37=Lists!$K$3,IF($L37&lt;1,(($U37/$L37)*((1+Inputs!$D$7)^BL$2)),((INT(BL$2/$L37)-INT((BL$2-1)/$L37))*$U37*((1+Inputs!$D$7)^BL$2))),(_xlfn.WEIBULL.DIST(BL$2,$M37,$L37,FALSE)*$U37*((1+Inputs!$D$7)^BL$2))),IF($N37=Lists!$K$3,IF($L37&lt;1,((($T37*(1-$F37)+$S37*(1-$G37))/$L37)*((1+Inputs!$D$7)^BL$2)),((INT(BL$2/$L37)-INT((BL$2-1)/$L37))*($T37*(1-$F37)+$S37*(1-$G37))*((1+Inputs!$D$7)^BL$2))),((_xlfn.WEIBULL.DIST(BL$2,$M37,$L37,FALSE)*($T37*(1-$F37)+$S37*(1-$G37))*((1+Inputs!$D$7)^BL$2))))))</f>
        <v>0</v>
      </c>
      <c r="BM37" s="88">
        <f>$E37*IF(BM$2&gt;Inputs!$D$5,0,IF(BM$2&gt;VLOOKUP($H37,Lists!$P$3:$Q$7,2),IF($N37=Lists!$K$3,IF($L37&lt;1,(($U37/$L37)*((1+Inputs!$D$7)^BM$2)),((INT(BM$2/$L37)-INT((BM$2-1)/$L37))*$U37*((1+Inputs!$D$7)^BM$2))),(_xlfn.WEIBULL.DIST(BM$2,$M37,$L37,FALSE)*$U37*((1+Inputs!$D$7)^BM$2))),IF($N37=Lists!$K$3,IF($L37&lt;1,((($T37*(1-$F37)+$S37*(1-$G37))/$L37)*((1+Inputs!$D$7)^BM$2)),((INT(BM$2/$L37)-INT((BM$2-1)/$L37))*($T37*(1-$F37)+$S37*(1-$G37))*((1+Inputs!$D$7)^BM$2))),((_xlfn.WEIBULL.DIST(BM$2,$M37,$L37,FALSE)*($T37*(1-$F37)+$S37*(1-$G37))*((1+Inputs!$D$7)^BM$2))))))</f>
        <v>0</v>
      </c>
      <c r="BN37" s="88">
        <f>$E37*IF(BN$2&gt;Inputs!$D$5,0,IF(BN$2&gt;VLOOKUP($H37,Lists!$P$3:$Q$7,2),IF($N37=Lists!$K$3,IF($L37&lt;1,(($U37/$L37)*((1+Inputs!$D$7)^BN$2)),((INT(BN$2/$L37)-INT((BN$2-1)/$L37))*$U37*((1+Inputs!$D$7)^BN$2))),(_xlfn.WEIBULL.DIST(BN$2,$M37,$L37,FALSE)*$U37*((1+Inputs!$D$7)^BN$2))),IF($N37=Lists!$K$3,IF($L37&lt;1,((($T37*(1-$F37)+$S37*(1-$G37))/$L37)*((1+Inputs!$D$7)^BN$2)),((INT(BN$2/$L37)-INT((BN$2-1)/$L37))*($T37*(1-$F37)+$S37*(1-$G37))*((1+Inputs!$D$7)^BN$2))),((_xlfn.WEIBULL.DIST(BN$2,$M37,$L37,FALSE)*($T37*(1-$F37)+$S37*(1-$G37))*((1+Inputs!$D$7)^BN$2))))))</f>
        <v>0</v>
      </c>
      <c r="BO37" s="64">
        <f>NPV(Inputs!$D$6,BQ37:DD37)</f>
        <v>633.25262961676981</v>
      </c>
      <c r="BP37" s="67">
        <f t="shared" si="13"/>
        <v>2.986728559689409E-4</v>
      </c>
      <c r="BQ37" s="88">
        <f>MAX(AA37,($E37*IF(BQ$2&gt;Inputs!$D$5,0,IF(BQ$2&gt;VLOOKUP($H37,Lists!$P$3:$Q$7,2),IF($N37=Lists!$K$3,IF($L37&lt;1,(($U37/$L37)*((1+Inputs!$D$7)^BQ$2)),((INT(BQ$2/$L37)-INT((BQ$2-1)/$L37))*$U37*((1+Inputs!$D$7)^BQ$2))),(Inputs!$D$8^((1-_xlfn.WEIBULL.DIST(BQ$2,$M37,$L37,FALSE))/_xlfn.WEIBULL.DIST(BQ$2,$M37,$L37,FALSE))*$U37*((1+Inputs!$D$7)^BQ$2))),IF($N37=Lists!$K$3,IF($L37&lt;1,((($T37*(1-$F37)+$S37*(1-$G37))/$L37)*((1+Inputs!$D$7)^BQ$2)),((INT(BQ$2/$L37)-INT((BQ$2-1)/$L37))*($T37*(1-$F37)+$S37*(1-$G37))*((1+Inputs!$D$7)^BQ$2))),((Inputs!$D$8^((1-_xlfn.WEIBULL.DIST(BQ$2,$M37,$L37,FALSE))/_xlfn.WEIBULL.DIST(BQ$2,$M37,$L37,FALSE))*($T37*(1-$F37)+$S37*(1-$G37))*((1+Inputs!$D$7)^BQ$2))))))))</f>
        <v>63.71209577784137</v>
      </c>
      <c r="BR37" s="88">
        <f>MAX(AB37,($E37*IF(BR$2&gt;Inputs!$D$5,0,IF(BR$2&gt;VLOOKUP($H37,Lists!$P$3:$Q$7,2),IF($N37=Lists!$K$3,IF($L37&lt;1,(($U37/$L37)*((1+Inputs!$D$7)^BR$2)),((INT(BR$2/$L37)-INT((BR$2-1)/$L37))*$U37*((1+Inputs!$D$7)^BR$2))),(Inputs!$D$8^((1-_xlfn.WEIBULL.DIST(BR$2,$M37,$L37,FALSE))/_xlfn.WEIBULL.DIST(BR$2,$M37,$L37,FALSE))*$U37*((1+Inputs!$D$7)^BR$2))),IF($N37=Lists!$K$3,IF($L37&lt;1,((($T37*(1-$F37)+$S37*(1-$G37))/$L37)*((1+Inputs!$D$7)^BR$2)),((INT(BR$2/$L37)-INT((BR$2-1)/$L37))*($T37*(1-$F37)+$S37*(1-$G37))*((1+Inputs!$D$7)^BR$2))),((Inputs!$D$8^((1-_xlfn.WEIBULL.DIST(BR$2,$M37,$L37,FALSE))/_xlfn.WEIBULL.DIST(BR$2,$M37,$L37,FALSE))*($T37*(1-$F37)+$S37*(1-$G37))*((1+Inputs!$D$7)^BR$2))))))))</f>
        <v>59.399866647445343</v>
      </c>
      <c r="BS37" s="88">
        <f>MAX(AC37,($E37*IF(BS$2&gt;Inputs!$D$5,0,IF(BS$2&gt;VLOOKUP($H37,Lists!$P$3:$Q$7,2),IF($N37=Lists!$K$3,IF($L37&lt;1,(($U37/$L37)*((1+Inputs!$D$7)^BS$2)),((INT(BS$2/$L37)-INT((BS$2-1)/$L37))*$U37*((1+Inputs!$D$7)^BS$2))),(Inputs!$D$8^((1-_xlfn.WEIBULL.DIST(BS$2,$M37,$L37,FALSE))/_xlfn.WEIBULL.DIST(BS$2,$M37,$L37,FALSE))*$U37*((1+Inputs!$D$7)^BS$2))),IF($N37=Lists!$K$3,IF($L37&lt;1,((($T37*(1-$F37)+$S37*(1-$G37))/$L37)*((1+Inputs!$D$7)^BS$2)),((INT(BS$2/$L37)-INT((BS$2-1)/$L37))*($T37*(1-$F37)+$S37*(1-$G37))*((1+Inputs!$D$7)^BS$2))),((Inputs!$D$8^((1-_xlfn.WEIBULL.DIST(BS$2,$M37,$L37,FALSE))/_xlfn.WEIBULL.DIST(BS$2,$M37,$L37,FALSE))*($T37*(1-$F37)+$S37*(1-$G37))*((1+Inputs!$D$7)^BS$2))))))))</f>
        <v>55.124872736107534</v>
      </c>
      <c r="BT37" s="88">
        <f>MAX(AD37,($E37*IF(BT$2&gt;Inputs!$D$5,0,IF(BT$2&gt;VLOOKUP($H37,Lists!$P$3:$Q$7,2),IF($N37=Lists!$K$3,IF($L37&lt;1,(($U37/$L37)*((1+Inputs!$D$7)^BT$2)),((INT(BT$2/$L37)-INT((BT$2-1)/$L37))*$U37*((1+Inputs!$D$7)^BT$2))),(Inputs!$D$8^((1-_xlfn.WEIBULL.DIST(BT$2,$M37,$L37,FALSE))/_xlfn.WEIBULL.DIST(BT$2,$M37,$L37,FALSE))*$U37*((1+Inputs!$D$7)^BT$2))),IF($N37=Lists!$K$3,IF($L37&lt;1,((($T37*(1-$F37)+$S37*(1-$G37))/$L37)*((1+Inputs!$D$7)^BT$2)),((INT(BT$2/$L37)-INT((BT$2-1)/$L37))*($T37*(1-$F37)+$S37*(1-$G37))*((1+Inputs!$D$7)^BT$2))),((Inputs!$D$8^((1-_xlfn.WEIBULL.DIST(BT$2,$M37,$L37,FALSE))/_xlfn.WEIBULL.DIST(BT$2,$M37,$L37,FALSE))*($T37*(1-$F37)+$S37*(1-$G37))*((1+Inputs!$D$7)^BT$2))))))))</f>
        <v>50.9103009465884</v>
      </c>
      <c r="BU37" s="88">
        <f>MAX(AE37,($E37*IF(BU$2&gt;Inputs!$D$5,0,IF(BU$2&gt;VLOOKUP($H37,Lists!$P$3:$Q$7,2),IF($N37=Lists!$K$3,IF($L37&lt;1,(($U37/$L37)*((1+Inputs!$D$7)^BU$2)),((INT(BU$2/$L37)-INT((BU$2-1)/$L37))*$U37*((1+Inputs!$D$7)^BU$2))),(Inputs!$D$8^((1-_xlfn.WEIBULL.DIST(BU$2,$M37,$L37,FALSE))/_xlfn.WEIBULL.DIST(BU$2,$M37,$L37,FALSE))*$U37*((1+Inputs!$D$7)^BU$2))),IF($N37=Lists!$K$3,IF($L37&lt;1,((($T37*(1-$F37)+$S37*(1-$G37))/$L37)*((1+Inputs!$D$7)^BU$2)),((INT(BU$2/$L37)-INT((BU$2-1)/$L37))*($T37*(1-$F37)+$S37*(1-$G37))*((1+Inputs!$D$7)^BU$2))),((Inputs!$D$8^((1-_xlfn.WEIBULL.DIST(BU$2,$M37,$L37,FALSE))/_xlfn.WEIBULL.DIST(BU$2,$M37,$L37,FALSE))*($T37*(1-$F37)+$S37*(1-$G37))*((1+Inputs!$D$7)^BU$2))))))))</f>
        <v>46.779091770476576</v>
      </c>
      <c r="BV37" s="88">
        <f>MAX(AF37,($E37*IF(BV$2&gt;Inputs!$D$5,0,IF(BV$2&gt;VLOOKUP($H37,Lists!$P$3:$Q$7,2),IF($N37=Lists!$K$3,IF($L37&lt;1,(($U37/$L37)*((1+Inputs!$D$7)^BV$2)),((INT(BV$2/$L37)-INT((BV$2-1)/$L37))*$U37*((1+Inputs!$D$7)^BV$2))),(Inputs!$D$8^((1-_xlfn.WEIBULL.DIST(BV$2,$M37,$L37,FALSE))/_xlfn.WEIBULL.DIST(BV$2,$M37,$L37,FALSE))*$U37*((1+Inputs!$D$7)^BV$2))),IF($N37=Lists!$K$3,IF($L37&lt;1,((($T37*(1-$F37)+$S37*(1-$G37))/$L37)*((1+Inputs!$D$7)^BV$2)),((INT(BV$2/$L37)-INT((BV$2-1)/$L37))*($T37*(1-$F37)+$S37*(1-$G37))*((1+Inputs!$D$7)^BV$2))),((Inputs!$D$8^((1-_xlfn.WEIBULL.DIST(BV$2,$M37,$L37,FALSE))/_xlfn.WEIBULL.DIST(BV$2,$M37,$L37,FALSE))*($T37*(1-$F37)+$S37*(1-$G37))*((1+Inputs!$D$7)^BV$2))))))))</f>
        <v>42.753586742363382</v>
      </c>
      <c r="BW37" s="88">
        <f>MAX(AG37,($E37*IF(BW$2&gt;Inputs!$D$5,0,IF(BW$2&gt;VLOOKUP($H37,Lists!$P$3:$Q$7,2),IF($N37=Lists!$K$3,IF($L37&lt;1,(($U37/$L37)*((1+Inputs!$D$7)^BW$2)),((INT(BW$2/$L37)-INT((BW$2-1)/$L37))*$U37*((1+Inputs!$D$7)^BW$2))),(Inputs!$D$8^((1-_xlfn.WEIBULL.DIST(BW$2,$M37,$L37,FALSE))/_xlfn.WEIBULL.DIST(BW$2,$M37,$L37,FALSE))*$U37*((1+Inputs!$D$7)^BW$2))),IF($N37=Lists!$K$3,IF($L37&lt;1,((($T37*(1-$F37)+$S37*(1-$G37))/$L37)*((1+Inputs!$D$7)^BW$2)),((INT(BW$2/$L37)-INT((BW$2-1)/$L37))*($T37*(1-$F37)+$S37*(1-$G37))*((1+Inputs!$D$7)^BW$2))),((Inputs!$D$8^((1-_xlfn.WEIBULL.DIST(BW$2,$M37,$L37,FALSE))/_xlfn.WEIBULL.DIST(BW$2,$M37,$L37,FALSE))*($T37*(1-$F37)+$S37*(1-$G37))*((1+Inputs!$D$7)^BW$2))))))))</f>
        <v>38.855164253299677</v>
      </c>
      <c r="BX37" s="88">
        <f>MAX(AH37,($E37*IF(BX$2&gt;Inputs!$D$5,0,IF(BX$2&gt;VLOOKUP($H37,Lists!$P$3:$Q$7,2),IF($N37=Lists!$K$3,IF($L37&lt;1,(($U37/$L37)*((1+Inputs!$D$7)^BX$2)),((INT(BX$2/$L37)-INT((BX$2-1)/$L37))*$U37*((1+Inputs!$D$7)^BX$2))),(Inputs!$D$8^((1-_xlfn.WEIBULL.DIST(BX$2,$M37,$L37,FALSE))/_xlfn.WEIBULL.DIST(BX$2,$M37,$L37,FALSE))*$U37*((1+Inputs!$D$7)^BX$2))),IF($N37=Lists!$K$3,IF($L37&lt;1,((($T37*(1-$F37)+$S37*(1-$G37))/$L37)*((1+Inputs!$D$7)^BX$2)),((INT(BX$2/$L37)-INT((BX$2-1)/$L37))*($T37*(1-$F37)+$S37*(1-$G37))*((1+Inputs!$D$7)^BX$2))),((Inputs!$D$8^((1-_xlfn.WEIBULL.DIST(BX$2,$M37,$L37,FALSE))/_xlfn.WEIBULL.DIST(BX$2,$M37,$L37,FALSE))*($T37*(1-$F37)+$S37*(1-$G37))*((1+Inputs!$D$7)^BX$2))))))))</f>
        <v>35.103872790597485</v>
      </c>
      <c r="BY37" s="88">
        <f>MAX(AI37,($E37*IF(BY$2&gt;Inputs!$D$5,0,IF(BY$2&gt;VLOOKUP($H37,Lists!$P$3:$Q$7,2),IF($N37=Lists!$K$3,IF($L37&lt;1,(($U37/$L37)*((1+Inputs!$D$7)^BY$2)),((INT(BY$2/$L37)-INT((BY$2-1)/$L37))*$U37*((1+Inputs!$D$7)^BY$2))),(Inputs!$D$8^((1-_xlfn.WEIBULL.DIST(BY$2,$M37,$L37,FALSE))/_xlfn.WEIBULL.DIST(BY$2,$M37,$L37,FALSE))*$U37*((1+Inputs!$D$7)^BY$2))),IF($N37=Lists!$K$3,IF($L37&lt;1,((($T37*(1-$F37)+$S37*(1-$G37))/$L37)*((1+Inputs!$D$7)^BY$2)),((INT(BY$2/$L37)-INT((BY$2-1)/$L37))*($T37*(1-$F37)+$S37*(1-$G37))*((1+Inputs!$D$7)^BY$2))),((Inputs!$D$8^((1-_xlfn.WEIBULL.DIST(BY$2,$M37,$L37,FALSE))/_xlfn.WEIBULL.DIST(BY$2,$M37,$L37,FALSE))*($T37*(1-$F37)+$S37*(1-$G37))*((1+Inputs!$D$7)^BY$2))))))))</f>
        <v>31.518071873258709</v>
      </c>
      <c r="BZ37" s="88">
        <f>MAX(AJ37,($E37*IF(BZ$2&gt;Inputs!$D$5,0,IF(BZ$2&gt;VLOOKUP($H37,Lists!$P$3:$Q$7,2),IF($N37=Lists!$K$3,IF($L37&lt;1,(($U37/$L37)*((1+Inputs!$D$7)^BZ$2)),((INT(BZ$2/$L37)-INT((BZ$2-1)/$L37))*$U37*((1+Inputs!$D$7)^BZ$2))),(Inputs!$D$8^((1-_xlfn.WEIBULL.DIST(BZ$2,$M37,$L37,FALSE))/_xlfn.WEIBULL.DIST(BZ$2,$M37,$L37,FALSE))*$U37*((1+Inputs!$D$7)^BZ$2))),IF($N37=Lists!$K$3,IF($L37&lt;1,((($T37*(1-$F37)+$S37*(1-$G37))/$L37)*((1+Inputs!$D$7)^BZ$2)),((INT(BZ$2/$L37)-INT((BZ$2-1)/$L37))*($T37*(1-$F37)+$S37*(1-$G37))*((1+Inputs!$D$7)^BZ$2))),((Inputs!$D$8^((1-_xlfn.WEIBULL.DIST(BZ$2,$M37,$L37,FALSE))/_xlfn.WEIBULL.DIST(BZ$2,$M37,$L37,FALSE))*($T37*(1-$F37)+$S37*(1-$G37))*((1+Inputs!$D$7)^BZ$2))))))))</f>
        <v>28.114091876957563</v>
      </c>
      <c r="CA37" s="88">
        <f>MAX(AK37,($E37*IF(CA$2&gt;Inputs!$D$5,0,IF(CA$2&gt;VLOOKUP($H37,Lists!$P$3:$Q$7,2),IF($N37=Lists!$K$3,IF($L37&lt;1,(($U37/$L37)*((1+Inputs!$D$7)^CA$2)),((INT(CA$2/$L37)-INT((CA$2-1)/$L37))*$U37*((1+Inputs!$D$7)^CA$2))),(Inputs!$D$8^((1-_xlfn.WEIBULL.DIST(CA$2,$M37,$L37,FALSE))/_xlfn.WEIBULL.DIST(CA$2,$M37,$L37,FALSE))*$U37*((1+Inputs!$D$7)^CA$2))),IF($N37=Lists!$K$3,IF($L37&lt;1,((($T37*(1-$F37)+$S37*(1-$G37))/$L37)*((1+Inputs!$D$7)^CA$2)),((INT(CA$2/$L37)-INT((CA$2-1)/$L37))*($T37*(1-$F37)+$S37*(1-$G37))*((1+Inputs!$D$7)^CA$2))),((Inputs!$D$8^((1-_xlfn.WEIBULL.DIST(CA$2,$M37,$L37,FALSE))/_xlfn.WEIBULL.DIST(CA$2,$M37,$L37,FALSE))*($T37*(1-$F37)+$S37*(1-$G37))*((1+Inputs!$D$7)^CA$2))))))))</f>
        <v>115.00039916863236</v>
      </c>
      <c r="CB37" s="88">
        <f>MAX(AL37,($E37*IF(CB$2&gt;Inputs!$D$5,0,IF(CB$2&gt;VLOOKUP($H37,Lists!$P$3:$Q$7,2),IF($N37=Lists!$K$3,IF($L37&lt;1,(($U37/$L37)*((1+Inputs!$D$7)^CB$2)),((INT(CB$2/$L37)-INT((CB$2-1)/$L37))*$U37*((1+Inputs!$D$7)^CB$2))),(Inputs!$D$8^((1-_xlfn.WEIBULL.DIST(CB$2,$M37,$L37,FALSE))/_xlfn.WEIBULL.DIST(CB$2,$M37,$L37,FALSE))*$U37*((1+Inputs!$D$7)^CB$2))),IF($N37=Lists!$K$3,IF($L37&lt;1,((($T37*(1-$F37)+$S37*(1-$G37))/$L37)*((1+Inputs!$D$7)^CB$2)),((INT(CB$2/$L37)-INT((CB$2-1)/$L37))*($T37*(1-$F37)+$S37*(1-$G37))*((1+Inputs!$D$7)^CB$2))),((Inputs!$D$8^((1-_xlfn.WEIBULL.DIST(CB$2,$M37,$L37,FALSE))/_xlfn.WEIBULL.DIST(CB$2,$M37,$L37,FALSE))*($T37*(1-$F37)+$S37*(1-$G37))*((1+Inputs!$D$7)^CB$2))))))))</f>
        <v>101.14375160553904</v>
      </c>
      <c r="CC37" s="88">
        <f>MAX(AM37,($E37*IF(CC$2&gt;Inputs!$D$5,0,IF(CC$2&gt;VLOOKUP($H37,Lists!$P$3:$Q$7,2),IF($N37=Lists!$K$3,IF($L37&lt;1,(($U37/$L37)*((1+Inputs!$D$7)^CC$2)),((INT(CC$2/$L37)-INT((CC$2-1)/$L37))*$U37*((1+Inputs!$D$7)^CC$2))),(Inputs!$D$8^((1-_xlfn.WEIBULL.DIST(CC$2,$M37,$L37,FALSE))/_xlfn.WEIBULL.DIST(CC$2,$M37,$L37,FALSE))*$U37*((1+Inputs!$D$7)^CC$2))),IF($N37=Lists!$K$3,IF($L37&lt;1,((($T37*(1-$F37)+$S37*(1-$G37))/$L37)*((1+Inputs!$D$7)^CC$2)),((INT(CC$2/$L37)-INT((CC$2-1)/$L37))*($T37*(1-$F37)+$S37*(1-$G37))*((1+Inputs!$D$7)^CC$2))),((Inputs!$D$8^((1-_xlfn.WEIBULL.DIST(CC$2,$M37,$L37,FALSE))/_xlfn.WEIBULL.DIST(CC$2,$M37,$L37,FALSE))*($T37*(1-$F37)+$S37*(1-$G37))*((1+Inputs!$D$7)^CC$2))))))))</f>
        <v>88.283377032824617</v>
      </c>
      <c r="CD37" s="88">
        <f>MAX(AN37,($E37*IF(CD$2&gt;Inputs!$D$5,0,IF(CD$2&gt;VLOOKUP($H37,Lists!$P$3:$Q$7,2),IF($N37=Lists!$K$3,IF($L37&lt;1,(($U37/$L37)*((1+Inputs!$D$7)^CD$2)),((INT(CD$2/$L37)-INT((CD$2-1)/$L37))*$U37*((1+Inputs!$D$7)^CD$2))),(Inputs!$D$8^((1-_xlfn.WEIBULL.DIST(CD$2,$M37,$L37,FALSE))/_xlfn.WEIBULL.DIST(CD$2,$M37,$L37,FALSE))*$U37*((1+Inputs!$D$7)^CD$2))),IF($N37=Lists!$K$3,IF($L37&lt;1,((($T37*(1-$F37)+$S37*(1-$G37))/$L37)*((1+Inputs!$D$7)^CD$2)),((INT(CD$2/$L37)-INT((CD$2-1)/$L37))*($T37*(1-$F37)+$S37*(1-$G37))*((1+Inputs!$D$7)^CD$2))),((Inputs!$D$8^((1-_xlfn.WEIBULL.DIST(CD$2,$M37,$L37,FALSE))/_xlfn.WEIBULL.DIST(CD$2,$M37,$L37,FALSE))*($T37*(1-$F37)+$S37*(1-$G37))*((1+Inputs!$D$7)^CD$2))))))))</f>
        <v>76.445125732603458</v>
      </c>
      <c r="CE37" s="88">
        <f>MAX(AO37,($E37*IF(CE$2&gt;Inputs!$D$5,0,IF(CE$2&gt;VLOOKUP($H37,Lists!$P$3:$Q$7,2),IF($N37=Lists!$K$3,IF($L37&lt;1,(($U37/$L37)*((1+Inputs!$D$7)^CE$2)),((INT(CE$2/$L37)-INT((CE$2-1)/$L37))*$U37*((1+Inputs!$D$7)^CE$2))),(Inputs!$D$8^((1-_xlfn.WEIBULL.DIST(CE$2,$M37,$L37,FALSE))/_xlfn.WEIBULL.DIST(CE$2,$M37,$L37,FALSE))*$U37*((1+Inputs!$D$7)^CE$2))),IF($N37=Lists!$K$3,IF($L37&lt;1,((($T37*(1-$F37)+$S37*(1-$G37))/$L37)*((1+Inputs!$D$7)^CE$2)),((INT(CE$2/$L37)-INT((CE$2-1)/$L37))*($T37*(1-$F37)+$S37*(1-$G37))*((1+Inputs!$D$7)^CE$2))),((Inputs!$D$8^((1-_xlfn.WEIBULL.DIST(CE$2,$M37,$L37,FALSE))/_xlfn.WEIBULL.DIST(CE$2,$M37,$L37,FALSE))*($T37*(1-$F37)+$S37*(1-$G37))*((1+Inputs!$D$7)^CE$2))))))))</f>
        <v>65.64078760158371</v>
      </c>
      <c r="CF37" s="88">
        <f>MAX(AP37,($E37*IF(CF$2&gt;Inputs!$D$5,0,IF(CF$2&gt;VLOOKUP($H37,Lists!$P$3:$Q$7,2),IF($N37=Lists!$K$3,IF($L37&lt;1,(($U37/$L37)*((1+Inputs!$D$7)^CF$2)),((INT(CF$2/$L37)-INT((CF$2-1)/$L37))*$U37*((1+Inputs!$D$7)^CF$2))),(Inputs!$D$8^((1-_xlfn.WEIBULL.DIST(CF$2,$M37,$L37,FALSE))/_xlfn.WEIBULL.DIST(CF$2,$M37,$L37,FALSE))*$U37*((1+Inputs!$D$7)^CF$2))),IF($N37=Lists!$K$3,IF($L37&lt;1,((($T37*(1-$F37)+$S37*(1-$G37))/$L37)*((1+Inputs!$D$7)^CF$2)),((INT(CF$2/$L37)-INT((CF$2-1)/$L37))*($T37*(1-$F37)+$S37*(1-$G37))*((1+Inputs!$D$7)^CF$2))),((Inputs!$D$8^((1-_xlfn.WEIBULL.DIST(CF$2,$M37,$L37,FALSE))/_xlfn.WEIBULL.DIST(CF$2,$M37,$L37,FALSE))*($T37*(1-$F37)+$S37*(1-$G37))*((1+Inputs!$D$7)^CF$2))))))))</f>
        <v>55.868101090049635</v>
      </c>
      <c r="CG37" s="88">
        <f>MAX(AQ37,($E37*IF(CG$2&gt;Inputs!$D$5,0,IF(CG$2&gt;VLOOKUP($H37,Lists!$P$3:$Q$7,2),IF($N37=Lists!$K$3,IF($L37&lt;1,(($U37/$L37)*((1+Inputs!$D$7)^CG$2)),((INT(CG$2/$L37)-INT((CG$2-1)/$L37))*$U37*((1+Inputs!$D$7)^CG$2))),(Inputs!$D$8^((1-_xlfn.WEIBULL.DIST(CG$2,$M37,$L37,FALSE))/_xlfn.WEIBULL.DIST(CG$2,$M37,$L37,FALSE))*$U37*((1+Inputs!$D$7)^CG$2))),IF($N37=Lists!$K$3,IF($L37&lt;1,((($T37*(1-$F37)+$S37*(1-$G37))/$L37)*((1+Inputs!$D$7)^CG$2)),((INT(CG$2/$L37)-INT((CG$2-1)/$L37))*($T37*(1-$F37)+$S37*(1-$G37))*((1+Inputs!$D$7)^CG$2))),((Inputs!$D$8^((1-_xlfn.WEIBULL.DIST(CG$2,$M37,$L37,FALSE))/_xlfn.WEIBULL.DIST(CG$2,$M37,$L37,FALSE))*($T37*(1-$F37)+$S37*(1-$G37))*((1+Inputs!$D$7)^CG$2))))))))</f>
        <v>47.111140064649717</v>
      </c>
      <c r="CH37" s="88">
        <f>MAX(AR37,($E37*IF(CH$2&gt;Inputs!$D$5,0,IF(CH$2&gt;VLOOKUP($H37,Lists!$P$3:$Q$7,2),IF($N37=Lists!$K$3,IF($L37&lt;1,(($U37/$L37)*((1+Inputs!$D$7)^CH$2)),((INT(CH$2/$L37)-INT((CH$2-1)/$L37))*$U37*((1+Inputs!$D$7)^CH$2))),(Inputs!$D$8^((1-_xlfn.WEIBULL.DIST(CH$2,$M37,$L37,FALSE))/_xlfn.WEIBULL.DIST(CH$2,$M37,$L37,FALSE))*$U37*((1+Inputs!$D$7)^CH$2))),IF($N37=Lists!$K$3,IF($L37&lt;1,((($T37*(1-$F37)+$S37*(1-$G37))/$L37)*((1+Inputs!$D$7)^CH$2)),((INT(CH$2/$L37)-INT((CH$2-1)/$L37))*($T37*(1-$F37)+$S37*(1-$G37))*((1+Inputs!$D$7)^CH$2))),((Inputs!$D$8^((1-_xlfn.WEIBULL.DIST(CH$2,$M37,$L37,FALSE))/_xlfn.WEIBULL.DIST(CH$2,$M37,$L37,FALSE))*($T37*(1-$F37)+$S37*(1-$G37))*((1+Inputs!$D$7)^CH$2))))))))</f>
        <v>44.472392995590205</v>
      </c>
      <c r="CI37" s="88">
        <f>MAX(AS37,($E37*IF(CI$2&gt;Inputs!$D$5,0,IF(CI$2&gt;VLOOKUP($H37,Lists!$P$3:$Q$7,2),IF($N37=Lists!$K$3,IF($L37&lt;1,(($U37/$L37)*((1+Inputs!$D$7)^CI$2)),((INT(CI$2/$L37)-INT((CI$2-1)/$L37))*$U37*((1+Inputs!$D$7)^CI$2))),(Inputs!$D$8^((1-_xlfn.WEIBULL.DIST(CI$2,$M37,$L37,FALSE))/_xlfn.WEIBULL.DIST(CI$2,$M37,$L37,FALSE))*$U37*((1+Inputs!$D$7)^CI$2))),IF($N37=Lists!$K$3,IF($L37&lt;1,((($T37*(1-$F37)+$S37*(1-$G37))/$L37)*((1+Inputs!$D$7)^CI$2)),((INT(CI$2/$L37)-INT((CI$2-1)/$L37))*($T37*(1-$F37)+$S37*(1-$G37))*((1+Inputs!$D$7)^CI$2))),((Inputs!$D$8^((1-_xlfn.WEIBULL.DIST(CI$2,$M37,$L37,FALSE))/_xlfn.WEIBULL.DIST(CI$2,$M37,$L37,FALSE))*($T37*(1-$F37)+$S37*(1-$G37))*((1+Inputs!$D$7)^CI$2))))))))</f>
        <v>43.149517771272151</v>
      </c>
      <c r="CJ37" s="88">
        <f>MAX(AT37,($E37*IF(CJ$2&gt;Inputs!$D$5,0,IF(CJ$2&gt;VLOOKUP($H37,Lists!$P$3:$Q$7,2),IF($N37=Lists!$K$3,IF($L37&lt;1,(($U37/$L37)*((1+Inputs!$D$7)^CJ$2)),((INT(CJ$2/$L37)-INT((CJ$2-1)/$L37))*$U37*((1+Inputs!$D$7)^CJ$2))),(Inputs!$D$8^((1-_xlfn.WEIBULL.DIST(CJ$2,$M37,$L37,FALSE))/_xlfn.WEIBULL.DIST(CJ$2,$M37,$L37,FALSE))*$U37*((1+Inputs!$D$7)^CJ$2))),IF($N37=Lists!$K$3,IF($L37&lt;1,((($T37*(1-$F37)+$S37*(1-$G37))/$L37)*((1+Inputs!$D$7)^CJ$2)),((INT(CJ$2/$L37)-INT((CJ$2-1)/$L37))*($T37*(1-$F37)+$S37*(1-$G37))*((1+Inputs!$D$7)^CJ$2))),((Inputs!$D$8^((1-_xlfn.WEIBULL.DIST(CJ$2,$M37,$L37,FALSE))/_xlfn.WEIBULL.DIST(CJ$2,$M37,$L37,FALSE))*($T37*(1-$F37)+$S37*(1-$G37))*((1+Inputs!$D$7)^CJ$2))))))))</f>
        <v>41.865992776191554</v>
      </c>
      <c r="CK37" s="88">
        <f>MAX(AU37,($E37*IF(CK$2&gt;Inputs!$D$5,0,IF(CK$2&gt;VLOOKUP($H37,Lists!$P$3:$Q$7,2),IF($N37=Lists!$K$3,IF($L37&lt;1,(($U37/$L37)*((1+Inputs!$D$7)^CK$2)),((INT(CK$2/$L37)-INT((CK$2-1)/$L37))*$U37*((1+Inputs!$D$7)^CK$2))),(Inputs!$D$8^((1-_xlfn.WEIBULL.DIST(CK$2,$M37,$L37,FALSE))/_xlfn.WEIBULL.DIST(CK$2,$M37,$L37,FALSE))*$U37*((1+Inputs!$D$7)^CK$2))),IF($N37=Lists!$K$3,IF($L37&lt;1,((($T37*(1-$F37)+$S37*(1-$G37))/$L37)*((1+Inputs!$D$7)^CK$2)),((INT(CK$2/$L37)-INT((CK$2-1)/$L37))*($T37*(1-$F37)+$S37*(1-$G37))*((1+Inputs!$D$7)^CK$2))),((Inputs!$D$8^((1-_xlfn.WEIBULL.DIST(CK$2,$M37,$L37,FALSE))/_xlfn.WEIBULL.DIST(CK$2,$M37,$L37,FALSE))*($T37*(1-$F37)+$S37*(1-$G37))*((1+Inputs!$D$7)^CK$2))))))))</f>
        <v>40.620647498940698</v>
      </c>
      <c r="CL37" s="88">
        <f>MAX(AV37,($E37*IF(CL$2&gt;Inputs!$D$5,0,IF(CL$2&gt;VLOOKUP($H37,Lists!$P$3:$Q$7,2),IF($N37=Lists!$K$3,IF($L37&lt;1,(($U37/$L37)*((1+Inputs!$D$7)^CL$2)),((INT(CL$2/$L37)-INT((CL$2-1)/$L37))*$U37*((1+Inputs!$D$7)^CL$2))),(Inputs!$D$8^((1-_xlfn.WEIBULL.DIST(CL$2,$M37,$L37,FALSE))/_xlfn.WEIBULL.DIST(CL$2,$M37,$L37,FALSE))*$U37*((1+Inputs!$D$7)^CL$2))),IF($N37=Lists!$K$3,IF($L37&lt;1,((($T37*(1-$F37)+$S37*(1-$G37))/$L37)*((1+Inputs!$D$7)^CL$2)),((INT(CL$2/$L37)-INT((CL$2-1)/$L37))*($T37*(1-$F37)+$S37*(1-$G37))*((1+Inputs!$D$7)^CL$2))),((Inputs!$D$8^((1-_xlfn.WEIBULL.DIST(CL$2,$M37,$L37,FALSE))/_xlfn.WEIBULL.DIST(CL$2,$M37,$L37,FALSE))*($T37*(1-$F37)+$S37*(1-$G37))*((1+Inputs!$D$7)^CL$2))))))))</f>
        <v>39.412346246129005</v>
      </c>
      <c r="CM37" s="88">
        <f>MAX(AW37,($E37*IF(CM$2&gt;Inputs!$D$5,0,IF(CM$2&gt;VLOOKUP($H37,Lists!$P$3:$Q$7,2),IF($N37=Lists!$K$3,IF($L37&lt;1,(($U37/$L37)*((1+Inputs!$D$7)^CM$2)),((INT(CM$2/$L37)-INT((CM$2-1)/$L37))*$U37*((1+Inputs!$D$7)^CM$2))),(Inputs!$D$8^((1-_xlfn.WEIBULL.DIST(CM$2,$M37,$L37,FALSE))/_xlfn.WEIBULL.DIST(CM$2,$M37,$L37,FALSE))*$U37*((1+Inputs!$D$7)^CM$2))),IF($N37=Lists!$K$3,IF($L37&lt;1,((($T37*(1-$F37)+$S37*(1-$G37))/$L37)*((1+Inputs!$D$7)^CM$2)),((INT(CM$2/$L37)-INT((CM$2-1)/$L37))*($T37*(1-$F37)+$S37*(1-$G37))*((1+Inputs!$D$7)^CM$2))),((Inputs!$D$8^((1-_xlfn.WEIBULL.DIST(CM$2,$M37,$L37,FALSE))/_xlfn.WEIBULL.DIST(CM$2,$M37,$L37,FALSE))*($T37*(1-$F37)+$S37*(1-$G37))*((1+Inputs!$D$7)^CM$2))))))))</f>
        <v>38.239987106686726</v>
      </c>
      <c r="CN37" s="88">
        <f>MAX(AX37,($E37*IF(CN$2&gt;Inputs!$D$5,0,IF(CN$2&gt;VLOOKUP($H37,Lists!$P$3:$Q$7,2),IF($N37=Lists!$K$3,IF($L37&lt;1,(($U37/$L37)*((1+Inputs!$D$7)^CN$2)),((INT(CN$2/$L37)-INT((CN$2-1)/$L37))*$U37*((1+Inputs!$D$7)^CN$2))),(Inputs!$D$8^((1-_xlfn.WEIBULL.DIST(CN$2,$M37,$L37,FALSE))/_xlfn.WEIBULL.DIST(CN$2,$M37,$L37,FALSE))*$U37*((1+Inputs!$D$7)^CN$2))),IF($N37=Lists!$K$3,IF($L37&lt;1,((($T37*(1-$F37)+$S37*(1-$G37))/$L37)*((1+Inputs!$D$7)^CN$2)),((INT(CN$2/$L37)-INT((CN$2-1)/$L37))*($T37*(1-$F37)+$S37*(1-$G37))*((1+Inputs!$D$7)^CN$2))),((Inputs!$D$8^((1-_xlfn.WEIBULL.DIST(CN$2,$M37,$L37,FALSE))/_xlfn.WEIBULL.DIST(CN$2,$M37,$L37,FALSE))*($T37*(1-$F37)+$S37*(1-$G37))*((1+Inputs!$D$7)^CN$2))))))))</f>
        <v>37.102500946976512</v>
      </c>
      <c r="CO37" s="88">
        <f>MAX(AY37,($E37*IF(CO$2&gt;Inputs!$D$5,0,IF(CO$2&gt;VLOOKUP($H37,Lists!$P$3:$Q$7,2),IF($N37=Lists!$K$3,IF($L37&lt;1,(($U37/$L37)*((1+Inputs!$D$7)^CO$2)),((INT(CO$2/$L37)-INT((CO$2-1)/$L37))*$U37*((1+Inputs!$D$7)^CO$2))),(Inputs!$D$8^((1-_xlfn.WEIBULL.DIST(CO$2,$M37,$L37,FALSE))/_xlfn.WEIBULL.DIST(CO$2,$M37,$L37,FALSE))*$U37*((1+Inputs!$D$7)^CO$2))),IF($N37=Lists!$K$3,IF($L37&lt;1,((($T37*(1-$F37)+$S37*(1-$G37))/$L37)*((1+Inputs!$D$7)^CO$2)),((INT(CO$2/$L37)-INT((CO$2-1)/$L37))*($T37*(1-$F37)+$S37*(1-$G37))*((1+Inputs!$D$7)^CO$2))),((Inputs!$D$8^((1-_xlfn.WEIBULL.DIST(CO$2,$M37,$L37,FALSE))/_xlfn.WEIBULL.DIST(CO$2,$M37,$L37,FALSE))*($T37*(1-$F37)+$S37*(1-$G37))*((1+Inputs!$D$7)^CO$2))))))))</f>
        <v>35.99885043579625</v>
      </c>
      <c r="CP37" s="88">
        <f>MAX(AZ37,($E37*IF(CP$2&gt;Inputs!$D$5,0,IF(CP$2&gt;VLOOKUP($H37,Lists!$P$3:$Q$7,2),IF($N37=Lists!$K$3,IF($L37&lt;1,(($U37/$L37)*((1+Inputs!$D$7)^CP$2)),((INT(CP$2/$L37)-INT((CP$2-1)/$L37))*$U37*((1+Inputs!$D$7)^CP$2))),(Inputs!$D$8^((1-_xlfn.WEIBULL.DIST(CP$2,$M37,$L37,FALSE))/_xlfn.WEIBULL.DIST(CP$2,$M37,$L37,FALSE))*$U37*((1+Inputs!$D$7)^CP$2))),IF($N37=Lists!$K$3,IF($L37&lt;1,((($T37*(1-$F37)+$S37*(1-$G37))/$L37)*((1+Inputs!$D$7)^CP$2)),((INT(CP$2/$L37)-INT((CP$2-1)/$L37))*($T37*(1-$F37)+$S37*(1-$G37))*((1+Inputs!$D$7)^CP$2))),((Inputs!$D$8^((1-_xlfn.WEIBULL.DIST(CP$2,$M37,$L37,FALSE))/_xlfn.WEIBULL.DIST(CP$2,$M37,$L37,FALSE))*($T37*(1-$F37)+$S37*(1-$G37))*((1+Inputs!$D$7)^CP$2))))))))</f>
        <v>0</v>
      </c>
      <c r="CQ37" s="88">
        <f>MAX(BA37,($E37*IF(CQ$2&gt;Inputs!$D$5,0,IF(CQ$2&gt;VLOOKUP($H37,Lists!$P$3:$Q$7,2),IF($N37=Lists!$K$3,IF($L37&lt;1,(($U37/$L37)*((1+Inputs!$D$7)^CQ$2)),((INT(CQ$2/$L37)-INT((CQ$2-1)/$L37))*$U37*((1+Inputs!$D$7)^CQ$2))),(Inputs!$D$8^((1-_xlfn.WEIBULL.DIST(CQ$2,$M37,$L37,FALSE))/_xlfn.WEIBULL.DIST(CQ$2,$M37,$L37,FALSE))*$U37*((1+Inputs!$D$7)^CQ$2))),IF($N37=Lists!$K$3,IF($L37&lt;1,((($T37*(1-$F37)+$S37*(1-$G37))/$L37)*((1+Inputs!$D$7)^CQ$2)),((INT(CQ$2/$L37)-INT((CQ$2-1)/$L37))*($T37*(1-$F37)+$S37*(1-$G37))*((1+Inputs!$D$7)^CQ$2))),((Inputs!$D$8^((1-_xlfn.WEIBULL.DIST(CQ$2,$M37,$L37,FALSE))/_xlfn.WEIBULL.DIST(CQ$2,$M37,$L37,FALSE))*($T37*(1-$F37)+$S37*(1-$G37))*((1+Inputs!$D$7)^CQ$2))))))))</f>
        <v>0</v>
      </c>
      <c r="CR37" s="88">
        <f>MAX(BB37,($E37*IF(CR$2&gt;Inputs!$D$5,0,IF(CR$2&gt;VLOOKUP($H37,Lists!$P$3:$Q$7,2),IF($N37=Lists!$K$3,IF($L37&lt;1,(($U37/$L37)*((1+Inputs!$D$7)^CR$2)),((INT(CR$2/$L37)-INT((CR$2-1)/$L37))*$U37*((1+Inputs!$D$7)^CR$2))),(Inputs!$D$8^((1-_xlfn.WEIBULL.DIST(CR$2,$M37,$L37,FALSE))/_xlfn.WEIBULL.DIST(CR$2,$M37,$L37,FALSE))*$U37*((1+Inputs!$D$7)^CR$2))),IF($N37=Lists!$K$3,IF($L37&lt;1,((($T37*(1-$F37)+$S37*(1-$G37))/$L37)*((1+Inputs!$D$7)^CR$2)),((INT(CR$2/$L37)-INT((CR$2-1)/$L37))*($T37*(1-$F37)+$S37*(1-$G37))*((1+Inputs!$D$7)^CR$2))),((Inputs!$D$8^((1-_xlfn.WEIBULL.DIST(CR$2,$M37,$L37,FALSE))/_xlfn.WEIBULL.DIST(CR$2,$M37,$L37,FALSE))*($T37*(1-$F37)+$S37*(1-$G37))*((1+Inputs!$D$7)^CR$2))))))))</f>
        <v>0</v>
      </c>
      <c r="CS37" s="88">
        <f>MAX(BC37,($E37*IF(CS$2&gt;Inputs!$D$5,0,IF(CS$2&gt;VLOOKUP($H37,Lists!$P$3:$Q$7,2),IF($N37=Lists!$K$3,IF($L37&lt;1,(($U37/$L37)*((1+Inputs!$D$7)^CS$2)),((INT(CS$2/$L37)-INT((CS$2-1)/$L37))*$U37*((1+Inputs!$D$7)^CS$2))),(Inputs!$D$8^((1-_xlfn.WEIBULL.DIST(CS$2,$M37,$L37,FALSE))/_xlfn.WEIBULL.DIST(CS$2,$M37,$L37,FALSE))*$U37*((1+Inputs!$D$7)^CS$2))),IF($N37=Lists!$K$3,IF($L37&lt;1,((($T37*(1-$F37)+$S37*(1-$G37))/$L37)*((1+Inputs!$D$7)^CS$2)),((INT(CS$2/$L37)-INT((CS$2-1)/$L37))*($T37*(1-$F37)+$S37*(1-$G37))*((1+Inputs!$D$7)^CS$2))),((Inputs!$D$8^((1-_xlfn.WEIBULL.DIST(CS$2,$M37,$L37,FALSE))/_xlfn.WEIBULL.DIST(CS$2,$M37,$L37,FALSE))*($T37*(1-$F37)+$S37*(1-$G37))*((1+Inputs!$D$7)^CS$2))))))))</f>
        <v>0</v>
      </c>
      <c r="CT37" s="88">
        <f>MAX(BD37,($E37*IF(CT$2&gt;Inputs!$D$5,0,IF(CT$2&gt;VLOOKUP($H37,Lists!$P$3:$Q$7,2),IF($N37=Lists!$K$3,IF($L37&lt;1,(($U37/$L37)*((1+Inputs!$D$7)^CT$2)),((INT(CT$2/$L37)-INT((CT$2-1)/$L37))*$U37*((1+Inputs!$D$7)^CT$2))),(Inputs!$D$8^((1-_xlfn.WEIBULL.DIST(CT$2,$M37,$L37,FALSE))/_xlfn.WEIBULL.DIST(CT$2,$M37,$L37,FALSE))*$U37*((1+Inputs!$D$7)^CT$2))),IF($N37=Lists!$K$3,IF($L37&lt;1,((($T37*(1-$F37)+$S37*(1-$G37))/$L37)*((1+Inputs!$D$7)^CT$2)),((INT(CT$2/$L37)-INT((CT$2-1)/$L37))*($T37*(1-$F37)+$S37*(1-$G37))*((1+Inputs!$D$7)^CT$2))),((Inputs!$D$8^((1-_xlfn.WEIBULL.DIST(CT$2,$M37,$L37,FALSE))/_xlfn.WEIBULL.DIST(CT$2,$M37,$L37,FALSE))*($T37*(1-$F37)+$S37*(1-$G37))*((1+Inputs!$D$7)^CT$2))))))))</f>
        <v>0</v>
      </c>
      <c r="CU37" s="88">
        <f>MAX(BE37,($E37*IF(CU$2&gt;Inputs!$D$5,0,IF(CU$2&gt;VLOOKUP($H37,Lists!$P$3:$Q$7,2),IF($N37=Lists!$K$3,IF($L37&lt;1,(($U37/$L37)*((1+Inputs!$D$7)^CU$2)),((INT(CU$2/$L37)-INT((CU$2-1)/$L37))*$U37*((1+Inputs!$D$7)^CU$2))),(Inputs!$D$8^((1-_xlfn.WEIBULL.DIST(CU$2,$M37,$L37,FALSE))/_xlfn.WEIBULL.DIST(CU$2,$M37,$L37,FALSE))*$U37*((1+Inputs!$D$7)^CU$2))),IF($N37=Lists!$K$3,IF($L37&lt;1,((($T37*(1-$F37)+$S37*(1-$G37))/$L37)*((1+Inputs!$D$7)^CU$2)),((INT(CU$2/$L37)-INT((CU$2-1)/$L37))*($T37*(1-$F37)+$S37*(1-$G37))*((1+Inputs!$D$7)^CU$2))),((Inputs!$D$8^((1-_xlfn.WEIBULL.DIST(CU$2,$M37,$L37,FALSE))/_xlfn.WEIBULL.DIST(CU$2,$M37,$L37,FALSE))*($T37*(1-$F37)+$S37*(1-$G37))*((1+Inputs!$D$7)^CU$2))))))))</f>
        <v>0</v>
      </c>
      <c r="CV37" s="88">
        <f>MAX(BF37,($E37*IF(CV$2&gt;Inputs!$D$5,0,IF(CV$2&gt;VLOOKUP($H37,Lists!$P$3:$Q$7,2),IF($N37=Lists!$K$3,IF($L37&lt;1,(($U37/$L37)*((1+Inputs!$D$7)^CV$2)),((INT(CV$2/$L37)-INT((CV$2-1)/$L37))*$U37*((1+Inputs!$D$7)^CV$2))),(Inputs!$D$8^((1-_xlfn.WEIBULL.DIST(CV$2,$M37,$L37,FALSE))/_xlfn.WEIBULL.DIST(CV$2,$M37,$L37,FALSE))*$U37*((1+Inputs!$D$7)^CV$2))),IF($N37=Lists!$K$3,IF($L37&lt;1,((($T37*(1-$F37)+$S37*(1-$G37))/$L37)*((1+Inputs!$D$7)^CV$2)),((INT(CV$2/$L37)-INT((CV$2-1)/$L37))*($T37*(1-$F37)+$S37*(1-$G37))*((1+Inputs!$D$7)^CV$2))),((Inputs!$D$8^((1-_xlfn.WEIBULL.DIST(CV$2,$M37,$L37,FALSE))/_xlfn.WEIBULL.DIST(CV$2,$M37,$L37,FALSE))*($T37*(1-$F37)+$S37*(1-$G37))*((1+Inputs!$D$7)^CV$2))))))))</f>
        <v>0</v>
      </c>
      <c r="CW37" s="88">
        <f>MAX(BG37,($E37*IF(CW$2&gt;Inputs!$D$5,0,IF(CW$2&gt;VLOOKUP($H37,Lists!$P$3:$Q$7,2),IF($N37=Lists!$K$3,IF($L37&lt;1,(($U37/$L37)*((1+Inputs!$D$7)^CW$2)),((INT(CW$2/$L37)-INT((CW$2-1)/$L37))*$U37*((1+Inputs!$D$7)^CW$2))),(Inputs!$D$8^((1-_xlfn.WEIBULL.DIST(CW$2,$M37,$L37,FALSE))/_xlfn.WEIBULL.DIST(CW$2,$M37,$L37,FALSE))*$U37*((1+Inputs!$D$7)^CW$2))),IF($N37=Lists!$K$3,IF($L37&lt;1,((($T37*(1-$F37)+$S37*(1-$G37))/$L37)*((1+Inputs!$D$7)^CW$2)),((INT(CW$2/$L37)-INT((CW$2-1)/$L37))*($T37*(1-$F37)+$S37*(1-$G37))*((1+Inputs!$D$7)^CW$2))),((Inputs!$D$8^((1-_xlfn.WEIBULL.DIST(CW$2,$M37,$L37,FALSE))/_xlfn.WEIBULL.DIST(CW$2,$M37,$L37,FALSE))*($T37*(1-$F37)+$S37*(1-$G37))*((1+Inputs!$D$7)^CW$2))))))))</f>
        <v>0</v>
      </c>
      <c r="CX37" s="88">
        <f>MAX(BH37,($E37*IF(CX$2&gt;Inputs!$D$5,0,IF(CX$2&gt;VLOOKUP($H37,Lists!$P$3:$Q$7,2),IF($N37=Lists!$K$3,IF($L37&lt;1,(($U37/$L37)*((1+Inputs!$D$7)^CX$2)),((INT(CX$2/$L37)-INT((CX$2-1)/$L37))*$U37*((1+Inputs!$D$7)^CX$2))),(Inputs!$D$8^((1-_xlfn.WEIBULL.DIST(CX$2,$M37,$L37,FALSE))/_xlfn.WEIBULL.DIST(CX$2,$M37,$L37,FALSE))*$U37*((1+Inputs!$D$7)^CX$2))),IF($N37=Lists!$K$3,IF($L37&lt;1,((($T37*(1-$F37)+$S37*(1-$G37))/$L37)*((1+Inputs!$D$7)^CX$2)),((INT(CX$2/$L37)-INT((CX$2-1)/$L37))*($T37*(1-$F37)+$S37*(1-$G37))*((1+Inputs!$D$7)^CX$2))),((Inputs!$D$8^((1-_xlfn.WEIBULL.DIST(CX$2,$M37,$L37,FALSE))/_xlfn.WEIBULL.DIST(CX$2,$M37,$L37,FALSE))*($T37*(1-$F37)+$S37*(1-$G37))*((1+Inputs!$D$7)^CX$2))))))))</f>
        <v>0</v>
      </c>
      <c r="CY37" s="88">
        <f>MAX(BI37,($E37*IF(CY$2&gt;Inputs!$D$5,0,IF(CY$2&gt;VLOOKUP($H37,Lists!$P$3:$Q$7,2),IF($N37=Lists!$K$3,IF($L37&lt;1,(($U37/$L37)*((1+Inputs!$D$7)^CY$2)),((INT(CY$2/$L37)-INT((CY$2-1)/$L37))*$U37*((1+Inputs!$D$7)^CY$2))),(Inputs!$D$8^((1-_xlfn.WEIBULL.DIST(CY$2,$M37,$L37,FALSE))/_xlfn.WEIBULL.DIST(CY$2,$M37,$L37,FALSE))*$U37*((1+Inputs!$D$7)^CY$2))),IF($N37=Lists!$K$3,IF($L37&lt;1,((($T37*(1-$F37)+$S37*(1-$G37))/$L37)*((1+Inputs!$D$7)^CY$2)),((INT(CY$2/$L37)-INT((CY$2-1)/$L37))*($T37*(1-$F37)+$S37*(1-$G37))*((1+Inputs!$D$7)^CY$2))),((Inputs!$D$8^((1-_xlfn.WEIBULL.DIST(CY$2,$M37,$L37,FALSE))/_xlfn.WEIBULL.DIST(CY$2,$M37,$L37,FALSE))*($T37*(1-$F37)+$S37*(1-$G37))*((1+Inputs!$D$7)^CY$2))))))))</f>
        <v>0</v>
      </c>
      <c r="CZ37" s="88">
        <f>MAX(BJ37,($E37*IF(CZ$2&gt;Inputs!$D$5,0,IF(CZ$2&gt;VLOOKUP($H37,Lists!$P$3:$Q$7,2),IF($N37=Lists!$K$3,IF($L37&lt;1,(($U37/$L37)*((1+Inputs!$D$7)^CZ$2)),((INT(CZ$2/$L37)-INT((CZ$2-1)/$L37))*$U37*((1+Inputs!$D$7)^CZ$2))),(Inputs!$D$8^((1-_xlfn.WEIBULL.DIST(CZ$2,$M37,$L37,FALSE))/_xlfn.WEIBULL.DIST(CZ$2,$M37,$L37,FALSE))*$U37*((1+Inputs!$D$7)^CZ$2))),IF($N37=Lists!$K$3,IF($L37&lt;1,((($T37*(1-$F37)+$S37*(1-$G37))/$L37)*((1+Inputs!$D$7)^CZ$2)),((INT(CZ$2/$L37)-INT((CZ$2-1)/$L37))*($T37*(1-$F37)+$S37*(1-$G37))*((1+Inputs!$D$7)^CZ$2))),((Inputs!$D$8^((1-_xlfn.WEIBULL.DIST(CZ$2,$M37,$L37,FALSE))/_xlfn.WEIBULL.DIST(CZ$2,$M37,$L37,FALSE))*($T37*(1-$F37)+$S37*(1-$G37))*((1+Inputs!$D$7)^CZ$2))))))))</f>
        <v>0</v>
      </c>
      <c r="DA37" s="88">
        <f>MAX(BK37,($E37*IF(DA$2&gt;Inputs!$D$5,0,IF(DA$2&gt;VLOOKUP($H37,Lists!$P$3:$Q$7,2),IF($N37=Lists!$K$3,IF($L37&lt;1,(($U37/$L37)*((1+Inputs!$D$7)^DA$2)),((INT(DA$2/$L37)-INT((DA$2-1)/$L37))*$U37*((1+Inputs!$D$7)^DA$2))),(Inputs!$D$8^((1-_xlfn.WEIBULL.DIST(DA$2,$M37,$L37,FALSE))/_xlfn.WEIBULL.DIST(DA$2,$M37,$L37,FALSE))*$U37*((1+Inputs!$D$7)^DA$2))),IF($N37=Lists!$K$3,IF($L37&lt;1,((($T37*(1-$F37)+$S37*(1-$G37))/$L37)*((1+Inputs!$D$7)^DA$2)),((INT(DA$2/$L37)-INT((DA$2-1)/$L37))*($T37*(1-$F37)+$S37*(1-$G37))*((1+Inputs!$D$7)^DA$2))),((Inputs!$D$8^((1-_xlfn.WEIBULL.DIST(DA$2,$M37,$L37,FALSE))/_xlfn.WEIBULL.DIST(DA$2,$M37,$L37,FALSE))*($T37*(1-$F37)+$S37*(1-$G37))*((1+Inputs!$D$7)^DA$2))))))))</f>
        <v>0</v>
      </c>
      <c r="DB37" s="88">
        <f>MAX(BL37,($E37*IF(DB$2&gt;Inputs!$D$5,0,IF(DB$2&gt;VLOOKUP($H37,Lists!$P$3:$Q$7,2),IF($N37=Lists!$K$3,IF($L37&lt;1,(($U37/$L37)*((1+Inputs!$D$7)^DB$2)),((INT(DB$2/$L37)-INT((DB$2-1)/$L37))*$U37*((1+Inputs!$D$7)^DB$2))),(Inputs!$D$8^((1-_xlfn.WEIBULL.DIST(DB$2,$M37,$L37,FALSE))/_xlfn.WEIBULL.DIST(DB$2,$M37,$L37,FALSE))*$U37*((1+Inputs!$D$7)^DB$2))),IF($N37=Lists!$K$3,IF($L37&lt;1,((($T37*(1-$F37)+$S37*(1-$G37))/$L37)*((1+Inputs!$D$7)^DB$2)),((INT(DB$2/$L37)-INT((DB$2-1)/$L37))*($T37*(1-$F37)+$S37*(1-$G37))*((1+Inputs!$D$7)^DB$2))),((Inputs!$D$8^((1-_xlfn.WEIBULL.DIST(DB$2,$M37,$L37,FALSE))/_xlfn.WEIBULL.DIST(DB$2,$M37,$L37,FALSE))*($T37*(1-$F37)+$S37*(1-$G37))*((1+Inputs!$D$7)^DB$2))))))))</f>
        <v>0</v>
      </c>
      <c r="DC37" s="88">
        <f>MAX(BM37,($E37*IF(DC$2&gt;Inputs!$D$5,0,IF(DC$2&gt;VLOOKUP($H37,Lists!$P$3:$Q$7,2),IF($N37=Lists!$K$3,IF($L37&lt;1,(($U37/$L37)*((1+Inputs!$D$7)^DC$2)),((INT(DC$2/$L37)-INT((DC$2-1)/$L37))*$U37*((1+Inputs!$D$7)^DC$2))),(Inputs!$D$8^((1-_xlfn.WEIBULL.DIST(DC$2,$M37,$L37,FALSE))/_xlfn.WEIBULL.DIST(DC$2,$M37,$L37,FALSE))*$U37*((1+Inputs!$D$7)^DC$2))),IF($N37=Lists!$K$3,IF($L37&lt;1,((($T37*(1-$F37)+$S37*(1-$G37))/$L37)*((1+Inputs!$D$7)^DC$2)),((INT(DC$2/$L37)-INT((DC$2-1)/$L37))*($T37*(1-$F37)+$S37*(1-$G37))*((1+Inputs!$D$7)^DC$2))),((Inputs!$D$8^((1-_xlfn.WEIBULL.DIST(DC$2,$M37,$L37,FALSE))/_xlfn.WEIBULL.DIST(DC$2,$M37,$L37,FALSE))*($T37*(1-$F37)+$S37*(1-$G37))*((1+Inputs!$D$7)^DC$2))))))))</f>
        <v>0</v>
      </c>
      <c r="DD37" s="88">
        <f>MAX(BN37,($E37*IF(DD$2&gt;Inputs!$D$5,0,IF(DD$2&gt;VLOOKUP($H37,Lists!$P$3:$Q$7,2),IF($N37=Lists!$K$3,IF($L37&lt;1,(($U37/$L37)*((1+Inputs!$D$7)^DD$2)),((INT(DD$2/$L37)-INT((DD$2-1)/$L37))*$U37*((1+Inputs!$D$7)^DD$2))),(Inputs!$D$8^((1-_xlfn.WEIBULL.DIST(DD$2,$M37,$L37,FALSE))/_xlfn.WEIBULL.DIST(DD$2,$M37,$L37,FALSE))*$U37*((1+Inputs!$D$7)^DD$2))),IF($N37=Lists!$K$3,IF($L37&lt;1,((($T37*(1-$F37)+$S37*(1-$G37))/$L37)*((1+Inputs!$D$7)^DD$2)),((INT(DD$2/$L37)-INT((DD$2-1)/$L37))*($T37*(1-$F37)+$S37*(1-$G37))*((1+Inputs!$D$7)^DD$2))),((Inputs!$D$8^((1-_xlfn.WEIBULL.DIST(DD$2,$M37,$L37,FALSE))/_xlfn.WEIBULL.DIST(DD$2,$M37,$L37,FALSE))*($T37*(1-$F37)+$S37*(1-$G37))*((1+Inputs!$D$7)^DD$2))))))))</f>
        <v>0</v>
      </c>
    </row>
    <row r="38" spans="1:108" s="1" customFormat="1" ht="32">
      <c r="A38" s="57" t="s">
        <v>195</v>
      </c>
      <c r="B38" s="13" t="s">
        <v>130</v>
      </c>
      <c r="C38" s="13" t="s">
        <v>474</v>
      </c>
      <c r="D38" s="13" t="s">
        <v>16</v>
      </c>
      <c r="E38" s="48">
        <f>IF(Inputs!$D$30=Lists!$M$4,1,0)</f>
        <v>1</v>
      </c>
      <c r="F38" s="48">
        <v>1</v>
      </c>
      <c r="G38" s="48">
        <v>0</v>
      </c>
      <c r="H38" s="105" t="s">
        <v>16</v>
      </c>
      <c r="I38" s="14" t="s">
        <v>264</v>
      </c>
      <c r="J38" s="14" t="s">
        <v>91</v>
      </c>
      <c r="K38" s="13">
        <f>VLOOKUP(J38,'Labor Rates'!$A$1:$F$16,2)</f>
        <v>33.17307692307692</v>
      </c>
      <c r="L38" s="15">
        <v>20</v>
      </c>
      <c r="M38" s="15">
        <v>1</v>
      </c>
      <c r="N38" s="16" t="s">
        <v>226</v>
      </c>
      <c r="O38" s="61">
        <f>Inputs!$D$32</f>
        <v>10</v>
      </c>
      <c r="P38" s="15">
        <v>1</v>
      </c>
      <c r="Q38" s="15">
        <f t="shared" si="7"/>
        <v>0.5</v>
      </c>
      <c r="R38" s="4">
        <v>1000</v>
      </c>
      <c r="S38" s="53">
        <f t="shared" si="8"/>
        <v>331.73076923076917</v>
      </c>
      <c r="T38" s="53">
        <f t="shared" si="9"/>
        <v>10000</v>
      </c>
      <c r="U38" s="54">
        <f t="shared" si="10"/>
        <v>10331.73076923077</v>
      </c>
      <c r="V38" s="65"/>
      <c r="W38" s="58"/>
      <c r="X38" s="64">
        <f t="shared" si="11"/>
        <v>169.40720682314858</v>
      </c>
      <c r="Y38" s="64">
        <f>NPV(Inputs!$D$6,AA38:BN38)</f>
        <v>1554.1576725425964</v>
      </c>
      <c r="Z38" s="67">
        <f t="shared" si="12"/>
        <v>7.3301663344888662E-4</v>
      </c>
      <c r="AA38" s="88">
        <f>$E38*IF(AA$2&gt;Inputs!$D$5,0,IF(AA$2&gt;VLOOKUP($H38,Lists!$P$3:$Q$7,2),IF($N38=Lists!$K$3,IF($L38&lt;1,(($U38/$L38)*((1+Inputs!$D$7)^AA$2)),((INT(AA$2/$L38)-INT((AA$2-1)/$L38))*$U38*((1+Inputs!$D$7)^AA$2))),(_xlfn.WEIBULL.DIST(AA$2,$M38,$L38,FALSE)*$U38*((1+Inputs!$D$7)^AA$2))),IF($N38=Lists!$K$3,IF($L38&lt;1,((($T38*(1-$F38)+$S38*(1-$G38))/$L38)*((1+Inputs!$D$7)^AA$2)),((INT(AA$2/$L38)-INT((AA$2-1)/$L38))*($T38*(1-$F38)+$S38*(1-$G38))*((1+Inputs!$D$7)^AA$2))),((_xlfn.WEIBULL.DIST(AA$2,$M38,$L38,FALSE)*($T38*(1-$F38)+$S38*(1-$G38))*((1+Inputs!$D$7)^AA$2))))))</f>
        <v>16.093155503932753</v>
      </c>
      <c r="AB38" s="88">
        <f>$E38*IF(AB$2&gt;Inputs!$D$5,0,IF(AB$2&gt;VLOOKUP($H38,Lists!$P$3:$Q$7,2),IF($N38=Lists!$K$3,IF($L38&lt;1,(($U38/$L38)*((1+Inputs!$D$7)^AB$2)),((INT(AB$2/$L38)-INT((AB$2-1)/$L38))*$U38*((1+Inputs!$D$7)^AB$2))),(_xlfn.WEIBULL.DIST(AB$2,$M38,$L38,FALSE)*$U38*((1+Inputs!$D$7)^AB$2))),IF($N38=Lists!$K$3,IF($L38&lt;1,((($T38*(1-$F38)+$S38*(1-$G38))/$L38)*((1+Inputs!$D$7)^AB$2)),((INT(AB$2/$L38)-INT((AB$2-1)/$L38))*($T38*(1-$F38)+$S38*(1-$G38))*((1+Inputs!$D$7)^AB$2))),((_xlfn.WEIBULL.DIST(AB$2,$M38,$L38,FALSE)*($T38*(1-$F38)+$S38*(1-$G38))*((1+Inputs!$D$7)^AB$2))))))</f>
        <v>15.61444870937458</v>
      </c>
      <c r="AC38" s="88">
        <f>$E38*IF(AC$2&gt;Inputs!$D$5,0,IF(AC$2&gt;VLOOKUP($H38,Lists!$P$3:$Q$7,2),IF($N38=Lists!$K$3,IF($L38&lt;1,(($U38/$L38)*((1+Inputs!$D$7)^AC$2)),((INT(AC$2/$L38)-INT((AC$2-1)/$L38))*$U38*((1+Inputs!$D$7)^AC$2))),(_xlfn.WEIBULL.DIST(AC$2,$M38,$L38,FALSE)*$U38*((1+Inputs!$D$7)^AC$2))),IF($N38=Lists!$K$3,IF($L38&lt;1,((($T38*(1-$F38)+$S38*(1-$G38))/$L38)*((1+Inputs!$D$7)^AC$2)),((INT(AC$2/$L38)-INT((AC$2-1)/$L38))*($T38*(1-$F38)+$S38*(1-$G38))*((1+Inputs!$D$7)^AC$2))),((_xlfn.WEIBULL.DIST(AC$2,$M38,$L38,FALSE)*($T38*(1-$F38)+$S38*(1-$G38))*((1+Inputs!$D$7)^AC$2))))))</f>
        <v>15.149981520908584</v>
      </c>
      <c r="AD38" s="88">
        <f>$E38*IF(AD$2&gt;Inputs!$D$5,0,IF(AD$2&gt;VLOOKUP($H38,Lists!$P$3:$Q$7,2),IF($N38=Lists!$K$3,IF($L38&lt;1,(($U38/$L38)*((1+Inputs!$D$7)^AD$2)),((INT(AD$2/$L38)-INT((AD$2-1)/$L38))*$U38*((1+Inputs!$D$7)^AD$2))),(_xlfn.WEIBULL.DIST(AD$2,$M38,$L38,FALSE)*$U38*((1+Inputs!$D$7)^AD$2))),IF($N38=Lists!$K$3,IF($L38&lt;1,((($T38*(1-$F38)+$S38*(1-$G38))/$L38)*((1+Inputs!$D$7)^AD$2)),((INT(AD$2/$L38)-INT((AD$2-1)/$L38))*($T38*(1-$F38)+$S38*(1-$G38))*((1+Inputs!$D$7)^AD$2))),((_xlfn.WEIBULL.DIST(AD$2,$M38,$L38,FALSE)*($T38*(1-$F38)+$S38*(1-$G38))*((1+Inputs!$D$7)^AD$2))))))</f>
        <v>14.69933036739693</v>
      </c>
      <c r="AE38" s="88">
        <f>$E38*IF(AE$2&gt;Inputs!$D$5,0,IF(AE$2&gt;VLOOKUP($H38,Lists!$P$3:$Q$7,2),IF($N38=Lists!$K$3,IF($L38&lt;1,(($U38/$L38)*((1+Inputs!$D$7)^AE$2)),((INT(AE$2/$L38)-INT((AE$2-1)/$L38))*$U38*((1+Inputs!$D$7)^AE$2))),(_xlfn.WEIBULL.DIST(AE$2,$M38,$L38,FALSE)*$U38*((1+Inputs!$D$7)^AE$2))),IF($N38=Lists!$K$3,IF($L38&lt;1,((($T38*(1-$F38)+$S38*(1-$G38))/$L38)*((1+Inputs!$D$7)^AE$2)),((INT(AE$2/$L38)-INT((AE$2-1)/$L38))*($T38*(1-$F38)+$S38*(1-$G38))*((1+Inputs!$D$7)^AE$2))),((_xlfn.WEIBULL.DIST(AE$2,$M38,$L38,FALSE)*($T38*(1-$F38)+$S38*(1-$G38))*((1+Inputs!$D$7)^AE$2))))))</f>
        <v>14.262084277243348</v>
      </c>
      <c r="AF38" s="88">
        <f>$E38*IF(AF$2&gt;Inputs!$D$5,0,IF(AF$2&gt;VLOOKUP($H38,Lists!$P$3:$Q$7,2),IF($N38=Lists!$K$3,IF($L38&lt;1,(($U38/$L38)*((1+Inputs!$D$7)^AF$2)),((INT(AF$2/$L38)-INT((AF$2-1)/$L38))*$U38*((1+Inputs!$D$7)^AF$2))),(_xlfn.WEIBULL.DIST(AF$2,$M38,$L38,FALSE)*$U38*((1+Inputs!$D$7)^AF$2))),IF($N38=Lists!$K$3,IF($L38&lt;1,((($T38*(1-$F38)+$S38*(1-$G38))/$L38)*((1+Inputs!$D$7)^AF$2)),((INT(AF$2/$L38)-INT((AF$2-1)/$L38))*($T38*(1-$F38)+$S38*(1-$G38))*((1+Inputs!$D$7)^AF$2))),((_xlfn.WEIBULL.DIST(AF$2,$M38,$L38,FALSE)*($T38*(1-$F38)+$S38*(1-$G38))*((1+Inputs!$D$7)^AF$2))))))</f>
        <v>13.837844503607332</v>
      </c>
      <c r="AG38" s="88">
        <f>$E38*IF(AG$2&gt;Inputs!$D$5,0,IF(AG$2&gt;VLOOKUP($H38,Lists!$P$3:$Q$7,2),IF($N38=Lists!$K$3,IF($L38&lt;1,(($U38/$L38)*((1+Inputs!$D$7)^AG$2)),((INT(AG$2/$L38)-INT((AG$2-1)/$L38))*$U38*((1+Inputs!$D$7)^AG$2))),(_xlfn.WEIBULL.DIST(AG$2,$M38,$L38,FALSE)*$U38*((1+Inputs!$D$7)^AG$2))),IF($N38=Lists!$K$3,IF($L38&lt;1,((($T38*(1-$F38)+$S38*(1-$G38))/$L38)*((1+Inputs!$D$7)^AG$2)),((INT(AG$2/$L38)-INT((AG$2-1)/$L38))*($T38*(1-$F38)+$S38*(1-$G38))*((1+Inputs!$D$7)^AG$2))),((_xlfn.WEIBULL.DIST(AG$2,$M38,$L38,FALSE)*($T38*(1-$F38)+$S38*(1-$G38))*((1+Inputs!$D$7)^AG$2))))))</f>
        <v>13.426224160766701</v>
      </c>
      <c r="AH38" s="88">
        <f>$E38*IF(AH$2&gt;Inputs!$D$5,0,IF(AH$2&gt;VLOOKUP($H38,Lists!$P$3:$Q$7,2),IF($N38=Lists!$K$3,IF($L38&lt;1,(($U38/$L38)*((1+Inputs!$D$7)^AH$2)),((INT(AH$2/$L38)-INT((AH$2-1)/$L38))*$U38*((1+Inputs!$D$7)^AH$2))),(_xlfn.WEIBULL.DIST(AH$2,$M38,$L38,FALSE)*$U38*((1+Inputs!$D$7)^AH$2))),IF($N38=Lists!$K$3,IF($L38&lt;1,((($T38*(1-$F38)+$S38*(1-$G38))/$L38)*((1+Inputs!$D$7)^AH$2)),((INT(AH$2/$L38)-INT((AH$2-1)/$L38))*($T38*(1-$F38)+$S38*(1-$G38))*((1+Inputs!$D$7)^AH$2))),((_xlfn.WEIBULL.DIST(AH$2,$M38,$L38,FALSE)*($T38*(1-$F38)+$S38*(1-$G38))*((1+Inputs!$D$7)^AH$2))))))</f>
        <v>13.026847871296967</v>
      </c>
      <c r="AI38" s="88">
        <f>$E38*IF(AI$2&gt;Inputs!$D$5,0,IF(AI$2&gt;VLOOKUP($H38,Lists!$P$3:$Q$7,2),IF($N38=Lists!$K$3,IF($L38&lt;1,(($U38/$L38)*((1+Inputs!$D$7)^AI$2)),((INT(AI$2/$L38)-INT((AI$2-1)/$L38))*$U38*((1+Inputs!$D$7)^AI$2))),(_xlfn.WEIBULL.DIST(AI$2,$M38,$L38,FALSE)*$U38*((1+Inputs!$D$7)^AI$2))),IF($N38=Lists!$K$3,IF($L38&lt;1,((($T38*(1-$F38)+$S38*(1-$G38))/$L38)*((1+Inputs!$D$7)^AI$2)),((INT(AI$2/$L38)-INT((AI$2-1)/$L38))*($T38*(1-$F38)+$S38*(1-$G38))*((1+Inputs!$D$7)^AI$2))),((_xlfn.WEIBULL.DIST(AI$2,$M38,$L38,FALSE)*($T38*(1-$F38)+$S38*(1-$G38))*((1+Inputs!$D$7)^AI$2))))))</f>
        <v>12.639351423745609</v>
      </c>
      <c r="AJ38" s="88">
        <f>$E38*IF(AJ$2&gt;Inputs!$D$5,0,IF(AJ$2&gt;VLOOKUP($H38,Lists!$P$3:$Q$7,2),IF($N38=Lists!$K$3,IF($L38&lt;1,(($U38/$L38)*((1+Inputs!$D$7)^AJ$2)),((INT(AJ$2/$L38)-INT((AJ$2-1)/$L38))*$U38*((1+Inputs!$D$7)^AJ$2))),(_xlfn.WEIBULL.DIST(AJ$2,$M38,$L38,FALSE)*$U38*((1+Inputs!$D$7)^AJ$2))),IF($N38=Lists!$K$3,IF($L38&lt;1,((($T38*(1-$F38)+$S38*(1-$G38))/$L38)*((1+Inputs!$D$7)^AJ$2)),((INT(AJ$2/$L38)-INT((AJ$2-1)/$L38))*($T38*(1-$F38)+$S38*(1-$G38))*((1+Inputs!$D$7)^AJ$2))),((_xlfn.WEIBULL.DIST(AJ$2,$M38,$L38,FALSE)*($T38*(1-$F38)+$S38*(1-$G38))*((1+Inputs!$D$7)^AJ$2))))))</f>
        <v>12.263381440489251</v>
      </c>
      <c r="AK38" s="88">
        <f>$E38*IF(AK$2&gt;Inputs!$D$5,0,IF(AK$2&gt;VLOOKUP($H38,Lists!$P$3:$Q$7,2),IF($N38=Lists!$K$3,IF($L38&lt;1,(($U38/$L38)*((1+Inputs!$D$7)^AK$2)),((INT(AK$2/$L38)-INT((AK$2-1)/$L38))*$U38*((1+Inputs!$D$7)^AK$2))),(_xlfn.WEIBULL.DIST(AK$2,$M38,$L38,FALSE)*$U38*((1+Inputs!$D$7)^AK$2))),IF($N38=Lists!$K$3,IF($L38&lt;1,((($T38*(1-$F38)+$S38*(1-$G38))/$L38)*((1+Inputs!$D$7)^AK$2)),((INT(AK$2/$L38)-INT((AK$2-1)/$L38))*($T38*(1-$F38)+$S38*(1-$G38))*((1+Inputs!$D$7)^AK$2))),((_xlfn.WEIBULL.DIST(AK$2,$M38,$L38,FALSE)*($T38*(1-$F38)+$S38*(1-$G38))*((1+Inputs!$D$7)^AK$2))))))</f>
        <v>370.5808807856024</v>
      </c>
      <c r="AL38" s="88">
        <f>$E38*IF(AL$2&gt;Inputs!$D$5,0,IF(AL$2&gt;VLOOKUP($H38,Lists!$P$3:$Q$7,2),IF($N38=Lists!$K$3,IF($L38&lt;1,(($U38/$L38)*((1+Inputs!$D$7)^AL$2)),((INT(AL$2/$L38)-INT((AL$2-1)/$L38))*$U38*((1+Inputs!$D$7)^AL$2))),(_xlfn.WEIBULL.DIST(AL$2,$M38,$L38,FALSE)*$U38*((1+Inputs!$D$7)^AL$2))),IF($N38=Lists!$K$3,IF($L38&lt;1,((($T38*(1-$F38)+$S38*(1-$G38))/$L38)*((1+Inputs!$D$7)^AL$2)),((INT(AL$2/$L38)-INT((AL$2-1)/$L38))*($T38*(1-$F38)+$S38*(1-$G38))*((1+Inputs!$D$7)^AL$2))),((_xlfn.WEIBULL.DIST(AL$2,$M38,$L38,FALSE)*($T38*(1-$F38)+$S38*(1-$G38))*((1+Inputs!$D$7)^AL$2))))))</f>
        <v>359.55758671986951</v>
      </c>
      <c r="AM38" s="88">
        <f>$E38*IF(AM$2&gt;Inputs!$D$5,0,IF(AM$2&gt;VLOOKUP($H38,Lists!$P$3:$Q$7,2),IF($N38=Lists!$K$3,IF($L38&lt;1,(($U38/$L38)*((1+Inputs!$D$7)^AM$2)),((INT(AM$2/$L38)-INT((AM$2-1)/$L38))*$U38*((1+Inputs!$D$7)^AM$2))),(_xlfn.WEIBULL.DIST(AM$2,$M38,$L38,FALSE)*$U38*((1+Inputs!$D$7)^AM$2))),IF($N38=Lists!$K$3,IF($L38&lt;1,((($T38*(1-$F38)+$S38*(1-$G38))/$L38)*((1+Inputs!$D$7)^AM$2)),((INT(AM$2/$L38)-INT((AM$2-1)/$L38))*($T38*(1-$F38)+$S38*(1-$G38))*((1+Inputs!$D$7)^AM$2))),((_xlfn.WEIBULL.DIST(AM$2,$M38,$L38,FALSE)*($T38*(1-$F38)+$S38*(1-$G38))*((1+Inputs!$D$7)^AM$2))))))</f>
        <v>348.86219141621518</v>
      </c>
      <c r="AN38" s="88">
        <f>$E38*IF(AN$2&gt;Inputs!$D$5,0,IF(AN$2&gt;VLOOKUP($H38,Lists!$P$3:$Q$7,2),IF($N38=Lists!$K$3,IF($L38&lt;1,(($U38/$L38)*((1+Inputs!$D$7)^AN$2)),((INT(AN$2/$L38)-INT((AN$2-1)/$L38))*$U38*((1+Inputs!$D$7)^AN$2))),(_xlfn.WEIBULL.DIST(AN$2,$M38,$L38,FALSE)*$U38*((1+Inputs!$D$7)^AN$2))),IF($N38=Lists!$K$3,IF($L38&lt;1,((($T38*(1-$F38)+$S38*(1-$G38))/$L38)*((1+Inputs!$D$7)^AN$2)),((INT(AN$2/$L38)-INT((AN$2-1)/$L38))*($T38*(1-$F38)+$S38*(1-$G38))*((1+Inputs!$D$7)^AN$2))),((_xlfn.WEIBULL.DIST(AN$2,$M38,$L38,FALSE)*($T38*(1-$F38)+$S38*(1-$G38))*((1+Inputs!$D$7)^AN$2))))))</f>
        <v>338.48494120232237</v>
      </c>
      <c r="AO38" s="88">
        <f>$E38*IF(AO$2&gt;Inputs!$D$5,0,IF(AO$2&gt;VLOOKUP($H38,Lists!$P$3:$Q$7,2),IF($N38=Lists!$K$3,IF($L38&lt;1,(($U38/$L38)*((1+Inputs!$D$7)^AO$2)),((INT(AO$2/$L38)-INT((AO$2-1)/$L38))*$U38*((1+Inputs!$D$7)^AO$2))),(_xlfn.WEIBULL.DIST(AO$2,$M38,$L38,FALSE)*$U38*((1+Inputs!$D$7)^AO$2))),IF($N38=Lists!$K$3,IF($L38&lt;1,((($T38*(1-$F38)+$S38*(1-$G38))/$L38)*((1+Inputs!$D$7)^AO$2)),((INT(AO$2/$L38)-INT((AO$2-1)/$L38))*($T38*(1-$F38)+$S38*(1-$G38))*((1+Inputs!$D$7)^AO$2))),((_xlfn.WEIBULL.DIST(AO$2,$M38,$L38,FALSE)*($T38*(1-$F38)+$S38*(1-$G38))*((1+Inputs!$D$7)^AO$2))))))</f>
        <v>328.41637253848393</v>
      </c>
      <c r="AP38" s="88">
        <f>$E38*IF(AP$2&gt;Inputs!$D$5,0,IF(AP$2&gt;VLOOKUP($H38,Lists!$P$3:$Q$7,2),IF($N38=Lists!$K$3,IF($L38&lt;1,(($U38/$L38)*((1+Inputs!$D$7)^AP$2)),((INT(AP$2/$L38)-INT((AP$2-1)/$L38))*$U38*((1+Inputs!$D$7)^AP$2))),(_xlfn.WEIBULL.DIST(AP$2,$M38,$L38,FALSE)*$U38*((1+Inputs!$D$7)^AP$2))),IF($N38=Lists!$K$3,IF($L38&lt;1,((($T38*(1-$F38)+$S38*(1-$G38))/$L38)*((1+Inputs!$D$7)^AP$2)),((INT(AP$2/$L38)-INT((AP$2-1)/$L38))*($T38*(1-$F38)+$S38*(1-$G38))*((1+Inputs!$D$7)^AP$2))),((_xlfn.WEIBULL.DIST(AP$2,$M38,$L38,FALSE)*($T38*(1-$F38)+$S38*(1-$G38))*((1+Inputs!$D$7)^AP$2))))))</f>
        <v>318.64730338732204</v>
      </c>
      <c r="AQ38" s="88">
        <f>$E38*IF(AQ$2&gt;Inputs!$D$5,0,IF(AQ$2&gt;VLOOKUP($H38,Lists!$P$3:$Q$7,2),IF($N38=Lists!$K$3,IF($L38&lt;1,(($U38/$L38)*((1+Inputs!$D$7)^AQ$2)),((INT(AQ$2/$L38)-INT((AQ$2-1)/$L38))*$U38*((1+Inputs!$D$7)^AQ$2))),(_xlfn.WEIBULL.DIST(AQ$2,$M38,$L38,FALSE)*$U38*((1+Inputs!$D$7)^AQ$2))),IF($N38=Lists!$K$3,IF($L38&lt;1,((($T38*(1-$F38)+$S38*(1-$G38))/$L38)*((1+Inputs!$D$7)^AQ$2)),((INT(AQ$2/$L38)-INT((AQ$2-1)/$L38))*($T38*(1-$F38)+$S38*(1-$G38))*((1+Inputs!$D$7)^AQ$2))),((_xlfn.WEIBULL.DIST(AQ$2,$M38,$L38,FALSE)*($T38*(1-$F38)+$S38*(1-$G38))*((1+Inputs!$D$7)^AQ$2))))))</f>
        <v>309.16882484022341</v>
      </c>
      <c r="AR38" s="88">
        <f>$E38*IF(AR$2&gt;Inputs!$D$5,0,IF(AR$2&gt;VLOOKUP($H38,Lists!$P$3:$Q$7,2),IF($N38=Lists!$K$3,IF($L38&lt;1,(($U38/$L38)*((1+Inputs!$D$7)^AR$2)),((INT(AR$2/$L38)-INT((AR$2-1)/$L38))*$U38*((1+Inputs!$D$7)^AR$2))),(_xlfn.WEIBULL.DIST(AR$2,$M38,$L38,FALSE)*$U38*((1+Inputs!$D$7)^AR$2))),IF($N38=Lists!$K$3,IF($L38&lt;1,((($T38*(1-$F38)+$S38*(1-$G38))/$L38)*((1+Inputs!$D$7)^AR$2)),((INT(AR$2/$L38)-INT((AR$2-1)/$L38))*($T38*(1-$F38)+$S38*(1-$G38))*((1+Inputs!$D$7)^AR$2))),((_xlfn.WEIBULL.DIST(AR$2,$M38,$L38,FALSE)*($T38*(1-$F38)+$S38*(1-$G38))*((1+Inputs!$D$7)^AR$2))))))</f>
        <v>299.97229299285425</v>
      </c>
      <c r="AS38" s="88">
        <f>$E38*IF(AS$2&gt;Inputs!$D$5,0,IF(AS$2&gt;VLOOKUP($H38,Lists!$P$3:$Q$7,2),IF($N38=Lists!$K$3,IF($L38&lt;1,(($U38/$L38)*((1+Inputs!$D$7)^AS$2)),((INT(AS$2/$L38)-INT((AS$2-1)/$L38))*$U38*((1+Inputs!$D$7)^AS$2))),(_xlfn.WEIBULL.DIST(AS$2,$M38,$L38,FALSE)*$U38*((1+Inputs!$D$7)^AS$2))),IF($N38=Lists!$K$3,IF($L38&lt;1,((($T38*(1-$F38)+$S38*(1-$G38))/$L38)*((1+Inputs!$D$7)^AS$2)),((INT(AS$2/$L38)-INT((AS$2-1)/$L38))*($T38*(1-$F38)+$S38*(1-$G38))*((1+Inputs!$D$7)^AS$2))),((_xlfn.WEIBULL.DIST(AS$2,$M38,$L38,FALSE)*($T38*(1-$F38)+$S38*(1-$G38))*((1+Inputs!$D$7)^AS$2))))))</f>
        <v>291.04932106234736</v>
      </c>
      <c r="AT38" s="88">
        <f>$E38*IF(AT$2&gt;Inputs!$D$5,0,IF(AT$2&gt;VLOOKUP($H38,Lists!$P$3:$Q$7,2),IF($N38=Lists!$K$3,IF($L38&lt;1,(($U38/$L38)*((1+Inputs!$D$7)^AT$2)),((INT(AT$2/$L38)-INT((AT$2-1)/$L38))*$U38*((1+Inputs!$D$7)^AT$2))),(_xlfn.WEIBULL.DIST(AT$2,$M38,$L38,FALSE)*$U38*((1+Inputs!$D$7)^AT$2))),IF($N38=Lists!$K$3,IF($L38&lt;1,((($T38*(1-$F38)+$S38*(1-$G38))/$L38)*((1+Inputs!$D$7)^AT$2)),((INT(AT$2/$L38)-INT((AT$2-1)/$L38))*($T38*(1-$F38)+$S38*(1-$G38))*((1+Inputs!$D$7)^AT$2))),((_xlfn.WEIBULL.DIST(AT$2,$M38,$L38,FALSE)*($T38*(1-$F38)+$S38*(1-$G38))*((1+Inputs!$D$7)^AT$2))))))</f>
        <v>282.39177173896945</v>
      </c>
      <c r="AU38" s="88">
        <f>$E38*IF(AU$2&gt;Inputs!$D$5,0,IF(AU$2&gt;VLOOKUP($H38,Lists!$P$3:$Q$7,2),IF($N38=Lists!$K$3,IF($L38&lt;1,(($U38/$L38)*((1+Inputs!$D$7)^AU$2)),((INT(AU$2/$L38)-INT((AU$2-1)/$L38))*$U38*((1+Inputs!$D$7)^AU$2))),(_xlfn.WEIBULL.DIST(AU$2,$M38,$L38,FALSE)*$U38*((1+Inputs!$D$7)^AU$2))),IF($N38=Lists!$K$3,IF($L38&lt;1,((($T38*(1-$F38)+$S38*(1-$G38))/$L38)*((1+Inputs!$D$7)^AU$2)),((INT(AU$2/$L38)-INT((AU$2-1)/$L38))*($T38*(1-$F38)+$S38*(1-$G38))*((1+Inputs!$D$7)^AU$2))),((_xlfn.WEIBULL.DIST(AU$2,$M38,$L38,FALSE)*($T38*(1-$F38)+$S38*(1-$G38))*((1+Inputs!$D$7)^AU$2))))))</f>
        <v>273.99174976529684</v>
      </c>
      <c r="AV38" s="88">
        <f>$E38*IF(AV$2&gt;Inputs!$D$5,0,IF(AV$2&gt;VLOOKUP($H38,Lists!$P$3:$Q$7,2),IF($N38=Lists!$K$3,IF($L38&lt;1,(($U38/$L38)*((1+Inputs!$D$7)^AV$2)),((INT(AV$2/$L38)-INT((AV$2-1)/$L38))*$U38*((1+Inputs!$D$7)^AV$2))),(_xlfn.WEIBULL.DIST(AV$2,$M38,$L38,FALSE)*$U38*((1+Inputs!$D$7)^AV$2))),IF($N38=Lists!$K$3,IF($L38&lt;1,((($T38*(1-$F38)+$S38*(1-$G38))/$L38)*((1+Inputs!$D$7)^AV$2)),((INT(AV$2/$L38)-INT((AV$2-1)/$L38))*($T38*(1-$F38)+$S38*(1-$G38))*((1+Inputs!$D$7)^AV$2))),((_xlfn.WEIBULL.DIST(AV$2,$M38,$L38,FALSE)*($T38*(1-$F38)+$S38*(1-$G38))*((1+Inputs!$D$7)^AV$2))))))</f>
        <v>265.84159473613073</v>
      </c>
      <c r="AW38" s="88">
        <f>$E38*IF(AW$2&gt;Inputs!$D$5,0,IF(AW$2&gt;VLOOKUP($H38,Lists!$P$3:$Q$7,2),IF($N38=Lists!$K$3,IF($L38&lt;1,(($U38/$L38)*((1+Inputs!$D$7)^AW$2)),((INT(AW$2/$L38)-INT((AW$2-1)/$L38))*$U38*((1+Inputs!$D$7)^AW$2))),(_xlfn.WEIBULL.DIST(AW$2,$M38,$L38,FALSE)*$U38*((1+Inputs!$D$7)^AW$2))),IF($N38=Lists!$K$3,IF($L38&lt;1,((($T38*(1-$F38)+$S38*(1-$G38))/$L38)*((1+Inputs!$D$7)^AW$2)),((INT(AW$2/$L38)-INT((AW$2-1)/$L38))*($T38*(1-$F38)+$S38*(1-$G38))*((1+Inputs!$D$7)^AW$2))),((_xlfn.WEIBULL.DIST(AW$2,$M38,$L38,FALSE)*($T38*(1-$F38)+$S38*(1-$G38))*((1+Inputs!$D$7)^AW$2))))))</f>
        <v>257.93387411258561</v>
      </c>
      <c r="AX38" s="88">
        <f>$E38*IF(AX$2&gt;Inputs!$D$5,0,IF(AX$2&gt;VLOOKUP($H38,Lists!$P$3:$Q$7,2),IF($N38=Lists!$K$3,IF($L38&lt;1,(($U38/$L38)*((1+Inputs!$D$7)^AX$2)),((INT(AX$2/$L38)-INT((AX$2-1)/$L38))*$U38*((1+Inputs!$D$7)^AX$2))),(_xlfn.WEIBULL.DIST(AX$2,$M38,$L38,FALSE)*$U38*((1+Inputs!$D$7)^AX$2))),IF($N38=Lists!$K$3,IF($L38&lt;1,((($T38*(1-$F38)+$S38*(1-$G38))/$L38)*((1+Inputs!$D$7)^AX$2)),((INT(AX$2/$L38)-INT((AX$2-1)/$L38))*($T38*(1-$F38)+$S38*(1-$G38))*((1+Inputs!$D$7)^AX$2))),((_xlfn.WEIBULL.DIST(AX$2,$M38,$L38,FALSE)*($T38*(1-$F38)+$S38*(1-$G38))*((1+Inputs!$D$7)^AX$2))))))</f>
        <v>250.26137644398156</v>
      </c>
      <c r="AY38" s="88">
        <f>$E38*IF(AY$2&gt;Inputs!$D$5,0,IF(AY$2&gt;VLOOKUP($H38,Lists!$P$3:$Q$7,2),IF($N38=Lists!$K$3,IF($L38&lt;1,(($U38/$L38)*((1+Inputs!$D$7)^AY$2)),((INT(AY$2/$L38)-INT((AY$2-1)/$L38))*$U38*((1+Inputs!$D$7)^AY$2))),(_xlfn.WEIBULL.DIST(AY$2,$M38,$L38,FALSE)*$U38*((1+Inputs!$D$7)^AY$2))),IF($N38=Lists!$K$3,IF($L38&lt;1,((($T38*(1-$F38)+$S38*(1-$G38))/$L38)*((1+Inputs!$D$7)^AY$2)),((INT(AY$2/$L38)-INT((AY$2-1)/$L38))*($T38*(1-$F38)+$S38*(1-$G38))*((1+Inputs!$D$7)^AY$2))),((_xlfn.WEIBULL.DIST(AY$2,$M38,$L38,FALSE)*($T38*(1-$F38)+$S38*(1-$G38))*((1+Inputs!$D$7)^AY$2))))))</f>
        <v>242.8171047913564</v>
      </c>
      <c r="AZ38" s="88">
        <f>$E38*IF(AZ$2&gt;Inputs!$D$5,0,IF(AZ$2&gt;VLOOKUP($H38,Lists!$P$3:$Q$7,2),IF($N38=Lists!$K$3,IF($L38&lt;1,(($U38/$L38)*((1+Inputs!$D$7)^AZ$2)),((INT(AZ$2/$L38)-INT((AZ$2-1)/$L38))*$U38*((1+Inputs!$D$7)^AZ$2))),(_xlfn.WEIBULL.DIST(AZ$2,$M38,$L38,FALSE)*$U38*((1+Inputs!$D$7)^AZ$2))),IF($N38=Lists!$K$3,IF($L38&lt;1,((($T38*(1-$F38)+$S38*(1-$G38))/$L38)*((1+Inputs!$D$7)^AZ$2)),((INT(AZ$2/$L38)-INT((AZ$2-1)/$L38))*($T38*(1-$F38)+$S38*(1-$G38))*((1+Inputs!$D$7)^AZ$2))),((_xlfn.WEIBULL.DIST(AZ$2,$M38,$L38,FALSE)*($T38*(1-$F38)+$S38*(1-$G38))*((1+Inputs!$D$7)^AZ$2))))))</f>
        <v>0</v>
      </c>
      <c r="BA38" s="88">
        <f>$E38*IF(BA$2&gt;Inputs!$D$5,0,IF(BA$2&gt;VLOOKUP($H38,Lists!$P$3:$Q$7,2),IF($N38=Lists!$K$3,IF($L38&lt;1,(($U38/$L38)*((1+Inputs!$D$7)^BA$2)),((INT(BA$2/$L38)-INT((BA$2-1)/$L38))*$U38*((1+Inputs!$D$7)^BA$2))),(_xlfn.WEIBULL.DIST(BA$2,$M38,$L38,FALSE)*$U38*((1+Inputs!$D$7)^BA$2))),IF($N38=Lists!$K$3,IF($L38&lt;1,((($T38*(1-$F38)+$S38*(1-$G38))/$L38)*((1+Inputs!$D$7)^BA$2)),((INT(BA$2/$L38)-INT((BA$2-1)/$L38))*($T38*(1-$F38)+$S38*(1-$G38))*((1+Inputs!$D$7)^BA$2))),((_xlfn.WEIBULL.DIST(BA$2,$M38,$L38,FALSE)*($T38*(1-$F38)+$S38*(1-$G38))*((1+Inputs!$D$7)^BA$2))))))</f>
        <v>0</v>
      </c>
      <c r="BB38" s="88">
        <f>$E38*IF(BB$2&gt;Inputs!$D$5,0,IF(BB$2&gt;VLOOKUP($H38,Lists!$P$3:$Q$7,2),IF($N38=Lists!$K$3,IF($L38&lt;1,(($U38/$L38)*((1+Inputs!$D$7)^BB$2)),((INT(BB$2/$L38)-INT((BB$2-1)/$L38))*$U38*((1+Inputs!$D$7)^BB$2))),(_xlfn.WEIBULL.DIST(BB$2,$M38,$L38,FALSE)*$U38*((1+Inputs!$D$7)^BB$2))),IF($N38=Lists!$K$3,IF($L38&lt;1,((($T38*(1-$F38)+$S38*(1-$G38))/$L38)*((1+Inputs!$D$7)^BB$2)),((INT(BB$2/$L38)-INT((BB$2-1)/$L38))*($T38*(1-$F38)+$S38*(1-$G38))*((1+Inputs!$D$7)^BB$2))),((_xlfn.WEIBULL.DIST(BB$2,$M38,$L38,FALSE)*($T38*(1-$F38)+$S38*(1-$G38))*((1+Inputs!$D$7)^BB$2))))))</f>
        <v>0</v>
      </c>
      <c r="BC38" s="88">
        <f>$E38*IF(BC$2&gt;Inputs!$D$5,0,IF(BC$2&gt;VLOOKUP($H38,Lists!$P$3:$Q$7,2),IF($N38=Lists!$K$3,IF($L38&lt;1,(($U38/$L38)*((1+Inputs!$D$7)^BC$2)),((INT(BC$2/$L38)-INT((BC$2-1)/$L38))*$U38*((1+Inputs!$D$7)^BC$2))),(_xlfn.WEIBULL.DIST(BC$2,$M38,$L38,FALSE)*$U38*((1+Inputs!$D$7)^BC$2))),IF($N38=Lists!$K$3,IF($L38&lt;1,((($T38*(1-$F38)+$S38*(1-$G38))/$L38)*((1+Inputs!$D$7)^BC$2)),((INT(BC$2/$L38)-INT((BC$2-1)/$L38))*($T38*(1-$F38)+$S38*(1-$G38))*((1+Inputs!$D$7)^BC$2))),((_xlfn.WEIBULL.DIST(BC$2,$M38,$L38,FALSE)*($T38*(1-$F38)+$S38*(1-$G38))*((1+Inputs!$D$7)^BC$2))))))</f>
        <v>0</v>
      </c>
      <c r="BD38" s="88">
        <f>$E38*IF(BD$2&gt;Inputs!$D$5,0,IF(BD$2&gt;VLOOKUP($H38,Lists!$P$3:$Q$7,2),IF($N38=Lists!$K$3,IF($L38&lt;1,(($U38/$L38)*((1+Inputs!$D$7)^BD$2)),((INT(BD$2/$L38)-INT((BD$2-1)/$L38))*$U38*((1+Inputs!$D$7)^BD$2))),(_xlfn.WEIBULL.DIST(BD$2,$M38,$L38,FALSE)*$U38*((1+Inputs!$D$7)^BD$2))),IF($N38=Lists!$K$3,IF($L38&lt;1,((($T38*(1-$F38)+$S38*(1-$G38))/$L38)*((1+Inputs!$D$7)^BD$2)),((INT(BD$2/$L38)-INT((BD$2-1)/$L38))*($T38*(1-$F38)+$S38*(1-$G38))*((1+Inputs!$D$7)^BD$2))),((_xlfn.WEIBULL.DIST(BD$2,$M38,$L38,FALSE)*($T38*(1-$F38)+$S38*(1-$G38))*((1+Inputs!$D$7)^BD$2))))))</f>
        <v>0</v>
      </c>
      <c r="BE38" s="88">
        <f>$E38*IF(BE$2&gt;Inputs!$D$5,0,IF(BE$2&gt;VLOOKUP($H38,Lists!$P$3:$Q$7,2),IF($N38=Lists!$K$3,IF($L38&lt;1,(($U38/$L38)*((1+Inputs!$D$7)^BE$2)),((INT(BE$2/$L38)-INT((BE$2-1)/$L38))*$U38*((1+Inputs!$D$7)^BE$2))),(_xlfn.WEIBULL.DIST(BE$2,$M38,$L38,FALSE)*$U38*((1+Inputs!$D$7)^BE$2))),IF($N38=Lists!$K$3,IF($L38&lt;1,((($T38*(1-$F38)+$S38*(1-$G38))/$L38)*((1+Inputs!$D$7)^BE$2)),((INT(BE$2/$L38)-INT((BE$2-1)/$L38))*($T38*(1-$F38)+$S38*(1-$G38))*((1+Inputs!$D$7)^BE$2))),((_xlfn.WEIBULL.DIST(BE$2,$M38,$L38,FALSE)*($T38*(1-$F38)+$S38*(1-$G38))*((1+Inputs!$D$7)^BE$2))))))</f>
        <v>0</v>
      </c>
      <c r="BF38" s="88">
        <f>$E38*IF(BF$2&gt;Inputs!$D$5,0,IF(BF$2&gt;VLOOKUP($H38,Lists!$P$3:$Q$7,2),IF($N38=Lists!$K$3,IF($L38&lt;1,(($U38/$L38)*((1+Inputs!$D$7)^BF$2)),((INT(BF$2/$L38)-INT((BF$2-1)/$L38))*$U38*((1+Inputs!$D$7)^BF$2))),(_xlfn.WEIBULL.DIST(BF$2,$M38,$L38,FALSE)*$U38*((1+Inputs!$D$7)^BF$2))),IF($N38=Lists!$K$3,IF($L38&lt;1,((($T38*(1-$F38)+$S38*(1-$G38))/$L38)*((1+Inputs!$D$7)^BF$2)),((INT(BF$2/$L38)-INT((BF$2-1)/$L38))*($T38*(1-$F38)+$S38*(1-$G38))*((1+Inputs!$D$7)^BF$2))),((_xlfn.WEIBULL.DIST(BF$2,$M38,$L38,FALSE)*($T38*(1-$F38)+$S38*(1-$G38))*((1+Inputs!$D$7)^BF$2))))))</f>
        <v>0</v>
      </c>
      <c r="BG38" s="88">
        <f>$E38*IF(BG$2&gt;Inputs!$D$5,0,IF(BG$2&gt;VLOOKUP($H38,Lists!$P$3:$Q$7,2),IF($N38=Lists!$K$3,IF($L38&lt;1,(($U38/$L38)*((1+Inputs!$D$7)^BG$2)),((INT(BG$2/$L38)-INT((BG$2-1)/$L38))*$U38*((1+Inputs!$D$7)^BG$2))),(_xlfn.WEIBULL.DIST(BG$2,$M38,$L38,FALSE)*$U38*((1+Inputs!$D$7)^BG$2))),IF($N38=Lists!$K$3,IF($L38&lt;1,((($T38*(1-$F38)+$S38*(1-$G38))/$L38)*((1+Inputs!$D$7)^BG$2)),((INT(BG$2/$L38)-INT((BG$2-1)/$L38))*($T38*(1-$F38)+$S38*(1-$G38))*((1+Inputs!$D$7)^BG$2))),((_xlfn.WEIBULL.DIST(BG$2,$M38,$L38,FALSE)*($T38*(1-$F38)+$S38*(1-$G38))*((1+Inputs!$D$7)^BG$2))))))</f>
        <v>0</v>
      </c>
      <c r="BH38" s="88">
        <f>$E38*IF(BH$2&gt;Inputs!$D$5,0,IF(BH$2&gt;VLOOKUP($H38,Lists!$P$3:$Q$7,2),IF($N38=Lists!$K$3,IF($L38&lt;1,(($U38/$L38)*((1+Inputs!$D$7)^BH$2)),((INT(BH$2/$L38)-INT((BH$2-1)/$L38))*$U38*((1+Inputs!$D$7)^BH$2))),(_xlfn.WEIBULL.DIST(BH$2,$M38,$L38,FALSE)*$U38*((1+Inputs!$D$7)^BH$2))),IF($N38=Lists!$K$3,IF($L38&lt;1,((($T38*(1-$F38)+$S38*(1-$G38))/$L38)*((1+Inputs!$D$7)^BH$2)),((INT(BH$2/$L38)-INT((BH$2-1)/$L38))*($T38*(1-$F38)+$S38*(1-$G38))*((1+Inputs!$D$7)^BH$2))),((_xlfn.WEIBULL.DIST(BH$2,$M38,$L38,FALSE)*($T38*(1-$F38)+$S38*(1-$G38))*((1+Inputs!$D$7)^BH$2))))))</f>
        <v>0</v>
      </c>
      <c r="BI38" s="88">
        <f>$E38*IF(BI$2&gt;Inputs!$D$5,0,IF(BI$2&gt;VLOOKUP($H38,Lists!$P$3:$Q$7,2),IF($N38=Lists!$K$3,IF($L38&lt;1,(($U38/$L38)*((1+Inputs!$D$7)^BI$2)),((INT(BI$2/$L38)-INT((BI$2-1)/$L38))*$U38*((1+Inputs!$D$7)^BI$2))),(_xlfn.WEIBULL.DIST(BI$2,$M38,$L38,FALSE)*$U38*((1+Inputs!$D$7)^BI$2))),IF($N38=Lists!$K$3,IF($L38&lt;1,((($T38*(1-$F38)+$S38*(1-$G38))/$L38)*((1+Inputs!$D$7)^BI$2)),((INT(BI$2/$L38)-INT((BI$2-1)/$L38))*($T38*(1-$F38)+$S38*(1-$G38))*((1+Inputs!$D$7)^BI$2))),((_xlfn.WEIBULL.DIST(BI$2,$M38,$L38,FALSE)*($T38*(1-$F38)+$S38*(1-$G38))*((1+Inputs!$D$7)^BI$2))))))</f>
        <v>0</v>
      </c>
      <c r="BJ38" s="88">
        <f>$E38*IF(BJ$2&gt;Inputs!$D$5,0,IF(BJ$2&gt;VLOOKUP($H38,Lists!$P$3:$Q$7,2),IF($N38=Lists!$K$3,IF($L38&lt;1,(($U38/$L38)*((1+Inputs!$D$7)^BJ$2)),((INT(BJ$2/$L38)-INT((BJ$2-1)/$L38))*$U38*((1+Inputs!$D$7)^BJ$2))),(_xlfn.WEIBULL.DIST(BJ$2,$M38,$L38,FALSE)*$U38*((1+Inputs!$D$7)^BJ$2))),IF($N38=Lists!$K$3,IF($L38&lt;1,((($T38*(1-$F38)+$S38*(1-$G38))/$L38)*((1+Inputs!$D$7)^BJ$2)),((INT(BJ$2/$L38)-INT((BJ$2-1)/$L38))*($T38*(1-$F38)+$S38*(1-$G38))*((1+Inputs!$D$7)^BJ$2))),((_xlfn.WEIBULL.DIST(BJ$2,$M38,$L38,FALSE)*($T38*(1-$F38)+$S38*(1-$G38))*((1+Inputs!$D$7)^BJ$2))))))</f>
        <v>0</v>
      </c>
      <c r="BK38" s="88">
        <f>$E38*IF(BK$2&gt;Inputs!$D$5,0,IF(BK$2&gt;VLOOKUP($H38,Lists!$P$3:$Q$7,2),IF($N38=Lists!$K$3,IF($L38&lt;1,(($U38/$L38)*((1+Inputs!$D$7)^BK$2)),((INT(BK$2/$L38)-INT((BK$2-1)/$L38))*$U38*((1+Inputs!$D$7)^BK$2))),(_xlfn.WEIBULL.DIST(BK$2,$M38,$L38,FALSE)*$U38*((1+Inputs!$D$7)^BK$2))),IF($N38=Lists!$K$3,IF($L38&lt;1,((($T38*(1-$F38)+$S38*(1-$G38))/$L38)*((1+Inputs!$D$7)^BK$2)),((INT(BK$2/$L38)-INT((BK$2-1)/$L38))*($T38*(1-$F38)+$S38*(1-$G38))*((1+Inputs!$D$7)^BK$2))),((_xlfn.WEIBULL.DIST(BK$2,$M38,$L38,FALSE)*($T38*(1-$F38)+$S38*(1-$G38))*((1+Inputs!$D$7)^BK$2))))))</f>
        <v>0</v>
      </c>
      <c r="BL38" s="88">
        <f>$E38*IF(BL$2&gt;Inputs!$D$5,0,IF(BL$2&gt;VLOOKUP($H38,Lists!$P$3:$Q$7,2),IF($N38=Lists!$K$3,IF($L38&lt;1,(($U38/$L38)*((1+Inputs!$D$7)^BL$2)),((INT(BL$2/$L38)-INT((BL$2-1)/$L38))*$U38*((1+Inputs!$D$7)^BL$2))),(_xlfn.WEIBULL.DIST(BL$2,$M38,$L38,FALSE)*$U38*((1+Inputs!$D$7)^BL$2))),IF($N38=Lists!$K$3,IF($L38&lt;1,((($T38*(1-$F38)+$S38*(1-$G38))/$L38)*((1+Inputs!$D$7)^BL$2)),((INT(BL$2/$L38)-INT((BL$2-1)/$L38))*($T38*(1-$F38)+$S38*(1-$G38))*((1+Inputs!$D$7)^BL$2))),((_xlfn.WEIBULL.DIST(BL$2,$M38,$L38,FALSE)*($T38*(1-$F38)+$S38*(1-$G38))*((1+Inputs!$D$7)^BL$2))))))</f>
        <v>0</v>
      </c>
      <c r="BM38" s="88">
        <f>$E38*IF(BM$2&gt;Inputs!$D$5,0,IF(BM$2&gt;VLOOKUP($H38,Lists!$P$3:$Q$7,2),IF($N38=Lists!$K$3,IF($L38&lt;1,(($U38/$L38)*((1+Inputs!$D$7)^BM$2)),((INT(BM$2/$L38)-INT((BM$2-1)/$L38))*$U38*((1+Inputs!$D$7)^BM$2))),(_xlfn.WEIBULL.DIST(BM$2,$M38,$L38,FALSE)*$U38*((1+Inputs!$D$7)^BM$2))),IF($N38=Lists!$K$3,IF($L38&lt;1,((($T38*(1-$F38)+$S38*(1-$G38))/$L38)*((1+Inputs!$D$7)^BM$2)),((INT(BM$2/$L38)-INT((BM$2-1)/$L38))*($T38*(1-$F38)+$S38*(1-$G38))*((1+Inputs!$D$7)^BM$2))),((_xlfn.WEIBULL.DIST(BM$2,$M38,$L38,FALSE)*($T38*(1-$F38)+$S38*(1-$G38))*((1+Inputs!$D$7)^BM$2))))))</f>
        <v>0</v>
      </c>
      <c r="BN38" s="88">
        <f>$E38*IF(BN$2&gt;Inputs!$D$5,0,IF(BN$2&gt;VLOOKUP($H38,Lists!$P$3:$Q$7,2),IF($N38=Lists!$K$3,IF($L38&lt;1,(($U38/$L38)*((1+Inputs!$D$7)^BN$2)),((INT(BN$2/$L38)-INT((BN$2-1)/$L38))*$U38*((1+Inputs!$D$7)^BN$2))),(_xlfn.WEIBULL.DIST(BN$2,$M38,$L38,FALSE)*$U38*((1+Inputs!$D$7)^BN$2))),IF($N38=Lists!$K$3,IF($L38&lt;1,((($T38*(1-$F38)+$S38*(1-$G38))/$L38)*((1+Inputs!$D$7)^BN$2)),((INT(BN$2/$L38)-INT((BN$2-1)/$L38))*($T38*(1-$F38)+$S38*(1-$G38))*((1+Inputs!$D$7)^BN$2))),((_xlfn.WEIBULL.DIST(BN$2,$M38,$L38,FALSE)*($T38*(1-$F38)+$S38*(1-$G38))*((1+Inputs!$D$7)^BN$2))))))</f>
        <v>0</v>
      </c>
      <c r="BO38" s="64">
        <f>NPV(Inputs!$D$6,BQ38:DD38)</f>
        <v>2357.2770027252468</v>
      </c>
      <c r="BP38" s="67">
        <f t="shared" si="13"/>
        <v>1.111806918417271E-3</v>
      </c>
      <c r="BQ38" s="88">
        <f>MAX(AA38,($E38*IF(BQ$2&gt;Inputs!$D$5,0,IF(BQ$2&gt;VLOOKUP($H38,Lists!$P$3:$Q$7,2),IF($N38=Lists!$K$3,IF($L38&lt;1,(($U38/$L38)*((1+Inputs!$D$7)^BQ$2)),((INT(BQ$2/$L38)-INT((BQ$2-1)/$L38))*$U38*((1+Inputs!$D$7)^BQ$2))),(Inputs!$D$8^((1-_xlfn.WEIBULL.DIST(BQ$2,$M38,$L38,FALSE))/_xlfn.WEIBULL.DIST(BQ$2,$M38,$L38,FALSE))*$U38*((1+Inputs!$D$7)^BQ$2))),IF($N38=Lists!$K$3,IF($L38&lt;1,((($T38*(1-$F38)+$S38*(1-$G38))/$L38)*((1+Inputs!$D$7)^BQ$2)),((INT(BQ$2/$L38)-INT((BQ$2-1)/$L38))*($T38*(1-$F38)+$S38*(1-$G38))*((1+Inputs!$D$7)^BQ$2))),((Inputs!$D$8^((1-_xlfn.WEIBULL.DIST(BQ$2,$M38,$L38,FALSE))/_xlfn.WEIBULL.DIST(BQ$2,$M38,$L38,FALSE))*($T38*(1-$F38)+$S38*(1-$G38))*((1+Inputs!$D$7)^BQ$2))))))))</f>
        <v>63.71209577784137</v>
      </c>
      <c r="BR38" s="88">
        <f>MAX(AB38,($E38*IF(BR$2&gt;Inputs!$D$5,0,IF(BR$2&gt;VLOOKUP($H38,Lists!$P$3:$Q$7,2),IF($N38=Lists!$K$3,IF($L38&lt;1,(($U38/$L38)*((1+Inputs!$D$7)^BR$2)),((INT(BR$2/$L38)-INT((BR$2-1)/$L38))*$U38*((1+Inputs!$D$7)^BR$2))),(Inputs!$D$8^((1-_xlfn.WEIBULL.DIST(BR$2,$M38,$L38,FALSE))/_xlfn.WEIBULL.DIST(BR$2,$M38,$L38,FALSE))*$U38*((1+Inputs!$D$7)^BR$2))),IF($N38=Lists!$K$3,IF($L38&lt;1,((($T38*(1-$F38)+$S38*(1-$G38))/$L38)*((1+Inputs!$D$7)^BR$2)),((INT(BR$2/$L38)-INT((BR$2-1)/$L38))*($T38*(1-$F38)+$S38*(1-$G38))*((1+Inputs!$D$7)^BR$2))),((Inputs!$D$8^((1-_xlfn.WEIBULL.DIST(BR$2,$M38,$L38,FALSE))/_xlfn.WEIBULL.DIST(BR$2,$M38,$L38,FALSE))*($T38*(1-$F38)+$S38*(1-$G38))*((1+Inputs!$D$7)^BR$2))))))))</f>
        <v>59.399866647445343</v>
      </c>
      <c r="BS38" s="88">
        <f>MAX(AC38,($E38*IF(BS$2&gt;Inputs!$D$5,0,IF(BS$2&gt;VLOOKUP($H38,Lists!$P$3:$Q$7,2),IF($N38=Lists!$K$3,IF($L38&lt;1,(($U38/$L38)*((1+Inputs!$D$7)^BS$2)),((INT(BS$2/$L38)-INT((BS$2-1)/$L38))*$U38*((1+Inputs!$D$7)^BS$2))),(Inputs!$D$8^((1-_xlfn.WEIBULL.DIST(BS$2,$M38,$L38,FALSE))/_xlfn.WEIBULL.DIST(BS$2,$M38,$L38,FALSE))*$U38*((1+Inputs!$D$7)^BS$2))),IF($N38=Lists!$K$3,IF($L38&lt;1,((($T38*(1-$F38)+$S38*(1-$G38))/$L38)*((1+Inputs!$D$7)^BS$2)),((INT(BS$2/$L38)-INT((BS$2-1)/$L38))*($T38*(1-$F38)+$S38*(1-$G38))*((1+Inputs!$D$7)^BS$2))),((Inputs!$D$8^((1-_xlfn.WEIBULL.DIST(BS$2,$M38,$L38,FALSE))/_xlfn.WEIBULL.DIST(BS$2,$M38,$L38,FALSE))*($T38*(1-$F38)+$S38*(1-$G38))*((1+Inputs!$D$7)^BS$2))))))))</f>
        <v>55.124872736107534</v>
      </c>
      <c r="BT38" s="88">
        <f>MAX(AD38,($E38*IF(BT$2&gt;Inputs!$D$5,0,IF(BT$2&gt;VLOOKUP($H38,Lists!$P$3:$Q$7,2),IF($N38=Lists!$K$3,IF($L38&lt;1,(($U38/$L38)*((1+Inputs!$D$7)^BT$2)),((INT(BT$2/$L38)-INT((BT$2-1)/$L38))*$U38*((1+Inputs!$D$7)^BT$2))),(Inputs!$D$8^((1-_xlfn.WEIBULL.DIST(BT$2,$M38,$L38,FALSE))/_xlfn.WEIBULL.DIST(BT$2,$M38,$L38,FALSE))*$U38*((1+Inputs!$D$7)^BT$2))),IF($N38=Lists!$K$3,IF($L38&lt;1,((($T38*(1-$F38)+$S38*(1-$G38))/$L38)*((1+Inputs!$D$7)^BT$2)),((INT(BT$2/$L38)-INT((BT$2-1)/$L38))*($T38*(1-$F38)+$S38*(1-$G38))*((1+Inputs!$D$7)^BT$2))),((Inputs!$D$8^((1-_xlfn.WEIBULL.DIST(BT$2,$M38,$L38,FALSE))/_xlfn.WEIBULL.DIST(BT$2,$M38,$L38,FALSE))*($T38*(1-$F38)+$S38*(1-$G38))*((1+Inputs!$D$7)^BT$2))))))))</f>
        <v>50.9103009465884</v>
      </c>
      <c r="BU38" s="88">
        <f>MAX(AE38,($E38*IF(BU$2&gt;Inputs!$D$5,0,IF(BU$2&gt;VLOOKUP($H38,Lists!$P$3:$Q$7,2),IF($N38=Lists!$K$3,IF($L38&lt;1,(($U38/$L38)*((1+Inputs!$D$7)^BU$2)),((INT(BU$2/$L38)-INT((BU$2-1)/$L38))*$U38*((1+Inputs!$D$7)^BU$2))),(Inputs!$D$8^((1-_xlfn.WEIBULL.DIST(BU$2,$M38,$L38,FALSE))/_xlfn.WEIBULL.DIST(BU$2,$M38,$L38,FALSE))*$U38*((1+Inputs!$D$7)^BU$2))),IF($N38=Lists!$K$3,IF($L38&lt;1,((($T38*(1-$F38)+$S38*(1-$G38))/$L38)*((1+Inputs!$D$7)^BU$2)),((INT(BU$2/$L38)-INT((BU$2-1)/$L38))*($T38*(1-$F38)+$S38*(1-$G38))*((1+Inputs!$D$7)^BU$2))),((Inputs!$D$8^((1-_xlfn.WEIBULL.DIST(BU$2,$M38,$L38,FALSE))/_xlfn.WEIBULL.DIST(BU$2,$M38,$L38,FALSE))*($T38*(1-$F38)+$S38*(1-$G38))*((1+Inputs!$D$7)^BU$2))))))))</f>
        <v>46.779091770476576</v>
      </c>
      <c r="BV38" s="88">
        <f>MAX(AF38,($E38*IF(BV$2&gt;Inputs!$D$5,0,IF(BV$2&gt;VLOOKUP($H38,Lists!$P$3:$Q$7,2),IF($N38=Lists!$K$3,IF($L38&lt;1,(($U38/$L38)*((1+Inputs!$D$7)^BV$2)),((INT(BV$2/$L38)-INT((BV$2-1)/$L38))*$U38*((1+Inputs!$D$7)^BV$2))),(Inputs!$D$8^((1-_xlfn.WEIBULL.DIST(BV$2,$M38,$L38,FALSE))/_xlfn.WEIBULL.DIST(BV$2,$M38,$L38,FALSE))*$U38*((1+Inputs!$D$7)^BV$2))),IF($N38=Lists!$K$3,IF($L38&lt;1,((($T38*(1-$F38)+$S38*(1-$G38))/$L38)*((1+Inputs!$D$7)^BV$2)),((INT(BV$2/$L38)-INT((BV$2-1)/$L38))*($T38*(1-$F38)+$S38*(1-$G38))*((1+Inputs!$D$7)^BV$2))),((Inputs!$D$8^((1-_xlfn.WEIBULL.DIST(BV$2,$M38,$L38,FALSE))/_xlfn.WEIBULL.DIST(BV$2,$M38,$L38,FALSE))*($T38*(1-$F38)+$S38*(1-$G38))*((1+Inputs!$D$7)^BV$2))))))))</f>
        <v>42.753586742363382</v>
      </c>
      <c r="BW38" s="88">
        <f>MAX(AG38,($E38*IF(BW$2&gt;Inputs!$D$5,0,IF(BW$2&gt;VLOOKUP($H38,Lists!$P$3:$Q$7,2),IF($N38=Lists!$K$3,IF($L38&lt;1,(($U38/$L38)*((1+Inputs!$D$7)^BW$2)),((INT(BW$2/$L38)-INT((BW$2-1)/$L38))*$U38*((1+Inputs!$D$7)^BW$2))),(Inputs!$D$8^((1-_xlfn.WEIBULL.DIST(BW$2,$M38,$L38,FALSE))/_xlfn.WEIBULL.DIST(BW$2,$M38,$L38,FALSE))*$U38*((1+Inputs!$D$7)^BW$2))),IF($N38=Lists!$K$3,IF($L38&lt;1,((($T38*(1-$F38)+$S38*(1-$G38))/$L38)*((1+Inputs!$D$7)^BW$2)),((INT(BW$2/$L38)-INT((BW$2-1)/$L38))*($T38*(1-$F38)+$S38*(1-$G38))*((1+Inputs!$D$7)^BW$2))),((Inputs!$D$8^((1-_xlfn.WEIBULL.DIST(BW$2,$M38,$L38,FALSE))/_xlfn.WEIBULL.DIST(BW$2,$M38,$L38,FALSE))*($T38*(1-$F38)+$S38*(1-$G38))*((1+Inputs!$D$7)^BW$2))))))))</f>
        <v>38.855164253299677</v>
      </c>
      <c r="BX38" s="88">
        <f>MAX(AH38,($E38*IF(BX$2&gt;Inputs!$D$5,0,IF(BX$2&gt;VLOOKUP($H38,Lists!$P$3:$Q$7,2),IF($N38=Lists!$K$3,IF($L38&lt;1,(($U38/$L38)*((1+Inputs!$D$7)^BX$2)),((INT(BX$2/$L38)-INT((BX$2-1)/$L38))*$U38*((1+Inputs!$D$7)^BX$2))),(Inputs!$D$8^((1-_xlfn.WEIBULL.DIST(BX$2,$M38,$L38,FALSE))/_xlfn.WEIBULL.DIST(BX$2,$M38,$L38,FALSE))*$U38*((1+Inputs!$D$7)^BX$2))),IF($N38=Lists!$K$3,IF($L38&lt;1,((($T38*(1-$F38)+$S38*(1-$G38))/$L38)*((1+Inputs!$D$7)^BX$2)),((INT(BX$2/$L38)-INT((BX$2-1)/$L38))*($T38*(1-$F38)+$S38*(1-$G38))*((1+Inputs!$D$7)^BX$2))),((Inputs!$D$8^((1-_xlfn.WEIBULL.DIST(BX$2,$M38,$L38,FALSE))/_xlfn.WEIBULL.DIST(BX$2,$M38,$L38,FALSE))*($T38*(1-$F38)+$S38*(1-$G38))*((1+Inputs!$D$7)^BX$2))))))))</f>
        <v>35.103872790597485</v>
      </c>
      <c r="BY38" s="88">
        <f>MAX(AI38,($E38*IF(BY$2&gt;Inputs!$D$5,0,IF(BY$2&gt;VLOOKUP($H38,Lists!$P$3:$Q$7,2),IF($N38=Lists!$K$3,IF($L38&lt;1,(($U38/$L38)*((1+Inputs!$D$7)^BY$2)),((INT(BY$2/$L38)-INT((BY$2-1)/$L38))*$U38*((1+Inputs!$D$7)^BY$2))),(Inputs!$D$8^((1-_xlfn.WEIBULL.DIST(BY$2,$M38,$L38,FALSE))/_xlfn.WEIBULL.DIST(BY$2,$M38,$L38,FALSE))*$U38*((1+Inputs!$D$7)^BY$2))),IF($N38=Lists!$K$3,IF($L38&lt;1,((($T38*(1-$F38)+$S38*(1-$G38))/$L38)*((1+Inputs!$D$7)^BY$2)),((INT(BY$2/$L38)-INT((BY$2-1)/$L38))*($T38*(1-$F38)+$S38*(1-$G38))*((1+Inputs!$D$7)^BY$2))),((Inputs!$D$8^((1-_xlfn.WEIBULL.DIST(BY$2,$M38,$L38,FALSE))/_xlfn.WEIBULL.DIST(BY$2,$M38,$L38,FALSE))*($T38*(1-$F38)+$S38*(1-$G38))*((1+Inputs!$D$7)^BY$2))))))))</f>
        <v>31.518071873258709</v>
      </c>
      <c r="BZ38" s="88">
        <f>MAX(AJ38,($E38*IF(BZ$2&gt;Inputs!$D$5,0,IF(BZ$2&gt;VLOOKUP($H38,Lists!$P$3:$Q$7,2),IF($N38=Lists!$K$3,IF($L38&lt;1,(($U38/$L38)*((1+Inputs!$D$7)^BZ$2)),((INT(BZ$2/$L38)-INT((BZ$2-1)/$L38))*$U38*((1+Inputs!$D$7)^BZ$2))),(Inputs!$D$8^((1-_xlfn.WEIBULL.DIST(BZ$2,$M38,$L38,FALSE))/_xlfn.WEIBULL.DIST(BZ$2,$M38,$L38,FALSE))*$U38*((1+Inputs!$D$7)^BZ$2))),IF($N38=Lists!$K$3,IF($L38&lt;1,((($T38*(1-$F38)+$S38*(1-$G38))/$L38)*((1+Inputs!$D$7)^BZ$2)),((INT(BZ$2/$L38)-INT((BZ$2-1)/$L38))*($T38*(1-$F38)+$S38*(1-$G38))*((1+Inputs!$D$7)^BZ$2))),((Inputs!$D$8^((1-_xlfn.WEIBULL.DIST(BZ$2,$M38,$L38,FALSE))/_xlfn.WEIBULL.DIST(BZ$2,$M38,$L38,FALSE))*($T38*(1-$F38)+$S38*(1-$G38))*((1+Inputs!$D$7)^BZ$2))))))))</f>
        <v>28.114091876957563</v>
      </c>
      <c r="CA38" s="88">
        <f>MAX(AK38,($E38*IF(CA$2&gt;Inputs!$D$5,0,IF(CA$2&gt;VLOOKUP($H38,Lists!$P$3:$Q$7,2),IF($N38=Lists!$K$3,IF($L38&lt;1,(($U38/$L38)*((1+Inputs!$D$7)^CA$2)),((INT(CA$2/$L38)-INT((CA$2-1)/$L38))*$U38*((1+Inputs!$D$7)^CA$2))),(Inputs!$D$8^((1-_xlfn.WEIBULL.DIST(CA$2,$M38,$L38,FALSE))/_xlfn.WEIBULL.DIST(CA$2,$M38,$L38,FALSE))*$U38*((1+Inputs!$D$7)^CA$2))),IF($N38=Lists!$K$3,IF($L38&lt;1,((($T38*(1-$F38)+$S38*(1-$G38))/$L38)*((1+Inputs!$D$7)^CA$2)),((INT(CA$2/$L38)-INT((CA$2-1)/$L38))*($T38*(1-$F38)+$S38*(1-$G38))*((1+Inputs!$D$7)^CA$2))),((Inputs!$D$8^((1-_xlfn.WEIBULL.DIST(CA$2,$M38,$L38,FALSE))/_xlfn.WEIBULL.DIST(CA$2,$M38,$L38,FALSE))*($T38*(1-$F38)+$S38*(1-$G38))*((1+Inputs!$D$7)^CA$2))))))))</f>
        <v>775.69321347580342</v>
      </c>
      <c r="CB38" s="88">
        <f>MAX(AL38,($E38*IF(CB$2&gt;Inputs!$D$5,0,IF(CB$2&gt;VLOOKUP($H38,Lists!$P$3:$Q$7,2),IF($N38=Lists!$K$3,IF($L38&lt;1,(($U38/$L38)*((1+Inputs!$D$7)^CB$2)),((INT(CB$2/$L38)-INT((CB$2-1)/$L38))*$U38*((1+Inputs!$D$7)^CB$2))),(Inputs!$D$8^((1-_xlfn.WEIBULL.DIST(CB$2,$M38,$L38,FALSE))/_xlfn.WEIBULL.DIST(CB$2,$M38,$L38,FALSE))*$U38*((1+Inputs!$D$7)^CB$2))),IF($N38=Lists!$K$3,IF($L38&lt;1,((($T38*(1-$F38)+$S38*(1-$G38))/$L38)*((1+Inputs!$D$7)^CB$2)),((INT(CB$2/$L38)-INT((CB$2-1)/$L38))*($T38*(1-$F38)+$S38*(1-$G38))*((1+Inputs!$D$7)^CB$2))),((Inputs!$D$8^((1-_xlfn.WEIBULL.DIST(CB$2,$M38,$L38,FALSE))/_xlfn.WEIBULL.DIST(CB$2,$M38,$L38,FALSE))*($T38*(1-$F38)+$S38*(1-$G38))*((1+Inputs!$D$7)^CB$2))))))))</f>
        <v>682.22825549373329</v>
      </c>
      <c r="CC38" s="88">
        <f>MAX(AM38,($E38*IF(CC$2&gt;Inputs!$D$5,0,IF(CC$2&gt;VLOOKUP($H38,Lists!$P$3:$Q$7,2),IF($N38=Lists!$K$3,IF($L38&lt;1,(($U38/$L38)*((1+Inputs!$D$7)^CC$2)),((INT(CC$2/$L38)-INT((CC$2-1)/$L38))*$U38*((1+Inputs!$D$7)^CC$2))),(Inputs!$D$8^((1-_xlfn.WEIBULL.DIST(CC$2,$M38,$L38,FALSE))/_xlfn.WEIBULL.DIST(CC$2,$M38,$L38,FALSE))*$U38*((1+Inputs!$D$7)^CC$2))),IF($N38=Lists!$K$3,IF($L38&lt;1,((($T38*(1-$F38)+$S38*(1-$G38))/$L38)*((1+Inputs!$D$7)^CC$2)),((INT(CC$2/$L38)-INT((CC$2-1)/$L38))*($T38*(1-$F38)+$S38*(1-$G38))*((1+Inputs!$D$7)^CC$2))),((Inputs!$D$8^((1-_xlfn.WEIBULL.DIST(CC$2,$M38,$L38,FALSE))/_xlfn.WEIBULL.DIST(CC$2,$M38,$L38,FALSE))*($T38*(1-$F38)+$S38*(1-$G38))*((1+Inputs!$D$7)^CC$2))))))))</f>
        <v>595.48329329422518</v>
      </c>
      <c r="CD38" s="88">
        <f>MAX(AN38,($E38*IF(CD$2&gt;Inputs!$D$5,0,IF(CD$2&gt;VLOOKUP($H38,Lists!$P$3:$Q$7,2),IF($N38=Lists!$K$3,IF($L38&lt;1,(($U38/$L38)*((1+Inputs!$D$7)^CD$2)),((INT(CD$2/$L38)-INT((CD$2-1)/$L38))*$U38*((1+Inputs!$D$7)^CD$2))),(Inputs!$D$8^((1-_xlfn.WEIBULL.DIST(CD$2,$M38,$L38,FALSE))/_xlfn.WEIBULL.DIST(CD$2,$M38,$L38,FALSE))*$U38*((1+Inputs!$D$7)^CD$2))),IF($N38=Lists!$K$3,IF($L38&lt;1,((($T38*(1-$F38)+$S38*(1-$G38))/$L38)*((1+Inputs!$D$7)^CD$2)),((INT(CD$2/$L38)-INT((CD$2-1)/$L38))*($T38*(1-$F38)+$S38*(1-$G38))*((1+Inputs!$D$7)^CD$2))),((Inputs!$D$8^((1-_xlfn.WEIBULL.DIST(CD$2,$M38,$L38,FALSE))/_xlfn.WEIBULL.DIST(CD$2,$M38,$L38,FALSE))*($T38*(1-$F38)+$S38*(1-$G38))*((1+Inputs!$D$7)^CD$2))))))))</f>
        <v>515.63269051903603</v>
      </c>
      <c r="CE38" s="88">
        <f>MAX(AO38,($E38*IF(CE$2&gt;Inputs!$D$5,0,IF(CE$2&gt;VLOOKUP($H38,Lists!$P$3:$Q$7,2),IF($N38=Lists!$K$3,IF($L38&lt;1,(($U38/$L38)*((1+Inputs!$D$7)^CE$2)),((INT(CE$2/$L38)-INT((CE$2-1)/$L38))*$U38*((1+Inputs!$D$7)^CE$2))),(Inputs!$D$8^((1-_xlfn.WEIBULL.DIST(CE$2,$M38,$L38,FALSE))/_xlfn.WEIBULL.DIST(CE$2,$M38,$L38,FALSE))*$U38*((1+Inputs!$D$7)^CE$2))),IF($N38=Lists!$K$3,IF($L38&lt;1,((($T38*(1-$F38)+$S38*(1-$G38))/$L38)*((1+Inputs!$D$7)^CE$2)),((INT(CE$2/$L38)-INT((CE$2-1)/$L38))*($T38*(1-$F38)+$S38*(1-$G38))*((1+Inputs!$D$7)^CE$2))),((Inputs!$D$8^((1-_xlfn.WEIBULL.DIST(CE$2,$M38,$L38,FALSE))/_xlfn.WEIBULL.DIST(CE$2,$M38,$L38,FALSE))*($T38*(1-$F38)+$S38*(1-$G38))*((1+Inputs!$D$7)^CE$2))))))))</f>
        <v>442.75597161269121</v>
      </c>
      <c r="CF38" s="88">
        <f>MAX(AP38,($E38*IF(CF$2&gt;Inputs!$D$5,0,IF(CF$2&gt;VLOOKUP($H38,Lists!$P$3:$Q$7,2),IF($N38=Lists!$K$3,IF($L38&lt;1,(($U38/$L38)*((1+Inputs!$D$7)^CF$2)),((INT(CF$2/$L38)-INT((CF$2-1)/$L38))*$U38*((1+Inputs!$D$7)^CF$2))),(Inputs!$D$8^((1-_xlfn.WEIBULL.DIST(CF$2,$M38,$L38,FALSE))/_xlfn.WEIBULL.DIST(CF$2,$M38,$L38,FALSE))*$U38*((1+Inputs!$D$7)^CF$2))),IF($N38=Lists!$K$3,IF($L38&lt;1,((($T38*(1-$F38)+$S38*(1-$G38))/$L38)*((1+Inputs!$D$7)^CF$2)),((INT(CF$2/$L38)-INT((CF$2-1)/$L38))*($T38*(1-$F38)+$S38*(1-$G38))*((1+Inputs!$D$7)^CF$2))),((Inputs!$D$8^((1-_xlfn.WEIBULL.DIST(CF$2,$M38,$L38,FALSE))/_xlfn.WEIBULL.DIST(CF$2,$M38,$L38,FALSE))*($T38*(1-$F38)+$S38*(1-$G38))*((1+Inputs!$D$7)^CF$2))))))))</f>
        <v>376.83788211712704</v>
      </c>
      <c r="CG38" s="88">
        <f>MAX(AQ38,($E38*IF(CG$2&gt;Inputs!$D$5,0,IF(CG$2&gt;VLOOKUP($H38,Lists!$P$3:$Q$7,2),IF($N38=Lists!$K$3,IF($L38&lt;1,(($U38/$L38)*((1+Inputs!$D$7)^CG$2)),((INT(CG$2/$L38)-INT((CG$2-1)/$L38))*$U38*((1+Inputs!$D$7)^CG$2))),(Inputs!$D$8^((1-_xlfn.WEIBULL.DIST(CG$2,$M38,$L38,FALSE))/_xlfn.WEIBULL.DIST(CG$2,$M38,$L38,FALSE))*$U38*((1+Inputs!$D$7)^CG$2))),IF($N38=Lists!$K$3,IF($L38&lt;1,((($T38*(1-$F38)+$S38*(1-$G38))/$L38)*((1+Inputs!$D$7)^CG$2)),((INT(CG$2/$L38)-INT((CG$2-1)/$L38))*($T38*(1-$F38)+$S38*(1-$G38))*((1+Inputs!$D$7)^CG$2))),((Inputs!$D$8^((1-_xlfn.WEIBULL.DIST(CG$2,$M38,$L38,FALSE))/_xlfn.WEIBULL.DIST(CG$2,$M38,$L38,FALSE))*($T38*(1-$F38)+$S38*(1-$G38))*((1+Inputs!$D$7)^CG$2))))))))</f>
        <v>317.77099811340946</v>
      </c>
      <c r="CH38" s="88">
        <f>MAX(AR38,($E38*IF(CH$2&gt;Inputs!$D$5,0,IF(CH$2&gt;VLOOKUP($H38,Lists!$P$3:$Q$7,2),IF($N38=Lists!$K$3,IF($L38&lt;1,(($U38/$L38)*((1+Inputs!$D$7)^CH$2)),((INT(CH$2/$L38)-INT((CH$2-1)/$L38))*$U38*((1+Inputs!$D$7)^CH$2))),(Inputs!$D$8^((1-_xlfn.WEIBULL.DIST(CH$2,$M38,$L38,FALSE))/_xlfn.WEIBULL.DIST(CH$2,$M38,$L38,FALSE))*$U38*((1+Inputs!$D$7)^CH$2))),IF($N38=Lists!$K$3,IF($L38&lt;1,((($T38*(1-$F38)+$S38*(1-$G38))/$L38)*((1+Inputs!$D$7)^CH$2)),((INT(CH$2/$L38)-INT((CH$2-1)/$L38))*($T38*(1-$F38)+$S38*(1-$G38))*((1+Inputs!$D$7)^CH$2))),((Inputs!$D$8^((1-_xlfn.WEIBULL.DIST(CH$2,$M38,$L38,FALSE))/_xlfn.WEIBULL.DIST(CH$2,$M38,$L38,FALSE))*($T38*(1-$F38)+$S38*(1-$G38))*((1+Inputs!$D$7)^CH$2))))))))</f>
        <v>299.97229299285425</v>
      </c>
      <c r="CI38" s="88">
        <f>MAX(AS38,($E38*IF(CI$2&gt;Inputs!$D$5,0,IF(CI$2&gt;VLOOKUP($H38,Lists!$P$3:$Q$7,2),IF($N38=Lists!$K$3,IF($L38&lt;1,(($U38/$L38)*((1+Inputs!$D$7)^CI$2)),((INT(CI$2/$L38)-INT((CI$2-1)/$L38))*$U38*((1+Inputs!$D$7)^CI$2))),(Inputs!$D$8^((1-_xlfn.WEIBULL.DIST(CI$2,$M38,$L38,FALSE))/_xlfn.WEIBULL.DIST(CI$2,$M38,$L38,FALSE))*$U38*((1+Inputs!$D$7)^CI$2))),IF($N38=Lists!$K$3,IF($L38&lt;1,((($T38*(1-$F38)+$S38*(1-$G38))/$L38)*((1+Inputs!$D$7)^CI$2)),((INT(CI$2/$L38)-INT((CI$2-1)/$L38))*($T38*(1-$F38)+$S38*(1-$G38))*((1+Inputs!$D$7)^CI$2))),((Inputs!$D$8^((1-_xlfn.WEIBULL.DIST(CI$2,$M38,$L38,FALSE))/_xlfn.WEIBULL.DIST(CI$2,$M38,$L38,FALSE))*($T38*(1-$F38)+$S38*(1-$G38))*((1+Inputs!$D$7)^CI$2))))))))</f>
        <v>291.04932106234736</v>
      </c>
      <c r="CJ38" s="88">
        <f>MAX(AT38,($E38*IF(CJ$2&gt;Inputs!$D$5,0,IF(CJ$2&gt;VLOOKUP($H38,Lists!$P$3:$Q$7,2),IF($N38=Lists!$K$3,IF($L38&lt;1,(($U38/$L38)*((1+Inputs!$D$7)^CJ$2)),((INT(CJ$2/$L38)-INT((CJ$2-1)/$L38))*$U38*((1+Inputs!$D$7)^CJ$2))),(Inputs!$D$8^((1-_xlfn.WEIBULL.DIST(CJ$2,$M38,$L38,FALSE))/_xlfn.WEIBULL.DIST(CJ$2,$M38,$L38,FALSE))*$U38*((1+Inputs!$D$7)^CJ$2))),IF($N38=Lists!$K$3,IF($L38&lt;1,((($T38*(1-$F38)+$S38*(1-$G38))/$L38)*((1+Inputs!$D$7)^CJ$2)),((INT(CJ$2/$L38)-INT((CJ$2-1)/$L38))*($T38*(1-$F38)+$S38*(1-$G38))*((1+Inputs!$D$7)^CJ$2))),((Inputs!$D$8^((1-_xlfn.WEIBULL.DIST(CJ$2,$M38,$L38,FALSE))/_xlfn.WEIBULL.DIST(CJ$2,$M38,$L38,FALSE))*($T38*(1-$F38)+$S38*(1-$G38))*((1+Inputs!$D$7)^CJ$2))))))))</f>
        <v>282.39177173896945</v>
      </c>
      <c r="CK38" s="88">
        <f>MAX(AU38,($E38*IF(CK$2&gt;Inputs!$D$5,0,IF(CK$2&gt;VLOOKUP($H38,Lists!$P$3:$Q$7,2),IF($N38=Lists!$K$3,IF($L38&lt;1,(($U38/$L38)*((1+Inputs!$D$7)^CK$2)),((INT(CK$2/$L38)-INT((CK$2-1)/$L38))*$U38*((1+Inputs!$D$7)^CK$2))),(Inputs!$D$8^((1-_xlfn.WEIBULL.DIST(CK$2,$M38,$L38,FALSE))/_xlfn.WEIBULL.DIST(CK$2,$M38,$L38,FALSE))*$U38*((1+Inputs!$D$7)^CK$2))),IF($N38=Lists!$K$3,IF($L38&lt;1,((($T38*(1-$F38)+$S38*(1-$G38))/$L38)*((1+Inputs!$D$7)^CK$2)),((INT(CK$2/$L38)-INT((CK$2-1)/$L38))*($T38*(1-$F38)+$S38*(1-$G38))*((1+Inputs!$D$7)^CK$2))),((Inputs!$D$8^((1-_xlfn.WEIBULL.DIST(CK$2,$M38,$L38,FALSE))/_xlfn.WEIBULL.DIST(CK$2,$M38,$L38,FALSE))*($T38*(1-$F38)+$S38*(1-$G38))*((1+Inputs!$D$7)^CK$2))))))))</f>
        <v>273.99174976529684</v>
      </c>
      <c r="CL38" s="88">
        <f>MAX(AV38,($E38*IF(CL$2&gt;Inputs!$D$5,0,IF(CL$2&gt;VLOOKUP($H38,Lists!$P$3:$Q$7,2),IF($N38=Lists!$K$3,IF($L38&lt;1,(($U38/$L38)*((1+Inputs!$D$7)^CL$2)),((INT(CL$2/$L38)-INT((CL$2-1)/$L38))*$U38*((1+Inputs!$D$7)^CL$2))),(Inputs!$D$8^((1-_xlfn.WEIBULL.DIST(CL$2,$M38,$L38,FALSE))/_xlfn.WEIBULL.DIST(CL$2,$M38,$L38,FALSE))*$U38*((1+Inputs!$D$7)^CL$2))),IF($N38=Lists!$K$3,IF($L38&lt;1,((($T38*(1-$F38)+$S38*(1-$G38))/$L38)*((1+Inputs!$D$7)^CL$2)),((INT(CL$2/$L38)-INT((CL$2-1)/$L38))*($T38*(1-$F38)+$S38*(1-$G38))*((1+Inputs!$D$7)^CL$2))),((Inputs!$D$8^((1-_xlfn.WEIBULL.DIST(CL$2,$M38,$L38,FALSE))/_xlfn.WEIBULL.DIST(CL$2,$M38,$L38,FALSE))*($T38*(1-$F38)+$S38*(1-$G38))*((1+Inputs!$D$7)^CL$2))))))))</f>
        <v>265.84159473613073</v>
      </c>
      <c r="CM38" s="88">
        <f>MAX(AW38,($E38*IF(CM$2&gt;Inputs!$D$5,0,IF(CM$2&gt;VLOOKUP($H38,Lists!$P$3:$Q$7,2),IF($N38=Lists!$K$3,IF($L38&lt;1,(($U38/$L38)*((1+Inputs!$D$7)^CM$2)),((INT(CM$2/$L38)-INT((CM$2-1)/$L38))*$U38*((1+Inputs!$D$7)^CM$2))),(Inputs!$D$8^((1-_xlfn.WEIBULL.DIST(CM$2,$M38,$L38,FALSE))/_xlfn.WEIBULL.DIST(CM$2,$M38,$L38,FALSE))*$U38*((1+Inputs!$D$7)^CM$2))),IF($N38=Lists!$K$3,IF($L38&lt;1,((($T38*(1-$F38)+$S38*(1-$G38))/$L38)*((1+Inputs!$D$7)^CM$2)),((INT(CM$2/$L38)-INT((CM$2-1)/$L38))*($T38*(1-$F38)+$S38*(1-$G38))*((1+Inputs!$D$7)^CM$2))),((Inputs!$D$8^((1-_xlfn.WEIBULL.DIST(CM$2,$M38,$L38,FALSE))/_xlfn.WEIBULL.DIST(CM$2,$M38,$L38,FALSE))*($T38*(1-$F38)+$S38*(1-$G38))*((1+Inputs!$D$7)^CM$2))))))))</f>
        <v>257.93387411258561</v>
      </c>
      <c r="CN38" s="88">
        <f>MAX(AX38,($E38*IF(CN$2&gt;Inputs!$D$5,0,IF(CN$2&gt;VLOOKUP($H38,Lists!$P$3:$Q$7,2),IF($N38=Lists!$K$3,IF($L38&lt;1,(($U38/$L38)*((1+Inputs!$D$7)^CN$2)),((INT(CN$2/$L38)-INT((CN$2-1)/$L38))*$U38*((1+Inputs!$D$7)^CN$2))),(Inputs!$D$8^((1-_xlfn.WEIBULL.DIST(CN$2,$M38,$L38,FALSE))/_xlfn.WEIBULL.DIST(CN$2,$M38,$L38,FALSE))*$U38*((1+Inputs!$D$7)^CN$2))),IF($N38=Lists!$K$3,IF($L38&lt;1,((($T38*(1-$F38)+$S38*(1-$G38))/$L38)*((1+Inputs!$D$7)^CN$2)),((INT(CN$2/$L38)-INT((CN$2-1)/$L38))*($T38*(1-$F38)+$S38*(1-$G38))*((1+Inputs!$D$7)^CN$2))),((Inputs!$D$8^((1-_xlfn.WEIBULL.DIST(CN$2,$M38,$L38,FALSE))/_xlfn.WEIBULL.DIST(CN$2,$M38,$L38,FALSE))*($T38*(1-$F38)+$S38*(1-$G38))*((1+Inputs!$D$7)^CN$2))))))))</f>
        <v>250.26137644398156</v>
      </c>
      <c r="CO38" s="88">
        <f>MAX(AY38,($E38*IF(CO$2&gt;Inputs!$D$5,0,IF(CO$2&gt;VLOOKUP($H38,Lists!$P$3:$Q$7,2),IF($N38=Lists!$K$3,IF($L38&lt;1,(($U38/$L38)*((1+Inputs!$D$7)^CO$2)),((INT(CO$2/$L38)-INT((CO$2-1)/$L38))*$U38*((1+Inputs!$D$7)^CO$2))),(Inputs!$D$8^((1-_xlfn.WEIBULL.DIST(CO$2,$M38,$L38,FALSE))/_xlfn.WEIBULL.DIST(CO$2,$M38,$L38,FALSE))*$U38*((1+Inputs!$D$7)^CO$2))),IF($N38=Lists!$K$3,IF($L38&lt;1,((($T38*(1-$F38)+$S38*(1-$G38))/$L38)*((1+Inputs!$D$7)^CO$2)),((INT(CO$2/$L38)-INT((CO$2-1)/$L38))*($T38*(1-$F38)+$S38*(1-$G38))*((1+Inputs!$D$7)^CO$2))),((Inputs!$D$8^((1-_xlfn.WEIBULL.DIST(CO$2,$M38,$L38,FALSE))/_xlfn.WEIBULL.DIST(CO$2,$M38,$L38,FALSE))*($T38*(1-$F38)+$S38*(1-$G38))*((1+Inputs!$D$7)^CO$2))))))))</f>
        <v>242.8171047913564</v>
      </c>
      <c r="CP38" s="88">
        <f>MAX(AZ38,($E38*IF(CP$2&gt;Inputs!$D$5,0,IF(CP$2&gt;VLOOKUP($H38,Lists!$P$3:$Q$7,2),IF($N38=Lists!$K$3,IF($L38&lt;1,(($U38/$L38)*((1+Inputs!$D$7)^CP$2)),((INT(CP$2/$L38)-INT((CP$2-1)/$L38))*$U38*((1+Inputs!$D$7)^CP$2))),(Inputs!$D$8^((1-_xlfn.WEIBULL.DIST(CP$2,$M38,$L38,FALSE))/_xlfn.WEIBULL.DIST(CP$2,$M38,$L38,FALSE))*$U38*((1+Inputs!$D$7)^CP$2))),IF($N38=Lists!$K$3,IF($L38&lt;1,((($T38*(1-$F38)+$S38*(1-$G38))/$L38)*((1+Inputs!$D$7)^CP$2)),((INT(CP$2/$L38)-INT((CP$2-1)/$L38))*($T38*(1-$F38)+$S38*(1-$G38))*((1+Inputs!$D$7)^CP$2))),((Inputs!$D$8^((1-_xlfn.WEIBULL.DIST(CP$2,$M38,$L38,FALSE))/_xlfn.WEIBULL.DIST(CP$2,$M38,$L38,FALSE))*($T38*(1-$F38)+$S38*(1-$G38))*((1+Inputs!$D$7)^CP$2))))))))</f>
        <v>0</v>
      </c>
      <c r="CQ38" s="88">
        <f>MAX(BA38,($E38*IF(CQ$2&gt;Inputs!$D$5,0,IF(CQ$2&gt;VLOOKUP($H38,Lists!$P$3:$Q$7,2),IF($N38=Lists!$K$3,IF($L38&lt;1,(($U38/$L38)*((1+Inputs!$D$7)^CQ$2)),((INT(CQ$2/$L38)-INT((CQ$2-1)/$L38))*$U38*((1+Inputs!$D$7)^CQ$2))),(Inputs!$D$8^((1-_xlfn.WEIBULL.DIST(CQ$2,$M38,$L38,FALSE))/_xlfn.WEIBULL.DIST(CQ$2,$M38,$L38,FALSE))*$U38*((1+Inputs!$D$7)^CQ$2))),IF($N38=Lists!$K$3,IF($L38&lt;1,((($T38*(1-$F38)+$S38*(1-$G38))/$L38)*((1+Inputs!$D$7)^CQ$2)),((INT(CQ$2/$L38)-INT((CQ$2-1)/$L38))*($T38*(1-$F38)+$S38*(1-$G38))*((1+Inputs!$D$7)^CQ$2))),((Inputs!$D$8^((1-_xlfn.WEIBULL.DIST(CQ$2,$M38,$L38,FALSE))/_xlfn.WEIBULL.DIST(CQ$2,$M38,$L38,FALSE))*($T38*(1-$F38)+$S38*(1-$G38))*((1+Inputs!$D$7)^CQ$2))))))))</f>
        <v>0</v>
      </c>
      <c r="CR38" s="88">
        <f>MAX(BB38,($E38*IF(CR$2&gt;Inputs!$D$5,0,IF(CR$2&gt;VLOOKUP($H38,Lists!$P$3:$Q$7,2),IF($N38=Lists!$K$3,IF($L38&lt;1,(($U38/$L38)*((1+Inputs!$D$7)^CR$2)),((INT(CR$2/$L38)-INT((CR$2-1)/$L38))*$U38*((1+Inputs!$D$7)^CR$2))),(Inputs!$D$8^((1-_xlfn.WEIBULL.DIST(CR$2,$M38,$L38,FALSE))/_xlfn.WEIBULL.DIST(CR$2,$M38,$L38,FALSE))*$U38*((1+Inputs!$D$7)^CR$2))),IF($N38=Lists!$K$3,IF($L38&lt;1,((($T38*(1-$F38)+$S38*(1-$G38))/$L38)*((1+Inputs!$D$7)^CR$2)),((INT(CR$2/$L38)-INT((CR$2-1)/$L38))*($T38*(1-$F38)+$S38*(1-$G38))*((1+Inputs!$D$7)^CR$2))),((Inputs!$D$8^((1-_xlfn.WEIBULL.DIST(CR$2,$M38,$L38,FALSE))/_xlfn.WEIBULL.DIST(CR$2,$M38,$L38,FALSE))*($T38*(1-$F38)+$S38*(1-$G38))*((1+Inputs!$D$7)^CR$2))))))))</f>
        <v>0</v>
      </c>
      <c r="CS38" s="88">
        <f>MAX(BC38,($E38*IF(CS$2&gt;Inputs!$D$5,0,IF(CS$2&gt;VLOOKUP($H38,Lists!$P$3:$Q$7,2),IF($N38=Lists!$K$3,IF($L38&lt;1,(($U38/$L38)*((1+Inputs!$D$7)^CS$2)),((INT(CS$2/$L38)-INT((CS$2-1)/$L38))*$U38*((1+Inputs!$D$7)^CS$2))),(Inputs!$D$8^((1-_xlfn.WEIBULL.DIST(CS$2,$M38,$L38,FALSE))/_xlfn.WEIBULL.DIST(CS$2,$M38,$L38,FALSE))*$U38*((1+Inputs!$D$7)^CS$2))),IF($N38=Lists!$K$3,IF($L38&lt;1,((($T38*(1-$F38)+$S38*(1-$G38))/$L38)*((1+Inputs!$D$7)^CS$2)),((INT(CS$2/$L38)-INT((CS$2-1)/$L38))*($T38*(1-$F38)+$S38*(1-$G38))*((1+Inputs!$D$7)^CS$2))),((Inputs!$D$8^((1-_xlfn.WEIBULL.DIST(CS$2,$M38,$L38,FALSE))/_xlfn.WEIBULL.DIST(CS$2,$M38,$L38,FALSE))*($T38*(1-$F38)+$S38*(1-$G38))*((1+Inputs!$D$7)^CS$2))))))))</f>
        <v>0</v>
      </c>
      <c r="CT38" s="88">
        <f>MAX(BD38,($E38*IF(CT$2&gt;Inputs!$D$5,0,IF(CT$2&gt;VLOOKUP($H38,Lists!$P$3:$Q$7,2),IF($N38=Lists!$K$3,IF($L38&lt;1,(($U38/$L38)*((1+Inputs!$D$7)^CT$2)),((INT(CT$2/$L38)-INT((CT$2-1)/$L38))*$U38*((1+Inputs!$D$7)^CT$2))),(Inputs!$D$8^((1-_xlfn.WEIBULL.DIST(CT$2,$M38,$L38,FALSE))/_xlfn.WEIBULL.DIST(CT$2,$M38,$L38,FALSE))*$U38*((1+Inputs!$D$7)^CT$2))),IF($N38=Lists!$K$3,IF($L38&lt;1,((($T38*(1-$F38)+$S38*(1-$G38))/$L38)*((1+Inputs!$D$7)^CT$2)),((INT(CT$2/$L38)-INT((CT$2-1)/$L38))*($T38*(1-$F38)+$S38*(1-$G38))*((1+Inputs!$D$7)^CT$2))),((Inputs!$D$8^((1-_xlfn.WEIBULL.DIST(CT$2,$M38,$L38,FALSE))/_xlfn.WEIBULL.DIST(CT$2,$M38,$L38,FALSE))*($T38*(1-$F38)+$S38*(1-$G38))*((1+Inputs!$D$7)^CT$2))))))))</f>
        <v>0</v>
      </c>
      <c r="CU38" s="88">
        <f>MAX(BE38,($E38*IF(CU$2&gt;Inputs!$D$5,0,IF(CU$2&gt;VLOOKUP($H38,Lists!$P$3:$Q$7,2),IF($N38=Lists!$K$3,IF($L38&lt;1,(($U38/$L38)*((1+Inputs!$D$7)^CU$2)),((INT(CU$2/$L38)-INT((CU$2-1)/$L38))*$U38*((1+Inputs!$D$7)^CU$2))),(Inputs!$D$8^((1-_xlfn.WEIBULL.DIST(CU$2,$M38,$L38,FALSE))/_xlfn.WEIBULL.DIST(CU$2,$M38,$L38,FALSE))*$U38*((1+Inputs!$D$7)^CU$2))),IF($N38=Lists!$K$3,IF($L38&lt;1,((($T38*(1-$F38)+$S38*(1-$G38))/$L38)*((1+Inputs!$D$7)^CU$2)),((INT(CU$2/$L38)-INT((CU$2-1)/$L38))*($T38*(1-$F38)+$S38*(1-$G38))*((1+Inputs!$D$7)^CU$2))),((Inputs!$D$8^((1-_xlfn.WEIBULL.DIST(CU$2,$M38,$L38,FALSE))/_xlfn.WEIBULL.DIST(CU$2,$M38,$L38,FALSE))*($T38*(1-$F38)+$S38*(1-$G38))*((1+Inputs!$D$7)^CU$2))))))))</f>
        <v>0</v>
      </c>
      <c r="CV38" s="88">
        <f>MAX(BF38,($E38*IF(CV$2&gt;Inputs!$D$5,0,IF(CV$2&gt;VLOOKUP($H38,Lists!$P$3:$Q$7,2),IF($N38=Lists!$K$3,IF($L38&lt;1,(($U38/$L38)*((1+Inputs!$D$7)^CV$2)),((INT(CV$2/$L38)-INT((CV$2-1)/$L38))*$U38*((1+Inputs!$D$7)^CV$2))),(Inputs!$D$8^((1-_xlfn.WEIBULL.DIST(CV$2,$M38,$L38,FALSE))/_xlfn.WEIBULL.DIST(CV$2,$M38,$L38,FALSE))*$U38*((1+Inputs!$D$7)^CV$2))),IF($N38=Lists!$K$3,IF($L38&lt;1,((($T38*(1-$F38)+$S38*(1-$G38))/$L38)*((1+Inputs!$D$7)^CV$2)),((INT(CV$2/$L38)-INT((CV$2-1)/$L38))*($T38*(1-$F38)+$S38*(1-$G38))*((1+Inputs!$D$7)^CV$2))),((Inputs!$D$8^((1-_xlfn.WEIBULL.DIST(CV$2,$M38,$L38,FALSE))/_xlfn.WEIBULL.DIST(CV$2,$M38,$L38,FALSE))*($T38*(1-$F38)+$S38*(1-$G38))*((1+Inputs!$D$7)^CV$2))))))))</f>
        <v>0</v>
      </c>
      <c r="CW38" s="88">
        <f>MAX(BG38,($E38*IF(CW$2&gt;Inputs!$D$5,0,IF(CW$2&gt;VLOOKUP($H38,Lists!$P$3:$Q$7,2),IF($N38=Lists!$K$3,IF($L38&lt;1,(($U38/$L38)*((1+Inputs!$D$7)^CW$2)),((INT(CW$2/$L38)-INT((CW$2-1)/$L38))*$U38*((1+Inputs!$D$7)^CW$2))),(Inputs!$D$8^((1-_xlfn.WEIBULL.DIST(CW$2,$M38,$L38,FALSE))/_xlfn.WEIBULL.DIST(CW$2,$M38,$L38,FALSE))*$U38*((1+Inputs!$D$7)^CW$2))),IF($N38=Lists!$K$3,IF($L38&lt;1,((($T38*(1-$F38)+$S38*(1-$G38))/$L38)*((1+Inputs!$D$7)^CW$2)),((INT(CW$2/$L38)-INT((CW$2-1)/$L38))*($T38*(1-$F38)+$S38*(1-$G38))*((1+Inputs!$D$7)^CW$2))),((Inputs!$D$8^((1-_xlfn.WEIBULL.DIST(CW$2,$M38,$L38,FALSE))/_xlfn.WEIBULL.DIST(CW$2,$M38,$L38,FALSE))*($T38*(1-$F38)+$S38*(1-$G38))*((1+Inputs!$D$7)^CW$2))))))))</f>
        <v>0</v>
      </c>
      <c r="CX38" s="88">
        <f>MAX(BH38,($E38*IF(CX$2&gt;Inputs!$D$5,0,IF(CX$2&gt;VLOOKUP($H38,Lists!$P$3:$Q$7,2),IF($N38=Lists!$K$3,IF($L38&lt;1,(($U38/$L38)*((1+Inputs!$D$7)^CX$2)),((INT(CX$2/$L38)-INT((CX$2-1)/$L38))*$U38*((1+Inputs!$D$7)^CX$2))),(Inputs!$D$8^((1-_xlfn.WEIBULL.DIST(CX$2,$M38,$L38,FALSE))/_xlfn.WEIBULL.DIST(CX$2,$M38,$L38,FALSE))*$U38*((1+Inputs!$D$7)^CX$2))),IF($N38=Lists!$K$3,IF($L38&lt;1,((($T38*(1-$F38)+$S38*(1-$G38))/$L38)*((1+Inputs!$D$7)^CX$2)),((INT(CX$2/$L38)-INT((CX$2-1)/$L38))*($T38*(1-$F38)+$S38*(1-$G38))*((1+Inputs!$D$7)^CX$2))),((Inputs!$D$8^((1-_xlfn.WEIBULL.DIST(CX$2,$M38,$L38,FALSE))/_xlfn.WEIBULL.DIST(CX$2,$M38,$L38,FALSE))*($T38*(1-$F38)+$S38*(1-$G38))*((1+Inputs!$D$7)^CX$2))))))))</f>
        <v>0</v>
      </c>
      <c r="CY38" s="88">
        <f>MAX(BI38,($E38*IF(CY$2&gt;Inputs!$D$5,0,IF(CY$2&gt;VLOOKUP($H38,Lists!$P$3:$Q$7,2),IF($N38=Lists!$K$3,IF($L38&lt;1,(($U38/$L38)*((1+Inputs!$D$7)^CY$2)),((INT(CY$2/$L38)-INT((CY$2-1)/$L38))*$U38*((1+Inputs!$D$7)^CY$2))),(Inputs!$D$8^((1-_xlfn.WEIBULL.DIST(CY$2,$M38,$L38,FALSE))/_xlfn.WEIBULL.DIST(CY$2,$M38,$L38,FALSE))*$U38*((1+Inputs!$D$7)^CY$2))),IF($N38=Lists!$K$3,IF($L38&lt;1,((($T38*(1-$F38)+$S38*(1-$G38))/$L38)*((1+Inputs!$D$7)^CY$2)),((INT(CY$2/$L38)-INT((CY$2-1)/$L38))*($T38*(1-$F38)+$S38*(1-$G38))*((1+Inputs!$D$7)^CY$2))),((Inputs!$D$8^((1-_xlfn.WEIBULL.DIST(CY$2,$M38,$L38,FALSE))/_xlfn.WEIBULL.DIST(CY$2,$M38,$L38,FALSE))*($T38*(1-$F38)+$S38*(1-$G38))*((1+Inputs!$D$7)^CY$2))))))))</f>
        <v>0</v>
      </c>
      <c r="CZ38" s="88">
        <f>MAX(BJ38,($E38*IF(CZ$2&gt;Inputs!$D$5,0,IF(CZ$2&gt;VLOOKUP($H38,Lists!$P$3:$Q$7,2),IF($N38=Lists!$K$3,IF($L38&lt;1,(($U38/$L38)*((1+Inputs!$D$7)^CZ$2)),((INT(CZ$2/$L38)-INT((CZ$2-1)/$L38))*$U38*((1+Inputs!$D$7)^CZ$2))),(Inputs!$D$8^((1-_xlfn.WEIBULL.DIST(CZ$2,$M38,$L38,FALSE))/_xlfn.WEIBULL.DIST(CZ$2,$M38,$L38,FALSE))*$U38*((1+Inputs!$D$7)^CZ$2))),IF($N38=Lists!$K$3,IF($L38&lt;1,((($T38*(1-$F38)+$S38*(1-$G38))/$L38)*((1+Inputs!$D$7)^CZ$2)),((INT(CZ$2/$L38)-INT((CZ$2-1)/$L38))*($T38*(1-$F38)+$S38*(1-$G38))*((1+Inputs!$D$7)^CZ$2))),((Inputs!$D$8^((1-_xlfn.WEIBULL.DIST(CZ$2,$M38,$L38,FALSE))/_xlfn.WEIBULL.DIST(CZ$2,$M38,$L38,FALSE))*($T38*(1-$F38)+$S38*(1-$G38))*((1+Inputs!$D$7)^CZ$2))))))))</f>
        <v>0</v>
      </c>
      <c r="DA38" s="88">
        <f>MAX(BK38,($E38*IF(DA$2&gt;Inputs!$D$5,0,IF(DA$2&gt;VLOOKUP($H38,Lists!$P$3:$Q$7,2),IF($N38=Lists!$K$3,IF($L38&lt;1,(($U38/$L38)*((1+Inputs!$D$7)^DA$2)),((INT(DA$2/$L38)-INT((DA$2-1)/$L38))*$U38*((1+Inputs!$D$7)^DA$2))),(Inputs!$D$8^((1-_xlfn.WEIBULL.DIST(DA$2,$M38,$L38,FALSE))/_xlfn.WEIBULL.DIST(DA$2,$M38,$L38,FALSE))*$U38*((1+Inputs!$D$7)^DA$2))),IF($N38=Lists!$K$3,IF($L38&lt;1,((($T38*(1-$F38)+$S38*(1-$G38))/$L38)*((1+Inputs!$D$7)^DA$2)),((INT(DA$2/$L38)-INT((DA$2-1)/$L38))*($T38*(1-$F38)+$S38*(1-$G38))*((1+Inputs!$D$7)^DA$2))),((Inputs!$D$8^((1-_xlfn.WEIBULL.DIST(DA$2,$M38,$L38,FALSE))/_xlfn.WEIBULL.DIST(DA$2,$M38,$L38,FALSE))*($T38*(1-$F38)+$S38*(1-$G38))*((1+Inputs!$D$7)^DA$2))))))))</f>
        <v>0</v>
      </c>
      <c r="DB38" s="88">
        <f>MAX(BL38,($E38*IF(DB$2&gt;Inputs!$D$5,0,IF(DB$2&gt;VLOOKUP($H38,Lists!$P$3:$Q$7,2),IF($N38=Lists!$K$3,IF($L38&lt;1,(($U38/$L38)*((1+Inputs!$D$7)^DB$2)),((INT(DB$2/$L38)-INT((DB$2-1)/$L38))*$U38*((1+Inputs!$D$7)^DB$2))),(Inputs!$D$8^((1-_xlfn.WEIBULL.DIST(DB$2,$M38,$L38,FALSE))/_xlfn.WEIBULL.DIST(DB$2,$M38,$L38,FALSE))*$U38*((1+Inputs!$D$7)^DB$2))),IF($N38=Lists!$K$3,IF($L38&lt;1,((($T38*(1-$F38)+$S38*(1-$G38))/$L38)*((1+Inputs!$D$7)^DB$2)),((INT(DB$2/$L38)-INT((DB$2-1)/$L38))*($T38*(1-$F38)+$S38*(1-$G38))*((1+Inputs!$D$7)^DB$2))),((Inputs!$D$8^((1-_xlfn.WEIBULL.DIST(DB$2,$M38,$L38,FALSE))/_xlfn.WEIBULL.DIST(DB$2,$M38,$L38,FALSE))*($T38*(1-$F38)+$S38*(1-$G38))*((1+Inputs!$D$7)^DB$2))))))))</f>
        <v>0</v>
      </c>
      <c r="DC38" s="88">
        <f>MAX(BM38,($E38*IF(DC$2&gt;Inputs!$D$5,0,IF(DC$2&gt;VLOOKUP($H38,Lists!$P$3:$Q$7,2),IF($N38=Lists!$K$3,IF($L38&lt;1,(($U38/$L38)*((1+Inputs!$D$7)^DC$2)),((INT(DC$2/$L38)-INT((DC$2-1)/$L38))*$U38*((1+Inputs!$D$7)^DC$2))),(Inputs!$D$8^((1-_xlfn.WEIBULL.DIST(DC$2,$M38,$L38,FALSE))/_xlfn.WEIBULL.DIST(DC$2,$M38,$L38,FALSE))*$U38*((1+Inputs!$D$7)^DC$2))),IF($N38=Lists!$K$3,IF($L38&lt;1,((($T38*(1-$F38)+$S38*(1-$G38))/$L38)*((1+Inputs!$D$7)^DC$2)),((INT(DC$2/$L38)-INT((DC$2-1)/$L38))*($T38*(1-$F38)+$S38*(1-$G38))*((1+Inputs!$D$7)^DC$2))),((Inputs!$D$8^((1-_xlfn.WEIBULL.DIST(DC$2,$M38,$L38,FALSE))/_xlfn.WEIBULL.DIST(DC$2,$M38,$L38,FALSE))*($T38*(1-$F38)+$S38*(1-$G38))*((1+Inputs!$D$7)^DC$2))))))))</f>
        <v>0</v>
      </c>
      <c r="DD38" s="88">
        <f>MAX(BN38,($E38*IF(DD$2&gt;Inputs!$D$5,0,IF(DD$2&gt;VLOOKUP($H38,Lists!$P$3:$Q$7,2),IF($N38=Lists!$K$3,IF($L38&lt;1,(($U38/$L38)*((1+Inputs!$D$7)^DD$2)),((INT(DD$2/$L38)-INT((DD$2-1)/$L38))*$U38*((1+Inputs!$D$7)^DD$2))),(Inputs!$D$8^((1-_xlfn.WEIBULL.DIST(DD$2,$M38,$L38,FALSE))/_xlfn.WEIBULL.DIST(DD$2,$M38,$L38,FALSE))*$U38*((1+Inputs!$D$7)^DD$2))),IF($N38=Lists!$K$3,IF($L38&lt;1,((($T38*(1-$F38)+$S38*(1-$G38))/$L38)*((1+Inputs!$D$7)^DD$2)),((INT(DD$2/$L38)-INT((DD$2-1)/$L38))*($T38*(1-$F38)+$S38*(1-$G38))*((1+Inputs!$D$7)^DD$2))),((Inputs!$D$8^((1-_xlfn.WEIBULL.DIST(DD$2,$M38,$L38,FALSE))/_xlfn.WEIBULL.DIST(DD$2,$M38,$L38,FALSE))*($T38*(1-$F38)+$S38*(1-$G38))*((1+Inputs!$D$7)^DD$2))))))))</f>
        <v>0</v>
      </c>
    </row>
    <row r="39" spans="1:108" s="1" customFormat="1" ht="16">
      <c r="A39" s="57" t="s">
        <v>192</v>
      </c>
      <c r="B39" s="13" t="s">
        <v>130</v>
      </c>
      <c r="C39" s="13" t="s">
        <v>474</v>
      </c>
      <c r="D39" s="13" t="s">
        <v>16</v>
      </c>
      <c r="E39" s="48">
        <f>IF(Inputs!$D$30=Lists!$M$4,1,0)</f>
        <v>1</v>
      </c>
      <c r="F39" s="48">
        <v>1</v>
      </c>
      <c r="G39" s="48">
        <v>0</v>
      </c>
      <c r="H39" s="105" t="s">
        <v>16</v>
      </c>
      <c r="I39" s="14" t="s">
        <v>264</v>
      </c>
      <c r="J39" s="14" t="s">
        <v>91</v>
      </c>
      <c r="K39" s="13">
        <f>VLOOKUP(J39,'Labor Rates'!$A$1:$F$16,2)</f>
        <v>33.17307692307692</v>
      </c>
      <c r="L39" s="15">
        <v>20</v>
      </c>
      <c r="M39" s="15">
        <v>1</v>
      </c>
      <c r="N39" s="16" t="s">
        <v>226</v>
      </c>
      <c r="O39" s="61">
        <f>Inputs!$D$32</f>
        <v>10</v>
      </c>
      <c r="P39" s="15">
        <v>4</v>
      </c>
      <c r="Q39" s="15">
        <f t="shared" si="7"/>
        <v>2</v>
      </c>
      <c r="R39" s="4">
        <f>0.1*Inputs!$D$33*1000</f>
        <v>100000</v>
      </c>
      <c r="S39" s="53">
        <f t="shared" si="8"/>
        <v>1326.9230769230767</v>
      </c>
      <c r="T39" s="53">
        <f t="shared" si="9"/>
        <v>1000000</v>
      </c>
      <c r="U39" s="54">
        <f t="shared" si="10"/>
        <v>1001326.9230769231</v>
      </c>
      <c r="V39" s="65"/>
      <c r="W39" s="58"/>
      <c r="X39" s="64">
        <f t="shared" si="11"/>
        <v>15763.417921315468</v>
      </c>
      <c r="Y39" s="64">
        <f>NPV(Inputs!$D$6,AA39:BN39)</f>
        <v>141268.3958846452</v>
      </c>
      <c r="Z39" s="67">
        <f t="shared" si="12"/>
        <v>6.6629072322292968E-2</v>
      </c>
      <c r="AA39" s="88">
        <f>$E39*IF(AA$2&gt;Inputs!$D$5,0,IF(AA$2&gt;VLOOKUP($H39,Lists!$P$3:$Q$7,2),IF($N39=Lists!$K$3,IF($L39&lt;1,(($U39/$L39)*((1+Inputs!$D$7)^AA$2)),((INT(AA$2/$L39)-INT((AA$2-1)/$L39))*$U39*((1+Inputs!$D$7)^AA$2))),(_xlfn.WEIBULL.DIST(AA$2,$M39,$L39,FALSE)*$U39*((1+Inputs!$D$7)^AA$2))),IF($N39=Lists!$K$3,IF($L39&lt;1,((($T39*(1-$F39)+$S39*(1-$G39))/$L39)*((1+Inputs!$D$7)^AA$2)),((INT(AA$2/$L39)-INT((AA$2-1)/$L39))*($T39*(1-$F39)+$S39*(1-$G39))*((1+Inputs!$D$7)^AA$2))),((_xlfn.WEIBULL.DIST(AA$2,$M39,$L39,FALSE)*($T39*(1-$F39)+$S39*(1-$G39))*((1+Inputs!$D$7)^AA$2))))))</f>
        <v>64.372622015731011</v>
      </c>
      <c r="AB39" s="88">
        <f>$E39*IF(AB$2&gt;Inputs!$D$5,0,IF(AB$2&gt;VLOOKUP($H39,Lists!$P$3:$Q$7,2),IF($N39=Lists!$K$3,IF($L39&lt;1,(($U39/$L39)*((1+Inputs!$D$7)^AB$2)),((INT(AB$2/$L39)-INT((AB$2-1)/$L39))*$U39*((1+Inputs!$D$7)^AB$2))),(_xlfn.WEIBULL.DIST(AB$2,$M39,$L39,FALSE)*$U39*((1+Inputs!$D$7)^AB$2))),IF($N39=Lists!$K$3,IF($L39&lt;1,((($T39*(1-$F39)+$S39*(1-$G39))/$L39)*((1+Inputs!$D$7)^AB$2)),((INT(AB$2/$L39)-INT((AB$2-1)/$L39))*($T39*(1-$F39)+$S39*(1-$G39))*((1+Inputs!$D$7)^AB$2))),((_xlfn.WEIBULL.DIST(AB$2,$M39,$L39,FALSE)*($T39*(1-$F39)+$S39*(1-$G39))*((1+Inputs!$D$7)^AB$2))))))</f>
        <v>62.457794837498319</v>
      </c>
      <c r="AC39" s="88">
        <f>$E39*IF(AC$2&gt;Inputs!$D$5,0,IF(AC$2&gt;VLOOKUP($H39,Lists!$P$3:$Q$7,2),IF($N39=Lists!$K$3,IF($L39&lt;1,(($U39/$L39)*((1+Inputs!$D$7)^AC$2)),((INT(AC$2/$L39)-INT((AC$2-1)/$L39))*$U39*((1+Inputs!$D$7)^AC$2))),(_xlfn.WEIBULL.DIST(AC$2,$M39,$L39,FALSE)*$U39*((1+Inputs!$D$7)^AC$2))),IF($N39=Lists!$K$3,IF($L39&lt;1,((($T39*(1-$F39)+$S39*(1-$G39))/$L39)*((1+Inputs!$D$7)^AC$2)),((INT(AC$2/$L39)-INT((AC$2-1)/$L39))*($T39*(1-$F39)+$S39*(1-$G39))*((1+Inputs!$D$7)^AC$2))),((_xlfn.WEIBULL.DIST(AC$2,$M39,$L39,FALSE)*($T39*(1-$F39)+$S39*(1-$G39))*((1+Inputs!$D$7)^AC$2))))))</f>
        <v>60.599926083634337</v>
      </c>
      <c r="AD39" s="88">
        <f>$E39*IF(AD$2&gt;Inputs!$D$5,0,IF(AD$2&gt;VLOOKUP($H39,Lists!$P$3:$Q$7,2),IF($N39=Lists!$K$3,IF($L39&lt;1,(($U39/$L39)*((1+Inputs!$D$7)^AD$2)),((INT(AD$2/$L39)-INT((AD$2-1)/$L39))*$U39*((1+Inputs!$D$7)^AD$2))),(_xlfn.WEIBULL.DIST(AD$2,$M39,$L39,FALSE)*$U39*((1+Inputs!$D$7)^AD$2))),IF($N39=Lists!$K$3,IF($L39&lt;1,((($T39*(1-$F39)+$S39*(1-$G39))/$L39)*((1+Inputs!$D$7)^AD$2)),((INT(AD$2/$L39)-INT((AD$2-1)/$L39))*($T39*(1-$F39)+$S39*(1-$G39))*((1+Inputs!$D$7)^AD$2))),((_xlfn.WEIBULL.DIST(AD$2,$M39,$L39,FALSE)*($T39*(1-$F39)+$S39*(1-$G39))*((1+Inputs!$D$7)^AD$2))))))</f>
        <v>58.797321469587722</v>
      </c>
      <c r="AE39" s="88">
        <f>$E39*IF(AE$2&gt;Inputs!$D$5,0,IF(AE$2&gt;VLOOKUP($H39,Lists!$P$3:$Q$7,2),IF($N39=Lists!$K$3,IF($L39&lt;1,(($U39/$L39)*((1+Inputs!$D$7)^AE$2)),((INT(AE$2/$L39)-INT((AE$2-1)/$L39))*$U39*((1+Inputs!$D$7)^AE$2))),(_xlfn.WEIBULL.DIST(AE$2,$M39,$L39,FALSE)*$U39*((1+Inputs!$D$7)^AE$2))),IF($N39=Lists!$K$3,IF($L39&lt;1,((($T39*(1-$F39)+$S39*(1-$G39))/$L39)*((1+Inputs!$D$7)^AE$2)),((INT(AE$2/$L39)-INT((AE$2-1)/$L39))*($T39*(1-$F39)+$S39*(1-$G39))*((1+Inputs!$D$7)^AE$2))),((_xlfn.WEIBULL.DIST(AE$2,$M39,$L39,FALSE)*($T39*(1-$F39)+$S39*(1-$G39))*((1+Inputs!$D$7)^AE$2))))))</f>
        <v>57.048337108973392</v>
      </c>
      <c r="AF39" s="88">
        <f>$E39*IF(AF$2&gt;Inputs!$D$5,0,IF(AF$2&gt;VLOOKUP($H39,Lists!$P$3:$Q$7,2),IF($N39=Lists!$K$3,IF($L39&lt;1,(($U39/$L39)*((1+Inputs!$D$7)^AF$2)),((INT(AF$2/$L39)-INT((AF$2-1)/$L39))*$U39*((1+Inputs!$D$7)^AF$2))),(_xlfn.WEIBULL.DIST(AF$2,$M39,$L39,FALSE)*$U39*((1+Inputs!$D$7)^AF$2))),IF($N39=Lists!$K$3,IF($L39&lt;1,((($T39*(1-$F39)+$S39*(1-$G39))/$L39)*((1+Inputs!$D$7)^AF$2)),((INT(AF$2/$L39)-INT((AF$2-1)/$L39))*($T39*(1-$F39)+$S39*(1-$G39))*((1+Inputs!$D$7)^AF$2))),((_xlfn.WEIBULL.DIST(AF$2,$M39,$L39,FALSE)*($T39*(1-$F39)+$S39*(1-$G39))*((1+Inputs!$D$7)^AF$2))))))</f>
        <v>55.351378014429329</v>
      </c>
      <c r="AG39" s="88">
        <f>$E39*IF(AG$2&gt;Inputs!$D$5,0,IF(AG$2&gt;VLOOKUP($H39,Lists!$P$3:$Q$7,2),IF($N39=Lists!$K$3,IF($L39&lt;1,(($U39/$L39)*((1+Inputs!$D$7)^AG$2)),((INT(AG$2/$L39)-INT((AG$2-1)/$L39))*$U39*((1+Inputs!$D$7)^AG$2))),(_xlfn.WEIBULL.DIST(AG$2,$M39,$L39,FALSE)*$U39*((1+Inputs!$D$7)^AG$2))),IF($N39=Lists!$K$3,IF($L39&lt;1,((($T39*(1-$F39)+$S39*(1-$G39))/$L39)*((1+Inputs!$D$7)^AG$2)),((INT(AG$2/$L39)-INT((AG$2-1)/$L39))*($T39*(1-$F39)+$S39*(1-$G39))*((1+Inputs!$D$7)^AG$2))),((_xlfn.WEIBULL.DIST(AG$2,$M39,$L39,FALSE)*($T39*(1-$F39)+$S39*(1-$G39))*((1+Inputs!$D$7)^AG$2))))))</f>
        <v>53.704896643066803</v>
      </c>
      <c r="AH39" s="88">
        <f>$E39*IF(AH$2&gt;Inputs!$D$5,0,IF(AH$2&gt;VLOOKUP($H39,Lists!$P$3:$Q$7,2),IF($N39=Lists!$K$3,IF($L39&lt;1,(($U39/$L39)*((1+Inputs!$D$7)^AH$2)),((INT(AH$2/$L39)-INT((AH$2-1)/$L39))*$U39*((1+Inputs!$D$7)^AH$2))),(_xlfn.WEIBULL.DIST(AH$2,$M39,$L39,FALSE)*$U39*((1+Inputs!$D$7)^AH$2))),IF($N39=Lists!$K$3,IF($L39&lt;1,((($T39*(1-$F39)+$S39*(1-$G39))/$L39)*((1+Inputs!$D$7)^AH$2)),((INT(AH$2/$L39)-INT((AH$2-1)/$L39))*($T39*(1-$F39)+$S39*(1-$G39))*((1+Inputs!$D$7)^AH$2))),((_xlfn.WEIBULL.DIST(AH$2,$M39,$L39,FALSE)*($T39*(1-$F39)+$S39*(1-$G39))*((1+Inputs!$D$7)^AH$2))))))</f>
        <v>52.107391485187868</v>
      </c>
      <c r="AI39" s="88">
        <f>$E39*IF(AI$2&gt;Inputs!$D$5,0,IF(AI$2&gt;VLOOKUP($H39,Lists!$P$3:$Q$7,2),IF($N39=Lists!$K$3,IF($L39&lt;1,(($U39/$L39)*((1+Inputs!$D$7)^AI$2)),((INT(AI$2/$L39)-INT((AI$2-1)/$L39))*$U39*((1+Inputs!$D$7)^AI$2))),(_xlfn.WEIBULL.DIST(AI$2,$M39,$L39,FALSE)*$U39*((1+Inputs!$D$7)^AI$2))),IF($N39=Lists!$K$3,IF($L39&lt;1,((($T39*(1-$F39)+$S39*(1-$G39))/$L39)*((1+Inputs!$D$7)^AI$2)),((INT(AI$2/$L39)-INT((AI$2-1)/$L39))*($T39*(1-$F39)+$S39*(1-$G39))*((1+Inputs!$D$7)^AI$2))),((_xlfn.WEIBULL.DIST(AI$2,$M39,$L39,FALSE)*($T39*(1-$F39)+$S39*(1-$G39))*((1+Inputs!$D$7)^AI$2))))))</f>
        <v>50.557405694982435</v>
      </c>
      <c r="AJ39" s="88">
        <f>$E39*IF(AJ$2&gt;Inputs!$D$5,0,IF(AJ$2&gt;VLOOKUP($H39,Lists!$P$3:$Q$7,2),IF($N39=Lists!$K$3,IF($L39&lt;1,(($U39/$L39)*((1+Inputs!$D$7)^AJ$2)),((INT(AJ$2/$L39)-INT((AJ$2-1)/$L39))*$U39*((1+Inputs!$D$7)^AJ$2))),(_xlfn.WEIBULL.DIST(AJ$2,$M39,$L39,FALSE)*$U39*((1+Inputs!$D$7)^AJ$2))),IF($N39=Lists!$K$3,IF($L39&lt;1,((($T39*(1-$F39)+$S39*(1-$G39))/$L39)*((1+Inputs!$D$7)^AJ$2)),((INT(AJ$2/$L39)-INT((AJ$2-1)/$L39))*($T39*(1-$F39)+$S39*(1-$G39))*((1+Inputs!$D$7)^AJ$2))),((_xlfn.WEIBULL.DIST(AJ$2,$M39,$L39,FALSE)*($T39*(1-$F39)+$S39*(1-$G39))*((1+Inputs!$D$7)^AJ$2))))))</f>
        <v>49.053525761957005</v>
      </c>
      <c r="AK39" s="88">
        <f>$E39*IF(AK$2&gt;Inputs!$D$5,0,IF(AK$2&gt;VLOOKUP($H39,Lists!$P$3:$Q$7,2),IF($N39=Lists!$K$3,IF($L39&lt;1,(($U39/$L39)*((1+Inputs!$D$7)^AK$2)),((INT(AK$2/$L39)-INT((AK$2-1)/$L39))*$U39*((1+Inputs!$D$7)^AK$2))),(_xlfn.WEIBULL.DIST(AK$2,$M39,$L39,FALSE)*$U39*((1+Inputs!$D$7)^AK$2))),IF($N39=Lists!$K$3,IF($L39&lt;1,((($T39*(1-$F39)+$S39*(1-$G39))/$L39)*((1+Inputs!$D$7)^AK$2)),((INT(AK$2/$L39)-INT((AK$2-1)/$L39))*($T39*(1-$F39)+$S39*(1-$G39))*((1+Inputs!$D$7)^AK$2))),((_xlfn.WEIBULL.DIST(AK$2,$M39,$L39,FALSE)*($T39*(1-$F39)+$S39*(1-$G39))*((1+Inputs!$D$7)^AK$2))))))</f>
        <v>35915.822953235052</v>
      </c>
      <c r="AL39" s="88">
        <f>$E39*IF(AL$2&gt;Inputs!$D$5,0,IF(AL$2&gt;VLOOKUP($H39,Lists!$P$3:$Q$7,2),IF($N39=Lists!$K$3,IF($L39&lt;1,(($U39/$L39)*((1+Inputs!$D$7)^AL$2)),((INT(AL$2/$L39)-INT((AL$2-1)/$L39))*$U39*((1+Inputs!$D$7)^AL$2))),(_xlfn.WEIBULL.DIST(AL$2,$M39,$L39,FALSE)*$U39*((1+Inputs!$D$7)^AL$2))),IF($N39=Lists!$K$3,IF($L39&lt;1,((($T39*(1-$F39)+$S39*(1-$G39))/$L39)*((1+Inputs!$D$7)^AL$2)),((INT(AL$2/$L39)-INT((AL$2-1)/$L39))*($T39*(1-$F39)+$S39*(1-$G39))*((1+Inputs!$D$7)^AL$2))),((_xlfn.WEIBULL.DIST(AL$2,$M39,$L39,FALSE)*($T39*(1-$F39)+$S39*(1-$G39))*((1+Inputs!$D$7)^AL$2))))))</f>
        <v>34847.471350240827</v>
      </c>
      <c r="AM39" s="88">
        <f>$E39*IF(AM$2&gt;Inputs!$D$5,0,IF(AM$2&gt;VLOOKUP($H39,Lists!$P$3:$Q$7,2),IF($N39=Lists!$K$3,IF($L39&lt;1,(($U39/$L39)*((1+Inputs!$D$7)^AM$2)),((INT(AM$2/$L39)-INT((AM$2-1)/$L39))*$U39*((1+Inputs!$D$7)^AM$2))),(_xlfn.WEIBULL.DIST(AM$2,$M39,$L39,FALSE)*$U39*((1+Inputs!$D$7)^AM$2))),IF($N39=Lists!$K$3,IF($L39&lt;1,((($T39*(1-$F39)+$S39*(1-$G39))/$L39)*((1+Inputs!$D$7)^AM$2)),((INT(AM$2/$L39)-INT((AM$2-1)/$L39))*($T39*(1-$F39)+$S39*(1-$G39))*((1+Inputs!$D$7)^AM$2))),((_xlfn.WEIBULL.DIST(AM$2,$M39,$L39,FALSE)*($T39*(1-$F39)+$S39*(1-$G39))*((1+Inputs!$D$7)^AM$2))))))</f>
        <v>33810.898920150597</v>
      </c>
      <c r="AN39" s="88">
        <f>$E39*IF(AN$2&gt;Inputs!$D$5,0,IF(AN$2&gt;VLOOKUP($H39,Lists!$P$3:$Q$7,2),IF($N39=Lists!$K$3,IF($L39&lt;1,(($U39/$L39)*((1+Inputs!$D$7)^AN$2)),((INT(AN$2/$L39)-INT((AN$2-1)/$L39))*$U39*((1+Inputs!$D$7)^AN$2))),(_xlfn.WEIBULL.DIST(AN$2,$M39,$L39,FALSE)*$U39*((1+Inputs!$D$7)^AN$2))),IF($N39=Lists!$K$3,IF($L39&lt;1,((($T39*(1-$F39)+$S39*(1-$G39))/$L39)*((1+Inputs!$D$7)^AN$2)),((INT(AN$2/$L39)-INT((AN$2-1)/$L39))*($T39*(1-$F39)+$S39*(1-$G39))*((1+Inputs!$D$7)^AN$2))),((_xlfn.WEIBULL.DIST(AN$2,$M39,$L39,FALSE)*($T39*(1-$F39)+$S39*(1-$G39))*((1+Inputs!$D$7)^AN$2))))))</f>
        <v>32805.160360099995</v>
      </c>
      <c r="AO39" s="88">
        <f>$E39*IF(AO$2&gt;Inputs!$D$5,0,IF(AO$2&gt;VLOOKUP($H39,Lists!$P$3:$Q$7,2),IF($N39=Lists!$K$3,IF($L39&lt;1,(($U39/$L39)*((1+Inputs!$D$7)^AO$2)),((INT(AO$2/$L39)-INT((AO$2-1)/$L39))*$U39*((1+Inputs!$D$7)^AO$2))),(_xlfn.WEIBULL.DIST(AO$2,$M39,$L39,FALSE)*$U39*((1+Inputs!$D$7)^AO$2))),IF($N39=Lists!$K$3,IF($L39&lt;1,((($T39*(1-$F39)+$S39*(1-$G39))/$L39)*((1+Inputs!$D$7)^AO$2)),((INT(AO$2/$L39)-INT((AO$2-1)/$L39))*($T39*(1-$F39)+$S39*(1-$G39))*((1+Inputs!$D$7)^AO$2))),((_xlfn.WEIBULL.DIST(AO$2,$M39,$L39,FALSE)*($T39*(1-$F39)+$S39*(1-$G39))*((1+Inputs!$D$7)^AO$2))))))</f>
        <v>31829.338486191376</v>
      </c>
      <c r="AP39" s="88">
        <f>$E39*IF(AP$2&gt;Inputs!$D$5,0,IF(AP$2&gt;VLOOKUP($H39,Lists!$P$3:$Q$7,2),IF($N39=Lists!$K$3,IF($L39&lt;1,(($U39/$L39)*((1+Inputs!$D$7)^AP$2)),((INT(AP$2/$L39)-INT((AP$2-1)/$L39))*$U39*((1+Inputs!$D$7)^AP$2))),(_xlfn.WEIBULL.DIST(AP$2,$M39,$L39,FALSE)*$U39*((1+Inputs!$D$7)^AP$2))),IF($N39=Lists!$K$3,IF($L39&lt;1,((($T39*(1-$F39)+$S39*(1-$G39))/$L39)*((1+Inputs!$D$7)^AP$2)),((INT(AP$2/$L39)-INT((AP$2-1)/$L39))*($T39*(1-$F39)+$S39*(1-$G39))*((1+Inputs!$D$7)^AP$2))),((_xlfn.WEIBULL.DIST(AP$2,$M39,$L39,FALSE)*($T39*(1-$F39)+$S39*(1-$G39))*((1+Inputs!$D$7)^AP$2))))))</f>
        <v>30882.54339706742</v>
      </c>
      <c r="AQ39" s="88">
        <f>$E39*IF(AQ$2&gt;Inputs!$D$5,0,IF(AQ$2&gt;VLOOKUP($H39,Lists!$P$3:$Q$7,2),IF($N39=Lists!$K$3,IF($L39&lt;1,(($U39/$L39)*((1+Inputs!$D$7)^AQ$2)),((INT(AQ$2/$L39)-INT((AQ$2-1)/$L39))*$U39*((1+Inputs!$D$7)^AQ$2))),(_xlfn.WEIBULL.DIST(AQ$2,$M39,$L39,FALSE)*$U39*((1+Inputs!$D$7)^AQ$2))),IF($N39=Lists!$K$3,IF($L39&lt;1,((($T39*(1-$F39)+$S39*(1-$G39))/$L39)*((1+Inputs!$D$7)^AQ$2)),((INT(AQ$2/$L39)-INT((AQ$2-1)/$L39))*($T39*(1-$F39)+$S39*(1-$G39))*((1+Inputs!$D$7)^AQ$2))),((_xlfn.WEIBULL.DIST(AQ$2,$M39,$L39,FALSE)*($T39*(1-$F39)+$S39*(1-$G39))*((1+Inputs!$D$7)^AQ$2))))))</f>
        <v>29963.911662364993</v>
      </c>
      <c r="AR39" s="88">
        <f>$E39*IF(AR$2&gt;Inputs!$D$5,0,IF(AR$2&gt;VLOOKUP($H39,Lists!$P$3:$Q$7,2),IF($N39=Lists!$K$3,IF($L39&lt;1,(($U39/$L39)*((1+Inputs!$D$7)^AR$2)),((INT(AR$2/$L39)-INT((AR$2-1)/$L39))*$U39*((1+Inputs!$D$7)^AR$2))),(_xlfn.WEIBULL.DIST(AR$2,$M39,$L39,FALSE)*$U39*((1+Inputs!$D$7)^AR$2))),IF($N39=Lists!$K$3,IF($L39&lt;1,((($T39*(1-$F39)+$S39*(1-$G39))/$L39)*((1+Inputs!$D$7)^AR$2)),((INT(AR$2/$L39)-INT((AR$2-1)/$L39))*($T39*(1-$F39)+$S39*(1-$G39))*((1+Inputs!$D$7)^AR$2))),((_xlfn.WEIBULL.DIST(AR$2,$M39,$L39,FALSE)*($T39*(1-$F39)+$S39*(1-$G39))*((1+Inputs!$D$7)^AR$2))))))</f>
        <v>29072.605535309314</v>
      </c>
      <c r="AS39" s="88">
        <f>$E39*IF(AS$2&gt;Inputs!$D$5,0,IF(AS$2&gt;VLOOKUP($H39,Lists!$P$3:$Q$7,2),IF($N39=Lists!$K$3,IF($L39&lt;1,(($U39/$L39)*((1+Inputs!$D$7)^AS$2)),((INT(AS$2/$L39)-INT((AS$2-1)/$L39))*$U39*((1+Inputs!$D$7)^AS$2))),(_xlfn.WEIBULL.DIST(AS$2,$M39,$L39,FALSE)*$U39*((1+Inputs!$D$7)^AS$2))),IF($N39=Lists!$K$3,IF($L39&lt;1,((($T39*(1-$F39)+$S39*(1-$G39))/$L39)*((1+Inputs!$D$7)^AS$2)),((INT(AS$2/$L39)-INT((AS$2-1)/$L39))*($T39*(1-$F39)+$S39*(1-$G39))*((1+Inputs!$D$7)^AS$2))),((_xlfn.WEIBULL.DIST(AS$2,$M39,$L39,FALSE)*($T39*(1-$F39)+$S39*(1-$G39))*((1+Inputs!$D$7)^AS$2))))))</f>
        <v>28207.812188730324</v>
      </c>
      <c r="AT39" s="88">
        <f>$E39*IF(AT$2&gt;Inputs!$D$5,0,IF(AT$2&gt;VLOOKUP($H39,Lists!$P$3:$Q$7,2),IF($N39=Lists!$K$3,IF($L39&lt;1,(($U39/$L39)*((1+Inputs!$D$7)^AT$2)),((INT(AT$2/$L39)-INT((AT$2-1)/$L39))*$U39*((1+Inputs!$D$7)^AT$2))),(_xlfn.WEIBULL.DIST(AT$2,$M39,$L39,FALSE)*$U39*((1+Inputs!$D$7)^AT$2))),IF($N39=Lists!$K$3,IF($L39&lt;1,((($T39*(1-$F39)+$S39*(1-$G39))/$L39)*((1+Inputs!$D$7)^AT$2)),((INT(AT$2/$L39)-INT((AT$2-1)/$L39))*($T39*(1-$F39)+$S39*(1-$G39))*((1+Inputs!$D$7)^AT$2))),((_xlfn.WEIBULL.DIST(AT$2,$M39,$L39,FALSE)*($T39*(1-$F39)+$S39*(1-$G39))*((1+Inputs!$D$7)^AT$2))))))</f>
        <v>27368.742973804376</v>
      </c>
      <c r="AU39" s="88">
        <f>$E39*IF(AU$2&gt;Inputs!$D$5,0,IF(AU$2&gt;VLOOKUP($H39,Lists!$P$3:$Q$7,2),IF($N39=Lists!$K$3,IF($L39&lt;1,(($U39/$L39)*((1+Inputs!$D$7)^AU$2)),((INT(AU$2/$L39)-INT((AU$2-1)/$L39))*$U39*((1+Inputs!$D$7)^AU$2))),(_xlfn.WEIBULL.DIST(AU$2,$M39,$L39,FALSE)*$U39*((1+Inputs!$D$7)^AU$2))),IF($N39=Lists!$K$3,IF($L39&lt;1,((($T39*(1-$F39)+$S39*(1-$G39))/$L39)*((1+Inputs!$D$7)^AU$2)),((INT(AU$2/$L39)-INT((AU$2-1)/$L39))*($T39*(1-$F39)+$S39*(1-$G39))*((1+Inputs!$D$7)^AU$2))),((_xlfn.WEIBULL.DIST(AU$2,$M39,$L39,FALSE)*($T39*(1-$F39)+$S39*(1-$G39))*((1+Inputs!$D$7)^AU$2))))))</f>
        <v>26554.632700845494</v>
      </c>
      <c r="AV39" s="88">
        <f>$E39*IF(AV$2&gt;Inputs!$D$5,0,IF(AV$2&gt;VLOOKUP($H39,Lists!$P$3:$Q$7,2),IF($N39=Lists!$K$3,IF($L39&lt;1,(($U39/$L39)*((1+Inputs!$D$7)^AV$2)),((INT(AV$2/$L39)-INT((AV$2-1)/$L39))*$U39*((1+Inputs!$D$7)^AV$2))),(_xlfn.WEIBULL.DIST(AV$2,$M39,$L39,FALSE)*$U39*((1+Inputs!$D$7)^AV$2))),IF($N39=Lists!$K$3,IF($L39&lt;1,((($T39*(1-$F39)+$S39*(1-$G39))/$L39)*((1+Inputs!$D$7)^AV$2)),((INT(AV$2/$L39)-INT((AV$2-1)/$L39))*($T39*(1-$F39)+$S39*(1-$G39))*((1+Inputs!$D$7)^AV$2))),((_xlfn.WEIBULL.DIST(AV$2,$M39,$L39,FALSE)*($T39*(1-$F39)+$S39*(1-$G39))*((1+Inputs!$D$7)^AV$2))))))</f>
        <v>25764.738941490163</v>
      </c>
      <c r="AW39" s="88">
        <f>$E39*IF(AW$2&gt;Inputs!$D$5,0,IF(AW$2&gt;VLOOKUP($H39,Lists!$P$3:$Q$7,2),IF($N39=Lists!$K$3,IF($L39&lt;1,(($U39/$L39)*((1+Inputs!$D$7)^AW$2)),((INT(AW$2/$L39)-INT((AW$2-1)/$L39))*$U39*((1+Inputs!$D$7)^AW$2))),(_xlfn.WEIBULL.DIST(AW$2,$M39,$L39,FALSE)*$U39*((1+Inputs!$D$7)^AW$2))),IF($N39=Lists!$K$3,IF($L39&lt;1,((($T39*(1-$F39)+$S39*(1-$G39))/$L39)*((1+Inputs!$D$7)^AW$2)),((INT(AW$2/$L39)-INT((AW$2-1)/$L39))*($T39*(1-$F39)+$S39*(1-$G39))*((1+Inputs!$D$7)^AW$2))),((_xlfn.WEIBULL.DIST(AW$2,$M39,$L39,FALSE)*($T39*(1-$F39)+$S39*(1-$G39))*((1+Inputs!$D$7)^AW$2))))))</f>
        <v>24998.341351639316</v>
      </c>
      <c r="AX39" s="88">
        <f>$E39*IF(AX$2&gt;Inputs!$D$5,0,IF(AX$2&gt;VLOOKUP($H39,Lists!$P$3:$Q$7,2),IF($N39=Lists!$K$3,IF($L39&lt;1,(($U39/$L39)*((1+Inputs!$D$7)^AX$2)),((INT(AX$2/$L39)-INT((AX$2-1)/$L39))*$U39*((1+Inputs!$D$7)^AX$2))),(_xlfn.WEIBULL.DIST(AX$2,$M39,$L39,FALSE)*$U39*((1+Inputs!$D$7)^AX$2))),IF($N39=Lists!$K$3,IF($L39&lt;1,((($T39*(1-$F39)+$S39*(1-$G39))/$L39)*((1+Inputs!$D$7)^AX$2)),((INT(AX$2/$L39)-INT((AX$2-1)/$L39))*($T39*(1-$F39)+$S39*(1-$G39))*((1+Inputs!$D$7)^AX$2))),((_xlfn.WEIBULL.DIST(AX$2,$M39,$L39,FALSE)*($T39*(1-$F39)+$S39*(1-$G39))*((1+Inputs!$D$7)^AX$2))))))</f>
        <v>24254.741014540115</v>
      </c>
      <c r="AY39" s="88">
        <f>$E39*IF(AY$2&gt;Inputs!$D$5,0,IF(AY$2&gt;VLOOKUP($H39,Lists!$P$3:$Q$7,2),IF($N39=Lists!$K$3,IF($L39&lt;1,(($U39/$L39)*((1+Inputs!$D$7)^AY$2)),((INT(AY$2/$L39)-INT((AY$2-1)/$L39))*$U39*((1+Inputs!$D$7)^AY$2))),(_xlfn.WEIBULL.DIST(AY$2,$M39,$L39,FALSE)*$U39*((1+Inputs!$D$7)^AY$2))),IF($N39=Lists!$K$3,IF($L39&lt;1,((($T39*(1-$F39)+$S39*(1-$G39))/$L39)*((1+Inputs!$D$7)^AY$2)),((INT(AY$2/$L39)-INT((AY$2-1)/$L39))*($T39*(1-$F39)+$S39*(1-$G39))*((1+Inputs!$D$7)^AY$2))),((_xlfn.WEIBULL.DIST(AY$2,$M39,$L39,FALSE)*($T39*(1-$F39)+$S39*(1-$G39))*((1+Inputs!$D$7)^AY$2))))))</f>
        <v>23533.259803408353</v>
      </c>
      <c r="AZ39" s="88">
        <f>$E39*IF(AZ$2&gt;Inputs!$D$5,0,IF(AZ$2&gt;VLOOKUP($H39,Lists!$P$3:$Q$7,2),IF($N39=Lists!$K$3,IF($L39&lt;1,(($U39/$L39)*((1+Inputs!$D$7)^AZ$2)),((INT(AZ$2/$L39)-INT((AZ$2-1)/$L39))*$U39*((1+Inputs!$D$7)^AZ$2))),(_xlfn.WEIBULL.DIST(AZ$2,$M39,$L39,FALSE)*$U39*((1+Inputs!$D$7)^AZ$2))),IF($N39=Lists!$K$3,IF($L39&lt;1,((($T39*(1-$F39)+$S39*(1-$G39))/$L39)*((1+Inputs!$D$7)^AZ$2)),((INT(AZ$2/$L39)-INT((AZ$2-1)/$L39))*($T39*(1-$F39)+$S39*(1-$G39))*((1+Inputs!$D$7)^AZ$2))),((_xlfn.WEIBULL.DIST(AZ$2,$M39,$L39,FALSE)*($T39*(1-$F39)+$S39*(1-$G39))*((1+Inputs!$D$7)^AZ$2))))))</f>
        <v>0</v>
      </c>
      <c r="BA39" s="88">
        <f>$E39*IF(BA$2&gt;Inputs!$D$5,0,IF(BA$2&gt;VLOOKUP($H39,Lists!$P$3:$Q$7,2),IF($N39=Lists!$K$3,IF($L39&lt;1,(($U39/$L39)*((1+Inputs!$D$7)^BA$2)),((INT(BA$2/$L39)-INT((BA$2-1)/$L39))*$U39*((1+Inputs!$D$7)^BA$2))),(_xlfn.WEIBULL.DIST(BA$2,$M39,$L39,FALSE)*$U39*((1+Inputs!$D$7)^BA$2))),IF($N39=Lists!$K$3,IF($L39&lt;1,((($T39*(1-$F39)+$S39*(1-$G39))/$L39)*((1+Inputs!$D$7)^BA$2)),((INT(BA$2/$L39)-INT((BA$2-1)/$L39))*($T39*(1-$F39)+$S39*(1-$G39))*((1+Inputs!$D$7)^BA$2))),((_xlfn.WEIBULL.DIST(BA$2,$M39,$L39,FALSE)*($T39*(1-$F39)+$S39*(1-$G39))*((1+Inputs!$D$7)^BA$2))))))</f>
        <v>0</v>
      </c>
      <c r="BB39" s="88">
        <f>$E39*IF(BB$2&gt;Inputs!$D$5,0,IF(BB$2&gt;VLOOKUP($H39,Lists!$P$3:$Q$7,2),IF($N39=Lists!$K$3,IF($L39&lt;1,(($U39/$L39)*((1+Inputs!$D$7)^BB$2)),((INT(BB$2/$L39)-INT((BB$2-1)/$L39))*$U39*((1+Inputs!$D$7)^BB$2))),(_xlfn.WEIBULL.DIST(BB$2,$M39,$L39,FALSE)*$U39*((1+Inputs!$D$7)^BB$2))),IF($N39=Lists!$K$3,IF($L39&lt;1,((($T39*(1-$F39)+$S39*(1-$G39))/$L39)*((1+Inputs!$D$7)^BB$2)),((INT(BB$2/$L39)-INT((BB$2-1)/$L39))*($T39*(1-$F39)+$S39*(1-$G39))*((1+Inputs!$D$7)^BB$2))),((_xlfn.WEIBULL.DIST(BB$2,$M39,$L39,FALSE)*($T39*(1-$F39)+$S39*(1-$G39))*((1+Inputs!$D$7)^BB$2))))))</f>
        <v>0</v>
      </c>
      <c r="BC39" s="88">
        <f>$E39*IF(BC$2&gt;Inputs!$D$5,0,IF(BC$2&gt;VLOOKUP($H39,Lists!$P$3:$Q$7,2),IF($N39=Lists!$K$3,IF($L39&lt;1,(($U39/$L39)*((1+Inputs!$D$7)^BC$2)),((INT(BC$2/$L39)-INT((BC$2-1)/$L39))*$U39*((1+Inputs!$D$7)^BC$2))),(_xlfn.WEIBULL.DIST(BC$2,$M39,$L39,FALSE)*$U39*((1+Inputs!$D$7)^BC$2))),IF($N39=Lists!$K$3,IF($L39&lt;1,((($T39*(1-$F39)+$S39*(1-$G39))/$L39)*((1+Inputs!$D$7)^BC$2)),((INT(BC$2/$L39)-INT((BC$2-1)/$L39))*($T39*(1-$F39)+$S39*(1-$G39))*((1+Inputs!$D$7)^BC$2))),((_xlfn.WEIBULL.DIST(BC$2,$M39,$L39,FALSE)*($T39*(1-$F39)+$S39*(1-$G39))*((1+Inputs!$D$7)^BC$2))))))</f>
        <v>0</v>
      </c>
      <c r="BD39" s="88">
        <f>$E39*IF(BD$2&gt;Inputs!$D$5,0,IF(BD$2&gt;VLOOKUP($H39,Lists!$P$3:$Q$7,2),IF($N39=Lists!$K$3,IF($L39&lt;1,(($U39/$L39)*((1+Inputs!$D$7)^BD$2)),((INT(BD$2/$L39)-INT((BD$2-1)/$L39))*$U39*((1+Inputs!$D$7)^BD$2))),(_xlfn.WEIBULL.DIST(BD$2,$M39,$L39,FALSE)*$U39*((1+Inputs!$D$7)^BD$2))),IF($N39=Lists!$K$3,IF($L39&lt;1,((($T39*(1-$F39)+$S39*(1-$G39))/$L39)*((1+Inputs!$D$7)^BD$2)),((INT(BD$2/$L39)-INT((BD$2-1)/$L39))*($T39*(1-$F39)+$S39*(1-$G39))*((1+Inputs!$D$7)^BD$2))),((_xlfn.WEIBULL.DIST(BD$2,$M39,$L39,FALSE)*($T39*(1-$F39)+$S39*(1-$G39))*((1+Inputs!$D$7)^BD$2))))))</f>
        <v>0</v>
      </c>
      <c r="BE39" s="88">
        <f>$E39*IF(BE$2&gt;Inputs!$D$5,0,IF(BE$2&gt;VLOOKUP($H39,Lists!$P$3:$Q$7,2),IF($N39=Lists!$K$3,IF($L39&lt;1,(($U39/$L39)*((1+Inputs!$D$7)^BE$2)),((INT(BE$2/$L39)-INT((BE$2-1)/$L39))*$U39*((1+Inputs!$D$7)^BE$2))),(_xlfn.WEIBULL.DIST(BE$2,$M39,$L39,FALSE)*$U39*((1+Inputs!$D$7)^BE$2))),IF($N39=Lists!$K$3,IF($L39&lt;1,((($T39*(1-$F39)+$S39*(1-$G39))/$L39)*((1+Inputs!$D$7)^BE$2)),((INT(BE$2/$L39)-INT((BE$2-1)/$L39))*($T39*(1-$F39)+$S39*(1-$G39))*((1+Inputs!$D$7)^BE$2))),((_xlfn.WEIBULL.DIST(BE$2,$M39,$L39,FALSE)*($T39*(1-$F39)+$S39*(1-$G39))*((1+Inputs!$D$7)^BE$2))))))</f>
        <v>0</v>
      </c>
      <c r="BF39" s="88">
        <f>$E39*IF(BF$2&gt;Inputs!$D$5,0,IF(BF$2&gt;VLOOKUP($H39,Lists!$P$3:$Q$7,2),IF($N39=Lists!$K$3,IF($L39&lt;1,(($U39/$L39)*((1+Inputs!$D$7)^BF$2)),((INT(BF$2/$L39)-INT((BF$2-1)/$L39))*$U39*((1+Inputs!$D$7)^BF$2))),(_xlfn.WEIBULL.DIST(BF$2,$M39,$L39,FALSE)*$U39*((1+Inputs!$D$7)^BF$2))),IF($N39=Lists!$K$3,IF($L39&lt;1,((($T39*(1-$F39)+$S39*(1-$G39))/$L39)*((1+Inputs!$D$7)^BF$2)),((INT(BF$2/$L39)-INT((BF$2-1)/$L39))*($T39*(1-$F39)+$S39*(1-$G39))*((1+Inputs!$D$7)^BF$2))),((_xlfn.WEIBULL.DIST(BF$2,$M39,$L39,FALSE)*($T39*(1-$F39)+$S39*(1-$G39))*((1+Inputs!$D$7)^BF$2))))))</f>
        <v>0</v>
      </c>
      <c r="BG39" s="88">
        <f>$E39*IF(BG$2&gt;Inputs!$D$5,0,IF(BG$2&gt;VLOOKUP($H39,Lists!$P$3:$Q$7,2),IF($N39=Lists!$K$3,IF($L39&lt;1,(($U39/$L39)*((1+Inputs!$D$7)^BG$2)),((INT(BG$2/$L39)-INT((BG$2-1)/$L39))*$U39*((1+Inputs!$D$7)^BG$2))),(_xlfn.WEIBULL.DIST(BG$2,$M39,$L39,FALSE)*$U39*((1+Inputs!$D$7)^BG$2))),IF($N39=Lists!$K$3,IF($L39&lt;1,((($T39*(1-$F39)+$S39*(1-$G39))/$L39)*((1+Inputs!$D$7)^BG$2)),((INT(BG$2/$L39)-INT((BG$2-1)/$L39))*($T39*(1-$F39)+$S39*(1-$G39))*((1+Inputs!$D$7)^BG$2))),((_xlfn.WEIBULL.DIST(BG$2,$M39,$L39,FALSE)*($T39*(1-$F39)+$S39*(1-$G39))*((1+Inputs!$D$7)^BG$2))))))</f>
        <v>0</v>
      </c>
      <c r="BH39" s="88">
        <f>$E39*IF(BH$2&gt;Inputs!$D$5,0,IF(BH$2&gt;VLOOKUP($H39,Lists!$P$3:$Q$7,2),IF($N39=Lists!$K$3,IF($L39&lt;1,(($U39/$L39)*((1+Inputs!$D$7)^BH$2)),((INT(BH$2/$L39)-INT((BH$2-1)/$L39))*$U39*((1+Inputs!$D$7)^BH$2))),(_xlfn.WEIBULL.DIST(BH$2,$M39,$L39,FALSE)*$U39*((1+Inputs!$D$7)^BH$2))),IF($N39=Lists!$K$3,IF($L39&lt;1,((($T39*(1-$F39)+$S39*(1-$G39))/$L39)*((1+Inputs!$D$7)^BH$2)),((INT(BH$2/$L39)-INT((BH$2-1)/$L39))*($T39*(1-$F39)+$S39*(1-$G39))*((1+Inputs!$D$7)^BH$2))),((_xlfn.WEIBULL.DIST(BH$2,$M39,$L39,FALSE)*($T39*(1-$F39)+$S39*(1-$G39))*((1+Inputs!$D$7)^BH$2))))))</f>
        <v>0</v>
      </c>
      <c r="BI39" s="88">
        <f>$E39*IF(BI$2&gt;Inputs!$D$5,0,IF(BI$2&gt;VLOOKUP($H39,Lists!$P$3:$Q$7,2),IF($N39=Lists!$K$3,IF($L39&lt;1,(($U39/$L39)*((1+Inputs!$D$7)^BI$2)),((INT(BI$2/$L39)-INT((BI$2-1)/$L39))*$U39*((1+Inputs!$D$7)^BI$2))),(_xlfn.WEIBULL.DIST(BI$2,$M39,$L39,FALSE)*$U39*((1+Inputs!$D$7)^BI$2))),IF($N39=Lists!$K$3,IF($L39&lt;1,((($T39*(1-$F39)+$S39*(1-$G39))/$L39)*((1+Inputs!$D$7)^BI$2)),((INT(BI$2/$L39)-INT((BI$2-1)/$L39))*($T39*(1-$F39)+$S39*(1-$G39))*((1+Inputs!$D$7)^BI$2))),((_xlfn.WEIBULL.DIST(BI$2,$M39,$L39,FALSE)*($T39*(1-$F39)+$S39*(1-$G39))*((1+Inputs!$D$7)^BI$2))))))</f>
        <v>0</v>
      </c>
      <c r="BJ39" s="88">
        <f>$E39*IF(BJ$2&gt;Inputs!$D$5,0,IF(BJ$2&gt;VLOOKUP($H39,Lists!$P$3:$Q$7,2),IF($N39=Lists!$K$3,IF($L39&lt;1,(($U39/$L39)*((1+Inputs!$D$7)^BJ$2)),((INT(BJ$2/$L39)-INT((BJ$2-1)/$L39))*$U39*((1+Inputs!$D$7)^BJ$2))),(_xlfn.WEIBULL.DIST(BJ$2,$M39,$L39,FALSE)*$U39*((1+Inputs!$D$7)^BJ$2))),IF($N39=Lists!$K$3,IF($L39&lt;1,((($T39*(1-$F39)+$S39*(1-$G39))/$L39)*((1+Inputs!$D$7)^BJ$2)),((INT(BJ$2/$L39)-INT((BJ$2-1)/$L39))*($T39*(1-$F39)+$S39*(1-$G39))*((1+Inputs!$D$7)^BJ$2))),((_xlfn.WEIBULL.DIST(BJ$2,$M39,$L39,FALSE)*($T39*(1-$F39)+$S39*(1-$G39))*((1+Inputs!$D$7)^BJ$2))))))</f>
        <v>0</v>
      </c>
      <c r="BK39" s="88">
        <f>$E39*IF(BK$2&gt;Inputs!$D$5,0,IF(BK$2&gt;VLOOKUP($H39,Lists!$P$3:$Q$7,2),IF($N39=Lists!$K$3,IF($L39&lt;1,(($U39/$L39)*((1+Inputs!$D$7)^BK$2)),((INT(BK$2/$L39)-INT((BK$2-1)/$L39))*$U39*((1+Inputs!$D$7)^BK$2))),(_xlfn.WEIBULL.DIST(BK$2,$M39,$L39,FALSE)*$U39*((1+Inputs!$D$7)^BK$2))),IF($N39=Lists!$K$3,IF($L39&lt;1,((($T39*(1-$F39)+$S39*(1-$G39))/$L39)*((1+Inputs!$D$7)^BK$2)),((INT(BK$2/$L39)-INT((BK$2-1)/$L39))*($T39*(1-$F39)+$S39*(1-$G39))*((1+Inputs!$D$7)^BK$2))),((_xlfn.WEIBULL.DIST(BK$2,$M39,$L39,FALSE)*($T39*(1-$F39)+$S39*(1-$G39))*((1+Inputs!$D$7)^BK$2))))))</f>
        <v>0</v>
      </c>
      <c r="BL39" s="88">
        <f>$E39*IF(BL$2&gt;Inputs!$D$5,0,IF(BL$2&gt;VLOOKUP($H39,Lists!$P$3:$Q$7,2),IF($N39=Lists!$K$3,IF($L39&lt;1,(($U39/$L39)*((1+Inputs!$D$7)^BL$2)),((INT(BL$2/$L39)-INT((BL$2-1)/$L39))*$U39*((1+Inputs!$D$7)^BL$2))),(_xlfn.WEIBULL.DIST(BL$2,$M39,$L39,FALSE)*$U39*((1+Inputs!$D$7)^BL$2))),IF($N39=Lists!$K$3,IF($L39&lt;1,((($T39*(1-$F39)+$S39*(1-$G39))/$L39)*((1+Inputs!$D$7)^BL$2)),((INT(BL$2/$L39)-INT((BL$2-1)/$L39))*($T39*(1-$F39)+$S39*(1-$G39))*((1+Inputs!$D$7)^BL$2))),((_xlfn.WEIBULL.DIST(BL$2,$M39,$L39,FALSE)*($T39*(1-$F39)+$S39*(1-$G39))*((1+Inputs!$D$7)^BL$2))))))</f>
        <v>0</v>
      </c>
      <c r="BM39" s="88">
        <f>$E39*IF(BM$2&gt;Inputs!$D$5,0,IF(BM$2&gt;VLOOKUP($H39,Lists!$P$3:$Q$7,2),IF($N39=Lists!$K$3,IF($L39&lt;1,(($U39/$L39)*((1+Inputs!$D$7)^BM$2)),((INT(BM$2/$L39)-INT((BM$2-1)/$L39))*$U39*((1+Inputs!$D$7)^BM$2))),(_xlfn.WEIBULL.DIST(BM$2,$M39,$L39,FALSE)*$U39*((1+Inputs!$D$7)^BM$2))),IF($N39=Lists!$K$3,IF($L39&lt;1,((($T39*(1-$F39)+$S39*(1-$G39))/$L39)*((1+Inputs!$D$7)^BM$2)),((INT(BM$2/$L39)-INT((BM$2-1)/$L39))*($T39*(1-$F39)+$S39*(1-$G39))*((1+Inputs!$D$7)^BM$2))),((_xlfn.WEIBULL.DIST(BM$2,$M39,$L39,FALSE)*($T39*(1-$F39)+$S39*(1-$G39))*((1+Inputs!$D$7)^BM$2))))))</f>
        <v>0</v>
      </c>
      <c r="BN39" s="88">
        <f>$E39*IF(BN$2&gt;Inputs!$D$5,0,IF(BN$2&gt;VLOOKUP($H39,Lists!$P$3:$Q$7,2),IF($N39=Lists!$K$3,IF($L39&lt;1,(($U39/$L39)*((1+Inputs!$D$7)^BN$2)),((INT(BN$2/$L39)-INT((BN$2-1)/$L39))*$U39*((1+Inputs!$D$7)^BN$2))),(_xlfn.WEIBULL.DIST(BN$2,$M39,$L39,FALSE)*$U39*((1+Inputs!$D$7)^BN$2))),IF($N39=Lists!$K$3,IF($L39&lt;1,((($T39*(1-$F39)+$S39*(1-$G39))/$L39)*((1+Inputs!$D$7)^BN$2)),((INT(BN$2/$L39)-INT((BN$2-1)/$L39))*($T39*(1-$F39)+$S39*(1-$G39))*((1+Inputs!$D$7)^BN$2))),((_xlfn.WEIBULL.DIST(BN$2,$M39,$L39,FALSE)*($T39*(1-$F39)+$S39*(1-$G39))*((1+Inputs!$D$7)^BN$2))))))</f>
        <v>0</v>
      </c>
      <c r="BO39" s="64">
        <f>NPV(Inputs!$D$6,BQ39:DD39)</f>
        <v>197504.49416818944</v>
      </c>
      <c r="BP39" s="67">
        <f t="shared" si="13"/>
        <v>9.3152761758941494E-2</v>
      </c>
      <c r="BQ39" s="88">
        <f>MAX(AA39,($E39*IF(BQ$2&gt;Inputs!$D$5,0,IF(BQ$2&gt;VLOOKUP($H39,Lists!$P$3:$Q$7,2),IF($N39=Lists!$K$3,IF($L39&lt;1,(($U39/$L39)*((1+Inputs!$D$7)^BQ$2)),((INT(BQ$2/$L39)-INT((BQ$2-1)/$L39))*$U39*((1+Inputs!$D$7)^BQ$2))),(Inputs!$D$8^((1-_xlfn.WEIBULL.DIST(BQ$2,$M39,$L39,FALSE))/_xlfn.WEIBULL.DIST(BQ$2,$M39,$L39,FALSE))*$U39*((1+Inputs!$D$7)^BQ$2))),IF($N39=Lists!$K$3,IF($L39&lt;1,((($T39*(1-$F39)+$S39*(1-$G39))/$L39)*((1+Inputs!$D$7)^BQ$2)),((INT(BQ$2/$L39)-INT((BQ$2-1)/$L39))*($T39*(1-$F39)+$S39*(1-$G39))*((1+Inputs!$D$7)^BQ$2))),((Inputs!$D$8^((1-_xlfn.WEIBULL.DIST(BQ$2,$M39,$L39,FALSE))/_xlfn.WEIBULL.DIST(BQ$2,$M39,$L39,FALSE))*($T39*(1-$F39)+$S39*(1-$G39))*((1+Inputs!$D$7)^BQ$2))))))))</f>
        <v>254.84838311136548</v>
      </c>
      <c r="BR39" s="88">
        <f>MAX(AB39,($E39*IF(BR$2&gt;Inputs!$D$5,0,IF(BR$2&gt;VLOOKUP($H39,Lists!$P$3:$Q$7,2),IF($N39=Lists!$K$3,IF($L39&lt;1,(($U39/$L39)*((1+Inputs!$D$7)^BR$2)),((INT(BR$2/$L39)-INT((BR$2-1)/$L39))*$U39*((1+Inputs!$D$7)^BR$2))),(Inputs!$D$8^((1-_xlfn.WEIBULL.DIST(BR$2,$M39,$L39,FALSE))/_xlfn.WEIBULL.DIST(BR$2,$M39,$L39,FALSE))*$U39*((1+Inputs!$D$7)^BR$2))),IF($N39=Lists!$K$3,IF($L39&lt;1,((($T39*(1-$F39)+$S39*(1-$G39))/$L39)*((1+Inputs!$D$7)^BR$2)),((INT(BR$2/$L39)-INT((BR$2-1)/$L39))*($T39*(1-$F39)+$S39*(1-$G39))*((1+Inputs!$D$7)^BR$2))),((Inputs!$D$8^((1-_xlfn.WEIBULL.DIST(BR$2,$M39,$L39,FALSE))/_xlfn.WEIBULL.DIST(BR$2,$M39,$L39,FALSE))*($T39*(1-$F39)+$S39*(1-$G39))*((1+Inputs!$D$7)^BR$2))))))))</f>
        <v>237.59946658978137</v>
      </c>
      <c r="BS39" s="88">
        <f>MAX(AC39,($E39*IF(BS$2&gt;Inputs!$D$5,0,IF(BS$2&gt;VLOOKUP($H39,Lists!$P$3:$Q$7,2),IF($N39=Lists!$K$3,IF($L39&lt;1,(($U39/$L39)*((1+Inputs!$D$7)^BS$2)),((INT(BS$2/$L39)-INT((BS$2-1)/$L39))*$U39*((1+Inputs!$D$7)^BS$2))),(Inputs!$D$8^((1-_xlfn.WEIBULL.DIST(BS$2,$M39,$L39,FALSE))/_xlfn.WEIBULL.DIST(BS$2,$M39,$L39,FALSE))*$U39*((1+Inputs!$D$7)^BS$2))),IF($N39=Lists!$K$3,IF($L39&lt;1,((($T39*(1-$F39)+$S39*(1-$G39))/$L39)*((1+Inputs!$D$7)^BS$2)),((INT(BS$2/$L39)-INT((BS$2-1)/$L39))*($T39*(1-$F39)+$S39*(1-$G39))*((1+Inputs!$D$7)^BS$2))),((Inputs!$D$8^((1-_xlfn.WEIBULL.DIST(BS$2,$M39,$L39,FALSE))/_xlfn.WEIBULL.DIST(BS$2,$M39,$L39,FALSE))*($T39*(1-$F39)+$S39*(1-$G39))*((1+Inputs!$D$7)^BS$2))))))))</f>
        <v>220.49949094443014</v>
      </c>
      <c r="BT39" s="88">
        <f>MAX(AD39,($E39*IF(BT$2&gt;Inputs!$D$5,0,IF(BT$2&gt;VLOOKUP($H39,Lists!$P$3:$Q$7,2),IF($N39=Lists!$K$3,IF($L39&lt;1,(($U39/$L39)*((1+Inputs!$D$7)^BT$2)),((INT(BT$2/$L39)-INT((BT$2-1)/$L39))*$U39*((1+Inputs!$D$7)^BT$2))),(Inputs!$D$8^((1-_xlfn.WEIBULL.DIST(BT$2,$M39,$L39,FALSE))/_xlfn.WEIBULL.DIST(BT$2,$M39,$L39,FALSE))*$U39*((1+Inputs!$D$7)^BT$2))),IF($N39=Lists!$K$3,IF($L39&lt;1,((($T39*(1-$F39)+$S39*(1-$G39))/$L39)*((1+Inputs!$D$7)^BT$2)),((INT(BT$2/$L39)-INT((BT$2-1)/$L39))*($T39*(1-$F39)+$S39*(1-$G39))*((1+Inputs!$D$7)^BT$2))),((Inputs!$D$8^((1-_xlfn.WEIBULL.DIST(BT$2,$M39,$L39,FALSE))/_xlfn.WEIBULL.DIST(BT$2,$M39,$L39,FALSE))*($T39*(1-$F39)+$S39*(1-$G39))*((1+Inputs!$D$7)^BT$2))))))))</f>
        <v>203.6412037863536</v>
      </c>
      <c r="BU39" s="88">
        <f>MAX(AE39,($E39*IF(BU$2&gt;Inputs!$D$5,0,IF(BU$2&gt;VLOOKUP($H39,Lists!$P$3:$Q$7,2),IF($N39=Lists!$K$3,IF($L39&lt;1,(($U39/$L39)*((1+Inputs!$D$7)^BU$2)),((INT(BU$2/$L39)-INT((BU$2-1)/$L39))*$U39*((1+Inputs!$D$7)^BU$2))),(Inputs!$D$8^((1-_xlfn.WEIBULL.DIST(BU$2,$M39,$L39,FALSE))/_xlfn.WEIBULL.DIST(BU$2,$M39,$L39,FALSE))*$U39*((1+Inputs!$D$7)^BU$2))),IF($N39=Lists!$K$3,IF($L39&lt;1,((($T39*(1-$F39)+$S39*(1-$G39))/$L39)*((1+Inputs!$D$7)^BU$2)),((INT(BU$2/$L39)-INT((BU$2-1)/$L39))*($T39*(1-$F39)+$S39*(1-$G39))*((1+Inputs!$D$7)^BU$2))),((Inputs!$D$8^((1-_xlfn.WEIBULL.DIST(BU$2,$M39,$L39,FALSE))/_xlfn.WEIBULL.DIST(BU$2,$M39,$L39,FALSE))*($T39*(1-$F39)+$S39*(1-$G39))*((1+Inputs!$D$7)^BU$2))))))))</f>
        <v>187.1163670819063</v>
      </c>
      <c r="BV39" s="88">
        <f>MAX(AF39,($E39*IF(BV$2&gt;Inputs!$D$5,0,IF(BV$2&gt;VLOOKUP($H39,Lists!$P$3:$Q$7,2),IF($N39=Lists!$K$3,IF($L39&lt;1,(($U39/$L39)*((1+Inputs!$D$7)^BV$2)),((INT(BV$2/$L39)-INT((BV$2-1)/$L39))*$U39*((1+Inputs!$D$7)^BV$2))),(Inputs!$D$8^((1-_xlfn.WEIBULL.DIST(BV$2,$M39,$L39,FALSE))/_xlfn.WEIBULL.DIST(BV$2,$M39,$L39,FALSE))*$U39*((1+Inputs!$D$7)^BV$2))),IF($N39=Lists!$K$3,IF($L39&lt;1,((($T39*(1-$F39)+$S39*(1-$G39))/$L39)*((1+Inputs!$D$7)^BV$2)),((INT(BV$2/$L39)-INT((BV$2-1)/$L39))*($T39*(1-$F39)+$S39*(1-$G39))*((1+Inputs!$D$7)^BV$2))),((Inputs!$D$8^((1-_xlfn.WEIBULL.DIST(BV$2,$M39,$L39,FALSE))/_xlfn.WEIBULL.DIST(BV$2,$M39,$L39,FALSE))*($T39*(1-$F39)+$S39*(1-$G39))*((1+Inputs!$D$7)^BV$2))))))))</f>
        <v>171.01434696945353</v>
      </c>
      <c r="BW39" s="88">
        <f>MAX(AG39,($E39*IF(BW$2&gt;Inputs!$D$5,0,IF(BW$2&gt;VLOOKUP($H39,Lists!$P$3:$Q$7,2),IF($N39=Lists!$K$3,IF($L39&lt;1,(($U39/$L39)*((1+Inputs!$D$7)^BW$2)),((INT(BW$2/$L39)-INT((BW$2-1)/$L39))*$U39*((1+Inputs!$D$7)^BW$2))),(Inputs!$D$8^((1-_xlfn.WEIBULL.DIST(BW$2,$M39,$L39,FALSE))/_xlfn.WEIBULL.DIST(BW$2,$M39,$L39,FALSE))*$U39*((1+Inputs!$D$7)^BW$2))),IF($N39=Lists!$K$3,IF($L39&lt;1,((($T39*(1-$F39)+$S39*(1-$G39))/$L39)*((1+Inputs!$D$7)^BW$2)),((INT(BW$2/$L39)-INT((BW$2-1)/$L39))*($T39*(1-$F39)+$S39*(1-$G39))*((1+Inputs!$D$7)^BW$2))),((Inputs!$D$8^((1-_xlfn.WEIBULL.DIST(BW$2,$M39,$L39,FALSE))/_xlfn.WEIBULL.DIST(BW$2,$M39,$L39,FALSE))*($T39*(1-$F39)+$S39*(1-$G39))*((1+Inputs!$D$7)^BW$2))))))))</f>
        <v>155.42065701319871</v>
      </c>
      <c r="BX39" s="88">
        <f>MAX(AH39,($E39*IF(BX$2&gt;Inputs!$D$5,0,IF(BX$2&gt;VLOOKUP($H39,Lists!$P$3:$Q$7,2),IF($N39=Lists!$K$3,IF($L39&lt;1,(($U39/$L39)*((1+Inputs!$D$7)^BX$2)),((INT(BX$2/$L39)-INT((BX$2-1)/$L39))*$U39*((1+Inputs!$D$7)^BX$2))),(Inputs!$D$8^((1-_xlfn.WEIBULL.DIST(BX$2,$M39,$L39,FALSE))/_xlfn.WEIBULL.DIST(BX$2,$M39,$L39,FALSE))*$U39*((1+Inputs!$D$7)^BX$2))),IF($N39=Lists!$K$3,IF($L39&lt;1,((($T39*(1-$F39)+$S39*(1-$G39))/$L39)*((1+Inputs!$D$7)^BX$2)),((INT(BX$2/$L39)-INT((BX$2-1)/$L39))*($T39*(1-$F39)+$S39*(1-$G39))*((1+Inputs!$D$7)^BX$2))),((Inputs!$D$8^((1-_xlfn.WEIBULL.DIST(BX$2,$M39,$L39,FALSE))/_xlfn.WEIBULL.DIST(BX$2,$M39,$L39,FALSE))*($T39*(1-$F39)+$S39*(1-$G39))*((1+Inputs!$D$7)^BX$2))))))))</f>
        <v>140.41549116238994</v>
      </c>
      <c r="BY39" s="88">
        <f>MAX(AI39,($E39*IF(BY$2&gt;Inputs!$D$5,0,IF(BY$2&gt;VLOOKUP($H39,Lists!$P$3:$Q$7,2),IF($N39=Lists!$K$3,IF($L39&lt;1,(($U39/$L39)*((1+Inputs!$D$7)^BY$2)),((INT(BY$2/$L39)-INT((BY$2-1)/$L39))*$U39*((1+Inputs!$D$7)^BY$2))),(Inputs!$D$8^((1-_xlfn.WEIBULL.DIST(BY$2,$M39,$L39,FALSE))/_xlfn.WEIBULL.DIST(BY$2,$M39,$L39,FALSE))*$U39*((1+Inputs!$D$7)^BY$2))),IF($N39=Lists!$K$3,IF($L39&lt;1,((($T39*(1-$F39)+$S39*(1-$G39))/$L39)*((1+Inputs!$D$7)^BY$2)),((INT(BY$2/$L39)-INT((BY$2-1)/$L39))*($T39*(1-$F39)+$S39*(1-$G39))*((1+Inputs!$D$7)^BY$2))),((Inputs!$D$8^((1-_xlfn.WEIBULL.DIST(BY$2,$M39,$L39,FALSE))/_xlfn.WEIBULL.DIST(BY$2,$M39,$L39,FALSE))*($T39*(1-$F39)+$S39*(1-$G39))*((1+Inputs!$D$7)^BY$2))))))))</f>
        <v>126.07228749303484</v>
      </c>
      <c r="BZ39" s="88">
        <f>MAX(AJ39,($E39*IF(BZ$2&gt;Inputs!$D$5,0,IF(BZ$2&gt;VLOOKUP($H39,Lists!$P$3:$Q$7,2),IF($N39=Lists!$K$3,IF($L39&lt;1,(($U39/$L39)*((1+Inputs!$D$7)^BZ$2)),((INT(BZ$2/$L39)-INT((BZ$2-1)/$L39))*$U39*((1+Inputs!$D$7)^BZ$2))),(Inputs!$D$8^((1-_xlfn.WEIBULL.DIST(BZ$2,$M39,$L39,FALSE))/_xlfn.WEIBULL.DIST(BZ$2,$M39,$L39,FALSE))*$U39*((1+Inputs!$D$7)^BZ$2))),IF($N39=Lists!$K$3,IF($L39&lt;1,((($T39*(1-$F39)+$S39*(1-$G39))/$L39)*((1+Inputs!$D$7)^BZ$2)),((INT(BZ$2/$L39)-INT((BZ$2-1)/$L39))*($T39*(1-$F39)+$S39*(1-$G39))*((1+Inputs!$D$7)^BZ$2))),((Inputs!$D$8^((1-_xlfn.WEIBULL.DIST(BZ$2,$M39,$L39,FALSE))/_xlfn.WEIBULL.DIST(BZ$2,$M39,$L39,FALSE))*($T39*(1-$F39)+$S39*(1-$G39))*((1+Inputs!$D$7)^BZ$2))))))))</f>
        <v>112.45636750783025</v>
      </c>
      <c r="CA39" s="88">
        <f>MAX(AK39,($E39*IF(CA$2&gt;Inputs!$D$5,0,IF(CA$2&gt;VLOOKUP($H39,Lists!$P$3:$Q$7,2),IF($N39=Lists!$K$3,IF($L39&lt;1,(($U39/$L39)*((1+Inputs!$D$7)^CA$2)),((INT(CA$2/$L39)-INT((CA$2-1)/$L39))*$U39*((1+Inputs!$D$7)^CA$2))),(Inputs!$D$8^((1-_xlfn.WEIBULL.DIST(CA$2,$M39,$L39,FALSE))/_xlfn.WEIBULL.DIST(CA$2,$M39,$L39,FALSE))*$U39*((1+Inputs!$D$7)^CA$2))),IF($N39=Lists!$K$3,IF($L39&lt;1,((($T39*(1-$F39)+$S39*(1-$G39))/$L39)*((1+Inputs!$D$7)^CA$2)),((INT(CA$2/$L39)-INT((CA$2-1)/$L39))*($T39*(1-$F39)+$S39*(1-$G39))*((1+Inputs!$D$7)^CA$2))),((Inputs!$D$8^((1-_xlfn.WEIBULL.DIST(CA$2,$M39,$L39,FALSE))/_xlfn.WEIBULL.DIST(CA$2,$M39,$L39,FALSE))*($T39*(1-$F39)+$S39*(1-$G39))*((1+Inputs!$D$7)^CA$2))))))))</f>
        <v>75178.352596503697</v>
      </c>
      <c r="CB39" s="88">
        <f>MAX(AL39,($E39*IF(CB$2&gt;Inputs!$D$5,0,IF(CB$2&gt;VLOOKUP($H39,Lists!$P$3:$Q$7,2),IF($N39=Lists!$K$3,IF($L39&lt;1,(($U39/$L39)*((1+Inputs!$D$7)^CB$2)),((INT(CB$2/$L39)-INT((CB$2-1)/$L39))*$U39*((1+Inputs!$D$7)^CB$2))),(Inputs!$D$8^((1-_xlfn.WEIBULL.DIST(CB$2,$M39,$L39,FALSE))/_xlfn.WEIBULL.DIST(CB$2,$M39,$L39,FALSE))*$U39*((1+Inputs!$D$7)^CB$2))),IF($N39=Lists!$K$3,IF($L39&lt;1,((($T39*(1-$F39)+$S39*(1-$G39))/$L39)*((1+Inputs!$D$7)^CB$2)),((INT(CB$2/$L39)-INT((CB$2-1)/$L39))*($T39*(1-$F39)+$S39*(1-$G39))*((1+Inputs!$D$7)^CB$2))),((Inputs!$D$8^((1-_xlfn.WEIBULL.DIST(CB$2,$M39,$L39,FALSE))/_xlfn.WEIBULL.DIST(CB$2,$M39,$L39,FALSE))*($T39*(1-$F39)+$S39*(1-$G39))*((1+Inputs!$D$7)^CB$2))))))))</f>
        <v>66119.949809777943</v>
      </c>
      <c r="CC39" s="88">
        <f>MAX(AM39,($E39*IF(CC$2&gt;Inputs!$D$5,0,IF(CC$2&gt;VLOOKUP($H39,Lists!$P$3:$Q$7,2),IF($N39=Lists!$K$3,IF($L39&lt;1,(($U39/$L39)*((1+Inputs!$D$7)^CC$2)),((INT(CC$2/$L39)-INT((CC$2-1)/$L39))*$U39*((1+Inputs!$D$7)^CC$2))),(Inputs!$D$8^((1-_xlfn.WEIBULL.DIST(CC$2,$M39,$L39,FALSE))/_xlfn.WEIBULL.DIST(CC$2,$M39,$L39,FALSE))*$U39*((1+Inputs!$D$7)^CC$2))),IF($N39=Lists!$K$3,IF($L39&lt;1,((($T39*(1-$F39)+$S39*(1-$G39))/$L39)*((1+Inputs!$D$7)^CC$2)),((INT(CC$2/$L39)-INT((CC$2-1)/$L39))*($T39*(1-$F39)+$S39*(1-$G39))*((1+Inputs!$D$7)^CC$2))),((Inputs!$D$8^((1-_xlfn.WEIBULL.DIST(CC$2,$M39,$L39,FALSE))/_xlfn.WEIBULL.DIST(CC$2,$M39,$L39,FALSE))*($T39*(1-$F39)+$S39*(1-$G39))*((1+Inputs!$D$7)^CC$2))))))))</f>
        <v>57712.833128966049</v>
      </c>
      <c r="CD39" s="88">
        <f>MAX(AN39,($E39*IF(CD$2&gt;Inputs!$D$5,0,IF(CD$2&gt;VLOOKUP($H39,Lists!$P$3:$Q$7,2),IF($N39=Lists!$K$3,IF($L39&lt;1,(($U39/$L39)*((1+Inputs!$D$7)^CD$2)),((INT(CD$2/$L39)-INT((CD$2-1)/$L39))*$U39*((1+Inputs!$D$7)^CD$2))),(Inputs!$D$8^((1-_xlfn.WEIBULL.DIST(CD$2,$M39,$L39,FALSE))/_xlfn.WEIBULL.DIST(CD$2,$M39,$L39,FALSE))*$U39*((1+Inputs!$D$7)^CD$2))),IF($N39=Lists!$K$3,IF($L39&lt;1,((($T39*(1-$F39)+$S39*(1-$G39))/$L39)*((1+Inputs!$D$7)^CD$2)),((INT(CD$2/$L39)-INT((CD$2-1)/$L39))*($T39*(1-$F39)+$S39*(1-$G39))*((1+Inputs!$D$7)^CD$2))),((Inputs!$D$8^((1-_xlfn.WEIBULL.DIST(CD$2,$M39,$L39,FALSE))/_xlfn.WEIBULL.DIST(CD$2,$M39,$L39,FALSE))*($T39*(1-$F39)+$S39*(1-$G39))*((1+Inputs!$D$7)^CD$2))))))))</f>
        <v>49973.9014660506</v>
      </c>
      <c r="CE39" s="88">
        <f>MAX(AO39,($E39*IF(CE$2&gt;Inputs!$D$5,0,IF(CE$2&gt;VLOOKUP($H39,Lists!$P$3:$Q$7,2),IF($N39=Lists!$K$3,IF($L39&lt;1,(($U39/$L39)*((1+Inputs!$D$7)^CE$2)),((INT(CE$2/$L39)-INT((CE$2-1)/$L39))*$U39*((1+Inputs!$D$7)^CE$2))),(Inputs!$D$8^((1-_xlfn.WEIBULL.DIST(CE$2,$M39,$L39,FALSE))/_xlfn.WEIBULL.DIST(CE$2,$M39,$L39,FALSE))*$U39*((1+Inputs!$D$7)^CE$2))),IF($N39=Lists!$K$3,IF($L39&lt;1,((($T39*(1-$F39)+$S39*(1-$G39))/$L39)*((1+Inputs!$D$7)^CE$2)),((INT(CE$2/$L39)-INT((CE$2-1)/$L39))*($T39*(1-$F39)+$S39*(1-$G39))*((1+Inputs!$D$7)^CE$2))),((Inputs!$D$8^((1-_xlfn.WEIBULL.DIST(CE$2,$M39,$L39,FALSE))/_xlfn.WEIBULL.DIST(CE$2,$M39,$L39,FALSE))*($T39*(1-$F39)+$S39*(1-$G39))*((1+Inputs!$D$7)^CE$2))))))))</f>
        <v>42910.862142207945</v>
      </c>
      <c r="CF39" s="88">
        <f>MAX(AP39,($E39*IF(CF$2&gt;Inputs!$D$5,0,IF(CF$2&gt;VLOOKUP($H39,Lists!$P$3:$Q$7,2),IF($N39=Lists!$K$3,IF($L39&lt;1,(($U39/$L39)*((1+Inputs!$D$7)^CF$2)),((INT(CF$2/$L39)-INT((CF$2-1)/$L39))*$U39*((1+Inputs!$D$7)^CF$2))),(Inputs!$D$8^((1-_xlfn.WEIBULL.DIST(CF$2,$M39,$L39,FALSE))/_xlfn.WEIBULL.DIST(CF$2,$M39,$L39,FALSE))*$U39*((1+Inputs!$D$7)^CF$2))),IF($N39=Lists!$K$3,IF($L39&lt;1,((($T39*(1-$F39)+$S39*(1-$G39))/$L39)*((1+Inputs!$D$7)^CF$2)),((INT(CF$2/$L39)-INT((CF$2-1)/$L39))*($T39*(1-$F39)+$S39*(1-$G39))*((1+Inputs!$D$7)^CF$2))),((Inputs!$D$8^((1-_xlfn.WEIBULL.DIST(CF$2,$M39,$L39,FALSE))/_xlfn.WEIBULL.DIST(CF$2,$M39,$L39,FALSE))*($T39*(1-$F39)+$S39*(1-$G39))*((1+Inputs!$D$7)^CF$2))))))))</f>
        <v>36522.23673142241</v>
      </c>
      <c r="CG39" s="88">
        <f>MAX(AQ39,($E39*IF(CG$2&gt;Inputs!$D$5,0,IF(CG$2&gt;VLOOKUP($H39,Lists!$P$3:$Q$7,2),IF($N39=Lists!$K$3,IF($L39&lt;1,(($U39/$L39)*((1+Inputs!$D$7)^CG$2)),((INT(CG$2/$L39)-INT((CG$2-1)/$L39))*$U39*((1+Inputs!$D$7)^CG$2))),(Inputs!$D$8^((1-_xlfn.WEIBULL.DIST(CG$2,$M39,$L39,FALSE))/_xlfn.WEIBULL.DIST(CG$2,$M39,$L39,FALSE))*$U39*((1+Inputs!$D$7)^CG$2))),IF($N39=Lists!$K$3,IF($L39&lt;1,((($T39*(1-$F39)+$S39*(1-$G39))/$L39)*((1+Inputs!$D$7)^CG$2)),((INT(CG$2/$L39)-INT((CG$2-1)/$L39))*($T39*(1-$F39)+$S39*(1-$G39))*((1+Inputs!$D$7)^CG$2))),((Inputs!$D$8^((1-_xlfn.WEIBULL.DIST(CG$2,$M39,$L39,FALSE))/_xlfn.WEIBULL.DIST(CG$2,$M39,$L39,FALSE))*($T39*(1-$F39)+$S39*(1-$G39))*((1+Inputs!$D$7)^CG$2))))))))</f>
        <v>30797.613961409246</v>
      </c>
      <c r="CH39" s="88">
        <f>MAX(AR39,($E39*IF(CH$2&gt;Inputs!$D$5,0,IF(CH$2&gt;VLOOKUP($H39,Lists!$P$3:$Q$7,2),IF($N39=Lists!$K$3,IF($L39&lt;1,(($U39/$L39)*((1+Inputs!$D$7)^CH$2)),((INT(CH$2/$L39)-INT((CH$2-1)/$L39))*$U39*((1+Inputs!$D$7)^CH$2))),(Inputs!$D$8^((1-_xlfn.WEIBULL.DIST(CH$2,$M39,$L39,FALSE))/_xlfn.WEIBULL.DIST(CH$2,$M39,$L39,FALSE))*$U39*((1+Inputs!$D$7)^CH$2))),IF($N39=Lists!$K$3,IF($L39&lt;1,((($T39*(1-$F39)+$S39*(1-$G39))/$L39)*((1+Inputs!$D$7)^CH$2)),((INT(CH$2/$L39)-INT((CH$2-1)/$L39))*($T39*(1-$F39)+$S39*(1-$G39))*((1+Inputs!$D$7)^CH$2))),((Inputs!$D$8^((1-_xlfn.WEIBULL.DIST(CH$2,$M39,$L39,FALSE))/_xlfn.WEIBULL.DIST(CH$2,$M39,$L39,FALSE))*($T39*(1-$F39)+$S39*(1-$G39))*((1+Inputs!$D$7)^CH$2))))))))</f>
        <v>29072.605535309314</v>
      </c>
      <c r="CI39" s="88">
        <f>MAX(AS39,($E39*IF(CI$2&gt;Inputs!$D$5,0,IF(CI$2&gt;VLOOKUP($H39,Lists!$P$3:$Q$7,2),IF($N39=Lists!$K$3,IF($L39&lt;1,(($U39/$L39)*((1+Inputs!$D$7)^CI$2)),((INT(CI$2/$L39)-INT((CI$2-1)/$L39))*$U39*((1+Inputs!$D$7)^CI$2))),(Inputs!$D$8^((1-_xlfn.WEIBULL.DIST(CI$2,$M39,$L39,FALSE))/_xlfn.WEIBULL.DIST(CI$2,$M39,$L39,FALSE))*$U39*((1+Inputs!$D$7)^CI$2))),IF($N39=Lists!$K$3,IF($L39&lt;1,((($T39*(1-$F39)+$S39*(1-$G39))/$L39)*((1+Inputs!$D$7)^CI$2)),((INT(CI$2/$L39)-INT((CI$2-1)/$L39))*($T39*(1-$F39)+$S39*(1-$G39))*((1+Inputs!$D$7)^CI$2))),((Inputs!$D$8^((1-_xlfn.WEIBULL.DIST(CI$2,$M39,$L39,FALSE))/_xlfn.WEIBULL.DIST(CI$2,$M39,$L39,FALSE))*($T39*(1-$F39)+$S39*(1-$G39))*((1+Inputs!$D$7)^CI$2))))))))</f>
        <v>28207.812188730324</v>
      </c>
      <c r="CJ39" s="88">
        <f>MAX(AT39,($E39*IF(CJ$2&gt;Inputs!$D$5,0,IF(CJ$2&gt;VLOOKUP($H39,Lists!$P$3:$Q$7,2),IF($N39=Lists!$K$3,IF($L39&lt;1,(($U39/$L39)*((1+Inputs!$D$7)^CJ$2)),((INT(CJ$2/$L39)-INT((CJ$2-1)/$L39))*$U39*((1+Inputs!$D$7)^CJ$2))),(Inputs!$D$8^((1-_xlfn.WEIBULL.DIST(CJ$2,$M39,$L39,FALSE))/_xlfn.WEIBULL.DIST(CJ$2,$M39,$L39,FALSE))*$U39*((1+Inputs!$D$7)^CJ$2))),IF($N39=Lists!$K$3,IF($L39&lt;1,((($T39*(1-$F39)+$S39*(1-$G39))/$L39)*((1+Inputs!$D$7)^CJ$2)),((INT(CJ$2/$L39)-INT((CJ$2-1)/$L39))*($T39*(1-$F39)+$S39*(1-$G39))*((1+Inputs!$D$7)^CJ$2))),((Inputs!$D$8^((1-_xlfn.WEIBULL.DIST(CJ$2,$M39,$L39,FALSE))/_xlfn.WEIBULL.DIST(CJ$2,$M39,$L39,FALSE))*($T39*(1-$F39)+$S39*(1-$G39))*((1+Inputs!$D$7)^CJ$2))))))))</f>
        <v>27368.742973804376</v>
      </c>
      <c r="CK39" s="88">
        <f>MAX(AU39,($E39*IF(CK$2&gt;Inputs!$D$5,0,IF(CK$2&gt;VLOOKUP($H39,Lists!$P$3:$Q$7,2),IF($N39=Lists!$K$3,IF($L39&lt;1,(($U39/$L39)*((1+Inputs!$D$7)^CK$2)),((INT(CK$2/$L39)-INT((CK$2-1)/$L39))*$U39*((1+Inputs!$D$7)^CK$2))),(Inputs!$D$8^((1-_xlfn.WEIBULL.DIST(CK$2,$M39,$L39,FALSE))/_xlfn.WEIBULL.DIST(CK$2,$M39,$L39,FALSE))*$U39*((1+Inputs!$D$7)^CK$2))),IF($N39=Lists!$K$3,IF($L39&lt;1,((($T39*(1-$F39)+$S39*(1-$G39))/$L39)*((1+Inputs!$D$7)^CK$2)),((INT(CK$2/$L39)-INT((CK$2-1)/$L39))*($T39*(1-$F39)+$S39*(1-$G39))*((1+Inputs!$D$7)^CK$2))),((Inputs!$D$8^((1-_xlfn.WEIBULL.DIST(CK$2,$M39,$L39,FALSE))/_xlfn.WEIBULL.DIST(CK$2,$M39,$L39,FALSE))*($T39*(1-$F39)+$S39*(1-$G39))*((1+Inputs!$D$7)^CK$2))))))))</f>
        <v>26554.632700845494</v>
      </c>
      <c r="CL39" s="88">
        <f>MAX(AV39,($E39*IF(CL$2&gt;Inputs!$D$5,0,IF(CL$2&gt;VLOOKUP($H39,Lists!$P$3:$Q$7,2),IF($N39=Lists!$K$3,IF($L39&lt;1,(($U39/$L39)*((1+Inputs!$D$7)^CL$2)),((INT(CL$2/$L39)-INT((CL$2-1)/$L39))*$U39*((1+Inputs!$D$7)^CL$2))),(Inputs!$D$8^((1-_xlfn.WEIBULL.DIST(CL$2,$M39,$L39,FALSE))/_xlfn.WEIBULL.DIST(CL$2,$M39,$L39,FALSE))*$U39*((1+Inputs!$D$7)^CL$2))),IF($N39=Lists!$K$3,IF($L39&lt;1,((($T39*(1-$F39)+$S39*(1-$G39))/$L39)*((1+Inputs!$D$7)^CL$2)),((INT(CL$2/$L39)-INT((CL$2-1)/$L39))*($T39*(1-$F39)+$S39*(1-$G39))*((1+Inputs!$D$7)^CL$2))),((Inputs!$D$8^((1-_xlfn.WEIBULL.DIST(CL$2,$M39,$L39,FALSE))/_xlfn.WEIBULL.DIST(CL$2,$M39,$L39,FALSE))*($T39*(1-$F39)+$S39*(1-$G39))*((1+Inputs!$D$7)^CL$2))))))))</f>
        <v>25764.738941490163</v>
      </c>
      <c r="CM39" s="88">
        <f>MAX(AW39,($E39*IF(CM$2&gt;Inputs!$D$5,0,IF(CM$2&gt;VLOOKUP($H39,Lists!$P$3:$Q$7,2),IF($N39=Lists!$K$3,IF($L39&lt;1,(($U39/$L39)*((1+Inputs!$D$7)^CM$2)),((INT(CM$2/$L39)-INT((CM$2-1)/$L39))*$U39*((1+Inputs!$D$7)^CM$2))),(Inputs!$D$8^((1-_xlfn.WEIBULL.DIST(CM$2,$M39,$L39,FALSE))/_xlfn.WEIBULL.DIST(CM$2,$M39,$L39,FALSE))*$U39*((1+Inputs!$D$7)^CM$2))),IF($N39=Lists!$K$3,IF($L39&lt;1,((($T39*(1-$F39)+$S39*(1-$G39))/$L39)*((1+Inputs!$D$7)^CM$2)),((INT(CM$2/$L39)-INT((CM$2-1)/$L39))*($T39*(1-$F39)+$S39*(1-$G39))*((1+Inputs!$D$7)^CM$2))),((Inputs!$D$8^((1-_xlfn.WEIBULL.DIST(CM$2,$M39,$L39,FALSE))/_xlfn.WEIBULL.DIST(CM$2,$M39,$L39,FALSE))*($T39*(1-$F39)+$S39*(1-$G39))*((1+Inputs!$D$7)^CM$2))))))))</f>
        <v>24998.341351639316</v>
      </c>
      <c r="CN39" s="88">
        <f>MAX(AX39,($E39*IF(CN$2&gt;Inputs!$D$5,0,IF(CN$2&gt;VLOOKUP($H39,Lists!$P$3:$Q$7,2),IF($N39=Lists!$K$3,IF($L39&lt;1,(($U39/$L39)*((1+Inputs!$D$7)^CN$2)),((INT(CN$2/$L39)-INT((CN$2-1)/$L39))*$U39*((1+Inputs!$D$7)^CN$2))),(Inputs!$D$8^((1-_xlfn.WEIBULL.DIST(CN$2,$M39,$L39,FALSE))/_xlfn.WEIBULL.DIST(CN$2,$M39,$L39,FALSE))*$U39*((1+Inputs!$D$7)^CN$2))),IF($N39=Lists!$K$3,IF($L39&lt;1,((($T39*(1-$F39)+$S39*(1-$G39))/$L39)*((1+Inputs!$D$7)^CN$2)),((INT(CN$2/$L39)-INT((CN$2-1)/$L39))*($T39*(1-$F39)+$S39*(1-$G39))*((1+Inputs!$D$7)^CN$2))),((Inputs!$D$8^((1-_xlfn.WEIBULL.DIST(CN$2,$M39,$L39,FALSE))/_xlfn.WEIBULL.DIST(CN$2,$M39,$L39,FALSE))*($T39*(1-$F39)+$S39*(1-$G39))*((1+Inputs!$D$7)^CN$2))))))))</f>
        <v>24254.741014540115</v>
      </c>
      <c r="CO39" s="88">
        <f>MAX(AY39,($E39*IF(CO$2&gt;Inputs!$D$5,0,IF(CO$2&gt;VLOOKUP($H39,Lists!$P$3:$Q$7,2),IF($N39=Lists!$K$3,IF($L39&lt;1,(($U39/$L39)*((1+Inputs!$D$7)^CO$2)),((INT(CO$2/$L39)-INT((CO$2-1)/$L39))*$U39*((1+Inputs!$D$7)^CO$2))),(Inputs!$D$8^((1-_xlfn.WEIBULL.DIST(CO$2,$M39,$L39,FALSE))/_xlfn.WEIBULL.DIST(CO$2,$M39,$L39,FALSE))*$U39*((1+Inputs!$D$7)^CO$2))),IF($N39=Lists!$K$3,IF($L39&lt;1,((($T39*(1-$F39)+$S39*(1-$G39))/$L39)*((1+Inputs!$D$7)^CO$2)),((INT(CO$2/$L39)-INT((CO$2-1)/$L39))*($T39*(1-$F39)+$S39*(1-$G39))*((1+Inputs!$D$7)^CO$2))),((Inputs!$D$8^((1-_xlfn.WEIBULL.DIST(CO$2,$M39,$L39,FALSE))/_xlfn.WEIBULL.DIST(CO$2,$M39,$L39,FALSE))*($T39*(1-$F39)+$S39*(1-$G39))*((1+Inputs!$D$7)^CO$2))))))))</f>
        <v>23533.259803408353</v>
      </c>
      <c r="CP39" s="88">
        <f>MAX(AZ39,($E39*IF(CP$2&gt;Inputs!$D$5,0,IF(CP$2&gt;VLOOKUP($H39,Lists!$P$3:$Q$7,2),IF($N39=Lists!$K$3,IF($L39&lt;1,(($U39/$L39)*((1+Inputs!$D$7)^CP$2)),((INT(CP$2/$L39)-INT((CP$2-1)/$L39))*$U39*((1+Inputs!$D$7)^CP$2))),(Inputs!$D$8^((1-_xlfn.WEIBULL.DIST(CP$2,$M39,$L39,FALSE))/_xlfn.WEIBULL.DIST(CP$2,$M39,$L39,FALSE))*$U39*((1+Inputs!$D$7)^CP$2))),IF($N39=Lists!$K$3,IF($L39&lt;1,((($T39*(1-$F39)+$S39*(1-$G39))/$L39)*((1+Inputs!$D$7)^CP$2)),((INT(CP$2/$L39)-INT((CP$2-1)/$L39))*($T39*(1-$F39)+$S39*(1-$G39))*((1+Inputs!$D$7)^CP$2))),((Inputs!$D$8^((1-_xlfn.WEIBULL.DIST(CP$2,$M39,$L39,FALSE))/_xlfn.WEIBULL.DIST(CP$2,$M39,$L39,FALSE))*($T39*(1-$F39)+$S39*(1-$G39))*((1+Inputs!$D$7)^CP$2))))))))</f>
        <v>0</v>
      </c>
      <c r="CQ39" s="88">
        <f>MAX(BA39,($E39*IF(CQ$2&gt;Inputs!$D$5,0,IF(CQ$2&gt;VLOOKUP($H39,Lists!$P$3:$Q$7,2),IF($N39=Lists!$K$3,IF($L39&lt;1,(($U39/$L39)*((1+Inputs!$D$7)^CQ$2)),((INT(CQ$2/$L39)-INT((CQ$2-1)/$L39))*$U39*((1+Inputs!$D$7)^CQ$2))),(Inputs!$D$8^((1-_xlfn.WEIBULL.DIST(CQ$2,$M39,$L39,FALSE))/_xlfn.WEIBULL.DIST(CQ$2,$M39,$L39,FALSE))*$U39*((1+Inputs!$D$7)^CQ$2))),IF($N39=Lists!$K$3,IF($L39&lt;1,((($T39*(1-$F39)+$S39*(1-$G39))/$L39)*((1+Inputs!$D$7)^CQ$2)),((INT(CQ$2/$L39)-INT((CQ$2-1)/$L39))*($T39*(1-$F39)+$S39*(1-$G39))*((1+Inputs!$D$7)^CQ$2))),((Inputs!$D$8^((1-_xlfn.WEIBULL.DIST(CQ$2,$M39,$L39,FALSE))/_xlfn.WEIBULL.DIST(CQ$2,$M39,$L39,FALSE))*($T39*(1-$F39)+$S39*(1-$G39))*((1+Inputs!$D$7)^CQ$2))))))))</f>
        <v>0</v>
      </c>
      <c r="CR39" s="88">
        <f>MAX(BB39,($E39*IF(CR$2&gt;Inputs!$D$5,0,IF(CR$2&gt;VLOOKUP($H39,Lists!$P$3:$Q$7,2),IF($N39=Lists!$K$3,IF($L39&lt;1,(($U39/$L39)*((1+Inputs!$D$7)^CR$2)),((INT(CR$2/$L39)-INT((CR$2-1)/$L39))*$U39*((1+Inputs!$D$7)^CR$2))),(Inputs!$D$8^((1-_xlfn.WEIBULL.DIST(CR$2,$M39,$L39,FALSE))/_xlfn.WEIBULL.DIST(CR$2,$M39,$L39,FALSE))*$U39*((1+Inputs!$D$7)^CR$2))),IF($N39=Lists!$K$3,IF($L39&lt;1,((($T39*(1-$F39)+$S39*(1-$G39))/$L39)*((1+Inputs!$D$7)^CR$2)),((INT(CR$2/$L39)-INT((CR$2-1)/$L39))*($T39*(1-$F39)+$S39*(1-$G39))*((1+Inputs!$D$7)^CR$2))),((Inputs!$D$8^((1-_xlfn.WEIBULL.DIST(CR$2,$M39,$L39,FALSE))/_xlfn.WEIBULL.DIST(CR$2,$M39,$L39,FALSE))*($T39*(1-$F39)+$S39*(1-$G39))*((1+Inputs!$D$7)^CR$2))))))))</f>
        <v>0</v>
      </c>
      <c r="CS39" s="88">
        <f>MAX(BC39,($E39*IF(CS$2&gt;Inputs!$D$5,0,IF(CS$2&gt;VLOOKUP($H39,Lists!$P$3:$Q$7,2),IF($N39=Lists!$K$3,IF($L39&lt;1,(($U39/$L39)*((1+Inputs!$D$7)^CS$2)),((INT(CS$2/$L39)-INT((CS$2-1)/$L39))*$U39*((1+Inputs!$D$7)^CS$2))),(Inputs!$D$8^((1-_xlfn.WEIBULL.DIST(CS$2,$M39,$L39,FALSE))/_xlfn.WEIBULL.DIST(CS$2,$M39,$L39,FALSE))*$U39*((1+Inputs!$D$7)^CS$2))),IF($N39=Lists!$K$3,IF($L39&lt;1,((($T39*(1-$F39)+$S39*(1-$G39))/$L39)*((1+Inputs!$D$7)^CS$2)),((INT(CS$2/$L39)-INT((CS$2-1)/$L39))*($T39*(1-$F39)+$S39*(1-$G39))*((1+Inputs!$D$7)^CS$2))),((Inputs!$D$8^((1-_xlfn.WEIBULL.DIST(CS$2,$M39,$L39,FALSE))/_xlfn.WEIBULL.DIST(CS$2,$M39,$L39,FALSE))*($T39*(1-$F39)+$S39*(1-$G39))*((1+Inputs!$D$7)^CS$2))))))))</f>
        <v>0</v>
      </c>
      <c r="CT39" s="88">
        <f>MAX(BD39,($E39*IF(CT$2&gt;Inputs!$D$5,0,IF(CT$2&gt;VLOOKUP($H39,Lists!$P$3:$Q$7,2),IF($N39=Lists!$K$3,IF($L39&lt;1,(($U39/$L39)*((1+Inputs!$D$7)^CT$2)),((INT(CT$2/$L39)-INT((CT$2-1)/$L39))*$U39*((1+Inputs!$D$7)^CT$2))),(Inputs!$D$8^((1-_xlfn.WEIBULL.DIST(CT$2,$M39,$L39,FALSE))/_xlfn.WEIBULL.DIST(CT$2,$M39,$L39,FALSE))*$U39*((1+Inputs!$D$7)^CT$2))),IF($N39=Lists!$K$3,IF($L39&lt;1,((($T39*(1-$F39)+$S39*(1-$G39))/$L39)*((1+Inputs!$D$7)^CT$2)),((INT(CT$2/$L39)-INT((CT$2-1)/$L39))*($T39*(1-$F39)+$S39*(1-$G39))*((1+Inputs!$D$7)^CT$2))),((Inputs!$D$8^((1-_xlfn.WEIBULL.DIST(CT$2,$M39,$L39,FALSE))/_xlfn.WEIBULL.DIST(CT$2,$M39,$L39,FALSE))*($T39*(1-$F39)+$S39*(1-$G39))*((1+Inputs!$D$7)^CT$2))))))))</f>
        <v>0</v>
      </c>
      <c r="CU39" s="88">
        <f>MAX(BE39,($E39*IF(CU$2&gt;Inputs!$D$5,0,IF(CU$2&gt;VLOOKUP($H39,Lists!$P$3:$Q$7,2),IF($N39=Lists!$K$3,IF($L39&lt;1,(($U39/$L39)*((1+Inputs!$D$7)^CU$2)),((INT(CU$2/$L39)-INT((CU$2-1)/$L39))*$U39*((1+Inputs!$D$7)^CU$2))),(Inputs!$D$8^((1-_xlfn.WEIBULL.DIST(CU$2,$M39,$L39,FALSE))/_xlfn.WEIBULL.DIST(CU$2,$M39,$L39,FALSE))*$U39*((1+Inputs!$D$7)^CU$2))),IF($N39=Lists!$K$3,IF($L39&lt;1,((($T39*(1-$F39)+$S39*(1-$G39))/$L39)*((1+Inputs!$D$7)^CU$2)),((INT(CU$2/$L39)-INT((CU$2-1)/$L39))*($T39*(1-$F39)+$S39*(1-$G39))*((1+Inputs!$D$7)^CU$2))),((Inputs!$D$8^((1-_xlfn.WEIBULL.DIST(CU$2,$M39,$L39,FALSE))/_xlfn.WEIBULL.DIST(CU$2,$M39,$L39,FALSE))*($T39*(1-$F39)+$S39*(1-$G39))*((1+Inputs!$D$7)^CU$2))))))))</f>
        <v>0</v>
      </c>
      <c r="CV39" s="88">
        <f>MAX(BF39,($E39*IF(CV$2&gt;Inputs!$D$5,0,IF(CV$2&gt;VLOOKUP($H39,Lists!$P$3:$Q$7,2),IF($N39=Lists!$K$3,IF($L39&lt;1,(($U39/$L39)*((1+Inputs!$D$7)^CV$2)),((INT(CV$2/$L39)-INT((CV$2-1)/$L39))*$U39*((1+Inputs!$D$7)^CV$2))),(Inputs!$D$8^((1-_xlfn.WEIBULL.DIST(CV$2,$M39,$L39,FALSE))/_xlfn.WEIBULL.DIST(CV$2,$M39,$L39,FALSE))*$U39*((1+Inputs!$D$7)^CV$2))),IF($N39=Lists!$K$3,IF($L39&lt;1,((($T39*(1-$F39)+$S39*(1-$G39))/$L39)*((1+Inputs!$D$7)^CV$2)),((INT(CV$2/$L39)-INT((CV$2-1)/$L39))*($T39*(1-$F39)+$S39*(1-$G39))*((1+Inputs!$D$7)^CV$2))),((Inputs!$D$8^((1-_xlfn.WEIBULL.DIST(CV$2,$M39,$L39,FALSE))/_xlfn.WEIBULL.DIST(CV$2,$M39,$L39,FALSE))*($T39*(1-$F39)+$S39*(1-$G39))*((1+Inputs!$D$7)^CV$2))))))))</f>
        <v>0</v>
      </c>
      <c r="CW39" s="88">
        <f>MAX(BG39,($E39*IF(CW$2&gt;Inputs!$D$5,0,IF(CW$2&gt;VLOOKUP($H39,Lists!$P$3:$Q$7,2),IF($N39=Lists!$K$3,IF($L39&lt;1,(($U39/$L39)*((1+Inputs!$D$7)^CW$2)),((INT(CW$2/$L39)-INT((CW$2-1)/$L39))*$U39*((1+Inputs!$D$7)^CW$2))),(Inputs!$D$8^((1-_xlfn.WEIBULL.DIST(CW$2,$M39,$L39,FALSE))/_xlfn.WEIBULL.DIST(CW$2,$M39,$L39,FALSE))*$U39*((1+Inputs!$D$7)^CW$2))),IF($N39=Lists!$K$3,IF($L39&lt;1,((($T39*(1-$F39)+$S39*(1-$G39))/$L39)*((1+Inputs!$D$7)^CW$2)),((INT(CW$2/$L39)-INT((CW$2-1)/$L39))*($T39*(1-$F39)+$S39*(1-$G39))*((1+Inputs!$D$7)^CW$2))),((Inputs!$D$8^((1-_xlfn.WEIBULL.DIST(CW$2,$M39,$L39,FALSE))/_xlfn.WEIBULL.DIST(CW$2,$M39,$L39,FALSE))*($T39*(1-$F39)+$S39*(1-$G39))*((1+Inputs!$D$7)^CW$2))))))))</f>
        <v>0</v>
      </c>
      <c r="CX39" s="88">
        <f>MAX(BH39,($E39*IF(CX$2&gt;Inputs!$D$5,0,IF(CX$2&gt;VLOOKUP($H39,Lists!$P$3:$Q$7,2),IF($N39=Lists!$K$3,IF($L39&lt;1,(($U39/$L39)*((1+Inputs!$D$7)^CX$2)),((INT(CX$2/$L39)-INT((CX$2-1)/$L39))*$U39*((1+Inputs!$D$7)^CX$2))),(Inputs!$D$8^((1-_xlfn.WEIBULL.DIST(CX$2,$M39,$L39,FALSE))/_xlfn.WEIBULL.DIST(CX$2,$M39,$L39,FALSE))*$U39*((1+Inputs!$D$7)^CX$2))),IF($N39=Lists!$K$3,IF($L39&lt;1,((($T39*(1-$F39)+$S39*(1-$G39))/$L39)*((1+Inputs!$D$7)^CX$2)),((INT(CX$2/$L39)-INT((CX$2-1)/$L39))*($T39*(1-$F39)+$S39*(1-$G39))*((1+Inputs!$D$7)^CX$2))),((Inputs!$D$8^((1-_xlfn.WEIBULL.DIST(CX$2,$M39,$L39,FALSE))/_xlfn.WEIBULL.DIST(CX$2,$M39,$L39,FALSE))*($T39*(1-$F39)+$S39*(1-$G39))*((1+Inputs!$D$7)^CX$2))))))))</f>
        <v>0</v>
      </c>
      <c r="CY39" s="88">
        <f>MAX(BI39,($E39*IF(CY$2&gt;Inputs!$D$5,0,IF(CY$2&gt;VLOOKUP($H39,Lists!$P$3:$Q$7,2),IF($N39=Lists!$K$3,IF($L39&lt;1,(($U39/$L39)*((1+Inputs!$D$7)^CY$2)),((INT(CY$2/$L39)-INT((CY$2-1)/$L39))*$U39*((1+Inputs!$D$7)^CY$2))),(Inputs!$D$8^((1-_xlfn.WEIBULL.DIST(CY$2,$M39,$L39,FALSE))/_xlfn.WEIBULL.DIST(CY$2,$M39,$L39,FALSE))*$U39*((1+Inputs!$D$7)^CY$2))),IF($N39=Lists!$K$3,IF($L39&lt;1,((($T39*(1-$F39)+$S39*(1-$G39))/$L39)*((1+Inputs!$D$7)^CY$2)),((INT(CY$2/$L39)-INT((CY$2-1)/$L39))*($T39*(1-$F39)+$S39*(1-$G39))*((1+Inputs!$D$7)^CY$2))),((Inputs!$D$8^((1-_xlfn.WEIBULL.DIST(CY$2,$M39,$L39,FALSE))/_xlfn.WEIBULL.DIST(CY$2,$M39,$L39,FALSE))*($T39*(1-$F39)+$S39*(1-$G39))*((1+Inputs!$D$7)^CY$2))))))))</f>
        <v>0</v>
      </c>
      <c r="CZ39" s="88">
        <f>MAX(BJ39,($E39*IF(CZ$2&gt;Inputs!$D$5,0,IF(CZ$2&gt;VLOOKUP($H39,Lists!$P$3:$Q$7,2),IF($N39=Lists!$K$3,IF($L39&lt;1,(($U39/$L39)*((1+Inputs!$D$7)^CZ$2)),((INT(CZ$2/$L39)-INT((CZ$2-1)/$L39))*$U39*((1+Inputs!$D$7)^CZ$2))),(Inputs!$D$8^((1-_xlfn.WEIBULL.DIST(CZ$2,$M39,$L39,FALSE))/_xlfn.WEIBULL.DIST(CZ$2,$M39,$L39,FALSE))*$U39*((1+Inputs!$D$7)^CZ$2))),IF($N39=Lists!$K$3,IF($L39&lt;1,((($T39*(1-$F39)+$S39*(1-$G39))/$L39)*((1+Inputs!$D$7)^CZ$2)),((INT(CZ$2/$L39)-INT((CZ$2-1)/$L39))*($T39*(1-$F39)+$S39*(1-$G39))*((1+Inputs!$D$7)^CZ$2))),((Inputs!$D$8^((1-_xlfn.WEIBULL.DIST(CZ$2,$M39,$L39,FALSE))/_xlfn.WEIBULL.DIST(CZ$2,$M39,$L39,FALSE))*($T39*(1-$F39)+$S39*(1-$G39))*((1+Inputs!$D$7)^CZ$2))))))))</f>
        <v>0</v>
      </c>
      <c r="DA39" s="88">
        <f>MAX(BK39,($E39*IF(DA$2&gt;Inputs!$D$5,0,IF(DA$2&gt;VLOOKUP($H39,Lists!$P$3:$Q$7,2),IF($N39=Lists!$K$3,IF($L39&lt;1,(($U39/$L39)*((1+Inputs!$D$7)^DA$2)),((INT(DA$2/$L39)-INT((DA$2-1)/$L39))*$U39*((1+Inputs!$D$7)^DA$2))),(Inputs!$D$8^((1-_xlfn.WEIBULL.DIST(DA$2,$M39,$L39,FALSE))/_xlfn.WEIBULL.DIST(DA$2,$M39,$L39,FALSE))*$U39*((1+Inputs!$D$7)^DA$2))),IF($N39=Lists!$K$3,IF($L39&lt;1,((($T39*(1-$F39)+$S39*(1-$G39))/$L39)*((1+Inputs!$D$7)^DA$2)),((INT(DA$2/$L39)-INT((DA$2-1)/$L39))*($T39*(1-$F39)+$S39*(1-$G39))*((1+Inputs!$D$7)^DA$2))),((Inputs!$D$8^((1-_xlfn.WEIBULL.DIST(DA$2,$M39,$L39,FALSE))/_xlfn.WEIBULL.DIST(DA$2,$M39,$L39,FALSE))*($T39*(1-$F39)+$S39*(1-$G39))*((1+Inputs!$D$7)^DA$2))))))))</f>
        <v>0</v>
      </c>
      <c r="DB39" s="88">
        <f>MAX(BL39,($E39*IF(DB$2&gt;Inputs!$D$5,0,IF(DB$2&gt;VLOOKUP($H39,Lists!$P$3:$Q$7,2),IF($N39=Lists!$K$3,IF($L39&lt;1,(($U39/$L39)*((1+Inputs!$D$7)^DB$2)),((INT(DB$2/$L39)-INT((DB$2-1)/$L39))*$U39*((1+Inputs!$D$7)^DB$2))),(Inputs!$D$8^((1-_xlfn.WEIBULL.DIST(DB$2,$M39,$L39,FALSE))/_xlfn.WEIBULL.DIST(DB$2,$M39,$L39,FALSE))*$U39*((1+Inputs!$D$7)^DB$2))),IF($N39=Lists!$K$3,IF($L39&lt;1,((($T39*(1-$F39)+$S39*(1-$G39))/$L39)*((1+Inputs!$D$7)^DB$2)),((INT(DB$2/$L39)-INT((DB$2-1)/$L39))*($T39*(1-$F39)+$S39*(1-$G39))*((1+Inputs!$D$7)^DB$2))),((Inputs!$D$8^((1-_xlfn.WEIBULL.DIST(DB$2,$M39,$L39,FALSE))/_xlfn.WEIBULL.DIST(DB$2,$M39,$L39,FALSE))*($T39*(1-$F39)+$S39*(1-$G39))*((1+Inputs!$D$7)^DB$2))))))))</f>
        <v>0</v>
      </c>
      <c r="DC39" s="88">
        <f>MAX(BM39,($E39*IF(DC$2&gt;Inputs!$D$5,0,IF(DC$2&gt;VLOOKUP($H39,Lists!$P$3:$Q$7,2),IF($N39=Lists!$K$3,IF($L39&lt;1,(($U39/$L39)*((1+Inputs!$D$7)^DC$2)),((INT(DC$2/$L39)-INT((DC$2-1)/$L39))*$U39*((1+Inputs!$D$7)^DC$2))),(Inputs!$D$8^((1-_xlfn.WEIBULL.DIST(DC$2,$M39,$L39,FALSE))/_xlfn.WEIBULL.DIST(DC$2,$M39,$L39,FALSE))*$U39*((1+Inputs!$D$7)^DC$2))),IF($N39=Lists!$K$3,IF($L39&lt;1,((($T39*(1-$F39)+$S39*(1-$G39))/$L39)*((1+Inputs!$D$7)^DC$2)),((INT(DC$2/$L39)-INT((DC$2-1)/$L39))*($T39*(1-$F39)+$S39*(1-$G39))*((1+Inputs!$D$7)^DC$2))),((Inputs!$D$8^((1-_xlfn.WEIBULL.DIST(DC$2,$M39,$L39,FALSE))/_xlfn.WEIBULL.DIST(DC$2,$M39,$L39,FALSE))*($T39*(1-$F39)+$S39*(1-$G39))*((1+Inputs!$D$7)^DC$2))))))))</f>
        <v>0</v>
      </c>
      <c r="DD39" s="88">
        <f>MAX(BN39,($E39*IF(DD$2&gt;Inputs!$D$5,0,IF(DD$2&gt;VLOOKUP($H39,Lists!$P$3:$Q$7,2),IF($N39=Lists!$K$3,IF($L39&lt;1,(($U39/$L39)*((1+Inputs!$D$7)^DD$2)),((INT(DD$2/$L39)-INT((DD$2-1)/$L39))*$U39*((1+Inputs!$D$7)^DD$2))),(Inputs!$D$8^((1-_xlfn.WEIBULL.DIST(DD$2,$M39,$L39,FALSE))/_xlfn.WEIBULL.DIST(DD$2,$M39,$L39,FALSE))*$U39*((1+Inputs!$D$7)^DD$2))),IF($N39=Lists!$K$3,IF($L39&lt;1,((($T39*(1-$F39)+$S39*(1-$G39))/$L39)*((1+Inputs!$D$7)^DD$2)),((INT(DD$2/$L39)-INT((DD$2-1)/$L39))*($T39*(1-$F39)+$S39*(1-$G39))*((1+Inputs!$D$7)^DD$2))),((Inputs!$D$8^((1-_xlfn.WEIBULL.DIST(DD$2,$M39,$L39,FALSE))/_xlfn.WEIBULL.DIST(DD$2,$M39,$L39,FALSE))*($T39*(1-$F39)+$S39*(1-$G39))*((1+Inputs!$D$7)^DD$2))))))))</f>
        <v>0</v>
      </c>
    </row>
    <row r="40" spans="1:108" s="1" customFormat="1" ht="16">
      <c r="A40" s="57" t="s">
        <v>187</v>
      </c>
      <c r="B40" s="13" t="s">
        <v>130</v>
      </c>
      <c r="C40" s="13" t="s">
        <v>474</v>
      </c>
      <c r="D40" s="13" t="s">
        <v>16</v>
      </c>
      <c r="E40" s="48">
        <f>IF(Inputs!$D$30=Lists!$M$4,1,0)</f>
        <v>1</v>
      </c>
      <c r="F40" s="48">
        <v>1</v>
      </c>
      <c r="G40" s="48">
        <v>0</v>
      </c>
      <c r="H40" s="105" t="s">
        <v>16</v>
      </c>
      <c r="I40" s="14" t="s">
        <v>264</v>
      </c>
      <c r="J40" s="14" t="s">
        <v>91</v>
      </c>
      <c r="K40" s="13">
        <f>VLOOKUP(J40,'Labor Rates'!$A$1:$F$16,2)</f>
        <v>33.17307692307692</v>
      </c>
      <c r="L40" s="15">
        <v>20</v>
      </c>
      <c r="M40" s="15">
        <v>1</v>
      </c>
      <c r="N40" s="16" t="s">
        <v>226</v>
      </c>
      <c r="O40" s="61">
        <f>Inputs!$D$32</f>
        <v>10</v>
      </c>
      <c r="P40" s="15">
        <v>4</v>
      </c>
      <c r="Q40" s="15">
        <f t="shared" si="7"/>
        <v>2</v>
      </c>
      <c r="R40" s="4">
        <f>0.05*Inputs!$D$33*1000</f>
        <v>50000</v>
      </c>
      <c r="S40" s="53">
        <f t="shared" si="8"/>
        <v>1326.9230769230767</v>
      </c>
      <c r="T40" s="53">
        <f t="shared" si="9"/>
        <v>500000</v>
      </c>
      <c r="U40" s="54">
        <f t="shared" si="10"/>
        <v>501326.92307692306</v>
      </c>
      <c r="V40" s="65"/>
      <c r="W40" s="58"/>
      <c r="X40" s="64">
        <f t="shared" si="11"/>
        <v>7906.2361015118859</v>
      </c>
      <c r="Y40" s="64">
        <f>NPV(Inputs!$D$6,AA40:BN40)</f>
        <v>70928.934845856202</v>
      </c>
      <c r="Z40" s="67">
        <f t="shared" si="12"/>
        <v>3.345354847411721E-2</v>
      </c>
      <c r="AA40" s="88">
        <f>$E40*IF(AA$2&gt;Inputs!$D$5,0,IF(AA$2&gt;VLOOKUP($H40,Lists!$P$3:$Q$7,2),IF($N40=Lists!$K$3,IF($L40&lt;1,(($U40/$L40)*((1+Inputs!$D$7)^AA$2)),((INT(AA$2/$L40)-INT((AA$2-1)/$L40))*$U40*((1+Inputs!$D$7)^AA$2))),(_xlfn.WEIBULL.DIST(AA$2,$M40,$L40,FALSE)*$U40*((1+Inputs!$D$7)^AA$2))),IF($N40=Lists!$K$3,IF($L40&lt;1,((($T40*(1-$F40)+$S40*(1-$G40))/$L40)*((1+Inputs!$D$7)^AA$2)),((INT(AA$2/$L40)-INT((AA$2-1)/$L40))*($T40*(1-$F40)+$S40*(1-$G40))*((1+Inputs!$D$7)^AA$2))),((_xlfn.WEIBULL.DIST(AA$2,$M40,$L40,FALSE)*($T40*(1-$F40)+$S40*(1-$G40))*((1+Inputs!$D$7)^AA$2))))))</f>
        <v>64.372622015731011</v>
      </c>
      <c r="AB40" s="88">
        <f>$E40*IF(AB$2&gt;Inputs!$D$5,0,IF(AB$2&gt;VLOOKUP($H40,Lists!$P$3:$Q$7,2),IF($N40=Lists!$K$3,IF($L40&lt;1,(($U40/$L40)*((1+Inputs!$D$7)^AB$2)),((INT(AB$2/$L40)-INT((AB$2-1)/$L40))*$U40*((1+Inputs!$D$7)^AB$2))),(_xlfn.WEIBULL.DIST(AB$2,$M40,$L40,FALSE)*$U40*((1+Inputs!$D$7)^AB$2))),IF($N40=Lists!$K$3,IF($L40&lt;1,((($T40*(1-$F40)+$S40*(1-$G40))/$L40)*((1+Inputs!$D$7)^AB$2)),((INT(AB$2/$L40)-INT((AB$2-1)/$L40))*($T40*(1-$F40)+$S40*(1-$G40))*((1+Inputs!$D$7)^AB$2))),((_xlfn.WEIBULL.DIST(AB$2,$M40,$L40,FALSE)*($T40*(1-$F40)+$S40*(1-$G40))*((1+Inputs!$D$7)^AB$2))))))</f>
        <v>62.457794837498319</v>
      </c>
      <c r="AC40" s="88">
        <f>$E40*IF(AC$2&gt;Inputs!$D$5,0,IF(AC$2&gt;VLOOKUP($H40,Lists!$P$3:$Q$7,2),IF($N40=Lists!$K$3,IF($L40&lt;1,(($U40/$L40)*((1+Inputs!$D$7)^AC$2)),((INT(AC$2/$L40)-INT((AC$2-1)/$L40))*$U40*((1+Inputs!$D$7)^AC$2))),(_xlfn.WEIBULL.DIST(AC$2,$M40,$L40,FALSE)*$U40*((1+Inputs!$D$7)^AC$2))),IF($N40=Lists!$K$3,IF($L40&lt;1,((($T40*(1-$F40)+$S40*(1-$G40))/$L40)*((1+Inputs!$D$7)^AC$2)),((INT(AC$2/$L40)-INT((AC$2-1)/$L40))*($T40*(1-$F40)+$S40*(1-$G40))*((1+Inputs!$D$7)^AC$2))),((_xlfn.WEIBULL.DIST(AC$2,$M40,$L40,FALSE)*($T40*(1-$F40)+$S40*(1-$G40))*((1+Inputs!$D$7)^AC$2))))))</f>
        <v>60.599926083634337</v>
      </c>
      <c r="AD40" s="88">
        <f>$E40*IF(AD$2&gt;Inputs!$D$5,0,IF(AD$2&gt;VLOOKUP($H40,Lists!$P$3:$Q$7,2),IF($N40=Lists!$K$3,IF($L40&lt;1,(($U40/$L40)*((1+Inputs!$D$7)^AD$2)),((INT(AD$2/$L40)-INT((AD$2-1)/$L40))*$U40*((1+Inputs!$D$7)^AD$2))),(_xlfn.WEIBULL.DIST(AD$2,$M40,$L40,FALSE)*$U40*((1+Inputs!$D$7)^AD$2))),IF($N40=Lists!$K$3,IF($L40&lt;1,((($T40*(1-$F40)+$S40*(1-$G40))/$L40)*((1+Inputs!$D$7)^AD$2)),((INT(AD$2/$L40)-INT((AD$2-1)/$L40))*($T40*(1-$F40)+$S40*(1-$G40))*((1+Inputs!$D$7)^AD$2))),((_xlfn.WEIBULL.DIST(AD$2,$M40,$L40,FALSE)*($T40*(1-$F40)+$S40*(1-$G40))*((1+Inputs!$D$7)^AD$2))))))</f>
        <v>58.797321469587722</v>
      </c>
      <c r="AE40" s="88">
        <f>$E40*IF(AE$2&gt;Inputs!$D$5,0,IF(AE$2&gt;VLOOKUP($H40,Lists!$P$3:$Q$7,2),IF($N40=Lists!$K$3,IF($L40&lt;1,(($U40/$L40)*((1+Inputs!$D$7)^AE$2)),((INT(AE$2/$L40)-INT((AE$2-1)/$L40))*$U40*((1+Inputs!$D$7)^AE$2))),(_xlfn.WEIBULL.DIST(AE$2,$M40,$L40,FALSE)*$U40*((1+Inputs!$D$7)^AE$2))),IF($N40=Lists!$K$3,IF($L40&lt;1,((($T40*(1-$F40)+$S40*(1-$G40))/$L40)*((1+Inputs!$D$7)^AE$2)),((INT(AE$2/$L40)-INT((AE$2-1)/$L40))*($T40*(1-$F40)+$S40*(1-$G40))*((1+Inputs!$D$7)^AE$2))),((_xlfn.WEIBULL.DIST(AE$2,$M40,$L40,FALSE)*($T40*(1-$F40)+$S40*(1-$G40))*((1+Inputs!$D$7)^AE$2))))))</f>
        <v>57.048337108973392</v>
      </c>
      <c r="AF40" s="88">
        <f>$E40*IF(AF$2&gt;Inputs!$D$5,0,IF(AF$2&gt;VLOOKUP($H40,Lists!$P$3:$Q$7,2),IF($N40=Lists!$K$3,IF($L40&lt;1,(($U40/$L40)*((1+Inputs!$D$7)^AF$2)),((INT(AF$2/$L40)-INT((AF$2-1)/$L40))*$U40*((1+Inputs!$D$7)^AF$2))),(_xlfn.WEIBULL.DIST(AF$2,$M40,$L40,FALSE)*$U40*((1+Inputs!$D$7)^AF$2))),IF($N40=Lists!$K$3,IF($L40&lt;1,((($T40*(1-$F40)+$S40*(1-$G40))/$L40)*((1+Inputs!$D$7)^AF$2)),((INT(AF$2/$L40)-INT((AF$2-1)/$L40))*($T40*(1-$F40)+$S40*(1-$G40))*((1+Inputs!$D$7)^AF$2))),((_xlfn.WEIBULL.DIST(AF$2,$M40,$L40,FALSE)*($T40*(1-$F40)+$S40*(1-$G40))*((1+Inputs!$D$7)^AF$2))))))</f>
        <v>55.351378014429329</v>
      </c>
      <c r="AG40" s="88">
        <f>$E40*IF(AG$2&gt;Inputs!$D$5,0,IF(AG$2&gt;VLOOKUP($H40,Lists!$P$3:$Q$7,2),IF($N40=Lists!$K$3,IF($L40&lt;1,(($U40/$L40)*((1+Inputs!$D$7)^AG$2)),((INT(AG$2/$L40)-INT((AG$2-1)/$L40))*$U40*((1+Inputs!$D$7)^AG$2))),(_xlfn.WEIBULL.DIST(AG$2,$M40,$L40,FALSE)*$U40*((1+Inputs!$D$7)^AG$2))),IF($N40=Lists!$K$3,IF($L40&lt;1,((($T40*(1-$F40)+$S40*(1-$G40))/$L40)*((1+Inputs!$D$7)^AG$2)),((INT(AG$2/$L40)-INT((AG$2-1)/$L40))*($T40*(1-$F40)+$S40*(1-$G40))*((1+Inputs!$D$7)^AG$2))),((_xlfn.WEIBULL.DIST(AG$2,$M40,$L40,FALSE)*($T40*(1-$F40)+$S40*(1-$G40))*((1+Inputs!$D$7)^AG$2))))))</f>
        <v>53.704896643066803</v>
      </c>
      <c r="AH40" s="88">
        <f>$E40*IF(AH$2&gt;Inputs!$D$5,0,IF(AH$2&gt;VLOOKUP($H40,Lists!$P$3:$Q$7,2),IF($N40=Lists!$K$3,IF($L40&lt;1,(($U40/$L40)*((1+Inputs!$D$7)^AH$2)),((INT(AH$2/$L40)-INT((AH$2-1)/$L40))*$U40*((1+Inputs!$D$7)^AH$2))),(_xlfn.WEIBULL.DIST(AH$2,$M40,$L40,FALSE)*$U40*((1+Inputs!$D$7)^AH$2))),IF($N40=Lists!$K$3,IF($L40&lt;1,((($T40*(1-$F40)+$S40*(1-$G40))/$L40)*((1+Inputs!$D$7)^AH$2)),((INT(AH$2/$L40)-INT((AH$2-1)/$L40))*($T40*(1-$F40)+$S40*(1-$G40))*((1+Inputs!$D$7)^AH$2))),((_xlfn.WEIBULL.DIST(AH$2,$M40,$L40,FALSE)*($T40*(1-$F40)+$S40*(1-$G40))*((1+Inputs!$D$7)^AH$2))))))</f>
        <v>52.107391485187868</v>
      </c>
      <c r="AI40" s="88">
        <f>$E40*IF(AI$2&gt;Inputs!$D$5,0,IF(AI$2&gt;VLOOKUP($H40,Lists!$P$3:$Q$7,2),IF($N40=Lists!$K$3,IF($L40&lt;1,(($U40/$L40)*((1+Inputs!$D$7)^AI$2)),((INT(AI$2/$L40)-INT((AI$2-1)/$L40))*$U40*((1+Inputs!$D$7)^AI$2))),(_xlfn.WEIBULL.DIST(AI$2,$M40,$L40,FALSE)*$U40*((1+Inputs!$D$7)^AI$2))),IF($N40=Lists!$K$3,IF($L40&lt;1,((($T40*(1-$F40)+$S40*(1-$G40))/$L40)*((1+Inputs!$D$7)^AI$2)),((INT(AI$2/$L40)-INT((AI$2-1)/$L40))*($T40*(1-$F40)+$S40*(1-$G40))*((1+Inputs!$D$7)^AI$2))),((_xlfn.WEIBULL.DIST(AI$2,$M40,$L40,FALSE)*($T40*(1-$F40)+$S40*(1-$G40))*((1+Inputs!$D$7)^AI$2))))))</f>
        <v>50.557405694982435</v>
      </c>
      <c r="AJ40" s="88">
        <f>$E40*IF(AJ$2&gt;Inputs!$D$5,0,IF(AJ$2&gt;VLOOKUP($H40,Lists!$P$3:$Q$7,2),IF($N40=Lists!$K$3,IF($L40&lt;1,(($U40/$L40)*((1+Inputs!$D$7)^AJ$2)),((INT(AJ$2/$L40)-INT((AJ$2-1)/$L40))*$U40*((1+Inputs!$D$7)^AJ$2))),(_xlfn.WEIBULL.DIST(AJ$2,$M40,$L40,FALSE)*$U40*((1+Inputs!$D$7)^AJ$2))),IF($N40=Lists!$K$3,IF($L40&lt;1,((($T40*(1-$F40)+$S40*(1-$G40))/$L40)*((1+Inputs!$D$7)^AJ$2)),((INT(AJ$2/$L40)-INT((AJ$2-1)/$L40))*($T40*(1-$F40)+$S40*(1-$G40))*((1+Inputs!$D$7)^AJ$2))),((_xlfn.WEIBULL.DIST(AJ$2,$M40,$L40,FALSE)*($T40*(1-$F40)+$S40*(1-$G40))*((1+Inputs!$D$7)^AJ$2))))))</f>
        <v>49.053525761957005</v>
      </c>
      <c r="AK40" s="88">
        <f>$E40*IF(AK$2&gt;Inputs!$D$5,0,IF(AK$2&gt;VLOOKUP($H40,Lists!$P$3:$Q$7,2),IF($N40=Lists!$K$3,IF($L40&lt;1,(($U40/$L40)*((1+Inputs!$D$7)^AK$2)),((INT(AK$2/$L40)-INT((AK$2-1)/$L40))*$U40*((1+Inputs!$D$7)^AK$2))),(_xlfn.WEIBULL.DIST(AK$2,$M40,$L40,FALSE)*$U40*((1+Inputs!$D$7)^AK$2))),IF($N40=Lists!$K$3,IF($L40&lt;1,((($T40*(1-$F40)+$S40*(1-$G40))/$L40)*((1+Inputs!$D$7)^AK$2)),((INT(AK$2/$L40)-INT((AK$2-1)/$L40))*($T40*(1-$F40)+$S40*(1-$G40))*((1+Inputs!$D$7)^AK$2))),((_xlfn.WEIBULL.DIST(AK$2,$M40,$L40,FALSE)*($T40*(1-$F40)+$S40*(1-$G40))*((1+Inputs!$D$7)^AK$2))))))</f>
        <v>17981.708666728464</v>
      </c>
      <c r="AL40" s="88">
        <f>$E40*IF(AL$2&gt;Inputs!$D$5,0,IF(AL$2&gt;VLOOKUP($H40,Lists!$P$3:$Q$7,2),IF($N40=Lists!$K$3,IF($L40&lt;1,(($U40/$L40)*((1+Inputs!$D$7)^AL$2)),((INT(AL$2/$L40)-INT((AL$2-1)/$L40))*$U40*((1+Inputs!$D$7)^AL$2))),(_xlfn.WEIBULL.DIST(AL$2,$M40,$L40,FALSE)*$U40*((1+Inputs!$D$7)^AL$2))),IF($N40=Lists!$K$3,IF($L40&lt;1,((($T40*(1-$F40)+$S40*(1-$G40))/$L40)*((1+Inputs!$D$7)^AL$2)),((INT(AL$2/$L40)-INT((AL$2-1)/$L40))*($T40*(1-$F40)+$S40*(1-$G40))*((1+Inputs!$D$7)^AL$2))),((_xlfn.WEIBULL.DIST(AL$2,$M40,$L40,FALSE)*($T40*(1-$F40)+$S40*(1-$G40))*((1+Inputs!$D$7)^AL$2))))))</f>
        <v>17446.824994323455</v>
      </c>
      <c r="AM40" s="88">
        <f>$E40*IF(AM$2&gt;Inputs!$D$5,0,IF(AM$2&gt;VLOOKUP($H40,Lists!$P$3:$Q$7,2),IF($N40=Lists!$K$3,IF($L40&lt;1,(($U40/$L40)*((1+Inputs!$D$7)^AM$2)),((INT(AM$2/$L40)-INT((AM$2-1)/$L40))*$U40*((1+Inputs!$D$7)^AM$2))),(_xlfn.WEIBULL.DIST(AM$2,$M40,$L40,FALSE)*$U40*((1+Inputs!$D$7)^AM$2))),IF($N40=Lists!$K$3,IF($L40&lt;1,((($T40*(1-$F40)+$S40*(1-$G40))/$L40)*((1+Inputs!$D$7)^AM$2)),((INT(AM$2/$L40)-INT((AM$2-1)/$L40))*($T40*(1-$F40)+$S40*(1-$G40))*((1+Inputs!$D$7)^AM$2))),((_xlfn.WEIBULL.DIST(AM$2,$M40,$L40,FALSE)*($T40*(1-$F40)+$S40*(1-$G40))*((1+Inputs!$D$7)^AM$2))))))</f>
        <v>16927.851964689275</v>
      </c>
      <c r="AN40" s="88">
        <f>$E40*IF(AN$2&gt;Inputs!$D$5,0,IF(AN$2&gt;VLOOKUP($H40,Lists!$P$3:$Q$7,2),IF($N40=Lists!$K$3,IF($L40&lt;1,(($U40/$L40)*((1+Inputs!$D$7)^AN$2)),((INT(AN$2/$L40)-INT((AN$2-1)/$L40))*$U40*((1+Inputs!$D$7)^AN$2))),(_xlfn.WEIBULL.DIST(AN$2,$M40,$L40,FALSE)*$U40*((1+Inputs!$D$7)^AN$2))),IF($N40=Lists!$K$3,IF($L40&lt;1,((($T40*(1-$F40)+$S40*(1-$G40))/$L40)*((1+Inputs!$D$7)^AN$2)),((INT(AN$2/$L40)-INT((AN$2-1)/$L40))*($T40*(1-$F40)+$S40*(1-$G40))*((1+Inputs!$D$7)^AN$2))),((_xlfn.WEIBULL.DIST(AN$2,$M40,$L40,FALSE)*($T40*(1-$F40)+$S40*(1-$G40))*((1+Inputs!$D$7)^AN$2))))))</f>
        <v>16424.316300052753</v>
      </c>
      <c r="AO40" s="88">
        <f>$E40*IF(AO$2&gt;Inputs!$D$5,0,IF(AO$2&gt;VLOOKUP($H40,Lists!$P$3:$Q$7,2),IF($N40=Lists!$K$3,IF($L40&lt;1,(($U40/$L40)*((1+Inputs!$D$7)^AO$2)),((INT(AO$2/$L40)-INT((AO$2-1)/$L40))*$U40*((1+Inputs!$D$7)^AO$2))),(_xlfn.WEIBULL.DIST(AO$2,$M40,$L40,FALSE)*$U40*((1+Inputs!$D$7)^AO$2))),IF($N40=Lists!$K$3,IF($L40&lt;1,((($T40*(1-$F40)+$S40*(1-$G40))/$L40)*((1+Inputs!$D$7)^AO$2)),((INT(AO$2/$L40)-INT((AO$2-1)/$L40))*($T40*(1-$F40)+$S40*(1-$G40))*((1+Inputs!$D$7)^AO$2))),((_xlfn.WEIBULL.DIST(AO$2,$M40,$L40,FALSE)*($T40*(1-$F40)+$S40*(1-$G40))*((1+Inputs!$D$7)^AO$2))))))</f>
        <v>15935.758800755209</v>
      </c>
      <c r="AP40" s="88">
        <f>$E40*IF(AP$2&gt;Inputs!$D$5,0,IF(AP$2&gt;VLOOKUP($H40,Lists!$P$3:$Q$7,2),IF($N40=Lists!$K$3,IF($L40&lt;1,(($U40/$L40)*((1+Inputs!$D$7)^AP$2)),((INT(AP$2/$L40)-INT((AP$2-1)/$L40))*$U40*((1+Inputs!$D$7)^AP$2))),(_xlfn.WEIBULL.DIST(AP$2,$M40,$L40,FALSE)*$U40*((1+Inputs!$D$7)^AP$2))),IF($N40=Lists!$K$3,IF($L40&lt;1,((($T40*(1-$F40)+$S40*(1-$G40))/$L40)*((1+Inputs!$D$7)^AP$2)),((INT(AP$2/$L40)-INT((AP$2-1)/$L40))*($T40*(1-$F40)+$S40*(1-$G40))*((1+Inputs!$D$7)^AP$2))),((_xlfn.WEIBULL.DIST(AP$2,$M40,$L40,FALSE)*($T40*(1-$F40)+$S40*(1-$G40))*((1+Inputs!$D$7)^AP$2))))))</f>
        <v>15461.73392648506</v>
      </c>
      <c r="AQ40" s="88">
        <f>$E40*IF(AQ$2&gt;Inputs!$D$5,0,IF(AQ$2&gt;VLOOKUP($H40,Lists!$P$3:$Q$7,2),IF($N40=Lists!$K$3,IF($L40&lt;1,(($U40/$L40)*((1+Inputs!$D$7)^AQ$2)),((INT(AQ$2/$L40)-INT((AQ$2-1)/$L40))*$U40*((1+Inputs!$D$7)^AQ$2))),(_xlfn.WEIBULL.DIST(AQ$2,$M40,$L40,FALSE)*$U40*((1+Inputs!$D$7)^AQ$2))),IF($N40=Lists!$K$3,IF($L40&lt;1,((($T40*(1-$F40)+$S40*(1-$G40))/$L40)*((1+Inputs!$D$7)^AQ$2)),((INT(AQ$2/$L40)-INT((AQ$2-1)/$L40))*($T40*(1-$F40)+$S40*(1-$G40))*((1+Inputs!$D$7)^AQ$2))),((_xlfn.WEIBULL.DIST(AQ$2,$M40,$L40,FALSE)*($T40*(1-$F40)+$S40*(1-$G40))*((1+Inputs!$D$7)^AQ$2))))))</f>
        <v>15001.809389967024</v>
      </c>
      <c r="AR40" s="88">
        <f>$E40*IF(AR$2&gt;Inputs!$D$5,0,IF(AR$2&gt;VLOOKUP($H40,Lists!$P$3:$Q$7,2),IF($N40=Lists!$K$3,IF($L40&lt;1,(($U40/$L40)*((1+Inputs!$D$7)^AR$2)),((INT(AR$2/$L40)-INT((AR$2-1)/$L40))*$U40*((1+Inputs!$D$7)^AR$2))),(_xlfn.WEIBULL.DIST(AR$2,$M40,$L40,FALSE)*$U40*((1+Inputs!$D$7)^AR$2))),IF($N40=Lists!$K$3,IF($L40&lt;1,((($T40*(1-$F40)+$S40*(1-$G40))/$L40)*((1+Inputs!$D$7)^AR$2)),((INT(AR$2/$L40)-INT((AR$2-1)/$L40))*($T40*(1-$F40)+$S40*(1-$G40))*((1+Inputs!$D$7)^AR$2))),((_xlfn.WEIBULL.DIST(AR$2,$M40,$L40,FALSE)*($T40*(1-$F40)+$S40*(1-$G40))*((1+Inputs!$D$7)^AR$2))))))</f>
        <v>14555.565762737489</v>
      </c>
      <c r="AS40" s="88">
        <f>$E40*IF(AS$2&gt;Inputs!$D$5,0,IF(AS$2&gt;VLOOKUP($H40,Lists!$P$3:$Q$7,2),IF($N40=Lists!$K$3,IF($L40&lt;1,(($U40/$L40)*((1+Inputs!$D$7)^AS$2)),((INT(AS$2/$L40)-INT((AS$2-1)/$L40))*$U40*((1+Inputs!$D$7)^AS$2))),(_xlfn.WEIBULL.DIST(AS$2,$M40,$L40,FALSE)*$U40*((1+Inputs!$D$7)^AS$2))),IF($N40=Lists!$K$3,IF($L40&lt;1,((($T40*(1-$F40)+$S40*(1-$G40))/$L40)*((1+Inputs!$D$7)^AS$2)),((INT(AS$2/$L40)-INT((AS$2-1)/$L40))*($T40*(1-$F40)+$S40*(1-$G40))*((1+Inputs!$D$7)^AS$2))),((_xlfn.WEIBULL.DIST(AS$2,$M40,$L40,FALSE)*($T40*(1-$F40)+$S40*(1-$G40))*((1+Inputs!$D$7)^AS$2))))))</f>
        <v>14122.596092646501</v>
      </c>
      <c r="AT40" s="88">
        <f>$E40*IF(AT$2&gt;Inputs!$D$5,0,IF(AT$2&gt;VLOOKUP($H40,Lists!$P$3:$Q$7,2),IF($N40=Lists!$K$3,IF($L40&lt;1,(($U40/$L40)*((1+Inputs!$D$7)^AT$2)),((INT(AT$2/$L40)-INT((AT$2-1)/$L40))*$U40*((1+Inputs!$D$7)^AT$2))),(_xlfn.WEIBULL.DIST(AT$2,$M40,$L40,FALSE)*$U40*((1+Inputs!$D$7)^AT$2))),IF($N40=Lists!$K$3,IF($L40&lt;1,((($T40*(1-$F40)+$S40*(1-$G40))/$L40)*((1+Inputs!$D$7)^AT$2)),((INT(AT$2/$L40)-INT((AT$2-1)/$L40))*($T40*(1-$F40)+$S40*(1-$G40))*((1+Inputs!$D$7)^AT$2))),((_xlfn.WEIBULL.DIST(AT$2,$M40,$L40,FALSE)*($T40*(1-$F40)+$S40*(1-$G40))*((1+Inputs!$D$7)^AT$2))))))</f>
        <v>13702.505532737447</v>
      </c>
      <c r="AU40" s="88">
        <f>$E40*IF(AU$2&gt;Inputs!$D$5,0,IF(AU$2&gt;VLOOKUP($H40,Lists!$P$3:$Q$7,2),IF($N40=Lists!$K$3,IF($L40&lt;1,(($U40/$L40)*((1+Inputs!$D$7)^AU$2)),((INT(AU$2/$L40)-INT((AU$2-1)/$L40))*$U40*((1+Inputs!$D$7)^AU$2))),(_xlfn.WEIBULL.DIST(AU$2,$M40,$L40,FALSE)*$U40*((1+Inputs!$D$7)^AU$2))),IF($N40=Lists!$K$3,IF($L40&lt;1,((($T40*(1-$F40)+$S40*(1-$G40))/$L40)*((1+Inputs!$D$7)^AU$2)),((INT(AU$2/$L40)-INT((AU$2-1)/$L40))*($T40*(1-$F40)+$S40*(1-$G40))*((1+Inputs!$D$7)^AU$2))),((_xlfn.WEIBULL.DIST(AU$2,$M40,$L40,FALSE)*($T40*(1-$F40)+$S40*(1-$G40))*((1+Inputs!$D$7)^AU$2))))))</f>
        <v>13294.910981166166</v>
      </c>
      <c r="AV40" s="88">
        <f>$E40*IF(AV$2&gt;Inputs!$D$5,0,IF(AV$2&gt;VLOOKUP($H40,Lists!$P$3:$Q$7,2),IF($N40=Lists!$K$3,IF($L40&lt;1,(($U40/$L40)*((1+Inputs!$D$7)^AV$2)),((INT(AV$2/$L40)-INT((AV$2-1)/$L40))*$U40*((1+Inputs!$D$7)^AV$2))),(_xlfn.WEIBULL.DIST(AV$2,$M40,$L40,FALSE)*$U40*((1+Inputs!$D$7)^AV$2))),IF($N40=Lists!$K$3,IF($L40&lt;1,((($T40*(1-$F40)+$S40*(1-$G40))/$L40)*((1+Inputs!$D$7)^AV$2)),((INT(AV$2/$L40)-INT((AV$2-1)/$L40))*($T40*(1-$F40)+$S40*(1-$G40))*((1+Inputs!$D$7)^AV$2))),((_xlfn.WEIBULL.DIST(AV$2,$M40,$L40,FALSE)*($T40*(1-$F40)+$S40*(1-$G40))*((1+Inputs!$D$7)^AV$2))))))</f>
        <v>12899.440731830975</v>
      </c>
      <c r="AW40" s="88">
        <f>$E40*IF(AW$2&gt;Inputs!$D$5,0,IF(AW$2&gt;VLOOKUP($H40,Lists!$P$3:$Q$7,2),IF($N40=Lists!$K$3,IF($L40&lt;1,(($U40/$L40)*((1+Inputs!$D$7)^AW$2)),((INT(AW$2/$L40)-INT((AW$2-1)/$L40))*$U40*((1+Inputs!$D$7)^AW$2))),(_xlfn.WEIBULL.DIST(AW$2,$M40,$L40,FALSE)*$U40*((1+Inputs!$D$7)^AW$2))),IF($N40=Lists!$K$3,IF($L40&lt;1,((($T40*(1-$F40)+$S40*(1-$G40))/$L40)*((1+Inputs!$D$7)^AW$2)),((INT(AW$2/$L40)-INT((AW$2-1)/$L40))*($T40*(1-$F40)+$S40*(1-$G40))*((1+Inputs!$D$7)^AW$2))),((_xlfn.WEIBULL.DIST(AW$2,$M40,$L40,FALSE)*($T40*(1-$F40)+$S40*(1-$G40))*((1+Inputs!$D$7)^AW$2))))))</f>
        <v>12515.734135395058</v>
      </c>
      <c r="AX40" s="88">
        <f>$E40*IF(AX$2&gt;Inputs!$D$5,0,IF(AX$2&gt;VLOOKUP($H40,Lists!$P$3:$Q$7,2),IF($N40=Lists!$K$3,IF($L40&lt;1,(($U40/$L40)*((1+Inputs!$D$7)^AX$2)),((INT(AX$2/$L40)-INT((AX$2-1)/$L40))*$U40*((1+Inputs!$D$7)^AX$2))),(_xlfn.WEIBULL.DIST(AX$2,$M40,$L40,FALSE)*$U40*((1+Inputs!$D$7)^AX$2))),IF($N40=Lists!$K$3,IF($L40&lt;1,((($T40*(1-$F40)+$S40*(1-$G40))/$L40)*((1+Inputs!$D$7)^AX$2)),((INT(AX$2/$L40)-INT((AX$2-1)/$L40))*($T40*(1-$F40)+$S40*(1-$G40))*((1+Inputs!$D$7)^AX$2))),((_xlfn.WEIBULL.DIST(AX$2,$M40,$L40,FALSE)*($T40*(1-$F40)+$S40*(1-$G40))*((1+Inputs!$D$7)^AX$2))))))</f>
        <v>12143.441270392099</v>
      </c>
      <c r="AY40" s="88">
        <f>$E40*IF(AY$2&gt;Inputs!$D$5,0,IF(AY$2&gt;VLOOKUP($H40,Lists!$P$3:$Q$7,2),IF($N40=Lists!$K$3,IF($L40&lt;1,(($U40/$L40)*((1+Inputs!$D$7)^AY$2)),((INT(AY$2/$L40)-INT((AY$2-1)/$L40))*$U40*((1+Inputs!$D$7)^AY$2))),(_xlfn.WEIBULL.DIST(AY$2,$M40,$L40,FALSE)*$U40*((1+Inputs!$D$7)^AY$2))),IF($N40=Lists!$K$3,IF($L40&lt;1,((($T40*(1-$F40)+$S40*(1-$G40))/$L40)*((1+Inputs!$D$7)^AY$2)),((INT(AY$2/$L40)-INT((AY$2-1)/$L40))*($T40*(1-$F40)+$S40*(1-$G40))*((1+Inputs!$D$7)^AY$2))),((_xlfn.WEIBULL.DIST(AY$2,$M40,$L40,FALSE)*($T40*(1-$F40)+$S40*(1-$G40))*((1+Inputs!$D$7)^AY$2))))))</f>
        <v>11782.22262411516</v>
      </c>
      <c r="AZ40" s="88">
        <f>$E40*IF(AZ$2&gt;Inputs!$D$5,0,IF(AZ$2&gt;VLOOKUP($H40,Lists!$P$3:$Q$7,2),IF($N40=Lists!$K$3,IF($L40&lt;1,(($U40/$L40)*((1+Inputs!$D$7)^AZ$2)),((INT(AZ$2/$L40)-INT((AZ$2-1)/$L40))*$U40*((1+Inputs!$D$7)^AZ$2))),(_xlfn.WEIBULL.DIST(AZ$2,$M40,$L40,FALSE)*$U40*((1+Inputs!$D$7)^AZ$2))),IF($N40=Lists!$K$3,IF($L40&lt;1,((($T40*(1-$F40)+$S40*(1-$G40))/$L40)*((1+Inputs!$D$7)^AZ$2)),((INT(AZ$2/$L40)-INT((AZ$2-1)/$L40))*($T40*(1-$F40)+$S40*(1-$G40))*((1+Inputs!$D$7)^AZ$2))),((_xlfn.WEIBULL.DIST(AZ$2,$M40,$L40,FALSE)*($T40*(1-$F40)+$S40*(1-$G40))*((1+Inputs!$D$7)^AZ$2))))))</f>
        <v>0</v>
      </c>
      <c r="BA40" s="88">
        <f>$E40*IF(BA$2&gt;Inputs!$D$5,0,IF(BA$2&gt;VLOOKUP($H40,Lists!$P$3:$Q$7,2),IF($N40=Lists!$K$3,IF($L40&lt;1,(($U40/$L40)*((1+Inputs!$D$7)^BA$2)),((INT(BA$2/$L40)-INT((BA$2-1)/$L40))*$U40*((1+Inputs!$D$7)^BA$2))),(_xlfn.WEIBULL.DIST(BA$2,$M40,$L40,FALSE)*$U40*((1+Inputs!$D$7)^BA$2))),IF($N40=Lists!$K$3,IF($L40&lt;1,((($T40*(1-$F40)+$S40*(1-$G40))/$L40)*((1+Inputs!$D$7)^BA$2)),((INT(BA$2/$L40)-INT((BA$2-1)/$L40))*($T40*(1-$F40)+$S40*(1-$G40))*((1+Inputs!$D$7)^BA$2))),((_xlfn.WEIBULL.DIST(BA$2,$M40,$L40,FALSE)*($T40*(1-$F40)+$S40*(1-$G40))*((1+Inputs!$D$7)^BA$2))))))</f>
        <v>0</v>
      </c>
      <c r="BB40" s="88">
        <f>$E40*IF(BB$2&gt;Inputs!$D$5,0,IF(BB$2&gt;VLOOKUP($H40,Lists!$P$3:$Q$7,2),IF($N40=Lists!$K$3,IF($L40&lt;1,(($U40/$L40)*((1+Inputs!$D$7)^BB$2)),((INT(BB$2/$L40)-INT((BB$2-1)/$L40))*$U40*((1+Inputs!$D$7)^BB$2))),(_xlfn.WEIBULL.DIST(BB$2,$M40,$L40,FALSE)*$U40*((1+Inputs!$D$7)^BB$2))),IF($N40=Lists!$K$3,IF($L40&lt;1,((($T40*(1-$F40)+$S40*(1-$G40))/$L40)*((1+Inputs!$D$7)^BB$2)),((INT(BB$2/$L40)-INT((BB$2-1)/$L40))*($T40*(1-$F40)+$S40*(1-$G40))*((1+Inputs!$D$7)^BB$2))),((_xlfn.WEIBULL.DIST(BB$2,$M40,$L40,FALSE)*($T40*(1-$F40)+$S40*(1-$G40))*((1+Inputs!$D$7)^BB$2))))))</f>
        <v>0</v>
      </c>
      <c r="BC40" s="88">
        <f>$E40*IF(BC$2&gt;Inputs!$D$5,0,IF(BC$2&gt;VLOOKUP($H40,Lists!$P$3:$Q$7,2),IF($N40=Lists!$K$3,IF($L40&lt;1,(($U40/$L40)*((1+Inputs!$D$7)^BC$2)),((INT(BC$2/$L40)-INT((BC$2-1)/$L40))*$U40*((1+Inputs!$D$7)^BC$2))),(_xlfn.WEIBULL.DIST(BC$2,$M40,$L40,FALSE)*$U40*((1+Inputs!$D$7)^BC$2))),IF($N40=Lists!$K$3,IF($L40&lt;1,((($T40*(1-$F40)+$S40*(1-$G40))/$L40)*((1+Inputs!$D$7)^BC$2)),((INT(BC$2/$L40)-INT((BC$2-1)/$L40))*($T40*(1-$F40)+$S40*(1-$G40))*((1+Inputs!$D$7)^BC$2))),((_xlfn.WEIBULL.DIST(BC$2,$M40,$L40,FALSE)*($T40*(1-$F40)+$S40*(1-$G40))*((1+Inputs!$D$7)^BC$2))))))</f>
        <v>0</v>
      </c>
      <c r="BD40" s="88">
        <f>$E40*IF(BD$2&gt;Inputs!$D$5,0,IF(BD$2&gt;VLOOKUP($H40,Lists!$P$3:$Q$7,2),IF($N40=Lists!$K$3,IF($L40&lt;1,(($U40/$L40)*((1+Inputs!$D$7)^BD$2)),((INT(BD$2/$L40)-INT((BD$2-1)/$L40))*$U40*((1+Inputs!$D$7)^BD$2))),(_xlfn.WEIBULL.DIST(BD$2,$M40,$L40,FALSE)*$U40*((1+Inputs!$D$7)^BD$2))),IF($N40=Lists!$K$3,IF($L40&lt;1,((($T40*(1-$F40)+$S40*(1-$G40))/$L40)*((1+Inputs!$D$7)^BD$2)),((INT(BD$2/$L40)-INT((BD$2-1)/$L40))*($T40*(1-$F40)+$S40*(1-$G40))*((1+Inputs!$D$7)^BD$2))),((_xlfn.WEIBULL.DIST(BD$2,$M40,$L40,FALSE)*($T40*(1-$F40)+$S40*(1-$G40))*((1+Inputs!$D$7)^BD$2))))))</f>
        <v>0</v>
      </c>
      <c r="BE40" s="88">
        <f>$E40*IF(BE$2&gt;Inputs!$D$5,0,IF(BE$2&gt;VLOOKUP($H40,Lists!$P$3:$Q$7,2),IF($N40=Lists!$K$3,IF($L40&lt;1,(($U40/$L40)*((1+Inputs!$D$7)^BE$2)),((INT(BE$2/$L40)-INT((BE$2-1)/$L40))*$U40*((1+Inputs!$D$7)^BE$2))),(_xlfn.WEIBULL.DIST(BE$2,$M40,$L40,FALSE)*$U40*((1+Inputs!$D$7)^BE$2))),IF($N40=Lists!$K$3,IF($L40&lt;1,((($T40*(1-$F40)+$S40*(1-$G40))/$L40)*((1+Inputs!$D$7)^BE$2)),((INT(BE$2/$L40)-INT((BE$2-1)/$L40))*($T40*(1-$F40)+$S40*(1-$G40))*((1+Inputs!$D$7)^BE$2))),((_xlfn.WEIBULL.DIST(BE$2,$M40,$L40,FALSE)*($T40*(1-$F40)+$S40*(1-$G40))*((1+Inputs!$D$7)^BE$2))))))</f>
        <v>0</v>
      </c>
      <c r="BF40" s="88">
        <f>$E40*IF(BF$2&gt;Inputs!$D$5,0,IF(BF$2&gt;VLOOKUP($H40,Lists!$P$3:$Q$7,2),IF($N40=Lists!$K$3,IF($L40&lt;1,(($U40/$L40)*((1+Inputs!$D$7)^BF$2)),((INT(BF$2/$L40)-INT((BF$2-1)/$L40))*$U40*((1+Inputs!$D$7)^BF$2))),(_xlfn.WEIBULL.DIST(BF$2,$M40,$L40,FALSE)*$U40*((1+Inputs!$D$7)^BF$2))),IF($N40=Lists!$K$3,IF($L40&lt;1,((($T40*(1-$F40)+$S40*(1-$G40))/$L40)*((1+Inputs!$D$7)^BF$2)),((INT(BF$2/$L40)-INT((BF$2-1)/$L40))*($T40*(1-$F40)+$S40*(1-$G40))*((1+Inputs!$D$7)^BF$2))),((_xlfn.WEIBULL.DIST(BF$2,$M40,$L40,FALSE)*($T40*(1-$F40)+$S40*(1-$G40))*((1+Inputs!$D$7)^BF$2))))))</f>
        <v>0</v>
      </c>
      <c r="BG40" s="88">
        <f>$E40*IF(BG$2&gt;Inputs!$D$5,0,IF(BG$2&gt;VLOOKUP($H40,Lists!$P$3:$Q$7,2),IF($N40=Lists!$K$3,IF($L40&lt;1,(($U40/$L40)*((1+Inputs!$D$7)^BG$2)),((INT(BG$2/$L40)-INT((BG$2-1)/$L40))*$U40*((1+Inputs!$D$7)^BG$2))),(_xlfn.WEIBULL.DIST(BG$2,$M40,$L40,FALSE)*$U40*((1+Inputs!$D$7)^BG$2))),IF($N40=Lists!$K$3,IF($L40&lt;1,((($T40*(1-$F40)+$S40*(1-$G40))/$L40)*((1+Inputs!$D$7)^BG$2)),((INT(BG$2/$L40)-INT((BG$2-1)/$L40))*($T40*(1-$F40)+$S40*(1-$G40))*((1+Inputs!$D$7)^BG$2))),((_xlfn.WEIBULL.DIST(BG$2,$M40,$L40,FALSE)*($T40*(1-$F40)+$S40*(1-$G40))*((1+Inputs!$D$7)^BG$2))))))</f>
        <v>0</v>
      </c>
      <c r="BH40" s="88">
        <f>$E40*IF(BH$2&gt;Inputs!$D$5,0,IF(BH$2&gt;VLOOKUP($H40,Lists!$P$3:$Q$7,2),IF($N40=Lists!$K$3,IF($L40&lt;1,(($U40/$L40)*((1+Inputs!$D$7)^BH$2)),((INT(BH$2/$L40)-INT((BH$2-1)/$L40))*$U40*((1+Inputs!$D$7)^BH$2))),(_xlfn.WEIBULL.DIST(BH$2,$M40,$L40,FALSE)*$U40*((1+Inputs!$D$7)^BH$2))),IF($N40=Lists!$K$3,IF($L40&lt;1,((($T40*(1-$F40)+$S40*(1-$G40))/$L40)*((1+Inputs!$D$7)^BH$2)),((INT(BH$2/$L40)-INT((BH$2-1)/$L40))*($T40*(1-$F40)+$S40*(1-$G40))*((1+Inputs!$D$7)^BH$2))),((_xlfn.WEIBULL.DIST(BH$2,$M40,$L40,FALSE)*($T40*(1-$F40)+$S40*(1-$G40))*((1+Inputs!$D$7)^BH$2))))))</f>
        <v>0</v>
      </c>
      <c r="BI40" s="88">
        <f>$E40*IF(BI$2&gt;Inputs!$D$5,0,IF(BI$2&gt;VLOOKUP($H40,Lists!$P$3:$Q$7,2),IF($N40=Lists!$K$3,IF($L40&lt;1,(($U40/$L40)*((1+Inputs!$D$7)^BI$2)),((INT(BI$2/$L40)-INT((BI$2-1)/$L40))*$U40*((1+Inputs!$D$7)^BI$2))),(_xlfn.WEIBULL.DIST(BI$2,$M40,$L40,FALSE)*$U40*((1+Inputs!$D$7)^BI$2))),IF($N40=Lists!$K$3,IF($L40&lt;1,((($T40*(1-$F40)+$S40*(1-$G40))/$L40)*((1+Inputs!$D$7)^BI$2)),((INT(BI$2/$L40)-INT((BI$2-1)/$L40))*($T40*(1-$F40)+$S40*(1-$G40))*((1+Inputs!$D$7)^BI$2))),((_xlfn.WEIBULL.DIST(BI$2,$M40,$L40,FALSE)*($T40*(1-$F40)+$S40*(1-$G40))*((1+Inputs!$D$7)^BI$2))))))</f>
        <v>0</v>
      </c>
      <c r="BJ40" s="88">
        <f>$E40*IF(BJ$2&gt;Inputs!$D$5,0,IF(BJ$2&gt;VLOOKUP($H40,Lists!$P$3:$Q$7,2),IF($N40=Lists!$K$3,IF($L40&lt;1,(($U40/$L40)*((1+Inputs!$D$7)^BJ$2)),((INT(BJ$2/$L40)-INT((BJ$2-1)/$L40))*$U40*((1+Inputs!$D$7)^BJ$2))),(_xlfn.WEIBULL.DIST(BJ$2,$M40,$L40,FALSE)*$U40*((1+Inputs!$D$7)^BJ$2))),IF($N40=Lists!$K$3,IF($L40&lt;1,((($T40*(1-$F40)+$S40*(1-$G40))/$L40)*((1+Inputs!$D$7)^BJ$2)),((INT(BJ$2/$L40)-INT((BJ$2-1)/$L40))*($T40*(1-$F40)+$S40*(1-$G40))*((1+Inputs!$D$7)^BJ$2))),((_xlfn.WEIBULL.DIST(BJ$2,$M40,$L40,FALSE)*($T40*(1-$F40)+$S40*(1-$G40))*((1+Inputs!$D$7)^BJ$2))))))</f>
        <v>0</v>
      </c>
      <c r="BK40" s="88">
        <f>$E40*IF(BK$2&gt;Inputs!$D$5,0,IF(BK$2&gt;VLOOKUP($H40,Lists!$P$3:$Q$7,2),IF($N40=Lists!$K$3,IF($L40&lt;1,(($U40/$L40)*((1+Inputs!$D$7)^BK$2)),((INT(BK$2/$L40)-INT((BK$2-1)/$L40))*$U40*((1+Inputs!$D$7)^BK$2))),(_xlfn.WEIBULL.DIST(BK$2,$M40,$L40,FALSE)*$U40*((1+Inputs!$D$7)^BK$2))),IF($N40=Lists!$K$3,IF($L40&lt;1,((($T40*(1-$F40)+$S40*(1-$G40))/$L40)*((1+Inputs!$D$7)^BK$2)),((INT(BK$2/$L40)-INT((BK$2-1)/$L40))*($T40*(1-$F40)+$S40*(1-$G40))*((1+Inputs!$D$7)^BK$2))),((_xlfn.WEIBULL.DIST(BK$2,$M40,$L40,FALSE)*($T40*(1-$F40)+$S40*(1-$G40))*((1+Inputs!$D$7)^BK$2))))))</f>
        <v>0</v>
      </c>
      <c r="BL40" s="88">
        <f>$E40*IF(BL$2&gt;Inputs!$D$5,0,IF(BL$2&gt;VLOOKUP($H40,Lists!$P$3:$Q$7,2),IF($N40=Lists!$K$3,IF($L40&lt;1,(($U40/$L40)*((1+Inputs!$D$7)^BL$2)),((INT(BL$2/$L40)-INT((BL$2-1)/$L40))*$U40*((1+Inputs!$D$7)^BL$2))),(_xlfn.WEIBULL.DIST(BL$2,$M40,$L40,FALSE)*$U40*((1+Inputs!$D$7)^BL$2))),IF($N40=Lists!$K$3,IF($L40&lt;1,((($T40*(1-$F40)+$S40*(1-$G40))/$L40)*((1+Inputs!$D$7)^BL$2)),((INT(BL$2/$L40)-INT((BL$2-1)/$L40))*($T40*(1-$F40)+$S40*(1-$G40))*((1+Inputs!$D$7)^BL$2))),((_xlfn.WEIBULL.DIST(BL$2,$M40,$L40,FALSE)*($T40*(1-$F40)+$S40*(1-$G40))*((1+Inputs!$D$7)^BL$2))))))</f>
        <v>0</v>
      </c>
      <c r="BM40" s="88">
        <f>$E40*IF(BM$2&gt;Inputs!$D$5,0,IF(BM$2&gt;VLOOKUP($H40,Lists!$P$3:$Q$7,2),IF($N40=Lists!$K$3,IF($L40&lt;1,(($U40/$L40)*((1+Inputs!$D$7)^BM$2)),((INT(BM$2/$L40)-INT((BM$2-1)/$L40))*$U40*((1+Inputs!$D$7)^BM$2))),(_xlfn.WEIBULL.DIST(BM$2,$M40,$L40,FALSE)*$U40*((1+Inputs!$D$7)^BM$2))),IF($N40=Lists!$K$3,IF($L40&lt;1,((($T40*(1-$F40)+$S40*(1-$G40))/$L40)*((1+Inputs!$D$7)^BM$2)),((INT(BM$2/$L40)-INT((BM$2-1)/$L40))*($T40*(1-$F40)+$S40*(1-$G40))*((1+Inputs!$D$7)^BM$2))),((_xlfn.WEIBULL.DIST(BM$2,$M40,$L40,FALSE)*($T40*(1-$F40)+$S40*(1-$G40))*((1+Inputs!$D$7)^BM$2))))))</f>
        <v>0</v>
      </c>
      <c r="BN40" s="88">
        <f>$E40*IF(BN$2&gt;Inputs!$D$5,0,IF(BN$2&gt;VLOOKUP($H40,Lists!$P$3:$Q$7,2),IF($N40=Lists!$K$3,IF($L40&lt;1,(($U40/$L40)*((1+Inputs!$D$7)^BN$2)),((INT(BN$2/$L40)-INT((BN$2-1)/$L40))*$U40*((1+Inputs!$D$7)^BN$2))),(_xlfn.WEIBULL.DIST(BN$2,$M40,$L40,FALSE)*$U40*((1+Inputs!$D$7)^BN$2))),IF($N40=Lists!$K$3,IF($L40&lt;1,((($T40*(1-$F40)+$S40*(1-$G40))/$L40)*((1+Inputs!$D$7)^BN$2)),((INT(BN$2/$L40)-INT((BN$2-1)/$L40))*($T40*(1-$F40)+$S40*(1-$G40))*((1+Inputs!$D$7)^BN$2))),((_xlfn.WEIBULL.DIST(BN$2,$M40,$L40,FALSE)*($T40*(1-$F40)+$S40*(1-$G40))*((1+Inputs!$D$7)^BN$2))))))</f>
        <v>0</v>
      </c>
      <c r="BO40" s="64">
        <f>NPV(Inputs!$D$6,BQ40:DD40)</f>
        <v>99548.563877935027</v>
      </c>
      <c r="BP40" s="67">
        <f t="shared" si="13"/>
        <v>4.6951962756195439E-2</v>
      </c>
      <c r="BQ40" s="88">
        <f>MAX(AA40,($E40*IF(BQ$2&gt;Inputs!$D$5,0,IF(BQ$2&gt;VLOOKUP($H40,Lists!$P$3:$Q$7,2),IF($N40=Lists!$K$3,IF($L40&lt;1,(($U40/$L40)*((1+Inputs!$D$7)^BQ$2)),((INT(BQ$2/$L40)-INT((BQ$2-1)/$L40))*$U40*((1+Inputs!$D$7)^BQ$2))),(Inputs!$D$8^((1-_xlfn.WEIBULL.DIST(BQ$2,$M40,$L40,FALSE))/_xlfn.WEIBULL.DIST(BQ$2,$M40,$L40,FALSE))*$U40*((1+Inputs!$D$7)^BQ$2))),IF($N40=Lists!$K$3,IF($L40&lt;1,((($T40*(1-$F40)+$S40*(1-$G40))/$L40)*((1+Inputs!$D$7)^BQ$2)),((INT(BQ$2/$L40)-INT((BQ$2-1)/$L40))*($T40*(1-$F40)+$S40*(1-$G40))*((1+Inputs!$D$7)^BQ$2))),((Inputs!$D$8^((1-_xlfn.WEIBULL.DIST(BQ$2,$M40,$L40,FALSE))/_xlfn.WEIBULL.DIST(BQ$2,$M40,$L40,FALSE))*($T40*(1-$F40)+$S40*(1-$G40))*((1+Inputs!$D$7)^BQ$2))))))))</f>
        <v>254.84838311136548</v>
      </c>
      <c r="BR40" s="88">
        <f>MAX(AB40,($E40*IF(BR$2&gt;Inputs!$D$5,0,IF(BR$2&gt;VLOOKUP($H40,Lists!$P$3:$Q$7,2),IF($N40=Lists!$K$3,IF($L40&lt;1,(($U40/$L40)*((1+Inputs!$D$7)^BR$2)),((INT(BR$2/$L40)-INT((BR$2-1)/$L40))*$U40*((1+Inputs!$D$7)^BR$2))),(Inputs!$D$8^((1-_xlfn.WEIBULL.DIST(BR$2,$M40,$L40,FALSE))/_xlfn.WEIBULL.DIST(BR$2,$M40,$L40,FALSE))*$U40*((1+Inputs!$D$7)^BR$2))),IF($N40=Lists!$K$3,IF($L40&lt;1,((($T40*(1-$F40)+$S40*(1-$G40))/$L40)*((1+Inputs!$D$7)^BR$2)),((INT(BR$2/$L40)-INT((BR$2-1)/$L40))*($T40*(1-$F40)+$S40*(1-$G40))*((1+Inputs!$D$7)^BR$2))),((Inputs!$D$8^((1-_xlfn.WEIBULL.DIST(BR$2,$M40,$L40,FALSE))/_xlfn.WEIBULL.DIST(BR$2,$M40,$L40,FALSE))*($T40*(1-$F40)+$S40*(1-$G40))*((1+Inputs!$D$7)^BR$2))))))))</f>
        <v>237.59946658978137</v>
      </c>
      <c r="BS40" s="88">
        <f>MAX(AC40,($E40*IF(BS$2&gt;Inputs!$D$5,0,IF(BS$2&gt;VLOOKUP($H40,Lists!$P$3:$Q$7,2),IF($N40=Lists!$K$3,IF($L40&lt;1,(($U40/$L40)*((1+Inputs!$D$7)^BS$2)),((INT(BS$2/$L40)-INT((BS$2-1)/$L40))*$U40*((1+Inputs!$D$7)^BS$2))),(Inputs!$D$8^((1-_xlfn.WEIBULL.DIST(BS$2,$M40,$L40,FALSE))/_xlfn.WEIBULL.DIST(BS$2,$M40,$L40,FALSE))*$U40*((1+Inputs!$D$7)^BS$2))),IF($N40=Lists!$K$3,IF($L40&lt;1,((($T40*(1-$F40)+$S40*(1-$G40))/$L40)*((1+Inputs!$D$7)^BS$2)),((INT(BS$2/$L40)-INT((BS$2-1)/$L40))*($T40*(1-$F40)+$S40*(1-$G40))*((1+Inputs!$D$7)^BS$2))),((Inputs!$D$8^((1-_xlfn.WEIBULL.DIST(BS$2,$M40,$L40,FALSE))/_xlfn.WEIBULL.DIST(BS$2,$M40,$L40,FALSE))*($T40*(1-$F40)+$S40*(1-$G40))*((1+Inputs!$D$7)^BS$2))))))))</f>
        <v>220.49949094443014</v>
      </c>
      <c r="BT40" s="88">
        <f>MAX(AD40,($E40*IF(BT$2&gt;Inputs!$D$5,0,IF(BT$2&gt;VLOOKUP($H40,Lists!$P$3:$Q$7,2),IF($N40=Lists!$K$3,IF($L40&lt;1,(($U40/$L40)*((1+Inputs!$D$7)^BT$2)),((INT(BT$2/$L40)-INT((BT$2-1)/$L40))*$U40*((1+Inputs!$D$7)^BT$2))),(Inputs!$D$8^((1-_xlfn.WEIBULL.DIST(BT$2,$M40,$L40,FALSE))/_xlfn.WEIBULL.DIST(BT$2,$M40,$L40,FALSE))*$U40*((1+Inputs!$D$7)^BT$2))),IF($N40=Lists!$K$3,IF($L40&lt;1,((($T40*(1-$F40)+$S40*(1-$G40))/$L40)*((1+Inputs!$D$7)^BT$2)),((INT(BT$2/$L40)-INT((BT$2-1)/$L40))*($T40*(1-$F40)+$S40*(1-$G40))*((1+Inputs!$D$7)^BT$2))),((Inputs!$D$8^((1-_xlfn.WEIBULL.DIST(BT$2,$M40,$L40,FALSE))/_xlfn.WEIBULL.DIST(BT$2,$M40,$L40,FALSE))*($T40*(1-$F40)+$S40*(1-$G40))*((1+Inputs!$D$7)^BT$2))))))))</f>
        <v>203.6412037863536</v>
      </c>
      <c r="BU40" s="88">
        <f>MAX(AE40,($E40*IF(BU$2&gt;Inputs!$D$5,0,IF(BU$2&gt;VLOOKUP($H40,Lists!$P$3:$Q$7,2),IF($N40=Lists!$K$3,IF($L40&lt;1,(($U40/$L40)*((1+Inputs!$D$7)^BU$2)),((INT(BU$2/$L40)-INT((BU$2-1)/$L40))*$U40*((1+Inputs!$D$7)^BU$2))),(Inputs!$D$8^((1-_xlfn.WEIBULL.DIST(BU$2,$M40,$L40,FALSE))/_xlfn.WEIBULL.DIST(BU$2,$M40,$L40,FALSE))*$U40*((1+Inputs!$D$7)^BU$2))),IF($N40=Lists!$K$3,IF($L40&lt;1,((($T40*(1-$F40)+$S40*(1-$G40))/$L40)*((1+Inputs!$D$7)^BU$2)),((INT(BU$2/$L40)-INT((BU$2-1)/$L40))*($T40*(1-$F40)+$S40*(1-$G40))*((1+Inputs!$D$7)^BU$2))),((Inputs!$D$8^((1-_xlfn.WEIBULL.DIST(BU$2,$M40,$L40,FALSE))/_xlfn.WEIBULL.DIST(BU$2,$M40,$L40,FALSE))*($T40*(1-$F40)+$S40*(1-$G40))*((1+Inputs!$D$7)^BU$2))))))))</f>
        <v>187.1163670819063</v>
      </c>
      <c r="BV40" s="88">
        <f>MAX(AF40,($E40*IF(BV$2&gt;Inputs!$D$5,0,IF(BV$2&gt;VLOOKUP($H40,Lists!$P$3:$Q$7,2),IF($N40=Lists!$K$3,IF($L40&lt;1,(($U40/$L40)*((1+Inputs!$D$7)^BV$2)),((INT(BV$2/$L40)-INT((BV$2-1)/$L40))*$U40*((1+Inputs!$D$7)^BV$2))),(Inputs!$D$8^((1-_xlfn.WEIBULL.DIST(BV$2,$M40,$L40,FALSE))/_xlfn.WEIBULL.DIST(BV$2,$M40,$L40,FALSE))*$U40*((1+Inputs!$D$7)^BV$2))),IF($N40=Lists!$K$3,IF($L40&lt;1,((($T40*(1-$F40)+$S40*(1-$G40))/$L40)*((1+Inputs!$D$7)^BV$2)),((INT(BV$2/$L40)-INT((BV$2-1)/$L40))*($T40*(1-$F40)+$S40*(1-$G40))*((1+Inputs!$D$7)^BV$2))),((Inputs!$D$8^((1-_xlfn.WEIBULL.DIST(BV$2,$M40,$L40,FALSE))/_xlfn.WEIBULL.DIST(BV$2,$M40,$L40,FALSE))*($T40*(1-$F40)+$S40*(1-$G40))*((1+Inputs!$D$7)^BV$2))))))))</f>
        <v>171.01434696945353</v>
      </c>
      <c r="BW40" s="88">
        <f>MAX(AG40,($E40*IF(BW$2&gt;Inputs!$D$5,0,IF(BW$2&gt;VLOOKUP($H40,Lists!$P$3:$Q$7,2),IF($N40=Lists!$K$3,IF($L40&lt;1,(($U40/$L40)*((1+Inputs!$D$7)^BW$2)),((INT(BW$2/$L40)-INT((BW$2-1)/$L40))*$U40*((1+Inputs!$D$7)^BW$2))),(Inputs!$D$8^((1-_xlfn.WEIBULL.DIST(BW$2,$M40,$L40,FALSE))/_xlfn.WEIBULL.DIST(BW$2,$M40,$L40,FALSE))*$U40*((1+Inputs!$D$7)^BW$2))),IF($N40=Lists!$K$3,IF($L40&lt;1,((($T40*(1-$F40)+$S40*(1-$G40))/$L40)*((1+Inputs!$D$7)^BW$2)),((INT(BW$2/$L40)-INT((BW$2-1)/$L40))*($T40*(1-$F40)+$S40*(1-$G40))*((1+Inputs!$D$7)^BW$2))),((Inputs!$D$8^((1-_xlfn.WEIBULL.DIST(BW$2,$M40,$L40,FALSE))/_xlfn.WEIBULL.DIST(BW$2,$M40,$L40,FALSE))*($T40*(1-$F40)+$S40*(1-$G40))*((1+Inputs!$D$7)^BW$2))))))))</f>
        <v>155.42065701319871</v>
      </c>
      <c r="BX40" s="88">
        <f>MAX(AH40,($E40*IF(BX$2&gt;Inputs!$D$5,0,IF(BX$2&gt;VLOOKUP($H40,Lists!$P$3:$Q$7,2),IF($N40=Lists!$K$3,IF($L40&lt;1,(($U40/$L40)*((1+Inputs!$D$7)^BX$2)),((INT(BX$2/$L40)-INT((BX$2-1)/$L40))*$U40*((1+Inputs!$D$7)^BX$2))),(Inputs!$D$8^((1-_xlfn.WEIBULL.DIST(BX$2,$M40,$L40,FALSE))/_xlfn.WEIBULL.DIST(BX$2,$M40,$L40,FALSE))*$U40*((1+Inputs!$D$7)^BX$2))),IF($N40=Lists!$K$3,IF($L40&lt;1,((($T40*(1-$F40)+$S40*(1-$G40))/$L40)*((1+Inputs!$D$7)^BX$2)),((INT(BX$2/$L40)-INT((BX$2-1)/$L40))*($T40*(1-$F40)+$S40*(1-$G40))*((1+Inputs!$D$7)^BX$2))),((Inputs!$D$8^((1-_xlfn.WEIBULL.DIST(BX$2,$M40,$L40,FALSE))/_xlfn.WEIBULL.DIST(BX$2,$M40,$L40,FALSE))*($T40*(1-$F40)+$S40*(1-$G40))*((1+Inputs!$D$7)^BX$2))))))))</f>
        <v>140.41549116238994</v>
      </c>
      <c r="BY40" s="88">
        <f>MAX(AI40,($E40*IF(BY$2&gt;Inputs!$D$5,0,IF(BY$2&gt;VLOOKUP($H40,Lists!$P$3:$Q$7,2),IF($N40=Lists!$K$3,IF($L40&lt;1,(($U40/$L40)*((1+Inputs!$D$7)^BY$2)),((INT(BY$2/$L40)-INT((BY$2-1)/$L40))*$U40*((1+Inputs!$D$7)^BY$2))),(Inputs!$D$8^((1-_xlfn.WEIBULL.DIST(BY$2,$M40,$L40,FALSE))/_xlfn.WEIBULL.DIST(BY$2,$M40,$L40,FALSE))*$U40*((1+Inputs!$D$7)^BY$2))),IF($N40=Lists!$K$3,IF($L40&lt;1,((($T40*(1-$F40)+$S40*(1-$G40))/$L40)*((1+Inputs!$D$7)^BY$2)),((INT(BY$2/$L40)-INT((BY$2-1)/$L40))*($T40*(1-$F40)+$S40*(1-$G40))*((1+Inputs!$D$7)^BY$2))),((Inputs!$D$8^((1-_xlfn.WEIBULL.DIST(BY$2,$M40,$L40,FALSE))/_xlfn.WEIBULL.DIST(BY$2,$M40,$L40,FALSE))*($T40*(1-$F40)+$S40*(1-$G40))*((1+Inputs!$D$7)^BY$2))))))))</f>
        <v>126.07228749303484</v>
      </c>
      <c r="BZ40" s="88">
        <f>MAX(AJ40,($E40*IF(BZ$2&gt;Inputs!$D$5,0,IF(BZ$2&gt;VLOOKUP($H40,Lists!$P$3:$Q$7,2),IF($N40=Lists!$K$3,IF($L40&lt;1,(($U40/$L40)*((1+Inputs!$D$7)^BZ$2)),((INT(BZ$2/$L40)-INT((BZ$2-1)/$L40))*$U40*((1+Inputs!$D$7)^BZ$2))),(Inputs!$D$8^((1-_xlfn.WEIBULL.DIST(BZ$2,$M40,$L40,FALSE))/_xlfn.WEIBULL.DIST(BZ$2,$M40,$L40,FALSE))*$U40*((1+Inputs!$D$7)^BZ$2))),IF($N40=Lists!$K$3,IF($L40&lt;1,((($T40*(1-$F40)+$S40*(1-$G40))/$L40)*((1+Inputs!$D$7)^BZ$2)),((INT(BZ$2/$L40)-INT((BZ$2-1)/$L40))*($T40*(1-$F40)+$S40*(1-$G40))*((1+Inputs!$D$7)^BZ$2))),((Inputs!$D$8^((1-_xlfn.WEIBULL.DIST(BZ$2,$M40,$L40,FALSE))/_xlfn.WEIBULL.DIST(BZ$2,$M40,$L40,FALSE))*($T40*(1-$F40)+$S40*(1-$G40))*((1+Inputs!$D$7)^BZ$2))))))))</f>
        <v>112.45636750783025</v>
      </c>
      <c r="CA40" s="88">
        <f>MAX(AK40,($E40*IF(CA$2&gt;Inputs!$D$5,0,IF(CA$2&gt;VLOOKUP($H40,Lists!$P$3:$Q$7,2),IF($N40=Lists!$K$3,IF($L40&lt;1,(($U40/$L40)*((1+Inputs!$D$7)^CA$2)),((INT(CA$2/$L40)-INT((CA$2-1)/$L40))*$U40*((1+Inputs!$D$7)^CA$2))),(Inputs!$D$8^((1-_xlfn.WEIBULL.DIST(CA$2,$M40,$L40,FALSE))/_xlfn.WEIBULL.DIST(CA$2,$M40,$L40,FALSE))*$U40*((1+Inputs!$D$7)^CA$2))),IF($N40=Lists!$K$3,IF($L40&lt;1,((($T40*(1-$F40)+$S40*(1-$G40))/$L40)*((1+Inputs!$D$7)^CA$2)),((INT(CA$2/$L40)-INT((CA$2-1)/$L40))*($T40*(1-$F40)+$S40*(1-$G40))*((1+Inputs!$D$7)^CA$2))),((Inputs!$D$8^((1-_xlfn.WEIBULL.DIST(CA$2,$M40,$L40,FALSE))/_xlfn.WEIBULL.DIST(CA$2,$M40,$L40,FALSE))*($T40*(1-$F40)+$S40*(1-$G40))*((1+Inputs!$D$7)^CA$2))))))))</f>
        <v>37638.988147232609</v>
      </c>
      <c r="CB40" s="88">
        <f>MAX(AL40,($E40*IF(CB$2&gt;Inputs!$D$5,0,IF(CB$2&gt;VLOOKUP($H40,Lists!$P$3:$Q$7,2),IF($N40=Lists!$K$3,IF($L40&lt;1,(($U40/$L40)*((1+Inputs!$D$7)^CB$2)),((INT(CB$2/$L40)-INT((CB$2-1)/$L40))*$U40*((1+Inputs!$D$7)^CB$2))),(Inputs!$D$8^((1-_xlfn.WEIBULL.DIST(CB$2,$M40,$L40,FALSE))/_xlfn.WEIBULL.DIST(CB$2,$M40,$L40,FALSE))*$U40*((1+Inputs!$D$7)^CB$2))),IF($N40=Lists!$K$3,IF($L40&lt;1,((($T40*(1-$F40)+$S40*(1-$G40))/$L40)*((1+Inputs!$D$7)^CB$2)),((INT(CB$2/$L40)-INT((CB$2-1)/$L40))*($T40*(1-$F40)+$S40*(1-$G40))*((1+Inputs!$D$7)^CB$2))),((Inputs!$D$8^((1-_xlfn.WEIBULL.DIST(CB$2,$M40,$L40,FALSE))/_xlfn.WEIBULL.DIST(CB$2,$M40,$L40,FALSE))*($T40*(1-$F40)+$S40*(1-$G40))*((1+Inputs!$D$7)^CB$2))))))))</f>
        <v>33103.784816130537</v>
      </c>
      <c r="CC40" s="88">
        <f>MAX(AM40,($E40*IF(CC$2&gt;Inputs!$D$5,0,IF(CC$2&gt;VLOOKUP($H40,Lists!$P$3:$Q$7,2),IF($N40=Lists!$K$3,IF($L40&lt;1,(($U40/$L40)*((1+Inputs!$D$7)^CC$2)),((INT(CC$2/$L40)-INT((CC$2-1)/$L40))*$U40*((1+Inputs!$D$7)^CC$2))),(Inputs!$D$8^((1-_xlfn.WEIBULL.DIST(CC$2,$M40,$L40,FALSE))/_xlfn.WEIBULL.DIST(CC$2,$M40,$L40,FALSE))*$U40*((1+Inputs!$D$7)^CC$2))),IF($N40=Lists!$K$3,IF($L40&lt;1,((($T40*(1-$F40)+$S40*(1-$G40))/$L40)*((1+Inputs!$D$7)^CC$2)),((INT(CC$2/$L40)-INT((CC$2-1)/$L40))*($T40*(1-$F40)+$S40*(1-$G40))*((1+Inputs!$D$7)^CC$2))),((Inputs!$D$8^((1-_xlfn.WEIBULL.DIST(CC$2,$M40,$L40,FALSE))/_xlfn.WEIBULL.DIST(CC$2,$M40,$L40,FALSE))*($T40*(1-$F40)+$S40*(1-$G40))*((1+Inputs!$D$7)^CC$2))))))))</f>
        <v>28894.656068659198</v>
      </c>
      <c r="CD40" s="88">
        <f>MAX(AN40,($E40*IF(CD$2&gt;Inputs!$D$5,0,IF(CD$2&gt;VLOOKUP($H40,Lists!$P$3:$Q$7,2),IF($N40=Lists!$K$3,IF($L40&lt;1,(($U40/$L40)*((1+Inputs!$D$7)^CD$2)),((INT(CD$2/$L40)-INT((CD$2-1)/$L40))*$U40*((1+Inputs!$D$7)^CD$2))),(Inputs!$D$8^((1-_xlfn.WEIBULL.DIST(CD$2,$M40,$L40,FALSE))/_xlfn.WEIBULL.DIST(CD$2,$M40,$L40,FALSE))*$U40*((1+Inputs!$D$7)^CD$2))),IF($N40=Lists!$K$3,IF($L40&lt;1,((($T40*(1-$F40)+$S40*(1-$G40))/$L40)*((1+Inputs!$D$7)^CD$2)),((INT(CD$2/$L40)-INT((CD$2-1)/$L40))*($T40*(1-$F40)+$S40*(1-$G40))*((1+Inputs!$D$7)^CD$2))),((Inputs!$D$8^((1-_xlfn.WEIBULL.DIST(CD$2,$M40,$L40,FALSE))/_xlfn.WEIBULL.DIST(CD$2,$M40,$L40,FALSE))*($T40*(1-$F40)+$S40*(1-$G40))*((1+Inputs!$D$7)^CD$2))))))))</f>
        <v>25020.062557730569</v>
      </c>
      <c r="CE40" s="88">
        <f>MAX(AO40,($E40*IF(CE$2&gt;Inputs!$D$5,0,IF(CE$2&gt;VLOOKUP($H40,Lists!$P$3:$Q$7,2),IF($N40=Lists!$K$3,IF($L40&lt;1,(($U40/$L40)*((1+Inputs!$D$7)^CE$2)),((INT(CE$2/$L40)-INT((CE$2-1)/$L40))*$U40*((1+Inputs!$D$7)^CE$2))),(Inputs!$D$8^((1-_xlfn.WEIBULL.DIST(CE$2,$M40,$L40,FALSE))/_xlfn.WEIBULL.DIST(CE$2,$M40,$L40,FALSE))*$U40*((1+Inputs!$D$7)^CE$2))),IF($N40=Lists!$K$3,IF($L40&lt;1,((($T40*(1-$F40)+$S40*(1-$G40))/$L40)*((1+Inputs!$D$7)^CE$2)),((INT(CE$2/$L40)-INT((CE$2-1)/$L40))*($T40*(1-$F40)+$S40*(1-$G40))*((1+Inputs!$D$7)^CE$2))),((Inputs!$D$8^((1-_xlfn.WEIBULL.DIST(CE$2,$M40,$L40,FALSE))/_xlfn.WEIBULL.DIST(CE$2,$M40,$L40,FALSE))*($T40*(1-$F40)+$S40*(1-$G40))*((1+Inputs!$D$7)^CE$2))))))))</f>
        <v>21483.863050667747</v>
      </c>
      <c r="CF40" s="88">
        <f>MAX(AP40,($E40*IF(CF$2&gt;Inputs!$D$5,0,IF(CF$2&gt;VLOOKUP($H40,Lists!$P$3:$Q$7,2),IF($N40=Lists!$K$3,IF($L40&lt;1,(($U40/$L40)*((1+Inputs!$D$7)^CF$2)),((INT(CF$2/$L40)-INT((CF$2-1)/$L40))*$U40*((1+Inputs!$D$7)^CF$2))),(Inputs!$D$8^((1-_xlfn.WEIBULL.DIST(CF$2,$M40,$L40,FALSE))/_xlfn.WEIBULL.DIST(CF$2,$M40,$L40,FALSE))*$U40*((1+Inputs!$D$7)^CF$2))),IF($N40=Lists!$K$3,IF($L40&lt;1,((($T40*(1-$F40)+$S40*(1-$G40))/$L40)*((1+Inputs!$D$7)^CF$2)),((INT(CF$2/$L40)-INT((CF$2-1)/$L40))*($T40*(1-$F40)+$S40*(1-$G40))*((1+Inputs!$D$7)^CF$2))),((Inputs!$D$8^((1-_xlfn.WEIBULL.DIST(CF$2,$M40,$L40,FALSE))/_xlfn.WEIBULL.DIST(CF$2,$M40,$L40,FALSE))*($T40*(1-$F40)+$S40*(1-$G40))*((1+Inputs!$D$7)^CF$2))))))))</f>
        <v>18285.317354883919</v>
      </c>
      <c r="CG40" s="88">
        <f>MAX(AQ40,($E40*IF(CG$2&gt;Inputs!$D$5,0,IF(CG$2&gt;VLOOKUP($H40,Lists!$P$3:$Q$7,2),IF($N40=Lists!$K$3,IF($L40&lt;1,(($U40/$L40)*((1+Inputs!$D$7)^CG$2)),((INT(CG$2/$L40)-INT((CG$2-1)/$L40))*$U40*((1+Inputs!$D$7)^CG$2))),(Inputs!$D$8^((1-_xlfn.WEIBULL.DIST(CG$2,$M40,$L40,FALSE))/_xlfn.WEIBULL.DIST(CG$2,$M40,$L40,FALSE))*$U40*((1+Inputs!$D$7)^CG$2))),IF($N40=Lists!$K$3,IF($L40&lt;1,((($T40*(1-$F40)+$S40*(1-$G40))/$L40)*((1+Inputs!$D$7)^CG$2)),((INT(CG$2/$L40)-INT((CG$2-1)/$L40))*($T40*(1-$F40)+$S40*(1-$G40))*((1+Inputs!$D$7)^CG$2))),((Inputs!$D$8^((1-_xlfn.WEIBULL.DIST(CG$2,$M40,$L40,FALSE))/_xlfn.WEIBULL.DIST(CG$2,$M40,$L40,FALSE))*($T40*(1-$F40)+$S40*(1-$G40))*((1+Inputs!$D$7)^CG$2))))))))</f>
        <v>15419.212935911533</v>
      </c>
      <c r="CH40" s="88">
        <f>MAX(AR40,($E40*IF(CH$2&gt;Inputs!$D$5,0,IF(CH$2&gt;VLOOKUP($H40,Lists!$P$3:$Q$7,2),IF($N40=Lists!$K$3,IF($L40&lt;1,(($U40/$L40)*((1+Inputs!$D$7)^CH$2)),((INT(CH$2/$L40)-INT((CH$2-1)/$L40))*$U40*((1+Inputs!$D$7)^CH$2))),(Inputs!$D$8^((1-_xlfn.WEIBULL.DIST(CH$2,$M40,$L40,FALSE))/_xlfn.WEIBULL.DIST(CH$2,$M40,$L40,FALSE))*$U40*((1+Inputs!$D$7)^CH$2))),IF($N40=Lists!$K$3,IF($L40&lt;1,((($T40*(1-$F40)+$S40*(1-$G40))/$L40)*((1+Inputs!$D$7)^CH$2)),((INT(CH$2/$L40)-INT((CH$2-1)/$L40))*($T40*(1-$F40)+$S40*(1-$G40))*((1+Inputs!$D$7)^CH$2))),((Inputs!$D$8^((1-_xlfn.WEIBULL.DIST(CH$2,$M40,$L40,FALSE))/_xlfn.WEIBULL.DIST(CH$2,$M40,$L40,FALSE))*($T40*(1-$F40)+$S40*(1-$G40))*((1+Inputs!$D$7)^CH$2))))))))</f>
        <v>14555.565762737489</v>
      </c>
      <c r="CI40" s="88">
        <f>MAX(AS40,($E40*IF(CI$2&gt;Inputs!$D$5,0,IF(CI$2&gt;VLOOKUP($H40,Lists!$P$3:$Q$7,2),IF($N40=Lists!$K$3,IF($L40&lt;1,(($U40/$L40)*((1+Inputs!$D$7)^CI$2)),((INT(CI$2/$L40)-INT((CI$2-1)/$L40))*$U40*((1+Inputs!$D$7)^CI$2))),(Inputs!$D$8^((1-_xlfn.WEIBULL.DIST(CI$2,$M40,$L40,FALSE))/_xlfn.WEIBULL.DIST(CI$2,$M40,$L40,FALSE))*$U40*((1+Inputs!$D$7)^CI$2))),IF($N40=Lists!$K$3,IF($L40&lt;1,((($T40*(1-$F40)+$S40*(1-$G40))/$L40)*((1+Inputs!$D$7)^CI$2)),((INT(CI$2/$L40)-INT((CI$2-1)/$L40))*($T40*(1-$F40)+$S40*(1-$G40))*((1+Inputs!$D$7)^CI$2))),((Inputs!$D$8^((1-_xlfn.WEIBULL.DIST(CI$2,$M40,$L40,FALSE))/_xlfn.WEIBULL.DIST(CI$2,$M40,$L40,FALSE))*($T40*(1-$F40)+$S40*(1-$G40))*((1+Inputs!$D$7)^CI$2))))))))</f>
        <v>14122.596092646501</v>
      </c>
      <c r="CJ40" s="88">
        <f>MAX(AT40,($E40*IF(CJ$2&gt;Inputs!$D$5,0,IF(CJ$2&gt;VLOOKUP($H40,Lists!$P$3:$Q$7,2),IF($N40=Lists!$K$3,IF($L40&lt;1,(($U40/$L40)*((1+Inputs!$D$7)^CJ$2)),((INT(CJ$2/$L40)-INT((CJ$2-1)/$L40))*$U40*((1+Inputs!$D$7)^CJ$2))),(Inputs!$D$8^((1-_xlfn.WEIBULL.DIST(CJ$2,$M40,$L40,FALSE))/_xlfn.WEIBULL.DIST(CJ$2,$M40,$L40,FALSE))*$U40*((1+Inputs!$D$7)^CJ$2))),IF($N40=Lists!$K$3,IF($L40&lt;1,((($T40*(1-$F40)+$S40*(1-$G40))/$L40)*((1+Inputs!$D$7)^CJ$2)),((INT(CJ$2/$L40)-INT((CJ$2-1)/$L40))*($T40*(1-$F40)+$S40*(1-$G40))*((1+Inputs!$D$7)^CJ$2))),((Inputs!$D$8^((1-_xlfn.WEIBULL.DIST(CJ$2,$M40,$L40,FALSE))/_xlfn.WEIBULL.DIST(CJ$2,$M40,$L40,FALSE))*($T40*(1-$F40)+$S40*(1-$G40))*((1+Inputs!$D$7)^CJ$2))))))))</f>
        <v>13702.505532737447</v>
      </c>
      <c r="CK40" s="88">
        <f>MAX(AU40,($E40*IF(CK$2&gt;Inputs!$D$5,0,IF(CK$2&gt;VLOOKUP($H40,Lists!$P$3:$Q$7,2),IF($N40=Lists!$K$3,IF($L40&lt;1,(($U40/$L40)*((1+Inputs!$D$7)^CK$2)),((INT(CK$2/$L40)-INT((CK$2-1)/$L40))*$U40*((1+Inputs!$D$7)^CK$2))),(Inputs!$D$8^((1-_xlfn.WEIBULL.DIST(CK$2,$M40,$L40,FALSE))/_xlfn.WEIBULL.DIST(CK$2,$M40,$L40,FALSE))*$U40*((1+Inputs!$D$7)^CK$2))),IF($N40=Lists!$K$3,IF($L40&lt;1,((($T40*(1-$F40)+$S40*(1-$G40))/$L40)*((1+Inputs!$D$7)^CK$2)),((INT(CK$2/$L40)-INT((CK$2-1)/$L40))*($T40*(1-$F40)+$S40*(1-$G40))*((1+Inputs!$D$7)^CK$2))),((Inputs!$D$8^((1-_xlfn.WEIBULL.DIST(CK$2,$M40,$L40,FALSE))/_xlfn.WEIBULL.DIST(CK$2,$M40,$L40,FALSE))*($T40*(1-$F40)+$S40*(1-$G40))*((1+Inputs!$D$7)^CK$2))))))))</f>
        <v>13294.910981166166</v>
      </c>
      <c r="CL40" s="88">
        <f>MAX(AV40,($E40*IF(CL$2&gt;Inputs!$D$5,0,IF(CL$2&gt;VLOOKUP($H40,Lists!$P$3:$Q$7,2),IF($N40=Lists!$K$3,IF($L40&lt;1,(($U40/$L40)*((1+Inputs!$D$7)^CL$2)),((INT(CL$2/$L40)-INT((CL$2-1)/$L40))*$U40*((1+Inputs!$D$7)^CL$2))),(Inputs!$D$8^((1-_xlfn.WEIBULL.DIST(CL$2,$M40,$L40,FALSE))/_xlfn.WEIBULL.DIST(CL$2,$M40,$L40,FALSE))*$U40*((1+Inputs!$D$7)^CL$2))),IF($N40=Lists!$K$3,IF($L40&lt;1,((($T40*(1-$F40)+$S40*(1-$G40))/$L40)*((1+Inputs!$D$7)^CL$2)),((INT(CL$2/$L40)-INT((CL$2-1)/$L40))*($T40*(1-$F40)+$S40*(1-$G40))*((1+Inputs!$D$7)^CL$2))),((Inputs!$D$8^((1-_xlfn.WEIBULL.DIST(CL$2,$M40,$L40,FALSE))/_xlfn.WEIBULL.DIST(CL$2,$M40,$L40,FALSE))*($T40*(1-$F40)+$S40*(1-$G40))*((1+Inputs!$D$7)^CL$2))))))))</f>
        <v>12899.440731830975</v>
      </c>
      <c r="CM40" s="88">
        <f>MAX(AW40,($E40*IF(CM$2&gt;Inputs!$D$5,0,IF(CM$2&gt;VLOOKUP($H40,Lists!$P$3:$Q$7,2),IF($N40=Lists!$K$3,IF($L40&lt;1,(($U40/$L40)*((1+Inputs!$D$7)^CM$2)),((INT(CM$2/$L40)-INT((CM$2-1)/$L40))*$U40*((1+Inputs!$D$7)^CM$2))),(Inputs!$D$8^((1-_xlfn.WEIBULL.DIST(CM$2,$M40,$L40,FALSE))/_xlfn.WEIBULL.DIST(CM$2,$M40,$L40,FALSE))*$U40*((1+Inputs!$D$7)^CM$2))),IF($N40=Lists!$K$3,IF($L40&lt;1,((($T40*(1-$F40)+$S40*(1-$G40))/$L40)*((1+Inputs!$D$7)^CM$2)),((INT(CM$2/$L40)-INT((CM$2-1)/$L40))*($T40*(1-$F40)+$S40*(1-$G40))*((1+Inputs!$D$7)^CM$2))),((Inputs!$D$8^((1-_xlfn.WEIBULL.DIST(CM$2,$M40,$L40,FALSE))/_xlfn.WEIBULL.DIST(CM$2,$M40,$L40,FALSE))*($T40*(1-$F40)+$S40*(1-$G40))*((1+Inputs!$D$7)^CM$2))))))))</f>
        <v>12515.734135395058</v>
      </c>
      <c r="CN40" s="88">
        <f>MAX(AX40,($E40*IF(CN$2&gt;Inputs!$D$5,0,IF(CN$2&gt;VLOOKUP($H40,Lists!$P$3:$Q$7,2),IF($N40=Lists!$K$3,IF($L40&lt;1,(($U40/$L40)*((1+Inputs!$D$7)^CN$2)),((INT(CN$2/$L40)-INT((CN$2-1)/$L40))*$U40*((1+Inputs!$D$7)^CN$2))),(Inputs!$D$8^((1-_xlfn.WEIBULL.DIST(CN$2,$M40,$L40,FALSE))/_xlfn.WEIBULL.DIST(CN$2,$M40,$L40,FALSE))*$U40*((1+Inputs!$D$7)^CN$2))),IF($N40=Lists!$K$3,IF($L40&lt;1,((($T40*(1-$F40)+$S40*(1-$G40))/$L40)*((1+Inputs!$D$7)^CN$2)),((INT(CN$2/$L40)-INT((CN$2-1)/$L40))*($T40*(1-$F40)+$S40*(1-$G40))*((1+Inputs!$D$7)^CN$2))),((Inputs!$D$8^((1-_xlfn.WEIBULL.DIST(CN$2,$M40,$L40,FALSE))/_xlfn.WEIBULL.DIST(CN$2,$M40,$L40,FALSE))*($T40*(1-$F40)+$S40*(1-$G40))*((1+Inputs!$D$7)^CN$2))))))))</f>
        <v>12143.441270392099</v>
      </c>
      <c r="CO40" s="88">
        <f>MAX(AY40,($E40*IF(CO$2&gt;Inputs!$D$5,0,IF(CO$2&gt;VLOOKUP($H40,Lists!$P$3:$Q$7,2),IF($N40=Lists!$K$3,IF($L40&lt;1,(($U40/$L40)*((1+Inputs!$D$7)^CO$2)),((INT(CO$2/$L40)-INT((CO$2-1)/$L40))*$U40*((1+Inputs!$D$7)^CO$2))),(Inputs!$D$8^((1-_xlfn.WEIBULL.DIST(CO$2,$M40,$L40,FALSE))/_xlfn.WEIBULL.DIST(CO$2,$M40,$L40,FALSE))*$U40*((1+Inputs!$D$7)^CO$2))),IF($N40=Lists!$K$3,IF($L40&lt;1,((($T40*(1-$F40)+$S40*(1-$G40))/$L40)*((1+Inputs!$D$7)^CO$2)),((INT(CO$2/$L40)-INT((CO$2-1)/$L40))*($T40*(1-$F40)+$S40*(1-$G40))*((1+Inputs!$D$7)^CO$2))),((Inputs!$D$8^((1-_xlfn.WEIBULL.DIST(CO$2,$M40,$L40,FALSE))/_xlfn.WEIBULL.DIST(CO$2,$M40,$L40,FALSE))*($T40*(1-$F40)+$S40*(1-$G40))*((1+Inputs!$D$7)^CO$2))))))))</f>
        <v>11782.22262411516</v>
      </c>
      <c r="CP40" s="88">
        <f>MAX(AZ40,($E40*IF(CP$2&gt;Inputs!$D$5,0,IF(CP$2&gt;VLOOKUP($H40,Lists!$P$3:$Q$7,2),IF($N40=Lists!$K$3,IF($L40&lt;1,(($U40/$L40)*((1+Inputs!$D$7)^CP$2)),((INT(CP$2/$L40)-INT((CP$2-1)/$L40))*$U40*((1+Inputs!$D$7)^CP$2))),(Inputs!$D$8^((1-_xlfn.WEIBULL.DIST(CP$2,$M40,$L40,FALSE))/_xlfn.WEIBULL.DIST(CP$2,$M40,$L40,FALSE))*$U40*((1+Inputs!$D$7)^CP$2))),IF($N40=Lists!$K$3,IF($L40&lt;1,((($T40*(1-$F40)+$S40*(1-$G40))/$L40)*((1+Inputs!$D$7)^CP$2)),((INT(CP$2/$L40)-INT((CP$2-1)/$L40))*($T40*(1-$F40)+$S40*(1-$G40))*((1+Inputs!$D$7)^CP$2))),((Inputs!$D$8^((1-_xlfn.WEIBULL.DIST(CP$2,$M40,$L40,FALSE))/_xlfn.WEIBULL.DIST(CP$2,$M40,$L40,FALSE))*($T40*(1-$F40)+$S40*(1-$G40))*((1+Inputs!$D$7)^CP$2))))))))</f>
        <v>0</v>
      </c>
      <c r="CQ40" s="88">
        <f>MAX(BA40,($E40*IF(CQ$2&gt;Inputs!$D$5,0,IF(CQ$2&gt;VLOOKUP($H40,Lists!$P$3:$Q$7,2),IF($N40=Lists!$K$3,IF($L40&lt;1,(($U40/$L40)*((1+Inputs!$D$7)^CQ$2)),((INT(CQ$2/$L40)-INT((CQ$2-1)/$L40))*$U40*((1+Inputs!$D$7)^CQ$2))),(Inputs!$D$8^((1-_xlfn.WEIBULL.DIST(CQ$2,$M40,$L40,FALSE))/_xlfn.WEIBULL.DIST(CQ$2,$M40,$L40,FALSE))*$U40*((1+Inputs!$D$7)^CQ$2))),IF($N40=Lists!$K$3,IF($L40&lt;1,((($T40*(1-$F40)+$S40*(1-$G40))/$L40)*((1+Inputs!$D$7)^CQ$2)),((INT(CQ$2/$L40)-INT((CQ$2-1)/$L40))*($T40*(1-$F40)+$S40*(1-$G40))*((1+Inputs!$D$7)^CQ$2))),((Inputs!$D$8^((1-_xlfn.WEIBULL.DIST(CQ$2,$M40,$L40,FALSE))/_xlfn.WEIBULL.DIST(CQ$2,$M40,$L40,FALSE))*($T40*(1-$F40)+$S40*(1-$G40))*((1+Inputs!$D$7)^CQ$2))))))))</f>
        <v>0</v>
      </c>
      <c r="CR40" s="88">
        <f>MAX(BB40,($E40*IF(CR$2&gt;Inputs!$D$5,0,IF(CR$2&gt;VLOOKUP($H40,Lists!$P$3:$Q$7,2),IF($N40=Lists!$K$3,IF($L40&lt;1,(($U40/$L40)*((1+Inputs!$D$7)^CR$2)),((INT(CR$2/$L40)-INT((CR$2-1)/$L40))*$U40*((1+Inputs!$D$7)^CR$2))),(Inputs!$D$8^((1-_xlfn.WEIBULL.DIST(CR$2,$M40,$L40,FALSE))/_xlfn.WEIBULL.DIST(CR$2,$M40,$L40,FALSE))*$U40*((1+Inputs!$D$7)^CR$2))),IF($N40=Lists!$K$3,IF($L40&lt;1,((($T40*(1-$F40)+$S40*(1-$G40))/$L40)*((1+Inputs!$D$7)^CR$2)),((INT(CR$2/$L40)-INT((CR$2-1)/$L40))*($T40*(1-$F40)+$S40*(1-$G40))*((1+Inputs!$D$7)^CR$2))),((Inputs!$D$8^((1-_xlfn.WEIBULL.DIST(CR$2,$M40,$L40,FALSE))/_xlfn.WEIBULL.DIST(CR$2,$M40,$L40,FALSE))*($T40*(1-$F40)+$S40*(1-$G40))*((1+Inputs!$D$7)^CR$2))))))))</f>
        <v>0</v>
      </c>
      <c r="CS40" s="88">
        <f>MAX(BC40,($E40*IF(CS$2&gt;Inputs!$D$5,0,IF(CS$2&gt;VLOOKUP($H40,Lists!$P$3:$Q$7,2),IF($N40=Lists!$K$3,IF($L40&lt;1,(($U40/$L40)*((1+Inputs!$D$7)^CS$2)),((INT(CS$2/$L40)-INT((CS$2-1)/$L40))*$U40*((1+Inputs!$D$7)^CS$2))),(Inputs!$D$8^((1-_xlfn.WEIBULL.DIST(CS$2,$M40,$L40,FALSE))/_xlfn.WEIBULL.DIST(CS$2,$M40,$L40,FALSE))*$U40*((1+Inputs!$D$7)^CS$2))),IF($N40=Lists!$K$3,IF($L40&lt;1,((($T40*(1-$F40)+$S40*(1-$G40))/$L40)*((1+Inputs!$D$7)^CS$2)),((INT(CS$2/$L40)-INT((CS$2-1)/$L40))*($T40*(1-$F40)+$S40*(1-$G40))*((1+Inputs!$D$7)^CS$2))),((Inputs!$D$8^((1-_xlfn.WEIBULL.DIST(CS$2,$M40,$L40,FALSE))/_xlfn.WEIBULL.DIST(CS$2,$M40,$L40,FALSE))*($T40*(1-$F40)+$S40*(1-$G40))*((1+Inputs!$D$7)^CS$2))))))))</f>
        <v>0</v>
      </c>
      <c r="CT40" s="88">
        <f>MAX(BD40,($E40*IF(CT$2&gt;Inputs!$D$5,0,IF(CT$2&gt;VLOOKUP($H40,Lists!$P$3:$Q$7,2),IF($N40=Lists!$K$3,IF($L40&lt;1,(($U40/$L40)*((1+Inputs!$D$7)^CT$2)),((INT(CT$2/$L40)-INT((CT$2-1)/$L40))*$U40*((1+Inputs!$D$7)^CT$2))),(Inputs!$D$8^((1-_xlfn.WEIBULL.DIST(CT$2,$M40,$L40,FALSE))/_xlfn.WEIBULL.DIST(CT$2,$M40,$L40,FALSE))*$U40*((1+Inputs!$D$7)^CT$2))),IF($N40=Lists!$K$3,IF($L40&lt;1,((($T40*(1-$F40)+$S40*(1-$G40))/$L40)*((1+Inputs!$D$7)^CT$2)),((INT(CT$2/$L40)-INT((CT$2-1)/$L40))*($T40*(1-$F40)+$S40*(1-$G40))*((1+Inputs!$D$7)^CT$2))),((Inputs!$D$8^((1-_xlfn.WEIBULL.DIST(CT$2,$M40,$L40,FALSE))/_xlfn.WEIBULL.DIST(CT$2,$M40,$L40,FALSE))*($T40*(1-$F40)+$S40*(1-$G40))*((1+Inputs!$D$7)^CT$2))))))))</f>
        <v>0</v>
      </c>
      <c r="CU40" s="88">
        <f>MAX(BE40,($E40*IF(CU$2&gt;Inputs!$D$5,0,IF(CU$2&gt;VLOOKUP($H40,Lists!$P$3:$Q$7,2),IF($N40=Lists!$K$3,IF($L40&lt;1,(($U40/$L40)*((1+Inputs!$D$7)^CU$2)),((INT(CU$2/$L40)-INT((CU$2-1)/$L40))*$U40*((1+Inputs!$D$7)^CU$2))),(Inputs!$D$8^((1-_xlfn.WEIBULL.DIST(CU$2,$M40,$L40,FALSE))/_xlfn.WEIBULL.DIST(CU$2,$M40,$L40,FALSE))*$U40*((1+Inputs!$D$7)^CU$2))),IF($N40=Lists!$K$3,IF($L40&lt;1,((($T40*(1-$F40)+$S40*(1-$G40))/$L40)*((1+Inputs!$D$7)^CU$2)),((INT(CU$2/$L40)-INT((CU$2-1)/$L40))*($T40*(1-$F40)+$S40*(1-$G40))*((1+Inputs!$D$7)^CU$2))),((Inputs!$D$8^((1-_xlfn.WEIBULL.DIST(CU$2,$M40,$L40,FALSE))/_xlfn.WEIBULL.DIST(CU$2,$M40,$L40,FALSE))*($T40*(1-$F40)+$S40*(1-$G40))*((1+Inputs!$D$7)^CU$2))))))))</f>
        <v>0</v>
      </c>
      <c r="CV40" s="88">
        <f>MAX(BF40,($E40*IF(CV$2&gt;Inputs!$D$5,0,IF(CV$2&gt;VLOOKUP($H40,Lists!$P$3:$Q$7,2),IF($N40=Lists!$K$3,IF($L40&lt;1,(($U40/$L40)*((1+Inputs!$D$7)^CV$2)),((INT(CV$2/$L40)-INT((CV$2-1)/$L40))*$U40*((1+Inputs!$D$7)^CV$2))),(Inputs!$D$8^((1-_xlfn.WEIBULL.DIST(CV$2,$M40,$L40,FALSE))/_xlfn.WEIBULL.DIST(CV$2,$M40,$L40,FALSE))*$U40*((1+Inputs!$D$7)^CV$2))),IF($N40=Lists!$K$3,IF($L40&lt;1,((($T40*(1-$F40)+$S40*(1-$G40))/$L40)*((1+Inputs!$D$7)^CV$2)),((INT(CV$2/$L40)-INT((CV$2-1)/$L40))*($T40*(1-$F40)+$S40*(1-$G40))*((1+Inputs!$D$7)^CV$2))),((Inputs!$D$8^((1-_xlfn.WEIBULL.DIST(CV$2,$M40,$L40,FALSE))/_xlfn.WEIBULL.DIST(CV$2,$M40,$L40,FALSE))*($T40*(1-$F40)+$S40*(1-$G40))*((1+Inputs!$D$7)^CV$2))))))))</f>
        <v>0</v>
      </c>
      <c r="CW40" s="88">
        <f>MAX(BG40,($E40*IF(CW$2&gt;Inputs!$D$5,0,IF(CW$2&gt;VLOOKUP($H40,Lists!$P$3:$Q$7,2),IF($N40=Lists!$K$3,IF($L40&lt;1,(($U40/$L40)*((1+Inputs!$D$7)^CW$2)),((INT(CW$2/$L40)-INT((CW$2-1)/$L40))*$U40*((1+Inputs!$D$7)^CW$2))),(Inputs!$D$8^((1-_xlfn.WEIBULL.DIST(CW$2,$M40,$L40,FALSE))/_xlfn.WEIBULL.DIST(CW$2,$M40,$L40,FALSE))*$U40*((1+Inputs!$D$7)^CW$2))),IF($N40=Lists!$K$3,IF($L40&lt;1,((($T40*(1-$F40)+$S40*(1-$G40))/$L40)*((1+Inputs!$D$7)^CW$2)),((INT(CW$2/$L40)-INT((CW$2-1)/$L40))*($T40*(1-$F40)+$S40*(1-$G40))*((1+Inputs!$D$7)^CW$2))),((Inputs!$D$8^((1-_xlfn.WEIBULL.DIST(CW$2,$M40,$L40,FALSE))/_xlfn.WEIBULL.DIST(CW$2,$M40,$L40,FALSE))*($T40*(1-$F40)+$S40*(1-$G40))*((1+Inputs!$D$7)^CW$2))))))))</f>
        <v>0</v>
      </c>
      <c r="CX40" s="88">
        <f>MAX(BH40,($E40*IF(CX$2&gt;Inputs!$D$5,0,IF(CX$2&gt;VLOOKUP($H40,Lists!$P$3:$Q$7,2),IF($N40=Lists!$K$3,IF($L40&lt;1,(($U40/$L40)*((1+Inputs!$D$7)^CX$2)),((INT(CX$2/$L40)-INT((CX$2-1)/$L40))*$U40*((1+Inputs!$D$7)^CX$2))),(Inputs!$D$8^((1-_xlfn.WEIBULL.DIST(CX$2,$M40,$L40,FALSE))/_xlfn.WEIBULL.DIST(CX$2,$M40,$L40,FALSE))*$U40*((1+Inputs!$D$7)^CX$2))),IF($N40=Lists!$K$3,IF($L40&lt;1,((($T40*(1-$F40)+$S40*(1-$G40))/$L40)*((1+Inputs!$D$7)^CX$2)),((INT(CX$2/$L40)-INT((CX$2-1)/$L40))*($T40*(1-$F40)+$S40*(1-$G40))*((1+Inputs!$D$7)^CX$2))),((Inputs!$D$8^((1-_xlfn.WEIBULL.DIST(CX$2,$M40,$L40,FALSE))/_xlfn.WEIBULL.DIST(CX$2,$M40,$L40,FALSE))*($T40*(1-$F40)+$S40*(1-$G40))*((1+Inputs!$D$7)^CX$2))))))))</f>
        <v>0</v>
      </c>
      <c r="CY40" s="88">
        <f>MAX(BI40,($E40*IF(CY$2&gt;Inputs!$D$5,0,IF(CY$2&gt;VLOOKUP($H40,Lists!$P$3:$Q$7,2),IF($N40=Lists!$K$3,IF($L40&lt;1,(($U40/$L40)*((1+Inputs!$D$7)^CY$2)),((INT(CY$2/$L40)-INT((CY$2-1)/$L40))*$U40*((1+Inputs!$D$7)^CY$2))),(Inputs!$D$8^((1-_xlfn.WEIBULL.DIST(CY$2,$M40,$L40,FALSE))/_xlfn.WEIBULL.DIST(CY$2,$M40,$L40,FALSE))*$U40*((1+Inputs!$D$7)^CY$2))),IF($N40=Lists!$K$3,IF($L40&lt;1,((($T40*(1-$F40)+$S40*(1-$G40))/$L40)*((1+Inputs!$D$7)^CY$2)),((INT(CY$2/$L40)-INT((CY$2-1)/$L40))*($T40*(1-$F40)+$S40*(1-$G40))*((1+Inputs!$D$7)^CY$2))),((Inputs!$D$8^((1-_xlfn.WEIBULL.DIST(CY$2,$M40,$L40,FALSE))/_xlfn.WEIBULL.DIST(CY$2,$M40,$L40,FALSE))*($T40*(1-$F40)+$S40*(1-$G40))*((1+Inputs!$D$7)^CY$2))))))))</f>
        <v>0</v>
      </c>
      <c r="CZ40" s="88">
        <f>MAX(BJ40,($E40*IF(CZ$2&gt;Inputs!$D$5,0,IF(CZ$2&gt;VLOOKUP($H40,Lists!$P$3:$Q$7,2),IF($N40=Lists!$K$3,IF($L40&lt;1,(($U40/$L40)*((1+Inputs!$D$7)^CZ$2)),((INT(CZ$2/$L40)-INT((CZ$2-1)/$L40))*$U40*((1+Inputs!$D$7)^CZ$2))),(Inputs!$D$8^((1-_xlfn.WEIBULL.DIST(CZ$2,$M40,$L40,FALSE))/_xlfn.WEIBULL.DIST(CZ$2,$M40,$L40,FALSE))*$U40*((1+Inputs!$D$7)^CZ$2))),IF($N40=Lists!$K$3,IF($L40&lt;1,((($T40*(1-$F40)+$S40*(1-$G40))/$L40)*((1+Inputs!$D$7)^CZ$2)),((INT(CZ$2/$L40)-INT((CZ$2-1)/$L40))*($T40*(1-$F40)+$S40*(1-$G40))*((1+Inputs!$D$7)^CZ$2))),((Inputs!$D$8^((1-_xlfn.WEIBULL.DIST(CZ$2,$M40,$L40,FALSE))/_xlfn.WEIBULL.DIST(CZ$2,$M40,$L40,FALSE))*($T40*(1-$F40)+$S40*(1-$G40))*((1+Inputs!$D$7)^CZ$2))))))))</f>
        <v>0</v>
      </c>
      <c r="DA40" s="88">
        <f>MAX(BK40,($E40*IF(DA$2&gt;Inputs!$D$5,0,IF(DA$2&gt;VLOOKUP($H40,Lists!$P$3:$Q$7,2),IF($N40=Lists!$K$3,IF($L40&lt;1,(($U40/$L40)*((1+Inputs!$D$7)^DA$2)),((INT(DA$2/$L40)-INT((DA$2-1)/$L40))*$U40*((1+Inputs!$D$7)^DA$2))),(Inputs!$D$8^((1-_xlfn.WEIBULL.DIST(DA$2,$M40,$L40,FALSE))/_xlfn.WEIBULL.DIST(DA$2,$M40,$L40,FALSE))*$U40*((1+Inputs!$D$7)^DA$2))),IF($N40=Lists!$K$3,IF($L40&lt;1,((($T40*(1-$F40)+$S40*(1-$G40))/$L40)*((1+Inputs!$D$7)^DA$2)),((INT(DA$2/$L40)-INT((DA$2-1)/$L40))*($T40*(1-$F40)+$S40*(1-$G40))*((1+Inputs!$D$7)^DA$2))),((Inputs!$D$8^((1-_xlfn.WEIBULL.DIST(DA$2,$M40,$L40,FALSE))/_xlfn.WEIBULL.DIST(DA$2,$M40,$L40,FALSE))*($T40*(1-$F40)+$S40*(1-$G40))*((1+Inputs!$D$7)^DA$2))))))))</f>
        <v>0</v>
      </c>
      <c r="DB40" s="88">
        <f>MAX(BL40,($E40*IF(DB$2&gt;Inputs!$D$5,0,IF(DB$2&gt;VLOOKUP($H40,Lists!$P$3:$Q$7,2),IF($N40=Lists!$K$3,IF($L40&lt;1,(($U40/$L40)*((1+Inputs!$D$7)^DB$2)),((INT(DB$2/$L40)-INT((DB$2-1)/$L40))*$U40*((1+Inputs!$D$7)^DB$2))),(Inputs!$D$8^((1-_xlfn.WEIBULL.DIST(DB$2,$M40,$L40,FALSE))/_xlfn.WEIBULL.DIST(DB$2,$M40,$L40,FALSE))*$U40*((1+Inputs!$D$7)^DB$2))),IF($N40=Lists!$K$3,IF($L40&lt;1,((($T40*(1-$F40)+$S40*(1-$G40))/$L40)*((1+Inputs!$D$7)^DB$2)),((INT(DB$2/$L40)-INT((DB$2-1)/$L40))*($T40*(1-$F40)+$S40*(1-$G40))*((1+Inputs!$D$7)^DB$2))),((Inputs!$D$8^((1-_xlfn.WEIBULL.DIST(DB$2,$M40,$L40,FALSE))/_xlfn.WEIBULL.DIST(DB$2,$M40,$L40,FALSE))*($T40*(1-$F40)+$S40*(1-$G40))*((1+Inputs!$D$7)^DB$2))))))))</f>
        <v>0</v>
      </c>
      <c r="DC40" s="88">
        <f>MAX(BM40,($E40*IF(DC$2&gt;Inputs!$D$5,0,IF(DC$2&gt;VLOOKUP($H40,Lists!$P$3:$Q$7,2),IF($N40=Lists!$K$3,IF($L40&lt;1,(($U40/$L40)*((1+Inputs!$D$7)^DC$2)),((INT(DC$2/$L40)-INT((DC$2-1)/$L40))*$U40*((1+Inputs!$D$7)^DC$2))),(Inputs!$D$8^((1-_xlfn.WEIBULL.DIST(DC$2,$M40,$L40,FALSE))/_xlfn.WEIBULL.DIST(DC$2,$M40,$L40,FALSE))*$U40*((1+Inputs!$D$7)^DC$2))),IF($N40=Lists!$K$3,IF($L40&lt;1,((($T40*(1-$F40)+$S40*(1-$G40))/$L40)*((1+Inputs!$D$7)^DC$2)),((INT(DC$2/$L40)-INT((DC$2-1)/$L40))*($T40*(1-$F40)+$S40*(1-$G40))*((1+Inputs!$D$7)^DC$2))),((Inputs!$D$8^((1-_xlfn.WEIBULL.DIST(DC$2,$M40,$L40,FALSE))/_xlfn.WEIBULL.DIST(DC$2,$M40,$L40,FALSE))*($T40*(1-$F40)+$S40*(1-$G40))*((1+Inputs!$D$7)^DC$2))))))))</f>
        <v>0</v>
      </c>
      <c r="DD40" s="88">
        <f>MAX(BN40,($E40*IF(DD$2&gt;Inputs!$D$5,0,IF(DD$2&gt;VLOOKUP($H40,Lists!$P$3:$Q$7,2),IF($N40=Lists!$K$3,IF($L40&lt;1,(($U40/$L40)*((1+Inputs!$D$7)^DD$2)),((INT(DD$2/$L40)-INT((DD$2-1)/$L40))*$U40*((1+Inputs!$D$7)^DD$2))),(Inputs!$D$8^((1-_xlfn.WEIBULL.DIST(DD$2,$M40,$L40,FALSE))/_xlfn.WEIBULL.DIST(DD$2,$M40,$L40,FALSE))*$U40*((1+Inputs!$D$7)^DD$2))),IF($N40=Lists!$K$3,IF($L40&lt;1,((($T40*(1-$F40)+$S40*(1-$G40))/$L40)*((1+Inputs!$D$7)^DD$2)),((INT(DD$2/$L40)-INT((DD$2-1)/$L40))*($T40*(1-$F40)+$S40*(1-$G40))*((1+Inputs!$D$7)^DD$2))),((Inputs!$D$8^((1-_xlfn.WEIBULL.DIST(DD$2,$M40,$L40,FALSE))/_xlfn.WEIBULL.DIST(DD$2,$M40,$L40,FALSE))*($T40*(1-$F40)+$S40*(1-$G40))*((1+Inputs!$D$7)^DD$2))))))))</f>
        <v>0</v>
      </c>
    </row>
    <row r="41" spans="1:108" s="1" customFormat="1" ht="32">
      <c r="A41" s="57" t="s">
        <v>196</v>
      </c>
      <c r="B41" s="13" t="s">
        <v>130</v>
      </c>
      <c r="C41" s="13" t="s">
        <v>474</v>
      </c>
      <c r="D41" s="13" t="s">
        <v>16</v>
      </c>
      <c r="E41" s="48">
        <f>IF(Inputs!$D$30=Lists!$M$4,1,0)</f>
        <v>1</v>
      </c>
      <c r="F41" s="48">
        <v>1</v>
      </c>
      <c r="G41" s="48">
        <v>0</v>
      </c>
      <c r="H41" s="105" t="s">
        <v>16</v>
      </c>
      <c r="I41" s="14" t="s">
        <v>264</v>
      </c>
      <c r="J41" s="14" t="s">
        <v>91</v>
      </c>
      <c r="K41" s="13">
        <f>VLOOKUP(J41,'Labor Rates'!$A$1:$F$16,2)</f>
        <v>33.17307692307692</v>
      </c>
      <c r="L41" s="15">
        <v>20</v>
      </c>
      <c r="M41" s="15">
        <v>1</v>
      </c>
      <c r="N41" s="16" t="s">
        <v>226</v>
      </c>
      <c r="O41" s="61">
        <f>Inputs!$D$32</f>
        <v>10</v>
      </c>
      <c r="P41" s="15">
        <v>1</v>
      </c>
      <c r="Q41" s="15">
        <f t="shared" si="7"/>
        <v>0.5</v>
      </c>
      <c r="R41" s="4">
        <v>1000</v>
      </c>
      <c r="S41" s="53">
        <f t="shared" si="8"/>
        <v>331.73076923076917</v>
      </c>
      <c r="T41" s="53">
        <f t="shared" si="9"/>
        <v>10000</v>
      </c>
      <c r="U41" s="54">
        <f t="shared" si="10"/>
        <v>10331.73076923077</v>
      </c>
      <c r="V41" s="65"/>
      <c r="W41" s="58"/>
      <c r="X41" s="64">
        <f t="shared" si="11"/>
        <v>169.40720682314858</v>
      </c>
      <c r="Y41" s="64">
        <f>NPV(Inputs!$D$6,AA41:BN41)</f>
        <v>1554.1576725425964</v>
      </c>
      <c r="Z41" s="67">
        <f t="shared" si="12"/>
        <v>7.3301663344888662E-4</v>
      </c>
      <c r="AA41" s="88">
        <f>$E41*IF(AA$2&gt;Inputs!$D$5,0,IF(AA$2&gt;VLOOKUP($H41,Lists!$P$3:$Q$7,2),IF($N41=Lists!$K$3,IF($L41&lt;1,(($U41/$L41)*((1+Inputs!$D$7)^AA$2)),((INT(AA$2/$L41)-INT((AA$2-1)/$L41))*$U41*((1+Inputs!$D$7)^AA$2))),(_xlfn.WEIBULL.DIST(AA$2,$M41,$L41,FALSE)*$U41*((1+Inputs!$D$7)^AA$2))),IF($N41=Lists!$K$3,IF($L41&lt;1,((($T41*(1-$F41)+$S41*(1-$G41))/$L41)*((1+Inputs!$D$7)^AA$2)),((INT(AA$2/$L41)-INT((AA$2-1)/$L41))*($T41*(1-$F41)+$S41*(1-$G41))*((1+Inputs!$D$7)^AA$2))),((_xlfn.WEIBULL.DIST(AA$2,$M41,$L41,FALSE)*($T41*(1-$F41)+$S41*(1-$G41))*((1+Inputs!$D$7)^AA$2))))))</f>
        <v>16.093155503932753</v>
      </c>
      <c r="AB41" s="88">
        <f>$E41*IF(AB$2&gt;Inputs!$D$5,0,IF(AB$2&gt;VLOOKUP($H41,Lists!$P$3:$Q$7,2),IF($N41=Lists!$K$3,IF($L41&lt;1,(($U41/$L41)*((1+Inputs!$D$7)^AB$2)),((INT(AB$2/$L41)-INT((AB$2-1)/$L41))*$U41*((1+Inputs!$D$7)^AB$2))),(_xlfn.WEIBULL.DIST(AB$2,$M41,$L41,FALSE)*$U41*((1+Inputs!$D$7)^AB$2))),IF($N41=Lists!$K$3,IF($L41&lt;1,((($T41*(1-$F41)+$S41*(1-$G41))/$L41)*((1+Inputs!$D$7)^AB$2)),((INT(AB$2/$L41)-INT((AB$2-1)/$L41))*($T41*(1-$F41)+$S41*(1-$G41))*((1+Inputs!$D$7)^AB$2))),((_xlfn.WEIBULL.DIST(AB$2,$M41,$L41,FALSE)*($T41*(1-$F41)+$S41*(1-$G41))*((1+Inputs!$D$7)^AB$2))))))</f>
        <v>15.61444870937458</v>
      </c>
      <c r="AC41" s="88">
        <f>$E41*IF(AC$2&gt;Inputs!$D$5,0,IF(AC$2&gt;VLOOKUP($H41,Lists!$P$3:$Q$7,2),IF($N41=Lists!$K$3,IF($L41&lt;1,(($U41/$L41)*((1+Inputs!$D$7)^AC$2)),((INT(AC$2/$L41)-INT((AC$2-1)/$L41))*$U41*((1+Inputs!$D$7)^AC$2))),(_xlfn.WEIBULL.DIST(AC$2,$M41,$L41,FALSE)*$U41*((1+Inputs!$D$7)^AC$2))),IF($N41=Lists!$K$3,IF($L41&lt;1,((($T41*(1-$F41)+$S41*(1-$G41))/$L41)*((1+Inputs!$D$7)^AC$2)),((INT(AC$2/$L41)-INT((AC$2-1)/$L41))*($T41*(1-$F41)+$S41*(1-$G41))*((1+Inputs!$D$7)^AC$2))),((_xlfn.WEIBULL.DIST(AC$2,$M41,$L41,FALSE)*($T41*(1-$F41)+$S41*(1-$G41))*((1+Inputs!$D$7)^AC$2))))))</f>
        <v>15.149981520908584</v>
      </c>
      <c r="AD41" s="88">
        <f>$E41*IF(AD$2&gt;Inputs!$D$5,0,IF(AD$2&gt;VLOOKUP($H41,Lists!$P$3:$Q$7,2),IF($N41=Lists!$K$3,IF($L41&lt;1,(($U41/$L41)*((1+Inputs!$D$7)^AD$2)),((INT(AD$2/$L41)-INT((AD$2-1)/$L41))*$U41*((1+Inputs!$D$7)^AD$2))),(_xlfn.WEIBULL.DIST(AD$2,$M41,$L41,FALSE)*$U41*((1+Inputs!$D$7)^AD$2))),IF($N41=Lists!$K$3,IF($L41&lt;1,((($T41*(1-$F41)+$S41*(1-$G41))/$L41)*((1+Inputs!$D$7)^AD$2)),((INT(AD$2/$L41)-INT((AD$2-1)/$L41))*($T41*(1-$F41)+$S41*(1-$G41))*((1+Inputs!$D$7)^AD$2))),((_xlfn.WEIBULL.DIST(AD$2,$M41,$L41,FALSE)*($T41*(1-$F41)+$S41*(1-$G41))*((1+Inputs!$D$7)^AD$2))))))</f>
        <v>14.69933036739693</v>
      </c>
      <c r="AE41" s="88">
        <f>$E41*IF(AE$2&gt;Inputs!$D$5,0,IF(AE$2&gt;VLOOKUP($H41,Lists!$P$3:$Q$7,2),IF($N41=Lists!$K$3,IF($L41&lt;1,(($U41/$L41)*((1+Inputs!$D$7)^AE$2)),((INT(AE$2/$L41)-INT((AE$2-1)/$L41))*$U41*((1+Inputs!$D$7)^AE$2))),(_xlfn.WEIBULL.DIST(AE$2,$M41,$L41,FALSE)*$U41*((1+Inputs!$D$7)^AE$2))),IF($N41=Lists!$K$3,IF($L41&lt;1,((($T41*(1-$F41)+$S41*(1-$G41))/$L41)*((1+Inputs!$D$7)^AE$2)),((INT(AE$2/$L41)-INT((AE$2-1)/$L41))*($T41*(1-$F41)+$S41*(1-$G41))*((1+Inputs!$D$7)^AE$2))),((_xlfn.WEIBULL.DIST(AE$2,$M41,$L41,FALSE)*($T41*(1-$F41)+$S41*(1-$G41))*((1+Inputs!$D$7)^AE$2))))))</f>
        <v>14.262084277243348</v>
      </c>
      <c r="AF41" s="88">
        <f>$E41*IF(AF$2&gt;Inputs!$D$5,0,IF(AF$2&gt;VLOOKUP($H41,Lists!$P$3:$Q$7,2),IF($N41=Lists!$K$3,IF($L41&lt;1,(($U41/$L41)*((1+Inputs!$D$7)^AF$2)),((INT(AF$2/$L41)-INT((AF$2-1)/$L41))*$U41*((1+Inputs!$D$7)^AF$2))),(_xlfn.WEIBULL.DIST(AF$2,$M41,$L41,FALSE)*$U41*((1+Inputs!$D$7)^AF$2))),IF($N41=Lists!$K$3,IF($L41&lt;1,((($T41*(1-$F41)+$S41*(1-$G41))/$L41)*((1+Inputs!$D$7)^AF$2)),((INT(AF$2/$L41)-INT((AF$2-1)/$L41))*($T41*(1-$F41)+$S41*(1-$G41))*((1+Inputs!$D$7)^AF$2))),((_xlfn.WEIBULL.DIST(AF$2,$M41,$L41,FALSE)*($T41*(1-$F41)+$S41*(1-$G41))*((1+Inputs!$D$7)^AF$2))))))</f>
        <v>13.837844503607332</v>
      </c>
      <c r="AG41" s="88">
        <f>$E41*IF(AG$2&gt;Inputs!$D$5,0,IF(AG$2&gt;VLOOKUP($H41,Lists!$P$3:$Q$7,2),IF($N41=Lists!$K$3,IF($L41&lt;1,(($U41/$L41)*((1+Inputs!$D$7)^AG$2)),((INT(AG$2/$L41)-INT((AG$2-1)/$L41))*$U41*((1+Inputs!$D$7)^AG$2))),(_xlfn.WEIBULL.DIST(AG$2,$M41,$L41,FALSE)*$U41*((1+Inputs!$D$7)^AG$2))),IF($N41=Lists!$K$3,IF($L41&lt;1,((($T41*(1-$F41)+$S41*(1-$G41))/$L41)*((1+Inputs!$D$7)^AG$2)),((INT(AG$2/$L41)-INT((AG$2-1)/$L41))*($T41*(1-$F41)+$S41*(1-$G41))*((1+Inputs!$D$7)^AG$2))),((_xlfn.WEIBULL.DIST(AG$2,$M41,$L41,FALSE)*($T41*(1-$F41)+$S41*(1-$G41))*((1+Inputs!$D$7)^AG$2))))))</f>
        <v>13.426224160766701</v>
      </c>
      <c r="AH41" s="88">
        <f>$E41*IF(AH$2&gt;Inputs!$D$5,0,IF(AH$2&gt;VLOOKUP($H41,Lists!$P$3:$Q$7,2),IF($N41=Lists!$K$3,IF($L41&lt;1,(($U41/$L41)*((1+Inputs!$D$7)^AH$2)),((INT(AH$2/$L41)-INT((AH$2-1)/$L41))*$U41*((1+Inputs!$D$7)^AH$2))),(_xlfn.WEIBULL.DIST(AH$2,$M41,$L41,FALSE)*$U41*((1+Inputs!$D$7)^AH$2))),IF($N41=Lists!$K$3,IF($L41&lt;1,((($T41*(1-$F41)+$S41*(1-$G41))/$L41)*((1+Inputs!$D$7)^AH$2)),((INT(AH$2/$L41)-INT((AH$2-1)/$L41))*($T41*(1-$F41)+$S41*(1-$G41))*((1+Inputs!$D$7)^AH$2))),((_xlfn.WEIBULL.DIST(AH$2,$M41,$L41,FALSE)*($T41*(1-$F41)+$S41*(1-$G41))*((1+Inputs!$D$7)^AH$2))))))</f>
        <v>13.026847871296967</v>
      </c>
      <c r="AI41" s="88">
        <f>$E41*IF(AI$2&gt;Inputs!$D$5,0,IF(AI$2&gt;VLOOKUP($H41,Lists!$P$3:$Q$7,2),IF($N41=Lists!$K$3,IF($L41&lt;1,(($U41/$L41)*((1+Inputs!$D$7)^AI$2)),((INT(AI$2/$L41)-INT((AI$2-1)/$L41))*$U41*((1+Inputs!$D$7)^AI$2))),(_xlfn.WEIBULL.DIST(AI$2,$M41,$L41,FALSE)*$U41*((1+Inputs!$D$7)^AI$2))),IF($N41=Lists!$K$3,IF($L41&lt;1,((($T41*(1-$F41)+$S41*(1-$G41))/$L41)*((1+Inputs!$D$7)^AI$2)),((INT(AI$2/$L41)-INT((AI$2-1)/$L41))*($T41*(1-$F41)+$S41*(1-$G41))*((1+Inputs!$D$7)^AI$2))),((_xlfn.WEIBULL.DIST(AI$2,$M41,$L41,FALSE)*($T41*(1-$F41)+$S41*(1-$G41))*((1+Inputs!$D$7)^AI$2))))))</f>
        <v>12.639351423745609</v>
      </c>
      <c r="AJ41" s="88">
        <f>$E41*IF(AJ$2&gt;Inputs!$D$5,0,IF(AJ$2&gt;VLOOKUP($H41,Lists!$P$3:$Q$7,2),IF($N41=Lists!$K$3,IF($L41&lt;1,(($U41/$L41)*((1+Inputs!$D$7)^AJ$2)),((INT(AJ$2/$L41)-INT((AJ$2-1)/$L41))*$U41*((1+Inputs!$D$7)^AJ$2))),(_xlfn.WEIBULL.DIST(AJ$2,$M41,$L41,FALSE)*$U41*((1+Inputs!$D$7)^AJ$2))),IF($N41=Lists!$K$3,IF($L41&lt;1,((($T41*(1-$F41)+$S41*(1-$G41))/$L41)*((1+Inputs!$D$7)^AJ$2)),((INT(AJ$2/$L41)-INT((AJ$2-1)/$L41))*($T41*(1-$F41)+$S41*(1-$G41))*((1+Inputs!$D$7)^AJ$2))),((_xlfn.WEIBULL.DIST(AJ$2,$M41,$L41,FALSE)*($T41*(1-$F41)+$S41*(1-$G41))*((1+Inputs!$D$7)^AJ$2))))))</f>
        <v>12.263381440489251</v>
      </c>
      <c r="AK41" s="88">
        <f>$E41*IF(AK$2&gt;Inputs!$D$5,0,IF(AK$2&gt;VLOOKUP($H41,Lists!$P$3:$Q$7,2),IF($N41=Lists!$K$3,IF($L41&lt;1,(($U41/$L41)*((1+Inputs!$D$7)^AK$2)),((INT(AK$2/$L41)-INT((AK$2-1)/$L41))*$U41*((1+Inputs!$D$7)^AK$2))),(_xlfn.WEIBULL.DIST(AK$2,$M41,$L41,FALSE)*$U41*((1+Inputs!$D$7)^AK$2))),IF($N41=Lists!$K$3,IF($L41&lt;1,((($T41*(1-$F41)+$S41*(1-$G41))/$L41)*((1+Inputs!$D$7)^AK$2)),((INT(AK$2/$L41)-INT((AK$2-1)/$L41))*($T41*(1-$F41)+$S41*(1-$G41))*((1+Inputs!$D$7)^AK$2))),((_xlfn.WEIBULL.DIST(AK$2,$M41,$L41,FALSE)*($T41*(1-$F41)+$S41*(1-$G41))*((1+Inputs!$D$7)^AK$2))))))</f>
        <v>370.5808807856024</v>
      </c>
      <c r="AL41" s="88">
        <f>$E41*IF(AL$2&gt;Inputs!$D$5,0,IF(AL$2&gt;VLOOKUP($H41,Lists!$P$3:$Q$7,2),IF($N41=Lists!$K$3,IF($L41&lt;1,(($U41/$L41)*((1+Inputs!$D$7)^AL$2)),((INT(AL$2/$L41)-INT((AL$2-1)/$L41))*$U41*((1+Inputs!$D$7)^AL$2))),(_xlfn.WEIBULL.DIST(AL$2,$M41,$L41,FALSE)*$U41*((1+Inputs!$D$7)^AL$2))),IF($N41=Lists!$K$3,IF($L41&lt;1,((($T41*(1-$F41)+$S41*(1-$G41))/$L41)*((1+Inputs!$D$7)^AL$2)),((INT(AL$2/$L41)-INT((AL$2-1)/$L41))*($T41*(1-$F41)+$S41*(1-$G41))*((1+Inputs!$D$7)^AL$2))),((_xlfn.WEIBULL.DIST(AL$2,$M41,$L41,FALSE)*($T41*(1-$F41)+$S41*(1-$G41))*((1+Inputs!$D$7)^AL$2))))))</f>
        <v>359.55758671986951</v>
      </c>
      <c r="AM41" s="88">
        <f>$E41*IF(AM$2&gt;Inputs!$D$5,0,IF(AM$2&gt;VLOOKUP($H41,Lists!$P$3:$Q$7,2),IF($N41=Lists!$K$3,IF($L41&lt;1,(($U41/$L41)*((1+Inputs!$D$7)^AM$2)),((INT(AM$2/$L41)-INT((AM$2-1)/$L41))*$U41*((1+Inputs!$D$7)^AM$2))),(_xlfn.WEIBULL.DIST(AM$2,$M41,$L41,FALSE)*$U41*((1+Inputs!$D$7)^AM$2))),IF($N41=Lists!$K$3,IF($L41&lt;1,((($T41*(1-$F41)+$S41*(1-$G41))/$L41)*((1+Inputs!$D$7)^AM$2)),((INT(AM$2/$L41)-INT((AM$2-1)/$L41))*($T41*(1-$F41)+$S41*(1-$G41))*((1+Inputs!$D$7)^AM$2))),((_xlfn.WEIBULL.DIST(AM$2,$M41,$L41,FALSE)*($T41*(1-$F41)+$S41*(1-$G41))*((1+Inputs!$D$7)^AM$2))))))</f>
        <v>348.86219141621518</v>
      </c>
      <c r="AN41" s="88">
        <f>$E41*IF(AN$2&gt;Inputs!$D$5,0,IF(AN$2&gt;VLOOKUP($H41,Lists!$P$3:$Q$7,2),IF($N41=Lists!$K$3,IF($L41&lt;1,(($U41/$L41)*((1+Inputs!$D$7)^AN$2)),((INT(AN$2/$L41)-INT((AN$2-1)/$L41))*$U41*((1+Inputs!$D$7)^AN$2))),(_xlfn.WEIBULL.DIST(AN$2,$M41,$L41,FALSE)*$U41*((1+Inputs!$D$7)^AN$2))),IF($N41=Lists!$K$3,IF($L41&lt;1,((($T41*(1-$F41)+$S41*(1-$G41))/$L41)*((1+Inputs!$D$7)^AN$2)),((INT(AN$2/$L41)-INT((AN$2-1)/$L41))*($T41*(1-$F41)+$S41*(1-$G41))*((1+Inputs!$D$7)^AN$2))),((_xlfn.WEIBULL.DIST(AN$2,$M41,$L41,FALSE)*($T41*(1-$F41)+$S41*(1-$G41))*((1+Inputs!$D$7)^AN$2))))))</f>
        <v>338.48494120232237</v>
      </c>
      <c r="AO41" s="88">
        <f>$E41*IF(AO$2&gt;Inputs!$D$5,0,IF(AO$2&gt;VLOOKUP($H41,Lists!$P$3:$Q$7,2),IF($N41=Lists!$K$3,IF($L41&lt;1,(($U41/$L41)*((1+Inputs!$D$7)^AO$2)),((INT(AO$2/$L41)-INT((AO$2-1)/$L41))*$U41*((1+Inputs!$D$7)^AO$2))),(_xlfn.WEIBULL.DIST(AO$2,$M41,$L41,FALSE)*$U41*((1+Inputs!$D$7)^AO$2))),IF($N41=Lists!$K$3,IF($L41&lt;1,((($T41*(1-$F41)+$S41*(1-$G41))/$L41)*((1+Inputs!$D$7)^AO$2)),((INT(AO$2/$L41)-INT((AO$2-1)/$L41))*($T41*(1-$F41)+$S41*(1-$G41))*((1+Inputs!$D$7)^AO$2))),((_xlfn.WEIBULL.DIST(AO$2,$M41,$L41,FALSE)*($T41*(1-$F41)+$S41*(1-$G41))*((1+Inputs!$D$7)^AO$2))))))</f>
        <v>328.41637253848393</v>
      </c>
      <c r="AP41" s="88">
        <f>$E41*IF(AP$2&gt;Inputs!$D$5,0,IF(AP$2&gt;VLOOKUP($H41,Lists!$P$3:$Q$7,2),IF($N41=Lists!$K$3,IF($L41&lt;1,(($U41/$L41)*((1+Inputs!$D$7)^AP$2)),((INT(AP$2/$L41)-INT((AP$2-1)/$L41))*$U41*((1+Inputs!$D$7)^AP$2))),(_xlfn.WEIBULL.DIST(AP$2,$M41,$L41,FALSE)*$U41*((1+Inputs!$D$7)^AP$2))),IF($N41=Lists!$K$3,IF($L41&lt;1,((($T41*(1-$F41)+$S41*(1-$G41))/$L41)*((1+Inputs!$D$7)^AP$2)),((INT(AP$2/$L41)-INT((AP$2-1)/$L41))*($T41*(1-$F41)+$S41*(1-$G41))*((1+Inputs!$D$7)^AP$2))),((_xlfn.WEIBULL.DIST(AP$2,$M41,$L41,FALSE)*($T41*(1-$F41)+$S41*(1-$G41))*((1+Inputs!$D$7)^AP$2))))))</f>
        <v>318.64730338732204</v>
      </c>
      <c r="AQ41" s="88">
        <f>$E41*IF(AQ$2&gt;Inputs!$D$5,0,IF(AQ$2&gt;VLOOKUP($H41,Lists!$P$3:$Q$7,2),IF($N41=Lists!$K$3,IF($L41&lt;1,(($U41/$L41)*((1+Inputs!$D$7)^AQ$2)),((INT(AQ$2/$L41)-INT((AQ$2-1)/$L41))*$U41*((1+Inputs!$D$7)^AQ$2))),(_xlfn.WEIBULL.DIST(AQ$2,$M41,$L41,FALSE)*$U41*((1+Inputs!$D$7)^AQ$2))),IF($N41=Lists!$K$3,IF($L41&lt;1,((($T41*(1-$F41)+$S41*(1-$G41))/$L41)*((1+Inputs!$D$7)^AQ$2)),((INT(AQ$2/$L41)-INT((AQ$2-1)/$L41))*($T41*(1-$F41)+$S41*(1-$G41))*((1+Inputs!$D$7)^AQ$2))),((_xlfn.WEIBULL.DIST(AQ$2,$M41,$L41,FALSE)*($T41*(1-$F41)+$S41*(1-$G41))*((1+Inputs!$D$7)^AQ$2))))))</f>
        <v>309.16882484022341</v>
      </c>
      <c r="AR41" s="88">
        <f>$E41*IF(AR$2&gt;Inputs!$D$5,0,IF(AR$2&gt;VLOOKUP($H41,Lists!$P$3:$Q$7,2),IF($N41=Lists!$K$3,IF($L41&lt;1,(($U41/$L41)*((1+Inputs!$D$7)^AR$2)),((INT(AR$2/$L41)-INT((AR$2-1)/$L41))*$U41*((1+Inputs!$D$7)^AR$2))),(_xlfn.WEIBULL.DIST(AR$2,$M41,$L41,FALSE)*$U41*((1+Inputs!$D$7)^AR$2))),IF($N41=Lists!$K$3,IF($L41&lt;1,((($T41*(1-$F41)+$S41*(1-$G41))/$L41)*((1+Inputs!$D$7)^AR$2)),((INT(AR$2/$L41)-INT((AR$2-1)/$L41))*($T41*(1-$F41)+$S41*(1-$G41))*((1+Inputs!$D$7)^AR$2))),((_xlfn.WEIBULL.DIST(AR$2,$M41,$L41,FALSE)*($T41*(1-$F41)+$S41*(1-$G41))*((1+Inputs!$D$7)^AR$2))))))</f>
        <v>299.97229299285425</v>
      </c>
      <c r="AS41" s="88">
        <f>$E41*IF(AS$2&gt;Inputs!$D$5,0,IF(AS$2&gt;VLOOKUP($H41,Lists!$P$3:$Q$7,2),IF($N41=Lists!$K$3,IF($L41&lt;1,(($U41/$L41)*((1+Inputs!$D$7)^AS$2)),((INT(AS$2/$L41)-INT((AS$2-1)/$L41))*$U41*((1+Inputs!$D$7)^AS$2))),(_xlfn.WEIBULL.DIST(AS$2,$M41,$L41,FALSE)*$U41*((1+Inputs!$D$7)^AS$2))),IF($N41=Lists!$K$3,IF($L41&lt;1,((($T41*(1-$F41)+$S41*(1-$G41))/$L41)*((1+Inputs!$D$7)^AS$2)),((INT(AS$2/$L41)-INT((AS$2-1)/$L41))*($T41*(1-$F41)+$S41*(1-$G41))*((1+Inputs!$D$7)^AS$2))),((_xlfn.WEIBULL.DIST(AS$2,$M41,$L41,FALSE)*($T41*(1-$F41)+$S41*(1-$G41))*((1+Inputs!$D$7)^AS$2))))))</f>
        <v>291.04932106234736</v>
      </c>
      <c r="AT41" s="88">
        <f>$E41*IF(AT$2&gt;Inputs!$D$5,0,IF(AT$2&gt;VLOOKUP($H41,Lists!$P$3:$Q$7,2),IF($N41=Lists!$K$3,IF($L41&lt;1,(($U41/$L41)*((1+Inputs!$D$7)^AT$2)),((INT(AT$2/$L41)-INT((AT$2-1)/$L41))*$U41*((1+Inputs!$D$7)^AT$2))),(_xlfn.WEIBULL.DIST(AT$2,$M41,$L41,FALSE)*$U41*((1+Inputs!$D$7)^AT$2))),IF($N41=Lists!$K$3,IF($L41&lt;1,((($T41*(1-$F41)+$S41*(1-$G41))/$L41)*((1+Inputs!$D$7)^AT$2)),((INT(AT$2/$L41)-INT((AT$2-1)/$L41))*($T41*(1-$F41)+$S41*(1-$G41))*((1+Inputs!$D$7)^AT$2))),((_xlfn.WEIBULL.DIST(AT$2,$M41,$L41,FALSE)*($T41*(1-$F41)+$S41*(1-$G41))*((1+Inputs!$D$7)^AT$2))))))</f>
        <v>282.39177173896945</v>
      </c>
      <c r="AU41" s="88">
        <f>$E41*IF(AU$2&gt;Inputs!$D$5,0,IF(AU$2&gt;VLOOKUP($H41,Lists!$P$3:$Q$7,2),IF($N41=Lists!$K$3,IF($L41&lt;1,(($U41/$L41)*((1+Inputs!$D$7)^AU$2)),((INT(AU$2/$L41)-INT((AU$2-1)/$L41))*$U41*((1+Inputs!$D$7)^AU$2))),(_xlfn.WEIBULL.DIST(AU$2,$M41,$L41,FALSE)*$U41*((1+Inputs!$D$7)^AU$2))),IF($N41=Lists!$K$3,IF($L41&lt;1,((($T41*(1-$F41)+$S41*(1-$G41))/$L41)*((1+Inputs!$D$7)^AU$2)),((INT(AU$2/$L41)-INT((AU$2-1)/$L41))*($T41*(1-$F41)+$S41*(1-$G41))*((1+Inputs!$D$7)^AU$2))),((_xlfn.WEIBULL.DIST(AU$2,$M41,$L41,FALSE)*($T41*(1-$F41)+$S41*(1-$G41))*((1+Inputs!$D$7)^AU$2))))))</f>
        <v>273.99174976529684</v>
      </c>
      <c r="AV41" s="88">
        <f>$E41*IF(AV$2&gt;Inputs!$D$5,0,IF(AV$2&gt;VLOOKUP($H41,Lists!$P$3:$Q$7,2),IF($N41=Lists!$K$3,IF($L41&lt;1,(($U41/$L41)*((1+Inputs!$D$7)^AV$2)),((INT(AV$2/$L41)-INT((AV$2-1)/$L41))*$U41*((1+Inputs!$D$7)^AV$2))),(_xlfn.WEIBULL.DIST(AV$2,$M41,$L41,FALSE)*$U41*((1+Inputs!$D$7)^AV$2))),IF($N41=Lists!$K$3,IF($L41&lt;1,((($T41*(1-$F41)+$S41*(1-$G41))/$L41)*((1+Inputs!$D$7)^AV$2)),((INT(AV$2/$L41)-INT((AV$2-1)/$L41))*($T41*(1-$F41)+$S41*(1-$G41))*((1+Inputs!$D$7)^AV$2))),((_xlfn.WEIBULL.DIST(AV$2,$M41,$L41,FALSE)*($T41*(1-$F41)+$S41*(1-$G41))*((1+Inputs!$D$7)^AV$2))))))</f>
        <v>265.84159473613073</v>
      </c>
      <c r="AW41" s="88">
        <f>$E41*IF(AW$2&gt;Inputs!$D$5,0,IF(AW$2&gt;VLOOKUP($H41,Lists!$P$3:$Q$7,2),IF($N41=Lists!$K$3,IF($L41&lt;1,(($U41/$L41)*((1+Inputs!$D$7)^AW$2)),((INT(AW$2/$L41)-INT((AW$2-1)/$L41))*$U41*((1+Inputs!$D$7)^AW$2))),(_xlfn.WEIBULL.DIST(AW$2,$M41,$L41,FALSE)*$U41*((1+Inputs!$D$7)^AW$2))),IF($N41=Lists!$K$3,IF($L41&lt;1,((($T41*(1-$F41)+$S41*(1-$G41))/$L41)*((1+Inputs!$D$7)^AW$2)),((INT(AW$2/$L41)-INT((AW$2-1)/$L41))*($T41*(1-$F41)+$S41*(1-$G41))*((1+Inputs!$D$7)^AW$2))),((_xlfn.WEIBULL.DIST(AW$2,$M41,$L41,FALSE)*($T41*(1-$F41)+$S41*(1-$G41))*((1+Inputs!$D$7)^AW$2))))))</f>
        <v>257.93387411258561</v>
      </c>
      <c r="AX41" s="88">
        <f>$E41*IF(AX$2&gt;Inputs!$D$5,0,IF(AX$2&gt;VLOOKUP($H41,Lists!$P$3:$Q$7,2),IF($N41=Lists!$K$3,IF($L41&lt;1,(($U41/$L41)*((1+Inputs!$D$7)^AX$2)),((INT(AX$2/$L41)-INT((AX$2-1)/$L41))*$U41*((1+Inputs!$D$7)^AX$2))),(_xlfn.WEIBULL.DIST(AX$2,$M41,$L41,FALSE)*$U41*((1+Inputs!$D$7)^AX$2))),IF($N41=Lists!$K$3,IF($L41&lt;1,((($T41*(1-$F41)+$S41*(1-$G41))/$L41)*((1+Inputs!$D$7)^AX$2)),((INT(AX$2/$L41)-INT((AX$2-1)/$L41))*($T41*(1-$F41)+$S41*(1-$G41))*((1+Inputs!$D$7)^AX$2))),((_xlfn.WEIBULL.DIST(AX$2,$M41,$L41,FALSE)*($T41*(1-$F41)+$S41*(1-$G41))*((1+Inputs!$D$7)^AX$2))))))</f>
        <v>250.26137644398156</v>
      </c>
      <c r="AY41" s="88">
        <f>$E41*IF(AY$2&gt;Inputs!$D$5,0,IF(AY$2&gt;VLOOKUP($H41,Lists!$P$3:$Q$7,2),IF($N41=Lists!$K$3,IF($L41&lt;1,(($U41/$L41)*((1+Inputs!$D$7)^AY$2)),((INT(AY$2/$L41)-INT((AY$2-1)/$L41))*$U41*((1+Inputs!$D$7)^AY$2))),(_xlfn.WEIBULL.DIST(AY$2,$M41,$L41,FALSE)*$U41*((1+Inputs!$D$7)^AY$2))),IF($N41=Lists!$K$3,IF($L41&lt;1,((($T41*(1-$F41)+$S41*(1-$G41))/$L41)*((1+Inputs!$D$7)^AY$2)),((INT(AY$2/$L41)-INT((AY$2-1)/$L41))*($T41*(1-$F41)+$S41*(1-$G41))*((1+Inputs!$D$7)^AY$2))),((_xlfn.WEIBULL.DIST(AY$2,$M41,$L41,FALSE)*($T41*(1-$F41)+$S41*(1-$G41))*((1+Inputs!$D$7)^AY$2))))))</f>
        <v>242.8171047913564</v>
      </c>
      <c r="AZ41" s="88">
        <f>$E41*IF(AZ$2&gt;Inputs!$D$5,0,IF(AZ$2&gt;VLOOKUP($H41,Lists!$P$3:$Q$7,2),IF($N41=Lists!$K$3,IF($L41&lt;1,(($U41/$L41)*((1+Inputs!$D$7)^AZ$2)),((INT(AZ$2/$L41)-INT((AZ$2-1)/$L41))*$U41*((1+Inputs!$D$7)^AZ$2))),(_xlfn.WEIBULL.DIST(AZ$2,$M41,$L41,FALSE)*$U41*((1+Inputs!$D$7)^AZ$2))),IF($N41=Lists!$K$3,IF($L41&lt;1,((($T41*(1-$F41)+$S41*(1-$G41))/$L41)*((1+Inputs!$D$7)^AZ$2)),((INT(AZ$2/$L41)-INT((AZ$2-1)/$L41))*($T41*(1-$F41)+$S41*(1-$G41))*((1+Inputs!$D$7)^AZ$2))),((_xlfn.WEIBULL.DIST(AZ$2,$M41,$L41,FALSE)*($T41*(1-$F41)+$S41*(1-$G41))*((1+Inputs!$D$7)^AZ$2))))))</f>
        <v>0</v>
      </c>
      <c r="BA41" s="88">
        <f>$E41*IF(BA$2&gt;Inputs!$D$5,0,IF(BA$2&gt;VLOOKUP($H41,Lists!$P$3:$Q$7,2),IF($N41=Lists!$K$3,IF($L41&lt;1,(($U41/$L41)*((1+Inputs!$D$7)^BA$2)),((INT(BA$2/$L41)-INT((BA$2-1)/$L41))*$U41*((1+Inputs!$D$7)^BA$2))),(_xlfn.WEIBULL.DIST(BA$2,$M41,$L41,FALSE)*$U41*((1+Inputs!$D$7)^BA$2))),IF($N41=Lists!$K$3,IF($L41&lt;1,((($T41*(1-$F41)+$S41*(1-$G41))/$L41)*((1+Inputs!$D$7)^BA$2)),((INT(BA$2/$L41)-INT((BA$2-1)/$L41))*($T41*(1-$F41)+$S41*(1-$G41))*((1+Inputs!$D$7)^BA$2))),((_xlfn.WEIBULL.DIST(BA$2,$M41,$L41,FALSE)*($T41*(1-$F41)+$S41*(1-$G41))*((1+Inputs!$D$7)^BA$2))))))</f>
        <v>0</v>
      </c>
      <c r="BB41" s="88">
        <f>$E41*IF(BB$2&gt;Inputs!$D$5,0,IF(BB$2&gt;VLOOKUP($H41,Lists!$P$3:$Q$7,2),IF($N41=Lists!$K$3,IF($L41&lt;1,(($U41/$L41)*((1+Inputs!$D$7)^BB$2)),((INT(BB$2/$L41)-INT((BB$2-1)/$L41))*$U41*((1+Inputs!$D$7)^BB$2))),(_xlfn.WEIBULL.DIST(BB$2,$M41,$L41,FALSE)*$U41*((1+Inputs!$D$7)^BB$2))),IF($N41=Lists!$K$3,IF($L41&lt;1,((($T41*(1-$F41)+$S41*(1-$G41))/$L41)*((1+Inputs!$D$7)^BB$2)),((INT(BB$2/$L41)-INT((BB$2-1)/$L41))*($T41*(1-$F41)+$S41*(1-$G41))*((1+Inputs!$D$7)^BB$2))),((_xlfn.WEIBULL.DIST(BB$2,$M41,$L41,FALSE)*($T41*(1-$F41)+$S41*(1-$G41))*((1+Inputs!$D$7)^BB$2))))))</f>
        <v>0</v>
      </c>
      <c r="BC41" s="88">
        <f>$E41*IF(BC$2&gt;Inputs!$D$5,0,IF(BC$2&gt;VLOOKUP($H41,Lists!$P$3:$Q$7,2),IF($N41=Lists!$K$3,IF($L41&lt;1,(($U41/$L41)*((1+Inputs!$D$7)^BC$2)),((INT(BC$2/$L41)-INT((BC$2-1)/$L41))*$U41*((1+Inputs!$D$7)^BC$2))),(_xlfn.WEIBULL.DIST(BC$2,$M41,$L41,FALSE)*$U41*((1+Inputs!$D$7)^BC$2))),IF($N41=Lists!$K$3,IF($L41&lt;1,((($T41*(1-$F41)+$S41*(1-$G41))/$L41)*((1+Inputs!$D$7)^BC$2)),((INT(BC$2/$L41)-INT((BC$2-1)/$L41))*($T41*(1-$F41)+$S41*(1-$G41))*((1+Inputs!$D$7)^BC$2))),((_xlfn.WEIBULL.DIST(BC$2,$M41,$L41,FALSE)*($T41*(1-$F41)+$S41*(1-$G41))*((1+Inputs!$D$7)^BC$2))))))</f>
        <v>0</v>
      </c>
      <c r="BD41" s="88">
        <f>$E41*IF(BD$2&gt;Inputs!$D$5,0,IF(BD$2&gt;VLOOKUP($H41,Lists!$P$3:$Q$7,2),IF($N41=Lists!$K$3,IF($L41&lt;1,(($U41/$L41)*((1+Inputs!$D$7)^BD$2)),((INT(BD$2/$L41)-INT((BD$2-1)/$L41))*$U41*((1+Inputs!$D$7)^BD$2))),(_xlfn.WEIBULL.DIST(BD$2,$M41,$L41,FALSE)*$U41*((1+Inputs!$D$7)^BD$2))),IF($N41=Lists!$K$3,IF($L41&lt;1,((($T41*(1-$F41)+$S41*(1-$G41))/$L41)*((1+Inputs!$D$7)^BD$2)),((INT(BD$2/$L41)-INT((BD$2-1)/$L41))*($T41*(1-$F41)+$S41*(1-$G41))*((1+Inputs!$D$7)^BD$2))),((_xlfn.WEIBULL.DIST(BD$2,$M41,$L41,FALSE)*($T41*(1-$F41)+$S41*(1-$G41))*((1+Inputs!$D$7)^BD$2))))))</f>
        <v>0</v>
      </c>
      <c r="BE41" s="88">
        <f>$E41*IF(BE$2&gt;Inputs!$D$5,0,IF(BE$2&gt;VLOOKUP($H41,Lists!$P$3:$Q$7,2),IF($N41=Lists!$K$3,IF($L41&lt;1,(($U41/$L41)*((1+Inputs!$D$7)^BE$2)),((INT(BE$2/$L41)-INT((BE$2-1)/$L41))*$U41*((1+Inputs!$D$7)^BE$2))),(_xlfn.WEIBULL.DIST(BE$2,$M41,$L41,FALSE)*$U41*((1+Inputs!$D$7)^BE$2))),IF($N41=Lists!$K$3,IF($L41&lt;1,((($T41*(1-$F41)+$S41*(1-$G41))/$L41)*((1+Inputs!$D$7)^BE$2)),((INT(BE$2/$L41)-INT((BE$2-1)/$L41))*($T41*(1-$F41)+$S41*(1-$G41))*((1+Inputs!$D$7)^BE$2))),((_xlfn.WEIBULL.DIST(BE$2,$M41,$L41,FALSE)*($T41*(1-$F41)+$S41*(1-$G41))*((1+Inputs!$D$7)^BE$2))))))</f>
        <v>0</v>
      </c>
      <c r="BF41" s="88">
        <f>$E41*IF(BF$2&gt;Inputs!$D$5,0,IF(BF$2&gt;VLOOKUP($H41,Lists!$P$3:$Q$7,2),IF($N41=Lists!$K$3,IF($L41&lt;1,(($U41/$L41)*((1+Inputs!$D$7)^BF$2)),((INT(BF$2/$L41)-INT((BF$2-1)/$L41))*$U41*((1+Inputs!$D$7)^BF$2))),(_xlfn.WEIBULL.DIST(BF$2,$M41,$L41,FALSE)*$U41*((1+Inputs!$D$7)^BF$2))),IF($N41=Lists!$K$3,IF($L41&lt;1,((($T41*(1-$F41)+$S41*(1-$G41))/$L41)*((1+Inputs!$D$7)^BF$2)),((INT(BF$2/$L41)-INT((BF$2-1)/$L41))*($T41*(1-$F41)+$S41*(1-$G41))*((1+Inputs!$D$7)^BF$2))),((_xlfn.WEIBULL.DIST(BF$2,$M41,$L41,FALSE)*($T41*(1-$F41)+$S41*(1-$G41))*((1+Inputs!$D$7)^BF$2))))))</f>
        <v>0</v>
      </c>
      <c r="BG41" s="88">
        <f>$E41*IF(BG$2&gt;Inputs!$D$5,0,IF(BG$2&gt;VLOOKUP($H41,Lists!$P$3:$Q$7,2),IF($N41=Lists!$K$3,IF($L41&lt;1,(($U41/$L41)*((1+Inputs!$D$7)^BG$2)),((INT(BG$2/$L41)-INT((BG$2-1)/$L41))*$U41*((1+Inputs!$D$7)^BG$2))),(_xlfn.WEIBULL.DIST(BG$2,$M41,$L41,FALSE)*$U41*((1+Inputs!$D$7)^BG$2))),IF($N41=Lists!$K$3,IF($L41&lt;1,((($T41*(1-$F41)+$S41*(1-$G41))/$L41)*((1+Inputs!$D$7)^BG$2)),((INT(BG$2/$L41)-INT((BG$2-1)/$L41))*($T41*(1-$F41)+$S41*(1-$G41))*((1+Inputs!$D$7)^BG$2))),((_xlfn.WEIBULL.DIST(BG$2,$M41,$L41,FALSE)*($T41*(1-$F41)+$S41*(1-$G41))*((1+Inputs!$D$7)^BG$2))))))</f>
        <v>0</v>
      </c>
      <c r="BH41" s="88">
        <f>$E41*IF(BH$2&gt;Inputs!$D$5,0,IF(BH$2&gt;VLOOKUP($H41,Lists!$P$3:$Q$7,2),IF($N41=Lists!$K$3,IF($L41&lt;1,(($U41/$L41)*((1+Inputs!$D$7)^BH$2)),((INT(BH$2/$L41)-INT((BH$2-1)/$L41))*$U41*((1+Inputs!$D$7)^BH$2))),(_xlfn.WEIBULL.DIST(BH$2,$M41,$L41,FALSE)*$U41*((1+Inputs!$D$7)^BH$2))),IF($N41=Lists!$K$3,IF($L41&lt;1,((($T41*(1-$F41)+$S41*(1-$G41))/$L41)*((1+Inputs!$D$7)^BH$2)),((INT(BH$2/$L41)-INT((BH$2-1)/$L41))*($T41*(1-$F41)+$S41*(1-$G41))*((1+Inputs!$D$7)^BH$2))),((_xlfn.WEIBULL.DIST(BH$2,$M41,$L41,FALSE)*($T41*(1-$F41)+$S41*(1-$G41))*((1+Inputs!$D$7)^BH$2))))))</f>
        <v>0</v>
      </c>
      <c r="BI41" s="88">
        <f>$E41*IF(BI$2&gt;Inputs!$D$5,0,IF(BI$2&gt;VLOOKUP($H41,Lists!$P$3:$Q$7,2),IF($N41=Lists!$K$3,IF($L41&lt;1,(($U41/$L41)*((1+Inputs!$D$7)^BI$2)),((INT(BI$2/$L41)-INT((BI$2-1)/$L41))*$U41*((1+Inputs!$D$7)^BI$2))),(_xlfn.WEIBULL.DIST(BI$2,$M41,$L41,FALSE)*$U41*((1+Inputs!$D$7)^BI$2))),IF($N41=Lists!$K$3,IF($L41&lt;1,((($T41*(1-$F41)+$S41*(1-$G41))/$L41)*((1+Inputs!$D$7)^BI$2)),((INT(BI$2/$L41)-INT((BI$2-1)/$L41))*($T41*(1-$F41)+$S41*(1-$G41))*((1+Inputs!$D$7)^BI$2))),((_xlfn.WEIBULL.DIST(BI$2,$M41,$L41,FALSE)*($T41*(1-$F41)+$S41*(1-$G41))*((1+Inputs!$D$7)^BI$2))))))</f>
        <v>0</v>
      </c>
      <c r="BJ41" s="88">
        <f>$E41*IF(BJ$2&gt;Inputs!$D$5,0,IF(BJ$2&gt;VLOOKUP($H41,Lists!$P$3:$Q$7,2),IF($N41=Lists!$K$3,IF($L41&lt;1,(($U41/$L41)*((1+Inputs!$D$7)^BJ$2)),((INT(BJ$2/$L41)-INT((BJ$2-1)/$L41))*$U41*((1+Inputs!$D$7)^BJ$2))),(_xlfn.WEIBULL.DIST(BJ$2,$M41,$L41,FALSE)*$U41*((1+Inputs!$D$7)^BJ$2))),IF($N41=Lists!$K$3,IF($L41&lt;1,((($T41*(1-$F41)+$S41*(1-$G41))/$L41)*((1+Inputs!$D$7)^BJ$2)),((INT(BJ$2/$L41)-INT((BJ$2-1)/$L41))*($T41*(1-$F41)+$S41*(1-$G41))*((1+Inputs!$D$7)^BJ$2))),((_xlfn.WEIBULL.DIST(BJ$2,$M41,$L41,FALSE)*($T41*(1-$F41)+$S41*(1-$G41))*((1+Inputs!$D$7)^BJ$2))))))</f>
        <v>0</v>
      </c>
      <c r="BK41" s="88">
        <f>$E41*IF(BK$2&gt;Inputs!$D$5,0,IF(BK$2&gt;VLOOKUP($H41,Lists!$P$3:$Q$7,2),IF($N41=Lists!$K$3,IF($L41&lt;1,(($U41/$L41)*((1+Inputs!$D$7)^BK$2)),((INT(BK$2/$L41)-INT((BK$2-1)/$L41))*$U41*((1+Inputs!$D$7)^BK$2))),(_xlfn.WEIBULL.DIST(BK$2,$M41,$L41,FALSE)*$U41*((1+Inputs!$D$7)^BK$2))),IF($N41=Lists!$K$3,IF($L41&lt;1,((($T41*(1-$F41)+$S41*(1-$G41))/$L41)*((1+Inputs!$D$7)^BK$2)),((INT(BK$2/$L41)-INT((BK$2-1)/$L41))*($T41*(1-$F41)+$S41*(1-$G41))*((1+Inputs!$D$7)^BK$2))),((_xlfn.WEIBULL.DIST(BK$2,$M41,$L41,FALSE)*($T41*(1-$F41)+$S41*(1-$G41))*((1+Inputs!$D$7)^BK$2))))))</f>
        <v>0</v>
      </c>
      <c r="BL41" s="88">
        <f>$E41*IF(BL$2&gt;Inputs!$D$5,0,IF(BL$2&gt;VLOOKUP($H41,Lists!$P$3:$Q$7,2),IF($N41=Lists!$K$3,IF($L41&lt;1,(($U41/$L41)*((1+Inputs!$D$7)^BL$2)),((INT(BL$2/$L41)-INT((BL$2-1)/$L41))*$U41*((1+Inputs!$D$7)^BL$2))),(_xlfn.WEIBULL.DIST(BL$2,$M41,$L41,FALSE)*$U41*((1+Inputs!$D$7)^BL$2))),IF($N41=Lists!$K$3,IF($L41&lt;1,((($T41*(1-$F41)+$S41*(1-$G41))/$L41)*((1+Inputs!$D$7)^BL$2)),((INT(BL$2/$L41)-INT((BL$2-1)/$L41))*($T41*(1-$F41)+$S41*(1-$G41))*((1+Inputs!$D$7)^BL$2))),((_xlfn.WEIBULL.DIST(BL$2,$M41,$L41,FALSE)*($T41*(1-$F41)+$S41*(1-$G41))*((1+Inputs!$D$7)^BL$2))))))</f>
        <v>0</v>
      </c>
      <c r="BM41" s="88">
        <f>$E41*IF(BM$2&gt;Inputs!$D$5,0,IF(BM$2&gt;VLOOKUP($H41,Lists!$P$3:$Q$7,2),IF($N41=Lists!$K$3,IF($L41&lt;1,(($U41/$L41)*((1+Inputs!$D$7)^BM$2)),((INT(BM$2/$L41)-INT((BM$2-1)/$L41))*$U41*((1+Inputs!$D$7)^BM$2))),(_xlfn.WEIBULL.DIST(BM$2,$M41,$L41,FALSE)*$U41*((1+Inputs!$D$7)^BM$2))),IF($N41=Lists!$K$3,IF($L41&lt;1,((($T41*(1-$F41)+$S41*(1-$G41))/$L41)*((1+Inputs!$D$7)^BM$2)),((INT(BM$2/$L41)-INT((BM$2-1)/$L41))*($T41*(1-$F41)+$S41*(1-$G41))*((1+Inputs!$D$7)^BM$2))),((_xlfn.WEIBULL.DIST(BM$2,$M41,$L41,FALSE)*($T41*(1-$F41)+$S41*(1-$G41))*((1+Inputs!$D$7)^BM$2))))))</f>
        <v>0</v>
      </c>
      <c r="BN41" s="88">
        <f>$E41*IF(BN$2&gt;Inputs!$D$5,0,IF(BN$2&gt;VLOOKUP($H41,Lists!$P$3:$Q$7,2),IF($N41=Lists!$K$3,IF($L41&lt;1,(($U41/$L41)*((1+Inputs!$D$7)^BN$2)),((INT(BN$2/$L41)-INT((BN$2-1)/$L41))*$U41*((1+Inputs!$D$7)^BN$2))),(_xlfn.WEIBULL.DIST(BN$2,$M41,$L41,FALSE)*$U41*((1+Inputs!$D$7)^BN$2))),IF($N41=Lists!$K$3,IF($L41&lt;1,((($T41*(1-$F41)+$S41*(1-$G41))/$L41)*((1+Inputs!$D$7)^BN$2)),((INT(BN$2/$L41)-INT((BN$2-1)/$L41))*($T41*(1-$F41)+$S41*(1-$G41))*((1+Inputs!$D$7)^BN$2))),((_xlfn.WEIBULL.DIST(BN$2,$M41,$L41,FALSE)*($T41*(1-$F41)+$S41*(1-$G41))*((1+Inputs!$D$7)^BN$2))))))</f>
        <v>0</v>
      </c>
      <c r="BO41" s="64">
        <f>NPV(Inputs!$D$6,BQ41:DD41)</f>
        <v>2357.2770027252468</v>
      </c>
      <c r="BP41" s="67">
        <f t="shared" si="13"/>
        <v>1.111806918417271E-3</v>
      </c>
      <c r="BQ41" s="88">
        <f>MAX(AA41,($E41*IF(BQ$2&gt;Inputs!$D$5,0,IF(BQ$2&gt;VLOOKUP($H41,Lists!$P$3:$Q$7,2),IF($N41=Lists!$K$3,IF($L41&lt;1,(($U41/$L41)*((1+Inputs!$D$7)^BQ$2)),((INT(BQ$2/$L41)-INT((BQ$2-1)/$L41))*$U41*((1+Inputs!$D$7)^BQ$2))),(Inputs!$D$8^((1-_xlfn.WEIBULL.DIST(BQ$2,$M41,$L41,FALSE))/_xlfn.WEIBULL.DIST(BQ$2,$M41,$L41,FALSE))*$U41*((1+Inputs!$D$7)^BQ$2))),IF($N41=Lists!$K$3,IF($L41&lt;1,((($T41*(1-$F41)+$S41*(1-$G41))/$L41)*((1+Inputs!$D$7)^BQ$2)),((INT(BQ$2/$L41)-INT((BQ$2-1)/$L41))*($T41*(1-$F41)+$S41*(1-$G41))*((1+Inputs!$D$7)^BQ$2))),((Inputs!$D$8^((1-_xlfn.WEIBULL.DIST(BQ$2,$M41,$L41,FALSE))/_xlfn.WEIBULL.DIST(BQ$2,$M41,$L41,FALSE))*($T41*(1-$F41)+$S41*(1-$G41))*((1+Inputs!$D$7)^BQ$2))))))))</f>
        <v>63.71209577784137</v>
      </c>
      <c r="BR41" s="88">
        <f>MAX(AB41,($E41*IF(BR$2&gt;Inputs!$D$5,0,IF(BR$2&gt;VLOOKUP($H41,Lists!$P$3:$Q$7,2),IF($N41=Lists!$K$3,IF($L41&lt;1,(($U41/$L41)*((1+Inputs!$D$7)^BR$2)),((INT(BR$2/$L41)-INT((BR$2-1)/$L41))*$U41*((1+Inputs!$D$7)^BR$2))),(Inputs!$D$8^((1-_xlfn.WEIBULL.DIST(BR$2,$M41,$L41,FALSE))/_xlfn.WEIBULL.DIST(BR$2,$M41,$L41,FALSE))*$U41*((1+Inputs!$D$7)^BR$2))),IF($N41=Lists!$K$3,IF($L41&lt;1,((($T41*(1-$F41)+$S41*(1-$G41))/$L41)*((1+Inputs!$D$7)^BR$2)),((INT(BR$2/$L41)-INT((BR$2-1)/$L41))*($T41*(1-$F41)+$S41*(1-$G41))*((1+Inputs!$D$7)^BR$2))),((Inputs!$D$8^((1-_xlfn.WEIBULL.DIST(BR$2,$M41,$L41,FALSE))/_xlfn.WEIBULL.DIST(BR$2,$M41,$L41,FALSE))*($T41*(1-$F41)+$S41*(1-$G41))*((1+Inputs!$D$7)^BR$2))))))))</f>
        <v>59.399866647445343</v>
      </c>
      <c r="BS41" s="88">
        <f>MAX(AC41,($E41*IF(BS$2&gt;Inputs!$D$5,0,IF(BS$2&gt;VLOOKUP($H41,Lists!$P$3:$Q$7,2),IF($N41=Lists!$K$3,IF($L41&lt;1,(($U41/$L41)*((1+Inputs!$D$7)^BS$2)),((INT(BS$2/$L41)-INT((BS$2-1)/$L41))*$U41*((1+Inputs!$D$7)^BS$2))),(Inputs!$D$8^((1-_xlfn.WEIBULL.DIST(BS$2,$M41,$L41,FALSE))/_xlfn.WEIBULL.DIST(BS$2,$M41,$L41,FALSE))*$U41*((1+Inputs!$D$7)^BS$2))),IF($N41=Lists!$K$3,IF($L41&lt;1,((($T41*(1-$F41)+$S41*(1-$G41))/$L41)*((1+Inputs!$D$7)^BS$2)),((INT(BS$2/$L41)-INT((BS$2-1)/$L41))*($T41*(1-$F41)+$S41*(1-$G41))*((1+Inputs!$D$7)^BS$2))),((Inputs!$D$8^((1-_xlfn.WEIBULL.DIST(BS$2,$M41,$L41,FALSE))/_xlfn.WEIBULL.DIST(BS$2,$M41,$L41,FALSE))*($T41*(1-$F41)+$S41*(1-$G41))*((1+Inputs!$D$7)^BS$2))))))))</f>
        <v>55.124872736107534</v>
      </c>
      <c r="BT41" s="88">
        <f>MAX(AD41,($E41*IF(BT$2&gt;Inputs!$D$5,0,IF(BT$2&gt;VLOOKUP($H41,Lists!$P$3:$Q$7,2),IF($N41=Lists!$K$3,IF($L41&lt;1,(($U41/$L41)*((1+Inputs!$D$7)^BT$2)),((INT(BT$2/$L41)-INT((BT$2-1)/$L41))*$U41*((1+Inputs!$D$7)^BT$2))),(Inputs!$D$8^((1-_xlfn.WEIBULL.DIST(BT$2,$M41,$L41,FALSE))/_xlfn.WEIBULL.DIST(BT$2,$M41,$L41,FALSE))*$U41*((1+Inputs!$D$7)^BT$2))),IF($N41=Lists!$K$3,IF($L41&lt;1,((($T41*(1-$F41)+$S41*(1-$G41))/$L41)*((1+Inputs!$D$7)^BT$2)),((INT(BT$2/$L41)-INT((BT$2-1)/$L41))*($T41*(1-$F41)+$S41*(1-$G41))*((1+Inputs!$D$7)^BT$2))),((Inputs!$D$8^((1-_xlfn.WEIBULL.DIST(BT$2,$M41,$L41,FALSE))/_xlfn.WEIBULL.DIST(BT$2,$M41,$L41,FALSE))*($T41*(1-$F41)+$S41*(1-$G41))*((1+Inputs!$D$7)^BT$2))))))))</f>
        <v>50.9103009465884</v>
      </c>
      <c r="BU41" s="88">
        <f>MAX(AE41,($E41*IF(BU$2&gt;Inputs!$D$5,0,IF(BU$2&gt;VLOOKUP($H41,Lists!$P$3:$Q$7,2),IF($N41=Lists!$K$3,IF($L41&lt;1,(($U41/$L41)*((1+Inputs!$D$7)^BU$2)),((INT(BU$2/$L41)-INT((BU$2-1)/$L41))*$U41*((1+Inputs!$D$7)^BU$2))),(Inputs!$D$8^((1-_xlfn.WEIBULL.DIST(BU$2,$M41,$L41,FALSE))/_xlfn.WEIBULL.DIST(BU$2,$M41,$L41,FALSE))*$U41*((1+Inputs!$D$7)^BU$2))),IF($N41=Lists!$K$3,IF($L41&lt;1,((($T41*(1-$F41)+$S41*(1-$G41))/$L41)*((1+Inputs!$D$7)^BU$2)),((INT(BU$2/$L41)-INT((BU$2-1)/$L41))*($T41*(1-$F41)+$S41*(1-$G41))*((1+Inputs!$D$7)^BU$2))),((Inputs!$D$8^((1-_xlfn.WEIBULL.DIST(BU$2,$M41,$L41,FALSE))/_xlfn.WEIBULL.DIST(BU$2,$M41,$L41,FALSE))*($T41*(1-$F41)+$S41*(1-$G41))*((1+Inputs!$D$7)^BU$2))))))))</f>
        <v>46.779091770476576</v>
      </c>
      <c r="BV41" s="88">
        <f>MAX(AF41,($E41*IF(BV$2&gt;Inputs!$D$5,0,IF(BV$2&gt;VLOOKUP($H41,Lists!$P$3:$Q$7,2),IF($N41=Lists!$K$3,IF($L41&lt;1,(($U41/$L41)*((1+Inputs!$D$7)^BV$2)),((INT(BV$2/$L41)-INT((BV$2-1)/$L41))*$U41*((1+Inputs!$D$7)^BV$2))),(Inputs!$D$8^((1-_xlfn.WEIBULL.DIST(BV$2,$M41,$L41,FALSE))/_xlfn.WEIBULL.DIST(BV$2,$M41,$L41,FALSE))*$U41*((1+Inputs!$D$7)^BV$2))),IF($N41=Lists!$K$3,IF($L41&lt;1,((($T41*(1-$F41)+$S41*(1-$G41))/$L41)*((1+Inputs!$D$7)^BV$2)),((INT(BV$2/$L41)-INT((BV$2-1)/$L41))*($T41*(1-$F41)+$S41*(1-$G41))*((1+Inputs!$D$7)^BV$2))),((Inputs!$D$8^((1-_xlfn.WEIBULL.DIST(BV$2,$M41,$L41,FALSE))/_xlfn.WEIBULL.DIST(BV$2,$M41,$L41,FALSE))*($T41*(1-$F41)+$S41*(1-$G41))*((1+Inputs!$D$7)^BV$2))))))))</f>
        <v>42.753586742363382</v>
      </c>
      <c r="BW41" s="88">
        <f>MAX(AG41,($E41*IF(BW$2&gt;Inputs!$D$5,0,IF(BW$2&gt;VLOOKUP($H41,Lists!$P$3:$Q$7,2),IF($N41=Lists!$K$3,IF($L41&lt;1,(($U41/$L41)*((1+Inputs!$D$7)^BW$2)),((INT(BW$2/$L41)-INT((BW$2-1)/$L41))*$U41*((1+Inputs!$D$7)^BW$2))),(Inputs!$D$8^((1-_xlfn.WEIBULL.DIST(BW$2,$M41,$L41,FALSE))/_xlfn.WEIBULL.DIST(BW$2,$M41,$L41,FALSE))*$U41*((1+Inputs!$D$7)^BW$2))),IF($N41=Lists!$K$3,IF($L41&lt;1,((($T41*(1-$F41)+$S41*(1-$G41))/$L41)*((1+Inputs!$D$7)^BW$2)),((INT(BW$2/$L41)-INT((BW$2-1)/$L41))*($T41*(1-$F41)+$S41*(1-$G41))*((1+Inputs!$D$7)^BW$2))),((Inputs!$D$8^((1-_xlfn.WEIBULL.DIST(BW$2,$M41,$L41,FALSE))/_xlfn.WEIBULL.DIST(BW$2,$M41,$L41,FALSE))*($T41*(1-$F41)+$S41*(1-$G41))*((1+Inputs!$D$7)^BW$2))))))))</f>
        <v>38.855164253299677</v>
      </c>
      <c r="BX41" s="88">
        <f>MAX(AH41,($E41*IF(BX$2&gt;Inputs!$D$5,0,IF(BX$2&gt;VLOOKUP($H41,Lists!$P$3:$Q$7,2),IF($N41=Lists!$K$3,IF($L41&lt;1,(($U41/$L41)*((1+Inputs!$D$7)^BX$2)),((INT(BX$2/$L41)-INT((BX$2-1)/$L41))*$U41*((1+Inputs!$D$7)^BX$2))),(Inputs!$D$8^((1-_xlfn.WEIBULL.DIST(BX$2,$M41,$L41,FALSE))/_xlfn.WEIBULL.DIST(BX$2,$M41,$L41,FALSE))*$U41*((1+Inputs!$D$7)^BX$2))),IF($N41=Lists!$K$3,IF($L41&lt;1,((($T41*(1-$F41)+$S41*(1-$G41))/$L41)*((1+Inputs!$D$7)^BX$2)),((INT(BX$2/$L41)-INT((BX$2-1)/$L41))*($T41*(1-$F41)+$S41*(1-$G41))*((1+Inputs!$D$7)^BX$2))),((Inputs!$D$8^((1-_xlfn.WEIBULL.DIST(BX$2,$M41,$L41,FALSE))/_xlfn.WEIBULL.DIST(BX$2,$M41,$L41,FALSE))*($T41*(1-$F41)+$S41*(1-$G41))*((1+Inputs!$D$7)^BX$2))))))))</f>
        <v>35.103872790597485</v>
      </c>
      <c r="BY41" s="88">
        <f>MAX(AI41,($E41*IF(BY$2&gt;Inputs!$D$5,0,IF(BY$2&gt;VLOOKUP($H41,Lists!$P$3:$Q$7,2),IF($N41=Lists!$K$3,IF($L41&lt;1,(($U41/$L41)*((1+Inputs!$D$7)^BY$2)),((INT(BY$2/$L41)-INT((BY$2-1)/$L41))*$U41*((1+Inputs!$D$7)^BY$2))),(Inputs!$D$8^((1-_xlfn.WEIBULL.DIST(BY$2,$M41,$L41,FALSE))/_xlfn.WEIBULL.DIST(BY$2,$M41,$L41,FALSE))*$U41*((1+Inputs!$D$7)^BY$2))),IF($N41=Lists!$K$3,IF($L41&lt;1,((($T41*(1-$F41)+$S41*(1-$G41))/$L41)*((1+Inputs!$D$7)^BY$2)),((INT(BY$2/$L41)-INT((BY$2-1)/$L41))*($T41*(1-$F41)+$S41*(1-$G41))*((1+Inputs!$D$7)^BY$2))),((Inputs!$D$8^((1-_xlfn.WEIBULL.DIST(BY$2,$M41,$L41,FALSE))/_xlfn.WEIBULL.DIST(BY$2,$M41,$L41,FALSE))*($T41*(1-$F41)+$S41*(1-$G41))*((1+Inputs!$D$7)^BY$2))))))))</f>
        <v>31.518071873258709</v>
      </c>
      <c r="BZ41" s="88">
        <f>MAX(AJ41,($E41*IF(BZ$2&gt;Inputs!$D$5,0,IF(BZ$2&gt;VLOOKUP($H41,Lists!$P$3:$Q$7,2),IF($N41=Lists!$K$3,IF($L41&lt;1,(($U41/$L41)*((1+Inputs!$D$7)^BZ$2)),((INT(BZ$2/$L41)-INT((BZ$2-1)/$L41))*$U41*((1+Inputs!$D$7)^BZ$2))),(Inputs!$D$8^((1-_xlfn.WEIBULL.DIST(BZ$2,$M41,$L41,FALSE))/_xlfn.WEIBULL.DIST(BZ$2,$M41,$L41,FALSE))*$U41*((1+Inputs!$D$7)^BZ$2))),IF($N41=Lists!$K$3,IF($L41&lt;1,((($T41*(1-$F41)+$S41*(1-$G41))/$L41)*((1+Inputs!$D$7)^BZ$2)),((INT(BZ$2/$L41)-INT((BZ$2-1)/$L41))*($T41*(1-$F41)+$S41*(1-$G41))*((1+Inputs!$D$7)^BZ$2))),((Inputs!$D$8^((1-_xlfn.WEIBULL.DIST(BZ$2,$M41,$L41,FALSE))/_xlfn.WEIBULL.DIST(BZ$2,$M41,$L41,FALSE))*($T41*(1-$F41)+$S41*(1-$G41))*((1+Inputs!$D$7)^BZ$2))))))))</f>
        <v>28.114091876957563</v>
      </c>
      <c r="CA41" s="88">
        <f>MAX(AK41,($E41*IF(CA$2&gt;Inputs!$D$5,0,IF(CA$2&gt;VLOOKUP($H41,Lists!$P$3:$Q$7,2),IF($N41=Lists!$K$3,IF($L41&lt;1,(($U41/$L41)*((1+Inputs!$D$7)^CA$2)),((INT(CA$2/$L41)-INT((CA$2-1)/$L41))*$U41*((1+Inputs!$D$7)^CA$2))),(Inputs!$D$8^((1-_xlfn.WEIBULL.DIST(CA$2,$M41,$L41,FALSE))/_xlfn.WEIBULL.DIST(CA$2,$M41,$L41,FALSE))*$U41*((1+Inputs!$D$7)^CA$2))),IF($N41=Lists!$K$3,IF($L41&lt;1,((($T41*(1-$F41)+$S41*(1-$G41))/$L41)*((1+Inputs!$D$7)^CA$2)),((INT(CA$2/$L41)-INT((CA$2-1)/$L41))*($T41*(1-$F41)+$S41*(1-$G41))*((1+Inputs!$D$7)^CA$2))),((Inputs!$D$8^((1-_xlfn.WEIBULL.DIST(CA$2,$M41,$L41,FALSE))/_xlfn.WEIBULL.DIST(CA$2,$M41,$L41,FALSE))*($T41*(1-$F41)+$S41*(1-$G41))*((1+Inputs!$D$7)^CA$2))))))))</f>
        <v>775.69321347580342</v>
      </c>
      <c r="CB41" s="88">
        <f>MAX(AL41,($E41*IF(CB$2&gt;Inputs!$D$5,0,IF(CB$2&gt;VLOOKUP($H41,Lists!$P$3:$Q$7,2),IF($N41=Lists!$K$3,IF($L41&lt;1,(($U41/$L41)*((1+Inputs!$D$7)^CB$2)),((INT(CB$2/$L41)-INT((CB$2-1)/$L41))*$U41*((1+Inputs!$D$7)^CB$2))),(Inputs!$D$8^((1-_xlfn.WEIBULL.DIST(CB$2,$M41,$L41,FALSE))/_xlfn.WEIBULL.DIST(CB$2,$M41,$L41,FALSE))*$U41*((1+Inputs!$D$7)^CB$2))),IF($N41=Lists!$K$3,IF($L41&lt;1,((($T41*(1-$F41)+$S41*(1-$G41))/$L41)*((1+Inputs!$D$7)^CB$2)),((INT(CB$2/$L41)-INT((CB$2-1)/$L41))*($T41*(1-$F41)+$S41*(1-$G41))*((1+Inputs!$D$7)^CB$2))),((Inputs!$D$8^((1-_xlfn.WEIBULL.DIST(CB$2,$M41,$L41,FALSE))/_xlfn.WEIBULL.DIST(CB$2,$M41,$L41,FALSE))*($T41*(1-$F41)+$S41*(1-$G41))*((1+Inputs!$D$7)^CB$2))))))))</f>
        <v>682.22825549373329</v>
      </c>
      <c r="CC41" s="88">
        <f>MAX(AM41,($E41*IF(CC$2&gt;Inputs!$D$5,0,IF(CC$2&gt;VLOOKUP($H41,Lists!$P$3:$Q$7,2),IF($N41=Lists!$K$3,IF($L41&lt;1,(($U41/$L41)*((1+Inputs!$D$7)^CC$2)),((INT(CC$2/$L41)-INT((CC$2-1)/$L41))*$U41*((1+Inputs!$D$7)^CC$2))),(Inputs!$D$8^((1-_xlfn.WEIBULL.DIST(CC$2,$M41,$L41,FALSE))/_xlfn.WEIBULL.DIST(CC$2,$M41,$L41,FALSE))*$U41*((1+Inputs!$D$7)^CC$2))),IF($N41=Lists!$K$3,IF($L41&lt;1,((($T41*(1-$F41)+$S41*(1-$G41))/$L41)*((1+Inputs!$D$7)^CC$2)),((INT(CC$2/$L41)-INT((CC$2-1)/$L41))*($T41*(1-$F41)+$S41*(1-$G41))*((1+Inputs!$D$7)^CC$2))),((Inputs!$D$8^((1-_xlfn.WEIBULL.DIST(CC$2,$M41,$L41,FALSE))/_xlfn.WEIBULL.DIST(CC$2,$M41,$L41,FALSE))*($T41*(1-$F41)+$S41*(1-$G41))*((1+Inputs!$D$7)^CC$2))))))))</f>
        <v>595.48329329422518</v>
      </c>
      <c r="CD41" s="88">
        <f>MAX(AN41,($E41*IF(CD$2&gt;Inputs!$D$5,0,IF(CD$2&gt;VLOOKUP($H41,Lists!$P$3:$Q$7,2),IF($N41=Lists!$K$3,IF($L41&lt;1,(($U41/$L41)*((1+Inputs!$D$7)^CD$2)),((INT(CD$2/$L41)-INT((CD$2-1)/$L41))*$U41*((1+Inputs!$D$7)^CD$2))),(Inputs!$D$8^((1-_xlfn.WEIBULL.DIST(CD$2,$M41,$L41,FALSE))/_xlfn.WEIBULL.DIST(CD$2,$M41,$L41,FALSE))*$U41*((1+Inputs!$D$7)^CD$2))),IF($N41=Lists!$K$3,IF($L41&lt;1,((($T41*(1-$F41)+$S41*(1-$G41))/$L41)*((1+Inputs!$D$7)^CD$2)),((INT(CD$2/$L41)-INT((CD$2-1)/$L41))*($T41*(1-$F41)+$S41*(1-$G41))*((1+Inputs!$D$7)^CD$2))),((Inputs!$D$8^((1-_xlfn.WEIBULL.DIST(CD$2,$M41,$L41,FALSE))/_xlfn.WEIBULL.DIST(CD$2,$M41,$L41,FALSE))*($T41*(1-$F41)+$S41*(1-$G41))*((1+Inputs!$D$7)^CD$2))))))))</f>
        <v>515.63269051903603</v>
      </c>
      <c r="CE41" s="88">
        <f>MAX(AO41,($E41*IF(CE$2&gt;Inputs!$D$5,0,IF(CE$2&gt;VLOOKUP($H41,Lists!$P$3:$Q$7,2),IF($N41=Lists!$K$3,IF($L41&lt;1,(($U41/$L41)*((1+Inputs!$D$7)^CE$2)),((INT(CE$2/$L41)-INT((CE$2-1)/$L41))*$U41*((1+Inputs!$D$7)^CE$2))),(Inputs!$D$8^((1-_xlfn.WEIBULL.DIST(CE$2,$M41,$L41,FALSE))/_xlfn.WEIBULL.DIST(CE$2,$M41,$L41,FALSE))*$U41*((1+Inputs!$D$7)^CE$2))),IF($N41=Lists!$K$3,IF($L41&lt;1,((($T41*(1-$F41)+$S41*(1-$G41))/$L41)*((1+Inputs!$D$7)^CE$2)),((INT(CE$2/$L41)-INT((CE$2-1)/$L41))*($T41*(1-$F41)+$S41*(1-$G41))*((1+Inputs!$D$7)^CE$2))),((Inputs!$D$8^((1-_xlfn.WEIBULL.DIST(CE$2,$M41,$L41,FALSE))/_xlfn.WEIBULL.DIST(CE$2,$M41,$L41,FALSE))*($T41*(1-$F41)+$S41*(1-$G41))*((1+Inputs!$D$7)^CE$2))))))))</f>
        <v>442.75597161269121</v>
      </c>
      <c r="CF41" s="88">
        <f>MAX(AP41,($E41*IF(CF$2&gt;Inputs!$D$5,0,IF(CF$2&gt;VLOOKUP($H41,Lists!$P$3:$Q$7,2),IF($N41=Lists!$K$3,IF($L41&lt;1,(($U41/$L41)*((1+Inputs!$D$7)^CF$2)),((INT(CF$2/$L41)-INT((CF$2-1)/$L41))*$U41*((1+Inputs!$D$7)^CF$2))),(Inputs!$D$8^((1-_xlfn.WEIBULL.DIST(CF$2,$M41,$L41,FALSE))/_xlfn.WEIBULL.DIST(CF$2,$M41,$L41,FALSE))*$U41*((1+Inputs!$D$7)^CF$2))),IF($N41=Lists!$K$3,IF($L41&lt;1,((($T41*(1-$F41)+$S41*(1-$G41))/$L41)*((1+Inputs!$D$7)^CF$2)),((INT(CF$2/$L41)-INT((CF$2-1)/$L41))*($T41*(1-$F41)+$S41*(1-$G41))*((1+Inputs!$D$7)^CF$2))),((Inputs!$D$8^((1-_xlfn.WEIBULL.DIST(CF$2,$M41,$L41,FALSE))/_xlfn.WEIBULL.DIST(CF$2,$M41,$L41,FALSE))*($T41*(1-$F41)+$S41*(1-$G41))*((1+Inputs!$D$7)^CF$2))))))))</f>
        <v>376.83788211712704</v>
      </c>
      <c r="CG41" s="88">
        <f>MAX(AQ41,($E41*IF(CG$2&gt;Inputs!$D$5,0,IF(CG$2&gt;VLOOKUP($H41,Lists!$P$3:$Q$7,2),IF($N41=Lists!$K$3,IF($L41&lt;1,(($U41/$L41)*((1+Inputs!$D$7)^CG$2)),((INT(CG$2/$L41)-INT((CG$2-1)/$L41))*$U41*((1+Inputs!$D$7)^CG$2))),(Inputs!$D$8^((1-_xlfn.WEIBULL.DIST(CG$2,$M41,$L41,FALSE))/_xlfn.WEIBULL.DIST(CG$2,$M41,$L41,FALSE))*$U41*((1+Inputs!$D$7)^CG$2))),IF($N41=Lists!$K$3,IF($L41&lt;1,((($T41*(1-$F41)+$S41*(1-$G41))/$L41)*((1+Inputs!$D$7)^CG$2)),((INT(CG$2/$L41)-INT((CG$2-1)/$L41))*($T41*(1-$F41)+$S41*(1-$G41))*((1+Inputs!$D$7)^CG$2))),((Inputs!$D$8^((1-_xlfn.WEIBULL.DIST(CG$2,$M41,$L41,FALSE))/_xlfn.WEIBULL.DIST(CG$2,$M41,$L41,FALSE))*($T41*(1-$F41)+$S41*(1-$G41))*((1+Inputs!$D$7)^CG$2))))))))</f>
        <v>317.77099811340946</v>
      </c>
      <c r="CH41" s="88">
        <f>MAX(AR41,($E41*IF(CH$2&gt;Inputs!$D$5,0,IF(CH$2&gt;VLOOKUP($H41,Lists!$P$3:$Q$7,2),IF($N41=Lists!$K$3,IF($L41&lt;1,(($U41/$L41)*((1+Inputs!$D$7)^CH$2)),((INT(CH$2/$L41)-INT((CH$2-1)/$L41))*$U41*((1+Inputs!$D$7)^CH$2))),(Inputs!$D$8^((1-_xlfn.WEIBULL.DIST(CH$2,$M41,$L41,FALSE))/_xlfn.WEIBULL.DIST(CH$2,$M41,$L41,FALSE))*$U41*((1+Inputs!$D$7)^CH$2))),IF($N41=Lists!$K$3,IF($L41&lt;1,((($T41*(1-$F41)+$S41*(1-$G41))/$L41)*((1+Inputs!$D$7)^CH$2)),((INT(CH$2/$L41)-INT((CH$2-1)/$L41))*($T41*(1-$F41)+$S41*(1-$G41))*((1+Inputs!$D$7)^CH$2))),((Inputs!$D$8^((1-_xlfn.WEIBULL.DIST(CH$2,$M41,$L41,FALSE))/_xlfn.WEIBULL.DIST(CH$2,$M41,$L41,FALSE))*($T41*(1-$F41)+$S41*(1-$G41))*((1+Inputs!$D$7)^CH$2))))))))</f>
        <v>299.97229299285425</v>
      </c>
      <c r="CI41" s="88">
        <f>MAX(AS41,($E41*IF(CI$2&gt;Inputs!$D$5,0,IF(CI$2&gt;VLOOKUP($H41,Lists!$P$3:$Q$7,2),IF($N41=Lists!$K$3,IF($L41&lt;1,(($U41/$L41)*((1+Inputs!$D$7)^CI$2)),((INT(CI$2/$L41)-INT((CI$2-1)/$L41))*$U41*((1+Inputs!$D$7)^CI$2))),(Inputs!$D$8^((1-_xlfn.WEIBULL.DIST(CI$2,$M41,$L41,FALSE))/_xlfn.WEIBULL.DIST(CI$2,$M41,$L41,FALSE))*$U41*((1+Inputs!$D$7)^CI$2))),IF($N41=Lists!$K$3,IF($L41&lt;1,((($T41*(1-$F41)+$S41*(1-$G41))/$L41)*((1+Inputs!$D$7)^CI$2)),((INT(CI$2/$L41)-INT((CI$2-1)/$L41))*($T41*(1-$F41)+$S41*(1-$G41))*((1+Inputs!$D$7)^CI$2))),((Inputs!$D$8^((1-_xlfn.WEIBULL.DIST(CI$2,$M41,$L41,FALSE))/_xlfn.WEIBULL.DIST(CI$2,$M41,$L41,FALSE))*($T41*(1-$F41)+$S41*(1-$G41))*((1+Inputs!$D$7)^CI$2))))))))</f>
        <v>291.04932106234736</v>
      </c>
      <c r="CJ41" s="88">
        <f>MAX(AT41,($E41*IF(CJ$2&gt;Inputs!$D$5,0,IF(CJ$2&gt;VLOOKUP($H41,Lists!$P$3:$Q$7,2),IF($N41=Lists!$K$3,IF($L41&lt;1,(($U41/$L41)*((1+Inputs!$D$7)^CJ$2)),((INT(CJ$2/$L41)-INT((CJ$2-1)/$L41))*$U41*((1+Inputs!$D$7)^CJ$2))),(Inputs!$D$8^((1-_xlfn.WEIBULL.DIST(CJ$2,$M41,$L41,FALSE))/_xlfn.WEIBULL.DIST(CJ$2,$M41,$L41,FALSE))*$U41*((1+Inputs!$D$7)^CJ$2))),IF($N41=Lists!$K$3,IF($L41&lt;1,((($T41*(1-$F41)+$S41*(1-$G41))/$L41)*((1+Inputs!$D$7)^CJ$2)),((INT(CJ$2/$L41)-INT((CJ$2-1)/$L41))*($T41*(1-$F41)+$S41*(1-$G41))*((1+Inputs!$D$7)^CJ$2))),((Inputs!$D$8^((1-_xlfn.WEIBULL.DIST(CJ$2,$M41,$L41,FALSE))/_xlfn.WEIBULL.DIST(CJ$2,$M41,$L41,FALSE))*($T41*(1-$F41)+$S41*(1-$G41))*((1+Inputs!$D$7)^CJ$2))))))))</f>
        <v>282.39177173896945</v>
      </c>
      <c r="CK41" s="88">
        <f>MAX(AU41,($E41*IF(CK$2&gt;Inputs!$D$5,0,IF(CK$2&gt;VLOOKUP($H41,Lists!$P$3:$Q$7,2),IF($N41=Lists!$K$3,IF($L41&lt;1,(($U41/$L41)*((1+Inputs!$D$7)^CK$2)),((INT(CK$2/$L41)-INT((CK$2-1)/$L41))*$U41*((1+Inputs!$D$7)^CK$2))),(Inputs!$D$8^((1-_xlfn.WEIBULL.DIST(CK$2,$M41,$L41,FALSE))/_xlfn.WEIBULL.DIST(CK$2,$M41,$L41,FALSE))*$U41*((1+Inputs!$D$7)^CK$2))),IF($N41=Lists!$K$3,IF($L41&lt;1,((($T41*(1-$F41)+$S41*(1-$G41))/$L41)*((1+Inputs!$D$7)^CK$2)),((INT(CK$2/$L41)-INT((CK$2-1)/$L41))*($T41*(1-$F41)+$S41*(1-$G41))*((1+Inputs!$D$7)^CK$2))),((Inputs!$D$8^((1-_xlfn.WEIBULL.DIST(CK$2,$M41,$L41,FALSE))/_xlfn.WEIBULL.DIST(CK$2,$M41,$L41,FALSE))*($T41*(1-$F41)+$S41*(1-$G41))*((1+Inputs!$D$7)^CK$2))))))))</f>
        <v>273.99174976529684</v>
      </c>
      <c r="CL41" s="88">
        <f>MAX(AV41,($E41*IF(CL$2&gt;Inputs!$D$5,0,IF(CL$2&gt;VLOOKUP($H41,Lists!$P$3:$Q$7,2),IF($N41=Lists!$K$3,IF($L41&lt;1,(($U41/$L41)*((1+Inputs!$D$7)^CL$2)),((INT(CL$2/$L41)-INT((CL$2-1)/$L41))*$U41*((1+Inputs!$D$7)^CL$2))),(Inputs!$D$8^((1-_xlfn.WEIBULL.DIST(CL$2,$M41,$L41,FALSE))/_xlfn.WEIBULL.DIST(CL$2,$M41,$L41,FALSE))*$U41*((1+Inputs!$D$7)^CL$2))),IF($N41=Lists!$K$3,IF($L41&lt;1,((($T41*(1-$F41)+$S41*(1-$G41))/$L41)*((1+Inputs!$D$7)^CL$2)),((INT(CL$2/$L41)-INT((CL$2-1)/$L41))*($T41*(1-$F41)+$S41*(1-$G41))*((1+Inputs!$D$7)^CL$2))),((Inputs!$D$8^((1-_xlfn.WEIBULL.DIST(CL$2,$M41,$L41,FALSE))/_xlfn.WEIBULL.DIST(CL$2,$M41,$L41,FALSE))*($T41*(1-$F41)+$S41*(1-$G41))*((1+Inputs!$D$7)^CL$2))))))))</f>
        <v>265.84159473613073</v>
      </c>
      <c r="CM41" s="88">
        <f>MAX(AW41,($E41*IF(CM$2&gt;Inputs!$D$5,0,IF(CM$2&gt;VLOOKUP($H41,Lists!$P$3:$Q$7,2),IF($N41=Lists!$K$3,IF($L41&lt;1,(($U41/$L41)*((1+Inputs!$D$7)^CM$2)),((INT(CM$2/$L41)-INT((CM$2-1)/$L41))*$U41*((1+Inputs!$D$7)^CM$2))),(Inputs!$D$8^((1-_xlfn.WEIBULL.DIST(CM$2,$M41,$L41,FALSE))/_xlfn.WEIBULL.DIST(CM$2,$M41,$L41,FALSE))*$U41*((1+Inputs!$D$7)^CM$2))),IF($N41=Lists!$K$3,IF($L41&lt;1,((($T41*(1-$F41)+$S41*(1-$G41))/$L41)*((1+Inputs!$D$7)^CM$2)),((INT(CM$2/$L41)-INT((CM$2-1)/$L41))*($T41*(1-$F41)+$S41*(1-$G41))*((1+Inputs!$D$7)^CM$2))),((Inputs!$D$8^((1-_xlfn.WEIBULL.DIST(CM$2,$M41,$L41,FALSE))/_xlfn.WEIBULL.DIST(CM$2,$M41,$L41,FALSE))*($T41*(1-$F41)+$S41*(1-$G41))*((1+Inputs!$D$7)^CM$2))))))))</f>
        <v>257.93387411258561</v>
      </c>
      <c r="CN41" s="88">
        <f>MAX(AX41,($E41*IF(CN$2&gt;Inputs!$D$5,0,IF(CN$2&gt;VLOOKUP($H41,Lists!$P$3:$Q$7,2),IF($N41=Lists!$K$3,IF($L41&lt;1,(($U41/$L41)*((1+Inputs!$D$7)^CN$2)),((INT(CN$2/$L41)-INT((CN$2-1)/$L41))*$U41*((1+Inputs!$D$7)^CN$2))),(Inputs!$D$8^((1-_xlfn.WEIBULL.DIST(CN$2,$M41,$L41,FALSE))/_xlfn.WEIBULL.DIST(CN$2,$M41,$L41,FALSE))*$U41*((1+Inputs!$D$7)^CN$2))),IF($N41=Lists!$K$3,IF($L41&lt;1,((($T41*(1-$F41)+$S41*(1-$G41))/$L41)*((1+Inputs!$D$7)^CN$2)),((INT(CN$2/$L41)-INT((CN$2-1)/$L41))*($T41*(1-$F41)+$S41*(1-$G41))*((1+Inputs!$D$7)^CN$2))),((Inputs!$D$8^((1-_xlfn.WEIBULL.DIST(CN$2,$M41,$L41,FALSE))/_xlfn.WEIBULL.DIST(CN$2,$M41,$L41,FALSE))*($T41*(1-$F41)+$S41*(1-$G41))*((1+Inputs!$D$7)^CN$2))))))))</f>
        <v>250.26137644398156</v>
      </c>
      <c r="CO41" s="88">
        <f>MAX(AY41,($E41*IF(CO$2&gt;Inputs!$D$5,0,IF(CO$2&gt;VLOOKUP($H41,Lists!$P$3:$Q$7,2),IF($N41=Lists!$K$3,IF($L41&lt;1,(($U41/$L41)*((1+Inputs!$D$7)^CO$2)),((INT(CO$2/$L41)-INT((CO$2-1)/$L41))*$U41*((1+Inputs!$D$7)^CO$2))),(Inputs!$D$8^((1-_xlfn.WEIBULL.DIST(CO$2,$M41,$L41,FALSE))/_xlfn.WEIBULL.DIST(CO$2,$M41,$L41,FALSE))*$U41*((1+Inputs!$D$7)^CO$2))),IF($N41=Lists!$K$3,IF($L41&lt;1,((($T41*(1-$F41)+$S41*(1-$G41))/$L41)*((1+Inputs!$D$7)^CO$2)),((INT(CO$2/$L41)-INT((CO$2-1)/$L41))*($T41*(1-$F41)+$S41*(1-$G41))*((1+Inputs!$D$7)^CO$2))),((Inputs!$D$8^((1-_xlfn.WEIBULL.DIST(CO$2,$M41,$L41,FALSE))/_xlfn.WEIBULL.DIST(CO$2,$M41,$L41,FALSE))*($T41*(1-$F41)+$S41*(1-$G41))*((1+Inputs!$D$7)^CO$2))))))))</f>
        <v>242.8171047913564</v>
      </c>
      <c r="CP41" s="88">
        <f>MAX(AZ41,($E41*IF(CP$2&gt;Inputs!$D$5,0,IF(CP$2&gt;VLOOKUP($H41,Lists!$P$3:$Q$7,2),IF($N41=Lists!$K$3,IF($L41&lt;1,(($U41/$L41)*((1+Inputs!$D$7)^CP$2)),((INT(CP$2/$L41)-INT((CP$2-1)/$L41))*$U41*((1+Inputs!$D$7)^CP$2))),(Inputs!$D$8^((1-_xlfn.WEIBULL.DIST(CP$2,$M41,$L41,FALSE))/_xlfn.WEIBULL.DIST(CP$2,$M41,$L41,FALSE))*$U41*((1+Inputs!$D$7)^CP$2))),IF($N41=Lists!$K$3,IF($L41&lt;1,((($T41*(1-$F41)+$S41*(1-$G41))/$L41)*((1+Inputs!$D$7)^CP$2)),((INT(CP$2/$L41)-INT((CP$2-1)/$L41))*($T41*(1-$F41)+$S41*(1-$G41))*((1+Inputs!$D$7)^CP$2))),((Inputs!$D$8^((1-_xlfn.WEIBULL.DIST(CP$2,$M41,$L41,FALSE))/_xlfn.WEIBULL.DIST(CP$2,$M41,$L41,FALSE))*($T41*(1-$F41)+$S41*(1-$G41))*((1+Inputs!$D$7)^CP$2))))))))</f>
        <v>0</v>
      </c>
      <c r="CQ41" s="88">
        <f>MAX(BA41,($E41*IF(CQ$2&gt;Inputs!$D$5,0,IF(CQ$2&gt;VLOOKUP($H41,Lists!$P$3:$Q$7,2),IF($N41=Lists!$K$3,IF($L41&lt;1,(($U41/$L41)*((1+Inputs!$D$7)^CQ$2)),((INT(CQ$2/$L41)-INT((CQ$2-1)/$L41))*$U41*((1+Inputs!$D$7)^CQ$2))),(Inputs!$D$8^((1-_xlfn.WEIBULL.DIST(CQ$2,$M41,$L41,FALSE))/_xlfn.WEIBULL.DIST(CQ$2,$M41,$L41,FALSE))*$U41*((1+Inputs!$D$7)^CQ$2))),IF($N41=Lists!$K$3,IF($L41&lt;1,((($T41*(1-$F41)+$S41*(1-$G41))/$L41)*((1+Inputs!$D$7)^CQ$2)),((INT(CQ$2/$L41)-INT((CQ$2-1)/$L41))*($T41*(1-$F41)+$S41*(1-$G41))*((1+Inputs!$D$7)^CQ$2))),((Inputs!$D$8^((1-_xlfn.WEIBULL.DIST(CQ$2,$M41,$L41,FALSE))/_xlfn.WEIBULL.DIST(CQ$2,$M41,$L41,FALSE))*($T41*(1-$F41)+$S41*(1-$G41))*((1+Inputs!$D$7)^CQ$2))))))))</f>
        <v>0</v>
      </c>
      <c r="CR41" s="88">
        <f>MAX(BB41,($E41*IF(CR$2&gt;Inputs!$D$5,0,IF(CR$2&gt;VLOOKUP($H41,Lists!$P$3:$Q$7,2),IF($N41=Lists!$K$3,IF($L41&lt;1,(($U41/$L41)*((1+Inputs!$D$7)^CR$2)),((INT(CR$2/$L41)-INT((CR$2-1)/$L41))*$U41*((1+Inputs!$D$7)^CR$2))),(Inputs!$D$8^((1-_xlfn.WEIBULL.DIST(CR$2,$M41,$L41,FALSE))/_xlfn.WEIBULL.DIST(CR$2,$M41,$L41,FALSE))*$U41*((1+Inputs!$D$7)^CR$2))),IF($N41=Lists!$K$3,IF($L41&lt;1,((($T41*(1-$F41)+$S41*(1-$G41))/$L41)*((1+Inputs!$D$7)^CR$2)),((INT(CR$2/$L41)-INT((CR$2-1)/$L41))*($T41*(1-$F41)+$S41*(1-$G41))*((1+Inputs!$D$7)^CR$2))),((Inputs!$D$8^((1-_xlfn.WEIBULL.DIST(CR$2,$M41,$L41,FALSE))/_xlfn.WEIBULL.DIST(CR$2,$M41,$L41,FALSE))*($T41*(1-$F41)+$S41*(1-$G41))*((1+Inputs!$D$7)^CR$2))))))))</f>
        <v>0</v>
      </c>
      <c r="CS41" s="88">
        <f>MAX(BC41,($E41*IF(CS$2&gt;Inputs!$D$5,0,IF(CS$2&gt;VLOOKUP($H41,Lists!$P$3:$Q$7,2),IF($N41=Lists!$K$3,IF($L41&lt;1,(($U41/$L41)*((1+Inputs!$D$7)^CS$2)),((INT(CS$2/$L41)-INT((CS$2-1)/$L41))*$U41*((1+Inputs!$D$7)^CS$2))),(Inputs!$D$8^((1-_xlfn.WEIBULL.DIST(CS$2,$M41,$L41,FALSE))/_xlfn.WEIBULL.DIST(CS$2,$M41,$L41,FALSE))*$U41*((1+Inputs!$D$7)^CS$2))),IF($N41=Lists!$K$3,IF($L41&lt;1,((($T41*(1-$F41)+$S41*(1-$G41))/$L41)*((1+Inputs!$D$7)^CS$2)),((INT(CS$2/$L41)-INT((CS$2-1)/$L41))*($T41*(1-$F41)+$S41*(1-$G41))*((1+Inputs!$D$7)^CS$2))),((Inputs!$D$8^((1-_xlfn.WEIBULL.DIST(CS$2,$M41,$L41,FALSE))/_xlfn.WEIBULL.DIST(CS$2,$M41,$L41,FALSE))*($T41*(1-$F41)+$S41*(1-$G41))*((1+Inputs!$D$7)^CS$2))))))))</f>
        <v>0</v>
      </c>
      <c r="CT41" s="88">
        <f>MAX(BD41,($E41*IF(CT$2&gt;Inputs!$D$5,0,IF(CT$2&gt;VLOOKUP($H41,Lists!$P$3:$Q$7,2),IF($N41=Lists!$K$3,IF($L41&lt;1,(($U41/$L41)*((1+Inputs!$D$7)^CT$2)),((INT(CT$2/$L41)-INT((CT$2-1)/$L41))*$U41*((1+Inputs!$D$7)^CT$2))),(Inputs!$D$8^((1-_xlfn.WEIBULL.DIST(CT$2,$M41,$L41,FALSE))/_xlfn.WEIBULL.DIST(CT$2,$M41,$L41,FALSE))*$U41*((1+Inputs!$D$7)^CT$2))),IF($N41=Lists!$K$3,IF($L41&lt;1,((($T41*(1-$F41)+$S41*(1-$G41))/$L41)*((1+Inputs!$D$7)^CT$2)),((INT(CT$2/$L41)-INT((CT$2-1)/$L41))*($T41*(1-$F41)+$S41*(1-$G41))*((1+Inputs!$D$7)^CT$2))),((Inputs!$D$8^((1-_xlfn.WEIBULL.DIST(CT$2,$M41,$L41,FALSE))/_xlfn.WEIBULL.DIST(CT$2,$M41,$L41,FALSE))*($T41*(1-$F41)+$S41*(1-$G41))*((1+Inputs!$D$7)^CT$2))))))))</f>
        <v>0</v>
      </c>
      <c r="CU41" s="88">
        <f>MAX(BE41,($E41*IF(CU$2&gt;Inputs!$D$5,0,IF(CU$2&gt;VLOOKUP($H41,Lists!$P$3:$Q$7,2),IF($N41=Lists!$K$3,IF($L41&lt;1,(($U41/$L41)*((1+Inputs!$D$7)^CU$2)),((INT(CU$2/$L41)-INT((CU$2-1)/$L41))*$U41*((1+Inputs!$D$7)^CU$2))),(Inputs!$D$8^((1-_xlfn.WEIBULL.DIST(CU$2,$M41,$L41,FALSE))/_xlfn.WEIBULL.DIST(CU$2,$M41,$L41,FALSE))*$U41*((1+Inputs!$D$7)^CU$2))),IF($N41=Lists!$K$3,IF($L41&lt;1,((($T41*(1-$F41)+$S41*(1-$G41))/$L41)*((1+Inputs!$D$7)^CU$2)),((INT(CU$2/$L41)-INT((CU$2-1)/$L41))*($T41*(1-$F41)+$S41*(1-$G41))*((1+Inputs!$D$7)^CU$2))),((Inputs!$D$8^((1-_xlfn.WEIBULL.DIST(CU$2,$M41,$L41,FALSE))/_xlfn.WEIBULL.DIST(CU$2,$M41,$L41,FALSE))*($T41*(1-$F41)+$S41*(1-$G41))*((1+Inputs!$D$7)^CU$2))))))))</f>
        <v>0</v>
      </c>
      <c r="CV41" s="88">
        <f>MAX(BF41,($E41*IF(CV$2&gt;Inputs!$D$5,0,IF(CV$2&gt;VLOOKUP($H41,Lists!$P$3:$Q$7,2),IF($N41=Lists!$K$3,IF($L41&lt;1,(($U41/$L41)*((1+Inputs!$D$7)^CV$2)),((INT(CV$2/$L41)-INT((CV$2-1)/$L41))*$U41*((1+Inputs!$D$7)^CV$2))),(Inputs!$D$8^((1-_xlfn.WEIBULL.DIST(CV$2,$M41,$L41,FALSE))/_xlfn.WEIBULL.DIST(CV$2,$M41,$L41,FALSE))*$U41*((1+Inputs!$D$7)^CV$2))),IF($N41=Lists!$K$3,IF($L41&lt;1,((($T41*(1-$F41)+$S41*(1-$G41))/$L41)*((1+Inputs!$D$7)^CV$2)),((INT(CV$2/$L41)-INT((CV$2-1)/$L41))*($T41*(1-$F41)+$S41*(1-$G41))*((1+Inputs!$D$7)^CV$2))),((Inputs!$D$8^((1-_xlfn.WEIBULL.DIST(CV$2,$M41,$L41,FALSE))/_xlfn.WEIBULL.DIST(CV$2,$M41,$L41,FALSE))*($T41*(1-$F41)+$S41*(1-$G41))*((1+Inputs!$D$7)^CV$2))))))))</f>
        <v>0</v>
      </c>
      <c r="CW41" s="88">
        <f>MAX(BG41,($E41*IF(CW$2&gt;Inputs!$D$5,0,IF(CW$2&gt;VLOOKUP($H41,Lists!$P$3:$Q$7,2),IF($N41=Lists!$K$3,IF($L41&lt;1,(($U41/$L41)*((1+Inputs!$D$7)^CW$2)),((INT(CW$2/$L41)-INT((CW$2-1)/$L41))*$U41*((1+Inputs!$D$7)^CW$2))),(Inputs!$D$8^((1-_xlfn.WEIBULL.DIST(CW$2,$M41,$L41,FALSE))/_xlfn.WEIBULL.DIST(CW$2,$M41,$L41,FALSE))*$U41*((1+Inputs!$D$7)^CW$2))),IF($N41=Lists!$K$3,IF($L41&lt;1,((($T41*(1-$F41)+$S41*(1-$G41))/$L41)*((1+Inputs!$D$7)^CW$2)),((INT(CW$2/$L41)-INT((CW$2-1)/$L41))*($T41*(1-$F41)+$S41*(1-$G41))*((1+Inputs!$D$7)^CW$2))),((Inputs!$D$8^((1-_xlfn.WEIBULL.DIST(CW$2,$M41,$L41,FALSE))/_xlfn.WEIBULL.DIST(CW$2,$M41,$L41,FALSE))*($T41*(1-$F41)+$S41*(1-$G41))*((1+Inputs!$D$7)^CW$2))))))))</f>
        <v>0</v>
      </c>
      <c r="CX41" s="88">
        <f>MAX(BH41,($E41*IF(CX$2&gt;Inputs!$D$5,0,IF(CX$2&gt;VLOOKUP($H41,Lists!$P$3:$Q$7,2),IF($N41=Lists!$K$3,IF($L41&lt;1,(($U41/$L41)*((1+Inputs!$D$7)^CX$2)),((INT(CX$2/$L41)-INT((CX$2-1)/$L41))*$U41*((1+Inputs!$D$7)^CX$2))),(Inputs!$D$8^((1-_xlfn.WEIBULL.DIST(CX$2,$M41,$L41,FALSE))/_xlfn.WEIBULL.DIST(CX$2,$M41,$L41,FALSE))*$U41*((1+Inputs!$D$7)^CX$2))),IF($N41=Lists!$K$3,IF($L41&lt;1,((($T41*(1-$F41)+$S41*(1-$G41))/$L41)*((1+Inputs!$D$7)^CX$2)),((INT(CX$2/$L41)-INT((CX$2-1)/$L41))*($T41*(1-$F41)+$S41*(1-$G41))*((1+Inputs!$D$7)^CX$2))),((Inputs!$D$8^((1-_xlfn.WEIBULL.DIST(CX$2,$M41,$L41,FALSE))/_xlfn.WEIBULL.DIST(CX$2,$M41,$L41,FALSE))*($T41*(1-$F41)+$S41*(1-$G41))*((1+Inputs!$D$7)^CX$2))))))))</f>
        <v>0</v>
      </c>
      <c r="CY41" s="88">
        <f>MAX(BI41,($E41*IF(CY$2&gt;Inputs!$D$5,0,IF(CY$2&gt;VLOOKUP($H41,Lists!$P$3:$Q$7,2),IF($N41=Lists!$K$3,IF($L41&lt;1,(($U41/$L41)*((1+Inputs!$D$7)^CY$2)),((INT(CY$2/$L41)-INT((CY$2-1)/$L41))*$U41*((1+Inputs!$D$7)^CY$2))),(Inputs!$D$8^((1-_xlfn.WEIBULL.DIST(CY$2,$M41,$L41,FALSE))/_xlfn.WEIBULL.DIST(CY$2,$M41,$L41,FALSE))*$U41*((1+Inputs!$D$7)^CY$2))),IF($N41=Lists!$K$3,IF($L41&lt;1,((($T41*(1-$F41)+$S41*(1-$G41))/$L41)*((1+Inputs!$D$7)^CY$2)),((INT(CY$2/$L41)-INT((CY$2-1)/$L41))*($T41*(1-$F41)+$S41*(1-$G41))*((1+Inputs!$D$7)^CY$2))),((Inputs!$D$8^((1-_xlfn.WEIBULL.DIST(CY$2,$M41,$L41,FALSE))/_xlfn.WEIBULL.DIST(CY$2,$M41,$L41,FALSE))*($T41*(1-$F41)+$S41*(1-$G41))*((1+Inputs!$D$7)^CY$2))))))))</f>
        <v>0</v>
      </c>
      <c r="CZ41" s="88">
        <f>MAX(BJ41,($E41*IF(CZ$2&gt;Inputs!$D$5,0,IF(CZ$2&gt;VLOOKUP($H41,Lists!$P$3:$Q$7,2),IF($N41=Lists!$K$3,IF($L41&lt;1,(($U41/$L41)*((1+Inputs!$D$7)^CZ$2)),((INT(CZ$2/$L41)-INT((CZ$2-1)/$L41))*$U41*((1+Inputs!$D$7)^CZ$2))),(Inputs!$D$8^((1-_xlfn.WEIBULL.DIST(CZ$2,$M41,$L41,FALSE))/_xlfn.WEIBULL.DIST(CZ$2,$M41,$L41,FALSE))*$U41*((1+Inputs!$D$7)^CZ$2))),IF($N41=Lists!$K$3,IF($L41&lt;1,((($T41*(1-$F41)+$S41*(1-$G41))/$L41)*((1+Inputs!$D$7)^CZ$2)),((INT(CZ$2/$L41)-INT((CZ$2-1)/$L41))*($T41*(1-$F41)+$S41*(1-$G41))*((1+Inputs!$D$7)^CZ$2))),((Inputs!$D$8^((1-_xlfn.WEIBULL.DIST(CZ$2,$M41,$L41,FALSE))/_xlfn.WEIBULL.DIST(CZ$2,$M41,$L41,FALSE))*($T41*(1-$F41)+$S41*(1-$G41))*((1+Inputs!$D$7)^CZ$2))))))))</f>
        <v>0</v>
      </c>
      <c r="DA41" s="88">
        <f>MAX(BK41,($E41*IF(DA$2&gt;Inputs!$D$5,0,IF(DA$2&gt;VLOOKUP($H41,Lists!$P$3:$Q$7,2),IF($N41=Lists!$K$3,IF($L41&lt;1,(($U41/$L41)*((1+Inputs!$D$7)^DA$2)),((INT(DA$2/$L41)-INT((DA$2-1)/$L41))*$U41*((1+Inputs!$D$7)^DA$2))),(Inputs!$D$8^((1-_xlfn.WEIBULL.DIST(DA$2,$M41,$L41,FALSE))/_xlfn.WEIBULL.DIST(DA$2,$M41,$L41,FALSE))*$U41*((1+Inputs!$D$7)^DA$2))),IF($N41=Lists!$K$3,IF($L41&lt;1,((($T41*(1-$F41)+$S41*(1-$G41))/$L41)*((1+Inputs!$D$7)^DA$2)),((INT(DA$2/$L41)-INT((DA$2-1)/$L41))*($T41*(1-$F41)+$S41*(1-$G41))*((1+Inputs!$D$7)^DA$2))),((Inputs!$D$8^((1-_xlfn.WEIBULL.DIST(DA$2,$M41,$L41,FALSE))/_xlfn.WEIBULL.DIST(DA$2,$M41,$L41,FALSE))*($T41*(1-$F41)+$S41*(1-$G41))*((1+Inputs!$D$7)^DA$2))))))))</f>
        <v>0</v>
      </c>
      <c r="DB41" s="88">
        <f>MAX(BL41,($E41*IF(DB$2&gt;Inputs!$D$5,0,IF(DB$2&gt;VLOOKUP($H41,Lists!$P$3:$Q$7,2),IF($N41=Lists!$K$3,IF($L41&lt;1,(($U41/$L41)*((1+Inputs!$D$7)^DB$2)),((INT(DB$2/$L41)-INT((DB$2-1)/$L41))*$U41*((1+Inputs!$D$7)^DB$2))),(Inputs!$D$8^((1-_xlfn.WEIBULL.DIST(DB$2,$M41,$L41,FALSE))/_xlfn.WEIBULL.DIST(DB$2,$M41,$L41,FALSE))*$U41*((1+Inputs!$D$7)^DB$2))),IF($N41=Lists!$K$3,IF($L41&lt;1,((($T41*(1-$F41)+$S41*(1-$G41))/$L41)*((1+Inputs!$D$7)^DB$2)),((INT(DB$2/$L41)-INT((DB$2-1)/$L41))*($T41*(1-$F41)+$S41*(1-$G41))*((1+Inputs!$D$7)^DB$2))),((Inputs!$D$8^((1-_xlfn.WEIBULL.DIST(DB$2,$M41,$L41,FALSE))/_xlfn.WEIBULL.DIST(DB$2,$M41,$L41,FALSE))*($T41*(1-$F41)+$S41*(1-$G41))*((1+Inputs!$D$7)^DB$2))))))))</f>
        <v>0</v>
      </c>
      <c r="DC41" s="88">
        <f>MAX(BM41,($E41*IF(DC$2&gt;Inputs!$D$5,0,IF(DC$2&gt;VLOOKUP($H41,Lists!$P$3:$Q$7,2),IF($N41=Lists!$K$3,IF($L41&lt;1,(($U41/$L41)*((1+Inputs!$D$7)^DC$2)),((INT(DC$2/$L41)-INT((DC$2-1)/$L41))*$U41*((1+Inputs!$D$7)^DC$2))),(Inputs!$D$8^((1-_xlfn.WEIBULL.DIST(DC$2,$M41,$L41,FALSE))/_xlfn.WEIBULL.DIST(DC$2,$M41,$L41,FALSE))*$U41*((1+Inputs!$D$7)^DC$2))),IF($N41=Lists!$K$3,IF($L41&lt;1,((($T41*(1-$F41)+$S41*(1-$G41))/$L41)*((1+Inputs!$D$7)^DC$2)),((INT(DC$2/$L41)-INT((DC$2-1)/$L41))*($T41*(1-$F41)+$S41*(1-$G41))*((1+Inputs!$D$7)^DC$2))),((Inputs!$D$8^((1-_xlfn.WEIBULL.DIST(DC$2,$M41,$L41,FALSE))/_xlfn.WEIBULL.DIST(DC$2,$M41,$L41,FALSE))*($T41*(1-$F41)+$S41*(1-$G41))*((1+Inputs!$D$7)^DC$2))))))))</f>
        <v>0</v>
      </c>
      <c r="DD41" s="88">
        <f>MAX(BN41,($E41*IF(DD$2&gt;Inputs!$D$5,0,IF(DD$2&gt;VLOOKUP($H41,Lists!$P$3:$Q$7,2),IF($N41=Lists!$K$3,IF($L41&lt;1,(($U41/$L41)*((1+Inputs!$D$7)^DD$2)),((INT(DD$2/$L41)-INT((DD$2-1)/$L41))*$U41*((1+Inputs!$D$7)^DD$2))),(Inputs!$D$8^((1-_xlfn.WEIBULL.DIST(DD$2,$M41,$L41,FALSE))/_xlfn.WEIBULL.DIST(DD$2,$M41,$L41,FALSE))*$U41*((1+Inputs!$D$7)^DD$2))),IF($N41=Lists!$K$3,IF($L41&lt;1,((($T41*(1-$F41)+$S41*(1-$G41))/$L41)*((1+Inputs!$D$7)^DD$2)),((INT(DD$2/$L41)-INT((DD$2-1)/$L41))*($T41*(1-$F41)+$S41*(1-$G41))*((1+Inputs!$D$7)^DD$2))),((Inputs!$D$8^((1-_xlfn.WEIBULL.DIST(DD$2,$M41,$L41,FALSE))/_xlfn.WEIBULL.DIST(DD$2,$M41,$L41,FALSE))*($T41*(1-$F41)+$S41*(1-$G41))*((1+Inputs!$D$7)^DD$2))))))))</f>
        <v>0</v>
      </c>
    </row>
    <row r="42" spans="1:108" s="1" customFormat="1" ht="32">
      <c r="A42" s="57" t="s">
        <v>197</v>
      </c>
      <c r="B42" s="13" t="s">
        <v>130</v>
      </c>
      <c r="C42" s="13" t="s">
        <v>474</v>
      </c>
      <c r="D42" s="13" t="s">
        <v>16</v>
      </c>
      <c r="E42" s="48">
        <f>IF(Inputs!$D$30=Lists!$M$4,1,0)</f>
        <v>1</v>
      </c>
      <c r="F42" s="48">
        <v>1</v>
      </c>
      <c r="G42" s="48">
        <v>0</v>
      </c>
      <c r="H42" s="105" t="s">
        <v>16</v>
      </c>
      <c r="I42" s="14" t="s">
        <v>264</v>
      </c>
      <c r="J42" s="14" t="s">
        <v>91</v>
      </c>
      <c r="K42" s="13">
        <f>VLOOKUP(J42,'Labor Rates'!$A$1:$F$16,2)</f>
        <v>33.17307692307692</v>
      </c>
      <c r="L42" s="15">
        <v>20</v>
      </c>
      <c r="M42" s="15">
        <v>1</v>
      </c>
      <c r="N42" s="16" t="s">
        <v>226</v>
      </c>
      <c r="O42" s="61">
        <f>Inputs!$D$32</f>
        <v>10</v>
      </c>
      <c r="P42" s="15">
        <v>1</v>
      </c>
      <c r="Q42" s="15">
        <f t="shared" si="7"/>
        <v>0.5</v>
      </c>
      <c r="R42" s="4">
        <v>1000</v>
      </c>
      <c r="S42" s="53">
        <f t="shared" si="8"/>
        <v>331.73076923076917</v>
      </c>
      <c r="T42" s="53">
        <f t="shared" si="9"/>
        <v>10000</v>
      </c>
      <c r="U42" s="54">
        <f t="shared" si="10"/>
        <v>10331.73076923077</v>
      </c>
      <c r="V42" s="65"/>
      <c r="W42" s="58"/>
      <c r="X42" s="64">
        <f t="shared" si="11"/>
        <v>169.40720682314858</v>
      </c>
      <c r="Y42" s="64">
        <f>NPV(Inputs!$D$6,AA42:BN42)</f>
        <v>1554.1576725425964</v>
      </c>
      <c r="Z42" s="67">
        <f t="shared" si="12"/>
        <v>7.3301663344888662E-4</v>
      </c>
      <c r="AA42" s="88">
        <f>$E42*IF(AA$2&gt;Inputs!$D$5,0,IF(AA$2&gt;VLOOKUP($H42,Lists!$P$3:$Q$7,2),IF($N42=Lists!$K$3,IF($L42&lt;1,(($U42/$L42)*((1+Inputs!$D$7)^AA$2)),((INT(AA$2/$L42)-INT((AA$2-1)/$L42))*$U42*((1+Inputs!$D$7)^AA$2))),(_xlfn.WEIBULL.DIST(AA$2,$M42,$L42,FALSE)*$U42*((1+Inputs!$D$7)^AA$2))),IF($N42=Lists!$K$3,IF($L42&lt;1,((($T42*(1-$F42)+$S42*(1-$G42))/$L42)*((1+Inputs!$D$7)^AA$2)),((INT(AA$2/$L42)-INT((AA$2-1)/$L42))*($T42*(1-$F42)+$S42*(1-$G42))*((1+Inputs!$D$7)^AA$2))),((_xlfn.WEIBULL.DIST(AA$2,$M42,$L42,FALSE)*($T42*(1-$F42)+$S42*(1-$G42))*((1+Inputs!$D$7)^AA$2))))))</f>
        <v>16.093155503932753</v>
      </c>
      <c r="AB42" s="88">
        <f>$E42*IF(AB$2&gt;Inputs!$D$5,0,IF(AB$2&gt;VLOOKUP($H42,Lists!$P$3:$Q$7,2),IF($N42=Lists!$K$3,IF($L42&lt;1,(($U42/$L42)*((1+Inputs!$D$7)^AB$2)),((INT(AB$2/$L42)-INT((AB$2-1)/$L42))*$U42*((1+Inputs!$D$7)^AB$2))),(_xlfn.WEIBULL.DIST(AB$2,$M42,$L42,FALSE)*$U42*((1+Inputs!$D$7)^AB$2))),IF($N42=Lists!$K$3,IF($L42&lt;1,((($T42*(1-$F42)+$S42*(1-$G42))/$L42)*((1+Inputs!$D$7)^AB$2)),((INT(AB$2/$L42)-INT((AB$2-1)/$L42))*($T42*(1-$F42)+$S42*(1-$G42))*((1+Inputs!$D$7)^AB$2))),((_xlfn.WEIBULL.DIST(AB$2,$M42,$L42,FALSE)*($T42*(1-$F42)+$S42*(1-$G42))*((1+Inputs!$D$7)^AB$2))))))</f>
        <v>15.61444870937458</v>
      </c>
      <c r="AC42" s="88">
        <f>$E42*IF(AC$2&gt;Inputs!$D$5,0,IF(AC$2&gt;VLOOKUP($H42,Lists!$P$3:$Q$7,2),IF($N42=Lists!$K$3,IF($L42&lt;1,(($U42/$L42)*((1+Inputs!$D$7)^AC$2)),((INT(AC$2/$L42)-INT((AC$2-1)/$L42))*$U42*((1+Inputs!$D$7)^AC$2))),(_xlfn.WEIBULL.DIST(AC$2,$M42,$L42,FALSE)*$U42*((1+Inputs!$D$7)^AC$2))),IF($N42=Lists!$K$3,IF($L42&lt;1,((($T42*(1-$F42)+$S42*(1-$G42))/$L42)*((1+Inputs!$D$7)^AC$2)),((INT(AC$2/$L42)-INT((AC$2-1)/$L42))*($T42*(1-$F42)+$S42*(1-$G42))*((1+Inputs!$D$7)^AC$2))),((_xlfn.WEIBULL.DIST(AC$2,$M42,$L42,FALSE)*($T42*(1-$F42)+$S42*(1-$G42))*((1+Inputs!$D$7)^AC$2))))))</f>
        <v>15.149981520908584</v>
      </c>
      <c r="AD42" s="88">
        <f>$E42*IF(AD$2&gt;Inputs!$D$5,0,IF(AD$2&gt;VLOOKUP($H42,Lists!$P$3:$Q$7,2),IF($N42=Lists!$K$3,IF($L42&lt;1,(($U42/$L42)*((1+Inputs!$D$7)^AD$2)),((INT(AD$2/$L42)-INT((AD$2-1)/$L42))*$U42*((1+Inputs!$D$7)^AD$2))),(_xlfn.WEIBULL.DIST(AD$2,$M42,$L42,FALSE)*$U42*((1+Inputs!$D$7)^AD$2))),IF($N42=Lists!$K$3,IF($L42&lt;1,((($T42*(1-$F42)+$S42*(1-$G42))/$L42)*((1+Inputs!$D$7)^AD$2)),((INT(AD$2/$L42)-INT((AD$2-1)/$L42))*($T42*(1-$F42)+$S42*(1-$G42))*((1+Inputs!$D$7)^AD$2))),((_xlfn.WEIBULL.DIST(AD$2,$M42,$L42,FALSE)*($T42*(1-$F42)+$S42*(1-$G42))*((1+Inputs!$D$7)^AD$2))))))</f>
        <v>14.69933036739693</v>
      </c>
      <c r="AE42" s="88">
        <f>$E42*IF(AE$2&gt;Inputs!$D$5,0,IF(AE$2&gt;VLOOKUP($H42,Lists!$P$3:$Q$7,2),IF($N42=Lists!$K$3,IF($L42&lt;1,(($U42/$L42)*((1+Inputs!$D$7)^AE$2)),((INT(AE$2/$L42)-INT((AE$2-1)/$L42))*$U42*((1+Inputs!$D$7)^AE$2))),(_xlfn.WEIBULL.DIST(AE$2,$M42,$L42,FALSE)*$U42*((1+Inputs!$D$7)^AE$2))),IF($N42=Lists!$K$3,IF($L42&lt;1,((($T42*(1-$F42)+$S42*(1-$G42))/$L42)*((1+Inputs!$D$7)^AE$2)),((INT(AE$2/$L42)-INT((AE$2-1)/$L42))*($T42*(1-$F42)+$S42*(1-$G42))*((1+Inputs!$D$7)^AE$2))),((_xlfn.WEIBULL.DIST(AE$2,$M42,$L42,FALSE)*($T42*(1-$F42)+$S42*(1-$G42))*((1+Inputs!$D$7)^AE$2))))))</f>
        <v>14.262084277243348</v>
      </c>
      <c r="AF42" s="88">
        <f>$E42*IF(AF$2&gt;Inputs!$D$5,0,IF(AF$2&gt;VLOOKUP($H42,Lists!$P$3:$Q$7,2),IF($N42=Lists!$K$3,IF($L42&lt;1,(($U42/$L42)*((1+Inputs!$D$7)^AF$2)),((INT(AF$2/$L42)-INT((AF$2-1)/$L42))*$U42*((1+Inputs!$D$7)^AF$2))),(_xlfn.WEIBULL.DIST(AF$2,$M42,$L42,FALSE)*$U42*((1+Inputs!$D$7)^AF$2))),IF($N42=Lists!$K$3,IF($L42&lt;1,((($T42*(1-$F42)+$S42*(1-$G42))/$L42)*((1+Inputs!$D$7)^AF$2)),((INT(AF$2/$L42)-INT((AF$2-1)/$L42))*($T42*(1-$F42)+$S42*(1-$G42))*((1+Inputs!$D$7)^AF$2))),((_xlfn.WEIBULL.DIST(AF$2,$M42,$L42,FALSE)*($T42*(1-$F42)+$S42*(1-$G42))*((1+Inputs!$D$7)^AF$2))))))</f>
        <v>13.837844503607332</v>
      </c>
      <c r="AG42" s="88">
        <f>$E42*IF(AG$2&gt;Inputs!$D$5,0,IF(AG$2&gt;VLOOKUP($H42,Lists!$P$3:$Q$7,2),IF($N42=Lists!$K$3,IF($L42&lt;1,(($U42/$L42)*((1+Inputs!$D$7)^AG$2)),((INT(AG$2/$L42)-INT((AG$2-1)/$L42))*$U42*((1+Inputs!$D$7)^AG$2))),(_xlfn.WEIBULL.DIST(AG$2,$M42,$L42,FALSE)*$U42*((1+Inputs!$D$7)^AG$2))),IF($N42=Lists!$K$3,IF($L42&lt;1,((($T42*(1-$F42)+$S42*(1-$G42))/$L42)*((1+Inputs!$D$7)^AG$2)),((INT(AG$2/$L42)-INT((AG$2-1)/$L42))*($T42*(1-$F42)+$S42*(1-$G42))*((1+Inputs!$D$7)^AG$2))),((_xlfn.WEIBULL.DIST(AG$2,$M42,$L42,FALSE)*($T42*(1-$F42)+$S42*(1-$G42))*((1+Inputs!$D$7)^AG$2))))))</f>
        <v>13.426224160766701</v>
      </c>
      <c r="AH42" s="88">
        <f>$E42*IF(AH$2&gt;Inputs!$D$5,0,IF(AH$2&gt;VLOOKUP($H42,Lists!$P$3:$Q$7,2),IF($N42=Lists!$K$3,IF($L42&lt;1,(($U42/$L42)*((1+Inputs!$D$7)^AH$2)),((INT(AH$2/$L42)-INT((AH$2-1)/$L42))*$U42*((1+Inputs!$D$7)^AH$2))),(_xlfn.WEIBULL.DIST(AH$2,$M42,$L42,FALSE)*$U42*((1+Inputs!$D$7)^AH$2))),IF($N42=Lists!$K$3,IF($L42&lt;1,((($T42*(1-$F42)+$S42*(1-$G42))/$L42)*((1+Inputs!$D$7)^AH$2)),((INT(AH$2/$L42)-INT((AH$2-1)/$L42))*($T42*(1-$F42)+$S42*(1-$G42))*((1+Inputs!$D$7)^AH$2))),((_xlfn.WEIBULL.DIST(AH$2,$M42,$L42,FALSE)*($T42*(1-$F42)+$S42*(1-$G42))*((1+Inputs!$D$7)^AH$2))))))</f>
        <v>13.026847871296967</v>
      </c>
      <c r="AI42" s="88">
        <f>$E42*IF(AI$2&gt;Inputs!$D$5,0,IF(AI$2&gt;VLOOKUP($H42,Lists!$P$3:$Q$7,2),IF($N42=Lists!$K$3,IF($L42&lt;1,(($U42/$L42)*((1+Inputs!$D$7)^AI$2)),((INT(AI$2/$L42)-INT((AI$2-1)/$L42))*$U42*((1+Inputs!$D$7)^AI$2))),(_xlfn.WEIBULL.DIST(AI$2,$M42,$L42,FALSE)*$U42*((1+Inputs!$D$7)^AI$2))),IF($N42=Lists!$K$3,IF($L42&lt;1,((($T42*(1-$F42)+$S42*(1-$G42))/$L42)*((1+Inputs!$D$7)^AI$2)),((INT(AI$2/$L42)-INT((AI$2-1)/$L42))*($T42*(1-$F42)+$S42*(1-$G42))*((1+Inputs!$D$7)^AI$2))),((_xlfn.WEIBULL.DIST(AI$2,$M42,$L42,FALSE)*($T42*(1-$F42)+$S42*(1-$G42))*((1+Inputs!$D$7)^AI$2))))))</f>
        <v>12.639351423745609</v>
      </c>
      <c r="AJ42" s="88">
        <f>$E42*IF(AJ$2&gt;Inputs!$D$5,0,IF(AJ$2&gt;VLOOKUP($H42,Lists!$P$3:$Q$7,2),IF($N42=Lists!$K$3,IF($L42&lt;1,(($U42/$L42)*((1+Inputs!$D$7)^AJ$2)),((INT(AJ$2/$L42)-INT((AJ$2-1)/$L42))*$U42*((1+Inputs!$D$7)^AJ$2))),(_xlfn.WEIBULL.DIST(AJ$2,$M42,$L42,FALSE)*$U42*((1+Inputs!$D$7)^AJ$2))),IF($N42=Lists!$K$3,IF($L42&lt;1,((($T42*(1-$F42)+$S42*(1-$G42))/$L42)*((1+Inputs!$D$7)^AJ$2)),((INT(AJ$2/$L42)-INT((AJ$2-1)/$L42))*($T42*(1-$F42)+$S42*(1-$G42))*((1+Inputs!$D$7)^AJ$2))),((_xlfn.WEIBULL.DIST(AJ$2,$M42,$L42,FALSE)*($T42*(1-$F42)+$S42*(1-$G42))*((1+Inputs!$D$7)^AJ$2))))))</f>
        <v>12.263381440489251</v>
      </c>
      <c r="AK42" s="88">
        <f>$E42*IF(AK$2&gt;Inputs!$D$5,0,IF(AK$2&gt;VLOOKUP($H42,Lists!$P$3:$Q$7,2),IF($N42=Lists!$K$3,IF($L42&lt;1,(($U42/$L42)*((1+Inputs!$D$7)^AK$2)),((INT(AK$2/$L42)-INT((AK$2-1)/$L42))*$U42*((1+Inputs!$D$7)^AK$2))),(_xlfn.WEIBULL.DIST(AK$2,$M42,$L42,FALSE)*$U42*((1+Inputs!$D$7)^AK$2))),IF($N42=Lists!$K$3,IF($L42&lt;1,((($T42*(1-$F42)+$S42*(1-$G42))/$L42)*((1+Inputs!$D$7)^AK$2)),((INT(AK$2/$L42)-INT((AK$2-1)/$L42))*($T42*(1-$F42)+$S42*(1-$G42))*((1+Inputs!$D$7)^AK$2))),((_xlfn.WEIBULL.DIST(AK$2,$M42,$L42,FALSE)*($T42*(1-$F42)+$S42*(1-$G42))*((1+Inputs!$D$7)^AK$2))))))</f>
        <v>370.5808807856024</v>
      </c>
      <c r="AL42" s="88">
        <f>$E42*IF(AL$2&gt;Inputs!$D$5,0,IF(AL$2&gt;VLOOKUP($H42,Lists!$P$3:$Q$7,2),IF($N42=Lists!$K$3,IF($L42&lt;1,(($U42/$L42)*((1+Inputs!$D$7)^AL$2)),((INT(AL$2/$L42)-INT((AL$2-1)/$L42))*$U42*((1+Inputs!$D$7)^AL$2))),(_xlfn.WEIBULL.DIST(AL$2,$M42,$L42,FALSE)*$U42*((1+Inputs!$D$7)^AL$2))),IF($N42=Lists!$K$3,IF($L42&lt;1,((($T42*(1-$F42)+$S42*(1-$G42))/$L42)*((1+Inputs!$D$7)^AL$2)),((INT(AL$2/$L42)-INT((AL$2-1)/$L42))*($T42*(1-$F42)+$S42*(1-$G42))*((1+Inputs!$D$7)^AL$2))),((_xlfn.WEIBULL.DIST(AL$2,$M42,$L42,FALSE)*($T42*(1-$F42)+$S42*(1-$G42))*((1+Inputs!$D$7)^AL$2))))))</f>
        <v>359.55758671986951</v>
      </c>
      <c r="AM42" s="88">
        <f>$E42*IF(AM$2&gt;Inputs!$D$5,0,IF(AM$2&gt;VLOOKUP($H42,Lists!$P$3:$Q$7,2),IF($N42=Lists!$K$3,IF($L42&lt;1,(($U42/$L42)*((1+Inputs!$D$7)^AM$2)),((INT(AM$2/$L42)-INT((AM$2-1)/$L42))*$U42*((1+Inputs!$D$7)^AM$2))),(_xlfn.WEIBULL.DIST(AM$2,$M42,$L42,FALSE)*$U42*((1+Inputs!$D$7)^AM$2))),IF($N42=Lists!$K$3,IF($L42&lt;1,((($T42*(1-$F42)+$S42*(1-$G42))/$L42)*((1+Inputs!$D$7)^AM$2)),((INT(AM$2/$L42)-INT((AM$2-1)/$L42))*($T42*(1-$F42)+$S42*(1-$G42))*((1+Inputs!$D$7)^AM$2))),((_xlfn.WEIBULL.DIST(AM$2,$M42,$L42,FALSE)*($T42*(1-$F42)+$S42*(1-$G42))*((1+Inputs!$D$7)^AM$2))))))</f>
        <v>348.86219141621518</v>
      </c>
      <c r="AN42" s="88">
        <f>$E42*IF(AN$2&gt;Inputs!$D$5,0,IF(AN$2&gt;VLOOKUP($H42,Lists!$P$3:$Q$7,2),IF($N42=Lists!$K$3,IF($L42&lt;1,(($U42/$L42)*((1+Inputs!$D$7)^AN$2)),((INT(AN$2/$L42)-INT((AN$2-1)/$L42))*$U42*((1+Inputs!$D$7)^AN$2))),(_xlfn.WEIBULL.DIST(AN$2,$M42,$L42,FALSE)*$U42*((1+Inputs!$D$7)^AN$2))),IF($N42=Lists!$K$3,IF($L42&lt;1,((($T42*(1-$F42)+$S42*(1-$G42))/$L42)*((1+Inputs!$D$7)^AN$2)),((INT(AN$2/$L42)-INT((AN$2-1)/$L42))*($T42*(1-$F42)+$S42*(1-$G42))*((1+Inputs!$D$7)^AN$2))),((_xlfn.WEIBULL.DIST(AN$2,$M42,$L42,FALSE)*($T42*(1-$F42)+$S42*(1-$G42))*((1+Inputs!$D$7)^AN$2))))))</f>
        <v>338.48494120232237</v>
      </c>
      <c r="AO42" s="88">
        <f>$E42*IF(AO$2&gt;Inputs!$D$5,0,IF(AO$2&gt;VLOOKUP($H42,Lists!$P$3:$Q$7,2),IF($N42=Lists!$K$3,IF($L42&lt;1,(($U42/$L42)*((1+Inputs!$D$7)^AO$2)),((INT(AO$2/$L42)-INT((AO$2-1)/$L42))*$U42*((1+Inputs!$D$7)^AO$2))),(_xlfn.WEIBULL.DIST(AO$2,$M42,$L42,FALSE)*$U42*((1+Inputs!$D$7)^AO$2))),IF($N42=Lists!$K$3,IF($L42&lt;1,((($T42*(1-$F42)+$S42*(1-$G42))/$L42)*((1+Inputs!$D$7)^AO$2)),((INT(AO$2/$L42)-INT((AO$2-1)/$L42))*($T42*(1-$F42)+$S42*(1-$G42))*((1+Inputs!$D$7)^AO$2))),((_xlfn.WEIBULL.DIST(AO$2,$M42,$L42,FALSE)*($T42*(1-$F42)+$S42*(1-$G42))*((1+Inputs!$D$7)^AO$2))))))</f>
        <v>328.41637253848393</v>
      </c>
      <c r="AP42" s="88">
        <f>$E42*IF(AP$2&gt;Inputs!$D$5,0,IF(AP$2&gt;VLOOKUP($H42,Lists!$P$3:$Q$7,2),IF($N42=Lists!$K$3,IF($L42&lt;1,(($U42/$L42)*((1+Inputs!$D$7)^AP$2)),((INT(AP$2/$L42)-INT((AP$2-1)/$L42))*$U42*((1+Inputs!$D$7)^AP$2))),(_xlfn.WEIBULL.DIST(AP$2,$M42,$L42,FALSE)*$U42*((1+Inputs!$D$7)^AP$2))),IF($N42=Lists!$K$3,IF($L42&lt;1,((($T42*(1-$F42)+$S42*(1-$G42))/$L42)*((1+Inputs!$D$7)^AP$2)),((INT(AP$2/$L42)-INT((AP$2-1)/$L42))*($T42*(1-$F42)+$S42*(1-$G42))*((1+Inputs!$D$7)^AP$2))),((_xlfn.WEIBULL.DIST(AP$2,$M42,$L42,FALSE)*($T42*(1-$F42)+$S42*(1-$G42))*((1+Inputs!$D$7)^AP$2))))))</f>
        <v>318.64730338732204</v>
      </c>
      <c r="AQ42" s="88">
        <f>$E42*IF(AQ$2&gt;Inputs!$D$5,0,IF(AQ$2&gt;VLOOKUP($H42,Lists!$P$3:$Q$7,2),IF($N42=Lists!$K$3,IF($L42&lt;1,(($U42/$L42)*((1+Inputs!$D$7)^AQ$2)),((INT(AQ$2/$L42)-INT((AQ$2-1)/$L42))*$U42*((1+Inputs!$D$7)^AQ$2))),(_xlfn.WEIBULL.DIST(AQ$2,$M42,$L42,FALSE)*$U42*((1+Inputs!$D$7)^AQ$2))),IF($N42=Lists!$K$3,IF($L42&lt;1,((($T42*(1-$F42)+$S42*(1-$G42))/$L42)*((1+Inputs!$D$7)^AQ$2)),((INT(AQ$2/$L42)-INT((AQ$2-1)/$L42))*($T42*(1-$F42)+$S42*(1-$G42))*((1+Inputs!$D$7)^AQ$2))),((_xlfn.WEIBULL.DIST(AQ$2,$M42,$L42,FALSE)*($T42*(1-$F42)+$S42*(1-$G42))*((1+Inputs!$D$7)^AQ$2))))))</f>
        <v>309.16882484022341</v>
      </c>
      <c r="AR42" s="88">
        <f>$E42*IF(AR$2&gt;Inputs!$D$5,0,IF(AR$2&gt;VLOOKUP($H42,Lists!$P$3:$Q$7,2),IF($N42=Lists!$K$3,IF($L42&lt;1,(($U42/$L42)*((1+Inputs!$D$7)^AR$2)),((INT(AR$2/$L42)-INT((AR$2-1)/$L42))*$U42*((1+Inputs!$D$7)^AR$2))),(_xlfn.WEIBULL.DIST(AR$2,$M42,$L42,FALSE)*$U42*((1+Inputs!$D$7)^AR$2))),IF($N42=Lists!$K$3,IF($L42&lt;1,((($T42*(1-$F42)+$S42*(1-$G42))/$L42)*((1+Inputs!$D$7)^AR$2)),((INT(AR$2/$L42)-INT((AR$2-1)/$L42))*($T42*(1-$F42)+$S42*(1-$G42))*((1+Inputs!$D$7)^AR$2))),((_xlfn.WEIBULL.DIST(AR$2,$M42,$L42,FALSE)*($T42*(1-$F42)+$S42*(1-$G42))*((1+Inputs!$D$7)^AR$2))))))</f>
        <v>299.97229299285425</v>
      </c>
      <c r="AS42" s="88">
        <f>$E42*IF(AS$2&gt;Inputs!$D$5,0,IF(AS$2&gt;VLOOKUP($H42,Lists!$P$3:$Q$7,2),IF($N42=Lists!$K$3,IF($L42&lt;1,(($U42/$L42)*((1+Inputs!$D$7)^AS$2)),((INT(AS$2/$L42)-INT((AS$2-1)/$L42))*$U42*((1+Inputs!$D$7)^AS$2))),(_xlfn.WEIBULL.DIST(AS$2,$M42,$L42,FALSE)*$U42*((1+Inputs!$D$7)^AS$2))),IF($N42=Lists!$K$3,IF($L42&lt;1,((($T42*(1-$F42)+$S42*(1-$G42))/$L42)*((1+Inputs!$D$7)^AS$2)),((INT(AS$2/$L42)-INT((AS$2-1)/$L42))*($T42*(1-$F42)+$S42*(1-$G42))*((1+Inputs!$D$7)^AS$2))),((_xlfn.WEIBULL.DIST(AS$2,$M42,$L42,FALSE)*($T42*(1-$F42)+$S42*(1-$G42))*((1+Inputs!$D$7)^AS$2))))))</f>
        <v>291.04932106234736</v>
      </c>
      <c r="AT42" s="88">
        <f>$E42*IF(AT$2&gt;Inputs!$D$5,0,IF(AT$2&gt;VLOOKUP($H42,Lists!$P$3:$Q$7,2),IF($N42=Lists!$K$3,IF($L42&lt;1,(($U42/$L42)*((1+Inputs!$D$7)^AT$2)),((INT(AT$2/$L42)-INT((AT$2-1)/$L42))*$U42*((1+Inputs!$D$7)^AT$2))),(_xlfn.WEIBULL.DIST(AT$2,$M42,$L42,FALSE)*$U42*((1+Inputs!$D$7)^AT$2))),IF($N42=Lists!$K$3,IF($L42&lt;1,((($T42*(1-$F42)+$S42*(1-$G42))/$L42)*((1+Inputs!$D$7)^AT$2)),((INT(AT$2/$L42)-INT((AT$2-1)/$L42))*($T42*(1-$F42)+$S42*(1-$G42))*((1+Inputs!$D$7)^AT$2))),((_xlfn.WEIBULL.DIST(AT$2,$M42,$L42,FALSE)*($T42*(1-$F42)+$S42*(1-$G42))*((1+Inputs!$D$7)^AT$2))))))</f>
        <v>282.39177173896945</v>
      </c>
      <c r="AU42" s="88">
        <f>$E42*IF(AU$2&gt;Inputs!$D$5,0,IF(AU$2&gt;VLOOKUP($H42,Lists!$P$3:$Q$7,2),IF($N42=Lists!$K$3,IF($L42&lt;1,(($U42/$L42)*((1+Inputs!$D$7)^AU$2)),((INT(AU$2/$L42)-INT((AU$2-1)/$L42))*$U42*((1+Inputs!$D$7)^AU$2))),(_xlfn.WEIBULL.DIST(AU$2,$M42,$L42,FALSE)*$U42*((1+Inputs!$D$7)^AU$2))),IF($N42=Lists!$K$3,IF($L42&lt;1,((($T42*(1-$F42)+$S42*(1-$G42))/$L42)*((1+Inputs!$D$7)^AU$2)),((INT(AU$2/$L42)-INT((AU$2-1)/$L42))*($T42*(1-$F42)+$S42*(1-$G42))*((1+Inputs!$D$7)^AU$2))),((_xlfn.WEIBULL.DIST(AU$2,$M42,$L42,FALSE)*($T42*(1-$F42)+$S42*(1-$G42))*((1+Inputs!$D$7)^AU$2))))))</f>
        <v>273.99174976529684</v>
      </c>
      <c r="AV42" s="88">
        <f>$E42*IF(AV$2&gt;Inputs!$D$5,0,IF(AV$2&gt;VLOOKUP($H42,Lists!$P$3:$Q$7,2),IF($N42=Lists!$K$3,IF($L42&lt;1,(($U42/$L42)*((1+Inputs!$D$7)^AV$2)),((INT(AV$2/$L42)-INT((AV$2-1)/$L42))*$U42*((1+Inputs!$D$7)^AV$2))),(_xlfn.WEIBULL.DIST(AV$2,$M42,$L42,FALSE)*$U42*((1+Inputs!$D$7)^AV$2))),IF($N42=Lists!$K$3,IF($L42&lt;1,((($T42*(1-$F42)+$S42*(1-$G42))/$L42)*((1+Inputs!$D$7)^AV$2)),((INT(AV$2/$L42)-INT((AV$2-1)/$L42))*($T42*(1-$F42)+$S42*(1-$G42))*((1+Inputs!$D$7)^AV$2))),((_xlfn.WEIBULL.DIST(AV$2,$M42,$L42,FALSE)*($T42*(1-$F42)+$S42*(1-$G42))*((1+Inputs!$D$7)^AV$2))))))</f>
        <v>265.84159473613073</v>
      </c>
      <c r="AW42" s="88">
        <f>$E42*IF(AW$2&gt;Inputs!$D$5,0,IF(AW$2&gt;VLOOKUP($H42,Lists!$P$3:$Q$7,2),IF($N42=Lists!$K$3,IF($L42&lt;1,(($U42/$L42)*((1+Inputs!$D$7)^AW$2)),((INT(AW$2/$L42)-INT((AW$2-1)/$L42))*$U42*((1+Inputs!$D$7)^AW$2))),(_xlfn.WEIBULL.DIST(AW$2,$M42,$L42,FALSE)*$U42*((1+Inputs!$D$7)^AW$2))),IF($N42=Lists!$K$3,IF($L42&lt;1,((($T42*(1-$F42)+$S42*(1-$G42))/$L42)*((1+Inputs!$D$7)^AW$2)),((INT(AW$2/$L42)-INT((AW$2-1)/$L42))*($T42*(1-$F42)+$S42*(1-$G42))*((1+Inputs!$D$7)^AW$2))),((_xlfn.WEIBULL.DIST(AW$2,$M42,$L42,FALSE)*($T42*(1-$F42)+$S42*(1-$G42))*((1+Inputs!$D$7)^AW$2))))))</f>
        <v>257.93387411258561</v>
      </c>
      <c r="AX42" s="88">
        <f>$E42*IF(AX$2&gt;Inputs!$D$5,0,IF(AX$2&gt;VLOOKUP($H42,Lists!$P$3:$Q$7,2),IF($N42=Lists!$K$3,IF($L42&lt;1,(($U42/$L42)*((1+Inputs!$D$7)^AX$2)),((INT(AX$2/$L42)-INT((AX$2-1)/$L42))*$U42*((1+Inputs!$D$7)^AX$2))),(_xlfn.WEIBULL.DIST(AX$2,$M42,$L42,FALSE)*$U42*((1+Inputs!$D$7)^AX$2))),IF($N42=Lists!$K$3,IF($L42&lt;1,((($T42*(1-$F42)+$S42*(1-$G42))/$L42)*((1+Inputs!$D$7)^AX$2)),((INT(AX$2/$L42)-INT((AX$2-1)/$L42))*($T42*(1-$F42)+$S42*(1-$G42))*((1+Inputs!$D$7)^AX$2))),((_xlfn.WEIBULL.DIST(AX$2,$M42,$L42,FALSE)*($T42*(1-$F42)+$S42*(1-$G42))*((1+Inputs!$D$7)^AX$2))))))</f>
        <v>250.26137644398156</v>
      </c>
      <c r="AY42" s="88">
        <f>$E42*IF(AY$2&gt;Inputs!$D$5,0,IF(AY$2&gt;VLOOKUP($H42,Lists!$P$3:$Q$7,2),IF($N42=Lists!$K$3,IF($L42&lt;1,(($U42/$L42)*((1+Inputs!$D$7)^AY$2)),((INT(AY$2/$L42)-INT((AY$2-1)/$L42))*$U42*((1+Inputs!$D$7)^AY$2))),(_xlfn.WEIBULL.DIST(AY$2,$M42,$L42,FALSE)*$U42*((1+Inputs!$D$7)^AY$2))),IF($N42=Lists!$K$3,IF($L42&lt;1,((($T42*(1-$F42)+$S42*(1-$G42))/$L42)*((1+Inputs!$D$7)^AY$2)),((INT(AY$2/$L42)-INT((AY$2-1)/$L42))*($T42*(1-$F42)+$S42*(1-$G42))*((1+Inputs!$D$7)^AY$2))),((_xlfn.WEIBULL.DIST(AY$2,$M42,$L42,FALSE)*($T42*(1-$F42)+$S42*(1-$G42))*((1+Inputs!$D$7)^AY$2))))))</f>
        <v>242.8171047913564</v>
      </c>
      <c r="AZ42" s="88">
        <f>$E42*IF(AZ$2&gt;Inputs!$D$5,0,IF(AZ$2&gt;VLOOKUP($H42,Lists!$P$3:$Q$7,2),IF($N42=Lists!$K$3,IF($L42&lt;1,(($U42/$L42)*((1+Inputs!$D$7)^AZ$2)),((INT(AZ$2/$L42)-INT((AZ$2-1)/$L42))*$U42*((1+Inputs!$D$7)^AZ$2))),(_xlfn.WEIBULL.DIST(AZ$2,$M42,$L42,FALSE)*$U42*((1+Inputs!$D$7)^AZ$2))),IF($N42=Lists!$K$3,IF($L42&lt;1,((($T42*(1-$F42)+$S42*(1-$G42))/$L42)*((1+Inputs!$D$7)^AZ$2)),((INT(AZ$2/$L42)-INT((AZ$2-1)/$L42))*($T42*(1-$F42)+$S42*(1-$G42))*((1+Inputs!$D$7)^AZ$2))),((_xlfn.WEIBULL.DIST(AZ$2,$M42,$L42,FALSE)*($T42*(1-$F42)+$S42*(1-$G42))*((1+Inputs!$D$7)^AZ$2))))))</f>
        <v>0</v>
      </c>
      <c r="BA42" s="88">
        <f>$E42*IF(BA$2&gt;Inputs!$D$5,0,IF(BA$2&gt;VLOOKUP($H42,Lists!$P$3:$Q$7,2),IF($N42=Lists!$K$3,IF($L42&lt;1,(($U42/$L42)*((1+Inputs!$D$7)^BA$2)),((INT(BA$2/$L42)-INT((BA$2-1)/$L42))*$U42*((1+Inputs!$D$7)^BA$2))),(_xlfn.WEIBULL.DIST(BA$2,$M42,$L42,FALSE)*$U42*((1+Inputs!$D$7)^BA$2))),IF($N42=Lists!$K$3,IF($L42&lt;1,((($T42*(1-$F42)+$S42*(1-$G42))/$L42)*((1+Inputs!$D$7)^BA$2)),((INT(BA$2/$L42)-INT((BA$2-1)/$L42))*($T42*(1-$F42)+$S42*(1-$G42))*((1+Inputs!$D$7)^BA$2))),((_xlfn.WEIBULL.DIST(BA$2,$M42,$L42,FALSE)*($T42*(1-$F42)+$S42*(1-$G42))*((1+Inputs!$D$7)^BA$2))))))</f>
        <v>0</v>
      </c>
      <c r="BB42" s="88">
        <f>$E42*IF(BB$2&gt;Inputs!$D$5,0,IF(BB$2&gt;VLOOKUP($H42,Lists!$P$3:$Q$7,2),IF($N42=Lists!$K$3,IF($L42&lt;1,(($U42/$L42)*((1+Inputs!$D$7)^BB$2)),((INT(BB$2/$L42)-INT((BB$2-1)/$L42))*$U42*((1+Inputs!$D$7)^BB$2))),(_xlfn.WEIBULL.DIST(BB$2,$M42,$L42,FALSE)*$U42*((1+Inputs!$D$7)^BB$2))),IF($N42=Lists!$K$3,IF($L42&lt;1,((($T42*(1-$F42)+$S42*(1-$G42))/$L42)*((1+Inputs!$D$7)^BB$2)),((INT(BB$2/$L42)-INT((BB$2-1)/$L42))*($T42*(1-$F42)+$S42*(1-$G42))*((1+Inputs!$D$7)^BB$2))),((_xlfn.WEIBULL.DIST(BB$2,$M42,$L42,FALSE)*($T42*(1-$F42)+$S42*(1-$G42))*((1+Inputs!$D$7)^BB$2))))))</f>
        <v>0</v>
      </c>
      <c r="BC42" s="88">
        <f>$E42*IF(BC$2&gt;Inputs!$D$5,0,IF(BC$2&gt;VLOOKUP($H42,Lists!$P$3:$Q$7,2),IF($N42=Lists!$K$3,IF($L42&lt;1,(($U42/$L42)*((1+Inputs!$D$7)^BC$2)),((INT(BC$2/$L42)-INT((BC$2-1)/$L42))*$U42*((1+Inputs!$D$7)^BC$2))),(_xlfn.WEIBULL.DIST(BC$2,$M42,$L42,FALSE)*$U42*((1+Inputs!$D$7)^BC$2))),IF($N42=Lists!$K$3,IF($L42&lt;1,((($T42*(1-$F42)+$S42*(1-$G42))/$L42)*((1+Inputs!$D$7)^BC$2)),((INT(BC$2/$L42)-INT((BC$2-1)/$L42))*($T42*(1-$F42)+$S42*(1-$G42))*((1+Inputs!$D$7)^BC$2))),((_xlfn.WEIBULL.DIST(BC$2,$M42,$L42,FALSE)*($T42*(1-$F42)+$S42*(1-$G42))*((1+Inputs!$D$7)^BC$2))))))</f>
        <v>0</v>
      </c>
      <c r="BD42" s="88">
        <f>$E42*IF(BD$2&gt;Inputs!$D$5,0,IF(BD$2&gt;VLOOKUP($H42,Lists!$P$3:$Q$7,2),IF($N42=Lists!$K$3,IF($L42&lt;1,(($U42/$L42)*((1+Inputs!$D$7)^BD$2)),((INT(BD$2/$L42)-INT((BD$2-1)/$L42))*$U42*((1+Inputs!$D$7)^BD$2))),(_xlfn.WEIBULL.DIST(BD$2,$M42,$L42,FALSE)*$U42*((1+Inputs!$D$7)^BD$2))),IF($N42=Lists!$K$3,IF($L42&lt;1,((($T42*(1-$F42)+$S42*(1-$G42))/$L42)*((1+Inputs!$D$7)^BD$2)),((INT(BD$2/$L42)-INT((BD$2-1)/$L42))*($T42*(1-$F42)+$S42*(1-$G42))*((1+Inputs!$D$7)^BD$2))),((_xlfn.WEIBULL.DIST(BD$2,$M42,$L42,FALSE)*($T42*(1-$F42)+$S42*(1-$G42))*((1+Inputs!$D$7)^BD$2))))))</f>
        <v>0</v>
      </c>
      <c r="BE42" s="88">
        <f>$E42*IF(BE$2&gt;Inputs!$D$5,0,IF(BE$2&gt;VLOOKUP($H42,Lists!$P$3:$Q$7,2),IF($N42=Lists!$K$3,IF($L42&lt;1,(($U42/$L42)*((1+Inputs!$D$7)^BE$2)),((INT(BE$2/$L42)-INT((BE$2-1)/$L42))*$U42*((1+Inputs!$D$7)^BE$2))),(_xlfn.WEIBULL.DIST(BE$2,$M42,$L42,FALSE)*$U42*((1+Inputs!$D$7)^BE$2))),IF($N42=Lists!$K$3,IF($L42&lt;1,((($T42*(1-$F42)+$S42*(1-$G42))/$L42)*((1+Inputs!$D$7)^BE$2)),((INT(BE$2/$L42)-INT((BE$2-1)/$L42))*($T42*(1-$F42)+$S42*(1-$G42))*((1+Inputs!$D$7)^BE$2))),((_xlfn.WEIBULL.DIST(BE$2,$M42,$L42,FALSE)*($T42*(1-$F42)+$S42*(1-$G42))*((1+Inputs!$D$7)^BE$2))))))</f>
        <v>0</v>
      </c>
      <c r="BF42" s="88">
        <f>$E42*IF(BF$2&gt;Inputs!$D$5,0,IF(BF$2&gt;VLOOKUP($H42,Lists!$P$3:$Q$7,2),IF($N42=Lists!$K$3,IF($L42&lt;1,(($U42/$L42)*((1+Inputs!$D$7)^BF$2)),((INT(BF$2/$L42)-INT((BF$2-1)/$L42))*$U42*((1+Inputs!$D$7)^BF$2))),(_xlfn.WEIBULL.DIST(BF$2,$M42,$L42,FALSE)*$U42*((1+Inputs!$D$7)^BF$2))),IF($N42=Lists!$K$3,IF($L42&lt;1,((($T42*(1-$F42)+$S42*(1-$G42))/$L42)*((1+Inputs!$D$7)^BF$2)),((INT(BF$2/$L42)-INT((BF$2-1)/$L42))*($T42*(1-$F42)+$S42*(1-$G42))*((1+Inputs!$D$7)^BF$2))),((_xlfn.WEIBULL.DIST(BF$2,$M42,$L42,FALSE)*($T42*(1-$F42)+$S42*(1-$G42))*((1+Inputs!$D$7)^BF$2))))))</f>
        <v>0</v>
      </c>
      <c r="BG42" s="88">
        <f>$E42*IF(BG$2&gt;Inputs!$D$5,0,IF(BG$2&gt;VLOOKUP($H42,Lists!$P$3:$Q$7,2),IF($N42=Lists!$K$3,IF($L42&lt;1,(($U42/$L42)*((1+Inputs!$D$7)^BG$2)),((INT(BG$2/$L42)-INT((BG$2-1)/$L42))*$U42*((1+Inputs!$D$7)^BG$2))),(_xlfn.WEIBULL.DIST(BG$2,$M42,$L42,FALSE)*$U42*((1+Inputs!$D$7)^BG$2))),IF($N42=Lists!$K$3,IF($L42&lt;1,((($T42*(1-$F42)+$S42*(1-$G42))/$L42)*((1+Inputs!$D$7)^BG$2)),((INT(BG$2/$L42)-INT((BG$2-1)/$L42))*($T42*(1-$F42)+$S42*(1-$G42))*((1+Inputs!$D$7)^BG$2))),((_xlfn.WEIBULL.DIST(BG$2,$M42,$L42,FALSE)*($T42*(1-$F42)+$S42*(1-$G42))*((1+Inputs!$D$7)^BG$2))))))</f>
        <v>0</v>
      </c>
      <c r="BH42" s="88">
        <f>$E42*IF(BH$2&gt;Inputs!$D$5,0,IF(BH$2&gt;VLOOKUP($H42,Lists!$P$3:$Q$7,2),IF($N42=Lists!$K$3,IF($L42&lt;1,(($U42/$L42)*((1+Inputs!$D$7)^BH$2)),((INT(BH$2/$L42)-INT((BH$2-1)/$L42))*$U42*((1+Inputs!$D$7)^BH$2))),(_xlfn.WEIBULL.DIST(BH$2,$M42,$L42,FALSE)*$U42*((1+Inputs!$D$7)^BH$2))),IF($N42=Lists!$K$3,IF($L42&lt;1,((($T42*(1-$F42)+$S42*(1-$G42))/$L42)*((1+Inputs!$D$7)^BH$2)),((INT(BH$2/$L42)-INT((BH$2-1)/$L42))*($T42*(1-$F42)+$S42*(1-$G42))*((1+Inputs!$D$7)^BH$2))),((_xlfn.WEIBULL.DIST(BH$2,$M42,$L42,FALSE)*($T42*(1-$F42)+$S42*(1-$G42))*((1+Inputs!$D$7)^BH$2))))))</f>
        <v>0</v>
      </c>
      <c r="BI42" s="88">
        <f>$E42*IF(BI$2&gt;Inputs!$D$5,0,IF(BI$2&gt;VLOOKUP($H42,Lists!$P$3:$Q$7,2),IF($N42=Lists!$K$3,IF($L42&lt;1,(($U42/$L42)*((1+Inputs!$D$7)^BI$2)),((INT(BI$2/$L42)-INT((BI$2-1)/$L42))*$U42*((1+Inputs!$D$7)^BI$2))),(_xlfn.WEIBULL.DIST(BI$2,$M42,$L42,FALSE)*$U42*((1+Inputs!$D$7)^BI$2))),IF($N42=Lists!$K$3,IF($L42&lt;1,((($T42*(1-$F42)+$S42*(1-$G42))/$L42)*((1+Inputs!$D$7)^BI$2)),((INT(BI$2/$L42)-INT((BI$2-1)/$L42))*($T42*(1-$F42)+$S42*(1-$G42))*((1+Inputs!$D$7)^BI$2))),((_xlfn.WEIBULL.DIST(BI$2,$M42,$L42,FALSE)*($T42*(1-$F42)+$S42*(1-$G42))*((1+Inputs!$D$7)^BI$2))))))</f>
        <v>0</v>
      </c>
      <c r="BJ42" s="88">
        <f>$E42*IF(BJ$2&gt;Inputs!$D$5,0,IF(BJ$2&gt;VLOOKUP($H42,Lists!$P$3:$Q$7,2),IF($N42=Lists!$K$3,IF($L42&lt;1,(($U42/$L42)*((1+Inputs!$D$7)^BJ$2)),((INT(BJ$2/$L42)-INT((BJ$2-1)/$L42))*$U42*((1+Inputs!$D$7)^BJ$2))),(_xlfn.WEIBULL.DIST(BJ$2,$M42,$L42,FALSE)*$U42*((1+Inputs!$D$7)^BJ$2))),IF($N42=Lists!$K$3,IF($L42&lt;1,((($T42*(1-$F42)+$S42*(1-$G42))/$L42)*((1+Inputs!$D$7)^BJ$2)),((INT(BJ$2/$L42)-INT((BJ$2-1)/$L42))*($T42*(1-$F42)+$S42*(1-$G42))*((1+Inputs!$D$7)^BJ$2))),((_xlfn.WEIBULL.DIST(BJ$2,$M42,$L42,FALSE)*($T42*(1-$F42)+$S42*(1-$G42))*((1+Inputs!$D$7)^BJ$2))))))</f>
        <v>0</v>
      </c>
      <c r="BK42" s="88">
        <f>$E42*IF(BK$2&gt;Inputs!$D$5,0,IF(BK$2&gt;VLOOKUP($H42,Lists!$P$3:$Q$7,2),IF($N42=Lists!$K$3,IF($L42&lt;1,(($U42/$L42)*((1+Inputs!$D$7)^BK$2)),((INT(BK$2/$L42)-INT((BK$2-1)/$L42))*$U42*((1+Inputs!$D$7)^BK$2))),(_xlfn.WEIBULL.DIST(BK$2,$M42,$L42,FALSE)*$U42*((1+Inputs!$D$7)^BK$2))),IF($N42=Lists!$K$3,IF($L42&lt;1,((($T42*(1-$F42)+$S42*(1-$G42))/$L42)*((1+Inputs!$D$7)^BK$2)),((INT(BK$2/$L42)-INT((BK$2-1)/$L42))*($T42*(1-$F42)+$S42*(1-$G42))*((1+Inputs!$D$7)^BK$2))),((_xlfn.WEIBULL.DIST(BK$2,$M42,$L42,FALSE)*($T42*(1-$F42)+$S42*(1-$G42))*((1+Inputs!$D$7)^BK$2))))))</f>
        <v>0</v>
      </c>
      <c r="BL42" s="88">
        <f>$E42*IF(BL$2&gt;Inputs!$D$5,0,IF(BL$2&gt;VLOOKUP($H42,Lists!$P$3:$Q$7,2),IF($N42=Lists!$K$3,IF($L42&lt;1,(($U42/$L42)*((1+Inputs!$D$7)^BL$2)),((INT(BL$2/$L42)-INT((BL$2-1)/$L42))*$U42*((1+Inputs!$D$7)^BL$2))),(_xlfn.WEIBULL.DIST(BL$2,$M42,$L42,FALSE)*$U42*((1+Inputs!$D$7)^BL$2))),IF($N42=Lists!$K$3,IF($L42&lt;1,((($T42*(1-$F42)+$S42*(1-$G42))/$L42)*((1+Inputs!$D$7)^BL$2)),((INT(BL$2/$L42)-INT((BL$2-1)/$L42))*($T42*(1-$F42)+$S42*(1-$G42))*((1+Inputs!$D$7)^BL$2))),((_xlfn.WEIBULL.DIST(BL$2,$M42,$L42,FALSE)*($T42*(1-$F42)+$S42*(1-$G42))*((1+Inputs!$D$7)^BL$2))))))</f>
        <v>0</v>
      </c>
      <c r="BM42" s="88">
        <f>$E42*IF(BM$2&gt;Inputs!$D$5,0,IF(BM$2&gt;VLOOKUP($H42,Lists!$P$3:$Q$7,2),IF($N42=Lists!$K$3,IF($L42&lt;1,(($U42/$L42)*((1+Inputs!$D$7)^BM$2)),((INT(BM$2/$L42)-INT((BM$2-1)/$L42))*$U42*((1+Inputs!$D$7)^BM$2))),(_xlfn.WEIBULL.DIST(BM$2,$M42,$L42,FALSE)*$U42*((1+Inputs!$D$7)^BM$2))),IF($N42=Lists!$K$3,IF($L42&lt;1,((($T42*(1-$F42)+$S42*(1-$G42))/$L42)*((1+Inputs!$D$7)^BM$2)),((INT(BM$2/$L42)-INT((BM$2-1)/$L42))*($T42*(1-$F42)+$S42*(1-$G42))*((1+Inputs!$D$7)^BM$2))),((_xlfn.WEIBULL.DIST(BM$2,$M42,$L42,FALSE)*($T42*(1-$F42)+$S42*(1-$G42))*((1+Inputs!$D$7)^BM$2))))))</f>
        <v>0</v>
      </c>
      <c r="BN42" s="88">
        <f>$E42*IF(BN$2&gt;Inputs!$D$5,0,IF(BN$2&gt;VLOOKUP($H42,Lists!$P$3:$Q$7,2),IF($N42=Lists!$K$3,IF($L42&lt;1,(($U42/$L42)*((1+Inputs!$D$7)^BN$2)),((INT(BN$2/$L42)-INT((BN$2-1)/$L42))*$U42*((1+Inputs!$D$7)^BN$2))),(_xlfn.WEIBULL.DIST(BN$2,$M42,$L42,FALSE)*$U42*((1+Inputs!$D$7)^BN$2))),IF($N42=Lists!$K$3,IF($L42&lt;1,((($T42*(1-$F42)+$S42*(1-$G42))/$L42)*((1+Inputs!$D$7)^BN$2)),((INT(BN$2/$L42)-INT((BN$2-1)/$L42))*($T42*(1-$F42)+$S42*(1-$G42))*((1+Inputs!$D$7)^BN$2))),((_xlfn.WEIBULL.DIST(BN$2,$M42,$L42,FALSE)*($T42*(1-$F42)+$S42*(1-$G42))*((1+Inputs!$D$7)^BN$2))))))</f>
        <v>0</v>
      </c>
      <c r="BO42" s="64">
        <f>NPV(Inputs!$D$6,BQ42:DD42)</f>
        <v>2357.2770027252468</v>
      </c>
      <c r="BP42" s="67">
        <f t="shared" si="13"/>
        <v>1.111806918417271E-3</v>
      </c>
      <c r="BQ42" s="88">
        <f>MAX(AA42,($E42*IF(BQ$2&gt;Inputs!$D$5,0,IF(BQ$2&gt;VLOOKUP($H42,Lists!$P$3:$Q$7,2),IF($N42=Lists!$K$3,IF($L42&lt;1,(($U42/$L42)*((1+Inputs!$D$7)^BQ$2)),((INT(BQ$2/$L42)-INT((BQ$2-1)/$L42))*$U42*((1+Inputs!$D$7)^BQ$2))),(Inputs!$D$8^((1-_xlfn.WEIBULL.DIST(BQ$2,$M42,$L42,FALSE))/_xlfn.WEIBULL.DIST(BQ$2,$M42,$L42,FALSE))*$U42*((1+Inputs!$D$7)^BQ$2))),IF($N42=Lists!$K$3,IF($L42&lt;1,((($T42*(1-$F42)+$S42*(1-$G42))/$L42)*((1+Inputs!$D$7)^BQ$2)),((INT(BQ$2/$L42)-INT((BQ$2-1)/$L42))*($T42*(1-$F42)+$S42*(1-$G42))*((1+Inputs!$D$7)^BQ$2))),((Inputs!$D$8^((1-_xlfn.WEIBULL.DIST(BQ$2,$M42,$L42,FALSE))/_xlfn.WEIBULL.DIST(BQ$2,$M42,$L42,FALSE))*($T42*(1-$F42)+$S42*(1-$G42))*((1+Inputs!$D$7)^BQ$2))))))))</f>
        <v>63.71209577784137</v>
      </c>
      <c r="BR42" s="88">
        <f>MAX(AB42,($E42*IF(BR$2&gt;Inputs!$D$5,0,IF(BR$2&gt;VLOOKUP($H42,Lists!$P$3:$Q$7,2),IF($N42=Lists!$K$3,IF($L42&lt;1,(($U42/$L42)*((1+Inputs!$D$7)^BR$2)),((INT(BR$2/$L42)-INT((BR$2-1)/$L42))*$U42*((1+Inputs!$D$7)^BR$2))),(Inputs!$D$8^((1-_xlfn.WEIBULL.DIST(BR$2,$M42,$L42,FALSE))/_xlfn.WEIBULL.DIST(BR$2,$M42,$L42,FALSE))*$U42*((1+Inputs!$D$7)^BR$2))),IF($N42=Lists!$K$3,IF($L42&lt;1,((($T42*(1-$F42)+$S42*(1-$G42))/$L42)*((1+Inputs!$D$7)^BR$2)),((INT(BR$2/$L42)-INT((BR$2-1)/$L42))*($T42*(1-$F42)+$S42*(1-$G42))*((1+Inputs!$D$7)^BR$2))),((Inputs!$D$8^((1-_xlfn.WEIBULL.DIST(BR$2,$M42,$L42,FALSE))/_xlfn.WEIBULL.DIST(BR$2,$M42,$L42,FALSE))*($T42*(1-$F42)+$S42*(1-$G42))*((1+Inputs!$D$7)^BR$2))))))))</f>
        <v>59.399866647445343</v>
      </c>
      <c r="BS42" s="88">
        <f>MAX(AC42,($E42*IF(BS$2&gt;Inputs!$D$5,0,IF(BS$2&gt;VLOOKUP($H42,Lists!$P$3:$Q$7,2),IF($N42=Lists!$K$3,IF($L42&lt;1,(($U42/$L42)*((1+Inputs!$D$7)^BS$2)),((INT(BS$2/$L42)-INT((BS$2-1)/$L42))*$U42*((1+Inputs!$D$7)^BS$2))),(Inputs!$D$8^((1-_xlfn.WEIBULL.DIST(BS$2,$M42,$L42,FALSE))/_xlfn.WEIBULL.DIST(BS$2,$M42,$L42,FALSE))*$U42*((1+Inputs!$D$7)^BS$2))),IF($N42=Lists!$K$3,IF($L42&lt;1,((($T42*(1-$F42)+$S42*(1-$G42))/$L42)*((1+Inputs!$D$7)^BS$2)),((INT(BS$2/$L42)-INT((BS$2-1)/$L42))*($T42*(1-$F42)+$S42*(1-$G42))*((1+Inputs!$D$7)^BS$2))),((Inputs!$D$8^((1-_xlfn.WEIBULL.DIST(BS$2,$M42,$L42,FALSE))/_xlfn.WEIBULL.DIST(BS$2,$M42,$L42,FALSE))*($T42*(1-$F42)+$S42*(1-$G42))*((1+Inputs!$D$7)^BS$2))))))))</f>
        <v>55.124872736107534</v>
      </c>
      <c r="BT42" s="88">
        <f>MAX(AD42,($E42*IF(BT$2&gt;Inputs!$D$5,0,IF(BT$2&gt;VLOOKUP($H42,Lists!$P$3:$Q$7,2),IF($N42=Lists!$K$3,IF($L42&lt;1,(($U42/$L42)*((1+Inputs!$D$7)^BT$2)),((INT(BT$2/$L42)-INT((BT$2-1)/$L42))*$U42*((1+Inputs!$D$7)^BT$2))),(Inputs!$D$8^((1-_xlfn.WEIBULL.DIST(BT$2,$M42,$L42,FALSE))/_xlfn.WEIBULL.DIST(BT$2,$M42,$L42,FALSE))*$U42*((1+Inputs!$D$7)^BT$2))),IF($N42=Lists!$K$3,IF($L42&lt;1,((($T42*(1-$F42)+$S42*(1-$G42))/$L42)*((1+Inputs!$D$7)^BT$2)),((INT(BT$2/$L42)-INT((BT$2-1)/$L42))*($T42*(1-$F42)+$S42*(1-$G42))*((1+Inputs!$D$7)^BT$2))),((Inputs!$D$8^((1-_xlfn.WEIBULL.DIST(BT$2,$M42,$L42,FALSE))/_xlfn.WEIBULL.DIST(BT$2,$M42,$L42,FALSE))*($T42*(1-$F42)+$S42*(1-$G42))*((1+Inputs!$D$7)^BT$2))))))))</f>
        <v>50.9103009465884</v>
      </c>
      <c r="BU42" s="88">
        <f>MAX(AE42,($E42*IF(BU$2&gt;Inputs!$D$5,0,IF(BU$2&gt;VLOOKUP($H42,Lists!$P$3:$Q$7,2),IF($N42=Lists!$K$3,IF($L42&lt;1,(($U42/$L42)*((1+Inputs!$D$7)^BU$2)),((INT(BU$2/$L42)-INT((BU$2-1)/$L42))*$U42*((1+Inputs!$D$7)^BU$2))),(Inputs!$D$8^((1-_xlfn.WEIBULL.DIST(BU$2,$M42,$L42,FALSE))/_xlfn.WEIBULL.DIST(BU$2,$M42,$L42,FALSE))*$U42*((1+Inputs!$D$7)^BU$2))),IF($N42=Lists!$K$3,IF($L42&lt;1,((($T42*(1-$F42)+$S42*(1-$G42))/$L42)*((1+Inputs!$D$7)^BU$2)),((INT(BU$2/$L42)-INT((BU$2-1)/$L42))*($T42*(1-$F42)+$S42*(1-$G42))*((1+Inputs!$D$7)^BU$2))),((Inputs!$D$8^((1-_xlfn.WEIBULL.DIST(BU$2,$M42,$L42,FALSE))/_xlfn.WEIBULL.DIST(BU$2,$M42,$L42,FALSE))*($T42*(1-$F42)+$S42*(1-$G42))*((1+Inputs!$D$7)^BU$2))))))))</f>
        <v>46.779091770476576</v>
      </c>
      <c r="BV42" s="88">
        <f>MAX(AF42,($E42*IF(BV$2&gt;Inputs!$D$5,0,IF(BV$2&gt;VLOOKUP($H42,Lists!$P$3:$Q$7,2),IF($N42=Lists!$K$3,IF($L42&lt;1,(($U42/$L42)*((1+Inputs!$D$7)^BV$2)),((INT(BV$2/$L42)-INT((BV$2-1)/$L42))*$U42*((1+Inputs!$D$7)^BV$2))),(Inputs!$D$8^((1-_xlfn.WEIBULL.DIST(BV$2,$M42,$L42,FALSE))/_xlfn.WEIBULL.DIST(BV$2,$M42,$L42,FALSE))*$U42*((1+Inputs!$D$7)^BV$2))),IF($N42=Lists!$K$3,IF($L42&lt;1,((($T42*(1-$F42)+$S42*(1-$G42))/$L42)*((1+Inputs!$D$7)^BV$2)),((INT(BV$2/$L42)-INT((BV$2-1)/$L42))*($T42*(1-$F42)+$S42*(1-$G42))*((1+Inputs!$D$7)^BV$2))),((Inputs!$D$8^((1-_xlfn.WEIBULL.DIST(BV$2,$M42,$L42,FALSE))/_xlfn.WEIBULL.DIST(BV$2,$M42,$L42,FALSE))*($T42*(1-$F42)+$S42*(1-$G42))*((1+Inputs!$D$7)^BV$2))))))))</f>
        <v>42.753586742363382</v>
      </c>
      <c r="BW42" s="88">
        <f>MAX(AG42,($E42*IF(BW$2&gt;Inputs!$D$5,0,IF(BW$2&gt;VLOOKUP($H42,Lists!$P$3:$Q$7,2),IF($N42=Lists!$K$3,IF($L42&lt;1,(($U42/$L42)*((1+Inputs!$D$7)^BW$2)),((INT(BW$2/$L42)-INT((BW$2-1)/$L42))*$U42*((1+Inputs!$D$7)^BW$2))),(Inputs!$D$8^((1-_xlfn.WEIBULL.DIST(BW$2,$M42,$L42,FALSE))/_xlfn.WEIBULL.DIST(BW$2,$M42,$L42,FALSE))*$U42*((1+Inputs!$D$7)^BW$2))),IF($N42=Lists!$K$3,IF($L42&lt;1,((($T42*(1-$F42)+$S42*(1-$G42))/$L42)*((1+Inputs!$D$7)^BW$2)),((INT(BW$2/$L42)-INT((BW$2-1)/$L42))*($T42*(1-$F42)+$S42*(1-$G42))*((1+Inputs!$D$7)^BW$2))),((Inputs!$D$8^((1-_xlfn.WEIBULL.DIST(BW$2,$M42,$L42,FALSE))/_xlfn.WEIBULL.DIST(BW$2,$M42,$L42,FALSE))*($T42*(1-$F42)+$S42*(1-$G42))*((1+Inputs!$D$7)^BW$2))))))))</f>
        <v>38.855164253299677</v>
      </c>
      <c r="BX42" s="88">
        <f>MAX(AH42,($E42*IF(BX$2&gt;Inputs!$D$5,0,IF(BX$2&gt;VLOOKUP($H42,Lists!$P$3:$Q$7,2),IF($N42=Lists!$K$3,IF($L42&lt;1,(($U42/$L42)*((1+Inputs!$D$7)^BX$2)),((INT(BX$2/$L42)-INT((BX$2-1)/$L42))*$U42*((1+Inputs!$D$7)^BX$2))),(Inputs!$D$8^((1-_xlfn.WEIBULL.DIST(BX$2,$M42,$L42,FALSE))/_xlfn.WEIBULL.DIST(BX$2,$M42,$L42,FALSE))*$U42*((1+Inputs!$D$7)^BX$2))),IF($N42=Lists!$K$3,IF($L42&lt;1,((($T42*(1-$F42)+$S42*(1-$G42))/$L42)*((1+Inputs!$D$7)^BX$2)),((INT(BX$2/$L42)-INT((BX$2-1)/$L42))*($T42*(1-$F42)+$S42*(1-$G42))*((1+Inputs!$D$7)^BX$2))),((Inputs!$D$8^((1-_xlfn.WEIBULL.DIST(BX$2,$M42,$L42,FALSE))/_xlfn.WEIBULL.DIST(BX$2,$M42,$L42,FALSE))*($T42*(1-$F42)+$S42*(1-$G42))*((1+Inputs!$D$7)^BX$2))))))))</f>
        <v>35.103872790597485</v>
      </c>
      <c r="BY42" s="88">
        <f>MAX(AI42,($E42*IF(BY$2&gt;Inputs!$D$5,0,IF(BY$2&gt;VLOOKUP($H42,Lists!$P$3:$Q$7,2),IF($N42=Lists!$K$3,IF($L42&lt;1,(($U42/$L42)*((1+Inputs!$D$7)^BY$2)),((INT(BY$2/$L42)-INT((BY$2-1)/$L42))*$U42*((1+Inputs!$D$7)^BY$2))),(Inputs!$D$8^((1-_xlfn.WEIBULL.DIST(BY$2,$M42,$L42,FALSE))/_xlfn.WEIBULL.DIST(BY$2,$M42,$L42,FALSE))*$U42*((1+Inputs!$D$7)^BY$2))),IF($N42=Lists!$K$3,IF($L42&lt;1,((($T42*(1-$F42)+$S42*(1-$G42))/$L42)*((1+Inputs!$D$7)^BY$2)),((INT(BY$2/$L42)-INT((BY$2-1)/$L42))*($T42*(1-$F42)+$S42*(1-$G42))*((1+Inputs!$D$7)^BY$2))),((Inputs!$D$8^((1-_xlfn.WEIBULL.DIST(BY$2,$M42,$L42,FALSE))/_xlfn.WEIBULL.DIST(BY$2,$M42,$L42,FALSE))*($T42*(1-$F42)+$S42*(1-$G42))*((1+Inputs!$D$7)^BY$2))))))))</f>
        <v>31.518071873258709</v>
      </c>
      <c r="BZ42" s="88">
        <f>MAX(AJ42,($E42*IF(BZ$2&gt;Inputs!$D$5,0,IF(BZ$2&gt;VLOOKUP($H42,Lists!$P$3:$Q$7,2),IF($N42=Lists!$K$3,IF($L42&lt;1,(($U42/$L42)*((1+Inputs!$D$7)^BZ$2)),((INT(BZ$2/$L42)-INT((BZ$2-1)/$L42))*$U42*((1+Inputs!$D$7)^BZ$2))),(Inputs!$D$8^((1-_xlfn.WEIBULL.DIST(BZ$2,$M42,$L42,FALSE))/_xlfn.WEIBULL.DIST(BZ$2,$M42,$L42,FALSE))*$U42*((1+Inputs!$D$7)^BZ$2))),IF($N42=Lists!$K$3,IF($L42&lt;1,((($T42*(1-$F42)+$S42*(1-$G42))/$L42)*((1+Inputs!$D$7)^BZ$2)),((INT(BZ$2/$L42)-INT((BZ$2-1)/$L42))*($T42*(1-$F42)+$S42*(1-$G42))*((1+Inputs!$D$7)^BZ$2))),((Inputs!$D$8^((1-_xlfn.WEIBULL.DIST(BZ$2,$M42,$L42,FALSE))/_xlfn.WEIBULL.DIST(BZ$2,$M42,$L42,FALSE))*($T42*(1-$F42)+$S42*(1-$G42))*((1+Inputs!$D$7)^BZ$2))))))))</f>
        <v>28.114091876957563</v>
      </c>
      <c r="CA42" s="88">
        <f>MAX(AK42,($E42*IF(CA$2&gt;Inputs!$D$5,0,IF(CA$2&gt;VLOOKUP($H42,Lists!$P$3:$Q$7,2),IF($N42=Lists!$K$3,IF($L42&lt;1,(($U42/$L42)*((1+Inputs!$D$7)^CA$2)),((INT(CA$2/$L42)-INT((CA$2-1)/$L42))*$U42*((1+Inputs!$D$7)^CA$2))),(Inputs!$D$8^((1-_xlfn.WEIBULL.DIST(CA$2,$M42,$L42,FALSE))/_xlfn.WEIBULL.DIST(CA$2,$M42,$L42,FALSE))*$U42*((1+Inputs!$D$7)^CA$2))),IF($N42=Lists!$K$3,IF($L42&lt;1,((($T42*(1-$F42)+$S42*(1-$G42))/$L42)*((1+Inputs!$D$7)^CA$2)),((INT(CA$2/$L42)-INT((CA$2-1)/$L42))*($T42*(1-$F42)+$S42*(1-$G42))*((1+Inputs!$D$7)^CA$2))),((Inputs!$D$8^((1-_xlfn.WEIBULL.DIST(CA$2,$M42,$L42,FALSE))/_xlfn.WEIBULL.DIST(CA$2,$M42,$L42,FALSE))*($T42*(1-$F42)+$S42*(1-$G42))*((1+Inputs!$D$7)^CA$2))))))))</f>
        <v>775.69321347580342</v>
      </c>
      <c r="CB42" s="88">
        <f>MAX(AL42,($E42*IF(CB$2&gt;Inputs!$D$5,0,IF(CB$2&gt;VLOOKUP($H42,Lists!$P$3:$Q$7,2),IF($N42=Lists!$K$3,IF($L42&lt;1,(($U42/$L42)*((1+Inputs!$D$7)^CB$2)),((INT(CB$2/$L42)-INT((CB$2-1)/$L42))*$U42*((1+Inputs!$D$7)^CB$2))),(Inputs!$D$8^((1-_xlfn.WEIBULL.DIST(CB$2,$M42,$L42,FALSE))/_xlfn.WEIBULL.DIST(CB$2,$M42,$L42,FALSE))*$U42*((1+Inputs!$D$7)^CB$2))),IF($N42=Lists!$K$3,IF($L42&lt;1,((($T42*(1-$F42)+$S42*(1-$G42))/$L42)*((1+Inputs!$D$7)^CB$2)),((INT(CB$2/$L42)-INT((CB$2-1)/$L42))*($T42*(1-$F42)+$S42*(1-$G42))*((1+Inputs!$D$7)^CB$2))),((Inputs!$D$8^((1-_xlfn.WEIBULL.DIST(CB$2,$M42,$L42,FALSE))/_xlfn.WEIBULL.DIST(CB$2,$M42,$L42,FALSE))*($T42*(1-$F42)+$S42*(1-$G42))*((1+Inputs!$D$7)^CB$2))))))))</f>
        <v>682.22825549373329</v>
      </c>
      <c r="CC42" s="88">
        <f>MAX(AM42,($E42*IF(CC$2&gt;Inputs!$D$5,0,IF(CC$2&gt;VLOOKUP($H42,Lists!$P$3:$Q$7,2),IF($N42=Lists!$K$3,IF($L42&lt;1,(($U42/$L42)*((1+Inputs!$D$7)^CC$2)),((INT(CC$2/$L42)-INT((CC$2-1)/$L42))*$U42*((1+Inputs!$D$7)^CC$2))),(Inputs!$D$8^((1-_xlfn.WEIBULL.DIST(CC$2,$M42,$L42,FALSE))/_xlfn.WEIBULL.DIST(CC$2,$M42,$L42,FALSE))*$U42*((1+Inputs!$D$7)^CC$2))),IF($N42=Lists!$K$3,IF($L42&lt;1,((($T42*(1-$F42)+$S42*(1-$G42))/$L42)*((1+Inputs!$D$7)^CC$2)),((INT(CC$2/$L42)-INT((CC$2-1)/$L42))*($T42*(1-$F42)+$S42*(1-$G42))*((1+Inputs!$D$7)^CC$2))),((Inputs!$D$8^((1-_xlfn.WEIBULL.DIST(CC$2,$M42,$L42,FALSE))/_xlfn.WEIBULL.DIST(CC$2,$M42,$L42,FALSE))*($T42*(1-$F42)+$S42*(1-$G42))*((1+Inputs!$D$7)^CC$2))))))))</f>
        <v>595.48329329422518</v>
      </c>
      <c r="CD42" s="88">
        <f>MAX(AN42,($E42*IF(CD$2&gt;Inputs!$D$5,0,IF(CD$2&gt;VLOOKUP($H42,Lists!$P$3:$Q$7,2),IF($N42=Lists!$K$3,IF($L42&lt;1,(($U42/$L42)*((1+Inputs!$D$7)^CD$2)),((INT(CD$2/$L42)-INT((CD$2-1)/$L42))*$U42*((1+Inputs!$D$7)^CD$2))),(Inputs!$D$8^((1-_xlfn.WEIBULL.DIST(CD$2,$M42,$L42,FALSE))/_xlfn.WEIBULL.DIST(CD$2,$M42,$L42,FALSE))*$U42*((1+Inputs!$D$7)^CD$2))),IF($N42=Lists!$K$3,IF($L42&lt;1,((($T42*(1-$F42)+$S42*(1-$G42))/$L42)*((1+Inputs!$D$7)^CD$2)),((INT(CD$2/$L42)-INT((CD$2-1)/$L42))*($T42*(1-$F42)+$S42*(1-$G42))*((1+Inputs!$D$7)^CD$2))),((Inputs!$D$8^((1-_xlfn.WEIBULL.DIST(CD$2,$M42,$L42,FALSE))/_xlfn.WEIBULL.DIST(CD$2,$M42,$L42,FALSE))*($T42*(1-$F42)+$S42*(1-$G42))*((1+Inputs!$D$7)^CD$2))))))))</f>
        <v>515.63269051903603</v>
      </c>
      <c r="CE42" s="88">
        <f>MAX(AO42,($E42*IF(CE$2&gt;Inputs!$D$5,0,IF(CE$2&gt;VLOOKUP($H42,Lists!$P$3:$Q$7,2),IF($N42=Lists!$K$3,IF($L42&lt;1,(($U42/$L42)*((1+Inputs!$D$7)^CE$2)),((INT(CE$2/$L42)-INT((CE$2-1)/$L42))*$U42*((1+Inputs!$D$7)^CE$2))),(Inputs!$D$8^((1-_xlfn.WEIBULL.DIST(CE$2,$M42,$L42,FALSE))/_xlfn.WEIBULL.DIST(CE$2,$M42,$L42,FALSE))*$U42*((1+Inputs!$D$7)^CE$2))),IF($N42=Lists!$K$3,IF($L42&lt;1,((($T42*(1-$F42)+$S42*(1-$G42))/$L42)*((1+Inputs!$D$7)^CE$2)),((INT(CE$2/$L42)-INT((CE$2-1)/$L42))*($T42*(1-$F42)+$S42*(1-$G42))*((1+Inputs!$D$7)^CE$2))),((Inputs!$D$8^((1-_xlfn.WEIBULL.DIST(CE$2,$M42,$L42,FALSE))/_xlfn.WEIBULL.DIST(CE$2,$M42,$L42,FALSE))*($T42*(1-$F42)+$S42*(1-$G42))*((1+Inputs!$D$7)^CE$2))))))))</f>
        <v>442.75597161269121</v>
      </c>
      <c r="CF42" s="88">
        <f>MAX(AP42,($E42*IF(CF$2&gt;Inputs!$D$5,0,IF(CF$2&gt;VLOOKUP($H42,Lists!$P$3:$Q$7,2),IF($N42=Lists!$K$3,IF($L42&lt;1,(($U42/$L42)*((1+Inputs!$D$7)^CF$2)),((INT(CF$2/$L42)-INT((CF$2-1)/$L42))*$U42*((1+Inputs!$D$7)^CF$2))),(Inputs!$D$8^((1-_xlfn.WEIBULL.DIST(CF$2,$M42,$L42,FALSE))/_xlfn.WEIBULL.DIST(CF$2,$M42,$L42,FALSE))*$U42*((1+Inputs!$D$7)^CF$2))),IF($N42=Lists!$K$3,IF($L42&lt;1,((($T42*(1-$F42)+$S42*(1-$G42))/$L42)*((1+Inputs!$D$7)^CF$2)),((INT(CF$2/$L42)-INT((CF$2-1)/$L42))*($T42*(1-$F42)+$S42*(1-$G42))*((1+Inputs!$D$7)^CF$2))),((Inputs!$D$8^((1-_xlfn.WEIBULL.DIST(CF$2,$M42,$L42,FALSE))/_xlfn.WEIBULL.DIST(CF$2,$M42,$L42,FALSE))*($T42*(1-$F42)+$S42*(1-$G42))*((1+Inputs!$D$7)^CF$2))))))))</f>
        <v>376.83788211712704</v>
      </c>
      <c r="CG42" s="88">
        <f>MAX(AQ42,($E42*IF(CG$2&gt;Inputs!$D$5,0,IF(CG$2&gt;VLOOKUP($H42,Lists!$P$3:$Q$7,2),IF($N42=Lists!$K$3,IF($L42&lt;1,(($U42/$L42)*((1+Inputs!$D$7)^CG$2)),((INT(CG$2/$L42)-INT((CG$2-1)/$L42))*$U42*((1+Inputs!$D$7)^CG$2))),(Inputs!$D$8^((1-_xlfn.WEIBULL.DIST(CG$2,$M42,$L42,FALSE))/_xlfn.WEIBULL.DIST(CG$2,$M42,$L42,FALSE))*$U42*((1+Inputs!$D$7)^CG$2))),IF($N42=Lists!$K$3,IF($L42&lt;1,((($T42*(1-$F42)+$S42*(1-$G42))/$L42)*((1+Inputs!$D$7)^CG$2)),((INT(CG$2/$L42)-INT((CG$2-1)/$L42))*($T42*(1-$F42)+$S42*(1-$G42))*((1+Inputs!$D$7)^CG$2))),((Inputs!$D$8^((1-_xlfn.WEIBULL.DIST(CG$2,$M42,$L42,FALSE))/_xlfn.WEIBULL.DIST(CG$2,$M42,$L42,FALSE))*($T42*(1-$F42)+$S42*(1-$G42))*((1+Inputs!$D$7)^CG$2))))))))</f>
        <v>317.77099811340946</v>
      </c>
      <c r="CH42" s="88">
        <f>MAX(AR42,($E42*IF(CH$2&gt;Inputs!$D$5,0,IF(CH$2&gt;VLOOKUP($H42,Lists!$P$3:$Q$7,2),IF($N42=Lists!$K$3,IF($L42&lt;1,(($U42/$L42)*((1+Inputs!$D$7)^CH$2)),((INT(CH$2/$L42)-INT((CH$2-1)/$L42))*$U42*((1+Inputs!$D$7)^CH$2))),(Inputs!$D$8^((1-_xlfn.WEIBULL.DIST(CH$2,$M42,$L42,FALSE))/_xlfn.WEIBULL.DIST(CH$2,$M42,$L42,FALSE))*$U42*((1+Inputs!$D$7)^CH$2))),IF($N42=Lists!$K$3,IF($L42&lt;1,((($T42*(1-$F42)+$S42*(1-$G42))/$L42)*((1+Inputs!$D$7)^CH$2)),((INT(CH$2/$L42)-INT((CH$2-1)/$L42))*($T42*(1-$F42)+$S42*(1-$G42))*((1+Inputs!$D$7)^CH$2))),((Inputs!$D$8^((1-_xlfn.WEIBULL.DIST(CH$2,$M42,$L42,FALSE))/_xlfn.WEIBULL.DIST(CH$2,$M42,$L42,FALSE))*($T42*(1-$F42)+$S42*(1-$G42))*((1+Inputs!$D$7)^CH$2))))))))</f>
        <v>299.97229299285425</v>
      </c>
      <c r="CI42" s="88">
        <f>MAX(AS42,($E42*IF(CI$2&gt;Inputs!$D$5,0,IF(CI$2&gt;VLOOKUP($H42,Lists!$P$3:$Q$7,2),IF($N42=Lists!$K$3,IF($L42&lt;1,(($U42/$L42)*((1+Inputs!$D$7)^CI$2)),((INT(CI$2/$L42)-INT((CI$2-1)/$L42))*$U42*((1+Inputs!$D$7)^CI$2))),(Inputs!$D$8^((1-_xlfn.WEIBULL.DIST(CI$2,$M42,$L42,FALSE))/_xlfn.WEIBULL.DIST(CI$2,$M42,$L42,FALSE))*$U42*((1+Inputs!$D$7)^CI$2))),IF($N42=Lists!$K$3,IF($L42&lt;1,((($T42*(1-$F42)+$S42*(1-$G42))/$L42)*((1+Inputs!$D$7)^CI$2)),((INT(CI$2/$L42)-INT((CI$2-1)/$L42))*($T42*(1-$F42)+$S42*(1-$G42))*((1+Inputs!$D$7)^CI$2))),((Inputs!$D$8^((1-_xlfn.WEIBULL.DIST(CI$2,$M42,$L42,FALSE))/_xlfn.WEIBULL.DIST(CI$2,$M42,$L42,FALSE))*($T42*(1-$F42)+$S42*(1-$G42))*((1+Inputs!$D$7)^CI$2))))))))</f>
        <v>291.04932106234736</v>
      </c>
      <c r="CJ42" s="88">
        <f>MAX(AT42,($E42*IF(CJ$2&gt;Inputs!$D$5,0,IF(CJ$2&gt;VLOOKUP($H42,Lists!$P$3:$Q$7,2),IF($N42=Lists!$K$3,IF($L42&lt;1,(($U42/$L42)*((1+Inputs!$D$7)^CJ$2)),((INT(CJ$2/$L42)-INT((CJ$2-1)/$L42))*$U42*((1+Inputs!$D$7)^CJ$2))),(Inputs!$D$8^((1-_xlfn.WEIBULL.DIST(CJ$2,$M42,$L42,FALSE))/_xlfn.WEIBULL.DIST(CJ$2,$M42,$L42,FALSE))*$U42*((1+Inputs!$D$7)^CJ$2))),IF($N42=Lists!$K$3,IF($L42&lt;1,((($T42*(1-$F42)+$S42*(1-$G42))/$L42)*((1+Inputs!$D$7)^CJ$2)),((INT(CJ$2/$L42)-INT((CJ$2-1)/$L42))*($T42*(1-$F42)+$S42*(1-$G42))*((1+Inputs!$D$7)^CJ$2))),((Inputs!$D$8^((1-_xlfn.WEIBULL.DIST(CJ$2,$M42,$L42,FALSE))/_xlfn.WEIBULL.DIST(CJ$2,$M42,$L42,FALSE))*($T42*(1-$F42)+$S42*(1-$G42))*((1+Inputs!$D$7)^CJ$2))))))))</f>
        <v>282.39177173896945</v>
      </c>
      <c r="CK42" s="88">
        <f>MAX(AU42,($E42*IF(CK$2&gt;Inputs!$D$5,0,IF(CK$2&gt;VLOOKUP($H42,Lists!$P$3:$Q$7,2),IF($N42=Lists!$K$3,IF($L42&lt;1,(($U42/$L42)*((1+Inputs!$D$7)^CK$2)),((INT(CK$2/$L42)-INT((CK$2-1)/$L42))*$U42*((1+Inputs!$D$7)^CK$2))),(Inputs!$D$8^((1-_xlfn.WEIBULL.DIST(CK$2,$M42,$L42,FALSE))/_xlfn.WEIBULL.DIST(CK$2,$M42,$L42,FALSE))*$U42*((1+Inputs!$D$7)^CK$2))),IF($N42=Lists!$K$3,IF($L42&lt;1,((($T42*(1-$F42)+$S42*(1-$G42))/$L42)*((1+Inputs!$D$7)^CK$2)),((INT(CK$2/$L42)-INT((CK$2-1)/$L42))*($T42*(1-$F42)+$S42*(1-$G42))*((1+Inputs!$D$7)^CK$2))),((Inputs!$D$8^((1-_xlfn.WEIBULL.DIST(CK$2,$M42,$L42,FALSE))/_xlfn.WEIBULL.DIST(CK$2,$M42,$L42,FALSE))*($T42*(1-$F42)+$S42*(1-$G42))*((1+Inputs!$D$7)^CK$2))))))))</f>
        <v>273.99174976529684</v>
      </c>
      <c r="CL42" s="88">
        <f>MAX(AV42,($E42*IF(CL$2&gt;Inputs!$D$5,0,IF(CL$2&gt;VLOOKUP($H42,Lists!$P$3:$Q$7,2),IF($N42=Lists!$K$3,IF($L42&lt;1,(($U42/$L42)*((1+Inputs!$D$7)^CL$2)),((INT(CL$2/$L42)-INT((CL$2-1)/$L42))*$U42*((1+Inputs!$D$7)^CL$2))),(Inputs!$D$8^((1-_xlfn.WEIBULL.DIST(CL$2,$M42,$L42,FALSE))/_xlfn.WEIBULL.DIST(CL$2,$M42,$L42,FALSE))*$U42*((1+Inputs!$D$7)^CL$2))),IF($N42=Lists!$K$3,IF($L42&lt;1,((($T42*(1-$F42)+$S42*(1-$G42))/$L42)*((1+Inputs!$D$7)^CL$2)),((INT(CL$2/$L42)-INT((CL$2-1)/$L42))*($T42*(1-$F42)+$S42*(1-$G42))*((1+Inputs!$D$7)^CL$2))),((Inputs!$D$8^((1-_xlfn.WEIBULL.DIST(CL$2,$M42,$L42,FALSE))/_xlfn.WEIBULL.DIST(CL$2,$M42,$L42,FALSE))*($T42*(1-$F42)+$S42*(1-$G42))*((1+Inputs!$D$7)^CL$2))))))))</f>
        <v>265.84159473613073</v>
      </c>
      <c r="CM42" s="88">
        <f>MAX(AW42,($E42*IF(CM$2&gt;Inputs!$D$5,0,IF(CM$2&gt;VLOOKUP($H42,Lists!$P$3:$Q$7,2),IF($N42=Lists!$K$3,IF($L42&lt;1,(($U42/$L42)*((1+Inputs!$D$7)^CM$2)),((INT(CM$2/$L42)-INT((CM$2-1)/$L42))*$U42*((1+Inputs!$D$7)^CM$2))),(Inputs!$D$8^((1-_xlfn.WEIBULL.DIST(CM$2,$M42,$L42,FALSE))/_xlfn.WEIBULL.DIST(CM$2,$M42,$L42,FALSE))*$U42*((1+Inputs!$D$7)^CM$2))),IF($N42=Lists!$K$3,IF($L42&lt;1,((($T42*(1-$F42)+$S42*(1-$G42))/$L42)*((1+Inputs!$D$7)^CM$2)),((INT(CM$2/$L42)-INT((CM$2-1)/$L42))*($T42*(1-$F42)+$S42*(1-$G42))*((1+Inputs!$D$7)^CM$2))),((Inputs!$D$8^((1-_xlfn.WEIBULL.DIST(CM$2,$M42,$L42,FALSE))/_xlfn.WEIBULL.DIST(CM$2,$M42,$L42,FALSE))*($T42*(1-$F42)+$S42*(1-$G42))*((1+Inputs!$D$7)^CM$2))))))))</f>
        <v>257.93387411258561</v>
      </c>
      <c r="CN42" s="88">
        <f>MAX(AX42,($E42*IF(CN$2&gt;Inputs!$D$5,0,IF(CN$2&gt;VLOOKUP($H42,Lists!$P$3:$Q$7,2),IF($N42=Lists!$K$3,IF($L42&lt;1,(($U42/$L42)*((1+Inputs!$D$7)^CN$2)),((INT(CN$2/$L42)-INT((CN$2-1)/$L42))*$U42*((1+Inputs!$D$7)^CN$2))),(Inputs!$D$8^((1-_xlfn.WEIBULL.DIST(CN$2,$M42,$L42,FALSE))/_xlfn.WEIBULL.DIST(CN$2,$M42,$L42,FALSE))*$U42*((1+Inputs!$D$7)^CN$2))),IF($N42=Lists!$K$3,IF($L42&lt;1,((($T42*(1-$F42)+$S42*(1-$G42))/$L42)*((1+Inputs!$D$7)^CN$2)),((INT(CN$2/$L42)-INT((CN$2-1)/$L42))*($T42*(1-$F42)+$S42*(1-$G42))*((1+Inputs!$D$7)^CN$2))),((Inputs!$D$8^((1-_xlfn.WEIBULL.DIST(CN$2,$M42,$L42,FALSE))/_xlfn.WEIBULL.DIST(CN$2,$M42,$L42,FALSE))*($T42*(1-$F42)+$S42*(1-$G42))*((1+Inputs!$D$7)^CN$2))))))))</f>
        <v>250.26137644398156</v>
      </c>
      <c r="CO42" s="88">
        <f>MAX(AY42,($E42*IF(CO$2&gt;Inputs!$D$5,0,IF(CO$2&gt;VLOOKUP($H42,Lists!$P$3:$Q$7,2),IF($N42=Lists!$K$3,IF($L42&lt;1,(($U42/$L42)*((1+Inputs!$D$7)^CO$2)),((INT(CO$2/$L42)-INT((CO$2-1)/$L42))*$U42*((1+Inputs!$D$7)^CO$2))),(Inputs!$D$8^((1-_xlfn.WEIBULL.DIST(CO$2,$M42,$L42,FALSE))/_xlfn.WEIBULL.DIST(CO$2,$M42,$L42,FALSE))*$U42*((1+Inputs!$D$7)^CO$2))),IF($N42=Lists!$K$3,IF($L42&lt;1,((($T42*(1-$F42)+$S42*(1-$G42))/$L42)*((1+Inputs!$D$7)^CO$2)),((INT(CO$2/$L42)-INT((CO$2-1)/$L42))*($T42*(1-$F42)+$S42*(1-$G42))*((1+Inputs!$D$7)^CO$2))),((Inputs!$D$8^((1-_xlfn.WEIBULL.DIST(CO$2,$M42,$L42,FALSE))/_xlfn.WEIBULL.DIST(CO$2,$M42,$L42,FALSE))*($T42*(1-$F42)+$S42*(1-$G42))*((1+Inputs!$D$7)^CO$2))))))))</f>
        <v>242.8171047913564</v>
      </c>
      <c r="CP42" s="88">
        <f>MAX(AZ42,($E42*IF(CP$2&gt;Inputs!$D$5,0,IF(CP$2&gt;VLOOKUP($H42,Lists!$P$3:$Q$7,2),IF($N42=Lists!$K$3,IF($L42&lt;1,(($U42/$L42)*((1+Inputs!$D$7)^CP$2)),((INT(CP$2/$L42)-INT((CP$2-1)/$L42))*$U42*((1+Inputs!$D$7)^CP$2))),(Inputs!$D$8^((1-_xlfn.WEIBULL.DIST(CP$2,$M42,$L42,FALSE))/_xlfn.WEIBULL.DIST(CP$2,$M42,$L42,FALSE))*$U42*((1+Inputs!$D$7)^CP$2))),IF($N42=Lists!$K$3,IF($L42&lt;1,((($T42*(1-$F42)+$S42*(1-$G42))/$L42)*((1+Inputs!$D$7)^CP$2)),((INT(CP$2/$L42)-INT((CP$2-1)/$L42))*($T42*(1-$F42)+$S42*(1-$G42))*((1+Inputs!$D$7)^CP$2))),((Inputs!$D$8^((1-_xlfn.WEIBULL.DIST(CP$2,$M42,$L42,FALSE))/_xlfn.WEIBULL.DIST(CP$2,$M42,$L42,FALSE))*($T42*(1-$F42)+$S42*(1-$G42))*((1+Inputs!$D$7)^CP$2))))))))</f>
        <v>0</v>
      </c>
      <c r="CQ42" s="88">
        <f>MAX(BA42,($E42*IF(CQ$2&gt;Inputs!$D$5,0,IF(CQ$2&gt;VLOOKUP($H42,Lists!$P$3:$Q$7,2),IF($N42=Lists!$K$3,IF($L42&lt;1,(($U42/$L42)*((1+Inputs!$D$7)^CQ$2)),((INT(CQ$2/$L42)-INT((CQ$2-1)/$L42))*$U42*((1+Inputs!$D$7)^CQ$2))),(Inputs!$D$8^((1-_xlfn.WEIBULL.DIST(CQ$2,$M42,$L42,FALSE))/_xlfn.WEIBULL.DIST(CQ$2,$M42,$L42,FALSE))*$U42*((1+Inputs!$D$7)^CQ$2))),IF($N42=Lists!$K$3,IF($L42&lt;1,((($T42*(1-$F42)+$S42*(1-$G42))/$L42)*((1+Inputs!$D$7)^CQ$2)),((INT(CQ$2/$L42)-INT((CQ$2-1)/$L42))*($T42*(1-$F42)+$S42*(1-$G42))*((1+Inputs!$D$7)^CQ$2))),((Inputs!$D$8^((1-_xlfn.WEIBULL.DIST(CQ$2,$M42,$L42,FALSE))/_xlfn.WEIBULL.DIST(CQ$2,$M42,$L42,FALSE))*($T42*(1-$F42)+$S42*(1-$G42))*((1+Inputs!$D$7)^CQ$2))))))))</f>
        <v>0</v>
      </c>
      <c r="CR42" s="88">
        <f>MAX(BB42,($E42*IF(CR$2&gt;Inputs!$D$5,0,IF(CR$2&gt;VLOOKUP($H42,Lists!$P$3:$Q$7,2),IF($N42=Lists!$K$3,IF($L42&lt;1,(($U42/$L42)*((1+Inputs!$D$7)^CR$2)),((INT(CR$2/$L42)-INT((CR$2-1)/$L42))*$U42*((1+Inputs!$D$7)^CR$2))),(Inputs!$D$8^((1-_xlfn.WEIBULL.DIST(CR$2,$M42,$L42,FALSE))/_xlfn.WEIBULL.DIST(CR$2,$M42,$L42,FALSE))*$U42*((1+Inputs!$D$7)^CR$2))),IF($N42=Lists!$K$3,IF($L42&lt;1,((($T42*(1-$F42)+$S42*(1-$G42))/$L42)*((1+Inputs!$D$7)^CR$2)),((INT(CR$2/$L42)-INT((CR$2-1)/$L42))*($T42*(1-$F42)+$S42*(1-$G42))*((1+Inputs!$D$7)^CR$2))),((Inputs!$D$8^((1-_xlfn.WEIBULL.DIST(CR$2,$M42,$L42,FALSE))/_xlfn.WEIBULL.DIST(CR$2,$M42,$L42,FALSE))*($T42*(1-$F42)+$S42*(1-$G42))*((1+Inputs!$D$7)^CR$2))))))))</f>
        <v>0</v>
      </c>
      <c r="CS42" s="88">
        <f>MAX(BC42,($E42*IF(CS$2&gt;Inputs!$D$5,0,IF(CS$2&gt;VLOOKUP($H42,Lists!$P$3:$Q$7,2),IF($N42=Lists!$K$3,IF($L42&lt;1,(($U42/$L42)*((1+Inputs!$D$7)^CS$2)),((INT(CS$2/$L42)-INT((CS$2-1)/$L42))*$U42*((1+Inputs!$D$7)^CS$2))),(Inputs!$D$8^((1-_xlfn.WEIBULL.DIST(CS$2,$M42,$L42,FALSE))/_xlfn.WEIBULL.DIST(CS$2,$M42,$L42,FALSE))*$U42*((1+Inputs!$D$7)^CS$2))),IF($N42=Lists!$K$3,IF($L42&lt;1,((($T42*(1-$F42)+$S42*(1-$G42))/$L42)*((1+Inputs!$D$7)^CS$2)),((INT(CS$2/$L42)-INT((CS$2-1)/$L42))*($T42*(1-$F42)+$S42*(1-$G42))*((1+Inputs!$D$7)^CS$2))),((Inputs!$D$8^((1-_xlfn.WEIBULL.DIST(CS$2,$M42,$L42,FALSE))/_xlfn.WEIBULL.DIST(CS$2,$M42,$L42,FALSE))*($T42*(1-$F42)+$S42*(1-$G42))*((1+Inputs!$D$7)^CS$2))))))))</f>
        <v>0</v>
      </c>
      <c r="CT42" s="88">
        <f>MAX(BD42,($E42*IF(CT$2&gt;Inputs!$D$5,0,IF(CT$2&gt;VLOOKUP($H42,Lists!$P$3:$Q$7,2),IF($N42=Lists!$K$3,IF($L42&lt;1,(($U42/$L42)*((1+Inputs!$D$7)^CT$2)),((INT(CT$2/$L42)-INT((CT$2-1)/$L42))*$U42*((1+Inputs!$D$7)^CT$2))),(Inputs!$D$8^((1-_xlfn.WEIBULL.DIST(CT$2,$M42,$L42,FALSE))/_xlfn.WEIBULL.DIST(CT$2,$M42,$L42,FALSE))*$U42*((1+Inputs!$D$7)^CT$2))),IF($N42=Lists!$K$3,IF($L42&lt;1,((($T42*(1-$F42)+$S42*(1-$G42))/$L42)*((1+Inputs!$D$7)^CT$2)),((INT(CT$2/$L42)-INT((CT$2-1)/$L42))*($T42*(1-$F42)+$S42*(1-$G42))*((1+Inputs!$D$7)^CT$2))),((Inputs!$D$8^((1-_xlfn.WEIBULL.DIST(CT$2,$M42,$L42,FALSE))/_xlfn.WEIBULL.DIST(CT$2,$M42,$L42,FALSE))*($T42*(1-$F42)+$S42*(1-$G42))*((1+Inputs!$D$7)^CT$2))))))))</f>
        <v>0</v>
      </c>
      <c r="CU42" s="88">
        <f>MAX(BE42,($E42*IF(CU$2&gt;Inputs!$D$5,0,IF(CU$2&gt;VLOOKUP($H42,Lists!$P$3:$Q$7,2),IF($N42=Lists!$K$3,IF($L42&lt;1,(($U42/$L42)*((1+Inputs!$D$7)^CU$2)),((INT(CU$2/$L42)-INT((CU$2-1)/$L42))*$U42*((1+Inputs!$D$7)^CU$2))),(Inputs!$D$8^((1-_xlfn.WEIBULL.DIST(CU$2,$M42,$L42,FALSE))/_xlfn.WEIBULL.DIST(CU$2,$M42,$L42,FALSE))*$U42*((1+Inputs!$D$7)^CU$2))),IF($N42=Lists!$K$3,IF($L42&lt;1,((($T42*(1-$F42)+$S42*(1-$G42))/$L42)*((1+Inputs!$D$7)^CU$2)),((INT(CU$2/$L42)-INT((CU$2-1)/$L42))*($T42*(1-$F42)+$S42*(1-$G42))*((1+Inputs!$D$7)^CU$2))),((Inputs!$D$8^((1-_xlfn.WEIBULL.DIST(CU$2,$M42,$L42,FALSE))/_xlfn.WEIBULL.DIST(CU$2,$M42,$L42,FALSE))*($T42*(1-$F42)+$S42*(1-$G42))*((1+Inputs!$D$7)^CU$2))))))))</f>
        <v>0</v>
      </c>
      <c r="CV42" s="88">
        <f>MAX(BF42,($E42*IF(CV$2&gt;Inputs!$D$5,0,IF(CV$2&gt;VLOOKUP($H42,Lists!$P$3:$Q$7,2),IF($N42=Lists!$K$3,IF($L42&lt;1,(($U42/$L42)*((1+Inputs!$D$7)^CV$2)),((INT(CV$2/$L42)-INT((CV$2-1)/$L42))*$U42*((1+Inputs!$D$7)^CV$2))),(Inputs!$D$8^((1-_xlfn.WEIBULL.DIST(CV$2,$M42,$L42,FALSE))/_xlfn.WEIBULL.DIST(CV$2,$M42,$L42,FALSE))*$U42*((1+Inputs!$D$7)^CV$2))),IF($N42=Lists!$K$3,IF($L42&lt;1,((($T42*(1-$F42)+$S42*(1-$G42))/$L42)*((1+Inputs!$D$7)^CV$2)),((INT(CV$2/$L42)-INT((CV$2-1)/$L42))*($T42*(1-$F42)+$S42*(1-$G42))*((1+Inputs!$D$7)^CV$2))),((Inputs!$D$8^((1-_xlfn.WEIBULL.DIST(CV$2,$M42,$L42,FALSE))/_xlfn.WEIBULL.DIST(CV$2,$M42,$L42,FALSE))*($T42*(1-$F42)+$S42*(1-$G42))*((1+Inputs!$D$7)^CV$2))))))))</f>
        <v>0</v>
      </c>
      <c r="CW42" s="88">
        <f>MAX(BG42,($E42*IF(CW$2&gt;Inputs!$D$5,0,IF(CW$2&gt;VLOOKUP($H42,Lists!$P$3:$Q$7,2),IF($N42=Lists!$K$3,IF($L42&lt;1,(($U42/$L42)*((1+Inputs!$D$7)^CW$2)),((INT(CW$2/$L42)-INT((CW$2-1)/$L42))*$U42*((1+Inputs!$D$7)^CW$2))),(Inputs!$D$8^((1-_xlfn.WEIBULL.DIST(CW$2,$M42,$L42,FALSE))/_xlfn.WEIBULL.DIST(CW$2,$M42,$L42,FALSE))*$U42*((1+Inputs!$D$7)^CW$2))),IF($N42=Lists!$K$3,IF($L42&lt;1,((($T42*(1-$F42)+$S42*(1-$G42))/$L42)*((1+Inputs!$D$7)^CW$2)),((INT(CW$2/$L42)-INT((CW$2-1)/$L42))*($T42*(1-$F42)+$S42*(1-$G42))*((1+Inputs!$D$7)^CW$2))),((Inputs!$D$8^((1-_xlfn.WEIBULL.DIST(CW$2,$M42,$L42,FALSE))/_xlfn.WEIBULL.DIST(CW$2,$M42,$L42,FALSE))*($T42*(1-$F42)+$S42*(1-$G42))*((1+Inputs!$D$7)^CW$2))))))))</f>
        <v>0</v>
      </c>
      <c r="CX42" s="88">
        <f>MAX(BH42,($E42*IF(CX$2&gt;Inputs!$D$5,0,IF(CX$2&gt;VLOOKUP($H42,Lists!$P$3:$Q$7,2),IF($N42=Lists!$K$3,IF($L42&lt;1,(($U42/$L42)*((1+Inputs!$D$7)^CX$2)),((INT(CX$2/$L42)-INT((CX$2-1)/$L42))*$U42*((1+Inputs!$D$7)^CX$2))),(Inputs!$D$8^((1-_xlfn.WEIBULL.DIST(CX$2,$M42,$L42,FALSE))/_xlfn.WEIBULL.DIST(CX$2,$M42,$L42,FALSE))*$U42*((1+Inputs!$D$7)^CX$2))),IF($N42=Lists!$K$3,IF($L42&lt;1,((($T42*(1-$F42)+$S42*(1-$G42))/$L42)*((1+Inputs!$D$7)^CX$2)),((INT(CX$2/$L42)-INT((CX$2-1)/$L42))*($T42*(1-$F42)+$S42*(1-$G42))*((1+Inputs!$D$7)^CX$2))),((Inputs!$D$8^((1-_xlfn.WEIBULL.DIST(CX$2,$M42,$L42,FALSE))/_xlfn.WEIBULL.DIST(CX$2,$M42,$L42,FALSE))*($T42*(1-$F42)+$S42*(1-$G42))*((1+Inputs!$D$7)^CX$2))))))))</f>
        <v>0</v>
      </c>
      <c r="CY42" s="88">
        <f>MAX(BI42,($E42*IF(CY$2&gt;Inputs!$D$5,0,IF(CY$2&gt;VLOOKUP($H42,Lists!$P$3:$Q$7,2),IF($N42=Lists!$K$3,IF($L42&lt;1,(($U42/$L42)*((1+Inputs!$D$7)^CY$2)),((INT(CY$2/$L42)-INT((CY$2-1)/$L42))*$U42*((1+Inputs!$D$7)^CY$2))),(Inputs!$D$8^((1-_xlfn.WEIBULL.DIST(CY$2,$M42,$L42,FALSE))/_xlfn.WEIBULL.DIST(CY$2,$M42,$L42,FALSE))*$U42*((1+Inputs!$D$7)^CY$2))),IF($N42=Lists!$K$3,IF($L42&lt;1,((($T42*(1-$F42)+$S42*(1-$G42))/$L42)*((1+Inputs!$D$7)^CY$2)),((INT(CY$2/$L42)-INT((CY$2-1)/$L42))*($T42*(1-$F42)+$S42*(1-$G42))*((1+Inputs!$D$7)^CY$2))),((Inputs!$D$8^((1-_xlfn.WEIBULL.DIST(CY$2,$M42,$L42,FALSE))/_xlfn.WEIBULL.DIST(CY$2,$M42,$L42,FALSE))*($T42*(1-$F42)+$S42*(1-$G42))*((1+Inputs!$D$7)^CY$2))))))))</f>
        <v>0</v>
      </c>
      <c r="CZ42" s="88">
        <f>MAX(BJ42,($E42*IF(CZ$2&gt;Inputs!$D$5,0,IF(CZ$2&gt;VLOOKUP($H42,Lists!$P$3:$Q$7,2),IF($N42=Lists!$K$3,IF($L42&lt;1,(($U42/$L42)*((1+Inputs!$D$7)^CZ$2)),((INT(CZ$2/$L42)-INT((CZ$2-1)/$L42))*$U42*((1+Inputs!$D$7)^CZ$2))),(Inputs!$D$8^((1-_xlfn.WEIBULL.DIST(CZ$2,$M42,$L42,FALSE))/_xlfn.WEIBULL.DIST(CZ$2,$M42,$L42,FALSE))*$U42*((1+Inputs!$D$7)^CZ$2))),IF($N42=Lists!$K$3,IF($L42&lt;1,((($T42*(1-$F42)+$S42*(1-$G42))/$L42)*((1+Inputs!$D$7)^CZ$2)),((INT(CZ$2/$L42)-INT((CZ$2-1)/$L42))*($T42*(1-$F42)+$S42*(1-$G42))*((1+Inputs!$D$7)^CZ$2))),((Inputs!$D$8^((1-_xlfn.WEIBULL.DIST(CZ$2,$M42,$L42,FALSE))/_xlfn.WEIBULL.DIST(CZ$2,$M42,$L42,FALSE))*($T42*(1-$F42)+$S42*(1-$G42))*((1+Inputs!$D$7)^CZ$2))))))))</f>
        <v>0</v>
      </c>
      <c r="DA42" s="88">
        <f>MAX(BK42,($E42*IF(DA$2&gt;Inputs!$D$5,0,IF(DA$2&gt;VLOOKUP($H42,Lists!$P$3:$Q$7,2),IF($N42=Lists!$K$3,IF($L42&lt;1,(($U42/$L42)*((1+Inputs!$D$7)^DA$2)),((INT(DA$2/$L42)-INT((DA$2-1)/$L42))*$U42*((1+Inputs!$D$7)^DA$2))),(Inputs!$D$8^((1-_xlfn.WEIBULL.DIST(DA$2,$M42,$L42,FALSE))/_xlfn.WEIBULL.DIST(DA$2,$M42,$L42,FALSE))*$U42*((1+Inputs!$D$7)^DA$2))),IF($N42=Lists!$K$3,IF($L42&lt;1,((($T42*(1-$F42)+$S42*(1-$G42))/$L42)*((1+Inputs!$D$7)^DA$2)),((INT(DA$2/$L42)-INT((DA$2-1)/$L42))*($T42*(1-$F42)+$S42*(1-$G42))*((1+Inputs!$D$7)^DA$2))),((Inputs!$D$8^((1-_xlfn.WEIBULL.DIST(DA$2,$M42,$L42,FALSE))/_xlfn.WEIBULL.DIST(DA$2,$M42,$L42,FALSE))*($T42*(1-$F42)+$S42*(1-$G42))*((1+Inputs!$D$7)^DA$2))))))))</f>
        <v>0</v>
      </c>
      <c r="DB42" s="88">
        <f>MAX(BL42,($E42*IF(DB$2&gt;Inputs!$D$5,0,IF(DB$2&gt;VLOOKUP($H42,Lists!$P$3:$Q$7,2),IF($N42=Lists!$K$3,IF($L42&lt;1,(($U42/$L42)*((1+Inputs!$D$7)^DB$2)),((INT(DB$2/$L42)-INT((DB$2-1)/$L42))*$U42*((1+Inputs!$D$7)^DB$2))),(Inputs!$D$8^((1-_xlfn.WEIBULL.DIST(DB$2,$M42,$L42,FALSE))/_xlfn.WEIBULL.DIST(DB$2,$M42,$L42,FALSE))*$U42*((1+Inputs!$D$7)^DB$2))),IF($N42=Lists!$K$3,IF($L42&lt;1,((($T42*(1-$F42)+$S42*(1-$G42))/$L42)*((1+Inputs!$D$7)^DB$2)),((INT(DB$2/$L42)-INT((DB$2-1)/$L42))*($T42*(1-$F42)+$S42*(1-$G42))*((1+Inputs!$D$7)^DB$2))),((Inputs!$D$8^((1-_xlfn.WEIBULL.DIST(DB$2,$M42,$L42,FALSE))/_xlfn.WEIBULL.DIST(DB$2,$M42,$L42,FALSE))*($T42*(1-$F42)+$S42*(1-$G42))*((1+Inputs!$D$7)^DB$2))))))))</f>
        <v>0</v>
      </c>
      <c r="DC42" s="88">
        <f>MAX(BM42,($E42*IF(DC$2&gt;Inputs!$D$5,0,IF(DC$2&gt;VLOOKUP($H42,Lists!$P$3:$Q$7,2),IF($N42=Lists!$K$3,IF($L42&lt;1,(($U42/$L42)*((1+Inputs!$D$7)^DC$2)),((INT(DC$2/$L42)-INT((DC$2-1)/$L42))*$U42*((1+Inputs!$D$7)^DC$2))),(Inputs!$D$8^((1-_xlfn.WEIBULL.DIST(DC$2,$M42,$L42,FALSE))/_xlfn.WEIBULL.DIST(DC$2,$M42,$L42,FALSE))*$U42*((1+Inputs!$D$7)^DC$2))),IF($N42=Lists!$K$3,IF($L42&lt;1,((($T42*(1-$F42)+$S42*(1-$G42))/$L42)*((1+Inputs!$D$7)^DC$2)),((INT(DC$2/$L42)-INT((DC$2-1)/$L42))*($T42*(1-$F42)+$S42*(1-$G42))*((1+Inputs!$D$7)^DC$2))),((Inputs!$D$8^((1-_xlfn.WEIBULL.DIST(DC$2,$M42,$L42,FALSE))/_xlfn.WEIBULL.DIST(DC$2,$M42,$L42,FALSE))*($T42*(1-$F42)+$S42*(1-$G42))*((1+Inputs!$D$7)^DC$2))))))))</f>
        <v>0</v>
      </c>
      <c r="DD42" s="88">
        <f>MAX(BN42,($E42*IF(DD$2&gt;Inputs!$D$5,0,IF(DD$2&gt;VLOOKUP($H42,Lists!$P$3:$Q$7,2),IF($N42=Lists!$K$3,IF($L42&lt;1,(($U42/$L42)*((1+Inputs!$D$7)^DD$2)),((INT(DD$2/$L42)-INT((DD$2-1)/$L42))*$U42*((1+Inputs!$D$7)^DD$2))),(Inputs!$D$8^((1-_xlfn.WEIBULL.DIST(DD$2,$M42,$L42,FALSE))/_xlfn.WEIBULL.DIST(DD$2,$M42,$L42,FALSE))*$U42*((1+Inputs!$D$7)^DD$2))),IF($N42=Lists!$K$3,IF($L42&lt;1,((($T42*(1-$F42)+$S42*(1-$G42))/$L42)*((1+Inputs!$D$7)^DD$2)),((INT(DD$2/$L42)-INT((DD$2-1)/$L42))*($T42*(1-$F42)+$S42*(1-$G42))*((1+Inputs!$D$7)^DD$2))),((Inputs!$D$8^((1-_xlfn.WEIBULL.DIST(DD$2,$M42,$L42,FALSE))/_xlfn.WEIBULL.DIST(DD$2,$M42,$L42,FALSE))*($T42*(1-$F42)+$S42*(1-$G42))*((1+Inputs!$D$7)^DD$2))))))))</f>
        <v>0</v>
      </c>
    </row>
    <row r="43" spans="1:108" s="1" customFormat="1" ht="16">
      <c r="A43" s="57" t="s">
        <v>185</v>
      </c>
      <c r="B43" s="13" t="s">
        <v>130</v>
      </c>
      <c r="C43" s="13" t="s">
        <v>474</v>
      </c>
      <c r="D43" s="13" t="s">
        <v>16</v>
      </c>
      <c r="E43" s="48">
        <f>IF(Inputs!$D$30=Lists!$M$4,1,0)</f>
        <v>1</v>
      </c>
      <c r="F43" s="48">
        <v>1</v>
      </c>
      <c r="G43" s="48">
        <v>0</v>
      </c>
      <c r="H43" s="105" t="s">
        <v>16</v>
      </c>
      <c r="I43" s="14" t="s">
        <v>264</v>
      </c>
      <c r="J43" s="14" t="s">
        <v>91</v>
      </c>
      <c r="K43" s="13">
        <f>VLOOKUP(J43,'Labor Rates'!$A$1:$F$16,2)</f>
        <v>33.17307692307692</v>
      </c>
      <c r="L43" s="15">
        <v>20</v>
      </c>
      <c r="M43" s="15">
        <v>1</v>
      </c>
      <c r="N43" s="16" t="s">
        <v>226</v>
      </c>
      <c r="O43" s="61">
        <f>Inputs!$D$32</f>
        <v>10</v>
      </c>
      <c r="P43" s="15">
        <v>1</v>
      </c>
      <c r="Q43" s="15">
        <f t="shared" si="7"/>
        <v>0.5</v>
      </c>
      <c r="R43" s="4">
        <v>55</v>
      </c>
      <c r="S43" s="53">
        <f t="shared" si="8"/>
        <v>331.73076923076917</v>
      </c>
      <c r="T43" s="53">
        <f t="shared" si="9"/>
        <v>550</v>
      </c>
      <c r="U43" s="54">
        <f t="shared" si="10"/>
        <v>881.73076923076917</v>
      </c>
      <c r="V43" s="65"/>
      <c r="W43" s="58"/>
      <c r="X43" s="64">
        <f t="shared" si="11"/>
        <v>20.906470428860953</v>
      </c>
      <c r="Y43" s="64">
        <f>NPV(Inputs!$D$6,AA43:BN43)</f>
        <v>224.74185890948525</v>
      </c>
      <c r="Z43" s="67">
        <f t="shared" si="12"/>
        <v>1.0599923271836522E-4</v>
      </c>
      <c r="AA43" s="88">
        <f>$E43*IF(AA$2&gt;Inputs!$D$5,0,IF(AA$2&gt;VLOOKUP($H43,Lists!$P$3:$Q$7,2),IF($N43=Lists!$K$3,IF($L43&lt;1,(($U43/$L43)*((1+Inputs!$D$7)^AA$2)),((INT(AA$2/$L43)-INT((AA$2-1)/$L43))*$U43*((1+Inputs!$D$7)^AA$2))),(_xlfn.WEIBULL.DIST(AA$2,$M43,$L43,FALSE)*$U43*((1+Inputs!$D$7)^AA$2))),IF($N43=Lists!$K$3,IF($L43&lt;1,((($T43*(1-$F43)+$S43*(1-$G43))/$L43)*((1+Inputs!$D$7)^AA$2)),((INT(AA$2/$L43)-INT((AA$2-1)/$L43))*($T43*(1-$F43)+$S43*(1-$G43))*((1+Inputs!$D$7)^AA$2))),((_xlfn.WEIBULL.DIST(AA$2,$M43,$L43,FALSE)*($T43*(1-$F43)+$S43*(1-$G43))*((1+Inputs!$D$7)^AA$2))))))</f>
        <v>16.093155503932753</v>
      </c>
      <c r="AB43" s="88">
        <f>$E43*IF(AB$2&gt;Inputs!$D$5,0,IF(AB$2&gt;VLOOKUP($H43,Lists!$P$3:$Q$7,2),IF($N43=Lists!$K$3,IF($L43&lt;1,(($U43/$L43)*((1+Inputs!$D$7)^AB$2)),((INT(AB$2/$L43)-INT((AB$2-1)/$L43))*$U43*((1+Inputs!$D$7)^AB$2))),(_xlfn.WEIBULL.DIST(AB$2,$M43,$L43,FALSE)*$U43*((1+Inputs!$D$7)^AB$2))),IF($N43=Lists!$K$3,IF($L43&lt;1,((($T43*(1-$F43)+$S43*(1-$G43))/$L43)*((1+Inputs!$D$7)^AB$2)),((INT(AB$2/$L43)-INT((AB$2-1)/$L43))*($T43*(1-$F43)+$S43*(1-$G43))*((1+Inputs!$D$7)^AB$2))),((_xlfn.WEIBULL.DIST(AB$2,$M43,$L43,FALSE)*($T43*(1-$F43)+$S43*(1-$G43))*((1+Inputs!$D$7)^AB$2))))))</f>
        <v>15.61444870937458</v>
      </c>
      <c r="AC43" s="88">
        <f>$E43*IF(AC$2&gt;Inputs!$D$5,0,IF(AC$2&gt;VLOOKUP($H43,Lists!$P$3:$Q$7,2),IF($N43=Lists!$K$3,IF($L43&lt;1,(($U43/$L43)*((1+Inputs!$D$7)^AC$2)),((INT(AC$2/$L43)-INT((AC$2-1)/$L43))*$U43*((1+Inputs!$D$7)^AC$2))),(_xlfn.WEIBULL.DIST(AC$2,$M43,$L43,FALSE)*$U43*((1+Inputs!$D$7)^AC$2))),IF($N43=Lists!$K$3,IF($L43&lt;1,((($T43*(1-$F43)+$S43*(1-$G43))/$L43)*((1+Inputs!$D$7)^AC$2)),((INT(AC$2/$L43)-INT((AC$2-1)/$L43))*($T43*(1-$F43)+$S43*(1-$G43))*((1+Inputs!$D$7)^AC$2))),((_xlfn.WEIBULL.DIST(AC$2,$M43,$L43,FALSE)*($T43*(1-$F43)+$S43*(1-$G43))*((1+Inputs!$D$7)^AC$2))))))</f>
        <v>15.149981520908584</v>
      </c>
      <c r="AD43" s="88">
        <f>$E43*IF(AD$2&gt;Inputs!$D$5,0,IF(AD$2&gt;VLOOKUP($H43,Lists!$P$3:$Q$7,2),IF($N43=Lists!$K$3,IF($L43&lt;1,(($U43/$L43)*((1+Inputs!$D$7)^AD$2)),((INT(AD$2/$L43)-INT((AD$2-1)/$L43))*$U43*((1+Inputs!$D$7)^AD$2))),(_xlfn.WEIBULL.DIST(AD$2,$M43,$L43,FALSE)*$U43*((1+Inputs!$D$7)^AD$2))),IF($N43=Lists!$K$3,IF($L43&lt;1,((($T43*(1-$F43)+$S43*(1-$G43))/$L43)*((1+Inputs!$D$7)^AD$2)),((INT(AD$2/$L43)-INT((AD$2-1)/$L43))*($T43*(1-$F43)+$S43*(1-$G43))*((1+Inputs!$D$7)^AD$2))),((_xlfn.WEIBULL.DIST(AD$2,$M43,$L43,FALSE)*($T43*(1-$F43)+$S43*(1-$G43))*((1+Inputs!$D$7)^AD$2))))))</f>
        <v>14.69933036739693</v>
      </c>
      <c r="AE43" s="88">
        <f>$E43*IF(AE$2&gt;Inputs!$D$5,0,IF(AE$2&gt;VLOOKUP($H43,Lists!$P$3:$Q$7,2),IF($N43=Lists!$K$3,IF($L43&lt;1,(($U43/$L43)*((1+Inputs!$D$7)^AE$2)),((INT(AE$2/$L43)-INT((AE$2-1)/$L43))*$U43*((1+Inputs!$D$7)^AE$2))),(_xlfn.WEIBULL.DIST(AE$2,$M43,$L43,FALSE)*$U43*((1+Inputs!$D$7)^AE$2))),IF($N43=Lists!$K$3,IF($L43&lt;1,((($T43*(1-$F43)+$S43*(1-$G43))/$L43)*((1+Inputs!$D$7)^AE$2)),((INT(AE$2/$L43)-INT((AE$2-1)/$L43))*($T43*(1-$F43)+$S43*(1-$G43))*((1+Inputs!$D$7)^AE$2))),((_xlfn.WEIBULL.DIST(AE$2,$M43,$L43,FALSE)*($T43*(1-$F43)+$S43*(1-$G43))*((1+Inputs!$D$7)^AE$2))))))</f>
        <v>14.262084277243348</v>
      </c>
      <c r="AF43" s="88">
        <f>$E43*IF(AF$2&gt;Inputs!$D$5,0,IF(AF$2&gt;VLOOKUP($H43,Lists!$P$3:$Q$7,2),IF($N43=Lists!$K$3,IF($L43&lt;1,(($U43/$L43)*((1+Inputs!$D$7)^AF$2)),((INT(AF$2/$L43)-INT((AF$2-1)/$L43))*$U43*((1+Inputs!$D$7)^AF$2))),(_xlfn.WEIBULL.DIST(AF$2,$M43,$L43,FALSE)*$U43*((1+Inputs!$D$7)^AF$2))),IF($N43=Lists!$K$3,IF($L43&lt;1,((($T43*(1-$F43)+$S43*(1-$G43))/$L43)*((1+Inputs!$D$7)^AF$2)),((INT(AF$2/$L43)-INT((AF$2-1)/$L43))*($T43*(1-$F43)+$S43*(1-$G43))*((1+Inputs!$D$7)^AF$2))),((_xlfn.WEIBULL.DIST(AF$2,$M43,$L43,FALSE)*($T43*(1-$F43)+$S43*(1-$G43))*((1+Inputs!$D$7)^AF$2))))))</f>
        <v>13.837844503607332</v>
      </c>
      <c r="AG43" s="88">
        <f>$E43*IF(AG$2&gt;Inputs!$D$5,0,IF(AG$2&gt;VLOOKUP($H43,Lists!$P$3:$Q$7,2),IF($N43=Lists!$K$3,IF($L43&lt;1,(($U43/$L43)*((1+Inputs!$D$7)^AG$2)),((INT(AG$2/$L43)-INT((AG$2-1)/$L43))*$U43*((1+Inputs!$D$7)^AG$2))),(_xlfn.WEIBULL.DIST(AG$2,$M43,$L43,FALSE)*$U43*((1+Inputs!$D$7)^AG$2))),IF($N43=Lists!$K$3,IF($L43&lt;1,((($T43*(1-$F43)+$S43*(1-$G43))/$L43)*((1+Inputs!$D$7)^AG$2)),((INT(AG$2/$L43)-INT((AG$2-1)/$L43))*($T43*(1-$F43)+$S43*(1-$G43))*((1+Inputs!$D$7)^AG$2))),((_xlfn.WEIBULL.DIST(AG$2,$M43,$L43,FALSE)*($T43*(1-$F43)+$S43*(1-$G43))*((1+Inputs!$D$7)^AG$2))))))</f>
        <v>13.426224160766701</v>
      </c>
      <c r="AH43" s="88">
        <f>$E43*IF(AH$2&gt;Inputs!$D$5,0,IF(AH$2&gt;VLOOKUP($H43,Lists!$P$3:$Q$7,2),IF($N43=Lists!$K$3,IF($L43&lt;1,(($U43/$L43)*((1+Inputs!$D$7)^AH$2)),((INT(AH$2/$L43)-INT((AH$2-1)/$L43))*$U43*((1+Inputs!$D$7)^AH$2))),(_xlfn.WEIBULL.DIST(AH$2,$M43,$L43,FALSE)*$U43*((1+Inputs!$D$7)^AH$2))),IF($N43=Lists!$K$3,IF($L43&lt;1,((($T43*(1-$F43)+$S43*(1-$G43))/$L43)*((1+Inputs!$D$7)^AH$2)),((INT(AH$2/$L43)-INT((AH$2-1)/$L43))*($T43*(1-$F43)+$S43*(1-$G43))*((1+Inputs!$D$7)^AH$2))),((_xlfn.WEIBULL.DIST(AH$2,$M43,$L43,FALSE)*($T43*(1-$F43)+$S43*(1-$G43))*((1+Inputs!$D$7)^AH$2))))))</f>
        <v>13.026847871296967</v>
      </c>
      <c r="AI43" s="88">
        <f>$E43*IF(AI$2&gt;Inputs!$D$5,0,IF(AI$2&gt;VLOOKUP($H43,Lists!$P$3:$Q$7,2),IF($N43=Lists!$K$3,IF($L43&lt;1,(($U43/$L43)*((1+Inputs!$D$7)^AI$2)),((INT(AI$2/$L43)-INT((AI$2-1)/$L43))*$U43*((1+Inputs!$D$7)^AI$2))),(_xlfn.WEIBULL.DIST(AI$2,$M43,$L43,FALSE)*$U43*((1+Inputs!$D$7)^AI$2))),IF($N43=Lists!$K$3,IF($L43&lt;1,((($T43*(1-$F43)+$S43*(1-$G43))/$L43)*((1+Inputs!$D$7)^AI$2)),((INT(AI$2/$L43)-INT((AI$2-1)/$L43))*($T43*(1-$F43)+$S43*(1-$G43))*((1+Inputs!$D$7)^AI$2))),((_xlfn.WEIBULL.DIST(AI$2,$M43,$L43,FALSE)*($T43*(1-$F43)+$S43*(1-$G43))*((1+Inputs!$D$7)^AI$2))))))</f>
        <v>12.639351423745609</v>
      </c>
      <c r="AJ43" s="88">
        <f>$E43*IF(AJ$2&gt;Inputs!$D$5,0,IF(AJ$2&gt;VLOOKUP($H43,Lists!$P$3:$Q$7,2),IF($N43=Lists!$K$3,IF($L43&lt;1,(($U43/$L43)*((1+Inputs!$D$7)^AJ$2)),((INT(AJ$2/$L43)-INT((AJ$2-1)/$L43))*$U43*((1+Inputs!$D$7)^AJ$2))),(_xlfn.WEIBULL.DIST(AJ$2,$M43,$L43,FALSE)*$U43*((1+Inputs!$D$7)^AJ$2))),IF($N43=Lists!$K$3,IF($L43&lt;1,((($T43*(1-$F43)+$S43*(1-$G43))/$L43)*((1+Inputs!$D$7)^AJ$2)),((INT(AJ$2/$L43)-INT((AJ$2-1)/$L43))*($T43*(1-$F43)+$S43*(1-$G43))*((1+Inputs!$D$7)^AJ$2))),((_xlfn.WEIBULL.DIST(AJ$2,$M43,$L43,FALSE)*($T43*(1-$F43)+$S43*(1-$G43))*((1+Inputs!$D$7)^AJ$2))))))</f>
        <v>12.263381440489251</v>
      </c>
      <c r="AK43" s="88">
        <f>$E43*IF(AK$2&gt;Inputs!$D$5,0,IF(AK$2&gt;VLOOKUP($H43,Lists!$P$3:$Q$7,2),IF($N43=Lists!$K$3,IF($L43&lt;1,(($U43/$L43)*((1+Inputs!$D$7)^AK$2)),((INT(AK$2/$L43)-INT((AK$2-1)/$L43))*$U43*((1+Inputs!$D$7)^AK$2))),(_xlfn.WEIBULL.DIST(AK$2,$M43,$L43,FALSE)*$U43*((1+Inputs!$D$7)^AK$2))),IF($N43=Lists!$K$3,IF($L43&lt;1,((($T43*(1-$F43)+$S43*(1-$G43))/$L43)*((1+Inputs!$D$7)^AK$2)),((INT(AK$2/$L43)-INT((AK$2-1)/$L43))*($T43*(1-$F43)+$S43*(1-$G43))*((1+Inputs!$D$7)^AK$2))),((_xlfn.WEIBULL.DIST(AK$2,$M43,$L43,FALSE)*($T43*(1-$F43)+$S43*(1-$G43))*((1+Inputs!$D$7)^AK$2))))))</f>
        <v>31.626120770627953</v>
      </c>
      <c r="AL43" s="88">
        <f>$E43*IF(AL$2&gt;Inputs!$D$5,0,IF(AL$2&gt;VLOOKUP($H43,Lists!$P$3:$Q$7,2),IF($N43=Lists!$K$3,IF($L43&lt;1,(($U43/$L43)*((1+Inputs!$D$7)^AL$2)),((INT(AL$2/$L43)-INT((AL$2-1)/$L43))*$U43*((1+Inputs!$D$7)^AL$2))),(_xlfn.WEIBULL.DIST(AL$2,$M43,$L43,FALSE)*$U43*((1+Inputs!$D$7)^AL$2))),IF($N43=Lists!$K$3,IF($L43&lt;1,((($T43*(1-$F43)+$S43*(1-$G43))/$L43)*((1+Inputs!$D$7)^AL$2)),((INT(AL$2/$L43)-INT((AL$2-1)/$L43))*($T43*(1-$F43)+$S43*(1-$G43))*((1+Inputs!$D$7)^AL$2))),((_xlfn.WEIBULL.DIST(AL$2,$M43,$L43,FALSE)*($T43*(1-$F43)+$S43*(1-$G43))*((1+Inputs!$D$7)^AL$2))))))</f>
        <v>30.685370593031205</v>
      </c>
      <c r="AM43" s="88">
        <f>$E43*IF(AM$2&gt;Inputs!$D$5,0,IF(AM$2&gt;VLOOKUP($H43,Lists!$P$3:$Q$7,2),IF($N43=Lists!$K$3,IF($L43&lt;1,(($U43/$L43)*((1+Inputs!$D$7)^AM$2)),((INT(AM$2/$L43)-INT((AM$2-1)/$L43))*$U43*((1+Inputs!$D$7)^AM$2))),(_xlfn.WEIBULL.DIST(AM$2,$M43,$L43,FALSE)*$U43*((1+Inputs!$D$7)^AM$2))),IF($N43=Lists!$K$3,IF($L43&lt;1,((($T43*(1-$F43)+$S43*(1-$G43))/$L43)*((1+Inputs!$D$7)^AM$2)),((INT(AM$2/$L43)-INT((AM$2-1)/$L43))*($T43*(1-$F43)+$S43*(1-$G43))*((1+Inputs!$D$7)^AM$2))),((_xlfn.WEIBULL.DIST(AM$2,$M43,$L43,FALSE)*($T43*(1-$F43)+$S43*(1-$G43))*((1+Inputs!$D$7)^AM$2))))))</f>
        <v>29.772603957996211</v>
      </c>
      <c r="AN43" s="88">
        <f>$E43*IF(AN$2&gt;Inputs!$D$5,0,IF(AN$2&gt;VLOOKUP($H43,Lists!$P$3:$Q$7,2),IF($N43=Lists!$K$3,IF($L43&lt;1,(($U43/$L43)*((1+Inputs!$D$7)^AN$2)),((INT(AN$2/$L43)-INT((AN$2-1)/$L43))*$U43*((1+Inputs!$D$7)^AN$2))),(_xlfn.WEIBULL.DIST(AN$2,$M43,$L43,FALSE)*$U43*((1+Inputs!$D$7)^AN$2))),IF($N43=Lists!$K$3,IF($L43&lt;1,((($T43*(1-$F43)+$S43*(1-$G43))/$L43)*((1+Inputs!$D$7)^AN$2)),((INT(AN$2/$L43)-INT((AN$2-1)/$L43))*($T43*(1-$F43)+$S43*(1-$G43))*((1+Inputs!$D$7)^AN$2))),((_xlfn.WEIBULL.DIST(AN$2,$M43,$L43,FALSE)*($T43*(1-$F43)+$S43*(1-$G43))*((1+Inputs!$D$7)^AN$2))))))</f>
        <v>28.886988467429465</v>
      </c>
      <c r="AO43" s="88">
        <f>$E43*IF(AO$2&gt;Inputs!$D$5,0,IF(AO$2&gt;VLOOKUP($H43,Lists!$P$3:$Q$7,2),IF($N43=Lists!$K$3,IF($L43&lt;1,(($U43/$L43)*((1+Inputs!$D$7)^AO$2)),((INT(AO$2/$L43)-INT((AO$2-1)/$L43))*$U43*((1+Inputs!$D$7)^AO$2))),(_xlfn.WEIBULL.DIST(AO$2,$M43,$L43,FALSE)*$U43*((1+Inputs!$D$7)^AO$2))),IF($N43=Lists!$K$3,IF($L43&lt;1,((($T43*(1-$F43)+$S43*(1-$G43))/$L43)*((1+Inputs!$D$7)^AO$2)),((INT(AO$2/$L43)-INT((AO$2-1)/$L43))*($T43*(1-$F43)+$S43*(1-$G43))*((1+Inputs!$D$7)^AO$2))),((_xlfn.WEIBULL.DIST(AO$2,$M43,$L43,FALSE)*($T43*(1-$F43)+$S43*(1-$G43))*((1+Inputs!$D$7)^AO$2))))))</f>
        <v>28.027716483740317</v>
      </c>
      <c r="AP43" s="88">
        <f>$E43*IF(AP$2&gt;Inputs!$D$5,0,IF(AP$2&gt;VLOOKUP($H43,Lists!$P$3:$Q$7,2),IF($N43=Lists!$K$3,IF($L43&lt;1,(($U43/$L43)*((1+Inputs!$D$7)^AP$2)),((INT(AP$2/$L43)-INT((AP$2-1)/$L43))*$U43*((1+Inputs!$D$7)^AP$2))),(_xlfn.WEIBULL.DIST(AP$2,$M43,$L43,FALSE)*$U43*((1+Inputs!$D$7)^AP$2))),IF($N43=Lists!$K$3,IF($L43&lt;1,((($T43*(1-$F43)+$S43*(1-$G43))/$L43)*((1+Inputs!$D$7)^AP$2)),((INT(AP$2/$L43)-INT((AP$2-1)/$L43))*($T43*(1-$F43)+$S43*(1-$G43))*((1+Inputs!$D$7)^AP$2))),((_xlfn.WEIBULL.DIST(AP$2,$M43,$L43,FALSE)*($T43*(1-$F43)+$S43*(1-$G43))*((1+Inputs!$D$7)^AP$2))))))</f>
        <v>27.194004393315431</v>
      </c>
      <c r="AQ43" s="88">
        <f>$E43*IF(AQ$2&gt;Inputs!$D$5,0,IF(AQ$2&gt;VLOOKUP($H43,Lists!$P$3:$Q$7,2),IF($N43=Lists!$K$3,IF($L43&lt;1,(($U43/$L43)*((1+Inputs!$D$7)^AQ$2)),((INT(AQ$2/$L43)-INT((AQ$2-1)/$L43))*$U43*((1+Inputs!$D$7)^AQ$2))),(_xlfn.WEIBULL.DIST(AQ$2,$M43,$L43,FALSE)*$U43*((1+Inputs!$D$7)^AQ$2))),IF($N43=Lists!$K$3,IF($L43&lt;1,((($T43*(1-$F43)+$S43*(1-$G43))/$L43)*((1+Inputs!$D$7)^AQ$2)),((INT(AQ$2/$L43)-INT((AQ$2-1)/$L43))*($T43*(1-$F43)+$S43*(1-$G43))*((1+Inputs!$D$7)^AQ$2))),((_xlfn.WEIBULL.DIST(AQ$2,$M43,$L43,FALSE)*($T43*(1-$F43)+$S43*(1-$G43))*((1+Inputs!$D$7)^AQ$2))))))</f>
        <v>26.385091891901798</v>
      </c>
      <c r="AR43" s="88">
        <f>$E43*IF(AR$2&gt;Inputs!$D$5,0,IF(AR$2&gt;VLOOKUP($H43,Lists!$P$3:$Q$7,2),IF($N43=Lists!$K$3,IF($L43&lt;1,(($U43/$L43)*((1+Inputs!$D$7)^AR$2)),((INT(AR$2/$L43)-INT((AR$2-1)/$L43))*$U43*((1+Inputs!$D$7)^AR$2))),(_xlfn.WEIBULL.DIST(AR$2,$M43,$L43,FALSE)*$U43*((1+Inputs!$D$7)^AR$2))),IF($N43=Lists!$K$3,IF($L43&lt;1,((($T43*(1-$F43)+$S43*(1-$G43))/$L43)*((1+Inputs!$D$7)^AR$2)),((INT(AR$2/$L43)-INT((AR$2-1)/$L43))*($T43*(1-$F43)+$S43*(1-$G43))*((1+Inputs!$D$7)^AR$2))),((_xlfn.WEIBULL.DIST(AR$2,$M43,$L43,FALSE)*($T43*(1-$F43)+$S43*(1-$G43))*((1+Inputs!$D$7)^AR$2))))))</f>
        <v>25.600241291246846</v>
      </c>
      <c r="AS43" s="88">
        <f>$E43*IF(AS$2&gt;Inputs!$D$5,0,IF(AS$2&gt;VLOOKUP($H43,Lists!$P$3:$Q$7,2),IF($N43=Lists!$K$3,IF($L43&lt;1,(($U43/$L43)*((1+Inputs!$D$7)^AS$2)),((INT(AS$2/$L43)-INT((AS$2-1)/$L43))*$U43*((1+Inputs!$D$7)^AS$2))),(_xlfn.WEIBULL.DIST(AS$2,$M43,$L43,FALSE)*$U43*((1+Inputs!$D$7)^AS$2))),IF($N43=Lists!$K$3,IF($L43&lt;1,((($T43*(1-$F43)+$S43*(1-$G43))/$L43)*((1+Inputs!$D$7)^AS$2)),((INT(AS$2/$L43)-INT((AS$2-1)/$L43))*($T43*(1-$F43)+$S43*(1-$G43))*((1+Inputs!$D$7)^AS$2))),((_xlfn.WEIBULL.DIST(AS$2,$M43,$L43,FALSE)*($T43*(1-$F43)+$S43*(1-$G43))*((1+Inputs!$D$7)^AS$2))))))</f>
        <v>24.83873684636319</v>
      </c>
      <c r="AT43" s="88">
        <f>$E43*IF(AT$2&gt;Inputs!$D$5,0,IF(AT$2&gt;VLOOKUP($H43,Lists!$P$3:$Q$7,2),IF($N43=Lists!$K$3,IF($L43&lt;1,(($U43/$L43)*((1+Inputs!$D$7)^AT$2)),((INT(AT$2/$L43)-INT((AT$2-1)/$L43))*$U43*((1+Inputs!$D$7)^AT$2))),(_xlfn.WEIBULL.DIST(AT$2,$M43,$L43,FALSE)*$U43*((1+Inputs!$D$7)^AT$2))),IF($N43=Lists!$K$3,IF($L43&lt;1,((($T43*(1-$F43)+$S43*(1-$G43))/$L43)*((1+Inputs!$D$7)^AT$2)),((INT(AT$2/$L43)-INT((AT$2-1)/$L43))*($T43*(1-$F43)+$S43*(1-$G43))*((1+Inputs!$D$7)^AT$2))),((_xlfn.WEIBULL.DIST(AT$2,$M43,$L43,FALSE)*($T43*(1-$F43)+$S43*(1-$G43))*((1+Inputs!$D$7)^AT$2))))))</f>
        <v>24.099884102804559</v>
      </c>
      <c r="AU43" s="88">
        <f>$E43*IF(AU$2&gt;Inputs!$D$5,0,IF(AU$2&gt;VLOOKUP($H43,Lists!$P$3:$Q$7,2),IF($N43=Lists!$K$3,IF($L43&lt;1,(($U43/$L43)*((1+Inputs!$D$7)^AU$2)),((INT(AU$2/$L43)-INT((AU$2-1)/$L43))*$U43*((1+Inputs!$D$7)^AU$2))),(_xlfn.WEIBULL.DIST(AU$2,$M43,$L43,FALSE)*$U43*((1+Inputs!$D$7)^AU$2))),IF($N43=Lists!$K$3,IF($L43&lt;1,((($T43*(1-$F43)+$S43*(1-$G43))/$L43)*((1+Inputs!$D$7)^AU$2)),((INT(AU$2/$L43)-INT((AU$2-1)/$L43))*($T43*(1-$F43)+$S43*(1-$G43))*((1+Inputs!$D$7)^AU$2))),((_xlfn.WEIBULL.DIST(AU$2,$M43,$L43,FALSE)*($T43*(1-$F43)+$S43*(1-$G43))*((1+Inputs!$D$7)^AU$2))))))</f>
        <v>23.383009263357575</v>
      </c>
      <c r="AV43" s="88">
        <f>$E43*IF(AV$2&gt;Inputs!$D$5,0,IF(AV$2&gt;VLOOKUP($H43,Lists!$P$3:$Q$7,2),IF($N43=Lists!$K$3,IF($L43&lt;1,(($U43/$L43)*((1+Inputs!$D$7)^AV$2)),((INT(AV$2/$L43)-INT((AV$2-1)/$L43))*$U43*((1+Inputs!$D$7)^AV$2))),(_xlfn.WEIBULL.DIST(AV$2,$M43,$L43,FALSE)*$U43*((1+Inputs!$D$7)^AV$2))),IF($N43=Lists!$K$3,IF($L43&lt;1,((($T43*(1-$F43)+$S43*(1-$G43))/$L43)*((1+Inputs!$D$7)^AV$2)),((INT(AV$2/$L43)-INT((AV$2-1)/$L43))*($T43*(1-$F43)+$S43*(1-$G43))*((1+Inputs!$D$7)^AV$2))),((_xlfn.WEIBULL.DIST(AV$2,$M43,$L43,FALSE)*($T43*(1-$F43)+$S43*(1-$G43))*((1+Inputs!$D$7)^AV$2))))))</f>
        <v>22.687458573572066</v>
      </c>
      <c r="AW43" s="88">
        <f>$E43*IF(AW$2&gt;Inputs!$D$5,0,IF(AW$2&gt;VLOOKUP($H43,Lists!$P$3:$Q$7,2),IF($N43=Lists!$K$3,IF($L43&lt;1,(($U43/$L43)*((1+Inputs!$D$7)^AW$2)),((INT(AW$2/$L43)-INT((AW$2-1)/$L43))*$U43*((1+Inputs!$D$7)^AW$2))),(_xlfn.WEIBULL.DIST(AW$2,$M43,$L43,FALSE)*$U43*((1+Inputs!$D$7)^AW$2))),IF($N43=Lists!$K$3,IF($L43&lt;1,((($T43*(1-$F43)+$S43*(1-$G43))/$L43)*((1+Inputs!$D$7)^AW$2)),((INT(AW$2/$L43)-INT((AW$2-1)/$L43))*($T43*(1-$F43)+$S43*(1-$G43))*((1+Inputs!$D$7)^AW$2))),((_xlfn.WEIBULL.DIST(AW$2,$M43,$L43,FALSE)*($T43*(1-$F43)+$S43*(1-$G43))*((1+Inputs!$D$7)^AW$2))))))</f>
        <v>22.012597725569197</v>
      </c>
      <c r="AX43" s="88">
        <f>$E43*IF(AX$2&gt;Inputs!$D$5,0,IF(AX$2&gt;VLOOKUP($H43,Lists!$P$3:$Q$7,2),IF($N43=Lists!$K$3,IF($L43&lt;1,(($U43/$L43)*((1+Inputs!$D$7)^AX$2)),((INT(AX$2/$L43)-INT((AX$2-1)/$L43))*$U43*((1+Inputs!$D$7)^AX$2))),(_xlfn.WEIBULL.DIST(AX$2,$M43,$L43,FALSE)*$U43*((1+Inputs!$D$7)^AX$2))),IF($N43=Lists!$K$3,IF($L43&lt;1,((($T43*(1-$F43)+$S43*(1-$G43))/$L43)*((1+Inputs!$D$7)^AX$2)),((INT(AX$2/$L43)-INT((AX$2-1)/$L43))*($T43*(1-$F43)+$S43*(1-$G43))*((1+Inputs!$D$7)^AX$2))),((_xlfn.WEIBULL.DIST(AX$2,$M43,$L43,FALSE)*($T43*(1-$F43)+$S43*(1-$G43))*((1+Inputs!$D$7)^AX$2))))))</f>
        <v>21.357811279584094</v>
      </c>
      <c r="AY43" s="88">
        <f>$E43*IF(AY$2&gt;Inputs!$D$5,0,IF(AY$2&gt;VLOOKUP($H43,Lists!$P$3:$Q$7,2),IF($N43=Lists!$K$3,IF($L43&lt;1,(($U43/$L43)*((1+Inputs!$D$7)^AY$2)),((INT(AY$2/$L43)-INT((AY$2-1)/$L43))*$U43*((1+Inputs!$D$7)^AY$2))),(_xlfn.WEIBULL.DIST(AY$2,$M43,$L43,FALSE)*$U43*((1+Inputs!$D$7)^AY$2))),IF($N43=Lists!$K$3,IF($L43&lt;1,((($T43*(1-$F43)+$S43*(1-$G43))/$L43)*((1+Inputs!$D$7)^AY$2)),((INT(AY$2/$L43)-INT((AY$2-1)/$L43))*($T43*(1-$F43)+$S43*(1-$G43))*((1+Inputs!$D$7)^AY$2))),((_xlfn.WEIBULL.DIST(AY$2,$M43,$L43,FALSE)*($T43*(1-$F43)+$S43*(1-$G43))*((1+Inputs!$D$7)^AY$2))))))</f>
        <v>20.722502102715104</v>
      </c>
      <c r="AZ43" s="88">
        <f>$E43*IF(AZ$2&gt;Inputs!$D$5,0,IF(AZ$2&gt;VLOOKUP($H43,Lists!$P$3:$Q$7,2),IF($N43=Lists!$K$3,IF($L43&lt;1,(($U43/$L43)*((1+Inputs!$D$7)^AZ$2)),((INT(AZ$2/$L43)-INT((AZ$2-1)/$L43))*$U43*((1+Inputs!$D$7)^AZ$2))),(_xlfn.WEIBULL.DIST(AZ$2,$M43,$L43,FALSE)*$U43*((1+Inputs!$D$7)^AZ$2))),IF($N43=Lists!$K$3,IF($L43&lt;1,((($T43*(1-$F43)+$S43*(1-$G43))/$L43)*((1+Inputs!$D$7)^AZ$2)),((INT(AZ$2/$L43)-INT((AZ$2-1)/$L43))*($T43*(1-$F43)+$S43*(1-$G43))*((1+Inputs!$D$7)^AZ$2))),((_xlfn.WEIBULL.DIST(AZ$2,$M43,$L43,FALSE)*($T43*(1-$F43)+$S43*(1-$G43))*((1+Inputs!$D$7)^AZ$2))))))</f>
        <v>0</v>
      </c>
      <c r="BA43" s="88">
        <f>$E43*IF(BA$2&gt;Inputs!$D$5,0,IF(BA$2&gt;VLOOKUP($H43,Lists!$P$3:$Q$7,2),IF($N43=Lists!$K$3,IF($L43&lt;1,(($U43/$L43)*((1+Inputs!$D$7)^BA$2)),((INT(BA$2/$L43)-INT((BA$2-1)/$L43))*$U43*((1+Inputs!$D$7)^BA$2))),(_xlfn.WEIBULL.DIST(BA$2,$M43,$L43,FALSE)*$U43*((1+Inputs!$D$7)^BA$2))),IF($N43=Lists!$K$3,IF($L43&lt;1,((($T43*(1-$F43)+$S43*(1-$G43))/$L43)*((1+Inputs!$D$7)^BA$2)),((INT(BA$2/$L43)-INT((BA$2-1)/$L43))*($T43*(1-$F43)+$S43*(1-$G43))*((1+Inputs!$D$7)^BA$2))),((_xlfn.WEIBULL.DIST(BA$2,$M43,$L43,FALSE)*($T43*(1-$F43)+$S43*(1-$G43))*((1+Inputs!$D$7)^BA$2))))))</f>
        <v>0</v>
      </c>
      <c r="BB43" s="88">
        <f>$E43*IF(BB$2&gt;Inputs!$D$5,0,IF(BB$2&gt;VLOOKUP($H43,Lists!$P$3:$Q$7,2),IF($N43=Lists!$K$3,IF($L43&lt;1,(($U43/$L43)*((1+Inputs!$D$7)^BB$2)),((INT(BB$2/$L43)-INT((BB$2-1)/$L43))*$U43*((1+Inputs!$D$7)^BB$2))),(_xlfn.WEIBULL.DIST(BB$2,$M43,$L43,FALSE)*$U43*((1+Inputs!$D$7)^BB$2))),IF($N43=Lists!$K$3,IF($L43&lt;1,((($T43*(1-$F43)+$S43*(1-$G43))/$L43)*((1+Inputs!$D$7)^BB$2)),((INT(BB$2/$L43)-INT((BB$2-1)/$L43))*($T43*(1-$F43)+$S43*(1-$G43))*((1+Inputs!$D$7)^BB$2))),((_xlfn.WEIBULL.DIST(BB$2,$M43,$L43,FALSE)*($T43*(1-$F43)+$S43*(1-$G43))*((1+Inputs!$D$7)^BB$2))))))</f>
        <v>0</v>
      </c>
      <c r="BC43" s="88">
        <f>$E43*IF(BC$2&gt;Inputs!$D$5,0,IF(BC$2&gt;VLOOKUP($H43,Lists!$P$3:$Q$7,2),IF($N43=Lists!$K$3,IF($L43&lt;1,(($U43/$L43)*((1+Inputs!$D$7)^BC$2)),((INT(BC$2/$L43)-INT((BC$2-1)/$L43))*$U43*((1+Inputs!$D$7)^BC$2))),(_xlfn.WEIBULL.DIST(BC$2,$M43,$L43,FALSE)*$U43*((1+Inputs!$D$7)^BC$2))),IF($N43=Lists!$K$3,IF($L43&lt;1,((($T43*(1-$F43)+$S43*(1-$G43))/$L43)*((1+Inputs!$D$7)^BC$2)),((INT(BC$2/$L43)-INT((BC$2-1)/$L43))*($T43*(1-$F43)+$S43*(1-$G43))*((1+Inputs!$D$7)^BC$2))),((_xlfn.WEIBULL.DIST(BC$2,$M43,$L43,FALSE)*($T43*(1-$F43)+$S43*(1-$G43))*((1+Inputs!$D$7)^BC$2))))))</f>
        <v>0</v>
      </c>
      <c r="BD43" s="88">
        <f>$E43*IF(BD$2&gt;Inputs!$D$5,0,IF(BD$2&gt;VLOOKUP($H43,Lists!$P$3:$Q$7,2),IF($N43=Lists!$K$3,IF($L43&lt;1,(($U43/$L43)*((1+Inputs!$D$7)^BD$2)),((INT(BD$2/$L43)-INT((BD$2-1)/$L43))*$U43*((1+Inputs!$D$7)^BD$2))),(_xlfn.WEIBULL.DIST(BD$2,$M43,$L43,FALSE)*$U43*((1+Inputs!$D$7)^BD$2))),IF($N43=Lists!$K$3,IF($L43&lt;1,((($T43*(1-$F43)+$S43*(1-$G43))/$L43)*((1+Inputs!$D$7)^BD$2)),((INT(BD$2/$L43)-INT((BD$2-1)/$L43))*($T43*(1-$F43)+$S43*(1-$G43))*((1+Inputs!$D$7)^BD$2))),((_xlfn.WEIBULL.DIST(BD$2,$M43,$L43,FALSE)*($T43*(1-$F43)+$S43*(1-$G43))*((1+Inputs!$D$7)^BD$2))))))</f>
        <v>0</v>
      </c>
      <c r="BE43" s="88">
        <f>$E43*IF(BE$2&gt;Inputs!$D$5,0,IF(BE$2&gt;VLOOKUP($H43,Lists!$P$3:$Q$7,2),IF($N43=Lists!$K$3,IF($L43&lt;1,(($U43/$L43)*((1+Inputs!$D$7)^BE$2)),((INT(BE$2/$L43)-INT((BE$2-1)/$L43))*$U43*((1+Inputs!$D$7)^BE$2))),(_xlfn.WEIBULL.DIST(BE$2,$M43,$L43,FALSE)*$U43*((1+Inputs!$D$7)^BE$2))),IF($N43=Lists!$K$3,IF($L43&lt;1,((($T43*(1-$F43)+$S43*(1-$G43))/$L43)*((1+Inputs!$D$7)^BE$2)),((INT(BE$2/$L43)-INT((BE$2-1)/$L43))*($T43*(1-$F43)+$S43*(1-$G43))*((1+Inputs!$D$7)^BE$2))),((_xlfn.WEIBULL.DIST(BE$2,$M43,$L43,FALSE)*($T43*(1-$F43)+$S43*(1-$G43))*((1+Inputs!$D$7)^BE$2))))))</f>
        <v>0</v>
      </c>
      <c r="BF43" s="88">
        <f>$E43*IF(BF$2&gt;Inputs!$D$5,0,IF(BF$2&gt;VLOOKUP($H43,Lists!$P$3:$Q$7,2),IF($N43=Lists!$K$3,IF($L43&lt;1,(($U43/$L43)*((1+Inputs!$D$7)^BF$2)),((INT(BF$2/$L43)-INT((BF$2-1)/$L43))*$U43*((1+Inputs!$D$7)^BF$2))),(_xlfn.WEIBULL.DIST(BF$2,$M43,$L43,FALSE)*$U43*((1+Inputs!$D$7)^BF$2))),IF($N43=Lists!$K$3,IF($L43&lt;1,((($T43*(1-$F43)+$S43*(1-$G43))/$L43)*((1+Inputs!$D$7)^BF$2)),((INT(BF$2/$L43)-INT((BF$2-1)/$L43))*($T43*(1-$F43)+$S43*(1-$G43))*((1+Inputs!$D$7)^BF$2))),((_xlfn.WEIBULL.DIST(BF$2,$M43,$L43,FALSE)*($T43*(1-$F43)+$S43*(1-$G43))*((1+Inputs!$D$7)^BF$2))))))</f>
        <v>0</v>
      </c>
      <c r="BG43" s="88">
        <f>$E43*IF(BG$2&gt;Inputs!$D$5,0,IF(BG$2&gt;VLOOKUP($H43,Lists!$P$3:$Q$7,2),IF($N43=Lists!$K$3,IF($L43&lt;1,(($U43/$L43)*((1+Inputs!$D$7)^BG$2)),((INT(BG$2/$L43)-INT((BG$2-1)/$L43))*$U43*((1+Inputs!$D$7)^BG$2))),(_xlfn.WEIBULL.DIST(BG$2,$M43,$L43,FALSE)*$U43*((1+Inputs!$D$7)^BG$2))),IF($N43=Lists!$K$3,IF($L43&lt;1,((($T43*(1-$F43)+$S43*(1-$G43))/$L43)*((1+Inputs!$D$7)^BG$2)),((INT(BG$2/$L43)-INT((BG$2-1)/$L43))*($T43*(1-$F43)+$S43*(1-$G43))*((1+Inputs!$D$7)^BG$2))),((_xlfn.WEIBULL.DIST(BG$2,$M43,$L43,FALSE)*($T43*(1-$F43)+$S43*(1-$G43))*((1+Inputs!$D$7)^BG$2))))))</f>
        <v>0</v>
      </c>
      <c r="BH43" s="88">
        <f>$E43*IF(BH$2&gt;Inputs!$D$5,0,IF(BH$2&gt;VLOOKUP($H43,Lists!$P$3:$Q$7,2),IF($N43=Lists!$K$3,IF($L43&lt;1,(($U43/$L43)*((1+Inputs!$D$7)^BH$2)),((INT(BH$2/$L43)-INT((BH$2-1)/$L43))*$U43*((1+Inputs!$D$7)^BH$2))),(_xlfn.WEIBULL.DIST(BH$2,$M43,$L43,FALSE)*$U43*((1+Inputs!$D$7)^BH$2))),IF($N43=Lists!$K$3,IF($L43&lt;1,((($T43*(1-$F43)+$S43*(1-$G43))/$L43)*((1+Inputs!$D$7)^BH$2)),((INT(BH$2/$L43)-INT((BH$2-1)/$L43))*($T43*(1-$F43)+$S43*(1-$G43))*((1+Inputs!$D$7)^BH$2))),((_xlfn.WEIBULL.DIST(BH$2,$M43,$L43,FALSE)*($T43*(1-$F43)+$S43*(1-$G43))*((1+Inputs!$D$7)^BH$2))))))</f>
        <v>0</v>
      </c>
      <c r="BI43" s="88">
        <f>$E43*IF(BI$2&gt;Inputs!$D$5,0,IF(BI$2&gt;VLOOKUP($H43,Lists!$P$3:$Q$7,2),IF($N43=Lists!$K$3,IF($L43&lt;1,(($U43/$L43)*((1+Inputs!$D$7)^BI$2)),((INT(BI$2/$L43)-INT((BI$2-1)/$L43))*$U43*((1+Inputs!$D$7)^BI$2))),(_xlfn.WEIBULL.DIST(BI$2,$M43,$L43,FALSE)*$U43*((1+Inputs!$D$7)^BI$2))),IF($N43=Lists!$K$3,IF($L43&lt;1,((($T43*(1-$F43)+$S43*(1-$G43))/$L43)*((1+Inputs!$D$7)^BI$2)),((INT(BI$2/$L43)-INT((BI$2-1)/$L43))*($T43*(1-$F43)+$S43*(1-$G43))*((1+Inputs!$D$7)^BI$2))),((_xlfn.WEIBULL.DIST(BI$2,$M43,$L43,FALSE)*($T43*(1-$F43)+$S43*(1-$G43))*((1+Inputs!$D$7)^BI$2))))))</f>
        <v>0</v>
      </c>
      <c r="BJ43" s="88">
        <f>$E43*IF(BJ$2&gt;Inputs!$D$5,0,IF(BJ$2&gt;VLOOKUP($H43,Lists!$P$3:$Q$7,2),IF($N43=Lists!$K$3,IF($L43&lt;1,(($U43/$L43)*((1+Inputs!$D$7)^BJ$2)),((INT(BJ$2/$L43)-INT((BJ$2-1)/$L43))*$U43*((1+Inputs!$D$7)^BJ$2))),(_xlfn.WEIBULL.DIST(BJ$2,$M43,$L43,FALSE)*$U43*((1+Inputs!$D$7)^BJ$2))),IF($N43=Lists!$K$3,IF($L43&lt;1,((($T43*(1-$F43)+$S43*(1-$G43))/$L43)*((1+Inputs!$D$7)^BJ$2)),((INT(BJ$2/$L43)-INT((BJ$2-1)/$L43))*($T43*(1-$F43)+$S43*(1-$G43))*((1+Inputs!$D$7)^BJ$2))),((_xlfn.WEIBULL.DIST(BJ$2,$M43,$L43,FALSE)*($T43*(1-$F43)+$S43*(1-$G43))*((1+Inputs!$D$7)^BJ$2))))))</f>
        <v>0</v>
      </c>
      <c r="BK43" s="88">
        <f>$E43*IF(BK$2&gt;Inputs!$D$5,0,IF(BK$2&gt;VLOOKUP($H43,Lists!$P$3:$Q$7,2),IF($N43=Lists!$K$3,IF($L43&lt;1,(($U43/$L43)*((1+Inputs!$D$7)^BK$2)),((INT(BK$2/$L43)-INT((BK$2-1)/$L43))*$U43*((1+Inputs!$D$7)^BK$2))),(_xlfn.WEIBULL.DIST(BK$2,$M43,$L43,FALSE)*$U43*((1+Inputs!$D$7)^BK$2))),IF($N43=Lists!$K$3,IF($L43&lt;1,((($T43*(1-$F43)+$S43*(1-$G43))/$L43)*((1+Inputs!$D$7)^BK$2)),((INT(BK$2/$L43)-INT((BK$2-1)/$L43))*($T43*(1-$F43)+$S43*(1-$G43))*((1+Inputs!$D$7)^BK$2))),((_xlfn.WEIBULL.DIST(BK$2,$M43,$L43,FALSE)*($T43*(1-$F43)+$S43*(1-$G43))*((1+Inputs!$D$7)^BK$2))))))</f>
        <v>0</v>
      </c>
      <c r="BL43" s="88">
        <f>$E43*IF(BL$2&gt;Inputs!$D$5,0,IF(BL$2&gt;VLOOKUP($H43,Lists!$P$3:$Q$7,2),IF($N43=Lists!$K$3,IF($L43&lt;1,(($U43/$L43)*((1+Inputs!$D$7)^BL$2)),((INT(BL$2/$L43)-INT((BL$2-1)/$L43))*$U43*((1+Inputs!$D$7)^BL$2))),(_xlfn.WEIBULL.DIST(BL$2,$M43,$L43,FALSE)*$U43*((1+Inputs!$D$7)^BL$2))),IF($N43=Lists!$K$3,IF($L43&lt;1,((($T43*(1-$F43)+$S43*(1-$G43))/$L43)*((1+Inputs!$D$7)^BL$2)),((INT(BL$2/$L43)-INT((BL$2-1)/$L43))*($T43*(1-$F43)+$S43*(1-$G43))*((1+Inputs!$D$7)^BL$2))),((_xlfn.WEIBULL.DIST(BL$2,$M43,$L43,FALSE)*($T43*(1-$F43)+$S43*(1-$G43))*((1+Inputs!$D$7)^BL$2))))))</f>
        <v>0</v>
      </c>
      <c r="BM43" s="88">
        <f>$E43*IF(BM$2&gt;Inputs!$D$5,0,IF(BM$2&gt;VLOOKUP($H43,Lists!$P$3:$Q$7,2),IF($N43=Lists!$K$3,IF($L43&lt;1,(($U43/$L43)*((1+Inputs!$D$7)^BM$2)),((INT(BM$2/$L43)-INT((BM$2-1)/$L43))*$U43*((1+Inputs!$D$7)^BM$2))),(_xlfn.WEIBULL.DIST(BM$2,$M43,$L43,FALSE)*$U43*((1+Inputs!$D$7)^BM$2))),IF($N43=Lists!$K$3,IF($L43&lt;1,((($T43*(1-$F43)+$S43*(1-$G43))/$L43)*((1+Inputs!$D$7)^BM$2)),((INT(BM$2/$L43)-INT((BM$2-1)/$L43))*($T43*(1-$F43)+$S43*(1-$G43))*((1+Inputs!$D$7)^BM$2))),((_xlfn.WEIBULL.DIST(BM$2,$M43,$L43,FALSE)*($T43*(1-$F43)+$S43*(1-$G43))*((1+Inputs!$D$7)^BM$2))))))</f>
        <v>0</v>
      </c>
      <c r="BN43" s="88">
        <f>$E43*IF(BN$2&gt;Inputs!$D$5,0,IF(BN$2&gt;VLOOKUP($H43,Lists!$P$3:$Q$7,2),IF($N43=Lists!$K$3,IF($L43&lt;1,(($U43/$L43)*((1+Inputs!$D$7)^BN$2)),((INT(BN$2/$L43)-INT((BN$2-1)/$L43))*$U43*((1+Inputs!$D$7)^BN$2))),(_xlfn.WEIBULL.DIST(BN$2,$M43,$L43,FALSE)*$U43*((1+Inputs!$D$7)^BN$2))),IF($N43=Lists!$K$3,IF($L43&lt;1,((($T43*(1-$F43)+$S43*(1-$G43))/$L43)*((1+Inputs!$D$7)^BN$2)),((INT(BN$2/$L43)-INT((BN$2-1)/$L43))*($T43*(1-$F43)+$S43*(1-$G43))*((1+Inputs!$D$7)^BN$2))),((_xlfn.WEIBULL.DIST(BN$2,$M43,$L43,FALSE)*($T43*(1-$F43)+$S43*(1-$G43))*((1+Inputs!$D$7)^BN$2))))))</f>
        <v>0</v>
      </c>
      <c r="BO43" s="64">
        <f>NPV(Inputs!$D$6,BQ43:DD43)</f>
        <v>505.90992023943892</v>
      </c>
      <c r="BP43" s="67">
        <f t="shared" si="13"/>
        <v>2.3861181726537095E-4</v>
      </c>
      <c r="BQ43" s="88">
        <f>MAX(AA43,($E43*IF(BQ$2&gt;Inputs!$D$5,0,IF(BQ$2&gt;VLOOKUP($H43,Lists!$P$3:$Q$7,2),IF($N43=Lists!$K$3,IF($L43&lt;1,(($U43/$L43)*((1+Inputs!$D$7)^BQ$2)),((INT(BQ$2/$L43)-INT((BQ$2-1)/$L43))*$U43*((1+Inputs!$D$7)^BQ$2))),(Inputs!$D$8^((1-_xlfn.WEIBULL.DIST(BQ$2,$M43,$L43,FALSE))/_xlfn.WEIBULL.DIST(BQ$2,$M43,$L43,FALSE))*$U43*((1+Inputs!$D$7)^BQ$2))),IF($N43=Lists!$K$3,IF($L43&lt;1,((($T43*(1-$F43)+$S43*(1-$G43))/$L43)*((1+Inputs!$D$7)^BQ$2)),((INT(BQ$2/$L43)-INT((BQ$2-1)/$L43))*($T43*(1-$F43)+$S43*(1-$G43))*((1+Inputs!$D$7)^BQ$2))),((Inputs!$D$8^((1-_xlfn.WEIBULL.DIST(BQ$2,$M43,$L43,FALSE))/_xlfn.WEIBULL.DIST(BQ$2,$M43,$L43,FALSE))*($T43*(1-$F43)+$S43*(1-$G43))*((1+Inputs!$D$7)^BQ$2))))))))</f>
        <v>63.71209577784137</v>
      </c>
      <c r="BR43" s="88">
        <f>MAX(AB43,($E43*IF(BR$2&gt;Inputs!$D$5,0,IF(BR$2&gt;VLOOKUP($H43,Lists!$P$3:$Q$7,2),IF($N43=Lists!$K$3,IF($L43&lt;1,(($U43/$L43)*((1+Inputs!$D$7)^BR$2)),((INT(BR$2/$L43)-INT((BR$2-1)/$L43))*$U43*((1+Inputs!$D$7)^BR$2))),(Inputs!$D$8^((1-_xlfn.WEIBULL.DIST(BR$2,$M43,$L43,FALSE))/_xlfn.WEIBULL.DIST(BR$2,$M43,$L43,FALSE))*$U43*((1+Inputs!$D$7)^BR$2))),IF($N43=Lists!$K$3,IF($L43&lt;1,((($T43*(1-$F43)+$S43*(1-$G43))/$L43)*((1+Inputs!$D$7)^BR$2)),((INT(BR$2/$L43)-INT((BR$2-1)/$L43))*($T43*(1-$F43)+$S43*(1-$G43))*((1+Inputs!$D$7)^BR$2))),((Inputs!$D$8^((1-_xlfn.WEIBULL.DIST(BR$2,$M43,$L43,FALSE))/_xlfn.WEIBULL.DIST(BR$2,$M43,$L43,FALSE))*($T43*(1-$F43)+$S43*(1-$G43))*((1+Inputs!$D$7)^BR$2))))))))</f>
        <v>59.399866647445343</v>
      </c>
      <c r="BS43" s="88">
        <f>MAX(AC43,($E43*IF(BS$2&gt;Inputs!$D$5,0,IF(BS$2&gt;VLOOKUP($H43,Lists!$P$3:$Q$7,2),IF($N43=Lists!$K$3,IF($L43&lt;1,(($U43/$L43)*((1+Inputs!$D$7)^BS$2)),((INT(BS$2/$L43)-INT((BS$2-1)/$L43))*$U43*((1+Inputs!$D$7)^BS$2))),(Inputs!$D$8^((1-_xlfn.WEIBULL.DIST(BS$2,$M43,$L43,FALSE))/_xlfn.WEIBULL.DIST(BS$2,$M43,$L43,FALSE))*$U43*((1+Inputs!$D$7)^BS$2))),IF($N43=Lists!$K$3,IF($L43&lt;1,((($T43*(1-$F43)+$S43*(1-$G43))/$L43)*((1+Inputs!$D$7)^BS$2)),((INT(BS$2/$L43)-INT((BS$2-1)/$L43))*($T43*(1-$F43)+$S43*(1-$G43))*((1+Inputs!$D$7)^BS$2))),((Inputs!$D$8^((1-_xlfn.WEIBULL.DIST(BS$2,$M43,$L43,FALSE))/_xlfn.WEIBULL.DIST(BS$2,$M43,$L43,FALSE))*($T43*(1-$F43)+$S43*(1-$G43))*((1+Inputs!$D$7)^BS$2))))))))</f>
        <v>55.124872736107534</v>
      </c>
      <c r="BT43" s="88">
        <f>MAX(AD43,($E43*IF(BT$2&gt;Inputs!$D$5,0,IF(BT$2&gt;VLOOKUP($H43,Lists!$P$3:$Q$7,2),IF($N43=Lists!$K$3,IF($L43&lt;1,(($U43/$L43)*((1+Inputs!$D$7)^BT$2)),((INT(BT$2/$L43)-INT((BT$2-1)/$L43))*$U43*((1+Inputs!$D$7)^BT$2))),(Inputs!$D$8^((1-_xlfn.WEIBULL.DIST(BT$2,$M43,$L43,FALSE))/_xlfn.WEIBULL.DIST(BT$2,$M43,$L43,FALSE))*$U43*((1+Inputs!$D$7)^BT$2))),IF($N43=Lists!$K$3,IF($L43&lt;1,((($T43*(1-$F43)+$S43*(1-$G43))/$L43)*((1+Inputs!$D$7)^BT$2)),((INT(BT$2/$L43)-INT((BT$2-1)/$L43))*($T43*(1-$F43)+$S43*(1-$G43))*((1+Inputs!$D$7)^BT$2))),((Inputs!$D$8^((1-_xlfn.WEIBULL.DIST(BT$2,$M43,$L43,FALSE))/_xlfn.WEIBULL.DIST(BT$2,$M43,$L43,FALSE))*($T43*(1-$F43)+$S43*(1-$G43))*((1+Inputs!$D$7)^BT$2))))))))</f>
        <v>50.9103009465884</v>
      </c>
      <c r="BU43" s="88">
        <f>MAX(AE43,($E43*IF(BU$2&gt;Inputs!$D$5,0,IF(BU$2&gt;VLOOKUP($H43,Lists!$P$3:$Q$7,2),IF($N43=Lists!$K$3,IF($L43&lt;1,(($U43/$L43)*((1+Inputs!$D$7)^BU$2)),((INT(BU$2/$L43)-INT((BU$2-1)/$L43))*$U43*((1+Inputs!$D$7)^BU$2))),(Inputs!$D$8^((1-_xlfn.WEIBULL.DIST(BU$2,$M43,$L43,FALSE))/_xlfn.WEIBULL.DIST(BU$2,$M43,$L43,FALSE))*$U43*((1+Inputs!$D$7)^BU$2))),IF($N43=Lists!$K$3,IF($L43&lt;1,((($T43*(1-$F43)+$S43*(1-$G43))/$L43)*((1+Inputs!$D$7)^BU$2)),((INT(BU$2/$L43)-INT((BU$2-1)/$L43))*($T43*(1-$F43)+$S43*(1-$G43))*((1+Inputs!$D$7)^BU$2))),((Inputs!$D$8^((1-_xlfn.WEIBULL.DIST(BU$2,$M43,$L43,FALSE))/_xlfn.WEIBULL.DIST(BU$2,$M43,$L43,FALSE))*($T43*(1-$F43)+$S43*(1-$G43))*((1+Inputs!$D$7)^BU$2))))))))</f>
        <v>46.779091770476576</v>
      </c>
      <c r="BV43" s="88">
        <f>MAX(AF43,($E43*IF(BV$2&gt;Inputs!$D$5,0,IF(BV$2&gt;VLOOKUP($H43,Lists!$P$3:$Q$7,2),IF($N43=Lists!$K$3,IF($L43&lt;1,(($U43/$L43)*((1+Inputs!$D$7)^BV$2)),((INT(BV$2/$L43)-INT((BV$2-1)/$L43))*$U43*((1+Inputs!$D$7)^BV$2))),(Inputs!$D$8^((1-_xlfn.WEIBULL.DIST(BV$2,$M43,$L43,FALSE))/_xlfn.WEIBULL.DIST(BV$2,$M43,$L43,FALSE))*$U43*((1+Inputs!$D$7)^BV$2))),IF($N43=Lists!$K$3,IF($L43&lt;1,((($T43*(1-$F43)+$S43*(1-$G43))/$L43)*((1+Inputs!$D$7)^BV$2)),((INT(BV$2/$L43)-INT((BV$2-1)/$L43))*($T43*(1-$F43)+$S43*(1-$G43))*((1+Inputs!$D$7)^BV$2))),((Inputs!$D$8^((1-_xlfn.WEIBULL.DIST(BV$2,$M43,$L43,FALSE))/_xlfn.WEIBULL.DIST(BV$2,$M43,$L43,FALSE))*($T43*(1-$F43)+$S43*(1-$G43))*((1+Inputs!$D$7)^BV$2))))))))</f>
        <v>42.753586742363382</v>
      </c>
      <c r="BW43" s="88">
        <f>MAX(AG43,($E43*IF(BW$2&gt;Inputs!$D$5,0,IF(BW$2&gt;VLOOKUP($H43,Lists!$P$3:$Q$7,2),IF($N43=Lists!$K$3,IF($L43&lt;1,(($U43/$L43)*((1+Inputs!$D$7)^BW$2)),((INT(BW$2/$L43)-INT((BW$2-1)/$L43))*$U43*((1+Inputs!$D$7)^BW$2))),(Inputs!$D$8^((1-_xlfn.WEIBULL.DIST(BW$2,$M43,$L43,FALSE))/_xlfn.WEIBULL.DIST(BW$2,$M43,$L43,FALSE))*$U43*((1+Inputs!$D$7)^BW$2))),IF($N43=Lists!$K$3,IF($L43&lt;1,((($T43*(1-$F43)+$S43*(1-$G43))/$L43)*((1+Inputs!$D$7)^BW$2)),((INT(BW$2/$L43)-INT((BW$2-1)/$L43))*($T43*(1-$F43)+$S43*(1-$G43))*((1+Inputs!$D$7)^BW$2))),((Inputs!$D$8^((1-_xlfn.WEIBULL.DIST(BW$2,$M43,$L43,FALSE))/_xlfn.WEIBULL.DIST(BW$2,$M43,$L43,FALSE))*($T43*(1-$F43)+$S43*(1-$G43))*((1+Inputs!$D$7)^BW$2))))))))</f>
        <v>38.855164253299677</v>
      </c>
      <c r="BX43" s="88">
        <f>MAX(AH43,($E43*IF(BX$2&gt;Inputs!$D$5,0,IF(BX$2&gt;VLOOKUP($H43,Lists!$P$3:$Q$7,2),IF($N43=Lists!$K$3,IF($L43&lt;1,(($U43/$L43)*((1+Inputs!$D$7)^BX$2)),((INT(BX$2/$L43)-INT((BX$2-1)/$L43))*$U43*((1+Inputs!$D$7)^BX$2))),(Inputs!$D$8^((1-_xlfn.WEIBULL.DIST(BX$2,$M43,$L43,FALSE))/_xlfn.WEIBULL.DIST(BX$2,$M43,$L43,FALSE))*$U43*((1+Inputs!$D$7)^BX$2))),IF($N43=Lists!$K$3,IF($L43&lt;1,((($T43*(1-$F43)+$S43*(1-$G43))/$L43)*((1+Inputs!$D$7)^BX$2)),((INT(BX$2/$L43)-INT((BX$2-1)/$L43))*($T43*(1-$F43)+$S43*(1-$G43))*((1+Inputs!$D$7)^BX$2))),((Inputs!$D$8^((1-_xlfn.WEIBULL.DIST(BX$2,$M43,$L43,FALSE))/_xlfn.WEIBULL.DIST(BX$2,$M43,$L43,FALSE))*($T43*(1-$F43)+$S43*(1-$G43))*((1+Inputs!$D$7)^BX$2))))))))</f>
        <v>35.103872790597485</v>
      </c>
      <c r="BY43" s="88">
        <f>MAX(AI43,($E43*IF(BY$2&gt;Inputs!$D$5,0,IF(BY$2&gt;VLOOKUP($H43,Lists!$P$3:$Q$7,2),IF($N43=Lists!$K$3,IF($L43&lt;1,(($U43/$L43)*((1+Inputs!$D$7)^BY$2)),((INT(BY$2/$L43)-INT((BY$2-1)/$L43))*$U43*((1+Inputs!$D$7)^BY$2))),(Inputs!$D$8^((1-_xlfn.WEIBULL.DIST(BY$2,$M43,$L43,FALSE))/_xlfn.WEIBULL.DIST(BY$2,$M43,$L43,FALSE))*$U43*((1+Inputs!$D$7)^BY$2))),IF($N43=Lists!$K$3,IF($L43&lt;1,((($T43*(1-$F43)+$S43*(1-$G43))/$L43)*((1+Inputs!$D$7)^BY$2)),((INT(BY$2/$L43)-INT((BY$2-1)/$L43))*($T43*(1-$F43)+$S43*(1-$G43))*((1+Inputs!$D$7)^BY$2))),((Inputs!$D$8^((1-_xlfn.WEIBULL.DIST(BY$2,$M43,$L43,FALSE))/_xlfn.WEIBULL.DIST(BY$2,$M43,$L43,FALSE))*($T43*(1-$F43)+$S43*(1-$G43))*((1+Inputs!$D$7)^BY$2))))))))</f>
        <v>31.518071873258709</v>
      </c>
      <c r="BZ43" s="88">
        <f>MAX(AJ43,($E43*IF(BZ$2&gt;Inputs!$D$5,0,IF(BZ$2&gt;VLOOKUP($H43,Lists!$P$3:$Q$7,2),IF($N43=Lists!$K$3,IF($L43&lt;1,(($U43/$L43)*((1+Inputs!$D$7)^BZ$2)),((INT(BZ$2/$L43)-INT((BZ$2-1)/$L43))*$U43*((1+Inputs!$D$7)^BZ$2))),(Inputs!$D$8^((1-_xlfn.WEIBULL.DIST(BZ$2,$M43,$L43,FALSE))/_xlfn.WEIBULL.DIST(BZ$2,$M43,$L43,FALSE))*$U43*((1+Inputs!$D$7)^BZ$2))),IF($N43=Lists!$K$3,IF($L43&lt;1,((($T43*(1-$F43)+$S43*(1-$G43))/$L43)*((1+Inputs!$D$7)^BZ$2)),((INT(BZ$2/$L43)-INT((BZ$2-1)/$L43))*($T43*(1-$F43)+$S43*(1-$G43))*((1+Inputs!$D$7)^BZ$2))),((Inputs!$D$8^((1-_xlfn.WEIBULL.DIST(BZ$2,$M43,$L43,FALSE))/_xlfn.WEIBULL.DIST(BZ$2,$M43,$L43,FALSE))*($T43*(1-$F43)+$S43*(1-$G43))*((1+Inputs!$D$7)^BZ$2))))))))</f>
        <v>28.114091876957563</v>
      </c>
      <c r="CA43" s="88">
        <f>MAX(AK43,($E43*IF(CA$2&gt;Inputs!$D$5,0,IF(CA$2&gt;VLOOKUP($H43,Lists!$P$3:$Q$7,2),IF($N43=Lists!$K$3,IF($L43&lt;1,(($U43/$L43)*((1+Inputs!$D$7)^CA$2)),((INT(CA$2/$L43)-INT((CA$2-1)/$L43))*$U43*((1+Inputs!$D$7)^CA$2))),(Inputs!$D$8^((1-_xlfn.WEIBULL.DIST(CA$2,$M43,$L43,FALSE))/_xlfn.WEIBULL.DIST(CA$2,$M43,$L43,FALSE))*$U43*((1+Inputs!$D$7)^CA$2))),IF($N43=Lists!$K$3,IF($L43&lt;1,((($T43*(1-$F43)+$S43*(1-$G43))/$L43)*((1+Inputs!$D$7)^CA$2)),((INT(CA$2/$L43)-INT((CA$2-1)/$L43))*($T43*(1-$F43)+$S43*(1-$G43))*((1+Inputs!$D$7)^CA$2))),((Inputs!$D$8^((1-_xlfn.WEIBULL.DIST(CA$2,$M43,$L43,FALSE))/_xlfn.WEIBULL.DIST(CA$2,$M43,$L43,FALSE))*($T43*(1-$F43)+$S43*(1-$G43))*((1+Inputs!$D$7)^CA$2))))))))</f>
        <v>66.199225384579961</v>
      </c>
      <c r="CB43" s="88">
        <f>MAX(AL43,($E43*IF(CB$2&gt;Inputs!$D$5,0,IF(CB$2&gt;VLOOKUP($H43,Lists!$P$3:$Q$7,2),IF($N43=Lists!$K$3,IF($L43&lt;1,(($U43/$L43)*((1+Inputs!$D$7)^CB$2)),((INT(CB$2/$L43)-INT((CB$2-1)/$L43))*$U43*((1+Inputs!$D$7)^CB$2))),(Inputs!$D$8^((1-_xlfn.WEIBULL.DIST(CB$2,$M43,$L43,FALSE))/_xlfn.WEIBULL.DIST(CB$2,$M43,$L43,FALSE))*$U43*((1+Inputs!$D$7)^CB$2))),IF($N43=Lists!$K$3,IF($L43&lt;1,((($T43*(1-$F43)+$S43*(1-$G43))/$L43)*((1+Inputs!$D$7)^CB$2)),((INT(CB$2/$L43)-INT((CB$2-1)/$L43))*($T43*(1-$F43)+$S43*(1-$G43))*((1+Inputs!$D$7)^CB$2))),((Inputs!$D$8^((1-_xlfn.WEIBULL.DIST(CB$2,$M43,$L43,FALSE))/_xlfn.WEIBULL.DIST(CB$2,$M43,$L43,FALSE))*($T43*(1-$F43)+$S43*(1-$G43))*((1+Inputs!$D$7)^CB$2))))))))</f>
        <v>58.222737113797429</v>
      </c>
      <c r="CC43" s="88">
        <f>MAX(AM43,($E43*IF(CC$2&gt;Inputs!$D$5,0,IF(CC$2&gt;VLOOKUP($H43,Lists!$P$3:$Q$7,2),IF($N43=Lists!$K$3,IF($L43&lt;1,(($U43/$L43)*((1+Inputs!$D$7)^CC$2)),((INT(CC$2/$L43)-INT((CC$2-1)/$L43))*$U43*((1+Inputs!$D$7)^CC$2))),(Inputs!$D$8^((1-_xlfn.WEIBULL.DIST(CC$2,$M43,$L43,FALSE))/_xlfn.WEIBULL.DIST(CC$2,$M43,$L43,FALSE))*$U43*((1+Inputs!$D$7)^CC$2))),IF($N43=Lists!$K$3,IF($L43&lt;1,((($T43*(1-$F43)+$S43*(1-$G43))/$L43)*((1+Inputs!$D$7)^CC$2)),((INT(CC$2/$L43)-INT((CC$2-1)/$L43))*($T43*(1-$F43)+$S43*(1-$G43))*((1+Inputs!$D$7)^CC$2))),((Inputs!$D$8^((1-_xlfn.WEIBULL.DIST(CC$2,$M43,$L43,FALSE))/_xlfn.WEIBULL.DIST(CC$2,$M43,$L43,FALSE))*($T43*(1-$F43)+$S43*(1-$G43))*((1+Inputs!$D$7)^CC$2))))))))</f>
        <v>50.819746854425723</v>
      </c>
      <c r="CD43" s="88">
        <f>MAX(AN43,($E43*IF(CD$2&gt;Inputs!$D$5,0,IF(CD$2&gt;VLOOKUP($H43,Lists!$P$3:$Q$7,2),IF($N43=Lists!$K$3,IF($L43&lt;1,(($U43/$L43)*((1+Inputs!$D$7)^CD$2)),((INT(CD$2/$L43)-INT((CD$2-1)/$L43))*$U43*((1+Inputs!$D$7)^CD$2))),(Inputs!$D$8^((1-_xlfn.WEIBULL.DIST(CD$2,$M43,$L43,FALSE))/_xlfn.WEIBULL.DIST(CD$2,$M43,$L43,FALSE))*$U43*((1+Inputs!$D$7)^CD$2))),IF($N43=Lists!$K$3,IF($L43&lt;1,((($T43*(1-$F43)+$S43*(1-$G43))/$L43)*((1+Inputs!$D$7)^CD$2)),((INT(CD$2/$L43)-INT((CD$2-1)/$L43))*($T43*(1-$F43)+$S43*(1-$G43))*((1+Inputs!$D$7)^CD$2))),((Inputs!$D$8^((1-_xlfn.WEIBULL.DIST(CD$2,$M43,$L43,FALSE))/_xlfn.WEIBULL.DIST(CD$2,$M43,$L43,FALSE))*($T43*(1-$F43)+$S43*(1-$G43))*((1+Inputs!$D$7)^CD$2))))))))</f>
        <v>44.005135151787428</v>
      </c>
      <c r="CE43" s="88">
        <f>MAX(AO43,($E43*IF(CE$2&gt;Inputs!$D$5,0,IF(CE$2&gt;VLOOKUP($H43,Lists!$P$3:$Q$7,2),IF($N43=Lists!$K$3,IF($L43&lt;1,(($U43/$L43)*((1+Inputs!$D$7)^CE$2)),((INT(CE$2/$L43)-INT((CE$2-1)/$L43))*$U43*((1+Inputs!$D$7)^CE$2))),(Inputs!$D$8^((1-_xlfn.WEIBULL.DIST(CE$2,$M43,$L43,FALSE))/_xlfn.WEIBULL.DIST(CE$2,$M43,$L43,FALSE))*$U43*((1+Inputs!$D$7)^CE$2))),IF($N43=Lists!$K$3,IF($L43&lt;1,((($T43*(1-$F43)+$S43*(1-$G43))/$L43)*((1+Inputs!$D$7)^CE$2)),((INT(CE$2/$L43)-INT((CE$2-1)/$L43))*($T43*(1-$F43)+$S43*(1-$G43))*((1+Inputs!$D$7)^CE$2))),((Inputs!$D$8^((1-_xlfn.WEIBULL.DIST(CE$2,$M43,$L43,FALSE))/_xlfn.WEIBULL.DIST(CE$2,$M43,$L43,FALSE))*($T43*(1-$F43)+$S43*(1-$G43))*((1+Inputs!$D$7)^CE$2))))))))</f>
        <v>37.78568878258146</v>
      </c>
      <c r="CF43" s="88">
        <f>MAX(AP43,($E43*IF(CF$2&gt;Inputs!$D$5,0,IF(CF$2&gt;VLOOKUP($H43,Lists!$P$3:$Q$7,2),IF($N43=Lists!$K$3,IF($L43&lt;1,(($U43/$L43)*((1+Inputs!$D$7)^CF$2)),((INT(CF$2/$L43)-INT((CF$2-1)/$L43))*$U43*((1+Inputs!$D$7)^CF$2))),(Inputs!$D$8^((1-_xlfn.WEIBULL.DIST(CF$2,$M43,$L43,FALSE))/_xlfn.WEIBULL.DIST(CF$2,$M43,$L43,FALSE))*$U43*((1+Inputs!$D$7)^CF$2))),IF($N43=Lists!$K$3,IF($L43&lt;1,((($T43*(1-$F43)+$S43*(1-$G43))/$L43)*((1+Inputs!$D$7)^CF$2)),((INT(CF$2/$L43)-INT((CF$2-1)/$L43))*($T43*(1-$F43)+$S43*(1-$G43))*((1+Inputs!$D$7)^CF$2))),((Inputs!$D$8^((1-_xlfn.WEIBULL.DIST(CF$2,$M43,$L43,FALSE))/_xlfn.WEIBULL.DIST(CF$2,$M43,$L43,FALSE))*($T43*(1-$F43)+$S43*(1-$G43))*((1+Inputs!$D$7)^CF$2))))))))</f>
        <v>32.160105900549603</v>
      </c>
      <c r="CG43" s="88">
        <f>MAX(AQ43,($E43*IF(CG$2&gt;Inputs!$D$5,0,IF(CG$2&gt;VLOOKUP($H43,Lists!$P$3:$Q$7,2),IF($N43=Lists!$K$3,IF($L43&lt;1,(($U43/$L43)*((1+Inputs!$D$7)^CG$2)),((INT(CG$2/$L43)-INT((CG$2-1)/$L43))*$U43*((1+Inputs!$D$7)^CG$2))),(Inputs!$D$8^((1-_xlfn.WEIBULL.DIST(CG$2,$M43,$L43,FALSE))/_xlfn.WEIBULL.DIST(CG$2,$M43,$L43,FALSE))*$U43*((1+Inputs!$D$7)^CG$2))),IF($N43=Lists!$K$3,IF($L43&lt;1,((($T43*(1-$F43)+$S43*(1-$G43))/$L43)*((1+Inputs!$D$7)^CG$2)),((INT(CG$2/$L43)-INT((CG$2-1)/$L43))*($T43*(1-$F43)+$S43*(1-$G43))*((1+Inputs!$D$7)^CG$2))),((Inputs!$D$8^((1-_xlfn.WEIBULL.DIST(CG$2,$M43,$L43,FALSE))/_xlfn.WEIBULL.DIST(CG$2,$M43,$L43,FALSE))*($T43*(1-$F43)+$S43*(1-$G43))*((1+Inputs!$D$7)^CG$2))))))))</f>
        <v>27.119218731502698</v>
      </c>
      <c r="CH43" s="88">
        <f>MAX(AR43,($E43*IF(CH$2&gt;Inputs!$D$5,0,IF(CH$2&gt;VLOOKUP($H43,Lists!$P$3:$Q$7,2),IF($N43=Lists!$K$3,IF($L43&lt;1,(($U43/$L43)*((1+Inputs!$D$7)^CH$2)),((INT(CH$2/$L43)-INT((CH$2-1)/$L43))*$U43*((1+Inputs!$D$7)^CH$2))),(Inputs!$D$8^((1-_xlfn.WEIBULL.DIST(CH$2,$M43,$L43,FALSE))/_xlfn.WEIBULL.DIST(CH$2,$M43,$L43,FALSE))*$U43*((1+Inputs!$D$7)^CH$2))),IF($N43=Lists!$K$3,IF($L43&lt;1,((($T43*(1-$F43)+$S43*(1-$G43))/$L43)*((1+Inputs!$D$7)^CH$2)),((INT(CH$2/$L43)-INT((CH$2-1)/$L43))*($T43*(1-$F43)+$S43*(1-$G43))*((1+Inputs!$D$7)^CH$2))),((Inputs!$D$8^((1-_xlfn.WEIBULL.DIST(CH$2,$M43,$L43,FALSE))/_xlfn.WEIBULL.DIST(CH$2,$M43,$L43,FALSE))*($T43*(1-$F43)+$S43*(1-$G43))*((1+Inputs!$D$7)^CH$2))))))))</f>
        <v>25.600241291246846</v>
      </c>
      <c r="CI43" s="88">
        <f>MAX(AS43,($E43*IF(CI$2&gt;Inputs!$D$5,0,IF(CI$2&gt;VLOOKUP($H43,Lists!$P$3:$Q$7,2),IF($N43=Lists!$K$3,IF($L43&lt;1,(($U43/$L43)*((1+Inputs!$D$7)^CI$2)),((INT(CI$2/$L43)-INT((CI$2-1)/$L43))*$U43*((1+Inputs!$D$7)^CI$2))),(Inputs!$D$8^((1-_xlfn.WEIBULL.DIST(CI$2,$M43,$L43,FALSE))/_xlfn.WEIBULL.DIST(CI$2,$M43,$L43,FALSE))*$U43*((1+Inputs!$D$7)^CI$2))),IF($N43=Lists!$K$3,IF($L43&lt;1,((($T43*(1-$F43)+$S43*(1-$G43))/$L43)*((1+Inputs!$D$7)^CI$2)),((INT(CI$2/$L43)-INT((CI$2-1)/$L43))*($T43*(1-$F43)+$S43*(1-$G43))*((1+Inputs!$D$7)^CI$2))),((Inputs!$D$8^((1-_xlfn.WEIBULL.DIST(CI$2,$M43,$L43,FALSE))/_xlfn.WEIBULL.DIST(CI$2,$M43,$L43,FALSE))*($T43*(1-$F43)+$S43*(1-$G43))*((1+Inputs!$D$7)^CI$2))))))))</f>
        <v>24.83873684636319</v>
      </c>
      <c r="CJ43" s="88">
        <f>MAX(AT43,($E43*IF(CJ$2&gt;Inputs!$D$5,0,IF(CJ$2&gt;VLOOKUP($H43,Lists!$P$3:$Q$7,2),IF($N43=Lists!$K$3,IF($L43&lt;1,(($U43/$L43)*((1+Inputs!$D$7)^CJ$2)),((INT(CJ$2/$L43)-INT((CJ$2-1)/$L43))*$U43*((1+Inputs!$D$7)^CJ$2))),(Inputs!$D$8^((1-_xlfn.WEIBULL.DIST(CJ$2,$M43,$L43,FALSE))/_xlfn.WEIBULL.DIST(CJ$2,$M43,$L43,FALSE))*$U43*((1+Inputs!$D$7)^CJ$2))),IF($N43=Lists!$K$3,IF($L43&lt;1,((($T43*(1-$F43)+$S43*(1-$G43))/$L43)*((1+Inputs!$D$7)^CJ$2)),((INT(CJ$2/$L43)-INT((CJ$2-1)/$L43))*($T43*(1-$F43)+$S43*(1-$G43))*((1+Inputs!$D$7)^CJ$2))),((Inputs!$D$8^((1-_xlfn.WEIBULL.DIST(CJ$2,$M43,$L43,FALSE))/_xlfn.WEIBULL.DIST(CJ$2,$M43,$L43,FALSE))*($T43*(1-$F43)+$S43*(1-$G43))*((1+Inputs!$D$7)^CJ$2))))))))</f>
        <v>24.099884102804559</v>
      </c>
      <c r="CK43" s="88">
        <f>MAX(AU43,($E43*IF(CK$2&gt;Inputs!$D$5,0,IF(CK$2&gt;VLOOKUP($H43,Lists!$P$3:$Q$7,2),IF($N43=Lists!$K$3,IF($L43&lt;1,(($U43/$L43)*((1+Inputs!$D$7)^CK$2)),((INT(CK$2/$L43)-INT((CK$2-1)/$L43))*$U43*((1+Inputs!$D$7)^CK$2))),(Inputs!$D$8^((1-_xlfn.WEIBULL.DIST(CK$2,$M43,$L43,FALSE))/_xlfn.WEIBULL.DIST(CK$2,$M43,$L43,FALSE))*$U43*((1+Inputs!$D$7)^CK$2))),IF($N43=Lists!$K$3,IF($L43&lt;1,((($T43*(1-$F43)+$S43*(1-$G43))/$L43)*((1+Inputs!$D$7)^CK$2)),((INT(CK$2/$L43)-INT((CK$2-1)/$L43))*($T43*(1-$F43)+$S43*(1-$G43))*((1+Inputs!$D$7)^CK$2))),((Inputs!$D$8^((1-_xlfn.WEIBULL.DIST(CK$2,$M43,$L43,FALSE))/_xlfn.WEIBULL.DIST(CK$2,$M43,$L43,FALSE))*($T43*(1-$F43)+$S43*(1-$G43))*((1+Inputs!$D$7)^CK$2))))))))</f>
        <v>23.383009263357575</v>
      </c>
      <c r="CL43" s="88">
        <f>MAX(AV43,($E43*IF(CL$2&gt;Inputs!$D$5,0,IF(CL$2&gt;VLOOKUP($H43,Lists!$P$3:$Q$7,2),IF($N43=Lists!$K$3,IF($L43&lt;1,(($U43/$L43)*((1+Inputs!$D$7)^CL$2)),((INT(CL$2/$L43)-INT((CL$2-1)/$L43))*$U43*((1+Inputs!$D$7)^CL$2))),(Inputs!$D$8^((1-_xlfn.WEIBULL.DIST(CL$2,$M43,$L43,FALSE))/_xlfn.WEIBULL.DIST(CL$2,$M43,$L43,FALSE))*$U43*((1+Inputs!$D$7)^CL$2))),IF($N43=Lists!$K$3,IF($L43&lt;1,((($T43*(1-$F43)+$S43*(1-$G43))/$L43)*((1+Inputs!$D$7)^CL$2)),((INT(CL$2/$L43)-INT((CL$2-1)/$L43))*($T43*(1-$F43)+$S43*(1-$G43))*((1+Inputs!$D$7)^CL$2))),((Inputs!$D$8^((1-_xlfn.WEIBULL.DIST(CL$2,$M43,$L43,FALSE))/_xlfn.WEIBULL.DIST(CL$2,$M43,$L43,FALSE))*($T43*(1-$F43)+$S43*(1-$G43))*((1+Inputs!$D$7)^CL$2))))))))</f>
        <v>22.687458573572066</v>
      </c>
      <c r="CM43" s="88">
        <f>MAX(AW43,($E43*IF(CM$2&gt;Inputs!$D$5,0,IF(CM$2&gt;VLOOKUP($H43,Lists!$P$3:$Q$7,2),IF($N43=Lists!$K$3,IF($L43&lt;1,(($U43/$L43)*((1+Inputs!$D$7)^CM$2)),((INT(CM$2/$L43)-INT((CM$2-1)/$L43))*$U43*((1+Inputs!$D$7)^CM$2))),(Inputs!$D$8^((1-_xlfn.WEIBULL.DIST(CM$2,$M43,$L43,FALSE))/_xlfn.WEIBULL.DIST(CM$2,$M43,$L43,FALSE))*$U43*((1+Inputs!$D$7)^CM$2))),IF($N43=Lists!$K$3,IF($L43&lt;1,((($T43*(1-$F43)+$S43*(1-$G43))/$L43)*((1+Inputs!$D$7)^CM$2)),((INT(CM$2/$L43)-INT((CM$2-1)/$L43))*($T43*(1-$F43)+$S43*(1-$G43))*((1+Inputs!$D$7)^CM$2))),((Inputs!$D$8^((1-_xlfn.WEIBULL.DIST(CM$2,$M43,$L43,FALSE))/_xlfn.WEIBULL.DIST(CM$2,$M43,$L43,FALSE))*($T43*(1-$F43)+$S43*(1-$G43))*((1+Inputs!$D$7)^CM$2))))))))</f>
        <v>22.012597725569197</v>
      </c>
      <c r="CN43" s="88">
        <f>MAX(AX43,($E43*IF(CN$2&gt;Inputs!$D$5,0,IF(CN$2&gt;VLOOKUP($H43,Lists!$P$3:$Q$7,2),IF($N43=Lists!$K$3,IF($L43&lt;1,(($U43/$L43)*((1+Inputs!$D$7)^CN$2)),((INT(CN$2/$L43)-INT((CN$2-1)/$L43))*$U43*((1+Inputs!$D$7)^CN$2))),(Inputs!$D$8^((1-_xlfn.WEIBULL.DIST(CN$2,$M43,$L43,FALSE))/_xlfn.WEIBULL.DIST(CN$2,$M43,$L43,FALSE))*$U43*((1+Inputs!$D$7)^CN$2))),IF($N43=Lists!$K$3,IF($L43&lt;1,((($T43*(1-$F43)+$S43*(1-$G43))/$L43)*((1+Inputs!$D$7)^CN$2)),((INT(CN$2/$L43)-INT((CN$2-1)/$L43))*($T43*(1-$F43)+$S43*(1-$G43))*((1+Inputs!$D$7)^CN$2))),((Inputs!$D$8^((1-_xlfn.WEIBULL.DIST(CN$2,$M43,$L43,FALSE))/_xlfn.WEIBULL.DIST(CN$2,$M43,$L43,FALSE))*($T43*(1-$F43)+$S43*(1-$G43))*((1+Inputs!$D$7)^CN$2))))))))</f>
        <v>21.357811279584094</v>
      </c>
      <c r="CO43" s="88">
        <f>MAX(AY43,($E43*IF(CO$2&gt;Inputs!$D$5,0,IF(CO$2&gt;VLOOKUP($H43,Lists!$P$3:$Q$7,2),IF($N43=Lists!$K$3,IF($L43&lt;1,(($U43/$L43)*((1+Inputs!$D$7)^CO$2)),((INT(CO$2/$L43)-INT((CO$2-1)/$L43))*$U43*((1+Inputs!$D$7)^CO$2))),(Inputs!$D$8^((1-_xlfn.WEIBULL.DIST(CO$2,$M43,$L43,FALSE))/_xlfn.WEIBULL.DIST(CO$2,$M43,$L43,FALSE))*$U43*((1+Inputs!$D$7)^CO$2))),IF($N43=Lists!$K$3,IF($L43&lt;1,((($T43*(1-$F43)+$S43*(1-$G43))/$L43)*((1+Inputs!$D$7)^CO$2)),((INT(CO$2/$L43)-INT((CO$2-1)/$L43))*($T43*(1-$F43)+$S43*(1-$G43))*((1+Inputs!$D$7)^CO$2))),((Inputs!$D$8^((1-_xlfn.WEIBULL.DIST(CO$2,$M43,$L43,FALSE))/_xlfn.WEIBULL.DIST(CO$2,$M43,$L43,FALSE))*($T43*(1-$F43)+$S43*(1-$G43))*((1+Inputs!$D$7)^CO$2))))))))</f>
        <v>20.722502102715104</v>
      </c>
      <c r="CP43" s="88">
        <f>MAX(AZ43,($E43*IF(CP$2&gt;Inputs!$D$5,0,IF(CP$2&gt;VLOOKUP($H43,Lists!$P$3:$Q$7,2),IF($N43=Lists!$K$3,IF($L43&lt;1,(($U43/$L43)*((1+Inputs!$D$7)^CP$2)),((INT(CP$2/$L43)-INT((CP$2-1)/$L43))*$U43*((1+Inputs!$D$7)^CP$2))),(Inputs!$D$8^((1-_xlfn.WEIBULL.DIST(CP$2,$M43,$L43,FALSE))/_xlfn.WEIBULL.DIST(CP$2,$M43,$L43,FALSE))*$U43*((1+Inputs!$D$7)^CP$2))),IF($N43=Lists!$K$3,IF($L43&lt;1,((($T43*(1-$F43)+$S43*(1-$G43))/$L43)*((1+Inputs!$D$7)^CP$2)),((INT(CP$2/$L43)-INT((CP$2-1)/$L43))*($T43*(1-$F43)+$S43*(1-$G43))*((1+Inputs!$D$7)^CP$2))),((Inputs!$D$8^((1-_xlfn.WEIBULL.DIST(CP$2,$M43,$L43,FALSE))/_xlfn.WEIBULL.DIST(CP$2,$M43,$L43,FALSE))*($T43*(1-$F43)+$S43*(1-$G43))*((1+Inputs!$D$7)^CP$2))))))))</f>
        <v>0</v>
      </c>
      <c r="CQ43" s="88">
        <f>MAX(BA43,($E43*IF(CQ$2&gt;Inputs!$D$5,0,IF(CQ$2&gt;VLOOKUP($H43,Lists!$P$3:$Q$7,2),IF($N43=Lists!$K$3,IF($L43&lt;1,(($U43/$L43)*((1+Inputs!$D$7)^CQ$2)),((INT(CQ$2/$L43)-INT((CQ$2-1)/$L43))*$U43*((1+Inputs!$D$7)^CQ$2))),(Inputs!$D$8^((1-_xlfn.WEIBULL.DIST(CQ$2,$M43,$L43,FALSE))/_xlfn.WEIBULL.DIST(CQ$2,$M43,$L43,FALSE))*$U43*((1+Inputs!$D$7)^CQ$2))),IF($N43=Lists!$K$3,IF($L43&lt;1,((($T43*(1-$F43)+$S43*(1-$G43))/$L43)*((1+Inputs!$D$7)^CQ$2)),((INT(CQ$2/$L43)-INT((CQ$2-1)/$L43))*($T43*(1-$F43)+$S43*(1-$G43))*((1+Inputs!$D$7)^CQ$2))),((Inputs!$D$8^((1-_xlfn.WEIBULL.DIST(CQ$2,$M43,$L43,FALSE))/_xlfn.WEIBULL.DIST(CQ$2,$M43,$L43,FALSE))*($T43*(1-$F43)+$S43*(1-$G43))*((1+Inputs!$D$7)^CQ$2))))))))</f>
        <v>0</v>
      </c>
      <c r="CR43" s="88">
        <f>MAX(BB43,($E43*IF(CR$2&gt;Inputs!$D$5,0,IF(CR$2&gt;VLOOKUP($H43,Lists!$P$3:$Q$7,2),IF($N43=Lists!$K$3,IF($L43&lt;1,(($U43/$L43)*((1+Inputs!$D$7)^CR$2)),((INT(CR$2/$L43)-INT((CR$2-1)/$L43))*$U43*((1+Inputs!$D$7)^CR$2))),(Inputs!$D$8^((1-_xlfn.WEIBULL.DIST(CR$2,$M43,$L43,FALSE))/_xlfn.WEIBULL.DIST(CR$2,$M43,$L43,FALSE))*$U43*((1+Inputs!$D$7)^CR$2))),IF($N43=Lists!$K$3,IF($L43&lt;1,((($T43*(1-$F43)+$S43*(1-$G43))/$L43)*((1+Inputs!$D$7)^CR$2)),((INT(CR$2/$L43)-INT((CR$2-1)/$L43))*($T43*(1-$F43)+$S43*(1-$G43))*((1+Inputs!$D$7)^CR$2))),((Inputs!$D$8^((1-_xlfn.WEIBULL.DIST(CR$2,$M43,$L43,FALSE))/_xlfn.WEIBULL.DIST(CR$2,$M43,$L43,FALSE))*($T43*(1-$F43)+$S43*(1-$G43))*((1+Inputs!$D$7)^CR$2))))))))</f>
        <v>0</v>
      </c>
      <c r="CS43" s="88">
        <f>MAX(BC43,($E43*IF(CS$2&gt;Inputs!$D$5,0,IF(CS$2&gt;VLOOKUP($H43,Lists!$P$3:$Q$7,2),IF($N43=Lists!$K$3,IF($L43&lt;1,(($U43/$L43)*((1+Inputs!$D$7)^CS$2)),((INT(CS$2/$L43)-INT((CS$2-1)/$L43))*$U43*((1+Inputs!$D$7)^CS$2))),(Inputs!$D$8^((1-_xlfn.WEIBULL.DIST(CS$2,$M43,$L43,FALSE))/_xlfn.WEIBULL.DIST(CS$2,$M43,$L43,FALSE))*$U43*((1+Inputs!$D$7)^CS$2))),IF($N43=Lists!$K$3,IF($L43&lt;1,((($T43*(1-$F43)+$S43*(1-$G43))/$L43)*((1+Inputs!$D$7)^CS$2)),((INT(CS$2/$L43)-INT((CS$2-1)/$L43))*($T43*(1-$F43)+$S43*(1-$G43))*((1+Inputs!$D$7)^CS$2))),((Inputs!$D$8^((1-_xlfn.WEIBULL.DIST(CS$2,$M43,$L43,FALSE))/_xlfn.WEIBULL.DIST(CS$2,$M43,$L43,FALSE))*($T43*(1-$F43)+$S43*(1-$G43))*((1+Inputs!$D$7)^CS$2))))))))</f>
        <v>0</v>
      </c>
      <c r="CT43" s="88">
        <f>MAX(BD43,($E43*IF(CT$2&gt;Inputs!$D$5,0,IF(CT$2&gt;VLOOKUP($H43,Lists!$P$3:$Q$7,2),IF($N43=Lists!$K$3,IF($L43&lt;1,(($U43/$L43)*((1+Inputs!$D$7)^CT$2)),((INT(CT$2/$L43)-INT((CT$2-1)/$L43))*$U43*((1+Inputs!$D$7)^CT$2))),(Inputs!$D$8^((1-_xlfn.WEIBULL.DIST(CT$2,$M43,$L43,FALSE))/_xlfn.WEIBULL.DIST(CT$2,$M43,$L43,FALSE))*$U43*((1+Inputs!$D$7)^CT$2))),IF($N43=Lists!$K$3,IF($L43&lt;1,((($T43*(1-$F43)+$S43*(1-$G43))/$L43)*((1+Inputs!$D$7)^CT$2)),((INT(CT$2/$L43)-INT((CT$2-1)/$L43))*($T43*(1-$F43)+$S43*(1-$G43))*((1+Inputs!$D$7)^CT$2))),((Inputs!$D$8^((1-_xlfn.WEIBULL.DIST(CT$2,$M43,$L43,FALSE))/_xlfn.WEIBULL.DIST(CT$2,$M43,$L43,FALSE))*($T43*(1-$F43)+$S43*(1-$G43))*((1+Inputs!$D$7)^CT$2))))))))</f>
        <v>0</v>
      </c>
      <c r="CU43" s="88">
        <f>MAX(BE43,($E43*IF(CU$2&gt;Inputs!$D$5,0,IF(CU$2&gt;VLOOKUP($H43,Lists!$P$3:$Q$7,2),IF($N43=Lists!$K$3,IF($L43&lt;1,(($U43/$L43)*((1+Inputs!$D$7)^CU$2)),((INT(CU$2/$L43)-INT((CU$2-1)/$L43))*$U43*((1+Inputs!$D$7)^CU$2))),(Inputs!$D$8^((1-_xlfn.WEIBULL.DIST(CU$2,$M43,$L43,FALSE))/_xlfn.WEIBULL.DIST(CU$2,$M43,$L43,FALSE))*$U43*((1+Inputs!$D$7)^CU$2))),IF($N43=Lists!$K$3,IF($L43&lt;1,((($T43*(1-$F43)+$S43*(1-$G43))/$L43)*((1+Inputs!$D$7)^CU$2)),((INT(CU$2/$L43)-INT((CU$2-1)/$L43))*($T43*(1-$F43)+$S43*(1-$G43))*((1+Inputs!$D$7)^CU$2))),((Inputs!$D$8^((1-_xlfn.WEIBULL.DIST(CU$2,$M43,$L43,FALSE))/_xlfn.WEIBULL.DIST(CU$2,$M43,$L43,FALSE))*($T43*(1-$F43)+$S43*(1-$G43))*((1+Inputs!$D$7)^CU$2))))))))</f>
        <v>0</v>
      </c>
      <c r="CV43" s="88">
        <f>MAX(BF43,($E43*IF(CV$2&gt;Inputs!$D$5,0,IF(CV$2&gt;VLOOKUP($H43,Lists!$P$3:$Q$7,2),IF($N43=Lists!$K$3,IF($L43&lt;1,(($U43/$L43)*((1+Inputs!$D$7)^CV$2)),((INT(CV$2/$L43)-INT((CV$2-1)/$L43))*$U43*((1+Inputs!$D$7)^CV$2))),(Inputs!$D$8^((1-_xlfn.WEIBULL.DIST(CV$2,$M43,$L43,FALSE))/_xlfn.WEIBULL.DIST(CV$2,$M43,$L43,FALSE))*$U43*((1+Inputs!$D$7)^CV$2))),IF($N43=Lists!$K$3,IF($L43&lt;1,((($T43*(1-$F43)+$S43*(1-$G43))/$L43)*((1+Inputs!$D$7)^CV$2)),((INT(CV$2/$L43)-INT((CV$2-1)/$L43))*($T43*(1-$F43)+$S43*(1-$G43))*((1+Inputs!$D$7)^CV$2))),((Inputs!$D$8^((1-_xlfn.WEIBULL.DIST(CV$2,$M43,$L43,FALSE))/_xlfn.WEIBULL.DIST(CV$2,$M43,$L43,FALSE))*($T43*(1-$F43)+$S43*(1-$G43))*((1+Inputs!$D$7)^CV$2))))))))</f>
        <v>0</v>
      </c>
      <c r="CW43" s="88">
        <f>MAX(BG43,($E43*IF(CW$2&gt;Inputs!$D$5,0,IF(CW$2&gt;VLOOKUP($H43,Lists!$P$3:$Q$7,2),IF($N43=Lists!$K$3,IF($L43&lt;1,(($U43/$L43)*((1+Inputs!$D$7)^CW$2)),((INT(CW$2/$L43)-INT((CW$2-1)/$L43))*$U43*((1+Inputs!$D$7)^CW$2))),(Inputs!$D$8^((1-_xlfn.WEIBULL.DIST(CW$2,$M43,$L43,FALSE))/_xlfn.WEIBULL.DIST(CW$2,$M43,$L43,FALSE))*$U43*((1+Inputs!$D$7)^CW$2))),IF($N43=Lists!$K$3,IF($L43&lt;1,((($T43*(1-$F43)+$S43*(1-$G43))/$L43)*((1+Inputs!$D$7)^CW$2)),((INT(CW$2/$L43)-INT((CW$2-1)/$L43))*($T43*(1-$F43)+$S43*(1-$G43))*((1+Inputs!$D$7)^CW$2))),((Inputs!$D$8^((1-_xlfn.WEIBULL.DIST(CW$2,$M43,$L43,FALSE))/_xlfn.WEIBULL.DIST(CW$2,$M43,$L43,FALSE))*($T43*(1-$F43)+$S43*(1-$G43))*((1+Inputs!$D$7)^CW$2))))))))</f>
        <v>0</v>
      </c>
      <c r="CX43" s="88">
        <f>MAX(BH43,($E43*IF(CX$2&gt;Inputs!$D$5,0,IF(CX$2&gt;VLOOKUP($H43,Lists!$P$3:$Q$7,2),IF($N43=Lists!$K$3,IF($L43&lt;1,(($U43/$L43)*((1+Inputs!$D$7)^CX$2)),((INT(CX$2/$L43)-INT((CX$2-1)/$L43))*$U43*((1+Inputs!$D$7)^CX$2))),(Inputs!$D$8^((1-_xlfn.WEIBULL.DIST(CX$2,$M43,$L43,FALSE))/_xlfn.WEIBULL.DIST(CX$2,$M43,$L43,FALSE))*$U43*((1+Inputs!$D$7)^CX$2))),IF($N43=Lists!$K$3,IF($L43&lt;1,((($T43*(1-$F43)+$S43*(1-$G43))/$L43)*((1+Inputs!$D$7)^CX$2)),((INT(CX$2/$L43)-INT((CX$2-1)/$L43))*($T43*(1-$F43)+$S43*(1-$G43))*((1+Inputs!$D$7)^CX$2))),((Inputs!$D$8^((1-_xlfn.WEIBULL.DIST(CX$2,$M43,$L43,FALSE))/_xlfn.WEIBULL.DIST(CX$2,$M43,$L43,FALSE))*($T43*(1-$F43)+$S43*(1-$G43))*((1+Inputs!$D$7)^CX$2))))))))</f>
        <v>0</v>
      </c>
      <c r="CY43" s="88">
        <f>MAX(BI43,($E43*IF(CY$2&gt;Inputs!$D$5,0,IF(CY$2&gt;VLOOKUP($H43,Lists!$P$3:$Q$7,2),IF($N43=Lists!$K$3,IF($L43&lt;1,(($U43/$L43)*((1+Inputs!$D$7)^CY$2)),((INT(CY$2/$L43)-INT((CY$2-1)/$L43))*$U43*((1+Inputs!$D$7)^CY$2))),(Inputs!$D$8^((1-_xlfn.WEIBULL.DIST(CY$2,$M43,$L43,FALSE))/_xlfn.WEIBULL.DIST(CY$2,$M43,$L43,FALSE))*$U43*((1+Inputs!$D$7)^CY$2))),IF($N43=Lists!$K$3,IF($L43&lt;1,((($T43*(1-$F43)+$S43*(1-$G43))/$L43)*((1+Inputs!$D$7)^CY$2)),((INT(CY$2/$L43)-INT((CY$2-1)/$L43))*($T43*(1-$F43)+$S43*(1-$G43))*((1+Inputs!$D$7)^CY$2))),((Inputs!$D$8^((1-_xlfn.WEIBULL.DIST(CY$2,$M43,$L43,FALSE))/_xlfn.WEIBULL.DIST(CY$2,$M43,$L43,FALSE))*($T43*(1-$F43)+$S43*(1-$G43))*((1+Inputs!$D$7)^CY$2))))))))</f>
        <v>0</v>
      </c>
      <c r="CZ43" s="88">
        <f>MAX(BJ43,($E43*IF(CZ$2&gt;Inputs!$D$5,0,IF(CZ$2&gt;VLOOKUP($H43,Lists!$P$3:$Q$7,2),IF($N43=Lists!$K$3,IF($L43&lt;1,(($U43/$L43)*((1+Inputs!$D$7)^CZ$2)),((INT(CZ$2/$L43)-INT((CZ$2-1)/$L43))*$U43*((1+Inputs!$D$7)^CZ$2))),(Inputs!$D$8^((1-_xlfn.WEIBULL.DIST(CZ$2,$M43,$L43,FALSE))/_xlfn.WEIBULL.DIST(CZ$2,$M43,$L43,FALSE))*$U43*((1+Inputs!$D$7)^CZ$2))),IF($N43=Lists!$K$3,IF($L43&lt;1,((($T43*(1-$F43)+$S43*(1-$G43))/$L43)*((1+Inputs!$D$7)^CZ$2)),((INT(CZ$2/$L43)-INT((CZ$2-1)/$L43))*($T43*(1-$F43)+$S43*(1-$G43))*((1+Inputs!$D$7)^CZ$2))),((Inputs!$D$8^((1-_xlfn.WEIBULL.DIST(CZ$2,$M43,$L43,FALSE))/_xlfn.WEIBULL.DIST(CZ$2,$M43,$L43,FALSE))*($T43*(1-$F43)+$S43*(1-$G43))*((1+Inputs!$D$7)^CZ$2))))))))</f>
        <v>0</v>
      </c>
      <c r="DA43" s="88">
        <f>MAX(BK43,($E43*IF(DA$2&gt;Inputs!$D$5,0,IF(DA$2&gt;VLOOKUP($H43,Lists!$P$3:$Q$7,2),IF($N43=Lists!$K$3,IF($L43&lt;1,(($U43/$L43)*((1+Inputs!$D$7)^DA$2)),((INT(DA$2/$L43)-INT((DA$2-1)/$L43))*$U43*((1+Inputs!$D$7)^DA$2))),(Inputs!$D$8^((1-_xlfn.WEIBULL.DIST(DA$2,$M43,$L43,FALSE))/_xlfn.WEIBULL.DIST(DA$2,$M43,$L43,FALSE))*$U43*((1+Inputs!$D$7)^DA$2))),IF($N43=Lists!$K$3,IF($L43&lt;1,((($T43*(1-$F43)+$S43*(1-$G43))/$L43)*((1+Inputs!$D$7)^DA$2)),((INT(DA$2/$L43)-INT((DA$2-1)/$L43))*($T43*(1-$F43)+$S43*(1-$G43))*((1+Inputs!$D$7)^DA$2))),((Inputs!$D$8^((1-_xlfn.WEIBULL.DIST(DA$2,$M43,$L43,FALSE))/_xlfn.WEIBULL.DIST(DA$2,$M43,$L43,FALSE))*($T43*(1-$F43)+$S43*(1-$G43))*((1+Inputs!$D$7)^DA$2))))))))</f>
        <v>0</v>
      </c>
      <c r="DB43" s="88">
        <f>MAX(BL43,($E43*IF(DB$2&gt;Inputs!$D$5,0,IF(DB$2&gt;VLOOKUP($H43,Lists!$P$3:$Q$7,2),IF($N43=Lists!$K$3,IF($L43&lt;1,(($U43/$L43)*((1+Inputs!$D$7)^DB$2)),((INT(DB$2/$L43)-INT((DB$2-1)/$L43))*$U43*((1+Inputs!$D$7)^DB$2))),(Inputs!$D$8^((1-_xlfn.WEIBULL.DIST(DB$2,$M43,$L43,FALSE))/_xlfn.WEIBULL.DIST(DB$2,$M43,$L43,FALSE))*$U43*((1+Inputs!$D$7)^DB$2))),IF($N43=Lists!$K$3,IF($L43&lt;1,((($T43*(1-$F43)+$S43*(1-$G43))/$L43)*((1+Inputs!$D$7)^DB$2)),((INT(DB$2/$L43)-INT((DB$2-1)/$L43))*($T43*(1-$F43)+$S43*(1-$G43))*((1+Inputs!$D$7)^DB$2))),((Inputs!$D$8^((1-_xlfn.WEIBULL.DIST(DB$2,$M43,$L43,FALSE))/_xlfn.WEIBULL.DIST(DB$2,$M43,$L43,FALSE))*($T43*(1-$F43)+$S43*(1-$G43))*((1+Inputs!$D$7)^DB$2))))))))</f>
        <v>0</v>
      </c>
      <c r="DC43" s="88">
        <f>MAX(BM43,($E43*IF(DC$2&gt;Inputs!$D$5,0,IF(DC$2&gt;VLOOKUP($H43,Lists!$P$3:$Q$7,2),IF($N43=Lists!$K$3,IF($L43&lt;1,(($U43/$L43)*((1+Inputs!$D$7)^DC$2)),((INT(DC$2/$L43)-INT((DC$2-1)/$L43))*$U43*((1+Inputs!$D$7)^DC$2))),(Inputs!$D$8^((1-_xlfn.WEIBULL.DIST(DC$2,$M43,$L43,FALSE))/_xlfn.WEIBULL.DIST(DC$2,$M43,$L43,FALSE))*$U43*((1+Inputs!$D$7)^DC$2))),IF($N43=Lists!$K$3,IF($L43&lt;1,((($T43*(1-$F43)+$S43*(1-$G43))/$L43)*((1+Inputs!$D$7)^DC$2)),((INT(DC$2/$L43)-INT((DC$2-1)/$L43))*($T43*(1-$F43)+$S43*(1-$G43))*((1+Inputs!$D$7)^DC$2))),((Inputs!$D$8^((1-_xlfn.WEIBULL.DIST(DC$2,$M43,$L43,FALSE))/_xlfn.WEIBULL.DIST(DC$2,$M43,$L43,FALSE))*($T43*(1-$F43)+$S43*(1-$G43))*((1+Inputs!$D$7)^DC$2))))))))</f>
        <v>0</v>
      </c>
      <c r="DD43" s="88">
        <f>MAX(BN43,($E43*IF(DD$2&gt;Inputs!$D$5,0,IF(DD$2&gt;VLOOKUP($H43,Lists!$P$3:$Q$7,2),IF($N43=Lists!$K$3,IF($L43&lt;1,(($U43/$L43)*((1+Inputs!$D$7)^DD$2)),((INT(DD$2/$L43)-INT((DD$2-1)/$L43))*$U43*((1+Inputs!$D$7)^DD$2))),(Inputs!$D$8^((1-_xlfn.WEIBULL.DIST(DD$2,$M43,$L43,FALSE))/_xlfn.WEIBULL.DIST(DD$2,$M43,$L43,FALSE))*$U43*((1+Inputs!$D$7)^DD$2))),IF($N43=Lists!$K$3,IF($L43&lt;1,((($T43*(1-$F43)+$S43*(1-$G43))/$L43)*((1+Inputs!$D$7)^DD$2)),((INT(DD$2/$L43)-INT((DD$2-1)/$L43))*($T43*(1-$F43)+$S43*(1-$G43))*((1+Inputs!$D$7)^DD$2))),((Inputs!$D$8^((1-_xlfn.WEIBULL.DIST(DD$2,$M43,$L43,FALSE))/_xlfn.WEIBULL.DIST(DD$2,$M43,$L43,FALSE))*($T43*(1-$F43)+$S43*(1-$G43))*((1+Inputs!$D$7)^DD$2))))))))</f>
        <v>0</v>
      </c>
    </row>
    <row r="44" spans="1:108" s="1" customFormat="1" ht="32">
      <c r="A44" s="57" t="s">
        <v>194</v>
      </c>
      <c r="B44" s="13" t="s">
        <v>130</v>
      </c>
      <c r="C44" s="13" t="s">
        <v>474</v>
      </c>
      <c r="D44" s="13" t="s">
        <v>16</v>
      </c>
      <c r="E44" s="48">
        <f>IF(Inputs!$D$30=Lists!$M$4,1,0)</f>
        <v>1</v>
      </c>
      <c r="F44" s="48">
        <v>1</v>
      </c>
      <c r="G44" s="48">
        <v>0</v>
      </c>
      <c r="H44" s="105" t="s">
        <v>16</v>
      </c>
      <c r="I44" s="14" t="s">
        <v>264</v>
      </c>
      <c r="J44" s="14" t="s">
        <v>91</v>
      </c>
      <c r="K44" s="13">
        <f>VLOOKUP(J44,'Labor Rates'!$A$1:$F$16,2)</f>
        <v>33.17307692307692</v>
      </c>
      <c r="L44" s="15">
        <v>20</v>
      </c>
      <c r="M44" s="15">
        <v>1</v>
      </c>
      <c r="N44" s="16" t="s">
        <v>226</v>
      </c>
      <c r="O44" s="61">
        <f>Inputs!$D$32</f>
        <v>10</v>
      </c>
      <c r="P44" s="15">
        <v>1</v>
      </c>
      <c r="Q44" s="15">
        <f t="shared" si="7"/>
        <v>0.5</v>
      </c>
      <c r="R44" s="4">
        <v>1000</v>
      </c>
      <c r="S44" s="53">
        <f t="shared" si="8"/>
        <v>331.73076923076917</v>
      </c>
      <c r="T44" s="53">
        <f t="shared" si="9"/>
        <v>10000</v>
      </c>
      <c r="U44" s="54">
        <f t="shared" si="10"/>
        <v>10331.73076923077</v>
      </c>
      <c r="V44" s="65"/>
      <c r="W44" s="58"/>
      <c r="X44" s="64">
        <f t="shared" si="11"/>
        <v>169.40720682314858</v>
      </c>
      <c r="Y44" s="64">
        <f>NPV(Inputs!$D$6,AA44:BN44)</f>
        <v>1554.1576725425964</v>
      </c>
      <c r="Z44" s="67">
        <f t="shared" si="12"/>
        <v>7.3301663344888662E-4</v>
      </c>
      <c r="AA44" s="88">
        <f>$E44*IF(AA$2&gt;Inputs!$D$5,0,IF(AA$2&gt;VLOOKUP($H44,Lists!$P$3:$Q$7,2),IF($N44=Lists!$K$3,IF($L44&lt;1,(($U44/$L44)*((1+Inputs!$D$7)^AA$2)),((INT(AA$2/$L44)-INT((AA$2-1)/$L44))*$U44*((1+Inputs!$D$7)^AA$2))),(_xlfn.WEIBULL.DIST(AA$2,$M44,$L44,FALSE)*$U44*((1+Inputs!$D$7)^AA$2))),IF($N44=Lists!$K$3,IF($L44&lt;1,((($T44*(1-$F44)+$S44*(1-$G44))/$L44)*((1+Inputs!$D$7)^AA$2)),((INT(AA$2/$L44)-INT((AA$2-1)/$L44))*($T44*(1-$F44)+$S44*(1-$G44))*((1+Inputs!$D$7)^AA$2))),((_xlfn.WEIBULL.DIST(AA$2,$M44,$L44,FALSE)*($T44*(1-$F44)+$S44*(1-$G44))*((1+Inputs!$D$7)^AA$2))))))</f>
        <v>16.093155503932753</v>
      </c>
      <c r="AB44" s="88">
        <f>$E44*IF(AB$2&gt;Inputs!$D$5,0,IF(AB$2&gt;VLOOKUP($H44,Lists!$P$3:$Q$7,2),IF($N44=Lists!$K$3,IF($L44&lt;1,(($U44/$L44)*((1+Inputs!$D$7)^AB$2)),((INT(AB$2/$L44)-INT((AB$2-1)/$L44))*$U44*((1+Inputs!$D$7)^AB$2))),(_xlfn.WEIBULL.DIST(AB$2,$M44,$L44,FALSE)*$U44*((1+Inputs!$D$7)^AB$2))),IF($N44=Lists!$K$3,IF($L44&lt;1,((($T44*(1-$F44)+$S44*(1-$G44))/$L44)*((1+Inputs!$D$7)^AB$2)),((INT(AB$2/$L44)-INT((AB$2-1)/$L44))*($T44*(1-$F44)+$S44*(1-$G44))*((1+Inputs!$D$7)^AB$2))),((_xlfn.WEIBULL.DIST(AB$2,$M44,$L44,FALSE)*($T44*(1-$F44)+$S44*(1-$G44))*((1+Inputs!$D$7)^AB$2))))))</f>
        <v>15.61444870937458</v>
      </c>
      <c r="AC44" s="88">
        <f>$E44*IF(AC$2&gt;Inputs!$D$5,0,IF(AC$2&gt;VLOOKUP($H44,Lists!$P$3:$Q$7,2),IF($N44=Lists!$K$3,IF($L44&lt;1,(($U44/$L44)*((1+Inputs!$D$7)^AC$2)),((INT(AC$2/$L44)-INT((AC$2-1)/$L44))*$U44*((1+Inputs!$D$7)^AC$2))),(_xlfn.WEIBULL.DIST(AC$2,$M44,$L44,FALSE)*$U44*((1+Inputs!$D$7)^AC$2))),IF($N44=Lists!$K$3,IF($L44&lt;1,((($T44*(1-$F44)+$S44*(1-$G44))/$L44)*((1+Inputs!$D$7)^AC$2)),((INT(AC$2/$L44)-INT((AC$2-1)/$L44))*($T44*(1-$F44)+$S44*(1-$G44))*((1+Inputs!$D$7)^AC$2))),((_xlfn.WEIBULL.DIST(AC$2,$M44,$L44,FALSE)*($T44*(1-$F44)+$S44*(1-$G44))*((1+Inputs!$D$7)^AC$2))))))</f>
        <v>15.149981520908584</v>
      </c>
      <c r="AD44" s="88">
        <f>$E44*IF(AD$2&gt;Inputs!$D$5,0,IF(AD$2&gt;VLOOKUP($H44,Lists!$P$3:$Q$7,2),IF($N44=Lists!$K$3,IF($L44&lt;1,(($U44/$L44)*((1+Inputs!$D$7)^AD$2)),((INT(AD$2/$L44)-INT((AD$2-1)/$L44))*$U44*((1+Inputs!$D$7)^AD$2))),(_xlfn.WEIBULL.DIST(AD$2,$M44,$L44,FALSE)*$U44*((1+Inputs!$D$7)^AD$2))),IF($N44=Lists!$K$3,IF($L44&lt;1,((($T44*(1-$F44)+$S44*(1-$G44))/$L44)*((1+Inputs!$D$7)^AD$2)),((INT(AD$2/$L44)-INT((AD$2-1)/$L44))*($T44*(1-$F44)+$S44*(1-$G44))*((1+Inputs!$D$7)^AD$2))),((_xlfn.WEIBULL.DIST(AD$2,$M44,$L44,FALSE)*($T44*(1-$F44)+$S44*(1-$G44))*((1+Inputs!$D$7)^AD$2))))))</f>
        <v>14.69933036739693</v>
      </c>
      <c r="AE44" s="88">
        <f>$E44*IF(AE$2&gt;Inputs!$D$5,0,IF(AE$2&gt;VLOOKUP($H44,Lists!$P$3:$Q$7,2),IF($N44=Lists!$K$3,IF($L44&lt;1,(($U44/$L44)*((1+Inputs!$D$7)^AE$2)),((INT(AE$2/$L44)-INT((AE$2-1)/$L44))*$U44*((1+Inputs!$D$7)^AE$2))),(_xlfn.WEIBULL.DIST(AE$2,$M44,$L44,FALSE)*$U44*((1+Inputs!$D$7)^AE$2))),IF($N44=Lists!$K$3,IF($L44&lt;1,((($T44*(1-$F44)+$S44*(1-$G44))/$L44)*((1+Inputs!$D$7)^AE$2)),((INT(AE$2/$L44)-INT((AE$2-1)/$L44))*($T44*(1-$F44)+$S44*(1-$G44))*((1+Inputs!$D$7)^AE$2))),((_xlfn.WEIBULL.DIST(AE$2,$M44,$L44,FALSE)*($T44*(1-$F44)+$S44*(1-$G44))*((1+Inputs!$D$7)^AE$2))))))</f>
        <v>14.262084277243348</v>
      </c>
      <c r="AF44" s="88">
        <f>$E44*IF(AF$2&gt;Inputs!$D$5,0,IF(AF$2&gt;VLOOKUP($H44,Lists!$P$3:$Q$7,2),IF($N44=Lists!$K$3,IF($L44&lt;1,(($U44/$L44)*((1+Inputs!$D$7)^AF$2)),((INT(AF$2/$L44)-INT((AF$2-1)/$L44))*$U44*((1+Inputs!$D$7)^AF$2))),(_xlfn.WEIBULL.DIST(AF$2,$M44,$L44,FALSE)*$U44*((1+Inputs!$D$7)^AF$2))),IF($N44=Lists!$K$3,IF($L44&lt;1,((($T44*(1-$F44)+$S44*(1-$G44))/$L44)*((1+Inputs!$D$7)^AF$2)),((INT(AF$2/$L44)-INT((AF$2-1)/$L44))*($T44*(1-$F44)+$S44*(1-$G44))*((1+Inputs!$D$7)^AF$2))),((_xlfn.WEIBULL.DIST(AF$2,$M44,$L44,FALSE)*($T44*(1-$F44)+$S44*(1-$G44))*((1+Inputs!$D$7)^AF$2))))))</f>
        <v>13.837844503607332</v>
      </c>
      <c r="AG44" s="88">
        <f>$E44*IF(AG$2&gt;Inputs!$D$5,0,IF(AG$2&gt;VLOOKUP($H44,Lists!$P$3:$Q$7,2),IF($N44=Lists!$K$3,IF($L44&lt;1,(($U44/$L44)*((1+Inputs!$D$7)^AG$2)),((INT(AG$2/$L44)-INT((AG$2-1)/$L44))*$U44*((1+Inputs!$D$7)^AG$2))),(_xlfn.WEIBULL.DIST(AG$2,$M44,$L44,FALSE)*$U44*((1+Inputs!$D$7)^AG$2))),IF($N44=Lists!$K$3,IF($L44&lt;1,((($T44*(1-$F44)+$S44*(1-$G44))/$L44)*((1+Inputs!$D$7)^AG$2)),((INT(AG$2/$L44)-INT((AG$2-1)/$L44))*($T44*(1-$F44)+$S44*(1-$G44))*((1+Inputs!$D$7)^AG$2))),((_xlfn.WEIBULL.DIST(AG$2,$M44,$L44,FALSE)*($T44*(1-$F44)+$S44*(1-$G44))*((1+Inputs!$D$7)^AG$2))))))</f>
        <v>13.426224160766701</v>
      </c>
      <c r="AH44" s="88">
        <f>$E44*IF(AH$2&gt;Inputs!$D$5,0,IF(AH$2&gt;VLOOKUP($H44,Lists!$P$3:$Q$7,2),IF($N44=Lists!$K$3,IF($L44&lt;1,(($U44/$L44)*((1+Inputs!$D$7)^AH$2)),((INT(AH$2/$L44)-INT((AH$2-1)/$L44))*$U44*((1+Inputs!$D$7)^AH$2))),(_xlfn.WEIBULL.DIST(AH$2,$M44,$L44,FALSE)*$U44*((1+Inputs!$D$7)^AH$2))),IF($N44=Lists!$K$3,IF($L44&lt;1,((($T44*(1-$F44)+$S44*(1-$G44))/$L44)*((1+Inputs!$D$7)^AH$2)),((INT(AH$2/$L44)-INT((AH$2-1)/$L44))*($T44*(1-$F44)+$S44*(1-$G44))*((1+Inputs!$D$7)^AH$2))),((_xlfn.WEIBULL.DIST(AH$2,$M44,$L44,FALSE)*($T44*(1-$F44)+$S44*(1-$G44))*((1+Inputs!$D$7)^AH$2))))))</f>
        <v>13.026847871296967</v>
      </c>
      <c r="AI44" s="88">
        <f>$E44*IF(AI$2&gt;Inputs!$D$5,0,IF(AI$2&gt;VLOOKUP($H44,Lists!$P$3:$Q$7,2),IF($N44=Lists!$K$3,IF($L44&lt;1,(($U44/$L44)*((1+Inputs!$D$7)^AI$2)),((INT(AI$2/$L44)-INT((AI$2-1)/$L44))*$U44*((1+Inputs!$D$7)^AI$2))),(_xlfn.WEIBULL.DIST(AI$2,$M44,$L44,FALSE)*$U44*((1+Inputs!$D$7)^AI$2))),IF($N44=Lists!$K$3,IF($L44&lt;1,((($T44*(1-$F44)+$S44*(1-$G44))/$L44)*((1+Inputs!$D$7)^AI$2)),((INT(AI$2/$L44)-INT((AI$2-1)/$L44))*($T44*(1-$F44)+$S44*(1-$G44))*((1+Inputs!$D$7)^AI$2))),((_xlfn.WEIBULL.DIST(AI$2,$M44,$L44,FALSE)*($T44*(1-$F44)+$S44*(1-$G44))*((1+Inputs!$D$7)^AI$2))))))</f>
        <v>12.639351423745609</v>
      </c>
      <c r="AJ44" s="88">
        <f>$E44*IF(AJ$2&gt;Inputs!$D$5,0,IF(AJ$2&gt;VLOOKUP($H44,Lists!$P$3:$Q$7,2),IF($N44=Lists!$K$3,IF($L44&lt;1,(($U44/$L44)*((1+Inputs!$D$7)^AJ$2)),((INT(AJ$2/$L44)-INT((AJ$2-1)/$L44))*$U44*((1+Inputs!$D$7)^AJ$2))),(_xlfn.WEIBULL.DIST(AJ$2,$M44,$L44,FALSE)*$U44*((1+Inputs!$D$7)^AJ$2))),IF($N44=Lists!$K$3,IF($L44&lt;1,((($T44*(1-$F44)+$S44*(1-$G44))/$L44)*((1+Inputs!$D$7)^AJ$2)),((INT(AJ$2/$L44)-INT((AJ$2-1)/$L44))*($T44*(1-$F44)+$S44*(1-$G44))*((1+Inputs!$D$7)^AJ$2))),((_xlfn.WEIBULL.DIST(AJ$2,$M44,$L44,FALSE)*($T44*(1-$F44)+$S44*(1-$G44))*((1+Inputs!$D$7)^AJ$2))))))</f>
        <v>12.263381440489251</v>
      </c>
      <c r="AK44" s="88">
        <f>$E44*IF(AK$2&gt;Inputs!$D$5,0,IF(AK$2&gt;VLOOKUP($H44,Lists!$P$3:$Q$7,2),IF($N44=Lists!$K$3,IF($L44&lt;1,(($U44/$L44)*((1+Inputs!$D$7)^AK$2)),((INT(AK$2/$L44)-INT((AK$2-1)/$L44))*$U44*((1+Inputs!$D$7)^AK$2))),(_xlfn.WEIBULL.DIST(AK$2,$M44,$L44,FALSE)*$U44*((1+Inputs!$D$7)^AK$2))),IF($N44=Lists!$K$3,IF($L44&lt;1,((($T44*(1-$F44)+$S44*(1-$G44))/$L44)*((1+Inputs!$D$7)^AK$2)),((INT(AK$2/$L44)-INT((AK$2-1)/$L44))*($T44*(1-$F44)+$S44*(1-$G44))*((1+Inputs!$D$7)^AK$2))),((_xlfn.WEIBULL.DIST(AK$2,$M44,$L44,FALSE)*($T44*(1-$F44)+$S44*(1-$G44))*((1+Inputs!$D$7)^AK$2))))))</f>
        <v>370.5808807856024</v>
      </c>
      <c r="AL44" s="88">
        <f>$E44*IF(AL$2&gt;Inputs!$D$5,0,IF(AL$2&gt;VLOOKUP($H44,Lists!$P$3:$Q$7,2),IF($N44=Lists!$K$3,IF($L44&lt;1,(($U44/$L44)*((1+Inputs!$D$7)^AL$2)),((INT(AL$2/$L44)-INT((AL$2-1)/$L44))*$U44*((1+Inputs!$D$7)^AL$2))),(_xlfn.WEIBULL.DIST(AL$2,$M44,$L44,FALSE)*$U44*((1+Inputs!$D$7)^AL$2))),IF($N44=Lists!$K$3,IF($L44&lt;1,((($T44*(1-$F44)+$S44*(1-$G44))/$L44)*((1+Inputs!$D$7)^AL$2)),((INT(AL$2/$L44)-INT((AL$2-1)/$L44))*($T44*(1-$F44)+$S44*(1-$G44))*((1+Inputs!$D$7)^AL$2))),((_xlfn.WEIBULL.DIST(AL$2,$M44,$L44,FALSE)*($T44*(1-$F44)+$S44*(1-$G44))*((1+Inputs!$D$7)^AL$2))))))</f>
        <v>359.55758671986951</v>
      </c>
      <c r="AM44" s="88">
        <f>$E44*IF(AM$2&gt;Inputs!$D$5,0,IF(AM$2&gt;VLOOKUP($H44,Lists!$P$3:$Q$7,2),IF($N44=Lists!$K$3,IF($L44&lt;1,(($U44/$L44)*((1+Inputs!$D$7)^AM$2)),((INT(AM$2/$L44)-INT((AM$2-1)/$L44))*$U44*((1+Inputs!$D$7)^AM$2))),(_xlfn.WEIBULL.DIST(AM$2,$M44,$L44,FALSE)*$U44*((1+Inputs!$D$7)^AM$2))),IF($N44=Lists!$K$3,IF($L44&lt;1,((($T44*(1-$F44)+$S44*(1-$G44))/$L44)*((1+Inputs!$D$7)^AM$2)),((INT(AM$2/$L44)-INT((AM$2-1)/$L44))*($T44*(1-$F44)+$S44*(1-$G44))*((1+Inputs!$D$7)^AM$2))),((_xlfn.WEIBULL.DIST(AM$2,$M44,$L44,FALSE)*($T44*(1-$F44)+$S44*(1-$G44))*((1+Inputs!$D$7)^AM$2))))))</f>
        <v>348.86219141621518</v>
      </c>
      <c r="AN44" s="88">
        <f>$E44*IF(AN$2&gt;Inputs!$D$5,0,IF(AN$2&gt;VLOOKUP($H44,Lists!$P$3:$Q$7,2),IF($N44=Lists!$K$3,IF($L44&lt;1,(($U44/$L44)*((1+Inputs!$D$7)^AN$2)),((INT(AN$2/$L44)-INT((AN$2-1)/$L44))*$U44*((1+Inputs!$D$7)^AN$2))),(_xlfn.WEIBULL.DIST(AN$2,$M44,$L44,FALSE)*$U44*((1+Inputs!$D$7)^AN$2))),IF($N44=Lists!$K$3,IF($L44&lt;1,((($T44*(1-$F44)+$S44*(1-$G44))/$L44)*((1+Inputs!$D$7)^AN$2)),((INT(AN$2/$L44)-INT((AN$2-1)/$L44))*($T44*(1-$F44)+$S44*(1-$G44))*((1+Inputs!$D$7)^AN$2))),((_xlfn.WEIBULL.DIST(AN$2,$M44,$L44,FALSE)*($T44*(1-$F44)+$S44*(1-$G44))*((1+Inputs!$D$7)^AN$2))))))</f>
        <v>338.48494120232237</v>
      </c>
      <c r="AO44" s="88">
        <f>$E44*IF(AO$2&gt;Inputs!$D$5,0,IF(AO$2&gt;VLOOKUP($H44,Lists!$P$3:$Q$7,2),IF($N44=Lists!$K$3,IF($L44&lt;1,(($U44/$L44)*((1+Inputs!$D$7)^AO$2)),((INT(AO$2/$L44)-INT((AO$2-1)/$L44))*$U44*((1+Inputs!$D$7)^AO$2))),(_xlfn.WEIBULL.DIST(AO$2,$M44,$L44,FALSE)*$U44*((1+Inputs!$D$7)^AO$2))),IF($N44=Lists!$K$3,IF($L44&lt;1,((($T44*(1-$F44)+$S44*(1-$G44))/$L44)*((1+Inputs!$D$7)^AO$2)),((INT(AO$2/$L44)-INT((AO$2-1)/$L44))*($T44*(1-$F44)+$S44*(1-$G44))*((1+Inputs!$D$7)^AO$2))),((_xlfn.WEIBULL.DIST(AO$2,$M44,$L44,FALSE)*($T44*(1-$F44)+$S44*(1-$G44))*((1+Inputs!$D$7)^AO$2))))))</f>
        <v>328.41637253848393</v>
      </c>
      <c r="AP44" s="88">
        <f>$E44*IF(AP$2&gt;Inputs!$D$5,0,IF(AP$2&gt;VLOOKUP($H44,Lists!$P$3:$Q$7,2),IF($N44=Lists!$K$3,IF($L44&lt;1,(($U44/$L44)*((1+Inputs!$D$7)^AP$2)),((INT(AP$2/$L44)-INT((AP$2-1)/$L44))*$U44*((1+Inputs!$D$7)^AP$2))),(_xlfn.WEIBULL.DIST(AP$2,$M44,$L44,FALSE)*$U44*((1+Inputs!$D$7)^AP$2))),IF($N44=Lists!$K$3,IF($L44&lt;1,((($T44*(1-$F44)+$S44*(1-$G44))/$L44)*((1+Inputs!$D$7)^AP$2)),((INT(AP$2/$L44)-INT((AP$2-1)/$L44))*($T44*(1-$F44)+$S44*(1-$G44))*((1+Inputs!$D$7)^AP$2))),((_xlfn.WEIBULL.DIST(AP$2,$M44,$L44,FALSE)*($T44*(1-$F44)+$S44*(1-$G44))*((1+Inputs!$D$7)^AP$2))))))</f>
        <v>318.64730338732204</v>
      </c>
      <c r="AQ44" s="88">
        <f>$E44*IF(AQ$2&gt;Inputs!$D$5,0,IF(AQ$2&gt;VLOOKUP($H44,Lists!$P$3:$Q$7,2),IF($N44=Lists!$K$3,IF($L44&lt;1,(($U44/$L44)*((1+Inputs!$D$7)^AQ$2)),((INT(AQ$2/$L44)-INT((AQ$2-1)/$L44))*$U44*((1+Inputs!$D$7)^AQ$2))),(_xlfn.WEIBULL.DIST(AQ$2,$M44,$L44,FALSE)*$U44*((1+Inputs!$D$7)^AQ$2))),IF($N44=Lists!$K$3,IF($L44&lt;1,((($T44*(1-$F44)+$S44*(1-$G44))/$L44)*((1+Inputs!$D$7)^AQ$2)),((INT(AQ$2/$L44)-INT((AQ$2-1)/$L44))*($T44*(1-$F44)+$S44*(1-$G44))*((1+Inputs!$D$7)^AQ$2))),((_xlfn.WEIBULL.DIST(AQ$2,$M44,$L44,FALSE)*($T44*(1-$F44)+$S44*(1-$G44))*((1+Inputs!$D$7)^AQ$2))))))</f>
        <v>309.16882484022341</v>
      </c>
      <c r="AR44" s="88">
        <f>$E44*IF(AR$2&gt;Inputs!$D$5,0,IF(AR$2&gt;VLOOKUP($H44,Lists!$P$3:$Q$7,2),IF($N44=Lists!$K$3,IF($L44&lt;1,(($U44/$L44)*((1+Inputs!$D$7)^AR$2)),((INT(AR$2/$L44)-INT((AR$2-1)/$L44))*$U44*((1+Inputs!$D$7)^AR$2))),(_xlfn.WEIBULL.DIST(AR$2,$M44,$L44,FALSE)*$U44*((1+Inputs!$D$7)^AR$2))),IF($N44=Lists!$K$3,IF($L44&lt;1,((($T44*(1-$F44)+$S44*(1-$G44))/$L44)*((1+Inputs!$D$7)^AR$2)),((INT(AR$2/$L44)-INT((AR$2-1)/$L44))*($T44*(1-$F44)+$S44*(1-$G44))*((1+Inputs!$D$7)^AR$2))),((_xlfn.WEIBULL.DIST(AR$2,$M44,$L44,FALSE)*($T44*(1-$F44)+$S44*(1-$G44))*((1+Inputs!$D$7)^AR$2))))))</f>
        <v>299.97229299285425</v>
      </c>
      <c r="AS44" s="88">
        <f>$E44*IF(AS$2&gt;Inputs!$D$5,0,IF(AS$2&gt;VLOOKUP($H44,Lists!$P$3:$Q$7,2),IF($N44=Lists!$K$3,IF($L44&lt;1,(($U44/$L44)*((1+Inputs!$D$7)^AS$2)),((INT(AS$2/$L44)-INT((AS$2-1)/$L44))*$U44*((1+Inputs!$D$7)^AS$2))),(_xlfn.WEIBULL.DIST(AS$2,$M44,$L44,FALSE)*$U44*((1+Inputs!$D$7)^AS$2))),IF($N44=Lists!$K$3,IF($L44&lt;1,((($T44*(1-$F44)+$S44*(1-$G44))/$L44)*((1+Inputs!$D$7)^AS$2)),((INT(AS$2/$L44)-INT((AS$2-1)/$L44))*($T44*(1-$F44)+$S44*(1-$G44))*((1+Inputs!$D$7)^AS$2))),((_xlfn.WEIBULL.DIST(AS$2,$M44,$L44,FALSE)*($T44*(1-$F44)+$S44*(1-$G44))*((1+Inputs!$D$7)^AS$2))))))</f>
        <v>291.04932106234736</v>
      </c>
      <c r="AT44" s="88">
        <f>$E44*IF(AT$2&gt;Inputs!$D$5,0,IF(AT$2&gt;VLOOKUP($H44,Lists!$P$3:$Q$7,2),IF($N44=Lists!$K$3,IF($L44&lt;1,(($U44/$L44)*((1+Inputs!$D$7)^AT$2)),((INT(AT$2/$L44)-INT((AT$2-1)/$L44))*$U44*((1+Inputs!$D$7)^AT$2))),(_xlfn.WEIBULL.DIST(AT$2,$M44,$L44,FALSE)*$U44*((1+Inputs!$D$7)^AT$2))),IF($N44=Lists!$K$3,IF($L44&lt;1,((($T44*(1-$F44)+$S44*(1-$G44))/$L44)*((1+Inputs!$D$7)^AT$2)),((INT(AT$2/$L44)-INT((AT$2-1)/$L44))*($T44*(1-$F44)+$S44*(1-$G44))*((1+Inputs!$D$7)^AT$2))),((_xlfn.WEIBULL.DIST(AT$2,$M44,$L44,FALSE)*($T44*(1-$F44)+$S44*(1-$G44))*((1+Inputs!$D$7)^AT$2))))))</f>
        <v>282.39177173896945</v>
      </c>
      <c r="AU44" s="88">
        <f>$E44*IF(AU$2&gt;Inputs!$D$5,0,IF(AU$2&gt;VLOOKUP($H44,Lists!$P$3:$Q$7,2),IF($N44=Lists!$K$3,IF($L44&lt;1,(($U44/$L44)*((1+Inputs!$D$7)^AU$2)),((INT(AU$2/$L44)-INT((AU$2-1)/$L44))*$U44*((1+Inputs!$D$7)^AU$2))),(_xlfn.WEIBULL.DIST(AU$2,$M44,$L44,FALSE)*$U44*((1+Inputs!$D$7)^AU$2))),IF($N44=Lists!$K$3,IF($L44&lt;1,((($T44*(1-$F44)+$S44*(1-$G44))/$L44)*((1+Inputs!$D$7)^AU$2)),((INT(AU$2/$L44)-INT((AU$2-1)/$L44))*($T44*(1-$F44)+$S44*(1-$G44))*((1+Inputs!$D$7)^AU$2))),((_xlfn.WEIBULL.DIST(AU$2,$M44,$L44,FALSE)*($T44*(1-$F44)+$S44*(1-$G44))*((1+Inputs!$D$7)^AU$2))))))</f>
        <v>273.99174976529684</v>
      </c>
      <c r="AV44" s="88">
        <f>$E44*IF(AV$2&gt;Inputs!$D$5,0,IF(AV$2&gt;VLOOKUP($H44,Lists!$P$3:$Q$7,2),IF($N44=Lists!$K$3,IF($L44&lt;1,(($U44/$L44)*((1+Inputs!$D$7)^AV$2)),((INT(AV$2/$L44)-INT((AV$2-1)/$L44))*$U44*((1+Inputs!$D$7)^AV$2))),(_xlfn.WEIBULL.DIST(AV$2,$M44,$L44,FALSE)*$U44*((1+Inputs!$D$7)^AV$2))),IF($N44=Lists!$K$3,IF($L44&lt;1,((($T44*(1-$F44)+$S44*(1-$G44))/$L44)*((1+Inputs!$D$7)^AV$2)),((INT(AV$2/$L44)-INT((AV$2-1)/$L44))*($T44*(1-$F44)+$S44*(1-$G44))*((1+Inputs!$D$7)^AV$2))),((_xlfn.WEIBULL.DIST(AV$2,$M44,$L44,FALSE)*($T44*(1-$F44)+$S44*(1-$G44))*((1+Inputs!$D$7)^AV$2))))))</f>
        <v>265.84159473613073</v>
      </c>
      <c r="AW44" s="88">
        <f>$E44*IF(AW$2&gt;Inputs!$D$5,0,IF(AW$2&gt;VLOOKUP($H44,Lists!$P$3:$Q$7,2),IF($N44=Lists!$K$3,IF($L44&lt;1,(($U44/$L44)*((1+Inputs!$D$7)^AW$2)),((INT(AW$2/$L44)-INT((AW$2-1)/$L44))*$U44*((1+Inputs!$D$7)^AW$2))),(_xlfn.WEIBULL.DIST(AW$2,$M44,$L44,FALSE)*$U44*((1+Inputs!$D$7)^AW$2))),IF($N44=Lists!$K$3,IF($L44&lt;1,((($T44*(1-$F44)+$S44*(1-$G44))/$L44)*((1+Inputs!$D$7)^AW$2)),((INT(AW$2/$L44)-INT((AW$2-1)/$L44))*($T44*(1-$F44)+$S44*(1-$G44))*((1+Inputs!$D$7)^AW$2))),((_xlfn.WEIBULL.DIST(AW$2,$M44,$L44,FALSE)*($T44*(1-$F44)+$S44*(1-$G44))*((1+Inputs!$D$7)^AW$2))))))</f>
        <v>257.93387411258561</v>
      </c>
      <c r="AX44" s="88">
        <f>$E44*IF(AX$2&gt;Inputs!$D$5,0,IF(AX$2&gt;VLOOKUP($H44,Lists!$P$3:$Q$7,2),IF($N44=Lists!$K$3,IF($L44&lt;1,(($U44/$L44)*((1+Inputs!$D$7)^AX$2)),((INT(AX$2/$L44)-INT((AX$2-1)/$L44))*$U44*((1+Inputs!$D$7)^AX$2))),(_xlfn.WEIBULL.DIST(AX$2,$M44,$L44,FALSE)*$U44*((1+Inputs!$D$7)^AX$2))),IF($N44=Lists!$K$3,IF($L44&lt;1,((($T44*(1-$F44)+$S44*(1-$G44))/$L44)*((1+Inputs!$D$7)^AX$2)),((INT(AX$2/$L44)-INT((AX$2-1)/$L44))*($T44*(1-$F44)+$S44*(1-$G44))*((1+Inputs!$D$7)^AX$2))),((_xlfn.WEIBULL.DIST(AX$2,$M44,$L44,FALSE)*($T44*(1-$F44)+$S44*(1-$G44))*((1+Inputs!$D$7)^AX$2))))))</f>
        <v>250.26137644398156</v>
      </c>
      <c r="AY44" s="88">
        <f>$E44*IF(AY$2&gt;Inputs!$D$5,0,IF(AY$2&gt;VLOOKUP($H44,Lists!$P$3:$Q$7,2),IF($N44=Lists!$K$3,IF($L44&lt;1,(($U44/$L44)*((1+Inputs!$D$7)^AY$2)),((INT(AY$2/$L44)-INT((AY$2-1)/$L44))*$U44*((1+Inputs!$D$7)^AY$2))),(_xlfn.WEIBULL.DIST(AY$2,$M44,$L44,FALSE)*$U44*((1+Inputs!$D$7)^AY$2))),IF($N44=Lists!$K$3,IF($L44&lt;1,((($T44*(1-$F44)+$S44*(1-$G44))/$L44)*((1+Inputs!$D$7)^AY$2)),((INT(AY$2/$L44)-INT((AY$2-1)/$L44))*($T44*(1-$F44)+$S44*(1-$G44))*((1+Inputs!$D$7)^AY$2))),((_xlfn.WEIBULL.DIST(AY$2,$M44,$L44,FALSE)*($T44*(1-$F44)+$S44*(1-$G44))*((1+Inputs!$D$7)^AY$2))))))</f>
        <v>242.8171047913564</v>
      </c>
      <c r="AZ44" s="88">
        <f>$E44*IF(AZ$2&gt;Inputs!$D$5,0,IF(AZ$2&gt;VLOOKUP($H44,Lists!$P$3:$Q$7,2),IF($N44=Lists!$K$3,IF($L44&lt;1,(($U44/$L44)*((1+Inputs!$D$7)^AZ$2)),((INT(AZ$2/$L44)-INT((AZ$2-1)/$L44))*$U44*((1+Inputs!$D$7)^AZ$2))),(_xlfn.WEIBULL.DIST(AZ$2,$M44,$L44,FALSE)*$U44*((1+Inputs!$D$7)^AZ$2))),IF($N44=Lists!$K$3,IF($L44&lt;1,((($T44*(1-$F44)+$S44*(1-$G44))/$L44)*((1+Inputs!$D$7)^AZ$2)),((INT(AZ$2/$L44)-INT((AZ$2-1)/$L44))*($T44*(1-$F44)+$S44*(1-$G44))*((1+Inputs!$D$7)^AZ$2))),((_xlfn.WEIBULL.DIST(AZ$2,$M44,$L44,FALSE)*($T44*(1-$F44)+$S44*(1-$G44))*((1+Inputs!$D$7)^AZ$2))))))</f>
        <v>0</v>
      </c>
      <c r="BA44" s="88">
        <f>$E44*IF(BA$2&gt;Inputs!$D$5,0,IF(BA$2&gt;VLOOKUP($H44,Lists!$P$3:$Q$7,2),IF($N44=Lists!$K$3,IF($L44&lt;1,(($U44/$L44)*((1+Inputs!$D$7)^BA$2)),((INT(BA$2/$L44)-INT((BA$2-1)/$L44))*$U44*((1+Inputs!$D$7)^BA$2))),(_xlfn.WEIBULL.DIST(BA$2,$M44,$L44,FALSE)*$U44*((1+Inputs!$D$7)^BA$2))),IF($N44=Lists!$K$3,IF($L44&lt;1,((($T44*(1-$F44)+$S44*(1-$G44))/$L44)*((1+Inputs!$D$7)^BA$2)),((INT(BA$2/$L44)-INT((BA$2-1)/$L44))*($T44*(1-$F44)+$S44*(1-$G44))*((1+Inputs!$D$7)^BA$2))),((_xlfn.WEIBULL.DIST(BA$2,$M44,$L44,FALSE)*($T44*(1-$F44)+$S44*(1-$G44))*((1+Inputs!$D$7)^BA$2))))))</f>
        <v>0</v>
      </c>
      <c r="BB44" s="88">
        <f>$E44*IF(BB$2&gt;Inputs!$D$5,0,IF(BB$2&gt;VLOOKUP($H44,Lists!$P$3:$Q$7,2),IF($N44=Lists!$K$3,IF($L44&lt;1,(($U44/$L44)*((1+Inputs!$D$7)^BB$2)),((INT(BB$2/$L44)-INT((BB$2-1)/$L44))*$U44*((1+Inputs!$D$7)^BB$2))),(_xlfn.WEIBULL.DIST(BB$2,$M44,$L44,FALSE)*$U44*((1+Inputs!$D$7)^BB$2))),IF($N44=Lists!$K$3,IF($L44&lt;1,((($T44*(1-$F44)+$S44*(1-$G44))/$L44)*((1+Inputs!$D$7)^BB$2)),((INT(BB$2/$L44)-INT((BB$2-1)/$L44))*($T44*(1-$F44)+$S44*(1-$G44))*((1+Inputs!$D$7)^BB$2))),((_xlfn.WEIBULL.DIST(BB$2,$M44,$L44,FALSE)*($T44*(1-$F44)+$S44*(1-$G44))*((1+Inputs!$D$7)^BB$2))))))</f>
        <v>0</v>
      </c>
      <c r="BC44" s="88">
        <f>$E44*IF(BC$2&gt;Inputs!$D$5,0,IF(BC$2&gt;VLOOKUP($H44,Lists!$P$3:$Q$7,2),IF($N44=Lists!$K$3,IF($L44&lt;1,(($U44/$L44)*((1+Inputs!$D$7)^BC$2)),((INT(BC$2/$L44)-INT((BC$2-1)/$L44))*$U44*((1+Inputs!$D$7)^BC$2))),(_xlfn.WEIBULL.DIST(BC$2,$M44,$L44,FALSE)*$U44*((1+Inputs!$D$7)^BC$2))),IF($N44=Lists!$K$3,IF($L44&lt;1,((($T44*(1-$F44)+$S44*(1-$G44))/$L44)*((1+Inputs!$D$7)^BC$2)),((INT(BC$2/$L44)-INT((BC$2-1)/$L44))*($T44*(1-$F44)+$S44*(1-$G44))*((1+Inputs!$D$7)^BC$2))),((_xlfn.WEIBULL.DIST(BC$2,$M44,$L44,FALSE)*($T44*(1-$F44)+$S44*(1-$G44))*((1+Inputs!$D$7)^BC$2))))))</f>
        <v>0</v>
      </c>
      <c r="BD44" s="88">
        <f>$E44*IF(BD$2&gt;Inputs!$D$5,0,IF(BD$2&gt;VLOOKUP($H44,Lists!$P$3:$Q$7,2),IF($N44=Lists!$K$3,IF($L44&lt;1,(($U44/$L44)*((1+Inputs!$D$7)^BD$2)),((INT(BD$2/$L44)-INT((BD$2-1)/$L44))*$U44*((1+Inputs!$D$7)^BD$2))),(_xlfn.WEIBULL.DIST(BD$2,$M44,$L44,FALSE)*$U44*((1+Inputs!$D$7)^BD$2))),IF($N44=Lists!$K$3,IF($L44&lt;1,((($T44*(1-$F44)+$S44*(1-$G44))/$L44)*((1+Inputs!$D$7)^BD$2)),((INT(BD$2/$L44)-INT((BD$2-1)/$L44))*($T44*(1-$F44)+$S44*(1-$G44))*((1+Inputs!$D$7)^BD$2))),((_xlfn.WEIBULL.DIST(BD$2,$M44,$L44,FALSE)*($T44*(1-$F44)+$S44*(1-$G44))*((1+Inputs!$D$7)^BD$2))))))</f>
        <v>0</v>
      </c>
      <c r="BE44" s="88">
        <f>$E44*IF(BE$2&gt;Inputs!$D$5,0,IF(BE$2&gt;VLOOKUP($H44,Lists!$P$3:$Q$7,2),IF($N44=Lists!$K$3,IF($L44&lt;1,(($U44/$L44)*((1+Inputs!$D$7)^BE$2)),((INT(BE$2/$L44)-INT((BE$2-1)/$L44))*$U44*((1+Inputs!$D$7)^BE$2))),(_xlfn.WEIBULL.DIST(BE$2,$M44,$L44,FALSE)*$U44*((1+Inputs!$D$7)^BE$2))),IF($N44=Lists!$K$3,IF($L44&lt;1,((($T44*(1-$F44)+$S44*(1-$G44))/$L44)*((1+Inputs!$D$7)^BE$2)),((INT(BE$2/$L44)-INT((BE$2-1)/$L44))*($T44*(1-$F44)+$S44*(1-$G44))*((1+Inputs!$D$7)^BE$2))),((_xlfn.WEIBULL.DIST(BE$2,$M44,$L44,FALSE)*($T44*(1-$F44)+$S44*(1-$G44))*((1+Inputs!$D$7)^BE$2))))))</f>
        <v>0</v>
      </c>
      <c r="BF44" s="88">
        <f>$E44*IF(BF$2&gt;Inputs!$D$5,0,IF(BF$2&gt;VLOOKUP($H44,Lists!$P$3:$Q$7,2),IF($N44=Lists!$K$3,IF($L44&lt;1,(($U44/$L44)*((1+Inputs!$D$7)^BF$2)),((INT(BF$2/$L44)-INT((BF$2-1)/$L44))*$U44*((1+Inputs!$D$7)^BF$2))),(_xlfn.WEIBULL.DIST(BF$2,$M44,$L44,FALSE)*$U44*((1+Inputs!$D$7)^BF$2))),IF($N44=Lists!$K$3,IF($L44&lt;1,((($T44*(1-$F44)+$S44*(1-$G44))/$L44)*((1+Inputs!$D$7)^BF$2)),((INT(BF$2/$L44)-INT((BF$2-1)/$L44))*($T44*(1-$F44)+$S44*(1-$G44))*((1+Inputs!$D$7)^BF$2))),((_xlfn.WEIBULL.DIST(BF$2,$M44,$L44,FALSE)*($T44*(1-$F44)+$S44*(1-$G44))*((1+Inputs!$D$7)^BF$2))))))</f>
        <v>0</v>
      </c>
      <c r="BG44" s="88">
        <f>$E44*IF(BG$2&gt;Inputs!$D$5,0,IF(BG$2&gt;VLOOKUP($H44,Lists!$P$3:$Q$7,2),IF($N44=Lists!$K$3,IF($L44&lt;1,(($U44/$L44)*((1+Inputs!$D$7)^BG$2)),((INT(BG$2/$L44)-INT((BG$2-1)/$L44))*$U44*((1+Inputs!$D$7)^BG$2))),(_xlfn.WEIBULL.DIST(BG$2,$M44,$L44,FALSE)*$U44*((1+Inputs!$D$7)^BG$2))),IF($N44=Lists!$K$3,IF($L44&lt;1,((($T44*(1-$F44)+$S44*(1-$G44))/$L44)*((1+Inputs!$D$7)^BG$2)),((INT(BG$2/$L44)-INT((BG$2-1)/$L44))*($T44*(1-$F44)+$S44*(1-$G44))*((1+Inputs!$D$7)^BG$2))),((_xlfn.WEIBULL.DIST(BG$2,$M44,$L44,FALSE)*($T44*(1-$F44)+$S44*(1-$G44))*((1+Inputs!$D$7)^BG$2))))))</f>
        <v>0</v>
      </c>
      <c r="BH44" s="88">
        <f>$E44*IF(BH$2&gt;Inputs!$D$5,0,IF(BH$2&gt;VLOOKUP($H44,Lists!$P$3:$Q$7,2),IF($N44=Lists!$K$3,IF($L44&lt;1,(($U44/$L44)*((1+Inputs!$D$7)^BH$2)),((INT(BH$2/$L44)-INT((BH$2-1)/$L44))*$U44*((1+Inputs!$D$7)^BH$2))),(_xlfn.WEIBULL.DIST(BH$2,$M44,$L44,FALSE)*$U44*((1+Inputs!$D$7)^BH$2))),IF($N44=Lists!$K$3,IF($L44&lt;1,((($T44*(1-$F44)+$S44*(1-$G44))/$L44)*((1+Inputs!$D$7)^BH$2)),((INT(BH$2/$L44)-INT((BH$2-1)/$L44))*($T44*(1-$F44)+$S44*(1-$G44))*((1+Inputs!$D$7)^BH$2))),((_xlfn.WEIBULL.DIST(BH$2,$M44,$L44,FALSE)*($T44*(1-$F44)+$S44*(1-$G44))*((1+Inputs!$D$7)^BH$2))))))</f>
        <v>0</v>
      </c>
      <c r="BI44" s="88">
        <f>$E44*IF(BI$2&gt;Inputs!$D$5,0,IF(BI$2&gt;VLOOKUP($H44,Lists!$P$3:$Q$7,2),IF($N44=Lists!$K$3,IF($L44&lt;1,(($U44/$L44)*((1+Inputs!$D$7)^BI$2)),((INT(BI$2/$L44)-INT((BI$2-1)/$L44))*$U44*((1+Inputs!$D$7)^BI$2))),(_xlfn.WEIBULL.DIST(BI$2,$M44,$L44,FALSE)*$U44*((1+Inputs!$D$7)^BI$2))),IF($N44=Lists!$K$3,IF($L44&lt;1,((($T44*(1-$F44)+$S44*(1-$G44))/$L44)*((1+Inputs!$D$7)^BI$2)),((INT(BI$2/$L44)-INT((BI$2-1)/$L44))*($T44*(1-$F44)+$S44*(1-$G44))*((1+Inputs!$D$7)^BI$2))),((_xlfn.WEIBULL.DIST(BI$2,$M44,$L44,FALSE)*($T44*(1-$F44)+$S44*(1-$G44))*((1+Inputs!$D$7)^BI$2))))))</f>
        <v>0</v>
      </c>
      <c r="BJ44" s="88">
        <f>$E44*IF(BJ$2&gt;Inputs!$D$5,0,IF(BJ$2&gt;VLOOKUP($H44,Lists!$P$3:$Q$7,2),IF($N44=Lists!$K$3,IF($L44&lt;1,(($U44/$L44)*((1+Inputs!$D$7)^BJ$2)),((INT(BJ$2/$L44)-INT((BJ$2-1)/$L44))*$U44*((1+Inputs!$D$7)^BJ$2))),(_xlfn.WEIBULL.DIST(BJ$2,$M44,$L44,FALSE)*$U44*((1+Inputs!$D$7)^BJ$2))),IF($N44=Lists!$K$3,IF($L44&lt;1,((($T44*(1-$F44)+$S44*(1-$G44))/$L44)*((1+Inputs!$D$7)^BJ$2)),((INT(BJ$2/$L44)-INT((BJ$2-1)/$L44))*($T44*(1-$F44)+$S44*(1-$G44))*((1+Inputs!$D$7)^BJ$2))),((_xlfn.WEIBULL.DIST(BJ$2,$M44,$L44,FALSE)*($T44*(1-$F44)+$S44*(1-$G44))*((1+Inputs!$D$7)^BJ$2))))))</f>
        <v>0</v>
      </c>
      <c r="BK44" s="88">
        <f>$E44*IF(BK$2&gt;Inputs!$D$5,0,IF(BK$2&gt;VLOOKUP($H44,Lists!$P$3:$Q$7,2),IF($N44=Lists!$K$3,IF($L44&lt;1,(($U44/$L44)*((1+Inputs!$D$7)^BK$2)),((INT(BK$2/$L44)-INT((BK$2-1)/$L44))*$U44*((1+Inputs!$D$7)^BK$2))),(_xlfn.WEIBULL.DIST(BK$2,$M44,$L44,FALSE)*$U44*((1+Inputs!$D$7)^BK$2))),IF($N44=Lists!$K$3,IF($L44&lt;1,((($T44*(1-$F44)+$S44*(1-$G44))/$L44)*((1+Inputs!$D$7)^BK$2)),((INT(BK$2/$L44)-INT((BK$2-1)/$L44))*($T44*(1-$F44)+$S44*(1-$G44))*((1+Inputs!$D$7)^BK$2))),((_xlfn.WEIBULL.DIST(BK$2,$M44,$L44,FALSE)*($T44*(1-$F44)+$S44*(1-$G44))*((1+Inputs!$D$7)^BK$2))))))</f>
        <v>0</v>
      </c>
      <c r="BL44" s="88">
        <f>$E44*IF(BL$2&gt;Inputs!$D$5,0,IF(BL$2&gt;VLOOKUP($H44,Lists!$P$3:$Q$7,2),IF($N44=Lists!$K$3,IF($L44&lt;1,(($U44/$L44)*((1+Inputs!$D$7)^BL$2)),((INT(BL$2/$L44)-INT((BL$2-1)/$L44))*$U44*((1+Inputs!$D$7)^BL$2))),(_xlfn.WEIBULL.DIST(BL$2,$M44,$L44,FALSE)*$U44*((1+Inputs!$D$7)^BL$2))),IF($N44=Lists!$K$3,IF($L44&lt;1,((($T44*(1-$F44)+$S44*(1-$G44))/$L44)*((1+Inputs!$D$7)^BL$2)),((INT(BL$2/$L44)-INT((BL$2-1)/$L44))*($T44*(1-$F44)+$S44*(1-$G44))*((1+Inputs!$D$7)^BL$2))),((_xlfn.WEIBULL.DIST(BL$2,$M44,$L44,FALSE)*($T44*(1-$F44)+$S44*(1-$G44))*((1+Inputs!$D$7)^BL$2))))))</f>
        <v>0</v>
      </c>
      <c r="BM44" s="88">
        <f>$E44*IF(BM$2&gt;Inputs!$D$5,0,IF(BM$2&gt;VLOOKUP($H44,Lists!$P$3:$Q$7,2),IF($N44=Lists!$K$3,IF($L44&lt;1,(($U44/$L44)*((1+Inputs!$D$7)^BM$2)),((INT(BM$2/$L44)-INT((BM$2-1)/$L44))*$U44*((1+Inputs!$D$7)^BM$2))),(_xlfn.WEIBULL.DIST(BM$2,$M44,$L44,FALSE)*$U44*((1+Inputs!$D$7)^BM$2))),IF($N44=Lists!$K$3,IF($L44&lt;1,((($T44*(1-$F44)+$S44*(1-$G44))/$L44)*((1+Inputs!$D$7)^BM$2)),((INT(BM$2/$L44)-INT((BM$2-1)/$L44))*($T44*(1-$F44)+$S44*(1-$G44))*((1+Inputs!$D$7)^BM$2))),((_xlfn.WEIBULL.DIST(BM$2,$M44,$L44,FALSE)*($T44*(1-$F44)+$S44*(1-$G44))*((1+Inputs!$D$7)^BM$2))))))</f>
        <v>0</v>
      </c>
      <c r="BN44" s="88">
        <f>$E44*IF(BN$2&gt;Inputs!$D$5,0,IF(BN$2&gt;VLOOKUP($H44,Lists!$P$3:$Q$7,2),IF($N44=Lists!$K$3,IF($L44&lt;1,(($U44/$L44)*((1+Inputs!$D$7)^BN$2)),((INT(BN$2/$L44)-INT((BN$2-1)/$L44))*$U44*((1+Inputs!$D$7)^BN$2))),(_xlfn.WEIBULL.DIST(BN$2,$M44,$L44,FALSE)*$U44*((1+Inputs!$D$7)^BN$2))),IF($N44=Lists!$K$3,IF($L44&lt;1,((($T44*(1-$F44)+$S44*(1-$G44))/$L44)*((1+Inputs!$D$7)^BN$2)),((INT(BN$2/$L44)-INT((BN$2-1)/$L44))*($T44*(1-$F44)+$S44*(1-$G44))*((1+Inputs!$D$7)^BN$2))),((_xlfn.WEIBULL.DIST(BN$2,$M44,$L44,FALSE)*($T44*(1-$F44)+$S44*(1-$G44))*((1+Inputs!$D$7)^BN$2))))))</f>
        <v>0</v>
      </c>
      <c r="BO44" s="64">
        <f>NPV(Inputs!$D$6,BQ44:DD44)</f>
        <v>2357.2770027252468</v>
      </c>
      <c r="BP44" s="67">
        <f t="shared" si="13"/>
        <v>1.111806918417271E-3</v>
      </c>
      <c r="BQ44" s="88">
        <f>MAX(AA44,($E44*IF(BQ$2&gt;Inputs!$D$5,0,IF(BQ$2&gt;VLOOKUP($H44,Lists!$P$3:$Q$7,2),IF($N44=Lists!$K$3,IF($L44&lt;1,(($U44/$L44)*((1+Inputs!$D$7)^BQ$2)),((INT(BQ$2/$L44)-INT((BQ$2-1)/$L44))*$U44*((1+Inputs!$D$7)^BQ$2))),(Inputs!$D$8^((1-_xlfn.WEIBULL.DIST(BQ$2,$M44,$L44,FALSE))/_xlfn.WEIBULL.DIST(BQ$2,$M44,$L44,FALSE))*$U44*((1+Inputs!$D$7)^BQ$2))),IF($N44=Lists!$K$3,IF($L44&lt;1,((($T44*(1-$F44)+$S44*(1-$G44))/$L44)*((1+Inputs!$D$7)^BQ$2)),((INT(BQ$2/$L44)-INT((BQ$2-1)/$L44))*($T44*(1-$F44)+$S44*(1-$G44))*((1+Inputs!$D$7)^BQ$2))),((Inputs!$D$8^((1-_xlfn.WEIBULL.DIST(BQ$2,$M44,$L44,FALSE))/_xlfn.WEIBULL.DIST(BQ$2,$M44,$L44,FALSE))*($T44*(1-$F44)+$S44*(1-$G44))*((1+Inputs!$D$7)^BQ$2))))))))</f>
        <v>63.71209577784137</v>
      </c>
      <c r="BR44" s="88">
        <f>MAX(AB44,($E44*IF(BR$2&gt;Inputs!$D$5,0,IF(BR$2&gt;VLOOKUP($H44,Lists!$P$3:$Q$7,2),IF($N44=Lists!$K$3,IF($L44&lt;1,(($U44/$L44)*((1+Inputs!$D$7)^BR$2)),((INT(BR$2/$L44)-INT((BR$2-1)/$L44))*$U44*((1+Inputs!$D$7)^BR$2))),(Inputs!$D$8^((1-_xlfn.WEIBULL.DIST(BR$2,$M44,$L44,FALSE))/_xlfn.WEIBULL.DIST(BR$2,$M44,$L44,FALSE))*$U44*((1+Inputs!$D$7)^BR$2))),IF($N44=Lists!$K$3,IF($L44&lt;1,((($T44*(1-$F44)+$S44*(1-$G44))/$L44)*((1+Inputs!$D$7)^BR$2)),((INT(BR$2/$L44)-INT((BR$2-1)/$L44))*($T44*(1-$F44)+$S44*(1-$G44))*((1+Inputs!$D$7)^BR$2))),((Inputs!$D$8^((1-_xlfn.WEIBULL.DIST(BR$2,$M44,$L44,FALSE))/_xlfn.WEIBULL.DIST(BR$2,$M44,$L44,FALSE))*($T44*(1-$F44)+$S44*(1-$G44))*((1+Inputs!$D$7)^BR$2))))))))</f>
        <v>59.399866647445343</v>
      </c>
      <c r="BS44" s="88">
        <f>MAX(AC44,($E44*IF(BS$2&gt;Inputs!$D$5,0,IF(BS$2&gt;VLOOKUP($H44,Lists!$P$3:$Q$7,2),IF($N44=Lists!$K$3,IF($L44&lt;1,(($U44/$L44)*((1+Inputs!$D$7)^BS$2)),((INT(BS$2/$L44)-INT((BS$2-1)/$L44))*$U44*((1+Inputs!$D$7)^BS$2))),(Inputs!$D$8^((1-_xlfn.WEIBULL.DIST(BS$2,$M44,$L44,FALSE))/_xlfn.WEIBULL.DIST(BS$2,$M44,$L44,FALSE))*$U44*((1+Inputs!$D$7)^BS$2))),IF($N44=Lists!$K$3,IF($L44&lt;1,((($T44*(1-$F44)+$S44*(1-$G44))/$L44)*((1+Inputs!$D$7)^BS$2)),((INT(BS$2/$L44)-INT((BS$2-1)/$L44))*($T44*(1-$F44)+$S44*(1-$G44))*((1+Inputs!$D$7)^BS$2))),((Inputs!$D$8^((1-_xlfn.WEIBULL.DIST(BS$2,$M44,$L44,FALSE))/_xlfn.WEIBULL.DIST(BS$2,$M44,$L44,FALSE))*($T44*(1-$F44)+$S44*(1-$G44))*((1+Inputs!$D$7)^BS$2))))))))</f>
        <v>55.124872736107534</v>
      </c>
      <c r="BT44" s="88">
        <f>MAX(AD44,($E44*IF(BT$2&gt;Inputs!$D$5,0,IF(BT$2&gt;VLOOKUP($H44,Lists!$P$3:$Q$7,2),IF($N44=Lists!$K$3,IF($L44&lt;1,(($U44/$L44)*((1+Inputs!$D$7)^BT$2)),((INT(BT$2/$L44)-INT((BT$2-1)/$L44))*$U44*((1+Inputs!$D$7)^BT$2))),(Inputs!$D$8^((1-_xlfn.WEIBULL.DIST(BT$2,$M44,$L44,FALSE))/_xlfn.WEIBULL.DIST(BT$2,$M44,$L44,FALSE))*$U44*((1+Inputs!$D$7)^BT$2))),IF($N44=Lists!$K$3,IF($L44&lt;1,((($T44*(1-$F44)+$S44*(1-$G44))/$L44)*((1+Inputs!$D$7)^BT$2)),((INT(BT$2/$L44)-INT((BT$2-1)/$L44))*($T44*(1-$F44)+$S44*(1-$G44))*((1+Inputs!$D$7)^BT$2))),((Inputs!$D$8^((1-_xlfn.WEIBULL.DIST(BT$2,$M44,$L44,FALSE))/_xlfn.WEIBULL.DIST(BT$2,$M44,$L44,FALSE))*($T44*(1-$F44)+$S44*(1-$G44))*((1+Inputs!$D$7)^BT$2))))))))</f>
        <v>50.9103009465884</v>
      </c>
      <c r="BU44" s="88">
        <f>MAX(AE44,($E44*IF(BU$2&gt;Inputs!$D$5,0,IF(BU$2&gt;VLOOKUP($H44,Lists!$P$3:$Q$7,2),IF($N44=Lists!$K$3,IF($L44&lt;1,(($U44/$L44)*((1+Inputs!$D$7)^BU$2)),((INT(BU$2/$L44)-INT((BU$2-1)/$L44))*$U44*((1+Inputs!$D$7)^BU$2))),(Inputs!$D$8^((1-_xlfn.WEIBULL.DIST(BU$2,$M44,$L44,FALSE))/_xlfn.WEIBULL.DIST(BU$2,$M44,$L44,FALSE))*$U44*((1+Inputs!$D$7)^BU$2))),IF($N44=Lists!$K$3,IF($L44&lt;1,((($T44*(1-$F44)+$S44*(1-$G44))/$L44)*((1+Inputs!$D$7)^BU$2)),((INT(BU$2/$L44)-INT((BU$2-1)/$L44))*($T44*(1-$F44)+$S44*(1-$G44))*((1+Inputs!$D$7)^BU$2))),((Inputs!$D$8^((1-_xlfn.WEIBULL.DIST(BU$2,$M44,$L44,FALSE))/_xlfn.WEIBULL.DIST(BU$2,$M44,$L44,FALSE))*($T44*(1-$F44)+$S44*(1-$G44))*((1+Inputs!$D$7)^BU$2))))))))</f>
        <v>46.779091770476576</v>
      </c>
      <c r="BV44" s="88">
        <f>MAX(AF44,($E44*IF(BV$2&gt;Inputs!$D$5,0,IF(BV$2&gt;VLOOKUP($H44,Lists!$P$3:$Q$7,2),IF($N44=Lists!$K$3,IF($L44&lt;1,(($U44/$L44)*((1+Inputs!$D$7)^BV$2)),((INT(BV$2/$L44)-INT((BV$2-1)/$L44))*$U44*((1+Inputs!$D$7)^BV$2))),(Inputs!$D$8^((1-_xlfn.WEIBULL.DIST(BV$2,$M44,$L44,FALSE))/_xlfn.WEIBULL.DIST(BV$2,$M44,$L44,FALSE))*$U44*((1+Inputs!$D$7)^BV$2))),IF($N44=Lists!$K$3,IF($L44&lt;1,((($T44*(1-$F44)+$S44*(1-$G44))/$L44)*((1+Inputs!$D$7)^BV$2)),((INT(BV$2/$L44)-INT((BV$2-1)/$L44))*($T44*(1-$F44)+$S44*(1-$G44))*((1+Inputs!$D$7)^BV$2))),((Inputs!$D$8^((1-_xlfn.WEIBULL.DIST(BV$2,$M44,$L44,FALSE))/_xlfn.WEIBULL.DIST(BV$2,$M44,$L44,FALSE))*($T44*(1-$F44)+$S44*(1-$G44))*((1+Inputs!$D$7)^BV$2))))))))</f>
        <v>42.753586742363382</v>
      </c>
      <c r="BW44" s="88">
        <f>MAX(AG44,($E44*IF(BW$2&gt;Inputs!$D$5,0,IF(BW$2&gt;VLOOKUP($H44,Lists!$P$3:$Q$7,2),IF($N44=Lists!$K$3,IF($L44&lt;1,(($U44/$L44)*((1+Inputs!$D$7)^BW$2)),((INT(BW$2/$L44)-INT((BW$2-1)/$L44))*$U44*((1+Inputs!$D$7)^BW$2))),(Inputs!$D$8^((1-_xlfn.WEIBULL.DIST(BW$2,$M44,$L44,FALSE))/_xlfn.WEIBULL.DIST(BW$2,$M44,$L44,FALSE))*$U44*((1+Inputs!$D$7)^BW$2))),IF($N44=Lists!$K$3,IF($L44&lt;1,((($T44*(1-$F44)+$S44*(1-$G44))/$L44)*((1+Inputs!$D$7)^BW$2)),((INT(BW$2/$L44)-INT((BW$2-1)/$L44))*($T44*(1-$F44)+$S44*(1-$G44))*((1+Inputs!$D$7)^BW$2))),((Inputs!$D$8^((1-_xlfn.WEIBULL.DIST(BW$2,$M44,$L44,FALSE))/_xlfn.WEIBULL.DIST(BW$2,$M44,$L44,FALSE))*($T44*(1-$F44)+$S44*(1-$G44))*((1+Inputs!$D$7)^BW$2))))))))</f>
        <v>38.855164253299677</v>
      </c>
      <c r="BX44" s="88">
        <f>MAX(AH44,($E44*IF(BX$2&gt;Inputs!$D$5,0,IF(BX$2&gt;VLOOKUP($H44,Lists!$P$3:$Q$7,2),IF($N44=Lists!$K$3,IF($L44&lt;1,(($U44/$L44)*((1+Inputs!$D$7)^BX$2)),((INT(BX$2/$L44)-INT((BX$2-1)/$L44))*$U44*((1+Inputs!$D$7)^BX$2))),(Inputs!$D$8^((1-_xlfn.WEIBULL.DIST(BX$2,$M44,$L44,FALSE))/_xlfn.WEIBULL.DIST(BX$2,$M44,$L44,FALSE))*$U44*((1+Inputs!$D$7)^BX$2))),IF($N44=Lists!$K$3,IF($L44&lt;1,((($T44*(1-$F44)+$S44*(1-$G44))/$L44)*((1+Inputs!$D$7)^BX$2)),((INT(BX$2/$L44)-INT((BX$2-1)/$L44))*($T44*(1-$F44)+$S44*(1-$G44))*((1+Inputs!$D$7)^BX$2))),((Inputs!$D$8^((1-_xlfn.WEIBULL.DIST(BX$2,$M44,$L44,FALSE))/_xlfn.WEIBULL.DIST(BX$2,$M44,$L44,FALSE))*($T44*(1-$F44)+$S44*(1-$G44))*((1+Inputs!$D$7)^BX$2))))))))</f>
        <v>35.103872790597485</v>
      </c>
      <c r="BY44" s="88">
        <f>MAX(AI44,($E44*IF(BY$2&gt;Inputs!$D$5,0,IF(BY$2&gt;VLOOKUP($H44,Lists!$P$3:$Q$7,2),IF($N44=Lists!$K$3,IF($L44&lt;1,(($U44/$L44)*((1+Inputs!$D$7)^BY$2)),((INT(BY$2/$L44)-INT((BY$2-1)/$L44))*$U44*((1+Inputs!$D$7)^BY$2))),(Inputs!$D$8^((1-_xlfn.WEIBULL.DIST(BY$2,$M44,$L44,FALSE))/_xlfn.WEIBULL.DIST(BY$2,$M44,$L44,FALSE))*$U44*((1+Inputs!$D$7)^BY$2))),IF($N44=Lists!$K$3,IF($L44&lt;1,((($T44*(1-$F44)+$S44*(1-$G44))/$L44)*((1+Inputs!$D$7)^BY$2)),((INT(BY$2/$L44)-INT((BY$2-1)/$L44))*($T44*(1-$F44)+$S44*(1-$G44))*((1+Inputs!$D$7)^BY$2))),((Inputs!$D$8^((1-_xlfn.WEIBULL.DIST(BY$2,$M44,$L44,FALSE))/_xlfn.WEIBULL.DIST(BY$2,$M44,$L44,FALSE))*($T44*(1-$F44)+$S44*(1-$G44))*((1+Inputs!$D$7)^BY$2))))))))</f>
        <v>31.518071873258709</v>
      </c>
      <c r="BZ44" s="88">
        <f>MAX(AJ44,($E44*IF(BZ$2&gt;Inputs!$D$5,0,IF(BZ$2&gt;VLOOKUP($H44,Lists!$P$3:$Q$7,2),IF($N44=Lists!$K$3,IF($L44&lt;1,(($U44/$L44)*((1+Inputs!$D$7)^BZ$2)),((INT(BZ$2/$L44)-INT((BZ$2-1)/$L44))*$U44*((1+Inputs!$D$7)^BZ$2))),(Inputs!$D$8^((1-_xlfn.WEIBULL.DIST(BZ$2,$M44,$L44,FALSE))/_xlfn.WEIBULL.DIST(BZ$2,$M44,$L44,FALSE))*$U44*((1+Inputs!$D$7)^BZ$2))),IF($N44=Lists!$K$3,IF($L44&lt;1,((($T44*(1-$F44)+$S44*(1-$G44))/$L44)*((1+Inputs!$D$7)^BZ$2)),((INT(BZ$2/$L44)-INT((BZ$2-1)/$L44))*($T44*(1-$F44)+$S44*(1-$G44))*((1+Inputs!$D$7)^BZ$2))),((Inputs!$D$8^((1-_xlfn.WEIBULL.DIST(BZ$2,$M44,$L44,FALSE))/_xlfn.WEIBULL.DIST(BZ$2,$M44,$L44,FALSE))*($T44*(1-$F44)+$S44*(1-$G44))*((1+Inputs!$D$7)^BZ$2))))))))</f>
        <v>28.114091876957563</v>
      </c>
      <c r="CA44" s="88">
        <f>MAX(AK44,($E44*IF(CA$2&gt;Inputs!$D$5,0,IF(CA$2&gt;VLOOKUP($H44,Lists!$P$3:$Q$7,2),IF($N44=Lists!$K$3,IF($L44&lt;1,(($U44/$L44)*((1+Inputs!$D$7)^CA$2)),((INT(CA$2/$L44)-INT((CA$2-1)/$L44))*$U44*((1+Inputs!$D$7)^CA$2))),(Inputs!$D$8^((1-_xlfn.WEIBULL.DIST(CA$2,$M44,$L44,FALSE))/_xlfn.WEIBULL.DIST(CA$2,$M44,$L44,FALSE))*$U44*((1+Inputs!$D$7)^CA$2))),IF($N44=Lists!$K$3,IF($L44&lt;1,((($T44*(1-$F44)+$S44*(1-$G44))/$L44)*((1+Inputs!$D$7)^CA$2)),((INT(CA$2/$L44)-INT((CA$2-1)/$L44))*($T44*(1-$F44)+$S44*(1-$G44))*((1+Inputs!$D$7)^CA$2))),((Inputs!$D$8^((1-_xlfn.WEIBULL.DIST(CA$2,$M44,$L44,FALSE))/_xlfn.WEIBULL.DIST(CA$2,$M44,$L44,FALSE))*($T44*(1-$F44)+$S44*(1-$G44))*((1+Inputs!$D$7)^CA$2))))))))</f>
        <v>775.69321347580342</v>
      </c>
      <c r="CB44" s="88">
        <f>MAX(AL44,($E44*IF(CB$2&gt;Inputs!$D$5,0,IF(CB$2&gt;VLOOKUP($H44,Lists!$P$3:$Q$7,2),IF($N44=Lists!$K$3,IF($L44&lt;1,(($U44/$L44)*((1+Inputs!$D$7)^CB$2)),((INT(CB$2/$L44)-INT((CB$2-1)/$L44))*$U44*((1+Inputs!$D$7)^CB$2))),(Inputs!$D$8^((1-_xlfn.WEIBULL.DIST(CB$2,$M44,$L44,FALSE))/_xlfn.WEIBULL.DIST(CB$2,$M44,$L44,FALSE))*$U44*((1+Inputs!$D$7)^CB$2))),IF($N44=Lists!$K$3,IF($L44&lt;1,((($T44*(1-$F44)+$S44*(1-$G44))/$L44)*((1+Inputs!$D$7)^CB$2)),((INT(CB$2/$L44)-INT((CB$2-1)/$L44))*($T44*(1-$F44)+$S44*(1-$G44))*((1+Inputs!$D$7)^CB$2))),((Inputs!$D$8^((1-_xlfn.WEIBULL.DIST(CB$2,$M44,$L44,FALSE))/_xlfn.WEIBULL.DIST(CB$2,$M44,$L44,FALSE))*($T44*(1-$F44)+$S44*(1-$G44))*((1+Inputs!$D$7)^CB$2))))))))</f>
        <v>682.22825549373329</v>
      </c>
      <c r="CC44" s="88">
        <f>MAX(AM44,($E44*IF(CC$2&gt;Inputs!$D$5,0,IF(CC$2&gt;VLOOKUP($H44,Lists!$P$3:$Q$7,2),IF($N44=Lists!$K$3,IF($L44&lt;1,(($U44/$L44)*((1+Inputs!$D$7)^CC$2)),((INT(CC$2/$L44)-INT((CC$2-1)/$L44))*$U44*((1+Inputs!$D$7)^CC$2))),(Inputs!$D$8^((1-_xlfn.WEIBULL.DIST(CC$2,$M44,$L44,FALSE))/_xlfn.WEIBULL.DIST(CC$2,$M44,$L44,FALSE))*$U44*((1+Inputs!$D$7)^CC$2))),IF($N44=Lists!$K$3,IF($L44&lt;1,((($T44*(1-$F44)+$S44*(1-$G44))/$L44)*((1+Inputs!$D$7)^CC$2)),((INT(CC$2/$L44)-INT((CC$2-1)/$L44))*($T44*(1-$F44)+$S44*(1-$G44))*((1+Inputs!$D$7)^CC$2))),((Inputs!$D$8^((1-_xlfn.WEIBULL.DIST(CC$2,$M44,$L44,FALSE))/_xlfn.WEIBULL.DIST(CC$2,$M44,$L44,FALSE))*($T44*(1-$F44)+$S44*(1-$G44))*((1+Inputs!$D$7)^CC$2))))))))</f>
        <v>595.48329329422518</v>
      </c>
      <c r="CD44" s="88">
        <f>MAX(AN44,($E44*IF(CD$2&gt;Inputs!$D$5,0,IF(CD$2&gt;VLOOKUP($H44,Lists!$P$3:$Q$7,2),IF($N44=Lists!$K$3,IF($L44&lt;1,(($U44/$L44)*((1+Inputs!$D$7)^CD$2)),((INT(CD$2/$L44)-INT((CD$2-1)/$L44))*$U44*((1+Inputs!$D$7)^CD$2))),(Inputs!$D$8^((1-_xlfn.WEIBULL.DIST(CD$2,$M44,$L44,FALSE))/_xlfn.WEIBULL.DIST(CD$2,$M44,$L44,FALSE))*$U44*((1+Inputs!$D$7)^CD$2))),IF($N44=Lists!$K$3,IF($L44&lt;1,((($T44*(1-$F44)+$S44*(1-$G44))/$L44)*((1+Inputs!$D$7)^CD$2)),((INT(CD$2/$L44)-INT((CD$2-1)/$L44))*($T44*(1-$F44)+$S44*(1-$G44))*((1+Inputs!$D$7)^CD$2))),((Inputs!$D$8^((1-_xlfn.WEIBULL.DIST(CD$2,$M44,$L44,FALSE))/_xlfn.WEIBULL.DIST(CD$2,$M44,$L44,FALSE))*($T44*(1-$F44)+$S44*(1-$G44))*((1+Inputs!$D$7)^CD$2))))))))</f>
        <v>515.63269051903603</v>
      </c>
      <c r="CE44" s="88">
        <f>MAX(AO44,($E44*IF(CE$2&gt;Inputs!$D$5,0,IF(CE$2&gt;VLOOKUP($H44,Lists!$P$3:$Q$7,2),IF($N44=Lists!$K$3,IF($L44&lt;1,(($U44/$L44)*((1+Inputs!$D$7)^CE$2)),((INT(CE$2/$L44)-INT((CE$2-1)/$L44))*$U44*((1+Inputs!$D$7)^CE$2))),(Inputs!$D$8^((1-_xlfn.WEIBULL.DIST(CE$2,$M44,$L44,FALSE))/_xlfn.WEIBULL.DIST(CE$2,$M44,$L44,FALSE))*$U44*((1+Inputs!$D$7)^CE$2))),IF($N44=Lists!$K$3,IF($L44&lt;1,((($T44*(1-$F44)+$S44*(1-$G44))/$L44)*((1+Inputs!$D$7)^CE$2)),((INT(CE$2/$L44)-INT((CE$2-1)/$L44))*($T44*(1-$F44)+$S44*(1-$G44))*((1+Inputs!$D$7)^CE$2))),((Inputs!$D$8^((1-_xlfn.WEIBULL.DIST(CE$2,$M44,$L44,FALSE))/_xlfn.WEIBULL.DIST(CE$2,$M44,$L44,FALSE))*($T44*(1-$F44)+$S44*(1-$G44))*((1+Inputs!$D$7)^CE$2))))))))</f>
        <v>442.75597161269121</v>
      </c>
      <c r="CF44" s="88">
        <f>MAX(AP44,($E44*IF(CF$2&gt;Inputs!$D$5,0,IF(CF$2&gt;VLOOKUP($H44,Lists!$P$3:$Q$7,2),IF($N44=Lists!$K$3,IF($L44&lt;1,(($U44/$L44)*((1+Inputs!$D$7)^CF$2)),((INT(CF$2/$L44)-INT((CF$2-1)/$L44))*$U44*((1+Inputs!$D$7)^CF$2))),(Inputs!$D$8^((1-_xlfn.WEIBULL.DIST(CF$2,$M44,$L44,FALSE))/_xlfn.WEIBULL.DIST(CF$2,$M44,$L44,FALSE))*$U44*((1+Inputs!$D$7)^CF$2))),IF($N44=Lists!$K$3,IF($L44&lt;1,((($T44*(1-$F44)+$S44*(1-$G44))/$L44)*((1+Inputs!$D$7)^CF$2)),((INT(CF$2/$L44)-INT((CF$2-1)/$L44))*($T44*(1-$F44)+$S44*(1-$G44))*((1+Inputs!$D$7)^CF$2))),((Inputs!$D$8^((1-_xlfn.WEIBULL.DIST(CF$2,$M44,$L44,FALSE))/_xlfn.WEIBULL.DIST(CF$2,$M44,$L44,FALSE))*($T44*(1-$F44)+$S44*(1-$G44))*((1+Inputs!$D$7)^CF$2))))))))</f>
        <v>376.83788211712704</v>
      </c>
      <c r="CG44" s="88">
        <f>MAX(AQ44,($E44*IF(CG$2&gt;Inputs!$D$5,0,IF(CG$2&gt;VLOOKUP($H44,Lists!$P$3:$Q$7,2),IF($N44=Lists!$K$3,IF($L44&lt;1,(($U44/$L44)*((1+Inputs!$D$7)^CG$2)),((INT(CG$2/$L44)-INT((CG$2-1)/$L44))*$U44*((1+Inputs!$D$7)^CG$2))),(Inputs!$D$8^((1-_xlfn.WEIBULL.DIST(CG$2,$M44,$L44,FALSE))/_xlfn.WEIBULL.DIST(CG$2,$M44,$L44,FALSE))*$U44*((1+Inputs!$D$7)^CG$2))),IF($N44=Lists!$K$3,IF($L44&lt;1,((($T44*(1-$F44)+$S44*(1-$G44))/$L44)*((1+Inputs!$D$7)^CG$2)),((INT(CG$2/$L44)-INT((CG$2-1)/$L44))*($T44*(1-$F44)+$S44*(1-$G44))*((1+Inputs!$D$7)^CG$2))),((Inputs!$D$8^((1-_xlfn.WEIBULL.DIST(CG$2,$M44,$L44,FALSE))/_xlfn.WEIBULL.DIST(CG$2,$M44,$L44,FALSE))*($T44*(1-$F44)+$S44*(1-$G44))*((1+Inputs!$D$7)^CG$2))))))))</f>
        <v>317.77099811340946</v>
      </c>
      <c r="CH44" s="88">
        <f>MAX(AR44,($E44*IF(CH$2&gt;Inputs!$D$5,0,IF(CH$2&gt;VLOOKUP($H44,Lists!$P$3:$Q$7,2),IF($N44=Lists!$K$3,IF($L44&lt;1,(($U44/$L44)*((1+Inputs!$D$7)^CH$2)),((INT(CH$2/$L44)-INT((CH$2-1)/$L44))*$U44*((1+Inputs!$D$7)^CH$2))),(Inputs!$D$8^((1-_xlfn.WEIBULL.DIST(CH$2,$M44,$L44,FALSE))/_xlfn.WEIBULL.DIST(CH$2,$M44,$L44,FALSE))*$U44*((1+Inputs!$D$7)^CH$2))),IF($N44=Lists!$K$3,IF($L44&lt;1,((($T44*(1-$F44)+$S44*(1-$G44))/$L44)*((1+Inputs!$D$7)^CH$2)),((INT(CH$2/$L44)-INT((CH$2-1)/$L44))*($T44*(1-$F44)+$S44*(1-$G44))*((1+Inputs!$D$7)^CH$2))),((Inputs!$D$8^((1-_xlfn.WEIBULL.DIST(CH$2,$M44,$L44,FALSE))/_xlfn.WEIBULL.DIST(CH$2,$M44,$L44,FALSE))*($T44*(1-$F44)+$S44*(1-$G44))*((1+Inputs!$D$7)^CH$2))))))))</f>
        <v>299.97229299285425</v>
      </c>
      <c r="CI44" s="88">
        <f>MAX(AS44,($E44*IF(CI$2&gt;Inputs!$D$5,0,IF(CI$2&gt;VLOOKUP($H44,Lists!$P$3:$Q$7,2),IF($N44=Lists!$K$3,IF($L44&lt;1,(($U44/$L44)*((1+Inputs!$D$7)^CI$2)),((INT(CI$2/$L44)-INT((CI$2-1)/$L44))*$U44*((1+Inputs!$D$7)^CI$2))),(Inputs!$D$8^((1-_xlfn.WEIBULL.DIST(CI$2,$M44,$L44,FALSE))/_xlfn.WEIBULL.DIST(CI$2,$M44,$L44,FALSE))*$U44*((1+Inputs!$D$7)^CI$2))),IF($N44=Lists!$K$3,IF($L44&lt;1,((($T44*(1-$F44)+$S44*(1-$G44))/$L44)*((1+Inputs!$D$7)^CI$2)),((INT(CI$2/$L44)-INT((CI$2-1)/$L44))*($T44*(1-$F44)+$S44*(1-$G44))*((1+Inputs!$D$7)^CI$2))),((Inputs!$D$8^((1-_xlfn.WEIBULL.DIST(CI$2,$M44,$L44,FALSE))/_xlfn.WEIBULL.DIST(CI$2,$M44,$L44,FALSE))*($T44*(1-$F44)+$S44*(1-$G44))*((1+Inputs!$D$7)^CI$2))))))))</f>
        <v>291.04932106234736</v>
      </c>
      <c r="CJ44" s="88">
        <f>MAX(AT44,($E44*IF(CJ$2&gt;Inputs!$D$5,0,IF(CJ$2&gt;VLOOKUP($H44,Lists!$P$3:$Q$7,2),IF($N44=Lists!$K$3,IF($L44&lt;1,(($U44/$L44)*((1+Inputs!$D$7)^CJ$2)),((INT(CJ$2/$L44)-INT((CJ$2-1)/$L44))*$U44*((1+Inputs!$D$7)^CJ$2))),(Inputs!$D$8^((1-_xlfn.WEIBULL.DIST(CJ$2,$M44,$L44,FALSE))/_xlfn.WEIBULL.DIST(CJ$2,$M44,$L44,FALSE))*$U44*((1+Inputs!$D$7)^CJ$2))),IF($N44=Lists!$K$3,IF($L44&lt;1,((($T44*(1-$F44)+$S44*(1-$G44))/$L44)*((1+Inputs!$D$7)^CJ$2)),((INT(CJ$2/$L44)-INT((CJ$2-1)/$L44))*($T44*(1-$F44)+$S44*(1-$G44))*((1+Inputs!$D$7)^CJ$2))),((Inputs!$D$8^((1-_xlfn.WEIBULL.DIST(CJ$2,$M44,$L44,FALSE))/_xlfn.WEIBULL.DIST(CJ$2,$M44,$L44,FALSE))*($T44*(1-$F44)+$S44*(1-$G44))*((1+Inputs!$D$7)^CJ$2))))))))</f>
        <v>282.39177173896945</v>
      </c>
      <c r="CK44" s="88">
        <f>MAX(AU44,($E44*IF(CK$2&gt;Inputs!$D$5,0,IF(CK$2&gt;VLOOKUP($H44,Lists!$P$3:$Q$7,2),IF($N44=Lists!$K$3,IF($L44&lt;1,(($U44/$L44)*((1+Inputs!$D$7)^CK$2)),((INT(CK$2/$L44)-INT((CK$2-1)/$L44))*$U44*((1+Inputs!$D$7)^CK$2))),(Inputs!$D$8^((1-_xlfn.WEIBULL.DIST(CK$2,$M44,$L44,FALSE))/_xlfn.WEIBULL.DIST(CK$2,$M44,$L44,FALSE))*$U44*((1+Inputs!$D$7)^CK$2))),IF($N44=Lists!$K$3,IF($L44&lt;1,((($T44*(1-$F44)+$S44*(1-$G44))/$L44)*((1+Inputs!$D$7)^CK$2)),((INT(CK$2/$L44)-INT((CK$2-1)/$L44))*($T44*(1-$F44)+$S44*(1-$G44))*((1+Inputs!$D$7)^CK$2))),((Inputs!$D$8^((1-_xlfn.WEIBULL.DIST(CK$2,$M44,$L44,FALSE))/_xlfn.WEIBULL.DIST(CK$2,$M44,$L44,FALSE))*($T44*(1-$F44)+$S44*(1-$G44))*((1+Inputs!$D$7)^CK$2))))))))</f>
        <v>273.99174976529684</v>
      </c>
      <c r="CL44" s="88">
        <f>MAX(AV44,($E44*IF(CL$2&gt;Inputs!$D$5,0,IF(CL$2&gt;VLOOKUP($H44,Lists!$P$3:$Q$7,2),IF($N44=Lists!$K$3,IF($L44&lt;1,(($U44/$L44)*((1+Inputs!$D$7)^CL$2)),((INT(CL$2/$L44)-INT((CL$2-1)/$L44))*$U44*((1+Inputs!$D$7)^CL$2))),(Inputs!$D$8^((1-_xlfn.WEIBULL.DIST(CL$2,$M44,$L44,FALSE))/_xlfn.WEIBULL.DIST(CL$2,$M44,$L44,FALSE))*$U44*((1+Inputs!$D$7)^CL$2))),IF($N44=Lists!$K$3,IF($L44&lt;1,((($T44*(1-$F44)+$S44*(1-$G44))/$L44)*((1+Inputs!$D$7)^CL$2)),((INT(CL$2/$L44)-INT((CL$2-1)/$L44))*($T44*(1-$F44)+$S44*(1-$G44))*((1+Inputs!$D$7)^CL$2))),((Inputs!$D$8^((1-_xlfn.WEIBULL.DIST(CL$2,$M44,$L44,FALSE))/_xlfn.WEIBULL.DIST(CL$2,$M44,$L44,FALSE))*($T44*(1-$F44)+$S44*(1-$G44))*((1+Inputs!$D$7)^CL$2))))))))</f>
        <v>265.84159473613073</v>
      </c>
      <c r="CM44" s="88">
        <f>MAX(AW44,($E44*IF(CM$2&gt;Inputs!$D$5,0,IF(CM$2&gt;VLOOKUP($H44,Lists!$P$3:$Q$7,2),IF($N44=Lists!$K$3,IF($L44&lt;1,(($U44/$L44)*((1+Inputs!$D$7)^CM$2)),((INT(CM$2/$L44)-INT((CM$2-1)/$L44))*$U44*((1+Inputs!$D$7)^CM$2))),(Inputs!$D$8^((1-_xlfn.WEIBULL.DIST(CM$2,$M44,$L44,FALSE))/_xlfn.WEIBULL.DIST(CM$2,$M44,$L44,FALSE))*$U44*((1+Inputs!$D$7)^CM$2))),IF($N44=Lists!$K$3,IF($L44&lt;1,((($T44*(1-$F44)+$S44*(1-$G44))/$L44)*((1+Inputs!$D$7)^CM$2)),((INT(CM$2/$L44)-INT((CM$2-1)/$L44))*($T44*(1-$F44)+$S44*(1-$G44))*((1+Inputs!$D$7)^CM$2))),((Inputs!$D$8^((1-_xlfn.WEIBULL.DIST(CM$2,$M44,$L44,FALSE))/_xlfn.WEIBULL.DIST(CM$2,$M44,$L44,FALSE))*($T44*(1-$F44)+$S44*(1-$G44))*((1+Inputs!$D$7)^CM$2))))))))</f>
        <v>257.93387411258561</v>
      </c>
      <c r="CN44" s="88">
        <f>MAX(AX44,($E44*IF(CN$2&gt;Inputs!$D$5,0,IF(CN$2&gt;VLOOKUP($H44,Lists!$P$3:$Q$7,2),IF($N44=Lists!$K$3,IF($L44&lt;1,(($U44/$L44)*((1+Inputs!$D$7)^CN$2)),((INT(CN$2/$L44)-INT((CN$2-1)/$L44))*$U44*((1+Inputs!$D$7)^CN$2))),(Inputs!$D$8^((1-_xlfn.WEIBULL.DIST(CN$2,$M44,$L44,FALSE))/_xlfn.WEIBULL.DIST(CN$2,$M44,$L44,FALSE))*$U44*((1+Inputs!$D$7)^CN$2))),IF($N44=Lists!$K$3,IF($L44&lt;1,((($T44*(1-$F44)+$S44*(1-$G44))/$L44)*((1+Inputs!$D$7)^CN$2)),((INT(CN$2/$L44)-INT((CN$2-1)/$L44))*($T44*(1-$F44)+$S44*(1-$G44))*((1+Inputs!$D$7)^CN$2))),((Inputs!$D$8^((1-_xlfn.WEIBULL.DIST(CN$2,$M44,$L44,FALSE))/_xlfn.WEIBULL.DIST(CN$2,$M44,$L44,FALSE))*($T44*(1-$F44)+$S44*(1-$G44))*((1+Inputs!$D$7)^CN$2))))))))</f>
        <v>250.26137644398156</v>
      </c>
      <c r="CO44" s="88">
        <f>MAX(AY44,($E44*IF(CO$2&gt;Inputs!$D$5,0,IF(CO$2&gt;VLOOKUP($H44,Lists!$P$3:$Q$7,2),IF($N44=Lists!$K$3,IF($L44&lt;1,(($U44/$L44)*((1+Inputs!$D$7)^CO$2)),((INT(CO$2/$L44)-INT((CO$2-1)/$L44))*$U44*((1+Inputs!$D$7)^CO$2))),(Inputs!$D$8^((1-_xlfn.WEIBULL.DIST(CO$2,$M44,$L44,FALSE))/_xlfn.WEIBULL.DIST(CO$2,$M44,$L44,FALSE))*$U44*((1+Inputs!$D$7)^CO$2))),IF($N44=Lists!$K$3,IF($L44&lt;1,((($T44*(1-$F44)+$S44*(1-$G44))/$L44)*((1+Inputs!$D$7)^CO$2)),((INT(CO$2/$L44)-INT((CO$2-1)/$L44))*($T44*(1-$F44)+$S44*(1-$G44))*((1+Inputs!$D$7)^CO$2))),((Inputs!$D$8^((1-_xlfn.WEIBULL.DIST(CO$2,$M44,$L44,FALSE))/_xlfn.WEIBULL.DIST(CO$2,$M44,$L44,FALSE))*($T44*(1-$F44)+$S44*(1-$G44))*((1+Inputs!$D$7)^CO$2))))))))</f>
        <v>242.8171047913564</v>
      </c>
      <c r="CP44" s="88">
        <f>MAX(AZ44,($E44*IF(CP$2&gt;Inputs!$D$5,0,IF(CP$2&gt;VLOOKUP($H44,Lists!$P$3:$Q$7,2),IF($N44=Lists!$K$3,IF($L44&lt;1,(($U44/$L44)*((1+Inputs!$D$7)^CP$2)),((INT(CP$2/$L44)-INT((CP$2-1)/$L44))*$U44*((1+Inputs!$D$7)^CP$2))),(Inputs!$D$8^((1-_xlfn.WEIBULL.DIST(CP$2,$M44,$L44,FALSE))/_xlfn.WEIBULL.DIST(CP$2,$M44,$L44,FALSE))*$U44*((1+Inputs!$D$7)^CP$2))),IF($N44=Lists!$K$3,IF($L44&lt;1,((($T44*(1-$F44)+$S44*(1-$G44))/$L44)*((1+Inputs!$D$7)^CP$2)),((INT(CP$2/$L44)-INT((CP$2-1)/$L44))*($T44*(1-$F44)+$S44*(1-$G44))*((1+Inputs!$D$7)^CP$2))),((Inputs!$D$8^((1-_xlfn.WEIBULL.DIST(CP$2,$M44,$L44,FALSE))/_xlfn.WEIBULL.DIST(CP$2,$M44,$L44,FALSE))*($T44*(1-$F44)+$S44*(1-$G44))*((1+Inputs!$D$7)^CP$2))))))))</f>
        <v>0</v>
      </c>
      <c r="CQ44" s="88">
        <f>MAX(BA44,($E44*IF(CQ$2&gt;Inputs!$D$5,0,IF(CQ$2&gt;VLOOKUP($H44,Lists!$P$3:$Q$7,2),IF($N44=Lists!$K$3,IF($L44&lt;1,(($U44/$L44)*((1+Inputs!$D$7)^CQ$2)),((INT(CQ$2/$L44)-INT((CQ$2-1)/$L44))*$U44*((1+Inputs!$D$7)^CQ$2))),(Inputs!$D$8^((1-_xlfn.WEIBULL.DIST(CQ$2,$M44,$L44,FALSE))/_xlfn.WEIBULL.DIST(CQ$2,$M44,$L44,FALSE))*$U44*((1+Inputs!$D$7)^CQ$2))),IF($N44=Lists!$K$3,IF($L44&lt;1,((($T44*(1-$F44)+$S44*(1-$G44))/$L44)*((1+Inputs!$D$7)^CQ$2)),((INT(CQ$2/$L44)-INT((CQ$2-1)/$L44))*($T44*(1-$F44)+$S44*(1-$G44))*((1+Inputs!$D$7)^CQ$2))),((Inputs!$D$8^((1-_xlfn.WEIBULL.DIST(CQ$2,$M44,$L44,FALSE))/_xlfn.WEIBULL.DIST(CQ$2,$M44,$L44,FALSE))*($T44*(1-$F44)+$S44*(1-$G44))*((1+Inputs!$D$7)^CQ$2))))))))</f>
        <v>0</v>
      </c>
      <c r="CR44" s="88">
        <f>MAX(BB44,($E44*IF(CR$2&gt;Inputs!$D$5,0,IF(CR$2&gt;VLOOKUP($H44,Lists!$P$3:$Q$7,2),IF($N44=Lists!$K$3,IF($L44&lt;1,(($U44/$L44)*((1+Inputs!$D$7)^CR$2)),((INT(CR$2/$L44)-INT((CR$2-1)/$L44))*$U44*((1+Inputs!$D$7)^CR$2))),(Inputs!$D$8^((1-_xlfn.WEIBULL.DIST(CR$2,$M44,$L44,FALSE))/_xlfn.WEIBULL.DIST(CR$2,$M44,$L44,FALSE))*$U44*((1+Inputs!$D$7)^CR$2))),IF($N44=Lists!$K$3,IF($L44&lt;1,((($T44*(1-$F44)+$S44*(1-$G44))/$L44)*((1+Inputs!$D$7)^CR$2)),((INT(CR$2/$L44)-INT((CR$2-1)/$L44))*($T44*(1-$F44)+$S44*(1-$G44))*((1+Inputs!$D$7)^CR$2))),((Inputs!$D$8^((1-_xlfn.WEIBULL.DIST(CR$2,$M44,$L44,FALSE))/_xlfn.WEIBULL.DIST(CR$2,$M44,$L44,FALSE))*($T44*(1-$F44)+$S44*(1-$G44))*((1+Inputs!$D$7)^CR$2))))))))</f>
        <v>0</v>
      </c>
      <c r="CS44" s="88">
        <f>MAX(BC44,($E44*IF(CS$2&gt;Inputs!$D$5,0,IF(CS$2&gt;VLOOKUP($H44,Lists!$P$3:$Q$7,2),IF($N44=Lists!$K$3,IF($L44&lt;1,(($U44/$L44)*((1+Inputs!$D$7)^CS$2)),((INT(CS$2/$L44)-INT((CS$2-1)/$L44))*$U44*((1+Inputs!$D$7)^CS$2))),(Inputs!$D$8^((1-_xlfn.WEIBULL.DIST(CS$2,$M44,$L44,FALSE))/_xlfn.WEIBULL.DIST(CS$2,$M44,$L44,FALSE))*$U44*((1+Inputs!$D$7)^CS$2))),IF($N44=Lists!$K$3,IF($L44&lt;1,((($T44*(1-$F44)+$S44*(1-$G44))/$L44)*((1+Inputs!$D$7)^CS$2)),((INT(CS$2/$L44)-INT((CS$2-1)/$L44))*($T44*(1-$F44)+$S44*(1-$G44))*((1+Inputs!$D$7)^CS$2))),((Inputs!$D$8^((1-_xlfn.WEIBULL.DIST(CS$2,$M44,$L44,FALSE))/_xlfn.WEIBULL.DIST(CS$2,$M44,$L44,FALSE))*($T44*(1-$F44)+$S44*(1-$G44))*((1+Inputs!$D$7)^CS$2))))))))</f>
        <v>0</v>
      </c>
      <c r="CT44" s="88">
        <f>MAX(BD44,($E44*IF(CT$2&gt;Inputs!$D$5,0,IF(CT$2&gt;VLOOKUP($H44,Lists!$P$3:$Q$7,2),IF($N44=Lists!$K$3,IF($L44&lt;1,(($U44/$L44)*((1+Inputs!$D$7)^CT$2)),((INT(CT$2/$L44)-INT((CT$2-1)/$L44))*$U44*((1+Inputs!$D$7)^CT$2))),(Inputs!$D$8^((1-_xlfn.WEIBULL.DIST(CT$2,$M44,$L44,FALSE))/_xlfn.WEIBULL.DIST(CT$2,$M44,$L44,FALSE))*$U44*((1+Inputs!$D$7)^CT$2))),IF($N44=Lists!$K$3,IF($L44&lt;1,((($T44*(1-$F44)+$S44*(1-$G44))/$L44)*((1+Inputs!$D$7)^CT$2)),((INT(CT$2/$L44)-INT((CT$2-1)/$L44))*($T44*(1-$F44)+$S44*(1-$G44))*((1+Inputs!$D$7)^CT$2))),((Inputs!$D$8^((1-_xlfn.WEIBULL.DIST(CT$2,$M44,$L44,FALSE))/_xlfn.WEIBULL.DIST(CT$2,$M44,$L44,FALSE))*($T44*(1-$F44)+$S44*(1-$G44))*((1+Inputs!$D$7)^CT$2))))))))</f>
        <v>0</v>
      </c>
      <c r="CU44" s="88">
        <f>MAX(BE44,($E44*IF(CU$2&gt;Inputs!$D$5,0,IF(CU$2&gt;VLOOKUP($H44,Lists!$P$3:$Q$7,2),IF($N44=Lists!$K$3,IF($L44&lt;1,(($U44/$L44)*((1+Inputs!$D$7)^CU$2)),((INT(CU$2/$L44)-INT((CU$2-1)/$L44))*$U44*((1+Inputs!$D$7)^CU$2))),(Inputs!$D$8^((1-_xlfn.WEIBULL.DIST(CU$2,$M44,$L44,FALSE))/_xlfn.WEIBULL.DIST(CU$2,$M44,$L44,FALSE))*$U44*((1+Inputs!$D$7)^CU$2))),IF($N44=Lists!$K$3,IF($L44&lt;1,((($T44*(1-$F44)+$S44*(1-$G44))/$L44)*((1+Inputs!$D$7)^CU$2)),((INT(CU$2/$L44)-INT((CU$2-1)/$L44))*($T44*(1-$F44)+$S44*(1-$G44))*((1+Inputs!$D$7)^CU$2))),((Inputs!$D$8^((1-_xlfn.WEIBULL.DIST(CU$2,$M44,$L44,FALSE))/_xlfn.WEIBULL.DIST(CU$2,$M44,$L44,FALSE))*($T44*(1-$F44)+$S44*(1-$G44))*((1+Inputs!$D$7)^CU$2))))))))</f>
        <v>0</v>
      </c>
      <c r="CV44" s="88">
        <f>MAX(BF44,($E44*IF(CV$2&gt;Inputs!$D$5,0,IF(CV$2&gt;VLOOKUP($H44,Lists!$P$3:$Q$7,2),IF($N44=Lists!$K$3,IF($L44&lt;1,(($U44/$L44)*((1+Inputs!$D$7)^CV$2)),((INT(CV$2/$L44)-INT((CV$2-1)/$L44))*$U44*((1+Inputs!$D$7)^CV$2))),(Inputs!$D$8^((1-_xlfn.WEIBULL.DIST(CV$2,$M44,$L44,FALSE))/_xlfn.WEIBULL.DIST(CV$2,$M44,$L44,FALSE))*$U44*((1+Inputs!$D$7)^CV$2))),IF($N44=Lists!$K$3,IF($L44&lt;1,((($T44*(1-$F44)+$S44*(1-$G44))/$L44)*((1+Inputs!$D$7)^CV$2)),((INT(CV$2/$L44)-INT((CV$2-1)/$L44))*($T44*(1-$F44)+$S44*(1-$G44))*((1+Inputs!$D$7)^CV$2))),((Inputs!$D$8^((1-_xlfn.WEIBULL.DIST(CV$2,$M44,$L44,FALSE))/_xlfn.WEIBULL.DIST(CV$2,$M44,$L44,FALSE))*($T44*(1-$F44)+$S44*(1-$G44))*((1+Inputs!$D$7)^CV$2))))))))</f>
        <v>0</v>
      </c>
      <c r="CW44" s="88">
        <f>MAX(BG44,($E44*IF(CW$2&gt;Inputs!$D$5,0,IF(CW$2&gt;VLOOKUP($H44,Lists!$P$3:$Q$7,2),IF($N44=Lists!$K$3,IF($L44&lt;1,(($U44/$L44)*((1+Inputs!$D$7)^CW$2)),((INT(CW$2/$L44)-INT((CW$2-1)/$L44))*$U44*((1+Inputs!$D$7)^CW$2))),(Inputs!$D$8^((1-_xlfn.WEIBULL.DIST(CW$2,$M44,$L44,FALSE))/_xlfn.WEIBULL.DIST(CW$2,$M44,$L44,FALSE))*$U44*((1+Inputs!$D$7)^CW$2))),IF($N44=Lists!$K$3,IF($L44&lt;1,((($T44*(1-$F44)+$S44*(1-$G44))/$L44)*((1+Inputs!$D$7)^CW$2)),((INT(CW$2/$L44)-INT((CW$2-1)/$L44))*($T44*(1-$F44)+$S44*(1-$G44))*((1+Inputs!$D$7)^CW$2))),((Inputs!$D$8^((1-_xlfn.WEIBULL.DIST(CW$2,$M44,$L44,FALSE))/_xlfn.WEIBULL.DIST(CW$2,$M44,$L44,FALSE))*($T44*(1-$F44)+$S44*(1-$G44))*((1+Inputs!$D$7)^CW$2))))))))</f>
        <v>0</v>
      </c>
      <c r="CX44" s="88">
        <f>MAX(BH44,($E44*IF(CX$2&gt;Inputs!$D$5,0,IF(CX$2&gt;VLOOKUP($H44,Lists!$P$3:$Q$7,2),IF($N44=Lists!$K$3,IF($L44&lt;1,(($U44/$L44)*((1+Inputs!$D$7)^CX$2)),((INT(CX$2/$L44)-INT((CX$2-1)/$L44))*$U44*((1+Inputs!$D$7)^CX$2))),(Inputs!$D$8^((1-_xlfn.WEIBULL.DIST(CX$2,$M44,$L44,FALSE))/_xlfn.WEIBULL.DIST(CX$2,$M44,$L44,FALSE))*$U44*((1+Inputs!$D$7)^CX$2))),IF($N44=Lists!$K$3,IF($L44&lt;1,((($T44*(1-$F44)+$S44*(1-$G44))/$L44)*((1+Inputs!$D$7)^CX$2)),((INT(CX$2/$L44)-INT((CX$2-1)/$L44))*($T44*(1-$F44)+$S44*(1-$G44))*((1+Inputs!$D$7)^CX$2))),((Inputs!$D$8^((1-_xlfn.WEIBULL.DIST(CX$2,$M44,$L44,FALSE))/_xlfn.WEIBULL.DIST(CX$2,$M44,$L44,FALSE))*($T44*(1-$F44)+$S44*(1-$G44))*((1+Inputs!$D$7)^CX$2))))))))</f>
        <v>0</v>
      </c>
      <c r="CY44" s="88">
        <f>MAX(BI44,($E44*IF(CY$2&gt;Inputs!$D$5,0,IF(CY$2&gt;VLOOKUP($H44,Lists!$P$3:$Q$7,2),IF($N44=Lists!$K$3,IF($L44&lt;1,(($U44/$L44)*((1+Inputs!$D$7)^CY$2)),((INT(CY$2/$L44)-INT((CY$2-1)/$L44))*$U44*((1+Inputs!$D$7)^CY$2))),(Inputs!$D$8^((1-_xlfn.WEIBULL.DIST(CY$2,$M44,$L44,FALSE))/_xlfn.WEIBULL.DIST(CY$2,$M44,$L44,FALSE))*$U44*((1+Inputs!$D$7)^CY$2))),IF($N44=Lists!$K$3,IF($L44&lt;1,((($T44*(1-$F44)+$S44*(1-$G44))/$L44)*((1+Inputs!$D$7)^CY$2)),((INT(CY$2/$L44)-INT((CY$2-1)/$L44))*($T44*(1-$F44)+$S44*(1-$G44))*((1+Inputs!$D$7)^CY$2))),((Inputs!$D$8^((1-_xlfn.WEIBULL.DIST(CY$2,$M44,$L44,FALSE))/_xlfn.WEIBULL.DIST(CY$2,$M44,$L44,FALSE))*($T44*(1-$F44)+$S44*(1-$G44))*((1+Inputs!$D$7)^CY$2))))))))</f>
        <v>0</v>
      </c>
      <c r="CZ44" s="88">
        <f>MAX(BJ44,($E44*IF(CZ$2&gt;Inputs!$D$5,0,IF(CZ$2&gt;VLOOKUP($H44,Lists!$P$3:$Q$7,2),IF($N44=Lists!$K$3,IF($L44&lt;1,(($U44/$L44)*((1+Inputs!$D$7)^CZ$2)),((INT(CZ$2/$L44)-INT((CZ$2-1)/$L44))*$U44*((1+Inputs!$D$7)^CZ$2))),(Inputs!$D$8^((1-_xlfn.WEIBULL.DIST(CZ$2,$M44,$L44,FALSE))/_xlfn.WEIBULL.DIST(CZ$2,$M44,$L44,FALSE))*$U44*((1+Inputs!$D$7)^CZ$2))),IF($N44=Lists!$K$3,IF($L44&lt;1,((($T44*(1-$F44)+$S44*(1-$G44))/$L44)*((1+Inputs!$D$7)^CZ$2)),((INT(CZ$2/$L44)-INT((CZ$2-1)/$L44))*($T44*(1-$F44)+$S44*(1-$G44))*((1+Inputs!$D$7)^CZ$2))),((Inputs!$D$8^((1-_xlfn.WEIBULL.DIST(CZ$2,$M44,$L44,FALSE))/_xlfn.WEIBULL.DIST(CZ$2,$M44,$L44,FALSE))*($T44*(1-$F44)+$S44*(1-$G44))*((1+Inputs!$D$7)^CZ$2))))))))</f>
        <v>0</v>
      </c>
      <c r="DA44" s="88">
        <f>MAX(BK44,($E44*IF(DA$2&gt;Inputs!$D$5,0,IF(DA$2&gt;VLOOKUP($H44,Lists!$P$3:$Q$7,2),IF($N44=Lists!$K$3,IF($L44&lt;1,(($U44/$L44)*((1+Inputs!$D$7)^DA$2)),((INT(DA$2/$L44)-INT((DA$2-1)/$L44))*$U44*((1+Inputs!$D$7)^DA$2))),(Inputs!$D$8^((1-_xlfn.WEIBULL.DIST(DA$2,$M44,$L44,FALSE))/_xlfn.WEIBULL.DIST(DA$2,$M44,$L44,FALSE))*$U44*((1+Inputs!$D$7)^DA$2))),IF($N44=Lists!$K$3,IF($L44&lt;1,((($T44*(1-$F44)+$S44*(1-$G44))/$L44)*((1+Inputs!$D$7)^DA$2)),((INT(DA$2/$L44)-INT((DA$2-1)/$L44))*($T44*(1-$F44)+$S44*(1-$G44))*((1+Inputs!$D$7)^DA$2))),((Inputs!$D$8^((1-_xlfn.WEIBULL.DIST(DA$2,$M44,$L44,FALSE))/_xlfn.WEIBULL.DIST(DA$2,$M44,$L44,FALSE))*($T44*(1-$F44)+$S44*(1-$G44))*((1+Inputs!$D$7)^DA$2))))))))</f>
        <v>0</v>
      </c>
      <c r="DB44" s="88">
        <f>MAX(BL44,($E44*IF(DB$2&gt;Inputs!$D$5,0,IF(DB$2&gt;VLOOKUP($H44,Lists!$P$3:$Q$7,2),IF($N44=Lists!$K$3,IF($L44&lt;1,(($U44/$L44)*((1+Inputs!$D$7)^DB$2)),((INT(DB$2/$L44)-INT((DB$2-1)/$L44))*$U44*((1+Inputs!$D$7)^DB$2))),(Inputs!$D$8^((1-_xlfn.WEIBULL.DIST(DB$2,$M44,$L44,FALSE))/_xlfn.WEIBULL.DIST(DB$2,$M44,$L44,FALSE))*$U44*((1+Inputs!$D$7)^DB$2))),IF($N44=Lists!$K$3,IF($L44&lt;1,((($T44*(1-$F44)+$S44*(1-$G44))/$L44)*((1+Inputs!$D$7)^DB$2)),((INT(DB$2/$L44)-INT((DB$2-1)/$L44))*($T44*(1-$F44)+$S44*(1-$G44))*((1+Inputs!$D$7)^DB$2))),((Inputs!$D$8^((1-_xlfn.WEIBULL.DIST(DB$2,$M44,$L44,FALSE))/_xlfn.WEIBULL.DIST(DB$2,$M44,$L44,FALSE))*($T44*(1-$F44)+$S44*(1-$G44))*((1+Inputs!$D$7)^DB$2))))))))</f>
        <v>0</v>
      </c>
      <c r="DC44" s="88">
        <f>MAX(BM44,($E44*IF(DC$2&gt;Inputs!$D$5,0,IF(DC$2&gt;VLOOKUP($H44,Lists!$P$3:$Q$7,2),IF($N44=Lists!$K$3,IF($L44&lt;1,(($U44/$L44)*((1+Inputs!$D$7)^DC$2)),((INT(DC$2/$L44)-INT((DC$2-1)/$L44))*$U44*((1+Inputs!$D$7)^DC$2))),(Inputs!$D$8^((1-_xlfn.WEIBULL.DIST(DC$2,$M44,$L44,FALSE))/_xlfn.WEIBULL.DIST(DC$2,$M44,$L44,FALSE))*$U44*((1+Inputs!$D$7)^DC$2))),IF($N44=Lists!$K$3,IF($L44&lt;1,((($T44*(1-$F44)+$S44*(1-$G44))/$L44)*((1+Inputs!$D$7)^DC$2)),((INT(DC$2/$L44)-INT((DC$2-1)/$L44))*($T44*(1-$F44)+$S44*(1-$G44))*((1+Inputs!$D$7)^DC$2))),((Inputs!$D$8^((1-_xlfn.WEIBULL.DIST(DC$2,$M44,$L44,FALSE))/_xlfn.WEIBULL.DIST(DC$2,$M44,$L44,FALSE))*($T44*(1-$F44)+$S44*(1-$G44))*((1+Inputs!$D$7)^DC$2))))))))</f>
        <v>0</v>
      </c>
      <c r="DD44" s="88">
        <f>MAX(BN44,($E44*IF(DD$2&gt;Inputs!$D$5,0,IF(DD$2&gt;VLOOKUP($H44,Lists!$P$3:$Q$7,2),IF($N44=Lists!$K$3,IF($L44&lt;1,(($U44/$L44)*((1+Inputs!$D$7)^DD$2)),((INT(DD$2/$L44)-INT((DD$2-1)/$L44))*$U44*((1+Inputs!$D$7)^DD$2))),(Inputs!$D$8^((1-_xlfn.WEIBULL.DIST(DD$2,$M44,$L44,FALSE))/_xlfn.WEIBULL.DIST(DD$2,$M44,$L44,FALSE))*$U44*((1+Inputs!$D$7)^DD$2))),IF($N44=Lists!$K$3,IF($L44&lt;1,((($T44*(1-$F44)+$S44*(1-$G44))/$L44)*((1+Inputs!$D$7)^DD$2)),((INT(DD$2/$L44)-INT((DD$2-1)/$L44))*($T44*(1-$F44)+$S44*(1-$G44))*((1+Inputs!$D$7)^DD$2))),((Inputs!$D$8^((1-_xlfn.WEIBULL.DIST(DD$2,$M44,$L44,FALSE))/_xlfn.WEIBULL.DIST(DD$2,$M44,$L44,FALSE))*($T44*(1-$F44)+$S44*(1-$G44))*((1+Inputs!$D$7)^DD$2))))))))</f>
        <v>0</v>
      </c>
    </row>
    <row r="45" spans="1:108" s="1" customFormat="1" ht="16">
      <c r="A45" s="57" t="s">
        <v>184</v>
      </c>
      <c r="B45" s="13" t="s">
        <v>130</v>
      </c>
      <c r="C45" s="13" t="s">
        <v>474</v>
      </c>
      <c r="D45" s="13" t="s">
        <v>16</v>
      </c>
      <c r="E45" s="48">
        <f>IF(Inputs!D30=Lists!M4,1,0)</f>
        <v>1</v>
      </c>
      <c r="F45" s="48">
        <v>1</v>
      </c>
      <c r="G45" s="48">
        <v>0</v>
      </c>
      <c r="H45" s="105" t="s">
        <v>16</v>
      </c>
      <c r="I45" s="14" t="s">
        <v>264</v>
      </c>
      <c r="J45" s="14" t="s">
        <v>91</v>
      </c>
      <c r="K45" s="13">
        <f>VLOOKUP(J45,'Labor Rates'!$A$1:$F$16,2)</f>
        <v>33.17307692307692</v>
      </c>
      <c r="L45" s="15">
        <v>20</v>
      </c>
      <c r="M45" s="15">
        <v>1</v>
      </c>
      <c r="N45" s="16" t="s">
        <v>226</v>
      </c>
      <c r="O45" s="61">
        <f>Inputs!$D$32</f>
        <v>10</v>
      </c>
      <c r="P45" s="15">
        <v>1</v>
      </c>
      <c r="Q45" s="15">
        <f t="shared" si="7"/>
        <v>0.5</v>
      </c>
      <c r="R45" s="4">
        <v>25</v>
      </c>
      <c r="S45" s="53">
        <f t="shared" si="8"/>
        <v>331.73076923076917</v>
      </c>
      <c r="T45" s="53">
        <f t="shared" si="9"/>
        <v>250</v>
      </c>
      <c r="U45" s="54">
        <f t="shared" si="10"/>
        <v>581.73076923076917</v>
      </c>
      <c r="V45" s="65"/>
      <c r="W45" s="58"/>
      <c r="X45" s="64">
        <f t="shared" si="11"/>
        <v>16.192161336978806</v>
      </c>
      <c r="Y45" s="64">
        <f>NPV(Inputs!$D$6,AA45:BN45)</f>
        <v>182.53818228621179</v>
      </c>
      <c r="Z45" s="67">
        <f t="shared" si="12"/>
        <v>8.6093918409459747E-5</v>
      </c>
      <c r="AA45" s="88">
        <f>$E45*IF(AA$2&gt;Inputs!$D$5,0,IF(AA$2&gt;VLOOKUP($H45,Lists!$P$3:$Q$7,2),IF($N45=Lists!$K$3,IF($L45&lt;1,(($U45/$L45)*((1+Inputs!$D$7)^AA$2)),((INT(AA$2/$L45)-INT((AA$2-1)/$L45))*$U45*((1+Inputs!$D$7)^AA$2))),(_xlfn.WEIBULL.DIST(AA$2,$M45,$L45,FALSE)*$U45*((1+Inputs!$D$7)^AA$2))),IF($N45=Lists!$K$3,IF($L45&lt;1,((($T45*(1-$F45)+$S45*(1-$G45))/$L45)*((1+Inputs!$D$7)^AA$2)),((INT(AA$2/$L45)-INT((AA$2-1)/$L45))*($T45*(1-$F45)+$S45*(1-$G45))*((1+Inputs!$D$7)^AA$2))),((_xlfn.WEIBULL.DIST(AA$2,$M45,$L45,FALSE)*($T45*(1-$F45)+$S45*(1-$G45))*((1+Inputs!$D$7)^AA$2))))))</f>
        <v>16.093155503932753</v>
      </c>
      <c r="AB45" s="88">
        <f>$E45*IF(AB$2&gt;Inputs!$D$5,0,IF(AB$2&gt;VLOOKUP($H45,Lists!$P$3:$Q$7,2),IF($N45=Lists!$K$3,IF($L45&lt;1,(($U45/$L45)*((1+Inputs!$D$7)^AB$2)),((INT(AB$2/$L45)-INT((AB$2-1)/$L45))*$U45*((1+Inputs!$D$7)^AB$2))),(_xlfn.WEIBULL.DIST(AB$2,$M45,$L45,FALSE)*$U45*((1+Inputs!$D$7)^AB$2))),IF($N45=Lists!$K$3,IF($L45&lt;1,((($T45*(1-$F45)+$S45*(1-$G45))/$L45)*((1+Inputs!$D$7)^AB$2)),((INT(AB$2/$L45)-INT((AB$2-1)/$L45))*($T45*(1-$F45)+$S45*(1-$G45))*((1+Inputs!$D$7)^AB$2))),((_xlfn.WEIBULL.DIST(AB$2,$M45,$L45,FALSE)*($T45*(1-$F45)+$S45*(1-$G45))*((1+Inputs!$D$7)^AB$2))))))</f>
        <v>15.61444870937458</v>
      </c>
      <c r="AC45" s="88">
        <f>$E45*IF(AC$2&gt;Inputs!$D$5,0,IF(AC$2&gt;VLOOKUP($H45,Lists!$P$3:$Q$7,2),IF($N45=Lists!$K$3,IF($L45&lt;1,(($U45/$L45)*((1+Inputs!$D$7)^AC$2)),((INT(AC$2/$L45)-INT((AC$2-1)/$L45))*$U45*((1+Inputs!$D$7)^AC$2))),(_xlfn.WEIBULL.DIST(AC$2,$M45,$L45,FALSE)*$U45*((1+Inputs!$D$7)^AC$2))),IF($N45=Lists!$K$3,IF($L45&lt;1,((($T45*(1-$F45)+$S45*(1-$G45))/$L45)*((1+Inputs!$D$7)^AC$2)),((INT(AC$2/$L45)-INT((AC$2-1)/$L45))*($T45*(1-$F45)+$S45*(1-$G45))*((1+Inputs!$D$7)^AC$2))),((_xlfn.WEIBULL.DIST(AC$2,$M45,$L45,FALSE)*($T45*(1-$F45)+$S45*(1-$G45))*((1+Inputs!$D$7)^AC$2))))))</f>
        <v>15.149981520908584</v>
      </c>
      <c r="AD45" s="88">
        <f>$E45*IF(AD$2&gt;Inputs!$D$5,0,IF(AD$2&gt;VLOOKUP($H45,Lists!$P$3:$Q$7,2),IF($N45=Lists!$K$3,IF($L45&lt;1,(($U45/$L45)*((1+Inputs!$D$7)^AD$2)),((INT(AD$2/$L45)-INT((AD$2-1)/$L45))*$U45*((1+Inputs!$D$7)^AD$2))),(_xlfn.WEIBULL.DIST(AD$2,$M45,$L45,FALSE)*$U45*((1+Inputs!$D$7)^AD$2))),IF($N45=Lists!$K$3,IF($L45&lt;1,((($T45*(1-$F45)+$S45*(1-$G45))/$L45)*((1+Inputs!$D$7)^AD$2)),((INT(AD$2/$L45)-INT((AD$2-1)/$L45))*($T45*(1-$F45)+$S45*(1-$G45))*((1+Inputs!$D$7)^AD$2))),((_xlfn.WEIBULL.DIST(AD$2,$M45,$L45,FALSE)*($T45*(1-$F45)+$S45*(1-$G45))*((1+Inputs!$D$7)^AD$2))))))</f>
        <v>14.69933036739693</v>
      </c>
      <c r="AE45" s="88">
        <f>$E45*IF(AE$2&gt;Inputs!$D$5,0,IF(AE$2&gt;VLOOKUP($H45,Lists!$P$3:$Q$7,2),IF($N45=Lists!$K$3,IF($L45&lt;1,(($U45/$L45)*((1+Inputs!$D$7)^AE$2)),((INT(AE$2/$L45)-INT((AE$2-1)/$L45))*$U45*((1+Inputs!$D$7)^AE$2))),(_xlfn.WEIBULL.DIST(AE$2,$M45,$L45,FALSE)*$U45*((1+Inputs!$D$7)^AE$2))),IF($N45=Lists!$K$3,IF($L45&lt;1,((($T45*(1-$F45)+$S45*(1-$G45))/$L45)*((1+Inputs!$D$7)^AE$2)),((INT(AE$2/$L45)-INT((AE$2-1)/$L45))*($T45*(1-$F45)+$S45*(1-$G45))*((1+Inputs!$D$7)^AE$2))),((_xlfn.WEIBULL.DIST(AE$2,$M45,$L45,FALSE)*($T45*(1-$F45)+$S45*(1-$G45))*((1+Inputs!$D$7)^AE$2))))))</f>
        <v>14.262084277243348</v>
      </c>
      <c r="AF45" s="88">
        <f>$E45*IF(AF$2&gt;Inputs!$D$5,0,IF(AF$2&gt;VLOOKUP($H45,Lists!$P$3:$Q$7,2),IF($N45=Lists!$K$3,IF($L45&lt;1,(($U45/$L45)*((1+Inputs!$D$7)^AF$2)),((INT(AF$2/$L45)-INT((AF$2-1)/$L45))*$U45*((1+Inputs!$D$7)^AF$2))),(_xlfn.WEIBULL.DIST(AF$2,$M45,$L45,FALSE)*$U45*((1+Inputs!$D$7)^AF$2))),IF($N45=Lists!$K$3,IF($L45&lt;1,((($T45*(1-$F45)+$S45*(1-$G45))/$L45)*((1+Inputs!$D$7)^AF$2)),((INT(AF$2/$L45)-INT((AF$2-1)/$L45))*($T45*(1-$F45)+$S45*(1-$G45))*((1+Inputs!$D$7)^AF$2))),((_xlfn.WEIBULL.DIST(AF$2,$M45,$L45,FALSE)*($T45*(1-$F45)+$S45*(1-$G45))*((1+Inputs!$D$7)^AF$2))))))</f>
        <v>13.837844503607332</v>
      </c>
      <c r="AG45" s="88">
        <f>$E45*IF(AG$2&gt;Inputs!$D$5,0,IF(AG$2&gt;VLOOKUP($H45,Lists!$P$3:$Q$7,2),IF($N45=Lists!$K$3,IF($L45&lt;1,(($U45/$L45)*((1+Inputs!$D$7)^AG$2)),((INT(AG$2/$L45)-INT((AG$2-1)/$L45))*$U45*((1+Inputs!$D$7)^AG$2))),(_xlfn.WEIBULL.DIST(AG$2,$M45,$L45,FALSE)*$U45*((1+Inputs!$D$7)^AG$2))),IF($N45=Lists!$K$3,IF($L45&lt;1,((($T45*(1-$F45)+$S45*(1-$G45))/$L45)*((1+Inputs!$D$7)^AG$2)),((INT(AG$2/$L45)-INT((AG$2-1)/$L45))*($T45*(1-$F45)+$S45*(1-$G45))*((1+Inputs!$D$7)^AG$2))),((_xlfn.WEIBULL.DIST(AG$2,$M45,$L45,FALSE)*($T45*(1-$F45)+$S45*(1-$G45))*((1+Inputs!$D$7)^AG$2))))))</f>
        <v>13.426224160766701</v>
      </c>
      <c r="AH45" s="88">
        <f>$E45*IF(AH$2&gt;Inputs!$D$5,0,IF(AH$2&gt;VLOOKUP($H45,Lists!$P$3:$Q$7,2),IF($N45=Lists!$K$3,IF($L45&lt;1,(($U45/$L45)*((1+Inputs!$D$7)^AH$2)),((INT(AH$2/$L45)-INT((AH$2-1)/$L45))*$U45*((1+Inputs!$D$7)^AH$2))),(_xlfn.WEIBULL.DIST(AH$2,$M45,$L45,FALSE)*$U45*((1+Inputs!$D$7)^AH$2))),IF($N45=Lists!$K$3,IF($L45&lt;1,((($T45*(1-$F45)+$S45*(1-$G45))/$L45)*((1+Inputs!$D$7)^AH$2)),((INT(AH$2/$L45)-INT((AH$2-1)/$L45))*($T45*(1-$F45)+$S45*(1-$G45))*((1+Inputs!$D$7)^AH$2))),((_xlfn.WEIBULL.DIST(AH$2,$M45,$L45,FALSE)*($T45*(1-$F45)+$S45*(1-$G45))*((1+Inputs!$D$7)^AH$2))))))</f>
        <v>13.026847871296967</v>
      </c>
      <c r="AI45" s="88">
        <f>$E45*IF(AI$2&gt;Inputs!$D$5,0,IF(AI$2&gt;VLOOKUP($H45,Lists!$P$3:$Q$7,2),IF($N45=Lists!$K$3,IF($L45&lt;1,(($U45/$L45)*((1+Inputs!$D$7)^AI$2)),((INT(AI$2/$L45)-INT((AI$2-1)/$L45))*$U45*((1+Inputs!$D$7)^AI$2))),(_xlfn.WEIBULL.DIST(AI$2,$M45,$L45,FALSE)*$U45*((1+Inputs!$D$7)^AI$2))),IF($N45=Lists!$K$3,IF($L45&lt;1,((($T45*(1-$F45)+$S45*(1-$G45))/$L45)*((1+Inputs!$D$7)^AI$2)),((INT(AI$2/$L45)-INT((AI$2-1)/$L45))*($T45*(1-$F45)+$S45*(1-$G45))*((1+Inputs!$D$7)^AI$2))),((_xlfn.WEIBULL.DIST(AI$2,$M45,$L45,FALSE)*($T45*(1-$F45)+$S45*(1-$G45))*((1+Inputs!$D$7)^AI$2))))))</f>
        <v>12.639351423745609</v>
      </c>
      <c r="AJ45" s="88">
        <f>$E45*IF(AJ$2&gt;Inputs!$D$5,0,IF(AJ$2&gt;VLOOKUP($H45,Lists!$P$3:$Q$7,2),IF($N45=Lists!$K$3,IF($L45&lt;1,(($U45/$L45)*((1+Inputs!$D$7)^AJ$2)),((INT(AJ$2/$L45)-INT((AJ$2-1)/$L45))*$U45*((1+Inputs!$D$7)^AJ$2))),(_xlfn.WEIBULL.DIST(AJ$2,$M45,$L45,FALSE)*$U45*((1+Inputs!$D$7)^AJ$2))),IF($N45=Lists!$K$3,IF($L45&lt;1,((($T45*(1-$F45)+$S45*(1-$G45))/$L45)*((1+Inputs!$D$7)^AJ$2)),((INT(AJ$2/$L45)-INT((AJ$2-1)/$L45))*($T45*(1-$F45)+$S45*(1-$G45))*((1+Inputs!$D$7)^AJ$2))),((_xlfn.WEIBULL.DIST(AJ$2,$M45,$L45,FALSE)*($T45*(1-$F45)+$S45*(1-$G45))*((1+Inputs!$D$7)^AJ$2))))))</f>
        <v>12.263381440489251</v>
      </c>
      <c r="AK45" s="88">
        <f>$E45*IF(AK$2&gt;Inputs!$D$5,0,IF(AK$2&gt;VLOOKUP($H45,Lists!$P$3:$Q$7,2),IF($N45=Lists!$K$3,IF($L45&lt;1,(($U45/$L45)*((1+Inputs!$D$7)^AK$2)),((INT(AK$2/$L45)-INT((AK$2-1)/$L45))*$U45*((1+Inputs!$D$7)^AK$2))),(_xlfn.WEIBULL.DIST(AK$2,$M45,$L45,FALSE)*$U45*((1+Inputs!$D$7)^AK$2))),IF($N45=Lists!$K$3,IF($L45&lt;1,((($T45*(1-$F45)+$S45*(1-$G45))/$L45)*((1+Inputs!$D$7)^AK$2)),((INT(AK$2/$L45)-INT((AK$2-1)/$L45))*($T45*(1-$F45)+$S45*(1-$G45))*((1+Inputs!$D$7)^AK$2))),((_xlfn.WEIBULL.DIST(AK$2,$M45,$L45,FALSE)*($T45*(1-$F45)+$S45*(1-$G45))*((1+Inputs!$D$7)^AK$2))))))</f>
        <v>20.865652198724003</v>
      </c>
      <c r="AL45" s="88">
        <f>$E45*IF(AL$2&gt;Inputs!$D$5,0,IF(AL$2&gt;VLOOKUP($H45,Lists!$P$3:$Q$7,2),IF($N45=Lists!$K$3,IF($L45&lt;1,(($U45/$L45)*((1+Inputs!$D$7)^AL$2)),((INT(AL$2/$L45)-INT((AL$2-1)/$L45))*$U45*((1+Inputs!$D$7)^AL$2))),(_xlfn.WEIBULL.DIST(AL$2,$M45,$L45,FALSE)*$U45*((1+Inputs!$D$7)^AL$2))),IF($N45=Lists!$K$3,IF($L45&lt;1,((($T45*(1-$F45)+$S45*(1-$G45))/$L45)*((1+Inputs!$D$7)^AL$2)),((INT(AL$2/$L45)-INT((AL$2-1)/$L45))*($T45*(1-$F45)+$S45*(1-$G45))*((1+Inputs!$D$7)^AL$2))),((_xlfn.WEIBULL.DIST(AL$2,$M45,$L45,FALSE)*($T45*(1-$F45)+$S45*(1-$G45))*((1+Inputs!$D$7)^AL$2))))))</f>
        <v>20.244982779480779</v>
      </c>
      <c r="AM45" s="88">
        <f>$E45*IF(AM$2&gt;Inputs!$D$5,0,IF(AM$2&gt;VLOOKUP($H45,Lists!$P$3:$Q$7,2),IF($N45=Lists!$K$3,IF($L45&lt;1,(($U45/$L45)*((1+Inputs!$D$7)^AM$2)),((INT(AM$2/$L45)-INT((AM$2-1)/$L45))*$U45*((1+Inputs!$D$7)^AM$2))),(_xlfn.WEIBULL.DIST(AM$2,$M45,$L45,FALSE)*$U45*((1+Inputs!$D$7)^AM$2))),IF($N45=Lists!$K$3,IF($L45&lt;1,((($T45*(1-$F45)+$S45*(1-$G45))/$L45)*((1+Inputs!$D$7)^AM$2)),((INT(AM$2/$L45)-INT((AM$2-1)/$L45))*($T45*(1-$F45)+$S45*(1-$G45))*((1+Inputs!$D$7)^AM$2))),((_xlfn.WEIBULL.DIST(AM$2,$M45,$L45,FALSE)*($T45*(1-$F45)+$S45*(1-$G45))*((1+Inputs!$D$7)^AM$2))))))</f>
        <v>19.642775784719415</v>
      </c>
      <c r="AN45" s="88">
        <f>$E45*IF(AN$2&gt;Inputs!$D$5,0,IF(AN$2&gt;VLOOKUP($H45,Lists!$P$3:$Q$7,2),IF($N45=Lists!$K$3,IF($L45&lt;1,(($U45/$L45)*((1+Inputs!$D$7)^AN$2)),((INT(AN$2/$L45)-INT((AN$2-1)/$L45))*$U45*((1+Inputs!$D$7)^AN$2))),(_xlfn.WEIBULL.DIST(AN$2,$M45,$L45,FALSE)*$U45*((1+Inputs!$D$7)^AN$2))),IF($N45=Lists!$K$3,IF($L45&lt;1,((($T45*(1-$F45)+$S45*(1-$G45))/$L45)*((1+Inputs!$D$7)^AN$2)),((INT(AN$2/$L45)-INT((AN$2-1)/$L45))*($T45*(1-$F45)+$S45*(1-$G45))*((1+Inputs!$D$7)^AN$2))),((_xlfn.WEIBULL.DIST(AN$2,$M45,$L45,FALSE)*($T45*(1-$F45)+$S45*(1-$G45))*((1+Inputs!$D$7)^AN$2))))))</f>
        <v>19.058482031401116</v>
      </c>
      <c r="AO45" s="88">
        <f>$E45*IF(AO$2&gt;Inputs!$D$5,0,IF(AO$2&gt;VLOOKUP($H45,Lists!$P$3:$Q$7,2),IF($N45=Lists!$K$3,IF($L45&lt;1,(($U45/$L45)*((1+Inputs!$D$7)^AO$2)),((INT(AO$2/$L45)-INT((AO$2-1)/$L45))*$U45*((1+Inputs!$D$7)^AO$2))),(_xlfn.WEIBULL.DIST(AO$2,$M45,$L45,FALSE)*$U45*((1+Inputs!$D$7)^AO$2))),IF($N45=Lists!$K$3,IF($L45&lt;1,((($T45*(1-$F45)+$S45*(1-$G45))/$L45)*((1+Inputs!$D$7)^AO$2)),((INT(AO$2/$L45)-INT((AO$2-1)/$L45))*($T45*(1-$F45)+$S45*(1-$G45))*((1+Inputs!$D$7)^AO$2))),((_xlfn.WEIBULL.DIST(AO$2,$M45,$L45,FALSE)*($T45*(1-$F45)+$S45*(1-$G45))*((1+Inputs!$D$7)^AO$2))))))</f>
        <v>18.491568672478618</v>
      </c>
      <c r="AP45" s="88">
        <f>$E45*IF(AP$2&gt;Inputs!$D$5,0,IF(AP$2&gt;VLOOKUP($H45,Lists!$P$3:$Q$7,2),IF($N45=Lists!$K$3,IF($L45&lt;1,(($U45/$L45)*((1+Inputs!$D$7)^AP$2)),((INT(AP$2/$L45)-INT((AP$2-1)/$L45))*$U45*((1+Inputs!$D$7)^AP$2))),(_xlfn.WEIBULL.DIST(AP$2,$M45,$L45,FALSE)*$U45*((1+Inputs!$D$7)^AP$2))),IF($N45=Lists!$K$3,IF($L45&lt;1,((($T45*(1-$F45)+$S45*(1-$G45))/$L45)*((1+Inputs!$D$7)^AP$2)),((INT(AP$2/$L45)-INT((AP$2-1)/$L45))*($T45*(1-$F45)+$S45*(1-$G45))*((1+Inputs!$D$7)^AP$2))),((_xlfn.WEIBULL.DIST(AP$2,$M45,$L45,FALSE)*($T45*(1-$F45)+$S45*(1-$G45))*((1+Inputs!$D$7)^AP$2))))))</f>
        <v>17.941518710966015</v>
      </c>
      <c r="AQ45" s="88">
        <f>$E45*IF(AQ$2&gt;Inputs!$D$5,0,IF(AQ$2&gt;VLOOKUP($H45,Lists!$P$3:$Q$7,2),IF($N45=Lists!$K$3,IF($L45&lt;1,(($U45/$L45)*((1+Inputs!$D$7)^AQ$2)),((INT(AQ$2/$L45)-INT((AQ$2-1)/$L45))*$U45*((1+Inputs!$D$7)^AQ$2))),(_xlfn.WEIBULL.DIST(AQ$2,$M45,$L45,FALSE)*$U45*((1+Inputs!$D$7)^AQ$2))),IF($N45=Lists!$K$3,IF($L45&lt;1,((($T45*(1-$F45)+$S45*(1-$G45))/$L45)*((1+Inputs!$D$7)^AQ$2)),((INT(AQ$2/$L45)-INT((AQ$2-1)/$L45))*($T45*(1-$F45)+$S45*(1-$G45))*((1+Inputs!$D$7)^AQ$2))),((_xlfn.WEIBULL.DIST(AQ$2,$M45,$L45,FALSE)*($T45*(1-$F45)+$S45*(1-$G45))*((1+Inputs!$D$7)^AQ$2))))))</f>
        <v>17.407830528463016</v>
      </c>
      <c r="AR45" s="88">
        <f>$E45*IF(AR$2&gt;Inputs!$D$5,0,IF(AR$2&gt;VLOOKUP($H45,Lists!$P$3:$Q$7,2),IF($N45=Lists!$K$3,IF($L45&lt;1,(($U45/$L45)*((1+Inputs!$D$7)^AR$2)),((INT(AR$2/$L45)-INT((AR$2-1)/$L45))*$U45*((1+Inputs!$D$7)^AR$2))),(_xlfn.WEIBULL.DIST(AR$2,$M45,$L45,FALSE)*$U45*((1+Inputs!$D$7)^AR$2))),IF($N45=Lists!$K$3,IF($L45&lt;1,((($T45*(1-$F45)+$S45*(1-$G45))/$L45)*((1+Inputs!$D$7)^AR$2)),((INT(AR$2/$L45)-INT((AR$2-1)/$L45))*($T45*(1-$F45)+$S45*(1-$G45))*((1+Inputs!$D$7)^AR$2))),((_xlfn.WEIBULL.DIST(AR$2,$M45,$L45,FALSE)*($T45*(1-$F45)+$S45*(1-$G45))*((1+Inputs!$D$7)^AR$2))))))</f>
        <v>16.89001742770375</v>
      </c>
      <c r="AS45" s="88">
        <f>$E45*IF(AS$2&gt;Inputs!$D$5,0,IF(AS$2&gt;VLOOKUP($H45,Lists!$P$3:$Q$7,2),IF($N45=Lists!$K$3,IF($L45&lt;1,(($U45/$L45)*((1+Inputs!$D$7)^AS$2)),((INT(AS$2/$L45)-INT((AS$2-1)/$L45))*$U45*((1+Inputs!$D$7)^AS$2))),(_xlfn.WEIBULL.DIST(AS$2,$M45,$L45,FALSE)*$U45*((1+Inputs!$D$7)^AS$2))),IF($N45=Lists!$K$3,IF($L45&lt;1,((($T45*(1-$F45)+$S45*(1-$G45))/$L45)*((1+Inputs!$D$7)^AS$2)),((INT(AS$2/$L45)-INT((AS$2-1)/$L45))*($T45*(1-$F45)+$S45*(1-$G45))*((1+Inputs!$D$7)^AS$2))),((_xlfn.WEIBULL.DIST(AS$2,$M45,$L45,FALSE)*($T45*(1-$F45)+$S45*(1-$G45))*((1+Inputs!$D$7)^AS$2))))))</f>
        <v>16.387607188712902</v>
      </c>
      <c r="AT45" s="88">
        <f>$E45*IF(AT$2&gt;Inputs!$D$5,0,IF(AT$2&gt;VLOOKUP($H45,Lists!$P$3:$Q$7,2),IF($N45=Lists!$K$3,IF($L45&lt;1,(($U45/$L45)*((1+Inputs!$D$7)^AT$2)),((INT(AT$2/$L45)-INT((AT$2-1)/$L45))*$U45*((1+Inputs!$D$7)^AT$2))),(_xlfn.WEIBULL.DIST(AT$2,$M45,$L45,FALSE)*$U45*((1+Inputs!$D$7)^AT$2))),IF($N45=Lists!$K$3,IF($L45&lt;1,((($T45*(1-$F45)+$S45*(1-$G45))/$L45)*((1+Inputs!$D$7)^AT$2)),((INT(AT$2/$L45)-INT((AT$2-1)/$L45))*($T45*(1-$F45)+$S45*(1-$G45))*((1+Inputs!$D$7)^AT$2))),((_xlfn.WEIBULL.DIST(AT$2,$M45,$L45,FALSE)*($T45*(1-$F45)+$S45*(1-$G45))*((1+Inputs!$D$7)^AT$2))))))</f>
        <v>15.900141638164403</v>
      </c>
      <c r="AU45" s="88">
        <f>$E45*IF(AU$2&gt;Inputs!$D$5,0,IF(AU$2&gt;VLOOKUP($H45,Lists!$P$3:$Q$7,2),IF($N45=Lists!$K$3,IF($L45&lt;1,(($U45/$L45)*((1+Inputs!$D$7)^AU$2)),((INT(AU$2/$L45)-INT((AU$2-1)/$L45))*$U45*((1+Inputs!$D$7)^AU$2))),(_xlfn.WEIBULL.DIST(AU$2,$M45,$L45,FALSE)*$U45*((1+Inputs!$D$7)^AU$2))),IF($N45=Lists!$K$3,IF($L45&lt;1,((($T45*(1-$F45)+$S45*(1-$G45))/$L45)*((1+Inputs!$D$7)^AU$2)),((INT(AU$2/$L45)-INT((AU$2-1)/$L45))*($T45*(1-$F45)+$S45*(1-$G45))*((1+Inputs!$D$7)^AU$2))),((_xlfn.WEIBULL.DIST(AU$2,$M45,$L45,FALSE)*($T45*(1-$F45)+$S45*(1-$G45))*((1+Inputs!$D$7)^AU$2))))))</f>
        <v>15.42717623154998</v>
      </c>
      <c r="AV45" s="88">
        <f>$E45*IF(AV$2&gt;Inputs!$D$5,0,IF(AV$2&gt;VLOOKUP($H45,Lists!$P$3:$Q$7,2),IF($N45=Lists!$K$3,IF($L45&lt;1,(($U45/$L45)*((1+Inputs!$D$7)^AV$2)),((INT(AV$2/$L45)-INT((AV$2-1)/$L45))*$U45*((1+Inputs!$D$7)^AV$2))),(_xlfn.WEIBULL.DIST(AV$2,$M45,$L45,FALSE)*$U45*((1+Inputs!$D$7)^AV$2))),IF($N45=Lists!$K$3,IF($L45&lt;1,((($T45*(1-$F45)+$S45*(1-$G45))/$L45)*((1+Inputs!$D$7)^AV$2)),((INT(AV$2/$L45)-INT((AV$2-1)/$L45))*($T45*(1-$F45)+$S45*(1-$G45))*((1+Inputs!$D$7)^AV$2))),((_xlfn.WEIBULL.DIST(AV$2,$M45,$L45,FALSE)*($T45*(1-$F45)+$S45*(1-$G45))*((1+Inputs!$D$7)^AV$2))))))</f>
        <v>14.968279647776551</v>
      </c>
      <c r="AW45" s="88">
        <f>$E45*IF(AW$2&gt;Inputs!$D$5,0,IF(AW$2&gt;VLOOKUP($H45,Lists!$P$3:$Q$7,2),IF($N45=Lists!$K$3,IF($L45&lt;1,(($U45/$L45)*((1+Inputs!$D$7)^AW$2)),((INT(AW$2/$L45)-INT((AW$2-1)/$L45))*$U45*((1+Inputs!$D$7)^AW$2))),(_xlfn.WEIBULL.DIST(AW$2,$M45,$L45,FALSE)*$U45*((1+Inputs!$D$7)^AW$2))),IF($N45=Lists!$K$3,IF($L45&lt;1,((($T45*(1-$F45)+$S45*(1-$G45))/$L45)*((1+Inputs!$D$7)^AW$2)),((INT(AW$2/$L45)-INT((AW$2-1)/$L45))*($T45*(1-$F45)+$S45*(1-$G45))*((1+Inputs!$D$7)^AW$2))),((_xlfn.WEIBULL.DIST(AW$2,$M45,$L45,FALSE)*($T45*(1-$F45)+$S45*(1-$G45))*((1+Inputs!$D$7)^AW$2))))))</f>
        <v>14.523033395822644</v>
      </c>
      <c r="AX45" s="88">
        <f>$E45*IF(AX$2&gt;Inputs!$D$5,0,IF(AX$2&gt;VLOOKUP($H45,Lists!$P$3:$Q$7,2),IF($N45=Lists!$K$3,IF($L45&lt;1,(($U45/$L45)*((1+Inputs!$D$7)^AX$2)),((INT(AX$2/$L45)-INT((AX$2-1)/$L45))*$U45*((1+Inputs!$D$7)^AX$2))),(_xlfn.WEIBULL.DIST(AX$2,$M45,$L45,FALSE)*$U45*((1+Inputs!$D$7)^AX$2))),IF($N45=Lists!$K$3,IF($L45&lt;1,((($T45*(1-$F45)+$S45*(1-$G45))/$L45)*((1+Inputs!$D$7)^AX$2)),((INT(AX$2/$L45)-INT((AX$2-1)/$L45))*($T45*(1-$F45)+$S45*(1-$G45))*((1+Inputs!$D$7)^AX$2))),((_xlfn.WEIBULL.DIST(AX$2,$M45,$L45,FALSE)*($T45*(1-$F45)+$S45*(1-$G45))*((1+Inputs!$D$7)^AX$2))))))</f>
        <v>14.091031433095285</v>
      </c>
      <c r="AY45" s="88">
        <f>$E45*IF(AY$2&gt;Inputs!$D$5,0,IF(AY$2&gt;VLOOKUP($H45,Lists!$P$3:$Q$7,2),IF($N45=Lists!$K$3,IF($L45&lt;1,(($U45/$L45)*((1+Inputs!$D$7)^AY$2)),((INT(AY$2/$L45)-INT((AY$2-1)/$L45))*$U45*((1+Inputs!$D$7)^AY$2))),(_xlfn.WEIBULL.DIST(AY$2,$M45,$L45,FALSE)*$U45*((1+Inputs!$D$7)^AY$2))),IF($N45=Lists!$K$3,IF($L45&lt;1,((($T45*(1-$F45)+$S45*(1-$G45))/$L45)*((1+Inputs!$D$7)^AY$2)),((INT(AY$2/$L45)-INT((AY$2-1)/$L45))*($T45*(1-$F45)+$S45*(1-$G45))*((1+Inputs!$D$7)^AY$2))),((_xlfn.WEIBULL.DIST(AY$2,$M45,$L45,FALSE)*($T45*(1-$F45)+$S45*(1-$G45))*((1+Inputs!$D$7)^AY$2))))))</f>
        <v>13.671879795139191</v>
      </c>
      <c r="AZ45" s="88">
        <f>$E45*IF(AZ$2&gt;Inputs!$D$5,0,IF(AZ$2&gt;VLOOKUP($H45,Lists!$P$3:$Q$7,2),IF($N45=Lists!$K$3,IF($L45&lt;1,(($U45/$L45)*((1+Inputs!$D$7)^AZ$2)),((INT(AZ$2/$L45)-INT((AZ$2-1)/$L45))*$U45*((1+Inputs!$D$7)^AZ$2))),(_xlfn.WEIBULL.DIST(AZ$2,$M45,$L45,FALSE)*$U45*((1+Inputs!$D$7)^AZ$2))),IF($N45=Lists!$K$3,IF($L45&lt;1,((($T45*(1-$F45)+$S45*(1-$G45))/$L45)*((1+Inputs!$D$7)^AZ$2)),((INT(AZ$2/$L45)-INT((AZ$2-1)/$L45))*($T45*(1-$F45)+$S45*(1-$G45))*((1+Inputs!$D$7)^AZ$2))),((_xlfn.WEIBULL.DIST(AZ$2,$M45,$L45,FALSE)*($T45*(1-$F45)+$S45*(1-$G45))*((1+Inputs!$D$7)^AZ$2))))))</f>
        <v>0</v>
      </c>
      <c r="BA45" s="88">
        <f>$E45*IF(BA$2&gt;Inputs!$D$5,0,IF(BA$2&gt;VLOOKUP($H45,Lists!$P$3:$Q$7,2),IF($N45=Lists!$K$3,IF($L45&lt;1,(($U45/$L45)*((1+Inputs!$D$7)^BA$2)),((INT(BA$2/$L45)-INT((BA$2-1)/$L45))*$U45*((1+Inputs!$D$7)^BA$2))),(_xlfn.WEIBULL.DIST(BA$2,$M45,$L45,FALSE)*$U45*((1+Inputs!$D$7)^BA$2))),IF($N45=Lists!$K$3,IF($L45&lt;1,((($T45*(1-$F45)+$S45*(1-$G45))/$L45)*((1+Inputs!$D$7)^BA$2)),((INT(BA$2/$L45)-INT((BA$2-1)/$L45))*($T45*(1-$F45)+$S45*(1-$G45))*((1+Inputs!$D$7)^BA$2))),((_xlfn.WEIBULL.DIST(BA$2,$M45,$L45,FALSE)*($T45*(1-$F45)+$S45*(1-$G45))*((1+Inputs!$D$7)^BA$2))))))</f>
        <v>0</v>
      </c>
      <c r="BB45" s="88">
        <f>$E45*IF(BB$2&gt;Inputs!$D$5,0,IF(BB$2&gt;VLOOKUP($H45,Lists!$P$3:$Q$7,2),IF($N45=Lists!$K$3,IF($L45&lt;1,(($U45/$L45)*((1+Inputs!$D$7)^BB$2)),((INT(BB$2/$L45)-INT((BB$2-1)/$L45))*$U45*((1+Inputs!$D$7)^BB$2))),(_xlfn.WEIBULL.DIST(BB$2,$M45,$L45,FALSE)*$U45*((1+Inputs!$D$7)^BB$2))),IF($N45=Lists!$K$3,IF($L45&lt;1,((($T45*(1-$F45)+$S45*(1-$G45))/$L45)*((1+Inputs!$D$7)^BB$2)),((INT(BB$2/$L45)-INT((BB$2-1)/$L45))*($T45*(1-$F45)+$S45*(1-$G45))*((1+Inputs!$D$7)^BB$2))),((_xlfn.WEIBULL.DIST(BB$2,$M45,$L45,FALSE)*($T45*(1-$F45)+$S45*(1-$G45))*((1+Inputs!$D$7)^BB$2))))))</f>
        <v>0</v>
      </c>
      <c r="BC45" s="88">
        <f>$E45*IF(BC$2&gt;Inputs!$D$5,0,IF(BC$2&gt;VLOOKUP($H45,Lists!$P$3:$Q$7,2),IF($N45=Lists!$K$3,IF($L45&lt;1,(($U45/$L45)*((1+Inputs!$D$7)^BC$2)),((INT(BC$2/$L45)-INT((BC$2-1)/$L45))*$U45*((1+Inputs!$D$7)^BC$2))),(_xlfn.WEIBULL.DIST(BC$2,$M45,$L45,FALSE)*$U45*((1+Inputs!$D$7)^BC$2))),IF($N45=Lists!$K$3,IF($L45&lt;1,((($T45*(1-$F45)+$S45*(1-$G45))/$L45)*((1+Inputs!$D$7)^BC$2)),((INT(BC$2/$L45)-INT((BC$2-1)/$L45))*($T45*(1-$F45)+$S45*(1-$G45))*((1+Inputs!$D$7)^BC$2))),((_xlfn.WEIBULL.DIST(BC$2,$M45,$L45,FALSE)*($T45*(1-$F45)+$S45*(1-$G45))*((1+Inputs!$D$7)^BC$2))))))</f>
        <v>0</v>
      </c>
      <c r="BD45" s="88">
        <f>$E45*IF(BD$2&gt;Inputs!$D$5,0,IF(BD$2&gt;VLOOKUP($H45,Lists!$P$3:$Q$7,2),IF($N45=Lists!$K$3,IF($L45&lt;1,(($U45/$L45)*((1+Inputs!$D$7)^BD$2)),((INT(BD$2/$L45)-INT((BD$2-1)/$L45))*$U45*((1+Inputs!$D$7)^BD$2))),(_xlfn.WEIBULL.DIST(BD$2,$M45,$L45,FALSE)*$U45*((1+Inputs!$D$7)^BD$2))),IF($N45=Lists!$K$3,IF($L45&lt;1,((($T45*(1-$F45)+$S45*(1-$G45))/$L45)*((1+Inputs!$D$7)^BD$2)),((INT(BD$2/$L45)-INT((BD$2-1)/$L45))*($T45*(1-$F45)+$S45*(1-$G45))*((1+Inputs!$D$7)^BD$2))),((_xlfn.WEIBULL.DIST(BD$2,$M45,$L45,FALSE)*($T45*(1-$F45)+$S45*(1-$G45))*((1+Inputs!$D$7)^BD$2))))))</f>
        <v>0</v>
      </c>
      <c r="BE45" s="88">
        <f>$E45*IF(BE$2&gt;Inputs!$D$5,0,IF(BE$2&gt;VLOOKUP($H45,Lists!$P$3:$Q$7,2),IF($N45=Lists!$K$3,IF($L45&lt;1,(($U45/$L45)*((1+Inputs!$D$7)^BE$2)),((INT(BE$2/$L45)-INT((BE$2-1)/$L45))*$U45*((1+Inputs!$D$7)^BE$2))),(_xlfn.WEIBULL.DIST(BE$2,$M45,$L45,FALSE)*$U45*((1+Inputs!$D$7)^BE$2))),IF($N45=Lists!$K$3,IF($L45&lt;1,((($T45*(1-$F45)+$S45*(1-$G45))/$L45)*((1+Inputs!$D$7)^BE$2)),((INT(BE$2/$L45)-INT((BE$2-1)/$L45))*($T45*(1-$F45)+$S45*(1-$G45))*((1+Inputs!$D$7)^BE$2))),((_xlfn.WEIBULL.DIST(BE$2,$M45,$L45,FALSE)*($T45*(1-$F45)+$S45*(1-$G45))*((1+Inputs!$D$7)^BE$2))))))</f>
        <v>0</v>
      </c>
      <c r="BF45" s="88">
        <f>$E45*IF(BF$2&gt;Inputs!$D$5,0,IF(BF$2&gt;VLOOKUP($H45,Lists!$P$3:$Q$7,2),IF($N45=Lists!$K$3,IF($L45&lt;1,(($U45/$L45)*((1+Inputs!$D$7)^BF$2)),((INT(BF$2/$L45)-INT((BF$2-1)/$L45))*$U45*((1+Inputs!$D$7)^BF$2))),(_xlfn.WEIBULL.DIST(BF$2,$M45,$L45,FALSE)*$U45*((1+Inputs!$D$7)^BF$2))),IF($N45=Lists!$K$3,IF($L45&lt;1,((($T45*(1-$F45)+$S45*(1-$G45))/$L45)*((1+Inputs!$D$7)^BF$2)),((INT(BF$2/$L45)-INT((BF$2-1)/$L45))*($T45*(1-$F45)+$S45*(1-$G45))*((1+Inputs!$D$7)^BF$2))),((_xlfn.WEIBULL.DIST(BF$2,$M45,$L45,FALSE)*($T45*(1-$F45)+$S45*(1-$G45))*((1+Inputs!$D$7)^BF$2))))))</f>
        <v>0</v>
      </c>
      <c r="BG45" s="88">
        <f>$E45*IF(BG$2&gt;Inputs!$D$5,0,IF(BG$2&gt;VLOOKUP($H45,Lists!$P$3:$Q$7,2),IF($N45=Lists!$K$3,IF($L45&lt;1,(($U45/$L45)*((1+Inputs!$D$7)^BG$2)),((INT(BG$2/$L45)-INT((BG$2-1)/$L45))*$U45*((1+Inputs!$D$7)^BG$2))),(_xlfn.WEIBULL.DIST(BG$2,$M45,$L45,FALSE)*$U45*((1+Inputs!$D$7)^BG$2))),IF($N45=Lists!$K$3,IF($L45&lt;1,((($T45*(1-$F45)+$S45*(1-$G45))/$L45)*((1+Inputs!$D$7)^BG$2)),((INT(BG$2/$L45)-INT((BG$2-1)/$L45))*($T45*(1-$F45)+$S45*(1-$G45))*((1+Inputs!$D$7)^BG$2))),((_xlfn.WEIBULL.DIST(BG$2,$M45,$L45,FALSE)*($T45*(1-$F45)+$S45*(1-$G45))*((1+Inputs!$D$7)^BG$2))))))</f>
        <v>0</v>
      </c>
      <c r="BH45" s="88">
        <f>$E45*IF(BH$2&gt;Inputs!$D$5,0,IF(BH$2&gt;VLOOKUP($H45,Lists!$P$3:$Q$7,2),IF($N45=Lists!$K$3,IF($L45&lt;1,(($U45/$L45)*((1+Inputs!$D$7)^BH$2)),((INT(BH$2/$L45)-INT((BH$2-1)/$L45))*$U45*((1+Inputs!$D$7)^BH$2))),(_xlfn.WEIBULL.DIST(BH$2,$M45,$L45,FALSE)*$U45*((1+Inputs!$D$7)^BH$2))),IF($N45=Lists!$K$3,IF($L45&lt;1,((($T45*(1-$F45)+$S45*(1-$G45))/$L45)*((1+Inputs!$D$7)^BH$2)),((INT(BH$2/$L45)-INT((BH$2-1)/$L45))*($T45*(1-$F45)+$S45*(1-$G45))*((1+Inputs!$D$7)^BH$2))),((_xlfn.WEIBULL.DIST(BH$2,$M45,$L45,FALSE)*($T45*(1-$F45)+$S45*(1-$G45))*((1+Inputs!$D$7)^BH$2))))))</f>
        <v>0</v>
      </c>
      <c r="BI45" s="88">
        <f>$E45*IF(BI$2&gt;Inputs!$D$5,0,IF(BI$2&gt;VLOOKUP($H45,Lists!$P$3:$Q$7,2),IF($N45=Lists!$K$3,IF($L45&lt;1,(($U45/$L45)*((1+Inputs!$D$7)^BI$2)),((INT(BI$2/$L45)-INT((BI$2-1)/$L45))*$U45*((1+Inputs!$D$7)^BI$2))),(_xlfn.WEIBULL.DIST(BI$2,$M45,$L45,FALSE)*$U45*((1+Inputs!$D$7)^BI$2))),IF($N45=Lists!$K$3,IF($L45&lt;1,((($T45*(1-$F45)+$S45*(1-$G45))/$L45)*((1+Inputs!$D$7)^BI$2)),((INT(BI$2/$L45)-INT((BI$2-1)/$L45))*($T45*(1-$F45)+$S45*(1-$G45))*((1+Inputs!$D$7)^BI$2))),((_xlfn.WEIBULL.DIST(BI$2,$M45,$L45,FALSE)*($T45*(1-$F45)+$S45*(1-$G45))*((1+Inputs!$D$7)^BI$2))))))</f>
        <v>0</v>
      </c>
      <c r="BJ45" s="88">
        <f>$E45*IF(BJ$2&gt;Inputs!$D$5,0,IF(BJ$2&gt;VLOOKUP($H45,Lists!$P$3:$Q$7,2),IF($N45=Lists!$K$3,IF($L45&lt;1,(($U45/$L45)*((1+Inputs!$D$7)^BJ$2)),((INT(BJ$2/$L45)-INT((BJ$2-1)/$L45))*$U45*((1+Inputs!$D$7)^BJ$2))),(_xlfn.WEIBULL.DIST(BJ$2,$M45,$L45,FALSE)*$U45*((1+Inputs!$D$7)^BJ$2))),IF($N45=Lists!$K$3,IF($L45&lt;1,((($T45*(1-$F45)+$S45*(1-$G45))/$L45)*((1+Inputs!$D$7)^BJ$2)),((INT(BJ$2/$L45)-INT((BJ$2-1)/$L45))*($T45*(1-$F45)+$S45*(1-$G45))*((1+Inputs!$D$7)^BJ$2))),((_xlfn.WEIBULL.DIST(BJ$2,$M45,$L45,FALSE)*($T45*(1-$F45)+$S45*(1-$G45))*((1+Inputs!$D$7)^BJ$2))))))</f>
        <v>0</v>
      </c>
      <c r="BK45" s="88">
        <f>$E45*IF(BK$2&gt;Inputs!$D$5,0,IF(BK$2&gt;VLOOKUP($H45,Lists!$P$3:$Q$7,2),IF($N45=Lists!$K$3,IF($L45&lt;1,(($U45/$L45)*((1+Inputs!$D$7)^BK$2)),((INT(BK$2/$L45)-INT((BK$2-1)/$L45))*$U45*((1+Inputs!$D$7)^BK$2))),(_xlfn.WEIBULL.DIST(BK$2,$M45,$L45,FALSE)*$U45*((1+Inputs!$D$7)^BK$2))),IF($N45=Lists!$K$3,IF($L45&lt;1,((($T45*(1-$F45)+$S45*(1-$G45))/$L45)*((1+Inputs!$D$7)^BK$2)),((INT(BK$2/$L45)-INT((BK$2-1)/$L45))*($T45*(1-$F45)+$S45*(1-$G45))*((1+Inputs!$D$7)^BK$2))),((_xlfn.WEIBULL.DIST(BK$2,$M45,$L45,FALSE)*($T45*(1-$F45)+$S45*(1-$G45))*((1+Inputs!$D$7)^BK$2))))))</f>
        <v>0</v>
      </c>
      <c r="BL45" s="88">
        <f>$E45*IF(BL$2&gt;Inputs!$D$5,0,IF(BL$2&gt;VLOOKUP($H45,Lists!$P$3:$Q$7,2),IF($N45=Lists!$K$3,IF($L45&lt;1,(($U45/$L45)*((1+Inputs!$D$7)^BL$2)),((INT(BL$2/$L45)-INT((BL$2-1)/$L45))*$U45*((1+Inputs!$D$7)^BL$2))),(_xlfn.WEIBULL.DIST(BL$2,$M45,$L45,FALSE)*$U45*((1+Inputs!$D$7)^BL$2))),IF($N45=Lists!$K$3,IF($L45&lt;1,((($T45*(1-$F45)+$S45*(1-$G45))/$L45)*((1+Inputs!$D$7)^BL$2)),((INT(BL$2/$L45)-INT((BL$2-1)/$L45))*($T45*(1-$F45)+$S45*(1-$G45))*((1+Inputs!$D$7)^BL$2))),((_xlfn.WEIBULL.DIST(BL$2,$M45,$L45,FALSE)*($T45*(1-$F45)+$S45*(1-$G45))*((1+Inputs!$D$7)^BL$2))))))</f>
        <v>0</v>
      </c>
      <c r="BM45" s="88">
        <f>$E45*IF(BM$2&gt;Inputs!$D$5,0,IF(BM$2&gt;VLOOKUP($H45,Lists!$P$3:$Q$7,2),IF($N45=Lists!$K$3,IF($L45&lt;1,(($U45/$L45)*((1+Inputs!$D$7)^BM$2)),((INT(BM$2/$L45)-INT((BM$2-1)/$L45))*$U45*((1+Inputs!$D$7)^BM$2))),(_xlfn.WEIBULL.DIST(BM$2,$M45,$L45,FALSE)*$U45*((1+Inputs!$D$7)^BM$2))),IF($N45=Lists!$K$3,IF($L45&lt;1,((($T45*(1-$F45)+$S45*(1-$G45))/$L45)*((1+Inputs!$D$7)^BM$2)),((INT(BM$2/$L45)-INT((BM$2-1)/$L45))*($T45*(1-$F45)+$S45*(1-$G45))*((1+Inputs!$D$7)^BM$2))),((_xlfn.WEIBULL.DIST(BM$2,$M45,$L45,FALSE)*($T45*(1-$F45)+$S45*(1-$G45))*((1+Inputs!$D$7)^BM$2))))))</f>
        <v>0</v>
      </c>
      <c r="BN45" s="88">
        <f>$E45*IF(BN$2&gt;Inputs!$D$5,0,IF(BN$2&gt;VLOOKUP($H45,Lists!$P$3:$Q$7,2),IF($N45=Lists!$K$3,IF($L45&lt;1,(($U45/$L45)*((1+Inputs!$D$7)^BN$2)),((INT(BN$2/$L45)-INT((BN$2-1)/$L45))*$U45*((1+Inputs!$D$7)^BN$2))),(_xlfn.WEIBULL.DIST(BN$2,$M45,$L45,FALSE)*$U45*((1+Inputs!$D$7)^BN$2))),IF($N45=Lists!$K$3,IF($L45&lt;1,((($T45*(1-$F45)+$S45*(1-$G45))/$L45)*((1+Inputs!$D$7)^BN$2)),((INT(BN$2/$L45)-INT((BN$2-1)/$L45))*($T45*(1-$F45)+$S45*(1-$G45))*((1+Inputs!$D$7)^BN$2))),((_xlfn.WEIBULL.DIST(BN$2,$M45,$L45,FALSE)*($T45*(1-$F45)+$S45*(1-$G45))*((1+Inputs!$D$7)^BN$2))))))</f>
        <v>0</v>
      </c>
      <c r="BO45" s="64">
        <f>NPV(Inputs!$D$6,BQ45:DD45)</f>
        <v>447.13636206528622</v>
      </c>
      <c r="BP45" s="67">
        <f t="shared" si="13"/>
        <v>2.108913378637233E-4</v>
      </c>
      <c r="BQ45" s="88">
        <f>MAX(AA45,($E45*IF(BQ$2&gt;Inputs!$D$5,0,IF(BQ$2&gt;VLOOKUP($H45,Lists!$P$3:$Q$7,2),IF($N45=Lists!$K$3,IF($L45&lt;1,(($U45/$L45)*((1+Inputs!$D$7)^BQ$2)),((INT(BQ$2/$L45)-INT((BQ$2-1)/$L45))*$U45*((1+Inputs!$D$7)^BQ$2))),(Inputs!$D$8^((1-_xlfn.WEIBULL.DIST(BQ$2,$M45,$L45,FALSE))/_xlfn.WEIBULL.DIST(BQ$2,$M45,$L45,FALSE))*$U45*((1+Inputs!$D$7)^BQ$2))),IF($N45=Lists!$K$3,IF($L45&lt;1,((($T45*(1-$F45)+$S45*(1-$G45))/$L45)*((1+Inputs!$D$7)^BQ$2)),((INT(BQ$2/$L45)-INT((BQ$2-1)/$L45))*($T45*(1-$F45)+$S45*(1-$G45))*((1+Inputs!$D$7)^BQ$2))),((Inputs!$D$8^((1-_xlfn.WEIBULL.DIST(BQ$2,$M45,$L45,FALSE))/_xlfn.WEIBULL.DIST(BQ$2,$M45,$L45,FALSE))*($T45*(1-$F45)+$S45*(1-$G45))*((1+Inputs!$D$7)^BQ$2))))))))</f>
        <v>63.71209577784137</v>
      </c>
      <c r="BR45" s="88">
        <f>MAX(AB45,($E45*IF(BR$2&gt;Inputs!$D$5,0,IF(BR$2&gt;VLOOKUP($H45,Lists!$P$3:$Q$7,2),IF($N45=Lists!$K$3,IF($L45&lt;1,(($U45/$L45)*((1+Inputs!$D$7)^BR$2)),((INT(BR$2/$L45)-INT((BR$2-1)/$L45))*$U45*((1+Inputs!$D$7)^BR$2))),(Inputs!$D$8^((1-_xlfn.WEIBULL.DIST(BR$2,$M45,$L45,FALSE))/_xlfn.WEIBULL.DIST(BR$2,$M45,$L45,FALSE))*$U45*((1+Inputs!$D$7)^BR$2))),IF($N45=Lists!$K$3,IF($L45&lt;1,((($T45*(1-$F45)+$S45*(1-$G45))/$L45)*((1+Inputs!$D$7)^BR$2)),((INT(BR$2/$L45)-INT((BR$2-1)/$L45))*($T45*(1-$F45)+$S45*(1-$G45))*((1+Inputs!$D$7)^BR$2))),((Inputs!$D$8^((1-_xlfn.WEIBULL.DIST(BR$2,$M45,$L45,FALSE))/_xlfn.WEIBULL.DIST(BR$2,$M45,$L45,FALSE))*($T45*(1-$F45)+$S45*(1-$G45))*((1+Inputs!$D$7)^BR$2))))))))</f>
        <v>59.399866647445343</v>
      </c>
      <c r="BS45" s="88">
        <f>MAX(AC45,($E45*IF(BS$2&gt;Inputs!$D$5,0,IF(BS$2&gt;VLOOKUP($H45,Lists!$P$3:$Q$7,2),IF($N45=Lists!$K$3,IF($L45&lt;1,(($U45/$L45)*((1+Inputs!$D$7)^BS$2)),((INT(BS$2/$L45)-INT((BS$2-1)/$L45))*$U45*((1+Inputs!$D$7)^BS$2))),(Inputs!$D$8^((1-_xlfn.WEIBULL.DIST(BS$2,$M45,$L45,FALSE))/_xlfn.WEIBULL.DIST(BS$2,$M45,$L45,FALSE))*$U45*((1+Inputs!$D$7)^BS$2))),IF($N45=Lists!$K$3,IF($L45&lt;1,((($T45*(1-$F45)+$S45*(1-$G45))/$L45)*((1+Inputs!$D$7)^BS$2)),((INT(BS$2/$L45)-INT((BS$2-1)/$L45))*($T45*(1-$F45)+$S45*(1-$G45))*((1+Inputs!$D$7)^BS$2))),((Inputs!$D$8^((1-_xlfn.WEIBULL.DIST(BS$2,$M45,$L45,FALSE))/_xlfn.WEIBULL.DIST(BS$2,$M45,$L45,FALSE))*($T45*(1-$F45)+$S45*(1-$G45))*((1+Inputs!$D$7)^BS$2))))))))</f>
        <v>55.124872736107534</v>
      </c>
      <c r="BT45" s="88">
        <f>MAX(AD45,($E45*IF(BT$2&gt;Inputs!$D$5,0,IF(BT$2&gt;VLOOKUP($H45,Lists!$P$3:$Q$7,2),IF($N45=Lists!$K$3,IF($L45&lt;1,(($U45/$L45)*((1+Inputs!$D$7)^BT$2)),((INT(BT$2/$L45)-INT((BT$2-1)/$L45))*$U45*((1+Inputs!$D$7)^BT$2))),(Inputs!$D$8^((1-_xlfn.WEIBULL.DIST(BT$2,$M45,$L45,FALSE))/_xlfn.WEIBULL.DIST(BT$2,$M45,$L45,FALSE))*$U45*((1+Inputs!$D$7)^BT$2))),IF($N45=Lists!$K$3,IF($L45&lt;1,((($T45*(1-$F45)+$S45*(1-$G45))/$L45)*((1+Inputs!$D$7)^BT$2)),((INT(BT$2/$L45)-INT((BT$2-1)/$L45))*($T45*(1-$F45)+$S45*(1-$G45))*((1+Inputs!$D$7)^BT$2))),((Inputs!$D$8^((1-_xlfn.WEIBULL.DIST(BT$2,$M45,$L45,FALSE))/_xlfn.WEIBULL.DIST(BT$2,$M45,$L45,FALSE))*($T45*(1-$F45)+$S45*(1-$G45))*((1+Inputs!$D$7)^BT$2))))))))</f>
        <v>50.9103009465884</v>
      </c>
      <c r="BU45" s="88">
        <f>MAX(AE45,($E45*IF(BU$2&gt;Inputs!$D$5,0,IF(BU$2&gt;VLOOKUP($H45,Lists!$P$3:$Q$7,2),IF($N45=Lists!$K$3,IF($L45&lt;1,(($U45/$L45)*((1+Inputs!$D$7)^BU$2)),((INT(BU$2/$L45)-INT((BU$2-1)/$L45))*$U45*((1+Inputs!$D$7)^BU$2))),(Inputs!$D$8^((1-_xlfn.WEIBULL.DIST(BU$2,$M45,$L45,FALSE))/_xlfn.WEIBULL.DIST(BU$2,$M45,$L45,FALSE))*$U45*((1+Inputs!$D$7)^BU$2))),IF($N45=Lists!$K$3,IF($L45&lt;1,((($T45*(1-$F45)+$S45*(1-$G45))/$L45)*((1+Inputs!$D$7)^BU$2)),((INT(BU$2/$L45)-INT((BU$2-1)/$L45))*($T45*(1-$F45)+$S45*(1-$G45))*((1+Inputs!$D$7)^BU$2))),((Inputs!$D$8^((1-_xlfn.WEIBULL.DIST(BU$2,$M45,$L45,FALSE))/_xlfn.WEIBULL.DIST(BU$2,$M45,$L45,FALSE))*($T45*(1-$F45)+$S45*(1-$G45))*((1+Inputs!$D$7)^BU$2))))))))</f>
        <v>46.779091770476576</v>
      </c>
      <c r="BV45" s="88">
        <f>MAX(AF45,($E45*IF(BV$2&gt;Inputs!$D$5,0,IF(BV$2&gt;VLOOKUP($H45,Lists!$P$3:$Q$7,2),IF($N45=Lists!$K$3,IF($L45&lt;1,(($U45/$L45)*((1+Inputs!$D$7)^BV$2)),((INT(BV$2/$L45)-INT((BV$2-1)/$L45))*$U45*((1+Inputs!$D$7)^BV$2))),(Inputs!$D$8^((1-_xlfn.WEIBULL.DIST(BV$2,$M45,$L45,FALSE))/_xlfn.WEIBULL.DIST(BV$2,$M45,$L45,FALSE))*$U45*((1+Inputs!$D$7)^BV$2))),IF($N45=Lists!$K$3,IF($L45&lt;1,((($T45*(1-$F45)+$S45*(1-$G45))/$L45)*((1+Inputs!$D$7)^BV$2)),((INT(BV$2/$L45)-INT((BV$2-1)/$L45))*($T45*(1-$F45)+$S45*(1-$G45))*((1+Inputs!$D$7)^BV$2))),((Inputs!$D$8^((1-_xlfn.WEIBULL.DIST(BV$2,$M45,$L45,FALSE))/_xlfn.WEIBULL.DIST(BV$2,$M45,$L45,FALSE))*($T45*(1-$F45)+$S45*(1-$G45))*((1+Inputs!$D$7)^BV$2))))))))</f>
        <v>42.753586742363382</v>
      </c>
      <c r="BW45" s="88">
        <f>MAX(AG45,($E45*IF(BW$2&gt;Inputs!$D$5,0,IF(BW$2&gt;VLOOKUP($H45,Lists!$P$3:$Q$7,2),IF($N45=Lists!$K$3,IF($L45&lt;1,(($U45/$L45)*((1+Inputs!$D$7)^BW$2)),((INT(BW$2/$L45)-INT((BW$2-1)/$L45))*$U45*((1+Inputs!$D$7)^BW$2))),(Inputs!$D$8^((1-_xlfn.WEIBULL.DIST(BW$2,$M45,$L45,FALSE))/_xlfn.WEIBULL.DIST(BW$2,$M45,$L45,FALSE))*$U45*((1+Inputs!$D$7)^BW$2))),IF($N45=Lists!$K$3,IF($L45&lt;1,((($T45*(1-$F45)+$S45*(1-$G45))/$L45)*((1+Inputs!$D$7)^BW$2)),((INT(BW$2/$L45)-INT((BW$2-1)/$L45))*($T45*(1-$F45)+$S45*(1-$G45))*((1+Inputs!$D$7)^BW$2))),((Inputs!$D$8^((1-_xlfn.WEIBULL.DIST(BW$2,$M45,$L45,FALSE))/_xlfn.WEIBULL.DIST(BW$2,$M45,$L45,FALSE))*($T45*(1-$F45)+$S45*(1-$G45))*((1+Inputs!$D$7)^BW$2))))))))</f>
        <v>38.855164253299677</v>
      </c>
      <c r="BX45" s="88">
        <f>MAX(AH45,($E45*IF(BX$2&gt;Inputs!$D$5,0,IF(BX$2&gt;VLOOKUP($H45,Lists!$P$3:$Q$7,2),IF($N45=Lists!$K$3,IF($L45&lt;1,(($U45/$L45)*((1+Inputs!$D$7)^BX$2)),((INT(BX$2/$L45)-INT((BX$2-1)/$L45))*$U45*((1+Inputs!$D$7)^BX$2))),(Inputs!$D$8^((1-_xlfn.WEIBULL.DIST(BX$2,$M45,$L45,FALSE))/_xlfn.WEIBULL.DIST(BX$2,$M45,$L45,FALSE))*$U45*((1+Inputs!$D$7)^BX$2))),IF($N45=Lists!$K$3,IF($L45&lt;1,((($T45*(1-$F45)+$S45*(1-$G45))/$L45)*((1+Inputs!$D$7)^BX$2)),((INT(BX$2/$L45)-INT((BX$2-1)/$L45))*($T45*(1-$F45)+$S45*(1-$G45))*((1+Inputs!$D$7)^BX$2))),((Inputs!$D$8^((1-_xlfn.WEIBULL.DIST(BX$2,$M45,$L45,FALSE))/_xlfn.WEIBULL.DIST(BX$2,$M45,$L45,FALSE))*($T45*(1-$F45)+$S45*(1-$G45))*((1+Inputs!$D$7)^BX$2))))))))</f>
        <v>35.103872790597485</v>
      </c>
      <c r="BY45" s="88">
        <f>MAX(AI45,($E45*IF(BY$2&gt;Inputs!$D$5,0,IF(BY$2&gt;VLOOKUP($H45,Lists!$P$3:$Q$7,2),IF($N45=Lists!$K$3,IF($L45&lt;1,(($U45/$L45)*((1+Inputs!$D$7)^BY$2)),((INT(BY$2/$L45)-INT((BY$2-1)/$L45))*$U45*((1+Inputs!$D$7)^BY$2))),(Inputs!$D$8^((1-_xlfn.WEIBULL.DIST(BY$2,$M45,$L45,FALSE))/_xlfn.WEIBULL.DIST(BY$2,$M45,$L45,FALSE))*$U45*((1+Inputs!$D$7)^BY$2))),IF($N45=Lists!$K$3,IF($L45&lt;1,((($T45*(1-$F45)+$S45*(1-$G45))/$L45)*((1+Inputs!$D$7)^BY$2)),((INT(BY$2/$L45)-INT((BY$2-1)/$L45))*($T45*(1-$F45)+$S45*(1-$G45))*((1+Inputs!$D$7)^BY$2))),((Inputs!$D$8^((1-_xlfn.WEIBULL.DIST(BY$2,$M45,$L45,FALSE))/_xlfn.WEIBULL.DIST(BY$2,$M45,$L45,FALSE))*($T45*(1-$F45)+$S45*(1-$G45))*((1+Inputs!$D$7)^BY$2))))))))</f>
        <v>31.518071873258709</v>
      </c>
      <c r="BZ45" s="88">
        <f>MAX(AJ45,($E45*IF(BZ$2&gt;Inputs!$D$5,0,IF(BZ$2&gt;VLOOKUP($H45,Lists!$P$3:$Q$7,2),IF($N45=Lists!$K$3,IF($L45&lt;1,(($U45/$L45)*((1+Inputs!$D$7)^BZ$2)),((INT(BZ$2/$L45)-INT((BZ$2-1)/$L45))*$U45*((1+Inputs!$D$7)^BZ$2))),(Inputs!$D$8^((1-_xlfn.WEIBULL.DIST(BZ$2,$M45,$L45,FALSE))/_xlfn.WEIBULL.DIST(BZ$2,$M45,$L45,FALSE))*$U45*((1+Inputs!$D$7)^BZ$2))),IF($N45=Lists!$K$3,IF($L45&lt;1,((($T45*(1-$F45)+$S45*(1-$G45))/$L45)*((1+Inputs!$D$7)^BZ$2)),((INT(BZ$2/$L45)-INT((BZ$2-1)/$L45))*($T45*(1-$F45)+$S45*(1-$G45))*((1+Inputs!$D$7)^BZ$2))),((Inputs!$D$8^((1-_xlfn.WEIBULL.DIST(BZ$2,$M45,$L45,FALSE))/_xlfn.WEIBULL.DIST(BZ$2,$M45,$L45,FALSE))*($T45*(1-$F45)+$S45*(1-$G45))*((1+Inputs!$D$7)^BZ$2))))))))</f>
        <v>28.114091876957563</v>
      </c>
      <c r="CA45" s="88">
        <f>MAX(AK45,($E45*IF(CA$2&gt;Inputs!$D$5,0,IF(CA$2&gt;VLOOKUP($H45,Lists!$P$3:$Q$7,2),IF($N45=Lists!$K$3,IF($L45&lt;1,(($U45/$L45)*((1+Inputs!$D$7)^CA$2)),((INT(CA$2/$L45)-INT((CA$2-1)/$L45))*$U45*((1+Inputs!$D$7)^CA$2))),(Inputs!$D$8^((1-_xlfn.WEIBULL.DIST(CA$2,$M45,$L45,FALSE))/_xlfn.WEIBULL.DIST(CA$2,$M45,$L45,FALSE))*$U45*((1+Inputs!$D$7)^CA$2))),IF($N45=Lists!$K$3,IF($L45&lt;1,((($T45*(1-$F45)+$S45*(1-$G45))/$L45)*((1+Inputs!$D$7)^CA$2)),((INT(CA$2/$L45)-INT((CA$2-1)/$L45))*($T45*(1-$F45)+$S45*(1-$G45))*((1+Inputs!$D$7)^CA$2))),((Inputs!$D$8^((1-_xlfn.WEIBULL.DIST(CA$2,$M45,$L45,FALSE))/_xlfn.WEIBULL.DIST(CA$2,$M45,$L45,FALSE))*($T45*(1-$F45)+$S45*(1-$G45))*((1+Inputs!$D$7)^CA$2))))))))</f>
        <v>43.675606715017317</v>
      </c>
      <c r="CB45" s="88">
        <f>MAX(AL45,($E45*IF(CB$2&gt;Inputs!$D$5,0,IF(CB$2&gt;VLOOKUP($H45,Lists!$P$3:$Q$7,2),IF($N45=Lists!$K$3,IF($L45&lt;1,(($U45/$L45)*((1+Inputs!$D$7)^CB$2)),((INT(CB$2/$L45)-INT((CB$2-1)/$L45))*$U45*((1+Inputs!$D$7)^CB$2))),(Inputs!$D$8^((1-_xlfn.WEIBULL.DIST(CB$2,$M45,$L45,FALSE))/_xlfn.WEIBULL.DIST(CB$2,$M45,$L45,FALSE))*$U45*((1+Inputs!$D$7)^CB$2))),IF($N45=Lists!$K$3,IF($L45&lt;1,((($T45*(1-$F45)+$S45*(1-$G45))/$L45)*((1+Inputs!$D$7)^CB$2)),((INT(CB$2/$L45)-INT((CB$2-1)/$L45))*($T45*(1-$F45)+$S45*(1-$G45))*((1+Inputs!$D$7)^CB$2))),((Inputs!$D$8^((1-_xlfn.WEIBULL.DIST(CB$2,$M45,$L45,FALSE))/_xlfn.WEIBULL.DIST(CB$2,$M45,$L45,FALSE))*($T45*(1-$F45)+$S45*(1-$G45))*((1+Inputs!$D$7)^CB$2))))))))</f>
        <v>38.413038117608991</v>
      </c>
      <c r="CC45" s="88">
        <f>MAX(AM45,($E45*IF(CC$2&gt;Inputs!$D$5,0,IF(CC$2&gt;VLOOKUP($H45,Lists!$P$3:$Q$7,2),IF($N45=Lists!$K$3,IF($L45&lt;1,(($U45/$L45)*((1+Inputs!$D$7)^CC$2)),((INT(CC$2/$L45)-INT((CC$2-1)/$L45))*$U45*((1+Inputs!$D$7)^CC$2))),(Inputs!$D$8^((1-_xlfn.WEIBULL.DIST(CC$2,$M45,$L45,FALSE))/_xlfn.WEIBULL.DIST(CC$2,$M45,$L45,FALSE))*$U45*((1+Inputs!$D$7)^CC$2))),IF($N45=Lists!$K$3,IF($L45&lt;1,((($T45*(1-$F45)+$S45*(1-$G45))/$L45)*((1+Inputs!$D$7)^CC$2)),((INT(CC$2/$L45)-INT((CC$2-1)/$L45))*($T45*(1-$F45)+$S45*(1-$G45))*((1+Inputs!$D$7)^CC$2))),((Inputs!$D$8^((1-_xlfn.WEIBULL.DIST(CC$2,$M45,$L45,FALSE))/_xlfn.WEIBULL.DIST(CC$2,$M45,$L45,FALSE))*($T45*(1-$F45)+$S45*(1-$G45))*((1+Inputs!$D$7)^CC$2))))))))</f>
        <v>33.528840618241617</v>
      </c>
      <c r="CD45" s="88">
        <f>MAX(AN45,($E45*IF(CD$2&gt;Inputs!$D$5,0,IF(CD$2&gt;VLOOKUP($H45,Lists!$P$3:$Q$7,2),IF($N45=Lists!$K$3,IF($L45&lt;1,(($U45/$L45)*((1+Inputs!$D$7)^CD$2)),((INT(CD$2/$L45)-INT((CD$2-1)/$L45))*$U45*((1+Inputs!$D$7)^CD$2))),(Inputs!$D$8^((1-_xlfn.WEIBULL.DIST(CD$2,$M45,$L45,FALSE))/_xlfn.WEIBULL.DIST(CD$2,$M45,$L45,FALSE))*$U45*((1+Inputs!$D$7)^CD$2))),IF($N45=Lists!$K$3,IF($L45&lt;1,((($T45*(1-$F45)+$S45*(1-$G45))/$L45)*((1+Inputs!$D$7)^CD$2)),((INT(CD$2/$L45)-INT((CD$2-1)/$L45))*($T45*(1-$F45)+$S45*(1-$G45))*((1+Inputs!$D$7)^CD$2))),((Inputs!$D$8^((1-_xlfn.WEIBULL.DIST(CD$2,$M45,$L45,FALSE))/_xlfn.WEIBULL.DIST(CD$2,$M45,$L45,FALSE))*($T45*(1-$F45)+$S45*(1-$G45))*((1+Inputs!$D$7)^CD$2))))))))</f>
        <v>29.032831806795414</v>
      </c>
      <c r="CE45" s="88">
        <f>MAX(AO45,($E45*IF(CE$2&gt;Inputs!$D$5,0,IF(CE$2&gt;VLOOKUP($H45,Lists!$P$3:$Q$7,2),IF($N45=Lists!$K$3,IF($L45&lt;1,(($U45/$L45)*((1+Inputs!$D$7)^CE$2)),((INT(CE$2/$L45)-INT((CE$2-1)/$L45))*$U45*((1+Inputs!$D$7)^CE$2))),(Inputs!$D$8^((1-_xlfn.WEIBULL.DIST(CE$2,$M45,$L45,FALSE))/_xlfn.WEIBULL.DIST(CE$2,$M45,$L45,FALSE))*$U45*((1+Inputs!$D$7)^CE$2))),IF($N45=Lists!$K$3,IF($L45&lt;1,((($T45*(1-$F45)+$S45*(1-$G45))/$L45)*((1+Inputs!$D$7)^CE$2)),((INT(CE$2/$L45)-INT((CE$2-1)/$L45))*($T45*(1-$F45)+$S45*(1-$G45))*((1+Inputs!$D$7)^CE$2))),((Inputs!$D$8^((1-_xlfn.WEIBULL.DIST(CE$2,$M45,$L45,FALSE))/_xlfn.WEIBULL.DIST(CE$2,$M45,$L45,FALSE))*($T45*(1-$F45)+$S45*(1-$G45))*((1+Inputs!$D$7)^CE$2))))))))</f>
        <v>24.929489327657343</v>
      </c>
      <c r="CF45" s="88">
        <f>MAX(AP45,($E45*IF(CF$2&gt;Inputs!$D$5,0,IF(CF$2&gt;VLOOKUP($H45,Lists!$P$3:$Q$7,2),IF($N45=Lists!$K$3,IF($L45&lt;1,(($U45/$L45)*((1+Inputs!$D$7)^CF$2)),((INT(CF$2/$L45)-INT((CF$2-1)/$L45))*$U45*((1+Inputs!$D$7)^CF$2))),(Inputs!$D$8^((1-_xlfn.WEIBULL.DIST(CF$2,$M45,$L45,FALSE))/_xlfn.WEIBULL.DIST(CF$2,$M45,$L45,FALSE))*$U45*((1+Inputs!$D$7)^CF$2))),IF($N45=Lists!$K$3,IF($L45&lt;1,((($T45*(1-$F45)+$S45*(1-$G45))/$L45)*((1+Inputs!$D$7)^CF$2)),((INT(CF$2/$L45)-INT((CF$2-1)/$L45))*($T45*(1-$F45)+$S45*(1-$G45))*((1+Inputs!$D$7)^CF$2))),((Inputs!$D$8^((1-_xlfn.WEIBULL.DIST(CF$2,$M45,$L45,FALSE))/_xlfn.WEIBULL.DIST(CF$2,$M45,$L45,FALSE))*($T45*(1-$F45)+$S45*(1-$G45))*((1+Inputs!$D$7)^CF$2))))))))</f>
        <v>21.217954274626507</v>
      </c>
      <c r="CG45" s="88">
        <f>MAX(AQ45,($E45*IF(CG$2&gt;Inputs!$D$5,0,IF(CG$2&gt;VLOOKUP($H45,Lists!$P$3:$Q$7,2),IF($N45=Lists!$K$3,IF($L45&lt;1,(($U45/$L45)*((1+Inputs!$D$7)^CG$2)),((INT(CG$2/$L45)-INT((CG$2-1)/$L45))*$U45*((1+Inputs!$D$7)^CG$2))),(Inputs!$D$8^((1-_xlfn.WEIBULL.DIST(CG$2,$M45,$L45,FALSE))/_xlfn.WEIBULL.DIST(CG$2,$M45,$L45,FALSE))*$U45*((1+Inputs!$D$7)^CG$2))),IF($N45=Lists!$K$3,IF($L45&lt;1,((($T45*(1-$F45)+$S45*(1-$G45))/$L45)*((1+Inputs!$D$7)^CG$2)),((INT(CG$2/$L45)-INT((CG$2-1)/$L45))*($T45*(1-$F45)+$S45*(1-$G45))*((1+Inputs!$D$7)^CG$2))),((Inputs!$D$8^((1-_xlfn.WEIBULL.DIST(CG$2,$M45,$L45,FALSE))/_xlfn.WEIBULL.DIST(CG$2,$M45,$L45,FALSE))*($T45*(1-$F45)+$S45*(1-$G45))*((1+Inputs!$D$7)^CG$2))))))))</f>
        <v>17.892178116204068</v>
      </c>
      <c r="CH45" s="88">
        <f>MAX(AR45,($E45*IF(CH$2&gt;Inputs!$D$5,0,IF(CH$2&gt;VLOOKUP($H45,Lists!$P$3:$Q$7,2),IF($N45=Lists!$K$3,IF($L45&lt;1,(($U45/$L45)*((1+Inputs!$D$7)^CH$2)),((INT(CH$2/$L45)-INT((CH$2-1)/$L45))*$U45*((1+Inputs!$D$7)^CH$2))),(Inputs!$D$8^((1-_xlfn.WEIBULL.DIST(CH$2,$M45,$L45,FALSE))/_xlfn.WEIBULL.DIST(CH$2,$M45,$L45,FALSE))*$U45*((1+Inputs!$D$7)^CH$2))),IF($N45=Lists!$K$3,IF($L45&lt;1,((($T45*(1-$F45)+$S45*(1-$G45))/$L45)*((1+Inputs!$D$7)^CH$2)),((INT(CH$2/$L45)-INT((CH$2-1)/$L45))*($T45*(1-$F45)+$S45*(1-$G45))*((1+Inputs!$D$7)^CH$2))),((Inputs!$D$8^((1-_xlfn.WEIBULL.DIST(CH$2,$M45,$L45,FALSE))/_xlfn.WEIBULL.DIST(CH$2,$M45,$L45,FALSE))*($T45*(1-$F45)+$S45*(1-$G45))*((1+Inputs!$D$7)^CH$2))))))))</f>
        <v>16.89001742770375</v>
      </c>
      <c r="CI45" s="88">
        <f>MAX(AS45,($E45*IF(CI$2&gt;Inputs!$D$5,0,IF(CI$2&gt;VLOOKUP($H45,Lists!$P$3:$Q$7,2),IF($N45=Lists!$K$3,IF($L45&lt;1,(($U45/$L45)*((1+Inputs!$D$7)^CI$2)),((INT(CI$2/$L45)-INT((CI$2-1)/$L45))*$U45*((1+Inputs!$D$7)^CI$2))),(Inputs!$D$8^((1-_xlfn.WEIBULL.DIST(CI$2,$M45,$L45,FALSE))/_xlfn.WEIBULL.DIST(CI$2,$M45,$L45,FALSE))*$U45*((1+Inputs!$D$7)^CI$2))),IF($N45=Lists!$K$3,IF($L45&lt;1,((($T45*(1-$F45)+$S45*(1-$G45))/$L45)*((1+Inputs!$D$7)^CI$2)),((INT(CI$2/$L45)-INT((CI$2-1)/$L45))*($T45*(1-$F45)+$S45*(1-$G45))*((1+Inputs!$D$7)^CI$2))),((Inputs!$D$8^((1-_xlfn.WEIBULL.DIST(CI$2,$M45,$L45,FALSE))/_xlfn.WEIBULL.DIST(CI$2,$M45,$L45,FALSE))*($T45*(1-$F45)+$S45*(1-$G45))*((1+Inputs!$D$7)^CI$2))))))))</f>
        <v>16.387607188712902</v>
      </c>
      <c r="CJ45" s="88">
        <f>MAX(AT45,($E45*IF(CJ$2&gt;Inputs!$D$5,0,IF(CJ$2&gt;VLOOKUP($H45,Lists!$P$3:$Q$7,2),IF($N45=Lists!$K$3,IF($L45&lt;1,(($U45/$L45)*((1+Inputs!$D$7)^CJ$2)),((INT(CJ$2/$L45)-INT((CJ$2-1)/$L45))*$U45*((1+Inputs!$D$7)^CJ$2))),(Inputs!$D$8^((1-_xlfn.WEIBULL.DIST(CJ$2,$M45,$L45,FALSE))/_xlfn.WEIBULL.DIST(CJ$2,$M45,$L45,FALSE))*$U45*((1+Inputs!$D$7)^CJ$2))),IF($N45=Lists!$K$3,IF($L45&lt;1,((($T45*(1-$F45)+$S45*(1-$G45))/$L45)*((1+Inputs!$D$7)^CJ$2)),((INT(CJ$2/$L45)-INT((CJ$2-1)/$L45))*($T45*(1-$F45)+$S45*(1-$G45))*((1+Inputs!$D$7)^CJ$2))),((Inputs!$D$8^((1-_xlfn.WEIBULL.DIST(CJ$2,$M45,$L45,FALSE))/_xlfn.WEIBULL.DIST(CJ$2,$M45,$L45,FALSE))*($T45*(1-$F45)+$S45*(1-$G45))*((1+Inputs!$D$7)^CJ$2))))))))</f>
        <v>15.900141638164403</v>
      </c>
      <c r="CK45" s="88">
        <f>MAX(AU45,($E45*IF(CK$2&gt;Inputs!$D$5,0,IF(CK$2&gt;VLOOKUP($H45,Lists!$P$3:$Q$7,2),IF($N45=Lists!$K$3,IF($L45&lt;1,(($U45/$L45)*((1+Inputs!$D$7)^CK$2)),((INT(CK$2/$L45)-INT((CK$2-1)/$L45))*$U45*((1+Inputs!$D$7)^CK$2))),(Inputs!$D$8^((1-_xlfn.WEIBULL.DIST(CK$2,$M45,$L45,FALSE))/_xlfn.WEIBULL.DIST(CK$2,$M45,$L45,FALSE))*$U45*((1+Inputs!$D$7)^CK$2))),IF($N45=Lists!$K$3,IF($L45&lt;1,((($T45*(1-$F45)+$S45*(1-$G45))/$L45)*((1+Inputs!$D$7)^CK$2)),((INT(CK$2/$L45)-INT((CK$2-1)/$L45))*($T45*(1-$F45)+$S45*(1-$G45))*((1+Inputs!$D$7)^CK$2))),((Inputs!$D$8^((1-_xlfn.WEIBULL.DIST(CK$2,$M45,$L45,FALSE))/_xlfn.WEIBULL.DIST(CK$2,$M45,$L45,FALSE))*($T45*(1-$F45)+$S45*(1-$G45))*((1+Inputs!$D$7)^CK$2))))))))</f>
        <v>15.42717623154998</v>
      </c>
      <c r="CL45" s="88">
        <f>MAX(AV45,($E45*IF(CL$2&gt;Inputs!$D$5,0,IF(CL$2&gt;VLOOKUP($H45,Lists!$P$3:$Q$7,2),IF($N45=Lists!$K$3,IF($L45&lt;1,(($U45/$L45)*((1+Inputs!$D$7)^CL$2)),((INT(CL$2/$L45)-INT((CL$2-1)/$L45))*$U45*((1+Inputs!$D$7)^CL$2))),(Inputs!$D$8^((1-_xlfn.WEIBULL.DIST(CL$2,$M45,$L45,FALSE))/_xlfn.WEIBULL.DIST(CL$2,$M45,$L45,FALSE))*$U45*((1+Inputs!$D$7)^CL$2))),IF($N45=Lists!$K$3,IF($L45&lt;1,((($T45*(1-$F45)+$S45*(1-$G45))/$L45)*((1+Inputs!$D$7)^CL$2)),((INT(CL$2/$L45)-INT((CL$2-1)/$L45))*($T45*(1-$F45)+$S45*(1-$G45))*((1+Inputs!$D$7)^CL$2))),((Inputs!$D$8^((1-_xlfn.WEIBULL.DIST(CL$2,$M45,$L45,FALSE))/_xlfn.WEIBULL.DIST(CL$2,$M45,$L45,FALSE))*($T45*(1-$F45)+$S45*(1-$G45))*((1+Inputs!$D$7)^CL$2))))))))</f>
        <v>14.968279647776551</v>
      </c>
      <c r="CM45" s="88">
        <f>MAX(AW45,($E45*IF(CM$2&gt;Inputs!$D$5,0,IF(CM$2&gt;VLOOKUP($H45,Lists!$P$3:$Q$7,2),IF($N45=Lists!$K$3,IF($L45&lt;1,(($U45/$L45)*((1+Inputs!$D$7)^CM$2)),((INT(CM$2/$L45)-INT((CM$2-1)/$L45))*$U45*((1+Inputs!$D$7)^CM$2))),(Inputs!$D$8^((1-_xlfn.WEIBULL.DIST(CM$2,$M45,$L45,FALSE))/_xlfn.WEIBULL.DIST(CM$2,$M45,$L45,FALSE))*$U45*((1+Inputs!$D$7)^CM$2))),IF($N45=Lists!$K$3,IF($L45&lt;1,((($T45*(1-$F45)+$S45*(1-$G45))/$L45)*((1+Inputs!$D$7)^CM$2)),((INT(CM$2/$L45)-INT((CM$2-1)/$L45))*($T45*(1-$F45)+$S45*(1-$G45))*((1+Inputs!$D$7)^CM$2))),((Inputs!$D$8^((1-_xlfn.WEIBULL.DIST(CM$2,$M45,$L45,FALSE))/_xlfn.WEIBULL.DIST(CM$2,$M45,$L45,FALSE))*($T45*(1-$F45)+$S45*(1-$G45))*((1+Inputs!$D$7)^CM$2))))))))</f>
        <v>14.523033395822644</v>
      </c>
      <c r="CN45" s="88">
        <f>MAX(AX45,($E45*IF(CN$2&gt;Inputs!$D$5,0,IF(CN$2&gt;VLOOKUP($H45,Lists!$P$3:$Q$7,2),IF($N45=Lists!$K$3,IF($L45&lt;1,(($U45/$L45)*((1+Inputs!$D$7)^CN$2)),((INT(CN$2/$L45)-INT((CN$2-1)/$L45))*$U45*((1+Inputs!$D$7)^CN$2))),(Inputs!$D$8^((1-_xlfn.WEIBULL.DIST(CN$2,$M45,$L45,FALSE))/_xlfn.WEIBULL.DIST(CN$2,$M45,$L45,FALSE))*$U45*((1+Inputs!$D$7)^CN$2))),IF($N45=Lists!$K$3,IF($L45&lt;1,((($T45*(1-$F45)+$S45*(1-$G45))/$L45)*((1+Inputs!$D$7)^CN$2)),((INT(CN$2/$L45)-INT((CN$2-1)/$L45))*($T45*(1-$F45)+$S45*(1-$G45))*((1+Inputs!$D$7)^CN$2))),((Inputs!$D$8^((1-_xlfn.WEIBULL.DIST(CN$2,$M45,$L45,FALSE))/_xlfn.WEIBULL.DIST(CN$2,$M45,$L45,FALSE))*($T45*(1-$F45)+$S45*(1-$G45))*((1+Inputs!$D$7)^CN$2))))))))</f>
        <v>14.091031433095285</v>
      </c>
      <c r="CO45" s="88">
        <f>MAX(AY45,($E45*IF(CO$2&gt;Inputs!$D$5,0,IF(CO$2&gt;VLOOKUP($H45,Lists!$P$3:$Q$7,2),IF($N45=Lists!$K$3,IF($L45&lt;1,(($U45/$L45)*((1+Inputs!$D$7)^CO$2)),((INT(CO$2/$L45)-INT((CO$2-1)/$L45))*$U45*((1+Inputs!$D$7)^CO$2))),(Inputs!$D$8^((1-_xlfn.WEIBULL.DIST(CO$2,$M45,$L45,FALSE))/_xlfn.WEIBULL.DIST(CO$2,$M45,$L45,FALSE))*$U45*((1+Inputs!$D$7)^CO$2))),IF($N45=Lists!$K$3,IF($L45&lt;1,((($T45*(1-$F45)+$S45*(1-$G45))/$L45)*((1+Inputs!$D$7)^CO$2)),((INT(CO$2/$L45)-INT((CO$2-1)/$L45))*($T45*(1-$F45)+$S45*(1-$G45))*((1+Inputs!$D$7)^CO$2))),((Inputs!$D$8^((1-_xlfn.WEIBULL.DIST(CO$2,$M45,$L45,FALSE))/_xlfn.WEIBULL.DIST(CO$2,$M45,$L45,FALSE))*($T45*(1-$F45)+$S45*(1-$G45))*((1+Inputs!$D$7)^CO$2))))))))</f>
        <v>13.671879795139191</v>
      </c>
      <c r="CP45" s="88">
        <f>MAX(AZ45,($E45*IF(CP$2&gt;Inputs!$D$5,0,IF(CP$2&gt;VLOOKUP($H45,Lists!$P$3:$Q$7,2),IF($N45=Lists!$K$3,IF($L45&lt;1,(($U45/$L45)*((1+Inputs!$D$7)^CP$2)),((INT(CP$2/$L45)-INT((CP$2-1)/$L45))*$U45*((1+Inputs!$D$7)^CP$2))),(Inputs!$D$8^((1-_xlfn.WEIBULL.DIST(CP$2,$M45,$L45,FALSE))/_xlfn.WEIBULL.DIST(CP$2,$M45,$L45,FALSE))*$U45*((1+Inputs!$D$7)^CP$2))),IF($N45=Lists!$K$3,IF($L45&lt;1,((($T45*(1-$F45)+$S45*(1-$G45))/$L45)*((1+Inputs!$D$7)^CP$2)),((INT(CP$2/$L45)-INT((CP$2-1)/$L45))*($T45*(1-$F45)+$S45*(1-$G45))*((1+Inputs!$D$7)^CP$2))),((Inputs!$D$8^((1-_xlfn.WEIBULL.DIST(CP$2,$M45,$L45,FALSE))/_xlfn.WEIBULL.DIST(CP$2,$M45,$L45,FALSE))*($T45*(1-$F45)+$S45*(1-$G45))*((1+Inputs!$D$7)^CP$2))))))))</f>
        <v>0</v>
      </c>
      <c r="CQ45" s="88">
        <f>MAX(BA45,($E45*IF(CQ$2&gt;Inputs!$D$5,0,IF(CQ$2&gt;VLOOKUP($H45,Lists!$P$3:$Q$7,2),IF($N45=Lists!$K$3,IF($L45&lt;1,(($U45/$L45)*((1+Inputs!$D$7)^CQ$2)),((INT(CQ$2/$L45)-INT((CQ$2-1)/$L45))*$U45*((1+Inputs!$D$7)^CQ$2))),(Inputs!$D$8^((1-_xlfn.WEIBULL.DIST(CQ$2,$M45,$L45,FALSE))/_xlfn.WEIBULL.DIST(CQ$2,$M45,$L45,FALSE))*$U45*((1+Inputs!$D$7)^CQ$2))),IF($N45=Lists!$K$3,IF($L45&lt;1,((($T45*(1-$F45)+$S45*(1-$G45))/$L45)*((1+Inputs!$D$7)^CQ$2)),((INT(CQ$2/$L45)-INT((CQ$2-1)/$L45))*($T45*(1-$F45)+$S45*(1-$G45))*((1+Inputs!$D$7)^CQ$2))),((Inputs!$D$8^((1-_xlfn.WEIBULL.DIST(CQ$2,$M45,$L45,FALSE))/_xlfn.WEIBULL.DIST(CQ$2,$M45,$L45,FALSE))*($T45*(1-$F45)+$S45*(1-$G45))*((1+Inputs!$D$7)^CQ$2))))))))</f>
        <v>0</v>
      </c>
      <c r="CR45" s="88">
        <f>MAX(BB45,($E45*IF(CR$2&gt;Inputs!$D$5,0,IF(CR$2&gt;VLOOKUP($H45,Lists!$P$3:$Q$7,2),IF($N45=Lists!$K$3,IF($L45&lt;1,(($U45/$L45)*((1+Inputs!$D$7)^CR$2)),((INT(CR$2/$L45)-INT((CR$2-1)/$L45))*$U45*((1+Inputs!$D$7)^CR$2))),(Inputs!$D$8^((1-_xlfn.WEIBULL.DIST(CR$2,$M45,$L45,FALSE))/_xlfn.WEIBULL.DIST(CR$2,$M45,$L45,FALSE))*$U45*((1+Inputs!$D$7)^CR$2))),IF($N45=Lists!$K$3,IF($L45&lt;1,((($T45*(1-$F45)+$S45*(1-$G45))/$L45)*((1+Inputs!$D$7)^CR$2)),((INT(CR$2/$L45)-INT((CR$2-1)/$L45))*($T45*(1-$F45)+$S45*(1-$G45))*((1+Inputs!$D$7)^CR$2))),((Inputs!$D$8^((1-_xlfn.WEIBULL.DIST(CR$2,$M45,$L45,FALSE))/_xlfn.WEIBULL.DIST(CR$2,$M45,$L45,FALSE))*($T45*(1-$F45)+$S45*(1-$G45))*((1+Inputs!$D$7)^CR$2))))))))</f>
        <v>0</v>
      </c>
      <c r="CS45" s="88">
        <f>MAX(BC45,($E45*IF(CS$2&gt;Inputs!$D$5,0,IF(CS$2&gt;VLOOKUP($H45,Lists!$P$3:$Q$7,2),IF($N45=Lists!$K$3,IF($L45&lt;1,(($U45/$L45)*((1+Inputs!$D$7)^CS$2)),((INT(CS$2/$L45)-INT((CS$2-1)/$L45))*$U45*((1+Inputs!$D$7)^CS$2))),(Inputs!$D$8^((1-_xlfn.WEIBULL.DIST(CS$2,$M45,$L45,FALSE))/_xlfn.WEIBULL.DIST(CS$2,$M45,$L45,FALSE))*$U45*((1+Inputs!$D$7)^CS$2))),IF($N45=Lists!$K$3,IF($L45&lt;1,((($T45*(1-$F45)+$S45*(1-$G45))/$L45)*((1+Inputs!$D$7)^CS$2)),((INT(CS$2/$L45)-INT((CS$2-1)/$L45))*($T45*(1-$F45)+$S45*(1-$G45))*((1+Inputs!$D$7)^CS$2))),((Inputs!$D$8^((1-_xlfn.WEIBULL.DIST(CS$2,$M45,$L45,FALSE))/_xlfn.WEIBULL.DIST(CS$2,$M45,$L45,FALSE))*($T45*(1-$F45)+$S45*(1-$G45))*((1+Inputs!$D$7)^CS$2))))))))</f>
        <v>0</v>
      </c>
      <c r="CT45" s="88">
        <f>MAX(BD45,($E45*IF(CT$2&gt;Inputs!$D$5,0,IF(CT$2&gt;VLOOKUP($H45,Lists!$P$3:$Q$7,2),IF($N45=Lists!$K$3,IF($L45&lt;1,(($U45/$L45)*((1+Inputs!$D$7)^CT$2)),((INT(CT$2/$L45)-INT((CT$2-1)/$L45))*$U45*((1+Inputs!$D$7)^CT$2))),(Inputs!$D$8^((1-_xlfn.WEIBULL.DIST(CT$2,$M45,$L45,FALSE))/_xlfn.WEIBULL.DIST(CT$2,$M45,$L45,FALSE))*$U45*((1+Inputs!$D$7)^CT$2))),IF($N45=Lists!$K$3,IF($L45&lt;1,((($T45*(1-$F45)+$S45*(1-$G45))/$L45)*((1+Inputs!$D$7)^CT$2)),((INT(CT$2/$L45)-INT((CT$2-1)/$L45))*($T45*(1-$F45)+$S45*(1-$G45))*((1+Inputs!$D$7)^CT$2))),((Inputs!$D$8^((1-_xlfn.WEIBULL.DIST(CT$2,$M45,$L45,FALSE))/_xlfn.WEIBULL.DIST(CT$2,$M45,$L45,FALSE))*($T45*(1-$F45)+$S45*(1-$G45))*((1+Inputs!$D$7)^CT$2))))))))</f>
        <v>0</v>
      </c>
      <c r="CU45" s="88">
        <f>MAX(BE45,($E45*IF(CU$2&gt;Inputs!$D$5,0,IF(CU$2&gt;VLOOKUP($H45,Lists!$P$3:$Q$7,2),IF($N45=Lists!$K$3,IF($L45&lt;1,(($U45/$L45)*((1+Inputs!$D$7)^CU$2)),((INT(CU$2/$L45)-INT((CU$2-1)/$L45))*$U45*((1+Inputs!$D$7)^CU$2))),(Inputs!$D$8^((1-_xlfn.WEIBULL.DIST(CU$2,$M45,$L45,FALSE))/_xlfn.WEIBULL.DIST(CU$2,$M45,$L45,FALSE))*$U45*((1+Inputs!$D$7)^CU$2))),IF($N45=Lists!$K$3,IF($L45&lt;1,((($T45*(1-$F45)+$S45*(1-$G45))/$L45)*((1+Inputs!$D$7)^CU$2)),((INT(CU$2/$L45)-INT((CU$2-1)/$L45))*($T45*(1-$F45)+$S45*(1-$G45))*((1+Inputs!$D$7)^CU$2))),((Inputs!$D$8^((1-_xlfn.WEIBULL.DIST(CU$2,$M45,$L45,FALSE))/_xlfn.WEIBULL.DIST(CU$2,$M45,$L45,FALSE))*($T45*(1-$F45)+$S45*(1-$G45))*((1+Inputs!$D$7)^CU$2))))))))</f>
        <v>0</v>
      </c>
      <c r="CV45" s="88">
        <f>MAX(BF45,($E45*IF(CV$2&gt;Inputs!$D$5,0,IF(CV$2&gt;VLOOKUP($H45,Lists!$P$3:$Q$7,2),IF($N45=Lists!$K$3,IF($L45&lt;1,(($U45/$L45)*((1+Inputs!$D$7)^CV$2)),((INT(CV$2/$L45)-INT((CV$2-1)/$L45))*$U45*((1+Inputs!$D$7)^CV$2))),(Inputs!$D$8^((1-_xlfn.WEIBULL.DIST(CV$2,$M45,$L45,FALSE))/_xlfn.WEIBULL.DIST(CV$2,$M45,$L45,FALSE))*$U45*((1+Inputs!$D$7)^CV$2))),IF($N45=Lists!$K$3,IF($L45&lt;1,((($T45*(1-$F45)+$S45*(1-$G45))/$L45)*((1+Inputs!$D$7)^CV$2)),((INT(CV$2/$L45)-INT((CV$2-1)/$L45))*($T45*(1-$F45)+$S45*(1-$G45))*((1+Inputs!$D$7)^CV$2))),((Inputs!$D$8^((1-_xlfn.WEIBULL.DIST(CV$2,$M45,$L45,FALSE))/_xlfn.WEIBULL.DIST(CV$2,$M45,$L45,FALSE))*($T45*(1-$F45)+$S45*(1-$G45))*((1+Inputs!$D$7)^CV$2))))))))</f>
        <v>0</v>
      </c>
      <c r="CW45" s="88">
        <f>MAX(BG45,($E45*IF(CW$2&gt;Inputs!$D$5,0,IF(CW$2&gt;VLOOKUP($H45,Lists!$P$3:$Q$7,2),IF($N45=Lists!$K$3,IF($L45&lt;1,(($U45/$L45)*((1+Inputs!$D$7)^CW$2)),((INT(CW$2/$L45)-INT((CW$2-1)/$L45))*$U45*((1+Inputs!$D$7)^CW$2))),(Inputs!$D$8^((1-_xlfn.WEIBULL.DIST(CW$2,$M45,$L45,FALSE))/_xlfn.WEIBULL.DIST(CW$2,$M45,$L45,FALSE))*$U45*((1+Inputs!$D$7)^CW$2))),IF($N45=Lists!$K$3,IF($L45&lt;1,((($T45*(1-$F45)+$S45*(1-$G45))/$L45)*((1+Inputs!$D$7)^CW$2)),((INT(CW$2/$L45)-INT((CW$2-1)/$L45))*($T45*(1-$F45)+$S45*(1-$G45))*((1+Inputs!$D$7)^CW$2))),((Inputs!$D$8^((1-_xlfn.WEIBULL.DIST(CW$2,$M45,$L45,FALSE))/_xlfn.WEIBULL.DIST(CW$2,$M45,$L45,FALSE))*($T45*(1-$F45)+$S45*(1-$G45))*((1+Inputs!$D$7)^CW$2))))))))</f>
        <v>0</v>
      </c>
      <c r="CX45" s="88">
        <f>MAX(BH45,($E45*IF(CX$2&gt;Inputs!$D$5,0,IF(CX$2&gt;VLOOKUP($H45,Lists!$P$3:$Q$7,2),IF($N45=Lists!$K$3,IF($L45&lt;1,(($U45/$L45)*((1+Inputs!$D$7)^CX$2)),((INT(CX$2/$L45)-INT((CX$2-1)/$L45))*$U45*((1+Inputs!$D$7)^CX$2))),(Inputs!$D$8^((1-_xlfn.WEIBULL.DIST(CX$2,$M45,$L45,FALSE))/_xlfn.WEIBULL.DIST(CX$2,$M45,$L45,FALSE))*$U45*((1+Inputs!$D$7)^CX$2))),IF($N45=Lists!$K$3,IF($L45&lt;1,((($T45*(1-$F45)+$S45*(1-$G45))/$L45)*((1+Inputs!$D$7)^CX$2)),((INT(CX$2/$L45)-INT((CX$2-1)/$L45))*($T45*(1-$F45)+$S45*(1-$G45))*((1+Inputs!$D$7)^CX$2))),((Inputs!$D$8^((1-_xlfn.WEIBULL.DIST(CX$2,$M45,$L45,FALSE))/_xlfn.WEIBULL.DIST(CX$2,$M45,$L45,FALSE))*($T45*(1-$F45)+$S45*(1-$G45))*((1+Inputs!$D$7)^CX$2))))))))</f>
        <v>0</v>
      </c>
      <c r="CY45" s="88">
        <f>MAX(BI45,($E45*IF(CY$2&gt;Inputs!$D$5,0,IF(CY$2&gt;VLOOKUP($H45,Lists!$P$3:$Q$7,2),IF($N45=Lists!$K$3,IF($L45&lt;1,(($U45/$L45)*((1+Inputs!$D$7)^CY$2)),((INT(CY$2/$L45)-INT((CY$2-1)/$L45))*$U45*((1+Inputs!$D$7)^CY$2))),(Inputs!$D$8^((1-_xlfn.WEIBULL.DIST(CY$2,$M45,$L45,FALSE))/_xlfn.WEIBULL.DIST(CY$2,$M45,$L45,FALSE))*$U45*((1+Inputs!$D$7)^CY$2))),IF($N45=Lists!$K$3,IF($L45&lt;1,((($T45*(1-$F45)+$S45*(1-$G45))/$L45)*((1+Inputs!$D$7)^CY$2)),((INT(CY$2/$L45)-INT((CY$2-1)/$L45))*($T45*(1-$F45)+$S45*(1-$G45))*((1+Inputs!$D$7)^CY$2))),((Inputs!$D$8^((1-_xlfn.WEIBULL.DIST(CY$2,$M45,$L45,FALSE))/_xlfn.WEIBULL.DIST(CY$2,$M45,$L45,FALSE))*($T45*(1-$F45)+$S45*(1-$G45))*((1+Inputs!$D$7)^CY$2))))))))</f>
        <v>0</v>
      </c>
      <c r="CZ45" s="88">
        <f>MAX(BJ45,($E45*IF(CZ$2&gt;Inputs!$D$5,0,IF(CZ$2&gt;VLOOKUP($H45,Lists!$P$3:$Q$7,2),IF($N45=Lists!$K$3,IF($L45&lt;1,(($U45/$L45)*((1+Inputs!$D$7)^CZ$2)),((INT(CZ$2/$L45)-INT((CZ$2-1)/$L45))*$U45*((1+Inputs!$D$7)^CZ$2))),(Inputs!$D$8^((1-_xlfn.WEIBULL.DIST(CZ$2,$M45,$L45,FALSE))/_xlfn.WEIBULL.DIST(CZ$2,$M45,$L45,FALSE))*$U45*((1+Inputs!$D$7)^CZ$2))),IF($N45=Lists!$K$3,IF($L45&lt;1,((($T45*(1-$F45)+$S45*(1-$G45))/$L45)*((1+Inputs!$D$7)^CZ$2)),((INT(CZ$2/$L45)-INT((CZ$2-1)/$L45))*($T45*(1-$F45)+$S45*(1-$G45))*((1+Inputs!$D$7)^CZ$2))),((Inputs!$D$8^((1-_xlfn.WEIBULL.DIST(CZ$2,$M45,$L45,FALSE))/_xlfn.WEIBULL.DIST(CZ$2,$M45,$L45,FALSE))*($T45*(1-$F45)+$S45*(1-$G45))*((1+Inputs!$D$7)^CZ$2))))))))</f>
        <v>0</v>
      </c>
      <c r="DA45" s="88">
        <f>MAX(BK45,($E45*IF(DA$2&gt;Inputs!$D$5,0,IF(DA$2&gt;VLOOKUP($H45,Lists!$P$3:$Q$7,2),IF($N45=Lists!$K$3,IF($L45&lt;1,(($U45/$L45)*((1+Inputs!$D$7)^DA$2)),((INT(DA$2/$L45)-INT((DA$2-1)/$L45))*$U45*((1+Inputs!$D$7)^DA$2))),(Inputs!$D$8^((1-_xlfn.WEIBULL.DIST(DA$2,$M45,$L45,FALSE))/_xlfn.WEIBULL.DIST(DA$2,$M45,$L45,FALSE))*$U45*((1+Inputs!$D$7)^DA$2))),IF($N45=Lists!$K$3,IF($L45&lt;1,((($T45*(1-$F45)+$S45*(1-$G45))/$L45)*((1+Inputs!$D$7)^DA$2)),((INT(DA$2/$L45)-INT((DA$2-1)/$L45))*($T45*(1-$F45)+$S45*(1-$G45))*((1+Inputs!$D$7)^DA$2))),((Inputs!$D$8^((1-_xlfn.WEIBULL.DIST(DA$2,$M45,$L45,FALSE))/_xlfn.WEIBULL.DIST(DA$2,$M45,$L45,FALSE))*($T45*(1-$F45)+$S45*(1-$G45))*((1+Inputs!$D$7)^DA$2))))))))</f>
        <v>0</v>
      </c>
      <c r="DB45" s="88">
        <f>MAX(BL45,($E45*IF(DB$2&gt;Inputs!$D$5,0,IF(DB$2&gt;VLOOKUP($H45,Lists!$P$3:$Q$7,2),IF($N45=Lists!$K$3,IF($L45&lt;1,(($U45/$L45)*((1+Inputs!$D$7)^DB$2)),((INT(DB$2/$L45)-INT((DB$2-1)/$L45))*$U45*((1+Inputs!$D$7)^DB$2))),(Inputs!$D$8^((1-_xlfn.WEIBULL.DIST(DB$2,$M45,$L45,FALSE))/_xlfn.WEIBULL.DIST(DB$2,$M45,$L45,FALSE))*$U45*((1+Inputs!$D$7)^DB$2))),IF($N45=Lists!$K$3,IF($L45&lt;1,((($T45*(1-$F45)+$S45*(1-$G45))/$L45)*((1+Inputs!$D$7)^DB$2)),((INT(DB$2/$L45)-INT((DB$2-1)/$L45))*($T45*(1-$F45)+$S45*(1-$G45))*((1+Inputs!$D$7)^DB$2))),((Inputs!$D$8^((1-_xlfn.WEIBULL.DIST(DB$2,$M45,$L45,FALSE))/_xlfn.WEIBULL.DIST(DB$2,$M45,$L45,FALSE))*($T45*(1-$F45)+$S45*(1-$G45))*((1+Inputs!$D$7)^DB$2))))))))</f>
        <v>0</v>
      </c>
      <c r="DC45" s="88">
        <f>MAX(BM45,($E45*IF(DC$2&gt;Inputs!$D$5,0,IF(DC$2&gt;VLOOKUP($H45,Lists!$P$3:$Q$7,2),IF($N45=Lists!$K$3,IF($L45&lt;1,(($U45/$L45)*((1+Inputs!$D$7)^DC$2)),((INT(DC$2/$L45)-INT((DC$2-1)/$L45))*$U45*((1+Inputs!$D$7)^DC$2))),(Inputs!$D$8^((1-_xlfn.WEIBULL.DIST(DC$2,$M45,$L45,FALSE))/_xlfn.WEIBULL.DIST(DC$2,$M45,$L45,FALSE))*$U45*((1+Inputs!$D$7)^DC$2))),IF($N45=Lists!$K$3,IF($L45&lt;1,((($T45*(1-$F45)+$S45*(1-$G45))/$L45)*((1+Inputs!$D$7)^DC$2)),((INT(DC$2/$L45)-INT((DC$2-1)/$L45))*($T45*(1-$F45)+$S45*(1-$G45))*((1+Inputs!$D$7)^DC$2))),((Inputs!$D$8^((1-_xlfn.WEIBULL.DIST(DC$2,$M45,$L45,FALSE))/_xlfn.WEIBULL.DIST(DC$2,$M45,$L45,FALSE))*($T45*(1-$F45)+$S45*(1-$G45))*((1+Inputs!$D$7)^DC$2))))))))</f>
        <v>0</v>
      </c>
      <c r="DD45" s="88">
        <f>MAX(BN45,($E45*IF(DD$2&gt;Inputs!$D$5,0,IF(DD$2&gt;VLOOKUP($H45,Lists!$P$3:$Q$7,2),IF($N45=Lists!$K$3,IF($L45&lt;1,(($U45/$L45)*((1+Inputs!$D$7)^DD$2)),((INT(DD$2/$L45)-INT((DD$2-1)/$L45))*$U45*((1+Inputs!$D$7)^DD$2))),(Inputs!$D$8^((1-_xlfn.WEIBULL.DIST(DD$2,$M45,$L45,FALSE))/_xlfn.WEIBULL.DIST(DD$2,$M45,$L45,FALSE))*$U45*((1+Inputs!$D$7)^DD$2))),IF($N45=Lists!$K$3,IF($L45&lt;1,((($T45*(1-$F45)+$S45*(1-$G45))/$L45)*((1+Inputs!$D$7)^DD$2)),((INT(DD$2/$L45)-INT((DD$2-1)/$L45))*($T45*(1-$F45)+$S45*(1-$G45))*((1+Inputs!$D$7)^DD$2))),((Inputs!$D$8^((1-_xlfn.WEIBULL.DIST(DD$2,$M45,$L45,FALSE))/_xlfn.WEIBULL.DIST(DD$2,$M45,$L45,FALSE))*($T45*(1-$F45)+$S45*(1-$G45))*((1+Inputs!$D$7)^DD$2))))))))</f>
        <v>0</v>
      </c>
    </row>
    <row r="46" spans="1:108" s="1" customFormat="1" ht="16">
      <c r="A46" s="57" t="s">
        <v>168</v>
      </c>
      <c r="B46" s="13" t="s">
        <v>130</v>
      </c>
      <c r="C46" s="13"/>
      <c r="D46" s="13" t="s">
        <v>16</v>
      </c>
      <c r="E46" s="48">
        <v>1</v>
      </c>
      <c r="F46" s="48">
        <v>1</v>
      </c>
      <c r="G46" s="48">
        <v>0</v>
      </c>
      <c r="H46" s="105" t="s">
        <v>16</v>
      </c>
      <c r="I46" s="14" t="s">
        <v>15</v>
      </c>
      <c r="J46" s="14" t="s">
        <v>88</v>
      </c>
      <c r="K46" s="13">
        <f>VLOOKUP(J46,'Labor Rates'!$A$1:$F$16,2)</f>
        <v>19.903846153846153</v>
      </c>
      <c r="L46" s="15">
        <v>5</v>
      </c>
      <c r="M46" s="15">
        <v>3</v>
      </c>
      <c r="N46" s="16" t="s">
        <v>240</v>
      </c>
      <c r="O46" s="61">
        <f>Inputs!$D$27</f>
        <v>157</v>
      </c>
      <c r="P46" s="15">
        <v>0.25</v>
      </c>
      <c r="Q46" s="15">
        <f t="shared" si="7"/>
        <v>7.85</v>
      </c>
      <c r="R46" s="4">
        <v>10</v>
      </c>
      <c r="S46" s="53">
        <f t="shared" si="8"/>
        <v>781.22596153846155</v>
      </c>
      <c r="T46" s="53">
        <f t="shared" si="9"/>
        <v>1570</v>
      </c>
      <c r="U46" s="54">
        <f t="shared" si="10"/>
        <v>2351.2259615384614</v>
      </c>
      <c r="V46" s="65"/>
      <c r="W46" s="58"/>
      <c r="X46" s="64">
        <f t="shared" si="11"/>
        <v>423.65426738758003</v>
      </c>
      <c r="Y46" s="64">
        <f>NPV(Inputs!$D$6,AA46:BN46)</f>
        <v>3859.6148375816083</v>
      </c>
      <c r="Z46" s="67">
        <f t="shared" si="12"/>
        <v>1.820382786532169E-3</v>
      </c>
      <c r="AA46" s="88">
        <f>$E46*IF(AA$2&gt;Inputs!$D$5,0,IF(AA$2&gt;VLOOKUP($H46,Lists!$P$3:$Q$7,2),IF($N46=Lists!$K$3,IF($L46&lt;1,(($U46/$L46)*((1+Inputs!$D$7)^AA$2)),((INT(AA$2/$L46)-INT((AA$2-1)/$L46))*$U46*((1+Inputs!$D$7)^AA$2))),(_xlfn.WEIBULL.DIST(AA$2,$M46,$L46,FALSE)*$U46*((1+Inputs!$D$7)^AA$2))),IF($N46=Lists!$K$3,IF($L46&lt;1,((($T46*(1-$F46)+$S46*(1-$G46))/$L46)*((1+Inputs!$D$7)^AA$2)),((INT(AA$2/$L46)-INT((AA$2-1)/$L46))*($T46*(1-$F46)+$S46*(1-$G46))*((1+Inputs!$D$7)^AA$2))),((_xlfn.WEIBULL.DIST(AA$2,$M46,$L46,FALSE)*($T46*(1-$F46)+$S46*(1-$G46))*((1+Inputs!$D$7)^AA$2))))))</f>
        <v>0</v>
      </c>
      <c r="AB46" s="88">
        <f>$E46*IF(AB$2&gt;Inputs!$D$5,0,IF(AB$2&gt;VLOOKUP($H46,Lists!$P$3:$Q$7,2),IF($N46=Lists!$K$3,IF($L46&lt;1,(($U46/$L46)*((1+Inputs!$D$7)^AB$2)),((INT(AB$2/$L46)-INT((AB$2-1)/$L46))*$U46*((1+Inputs!$D$7)^AB$2))),(_xlfn.WEIBULL.DIST(AB$2,$M46,$L46,FALSE)*$U46*((1+Inputs!$D$7)^AB$2))),IF($N46=Lists!$K$3,IF($L46&lt;1,((($T46*(1-$F46)+$S46*(1-$G46))/$L46)*((1+Inputs!$D$7)^AB$2)),((INT(AB$2/$L46)-INT((AB$2-1)/$L46))*($T46*(1-$F46)+$S46*(1-$G46))*((1+Inputs!$D$7)^AB$2))),((_xlfn.WEIBULL.DIST(AB$2,$M46,$L46,FALSE)*($T46*(1-$F46)+$S46*(1-$G46))*((1+Inputs!$D$7)^AB$2))))))</f>
        <v>0</v>
      </c>
      <c r="AC46" s="88">
        <f>$E46*IF(AC$2&gt;Inputs!$D$5,0,IF(AC$2&gt;VLOOKUP($H46,Lists!$P$3:$Q$7,2),IF($N46=Lists!$K$3,IF($L46&lt;1,(($U46/$L46)*((1+Inputs!$D$7)^AC$2)),((INT(AC$2/$L46)-INT((AC$2-1)/$L46))*$U46*((1+Inputs!$D$7)^AC$2))),(_xlfn.WEIBULL.DIST(AC$2,$M46,$L46,FALSE)*$U46*((1+Inputs!$D$7)^AC$2))),IF($N46=Lists!$K$3,IF($L46&lt;1,((($T46*(1-$F46)+$S46*(1-$G46))/$L46)*((1+Inputs!$D$7)^AC$2)),((INT(AC$2/$L46)-INT((AC$2-1)/$L46))*($T46*(1-$F46)+$S46*(1-$G46))*((1+Inputs!$D$7)^AC$2))),((_xlfn.WEIBULL.DIST(AC$2,$M46,$L46,FALSE)*($T46*(1-$F46)+$S46*(1-$G46))*((1+Inputs!$D$7)^AC$2))))))</f>
        <v>0</v>
      </c>
      <c r="AD46" s="88">
        <f>$E46*IF(AD$2&gt;Inputs!$D$5,0,IF(AD$2&gt;VLOOKUP($H46,Lists!$P$3:$Q$7,2),IF($N46=Lists!$K$3,IF($L46&lt;1,(($U46/$L46)*((1+Inputs!$D$7)^AD$2)),((INT(AD$2/$L46)-INT((AD$2-1)/$L46))*$U46*((1+Inputs!$D$7)^AD$2))),(_xlfn.WEIBULL.DIST(AD$2,$M46,$L46,FALSE)*$U46*((1+Inputs!$D$7)^AD$2))),IF($N46=Lists!$K$3,IF($L46&lt;1,((($T46*(1-$F46)+$S46*(1-$G46))/$L46)*((1+Inputs!$D$7)^AD$2)),((INT(AD$2/$L46)-INT((AD$2-1)/$L46))*($T46*(1-$F46)+$S46*(1-$G46))*((1+Inputs!$D$7)^AD$2))),((_xlfn.WEIBULL.DIST(AD$2,$M46,$L46,FALSE)*($T46*(1-$F46)+$S46*(1-$G46))*((1+Inputs!$D$7)^AD$2))))))</f>
        <v>0</v>
      </c>
      <c r="AE46" s="88">
        <f>$E46*IF(AE$2&gt;Inputs!$D$5,0,IF(AE$2&gt;VLOOKUP($H46,Lists!$P$3:$Q$7,2),IF($N46=Lists!$K$3,IF($L46&lt;1,(($U46/$L46)*((1+Inputs!$D$7)^AE$2)),((INT(AE$2/$L46)-INT((AE$2-1)/$L46))*$U46*((1+Inputs!$D$7)^AE$2))),(_xlfn.WEIBULL.DIST(AE$2,$M46,$L46,FALSE)*$U46*((1+Inputs!$D$7)^AE$2))),IF($N46=Lists!$K$3,IF($L46&lt;1,((($T46*(1-$F46)+$S46*(1-$G46))/$L46)*((1+Inputs!$D$7)^AE$2)),((INT(AE$2/$L46)-INT((AE$2-1)/$L46))*($T46*(1-$F46)+$S46*(1-$G46))*((1+Inputs!$D$7)^AE$2))),((_xlfn.WEIBULL.DIST(AE$2,$M46,$L46,FALSE)*($T46*(1-$F46)+$S46*(1-$G46))*((1+Inputs!$D$7)^AE$2))))))</f>
        <v>862.53658709607691</v>
      </c>
      <c r="AF46" s="88">
        <f>$E46*IF(AF$2&gt;Inputs!$D$5,0,IF(AF$2&gt;VLOOKUP($H46,Lists!$P$3:$Q$7,2),IF($N46=Lists!$K$3,IF($L46&lt;1,(($U46/$L46)*((1+Inputs!$D$7)^AF$2)),((INT(AF$2/$L46)-INT((AF$2-1)/$L46))*$U46*((1+Inputs!$D$7)^AF$2))),(_xlfn.WEIBULL.DIST(AF$2,$M46,$L46,FALSE)*$U46*((1+Inputs!$D$7)^AF$2))),IF($N46=Lists!$K$3,IF($L46&lt;1,((($T46*(1-$F46)+$S46*(1-$G46))/$L46)*((1+Inputs!$D$7)^AF$2)),((INT(AF$2/$L46)-INT((AF$2-1)/$L46))*($T46*(1-$F46)+$S46*(1-$G46))*((1+Inputs!$D$7)^AF$2))),((_xlfn.WEIBULL.DIST(AF$2,$M46,$L46,FALSE)*($T46*(1-$F46)+$S46*(1-$G46))*((1+Inputs!$D$7)^AF$2))))))</f>
        <v>0</v>
      </c>
      <c r="AG46" s="88">
        <f>$E46*IF(AG$2&gt;Inputs!$D$5,0,IF(AG$2&gt;VLOOKUP($H46,Lists!$P$3:$Q$7,2),IF($N46=Lists!$K$3,IF($L46&lt;1,(($U46/$L46)*((1+Inputs!$D$7)^AG$2)),((INT(AG$2/$L46)-INT((AG$2-1)/$L46))*$U46*((1+Inputs!$D$7)^AG$2))),(_xlfn.WEIBULL.DIST(AG$2,$M46,$L46,FALSE)*$U46*((1+Inputs!$D$7)^AG$2))),IF($N46=Lists!$K$3,IF($L46&lt;1,((($T46*(1-$F46)+$S46*(1-$G46))/$L46)*((1+Inputs!$D$7)^AG$2)),((INT(AG$2/$L46)-INT((AG$2-1)/$L46))*($T46*(1-$F46)+$S46*(1-$G46))*((1+Inputs!$D$7)^AG$2))),((_xlfn.WEIBULL.DIST(AG$2,$M46,$L46,FALSE)*($T46*(1-$F46)+$S46*(1-$G46))*((1+Inputs!$D$7)^AG$2))))))</f>
        <v>0</v>
      </c>
      <c r="AH46" s="88">
        <f>$E46*IF(AH$2&gt;Inputs!$D$5,0,IF(AH$2&gt;VLOOKUP($H46,Lists!$P$3:$Q$7,2),IF($N46=Lists!$K$3,IF($L46&lt;1,(($U46/$L46)*((1+Inputs!$D$7)^AH$2)),((INT(AH$2/$L46)-INT((AH$2-1)/$L46))*$U46*((1+Inputs!$D$7)^AH$2))),(_xlfn.WEIBULL.DIST(AH$2,$M46,$L46,FALSE)*$U46*((1+Inputs!$D$7)^AH$2))),IF($N46=Lists!$K$3,IF($L46&lt;1,((($T46*(1-$F46)+$S46*(1-$G46))/$L46)*((1+Inputs!$D$7)^AH$2)),((INT(AH$2/$L46)-INT((AH$2-1)/$L46))*($T46*(1-$F46)+$S46*(1-$G46))*((1+Inputs!$D$7)^AH$2))),((_xlfn.WEIBULL.DIST(AH$2,$M46,$L46,FALSE)*($T46*(1-$F46)+$S46*(1-$G46))*((1+Inputs!$D$7)^AH$2))))))</f>
        <v>0</v>
      </c>
      <c r="AI46" s="88">
        <f>$E46*IF(AI$2&gt;Inputs!$D$5,0,IF(AI$2&gt;VLOOKUP($H46,Lists!$P$3:$Q$7,2),IF($N46=Lists!$K$3,IF($L46&lt;1,(($U46/$L46)*((1+Inputs!$D$7)^AI$2)),((INT(AI$2/$L46)-INT((AI$2-1)/$L46))*$U46*((1+Inputs!$D$7)^AI$2))),(_xlfn.WEIBULL.DIST(AI$2,$M46,$L46,FALSE)*$U46*((1+Inputs!$D$7)^AI$2))),IF($N46=Lists!$K$3,IF($L46&lt;1,((($T46*(1-$F46)+$S46*(1-$G46))/$L46)*((1+Inputs!$D$7)^AI$2)),((INT(AI$2/$L46)-INT((AI$2-1)/$L46))*($T46*(1-$F46)+$S46*(1-$G46))*((1+Inputs!$D$7)^AI$2))),((_xlfn.WEIBULL.DIST(AI$2,$M46,$L46,FALSE)*($T46*(1-$F46)+$S46*(1-$G46))*((1+Inputs!$D$7)^AI$2))))))</f>
        <v>0</v>
      </c>
      <c r="AJ46" s="88">
        <f>$E46*IF(AJ$2&gt;Inputs!$D$5,0,IF(AJ$2&gt;VLOOKUP($H46,Lists!$P$3:$Q$7,2),IF($N46=Lists!$K$3,IF($L46&lt;1,(($U46/$L46)*((1+Inputs!$D$7)^AJ$2)),((INT(AJ$2/$L46)-INT((AJ$2-1)/$L46))*$U46*((1+Inputs!$D$7)^AJ$2))),(_xlfn.WEIBULL.DIST(AJ$2,$M46,$L46,FALSE)*$U46*((1+Inputs!$D$7)^AJ$2))),IF($N46=Lists!$K$3,IF($L46&lt;1,((($T46*(1-$F46)+$S46*(1-$G46))/$L46)*((1+Inputs!$D$7)^AJ$2)),((INT(AJ$2/$L46)-INT((AJ$2-1)/$L46))*($T46*(1-$F46)+$S46*(1-$G46))*((1+Inputs!$D$7)^AJ$2))),((_xlfn.WEIBULL.DIST(AJ$2,$M46,$L46,FALSE)*($T46*(1-$F46)+$S46*(1-$G46))*((1+Inputs!$D$7)^AJ$2))))))</f>
        <v>952.31008787042333</v>
      </c>
      <c r="AK46" s="88">
        <f>$E46*IF(AK$2&gt;Inputs!$D$5,0,IF(AK$2&gt;VLOOKUP($H46,Lists!$P$3:$Q$7,2),IF($N46=Lists!$K$3,IF($L46&lt;1,(($U46/$L46)*((1+Inputs!$D$7)^AK$2)),((INT(AK$2/$L46)-INT((AK$2-1)/$L46))*$U46*((1+Inputs!$D$7)^AK$2))),(_xlfn.WEIBULL.DIST(AK$2,$M46,$L46,FALSE)*$U46*((1+Inputs!$D$7)^AK$2))),IF($N46=Lists!$K$3,IF($L46&lt;1,((($T46*(1-$F46)+$S46*(1-$G46))/$L46)*((1+Inputs!$D$7)^AK$2)),((INT(AK$2/$L46)-INT((AK$2-1)/$L46))*($T46*(1-$F46)+$S46*(1-$G46))*((1+Inputs!$D$7)^AK$2))),((_xlfn.WEIBULL.DIST(AK$2,$M46,$L46,FALSE)*($T46*(1-$F46)+$S46*(1-$G46))*((1+Inputs!$D$7)^AK$2))))))</f>
        <v>0</v>
      </c>
      <c r="AL46" s="88">
        <f>$E46*IF(AL$2&gt;Inputs!$D$5,0,IF(AL$2&gt;VLOOKUP($H46,Lists!$P$3:$Q$7,2),IF($N46=Lists!$K$3,IF($L46&lt;1,(($U46/$L46)*((1+Inputs!$D$7)^AL$2)),((INT(AL$2/$L46)-INT((AL$2-1)/$L46))*$U46*((1+Inputs!$D$7)^AL$2))),(_xlfn.WEIBULL.DIST(AL$2,$M46,$L46,FALSE)*$U46*((1+Inputs!$D$7)^AL$2))),IF($N46=Lists!$K$3,IF($L46&lt;1,((($T46*(1-$F46)+$S46*(1-$G46))/$L46)*((1+Inputs!$D$7)^AL$2)),((INT(AL$2/$L46)-INT((AL$2-1)/$L46))*($T46*(1-$F46)+$S46*(1-$G46))*((1+Inputs!$D$7)^AL$2))),((_xlfn.WEIBULL.DIST(AL$2,$M46,$L46,FALSE)*($T46*(1-$F46)+$S46*(1-$G46))*((1+Inputs!$D$7)^AL$2))))))</f>
        <v>0</v>
      </c>
      <c r="AM46" s="88">
        <f>$E46*IF(AM$2&gt;Inputs!$D$5,0,IF(AM$2&gt;VLOOKUP($H46,Lists!$P$3:$Q$7,2),IF($N46=Lists!$K$3,IF($L46&lt;1,(($U46/$L46)*((1+Inputs!$D$7)^AM$2)),((INT(AM$2/$L46)-INT((AM$2-1)/$L46))*$U46*((1+Inputs!$D$7)^AM$2))),(_xlfn.WEIBULL.DIST(AM$2,$M46,$L46,FALSE)*$U46*((1+Inputs!$D$7)^AM$2))),IF($N46=Lists!$K$3,IF($L46&lt;1,((($T46*(1-$F46)+$S46*(1-$G46))/$L46)*((1+Inputs!$D$7)^AM$2)),((INT(AM$2/$L46)-INT((AM$2-1)/$L46))*($T46*(1-$F46)+$S46*(1-$G46))*((1+Inputs!$D$7)^AM$2))),((_xlfn.WEIBULL.DIST(AM$2,$M46,$L46,FALSE)*($T46*(1-$F46)+$S46*(1-$G46))*((1+Inputs!$D$7)^AM$2))))))</f>
        <v>0</v>
      </c>
      <c r="AN46" s="88">
        <f>$E46*IF(AN$2&gt;Inputs!$D$5,0,IF(AN$2&gt;VLOOKUP($H46,Lists!$P$3:$Q$7,2),IF($N46=Lists!$K$3,IF($L46&lt;1,(($U46/$L46)*((1+Inputs!$D$7)^AN$2)),((INT(AN$2/$L46)-INT((AN$2-1)/$L46))*$U46*((1+Inputs!$D$7)^AN$2))),(_xlfn.WEIBULL.DIST(AN$2,$M46,$L46,FALSE)*$U46*((1+Inputs!$D$7)^AN$2))),IF($N46=Lists!$K$3,IF($L46&lt;1,((($T46*(1-$F46)+$S46*(1-$G46))/$L46)*((1+Inputs!$D$7)^AN$2)),((INT(AN$2/$L46)-INT((AN$2-1)/$L46))*($T46*(1-$F46)+$S46*(1-$G46))*((1+Inputs!$D$7)^AN$2))),((_xlfn.WEIBULL.DIST(AN$2,$M46,$L46,FALSE)*($T46*(1-$F46)+$S46*(1-$G46))*((1+Inputs!$D$7)^AN$2))))))</f>
        <v>0</v>
      </c>
      <c r="AO46" s="88">
        <f>$E46*IF(AO$2&gt;Inputs!$D$5,0,IF(AO$2&gt;VLOOKUP($H46,Lists!$P$3:$Q$7,2),IF($N46=Lists!$K$3,IF($L46&lt;1,(($U46/$L46)*((1+Inputs!$D$7)^AO$2)),((INT(AO$2/$L46)-INT((AO$2-1)/$L46))*$U46*((1+Inputs!$D$7)^AO$2))),(_xlfn.WEIBULL.DIST(AO$2,$M46,$L46,FALSE)*$U46*((1+Inputs!$D$7)^AO$2))),IF($N46=Lists!$K$3,IF($L46&lt;1,((($T46*(1-$F46)+$S46*(1-$G46))/$L46)*((1+Inputs!$D$7)^AO$2)),((INT(AO$2/$L46)-INT((AO$2-1)/$L46))*($T46*(1-$F46)+$S46*(1-$G46))*((1+Inputs!$D$7)^AO$2))),((_xlfn.WEIBULL.DIST(AO$2,$M46,$L46,FALSE)*($T46*(1-$F46)+$S46*(1-$G46))*((1+Inputs!$D$7)^AO$2))))))</f>
        <v>3164.4405778803221</v>
      </c>
      <c r="AP46" s="88">
        <f>$E46*IF(AP$2&gt;Inputs!$D$5,0,IF(AP$2&gt;VLOOKUP($H46,Lists!$P$3:$Q$7,2),IF($N46=Lists!$K$3,IF($L46&lt;1,(($U46/$L46)*((1+Inputs!$D$7)^AP$2)),((INT(AP$2/$L46)-INT((AP$2-1)/$L46))*$U46*((1+Inputs!$D$7)^AP$2))),(_xlfn.WEIBULL.DIST(AP$2,$M46,$L46,FALSE)*$U46*((1+Inputs!$D$7)^AP$2))),IF($N46=Lists!$K$3,IF($L46&lt;1,((($T46*(1-$F46)+$S46*(1-$G46))/$L46)*((1+Inputs!$D$7)^AP$2)),((INT(AP$2/$L46)-INT((AP$2-1)/$L46))*($T46*(1-$F46)+$S46*(1-$G46))*((1+Inputs!$D$7)^AP$2))),((_xlfn.WEIBULL.DIST(AP$2,$M46,$L46,FALSE)*($T46*(1-$F46)+$S46*(1-$G46))*((1+Inputs!$D$7)^AP$2))))))</f>
        <v>0</v>
      </c>
      <c r="AQ46" s="88">
        <f>$E46*IF(AQ$2&gt;Inputs!$D$5,0,IF(AQ$2&gt;VLOOKUP($H46,Lists!$P$3:$Q$7,2),IF($N46=Lists!$K$3,IF($L46&lt;1,(($U46/$L46)*((1+Inputs!$D$7)^AQ$2)),((INT(AQ$2/$L46)-INT((AQ$2-1)/$L46))*$U46*((1+Inputs!$D$7)^AQ$2))),(_xlfn.WEIBULL.DIST(AQ$2,$M46,$L46,FALSE)*$U46*((1+Inputs!$D$7)^AQ$2))),IF($N46=Lists!$K$3,IF($L46&lt;1,((($T46*(1-$F46)+$S46*(1-$G46))/$L46)*((1+Inputs!$D$7)^AQ$2)),((INT(AQ$2/$L46)-INT((AQ$2-1)/$L46))*($T46*(1-$F46)+$S46*(1-$G46))*((1+Inputs!$D$7)^AQ$2))),((_xlfn.WEIBULL.DIST(AQ$2,$M46,$L46,FALSE)*($T46*(1-$F46)+$S46*(1-$G46))*((1+Inputs!$D$7)^AQ$2))))))</f>
        <v>0</v>
      </c>
      <c r="AR46" s="88">
        <f>$E46*IF(AR$2&gt;Inputs!$D$5,0,IF(AR$2&gt;VLOOKUP($H46,Lists!$P$3:$Q$7,2),IF($N46=Lists!$K$3,IF($L46&lt;1,(($U46/$L46)*((1+Inputs!$D$7)^AR$2)),((INT(AR$2/$L46)-INT((AR$2-1)/$L46))*$U46*((1+Inputs!$D$7)^AR$2))),(_xlfn.WEIBULL.DIST(AR$2,$M46,$L46,FALSE)*$U46*((1+Inputs!$D$7)^AR$2))),IF($N46=Lists!$K$3,IF($L46&lt;1,((($T46*(1-$F46)+$S46*(1-$G46))/$L46)*((1+Inputs!$D$7)^AR$2)),((INT(AR$2/$L46)-INT((AR$2-1)/$L46))*($T46*(1-$F46)+$S46*(1-$G46))*((1+Inputs!$D$7)^AR$2))),((_xlfn.WEIBULL.DIST(AR$2,$M46,$L46,FALSE)*($T46*(1-$F46)+$S46*(1-$G46))*((1+Inputs!$D$7)^AR$2))))))</f>
        <v>0</v>
      </c>
      <c r="AS46" s="88">
        <f>$E46*IF(AS$2&gt;Inputs!$D$5,0,IF(AS$2&gt;VLOOKUP($H46,Lists!$P$3:$Q$7,2),IF($N46=Lists!$K$3,IF($L46&lt;1,(($U46/$L46)*((1+Inputs!$D$7)^AS$2)),((INT(AS$2/$L46)-INT((AS$2-1)/$L46))*$U46*((1+Inputs!$D$7)^AS$2))),(_xlfn.WEIBULL.DIST(AS$2,$M46,$L46,FALSE)*$U46*((1+Inputs!$D$7)^AS$2))),IF($N46=Lists!$K$3,IF($L46&lt;1,((($T46*(1-$F46)+$S46*(1-$G46))/$L46)*((1+Inputs!$D$7)^AS$2)),((INT(AS$2/$L46)-INT((AS$2-1)/$L46))*($T46*(1-$F46)+$S46*(1-$G46))*((1+Inputs!$D$7)^AS$2))),((_xlfn.WEIBULL.DIST(AS$2,$M46,$L46,FALSE)*($T46*(1-$F46)+$S46*(1-$G46))*((1+Inputs!$D$7)^AS$2))))))</f>
        <v>0</v>
      </c>
      <c r="AT46" s="88">
        <f>$E46*IF(AT$2&gt;Inputs!$D$5,0,IF(AT$2&gt;VLOOKUP($H46,Lists!$P$3:$Q$7,2),IF($N46=Lists!$K$3,IF($L46&lt;1,(($U46/$L46)*((1+Inputs!$D$7)^AT$2)),((INT(AT$2/$L46)-INT((AT$2-1)/$L46))*$U46*((1+Inputs!$D$7)^AT$2))),(_xlfn.WEIBULL.DIST(AT$2,$M46,$L46,FALSE)*$U46*((1+Inputs!$D$7)^AT$2))),IF($N46=Lists!$K$3,IF($L46&lt;1,((($T46*(1-$F46)+$S46*(1-$G46))/$L46)*((1+Inputs!$D$7)^AT$2)),((INT(AT$2/$L46)-INT((AT$2-1)/$L46))*($T46*(1-$F46)+$S46*(1-$G46))*((1+Inputs!$D$7)^AT$2))),((_xlfn.WEIBULL.DIST(AT$2,$M46,$L46,FALSE)*($T46*(1-$F46)+$S46*(1-$G46))*((1+Inputs!$D$7)^AT$2))))))</f>
        <v>3493.7980949047787</v>
      </c>
      <c r="AU46" s="88">
        <f>$E46*IF(AU$2&gt;Inputs!$D$5,0,IF(AU$2&gt;VLOOKUP($H46,Lists!$P$3:$Q$7,2),IF($N46=Lists!$K$3,IF($L46&lt;1,(($U46/$L46)*((1+Inputs!$D$7)^AU$2)),((INT(AU$2/$L46)-INT((AU$2-1)/$L46))*$U46*((1+Inputs!$D$7)^AU$2))),(_xlfn.WEIBULL.DIST(AU$2,$M46,$L46,FALSE)*$U46*((1+Inputs!$D$7)^AU$2))),IF($N46=Lists!$K$3,IF($L46&lt;1,((($T46*(1-$F46)+$S46*(1-$G46))/$L46)*((1+Inputs!$D$7)^AU$2)),((INT(AU$2/$L46)-INT((AU$2-1)/$L46))*($T46*(1-$F46)+$S46*(1-$G46))*((1+Inputs!$D$7)^AU$2))),((_xlfn.WEIBULL.DIST(AU$2,$M46,$L46,FALSE)*($T46*(1-$F46)+$S46*(1-$G46))*((1+Inputs!$D$7)^AU$2))))))</f>
        <v>0</v>
      </c>
      <c r="AV46" s="88">
        <f>$E46*IF(AV$2&gt;Inputs!$D$5,0,IF(AV$2&gt;VLOOKUP($H46,Lists!$P$3:$Q$7,2),IF($N46=Lists!$K$3,IF($L46&lt;1,(($U46/$L46)*((1+Inputs!$D$7)^AV$2)),((INT(AV$2/$L46)-INT((AV$2-1)/$L46))*$U46*((1+Inputs!$D$7)^AV$2))),(_xlfn.WEIBULL.DIST(AV$2,$M46,$L46,FALSE)*$U46*((1+Inputs!$D$7)^AV$2))),IF($N46=Lists!$K$3,IF($L46&lt;1,((($T46*(1-$F46)+$S46*(1-$G46))/$L46)*((1+Inputs!$D$7)^AV$2)),((INT(AV$2/$L46)-INT((AV$2-1)/$L46))*($T46*(1-$F46)+$S46*(1-$G46))*((1+Inputs!$D$7)^AV$2))),((_xlfn.WEIBULL.DIST(AV$2,$M46,$L46,FALSE)*($T46*(1-$F46)+$S46*(1-$G46))*((1+Inputs!$D$7)^AV$2))))))</f>
        <v>0</v>
      </c>
      <c r="AW46" s="88">
        <f>$E46*IF(AW$2&gt;Inputs!$D$5,0,IF(AW$2&gt;VLOOKUP($H46,Lists!$P$3:$Q$7,2),IF($N46=Lists!$K$3,IF($L46&lt;1,(($U46/$L46)*((1+Inputs!$D$7)^AW$2)),((INT(AW$2/$L46)-INT((AW$2-1)/$L46))*$U46*((1+Inputs!$D$7)^AW$2))),(_xlfn.WEIBULL.DIST(AW$2,$M46,$L46,FALSE)*$U46*((1+Inputs!$D$7)^AW$2))),IF($N46=Lists!$K$3,IF($L46&lt;1,((($T46*(1-$F46)+$S46*(1-$G46))/$L46)*((1+Inputs!$D$7)^AW$2)),((INT(AW$2/$L46)-INT((AW$2-1)/$L46))*($T46*(1-$F46)+$S46*(1-$G46))*((1+Inputs!$D$7)^AW$2))),((_xlfn.WEIBULL.DIST(AW$2,$M46,$L46,FALSE)*($T46*(1-$F46)+$S46*(1-$G46))*((1+Inputs!$D$7)^AW$2))))))</f>
        <v>0</v>
      </c>
      <c r="AX46" s="88">
        <f>$E46*IF(AX$2&gt;Inputs!$D$5,0,IF(AX$2&gt;VLOOKUP($H46,Lists!$P$3:$Q$7,2),IF($N46=Lists!$K$3,IF($L46&lt;1,(($U46/$L46)*((1+Inputs!$D$7)^AX$2)),((INT(AX$2/$L46)-INT((AX$2-1)/$L46))*$U46*((1+Inputs!$D$7)^AX$2))),(_xlfn.WEIBULL.DIST(AX$2,$M46,$L46,FALSE)*$U46*((1+Inputs!$D$7)^AX$2))),IF($N46=Lists!$K$3,IF($L46&lt;1,((($T46*(1-$F46)+$S46*(1-$G46))/$L46)*((1+Inputs!$D$7)^AX$2)),((INT(AX$2/$L46)-INT((AX$2-1)/$L46))*($T46*(1-$F46)+$S46*(1-$G46))*((1+Inputs!$D$7)^AX$2))),((_xlfn.WEIBULL.DIST(AX$2,$M46,$L46,FALSE)*($T46*(1-$F46)+$S46*(1-$G46))*((1+Inputs!$D$7)^AX$2))))))</f>
        <v>0</v>
      </c>
      <c r="AY46" s="88">
        <f>$E46*IF(AY$2&gt;Inputs!$D$5,0,IF(AY$2&gt;VLOOKUP($H46,Lists!$P$3:$Q$7,2),IF($N46=Lists!$K$3,IF($L46&lt;1,(($U46/$L46)*((1+Inputs!$D$7)^AY$2)),((INT(AY$2/$L46)-INT((AY$2-1)/$L46))*$U46*((1+Inputs!$D$7)^AY$2))),(_xlfn.WEIBULL.DIST(AY$2,$M46,$L46,FALSE)*$U46*((1+Inputs!$D$7)^AY$2))),IF($N46=Lists!$K$3,IF($L46&lt;1,((($T46*(1-$F46)+$S46*(1-$G46))/$L46)*((1+Inputs!$D$7)^AY$2)),((INT(AY$2/$L46)-INT((AY$2-1)/$L46))*($T46*(1-$F46)+$S46*(1-$G46))*((1+Inputs!$D$7)^AY$2))),((_xlfn.WEIBULL.DIST(AY$2,$M46,$L46,FALSE)*($T46*(1-$F46)+$S46*(1-$G46))*((1+Inputs!$D$7)^AY$2))))))</f>
        <v>3857.4354068410976</v>
      </c>
      <c r="AZ46" s="88">
        <f>$E46*IF(AZ$2&gt;Inputs!$D$5,0,IF(AZ$2&gt;VLOOKUP($H46,Lists!$P$3:$Q$7,2),IF($N46=Lists!$K$3,IF($L46&lt;1,(($U46/$L46)*((1+Inputs!$D$7)^AZ$2)),((INT(AZ$2/$L46)-INT((AZ$2-1)/$L46))*$U46*((1+Inputs!$D$7)^AZ$2))),(_xlfn.WEIBULL.DIST(AZ$2,$M46,$L46,FALSE)*$U46*((1+Inputs!$D$7)^AZ$2))),IF($N46=Lists!$K$3,IF($L46&lt;1,((($T46*(1-$F46)+$S46*(1-$G46))/$L46)*((1+Inputs!$D$7)^AZ$2)),((INT(AZ$2/$L46)-INT((AZ$2-1)/$L46))*($T46*(1-$F46)+$S46*(1-$G46))*((1+Inputs!$D$7)^AZ$2))),((_xlfn.WEIBULL.DIST(AZ$2,$M46,$L46,FALSE)*($T46*(1-$F46)+$S46*(1-$G46))*((1+Inputs!$D$7)^AZ$2))))))</f>
        <v>0</v>
      </c>
      <c r="BA46" s="88">
        <f>$E46*IF(BA$2&gt;Inputs!$D$5,0,IF(BA$2&gt;VLOOKUP($H46,Lists!$P$3:$Q$7,2),IF($N46=Lists!$K$3,IF($L46&lt;1,(($U46/$L46)*((1+Inputs!$D$7)^BA$2)),((INT(BA$2/$L46)-INT((BA$2-1)/$L46))*$U46*((1+Inputs!$D$7)^BA$2))),(_xlfn.WEIBULL.DIST(BA$2,$M46,$L46,FALSE)*$U46*((1+Inputs!$D$7)^BA$2))),IF($N46=Lists!$K$3,IF($L46&lt;1,((($T46*(1-$F46)+$S46*(1-$G46))/$L46)*((1+Inputs!$D$7)^BA$2)),((INT(BA$2/$L46)-INT((BA$2-1)/$L46))*($T46*(1-$F46)+$S46*(1-$G46))*((1+Inputs!$D$7)^BA$2))),((_xlfn.WEIBULL.DIST(BA$2,$M46,$L46,FALSE)*($T46*(1-$F46)+$S46*(1-$G46))*((1+Inputs!$D$7)^BA$2))))))</f>
        <v>0</v>
      </c>
      <c r="BB46" s="88">
        <f>$E46*IF(BB$2&gt;Inputs!$D$5,0,IF(BB$2&gt;VLOOKUP($H46,Lists!$P$3:$Q$7,2),IF($N46=Lists!$K$3,IF($L46&lt;1,(($U46/$L46)*((1+Inputs!$D$7)^BB$2)),((INT(BB$2/$L46)-INT((BB$2-1)/$L46))*$U46*((1+Inputs!$D$7)^BB$2))),(_xlfn.WEIBULL.DIST(BB$2,$M46,$L46,FALSE)*$U46*((1+Inputs!$D$7)^BB$2))),IF($N46=Lists!$K$3,IF($L46&lt;1,((($T46*(1-$F46)+$S46*(1-$G46))/$L46)*((1+Inputs!$D$7)^BB$2)),((INT(BB$2/$L46)-INT((BB$2-1)/$L46))*($T46*(1-$F46)+$S46*(1-$G46))*((1+Inputs!$D$7)^BB$2))),((_xlfn.WEIBULL.DIST(BB$2,$M46,$L46,FALSE)*($T46*(1-$F46)+$S46*(1-$G46))*((1+Inputs!$D$7)^BB$2))))))</f>
        <v>0</v>
      </c>
      <c r="BC46" s="88">
        <f>$E46*IF(BC$2&gt;Inputs!$D$5,0,IF(BC$2&gt;VLOOKUP($H46,Lists!$P$3:$Q$7,2),IF($N46=Lists!$K$3,IF($L46&lt;1,(($U46/$L46)*((1+Inputs!$D$7)^BC$2)),((INT(BC$2/$L46)-INT((BC$2-1)/$L46))*$U46*((1+Inputs!$D$7)^BC$2))),(_xlfn.WEIBULL.DIST(BC$2,$M46,$L46,FALSE)*$U46*((1+Inputs!$D$7)^BC$2))),IF($N46=Lists!$K$3,IF($L46&lt;1,((($T46*(1-$F46)+$S46*(1-$G46))/$L46)*((1+Inputs!$D$7)^BC$2)),((INT(BC$2/$L46)-INT((BC$2-1)/$L46))*($T46*(1-$F46)+$S46*(1-$G46))*((1+Inputs!$D$7)^BC$2))),((_xlfn.WEIBULL.DIST(BC$2,$M46,$L46,FALSE)*($T46*(1-$F46)+$S46*(1-$G46))*((1+Inputs!$D$7)^BC$2))))))</f>
        <v>0</v>
      </c>
      <c r="BD46" s="88">
        <f>$E46*IF(BD$2&gt;Inputs!$D$5,0,IF(BD$2&gt;VLOOKUP($H46,Lists!$P$3:$Q$7,2),IF($N46=Lists!$K$3,IF($L46&lt;1,(($U46/$L46)*((1+Inputs!$D$7)^BD$2)),((INT(BD$2/$L46)-INT((BD$2-1)/$L46))*$U46*((1+Inputs!$D$7)^BD$2))),(_xlfn.WEIBULL.DIST(BD$2,$M46,$L46,FALSE)*$U46*((1+Inputs!$D$7)^BD$2))),IF($N46=Lists!$K$3,IF($L46&lt;1,((($T46*(1-$F46)+$S46*(1-$G46))/$L46)*((1+Inputs!$D$7)^BD$2)),((INT(BD$2/$L46)-INT((BD$2-1)/$L46))*($T46*(1-$F46)+$S46*(1-$G46))*((1+Inputs!$D$7)^BD$2))),((_xlfn.WEIBULL.DIST(BD$2,$M46,$L46,FALSE)*($T46*(1-$F46)+$S46*(1-$G46))*((1+Inputs!$D$7)^BD$2))))))</f>
        <v>0</v>
      </c>
      <c r="BE46" s="88">
        <f>$E46*IF(BE$2&gt;Inputs!$D$5,0,IF(BE$2&gt;VLOOKUP($H46,Lists!$P$3:$Q$7,2),IF($N46=Lists!$K$3,IF($L46&lt;1,(($U46/$L46)*((1+Inputs!$D$7)^BE$2)),((INT(BE$2/$L46)-INT((BE$2-1)/$L46))*$U46*((1+Inputs!$D$7)^BE$2))),(_xlfn.WEIBULL.DIST(BE$2,$M46,$L46,FALSE)*$U46*((1+Inputs!$D$7)^BE$2))),IF($N46=Lists!$K$3,IF($L46&lt;1,((($T46*(1-$F46)+$S46*(1-$G46))/$L46)*((1+Inputs!$D$7)^BE$2)),((INT(BE$2/$L46)-INT((BE$2-1)/$L46))*($T46*(1-$F46)+$S46*(1-$G46))*((1+Inputs!$D$7)^BE$2))),((_xlfn.WEIBULL.DIST(BE$2,$M46,$L46,FALSE)*($T46*(1-$F46)+$S46*(1-$G46))*((1+Inputs!$D$7)^BE$2))))))</f>
        <v>0</v>
      </c>
      <c r="BF46" s="88">
        <f>$E46*IF(BF$2&gt;Inputs!$D$5,0,IF(BF$2&gt;VLOOKUP($H46,Lists!$P$3:$Q$7,2),IF($N46=Lists!$K$3,IF($L46&lt;1,(($U46/$L46)*((1+Inputs!$D$7)^BF$2)),((INT(BF$2/$L46)-INT((BF$2-1)/$L46))*$U46*((1+Inputs!$D$7)^BF$2))),(_xlfn.WEIBULL.DIST(BF$2,$M46,$L46,FALSE)*$U46*((1+Inputs!$D$7)^BF$2))),IF($N46=Lists!$K$3,IF($L46&lt;1,((($T46*(1-$F46)+$S46*(1-$G46))/$L46)*((1+Inputs!$D$7)^BF$2)),((INT(BF$2/$L46)-INT((BF$2-1)/$L46))*($T46*(1-$F46)+$S46*(1-$G46))*((1+Inputs!$D$7)^BF$2))),((_xlfn.WEIBULL.DIST(BF$2,$M46,$L46,FALSE)*($T46*(1-$F46)+$S46*(1-$G46))*((1+Inputs!$D$7)^BF$2))))))</f>
        <v>0</v>
      </c>
      <c r="BG46" s="88">
        <f>$E46*IF(BG$2&gt;Inputs!$D$5,0,IF(BG$2&gt;VLOOKUP($H46,Lists!$P$3:$Q$7,2),IF($N46=Lists!$K$3,IF($L46&lt;1,(($U46/$L46)*((1+Inputs!$D$7)^BG$2)),((INT(BG$2/$L46)-INT((BG$2-1)/$L46))*$U46*((1+Inputs!$D$7)^BG$2))),(_xlfn.WEIBULL.DIST(BG$2,$M46,$L46,FALSE)*$U46*((1+Inputs!$D$7)^BG$2))),IF($N46=Lists!$K$3,IF($L46&lt;1,((($T46*(1-$F46)+$S46*(1-$G46))/$L46)*((1+Inputs!$D$7)^BG$2)),((INT(BG$2/$L46)-INT((BG$2-1)/$L46))*($T46*(1-$F46)+$S46*(1-$G46))*((1+Inputs!$D$7)^BG$2))),((_xlfn.WEIBULL.DIST(BG$2,$M46,$L46,FALSE)*($T46*(1-$F46)+$S46*(1-$G46))*((1+Inputs!$D$7)^BG$2))))))</f>
        <v>0</v>
      </c>
      <c r="BH46" s="88">
        <f>$E46*IF(BH$2&gt;Inputs!$D$5,0,IF(BH$2&gt;VLOOKUP($H46,Lists!$P$3:$Q$7,2),IF($N46=Lists!$K$3,IF($L46&lt;1,(($U46/$L46)*((1+Inputs!$D$7)^BH$2)),((INT(BH$2/$L46)-INT((BH$2-1)/$L46))*$U46*((1+Inputs!$D$7)^BH$2))),(_xlfn.WEIBULL.DIST(BH$2,$M46,$L46,FALSE)*$U46*((1+Inputs!$D$7)^BH$2))),IF($N46=Lists!$K$3,IF($L46&lt;1,((($T46*(1-$F46)+$S46*(1-$G46))/$L46)*((1+Inputs!$D$7)^BH$2)),((INT(BH$2/$L46)-INT((BH$2-1)/$L46))*($T46*(1-$F46)+$S46*(1-$G46))*((1+Inputs!$D$7)^BH$2))),((_xlfn.WEIBULL.DIST(BH$2,$M46,$L46,FALSE)*($T46*(1-$F46)+$S46*(1-$G46))*((1+Inputs!$D$7)^BH$2))))))</f>
        <v>0</v>
      </c>
      <c r="BI46" s="88">
        <f>$E46*IF(BI$2&gt;Inputs!$D$5,0,IF(BI$2&gt;VLOOKUP($H46,Lists!$P$3:$Q$7,2),IF($N46=Lists!$K$3,IF($L46&lt;1,(($U46/$L46)*((1+Inputs!$D$7)^BI$2)),((INT(BI$2/$L46)-INT((BI$2-1)/$L46))*$U46*((1+Inputs!$D$7)^BI$2))),(_xlfn.WEIBULL.DIST(BI$2,$M46,$L46,FALSE)*$U46*((1+Inputs!$D$7)^BI$2))),IF($N46=Lists!$K$3,IF($L46&lt;1,((($T46*(1-$F46)+$S46*(1-$G46))/$L46)*((1+Inputs!$D$7)^BI$2)),((INT(BI$2/$L46)-INT((BI$2-1)/$L46))*($T46*(1-$F46)+$S46*(1-$G46))*((1+Inputs!$D$7)^BI$2))),((_xlfn.WEIBULL.DIST(BI$2,$M46,$L46,FALSE)*($T46*(1-$F46)+$S46*(1-$G46))*((1+Inputs!$D$7)^BI$2))))))</f>
        <v>0</v>
      </c>
      <c r="BJ46" s="88">
        <f>$E46*IF(BJ$2&gt;Inputs!$D$5,0,IF(BJ$2&gt;VLOOKUP($H46,Lists!$P$3:$Q$7,2),IF($N46=Lists!$K$3,IF($L46&lt;1,(($U46/$L46)*((1+Inputs!$D$7)^BJ$2)),((INT(BJ$2/$L46)-INT((BJ$2-1)/$L46))*$U46*((1+Inputs!$D$7)^BJ$2))),(_xlfn.WEIBULL.DIST(BJ$2,$M46,$L46,FALSE)*$U46*((1+Inputs!$D$7)^BJ$2))),IF($N46=Lists!$K$3,IF($L46&lt;1,((($T46*(1-$F46)+$S46*(1-$G46))/$L46)*((1+Inputs!$D$7)^BJ$2)),((INT(BJ$2/$L46)-INT((BJ$2-1)/$L46))*($T46*(1-$F46)+$S46*(1-$G46))*((1+Inputs!$D$7)^BJ$2))),((_xlfn.WEIBULL.DIST(BJ$2,$M46,$L46,FALSE)*($T46*(1-$F46)+$S46*(1-$G46))*((1+Inputs!$D$7)^BJ$2))))))</f>
        <v>0</v>
      </c>
      <c r="BK46" s="88">
        <f>$E46*IF(BK$2&gt;Inputs!$D$5,0,IF(BK$2&gt;VLOOKUP($H46,Lists!$P$3:$Q$7,2),IF($N46=Lists!$K$3,IF($L46&lt;1,(($U46/$L46)*((1+Inputs!$D$7)^BK$2)),((INT(BK$2/$L46)-INT((BK$2-1)/$L46))*$U46*((1+Inputs!$D$7)^BK$2))),(_xlfn.WEIBULL.DIST(BK$2,$M46,$L46,FALSE)*$U46*((1+Inputs!$D$7)^BK$2))),IF($N46=Lists!$K$3,IF($L46&lt;1,((($T46*(1-$F46)+$S46*(1-$G46))/$L46)*((1+Inputs!$D$7)^BK$2)),((INT(BK$2/$L46)-INT((BK$2-1)/$L46))*($T46*(1-$F46)+$S46*(1-$G46))*((1+Inputs!$D$7)^BK$2))),((_xlfn.WEIBULL.DIST(BK$2,$M46,$L46,FALSE)*($T46*(1-$F46)+$S46*(1-$G46))*((1+Inputs!$D$7)^BK$2))))))</f>
        <v>0</v>
      </c>
      <c r="BL46" s="88">
        <f>$E46*IF(BL$2&gt;Inputs!$D$5,0,IF(BL$2&gt;VLOOKUP($H46,Lists!$P$3:$Q$7,2),IF($N46=Lists!$K$3,IF($L46&lt;1,(($U46/$L46)*((1+Inputs!$D$7)^BL$2)),((INT(BL$2/$L46)-INT((BL$2-1)/$L46))*$U46*((1+Inputs!$D$7)^BL$2))),(_xlfn.WEIBULL.DIST(BL$2,$M46,$L46,FALSE)*$U46*((1+Inputs!$D$7)^BL$2))),IF($N46=Lists!$K$3,IF($L46&lt;1,((($T46*(1-$F46)+$S46*(1-$G46))/$L46)*((1+Inputs!$D$7)^BL$2)),((INT(BL$2/$L46)-INT((BL$2-1)/$L46))*($T46*(1-$F46)+$S46*(1-$G46))*((1+Inputs!$D$7)^BL$2))),((_xlfn.WEIBULL.DIST(BL$2,$M46,$L46,FALSE)*($T46*(1-$F46)+$S46*(1-$G46))*((1+Inputs!$D$7)^BL$2))))))</f>
        <v>0</v>
      </c>
      <c r="BM46" s="88">
        <f>$E46*IF(BM$2&gt;Inputs!$D$5,0,IF(BM$2&gt;VLOOKUP($H46,Lists!$P$3:$Q$7,2),IF($N46=Lists!$K$3,IF($L46&lt;1,(($U46/$L46)*((1+Inputs!$D$7)^BM$2)),((INT(BM$2/$L46)-INT((BM$2-1)/$L46))*$U46*((1+Inputs!$D$7)^BM$2))),(_xlfn.WEIBULL.DIST(BM$2,$M46,$L46,FALSE)*$U46*((1+Inputs!$D$7)^BM$2))),IF($N46=Lists!$K$3,IF($L46&lt;1,((($T46*(1-$F46)+$S46*(1-$G46))/$L46)*((1+Inputs!$D$7)^BM$2)),((INT(BM$2/$L46)-INT((BM$2-1)/$L46))*($T46*(1-$F46)+$S46*(1-$G46))*((1+Inputs!$D$7)^BM$2))),((_xlfn.WEIBULL.DIST(BM$2,$M46,$L46,FALSE)*($T46*(1-$F46)+$S46*(1-$G46))*((1+Inputs!$D$7)^BM$2))))))</f>
        <v>0</v>
      </c>
      <c r="BN46" s="88">
        <f>$E46*IF(BN$2&gt;Inputs!$D$5,0,IF(BN$2&gt;VLOOKUP($H46,Lists!$P$3:$Q$7,2),IF($N46=Lists!$K$3,IF($L46&lt;1,(($U46/$L46)*((1+Inputs!$D$7)^BN$2)),((INT(BN$2/$L46)-INT((BN$2-1)/$L46))*$U46*((1+Inputs!$D$7)^BN$2))),(_xlfn.WEIBULL.DIST(BN$2,$M46,$L46,FALSE)*$U46*((1+Inputs!$D$7)^BN$2))),IF($N46=Lists!$K$3,IF($L46&lt;1,((($T46*(1-$F46)+$S46*(1-$G46))/$L46)*((1+Inputs!$D$7)^BN$2)),((INT(BN$2/$L46)-INT((BN$2-1)/$L46))*($T46*(1-$F46)+$S46*(1-$G46))*((1+Inputs!$D$7)^BN$2))),((_xlfn.WEIBULL.DIST(BN$2,$M46,$L46,FALSE)*($T46*(1-$F46)+$S46*(1-$G46))*((1+Inputs!$D$7)^BN$2))))))</f>
        <v>0</v>
      </c>
      <c r="BO46" s="64">
        <f>NPV(Inputs!$D$6,BQ46:DD46)</f>
        <v>3859.6148375816083</v>
      </c>
      <c r="BP46" s="67">
        <f t="shared" si="13"/>
        <v>1.820382786532169E-3</v>
      </c>
      <c r="BQ46" s="88">
        <f>MAX(AA46,($E46*IF(BQ$2&gt;Inputs!$D$5,0,IF(BQ$2&gt;VLOOKUP($H46,Lists!$P$3:$Q$7,2),IF($N46=Lists!$K$3,IF($L46&lt;1,(($U46/$L46)*((1+Inputs!$D$7)^BQ$2)),((INT(BQ$2/$L46)-INT((BQ$2-1)/$L46))*$U46*((1+Inputs!$D$7)^BQ$2))),(Inputs!$D$8^((1-_xlfn.WEIBULL.DIST(BQ$2,$M46,$L46,FALSE))/_xlfn.WEIBULL.DIST(BQ$2,$M46,$L46,FALSE))*$U46*((1+Inputs!$D$7)^BQ$2))),IF($N46=Lists!$K$3,IF($L46&lt;1,((($T46*(1-$F46)+$S46*(1-$G46))/$L46)*((1+Inputs!$D$7)^BQ$2)),((INT(BQ$2/$L46)-INT((BQ$2-1)/$L46))*($T46*(1-$F46)+$S46*(1-$G46))*((1+Inputs!$D$7)^BQ$2))),((Inputs!$D$8^((1-_xlfn.WEIBULL.DIST(BQ$2,$M46,$L46,FALSE))/_xlfn.WEIBULL.DIST(BQ$2,$M46,$L46,FALSE))*($T46*(1-$F46)+$S46*(1-$G46))*((1+Inputs!$D$7)^BQ$2))))))))</f>
        <v>0</v>
      </c>
      <c r="BR46" s="88">
        <f>MAX(AB46,($E46*IF(BR$2&gt;Inputs!$D$5,0,IF(BR$2&gt;VLOOKUP($H46,Lists!$P$3:$Q$7,2),IF($N46=Lists!$K$3,IF($L46&lt;1,(($U46/$L46)*((1+Inputs!$D$7)^BR$2)),((INT(BR$2/$L46)-INT((BR$2-1)/$L46))*$U46*((1+Inputs!$D$7)^BR$2))),(Inputs!$D$8^((1-_xlfn.WEIBULL.DIST(BR$2,$M46,$L46,FALSE))/_xlfn.WEIBULL.DIST(BR$2,$M46,$L46,FALSE))*$U46*((1+Inputs!$D$7)^BR$2))),IF($N46=Lists!$K$3,IF($L46&lt;1,((($T46*(1-$F46)+$S46*(1-$G46))/$L46)*((1+Inputs!$D$7)^BR$2)),((INT(BR$2/$L46)-INT((BR$2-1)/$L46))*($T46*(1-$F46)+$S46*(1-$G46))*((1+Inputs!$D$7)^BR$2))),((Inputs!$D$8^((1-_xlfn.WEIBULL.DIST(BR$2,$M46,$L46,FALSE))/_xlfn.WEIBULL.DIST(BR$2,$M46,$L46,FALSE))*($T46*(1-$F46)+$S46*(1-$G46))*((1+Inputs!$D$7)^BR$2))))))))</f>
        <v>0</v>
      </c>
      <c r="BS46" s="88">
        <f>MAX(AC46,($E46*IF(BS$2&gt;Inputs!$D$5,0,IF(BS$2&gt;VLOOKUP($H46,Lists!$P$3:$Q$7,2),IF($N46=Lists!$K$3,IF($L46&lt;1,(($U46/$L46)*((1+Inputs!$D$7)^BS$2)),((INT(BS$2/$L46)-INT((BS$2-1)/$L46))*$U46*((1+Inputs!$D$7)^BS$2))),(Inputs!$D$8^((1-_xlfn.WEIBULL.DIST(BS$2,$M46,$L46,FALSE))/_xlfn.WEIBULL.DIST(BS$2,$M46,$L46,FALSE))*$U46*((1+Inputs!$D$7)^BS$2))),IF($N46=Lists!$K$3,IF($L46&lt;1,((($T46*(1-$F46)+$S46*(1-$G46))/$L46)*((1+Inputs!$D$7)^BS$2)),((INT(BS$2/$L46)-INT((BS$2-1)/$L46))*($T46*(1-$F46)+$S46*(1-$G46))*((1+Inputs!$D$7)^BS$2))),((Inputs!$D$8^((1-_xlfn.WEIBULL.DIST(BS$2,$M46,$L46,FALSE))/_xlfn.WEIBULL.DIST(BS$2,$M46,$L46,FALSE))*($T46*(1-$F46)+$S46*(1-$G46))*((1+Inputs!$D$7)^BS$2))))))))</f>
        <v>0</v>
      </c>
      <c r="BT46" s="88">
        <f>MAX(AD46,($E46*IF(BT$2&gt;Inputs!$D$5,0,IF(BT$2&gt;VLOOKUP($H46,Lists!$P$3:$Q$7,2),IF($N46=Lists!$K$3,IF($L46&lt;1,(($U46/$L46)*((1+Inputs!$D$7)^BT$2)),((INT(BT$2/$L46)-INT((BT$2-1)/$L46))*$U46*((1+Inputs!$D$7)^BT$2))),(Inputs!$D$8^((1-_xlfn.WEIBULL.DIST(BT$2,$M46,$L46,FALSE))/_xlfn.WEIBULL.DIST(BT$2,$M46,$L46,FALSE))*$U46*((1+Inputs!$D$7)^BT$2))),IF($N46=Lists!$K$3,IF($L46&lt;1,((($T46*(1-$F46)+$S46*(1-$G46))/$L46)*((1+Inputs!$D$7)^BT$2)),((INT(BT$2/$L46)-INT((BT$2-1)/$L46))*($T46*(1-$F46)+$S46*(1-$G46))*((1+Inputs!$D$7)^BT$2))),((Inputs!$D$8^((1-_xlfn.WEIBULL.DIST(BT$2,$M46,$L46,FALSE))/_xlfn.WEIBULL.DIST(BT$2,$M46,$L46,FALSE))*($T46*(1-$F46)+$S46*(1-$G46))*((1+Inputs!$D$7)^BT$2))))))))</f>
        <v>0</v>
      </c>
      <c r="BU46" s="88">
        <f>MAX(AE46,($E46*IF(BU$2&gt;Inputs!$D$5,0,IF(BU$2&gt;VLOOKUP($H46,Lists!$P$3:$Q$7,2),IF($N46=Lists!$K$3,IF($L46&lt;1,(($U46/$L46)*((1+Inputs!$D$7)^BU$2)),((INT(BU$2/$L46)-INT((BU$2-1)/$L46))*$U46*((1+Inputs!$D$7)^BU$2))),(Inputs!$D$8^((1-_xlfn.WEIBULL.DIST(BU$2,$M46,$L46,FALSE))/_xlfn.WEIBULL.DIST(BU$2,$M46,$L46,FALSE))*$U46*((1+Inputs!$D$7)^BU$2))),IF($N46=Lists!$K$3,IF($L46&lt;1,((($T46*(1-$F46)+$S46*(1-$G46))/$L46)*((1+Inputs!$D$7)^BU$2)),((INT(BU$2/$L46)-INT((BU$2-1)/$L46))*($T46*(1-$F46)+$S46*(1-$G46))*((1+Inputs!$D$7)^BU$2))),((Inputs!$D$8^((1-_xlfn.WEIBULL.DIST(BU$2,$M46,$L46,FALSE))/_xlfn.WEIBULL.DIST(BU$2,$M46,$L46,FALSE))*($T46*(1-$F46)+$S46*(1-$G46))*((1+Inputs!$D$7)^BU$2))))))))</f>
        <v>862.53658709607691</v>
      </c>
      <c r="BV46" s="88">
        <f>MAX(AF46,($E46*IF(BV$2&gt;Inputs!$D$5,0,IF(BV$2&gt;VLOOKUP($H46,Lists!$P$3:$Q$7,2),IF($N46=Lists!$K$3,IF($L46&lt;1,(($U46/$L46)*((1+Inputs!$D$7)^BV$2)),((INT(BV$2/$L46)-INT((BV$2-1)/$L46))*$U46*((1+Inputs!$D$7)^BV$2))),(Inputs!$D$8^((1-_xlfn.WEIBULL.DIST(BV$2,$M46,$L46,FALSE))/_xlfn.WEIBULL.DIST(BV$2,$M46,$L46,FALSE))*$U46*((1+Inputs!$D$7)^BV$2))),IF($N46=Lists!$K$3,IF($L46&lt;1,((($T46*(1-$F46)+$S46*(1-$G46))/$L46)*((1+Inputs!$D$7)^BV$2)),((INT(BV$2/$L46)-INT((BV$2-1)/$L46))*($T46*(1-$F46)+$S46*(1-$G46))*((1+Inputs!$D$7)^BV$2))),((Inputs!$D$8^((1-_xlfn.WEIBULL.DIST(BV$2,$M46,$L46,FALSE))/_xlfn.WEIBULL.DIST(BV$2,$M46,$L46,FALSE))*($T46*(1-$F46)+$S46*(1-$G46))*((1+Inputs!$D$7)^BV$2))))))))</f>
        <v>0</v>
      </c>
      <c r="BW46" s="88">
        <f>MAX(AG46,($E46*IF(BW$2&gt;Inputs!$D$5,0,IF(BW$2&gt;VLOOKUP($H46,Lists!$P$3:$Q$7,2),IF($N46=Lists!$K$3,IF($L46&lt;1,(($U46/$L46)*((1+Inputs!$D$7)^BW$2)),((INT(BW$2/$L46)-INT((BW$2-1)/$L46))*$U46*((1+Inputs!$D$7)^BW$2))),(Inputs!$D$8^((1-_xlfn.WEIBULL.DIST(BW$2,$M46,$L46,FALSE))/_xlfn.WEIBULL.DIST(BW$2,$M46,$L46,FALSE))*$U46*((1+Inputs!$D$7)^BW$2))),IF($N46=Lists!$K$3,IF($L46&lt;1,((($T46*(1-$F46)+$S46*(1-$G46))/$L46)*((1+Inputs!$D$7)^BW$2)),((INT(BW$2/$L46)-INT((BW$2-1)/$L46))*($T46*(1-$F46)+$S46*(1-$G46))*((1+Inputs!$D$7)^BW$2))),((Inputs!$D$8^((1-_xlfn.WEIBULL.DIST(BW$2,$M46,$L46,FALSE))/_xlfn.WEIBULL.DIST(BW$2,$M46,$L46,FALSE))*($T46*(1-$F46)+$S46*(1-$G46))*((1+Inputs!$D$7)^BW$2))))))))</f>
        <v>0</v>
      </c>
      <c r="BX46" s="88">
        <f>MAX(AH46,($E46*IF(BX$2&gt;Inputs!$D$5,0,IF(BX$2&gt;VLOOKUP($H46,Lists!$P$3:$Q$7,2),IF($N46=Lists!$K$3,IF($L46&lt;1,(($U46/$L46)*((1+Inputs!$D$7)^BX$2)),((INT(BX$2/$L46)-INT((BX$2-1)/$L46))*$U46*((1+Inputs!$D$7)^BX$2))),(Inputs!$D$8^((1-_xlfn.WEIBULL.DIST(BX$2,$M46,$L46,FALSE))/_xlfn.WEIBULL.DIST(BX$2,$M46,$L46,FALSE))*$U46*((1+Inputs!$D$7)^BX$2))),IF($N46=Lists!$K$3,IF($L46&lt;1,((($T46*(1-$F46)+$S46*(1-$G46))/$L46)*((1+Inputs!$D$7)^BX$2)),((INT(BX$2/$L46)-INT((BX$2-1)/$L46))*($T46*(1-$F46)+$S46*(1-$G46))*((1+Inputs!$D$7)^BX$2))),((Inputs!$D$8^((1-_xlfn.WEIBULL.DIST(BX$2,$M46,$L46,FALSE))/_xlfn.WEIBULL.DIST(BX$2,$M46,$L46,FALSE))*($T46*(1-$F46)+$S46*(1-$G46))*((1+Inputs!$D$7)^BX$2))))))))</f>
        <v>0</v>
      </c>
      <c r="BY46" s="88">
        <f>MAX(AI46,($E46*IF(BY$2&gt;Inputs!$D$5,0,IF(BY$2&gt;VLOOKUP($H46,Lists!$P$3:$Q$7,2),IF($N46=Lists!$K$3,IF($L46&lt;1,(($U46/$L46)*((1+Inputs!$D$7)^BY$2)),((INT(BY$2/$L46)-INT((BY$2-1)/$L46))*$U46*((1+Inputs!$D$7)^BY$2))),(Inputs!$D$8^((1-_xlfn.WEIBULL.DIST(BY$2,$M46,$L46,FALSE))/_xlfn.WEIBULL.DIST(BY$2,$M46,$L46,FALSE))*$U46*((1+Inputs!$D$7)^BY$2))),IF($N46=Lists!$K$3,IF($L46&lt;1,((($T46*(1-$F46)+$S46*(1-$G46))/$L46)*((1+Inputs!$D$7)^BY$2)),((INT(BY$2/$L46)-INT((BY$2-1)/$L46))*($T46*(1-$F46)+$S46*(1-$G46))*((1+Inputs!$D$7)^BY$2))),((Inputs!$D$8^((1-_xlfn.WEIBULL.DIST(BY$2,$M46,$L46,FALSE))/_xlfn.WEIBULL.DIST(BY$2,$M46,$L46,FALSE))*($T46*(1-$F46)+$S46*(1-$G46))*((1+Inputs!$D$7)^BY$2))))))))</f>
        <v>0</v>
      </c>
      <c r="BZ46" s="88">
        <f>MAX(AJ46,($E46*IF(BZ$2&gt;Inputs!$D$5,0,IF(BZ$2&gt;VLOOKUP($H46,Lists!$P$3:$Q$7,2),IF($N46=Lists!$K$3,IF($L46&lt;1,(($U46/$L46)*((1+Inputs!$D$7)^BZ$2)),((INT(BZ$2/$L46)-INT((BZ$2-1)/$L46))*$U46*((1+Inputs!$D$7)^BZ$2))),(Inputs!$D$8^((1-_xlfn.WEIBULL.DIST(BZ$2,$M46,$L46,FALSE))/_xlfn.WEIBULL.DIST(BZ$2,$M46,$L46,FALSE))*$U46*((1+Inputs!$D$7)^BZ$2))),IF($N46=Lists!$K$3,IF($L46&lt;1,((($T46*(1-$F46)+$S46*(1-$G46))/$L46)*((1+Inputs!$D$7)^BZ$2)),((INT(BZ$2/$L46)-INT((BZ$2-1)/$L46))*($T46*(1-$F46)+$S46*(1-$G46))*((1+Inputs!$D$7)^BZ$2))),((Inputs!$D$8^((1-_xlfn.WEIBULL.DIST(BZ$2,$M46,$L46,FALSE))/_xlfn.WEIBULL.DIST(BZ$2,$M46,$L46,FALSE))*($T46*(1-$F46)+$S46*(1-$G46))*((1+Inputs!$D$7)^BZ$2))))))))</f>
        <v>952.31008787042333</v>
      </c>
      <c r="CA46" s="88">
        <f>MAX(AK46,($E46*IF(CA$2&gt;Inputs!$D$5,0,IF(CA$2&gt;VLOOKUP($H46,Lists!$P$3:$Q$7,2),IF($N46=Lists!$K$3,IF($L46&lt;1,(($U46/$L46)*((1+Inputs!$D$7)^CA$2)),((INT(CA$2/$L46)-INT((CA$2-1)/$L46))*$U46*((1+Inputs!$D$7)^CA$2))),(Inputs!$D$8^((1-_xlfn.WEIBULL.DIST(CA$2,$M46,$L46,FALSE))/_xlfn.WEIBULL.DIST(CA$2,$M46,$L46,FALSE))*$U46*((1+Inputs!$D$7)^CA$2))),IF($N46=Lists!$K$3,IF($L46&lt;1,((($T46*(1-$F46)+$S46*(1-$G46))/$L46)*((1+Inputs!$D$7)^CA$2)),((INT(CA$2/$L46)-INT((CA$2-1)/$L46))*($T46*(1-$F46)+$S46*(1-$G46))*((1+Inputs!$D$7)^CA$2))),((Inputs!$D$8^((1-_xlfn.WEIBULL.DIST(CA$2,$M46,$L46,FALSE))/_xlfn.WEIBULL.DIST(CA$2,$M46,$L46,FALSE))*($T46*(1-$F46)+$S46*(1-$G46))*((1+Inputs!$D$7)^CA$2))))))))</f>
        <v>0</v>
      </c>
      <c r="CB46" s="88">
        <f>MAX(AL46,($E46*IF(CB$2&gt;Inputs!$D$5,0,IF(CB$2&gt;VLOOKUP($H46,Lists!$P$3:$Q$7,2),IF($N46=Lists!$K$3,IF($L46&lt;1,(($U46/$L46)*((1+Inputs!$D$7)^CB$2)),((INT(CB$2/$L46)-INT((CB$2-1)/$L46))*$U46*((1+Inputs!$D$7)^CB$2))),(Inputs!$D$8^((1-_xlfn.WEIBULL.DIST(CB$2,$M46,$L46,FALSE))/_xlfn.WEIBULL.DIST(CB$2,$M46,$L46,FALSE))*$U46*((1+Inputs!$D$7)^CB$2))),IF($N46=Lists!$K$3,IF($L46&lt;1,((($T46*(1-$F46)+$S46*(1-$G46))/$L46)*((1+Inputs!$D$7)^CB$2)),((INT(CB$2/$L46)-INT((CB$2-1)/$L46))*($T46*(1-$F46)+$S46*(1-$G46))*((1+Inputs!$D$7)^CB$2))),((Inputs!$D$8^((1-_xlfn.WEIBULL.DIST(CB$2,$M46,$L46,FALSE))/_xlfn.WEIBULL.DIST(CB$2,$M46,$L46,FALSE))*($T46*(1-$F46)+$S46*(1-$G46))*((1+Inputs!$D$7)^CB$2))))))))</f>
        <v>0</v>
      </c>
      <c r="CC46" s="88">
        <f>MAX(AM46,($E46*IF(CC$2&gt;Inputs!$D$5,0,IF(CC$2&gt;VLOOKUP($H46,Lists!$P$3:$Q$7,2),IF($N46=Lists!$K$3,IF($L46&lt;1,(($U46/$L46)*((1+Inputs!$D$7)^CC$2)),((INT(CC$2/$L46)-INT((CC$2-1)/$L46))*$U46*((1+Inputs!$D$7)^CC$2))),(Inputs!$D$8^((1-_xlfn.WEIBULL.DIST(CC$2,$M46,$L46,FALSE))/_xlfn.WEIBULL.DIST(CC$2,$M46,$L46,FALSE))*$U46*((1+Inputs!$D$7)^CC$2))),IF($N46=Lists!$K$3,IF($L46&lt;1,((($T46*(1-$F46)+$S46*(1-$G46))/$L46)*((1+Inputs!$D$7)^CC$2)),((INT(CC$2/$L46)-INT((CC$2-1)/$L46))*($T46*(1-$F46)+$S46*(1-$G46))*((1+Inputs!$D$7)^CC$2))),((Inputs!$D$8^((1-_xlfn.WEIBULL.DIST(CC$2,$M46,$L46,FALSE))/_xlfn.WEIBULL.DIST(CC$2,$M46,$L46,FALSE))*($T46*(1-$F46)+$S46*(1-$G46))*((1+Inputs!$D$7)^CC$2))))))))</f>
        <v>0</v>
      </c>
      <c r="CD46" s="88">
        <f>MAX(AN46,($E46*IF(CD$2&gt;Inputs!$D$5,0,IF(CD$2&gt;VLOOKUP($H46,Lists!$P$3:$Q$7,2),IF($N46=Lists!$K$3,IF($L46&lt;1,(($U46/$L46)*((1+Inputs!$D$7)^CD$2)),((INT(CD$2/$L46)-INT((CD$2-1)/$L46))*$U46*((1+Inputs!$D$7)^CD$2))),(Inputs!$D$8^((1-_xlfn.WEIBULL.DIST(CD$2,$M46,$L46,FALSE))/_xlfn.WEIBULL.DIST(CD$2,$M46,$L46,FALSE))*$U46*((1+Inputs!$D$7)^CD$2))),IF($N46=Lists!$K$3,IF($L46&lt;1,((($T46*(1-$F46)+$S46*(1-$G46))/$L46)*((1+Inputs!$D$7)^CD$2)),((INT(CD$2/$L46)-INT((CD$2-1)/$L46))*($T46*(1-$F46)+$S46*(1-$G46))*((1+Inputs!$D$7)^CD$2))),((Inputs!$D$8^((1-_xlfn.WEIBULL.DIST(CD$2,$M46,$L46,FALSE))/_xlfn.WEIBULL.DIST(CD$2,$M46,$L46,FALSE))*($T46*(1-$F46)+$S46*(1-$G46))*((1+Inputs!$D$7)^CD$2))))))))</f>
        <v>0</v>
      </c>
      <c r="CE46" s="88">
        <f>MAX(AO46,($E46*IF(CE$2&gt;Inputs!$D$5,0,IF(CE$2&gt;VLOOKUP($H46,Lists!$P$3:$Q$7,2),IF($N46=Lists!$K$3,IF($L46&lt;1,(($U46/$L46)*((1+Inputs!$D$7)^CE$2)),((INT(CE$2/$L46)-INT((CE$2-1)/$L46))*$U46*((1+Inputs!$D$7)^CE$2))),(Inputs!$D$8^((1-_xlfn.WEIBULL.DIST(CE$2,$M46,$L46,FALSE))/_xlfn.WEIBULL.DIST(CE$2,$M46,$L46,FALSE))*$U46*((1+Inputs!$D$7)^CE$2))),IF($N46=Lists!$K$3,IF($L46&lt;1,((($T46*(1-$F46)+$S46*(1-$G46))/$L46)*((1+Inputs!$D$7)^CE$2)),((INT(CE$2/$L46)-INT((CE$2-1)/$L46))*($T46*(1-$F46)+$S46*(1-$G46))*((1+Inputs!$D$7)^CE$2))),((Inputs!$D$8^((1-_xlfn.WEIBULL.DIST(CE$2,$M46,$L46,FALSE))/_xlfn.WEIBULL.DIST(CE$2,$M46,$L46,FALSE))*($T46*(1-$F46)+$S46*(1-$G46))*((1+Inputs!$D$7)^CE$2))))))))</f>
        <v>3164.4405778803221</v>
      </c>
      <c r="CF46" s="88">
        <f>MAX(AP46,($E46*IF(CF$2&gt;Inputs!$D$5,0,IF(CF$2&gt;VLOOKUP($H46,Lists!$P$3:$Q$7,2),IF($N46=Lists!$K$3,IF($L46&lt;1,(($U46/$L46)*((1+Inputs!$D$7)^CF$2)),((INT(CF$2/$L46)-INT((CF$2-1)/$L46))*$U46*((1+Inputs!$D$7)^CF$2))),(Inputs!$D$8^((1-_xlfn.WEIBULL.DIST(CF$2,$M46,$L46,FALSE))/_xlfn.WEIBULL.DIST(CF$2,$M46,$L46,FALSE))*$U46*((1+Inputs!$D$7)^CF$2))),IF($N46=Lists!$K$3,IF($L46&lt;1,((($T46*(1-$F46)+$S46*(1-$G46))/$L46)*((1+Inputs!$D$7)^CF$2)),((INT(CF$2/$L46)-INT((CF$2-1)/$L46))*($T46*(1-$F46)+$S46*(1-$G46))*((1+Inputs!$D$7)^CF$2))),((Inputs!$D$8^((1-_xlfn.WEIBULL.DIST(CF$2,$M46,$L46,FALSE))/_xlfn.WEIBULL.DIST(CF$2,$M46,$L46,FALSE))*($T46*(1-$F46)+$S46*(1-$G46))*((1+Inputs!$D$7)^CF$2))))))))</f>
        <v>0</v>
      </c>
      <c r="CG46" s="88">
        <f>MAX(AQ46,($E46*IF(CG$2&gt;Inputs!$D$5,0,IF(CG$2&gt;VLOOKUP($H46,Lists!$P$3:$Q$7,2),IF($N46=Lists!$K$3,IF($L46&lt;1,(($U46/$L46)*((1+Inputs!$D$7)^CG$2)),((INT(CG$2/$L46)-INT((CG$2-1)/$L46))*$U46*((1+Inputs!$D$7)^CG$2))),(Inputs!$D$8^((1-_xlfn.WEIBULL.DIST(CG$2,$M46,$L46,FALSE))/_xlfn.WEIBULL.DIST(CG$2,$M46,$L46,FALSE))*$U46*((1+Inputs!$D$7)^CG$2))),IF($N46=Lists!$K$3,IF($L46&lt;1,((($T46*(1-$F46)+$S46*(1-$G46))/$L46)*((1+Inputs!$D$7)^CG$2)),((INT(CG$2/$L46)-INT((CG$2-1)/$L46))*($T46*(1-$F46)+$S46*(1-$G46))*((1+Inputs!$D$7)^CG$2))),((Inputs!$D$8^((1-_xlfn.WEIBULL.DIST(CG$2,$M46,$L46,FALSE))/_xlfn.WEIBULL.DIST(CG$2,$M46,$L46,FALSE))*($T46*(1-$F46)+$S46*(1-$G46))*((1+Inputs!$D$7)^CG$2))))))))</f>
        <v>0</v>
      </c>
      <c r="CH46" s="88">
        <f>MAX(AR46,($E46*IF(CH$2&gt;Inputs!$D$5,0,IF(CH$2&gt;VLOOKUP($H46,Lists!$P$3:$Q$7,2),IF($N46=Lists!$K$3,IF($L46&lt;1,(($U46/$L46)*((1+Inputs!$D$7)^CH$2)),((INT(CH$2/$L46)-INT((CH$2-1)/$L46))*$U46*((1+Inputs!$D$7)^CH$2))),(Inputs!$D$8^((1-_xlfn.WEIBULL.DIST(CH$2,$M46,$L46,FALSE))/_xlfn.WEIBULL.DIST(CH$2,$M46,$L46,FALSE))*$U46*((1+Inputs!$D$7)^CH$2))),IF($N46=Lists!$K$3,IF($L46&lt;1,((($T46*(1-$F46)+$S46*(1-$G46))/$L46)*((1+Inputs!$D$7)^CH$2)),((INT(CH$2/$L46)-INT((CH$2-1)/$L46))*($T46*(1-$F46)+$S46*(1-$G46))*((1+Inputs!$D$7)^CH$2))),((Inputs!$D$8^((1-_xlfn.WEIBULL.DIST(CH$2,$M46,$L46,FALSE))/_xlfn.WEIBULL.DIST(CH$2,$M46,$L46,FALSE))*($T46*(1-$F46)+$S46*(1-$G46))*((1+Inputs!$D$7)^CH$2))))))))</f>
        <v>0</v>
      </c>
      <c r="CI46" s="88">
        <f>MAX(AS46,($E46*IF(CI$2&gt;Inputs!$D$5,0,IF(CI$2&gt;VLOOKUP($H46,Lists!$P$3:$Q$7,2),IF($N46=Lists!$K$3,IF($L46&lt;1,(($U46/$L46)*((1+Inputs!$D$7)^CI$2)),((INT(CI$2/$L46)-INT((CI$2-1)/$L46))*$U46*((1+Inputs!$D$7)^CI$2))),(Inputs!$D$8^((1-_xlfn.WEIBULL.DIST(CI$2,$M46,$L46,FALSE))/_xlfn.WEIBULL.DIST(CI$2,$M46,$L46,FALSE))*$U46*((1+Inputs!$D$7)^CI$2))),IF($N46=Lists!$K$3,IF($L46&lt;1,((($T46*(1-$F46)+$S46*(1-$G46))/$L46)*((1+Inputs!$D$7)^CI$2)),((INT(CI$2/$L46)-INT((CI$2-1)/$L46))*($T46*(1-$F46)+$S46*(1-$G46))*((1+Inputs!$D$7)^CI$2))),((Inputs!$D$8^((1-_xlfn.WEIBULL.DIST(CI$2,$M46,$L46,FALSE))/_xlfn.WEIBULL.DIST(CI$2,$M46,$L46,FALSE))*($T46*(1-$F46)+$S46*(1-$G46))*((1+Inputs!$D$7)^CI$2))))))))</f>
        <v>0</v>
      </c>
      <c r="CJ46" s="88">
        <f>MAX(AT46,($E46*IF(CJ$2&gt;Inputs!$D$5,0,IF(CJ$2&gt;VLOOKUP($H46,Lists!$P$3:$Q$7,2),IF($N46=Lists!$K$3,IF($L46&lt;1,(($U46/$L46)*((1+Inputs!$D$7)^CJ$2)),((INT(CJ$2/$L46)-INT((CJ$2-1)/$L46))*$U46*((1+Inputs!$D$7)^CJ$2))),(Inputs!$D$8^((1-_xlfn.WEIBULL.DIST(CJ$2,$M46,$L46,FALSE))/_xlfn.WEIBULL.DIST(CJ$2,$M46,$L46,FALSE))*$U46*((1+Inputs!$D$7)^CJ$2))),IF($N46=Lists!$K$3,IF($L46&lt;1,((($T46*(1-$F46)+$S46*(1-$G46))/$L46)*((1+Inputs!$D$7)^CJ$2)),((INT(CJ$2/$L46)-INT((CJ$2-1)/$L46))*($T46*(1-$F46)+$S46*(1-$G46))*((1+Inputs!$D$7)^CJ$2))),((Inputs!$D$8^((1-_xlfn.WEIBULL.DIST(CJ$2,$M46,$L46,FALSE))/_xlfn.WEIBULL.DIST(CJ$2,$M46,$L46,FALSE))*($T46*(1-$F46)+$S46*(1-$G46))*((1+Inputs!$D$7)^CJ$2))))))))</f>
        <v>3493.7980949047787</v>
      </c>
      <c r="CK46" s="88">
        <f>MAX(AU46,($E46*IF(CK$2&gt;Inputs!$D$5,0,IF(CK$2&gt;VLOOKUP($H46,Lists!$P$3:$Q$7,2),IF($N46=Lists!$K$3,IF($L46&lt;1,(($U46/$L46)*((1+Inputs!$D$7)^CK$2)),((INT(CK$2/$L46)-INT((CK$2-1)/$L46))*$U46*((1+Inputs!$D$7)^CK$2))),(Inputs!$D$8^((1-_xlfn.WEIBULL.DIST(CK$2,$M46,$L46,FALSE))/_xlfn.WEIBULL.DIST(CK$2,$M46,$L46,FALSE))*$U46*((1+Inputs!$D$7)^CK$2))),IF($N46=Lists!$K$3,IF($L46&lt;1,((($T46*(1-$F46)+$S46*(1-$G46))/$L46)*((1+Inputs!$D$7)^CK$2)),((INT(CK$2/$L46)-INT((CK$2-1)/$L46))*($T46*(1-$F46)+$S46*(1-$G46))*((1+Inputs!$D$7)^CK$2))),((Inputs!$D$8^((1-_xlfn.WEIBULL.DIST(CK$2,$M46,$L46,FALSE))/_xlfn.WEIBULL.DIST(CK$2,$M46,$L46,FALSE))*($T46*(1-$F46)+$S46*(1-$G46))*((1+Inputs!$D$7)^CK$2))))))))</f>
        <v>0</v>
      </c>
      <c r="CL46" s="88">
        <f>MAX(AV46,($E46*IF(CL$2&gt;Inputs!$D$5,0,IF(CL$2&gt;VLOOKUP($H46,Lists!$P$3:$Q$7,2),IF($N46=Lists!$K$3,IF($L46&lt;1,(($U46/$L46)*((1+Inputs!$D$7)^CL$2)),((INT(CL$2/$L46)-INT((CL$2-1)/$L46))*$U46*((1+Inputs!$D$7)^CL$2))),(Inputs!$D$8^((1-_xlfn.WEIBULL.DIST(CL$2,$M46,$L46,FALSE))/_xlfn.WEIBULL.DIST(CL$2,$M46,$L46,FALSE))*$U46*((1+Inputs!$D$7)^CL$2))),IF($N46=Lists!$K$3,IF($L46&lt;1,((($T46*(1-$F46)+$S46*(1-$G46))/$L46)*((1+Inputs!$D$7)^CL$2)),((INT(CL$2/$L46)-INT((CL$2-1)/$L46))*($T46*(1-$F46)+$S46*(1-$G46))*((1+Inputs!$D$7)^CL$2))),((Inputs!$D$8^((1-_xlfn.WEIBULL.DIST(CL$2,$M46,$L46,FALSE))/_xlfn.WEIBULL.DIST(CL$2,$M46,$L46,FALSE))*($T46*(1-$F46)+$S46*(1-$G46))*((1+Inputs!$D$7)^CL$2))))))))</f>
        <v>0</v>
      </c>
      <c r="CM46" s="88">
        <f>MAX(AW46,($E46*IF(CM$2&gt;Inputs!$D$5,0,IF(CM$2&gt;VLOOKUP($H46,Lists!$P$3:$Q$7,2),IF($N46=Lists!$K$3,IF($L46&lt;1,(($U46/$L46)*((1+Inputs!$D$7)^CM$2)),((INT(CM$2/$L46)-INT((CM$2-1)/$L46))*$U46*((1+Inputs!$D$7)^CM$2))),(Inputs!$D$8^((1-_xlfn.WEIBULL.DIST(CM$2,$M46,$L46,FALSE))/_xlfn.WEIBULL.DIST(CM$2,$M46,$L46,FALSE))*$U46*((1+Inputs!$D$7)^CM$2))),IF($N46=Lists!$K$3,IF($L46&lt;1,((($T46*(1-$F46)+$S46*(1-$G46))/$L46)*((1+Inputs!$D$7)^CM$2)),((INT(CM$2/$L46)-INT((CM$2-1)/$L46))*($T46*(1-$F46)+$S46*(1-$G46))*((1+Inputs!$D$7)^CM$2))),((Inputs!$D$8^((1-_xlfn.WEIBULL.DIST(CM$2,$M46,$L46,FALSE))/_xlfn.WEIBULL.DIST(CM$2,$M46,$L46,FALSE))*($T46*(1-$F46)+$S46*(1-$G46))*((1+Inputs!$D$7)^CM$2))))))))</f>
        <v>0</v>
      </c>
      <c r="CN46" s="88">
        <f>MAX(AX46,($E46*IF(CN$2&gt;Inputs!$D$5,0,IF(CN$2&gt;VLOOKUP($H46,Lists!$P$3:$Q$7,2),IF($N46=Lists!$K$3,IF($L46&lt;1,(($U46/$L46)*((1+Inputs!$D$7)^CN$2)),((INT(CN$2/$L46)-INT((CN$2-1)/$L46))*$U46*((1+Inputs!$D$7)^CN$2))),(Inputs!$D$8^((1-_xlfn.WEIBULL.DIST(CN$2,$M46,$L46,FALSE))/_xlfn.WEIBULL.DIST(CN$2,$M46,$L46,FALSE))*$U46*((1+Inputs!$D$7)^CN$2))),IF($N46=Lists!$K$3,IF($L46&lt;1,((($T46*(1-$F46)+$S46*(1-$G46))/$L46)*((1+Inputs!$D$7)^CN$2)),((INT(CN$2/$L46)-INT((CN$2-1)/$L46))*($T46*(1-$F46)+$S46*(1-$G46))*((1+Inputs!$D$7)^CN$2))),((Inputs!$D$8^((1-_xlfn.WEIBULL.DIST(CN$2,$M46,$L46,FALSE))/_xlfn.WEIBULL.DIST(CN$2,$M46,$L46,FALSE))*($T46*(1-$F46)+$S46*(1-$G46))*((1+Inputs!$D$7)^CN$2))))))))</f>
        <v>0</v>
      </c>
      <c r="CO46" s="88">
        <f>MAX(AY46,($E46*IF(CO$2&gt;Inputs!$D$5,0,IF(CO$2&gt;VLOOKUP($H46,Lists!$P$3:$Q$7,2),IF($N46=Lists!$K$3,IF($L46&lt;1,(($U46/$L46)*((1+Inputs!$D$7)^CO$2)),((INT(CO$2/$L46)-INT((CO$2-1)/$L46))*$U46*((1+Inputs!$D$7)^CO$2))),(Inputs!$D$8^((1-_xlfn.WEIBULL.DIST(CO$2,$M46,$L46,FALSE))/_xlfn.WEIBULL.DIST(CO$2,$M46,$L46,FALSE))*$U46*((1+Inputs!$D$7)^CO$2))),IF($N46=Lists!$K$3,IF($L46&lt;1,((($T46*(1-$F46)+$S46*(1-$G46))/$L46)*((1+Inputs!$D$7)^CO$2)),((INT(CO$2/$L46)-INT((CO$2-1)/$L46))*($T46*(1-$F46)+$S46*(1-$G46))*((1+Inputs!$D$7)^CO$2))),((Inputs!$D$8^((1-_xlfn.WEIBULL.DIST(CO$2,$M46,$L46,FALSE))/_xlfn.WEIBULL.DIST(CO$2,$M46,$L46,FALSE))*($T46*(1-$F46)+$S46*(1-$G46))*((1+Inputs!$D$7)^CO$2))))))))</f>
        <v>3857.4354068410976</v>
      </c>
      <c r="CP46" s="88">
        <f>MAX(AZ46,($E46*IF(CP$2&gt;Inputs!$D$5,0,IF(CP$2&gt;VLOOKUP($H46,Lists!$P$3:$Q$7,2),IF($N46=Lists!$K$3,IF($L46&lt;1,(($U46/$L46)*((1+Inputs!$D$7)^CP$2)),((INT(CP$2/$L46)-INT((CP$2-1)/$L46))*$U46*((1+Inputs!$D$7)^CP$2))),(Inputs!$D$8^((1-_xlfn.WEIBULL.DIST(CP$2,$M46,$L46,FALSE))/_xlfn.WEIBULL.DIST(CP$2,$M46,$L46,FALSE))*$U46*((1+Inputs!$D$7)^CP$2))),IF($N46=Lists!$K$3,IF($L46&lt;1,((($T46*(1-$F46)+$S46*(1-$G46))/$L46)*((1+Inputs!$D$7)^CP$2)),((INT(CP$2/$L46)-INT((CP$2-1)/$L46))*($T46*(1-$F46)+$S46*(1-$G46))*((1+Inputs!$D$7)^CP$2))),((Inputs!$D$8^((1-_xlfn.WEIBULL.DIST(CP$2,$M46,$L46,FALSE))/_xlfn.WEIBULL.DIST(CP$2,$M46,$L46,FALSE))*($T46*(1-$F46)+$S46*(1-$G46))*((1+Inputs!$D$7)^CP$2))))))))</f>
        <v>0</v>
      </c>
      <c r="CQ46" s="88">
        <f>MAX(BA46,($E46*IF(CQ$2&gt;Inputs!$D$5,0,IF(CQ$2&gt;VLOOKUP($H46,Lists!$P$3:$Q$7,2),IF($N46=Lists!$K$3,IF($L46&lt;1,(($U46/$L46)*((1+Inputs!$D$7)^CQ$2)),((INT(CQ$2/$L46)-INT((CQ$2-1)/$L46))*$U46*((1+Inputs!$D$7)^CQ$2))),(Inputs!$D$8^((1-_xlfn.WEIBULL.DIST(CQ$2,$M46,$L46,FALSE))/_xlfn.WEIBULL.DIST(CQ$2,$M46,$L46,FALSE))*$U46*((1+Inputs!$D$7)^CQ$2))),IF($N46=Lists!$K$3,IF($L46&lt;1,((($T46*(1-$F46)+$S46*(1-$G46))/$L46)*((1+Inputs!$D$7)^CQ$2)),((INT(CQ$2/$L46)-INT((CQ$2-1)/$L46))*($T46*(1-$F46)+$S46*(1-$G46))*((1+Inputs!$D$7)^CQ$2))),((Inputs!$D$8^((1-_xlfn.WEIBULL.DIST(CQ$2,$M46,$L46,FALSE))/_xlfn.WEIBULL.DIST(CQ$2,$M46,$L46,FALSE))*($T46*(1-$F46)+$S46*(1-$G46))*((1+Inputs!$D$7)^CQ$2))))))))</f>
        <v>0</v>
      </c>
      <c r="CR46" s="88">
        <f>MAX(BB46,($E46*IF(CR$2&gt;Inputs!$D$5,0,IF(CR$2&gt;VLOOKUP($H46,Lists!$P$3:$Q$7,2),IF($N46=Lists!$K$3,IF($L46&lt;1,(($U46/$L46)*((1+Inputs!$D$7)^CR$2)),((INT(CR$2/$L46)-INT((CR$2-1)/$L46))*$U46*((1+Inputs!$D$7)^CR$2))),(Inputs!$D$8^((1-_xlfn.WEIBULL.DIST(CR$2,$M46,$L46,FALSE))/_xlfn.WEIBULL.DIST(CR$2,$M46,$L46,FALSE))*$U46*((1+Inputs!$D$7)^CR$2))),IF($N46=Lists!$K$3,IF($L46&lt;1,((($T46*(1-$F46)+$S46*(1-$G46))/$L46)*((1+Inputs!$D$7)^CR$2)),((INT(CR$2/$L46)-INT((CR$2-1)/$L46))*($T46*(1-$F46)+$S46*(1-$G46))*((1+Inputs!$D$7)^CR$2))),((Inputs!$D$8^((1-_xlfn.WEIBULL.DIST(CR$2,$M46,$L46,FALSE))/_xlfn.WEIBULL.DIST(CR$2,$M46,$L46,FALSE))*($T46*(1-$F46)+$S46*(1-$G46))*((1+Inputs!$D$7)^CR$2))))))))</f>
        <v>0</v>
      </c>
      <c r="CS46" s="88">
        <f>MAX(BC46,($E46*IF(CS$2&gt;Inputs!$D$5,0,IF(CS$2&gt;VLOOKUP($H46,Lists!$P$3:$Q$7,2),IF($N46=Lists!$K$3,IF($L46&lt;1,(($U46/$L46)*((1+Inputs!$D$7)^CS$2)),((INT(CS$2/$L46)-INT((CS$2-1)/$L46))*$U46*((1+Inputs!$D$7)^CS$2))),(Inputs!$D$8^((1-_xlfn.WEIBULL.DIST(CS$2,$M46,$L46,FALSE))/_xlfn.WEIBULL.DIST(CS$2,$M46,$L46,FALSE))*$U46*((1+Inputs!$D$7)^CS$2))),IF($N46=Lists!$K$3,IF($L46&lt;1,((($T46*(1-$F46)+$S46*(1-$G46))/$L46)*((1+Inputs!$D$7)^CS$2)),((INT(CS$2/$L46)-INT((CS$2-1)/$L46))*($T46*(1-$F46)+$S46*(1-$G46))*((1+Inputs!$D$7)^CS$2))),((Inputs!$D$8^((1-_xlfn.WEIBULL.DIST(CS$2,$M46,$L46,FALSE))/_xlfn.WEIBULL.DIST(CS$2,$M46,$L46,FALSE))*($T46*(1-$F46)+$S46*(1-$G46))*((1+Inputs!$D$7)^CS$2))))))))</f>
        <v>0</v>
      </c>
      <c r="CT46" s="88">
        <f>MAX(BD46,($E46*IF(CT$2&gt;Inputs!$D$5,0,IF(CT$2&gt;VLOOKUP($H46,Lists!$P$3:$Q$7,2),IF($N46=Lists!$K$3,IF($L46&lt;1,(($U46/$L46)*((1+Inputs!$D$7)^CT$2)),((INT(CT$2/$L46)-INT((CT$2-1)/$L46))*$U46*((1+Inputs!$D$7)^CT$2))),(Inputs!$D$8^((1-_xlfn.WEIBULL.DIST(CT$2,$M46,$L46,FALSE))/_xlfn.WEIBULL.DIST(CT$2,$M46,$L46,FALSE))*$U46*((1+Inputs!$D$7)^CT$2))),IF($N46=Lists!$K$3,IF($L46&lt;1,((($T46*(1-$F46)+$S46*(1-$G46))/$L46)*((1+Inputs!$D$7)^CT$2)),((INT(CT$2/$L46)-INT((CT$2-1)/$L46))*($T46*(1-$F46)+$S46*(1-$G46))*((1+Inputs!$D$7)^CT$2))),((Inputs!$D$8^((1-_xlfn.WEIBULL.DIST(CT$2,$M46,$L46,FALSE))/_xlfn.WEIBULL.DIST(CT$2,$M46,$L46,FALSE))*($T46*(1-$F46)+$S46*(1-$G46))*((1+Inputs!$D$7)^CT$2))))))))</f>
        <v>0</v>
      </c>
      <c r="CU46" s="88">
        <f>MAX(BE46,($E46*IF(CU$2&gt;Inputs!$D$5,0,IF(CU$2&gt;VLOOKUP($H46,Lists!$P$3:$Q$7,2),IF($N46=Lists!$K$3,IF($L46&lt;1,(($U46/$L46)*((1+Inputs!$D$7)^CU$2)),((INT(CU$2/$L46)-INT((CU$2-1)/$L46))*$U46*((1+Inputs!$D$7)^CU$2))),(Inputs!$D$8^((1-_xlfn.WEIBULL.DIST(CU$2,$M46,$L46,FALSE))/_xlfn.WEIBULL.DIST(CU$2,$M46,$L46,FALSE))*$U46*((1+Inputs!$D$7)^CU$2))),IF($N46=Lists!$K$3,IF($L46&lt;1,((($T46*(1-$F46)+$S46*(1-$G46))/$L46)*((1+Inputs!$D$7)^CU$2)),((INT(CU$2/$L46)-INT((CU$2-1)/$L46))*($T46*(1-$F46)+$S46*(1-$G46))*((1+Inputs!$D$7)^CU$2))),((Inputs!$D$8^((1-_xlfn.WEIBULL.DIST(CU$2,$M46,$L46,FALSE))/_xlfn.WEIBULL.DIST(CU$2,$M46,$L46,FALSE))*($T46*(1-$F46)+$S46*(1-$G46))*((1+Inputs!$D$7)^CU$2))))))))</f>
        <v>0</v>
      </c>
      <c r="CV46" s="88">
        <f>MAX(BF46,($E46*IF(CV$2&gt;Inputs!$D$5,0,IF(CV$2&gt;VLOOKUP($H46,Lists!$P$3:$Q$7,2),IF($N46=Lists!$K$3,IF($L46&lt;1,(($U46/$L46)*((1+Inputs!$D$7)^CV$2)),((INT(CV$2/$L46)-INT((CV$2-1)/$L46))*$U46*((1+Inputs!$D$7)^CV$2))),(Inputs!$D$8^((1-_xlfn.WEIBULL.DIST(CV$2,$M46,$L46,FALSE))/_xlfn.WEIBULL.DIST(CV$2,$M46,$L46,FALSE))*$U46*((1+Inputs!$D$7)^CV$2))),IF($N46=Lists!$K$3,IF($L46&lt;1,((($T46*(1-$F46)+$S46*(1-$G46))/$L46)*((1+Inputs!$D$7)^CV$2)),((INT(CV$2/$L46)-INT((CV$2-1)/$L46))*($T46*(1-$F46)+$S46*(1-$G46))*((1+Inputs!$D$7)^CV$2))),((Inputs!$D$8^((1-_xlfn.WEIBULL.DIST(CV$2,$M46,$L46,FALSE))/_xlfn.WEIBULL.DIST(CV$2,$M46,$L46,FALSE))*($T46*(1-$F46)+$S46*(1-$G46))*((1+Inputs!$D$7)^CV$2))))))))</f>
        <v>0</v>
      </c>
      <c r="CW46" s="88">
        <f>MAX(BG46,($E46*IF(CW$2&gt;Inputs!$D$5,0,IF(CW$2&gt;VLOOKUP($H46,Lists!$P$3:$Q$7,2),IF($N46=Lists!$K$3,IF($L46&lt;1,(($U46/$L46)*((1+Inputs!$D$7)^CW$2)),((INT(CW$2/$L46)-INT((CW$2-1)/$L46))*$U46*((1+Inputs!$D$7)^CW$2))),(Inputs!$D$8^((1-_xlfn.WEIBULL.DIST(CW$2,$M46,$L46,FALSE))/_xlfn.WEIBULL.DIST(CW$2,$M46,$L46,FALSE))*$U46*((1+Inputs!$D$7)^CW$2))),IF($N46=Lists!$K$3,IF($L46&lt;1,((($T46*(1-$F46)+$S46*(1-$G46))/$L46)*((1+Inputs!$D$7)^CW$2)),((INT(CW$2/$L46)-INT((CW$2-1)/$L46))*($T46*(1-$F46)+$S46*(1-$G46))*((1+Inputs!$D$7)^CW$2))),((Inputs!$D$8^((1-_xlfn.WEIBULL.DIST(CW$2,$M46,$L46,FALSE))/_xlfn.WEIBULL.DIST(CW$2,$M46,$L46,FALSE))*($T46*(1-$F46)+$S46*(1-$G46))*((1+Inputs!$D$7)^CW$2))))))))</f>
        <v>0</v>
      </c>
      <c r="CX46" s="88">
        <f>MAX(BH46,($E46*IF(CX$2&gt;Inputs!$D$5,0,IF(CX$2&gt;VLOOKUP($H46,Lists!$P$3:$Q$7,2),IF($N46=Lists!$K$3,IF($L46&lt;1,(($U46/$L46)*((1+Inputs!$D$7)^CX$2)),((INT(CX$2/$L46)-INT((CX$2-1)/$L46))*$U46*((1+Inputs!$D$7)^CX$2))),(Inputs!$D$8^((1-_xlfn.WEIBULL.DIST(CX$2,$M46,$L46,FALSE))/_xlfn.WEIBULL.DIST(CX$2,$M46,$L46,FALSE))*$U46*((1+Inputs!$D$7)^CX$2))),IF($N46=Lists!$K$3,IF($L46&lt;1,((($T46*(1-$F46)+$S46*(1-$G46))/$L46)*((1+Inputs!$D$7)^CX$2)),((INT(CX$2/$L46)-INT((CX$2-1)/$L46))*($T46*(1-$F46)+$S46*(1-$G46))*((1+Inputs!$D$7)^CX$2))),((Inputs!$D$8^((1-_xlfn.WEIBULL.DIST(CX$2,$M46,$L46,FALSE))/_xlfn.WEIBULL.DIST(CX$2,$M46,$L46,FALSE))*($T46*(1-$F46)+$S46*(1-$G46))*((1+Inputs!$D$7)^CX$2))))))))</f>
        <v>0</v>
      </c>
      <c r="CY46" s="88">
        <f>MAX(BI46,($E46*IF(CY$2&gt;Inputs!$D$5,0,IF(CY$2&gt;VLOOKUP($H46,Lists!$P$3:$Q$7,2),IF($N46=Lists!$K$3,IF($L46&lt;1,(($U46/$L46)*((1+Inputs!$D$7)^CY$2)),((INT(CY$2/$L46)-INT((CY$2-1)/$L46))*$U46*((1+Inputs!$D$7)^CY$2))),(Inputs!$D$8^((1-_xlfn.WEIBULL.DIST(CY$2,$M46,$L46,FALSE))/_xlfn.WEIBULL.DIST(CY$2,$M46,$L46,FALSE))*$U46*((1+Inputs!$D$7)^CY$2))),IF($N46=Lists!$K$3,IF($L46&lt;1,((($T46*(1-$F46)+$S46*(1-$G46))/$L46)*((1+Inputs!$D$7)^CY$2)),((INT(CY$2/$L46)-INT((CY$2-1)/$L46))*($T46*(1-$F46)+$S46*(1-$G46))*((1+Inputs!$D$7)^CY$2))),((Inputs!$D$8^((1-_xlfn.WEIBULL.DIST(CY$2,$M46,$L46,FALSE))/_xlfn.WEIBULL.DIST(CY$2,$M46,$L46,FALSE))*($T46*(1-$F46)+$S46*(1-$G46))*((1+Inputs!$D$7)^CY$2))))))))</f>
        <v>0</v>
      </c>
      <c r="CZ46" s="88">
        <f>MAX(BJ46,($E46*IF(CZ$2&gt;Inputs!$D$5,0,IF(CZ$2&gt;VLOOKUP($H46,Lists!$P$3:$Q$7,2),IF($N46=Lists!$K$3,IF($L46&lt;1,(($U46/$L46)*((1+Inputs!$D$7)^CZ$2)),((INT(CZ$2/$L46)-INT((CZ$2-1)/$L46))*$U46*((1+Inputs!$D$7)^CZ$2))),(Inputs!$D$8^((1-_xlfn.WEIBULL.DIST(CZ$2,$M46,$L46,FALSE))/_xlfn.WEIBULL.DIST(CZ$2,$M46,$L46,FALSE))*$U46*((1+Inputs!$D$7)^CZ$2))),IF($N46=Lists!$K$3,IF($L46&lt;1,((($T46*(1-$F46)+$S46*(1-$G46))/$L46)*((1+Inputs!$D$7)^CZ$2)),((INT(CZ$2/$L46)-INT((CZ$2-1)/$L46))*($T46*(1-$F46)+$S46*(1-$G46))*((1+Inputs!$D$7)^CZ$2))),((Inputs!$D$8^((1-_xlfn.WEIBULL.DIST(CZ$2,$M46,$L46,FALSE))/_xlfn.WEIBULL.DIST(CZ$2,$M46,$L46,FALSE))*($T46*(1-$F46)+$S46*(1-$G46))*((1+Inputs!$D$7)^CZ$2))))))))</f>
        <v>0</v>
      </c>
      <c r="DA46" s="88">
        <f>MAX(BK46,($E46*IF(DA$2&gt;Inputs!$D$5,0,IF(DA$2&gt;VLOOKUP($H46,Lists!$P$3:$Q$7,2),IF($N46=Lists!$K$3,IF($L46&lt;1,(($U46/$L46)*((1+Inputs!$D$7)^DA$2)),((INT(DA$2/$L46)-INT((DA$2-1)/$L46))*$U46*((1+Inputs!$D$7)^DA$2))),(Inputs!$D$8^((1-_xlfn.WEIBULL.DIST(DA$2,$M46,$L46,FALSE))/_xlfn.WEIBULL.DIST(DA$2,$M46,$L46,FALSE))*$U46*((1+Inputs!$D$7)^DA$2))),IF($N46=Lists!$K$3,IF($L46&lt;1,((($T46*(1-$F46)+$S46*(1-$G46))/$L46)*((1+Inputs!$D$7)^DA$2)),((INT(DA$2/$L46)-INT((DA$2-1)/$L46))*($T46*(1-$F46)+$S46*(1-$G46))*((1+Inputs!$D$7)^DA$2))),((Inputs!$D$8^((1-_xlfn.WEIBULL.DIST(DA$2,$M46,$L46,FALSE))/_xlfn.WEIBULL.DIST(DA$2,$M46,$L46,FALSE))*($T46*(1-$F46)+$S46*(1-$G46))*((1+Inputs!$D$7)^DA$2))))))))</f>
        <v>0</v>
      </c>
      <c r="DB46" s="88">
        <f>MAX(BL46,($E46*IF(DB$2&gt;Inputs!$D$5,0,IF(DB$2&gt;VLOOKUP($H46,Lists!$P$3:$Q$7,2),IF($N46=Lists!$K$3,IF($L46&lt;1,(($U46/$L46)*((1+Inputs!$D$7)^DB$2)),((INT(DB$2/$L46)-INT((DB$2-1)/$L46))*$U46*((1+Inputs!$D$7)^DB$2))),(Inputs!$D$8^((1-_xlfn.WEIBULL.DIST(DB$2,$M46,$L46,FALSE))/_xlfn.WEIBULL.DIST(DB$2,$M46,$L46,FALSE))*$U46*((1+Inputs!$D$7)^DB$2))),IF($N46=Lists!$K$3,IF($L46&lt;1,((($T46*(1-$F46)+$S46*(1-$G46))/$L46)*((1+Inputs!$D$7)^DB$2)),((INT(DB$2/$L46)-INT((DB$2-1)/$L46))*($T46*(1-$F46)+$S46*(1-$G46))*((1+Inputs!$D$7)^DB$2))),((Inputs!$D$8^((1-_xlfn.WEIBULL.DIST(DB$2,$M46,$L46,FALSE))/_xlfn.WEIBULL.DIST(DB$2,$M46,$L46,FALSE))*($T46*(1-$F46)+$S46*(1-$G46))*((1+Inputs!$D$7)^DB$2))))))))</f>
        <v>0</v>
      </c>
      <c r="DC46" s="88">
        <f>MAX(BM46,($E46*IF(DC$2&gt;Inputs!$D$5,0,IF(DC$2&gt;VLOOKUP($H46,Lists!$P$3:$Q$7,2),IF($N46=Lists!$K$3,IF($L46&lt;1,(($U46/$L46)*((1+Inputs!$D$7)^DC$2)),((INT(DC$2/$L46)-INT((DC$2-1)/$L46))*$U46*((1+Inputs!$D$7)^DC$2))),(Inputs!$D$8^((1-_xlfn.WEIBULL.DIST(DC$2,$M46,$L46,FALSE))/_xlfn.WEIBULL.DIST(DC$2,$M46,$L46,FALSE))*$U46*((1+Inputs!$D$7)^DC$2))),IF($N46=Lists!$K$3,IF($L46&lt;1,((($T46*(1-$F46)+$S46*(1-$G46))/$L46)*((1+Inputs!$D$7)^DC$2)),((INT(DC$2/$L46)-INT((DC$2-1)/$L46))*($T46*(1-$F46)+$S46*(1-$G46))*((1+Inputs!$D$7)^DC$2))),((Inputs!$D$8^((1-_xlfn.WEIBULL.DIST(DC$2,$M46,$L46,FALSE))/_xlfn.WEIBULL.DIST(DC$2,$M46,$L46,FALSE))*($T46*(1-$F46)+$S46*(1-$G46))*((1+Inputs!$D$7)^DC$2))))))))</f>
        <v>0</v>
      </c>
      <c r="DD46" s="88">
        <f>MAX(BN46,($E46*IF(DD$2&gt;Inputs!$D$5,0,IF(DD$2&gt;VLOOKUP($H46,Lists!$P$3:$Q$7,2),IF($N46=Lists!$K$3,IF($L46&lt;1,(($U46/$L46)*((1+Inputs!$D$7)^DD$2)),((INT(DD$2/$L46)-INT((DD$2-1)/$L46))*$U46*((1+Inputs!$D$7)^DD$2))),(Inputs!$D$8^((1-_xlfn.WEIBULL.DIST(DD$2,$M46,$L46,FALSE))/_xlfn.WEIBULL.DIST(DD$2,$M46,$L46,FALSE))*$U46*((1+Inputs!$D$7)^DD$2))),IF($N46=Lists!$K$3,IF($L46&lt;1,((($T46*(1-$F46)+$S46*(1-$G46))/$L46)*((1+Inputs!$D$7)^DD$2)),((INT(DD$2/$L46)-INT((DD$2-1)/$L46))*($T46*(1-$F46)+$S46*(1-$G46))*((1+Inputs!$D$7)^DD$2))),((Inputs!$D$8^((1-_xlfn.WEIBULL.DIST(DD$2,$M46,$L46,FALSE))/_xlfn.WEIBULL.DIST(DD$2,$M46,$L46,FALSE))*($T46*(1-$F46)+$S46*(1-$G46))*((1+Inputs!$D$7)^DD$2))))))))</f>
        <v>0</v>
      </c>
    </row>
    <row r="47" spans="1:108" s="1" customFormat="1" ht="16">
      <c r="A47" s="57" t="s">
        <v>182</v>
      </c>
      <c r="B47" s="13" t="s">
        <v>130</v>
      </c>
      <c r="C47" s="13" t="s">
        <v>474</v>
      </c>
      <c r="D47" s="13" t="s">
        <v>165</v>
      </c>
      <c r="E47" s="48">
        <v>1</v>
      </c>
      <c r="F47" s="48">
        <v>0</v>
      </c>
      <c r="G47" s="48">
        <v>0</v>
      </c>
      <c r="H47" s="105" t="s">
        <v>350</v>
      </c>
      <c r="I47" s="14" t="s">
        <v>24</v>
      </c>
      <c r="J47" s="14" t="s">
        <v>89</v>
      </c>
      <c r="K47" s="13">
        <f>VLOOKUP(J47,'Labor Rates'!$A$1:$F$16,2)</f>
        <v>45.884999999999998</v>
      </c>
      <c r="L47" s="15">
        <v>20</v>
      </c>
      <c r="M47" s="15">
        <v>3</v>
      </c>
      <c r="N47" s="16" t="s">
        <v>240</v>
      </c>
      <c r="O47" s="61">
        <v>1</v>
      </c>
      <c r="P47" s="15">
        <v>1</v>
      </c>
      <c r="Q47" s="15">
        <f t="shared" si="7"/>
        <v>0.05</v>
      </c>
      <c r="R47" s="4">
        <v>0</v>
      </c>
      <c r="S47" s="53">
        <f t="shared" si="8"/>
        <v>45.884999999999998</v>
      </c>
      <c r="T47" s="53">
        <f t="shared" si="9"/>
        <v>0</v>
      </c>
      <c r="U47" s="54">
        <f t="shared" si="10"/>
        <v>45.884999999999998</v>
      </c>
      <c r="V47" s="65"/>
      <c r="W47" s="58"/>
      <c r="X47" s="64">
        <f t="shared" si="11"/>
        <v>3.4091348132233392</v>
      </c>
      <c r="Y47" s="64">
        <f>NPV(Inputs!$D$6,AA47:BN47)</f>
        <v>17.619704377824377</v>
      </c>
      <c r="Z47" s="67">
        <f t="shared" si="12"/>
        <v>8.3103127910231022E-6</v>
      </c>
      <c r="AA47" s="88">
        <f>$E47*IF(AA$2&gt;Inputs!$D$5,0,IF(AA$2&gt;VLOOKUP($H47,Lists!$P$3:$Q$7,2),IF($N47=Lists!$K$3,IF($L47&lt;1,(($U47/$L47)*((1+Inputs!$D$7)^AA$2)),((INT(AA$2/$L47)-INT((AA$2-1)/$L47))*$U47*((1+Inputs!$D$7)^AA$2))),(_xlfn.WEIBULL.DIST(AA$2,$M47,$L47,FALSE)*$U47*((1+Inputs!$D$7)^AA$2))),IF($N47=Lists!$K$3,IF($L47&lt;1,((($T47*(1-$F47)+$S47*(1-$G47))/$L47)*((1+Inputs!$D$7)^AA$2)),((INT(AA$2/$L47)-INT((AA$2-1)/$L47))*($T47*(1-$F47)+$S47*(1-$G47))*((1+Inputs!$D$7)^AA$2))),((_xlfn.WEIBULL.DIST(AA$2,$M47,$L47,FALSE)*($T47*(1-$F47)+$S47*(1-$G47))*((1+Inputs!$D$7)^AA$2))))))</f>
        <v>0</v>
      </c>
      <c r="AB47" s="88">
        <f>$E47*IF(AB$2&gt;Inputs!$D$5,0,IF(AB$2&gt;VLOOKUP($H47,Lists!$P$3:$Q$7,2),IF($N47=Lists!$K$3,IF($L47&lt;1,(($U47/$L47)*((1+Inputs!$D$7)^AB$2)),((INT(AB$2/$L47)-INT((AB$2-1)/$L47))*$U47*((1+Inputs!$D$7)^AB$2))),(_xlfn.WEIBULL.DIST(AB$2,$M47,$L47,FALSE)*$U47*((1+Inputs!$D$7)^AB$2))),IF($N47=Lists!$K$3,IF($L47&lt;1,((($T47*(1-$F47)+$S47*(1-$G47))/$L47)*((1+Inputs!$D$7)^AB$2)),((INT(AB$2/$L47)-INT((AB$2-1)/$L47))*($T47*(1-$F47)+$S47*(1-$G47))*((1+Inputs!$D$7)^AB$2))),((_xlfn.WEIBULL.DIST(AB$2,$M47,$L47,FALSE)*($T47*(1-$F47)+$S47*(1-$G47))*((1+Inputs!$D$7)^AB$2))))))</f>
        <v>0</v>
      </c>
      <c r="AC47" s="88">
        <f>$E47*IF(AC$2&gt;Inputs!$D$5,0,IF(AC$2&gt;VLOOKUP($H47,Lists!$P$3:$Q$7,2),IF($N47=Lists!$K$3,IF($L47&lt;1,(($U47/$L47)*((1+Inputs!$D$7)^AC$2)),((INT(AC$2/$L47)-INT((AC$2-1)/$L47))*$U47*((1+Inputs!$D$7)^AC$2))),(_xlfn.WEIBULL.DIST(AC$2,$M47,$L47,FALSE)*$U47*((1+Inputs!$D$7)^AC$2))),IF($N47=Lists!$K$3,IF($L47&lt;1,((($T47*(1-$F47)+$S47*(1-$G47))/$L47)*((1+Inputs!$D$7)^AC$2)),((INT(AC$2/$L47)-INT((AC$2-1)/$L47))*($T47*(1-$F47)+$S47*(1-$G47))*((1+Inputs!$D$7)^AC$2))),((_xlfn.WEIBULL.DIST(AC$2,$M47,$L47,FALSE)*($T47*(1-$F47)+$S47*(1-$G47))*((1+Inputs!$D$7)^AC$2))))))</f>
        <v>0</v>
      </c>
      <c r="AD47" s="88">
        <f>$E47*IF(AD$2&gt;Inputs!$D$5,0,IF(AD$2&gt;VLOOKUP($H47,Lists!$P$3:$Q$7,2),IF($N47=Lists!$K$3,IF($L47&lt;1,(($U47/$L47)*((1+Inputs!$D$7)^AD$2)),((INT(AD$2/$L47)-INT((AD$2-1)/$L47))*$U47*((1+Inputs!$D$7)^AD$2))),(_xlfn.WEIBULL.DIST(AD$2,$M47,$L47,FALSE)*$U47*((1+Inputs!$D$7)^AD$2))),IF($N47=Lists!$K$3,IF($L47&lt;1,((($T47*(1-$F47)+$S47*(1-$G47))/$L47)*((1+Inputs!$D$7)^AD$2)),((INT(AD$2/$L47)-INT((AD$2-1)/$L47))*($T47*(1-$F47)+$S47*(1-$G47))*((1+Inputs!$D$7)^AD$2))),((_xlfn.WEIBULL.DIST(AD$2,$M47,$L47,FALSE)*($T47*(1-$F47)+$S47*(1-$G47))*((1+Inputs!$D$7)^AD$2))))))</f>
        <v>0</v>
      </c>
      <c r="AE47" s="88">
        <f>$E47*IF(AE$2&gt;Inputs!$D$5,0,IF(AE$2&gt;VLOOKUP($H47,Lists!$P$3:$Q$7,2),IF($N47=Lists!$K$3,IF($L47&lt;1,(($U47/$L47)*((1+Inputs!$D$7)^AE$2)),((INT(AE$2/$L47)-INT((AE$2-1)/$L47))*$U47*((1+Inputs!$D$7)^AE$2))),(_xlfn.WEIBULL.DIST(AE$2,$M47,$L47,FALSE)*$U47*((1+Inputs!$D$7)^AE$2))),IF($N47=Lists!$K$3,IF($L47&lt;1,((($T47*(1-$F47)+$S47*(1-$G47))/$L47)*((1+Inputs!$D$7)^AE$2)),((INT(AE$2/$L47)-INT((AE$2-1)/$L47))*($T47*(1-$F47)+$S47*(1-$G47))*((1+Inputs!$D$7)^AE$2))),((_xlfn.WEIBULL.DIST(AE$2,$M47,$L47,FALSE)*($T47*(1-$F47)+$S47*(1-$G47))*((1+Inputs!$D$7)^AE$2))))))</f>
        <v>0</v>
      </c>
      <c r="AF47" s="88">
        <f>$E47*IF(AF$2&gt;Inputs!$D$5,0,IF(AF$2&gt;VLOOKUP($H47,Lists!$P$3:$Q$7,2),IF($N47=Lists!$K$3,IF($L47&lt;1,(($U47/$L47)*((1+Inputs!$D$7)^AF$2)),((INT(AF$2/$L47)-INT((AF$2-1)/$L47))*$U47*((1+Inputs!$D$7)^AF$2))),(_xlfn.WEIBULL.DIST(AF$2,$M47,$L47,FALSE)*$U47*((1+Inputs!$D$7)^AF$2))),IF($N47=Lists!$K$3,IF($L47&lt;1,((($T47*(1-$F47)+$S47*(1-$G47))/$L47)*((1+Inputs!$D$7)^AF$2)),((INT(AF$2/$L47)-INT((AF$2-1)/$L47))*($T47*(1-$F47)+$S47*(1-$G47))*((1+Inputs!$D$7)^AF$2))),((_xlfn.WEIBULL.DIST(AF$2,$M47,$L47,FALSE)*($T47*(1-$F47)+$S47*(1-$G47))*((1+Inputs!$D$7)^AF$2))))))</f>
        <v>0</v>
      </c>
      <c r="AG47" s="88">
        <f>$E47*IF(AG$2&gt;Inputs!$D$5,0,IF(AG$2&gt;VLOOKUP($H47,Lists!$P$3:$Q$7,2),IF($N47=Lists!$K$3,IF($L47&lt;1,(($U47/$L47)*((1+Inputs!$D$7)^AG$2)),((INT(AG$2/$L47)-INT((AG$2-1)/$L47))*$U47*((1+Inputs!$D$7)^AG$2))),(_xlfn.WEIBULL.DIST(AG$2,$M47,$L47,FALSE)*$U47*((1+Inputs!$D$7)^AG$2))),IF($N47=Lists!$K$3,IF($L47&lt;1,((($T47*(1-$F47)+$S47*(1-$G47))/$L47)*((1+Inputs!$D$7)^AG$2)),((INT(AG$2/$L47)-INT((AG$2-1)/$L47))*($T47*(1-$F47)+$S47*(1-$G47))*((1+Inputs!$D$7)^AG$2))),((_xlfn.WEIBULL.DIST(AG$2,$M47,$L47,FALSE)*($T47*(1-$F47)+$S47*(1-$G47))*((1+Inputs!$D$7)^AG$2))))))</f>
        <v>0</v>
      </c>
      <c r="AH47" s="88">
        <f>$E47*IF(AH$2&gt;Inputs!$D$5,0,IF(AH$2&gt;VLOOKUP($H47,Lists!$P$3:$Q$7,2),IF($N47=Lists!$K$3,IF($L47&lt;1,(($U47/$L47)*((1+Inputs!$D$7)^AH$2)),((INT(AH$2/$L47)-INT((AH$2-1)/$L47))*$U47*((1+Inputs!$D$7)^AH$2))),(_xlfn.WEIBULL.DIST(AH$2,$M47,$L47,FALSE)*$U47*((1+Inputs!$D$7)^AH$2))),IF($N47=Lists!$K$3,IF($L47&lt;1,((($T47*(1-$F47)+$S47*(1-$G47))/$L47)*((1+Inputs!$D$7)^AH$2)),((INT(AH$2/$L47)-INT((AH$2-1)/$L47))*($T47*(1-$F47)+$S47*(1-$G47))*((1+Inputs!$D$7)^AH$2))),((_xlfn.WEIBULL.DIST(AH$2,$M47,$L47,FALSE)*($T47*(1-$F47)+$S47*(1-$G47))*((1+Inputs!$D$7)^AH$2))))))</f>
        <v>0</v>
      </c>
      <c r="AI47" s="88">
        <f>$E47*IF(AI$2&gt;Inputs!$D$5,0,IF(AI$2&gt;VLOOKUP($H47,Lists!$P$3:$Q$7,2),IF($N47=Lists!$K$3,IF($L47&lt;1,(($U47/$L47)*((1+Inputs!$D$7)^AI$2)),((INT(AI$2/$L47)-INT((AI$2-1)/$L47))*$U47*((1+Inputs!$D$7)^AI$2))),(_xlfn.WEIBULL.DIST(AI$2,$M47,$L47,FALSE)*$U47*((1+Inputs!$D$7)^AI$2))),IF($N47=Lists!$K$3,IF($L47&lt;1,((($T47*(1-$F47)+$S47*(1-$G47))/$L47)*((1+Inputs!$D$7)^AI$2)),((INT(AI$2/$L47)-INT((AI$2-1)/$L47))*($T47*(1-$F47)+$S47*(1-$G47))*((1+Inputs!$D$7)^AI$2))),((_xlfn.WEIBULL.DIST(AI$2,$M47,$L47,FALSE)*($T47*(1-$F47)+$S47*(1-$G47))*((1+Inputs!$D$7)^AI$2))))))</f>
        <v>0</v>
      </c>
      <c r="AJ47" s="88">
        <f>$E47*IF(AJ$2&gt;Inputs!$D$5,0,IF(AJ$2&gt;VLOOKUP($H47,Lists!$P$3:$Q$7,2),IF($N47=Lists!$K$3,IF($L47&lt;1,(($U47/$L47)*((1+Inputs!$D$7)^AJ$2)),((INT(AJ$2/$L47)-INT((AJ$2-1)/$L47))*$U47*((1+Inputs!$D$7)^AJ$2))),(_xlfn.WEIBULL.DIST(AJ$2,$M47,$L47,FALSE)*$U47*((1+Inputs!$D$7)^AJ$2))),IF($N47=Lists!$K$3,IF($L47&lt;1,((($T47*(1-$F47)+$S47*(1-$G47))/$L47)*((1+Inputs!$D$7)^AJ$2)),((INT(AJ$2/$L47)-INT((AJ$2-1)/$L47))*($T47*(1-$F47)+$S47*(1-$G47))*((1+Inputs!$D$7)^AJ$2))),((_xlfn.WEIBULL.DIST(AJ$2,$M47,$L47,FALSE)*($T47*(1-$F47)+$S47*(1-$G47))*((1+Inputs!$D$7)^AJ$2))))))</f>
        <v>0</v>
      </c>
      <c r="AK47" s="88">
        <f>$E47*IF(AK$2&gt;Inputs!$D$5,0,IF(AK$2&gt;VLOOKUP($H47,Lists!$P$3:$Q$7,2),IF($N47=Lists!$K$3,IF($L47&lt;1,(($U47/$L47)*((1+Inputs!$D$7)^AK$2)),((INT(AK$2/$L47)-INT((AK$2-1)/$L47))*$U47*((1+Inputs!$D$7)^AK$2))),(_xlfn.WEIBULL.DIST(AK$2,$M47,$L47,FALSE)*$U47*((1+Inputs!$D$7)^AK$2))),IF($N47=Lists!$K$3,IF($L47&lt;1,((($T47*(1-$F47)+$S47*(1-$G47))/$L47)*((1+Inputs!$D$7)^AK$2)),((INT(AK$2/$L47)-INT((AK$2-1)/$L47))*($T47*(1-$F47)+$S47*(1-$G47))*((1+Inputs!$D$7)^AK$2))),((_xlfn.WEIBULL.DIST(AK$2,$M47,$L47,FALSE)*($T47*(1-$F47)+$S47*(1-$G47))*((1+Inputs!$D$7)^AK$2))))))</f>
        <v>0</v>
      </c>
      <c r="AL47" s="88">
        <f>$E47*IF(AL$2&gt;Inputs!$D$5,0,IF(AL$2&gt;VLOOKUP($H47,Lists!$P$3:$Q$7,2),IF($N47=Lists!$K$3,IF($L47&lt;1,(($U47/$L47)*((1+Inputs!$D$7)^AL$2)),((INT(AL$2/$L47)-INT((AL$2-1)/$L47))*$U47*((1+Inputs!$D$7)^AL$2))),(_xlfn.WEIBULL.DIST(AL$2,$M47,$L47,FALSE)*$U47*((1+Inputs!$D$7)^AL$2))),IF($N47=Lists!$K$3,IF($L47&lt;1,((($T47*(1-$F47)+$S47*(1-$G47))/$L47)*((1+Inputs!$D$7)^AL$2)),((INT(AL$2/$L47)-INT((AL$2-1)/$L47))*($T47*(1-$F47)+$S47*(1-$G47))*((1+Inputs!$D$7)^AL$2))),((_xlfn.WEIBULL.DIST(AL$2,$M47,$L47,FALSE)*($T47*(1-$F47)+$S47*(1-$G47))*((1+Inputs!$D$7)^AL$2))))))</f>
        <v>0</v>
      </c>
      <c r="AM47" s="88">
        <f>$E47*IF(AM$2&gt;Inputs!$D$5,0,IF(AM$2&gt;VLOOKUP($H47,Lists!$P$3:$Q$7,2),IF($N47=Lists!$K$3,IF($L47&lt;1,(($U47/$L47)*((1+Inputs!$D$7)^AM$2)),((INT(AM$2/$L47)-INT((AM$2-1)/$L47))*$U47*((1+Inputs!$D$7)^AM$2))),(_xlfn.WEIBULL.DIST(AM$2,$M47,$L47,FALSE)*$U47*((1+Inputs!$D$7)^AM$2))),IF($N47=Lists!$K$3,IF($L47&lt;1,((($T47*(1-$F47)+$S47*(1-$G47))/$L47)*((1+Inputs!$D$7)^AM$2)),((INT(AM$2/$L47)-INT((AM$2-1)/$L47))*($T47*(1-$F47)+$S47*(1-$G47))*((1+Inputs!$D$7)^AM$2))),((_xlfn.WEIBULL.DIST(AM$2,$M47,$L47,FALSE)*($T47*(1-$F47)+$S47*(1-$G47))*((1+Inputs!$D$7)^AM$2))))))</f>
        <v>0</v>
      </c>
      <c r="AN47" s="88">
        <f>$E47*IF(AN$2&gt;Inputs!$D$5,0,IF(AN$2&gt;VLOOKUP($H47,Lists!$P$3:$Q$7,2),IF($N47=Lists!$K$3,IF($L47&lt;1,(($U47/$L47)*((1+Inputs!$D$7)^AN$2)),((INT(AN$2/$L47)-INT((AN$2-1)/$L47))*$U47*((1+Inputs!$D$7)^AN$2))),(_xlfn.WEIBULL.DIST(AN$2,$M47,$L47,FALSE)*$U47*((1+Inputs!$D$7)^AN$2))),IF($N47=Lists!$K$3,IF($L47&lt;1,((($T47*(1-$F47)+$S47*(1-$G47))/$L47)*((1+Inputs!$D$7)^AN$2)),((INT(AN$2/$L47)-INT((AN$2-1)/$L47))*($T47*(1-$F47)+$S47*(1-$G47))*((1+Inputs!$D$7)^AN$2))),((_xlfn.WEIBULL.DIST(AN$2,$M47,$L47,FALSE)*($T47*(1-$F47)+$S47*(1-$G47))*((1+Inputs!$D$7)^AN$2))))))</f>
        <v>0</v>
      </c>
      <c r="AO47" s="88">
        <f>$E47*IF(AO$2&gt;Inputs!$D$5,0,IF(AO$2&gt;VLOOKUP($H47,Lists!$P$3:$Q$7,2),IF($N47=Lists!$K$3,IF($L47&lt;1,(($U47/$L47)*((1+Inputs!$D$7)^AO$2)),((INT(AO$2/$L47)-INT((AO$2-1)/$L47))*$U47*((1+Inputs!$D$7)^AO$2))),(_xlfn.WEIBULL.DIST(AO$2,$M47,$L47,FALSE)*$U47*((1+Inputs!$D$7)^AO$2))),IF($N47=Lists!$K$3,IF($L47&lt;1,((($T47*(1-$F47)+$S47*(1-$G47))/$L47)*((1+Inputs!$D$7)^AO$2)),((INT(AO$2/$L47)-INT((AO$2-1)/$L47))*($T47*(1-$F47)+$S47*(1-$G47))*((1+Inputs!$D$7)^AO$2))),((_xlfn.WEIBULL.DIST(AO$2,$M47,$L47,FALSE)*($T47*(1-$F47)+$S47*(1-$G47))*((1+Inputs!$D$7)^AO$2))))))</f>
        <v>0</v>
      </c>
      <c r="AP47" s="88">
        <f>$E47*IF(AP$2&gt;Inputs!$D$5,0,IF(AP$2&gt;VLOOKUP($H47,Lists!$P$3:$Q$7,2),IF($N47=Lists!$K$3,IF($L47&lt;1,(($U47/$L47)*((1+Inputs!$D$7)^AP$2)),((INT(AP$2/$L47)-INT((AP$2-1)/$L47))*$U47*((1+Inputs!$D$7)^AP$2))),(_xlfn.WEIBULL.DIST(AP$2,$M47,$L47,FALSE)*$U47*((1+Inputs!$D$7)^AP$2))),IF($N47=Lists!$K$3,IF($L47&lt;1,((($T47*(1-$F47)+$S47*(1-$G47))/$L47)*((1+Inputs!$D$7)^AP$2)),((INT(AP$2/$L47)-INT((AP$2-1)/$L47))*($T47*(1-$F47)+$S47*(1-$G47))*((1+Inputs!$D$7)^AP$2))),((_xlfn.WEIBULL.DIST(AP$2,$M47,$L47,FALSE)*($T47*(1-$F47)+$S47*(1-$G47))*((1+Inputs!$D$7)^AP$2))))))</f>
        <v>0</v>
      </c>
      <c r="AQ47" s="88">
        <f>$E47*IF(AQ$2&gt;Inputs!$D$5,0,IF(AQ$2&gt;VLOOKUP($H47,Lists!$P$3:$Q$7,2),IF($N47=Lists!$K$3,IF($L47&lt;1,(($U47/$L47)*((1+Inputs!$D$7)^AQ$2)),((INT(AQ$2/$L47)-INT((AQ$2-1)/$L47))*$U47*((1+Inputs!$D$7)^AQ$2))),(_xlfn.WEIBULL.DIST(AQ$2,$M47,$L47,FALSE)*$U47*((1+Inputs!$D$7)^AQ$2))),IF($N47=Lists!$K$3,IF($L47&lt;1,((($T47*(1-$F47)+$S47*(1-$G47))/$L47)*((1+Inputs!$D$7)^AQ$2)),((INT(AQ$2/$L47)-INT((AQ$2-1)/$L47))*($T47*(1-$F47)+$S47*(1-$G47))*((1+Inputs!$D$7)^AQ$2))),((_xlfn.WEIBULL.DIST(AQ$2,$M47,$L47,FALSE)*($T47*(1-$F47)+$S47*(1-$G47))*((1+Inputs!$D$7)^AQ$2))))))</f>
        <v>0</v>
      </c>
      <c r="AR47" s="88">
        <f>$E47*IF(AR$2&gt;Inputs!$D$5,0,IF(AR$2&gt;VLOOKUP($H47,Lists!$P$3:$Q$7,2),IF($N47=Lists!$K$3,IF($L47&lt;1,(($U47/$L47)*((1+Inputs!$D$7)^AR$2)),((INT(AR$2/$L47)-INT((AR$2-1)/$L47))*$U47*((1+Inputs!$D$7)^AR$2))),(_xlfn.WEIBULL.DIST(AR$2,$M47,$L47,FALSE)*$U47*((1+Inputs!$D$7)^AR$2))),IF($N47=Lists!$K$3,IF($L47&lt;1,((($T47*(1-$F47)+$S47*(1-$G47))/$L47)*((1+Inputs!$D$7)^AR$2)),((INT(AR$2/$L47)-INT((AR$2-1)/$L47))*($T47*(1-$F47)+$S47*(1-$G47))*((1+Inputs!$D$7)^AR$2))),((_xlfn.WEIBULL.DIST(AR$2,$M47,$L47,FALSE)*($T47*(1-$F47)+$S47*(1-$G47))*((1+Inputs!$D$7)^AR$2))))))</f>
        <v>0</v>
      </c>
      <c r="AS47" s="88">
        <f>$E47*IF(AS$2&gt;Inputs!$D$5,0,IF(AS$2&gt;VLOOKUP($H47,Lists!$P$3:$Q$7,2),IF($N47=Lists!$K$3,IF($L47&lt;1,(($U47/$L47)*((1+Inputs!$D$7)^AS$2)),((INT(AS$2/$L47)-INT((AS$2-1)/$L47))*$U47*((1+Inputs!$D$7)^AS$2))),(_xlfn.WEIBULL.DIST(AS$2,$M47,$L47,FALSE)*$U47*((1+Inputs!$D$7)^AS$2))),IF($N47=Lists!$K$3,IF($L47&lt;1,((($T47*(1-$F47)+$S47*(1-$G47))/$L47)*((1+Inputs!$D$7)^AS$2)),((INT(AS$2/$L47)-INT((AS$2-1)/$L47))*($T47*(1-$F47)+$S47*(1-$G47))*((1+Inputs!$D$7)^AS$2))),((_xlfn.WEIBULL.DIST(AS$2,$M47,$L47,FALSE)*($T47*(1-$F47)+$S47*(1-$G47))*((1+Inputs!$D$7)^AS$2))))))</f>
        <v>0</v>
      </c>
      <c r="AT47" s="88">
        <f>$E47*IF(AT$2&gt;Inputs!$D$5,0,IF(AT$2&gt;VLOOKUP($H47,Lists!$P$3:$Q$7,2),IF($N47=Lists!$K$3,IF($L47&lt;1,(($U47/$L47)*((1+Inputs!$D$7)^AT$2)),((INT(AT$2/$L47)-INT((AT$2-1)/$L47))*$U47*((1+Inputs!$D$7)^AT$2))),(_xlfn.WEIBULL.DIST(AT$2,$M47,$L47,FALSE)*$U47*((1+Inputs!$D$7)^AT$2))),IF($N47=Lists!$K$3,IF($L47&lt;1,((($T47*(1-$F47)+$S47*(1-$G47))/$L47)*((1+Inputs!$D$7)^AT$2)),((INT(AT$2/$L47)-INT((AT$2-1)/$L47))*($T47*(1-$F47)+$S47*(1-$G47))*((1+Inputs!$D$7)^AT$2))),((_xlfn.WEIBULL.DIST(AT$2,$M47,$L47,FALSE)*($T47*(1-$F47)+$S47*(1-$G47))*((1+Inputs!$D$7)^AT$2))))))</f>
        <v>68.182696264466784</v>
      </c>
      <c r="AU47" s="88">
        <f>$E47*IF(AU$2&gt;Inputs!$D$5,0,IF(AU$2&gt;VLOOKUP($H47,Lists!$P$3:$Q$7,2),IF($N47=Lists!$K$3,IF($L47&lt;1,(($U47/$L47)*((1+Inputs!$D$7)^AU$2)),((INT(AU$2/$L47)-INT((AU$2-1)/$L47))*$U47*((1+Inputs!$D$7)^AU$2))),(_xlfn.WEIBULL.DIST(AU$2,$M47,$L47,FALSE)*$U47*((1+Inputs!$D$7)^AU$2))),IF($N47=Lists!$K$3,IF($L47&lt;1,((($T47*(1-$F47)+$S47*(1-$G47))/$L47)*((1+Inputs!$D$7)^AU$2)),((INT(AU$2/$L47)-INT((AU$2-1)/$L47))*($T47*(1-$F47)+$S47*(1-$G47))*((1+Inputs!$D$7)^AU$2))),((_xlfn.WEIBULL.DIST(AU$2,$M47,$L47,FALSE)*($T47*(1-$F47)+$S47*(1-$G47))*((1+Inputs!$D$7)^AU$2))))))</f>
        <v>0</v>
      </c>
      <c r="AV47" s="88">
        <f>$E47*IF(AV$2&gt;Inputs!$D$5,0,IF(AV$2&gt;VLOOKUP($H47,Lists!$P$3:$Q$7,2),IF($N47=Lists!$K$3,IF($L47&lt;1,(($U47/$L47)*((1+Inputs!$D$7)^AV$2)),((INT(AV$2/$L47)-INT((AV$2-1)/$L47))*$U47*((1+Inputs!$D$7)^AV$2))),(_xlfn.WEIBULL.DIST(AV$2,$M47,$L47,FALSE)*$U47*((1+Inputs!$D$7)^AV$2))),IF($N47=Lists!$K$3,IF($L47&lt;1,((($T47*(1-$F47)+$S47*(1-$G47))/$L47)*((1+Inputs!$D$7)^AV$2)),((INT(AV$2/$L47)-INT((AV$2-1)/$L47))*($T47*(1-$F47)+$S47*(1-$G47))*((1+Inputs!$D$7)^AV$2))),((_xlfn.WEIBULL.DIST(AV$2,$M47,$L47,FALSE)*($T47*(1-$F47)+$S47*(1-$G47))*((1+Inputs!$D$7)^AV$2))))))</f>
        <v>0</v>
      </c>
      <c r="AW47" s="88">
        <f>$E47*IF(AW$2&gt;Inputs!$D$5,0,IF(AW$2&gt;VLOOKUP($H47,Lists!$P$3:$Q$7,2),IF($N47=Lists!$K$3,IF($L47&lt;1,(($U47/$L47)*((1+Inputs!$D$7)^AW$2)),((INT(AW$2/$L47)-INT((AW$2-1)/$L47))*$U47*((1+Inputs!$D$7)^AW$2))),(_xlfn.WEIBULL.DIST(AW$2,$M47,$L47,FALSE)*$U47*((1+Inputs!$D$7)^AW$2))),IF($N47=Lists!$K$3,IF($L47&lt;1,((($T47*(1-$F47)+$S47*(1-$G47))/$L47)*((1+Inputs!$D$7)^AW$2)),((INT(AW$2/$L47)-INT((AW$2-1)/$L47))*($T47*(1-$F47)+$S47*(1-$G47))*((1+Inputs!$D$7)^AW$2))),((_xlfn.WEIBULL.DIST(AW$2,$M47,$L47,FALSE)*($T47*(1-$F47)+$S47*(1-$G47))*((1+Inputs!$D$7)^AW$2))))))</f>
        <v>0</v>
      </c>
      <c r="AX47" s="88">
        <f>$E47*IF(AX$2&gt;Inputs!$D$5,0,IF(AX$2&gt;VLOOKUP($H47,Lists!$P$3:$Q$7,2),IF($N47=Lists!$K$3,IF($L47&lt;1,(($U47/$L47)*((1+Inputs!$D$7)^AX$2)),((INT(AX$2/$L47)-INT((AX$2-1)/$L47))*$U47*((1+Inputs!$D$7)^AX$2))),(_xlfn.WEIBULL.DIST(AX$2,$M47,$L47,FALSE)*$U47*((1+Inputs!$D$7)^AX$2))),IF($N47=Lists!$K$3,IF($L47&lt;1,((($T47*(1-$F47)+$S47*(1-$G47))/$L47)*((1+Inputs!$D$7)^AX$2)),((INT(AX$2/$L47)-INT((AX$2-1)/$L47))*($T47*(1-$F47)+$S47*(1-$G47))*((1+Inputs!$D$7)^AX$2))),((_xlfn.WEIBULL.DIST(AX$2,$M47,$L47,FALSE)*($T47*(1-$F47)+$S47*(1-$G47))*((1+Inputs!$D$7)^AX$2))))))</f>
        <v>0</v>
      </c>
      <c r="AY47" s="88">
        <f>$E47*IF(AY$2&gt;Inputs!$D$5,0,IF(AY$2&gt;VLOOKUP($H47,Lists!$P$3:$Q$7,2),IF($N47=Lists!$K$3,IF($L47&lt;1,(($U47/$L47)*((1+Inputs!$D$7)^AY$2)),((INT(AY$2/$L47)-INT((AY$2-1)/$L47))*$U47*((1+Inputs!$D$7)^AY$2))),(_xlfn.WEIBULL.DIST(AY$2,$M47,$L47,FALSE)*$U47*((1+Inputs!$D$7)^AY$2))),IF($N47=Lists!$K$3,IF($L47&lt;1,((($T47*(1-$F47)+$S47*(1-$G47))/$L47)*((1+Inputs!$D$7)^AY$2)),((INT(AY$2/$L47)-INT((AY$2-1)/$L47))*($T47*(1-$F47)+$S47*(1-$G47))*((1+Inputs!$D$7)^AY$2))),((_xlfn.WEIBULL.DIST(AY$2,$M47,$L47,FALSE)*($T47*(1-$F47)+$S47*(1-$G47))*((1+Inputs!$D$7)^AY$2))))))</f>
        <v>0</v>
      </c>
      <c r="AZ47" s="88">
        <f>$E47*IF(AZ$2&gt;Inputs!$D$5,0,IF(AZ$2&gt;VLOOKUP($H47,Lists!$P$3:$Q$7,2),IF($N47=Lists!$K$3,IF($L47&lt;1,(($U47/$L47)*((1+Inputs!$D$7)^AZ$2)),((INT(AZ$2/$L47)-INT((AZ$2-1)/$L47))*$U47*((1+Inputs!$D$7)^AZ$2))),(_xlfn.WEIBULL.DIST(AZ$2,$M47,$L47,FALSE)*$U47*((1+Inputs!$D$7)^AZ$2))),IF($N47=Lists!$K$3,IF($L47&lt;1,((($T47*(1-$F47)+$S47*(1-$G47))/$L47)*((1+Inputs!$D$7)^AZ$2)),((INT(AZ$2/$L47)-INT((AZ$2-1)/$L47))*($T47*(1-$F47)+$S47*(1-$G47))*((1+Inputs!$D$7)^AZ$2))),((_xlfn.WEIBULL.DIST(AZ$2,$M47,$L47,FALSE)*($T47*(1-$F47)+$S47*(1-$G47))*((1+Inputs!$D$7)^AZ$2))))))</f>
        <v>0</v>
      </c>
      <c r="BA47" s="88">
        <f>$E47*IF(BA$2&gt;Inputs!$D$5,0,IF(BA$2&gt;VLOOKUP($H47,Lists!$P$3:$Q$7,2),IF($N47=Lists!$K$3,IF($L47&lt;1,(($U47/$L47)*((1+Inputs!$D$7)^BA$2)),((INT(BA$2/$L47)-INT((BA$2-1)/$L47))*$U47*((1+Inputs!$D$7)^BA$2))),(_xlfn.WEIBULL.DIST(BA$2,$M47,$L47,FALSE)*$U47*((1+Inputs!$D$7)^BA$2))),IF($N47=Lists!$K$3,IF($L47&lt;1,((($T47*(1-$F47)+$S47*(1-$G47))/$L47)*((1+Inputs!$D$7)^BA$2)),((INT(BA$2/$L47)-INT((BA$2-1)/$L47))*($T47*(1-$F47)+$S47*(1-$G47))*((1+Inputs!$D$7)^BA$2))),((_xlfn.WEIBULL.DIST(BA$2,$M47,$L47,FALSE)*($T47*(1-$F47)+$S47*(1-$G47))*((1+Inputs!$D$7)^BA$2))))))</f>
        <v>0</v>
      </c>
      <c r="BB47" s="88">
        <f>$E47*IF(BB$2&gt;Inputs!$D$5,0,IF(BB$2&gt;VLOOKUP($H47,Lists!$P$3:$Q$7,2),IF($N47=Lists!$K$3,IF($L47&lt;1,(($U47/$L47)*((1+Inputs!$D$7)^BB$2)),((INT(BB$2/$L47)-INT((BB$2-1)/$L47))*$U47*((1+Inputs!$D$7)^BB$2))),(_xlfn.WEIBULL.DIST(BB$2,$M47,$L47,FALSE)*$U47*((1+Inputs!$D$7)^BB$2))),IF($N47=Lists!$K$3,IF($L47&lt;1,((($T47*(1-$F47)+$S47*(1-$G47))/$L47)*((1+Inputs!$D$7)^BB$2)),((INT(BB$2/$L47)-INT((BB$2-1)/$L47))*($T47*(1-$F47)+$S47*(1-$G47))*((1+Inputs!$D$7)^BB$2))),((_xlfn.WEIBULL.DIST(BB$2,$M47,$L47,FALSE)*($T47*(1-$F47)+$S47*(1-$G47))*((1+Inputs!$D$7)^BB$2))))))</f>
        <v>0</v>
      </c>
      <c r="BC47" s="88">
        <f>$E47*IF(BC$2&gt;Inputs!$D$5,0,IF(BC$2&gt;VLOOKUP($H47,Lists!$P$3:$Q$7,2),IF($N47=Lists!$K$3,IF($L47&lt;1,(($U47/$L47)*((1+Inputs!$D$7)^BC$2)),((INT(BC$2/$L47)-INT((BC$2-1)/$L47))*$U47*((1+Inputs!$D$7)^BC$2))),(_xlfn.WEIBULL.DIST(BC$2,$M47,$L47,FALSE)*$U47*((1+Inputs!$D$7)^BC$2))),IF($N47=Lists!$K$3,IF($L47&lt;1,((($T47*(1-$F47)+$S47*(1-$G47))/$L47)*((1+Inputs!$D$7)^BC$2)),((INT(BC$2/$L47)-INT((BC$2-1)/$L47))*($T47*(1-$F47)+$S47*(1-$G47))*((1+Inputs!$D$7)^BC$2))),((_xlfn.WEIBULL.DIST(BC$2,$M47,$L47,FALSE)*($T47*(1-$F47)+$S47*(1-$G47))*((1+Inputs!$D$7)^BC$2))))))</f>
        <v>0</v>
      </c>
      <c r="BD47" s="88">
        <f>$E47*IF(BD$2&gt;Inputs!$D$5,0,IF(BD$2&gt;VLOOKUP($H47,Lists!$P$3:$Q$7,2),IF($N47=Lists!$K$3,IF($L47&lt;1,(($U47/$L47)*((1+Inputs!$D$7)^BD$2)),((INT(BD$2/$L47)-INT((BD$2-1)/$L47))*$U47*((1+Inputs!$D$7)^BD$2))),(_xlfn.WEIBULL.DIST(BD$2,$M47,$L47,FALSE)*$U47*((1+Inputs!$D$7)^BD$2))),IF($N47=Lists!$K$3,IF($L47&lt;1,((($T47*(1-$F47)+$S47*(1-$G47))/$L47)*((1+Inputs!$D$7)^BD$2)),((INT(BD$2/$L47)-INT((BD$2-1)/$L47))*($T47*(1-$F47)+$S47*(1-$G47))*((1+Inputs!$D$7)^BD$2))),((_xlfn.WEIBULL.DIST(BD$2,$M47,$L47,FALSE)*($T47*(1-$F47)+$S47*(1-$G47))*((1+Inputs!$D$7)^BD$2))))))</f>
        <v>0</v>
      </c>
      <c r="BE47" s="88">
        <f>$E47*IF(BE$2&gt;Inputs!$D$5,0,IF(BE$2&gt;VLOOKUP($H47,Lists!$P$3:$Q$7,2),IF($N47=Lists!$K$3,IF($L47&lt;1,(($U47/$L47)*((1+Inputs!$D$7)^BE$2)),((INT(BE$2/$L47)-INT((BE$2-1)/$L47))*$U47*((1+Inputs!$D$7)^BE$2))),(_xlfn.WEIBULL.DIST(BE$2,$M47,$L47,FALSE)*$U47*((1+Inputs!$D$7)^BE$2))),IF($N47=Lists!$K$3,IF($L47&lt;1,((($T47*(1-$F47)+$S47*(1-$G47))/$L47)*((1+Inputs!$D$7)^BE$2)),((INT(BE$2/$L47)-INT((BE$2-1)/$L47))*($T47*(1-$F47)+$S47*(1-$G47))*((1+Inputs!$D$7)^BE$2))),((_xlfn.WEIBULL.DIST(BE$2,$M47,$L47,FALSE)*($T47*(1-$F47)+$S47*(1-$G47))*((1+Inputs!$D$7)^BE$2))))))</f>
        <v>0</v>
      </c>
      <c r="BF47" s="88">
        <f>$E47*IF(BF$2&gt;Inputs!$D$5,0,IF(BF$2&gt;VLOOKUP($H47,Lists!$P$3:$Q$7,2),IF($N47=Lists!$K$3,IF($L47&lt;1,(($U47/$L47)*((1+Inputs!$D$7)^BF$2)),((INT(BF$2/$L47)-INT((BF$2-1)/$L47))*$U47*((1+Inputs!$D$7)^BF$2))),(_xlfn.WEIBULL.DIST(BF$2,$M47,$L47,FALSE)*$U47*((1+Inputs!$D$7)^BF$2))),IF($N47=Lists!$K$3,IF($L47&lt;1,((($T47*(1-$F47)+$S47*(1-$G47))/$L47)*((1+Inputs!$D$7)^BF$2)),((INT(BF$2/$L47)-INT((BF$2-1)/$L47))*($T47*(1-$F47)+$S47*(1-$G47))*((1+Inputs!$D$7)^BF$2))),((_xlfn.WEIBULL.DIST(BF$2,$M47,$L47,FALSE)*($T47*(1-$F47)+$S47*(1-$G47))*((1+Inputs!$D$7)^BF$2))))))</f>
        <v>0</v>
      </c>
      <c r="BG47" s="88">
        <f>$E47*IF(BG$2&gt;Inputs!$D$5,0,IF(BG$2&gt;VLOOKUP($H47,Lists!$P$3:$Q$7,2),IF($N47=Lists!$K$3,IF($L47&lt;1,(($U47/$L47)*((1+Inputs!$D$7)^BG$2)),((INT(BG$2/$L47)-INT((BG$2-1)/$L47))*$U47*((1+Inputs!$D$7)^BG$2))),(_xlfn.WEIBULL.DIST(BG$2,$M47,$L47,FALSE)*$U47*((1+Inputs!$D$7)^BG$2))),IF($N47=Lists!$K$3,IF($L47&lt;1,((($T47*(1-$F47)+$S47*(1-$G47))/$L47)*((1+Inputs!$D$7)^BG$2)),((INT(BG$2/$L47)-INT((BG$2-1)/$L47))*($T47*(1-$F47)+$S47*(1-$G47))*((1+Inputs!$D$7)^BG$2))),((_xlfn.WEIBULL.DIST(BG$2,$M47,$L47,FALSE)*($T47*(1-$F47)+$S47*(1-$G47))*((1+Inputs!$D$7)^BG$2))))))</f>
        <v>0</v>
      </c>
      <c r="BH47" s="88">
        <f>$E47*IF(BH$2&gt;Inputs!$D$5,0,IF(BH$2&gt;VLOOKUP($H47,Lists!$P$3:$Q$7,2),IF($N47=Lists!$K$3,IF($L47&lt;1,(($U47/$L47)*((1+Inputs!$D$7)^BH$2)),((INT(BH$2/$L47)-INT((BH$2-1)/$L47))*$U47*((1+Inputs!$D$7)^BH$2))),(_xlfn.WEIBULL.DIST(BH$2,$M47,$L47,FALSE)*$U47*((1+Inputs!$D$7)^BH$2))),IF($N47=Lists!$K$3,IF($L47&lt;1,((($T47*(1-$F47)+$S47*(1-$G47))/$L47)*((1+Inputs!$D$7)^BH$2)),((INT(BH$2/$L47)-INT((BH$2-1)/$L47))*($T47*(1-$F47)+$S47*(1-$G47))*((1+Inputs!$D$7)^BH$2))),((_xlfn.WEIBULL.DIST(BH$2,$M47,$L47,FALSE)*($T47*(1-$F47)+$S47*(1-$G47))*((1+Inputs!$D$7)^BH$2))))))</f>
        <v>0</v>
      </c>
      <c r="BI47" s="88">
        <f>$E47*IF(BI$2&gt;Inputs!$D$5,0,IF(BI$2&gt;VLOOKUP($H47,Lists!$P$3:$Q$7,2),IF($N47=Lists!$K$3,IF($L47&lt;1,(($U47/$L47)*((1+Inputs!$D$7)^BI$2)),((INT(BI$2/$L47)-INT((BI$2-1)/$L47))*$U47*((1+Inputs!$D$7)^BI$2))),(_xlfn.WEIBULL.DIST(BI$2,$M47,$L47,FALSE)*$U47*((1+Inputs!$D$7)^BI$2))),IF($N47=Lists!$K$3,IF($L47&lt;1,((($T47*(1-$F47)+$S47*(1-$G47))/$L47)*((1+Inputs!$D$7)^BI$2)),((INT(BI$2/$L47)-INT((BI$2-1)/$L47))*($T47*(1-$F47)+$S47*(1-$G47))*((1+Inputs!$D$7)^BI$2))),((_xlfn.WEIBULL.DIST(BI$2,$M47,$L47,FALSE)*($T47*(1-$F47)+$S47*(1-$G47))*((1+Inputs!$D$7)^BI$2))))))</f>
        <v>0</v>
      </c>
      <c r="BJ47" s="88">
        <f>$E47*IF(BJ$2&gt;Inputs!$D$5,0,IF(BJ$2&gt;VLOOKUP($H47,Lists!$P$3:$Q$7,2),IF($N47=Lists!$K$3,IF($L47&lt;1,(($U47/$L47)*((1+Inputs!$D$7)^BJ$2)),((INT(BJ$2/$L47)-INT((BJ$2-1)/$L47))*$U47*((1+Inputs!$D$7)^BJ$2))),(_xlfn.WEIBULL.DIST(BJ$2,$M47,$L47,FALSE)*$U47*((1+Inputs!$D$7)^BJ$2))),IF($N47=Lists!$K$3,IF($L47&lt;1,((($T47*(1-$F47)+$S47*(1-$G47))/$L47)*((1+Inputs!$D$7)^BJ$2)),((INT(BJ$2/$L47)-INT((BJ$2-1)/$L47))*($T47*(1-$F47)+$S47*(1-$G47))*((1+Inputs!$D$7)^BJ$2))),((_xlfn.WEIBULL.DIST(BJ$2,$M47,$L47,FALSE)*($T47*(1-$F47)+$S47*(1-$G47))*((1+Inputs!$D$7)^BJ$2))))))</f>
        <v>0</v>
      </c>
      <c r="BK47" s="88">
        <f>$E47*IF(BK$2&gt;Inputs!$D$5,0,IF(BK$2&gt;VLOOKUP($H47,Lists!$P$3:$Q$7,2),IF($N47=Lists!$K$3,IF($L47&lt;1,(($U47/$L47)*((1+Inputs!$D$7)^BK$2)),((INT(BK$2/$L47)-INT((BK$2-1)/$L47))*$U47*((1+Inputs!$D$7)^BK$2))),(_xlfn.WEIBULL.DIST(BK$2,$M47,$L47,FALSE)*$U47*((1+Inputs!$D$7)^BK$2))),IF($N47=Lists!$K$3,IF($L47&lt;1,((($T47*(1-$F47)+$S47*(1-$G47))/$L47)*((1+Inputs!$D$7)^BK$2)),((INT(BK$2/$L47)-INT((BK$2-1)/$L47))*($T47*(1-$F47)+$S47*(1-$G47))*((1+Inputs!$D$7)^BK$2))),((_xlfn.WEIBULL.DIST(BK$2,$M47,$L47,FALSE)*($T47*(1-$F47)+$S47*(1-$G47))*((1+Inputs!$D$7)^BK$2))))))</f>
        <v>0</v>
      </c>
      <c r="BL47" s="88">
        <f>$E47*IF(BL$2&gt;Inputs!$D$5,0,IF(BL$2&gt;VLOOKUP($H47,Lists!$P$3:$Q$7,2),IF($N47=Lists!$K$3,IF($L47&lt;1,(($U47/$L47)*((1+Inputs!$D$7)^BL$2)),((INT(BL$2/$L47)-INT((BL$2-1)/$L47))*$U47*((1+Inputs!$D$7)^BL$2))),(_xlfn.WEIBULL.DIST(BL$2,$M47,$L47,FALSE)*$U47*((1+Inputs!$D$7)^BL$2))),IF($N47=Lists!$K$3,IF($L47&lt;1,((($T47*(1-$F47)+$S47*(1-$G47))/$L47)*((1+Inputs!$D$7)^BL$2)),((INT(BL$2/$L47)-INT((BL$2-1)/$L47))*($T47*(1-$F47)+$S47*(1-$G47))*((1+Inputs!$D$7)^BL$2))),((_xlfn.WEIBULL.DIST(BL$2,$M47,$L47,FALSE)*($T47*(1-$F47)+$S47*(1-$G47))*((1+Inputs!$D$7)^BL$2))))))</f>
        <v>0</v>
      </c>
      <c r="BM47" s="88">
        <f>$E47*IF(BM$2&gt;Inputs!$D$5,0,IF(BM$2&gt;VLOOKUP($H47,Lists!$P$3:$Q$7,2),IF($N47=Lists!$K$3,IF($L47&lt;1,(($U47/$L47)*((1+Inputs!$D$7)^BM$2)),((INT(BM$2/$L47)-INT((BM$2-1)/$L47))*$U47*((1+Inputs!$D$7)^BM$2))),(_xlfn.WEIBULL.DIST(BM$2,$M47,$L47,FALSE)*$U47*((1+Inputs!$D$7)^BM$2))),IF($N47=Lists!$K$3,IF($L47&lt;1,((($T47*(1-$F47)+$S47*(1-$G47))/$L47)*((1+Inputs!$D$7)^BM$2)),((INT(BM$2/$L47)-INT((BM$2-1)/$L47))*($T47*(1-$F47)+$S47*(1-$G47))*((1+Inputs!$D$7)^BM$2))),((_xlfn.WEIBULL.DIST(BM$2,$M47,$L47,FALSE)*($T47*(1-$F47)+$S47*(1-$G47))*((1+Inputs!$D$7)^BM$2))))))</f>
        <v>0</v>
      </c>
      <c r="BN47" s="88">
        <f>$E47*IF(BN$2&gt;Inputs!$D$5,0,IF(BN$2&gt;VLOOKUP($H47,Lists!$P$3:$Q$7,2),IF($N47=Lists!$K$3,IF($L47&lt;1,(($U47/$L47)*((1+Inputs!$D$7)^BN$2)),((INT(BN$2/$L47)-INT((BN$2-1)/$L47))*$U47*((1+Inputs!$D$7)^BN$2))),(_xlfn.WEIBULL.DIST(BN$2,$M47,$L47,FALSE)*$U47*((1+Inputs!$D$7)^BN$2))),IF($N47=Lists!$K$3,IF($L47&lt;1,((($T47*(1-$F47)+$S47*(1-$G47))/$L47)*((1+Inputs!$D$7)^BN$2)),((INT(BN$2/$L47)-INT((BN$2-1)/$L47))*($T47*(1-$F47)+$S47*(1-$G47))*((1+Inputs!$D$7)^BN$2))),((_xlfn.WEIBULL.DIST(BN$2,$M47,$L47,FALSE)*($T47*(1-$F47)+$S47*(1-$G47))*((1+Inputs!$D$7)^BN$2))))))</f>
        <v>0</v>
      </c>
      <c r="BO47" s="64">
        <f>NPV(Inputs!$D$6,BQ47:DD47)</f>
        <v>17.619704377824377</v>
      </c>
      <c r="BP47" s="67">
        <f t="shared" si="13"/>
        <v>8.3103127910231022E-6</v>
      </c>
      <c r="BQ47" s="88">
        <f>MAX(AA47,($E47*IF(BQ$2&gt;Inputs!$D$5,0,IF(BQ$2&gt;VLOOKUP($H47,Lists!$P$3:$Q$7,2),IF($N47=Lists!$K$3,IF($L47&lt;1,(($U47/$L47)*((1+Inputs!$D$7)^BQ$2)),((INT(BQ$2/$L47)-INT((BQ$2-1)/$L47))*$U47*((1+Inputs!$D$7)^BQ$2))),(Inputs!$D$8^((1-_xlfn.WEIBULL.DIST(BQ$2,$M47,$L47,FALSE))/_xlfn.WEIBULL.DIST(BQ$2,$M47,$L47,FALSE))*$U47*((1+Inputs!$D$7)^BQ$2))),IF($N47=Lists!$K$3,IF($L47&lt;1,((($T47*(1-$F47)+$S47*(1-$G47))/$L47)*((1+Inputs!$D$7)^BQ$2)),((INT(BQ$2/$L47)-INT((BQ$2-1)/$L47))*($T47*(1-$F47)+$S47*(1-$G47))*((1+Inputs!$D$7)^BQ$2))),((Inputs!$D$8^((1-_xlfn.WEIBULL.DIST(BQ$2,$M47,$L47,FALSE))/_xlfn.WEIBULL.DIST(BQ$2,$M47,$L47,FALSE))*($T47*(1-$F47)+$S47*(1-$G47))*((1+Inputs!$D$7)^BQ$2))))))))</f>
        <v>0</v>
      </c>
      <c r="BR47" s="88">
        <f>MAX(AB47,($E47*IF(BR$2&gt;Inputs!$D$5,0,IF(BR$2&gt;VLOOKUP($H47,Lists!$P$3:$Q$7,2),IF($N47=Lists!$K$3,IF($L47&lt;1,(($U47/$L47)*((1+Inputs!$D$7)^BR$2)),((INT(BR$2/$L47)-INT((BR$2-1)/$L47))*$U47*((1+Inputs!$D$7)^BR$2))),(Inputs!$D$8^((1-_xlfn.WEIBULL.DIST(BR$2,$M47,$L47,FALSE))/_xlfn.WEIBULL.DIST(BR$2,$M47,$L47,FALSE))*$U47*((1+Inputs!$D$7)^BR$2))),IF($N47=Lists!$K$3,IF($L47&lt;1,((($T47*(1-$F47)+$S47*(1-$G47))/$L47)*((1+Inputs!$D$7)^BR$2)),((INT(BR$2/$L47)-INT((BR$2-1)/$L47))*($T47*(1-$F47)+$S47*(1-$G47))*((1+Inputs!$D$7)^BR$2))),((Inputs!$D$8^((1-_xlfn.WEIBULL.DIST(BR$2,$M47,$L47,FALSE))/_xlfn.WEIBULL.DIST(BR$2,$M47,$L47,FALSE))*($T47*(1-$F47)+$S47*(1-$G47))*((1+Inputs!$D$7)^BR$2))))))))</f>
        <v>0</v>
      </c>
      <c r="BS47" s="88">
        <f>MAX(AC47,($E47*IF(BS$2&gt;Inputs!$D$5,0,IF(BS$2&gt;VLOOKUP($H47,Lists!$P$3:$Q$7,2),IF($N47=Lists!$K$3,IF($L47&lt;1,(($U47/$L47)*((1+Inputs!$D$7)^BS$2)),((INT(BS$2/$L47)-INT((BS$2-1)/$L47))*$U47*((1+Inputs!$D$7)^BS$2))),(Inputs!$D$8^((1-_xlfn.WEIBULL.DIST(BS$2,$M47,$L47,FALSE))/_xlfn.WEIBULL.DIST(BS$2,$M47,$L47,FALSE))*$U47*((1+Inputs!$D$7)^BS$2))),IF($N47=Lists!$K$3,IF($L47&lt;1,((($T47*(1-$F47)+$S47*(1-$G47))/$L47)*((1+Inputs!$D$7)^BS$2)),((INT(BS$2/$L47)-INT((BS$2-1)/$L47))*($T47*(1-$F47)+$S47*(1-$G47))*((1+Inputs!$D$7)^BS$2))),((Inputs!$D$8^((1-_xlfn.WEIBULL.DIST(BS$2,$M47,$L47,FALSE))/_xlfn.WEIBULL.DIST(BS$2,$M47,$L47,FALSE))*($T47*(1-$F47)+$S47*(1-$G47))*((1+Inputs!$D$7)^BS$2))))))))</f>
        <v>0</v>
      </c>
      <c r="BT47" s="88">
        <f>MAX(AD47,($E47*IF(BT$2&gt;Inputs!$D$5,0,IF(BT$2&gt;VLOOKUP($H47,Lists!$P$3:$Q$7,2),IF($N47=Lists!$K$3,IF($L47&lt;1,(($U47/$L47)*((1+Inputs!$D$7)^BT$2)),((INT(BT$2/$L47)-INT((BT$2-1)/$L47))*$U47*((1+Inputs!$D$7)^BT$2))),(Inputs!$D$8^((1-_xlfn.WEIBULL.DIST(BT$2,$M47,$L47,FALSE))/_xlfn.WEIBULL.DIST(BT$2,$M47,$L47,FALSE))*$U47*((1+Inputs!$D$7)^BT$2))),IF($N47=Lists!$K$3,IF($L47&lt;1,((($T47*(1-$F47)+$S47*(1-$G47))/$L47)*((1+Inputs!$D$7)^BT$2)),((INT(BT$2/$L47)-INT((BT$2-1)/$L47))*($T47*(1-$F47)+$S47*(1-$G47))*((1+Inputs!$D$7)^BT$2))),((Inputs!$D$8^((1-_xlfn.WEIBULL.DIST(BT$2,$M47,$L47,FALSE))/_xlfn.WEIBULL.DIST(BT$2,$M47,$L47,FALSE))*($T47*(1-$F47)+$S47*(1-$G47))*((1+Inputs!$D$7)^BT$2))))))))</f>
        <v>0</v>
      </c>
      <c r="BU47" s="88">
        <f>MAX(AE47,($E47*IF(BU$2&gt;Inputs!$D$5,0,IF(BU$2&gt;VLOOKUP($H47,Lists!$P$3:$Q$7,2),IF($N47=Lists!$K$3,IF($L47&lt;1,(($U47/$L47)*((1+Inputs!$D$7)^BU$2)),((INT(BU$2/$L47)-INT((BU$2-1)/$L47))*$U47*((1+Inputs!$D$7)^BU$2))),(Inputs!$D$8^((1-_xlfn.WEIBULL.DIST(BU$2,$M47,$L47,FALSE))/_xlfn.WEIBULL.DIST(BU$2,$M47,$L47,FALSE))*$U47*((1+Inputs!$D$7)^BU$2))),IF($N47=Lists!$K$3,IF($L47&lt;1,((($T47*(1-$F47)+$S47*(1-$G47))/$L47)*((1+Inputs!$D$7)^BU$2)),((INT(BU$2/$L47)-INT((BU$2-1)/$L47))*($T47*(1-$F47)+$S47*(1-$G47))*((1+Inputs!$D$7)^BU$2))),((Inputs!$D$8^((1-_xlfn.WEIBULL.DIST(BU$2,$M47,$L47,FALSE))/_xlfn.WEIBULL.DIST(BU$2,$M47,$L47,FALSE))*($T47*(1-$F47)+$S47*(1-$G47))*((1+Inputs!$D$7)^BU$2))))))))</f>
        <v>0</v>
      </c>
      <c r="BV47" s="88">
        <f>MAX(AF47,($E47*IF(BV$2&gt;Inputs!$D$5,0,IF(BV$2&gt;VLOOKUP($H47,Lists!$P$3:$Q$7,2),IF($N47=Lists!$K$3,IF($L47&lt;1,(($U47/$L47)*((1+Inputs!$D$7)^BV$2)),((INT(BV$2/$L47)-INT((BV$2-1)/$L47))*$U47*((1+Inputs!$D$7)^BV$2))),(Inputs!$D$8^((1-_xlfn.WEIBULL.DIST(BV$2,$M47,$L47,FALSE))/_xlfn.WEIBULL.DIST(BV$2,$M47,$L47,FALSE))*$U47*((1+Inputs!$D$7)^BV$2))),IF($N47=Lists!$K$3,IF($L47&lt;1,((($T47*(1-$F47)+$S47*(1-$G47))/$L47)*((1+Inputs!$D$7)^BV$2)),((INT(BV$2/$L47)-INT((BV$2-1)/$L47))*($T47*(1-$F47)+$S47*(1-$G47))*((1+Inputs!$D$7)^BV$2))),((Inputs!$D$8^((1-_xlfn.WEIBULL.DIST(BV$2,$M47,$L47,FALSE))/_xlfn.WEIBULL.DIST(BV$2,$M47,$L47,FALSE))*($T47*(1-$F47)+$S47*(1-$G47))*((1+Inputs!$D$7)^BV$2))))))))</f>
        <v>0</v>
      </c>
      <c r="BW47" s="88">
        <f>MAX(AG47,($E47*IF(BW$2&gt;Inputs!$D$5,0,IF(BW$2&gt;VLOOKUP($H47,Lists!$P$3:$Q$7,2),IF($N47=Lists!$K$3,IF($L47&lt;1,(($U47/$L47)*((1+Inputs!$D$7)^BW$2)),((INT(BW$2/$L47)-INT((BW$2-1)/$L47))*$U47*((1+Inputs!$D$7)^BW$2))),(Inputs!$D$8^((1-_xlfn.WEIBULL.DIST(BW$2,$M47,$L47,FALSE))/_xlfn.WEIBULL.DIST(BW$2,$M47,$L47,FALSE))*$U47*((1+Inputs!$D$7)^BW$2))),IF($N47=Lists!$K$3,IF($L47&lt;1,((($T47*(1-$F47)+$S47*(1-$G47))/$L47)*((1+Inputs!$D$7)^BW$2)),((INT(BW$2/$L47)-INT((BW$2-1)/$L47))*($T47*(1-$F47)+$S47*(1-$G47))*((1+Inputs!$D$7)^BW$2))),((Inputs!$D$8^((1-_xlfn.WEIBULL.DIST(BW$2,$M47,$L47,FALSE))/_xlfn.WEIBULL.DIST(BW$2,$M47,$L47,FALSE))*($T47*(1-$F47)+$S47*(1-$G47))*((1+Inputs!$D$7)^BW$2))))))))</f>
        <v>0</v>
      </c>
      <c r="BX47" s="88">
        <f>MAX(AH47,($E47*IF(BX$2&gt;Inputs!$D$5,0,IF(BX$2&gt;VLOOKUP($H47,Lists!$P$3:$Q$7,2),IF($N47=Lists!$K$3,IF($L47&lt;1,(($U47/$L47)*((1+Inputs!$D$7)^BX$2)),((INT(BX$2/$L47)-INT((BX$2-1)/$L47))*$U47*((1+Inputs!$D$7)^BX$2))),(Inputs!$D$8^((1-_xlfn.WEIBULL.DIST(BX$2,$M47,$L47,FALSE))/_xlfn.WEIBULL.DIST(BX$2,$M47,$L47,FALSE))*$U47*((1+Inputs!$D$7)^BX$2))),IF($N47=Lists!$K$3,IF($L47&lt;1,((($T47*(1-$F47)+$S47*(1-$G47))/$L47)*((1+Inputs!$D$7)^BX$2)),((INT(BX$2/$L47)-INT((BX$2-1)/$L47))*($T47*(1-$F47)+$S47*(1-$G47))*((1+Inputs!$D$7)^BX$2))),((Inputs!$D$8^((1-_xlfn.WEIBULL.DIST(BX$2,$M47,$L47,FALSE))/_xlfn.WEIBULL.DIST(BX$2,$M47,$L47,FALSE))*($T47*(1-$F47)+$S47*(1-$G47))*((1+Inputs!$D$7)^BX$2))))))))</f>
        <v>0</v>
      </c>
      <c r="BY47" s="88">
        <f>MAX(AI47,($E47*IF(BY$2&gt;Inputs!$D$5,0,IF(BY$2&gt;VLOOKUP($H47,Lists!$P$3:$Q$7,2),IF($N47=Lists!$K$3,IF($L47&lt;1,(($U47/$L47)*((1+Inputs!$D$7)^BY$2)),((INT(BY$2/$L47)-INT((BY$2-1)/$L47))*$U47*((1+Inputs!$D$7)^BY$2))),(Inputs!$D$8^((1-_xlfn.WEIBULL.DIST(BY$2,$M47,$L47,FALSE))/_xlfn.WEIBULL.DIST(BY$2,$M47,$L47,FALSE))*$U47*((1+Inputs!$D$7)^BY$2))),IF($N47=Lists!$K$3,IF($L47&lt;1,((($T47*(1-$F47)+$S47*(1-$G47))/$L47)*((1+Inputs!$D$7)^BY$2)),((INT(BY$2/$L47)-INT((BY$2-1)/$L47))*($T47*(1-$F47)+$S47*(1-$G47))*((1+Inputs!$D$7)^BY$2))),((Inputs!$D$8^((1-_xlfn.WEIBULL.DIST(BY$2,$M47,$L47,FALSE))/_xlfn.WEIBULL.DIST(BY$2,$M47,$L47,FALSE))*($T47*(1-$F47)+$S47*(1-$G47))*((1+Inputs!$D$7)^BY$2))))))))</f>
        <v>0</v>
      </c>
      <c r="BZ47" s="88">
        <f>MAX(AJ47,($E47*IF(BZ$2&gt;Inputs!$D$5,0,IF(BZ$2&gt;VLOOKUP($H47,Lists!$P$3:$Q$7,2),IF($N47=Lists!$K$3,IF($L47&lt;1,(($U47/$L47)*((1+Inputs!$D$7)^BZ$2)),((INT(BZ$2/$L47)-INT((BZ$2-1)/$L47))*$U47*((1+Inputs!$D$7)^BZ$2))),(Inputs!$D$8^((1-_xlfn.WEIBULL.DIST(BZ$2,$M47,$L47,FALSE))/_xlfn.WEIBULL.DIST(BZ$2,$M47,$L47,FALSE))*$U47*((1+Inputs!$D$7)^BZ$2))),IF($N47=Lists!$K$3,IF($L47&lt;1,((($T47*(1-$F47)+$S47*(1-$G47))/$L47)*((1+Inputs!$D$7)^BZ$2)),((INT(BZ$2/$L47)-INT((BZ$2-1)/$L47))*($T47*(1-$F47)+$S47*(1-$G47))*((1+Inputs!$D$7)^BZ$2))),((Inputs!$D$8^((1-_xlfn.WEIBULL.DIST(BZ$2,$M47,$L47,FALSE))/_xlfn.WEIBULL.DIST(BZ$2,$M47,$L47,FALSE))*($T47*(1-$F47)+$S47*(1-$G47))*((1+Inputs!$D$7)^BZ$2))))))))</f>
        <v>0</v>
      </c>
      <c r="CA47" s="88">
        <f>MAX(AK47,($E47*IF(CA$2&gt;Inputs!$D$5,0,IF(CA$2&gt;VLOOKUP($H47,Lists!$P$3:$Q$7,2),IF($N47=Lists!$K$3,IF($L47&lt;1,(($U47/$L47)*((1+Inputs!$D$7)^CA$2)),((INT(CA$2/$L47)-INT((CA$2-1)/$L47))*$U47*((1+Inputs!$D$7)^CA$2))),(Inputs!$D$8^((1-_xlfn.WEIBULL.DIST(CA$2,$M47,$L47,FALSE))/_xlfn.WEIBULL.DIST(CA$2,$M47,$L47,FALSE))*$U47*((1+Inputs!$D$7)^CA$2))),IF($N47=Lists!$K$3,IF($L47&lt;1,((($T47*(1-$F47)+$S47*(1-$G47))/$L47)*((1+Inputs!$D$7)^CA$2)),((INT(CA$2/$L47)-INT((CA$2-1)/$L47))*($T47*(1-$F47)+$S47*(1-$G47))*((1+Inputs!$D$7)^CA$2))),((Inputs!$D$8^((1-_xlfn.WEIBULL.DIST(CA$2,$M47,$L47,FALSE))/_xlfn.WEIBULL.DIST(CA$2,$M47,$L47,FALSE))*($T47*(1-$F47)+$S47*(1-$G47))*((1+Inputs!$D$7)^CA$2))))))))</f>
        <v>0</v>
      </c>
      <c r="CB47" s="88">
        <f>MAX(AL47,($E47*IF(CB$2&gt;Inputs!$D$5,0,IF(CB$2&gt;VLOOKUP($H47,Lists!$P$3:$Q$7,2),IF($N47=Lists!$K$3,IF($L47&lt;1,(($U47/$L47)*((1+Inputs!$D$7)^CB$2)),((INT(CB$2/$L47)-INT((CB$2-1)/$L47))*$U47*((1+Inputs!$D$7)^CB$2))),(Inputs!$D$8^((1-_xlfn.WEIBULL.DIST(CB$2,$M47,$L47,FALSE))/_xlfn.WEIBULL.DIST(CB$2,$M47,$L47,FALSE))*$U47*((1+Inputs!$D$7)^CB$2))),IF($N47=Lists!$K$3,IF($L47&lt;1,((($T47*(1-$F47)+$S47*(1-$G47))/$L47)*((1+Inputs!$D$7)^CB$2)),((INT(CB$2/$L47)-INT((CB$2-1)/$L47))*($T47*(1-$F47)+$S47*(1-$G47))*((1+Inputs!$D$7)^CB$2))),((Inputs!$D$8^((1-_xlfn.WEIBULL.DIST(CB$2,$M47,$L47,FALSE))/_xlfn.WEIBULL.DIST(CB$2,$M47,$L47,FALSE))*($T47*(1-$F47)+$S47*(1-$G47))*((1+Inputs!$D$7)^CB$2))))))))</f>
        <v>0</v>
      </c>
      <c r="CC47" s="88">
        <f>MAX(AM47,($E47*IF(CC$2&gt;Inputs!$D$5,0,IF(CC$2&gt;VLOOKUP($H47,Lists!$P$3:$Q$7,2),IF($N47=Lists!$K$3,IF($L47&lt;1,(($U47/$L47)*((1+Inputs!$D$7)^CC$2)),((INT(CC$2/$L47)-INT((CC$2-1)/$L47))*$U47*((1+Inputs!$D$7)^CC$2))),(Inputs!$D$8^((1-_xlfn.WEIBULL.DIST(CC$2,$M47,$L47,FALSE))/_xlfn.WEIBULL.DIST(CC$2,$M47,$L47,FALSE))*$U47*((1+Inputs!$D$7)^CC$2))),IF($N47=Lists!$K$3,IF($L47&lt;1,((($T47*(1-$F47)+$S47*(1-$G47))/$L47)*((1+Inputs!$D$7)^CC$2)),((INT(CC$2/$L47)-INT((CC$2-1)/$L47))*($T47*(1-$F47)+$S47*(1-$G47))*((1+Inputs!$D$7)^CC$2))),((Inputs!$D$8^((1-_xlfn.WEIBULL.DIST(CC$2,$M47,$L47,FALSE))/_xlfn.WEIBULL.DIST(CC$2,$M47,$L47,FALSE))*($T47*(1-$F47)+$S47*(1-$G47))*((1+Inputs!$D$7)^CC$2))))))))</f>
        <v>0</v>
      </c>
      <c r="CD47" s="88">
        <f>MAX(AN47,($E47*IF(CD$2&gt;Inputs!$D$5,0,IF(CD$2&gt;VLOOKUP($H47,Lists!$P$3:$Q$7,2),IF($N47=Lists!$K$3,IF($L47&lt;1,(($U47/$L47)*((1+Inputs!$D$7)^CD$2)),((INT(CD$2/$L47)-INT((CD$2-1)/$L47))*$U47*((1+Inputs!$D$7)^CD$2))),(Inputs!$D$8^((1-_xlfn.WEIBULL.DIST(CD$2,$M47,$L47,FALSE))/_xlfn.WEIBULL.DIST(CD$2,$M47,$L47,FALSE))*$U47*((1+Inputs!$D$7)^CD$2))),IF($N47=Lists!$K$3,IF($L47&lt;1,((($T47*(1-$F47)+$S47*(1-$G47))/$L47)*((1+Inputs!$D$7)^CD$2)),((INT(CD$2/$L47)-INT((CD$2-1)/$L47))*($T47*(1-$F47)+$S47*(1-$G47))*((1+Inputs!$D$7)^CD$2))),((Inputs!$D$8^((1-_xlfn.WEIBULL.DIST(CD$2,$M47,$L47,FALSE))/_xlfn.WEIBULL.DIST(CD$2,$M47,$L47,FALSE))*($T47*(1-$F47)+$S47*(1-$G47))*((1+Inputs!$D$7)^CD$2))))))))</f>
        <v>0</v>
      </c>
      <c r="CE47" s="88">
        <f>MAX(AO47,($E47*IF(CE$2&gt;Inputs!$D$5,0,IF(CE$2&gt;VLOOKUP($H47,Lists!$P$3:$Q$7,2),IF($N47=Lists!$K$3,IF($L47&lt;1,(($U47/$L47)*((1+Inputs!$D$7)^CE$2)),((INT(CE$2/$L47)-INT((CE$2-1)/$L47))*$U47*((1+Inputs!$D$7)^CE$2))),(Inputs!$D$8^((1-_xlfn.WEIBULL.DIST(CE$2,$M47,$L47,FALSE))/_xlfn.WEIBULL.DIST(CE$2,$M47,$L47,FALSE))*$U47*((1+Inputs!$D$7)^CE$2))),IF($N47=Lists!$K$3,IF($L47&lt;1,((($T47*(1-$F47)+$S47*(1-$G47))/$L47)*((1+Inputs!$D$7)^CE$2)),((INT(CE$2/$L47)-INT((CE$2-1)/$L47))*($T47*(1-$F47)+$S47*(1-$G47))*((1+Inputs!$D$7)^CE$2))),((Inputs!$D$8^((1-_xlfn.WEIBULL.DIST(CE$2,$M47,$L47,FALSE))/_xlfn.WEIBULL.DIST(CE$2,$M47,$L47,FALSE))*($T47*(1-$F47)+$S47*(1-$G47))*((1+Inputs!$D$7)^CE$2))))))))</f>
        <v>0</v>
      </c>
      <c r="CF47" s="88">
        <f>MAX(AP47,($E47*IF(CF$2&gt;Inputs!$D$5,0,IF(CF$2&gt;VLOOKUP($H47,Lists!$P$3:$Q$7,2),IF($N47=Lists!$K$3,IF($L47&lt;1,(($U47/$L47)*((1+Inputs!$D$7)^CF$2)),((INT(CF$2/$L47)-INT((CF$2-1)/$L47))*$U47*((1+Inputs!$D$7)^CF$2))),(Inputs!$D$8^((1-_xlfn.WEIBULL.DIST(CF$2,$M47,$L47,FALSE))/_xlfn.WEIBULL.DIST(CF$2,$M47,$L47,FALSE))*$U47*((1+Inputs!$D$7)^CF$2))),IF($N47=Lists!$K$3,IF($L47&lt;1,((($T47*(1-$F47)+$S47*(1-$G47))/$L47)*((1+Inputs!$D$7)^CF$2)),((INT(CF$2/$L47)-INT((CF$2-1)/$L47))*($T47*(1-$F47)+$S47*(1-$G47))*((1+Inputs!$D$7)^CF$2))),((Inputs!$D$8^((1-_xlfn.WEIBULL.DIST(CF$2,$M47,$L47,FALSE))/_xlfn.WEIBULL.DIST(CF$2,$M47,$L47,FALSE))*($T47*(1-$F47)+$S47*(1-$G47))*((1+Inputs!$D$7)^CF$2))))))))</f>
        <v>0</v>
      </c>
      <c r="CG47" s="88">
        <f>MAX(AQ47,($E47*IF(CG$2&gt;Inputs!$D$5,0,IF(CG$2&gt;VLOOKUP($H47,Lists!$P$3:$Q$7,2),IF($N47=Lists!$K$3,IF($L47&lt;1,(($U47/$L47)*((1+Inputs!$D$7)^CG$2)),((INT(CG$2/$L47)-INT((CG$2-1)/$L47))*$U47*((1+Inputs!$D$7)^CG$2))),(Inputs!$D$8^((1-_xlfn.WEIBULL.DIST(CG$2,$M47,$L47,FALSE))/_xlfn.WEIBULL.DIST(CG$2,$M47,$L47,FALSE))*$U47*((1+Inputs!$D$7)^CG$2))),IF($N47=Lists!$K$3,IF($L47&lt;1,((($T47*(1-$F47)+$S47*(1-$G47))/$L47)*((1+Inputs!$D$7)^CG$2)),((INT(CG$2/$L47)-INT((CG$2-1)/$L47))*($T47*(1-$F47)+$S47*(1-$G47))*((1+Inputs!$D$7)^CG$2))),((Inputs!$D$8^((1-_xlfn.WEIBULL.DIST(CG$2,$M47,$L47,FALSE))/_xlfn.WEIBULL.DIST(CG$2,$M47,$L47,FALSE))*($T47*(1-$F47)+$S47*(1-$G47))*((1+Inputs!$D$7)^CG$2))))))))</f>
        <v>0</v>
      </c>
      <c r="CH47" s="88">
        <f>MAX(AR47,($E47*IF(CH$2&gt;Inputs!$D$5,0,IF(CH$2&gt;VLOOKUP($H47,Lists!$P$3:$Q$7,2),IF($N47=Lists!$K$3,IF($L47&lt;1,(($U47/$L47)*((1+Inputs!$D$7)^CH$2)),((INT(CH$2/$L47)-INT((CH$2-1)/$L47))*$U47*((1+Inputs!$D$7)^CH$2))),(Inputs!$D$8^((1-_xlfn.WEIBULL.DIST(CH$2,$M47,$L47,FALSE))/_xlfn.WEIBULL.DIST(CH$2,$M47,$L47,FALSE))*$U47*((1+Inputs!$D$7)^CH$2))),IF($N47=Lists!$K$3,IF($L47&lt;1,((($T47*(1-$F47)+$S47*(1-$G47))/$L47)*((1+Inputs!$D$7)^CH$2)),((INT(CH$2/$L47)-INT((CH$2-1)/$L47))*($T47*(1-$F47)+$S47*(1-$G47))*((1+Inputs!$D$7)^CH$2))),((Inputs!$D$8^((1-_xlfn.WEIBULL.DIST(CH$2,$M47,$L47,FALSE))/_xlfn.WEIBULL.DIST(CH$2,$M47,$L47,FALSE))*($T47*(1-$F47)+$S47*(1-$G47))*((1+Inputs!$D$7)^CH$2))))))))</f>
        <v>0</v>
      </c>
      <c r="CI47" s="88">
        <f>MAX(AS47,($E47*IF(CI$2&gt;Inputs!$D$5,0,IF(CI$2&gt;VLOOKUP($H47,Lists!$P$3:$Q$7,2),IF($N47=Lists!$K$3,IF($L47&lt;1,(($U47/$L47)*((1+Inputs!$D$7)^CI$2)),((INT(CI$2/$L47)-INT((CI$2-1)/$L47))*$U47*((1+Inputs!$D$7)^CI$2))),(Inputs!$D$8^((1-_xlfn.WEIBULL.DIST(CI$2,$M47,$L47,FALSE))/_xlfn.WEIBULL.DIST(CI$2,$M47,$L47,FALSE))*$U47*((1+Inputs!$D$7)^CI$2))),IF($N47=Lists!$K$3,IF($L47&lt;1,((($T47*(1-$F47)+$S47*(1-$G47))/$L47)*((1+Inputs!$D$7)^CI$2)),((INT(CI$2/$L47)-INT((CI$2-1)/$L47))*($T47*(1-$F47)+$S47*(1-$G47))*((1+Inputs!$D$7)^CI$2))),((Inputs!$D$8^((1-_xlfn.WEIBULL.DIST(CI$2,$M47,$L47,FALSE))/_xlfn.WEIBULL.DIST(CI$2,$M47,$L47,FALSE))*($T47*(1-$F47)+$S47*(1-$G47))*((1+Inputs!$D$7)^CI$2))))))))</f>
        <v>0</v>
      </c>
      <c r="CJ47" s="88">
        <f>MAX(AT47,($E47*IF(CJ$2&gt;Inputs!$D$5,0,IF(CJ$2&gt;VLOOKUP($H47,Lists!$P$3:$Q$7,2),IF($N47=Lists!$K$3,IF($L47&lt;1,(($U47/$L47)*((1+Inputs!$D$7)^CJ$2)),((INT(CJ$2/$L47)-INT((CJ$2-1)/$L47))*$U47*((1+Inputs!$D$7)^CJ$2))),(Inputs!$D$8^((1-_xlfn.WEIBULL.DIST(CJ$2,$M47,$L47,FALSE))/_xlfn.WEIBULL.DIST(CJ$2,$M47,$L47,FALSE))*$U47*((1+Inputs!$D$7)^CJ$2))),IF($N47=Lists!$K$3,IF($L47&lt;1,((($T47*(1-$F47)+$S47*(1-$G47))/$L47)*((1+Inputs!$D$7)^CJ$2)),((INT(CJ$2/$L47)-INT((CJ$2-1)/$L47))*($T47*(1-$F47)+$S47*(1-$G47))*((1+Inputs!$D$7)^CJ$2))),((Inputs!$D$8^((1-_xlfn.WEIBULL.DIST(CJ$2,$M47,$L47,FALSE))/_xlfn.WEIBULL.DIST(CJ$2,$M47,$L47,FALSE))*($T47*(1-$F47)+$S47*(1-$G47))*((1+Inputs!$D$7)^CJ$2))))))))</f>
        <v>68.182696264466784</v>
      </c>
      <c r="CK47" s="88">
        <f>MAX(AU47,($E47*IF(CK$2&gt;Inputs!$D$5,0,IF(CK$2&gt;VLOOKUP($H47,Lists!$P$3:$Q$7,2),IF($N47=Lists!$K$3,IF($L47&lt;1,(($U47/$L47)*((1+Inputs!$D$7)^CK$2)),((INT(CK$2/$L47)-INT((CK$2-1)/$L47))*$U47*((1+Inputs!$D$7)^CK$2))),(Inputs!$D$8^((1-_xlfn.WEIBULL.DIST(CK$2,$M47,$L47,FALSE))/_xlfn.WEIBULL.DIST(CK$2,$M47,$L47,FALSE))*$U47*((1+Inputs!$D$7)^CK$2))),IF($N47=Lists!$K$3,IF($L47&lt;1,((($T47*(1-$F47)+$S47*(1-$G47))/$L47)*((1+Inputs!$D$7)^CK$2)),((INT(CK$2/$L47)-INT((CK$2-1)/$L47))*($T47*(1-$F47)+$S47*(1-$G47))*((1+Inputs!$D$7)^CK$2))),((Inputs!$D$8^((1-_xlfn.WEIBULL.DIST(CK$2,$M47,$L47,FALSE))/_xlfn.WEIBULL.DIST(CK$2,$M47,$L47,FALSE))*($T47*(1-$F47)+$S47*(1-$G47))*((1+Inputs!$D$7)^CK$2))))))))</f>
        <v>0</v>
      </c>
      <c r="CL47" s="88">
        <f>MAX(AV47,($E47*IF(CL$2&gt;Inputs!$D$5,0,IF(CL$2&gt;VLOOKUP($H47,Lists!$P$3:$Q$7,2),IF($N47=Lists!$K$3,IF($L47&lt;1,(($U47/$L47)*((1+Inputs!$D$7)^CL$2)),((INT(CL$2/$L47)-INT((CL$2-1)/$L47))*$U47*((1+Inputs!$D$7)^CL$2))),(Inputs!$D$8^((1-_xlfn.WEIBULL.DIST(CL$2,$M47,$L47,FALSE))/_xlfn.WEIBULL.DIST(CL$2,$M47,$L47,FALSE))*$U47*((1+Inputs!$D$7)^CL$2))),IF($N47=Lists!$K$3,IF($L47&lt;1,((($T47*(1-$F47)+$S47*(1-$G47))/$L47)*((1+Inputs!$D$7)^CL$2)),((INT(CL$2/$L47)-INT((CL$2-1)/$L47))*($T47*(1-$F47)+$S47*(1-$G47))*((1+Inputs!$D$7)^CL$2))),((Inputs!$D$8^((1-_xlfn.WEIBULL.DIST(CL$2,$M47,$L47,FALSE))/_xlfn.WEIBULL.DIST(CL$2,$M47,$L47,FALSE))*($T47*(1-$F47)+$S47*(1-$G47))*((1+Inputs!$D$7)^CL$2))))))))</f>
        <v>0</v>
      </c>
      <c r="CM47" s="88">
        <f>MAX(AW47,($E47*IF(CM$2&gt;Inputs!$D$5,0,IF(CM$2&gt;VLOOKUP($H47,Lists!$P$3:$Q$7,2),IF($N47=Lists!$K$3,IF($L47&lt;1,(($U47/$L47)*((1+Inputs!$D$7)^CM$2)),((INT(CM$2/$L47)-INT((CM$2-1)/$L47))*$U47*((1+Inputs!$D$7)^CM$2))),(Inputs!$D$8^((1-_xlfn.WEIBULL.DIST(CM$2,$M47,$L47,FALSE))/_xlfn.WEIBULL.DIST(CM$2,$M47,$L47,FALSE))*$U47*((1+Inputs!$D$7)^CM$2))),IF($N47=Lists!$K$3,IF($L47&lt;1,((($T47*(1-$F47)+$S47*(1-$G47))/$L47)*((1+Inputs!$D$7)^CM$2)),((INT(CM$2/$L47)-INT((CM$2-1)/$L47))*($T47*(1-$F47)+$S47*(1-$G47))*((1+Inputs!$D$7)^CM$2))),((Inputs!$D$8^((1-_xlfn.WEIBULL.DIST(CM$2,$M47,$L47,FALSE))/_xlfn.WEIBULL.DIST(CM$2,$M47,$L47,FALSE))*($T47*(1-$F47)+$S47*(1-$G47))*((1+Inputs!$D$7)^CM$2))))))))</f>
        <v>0</v>
      </c>
      <c r="CN47" s="88">
        <f>MAX(AX47,($E47*IF(CN$2&gt;Inputs!$D$5,0,IF(CN$2&gt;VLOOKUP($H47,Lists!$P$3:$Q$7,2),IF($N47=Lists!$K$3,IF($L47&lt;1,(($U47/$L47)*((1+Inputs!$D$7)^CN$2)),((INT(CN$2/$L47)-INT((CN$2-1)/$L47))*$U47*((1+Inputs!$D$7)^CN$2))),(Inputs!$D$8^((1-_xlfn.WEIBULL.DIST(CN$2,$M47,$L47,FALSE))/_xlfn.WEIBULL.DIST(CN$2,$M47,$L47,FALSE))*$U47*((1+Inputs!$D$7)^CN$2))),IF($N47=Lists!$K$3,IF($L47&lt;1,((($T47*(1-$F47)+$S47*(1-$G47))/$L47)*((1+Inputs!$D$7)^CN$2)),((INT(CN$2/$L47)-INT((CN$2-1)/$L47))*($T47*(1-$F47)+$S47*(1-$G47))*((1+Inputs!$D$7)^CN$2))),((Inputs!$D$8^((1-_xlfn.WEIBULL.DIST(CN$2,$M47,$L47,FALSE))/_xlfn.WEIBULL.DIST(CN$2,$M47,$L47,FALSE))*($T47*(1-$F47)+$S47*(1-$G47))*((1+Inputs!$D$7)^CN$2))))))))</f>
        <v>0</v>
      </c>
      <c r="CO47" s="88">
        <f>MAX(AY47,($E47*IF(CO$2&gt;Inputs!$D$5,0,IF(CO$2&gt;VLOOKUP($H47,Lists!$P$3:$Q$7,2),IF($N47=Lists!$K$3,IF($L47&lt;1,(($U47/$L47)*((1+Inputs!$D$7)^CO$2)),((INT(CO$2/$L47)-INT((CO$2-1)/$L47))*$U47*((1+Inputs!$D$7)^CO$2))),(Inputs!$D$8^((1-_xlfn.WEIBULL.DIST(CO$2,$M47,$L47,FALSE))/_xlfn.WEIBULL.DIST(CO$2,$M47,$L47,FALSE))*$U47*((1+Inputs!$D$7)^CO$2))),IF($N47=Lists!$K$3,IF($L47&lt;1,((($T47*(1-$F47)+$S47*(1-$G47))/$L47)*((1+Inputs!$D$7)^CO$2)),((INT(CO$2/$L47)-INT((CO$2-1)/$L47))*($T47*(1-$F47)+$S47*(1-$G47))*((1+Inputs!$D$7)^CO$2))),((Inputs!$D$8^((1-_xlfn.WEIBULL.DIST(CO$2,$M47,$L47,FALSE))/_xlfn.WEIBULL.DIST(CO$2,$M47,$L47,FALSE))*($T47*(1-$F47)+$S47*(1-$G47))*((1+Inputs!$D$7)^CO$2))))))))</f>
        <v>0</v>
      </c>
      <c r="CP47" s="88">
        <f>MAX(AZ47,($E47*IF(CP$2&gt;Inputs!$D$5,0,IF(CP$2&gt;VLOOKUP($H47,Lists!$P$3:$Q$7,2),IF($N47=Lists!$K$3,IF($L47&lt;1,(($U47/$L47)*((1+Inputs!$D$7)^CP$2)),((INT(CP$2/$L47)-INT((CP$2-1)/$L47))*$U47*((1+Inputs!$D$7)^CP$2))),(Inputs!$D$8^((1-_xlfn.WEIBULL.DIST(CP$2,$M47,$L47,FALSE))/_xlfn.WEIBULL.DIST(CP$2,$M47,$L47,FALSE))*$U47*((1+Inputs!$D$7)^CP$2))),IF($N47=Lists!$K$3,IF($L47&lt;1,((($T47*(1-$F47)+$S47*(1-$G47))/$L47)*((1+Inputs!$D$7)^CP$2)),((INT(CP$2/$L47)-INT((CP$2-1)/$L47))*($T47*(1-$F47)+$S47*(1-$G47))*((1+Inputs!$D$7)^CP$2))),((Inputs!$D$8^((1-_xlfn.WEIBULL.DIST(CP$2,$M47,$L47,FALSE))/_xlfn.WEIBULL.DIST(CP$2,$M47,$L47,FALSE))*($T47*(1-$F47)+$S47*(1-$G47))*((1+Inputs!$D$7)^CP$2))))))))</f>
        <v>0</v>
      </c>
      <c r="CQ47" s="88">
        <f>MAX(BA47,($E47*IF(CQ$2&gt;Inputs!$D$5,0,IF(CQ$2&gt;VLOOKUP($H47,Lists!$P$3:$Q$7,2),IF($N47=Lists!$K$3,IF($L47&lt;1,(($U47/$L47)*((1+Inputs!$D$7)^CQ$2)),((INT(CQ$2/$L47)-INT((CQ$2-1)/$L47))*$U47*((1+Inputs!$D$7)^CQ$2))),(Inputs!$D$8^((1-_xlfn.WEIBULL.DIST(CQ$2,$M47,$L47,FALSE))/_xlfn.WEIBULL.DIST(CQ$2,$M47,$L47,FALSE))*$U47*((1+Inputs!$D$7)^CQ$2))),IF($N47=Lists!$K$3,IF($L47&lt;1,((($T47*(1-$F47)+$S47*(1-$G47))/$L47)*((1+Inputs!$D$7)^CQ$2)),((INT(CQ$2/$L47)-INT((CQ$2-1)/$L47))*($T47*(1-$F47)+$S47*(1-$G47))*((1+Inputs!$D$7)^CQ$2))),((Inputs!$D$8^((1-_xlfn.WEIBULL.DIST(CQ$2,$M47,$L47,FALSE))/_xlfn.WEIBULL.DIST(CQ$2,$M47,$L47,FALSE))*($T47*(1-$F47)+$S47*(1-$G47))*((1+Inputs!$D$7)^CQ$2))))))))</f>
        <v>0</v>
      </c>
      <c r="CR47" s="88">
        <f>MAX(BB47,($E47*IF(CR$2&gt;Inputs!$D$5,0,IF(CR$2&gt;VLOOKUP($H47,Lists!$P$3:$Q$7,2),IF($N47=Lists!$K$3,IF($L47&lt;1,(($U47/$L47)*((1+Inputs!$D$7)^CR$2)),((INT(CR$2/$L47)-INT((CR$2-1)/$L47))*$U47*((1+Inputs!$D$7)^CR$2))),(Inputs!$D$8^((1-_xlfn.WEIBULL.DIST(CR$2,$M47,$L47,FALSE))/_xlfn.WEIBULL.DIST(CR$2,$M47,$L47,FALSE))*$U47*((1+Inputs!$D$7)^CR$2))),IF($N47=Lists!$K$3,IF($L47&lt;1,((($T47*(1-$F47)+$S47*(1-$G47))/$L47)*((1+Inputs!$D$7)^CR$2)),((INT(CR$2/$L47)-INT((CR$2-1)/$L47))*($T47*(1-$F47)+$S47*(1-$G47))*((1+Inputs!$D$7)^CR$2))),((Inputs!$D$8^((1-_xlfn.WEIBULL.DIST(CR$2,$M47,$L47,FALSE))/_xlfn.WEIBULL.DIST(CR$2,$M47,$L47,FALSE))*($T47*(1-$F47)+$S47*(1-$G47))*((1+Inputs!$D$7)^CR$2))))))))</f>
        <v>0</v>
      </c>
      <c r="CS47" s="88">
        <f>MAX(BC47,($E47*IF(CS$2&gt;Inputs!$D$5,0,IF(CS$2&gt;VLOOKUP($H47,Lists!$P$3:$Q$7,2),IF($N47=Lists!$K$3,IF($L47&lt;1,(($U47/$L47)*((1+Inputs!$D$7)^CS$2)),((INT(CS$2/$L47)-INT((CS$2-1)/$L47))*$U47*((1+Inputs!$D$7)^CS$2))),(Inputs!$D$8^((1-_xlfn.WEIBULL.DIST(CS$2,$M47,$L47,FALSE))/_xlfn.WEIBULL.DIST(CS$2,$M47,$L47,FALSE))*$U47*((1+Inputs!$D$7)^CS$2))),IF($N47=Lists!$K$3,IF($L47&lt;1,((($T47*(1-$F47)+$S47*(1-$G47))/$L47)*((1+Inputs!$D$7)^CS$2)),((INT(CS$2/$L47)-INT((CS$2-1)/$L47))*($T47*(1-$F47)+$S47*(1-$G47))*((1+Inputs!$D$7)^CS$2))),((Inputs!$D$8^((1-_xlfn.WEIBULL.DIST(CS$2,$M47,$L47,FALSE))/_xlfn.WEIBULL.DIST(CS$2,$M47,$L47,FALSE))*($T47*(1-$F47)+$S47*(1-$G47))*((1+Inputs!$D$7)^CS$2))))))))</f>
        <v>0</v>
      </c>
      <c r="CT47" s="88">
        <f>MAX(BD47,($E47*IF(CT$2&gt;Inputs!$D$5,0,IF(CT$2&gt;VLOOKUP($H47,Lists!$P$3:$Q$7,2),IF($N47=Lists!$K$3,IF($L47&lt;1,(($U47/$L47)*((1+Inputs!$D$7)^CT$2)),((INT(CT$2/$L47)-INT((CT$2-1)/$L47))*$U47*((1+Inputs!$D$7)^CT$2))),(Inputs!$D$8^((1-_xlfn.WEIBULL.DIST(CT$2,$M47,$L47,FALSE))/_xlfn.WEIBULL.DIST(CT$2,$M47,$L47,FALSE))*$U47*((1+Inputs!$D$7)^CT$2))),IF($N47=Lists!$K$3,IF($L47&lt;1,((($T47*(1-$F47)+$S47*(1-$G47))/$L47)*((1+Inputs!$D$7)^CT$2)),((INT(CT$2/$L47)-INT((CT$2-1)/$L47))*($T47*(1-$F47)+$S47*(1-$G47))*((1+Inputs!$D$7)^CT$2))),((Inputs!$D$8^((1-_xlfn.WEIBULL.DIST(CT$2,$M47,$L47,FALSE))/_xlfn.WEIBULL.DIST(CT$2,$M47,$L47,FALSE))*($T47*(1-$F47)+$S47*(1-$G47))*((1+Inputs!$D$7)^CT$2))))))))</f>
        <v>0</v>
      </c>
      <c r="CU47" s="88">
        <f>MAX(BE47,($E47*IF(CU$2&gt;Inputs!$D$5,0,IF(CU$2&gt;VLOOKUP($H47,Lists!$P$3:$Q$7,2),IF($N47=Lists!$K$3,IF($L47&lt;1,(($U47/$L47)*((1+Inputs!$D$7)^CU$2)),((INT(CU$2/$L47)-INT((CU$2-1)/$L47))*$U47*((1+Inputs!$D$7)^CU$2))),(Inputs!$D$8^((1-_xlfn.WEIBULL.DIST(CU$2,$M47,$L47,FALSE))/_xlfn.WEIBULL.DIST(CU$2,$M47,$L47,FALSE))*$U47*((1+Inputs!$D$7)^CU$2))),IF($N47=Lists!$K$3,IF($L47&lt;1,((($T47*(1-$F47)+$S47*(1-$G47))/$L47)*((1+Inputs!$D$7)^CU$2)),((INT(CU$2/$L47)-INT((CU$2-1)/$L47))*($T47*(1-$F47)+$S47*(1-$G47))*((1+Inputs!$D$7)^CU$2))),((Inputs!$D$8^((1-_xlfn.WEIBULL.DIST(CU$2,$M47,$L47,FALSE))/_xlfn.WEIBULL.DIST(CU$2,$M47,$L47,FALSE))*($T47*(1-$F47)+$S47*(1-$G47))*((1+Inputs!$D$7)^CU$2))))))))</f>
        <v>0</v>
      </c>
      <c r="CV47" s="88">
        <f>MAX(BF47,($E47*IF(CV$2&gt;Inputs!$D$5,0,IF(CV$2&gt;VLOOKUP($H47,Lists!$P$3:$Q$7,2),IF($N47=Lists!$K$3,IF($L47&lt;1,(($U47/$L47)*((1+Inputs!$D$7)^CV$2)),((INT(CV$2/$L47)-INT((CV$2-1)/$L47))*$U47*((1+Inputs!$D$7)^CV$2))),(Inputs!$D$8^((1-_xlfn.WEIBULL.DIST(CV$2,$M47,$L47,FALSE))/_xlfn.WEIBULL.DIST(CV$2,$M47,$L47,FALSE))*$U47*((1+Inputs!$D$7)^CV$2))),IF($N47=Lists!$K$3,IF($L47&lt;1,((($T47*(1-$F47)+$S47*(1-$G47))/$L47)*((1+Inputs!$D$7)^CV$2)),((INT(CV$2/$L47)-INT((CV$2-1)/$L47))*($T47*(1-$F47)+$S47*(1-$G47))*((1+Inputs!$D$7)^CV$2))),((Inputs!$D$8^((1-_xlfn.WEIBULL.DIST(CV$2,$M47,$L47,FALSE))/_xlfn.WEIBULL.DIST(CV$2,$M47,$L47,FALSE))*($T47*(1-$F47)+$S47*(1-$G47))*((1+Inputs!$D$7)^CV$2))))))))</f>
        <v>0</v>
      </c>
      <c r="CW47" s="88">
        <f>MAX(BG47,($E47*IF(CW$2&gt;Inputs!$D$5,0,IF(CW$2&gt;VLOOKUP($H47,Lists!$P$3:$Q$7,2),IF($N47=Lists!$K$3,IF($L47&lt;1,(($U47/$L47)*((1+Inputs!$D$7)^CW$2)),((INT(CW$2/$L47)-INT((CW$2-1)/$L47))*$U47*((1+Inputs!$D$7)^CW$2))),(Inputs!$D$8^((1-_xlfn.WEIBULL.DIST(CW$2,$M47,$L47,FALSE))/_xlfn.WEIBULL.DIST(CW$2,$M47,$L47,FALSE))*$U47*((1+Inputs!$D$7)^CW$2))),IF($N47=Lists!$K$3,IF($L47&lt;1,((($T47*(1-$F47)+$S47*(1-$G47))/$L47)*((1+Inputs!$D$7)^CW$2)),((INT(CW$2/$L47)-INT((CW$2-1)/$L47))*($T47*(1-$F47)+$S47*(1-$G47))*((1+Inputs!$D$7)^CW$2))),((Inputs!$D$8^((1-_xlfn.WEIBULL.DIST(CW$2,$M47,$L47,FALSE))/_xlfn.WEIBULL.DIST(CW$2,$M47,$L47,FALSE))*($T47*(1-$F47)+$S47*(1-$G47))*((1+Inputs!$D$7)^CW$2))))))))</f>
        <v>0</v>
      </c>
      <c r="CX47" s="88">
        <f>MAX(BH47,($E47*IF(CX$2&gt;Inputs!$D$5,0,IF(CX$2&gt;VLOOKUP($H47,Lists!$P$3:$Q$7,2),IF($N47=Lists!$K$3,IF($L47&lt;1,(($U47/$L47)*((1+Inputs!$D$7)^CX$2)),((INT(CX$2/$L47)-INT((CX$2-1)/$L47))*$U47*((1+Inputs!$D$7)^CX$2))),(Inputs!$D$8^((1-_xlfn.WEIBULL.DIST(CX$2,$M47,$L47,FALSE))/_xlfn.WEIBULL.DIST(CX$2,$M47,$L47,FALSE))*$U47*((1+Inputs!$D$7)^CX$2))),IF($N47=Lists!$K$3,IF($L47&lt;1,((($T47*(1-$F47)+$S47*(1-$G47))/$L47)*((1+Inputs!$D$7)^CX$2)),((INT(CX$2/$L47)-INT((CX$2-1)/$L47))*($T47*(1-$F47)+$S47*(1-$G47))*((1+Inputs!$D$7)^CX$2))),((Inputs!$D$8^((1-_xlfn.WEIBULL.DIST(CX$2,$M47,$L47,FALSE))/_xlfn.WEIBULL.DIST(CX$2,$M47,$L47,FALSE))*($T47*(1-$F47)+$S47*(1-$G47))*((1+Inputs!$D$7)^CX$2))))))))</f>
        <v>0</v>
      </c>
      <c r="CY47" s="88">
        <f>MAX(BI47,($E47*IF(CY$2&gt;Inputs!$D$5,0,IF(CY$2&gt;VLOOKUP($H47,Lists!$P$3:$Q$7,2),IF($N47=Lists!$K$3,IF($L47&lt;1,(($U47/$L47)*((1+Inputs!$D$7)^CY$2)),((INT(CY$2/$L47)-INT((CY$2-1)/$L47))*$U47*((1+Inputs!$D$7)^CY$2))),(Inputs!$D$8^((1-_xlfn.WEIBULL.DIST(CY$2,$M47,$L47,FALSE))/_xlfn.WEIBULL.DIST(CY$2,$M47,$L47,FALSE))*$U47*((1+Inputs!$D$7)^CY$2))),IF($N47=Lists!$K$3,IF($L47&lt;1,((($T47*(1-$F47)+$S47*(1-$G47))/$L47)*((1+Inputs!$D$7)^CY$2)),((INT(CY$2/$L47)-INT((CY$2-1)/$L47))*($T47*(1-$F47)+$S47*(1-$G47))*((1+Inputs!$D$7)^CY$2))),((Inputs!$D$8^((1-_xlfn.WEIBULL.DIST(CY$2,$M47,$L47,FALSE))/_xlfn.WEIBULL.DIST(CY$2,$M47,$L47,FALSE))*($T47*(1-$F47)+$S47*(1-$G47))*((1+Inputs!$D$7)^CY$2))))))))</f>
        <v>0</v>
      </c>
      <c r="CZ47" s="88">
        <f>MAX(BJ47,($E47*IF(CZ$2&gt;Inputs!$D$5,0,IF(CZ$2&gt;VLOOKUP($H47,Lists!$P$3:$Q$7,2),IF($N47=Lists!$K$3,IF($L47&lt;1,(($U47/$L47)*((1+Inputs!$D$7)^CZ$2)),((INT(CZ$2/$L47)-INT((CZ$2-1)/$L47))*$U47*((1+Inputs!$D$7)^CZ$2))),(Inputs!$D$8^((1-_xlfn.WEIBULL.DIST(CZ$2,$M47,$L47,FALSE))/_xlfn.WEIBULL.DIST(CZ$2,$M47,$L47,FALSE))*$U47*((1+Inputs!$D$7)^CZ$2))),IF($N47=Lists!$K$3,IF($L47&lt;1,((($T47*(1-$F47)+$S47*(1-$G47))/$L47)*((1+Inputs!$D$7)^CZ$2)),((INT(CZ$2/$L47)-INT((CZ$2-1)/$L47))*($T47*(1-$F47)+$S47*(1-$G47))*((1+Inputs!$D$7)^CZ$2))),((Inputs!$D$8^((1-_xlfn.WEIBULL.DIST(CZ$2,$M47,$L47,FALSE))/_xlfn.WEIBULL.DIST(CZ$2,$M47,$L47,FALSE))*($T47*(1-$F47)+$S47*(1-$G47))*((1+Inputs!$D$7)^CZ$2))))))))</f>
        <v>0</v>
      </c>
      <c r="DA47" s="88">
        <f>MAX(BK47,($E47*IF(DA$2&gt;Inputs!$D$5,0,IF(DA$2&gt;VLOOKUP($H47,Lists!$P$3:$Q$7,2),IF($N47=Lists!$K$3,IF($L47&lt;1,(($U47/$L47)*((1+Inputs!$D$7)^DA$2)),((INT(DA$2/$L47)-INT((DA$2-1)/$L47))*$U47*((1+Inputs!$D$7)^DA$2))),(Inputs!$D$8^((1-_xlfn.WEIBULL.DIST(DA$2,$M47,$L47,FALSE))/_xlfn.WEIBULL.DIST(DA$2,$M47,$L47,FALSE))*$U47*((1+Inputs!$D$7)^DA$2))),IF($N47=Lists!$K$3,IF($L47&lt;1,((($T47*(1-$F47)+$S47*(1-$G47))/$L47)*((1+Inputs!$D$7)^DA$2)),((INT(DA$2/$L47)-INT((DA$2-1)/$L47))*($T47*(1-$F47)+$S47*(1-$G47))*((1+Inputs!$D$7)^DA$2))),((Inputs!$D$8^((1-_xlfn.WEIBULL.DIST(DA$2,$M47,$L47,FALSE))/_xlfn.WEIBULL.DIST(DA$2,$M47,$L47,FALSE))*($T47*(1-$F47)+$S47*(1-$G47))*((1+Inputs!$D$7)^DA$2))))))))</f>
        <v>0</v>
      </c>
      <c r="DB47" s="88">
        <f>MAX(BL47,($E47*IF(DB$2&gt;Inputs!$D$5,0,IF(DB$2&gt;VLOOKUP($H47,Lists!$P$3:$Q$7,2),IF($N47=Lists!$K$3,IF($L47&lt;1,(($U47/$L47)*((1+Inputs!$D$7)^DB$2)),((INT(DB$2/$L47)-INT((DB$2-1)/$L47))*$U47*((1+Inputs!$D$7)^DB$2))),(Inputs!$D$8^((1-_xlfn.WEIBULL.DIST(DB$2,$M47,$L47,FALSE))/_xlfn.WEIBULL.DIST(DB$2,$M47,$L47,FALSE))*$U47*((1+Inputs!$D$7)^DB$2))),IF($N47=Lists!$K$3,IF($L47&lt;1,((($T47*(1-$F47)+$S47*(1-$G47))/$L47)*((1+Inputs!$D$7)^DB$2)),((INT(DB$2/$L47)-INT((DB$2-1)/$L47))*($T47*(1-$F47)+$S47*(1-$G47))*((1+Inputs!$D$7)^DB$2))),((Inputs!$D$8^((1-_xlfn.WEIBULL.DIST(DB$2,$M47,$L47,FALSE))/_xlfn.WEIBULL.DIST(DB$2,$M47,$L47,FALSE))*($T47*(1-$F47)+$S47*(1-$G47))*((1+Inputs!$D$7)^DB$2))))))))</f>
        <v>0</v>
      </c>
      <c r="DC47" s="88">
        <f>MAX(BM47,($E47*IF(DC$2&gt;Inputs!$D$5,0,IF(DC$2&gt;VLOOKUP($H47,Lists!$P$3:$Q$7,2),IF($N47=Lists!$K$3,IF($L47&lt;1,(($U47/$L47)*((1+Inputs!$D$7)^DC$2)),((INT(DC$2/$L47)-INT((DC$2-1)/$L47))*$U47*((1+Inputs!$D$7)^DC$2))),(Inputs!$D$8^((1-_xlfn.WEIBULL.DIST(DC$2,$M47,$L47,FALSE))/_xlfn.WEIBULL.DIST(DC$2,$M47,$L47,FALSE))*$U47*((1+Inputs!$D$7)^DC$2))),IF($N47=Lists!$K$3,IF($L47&lt;1,((($T47*(1-$F47)+$S47*(1-$G47))/$L47)*((1+Inputs!$D$7)^DC$2)),((INT(DC$2/$L47)-INT((DC$2-1)/$L47))*($T47*(1-$F47)+$S47*(1-$G47))*((1+Inputs!$D$7)^DC$2))),((Inputs!$D$8^((1-_xlfn.WEIBULL.DIST(DC$2,$M47,$L47,FALSE))/_xlfn.WEIBULL.DIST(DC$2,$M47,$L47,FALSE))*($T47*(1-$F47)+$S47*(1-$G47))*((1+Inputs!$D$7)^DC$2))))))))</f>
        <v>0</v>
      </c>
      <c r="DD47" s="88">
        <f>MAX(BN47,($E47*IF(DD$2&gt;Inputs!$D$5,0,IF(DD$2&gt;VLOOKUP($H47,Lists!$P$3:$Q$7,2),IF($N47=Lists!$K$3,IF($L47&lt;1,(($U47/$L47)*((1+Inputs!$D$7)^DD$2)),((INT(DD$2/$L47)-INT((DD$2-1)/$L47))*$U47*((1+Inputs!$D$7)^DD$2))),(Inputs!$D$8^((1-_xlfn.WEIBULL.DIST(DD$2,$M47,$L47,FALSE))/_xlfn.WEIBULL.DIST(DD$2,$M47,$L47,FALSE))*$U47*((1+Inputs!$D$7)^DD$2))),IF($N47=Lists!$K$3,IF($L47&lt;1,((($T47*(1-$F47)+$S47*(1-$G47))/$L47)*((1+Inputs!$D$7)^DD$2)),((INT(DD$2/$L47)-INT((DD$2-1)/$L47))*($T47*(1-$F47)+$S47*(1-$G47))*((1+Inputs!$D$7)^DD$2))),((Inputs!$D$8^((1-_xlfn.WEIBULL.DIST(DD$2,$M47,$L47,FALSE))/_xlfn.WEIBULL.DIST(DD$2,$M47,$L47,FALSE))*($T47*(1-$F47)+$S47*(1-$G47))*((1+Inputs!$D$7)^DD$2))))))))</f>
        <v>0</v>
      </c>
    </row>
    <row r="48" spans="1:108" ht="32">
      <c r="A48" s="57" t="s">
        <v>212</v>
      </c>
      <c r="B48" s="13" t="s">
        <v>130</v>
      </c>
      <c r="C48" s="13" t="s">
        <v>470</v>
      </c>
      <c r="D48" s="13" t="s">
        <v>476</v>
      </c>
      <c r="E48" s="48">
        <f>IF(Inputs!D41=Lists!I4,0,1)</f>
        <v>1</v>
      </c>
      <c r="F48" s="48">
        <v>1</v>
      </c>
      <c r="G48" s="48">
        <v>1</v>
      </c>
      <c r="H48" s="105" t="s">
        <v>165</v>
      </c>
      <c r="I48" s="14"/>
      <c r="J48" s="14" t="s">
        <v>248</v>
      </c>
      <c r="K48" s="13">
        <f>VLOOKUP(J48,'Labor Rates'!$A$1:$F$16,2)</f>
        <v>22.995576923076925</v>
      </c>
      <c r="L48" s="15">
        <v>5</v>
      </c>
      <c r="M48" s="15">
        <v>2</v>
      </c>
      <c r="N48" s="16" t="s">
        <v>240</v>
      </c>
      <c r="O48" s="61">
        <v>1</v>
      </c>
      <c r="P48" s="15">
        <v>1</v>
      </c>
      <c r="Q48" s="15">
        <f t="shared" si="7"/>
        <v>0.2</v>
      </c>
      <c r="R48" s="4">
        <v>4</v>
      </c>
      <c r="S48" s="53">
        <f t="shared" si="8"/>
        <v>22.995576923076925</v>
      </c>
      <c r="T48" s="53">
        <f t="shared" si="9"/>
        <v>4</v>
      </c>
      <c r="U48" s="54">
        <f t="shared" si="10"/>
        <v>26.995576923076925</v>
      </c>
      <c r="V48" s="65"/>
      <c r="W48" s="58"/>
      <c r="X48" s="64">
        <f t="shared" si="11"/>
        <v>6.957962768659522</v>
      </c>
      <c r="Y48" s="64">
        <f>NPV(Inputs!$D$6,AA48:BN48)</f>
        <v>69.674268701770018</v>
      </c>
      <c r="Z48" s="67">
        <f t="shared" si="12"/>
        <v>3.2861786666876804E-5</v>
      </c>
      <c r="AA48" s="88">
        <f>$E48*IF(AA$2&gt;Inputs!$D$5,0,IF(AA$2&gt;VLOOKUP($H48,Lists!$P$3:$Q$7,2),IF($N48=Lists!$K$3,IF($L48&lt;1,(($U48/$L48)*((1+Inputs!$D$7)^AA$2)),((INT(AA$2/$L48)-INT((AA$2-1)/$L48))*$U48*((1+Inputs!$D$7)^AA$2))),(_xlfn.WEIBULL.DIST(AA$2,$M48,$L48,FALSE)*$U48*((1+Inputs!$D$7)^AA$2))),IF($N48=Lists!$K$3,IF($L48&lt;1,((($T48*(1-$F48)+$S48*(1-$G48))/$L48)*((1+Inputs!$D$7)^AA$2)),((INT(AA$2/$L48)-INT((AA$2-1)/$L48))*($T48*(1-$F48)+$S48*(1-$G48))*((1+Inputs!$D$7)^AA$2))),((_xlfn.WEIBULL.DIST(AA$2,$M48,$L48,FALSE)*($T48*(1-$F48)+$S48*(1-$G48))*((1+Inputs!$D$7)^AA$2))))))</f>
        <v>0</v>
      </c>
      <c r="AB48" s="88">
        <f>$E48*IF(AB$2&gt;Inputs!$D$5,0,IF(AB$2&gt;VLOOKUP($H48,Lists!$P$3:$Q$7,2),IF($N48=Lists!$K$3,IF($L48&lt;1,(($U48/$L48)*((1+Inputs!$D$7)^AB$2)),((INT(AB$2/$L48)-INT((AB$2-1)/$L48))*$U48*((1+Inputs!$D$7)^AB$2))),(_xlfn.WEIBULL.DIST(AB$2,$M48,$L48,FALSE)*$U48*((1+Inputs!$D$7)^AB$2))),IF($N48=Lists!$K$3,IF($L48&lt;1,((($T48*(1-$F48)+$S48*(1-$G48))/$L48)*((1+Inputs!$D$7)^AB$2)),((INT(AB$2/$L48)-INT((AB$2-1)/$L48))*($T48*(1-$F48)+$S48*(1-$G48))*((1+Inputs!$D$7)^AB$2))),((_xlfn.WEIBULL.DIST(AB$2,$M48,$L48,FALSE)*($T48*(1-$F48)+$S48*(1-$G48))*((1+Inputs!$D$7)^AB$2))))))</f>
        <v>0</v>
      </c>
      <c r="AC48" s="88">
        <f>$E48*IF(AC$2&gt;Inputs!$D$5,0,IF(AC$2&gt;VLOOKUP($H48,Lists!$P$3:$Q$7,2),IF($N48=Lists!$K$3,IF($L48&lt;1,(($U48/$L48)*((1+Inputs!$D$7)^AC$2)),((INT(AC$2/$L48)-INT((AC$2-1)/$L48))*$U48*((1+Inputs!$D$7)^AC$2))),(_xlfn.WEIBULL.DIST(AC$2,$M48,$L48,FALSE)*$U48*((1+Inputs!$D$7)^AC$2))),IF($N48=Lists!$K$3,IF($L48&lt;1,((($T48*(1-$F48)+$S48*(1-$G48))/$L48)*((1+Inputs!$D$7)^AC$2)),((INT(AC$2/$L48)-INT((AC$2-1)/$L48))*($T48*(1-$F48)+$S48*(1-$G48))*((1+Inputs!$D$7)^AC$2))),((_xlfn.WEIBULL.DIST(AC$2,$M48,$L48,FALSE)*($T48*(1-$F48)+$S48*(1-$G48))*((1+Inputs!$D$7)^AC$2))))))</f>
        <v>0</v>
      </c>
      <c r="AD48" s="88">
        <f>$E48*IF(AD$2&gt;Inputs!$D$5,0,IF(AD$2&gt;VLOOKUP($H48,Lists!$P$3:$Q$7,2),IF($N48=Lists!$K$3,IF($L48&lt;1,(($U48/$L48)*((1+Inputs!$D$7)^AD$2)),((INT(AD$2/$L48)-INT((AD$2-1)/$L48))*$U48*((1+Inputs!$D$7)^AD$2))),(_xlfn.WEIBULL.DIST(AD$2,$M48,$L48,FALSE)*$U48*((1+Inputs!$D$7)^AD$2))),IF($N48=Lists!$K$3,IF($L48&lt;1,((($T48*(1-$F48)+$S48*(1-$G48))/$L48)*((1+Inputs!$D$7)^AD$2)),((INT(AD$2/$L48)-INT((AD$2-1)/$L48))*($T48*(1-$F48)+$S48*(1-$G48))*((1+Inputs!$D$7)^AD$2))),((_xlfn.WEIBULL.DIST(AD$2,$M48,$L48,FALSE)*($T48*(1-$F48)+$S48*(1-$G48))*((1+Inputs!$D$7)^AD$2))))))</f>
        <v>0</v>
      </c>
      <c r="AE48" s="88">
        <f>$E48*IF(AE$2&gt;Inputs!$D$5,0,IF(AE$2&gt;VLOOKUP($H48,Lists!$P$3:$Q$7,2),IF($N48=Lists!$K$3,IF($L48&lt;1,(($U48/$L48)*((1+Inputs!$D$7)^AE$2)),((INT(AE$2/$L48)-INT((AE$2-1)/$L48))*$U48*((1+Inputs!$D$7)^AE$2))),(_xlfn.WEIBULL.DIST(AE$2,$M48,$L48,FALSE)*$U48*((1+Inputs!$D$7)^AE$2))),IF($N48=Lists!$K$3,IF($L48&lt;1,((($T48*(1-$F48)+$S48*(1-$G48))/$L48)*((1+Inputs!$D$7)^AE$2)),((INT(AE$2/$L48)-INT((AE$2-1)/$L48))*($T48*(1-$F48)+$S48*(1-$G48))*((1+Inputs!$D$7)^AE$2))),((_xlfn.WEIBULL.DIST(AE$2,$M48,$L48,FALSE)*($T48*(1-$F48)+$S48*(1-$G48))*((1+Inputs!$D$7)^AE$2))))))</f>
        <v>29.805298252078156</v>
      </c>
      <c r="AF48" s="88">
        <f>$E48*IF(AF$2&gt;Inputs!$D$5,0,IF(AF$2&gt;VLOOKUP($H48,Lists!$P$3:$Q$7,2),IF($N48=Lists!$K$3,IF($L48&lt;1,(($U48/$L48)*((1+Inputs!$D$7)^AF$2)),((INT(AF$2/$L48)-INT((AF$2-1)/$L48))*$U48*((1+Inputs!$D$7)^AF$2))),(_xlfn.WEIBULL.DIST(AF$2,$M48,$L48,FALSE)*$U48*((1+Inputs!$D$7)^AF$2))),IF($N48=Lists!$K$3,IF($L48&lt;1,((($T48*(1-$F48)+$S48*(1-$G48))/$L48)*((1+Inputs!$D$7)^AF$2)),((INT(AF$2/$L48)-INT((AF$2-1)/$L48))*($T48*(1-$F48)+$S48*(1-$G48))*((1+Inputs!$D$7)^AF$2))),((_xlfn.WEIBULL.DIST(AF$2,$M48,$L48,FALSE)*($T48*(1-$F48)+$S48*(1-$G48))*((1+Inputs!$D$7)^AF$2))))))</f>
        <v>0</v>
      </c>
      <c r="AG48" s="88">
        <f>$E48*IF(AG$2&gt;Inputs!$D$5,0,IF(AG$2&gt;VLOOKUP($H48,Lists!$P$3:$Q$7,2),IF($N48=Lists!$K$3,IF($L48&lt;1,(($U48/$L48)*((1+Inputs!$D$7)^AG$2)),((INT(AG$2/$L48)-INT((AG$2-1)/$L48))*$U48*((1+Inputs!$D$7)^AG$2))),(_xlfn.WEIBULL.DIST(AG$2,$M48,$L48,FALSE)*$U48*((1+Inputs!$D$7)^AG$2))),IF($N48=Lists!$K$3,IF($L48&lt;1,((($T48*(1-$F48)+$S48*(1-$G48))/$L48)*((1+Inputs!$D$7)^AG$2)),((INT(AG$2/$L48)-INT((AG$2-1)/$L48))*($T48*(1-$F48)+$S48*(1-$G48))*((1+Inputs!$D$7)^AG$2))),((_xlfn.WEIBULL.DIST(AG$2,$M48,$L48,FALSE)*($T48*(1-$F48)+$S48*(1-$G48))*((1+Inputs!$D$7)^AG$2))))))</f>
        <v>0</v>
      </c>
      <c r="AH48" s="88">
        <f>$E48*IF(AH$2&gt;Inputs!$D$5,0,IF(AH$2&gt;VLOOKUP($H48,Lists!$P$3:$Q$7,2),IF($N48=Lists!$K$3,IF($L48&lt;1,(($U48/$L48)*((1+Inputs!$D$7)^AH$2)),((INT(AH$2/$L48)-INT((AH$2-1)/$L48))*$U48*((1+Inputs!$D$7)^AH$2))),(_xlfn.WEIBULL.DIST(AH$2,$M48,$L48,FALSE)*$U48*((1+Inputs!$D$7)^AH$2))),IF($N48=Lists!$K$3,IF($L48&lt;1,((($T48*(1-$F48)+$S48*(1-$G48))/$L48)*((1+Inputs!$D$7)^AH$2)),((INT(AH$2/$L48)-INT((AH$2-1)/$L48))*($T48*(1-$F48)+$S48*(1-$G48))*((1+Inputs!$D$7)^AH$2))),((_xlfn.WEIBULL.DIST(AH$2,$M48,$L48,FALSE)*($T48*(1-$F48)+$S48*(1-$G48))*((1+Inputs!$D$7)^AH$2))))))</f>
        <v>0</v>
      </c>
      <c r="AI48" s="88">
        <f>$E48*IF(AI$2&gt;Inputs!$D$5,0,IF(AI$2&gt;VLOOKUP($H48,Lists!$P$3:$Q$7,2),IF($N48=Lists!$K$3,IF($L48&lt;1,(($U48/$L48)*((1+Inputs!$D$7)^AI$2)),((INT(AI$2/$L48)-INT((AI$2-1)/$L48))*$U48*((1+Inputs!$D$7)^AI$2))),(_xlfn.WEIBULL.DIST(AI$2,$M48,$L48,FALSE)*$U48*((1+Inputs!$D$7)^AI$2))),IF($N48=Lists!$K$3,IF($L48&lt;1,((($T48*(1-$F48)+$S48*(1-$G48))/$L48)*((1+Inputs!$D$7)^AI$2)),((INT(AI$2/$L48)-INT((AI$2-1)/$L48))*($T48*(1-$F48)+$S48*(1-$G48))*((1+Inputs!$D$7)^AI$2))),((_xlfn.WEIBULL.DIST(AI$2,$M48,$L48,FALSE)*($T48*(1-$F48)+$S48*(1-$G48))*((1+Inputs!$D$7)^AI$2))))))</f>
        <v>0</v>
      </c>
      <c r="AJ48" s="88">
        <f>$E48*IF(AJ$2&gt;Inputs!$D$5,0,IF(AJ$2&gt;VLOOKUP($H48,Lists!$P$3:$Q$7,2),IF($N48=Lists!$K$3,IF($L48&lt;1,(($U48/$L48)*((1+Inputs!$D$7)^AJ$2)),((INT(AJ$2/$L48)-INT((AJ$2-1)/$L48))*$U48*((1+Inputs!$D$7)^AJ$2))),(_xlfn.WEIBULL.DIST(AJ$2,$M48,$L48,FALSE)*$U48*((1+Inputs!$D$7)^AJ$2))),IF($N48=Lists!$K$3,IF($L48&lt;1,((($T48*(1-$F48)+$S48*(1-$G48))/$L48)*((1+Inputs!$D$7)^AJ$2)),((INT(AJ$2/$L48)-INT((AJ$2-1)/$L48))*($T48*(1-$F48)+$S48*(1-$G48))*((1+Inputs!$D$7)^AJ$2))),((_xlfn.WEIBULL.DIST(AJ$2,$M48,$L48,FALSE)*($T48*(1-$F48)+$S48*(1-$G48))*((1+Inputs!$D$7)^AJ$2))))))</f>
        <v>32.907457633770008</v>
      </c>
      <c r="AK48" s="88">
        <f>$E48*IF(AK$2&gt;Inputs!$D$5,0,IF(AK$2&gt;VLOOKUP($H48,Lists!$P$3:$Q$7,2),IF($N48=Lists!$K$3,IF($L48&lt;1,(($U48/$L48)*((1+Inputs!$D$7)^AK$2)),((INT(AK$2/$L48)-INT((AK$2-1)/$L48))*$U48*((1+Inputs!$D$7)^AK$2))),(_xlfn.WEIBULL.DIST(AK$2,$M48,$L48,FALSE)*$U48*((1+Inputs!$D$7)^AK$2))),IF($N48=Lists!$K$3,IF($L48&lt;1,((($T48*(1-$F48)+$S48*(1-$G48))/$L48)*((1+Inputs!$D$7)^AK$2)),((INT(AK$2/$L48)-INT((AK$2-1)/$L48))*($T48*(1-$F48)+$S48*(1-$G48))*((1+Inputs!$D$7)^AK$2))),((_xlfn.WEIBULL.DIST(AK$2,$M48,$L48,FALSE)*($T48*(1-$F48)+$S48*(1-$G48))*((1+Inputs!$D$7)^AK$2))))))</f>
        <v>0</v>
      </c>
      <c r="AL48" s="88">
        <f>$E48*IF(AL$2&gt;Inputs!$D$5,0,IF(AL$2&gt;VLOOKUP($H48,Lists!$P$3:$Q$7,2),IF($N48=Lists!$K$3,IF($L48&lt;1,(($U48/$L48)*((1+Inputs!$D$7)^AL$2)),((INT(AL$2/$L48)-INT((AL$2-1)/$L48))*$U48*((1+Inputs!$D$7)^AL$2))),(_xlfn.WEIBULL.DIST(AL$2,$M48,$L48,FALSE)*$U48*((1+Inputs!$D$7)^AL$2))),IF($N48=Lists!$K$3,IF($L48&lt;1,((($T48*(1-$F48)+$S48*(1-$G48))/$L48)*((1+Inputs!$D$7)^AL$2)),((INT(AL$2/$L48)-INT((AL$2-1)/$L48))*($T48*(1-$F48)+$S48*(1-$G48))*((1+Inputs!$D$7)^AL$2))),((_xlfn.WEIBULL.DIST(AL$2,$M48,$L48,FALSE)*($T48*(1-$F48)+$S48*(1-$G48))*((1+Inputs!$D$7)^AL$2))))))</f>
        <v>0</v>
      </c>
      <c r="AM48" s="88">
        <f>$E48*IF(AM$2&gt;Inputs!$D$5,0,IF(AM$2&gt;VLOOKUP($H48,Lists!$P$3:$Q$7,2),IF($N48=Lists!$K$3,IF($L48&lt;1,(($U48/$L48)*((1+Inputs!$D$7)^AM$2)),((INT(AM$2/$L48)-INT((AM$2-1)/$L48))*$U48*((1+Inputs!$D$7)^AM$2))),(_xlfn.WEIBULL.DIST(AM$2,$M48,$L48,FALSE)*$U48*((1+Inputs!$D$7)^AM$2))),IF($N48=Lists!$K$3,IF($L48&lt;1,((($T48*(1-$F48)+$S48*(1-$G48))/$L48)*((1+Inputs!$D$7)^AM$2)),((INT(AM$2/$L48)-INT((AM$2-1)/$L48))*($T48*(1-$F48)+$S48*(1-$G48))*((1+Inputs!$D$7)^AM$2))),((_xlfn.WEIBULL.DIST(AM$2,$M48,$L48,FALSE)*($T48*(1-$F48)+$S48*(1-$G48))*((1+Inputs!$D$7)^AM$2))))))</f>
        <v>0</v>
      </c>
      <c r="AN48" s="88">
        <f>$E48*IF(AN$2&gt;Inputs!$D$5,0,IF(AN$2&gt;VLOOKUP($H48,Lists!$P$3:$Q$7,2),IF($N48=Lists!$K$3,IF($L48&lt;1,(($U48/$L48)*((1+Inputs!$D$7)^AN$2)),((INT(AN$2/$L48)-INT((AN$2-1)/$L48))*$U48*((1+Inputs!$D$7)^AN$2))),(_xlfn.WEIBULL.DIST(AN$2,$M48,$L48,FALSE)*$U48*((1+Inputs!$D$7)^AN$2))),IF($N48=Lists!$K$3,IF($L48&lt;1,((($T48*(1-$F48)+$S48*(1-$G48))/$L48)*((1+Inputs!$D$7)^AN$2)),((INT(AN$2/$L48)-INT((AN$2-1)/$L48))*($T48*(1-$F48)+$S48*(1-$G48))*((1+Inputs!$D$7)^AN$2))),((_xlfn.WEIBULL.DIST(AN$2,$M48,$L48,FALSE)*($T48*(1-$F48)+$S48*(1-$G48))*((1+Inputs!$D$7)^AN$2))))))</f>
        <v>0</v>
      </c>
      <c r="AO48" s="88">
        <f>$E48*IF(AO$2&gt;Inputs!$D$5,0,IF(AO$2&gt;VLOOKUP($H48,Lists!$P$3:$Q$7,2),IF($N48=Lists!$K$3,IF($L48&lt;1,(($U48/$L48)*((1+Inputs!$D$7)^AO$2)),((INT(AO$2/$L48)-INT((AO$2-1)/$L48))*$U48*((1+Inputs!$D$7)^AO$2))),(_xlfn.WEIBULL.DIST(AO$2,$M48,$L48,FALSE)*$U48*((1+Inputs!$D$7)^AO$2))),IF($N48=Lists!$K$3,IF($L48&lt;1,((($T48*(1-$F48)+$S48*(1-$G48))/$L48)*((1+Inputs!$D$7)^AO$2)),((INT(AO$2/$L48)-INT((AO$2-1)/$L48))*($T48*(1-$F48)+$S48*(1-$G48))*((1+Inputs!$D$7)^AO$2))),((_xlfn.WEIBULL.DIST(AO$2,$M48,$L48,FALSE)*($T48*(1-$F48)+$S48*(1-$G48))*((1+Inputs!$D$7)^AO$2))))))</f>
        <v>36.332492255562748</v>
      </c>
      <c r="AP48" s="88">
        <f>$E48*IF(AP$2&gt;Inputs!$D$5,0,IF(AP$2&gt;VLOOKUP($H48,Lists!$P$3:$Q$7,2),IF($N48=Lists!$K$3,IF($L48&lt;1,(($U48/$L48)*((1+Inputs!$D$7)^AP$2)),((INT(AP$2/$L48)-INT((AP$2-1)/$L48))*$U48*((1+Inputs!$D$7)^AP$2))),(_xlfn.WEIBULL.DIST(AP$2,$M48,$L48,FALSE)*$U48*((1+Inputs!$D$7)^AP$2))),IF($N48=Lists!$K$3,IF($L48&lt;1,((($T48*(1-$F48)+$S48*(1-$G48))/$L48)*((1+Inputs!$D$7)^AP$2)),((INT(AP$2/$L48)-INT((AP$2-1)/$L48))*($T48*(1-$F48)+$S48*(1-$G48))*((1+Inputs!$D$7)^AP$2))),((_xlfn.WEIBULL.DIST(AP$2,$M48,$L48,FALSE)*($T48*(1-$F48)+$S48*(1-$G48))*((1+Inputs!$D$7)^AP$2))))))</f>
        <v>0</v>
      </c>
      <c r="AQ48" s="88">
        <f>$E48*IF(AQ$2&gt;Inputs!$D$5,0,IF(AQ$2&gt;VLOOKUP($H48,Lists!$P$3:$Q$7,2),IF($N48=Lists!$K$3,IF($L48&lt;1,(($U48/$L48)*((1+Inputs!$D$7)^AQ$2)),((INT(AQ$2/$L48)-INT((AQ$2-1)/$L48))*$U48*((1+Inputs!$D$7)^AQ$2))),(_xlfn.WEIBULL.DIST(AQ$2,$M48,$L48,FALSE)*$U48*((1+Inputs!$D$7)^AQ$2))),IF($N48=Lists!$K$3,IF($L48&lt;1,((($T48*(1-$F48)+$S48*(1-$G48))/$L48)*((1+Inputs!$D$7)^AQ$2)),((INT(AQ$2/$L48)-INT((AQ$2-1)/$L48))*($T48*(1-$F48)+$S48*(1-$G48))*((1+Inputs!$D$7)^AQ$2))),((_xlfn.WEIBULL.DIST(AQ$2,$M48,$L48,FALSE)*($T48*(1-$F48)+$S48*(1-$G48))*((1+Inputs!$D$7)^AQ$2))))))</f>
        <v>0</v>
      </c>
      <c r="AR48" s="88">
        <f>$E48*IF(AR$2&gt;Inputs!$D$5,0,IF(AR$2&gt;VLOOKUP($H48,Lists!$P$3:$Q$7,2),IF($N48=Lists!$K$3,IF($L48&lt;1,(($U48/$L48)*((1+Inputs!$D$7)^AR$2)),((INT(AR$2/$L48)-INT((AR$2-1)/$L48))*$U48*((1+Inputs!$D$7)^AR$2))),(_xlfn.WEIBULL.DIST(AR$2,$M48,$L48,FALSE)*$U48*((1+Inputs!$D$7)^AR$2))),IF($N48=Lists!$K$3,IF($L48&lt;1,((($T48*(1-$F48)+$S48*(1-$G48))/$L48)*((1+Inputs!$D$7)^AR$2)),((INT(AR$2/$L48)-INT((AR$2-1)/$L48))*($T48*(1-$F48)+$S48*(1-$G48))*((1+Inputs!$D$7)^AR$2))),((_xlfn.WEIBULL.DIST(AR$2,$M48,$L48,FALSE)*($T48*(1-$F48)+$S48*(1-$G48))*((1+Inputs!$D$7)^AR$2))))))</f>
        <v>0</v>
      </c>
      <c r="AS48" s="88">
        <f>$E48*IF(AS$2&gt;Inputs!$D$5,0,IF(AS$2&gt;VLOOKUP($H48,Lists!$P$3:$Q$7,2),IF($N48=Lists!$K$3,IF($L48&lt;1,(($U48/$L48)*((1+Inputs!$D$7)^AS$2)),((INT(AS$2/$L48)-INT((AS$2-1)/$L48))*$U48*((1+Inputs!$D$7)^AS$2))),(_xlfn.WEIBULL.DIST(AS$2,$M48,$L48,FALSE)*$U48*((1+Inputs!$D$7)^AS$2))),IF($N48=Lists!$K$3,IF($L48&lt;1,((($T48*(1-$F48)+$S48*(1-$G48))/$L48)*((1+Inputs!$D$7)^AS$2)),((INT(AS$2/$L48)-INT((AS$2-1)/$L48))*($T48*(1-$F48)+$S48*(1-$G48))*((1+Inputs!$D$7)^AS$2))),((_xlfn.WEIBULL.DIST(AS$2,$M48,$L48,FALSE)*($T48*(1-$F48)+$S48*(1-$G48))*((1+Inputs!$D$7)^AS$2))))))</f>
        <v>0</v>
      </c>
      <c r="AT48" s="88">
        <f>$E48*IF(AT$2&gt;Inputs!$D$5,0,IF(AT$2&gt;VLOOKUP($H48,Lists!$P$3:$Q$7,2),IF($N48=Lists!$K$3,IF($L48&lt;1,(($U48/$L48)*((1+Inputs!$D$7)^AT$2)),((INT(AT$2/$L48)-INT((AT$2-1)/$L48))*$U48*((1+Inputs!$D$7)^AT$2))),(_xlfn.WEIBULL.DIST(AT$2,$M48,$L48,FALSE)*$U48*((1+Inputs!$D$7)^AT$2))),IF($N48=Lists!$K$3,IF($L48&lt;1,((($T48*(1-$F48)+$S48*(1-$G48))/$L48)*((1+Inputs!$D$7)^AT$2)),((INT(AT$2/$L48)-INT((AT$2-1)/$L48))*($T48*(1-$F48)+$S48*(1-$G48))*((1+Inputs!$D$7)^AT$2))),((_xlfn.WEIBULL.DIST(AT$2,$M48,$L48,FALSE)*($T48*(1-$F48)+$S48*(1-$G48))*((1+Inputs!$D$7)^AT$2))))))</f>
        <v>40.11400723177951</v>
      </c>
      <c r="AU48" s="88">
        <f>$E48*IF(AU$2&gt;Inputs!$D$5,0,IF(AU$2&gt;VLOOKUP($H48,Lists!$P$3:$Q$7,2),IF($N48=Lists!$K$3,IF($L48&lt;1,(($U48/$L48)*((1+Inputs!$D$7)^AU$2)),((INT(AU$2/$L48)-INT((AU$2-1)/$L48))*$U48*((1+Inputs!$D$7)^AU$2))),(_xlfn.WEIBULL.DIST(AU$2,$M48,$L48,FALSE)*$U48*((1+Inputs!$D$7)^AU$2))),IF($N48=Lists!$K$3,IF($L48&lt;1,((($T48*(1-$F48)+$S48*(1-$G48))/$L48)*((1+Inputs!$D$7)^AU$2)),((INT(AU$2/$L48)-INT((AU$2-1)/$L48))*($T48*(1-$F48)+$S48*(1-$G48))*((1+Inputs!$D$7)^AU$2))),((_xlfn.WEIBULL.DIST(AU$2,$M48,$L48,FALSE)*($T48*(1-$F48)+$S48*(1-$G48))*((1+Inputs!$D$7)^AU$2))))))</f>
        <v>0</v>
      </c>
      <c r="AV48" s="88">
        <f>$E48*IF(AV$2&gt;Inputs!$D$5,0,IF(AV$2&gt;VLOOKUP($H48,Lists!$P$3:$Q$7,2),IF($N48=Lists!$K$3,IF($L48&lt;1,(($U48/$L48)*((1+Inputs!$D$7)^AV$2)),((INT(AV$2/$L48)-INT((AV$2-1)/$L48))*$U48*((1+Inputs!$D$7)^AV$2))),(_xlfn.WEIBULL.DIST(AV$2,$M48,$L48,FALSE)*$U48*((1+Inputs!$D$7)^AV$2))),IF($N48=Lists!$K$3,IF($L48&lt;1,((($T48*(1-$F48)+$S48*(1-$G48))/$L48)*((1+Inputs!$D$7)^AV$2)),((INT(AV$2/$L48)-INT((AV$2-1)/$L48))*($T48*(1-$F48)+$S48*(1-$G48))*((1+Inputs!$D$7)^AV$2))),((_xlfn.WEIBULL.DIST(AV$2,$M48,$L48,FALSE)*($T48*(1-$F48)+$S48*(1-$G48))*((1+Inputs!$D$7)^AV$2))))))</f>
        <v>0</v>
      </c>
      <c r="AW48" s="88">
        <f>$E48*IF(AW$2&gt;Inputs!$D$5,0,IF(AW$2&gt;VLOOKUP($H48,Lists!$P$3:$Q$7,2),IF($N48=Lists!$K$3,IF($L48&lt;1,(($U48/$L48)*((1+Inputs!$D$7)^AW$2)),((INT(AW$2/$L48)-INT((AW$2-1)/$L48))*$U48*((1+Inputs!$D$7)^AW$2))),(_xlfn.WEIBULL.DIST(AW$2,$M48,$L48,FALSE)*$U48*((1+Inputs!$D$7)^AW$2))),IF($N48=Lists!$K$3,IF($L48&lt;1,((($T48*(1-$F48)+$S48*(1-$G48))/$L48)*((1+Inputs!$D$7)^AW$2)),((INT(AW$2/$L48)-INT((AW$2-1)/$L48))*($T48*(1-$F48)+$S48*(1-$G48))*((1+Inputs!$D$7)^AW$2))),((_xlfn.WEIBULL.DIST(AW$2,$M48,$L48,FALSE)*($T48*(1-$F48)+$S48*(1-$G48))*((1+Inputs!$D$7)^AW$2))))))</f>
        <v>0</v>
      </c>
      <c r="AX48" s="88">
        <f>$E48*IF(AX$2&gt;Inputs!$D$5,0,IF(AX$2&gt;VLOOKUP($H48,Lists!$P$3:$Q$7,2),IF($N48=Lists!$K$3,IF($L48&lt;1,(($U48/$L48)*((1+Inputs!$D$7)^AX$2)),((INT(AX$2/$L48)-INT((AX$2-1)/$L48))*$U48*((1+Inputs!$D$7)^AX$2))),(_xlfn.WEIBULL.DIST(AX$2,$M48,$L48,FALSE)*$U48*((1+Inputs!$D$7)^AX$2))),IF($N48=Lists!$K$3,IF($L48&lt;1,((($T48*(1-$F48)+$S48*(1-$G48))/$L48)*((1+Inputs!$D$7)^AX$2)),((INT(AX$2/$L48)-INT((AX$2-1)/$L48))*($T48*(1-$F48)+$S48*(1-$G48))*((1+Inputs!$D$7)^AX$2))),((_xlfn.WEIBULL.DIST(AX$2,$M48,$L48,FALSE)*($T48*(1-$F48)+$S48*(1-$G48))*((1+Inputs!$D$7)^AX$2))))))</f>
        <v>0</v>
      </c>
      <c r="AY48" s="88">
        <f>$E48*IF(AY$2&gt;Inputs!$D$5,0,IF(AY$2&gt;VLOOKUP($H48,Lists!$P$3:$Q$7,2),IF($N48=Lists!$K$3,IF($L48&lt;1,(($U48/$L48)*((1+Inputs!$D$7)^AY$2)),((INT(AY$2/$L48)-INT((AY$2-1)/$L48))*$U48*((1+Inputs!$D$7)^AY$2))),(_xlfn.WEIBULL.DIST(AY$2,$M48,$L48,FALSE)*$U48*((1+Inputs!$D$7)^AY$2))),IF($N48=Lists!$K$3,IF($L48&lt;1,((($T48*(1-$F48)+$S48*(1-$G48))/$L48)*((1+Inputs!$D$7)^AY$2)),((INT(AY$2/$L48)-INT((AY$2-1)/$L48))*($T48*(1-$F48)+$S48*(1-$G48))*((1+Inputs!$D$7)^AY$2))),((_xlfn.WEIBULL.DIST(AY$2,$M48,$L48,FALSE)*($T48*(1-$F48)+$S48*(1-$G48))*((1+Inputs!$D$7)^AY$2))))))</f>
        <v>44.28910532403372</v>
      </c>
      <c r="AZ48" s="88">
        <f>$E48*IF(AZ$2&gt;Inputs!$D$5,0,IF(AZ$2&gt;VLOOKUP($H48,Lists!$P$3:$Q$7,2),IF($N48=Lists!$K$3,IF($L48&lt;1,(($U48/$L48)*((1+Inputs!$D$7)^AZ$2)),((INT(AZ$2/$L48)-INT((AZ$2-1)/$L48))*$U48*((1+Inputs!$D$7)^AZ$2))),(_xlfn.WEIBULL.DIST(AZ$2,$M48,$L48,FALSE)*$U48*((1+Inputs!$D$7)^AZ$2))),IF($N48=Lists!$K$3,IF($L48&lt;1,((($T48*(1-$F48)+$S48*(1-$G48))/$L48)*((1+Inputs!$D$7)^AZ$2)),((INT(AZ$2/$L48)-INT((AZ$2-1)/$L48))*($T48*(1-$F48)+$S48*(1-$G48))*((1+Inputs!$D$7)^AZ$2))),((_xlfn.WEIBULL.DIST(AZ$2,$M48,$L48,FALSE)*($T48*(1-$F48)+$S48*(1-$G48))*((1+Inputs!$D$7)^AZ$2))))))</f>
        <v>0</v>
      </c>
      <c r="BA48" s="88">
        <f>$E48*IF(BA$2&gt;Inputs!$D$5,0,IF(BA$2&gt;VLOOKUP($H48,Lists!$P$3:$Q$7,2),IF($N48=Lists!$K$3,IF($L48&lt;1,(($U48/$L48)*((1+Inputs!$D$7)^BA$2)),((INT(BA$2/$L48)-INT((BA$2-1)/$L48))*$U48*((1+Inputs!$D$7)^BA$2))),(_xlfn.WEIBULL.DIST(BA$2,$M48,$L48,FALSE)*$U48*((1+Inputs!$D$7)^BA$2))),IF($N48=Lists!$K$3,IF($L48&lt;1,((($T48*(1-$F48)+$S48*(1-$G48))/$L48)*((1+Inputs!$D$7)^BA$2)),((INT(BA$2/$L48)-INT((BA$2-1)/$L48))*($T48*(1-$F48)+$S48*(1-$G48))*((1+Inputs!$D$7)^BA$2))),((_xlfn.WEIBULL.DIST(BA$2,$M48,$L48,FALSE)*($T48*(1-$F48)+$S48*(1-$G48))*((1+Inputs!$D$7)^BA$2))))))</f>
        <v>0</v>
      </c>
      <c r="BB48" s="88">
        <f>$E48*IF(BB$2&gt;Inputs!$D$5,0,IF(BB$2&gt;VLOOKUP($H48,Lists!$P$3:$Q$7,2),IF($N48=Lists!$K$3,IF($L48&lt;1,(($U48/$L48)*((1+Inputs!$D$7)^BB$2)),((INT(BB$2/$L48)-INT((BB$2-1)/$L48))*$U48*((1+Inputs!$D$7)^BB$2))),(_xlfn.WEIBULL.DIST(BB$2,$M48,$L48,FALSE)*$U48*((1+Inputs!$D$7)^BB$2))),IF($N48=Lists!$K$3,IF($L48&lt;1,((($T48*(1-$F48)+$S48*(1-$G48))/$L48)*((1+Inputs!$D$7)^BB$2)),((INT(BB$2/$L48)-INT((BB$2-1)/$L48))*($T48*(1-$F48)+$S48*(1-$G48))*((1+Inputs!$D$7)^BB$2))),((_xlfn.WEIBULL.DIST(BB$2,$M48,$L48,FALSE)*($T48*(1-$F48)+$S48*(1-$G48))*((1+Inputs!$D$7)^BB$2))))))</f>
        <v>0</v>
      </c>
      <c r="BC48" s="88">
        <f>$E48*IF(BC$2&gt;Inputs!$D$5,0,IF(BC$2&gt;VLOOKUP($H48,Lists!$P$3:$Q$7,2),IF($N48=Lists!$K$3,IF($L48&lt;1,(($U48/$L48)*((1+Inputs!$D$7)^BC$2)),((INT(BC$2/$L48)-INT((BC$2-1)/$L48))*$U48*((1+Inputs!$D$7)^BC$2))),(_xlfn.WEIBULL.DIST(BC$2,$M48,$L48,FALSE)*$U48*((1+Inputs!$D$7)^BC$2))),IF($N48=Lists!$K$3,IF($L48&lt;1,((($T48*(1-$F48)+$S48*(1-$G48))/$L48)*((1+Inputs!$D$7)^BC$2)),((INT(BC$2/$L48)-INT((BC$2-1)/$L48))*($T48*(1-$F48)+$S48*(1-$G48))*((1+Inputs!$D$7)^BC$2))),((_xlfn.WEIBULL.DIST(BC$2,$M48,$L48,FALSE)*($T48*(1-$F48)+$S48*(1-$G48))*((1+Inputs!$D$7)^BC$2))))))</f>
        <v>0</v>
      </c>
      <c r="BD48" s="88">
        <f>$E48*IF(BD$2&gt;Inputs!$D$5,0,IF(BD$2&gt;VLOOKUP($H48,Lists!$P$3:$Q$7,2),IF($N48=Lists!$K$3,IF($L48&lt;1,(($U48/$L48)*((1+Inputs!$D$7)^BD$2)),((INT(BD$2/$L48)-INT((BD$2-1)/$L48))*$U48*((1+Inputs!$D$7)^BD$2))),(_xlfn.WEIBULL.DIST(BD$2,$M48,$L48,FALSE)*$U48*((1+Inputs!$D$7)^BD$2))),IF($N48=Lists!$K$3,IF($L48&lt;1,((($T48*(1-$F48)+$S48*(1-$G48))/$L48)*((1+Inputs!$D$7)^BD$2)),((INT(BD$2/$L48)-INT((BD$2-1)/$L48))*($T48*(1-$F48)+$S48*(1-$G48))*((1+Inputs!$D$7)^BD$2))),((_xlfn.WEIBULL.DIST(BD$2,$M48,$L48,FALSE)*($T48*(1-$F48)+$S48*(1-$G48))*((1+Inputs!$D$7)^BD$2))))))</f>
        <v>0</v>
      </c>
      <c r="BE48" s="88">
        <f>$E48*IF(BE$2&gt;Inputs!$D$5,0,IF(BE$2&gt;VLOOKUP($H48,Lists!$P$3:$Q$7,2),IF($N48=Lists!$K$3,IF($L48&lt;1,(($U48/$L48)*((1+Inputs!$D$7)^BE$2)),((INT(BE$2/$L48)-INT((BE$2-1)/$L48))*$U48*((1+Inputs!$D$7)^BE$2))),(_xlfn.WEIBULL.DIST(BE$2,$M48,$L48,FALSE)*$U48*((1+Inputs!$D$7)^BE$2))),IF($N48=Lists!$K$3,IF($L48&lt;1,((($T48*(1-$F48)+$S48*(1-$G48))/$L48)*((1+Inputs!$D$7)^BE$2)),((INT(BE$2/$L48)-INT((BE$2-1)/$L48))*($T48*(1-$F48)+$S48*(1-$G48))*((1+Inputs!$D$7)^BE$2))),((_xlfn.WEIBULL.DIST(BE$2,$M48,$L48,FALSE)*($T48*(1-$F48)+$S48*(1-$G48))*((1+Inputs!$D$7)^BE$2))))))</f>
        <v>0</v>
      </c>
      <c r="BF48" s="88">
        <f>$E48*IF(BF$2&gt;Inputs!$D$5,0,IF(BF$2&gt;VLOOKUP($H48,Lists!$P$3:$Q$7,2),IF($N48=Lists!$K$3,IF($L48&lt;1,(($U48/$L48)*((1+Inputs!$D$7)^BF$2)),((INT(BF$2/$L48)-INT((BF$2-1)/$L48))*$U48*((1+Inputs!$D$7)^BF$2))),(_xlfn.WEIBULL.DIST(BF$2,$M48,$L48,FALSE)*$U48*((1+Inputs!$D$7)^BF$2))),IF($N48=Lists!$K$3,IF($L48&lt;1,((($T48*(1-$F48)+$S48*(1-$G48))/$L48)*((1+Inputs!$D$7)^BF$2)),((INT(BF$2/$L48)-INT((BF$2-1)/$L48))*($T48*(1-$F48)+$S48*(1-$G48))*((1+Inputs!$D$7)^BF$2))),((_xlfn.WEIBULL.DIST(BF$2,$M48,$L48,FALSE)*($T48*(1-$F48)+$S48*(1-$G48))*((1+Inputs!$D$7)^BF$2))))))</f>
        <v>0</v>
      </c>
      <c r="BG48" s="88">
        <f>$E48*IF(BG$2&gt;Inputs!$D$5,0,IF(BG$2&gt;VLOOKUP($H48,Lists!$P$3:$Q$7,2),IF($N48=Lists!$K$3,IF($L48&lt;1,(($U48/$L48)*((1+Inputs!$D$7)^BG$2)),((INT(BG$2/$L48)-INT((BG$2-1)/$L48))*$U48*((1+Inputs!$D$7)^BG$2))),(_xlfn.WEIBULL.DIST(BG$2,$M48,$L48,FALSE)*$U48*((1+Inputs!$D$7)^BG$2))),IF($N48=Lists!$K$3,IF($L48&lt;1,((($T48*(1-$F48)+$S48*(1-$G48))/$L48)*((1+Inputs!$D$7)^BG$2)),((INT(BG$2/$L48)-INT((BG$2-1)/$L48))*($T48*(1-$F48)+$S48*(1-$G48))*((1+Inputs!$D$7)^BG$2))),((_xlfn.WEIBULL.DIST(BG$2,$M48,$L48,FALSE)*($T48*(1-$F48)+$S48*(1-$G48))*((1+Inputs!$D$7)^BG$2))))))</f>
        <v>0</v>
      </c>
      <c r="BH48" s="88">
        <f>$E48*IF(BH$2&gt;Inputs!$D$5,0,IF(BH$2&gt;VLOOKUP($H48,Lists!$P$3:$Q$7,2),IF($N48=Lists!$K$3,IF($L48&lt;1,(($U48/$L48)*((1+Inputs!$D$7)^BH$2)),((INT(BH$2/$L48)-INT((BH$2-1)/$L48))*$U48*((1+Inputs!$D$7)^BH$2))),(_xlfn.WEIBULL.DIST(BH$2,$M48,$L48,FALSE)*$U48*((1+Inputs!$D$7)^BH$2))),IF($N48=Lists!$K$3,IF($L48&lt;1,((($T48*(1-$F48)+$S48*(1-$G48))/$L48)*((1+Inputs!$D$7)^BH$2)),((INT(BH$2/$L48)-INT((BH$2-1)/$L48))*($T48*(1-$F48)+$S48*(1-$G48))*((1+Inputs!$D$7)^BH$2))),((_xlfn.WEIBULL.DIST(BH$2,$M48,$L48,FALSE)*($T48*(1-$F48)+$S48*(1-$G48))*((1+Inputs!$D$7)^BH$2))))))</f>
        <v>0</v>
      </c>
      <c r="BI48" s="88">
        <f>$E48*IF(BI$2&gt;Inputs!$D$5,0,IF(BI$2&gt;VLOOKUP($H48,Lists!$P$3:$Q$7,2),IF($N48=Lists!$K$3,IF($L48&lt;1,(($U48/$L48)*((1+Inputs!$D$7)^BI$2)),((INT(BI$2/$L48)-INT((BI$2-1)/$L48))*$U48*((1+Inputs!$D$7)^BI$2))),(_xlfn.WEIBULL.DIST(BI$2,$M48,$L48,FALSE)*$U48*((1+Inputs!$D$7)^BI$2))),IF($N48=Lists!$K$3,IF($L48&lt;1,((($T48*(1-$F48)+$S48*(1-$G48))/$L48)*((1+Inputs!$D$7)^BI$2)),((INT(BI$2/$L48)-INT((BI$2-1)/$L48))*($T48*(1-$F48)+$S48*(1-$G48))*((1+Inputs!$D$7)^BI$2))),((_xlfn.WEIBULL.DIST(BI$2,$M48,$L48,FALSE)*($T48*(1-$F48)+$S48*(1-$G48))*((1+Inputs!$D$7)^BI$2))))))</f>
        <v>0</v>
      </c>
      <c r="BJ48" s="88">
        <f>$E48*IF(BJ$2&gt;Inputs!$D$5,0,IF(BJ$2&gt;VLOOKUP($H48,Lists!$P$3:$Q$7,2),IF($N48=Lists!$K$3,IF($L48&lt;1,(($U48/$L48)*((1+Inputs!$D$7)^BJ$2)),((INT(BJ$2/$L48)-INT((BJ$2-1)/$L48))*$U48*((1+Inputs!$D$7)^BJ$2))),(_xlfn.WEIBULL.DIST(BJ$2,$M48,$L48,FALSE)*$U48*((1+Inputs!$D$7)^BJ$2))),IF($N48=Lists!$K$3,IF($L48&lt;1,((($T48*(1-$F48)+$S48*(1-$G48))/$L48)*((1+Inputs!$D$7)^BJ$2)),((INT(BJ$2/$L48)-INT((BJ$2-1)/$L48))*($T48*(1-$F48)+$S48*(1-$G48))*((1+Inputs!$D$7)^BJ$2))),((_xlfn.WEIBULL.DIST(BJ$2,$M48,$L48,FALSE)*($T48*(1-$F48)+$S48*(1-$G48))*((1+Inputs!$D$7)^BJ$2))))))</f>
        <v>0</v>
      </c>
      <c r="BK48" s="88">
        <f>$E48*IF(BK$2&gt;Inputs!$D$5,0,IF(BK$2&gt;VLOOKUP($H48,Lists!$P$3:$Q$7,2),IF($N48=Lists!$K$3,IF($L48&lt;1,(($U48/$L48)*((1+Inputs!$D$7)^BK$2)),((INT(BK$2/$L48)-INT((BK$2-1)/$L48))*$U48*((1+Inputs!$D$7)^BK$2))),(_xlfn.WEIBULL.DIST(BK$2,$M48,$L48,FALSE)*$U48*((1+Inputs!$D$7)^BK$2))),IF($N48=Lists!$K$3,IF($L48&lt;1,((($T48*(1-$F48)+$S48*(1-$G48))/$L48)*((1+Inputs!$D$7)^BK$2)),((INT(BK$2/$L48)-INT((BK$2-1)/$L48))*($T48*(1-$F48)+$S48*(1-$G48))*((1+Inputs!$D$7)^BK$2))),((_xlfn.WEIBULL.DIST(BK$2,$M48,$L48,FALSE)*($T48*(1-$F48)+$S48*(1-$G48))*((1+Inputs!$D$7)^BK$2))))))</f>
        <v>0</v>
      </c>
      <c r="BL48" s="88">
        <f>$E48*IF(BL$2&gt;Inputs!$D$5,0,IF(BL$2&gt;VLOOKUP($H48,Lists!$P$3:$Q$7,2),IF($N48=Lists!$K$3,IF($L48&lt;1,(($U48/$L48)*((1+Inputs!$D$7)^BL$2)),((INT(BL$2/$L48)-INT((BL$2-1)/$L48))*$U48*((1+Inputs!$D$7)^BL$2))),(_xlfn.WEIBULL.DIST(BL$2,$M48,$L48,FALSE)*$U48*((1+Inputs!$D$7)^BL$2))),IF($N48=Lists!$K$3,IF($L48&lt;1,((($T48*(1-$F48)+$S48*(1-$G48))/$L48)*((1+Inputs!$D$7)^BL$2)),((INT(BL$2/$L48)-INT((BL$2-1)/$L48))*($T48*(1-$F48)+$S48*(1-$G48))*((1+Inputs!$D$7)^BL$2))),((_xlfn.WEIBULL.DIST(BL$2,$M48,$L48,FALSE)*($T48*(1-$F48)+$S48*(1-$G48))*((1+Inputs!$D$7)^BL$2))))))</f>
        <v>0</v>
      </c>
      <c r="BM48" s="88">
        <f>$E48*IF(BM$2&gt;Inputs!$D$5,0,IF(BM$2&gt;VLOOKUP($H48,Lists!$P$3:$Q$7,2),IF($N48=Lists!$K$3,IF($L48&lt;1,(($U48/$L48)*((1+Inputs!$D$7)^BM$2)),((INT(BM$2/$L48)-INT((BM$2-1)/$L48))*$U48*((1+Inputs!$D$7)^BM$2))),(_xlfn.WEIBULL.DIST(BM$2,$M48,$L48,FALSE)*$U48*((1+Inputs!$D$7)^BM$2))),IF($N48=Lists!$K$3,IF($L48&lt;1,((($T48*(1-$F48)+$S48*(1-$G48))/$L48)*((1+Inputs!$D$7)^BM$2)),((INT(BM$2/$L48)-INT((BM$2-1)/$L48))*($T48*(1-$F48)+$S48*(1-$G48))*((1+Inputs!$D$7)^BM$2))),((_xlfn.WEIBULL.DIST(BM$2,$M48,$L48,FALSE)*($T48*(1-$F48)+$S48*(1-$G48))*((1+Inputs!$D$7)^BM$2))))))</f>
        <v>0</v>
      </c>
      <c r="BN48" s="88">
        <f>$E48*IF(BN$2&gt;Inputs!$D$5,0,IF(BN$2&gt;VLOOKUP($H48,Lists!$P$3:$Q$7,2),IF($N48=Lists!$K$3,IF($L48&lt;1,(($U48/$L48)*((1+Inputs!$D$7)^BN$2)),((INT(BN$2/$L48)-INT((BN$2-1)/$L48))*$U48*((1+Inputs!$D$7)^BN$2))),(_xlfn.WEIBULL.DIST(BN$2,$M48,$L48,FALSE)*$U48*((1+Inputs!$D$7)^BN$2))),IF($N48=Lists!$K$3,IF($L48&lt;1,((($T48*(1-$F48)+$S48*(1-$G48))/$L48)*((1+Inputs!$D$7)^BN$2)),((INT(BN$2/$L48)-INT((BN$2-1)/$L48))*($T48*(1-$F48)+$S48*(1-$G48))*((1+Inputs!$D$7)^BN$2))),((_xlfn.WEIBULL.DIST(BN$2,$M48,$L48,FALSE)*($T48*(1-$F48)+$S48*(1-$G48))*((1+Inputs!$D$7)^BN$2))))))</f>
        <v>0</v>
      </c>
      <c r="BO48" s="64">
        <f>NPV(Inputs!$D$6,BQ48:DD48)</f>
        <v>69.674268701770018</v>
      </c>
      <c r="BP48" s="67">
        <f t="shared" si="13"/>
        <v>3.2861786666876804E-5</v>
      </c>
      <c r="BQ48" s="88">
        <f>MAX(AA48,($E48*IF(BQ$2&gt;Inputs!$D$5,0,IF(BQ$2&gt;VLOOKUP($H48,Lists!$P$3:$Q$7,2),IF($N48=Lists!$K$3,IF($L48&lt;1,(($U48/$L48)*((1+Inputs!$D$7)^BQ$2)),((INT(BQ$2/$L48)-INT((BQ$2-1)/$L48))*$U48*((1+Inputs!$D$7)^BQ$2))),(Inputs!$D$8^((1-_xlfn.WEIBULL.DIST(BQ$2,$M48,$L48,FALSE))/_xlfn.WEIBULL.DIST(BQ$2,$M48,$L48,FALSE))*$U48*((1+Inputs!$D$7)^BQ$2))),IF($N48=Lists!$K$3,IF($L48&lt;1,((($T48*(1-$F48)+$S48*(1-$G48))/$L48)*((1+Inputs!$D$7)^BQ$2)),((INT(BQ$2/$L48)-INT((BQ$2-1)/$L48))*($T48*(1-$F48)+$S48*(1-$G48))*((1+Inputs!$D$7)^BQ$2))),((Inputs!$D$8^((1-_xlfn.WEIBULL.DIST(BQ$2,$M48,$L48,FALSE))/_xlfn.WEIBULL.DIST(BQ$2,$M48,$L48,FALSE))*($T48*(1-$F48)+$S48*(1-$G48))*((1+Inputs!$D$7)^BQ$2))))))))</f>
        <v>0</v>
      </c>
      <c r="BR48" s="88">
        <f>MAX(AB48,($E48*IF(BR$2&gt;Inputs!$D$5,0,IF(BR$2&gt;VLOOKUP($H48,Lists!$P$3:$Q$7,2),IF($N48=Lists!$K$3,IF($L48&lt;1,(($U48/$L48)*((1+Inputs!$D$7)^BR$2)),((INT(BR$2/$L48)-INT((BR$2-1)/$L48))*$U48*((1+Inputs!$D$7)^BR$2))),(Inputs!$D$8^((1-_xlfn.WEIBULL.DIST(BR$2,$M48,$L48,FALSE))/_xlfn.WEIBULL.DIST(BR$2,$M48,$L48,FALSE))*$U48*((1+Inputs!$D$7)^BR$2))),IF($N48=Lists!$K$3,IF($L48&lt;1,((($T48*(1-$F48)+$S48*(1-$G48))/$L48)*((1+Inputs!$D$7)^BR$2)),((INT(BR$2/$L48)-INT((BR$2-1)/$L48))*($T48*(1-$F48)+$S48*(1-$G48))*((1+Inputs!$D$7)^BR$2))),((Inputs!$D$8^((1-_xlfn.WEIBULL.DIST(BR$2,$M48,$L48,FALSE))/_xlfn.WEIBULL.DIST(BR$2,$M48,$L48,FALSE))*($T48*(1-$F48)+$S48*(1-$G48))*((1+Inputs!$D$7)^BR$2))))))))</f>
        <v>0</v>
      </c>
      <c r="BS48" s="88">
        <f>MAX(AC48,($E48*IF(BS$2&gt;Inputs!$D$5,0,IF(BS$2&gt;VLOOKUP($H48,Lists!$P$3:$Q$7,2),IF($N48=Lists!$K$3,IF($L48&lt;1,(($U48/$L48)*((1+Inputs!$D$7)^BS$2)),((INT(BS$2/$L48)-INT((BS$2-1)/$L48))*$U48*((1+Inputs!$D$7)^BS$2))),(Inputs!$D$8^((1-_xlfn.WEIBULL.DIST(BS$2,$M48,$L48,FALSE))/_xlfn.WEIBULL.DIST(BS$2,$M48,$L48,FALSE))*$U48*((1+Inputs!$D$7)^BS$2))),IF($N48=Lists!$K$3,IF($L48&lt;1,((($T48*(1-$F48)+$S48*(1-$G48))/$L48)*((1+Inputs!$D$7)^BS$2)),((INT(BS$2/$L48)-INT((BS$2-1)/$L48))*($T48*(1-$F48)+$S48*(1-$G48))*((1+Inputs!$D$7)^BS$2))),((Inputs!$D$8^((1-_xlfn.WEIBULL.DIST(BS$2,$M48,$L48,FALSE))/_xlfn.WEIBULL.DIST(BS$2,$M48,$L48,FALSE))*($T48*(1-$F48)+$S48*(1-$G48))*((1+Inputs!$D$7)^BS$2))))))))</f>
        <v>0</v>
      </c>
      <c r="BT48" s="88">
        <f>MAX(AD48,($E48*IF(BT$2&gt;Inputs!$D$5,0,IF(BT$2&gt;VLOOKUP($H48,Lists!$P$3:$Q$7,2),IF($N48=Lists!$K$3,IF($L48&lt;1,(($U48/$L48)*((1+Inputs!$D$7)^BT$2)),((INT(BT$2/$L48)-INT((BT$2-1)/$L48))*$U48*((1+Inputs!$D$7)^BT$2))),(Inputs!$D$8^((1-_xlfn.WEIBULL.DIST(BT$2,$M48,$L48,FALSE))/_xlfn.WEIBULL.DIST(BT$2,$M48,$L48,FALSE))*$U48*((1+Inputs!$D$7)^BT$2))),IF($N48=Lists!$K$3,IF($L48&lt;1,((($T48*(1-$F48)+$S48*(1-$G48))/$L48)*((1+Inputs!$D$7)^BT$2)),((INT(BT$2/$L48)-INT((BT$2-1)/$L48))*($T48*(1-$F48)+$S48*(1-$G48))*((1+Inputs!$D$7)^BT$2))),((Inputs!$D$8^((1-_xlfn.WEIBULL.DIST(BT$2,$M48,$L48,FALSE))/_xlfn.WEIBULL.DIST(BT$2,$M48,$L48,FALSE))*($T48*(1-$F48)+$S48*(1-$G48))*((1+Inputs!$D$7)^BT$2))))))))</f>
        <v>0</v>
      </c>
      <c r="BU48" s="88">
        <f>MAX(AE48,($E48*IF(BU$2&gt;Inputs!$D$5,0,IF(BU$2&gt;VLOOKUP($H48,Lists!$P$3:$Q$7,2),IF($N48=Lists!$K$3,IF($L48&lt;1,(($U48/$L48)*((1+Inputs!$D$7)^BU$2)),((INT(BU$2/$L48)-INT((BU$2-1)/$L48))*$U48*((1+Inputs!$D$7)^BU$2))),(Inputs!$D$8^((1-_xlfn.WEIBULL.DIST(BU$2,$M48,$L48,FALSE))/_xlfn.WEIBULL.DIST(BU$2,$M48,$L48,FALSE))*$U48*((1+Inputs!$D$7)^BU$2))),IF($N48=Lists!$K$3,IF($L48&lt;1,((($T48*(1-$F48)+$S48*(1-$G48))/$L48)*((1+Inputs!$D$7)^BU$2)),((INT(BU$2/$L48)-INT((BU$2-1)/$L48))*($T48*(1-$F48)+$S48*(1-$G48))*((1+Inputs!$D$7)^BU$2))),((Inputs!$D$8^((1-_xlfn.WEIBULL.DIST(BU$2,$M48,$L48,FALSE))/_xlfn.WEIBULL.DIST(BU$2,$M48,$L48,FALSE))*($T48*(1-$F48)+$S48*(1-$G48))*((1+Inputs!$D$7)^BU$2))))))))</f>
        <v>29.805298252078156</v>
      </c>
      <c r="BV48" s="88">
        <f>MAX(AF48,($E48*IF(BV$2&gt;Inputs!$D$5,0,IF(BV$2&gt;VLOOKUP($H48,Lists!$P$3:$Q$7,2),IF($N48=Lists!$K$3,IF($L48&lt;1,(($U48/$L48)*((1+Inputs!$D$7)^BV$2)),((INT(BV$2/$L48)-INT((BV$2-1)/$L48))*$U48*((1+Inputs!$D$7)^BV$2))),(Inputs!$D$8^((1-_xlfn.WEIBULL.DIST(BV$2,$M48,$L48,FALSE))/_xlfn.WEIBULL.DIST(BV$2,$M48,$L48,FALSE))*$U48*((1+Inputs!$D$7)^BV$2))),IF($N48=Lists!$K$3,IF($L48&lt;1,((($T48*(1-$F48)+$S48*(1-$G48))/$L48)*((1+Inputs!$D$7)^BV$2)),((INT(BV$2/$L48)-INT((BV$2-1)/$L48))*($T48*(1-$F48)+$S48*(1-$G48))*((1+Inputs!$D$7)^BV$2))),((Inputs!$D$8^((1-_xlfn.WEIBULL.DIST(BV$2,$M48,$L48,FALSE))/_xlfn.WEIBULL.DIST(BV$2,$M48,$L48,FALSE))*($T48*(1-$F48)+$S48*(1-$G48))*((1+Inputs!$D$7)^BV$2))))))))</f>
        <v>0</v>
      </c>
      <c r="BW48" s="88">
        <f>MAX(AG48,($E48*IF(BW$2&gt;Inputs!$D$5,0,IF(BW$2&gt;VLOOKUP($H48,Lists!$P$3:$Q$7,2),IF($N48=Lists!$K$3,IF($L48&lt;1,(($U48/$L48)*((1+Inputs!$D$7)^BW$2)),((INT(BW$2/$L48)-INT((BW$2-1)/$L48))*$U48*((1+Inputs!$D$7)^BW$2))),(Inputs!$D$8^((1-_xlfn.WEIBULL.DIST(BW$2,$M48,$L48,FALSE))/_xlfn.WEIBULL.DIST(BW$2,$M48,$L48,FALSE))*$U48*((1+Inputs!$D$7)^BW$2))),IF($N48=Lists!$K$3,IF($L48&lt;1,((($T48*(1-$F48)+$S48*(1-$G48))/$L48)*((1+Inputs!$D$7)^BW$2)),((INT(BW$2/$L48)-INT((BW$2-1)/$L48))*($T48*(1-$F48)+$S48*(1-$G48))*((1+Inputs!$D$7)^BW$2))),((Inputs!$D$8^((1-_xlfn.WEIBULL.DIST(BW$2,$M48,$L48,FALSE))/_xlfn.WEIBULL.DIST(BW$2,$M48,$L48,FALSE))*($T48*(1-$F48)+$S48*(1-$G48))*((1+Inputs!$D$7)^BW$2))))))))</f>
        <v>0</v>
      </c>
      <c r="BX48" s="88">
        <f>MAX(AH48,($E48*IF(BX$2&gt;Inputs!$D$5,0,IF(BX$2&gt;VLOOKUP($H48,Lists!$P$3:$Q$7,2),IF($N48=Lists!$K$3,IF($L48&lt;1,(($U48/$L48)*((1+Inputs!$D$7)^BX$2)),((INT(BX$2/$L48)-INT((BX$2-1)/$L48))*$U48*((1+Inputs!$D$7)^BX$2))),(Inputs!$D$8^((1-_xlfn.WEIBULL.DIST(BX$2,$M48,$L48,FALSE))/_xlfn.WEIBULL.DIST(BX$2,$M48,$L48,FALSE))*$U48*((1+Inputs!$D$7)^BX$2))),IF($N48=Lists!$K$3,IF($L48&lt;1,((($T48*(1-$F48)+$S48*(1-$G48))/$L48)*((1+Inputs!$D$7)^BX$2)),((INT(BX$2/$L48)-INT((BX$2-1)/$L48))*($T48*(1-$F48)+$S48*(1-$G48))*((1+Inputs!$D$7)^BX$2))),((Inputs!$D$8^((1-_xlfn.WEIBULL.DIST(BX$2,$M48,$L48,FALSE))/_xlfn.WEIBULL.DIST(BX$2,$M48,$L48,FALSE))*($T48*(1-$F48)+$S48*(1-$G48))*((1+Inputs!$D$7)^BX$2))))))))</f>
        <v>0</v>
      </c>
      <c r="BY48" s="88">
        <f>MAX(AI48,($E48*IF(BY$2&gt;Inputs!$D$5,0,IF(BY$2&gt;VLOOKUP($H48,Lists!$P$3:$Q$7,2),IF($N48=Lists!$K$3,IF($L48&lt;1,(($U48/$L48)*((1+Inputs!$D$7)^BY$2)),((INT(BY$2/$L48)-INT((BY$2-1)/$L48))*$U48*((1+Inputs!$D$7)^BY$2))),(Inputs!$D$8^((1-_xlfn.WEIBULL.DIST(BY$2,$M48,$L48,FALSE))/_xlfn.WEIBULL.DIST(BY$2,$M48,$L48,FALSE))*$U48*((1+Inputs!$D$7)^BY$2))),IF($N48=Lists!$K$3,IF($L48&lt;1,((($T48*(1-$F48)+$S48*(1-$G48))/$L48)*((1+Inputs!$D$7)^BY$2)),((INT(BY$2/$L48)-INT((BY$2-1)/$L48))*($T48*(1-$F48)+$S48*(1-$G48))*((1+Inputs!$D$7)^BY$2))),((Inputs!$D$8^((1-_xlfn.WEIBULL.DIST(BY$2,$M48,$L48,FALSE))/_xlfn.WEIBULL.DIST(BY$2,$M48,$L48,FALSE))*($T48*(1-$F48)+$S48*(1-$G48))*((1+Inputs!$D$7)^BY$2))))))))</f>
        <v>0</v>
      </c>
      <c r="BZ48" s="88">
        <f>MAX(AJ48,($E48*IF(BZ$2&gt;Inputs!$D$5,0,IF(BZ$2&gt;VLOOKUP($H48,Lists!$P$3:$Q$7,2),IF($N48=Lists!$K$3,IF($L48&lt;1,(($U48/$L48)*((1+Inputs!$D$7)^BZ$2)),((INT(BZ$2/$L48)-INT((BZ$2-1)/$L48))*$U48*((1+Inputs!$D$7)^BZ$2))),(Inputs!$D$8^((1-_xlfn.WEIBULL.DIST(BZ$2,$M48,$L48,FALSE))/_xlfn.WEIBULL.DIST(BZ$2,$M48,$L48,FALSE))*$U48*((1+Inputs!$D$7)^BZ$2))),IF($N48=Lists!$K$3,IF($L48&lt;1,((($T48*(1-$F48)+$S48*(1-$G48))/$L48)*((1+Inputs!$D$7)^BZ$2)),((INT(BZ$2/$L48)-INT((BZ$2-1)/$L48))*($T48*(1-$F48)+$S48*(1-$G48))*((1+Inputs!$D$7)^BZ$2))),((Inputs!$D$8^((1-_xlfn.WEIBULL.DIST(BZ$2,$M48,$L48,FALSE))/_xlfn.WEIBULL.DIST(BZ$2,$M48,$L48,FALSE))*($T48*(1-$F48)+$S48*(1-$G48))*((1+Inputs!$D$7)^BZ$2))))))))</f>
        <v>32.907457633770008</v>
      </c>
      <c r="CA48" s="88">
        <f>MAX(AK48,($E48*IF(CA$2&gt;Inputs!$D$5,0,IF(CA$2&gt;VLOOKUP($H48,Lists!$P$3:$Q$7,2),IF($N48=Lists!$K$3,IF($L48&lt;1,(($U48/$L48)*((1+Inputs!$D$7)^CA$2)),((INT(CA$2/$L48)-INT((CA$2-1)/$L48))*$U48*((1+Inputs!$D$7)^CA$2))),(Inputs!$D$8^((1-_xlfn.WEIBULL.DIST(CA$2,$M48,$L48,FALSE))/_xlfn.WEIBULL.DIST(CA$2,$M48,$L48,FALSE))*$U48*((1+Inputs!$D$7)^CA$2))),IF($N48=Lists!$K$3,IF($L48&lt;1,((($T48*(1-$F48)+$S48*(1-$G48))/$L48)*((1+Inputs!$D$7)^CA$2)),((INT(CA$2/$L48)-INT((CA$2-1)/$L48))*($T48*(1-$F48)+$S48*(1-$G48))*((1+Inputs!$D$7)^CA$2))),((Inputs!$D$8^((1-_xlfn.WEIBULL.DIST(CA$2,$M48,$L48,FALSE))/_xlfn.WEIBULL.DIST(CA$2,$M48,$L48,FALSE))*($T48*(1-$F48)+$S48*(1-$G48))*((1+Inputs!$D$7)^CA$2))))))))</f>
        <v>0</v>
      </c>
      <c r="CB48" s="88">
        <f>MAX(AL48,($E48*IF(CB$2&gt;Inputs!$D$5,0,IF(CB$2&gt;VLOOKUP($H48,Lists!$P$3:$Q$7,2),IF($N48=Lists!$K$3,IF($L48&lt;1,(($U48/$L48)*((1+Inputs!$D$7)^CB$2)),((INT(CB$2/$L48)-INT((CB$2-1)/$L48))*$U48*((1+Inputs!$D$7)^CB$2))),(Inputs!$D$8^((1-_xlfn.WEIBULL.DIST(CB$2,$M48,$L48,FALSE))/_xlfn.WEIBULL.DIST(CB$2,$M48,$L48,FALSE))*$U48*((1+Inputs!$D$7)^CB$2))),IF($N48=Lists!$K$3,IF($L48&lt;1,((($T48*(1-$F48)+$S48*(1-$G48))/$L48)*((1+Inputs!$D$7)^CB$2)),((INT(CB$2/$L48)-INT((CB$2-1)/$L48))*($T48*(1-$F48)+$S48*(1-$G48))*((1+Inputs!$D$7)^CB$2))),((Inputs!$D$8^((1-_xlfn.WEIBULL.DIST(CB$2,$M48,$L48,FALSE))/_xlfn.WEIBULL.DIST(CB$2,$M48,$L48,FALSE))*($T48*(1-$F48)+$S48*(1-$G48))*((1+Inputs!$D$7)^CB$2))))))))</f>
        <v>0</v>
      </c>
      <c r="CC48" s="88">
        <f>MAX(AM48,($E48*IF(CC$2&gt;Inputs!$D$5,0,IF(CC$2&gt;VLOOKUP($H48,Lists!$P$3:$Q$7,2),IF($N48=Lists!$K$3,IF($L48&lt;1,(($U48/$L48)*((1+Inputs!$D$7)^CC$2)),((INT(CC$2/$L48)-INT((CC$2-1)/$L48))*$U48*((1+Inputs!$D$7)^CC$2))),(Inputs!$D$8^((1-_xlfn.WEIBULL.DIST(CC$2,$M48,$L48,FALSE))/_xlfn.WEIBULL.DIST(CC$2,$M48,$L48,FALSE))*$U48*((1+Inputs!$D$7)^CC$2))),IF($N48=Lists!$K$3,IF($L48&lt;1,((($T48*(1-$F48)+$S48*(1-$G48))/$L48)*((1+Inputs!$D$7)^CC$2)),((INT(CC$2/$L48)-INT((CC$2-1)/$L48))*($T48*(1-$F48)+$S48*(1-$G48))*((1+Inputs!$D$7)^CC$2))),((Inputs!$D$8^((1-_xlfn.WEIBULL.DIST(CC$2,$M48,$L48,FALSE))/_xlfn.WEIBULL.DIST(CC$2,$M48,$L48,FALSE))*($T48*(1-$F48)+$S48*(1-$G48))*((1+Inputs!$D$7)^CC$2))))))))</f>
        <v>0</v>
      </c>
      <c r="CD48" s="88">
        <f>MAX(AN48,($E48*IF(CD$2&gt;Inputs!$D$5,0,IF(CD$2&gt;VLOOKUP($H48,Lists!$P$3:$Q$7,2),IF($N48=Lists!$K$3,IF($L48&lt;1,(($U48/$L48)*((1+Inputs!$D$7)^CD$2)),((INT(CD$2/$L48)-INT((CD$2-1)/$L48))*$U48*((1+Inputs!$D$7)^CD$2))),(Inputs!$D$8^((1-_xlfn.WEIBULL.DIST(CD$2,$M48,$L48,FALSE))/_xlfn.WEIBULL.DIST(CD$2,$M48,$L48,FALSE))*$U48*((1+Inputs!$D$7)^CD$2))),IF($N48=Lists!$K$3,IF($L48&lt;1,((($T48*(1-$F48)+$S48*(1-$G48))/$L48)*((1+Inputs!$D$7)^CD$2)),((INT(CD$2/$L48)-INT((CD$2-1)/$L48))*($T48*(1-$F48)+$S48*(1-$G48))*((1+Inputs!$D$7)^CD$2))),((Inputs!$D$8^((1-_xlfn.WEIBULL.DIST(CD$2,$M48,$L48,FALSE))/_xlfn.WEIBULL.DIST(CD$2,$M48,$L48,FALSE))*($T48*(1-$F48)+$S48*(1-$G48))*((1+Inputs!$D$7)^CD$2))))))))</f>
        <v>0</v>
      </c>
      <c r="CE48" s="88">
        <f>MAX(AO48,($E48*IF(CE$2&gt;Inputs!$D$5,0,IF(CE$2&gt;VLOOKUP($H48,Lists!$P$3:$Q$7,2),IF($N48=Lists!$K$3,IF($L48&lt;1,(($U48/$L48)*((1+Inputs!$D$7)^CE$2)),((INT(CE$2/$L48)-INT((CE$2-1)/$L48))*$U48*((1+Inputs!$D$7)^CE$2))),(Inputs!$D$8^((1-_xlfn.WEIBULL.DIST(CE$2,$M48,$L48,FALSE))/_xlfn.WEIBULL.DIST(CE$2,$M48,$L48,FALSE))*$U48*((1+Inputs!$D$7)^CE$2))),IF($N48=Lists!$K$3,IF($L48&lt;1,((($T48*(1-$F48)+$S48*(1-$G48))/$L48)*((1+Inputs!$D$7)^CE$2)),((INT(CE$2/$L48)-INT((CE$2-1)/$L48))*($T48*(1-$F48)+$S48*(1-$G48))*((1+Inputs!$D$7)^CE$2))),((Inputs!$D$8^((1-_xlfn.WEIBULL.DIST(CE$2,$M48,$L48,FALSE))/_xlfn.WEIBULL.DIST(CE$2,$M48,$L48,FALSE))*($T48*(1-$F48)+$S48*(1-$G48))*((1+Inputs!$D$7)^CE$2))))))))</f>
        <v>36.332492255562748</v>
      </c>
      <c r="CF48" s="88">
        <f>MAX(AP48,($E48*IF(CF$2&gt;Inputs!$D$5,0,IF(CF$2&gt;VLOOKUP($H48,Lists!$P$3:$Q$7,2),IF($N48=Lists!$K$3,IF($L48&lt;1,(($U48/$L48)*((1+Inputs!$D$7)^CF$2)),((INT(CF$2/$L48)-INT((CF$2-1)/$L48))*$U48*((1+Inputs!$D$7)^CF$2))),(Inputs!$D$8^((1-_xlfn.WEIBULL.DIST(CF$2,$M48,$L48,FALSE))/_xlfn.WEIBULL.DIST(CF$2,$M48,$L48,FALSE))*$U48*((1+Inputs!$D$7)^CF$2))),IF($N48=Lists!$K$3,IF($L48&lt;1,((($T48*(1-$F48)+$S48*(1-$G48))/$L48)*((1+Inputs!$D$7)^CF$2)),((INT(CF$2/$L48)-INT((CF$2-1)/$L48))*($T48*(1-$F48)+$S48*(1-$G48))*((1+Inputs!$D$7)^CF$2))),((Inputs!$D$8^((1-_xlfn.WEIBULL.DIST(CF$2,$M48,$L48,FALSE))/_xlfn.WEIBULL.DIST(CF$2,$M48,$L48,FALSE))*($T48*(1-$F48)+$S48*(1-$G48))*((1+Inputs!$D$7)^CF$2))))))))</f>
        <v>0</v>
      </c>
      <c r="CG48" s="88">
        <f>MAX(AQ48,($E48*IF(CG$2&gt;Inputs!$D$5,0,IF(CG$2&gt;VLOOKUP($H48,Lists!$P$3:$Q$7,2),IF($N48=Lists!$K$3,IF($L48&lt;1,(($U48/$L48)*((1+Inputs!$D$7)^CG$2)),((INT(CG$2/$L48)-INT((CG$2-1)/$L48))*$U48*((1+Inputs!$D$7)^CG$2))),(Inputs!$D$8^((1-_xlfn.WEIBULL.DIST(CG$2,$M48,$L48,FALSE))/_xlfn.WEIBULL.DIST(CG$2,$M48,$L48,FALSE))*$U48*((1+Inputs!$D$7)^CG$2))),IF($N48=Lists!$K$3,IF($L48&lt;1,((($T48*(1-$F48)+$S48*(1-$G48))/$L48)*((1+Inputs!$D$7)^CG$2)),((INT(CG$2/$L48)-INT((CG$2-1)/$L48))*($T48*(1-$F48)+$S48*(1-$G48))*((1+Inputs!$D$7)^CG$2))),((Inputs!$D$8^((1-_xlfn.WEIBULL.DIST(CG$2,$M48,$L48,FALSE))/_xlfn.WEIBULL.DIST(CG$2,$M48,$L48,FALSE))*($T48*(1-$F48)+$S48*(1-$G48))*((1+Inputs!$D$7)^CG$2))))))))</f>
        <v>0</v>
      </c>
      <c r="CH48" s="88">
        <f>MAX(AR48,($E48*IF(CH$2&gt;Inputs!$D$5,0,IF(CH$2&gt;VLOOKUP($H48,Lists!$P$3:$Q$7,2),IF($N48=Lists!$K$3,IF($L48&lt;1,(($U48/$L48)*((1+Inputs!$D$7)^CH$2)),((INT(CH$2/$L48)-INT((CH$2-1)/$L48))*$U48*((1+Inputs!$D$7)^CH$2))),(Inputs!$D$8^((1-_xlfn.WEIBULL.DIST(CH$2,$M48,$L48,FALSE))/_xlfn.WEIBULL.DIST(CH$2,$M48,$L48,FALSE))*$U48*((1+Inputs!$D$7)^CH$2))),IF($N48=Lists!$K$3,IF($L48&lt;1,((($T48*(1-$F48)+$S48*(1-$G48))/$L48)*((1+Inputs!$D$7)^CH$2)),((INT(CH$2/$L48)-INT((CH$2-1)/$L48))*($T48*(1-$F48)+$S48*(1-$G48))*((1+Inputs!$D$7)^CH$2))),((Inputs!$D$8^((1-_xlfn.WEIBULL.DIST(CH$2,$M48,$L48,FALSE))/_xlfn.WEIBULL.DIST(CH$2,$M48,$L48,FALSE))*($T48*(1-$F48)+$S48*(1-$G48))*((1+Inputs!$D$7)^CH$2))))))))</f>
        <v>0</v>
      </c>
      <c r="CI48" s="88">
        <f>MAX(AS48,($E48*IF(CI$2&gt;Inputs!$D$5,0,IF(CI$2&gt;VLOOKUP($H48,Lists!$P$3:$Q$7,2),IF($N48=Lists!$K$3,IF($L48&lt;1,(($U48/$L48)*((1+Inputs!$D$7)^CI$2)),((INT(CI$2/$L48)-INT((CI$2-1)/$L48))*$U48*((1+Inputs!$D$7)^CI$2))),(Inputs!$D$8^((1-_xlfn.WEIBULL.DIST(CI$2,$M48,$L48,FALSE))/_xlfn.WEIBULL.DIST(CI$2,$M48,$L48,FALSE))*$U48*((1+Inputs!$D$7)^CI$2))),IF($N48=Lists!$K$3,IF($L48&lt;1,((($T48*(1-$F48)+$S48*(1-$G48))/$L48)*((1+Inputs!$D$7)^CI$2)),((INT(CI$2/$L48)-INT((CI$2-1)/$L48))*($T48*(1-$F48)+$S48*(1-$G48))*((1+Inputs!$D$7)^CI$2))),((Inputs!$D$8^((1-_xlfn.WEIBULL.DIST(CI$2,$M48,$L48,FALSE))/_xlfn.WEIBULL.DIST(CI$2,$M48,$L48,FALSE))*($T48*(1-$F48)+$S48*(1-$G48))*((1+Inputs!$D$7)^CI$2))))))))</f>
        <v>0</v>
      </c>
      <c r="CJ48" s="88">
        <f>MAX(AT48,($E48*IF(CJ$2&gt;Inputs!$D$5,0,IF(CJ$2&gt;VLOOKUP($H48,Lists!$P$3:$Q$7,2),IF($N48=Lists!$K$3,IF($L48&lt;1,(($U48/$L48)*((1+Inputs!$D$7)^CJ$2)),((INT(CJ$2/$L48)-INT((CJ$2-1)/$L48))*$U48*((1+Inputs!$D$7)^CJ$2))),(Inputs!$D$8^((1-_xlfn.WEIBULL.DIST(CJ$2,$M48,$L48,FALSE))/_xlfn.WEIBULL.DIST(CJ$2,$M48,$L48,FALSE))*$U48*((1+Inputs!$D$7)^CJ$2))),IF($N48=Lists!$K$3,IF($L48&lt;1,((($T48*(1-$F48)+$S48*(1-$G48))/$L48)*((1+Inputs!$D$7)^CJ$2)),((INT(CJ$2/$L48)-INT((CJ$2-1)/$L48))*($T48*(1-$F48)+$S48*(1-$G48))*((1+Inputs!$D$7)^CJ$2))),((Inputs!$D$8^((1-_xlfn.WEIBULL.DIST(CJ$2,$M48,$L48,FALSE))/_xlfn.WEIBULL.DIST(CJ$2,$M48,$L48,FALSE))*($T48*(1-$F48)+$S48*(1-$G48))*((1+Inputs!$D$7)^CJ$2))))))))</f>
        <v>40.11400723177951</v>
      </c>
      <c r="CK48" s="88">
        <f>MAX(AU48,($E48*IF(CK$2&gt;Inputs!$D$5,0,IF(CK$2&gt;VLOOKUP($H48,Lists!$P$3:$Q$7,2),IF($N48=Lists!$K$3,IF($L48&lt;1,(($U48/$L48)*((1+Inputs!$D$7)^CK$2)),((INT(CK$2/$L48)-INT((CK$2-1)/$L48))*$U48*((1+Inputs!$D$7)^CK$2))),(Inputs!$D$8^((1-_xlfn.WEIBULL.DIST(CK$2,$M48,$L48,FALSE))/_xlfn.WEIBULL.DIST(CK$2,$M48,$L48,FALSE))*$U48*((1+Inputs!$D$7)^CK$2))),IF($N48=Lists!$K$3,IF($L48&lt;1,((($T48*(1-$F48)+$S48*(1-$G48))/$L48)*((1+Inputs!$D$7)^CK$2)),((INT(CK$2/$L48)-INT((CK$2-1)/$L48))*($T48*(1-$F48)+$S48*(1-$G48))*((1+Inputs!$D$7)^CK$2))),((Inputs!$D$8^((1-_xlfn.WEIBULL.DIST(CK$2,$M48,$L48,FALSE))/_xlfn.WEIBULL.DIST(CK$2,$M48,$L48,FALSE))*($T48*(1-$F48)+$S48*(1-$G48))*((1+Inputs!$D$7)^CK$2))))))))</f>
        <v>0</v>
      </c>
      <c r="CL48" s="88">
        <f>MAX(AV48,($E48*IF(CL$2&gt;Inputs!$D$5,0,IF(CL$2&gt;VLOOKUP($H48,Lists!$P$3:$Q$7,2),IF($N48=Lists!$K$3,IF($L48&lt;1,(($U48/$L48)*((1+Inputs!$D$7)^CL$2)),((INT(CL$2/$L48)-INT((CL$2-1)/$L48))*$U48*((1+Inputs!$D$7)^CL$2))),(Inputs!$D$8^((1-_xlfn.WEIBULL.DIST(CL$2,$M48,$L48,FALSE))/_xlfn.WEIBULL.DIST(CL$2,$M48,$L48,FALSE))*$U48*((1+Inputs!$D$7)^CL$2))),IF($N48=Lists!$K$3,IF($L48&lt;1,((($T48*(1-$F48)+$S48*(1-$G48))/$L48)*((1+Inputs!$D$7)^CL$2)),((INT(CL$2/$L48)-INT((CL$2-1)/$L48))*($T48*(1-$F48)+$S48*(1-$G48))*((1+Inputs!$D$7)^CL$2))),((Inputs!$D$8^((1-_xlfn.WEIBULL.DIST(CL$2,$M48,$L48,FALSE))/_xlfn.WEIBULL.DIST(CL$2,$M48,$L48,FALSE))*($T48*(1-$F48)+$S48*(1-$G48))*((1+Inputs!$D$7)^CL$2))))))))</f>
        <v>0</v>
      </c>
      <c r="CM48" s="88">
        <f>MAX(AW48,($E48*IF(CM$2&gt;Inputs!$D$5,0,IF(CM$2&gt;VLOOKUP($H48,Lists!$P$3:$Q$7,2),IF($N48=Lists!$K$3,IF($L48&lt;1,(($U48/$L48)*((1+Inputs!$D$7)^CM$2)),((INT(CM$2/$L48)-INT((CM$2-1)/$L48))*$U48*((1+Inputs!$D$7)^CM$2))),(Inputs!$D$8^((1-_xlfn.WEIBULL.DIST(CM$2,$M48,$L48,FALSE))/_xlfn.WEIBULL.DIST(CM$2,$M48,$L48,FALSE))*$U48*((1+Inputs!$D$7)^CM$2))),IF($N48=Lists!$K$3,IF($L48&lt;1,((($T48*(1-$F48)+$S48*(1-$G48))/$L48)*((1+Inputs!$D$7)^CM$2)),((INT(CM$2/$L48)-INT((CM$2-1)/$L48))*($T48*(1-$F48)+$S48*(1-$G48))*((1+Inputs!$D$7)^CM$2))),((Inputs!$D$8^((1-_xlfn.WEIBULL.DIST(CM$2,$M48,$L48,FALSE))/_xlfn.WEIBULL.DIST(CM$2,$M48,$L48,FALSE))*($T48*(1-$F48)+$S48*(1-$G48))*((1+Inputs!$D$7)^CM$2))))))))</f>
        <v>0</v>
      </c>
      <c r="CN48" s="88">
        <f>MAX(AX48,($E48*IF(CN$2&gt;Inputs!$D$5,0,IF(CN$2&gt;VLOOKUP($H48,Lists!$P$3:$Q$7,2),IF($N48=Lists!$K$3,IF($L48&lt;1,(($U48/$L48)*((1+Inputs!$D$7)^CN$2)),((INT(CN$2/$L48)-INT((CN$2-1)/$L48))*$U48*((1+Inputs!$D$7)^CN$2))),(Inputs!$D$8^((1-_xlfn.WEIBULL.DIST(CN$2,$M48,$L48,FALSE))/_xlfn.WEIBULL.DIST(CN$2,$M48,$L48,FALSE))*$U48*((1+Inputs!$D$7)^CN$2))),IF($N48=Lists!$K$3,IF($L48&lt;1,((($T48*(1-$F48)+$S48*(1-$G48))/$L48)*((1+Inputs!$D$7)^CN$2)),((INT(CN$2/$L48)-INT((CN$2-1)/$L48))*($T48*(1-$F48)+$S48*(1-$G48))*((1+Inputs!$D$7)^CN$2))),((Inputs!$D$8^((1-_xlfn.WEIBULL.DIST(CN$2,$M48,$L48,FALSE))/_xlfn.WEIBULL.DIST(CN$2,$M48,$L48,FALSE))*($T48*(1-$F48)+$S48*(1-$G48))*((1+Inputs!$D$7)^CN$2))))))))</f>
        <v>0</v>
      </c>
      <c r="CO48" s="88">
        <f>MAX(AY48,($E48*IF(CO$2&gt;Inputs!$D$5,0,IF(CO$2&gt;VLOOKUP($H48,Lists!$P$3:$Q$7,2),IF($N48=Lists!$K$3,IF($L48&lt;1,(($U48/$L48)*((1+Inputs!$D$7)^CO$2)),((INT(CO$2/$L48)-INT((CO$2-1)/$L48))*$U48*((1+Inputs!$D$7)^CO$2))),(Inputs!$D$8^((1-_xlfn.WEIBULL.DIST(CO$2,$M48,$L48,FALSE))/_xlfn.WEIBULL.DIST(CO$2,$M48,$L48,FALSE))*$U48*((1+Inputs!$D$7)^CO$2))),IF($N48=Lists!$K$3,IF($L48&lt;1,((($T48*(1-$F48)+$S48*(1-$G48))/$L48)*((1+Inputs!$D$7)^CO$2)),((INT(CO$2/$L48)-INT((CO$2-1)/$L48))*($T48*(1-$F48)+$S48*(1-$G48))*((1+Inputs!$D$7)^CO$2))),((Inputs!$D$8^((1-_xlfn.WEIBULL.DIST(CO$2,$M48,$L48,FALSE))/_xlfn.WEIBULL.DIST(CO$2,$M48,$L48,FALSE))*($T48*(1-$F48)+$S48*(1-$G48))*((1+Inputs!$D$7)^CO$2))))))))</f>
        <v>44.28910532403372</v>
      </c>
      <c r="CP48" s="88">
        <f>MAX(AZ48,($E48*IF(CP$2&gt;Inputs!$D$5,0,IF(CP$2&gt;VLOOKUP($H48,Lists!$P$3:$Q$7,2),IF($N48=Lists!$K$3,IF($L48&lt;1,(($U48/$L48)*((1+Inputs!$D$7)^CP$2)),((INT(CP$2/$L48)-INT((CP$2-1)/$L48))*$U48*((1+Inputs!$D$7)^CP$2))),(Inputs!$D$8^((1-_xlfn.WEIBULL.DIST(CP$2,$M48,$L48,FALSE))/_xlfn.WEIBULL.DIST(CP$2,$M48,$L48,FALSE))*$U48*((1+Inputs!$D$7)^CP$2))),IF($N48=Lists!$K$3,IF($L48&lt;1,((($T48*(1-$F48)+$S48*(1-$G48))/$L48)*((1+Inputs!$D$7)^CP$2)),((INT(CP$2/$L48)-INT((CP$2-1)/$L48))*($T48*(1-$F48)+$S48*(1-$G48))*((1+Inputs!$D$7)^CP$2))),((Inputs!$D$8^((1-_xlfn.WEIBULL.DIST(CP$2,$M48,$L48,FALSE))/_xlfn.WEIBULL.DIST(CP$2,$M48,$L48,FALSE))*($T48*(1-$F48)+$S48*(1-$G48))*((1+Inputs!$D$7)^CP$2))))))))</f>
        <v>0</v>
      </c>
      <c r="CQ48" s="88">
        <f>MAX(BA48,($E48*IF(CQ$2&gt;Inputs!$D$5,0,IF(CQ$2&gt;VLOOKUP($H48,Lists!$P$3:$Q$7,2),IF($N48=Lists!$K$3,IF($L48&lt;1,(($U48/$L48)*((1+Inputs!$D$7)^CQ$2)),((INT(CQ$2/$L48)-INT((CQ$2-1)/$L48))*$U48*((1+Inputs!$D$7)^CQ$2))),(Inputs!$D$8^((1-_xlfn.WEIBULL.DIST(CQ$2,$M48,$L48,FALSE))/_xlfn.WEIBULL.DIST(CQ$2,$M48,$L48,FALSE))*$U48*((1+Inputs!$D$7)^CQ$2))),IF($N48=Lists!$K$3,IF($L48&lt;1,((($T48*(1-$F48)+$S48*(1-$G48))/$L48)*((1+Inputs!$D$7)^CQ$2)),((INT(CQ$2/$L48)-INT((CQ$2-1)/$L48))*($T48*(1-$F48)+$S48*(1-$G48))*((1+Inputs!$D$7)^CQ$2))),((Inputs!$D$8^((1-_xlfn.WEIBULL.DIST(CQ$2,$M48,$L48,FALSE))/_xlfn.WEIBULL.DIST(CQ$2,$M48,$L48,FALSE))*($T48*(1-$F48)+$S48*(1-$G48))*((1+Inputs!$D$7)^CQ$2))))))))</f>
        <v>0</v>
      </c>
      <c r="CR48" s="88">
        <f>MAX(BB48,($E48*IF(CR$2&gt;Inputs!$D$5,0,IF(CR$2&gt;VLOOKUP($H48,Lists!$P$3:$Q$7,2),IF($N48=Lists!$K$3,IF($L48&lt;1,(($U48/$L48)*((1+Inputs!$D$7)^CR$2)),((INT(CR$2/$L48)-INT((CR$2-1)/$L48))*$U48*((1+Inputs!$D$7)^CR$2))),(Inputs!$D$8^((1-_xlfn.WEIBULL.DIST(CR$2,$M48,$L48,FALSE))/_xlfn.WEIBULL.DIST(CR$2,$M48,$L48,FALSE))*$U48*((1+Inputs!$D$7)^CR$2))),IF($N48=Lists!$K$3,IF($L48&lt;1,((($T48*(1-$F48)+$S48*(1-$G48))/$L48)*((1+Inputs!$D$7)^CR$2)),((INT(CR$2/$L48)-INT((CR$2-1)/$L48))*($T48*(1-$F48)+$S48*(1-$G48))*((1+Inputs!$D$7)^CR$2))),((Inputs!$D$8^((1-_xlfn.WEIBULL.DIST(CR$2,$M48,$L48,FALSE))/_xlfn.WEIBULL.DIST(CR$2,$M48,$L48,FALSE))*($T48*(1-$F48)+$S48*(1-$G48))*((1+Inputs!$D$7)^CR$2))))))))</f>
        <v>0</v>
      </c>
      <c r="CS48" s="88">
        <f>MAX(BC48,($E48*IF(CS$2&gt;Inputs!$D$5,0,IF(CS$2&gt;VLOOKUP($H48,Lists!$P$3:$Q$7,2),IF($N48=Lists!$K$3,IF($L48&lt;1,(($U48/$L48)*((1+Inputs!$D$7)^CS$2)),((INT(CS$2/$L48)-INT((CS$2-1)/$L48))*$U48*((1+Inputs!$D$7)^CS$2))),(Inputs!$D$8^((1-_xlfn.WEIBULL.DIST(CS$2,$M48,$L48,FALSE))/_xlfn.WEIBULL.DIST(CS$2,$M48,$L48,FALSE))*$U48*((1+Inputs!$D$7)^CS$2))),IF($N48=Lists!$K$3,IF($L48&lt;1,((($T48*(1-$F48)+$S48*(1-$G48))/$L48)*((1+Inputs!$D$7)^CS$2)),((INT(CS$2/$L48)-INT((CS$2-1)/$L48))*($T48*(1-$F48)+$S48*(1-$G48))*((1+Inputs!$D$7)^CS$2))),((Inputs!$D$8^((1-_xlfn.WEIBULL.DIST(CS$2,$M48,$L48,FALSE))/_xlfn.WEIBULL.DIST(CS$2,$M48,$L48,FALSE))*($T48*(1-$F48)+$S48*(1-$G48))*((1+Inputs!$D$7)^CS$2))))))))</f>
        <v>0</v>
      </c>
      <c r="CT48" s="88">
        <f>MAX(BD48,($E48*IF(CT$2&gt;Inputs!$D$5,0,IF(CT$2&gt;VLOOKUP($H48,Lists!$P$3:$Q$7,2),IF($N48=Lists!$K$3,IF($L48&lt;1,(($U48/$L48)*((1+Inputs!$D$7)^CT$2)),((INT(CT$2/$L48)-INT((CT$2-1)/$L48))*$U48*((1+Inputs!$D$7)^CT$2))),(Inputs!$D$8^((1-_xlfn.WEIBULL.DIST(CT$2,$M48,$L48,FALSE))/_xlfn.WEIBULL.DIST(CT$2,$M48,$L48,FALSE))*$U48*((1+Inputs!$D$7)^CT$2))),IF($N48=Lists!$K$3,IF($L48&lt;1,((($T48*(1-$F48)+$S48*(1-$G48))/$L48)*((1+Inputs!$D$7)^CT$2)),((INT(CT$2/$L48)-INT((CT$2-1)/$L48))*($T48*(1-$F48)+$S48*(1-$G48))*((1+Inputs!$D$7)^CT$2))),((Inputs!$D$8^((1-_xlfn.WEIBULL.DIST(CT$2,$M48,$L48,FALSE))/_xlfn.WEIBULL.DIST(CT$2,$M48,$L48,FALSE))*($T48*(1-$F48)+$S48*(1-$G48))*((1+Inputs!$D$7)^CT$2))))))))</f>
        <v>0</v>
      </c>
      <c r="CU48" s="88">
        <f>MAX(BE48,($E48*IF(CU$2&gt;Inputs!$D$5,0,IF(CU$2&gt;VLOOKUP($H48,Lists!$P$3:$Q$7,2),IF($N48=Lists!$K$3,IF($L48&lt;1,(($U48/$L48)*((1+Inputs!$D$7)^CU$2)),((INT(CU$2/$L48)-INT((CU$2-1)/$L48))*$U48*((1+Inputs!$D$7)^CU$2))),(Inputs!$D$8^((1-_xlfn.WEIBULL.DIST(CU$2,$M48,$L48,FALSE))/_xlfn.WEIBULL.DIST(CU$2,$M48,$L48,FALSE))*$U48*((1+Inputs!$D$7)^CU$2))),IF($N48=Lists!$K$3,IF($L48&lt;1,((($T48*(1-$F48)+$S48*(1-$G48))/$L48)*((1+Inputs!$D$7)^CU$2)),((INT(CU$2/$L48)-INT((CU$2-1)/$L48))*($T48*(1-$F48)+$S48*(1-$G48))*((1+Inputs!$D$7)^CU$2))),((Inputs!$D$8^((1-_xlfn.WEIBULL.DIST(CU$2,$M48,$L48,FALSE))/_xlfn.WEIBULL.DIST(CU$2,$M48,$L48,FALSE))*($T48*(1-$F48)+$S48*(1-$G48))*((1+Inputs!$D$7)^CU$2))))))))</f>
        <v>0</v>
      </c>
      <c r="CV48" s="88">
        <f>MAX(BF48,($E48*IF(CV$2&gt;Inputs!$D$5,0,IF(CV$2&gt;VLOOKUP($H48,Lists!$P$3:$Q$7,2),IF($N48=Lists!$K$3,IF($L48&lt;1,(($U48/$L48)*((1+Inputs!$D$7)^CV$2)),((INT(CV$2/$L48)-INT((CV$2-1)/$L48))*$U48*((1+Inputs!$D$7)^CV$2))),(Inputs!$D$8^((1-_xlfn.WEIBULL.DIST(CV$2,$M48,$L48,FALSE))/_xlfn.WEIBULL.DIST(CV$2,$M48,$L48,FALSE))*$U48*((1+Inputs!$D$7)^CV$2))),IF($N48=Lists!$K$3,IF($L48&lt;1,((($T48*(1-$F48)+$S48*(1-$G48))/$L48)*((1+Inputs!$D$7)^CV$2)),((INT(CV$2/$L48)-INT((CV$2-1)/$L48))*($T48*(1-$F48)+$S48*(1-$G48))*((1+Inputs!$D$7)^CV$2))),((Inputs!$D$8^((1-_xlfn.WEIBULL.DIST(CV$2,$M48,$L48,FALSE))/_xlfn.WEIBULL.DIST(CV$2,$M48,$L48,FALSE))*($T48*(1-$F48)+$S48*(1-$G48))*((1+Inputs!$D$7)^CV$2))))))))</f>
        <v>0</v>
      </c>
      <c r="CW48" s="88">
        <f>MAX(BG48,($E48*IF(CW$2&gt;Inputs!$D$5,0,IF(CW$2&gt;VLOOKUP($H48,Lists!$P$3:$Q$7,2),IF($N48=Lists!$K$3,IF($L48&lt;1,(($U48/$L48)*((1+Inputs!$D$7)^CW$2)),((INT(CW$2/$L48)-INT((CW$2-1)/$L48))*$U48*((1+Inputs!$D$7)^CW$2))),(Inputs!$D$8^((1-_xlfn.WEIBULL.DIST(CW$2,$M48,$L48,FALSE))/_xlfn.WEIBULL.DIST(CW$2,$M48,$L48,FALSE))*$U48*((1+Inputs!$D$7)^CW$2))),IF($N48=Lists!$K$3,IF($L48&lt;1,((($T48*(1-$F48)+$S48*(1-$G48))/$L48)*((1+Inputs!$D$7)^CW$2)),((INT(CW$2/$L48)-INT((CW$2-1)/$L48))*($T48*(1-$F48)+$S48*(1-$G48))*((1+Inputs!$D$7)^CW$2))),((Inputs!$D$8^((1-_xlfn.WEIBULL.DIST(CW$2,$M48,$L48,FALSE))/_xlfn.WEIBULL.DIST(CW$2,$M48,$L48,FALSE))*($T48*(1-$F48)+$S48*(1-$G48))*((1+Inputs!$D$7)^CW$2))))))))</f>
        <v>0</v>
      </c>
      <c r="CX48" s="88">
        <f>MAX(BH48,($E48*IF(CX$2&gt;Inputs!$D$5,0,IF(CX$2&gt;VLOOKUP($H48,Lists!$P$3:$Q$7,2),IF($N48=Lists!$K$3,IF($L48&lt;1,(($U48/$L48)*((1+Inputs!$D$7)^CX$2)),((INT(CX$2/$L48)-INT((CX$2-1)/$L48))*$U48*((1+Inputs!$D$7)^CX$2))),(Inputs!$D$8^((1-_xlfn.WEIBULL.DIST(CX$2,$M48,$L48,FALSE))/_xlfn.WEIBULL.DIST(CX$2,$M48,$L48,FALSE))*$U48*((1+Inputs!$D$7)^CX$2))),IF($N48=Lists!$K$3,IF($L48&lt;1,((($T48*(1-$F48)+$S48*(1-$G48))/$L48)*((1+Inputs!$D$7)^CX$2)),((INT(CX$2/$L48)-INT((CX$2-1)/$L48))*($T48*(1-$F48)+$S48*(1-$G48))*((1+Inputs!$D$7)^CX$2))),((Inputs!$D$8^((1-_xlfn.WEIBULL.DIST(CX$2,$M48,$L48,FALSE))/_xlfn.WEIBULL.DIST(CX$2,$M48,$L48,FALSE))*($T48*(1-$F48)+$S48*(1-$G48))*((1+Inputs!$D$7)^CX$2))))))))</f>
        <v>0</v>
      </c>
      <c r="CY48" s="88">
        <f>MAX(BI48,($E48*IF(CY$2&gt;Inputs!$D$5,0,IF(CY$2&gt;VLOOKUP($H48,Lists!$P$3:$Q$7,2),IF($N48=Lists!$K$3,IF($L48&lt;1,(($U48/$L48)*((1+Inputs!$D$7)^CY$2)),((INT(CY$2/$L48)-INT((CY$2-1)/$L48))*$U48*((1+Inputs!$D$7)^CY$2))),(Inputs!$D$8^((1-_xlfn.WEIBULL.DIST(CY$2,$M48,$L48,FALSE))/_xlfn.WEIBULL.DIST(CY$2,$M48,$L48,FALSE))*$U48*((1+Inputs!$D$7)^CY$2))),IF($N48=Lists!$K$3,IF($L48&lt;1,((($T48*(1-$F48)+$S48*(1-$G48))/$L48)*((1+Inputs!$D$7)^CY$2)),((INT(CY$2/$L48)-INT((CY$2-1)/$L48))*($T48*(1-$F48)+$S48*(1-$G48))*((1+Inputs!$D$7)^CY$2))),((Inputs!$D$8^((1-_xlfn.WEIBULL.DIST(CY$2,$M48,$L48,FALSE))/_xlfn.WEIBULL.DIST(CY$2,$M48,$L48,FALSE))*($T48*(1-$F48)+$S48*(1-$G48))*((1+Inputs!$D$7)^CY$2))))))))</f>
        <v>0</v>
      </c>
      <c r="CZ48" s="88">
        <f>MAX(BJ48,($E48*IF(CZ$2&gt;Inputs!$D$5,0,IF(CZ$2&gt;VLOOKUP($H48,Lists!$P$3:$Q$7,2),IF($N48=Lists!$K$3,IF($L48&lt;1,(($U48/$L48)*((1+Inputs!$D$7)^CZ$2)),((INT(CZ$2/$L48)-INT((CZ$2-1)/$L48))*$U48*((1+Inputs!$D$7)^CZ$2))),(Inputs!$D$8^((1-_xlfn.WEIBULL.DIST(CZ$2,$M48,$L48,FALSE))/_xlfn.WEIBULL.DIST(CZ$2,$M48,$L48,FALSE))*$U48*((1+Inputs!$D$7)^CZ$2))),IF($N48=Lists!$K$3,IF($L48&lt;1,((($T48*(1-$F48)+$S48*(1-$G48))/$L48)*((1+Inputs!$D$7)^CZ$2)),((INT(CZ$2/$L48)-INT((CZ$2-1)/$L48))*($T48*(1-$F48)+$S48*(1-$G48))*((1+Inputs!$D$7)^CZ$2))),((Inputs!$D$8^((1-_xlfn.WEIBULL.DIST(CZ$2,$M48,$L48,FALSE))/_xlfn.WEIBULL.DIST(CZ$2,$M48,$L48,FALSE))*($T48*(1-$F48)+$S48*(1-$G48))*((1+Inputs!$D$7)^CZ$2))))))))</f>
        <v>0</v>
      </c>
      <c r="DA48" s="88">
        <f>MAX(BK48,($E48*IF(DA$2&gt;Inputs!$D$5,0,IF(DA$2&gt;VLOOKUP($H48,Lists!$P$3:$Q$7,2),IF($N48=Lists!$K$3,IF($L48&lt;1,(($U48/$L48)*((1+Inputs!$D$7)^DA$2)),((INT(DA$2/$L48)-INT((DA$2-1)/$L48))*$U48*((1+Inputs!$D$7)^DA$2))),(Inputs!$D$8^((1-_xlfn.WEIBULL.DIST(DA$2,$M48,$L48,FALSE))/_xlfn.WEIBULL.DIST(DA$2,$M48,$L48,FALSE))*$U48*((1+Inputs!$D$7)^DA$2))),IF($N48=Lists!$K$3,IF($L48&lt;1,((($T48*(1-$F48)+$S48*(1-$G48))/$L48)*((1+Inputs!$D$7)^DA$2)),((INT(DA$2/$L48)-INT((DA$2-1)/$L48))*($T48*(1-$F48)+$S48*(1-$G48))*((1+Inputs!$D$7)^DA$2))),((Inputs!$D$8^((1-_xlfn.WEIBULL.DIST(DA$2,$M48,$L48,FALSE))/_xlfn.WEIBULL.DIST(DA$2,$M48,$L48,FALSE))*($T48*(1-$F48)+$S48*(1-$G48))*((1+Inputs!$D$7)^DA$2))))))))</f>
        <v>0</v>
      </c>
      <c r="DB48" s="88">
        <f>MAX(BL48,($E48*IF(DB$2&gt;Inputs!$D$5,0,IF(DB$2&gt;VLOOKUP($H48,Lists!$P$3:$Q$7,2),IF($N48=Lists!$K$3,IF($L48&lt;1,(($U48/$L48)*((1+Inputs!$D$7)^DB$2)),((INT(DB$2/$L48)-INT((DB$2-1)/$L48))*$U48*((1+Inputs!$D$7)^DB$2))),(Inputs!$D$8^((1-_xlfn.WEIBULL.DIST(DB$2,$M48,$L48,FALSE))/_xlfn.WEIBULL.DIST(DB$2,$M48,$L48,FALSE))*$U48*((1+Inputs!$D$7)^DB$2))),IF($N48=Lists!$K$3,IF($L48&lt;1,((($T48*(1-$F48)+$S48*(1-$G48))/$L48)*((1+Inputs!$D$7)^DB$2)),((INT(DB$2/$L48)-INT((DB$2-1)/$L48))*($T48*(1-$F48)+$S48*(1-$G48))*((1+Inputs!$D$7)^DB$2))),((Inputs!$D$8^((1-_xlfn.WEIBULL.DIST(DB$2,$M48,$L48,FALSE))/_xlfn.WEIBULL.DIST(DB$2,$M48,$L48,FALSE))*($T48*(1-$F48)+$S48*(1-$G48))*((1+Inputs!$D$7)^DB$2))))))))</f>
        <v>0</v>
      </c>
      <c r="DC48" s="88">
        <f>MAX(BM48,($E48*IF(DC$2&gt;Inputs!$D$5,0,IF(DC$2&gt;VLOOKUP($H48,Lists!$P$3:$Q$7,2),IF($N48=Lists!$K$3,IF($L48&lt;1,(($U48/$L48)*((1+Inputs!$D$7)^DC$2)),((INT(DC$2/$L48)-INT((DC$2-1)/$L48))*$U48*((1+Inputs!$D$7)^DC$2))),(Inputs!$D$8^((1-_xlfn.WEIBULL.DIST(DC$2,$M48,$L48,FALSE))/_xlfn.WEIBULL.DIST(DC$2,$M48,$L48,FALSE))*$U48*((1+Inputs!$D$7)^DC$2))),IF($N48=Lists!$K$3,IF($L48&lt;1,((($T48*(1-$F48)+$S48*(1-$G48))/$L48)*((1+Inputs!$D$7)^DC$2)),((INT(DC$2/$L48)-INT((DC$2-1)/$L48))*($T48*(1-$F48)+$S48*(1-$G48))*((1+Inputs!$D$7)^DC$2))),((Inputs!$D$8^((1-_xlfn.WEIBULL.DIST(DC$2,$M48,$L48,FALSE))/_xlfn.WEIBULL.DIST(DC$2,$M48,$L48,FALSE))*($T48*(1-$F48)+$S48*(1-$G48))*((1+Inputs!$D$7)^DC$2))))))))</f>
        <v>0</v>
      </c>
      <c r="DD48" s="88">
        <f>MAX(BN48,($E48*IF(DD$2&gt;Inputs!$D$5,0,IF(DD$2&gt;VLOOKUP($H48,Lists!$P$3:$Q$7,2),IF($N48=Lists!$K$3,IF($L48&lt;1,(($U48/$L48)*((1+Inputs!$D$7)^DD$2)),((INT(DD$2/$L48)-INT((DD$2-1)/$L48))*$U48*((1+Inputs!$D$7)^DD$2))),(Inputs!$D$8^((1-_xlfn.WEIBULL.DIST(DD$2,$M48,$L48,FALSE))/_xlfn.WEIBULL.DIST(DD$2,$M48,$L48,FALSE))*$U48*((1+Inputs!$D$7)^DD$2))),IF($N48=Lists!$K$3,IF($L48&lt;1,((($T48*(1-$F48)+$S48*(1-$G48))/$L48)*((1+Inputs!$D$7)^DD$2)),((INT(DD$2/$L48)-INT((DD$2-1)/$L48))*($T48*(1-$F48)+$S48*(1-$G48))*((1+Inputs!$D$7)^DD$2))),((Inputs!$D$8^((1-_xlfn.WEIBULL.DIST(DD$2,$M48,$L48,FALSE))/_xlfn.WEIBULL.DIST(DD$2,$M48,$L48,FALSE))*($T48*(1-$F48)+$S48*(1-$G48))*((1+Inputs!$D$7)^DD$2))))))))</f>
        <v>0</v>
      </c>
    </row>
    <row r="49" spans="1:108" ht="32">
      <c r="A49" s="57" t="s">
        <v>181</v>
      </c>
      <c r="B49" s="13" t="s">
        <v>130</v>
      </c>
      <c r="C49" s="13" t="s">
        <v>474</v>
      </c>
      <c r="D49" s="13" t="s">
        <v>475</v>
      </c>
      <c r="E49" s="48">
        <v>1</v>
      </c>
      <c r="F49" s="48">
        <v>1</v>
      </c>
      <c r="G49" s="48">
        <v>1</v>
      </c>
      <c r="H49" s="105" t="s">
        <v>349</v>
      </c>
      <c r="I49" s="14"/>
      <c r="J49" s="14" t="s">
        <v>86</v>
      </c>
      <c r="K49" s="13">
        <f>VLOOKUP(J49,'Labor Rates'!$A$1:$F$16,2)</f>
        <v>29.298461538461535</v>
      </c>
      <c r="L49" s="15">
        <v>60</v>
      </c>
      <c r="M49" s="15">
        <v>3</v>
      </c>
      <c r="N49" s="16" t="s">
        <v>226</v>
      </c>
      <c r="O49" s="61">
        <f>Inputs!$D$53</f>
        <v>163.9344262295082</v>
      </c>
      <c r="P49" s="15">
        <v>1</v>
      </c>
      <c r="Q49" s="15">
        <f t="shared" si="7"/>
        <v>2.7322404371584699</v>
      </c>
      <c r="R49" s="4">
        <v>200</v>
      </c>
      <c r="S49" s="53">
        <f t="shared" si="8"/>
        <v>4803.0264817150055</v>
      </c>
      <c r="T49" s="53">
        <f t="shared" si="9"/>
        <v>32786.885245901642</v>
      </c>
      <c r="U49" s="54">
        <f t="shared" si="10"/>
        <v>37589.911727616651</v>
      </c>
      <c r="V49" s="65"/>
      <c r="W49" s="58"/>
      <c r="X49" s="64">
        <f t="shared" si="11"/>
        <v>99.758823923408954</v>
      </c>
      <c r="Y49" s="64">
        <f>NPV(Inputs!$D$6,AA49:BN49)</f>
        <v>1151.3775912742396</v>
      </c>
      <c r="Z49" s="67">
        <f t="shared" si="12"/>
        <v>5.4304588311402454E-4</v>
      </c>
      <c r="AA49" s="88">
        <f>$E49*IF(AA$2&gt;Inputs!$D$5,0,IF(AA$2&gt;VLOOKUP($H49,Lists!$P$3:$Q$7,2),IF($N49=Lists!$K$3,IF($L49&lt;1,(($U49/$L49)*((1+Inputs!$D$7)^AA$2)),((INT(AA$2/$L49)-INT((AA$2-1)/$L49))*$U49*((1+Inputs!$D$7)^AA$2))),(_xlfn.WEIBULL.DIST(AA$2,$M49,$L49,FALSE)*$U49*((1+Inputs!$D$7)^AA$2))),IF($N49=Lists!$K$3,IF($L49&lt;1,((($T49*(1-$F49)+$S49*(1-$G49))/$L49)*((1+Inputs!$D$7)^AA$2)),((INT(AA$2/$L49)-INT((AA$2-1)/$L49))*($T49*(1-$F49)+$S49*(1-$G49))*((1+Inputs!$D$7)^AA$2))),((_xlfn.WEIBULL.DIST(AA$2,$M49,$L49,FALSE)*($T49*(1-$F49)+$S49*(1-$G49))*((1+Inputs!$D$7)^AA$2))))))</f>
        <v>0</v>
      </c>
      <c r="AB49" s="88">
        <f>$E49*IF(AB$2&gt;Inputs!$D$5,0,IF(AB$2&gt;VLOOKUP($H49,Lists!$P$3:$Q$7,2),IF($N49=Lists!$K$3,IF($L49&lt;1,(($U49/$L49)*((1+Inputs!$D$7)^AB$2)),((INT(AB$2/$L49)-INT((AB$2-1)/$L49))*$U49*((1+Inputs!$D$7)^AB$2))),(_xlfn.WEIBULL.DIST(AB$2,$M49,$L49,FALSE)*$U49*((1+Inputs!$D$7)^AB$2))),IF($N49=Lists!$K$3,IF($L49&lt;1,((($T49*(1-$F49)+$S49*(1-$G49))/$L49)*((1+Inputs!$D$7)^AB$2)),((INT(AB$2/$L49)-INT((AB$2-1)/$L49))*($T49*(1-$F49)+$S49*(1-$G49))*((1+Inputs!$D$7)^AB$2))),((_xlfn.WEIBULL.DIST(AB$2,$M49,$L49,FALSE)*($T49*(1-$F49)+$S49*(1-$G49))*((1+Inputs!$D$7)^AB$2))))))</f>
        <v>2.1726164290909415</v>
      </c>
      <c r="AC49" s="88">
        <f>$E49*IF(AC$2&gt;Inputs!$D$5,0,IF(AC$2&gt;VLOOKUP($H49,Lists!$P$3:$Q$7,2),IF($N49=Lists!$K$3,IF($L49&lt;1,(($U49/$L49)*((1+Inputs!$D$7)^AC$2)),((INT(AC$2/$L49)-INT((AC$2-1)/$L49))*$U49*((1+Inputs!$D$7)^AC$2))),(_xlfn.WEIBULL.DIST(AC$2,$M49,$L49,FALSE)*$U49*((1+Inputs!$D$7)^AC$2))),IF($N49=Lists!$K$3,IF($L49&lt;1,((($T49*(1-$F49)+$S49*(1-$G49))/$L49)*((1+Inputs!$D$7)^AC$2)),((INT(AC$2/$L49)-INT((AC$2-1)/$L49))*($T49*(1-$F49)+$S49*(1-$G49))*((1+Inputs!$D$7)^AC$2))),((_xlfn.WEIBULL.DIST(AC$2,$M49,$L49,FALSE)*($T49*(1-$F49)+$S49*(1-$G49))*((1+Inputs!$D$7)^AC$2))))))</f>
        <v>4.985716127111667</v>
      </c>
      <c r="AD49" s="88">
        <f>$E49*IF(AD$2&gt;Inputs!$D$5,0,IF(AD$2&gt;VLOOKUP($H49,Lists!$P$3:$Q$7,2),IF($N49=Lists!$K$3,IF($L49&lt;1,(($U49/$L49)*((1+Inputs!$D$7)^AD$2)),((INT(AD$2/$L49)-INT((AD$2-1)/$L49))*$U49*((1+Inputs!$D$7)^AD$2))),(_xlfn.WEIBULL.DIST(AD$2,$M49,$L49,FALSE)*$U49*((1+Inputs!$D$7)^AD$2))),IF($N49=Lists!$K$3,IF($L49&lt;1,((($T49*(1-$F49)+$S49*(1-$G49))/$L49)*((1+Inputs!$D$7)^AD$2)),((INT(AD$2/$L49)-INT((AD$2-1)/$L49))*($T49*(1-$F49)+$S49*(1-$G49))*((1+Inputs!$D$7)^AD$2))),((_xlfn.WEIBULL.DIST(AD$2,$M49,$L49,FALSE)*($T49*(1-$F49)+$S49*(1-$G49))*((1+Inputs!$D$7)^AD$2))))))</f>
        <v>9.0392167268585979</v>
      </c>
      <c r="AE49" s="88">
        <f>$E49*IF(AE$2&gt;Inputs!$D$5,0,IF(AE$2&gt;VLOOKUP($H49,Lists!$P$3:$Q$7,2),IF($N49=Lists!$K$3,IF($L49&lt;1,(($U49/$L49)*((1+Inputs!$D$7)^AE$2)),((INT(AE$2/$L49)-INT((AE$2-1)/$L49))*$U49*((1+Inputs!$D$7)^AE$2))),(_xlfn.WEIBULL.DIST(AE$2,$M49,$L49,FALSE)*$U49*((1+Inputs!$D$7)^AE$2))),IF($N49=Lists!$K$3,IF($L49&lt;1,((($T49*(1-$F49)+$S49*(1-$G49))/$L49)*((1+Inputs!$D$7)^AE$2)),((INT(AE$2/$L49)-INT((AE$2-1)/$L49))*($T49*(1-$F49)+$S49*(1-$G49))*((1+Inputs!$D$7)^AE$2))),((_xlfn.WEIBULL.DIST(AE$2,$M49,$L49,FALSE)*($T49*(1-$F49)+$S49*(1-$G49))*((1+Inputs!$D$7)^AE$2))))))</f>
        <v>14.402183800673191</v>
      </c>
      <c r="AF49" s="88">
        <f>$E49*IF(AF$2&gt;Inputs!$D$5,0,IF(AF$2&gt;VLOOKUP($H49,Lists!$P$3:$Q$7,2),IF($N49=Lists!$K$3,IF($L49&lt;1,(($U49/$L49)*((1+Inputs!$D$7)^AF$2)),((INT(AF$2/$L49)-INT((AF$2-1)/$L49))*$U49*((1+Inputs!$D$7)^AF$2))),(_xlfn.WEIBULL.DIST(AF$2,$M49,$L49,FALSE)*$U49*((1+Inputs!$D$7)^AF$2))),IF($N49=Lists!$K$3,IF($L49&lt;1,((($T49*(1-$F49)+$S49*(1-$G49))/$L49)*((1+Inputs!$D$7)^AF$2)),((INT(AF$2/$L49)-INT((AF$2-1)/$L49))*($T49*(1-$F49)+$S49*(1-$G49))*((1+Inputs!$D$7)^AF$2))),((_xlfn.WEIBULL.DIST(AF$2,$M49,$L49,FALSE)*($T49*(1-$F49)+$S49*(1-$G49))*((1+Inputs!$D$7)^AF$2))))))</f>
        <v>21.145017372140646</v>
      </c>
      <c r="AG49" s="88">
        <f>$E49*IF(AG$2&gt;Inputs!$D$5,0,IF(AG$2&gt;VLOOKUP($H49,Lists!$P$3:$Q$7,2),IF($N49=Lists!$K$3,IF($L49&lt;1,(($U49/$L49)*((1+Inputs!$D$7)^AG$2)),((INT(AG$2/$L49)-INT((AG$2-1)/$L49))*$U49*((1+Inputs!$D$7)^AG$2))),(_xlfn.WEIBULL.DIST(AG$2,$M49,$L49,FALSE)*$U49*((1+Inputs!$D$7)^AG$2))),IF($N49=Lists!$K$3,IF($L49&lt;1,((($T49*(1-$F49)+$S49*(1-$G49))/$L49)*((1+Inputs!$D$7)^AG$2)),((INT(AG$2/$L49)-INT((AG$2-1)/$L49))*($T49*(1-$F49)+$S49*(1-$G49))*((1+Inputs!$D$7)^AG$2))),((_xlfn.WEIBULL.DIST(AG$2,$M49,$L49,FALSE)*($T49*(1-$F49)+$S49*(1-$G49))*((1+Inputs!$D$7)^AG$2))))))</f>
        <v>29.339077088699518</v>
      </c>
      <c r="AH49" s="88">
        <f>$E49*IF(AH$2&gt;Inputs!$D$5,0,IF(AH$2&gt;VLOOKUP($H49,Lists!$P$3:$Q$7,2),IF($N49=Lists!$K$3,IF($L49&lt;1,(($U49/$L49)*((1+Inputs!$D$7)^AH$2)),((INT(AH$2/$L49)-INT((AH$2-1)/$L49))*$U49*((1+Inputs!$D$7)^AH$2))),(_xlfn.WEIBULL.DIST(AH$2,$M49,$L49,FALSE)*$U49*((1+Inputs!$D$7)^AH$2))),IF($N49=Lists!$K$3,IF($L49&lt;1,((($T49*(1-$F49)+$S49*(1-$G49))/$L49)*((1+Inputs!$D$7)^AH$2)),((INT(AH$2/$L49)-INT((AH$2-1)/$L49))*($T49*(1-$F49)+$S49*(1-$G49))*((1+Inputs!$D$7)^AH$2))),((_xlfn.WEIBULL.DIST(AH$2,$M49,$L49,FALSE)*($T49*(1-$F49)+$S49*(1-$G49))*((1+Inputs!$D$7)^AH$2))))))</f>
        <v>39.056265893024147</v>
      </c>
      <c r="AI49" s="88">
        <f>$E49*IF(AI$2&gt;Inputs!$D$5,0,IF(AI$2&gt;VLOOKUP($H49,Lists!$P$3:$Q$7,2),IF($N49=Lists!$K$3,IF($L49&lt;1,(($U49/$L49)*((1+Inputs!$D$7)^AI$2)),((INT(AI$2/$L49)-INT((AI$2-1)/$L49))*$U49*((1+Inputs!$D$7)^AI$2))),(_xlfn.WEIBULL.DIST(AI$2,$M49,$L49,FALSE)*$U49*((1+Inputs!$D$7)^AI$2))),IF($N49=Lists!$K$3,IF($L49&lt;1,((($T49*(1-$F49)+$S49*(1-$G49))/$L49)*((1+Inputs!$D$7)^AI$2)),((INT(AI$2/$L49)-INT((AI$2-1)/$L49))*($T49*(1-$F49)+$S49*(1-$G49))*((1+Inputs!$D$7)^AI$2))),((_xlfn.WEIBULL.DIST(AI$2,$M49,$L49,FALSE)*($T49*(1-$F49)+$S49*(1-$G49))*((1+Inputs!$D$7)^AI$2))))))</f>
        <v>50.368571065853835</v>
      </c>
      <c r="AJ49" s="88">
        <f>$E49*IF(AJ$2&gt;Inputs!$D$5,0,IF(AJ$2&gt;VLOOKUP($H49,Lists!$P$3:$Q$7,2),IF($N49=Lists!$K$3,IF($L49&lt;1,(($U49/$L49)*((1+Inputs!$D$7)^AJ$2)),((INT(AJ$2/$L49)-INT((AJ$2-1)/$L49))*$U49*((1+Inputs!$D$7)^AJ$2))),(_xlfn.WEIBULL.DIST(AJ$2,$M49,$L49,FALSE)*$U49*((1+Inputs!$D$7)^AJ$2))),IF($N49=Lists!$K$3,IF($L49&lt;1,((($T49*(1-$F49)+$S49*(1-$G49))/$L49)*((1+Inputs!$D$7)^AJ$2)),((INT(AJ$2/$L49)-INT((AJ$2-1)/$L49))*($T49*(1-$F49)+$S49*(1-$G49))*((1+Inputs!$D$7)^AJ$2))),((_xlfn.WEIBULL.DIST(AJ$2,$M49,$L49,FALSE)*($T49*(1-$F49)+$S49*(1-$G49))*((1+Inputs!$D$7)^AJ$2))))))</f>
        <v>63.347561883816496</v>
      </c>
      <c r="AK49" s="88">
        <f>$E49*IF(AK$2&gt;Inputs!$D$5,0,IF(AK$2&gt;VLOOKUP($H49,Lists!$P$3:$Q$7,2),IF($N49=Lists!$K$3,IF($L49&lt;1,(($U49/$L49)*((1+Inputs!$D$7)^AK$2)),((INT(AK$2/$L49)-INT((AK$2-1)/$L49))*$U49*((1+Inputs!$D$7)^AK$2))),(_xlfn.WEIBULL.DIST(AK$2,$M49,$L49,FALSE)*$U49*((1+Inputs!$D$7)^AK$2))),IF($N49=Lists!$K$3,IF($L49&lt;1,((($T49*(1-$F49)+$S49*(1-$G49))/$L49)*((1+Inputs!$D$7)^AK$2)),((INT(AK$2/$L49)-INT((AK$2-1)/$L49))*($T49*(1-$F49)+$S49*(1-$G49))*((1+Inputs!$D$7)^AK$2))),((_xlfn.WEIBULL.DIST(AK$2,$M49,$L49,FALSE)*($T49*(1-$F49)+$S49*(1-$G49))*((1+Inputs!$D$7)^AK$2))))))</f>
        <v>78.063843560459617</v>
      </c>
      <c r="AL49" s="88">
        <f>$E49*IF(AL$2&gt;Inputs!$D$5,0,IF(AL$2&gt;VLOOKUP($H49,Lists!$P$3:$Q$7,2),IF($N49=Lists!$K$3,IF($L49&lt;1,(($U49/$L49)*((1+Inputs!$D$7)^AL$2)),((INT(AL$2/$L49)-INT((AL$2-1)/$L49))*$U49*((1+Inputs!$D$7)^AL$2))),(_xlfn.WEIBULL.DIST(AL$2,$M49,$L49,FALSE)*$U49*((1+Inputs!$D$7)^AL$2))),IF($N49=Lists!$K$3,IF($L49&lt;1,((($T49*(1-$F49)+$S49*(1-$G49))/$L49)*((1+Inputs!$D$7)^AL$2)),((INT(AL$2/$L49)-INT((AL$2-1)/$L49))*($T49*(1-$F49)+$S49*(1-$G49))*((1+Inputs!$D$7)^AL$2))),((_xlfn.WEIBULL.DIST(AL$2,$M49,$L49,FALSE)*($T49*(1-$F49)+$S49*(1-$G49))*((1+Inputs!$D$7)^AL$2))))))</f>
        <v>94.586467618303189</v>
      </c>
      <c r="AM49" s="88">
        <f>$E49*IF(AM$2&gt;Inputs!$D$5,0,IF(AM$2&gt;VLOOKUP($H49,Lists!$P$3:$Q$7,2),IF($N49=Lists!$K$3,IF($L49&lt;1,(($U49/$L49)*((1+Inputs!$D$7)^AM$2)),((INT(AM$2/$L49)-INT((AM$2-1)/$L49))*$U49*((1+Inputs!$D$7)^AM$2))),(_xlfn.WEIBULL.DIST(AM$2,$M49,$L49,FALSE)*$U49*((1+Inputs!$D$7)^AM$2))),IF($N49=Lists!$K$3,IF($L49&lt;1,((($T49*(1-$F49)+$S49*(1-$G49))/$L49)*((1+Inputs!$D$7)^AM$2)),((INT(AM$2/$L49)-INT((AM$2-1)/$L49))*($T49*(1-$F49)+$S49*(1-$G49))*((1+Inputs!$D$7)^AM$2))),((_xlfn.WEIBULL.DIST(AM$2,$M49,$L49,FALSE)*($T49*(1-$F49)+$S49*(1-$G49))*((1+Inputs!$D$7)^AM$2))))))</f>
        <v>112.98229937461545</v>
      </c>
      <c r="AN49" s="88">
        <f>$E49*IF(AN$2&gt;Inputs!$D$5,0,IF(AN$2&gt;VLOOKUP($H49,Lists!$P$3:$Q$7,2),IF($N49=Lists!$K$3,IF($L49&lt;1,(($U49/$L49)*((1+Inputs!$D$7)^AN$2)),((INT(AN$2/$L49)-INT((AN$2-1)/$L49))*$U49*((1+Inputs!$D$7)^AN$2))),(_xlfn.WEIBULL.DIST(AN$2,$M49,$L49,FALSE)*$U49*((1+Inputs!$D$7)^AN$2))),IF($N49=Lists!$K$3,IF($L49&lt;1,((($T49*(1-$F49)+$S49*(1-$G49))/$L49)*((1+Inputs!$D$7)^AN$2)),((INT(AN$2/$L49)-INT((AN$2-1)/$L49))*($T49*(1-$F49)+$S49*(1-$G49))*((1+Inputs!$D$7)^AN$2))),((_xlfn.WEIBULL.DIST(AN$2,$M49,$L49,FALSE)*($T49*(1-$F49)+$S49*(1-$G49))*((1+Inputs!$D$7)^AN$2))))))</f>
        <v>133.31534381321697</v>
      </c>
      <c r="AO49" s="88">
        <f>$E49*IF(AO$2&gt;Inputs!$D$5,0,IF(AO$2&gt;VLOOKUP($H49,Lists!$P$3:$Q$7,2),IF($N49=Lists!$K$3,IF($L49&lt;1,(($U49/$L49)*((1+Inputs!$D$7)^AO$2)),((INT(AO$2/$L49)-INT((AO$2-1)/$L49))*$U49*((1+Inputs!$D$7)^AO$2))),(_xlfn.WEIBULL.DIST(AO$2,$M49,$L49,FALSE)*$U49*((1+Inputs!$D$7)^AO$2))),IF($N49=Lists!$K$3,IF($L49&lt;1,((($T49*(1-$F49)+$S49*(1-$G49))/$L49)*((1+Inputs!$D$7)^AO$2)),((INT(AO$2/$L49)-INT((AO$2-1)/$L49))*($T49*(1-$F49)+$S49*(1-$G49))*((1+Inputs!$D$7)^AO$2))),((_xlfn.WEIBULL.DIST(AO$2,$M49,$L49,FALSE)*($T49*(1-$F49)+$S49*(1-$G49))*((1+Inputs!$D$7)^AO$2))))))</f>
        <v>155.64603175733092</v>
      </c>
      <c r="AP49" s="88">
        <f>$E49*IF(AP$2&gt;Inputs!$D$5,0,IF(AP$2&gt;VLOOKUP($H49,Lists!$P$3:$Q$7,2),IF($N49=Lists!$K$3,IF($L49&lt;1,(($U49/$L49)*((1+Inputs!$D$7)^AP$2)),((INT(AP$2/$L49)-INT((AP$2-1)/$L49))*$U49*((1+Inputs!$D$7)^AP$2))),(_xlfn.WEIBULL.DIST(AP$2,$M49,$L49,FALSE)*$U49*((1+Inputs!$D$7)^AP$2))),IF($N49=Lists!$K$3,IF($L49&lt;1,((($T49*(1-$F49)+$S49*(1-$G49))/$L49)*((1+Inputs!$D$7)^AP$2)),((INT(AP$2/$L49)-INT((AP$2-1)/$L49))*($T49*(1-$F49)+$S49*(1-$G49))*((1+Inputs!$D$7)^AP$2))),((_xlfn.WEIBULL.DIST(AP$2,$M49,$L49,FALSE)*($T49*(1-$F49)+$S49*(1-$G49))*((1+Inputs!$D$7)^AP$2))))))</f>
        <v>180.03046895155876</v>
      </c>
      <c r="AQ49" s="88">
        <f>$E49*IF(AQ$2&gt;Inputs!$D$5,0,IF(AQ$2&gt;VLOOKUP($H49,Lists!$P$3:$Q$7,2),IF($N49=Lists!$K$3,IF($L49&lt;1,(($U49/$L49)*((1+Inputs!$D$7)^AQ$2)),((INT(AQ$2/$L49)-INT((AQ$2-1)/$L49))*$U49*((1+Inputs!$D$7)^AQ$2))),(_xlfn.WEIBULL.DIST(AQ$2,$M49,$L49,FALSE)*$U49*((1+Inputs!$D$7)^AQ$2))),IF($N49=Lists!$K$3,IF($L49&lt;1,((($T49*(1-$F49)+$S49*(1-$G49))/$L49)*((1+Inputs!$D$7)^AQ$2)),((INT(AQ$2/$L49)-INT((AQ$2-1)/$L49))*($T49*(1-$F49)+$S49*(1-$G49))*((1+Inputs!$D$7)^AQ$2))),((_xlfn.WEIBULL.DIST(AQ$2,$M49,$L49,FALSE)*($T49*(1-$F49)+$S49*(1-$G49))*((1+Inputs!$D$7)^AQ$2))))))</f>
        <v>206.51965140044652</v>
      </c>
      <c r="AR49" s="88">
        <f>$E49*IF(AR$2&gt;Inputs!$D$5,0,IF(AR$2&gt;VLOOKUP($H49,Lists!$P$3:$Q$7,2),IF($N49=Lists!$K$3,IF($L49&lt;1,(($U49/$L49)*((1+Inputs!$D$7)^AR$2)),((INT(AR$2/$L49)-INT((AR$2-1)/$L49))*$U49*((1+Inputs!$D$7)^AR$2))),(_xlfn.WEIBULL.DIST(AR$2,$M49,$L49,FALSE)*$U49*((1+Inputs!$D$7)^AR$2))),IF($N49=Lists!$K$3,IF($L49&lt;1,((($T49*(1-$F49)+$S49*(1-$G49))/$L49)*((1+Inputs!$D$7)^AR$2)),((INT(AR$2/$L49)-INT((AR$2-1)/$L49))*($T49*(1-$F49)+$S49*(1-$G49))*((1+Inputs!$D$7)^AR$2))),((_xlfn.WEIBULL.DIST(AR$2,$M49,$L49,FALSE)*($T49*(1-$F49)+$S49*(1-$G49))*((1+Inputs!$D$7)^AR$2))))))</f>
        <v>235.15865109141544</v>
      </c>
      <c r="AS49" s="88">
        <f>$E49*IF(AS$2&gt;Inputs!$D$5,0,IF(AS$2&gt;VLOOKUP($H49,Lists!$P$3:$Q$7,2),IF($N49=Lists!$K$3,IF($L49&lt;1,(($U49/$L49)*((1+Inputs!$D$7)^AS$2)),((INT(AS$2/$L49)-INT((AS$2-1)/$L49))*$U49*((1+Inputs!$D$7)^AS$2))),(_xlfn.WEIBULL.DIST(AS$2,$M49,$L49,FALSE)*$U49*((1+Inputs!$D$7)^AS$2))),IF($N49=Lists!$K$3,IF($L49&lt;1,((($T49*(1-$F49)+$S49*(1-$G49))/$L49)*((1+Inputs!$D$7)^AS$2)),((INT(AS$2/$L49)-INT((AS$2-1)/$L49))*($T49*(1-$F49)+$S49*(1-$G49))*((1+Inputs!$D$7)^AS$2))),((_xlfn.WEIBULL.DIST(AS$2,$M49,$L49,FALSE)*($T49*(1-$F49)+$S49*(1-$G49))*((1+Inputs!$D$7)^AS$2))))))</f>
        <v>265.98577704423479</v>
      </c>
      <c r="AT49" s="88">
        <f>$E49*IF(AT$2&gt;Inputs!$D$5,0,IF(AT$2&gt;VLOOKUP($H49,Lists!$P$3:$Q$7,2),IF($N49=Lists!$K$3,IF($L49&lt;1,(($U49/$L49)*((1+Inputs!$D$7)^AT$2)),((INT(AT$2/$L49)-INT((AT$2-1)/$L49))*$U49*((1+Inputs!$D$7)^AT$2))),(_xlfn.WEIBULL.DIST(AT$2,$M49,$L49,FALSE)*$U49*((1+Inputs!$D$7)^AT$2))),IF($N49=Lists!$K$3,IF($L49&lt;1,((($T49*(1-$F49)+$S49*(1-$G49))/$L49)*((1+Inputs!$D$7)^AT$2)),((INT(AT$2/$L49)-INT((AT$2-1)/$L49))*($T49*(1-$F49)+$S49*(1-$G49))*((1+Inputs!$D$7)^AT$2))),((_xlfn.WEIBULL.DIST(AT$2,$M49,$L49,FALSE)*($T49*(1-$F49)+$S49*(1-$G49))*((1+Inputs!$D$7)^AT$2))))))</f>
        <v>299.0317174693285</v>
      </c>
      <c r="AU49" s="88">
        <f>$E49*IF(AU$2&gt;Inputs!$D$5,0,IF(AU$2&gt;VLOOKUP($H49,Lists!$P$3:$Q$7,2),IF($N49=Lists!$K$3,IF($L49&lt;1,(($U49/$L49)*((1+Inputs!$D$7)^AU$2)),((INT(AU$2/$L49)-INT((AU$2-1)/$L49))*$U49*((1+Inputs!$D$7)^AU$2))),(_xlfn.WEIBULL.DIST(AU$2,$M49,$L49,FALSE)*$U49*((1+Inputs!$D$7)^AU$2))),IF($N49=Lists!$K$3,IF($L49&lt;1,((($T49*(1-$F49)+$S49*(1-$G49))/$L49)*((1+Inputs!$D$7)^AU$2)),((INT(AU$2/$L49)-INT((AU$2-1)/$L49))*($T49*(1-$F49)+$S49*(1-$G49))*((1+Inputs!$D$7)^AU$2))),((_xlfn.WEIBULL.DIST(AU$2,$M49,$L49,FALSE)*($T49*(1-$F49)+$S49*(1-$G49))*((1+Inputs!$D$7)^AU$2))))))</f>
        <v>334.31866967313272</v>
      </c>
      <c r="AV49" s="88">
        <f>$E49*IF(AV$2&gt;Inputs!$D$5,0,IF(AV$2&gt;VLOOKUP($H49,Lists!$P$3:$Q$7,2),IF($N49=Lists!$K$3,IF($L49&lt;1,(($U49/$L49)*((1+Inputs!$D$7)^AV$2)),((INT(AV$2/$L49)-INT((AV$2-1)/$L49))*$U49*((1+Inputs!$D$7)^AV$2))),(_xlfn.WEIBULL.DIST(AV$2,$M49,$L49,FALSE)*$U49*((1+Inputs!$D$7)^AV$2))),IF($N49=Lists!$K$3,IF($L49&lt;1,((($T49*(1-$F49)+$S49*(1-$G49))/$L49)*((1+Inputs!$D$7)^AV$2)),((INT(AV$2/$L49)-INT((AV$2-1)/$L49))*($T49*(1-$F49)+$S49*(1-$G49))*((1+Inputs!$D$7)^AV$2))),((_xlfn.WEIBULL.DIST(AV$2,$M49,$L49,FALSE)*($T49*(1-$F49)+$S49*(1-$G49))*((1+Inputs!$D$7)^AV$2))))))</f>
        <v>371.8594652089335</v>
      </c>
      <c r="AW49" s="88">
        <f>$E49*IF(AW$2&gt;Inputs!$D$5,0,IF(AW$2&gt;VLOOKUP($H49,Lists!$P$3:$Q$7,2),IF($N49=Lists!$K$3,IF($L49&lt;1,(($U49/$L49)*((1+Inputs!$D$7)^AW$2)),((INT(AW$2/$L49)-INT((AW$2-1)/$L49))*$U49*((1+Inputs!$D$7)^AW$2))),(_xlfn.WEIBULL.DIST(AW$2,$M49,$L49,FALSE)*$U49*((1+Inputs!$D$7)^AW$2))),IF($N49=Lists!$K$3,IF($L49&lt;1,((($T49*(1-$F49)+$S49*(1-$G49))/$L49)*((1+Inputs!$D$7)^AW$2)),((INT(AW$2/$L49)-INT((AW$2-1)/$L49))*($T49*(1-$F49)+$S49*(1-$G49))*((1+Inputs!$D$7)^AW$2))),((_xlfn.WEIBULL.DIST(AW$2,$M49,$L49,FALSE)*($T49*(1-$F49)+$S49*(1-$G49))*((1+Inputs!$D$7)^AW$2))))))</f>
        <v>411.65669862305606</v>
      </c>
      <c r="AX49" s="88">
        <f>$E49*IF(AX$2&gt;Inputs!$D$5,0,IF(AX$2&gt;VLOOKUP($H49,Lists!$P$3:$Q$7,2),IF($N49=Lists!$K$3,IF($L49&lt;1,(($U49/$L49)*((1+Inputs!$D$7)^AX$2)),((INT(AX$2/$L49)-INT((AX$2-1)/$L49))*$U49*((1+Inputs!$D$7)^AX$2))),(_xlfn.WEIBULL.DIST(AX$2,$M49,$L49,FALSE)*$U49*((1+Inputs!$D$7)^AX$2))),IF($N49=Lists!$K$3,IF($L49&lt;1,((($T49*(1-$F49)+$S49*(1-$G49))/$L49)*((1+Inputs!$D$7)^AX$2)),((INT(AX$2/$L49)-INT((AX$2-1)/$L49))*($T49*(1-$F49)+$S49*(1-$G49))*((1+Inputs!$D$7)^AX$2))),((_xlfn.WEIBULL.DIST(AX$2,$M49,$L49,FALSE)*($T49*(1-$F49)+$S49*(1-$G49))*((1+Inputs!$D$7)^AX$2))))))</f>
        <v>453.70186897437981</v>
      </c>
      <c r="AY49" s="88">
        <f>$E49*IF(AY$2&gt;Inputs!$D$5,0,IF(AY$2&gt;VLOOKUP($H49,Lists!$P$3:$Q$7,2),IF($N49=Lists!$K$3,IF($L49&lt;1,(($U49/$L49)*((1+Inputs!$D$7)^AY$2)),((INT(AY$2/$L49)-INT((AY$2-1)/$L49))*$U49*((1+Inputs!$D$7)^AY$2))),(_xlfn.WEIBULL.DIST(AY$2,$M49,$L49,FALSE)*$U49*((1+Inputs!$D$7)^AY$2))),IF($N49=Lists!$K$3,IF($L49&lt;1,((($T49*(1-$F49)+$S49*(1-$G49))/$L49)*((1+Inputs!$D$7)^AY$2)),((INT(AY$2/$L49)-INT((AY$2-1)/$L49))*($T49*(1-$F49)+$S49*(1-$G49))*((1+Inputs!$D$7)^AY$2))),((_xlfn.WEIBULL.DIST(AY$2,$M49,$L49,FALSE)*($T49*(1-$F49)+$S49*(1-$G49))*((1+Inputs!$D$7)^AY$2))))))</f>
        <v>497.97454409391401</v>
      </c>
      <c r="AZ49" s="88">
        <f>$E49*IF(AZ$2&gt;Inputs!$D$5,0,IF(AZ$2&gt;VLOOKUP($H49,Lists!$P$3:$Q$7,2),IF($N49=Lists!$K$3,IF($L49&lt;1,(($U49/$L49)*((1+Inputs!$D$7)^AZ$2)),((INT(AZ$2/$L49)-INT((AZ$2-1)/$L49))*$U49*((1+Inputs!$D$7)^AZ$2))),(_xlfn.WEIBULL.DIST(AZ$2,$M49,$L49,FALSE)*$U49*((1+Inputs!$D$7)^AZ$2))),IF($N49=Lists!$K$3,IF($L49&lt;1,((($T49*(1-$F49)+$S49*(1-$G49))/$L49)*((1+Inputs!$D$7)^AZ$2)),((INT(AZ$2/$L49)-INT((AZ$2-1)/$L49))*($T49*(1-$F49)+$S49*(1-$G49))*((1+Inputs!$D$7)^AZ$2))),((_xlfn.WEIBULL.DIST(AZ$2,$M49,$L49,FALSE)*($T49*(1-$F49)+$S49*(1-$G49))*((1+Inputs!$D$7)^AZ$2))))))</f>
        <v>0</v>
      </c>
      <c r="BA49" s="88">
        <f>$E49*IF(BA$2&gt;Inputs!$D$5,0,IF(BA$2&gt;VLOOKUP($H49,Lists!$P$3:$Q$7,2),IF($N49=Lists!$K$3,IF($L49&lt;1,(($U49/$L49)*((1+Inputs!$D$7)^BA$2)),((INT(BA$2/$L49)-INT((BA$2-1)/$L49))*$U49*((1+Inputs!$D$7)^BA$2))),(_xlfn.WEIBULL.DIST(BA$2,$M49,$L49,FALSE)*$U49*((1+Inputs!$D$7)^BA$2))),IF($N49=Lists!$K$3,IF($L49&lt;1,((($T49*(1-$F49)+$S49*(1-$G49))/$L49)*((1+Inputs!$D$7)^BA$2)),((INT(BA$2/$L49)-INT((BA$2-1)/$L49))*($T49*(1-$F49)+$S49*(1-$G49))*((1+Inputs!$D$7)^BA$2))),((_xlfn.WEIBULL.DIST(BA$2,$M49,$L49,FALSE)*($T49*(1-$F49)+$S49*(1-$G49))*((1+Inputs!$D$7)^BA$2))))))</f>
        <v>0</v>
      </c>
      <c r="BB49" s="88">
        <f>$E49*IF(BB$2&gt;Inputs!$D$5,0,IF(BB$2&gt;VLOOKUP($H49,Lists!$P$3:$Q$7,2),IF($N49=Lists!$K$3,IF($L49&lt;1,(($U49/$L49)*((1+Inputs!$D$7)^BB$2)),((INT(BB$2/$L49)-INT((BB$2-1)/$L49))*$U49*((1+Inputs!$D$7)^BB$2))),(_xlfn.WEIBULL.DIST(BB$2,$M49,$L49,FALSE)*$U49*((1+Inputs!$D$7)^BB$2))),IF($N49=Lists!$K$3,IF($L49&lt;1,((($T49*(1-$F49)+$S49*(1-$G49))/$L49)*((1+Inputs!$D$7)^BB$2)),((INT(BB$2/$L49)-INT((BB$2-1)/$L49))*($T49*(1-$F49)+$S49*(1-$G49))*((1+Inputs!$D$7)^BB$2))),((_xlfn.WEIBULL.DIST(BB$2,$M49,$L49,FALSE)*($T49*(1-$F49)+$S49*(1-$G49))*((1+Inputs!$D$7)^BB$2))))))</f>
        <v>0</v>
      </c>
      <c r="BC49" s="88">
        <f>$E49*IF(BC$2&gt;Inputs!$D$5,0,IF(BC$2&gt;VLOOKUP($H49,Lists!$P$3:$Q$7,2),IF($N49=Lists!$K$3,IF($L49&lt;1,(($U49/$L49)*((1+Inputs!$D$7)^BC$2)),((INT(BC$2/$L49)-INT((BC$2-1)/$L49))*$U49*((1+Inputs!$D$7)^BC$2))),(_xlfn.WEIBULL.DIST(BC$2,$M49,$L49,FALSE)*$U49*((1+Inputs!$D$7)^BC$2))),IF($N49=Lists!$K$3,IF($L49&lt;1,((($T49*(1-$F49)+$S49*(1-$G49))/$L49)*((1+Inputs!$D$7)^BC$2)),((INT(BC$2/$L49)-INT((BC$2-1)/$L49))*($T49*(1-$F49)+$S49*(1-$G49))*((1+Inputs!$D$7)^BC$2))),((_xlfn.WEIBULL.DIST(BC$2,$M49,$L49,FALSE)*($T49*(1-$F49)+$S49*(1-$G49))*((1+Inputs!$D$7)^BC$2))))))</f>
        <v>0</v>
      </c>
      <c r="BD49" s="88">
        <f>$E49*IF(BD$2&gt;Inputs!$D$5,0,IF(BD$2&gt;VLOOKUP($H49,Lists!$P$3:$Q$7,2),IF($N49=Lists!$K$3,IF($L49&lt;1,(($U49/$L49)*((1+Inputs!$D$7)^BD$2)),((INT(BD$2/$L49)-INT((BD$2-1)/$L49))*$U49*((1+Inputs!$D$7)^BD$2))),(_xlfn.WEIBULL.DIST(BD$2,$M49,$L49,FALSE)*$U49*((1+Inputs!$D$7)^BD$2))),IF($N49=Lists!$K$3,IF($L49&lt;1,((($T49*(1-$F49)+$S49*(1-$G49))/$L49)*((1+Inputs!$D$7)^BD$2)),((INT(BD$2/$L49)-INT((BD$2-1)/$L49))*($T49*(1-$F49)+$S49*(1-$G49))*((1+Inputs!$D$7)^BD$2))),((_xlfn.WEIBULL.DIST(BD$2,$M49,$L49,FALSE)*($T49*(1-$F49)+$S49*(1-$G49))*((1+Inputs!$D$7)^BD$2))))))</f>
        <v>0</v>
      </c>
      <c r="BE49" s="88">
        <f>$E49*IF(BE$2&gt;Inputs!$D$5,0,IF(BE$2&gt;VLOOKUP($H49,Lists!$P$3:$Q$7,2),IF($N49=Lists!$K$3,IF($L49&lt;1,(($U49/$L49)*((1+Inputs!$D$7)^BE$2)),((INT(BE$2/$L49)-INT((BE$2-1)/$L49))*$U49*((1+Inputs!$D$7)^BE$2))),(_xlfn.WEIBULL.DIST(BE$2,$M49,$L49,FALSE)*$U49*((1+Inputs!$D$7)^BE$2))),IF($N49=Lists!$K$3,IF($L49&lt;1,((($T49*(1-$F49)+$S49*(1-$G49))/$L49)*((1+Inputs!$D$7)^BE$2)),((INT(BE$2/$L49)-INT((BE$2-1)/$L49))*($T49*(1-$F49)+$S49*(1-$G49))*((1+Inputs!$D$7)^BE$2))),((_xlfn.WEIBULL.DIST(BE$2,$M49,$L49,FALSE)*($T49*(1-$F49)+$S49*(1-$G49))*((1+Inputs!$D$7)^BE$2))))))</f>
        <v>0</v>
      </c>
      <c r="BF49" s="88">
        <f>$E49*IF(BF$2&gt;Inputs!$D$5,0,IF(BF$2&gt;VLOOKUP($H49,Lists!$P$3:$Q$7,2),IF($N49=Lists!$K$3,IF($L49&lt;1,(($U49/$L49)*((1+Inputs!$D$7)^BF$2)),((INT(BF$2/$L49)-INT((BF$2-1)/$L49))*$U49*((1+Inputs!$D$7)^BF$2))),(_xlfn.WEIBULL.DIST(BF$2,$M49,$L49,FALSE)*$U49*((1+Inputs!$D$7)^BF$2))),IF($N49=Lists!$K$3,IF($L49&lt;1,((($T49*(1-$F49)+$S49*(1-$G49))/$L49)*((1+Inputs!$D$7)^BF$2)),((INT(BF$2/$L49)-INT((BF$2-1)/$L49))*($T49*(1-$F49)+$S49*(1-$G49))*((1+Inputs!$D$7)^BF$2))),((_xlfn.WEIBULL.DIST(BF$2,$M49,$L49,FALSE)*($T49*(1-$F49)+$S49*(1-$G49))*((1+Inputs!$D$7)^BF$2))))))</f>
        <v>0</v>
      </c>
      <c r="BG49" s="88">
        <f>$E49*IF(BG$2&gt;Inputs!$D$5,0,IF(BG$2&gt;VLOOKUP($H49,Lists!$P$3:$Q$7,2),IF($N49=Lists!$K$3,IF($L49&lt;1,(($U49/$L49)*((1+Inputs!$D$7)^BG$2)),((INT(BG$2/$L49)-INT((BG$2-1)/$L49))*$U49*((1+Inputs!$D$7)^BG$2))),(_xlfn.WEIBULL.DIST(BG$2,$M49,$L49,FALSE)*$U49*((1+Inputs!$D$7)^BG$2))),IF($N49=Lists!$K$3,IF($L49&lt;1,((($T49*(1-$F49)+$S49*(1-$G49))/$L49)*((1+Inputs!$D$7)^BG$2)),((INT(BG$2/$L49)-INT((BG$2-1)/$L49))*($T49*(1-$F49)+$S49*(1-$G49))*((1+Inputs!$D$7)^BG$2))),((_xlfn.WEIBULL.DIST(BG$2,$M49,$L49,FALSE)*($T49*(1-$F49)+$S49*(1-$G49))*((1+Inputs!$D$7)^BG$2))))))</f>
        <v>0</v>
      </c>
      <c r="BH49" s="88">
        <f>$E49*IF(BH$2&gt;Inputs!$D$5,0,IF(BH$2&gt;VLOOKUP($H49,Lists!$P$3:$Q$7,2),IF($N49=Lists!$K$3,IF($L49&lt;1,(($U49/$L49)*((1+Inputs!$D$7)^BH$2)),((INT(BH$2/$L49)-INT((BH$2-1)/$L49))*$U49*((1+Inputs!$D$7)^BH$2))),(_xlfn.WEIBULL.DIST(BH$2,$M49,$L49,FALSE)*$U49*((1+Inputs!$D$7)^BH$2))),IF($N49=Lists!$K$3,IF($L49&lt;1,((($T49*(1-$F49)+$S49*(1-$G49))/$L49)*((1+Inputs!$D$7)^BH$2)),((INT(BH$2/$L49)-INT((BH$2-1)/$L49))*($T49*(1-$F49)+$S49*(1-$G49))*((1+Inputs!$D$7)^BH$2))),((_xlfn.WEIBULL.DIST(BH$2,$M49,$L49,FALSE)*($T49*(1-$F49)+$S49*(1-$G49))*((1+Inputs!$D$7)^BH$2))))))</f>
        <v>0</v>
      </c>
      <c r="BI49" s="88">
        <f>$E49*IF(BI$2&gt;Inputs!$D$5,0,IF(BI$2&gt;VLOOKUP($H49,Lists!$P$3:$Q$7,2),IF($N49=Lists!$K$3,IF($L49&lt;1,(($U49/$L49)*((1+Inputs!$D$7)^BI$2)),((INT(BI$2/$L49)-INT((BI$2-1)/$L49))*$U49*((1+Inputs!$D$7)^BI$2))),(_xlfn.WEIBULL.DIST(BI$2,$M49,$L49,FALSE)*$U49*((1+Inputs!$D$7)^BI$2))),IF($N49=Lists!$K$3,IF($L49&lt;1,((($T49*(1-$F49)+$S49*(1-$G49))/$L49)*((1+Inputs!$D$7)^BI$2)),((INT(BI$2/$L49)-INT((BI$2-1)/$L49))*($T49*(1-$F49)+$S49*(1-$G49))*((1+Inputs!$D$7)^BI$2))),((_xlfn.WEIBULL.DIST(BI$2,$M49,$L49,FALSE)*($T49*(1-$F49)+$S49*(1-$G49))*((1+Inputs!$D$7)^BI$2))))))</f>
        <v>0</v>
      </c>
      <c r="BJ49" s="88">
        <f>$E49*IF(BJ$2&gt;Inputs!$D$5,0,IF(BJ$2&gt;VLOOKUP($H49,Lists!$P$3:$Q$7,2),IF($N49=Lists!$K$3,IF($L49&lt;1,(($U49/$L49)*((1+Inputs!$D$7)^BJ$2)),((INT(BJ$2/$L49)-INT((BJ$2-1)/$L49))*$U49*((1+Inputs!$D$7)^BJ$2))),(_xlfn.WEIBULL.DIST(BJ$2,$M49,$L49,FALSE)*$U49*((1+Inputs!$D$7)^BJ$2))),IF($N49=Lists!$K$3,IF($L49&lt;1,((($T49*(1-$F49)+$S49*(1-$G49))/$L49)*((1+Inputs!$D$7)^BJ$2)),((INT(BJ$2/$L49)-INT((BJ$2-1)/$L49))*($T49*(1-$F49)+$S49*(1-$G49))*((1+Inputs!$D$7)^BJ$2))),((_xlfn.WEIBULL.DIST(BJ$2,$M49,$L49,FALSE)*($T49*(1-$F49)+$S49*(1-$G49))*((1+Inputs!$D$7)^BJ$2))))))</f>
        <v>0</v>
      </c>
      <c r="BK49" s="88">
        <f>$E49*IF(BK$2&gt;Inputs!$D$5,0,IF(BK$2&gt;VLOOKUP($H49,Lists!$P$3:$Q$7,2),IF($N49=Lists!$K$3,IF($L49&lt;1,(($U49/$L49)*((1+Inputs!$D$7)^BK$2)),((INT(BK$2/$L49)-INT((BK$2-1)/$L49))*$U49*((1+Inputs!$D$7)^BK$2))),(_xlfn.WEIBULL.DIST(BK$2,$M49,$L49,FALSE)*$U49*((1+Inputs!$D$7)^BK$2))),IF($N49=Lists!$K$3,IF($L49&lt;1,((($T49*(1-$F49)+$S49*(1-$G49))/$L49)*((1+Inputs!$D$7)^BK$2)),((INT(BK$2/$L49)-INT((BK$2-1)/$L49))*($T49*(1-$F49)+$S49*(1-$G49))*((1+Inputs!$D$7)^BK$2))),((_xlfn.WEIBULL.DIST(BK$2,$M49,$L49,FALSE)*($T49*(1-$F49)+$S49*(1-$G49))*((1+Inputs!$D$7)^BK$2))))))</f>
        <v>0</v>
      </c>
      <c r="BL49" s="88">
        <f>$E49*IF(BL$2&gt;Inputs!$D$5,0,IF(BL$2&gt;VLOOKUP($H49,Lists!$P$3:$Q$7,2),IF($N49=Lists!$K$3,IF($L49&lt;1,(($U49/$L49)*((1+Inputs!$D$7)^BL$2)),((INT(BL$2/$L49)-INT((BL$2-1)/$L49))*$U49*((1+Inputs!$D$7)^BL$2))),(_xlfn.WEIBULL.DIST(BL$2,$M49,$L49,FALSE)*$U49*((1+Inputs!$D$7)^BL$2))),IF($N49=Lists!$K$3,IF($L49&lt;1,((($T49*(1-$F49)+$S49*(1-$G49))/$L49)*((1+Inputs!$D$7)^BL$2)),((INT(BL$2/$L49)-INT((BL$2-1)/$L49))*($T49*(1-$F49)+$S49*(1-$G49))*((1+Inputs!$D$7)^BL$2))),((_xlfn.WEIBULL.DIST(BL$2,$M49,$L49,FALSE)*($T49*(1-$F49)+$S49*(1-$G49))*((1+Inputs!$D$7)^BL$2))))))</f>
        <v>0</v>
      </c>
      <c r="BM49" s="88">
        <f>$E49*IF(BM$2&gt;Inputs!$D$5,0,IF(BM$2&gt;VLOOKUP($H49,Lists!$P$3:$Q$7,2),IF($N49=Lists!$K$3,IF($L49&lt;1,(($U49/$L49)*((1+Inputs!$D$7)^BM$2)),((INT(BM$2/$L49)-INT((BM$2-1)/$L49))*$U49*((1+Inputs!$D$7)^BM$2))),(_xlfn.WEIBULL.DIST(BM$2,$M49,$L49,FALSE)*$U49*((1+Inputs!$D$7)^BM$2))),IF($N49=Lists!$K$3,IF($L49&lt;1,((($T49*(1-$F49)+$S49*(1-$G49))/$L49)*((1+Inputs!$D$7)^BM$2)),((INT(BM$2/$L49)-INT((BM$2-1)/$L49))*($T49*(1-$F49)+$S49*(1-$G49))*((1+Inputs!$D$7)^BM$2))),((_xlfn.WEIBULL.DIST(BM$2,$M49,$L49,FALSE)*($T49*(1-$F49)+$S49*(1-$G49))*((1+Inputs!$D$7)^BM$2))))))</f>
        <v>0</v>
      </c>
      <c r="BN49" s="88">
        <f>$E49*IF(BN$2&gt;Inputs!$D$5,0,IF(BN$2&gt;VLOOKUP($H49,Lists!$P$3:$Q$7,2),IF($N49=Lists!$K$3,IF($L49&lt;1,(($U49/$L49)*((1+Inputs!$D$7)^BN$2)),((INT(BN$2/$L49)-INT((BN$2-1)/$L49))*$U49*((1+Inputs!$D$7)^BN$2))),(_xlfn.WEIBULL.DIST(BN$2,$M49,$L49,FALSE)*$U49*((1+Inputs!$D$7)^BN$2))),IF($N49=Lists!$K$3,IF($L49&lt;1,((($T49*(1-$F49)+$S49*(1-$G49))/$L49)*((1+Inputs!$D$7)^BN$2)),((INT(BN$2/$L49)-INT((BN$2-1)/$L49))*($T49*(1-$F49)+$S49*(1-$G49))*((1+Inputs!$D$7)^BN$2))),((_xlfn.WEIBULL.DIST(BN$2,$M49,$L49,FALSE)*($T49*(1-$F49)+$S49*(1-$G49))*((1+Inputs!$D$7)^BN$2))))))</f>
        <v>0</v>
      </c>
      <c r="BO49" s="64">
        <f>NPV(Inputs!$D$6,BQ49:DD49)</f>
        <v>1151.3775912742396</v>
      </c>
      <c r="BP49" s="67">
        <f t="shared" si="13"/>
        <v>5.4304588311402454E-4</v>
      </c>
      <c r="BQ49" s="88">
        <f>MAX(AA49,($E49*IF(BQ$2&gt;Inputs!$D$5,0,IF(BQ$2&gt;VLOOKUP($H49,Lists!$P$3:$Q$7,2),IF($N49=Lists!$K$3,IF($L49&lt;1,(($U49/$L49)*((1+Inputs!$D$7)^BQ$2)),((INT(BQ$2/$L49)-INT((BQ$2-1)/$L49))*$U49*((1+Inputs!$D$7)^BQ$2))),(Inputs!$D$8^((1-_xlfn.WEIBULL.DIST(BQ$2,$M49,$L49,FALSE))/_xlfn.WEIBULL.DIST(BQ$2,$M49,$L49,FALSE))*$U49*((1+Inputs!$D$7)^BQ$2))),IF($N49=Lists!$K$3,IF($L49&lt;1,((($T49*(1-$F49)+$S49*(1-$G49))/$L49)*((1+Inputs!$D$7)^BQ$2)),((INT(BQ$2/$L49)-INT((BQ$2-1)/$L49))*($T49*(1-$F49)+$S49*(1-$G49))*((1+Inputs!$D$7)^BQ$2))),((Inputs!$D$8^((1-_xlfn.WEIBULL.DIST(BQ$2,$M49,$L49,FALSE))/_xlfn.WEIBULL.DIST(BQ$2,$M49,$L49,FALSE))*($T49*(1-$F49)+$S49*(1-$G49))*((1+Inputs!$D$7)^BQ$2))))))))</f>
        <v>0</v>
      </c>
      <c r="BR49" s="88">
        <f>MAX(AB49,($E49*IF(BR$2&gt;Inputs!$D$5,0,IF(BR$2&gt;VLOOKUP($H49,Lists!$P$3:$Q$7,2),IF($N49=Lists!$K$3,IF($L49&lt;1,(($U49/$L49)*((1+Inputs!$D$7)^BR$2)),((INT(BR$2/$L49)-INT((BR$2-1)/$L49))*$U49*((1+Inputs!$D$7)^BR$2))),(Inputs!$D$8^((1-_xlfn.WEIBULL.DIST(BR$2,$M49,$L49,FALSE))/_xlfn.WEIBULL.DIST(BR$2,$M49,$L49,FALSE))*$U49*((1+Inputs!$D$7)^BR$2))),IF($N49=Lists!$K$3,IF($L49&lt;1,((($T49*(1-$F49)+$S49*(1-$G49))/$L49)*((1+Inputs!$D$7)^BR$2)),((INT(BR$2/$L49)-INT((BR$2-1)/$L49))*($T49*(1-$F49)+$S49*(1-$G49))*((1+Inputs!$D$7)^BR$2))),((Inputs!$D$8^((1-_xlfn.WEIBULL.DIST(BR$2,$M49,$L49,FALSE))/_xlfn.WEIBULL.DIST(BR$2,$M49,$L49,FALSE))*($T49*(1-$F49)+$S49*(1-$G49))*((1+Inputs!$D$7)^BR$2))))))))</f>
        <v>2.1726164290909415</v>
      </c>
      <c r="BS49" s="88">
        <f>MAX(AC49,($E49*IF(BS$2&gt;Inputs!$D$5,0,IF(BS$2&gt;VLOOKUP($H49,Lists!$P$3:$Q$7,2),IF($N49=Lists!$K$3,IF($L49&lt;1,(($U49/$L49)*((1+Inputs!$D$7)^BS$2)),((INT(BS$2/$L49)-INT((BS$2-1)/$L49))*$U49*((1+Inputs!$D$7)^BS$2))),(Inputs!$D$8^((1-_xlfn.WEIBULL.DIST(BS$2,$M49,$L49,FALSE))/_xlfn.WEIBULL.DIST(BS$2,$M49,$L49,FALSE))*$U49*((1+Inputs!$D$7)^BS$2))),IF($N49=Lists!$K$3,IF($L49&lt;1,((($T49*(1-$F49)+$S49*(1-$G49))/$L49)*((1+Inputs!$D$7)^BS$2)),((INT(BS$2/$L49)-INT((BS$2-1)/$L49))*($T49*(1-$F49)+$S49*(1-$G49))*((1+Inputs!$D$7)^BS$2))),((Inputs!$D$8^((1-_xlfn.WEIBULL.DIST(BS$2,$M49,$L49,FALSE))/_xlfn.WEIBULL.DIST(BS$2,$M49,$L49,FALSE))*($T49*(1-$F49)+$S49*(1-$G49))*((1+Inputs!$D$7)^BS$2))))))))</f>
        <v>4.985716127111667</v>
      </c>
      <c r="BT49" s="88">
        <f>MAX(AD49,($E49*IF(BT$2&gt;Inputs!$D$5,0,IF(BT$2&gt;VLOOKUP($H49,Lists!$P$3:$Q$7,2),IF($N49=Lists!$K$3,IF($L49&lt;1,(($U49/$L49)*((1+Inputs!$D$7)^BT$2)),((INT(BT$2/$L49)-INT((BT$2-1)/$L49))*$U49*((1+Inputs!$D$7)^BT$2))),(Inputs!$D$8^((1-_xlfn.WEIBULL.DIST(BT$2,$M49,$L49,FALSE))/_xlfn.WEIBULL.DIST(BT$2,$M49,$L49,FALSE))*$U49*((1+Inputs!$D$7)^BT$2))),IF($N49=Lists!$K$3,IF($L49&lt;1,((($T49*(1-$F49)+$S49*(1-$G49))/$L49)*((1+Inputs!$D$7)^BT$2)),((INT(BT$2/$L49)-INT((BT$2-1)/$L49))*($T49*(1-$F49)+$S49*(1-$G49))*((1+Inputs!$D$7)^BT$2))),((Inputs!$D$8^((1-_xlfn.WEIBULL.DIST(BT$2,$M49,$L49,FALSE))/_xlfn.WEIBULL.DIST(BT$2,$M49,$L49,FALSE))*($T49*(1-$F49)+$S49*(1-$G49))*((1+Inputs!$D$7)^BT$2))))))))</f>
        <v>9.0392167268585979</v>
      </c>
      <c r="BU49" s="88">
        <f>MAX(AE49,($E49*IF(BU$2&gt;Inputs!$D$5,0,IF(BU$2&gt;VLOOKUP($H49,Lists!$P$3:$Q$7,2),IF($N49=Lists!$K$3,IF($L49&lt;1,(($U49/$L49)*((1+Inputs!$D$7)^BU$2)),((INT(BU$2/$L49)-INT((BU$2-1)/$L49))*$U49*((1+Inputs!$D$7)^BU$2))),(Inputs!$D$8^((1-_xlfn.WEIBULL.DIST(BU$2,$M49,$L49,FALSE))/_xlfn.WEIBULL.DIST(BU$2,$M49,$L49,FALSE))*$U49*((1+Inputs!$D$7)^BU$2))),IF($N49=Lists!$K$3,IF($L49&lt;1,((($T49*(1-$F49)+$S49*(1-$G49))/$L49)*((1+Inputs!$D$7)^BU$2)),((INT(BU$2/$L49)-INT((BU$2-1)/$L49))*($T49*(1-$F49)+$S49*(1-$G49))*((1+Inputs!$D$7)^BU$2))),((Inputs!$D$8^((1-_xlfn.WEIBULL.DIST(BU$2,$M49,$L49,FALSE))/_xlfn.WEIBULL.DIST(BU$2,$M49,$L49,FALSE))*($T49*(1-$F49)+$S49*(1-$G49))*((1+Inputs!$D$7)^BU$2))))))))</f>
        <v>14.402183800673191</v>
      </c>
      <c r="BV49" s="88">
        <f>MAX(AF49,($E49*IF(BV$2&gt;Inputs!$D$5,0,IF(BV$2&gt;VLOOKUP($H49,Lists!$P$3:$Q$7,2),IF($N49=Lists!$K$3,IF($L49&lt;1,(($U49/$L49)*((1+Inputs!$D$7)^BV$2)),((INT(BV$2/$L49)-INT((BV$2-1)/$L49))*$U49*((1+Inputs!$D$7)^BV$2))),(Inputs!$D$8^((1-_xlfn.WEIBULL.DIST(BV$2,$M49,$L49,FALSE))/_xlfn.WEIBULL.DIST(BV$2,$M49,$L49,FALSE))*$U49*((1+Inputs!$D$7)^BV$2))),IF($N49=Lists!$K$3,IF($L49&lt;1,((($T49*(1-$F49)+$S49*(1-$G49))/$L49)*((1+Inputs!$D$7)^BV$2)),((INT(BV$2/$L49)-INT((BV$2-1)/$L49))*($T49*(1-$F49)+$S49*(1-$G49))*((1+Inputs!$D$7)^BV$2))),((Inputs!$D$8^((1-_xlfn.WEIBULL.DIST(BV$2,$M49,$L49,FALSE))/_xlfn.WEIBULL.DIST(BV$2,$M49,$L49,FALSE))*($T49*(1-$F49)+$S49*(1-$G49))*((1+Inputs!$D$7)^BV$2))))))))</f>
        <v>21.145017372140646</v>
      </c>
      <c r="BW49" s="88">
        <f>MAX(AG49,($E49*IF(BW$2&gt;Inputs!$D$5,0,IF(BW$2&gt;VLOOKUP($H49,Lists!$P$3:$Q$7,2),IF($N49=Lists!$K$3,IF($L49&lt;1,(($U49/$L49)*((1+Inputs!$D$7)^BW$2)),((INT(BW$2/$L49)-INT((BW$2-1)/$L49))*$U49*((1+Inputs!$D$7)^BW$2))),(Inputs!$D$8^((1-_xlfn.WEIBULL.DIST(BW$2,$M49,$L49,FALSE))/_xlfn.WEIBULL.DIST(BW$2,$M49,$L49,FALSE))*$U49*((1+Inputs!$D$7)^BW$2))),IF($N49=Lists!$K$3,IF($L49&lt;1,((($T49*(1-$F49)+$S49*(1-$G49))/$L49)*((1+Inputs!$D$7)^BW$2)),((INT(BW$2/$L49)-INT((BW$2-1)/$L49))*($T49*(1-$F49)+$S49*(1-$G49))*((1+Inputs!$D$7)^BW$2))),((Inputs!$D$8^((1-_xlfn.WEIBULL.DIST(BW$2,$M49,$L49,FALSE))/_xlfn.WEIBULL.DIST(BW$2,$M49,$L49,FALSE))*($T49*(1-$F49)+$S49*(1-$G49))*((1+Inputs!$D$7)^BW$2))))))))</f>
        <v>29.339077088699518</v>
      </c>
      <c r="BX49" s="88">
        <f>MAX(AH49,($E49*IF(BX$2&gt;Inputs!$D$5,0,IF(BX$2&gt;VLOOKUP($H49,Lists!$P$3:$Q$7,2),IF($N49=Lists!$K$3,IF($L49&lt;1,(($U49/$L49)*((1+Inputs!$D$7)^BX$2)),((INT(BX$2/$L49)-INT((BX$2-1)/$L49))*$U49*((1+Inputs!$D$7)^BX$2))),(Inputs!$D$8^((1-_xlfn.WEIBULL.DIST(BX$2,$M49,$L49,FALSE))/_xlfn.WEIBULL.DIST(BX$2,$M49,$L49,FALSE))*$U49*((1+Inputs!$D$7)^BX$2))),IF($N49=Lists!$K$3,IF($L49&lt;1,((($T49*(1-$F49)+$S49*(1-$G49))/$L49)*((1+Inputs!$D$7)^BX$2)),((INT(BX$2/$L49)-INT((BX$2-1)/$L49))*($T49*(1-$F49)+$S49*(1-$G49))*((1+Inputs!$D$7)^BX$2))),((Inputs!$D$8^((1-_xlfn.WEIBULL.DIST(BX$2,$M49,$L49,FALSE))/_xlfn.WEIBULL.DIST(BX$2,$M49,$L49,FALSE))*($T49*(1-$F49)+$S49*(1-$G49))*((1+Inputs!$D$7)^BX$2))))))))</f>
        <v>39.056265893024147</v>
      </c>
      <c r="BY49" s="88">
        <f>MAX(AI49,($E49*IF(BY$2&gt;Inputs!$D$5,0,IF(BY$2&gt;VLOOKUP($H49,Lists!$P$3:$Q$7,2),IF($N49=Lists!$K$3,IF($L49&lt;1,(($U49/$L49)*((1+Inputs!$D$7)^BY$2)),((INT(BY$2/$L49)-INT((BY$2-1)/$L49))*$U49*((1+Inputs!$D$7)^BY$2))),(Inputs!$D$8^((1-_xlfn.WEIBULL.DIST(BY$2,$M49,$L49,FALSE))/_xlfn.WEIBULL.DIST(BY$2,$M49,$L49,FALSE))*$U49*((1+Inputs!$D$7)^BY$2))),IF($N49=Lists!$K$3,IF($L49&lt;1,((($T49*(1-$F49)+$S49*(1-$G49))/$L49)*((1+Inputs!$D$7)^BY$2)),((INT(BY$2/$L49)-INT((BY$2-1)/$L49))*($T49*(1-$F49)+$S49*(1-$G49))*((1+Inputs!$D$7)^BY$2))),((Inputs!$D$8^((1-_xlfn.WEIBULL.DIST(BY$2,$M49,$L49,FALSE))/_xlfn.WEIBULL.DIST(BY$2,$M49,$L49,FALSE))*($T49*(1-$F49)+$S49*(1-$G49))*((1+Inputs!$D$7)^BY$2))))))))</f>
        <v>50.368571065853835</v>
      </c>
      <c r="BZ49" s="88">
        <f>MAX(AJ49,($E49*IF(BZ$2&gt;Inputs!$D$5,0,IF(BZ$2&gt;VLOOKUP($H49,Lists!$P$3:$Q$7,2),IF($N49=Lists!$K$3,IF($L49&lt;1,(($U49/$L49)*((1+Inputs!$D$7)^BZ$2)),((INT(BZ$2/$L49)-INT((BZ$2-1)/$L49))*$U49*((1+Inputs!$D$7)^BZ$2))),(Inputs!$D$8^((1-_xlfn.WEIBULL.DIST(BZ$2,$M49,$L49,FALSE))/_xlfn.WEIBULL.DIST(BZ$2,$M49,$L49,FALSE))*$U49*((1+Inputs!$D$7)^BZ$2))),IF($N49=Lists!$K$3,IF($L49&lt;1,((($T49*(1-$F49)+$S49*(1-$G49))/$L49)*((1+Inputs!$D$7)^BZ$2)),((INT(BZ$2/$L49)-INT((BZ$2-1)/$L49))*($T49*(1-$F49)+$S49*(1-$G49))*((1+Inputs!$D$7)^BZ$2))),((Inputs!$D$8^((1-_xlfn.WEIBULL.DIST(BZ$2,$M49,$L49,FALSE))/_xlfn.WEIBULL.DIST(BZ$2,$M49,$L49,FALSE))*($T49*(1-$F49)+$S49*(1-$G49))*((1+Inputs!$D$7)^BZ$2))))))))</f>
        <v>63.347561883816496</v>
      </c>
      <c r="CA49" s="88">
        <f>MAX(AK49,($E49*IF(CA$2&gt;Inputs!$D$5,0,IF(CA$2&gt;VLOOKUP($H49,Lists!$P$3:$Q$7,2),IF($N49=Lists!$K$3,IF($L49&lt;1,(($U49/$L49)*((1+Inputs!$D$7)^CA$2)),((INT(CA$2/$L49)-INT((CA$2-1)/$L49))*$U49*((1+Inputs!$D$7)^CA$2))),(Inputs!$D$8^((1-_xlfn.WEIBULL.DIST(CA$2,$M49,$L49,FALSE))/_xlfn.WEIBULL.DIST(CA$2,$M49,$L49,FALSE))*$U49*((1+Inputs!$D$7)^CA$2))),IF($N49=Lists!$K$3,IF($L49&lt;1,((($T49*(1-$F49)+$S49*(1-$G49))/$L49)*((1+Inputs!$D$7)^CA$2)),((INT(CA$2/$L49)-INT((CA$2-1)/$L49))*($T49*(1-$F49)+$S49*(1-$G49))*((1+Inputs!$D$7)^CA$2))),((Inputs!$D$8^((1-_xlfn.WEIBULL.DIST(CA$2,$M49,$L49,FALSE))/_xlfn.WEIBULL.DIST(CA$2,$M49,$L49,FALSE))*($T49*(1-$F49)+$S49*(1-$G49))*((1+Inputs!$D$7)^CA$2))))))))</f>
        <v>78.063843560459617</v>
      </c>
      <c r="CB49" s="88">
        <f>MAX(AL49,($E49*IF(CB$2&gt;Inputs!$D$5,0,IF(CB$2&gt;VLOOKUP($H49,Lists!$P$3:$Q$7,2),IF($N49=Lists!$K$3,IF($L49&lt;1,(($U49/$L49)*((1+Inputs!$D$7)^CB$2)),((INT(CB$2/$L49)-INT((CB$2-1)/$L49))*$U49*((1+Inputs!$D$7)^CB$2))),(Inputs!$D$8^((1-_xlfn.WEIBULL.DIST(CB$2,$M49,$L49,FALSE))/_xlfn.WEIBULL.DIST(CB$2,$M49,$L49,FALSE))*$U49*((1+Inputs!$D$7)^CB$2))),IF($N49=Lists!$K$3,IF($L49&lt;1,((($T49*(1-$F49)+$S49*(1-$G49))/$L49)*((1+Inputs!$D$7)^CB$2)),((INT(CB$2/$L49)-INT((CB$2-1)/$L49))*($T49*(1-$F49)+$S49*(1-$G49))*((1+Inputs!$D$7)^CB$2))),((Inputs!$D$8^((1-_xlfn.WEIBULL.DIST(CB$2,$M49,$L49,FALSE))/_xlfn.WEIBULL.DIST(CB$2,$M49,$L49,FALSE))*($T49*(1-$F49)+$S49*(1-$G49))*((1+Inputs!$D$7)^CB$2))))))))</f>
        <v>94.586467618303189</v>
      </c>
      <c r="CC49" s="88">
        <f>MAX(AM49,($E49*IF(CC$2&gt;Inputs!$D$5,0,IF(CC$2&gt;VLOOKUP($H49,Lists!$P$3:$Q$7,2),IF($N49=Lists!$K$3,IF($L49&lt;1,(($U49/$L49)*((1+Inputs!$D$7)^CC$2)),((INT(CC$2/$L49)-INT((CC$2-1)/$L49))*$U49*((1+Inputs!$D$7)^CC$2))),(Inputs!$D$8^((1-_xlfn.WEIBULL.DIST(CC$2,$M49,$L49,FALSE))/_xlfn.WEIBULL.DIST(CC$2,$M49,$L49,FALSE))*$U49*((1+Inputs!$D$7)^CC$2))),IF($N49=Lists!$K$3,IF($L49&lt;1,((($T49*(1-$F49)+$S49*(1-$G49))/$L49)*((1+Inputs!$D$7)^CC$2)),((INT(CC$2/$L49)-INT((CC$2-1)/$L49))*($T49*(1-$F49)+$S49*(1-$G49))*((1+Inputs!$D$7)^CC$2))),((Inputs!$D$8^((1-_xlfn.WEIBULL.DIST(CC$2,$M49,$L49,FALSE))/_xlfn.WEIBULL.DIST(CC$2,$M49,$L49,FALSE))*($T49*(1-$F49)+$S49*(1-$G49))*((1+Inputs!$D$7)^CC$2))))))))</f>
        <v>112.98229937461545</v>
      </c>
      <c r="CD49" s="88">
        <f>MAX(AN49,($E49*IF(CD$2&gt;Inputs!$D$5,0,IF(CD$2&gt;VLOOKUP($H49,Lists!$P$3:$Q$7,2),IF($N49=Lists!$K$3,IF($L49&lt;1,(($U49/$L49)*((1+Inputs!$D$7)^CD$2)),((INT(CD$2/$L49)-INT((CD$2-1)/$L49))*$U49*((1+Inputs!$D$7)^CD$2))),(Inputs!$D$8^((1-_xlfn.WEIBULL.DIST(CD$2,$M49,$L49,FALSE))/_xlfn.WEIBULL.DIST(CD$2,$M49,$L49,FALSE))*$U49*((1+Inputs!$D$7)^CD$2))),IF($N49=Lists!$K$3,IF($L49&lt;1,((($T49*(1-$F49)+$S49*(1-$G49))/$L49)*((1+Inputs!$D$7)^CD$2)),((INT(CD$2/$L49)-INT((CD$2-1)/$L49))*($T49*(1-$F49)+$S49*(1-$G49))*((1+Inputs!$D$7)^CD$2))),((Inputs!$D$8^((1-_xlfn.WEIBULL.DIST(CD$2,$M49,$L49,FALSE))/_xlfn.WEIBULL.DIST(CD$2,$M49,$L49,FALSE))*($T49*(1-$F49)+$S49*(1-$G49))*((1+Inputs!$D$7)^CD$2))))))))</f>
        <v>133.31534381321697</v>
      </c>
      <c r="CE49" s="88">
        <f>MAX(AO49,($E49*IF(CE$2&gt;Inputs!$D$5,0,IF(CE$2&gt;VLOOKUP($H49,Lists!$P$3:$Q$7,2),IF($N49=Lists!$K$3,IF($L49&lt;1,(($U49/$L49)*((1+Inputs!$D$7)^CE$2)),((INT(CE$2/$L49)-INT((CE$2-1)/$L49))*$U49*((1+Inputs!$D$7)^CE$2))),(Inputs!$D$8^((1-_xlfn.WEIBULL.DIST(CE$2,$M49,$L49,FALSE))/_xlfn.WEIBULL.DIST(CE$2,$M49,$L49,FALSE))*$U49*((1+Inputs!$D$7)^CE$2))),IF($N49=Lists!$K$3,IF($L49&lt;1,((($T49*(1-$F49)+$S49*(1-$G49))/$L49)*((1+Inputs!$D$7)^CE$2)),((INT(CE$2/$L49)-INT((CE$2-1)/$L49))*($T49*(1-$F49)+$S49*(1-$G49))*((1+Inputs!$D$7)^CE$2))),((Inputs!$D$8^((1-_xlfn.WEIBULL.DIST(CE$2,$M49,$L49,FALSE))/_xlfn.WEIBULL.DIST(CE$2,$M49,$L49,FALSE))*($T49*(1-$F49)+$S49*(1-$G49))*((1+Inputs!$D$7)^CE$2))))))))</f>
        <v>155.64603175733092</v>
      </c>
      <c r="CF49" s="88">
        <f>MAX(AP49,($E49*IF(CF$2&gt;Inputs!$D$5,0,IF(CF$2&gt;VLOOKUP($H49,Lists!$P$3:$Q$7,2),IF($N49=Lists!$K$3,IF($L49&lt;1,(($U49/$L49)*((1+Inputs!$D$7)^CF$2)),((INT(CF$2/$L49)-INT((CF$2-1)/$L49))*$U49*((1+Inputs!$D$7)^CF$2))),(Inputs!$D$8^((1-_xlfn.WEIBULL.DIST(CF$2,$M49,$L49,FALSE))/_xlfn.WEIBULL.DIST(CF$2,$M49,$L49,FALSE))*$U49*((1+Inputs!$D$7)^CF$2))),IF($N49=Lists!$K$3,IF($L49&lt;1,((($T49*(1-$F49)+$S49*(1-$G49))/$L49)*((1+Inputs!$D$7)^CF$2)),((INT(CF$2/$L49)-INT((CF$2-1)/$L49))*($T49*(1-$F49)+$S49*(1-$G49))*((1+Inputs!$D$7)^CF$2))),((Inputs!$D$8^((1-_xlfn.WEIBULL.DIST(CF$2,$M49,$L49,FALSE))/_xlfn.WEIBULL.DIST(CF$2,$M49,$L49,FALSE))*($T49*(1-$F49)+$S49*(1-$G49))*((1+Inputs!$D$7)^CF$2))))))))</f>
        <v>180.03046895155876</v>
      </c>
      <c r="CG49" s="88">
        <f>MAX(AQ49,($E49*IF(CG$2&gt;Inputs!$D$5,0,IF(CG$2&gt;VLOOKUP($H49,Lists!$P$3:$Q$7,2),IF($N49=Lists!$K$3,IF($L49&lt;1,(($U49/$L49)*((1+Inputs!$D$7)^CG$2)),((INT(CG$2/$L49)-INT((CG$2-1)/$L49))*$U49*((1+Inputs!$D$7)^CG$2))),(Inputs!$D$8^((1-_xlfn.WEIBULL.DIST(CG$2,$M49,$L49,FALSE))/_xlfn.WEIBULL.DIST(CG$2,$M49,$L49,FALSE))*$U49*((1+Inputs!$D$7)^CG$2))),IF($N49=Lists!$K$3,IF($L49&lt;1,((($T49*(1-$F49)+$S49*(1-$G49))/$L49)*((1+Inputs!$D$7)^CG$2)),((INT(CG$2/$L49)-INT((CG$2-1)/$L49))*($T49*(1-$F49)+$S49*(1-$G49))*((1+Inputs!$D$7)^CG$2))),((Inputs!$D$8^((1-_xlfn.WEIBULL.DIST(CG$2,$M49,$L49,FALSE))/_xlfn.WEIBULL.DIST(CG$2,$M49,$L49,FALSE))*($T49*(1-$F49)+$S49*(1-$G49))*((1+Inputs!$D$7)^CG$2))))))))</f>
        <v>206.51965140044652</v>
      </c>
      <c r="CH49" s="88">
        <f>MAX(AR49,($E49*IF(CH$2&gt;Inputs!$D$5,0,IF(CH$2&gt;VLOOKUP($H49,Lists!$P$3:$Q$7,2),IF($N49=Lists!$K$3,IF($L49&lt;1,(($U49/$L49)*((1+Inputs!$D$7)^CH$2)),((INT(CH$2/$L49)-INT((CH$2-1)/$L49))*$U49*((1+Inputs!$D$7)^CH$2))),(Inputs!$D$8^((1-_xlfn.WEIBULL.DIST(CH$2,$M49,$L49,FALSE))/_xlfn.WEIBULL.DIST(CH$2,$M49,$L49,FALSE))*$U49*((1+Inputs!$D$7)^CH$2))),IF($N49=Lists!$K$3,IF($L49&lt;1,((($T49*(1-$F49)+$S49*(1-$G49))/$L49)*((1+Inputs!$D$7)^CH$2)),((INT(CH$2/$L49)-INT((CH$2-1)/$L49))*($T49*(1-$F49)+$S49*(1-$G49))*((1+Inputs!$D$7)^CH$2))),((Inputs!$D$8^((1-_xlfn.WEIBULL.DIST(CH$2,$M49,$L49,FALSE))/_xlfn.WEIBULL.DIST(CH$2,$M49,$L49,FALSE))*($T49*(1-$F49)+$S49*(1-$G49))*((1+Inputs!$D$7)^CH$2))))))))</f>
        <v>235.15865109141544</v>
      </c>
      <c r="CI49" s="88">
        <f>MAX(AS49,($E49*IF(CI$2&gt;Inputs!$D$5,0,IF(CI$2&gt;VLOOKUP($H49,Lists!$P$3:$Q$7,2),IF($N49=Lists!$K$3,IF($L49&lt;1,(($U49/$L49)*((1+Inputs!$D$7)^CI$2)),((INT(CI$2/$L49)-INT((CI$2-1)/$L49))*$U49*((1+Inputs!$D$7)^CI$2))),(Inputs!$D$8^((1-_xlfn.WEIBULL.DIST(CI$2,$M49,$L49,FALSE))/_xlfn.WEIBULL.DIST(CI$2,$M49,$L49,FALSE))*$U49*((1+Inputs!$D$7)^CI$2))),IF($N49=Lists!$K$3,IF($L49&lt;1,((($T49*(1-$F49)+$S49*(1-$G49))/$L49)*((1+Inputs!$D$7)^CI$2)),((INT(CI$2/$L49)-INT((CI$2-1)/$L49))*($T49*(1-$F49)+$S49*(1-$G49))*((1+Inputs!$D$7)^CI$2))),((Inputs!$D$8^((1-_xlfn.WEIBULL.DIST(CI$2,$M49,$L49,FALSE))/_xlfn.WEIBULL.DIST(CI$2,$M49,$L49,FALSE))*($T49*(1-$F49)+$S49*(1-$G49))*((1+Inputs!$D$7)^CI$2))))))))</f>
        <v>265.98577704423479</v>
      </c>
      <c r="CJ49" s="88">
        <f>MAX(AT49,($E49*IF(CJ$2&gt;Inputs!$D$5,0,IF(CJ$2&gt;VLOOKUP($H49,Lists!$P$3:$Q$7,2),IF($N49=Lists!$K$3,IF($L49&lt;1,(($U49/$L49)*((1+Inputs!$D$7)^CJ$2)),((INT(CJ$2/$L49)-INT((CJ$2-1)/$L49))*$U49*((1+Inputs!$D$7)^CJ$2))),(Inputs!$D$8^((1-_xlfn.WEIBULL.DIST(CJ$2,$M49,$L49,FALSE))/_xlfn.WEIBULL.DIST(CJ$2,$M49,$L49,FALSE))*$U49*((1+Inputs!$D$7)^CJ$2))),IF($N49=Lists!$K$3,IF($L49&lt;1,((($T49*(1-$F49)+$S49*(1-$G49))/$L49)*((1+Inputs!$D$7)^CJ$2)),((INT(CJ$2/$L49)-INT((CJ$2-1)/$L49))*($T49*(1-$F49)+$S49*(1-$G49))*((1+Inputs!$D$7)^CJ$2))),((Inputs!$D$8^((1-_xlfn.WEIBULL.DIST(CJ$2,$M49,$L49,FALSE))/_xlfn.WEIBULL.DIST(CJ$2,$M49,$L49,FALSE))*($T49*(1-$F49)+$S49*(1-$G49))*((1+Inputs!$D$7)^CJ$2))))))))</f>
        <v>299.0317174693285</v>
      </c>
      <c r="CK49" s="88">
        <f>MAX(AU49,($E49*IF(CK$2&gt;Inputs!$D$5,0,IF(CK$2&gt;VLOOKUP($H49,Lists!$P$3:$Q$7,2),IF($N49=Lists!$K$3,IF($L49&lt;1,(($U49/$L49)*((1+Inputs!$D$7)^CK$2)),((INT(CK$2/$L49)-INT((CK$2-1)/$L49))*$U49*((1+Inputs!$D$7)^CK$2))),(Inputs!$D$8^((1-_xlfn.WEIBULL.DIST(CK$2,$M49,$L49,FALSE))/_xlfn.WEIBULL.DIST(CK$2,$M49,$L49,FALSE))*$U49*((1+Inputs!$D$7)^CK$2))),IF($N49=Lists!$K$3,IF($L49&lt;1,((($T49*(1-$F49)+$S49*(1-$G49))/$L49)*((1+Inputs!$D$7)^CK$2)),((INT(CK$2/$L49)-INT((CK$2-1)/$L49))*($T49*(1-$F49)+$S49*(1-$G49))*((1+Inputs!$D$7)^CK$2))),((Inputs!$D$8^((1-_xlfn.WEIBULL.DIST(CK$2,$M49,$L49,FALSE))/_xlfn.WEIBULL.DIST(CK$2,$M49,$L49,FALSE))*($T49*(1-$F49)+$S49*(1-$G49))*((1+Inputs!$D$7)^CK$2))))))))</f>
        <v>334.31866967313272</v>
      </c>
      <c r="CL49" s="88">
        <f>MAX(AV49,($E49*IF(CL$2&gt;Inputs!$D$5,0,IF(CL$2&gt;VLOOKUP($H49,Lists!$P$3:$Q$7,2),IF($N49=Lists!$K$3,IF($L49&lt;1,(($U49/$L49)*((1+Inputs!$D$7)^CL$2)),((INT(CL$2/$L49)-INT((CL$2-1)/$L49))*$U49*((1+Inputs!$D$7)^CL$2))),(Inputs!$D$8^((1-_xlfn.WEIBULL.DIST(CL$2,$M49,$L49,FALSE))/_xlfn.WEIBULL.DIST(CL$2,$M49,$L49,FALSE))*$U49*((1+Inputs!$D$7)^CL$2))),IF($N49=Lists!$K$3,IF($L49&lt;1,((($T49*(1-$F49)+$S49*(1-$G49))/$L49)*((1+Inputs!$D$7)^CL$2)),((INT(CL$2/$L49)-INT((CL$2-1)/$L49))*($T49*(1-$F49)+$S49*(1-$G49))*((1+Inputs!$D$7)^CL$2))),((Inputs!$D$8^((1-_xlfn.WEIBULL.DIST(CL$2,$M49,$L49,FALSE))/_xlfn.WEIBULL.DIST(CL$2,$M49,$L49,FALSE))*($T49*(1-$F49)+$S49*(1-$G49))*((1+Inputs!$D$7)^CL$2))))))))</f>
        <v>371.8594652089335</v>
      </c>
      <c r="CM49" s="88">
        <f>MAX(AW49,($E49*IF(CM$2&gt;Inputs!$D$5,0,IF(CM$2&gt;VLOOKUP($H49,Lists!$P$3:$Q$7,2),IF($N49=Lists!$K$3,IF($L49&lt;1,(($U49/$L49)*((1+Inputs!$D$7)^CM$2)),((INT(CM$2/$L49)-INT((CM$2-1)/$L49))*$U49*((1+Inputs!$D$7)^CM$2))),(Inputs!$D$8^((1-_xlfn.WEIBULL.DIST(CM$2,$M49,$L49,FALSE))/_xlfn.WEIBULL.DIST(CM$2,$M49,$L49,FALSE))*$U49*((1+Inputs!$D$7)^CM$2))),IF($N49=Lists!$K$3,IF($L49&lt;1,((($T49*(1-$F49)+$S49*(1-$G49))/$L49)*((1+Inputs!$D$7)^CM$2)),((INT(CM$2/$L49)-INT((CM$2-1)/$L49))*($T49*(1-$F49)+$S49*(1-$G49))*((1+Inputs!$D$7)^CM$2))),((Inputs!$D$8^((1-_xlfn.WEIBULL.DIST(CM$2,$M49,$L49,FALSE))/_xlfn.WEIBULL.DIST(CM$2,$M49,$L49,FALSE))*($T49*(1-$F49)+$S49*(1-$G49))*((1+Inputs!$D$7)^CM$2))))))))</f>
        <v>411.65669862305606</v>
      </c>
      <c r="CN49" s="88">
        <f>MAX(AX49,($E49*IF(CN$2&gt;Inputs!$D$5,0,IF(CN$2&gt;VLOOKUP($H49,Lists!$P$3:$Q$7,2),IF($N49=Lists!$K$3,IF($L49&lt;1,(($U49/$L49)*((1+Inputs!$D$7)^CN$2)),((INT(CN$2/$L49)-INT((CN$2-1)/$L49))*$U49*((1+Inputs!$D$7)^CN$2))),(Inputs!$D$8^((1-_xlfn.WEIBULL.DIST(CN$2,$M49,$L49,FALSE))/_xlfn.WEIBULL.DIST(CN$2,$M49,$L49,FALSE))*$U49*((1+Inputs!$D$7)^CN$2))),IF($N49=Lists!$K$3,IF($L49&lt;1,((($T49*(1-$F49)+$S49*(1-$G49))/$L49)*((1+Inputs!$D$7)^CN$2)),((INT(CN$2/$L49)-INT((CN$2-1)/$L49))*($T49*(1-$F49)+$S49*(1-$G49))*((1+Inputs!$D$7)^CN$2))),((Inputs!$D$8^((1-_xlfn.WEIBULL.DIST(CN$2,$M49,$L49,FALSE))/_xlfn.WEIBULL.DIST(CN$2,$M49,$L49,FALSE))*($T49*(1-$F49)+$S49*(1-$G49))*((1+Inputs!$D$7)^CN$2))))))))</f>
        <v>453.70186897437981</v>
      </c>
      <c r="CO49" s="88">
        <f>MAX(AY49,($E49*IF(CO$2&gt;Inputs!$D$5,0,IF(CO$2&gt;VLOOKUP($H49,Lists!$P$3:$Q$7,2),IF($N49=Lists!$K$3,IF($L49&lt;1,(($U49/$L49)*((1+Inputs!$D$7)^CO$2)),((INT(CO$2/$L49)-INT((CO$2-1)/$L49))*$U49*((1+Inputs!$D$7)^CO$2))),(Inputs!$D$8^((1-_xlfn.WEIBULL.DIST(CO$2,$M49,$L49,FALSE))/_xlfn.WEIBULL.DIST(CO$2,$M49,$L49,FALSE))*$U49*((1+Inputs!$D$7)^CO$2))),IF($N49=Lists!$K$3,IF($L49&lt;1,((($T49*(1-$F49)+$S49*(1-$G49))/$L49)*((1+Inputs!$D$7)^CO$2)),((INT(CO$2/$L49)-INT((CO$2-1)/$L49))*($T49*(1-$F49)+$S49*(1-$G49))*((1+Inputs!$D$7)^CO$2))),((Inputs!$D$8^((1-_xlfn.WEIBULL.DIST(CO$2,$M49,$L49,FALSE))/_xlfn.WEIBULL.DIST(CO$2,$M49,$L49,FALSE))*($T49*(1-$F49)+$S49*(1-$G49))*((1+Inputs!$D$7)^CO$2))))))))</f>
        <v>497.97454409391401</v>
      </c>
      <c r="CP49" s="88">
        <f>MAX(AZ49,($E49*IF(CP$2&gt;Inputs!$D$5,0,IF(CP$2&gt;VLOOKUP($H49,Lists!$P$3:$Q$7,2),IF($N49=Lists!$K$3,IF($L49&lt;1,(($U49/$L49)*((1+Inputs!$D$7)^CP$2)),((INT(CP$2/$L49)-INT((CP$2-1)/$L49))*$U49*((1+Inputs!$D$7)^CP$2))),(Inputs!$D$8^((1-_xlfn.WEIBULL.DIST(CP$2,$M49,$L49,FALSE))/_xlfn.WEIBULL.DIST(CP$2,$M49,$L49,FALSE))*$U49*((1+Inputs!$D$7)^CP$2))),IF($N49=Lists!$K$3,IF($L49&lt;1,((($T49*(1-$F49)+$S49*(1-$G49))/$L49)*((1+Inputs!$D$7)^CP$2)),((INT(CP$2/$L49)-INT((CP$2-1)/$L49))*($T49*(1-$F49)+$S49*(1-$G49))*((1+Inputs!$D$7)^CP$2))),((Inputs!$D$8^((1-_xlfn.WEIBULL.DIST(CP$2,$M49,$L49,FALSE))/_xlfn.WEIBULL.DIST(CP$2,$M49,$L49,FALSE))*($T49*(1-$F49)+$S49*(1-$G49))*((1+Inputs!$D$7)^CP$2))))))))</f>
        <v>0</v>
      </c>
      <c r="CQ49" s="88">
        <f>MAX(BA49,($E49*IF(CQ$2&gt;Inputs!$D$5,0,IF(CQ$2&gt;VLOOKUP($H49,Lists!$P$3:$Q$7,2),IF($N49=Lists!$K$3,IF($L49&lt;1,(($U49/$L49)*((1+Inputs!$D$7)^CQ$2)),((INT(CQ$2/$L49)-INT((CQ$2-1)/$L49))*$U49*((1+Inputs!$D$7)^CQ$2))),(Inputs!$D$8^((1-_xlfn.WEIBULL.DIST(CQ$2,$M49,$L49,FALSE))/_xlfn.WEIBULL.DIST(CQ$2,$M49,$L49,FALSE))*$U49*((1+Inputs!$D$7)^CQ$2))),IF($N49=Lists!$K$3,IF($L49&lt;1,((($T49*(1-$F49)+$S49*(1-$G49))/$L49)*((1+Inputs!$D$7)^CQ$2)),((INT(CQ$2/$L49)-INT((CQ$2-1)/$L49))*($T49*(1-$F49)+$S49*(1-$G49))*((1+Inputs!$D$7)^CQ$2))),((Inputs!$D$8^((1-_xlfn.WEIBULL.DIST(CQ$2,$M49,$L49,FALSE))/_xlfn.WEIBULL.DIST(CQ$2,$M49,$L49,FALSE))*($T49*(1-$F49)+$S49*(1-$G49))*((1+Inputs!$D$7)^CQ$2))))))))</f>
        <v>0</v>
      </c>
      <c r="CR49" s="88">
        <f>MAX(BB49,($E49*IF(CR$2&gt;Inputs!$D$5,0,IF(CR$2&gt;VLOOKUP($H49,Lists!$P$3:$Q$7,2),IF($N49=Lists!$K$3,IF($L49&lt;1,(($U49/$L49)*((1+Inputs!$D$7)^CR$2)),((INT(CR$2/$L49)-INT((CR$2-1)/$L49))*$U49*((1+Inputs!$D$7)^CR$2))),(Inputs!$D$8^((1-_xlfn.WEIBULL.DIST(CR$2,$M49,$L49,FALSE))/_xlfn.WEIBULL.DIST(CR$2,$M49,$L49,FALSE))*$U49*((1+Inputs!$D$7)^CR$2))),IF($N49=Lists!$K$3,IF($L49&lt;1,((($T49*(1-$F49)+$S49*(1-$G49))/$L49)*((1+Inputs!$D$7)^CR$2)),((INT(CR$2/$L49)-INT((CR$2-1)/$L49))*($T49*(1-$F49)+$S49*(1-$G49))*((1+Inputs!$D$7)^CR$2))),((Inputs!$D$8^((1-_xlfn.WEIBULL.DIST(CR$2,$M49,$L49,FALSE))/_xlfn.WEIBULL.DIST(CR$2,$M49,$L49,FALSE))*($T49*(1-$F49)+$S49*(1-$G49))*((1+Inputs!$D$7)^CR$2))))))))</f>
        <v>0</v>
      </c>
      <c r="CS49" s="88">
        <f>MAX(BC49,($E49*IF(CS$2&gt;Inputs!$D$5,0,IF(CS$2&gt;VLOOKUP($H49,Lists!$P$3:$Q$7,2),IF($N49=Lists!$K$3,IF($L49&lt;1,(($U49/$L49)*((1+Inputs!$D$7)^CS$2)),((INT(CS$2/$L49)-INT((CS$2-1)/$L49))*$U49*((1+Inputs!$D$7)^CS$2))),(Inputs!$D$8^((1-_xlfn.WEIBULL.DIST(CS$2,$M49,$L49,FALSE))/_xlfn.WEIBULL.DIST(CS$2,$M49,$L49,FALSE))*$U49*((1+Inputs!$D$7)^CS$2))),IF($N49=Lists!$K$3,IF($L49&lt;1,((($T49*(1-$F49)+$S49*(1-$G49))/$L49)*((1+Inputs!$D$7)^CS$2)),((INT(CS$2/$L49)-INT((CS$2-1)/$L49))*($T49*(1-$F49)+$S49*(1-$G49))*((1+Inputs!$D$7)^CS$2))),((Inputs!$D$8^((1-_xlfn.WEIBULL.DIST(CS$2,$M49,$L49,FALSE))/_xlfn.WEIBULL.DIST(CS$2,$M49,$L49,FALSE))*($T49*(1-$F49)+$S49*(1-$G49))*((1+Inputs!$D$7)^CS$2))))))))</f>
        <v>0</v>
      </c>
      <c r="CT49" s="88">
        <f>MAX(BD49,($E49*IF(CT$2&gt;Inputs!$D$5,0,IF(CT$2&gt;VLOOKUP($H49,Lists!$P$3:$Q$7,2),IF($N49=Lists!$K$3,IF($L49&lt;1,(($U49/$L49)*((1+Inputs!$D$7)^CT$2)),((INT(CT$2/$L49)-INT((CT$2-1)/$L49))*$U49*((1+Inputs!$D$7)^CT$2))),(Inputs!$D$8^((1-_xlfn.WEIBULL.DIST(CT$2,$M49,$L49,FALSE))/_xlfn.WEIBULL.DIST(CT$2,$M49,$L49,FALSE))*$U49*((1+Inputs!$D$7)^CT$2))),IF($N49=Lists!$K$3,IF($L49&lt;1,((($T49*(1-$F49)+$S49*(1-$G49))/$L49)*((1+Inputs!$D$7)^CT$2)),((INT(CT$2/$L49)-INT((CT$2-1)/$L49))*($T49*(1-$F49)+$S49*(1-$G49))*((1+Inputs!$D$7)^CT$2))),((Inputs!$D$8^((1-_xlfn.WEIBULL.DIST(CT$2,$M49,$L49,FALSE))/_xlfn.WEIBULL.DIST(CT$2,$M49,$L49,FALSE))*($T49*(1-$F49)+$S49*(1-$G49))*((1+Inputs!$D$7)^CT$2))))))))</f>
        <v>0</v>
      </c>
      <c r="CU49" s="88">
        <f>MAX(BE49,($E49*IF(CU$2&gt;Inputs!$D$5,0,IF(CU$2&gt;VLOOKUP($H49,Lists!$P$3:$Q$7,2),IF($N49=Lists!$K$3,IF($L49&lt;1,(($U49/$L49)*((1+Inputs!$D$7)^CU$2)),((INT(CU$2/$L49)-INT((CU$2-1)/$L49))*$U49*((1+Inputs!$D$7)^CU$2))),(Inputs!$D$8^((1-_xlfn.WEIBULL.DIST(CU$2,$M49,$L49,FALSE))/_xlfn.WEIBULL.DIST(CU$2,$M49,$L49,FALSE))*$U49*((1+Inputs!$D$7)^CU$2))),IF($N49=Lists!$K$3,IF($L49&lt;1,((($T49*(1-$F49)+$S49*(1-$G49))/$L49)*((1+Inputs!$D$7)^CU$2)),((INT(CU$2/$L49)-INT((CU$2-1)/$L49))*($T49*(1-$F49)+$S49*(1-$G49))*((1+Inputs!$D$7)^CU$2))),((Inputs!$D$8^((1-_xlfn.WEIBULL.DIST(CU$2,$M49,$L49,FALSE))/_xlfn.WEIBULL.DIST(CU$2,$M49,$L49,FALSE))*($T49*(1-$F49)+$S49*(1-$G49))*((1+Inputs!$D$7)^CU$2))))))))</f>
        <v>0</v>
      </c>
      <c r="CV49" s="88">
        <f>MAX(BF49,($E49*IF(CV$2&gt;Inputs!$D$5,0,IF(CV$2&gt;VLOOKUP($H49,Lists!$P$3:$Q$7,2),IF($N49=Lists!$K$3,IF($L49&lt;1,(($U49/$L49)*((1+Inputs!$D$7)^CV$2)),((INT(CV$2/$L49)-INT((CV$2-1)/$L49))*$U49*((1+Inputs!$D$7)^CV$2))),(Inputs!$D$8^((1-_xlfn.WEIBULL.DIST(CV$2,$M49,$L49,FALSE))/_xlfn.WEIBULL.DIST(CV$2,$M49,$L49,FALSE))*$U49*((1+Inputs!$D$7)^CV$2))),IF($N49=Lists!$K$3,IF($L49&lt;1,((($T49*(1-$F49)+$S49*(1-$G49))/$L49)*((1+Inputs!$D$7)^CV$2)),((INT(CV$2/$L49)-INT((CV$2-1)/$L49))*($T49*(1-$F49)+$S49*(1-$G49))*((1+Inputs!$D$7)^CV$2))),((Inputs!$D$8^((1-_xlfn.WEIBULL.DIST(CV$2,$M49,$L49,FALSE))/_xlfn.WEIBULL.DIST(CV$2,$M49,$L49,FALSE))*($T49*(1-$F49)+$S49*(1-$G49))*((1+Inputs!$D$7)^CV$2))))))))</f>
        <v>0</v>
      </c>
      <c r="CW49" s="88">
        <f>MAX(BG49,($E49*IF(CW$2&gt;Inputs!$D$5,0,IF(CW$2&gt;VLOOKUP($H49,Lists!$P$3:$Q$7,2),IF($N49=Lists!$K$3,IF($L49&lt;1,(($U49/$L49)*((1+Inputs!$D$7)^CW$2)),((INT(CW$2/$L49)-INT((CW$2-1)/$L49))*$U49*((1+Inputs!$D$7)^CW$2))),(Inputs!$D$8^((1-_xlfn.WEIBULL.DIST(CW$2,$M49,$L49,FALSE))/_xlfn.WEIBULL.DIST(CW$2,$M49,$L49,FALSE))*$U49*((1+Inputs!$D$7)^CW$2))),IF($N49=Lists!$K$3,IF($L49&lt;1,((($T49*(1-$F49)+$S49*(1-$G49))/$L49)*((1+Inputs!$D$7)^CW$2)),((INT(CW$2/$L49)-INT((CW$2-1)/$L49))*($T49*(1-$F49)+$S49*(1-$G49))*((1+Inputs!$D$7)^CW$2))),((Inputs!$D$8^((1-_xlfn.WEIBULL.DIST(CW$2,$M49,$L49,FALSE))/_xlfn.WEIBULL.DIST(CW$2,$M49,$L49,FALSE))*($T49*(1-$F49)+$S49*(1-$G49))*((1+Inputs!$D$7)^CW$2))))))))</f>
        <v>0</v>
      </c>
      <c r="CX49" s="88">
        <f>MAX(BH49,($E49*IF(CX$2&gt;Inputs!$D$5,0,IF(CX$2&gt;VLOOKUP($H49,Lists!$P$3:$Q$7,2),IF($N49=Lists!$K$3,IF($L49&lt;1,(($U49/$L49)*((1+Inputs!$D$7)^CX$2)),((INT(CX$2/$L49)-INT((CX$2-1)/$L49))*$U49*((1+Inputs!$D$7)^CX$2))),(Inputs!$D$8^((1-_xlfn.WEIBULL.DIST(CX$2,$M49,$L49,FALSE))/_xlfn.WEIBULL.DIST(CX$2,$M49,$L49,FALSE))*$U49*((1+Inputs!$D$7)^CX$2))),IF($N49=Lists!$K$3,IF($L49&lt;1,((($T49*(1-$F49)+$S49*(1-$G49))/$L49)*((1+Inputs!$D$7)^CX$2)),((INT(CX$2/$L49)-INT((CX$2-1)/$L49))*($T49*(1-$F49)+$S49*(1-$G49))*((1+Inputs!$D$7)^CX$2))),((Inputs!$D$8^((1-_xlfn.WEIBULL.DIST(CX$2,$M49,$L49,FALSE))/_xlfn.WEIBULL.DIST(CX$2,$M49,$L49,FALSE))*($T49*(1-$F49)+$S49*(1-$G49))*((1+Inputs!$D$7)^CX$2))))))))</f>
        <v>0</v>
      </c>
      <c r="CY49" s="88">
        <f>MAX(BI49,($E49*IF(CY$2&gt;Inputs!$D$5,0,IF(CY$2&gt;VLOOKUP($H49,Lists!$P$3:$Q$7,2),IF($N49=Lists!$K$3,IF($L49&lt;1,(($U49/$L49)*((1+Inputs!$D$7)^CY$2)),((INT(CY$2/$L49)-INT((CY$2-1)/$L49))*$U49*((1+Inputs!$D$7)^CY$2))),(Inputs!$D$8^((1-_xlfn.WEIBULL.DIST(CY$2,$M49,$L49,FALSE))/_xlfn.WEIBULL.DIST(CY$2,$M49,$L49,FALSE))*$U49*((1+Inputs!$D$7)^CY$2))),IF($N49=Lists!$K$3,IF($L49&lt;1,((($T49*(1-$F49)+$S49*(1-$G49))/$L49)*((1+Inputs!$D$7)^CY$2)),((INT(CY$2/$L49)-INT((CY$2-1)/$L49))*($T49*(1-$F49)+$S49*(1-$G49))*((1+Inputs!$D$7)^CY$2))),((Inputs!$D$8^((1-_xlfn.WEIBULL.DIST(CY$2,$M49,$L49,FALSE))/_xlfn.WEIBULL.DIST(CY$2,$M49,$L49,FALSE))*($T49*(1-$F49)+$S49*(1-$G49))*((1+Inputs!$D$7)^CY$2))))))))</f>
        <v>0</v>
      </c>
      <c r="CZ49" s="88">
        <f>MAX(BJ49,($E49*IF(CZ$2&gt;Inputs!$D$5,0,IF(CZ$2&gt;VLOOKUP($H49,Lists!$P$3:$Q$7,2),IF($N49=Lists!$K$3,IF($L49&lt;1,(($U49/$L49)*((1+Inputs!$D$7)^CZ$2)),((INT(CZ$2/$L49)-INT((CZ$2-1)/$L49))*$U49*((1+Inputs!$D$7)^CZ$2))),(Inputs!$D$8^((1-_xlfn.WEIBULL.DIST(CZ$2,$M49,$L49,FALSE))/_xlfn.WEIBULL.DIST(CZ$2,$M49,$L49,FALSE))*$U49*((1+Inputs!$D$7)^CZ$2))),IF($N49=Lists!$K$3,IF($L49&lt;1,((($T49*(1-$F49)+$S49*(1-$G49))/$L49)*((1+Inputs!$D$7)^CZ$2)),((INT(CZ$2/$L49)-INT((CZ$2-1)/$L49))*($T49*(1-$F49)+$S49*(1-$G49))*((1+Inputs!$D$7)^CZ$2))),((Inputs!$D$8^((1-_xlfn.WEIBULL.DIST(CZ$2,$M49,$L49,FALSE))/_xlfn.WEIBULL.DIST(CZ$2,$M49,$L49,FALSE))*($T49*(1-$F49)+$S49*(1-$G49))*((1+Inputs!$D$7)^CZ$2))))))))</f>
        <v>0</v>
      </c>
      <c r="DA49" s="88">
        <f>MAX(BK49,($E49*IF(DA$2&gt;Inputs!$D$5,0,IF(DA$2&gt;VLOOKUP($H49,Lists!$P$3:$Q$7,2),IF($N49=Lists!$K$3,IF($L49&lt;1,(($U49/$L49)*((1+Inputs!$D$7)^DA$2)),((INT(DA$2/$L49)-INT((DA$2-1)/$L49))*$U49*((1+Inputs!$D$7)^DA$2))),(Inputs!$D$8^((1-_xlfn.WEIBULL.DIST(DA$2,$M49,$L49,FALSE))/_xlfn.WEIBULL.DIST(DA$2,$M49,$L49,FALSE))*$U49*((1+Inputs!$D$7)^DA$2))),IF($N49=Lists!$K$3,IF($L49&lt;1,((($T49*(1-$F49)+$S49*(1-$G49))/$L49)*((1+Inputs!$D$7)^DA$2)),((INT(DA$2/$L49)-INT((DA$2-1)/$L49))*($T49*(1-$F49)+$S49*(1-$G49))*((1+Inputs!$D$7)^DA$2))),((Inputs!$D$8^((1-_xlfn.WEIBULL.DIST(DA$2,$M49,$L49,FALSE))/_xlfn.WEIBULL.DIST(DA$2,$M49,$L49,FALSE))*($T49*(1-$F49)+$S49*(1-$G49))*((1+Inputs!$D$7)^DA$2))))))))</f>
        <v>0</v>
      </c>
      <c r="DB49" s="88">
        <f>MAX(BL49,($E49*IF(DB$2&gt;Inputs!$D$5,0,IF(DB$2&gt;VLOOKUP($H49,Lists!$P$3:$Q$7,2),IF($N49=Lists!$K$3,IF($L49&lt;1,(($U49/$L49)*((1+Inputs!$D$7)^DB$2)),((INT(DB$2/$L49)-INT((DB$2-1)/$L49))*$U49*((1+Inputs!$D$7)^DB$2))),(Inputs!$D$8^((1-_xlfn.WEIBULL.DIST(DB$2,$M49,$L49,FALSE))/_xlfn.WEIBULL.DIST(DB$2,$M49,$L49,FALSE))*$U49*((1+Inputs!$D$7)^DB$2))),IF($N49=Lists!$K$3,IF($L49&lt;1,((($T49*(1-$F49)+$S49*(1-$G49))/$L49)*((1+Inputs!$D$7)^DB$2)),((INT(DB$2/$L49)-INT((DB$2-1)/$L49))*($T49*(1-$F49)+$S49*(1-$G49))*((1+Inputs!$D$7)^DB$2))),((Inputs!$D$8^((1-_xlfn.WEIBULL.DIST(DB$2,$M49,$L49,FALSE))/_xlfn.WEIBULL.DIST(DB$2,$M49,$L49,FALSE))*($T49*(1-$F49)+$S49*(1-$G49))*((1+Inputs!$D$7)^DB$2))))))))</f>
        <v>0</v>
      </c>
      <c r="DC49" s="88">
        <f>MAX(BM49,($E49*IF(DC$2&gt;Inputs!$D$5,0,IF(DC$2&gt;VLOOKUP($H49,Lists!$P$3:$Q$7,2),IF($N49=Lists!$K$3,IF($L49&lt;1,(($U49/$L49)*((1+Inputs!$D$7)^DC$2)),((INT(DC$2/$L49)-INT((DC$2-1)/$L49))*$U49*((1+Inputs!$D$7)^DC$2))),(Inputs!$D$8^((1-_xlfn.WEIBULL.DIST(DC$2,$M49,$L49,FALSE))/_xlfn.WEIBULL.DIST(DC$2,$M49,$L49,FALSE))*$U49*((1+Inputs!$D$7)^DC$2))),IF($N49=Lists!$K$3,IF($L49&lt;1,((($T49*(1-$F49)+$S49*(1-$G49))/$L49)*((1+Inputs!$D$7)^DC$2)),((INT(DC$2/$L49)-INT((DC$2-1)/$L49))*($T49*(1-$F49)+$S49*(1-$G49))*((1+Inputs!$D$7)^DC$2))),((Inputs!$D$8^((1-_xlfn.WEIBULL.DIST(DC$2,$M49,$L49,FALSE))/_xlfn.WEIBULL.DIST(DC$2,$M49,$L49,FALSE))*($T49*(1-$F49)+$S49*(1-$G49))*((1+Inputs!$D$7)^DC$2))))))))</f>
        <v>0</v>
      </c>
      <c r="DD49" s="88">
        <f>MAX(BN49,($E49*IF(DD$2&gt;Inputs!$D$5,0,IF(DD$2&gt;VLOOKUP($H49,Lists!$P$3:$Q$7,2),IF($N49=Lists!$K$3,IF($L49&lt;1,(($U49/$L49)*((1+Inputs!$D$7)^DD$2)),((INT(DD$2/$L49)-INT((DD$2-1)/$L49))*$U49*((1+Inputs!$D$7)^DD$2))),(Inputs!$D$8^((1-_xlfn.WEIBULL.DIST(DD$2,$M49,$L49,FALSE))/_xlfn.WEIBULL.DIST(DD$2,$M49,$L49,FALSE))*$U49*((1+Inputs!$D$7)^DD$2))),IF($N49=Lists!$K$3,IF($L49&lt;1,((($T49*(1-$F49)+$S49*(1-$G49))/$L49)*((1+Inputs!$D$7)^DD$2)),((INT(DD$2/$L49)-INT((DD$2-1)/$L49))*($T49*(1-$F49)+$S49*(1-$G49))*((1+Inputs!$D$7)^DD$2))),((Inputs!$D$8^((1-_xlfn.WEIBULL.DIST(DD$2,$M49,$L49,FALSE))/_xlfn.WEIBULL.DIST(DD$2,$M49,$L49,FALSE))*($T49*(1-$F49)+$S49*(1-$G49))*((1+Inputs!$D$7)^DD$2))))))))</f>
        <v>0</v>
      </c>
    </row>
    <row r="50" spans="1:108" ht="16">
      <c r="A50" s="57" t="s">
        <v>180</v>
      </c>
      <c r="B50" s="13" t="s">
        <v>130</v>
      </c>
      <c r="C50" s="13" t="s">
        <v>474</v>
      </c>
      <c r="D50" s="13" t="s">
        <v>475</v>
      </c>
      <c r="E50" s="89">
        <f>IF(Inputs!D42=Lists!H4,1,0)</f>
        <v>1</v>
      </c>
      <c r="F50" s="48">
        <v>1</v>
      </c>
      <c r="G50" s="48">
        <v>1</v>
      </c>
      <c r="H50" s="105" t="s">
        <v>350</v>
      </c>
      <c r="I50" s="14"/>
      <c r="J50" s="14" t="s">
        <v>85</v>
      </c>
      <c r="K50" s="13">
        <f>VLOOKUP(J50,'Labor Rates'!$A$1:$F$16,2)</f>
        <v>55.823653846153846</v>
      </c>
      <c r="L50" s="15">
        <v>100</v>
      </c>
      <c r="M50" s="15">
        <v>3</v>
      </c>
      <c r="N50" s="16" t="s">
        <v>226</v>
      </c>
      <c r="O50" s="61">
        <f>Inputs!$D$53/Inputs!$D$57</f>
        <v>16.393442622950822</v>
      </c>
      <c r="P50" s="15">
        <v>4</v>
      </c>
      <c r="Q50" s="15">
        <f t="shared" si="7"/>
        <v>0.65573770491803285</v>
      </c>
      <c r="R50" s="4">
        <v>400</v>
      </c>
      <c r="S50" s="53">
        <f t="shared" si="8"/>
        <v>3660.5674653215642</v>
      </c>
      <c r="T50" s="53">
        <f t="shared" si="9"/>
        <v>6557.3770491803289</v>
      </c>
      <c r="U50" s="54">
        <f t="shared" si="10"/>
        <v>10217.944514501893</v>
      </c>
      <c r="V50" s="65"/>
      <c r="W50" s="58"/>
      <c r="X50" s="64">
        <f t="shared" si="11"/>
        <v>5.9545299147294477</v>
      </c>
      <c r="Y50" s="64">
        <f>NPV(Inputs!$D$6,AA50:BN50)</f>
        <v>69.390864619805214</v>
      </c>
      <c r="Z50" s="67">
        <f t="shared" si="12"/>
        <v>3.2728119465834295E-5</v>
      </c>
      <c r="AA50" s="88">
        <f>$E50*IF(AA$2&gt;Inputs!$D$5,0,IF(AA$2&gt;VLOOKUP($H50,Lists!$P$3:$Q$7,2),IF($N50=Lists!$K$3,IF($L50&lt;1,(($U50/$L50)*((1+Inputs!$D$7)^AA$2)),((INT(AA$2/$L50)-INT((AA$2-1)/$L50))*$U50*((1+Inputs!$D$7)^AA$2))),(_xlfn.WEIBULL.DIST(AA$2,$M50,$L50,FALSE)*$U50*((1+Inputs!$D$7)^AA$2))),IF($N50=Lists!$K$3,IF($L50&lt;1,((($T50*(1-$F50)+$S50*(1-$G50))/$L50)*((1+Inputs!$D$7)^AA$2)),((INT(AA$2/$L50)-INT((AA$2-1)/$L50))*($T50*(1-$F50)+$S50*(1-$G50))*((1+Inputs!$D$7)^AA$2))),((_xlfn.WEIBULL.DIST(AA$2,$M50,$L50,FALSE)*($T50*(1-$F50)+$S50*(1-$G50))*((1+Inputs!$D$7)^AA$2))))))</f>
        <v>3.1266878947481175E-2</v>
      </c>
      <c r="AB50" s="88">
        <f>$E50*IF(AB$2&gt;Inputs!$D$5,0,IF(AB$2&gt;VLOOKUP($H50,Lists!$P$3:$Q$7,2),IF($N50=Lists!$K$3,IF($L50&lt;1,(($U50/$L50)*((1+Inputs!$D$7)^AB$2)),((INT(AB$2/$L50)-INT((AB$2-1)/$L50))*$U50*((1+Inputs!$D$7)^AB$2))),(_xlfn.WEIBULL.DIST(AB$2,$M50,$L50,FALSE)*$U50*((1+Inputs!$D$7)^AB$2))),IF($N50=Lists!$K$3,IF($L50&lt;1,((($T50*(1-$F50)+$S50*(1-$G50))/$L50)*((1+Inputs!$D$7)^AB$2)),((INT(AB$2/$L50)-INT((AB$2-1)/$L50))*($T50*(1-$F50)+$S50*(1-$G50))*((1+Inputs!$D$7)^AB$2))),((_xlfn.WEIBULL.DIST(AB$2,$M50,$L50,FALSE)*($T50*(1-$F50)+$S50*(1-$G50))*((1+Inputs!$D$7)^AB$2))))))</f>
        <v>0.12756797312678589</v>
      </c>
      <c r="AC50" s="88">
        <f>$E50*IF(AC$2&gt;Inputs!$D$5,0,IF(AC$2&gt;VLOOKUP($H50,Lists!$P$3:$Q$7,2),IF($N50=Lists!$K$3,IF($L50&lt;1,(($U50/$L50)*((1+Inputs!$D$7)^AC$2)),((INT(AC$2/$L50)-INT((AC$2-1)/$L50))*$U50*((1+Inputs!$D$7)^AC$2))),(_xlfn.WEIBULL.DIST(AC$2,$M50,$L50,FALSE)*$U50*((1+Inputs!$D$7)^AC$2))),IF($N50=Lists!$K$3,IF($L50&lt;1,((($T50*(1-$F50)+$S50*(1-$G50))/$L50)*((1+Inputs!$D$7)^AC$2)),((INT(AC$2/$L50)-INT((AC$2-1)/$L50))*($T50*(1-$F50)+$S50*(1-$G50))*((1+Inputs!$D$7)^AC$2))),((_xlfn.WEIBULL.DIST(AC$2,$M50,$L50,FALSE)*($T50*(1-$F50)+$S50*(1-$G50))*((1+Inputs!$D$7)^AC$2))))))</f>
        <v>0.29276293577734985</v>
      </c>
      <c r="AD50" s="88">
        <f>$E50*IF(AD$2&gt;Inputs!$D$5,0,IF(AD$2&gt;VLOOKUP($H50,Lists!$P$3:$Q$7,2),IF($N50=Lists!$K$3,IF($L50&lt;1,(($U50/$L50)*((1+Inputs!$D$7)^AD$2)),((INT(AD$2/$L50)-INT((AD$2-1)/$L50))*$U50*((1+Inputs!$D$7)^AD$2))),(_xlfn.WEIBULL.DIST(AD$2,$M50,$L50,FALSE)*$U50*((1+Inputs!$D$7)^AD$2))),IF($N50=Lists!$K$3,IF($L50&lt;1,((($T50*(1-$F50)+$S50*(1-$G50))/$L50)*((1+Inputs!$D$7)^AD$2)),((INT(AD$2/$L50)-INT((AD$2-1)/$L50))*($T50*(1-$F50)+$S50*(1-$G50))*((1+Inputs!$D$7)^AD$2))),((_xlfn.WEIBULL.DIST(AD$2,$M50,$L50,FALSE)*($T50*(1-$F50)+$S50*(1-$G50))*((1+Inputs!$D$7)^AD$2))))))</f>
        <v>0.53085714813173712</v>
      </c>
      <c r="AE50" s="88">
        <f>$E50*IF(AE$2&gt;Inputs!$D$5,0,IF(AE$2&gt;VLOOKUP($H50,Lists!$P$3:$Q$7,2),IF($N50=Lists!$K$3,IF($L50&lt;1,(($U50/$L50)*((1+Inputs!$D$7)^AE$2)),((INT(AE$2/$L50)-INT((AE$2-1)/$L50))*$U50*((1+Inputs!$D$7)^AE$2))),(_xlfn.WEIBULL.DIST(AE$2,$M50,$L50,FALSE)*$U50*((1+Inputs!$D$7)^AE$2))),IF($N50=Lists!$K$3,IF($L50&lt;1,((($T50*(1-$F50)+$S50*(1-$G50))/$L50)*((1+Inputs!$D$7)^AE$2)),((INT(AE$2/$L50)-INT((AE$2-1)/$L50))*($T50*(1-$F50)+$S50*(1-$G50))*((1+Inputs!$D$7)^AE$2))),((_xlfn.WEIBULL.DIST(AE$2,$M50,$L50,FALSE)*($T50*(1-$F50)+$S50*(1-$G50))*((1+Inputs!$D$7)^AE$2))))))</f>
        <v>0.84600197214063677</v>
      </c>
      <c r="AF50" s="88">
        <f>$E50*IF(AF$2&gt;Inputs!$D$5,0,IF(AF$2&gt;VLOOKUP($H50,Lists!$P$3:$Q$7,2),IF($N50=Lists!$K$3,IF($L50&lt;1,(($U50/$L50)*((1+Inputs!$D$7)^AF$2)),((INT(AF$2/$L50)-INT((AF$2-1)/$L50))*$U50*((1+Inputs!$D$7)^AF$2))),(_xlfn.WEIBULL.DIST(AF$2,$M50,$L50,FALSE)*$U50*((1+Inputs!$D$7)^AF$2))),IF($N50=Lists!$K$3,IF($L50&lt;1,((($T50*(1-$F50)+$S50*(1-$G50))/$L50)*((1+Inputs!$D$7)^AF$2)),((INT(AF$2/$L50)-INT((AF$2-1)/$L50))*($T50*(1-$F50)+$S50*(1-$G50))*((1+Inputs!$D$7)^AF$2))),((_xlfn.WEIBULL.DIST(AF$2,$M50,$L50,FALSE)*($T50*(1-$F50)+$S50*(1-$G50))*((1+Inputs!$D$7)^AF$2))))))</f>
        <v>1.2424946245246307</v>
      </c>
      <c r="AG50" s="88">
        <f>$E50*IF(AG$2&gt;Inputs!$D$5,0,IF(AG$2&gt;VLOOKUP($H50,Lists!$P$3:$Q$7,2),IF($N50=Lists!$K$3,IF($L50&lt;1,(($U50/$L50)*((1+Inputs!$D$7)^AG$2)),((INT(AG$2/$L50)-INT((AG$2-1)/$L50))*$U50*((1+Inputs!$D$7)^AG$2))),(_xlfn.WEIBULL.DIST(AG$2,$M50,$L50,FALSE)*$U50*((1+Inputs!$D$7)^AG$2))),IF($N50=Lists!$K$3,IF($L50&lt;1,((($T50*(1-$F50)+$S50*(1-$G50))/$L50)*((1+Inputs!$D$7)^AG$2)),((INT(AG$2/$L50)-INT((AG$2-1)/$L50))*($T50*(1-$F50)+$S50*(1-$G50))*((1+Inputs!$D$7)^AG$2))),((_xlfn.WEIBULL.DIST(AG$2,$M50,$L50,FALSE)*($T50*(1-$F50)+$S50*(1-$G50))*((1+Inputs!$D$7)^AG$2))))))</f>
        <v>1.7247776430443036</v>
      </c>
      <c r="AH50" s="88">
        <f>$E50*IF(AH$2&gt;Inputs!$D$5,0,IF(AH$2&gt;VLOOKUP($H50,Lists!$P$3:$Q$7,2),IF($N50=Lists!$K$3,IF($L50&lt;1,(($U50/$L50)*((1+Inputs!$D$7)^AH$2)),((INT(AH$2/$L50)-INT((AH$2-1)/$L50))*$U50*((1+Inputs!$D$7)^AH$2))),(_xlfn.WEIBULL.DIST(AH$2,$M50,$L50,FALSE)*$U50*((1+Inputs!$D$7)^AH$2))),IF($N50=Lists!$K$3,IF($L50&lt;1,((($T50*(1-$F50)+$S50*(1-$G50))/$L50)*((1+Inputs!$D$7)^AH$2)),((INT(AH$2/$L50)-INT((AH$2-1)/$L50))*($T50*(1-$F50)+$S50*(1-$G50))*((1+Inputs!$D$7)^AH$2))),((_xlfn.WEIBULL.DIST(AH$2,$M50,$L50,FALSE)*($T50*(1-$F50)+$S50*(1-$G50))*((1+Inputs!$D$7)^AH$2))))))</f>
        <v>2.2974379152417526</v>
      </c>
      <c r="AI50" s="88">
        <f>$E50*IF(AI$2&gt;Inputs!$D$5,0,IF(AI$2&gt;VLOOKUP($H50,Lists!$P$3:$Q$7,2),IF($N50=Lists!$K$3,IF($L50&lt;1,(($U50/$L50)*((1+Inputs!$D$7)^AI$2)),((INT(AI$2/$L50)-INT((AI$2-1)/$L50))*$U50*((1+Inputs!$D$7)^AI$2))),(_xlfn.WEIBULL.DIST(AI$2,$M50,$L50,FALSE)*$U50*((1+Inputs!$D$7)^AI$2))),IF($N50=Lists!$K$3,IF($L50&lt;1,((($T50*(1-$F50)+$S50*(1-$G50))/$L50)*((1+Inputs!$D$7)^AI$2)),((INT(AI$2/$L50)-INT((AI$2-1)/$L50))*($T50*(1-$F50)+$S50*(1-$G50))*((1+Inputs!$D$7)^AI$2))),((_xlfn.WEIBULL.DIST(AI$2,$M50,$L50,FALSE)*($T50*(1-$F50)+$S50*(1-$G50))*((1+Inputs!$D$7)^AI$2))))))</f>
        <v>2.9652052393511381</v>
      </c>
      <c r="AJ50" s="88">
        <f>$E50*IF(AJ$2&gt;Inputs!$D$5,0,IF(AJ$2&gt;VLOOKUP($H50,Lists!$P$3:$Q$7,2),IF($N50=Lists!$K$3,IF($L50&lt;1,(($U50/$L50)*((1+Inputs!$D$7)^AJ$2)),((INT(AJ$2/$L50)-INT((AJ$2-1)/$L50))*$U50*((1+Inputs!$D$7)^AJ$2))),(_xlfn.WEIBULL.DIST(AJ$2,$M50,$L50,FALSE)*$U50*((1+Inputs!$D$7)^AJ$2))),IF($N50=Lists!$K$3,IF($L50&lt;1,((($T50*(1-$F50)+$S50*(1-$G50))/$L50)*((1+Inputs!$D$7)^AJ$2)),((INT(AJ$2/$L50)-INT((AJ$2-1)/$L50))*($T50*(1-$F50)+$S50*(1-$G50))*((1+Inputs!$D$7)^AJ$2))),((_xlfn.WEIBULL.DIST(AJ$2,$M50,$L50,FALSE)*($T50*(1-$F50)+$S50*(1-$G50))*((1+Inputs!$D$7)^AJ$2))))))</f>
        <v>3.7329503866140294</v>
      </c>
      <c r="AK50" s="88">
        <f>$E50*IF(AK$2&gt;Inputs!$D$5,0,IF(AK$2&gt;VLOOKUP($H50,Lists!$P$3:$Q$7,2),IF($N50=Lists!$K$3,IF($L50&lt;1,(($U50/$L50)*((1+Inputs!$D$7)^AK$2)),((INT(AK$2/$L50)-INT((AK$2-1)/$L50))*$U50*((1+Inputs!$D$7)^AK$2))),(_xlfn.WEIBULL.DIST(AK$2,$M50,$L50,FALSE)*$U50*((1+Inputs!$D$7)^AK$2))),IF($N50=Lists!$K$3,IF($L50&lt;1,((($T50*(1-$F50)+$S50*(1-$G50))/$L50)*((1+Inputs!$D$7)^AK$2)),((INT(AK$2/$L50)-INT((AK$2-1)/$L50))*($T50*(1-$F50)+$S50*(1-$G50))*((1+Inputs!$D$7)^AK$2))),((_xlfn.WEIBULL.DIST(AK$2,$M50,$L50,FALSE)*($T50*(1-$F50)+$S50*(1-$G50))*((1+Inputs!$D$7)^AK$2))))))</f>
        <v>4.6056826338777821</v>
      </c>
      <c r="AL50" s="88">
        <f>$E50*IF(AL$2&gt;Inputs!$D$5,0,IF(AL$2&gt;VLOOKUP($H50,Lists!$P$3:$Q$7,2),IF($N50=Lists!$K$3,IF($L50&lt;1,(($U50/$L50)*((1+Inputs!$D$7)^AL$2)),((INT(AL$2/$L50)-INT((AL$2-1)/$L50))*$U50*((1+Inputs!$D$7)^AL$2))),(_xlfn.WEIBULL.DIST(AL$2,$M50,$L50,FALSE)*$U50*((1+Inputs!$D$7)^AL$2))),IF($N50=Lists!$K$3,IF($L50&lt;1,((($T50*(1-$F50)+$S50*(1-$G50))/$L50)*((1+Inputs!$D$7)^AL$2)),((INT(AL$2/$L50)-INT((AL$2-1)/$L50))*($T50*(1-$F50)+$S50*(1-$G50))*((1+Inputs!$D$7)^AL$2))),((_xlfn.WEIBULL.DIST(AL$2,$M50,$L50,FALSE)*($T50*(1-$F50)+$S50*(1-$G50))*((1+Inputs!$D$7)^AL$2))))))</f>
        <v>5.5885467351130833</v>
      </c>
      <c r="AM50" s="88">
        <f>$E50*IF(AM$2&gt;Inputs!$D$5,0,IF(AM$2&gt;VLOOKUP($H50,Lists!$P$3:$Q$7,2),IF($N50=Lists!$K$3,IF($L50&lt;1,(($U50/$L50)*((1+Inputs!$D$7)^AM$2)),((INT(AM$2/$L50)-INT((AM$2-1)/$L50))*$U50*((1+Inputs!$D$7)^AM$2))),(_xlfn.WEIBULL.DIST(AM$2,$M50,$L50,FALSE)*$U50*((1+Inputs!$D$7)^AM$2))),IF($N50=Lists!$K$3,IF($L50&lt;1,((($T50*(1-$F50)+$S50*(1-$G50))/$L50)*((1+Inputs!$D$7)^AM$2)),((INT(AM$2/$L50)-INT((AM$2-1)/$L50))*($T50*(1-$F50)+$S50*(1-$G50))*((1+Inputs!$D$7)^AM$2))),((_xlfn.WEIBULL.DIST(AM$2,$M50,$L50,FALSE)*($T50*(1-$F50)+$S50*(1-$G50))*((1+Inputs!$D$7)^AM$2))))))</f>
        <v>6.686819300371698</v>
      </c>
      <c r="AN50" s="88">
        <f>$E50*IF(AN$2&gt;Inputs!$D$5,0,IF(AN$2&gt;VLOOKUP($H50,Lists!$P$3:$Q$7,2),IF($N50=Lists!$K$3,IF($L50&lt;1,(($U50/$L50)*((1+Inputs!$D$7)^AN$2)),((INT(AN$2/$L50)-INT((AN$2-1)/$L50))*$U50*((1+Inputs!$D$7)^AN$2))),(_xlfn.WEIBULL.DIST(AN$2,$M50,$L50,FALSE)*$U50*((1+Inputs!$D$7)^AN$2))),IF($N50=Lists!$K$3,IF($L50&lt;1,((($T50*(1-$F50)+$S50*(1-$G50))/$L50)*((1+Inputs!$D$7)^AN$2)),((INT(AN$2/$L50)-INT((AN$2-1)/$L50))*($T50*(1-$F50)+$S50*(1-$G50))*((1+Inputs!$D$7)^AN$2))),((_xlfn.WEIBULL.DIST(AN$2,$M50,$L50,FALSE)*($T50*(1-$F50)+$S50*(1-$G50))*((1+Inputs!$D$7)^AN$2))))))</f>
        <v>7.9059045507291223</v>
      </c>
      <c r="AO50" s="88">
        <f>$E50*IF(AO$2&gt;Inputs!$D$5,0,IF(AO$2&gt;VLOOKUP($H50,Lists!$P$3:$Q$7,2),IF($N50=Lists!$K$3,IF($L50&lt;1,(($U50/$L50)*((1+Inputs!$D$7)^AO$2)),((INT(AO$2/$L50)-INT((AO$2-1)/$L50))*$U50*((1+Inputs!$D$7)^AO$2))),(_xlfn.WEIBULL.DIST(AO$2,$M50,$L50,FALSE)*$U50*((1+Inputs!$D$7)^AO$2))),IF($N50=Lists!$K$3,IF($L50&lt;1,((($T50*(1-$F50)+$S50*(1-$G50))/$L50)*((1+Inputs!$D$7)^AO$2)),((INT(AO$2/$L50)-INT((AO$2-1)/$L50))*($T50*(1-$F50)+$S50*(1-$G50))*((1+Inputs!$D$7)^AO$2))),((_xlfn.WEIBULL.DIST(AO$2,$M50,$L50,FALSE)*($T50*(1-$F50)+$S50*(1-$G50))*((1+Inputs!$D$7)^AO$2))))))</f>
        <v>9.2513294179310339</v>
      </c>
      <c r="AP50" s="88">
        <f>$E50*IF(AP$2&gt;Inputs!$D$5,0,IF(AP$2&gt;VLOOKUP($H50,Lists!$P$3:$Q$7,2),IF($N50=Lists!$K$3,IF($L50&lt;1,(($U50/$L50)*((1+Inputs!$D$7)^AP$2)),((INT(AP$2/$L50)-INT((AP$2-1)/$L50))*$U50*((1+Inputs!$D$7)^AP$2))),(_xlfn.WEIBULL.DIST(AP$2,$M50,$L50,FALSE)*$U50*((1+Inputs!$D$7)^AP$2))),IF($N50=Lists!$K$3,IF($L50&lt;1,((($T50*(1-$F50)+$S50*(1-$G50))/$L50)*((1+Inputs!$D$7)^AP$2)),((INT(AP$2/$L50)-INT((AP$2-1)/$L50))*($T50*(1-$F50)+$S50*(1-$G50))*((1+Inputs!$D$7)^AP$2))),((_xlfn.WEIBULL.DIST(AP$2,$M50,$L50,FALSE)*($T50*(1-$F50)+$S50*(1-$G50))*((1+Inputs!$D$7)^AP$2))))))</f>
        <v>10.728737957799401</v>
      </c>
      <c r="AQ50" s="88">
        <f>$E50*IF(AQ$2&gt;Inputs!$D$5,0,IF(AQ$2&gt;VLOOKUP($H50,Lists!$P$3:$Q$7,2),IF($N50=Lists!$K$3,IF($L50&lt;1,(($U50/$L50)*((1+Inputs!$D$7)^AQ$2)),((INT(AQ$2/$L50)-INT((AQ$2-1)/$L50))*$U50*((1+Inputs!$D$7)^AQ$2))),(_xlfn.WEIBULL.DIST(AQ$2,$M50,$L50,FALSE)*$U50*((1+Inputs!$D$7)^AQ$2))),IF($N50=Lists!$K$3,IF($L50&lt;1,((($T50*(1-$F50)+$S50*(1-$G50))/$L50)*((1+Inputs!$D$7)^AQ$2)),((INT(AQ$2/$L50)-INT((AQ$2-1)/$L50))*($T50*(1-$F50)+$S50*(1-$G50))*((1+Inputs!$D$7)^AQ$2))),((_xlfn.WEIBULL.DIST(AQ$2,$M50,$L50,FALSE)*($T50*(1-$F50)+$S50*(1-$G50))*((1+Inputs!$D$7)^AQ$2))))))</f>
        <v>12.343885046966152</v>
      </c>
      <c r="AR50" s="88">
        <f>$E50*IF(AR$2&gt;Inputs!$D$5,0,IF(AR$2&gt;VLOOKUP($H50,Lists!$P$3:$Q$7,2),IF($N50=Lists!$K$3,IF($L50&lt;1,(($U50/$L50)*((1+Inputs!$D$7)^AR$2)),((INT(AR$2/$L50)-INT((AR$2-1)/$L50))*$U50*((1+Inputs!$D$7)^AR$2))),(_xlfn.WEIBULL.DIST(AR$2,$M50,$L50,FALSE)*$U50*((1+Inputs!$D$7)^AR$2))),IF($N50=Lists!$K$3,IF($L50&lt;1,((($T50*(1-$F50)+$S50*(1-$G50))/$L50)*((1+Inputs!$D$7)^AR$2)),((INT(AR$2/$L50)-INT((AR$2-1)/$L50))*($T50*(1-$F50)+$S50*(1-$G50))*((1+Inputs!$D$7)^AR$2))),((_xlfn.WEIBULL.DIST(AR$2,$M50,$L50,FALSE)*($T50*(1-$F50)+$S50*(1-$G50))*((1+Inputs!$D$7)^AR$2))))))</f>
        <v>14.102629333201049</v>
      </c>
      <c r="AS50" s="88">
        <f>$E50*IF(AS$2&gt;Inputs!$D$5,0,IF(AS$2&gt;VLOOKUP($H50,Lists!$P$3:$Q$7,2),IF($N50=Lists!$K$3,IF($L50&lt;1,(($U50/$L50)*((1+Inputs!$D$7)^AS$2)),((INT(AS$2/$L50)-INT((AS$2-1)/$L50))*$U50*((1+Inputs!$D$7)^AS$2))),(_xlfn.WEIBULL.DIST(AS$2,$M50,$L50,FALSE)*$U50*((1+Inputs!$D$7)^AS$2))),IF($N50=Lists!$K$3,IF($L50&lt;1,((($T50*(1-$F50)+$S50*(1-$G50))/$L50)*((1+Inputs!$D$7)^AS$2)),((INT(AS$2/$L50)-INT((AS$2-1)/$L50))*($T50*(1-$F50)+$S50*(1-$G50))*((1+Inputs!$D$7)^AS$2))),((_xlfn.WEIBULL.DIST(AS$2,$M50,$L50,FALSE)*($T50*(1-$F50)+$S50*(1-$G50))*((1+Inputs!$D$7)^AS$2))))))</f>
        <v>16.010925410499002</v>
      </c>
      <c r="AT50" s="88">
        <f>$E50*IF(AT$2&gt;Inputs!$D$5,0,IF(AT$2&gt;VLOOKUP($H50,Lists!$P$3:$Q$7,2),IF($N50=Lists!$K$3,IF($L50&lt;1,(($U50/$L50)*((1+Inputs!$D$7)^AT$2)),((INT(AT$2/$L50)-INT((AT$2-1)/$L50))*$U50*((1+Inputs!$D$7)^AT$2))),(_xlfn.WEIBULL.DIST(AT$2,$M50,$L50,FALSE)*$U50*((1+Inputs!$D$7)^AT$2))),IF($N50=Lists!$K$3,IF($L50&lt;1,((($T50*(1-$F50)+$S50*(1-$G50))/$L50)*((1+Inputs!$D$7)^AT$2)),((INT(AT$2/$L50)-INT((AT$2-1)/$L50))*($T50*(1-$F50)+$S50*(1-$G50))*((1+Inputs!$D$7)^AT$2))),((_xlfn.WEIBULL.DIST(AT$2,$M50,$L50,FALSE)*($T50*(1-$F50)+$S50*(1-$G50))*((1+Inputs!$D$7)^AT$2))))))</f>
        <v>18.074815191200784</v>
      </c>
      <c r="AU50" s="88">
        <f>$E50*IF(AU$2&gt;Inputs!$D$5,0,IF(AU$2&gt;VLOOKUP($H50,Lists!$P$3:$Q$7,2),IF($N50=Lists!$K$3,IF($L50&lt;1,(($U50/$L50)*((1+Inputs!$D$7)^AU$2)),((INT(AU$2/$L50)-INT((AU$2-1)/$L50))*$U50*((1+Inputs!$D$7)^AU$2))),(_xlfn.WEIBULL.DIST(AU$2,$M50,$L50,FALSE)*$U50*((1+Inputs!$D$7)^AU$2))),IF($N50=Lists!$K$3,IF($L50&lt;1,((($T50*(1-$F50)+$S50*(1-$G50))/$L50)*((1+Inputs!$D$7)^AU$2)),((INT(AU$2/$L50)-INT((AU$2-1)/$L50))*($T50*(1-$F50)+$S50*(1-$G50))*((1+Inputs!$D$7)^AU$2))),((_xlfn.WEIBULL.DIST(AU$2,$M50,$L50,FALSE)*($T50*(1-$F50)+$S50*(1-$G50))*((1+Inputs!$D$7)^AU$2))))))</f>
        <v>20.300418448753778</v>
      </c>
      <c r="AV50" s="88">
        <f>$E50*IF(AV$2&gt;Inputs!$D$5,0,IF(AV$2&gt;VLOOKUP($H50,Lists!$P$3:$Q$7,2),IF($N50=Lists!$K$3,IF($L50&lt;1,(($U50/$L50)*((1+Inputs!$D$7)^AV$2)),((INT(AV$2/$L50)-INT((AV$2-1)/$L50))*$U50*((1+Inputs!$D$7)^AV$2))),(_xlfn.WEIBULL.DIST(AV$2,$M50,$L50,FALSE)*$U50*((1+Inputs!$D$7)^AV$2))),IF($N50=Lists!$K$3,IF($L50&lt;1,((($T50*(1-$F50)+$S50*(1-$G50))/$L50)*((1+Inputs!$D$7)^AV$2)),((INT(AV$2/$L50)-INT((AV$2-1)/$L50))*($T50*(1-$F50)+$S50*(1-$G50))*((1+Inputs!$D$7)^AV$2))),((_xlfn.WEIBULL.DIST(AV$2,$M50,$L50,FALSE)*($T50*(1-$F50)+$S50*(1-$G50))*((1+Inputs!$D$7)^AV$2))))))</f>
        <v>22.693922506285148</v>
      </c>
      <c r="AW50" s="88">
        <f>$E50*IF(AW$2&gt;Inputs!$D$5,0,IF(AW$2&gt;VLOOKUP($H50,Lists!$P$3:$Q$7,2),IF($N50=Lists!$K$3,IF($L50&lt;1,(($U50/$L50)*((1+Inputs!$D$7)^AW$2)),((INT(AW$2/$L50)-INT((AW$2-1)/$L50))*$U50*((1+Inputs!$D$7)^AW$2))),(_xlfn.WEIBULL.DIST(AW$2,$M50,$L50,FALSE)*$U50*((1+Inputs!$D$7)^AW$2))),IF($N50=Lists!$K$3,IF($L50&lt;1,((($T50*(1-$F50)+$S50*(1-$G50))/$L50)*((1+Inputs!$D$7)^AW$2)),((INT(AW$2/$L50)-INT((AW$2-1)/$L50))*($T50*(1-$F50)+$S50*(1-$G50))*((1+Inputs!$D$7)^AW$2))),((_xlfn.WEIBULL.DIST(AW$2,$M50,$L50,FALSE)*($T50*(1-$F50)+$S50*(1-$G50))*((1+Inputs!$D$7)^AW$2))))))</f>
        <v>25.261571047970779</v>
      </c>
      <c r="AX50" s="88">
        <f>$E50*IF(AX$2&gt;Inputs!$D$5,0,IF(AX$2&gt;VLOOKUP($H50,Lists!$P$3:$Q$7,2),IF($N50=Lists!$K$3,IF($L50&lt;1,(($U50/$L50)*((1+Inputs!$D$7)^AX$2)),((INT(AX$2/$L50)-INT((AX$2-1)/$L50))*$U50*((1+Inputs!$D$7)^AX$2))),(_xlfn.WEIBULL.DIST(AX$2,$M50,$L50,FALSE)*$U50*((1+Inputs!$D$7)^AX$2))),IF($N50=Lists!$K$3,IF($L50&lt;1,((($T50*(1-$F50)+$S50*(1-$G50))/$L50)*((1+Inputs!$D$7)^AX$2)),((INT(AX$2/$L50)-INT((AX$2-1)/$L50))*($T50*(1-$F50)+$S50*(1-$G50))*((1+Inputs!$D$7)^AX$2))),((_xlfn.WEIBULL.DIST(AX$2,$M50,$L50,FALSE)*($T50*(1-$F50)+$S50*(1-$G50))*((1+Inputs!$D$7)^AX$2))))))</f>
        <v>28.009652032249736</v>
      </c>
      <c r="AY50" s="88">
        <f>$E50*IF(AY$2&gt;Inputs!$D$5,0,IF(AY$2&gt;VLOOKUP($H50,Lists!$P$3:$Q$7,2),IF($N50=Lists!$K$3,IF($L50&lt;1,(($U50/$L50)*((1+Inputs!$D$7)^AY$2)),((INT(AY$2/$L50)-INT((AY$2-1)/$L50))*$U50*((1+Inputs!$D$7)^AY$2))),(_xlfn.WEIBULL.DIST(AY$2,$M50,$L50,FALSE)*$U50*((1+Inputs!$D$7)^AY$2))),IF($N50=Lists!$K$3,IF($L50&lt;1,((($T50*(1-$F50)+$S50*(1-$G50))/$L50)*((1+Inputs!$D$7)^AY$2)),((INT(AY$2/$L50)-INT((AY$2-1)/$L50))*($T50*(1-$F50)+$S50*(1-$G50))*((1+Inputs!$D$7)^AY$2))),((_xlfn.WEIBULL.DIST(AY$2,$M50,$L50,FALSE)*($T50*(1-$F50)+$S50*(1-$G50))*((1+Inputs!$D$7)^AY$2))))))</f>
        <v>30.94448468826365</v>
      </c>
      <c r="AZ50" s="88">
        <f>$E50*IF(AZ$2&gt;Inputs!$D$5,0,IF(AZ$2&gt;VLOOKUP($H50,Lists!$P$3:$Q$7,2),IF($N50=Lists!$K$3,IF($L50&lt;1,(($U50/$L50)*((1+Inputs!$D$7)^AZ$2)),((INT(AZ$2/$L50)-INT((AZ$2-1)/$L50))*$U50*((1+Inputs!$D$7)^AZ$2))),(_xlfn.WEIBULL.DIST(AZ$2,$M50,$L50,FALSE)*$U50*((1+Inputs!$D$7)^AZ$2))),IF($N50=Lists!$K$3,IF($L50&lt;1,((($T50*(1-$F50)+$S50*(1-$G50))/$L50)*((1+Inputs!$D$7)^AZ$2)),((INT(AZ$2/$L50)-INT((AZ$2-1)/$L50))*($T50*(1-$F50)+$S50*(1-$G50))*((1+Inputs!$D$7)^AZ$2))),((_xlfn.WEIBULL.DIST(AZ$2,$M50,$L50,FALSE)*($T50*(1-$F50)+$S50*(1-$G50))*((1+Inputs!$D$7)^AZ$2))))))</f>
        <v>0</v>
      </c>
      <c r="BA50" s="88">
        <f>$E50*IF(BA$2&gt;Inputs!$D$5,0,IF(BA$2&gt;VLOOKUP($H50,Lists!$P$3:$Q$7,2),IF($N50=Lists!$K$3,IF($L50&lt;1,(($U50/$L50)*((1+Inputs!$D$7)^BA$2)),((INT(BA$2/$L50)-INT((BA$2-1)/$L50))*$U50*((1+Inputs!$D$7)^BA$2))),(_xlfn.WEIBULL.DIST(BA$2,$M50,$L50,FALSE)*$U50*((1+Inputs!$D$7)^BA$2))),IF($N50=Lists!$K$3,IF($L50&lt;1,((($T50*(1-$F50)+$S50*(1-$G50))/$L50)*((1+Inputs!$D$7)^BA$2)),((INT(BA$2/$L50)-INT((BA$2-1)/$L50))*($T50*(1-$F50)+$S50*(1-$G50))*((1+Inputs!$D$7)^BA$2))),((_xlfn.WEIBULL.DIST(BA$2,$M50,$L50,FALSE)*($T50*(1-$F50)+$S50*(1-$G50))*((1+Inputs!$D$7)^BA$2))))))</f>
        <v>0</v>
      </c>
      <c r="BB50" s="88">
        <f>$E50*IF(BB$2&gt;Inputs!$D$5,0,IF(BB$2&gt;VLOOKUP($H50,Lists!$P$3:$Q$7,2),IF($N50=Lists!$K$3,IF($L50&lt;1,(($U50/$L50)*((1+Inputs!$D$7)^BB$2)),((INT(BB$2/$L50)-INT((BB$2-1)/$L50))*$U50*((1+Inputs!$D$7)^BB$2))),(_xlfn.WEIBULL.DIST(BB$2,$M50,$L50,FALSE)*$U50*((1+Inputs!$D$7)^BB$2))),IF($N50=Lists!$K$3,IF($L50&lt;1,((($T50*(1-$F50)+$S50*(1-$G50))/$L50)*((1+Inputs!$D$7)^BB$2)),((INT(BB$2/$L50)-INT((BB$2-1)/$L50))*($T50*(1-$F50)+$S50*(1-$G50))*((1+Inputs!$D$7)^BB$2))),((_xlfn.WEIBULL.DIST(BB$2,$M50,$L50,FALSE)*($T50*(1-$F50)+$S50*(1-$G50))*((1+Inputs!$D$7)^BB$2))))))</f>
        <v>0</v>
      </c>
      <c r="BC50" s="88">
        <f>$E50*IF(BC$2&gt;Inputs!$D$5,0,IF(BC$2&gt;VLOOKUP($H50,Lists!$P$3:$Q$7,2),IF($N50=Lists!$K$3,IF($L50&lt;1,(($U50/$L50)*((1+Inputs!$D$7)^BC$2)),((INT(BC$2/$L50)-INT((BC$2-1)/$L50))*$U50*((1+Inputs!$D$7)^BC$2))),(_xlfn.WEIBULL.DIST(BC$2,$M50,$L50,FALSE)*$U50*((1+Inputs!$D$7)^BC$2))),IF($N50=Lists!$K$3,IF($L50&lt;1,((($T50*(1-$F50)+$S50*(1-$G50))/$L50)*((1+Inputs!$D$7)^BC$2)),((INT(BC$2/$L50)-INT((BC$2-1)/$L50))*($T50*(1-$F50)+$S50*(1-$G50))*((1+Inputs!$D$7)^BC$2))),((_xlfn.WEIBULL.DIST(BC$2,$M50,$L50,FALSE)*($T50*(1-$F50)+$S50*(1-$G50))*((1+Inputs!$D$7)^BC$2))))))</f>
        <v>0</v>
      </c>
      <c r="BD50" s="88">
        <f>$E50*IF(BD$2&gt;Inputs!$D$5,0,IF(BD$2&gt;VLOOKUP($H50,Lists!$P$3:$Q$7,2),IF($N50=Lists!$K$3,IF($L50&lt;1,(($U50/$L50)*((1+Inputs!$D$7)^BD$2)),((INT(BD$2/$L50)-INT((BD$2-1)/$L50))*$U50*((1+Inputs!$D$7)^BD$2))),(_xlfn.WEIBULL.DIST(BD$2,$M50,$L50,FALSE)*$U50*((1+Inputs!$D$7)^BD$2))),IF($N50=Lists!$K$3,IF($L50&lt;1,((($T50*(1-$F50)+$S50*(1-$G50))/$L50)*((1+Inputs!$D$7)^BD$2)),((INT(BD$2/$L50)-INT((BD$2-1)/$L50))*($T50*(1-$F50)+$S50*(1-$G50))*((1+Inputs!$D$7)^BD$2))),((_xlfn.WEIBULL.DIST(BD$2,$M50,$L50,FALSE)*($T50*(1-$F50)+$S50*(1-$G50))*((1+Inputs!$D$7)^BD$2))))))</f>
        <v>0</v>
      </c>
      <c r="BE50" s="88">
        <f>$E50*IF(BE$2&gt;Inputs!$D$5,0,IF(BE$2&gt;VLOOKUP($H50,Lists!$P$3:$Q$7,2),IF($N50=Lists!$K$3,IF($L50&lt;1,(($U50/$L50)*((1+Inputs!$D$7)^BE$2)),((INT(BE$2/$L50)-INT((BE$2-1)/$L50))*$U50*((1+Inputs!$D$7)^BE$2))),(_xlfn.WEIBULL.DIST(BE$2,$M50,$L50,FALSE)*$U50*((1+Inputs!$D$7)^BE$2))),IF($N50=Lists!$K$3,IF($L50&lt;1,((($T50*(1-$F50)+$S50*(1-$G50))/$L50)*((1+Inputs!$D$7)^BE$2)),((INT(BE$2/$L50)-INT((BE$2-1)/$L50))*($T50*(1-$F50)+$S50*(1-$G50))*((1+Inputs!$D$7)^BE$2))),((_xlfn.WEIBULL.DIST(BE$2,$M50,$L50,FALSE)*($T50*(1-$F50)+$S50*(1-$G50))*((1+Inputs!$D$7)^BE$2))))))</f>
        <v>0</v>
      </c>
      <c r="BF50" s="88">
        <f>$E50*IF(BF$2&gt;Inputs!$D$5,0,IF(BF$2&gt;VLOOKUP($H50,Lists!$P$3:$Q$7,2),IF($N50=Lists!$K$3,IF($L50&lt;1,(($U50/$L50)*((1+Inputs!$D$7)^BF$2)),((INT(BF$2/$L50)-INT((BF$2-1)/$L50))*$U50*((1+Inputs!$D$7)^BF$2))),(_xlfn.WEIBULL.DIST(BF$2,$M50,$L50,FALSE)*$U50*((1+Inputs!$D$7)^BF$2))),IF($N50=Lists!$K$3,IF($L50&lt;1,((($T50*(1-$F50)+$S50*(1-$G50))/$L50)*((1+Inputs!$D$7)^BF$2)),((INT(BF$2/$L50)-INT((BF$2-1)/$L50))*($T50*(1-$F50)+$S50*(1-$G50))*((1+Inputs!$D$7)^BF$2))),((_xlfn.WEIBULL.DIST(BF$2,$M50,$L50,FALSE)*($T50*(1-$F50)+$S50*(1-$G50))*((1+Inputs!$D$7)^BF$2))))))</f>
        <v>0</v>
      </c>
      <c r="BG50" s="88">
        <f>$E50*IF(BG$2&gt;Inputs!$D$5,0,IF(BG$2&gt;VLOOKUP($H50,Lists!$P$3:$Q$7,2),IF($N50=Lists!$K$3,IF($L50&lt;1,(($U50/$L50)*((1+Inputs!$D$7)^BG$2)),((INT(BG$2/$L50)-INT((BG$2-1)/$L50))*$U50*((1+Inputs!$D$7)^BG$2))),(_xlfn.WEIBULL.DIST(BG$2,$M50,$L50,FALSE)*$U50*((1+Inputs!$D$7)^BG$2))),IF($N50=Lists!$K$3,IF($L50&lt;1,((($T50*(1-$F50)+$S50*(1-$G50))/$L50)*((1+Inputs!$D$7)^BG$2)),((INT(BG$2/$L50)-INT((BG$2-1)/$L50))*($T50*(1-$F50)+$S50*(1-$G50))*((1+Inputs!$D$7)^BG$2))),((_xlfn.WEIBULL.DIST(BG$2,$M50,$L50,FALSE)*($T50*(1-$F50)+$S50*(1-$G50))*((1+Inputs!$D$7)^BG$2))))))</f>
        <v>0</v>
      </c>
      <c r="BH50" s="88">
        <f>$E50*IF(BH$2&gt;Inputs!$D$5,0,IF(BH$2&gt;VLOOKUP($H50,Lists!$P$3:$Q$7,2),IF($N50=Lists!$K$3,IF($L50&lt;1,(($U50/$L50)*((1+Inputs!$D$7)^BH$2)),((INT(BH$2/$L50)-INT((BH$2-1)/$L50))*$U50*((1+Inputs!$D$7)^BH$2))),(_xlfn.WEIBULL.DIST(BH$2,$M50,$L50,FALSE)*$U50*((1+Inputs!$D$7)^BH$2))),IF($N50=Lists!$K$3,IF($L50&lt;1,((($T50*(1-$F50)+$S50*(1-$G50))/$L50)*((1+Inputs!$D$7)^BH$2)),((INT(BH$2/$L50)-INT((BH$2-1)/$L50))*($T50*(1-$F50)+$S50*(1-$G50))*((1+Inputs!$D$7)^BH$2))),((_xlfn.WEIBULL.DIST(BH$2,$M50,$L50,FALSE)*($T50*(1-$F50)+$S50*(1-$G50))*((1+Inputs!$D$7)^BH$2))))))</f>
        <v>0</v>
      </c>
      <c r="BI50" s="88">
        <f>$E50*IF(BI$2&gt;Inputs!$D$5,0,IF(BI$2&gt;VLOOKUP($H50,Lists!$P$3:$Q$7,2),IF($N50=Lists!$K$3,IF($L50&lt;1,(($U50/$L50)*((1+Inputs!$D$7)^BI$2)),((INT(BI$2/$L50)-INT((BI$2-1)/$L50))*$U50*((1+Inputs!$D$7)^BI$2))),(_xlfn.WEIBULL.DIST(BI$2,$M50,$L50,FALSE)*$U50*((1+Inputs!$D$7)^BI$2))),IF($N50=Lists!$K$3,IF($L50&lt;1,((($T50*(1-$F50)+$S50*(1-$G50))/$L50)*((1+Inputs!$D$7)^BI$2)),((INT(BI$2/$L50)-INT((BI$2-1)/$L50))*($T50*(1-$F50)+$S50*(1-$G50))*((1+Inputs!$D$7)^BI$2))),((_xlfn.WEIBULL.DIST(BI$2,$M50,$L50,FALSE)*($T50*(1-$F50)+$S50*(1-$G50))*((1+Inputs!$D$7)^BI$2))))))</f>
        <v>0</v>
      </c>
      <c r="BJ50" s="88">
        <f>$E50*IF(BJ$2&gt;Inputs!$D$5,0,IF(BJ$2&gt;VLOOKUP($H50,Lists!$P$3:$Q$7,2),IF($N50=Lists!$K$3,IF($L50&lt;1,(($U50/$L50)*((1+Inputs!$D$7)^BJ$2)),((INT(BJ$2/$L50)-INT((BJ$2-1)/$L50))*$U50*((1+Inputs!$D$7)^BJ$2))),(_xlfn.WEIBULL.DIST(BJ$2,$M50,$L50,FALSE)*$U50*((1+Inputs!$D$7)^BJ$2))),IF($N50=Lists!$K$3,IF($L50&lt;1,((($T50*(1-$F50)+$S50*(1-$G50))/$L50)*((1+Inputs!$D$7)^BJ$2)),((INT(BJ$2/$L50)-INT((BJ$2-1)/$L50))*($T50*(1-$F50)+$S50*(1-$G50))*((1+Inputs!$D$7)^BJ$2))),((_xlfn.WEIBULL.DIST(BJ$2,$M50,$L50,FALSE)*($T50*(1-$F50)+$S50*(1-$G50))*((1+Inputs!$D$7)^BJ$2))))))</f>
        <v>0</v>
      </c>
      <c r="BK50" s="88">
        <f>$E50*IF(BK$2&gt;Inputs!$D$5,0,IF(BK$2&gt;VLOOKUP($H50,Lists!$P$3:$Q$7,2),IF($N50=Lists!$K$3,IF($L50&lt;1,(($U50/$L50)*((1+Inputs!$D$7)^BK$2)),((INT(BK$2/$L50)-INT((BK$2-1)/$L50))*$U50*((1+Inputs!$D$7)^BK$2))),(_xlfn.WEIBULL.DIST(BK$2,$M50,$L50,FALSE)*$U50*((1+Inputs!$D$7)^BK$2))),IF($N50=Lists!$K$3,IF($L50&lt;1,((($T50*(1-$F50)+$S50*(1-$G50))/$L50)*((1+Inputs!$D$7)^BK$2)),((INT(BK$2/$L50)-INT((BK$2-1)/$L50))*($T50*(1-$F50)+$S50*(1-$G50))*((1+Inputs!$D$7)^BK$2))),((_xlfn.WEIBULL.DIST(BK$2,$M50,$L50,FALSE)*($T50*(1-$F50)+$S50*(1-$G50))*((1+Inputs!$D$7)^BK$2))))))</f>
        <v>0</v>
      </c>
      <c r="BL50" s="88">
        <f>$E50*IF(BL$2&gt;Inputs!$D$5,0,IF(BL$2&gt;VLOOKUP($H50,Lists!$P$3:$Q$7,2),IF($N50=Lists!$K$3,IF($L50&lt;1,(($U50/$L50)*((1+Inputs!$D$7)^BL$2)),((INT(BL$2/$L50)-INT((BL$2-1)/$L50))*$U50*((1+Inputs!$D$7)^BL$2))),(_xlfn.WEIBULL.DIST(BL$2,$M50,$L50,FALSE)*$U50*((1+Inputs!$D$7)^BL$2))),IF($N50=Lists!$K$3,IF($L50&lt;1,((($T50*(1-$F50)+$S50*(1-$G50))/$L50)*((1+Inputs!$D$7)^BL$2)),((INT(BL$2/$L50)-INT((BL$2-1)/$L50))*($T50*(1-$F50)+$S50*(1-$G50))*((1+Inputs!$D$7)^BL$2))),((_xlfn.WEIBULL.DIST(BL$2,$M50,$L50,FALSE)*($T50*(1-$F50)+$S50*(1-$G50))*((1+Inputs!$D$7)^BL$2))))))</f>
        <v>0</v>
      </c>
      <c r="BM50" s="88">
        <f>$E50*IF(BM$2&gt;Inputs!$D$5,0,IF(BM$2&gt;VLOOKUP($H50,Lists!$P$3:$Q$7,2),IF($N50=Lists!$K$3,IF($L50&lt;1,(($U50/$L50)*((1+Inputs!$D$7)^BM$2)),((INT(BM$2/$L50)-INT((BM$2-1)/$L50))*$U50*((1+Inputs!$D$7)^BM$2))),(_xlfn.WEIBULL.DIST(BM$2,$M50,$L50,FALSE)*$U50*((1+Inputs!$D$7)^BM$2))),IF($N50=Lists!$K$3,IF($L50&lt;1,((($T50*(1-$F50)+$S50*(1-$G50))/$L50)*((1+Inputs!$D$7)^BM$2)),((INT(BM$2/$L50)-INT((BM$2-1)/$L50))*($T50*(1-$F50)+$S50*(1-$G50))*((1+Inputs!$D$7)^BM$2))),((_xlfn.WEIBULL.DIST(BM$2,$M50,$L50,FALSE)*($T50*(1-$F50)+$S50*(1-$G50))*((1+Inputs!$D$7)^BM$2))))))</f>
        <v>0</v>
      </c>
      <c r="BN50" s="88">
        <f>$E50*IF(BN$2&gt;Inputs!$D$5,0,IF(BN$2&gt;VLOOKUP($H50,Lists!$P$3:$Q$7,2),IF($N50=Lists!$K$3,IF($L50&lt;1,(($U50/$L50)*((1+Inputs!$D$7)^BN$2)),((INT(BN$2/$L50)-INT((BN$2-1)/$L50))*$U50*((1+Inputs!$D$7)^BN$2))),(_xlfn.WEIBULL.DIST(BN$2,$M50,$L50,FALSE)*$U50*((1+Inputs!$D$7)^BN$2))),IF($N50=Lists!$K$3,IF($L50&lt;1,((($T50*(1-$F50)+$S50*(1-$G50))/$L50)*((1+Inputs!$D$7)^BN$2)),((INT(BN$2/$L50)-INT((BN$2-1)/$L50))*($T50*(1-$F50)+$S50*(1-$G50))*((1+Inputs!$D$7)^BN$2))),((_xlfn.WEIBULL.DIST(BN$2,$M50,$L50,FALSE)*($T50*(1-$F50)+$S50*(1-$G50))*((1+Inputs!$D$7)^BN$2))))))</f>
        <v>0</v>
      </c>
      <c r="BO50" s="64">
        <f>NPV(Inputs!$D$6,BQ50:DD50)</f>
        <v>69.390864619805214</v>
      </c>
      <c r="BP50" s="67">
        <f t="shared" si="13"/>
        <v>3.2728119465834295E-5</v>
      </c>
      <c r="BQ50" s="88">
        <f>MAX(AA50,($E50*IF(BQ$2&gt;Inputs!$D$5,0,IF(BQ$2&gt;VLOOKUP($H50,Lists!$P$3:$Q$7,2),IF($N50=Lists!$K$3,IF($L50&lt;1,(($U50/$L50)*((1+Inputs!$D$7)^BQ$2)),((INT(BQ$2/$L50)-INT((BQ$2-1)/$L50))*$U50*((1+Inputs!$D$7)^BQ$2))),(Inputs!$D$8^((1-_xlfn.WEIBULL.DIST(BQ$2,$M50,$L50,FALSE))/_xlfn.WEIBULL.DIST(BQ$2,$M50,$L50,FALSE))*$U50*((1+Inputs!$D$7)^BQ$2))),IF($N50=Lists!$K$3,IF($L50&lt;1,((($T50*(1-$F50)+$S50*(1-$G50))/$L50)*((1+Inputs!$D$7)^BQ$2)),((INT(BQ$2/$L50)-INT((BQ$2-1)/$L50))*($T50*(1-$F50)+$S50*(1-$G50))*((1+Inputs!$D$7)^BQ$2))),((Inputs!$D$8^((1-_xlfn.WEIBULL.DIST(BQ$2,$M50,$L50,FALSE))/_xlfn.WEIBULL.DIST(BQ$2,$M50,$L50,FALSE))*($T50*(1-$F50)+$S50*(1-$G50))*((1+Inputs!$D$7)^BQ$2))))))))</f>
        <v>3.1266878947481175E-2</v>
      </c>
      <c r="BR50" s="88">
        <f>MAX(AB50,($E50*IF(BR$2&gt;Inputs!$D$5,0,IF(BR$2&gt;VLOOKUP($H50,Lists!$P$3:$Q$7,2),IF($N50=Lists!$K$3,IF($L50&lt;1,(($U50/$L50)*((1+Inputs!$D$7)^BR$2)),((INT(BR$2/$L50)-INT((BR$2-1)/$L50))*$U50*((1+Inputs!$D$7)^BR$2))),(Inputs!$D$8^((1-_xlfn.WEIBULL.DIST(BR$2,$M50,$L50,FALSE))/_xlfn.WEIBULL.DIST(BR$2,$M50,$L50,FALSE))*$U50*((1+Inputs!$D$7)^BR$2))),IF($N50=Lists!$K$3,IF($L50&lt;1,((($T50*(1-$F50)+$S50*(1-$G50))/$L50)*((1+Inputs!$D$7)^BR$2)),((INT(BR$2/$L50)-INT((BR$2-1)/$L50))*($T50*(1-$F50)+$S50*(1-$G50))*((1+Inputs!$D$7)^BR$2))),((Inputs!$D$8^((1-_xlfn.WEIBULL.DIST(BR$2,$M50,$L50,FALSE))/_xlfn.WEIBULL.DIST(BR$2,$M50,$L50,FALSE))*($T50*(1-$F50)+$S50*(1-$G50))*((1+Inputs!$D$7)^BR$2))))))))</f>
        <v>0.12756797312678589</v>
      </c>
      <c r="BS50" s="88">
        <f>MAX(AC50,($E50*IF(BS$2&gt;Inputs!$D$5,0,IF(BS$2&gt;VLOOKUP($H50,Lists!$P$3:$Q$7,2),IF($N50=Lists!$K$3,IF($L50&lt;1,(($U50/$L50)*((1+Inputs!$D$7)^BS$2)),((INT(BS$2/$L50)-INT((BS$2-1)/$L50))*$U50*((1+Inputs!$D$7)^BS$2))),(Inputs!$D$8^((1-_xlfn.WEIBULL.DIST(BS$2,$M50,$L50,FALSE))/_xlfn.WEIBULL.DIST(BS$2,$M50,$L50,FALSE))*$U50*((1+Inputs!$D$7)^BS$2))),IF($N50=Lists!$K$3,IF($L50&lt;1,((($T50*(1-$F50)+$S50*(1-$G50))/$L50)*((1+Inputs!$D$7)^BS$2)),((INT(BS$2/$L50)-INT((BS$2-1)/$L50))*($T50*(1-$F50)+$S50*(1-$G50))*((1+Inputs!$D$7)^BS$2))),((Inputs!$D$8^((1-_xlfn.WEIBULL.DIST(BS$2,$M50,$L50,FALSE))/_xlfn.WEIBULL.DIST(BS$2,$M50,$L50,FALSE))*($T50*(1-$F50)+$S50*(1-$G50))*((1+Inputs!$D$7)^BS$2))))))))</f>
        <v>0.29276293577734985</v>
      </c>
      <c r="BT50" s="88">
        <f>MAX(AD50,($E50*IF(BT$2&gt;Inputs!$D$5,0,IF(BT$2&gt;VLOOKUP($H50,Lists!$P$3:$Q$7,2),IF($N50=Lists!$K$3,IF($L50&lt;1,(($U50/$L50)*((1+Inputs!$D$7)^BT$2)),((INT(BT$2/$L50)-INT((BT$2-1)/$L50))*$U50*((1+Inputs!$D$7)^BT$2))),(Inputs!$D$8^((1-_xlfn.WEIBULL.DIST(BT$2,$M50,$L50,FALSE))/_xlfn.WEIBULL.DIST(BT$2,$M50,$L50,FALSE))*$U50*((1+Inputs!$D$7)^BT$2))),IF($N50=Lists!$K$3,IF($L50&lt;1,((($T50*(1-$F50)+$S50*(1-$G50))/$L50)*((1+Inputs!$D$7)^BT$2)),((INT(BT$2/$L50)-INT((BT$2-1)/$L50))*($T50*(1-$F50)+$S50*(1-$G50))*((1+Inputs!$D$7)^BT$2))),((Inputs!$D$8^((1-_xlfn.WEIBULL.DIST(BT$2,$M50,$L50,FALSE))/_xlfn.WEIBULL.DIST(BT$2,$M50,$L50,FALSE))*($T50*(1-$F50)+$S50*(1-$G50))*((1+Inputs!$D$7)^BT$2))))))))</f>
        <v>0.53085714813173712</v>
      </c>
      <c r="BU50" s="88">
        <f>MAX(AE50,($E50*IF(BU$2&gt;Inputs!$D$5,0,IF(BU$2&gt;VLOOKUP($H50,Lists!$P$3:$Q$7,2),IF($N50=Lists!$K$3,IF($L50&lt;1,(($U50/$L50)*((1+Inputs!$D$7)^BU$2)),((INT(BU$2/$L50)-INT((BU$2-1)/$L50))*$U50*((1+Inputs!$D$7)^BU$2))),(Inputs!$D$8^((1-_xlfn.WEIBULL.DIST(BU$2,$M50,$L50,FALSE))/_xlfn.WEIBULL.DIST(BU$2,$M50,$L50,FALSE))*$U50*((1+Inputs!$D$7)^BU$2))),IF($N50=Lists!$K$3,IF($L50&lt;1,((($T50*(1-$F50)+$S50*(1-$G50))/$L50)*((1+Inputs!$D$7)^BU$2)),((INT(BU$2/$L50)-INT((BU$2-1)/$L50))*($T50*(1-$F50)+$S50*(1-$G50))*((1+Inputs!$D$7)^BU$2))),((Inputs!$D$8^((1-_xlfn.WEIBULL.DIST(BU$2,$M50,$L50,FALSE))/_xlfn.WEIBULL.DIST(BU$2,$M50,$L50,FALSE))*($T50*(1-$F50)+$S50*(1-$G50))*((1+Inputs!$D$7)^BU$2))))))))</f>
        <v>0.84600197214063677</v>
      </c>
      <c r="BV50" s="88">
        <f>MAX(AF50,($E50*IF(BV$2&gt;Inputs!$D$5,0,IF(BV$2&gt;VLOOKUP($H50,Lists!$P$3:$Q$7,2),IF($N50=Lists!$K$3,IF($L50&lt;1,(($U50/$L50)*((1+Inputs!$D$7)^BV$2)),((INT(BV$2/$L50)-INT((BV$2-1)/$L50))*$U50*((1+Inputs!$D$7)^BV$2))),(Inputs!$D$8^((1-_xlfn.WEIBULL.DIST(BV$2,$M50,$L50,FALSE))/_xlfn.WEIBULL.DIST(BV$2,$M50,$L50,FALSE))*$U50*((1+Inputs!$D$7)^BV$2))),IF($N50=Lists!$K$3,IF($L50&lt;1,((($T50*(1-$F50)+$S50*(1-$G50))/$L50)*((1+Inputs!$D$7)^BV$2)),((INT(BV$2/$L50)-INT((BV$2-1)/$L50))*($T50*(1-$F50)+$S50*(1-$G50))*((1+Inputs!$D$7)^BV$2))),((Inputs!$D$8^((1-_xlfn.WEIBULL.DIST(BV$2,$M50,$L50,FALSE))/_xlfn.WEIBULL.DIST(BV$2,$M50,$L50,FALSE))*($T50*(1-$F50)+$S50*(1-$G50))*((1+Inputs!$D$7)^BV$2))))))))</f>
        <v>1.2424946245246307</v>
      </c>
      <c r="BW50" s="88">
        <f>MAX(AG50,($E50*IF(BW$2&gt;Inputs!$D$5,0,IF(BW$2&gt;VLOOKUP($H50,Lists!$P$3:$Q$7,2),IF($N50=Lists!$K$3,IF($L50&lt;1,(($U50/$L50)*((1+Inputs!$D$7)^BW$2)),((INT(BW$2/$L50)-INT((BW$2-1)/$L50))*$U50*((1+Inputs!$D$7)^BW$2))),(Inputs!$D$8^((1-_xlfn.WEIBULL.DIST(BW$2,$M50,$L50,FALSE))/_xlfn.WEIBULL.DIST(BW$2,$M50,$L50,FALSE))*$U50*((1+Inputs!$D$7)^BW$2))),IF($N50=Lists!$K$3,IF($L50&lt;1,((($T50*(1-$F50)+$S50*(1-$G50))/$L50)*((1+Inputs!$D$7)^BW$2)),((INT(BW$2/$L50)-INT((BW$2-1)/$L50))*($T50*(1-$F50)+$S50*(1-$G50))*((1+Inputs!$D$7)^BW$2))),((Inputs!$D$8^((1-_xlfn.WEIBULL.DIST(BW$2,$M50,$L50,FALSE))/_xlfn.WEIBULL.DIST(BW$2,$M50,$L50,FALSE))*($T50*(1-$F50)+$S50*(1-$G50))*((1+Inputs!$D$7)^BW$2))))))))</f>
        <v>1.7247776430443036</v>
      </c>
      <c r="BX50" s="88">
        <f>MAX(AH50,($E50*IF(BX$2&gt;Inputs!$D$5,0,IF(BX$2&gt;VLOOKUP($H50,Lists!$P$3:$Q$7,2),IF($N50=Lists!$K$3,IF($L50&lt;1,(($U50/$L50)*((1+Inputs!$D$7)^BX$2)),((INT(BX$2/$L50)-INT((BX$2-1)/$L50))*$U50*((1+Inputs!$D$7)^BX$2))),(Inputs!$D$8^((1-_xlfn.WEIBULL.DIST(BX$2,$M50,$L50,FALSE))/_xlfn.WEIBULL.DIST(BX$2,$M50,$L50,FALSE))*$U50*((1+Inputs!$D$7)^BX$2))),IF($N50=Lists!$K$3,IF($L50&lt;1,((($T50*(1-$F50)+$S50*(1-$G50))/$L50)*((1+Inputs!$D$7)^BX$2)),((INT(BX$2/$L50)-INT((BX$2-1)/$L50))*($T50*(1-$F50)+$S50*(1-$G50))*((1+Inputs!$D$7)^BX$2))),((Inputs!$D$8^((1-_xlfn.WEIBULL.DIST(BX$2,$M50,$L50,FALSE))/_xlfn.WEIBULL.DIST(BX$2,$M50,$L50,FALSE))*($T50*(1-$F50)+$S50*(1-$G50))*((1+Inputs!$D$7)^BX$2))))))))</f>
        <v>2.2974379152417526</v>
      </c>
      <c r="BY50" s="88">
        <f>MAX(AI50,($E50*IF(BY$2&gt;Inputs!$D$5,0,IF(BY$2&gt;VLOOKUP($H50,Lists!$P$3:$Q$7,2),IF($N50=Lists!$K$3,IF($L50&lt;1,(($U50/$L50)*((1+Inputs!$D$7)^BY$2)),((INT(BY$2/$L50)-INT((BY$2-1)/$L50))*$U50*((1+Inputs!$D$7)^BY$2))),(Inputs!$D$8^((1-_xlfn.WEIBULL.DIST(BY$2,$M50,$L50,FALSE))/_xlfn.WEIBULL.DIST(BY$2,$M50,$L50,FALSE))*$U50*((1+Inputs!$D$7)^BY$2))),IF($N50=Lists!$K$3,IF($L50&lt;1,((($T50*(1-$F50)+$S50*(1-$G50))/$L50)*((1+Inputs!$D$7)^BY$2)),((INT(BY$2/$L50)-INT((BY$2-1)/$L50))*($T50*(1-$F50)+$S50*(1-$G50))*((1+Inputs!$D$7)^BY$2))),((Inputs!$D$8^((1-_xlfn.WEIBULL.DIST(BY$2,$M50,$L50,FALSE))/_xlfn.WEIBULL.DIST(BY$2,$M50,$L50,FALSE))*($T50*(1-$F50)+$S50*(1-$G50))*((1+Inputs!$D$7)^BY$2))))))))</f>
        <v>2.9652052393511381</v>
      </c>
      <c r="BZ50" s="88">
        <f>MAX(AJ50,($E50*IF(BZ$2&gt;Inputs!$D$5,0,IF(BZ$2&gt;VLOOKUP($H50,Lists!$P$3:$Q$7,2),IF($N50=Lists!$K$3,IF($L50&lt;1,(($U50/$L50)*((1+Inputs!$D$7)^BZ$2)),((INT(BZ$2/$L50)-INT((BZ$2-1)/$L50))*$U50*((1+Inputs!$D$7)^BZ$2))),(Inputs!$D$8^((1-_xlfn.WEIBULL.DIST(BZ$2,$M50,$L50,FALSE))/_xlfn.WEIBULL.DIST(BZ$2,$M50,$L50,FALSE))*$U50*((1+Inputs!$D$7)^BZ$2))),IF($N50=Lists!$K$3,IF($L50&lt;1,((($T50*(1-$F50)+$S50*(1-$G50))/$L50)*((1+Inputs!$D$7)^BZ$2)),((INT(BZ$2/$L50)-INT((BZ$2-1)/$L50))*($T50*(1-$F50)+$S50*(1-$G50))*((1+Inputs!$D$7)^BZ$2))),((Inputs!$D$8^((1-_xlfn.WEIBULL.DIST(BZ$2,$M50,$L50,FALSE))/_xlfn.WEIBULL.DIST(BZ$2,$M50,$L50,FALSE))*($T50*(1-$F50)+$S50*(1-$G50))*((1+Inputs!$D$7)^BZ$2))))))))</f>
        <v>3.7329503866140294</v>
      </c>
      <c r="CA50" s="88">
        <f>MAX(AK50,($E50*IF(CA$2&gt;Inputs!$D$5,0,IF(CA$2&gt;VLOOKUP($H50,Lists!$P$3:$Q$7,2),IF($N50=Lists!$K$3,IF($L50&lt;1,(($U50/$L50)*((1+Inputs!$D$7)^CA$2)),((INT(CA$2/$L50)-INT((CA$2-1)/$L50))*$U50*((1+Inputs!$D$7)^CA$2))),(Inputs!$D$8^((1-_xlfn.WEIBULL.DIST(CA$2,$M50,$L50,FALSE))/_xlfn.WEIBULL.DIST(CA$2,$M50,$L50,FALSE))*$U50*((1+Inputs!$D$7)^CA$2))),IF($N50=Lists!$K$3,IF($L50&lt;1,((($T50*(1-$F50)+$S50*(1-$G50))/$L50)*((1+Inputs!$D$7)^CA$2)),((INT(CA$2/$L50)-INT((CA$2-1)/$L50))*($T50*(1-$F50)+$S50*(1-$G50))*((1+Inputs!$D$7)^CA$2))),((Inputs!$D$8^((1-_xlfn.WEIBULL.DIST(CA$2,$M50,$L50,FALSE))/_xlfn.WEIBULL.DIST(CA$2,$M50,$L50,FALSE))*($T50*(1-$F50)+$S50*(1-$G50))*((1+Inputs!$D$7)^CA$2))))))))</f>
        <v>4.6056826338777821</v>
      </c>
      <c r="CB50" s="88">
        <f>MAX(AL50,($E50*IF(CB$2&gt;Inputs!$D$5,0,IF(CB$2&gt;VLOOKUP($H50,Lists!$P$3:$Q$7,2),IF($N50=Lists!$K$3,IF($L50&lt;1,(($U50/$L50)*((1+Inputs!$D$7)^CB$2)),((INT(CB$2/$L50)-INT((CB$2-1)/$L50))*$U50*((1+Inputs!$D$7)^CB$2))),(Inputs!$D$8^((1-_xlfn.WEIBULL.DIST(CB$2,$M50,$L50,FALSE))/_xlfn.WEIBULL.DIST(CB$2,$M50,$L50,FALSE))*$U50*((1+Inputs!$D$7)^CB$2))),IF($N50=Lists!$K$3,IF($L50&lt;1,((($T50*(1-$F50)+$S50*(1-$G50))/$L50)*((1+Inputs!$D$7)^CB$2)),((INT(CB$2/$L50)-INT((CB$2-1)/$L50))*($T50*(1-$F50)+$S50*(1-$G50))*((1+Inputs!$D$7)^CB$2))),((Inputs!$D$8^((1-_xlfn.WEIBULL.DIST(CB$2,$M50,$L50,FALSE))/_xlfn.WEIBULL.DIST(CB$2,$M50,$L50,FALSE))*($T50*(1-$F50)+$S50*(1-$G50))*((1+Inputs!$D$7)^CB$2))))))))</f>
        <v>5.5885467351130833</v>
      </c>
      <c r="CC50" s="88">
        <f>MAX(AM50,($E50*IF(CC$2&gt;Inputs!$D$5,0,IF(CC$2&gt;VLOOKUP($H50,Lists!$P$3:$Q$7,2),IF($N50=Lists!$K$3,IF($L50&lt;1,(($U50/$L50)*((1+Inputs!$D$7)^CC$2)),((INT(CC$2/$L50)-INT((CC$2-1)/$L50))*$U50*((1+Inputs!$D$7)^CC$2))),(Inputs!$D$8^((1-_xlfn.WEIBULL.DIST(CC$2,$M50,$L50,FALSE))/_xlfn.WEIBULL.DIST(CC$2,$M50,$L50,FALSE))*$U50*((1+Inputs!$D$7)^CC$2))),IF($N50=Lists!$K$3,IF($L50&lt;1,((($T50*(1-$F50)+$S50*(1-$G50))/$L50)*((1+Inputs!$D$7)^CC$2)),((INT(CC$2/$L50)-INT((CC$2-1)/$L50))*($T50*(1-$F50)+$S50*(1-$G50))*((1+Inputs!$D$7)^CC$2))),((Inputs!$D$8^((1-_xlfn.WEIBULL.DIST(CC$2,$M50,$L50,FALSE))/_xlfn.WEIBULL.DIST(CC$2,$M50,$L50,FALSE))*($T50*(1-$F50)+$S50*(1-$G50))*((1+Inputs!$D$7)^CC$2))))))))</f>
        <v>6.686819300371698</v>
      </c>
      <c r="CD50" s="88">
        <f>MAX(AN50,($E50*IF(CD$2&gt;Inputs!$D$5,0,IF(CD$2&gt;VLOOKUP($H50,Lists!$P$3:$Q$7,2),IF($N50=Lists!$K$3,IF($L50&lt;1,(($U50/$L50)*((1+Inputs!$D$7)^CD$2)),((INT(CD$2/$L50)-INT((CD$2-1)/$L50))*$U50*((1+Inputs!$D$7)^CD$2))),(Inputs!$D$8^((1-_xlfn.WEIBULL.DIST(CD$2,$M50,$L50,FALSE))/_xlfn.WEIBULL.DIST(CD$2,$M50,$L50,FALSE))*$U50*((1+Inputs!$D$7)^CD$2))),IF($N50=Lists!$K$3,IF($L50&lt;1,((($T50*(1-$F50)+$S50*(1-$G50))/$L50)*((1+Inputs!$D$7)^CD$2)),((INT(CD$2/$L50)-INT((CD$2-1)/$L50))*($T50*(1-$F50)+$S50*(1-$G50))*((1+Inputs!$D$7)^CD$2))),((Inputs!$D$8^((1-_xlfn.WEIBULL.DIST(CD$2,$M50,$L50,FALSE))/_xlfn.WEIBULL.DIST(CD$2,$M50,$L50,FALSE))*($T50*(1-$F50)+$S50*(1-$G50))*((1+Inputs!$D$7)^CD$2))))))))</f>
        <v>7.9059045507291223</v>
      </c>
      <c r="CE50" s="88">
        <f>MAX(AO50,($E50*IF(CE$2&gt;Inputs!$D$5,0,IF(CE$2&gt;VLOOKUP($H50,Lists!$P$3:$Q$7,2),IF($N50=Lists!$K$3,IF($L50&lt;1,(($U50/$L50)*((1+Inputs!$D$7)^CE$2)),((INT(CE$2/$L50)-INT((CE$2-1)/$L50))*$U50*((1+Inputs!$D$7)^CE$2))),(Inputs!$D$8^((1-_xlfn.WEIBULL.DIST(CE$2,$M50,$L50,FALSE))/_xlfn.WEIBULL.DIST(CE$2,$M50,$L50,FALSE))*$U50*((1+Inputs!$D$7)^CE$2))),IF($N50=Lists!$K$3,IF($L50&lt;1,((($T50*(1-$F50)+$S50*(1-$G50))/$L50)*((1+Inputs!$D$7)^CE$2)),((INT(CE$2/$L50)-INT((CE$2-1)/$L50))*($T50*(1-$F50)+$S50*(1-$G50))*((1+Inputs!$D$7)^CE$2))),((Inputs!$D$8^((1-_xlfn.WEIBULL.DIST(CE$2,$M50,$L50,FALSE))/_xlfn.WEIBULL.DIST(CE$2,$M50,$L50,FALSE))*($T50*(1-$F50)+$S50*(1-$G50))*((1+Inputs!$D$7)^CE$2))))))))</f>
        <v>9.2513294179310339</v>
      </c>
      <c r="CF50" s="88">
        <f>MAX(AP50,($E50*IF(CF$2&gt;Inputs!$D$5,0,IF(CF$2&gt;VLOOKUP($H50,Lists!$P$3:$Q$7,2),IF($N50=Lists!$K$3,IF($L50&lt;1,(($U50/$L50)*((1+Inputs!$D$7)^CF$2)),((INT(CF$2/$L50)-INT((CF$2-1)/$L50))*$U50*((1+Inputs!$D$7)^CF$2))),(Inputs!$D$8^((1-_xlfn.WEIBULL.DIST(CF$2,$M50,$L50,FALSE))/_xlfn.WEIBULL.DIST(CF$2,$M50,$L50,FALSE))*$U50*((1+Inputs!$D$7)^CF$2))),IF($N50=Lists!$K$3,IF($L50&lt;1,((($T50*(1-$F50)+$S50*(1-$G50))/$L50)*((1+Inputs!$D$7)^CF$2)),((INT(CF$2/$L50)-INT((CF$2-1)/$L50))*($T50*(1-$F50)+$S50*(1-$G50))*((1+Inputs!$D$7)^CF$2))),((Inputs!$D$8^((1-_xlfn.WEIBULL.DIST(CF$2,$M50,$L50,FALSE))/_xlfn.WEIBULL.DIST(CF$2,$M50,$L50,FALSE))*($T50*(1-$F50)+$S50*(1-$G50))*((1+Inputs!$D$7)^CF$2))))))))</f>
        <v>10.728737957799401</v>
      </c>
      <c r="CG50" s="88">
        <f>MAX(AQ50,($E50*IF(CG$2&gt;Inputs!$D$5,0,IF(CG$2&gt;VLOOKUP($H50,Lists!$P$3:$Q$7,2),IF($N50=Lists!$K$3,IF($L50&lt;1,(($U50/$L50)*((1+Inputs!$D$7)^CG$2)),((INT(CG$2/$L50)-INT((CG$2-1)/$L50))*$U50*((1+Inputs!$D$7)^CG$2))),(Inputs!$D$8^((1-_xlfn.WEIBULL.DIST(CG$2,$M50,$L50,FALSE))/_xlfn.WEIBULL.DIST(CG$2,$M50,$L50,FALSE))*$U50*((1+Inputs!$D$7)^CG$2))),IF($N50=Lists!$K$3,IF($L50&lt;1,((($T50*(1-$F50)+$S50*(1-$G50))/$L50)*((1+Inputs!$D$7)^CG$2)),((INT(CG$2/$L50)-INT((CG$2-1)/$L50))*($T50*(1-$F50)+$S50*(1-$G50))*((1+Inputs!$D$7)^CG$2))),((Inputs!$D$8^((1-_xlfn.WEIBULL.DIST(CG$2,$M50,$L50,FALSE))/_xlfn.WEIBULL.DIST(CG$2,$M50,$L50,FALSE))*($T50*(1-$F50)+$S50*(1-$G50))*((1+Inputs!$D$7)^CG$2))))))))</f>
        <v>12.343885046966152</v>
      </c>
      <c r="CH50" s="88">
        <f>MAX(AR50,($E50*IF(CH$2&gt;Inputs!$D$5,0,IF(CH$2&gt;VLOOKUP($H50,Lists!$P$3:$Q$7,2),IF($N50=Lists!$K$3,IF($L50&lt;1,(($U50/$L50)*((1+Inputs!$D$7)^CH$2)),((INT(CH$2/$L50)-INT((CH$2-1)/$L50))*$U50*((1+Inputs!$D$7)^CH$2))),(Inputs!$D$8^((1-_xlfn.WEIBULL.DIST(CH$2,$M50,$L50,FALSE))/_xlfn.WEIBULL.DIST(CH$2,$M50,$L50,FALSE))*$U50*((1+Inputs!$D$7)^CH$2))),IF($N50=Lists!$K$3,IF($L50&lt;1,((($T50*(1-$F50)+$S50*(1-$G50))/$L50)*((1+Inputs!$D$7)^CH$2)),((INT(CH$2/$L50)-INT((CH$2-1)/$L50))*($T50*(1-$F50)+$S50*(1-$G50))*((1+Inputs!$D$7)^CH$2))),((Inputs!$D$8^((1-_xlfn.WEIBULL.DIST(CH$2,$M50,$L50,FALSE))/_xlfn.WEIBULL.DIST(CH$2,$M50,$L50,FALSE))*($T50*(1-$F50)+$S50*(1-$G50))*((1+Inputs!$D$7)^CH$2))))))))</f>
        <v>14.102629333201049</v>
      </c>
      <c r="CI50" s="88">
        <f>MAX(AS50,($E50*IF(CI$2&gt;Inputs!$D$5,0,IF(CI$2&gt;VLOOKUP($H50,Lists!$P$3:$Q$7,2),IF($N50=Lists!$K$3,IF($L50&lt;1,(($U50/$L50)*((1+Inputs!$D$7)^CI$2)),((INT(CI$2/$L50)-INT((CI$2-1)/$L50))*$U50*((1+Inputs!$D$7)^CI$2))),(Inputs!$D$8^((1-_xlfn.WEIBULL.DIST(CI$2,$M50,$L50,FALSE))/_xlfn.WEIBULL.DIST(CI$2,$M50,$L50,FALSE))*$U50*((1+Inputs!$D$7)^CI$2))),IF($N50=Lists!$K$3,IF($L50&lt;1,((($T50*(1-$F50)+$S50*(1-$G50))/$L50)*((1+Inputs!$D$7)^CI$2)),((INT(CI$2/$L50)-INT((CI$2-1)/$L50))*($T50*(1-$F50)+$S50*(1-$G50))*((1+Inputs!$D$7)^CI$2))),((Inputs!$D$8^((1-_xlfn.WEIBULL.DIST(CI$2,$M50,$L50,FALSE))/_xlfn.WEIBULL.DIST(CI$2,$M50,$L50,FALSE))*($T50*(1-$F50)+$S50*(1-$G50))*((1+Inputs!$D$7)^CI$2))))))))</f>
        <v>16.010925410499002</v>
      </c>
      <c r="CJ50" s="88">
        <f>MAX(AT50,($E50*IF(CJ$2&gt;Inputs!$D$5,0,IF(CJ$2&gt;VLOOKUP($H50,Lists!$P$3:$Q$7,2),IF($N50=Lists!$K$3,IF($L50&lt;1,(($U50/$L50)*((1+Inputs!$D$7)^CJ$2)),((INT(CJ$2/$L50)-INT((CJ$2-1)/$L50))*$U50*((1+Inputs!$D$7)^CJ$2))),(Inputs!$D$8^((1-_xlfn.WEIBULL.DIST(CJ$2,$M50,$L50,FALSE))/_xlfn.WEIBULL.DIST(CJ$2,$M50,$L50,FALSE))*$U50*((1+Inputs!$D$7)^CJ$2))),IF($N50=Lists!$K$3,IF($L50&lt;1,((($T50*(1-$F50)+$S50*(1-$G50))/$L50)*((1+Inputs!$D$7)^CJ$2)),((INT(CJ$2/$L50)-INT((CJ$2-1)/$L50))*($T50*(1-$F50)+$S50*(1-$G50))*((1+Inputs!$D$7)^CJ$2))),((Inputs!$D$8^((1-_xlfn.WEIBULL.DIST(CJ$2,$M50,$L50,FALSE))/_xlfn.WEIBULL.DIST(CJ$2,$M50,$L50,FALSE))*($T50*(1-$F50)+$S50*(1-$G50))*((1+Inputs!$D$7)^CJ$2))))))))</f>
        <v>18.074815191200784</v>
      </c>
      <c r="CK50" s="88">
        <f>MAX(AU50,($E50*IF(CK$2&gt;Inputs!$D$5,0,IF(CK$2&gt;VLOOKUP($H50,Lists!$P$3:$Q$7,2),IF($N50=Lists!$K$3,IF($L50&lt;1,(($U50/$L50)*((1+Inputs!$D$7)^CK$2)),((INT(CK$2/$L50)-INT((CK$2-1)/$L50))*$U50*((1+Inputs!$D$7)^CK$2))),(Inputs!$D$8^((1-_xlfn.WEIBULL.DIST(CK$2,$M50,$L50,FALSE))/_xlfn.WEIBULL.DIST(CK$2,$M50,$L50,FALSE))*$U50*((1+Inputs!$D$7)^CK$2))),IF($N50=Lists!$K$3,IF($L50&lt;1,((($T50*(1-$F50)+$S50*(1-$G50))/$L50)*((1+Inputs!$D$7)^CK$2)),((INT(CK$2/$L50)-INT((CK$2-1)/$L50))*($T50*(1-$F50)+$S50*(1-$G50))*((1+Inputs!$D$7)^CK$2))),((Inputs!$D$8^((1-_xlfn.WEIBULL.DIST(CK$2,$M50,$L50,FALSE))/_xlfn.WEIBULL.DIST(CK$2,$M50,$L50,FALSE))*($T50*(1-$F50)+$S50*(1-$G50))*((1+Inputs!$D$7)^CK$2))))))))</f>
        <v>20.300418448753778</v>
      </c>
      <c r="CL50" s="88">
        <f>MAX(AV50,($E50*IF(CL$2&gt;Inputs!$D$5,0,IF(CL$2&gt;VLOOKUP($H50,Lists!$P$3:$Q$7,2),IF($N50=Lists!$K$3,IF($L50&lt;1,(($U50/$L50)*((1+Inputs!$D$7)^CL$2)),((INT(CL$2/$L50)-INT((CL$2-1)/$L50))*$U50*((1+Inputs!$D$7)^CL$2))),(Inputs!$D$8^((1-_xlfn.WEIBULL.DIST(CL$2,$M50,$L50,FALSE))/_xlfn.WEIBULL.DIST(CL$2,$M50,$L50,FALSE))*$U50*((1+Inputs!$D$7)^CL$2))),IF($N50=Lists!$K$3,IF($L50&lt;1,((($T50*(1-$F50)+$S50*(1-$G50))/$L50)*((1+Inputs!$D$7)^CL$2)),((INT(CL$2/$L50)-INT((CL$2-1)/$L50))*($T50*(1-$F50)+$S50*(1-$G50))*((1+Inputs!$D$7)^CL$2))),((Inputs!$D$8^((1-_xlfn.WEIBULL.DIST(CL$2,$M50,$L50,FALSE))/_xlfn.WEIBULL.DIST(CL$2,$M50,$L50,FALSE))*($T50*(1-$F50)+$S50*(1-$G50))*((1+Inputs!$D$7)^CL$2))))))))</f>
        <v>22.693922506285148</v>
      </c>
      <c r="CM50" s="88">
        <f>MAX(AW50,($E50*IF(CM$2&gt;Inputs!$D$5,0,IF(CM$2&gt;VLOOKUP($H50,Lists!$P$3:$Q$7,2),IF($N50=Lists!$K$3,IF($L50&lt;1,(($U50/$L50)*((1+Inputs!$D$7)^CM$2)),((INT(CM$2/$L50)-INT((CM$2-1)/$L50))*$U50*((1+Inputs!$D$7)^CM$2))),(Inputs!$D$8^((1-_xlfn.WEIBULL.DIST(CM$2,$M50,$L50,FALSE))/_xlfn.WEIBULL.DIST(CM$2,$M50,$L50,FALSE))*$U50*((1+Inputs!$D$7)^CM$2))),IF($N50=Lists!$K$3,IF($L50&lt;1,((($T50*(1-$F50)+$S50*(1-$G50))/$L50)*((1+Inputs!$D$7)^CM$2)),((INT(CM$2/$L50)-INT((CM$2-1)/$L50))*($T50*(1-$F50)+$S50*(1-$G50))*((1+Inputs!$D$7)^CM$2))),((Inputs!$D$8^((1-_xlfn.WEIBULL.DIST(CM$2,$M50,$L50,FALSE))/_xlfn.WEIBULL.DIST(CM$2,$M50,$L50,FALSE))*($T50*(1-$F50)+$S50*(1-$G50))*((1+Inputs!$D$7)^CM$2))))))))</f>
        <v>25.261571047970779</v>
      </c>
      <c r="CN50" s="88">
        <f>MAX(AX50,($E50*IF(CN$2&gt;Inputs!$D$5,0,IF(CN$2&gt;VLOOKUP($H50,Lists!$P$3:$Q$7,2),IF($N50=Lists!$K$3,IF($L50&lt;1,(($U50/$L50)*((1+Inputs!$D$7)^CN$2)),((INT(CN$2/$L50)-INT((CN$2-1)/$L50))*$U50*((1+Inputs!$D$7)^CN$2))),(Inputs!$D$8^((1-_xlfn.WEIBULL.DIST(CN$2,$M50,$L50,FALSE))/_xlfn.WEIBULL.DIST(CN$2,$M50,$L50,FALSE))*$U50*((1+Inputs!$D$7)^CN$2))),IF($N50=Lists!$K$3,IF($L50&lt;1,((($T50*(1-$F50)+$S50*(1-$G50))/$L50)*((1+Inputs!$D$7)^CN$2)),((INT(CN$2/$L50)-INT((CN$2-1)/$L50))*($T50*(1-$F50)+$S50*(1-$G50))*((1+Inputs!$D$7)^CN$2))),((Inputs!$D$8^((1-_xlfn.WEIBULL.DIST(CN$2,$M50,$L50,FALSE))/_xlfn.WEIBULL.DIST(CN$2,$M50,$L50,FALSE))*($T50*(1-$F50)+$S50*(1-$G50))*((1+Inputs!$D$7)^CN$2))))))))</f>
        <v>28.009652032249736</v>
      </c>
      <c r="CO50" s="88">
        <f>MAX(AY50,($E50*IF(CO$2&gt;Inputs!$D$5,0,IF(CO$2&gt;VLOOKUP($H50,Lists!$P$3:$Q$7,2),IF($N50=Lists!$K$3,IF($L50&lt;1,(($U50/$L50)*((1+Inputs!$D$7)^CO$2)),((INT(CO$2/$L50)-INT((CO$2-1)/$L50))*$U50*((1+Inputs!$D$7)^CO$2))),(Inputs!$D$8^((1-_xlfn.WEIBULL.DIST(CO$2,$M50,$L50,FALSE))/_xlfn.WEIBULL.DIST(CO$2,$M50,$L50,FALSE))*$U50*((1+Inputs!$D$7)^CO$2))),IF($N50=Lists!$K$3,IF($L50&lt;1,((($T50*(1-$F50)+$S50*(1-$G50))/$L50)*((1+Inputs!$D$7)^CO$2)),((INT(CO$2/$L50)-INT((CO$2-1)/$L50))*($T50*(1-$F50)+$S50*(1-$G50))*((1+Inputs!$D$7)^CO$2))),((Inputs!$D$8^((1-_xlfn.WEIBULL.DIST(CO$2,$M50,$L50,FALSE))/_xlfn.WEIBULL.DIST(CO$2,$M50,$L50,FALSE))*($T50*(1-$F50)+$S50*(1-$G50))*((1+Inputs!$D$7)^CO$2))))))))</f>
        <v>30.94448468826365</v>
      </c>
      <c r="CP50" s="88">
        <f>MAX(AZ50,($E50*IF(CP$2&gt;Inputs!$D$5,0,IF(CP$2&gt;VLOOKUP($H50,Lists!$P$3:$Q$7,2),IF($N50=Lists!$K$3,IF($L50&lt;1,(($U50/$L50)*((1+Inputs!$D$7)^CP$2)),((INT(CP$2/$L50)-INT((CP$2-1)/$L50))*$U50*((1+Inputs!$D$7)^CP$2))),(Inputs!$D$8^((1-_xlfn.WEIBULL.DIST(CP$2,$M50,$L50,FALSE))/_xlfn.WEIBULL.DIST(CP$2,$M50,$L50,FALSE))*$U50*((1+Inputs!$D$7)^CP$2))),IF($N50=Lists!$K$3,IF($L50&lt;1,((($T50*(1-$F50)+$S50*(1-$G50))/$L50)*((1+Inputs!$D$7)^CP$2)),((INT(CP$2/$L50)-INT((CP$2-1)/$L50))*($T50*(1-$F50)+$S50*(1-$G50))*((1+Inputs!$D$7)^CP$2))),((Inputs!$D$8^((1-_xlfn.WEIBULL.DIST(CP$2,$M50,$L50,FALSE))/_xlfn.WEIBULL.DIST(CP$2,$M50,$L50,FALSE))*($T50*(1-$F50)+$S50*(1-$G50))*((1+Inputs!$D$7)^CP$2))))))))</f>
        <v>0</v>
      </c>
      <c r="CQ50" s="88">
        <f>MAX(BA50,($E50*IF(CQ$2&gt;Inputs!$D$5,0,IF(CQ$2&gt;VLOOKUP($H50,Lists!$P$3:$Q$7,2),IF($N50=Lists!$K$3,IF($L50&lt;1,(($U50/$L50)*((1+Inputs!$D$7)^CQ$2)),((INT(CQ$2/$L50)-INT((CQ$2-1)/$L50))*$U50*((1+Inputs!$D$7)^CQ$2))),(Inputs!$D$8^((1-_xlfn.WEIBULL.DIST(CQ$2,$M50,$L50,FALSE))/_xlfn.WEIBULL.DIST(CQ$2,$M50,$L50,FALSE))*$U50*((1+Inputs!$D$7)^CQ$2))),IF($N50=Lists!$K$3,IF($L50&lt;1,((($T50*(1-$F50)+$S50*(1-$G50))/$L50)*((1+Inputs!$D$7)^CQ$2)),((INT(CQ$2/$L50)-INT((CQ$2-1)/$L50))*($T50*(1-$F50)+$S50*(1-$G50))*((1+Inputs!$D$7)^CQ$2))),((Inputs!$D$8^((1-_xlfn.WEIBULL.DIST(CQ$2,$M50,$L50,FALSE))/_xlfn.WEIBULL.DIST(CQ$2,$M50,$L50,FALSE))*($T50*(1-$F50)+$S50*(1-$G50))*((1+Inputs!$D$7)^CQ$2))))))))</f>
        <v>0</v>
      </c>
      <c r="CR50" s="88">
        <f>MAX(BB50,($E50*IF(CR$2&gt;Inputs!$D$5,0,IF(CR$2&gt;VLOOKUP($H50,Lists!$P$3:$Q$7,2),IF($N50=Lists!$K$3,IF($L50&lt;1,(($U50/$L50)*((1+Inputs!$D$7)^CR$2)),((INT(CR$2/$L50)-INT((CR$2-1)/$L50))*$U50*((1+Inputs!$D$7)^CR$2))),(Inputs!$D$8^((1-_xlfn.WEIBULL.DIST(CR$2,$M50,$L50,FALSE))/_xlfn.WEIBULL.DIST(CR$2,$M50,$L50,FALSE))*$U50*((1+Inputs!$D$7)^CR$2))),IF($N50=Lists!$K$3,IF($L50&lt;1,((($T50*(1-$F50)+$S50*(1-$G50))/$L50)*((1+Inputs!$D$7)^CR$2)),((INT(CR$2/$L50)-INT((CR$2-1)/$L50))*($T50*(1-$F50)+$S50*(1-$G50))*((1+Inputs!$D$7)^CR$2))),((Inputs!$D$8^((1-_xlfn.WEIBULL.DIST(CR$2,$M50,$L50,FALSE))/_xlfn.WEIBULL.DIST(CR$2,$M50,$L50,FALSE))*($T50*(1-$F50)+$S50*(1-$G50))*((1+Inputs!$D$7)^CR$2))))))))</f>
        <v>0</v>
      </c>
      <c r="CS50" s="88">
        <f>MAX(BC50,($E50*IF(CS$2&gt;Inputs!$D$5,0,IF(CS$2&gt;VLOOKUP($H50,Lists!$P$3:$Q$7,2),IF($N50=Lists!$K$3,IF($L50&lt;1,(($U50/$L50)*((1+Inputs!$D$7)^CS$2)),((INT(CS$2/$L50)-INT((CS$2-1)/$L50))*$U50*((1+Inputs!$D$7)^CS$2))),(Inputs!$D$8^((1-_xlfn.WEIBULL.DIST(CS$2,$M50,$L50,FALSE))/_xlfn.WEIBULL.DIST(CS$2,$M50,$L50,FALSE))*$U50*((1+Inputs!$D$7)^CS$2))),IF($N50=Lists!$K$3,IF($L50&lt;1,((($T50*(1-$F50)+$S50*(1-$G50))/$L50)*((1+Inputs!$D$7)^CS$2)),((INT(CS$2/$L50)-INT((CS$2-1)/$L50))*($T50*(1-$F50)+$S50*(1-$G50))*((1+Inputs!$D$7)^CS$2))),((Inputs!$D$8^((1-_xlfn.WEIBULL.DIST(CS$2,$M50,$L50,FALSE))/_xlfn.WEIBULL.DIST(CS$2,$M50,$L50,FALSE))*($T50*(1-$F50)+$S50*(1-$G50))*((1+Inputs!$D$7)^CS$2))))))))</f>
        <v>0</v>
      </c>
      <c r="CT50" s="88">
        <f>MAX(BD50,($E50*IF(CT$2&gt;Inputs!$D$5,0,IF(CT$2&gt;VLOOKUP($H50,Lists!$P$3:$Q$7,2),IF($N50=Lists!$K$3,IF($L50&lt;1,(($U50/$L50)*((1+Inputs!$D$7)^CT$2)),((INT(CT$2/$L50)-INT((CT$2-1)/$L50))*$U50*((1+Inputs!$D$7)^CT$2))),(Inputs!$D$8^((1-_xlfn.WEIBULL.DIST(CT$2,$M50,$L50,FALSE))/_xlfn.WEIBULL.DIST(CT$2,$M50,$L50,FALSE))*$U50*((1+Inputs!$D$7)^CT$2))),IF($N50=Lists!$K$3,IF($L50&lt;1,((($T50*(1-$F50)+$S50*(1-$G50))/$L50)*((1+Inputs!$D$7)^CT$2)),((INT(CT$2/$L50)-INT((CT$2-1)/$L50))*($T50*(1-$F50)+$S50*(1-$G50))*((1+Inputs!$D$7)^CT$2))),((Inputs!$D$8^((1-_xlfn.WEIBULL.DIST(CT$2,$M50,$L50,FALSE))/_xlfn.WEIBULL.DIST(CT$2,$M50,$L50,FALSE))*($T50*(1-$F50)+$S50*(1-$G50))*((1+Inputs!$D$7)^CT$2))))))))</f>
        <v>0</v>
      </c>
      <c r="CU50" s="88">
        <f>MAX(BE50,($E50*IF(CU$2&gt;Inputs!$D$5,0,IF(CU$2&gt;VLOOKUP($H50,Lists!$P$3:$Q$7,2),IF($N50=Lists!$K$3,IF($L50&lt;1,(($U50/$L50)*((1+Inputs!$D$7)^CU$2)),((INT(CU$2/$L50)-INT((CU$2-1)/$L50))*$U50*((1+Inputs!$D$7)^CU$2))),(Inputs!$D$8^((1-_xlfn.WEIBULL.DIST(CU$2,$M50,$L50,FALSE))/_xlfn.WEIBULL.DIST(CU$2,$M50,$L50,FALSE))*$U50*((1+Inputs!$D$7)^CU$2))),IF($N50=Lists!$K$3,IF($L50&lt;1,((($T50*(1-$F50)+$S50*(1-$G50))/$L50)*((1+Inputs!$D$7)^CU$2)),((INT(CU$2/$L50)-INT((CU$2-1)/$L50))*($T50*(1-$F50)+$S50*(1-$G50))*((1+Inputs!$D$7)^CU$2))),((Inputs!$D$8^((1-_xlfn.WEIBULL.DIST(CU$2,$M50,$L50,FALSE))/_xlfn.WEIBULL.DIST(CU$2,$M50,$L50,FALSE))*($T50*(1-$F50)+$S50*(1-$G50))*((1+Inputs!$D$7)^CU$2))))))))</f>
        <v>0</v>
      </c>
      <c r="CV50" s="88">
        <f>MAX(BF50,($E50*IF(CV$2&gt;Inputs!$D$5,0,IF(CV$2&gt;VLOOKUP($H50,Lists!$P$3:$Q$7,2),IF($N50=Lists!$K$3,IF($L50&lt;1,(($U50/$L50)*((1+Inputs!$D$7)^CV$2)),((INT(CV$2/$L50)-INT((CV$2-1)/$L50))*$U50*((1+Inputs!$D$7)^CV$2))),(Inputs!$D$8^((1-_xlfn.WEIBULL.DIST(CV$2,$M50,$L50,FALSE))/_xlfn.WEIBULL.DIST(CV$2,$M50,$L50,FALSE))*$U50*((1+Inputs!$D$7)^CV$2))),IF($N50=Lists!$K$3,IF($L50&lt;1,((($T50*(1-$F50)+$S50*(1-$G50))/$L50)*((1+Inputs!$D$7)^CV$2)),((INT(CV$2/$L50)-INT((CV$2-1)/$L50))*($T50*(1-$F50)+$S50*(1-$G50))*((1+Inputs!$D$7)^CV$2))),((Inputs!$D$8^((1-_xlfn.WEIBULL.DIST(CV$2,$M50,$L50,FALSE))/_xlfn.WEIBULL.DIST(CV$2,$M50,$L50,FALSE))*($T50*(1-$F50)+$S50*(1-$G50))*((1+Inputs!$D$7)^CV$2))))))))</f>
        <v>0</v>
      </c>
      <c r="CW50" s="88">
        <f>MAX(BG50,($E50*IF(CW$2&gt;Inputs!$D$5,0,IF(CW$2&gt;VLOOKUP($H50,Lists!$P$3:$Q$7,2),IF($N50=Lists!$K$3,IF($L50&lt;1,(($U50/$L50)*((1+Inputs!$D$7)^CW$2)),((INT(CW$2/$L50)-INT((CW$2-1)/$L50))*$U50*((1+Inputs!$D$7)^CW$2))),(Inputs!$D$8^((1-_xlfn.WEIBULL.DIST(CW$2,$M50,$L50,FALSE))/_xlfn.WEIBULL.DIST(CW$2,$M50,$L50,FALSE))*$U50*((1+Inputs!$D$7)^CW$2))),IF($N50=Lists!$K$3,IF($L50&lt;1,((($T50*(1-$F50)+$S50*(1-$G50))/$L50)*((1+Inputs!$D$7)^CW$2)),((INT(CW$2/$L50)-INT((CW$2-1)/$L50))*($T50*(1-$F50)+$S50*(1-$G50))*((1+Inputs!$D$7)^CW$2))),((Inputs!$D$8^((1-_xlfn.WEIBULL.DIST(CW$2,$M50,$L50,FALSE))/_xlfn.WEIBULL.DIST(CW$2,$M50,$L50,FALSE))*($T50*(1-$F50)+$S50*(1-$G50))*((1+Inputs!$D$7)^CW$2))))))))</f>
        <v>0</v>
      </c>
      <c r="CX50" s="88">
        <f>MAX(BH50,($E50*IF(CX$2&gt;Inputs!$D$5,0,IF(CX$2&gt;VLOOKUP($H50,Lists!$P$3:$Q$7,2),IF($N50=Lists!$K$3,IF($L50&lt;1,(($U50/$L50)*((1+Inputs!$D$7)^CX$2)),((INT(CX$2/$L50)-INT((CX$2-1)/$L50))*$U50*((1+Inputs!$D$7)^CX$2))),(Inputs!$D$8^((1-_xlfn.WEIBULL.DIST(CX$2,$M50,$L50,FALSE))/_xlfn.WEIBULL.DIST(CX$2,$M50,$L50,FALSE))*$U50*((1+Inputs!$D$7)^CX$2))),IF($N50=Lists!$K$3,IF($L50&lt;1,((($T50*(1-$F50)+$S50*(1-$G50))/$L50)*((1+Inputs!$D$7)^CX$2)),((INT(CX$2/$L50)-INT((CX$2-1)/$L50))*($T50*(1-$F50)+$S50*(1-$G50))*((1+Inputs!$D$7)^CX$2))),((Inputs!$D$8^((1-_xlfn.WEIBULL.DIST(CX$2,$M50,$L50,FALSE))/_xlfn.WEIBULL.DIST(CX$2,$M50,$L50,FALSE))*($T50*(1-$F50)+$S50*(1-$G50))*((1+Inputs!$D$7)^CX$2))))))))</f>
        <v>0</v>
      </c>
      <c r="CY50" s="88">
        <f>MAX(BI50,($E50*IF(CY$2&gt;Inputs!$D$5,0,IF(CY$2&gt;VLOOKUP($H50,Lists!$P$3:$Q$7,2),IF($N50=Lists!$K$3,IF($L50&lt;1,(($U50/$L50)*((1+Inputs!$D$7)^CY$2)),((INT(CY$2/$L50)-INT((CY$2-1)/$L50))*$U50*((1+Inputs!$D$7)^CY$2))),(Inputs!$D$8^((1-_xlfn.WEIBULL.DIST(CY$2,$M50,$L50,FALSE))/_xlfn.WEIBULL.DIST(CY$2,$M50,$L50,FALSE))*$U50*((1+Inputs!$D$7)^CY$2))),IF($N50=Lists!$K$3,IF($L50&lt;1,((($T50*(1-$F50)+$S50*(1-$G50))/$L50)*((1+Inputs!$D$7)^CY$2)),((INT(CY$2/$L50)-INT((CY$2-1)/$L50))*($T50*(1-$F50)+$S50*(1-$G50))*((1+Inputs!$D$7)^CY$2))),((Inputs!$D$8^((1-_xlfn.WEIBULL.DIST(CY$2,$M50,$L50,FALSE))/_xlfn.WEIBULL.DIST(CY$2,$M50,$L50,FALSE))*($T50*(1-$F50)+$S50*(1-$G50))*((1+Inputs!$D$7)^CY$2))))))))</f>
        <v>0</v>
      </c>
      <c r="CZ50" s="88">
        <f>MAX(BJ50,($E50*IF(CZ$2&gt;Inputs!$D$5,0,IF(CZ$2&gt;VLOOKUP($H50,Lists!$P$3:$Q$7,2),IF($N50=Lists!$K$3,IF($L50&lt;1,(($U50/$L50)*((1+Inputs!$D$7)^CZ$2)),((INT(CZ$2/$L50)-INT((CZ$2-1)/$L50))*$U50*((1+Inputs!$D$7)^CZ$2))),(Inputs!$D$8^((1-_xlfn.WEIBULL.DIST(CZ$2,$M50,$L50,FALSE))/_xlfn.WEIBULL.DIST(CZ$2,$M50,$L50,FALSE))*$U50*((1+Inputs!$D$7)^CZ$2))),IF($N50=Lists!$K$3,IF($L50&lt;1,((($T50*(1-$F50)+$S50*(1-$G50))/$L50)*((1+Inputs!$D$7)^CZ$2)),((INT(CZ$2/$L50)-INT((CZ$2-1)/$L50))*($T50*(1-$F50)+$S50*(1-$G50))*((1+Inputs!$D$7)^CZ$2))),((Inputs!$D$8^((1-_xlfn.WEIBULL.DIST(CZ$2,$M50,$L50,FALSE))/_xlfn.WEIBULL.DIST(CZ$2,$M50,$L50,FALSE))*($T50*(1-$F50)+$S50*(1-$G50))*((1+Inputs!$D$7)^CZ$2))))))))</f>
        <v>0</v>
      </c>
      <c r="DA50" s="88">
        <f>MAX(BK50,($E50*IF(DA$2&gt;Inputs!$D$5,0,IF(DA$2&gt;VLOOKUP($H50,Lists!$P$3:$Q$7,2),IF($N50=Lists!$K$3,IF($L50&lt;1,(($U50/$L50)*((1+Inputs!$D$7)^DA$2)),((INT(DA$2/$L50)-INT((DA$2-1)/$L50))*$U50*((1+Inputs!$D$7)^DA$2))),(Inputs!$D$8^((1-_xlfn.WEIBULL.DIST(DA$2,$M50,$L50,FALSE))/_xlfn.WEIBULL.DIST(DA$2,$M50,$L50,FALSE))*$U50*((1+Inputs!$D$7)^DA$2))),IF($N50=Lists!$K$3,IF($L50&lt;1,((($T50*(1-$F50)+$S50*(1-$G50))/$L50)*((1+Inputs!$D$7)^DA$2)),((INT(DA$2/$L50)-INT((DA$2-1)/$L50))*($T50*(1-$F50)+$S50*(1-$G50))*((1+Inputs!$D$7)^DA$2))),((Inputs!$D$8^((1-_xlfn.WEIBULL.DIST(DA$2,$M50,$L50,FALSE))/_xlfn.WEIBULL.DIST(DA$2,$M50,$L50,FALSE))*($T50*(1-$F50)+$S50*(1-$G50))*((1+Inputs!$D$7)^DA$2))))))))</f>
        <v>0</v>
      </c>
      <c r="DB50" s="88">
        <f>MAX(BL50,($E50*IF(DB$2&gt;Inputs!$D$5,0,IF(DB$2&gt;VLOOKUP($H50,Lists!$P$3:$Q$7,2),IF($N50=Lists!$K$3,IF($L50&lt;1,(($U50/$L50)*((1+Inputs!$D$7)^DB$2)),((INT(DB$2/$L50)-INT((DB$2-1)/$L50))*$U50*((1+Inputs!$D$7)^DB$2))),(Inputs!$D$8^((1-_xlfn.WEIBULL.DIST(DB$2,$M50,$L50,FALSE))/_xlfn.WEIBULL.DIST(DB$2,$M50,$L50,FALSE))*$U50*((1+Inputs!$D$7)^DB$2))),IF($N50=Lists!$K$3,IF($L50&lt;1,((($T50*(1-$F50)+$S50*(1-$G50))/$L50)*((1+Inputs!$D$7)^DB$2)),((INT(DB$2/$L50)-INT((DB$2-1)/$L50))*($T50*(1-$F50)+$S50*(1-$G50))*((1+Inputs!$D$7)^DB$2))),((Inputs!$D$8^((1-_xlfn.WEIBULL.DIST(DB$2,$M50,$L50,FALSE))/_xlfn.WEIBULL.DIST(DB$2,$M50,$L50,FALSE))*($T50*(1-$F50)+$S50*(1-$G50))*((1+Inputs!$D$7)^DB$2))))))))</f>
        <v>0</v>
      </c>
      <c r="DC50" s="88">
        <f>MAX(BM50,($E50*IF(DC$2&gt;Inputs!$D$5,0,IF(DC$2&gt;VLOOKUP($H50,Lists!$P$3:$Q$7,2),IF($N50=Lists!$K$3,IF($L50&lt;1,(($U50/$L50)*((1+Inputs!$D$7)^DC$2)),((INT(DC$2/$L50)-INT((DC$2-1)/$L50))*$U50*((1+Inputs!$D$7)^DC$2))),(Inputs!$D$8^((1-_xlfn.WEIBULL.DIST(DC$2,$M50,$L50,FALSE))/_xlfn.WEIBULL.DIST(DC$2,$M50,$L50,FALSE))*$U50*((1+Inputs!$D$7)^DC$2))),IF($N50=Lists!$K$3,IF($L50&lt;1,((($T50*(1-$F50)+$S50*(1-$G50))/$L50)*((1+Inputs!$D$7)^DC$2)),((INT(DC$2/$L50)-INT((DC$2-1)/$L50))*($T50*(1-$F50)+$S50*(1-$G50))*((1+Inputs!$D$7)^DC$2))),((Inputs!$D$8^((1-_xlfn.WEIBULL.DIST(DC$2,$M50,$L50,FALSE))/_xlfn.WEIBULL.DIST(DC$2,$M50,$L50,FALSE))*($T50*(1-$F50)+$S50*(1-$G50))*((1+Inputs!$D$7)^DC$2))))))))</f>
        <v>0</v>
      </c>
      <c r="DD50" s="88">
        <f>MAX(BN50,($E50*IF(DD$2&gt;Inputs!$D$5,0,IF(DD$2&gt;VLOOKUP($H50,Lists!$P$3:$Q$7,2),IF($N50=Lists!$K$3,IF($L50&lt;1,(($U50/$L50)*((1+Inputs!$D$7)^DD$2)),((INT(DD$2/$L50)-INT((DD$2-1)/$L50))*$U50*((1+Inputs!$D$7)^DD$2))),(Inputs!$D$8^((1-_xlfn.WEIBULL.DIST(DD$2,$M50,$L50,FALSE))/_xlfn.WEIBULL.DIST(DD$2,$M50,$L50,FALSE))*$U50*((1+Inputs!$D$7)^DD$2))),IF($N50=Lists!$K$3,IF($L50&lt;1,((($T50*(1-$F50)+$S50*(1-$G50))/$L50)*((1+Inputs!$D$7)^DD$2)),((INT(DD$2/$L50)-INT((DD$2-1)/$L50))*($T50*(1-$F50)+$S50*(1-$G50))*((1+Inputs!$D$7)^DD$2))),((Inputs!$D$8^((1-_xlfn.WEIBULL.DIST(DD$2,$M50,$L50,FALSE))/_xlfn.WEIBULL.DIST(DD$2,$M50,$L50,FALSE))*($T50*(1-$F50)+$S50*(1-$G50))*((1+Inputs!$D$7)^DD$2))))))))</f>
        <v>0</v>
      </c>
    </row>
    <row r="51" spans="1:108" s="1" customFormat="1" ht="16">
      <c r="A51" s="57" t="s">
        <v>227</v>
      </c>
      <c r="B51" s="13" t="s">
        <v>130</v>
      </c>
      <c r="C51" s="13" t="s">
        <v>474</v>
      </c>
      <c r="D51" s="13" t="s">
        <v>215</v>
      </c>
      <c r="E51" s="48">
        <v>1</v>
      </c>
      <c r="F51" s="48">
        <v>1</v>
      </c>
      <c r="G51" s="48">
        <v>0</v>
      </c>
      <c r="H51" s="105" t="s">
        <v>357</v>
      </c>
      <c r="I51" s="14" t="s">
        <v>267</v>
      </c>
      <c r="J51" s="14" t="s">
        <v>88</v>
      </c>
      <c r="K51" s="13">
        <f>VLOOKUP(J51,'Labor Rates'!$A$1:$F$16,2)</f>
        <v>19.903846153846153</v>
      </c>
      <c r="L51" s="15">
        <v>25</v>
      </c>
      <c r="M51" s="15">
        <v>2</v>
      </c>
      <c r="N51" s="16" t="s">
        <v>226</v>
      </c>
      <c r="O51" s="61">
        <f>Inputs!$D$21</f>
        <v>32787</v>
      </c>
      <c r="P51" s="15">
        <v>0.15</v>
      </c>
      <c r="Q51" s="15">
        <f t="shared" si="7"/>
        <v>196.72200000000001</v>
      </c>
      <c r="R51" s="4">
        <f>0.8*Inputs!$D$19</f>
        <v>244</v>
      </c>
      <c r="S51" s="53">
        <f t="shared" si="8"/>
        <v>97888.110576923078</v>
      </c>
      <c r="T51" s="53">
        <f t="shared" si="9"/>
        <v>8000028</v>
      </c>
      <c r="U51" s="54">
        <f t="shared" si="10"/>
        <v>8097916.110576923</v>
      </c>
      <c r="V51" s="65"/>
      <c r="W51" s="58"/>
      <c r="X51" s="64">
        <f t="shared" si="11"/>
        <v>3096.7179625147428</v>
      </c>
      <c r="Y51" s="64">
        <f>NPV(Inputs!$D$6,AA51:BN51)</f>
        <v>452400.91006188077</v>
      </c>
      <c r="Z51" s="67">
        <f t="shared" si="12"/>
        <v>0.21337435571787738</v>
      </c>
      <c r="AA51" s="88">
        <f>$E51*IF(AA$2&gt;Inputs!$D$5,0,IF(AA$2&gt;VLOOKUP($H51,Lists!$P$3:$Q$7,2),IF($N51=Lists!$K$3,IF($L51&lt;1,(($U51/$L51)*((1+Inputs!$D$7)^AA$2)),((INT(AA$2/$L51)-INT((AA$2-1)/$L51))*$U51*((1+Inputs!$D$7)^AA$2))),(_xlfn.WEIBULL.DIST(AA$2,$M51,$L51,FALSE)*$U51*((1+Inputs!$D$7)^AA$2))),IF($N51=Lists!$K$3,IF($L51&lt;1,((($T51*(1-$F51)+$S51*(1-$G51))/$L51)*((1+Inputs!$D$7)^AA$2)),((INT(AA$2/$L51)-INT((AA$2-1)/$L51))*($T51*(1-$F51)+$S51*(1-$G51))*((1+Inputs!$D$7)^AA$2))),((_xlfn.WEIBULL.DIST(AA$2,$M51,$L51,FALSE)*($T51*(1-$F51)+$S51*(1-$G51))*((1+Inputs!$D$7)^AA$2))))))</f>
        <v>318.99599080506567</v>
      </c>
      <c r="AB51" s="88">
        <f>$E51*IF(AB$2&gt;Inputs!$D$5,0,IF(AB$2&gt;VLOOKUP($H51,Lists!$P$3:$Q$7,2),IF($N51=Lists!$K$3,IF($L51&lt;1,(($U51/$L51)*((1+Inputs!$D$7)^AB$2)),((INT(AB$2/$L51)-INT((AB$2-1)/$L51))*$U51*((1+Inputs!$D$7)^AB$2))),(_xlfn.WEIBULL.DIST(AB$2,$M51,$L51,FALSE)*$U51*((1+Inputs!$D$7)^AB$2))),IF($N51=Lists!$K$3,IF($L51&lt;1,((($T51*(1-$F51)+$S51*(1-$G51))/$L51)*((1+Inputs!$D$7)^AB$2)),((INT(AB$2/$L51)-INT((AB$2-1)/$L51))*($T51*(1-$F51)+$S51*(1-$G51))*((1+Inputs!$D$7)^AB$2))),((_xlfn.WEIBULL.DIST(AB$2,$M51,$L51,FALSE)*($T51*(1-$F51)+$S51*(1-$G51))*((1+Inputs!$D$7)^AB$2))))))</f>
        <v>647.63569718107351</v>
      </c>
      <c r="AC51" s="88">
        <f>$E51*IF(AC$2&gt;Inputs!$D$5,0,IF(AC$2&gt;VLOOKUP($H51,Lists!$P$3:$Q$7,2),IF($N51=Lists!$K$3,IF($L51&lt;1,(($U51/$L51)*((1+Inputs!$D$7)^AC$2)),((INT(AC$2/$L51)-INT((AC$2-1)/$L51))*$U51*((1+Inputs!$D$7)^AC$2))),(_xlfn.WEIBULL.DIST(AC$2,$M51,$L51,FALSE)*$U51*((1+Inputs!$D$7)^AC$2))),IF($N51=Lists!$K$3,IF($L51&lt;1,((($T51*(1-$F51)+$S51*(1-$G51))/$L51)*((1+Inputs!$D$7)^AC$2)),((INT(AC$2/$L51)-INT((AC$2-1)/$L51))*($T51*(1-$F51)+$S51*(1-$G51))*((1+Inputs!$D$7)^AC$2))),((_xlfn.WEIBULL.DIST(AC$2,$M51,$L51,FALSE)*($T51*(1-$F51)+$S51*(1-$G51))*((1+Inputs!$D$7)^AC$2))))))</f>
        <v>982.98717961080411</v>
      </c>
      <c r="AD51" s="88">
        <f>$E51*IF(AD$2&gt;Inputs!$D$5,0,IF(AD$2&gt;VLOOKUP($H51,Lists!$P$3:$Q$7,2),IF($N51=Lists!$K$3,IF($L51&lt;1,(($U51/$L51)*((1+Inputs!$D$7)^AD$2)),((INT(AD$2/$L51)-INT((AD$2-1)/$L51))*$U51*((1+Inputs!$D$7)^AD$2))),(_xlfn.WEIBULL.DIST(AD$2,$M51,$L51,FALSE)*$U51*((1+Inputs!$D$7)^AD$2))),IF($N51=Lists!$K$3,IF($L51&lt;1,((($T51*(1-$F51)+$S51*(1-$G51))/$L51)*((1+Inputs!$D$7)^AD$2)),((INT(AD$2/$L51)-INT((AD$2-1)/$L51))*($T51*(1-$F51)+$S51*(1-$G51))*((1+Inputs!$D$7)^AD$2))),((_xlfn.WEIBULL.DIST(AD$2,$M51,$L51,FALSE)*($T51*(1-$F51)+$S51*(1-$G51))*((1+Inputs!$D$7)^AD$2))))))</f>
        <v>1321.9732394128162</v>
      </c>
      <c r="AE51" s="88">
        <f>$E51*IF(AE$2&gt;Inputs!$D$5,0,IF(AE$2&gt;VLOOKUP($H51,Lists!$P$3:$Q$7,2),IF($N51=Lists!$K$3,IF($L51&lt;1,(($U51/$L51)*((1+Inputs!$D$7)^AE$2)),((INT(AE$2/$L51)-INT((AE$2-1)/$L51))*$U51*((1+Inputs!$D$7)^AE$2))),(_xlfn.WEIBULL.DIST(AE$2,$M51,$L51,FALSE)*$U51*((1+Inputs!$D$7)^AE$2))),IF($N51=Lists!$K$3,IF($L51&lt;1,((($T51*(1-$F51)+$S51*(1-$G51))/$L51)*((1+Inputs!$D$7)^AE$2)),((INT(AE$2/$L51)-INT((AE$2-1)/$L51))*($T51*(1-$F51)+$S51*(1-$G51))*((1+Inputs!$D$7)^AE$2))),((_xlfn.WEIBULL.DIST(AE$2,$M51,$L51,FALSE)*($T51*(1-$F51)+$S51*(1-$G51))*((1+Inputs!$D$7)^AE$2))))))</f>
        <v>1661.4183700526887</v>
      </c>
      <c r="AF51" s="88">
        <f>$E51*IF(AF$2&gt;Inputs!$D$5,0,IF(AF$2&gt;VLOOKUP($H51,Lists!$P$3:$Q$7,2),IF($N51=Lists!$K$3,IF($L51&lt;1,(($U51/$L51)*((1+Inputs!$D$7)^AF$2)),((INT(AF$2/$L51)-INT((AF$2-1)/$L51))*$U51*((1+Inputs!$D$7)^AF$2))),(_xlfn.WEIBULL.DIST(AF$2,$M51,$L51,FALSE)*$U51*((1+Inputs!$D$7)^AF$2))),IF($N51=Lists!$K$3,IF($L51&lt;1,((($T51*(1-$F51)+$S51*(1-$G51))/$L51)*((1+Inputs!$D$7)^AF$2)),((INT(AF$2/$L51)-INT((AF$2-1)/$L51))*($T51*(1-$F51)+$S51*(1-$G51))*((1+Inputs!$D$7)^AF$2))),((_xlfn.WEIBULL.DIST(AF$2,$M51,$L51,FALSE)*($T51*(1-$F51)+$S51*(1-$G51))*((1+Inputs!$D$7)^AF$2))))))</f>
        <v>1998.0982664482617</v>
      </c>
      <c r="AG51" s="88">
        <f>$E51*IF(AG$2&gt;Inputs!$D$5,0,IF(AG$2&gt;VLOOKUP($H51,Lists!$P$3:$Q$7,2),IF($N51=Lists!$K$3,IF($L51&lt;1,(($U51/$L51)*((1+Inputs!$D$7)^AG$2)),((INT(AG$2/$L51)-INT((AG$2-1)/$L51))*$U51*((1+Inputs!$D$7)^AG$2))),(_xlfn.WEIBULL.DIST(AG$2,$M51,$L51,FALSE)*$U51*((1+Inputs!$D$7)^AG$2))),IF($N51=Lists!$K$3,IF($L51&lt;1,((($T51*(1-$F51)+$S51*(1-$G51))/$L51)*((1+Inputs!$D$7)^AG$2)),((INT(AG$2/$L51)-INT((AG$2-1)/$L51))*($T51*(1-$F51)+$S51*(1-$G51))*((1+Inputs!$D$7)^AG$2))),((_xlfn.WEIBULL.DIST(AG$2,$M51,$L51,FALSE)*($T51*(1-$F51)+$S51*(1-$G51))*((1+Inputs!$D$7)^AG$2))))))</f>
        <v>2328.7908131295176</v>
      </c>
      <c r="AH51" s="88">
        <f>$E51*IF(AH$2&gt;Inputs!$D$5,0,IF(AH$2&gt;VLOOKUP($H51,Lists!$P$3:$Q$7,2),IF($N51=Lists!$K$3,IF($L51&lt;1,(($U51/$L51)*((1+Inputs!$D$7)^AH$2)),((INT(AH$2/$L51)-INT((AH$2-1)/$L51))*$U51*((1+Inputs!$D$7)^AH$2))),(_xlfn.WEIBULL.DIST(AH$2,$M51,$L51,FALSE)*$U51*((1+Inputs!$D$7)^AH$2))),IF($N51=Lists!$K$3,IF($L51&lt;1,((($T51*(1-$F51)+$S51*(1-$G51))/$L51)*((1+Inputs!$D$7)^AH$2)),((INT(AH$2/$L51)-INT((AH$2-1)/$L51))*($T51*(1-$F51)+$S51*(1-$G51))*((1+Inputs!$D$7)^AH$2))),((_xlfn.WEIBULL.DIST(AH$2,$M51,$L51,FALSE)*($T51*(1-$F51)+$S51*(1-$G51))*((1+Inputs!$D$7)^AH$2))))))</f>
        <v>2650.3274236700877</v>
      </c>
      <c r="AI51" s="88">
        <f>$E51*IF(AI$2&gt;Inputs!$D$5,0,IF(AI$2&gt;VLOOKUP($H51,Lists!$P$3:$Q$7,2),IF($N51=Lists!$K$3,IF($L51&lt;1,(($U51/$L51)*((1+Inputs!$D$7)^AI$2)),((INT(AI$2/$L51)-INT((AI$2-1)/$L51))*$U51*((1+Inputs!$D$7)^AI$2))),(_xlfn.WEIBULL.DIST(AI$2,$M51,$L51,FALSE)*$U51*((1+Inputs!$D$7)^AI$2))),IF($N51=Lists!$K$3,IF($L51&lt;1,((($T51*(1-$F51)+$S51*(1-$G51))/$L51)*((1+Inputs!$D$7)^AI$2)),((INT(AI$2/$L51)-INT((AI$2-1)/$L51))*($T51*(1-$F51)+$S51*(1-$G51))*((1+Inputs!$D$7)^AI$2))),((_xlfn.WEIBULL.DIST(AI$2,$M51,$L51,FALSE)*($T51*(1-$F51)+$S51*(1-$G51))*((1+Inputs!$D$7)^AI$2))))))</f>
        <v>2959.6435873887726</v>
      </c>
      <c r="AJ51" s="88">
        <f>$E51*IF(AJ$2&gt;Inputs!$D$5,0,IF(AJ$2&gt;VLOOKUP($H51,Lists!$P$3:$Q$7,2),IF($N51=Lists!$K$3,IF($L51&lt;1,(($U51/$L51)*((1+Inputs!$D$7)^AJ$2)),((INT(AJ$2/$L51)-INT((AJ$2-1)/$L51))*$U51*((1+Inputs!$D$7)^AJ$2))),(_xlfn.WEIBULL.DIST(AJ$2,$M51,$L51,FALSE)*$U51*((1+Inputs!$D$7)^AJ$2))),IF($N51=Lists!$K$3,IF($L51&lt;1,((($T51*(1-$F51)+$S51*(1-$G51))/$L51)*((1+Inputs!$D$7)^AJ$2)),((INT(AJ$2/$L51)-INT((AJ$2-1)/$L51))*($T51*(1-$F51)+$S51*(1-$G51))*((1+Inputs!$D$7)^AJ$2))),((_xlfn.WEIBULL.DIST(AJ$2,$M51,$L51,FALSE)*($T51*(1-$F51)+$S51*(1-$G51))*((1+Inputs!$D$7)^AJ$2))))))</f>
        <v>3253.8274956413406</v>
      </c>
      <c r="AK51" s="88">
        <f>$E51*IF(AK$2&gt;Inputs!$D$5,0,IF(AK$2&gt;VLOOKUP($H51,Lists!$P$3:$Q$7,2),IF($N51=Lists!$K$3,IF($L51&lt;1,(($U51/$L51)*((1+Inputs!$D$7)^AK$2)),((INT(AK$2/$L51)-INT((AK$2-1)/$L51))*$U51*((1+Inputs!$D$7)^AK$2))),(_xlfn.WEIBULL.DIST(AK$2,$M51,$L51,FALSE)*$U51*((1+Inputs!$D$7)^AK$2))),IF($N51=Lists!$K$3,IF($L51&lt;1,((($T51*(1-$F51)+$S51*(1-$G51))/$L51)*((1+Inputs!$D$7)^AK$2)),((INT(AK$2/$L51)-INT((AK$2-1)/$L51))*($T51*(1-$F51)+$S51*(1-$G51))*((1+Inputs!$D$7)^AK$2))),((_xlfn.WEIBULL.DIST(AK$2,$M51,$L51,FALSE)*($T51*(1-$F51)+$S51*(1-$G51))*((1+Inputs!$D$7)^AK$2))))))</f>
        <v>3530.1656686565384</v>
      </c>
      <c r="AL51" s="88">
        <f>$E51*IF(AL$2&gt;Inputs!$D$5,0,IF(AL$2&gt;VLOOKUP($H51,Lists!$P$3:$Q$7,2),IF($N51=Lists!$K$3,IF($L51&lt;1,(($U51/$L51)*((1+Inputs!$D$7)^AL$2)),((INT(AL$2/$L51)-INT((AL$2-1)/$L51))*$U51*((1+Inputs!$D$7)^AL$2))),(_xlfn.WEIBULL.DIST(AL$2,$M51,$L51,FALSE)*$U51*((1+Inputs!$D$7)^AL$2))),IF($N51=Lists!$K$3,IF($L51&lt;1,((($T51*(1-$F51)+$S51*(1-$G51))/$L51)*((1+Inputs!$D$7)^AL$2)),((INT(AL$2/$L51)-INT((AL$2-1)/$L51))*($T51*(1-$F51)+$S51*(1-$G51))*((1+Inputs!$D$7)^AL$2))),((_xlfn.WEIBULL.DIST(AL$2,$M51,$L51,FALSE)*($T51*(1-$F51)+$S51*(1-$G51))*((1+Inputs!$D$7)^AL$2))))))</f>
        <v>3786.1845832566592</v>
      </c>
      <c r="AM51" s="88">
        <f>$E51*IF(AM$2&gt;Inputs!$D$5,0,IF(AM$2&gt;VLOOKUP($H51,Lists!$P$3:$Q$7,2),IF($N51=Lists!$K$3,IF($L51&lt;1,(($U51/$L51)*((1+Inputs!$D$7)^AM$2)),((INT(AM$2/$L51)-INT((AM$2-1)/$L51))*$U51*((1+Inputs!$D$7)^AM$2))),(_xlfn.WEIBULL.DIST(AM$2,$M51,$L51,FALSE)*$U51*((1+Inputs!$D$7)^AM$2))),IF($N51=Lists!$K$3,IF($L51&lt;1,((($T51*(1-$F51)+$S51*(1-$G51))/$L51)*((1+Inputs!$D$7)^AM$2)),((INT(AM$2/$L51)-INT((AM$2-1)/$L51))*($T51*(1-$F51)+$S51*(1-$G51))*((1+Inputs!$D$7)^AM$2))),((_xlfn.WEIBULL.DIST(AM$2,$M51,$L51,FALSE)*($T51*(1-$F51)+$S51*(1-$G51))*((1+Inputs!$D$7)^AM$2))))))</f>
        <v>4019.6874093131428</v>
      </c>
      <c r="AN51" s="88">
        <f>$E51*IF(AN$2&gt;Inputs!$D$5,0,IF(AN$2&gt;VLOOKUP($H51,Lists!$P$3:$Q$7,2),IF($N51=Lists!$K$3,IF($L51&lt;1,(($U51/$L51)*((1+Inputs!$D$7)^AN$2)),((INT(AN$2/$L51)-INT((AN$2-1)/$L51))*$U51*((1+Inputs!$D$7)^AN$2))),(_xlfn.WEIBULL.DIST(AN$2,$M51,$L51,FALSE)*$U51*((1+Inputs!$D$7)^AN$2))),IF($N51=Lists!$K$3,IF($L51&lt;1,((($T51*(1-$F51)+$S51*(1-$G51))/$L51)*((1+Inputs!$D$7)^AN$2)),((INT(AN$2/$L51)-INT((AN$2-1)/$L51))*($T51*(1-$F51)+$S51*(1-$G51))*((1+Inputs!$D$7)^AN$2))),((_xlfn.WEIBULL.DIST(AN$2,$M51,$L51,FALSE)*($T51*(1-$F51)+$S51*(1-$G51))*((1+Inputs!$D$7)^AN$2))))))</f>
        <v>4228.7850948266596</v>
      </c>
      <c r="AO51" s="88">
        <f>$E51*IF(AO$2&gt;Inputs!$D$5,0,IF(AO$2&gt;VLOOKUP($H51,Lists!$P$3:$Q$7,2),IF($N51=Lists!$K$3,IF($L51&lt;1,(($U51/$L51)*((1+Inputs!$D$7)^AO$2)),((INT(AO$2/$L51)-INT((AO$2-1)/$L51))*$U51*((1+Inputs!$D$7)^AO$2))),(_xlfn.WEIBULL.DIST(AO$2,$M51,$L51,FALSE)*$U51*((1+Inputs!$D$7)^AO$2))),IF($N51=Lists!$K$3,IF($L51&lt;1,((($T51*(1-$F51)+$S51*(1-$G51))/$L51)*((1+Inputs!$D$7)^AO$2)),((INT(AO$2/$L51)-INT((AO$2-1)/$L51))*($T51*(1-$F51)+$S51*(1-$G51))*((1+Inputs!$D$7)^AO$2))),((_xlfn.WEIBULL.DIST(AO$2,$M51,$L51,FALSE)*($T51*(1-$F51)+$S51*(1-$G51))*((1+Inputs!$D$7)^AO$2))))))</f>
        <v>4411.9211916715221</v>
      </c>
      <c r="AP51" s="88">
        <f>$E51*IF(AP$2&gt;Inputs!$D$5,0,IF(AP$2&gt;VLOOKUP($H51,Lists!$P$3:$Q$7,2),IF($N51=Lists!$K$3,IF($L51&lt;1,(($U51/$L51)*((1+Inputs!$D$7)^AP$2)),((INT(AP$2/$L51)-INT((AP$2-1)/$L51))*$U51*((1+Inputs!$D$7)^AP$2))),(_xlfn.WEIBULL.DIST(AP$2,$M51,$L51,FALSE)*$U51*((1+Inputs!$D$7)^AP$2))),IF($N51=Lists!$K$3,IF($L51&lt;1,((($T51*(1-$F51)+$S51*(1-$G51))/$L51)*((1+Inputs!$D$7)^AP$2)),((INT(AP$2/$L51)-INT((AP$2-1)/$L51))*($T51*(1-$F51)+$S51*(1-$G51))*((1+Inputs!$D$7)^AP$2))),((_xlfn.WEIBULL.DIST(AP$2,$M51,$L51,FALSE)*($T51*(1-$F51)+$S51*(1-$G51))*((1+Inputs!$D$7)^AP$2))))))</f>
        <v>4567.8899812426916</v>
      </c>
      <c r="AQ51" s="88">
        <f>$E51*IF(AQ$2&gt;Inputs!$D$5,0,IF(AQ$2&gt;VLOOKUP($H51,Lists!$P$3:$Q$7,2),IF($N51=Lists!$K$3,IF($L51&lt;1,(($U51/$L51)*((1+Inputs!$D$7)^AQ$2)),((INT(AQ$2/$L51)-INT((AQ$2-1)/$L51))*$U51*((1+Inputs!$D$7)^AQ$2))),(_xlfn.WEIBULL.DIST(AQ$2,$M51,$L51,FALSE)*$U51*((1+Inputs!$D$7)^AQ$2))),IF($N51=Lists!$K$3,IF($L51&lt;1,((($T51*(1-$F51)+$S51*(1-$G51))/$L51)*((1+Inputs!$D$7)^AQ$2)),((INT(AQ$2/$L51)-INT((AQ$2-1)/$L51))*($T51*(1-$F51)+$S51*(1-$G51))*((1+Inputs!$D$7)^AQ$2))),((_xlfn.WEIBULL.DIST(AQ$2,$M51,$L51,FALSE)*($T51*(1-$F51)+$S51*(1-$G51))*((1+Inputs!$D$7)^AQ$2))))))</f>
        <v>4695.8476359798669</v>
      </c>
      <c r="AR51" s="88">
        <f>$E51*IF(AR$2&gt;Inputs!$D$5,0,IF(AR$2&gt;VLOOKUP($H51,Lists!$P$3:$Q$7,2),IF($N51=Lists!$K$3,IF($L51&lt;1,(($U51/$L51)*((1+Inputs!$D$7)^AR$2)),((INT(AR$2/$L51)-INT((AR$2-1)/$L51))*$U51*((1+Inputs!$D$7)^AR$2))),(_xlfn.WEIBULL.DIST(AR$2,$M51,$L51,FALSE)*$U51*((1+Inputs!$D$7)^AR$2))),IF($N51=Lists!$K$3,IF($L51&lt;1,((($T51*(1-$F51)+$S51*(1-$G51))/$L51)*((1+Inputs!$D$7)^AR$2)),((INT(AR$2/$L51)-INT((AR$2-1)/$L51))*($T51*(1-$F51)+$S51*(1-$G51))*((1+Inputs!$D$7)^AR$2))),((_xlfn.WEIBULL.DIST(AR$2,$M51,$L51,FALSE)*($T51*(1-$F51)+$S51*(1-$G51))*((1+Inputs!$D$7)^AR$2))))))</f>
        <v>4795.3163332771519</v>
      </c>
      <c r="AS51" s="88">
        <f>$E51*IF(AS$2&gt;Inputs!$D$5,0,IF(AS$2&gt;VLOOKUP($H51,Lists!$P$3:$Q$7,2),IF($N51=Lists!$K$3,IF($L51&lt;1,(($U51/$L51)*((1+Inputs!$D$7)^AS$2)),((INT(AS$2/$L51)-INT((AS$2-1)/$L51))*$U51*((1+Inputs!$D$7)^AS$2))),(_xlfn.WEIBULL.DIST(AS$2,$M51,$L51,FALSE)*$U51*((1+Inputs!$D$7)^AS$2))),IF($N51=Lists!$K$3,IF($L51&lt;1,((($T51*(1-$F51)+$S51*(1-$G51))/$L51)*((1+Inputs!$D$7)^AS$2)),((INT(AS$2/$L51)-INT((AS$2-1)/$L51))*($T51*(1-$F51)+$S51*(1-$G51))*((1+Inputs!$D$7)^AS$2))),((_xlfn.WEIBULL.DIST(AS$2,$M51,$L51,FALSE)*($T51*(1-$F51)+$S51*(1-$G51))*((1+Inputs!$D$7)^AS$2))))))</f>
        <v>4866.181416868114</v>
      </c>
      <c r="AT51" s="88">
        <f>$E51*IF(AT$2&gt;Inputs!$D$5,0,IF(AT$2&gt;VLOOKUP($H51,Lists!$P$3:$Q$7,2),IF($N51=Lists!$K$3,IF($L51&lt;1,(($U51/$L51)*((1+Inputs!$D$7)^AT$2)),((INT(AT$2/$L51)-INT((AT$2-1)/$L51))*$U51*((1+Inputs!$D$7)^AT$2))),(_xlfn.WEIBULL.DIST(AT$2,$M51,$L51,FALSE)*$U51*((1+Inputs!$D$7)^AT$2))),IF($N51=Lists!$K$3,IF($L51&lt;1,((($T51*(1-$F51)+$S51*(1-$G51))/$L51)*((1+Inputs!$D$7)^AT$2)),((INT(AT$2/$L51)-INT((AT$2-1)/$L51))*($T51*(1-$F51)+$S51*(1-$G51))*((1+Inputs!$D$7)^AT$2))),((_xlfn.WEIBULL.DIST(AT$2,$M51,$L51,FALSE)*($T51*(1-$F51)+$S51*(1-$G51))*((1+Inputs!$D$7)^AT$2))))))</f>
        <v>4908.6818718620862</v>
      </c>
      <c r="AU51" s="88">
        <f>$E51*IF(AU$2&gt;Inputs!$D$5,0,IF(AU$2&gt;VLOOKUP($H51,Lists!$P$3:$Q$7,2),IF($N51=Lists!$K$3,IF($L51&lt;1,(($U51/$L51)*((1+Inputs!$D$7)^AU$2)),((INT(AU$2/$L51)-INT((AU$2-1)/$L51))*$U51*((1+Inputs!$D$7)^AU$2))),(_xlfn.WEIBULL.DIST(AU$2,$M51,$L51,FALSE)*$U51*((1+Inputs!$D$7)^AU$2))),IF($N51=Lists!$K$3,IF($L51&lt;1,((($T51*(1-$F51)+$S51*(1-$G51))/$L51)*((1+Inputs!$D$7)^AU$2)),((INT(AU$2/$L51)-INT((AU$2-1)/$L51))*($T51*(1-$F51)+$S51*(1-$G51))*((1+Inputs!$D$7)^AU$2))),((_xlfn.WEIBULL.DIST(AU$2,$M51,$L51,FALSE)*($T51*(1-$F51)+$S51*(1-$G51))*((1+Inputs!$D$7)^AU$2))))))</f>
        <v>407293.95749438449</v>
      </c>
      <c r="AV51" s="88">
        <f>$E51*IF(AV$2&gt;Inputs!$D$5,0,IF(AV$2&gt;VLOOKUP($H51,Lists!$P$3:$Q$7,2),IF($N51=Lists!$K$3,IF($L51&lt;1,(($U51/$L51)*((1+Inputs!$D$7)^AV$2)),((INT(AV$2/$L51)-INT((AV$2-1)/$L51))*$U51*((1+Inputs!$D$7)^AV$2))),(_xlfn.WEIBULL.DIST(AV$2,$M51,$L51,FALSE)*$U51*((1+Inputs!$D$7)^AV$2))),IF($N51=Lists!$K$3,IF($L51&lt;1,((($T51*(1-$F51)+$S51*(1-$G51))/$L51)*((1+Inputs!$D$7)^AV$2)),((INT(AV$2/$L51)-INT((AV$2-1)/$L51))*($T51*(1-$F51)+$S51*(1-$G51))*((1+Inputs!$D$7)^AV$2))),((_xlfn.WEIBULL.DIST(AV$2,$M51,$L51,FALSE)*($T51*(1-$F51)+$S51*(1-$G51))*((1+Inputs!$D$7)^AV$2))))))</f>
        <v>406286.19374039629</v>
      </c>
      <c r="AW51" s="88">
        <f>$E51*IF(AW$2&gt;Inputs!$D$5,0,IF(AW$2&gt;VLOOKUP($H51,Lists!$P$3:$Q$7,2),IF($N51=Lists!$K$3,IF($L51&lt;1,(($U51/$L51)*((1+Inputs!$D$7)^AW$2)),((INT(AW$2/$L51)-INT((AW$2-1)/$L51))*$U51*((1+Inputs!$D$7)^AW$2))),(_xlfn.WEIBULL.DIST(AW$2,$M51,$L51,FALSE)*$U51*((1+Inputs!$D$7)^AW$2))),IF($N51=Lists!$K$3,IF($L51&lt;1,((($T51*(1-$F51)+$S51*(1-$G51))/$L51)*((1+Inputs!$D$7)^AW$2)),((INT(AW$2/$L51)-INT((AW$2-1)/$L51))*($T51*(1-$F51)+$S51*(1-$G51))*((1+Inputs!$D$7)^AW$2))),((_xlfn.WEIBULL.DIST(AW$2,$M51,$L51,FALSE)*($T51*(1-$F51)+$S51*(1-$G51))*((1+Inputs!$D$7)^AW$2))))))</f>
        <v>403151.41533937526</v>
      </c>
      <c r="AX51" s="88">
        <f>$E51*IF(AX$2&gt;Inputs!$D$5,0,IF(AX$2&gt;VLOOKUP($H51,Lists!$P$3:$Q$7,2),IF($N51=Lists!$K$3,IF($L51&lt;1,(($U51/$L51)*((1+Inputs!$D$7)^AX$2)),((INT(AX$2/$L51)-INT((AX$2-1)/$L51))*$U51*((1+Inputs!$D$7)^AX$2))),(_xlfn.WEIBULL.DIST(AX$2,$M51,$L51,FALSE)*$U51*((1+Inputs!$D$7)^AX$2))),IF($N51=Lists!$K$3,IF($L51&lt;1,((($T51*(1-$F51)+$S51*(1-$G51))/$L51)*((1+Inputs!$D$7)^AX$2)),((INT(AX$2/$L51)-INT((AX$2-1)/$L51))*($T51*(1-$F51)+$S51*(1-$G51))*((1+Inputs!$D$7)^AX$2))),((_xlfn.WEIBULL.DIST(AX$2,$M51,$L51,FALSE)*($T51*(1-$F51)+$S51*(1-$G51))*((1+Inputs!$D$7)^AX$2))))))</f>
        <v>398008.93450659525</v>
      </c>
      <c r="AY51" s="88">
        <f>$E51*IF(AY$2&gt;Inputs!$D$5,0,IF(AY$2&gt;VLOOKUP($H51,Lists!$P$3:$Q$7,2),IF($N51=Lists!$K$3,IF($L51&lt;1,(($U51/$L51)*((1+Inputs!$D$7)^AY$2)),((INT(AY$2/$L51)-INT((AY$2-1)/$L51))*$U51*((1+Inputs!$D$7)^AY$2))),(_xlfn.WEIBULL.DIST(AY$2,$M51,$L51,FALSE)*$U51*((1+Inputs!$D$7)^AY$2))),IF($N51=Lists!$K$3,IF($L51&lt;1,((($T51*(1-$F51)+$S51*(1-$G51))/$L51)*((1+Inputs!$D$7)^AY$2)),((INT(AY$2/$L51)-INT((AY$2-1)/$L51))*($T51*(1-$F51)+$S51*(1-$G51))*((1+Inputs!$D$7)^AY$2))),((_xlfn.WEIBULL.DIST(AY$2,$M51,$L51,FALSE)*($T51*(1-$F51)+$S51*(1-$G51))*((1+Inputs!$D$7)^AY$2))))))</f>
        <v>390996.682524751</v>
      </c>
      <c r="AZ51" s="88">
        <f>$E51*IF(AZ$2&gt;Inputs!$D$5,0,IF(AZ$2&gt;VLOOKUP($H51,Lists!$P$3:$Q$7,2),IF($N51=Lists!$K$3,IF($L51&lt;1,(($U51/$L51)*((1+Inputs!$D$7)^AZ$2)),((INT(AZ$2/$L51)-INT((AZ$2-1)/$L51))*$U51*((1+Inputs!$D$7)^AZ$2))),(_xlfn.WEIBULL.DIST(AZ$2,$M51,$L51,FALSE)*$U51*((1+Inputs!$D$7)^AZ$2))),IF($N51=Lists!$K$3,IF($L51&lt;1,((($T51*(1-$F51)+$S51*(1-$G51))/$L51)*((1+Inputs!$D$7)^AZ$2)),((INT(AZ$2/$L51)-INT((AZ$2-1)/$L51))*($T51*(1-$F51)+$S51*(1-$G51))*((1+Inputs!$D$7)^AZ$2))),((_xlfn.WEIBULL.DIST(AZ$2,$M51,$L51,FALSE)*($T51*(1-$F51)+$S51*(1-$G51))*((1+Inputs!$D$7)^AZ$2))))))</f>
        <v>0</v>
      </c>
      <c r="BA51" s="88">
        <f>$E51*IF(BA$2&gt;Inputs!$D$5,0,IF(BA$2&gt;VLOOKUP($H51,Lists!$P$3:$Q$7,2),IF($N51=Lists!$K$3,IF($L51&lt;1,(($U51/$L51)*((1+Inputs!$D$7)^BA$2)),((INT(BA$2/$L51)-INT((BA$2-1)/$L51))*$U51*((1+Inputs!$D$7)^BA$2))),(_xlfn.WEIBULL.DIST(BA$2,$M51,$L51,FALSE)*$U51*((1+Inputs!$D$7)^BA$2))),IF($N51=Lists!$K$3,IF($L51&lt;1,((($T51*(1-$F51)+$S51*(1-$G51))/$L51)*((1+Inputs!$D$7)^BA$2)),((INT(BA$2/$L51)-INT((BA$2-1)/$L51))*($T51*(1-$F51)+$S51*(1-$G51))*((1+Inputs!$D$7)^BA$2))),((_xlfn.WEIBULL.DIST(BA$2,$M51,$L51,FALSE)*($T51*(1-$F51)+$S51*(1-$G51))*((1+Inputs!$D$7)^BA$2))))))</f>
        <v>0</v>
      </c>
      <c r="BB51" s="88">
        <f>$E51*IF(BB$2&gt;Inputs!$D$5,0,IF(BB$2&gt;VLOOKUP($H51,Lists!$P$3:$Q$7,2),IF($N51=Lists!$K$3,IF($L51&lt;1,(($U51/$L51)*((1+Inputs!$D$7)^BB$2)),((INT(BB$2/$L51)-INT((BB$2-1)/$L51))*$U51*((1+Inputs!$D$7)^BB$2))),(_xlfn.WEIBULL.DIST(BB$2,$M51,$L51,FALSE)*$U51*((1+Inputs!$D$7)^BB$2))),IF($N51=Lists!$K$3,IF($L51&lt;1,((($T51*(1-$F51)+$S51*(1-$G51))/$L51)*((1+Inputs!$D$7)^BB$2)),((INT(BB$2/$L51)-INT((BB$2-1)/$L51))*($T51*(1-$F51)+$S51*(1-$G51))*((1+Inputs!$D$7)^BB$2))),((_xlfn.WEIBULL.DIST(BB$2,$M51,$L51,FALSE)*($T51*(1-$F51)+$S51*(1-$G51))*((1+Inputs!$D$7)^BB$2))))))</f>
        <v>0</v>
      </c>
      <c r="BC51" s="88">
        <f>$E51*IF(BC$2&gt;Inputs!$D$5,0,IF(BC$2&gt;VLOOKUP($H51,Lists!$P$3:$Q$7,2),IF($N51=Lists!$K$3,IF($L51&lt;1,(($U51/$L51)*((1+Inputs!$D$7)^BC$2)),((INT(BC$2/$L51)-INT((BC$2-1)/$L51))*$U51*((1+Inputs!$D$7)^BC$2))),(_xlfn.WEIBULL.DIST(BC$2,$M51,$L51,FALSE)*$U51*((1+Inputs!$D$7)^BC$2))),IF($N51=Lists!$K$3,IF($L51&lt;1,((($T51*(1-$F51)+$S51*(1-$G51))/$L51)*((1+Inputs!$D$7)^BC$2)),((INT(BC$2/$L51)-INT((BC$2-1)/$L51))*($T51*(1-$F51)+$S51*(1-$G51))*((1+Inputs!$D$7)^BC$2))),((_xlfn.WEIBULL.DIST(BC$2,$M51,$L51,FALSE)*($T51*(1-$F51)+$S51*(1-$G51))*((1+Inputs!$D$7)^BC$2))))))</f>
        <v>0</v>
      </c>
      <c r="BD51" s="88">
        <f>$E51*IF(BD$2&gt;Inputs!$D$5,0,IF(BD$2&gt;VLOOKUP($H51,Lists!$P$3:$Q$7,2),IF($N51=Lists!$K$3,IF($L51&lt;1,(($U51/$L51)*((1+Inputs!$D$7)^BD$2)),((INT(BD$2/$L51)-INT((BD$2-1)/$L51))*$U51*((1+Inputs!$D$7)^BD$2))),(_xlfn.WEIBULL.DIST(BD$2,$M51,$L51,FALSE)*$U51*((1+Inputs!$D$7)^BD$2))),IF($N51=Lists!$K$3,IF($L51&lt;1,((($T51*(1-$F51)+$S51*(1-$G51))/$L51)*((1+Inputs!$D$7)^BD$2)),((INT(BD$2/$L51)-INT((BD$2-1)/$L51))*($T51*(1-$F51)+$S51*(1-$G51))*((1+Inputs!$D$7)^BD$2))),((_xlfn.WEIBULL.DIST(BD$2,$M51,$L51,FALSE)*($T51*(1-$F51)+$S51*(1-$G51))*((1+Inputs!$D$7)^BD$2))))))</f>
        <v>0</v>
      </c>
      <c r="BE51" s="88">
        <f>$E51*IF(BE$2&gt;Inputs!$D$5,0,IF(BE$2&gt;VLOOKUP($H51,Lists!$P$3:$Q$7,2),IF($N51=Lists!$K$3,IF($L51&lt;1,(($U51/$L51)*((1+Inputs!$D$7)^BE$2)),((INT(BE$2/$L51)-INT((BE$2-1)/$L51))*$U51*((1+Inputs!$D$7)^BE$2))),(_xlfn.WEIBULL.DIST(BE$2,$M51,$L51,FALSE)*$U51*((1+Inputs!$D$7)^BE$2))),IF($N51=Lists!$K$3,IF($L51&lt;1,((($T51*(1-$F51)+$S51*(1-$G51))/$L51)*((1+Inputs!$D$7)^BE$2)),((INT(BE$2/$L51)-INT((BE$2-1)/$L51))*($T51*(1-$F51)+$S51*(1-$G51))*((1+Inputs!$D$7)^BE$2))),((_xlfn.WEIBULL.DIST(BE$2,$M51,$L51,FALSE)*($T51*(1-$F51)+$S51*(1-$G51))*((1+Inputs!$D$7)^BE$2))))))</f>
        <v>0</v>
      </c>
      <c r="BF51" s="88">
        <f>$E51*IF(BF$2&gt;Inputs!$D$5,0,IF(BF$2&gt;VLOOKUP($H51,Lists!$P$3:$Q$7,2),IF($N51=Lists!$K$3,IF($L51&lt;1,(($U51/$L51)*((1+Inputs!$D$7)^BF$2)),((INT(BF$2/$L51)-INT((BF$2-1)/$L51))*$U51*((1+Inputs!$D$7)^BF$2))),(_xlfn.WEIBULL.DIST(BF$2,$M51,$L51,FALSE)*$U51*((1+Inputs!$D$7)^BF$2))),IF($N51=Lists!$K$3,IF($L51&lt;1,((($T51*(1-$F51)+$S51*(1-$G51))/$L51)*((1+Inputs!$D$7)^BF$2)),((INT(BF$2/$L51)-INT((BF$2-1)/$L51))*($T51*(1-$F51)+$S51*(1-$G51))*((1+Inputs!$D$7)^BF$2))),((_xlfn.WEIBULL.DIST(BF$2,$M51,$L51,FALSE)*($T51*(1-$F51)+$S51*(1-$G51))*((1+Inputs!$D$7)^BF$2))))))</f>
        <v>0</v>
      </c>
      <c r="BG51" s="88">
        <f>$E51*IF(BG$2&gt;Inputs!$D$5,0,IF(BG$2&gt;VLOOKUP($H51,Lists!$P$3:$Q$7,2),IF($N51=Lists!$K$3,IF($L51&lt;1,(($U51/$L51)*((1+Inputs!$D$7)^BG$2)),((INT(BG$2/$L51)-INT((BG$2-1)/$L51))*$U51*((1+Inputs!$D$7)^BG$2))),(_xlfn.WEIBULL.DIST(BG$2,$M51,$L51,FALSE)*$U51*((1+Inputs!$D$7)^BG$2))),IF($N51=Lists!$K$3,IF($L51&lt;1,((($T51*(1-$F51)+$S51*(1-$G51))/$L51)*((1+Inputs!$D$7)^BG$2)),((INT(BG$2/$L51)-INT((BG$2-1)/$L51))*($T51*(1-$F51)+$S51*(1-$G51))*((1+Inputs!$D$7)^BG$2))),((_xlfn.WEIBULL.DIST(BG$2,$M51,$L51,FALSE)*($T51*(1-$F51)+$S51*(1-$G51))*((1+Inputs!$D$7)^BG$2))))))</f>
        <v>0</v>
      </c>
      <c r="BH51" s="88">
        <f>$E51*IF(BH$2&gt;Inputs!$D$5,0,IF(BH$2&gt;VLOOKUP($H51,Lists!$P$3:$Q$7,2),IF($N51=Lists!$K$3,IF($L51&lt;1,(($U51/$L51)*((1+Inputs!$D$7)^BH$2)),((INT(BH$2/$L51)-INT((BH$2-1)/$L51))*$U51*((1+Inputs!$D$7)^BH$2))),(_xlfn.WEIBULL.DIST(BH$2,$M51,$L51,FALSE)*$U51*((1+Inputs!$D$7)^BH$2))),IF($N51=Lists!$K$3,IF($L51&lt;1,((($T51*(1-$F51)+$S51*(1-$G51))/$L51)*((1+Inputs!$D$7)^BH$2)),((INT(BH$2/$L51)-INT((BH$2-1)/$L51))*($T51*(1-$F51)+$S51*(1-$G51))*((1+Inputs!$D$7)^BH$2))),((_xlfn.WEIBULL.DIST(BH$2,$M51,$L51,FALSE)*($T51*(1-$F51)+$S51*(1-$G51))*((1+Inputs!$D$7)^BH$2))))))</f>
        <v>0</v>
      </c>
      <c r="BI51" s="88">
        <f>$E51*IF(BI$2&gt;Inputs!$D$5,0,IF(BI$2&gt;VLOOKUP($H51,Lists!$P$3:$Q$7,2),IF($N51=Lists!$K$3,IF($L51&lt;1,(($U51/$L51)*((1+Inputs!$D$7)^BI$2)),((INT(BI$2/$L51)-INT((BI$2-1)/$L51))*$U51*((1+Inputs!$D$7)^BI$2))),(_xlfn.WEIBULL.DIST(BI$2,$M51,$L51,FALSE)*$U51*((1+Inputs!$D$7)^BI$2))),IF($N51=Lists!$K$3,IF($L51&lt;1,((($T51*(1-$F51)+$S51*(1-$G51))/$L51)*((1+Inputs!$D$7)^BI$2)),((INT(BI$2/$L51)-INT((BI$2-1)/$L51))*($T51*(1-$F51)+$S51*(1-$G51))*((1+Inputs!$D$7)^BI$2))),((_xlfn.WEIBULL.DIST(BI$2,$M51,$L51,FALSE)*($T51*(1-$F51)+$S51*(1-$G51))*((1+Inputs!$D$7)^BI$2))))))</f>
        <v>0</v>
      </c>
      <c r="BJ51" s="88">
        <f>$E51*IF(BJ$2&gt;Inputs!$D$5,0,IF(BJ$2&gt;VLOOKUP($H51,Lists!$P$3:$Q$7,2),IF($N51=Lists!$K$3,IF($L51&lt;1,(($U51/$L51)*((1+Inputs!$D$7)^BJ$2)),((INT(BJ$2/$L51)-INT((BJ$2-1)/$L51))*$U51*((1+Inputs!$D$7)^BJ$2))),(_xlfn.WEIBULL.DIST(BJ$2,$M51,$L51,FALSE)*$U51*((1+Inputs!$D$7)^BJ$2))),IF($N51=Lists!$K$3,IF($L51&lt;1,((($T51*(1-$F51)+$S51*(1-$G51))/$L51)*((1+Inputs!$D$7)^BJ$2)),((INT(BJ$2/$L51)-INT((BJ$2-1)/$L51))*($T51*(1-$F51)+$S51*(1-$G51))*((1+Inputs!$D$7)^BJ$2))),((_xlfn.WEIBULL.DIST(BJ$2,$M51,$L51,FALSE)*($T51*(1-$F51)+$S51*(1-$G51))*((1+Inputs!$D$7)^BJ$2))))))</f>
        <v>0</v>
      </c>
      <c r="BK51" s="88">
        <f>$E51*IF(BK$2&gt;Inputs!$D$5,0,IF(BK$2&gt;VLOOKUP($H51,Lists!$P$3:$Q$7,2),IF($N51=Lists!$K$3,IF($L51&lt;1,(($U51/$L51)*((1+Inputs!$D$7)^BK$2)),((INT(BK$2/$L51)-INT((BK$2-1)/$L51))*$U51*((1+Inputs!$D$7)^BK$2))),(_xlfn.WEIBULL.DIST(BK$2,$M51,$L51,FALSE)*$U51*((1+Inputs!$D$7)^BK$2))),IF($N51=Lists!$K$3,IF($L51&lt;1,((($T51*(1-$F51)+$S51*(1-$G51))/$L51)*((1+Inputs!$D$7)^BK$2)),((INT(BK$2/$L51)-INT((BK$2-1)/$L51))*($T51*(1-$F51)+$S51*(1-$G51))*((1+Inputs!$D$7)^BK$2))),((_xlfn.WEIBULL.DIST(BK$2,$M51,$L51,FALSE)*($T51*(1-$F51)+$S51*(1-$G51))*((1+Inputs!$D$7)^BK$2))))))</f>
        <v>0</v>
      </c>
      <c r="BL51" s="88">
        <f>$E51*IF(BL$2&gt;Inputs!$D$5,0,IF(BL$2&gt;VLOOKUP($H51,Lists!$P$3:$Q$7,2),IF($N51=Lists!$K$3,IF($L51&lt;1,(($U51/$L51)*((1+Inputs!$D$7)^BL$2)),((INT(BL$2/$L51)-INT((BL$2-1)/$L51))*$U51*((1+Inputs!$D$7)^BL$2))),(_xlfn.WEIBULL.DIST(BL$2,$M51,$L51,FALSE)*$U51*((1+Inputs!$D$7)^BL$2))),IF($N51=Lists!$K$3,IF($L51&lt;1,((($T51*(1-$F51)+$S51*(1-$G51))/$L51)*((1+Inputs!$D$7)^BL$2)),((INT(BL$2/$L51)-INT((BL$2-1)/$L51))*($T51*(1-$F51)+$S51*(1-$G51))*((1+Inputs!$D$7)^BL$2))),((_xlfn.WEIBULL.DIST(BL$2,$M51,$L51,FALSE)*($T51*(1-$F51)+$S51*(1-$G51))*((1+Inputs!$D$7)^BL$2))))))</f>
        <v>0</v>
      </c>
      <c r="BM51" s="88">
        <f>$E51*IF(BM$2&gt;Inputs!$D$5,0,IF(BM$2&gt;VLOOKUP($H51,Lists!$P$3:$Q$7,2),IF($N51=Lists!$K$3,IF($L51&lt;1,(($U51/$L51)*((1+Inputs!$D$7)^BM$2)),((INT(BM$2/$L51)-INT((BM$2-1)/$L51))*$U51*((1+Inputs!$D$7)^BM$2))),(_xlfn.WEIBULL.DIST(BM$2,$M51,$L51,FALSE)*$U51*((1+Inputs!$D$7)^BM$2))),IF($N51=Lists!$K$3,IF($L51&lt;1,((($T51*(1-$F51)+$S51*(1-$G51))/$L51)*((1+Inputs!$D$7)^BM$2)),((INT(BM$2/$L51)-INT((BM$2-1)/$L51))*($T51*(1-$F51)+$S51*(1-$G51))*((1+Inputs!$D$7)^BM$2))),((_xlfn.WEIBULL.DIST(BM$2,$M51,$L51,FALSE)*($T51*(1-$F51)+$S51*(1-$G51))*((1+Inputs!$D$7)^BM$2))))))</f>
        <v>0</v>
      </c>
      <c r="BN51" s="88">
        <f>$E51*IF(BN$2&gt;Inputs!$D$5,0,IF(BN$2&gt;VLOOKUP($H51,Lists!$P$3:$Q$7,2),IF($N51=Lists!$K$3,IF($L51&lt;1,(($U51/$L51)*((1+Inputs!$D$7)^BN$2)),((INT(BN$2/$L51)-INT((BN$2-1)/$L51))*$U51*((1+Inputs!$D$7)^BN$2))),(_xlfn.WEIBULL.DIST(BN$2,$M51,$L51,FALSE)*$U51*((1+Inputs!$D$7)^BN$2))),IF($N51=Lists!$K$3,IF($L51&lt;1,((($T51*(1-$F51)+$S51*(1-$G51))/$L51)*((1+Inputs!$D$7)^BN$2)),((INT(BN$2/$L51)-INT((BN$2-1)/$L51))*($T51*(1-$F51)+$S51*(1-$G51))*((1+Inputs!$D$7)^BN$2))),((_xlfn.WEIBULL.DIST(BN$2,$M51,$L51,FALSE)*($T51*(1-$F51)+$S51*(1-$G51))*((1+Inputs!$D$7)^BN$2))))))</f>
        <v>0</v>
      </c>
      <c r="BO51" s="64">
        <f>NPV(Inputs!$D$6,BQ51:DD51)</f>
        <v>1097822.1262732144</v>
      </c>
      <c r="BP51" s="67">
        <f t="shared" si="13"/>
        <v>0.51778651120382657</v>
      </c>
      <c r="BQ51" s="88">
        <f>MAX(AA51,($E51*IF(BQ$2&gt;Inputs!$D$5,0,IF(BQ$2&gt;VLOOKUP($H51,Lists!$P$3:$Q$7,2),IF($N51=Lists!$K$3,IF($L51&lt;1,(($U51/$L51)*((1+Inputs!$D$7)^BQ$2)),((INT(BQ$2/$L51)-INT((BQ$2-1)/$L51))*$U51*((1+Inputs!$D$7)^BQ$2))),(Inputs!$D$8^((1-_xlfn.WEIBULL.DIST(BQ$2,$M51,$L51,FALSE))/_xlfn.WEIBULL.DIST(BQ$2,$M51,$L51,FALSE))*$U51*((1+Inputs!$D$7)^BQ$2))),IF($N51=Lists!$K$3,IF($L51&lt;1,((($T51*(1-$F51)+$S51*(1-$G51))/$L51)*((1+Inputs!$D$7)^BQ$2)),((INT(BQ$2/$L51)-INT((BQ$2-1)/$L51))*($T51*(1-$F51)+$S51*(1-$G51))*((1+Inputs!$D$7)^BQ$2))),((Inputs!$D$8^((1-_xlfn.WEIBULL.DIST(BQ$2,$M51,$L51,FALSE))/_xlfn.WEIBULL.DIST(BQ$2,$M51,$L51,FALSE))*($T51*(1-$F51)+$S51*(1-$G51))*((1+Inputs!$D$7)^BQ$2))))))))</f>
        <v>318.99599080506567</v>
      </c>
      <c r="BR51" s="88">
        <f>MAX(AB51,($E51*IF(BR$2&gt;Inputs!$D$5,0,IF(BR$2&gt;VLOOKUP($H51,Lists!$P$3:$Q$7,2),IF($N51=Lists!$K$3,IF($L51&lt;1,(($U51/$L51)*((1+Inputs!$D$7)^BR$2)),((INT(BR$2/$L51)-INT((BR$2-1)/$L51))*$U51*((1+Inputs!$D$7)^BR$2))),(Inputs!$D$8^((1-_xlfn.WEIBULL.DIST(BR$2,$M51,$L51,FALSE))/_xlfn.WEIBULL.DIST(BR$2,$M51,$L51,FALSE))*$U51*((1+Inputs!$D$7)^BR$2))),IF($N51=Lists!$K$3,IF($L51&lt;1,((($T51*(1-$F51)+$S51*(1-$G51))/$L51)*((1+Inputs!$D$7)^BR$2)),((INT(BR$2/$L51)-INT((BR$2-1)/$L51))*($T51*(1-$F51)+$S51*(1-$G51))*((1+Inputs!$D$7)^BR$2))),((Inputs!$D$8^((1-_xlfn.WEIBULL.DIST(BR$2,$M51,$L51,FALSE))/_xlfn.WEIBULL.DIST(BR$2,$M51,$L51,FALSE))*($T51*(1-$F51)+$S51*(1-$G51))*((1+Inputs!$D$7)^BR$2))))))))</f>
        <v>647.63569718107351</v>
      </c>
      <c r="BS51" s="88">
        <f>MAX(AC51,($E51*IF(BS$2&gt;Inputs!$D$5,0,IF(BS$2&gt;VLOOKUP($H51,Lists!$P$3:$Q$7,2),IF($N51=Lists!$K$3,IF($L51&lt;1,(($U51/$L51)*((1+Inputs!$D$7)^BS$2)),((INT(BS$2/$L51)-INT((BS$2-1)/$L51))*$U51*((1+Inputs!$D$7)^BS$2))),(Inputs!$D$8^((1-_xlfn.WEIBULL.DIST(BS$2,$M51,$L51,FALSE))/_xlfn.WEIBULL.DIST(BS$2,$M51,$L51,FALSE))*$U51*((1+Inputs!$D$7)^BS$2))),IF($N51=Lists!$K$3,IF($L51&lt;1,((($T51*(1-$F51)+$S51*(1-$G51))/$L51)*((1+Inputs!$D$7)^BS$2)),((INT(BS$2/$L51)-INT((BS$2-1)/$L51))*($T51*(1-$F51)+$S51*(1-$G51))*((1+Inputs!$D$7)^BS$2))),((Inputs!$D$8^((1-_xlfn.WEIBULL.DIST(BS$2,$M51,$L51,FALSE))/_xlfn.WEIBULL.DIST(BS$2,$M51,$L51,FALSE))*($T51*(1-$F51)+$S51*(1-$G51))*((1+Inputs!$D$7)^BS$2))))))))</f>
        <v>982.98717961080411</v>
      </c>
      <c r="BT51" s="88">
        <f>MAX(AD51,($E51*IF(BT$2&gt;Inputs!$D$5,0,IF(BT$2&gt;VLOOKUP($H51,Lists!$P$3:$Q$7,2),IF($N51=Lists!$K$3,IF($L51&lt;1,(($U51/$L51)*((1+Inputs!$D$7)^BT$2)),((INT(BT$2/$L51)-INT((BT$2-1)/$L51))*$U51*((1+Inputs!$D$7)^BT$2))),(Inputs!$D$8^((1-_xlfn.WEIBULL.DIST(BT$2,$M51,$L51,FALSE))/_xlfn.WEIBULL.DIST(BT$2,$M51,$L51,FALSE))*$U51*((1+Inputs!$D$7)^BT$2))),IF($N51=Lists!$K$3,IF($L51&lt;1,((($T51*(1-$F51)+$S51*(1-$G51))/$L51)*((1+Inputs!$D$7)^BT$2)),((INT(BT$2/$L51)-INT((BT$2-1)/$L51))*($T51*(1-$F51)+$S51*(1-$G51))*((1+Inputs!$D$7)^BT$2))),((Inputs!$D$8^((1-_xlfn.WEIBULL.DIST(BT$2,$M51,$L51,FALSE))/_xlfn.WEIBULL.DIST(BT$2,$M51,$L51,FALSE))*($T51*(1-$F51)+$S51*(1-$G51))*((1+Inputs!$D$7)^BT$2))))))))</f>
        <v>1321.9732394128162</v>
      </c>
      <c r="BU51" s="88">
        <f>MAX(AE51,($E51*IF(BU$2&gt;Inputs!$D$5,0,IF(BU$2&gt;VLOOKUP($H51,Lists!$P$3:$Q$7,2),IF($N51=Lists!$K$3,IF($L51&lt;1,(($U51/$L51)*((1+Inputs!$D$7)^BU$2)),((INT(BU$2/$L51)-INT((BU$2-1)/$L51))*$U51*((1+Inputs!$D$7)^BU$2))),(Inputs!$D$8^((1-_xlfn.WEIBULL.DIST(BU$2,$M51,$L51,FALSE))/_xlfn.WEIBULL.DIST(BU$2,$M51,$L51,FALSE))*$U51*((1+Inputs!$D$7)^BU$2))),IF($N51=Lists!$K$3,IF($L51&lt;1,((($T51*(1-$F51)+$S51*(1-$G51))/$L51)*((1+Inputs!$D$7)^BU$2)),((INT(BU$2/$L51)-INT((BU$2-1)/$L51))*($T51*(1-$F51)+$S51*(1-$G51))*((1+Inputs!$D$7)^BU$2))),((Inputs!$D$8^((1-_xlfn.WEIBULL.DIST(BU$2,$M51,$L51,FALSE))/_xlfn.WEIBULL.DIST(BU$2,$M51,$L51,FALSE))*($T51*(1-$F51)+$S51*(1-$G51))*((1+Inputs!$D$7)^BU$2))))))))</f>
        <v>1661.4183700526887</v>
      </c>
      <c r="BV51" s="88">
        <f>MAX(AF51,($E51*IF(BV$2&gt;Inputs!$D$5,0,IF(BV$2&gt;VLOOKUP($H51,Lists!$P$3:$Q$7,2),IF($N51=Lists!$K$3,IF($L51&lt;1,(($U51/$L51)*((1+Inputs!$D$7)^BV$2)),((INT(BV$2/$L51)-INT((BV$2-1)/$L51))*$U51*((1+Inputs!$D$7)^BV$2))),(Inputs!$D$8^((1-_xlfn.WEIBULL.DIST(BV$2,$M51,$L51,FALSE))/_xlfn.WEIBULL.DIST(BV$2,$M51,$L51,FALSE))*$U51*((1+Inputs!$D$7)^BV$2))),IF($N51=Lists!$K$3,IF($L51&lt;1,((($T51*(1-$F51)+$S51*(1-$G51))/$L51)*((1+Inputs!$D$7)^BV$2)),((INT(BV$2/$L51)-INT((BV$2-1)/$L51))*($T51*(1-$F51)+$S51*(1-$G51))*((1+Inputs!$D$7)^BV$2))),((Inputs!$D$8^((1-_xlfn.WEIBULL.DIST(BV$2,$M51,$L51,FALSE))/_xlfn.WEIBULL.DIST(BV$2,$M51,$L51,FALSE))*($T51*(1-$F51)+$S51*(1-$G51))*((1+Inputs!$D$7)^BV$2))))))))</f>
        <v>1998.0982664482617</v>
      </c>
      <c r="BW51" s="88">
        <f>MAX(AG51,($E51*IF(BW$2&gt;Inputs!$D$5,0,IF(BW$2&gt;VLOOKUP($H51,Lists!$P$3:$Q$7,2),IF($N51=Lists!$K$3,IF($L51&lt;1,(($U51/$L51)*((1+Inputs!$D$7)^BW$2)),((INT(BW$2/$L51)-INT((BW$2-1)/$L51))*$U51*((1+Inputs!$D$7)^BW$2))),(Inputs!$D$8^((1-_xlfn.WEIBULL.DIST(BW$2,$M51,$L51,FALSE))/_xlfn.WEIBULL.DIST(BW$2,$M51,$L51,FALSE))*$U51*((1+Inputs!$D$7)^BW$2))),IF($N51=Lists!$K$3,IF($L51&lt;1,((($T51*(1-$F51)+$S51*(1-$G51))/$L51)*((1+Inputs!$D$7)^BW$2)),((INT(BW$2/$L51)-INT((BW$2-1)/$L51))*($T51*(1-$F51)+$S51*(1-$G51))*((1+Inputs!$D$7)^BW$2))),((Inputs!$D$8^((1-_xlfn.WEIBULL.DIST(BW$2,$M51,$L51,FALSE))/_xlfn.WEIBULL.DIST(BW$2,$M51,$L51,FALSE))*($T51*(1-$F51)+$S51*(1-$G51))*((1+Inputs!$D$7)^BW$2))))))))</f>
        <v>2328.7908131295176</v>
      </c>
      <c r="BX51" s="88">
        <f>MAX(AH51,($E51*IF(BX$2&gt;Inputs!$D$5,0,IF(BX$2&gt;VLOOKUP($H51,Lists!$P$3:$Q$7,2),IF($N51=Lists!$K$3,IF($L51&lt;1,(($U51/$L51)*((1+Inputs!$D$7)^BX$2)),((INT(BX$2/$L51)-INT((BX$2-1)/$L51))*$U51*((1+Inputs!$D$7)^BX$2))),(Inputs!$D$8^((1-_xlfn.WEIBULL.DIST(BX$2,$M51,$L51,FALSE))/_xlfn.WEIBULL.DIST(BX$2,$M51,$L51,FALSE))*$U51*((1+Inputs!$D$7)^BX$2))),IF($N51=Lists!$K$3,IF($L51&lt;1,((($T51*(1-$F51)+$S51*(1-$G51))/$L51)*((1+Inputs!$D$7)^BX$2)),((INT(BX$2/$L51)-INT((BX$2-1)/$L51))*($T51*(1-$F51)+$S51*(1-$G51))*((1+Inputs!$D$7)^BX$2))),((Inputs!$D$8^((1-_xlfn.WEIBULL.DIST(BX$2,$M51,$L51,FALSE))/_xlfn.WEIBULL.DIST(BX$2,$M51,$L51,FALSE))*($T51*(1-$F51)+$S51*(1-$G51))*((1+Inputs!$D$7)^BX$2))))))))</f>
        <v>3378.1645320848315</v>
      </c>
      <c r="BY51" s="88">
        <f>MAX(AI51,($E51*IF(BY$2&gt;Inputs!$D$5,0,IF(BY$2&gt;VLOOKUP($H51,Lists!$P$3:$Q$7,2),IF($N51=Lists!$K$3,IF($L51&lt;1,(($U51/$L51)*((1+Inputs!$D$7)^BY$2)),((INT(BY$2/$L51)-INT((BY$2-1)/$L51))*$U51*((1+Inputs!$D$7)^BY$2))),(Inputs!$D$8^((1-_xlfn.WEIBULL.DIST(BY$2,$M51,$L51,FALSE))/_xlfn.WEIBULL.DIST(BY$2,$M51,$L51,FALSE))*$U51*((1+Inputs!$D$7)^BY$2))),IF($N51=Lists!$K$3,IF($L51&lt;1,((($T51*(1-$F51)+$S51*(1-$G51))/$L51)*((1+Inputs!$D$7)^BY$2)),((INT(BY$2/$L51)-INT((BY$2-1)/$L51))*($T51*(1-$F51)+$S51*(1-$G51))*((1+Inputs!$D$7)^BY$2))),((Inputs!$D$8^((1-_xlfn.WEIBULL.DIST(BY$2,$M51,$L51,FALSE))/_xlfn.WEIBULL.DIST(BY$2,$M51,$L51,FALSE))*($T51*(1-$F51)+$S51*(1-$G51))*((1+Inputs!$D$7)^BY$2))))))))</f>
        <v>4709.6753526310868</v>
      </c>
      <c r="BZ51" s="88">
        <f>MAX(AJ51,($E51*IF(BZ$2&gt;Inputs!$D$5,0,IF(BZ$2&gt;VLOOKUP($H51,Lists!$P$3:$Q$7,2),IF($N51=Lists!$K$3,IF($L51&lt;1,(($U51/$L51)*((1+Inputs!$D$7)^BZ$2)),((INT(BZ$2/$L51)-INT((BZ$2-1)/$L51))*$U51*((1+Inputs!$D$7)^BZ$2))),(Inputs!$D$8^((1-_xlfn.WEIBULL.DIST(BZ$2,$M51,$L51,FALSE))/_xlfn.WEIBULL.DIST(BZ$2,$M51,$L51,FALSE))*$U51*((1+Inputs!$D$7)^BZ$2))),IF($N51=Lists!$K$3,IF($L51&lt;1,((($T51*(1-$F51)+$S51*(1-$G51))/$L51)*((1+Inputs!$D$7)^BZ$2)),((INT(BZ$2/$L51)-INT((BZ$2-1)/$L51))*($T51*(1-$F51)+$S51*(1-$G51))*((1+Inputs!$D$7)^BZ$2))),((Inputs!$D$8^((1-_xlfn.WEIBULL.DIST(BZ$2,$M51,$L51,FALSE))/_xlfn.WEIBULL.DIST(BZ$2,$M51,$L51,FALSE))*($T51*(1-$F51)+$S51*(1-$G51))*((1+Inputs!$D$7)^BZ$2))))))))</f>
        <v>6094.8534168666238</v>
      </c>
      <c r="CA51" s="88">
        <f>MAX(AK51,($E51*IF(CA$2&gt;Inputs!$D$5,0,IF(CA$2&gt;VLOOKUP($H51,Lists!$P$3:$Q$7,2),IF($N51=Lists!$K$3,IF($L51&lt;1,(($U51/$L51)*((1+Inputs!$D$7)^CA$2)),((INT(CA$2/$L51)-INT((CA$2-1)/$L51))*$U51*((1+Inputs!$D$7)^CA$2))),(Inputs!$D$8^((1-_xlfn.WEIBULL.DIST(CA$2,$M51,$L51,FALSE))/_xlfn.WEIBULL.DIST(CA$2,$M51,$L51,FALSE))*$U51*((1+Inputs!$D$7)^CA$2))),IF($N51=Lists!$K$3,IF($L51&lt;1,((($T51*(1-$F51)+$S51*(1-$G51))/$L51)*((1+Inputs!$D$7)^CA$2)),((INT(CA$2/$L51)-INT((CA$2-1)/$L51))*($T51*(1-$F51)+$S51*(1-$G51))*((1+Inputs!$D$7)^CA$2))),((Inputs!$D$8^((1-_xlfn.WEIBULL.DIST(CA$2,$M51,$L51,FALSE))/_xlfn.WEIBULL.DIST(CA$2,$M51,$L51,FALSE))*($T51*(1-$F51)+$S51*(1-$G51))*((1+Inputs!$D$7)^CA$2))))))))</f>
        <v>7465.1064472858634</v>
      </c>
      <c r="CB51" s="88">
        <f>MAX(AL51,($E51*IF(CB$2&gt;Inputs!$D$5,0,IF(CB$2&gt;VLOOKUP($H51,Lists!$P$3:$Q$7,2),IF($N51=Lists!$K$3,IF($L51&lt;1,(($U51/$L51)*((1+Inputs!$D$7)^CB$2)),((INT(CB$2/$L51)-INT((CB$2-1)/$L51))*$U51*((1+Inputs!$D$7)^CB$2))),(Inputs!$D$8^((1-_xlfn.WEIBULL.DIST(CB$2,$M51,$L51,FALSE))/_xlfn.WEIBULL.DIST(CB$2,$M51,$L51,FALSE))*$U51*((1+Inputs!$D$7)^CB$2))),IF($N51=Lists!$K$3,IF($L51&lt;1,((($T51*(1-$F51)+$S51*(1-$G51))/$L51)*((1+Inputs!$D$7)^CB$2)),((INT(CB$2/$L51)-INT((CB$2-1)/$L51))*($T51*(1-$F51)+$S51*(1-$G51))*((1+Inputs!$D$7)^CB$2))),((Inputs!$D$8^((1-_xlfn.WEIBULL.DIST(CB$2,$M51,$L51,FALSE))/_xlfn.WEIBULL.DIST(CB$2,$M51,$L51,FALSE))*($T51*(1-$F51)+$S51*(1-$G51))*((1+Inputs!$D$7)^CB$2))))))))</f>
        <v>8765.5190701418906</v>
      </c>
      <c r="CC51" s="88">
        <f>MAX(AM51,($E51*IF(CC$2&gt;Inputs!$D$5,0,IF(CC$2&gt;VLOOKUP($H51,Lists!$P$3:$Q$7,2),IF($N51=Lists!$K$3,IF($L51&lt;1,(($U51/$L51)*((1+Inputs!$D$7)^CC$2)),((INT(CC$2/$L51)-INT((CC$2-1)/$L51))*$U51*((1+Inputs!$D$7)^CC$2))),(Inputs!$D$8^((1-_xlfn.WEIBULL.DIST(CC$2,$M51,$L51,FALSE))/_xlfn.WEIBULL.DIST(CC$2,$M51,$L51,FALSE))*$U51*((1+Inputs!$D$7)^CC$2))),IF($N51=Lists!$K$3,IF($L51&lt;1,((($T51*(1-$F51)+$S51*(1-$G51))/$L51)*((1+Inputs!$D$7)^CC$2)),((INT(CC$2/$L51)-INT((CC$2-1)/$L51))*($T51*(1-$F51)+$S51*(1-$G51))*((1+Inputs!$D$7)^CC$2))),((Inputs!$D$8^((1-_xlfn.WEIBULL.DIST(CC$2,$M51,$L51,FALSE))/_xlfn.WEIBULL.DIST(CC$2,$M51,$L51,FALSE))*($T51*(1-$F51)+$S51*(1-$G51))*((1+Inputs!$D$7)^CC$2))))))))</f>
        <v>9953.6837682591522</v>
      </c>
      <c r="CD51" s="88">
        <f>MAX(AN51,($E51*IF(CD$2&gt;Inputs!$D$5,0,IF(CD$2&gt;VLOOKUP($H51,Lists!$P$3:$Q$7,2),IF($N51=Lists!$K$3,IF($L51&lt;1,(($U51/$L51)*((1+Inputs!$D$7)^CD$2)),((INT(CD$2/$L51)-INT((CD$2-1)/$L51))*$U51*((1+Inputs!$D$7)^CD$2))),(Inputs!$D$8^((1-_xlfn.WEIBULL.DIST(CD$2,$M51,$L51,FALSE))/_xlfn.WEIBULL.DIST(CD$2,$M51,$L51,FALSE))*$U51*((1+Inputs!$D$7)^CD$2))),IF($N51=Lists!$K$3,IF($L51&lt;1,((($T51*(1-$F51)+$S51*(1-$G51))/$L51)*((1+Inputs!$D$7)^CD$2)),((INT(CD$2/$L51)-INT((CD$2-1)/$L51))*($T51*(1-$F51)+$S51*(1-$G51))*((1+Inputs!$D$7)^CD$2))),((Inputs!$D$8^((1-_xlfn.WEIBULL.DIST(CD$2,$M51,$L51,FALSE))/_xlfn.WEIBULL.DIST(CD$2,$M51,$L51,FALSE))*($T51*(1-$F51)+$S51*(1-$G51))*((1+Inputs!$D$7)^CD$2))))))))</f>
        <v>10997.735986027285</v>
      </c>
      <c r="CE51" s="88">
        <f>MAX(AO51,($E51*IF(CE$2&gt;Inputs!$D$5,0,IF(CE$2&gt;VLOOKUP($H51,Lists!$P$3:$Q$7,2),IF($N51=Lists!$K$3,IF($L51&lt;1,(($U51/$L51)*((1+Inputs!$D$7)^CE$2)),((INT(CE$2/$L51)-INT((CE$2-1)/$L51))*$U51*((1+Inputs!$D$7)^CE$2))),(Inputs!$D$8^((1-_xlfn.WEIBULL.DIST(CE$2,$M51,$L51,FALSE))/_xlfn.WEIBULL.DIST(CE$2,$M51,$L51,FALSE))*$U51*((1+Inputs!$D$7)^CE$2))),IF($N51=Lists!$K$3,IF($L51&lt;1,((($T51*(1-$F51)+$S51*(1-$G51))/$L51)*((1+Inputs!$D$7)^CE$2)),((INT(CE$2/$L51)-INT((CE$2-1)/$L51))*($T51*(1-$F51)+$S51*(1-$G51))*((1+Inputs!$D$7)^CE$2))),((Inputs!$D$8^((1-_xlfn.WEIBULL.DIST(CE$2,$M51,$L51,FALSE))/_xlfn.WEIBULL.DIST(CE$2,$M51,$L51,FALSE))*($T51*(1-$F51)+$S51*(1-$G51))*((1+Inputs!$D$7)^CE$2))))))))</f>
        <v>11874.407265502614</v>
      </c>
      <c r="CF51" s="88">
        <f>MAX(AP51,($E51*IF(CF$2&gt;Inputs!$D$5,0,IF(CF$2&gt;VLOOKUP($H51,Lists!$P$3:$Q$7,2),IF($N51=Lists!$K$3,IF($L51&lt;1,(($U51/$L51)*((1+Inputs!$D$7)^CF$2)),((INT(CF$2/$L51)-INT((CF$2-1)/$L51))*$U51*((1+Inputs!$D$7)^CF$2))),(Inputs!$D$8^((1-_xlfn.WEIBULL.DIST(CF$2,$M51,$L51,FALSE))/_xlfn.WEIBULL.DIST(CF$2,$M51,$L51,FALSE))*$U51*((1+Inputs!$D$7)^CF$2))),IF($N51=Lists!$K$3,IF($L51&lt;1,((($T51*(1-$F51)+$S51*(1-$G51))/$L51)*((1+Inputs!$D$7)^CF$2)),((INT(CF$2/$L51)-INT((CF$2-1)/$L51))*($T51*(1-$F51)+$S51*(1-$G51))*((1+Inputs!$D$7)^CF$2))),((Inputs!$D$8^((1-_xlfn.WEIBULL.DIST(CF$2,$M51,$L51,FALSE))/_xlfn.WEIBULL.DIST(CF$2,$M51,$L51,FALSE))*($T51*(1-$F51)+$S51*(1-$G51))*((1+Inputs!$D$7)^CF$2))))))))</f>
        <v>12567.403754019288</v>
      </c>
      <c r="CG51" s="88">
        <f>MAX(AQ51,($E51*IF(CG$2&gt;Inputs!$D$5,0,IF(CG$2&gt;VLOOKUP($H51,Lists!$P$3:$Q$7,2),IF($N51=Lists!$K$3,IF($L51&lt;1,(($U51/$L51)*((1+Inputs!$D$7)^CG$2)),((INT(CG$2/$L51)-INT((CG$2-1)/$L51))*$U51*((1+Inputs!$D$7)^CG$2))),(Inputs!$D$8^((1-_xlfn.WEIBULL.DIST(CG$2,$M51,$L51,FALSE))/_xlfn.WEIBULL.DIST(CG$2,$M51,$L51,FALSE))*$U51*((1+Inputs!$D$7)^CG$2))),IF($N51=Lists!$K$3,IF($L51&lt;1,((($T51*(1-$F51)+$S51*(1-$G51))/$L51)*((1+Inputs!$D$7)^CG$2)),((INT(CG$2/$L51)-INT((CG$2-1)/$L51))*($T51*(1-$F51)+$S51*(1-$G51))*((1+Inputs!$D$7)^CG$2))),((Inputs!$D$8^((1-_xlfn.WEIBULL.DIST(CG$2,$M51,$L51,FALSE))/_xlfn.WEIBULL.DIST(CG$2,$M51,$L51,FALSE))*($T51*(1-$F51)+$S51*(1-$G51))*((1+Inputs!$D$7)^CG$2))))))))</f>
        <v>13066.184231378702</v>
      </c>
      <c r="CH51" s="88">
        <f>MAX(AR51,($E51*IF(CH$2&gt;Inputs!$D$5,0,IF(CH$2&gt;VLOOKUP($H51,Lists!$P$3:$Q$7,2),IF($N51=Lists!$K$3,IF($L51&lt;1,(($U51/$L51)*((1+Inputs!$D$7)^CH$2)),((INT(CH$2/$L51)-INT((CH$2-1)/$L51))*$U51*((1+Inputs!$D$7)^CH$2))),(Inputs!$D$8^((1-_xlfn.WEIBULL.DIST(CH$2,$M51,$L51,FALSE))/_xlfn.WEIBULL.DIST(CH$2,$M51,$L51,FALSE))*$U51*((1+Inputs!$D$7)^CH$2))),IF($N51=Lists!$K$3,IF($L51&lt;1,((($T51*(1-$F51)+$S51*(1-$G51))/$L51)*((1+Inputs!$D$7)^CH$2)),((INT(CH$2/$L51)-INT((CH$2-1)/$L51))*($T51*(1-$F51)+$S51*(1-$G51))*((1+Inputs!$D$7)^CH$2))),((Inputs!$D$8^((1-_xlfn.WEIBULL.DIST(CH$2,$M51,$L51,FALSE))/_xlfn.WEIBULL.DIST(CH$2,$M51,$L51,FALSE))*($T51*(1-$F51)+$S51*(1-$G51))*((1+Inputs!$D$7)^CH$2))))))))</f>
        <v>13365.114363809545</v>
      </c>
      <c r="CI51" s="88">
        <f>MAX(AS51,($E51*IF(CI$2&gt;Inputs!$D$5,0,IF(CI$2&gt;VLOOKUP($H51,Lists!$P$3:$Q$7,2),IF($N51=Lists!$K$3,IF($L51&lt;1,(($U51/$L51)*((1+Inputs!$D$7)^CI$2)),((INT(CI$2/$L51)-INT((CI$2-1)/$L51))*$U51*((1+Inputs!$D$7)^CI$2))),(Inputs!$D$8^((1-_xlfn.WEIBULL.DIST(CI$2,$M51,$L51,FALSE))/_xlfn.WEIBULL.DIST(CI$2,$M51,$L51,FALSE))*$U51*((1+Inputs!$D$7)^CI$2))),IF($N51=Lists!$K$3,IF($L51&lt;1,((($T51*(1-$F51)+$S51*(1-$G51))/$L51)*((1+Inputs!$D$7)^CI$2)),((INT(CI$2/$L51)-INT((CI$2-1)/$L51))*($T51*(1-$F51)+$S51*(1-$G51))*((1+Inputs!$D$7)^CI$2))),((Inputs!$D$8^((1-_xlfn.WEIBULL.DIST(CI$2,$M51,$L51,FALSE))/_xlfn.WEIBULL.DIST(CI$2,$M51,$L51,FALSE))*($T51*(1-$F51)+$S51*(1-$G51))*((1+Inputs!$D$7)^CI$2))))))))</f>
        <v>13462.938846673738</v>
      </c>
      <c r="CJ51" s="88">
        <f>MAX(AT51,($E51*IF(CJ$2&gt;Inputs!$D$5,0,IF(CJ$2&gt;VLOOKUP($H51,Lists!$P$3:$Q$7,2),IF($N51=Lists!$K$3,IF($L51&lt;1,(($U51/$L51)*((1+Inputs!$D$7)^CJ$2)),((INT(CJ$2/$L51)-INT((CJ$2-1)/$L51))*$U51*((1+Inputs!$D$7)^CJ$2))),(Inputs!$D$8^((1-_xlfn.WEIBULL.DIST(CJ$2,$M51,$L51,FALSE))/_xlfn.WEIBULL.DIST(CJ$2,$M51,$L51,FALSE))*$U51*((1+Inputs!$D$7)^CJ$2))),IF($N51=Lists!$K$3,IF($L51&lt;1,((($T51*(1-$F51)+$S51*(1-$G51))/$L51)*((1+Inputs!$D$7)^CJ$2)),((INT(CJ$2/$L51)-INT((CJ$2-1)/$L51))*($T51*(1-$F51)+$S51*(1-$G51))*((1+Inputs!$D$7)^CJ$2))),((Inputs!$D$8^((1-_xlfn.WEIBULL.DIST(CJ$2,$M51,$L51,FALSE))/_xlfn.WEIBULL.DIST(CJ$2,$M51,$L51,FALSE))*($T51*(1-$F51)+$S51*(1-$G51))*((1+Inputs!$D$7)^CJ$2))))))))</f>
        <v>13362.504057233413</v>
      </c>
      <c r="CK51" s="88">
        <f>MAX(AU51,($E51*IF(CK$2&gt;Inputs!$D$5,0,IF(CK$2&gt;VLOOKUP($H51,Lists!$P$3:$Q$7,2),IF($N51=Lists!$K$3,IF($L51&lt;1,(($U51/$L51)*((1+Inputs!$D$7)^CK$2)),((INT(CK$2/$L51)-INT((CK$2-1)/$L51))*$U51*((1+Inputs!$D$7)^CK$2))),(Inputs!$D$8^((1-_xlfn.WEIBULL.DIST(CK$2,$M51,$L51,FALSE))/_xlfn.WEIBULL.DIST(CK$2,$M51,$L51,FALSE))*$U51*((1+Inputs!$D$7)^CK$2))),IF($N51=Lists!$K$3,IF($L51&lt;1,((($T51*(1-$F51)+$S51*(1-$G51))/$L51)*((1+Inputs!$D$7)^CK$2)),((INT(CK$2/$L51)-INT((CK$2-1)/$L51))*($T51*(1-$F51)+$S51*(1-$G51))*((1+Inputs!$D$7)^CK$2))),((Inputs!$D$8^((1-_xlfn.WEIBULL.DIST(CK$2,$M51,$L51,FALSE))/_xlfn.WEIBULL.DIST(CK$2,$M51,$L51,FALSE))*($T51*(1-$F51)+$S51*(1-$G51))*((1+Inputs!$D$7)^CK$2))))))))</f>
        <v>1081286.9590932315</v>
      </c>
      <c r="CL51" s="88">
        <f>MAX(AV51,($E51*IF(CL$2&gt;Inputs!$D$5,0,IF(CL$2&gt;VLOOKUP($H51,Lists!$P$3:$Q$7,2),IF($N51=Lists!$K$3,IF($L51&lt;1,(($U51/$L51)*((1+Inputs!$D$7)^CL$2)),((INT(CL$2/$L51)-INT((CL$2-1)/$L51))*$U51*((1+Inputs!$D$7)^CL$2))),(Inputs!$D$8^((1-_xlfn.WEIBULL.DIST(CL$2,$M51,$L51,FALSE))/_xlfn.WEIBULL.DIST(CL$2,$M51,$L51,FALSE))*$U51*((1+Inputs!$D$7)^CL$2))),IF($N51=Lists!$K$3,IF($L51&lt;1,((($T51*(1-$F51)+$S51*(1-$G51))/$L51)*((1+Inputs!$D$7)^CL$2)),((INT(CL$2/$L51)-INT((CL$2-1)/$L51))*($T51*(1-$F51)+$S51*(1-$G51))*((1+Inputs!$D$7)^CL$2))),((Inputs!$D$8^((1-_xlfn.WEIBULL.DIST(CL$2,$M51,$L51,FALSE))/_xlfn.WEIBULL.DIST(CL$2,$M51,$L51,FALSE))*($T51*(1-$F51)+$S51*(1-$G51))*((1+Inputs!$D$7)^CL$2))))))))</f>
        <v>1042210.0994811611</v>
      </c>
      <c r="CM51" s="88">
        <f>MAX(AW51,($E51*IF(CM$2&gt;Inputs!$D$5,0,IF(CM$2&gt;VLOOKUP($H51,Lists!$P$3:$Q$7,2),IF($N51=Lists!$K$3,IF($L51&lt;1,(($U51/$L51)*((1+Inputs!$D$7)^CM$2)),((INT(CM$2/$L51)-INT((CM$2-1)/$L51))*$U51*((1+Inputs!$D$7)^CM$2))),(Inputs!$D$8^((1-_xlfn.WEIBULL.DIST(CM$2,$M51,$L51,FALSE))/_xlfn.WEIBULL.DIST(CM$2,$M51,$L51,FALSE))*$U51*((1+Inputs!$D$7)^CM$2))),IF($N51=Lists!$K$3,IF($L51&lt;1,((($T51*(1-$F51)+$S51*(1-$G51))/$L51)*((1+Inputs!$D$7)^CM$2)),((INT(CM$2/$L51)-INT((CM$2-1)/$L51))*($T51*(1-$F51)+$S51*(1-$G51))*((1+Inputs!$D$7)^CM$2))),((Inputs!$D$8^((1-_xlfn.WEIBULL.DIST(CM$2,$M51,$L51,FALSE))/_xlfn.WEIBULL.DIST(CM$2,$M51,$L51,FALSE))*($T51*(1-$F51)+$S51*(1-$G51))*((1+Inputs!$D$7)^CM$2))))))))</f>
        <v>989438.64644550334</v>
      </c>
      <c r="CN51" s="88">
        <f>MAX(AX51,($E51*IF(CN$2&gt;Inputs!$D$5,0,IF(CN$2&gt;VLOOKUP($H51,Lists!$P$3:$Q$7,2),IF($N51=Lists!$K$3,IF($L51&lt;1,(($U51/$L51)*((1+Inputs!$D$7)^CN$2)),((INT(CN$2/$L51)-INT((CN$2-1)/$L51))*$U51*((1+Inputs!$D$7)^CN$2))),(Inputs!$D$8^((1-_xlfn.WEIBULL.DIST(CN$2,$M51,$L51,FALSE))/_xlfn.WEIBULL.DIST(CN$2,$M51,$L51,FALSE))*$U51*((1+Inputs!$D$7)^CN$2))),IF($N51=Lists!$K$3,IF($L51&lt;1,((($T51*(1-$F51)+$S51*(1-$G51))/$L51)*((1+Inputs!$D$7)^CN$2)),((INT(CN$2/$L51)-INT((CN$2-1)/$L51))*($T51*(1-$F51)+$S51*(1-$G51))*((1+Inputs!$D$7)^CN$2))),((Inputs!$D$8^((1-_xlfn.WEIBULL.DIST(CN$2,$M51,$L51,FALSE))/_xlfn.WEIBULL.DIST(CN$2,$M51,$L51,FALSE))*($T51*(1-$F51)+$S51*(1-$G51))*((1+Inputs!$D$7)^CN$2))))))))</f>
        <v>924555.09270747029</v>
      </c>
      <c r="CO51" s="88">
        <f>MAX(AY51,($E51*IF(CO$2&gt;Inputs!$D$5,0,IF(CO$2&gt;VLOOKUP($H51,Lists!$P$3:$Q$7,2),IF($N51=Lists!$K$3,IF($L51&lt;1,(($U51/$L51)*((1+Inputs!$D$7)^CO$2)),((INT(CO$2/$L51)-INT((CO$2-1)/$L51))*$U51*((1+Inputs!$D$7)^CO$2))),(Inputs!$D$8^((1-_xlfn.WEIBULL.DIST(CO$2,$M51,$L51,FALSE))/_xlfn.WEIBULL.DIST(CO$2,$M51,$L51,FALSE))*$U51*((1+Inputs!$D$7)^CO$2))),IF($N51=Lists!$K$3,IF($L51&lt;1,((($T51*(1-$F51)+$S51*(1-$G51))/$L51)*((1+Inputs!$D$7)^CO$2)),((INT(CO$2/$L51)-INT((CO$2-1)/$L51))*($T51*(1-$F51)+$S51*(1-$G51))*((1+Inputs!$D$7)^CO$2))),((Inputs!$D$8^((1-_xlfn.WEIBULL.DIST(CO$2,$M51,$L51,FALSE))/_xlfn.WEIBULL.DIST(CO$2,$M51,$L51,FALSE))*($T51*(1-$F51)+$S51*(1-$G51))*((1+Inputs!$D$7)^CO$2))))))))</f>
        <v>849480.8715222379</v>
      </c>
      <c r="CP51" s="88">
        <f>MAX(AZ51,($E51*IF(CP$2&gt;Inputs!$D$5,0,IF(CP$2&gt;VLOOKUP($H51,Lists!$P$3:$Q$7,2),IF($N51=Lists!$K$3,IF($L51&lt;1,(($U51/$L51)*((1+Inputs!$D$7)^CP$2)),((INT(CP$2/$L51)-INT((CP$2-1)/$L51))*$U51*((1+Inputs!$D$7)^CP$2))),(Inputs!$D$8^((1-_xlfn.WEIBULL.DIST(CP$2,$M51,$L51,FALSE))/_xlfn.WEIBULL.DIST(CP$2,$M51,$L51,FALSE))*$U51*((1+Inputs!$D$7)^CP$2))),IF($N51=Lists!$K$3,IF($L51&lt;1,((($T51*(1-$F51)+$S51*(1-$G51))/$L51)*((1+Inputs!$D$7)^CP$2)),((INT(CP$2/$L51)-INT((CP$2-1)/$L51))*($T51*(1-$F51)+$S51*(1-$G51))*((1+Inputs!$D$7)^CP$2))),((Inputs!$D$8^((1-_xlfn.WEIBULL.DIST(CP$2,$M51,$L51,FALSE))/_xlfn.WEIBULL.DIST(CP$2,$M51,$L51,FALSE))*($T51*(1-$F51)+$S51*(1-$G51))*((1+Inputs!$D$7)^CP$2))))))))</f>
        <v>0</v>
      </c>
      <c r="CQ51" s="88">
        <f>MAX(BA51,($E51*IF(CQ$2&gt;Inputs!$D$5,0,IF(CQ$2&gt;VLOOKUP($H51,Lists!$P$3:$Q$7,2),IF($N51=Lists!$K$3,IF($L51&lt;1,(($U51/$L51)*((1+Inputs!$D$7)^CQ$2)),((INT(CQ$2/$L51)-INT((CQ$2-1)/$L51))*$U51*((1+Inputs!$D$7)^CQ$2))),(Inputs!$D$8^((1-_xlfn.WEIBULL.DIST(CQ$2,$M51,$L51,FALSE))/_xlfn.WEIBULL.DIST(CQ$2,$M51,$L51,FALSE))*$U51*((1+Inputs!$D$7)^CQ$2))),IF($N51=Lists!$K$3,IF($L51&lt;1,((($T51*(1-$F51)+$S51*(1-$G51))/$L51)*((1+Inputs!$D$7)^CQ$2)),((INT(CQ$2/$L51)-INT((CQ$2-1)/$L51))*($T51*(1-$F51)+$S51*(1-$G51))*((1+Inputs!$D$7)^CQ$2))),((Inputs!$D$8^((1-_xlfn.WEIBULL.DIST(CQ$2,$M51,$L51,FALSE))/_xlfn.WEIBULL.DIST(CQ$2,$M51,$L51,FALSE))*($T51*(1-$F51)+$S51*(1-$G51))*((1+Inputs!$D$7)^CQ$2))))))))</f>
        <v>0</v>
      </c>
      <c r="CR51" s="88">
        <f>MAX(BB51,($E51*IF(CR$2&gt;Inputs!$D$5,0,IF(CR$2&gt;VLOOKUP($H51,Lists!$P$3:$Q$7,2),IF($N51=Lists!$K$3,IF($L51&lt;1,(($U51/$L51)*((1+Inputs!$D$7)^CR$2)),((INT(CR$2/$L51)-INT((CR$2-1)/$L51))*$U51*((1+Inputs!$D$7)^CR$2))),(Inputs!$D$8^((1-_xlfn.WEIBULL.DIST(CR$2,$M51,$L51,FALSE))/_xlfn.WEIBULL.DIST(CR$2,$M51,$L51,FALSE))*$U51*((1+Inputs!$D$7)^CR$2))),IF($N51=Lists!$K$3,IF($L51&lt;1,((($T51*(1-$F51)+$S51*(1-$G51))/$L51)*((1+Inputs!$D$7)^CR$2)),((INT(CR$2/$L51)-INT((CR$2-1)/$L51))*($T51*(1-$F51)+$S51*(1-$G51))*((1+Inputs!$D$7)^CR$2))),((Inputs!$D$8^((1-_xlfn.WEIBULL.DIST(CR$2,$M51,$L51,FALSE))/_xlfn.WEIBULL.DIST(CR$2,$M51,$L51,FALSE))*($T51*(1-$F51)+$S51*(1-$G51))*((1+Inputs!$D$7)^CR$2))))))))</f>
        <v>0</v>
      </c>
      <c r="CS51" s="88">
        <f>MAX(BC51,($E51*IF(CS$2&gt;Inputs!$D$5,0,IF(CS$2&gt;VLOOKUP($H51,Lists!$P$3:$Q$7,2),IF($N51=Lists!$K$3,IF($L51&lt;1,(($U51/$L51)*((1+Inputs!$D$7)^CS$2)),((INT(CS$2/$L51)-INT((CS$2-1)/$L51))*$U51*((1+Inputs!$D$7)^CS$2))),(Inputs!$D$8^((1-_xlfn.WEIBULL.DIST(CS$2,$M51,$L51,FALSE))/_xlfn.WEIBULL.DIST(CS$2,$M51,$L51,FALSE))*$U51*((1+Inputs!$D$7)^CS$2))),IF($N51=Lists!$K$3,IF($L51&lt;1,((($T51*(1-$F51)+$S51*(1-$G51))/$L51)*((1+Inputs!$D$7)^CS$2)),((INT(CS$2/$L51)-INT((CS$2-1)/$L51))*($T51*(1-$F51)+$S51*(1-$G51))*((1+Inputs!$D$7)^CS$2))),((Inputs!$D$8^((1-_xlfn.WEIBULL.DIST(CS$2,$M51,$L51,FALSE))/_xlfn.WEIBULL.DIST(CS$2,$M51,$L51,FALSE))*($T51*(1-$F51)+$S51*(1-$G51))*((1+Inputs!$D$7)^CS$2))))))))</f>
        <v>0</v>
      </c>
      <c r="CT51" s="88">
        <f>MAX(BD51,($E51*IF(CT$2&gt;Inputs!$D$5,0,IF(CT$2&gt;VLOOKUP($H51,Lists!$P$3:$Q$7,2),IF($N51=Lists!$K$3,IF($L51&lt;1,(($U51/$L51)*((1+Inputs!$D$7)^CT$2)),((INT(CT$2/$L51)-INT((CT$2-1)/$L51))*$U51*((1+Inputs!$D$7)^CT$2))),(Inputs!$D$8^((1-_xlfn.WEIBULL.DIST(CT$2,$M51,$L51,FALSE))/_xlfn.WEIBULL.DIST(CT$2,$M51,$L51,FALSE))*$U51*((1+Inputs!$D$7)^CT$2))),IF($N51=Lists!$K$3,IF($L51&lt;1,((($T51*(1-$F51)+$S51*(1-$G51))/$L51)*((1+Inputs!$D$7)^CT$2)),((INT(CT$2/$L51)-INT((CT$2-1)/$L51))*($T51*(1-$F51)+$S51*(1-$G51))*((1+Inputs!$D$7)^CT$2))),((Inputs!$D$8^((1-_xlfn.WEIBULL.DIST(CT$2,$M51,$L51,FALSE))/_xlfn.WEIBULL.DIST(CT$2,$M51,$L51,FALSE))*($T51*(1-$F51)+$S51*(1-$G51))*((1+Inputs!$D$7)^CT$2))))))))</f>
        <v>0</v>
      </c>
      <c r="CU51" s="88">
        <f>MAX(BE51,($E51*IF(CU$2&gt;Inputs!$D$5,0,IF(CU$2&gt;VLOOKUP($H51,Lists!$P$3:$Q$7,2),IF($N51=Lists!$K$3,IF($L51&lt;1,(($U51/$L51)*((1+Inputs!$D$7)^CU$2)),((INT(CU$2/$L51)-INT((CU$2-1)/$L51))*$U51*((1+Inputs!$D$7)^CU$2))),(Inputs!$D$8^((1-_xlfn.WEIBULL.DIST(CU$2,$M51,$L51,FALSE))/_xlfn.WEIBULL.DIST(CU$2,$M51,$L51,FALSE))*$U51*((1+Inputs!$D$7)^CU$2))),IF($N51=Lists!$K$3,IF($L51&lt;1,((($T51*(1-$F51)+$S51*(1-$G51))/$L51)*((1+Inputs!$D$7)^CU$2)),((INT(CU$2/$L51)-INT((CU$2-1)/$L51))*($T51*(1-$F51)+$S51*(1-$G51))*((1+Inputs!$D$7)^CU$2))),((Inputs!$D$8^((1-_xlfn.WEIBULL.DIST(CU$2,$M51,$L51,FALSE))/_xlfn.WEIBULL.DIST(CU$2,$M51,$L51,FALSE))*($T51*(1-$F51)+$S51*(1-$G51))*((1+Inputs!$D$7)^CU$2))))))))</f>
        <v>0</v>
      </c>
      <c r="CV51" s="88">
        <f>MAX(BF51,($E51*IF(CV$2&gt;Inputs!$D$5,0,IF(CV$2&gt;VLOOKUP($H51,Lists!$P$3:$Q$7,2),IF($N51=Lists!$K$3,IF($L51&lt;1,(($U51/$L51)*((1+Inputs!$D$7)^CV$2)),((INT(CV$2/$L51)-INT((CV$2-1)/$L51))*$U51*((1+Inputs!$D$7)^CV$2))),(Inputs!$D$8^((1-_xlfn.WEIBULL.DIST(CV$2,$M51,$L51,FALSE))/_xlfn.WEIBULL.DIST(CV$2,$M51,$L51,FALSE))*$U51*((1+Inputs!$D$7)^CV$2))),IF($N51=Lists!$K$3,IF($L51&lt;1,((($T51*(1-$F51)+$S51*(1-$G51))/$L51)*((1+Inputs!$D$7)^CV$2)),((INT(CV$2/$L51)-INT((CV$2-1)/$L51))*($T51*(1-$F51)+$S51*(1-$G51))*((1+Inputs!$D$7)^CV$2))),((Inputs!$D$8^((1-_xlfn.WEIBULL.DIST(CV$2,$M51,$L51,FALSE))/_xlfn.WEIBULL.DIST(CV$2,$M51,$L51,FALSE))*($T51*(1-$F51)+$S51*(1-$G51))*((1+Inputs!$D$7)^CV$2))))))))</f>
        <v>0</v>
      </c>
      <c r="CW51" s="88">
        <f>MAX(BG51,($E51*IF(CW$2&gt;Inputs!$D$5,0,IF(CW$2&gt;VLOOKUP($H51,Lists!$P$3:$Q$7,2),IF($N51=Lists!$K$3,IF($L51&lt;1,(($U51/$L51)*((1+Inputs!$D$7)^CW$2)),((INT(CW$2/$L51)-INT((CW$2-1)/$L51))*$U51*((1+Inputs!$D$7)^CW$2))),(Inputs!$D$8^((1-_xlfn.WEIBULL.DIST(CW$2,$M51,$L51,FALSE))/_xlfn.WEIBULL.DIST(CW$2,$M51,$L51,FALSE))*$U51*((1+Inputs!$D$7)^CW$2))),IF($N51=Lists!$K$3,IF($L51&lt;1,((($T51*(1-$F51)+$S51*(1-$G51))/$L51)*((1+Inputs!$D$7)^CW$2)),((INT(CW$2/$L51)-INT((CW$2-1)/$L51))*($T51*(1-$F51)+$S51*(1-$G51))*((1+Inputs!$D$7)^CW$2))),((Inputs!$D$8^((1-_xlfn.WEIBULL.DIST(CW$2,$M51,$L51,FALSE))/_xlfn.WEIBULL.DIST(CW$2,$M51,$L51,FALSE))*($T51*(1-$F51)+$S51*(1-$G51))*((1+Inputs!$D$7)^CW$2))))))))</f>
        <v>0</v>
      </c>
      <c r="CX51" s="88">
        <f>MAX(BH51,($E51*IF(CX$2&gt;Inputs!$D$5,0,IF(CX$2&gt;VLOOKUP($H51,Lists!$P$3:$Q$7,2),IF($N51=Lists!$K$3,IF($L51&lt;1,(($U51/$L51)*((1+Inputs!$D$7)^CX$2)),((INT(CX$2/$L51)-INT((CX$2-1)/$L51))*$U51*((1+Inputs!$D$7)^CX$2))),(Inputs!$D$8^((1-_xlfn.WEIBULL.DIST(CX$2,$M51,$L51,FALSE))/_xlfn.WEIBULL.DIST(CX$2,$M51,$L51,FALSE))*$U51*((1+Inputs!$D$7)^CX$2))),IF($N51=Lists!$K$3,IF($L51&lt;1,((($T51*(1-$F51)+$S51*(1-$G51))/$L51)*((1+Inputs!$D$7)^CX$2)),((INT(CX$2/$L51)-INT((CX$2-1)/$L51))*($T51*(1-$F51)+$S51*(1-$G51))*((1+Inputs!$D$7)^CX$2))),((Inputs!$D$8^((1-_xlfn.WEIBULL.DIST(CX$2,$M51,$L51,FALSE))/_xlfn.WEIBULL.DIST(CX$2,$M51,$L51,FALSE))*($T51*(1-$F51)+$S51*(1-$G51))*((1+Inputs!$D$7)^CX$2))))))))</f>
        <v>0</v>
      </c>
      <c r="CY51" s="88">
        <f>MAX(BI51,($E51*IF(CY$2&gt;Inputs!$D$5,0,IF(CY$2&gt;VLOOKUP($H51,Lists!$P$3:$Q$7,2),IF($N51=Lists!$K$3,IF($L51&lt;1,(($U51/$L51)*((1+Inputs!$D$7)^CY$2)),((INT(CY$2/$L51)-INT((CY$2-1)/$L51))*$U51*((1+Inputs!$D$7)^CY$2))),(Inputs!$D$8^((1-_xlfn.WEIBULL.DIST(CY$2,$M51,$L51,FALSE))/_xlfn.WEIBULL.DIST(CY$2,$M51,$L51,FALSE))*$U51*((1+Inputs!$D$7)^CY$2))),IF($N51=Lists!$K$3,IF($L51&lt;1,((($T51*(1-$F51)+$S51*(1-$G51))/$L51)*((1+Inputs!$D$7)^CY$2)),((INT(CY$2/$L51)-INT((CY$2-1)/$L51))*($T51*(1-$F51)+$S51*(1-$G51))*((1+Inputs!$D$7)^CY$2))),((Inputs!$D$8^((1-_xlfn.WEIBULL.DIST(CY$2,$M51,$L51,FALSE))/_xlfn.WEIBULL.DIST(CY$2,$M51,$L51,FALSE))*($T51*(1-$F51)+$S51*(1-$G51))*((1+Inputs!$D$7)^CY$2))))))))</f>
        <v>0</v>
      </c>
      <c r="CZ51" s="88">
        <f>MAX(BJ51,($E51*IF(CZ$2&gt;Inputs!$D$5,0,IF(CZ$2&gt;VLOOKUP($H51,Lists!$P$3:$Q$7,2),IF($N51=Lists!$K$3,IF($L51&lt;1,(($U51/$L51)*((1+Inputs!$D$7)^CZ$2)),((INT(CZ$2/$L51)-INT((CZ$2-1)/$L51))*$U51*((1+Inputs!$D$7)^CZ$2))),(Inputs!$D$8^((1-_xlfn.WEIBULL.DIST(CZ$2,$M51,$L51,FALSE))/_xlfn.WEIBULL.DIST(CZ$2,$M51,$L51,FALSE))*$U51*((1+Inputs!$D$7)^CZ$2))),IF($N51=Lists!$K$3,IF($L51&lt;1,((($T51*(1-$F51)+$S51*(1-$G51))/$L51)*((1+Inputs!$D$7)^CZ$2)),((INT(CZ$2/$L51)-INT((CZ$2-1)/$L51))*($T51*(1-$F51)+$S51*(1-$G51))*((1+Inputs!$D$7)^CZ$2))),((Inputs!$D$8^((1-_xlfn.WEIBULL.DIST(CZ$2,$M51,$L51,FALSE))/_xlfn.WEIBULL.DIST(CZ$2,$M51,$L51,FALSE))*($T51*(1-$F51)+$S51*(1-$G51))*((1+Inputs!$D$7)^CZ$2))))))))</f>
        <v>0</v>
      </c>
      <c r="DA51" s="88">
        <f>MAX(BK51,($E51*IF(DA$2&gt;Inputs!$D$5,0,IF(DA$2&gt;VLOOKUP($H51,Lists!$P$3:$Q$7,2),IF($N51=Lists!$K$3,IF($L51&lt;1,(($U51/$L51)*((1+Inputs!$D$7)^DA$2)),((INT(DA$2/$L51)-INT((DA$2-1)/$L51))*$U51*((1+Inputs!$D$7)^DA$2))),(Inputs!$D$8^((1-_xlfn.WEIBULL.DIST(DA$2,$M51,$L51,FALSE))/_xlfn.WEIBULL.DIST(DA$2,$M51,$L51,FALSE))*$U51*((1+Inputs!$D$7)^DA$2))),IF($N51=Lists!$K$3,IF($L51&lt;1,((($T51*(1-$F51)+$S51*(1-$G51))/$L51)*((1+Inputs!$D$7)^DA$2)),((INT(DA$2/$L51)-INT((DA$2-1)/$L51))*($T51*(1-$F51)+$S51*(1-$G51))*((1+Inputs!$D$7)^DA$2))),((Inputs!$D$8^((1-_xlfn.WEIBULL.DIST(DA$2,$M51,$L51,FALSE))/_xlfn.WEIBULL.DIST(DA$2,$M51,$L51,FALSE))*($T51*(1-$F51)+$S51*(1-$G51))*((1+Inputs!$D$7)^DA$2))))))))</f>
        <v>0</v>
      </c>
      <c r="DB51" s="88">
        <f>MAX(BL51,($E51*IF(DB$2&gt;Inputs!$D$5,0,IF(DB$2&gt;VLOOKUP($H51,Lists!$P$3:$Q$7,2),IF($N51=Lists!$K$3,IF($L51&lt;1,(($U51/$L51)*((1+Inputs!$D$7)^DB$2)),((INT(DB$2/$L51)-INT((DB$2-1)/$L51))*$U51*((1+Inputs!$D$7)^DB$2))),(Inputs!$D$8^((1-_xlfn.WEIBULL.DIST(DB$2,$M51,$L51,FALSE))/_xlfn.WEIBULL.DIST(DB$2,$M51,$L51,FALSE))*$U51*((1+Inputs!$D$7)^DB$2))),IF($N51=Lists!$K$3,IF($L51&lt;1,((($T51*(1-$F51)+$S51*(1-$G51))/$L51)*((1+Inputs!$D$7)^DB$2)),((INT(DB$2/$L51)-INT((DB$2-1)/$L51))*($T51*(1-$F51)+$S51*(1-$G51))*((1+Inputs!$D$7)^DB$2))),((Inputs!$D$8^((1-_xlfn.WEIBULL.DIST(DB$2,$M51,$L51,FALSE))/_xlfn.WEIBULL.DIST(DB$2,$M51,$L51,FALSE))*($T51*(1-$F51)+$S51*(1-$G51))*((1+Inputs!$D$7)^DB$2))))))))</f>
        <v>0</v>
      </c>
      <c r="DC51" s="88">
        <f>MAX(BM51,($E51*IF(DC$2&gt;Inputs!$D$5,0,IF(DC$2&gt;VLOOKUP($H51,Lists!$P$3:$Q$7,2),IF($N51=Lists!$K$3,IF($L51&lt;1,(($U51/$L51)*((1+Inputs!$D$7)^DC$2)),((INT(DC$2/$L51)-INT((DC$2-1)/$L51))*$U51*((1+Inputs!$D$7)^DC$2))),(Inputs!$D$8^((1-_xlfn.WEIBULL.DIST(DC$2,$M51,$L51,FALSE))/_xlfn.WEIBULL.DIST(DC$2,$M51,$L51,FALSE))*$U51*((1+Inputs!$D$7)^DC$2))),IF($N51=Lists!$K$3,IF($L51&lt;1,((($T51*(1-$F51)+$S51*(1-$G51))/$L51)*((1+Inputs!$D$7)^DC$2)),((INT(DC$2/$L51)-INT((DC$2-1)/$L51))*($T51*(1-$F51)+$S51*(1-$G51))*((1+Inputs!$D$7)^DC$2))),((Inputs!$D$8^((1-_xlfn.WEIBULL.DIST(DC$2,$M51,$L51,FALSE))/_xlfn.WEIBULL.DIST(DC$2,$M51,$L51,FALSE))*($T51*(1-$F51)+$S51*(1-$G51))*((1+Inputs!$D$7)^DC$2))))))))</f>
        <v>0</v>
      </c>
      <c r="DD51" s="88">
        <f>MAX(BN51,($E51*IF(DD$2&gt;Inputs!$D$5,0,IF(DD$2&gt;VLOOKUP($H51,Lists!$P$3:$Q$7,2),IF($N51=Lists!$K$3,IF($L51&lt;1,(($U51/$L51)*((1+Inputs!$D$7)^DD$2)),((INT(DD$2/$L51)-INT((DD$2-1)/$L51))*$U51*((1+Inputs!$D$7)^DD$2))),(Inputs!$D$8^((1-_xlfn.WEIBULL.DIST(DD$2,$M51,$L51,FALSE))/_xlfn.WEIBULL.DIST(DD$2,$M51,$L51,FALSE))*$U51*((1+Inputs!$D$7)^DD$2))),IF($N51=Lists!$K$3,IF($L51&lt;1,((($T51*(1-$F51)+$S51*(1-$G51))/$L51)*((1+Inputs!$D$7)^DD$2)),((INT(DD$2/$L51)-INT((DD$2-1)/$L51))*($T51*(1-$F51)+$S51*(1-$G51))*((1+Inputs!$D$7)^DD$2))),((Inputs!$D$8^((1-_xlfn.WEIBULL.DIST(DD$2,$M51,$L51,FALSE))/_xlfn.WEIBULL.DIST(DD$2,$M51,$L51,FALSE))*($T51*(1-$F51)+$S51*(1-$G51))*((1+Inputs!$D$7)^DD$2))))))))</f>
        <v>0</v>
      </c>
    </row>
    <row r="52" spans="1:108" s="1" customFormat="1" ht="16">
      <c r="A52" s="57" t="s">
        <v>178</v>
      </c>
      <c r="B52" s="13" t="s">
        <v>130</v>
      </c>
      <c r="C52" s="13" t="s">
        <v>474</v>
      </c>
      <c r="D52" s="13" t="s">
        <v>215</v>
      </c>
      <c r="E52" s="48">
        <v>1</v>
      </c>
      <c r="F52" s="48">
        <v>1</v>
      </c>
      <c r="G52" s="48">
        <v>0</v>
      </c>
      <c r="H52" s="105" t="s">
        <v>357</v>
      </c>
      <c r="I52" s="14" t="s">
        <v>267</v>
      </c>
      <c r="J52" s="14" t="s">
        <v>86</v>
      </c>
      <c r="K52" s="13">
        <f>VLOOKUP(J52,'Labor Rates'!$A$1:$F$16,2)</f>
        <v>29.298461538461535</v>
      </c>
      <c r="L52" s="15">
        <v>60</v>
      </c>
      <c r="M52" s="15">
        <v>2</v>
      </c>
      <c r="N52" s="16" t="s">
        <v>226</v>
      </c>
      <c r="O52" s="61">
        <f>Inputs!$D$21</f>
        <v>32787</v>
      </c>
      <c r="P52" s="15">
        <v>0.25</v>
      </c>
      <c r="Q52" s="15">
        <f t="shared" si="7"/>
        <v>136.61250000000001</v>
      </c>
      <c r="R52" s="4">
        <v>50</v>
      </c>
      <c r="S52" s="53">
        <f t="shared" si="8"/>
        <v>240152.16461538459</v>
      </c>
      <c r="T52" s="53">
        <f t="shared" si="9"/>
        <v>1639350</v>
      </c>
      <c r="U52" s="54">
        <f t="shared" si="10"/>
        <v>1879502.1646153845</v>
      </c>
      <c r="V52" s="65"/>
      <c r="W52" s="58"/>
      <c r="X52" s="64">
        <f t="shared" si="11"/>
        <v>1735.5883156339071</v>
      </c>
      <c r="Y52" s="64">
        <f>NPV(Inputs!$D$6,AA52:BN52)</f>
        <v>48657.471934422079</v>
      </c>
      <c r="Z52" s="67">
        <f t="shared" si="12"/>
        <v>2.2949239256499054E-2</v>
      </c>
      <c r="AA52" s="88">
        <f>$E52*IF(AA$2&gt;Inputs!$D$5,0,IF(AA$2&gt;VLOOKUP($H52,Lists!$P$3:$Q$7,2),IF($N52=Lists!$K$3,IF($L52&lt;1,(($U52/$L52)*((1+Inputs!$D$7)^AA$2)),((INT(AA$2/$L52)-INT((AA$2-1)/$L52))*$U52*((1+Inputs!$D$7)^AA$2))),(_xlfn.WEIBULL.DIST(AA$2,$M52,$L52,FALSE)*$U52*((1+Inputs!$D$7)^AA$2))),IF($N52=Lists!$K$3,IF($L52&lt;1,((($T52*(1-$F52)+$S52*(1-$G52))/$L52)*((1+Inputs!$D$7)^AA$2)),((INT(AA$2/$L52)-INT((AA$2-1)/$L52))*($T52*(1-$F52)+$S52*(1-$G52))*((1+Inputs!$D$7)^AA$2))),((_xlfn.WEIBULL.DIST(AA$2,$M52,$L52,FALSE)*($T52*(1-$F52)+$S52*(1-$G52))*((1+Inputs!$D$7)^AA$2))))))</f>
        <v>136.04843013552343</v>
      </c>
      <c r="AB52" s="88">
        <f>$E52*IF(AB$2&gt;Inputs!$D$5,0,IF(AB$2&gt;VLOOKUP($H52,Lists!$P$3:$Q$7,2),IF($N52=Lists!$K$3,IF($L52&lt;1,(($U52/$L52)*((1+Inputs!$D$7)^AB$2)),((INT(AB$2/$L52)-INT((AB$2-1)/$L52))*$U52*((1+Inputs!$D$7)^AB$2))),(_xlfn.WEIBULL.DIST(AB$2,$M52,$L52,FALSE)*$U52*((1+Inputs!$D$7)^AB$2))),IF($N52=Lists!$K$3,IF($L52&lt;1,((($T52*(1-$F52)+$S52*(1-$G52))/$L52)*((1+Inputs!$D$7)^AB$2)),((INT(AB$2/$L52)-INT((AB$2-1)/$L52))*($T52*(1-$F52)+$S52*(1-$G52))*((1+Inputs!$D$7)^AB$2))),((_xlfn.WEIBULL.DIST(AB$2,$M52,$L52,FALSE)*($T52*(1-$F52)+$S52*(1-$G52))*((1+Inputs!$D$7)^AB$2))))))</f>
        <v>277.30761148611219</v>
      </c>
      <c r="AC52" s="88">
        <f>$E52*IF(AC$2&gt;Inputs!$D$5,0,IF(AC$2&gt;VLOOKUP($H52,Lists!$P$3:$Q$7,2),IF($N52=Lists!$K$3,IF($L52&lt;1,(($U52/$L52)*((1+Inputs!$D$7)^AC$2)),((INT(AC$2/$L52)-INT((AC$2-1)/$L52))*$U52*((1+Inputs!$D$7)^AC$2))),(_xlfn.WEIBULL.DIST(AC$2,$M52,$L52,FALSE)*$U52*((1+Inputs!$D$7)^AC$2))),IF($N52=Lists!$K$3,IF($L52&lt;1,((($T52*(1-$F52)+$S52*(1-$G52))/$L52)*((1+Inputs!$D$7)^AC$2)),((INT(AC$2/$L52)-INT((AC$2-1)/$L52))*($T52*(1-$F52)+$S52*(1-$G52))*((1+Inputs!$D$7)^AC$2))),((_xlfn.WEIBULL.DIST(AC$2,$M52,$L52,FALSE)*($T52*(1-$F52)+$S52*(1-$G52))*((1+Inputs!$D$7)^AC$2))))))</f>
        <v>423.69177593125681</v>
      </c>
      <c r="AD52" s="88">
        <f>$E52*IF(AD$2&gt;Inputs!$D$5,0,IF(AD$2&gt;VLOOKUP($H52,Lists!$P$3:$Q$7,2),IF($N52=Lists!$K$3,IF($L52&lt;1,(($U52/$L52)*((1+Inputs!$D$7)^AD$2)),((INT(AD$2/$L52)-INT((AD$2-1)/$L52))*$U52*((1+Inputs!$D$7)^AD$2))),(_xlfn.WEIBULL.DIST(AD$2,$M52,$L52,FALSE)*$U52*((1+Inputs!$D$7)^AD$2))),IF($N52=Lists!$K$3,IF($L52&lt;1,((($T52*(1-$F52)+$S52*(1-$G52))/$L52)*((1+Inputs!$D$7)^AD$2)),((INT(AD$2/$L52)-INT((AD$2-1)/$L52))*($T52*(1-$F52)+$S52*(1-$G52))*((1+Inputs!$D$7)^AD$2))),((_xlfn.WEIBULL.DIST(AD$2,$M52,$L52,FALSE)*($T52*(1-$F52)+$S52*(1-$G52))*((1+Inputs!$D$7)^AD$2))))))</f>
        <v>575.1014745041274</v>
      </c>
      <c r="AE52" s="88">
        <f>$E52*IF(AE$2&gt;Inputs!$D$5,0,IF(AE$2&gt;VLOOKUP($H52,Lists!$P$3:$Q$7,2),IF($N52=Lists!$K$3,IF($L52&lt;1,(($U52/$L52)*((1+Inputs!$D$7)^AE$2)),((INT(AE$2/$L52)-INT((AE$2-1)/$L52))*$U52*((1+Inputs!$D$7)^AE$2))),(_xlfn.WEIBULL.DIST(AE$2,$M52,$L52,FALSE)*$U52*((1+Inputs!$D$7)^AE$2))),IF($N52=Lists!$K$3,IF($L52&lt;1,((($T52*(1-$F52)+$S52*(1-$G52))/$L52)*((1+Inputs!$D$7)^AE$2)),((INT(AE$2/$L52)-INT((AE$2-1)/$L52))*($T52*(1-$F52)+$S52*(1-$G52))*((1+Inputs!$D$7)^AE$2))),((_xlfn.WEIBULL.DIST(AE$2,$M52,$L52,FALSE)*($T52*(1-$F52)+$S52*(1-$G52))*((1+Inputs!$D$7)^AE$2))))))</f>
        <v>731.42353355439411</v>
      </c>
      <c r="AF52" s="88">
        <f>$E52*IF(AF$2&gt;Inputs!$D$5,0,IF(AF$2&gt;VLOOKUP($H52,Lists!$P$3:$Q$7,2),IF($N52=Lists!$K$3,IF($L52&lt;1,(($U52/$L52)*((1+Inputs!$D$7)^AF$2)),((INT(AF$2/$L52)-INT((AF$2-1)/$L52))*$U52*((1+Inputs!$D$7)^AF$2))),(_xlfn.WEIBULL.DIST(AF$2,$M52,$L52,FALSE)*$U52*((1+Inputs!$D$7)^AF$2))),IF($N52=Lists!$K$3,IF($L52&lt;1,((($T52*(1-$F52)+$S52*(1-$G52))/$L52)*((1+Inputs!$D$7)^AF$2)),((INT(AF$2/$L52)-INT((AF$2-1)/$L52))*($T52*(1-$F52)+$S52*(1-$G52))*((1+Inputs!$D$7)^AF$2))),((_xlfn.WEIBULL.DIST(AF$2,$M52,$L52,FALSE)*($T52*(1-$F52)+$S52*(1-$G52))*((1+Inputs!$D$7)^AF$2))))))</f>
        <v>892.53105607446957</v>
      </c>
      <c r="AG52" s="88">
        <f>$E52*IF(AG$2&gt;Inputs!$D$5,0,IF(AG$2&gt;VLOOKUP($H52,Lists!$P$3:$Q$7,2),IF($N52=Lists!$K$3,IF($L52&lt;1,(($U52/$L52)*((1+Inputs!$D$7)^AG$2)),((INT(AG$2/$L52)-INT((AG$2-1)/$L52))*$U52*((1+Inputs!$D$7)^AG$2))),(_xlfn.WEIBULL.DIST(AG$2,$M52,$L52,FALSE)*$U52*((1+Inputs!$D$7)^AG$2))),IF($N52=Lists!$K$3,IF($L52&lt;1,((($T52*(1-$F52)+$S52*(1-$G52))/$L52)*((1+Inputs!$D$7)^AG$2)),((INT(AG$2/$L52)-INT((AG$2-1)/$L52))*($T52*(1-$F52)+$S52*(1-$G52))*((1+Inputs!$D$7)^AG$2))),((_xlfn.WEIBULL.DIST(AG$2,$M52,$L52,FALSE)*($T52*(1-$F52)+$S52*(1-$G52))*((1+Inputs!$D$7)^AG$2))))))</f>
        <v>1058.2834691477808</v>
      </c>
      <c r="AH52" s="88">
        <f>$E52*IF(AH$2&gt;Inputs!$D$5,0,IF(AH$2&gt;VLOOKUP($H52,Lists!$P$3:$Q$7,2),IF($N52=Lists!$K$3,IF($L52&lt;1,(($U52/$L52)*((1+Inputs!$D$7)^AH$2)),((INT(AH$2/$L52)-INT((AH$2-1)/$L52))*$U52*((1+Inputs!$D$7)^AH$2))),(_xlfn.WEIBULL.DIST(AH$2,$M52,$L52,FALSE)*$U52*((1+Inputs!$D$7)^AH$2))),IF($N52=Lists!$K$3,IF($L52&lt;1,((($T52*(1-$F52)+$S52*(1-$G52))/$L52)*((1+Inputs!$D$7)^AH$2)),((INT(AH$2/$L52)-INT((AH$2-1)/$L52))*($T52*(1-$F52)+$S52*(1-$G52))*((1+Inputs!$D$7)^AH$2))),((_xlfn.WEIBULL.DIST(AH$2,$M52,$L52,FALSE)*($T52*(1-$F52)+$S52*(1-$G52))*((1+Inputs!$D$7)^AH$2))))))</f>
        <v>1228.5266182907751</v>
      </c>
      <c r="AI52" s="88">
        <f>$E52*IF(AI$2&gt;Inputs!$D$5,0,IF(AI$2&gt;VLOOKUP($H52,Lists!$P$3:$Q$7,2),IF($N52=Lists!$K$3,IF($L52&lt;1,(($U52/$L52)*((1+Inputs!$D$7)^AI$2)),((INT(AI$2/$L52)-INT((AI$2-1)/$L52))*$U52*((1+Inputs!$D$7)^AI$2))),(_xlfn.WEIBULL.DIST(AI$2,$M52,$L52,FALSE)*$U52*((1+Inputs!$D$7)^AI$2))),IF($N52=Lists!$K$3,IF($L52&lt;1,((($T52*(1-$F52)+$S52*(1-$G52))/$L52)*((1+Inputs!$D$7)^AI$2)),((INT(AI$2/$L52)-INT((AI$2-1)/$L52))*($T52*(1-$F52)+$S52*(1-$G52))*((1+Inputs!$D$7)^AI$2))),((_xlfn.WEIBULL.DIST(AI$2,$M52,$L52,FALSE)*($T52*(1-$F52)+$S52*(1-$G52))*((1+Inputs!$D$7)^AI$2))))))</f>
        <v>1403.0929092658057</v>
      </c>
      <c r="AJ52" s="88">
        <f>$E52*IF(AJ$2&gt;Inputs!$D$5,0,IF(AJ$2&gt;VLOOKUP($H52,Lists!$P$3:$Q$7,2),IF($N52=Lists!$K$3,IF($L52&lt;1,(($U52/$L52)*((1+Inputs!$D$7)^AJ$2)),((INT(AJ$2/$L52)-INT((AJ$2-1)/$L52))*$U52*((1+Inputs!$D$7)^AJ$2))),(_xlfn.WEIBULL.DIST(AJ$2,$M52,$L52,FALSE)*$U52*((1+Inputs!$D$7)^AJ$2))),IF($N52=Lists!$K$3,IF($L52&lt;1,((($T52*(1-$F52)+$S52*(1-$G52))/$L52)*((1+Inputs!$D$7)^AJ$2)),((INT(AJ$2/$L52)-INT((AJ$2-1)/$L52))*($T52*(1-$F52)+$S52*(1-$G52))*((1+Inputs!$D$7)^AJ$2))),((_xlfn.WEIBULL.DIST(AJ$2,$M52,$L52,FALSE)*($T52*(1-$F52)+$S52*(1-$G52))*((1+Inputs!$D$7)^AJ$2))))))</f>
        <v>1581.8014977408704</v>
      </c>
      <c r="AK52" s="88">
        <f>$E52*IF(AK$2&gt;Inputs!$D$5,0,IF(AK$2&gt;VLOOKUP($H52,Lists!$P$3:$Q$7,2),IF($N52=Lists!$K$3,IF($L52&lt;1,(($U52/$L52)*((1+Inputs!$D$7)^AK$2)),((INT(AK$2/$L52)-INT((AK$2-1)/$L52))*$U52*((1+Inputs!$D$7)^AK$2))),(_xlfn.WEIBULL.DIST(AK$2,$M52,$L52,FALSE)*$U52*((1+Inputs!$D$7)^AK$2))),IF($N52=Lists!$K$3,IF($L52&lt;1,((($T52*(1-$F52)+$S52*(1-$G52))/$L52)*((1+Inputs!$D$7)^AK$2)),((INT(AK$2/$L52)-INT((AK$2-1)/$L52))*($T52*(1-$F52)+$S52*(1-$G52))*((1+Inputs!$D$7)^AK$2))),((_xlfn.WEIBULL.DIST(AK$2,$M52,$L52,FALSE)*($T52*(1-$F52)+$S52*(1-$G52))*((1+Inputs!$D$7)^AK$2))))))</f>
        <v>1764.4585269652646</v>
      </c>
      <c r="AL52" s="88">
        <f>$E52*IF(AL$2&gt;Inputs!$D$5,0,IF(AL$2&gt;VLOOKUP($H52,Lists!$P$3:$Q$7,2),IF($N52=Lists!$K$3,IF($L52&lt;1,(($U52/$L52)*((1+Inputs!$D$7)^AL$2)),((INT(AL$2/$L52)-INT((AL$2-1)/$L52))*$U52*((1+Inputs!$D$7)^AL$2))),(_xlfn.WEIBULL.DIST(AL$2,$M52,$L52,FALSE)*$U52*((1+Inputs!$D$7)^AL$2))),IF($N52=Lists!$K$3,IF($L52&lt;1,((($T52*(1-$F52)+$S52*(1-$G52))/$L52)*((1+Inputs!$D$7)^AL$2)),((INT(AL$2/$L52)-INT((AL$2-1)/$L52))*($T52*(1-$F52)+$S52*(1-$G52))*((1+Inputs!$D$7)^AL$2))),((_xlfn.WEIBULL.DIST(AL$2,$M52,$L52,FALSE)*($T52*(1-$F52)+$S52*(1-$G52))*((1+Inputs!$D$7)^AL$2))))))</f>
        <v>1950.8574134187243</v>
      </c>
      <c r="AM52" s="88">
        <f>$E52*IF(AM$2&gt;Inputs!$D$5,0,IF(AM$2&gt;VLOOKUP($H52,Lists!$P$3:$Q$7,2),IF($N52=Lists!$K$3,IF($L52&lt;1,(($U52/$L52)*((1+Inputs!$D$7)^AM$2)),((INT(AM$2/$L52)-INT((AM$2-1)/$L52))*$U52*((1+Inputs!$D$7)^AM$2))),(_xlfn.WEIBULL.DIST(AM$2,$M52,$L52,FALSE)*$U52*((1+Inputs!$D$7)^AM$2))),IF($N52=Lists!$K$3,IF($L52&lt;1,((($T52*(1-$F52)+$S52*(1-$G52))/$L52)*((1+Inputs!$D$7)^AM$2)),((INT(AM$2/$L52)-INT((AM$2-1)/$L52))*($T52*(1-$F52)+$S52*(1-$G52))*((1+Inputs!$D$7)^AM$2))),((_xlfn.WEIBULL.DIST(AM$2,$M52,$L52,FALSE)*($T52*(1-$F52)+$S52*(1-$G52))*((1+Inputs!$D$7)^AM$2))))))</f>
        <v>2140.779180176608</v>
      </c>
      <c r="AN52" s="88">
        <f>$E52*IF(AN$2&gt;Inputs!$D$5,0,IF(AN$2&gt;VLOOKUP($H52,Lists!$P$3:$Q$7,2),IF($N52=Lists!$K$3,IF($L52&lt;1,(($U52/$L52)*((1+Inputs!$D$7)^AN$2)),((INT(AN$2/$L52)-INT((AN$2-1)/$L52))*$U52*((1+Inputs!$D$7)^AN$2))),(_xlfn.WEIBULL.DIST(AN$2,$M52,$L52,FALSE)*$U52*((1+Inputs!$D$7)^AN$2))),IF($N52=Lists!$K$3,IF($L52&lt;1,((($T52*(1-$F52)+$S52*(1-$G52))/$L52)*((1+Inputs!$D$7)^AN$2)),((INT(AN$2/$L52)-INT((AN$2-1)/$L52))*($T52*(1-$F52)+$S52*(1-$G52))*((1+Inputs!$D$7)^AN$2))),((_xlfn.WEIBULL.DIST(AN$2,$M52,$L52,FALSE)*($T52*(1-$F52)+$S52*(1-$G52))*((1+Inputs!$D$7)^AN$2))))))</f>
        <v>2333.9928375162626</v>
      </c>
      <c r="AO52" s="88">
        <f>$E52*IF(AO$2&gt;Inputs!$D$5,0,IF(AO$2&gt;VLOOKUP($H52,Lists!$P$3:$Q$7,2),IF($N52=Lists!$K$3,IF($L52&lt;1,(($U52/$L52)*((1+Inputs!$D$7)^AO$2)),((INT(AO$2/$L52)-INT((AO$2-1)/$L52))*$U52*((1+Inputs!$D$7)^AO$2))),(_xlfn.WEIBULL.DIST(AO$2,$M52,$L52,FALSE)*$U52*((1+Inputs!$D$7)^AO$2))),IF($N52=Lists!$K$3,IF($L52&lt;1,((($T52*(1-$F52)+$S52*(1-$G52))/$L52)*((1+Inputs!$D$7)^AO$2)),((INT(AO$2/$L52)-INT((AO$2-1)/$L52))*($T52*(1-$F52)+$S52*(1-$G52))*((1+Inputs!$D$7)^AO$2))),((_xlfn.WEIBULL.DIST(AO$2,$M52,$L52,FALSE)*($T52*(1-$F52)+$S52*(1-$G52))*((1+Inputs!$D$7)^AO$2))))))</f>
        <v>2530.2558100711149</v>
      </c>
      <c r="AP52" s="88">
        <f>$E52*IF(AP$2&gt;Inputs!$D$5,0,IF(AP$2&gt;VLOOKUP($H52,Lists!$P$3:$Q$7,2),IF($N52=Lists!$K$3,IF($L52&lt;1,(($U52/$L52)*((1+Inputs!$D$7)^AP$2)),((INT(AP$2/$L52)-INT((AP$2-1)/$L52))*$U52*((1+Inputs!$D$7)^AP$2))),(_xlfn.WEIBULL.DIST(AP$2,$M52,$L52,FALSE)*$U52*((1+Inputs!$D$7)^AP$2))),IF($N52=Lists!$K$3,IF($L52&lt;1,((($T52*(1-$F52)+$S52*(1-$G52))/$L52)*((1+Inputs!$D$7)^AP$2)),((INT(AP$2/$L52)-INT((AP$2-1)/$L52))*($T52*(1-$F52)+$S52*(1-$G52))*((1+Inputs!$D$7)^AP$2))),((_xlfn.WEIBULL.DIST(AP$2,$M52,$L52,FALSE)*($T52*(1-$F52)+$S52*(1-$G52))*((1+Inputs!$D$7)^AP$2))))))</f>
        <v>2729.314409620416</v>
      </c>
      <c r="AQ52" s="88">
        <f>$E52*IF(AQ$2&gt;Inputs!$D$5,0,IF(AQ$2&gt;VLOOKUP($H52,Lists!$P$3:$Q$7,2),IF($N52=Lists!$K$3,IF($L52&lt;1,(($U52/$L52)*((1+Inputs!$D$7)^AQ$2)),((INT(AQ$2/$L52)-INT((AQ$2-1)/$L52))*$U52*((1+Inputs!$D$7)^AQ$2))),(_xlfn.WEIBULL.DIST(AQ$2,$M52,$L52,FALSE)*$U52*((1+Inputs!$D$7)^AQ$2))),IF($N52=Lists!$K$3,IF($L52&lt;1,((($T52*(1-$F52)+$S52*(1-$G52))/$L52)*((1+Inputs!$D$7)^AQ$2)),((INT(AQ$2/$L52)-INT((AQ$2-1)/$L52))*($T52*(1-$F52)+$S52*(1-$G52))*((1+Inputs!$D$7)^AQ$2))),((_xlfn.WEIBULL.DIST(AQ$2,$M52,$L52,FALSE)*($T52*(1-$F52)+$S52*(1-$G52))*((1+Inputs!$D$7)^AQ$2))))))</f>
        <v>2930.9043523851765</v>
      </c>
      <c r="AR52" s="88">
        <f>$E52*IF(AR$2&gt;Inputs!$D$5,0,IF(AR$2&gt;VLOOKUP($H52,Lists!$P$3:$Q$7,2),IF($N52=Lists!$K$3,IF($L52&lt;1,(($U52/$L52)*((1+Inputs!$D$7)^AR$2)),((INT(AR$2/$L52)-INT((AR$2-1)/$L52))*$U52*((1+Inputs!$D$7)^AR$2))),(_xlfn.WEIBULL.DIST(AR$2,$M52,$L52,FALSE)*$U52*((1+Inputs!$D$7)^AR$2))),IF($N52=Lists!$K$3,IF($L52&lt;1,((($T52*(1-$F52)+$S52*(1-$G52))/$L52)*((1+Inputs!$D$7)^AR$2)),((INT(AR$2/$L52)-INT((AR$2-1)/$L52))*($T52*(1-$F52)+$S52*(1-$G52))*((1+Inputs!$D$7)^AR$2))),((_xlfn.WEIBULL.DIST(AR$2,$M52,$L52,FALSE)*($T52*(1-$F52)+$S52*(1-$G52))*((1+Inputs!$D$7)^AR$2))))))</f>
        <v>3134.7513194858793</v>
      </c>
      <c r="AS52" s="88">
        <f>$E52*IF(AS$2&gt;Inputs!$D$5,0,IF(AS$2&gt;VLOOKUP($H52,Lists!$P$3:$Q$7,2),IF($N52=Lists!$K$3,IF($L52&lt;1,(($U52/$L52)*((1+Inputs!$D$7)^AS$2)),((INT(AS$2/$L52)-INT((AS$2-1)/$L52))*$U52*((1+Inputs!$D$7)^AS$2))),(_xlfn.WEIBULL.DIST(AS$2,$M52,$L52,FALSE)*$U52*((1+Inputs!$D$7)^AS$2))),IF($N52=Lists!$K$3,IF($L52&lt;1,((($T52*(1-$F52)+$S52*(1-$G52))/$L52)*((1+Inputs!$D$7)^AS$2)),((INT(AS$2/$L52)-INT((AS$2-1)/$L52))*($T52*(1-$F52)+$S52*(1-$G52))*((1+Inputs!$D$7)^AS$2))),((_xlfn.WEIBULL.DIST(AS$2,$M52,$L52,FALSE)*($T52*(1-$F52)+$S52*(1-$G52))*((1+Inputs!$D$7)^AS$2))))))</f>
        <v>3340.5715590062873</v>
      </c>
      <c r="AT52" s="88">
        <f>$E52*IF(AT$2&gt;Inputs!$D$5,0,IF(AT$2&gt;VLOOKUP($H52,Lists!$P$3:$Q$7,2),IF($N52=Lists!$K$3,IF($L52&lt;1,(($U52/$L52)*((1+Inputs!$D$7)^AT$2)),((INT(AT$2/$L52)-INT((AT$2-1)/$L52))*$U52*((1+Inputs!$D$7)^AT$2))),(_xlfn.WEIBULL.DIST(AT$2,$M52,$L52,FALSE)*$U52*((1+Inputs!$D$7)^AT$2))),IF($N52=Lists!$K$3,IF($L52&lt;1,((($T52*(1-$F52)+$S52*(1-$G52))/$L52)*((1+Inputs!$D$7)^AT$2)),((INT(AT$2/$L52)-INT((AT$2-1)/$L52))*($T52*(1-$F52)+$S52*(1-$G52))*((1+Inputs!$D$7)^AT$2))),((_xlfn.WEIBULL.DIST(AT$2,$M52,$L52,FALSE)*($T52*(1-$F52)+$S52*(1-$G52))*((1+Inputs!$D$7)^AT$2))))))</f>
        <v>3548.0725279012941</v>
      </c>
      <c r="AU52" s="88">
        <f>$E52*IF(AU$2&gt;Inputs!$D$5,0,IF(AU$2&gt;VLOOKUP($H52,Lists!$P$3:$Q$7,2),IF($N52=Lists!$K$3,IF($L52&lt;1,(($U52/$L52)*((1+Inputs!$D$7)^AU$2)),((INT(AU$2/$L52)-INT((AU$2-1)/$L52))*$U52*((1+Inputs!$D$7)^AU$2))),(_xlfn.WEIBULL.DIST(AU$2,$M52,$L52,FALSE)*$U52*((1+Inputs!$D$7)^AU$2))),IF($N52=Lists!$K$3,IF($L52&lt;1,((($T52*(1-$F52)+$S52*(1-$G52))/$L52)*((1+Inputs!$D$7)^AU$2)),((INT(AU$2/$L52)-INT((AU$2-1)/$L52))*($T52*(1-$F52)+$S52*(1-$G52))*((1+Inputs!$D$7)^AU$2))),((_xlfn.WEIBULL.DIST(AU$2,$M52,$L52,FALSE)*($T52*(1-$F52)+$S52*(1-$G52))*((1+Inputs!$D$7)^AU$2))))))</f>
        <v>29403.034454597393</v>
      </c>
      <c r="AV52" s="88">
        <f>$E52*IF(AV$2&gt;Inputs!$D$5,0,IF(AV$2&gt;VLOOKUP($H52,Lists!$P$3:$Q$7,2),IF($N52=Lists!$K$3,IF($L52&lt;1,(($U52/$L52)*((1+Inputs!$D$7)^AV$2)),((INT(AV$2/$L52)-INT((AV$2-1)/$L52))*$U52*((1+Inputs!$D$7)^AV$2))),(_xlfn.WEIBULL.DIST(AV$2,$M52,$L52,FALSE)*$U52*((1+Inputs!$D$7)^AV$2))),IF($N52=Lists!$K$3,IF($L52&lt;1,((($T52*(1-$F52)+$S52*(1-$G52))/$L52)*((1+Inputs!$D$7)^AV$2)),((INT(AV$2/$L52)-INT((AV$2-1)/$L52))*($T52*(1-$F52)+$S52*(1-$G52))*((1+Inputs!$D$7)^AV$2))),((_xlfn.WEIBULL.DIST(AV$2,$M52,$L52,FALSE)*($T52*(1-$F52)+$S52*(1-$G52))*((1+Inputs!$D$7)^AV$2))))))</f>
        <v>31046.189525304959</v>
      </c>
      <c r="AW52" s="88">
        <f>$E52*IF(AW$2&gt;Inputs!$D$5,0,IF(AW$2&gt;VLOOKUP($H52,Lists!$P$3:$Q$7,2),IF($N52=Lists!$K$3,IF($L52&lt;1,(($U52/$L52)*((1+Inputs!$D$7)^AW$2)),((INT(AW$2/$L52)-INT((AW$2-1)/$L52))*$U52*((1+Inputs!$D$7)^AW$2))),(_xlfn.WEIBULL.DIST(AW$2,$M52,$L52,FALSE)*$U52*((1+Inputs!$D$7)^AW$2))),IF($N52=Lists!$K$3,IF($L52&lt;1,((($T52*(1-$F52)+$S52*(1-$G52))/$L52)*((1+Inputs!$D$7)^AW$2)),((INT(AW$2/$L52)-INT((AW$2-1)/$L52))*($T52*(1-$F52)+$S52*(1-$G52))*((1+Inputs!$D$7)^AW$2))),((_xlfn.WEIBULL.DIST(AW$2,$M52,$L52,FALSE)*($T52*(1-$F52)+$S52*(1-$G52))*((1+Inputs!$D$7)^AW$2))))))</f>
        <v>32695.2716671655</v>
      </c>
      <c r="AX52" s="88">
        <f>$E52*IF(AX$2&gt;Inputs!$D$5,0,IF(AX$2&gt;VLOOKUP($H52,Lists!$P$3:$Q$7,2),IF($N52=Lists!$K$3,IF($L52&lt;1,(($U52/$L52)*((1+Inputs!$D$7)^AX$2)),((INT(AX$2/$L52)-INT((AX$2-1)/$L52))*$U52*((1+Inputs!$D$7)^AX$2))),(_xlfn.WEIBULL.DIST(AX$2,$M52,$L52,FALSE)*$U52*((1+Inputs!$D$7)^AX$2))),IF($N52=Lists!$K$3,IF($L52&lt;1,((($T52*(1-$F52)+$S52*(1-$G52))/$L52)*((1+Inputs!$D$7)^AX$2)),((INT(AX$2/$L52)-INT((AX$2-1)/$L52))*($T52*(1-$F52)+$S52*(1-$G52))*((1+Inputs!$D$7)^AX$2))),((_xlfn.WEIBULL.DIST(AX$2,$M52,$L52,FALSE)*($T52*(1-$F52)+$S52*(1-$G52))*((1+Inputs!$D$7)^AX$2))))))</f>
        <v>34347.772048976622</v>
      </c>
      <c r="AY52" s="88">
        <f>$E52*IF(AY$2&gt;Inputs!$D$5,0,IF(AY$2&gt;VLOOKUP($H52,Lists!$P$3:$Q$7,2),IF($N52=Lists!$K$3,IF($L52&lt;1,(($U52/$L52)*((1+Inputs!$D$7)^AY$2)),((INT(AY$2/$L52)-INT((AY$2-1)/$L52))*$U52*((1+Inputs!$D$7)^AY$2))),(_xlfn.WEIBULL.DIST(AY$2,$M52,$L52,FALSE)*$U52*((1+Inputs!$D$7)^AY$2))),IF($N52=Lists!$K$3,IF($L52&lt;1,((($T52*(1-$F52)+$S52*(1-$G52))/$L52)*((1+Inputs!$D$7)^AY$2)),((INT(AY$2/$L52)-INT((AY$2-1)/$L52))*($T52*(1-$F52)+$S52*(1-$G52))*((1+Inputs!$D$7)^AY$2))),((_xlfn.WEIBULL.DIST(AY$2,$M52,$L52,FALSE)*($T52*(1-$F52)+$S52*(1-$G52))*((1+Inputs!$D$7)^AY$2))))))</f>
        <v>36001.142244921801</v>
      </c>
      <c r="AZ52" s="88">
        <f>$E52*IF(AZ$2&gt;Inputs!$D$5,0,IF(AZ$2&gt;VLOOKUP($H52,Lists!$P$3:$Q$7,2),IF($N52=Lists!$K$3,IF($L52&lt;1,(($U52/$L52)*((1+Inputs!$D$7)^AZ$2)),((INT(AZ$2/$L52)-INT((AZ$2-1)/$L52))*$U52*((1+Inputs!$D$7)^AZ$2))),(_xlfn.WEIBULL.DIST(AZ$2,$M52,$L52,FALSE)*$U52*((1+Inputs!$D$7)^AZ$2))),IF($N52=Lists!$K$3,IF($L52&lt;1,((($T52*(1-$F52)+$S52*(1-$G52))/$L52)*((1+Inputs!$D$7)^AZ$2)),((INT(AZ$2/$L52)-INT((AZ$2-1)/$L52))*($T52*(1-$F52)+$S52*(1-$G52))*((1+Inputs!$D$7)^AZ$2))),((_xlfn.WEIBULL.DIST(AZ$2,$M52,$L52,FALSE)*($T52*(1-$F52)+$S52*(1-$G52))*((1+Inputs!$D$7)^AZ$2))))))</f>
        <v>0</v>
      </c>
      <c r="BA52" s="88">
        <f>$E52*IF(BA$2&gt;Inputs!$D$5,0,IF(BA$2&gt;VLOOKUP($H52,Lists!$P$3:$Q$7,2),IF($N52=Lists!$K$3,IF($L52&lt;1,(($U52/$L52)*((1+Inputs!$D$7)^BA$2)),((INT(BA$2/$L52)-INT((BA$2-1)/$L52))*$U52*((1+Inputs!$D$7)^BA$2))),(_xlfn.WEIBULL.DIST(BA$2,$M52,$L52,FALSE)*$U52*((1+Inputs!$D$7)^BA$2))),IF($N52=Lists!$K$3,IF($L52&lt;1,((($T52*(1-$F52)+$S52*(1-$G52))/$L52)*((1+Inputs!$D$7)^BA$2)),((INT(BA$2/$L52)-INT((BA$2-1)/$L52))*($T52*(1-$F52)+$S52*(1-$G52))*((1+Inputs!$D$7)^BA$2))),((_xlfn.WEIBULL.DIST(BA$2,$M52,$L52,FALSE)*($T52*(1-$F52)+$S52*(1-$G52))*((1+Inputs!$D$7)^BA$2))))))</f>
        <v>0</v>
      </c>
      <c r="BB52" s="88">
        <f>$E52*IF(BB$2&gt;Inputs!$D$5,0,IF(BB$2&gt;VLOOKUP($H52,Lists!$P$3:$Q$7,2),IF($N52=Lists!$K$3,IF($L52&lt;1,(($U52/$L52)*((1+Inputs!$D$7)^BB$2)),((INT(BB$2/$L52)-INT((BB$2-1)/$L52))*$U52*((1+Inputs!$D$7)^BB$2))),(_xlfn.WEIBULL.DIST(BB$2,$M52,$L52,FALSE)*$U52*((1+Inputs!$D$7)^BB$2))),IF($N52=Lists!$K$3,IF($L52&lt;1,((($T52*(1-$F52)+$S52*(1-$G52))/$L52)*((1+Inputs!$D$7)^BB$2)),((INT(BB$2/$L52)-INT((BB$2-1)/$L52))*($T52*(1-$F52)+$S52*(1-$G52))*((1+Inputs!$D$7)^BB$2))),((_xlfn.WEIBULL.DIST(BB$2,$M52,$L52,FALSE)*($T52*(1-$F52)+$S52*(1-$G52))*((1+Inputs!$D$7)^BB$2))))))</f>
        <v>0</v>
      </c>
      <c r="BC52" s="88">
        <f>$E52*IF(BC$2&gt;Inputs!$D$5,0,IF(BC$2&gt;VLOOKUP($H52,Lists!$P$3:$Q$7,2),IF($N52=Lists!$K$3,IF($L52&lt;1,(($U52/$L52)*((1+Inputs!$D$7)^BC$2)),((INT(BC$2/$L52)-INT((BC$2-1)/$L52))*$U52*((1+Inputs!$D$7)^BC$2))),(_xlfn.WEIBULL.DIST(BC$2,$M52,$L52,FALSE)*$U52*((1+Inputs!$D$7)^BC$2))),IF($N52=Lists!$K$3,IF($L52&lt;1,((($T52*(1-$F52)+$S52*(1-$G52))/$L52)*((1+Inputs!$D$7)^BC$2)),((INT(BC$2/$L52)-INT((BC$2-1)/$L52))*($T52*(1-$F52)+$S52*(1-$G52))*((1+Inputs!$D$7)^BC$2))),((_xlfn.WEIBULL.DIST(BC$2,$M52,$L52,FALSE)*($T52*(1-$F52)+$S52*(1-$G52))*((1+Inputs!$D$7)^BC$2))))))</f>
        <v>0</v>
      </c>
      <c r="BD52" s="88">
        <f>$E52*IF(BD$2&gt;Inputs!$D$5,0,IF(BD$2&gt;VLOOKUP($H52,Lists!$P$3:$Q$7,2),IF($N52=Lists!$K$3,IF($L52&lt;1,(($U52/$L52)*((1+Inputs!$D$7)^BD$2)),((INT(BD$2/$L52)-INT((BD$2-1)/$L52))*$U52*((1+Inputs!$D$7)^BD$2))),(_xlfn.WEIBULL.DIST(BD$2,$M52,$L52,FALSE)*$U52*((1+Inputs!$D$7)^BD$2))),IF($N52=Lists!$K$3,IF($L52&lt;1,((($T52*(1-$F52)+$S52*(1-$G52))/$L52)*((1+Inputs!$D$7)^BD$2)),((INT(BD$2/$L52)-INT((BD$2-1)/$L52))*($T52*(1-$F52)+$S52*(1-$G52))*((1+Inputs!$D$7)^BD$2))),((_xlfn.WEIBULL.DIST(BD$2,$M52,$L52,FALSE)*($T52*(1-$F52)+$S52*(1-$G52))*((1+Inputs!$D$7)^BD$2))))))</f>
        <v>0</v>
      </c>
      <c r="BE52" s="88">
        <f>$E52*IF(BE$2&gt;Inputs!$D$5,0,IF(BE$2&gt;VLOOKUP($H52,Lists!$P$3:$Q$7,2),IF($N52=Lists!$K$3,IF($L52&lt;1,(($U52/$L52)*((1+Inputs!$D$7)^BE$2)),((INT(BE$2/$L52)-INT((BE$2-1)/$L52))*$U52*((1+Inputs!$D$7)^BE$2))),(_xlfn.WEIBULL.DIST(BE$2,$M52,$L52,FALSE)*$U52*((1+Inputs!$D$7)^BE$2))),IF($N52=Lists!$K$3,IF($L52&lt;1,((($T52*(1-$F52)+$S52*(1-$G52))/$L52)*((1+Inputs!$D$7)^BE$2)),((INT(BE$2/$L52)-INT((BE$2-1)/$L52))*($T52*(1-$F52)+$S52*(1-$G52))*((1+Inputs!$D$7)^BE$2))),((_xlfn.WEIBULL.DIST(BE$2,$M52,$L52,FALSE)*($T52*(1-$F52)+$S52*(1-$G52))*((1+Inputs!$D$7)^BE$2))))))</f>
        <v>0</v>
      </c>
      <c r="BF52" s="88">
        <f>$E52*IF(BF$2&gt;Inputs!$D$5,0,IF(BF$2&gt;VLOOKUP($H52,Lists!$P$3:$Q$7,2),IF($N52=Lists!$K$3,IF($L52&lt;1,(($U52/$L52)*((1+Inputs!$D$7)^BF$2)),((INT(BF$2/$L52)-INT((BF$2-1)/$L52))*$U52*((1+Inputs!$D$7)^BF$2))),(_xlfn.WEIBULL.DIST(BF$2,$M52,$L52,FALSE)*$U52*((1+Inputs!$D$7)^BF$2))),IF($N52=Lists!$K$3,IF($L52&lt;1,((($T52*(1-$F52)+$S52*(1-$G52))/$L52)*((1+Inputs!$D$7)^BF$2)),((INT(BF$2/$L52)-INT((BF$2-1)/$L52))*($T52*(1-$F52)+$S52*(1-$G52))*((1+Inputs!$D$7)^BF$2))),((_xlfn.WEIBULL.DIST(BF$2,$M52,$L52,FALSE)*($T52*(1-$F52)+$S52*(1-$G52))*((1+Inputs!$D$7)^BF$2))))))</f>
        <v>0</v>
      </c>
      <c r="BG52" s="88">
        <f>$E52*IF(BG$2&gt;Inputs!$D$5,0,IF(BG$2&gt;VLOOKUP($H52,Lists!$P$3:$Q$7,2),IF($N52=Lists!$K$3,IF($L52&lt;1,(($U52/$L52)*((1+Inputs!$D$7)^BG$2)),((INT(BG$2/$L52)-INT((BG$2-1)/$L52))*$U52*((1+Inputs!$D$7)^BG$2))),(_xlfn.WEIBULL.DIST(BG$2,$M52,$L52,FALSE)*$U52*((1+Inputs!$D$7)^BG$2))),IF($N52=Lists!$K$3,IF($L52&lt;1,((($T52*(1-$F52)+$S52*(1-$G52))/$L52)*((1+Inputs!$D$7)^BG$2)),((INT(BG$2/$L52)-INT((BG$2-1)/$L52))*($T52*(1-$F52)+$S52*(1-$G52))*((1+Inputs!$D$7)^BG$2))),((_xlfn.WEIBULL.DIST(BG$2,$M52,$L52,FALSE)*($T52*(1-$F52)+$S52*(1-$G52))*((1+Inputs!$D$7)^BG$2))))))</f>
        <v>0</v>
      </c>
      <c r="BH52" s="88">
        <f>$E52*IF(BH$2&gt;Inputs!$D$5,0,IF(BH$2&gt;VLOOKUP($H52,Lists!$P$3:$Q$7,2),IF($N52=Lists!$K$3,IF($L52&lt;1,(($U52/$L52)*((1+Inputs!$D$7)^BH$2)),((INT(BH$2/$L52)-INT((BH$2-1)/$L52))*$U52*((1+Inputs!$D$7)^BH$2))),(_xlfn.WEIBULL.DIST(BH$2,$M52,$L52,FALSE)*$U52*((1+Inputs!$D$7)^BH$2))),IF($N52=Lists!$K$3,IF($L52&lt;1,((($T52*(1-$F52)+$S52*(1-$G52))/$L52)*((1+Inputs!$D$7)^BH$2)),((INT(BH$2/$L52)-INT((BH$2-1)/$L52))*($T52*(1-$F52)+$S52*(1-$G52))*((1+Inputs!$D$7)^BH$2))),((_xlfn.WEIBULL.DIST(BH$2,$M52,$L52,FALSE)*($T52*(1-$F52)+$S52*(1-$G52))*((1+Inputs!$D$7)^BH$2))))))</f>
        <v>0</v>
      </c>
      <c r="BI52" s="88">
        <f>$E52*IF(BI$2&gt;Inputs!$D$5,0,IF(BI$2&gt;VLOOKUP($H52,Lists!$P$3:$Q$7,2),IF($N52=Lists!$K$3,IF($L52&lt;1,(($U52/$L52)*((1+Inputs!$D$7)^BI$2)),((INT(BI$2/$L52)-INT((BI$2-1)/$L52))*$U52*((1+Inputs!$D$7)^BI$2))),(_xlfn.WEIBULL.DIST(BI$2,$M52,$L52,FALSE)*$U52*((1+Inputs!$D$7)^BI$2))),IF($N52=Lists!$K$3,IF($L52&lt;1,((($T52*(1-$F52)+$S52*(1-$G52))/$L52)*((1+Inputs!$D$7)^BI$2)),((INT(BI$2/$L52)-INT((BI$2-1)/$L52))*($T52*(1-$F52)+$S52*(1-$G52))*((1+Inputs!$D$7)^BI$2))),((_xlfn.WEIBULL.DIST(BI$2,$M52,$L52,FALSE)*($T52*(1-$F52)+$S52*(1-$G52))*((1+Inputs!$D$7)^BI$2))))))</f>
        <v>0</v>
      </c>
      <c r="BJ52" s="88">
        <f>$E52*IF(BJ$2&gt;Inputs!$D$5,0,IF(BJ$2&gt;VLOOKUP($H52,Lists!$P$3:$Q$7,2),IF($N52=Lists!$K$3,IF($L52&lt;1,(($U52/$L52)*((1+Inputs!$D$7)^BJ$2)),((INT(BJ$2/$L52)-INT((BJ$2-1)/$L52))*$U52*((1+Inputs!$D$7)^BJ$2))),(_xlfn.WEIBULL.DIST(BJ$2,$M52,$L52,FALSE)*$U52*((1+Inputs!$D$7)^BJ$2))),IF($N52=Lists!$K$3,IF($L52&lt;1,((($T52*(1-$F52)+$S52*(1-$G52))/$L52)*((1+Inputs!$D$7)^BJ$2)),((INT(BJ$2/$L52)-INT((BJ$2-1)/$L52))*($T52*(1-$F52)+$S52*(1-$G52))*((1+Inputs!$D$7)^BJ$2))),((_xlfn.WEIBULL.DIST(BJ$2,$M52,$L52,FALSE)*($T52*(1-$F52)+$S52*(1-$G52))*((1+Inputs!$D$7)^BJ$2))))))</f>
        <v>0</v>
      </c>
      <c r="BK52" s="88">
        <f>$E52*IF(BK$2&gt;Inputs!$D$5,0,IF(BK$2&gt;VLOOKUP($H52,Lists!$P$3:$Q$7,2),IF($N52=Lists!$K$3,IF($L52&lt;1,(($U52/$L52)*((1+Inputs!$D$7)^BK$2)),((INT(BK$2/$L52)-INT((BK$2-1)/$L52))*$U52*((1+Inputs!$D$7)^BK$2))),(_xlfn.WEIBULL.DIST(BK$2,$M52,$L52,FALSE)*$U52*((1+Inputs!$D$7)^BK$2))),IF($N52=Lists!$K$3,IF($L52&lt;1,((($T52*(1-$F52)+$S52*(1-$G52))/$L52)*((1+Inputs!$D$7)^BK$2)),((INT(BK$2/$L52)-INT((BK$2-1)/$L52))*($T52*(1-$F52)+$S52*(1-$G52))*((1+Inputs!$D$7)^BK$2))),((_xlfn.WEIBULL.DIST(BK$2,$M52,$L52,FALSE)*($T52*(1-$F52)+$S52*(1-$G52))*((1+Inputs!$D$7)^BK$2))))))</f>
        <v>0</v>
      </c>
      <c r="BL52" s="88">
        <f>$E52*IF(BL$2&gt;Inputs!$D$5,0,IF(BL$2&gt;VLOOKUP($H52,Lists!$P$3:$Q$7,2),IF($N52=Lists!$K$3,IF($L52&lt;1,(($U52/$L52)*((1+Inputs!$D$7)^BL$2)),((INT(BL$2/$L52)-INT((BL$2-1)/$L52))*$U52*((1+Inputs!$D$7)^BL$2))),(_xlfn.WEIBULL.DIST(BL$2,$M52,$L52,FALSE)*$U52*((1+Inputs!$D$7)^BL$2))),IF($N52=Lists!$K$3,IF($L52&lt;1,((($T52*(1-$F52)+$S52*(1-$G52))/$L52)*((1+Inputs!$D$7)^BL$2)),((INT(BL$2/$L52)-INT((BL$2-1)/$L52))*($T52*(1-$F52)+$S52*(1-$G52))*((1+Inputs!$D$7)^BL$2))),((_xlfn.WEIBULL.DIST(BL$2,$M52,$L52,FALSE)*($T52*(1-$F52)+$S52*(1-$G52))*((1+Inputs!$D$7)^BL$2))))))</f>
        <v>0</v>
      </c>
      <c r="BM52" s="88">
        <f>$E52*IF(BM$2&gt;Inputs!$D$5,0,IF(BM$2&gt;VLOOKUP($H52,Lists!$P$3:$Q$7,2),IF($N52=Lists!$K$3,IF($L52&lt;1,(($U52/$L52)*((1+Inputs!$D$7)^BM$2)),((INT(BM$2/$L52)-INT((BM$2-1)/$L52))*$U52*((1+Inputs!$D$7)^BM$2))),(_xlfn.WEIBULL.DIST(BM$2,$M52,$L52,FALSE)*$U52*((1+Inputs!$D$7)^BM$2))),IF($N52=Lists!$K$3,IF($L52&lt;1,((($T52*(1-$F52)+$S52*(1-$G52))/$L52)*((1+Inputs!$D$7)^BM$2)),((INT(BM$2/$L52)-INT((BM$2-1)/$L52))*($T52*(1-$F52)+$S52*(1-$G52))*((1+Inputs!$D$7)^BM$2))),((_xlfn.WEIBULL.DIST(BM$2,$M52,$L52,FALSE)*($T52*(1-$F52)+$S52*(1-$G52))*((1+Inputs!$D$7)^BM$2))))))</f>
        <v>0</v>
      </c>
      <c r="BN52" s="88">
        <f>$E52*IF(BN$2&gt;Inputs!$D$5,0,IF(BN$2&gt;VLOOKUP($H52,Lists!$P$3:$Q$7,2),IF($N52=Lists!$K$3,IF($L52&lt;1,(($U52/$L52)*((1+Inputs!$D$7)^BN$2)),((INT(BN$2/$L52)-INT((BN$2-1)/$L52))*$U52*((1+Inputs!$D$7)^BN$2))),(_xlfn.WEIBULL.DIST(BN$2,$M52,$L52,FALSE)*$U52*((1+Inputs!$D$7)^BN$2))),IF($N52=Lists!$K$3,IF($L52&lt;1,((($T52*(1-$F52)+$S52*(1-$G52))/$L52)*((1+Inputs!$D$7)^BN$2)),((INT(BN$2/$L52)-INT((BN$2-1)/$L52))*($T52*(1-$F52)+$S52*(1-$G52))*((1+Inputs!$D$7)^BN$2))),((_xlfn.WEIBULL.DIST(BN$2,$M52,$L52,FALSE)*($T52*(1-$F52)+$S52*(1-$G52))*((1+Inputs!$D$7)^BN$2))))))</f>
        <v>0</v>
      </c>
      <c r="BO52" s="64">
        <f>NPV(Inputs!$D$6,BQ52:DD52)</f>
        <v>48657.471934422079</v>
      </c>
      <c r="BP52" s="67">
        <f t="shared" si="13"/>
        <v>2.2949239256499054E-2</v>
      </c>
      <c r="BQ52" s="88">
        <f>MAX(AA52,($E52*IF(BQ$2&gt;Inputs!$D$5,0,IF(BQ$2&gt;VLOOKUP($H52,Lists!$P$3:$Q$7,2),IF($N52=Lists!$K$3,IF($L52&lt;1,(($U52/$L52)*((1+Inputs!$D$7)^BQ$2)),((INT(BQ$2/$L52)-INT((BQ$2-1)/$L52))*$U52*((1+Inputs!$D$7)^BQ$2))),(Inputs!$D$8^((1-_xlfn.WEIBULL.DIST(BQ$2,$M52,$L52,FALSE))/_xlfn.WEIBULL.DIST(BQ$2,$M52,$L52,FALSE))*$U52*((1+Inputs!$D$7)^BQ$2))),IF($N52=Lists!$K$3,IF($L52&lt;1,((($T52*(1-$F52)+$S52*(1-$G52))/$L52)*((1+Inputs!$D$7)^BQ$2)),((INT(BQ$2/$L52)-INT((BQ$2-1)/$L52))*($T52*(1-$F52)+$S52*(1-$G52))*((1+Inputs!$D$7)^BQ$2))),((Inputs!$D$8^((1-_xlfn.WEIBULL.DIST(BQ$2,$M52,$L52,FALSE))/_xlfn.WEIBULL.DIST(BQ$2,$M52,$L52,FALSE))*($T52*(1-$F52)+$S52*(1-$G52))*((1+Inputs!$D$7)^BQ$2))))))))</f>
        <v>136.04843013552343</v>
      </c>
      <c r="BR52" s="88">
        <f>MAX(AB52,($E52*IF(BR$2&gt;Inputs!$D$5,0,IF(BR$2&gt;VLOOKUP($H52,Lists!$P$3:$Q$7,2),IF($N52=Lists!$K$3,IF($L52&lt;1,(($U52/$L52)*((1+Inputs!$D$7)^BR$2)),((INT(BR$2/$L52)-INT((BR$2-1)/$L52))*$U52*((1+Inputs!$D$7)^BR$2))),(Inputs!$D$8^((1-_xlfn.WEIBULL.DIST(BR$2,$M52,$L52,FALSE))/_xlfn.WEIBULL.DIST(BR$2,$M52,$L52,FALSE))*$U52*((1+Inputs!$D$7)^BR$2))),IF($N52=Lists!$K$3,IF($L52&lt;1,((($T52*(1-$F52)+$S52*(1-$G52))/$L52)*((1+Inputs!$D$7)^BR$2)),((INT(BR$2/$L52)-INT((BR$2-1)/$L52))*($T52*(1-$F52)+$S52*(1-$G52))*((1+Inputs!$D$7)^BR$2))),((Inputs!$D$8^((1-_xlfn.WEIBULL.DIST(BR$2,$M52,$L52,FALSE))/_xlfn.WEIBULL.DIST(BR$2,$M52,$L52,FALSE))*($T52*(1-$F52)+$S52*(1-$G52))*((1+Inputs!$D$7)^BR$2))))))))</f>
        <v>277.30761148611219</v>
      </c>
      <c r="BS52" s="88">
        <f>MAX(AC52,($E52*IF(BS$2&gt;Inputs!$D$5,0,IF(BS$2&gt;VLOOKUP($H52,Lists!$P$3:$Q$7,2),IF($N52=Lists!$K$3,IF($L52&lt;1,(($U52/$L52)*((1+Inputs!$D$7)^BS$2)),((INT(BS$2/$L52)-INT((BS$2-1)/$L52))*$U52*((1+Inputs!$D$7)^BS$2))),(Inputs!$D$8^((1-_xlfn.WEIBULL.DIST(BS$2,$M52,$L52,FALSE))/_xlfn.WEIBULL.DIST(BS$2,$M52,$L52,FALSE))*$U52*((1+Inputs!$D$7)^BS$2))),IF($N52=Lists!$K$3,IF($L52&lt;1,((($T52*(1-$F52)+$S52*(1-$G52))/$L52)*((1+Inputs!$D$7)^BS$2)),((INT(BS$2/$L52)-INT((BS$2-1)/$L52))*($T52*(1-$F52)+$S52*(1-$G52))*((1+Inputs!$D$7)^BS$2))),((Inputs!$D$8^((1-_xlfn.WEIBULL.DIST(BS$2,$M52,$L52,FALSE))/_xlfn.WEIBULL.DIST(BS$2,$M52,$L52,FALSE))*($T52*(1-$F52)+$S52*(1-$G52))*((1+Inputs!$D$7)^BS$2))))))))</f>
        <v>423.69177593125681</v>
      </c>
      <c r="BT52" s="88">
        <f>MAX(AD52,($E52*IF(BT$2&gt;Inputs!$D$5,0,IF(BT$2&gt;VLOOKUP($H52,Lists!$P$3:$Q$7,2),IF($N52=Lists!$K$3,IF($L52&lt;1,(($U52/$L52)*((1+Inputs!$D$7)^BT$2)),((INT(BT$2/$L52)-INT((BT$2-1)/$L52))*$U52*((1+Inputs!$D$7)^BT$2))),(Inputs!$D$8^((1-_xlfn.WEIBULL.DIST(BT$2,$M52,$L52,FALSE))/_xlfn.WEIBULL.DIST(BT$2,$M52,$L52,FALSE))*$U52*((1+Inputs!$D$7)^BT$2))),IF($N52=Lists!$K$3,IF($L52&lt;1,((($T52*(1-$F52)+$S52*(1-$G52))/$L52)*((1+Inputs!$D$7)^BT$2)),((INT(BT$2/$L52)-INT((BT$2-1)/$L52))*($T52*(1-$F52)+$S52*(1-$G52))*((1+Inputs!$D$7)^BT$2))),((Inputs!$D$8^((1-_xlfn.WEIBULL.DIST(BT$2,$M52,$L52,FALSE))/_xlfn.WEIBULL.DIST(BT$2,$M52,$L52,FALSE))*($T52*(1-$F52)+$S52*(1-$G52))*((1+Inputs!$D$7)^BT$2))))))))</f>
        <v>575.1014745041274</v>
      </c>
      <c r="BU52" s="88">
        <f>MAX(AE52,($E52*IF(BU$2&gt;Inputs!$D$5,0,IF(BU$2&gt;VLOOKUP($H52,Lists!$P$3:$Q$7,2),IF($N52=Lists!$K$3,IF($L52&lt;1,(($U52/$L52)*((1+Inputs!$D$7)^BU$2)),((INT(BU$2/$L52)-INT((BU$2-1)/$L52))*$U52*((1+Inputs!$D$7)^BU$2))),(Inputs!$D$8^((1-_xlfn.WEIBULL.DIST(BU$2,$M52,$L52,FALSE))/_xlfn.WEIBULL.DIST(BU$2,$M52,$L52,FALSE))*$U52*((1+Inputs!$D$7)^BU$2))),IF($N52=Lists!$K$3,IF($L52&lt;1,((($T52*(1-$F52)+$S52*(1-$G52))/$L52)*((1+Inputs!$D$7)^BU$2)),((INT(BU$2/$L52)-INT((BU$2-1)/$L52))*($T52*(1-$F52)+$S52*(1-$G52))*((1+Inputs!$D$7)^BU$2))),((Inputs!$D$8^((1-_xlfn.WEIBULL.DIST(BU$2,$M52,$L52,FALSE))/_xlfn.WEIBULL.DIST(BU$2,$M52,$L52,FALSE))*($T52*(1-$F52)+$S52*(1-$G52))*((1+Inputs!$D$7)^BU$2))))))))</f>
        <v>731.42353355439411</v>
      </c>
      <c r="BV52" s="88">
        <f>MAX(AF52,($E52*IF(BV$2&gt;Inputs!$D$5,0,IF(BV$2&gt;VLOOKUP($H52,Lists!$P$3:$Q$7,2),IF($N52=Lists!$K$3,IF($L52&lt;1,(($U52/$L52)*((1+Inputs!$D$7)^BV$2)),((INT(BV$2/$L52)-INT((BV$2-1)/$L52))*$U52*((1+Inputs!$D$7)^BV$2))),(Inputs!$D$8^((1-_xlfn.WEIBULL.DIST(BV$2,$M52,$L52,FALSE))/_xlfn.WEIBULL.DIST(BV$2,$M52,$L52,FALSE))*$U52*((1+Inputs!$D$7)^BV$2))),IF($N52=Lists!$K$3,IF($L52&lt;1,((($T52*(1-$F52)+$S52*(1-$G52))/$L52)*((1+Inputs!$D$7)^BV$2)),((INT(BV$2/$L52)-INT((BV$2-1)/$L52))*($T52*(1-$F52)+$S52*(1-$G52))*((1+Inputs!$D$7)^BV$2))),((Inputs!$D$8^((1-_xlfn.WEIBULL.DIST(BV$2,$M52,$L52,FALSE))/_xlfn.WEIBULL.DIST(BV$2,$M52,$L52,FALSE))*($T52*(1-$F52)+$S52*(1-$G52))*((1+Inputs!$D$7)^BV$2))))))))</f>
        <v>892.53105607446957</v>
      </c>
      <c r="BW52" s="88">
        <f>MAX(AG52,($E52*IF(BW$2&gt;Inputs!$D$5,0,IF(BW$2&gt;VLOOKUP($H52,Lists!$P$3:$Q$7,2),IF($N52=Lists!$K$3,IF($L52&lt;1,(($U52/$L52)*((1+Inputs!$D$7)^BW$2)),((INT(BW$2/$L52)-INT((BW$2-1)/$L52))*$U52*((1+Inputs!$D$7)^BW$2))),(Inputs!$D$8^((1-_xlfn.WEIBULL.DIST(BW$2,$M52,$L52,FALSE))/_xlfn.WEIBULL.DIST(BW$2,$M52,$L52,FALSE))*$U52*((1+Inputs!$D$7)^BW$2))),IF($N52=Lists!$K$3,IF($L52&lt;1,((($T52*(1-$F52)+$S52*(1-$G52))/$L52)*((1+Inputs!$D$7)^BW$2)),((INT(BW$2/$L52)-INT((BW$2-1)/$L52))*($T52*(1-$F52)+$S52*(1-$G52))*((1+Inputs!$D$7)^BW$2))),((Inputs!$D$8^((1-_xlfn.WEIBULL.DIST(BW$2,$M52,$L52,FALSE))/_xlfn.WEIBULL.DIST(BW$2,$M52,$L52,FALSE))*($T52*(1-$F52)+$S52*(1-$G52))*((1+Inputs!$D$7)^BW$2))))))))</f>
        <v>1058.2834691477808</v>
      </c>
      <c r="BX52" s="88">
        <f>MAX(AH52,($E52*IF(BX$2&gt;Inputs!$D$5,0,IF(BX$2&gt;VLOOKUP($H52,Lists!$P$3:$Q$7,2),IF($N52=Lists!$K$3,IF($L52&lt;1,(($U52/$L52)*((1+Inputs!$D$7)^BX$2)),((INT(BX$2/$L52)-INT((BX$2-1)/$L52))*$U52*((1+Inputs!$D$7)^BX$2))),(Inputs!$D$8^((1-_xlfn.WEIBULL.DIST(BX$2,$M52,$L52,FALSE))/_xlfn.WEIBULL.DIST(BX$2,$M52,$L52,FALSE))*$U52*((1+Inputs!$D$7)^BX$2))),IF($N52=Lists!$K$3,IF($L52&lt;1,((($T52*(1-$F52)+$S52*(1-$G52))/$L52)*((1+Inputs!$D$7)^BX$2)),((INT(BX$2/$L52)-INT((BX$2-1)/$L52))*($T52*(1-$F52)+$S52*(1-$G52))*((1+Inputs!$D$7)^BX$2))),((Inputs!$D$8^((1-_xlfn.WEIBULL.DIST(BX$2,$M52,$L52,FALSE))/_xlfn.WEIBULL.DIST(BX$2,$M52,$L52,FALSE))*($T52*(1-$F52)+$S52*(1-$G52))*((1+Inputs!$D$7)^BX$2))))))))</f>
        <v>1228.5266182907751</v>
      </c>
      <c r="BY52" s="88">
        <f>MAX(AI52,($E52*IF(BY$2&gt;Inputs!$D$5,0,IF(BY$2&gt;VLOOKUP($H52,Lists!$P$3:$Q$7,2),IF($N52=Lists!$K$3,IF($L52&lt;1,(($U52/$L52)*((1+Inputs!$D$7)^BY$2)),((INT(BY$2/$L52)-INT((BY$2-1)/$L52))*$U52*((1+Inputs!$D$7)^BY$2))),(Inputs!$D$8^((1-_xlfn.WEIBULL.DIST(BY$2,$M52,$L52,FALSE))/_xlfn.WEIBULL.DIST(BY$2,$M52,$L52,FALSE))*$U52*((1+Inputs!$D$7)^BY$2))),IF($N52=Lists!$K$3,IF($L52&lt;1,((($T52*(1-$F52)+$S52*(1-$G52))/$L52)*((1+Inputs!$D$7)^BY$2)),((INT(BY$2/$L52)-INT((BY$2-1)/$L52))*($T52*(1-$F52)+$S52*(1-$G52))*((1+Inputs!$D$7)^BY$2))),((Inputs!$D$8^((1-_xlfn.WEIBULL.DIST(BY$2,$M52,$L52,FALSE))/_xlfn.WEIBULL.DIST(BY$2,$M52,$L52,FALSE))*($T52*(1-$F52)+$S52*(1-$G52))*((1+Inputs!$D$7)^BY$2))))))))</f>
        <v>1403.0929092658057</v>
      </c>
      <c r="BZ52" s="88">
        <f>MAX(AJ52,($E52*IF(BZ$2&gt;Inputs!$D$5,0,IF(BZ$2&gt;VLOOKUP($H52,Lists!$P$3:$Q$7,2),IF($N52=Lists!$K$3,IF($L52&lt;1,(($U52/$L52)*((1+Inputs!$D$7)^BZ$2)),((INT(BZ$2/$L52)-INT((BZ$2-1)/$L52))*$U52*((1+Inputs!$D$7)^BZ$2))),(Inputs!$D$8^((1-_xlfn.WEIBULL.DIST(BZ$2,$M52,$L52,FALSE))/_xlfn.WEIBULL.DIST(BZ$2,$M52,$L52,FALSE))*$U52*((1+Inputs!$D$7)^BZ$2))),IF($N52=Lists!$K$3,IF($L52&lt;1,((($T52*(1-$F52)+$S52*(1-$G52))/$L52)*((1+Inputs!$D$7)^BZ$2)),((INT(BZ$2/$L52)-INT((BZ$2-1)/$L52))*($T52*(1-$F52)+$S52*(1-$G52))*((1+Inputs!$D$7)^BZ$2))),((Inputs!$D$8^((1-_xlfn.WEIBULL.DIST(BZ$2,$M52,$L52,FALSE))/_xlfn.WEIBULL.DIST(BZ$2,$M52,$L52,FALSE))*($T52*(1-$F52)+$S52*(1-$G52))*((1+Inputs!$D$7)^BZ$2))))))))</f>
        <v>1581.8014977408704</v>
      </c>
      <c r="CA52" s="88">
        <f>MAX(AK52,($E52*IF(CA$2&gt;Inputs!$D$5,0,IF(CA$2&gt;VLOOKUP($H52,Lists!$P$3:$Q$7,2),IF($N52=Lists!$K$3,IF($L52&lt;1,(($U52/$L52)*((1+Inputs!$D$7)^CA$2)),((INT(CA$2/$L52)-INT((CA$2-1)/$L52))*$U52*((1+Inputs!$D$7)^CA$2))),(Inputs!$D$8^((1-_xlfn.WEIBULL.DIST(CA$2,$M52,$L52,FALSE))/_xlfn.WEIBULL.DIST(CA$2,$M52,$L52,FALSE))*$U52*((1+Inputs!$D$7)^CA$2))),IF($N52=Lists!$K$3,IF($L52&lt;1,((($T52*(1-$F52)+$S52*(1-$G52))/$L52)*((1+Inputs!$D$7)^CA$2)),((INT(CA$2/$L52)-INT((CA$2-1)/$L52))*($T52*(1-$F52)+$S52*(1-$G52))*((1+Inputs!$D$7)^CA$2))),((Inputs!$D$8^((1-_xlfn.WEIBULL.DIST(CA$2,$M52,$L52,FALSE))/_xlfn.WEIBULL.DIST(CA$2,$M52,$L52,FALSE))*($T52*(1-$F52)+$S52*(1-$G52))*((1+Inputs!$D$7)^CA$2))))))))</f>
        <v>1764.4585269652646</v>
      </c>
      <c r="CB52" s="88">
        <f>MAX(AL52,($E52*IF(CB$2&gt;Inputs!$D$5,0,IF(CB$2&gt;VLOOKUP($H52,Lists!$P$3:$Q$7,2),IF($N52=Lists!$K$3,IF($L52&lt;1,(($U52/$L52)*((1+Inputs!$D$7)^CB$2)),((INT(CB$2/$L52)-INT((CB$2-1)/$L52))*$U52*((1+Inputs!$D$7)^CB$2))),(Inputs!$D$8^((1-_xlfn.WEIBULL.DIST(CB$2,$M52,$L52,FALSE))/_xlfn.WEIBULL.DIST(CB$2,$M52,$L52,FALSE))*$U52*((1+Inputs!$D$7)^CB$2))),IF($N52=Lists!$K$3,IF($L52&lt;1,((($T52*(1-$F52)+$S52*(1-$G52))/$L52)*((1+Inputs!$D$7)^CB$2)),((INT(CB$2/$L52)-INT((CB$2-1)/$L52))*($T52*(1-$F52)+$S52*(1-$G52))*((1+Inputs!$D$7)^CB$2))),((Inputs!$D$8^((1-_xlfn.WEIBULL.DIST(CB$2,$M52,$L52,FALSE))/_xlfn.WEIBULL.DIST(CB$2,$M52,$L52,FALSE))*($T52*(1-$F52)+$S52*(1-$G52))*((1+Inputs!$D$7)^CB$2))))))))</f>
        <v>1950.8574134187243</v>
      </c>
      <c r="CC52" s="88">
        <f>MAX(AM52,($E52*IF(CC$2&gt;Inputs!$D$5,0,IF(CC$2&gt;VLOOKUP($H52,Lists!$P$3:$Q$7,2),IF($N52=Lists!$K$3,IF($L52&lt;1,(($U52/$L52)*((1+Inputs!$D$7)^CC$2)),((INT(CC$2/$L52)-INT((CC$2-1)/$L52))*$U52*((1+Inputs!$D$7)^CC$2))),(Inputs!$D$8^((1-_xlfn.WEIBULL.DIST(CC$2,$M52,$L52,FALSE))/_xlfn.WEIBULL.DIST(CC$2,$M52,$L52,FALSE))*$U52*((1+Inputs!$D$7)^CC$2))),IF($N52=Lists!$K$3,IF($L52&lt;1,((($T52*(1-$F52)+$S52*(1-$G52))/$L52)*((1+Inputs!$D$7)^CC$2)),((INT(CC$2/$L52)-INT((CC$2-1)/$L52))*($T52*(1-$F52)+$S52*(1-$G52))*((1+Inputs!$D$7)^CC$2))),((Inputs!$D$8^((1-_xlfn.WEIBULL.DIST(CC$2,$M52,$L52,FALSE))/_xlfn.WEIBULL.DIST(CC$2,$M52,$L52,FALSE))*($T52*(1-$F52)+$S52*(1-$G52))*((1+Inputs!$D$7)^CC$2))))))))</f>
        <v>2140.779180176608</v>
      </c>
      <c r="CD52" s="88">
        <f>MAX(AN52,($E52*IF(CD$2&gt;Inputs!$D$5,0,IF(CD$2&gt;VLOOKUP($H52,Lists!$P$3:$Q$7,2),IF($N52=Lists!$K$3,IF($L52&lt;1,(($U52/$L52)*((1+Inputs!$D$7)^CD$2)),((INT(CD$2/$L52)-INT((CD$2-1)/$L52))*$U52*((1+Inputs!$D$7)^CD$2))),(Inputs!$D$8^((1-_xlfn.WEIBULL.DIST(CD$2,$M52,$L52,FALSE))/_xlfn.WEIBULL.DIST(CD$2,$M52,$L52,FALSE))*$U52*((1+Inputs!$D$7)^CD$2))),IF($N52=Lists!$K$3,IF($L52&lt;1,((($T52*(1-$F52)+$S52*(1-$G52))/$L52)*((1+Inputs!$D$7)^CD$2)),((INT(CD$2/$L52)-INT((CD$2-1)/$L52))*($T52*(1-$F52)+$S52*(1-$G52))*((1+Inputs!$D$7)^CD$2))),((Inputs!$D$8^((1-_xlfn.WEIBULL.DIST(CD$2,$M52,$L52,FALSE))/_xlfn.WEIBULL.DIST(CD$2,$M52,$L52,FALSE))*($T52*(1-$F52)+$S52*(1-$G52))*((1+Inputs!$D$7)^CD$2))))))))</f>
        <v>2333.9928375162626</v>
      </c>
      <c r="CE52" s="88">
        <f>MAX(AO52,($E52*IF(CE$2&gt;Inputs!$D$5,0,IF(CE$2&gt;VLOOKUP($H52,Lists!$P$3:$Q$7,2),IF($N52=Lists!$K$3,IF($L52&lt;1,(($U52/$L52)*((1+Inputs!$D$7)^CE$2)),((INT(CE$2/$L52)-INT((CE$2-1)/$L52))*$U52*((1+Inputs!$D$7)^CE$2))),(Inputs!$D$8^((1-_xlfn.WEIBULL.DIST(CE$2,$M52,$L52,FALSE))/_xlfn.WEIBULL.DIST(CE$2,$M52,$L52,FALSE))*$U52*((1+Inputs!$D$7)^CE$2))),IF($N52=Lists!$K$3,IF($L52&lt;1,((($T52*(1-$F52)+$S52*(1-$G52))/$L52)*((1+Inputs!$D$7)^CE$2)),((INT(CE$2/$L52)-INT((CE$2-1)/$L52))*($T52*(1-$F52)+$S52*(1-$G52))*((1+Inputs!$D$7)^CE$2))),((Inputs!$D$8^((1-_xlfn.WEIBULL.DIST(CE$2,$M52,$L52,FALSE))/_xlfn.WEIBULL.DIST(CE$2,$M52,$L52,FALSE))*($T52*(1-$F52)+$S52*(1-$G52))*((1+Inputs!$D$7)^CE$2))))))))</f>
        <v>2530.2558100711149</v>
      </c>
      <c r="CF52" s="88">
        <f>MAX(AP52,($E52*IF(CF$2&gt;Inputs!$D$5,0,IF(CF$2&gt;VLOOKUP($H52,Lists!$P$3:$Q$7,2),IF($N52=Lists!$K$3,IF($L52&lt;1,(($U52/$L52)*((1+Inputs!$D$7)^CF$2)),((INT(CF$2/$L52)-INT((CF$2-1)/$L52))*$U52*((1+Inputs!$D$7)^CF$2))),(Inputs!$D$8^((1-_xlfn.WEIBULL.DIST(CF$2,$M52,$L52,FALSE))/_xlfn.WEIBULL.DIST(CF$2,$M52,$L52,FALSE))*$U52*((1+Inputs!$D$7)^CF$2))),IF($N52=Lists!$K$3,IF($L52&lt;1,((($T52*(1-$F52)+$S52*(1-$G52))/$L52)*((1+Inputs!$D$7)^CF$2)),((INT(CF$2/$L52)-INT((CF$2-1)/$L52))*($T52*(1-$F52)+$S52*(1-$G52))*((1+Inputs!$D$7)^CF$2))),((Inputs!$D$8^((1-_xlfn.WEIBULL.DIST(CF$2,$M52,$L52,FALSE))/_xlfn.WEIBULL.DIST(CF$2,$M52,$L52,FALSE))*($T52*(1-$F52)+$S52*(1-$G52))*((1+Inputs!$D$7)^CF$2))))))))</f>
        <v>2729.314409620416</v>
      </c>
      <c r="CG52" s="88">
        <f>MAX(AQ52,($E52*IF(CG$2&gt;Inputs!$D$5,0,IF(CG$2&gt;VLOOKUP($H52,Lists!$P$3:$Q$7,2),IF($N52=Lists!$K$3,IF($L52&lt;1,(($U52/$L52)*((1+Inputs!$D$7)^CG$2)),((INT(CG$2/$L52)-INT((CG$2-1)/$L52))*$U52*((1+Inputs!$D$7)^CG$2))),(Inputs!$D$8^((1-_xlfn.WEIBULL.DIST(CG$2,$M52,$L52,FALSE))/_xlfn.WEIBULL.DIST(CG$2,$M52,$L52,FALSE))*$U52*((1+Inputs!$D$7)^CG$2))),IF($N52=Lists!$K$3,IF($L52&lt;1,((($T52*(1-$F52)+$S52*(1-$G52))/$L52)*((1+Inputs!$D$7)^CG$2)),((INT(CG$2/$L52)-INT((CG$2-1)/$L52))*($T52*(1-$F52)+$S52*(1-$G52))*((1+Inputs!$D$7)^CG$2))),((Inputs!$D$8^((1-_xlfn.WEIBULL.DIST(CG$2,$M52,$L52,FALSE))/_xlfn.WEIBULL.DIST(CG$2,$M52,$L52,FALSE))*($T52*(1-$F52)+$S52*(1-$G52))*((1+Inputs!$D$7)^CG$2))))))))</f>
        <v>2930.9043523851765</v>
      </c>
      <c r="CH52" s="88">
        <f>MAX(AR52,($E52*IF(CH$2&gt;Inputs!$D$5,0,IF(CH$2&gt;VLOOKUP($H52,Lists!$P$3:$Q$7,2),IF($N52=Lists!$K$3,IF($L52&lt;1,(($U52/$L52)*((1+Inputs!$D$7)^CH$2)),((INT(CH$2/$L52)-INT((CH$2-1)/$L52))*$U52*((1+Inputs!$D$7)^CH$2))),(Inputs!$D$8^((1-_xlfn.WEIBULL.DIST(CH$2,$M52,$L52,FALSE))/_xlfn.WEIBULL.DIST(CH$2,$M52,$L52,FALSE))*$U52*((1+Inputs!$D$7)^CH$2))),IF($N52=Lists!$K$3,IF($L52&lt;1,((($T52*(1-$F52)+$S52*(1-$G52))/$L52)*((1+Inputs!$D$7)^CH$2)),((INT(CH$2/$L52)-INT((CH$2-1)/$L52))*($T52*(1-$F52)+$S52*(1-$G52))*((1+Inputs!$D$7)^CH$2))),((Inputs!$D$8^((1-_xlfn.WEIBULL.DIST(CH$2,$M52,$L52,FALSE))/_xlfn.WEIBULL.DIST(CH$2,$M52,$L52,FALSE))*($T52*(1-$F52)+$S52*(1-$G52))*((1+Inputs!$D$7)^CH$2))))))))</f>
        <v>3134.7513194858793</v>
      </c>
      <c r="CI52" s="88">
        <f>MAX(AS52,($E52*IF(CI$2&gt;Inputs!$D$5,0,IF(CI$2&gt;VLOOKUP($H52,Lists!$P$3:$Q$7,2),IF($N52=Lists!$K$3,IF($L52&lt;1,(($U52/$L52)*((1+Inputs!$D$7)^CI$2)),((INT(CI$2/$L52)-INT((CI$2-1)/$L52))*$U52*((1+Inputs!$D$7)^CI$2))),(Inputs!$D$8^((1-_xlfn.WEIBULL.DIST(CI$2,$M52,$L52,FALSE))/_xlfn.WEIBULL.DIST(CI$2,$M52,$L52,FALSE))*$U52*((1+Inputs!$D$7)^CI$2))),IF($N52=Lists!$K$3,IF($L52&lt;1,((($T52*(1-$F52)+$S52*(1-$G52))/$L52)*((1+Inputs!$D$7)^CI$2)),((INT(CI$2/$L52)-INT((CI$2-1)/$L52))*($T52*(1-$F52)+$S52*(1-$G52))*((1+Inputs!$D$7)^CI$2))),((Inputs!$D$8^((1-_xlfn.WEIBULL.DIST(CI$2,$M52,$L52,FALSE))/_xlfn.WEIBULL.DIST(CI$2,$M52,$L52,FALSE))*($T52*(1-$F52)+$S52*(1-$G52))*((1+Inputs!$D$7)^CI$2))))))))</f>
        <v>3340.5715590062873</v>
      </c>
      <c r="CJ52" s="88">
        <f>MAX(AT52,($E52*IF(CJ$2&gt;Inputs!$D$5,0,IF(CJ$2&gt;VLOOKUP($H52,Lists!$P$3:$Q$7,2),IF($N52=Lists!$K$3,IF($L52&lt;1,(($U52/$L52)*((1+Inputs!$D$7)^CJ$2)),((INT(CJ$2/$L52)-INT((CJ$2-1)/$L52))*$U52*((1+Inputs!$D$7)^CJ$2))),(Inputs!$D$8^((1-_xlfn.WEIBULL.DIST(CJ$2,$M52,$L52,FALSE))/_xlfn.WEIBULL.DIST(CJ$2,$M52,$L52,FALSE))*$U52*((1+Inputs!$D$7)^CJ$2))),IF($N52=Lists!$K$3,IF($L52&lt;1,((($T52*(1-$F52)+$S52*(1-$G52))/$L52)*((1+Inputs!$D$7)^CJ$2)),((INT(CJ$2/$L52)-INT((CJ$2-1)/$L52))*($T52*(1-$F52)+$S52*(1-$G52))*((1+Inputs!$D$7)^CJ$2))),((Inputs!$D$8^((1-_xlfn.WEIBULL.DIST(CJ$2,$M52,$L52,FALSE))/_xlfn.WEIBULL.DIST(CJ$2,$M52,$L52,FALSE))*($T52*(1-$F52)+$S52*(1-$G52))*((1+Inputs!$D$7)^CJ$2))))))))</f>
        <v>3548.0725279012941</v>
      </c>
      <c r="CK52" s="88">
        <f>MAX(AU52,($E52*IF(CK$2&gt;Inputs!$D$5,0,IF(CK$2&gt;VLOOKUP($H52,Lists!$P$3:$Q$7,2),IF($N52=Lists!$K$3,IF($L52&lt;1,(($U52/$L52)*((1+Inputs!$D$7)^CK$2)),((INT(CK$2/$L52)-INT((CK$2-1)/$L52))*$U52*((1+Inputs!$D$7)^CK$2))),(Inputs!$D$8^((1-_xlfn.WEIBULL.DIST(CK$2,$M52,$L52,FALSE))/_xlfn.WEIBULL.DIST(CK$2,$M52,$L52,FALSE))*$U52*((1+Inputs!$D$7)^CK$2))),IF($N52=Lists!$K$3,IF($L52&lt;1,((($T52*(1-$F52)+$S52*(1-$G52))/$L52)*((1+Inputs!$D$7)^CK$2)),((INT(CK$2/$L52)-INT((CK$2-1)/$L52))*($T52*(1-$F52)+$S52*(1-$G52))*((1+Inputs!$D$7)^CK$2))),((Inputs!$D$8^((1-_xlfn.WEIBULL.DIST(CK$2,$M52,$L52,FALSE))/_xlfn.WEIBULL.DIST(CK$2,$M52,$L52,FALSE))*($T52*(1-$F52)+$S52*(1-$G52))*((1+Inputs!$D$7)^CK$2))))))))</f>
        <v>29403.034454597393</v>
      </c>
      <c r="CL52" s="88">
        <f>MAX(AV52,($E52*IF(CL$2&gt;Inputs!$D$5,0,IF(CL$2&gt;VLOOKUP($H52,Lists!$P$3:$Q$7,2),IF($N52=Lists!$K$3,IF($L52&lt;1,(($U52/$L52)*((1+Inputs!$D$7)^CL$2)),((INT(CL$2/$L52)-INT((CL$2-1)/$L52))*$U52*((1+Inputs!$D$7)^CL$2))),(Inputs!$D$8^((1-_xlfn.WEIBULL.DIST(CL$2,$M52,$L52,FALSE))/_xlfn.WEIBULL.DIST(CL$2,$M52,$L52,FALSE))*$U52*((1+Inputs!$D$7)^CL$2))),IF($N52=Lists!$K$3,IF($L52&lt;1,((($T52*(1-$F52)+$S52*(1-$G52))/$L52)*((1+Inputs!$D$7)^CL$2)),((INT(CL$2/$L52)-INT((CL$2-1)/$L52))*($T52*(1-$F52)+$S52*(1-$G52))*((1+Inputs!$D$7)^CL$2))),((Inputs!$D$8^((1-_xlfn.WEIBULL.DIST(CL$2,$M52,$L52,FALSE))/_xlfn.WEIBULL.DIST(CL$2,$M52,$L52,FALSE))*($T52*(1-$F52)+$S52*(1-$G52))*((1+Inputs!$D$7)^CL$2))))))))</f>
        <v>31046.189525304959</v>
      </c>
      <c r="CM52" s="88">
        <f>MAX(AW52,($E52*IF(CM$2&gt;Inputs!$D$5,0,IF(CM$2&gt;VLOOKUP($H52,Lists!$P$3:$Q$7,2),IF($N52=Lists!$K$3,IF($L52&lt;1,(($U52/$L52)*((1+Inputs!$D$7)^CM$2)),((INT(CM$2/$L52)-INT((CM$2-1)/$L52))*$U52*((1+Inputs!$D$7)^CM$2))),(Inputs!$D$8^((1-_xlfn.WEIBULL.DIST(CM$2,$M52,$L52,FALSE))/_xlfn.WEIBULL.DIST(CM$2,$M52,$L52,FALSE))*$U52*((1+Inputs!$D$7)^CM$2))),IF($N52=Lists!$K$3,IF($L52&lt;1,((($T52*(1-$F52)+$S52*(1-$G52))/$L52)*((1+Inputs!$D$7)^CM$2)),((INT(CM$2/$L52)-INT((CM$2-1)/$L52))*($T52*(1-$F52)+$S52*(1-$G52))*((1+Inputs!$D$7)^CM$2))),((Inputs!$D$8^((1-_xlfn.WEIBULL.DIST(CM$2,$M52,$L52,FALSE))/_xlfn.WEIBULL.DIST(CM$2,$M52,$L52,FALSE))*($T52*(1-$F52)+$S52*(1-$G52))*((1+Inputs!$D$7)^CM$2))))))))</f>
        <v>32695.2716671655</v>
      </c>
      <c r="CN52" s="88">
        <f>MAX(AX52,($E52*IF(CN$2&gt;Inputs!$D$5,0,IF(CN$2&gt;VLOOKUP($H52,Lists!$P$3:$Q$7,2),IF($N52=Lists!$K$3,IF($L52&lt;1,(($U52/$L52)*((1+Inputs!$D$7)^CN$2)),((INT(CN$2/$L52)-INT((CN$2-1)/$L52))*$U52*((1+Inputs!$D$7)^CN$2))),(Inputs!$D$8^((1-_xlfn.WEIBULL.DIST(CN$2,$M52,$L52,FALSE))/_xlfn.WEIBULL.DIST(CN$2,$M52,$L52,FALSE))*$U52*((1+Inputs!$D$7)^CN$2))),IF($N52=Lists!$K$3,IF($L52&lt;1,((($T52*(1-$F52)+$S52*(1-$G52))/$L52)*((1+Inputs!$D$7)^CN$2)),((INT(CN$2/$L52)-INT((CN$2-1)/$L52))*($T52*(1-$F52)+$S52*(1-$G52))*((1+Inputs!$D$7)^CN$2))),((Inputs!$D$8^((1-_xlfn.WEIBULL.DIST(CN$2,$M52,$L52,FALSE))/_xlfn.WEIBULL.DIST(CN$2,$M52,$L52,FALSE))*($T52*(1-$F52)+$S52*(1-$G52))*((1+Inputs!$D$7)^CN$2))))))))</f>
        <v>34347.772048976622</v>
      </c>
      <c r="CO52" s="88">
        <f>MAX(AY52,($E52*IF(CO$2&gt;Inputs!$D$5,0,IF(CO$2&gt;VLOOKUP($H52,Lists!$P$3:$Q$7,2),IF($N52=Lists!$K$3,IF($L52&lt;1,(($U52/$L52)*((1+Inputs!$D$7)^CO$2)),((INT(CO$2/$L52)-INT((CO$2-1)/$L52))*$U52*((1+Inputs!$D$7)^CO$2))),(Inputs!$D$8^((1-_xlfn.WEIBULL.DIST(CO$2,$M52,$L52,FALSE))/_xlfn.WEIBULL.DIST(CO$2,$M52,$L52,FALSE))*$U52*((1+Inputs!$D$7)^CO$2))),IF($N52=Lists!$K$3,IF($L52&lt;1,((($T52*(1-$F52)+$S52*(1-$G52))/$L52)*((1+Inputs!$D$7)^CO$2)),((INT(CO$2/$L52)-INT((CO$2-1)/$L52))*($T52*(1-$F52)+$S52*(1-$G52))*((1+Inputs!$D$7)^CO$2))),((Inputs!$D$8^((1-_xlfn.WEIBULL.DIST(CO$2,$M52,$L52,FALSE))/_xlfn.WEIBULL.DIST(CO$2,$M52,$L52,FALSE))*($T52*(1-$F52)+$S52*(1-$G52))*((1+Inputs!$D$7)^CO$2))))))))</f>
        <v>36001.142244921801</v>
      </c>
      <c r="CP52" s="88">
        <f>MAX(AZ52,($E52*IF(CP$2&gt;Inputs!$D$5,0,IF(CP$2&gt;VLOOKUP($H52,Lists!$P$3:$Q$7,2),IF($N52=Lists!$K$3,IF($L52&lt;1,(($U52/$L52)*((1+Inputs!$D$7)^CP$2)),((INT(CP$2/$L52)-INT((CP$2-1)/$L52))*$U52*((1+Inputs!$D$7)^CP$2))),(Inputs!$D$8^((1-_xlfn.WEIBULL.DIST(CP$2,$M52,$L52,FALSE))/_xlfn.WEIBULL.DIST(CP$2,$M52,$L52,FALSE))*$U52*((1+Inputs!$D$7)^CP$2))),IF($N52=Lists!$K$3,IF($L52&lt;1,((($T52*(1-$F52)+$S52*(1-$G52))/$L52)*((1+Inputs!$D$7)^CP$2)),((INT(CP$2/$L52)-INT((CP$2-1)/$L52))*($T52*(1-$F52)+$S52*(1-$G52))*((1+Inputs!$D$7)^CP$2))),((Inputs!$D$8^((1-_xlfn.WEIBULL.DIST(CP$2,$M52,$L52,FALSE))/_xlfn.WEIBULL.DIST(CP$2,$M52,$L52,FALSE))*($T52*(1-$F52)+$S52*(1-$G52))*((1+Inputs!$D$7)^CP$2))))))))</f>
        <v>0</v>
      </c>
      <c r="CQ52" s="88">
        <f>MAX(BA52,($E52*IF(CQ$2&gt;Inputs!$D$5,0,IF(CQ$2&gt;VLOOKUP($H52,Lists!$P$3:$Q$7,2),IF($N52=Lists!$K$3,IF($L52&lt;1,(($U52/$L52)*((1+Inputs!$D$7)^CQ$2)),((INT(CQ$2/$L52)-INT((CQ$2-1)/$L52))*$U52*((1+Inputs!$D$7)^CQ$2))),(Inputs!$D$8^((1-_xlfn.WEIBULL.DIST(CQ$2,$M52,$L52,FALSE))/_xlfn.WEIBULL.DIST(CQ$2,$M52,$L52,FALSE))*$U52*((1+Inputs!$D$7)^CQ$2))),IF($N52=Lists!$K$3,IF($L52&lt;1,((($T52*(1-$F52)+$S52*(1-$G52))/$L52)*((1+Inputs!$D$7)^CQ$2)),((INT(CQ$2/$L52)-INT((CQ$2-1)/$L52))*($T52*(1-$F52)+$S52*(1-$G52))*((1+Inputs!$D$7)^CQ$2))),((Inputs!$D$8^((1-_xlfn.WEIBULL.DIST(CQ$2,$M52,$L52,FALSE))/_xlfn.WEIBULL.DIST(CQ$2,$M52,$L52,FALSE))*($T52*(1-$F52)+$S52*(1-$G52))*((1+Inputs!$D$7)^CQ$2))))))))</f>
        <v>0</v>
      </c>
      <c r="CR52" s="88">
        <f>MAX(BB52,($E52*IF(CR$2&gt;Inputs!$D$5,0,IF(CR$2&gt;VLOOKUP($H52,Lists!$P$3:$Q$7,2),IF($N52=Lists!$K$3,IF($L52&lt;1,(($U52/$L52)*((1+Inputs!$D$7)^CR$2)),((INT(CR$2/$L52)-INT((CR$2-1)/$L52))*$U52*((1+Inputs!$D$7)^CR$2))),(Inputs!$D$8^((1-_xlfn.WEIBULL.DIST(CR$2,$M52,$L52,FALSE))/_xlfn.WEIBULL.DIST(CR$2,$M52,$L52,FALSE))*$U52*((1+Inputs!$D$7)^CR$2))),IF($N52=Lists!$K$3,IF($L52&lt;1,((($T52*(1-$F52)+$S52*(1-$G52))/$L52)*((1+Inputs!$D$7)^CR$2)),((INT(CR$2/$L52)-INT((CR$2-1)/$L52))*($T52*(1-$F52)+$S52*(1-$G52))*((1+Inputs!$D$7)^CR$2))),((Inputs!$D$8^((1-_xlfn.WEIBULL.DIST(CR$2,$M52,$L52,FALSE))/_xlfn.WEIBULL.DIST(CR$2,$M52,$L52,FALSE))*($T52*(1-$F52)+$S52*(1-$G52))*((1+Inputs!$D$7)^CR$2))))))))</f>
        <v>0</v>
      </c>
      <c r="CS52" s="88">
        <f>MAX(BC52,($E52*IF(CS$2&gt;Inputs!$D$5,0,IF(CS$2&gt;VLOOKUP($H52,Lists!$P$3:$Q$7,2),IF($N52=Lists!$K$3,IF($L52&lt;1,(($U52/$L52)*((1+Inputs!$D$7)^CS$2)),((INT(CS$2/$L52)-INT((CS$2-1)/$L52))*$U52*((1+Inputs!$D$7)^CS$2))),(Inputs!$D$8^((1-_xlfn.WEIBULL.DIST(CS$2,$M52,$L52,FALSE))/_xlfn.WEIBULL.DIST(CS$2,$M52,$L52,FALSE))*$U52*((1+Inputs!$D$7)^CS$2))),IF($N52=Lists!$K$3,IF($L52&lt;1,((($T52*(1-$F52)+$S52*(1-$G52))/$L52)*((1+Inputs!$D$7)^CS$2)),((INT(CS$2/$L52)-INT((CS$2-1)/$L52))*($T52*(1-$F52)+$S52*(1-$G52))*((1+Inputs!$D$7)^CS$2))),((Inputs!$D$8^((1-_xlfn.WEIBULL.DIST(CS$2,$M52,$L52,FALSE))/_xlfn.WEIBULL.DIST(CS$2,$M52,$L52,FALSE))*($T52*(1-$F52)+$S52*(1-$G52))*((1+Inputs!$D$7)^CS$2))))))))</f>
        <v>0</v>
      </c>
      <c r="CT52" s="88">
        <f>MAX(BD52,($E52*IF(CT$2&gt;Inputs!$D$5,0,IF(CT$2&gt;VLOOKUP($H52,Lists!$P$3:$Q$7,2),IF($N52=Lists!$K$3,IF($L52&lt;1,(($U52/$L52)*((1+Inputs!$D$7)^CT$2)),((INT(CT$2/$L52)-INT((CT$2-1)/$L52))*$U52*((1+Inputs!$D$7)^CT$2))),(Inputs!$D$8^((1-_xlfn.WEIBULL.DIST(CT$2,$M52,$L52,FALSE))/_xlfn.WEIBULL.DIST(CT$2,$M52,$L52,FALSE))*$U52*((1+Inputs!$D$7)^CT$2))),IF($N52=Lists!$K$3,IF($L52&lt;1,((($T52*(1-$F52)+$S52*(1-$G52))/$L52)*((1+Inputs!$D$7)^CT$2)),((INT(CT$2/$L52)-INT((CT$2-1)/$L52))*($T52*(1-$F52)+$S52*(1-$G52))*((1+Inputs!$D$7)^CT$2))),((Inputs!$D$8^((1-_xlfn.WEIBULL.DIST(CT$2,$M52,$L52,FALSE))/_xlfn.WEIBULL.DIST(CT$2,$M52,$L52,FALSE))*($T52*(1-$F52)+$S52*(1-$G52))*((1+Inputs!$D$7)^CT$2))))))))</f>
        <v>0</v>
      </c>
      <c r="CU52" s="88">
        <f>MAX(BE52,($E52*IF(CU$2&gt;Inputs!$D$5,0,IF(CU$2&gt;VLOOKUP($H52,Lists!$P$3:$Q$7,2),IF($N52=Lists!$K$3,IF($L52&lt;1,(($U52/$L52)*((1+Inputs!$D$7)^CU$2)),((INT(CU$2/$L52)-INT((CU$2-1)/$L52))*$U52*((1+Inputs!$D$7)^CU$2))),(Inputs!$D$8^((1-_xlfn.WEIBULL.DIST(CU$2,$M52,$L52,FALSE))/_xlfn.WEIBULL.DIST(CU$2,$M52,$L52,FALSE))*$U52*((1+Inputs!$D$7)^CU$2))),IF($N52=Lists!$K$3,IF($L52&lt;1,((($T52*(1-$F52)+$S52*(1-$G52))/$L52)*((1+Inputs!$D$7)^CU$2)),((INT(CU$2/$L52)-INT((CU$2-1)/$L52))*($T52*(1-$F52)+$S52*(1-$G52))*((1+Inputs!$D$7)^CU$2))),((Inputs!$D$8^((1-_xlfn.WEIBULL.DIST(CU$2,$M52,$L52,FALSE))/_xlfn.WEIBULL.DIST(CU$2,$M52,$L52,FALSE))*($T52*(1-$F52)+$S52*(1-$G52))*((1+Inputs!$D$7)^CU$2))))))))</f>
        <v>0</v>
      </c>
      <c r="CV52" s="88">
        <f>MAX(BF52,($E52*IF(CV$2&gt;Inputs!$D$5,0,IF(CV$2&gt;VLOOKUP($H52,Lists!$P$3:$Q$7,2),IF($N52=Lists!$K$3,IF($L52&lt;1,(($U52/$L52)*((1+Inputs!$D$7)^CV$2)),((INT(CV$2/$L52)-INT((CV$2-1)/$L52))*$U52*((1+Inputs!$D$7)^CV$2))),(Inputs!$D$8^((1-_xlfn.WEIBULL.DIST(CV$2,$M52,$L52,FALSE))/_xlfn.WEIBULL.DIST(CV$2,$M52,$L52,FALSE))*$U52*((1+Inputs!$D$7)^CV$2))),IF($N52=Lists!$K$3,IF($L52&lt;1,((($T52*(1-$F52)+$S52*(1-$G52))/$L52)*((1+Inputs!$D$7)^CV$2)),((INT(CV$2/$L52)-INT((CV$2-1)/$L52))*($T52*(1-$F52)+$S52*(1-$G52))*((1+Inputs!$D$7)^CV$2))),((Inputs!$D$8^((1-_xlfn.WEIBULL.DIST(CV$2,$M52,$L52,FALSE))/_xlfn.WEIBULL.DIST(CV$2,$M52,$L52,FALSE))*($T52*(1-$F52)+$S52*(1-$G52))*((1+Inputs!$D$7)^CV$2))))))))</f>
        <v>0</v>
      </c>
      <c r="CW52" s="88">
        <f>MAX(BG52,($E52*IF(CW$2&gt;Inputs!$D$5,0,IF(CW$2&gt;VLOOKUP($H52,Lists!$P$3:$Q$7,2),IF($N52=Lists!$K$3,IF($L52&lt;1,(($U52/$L52)*((1+Inputs!$D$7)^CW$2)),((INT(CW$2/$L52)-INT((CW$2-1)/$L52))*$U52*((1+Inputs!$D$7)^CW$2))),(Inputs!$D$8^((1-_xlfn.WEIBULL.DIST(CW$2,$M52,$L52,FALSE))/_xlfn.WEIBULL.DIST(CW$2,$M52,$L52,FALSE))*$U52*((1+Inputs!$D$7)^CW$2))),IF($N52=Lists!$K$3,IF($L52&lt;1,((($T52*(1-$F52)+$S52*(1-$G52))/$L52)*((1+Inputs!$D$7)^CW$2)),((INT(CW$2/$L52)-INT((CW$2-1)/$L52))*($T52*(1-$F52)+$S52*(1-$G52))*((1+Inputs!$D$7)^CW$2))),((Inputs!$D$8^((1-_xlfn.WEIBULL.DIST(CW$2,$M52,$L52,FALSE))/_xlfn.WEIBULL.DIST(CW$2,$M52,$L52,FALSE))*($T52*(1-$F52)+$S52*(1-$G52))*((1+Inputs!$D$7)^CW$2))))))))</f>
        <v>0</v>
      </c>
      <c r="CX52" s="88">
        <f>MAX(BH52,($E52*IF(CX$2&gt;Inputs!$D$5,0,IF(CX$2&gt;VLOOKUP($H52,Lists!$P$3:$Q$7,2),IF($N52=Lists!$K$3,IF($L52&lt;1,(($U52/$L52)*((1+Inputs!$D$7)^CX$2)),((INT(CX$2/$L52)-INT((CX$2-1)/$L52))*$U52*((1+Inputs!$D$7)^CX$2))),(Inputs!$D$8^((1-_xlfn.WEIBULL.DIST(CX$2,$M52,$L52,FALSE))/_xlfn.WEIBULL.DIST(CX$2,$M52,$L52,FALSE))*$U52*((1+Inputs!$D$7)^CX$2))),IF($N52=Lists!$K$3,IF($L52&lt;1,((($T52*(1-$F52)+$S52*(1-$G52))/$L52)*((1+Inputs!$D$7)^CX$2)),((INT(CX$2/$L52)-INT((CX$2-1)/$L52))*($T52*(1-$F52)+$S52*(1-$G52))*((1+Inputs!$D$7)^CX$2))),((Inputs!$D$8^((1-_xlfn.WEIBULL.DIST(CX$2,$M52,$L52,FALSE))/_xlfn.WEIBULL.DIST(CX$2,$M52,$L52,FALSE))*($T52*(1-$F52)+$S52*(1-$G52))*((1+Inputs!$D$7)^CX$2))))))))</f>
        <v>0</v>
      </c>
      <c r="CY52" s="88">
        <f>MAX(BI52,($E52*IF(CY$2&gt;Inputs!$D$5,0,IF(CY$2&gt;VLOOKUP($H52,Lists!$P$3:$Q$7,2),IF($N52=Lists!$K$3,IF($L52&lt;1,(($U52/$L52)*((1+Inputs!$D$7)^CY$2)),((INT(CY$2/$L52)-INT((CY$2-1)/$L52))*$U52*((1+Inputs!$D$7)^CY$2))),(Inputs!$D$8^((1-_xlfn.WEIBULL.DIST(CY$2,$M52,$L52,FALSE))/_xlfn.WEIBULL.DIST(CY$2,$M52,$L52,FALSE))*$U52*((1+Inputs!$D$7)^CY$2))),IF($N52=Lists!$K$3,IF($L52&lt;1,((($T52*(1-$F52)+$S52*(1-$G52))/$L52)*((1+Inputs!$D$7)^CY$2)),((INT(CY$2/$L52)-INT((CY$2-1)/$L52))*($T52*(1-$F52)+$S52*(1-$G52))*((1+Inputs!$D$7)^CY$2))),((Inputs!$D$8^((1-_xlfn.WEIBULL.DIST(CY$2,$M52,$L52,FALSE))/_xlfn.WEIBULL.DIST(CY$2,$M52,$L52,FALSE))*($T52*(1-$F52)+$S52*(1-$G52))*((1+Inputs!$D$7)^CY$2))))))))</f>
        <v>0</v>
      </c>
      <c r="CZ52" s="88">
        <f>MAX(BJ52,($E52*IF(CZ$2&gt;Inputs!$D$5,0,IF(CZ$2&gt;VLOOKUP($H52,Lists!$P$3:$Q$7,2),IF($N52=Lists!$K$3,IF($L52&lt;1,(($U52/$L52)*((1+Inputs!$D$7)^CZ$2)),((INT(CZ$2/$L52)-INT((CZ$2-1)/$L52))*$U52*((1+Inputs!$D$7)^CZ$2))),(Inputs!$D$8^((1-_xlfn.WEIBULL.DIST(CZ$2,$M52,$L52,FALSE))/_xlfn.WEIBULL.DIST(CZ$2,$M52,$L52,FALSE))*$U52*((1+Inputs!$D$7)^CZ$2))),IF($N52=Lists!$K$3,IF($L52&lt;1,((($T52*(1-$F52)+$S52*(1-$G52))/$L52)*((1+Inputs!$D$7)^CZ$2)),((INT(CZ$2/$L52)-INT((CZ$2-1)/$L52))*($T52*(1-$F52)+$S52*(1-$G52))*((1+Inputs!$D$7)^CZ$2))),((Inputs!$D$8^((1-_xlfn.WEIBULL.DIST(CZ$2,$M52,$L52,FALSE))/_xlfn.WEIBULL.DIST(CZ$2,$M52,$L52,FALSE))*($T52*(1-$F52)+$S52*(1-$G52))*((1+Inputs!$D$7)^CZ$2))))))))</f>
        <v>0</v>
      </c>
      <c r="DA52" s="88">
        <f>MAX(BK52,($E52*IF(DA$2&gt;Inputs!$D$5,0,IF(DA$2&gt;VLOOKUP($H52,Lists!$P$3:$Q$7,2),IF($N52=Lists!$K$3,IF($L52&lt;1,(($U52/$L52)*((1+Inputs!$D$7)^DA$2)),((INT(DA$2/$L52)-INT((DA$2-1)/$L52))*$U52*((1+Inputs!$D$7)^DA$2))),(Inputs!$D$8^((1-_xlfn.WEIBULL.DIST(DA$2,$M52,$L52,FALSE))/_xlfn.WEIBULL.DIST(DA$2,$M52,$L52,FALSE))*$U52*((1+Inputs!$D$7)^DA$2))),IF($N52=Lists!$K$3,IF($L52&lt;1,((($T52*(1-$F52)+$S52*(1-$G52))/$L52)*((1+Inputs!$D$7)^DA$2)),((INT(DA$2/$L52)-INT((DA$2-1)/$L52))*($T52*(1-$F52)+$S52*(1-$G52))*((1+Inputs!$D$7)^DA$2))),((Inputs!$D$8^((1-_xlfn.WEIBULL.DIST(DA$2,$M52,$L52,FALSE))/_xlfn.WEIBULL.DIST(DA$2,$M52,$L52,FALSE))*($T52*(1-$F52)+$S52*(1-$G52))*((1+Inputs!$D$7)^DA$2))))))))</f>
        <v>0</v>
      </c>
      <c r="DB52" s="88">
        <f>MAX(BL52,($E52*IF(DB$2&gt;Inputs!$D$5,0,IF(DB$2&gt;VLOOKUP($H52,Lists!$P$3:$Q$7,2),IF($N52=Lists!$K$3,IF($L52&lt;1,(($U52/$L52)*((1+Inputs!$D$7)^DB$2)),((INT(DB$2/$L52)-INT((DB$2-1)/$L52))*$U52*((1+Inputs!$D$7)^DB$2))),(Inputs!$D$8^((1-_xlfn.WEIBULL.DIST(DB$2,$M52,$L52,FALSE))/_xlfn.WEIBULL.DIST(DB$2,$M52,$L52,FALSE))*$U52*((1+Inputs!$D$7)^DB$2))),IF($N52=Lists!$K$3,IF($L52&lt;1,((($T52*(1-$F52)+$S52*(1-$G52))/$L52)*((1+Inputs!$D$7)^DB$2)),((INT(DB$2/$L52)-INT((DB$2-1)/$L52))*($T52*(1-$F52)+$S52*(1-$G52))*((1+Inputs!$D$7)^DB$2))),((Inputs!$D$8^((1-_xlfn.WEIBULL.DIST(DB$2,$M52,$L52,FALSE))/_xlfn.WEIBULL.DIST(DB$2,$M52,$L52,FALSE))*($T52*(1-$F52)+$S52*(1-$G52))*((1+Inputs!$D$7)^DB$2))))))))</f>
        <v>0</v>
      </c>
      <c r="DC52" s="88">
        <f>MAX(BM52,($E52*IF(DC$2&gt;Inputs!$D$5,0,IF(DC$2&gt;VLOOKUP($H52,Lists!$P$3:$Q$7,2),IF($N52=Lists!$K$3,IF($L52&lt;1,(($U52/$L52)*((1+Inputs!$D$7)^DC$2)),((INT(DC$2/$L52)-INT((DC$2-1)/$L52))*$U52*((1+Inputs!$D$7)^DC$2))),(Inputs!$D$8^((1-_xlfn.WEIBULL.DIST(DC$2,$M52,$L52,FALSE))/_xlfn.WEIBULL.DIST(DC$2,$M52,$L52,FALSE))*$U52*((1+Inputs!$D$7)^DC$2))),IF($N52=Lists!$K$3,IF($L52&lt;1,((($T52*(1-$F52)+$S52*(1-$G52))/$L52)*((1+Inputs!$D$7)^DC$2)),((INT(DC$2/$L52)-INT((DC$2-1)/$L52))*($T52*(1-$F52)+$S52*(1-$G52))*((1+Inputs!$D$7)^DC$2))),((Inputs!$D$8^((1-_xlfn.WEIBULL.DIST(DC$2,$M52,$L52,FALSE))/_xlfn.WEIBULL.DIST(DC$2,$M52,$L52,FALSE))*($T52*(1-$F52)+$S52*(1-$G52))*((1+Inputs!$D$7)^DC$2))))))))</f>
        <v>0</v>
      </c>
      <c r="DD52" s="88">
        <f>MAX(BN52,($E52*IF(DD$2&gt;Inputs!$D$5,0,IF(DD$2&gt;VLOOKUP($H52,Lists!$P$3:$Q$7,2),IF($N52=Lists!$K$3,IF($L52&lt;1,(($U52/$L52)*((1+Inputs!$D$7)^DD$2)),((INT(DD$2/$L52)-INT((DD$2-1)/$L52))*$U52*((1+Inputs!$D$7)^DD$2))),(Inputs!$D$8^((1-_xlfn.WEIBULL.DIST(DD$2,$M52,$L52,FALSE))/_xlfn.WEIBULL.DIST(DD$2,$M52,$L52,FALSE))*$U52*((1+Inputs!$D$7)^DD$2))),IF($N52=Lists!$K$3,IF($L52&lt;1,((($T52*(1-$F52)+$S52*(1-$G52))/$L52)*((1+Inputs!$D$7)^DD$2)),((INT(DD$2/$L52)-INT((DD$2-1)/$L52))*($T52*(1-$F52)+$S52*(1-$G52))*((1+Inputs!$D$7)^DD$2))),((Inputs!$D$8^((1-_xlfn.WEIBULL.DIST(DD$2,$M52,$L52,FALSE))/_xlfn.WEIBULL.DIST(DD$2,$M52,$L52,FALSE))*($T52*(1-$F52)+$S52*(1-$G52))*((1+Inputs!$D$7)^DD$2))))))))</f>
        <v>0</v>
      </c>
    </row>
    <row r="53" spans="1:108" s="1" customFormat="1" ht="16">
      <c r="A53" s="59" t="s">
        <v>179</v>
      </c>
      <c r="B53" s="13" t="s">
        <v>130</v>
      </c>
      <c r="C53" s="13" t="s">
        <v>474</v>
      </c>
      <c r="D53" s="13" t="s">
        <v>215</v>
      </c>
      <c r="E53" s="51">
        <v>1</v>
      </c>
      <c r="F53" s="48">
        <v>1</v>
      </c>
      <c r="G53" s="48">
        <v>0</v>
      </c>
      <c r="H53" s="105" t="s">
        <v>357</v>
      </c>
      <c r="I53" s="14" t="s">
        <v>267</v>
      </c>
      <c r="J53" s="14" t="s">
        <v>88</v>
      </c>
      <c r="K53" s="13">
        <f>VLOOKUP(J53,'Labor Rates'!$A$1:$F$16,2)</f>
        <v>19.903846153846153</v>
      </c>
      <c r="L53" s="15">
        <v>50</v>
      </c>
      <c r="M53" s="15">
        <v>3</v>
      </c>
      <c r="N53" s="16" t="s">
        <v>226</v>
      </c>
      <c r="O53" s="61">
        <f>Inputs!$D$21</f>
        <v>32787</v>
      </c>
      <c r="P53" s="15">
        <v>0.1</v>
      </c>
      <c r="Q53" s="15">
        <f t="shared" si="7"/>
        <v>65.574000000000012</v>
      </c>
      <c r="R53" s="4">
        <v>25</v>
      </c>
      <c r="S53" s="53">
        <f t="shared" si="8"/>
        <v>65258.74038461539</v>
      </c>
      <c r="T53" s="53">
        <f t="shared" si="9"/>
        <v>819675</v>
      </c>
      <c r="U53" s="54">
        <f t="shared" si="10"/>
        <v>884933.74038461538</v>
      </c>
      <c r="V53" s="66"/>
      <c r="W53" s="60"/>
      <c r="X53" s="64">
        <f t="shared" si="11"/>
        <v>294.90164806231758</v>
      </c>
      <c r="Y53" s="64">
        <f>NPV(Inputs!$D$6,AA53:BN53)</f>
        <v>19012.490436730273</v>
      </c>
      <c r="Z53" s="67">
        <f t="shared" si="12"/>
        <v>8.967218693204505E-3</v>
      </c>
      <c r="AA53" s="88">
        <f>$E53*IF(AA$2&gt;Inputs!$D$5,0,IF(AA$2&gt;VLOOKUP($H53,Lists!$P$3:$Q$7,2),IF($N53=Lists!$K$3,IF($L53&lt;1,(($U53/$L53)*((1+Inputs!$D$7)^AA$2)),((INT(AA$2/$L53)-INT((AA$2-1)/$L53))*$U53*((1+Inputs!$D$7)^AA$2))),(_xlfn.WEIBULL.DIST(AA$2,$M53,$L53,FALSE)*$U53*((1+Inputs!$D$7)^AA$2))),IF($N53=Lists!$K$3,IF($L53&lt;1,((($T53*(1-$F53)+$S53*(1-$G53))/$L53)*((1+Inputs!$D$7)^AA$2)),((INT(AA$2/$L53)-INT((AA$2-1)/$L53))*($T53*(1-$F53)+$S53*(1-$G53))*((1+Inputs!$D$7)^AA$2))),((_xlfn.WEIBULL.DIST(AA$2,$M53,$L53,FALSE)*($T53*(1-$F53)+$S53*(1-$G53))*((1+Inputs!$D$7)^AA$2))))))</f>
        <v>1.5975211843947901</v>
      </c>
      <c r="AB53" s="88">
        <f>$E53*IF(AB$2&gt;Inputs!$D$5,0,IF(AB$2&gt;VLOOKUP($H53,Lists!$P$3:$Q$7,2),IF($N53=Lists!$K$3,IF($L53&lt;1,(($U53/$L53)*((1+Inputs!$D$7)^AB$2)),((INT(AB$2/$L53)-INT((AB$2-1)/$L53))*$U53*((1+Inputs!$D$7)^AB$2))),(_xlfn.WEIBULL.DIST(AB$2,$M53,$L53,FALSE)*$U53*((1+Inputs!$D$7)^AB$2))),IF($N53=Lists!$K$3,IF($L53&lt;1,((($T53*(1-$F53)+$S53*(1-$G53))/$L53)*((1+Inputs!$D$7)^AB$2)),((INT(AB$2/$L53)-INT((AB$2-1)/$L53))*($T53*(1-$F53)+$S53*(1-$G53))*((1+Inputs!$D$7)^AB$2))),((_xlfn.WEIBULL.DIST(AB$2,$M53,$L53,FALSE)*($T53*(1-$F53)+$S53*(1-$G53))*((1+Inputs!$D$7)^AB$2))))))</f>
        <v>6.5175214409103877</v>
      </c>
      <c r="AC53" s="88">
        <f>$E53*IF(AC$2&gt;Inputs!$D$5,0,IF(AC$2&gt;VLOOKUP($H53,Lists!$P$3:$Q$7,2),IF($N53=Lists!$K$3,IF($L53&lt;1,(($U53/$L53)*((1+Inputs!$D$7)^AC$2)),((INT(AC$2/$L53)-INT((AC$2-1)/$L53))*$U53*((1+Inputs!$D$7)^AC$2))),(_xlfn.WEIBULL.DIST(AC$2,$M53,$L53,FALSE)*$U53*((1+Inputs!$D$7)^AC$2))),IF($N53=Lists!$K$3,IF($L53&lt;1,((($T53*(1-$F53)+$S53*(1-$G53))/$L53)*((1+Inputs!$D$7)^AC$2)),((INT(AC$2/$L53)-INT((AC$2-1)/$L53))*($T53*(1-$F53)+$S53*(1-$G53))*((1+Inputs!$D$7)^AC$2))),((_xlfn.WEIBULL.DIST(AC$2,$M53,$L53,FALSE)*($T53*(1-$F53)+$S53*(1-$G53))*((1+Inputs!$D$7)^AC$2))))))</f>
        <v>14.955438307492626</v>
      </c>
      <c r="AD53" s="88">
        <f>$E53*IF(AD$2&gt;Inputs!$D$5,0,IF(AD$2&gt;VLOOKUP($H53,Lists!$P$3:$Q$7,2),IF($N53=Lists!$K$3,IF($L53&lt;1,(($U53/$L53)*((1+Inputs!$D$7)^AD$2)),((INT(AD$2/$L53)-INT((AD$2-1)/$L53))*$U53*((1+Inputs!$D$7)^AD$2))),(_xlfn.WEIBULL.DIST(AD$2,$M53,$L53,FALSE)*$U53*((1+Inputs!$D$7)^AD$2))),IF($N53=Lists!$K$3,IF($L53&lt;1,((($T53*(1-$F53)+$S53*(1-$G53))/$L53)*((1+Inputs!$D$7)^AD$2)),((INT(AD$2/$L53)-INT((AD$2-1)/$L53))*($T53*(1-$F53)+$S53*(1-$G53))*((1+Inputs!$D$7)^AD$2))),((_xlfn.WEIBULL.DIST(AD$2,$M53,$L53,FALSE)*($T53*(1-$F53)+$S53*(1-$G53))*((1+Inputs!$D$7)^AD$2))))))</f>
        <v>27.111168703847007</v>
      </c>
      <c r="AE53" s="88">
        <f>$E53*IF(AE$2&gt;Inputs!$D$5,0,IF(AE$2&gt;VLOOKUP($H53,Lists!$P$3:$Q$7,2),IF($N53=Lists!$K$3,IF($L53&lt;1,(($U53/$L53)*((1+Inputs!$D$7)^AE$2)),((INT(AE$2/$L53)-INT((AE$2-1)/$L53))*$U53*((1+Inputs!$D$7)^AE$2))),(_xlfn.WEIBULL.DIST(AE$2,$M53,$L53,FALSE)*$U53*((1+Inputs!$D$7)^AE$2))),IF($N53=Lists!$K$3,IF($L53&lt;1,((($T53*(1-$F53)+$S53*(1-$G53))/$L53)*((1+Inputs!$D$7)^AE$2)),((INT(AE$2/$L53)-INT((AE$2-1)/$L53))*($T53*(1-$F53)+$S53*(1-$G53))*((1+Inputs!$D$7)^AE$2))),((_xlfn.WEIBULL.DIST(AE$2,$M53,$L53,FALSE)*($T53*(1-$F53)+$S53*(1-$G53))*((1+Inputs!$D$7)^AE$2))))))</f>
        <v>43.187344554373553</v>
      </c>
      <c r="AF53" s="88">
        <f>$E53*IF(AF$2&gt;Inputs!$D$5,0,IF(AF$2&gt;VLOOKUP($H53,Lists!$P$3:$Q$7,2),IF($N53=Lists!$K$3,IF($L53&lt;1,(($U53/$L53)*((1+Inputs!$D$7)^AF$2)),((INT(AF$2/$L53)-INT((AF$2-1)/$L53))*$U53*((1+Inputs!$D$7)^AF$2))),(_xlfn.WEIBULL.DIST(AF$2,$M53,$L53,FALSE)*$U53*((1+Inputs!$D$7)^AF$2))),IF($N53=Lists!$K$3,IF($L53&lt;1,((($T53*(1-$F53)+$S53*(1-$G53))/$L53)*((1+Inputs!$D$7)^AF$2)),((INT(AF$2/$L53)-INT((AF$2-1)/$L53))*($T53*(1-$F53)+$S53*(1-$G53))*((1+Inputs!$D$7)^AF$2))),((_xlfn.WEIBULL.DIST(AF$2,$M53,$L53,FALSE)*($T53*(1-$F53)+$S53*(1-$G53))*((1+Inputs!$D$7)^AF$2))))))</f>
        <v>63.387408846590468</v>
      </c>
      <c r="AG53" s="88">
        <f>$E53*IF(AG$2&gt;Inputs!$D$5,0,IF(AG$2&gt;VLOOKUP($H53,Lists!$P$3:$Q$7,2),IF($N53=Lists!$K$3,IF($L53&lt;1,(($U53/$L53)*((1+Inputs!$D$7)^AG$2)),((INT(AG$2/$L53)-INT((AG$2-1)/$L53))*$U53*((1+Inputs!$D$7)^AG$2))),(_xlfn.WEIBULL.DIST(AG$2,$M53,$L53,FALSE)*$U53*((1+Inputs!$D$7)^AG$2))),IF($N53=Lists!$K$3,IF($L53&lt;1,((($T53*(1-$F53)+$S53*(1-$G53))/$L53)*((1+Inputs!$D$7)^AG$2)),((INT(AG$2/$L53)-INT((AG$2-1)/$L53))*($T53*(1-$F53)+$S53*(1-$G53))*((1+Inputs!$D$7)^AG$2))),((_xlfn.WEIBULL.DIST(AG$2,$M53,$L53,FALSE)*($T53*(1-$F53)+$S53*(1-$G53))*((1+Inputs!$D$7)^AG$2))))))</f>
        <v>87.913487122450249</v>
      </c>
      <c r="AH53" s="88">
        <f>$E53*IF(AH$2&gt;Inputs!$D$5,0,IF(AH$2&gt;VLOOKUP($H53,Lists!$P$3:$Q$7,2),IF($N53=Lists!$K$3,IF($L53&lt;1,(($U53/$L53)*((1+Inputs!$D$7)^AH$2)),((INT(AH$2/$L53)-INT((AH$2-1)/$L53))*$U53*((1+Inputs!$D$7)^AH$2))),(_xlfn.WEIBULL.DIST(AH$2,$M53,$L53,FALSE)*$U53*((1+Inputs!$D$7)^AH$2))),IF($N53=Lists!$K$3,IF($L53&lt;1,((($T53*(1-$F53)+$S53*(1-$G53))/$L53)*((1+Inputs!$D$7)^AH$2)),((INT(AH$2/$L53)-INT((AH$2-1)/$L53))*($T53*(1-$F53)+$S53*(1-$G53))*((1+Inputs!$D$7)^AH$2))),((_xlfn.WEIBULL.DIST(AH$2,$M53,$L53,FALSE)*($T53*(1-$F53)+$S53*(1-$G53))*((1+Inputs!$D$7)^AH$2))))))</f>
        <v>116.96405233420701</v>
      </c>
      <c r="AI53" s="88">
        <f>$E53*IF(AI$2&gt;Inputs!$D$5,0,IF(AI$2&gt;VLOOKUP($H53,Lists!$P$3:$Q$7,2),IF($N53=Lists!$K$3,IF($L53&lt;1,(($U53/$L53)*((1+Inputs!$D$7)^AI$2)),((INT(AI$2/$L53)-INT((AI$2-1)/$L53))*$U53*((1+Inputs!$D$7)^AI$2))),(_xlfn.WEIBULL.DIST(AI$2,$M53,$L53,FALSE)*$U53*((1+Inputs!$D$7)^AI$2))),IF($N53=Lists!$K$3,IF($L53&lt;1,((($T53*(1-$F53)+$S53*(1-$G53))/$L53)*((1+Inputs!$D$7)^AI$2)),((INT(AI$2/$L53)-INT((AI$2-1)/$L53))*($T53*(1-$F53)+$S53*(1-$G53))*((1+Inputs!$D$7)^AI$2))),((_xlfn.WEIBULL.DIST(AI$2,$M53,$L53,FALSE)*($T53*(1-$F53)+$S53*(1-$G53))*((1+Inputs!$D$7)^AI$2))))))</f>
        <v>150.73138436615653</v>
      </c>
      <c r="AJ53" s="88">
        <f>$E53*IF(AJ$2&gt;Inputs!$D$5,0,IF(AJ$2&gt;VLOOKUP($H53,Lists!$P$3:$Q$7,2),IF($N53=Lists!$K$3,IF($L53&lt;1,(($U53/$L53)*((1+Inputs!$D$7)^AJ$2)),((INT(AJ$2/$L53)-INT((AJ$2-1)/$L53))*$U53*((1+Inputs!$D$7)^AJ$2))),(_xlfn.WEIBULL.DIST(AJ$2,$M53,$L53,FALSE)*$U53*((1+Inputs!$D$7)^AJ$2))),IF($N53=Lists!$K$3,IF($L53&lt;1,((($T53*(1-$F53)+$S53*(1-$G53))/$L53)*((1+Inputs!$D$7)^AJ$2)),((INT(AJ$2/$L53)-INT((AJ$2-1)/$L53))*($T53*(1-$F53)+$S53*(1-$G53))*((1+Inputs!$D$7)^AJ$2))),((_xlfn.WEIBULL.DIST(AJ$2,$M53,$L53,FALSE)*($T53*(1-$F53)+$S53*(1-$G53))*((1+Inputs!$D$7)^AJ$2))))))</f>
        <v>189.39882933175667</v>
      </c>
      <c r="AK53" s="88">
        <f>$E53*IF(AK$2&gt;Inputs!$D$5,0,IF(AK$2&gt;VLOOKUP($H53,Lists!$P$3:$Q$7,2),IF($N53=Lists!$K$3,IF($L53&lt;1,(($U53/$L53)*((1+Inputs!$D$7)^AK$2)),((INT(AK$2/$L53)-INT((AK$2-1)/$L53))*$U53*((1+Inputs!$D$7)^AK$2))),(_xlfn.WEIBULL.DIST(AK$2,$M53,$L53,FALSE)*$U53*((1+Inputs!$D$7)^AK$2))),IF($N53=Lists!$K$3,IF($L53&lt;1,((($T53*(1-$F53)+$S53*(1-$G53))/$L53)*((1+Inputs!$D$7)^AK$2)),((INT(AK$2/$L53)-INT((AK$2-1)/$L53))*($T53*(1-$F53)+$S53*(1-$G53))*((1+Inputs!$D$7)^AK$2))),((_xlfn.WEIBULL.DIST(AK$2,$M53,$L53,FALSE)*($T53*(1-$F53)+$S53*(1-$G53))*((1+Inputs!$D$7)^AK$2))))))</f>
        <v>233.13786799468622</v>
      </c>
      <c r="AL53" s="88">
        <f>$E53*IF(AL$2&gt;Inputs!$D$5,0,IF(AL$2&gt;VLOOKUP($H53,Lists!$P$3:$Q$7,2),IF($N53=Lists!$K$3,IF($L53&lt;1,(($U53/$L53)*((1+Inputs!$D$7)^AL$2)),((INT(AL$2/$L53)-INT((AL$2-1)/$L53))*$U53*((1+Inputs!$D$7)^AL$2))),(_xlfn.WEIBULL.DIST(AL$2,$M53,$L53,FALSE)*$U53*((1+Inputs!$D$7)^AL$2))),IF($N53=Lists!$K$3,IF($L53&lt;1,((($T53*(1-$F53)+$S53*(1-$G53))/$L53)*((1+Inputs!$D$7)^AL$2)),((INT(AL$2/$L53)-INT((AL$2-1)/$L53))*($T53*(1-$F53)+$S53*(1-$G53))*((1+Inputs!$D$7)^AL$2))),((_xlfn.WEIBULL.DIST(AL$2,$M53,$L53,FALSE)*($T53*(1-$F53)+$S53*(1-$G53))*((1+Inputs!$D$7)^AL$2))))))</f>
        <v>282.10500731229081</v>
      </c>
      <c r="AM53" s="88">
        <f>$E53*IF(AM$2&gt;Inputs!$D$5,0,IF(AM$2&gt;VLOOKUP($H53,Lists!$P$3:$Q$7,2),IF($N53=Lists!$K$3,IF($L53&lt;1,(($U53/$L53)*((1+Inputs!$D$7)^AM$2)),((INT(AM$2/$L53)-INT((AM$2-1)/$L53))*$U53*((1+Inputs!$D$7)^AM$2))),(_xlfn.WEIBULL.DIST(AM$2,$M53,$L53,FALSE)*$U53*((1+Inputs!$D$7)^AM$2))),IF($N53=Lists!$K$3,IF($L53&lt;1,((($T53*(1-$F53)+$S53*(1-$G53))/$L53)*((1+Inputs!$D$7)^AM$2)),((INT(AM$2/$L53)-INT((AM$2-1)/$L53))*($T53*(1-$F53)+$S53*(1-$G53))*((1+Inputs!$D$7)^AM$2))),((_xlfn.WEIBULL.DIST(AM$2,$M53,$L53,FALSE)*($T53*(1-$F53)+$S53*(1-$G53))*((1+Inputs!$D$7)^AM$2))))))</f>
        <v>336.43851412666112</v>
      </c>
      <c r="AN53" s="88">
        <f>$E53*IF(AN$2&gt;Inputs!$D$5,0,IF(AN$2&gt;VLOOKUP($H53,Lists!$P$3:$Q$7,2),IF($N53=Lists!$K$3,IF($L53&lt;1,(($U53/$L53)*((1+Inputs!$D$7)^AN$2)),((INT(AN$2/$L53)-INT((AN$2-1)/$L53))*$U53*((1+Inputs!$D$7)^AN$2))),(_xlfn.WEIBULL.DIST(AN$2,$M53,$L53,FALSE)*$U53*((1+Inputs!$D$7)^AN$2))),IF($N53=Lists!$K$3,IF($L53&lt;1,((($T53*(1-$F53)+$S53*(1-$G53))/$L53)*((1+Inputs!$D$7)^AN$2)),((INT(AN$2/$L53)-INT((AN$2-1)/$L53))*($T53*(1-$F53)+$S53*(1-$G53))*((1+Inputs!$D$7)^AN$2))),((_xlfn.WEIBULL.DIST(AN$2,$M53,$L53,FALSE)*($T53*(1-$F53)+$S53*(1-$G53))*((1+Inputs!$D$7)^AN$2))))))</f>
        <v>396.25501538304513</v>
      </c>
      <c r="AO53" s="88">
        <f>$E53*IF(AO$2&gt;Inputs!$D$5,0,IF(AO$2&gt;VLOOKUP($H53,Lists!$P$3:$Q$7,2),IF($N53=Lists!$K$3,IF($L53&lt;1,(($U53/$L53)*((1+Inputs!$D$7)^AO$2)),((INT(AO$2/$L53)-INT((AO$2-1)/$L53))*$U53*((1+Inputs!$D$7)^AO$2))),(_xlfn.WEIBULL.DIST(AO$2,$M53,$L53,FALSE)*$U53*((1+Inputs!$D$7)^AO$2))),IF($N53=Lists!$K$3,IF($L53&lt;1,((($T53*(1-$F53)+$S53*(1-$G53))/$L53)*((1+Inputs!$D$7)^AO$2)),((INT(AO$2/$L53)-INT((AO$2-1)/$L53))*($T53*(1-$F53)+$S53*(1-$G53))*((1+Inputs!$D$7)^AO$2))),((_xlfn.WEIBULL.DIST(AO$2,$M53,$L53,FALSE)*($T53*(1-$F53)+$S53*(1-$G53))*((1+Inputs!$D$7)^AO$2))))))</f>
        <v>461.64599487166532</v>
      </c>
      <c r="AP53" s="88">
        <f>$E53*IF(AP$2&gt;Inputs!$D$5,0,IF(AP$2&gt;VLOOKUP($H53,Lists!$P$3:$Q$7,2),IF($N53=Lists!$K$3,IF($L53&lt;1,(($U53/$L53)*((1+Inputs!$D$7)^AP$2)),((INT(AP$2/$L53)-INT((AP$2-1)/$L53))*$U53*((1+Inputs!$D$7)^AP$2))),(_xlfn.WEIBULL.DIST(AP$2,$M53,$L53,FALSE)*$U53*((1+Inputs!$D$7)^AP$2))),IF($N53=Lists!$K$3,IF($L53&lt;1,((($T53*(1-$F53)+$S53*(1-$G53))/$L53)*((1+Inputs!$D$7)^AP$2)),((INT(AP$2/$L53)-INT((AP$2-1)/$L53))*($T53*(1-$F53)+$S53*(1-$G53))*((1+Inputs!$D$7)^AP$2))),((_xlfn.WEIBULL.DIST(AP$2,$M53,$L53,FALSE)*($T53*(1-$F53)+$S53*(1-$G53))*((1+Inputs!$D$7)^AP$2))))))</f>
        <v>532.67422228412624</v>
      </c>
      <c r="AQ53" s="88">
        <f>$E53*IF(AQ$2&gt;Inputs!$D$5,0,IF(AQ$2&gt;VLOOKUP($H53,Lists!$P$3:$Q$7,2),IF($N53=Lists!$K$3,IF($L53&lt;1,(($U53/$L53)*((1+Inputs!$D$7)^AQ$2)),((INT(AQ$2/$L53)-INT((AQ$2-1)/$L53))*$U53*((1+Inputs!$D$7)^AQ$2))),(_xlfn.WEIBULL.DIST(AQ$2,$M53,$L53,FALSE)*$U53*((1+Inputs!$D$7)^AQ$2))),IF($N53=Lists!$K$3,IF($L53&lt;1,((($T53*(1-$F53)+$S53*(1-$G53))/$L53)*((1+Inputs!$D$7)^AQ$2)),((INT(AQ$2/$L53)-INT((AQ$2-1)/$L53))*($T53*(1-$F53)+$S53*(1-$G53))*((1+Inputs!$D$7)^AQ$2))),((_xlfn.WEIBULL.DIST(AQ$2,$M53,$L53,FALSE)*($T53*(1-$F53)+$S53*(1-$G53))*((1+Inputs!$D$7)^AQ$2))))))</f>
        <v>609.37015624839592</v>
      </c>
      <c r="AR53" s="88">
        <f>$E53*IF(AR$2&gt;Inputs!$D$5,0,IF(AR$2&gt;VLOOKUP($H53,Lists!$P$3:$Q$7,2),IF($N53=Lists!$K$3,IF($L53&lt;1,(($U53/$L53)*((1+Inputs!$D$7)^AR$2)),((INT(AR$2/$L53)-INT((AR$2-1)/$L53))*$U53*((1+Inputs!$D$7)^AR$2))),(_xlfn.WEIBULL.DIST(AR$2,$M53,$L53,FALSE)*$U53*((1+Inputs!$D$7)^AR$2))),IF($N53=Lists!$K$3,IF($L53&lt;1,((($T53*(1-$F53)+$S53*(1-$G53))/$L53)*((1+Inputs!$D$7)^AR$2)),((INT(AR$2/$L53)-INT((AR$2-1)/$L53))*($T53*(1-$F53)+$S53*(1-$G53))*((1+Inputs!$D$7)^AR$2))),((_xlfn.WEIBULL.DIST(AR$2,$M53,$L53,FALSE)*($T53*(1-$F53)+$S53*(1-$G53))*((1+Inputs!$D$7)^AR$2))))))</f>
        <v>691.72836883769958</v>
      </c>
      <c r="AS53" s="88">
        <f>$E53*IF(AS$2&gt;Inputs!$D$5,0,IF(AS$2&gt;VLOOKUP($H53,Lists!$P$3:$Q$7,2),IF($N53=Lists!$K$3,IF($L53&lt;1,(($U53/$L53)*((1+Inputs!$D$7)^AS$2)),((INT(AS$2/$L53)-INT((AS$2-1)/$L53))*$U53*((1+Inputs!$D$7)^AS$2))),(_xlfn.WEIBULL.DIST(AS$2,$M53,$L53,FALSE)*$U53*((1+Inputs!$D$7)^AS$2))),IF($N53=Lists!$K$3,IF($L53&lt;1,((($T53*(1-$F53)+$S53*(1-$G53))/$L53)*((1+Inputs!$D$7)^AS$2)),((INT(AS$2/$L53)-INT((AS$2-1)/$L53))*($T53*(1-$F53)+$S53*(1-$G53))*((1+Inputs!$D$7)^AS$2))),((_xlfn.WEIBULL.DIST(AS$2,$M53,$L53,FALSE)*($T53*(1-$F53)+$S53*(1-$G53))*((1+Inputs!$D$7)^AS$2))))))</f>
        <v>779.70404470205176</v>
      </c>
      <c r="AT53" s="88">
        <f>$E53*IF(AT$2&gt;Inputs!$D$5,0,IF(AT$2&gt;VLOOKUP($H53,Lists!$P$3:$Q$7,2),IF($N53=Lists!$K$3,IF($L53&lt;1,(($U53/$L53)*((1+Inputs!$D$7)^AT$2)),((INT(AT$2/$L53)-INT((AT$2-1)/$L53))*$U53*((1+Inputs!$D$7)^AT$2))),(_xlfn.WEIBULL.DIST(AT$2,$M53,$L53,FALSE)*$U53*((1+Inputs!$D$7)^AT$2))),IF($N53=Lists!$K$3,IF($L53&lt;1,((($T53*(1-$F53)+$S53*(1-$G53))/$L53)*((1+Inputs!$D$7)^AT$2)),((INT(AT$2/$L53)-INT((AT$2-1)/$L53))*($T53*(1-$F53)+$S53*(1-$G53))*((1+Inputs!$D$7)^AT$2))),((_xlfn.WEIBULL.DIST(AT$2,$M53,$L53,FALSE)*($T53*(1-$F53)+$S53*(1-$G53))*((1+Inputs!$D$7)^AT$2))))))</f>
        <v>873.20961329355157</v>
      </c>
      <c r="AU53" s="88">
        <f>$E53*IF(AU$2&gt;Inputs!$D$5,0,IF(AU$2&gt;VLOOKUP($H53,Lists!$P$3:$Q$7,2),IF($N53=Lists!$K$3,IF($L53&lt;1,(($U53/$L53)*((1+Inputs!$D$7)^AU$2)),((INT(AU$2/$L53)-INT((AU$2-1)/$L53))*$U53*((1+Inputs!$D$7)^AU$2))),(_xlfn.WEIBULL.DIST(AU$2,$M53,$L53,FALSE)*$U53*((1+Inputs!$D$7)^AU$2))),IF($N53=Lists!$K$3,IF($L53&lt;1,((($T53*(1-$F53)+$S53*(1-$G53))/$L53)*((1+Inputs!$D$7)^AU$2)),((INT(AU$2/$L53)-INT((AU$2-1)/$L53))*($T53*(1-$F53)+$S53*(1-$G53))*((1+Inputs!$D$7)^AU$2))),((_xlfn.WEIBULL.DIST(AU$2,$M53,$L53,FALSE)*($T53*(1-$F53)+$S53*(1-$G53))*((1+Inputs!$D$7)^AU$2))))))</f>
        <v>13182.208685932341</v>
      </c>
      <c r="AV53" s="88">
        <f>$E53*IF(AV$2&gt;Inputs!$D$5,0,IF(AV$2&gt;VLOOKUP($H53,Lists!$P$3:$Q$7,2),IF($N53=Lists!$K$3,IF($L53&lt;1,(($U53/$L53)*((1+Inputs!$D$7)^AV$2)),((INT(AV$2/$L53)-INT((AV$2-1)/$L53))*$U53*((1+Inputs!$D$7)^AV$2))),(_xlfn.WEIBULL.DIST(AV$2,$M53,$L53,FALSE)*$U53*((1+Inputs!$D$7)^AV$2))),IF($N53=Lists!$K$3,IF($L53&lt;1,((($T53*(1-$F53)+$S53*(1-$G53))/$L53)*((1+Inputs!$D$7)^AV$2)),((INT(AV$2/$L53)-INT((AV$2-1)/$L53))*($T53*(1-$F53)+$S53*(1-$G53))*((1+Inputs!$D$7)^AV$2))),((_xlfn.WEIBULL.DIST(AV$2,$M53,$L53,FALSE)*($T53*(1-$F53)+$S53*(1-$G53))*((1+Inputs!$D$7)^AV$2))))))</f>
        <v>14594.062270629103</v>
      </c>
      <c r="AW53" s="88">
        <f>$E53*IF(AW$2&gt;Inputs!$D$5,0,IF(AW$2&gt;VLOOKUP($H53,Lists!$P$3:$Q$7,2),IF($N53=Lists!$K$3,IF($L53&lt;1,(($U53/$L53)*((1+Inputs!$D$7)^AW$2)),((INT(AW$2/$L53)-INT((AW$2-1)/$L53))*$U53*((1+Inputs!$D$7)^AW$2))),(_xlfn.WEIBULL.DIST(AW$2,$M53,$L53,FALSE)*$U53*((1+Inputs!$D$7)^AW$2))),IF($N53=Lists!$K$3,IF($L53&lt;1,((($T53*(1-$F53)+$S53*(1-$G53))/$L53)*((1+Inputs!$D$7)^AW$2)),((INT(AW$2/$L53)-INT((AW$2-1)/$L53))*($T53*(1-$F53)+$S53*(1-$G53))*((1+Inputs!$D$7)^AW$2))),((_xlfn.WEIBULL.DIST(AW$2,$M53,$L53,FALSE)*($T53*(1-$F53)+$S53*(1-$G53))*((1+Inputs!$D$7)^AW$2))))))</f>
        <v>16073.450999442055</v>
      </c>
      <c r="AX53" s="88">
        <f>$E53*IF(AX$2&gt;Inputs!$D$5,0,IF(AX$2&gt;VLOOKUP($H53,Lists!$P$3:$Q$7,2),IF($N53=Lists!$K$3,IF($L53&lt;1,(($U53/$L53)*((1+Inputs!$D$7)^AX$2)),((INT(AX$2/$L53)-INT((AX$2-1)/$L53))*$U53*((1+Inputs!$D$7)^AX$2))),(_xlfn.WEIBULL.DIST(AX$2,$M53,$L53,FALSE)*$U53*((1+Inputs!$D$7)^AX$2))),IF($N53=Lists!$K$3,IF($L53&lt;1,((($T53*(1-$F53)+$S53*(1-$G53))/$L53)*((1+Inputs!$D$7)^AX$2)),((INT(AX$2/$L53)-INT((AX$2-1)/$L53))*($T53*(1-$F53)+$S53*(1-$G53))*((1+Inputs!$D$7)^AX$2))),((_xlfn.WEIBULL.DIST(AX$2,$M53,$L53,FALSE)*($T53*(1-$F53)+$S53*(1-$G53))*((1+Inputs!$D$7)^AX$2))))))</f>
        <v>17616.478823316487</v>
      </c>
      <c r="AY53" s="88">
        <f>$E53*IF(AY$2&gt;Inputs!$D$5,0,IF(AY$2&gt;VLOOKUP($H53,Lists!$P$3:$Q$7,2),IF($N53=Lists!$K$3,IF($L53&lt;1,(($U53/$L53)*((1+Inputs!$D$7)^AY$2)),((INT(AY$2/$L53)-INT((AY$2-1)/$L53))*$U53*((1+Inputs!$D$7)^AY$2))),(_xlfn.WEIBULL.DIST(AY$2,$M53,$L53,FALSE)*$U53*((1+Inputs!$D$7)^AY$2))),IF($N53=Lists!$K$3,IF($L53&lt;1,((($T53*(1-$F53)+$S53*(1-$G53))/$L53)*((1+Inputs!$D$7)^AY$2)),((INT(AY$2/$L53)-INT((AY$2-1)/$L53))*($T53*(1-$F53)+$S53*(1-$G53))*((1+Inputs!$D$7)^AY$2))),((_xlfn.WEIBULL.DIST(AY$2,$M53,$L53,FALSE)*($T53*(1-$F53)+$S53*(1-$G53))*((1+Inputs!$D$7)^AY$2))))))</f>
        <v>19218.500390435711</v>
      </c>
      <c r="AZ53" s="88">
        <f>$E53*IF(AZ$2&gt;Inputs!$D$5,0,IF(AZ$2&gt;VLOOKUP($H53,Lists!$P$3:$Q$7,2),IF($N53=Lists!$K$3,IF($L53&lt;1,(($U53/$L53)*((1+Inputs!$D$7)^AZ$2)),((INT(AZ$2/$L53)-INT((AZ$2-1)/$L53))*$U53*((1+Inputs!$D$7)^AZ$2))),(_xlfn.WEIBULL.DIST(AZ$2,$M53,$L53,FALSE)*$U53*((1+Inputs!$D$7)^AZ$2))),IF($N53=Lists!$K$3,IF($L53&lt;1,((($T53*(1-$F53)+$S53*(1-$G53))/$L53)*((1+Inputs!$D$7)^AZ$2)),((INT(AZ$2/$L53)-INT((AZ$2-1)/$L53))*($T53*(1-$F53)+$S53*(1-$G53))*((1+Inputs!$D$7)^AZ$2))),((_xlfn.WEIBULL.DIST(AZ$2,$M53,$L53,FALSE)*($T53*(1-$F53)+$S53*(1-$G53))*((1+Inputs!$D$7)^AZ$2))))))</f>
        <v>0</v>
      </c>
      <c r="BA53" s="88">
        <f>$E53*IF(BA$2&gt;Inputs!$D$5,0,IF(BA$2&gt;VLOOKUP($H53,Lists!$P$3:$Q$7,2),IF($N53=Lists!$K$3,IF($L53&lt;1,(($U53/$L53)*((1+Inputs!$D$7)^BA$2)),((INT(BA$2/$L53)-INT((BA$2-1)/$L53))*$U53*((1+Inputs!$D$7)^BA$2))),(_xlfn.WEIBULL.DIST(BA$2,$M53,$L53,FALSE)*$U53*((1+Inputs!$D$7)^BA$2))),IF($N53=Lists!$K$3,IF($L53&lt;1,((($T53*(1-$F53)+$S53*(1-$G53))/$L53)*((1+Inputs!$D$7)^BA$2)),((INT(BA$2/$L53)-INT((BA$2-1)/$L53))*($T53*(1-$F53)+$S53*(1-$G53))*((1+Inputs!$D$7)^BA$2))),((_xlfn.WEIBULL.DIST(BA$2,$M53,$L53,FALSE)*($T53*(1-$F53)+$S53*(1-$G53))*((1+Inputs!$D$7)^BA$2))))))</f>
        <v>0</v>
      </c>
      <c r="BB53" s="88">
        <f>$E53*IF(BB$2&gt;Inputs!$D$5,0,IF(BB$2&gt;VLOOKUP($H53,Lists!$P$3:$Q$7,2),IF($N53=Lists!$K$3,IF($L53&lt;1,(($U53/$L53)*((1+Inputs!$D$7)^BB$2)),((INT(BB$2/$L53)-INT((BB$2-1)/$L53))*$U53*((1+Inputs!$D$7)^BB$2))),(_xlfn.WEIBULL.DIST(BB$2,$M53,$L53,FALSE)*$U53*((1+Inputs!$D$7)^BB$2))),IF($N53=Lists!$K$3,IF($L53&lt;1,((($T53*(1-$F53)+$S53*(1-$G53))/$L53)*((1+Inputs!$D$7)^BB$2)),((INT(BB$2/$L53)-INT((BB$2-1)/$L53))*($T53*(1-$F53)+$S53*(1-$G53))*((1+Inputs!$D$7)^BB$2))),((_xlfn.WEIBULL.DIST(BB$2,$M53,$L53,FALSE)*($T53*(1-$F53)+$S53*(1-$G53))*((1+Inputs!$D$7)^BB$2))))))</f>
        <v>0</v>
      </c>
      <c r="BC53" s="88">
        <f>$E53*IF(BC$2&gt;Inputs!$D$5,0,IF(BC$2&gt;VLOOKUP($H53,Lists!$P$3:$Q$7,2),IF($N53=Lists!$K$3,IF($L53&lt;1,(($U53/$L53)*((1+Inputs!$D$7)^BC$2)),((INT(BC$2/$L53)-INT((BC$2-1)/$L53))*$U53*((1+Inputs!$D$7)^BC$2))),(_xlfn.WEIBULL.DIST(BC$2,$M53,$L53,FALSE)*$U53*((1+Inputs!$D$7)^BC$2))),IF($N53=Lists!$K$3,IF($L53&lt;1,((($T53*(1-$F53)+$S53*(1-$G53))/$L53)*((1+Inputs!$D$7)^BC$2)),((INT(BC$2/$L53)-INT((BC$2-1)/$L53))*($T53*(1-$F53)+$S53*(1-$G53))*((1+Inputs!$D$7)^BC$2))),((_xlfn.WEIBULL.DIST(BC$2,$M53,$L53,FALSE)*($T53*(1-$F53)+$S53*(1-$G53))*((1+Inputs!$D$7)^BC$2))))))</f>
        <v>0</v>
      </c>
      <c r="BD53" s="88">
        <f>$E53*IF(BD$2&gt;Inputs!$D$5,0,IF(BD$2&gt;VLOOKUP($H53,Lists!$P$3:$Q$7,2),IF($N53=Lists!$K$3,IF($L53&lt;1,(($U53/$L53)*((1+Inputs!$D$7)^BD$2)),((INT(BD$2/$L53)-INT((BD$2-1)/$L53))*$U53*((1+Inputs!$D$7)^BD$2))),(_xlfn.WEIBULL.DIST(BD$2,$M53,$L53,FALSE)*$U53*((1+Inputs!$D$7)^BD$2))),IF($N53=Lists!$K$3,IF($L53&lt;1,((($T53*(1-$F53)+$S53*(1-$G53))/$L53)*((1+Inputs!$D$7)^BD$2)),((INT(BD$2/$L53)-INT((BD$2-1)/$L53))*($T53*(1-$F53)+$S53*(1-$G53))*((1+Inputs!$D$7)^BD$2))),((_xlfn.WEIBULL.DIST(BD$2,$M53,$L53,FALSE)*($T53*(1-$F53)+$S53*(1-$G53))*((1+Inputs!$D$7)^BD$2))))))</f>
        <v>0</v>
      </c>
      <c r="BE53" s="88">
        <f>$E53*IF(BE$2&gt;Inputs!$D$5,0,IF(BE$2&gt;VLOOKUP($H53,Lists!$P$3:$Q$7,2),IF($N53=Lists!$K$3,IF($L53&lt;1,(($U53/$L53)*((1+Inputs!$D$7)^BE$2)),((INT(BE$2/$L53)-INT((BE$2-1)/$L53))*$U53*((1+Inputs!$D$7)^BE$2))),(_xlfn.WEIBULL.DIST(BE$2,$M53,$L53,FALSE)*$U53*((1+Inputs!$D$7)^BE$2))),IF($N53=Lists!$K$3,IF($L53&lt;1,((($T53*(1-$F53)+$S53*(1-$G53))/$L53)*((1+Inputs!$D$7)^BE$2)),((INT(BE$2/$L53)-INT((BE$2-1)/$L53))*($T53*(1-$F53)+$S53*(1-$G53))*((1+Inputs!$D$7)^BE$2))),((_xlfn.WEIBULL.DIST(BE$2,$M53,$L53,FALSE)*($T53*(1-$F53)+$S53*(1-$G53))*((1+Inputs!$D$7)^BE$2))))))</f>
        <v>0</v>
      </c>
      <c r="BF53" s="88">
        <f>$E53*IF(BF$2&gt;Inputs!$D$5,0,IF(BF$2&gt;VLOOKUP($H53,Lists!$P$3:$Q$7,2),IF($N53=Lists!$K$3,IF($L53&lt;1,(($U53/$L53)*((1+Inputs!$D$7)^BF$2)),((INT(BF$2/$L53)-INT((BF$2-1)/$L53))*$U53*((1+Inputs!$D$7)^BF$2))),(_xlfn.WEIBULL.DIST(BF$2,$M53,$L53,FALSE)*$U53*((1+Inputs!$D$7)^BF$2))),IF($N53=Lists!$K$3,IF($L53&lt;1,((($T53*(1-$F53)+$S53*(1-$G53))/$L53)*((1+Inputs!$D$7)^BF$2)),((INT(BF$2/$L53)-INT((BF$2-1)/$L53))*($T53*(1-$F53)+$S53*(1-$G53))*((1+Inputs!$D$7)^BF$2))),((_xlfn.WEIBULL.DIST(BF$2,$M53,$L53,FALSE)*($T53*(1-$F53)+$S53*(1-$G53))*((1+Inputs!$D$7)^BF$2))))))</f>
        <v>0</v>
      </c>
      <c r="BG53" s="88">
        <f>$E53*IF(BG$2&gt;Inputs!$D$5,0,IF(BG$2&gt;VLOOKUP($H53,Lists!$P$3:$Q$7,2),IF($N53=Lists!$K$3,IF($L53&lt;1,(($U53/$L53)*((1+Inputs!$D$7)^BG$2)),((INT(BG$2/$L53)-INT((BG$2-1)/$L53))*$U53*((1+Inputs!$D$7)^BG$2))),(_xlfn.WEIBULL.DIST(BG$2,$M53,$L53,FALSE)*$U53*((1+Inputs!$D$7)^BG$2))),IF($N53=Lists!$K$3,IF($L53&lt;1,((($T53*(1-$F53)+$S53*(1-$G53))/$L53)*((1+Inputs!$D$7)^BG$2)),((INT(BG$2/$L53)-INT((BG$2-1)/$L53))*($T53*(1-$F53)+$S53*(1-$G53))*((1+Inputs!$D$7)^BG$2))),((_xlfn.WEIBULL.DIST(BG$2,$M53,$L53,FALSE)*($T53*(1-$F53)+$S53*(1-$G53))*((1+Inputs!$D$7)^BG$2))))))</f>
        <v>0</v>
      </c>
      <c r="BH53" s="88">
        <f>$E53*IF(BH$2&gt;Inputs!$D$5,0,IF(BH$2&gt;VLOOKUP($H53,Lists!$P$3:$Q$7,2),IF($N53=Lists!$K$3,IF($L53&lt;1,(($U53/$L53)*((1+Inputs!$D$7)^BH$2)),((INT(BH$2/$L53)-INT((BH$2-1)/$L53))*$U53*((1+Inputs!$D$7)^BH$2))),(_xlfn.WEIBULL.DIST(BH$2,$M53,$L53,FALSE)*$U53*((1+Inputs!$D$7)^BH$2))),IF($N53=Lists!$K$3,IF($L53&lt;1,((($T53*(1-$F53)+$S53*(1-$G53))/$L53)*((1+Inputs!$D$7)^BH$2)),((INT(BH$2/$L53)-INT((BH$2-1)/$L53))*($T53*(1-$F53)+$S53*(1-$G53))*((1+Inputs!$D$7)^BH$2))),((_xlfn.WEIBULL.DIST(BH$2,$M53,$L53,FALSE)*($T53*(1-$F53)+$S53*(1-$G53))*((1+Inputs!$D$7)^BH$2))))))</f>
        <v>0</v>
      </c>
      <c r="BI53" s="88">
        <f>$E53*IF(BI$2&gt;Inputs!$D$5,0,IF(BI$2&gt;VLOOKUP($H53,Lists!$P$3:$Q$7,2),IF($N53=Lists!$K$3,IF($L53&lt;1,(($U53/$L53)*((1+Inputs!$D$7)^BI$2)),((INT(BI$2/$L53)-INT((BI$2-1)/$L53))*$U53*((1+Inputs!$D$7)^BI$2))),(_xlfn.WEIBULL.DIST(BI$2,$M53,$L53,FALSE)*$U53*((1+Inputs!$D$7)^BI$2))),IF($N53=Lists!$K$3,IF($L53&lt;1,((($T53*(1-$F53)+$S53*(1-$G53))/$L53)*((1+Inputs!$D$7)^BI$2)),((INT(BI$2/$L53)-INT((BI$2-1)/$L53))*($T53*(1-$F53)+$S53*(1-$G53))*((1+Inputs!$D$7)^BI$2))),((_xlfn.WEIBULL.DIST(BI$2,$M53,$L53,FALSE)*($T53*(1-$F53)+$S53*(1-$G53))*((1+Inputs!$D$7)^BI$2))))))</f>
        <v>0</v>
      </c>
      <c r="BJ53" s="88">
        <f>$E53*IF(BJ$2&gt;Inputs!$D$5,0,IF(BJ$2&gt;VLOOKUP($H53,Lists!$P$3:$Q$7,2),IF($N53=Lists!$K$3,IF($L53&lt;1,(($U53/$L53)*((1+Inputs!$D$7)^BJ$2)),((INT(BJ$2/$L53)-INT((BJ$2-1)/$L53))*$U53*((1+Inputs!$D$7)^BJ$2))),(_xlfn.WEIBULL.DIST(BJ$2,$M53,$L53,FALSE)*$U53*((1+Inputs!$D$7)^BJ$2))),IF($N53=Lists!$K$3,IF($L53&lt;1,((($T53*(1-$F53)+$S53*(1-$G53))/$L53)*((1+Inputs!$D$7)^BJ$2)),((INT(BJ$2/$L53)-INT((BJ$2-1)/$L53))*($T53*(1-$F53)+$S53*(1-$G53))*((1+Inputs!$D$7)^BJ$2))),((_xlfn.WEIBULL.DIST(BJ$2,$M53,$L53,FALSE)*($T53*(1-$F53)+$S53*(1-$G53))*((1+Inputs!$D$7)^BJ$2))))))</f>
        <v>0</v>
      </c>
      <c r="BK53" s="88">
        <f>$E53*IF(BK$2&gt;Inputs!$D$5,0,IF(BK$2&gt;VLOOKUP($H53,Lists!$P$3:$Q$7,2),IF($N53=Lists!$K$3,IF($L53&lt;1,(($U53/$L53)*((1+Inputs!$D$7)^BK$2)),((INT(BK$2/$L53)-INT((BK$2-1)/$L53))*$U53*((1+Inputs!$D$7)^BK$2))),(_xlfn.WEIBULL.DIST(BK$2,$M53,$L53,FALSE)*$U53*((1+Inputs!$D$7)^BK$2))),IF($N53=Lists!$K$3,IF($L53&lt;1,((($T53*(1-$F53)+$S53*(1-$G53))/$L53)*((1+Inputs!$D$7)^BK$2)),((INT(BK$2/$L53)-INT((BK$2-1)/$L53))*($T53*(1-$F53)+$S53*(1-$G53))*((1+Inputs!$D$7)^BK$2))),((_xlfn.WEIBULL.DIST(BK$2,$M53,$L53,FALSE)*($T53*(1-$F53)+$S53*(1-$G53))*((1+Inputs!$D$7)^BK$2))))))</f>
        <v>0</v>
      </c>
      <c r="BL53" s="88">
        <f>$E53*IF(BL$2&gt;Inputs!$D$5,0,IF(BL$2&gt;VLOOKUP($H53,Lists!$P$3:$Q$7,2),IF($N53=Lists!$K$3,IF($L53&lt;1,(($U53/$L53)*((1+Inputs!$D$7)^BL$2)),((INT(BL$2/$L53)-INT((BL$2-1)/$L53))*$U53*((1+Inputs!$D$7)^BL$2))),(_xlfn.WEIBULL.DIST(BL$2,$M53,$L53,FALSE)*$U53*((1+Inputs!$D$7)^BL$2))),IF($N53=Lists!$K$3,IF($L53&lt;1,((($T53*(1-$F53)+$S53*(1-$G53))/$L53)*((1+Inputs!$D$7)^BL$2)),((INT(BL$2/$L53)-INT((BL$2-1)/$L53))*($T53*(1-$F53)+$S53*(1-$G53))*((1+Inputs!$D$7)^BL$2))),((_xlfn.WEIBULL.DIST(BL$2,$M53,$L53,FALSE)*($T53*(1-$F53)+$S53*(1-$G53))*((1+Inputs!$D$7)^BL$2))))))</f>
        <v>0</v>
      </c>
      <c r="BM53" s="88">
        <f>$E53*IF(BM$2&gt;Inputs!$D$5,0,IF(BM$2&gt;VLOOKUP($H53,Lists!$P$3:$Q$7,2),IF($N53=Lists!$K$3,IF($L53&lt;1,(($U53/$L53)*((1+Inputs!$D$7)^BM$2)),((INT(BM$2/$L53)-INT((BM$2-1)/$L53))*$U53*((1+Inputs!$D$7)^BM$2))),(_xlfn.WEIBULL.DIST(BM$2,$M53,$L53,FALSE)*$U53*((1+Inputs!$D$7)^BM$2))),IF($N53=Lists!$K$3,IF($L53&lt;1,((($T53*(1-$F53)+$S53*(1-$G53))/$L53)*((1+Inputs!$D$7)^BM$2)),((INT(BM$2/$L53)-INT((BM$2-1)/$L53))*($T53*(1-$F53)+$S53*(1-$G53))*((1+Inputs!$D$7)^BM$2))),((_xlfn.WEIBULL.DIST(BM$2,$M53,$L53,FALSE)*($T53*(1-$F53)+$S53*(1-$G53))*((1+Inputs!$D$7)^BM$2))))))</f>
        <v>0</v>
      </c>
      <c r="BN53" s="88">
        <f>$E53*IF(BN$2&gt;Inputs!$D$5,0,IF(BN$2&gt;VLOOKUP($H53,Lists!$P$3:$Q$7,2),IF($N53=Lists!$K$3,IF($L53&lt;1,(($U53/$L53)*((1+Inputs!$D$7)^BN$2)),((INT(BN$2/$L53)-INT((BN$2-1)/$L53))*$U53*((1+Inputs!$D$7)^BN$2))),(_xlfn.WEIBULL.DIST(BN$2,$M53,$L53,FALSE)*$U53*((1+Inputs!$D$7)^BN$2))),IF($N53=Lists!$K$3,IF($L53&lt;1,((($T53*(1-$F53)+$S53*(1-$G53))/$L53)*((1+Inputs!$D$7)^BN$2)),((INT(BN$2/$L53)-INT((BN$2-1)/$L53))*($T53*(1-$F53)+$S53*(1-$G53))*((1+Inputs!$D$7)^BN$2))),((_xlfn.WEIBULL.DIST(BN$2,$M53,$L53,FALSE)*($T53*(1-$F53)+$S53*(1-$G53))*((1+Inputs!$D$7)^BN$2))))))</f>
        <v>0</v>
      </c>
      <c r="BO53" s="64">
        <f>NPV(Inputs!$D$6,BQ53:DD53)</f>
        <v>19012.490436730273</v>
      </c>
      <c r="BP53" s="67">
        <f t="shared" si="13"/>
        <v>8.967218693204505E-3</v>
      </c>
      <c r="BQ53" s="88">
        <f>MAX(AA53,($E53*IF(BQ$2&gt;Inputs!$D$5,0,IF(BQ$2&gt;VLOOKUP($H53,Lists!$P$3:$Q$7,2),IF($N53=Lists!$K$3,IF($L53&lt;1,(($U53/$L53)*((1+Inputs!$D$7)^BQ$2)),((INT(BQ$2/$L53)-INT((BQ$2-1)/$L53))*$U53*((1+Inputs!$D$7)^BQ$2))),(Inputs!$D$8^((1-_xlfn.WEIBULL.DIST(BQ$2,$M53,$L53,FALSE))/_xlfn.WEIBULL.DIST(BQ$2,$M53,$L53,FALSE))*$U53*((1+Inputs!$D$7)^BQ$2))),IF($N53=Lists!$K$3,IF($L53&lt;1,((($T53*(1-$F53)+$S53*(1-$G53))/$L53)*((1+Inputs!$D$7)^BQ$2)),((INT(BQ$2/$L53)-INT((BQ$2-1)/$L53))*($T53*(1-$F53)+$S53*(1-$G53))*((1+Inputs!$D$7)^BQ$2))),((Inputs!$D$8^((1-_xlfn.WEIBULL.DIST(BQ$2,$M53,$L53,FALSE))/_xlfn.WEIBULL.DIST(BQ$2,$M53,$L53,FALSE))*($T53*(1-$F53)+$S53*(1-$G53))*((1+Inputs!$D$7)^BQ$2))))))))</f>
        <v>1.5975211843947901</v>
      </c>
      <c r="BR53" s="88">
        <f>MAX(AB53,($E53*IF(BR$2&gt;Inputs!$D$5,0,IF(BR$2&gt;VLOOKUP($H53,Lists!$P$3:$Q$7,2),IF($N53=Lists!$K$3,IF($L53&lt;1,(($U53/$L53)*((1+Inputs!$D$7)^BR$2)),((INT(BR$2/$L53)-INT((BR$2-1)/$L53))*$U53*((1+Inputs!$D$7)^BR$2))),(Inputs!$D$8^((1-_xlfn.WEIBULL.DIST(BR$2,$M53,$L53,FALSE))/_xlfn.WEIBULL.DIST(BR$2,$M53,$L53,FALSE))*$U53*((1+Inputs!$D$7)^BR$2))),IF($N53=Lists!$K$3,IF($L53&lt;1,((($T53*(1-$F53)+$S53*(1-$G53))/$L53)*((1+Inputs!$D$7)^BR$2)),((INT(BR$2/$L53)-INT((BR$2-1)/$L53))*($T53*(1-$F53)+$S53*(1-$G53))*((1+Inputs!$D$7)^BR$2))),((Inputs!$D$8^((1-_xlfn.WEIBULL.DIST(BR$2,$M53,$L53,FALSE))/_xlfn.WEIBULL.DIST(BR$2,$M53,$L53,FALSE))*($T53*(1-$F53)+$S53*(1-$G53))*((1+Inputs!$D$7)^BR$2))))))))</f>
        <v>6.5175214409103877</v>
      </c>
      <c r="BS53" s="88">
        <f>MAX(AC53,($E53*IF(BS$2&gt;Inputs!$D$5,0,IF(BS$2&gt;VLOOKUP($H53,Lists!$P$3:$Q$7,2),IF($N53=Lists!$K$3,IF($L53&lt;1,(($U53/$L53)*((1+Inputs!$D$7)^BS$2)),((INT(BS$2/$L53)-INT((BS$2-1)/$L53))*$U53*((1+Inputs!$D$7)^BS$2))),(Inputs!$D$8^((1-_xlfn.WEIBULL.DIST(BS$2,$M53,$L53,FALSE))/_xlfn.WEIBULL.DIST(BS$2,$M53,$L53,FALSE))*$U53*((1+Inputs!$D$7)^BS$2))),IF($N53=Lists!$K$3,IF($L53&lt;1,((($T53*(1-$F53)+$S53*(1-$G53))/$L53)*((1+Inputs!$D$7)^BS$2)),((INT(BS$2/$L53)-INT((BS$2-1)/$L53))*($T53*(1-$F53)+$S53*(1-$G53))*((1+Inputs!$D$7)^BS$2))),((Inputs!$D$8^((1-_xlfn.WEIBULL.DIST(BS$2,$M53,$L53,FALSE))/_xlfn.WEIBULL.DIST(BS$2,$M53,$L53,FALSE))*($T53*(1-$F53)+$S53*(1-$G53))*((1+Inputs!$D$7)^BS$2))))))))</f>
        <v>14.955438307492626</v>
      </c>
      <c r="BT53" s="88">
        <f>MAX(AD53,($E53*IF(BT$2&gt;Inputs!$D$5,0,IF(BT$2&gt;VLOOKUP($H53,Lists!$P$3:$Q$7,2),IF($N53=Lists!$K$3,IF($L53&lt;1,(($U53/$L53)*((1+Inputs!$D$7)^BT$2)),((INT(BT$2/$L53)-INT((BT$2-1)/$L53))*$U53*((1+Inputs!$D$7)^BT$2))),(Inputs!$D$8^((1-_xlfn.WEIBULL.DIST(BT$2,$M53,$L53,FALSE))/_xlfn.WEIBULL.DIST(BT$2,$M53,$L53,FALSE))*$U53*((1+Inputs!$D$7)^BT$2))),IF($N53=Lists!$K$3,IF($L53&lt;1,((($T53*(1-$F53)+$S53*(1-$G53))/$L53)*((1+Inputs!$D$7)^BT$2)),((INT(BT$2/$L53)-INT((BT$2-1)/$L53))*($T53*(1-$F53)+$S53*(1-$G53))*((1+Inputs!$D$7)^BT$2))),((Inputs!$D$8^((1-_xlfn.WEIBULL.DIST(BT$2,$M53,$L53,FALSE))/_xlfn.WEIBULL.DIST(BT$2,$M53,$L53,FALSE))*($T53*(1-$F53)+$S53*(1-$G53))*((1+Inputs!$D$7)^BT$2))))))))</f>
        <v>27.111168703847007</v>
      </c>
      <c r="BU53" s="88">
        <f>MAX(AE53,($E53*IF(BU$2&gt;Inputs!$D$5,0,IF(BU$2&gt;VLOOKUP($H53,Lists!$P$3:$Q$7,2),IF($N53=Lists!$K$3,IF($L53&lt;1,(($U53/$L53)*((1+Inputs!$D$7)^BU$2)),((INT(BU$2/$L53)-INT((BU$2-1)/$L53))*$U53*((1+Inputs!$D$7)^BU$2))),(Inputs!$D$8^((1-_xlfn.WEIBULL.DIST(BU$2,$M53,$L53,FALSE))/_xlfn.WEIBULL.DIST(BU$2,$M53,$L53,FALSE))*$U53*((1+Inputs!$D$7)^BU$2))),IF($N53=Lists!$K$3,IF($L53&lt;1,((($T53*(1-$F53)+$S53*(1-$G53))/$L53)*((1+Inputs!$D$7)^BU$2)),((INT(BU$2/$L53)-INT((BU$2-1)/$L53))*($T53*(1-$F53)+$S53*(1-$G53))*((1+Inputs!$D$7)^BU$2))),((Inputs!$D$8^((1-_xlfn.WEIBULL.DIST(BU$2,$M53,$L53,FALSE))/_xlfn.WEIBULL.DIST(BU$2,$M53,$L53,FALSE))*($T53*(1-$F53)+$S53*(1-$G53))*((1+Inputs!$D$7)^BU$2))))))))</f>
        <v>43.187344554373553</v>
      </c>
      <c r="BV53" s="88">
        <f>MAX(AF53,($E53*IF(BV$2&gt;Inputs!$D$5,0,IF(BV$2&gt;VLOOKUP($H53,Lists!$P$3:$Q$7,2),IF($N53=Lists!$K$3,IF($L53&lt;1,(($U53/$L53)*((1+Inputs!$D$7)^BV$2)),((INT(BV$2/$L53)-INT((BV$2-1)/$L53))*$U53*((1+Inputs!$D$7)^BV$2))),(Inputs!$D$8^((1-_xlfn.WEIBULL.DIST(BV$2,$M53,$L53,FALSE))/_xlfn.WEIBULL.DIST(BV$2,$M53,$L53,FALSE))*$U53*((1+Inputs!$D$7)^BV$2))),IF($N53=Lists!$K$3,IF($L53&lt;1,((($T53*(1-$F53)+$S53*(1-$G53))/$L53)*((1+Inputs!$D$7)^BV$2)),((INT(BV$2/$L53)-INT((BV$2-1)/$L53))*($T53*(1-$F53)+$S53*(1-$G53))*((1+Inputs!$D$7)^BV$2))),((Inputs!$D$8^((1-_xlfn.WEIBULL.DIST(BV$2,$M53,$L53,FALSE))/_xlfn.WEIBULL.DIST(BV$2,$M53,$L53,FALSE))*($T53*(1-$F53)+$S53*(1-$G53))*((1+Inputs!$D$7)^BV$2))))))))</f>
        <v>63.387408846590468</v>
      </c>
      <c r="BW53" s="88">
        <f>MAX(AG53,($E53*IF(BW$2&gt;Inputs!$D$5,0,IF(BW$2&gt;VLOOKUP($H53,Lists!$P$3:$Q$7,2),IF($N53=Lists!$K$3,IF($L53&lt;1,(($U53/$L53)*((1+Inputs!$D$7)^BW$2)),((INT(BW$2/$L53)-INT((BW$2-1)/$L53))*$U53*((1+Inputs!$D$7)^BW$2))),(Inputs!$D$8^((1-_xlfn.WEIBULL.DIST(BW$2,$M53,$L53,FALSE))/_xlfn.WEIBULL.DIST(BW$2,$M53,$L53,FALSE))*$U53*((1+Inputs!$D$7)^BW$2))),IF($N53=Lists!$K$3,IF($L53&lt;1,((($T53*(1-$F53)+$S53*(1-$G53))/$L53)*((1+Inputs!$D$7)^BW$2)),((INT(BW$2/$L53)-INT((BW$2-1)/$L53))*($T53*(1-$F53)+$S53*(1-$G53))*((1+Inputs!$D$7)^BW$2))),((Inputs!$D$8^((1-_xlfn.WEIBULL.DIST(BW$2,$M53,$L53,FALSE))/_xlfn.WEIBULL.DIST(BW$2,$M53,$L53,FALSE))*($T53*(1-$F53)+$S53*(1-$G53))*((1+Inputs!$D$7)^BW$2))))))))</f>
        <v>87.913487122450249</v>
      </c>
      <c r="BX53" s="88">
        <f>MAX(AH53,($E53*IF(BX$2&gt;Inputs!$D$5,0,IF(BX$2&gt;VLOOKUP($H53,Lists!$P$3:$Q$7,2),IF($N53=Lists!$K$3,IF($L53&lt;1,(($U53/$L53)*((1+Inputs!$D$7)^BX$2)),((INT(BX$2/$L53)-INT((BX$2-1)/$L53))*$U53*((1+Inputs!$D$7)^BX$2))),(Inputs!$D$8^((1-_xlfn.WEIBULL.DIST(BX$2,$M53,$L53,FALSE))/_xlfn.WEIBULL.DIST(BX$2,$M53,$L53,FALSE))*$U53*((1+Inputs!$D$7)^BX$2))),IF($N53=Lists!$K$3,IF($L53&lt;1,((($T53*(1-$F53)+$S53*(1-$G53))/$L53)*((1+Inputs!$D$7)^BX$2)),((INT(BX$2/$L53)-INT((BX$2-1)/$L53))*($T53*(1-$F53)+$S53*(1-$G53))*((1+Inputs!$D$7)^BX$2))),((Inputs!$D$8^((1-_xlfn.WEIBULL.DIST(BX$2,$M53,$L53,FALSE))/_xlfn.WEIBULL.DIST(BX$2,$M53,$L53,FALSE))*($T53*(1-$F53)+$S53*(1-$G53))*((1+Inputs!$D$7)^BX$2))))))))</f>
        <v>116.96405233420701</v>
      </c>
      <c r="BY53" s="88">
        <f>MAX(AI53,($E53*IF(BY$2&gt;Inputs!$D$5,0,IF(BY$2&gt;VLOOKUP($H53,Lists!$P$3:$Q$7,2),IF($N53=Lists!$K$3,IF($L53&lt;1,(($U53/$L53)*((1+Inputs!$D$7)^BY$2)),((INT(BY$2/$L53)-INT((BY$2-1)/$L53))*$U53*((1+Inputs!$D$7)^BY$2))),(Inputs!$D$8^((1-_xlfn.WEIBULL.DIST(BY$2,$M53,$L53,FALSE))/_xlfn.WEIBULL.DIST(BY$2,$M53,$L53,FALSE))*$U53*((1+Inputs!$D$7)^BY$2))),IF($N53=Lists!$K$3,IF($L53&lt;1,((($T53*(1-$F53)+$S53*(1-$G53))/$L53)*((1+Inputs!$D$7)^BY$2)),((INT(BY$2/$L53)-INT((BY$2-1)/$L53))*($T53*(1-$F53)+$S53*(1-$G53))*((1+Inputs!$D$7)^BY$2))),((Inputs!$D$8^((1-_xlfn.WEIBULL.DIST(BY$2,$M53,$L53,FALSE))/_xlfn.WEIBULL.DIST(BY$2,$M53,$L53,FALSE))*($T53*(1-$F53)+$S53*(1-$G53))*((1+Inputs!$D$7)^BY$2))))))))</f>
        <v>150.73138436615653</v>
      </c>
      <c r="BZ53" s="88">
        <f>MAX(AJ53,($E53*IF(BZ$2&gt;Inputs!$D$5,0,IF(BZ$2&gt;VLOOKUP($H53,Lists!$P$3:$Q$7,2),IF($N53=Lists!$K$3,IF($L53&lt;1,(($U53/$L53)*((1+Inputs!$D$7)^BZ$2)),((INT(BZ$2/$L53)-INT((BZ$2-1)/$L53))*$U53*((1+Inputs!$D$7)^BZ$2))),(Inputs!$D$8^((1-_xlfn.WEIBULL.DIST(BZ$2,$M53,$L53,FALSE))/_xlfn.WEIBULL.DIST(BZ$2,$M53,$L53,FALSE))*$U53*((1+Inputs!$D$7)^BZ$2))),IF($N53=Lists!$K$3,IF($L53&lt;1,((($T53*(1-$F53)+$S53*(1-$G53))/$L53)*((1+Inputs!$D$7)^BZ$2)),((INT(BZ$2/$L53)-INT((BZ$2-1)/$L53))*($T53*(1-$F53)+$S53*(1-$G53))*((1+Inputs!$D$7)^BZ$2))),((Inputs!$D$8^((1-_xlfn.WEIBULL.DIST(BZ$2,$M53,$L53,FALSE))/_xlfn.WEIBULL.DIST(BZ$2,$M53,$L53,FALSE))*($T53*(1-$F53)+$S53*(1-$G53))*((1+Inputs!$D$7)^BZ$2))))))))</f>
        <v>189.39882933175667</v>
      </c>
      <c r="CA53" s="88">
        <f>MAX(AK53,($E53*IF(CA$2&gt;Inputs!$D$5,0,IF(CA$2&gt;VLOOKUP($H53,Lists!$P$3:$Q$7,2),IF($N53=Lists!$K$3,IF($L53&lt;1,(($U53/$L53)*((1+Inputs!$D$7)^CA$2)),((INT(CA$2/$L53)-INT((CA$2-1)/$L53))*$U53*((1+Inputs!$D$7)^CA$2))),(Inputs!$D$8^((1-_xlfn.WEIBULL.DIST(CA$2,$M53,$L53,FALSE))/_xlfn.WEIBULL.DIST(CA$2,$M53,$L53,FALSE))*$U53*((1+Inputs!$D$7)^CA$2))),IF($N53=Lists!$K$3,IF($L53&lt;1,((($T53*(1-$F53)+$S53*(1-$G53))/$L53)*((1+Inputs!$D$7)^CA$2)),((INT(CA$2/$L53)-INT((CA$2-1)/$L53))*($T53*(1-$F53)+$S53*(1-$G53))*((1+Inputs!$D$7)^CA$2))),((Inputs!$D$8^((1-_xlfn.WEIBULL.DIST(CA$2,$M53,$L53,FALSE))/_xlfn.WEIBULL.DIST(CA$2,$M53,$L53,FALSE))*($T53*(1-$F53)+$S53*(1-$G53))*((1+Inputs!$D$7)^CA$2))))))))</f>
        <v>233.13786799468622</v>
      </c>
      <c r="CB53" s="88">
        <f>MAX(AL53,($E53*IF(CB$2&gt;Inputs!$D$5,0,IF(CB$2&gt;VLOOKUP($H53,Lists!$P$3:$Q$7,2),IF($N53=Lists!$K$3,IF($L53&lt;1,(($U53/$L53)*((1+Inputs!$D$7)^CB$2)),((INT(CB$2/$L53)-INT((CB$2-1)/$L53))*$U53*((1+Inputs!$D$7)^CB$2))),(Inputs!$D$8^((1-_xlfn.WEIBULL.DIST(CB$2,$M53,$L53,FALSE))/_xlfn.WEIBULL.DIST(CB$2,$M53,$L53,FALSE))*$U53*((1+Inputs!$D$7)^CB$2))),IF($N53=Lists!$K$3,IF($L53&lt;1,((($T53*(1-$F53)+$S53*(1-$G53))/$L53)*((1+Inputs!$D$7)^CB$2)),((INT(CB$2/$L53)-INT((CB$2-1)/$L53))*($T53*(1-$F53)+$S53*(1-$G53))*((1+Inputs!$D$7)^CB$2))),((Inputs!$D$8^((1-_xlfn.WEIBULL.DIST(CB$2,$M53,$L53,FALSE))/_xlfn.WEIBULL.DIST(CB$2,$M53,$L53,FALSE))*($T53*(1-$F53)+$S53*(1-$G53))*((1+Inputs!$D$7)^CB$2))))))))</f>
        <v>282.10500731229081</v>
      </c>
      <c r="CC53" s="88">
        <f>MAX(AM53,($E53*IF(CC$2&gt;Inputs!$D$5,0,IF(CC$2&gt;VLOOKUP($H53,Lists!$P$3:$Q$7,2),IF($N53=Lists!$K$3,IF($L53&lt;1,(($U53/$L53)*((1+Inputs!$D$7)^CC$2)),((INT(CC$2/$L53)-INT((CC$2-1)/$L53))*$U53*((1+Inputs!$D$7)^CC$2))),(Inputs!$D$8^((1-_xlfn.WEIBULL.DIST(CC$2,$M53,$L53,FALSE))/_xlfn.WEIBULL.DIST(CC$2,$M53,$L53,FALSE))*$U53*((1+Inputs!$D$7)^CC$2))),IF($N53=Lists!$K$3,IF($L53&lt;1,((($T53*(1-$F53)+$S53*(1-$G53))/$L53)*((1+Inputs!$D$7)^CC$2)),((INT(CC$2/$L53)-INT((CC$2-1)/$L53))*($T53*(1-$F53)+$S53*(1-$G53))*((1+Inputs!$D$7)^CC$2))),((Inputs!$D$8^((1-_xlfn.WEIBULL.DIST(CC$2,$M53,$L53,FALSE))/_xlfn.WEIBULL.DIST(CC$2,$M53,$L53,FALSE))*($T53*(1-$F53)+$S53*(1-$G53))*((1+Inputs!$D$7)^CC$2))))))))</f>
        <v>336.43851412666112</v>
      </c>
      <c r="CD53" s="88">
        <f>MAX(AN53,($E53*IF(CD$2&gt;Inputs!$D$5,0,IF(CD$2&gt;VLOOKUP($H53,Lists!$P$3:$Q$7,2),IF($N53=Lists!$K$3,IF($L53&lt;1,(($U53/$L53)*((1+Inputs!$D$7)^CD$2)),((INT(CD$2/$L53)-INT((CD$2-1)/$L53))*$U53*((1+Inputs!$D$7)^CD$2))),(Inputs!$D$8^((1-_xlfn.WEIBULL.DIST(CD$2,$M53,$L53,FALSE))/_xlfn.WEIBULL.DIST(CD$2,$M53,$L53,FALSE))*$U53*((1+Inputs!$D$7)^CD$2))),IF($N53=Lists!$K$3,IF($L53&lt;1,((($T53*(1-$F53)+$S53*(1-$G53))/$L53)*((1+Inputs!$D$7)^CD$2)),((INT(CD$2/$L53)-INT((CD$2-1)/$L53))*($T53*(1-$F53)+$S53*(1-$G53))*((1+Inputs!$D$7)^CD$2))),((Inputs!$D$8^((1-_xlfn.WEIBULL.DIST(CD$2,$M53,$L53,FALSE))/_xlfn.WEIBULL.DIST(CD$2,$M53,$L53,FALSE))*($T53*(1-$F53)+$S53*(1-$G53))*((1+Inputs!$D$7)^CD$2))))))))</f>
        <v>396.25501538304513</v>
      </c>
      <c r="CE53" s="88">
        <f>MAX(AO53,($E53*IF(CE$2&gt;Inputs!$D$5,0,IF(CE$2&gt;VLOOKUP($H53,Lists!$P$3:$Q$7,2),IF($N53=Lists!$K$3,IF($L53&lt;1,(($U53/$L53)*((1+Inputs!$D$7)^CE$2)),((INT(CE$2/$L53)-INT((CE$2-1)/$L53))*$U53*((1+Inputs!$D$7)^CE$2))),(Inputs!$D$8^((1-_xlfn.WEIBULL.DIST(CE$2,$M53,$L53,FALSE))/_xlfn.WEIBULL.DIST(CE$2,$M53,$L53,FALSE))*$U53*((1+Inputs!$D$7)^CE$2))),IF($N53=Lists!$K$3,IF($L53&lt;1,((($T53*(1-$F53)+$S53*(1-$G53))/$L53)*((1+Inputs!$D$7)^CE$2)),((INT(CE$2/$L53)-INT((CE$2-1)/$L53))*($T53*(1-$F53)+$S53*(1-$G53))*((1+Inputs!$D$7)^CE$2))),((Inputs!$D$8^((1-_xlfn.WEIBULL.DIST(CE$2,$M53,$L53,FALSE))/_xlfn.WEIBULL.DIST(CE$2,$M53,$L53,FALSE))*($T53*(1-$F53)+$S53*(1-$G53))*((1+Inputs!$D$7)^CE$2))))))))</f>
        <v>461.64599487166532</v>
      </c>
      <c r="CF53" s="88">
        <f>MAX(AP53,($E53*IF(CF$2&gt;Inputs!$D$5,0,IF(CF$2&gt;VLOOKUP($H53,Lists!$P$3:$Q$7,2),IF($N53=Lists!$K$3,IF($L53&lt;1,(($U53/$L53)*((1+Inputs!$D$7)^CF$2)),((INT(CF$2/$L53)-INT((CF$2-1)/$L53))*$U53*((1+Inputs!$D$7)^CF$2))),(Inputs!$D$8^((1-_xlfn.WEIBULL.DIST(CF$2,$M53,$L53,FALSE))/_xlfn.WEIBULL.DIST(CF$2,$M53,$L53,FALSE))*$U53*((1+Inputs!$D$7)^CF$2))),IF($N53=Lists!$K$3,IF($L53&lt;1,((($T53*(1-$F53)+$S53*(1-$G53))/$L53)*((1+Inputs!$D$7)^CF$2)),((INT(CF$2/$L53)-INT((CF$2-1)/$L53))*($T53*(1-$F53)+$S53*(1-$G53))*((1+Inputs!$D$7)^CF$2))),((Inputs!$D$8^((1-_xlfn.WEIBULL.DIST(CF$2,$M53,$L53,FALSE))/_xlfn.WEIBULL.DIST(CF$2,$M53,$L53,FALSE))*($T53*(1-$F53)+$S53*(1-$G53))*((1+Inputs!$D$7)^CF$2))))))))</f>
        <v>532.67422228412624</v>
      </c>
      <c r="CG53" s="88">
        <f>MAX(AQ53,($E53*IF(CG$2&gt;Inputs!$D$5,0,IF(CG$2&gt;VLOOKUP($H53,Lists!$P$3:$Q$7,2),IF($N53=Lists!$K$3,IF($L53&lt;1,(($U53/$L53)*((1+Inputs!$D$7)^CG$2)),((INT(CG$2/$L53)-INT((CG$2-1)/$L53))*$U53*((1+Inputs!$D$7)^CG$2))),(Inputs!$D$8^((1-_xlfn.WEIBULL.DIST(CG$2,$M53,$L53,FALSE))/_xlfn.WEIBULL.DIST(CG$2,$M53,$L53,FALSE))*$U53*((1+Inputs!$D$7)^CG$2))),IF($N53=Lists!$K$3,IF($L53&lt;1,((($T53*(1-$F53)+$S53*(1-$G53))/$L53)*((1+Inputs!$D$7)^CG$2)),((INT(CG$2/$L53)-INT((CG$2-1)/$L53))*($T53*(1-$F53)+$S53*(1-$G53))*((1+Inputs!$D$7)^CG$2))),((Inputs!$D$8^((1-_xlfn.WEIBULL.DIST(CG$2,$M53,$L53,FALSE))/_xlfn.WEIBULL.DIST(CG$2,$M53,$L53,FALSE))*($T53*(1-$F53)+$S53*(1-$G53))*((1+Inputs!$D$7)^CG$2))))))))</f>
        <v>609.37015624839592</v>
      </c>
      <c r="CH53" s="88">
        <f>MAX(AR53,($E53*IF(CH$2&gt;Inputs!$D$5,0,IF(CH$2&gt;VLOOKUP($H53,Lists!$P$3:$Q$7,2),IF($N53=Lists!$K$3,IF($L53&lt;1,(($U53/$L53)*((1+Inputs!$D$7)^CH$2)),((INT(CH$2/$L53)-INT((CH$2-1)/$L53))*$U53*((1+Inputs!$D$7)^CH$2))),(Inputs!$D$8^((1-_xlfn.WEIBULL.DIST(CH$2,$M53,$L53,FALSE))/_xlfn.WEIBULL.DIST(CH$2,$M53,$L53,FALSE))*$U53*((1+Inputs!$D$7)^CH$2))),IF($N53=Lists!$K$3,IF($L53&lt;1,((($T53*(1-$F53)+$S53*(1-$G53))/$L53)*((1+Inputs!$D$7)^CH$2)),((INT(CH$2/$L53)-INT((CH$2-1)/$L53))*($T53*(1-$F53)+$S53*(1-$G53))*((1+Inputs!$D$7)^CH$2))),((Inputs!$D$8^((1-_xlfn.WEIBULL.DIST(CH$2,$M53,$L53,FALSE))/_xlfn.WEIBULL.DIST(CH$2,$M53,$L53,FALSE))*($T53*(1-$F53)+$S53*(1-$G53))*((1+Inputs!$D$7)^CH$2))))))))</f>
        <v>691.72836883769958</v>
      </c>
      <c r="CI53" s="88">
        <f>MAX(AS53,($E53*IF(CI$2&gt;Inputs!$D$5,0,IF(CI$2&gt;VLOOKUP($H53,Lists!$P$3:$Q$7,2),IF($N53=Lists!$K$3,IF($L53&lt;1,(($U53/$L53)*((1+Inputs!$D$7)^CI$2)),((INT(CI$2/$L53)-INT((CI$2-1)/$L53))*$U53*((1+Inputs!$D$7)^CI$2))),(Inputs!$D$8^((1-_xlfn.WEIBULL.DIST(CI$2,$M53,$L53,FALSE))/_xlfn.WEIBULL.DIST(CI$2,$M53,$L53,FALSE))*$U53*((1+Inputs!$D$7)^CI$2))),IF($N53=Lists!$K$3,IF($L53&lt;1,((($T53*(1-$F53)+$S53*(1-$G53))/$L53)*((1+Inputs!$D$7)^CI$2)),((INT(CI$2/$L53)-INT((CI$2-1)/$L53))*($T53*(1-$F53)+$S53*(1-$G53))*((1+Inputs!$D$7)^CI$2))),((Inputs!$D$8^((1-_xlfn.WEIBULL.DIST(CI$2,$M53,$L53,FALSE))/_xlfn.WEIBULL.DIST(CI$2,$M53,$L53,FALSE))*($T53*(1-$F53)+$S53*(1-$G53))*((1+Inputs!$D$7)^CI$2))))))))</f>
        <v>779.70404470205176</v>
      </c>
      <c r="CJ53" s="88">
        <f>MAX(AT53,($E53*IF(CJ$2&gt;Inputs!$D$5,0,IF(CJ$2&gt;VLOOKUP($H53,Lists!$P$3:$Q$7,2),IF($N53=Lists!$K$3,IF($L53&lt;1,(($U53/$L53)*((1+Inputs!$D$7)^CJ$2)),((INT(CJ$2/$L53)-INT((CJ$2-1)/$L53))*$U53*((1+Inputs!$D$7)^CJ$2))),(Inputs!$D$8^((1-_xlfn.WEIBULL.DIST(CJ$2,$M53,$L53,FALSE))/_xlfn.WEIBULL.DIST(CJ$2,$M53,$L53,FALSE))*$U53*((1+Inputs!$D$7)^CJ$2))),IF($N53=Lists!$K$3,IF($L53&lt;1,((($T53*(1-$F53)+$S53*(1-$G53))/$L53)*((1+Inputs!$D$7)^CJ$2)),((INT(CJ$2/$L53)-INT((CJ$2-1)/$L53))*($T53*(1-$F53)+$S53*(1-$G53))*((1+Inputs!$D$7)^CJ$2))),((Inputs!$D$8^((1-_xlfn.WEIBULL.DIST(CJ$2,$M53,$L53,FALSE))/_xlfn.WEIBULL.DIST(CJ$2,$M53,$L53,FALSE))*($T53*(1-$F53)+$S53*(1-$G53))*((1+Inputs!$D$7)^CJ$2))))))))</f>
        <v>873.20961329355157</v>
      </c>
      <c r="CK53" s="88">
        <f>MAX(AU53,($E53*IF(CK$2&gt;Inputs!$D$5,0,IF(CK$2&gt;VLOOKUP($H53,Lists!$P$3:$Q$7,2),IF($N53=Lists!$K$3,IF($L53&lt;1,(($U53/$L53)*((1+Inputs!$D$7)^CK$2)),((INT(CK$2/$L53)-INT((CK$2-1)/$L53))*$U53*((1+Inputs!$D$7)^CK$2))),(Inputs!$D$8^((1-_xlfn.WEIBULL.DIST(CK$2,$M53,$L53,FALSE))/_xlfn.WEIBULL.DIST(CK$2,$M53,$L53,FALSE))*$U53*((1+Inputs!$D$7)^CK$2))),IF($N53=Lists!$K$3,IF($L53&lt;1,((($T53*(1-$F53)+$S53*(1-$G53))/$L53)*((1+Inputs!$D$7)^CK$2)),((INT(CK$2/$L53)-INT((CK$2-1)/$L53))*($T53*(1-$F53)+$S53*(1-$G53))*((1+Inputs!$D$7)^CK$2))),((Inputs!$D$8^((1-_xlfn.WEIBULL.DIST(CK$2,$M53,$L53,FALSE))/_xlfn.WEIBULL.DIST(CK$2,$M53,$L53,FALSE))*($T53*(1-$F53)+$S53*(1-$G53))*((1+Inputs!$D$7)^CK$2))))))))</f>
        <v>13182.208685932341</v>
      </c>
      <c r="CL53" s="88">
        <f>MAX(AV53,($E53*IF(CL$2&gt;Inputs!$D$5,0,IF(CL$2&gt;VLOOKUP($H53,Lists!$P$3:$Q$7,2),IF($N53=Lists!$K$3,IF($L53&lt;1,(($U53/$L53)*((1+Inputs!$D$7)^CL$2)),((INT(CL$2/$L53)-INT((CL$2-1)/$L53))*$U53*((1+Inputs!$D$7)^CL$2))),(Inputs!$D$8^((1-_xlfn.WEIBULL.DIST(CL$2,$M53,$L53,FALSE))/_xlfn.WEIBULL.DIST(CL$2,$M53,$L53,FALSE))*$U53*((1+Inputs!$D$7)^CL$2))),IF($N53=Lists!$K$3,IF($L53&lt;1,((($T53*(1-$F53)+$S53*(1-$G53))/$L53)*((1+Inputs!$D$7)^CL$2)),((INT(CL$2/$L53)-INT((CL$2-1)/$L53))*($T53*(1-$F53)+$S53*(1-$G53))*((1+Inputs!$D$7)^CL$2))),((Inputs!$D$8^((1-_xlfn.WEIBULL.DIST(CL$2,$M53,$L53,FALSE))/_xlfn.WEIBULL.DIST(CL$2,$M53,$L53,FALSE))*($T53*(1-$F53)+$S53*(1-$G53))*((1+Inputs!$D$7)^CL$2))))))))</f>
        <v>14594.062270629103</v>
      </c>
      <c r="CM53" s="88">
        <f>MAX(AW53,($E53*IF(CM$2&gt;Inputs!$D$5,0,IF(CM$2&gt;VLOOKUP($H53,Lists!$P$3:$Q$7,2),IF($N53=Lists!$K$3,IF($L53&lt;1,(($U53/$L53)*((1+Inputs!$D$7)^CM$2)),((INT(CM$2/$L53)-INT((CM$2-1)/$L53))*$U53*((1+Inputs!$D$7)^CM$2))),(Inputs!$D$8^((1-_xlfn.WEIBULL.DIST(CM$2,$M53,$L53,FALSE))/_xlfn.WEIBULL.DIST(CM$2,$M53,$L53,FALSE))*$U53*((1+Inputs!$D$7)^CM$2))),IF($N53=Lists!$K$3,IF($L53&lt;1,((($T53*(1-$F53)+$S53*(1-$G53))/$L53)*((1+Inputs!$D$7)^CM$2)),((INT(CM$2/$L53)-INT((CM$2-1)/$L53))*($T53*(1-$F53)+$S53*(1-$G53))*((1+Inputs!$D$7)^CM$2))),((Inputs!$D$8^((1-_xlfn.WEIBULL.DIST(CM$2,$M53,$L53,FALSE))/_xlfn.WEIBULL.DIST(CM$2,$M53,$L53,FALSE))*($T53*(1-$F53)+$S53*(1-$G53))*((1+Inputs!$D$7)^CM$2))))))))</f>
        <v>16073.450999442055</v>
      </c>
      <c r="CN53" s="88">
        <f>MAX(AX53,($E53*IF(CN$2&gt;Inputs!$D$5,0,IF(CN$2&gt;VLOOKUP($H53,Lists!$P$3:$Q$7,2),IF($N53=Lists!$K$3,IF($L53&lt;1,(($U53/$L53)*((1+Inputs!$D$7)^CN$2)),((INT(CN$2/$L53)-INT((CN$2-1)/$L53))*$U53*((1+Inputs!$D$7)^CN$2))),(Inputs!$D$8^((1-_xlfn.WEIBULL.DIST(CN$2,$M53,$L53,FALSE))/_xlfn.WEIBULL.DIST(CN$2,$M53,$L53,FALSE))*$U53*((1+Inputs!$D$7)^CN$2))),IF($N53=Lists!$K$3,IF($L53&lt;1,((($T53*(1-$F53)+$S53*(1-$G53))/$L53)*((1+Inputs!$D$7)^CN$2)),((INT(CN$2/$L53)-INT((CN$2-1)/$L53))*($T53*(1-$F53)+$S53*(1-$G53))*((1+Inputs!$D$7)^CN$2))),((Inputs!$D$8^((1-_xlfn.WEIBULL.DIST(CN$2,$M53,$L53,FALSE))/_xlfn.WEIBULL.DIST(CN$2,$M53,$L53,FALSE))*($T53*(1-$F53)+$S53*(1-$G53))*((1+Inputs!$D$7)^CN$2))))))))</f>
        <v>17616.478823316487</v>
      </c>
      <c r="CO53" s="88">
        <f>MAX(AY53,($E53*IF(CO$2&gt;Inputs!$D$5,0,IF(CO$2&gt;VLOOKUP($H53,Lists!$P$3:$Q$7,2),IF($N53=Lists!$K$3,IF($L53&lt;1,(($U53/$L53)*((1+Inputs!$D$7)^CO$2)),((INT(CO$2/$L53)-INT((CO$2-1)/$L53))*$U53*((1+Inputs!$D$7)^CO$2))),(Inputs!$D$8^((1-_xlfn.WEIBULL.DIST(CO$2,$M53,$L53,FALSE))/_xlfn.WEIBULL.DIST(CO$2,$M53,$L53,FALSE))*$U53*((1+Inputs!$D$7)^CO$2))),IF($N53=Lists!$K$3,IF($L53&lt;1,((($T53*(1-$F53)+$S53*(1-$G53))/$L53)*((1+Inputs!$D$7)^CO$2)),((INT(CO$2/$L53)-INT((CO$2-1)/$L53))*($T53*(1-$F53)+$S53*(1-$G53))*((1+Inputs!$D$7)^CO$2))),((Inputs!$D$8^((1-_xlfn.WEIBULL.DIST(CO$2,$M53,$L53,FALSE))/_xlfn.WEIBULL.DIST(CO$2,$M53,$L53,FALSE))*($T53*(1-$F53)+$S53*(1-$G53))*((1+Inputs!$D$7)^CO$2))))))))</f>
        <v>19218.500390435711</v>
      </c>
      <c r="CP53" s="88">
        <f>MAX(AZ53,($E53*IF(CP$2&gt;Inputs!$D$5,0,IF(CP$2&gt;VLOOKUP($H53,Lists!$P$3:$Q$7,2),IF($N53=Lists!$K$3,IF($L53&lt;1,(($U53/$L53)*((1+Inputs!$D$7)^CP$2)),((INT(CP$2/$L53)-INT((CP$2-1)/$L53))*$U53*((1+Inputs!$D$7)^CP$2))),(Inputs!$D$8^((1-_xlfn.WEIBULL.DIST(CP$2,$M53,$L53,FALSE))/_xlfn.WEIBULL.DIST(CP$2,$M53,$L53,FALSE))*$U53*((1+Inputs!$D$7)^CP$2))),IF($N53=Lists!$K$3,IF($L53&lt;1,((($T53*(1-$F53)+$S53*(1-$G53))/$L53)*((1+Inputs!$D$7)^CP$2)),((INT(CP$2/$L53)-INT((CP$2-1)/$L53))*($T53*(1-$F53)+$S53*(1-$G53))*((1+Inputs!$D$7)^CP$2))),((Inputs!$D$8^((1-_xlfn.WEIBULL.DIST(CP$2,$M53,$L53,FALSE))/_xlfn.WEIBULL.DIST(CP$2,$M53,$L53,FALSE))*($T53*(1-$F53)+$S53*(1-$G53))*((1+Inputs!$D$7)^CP$2))))))))</f>
        <v>0</v>
      </c>
      <c r="CQ53" s="88">
        <f>MAX(BA53,($E53*IF(CQ$2&gt;Inputs!$D$5,0,IF(CQ$2&gt;VLOOKUP($H53,Lists!$P$3:$Q$7,2),IF($N53=Lists!$K$3,IF($L53&lt;1,(($U53/$L53)*((1+Inputs!$D$7)^CQ$2)),((INT(CQ$2/$L53)-INT((CQ$2-1)/$L53))*$U53*((1+Inputs!$D$7)^CQ$2))),(Inputs!$D$8^((1-_xlfn.WEIBULL.DIST(CQ$2,$M53,$L53,FALSE))/_xlfn.WEIBULL.DIST(CQ$2,$M53,$L53,FALSE))*$U53*((1+Inputs!$D$7)^CQ$2))),IF($N53=Lists!$K$3,IF($L53&lt;1,((($T53*(1-$F53)+$S53*(1-$G53))/$L53)*((1+Inputs!$D$7)^CQ$2)),((INT(CQ$2/$L53)-INT((CQ$2-1)/$L53))*($T53*(1-$F53)+$S53*(1-$G53))*((1+Inputs!$D$7)^CQ$2))),((Inputs!$D$8^((1-_xlfn.WEIBULL.DIST(CQ$2,$M53,$L53,FALSE))/_xlfn.WEIBULL.DIST(CQ$2,$M53,$L53,FALSE))*($T53*(1-$F53)+$S53*(1-$G53))*((1+Inputs!$D$7)^CQ$2))))))))</f>
        <v>0</v>
      </c>
      <c r="CR53" s="88">
        <f>MAX(BB53,($E53*IF(CR$2&gt;Inputs!$D$5,0,IF(CR$2&gt;VLOOKUP($H53,Lists!$P$3:$Q$7,2),IF($N53=Lists!$K$3,IF($L53&lt;1,(($U53/$L53)*((1+Inputs!$D$7)^CR$2)),((INT(CR$2/$L53)-INT((CR$2-1)/$L53))*$U53*((1+Inputs!$D$7)^CR$2))),(Inputs!$D$8^((1-_xlfn.WEIBULL.DIST(CR$2,$M53,$L53,FALSE))/_xlfn.WEIBULL.DIST(CR$2,$M53,$L53,FALSE))*$U53*((1+Inputs!$D$7)^CR$2))),IF($N53=Lists!$K$3,IF($L53&lt;1,((($T53*(1-$F53)+$S53*(1-$G53))/$L53)*((1+Inputs!$D$7)^CR$2)),((INT(CR$2/$L53)-INT((CR$2-1)/$L53))*($T53*(1-$F53)+$S53*(1-$G53))*((1+Inputs!$D$7)^CR$2))),((Inputs!$D$8^((1-_xlfn.WEIBULL.DIST(CR$2,$M53,$L53,FALSE))/_xlfn.WEIBULL.DIST(CR$2,$M53,$L53,FALSE))*($T53*(1-$F53)+$S53*(1-$G53))*((1+Inputs!$D$7)^CR$2))))))))</f>
        <v>0</v>
      </c>
      <c r="CS53" s="88">
        <f>MAX(BC53,($E53*IF(CS$2&gt;Inputs!$D$5,0,IF(CS$2&gt;VLOOKUP($H53,Lists!$P$3:$Q$7,2),IF($N53=Lists!$K$3,IF($L53&lt;1,(($U53/$L53)*((1+Inputs!$D$7)^CS$2)),((INT(CS$2/$L53)-INT((CS$2-1)/$L53))*$U53*((1+Inputs!$D$7)^CS$2))),(Inputs!$D$8^((1-_xlfn.WEIBULL.DIST(CS$2,$M53,$L53,FALSE))/_xlfn.WEIBULL.DIST(CS$2,$M53,$L53,FALSE))*$U53*((1+Inputs!$D$7)^CS$2))),IF($N53=Lists!$K$3,IF($L53&lt;1,((($T53*(1-$F53)+$S53*(1-$G53))/$L53)*((1+Inputs!$D$7)^CS$2)),((INT(CS$2/$L53)-INT((CS$2-1)/$L53))*($T53*(1-$F53)+$S53*(1-$G53))*((1+Inputs!$D$7)^CS$2))),((Inputs!$D$8^((1-_xlfn.WEIBULL.DIST(CS$2,$M53,$L53,FALSE))/_xlfn.WEIBULL.DIST(CS$2,$M53,$L53,FALSE))*($T53*(1-$F53)+$S53*(1-$G53))*((1+Inputs!$D$7)^CS$2))))))))</f>
        <v>0</v>
      </c>
      <c r="CT53" s="88">
        <f>MAX(BD53,($E53*IF(CT$2&gt;Inputs!$D$5,0,IF(CT$2&gt;VLOOKUP($H53,Lists!$P$3:$Q$7,2),IF($N53=Lists!$K$3,IF($L53&lt;1,(($U53/$L53)*((1+Inputs!$D$7)^CT$2)),((INT(CT$2/$L53)-INT((CT$2-1)/$L53))*$U53*((1+Inputs!$D$7)^CT$2))),(Inputs!$D$8^((1-_xlfn.WEIBULL.DIST(CT$2,$M53,$L53,FALSE))/_xlfn.WEIBULL.DIST(CT$2,$M53,$L53,FALSE))*$U53*((1+Inputs!$D$7)^CT$2))),IF($N53=Lists!$K$3,IF($L53&lt;1,((($T53*(1-$F53)+$S53*(1-$G53))/$L53)*((1+Inputs!$D$7)^CT$2)),((INT(CT$2/$L53)-INT((CT$2-1)/$L53))*($T53*(1-$F53)+$S53*(1-$G53))*((1+Inputs!$D$7)^CT$2))),((Inputs!$D$8^((1-_xlfn.WEIBULL.DIST(CT$2,$M53,$L53,FALSE))/_xlfn.WEIBULL.DIST(CT$2,$M53,$L53,FALSE))*($T53*(1-$F53)+$S53*(1-$G53))*((1+Inputs!$D$7)^CT$2))))))))</f>
        <v>0</v>
      </c>
      <c r="CU53" s="88">
        <f>MAX(BE53,($E53*IF(CU$2&gt;Inputs!$D$5,0,IF(CU$2&gt;VLOOKUP($H53,Lists!$P$3:$Q$7,2),IF($N53=Lists!$K$3,IF($L53&lt;1,(($U53/$L53)*((1+Inputs!$D$7)^CU$2)),((INT(CU$2/$L53)-INT((CU$2-1)/$L53))*$U53*((1+Inputs!$D$7)^CU$2))),(Inputs!$D$8^((1-_xlfn.WEIBULL.DIST(CU$2,$M53,$L53,FALSE))/_xlfn.WEIBULL.DIST(CU$2,$M53,$L53,FALSE))*$U53*((1+Inputs!$D$7)^CU$2))),IF($N53=Lists!$K$3,IF($L53&lt;1,((($T53*(1-$F53)+$S53*(1-$G53))/$L53)*((1+Inputs!$D$7)^CU$2)),((INT(CU$2/$L53)-INT((CU$2-1)/$L53))*($T53*(1-$F53)+$S53*(1-$G53))*((1+Inputs!$D$7)^CU$2))),((Inputs!$D$8^((1-_xlfn.WEIBULL.DIST(CU$2,$M53,$L53,FALSE))/_xlfn.WEIBULL.DIST(CU$2,$M53,$L53,FALSE))*($T53*(1-$F53)+$S53*(1-$G53))*((1+Inputs!$D$7)^CU$2))))))))</f>
        <v>0</v>
      </c>
      <c r="CV53" s="88">
        <f>MAX(BF53,($E53*IF(CV$2&gt;Inputs!$D$5,0,IF(CV$2&gt;VLOOKUP($H53,Lists!$P$3:$Q$7,2),IF($N53=Lists!$K$3,IF($L53&lt;1,(($U53/$L53)*((1+Inputs!$D$7)^CV$2)),((INT(CV$2/$L53)-INT((CV$2-1)/$L53))*$U53*((1+Inputs!$D$7)^CV$2))),(Inputs!$D$8^((1-_xlfn.WEIBULL.DIST(CV$2,$M53,$L53,FALSE))/_xlfn.WEIBULL.DIST(CV$2,$M53,$L53,FALSE))*$U53*((1+Inputs!$D$7)^CV$2))),IF($N53=Lists!$K$3,IF($L53&lt;1,((($T53*(1-$F53)+$S53*(1-$G53))/$L53)*((1+Inputs!$D$7)^CV$2)),((INT(CV$2/$L53)-INT((CV$2-1)/$L53))*($T53*(1-$F53)+$S53*(1-$G53))*((1+Inputs!$D$7)^CV$2))),((Inputs!$D$8^((1-_xlfn.WEIBULL.DIST(CV$2,$M53,$L53,FALSE))/_xlfn.WEIBULL.DIST(CV$2,$M53,$L53,FALSE))*($T53*(1-$F53)+$S53*(1-$G53))*((1+Inputs!$D$7)^CV$2))))))))</f>
        <v>0</v>
      </c>
      <c r="CW53" s="88">
        <f>MAX(BG53,($E53*IF(CW$2&gt;Inputs!$D$5,0,IF(CW$2&gt;VLOOKUP($H53,Lists!$P$3:$Q$7,2),IF($N53=Lists!$K$3,IF($L53&lt;1,(($U53/$L53)*((1+Inputs!$D$7)^CW$2)),((INT(CW$2/$L53)-INT((CW$2-1)/$L53))*$U53*((1+Inputs!$D$7)^CW$2))),(Inputs!$D$8^((1-_xlfn.WEIBULL.DIST(CW$2,$M53,$L53,FALSE))/_xlfn.WEIBULL.DIST(CW$2,$M53,$L53,FALSE))*$U53*((1+Inputs!$D$7)^CW$2))),IF($N53=Lists!$K$3,IF($L53&lt;1,((($T53*(1-$F53)+$S53*(1-$G53))/$L53)*((1+Inputs!$D$7)^CW$2)),((INT(CW$2/$L53)-INT((CW$2-1)/$L53))*($T53*(1-$F53)+$S53*(1-$G53))*((1+Inputs!$D$7)^CW$2))),((Inputs!$D$8^((1-_xlfn.WEIBULL.DIST(CW$2,$M53,$L53,FALSE))/_xlfn.WEIBULL.DIST(CW$2,$M53,$L53,FALSE))*($T53*(1-$F53)+$S53*(1-$G53))*((1+Inputs!$D$7)^CW$2))))))))</f>
        <v>0</v>
      </c>
      <c r="CX53" s="88">
        <f>MAX(BH53,($E53*IF(CX$2&gt;Inputs!$D$5,0,IF(CX$2&gt;VLOOKUP($H53,Lists!$P$3:$Q$7,2),IF($N53=Lists!$K$3,IF($L53&lt;1,(($U53/$L53)*((1+Inputs!$D$7)^CX$2)),((INT(CX$2/$L53)-INT((CX$2-1)/$L53))*$U53*((1+Inputs!$D$7)^CX$2))),(Inputs!$D$8^((1-_xlfn.WEIBULL.DIST(CX$2,$M53,$L53,FALSE))/_xlfn.WEIBULL.DIST(CX$2,$M53,$L53,FALSE))*$U53*((1+Inputs!$D$7)^CX$2))),IF($N53=Lists!$K$3,IF($L53&lt;1,((($T53*(1-$F53)+$S53*(1-$G53))/$L53)*((1+Inputs!$D$7)^CX$2)),((INT(CX$2/$L53)-INT((CX$2-1)/$L53))*($T53*(1-$F53)+$S53*(1-$G53))*((1+Inputs!$D$7)^CX$2))),((Inputs!$D$8^((1-_xlfn.WEIBULL.DIST(CX$2,$M53,$L53,FALSE))/_xlfn.WEIBULL.DIST(CX$2,$M53,$L53,FALSE))*($T53*(1-$F53)+$S53*(1-$G53))*((1+Inputs!$D$7)^CX$2))))))))</f>
        <v>0</v>
      </c>
      <c r="CY53" s="88">
        <f>MAX(BI53,($E53*IF(CY$2&gt;Inputs!$D$5,0,IF(CY$2&gt;VLOOKUP($H53,Lists!$P$3:$Q$7,2),IF($N53=Lists!$K$3,IF($L53&lt;1,(($U53/$L53)*((1+Inputs!$D$7)^CY$2)),((INT(CY$2/$L53)-INT((CY$2-1)/$L53))*$U53*((1+Inputs!$D$7)^CY$2))),(Inputs!$D$8^((1-_xlfn.WEIBULL.DIST(CY$2,$M53,$L53,FALSE))/_xlfn.WEIBULL.DIST(CY$2,$M53,$L53,FALSE))*$U53*((1+Inputs!$D$7)^CY$2))),IF($N53=Lists!$K$3,IF($L53&lt;1,((($T53*(1-$F53)+$S53*(1-$G53))/$L53)*((1+Inputs!$D$7)^CY$2)),((INT(CY$2/$L53)-INT((CY$2-1)/$L53))*($T53*(1-$F53)+$S53*(1-$G53))*((1+Inputs!$D$7)^CY$2))),((Inputs!$D$8^((1-_xlfn.WEIBULL.DIST(CY$2,$M53,$L53,FALSE))/_xlfn.WEIBULL.DIST(CY$2,$M53,$L53,FALSE))*($T53*(1-$F53)+$S53*(1-$G53))*((1+Inputs!$D$7)^CY$2))))))))</f>
        <v>0</v>
      </c>
      <c r="CZ53" s="88">
        <f>MAX(BJ53,($E53*IF(CZ$2&gt;Inputs!$D$5,0,IF(CZ$2&gt;VLOOKUP($H53,Lists!$P$3:$Q$7,2),IF($N53=Lists!$K$3,IF($L53&lt;1,(($U53/$L53)*((1+Inputs!$D$7)^CZ$2)),((INT(CZ$2/$L53)-INT((CZ$2-1)/$L53))*$U53*((1+Inputs!$D$7)^CZ$2))),(Inputs!$D$8^((1-_xlfn.WEIBULL.DIST(CZ$2,$M53,$L53,FALSE))/_xlfn.WEIBULL.DIST(CZ$2,$M53,$L53,FALSE))*$U53*((1+Inputs!$D$7)^CZ$2))),IF($N53=Lists!$K$3,IF($L53&lt;1,((($T53*(1-$F53)+$S53*(1-$G53))/$L53)*((1+Inputs!$D$7)^CZ$2)),((INT(CZ$2/$L53)-INT((CZ$2-1)/$L53))*($T53*(1-$F53)+$S53*(1-$G53))*((1+Inputs!$D$7)^CZ$2))),((Inputs!$D$8^((1-_xlfn.WEIBULL.DIST(CZ$2,$M53,$L53,FALSE))/_xlfn.WEIBULL.DIST(CZ$2,$M53,$L53,FALSE))*($T53*(1-$F53)+$S53*(1-$G53))*((1+Inputs!$D$7)^CZ$2))))))))</f>
        <v>0</v>
      </c>
      <c r="DA53" s="88">
        <f>MAX(BK53,($E53*IF(DA$2&gt;Inputs!$D$5,0,IF(DA$2&gt;VLOOKUP($H53,Lists!$P$3:$Q$7,2),IF($N53=Lists!$K$3,IF($L53&lt;1,(($U53/$L53)*((1+Inputs!$D$7)^DA$2)),((INT(DA$2/$L53)-INT((DA$2-1)/$L53))*$U53*((1+Inputs!$D$7)^DA$2))),(Inputs!$D$8^((1-_xlfn.WEIBULL.DIST(DA$2,$M53,$L53,FALSE))/_xlfn.WEIBULL.DIST(DA$2,$M53,$L53,FALSE))*$U53*((1+Inputs!$D$7)^DA$2))),IF($N53=Lists!$K$3,IF($L53&lt;1,((($T53*(1-$F53)+$S53*(1-$G53))/$L53)*((1+Inputs!$D$7)^DA$2)),((INT(DA$2/$L53)-INT((DA$2-1)/$L53))*($T53*(1-$F53)+$S53*(1-$G53))*((1+Inputs!$D$7)^DA$2))),((Inputs!$D$8^((1-_xlfn.WEIBULL.DIST(DA$2,$M53,$L53,FALSE))/_xlfn.WEIBULL.DIST(DA$2,$M53,$L53,FALSE))*($T53*(1-$F53)+$S53*(1-$G53))*((1+Inputs!$D$7)^DA$2))))))))</f>
        <v>0</v>
      </c>
      <c r="DB53" s="88">
        <f>MAX(BL53,($E53*IF(DB$2&gt;Inputs!$D$5,0,IF(DB$2&gt;VLOOKUP($H53,Lists!$P$3:$Q$7,2),IF($N53=Lists!$K$3,IF($L53&lt;1,(($U53/$L53)*((1+Inputs!$D$7)^DB$2)),((INT(DB$2/$L53)-INT((DB$2-1)/$L53))*$U53*((1+Inputs!$D$7)^DB$2))),(Inputs!$D$8^((1-_xlfn.WEIBULL.DIST(DB$2,$M53,$L53,FALSE))/_xlfn.WEIBULL.DIST(DB$2,$M53,$L53,FALSE))*$U53*((1+Inputs!$D$7)^DB$2))),IF($N53=Lists!$K$3,IF($L53&lt;1,((($T53*(1-$F53)+$S53*(1-$G53))/$L53)*((1+Inputs!$D$7)^DB$2)),((INT(DB$2/$L53)-INT((DB$2-1)/$L53))*($T53*(1-$F53)+$S53*(1-$G53))*((1+Inputs!$D$7)^DB$2))),((Inputs!$D$8^((1-_xlfn.WEIBULL.DIST(DB$2,$M53,$L53,FALSE))/_xlfn.WEIBULL.DIST(DB$2,$M53,$L53,FALSE))*($T53*(1-$F53)+$S53*(1-$G53))*((1+Inputs!$D$7)^DB$2))))))))</f>
        <v>0</v>
      </c>
      <c r="DC53" s="88">
        <f>MAX(BM53,($E53*IF(DC$2&gt;Inputs!$D$5,0,IF(DC$2&gt;VLOOKUP($H53,Lists!$P$3:$Q$7,2),IF($N53=Lists!$K$3,IF($L53&lt;1,(($U53/$L53)*((1+Inputs!$D$7)^DC$2)),((INT(DC$2/$L53)-INT((DC$2-1)/$L53))*$U53*((1+Inputs!$D$7)^DC$2))),(Inputs!$D$8^((1-_xlfn.WEIBULL.DIST(DC$2,$M53,$L53,FALSE))/_xlfn.WEIBULL.DIST(DC$2,$M53,$L53,FALSE))*$U53*((1+Inputs!$D$7)^DC$2))),IF($N53=Lists!$K$3,IF($L53&lt;1,((($T53*(1-$F53)+$S53*(1-$G53))/$L53)*((1+Inputs!$D$7)^DC$2)),((INT(DC$2/$L53)-INT((DC$2-1)/$L53))*($T53*(1-$F53)+$S53*(1-$G53))*((1+Inputs!$D$7)^DC$2))),((Inputs!$D$8^((1-_xlfn.WEIBULL.DIST(DC$2,$M53,$L53,FALSE))/_xlfn.WEIBULL.DIST(DC$2,$M53,$L53,FALSE))*($T53*(1-$F53)+$S53*(1-$G53))*((1+Inputs!$D$7)^DC$2))))))))</f>
        <v>0</v>
      </c>
      <c r="DD53" s="88">
        <f>MAX(BN53,($E53*IF(DD$2&gt;Inputs!$D$5,0,IF(DD$2&gt;VLOOKUP($H53,Lists!$P$3:$Q$7,2),IF($N53=Lists!$K$3,IF($L53&lt;1,(($U53/$L53)*((1+Inputs!$D$7)^DD$2)),((INT(DD$2/$L53)-INT((DD$2-1)/$L53))*$U53*((1+Inputs!$D$7)^DD$2))),(Inputs!$D$8^((1-_xlfn.WEIBULL.DIST(DD$2,$M53,$L53,FALSE))/_xlfn.WEIBULL.DIST(DD$2,$M53,$L53,FALSE))*$U53*((1+Inputs!$D$7)^DD$2))),IF($N53=Lists!$K$3,IF($L53&lt;1,((($T53*(1-$F53)+$S53*(1-$G53))/$L53)*((1+Inputs!$D$7)^DD$2)),((INT(DD$2/$L53)-INT((DD$2-1)/$L53))*($T53*(1-$F53)+$S53*(1-$G53))*((1+Inputs!$D$7)^DD$2))),((Inputs!$D$8^((1-_xlfn.WEIBULL.DIST(DD$2,$M53,$L53,FALSE))/_xlfn.WEIBULL.DIST(DD$2,$M53,$L53,FALSE))*($T53*(1-$F53)+$S53*(1-$G53))*((1+Inputs!$D$7)^DD$2))))))))</f>
        <v>0</v>
      </c>
    </row>
    <row r="54" spans="1:108" s="1" customFormat="1" ht="16">
      <c r="A54" s="57" t="s">
        <v>177</v>
      </c>
      <c r="B54" s="13" t="s">
        <v>130</v>
      </c>
      <c r="C54" s="13" t="s">
        <v>474</v>
      </c>
      <c r="D54" s="13" t="s">
        <v>126</v>
      </c>
      <c r="E54" s="48">
        <f>IF(Inputs!$D$42=Lists!$H$3,1,0)</f>
        <v>0</v>
      </c>
      <c r="F54" s="48">
        <v>0</v>
      </c>
      <c r="G54" s="48">
        <v>0</v>
      </c>
      <c r="H54" s="105" t="s">
        <v>350</v>
      </c>
      <c r="I54" s="14" t="s">
        <v>382</v>
      </c>
      <c r="J54" s="14" t="s">
        <v>84</v>
      </c>
      <c r="K54" s="13">
        <f>VLOOKUP(J54,'Labor Rates'!$A$1:$F$16,2)</f>
        <v>22.703653846153845</v>
      </c>
      <c r="L54" s="15">
        <v>50</v>
      </c>
      <c r="M54" s="15">
        <v>5</v>
      </c>
      <c r="N54" s="16" t="s">
        <v>226</v>
      </c>
      <c r="O54" s="61">
        <f>E54*Inputs!D20</f>
        <v>0</v>
      </c>
      <c r="P54" s="15">
        <f>VLOOKUP(Inputs!D44,Lists!S3:U13,3,FALSE)</f>
        <v>1</v>
      </c>
      <c r="Q54" s="15">
        <f t="shared" si="7"/>
        <v>0</v>
      </c>
      <c r="R54" s="4">
        <f>VLOOKUP(Inputs!D44,Lists!S3:T13,2,FALSE)</f>
        <v>25</v>
      </c>
      <c r="S54" s="53">
        <f t="shared" si="8"/>
        <v>0</v>
      </c>
      <c r="T54" s="53">
        <f t="shared" si="9"/>
        <v>0</v>
      </c>
      <c r="U54" s="54">
        <f t="shared" si="10"/>
        <v>0</v>
      </c>
      <c r="V54" s="65"/>
      <c r="W54" s="58"/>
      <c r="X54" s="64">
        <f t="shared" si="11"/>
        <v>0</v>
      </c>
      <c r="Y54" s="64">
        <f>NPV(Inputs!$D$6,AA54:BN54)</f>
        <v>0</v>
      </c>
      <c r="Z54" s="67">
        <f t="shared" si="12"/>
        <v>0</v>
      </c>
      <c r="AA54" s="88">
        <f>$E54*IF(AA$2&gt;Inputs!$D$5,0,IF(AA$2&gt;VLOOKUP($H54,Lists!$P$3:$Q$7,2),IF($N54=Lists!$K$3,IF($L54&lt;1,(($U54/$L54)*((1+Inputs!$D$7)^AA$2)),((INT(AA$2/$L54)-INT((AA$2-1)/$L54))*$U54*((1+Inputs!$D$7)^AA$2))),(_xlfn.WEIBULL.DIST(AA$2,$M54,$L54,FALSE)*$U54*((1+Inputs!$D$7)^AA$2))),IF($N54=Lists!$K$3,IF($L54&lt;1,((($T54*(1-$F54)+$S54*(1-$G54))/$L54)*((1+Inputs!$D$7)^AA$2)),((INT(AA$2/$L54)-INT((AA$2-1)/$L54))*($T54*(1-$F54)+$S54*(1-$G54))*((1+Inputs!$D$7)^AA$2))),((_xlfn.WEIBULL.DIST(AA$2,$M54,$L54,FALSE)*($T54*(1-$F54)+$S54*(1-$G54))*((1+Inputs!$D$7)^AA$2))))))</f>
        <v>0</v>
      </c>
      <c r="AB54" s="88">
        <f>$E54*IF(AB$2&gt;Inputs!$D$5,0,IF(AB$2&gt;VLOOKUP($H54,Lists!$P$3:$Q$7,2),IF($N54=Lists!$K$3,IF($L54&lt;1,(($U54/$L54)*((1+Inputs!$D$7)^AB$2)),((INT(AB$2/$L54)-INT((AB$2-1)/$L54))*$U54*((1+Inputs!$D$7)^AB$2))),(_xlfn.WEIBULL.DIST(AB$2,$M54,$L54,FALSE)*$U54*((1+Inputs!$D$7)^AB$2))),IF($N54=Lists!$K$3,IF($L54&lt;1,((($T54*(1-$F54)+$S54*(1-$G54))/$L54)*((1+Inputs!$D$7)^AB$2)),((INT(AB$2/$L54)-INT((AB$2-1)/$L54))*($T54*(1-$F54)+$S54*(1-$G54))*((1+Inputs!$D$7)^AB$2))),((_xlfn.WEIBULL.DIST(AB$2,$M54,$L54,FALSE)*($T54*(1-$F54)+$S54*(1-$G54))*((1+Inputs!$D$7)^AB$2))))))</f>
        <v>0</v>
      </c>
      <c r="AC54" s="88">
        <f>$E54*IF(AC$2&gt;Inputs!$D$5,0,IF(AC$2&gt;VLOOKUP($H54,Lists!$P$3:$Q$7,2),IF($N54=Lists!$K$3,IF($L54&lt;1,(($U54/$L54)*((1+Inputs!$D$7)^AC$2)),((INT(AC$2/$L54)-INT((AC$2-1)/$L54))*$U54*((1+Inputs!$D$7)^AC$2))),(_xlfn.WEIBULL.DIST(AC$2,$M54,$L54,FALSE)*$U54*((1+Inputs!$D$7)^AC$2))),IF($N54=Lists!$K$3,IF($L54&lt;1,((($T54*(1-$F54)+$S54*(1-$G54))/$L54)*((1+Inputs!$D$7)^AC$2)),((INT(AC$2/$L54)-INT((AC$2-1)/$L54))*($T54*(1-$F54)+$S54*(1-$G54))*((1+Inputs!$D$7)^AC$2))),((_xlfn.WEIBULL.DIST(AC$2,$M54,$L54,FALSE)*($T54*(1-$F54)+$S54*(1-$G54))*((1+Inputs!$D$7)^AC$2))))))</f>
        <v>0</v>
      </c>
      <c r="AD54" s="88">
        <f>$E54*IF(AD$2&gt;Inputs!$D$5,0,IF(AD$2&gt;VLOOKUP($H54,Lists!$P$3:$Q$7,2),IF($N54=Lists!$K$3,IF($L54&lt;1,(($U54/$L54)*((1+Inputs!$D$7)^AD$2)),((INT(AD$2/$L54)-INT((AD$2-1)/$L54))*$U54*((1+Inputs!$D$7)^AD$2))),(_xlfn.WEIBULL.DIST(AD$2,$M54,$L54,FALSE)*$U54*((1+Inputs!$D$7)^AD$2))),IF($N54=Lists!$K$3,IF($L54&lt;1,((($T54*(1-$F54)+$S54*(1-$G54))/$L54)*((1+Inputs!$D$7)^AD$2)),((INT(AD$2/$L54)-INT((AD$2-1)/$L54))*($T54*(1-$F54)+$S54*(1-$G54))*((1+Inputs!$D$7)^AD$2))),((_xlfn.WEIBULL.DIST(AD$2,$M54,$L54,FALSE)*($T54*(1-$F54)+$S54*(1-$G54))*((1+Inputs!$D$7)^AD$2))))))</f>
        <v>0</v>
      </c>
      <c r="AE54" s="88">
        <f>$E54*IF(AE$2&gt;Inputs!$D$5,0,IF(AE$2&gt;VLOOKUP($H54,Lists!$P$3:$Q$7,2),IF($N54=Lists!$K$3,IF($L54&lt;1,(($U54/$L54)*((1+Inputs!$D$7)^AE$2)),((INT(AE$2/$L54)-INT((AE$2-1)/$L54))*$U54*((1+Inputs!$D$7)^AE$2))),(_xlfn.WEIBULL.DIST(AE$2,$M54,$L54,FALSE)*$U54*((1+Inputs!$D$7)^AE$2))),IF($N54=Lists!$K$3,IF($L54&lt;1,((($T54*(1-$F54)+$S54*(1-$G54))/$L54)*((1+Inputs!$D$7)^AE$2)),((INT(AE$2/$L54)-INT((AE$2-1)/$L54))*($T54*(1-$F54)+$S54*(1-$G54))*((1+Inputs!$D$7)^AE$2))),((_xlfn.WEIBULL.DIST(AE$2,$M54,$L54,FALSE)*($T54*(1-$F54)+$S54*(1-$G54))*((1+Inputs!$D$7)^AE$2))))))</f>
        <v>0</v>
      </c>
      <c r="AF54" s="88">
        <f>$E54*IF(AF$2&gt;Inputs!$D$5,0,IF(AF$2&gt;VLOOKUP($H54,Lists!$P$3:$Q$7,2),IF($N54=Lists!$K$3,IF($L54&lt;1,(($U54/$L54)*((1+Inputs!$D$7)^AF$2)),((INT(AF$2/$L54)-INT((AF$2-1)/$L54))*$U54*((1+Inputs!$D$7)^AF$2))),(_xlfn.WEIBULL.DIST(AF$2,$M54,$L54,FALSE)*$U54*((1+Inputs!$D$7)^AF$2))),IF($N54=Lists!$K$3,IF($L54&lt;1,((($T54*(1-$F54)+$S54*(1-$G54))/$L54)*((1+Inputs!$D$7)^AF$2)),((INT(AF$2/$L54)-INT((AF$2-1)/$L54))*($T54*(1-$F54)+$S54*(1-$G54))*((1+Inputs!$D$7)^AF$2))),((_xlfn.WEIBULL.DIST(AF$2,$M54,$L54,FALSE)*($T54*(1-$F54)+$S54*(1-$G54))*((1+Inputs!$D$7)^AF$2))))))</f>
        <v>0</v>
      </c>
      <c r="AG54" s="88">
        <f>$E54*IF(AG$2&gt;Inputs!$D$5,0,IF(AG$2&gt;VLOOKUP($H54,Lists!$P$3:$Q$7,2),IF($N54=Lists!$K$3,IF($L54&lt;1,(($U54/$L54)*((1+Inputs!$D$7)^AG$2)),((INT(AG$2/$L54)-INT((AG$2-1)/$L54))*$U54*((1+Inputs!$D$7)^AG$2))),(_xlfn.WEIBULL.DIST(AG$2,$M54,$L54,FALSE)*$U54*((1+Inputs!$D$7)^AG$2))),IF($N54=Lists!$K$3,IF($L54&lt;1,((($T54*(1-$F54)+$S54*(1-$G54))/$L54)*((1+Inputs!$D$7)^AG$2)),((INT(AG$2/$L54)-INT((AG$2-1)/$L54))*($T54*(1-$F54)+$S54*(1-$G54))*((1+Inputs!$D$7)^AG$2))),((_xlfn.WEIBULL.DIST(AG$2,$M54,$L54,FALSE)*($T54*(1-$F54)+$S54*(1-$G54))*((1+Inputs!$D$7)^AG$2))))))</f>
        <v>0</v>
      </c>
      <c r="AH54" s="88">
        <f>$E54*IF(AH$2&gt;Inputs!$D$5,0,IF(AH$2&gt;VLOOKUP($H54,Lists!$P$3:$Q$7,2),IF($N54=Lists!$K$3,IF($L54&lt;1,(($U54/$L54)*((1+Inputs!$D$7)^AH$2)),((INT(AH$2/$L54)-INT((AH$2-1)/$L54))*$U54*((1+Inputs!$D$7)^AH$2))),(_xlfn.WEIBULL.DIST(AH$2,$M54,$L54,FALSE)*$U54*((1+Inputs!$D$7)^AH$2))),IF($N54=Lists!$K$3,IF($L54&lt;1,((($T54*(1-$F54)+$S54*(1-$G54))/$L54)*((1+Inputs!$D$7)^AH$2)),((INT(AH$2/$L54)-INT((AH$2-1)/$L54))*($T54*(1-$F54)+$S54*(1-$G54))*((1+Inputs!$D$7)^AH$2))),((_xlfn.WEIBULL.DIST(AH$2,$M54,$L54,FALSE)*($T54*(1-$F54)+$S54*(1-$G54))*((1+Inputs!$D$7)^AH$2))))))</f>
        <v>0</v>
      </c>
      <c r="AI54" s="88">
        <f>$E54*IF(AI$2&gt;Inputs!$D$5,0,IF(AI$2&gt;VLOOKUP($H54,Lists!$P$3:$Q$7,2),IF($N54=Lists!$K$3,IF($L54&lt;1,(($U54/$L54)*((1+Inputs!$D$7)^AI$2)),((INT(AI$2/$L54)-INT((AI$2-1)/$L54))*$U54*((1+Inputs!$D$7)^AI$2))),(_xlfn.WEIBULL.DIST(AI$2,$M54,$L54,FALSE)*$U54*((1+Inputs!$D$7)^AI$2))),IF($N54=Lists!$K$3,IF($L54&lt;1,((($T54*(1-$F54)+$S54*(1-$G54))/$L54)*((1+Inputs!$D$7)^AI$2)),((INT(AI$2/$L54)-INT((AI$2-1)/$L54))*($T54*(1-$F54)+$S54*(1-$G54))*((1+Inputs!$D$7)^AI$2))),((_xlfn.WEIBULL.DIST(AI$2,$M54,$L54,FALSE)*($T54*(1-$F54)+$S54*(1-$G54))*((1+Inputs!$D$7)^AI$2))))))</f>
        <v>0</v>
      </c>
      <c r="AJ54" s="88">
        <f>$E54*IF(AJ$2&gt;Inputs!$D$5,0,IF(AJ$2&gt;VLOOKUP($H54,Lists!$P$3:$Q$7,2),IF($N54=Lists!$K$3,IF($L54&lt;1,(($U54/$L54)*((1+Inputs!$D$7)^AJ$2)),((INT(AJ$2/$L54)-INT((AJ$2-1)/$L54))*$U54*((1+Inputs!$D$7)^AJ$2))),(_xlfn.WEIBULL.DIST(AJ$2,$M54,$L54,FALSE)*$U54*((1+Inputs!$D$7)^AJ$2))),IF($N54=Lists!$K$3,IF($L54&lt;1,((($T54*(1-$F54)+$S54*(1-$G54))/$L54)*((1+Inputs!$D$7)^AJ$2)),((INT(AJ$2/$L54)-INT((AJ$2-1)/$L54))*($T54*(1-$F54)+$S54*(1-$G54))*((1+Inputs!$D$7)^AJ$2))),((_xlfn.WEIBULL.DIST(AJ$2,$M54,$L54,FALSE)*($T54*(1-$F54)+$S54*(1-$G54))*((1+Inputs!$D$7)^AJ$2))))))</f>
        <v>0</v>
      </c>
      <c r="AK54" s="88">
        <f>$E54*IF(AK$2&gt;Inputs!$D$5,0,IF(AK$2&gt;VLOOKUP($H54,Lists!$P$3:$Q$7,2),IF($N54=Lists!$K$3,IF($L54&lt;1,(($U54/$L54)*((1+Inputs!$D$7)^AK$2)),((INT(AK$2/$L54)-INT((AK$2-1)/$L54))*$U54*((1+Inputs!$D$7)^AK$2))),(_xlfn.WEIBULL.DIST(AK$2,$M54,$L54,FALSE)*$U54*((1+Inputs!$D$7)^AK$2))),IF($N54=Lists!$K$3,IF($L54&lt;1,((($T54*(1-$F54)+$S54*(1-$G54))/$L54)*((1+Inputs!$D$7)^AK$2)),((INT(AK$2/$L54)-INT((AK$2-1)/$L54))*($T54*(1-$F54)+$S54*(1-$G54))*((1+Inputs!$D$7)^AK$2))),((_xlfn.WEIBULL.DIST(AK$2,$M54,$L54,FALSE)*($T54*(1-$F54)+$S54*(1-$G54))*((1+Inputs!$D$7)^AK$2))))))</f>
        <v>0</v>
      </c>
      <c r="AL54" s="88">
        <f>$E54*IF(AL$2&gt;Inputs!$D$5,0,IF(AL$2&gt;VLOOKUP($H54,Lists!$P$3:$Q$7,2),IF($N54=Lists!$K$3,IF($L54&lt;1,(($U54/$L54)*((1+Inputs!$D$7)^AL$2)),((INT(AL$2/$L54)-INT((AL$2-1)/$L54))*$U54*((1+Inputs!$D$7)^AL$2))),(_xlfn.WEIBULL.DIST(AL$2,$M54,$L54,FALSE)*$U54*((1+Inputs!$D$7)^AL$2))),IF($N54=Lists!$K$3,IF($L54&lt;1,((($T54*(1-$F54)+$S54*(1-$G54))/$L54)*((1+Inputs!$D$7)^AL$2)),((INT(AL$2/$L54)-INT((AL$2-1)/$L54))*($T54*(1-$F54)+$S54*(1-$G54))*((1+Inputs!$D$7)^AL$2))),((_xlfn.WEIBULL.DIST(AL$2,$M54,$L54,FALSE)*($T54*(1-$F54)+$S54*(1-$G54))*((1+Inputs!$D$7)^AL$2))))))</f>
        <v>0</v>
      </c>
      <c r="AM54" s="88">
        <f>$E54*IF(AM$2&gt;Inputs!$D$5,0,IF(AM$2&gt;VLOOKUP($H54,Lists!$P$3:$Q$7,2),IF($N54=Lists!$K$3,IF($L54&lt;1,(($U54/$L54)*((1+Inputs!$D$7)^AM$2)),((INT(AM$2/$L54)-INT((AM$2-1)/$L54))*$U54*((1+Inputs!$D$7)^AM$2))),(_xlfn.WEIBULL.DIST(AM$2,$M54,$L54,FALSE)*$U54*((1+Inputs!$D$7)^AM$2))),IF($N54=Lists!$K$3,IF($L54&lt;1,((($T54*(1-$F54)+$S54*(1-$G54))/$L54)*((1+Inputs!$D$7)^AM$2)),((INT(AM$2/$L54)-INT((AM$2-1)/$L54))*($T54*(1-$F54)+$S54*(1-$G54))*((1+Inputs!$D$7)^AM$2))),((_xlfn.WEIBULL.DIST(AM$2,$M54,$L54,FALSE)*($T54*(1-$F54)+$S54*(1-$G54))*((1+Inputs!$D$7)^AM$2))))))</f>
        <v>0</v>
      </c>
      <c r="AN54" s="88">
        <f>$E54*IF(AN$2&gt;Inputs!$D$5,0,IF(AN$2&gt;VLOOKUP($H54,Lists!$P$3:$Q$7,2),IF($N54=Lists!$K$3,IF($L54&lt;1,(($U54/$L54)*((1+Inputs!$D$7)^AN$2)),((INT(AN$2/$L54)-INT((AN$2-1)/$L54))*$U54*((1+Inputs!$D$7)^AN$2))),(_xlfn.WEIBULL.DIST(AN$2,$M54,$L54,FALSE)*$U54*((1+Inputs!$D$7)^AN$2))),IF($N54=Lists!$K$3,IF($L54&lt;1,((($T54*(1-$F54)+$S54*(1-$G54))/$L54)*((1+Inputs!$D$7)^AN$2)),((INT(AN$2/$L54)-INT((AN$2-1)/$L54))*($T54*(1-$F54)+$S54*(1-$G54))*((1+Inputs!$D$7)^AN$2))),((_xlfn.WEIBULL.DIST(AN$2,$M54,$L54,FALSE)*($T54*(1-$F54)+$S54*(1-$G54))*((1+Inputs!$D$7)^AN$2))))))</f>
        <v>0</v>
      </c>
      <c r="AO54" s="88">
        <f>$E54*IF(AO$2&gt;Inputs!$D$5,0,IF(AO$2&gt;VLOOKUP($H54,Lists!$P$3:$Q$7,2),IF($N54=Lists!$K$3,IF($L54&lt;1,(($U54/$L54)*((1+Inputs!$D$7)^AO$2)),((INT(AO$2/$L54)-INT((AO$2-1)/$L54))*$U54*((1+Inputs!$D$7)^AO$2))),(_xlfn.WEIBULL.DIST(AO$2,$M54,$L54,FALSE)*$U54*((1+Inputs!$D$7)^AO$2))),IF($N54=Lists!$K$3,IF($L54&lt;1,((($T54*(1-$F54)+$S54*(1-$G54))/$L54)*((1+Inputs!$D$7)^AO$2)),((INT(AO$2/$L54)-INT((AO$2-1)/$L54))*($T54*(1-$F54)+$S54*(1-$G54))*((1+Inputs!$D$7)^AO$2))),((_xlfn.WEIBULL.DIST(AO$2,$M54,$L54,FALSE)*($T54*(1-$F54)+$S54*(1-$G54))*((1+Inputs!$D$7)^AO$2))))))</f>
        <v>0</v>
      </c>
      <c r="AP54" s="88">
        <f>$E54*IF(AP$2&gt;Inputs!$D$5,0,IF(AP$2&gt;VLOOKUP($H54,Lists!$P$3:$Q$7,2),IF($N54=Lists!$K$3,IF($L54&lt;1,(($U54/$L54)*((1+Inputs!$D$7)^AP$2)),((INT(AP$2/$L54)-INT((AP$2-1)/$L54))*$U54*((1+Inputs!$D$7)^AP$2))),(_xlfn.WEIBULL.DIST(AP$2,$M54,$L54,FALSE)*$U54*((1+Inputs!$D$7)^AP$2))),IF($N54=Lists!$K$3,IF($L54&lt;1,((($T54*(1-$F54)+$S54*(1-$G54))/$L54)*((1+Inputs!$D$7)^AP$2)),((INT(AP$2/$L54)-INT((AP$2-1)/$L54))*($T54*(1-$F54)+$S54*(1-$G54))*((1+Inputs!$D$7)^AP$2))),((_xlfn.WEIBULL.DIST(AP$2,$M54,$L54,FALSE)*($T54*(1-$F54)+$S54*(1-$G54))*((1+Inputs!$D$7)^AP$2))))))</f>
        <v>0</v>
      </c>
      <c r="AQ54" s="88">
        <f>$E54*IF(AQ$2&gt;Inputs!$D$5,0,IF(AQ$2&gt;VLOOKUP($H54,Lists!$P$3:$Q$7,2),IF($N54=Lists!$K$3,IF($L54&lt;1,(($U54/$L54)*((1+Inputs!$D$7)^AQ$2)),((INT(AQ$2/$L54)-INT((AQ$2-1)/$L54))*$U54*((1+Inputs!$D$7)^AQ$2))),(_xlfn.WEIBULL.DIST(AQ$2,$M54,$L54,FALSE)*$U54*((1+Inputs!$D$7)^AQ$2))),IF($N54=Lists!$K$3,IF($L54&lt;1,((($T54*(1-$F54)+$S54*(1-$G54))/$L54)*((1+Inputs!$D$7)^AQ$2)),((INT(AQ$2/$L54)-INT((AQ$2-1)/$L54))*($T54*(1-$F54)+$S54*(1-$G54))*((1+Inputs!$D$7)^AQ$2))),((_xlfn.WEIBULL.DIST(AQ$2,$M54,$L54,FALSE)*($T54*(1-$F54)+$S54*(1-$G54))*((1+Inputs!$D$7)^AQ$2))))))</f>
        <v>0</v>
      </c>
      <c r="AR54" s="88">
        <f>$E54*IF(AR$2&gt;Inputs!$D$5,0,IF(AR$2&gt;VLOOKUP($H54,Lists!$P$3:$Q$7,2),IF($N54=Lists!$K$3,IF($L54&lt;1,(($U54/$L54)*((1+Inputs!$D$7)^AR$2)),((INT(AR$2/$L54)-INT((AR$2-1)/$L54))*$U54*((1+Inputs!$D$7)^AR$2))),(_xlfn.WEIBULL.DIST(AR$2,$M54,$L54,FALSE)*$U54*((1+Inputs!$D$7)^AR$2))),IF($N54=Lists!$K$3,IF($L54&lt;1,((($T54*(1-$F54)+$S54*(1-$G54))/$L54)*((1+Inputs!$D$7)^AR$2)),((INT(AR$2/$L54)-INT((AR$2-1)/$L54))*($T54*(1-$F54)+$S54*(1-$G54))*((1+Inputs!$D$7)^AR$2))),((_xlfn.WEIBULL.DIST(AR$2,$M54,$L54,FALSE)*($T54*(1-$F54)+$S54*(1-$G54))*((1+Inputs!$D$7)^AR$2))))))</f>
        <v>0</v>
      </c>
      <c r="AS54" s="88">
        <f>$E54*IF(AS$2&gt;Inputs!$D$5,0,IF(AS$2&gt;VLOOKUP($H54,Lists!$P$3:$Q$7,2),IF($N54=Lists!$K$3,IF($L54&lt;1,(($U54/$L54)*((1+Inputs!$D$7)^AS$2)),((INT(AS$2/$L54)-INT((AS$2-1)/$L54))*$U54*((1+Inputs!$D$7)^AS$2))),(_xlfn.WEIBULL.DIST(AS$2,$M54,$L54,FALSE)*$U54*((1+Inputs!$D$7)^AS$2))),IF($N54=Lists!$K$3,IF($L54&lt;1,((($T54*(1-$F54)+$S54*(1-$G54))/$L54)*((1+Inputs!$D$7)^AS$2)),((INT(AS$2/$L54)-INT((AS$2-1)/$L54))*($T54*(1-$F54)+$S54*(1-$G54))*((1+Inputs!$D$7)^AS$2))),((_xlfn.WEIBULL.DIST(AS$2,$M54,$L54,FALSE)*($T54*(1-$F54)+$S54*(1-$G54))*((1+Inputs!$D$7)^AS$2))))))</f>
        <v>0</v>
      </c>
      <c r="AT54" s="88">
        <f>$E54*IF(AT$2&gt;Inputs!$D$5,0,IF(AT$2&gt;VLOOKUP($H54,Lists!$P$3:$Q$7,2),IF($N54=Lists!$K$3,IF($L54&lt;1,(($U54/$L54)*((1+Inputs!$D$7)^AT$2)),((INT(AT$2/$L54)-INT((AT$2-1)/$L54))*$U54*((1+Inputs!$D$7)^AT$2))),(_xlfn.WEIBULL.DIST(AT$2,$M54,$L54,FALSE)*$U54*((1+Inputs!$D$7)^AT$2))),IF($N54=Lists!$K$3,IF($L54&lt;1,((($T54*(1-$F54)+$S54*(1-$G54))/$L54)*((1+Inputs!$D$7)^AT$2)),((INT(AT$2/$L54)-INT((AT$2-1)/$L54))*($T54*(1-$F54)+$S54*(1-$G54))*((1+Inputs!$D$7)^AT$2))),((_xlfn.WEIBULL.DIST(AT$2,$M54,$L54,FALSE)*($T54*(1-$F54)+$S54*(1-$G54))*((1+Inputs!$D$7)^AT$2))))))</f>
        <v>0</v>
      </c>
      <c r="AU54" s="88">
        <f>$E54*IF(AU$2&gt;Inputs!$D$5,0,IF(AU$2&gt;VLOOKUP($H54,Lists!$P$3:$Q$7,2),IF($N54=Lists!$K$3,IF($L54&lt;1,(($U54/$L54)*((1+Inputs!$D$7)^AU$2)),((INT(AU$2/$L54)-INT((AU$2-1)/$L54))*$U54*((1+Inputs!$D$7)^AU$2))),(_xlfn.WEIBULL.DIST(AU$2,$M54,$L54,FALSE)*$U54*((1+Inputs!$D$7)^AU$2))),IF($N54=Lists!$K$3,IF($L54&lt;1,((($T54*(1-$F54)+$S54*(1-$G54))/$L54)*((1+Inputs!$D$7)^AU$2)),((INT(AU$2/$L54)-INT((AU$2-1)/$L54))*($T54*(1-$F54)+$S54*(1-$G54))*((1+Inputs!$D$7)^AU$2))),((_xlfn.WEIBULL.DIST(AU$2,$M54,$L54,FALSE)*($T54*(1-$F54)+$S54*(1-$G54))*((1+Inputs!$D$7)^AU$2))))))</f>
        <v>0</v>
      </c>
      <c r="AV54" s="88">
        <f>$E54*IF(AV$2&gt;Inputs!$D$5,0,IF(AV$2&gt;VLOOKUP($H54,Lists!$P$3:$Q$7,2),IF($N54=Lists!$K$3,IF($L54&lt;1,(($U54/$L54)*((1+Inputs!$D$7)^AV$2)),((INT(AV$2/$L54)-INT((AV$2-1)/$L54))*$U54*((1+Inputs!$D$7)^AV$2))),(_xlfn.WEIBULL.DIST(AV$2,$M54,$L54,FALSE)*$U54*((1+Inputs!$D$7)^AV$2))),IF($N54=Lists!$K$3,IF($L54&lt;1,((($T54*(1-$F54)+$S54*(1-$G54))/$L54)*((1+Inputs!$D$7)^AV$2)),((INT(AV$2/$L54)-INT((AV$2-1)/$L54))*($T54*(1-$F54)+$S54*(1-$G54))*((1+Inputs!$D$7)^AV$2))),((_xlfn.WEIBULL.DIST(AV$2,$M54,$L54,FALSE)*($T54*(1-$F54)+$S54*(1-$G54))*((1+Inputs!$D$7)^AV$2))))))</f>
        <v>0</v>
      </c>
      <c r="AW54" s="88">
        <f>$E54*IF(AW$2&gt;Inputs!$D$5,0,IF(AW$2&gt;VLOOKUP($H54,Lists!$P$3:$Q$7,2),IF($N54=Lists!$K$3,IF($L54&lt;1,(($U54/$L54)*((1+Inputs!$D$7)^AW$2)),((INT(AW$2/$L54)-INT((AW$2-1)/$L54))*$U54*((1+Inputs!$D$7)^AW$2))),(_xlfn.WEIBULL.DIST(AW$2,$M54,$L54,FALSE)*$U54*((1+Inputs!$D$7)^AW$2))),IF($N54=Lists!$K$3,IF($L54&lt;1,((($T54*(1-$F54)+$S54*(1-$G54))/$L54)*((1+Inputs!$D$7)^AW$2)),((INT(AW$2/$L54)-INT((AW$2-1)/$L54))*($T54*(1-$F54)+$S54*(1-$G54))*((1+Inputs!$D$7)^AW$2))),((_xlfn.WEIBULL.DIST(AW$2,$M54,$L54,FALSE)*($T54*(1-$F54)+$S54*(1-$G54))*((1+Inputs!$D$7)^AW$2))))))</f>
        <v>0</v>
      </c>
      <c r="AX54" s="88">
        <f>$E54*IF(AX$2&gt;Inputs!$D$5,0,IF(AX$2&gt;VLOOKUP($H54,Lists!$P$3:$Q$7,2),IF($N54=Lists!$K$3,IF($L54&lt;1,(($U54/$L54)*((1+Inputs!$D$7)^AX$2)),((INT(AX$2/$L54)-INT((AX$2-1)/$L54))*$U54*((1+Inputs!$D$7)^AX$2))),(_xlfn.WEIBULL.DIST(AX$2,$M54,$L54,FALSE)*$U54*((1+Inputs!$D$7)^AX$2))),IF($N54=Lists!$K$3,IF($L54&lt;1,((($T54*(1-$F54)+$S54*(1-$G54))/$L54)*((1+Inputs!$D$7)^AX$2)),((INT(AX$2/$L54)-INT((AX$2-1)/$L54))*($T54*(1-$F54)+$S54*(1-$G54))*((1+Inputs!$D$7)^AX$2))),((_xlfn.WEIBULL.DIST(AX$2,$M54,$L54,FALSE)*($T54*(1-$F54)+$S54*(1-$G54))*((1+Inputs!$D$7)^AX$2))))))</f>
        <v>0</v>
      </c>
      <c r="AY54" s="88">
        <f>$E54*IF(AY$2&gt;Inputs!$D$5,0,IF(AY$2&gt;VLOOKUP($H54,Lists!$P$3:$Q$7,2),IF($N54=Lists!$K$3,IF($L54&lt;1,(($U54/$L54)*((1+Inputs!$D$7)^AY$2)),((INT(AY$2/$L54)-INT((AY$2-1)/$L54))*$U54*((1+Inputs!$D$7)^AY$2))),(_xlfn.WEIBULL.DIST(AY$2,$M54,$L54,FALSE)*$U54*((1+Inputs!$D$7)^AY$2))),IF($N54=Lists!$K$3,IF($L54&lt;1,((($T54*(1-$F54)+$S54*(1-$G54))/$L54)*((1+Inputs!$D$7)^AY$2)),((INT(AY$2/$L54)-INT((AY$2-1)/$L54))*($T54*(1-$F54)+$S54*(1-$G54))*((1+Inputs!$D$7)^AY$2))),((_xlfn.WEIBULL.DIST(AY$2,$M54,$L54,FALSE)*($T54*(1-$F54)+$S54*(1-$G54))*((1+Inputs!$D$7)^AY$2))))))</f>
        <v>0</v>
      </c>
      <c r="AZ54" s="88">
        <f>$E54*IF(AZ$2&gt;Inputs!$D$5,0,IF(AZ$2&gt;VLOOKUP($H54,Lists!$P$3:$Q$7,2),IF($N54=Lists!$K$3,IF($L54&lt;1,(($U54/$L54)*((1+Inputs!$D$7)^AZ$2)),((INT(AZ$2/$L54)-INT((AZ$2-1)/$L54))*$U54*((1+Inputs!$D$7)^AZ$2))),(_xlfn.WEIBULL.DIST(AZ$2,$M54,$L54,FALSE)*$U54*((1+Inputs!$D$7)^AZ$2))),IF($N54=Lists!$K$3,IF($L54&lt;1,((($T54*(1-$F54)+$S54*(1-$G54))/$L54)*((1+Inputs!$D$7)^AZ$2)),((INT(AZ$2/$L54)-INT((AZ$2-1)/$L54))*($T54*(1-$F54)+$S54*(1-$G54))*((1+Inputs!$D$7)^AZ$2))),((_xlfn.WEIBULL.DIST(AZ$2,$M54,$L54,FALSE)*($T54*(1-$F54)+$S54*(1-$G54))*((1+Inputs!$D$7)^AZ$2))))))</f>
        <v>0</v>
      </c>
      <c r="BA54" s="88">
        <f>$E54*IF(BA$2&gt;Inputs!$D$5,0,IF(BA$2&gt;VLOOKUP($H54,Lists!$P$3:$Q$7,2),IF($N54=Lists!$K$3,IF($L54&lt;1,(($U54/$L54)*((1+Inputs!$D$7)^BA$2)),((INT(BA$2/$L54)-INT((BA$2-1)/$L54))*$U54*((1+Inputs!$D$7)^BA$2))),(_xlfn.WEIBULL.DIST(BA$2,$M54,$L54,FALSE)*$U54*((1+Inputs!$D$7)^BA$2))),IF($N54=Lists!$K$3,IF($L54&lt;1,((($T54*(1-$F54)+$S54*(1-$G54))/$L54)*((1+Inputs!$D$7)^BA$2)),((INT(BA$2/$L54)-INT((BA$2-1)/$L54))*($T54*(1-$F54)+$S54*(1-$G54))*((1+Inputs!$D$7)^BA$2))),((_xlfn.WEIBULL.DIST(BA$2,$M54,$L54,FALSE)*($T54*(1-$F54)+$S54*(1-$G54))*((1+Inputs!$D$7)^BA$2))))))</f>
        <v>0</v>
      </c>
      <c r="BB54" s="88">
        <f>$E54*IF(BB$2&gt;Inputs!$D$5,0,IF(BB$2&gt;VLOOKUP($H54,Lists!$P$3:$Q$7,2),IF($N54=Lists!$K$3,IF($L54&lt;1,(($U54/$L54)*((1+Inputs!$D$7)^BB$2)),((INT(BB$2/$L54)-INT((BB$2-1)/$L54))*$U54*((1+Inputs!$D$7)^BB$2))),(_xlfn.WEIBULL.DIST(BB$2,$M54,$L54,FALSE)*$U54*((1+Inputs!$D$7)^BB$2))),IF($N54=Lists!$K$3,IF($L54&lt;1,((($T54*(1-$F54)+$S54*(1-$G54))/$L54)*((1+Inputs!$D$7)^BB$2)),((INT(BB$2/$L54)-INT((BB$2-1)/$L54))*($T54*(1-$F54)+$S54*(1-$G54))*((1+Inputs!$D$7)^BB$2))),((_xlfn.WEIBULL.DIST(BB$2,$M54,$L54,FALSE)*($T54*(1-$F54)+$S54*(1-$G54))*((1+Inputs!$D$7)^BB$2))))))</f>
        <v>0</v>
      </c>
      <c r="BC54" s="88">
        <f>$E54*IF(BC$2&gt;Inputs!$D$5,0,IF(BC$2&gt;VLOOKUP($H54,Lists!$P$3:$Q$7,2),IF($N54=Lists!$K$3,IF($L54&lt;1,(($U54/$L54)*((1+Inputs!$D$7)^BC$2)),((INT(BC$2/$L54)-INT((BC$2-1)/$L54))*$U54*((1+Inputs!$D$7)^BC$2))),(_xlfn.WEIBULL.DIST(BC$2,$M54,$L54,FALSE)*$U54*((1+Inputs!$D$7)^BC$2))),IF($N54=Lists!$K$3,IF($L54&lt;1,((($T54*(1-$F54)+$S54*(1-$G54))/$L54)*((1+Inputs!$D$7)^BC$2)),((INT(BC$2/$L54)-INT((BC$2-1)/$L54))*($T54*(1-$F54)+$S54*(1-$G54))*((1+Inputs!$D$7)^BC$2))),((_xlfn.WEIBULL.DIST(BC$2,$M54,$L54,FALSE)*($T54*(1-$F54)+$S54*(1-$G54))*((1+Inputs!$D$7)^BC$2))))))</f>
        <v>0</v>
      </c>
      <c r="BD54" s="88">
        <f>$E54*IF(BD$2&gt;Inputs!$D$5,0,IF(BD$2&gt;VLOOKUP($H54,Lists!$P$3:$Q$7,2),IF($N54=Lists!$K$3,IF($L54&lt;1,(($U54/$L54)*((1+Inputs!$D$7)^BD$2)),((INT(BD$2/$L54)-INT((BD$2-1)/$L54))*$U54*((1+Inputs!$D$7)^BD$2))),(_xlfn.WEIBULL.DIST(BD$2,$M54,$L54,FALSE)*$U54*((1+Inputs!$D$7)^BD$2))),IF($N54=Lists!$K$3,IF($L54&lt;1,((($T54*(1-$F54)+$S54*(1-$G54))/$L54)*((1+Inputs!$D$7)^BD$2)),((INT(BD$2/$L54)-INT((BD$2-1)/$L54))*($T54*(1-$F54)+$S54*(1-$G54))*((1+Inputs!$D$7)^BD$2))),((_xlfn.WEIBULL.DIST(BD$2,$M54,$L54,FALSE)*($T54*(1-$F54)+$S54*(1-$G54))*((1+Inputs!$D$7)^BD$2))))))</f>
        <v>0</v>
      </c>
      <c r="BE54" s="88">
        <f>$E54*IF(BE$2&gt;Inputs!$D$5,0,IF(BE$2&gt;VLOOKUP($H54,Lists!$P$3:$Q$7,2),IF($N54=Lists!$K$3,IF($L54&lt;1,(($U54/$L54)*((1+Inputs!$D$7)^BE$2)),((INT(BE$2/$L54)-INT((BE$2-1)/$L54))*$U54*((1+Inputs!$D$7)^BE$2))),(_xlfn.WEIBULL.DIST(BE$2,$M54,$L54,FALSE)*$U54*((1+Inputs!$D$7)^BE$2))),IF($N54=Lists!$K$3,IF($L54&lt;1,((($T54*(1-$F54)+$S54*(1-$G54))/$L54)*((1+Inputs!$D$7)^BE$2)),((INT(BE$2/$L54)-INT((BE$2-1)/$L54))*($T54*(1-$F54)+$S54*(1-$G54))*((1+Inputs!$D$7)^BE$2))),((_xlfn.WEIBULL.DIST(BE$2,$M54,$L54,FALSE)*($T54*(1-$F54)+$S54*(1-$G54))*((1+Inputs!$D$7)^BE$2))))))</f>
        <v>0</v>
      </c>
      <c r="BF54" s="88">
        <f>$E54*IF(BF$2&gt;Inputs!$D$5,0,IF(BF$2&gt;VLOOKUP($H54,Lists!$P$3:$Q$7,2),IF($N54=Lists!$K$3,IF($L54&lt;1,(($U54/$L54)*((1+Inputs!$D$7)^BF$2)),((INT(BF$2/$L54)-INT((BF$2-1)/$L54))*$U54*((1+Inputs!$D$7)^BF$2))),(_xlfn.WEIBULL.DIST(BF$2,$M54,$L54,FALSE)*$U54*((1+Inputs!$D$7)^BF$2))),IF($N54=Lists!$K$3,IF($L54&lt;1,((($T54*(1-$F54)+$S54*(1-$G54))/$L54)*((1+Inputs!$D$7)^BF$2)),((INT(BF$2/$L54)-INT((BF$2-1)/$L54))*($T54*(1-$F54)+$S54*(1-$G54))*((1+Inputs!$D$7)^BF$2))),((_xlfn.WEIBULL.DIST(BF$2,$M54,$L54,FALSE)*($T54*(1-$F54)+$S54*(1-$G54))*((1+Inputs!$D$7)^BF$2))))))</f>
        <v>0</v>
      </c>
      <c r="BG54" s="88">
        <f>$E54*IF(BG$2&gt;Inputs!$D$5,0,IF(BG$2&gt;VLOOKUP($H54,Lists!$P$3:$Q$7,2),IF($N54=Lists!$K$3,IF($L54&lt;1,(($U54/$L54)*((1+Inputs!$D$7)^BG$2)),((INT(BG$2/$L54)-INT((BG$2-1)/$L54))*$U54*((1+Inputs!$D$7)^BG$2))),(_xlfn.WEIBULL.DIST(BG$2,$M54,$L54,FALSE)*$U54*((1+Inputs!$D$7)^BG$2))),IF($N54=Lists!$K$3,IF($L54&lt;1,((($T54*(1-$F54)+$S54*(1-$G54))/$L54)*((1+Inputs!$D$7)^BG$2)),((INT(BG$2/$L54)-INT((BG$2-1)/$L54))*($T54*(1-$F54)+$S54*(1-$G54))*((1+Inputs!$D$7)^BG$2))),((_xlfn.WEIBULL.DIST(BG$2,$M54,$L54,FALSE)*($T54*(1-$F54)+$S54*(1-$G54))*((1+Inputs!$D$7)^BG$2))))))</f>
        <v>0</v>
      </c>
      <c r="BH54" s="88">
        <f>$E54*IF(BH$2&gt;Inputs!$D$5,0,IF(BH$2&gt;VLOOKUP($H54,Lists!$P$3:$Q$7,2),IF($N54=Lists!$K$3,IF($L54&lt;1,(($U54/$L54)*((1+Inputs!$D$7)^BH$2)),((INT(BH$2/$L54)-INT((BH$2-1)/$L54))*$U54*((1+Inputs!$D$7)^BH$2))),(_xlfn.WEIBULL.DIST(BH$2,$M54,$L54,FALSE)*$U54*((1+Inputs!$D$7)^BH$2))),IF($N54=Lists!$K$3,IF($L54&lt;1,((($T54*(1-$F54)+$S54*(1-$G54))/$L54)*((1+Inputs!$D$7)^BH$2)),((INT(BH$2/$L54)-INT((BH$2-1)/$L54))*($T54*(1-$F54)+$S54*(1-$G54))*((1+Inputs!$D$7)^BH$2))),((_xlfn.WEIBULL.DIST(BH$2,$M54,$L54,FALSE)*($T54*(1-$F54)+$S54*(1-$G54))*((1+Inputs!$D$7)^BH$2))))))</f>
        <v>0</v>
      </c>
      <c r="BI54" s="88">
        <f>$E54*IF(BI$2&gt;Inputs!$D$5,0,IF(BI$2&gt;VLOOKUP($H54,Lists!$P$3:$Q$7,2),IF($N54=Lists!$K$3,IF($L54&lt;1,(($U54/$L54)*((1+Inputs!$D$7)^BI$2)),((INT(BI$2/$L54)-INT((BI$2-1)/$L54))*$U54*((1+Inputs!$D$7)^BI$2))),(_xlfn.WEIBULL.DIST(BI$2,$M54,$L54,FALSE)*$U54*((1+Inputs!$D$7)^BI$2))),IF($N54=Lists!$K$3,IF($L54&lt;1,((($T54*(1-$F54)+$S54*(1-$G54))/$L54)*((1+Inputs!$D$7)^BI$2)),((INT(BI$2/$L54)-INT((BI$2-1)/$L54))*($T54*(1-$F54)+$S54*(1-$G54))*((1+Inputs!$D$7)^BI$2))),((_xlfn.WEIBULL.DIST(BI$2,$M54,$L54,FALSE)*($T54*(1-$F54)+$S54*(1-$G54))*((1+Inputs!$D$7)^BI$2))))))</f>
        <v>0</v>
      </c>
      <c r="BJ54" s="88">
        <f>$E54*IF(BJ$2&gt;Inputs!$D$5,0,IF(BJ$2&gt;VLOOKUP($H54,Lists!$P$3:$Q$7,2),IF($N54=Lists!$K$3,IF($L54&lt;1,(($U54/$L54)*((1+Inputs!$D$7)^BJ$2)),((INT(BJ$2/$L54)-INT((BJ$2-1)/$L54))*$U54*((1+Inputs!$D$7)^BJ$2))),(_xlfn.WEIBULL.DIST(BJ$2,$M54,$L54,FALSE)*$U54*((1+Inputs!$D$7)^BJ$2))),IF($N54=Lists!$K$3,IF($L54&lt;1,((($T54*(1-$F54)+$S54*(1-$G54))/$L54)*((1+Inputs!$D$7)^BJ$2)),((INT(BJ$2/$L54)-INT((BJ$2-1)/$L54))*($T54*(1-$F54)+$S54*(1-$G54))*((1+Inputs!$D$7)^BJ$2))),((_xlfn.WEIBULL.DIST(BJ$2,$M54,$L54,FALSE)*($T54*(1-$F54)+$S54*(1-$G54))*((1+Inputs!$D$7)^BJ$2))))))</f>
        <v>0</v>
      </c>
      <c r="BK54" s="88">
        <f>$E54*IF(BK$2&gt;Inputs!$D$5,0,IF(BK$2&gt;VLOOKUP($H54,Lists!$P$3:$Q$7,2),IF($N54=Lists!$K$3,IF($L54&lt;1,(($U54/$L54)*((1+Inputs!$D$7)^BK$2)),((INT(BK$2/$L54)-INT((BK$2-1)/$L54))*$U54*((1+Inputs!$D$7)^BK$2))),(_xlfn.WEIBULL.DIST(BK$2,$M54,$L54,FALSE)*$U54*((1+Inputs!$D$7)^BK$2))),IF($N54=Lists!$K$3,IF($L54&lt;1,((($T54*(1-$F54)+$S54*(1-$G54))/$L54)*((1+Inputs!$D$7)^BK$2)),((INT(BK$2/$L54)-INT((BK$2-1)/$L54))*($T54*(1-$F54)+$S54*(1-$G54))*((1+Inputs!$D$7)^BK$2))),((_xlfn.WEIBULL.DIST(BK$2,$M54,$L54,FALSE)*($T54*(1-$F54)+$S54*(1-$G54))*((1+Inputs!$D$7)^BK$2))))))</f>
        <v>0</v>
      </c>
      <c r="BL54" s="88">
        <f>$E54*IF(BL$2&gt;Inputs!$D$5,0,IF(BL$2&gt;VLOOKUP($H54,Lists!$P$3:$Q$7,2),IF($N54=Lists!$K$3,IF($L54&lt;1,(($U54/$L54)*((1+Inputs!$D$7)^BL$2)),((INT(BL$2/$L54)-INT((BL$2-1)/$L54))*$U54*((1+Inputs!$D$7)^BL$2))),(_xlfn.WEIBULL.DIST(BL$2,$M54,$L54,FALSE)*$U54*((1+Inputs!$D$7)^BL$2))),IF($N54=Lists!$K$3,IF($L54&lt;1,((($T54*(1-$F54)+$S54*(1-$G54))/$L54)*((1+Inputs!$D$7)^BL$2)),((INT(BL$2/$L54)-INT((BL$2-1)/$L54))*($T54*(1-$F54)+$S54*(1-$G54))*((1+Inputs!$D$7)^BL$2))),((_xlfn.WEIBULL.DIST(BL$2,$M54,$L54,FALSE)*($T54*(1-$F54)+$S54*(1-$G54))*((1+Inputs!$D$7)^BL$2))))))</f>
        <v>0</v>
      </c>
      <c r="BM54" s="88">
        <f>$E54*IF(BM$2&gt;Inputs!$D$5,0,IF(BM$2&gt;VLOOKUP($H54,Lists!$P$3:$Q$7,2),IF($N54=Lists!$K$3,IF($L54&lt;1,(($U54/$L54)*((1+Inputs!$D$7)^BM$2)),((INT(BM$2/$L54)-INT((BM$2-1)/$L54))*$U54*((1+Inputs!$D$7)^BM$2))),(_xlfn.WEIBULL.DIST(BM$2,$M54,$L54,FALSE)*$U54*((1+Inputs!$D$7)^BM$2))),IF($N54=Lists!$K$3,IF($L54&lt;1,((($T54*(1-$F54)+$S54*(1-$G54))/$L54)*((1+Inputs!$D$7)^BM$2)),((INT(BM$2/$L54)-INT((BM$2-1)/$L54))*($T54*(1-$F54)+$S54*(1-$G54))*((1+Inputs!$D$7)^BM$2))),((_xlfn.WEIBULL.DIST(BM$2,$M54,$L54,FALSE)*($T54*(1-$F54)+$S54*(1-$G54))*((1+Inputs!$D$7)^BM$2))))))</f>
        <v>0</v>
      </c>
      <c r="BN54" s="88">
        <f>$E54*IF(BN$2&gt;Inputs!$D$5,0,IF(BN$2&gt;VLOOKUP($H54,Lists!$P$3:$Q$7,2),IF($N54=Lists!$K$3,IF($L54&lt;1,(($U54/$L54)*((1+Inputs!$D$7)^BN$2)),((INT(BN$2/$L54)-INT((BN$2-1)/$L54))*$U54*((1+Inputs!$D$7)^BN$2))),(_xlfn.WEIBULL.DIST(BN$2,$M54,$L54,FALSE)*$U54*((1+Inputs!$D$7)^BN$2))),IF($N54=Lists!$K$3,IF($L54&lt;1,((($T54*(1-$F54)+$S54*(1-$G54))/$L54)*((1+Inputs!$D$7)^BN$2)),((INT(BN$2/$L54)-INT((BN$2-1)/$L54))*($T54*(1-$F54)+$S54*(1-$G54))*((1+Inputs!$D$7)^BN$2))),((_xlfn.WEIBULL.DIST(BN$2,$M54,$L54,FALSE)*($T54*(1-$F54)+$S54*(1-$G54))*((1+Inputs!$D$7)^BN$2))))))</f>
        <v>0</v>
      </c>
      <c r="BO54" s="64">
        <f>NPV(Inputs!$D$6,BQ54:DD54)</f>
        <v>0</v>
      </c>
      <c r="BP54" s="67">
        <f t="shared" si="13"/>
        <v>0</v>
      </c>
      <c r="BQ54" s="88">
        <f>MAX(AA54,($E54*IF(BQ$2&gt;Inputs!$D$5,0,IF(BQ$2&gt;VLOOKUP($H54,Lists!$P$3:$Q$7,2),IF($N54=Lists!$K$3,IF($L54&lt;1,(($U54/$L54)*((1+Inputs!$D$7)^BQ$2)),((INT(BQ$2/$L54)-INT((BQ$2-1)/$L54))*$U54*((1+Inputs!$D$7)^BQ$2))),(Inputs!$D$8^((1-_xlfn.WEIBULL.DIST(BQ$2,$M54,$L54,FALSE))/_xlfn.WEIBULL.DIST(BQ$2,$M54,$L54,FALSE))*$U54*((1+Inputs!$D$7)^BQ$2))),IF($N54=Lists!$K$3,IF($L54&lt;1,((($T54*(1-$F54)+$S54*(1-$G54))/$L54)*((1+Inputs!$D$7)^BQ$2)),((INT(BQ$2/$L54)-INT((BQ$2-1)/$L54))*($T54*(1-$F54)+$S54*(1-$G54))*((1+Inputs!$D$7)^BQ$2))),((Inputs!$D$8^((1-_xlfn.WEIBULL.DIST(BQ$2,$M54,$L54,FALSE))/_xlfn.WEIBULL.DIST(BQ$2,$M54,$L54,FALSE))*($T54*(1-$F54)+$S54*(1-$G54))*((1+Inputs!$D$7)^BQ$2))))))))</f>
        <v>0</v>
      </c>
      <c r="BR54" s="88">
        <f>MAX(AB54,($E54*IF(BR$2&gt;Inputs!$D$5,0,IF(BR$2&gt;VLOOKUP($H54,Lists!$P$3:$Q$7,2),IF($N54=Lists!$K$3,IF($L54&lt;1,(($U54/$L54)*((1+Inputs!$D$7)^BR$2)),((INT(BR$2/$L54)-INT((BR$2-1)/$L54))*$U54*((1+Inputs!$D$7)^BR$2))),(Inputs!$D$8^((1-_xlfn.WEIBULL.DIST(BR$2,$M54,$L54,FALSE))/_xlfn.WEIBULL.DIST(BR$2,$M54,$L54,FALSE))*$U54*((1+Inputs!$D$7)^BR$2))),IF($N54=Lists!$K$3,IF($L54&lt;1,((($T54*(1-$F54)+$S54*(1-$G54))/$L54)*((1+Inputs!$D$7)^BR$2)),((INT(BR$2/$L54)-INT((BR$2-1)/$L54))*($T54*(1-$F54)+$S54*(1-$G54))*((1+Inputs!$D$7)^BR$2))),((Inputs!$D$8^((1-_xlfn.WEIBULL.DIST(BR$2,$M54,$L54,FALSE))/_xlfn.WEIBULL.DIST(BR$2,$M54,$L54,FALSE))*($T54*(1-$F54)+$S54*(1-$G54))*((1+Inputs!$D$7)^BR$2))))))))</f>
        <v>0</v>
      </c>
      <c r="BS54" s="88">
        <f>MAX(AC54,($E54*IF(BS$2&gt;Inputs!$D$5,0,IF(BS$2&gt;VLOOKUP($H54,Lists!$P$3:$Q$7,2),IF($N54=Lists!$K$3,IF($L54&lt;1,(($U54/$L54)*((1+Inputs!$D$7)^BS$2)),((INT(BS$2/$L54)-INT((BS$2-1)/$L54))*$U54*((1+Inputs!$D$7)^BS$2))),(Inputs!$D$8^((1-_xlfn.WEIBULL.DIST(BS$2,$M54,$L54,FALSE))/_xlfn.WEIBULL.DIST(BS$2,$M54,$L54,FALSE))*$U54*((1+Inputs!$D$7)^BS$2))),IF($N54=Lists!$K$3,IF($L54&lt;1,((($T54*(1-$F54)+$S54*(1-$G54))/$L54)*((1+Inputs!$D$7)^BS$2)),((INT(BS$2/$L54)-INT((BS$2-1)/$L54))*($T54*(1-$F54)+$S54*(1-$G54))*((1+Inputs!$D$7)^BS$2))),((Inputs!$D$8^((1-_xlfn.WEIBULL.DIST(BS$2,$M54,$L54,FALSE))/_xlfn.WEIBULL.DIST(BS$2,$M54,$L54,FALSE))*($T54*(1-$F54)+$S54*(1-$G54))*((1+Inputs!$D$7)^BS$2))))))))</f>
        <v>0</v>
      </c>
      <c r="BT54" s="88">
        <f>MAX(AD54,($E54*IF(BT$2&gt;Inputs!$D$5,0,IF(BT$2&gt;VLOOKUP($H54,Lists!$P$3:$Q$7,2),IF($N54=Lists!$K$3,IF($L54&lt;1,(($U54/$L54)*((1+Inputs!$D$7)^BT$2)),((INT(BT$2/$L54)-INT((BT$2-1)/$L54))*$U54*((1+Inputs!$D$7)^BT$2))),(Inputs!$D$8^((1-_xlfn.WEIBULL.DIST(BT$2,$M54,$L54,FALSE))/_xlfn.WEIBULL.DIST(BT$2,$M54,$L54,FALSE))*$U54*((1+Inputs!$D$7)^BT$2))),IF($N54=Lists!$K$3,IF($L54&lt;1,((($T54*(1-$F54)+$S54*(1-$G54))/$L54)*((1+Inputs!$D$7)^BT$2)),((INT(BT$2/$L54)-INT((BT$2-1)/$L54))*($T54*(1-$F54)+$S54*(1-$G54))*((1+Inputs!$D$7)^BT$2))),((Inputs!$D$8^((1-_xlfn.WEIBULL.DIST(BT$2,$M54,$L54,FALSE))/_xlfn.WEIBULL.DIST(BT$2,$M54,$L54,FALSE))*($T54*(1-$F54)+$S54*(1-$G54))*((1+Inputs!$D$7)^BT$2))))))))</f>
        <v>0</v>
      </c>
      <c r="BU54" s="88">
        <f>MAX(AE54,($E54*IF(BU$2&gt;Inputs!$D$5,0,IF(BU$2&gt;VLOOKUP($H54,Lists!$P$3:$Q$7,2),IF($N54=Lists!$K$3,IF($L54&lt;1,(($U54/$L54)*((1+Inputs!$D$7)^BU$2)),((INT(BU$2/$L54)-INT((BU$2-1)/$L54))*$U54*((1+Inputs!$D$7)^BU$2))),(Inputs!$D$8^((1-_xlfn.WEIBULL.DIST(BU$2,$M54,$L54,FALSE))/_xlfn.WEIBULL.DIST(BU$2,$M54,$L54,FALSE))*$U54*((1+Inputs!$D$7)^BU$2))),IF($N54=Lists!$K$3,IF($L54&lt;1,((($T54*(1-$F54)+$S54*(1-$G54))/$L54)*((1+Inputs!$D$7)^BU$2)),((INT(BU$2/$L54)-INT((BU$2-1)/$L54))*($T54*(1-$F54)+$S54*(1-$G54))*((1+Inputs!$D$7)^BU$2))),((Inputs!$D$8^((1-_xlfn.WEIBULL.DIST(BU$2,$M54,$L54,FALSE))/_xlfn.WEIBULL.DIST(BU$2,$M54,$L54,FALSE))*($T54*(1-$F54)+$S54*(1-$G54))*((1+Inputs!$D$7)^BU$2))))))))</f>
        <v>0</v>
      </c>
      <c r="BV54" s="88">
        <f>MAX(AF54,($E54*IF(BV$2&gt;Inputs!$D$5,0,IF(BV$2&gt;VLOOKUP($H54,Lists!$P$3:$Q$7,2),IF($N54=Lists!$K$3,IF($L54&lt;1,(($U54/$L54)*((1+Inputs!$D$7)^BV$2)),((INT(BV$2/$L54)-INT((BV$2-1)/$L54))*$U54*((1+Inputs!$D$7)^BV$2))),(Inputs!$D$8^((1-_xlfn.WEIBULL.DIST(BV$2,$M54,$L54,FALSE))/_xlfn.WEIBULL.DIST(BV$2,$M54,$L54,FALSE))*$U54*((1+Inputs!$D$7)^BV$2))),IF($N54=Lists!$K$3,IF($L54&lt;1,((($T54*(1-$F54)+$S54*(1-$G54))/$L54)*((1+Inputs!$D$7)^BV$2)),((INT(BV$2/$L54)-INT((BV$2-1)/$L54))*($T54*(1-$F54)+$S54*(1-$G54))*((1+Inputs!$D$7)^BV$2))),((Inputs!$D$8^((1-_xlfn.WEIBULL.DIST(BV$2,$M54,$L54,FALSE))/_xlfn.WEIBULL.DIST(BV$2,$M54,$L54,FALSE))*($T54*(1-$F54)+$S54*(1-$G54))*((1+Inputs!$D$7)^BV$2))))))))</f>
        <v>0</v>
      </c>
      <c r="BW54" s="88">
        <f>MAX(AG54,($E54*IF(BW$2&gt;Inputs!$D$5,0,IF(BW$2&gt;VLOOKUP($H54,Lists!$P$3:$Q$7,2),IF($N54=Lists!$K$3,IF($L54&lt;1,(($U54/$L54)*((1+Inputs!$D$7)^BW$2)),((INT(BW$2/$L54)-INT((BW$2-1)/$L54))*$U54*((1+Inputs!$D$7)^BW$2))),(Inputs!$D$8^((1-_xlfn.WEIBULL.DIST(BW$2,$M54,$L54,FALSE))/_xlfn.WEIBULL.DIST(BW$2,$M54,$L54,FALSE))*$U54*((1+Inputs!$D$7)^BW$2))),IF($N54=Lists!$K$3,IF($L54&lt;1,((($T54*(1-$F54)+$S54*(1-$G54))/$L54)*((1+Inputs!$D$7)^BW$2)),((INT(BW$2/$L54)-INT((BW$2-1)/$L54))*($T54*(1-$F54)+$S54*(1-$G54))*((1+Inputs!$D$7)^BW$2))),((Inputs!$D$8^((1-_xlfn.WEIBULL.DIST(BW$2,$M54,$L54,FALSE))/_xlfn.WEIBULL.DIST(BW$2,$M54,$L54,FALSE))*($T54*(1-$F54)+$S54*(1-$G54))*((1+Inputs!$D$7)^BW$2))))))))</f>
        <v>0</v>
      </c>
      <c r="BX54" s="88">
        <f>MAX(AH54,($E54*IF(BX$2&gt;Inputs!$D$5,0,IF(BX$2&gt;VLOOKUP($H54,Lists!$P$3:$Q$7,2),IF($N54=Lists!$K$3,IF($L54&lt;1,(($U54/$L54)*((1+Inputs!$D$7)^BX$2)),((INT(BX$2/$L54)-INT((BX$2-1)/$L54))*$U54*((1+Inputs!$D$7)^BX$2))),(Inputs!$D$8^((1-_xlfn.WEIBULL.DIST(BX$2,$M54,$L54,FALSE))/_xlfn.WEIBULL.DIST(BX$2,$M54,$L54,FALSE))*$U54*((1+Inputs!$D$7)^BX$2))),IF($N54=Lists!$K$3,IF($L54&lt;1,((($T54*(1-$F54)+$S54*(1-$G54))/$L54)*((1+Inputs!$D$7)^BX$2)),((INT(BX$2/$L54)-INT((BX$2-1)/$L54))*($T54*(1-$F54)+$S54*(1-$G54))*((1+Inputs!$D$7)^BX$2))),((Inputs!$D$8^((1-_xlfn.WEIBULL.DIST(BX$2,$M54,$L54,FALSE))/_xlfn.WEIBULL.DIST(BX$2,$M54,$L54,FALSE))*($T54*(1-$F54)+$S54*(1-$G54))*((1+Inputs!$D$7)^BX$2))))))))</f>
        <v>0</v>
      </c>
      <c r="BY54" s="88">
        <f>MAX(AI54,($E54*IF(BY$2&gt;Inputs!$D$5,0,IF(BY$2&gt;VLOOKUP($H54,Lists!$P$3:$Q$7,2),IF($N54=Lists!$K$3,IF($L54&lt;1,(($U54/$L54)*((1+Inputs!$D$7)^BY$2)),((INT(BY$2/$L54)-INT((BY$2-1)/$L54))*$U54*((1+Inputs!$D$7)^BY$2))),(Inputs!$D$8^((1-_xlfn.WEIBULL.DIST(BY$2,$M54,$L54,FALSE))/_xlfn.WEIBULL.DIST(BY$2,$M54,$L54,FALSE))*$U54*((1+Inputs!$D$7)^BY$2))),IF($N54=Lists!$K$3,IF($L54&lt;1,((($T54*(1-$F54)+$S54*(1-$G54))/$L54)*((1+Inputs!$D$7)^BY$2)),((INT(BY$2/$L54)-INT((BY$2-1)/$L54))*($T54*(1-$F54)+$S54*(1-$G54))*((1+Inputs!$D$7)^BY$2))),((Inputs!$D$8^((1-_xlfn.WEIBULL.DIST(BY$2,$M54,$L54,FALSE))/_xlfn.WEIBULL.DIST(BY$2,$M54,$L54,FALSE))*($T54*(1-$F54)+$S54*(1-$G54))*((1+Inputs!$D$7)^BY$2))))))))</f>
        <v>0</v>
      </c>
      <c r="BZ54" s="88">
        <f>MAX(AJ54,($E54*IF(BZ$2&gt;Inputs!$D$5,0,IF(BZ$2&gt;VLOOKUP($H54,Lists!$P$3:$Q$7,2),IF($N54=Lists!$K$3,IF($L54&lt;1,(($U54/$L54)*((1+Inputs!$D$7)^BZ$2)),((INT(BZ$2/$L54)-INT((BZ$2-1)/$L54))*$U54*((1+Inputs!$D$7)^BZ$2))),(Inputs!$D$8^((1-_xlfn.WEIBULL.DIST(BZ$2,$M54,$L54,FALSE))/_xlfn.WEIBULL.DIST(BZ$2,$M54,$L54,FALSE))*$U54*((1+Inputs!$D$7)^BZ$2))),IF($N54=Lists!$K$3,IF($L54&lt;1,((($T54*(1-$F54)+$S54*(1-$G54))/$L54)*((1+Inputs!$D$7)^BZ$2)),((INT(BZ$2/$L54)-INT((BZ$2-1)/$L54))*($T54*(1-$F54)+$S54*(1-$G54))*((1+Inputs!$D$7)^BZ$2))),((Inputs!$D$8^((1-_xlfn.WEIBULL.DIST(BZ$2,$M54,$L54,FALSE))/_xlfn.WEIBULL.DIST(BZ$2,$M54,$L54,FALSE))*($T54*(1-$F54)+$S54*(1-$G54))*((1+Inputs!$D$7)^BZ$2))))))))</f>
        <v>0</v>
      </c>
      <c r="CA54" s="88">
        <f>MAX(AK54,($E54*IF(CA$2&gt;Inputs!$D$5,0,IF(CA$2&gt;VLOOKUP($H54,Lists!$P$3:$Q$7,2),IF($N54=Lists!$K$3,IF($L54&lt;1,(($U54/$L54)*((1+Inputs!$D$7)^CA$2)),((INT(CA$2/$L54)-INT((CA$2-1)/$L54))*$U54*((1+Inputs!$D$7)^CA$2))),(Inputs!$D$8^((1-_xlfn.WEIBULL.DIST(CA$2,$M54,$L54,FALSE))/_xlfn.WEIBULL.DIST(CA$2,$M54,$L54,FALSE))*$U54*((1+Inputs!$D$7)^CA$2))),IF($N54=Lists!$K$3,IF($L54&lt;1,((($T54*(1-$F54)+$S54*(1-$G54))/$L54)*((1+Inputs!$D$7)^CA$2)),((INT(CA$2/$L54)-INT((CA$2-1)/$L54))*($T54*(1-$F54)+$S54*(1-$G54))*((1+Inputs!$D$7)^CA$2))),((Inputs!$D$8^((1-_xlfn.WEIBULL.DIST(CA$2,$M54,$L54,FALSE))/_xlfn.WEIBULL.DIST(CA$2,$M54,$L54,FALSE))*($T54*(1-$F54)+$S54*(1-$G54))*((1+Inputs!$D$7)^CA$2))))))))</f>
        <v>0</v>
      </c>
      <c r="CB54" s="88">
        <f>MAX(AL54,($E54*IF(CB$2&gt;Inputs!$D$5,0,IF(CB$2&gt;VLOOKUP($H54,Lists!$P$3:$Q$7,2),IF($N54=Lists!$K$3,IF($L54&lt;1,(($U54/$L54)*((1+Inputs!$D$7)^CB$2)),((INT(CB$2/$L54)-INT((CB$2-1)/$L54))*$U54*((1+Inputs!$D$7)^CB$2))),(Inputs!$D$8^((1-_xlfn.WEIBULL.DIST(CB$2,$M54,$L54,FALSE))/_xlfn.WEIBULL.DIST(CB$2,$M54,$L54,FALSE))*$U54*((1+Inputs!$D$7)^CB$2))),IF($N54=Lists!$K$3,IF($L54&lt;1,((($T54*(1-$F54)+$S54*(1-$G54))/$L54)*((1+Inputs!$D$7)^CB$2)),((INT(CB$2/$L54)-INT((CB$2-1)/$L54))*($T54*(1-$F54)+$S54*(1-$G54))*((1+Inputs!$D$7)^CB$2))),((Inputs!$D$8^((1-_xlfn.WEIBULL.DIST(CB$2,$M54,$L54,FALSE))/_xlfn.WEIBULL.DIST(CB$2,$M54,$L54,FALSE))*($T54*(1-$F54)+$S54*(1-$G54))*((1+Inputs!$D$7)^CB$2))))))))</f>
        <v>0</v>
      </c>
      <c r="CC54" s="88">
        <f>MAX(AM54,($E54*IF(CC$2&gt;Inputs!$D$5,0,IF(CC$2&gt;VLOOKUP($H54,Lists!$P$3:$Q$7,2),IF($N54=Lists!$K$3,IF($L54&lt;1,(($U54/$L54)*((1+Inputs!$D$7)^CC$2)),((INT(CC$2/$L54)-INT((CC$2-1)/$L54))*$U54*((1+Inputs!$D$7)^CC$2))),(Inputs!$D$8^((1-_xlfn.WEIBULL.DIST(CC$2,$M54,$L54,FALSE))/_xlfn.WEIBULL.DIST(CC$2,$M54,$L54,FALSE))*$U54*((1+Inputs!$D$7)^CC$2))),IF($N54=Lists!$K$3,IF($L54&lt;1,((($T54*(1-$F54)+$S54*(1-$G54))/$L54)*((1+Inputs!$D$7)^CC$2)),((INT(CC$2/$L54)-INT((CC$2-1)/$L54))*($T54*(1-$F54)+$S54*(1-$G54))*((1+Inputs!$D$7)^CC$2))),((Inputs!$D$8^((1-_xlfn.WEIBULL.DIST(CC$2,$M54,$L54,FALSE))/_xlfn.WEIBULL.DIST(CC$2,$M54,$L54,FALSE))*($T54*(1-$F54)+$S54*(1-$G54))*((1+Inputs!$D$7)^CC$2))))))))</f>
        <v>0</v>
      </c>
      <c r="CD54" s="88">
        <f>MAX(AN54,($E54*IF(CD$2&gt;Inputs!$D$5,0,IF(CD$2&gt;VLOOKUP($H54,Lists!$P$3:$Q$7,2),IF($N54=Lists!$K$3,IF($L54&lt;1,(($U54/$L54)*((1+Inputs!$D$7)^CD$2)),((INT(CD$2/$L54)-INT((CD$2-1)/$L54))*$U54*((1+Inputs!$D$7)^CD$2))),(Inputs!$D$8^((1-_xlfn.WEIBULL.DIST(CD$2,$M54,$L54,FALSE))/_xlfn.WEIBULL.DIST(CD$2,$M54,$L54,FALSE))*$U54*((1+Inputs!$D$7)^CD$2))),IF($N54=Lists!$K$3,IF($L54&lt;1,((($T54*(1-$F54)+$S54*(1-$G54))/$L54)*((1+Inputs!$D$7)^CD$2)),((INT(CD$2/$L54)-INT((CD$2-1)/$L54))*($T54*(1-$F54)+$S54*(1-$G54))*((1+Inputs!$D$7)^CD$2))),((Inputs!$D$8^((1-_xlfn.WEIBULL.DIST(CD$2,$M54,$L54,FALSE))/_xlfn.WEIBULL.DIST(CD$2,$M54,$L54,FALSE))*($T54*(1-$F54)+$S54*(1-$G54))*((1+Inputs!$D$7)^CD$2))))))))</f>
        <v>0</v>
      </c>
      <c r="CE54" s="88">
        <f>MAX(AO54,($E54*IF(CE$2&gt;Inputs!$D$5,0,IF(CE$2&gt;VLOOKUP($H54,Lists!$P$3:$Q$7,2),IF($N54=Lists!$K$3,IF($L54&lt;1,(($U54/$L54)*((1+Inputs!$D$7)^CE$2)),((INT(CE$2/$L54)-INT((CE$2-1)/$L54))*$U54*((1+Inputs!$D$7)^CE$2))),(Inputs!$D$8^((1-_xlfn.WEIBULL.DIST(CE$2,$M54,$L54,FALSE))/_xlfn.WEIBULL.DIST(CE$2,$M54,$L54,FALSE))*$U54*((1+Inputs!$D$7)^CE$2))),IF($N54=Lists!$K$3,IF($L54&lt;1,((($T54*(1-$F54)+$S54*(1-$G54))/$L54)*((1+Inputs!$D$7)^CE$2)),((INT(CE$2/$L54)-INT((CE$2-1)/$L54))*($T54*(1-$F54)+$S54*(1-$G54))*((1+Inputs!$D$7)^CE$2))),((Inputs!$D$8^((1-_xlfn.WEIBULL.DIST(CE$2,$M54,$L54,FALSE))/_xlfn.WEIBULL.DIST(CE$2,$M54,$L54,FALSE))*($T54*(1-$F54)+$S54*(1-$G54))*((1+Inputs!$D$7)^CE$2))))))))</f>
        <v>0</v>
      </c>
      <c r="CF54" s="88">
        <f>MAX(AP54,($E54*IF(CF$2&gt;Inputs!$D$5,0,IF(CF$2&gt;VLOOKUP($H54,Lists!$P$3:$Q$7,2),IF($N54=Lists!$K$3,IF($L54&lt;1,(($U54/$L54)*((1+Inputs!$D$7)^CF$2)),((INT(CF$2/$L54)-INT((CF$2-1)/$L54))*$U54*((1+Inputs!$D$7)^CF$2))),(Inputs!$D$8^((1-_xlfn.WEIBULL.DIST(CF$2,$M54,$L54,FALSE))/_xlfn.WEIBULL.DIST(CF$2,$M54,$L54,FALSE))*$U54*((1+Inputs!$D$7)^CF$2))),IF($N54=Lists!$K$3,IF($L54&lt;1,((($T54*(1-$F54)+$S54*(1-$G54))/$L54)*((1+Inputs!$D$7)^CF$2)),((INT(CF$2/$L54)-INT((CF$2-1)/$L54))*($T54*(1-$F54)+$S54*(1-$G54))*((1+Inputs!$D$7)^CF$2))),((Inputs!$D$8^((1-_xlfn.WEIBULL.DIST(CF$2,$M54,$L54,FALSE))/_xlfn.WEIBULL.DIST(CF$2,$M54,$L54,FALSE))*($T54*(1-$F54)+$S54*(1-$G54))*((1+Inputs!$D$7)^CF$2))))))))</f>
        <v>0</v>
      </c>
      <c r="CG54" s="88">
        <f>MAX(AQ54,($E54*IF(CG$2&gt;Inputs!$D$5,0,IF(CG$2&gt;VLOOKUP($H54,Lists!$P$3:$Q$7,2),IF($N54=Lists!$K$3,IF($L54&lt;1,(($U54/$L54)*((1+Inputs!$D$7)^CG$2)),((INT(CG$2/$L54)-INT((CG$2-1)/$L54))*$U54*((1+Inputs!$D$7)^CG$2))),(Inputs!$D$8^((1-_xlfn.WEIBULL.DIST(CG$2,$M54,$L54,FALSE))/_xlfn.WEIBULL.DIST(CG$2,$M54,$L54,FALSE))*$U54*((1+Inputs!$D$7)^CG$2))),IF($N54=Lists!$K$3,IF($L54&lt;1,((($T54*(1-$F54)+$S54*(1-$G54))/$L54)*((1+Inputs!$D$7)^CG$2)),((INT(CG$2/$L54)-INT((CG$2-1)/$L54))*($T54*(1-$F54)+$S54*(1-$G54))*((1+Inputs!$D$7)^CG$2))),((Inputs!$D$8^((1-_xlfn.WEIBULL.DIST(CG$2,$M54,$L54,FALSE))/_xlfn.WEIBULL.DIST(CG$2,$M54,$L54,FALSE))*($T54*(1-$F54)+$S54*(1-$G54))*((1+Inputs!$D$7)^CG$2))))))))</f>
        <v>0</v>
      </c>
      <c r="CH54" s="88">
        <f>MAX(AR54,($E54*IF(CH$2&gt;Inputs!$D$5,0,IF(CH$2&gt;VLOOKUP($H54,Lists!$P$3:$Q$7,2),IF($N54=Lists!$K$3,IF($L54&lt;1,(($U54/$L54)*((1+Inputs!$D$7)^CH$2)),((INT(CH$2/$L54)-INT((CH$2-1)/$L54))*$U54*((1+Inputs!$D$7)^CH$2))),(Inputs!$D$8^((1-_xlfn.WEIBULL.DIST(CH$2,$M54,$L54,FALSE))/_xlfn.WEIBULL.DIST(CH$2,$M54,$L54,FALSE))*$U54*((1+Inputs!$D$7)^CH$2))),IF($N54=Lists!$K$3,IF($L54&lt;1,((($T54*(1-$F54)+$S54*(1-$G54))/$L54)*((1+Inputs!$D$7)^CH$2)),((INT(CH$2/$L54)-INT((CH$2-1)/$L54))*($T54*(1-$F54)+$S54*(1-$G54))*((1+Inputs!$D$7)^CH$2))),((Inputs!$D$8^((1-_xlfn.WEIBULL.DIST(CH$2,$M54,$L54,FALSE))/_xlfn.WEIBULL.DIST(CH$2,$M54,$L54,FALSE))*($T54*(1-$F54)+$S54*(1-$G54))*((1+Inputs!$D$7)^CH$2))))))))</f>
        <v>0</v>
      </c>
      <c r="CI54" s="88">
        <f>MAX(AS54,($E54*IF(CI$2&gt;Inputs!$D$5,0,IF(CI$2&gt;VLOOKUP($H54,Lists!$P$3:$Q$7,2),IF($N54=Lists!$K$3,IF($L54&lt;1,(($U54/$L54)*((1+Inputs!$D$7)^CI$2)),((INT(CI$2/$L54)-INT((CI$2-1)/$L54))*$U54*((1+Inputs!$D$7)^CI$2))),(Inputs!$D$8^((1-_xlfn.WEIBULL.DIST(CI$2,$M54,$L54,FALSE))/_xlfn.WEIBULL.DIST(CI$2,$M54,$L54,FALSE))*$U54*((1+Inputs!$D$7)^CI$2))),IF($N54=Lists!$K$3,IF($L54&lt;1,((($T54*(1-$F54)+$S54*(1-$G54))/$L54)*((1+Inputs!$D$7)^CI$2)),((INT(CI$2/$L54)-INT((CI$2-1)/$L54))*($T54*(1-$F54)+$S54*(1-$G54))*((1+Inputs!$D$7)^CI$2))),((Inputs!$D$8^((1-_xlfn.WEIBULL.DIST(CI$2,$M54,$L54,FALSE))/_xlfn.WEIBULL.DIST(CI$2,$M54,$L54,FALSE))*($T54*(1-$F54)+$S54*(1-$G54))*((1+Inputs!$D$7)^CI$2))))))))</f>
        <v>0</v>
      </c>
      <c r="CJ54" s="88">
        <f>MAX(AT54,($E54*IF(CJ$2&gt;Inputs!$D$5,0,IF(CJ$2&gt;VLOOKUP($H54,Lists!$P$3:$Q$7,2),IF($N54=Lists!$K$3,IF($L54&lt;1,(($U54/$L54)*((1+Inputs!$D$7)^CJ$2)),((INT(CJ$2/$L54)-INT((CJ$2-1)/$L54))*$U54*((1+Inputs!$D$7)^CJ$2))),(Inputs!$D$8^((1-_xlfn.WEIBULL.DIST(CJ$2,$M54,$L54,FALSE))/_xlfn.WEIBULL.DIST(CJ$2,$M54,$L54,FALSE))*$U54*((1+Inputs!$D$7)^CJ$2))),IF($N54=Lists!$K$3,IF($L54&lt;1,((($T54*(1-$F54)+$S54*(1-$G54))/$L54)*((1+Inputs!$D$7)^CJ$2)),((INT(CJ$2/$L54)-INT((CJ$2-1)/$L54))*($T54*(1-$F54)+$S54*(1-$G54))*((1+Inputs!$D$7)^CJ$2))),((Inputs!$D$8^((1-_xlfn.WEIBULL.DIST(CJ$2,$M54,$L54,FALSE))/_xlfn.WEIBULL.DIST(CJ$2,$M54,$L54,FALSE))*($T54*(1-$F54)+$S54*(1-$G54))*((1+Inputs!$D$7)^CJ$2))))))))</f>
        <v>0</v>
      </c>
      <c r="CK54" s="88">
        <f>MAX(AU54,($E54*IF(CK$2&gt;Inputs!$D$5,0,IF(CK$2&gt;VLOOKUP($H54,Lists!$P$3:$Q$7,2),IF($N54=Lists!$K$3,IF($L54&lt;1,(($U54/$L54)*((1+Inputs!$D$7)^CK$2)),((INT(CK$2/$L54)-INT((CK$2-1)/$L54))*$U54*((1+Inputs!$D$7)^CK$2))),(Inputs!$D$8^((1-_xlfn.WEIBULL.DIST(CK$2,$M54,$L54,FALSE))/_xlfn.WEIBULL.DIST(CK$2,$M54,$L54,FALSE))*$U54*((1+Inputs!$D$7)^CK$2))),IF($N54=Lists!$K$3,IF($L54&lt;1,((($T54*(1-$F54)+$S54*(1-$G54))/$L54)*((1+Inputs!$D$7)^CK$2)),((INT(CK$2/$L54)-INT((CK$2-1)/$L54))*($T54*(1-$F54)+$S54*(1-$G54))*((1+Inputs!$D$7)^CK$2))),((Inputs!$D$8^((1-_xlfn.WEIBULL.DIST(CK$2,$M54,$L54,FALSE))/_xlfn.WEIBULL.DIST(CK$2,$M54,$L54,FALSE))*($T54*(1-$F54)+$S54*(1-$G54))*((1+Inputs!$D$7)^CK$2))))))))</f>
        <v>0</v>
      </c>
      <c r="CL54" s="88">
        <f>MAX(AV54,($E54*IF(CL$2&gt;Inputs!$D$5,0,IF(CL$2&gt;VLOOKUP($H54,Lists!$P$3:$Q$7,2),IF($N54=Lists!$K$3,IF($L54&lt;1,(($U54/$L54)*((1+Inputs!$D$7)^CL$2)),((INT(CL$2/$L54)-INT((CL$2-1)/$L54))*$U54*((1+Inputs!$D$7)^CL$2))),(Inputs!$D$8^((1-_xlfn.WEIBULL.DIST(CL$2,$M54,$L54,FALSE))/_xlfn.WEIBULL.DIST(CL$2,$M54,$L54,FALSE))*$U54*((1+Inputs!$D$7)^CL$2))),IF($N54=Lists!$K$3,IF($L54&lt;1,((($T54*(1-$F54)+$S54*(1-$G54))/$L54)*((1+Inputs!$D$7)^CL$2)),((INT(CL$2/$L54)-INT((CL$2-1)/$L54))*($T54*(1-$F54)+$S54*(1-$G54))*((1+Inputs!$D$7)^CL$2))),((Inputs!$D$8^((1-_xlfn.WEIBULL.DIST(CL$2,$M54,$L54,FALSE))/_xlfn.WEIBULL.DIST(CL$2,$M54,$L54,FALSE))*($T54*(1-$F54)+$S54*(1-$G54))*((1+Inputs!$D$7)^CL$2))))))))</f>
        <v>0</v>
      </c>
      <c r="CM54" s="88">
        <f>MAX(AW54,($E54*IF(CM$2&gt;Inputs!$D$5,0,IF(CM$2&gt;VLOOKUP($H54,Lists!$P$3:$Q$7,2),IF($N54=Lists!$K$3,IF($L54&lt;1,(($U54/$L54)*((1+Inputs!$D$7)^CM$2)),((INT(CM$2/$L54)-INT((CM$2-1)/$L54))*$U54*((1+Inputs!$D$7)^CM$2))),(Inputs!$D$8^((1-_xlfn.WEIBULL.DIST(CM$2,$M54,$L54,FALSE))/_xlfn.WEIBULL.DIST(CM$2,$M54,$L54,FALSE))*$U54*((1+Inputs!$D$7)^CM$2))),IF($N54=Lists!$K$3,IF($L54&lt;1,((($T54*(1-$F54)+$S54*(1-$G54))/$L54)*((1+Inputs!$D$7)^CM$2)),((INT(CM$2/$L54)-INT((CM$2-1)/$L54))*($T54*(1-$F54)+$S54*(1-$G54))*((1+Inputs!$D$7)^CM$2))),((Inputs!$D$8^((1-_xlfn.WEIBULL.DIST(CM$2,$M54,$L54,FALSE))/_xlfn.WEIBULL.DIST(CM$2,$M54,$L54,FALSE))*($T54*(1-$F54)+$S54*(1-$G54))*((1+Inputs!$D$7)^CM$2))))))))</f>
        <v>0</v>
      </c>
      <c r="CN54" s="88">
        <f>MAX(AX54,($E54*IF(CN$2&gt;Inputs!$D$5,0,IF(CN$2&gt;VLOOKUP($H54,Lists!$P$3:$Q$7,2),IF($N54=Lists!$K$3,IF($L54&lt;1,(($U54/$L54)*((1+Inputs!$D$7)^CN$2)),((INT(CN$2/$L54)-INT((CN$2-1)/$L54))*$U54*((1+Inputs!$D$7)^CN$2))),(Inputs!$D$8^((1-_xlfn.WEIBULL.DIST(CN$2,$M54,$L54,FALSE))/_xlfn.WEIBULL.DIST(CN$2,$M54,$L54,FALSE))*$U54*((1+Inputs!$D$7)^CN$2))),IF($N54=Lists!$K$3,IF($L54&lt;1,((($T54*(1-$F54)+$S54*(1-$G54))/$L54)*((1+Inputs!$D$7)^CN$2)),((INT(CN$2/$L54)-INT((CN$2-1)/$L54))*($T54*(1-$F54)+$S54*(1-$G54))*((1+Inputs!$D$7)^CN$2))),((Inputs!$D$8^((1-_xlfn.WEIBULL.DIST(CN$2,$M54,$L54,FALSE))/_xlfn.WEIBULL.DIST(CN$2,$M54,$L54,FALSE))*($T54*(1-$F54)+$S54*(1-$G54))*((1+Inputs!$D$7)^CN$2))))))))</f>
        <v>0</v>
      </c>
      <c r="CO54" s="88">
        <f>MAX(AY54,($E54*IF(CO$2&gt;Inputs!$D$5,0,IF(CO$2&gt;VLOOKUP($H54,Lists!$P$3:$Q$7,2),IF($N54=Lists!$K$3,IF($L54&lt;1,(($U54/$L54)*((1+Inputs!$D$7)^CO$2)),((INT(CO$2/$L54)-INT((CO$2-1)/$L54))*$U54*((1+Inputs!$D$7)^CO$2))),(Inputs!$D$8^((1-_xlfn.WEIBULL.DIST(CO$2,$M54,$L54,FALSE))/_xlfn.WEIBULL.DIST(CO$2,$M54,$L54,FALSE))*$U54*((1+Inputs!$D$7)^CO$2))),IF($N54=Lists!$K$3,IF($L54&lt;1,((($T54*(1-$F54)+$S54*(1-$G54))/$L54)*((1+Inputs!$D$7)^CO$2)),((INT(CO$2/$L54)-INT((CO$2-1)/$L54))*($T54*(1-$F54)+$S54*(1-$G54))*((1+Inputs!$D$7)^CO$2))),((Inputs!$D$8^((1-_xlfn.WEIBULL.DIST(CO$2,$M54,$L54,FALSE))/_xlfn.WEIBULL.DIST(CO$2,$M54,$L54,FALSE))*($T54*(1-$F54)+$S54*(1-$G54))*((1+Inputs!$D$7)^CO$2))))))))</f>
        <v>0</v>
      </c>
      <c r="CP54" s="88">
        <f>MAX(AZ54,($E54*IF(CP$2&gt;Inputs!$D$5,0,IF(CP$2&gt;VLOOKUP($H54,Lists!$P$3:$Q$7,2),IF($N54=Lists!$K$3,IF($L54&lt;1,(($U54/$L54)*((1+Inputs!$D$7)^CP$2)),((INT(CP$2/$L54)-INT((CP$2-1)/$L54))*$U54*((1+Inputs!$D$7)^CP$2))),(Inputs!$D$8^((1-_xlfn.WEIBULL.DIST(CP$2,$M54,$L54,FALSE))/_xlfn.WEIBULL.DIST(CP$2,$M54,$L54,FALSE))*$U54*((1+Inputs!$D$7)^CP$2))),IF($N54=Lists!$K$3,IF($L54&lt;1,((($T54*(1-$F54)+$S54*(1-$G54))/$L54)*((1+Inputs!$D$7)^CP$2)),((INT(CP$2/$L54)-INT((CP$2-1)/$L54))*($T54*(1-$F54)+$S54*(1-$G54))*((1+Inputs!$D$7)^CP$2))),((Inputs!$D$8^((1-_xlfn.WEIBULL.DIST(CP$2,$M54,$L54,FALSE))/_xlfn.WEIBULL.DIST(CP$2,$M54,$L54,FALSE))*($T54*(1-$F54)+$S54*(1-$G54))*((1+Inputs!$D$7)^CP$2))))))))</f>
        <v>0</v>
      </c>
      <c r="CQ54" s="88">
        <f>MAX(BA54,($E54*IF(CQ$2&gt;Inputs!$D$5,0,IF(CQ$2&gt;VLOOKUP($H54,Lists!$P$3:$Q$7,2),IF($N54=Lists!$K$3,IF($L54&lt;1,(($U54/$L54)*((1+Inputs!$D$7)^CQ$2)),((INT(CQ$2/$L54)-INT((CQ$2-1)/$L54))*$U54*((1+Inputs!$D$7)^CQ$2))),(Inputs!$D$8^((1-_xlfn.WEIBULL.DIST(CQ$2,$M54,$L54,FALSE))/_xlfn.WEIBULL.DIST(CQ$2,$M54,$L54,FALSE))*$U54*((1+Inputs!$D$7)^CQ$2))),IF($N54=Lists!$K$3,IF($L54&lt;1,((($T54*(1-$F54)+$S54*(1-$G54))/$L54)*((1+Inputs!$D$7)^CQ$2)),((INT(CQ$2/$L54)-INT((CQ$2-1)/$L54))*($T54*(1-$F54)+$S54*(1-$G54))*((1+Inputs!$D$7)^CQ$2))),((Inputs!$D$8^((1-_xlfn.WEIBULL.DIST(CQ$2,$M54,$L54,FALSE))/_xlfn.WEIBULL.DIST(CQ$2,$M54,$L54,FALSE))*($T54*(1-$F54)+$S54*(1-$G54))*((1+Inputs!$D$7)^CQ$2))))))))</f>
        <v>0</v>
      </c>
      <c r="CR54" s="88">
        <f>MAX(BB54,($E54*IF(CR$2&gt;Inputs!$D$5,0,IF(CR$2&gt;VLOOKUP($H54,Lists!$P$3:$Q$7,2),IF($N54=Lists!$K$3,IF($L54&lt;1,(($U54/$L54)*((1+Inputs!$D$7)^CR$2)),((INT(CR$2/$L54)-INT((CR$2-1)/$L54))*$U54*((1+Inputs!$D$7)^CR$2))),(Inputs!$D$8^((1-_xlfn.WEIBULL.DIST(CR$2,$M54,$L54,FALSE))/_xlfn.WEIBULL.DIST(CR$2,$M54,$L54,FALSE))*$U54*((1+Inputs!$D$7)^CR$2))),IF($N54=Lists!$K$3,IF($L54&lt;1,((($T54*(1-$F54)+$S54*(1-$G54))/$L54)*((1+Inputs!$D$7)^CR$2)),((INT(CR$2/$L54)-INT((CR$2-1)/$L54))*($T54*(1-$F54)+$S54*(1-$G54))*((1+Inputs!$D$7)^CR$2))),((Inputs!$D$8^((1-_xlfn.WEIBULL.DIST(CR$2,$M54,$L54,FALSE))/_xlfn.WEIBULL.DIST(CR$2,$M54,$L54,FALSE))*($T54*(1-$F54)+$S54*(1-$G54))*((1+Inputs!$D$7)^CR$2))))))))</f>
        <v>0</v>
      </c>
      <c r="CS54" s="88">
        <f>MAX(BC54,($E54*IF(CS$2&gt;Inputs!$D$5,0,IF(CS$2&gt;VLOOKUP($H54,Lists!$P$3:$Q$7,2),IF($N54=Lists!$K$3,IF($L54&lt;1,(($U54/$L54)*((1+Inputs!$D$7)^CS$2)),((INT(CS$2/$L54)-INT((CS$2-1)/$L54))*$U54*((1+Inputs!$D$7)^CS$2))),(Inputs!$D$8^((1-_xlfn.WEIBULL.DIST(CS$2,$M54,$L54,FALSE))/_xlfn.WEIBULL.DIST(CS$2,$M54,$L54,FALSE))*$U54*((1+Inputs!$D$7)^CS$2))),IF($N54=Lists!$K$3,IF($L54&lt;1,((($T54*(1-$F54)+$S54*(1-$G54))/$L54)*((1+Inputs!$D$7)^CS$2)),((INT(CS$2/$L54)-INT((CS$2-1)/$L54))*($T54*(1-$F54)+$S54*(1-$G54))*((1+Inputs!$D$7)^CS$2))),((Inputs!$D$8^((1-_xlfn.WEIBULL.DIST(CS$2,$M54,$L54,FALSE))/_xlfn.WEIBULL.DIST(CS$2,$M54,$L54,FALSE))*($T54*(1-$F54)+$S54*(1-$G54))*((1+Inputs!$D$7)^CS$2))))))))</f>
        <v>0</v>
      </c>
      <c r="CT54" s="88">
        <f>MAX(BD54,($E54*IF(CT$2&gt;Inputs!$D$5,0,IF(CT$2&gt;VLOOKUP($H54,Lists!$P$3:$Q$7,2),IF($N54=Lists!$K$3,IF($L54&lt;1,(($U54/$L54)*((1+Inputs!$D$7)^CT$2)),((INT(CT$2/$L54)-INT((CT$2-1)/$L54))*$U54*((1+Inputs!$D$7)^CT$2))),(Inputs!$D$8^((1-_xlfn.WEIBULL.DIST(CT$2,$M54,$L54,FALSE))/_xlfn.WEIBULL.DIST(CT$2,$M54,$L54,FALSE))*$U54*((1+Inputs!$D$7)^CT$2))),IF($N54=Lists!$K$3,IF($L54&lt;1,((($T54*(1-$F54)+$S54*(1-$G54))/$L54)*((1+Inputs!$D$7)^CT$2)),((INT(CT$2/$L54)-INT((CT$2-1)/$L54))*($T54*(1-$F54)+$S54*(1-$G54))*((1+Inputs!$D$7)^CT$2))),((Inputs!$D$8^((1-_xlfn.WEIBULL.DIST(CT$2,$M54,$L54,FALSE))/_xlfn.WEIBULL.DIST(CT$2,$M54,$L54,FALSE))*($T54*(1-$F54)+$S54*(1-$G54))*((1+Inputs!$D$7)^CT$2))))))))</f>
        <v>0</v>
      </c>
      <c r="CU54" s="88">
        <f>MAX(BE54,($E54*IF(CU$2&gt;Inputs!$D$5,0,IF(CU$2&gt;VLOOKUP($H54,Lists!$P$3:$Q$7,2),IF($N54=Lists!$K$3,IF($L54&lt;1,(($U54/$L54)*((1+Inputs!$D$7)^CU$2)),((INT(CU$2/$L54)-INT((CU$2-1)/$L54))*$U54*((1+Inputs!$D$7)^CU$2))),(Inputs!$D$8^((1-_xlfn.WEIBULL.DIST(CU$2,$M54,$L54,FALSE))/_xlfn.WEIBULL.DIST(CU$2,$M54,$L54,FALSE))*$U54*((1+Inputs!$D$7)^CU$2))),IF($N54=Lists!$K$3,IF($L54&lt;1,((($T54*(1-$F54)+$S54*(1-$G54))/$L54)*((1+Inputs!$D$7)^CU$2)),((INT(CU$2/$L54)-INT((CU$2-1)/$L54))*($T54*(1-$F54)+$S54*(1-$G54))*((1+Inputs!$D$7)^CU$2))),((Inputs!$D$8^((1-_xlfn.WEIBULL.DIST(CU$2,$M54,$L54,FALSE))/_xlfn.WEIBULL.DIST(CU$2,$M54,$L54,FALSE))*($T54*(1-$F54)+$S54*(1-$G54))*((1+Inputs!$D$7)^CU$2))))))))</f>
        <v>0</v>
      </c>
      <c r="CV54" s="88">
        <f>MAX(BF54,($E54*IF(CV$2&gt;Inputs!$D$5,0,IF(CV$2&gt;VLOOKUP($H54,Lists!$P$3:$Q$7,2),IF($N54=Lists!$K$3,IF($L54&lt;1,(($U54/$L54)*((1+Inputs!$D$7)^CV$2)),((INT(CV$2/$L54)-INT((CV$2-1)/$L54))*$U54*((1+Inputs!$D$7)^CV$2))),(Inputs!$D$8^((1-_xlfn.WEIBULL.DIST(CV$2,$M54,$L54,FALSE))/_xlfn.WEIBULL.DIST(CV$2,$M54,$L54,FALSE))*$U54*((1+Inputs!$D$7)^CV$2))),IF($N54=Lists!$K$3,IF($L54&lt;1,((($T54*(1-$F54)+$S54*(1-$G54))/$L54)*((1+Inputs!$D$7)^CV$2)),((INT(CV$2/$L54)-INT((CV$2-1)/$L54))*($T54*(1-$F54)+$S54*(1-$G54))*((1+Inputs!$D$7)^CV$2))),((Inputs!$D$8^((1-_xlfn.WEIBULL.DIST(CV$2,$M54,$L54,FALSE))/_xlfn.WEIBULL.DIST(CV$2,$M54,$L54,FALSE))*($T54*(1-$F54)+$S54*(1-$G54))*((1+Inputs!$D$7)^CV$2))))))))</f>
        <v>0</v>
      </c>
      <c r="CW54" s="88">
        <f>MAX(BG54,($E54*IF(CW$2&gt;Inputs!$D$5,0,IF(CW$2&gt;VLOOKUP($H54,Lists!$P$3:$Q$7,2),IF($N54=Lists!$K$3,IF($L54&lt;1,(($U54/$L54)*((1+Inputs!$D$7)^CW$2)),((INT(CW$2/$L54)-INT((CW$2-1)/$L54))*$U54*((1+Inputs!$D$7)^CW$2))),(Inputs!$D$8^((1-_xlfn.WEIBULL.DIST(CW$2,$M54,$L54,FALSE))/_xlfn.WEIBULL.DIST(CW$2,$M54,$L54,FALSE))*$U54*((1+Inputs!$D$7)^CW$2))),IF($N54=Lists!$K$3,IF($L54&lt;1,((($T54*(1-$F54)+$S54*(1-$G54))/$L54)*((1+Inputs!$D$7)^CW$2)),((INT(CW$2/$L54)-INT((CW$2-1)/$L54))*($T54*(1-$F54)+$S54*(1-$G54))*((1+Inputs!$D$7)^CW$2))),((Inputs!$D$8^((1-_xlfn.WEIBULL.DIST(CW$2,$M54,$L54,FALSE))/_xlfn.WEIBULL.DIST(CW$2,$M54,$L54,FALSE))*($T54*(1-$F54)+$S54*(1-$G54))*((1+Inputs!$D$7)^CW$2))))))))</f>
        <v>0</v>
      </c>
      <c r="CX54" s="88">
        <f>MAX(BH54,($E54*IF(CX$2&gt;Inputs!$D$5,0,IF(CX$2&gt;VLOOKUP($H54,Lists!$P$3:$Q$7,2),IF($N54=Lists!$K$3,IF($L54&lt;1,(($U54/$L54)*((1+Inputs!$D$7)^CX$2)),((INT(CX$2/$L54)-INT((CX$2-1)/$L54))*$U54*((1+Inputs!$D$7)^CX$2))),(Inputs!$D$8^((1-_xlfn.WEIBULL.DIST(CX$2,$M54,$L54,FALSE))/_xlfn.WEIBULL.DIST(CX$2,$M54,$L54,FALSE))*$U54*((1+Inputs!$D$7)^CX$2))),IF($N54=Lists!$K$3,IF($L54&lt;1,((($T54*(1-$F54)+$S54*(1-$G54))/$L54)*((1+Inputs!$D$7)^CX$2)),((INT(CX$2/$L54)-INT((CX$2-1)/$L54))*($T54*(1-$F54)+$S54*(1-$G54))*((1+Inputs!$D$7)^CX$2))),((Inputs!$D$8^((1-_xlfn.WEIBULL.DIST(CX$2,$M54,$L54,FALSE))/_xlfn.WEIBULL.DIST(CX$2,$M54,$L54,FALSE))*($T54*(1-$F54)+$S54*(1-$G54))*((1+Inputs!$D$7)^CX$2))))))))</f>
        <v>0</v>
      </c>
      <c r="CY54" s="88">
        <f>MAX(BI54,($E54*IF(CY$2&gt;Inputs!$D$5,0,IF(CY$2&gt;VLOOKUP($H54,Lists!$P$3:$Q$7,2),IF($N54=Lists!$K$3,IF($L54&lt;1,(($U54/$L54)*((1+Inputs!$D$7)^CY$2)),((INT(CY$2/$L54)-INT((CY$2-1)/$L54))*$U54*((1+Inputs!$D$7)^CY$2))),(Inputs!$D$8^((1-_xlfn.WEIBULL.DIST(CY$2,$M54,$L54,FALSE))/_xlfn.WEIBULL.DIST(CY$2,$M54,$L54,FALSE))*$U54*((1+Inputs!$D$7)^CY$2))),IF($N54=Lists!$K$3,IF($L54&lt;1,((($T54*(1-$F54)+$S54*(1-$G54))/$L54)*((1+Inputs!$D$7)^CY$2)),((INT(CY$2/$L54)-INT((CY$2-1)/$L54))*($T54*(1-$F54)+$S54*(1-$G54))*((1+Inputs!$D$7)^CY$2))),((Inputs!$D$8^((1-_xlfn.WEIBULL.DIST(CY$2,$M54,$L54,FALSE))/_xlfn.WEIBULL.DIST(CY$2,$M54,$L54,FALSE))*($T54*(1-$F54)+$S54*(1-$G54))*((1+Inputs!$D$7)^CY$2))))))))</f>
        <v>0</v>
      </c>
      <c r="CZ54" s="88">
        <f>MAX(BJ54,($E54*IF(CZ$2&gt;Inputs!$D$5,0,IF(CZ$2&gt;VLOOKUP($H54,Lists!$P$3:$Q$7,2),IF($N54=Lists!$K$3,IF($L54&lt;1,(($U54/$L54)*((1+Inputs!$D$7)^CZ$2)),((INT(CZ$2/$L54)-INT((CZ$2-1)/$L54))*$U54*((1+Inputs!$D$7)^CZ$2))),(Inputs!$D$8^((1-_xlfn.WEIBULL.DIST(CZ$2,$M54,$L54,FALSE))/_xlfn.WEIBULL.DIST(CZ$2,$M54,$L54,FALSE))*$U54*((1+Inputs!$D$7)^CZ$2))),IF($N54=Lists!$K$3,IF($L54&lt;1,((($T54*(1-$F54)+$S54*(1-$G54))/$L54)*((1+Inputs!$D$7)^CZ$2)),((INT(CZ$2/$L54)-INT((CZ$2-1)/$L54))*($T54*(1-$F54)+$S54*(1-$G54))*((1+Inputs!$D$7)^CZ$2))),((Inputs!$D$8^((1-_xlfn.WEIBULL.DIST(CZ$2,$M54,$L54,FALSE))/_xlfn.WEIBULL.DIST(CZ$2,$M54,$L54,FALSE))*($T54*(1-$F54)+$S54*(1-$G54))*((1+Inputs!$D$7)^CZ$2))))))))</f>
        <v>0</v>
      </c>
      <c r="DA54" s="88">
        <f>MAX(BK54,($E54*IF(DA$2&gt;Inputs!$D$5,0,IF(DA$2&gt;VLOOKUP($H54,Lists!$P$3:$Q$7,2),IF($N54=Lists!$K$3,IF($L54&lt;1,(($U54/$L54)*((1+Inputs!$D$7)^DA$2)),((INT(DA$2/$L54)-INT((DA$2-1)/$L54))*$U54*((1+Inputs!$D$7)^DA$2))),(Inputs!$D$8^((1-_xlfn.WEIBULL.DIST(DA$2,$M54,$L54,FALSE))/_xlfn.WEIBULL.DIST(DA$2,$M54,$L54,FALSE))*$U54*((1+Inputs!$D$7)^DA$2))),IF($N54=Lists!$K$3,IF($L54&lt;1,((($T54*(1-$F54)+$S54*(1-$G54))/$L54)*((1+Inputs!$D$7)^DA$2)),((INT(DA$2/$L54)-INT((DA$2-1)/$L54))*($T54*(1-$F54)+$S54*(1-$G54))*((1+Inputs!$D$7)^DA$2))),((Inputs!$D$8^((1-_xlfn.WEIBULL.DIST(DA$2,$M54,$L54,FALSE))/_xlfn.WEIBULL.DIST(DA$2,$M54,$L54,FALSE))*($T54*(1-$F54)+$S54*(1-$G54))*((1+Inputs!$D$7)^DA$2))))))))</f>
        <v>0</v>
      </c>
      <c r="DB54" s="88">
        <f>MAX(BL54,($E54*IF(DB$2&gt;Inputs!$D$5,0,IF(DB$2&gt;VLOOKUP($H54,Lists!$P$3:$Q$7,2),IF($N54=Lists!$K$3,IF($L54&lt;1,(($U54/$L54)*((1+Inputs!$D$7)^DB$2)),((INT(DB$2/$L54)-INT((DB$2-1)/$L54))*$U54*((1+Inputs!$D$7)^DB$2))),(Inputs!$D$8^((1-_xlfn.WEIBULL.DIST(DB$2,$M54,$L54,FALSE))/_xlfn.WEIBULL.DIST(DB$2,$M54,$L54,FALSE))*$U54*((1+Inputs!$D$7)^DB$2))),IF($N54=Lists!$K$3,IF($L54&lt;1,((($T54*(1-$F54)+$S54*(1-$G54))/$L54)*((1+Inputs!$D$7)^DB$2)),((INT(DB$2/$L54)-INT((DB$2-1)/$L54))*($T54*(1-$F54)+$S54*(1-$G54))*((1+Inputs!$D$7)^DB$2))),((Inputs!$D$8^((1-_xlfn.WEIBULL.DIST(DB$2,$M54,$L54,FALSE))/_xlfn.WEIBULL.DIST(DB$2,$M54,$L54,FALSE))*($T54*(1-$F54)+$S54*(1-$G54))*((1+Inputs!$D$7)^DB$2))))))))</f>
        <v>0</v>
      </c>
      <c r="DC54" s="88">
        <f>MAX(BM54,($E54*IF(DC$2&gt;Inputs!$D$5,0,IF(DC$2&gt;VLOOKUP($H54,Lists!$P$3:$Q$7,2),IF($N54=Lists!$K$3,IF($L54&lt;1,(($U54/$L54)*((1+Inputs!$D$7)^DC$2)),((INT(DC$2/$L54)-INT((DC$2-1)/$L54))*$U54*((1+Inputs!$D$7)^DC$2))),(Inputs!$D$8^((1-_xlfn.WEIBULL.DIST(DC$2,$M54,$L54,FALSE))/_xlfn.WEIBULL.DIST(DC$2,$M54,$L54,FALSE))*$U54*((1+Inputs!$D$7)^DC$2))),IF($N54=Lists!$K$3,IF($L54&lt;1,((($T54*(1-$F54)+$S54*(1-$G54))/$L54)*((1+Inputs!$D$7)^DC$2)),((INT(DC$2/$L54)-INT((DC$2-1)/$L54))*($T54*(1-$F54)+$S54*(1-$G54))*((1+Inputs!$D$7)^DC$2))),((Inputs!$D$8^((1-_xlfn.WEIBULL.DIST(DC$2,$M54,$L54,FALSE))/_xlfn.WEIBULL.DIST(DC$2,$M54,$L54,FALSE))*($T54*(1-$F54)+$S54*(1-$G54))*((1+Inputs!$D$7)^DC$2))))))))</f>
        <v>0</v>
      </c>
      <c r="DD54" s="88">
        <f>MAX(BN54,($E54*IF(DD$2&gt;Inputs!$D$5,0,IF(DD$2&gt;VLOOKUP($H54,Lists!$P$3:$Q$7,2),IF($N54=Lists!$K$3,IF($L54&lt;1,(($U54/$L54)*((1+Inputs!$D$7)^DD$2)),((INT(DD$2/$L54)-INT((DD$2-1)/$L54))*$U54*((1+Inputs!$D$7)^DD$2))),(Inputs!$D$8^((1-_xlfn.WEIBULL.DIST(DD$2,$M54,$L54,FALSE))/_xlfn.WEIBULL.DIST(DD$2,$M54,$L54,FALSE))*$U54*((1+Inputs!$D$7)^DD$2))),IF($N54=Lists!$K$3,IF($L54&lt;1,((($T54*(1-$F54)+$S54*(1-$G54))/$L54)*((1+Inputs!$D$7)^DD$2)),((INT(DD$2/$L54)-INT((DD$2-1)/$L54))*($T54*(1-$F54)+$S54*(1-$G54))*((1+Inputs!$D$7)^DD$2))),((Inputs!$D$8^((1-_xlfn.WEIBULL.DIST(DD$2,$M54,$L54,FALSE))/_xlfn.WEIBULL.DIST(DD$2,$M54,$L54,FALSE))*($T54*(1-$F54)+$S54*(1-$G54))*((1+Inputs!$D$7)^DD$2))))))))</f>
        <v>0</v>
      </c>
    </row>
    <row r="55" spans="1:108" s="1" customFormat="1" ht="16">
      <c r="A55" s="57" t="s">
        <v>176</v>
      </c>
      <c r="B55" s="13" t="s">
        <v>130</v>
      </c>
      <c r="C55" s="13" t="s">
        <v>474</v>
      </c>
      <c r="D55" s="13" t="s">
        <v>126</v>
      </c>
      <c r="E55" s="48">
        <f>IF(Inputs!$D$42=Lists!$H$3,1,0)</f>
        <v>0</v>
      </c>
      <c r="F55" s="48">
        <v>1</v>
      </c>
      <c r="G55" s="48">
        <v>0</v>
      </c>
      <c r="H55" s="105" t="s">
        <v>350</v>
      </c>
      <c r="I55" s="14" t="s">
        <v>382</v>
      </c>
      <c r="J55" s="14" t="s">
        <v>84</v>
      </c>
      <c r="K55" s="13">
        <f>VLOOKUP(J55,'Labor Rates'!$A$1:$F$16,2)</f>
        <v>22.703653846153845</v>
      </c>
      <c r="L55" s="15">
        <v>50</v>
      </c>
      <c r="M55" s="15">
        <v>10</v>
      </c>
      <c r="N55" s="16" t="s">
        <v>226</v>
      </c>
      <c r="O55" s="61">
        <f>E54*Inputs!D20</f>
        <v>0</v>
      </c>
      <c r="P55" s="15">
        <f>VLOOKUP(Inputs!D44,Lists!S3:U13,3,FALSE)</f>
        <v>1</v>
      </c>
      <c r="Q55" s="15">
        <f t="shared" si="7"/>
        <v>0</v>
      </c>
      <c r="R55" s="4">
        <f>VLOOKUP(Inputs!D44,Lists!S3:T13,2,FALSE)</f>
        <v>25</v>
      </c>
      <c r="S55" s="53">
        <f t="shared" si="8"/>
        <v>0</v>
      </c>
      <c r="T55" s="53">
        <f t="shared" si="9"/>
        <v>0</v>
      </c>
      <c r="U55" s="54">
        <f t="shared" si="10"/>
        <v>0</v>
      </c>
      <c r="V55" s="65"/>
      <c r="W55" s="58"/>
      <c r="X55" s="64">
        <f t="shared" si="11"/>
        <v>0</v>
      </c>
      <c r="Y55" s="64">
        <f>NPV(Inputs!$D$6,AA55:BN55)</f>
        <v>0</v>
      </c>
      <c r="Z55" s="67">
        <f t="shared" si="12"/>
        <v>0</v>
      </c>
      <c r="AA55" s="88">
        <f>$E55*IF(AA$2&gt;Inputs!$D$5,0,IF(AA$2&gt;VLOOKUP($H55,Lists!$P$3:$Q$7,2),IF($N55=Lists!$K$3,IF($L55&lt;1,(($U55/$L55)*((1+Inputs!$D$7)^AA$2)),((INT(AA$2/$L55)-INT((AA$2-1)/$L55))*$U55*((1+Inputs!$D$7)^AA$2))),(_xlfn.WEIBULL.DIST(AA$2,$M55,$L55,FALSE)*$U55*((1+Inputs!$D$7)^AA$2))),IF($N55=Lists!$K$3,IF($L55&lt;1,((($T55*(1-$F55)+$S55*(1-$G55))/$L55)*((1+Inputs!$D$7)^AA$2)),((INT(AA$2/$L55)-INT((AA$2-1)/$L55))*($T55*(1-$F55)+$S55*(1-$G55))*((1+Inputs!$D$7)^AA$2))),((_xlfn.WEIBULL.DIST(AA$2,$M55,$L55,FALSE)*($T55*(1-$F55)+$S55*(1-$G55))*((1+Inputs!$D$7)^AA$2))))))</f>
        <v>0</v>
      </c>
      <c r="AB55" s="88">
        <f>$E55*IF(AB$2&gt;Inputs!$D$5,0,IF(AB$2&gt;VLOOKUP($H55,Lists!$P$3:$Q$7,2),IF($N55=Lists!$K$3,IF($L55&lt;1,(($U55/$L55)*((1+Inputs!$D$7)^AB$2)),((INT(AB$2/$L55)-INT((AB$2-1)/$L55))*$U55*((1+Inputs!$D$7)^AB$2))),(_xlfn.WEIBULL.DIST(AB$2,$M55,$L55,FALSE)*$U55*((1+Inputs!$D$7)^AB$2))),IF($N55=Lists!$K$3,IF($L55&lt;1,((($T55*(1-$F55)+$S55*(1-$G55))/$L55)*((1+Inputs!$D$7)^AB$2)),((INT(AB$2/$L55)-INT((AB$2-1)/$L55))*($T55*(1-$F55)+$S55*(1-$G55))*((1+Inputs!$D$7)^AB$2))),((_xlfn.WEIBULL.DIST(AB$2,$M55,$L55,FALSE)*($T55*(1-$F55)+$S55*(1-$G55))*((1+Inputs!$D$7)^AB$2))))))</f>
        <v>0</v>
      </c>
      <c r="AC55" s="88">
        <f>$E55*IF(AC$2&gt;Inputs!$D$5,0,IF(AC$2&gt;VLOOKUP($H55,Lists!$P$3:$Q$7,2),IF($N55=Lists!$K$3,IF($L55&lt;1,(($U55/$L55)*((1+Inputs!$D$7)^AC$2)),((INT(AC$2/$L55)-INT((AC$2-1)/$L55))*$U55*((1+Inputs!$D$7)^AC$2))),(_xlfn.WEIBULL.DIST(AC$2,$M55,$L55,FALSE)*$U55*((1+Inputs!$D$7)^AC$2))),IF($N55=Lists!$K$3,IF($L55&lt;1,((($T55*(1-$F55)+$S55*(1-$G55))/$L55)*((1+Inputs!$D$7)^AC$2)),((INT(AC$2/$L55)-INT((AC$2-1)/$L55))*($T55*(1-$F55)+$S55*(1-$G55))*((1+Inputs!$D$7)^AC$2))),((_xlfn.WEIBULL.DIST(AC$2,$M55,$L55,FALSE)*($T55*(1-$F55)+$S55*(1-$G55))*((1+Inputs!$D$7)^AC$2))))))</f>
        <v>0</v>
      </c>
      <c r="AD55" s="88">
        <f>$E55*IF(AD$2&gt;Inputs!$D$5,0,IF(AD$2&gt;VLOOKUP($H55,Lists!$P$3:$Q$7,2),IF($N55=Lists!$K$3,IF($L55&lt;1,(($U55/$L55)*((1+Inputs!$D$7)^AD$2)),((INT(AD$2/$L55)-INT((AD$2-1)/$L55))*$U55*((1+Inputs!$D$7)^AD$2))),(_xlfn.WEIBULL.DIST(AD$2,$M55,$L55,FALSE)*$U55*((1+Inputs!$D$7)^AD$2))),IF($N55=Lists!$K$3,IF($L55&lt;1,((($T55*(1-$F55)+$S55*(1-$G55))/$L55)*((1+Inputs!$D$7)^AD$2)),((INT(AD$2/$L55)-INT((AD$2-1)/$L55))*($T55*(1-$F55)+$S55*(1-$G55))*((1+Inputs!$D$7)^AD$2))),((_xlfn.WEIBULL.DIST(AD$2,$M55,$L55,FALSE)*($T55*(1-$F55)+$S55*(1-$G55))*((1+Inputs!$D$7)^AD$2))))))</f>
        <v>0</v>
      </c>
      <c r="AE55" s="88">
        <f>$E55*IF(AE$2&gt;Inputs!$D$5,0,IF(AE$2&gt;VLOOKUP($H55,Lists!$P$3:$Q$7,2),IF($N55=Lists!$K$3,IF($L55&lt;1,(($U55/$L55)*((1+Inputs!$D$7)^AE$2)),((INT(AE$2/$L55)-INT((AE$2-1)/$L55))*$U55*((1+Inputs!$D$7)^AE$2))),(_xlfn.WEIBULL.DIST(AE$2,$M55,$L55,FALSE)*$U55*((1+Inputs!$D$7)^AE$2))),IF($N55=Lists!$K$3,IF($L55&lt;1,((($T55*(1-$F55)+$S55*(1-$G55))/$L55)*((1+Inputs!$D$7)^AE$2)),((INT(AE$2/$L55)-INT((AE$2-1)/$L55))*($T55*(1-$F55)+$S55*(1-$G55))*((1+Inputs!$D$7)^AE$2))),((_xlfn.WEIBULL.DIST(AE$2,$M55,$L55,FALSE)*($T55*(1-$F55)+$S55*(1-$G55))*((1+Inputs!$D$7)^AE$2))))))</f>
        <v>0</v>
      </c>
      <c r="AF55" s="88">
        <f>$E55*IF(AF$2&gt;Inputs!$D$5,0,IF(AF$2&gt;VLOOKUP($H55,Lists!$P$3:$Q$7,2),IF($N55=Lists!$K$3,IF($L55&lt;1,(($U55/$L55)*((1+Inputs!$D$7)^AF$2)),((INT(AF$2/$L55)-INT((AF$2-1)/$L55))*$U55*((1+Inputs!$D$7)^AF$2))),(_xlfn.WEIBULL.DIST(AF$2,$M55,$L55,FALSE)*$U55*((1+Inputs!$D$7)^AF$2))),IF($N55=Lists!$K$3,IF($L55&lt;1,((($T55*(1-$F55)+$S55*(1-$G55))/$L55)*((1+Inputs!$D$7)^AF$2)),((INT(AF$2/$L55)-INT((AF$2-1)/$L55))*($T55*(1-$F55)+$S55*(1-$G55))*((1+Inputs!$D$7)^AF$2))),((_xlfn.WEIBULL.DIST(AF$2,$M55,$L55,FALSE)*($T55*(1-$F55)+$S55*(1-$G55))*((1+Inputs!$D$7)^AF$2))))))</f>
        <v>0</v>
      </c>
      <c r="AG55" s="88">
        <f>$E55*IF(AG$2&gt;Inputs!$D$5,0,IF(AG$2&gt;VLOOKUP($H55,Lists!$P$3:$Q$7,2),IF($N55=Lists!$K$3,IF($L55&lt;1,(($U55/$L55)*((1+Inputs!$D$7)^AG$2)),((INT(AG$2/$L55)-INT((AG$2-1)/$L55))*$U55*((1+Inputs!$D$7)^AG$2))),(_xlfn.WEIBULL.DIST(AG$2,$M55,$L55,FALSE)*$U55*((1+Inputs!$D$7)^AG$2))),IF($N55=Lists!$K$3,IF($L55&lt;1,((($T55*(1-$F55)+$S55*(1-$G55))/$L55)*((1+Inputs!$D$7)^AG$2)),((INT(AG$2/$L55)-INT((AG$2-1)/$L55))*($T55*(1-$F55)+$S55*(1-$G55))*((1+Inputs!$D$7)^AG$2))),((_xlfn.WEIBULL.DIST(AG$2,$M55,$L55,FALSE)*($T55*(1-$F55)+$S55*(1-$G55))*((1+Inputs!$D$7)^AG$2))))))</f>
        <v>0</v>
      </c>
      <c r="AH55" s="88">
        <f>$E55*IF(AH$2&gt;Inputs!$D$5,0,IF(AH$2&gt;VLOOKUP($H55,Lists!$P$3:$Q$7,2),IF($N55=Lists!$K$3,IF($L55&lt;1,(($U55/$L55)*((1+Inputs!$D$7)^AH$2)),((INT(AH$2/$L55)-INT((AH$2-1)/$L55))*$U55*((1+Inputs!$D$7)^AH$2))),(_xlfn.WEIBULL.DIST(AH$2,$M55,$L55,FALSE)*$U55*((1+Inputs!$D$7)^AH$2))),IF($N55=Lists!$K$3,IF($L55&lt;1,((($T55*(1-$F55)+$S55*(1-$G55))/$L55)*((1+Inputs!$D$7)^AH$2)),((INT(AH$2/$L55)-INT((AH$2-1)/$L55))*($T55*(1-$F55)+$S55*(1-$G55))*((1+Inputs!$D$7)^AH$2))),((_xlfn.WEIBULL.DIST(AH$2,$M55,$L55,FALSE)*($T55*(1-$F55)+$S55*(1-$G55))*((1+Inputs!$D$7)^AH$2))))))</f>
        <v>0</v>
      </c>
      <c r="AI55" s="88">
        <f>$E55*IF(AI$2&gt;Inputs!$D$5,0,IF(AI$2&gt;VLOOKUP($H55,Lists!$P$3:$Q$7,2),IF($N55=Lists!$K$3,IF($L55&lt;1,(($U55/$L55)*((1+Inputs!$D$7)^AI$2)),((INT(AI$2/$L55)-INT((AI$2-1)/$L55))*$U55*((1+Inputs!$D$7)^AI$2))),(_xlfn.WEIBULL.DIST(AI$2,$M55,$L55,FALSE)*$U55*((1+Inputs!$D$7)^AI$2))),IF($N55=Lists!$K$3,IF($L55&lt;1,((($T55*(1-$F55)+$S55*(1-$G55))/$L55)*((1+Inputs!$D$7)^AI$2)),((INT(AI$2/$L55)-INT((AI$2-1)/$L55))*($T55*(1-$F55)+$S55*(1-$G55))*((1+Inputs!$D$7)^AI$2))),((_xlfn.WEIBULL.DIST(AI$2,$M55,$L55,FALSE)*($T55*(1-$F55)+$S55*(1-$G55))*((1+Inputs!$D$7)^AI$2))))))</f>
        <v>0</v>
      </c>
      <c r="AJ55" s="88">
        <f>$E55*IF(AJ$2&gt;Inputs!$D$5,0,IF(AJ$2&gt;VLOOKUP($H55,Lists!$P$3:$Q$7,2),IF($N55=Lists!$K$3,IF($L55&lt;1,(($U55/$L55)*((1+Inputs!$D$7)^AJ$2)),((INT(AJ$2/$L55)-INT((AJ$2-1)/$L55))*$U55*((1+Inputs!$D$7)^AJ$2))),(_xlfn.WEIBULL.DIST(AJ$2,$M55,$L55,FALSE)*$U55*((1+Inputs!$D$7)^AJ$2))),IF($N55=Lists!$K$3,IF($L55&lt;1,((($T55*(1-$F55)+$S55*(1-$G55))/$L55)*((1+Inputs!$D$7)^AJ$2)),((INT(AJ$2/$L55)-INT((AJ$2-1)/$L55))*($T55*(1-$F55)+$S55*(1-$G55))*((1+Inputs!$D$7)^AJ$2))),((_xlfn.WEIBULL.DIST(AJ$2,$M55,$L55,FALSE)*($T55*(1-$F55)+$S55*(1-$G55))*((1+Inputs!$D$7)^AJ$2))))))</f>
        <v>0</v>
      </c>
      <c r="AK55" s="88">
        <f>$E55*IF(AK$2&gt;Inputs!$D$5,0,IF(AK$2&gt;VLOOKUP($H55,Lists!$P$3:$Q$7,2),IF($N55=Lists!$K$3,IF($L55&lt;1,(($U55/$L55)*((1+Inputs!$D$7)^AK$2)),((INT(AK$2/$L55)-INT((AK$2-1)/$L55))*$U55*((1+Inputs!$D$7)^AK$2))),(_xlfn.WEIBULL.DIST(AK$2,$M55,$L55,FALSE)*$U55*((1+Inputs!$D$7)^AK$2))),IF($N55=Lists!$K$3,IF($L55&lt;1,((($T55*(1-$F55)+$S55*(1-$G55))/$L55)*((1+Inputs!$D$7)^AK$2)),((INT(AK$2/$L55)-INT((AK$2-1)/$L55))*($T55*(1-$F55)+$S55*(1-$G55))*((1+Inputs!$D$7)^AK$2))),((_xlfn.WEIBULL.DIST(AK$2,$M55,$L55,FALSE)*($T55*(1-$F55)+$S55*(1-$G55))*((1+Inputs!$D$7)^AK$2))))))</f>
        <v>0</v>
      </c>
      <c r="AL55" s="88">
        <f>$E55*IF(AL$2&gt;Inputs!$D$5,0,IF(AL$2&gt;VLOOKUP($H55,Lists!$P$3:$Q$7,2),IF($N55=Lists!$K$3,IF($L55&lt;1,(($U55/$L55)*((1+Inputs!$D$7)^AL$2)),((INT(AL$2/$L55)-INT((AL$2-1)/$L55))*$U55*((1+Inputs!$D$7)^AL$2))),(_xlfn.WEIBULL.DIST(AL$2,$M55,$L55,FALSE)*$U55*((1+Inputs!$D$7)^AL$2))),IF($N55=Lists!$K$3,IF($L55&lt;1,((($T55*(1-$F55)+$S55*(1-$G55))/$L55)*((1+Inputs!$D$7)^AL$2)),((INT(AL$2/$L55)-INT((AL$2-1)/$L55))*($T55*(1-$F55)+$S55*(1-$G55))*((1+Inputs!$D$7)^AL$2))),((_xlfn.WEIBULL.DIST(AL$2,$M55,$L55,FALSE)*($T55*(1-$F55)+$S55*(1-$G55))*((1+Inputs!$D$7)^AL$2))))))</f>
        <v>0</v>
      </c>
      <c r="AM55" s="88">
        <f>$E55*IF(AM$2&gt;Inputs!$D$5,0,IF(AM$2&gt;VLOOKUP($H55,Lists!$P$3:$Q$7,2),IF($N55=Lists!$K$3,IF($L55&lt;1,(($U55/$L55)*((1+Inputs!$D$7)^AM$2)),((INT(AM$2/$L55)-INT((AM$2-1)/$L55))*$U55*((1+Inputs!$D$7)^AM$2))),(_xlfn.WEIBULL.DIST(AM$2,$M55,$L55,FALSE)*$U55*((1+Inputs!$D$7)^AM$2))),IF($N55=Lists!$K$3,IF($L55&lt;1,((($T55*(1-$F55)+$S55*(1-$G55))/$L55)*((1+Inputs!$D$7)^AM$2)),((INT(AM$2/$L55)-INT((AM$2-1)/$L55))*($T55*(1-$F55)+$S55*(1-$G55))*((1+Inputs!$D$7)^AM$2))),((_xlfn.WEIBULL.DIST(AM$2,$M55,$L55,FALSE)*($T55*(1-$F55)+$S55*(1-$G55))*((1+Inputs!$D$7)^AM$2))))))</f>
        <v>0</v>
      </c>
      <c r="AN55" s="88">
        <f>$E55*IF(AN$2&gt;Inputs!$D$5,0,IF(AN$2&gt;VLOOKUP($H55,Lists!$P$3:$Q$7,2),IF($N55=Lists!$K$3,IF($L55&lt;1,(($U55/$L55)*((1+Inputs!$D$7)^AN$2)),((INT(AN$2/$L55)-INT((AN$2-1)/$L55))*$U55*((1+Inputs!$D$7)^AN$2))),(_xlfn.WEIBULL.DIST(AN$2,$M55,$L55,FALSE)*$U55*((1+Inputs!$D$7)^AN$2))),IF($N55=Lists!$K$3,IF($L55&lt;1,((($T55*(1-$F55)+$S55*(1-$G55))/$L55)*((1+Inputs!$D$7)^AN$2)),((INT(AN$2/$L55)-INT((AN$2-1)/$L55))*($T55*(1-$F55)+$S55*(1-$G55))*((1+Inputs!$D$7)^AN$2))),((_xlfn.WEIBULL.DIST(AN$2,$M55,$L55,FALSE)*($T55*(1-$F55)+$S55*(1-$G55))*((1+Inputs!$D$7)^AN$2))))))</f>
        <v>0</v>
      </c>
      <c r="AO55" s="88">
        <f>$E55*IF(AO$2&gt;Inputs!$D$5,0,IF(AO$2&gt;VLOOKUP($H55,Lists!$P$3:$Q$7,2),IF($N55=Lists!$K$3,IF($L55&lt;1,(($U55/$L55)*((1+Inputs!$D$7)^AO$2)),((INT(AO$2/$L55)-INT((AO$2-1)/$L55))*$U55*((1+Inputs!$D$7)^AO$2))),(_xlfn.WEIBULL.DIST(AO$2,$M55,$L55,FALSE)*$U55*((1+Inputs!$D$7)^AO$2))),IF($N55=Lists!$K$3,IF($L55&lt;1,((($T55*(1-$F55)+$S55*(1-$G55))/$L55)*((1+Inputs!$D$7)^AO$2)),((INT(AO$2/$L55)-INT((AO$2-1)/$L55))*($T55*(1-$F55)+$S55*(1-$G55))*((1+Inputs!$D$7)^AO$2))),((_xlfn.WEIBULL.DIST(AO$2,$M55,$L55,FALSE)*($T55*(1-$F55)+$S55*(1-$G55))*((1+Inputs!$D$7)^AO$2))))))</f>
        <v>0</v>
      </c>
      <c r="AP55" s="88">
        <f>$E55*IF(AP$2&gt;Inputs!$D$5,0,IF(AP$2&gt;VLOOKUP($H55,Lists!$P$3:$Q$7,2),IF($N55=Lists!$K$3,IF($L55&lt;1,(($U55/$L55)*((1+Inputs!$D$7)^AP$2)),((INT(AP$2/$L55)-INT((AP$2-1)/$L55))*$U55*((1+Inputs!$D$7)^AP$2))),(_xlfn.WEIBULL.DIST(AP$2,$M55,$L55,FALSE)*$U55*((1+Inputs!$D$7)^AP$2))),IF($N55=Lists!$K$3,IF($L55&lt;1,((($T55*(1-$F55)+$S55*(1-$G55))/$L55)*((1+Inputs!$D$7)^AP$2)),((INT(AP$2/$L55)-INT((AP$2-1)/$L55))*($T55*(1-$F55)+$S55*(1-$G55))*((1+Inputs!$D$7)^AP$2))),((_xlfn.WEIBULL.DIST(AP$2,$M55,$L55,FALSE)*($T55*(1-$F55)+$S55*(1-$G55))*((1+Inputs!$D$7)^AP$2))))))</f>
        <v>0</v>
      </c>
      <c r="AQ55" s="88">
        <f>$E55*IF(AQ$2&gt;Inputs!$D$5,0,IF(AQ$2&gt;VLOOKUP($H55,Lists!$P$3:$Q$7,2),IF($N55=Lists!$K$3,IF($L55&lt;1,(($U55/$L55)*((1+Inputs!$D$7)^AQ$2)),((INT(AQ$2/$L55)-INT((AQ$2-1)/$L55))*$U55*((1+Inputs!$D$7)^AQ$2))),(_xlfn.WEIBULL.DIST(AQ$2,$M55,$L55,FALSE)*$U55*((1+Inputs!$D$7)^AQ$2))),IF($N55=Lists!$K$3,IF($L55&lt;1,((($T55*(1-$F55)+$S55*(1-$G55))/$L55)*((1+Inputs!$D$7)^AQ$2)),((INT(AQ$2/$L55)-INT((AQ$2-1)/$L55))*($T55*(1-$F55)+$S55*(1-$G55))*((1+Inputs!$D$7)^AQ$2))),((_xlfn.WEIBULL.DIST(AQ$2,$M55,$L55,FALSE)*($T55*(1-$F55)+$S55*(1-$G55))*((1+Inputs!$D$7)^AQ$2))))))</f>
        <v>0</v>
      </c>
      <c r="AR55" s="88">
        <f>$E55*IF(AR$2&gt;Inputs!$D$5,0,IF(AR$2&gt;VLOOKUP($H55,Lists!$P$3:$Q$7,2),IF($N55=Lists!$K$3,IF($L55&lt;1,(($U55/$L55)*((1+Inputs!$D$7)^AR$2)),((INT(AR$2/$L55)-INT((AR$2-1)/$L55))*$U55*((1+Inputs!$D$7)^AR$2))),(_xlfn.WEIBULL.DIST(AR$2,$M55,$L55,FALSE)*$U55*((1+Inputs!$D$7)^AR$2))),IF($N55=Lists!$K$3,IF($L55&lt;1,((($T55*(1-$F55)+$S55*(1-$G55))/$L55)*((1+Inputs!$D$7)^AR$2)),((INT(AR$2/$L55)-INT((AR$2-1)/$L55))*($T55*(1-$F55)+$S55*(1-$G55))*((1+Inputs!$D$7)^AR$2))),((_xlfn.WEIBULL.DIST(AR$2,$M55,$L55,FALSE)*($T55*(1-$F55)+$S55*(1-$G55))*((1+Inputs!$D$7)^AR$2))))))</f>
        <v>0</v>
      </c>
      <c r="AS55" s="88">
        <f>$E55*IF(AS$2&gt;Inputs!$D$5,0,IF(AS$2&gt;VLOOKUP($H55,Lists!$P$3:$Q$7,2),IF($N55=Lists!$K$3,IF($L55&lt;1,(($U55/$L55)*((1+Inputs!$D$7)^AS$2)),((INT(AS$2/$L55)-INT((AS$2-1)/$L55))*$U55*((1+Inputs!$D$7)^AS$2))),(_xlfn.WEIBULL.DIST(AS$2,$M55,$L55,FALSE)*$U55*((1+Inputs!$D$7)^AS$2))),IF($N55=Lists!$K$3,IF($L55&lt;1,((($T55*(1-$F55)+$S55*(1-$G55))/$L55)*((1+Inputs!$D$7)^AS$2)),((INT(AS$2/$L55)-INT((AS$2-1)/$L55))*($T55*(1-$F55)+$S55*(1-$G55))*((1+Inputs!$D$7)^AS$2))),((_xlfn.WEIBULL.DIST(AS$2,$M55,$L55,FALSE)*($T55*(1-$F55)+$S55*(1-$G55))*((1+Inputs!$D$7)^AS$2))))))</f>
        <v>0</v>
      </c>
      <c r="AT55" s="88">
        <f>$E55*IF(AT$2&gt;Inputs!$D$5,0,IF(AT$2&gt;VLOOKUP($H55,Lists!$P$3:$Q$7,2),IF($N55=Lists!$K$3,IF($L55&lt;1,(($U55/$L55)*((1+Inputs!$D$7)^AT$2)),((INT(AT$2/$L55)-INT((AT$2-1)/$L55))*$U55*((1+Inputs!$D$7)^AT$2))),(_xlfn.WEIBULL.DIST(AT$2,$M55,$L55,FALSE)*$U55*((1+Inputs!$D$7)^AT$2))),IF($N55=Lists!$K$3,IF($L55&lt;1,((($T55*(1-$F55)+$S55*(1-$G55))/$L55)*((1+Inputs!$D$7)^AT$2)),((INT(AT$2/$L55)-INT((AT$2-1)/$L55))*($T55*(1-$F55)+$S55*(1-$G55))*((1+Inputs!$D$7)^AT$2))),((_xlfn.WEIBULL.DIST(AT$2,$M55,$L55,FALSE)*($T55*(1-$F55)+$S55*(1-$G55))*((1+Inputs!$D$7)^AT$2))))))</f>
        <v>0</v>
      </c>
      <c r="AU55" s="88">
        <f>$E55*IF(AU$2&gt;Inputs!$D$5,0,IF(AU$2&gt;VLOOKUP($H55,Lists!$P$3:$Q$7,2),IF($N55=Lists!$K$3,IF($L55&lt;1,(($U55/$L55)*((1+Inputs!$D$7)^AU$2)),((INT(AU$2/$L55)-INT((AU$2-1)/$L55))*$U55*((1+Inputs!$D$7)^AU$2))),(_xlfn.WEIBULL.DIST(AU$2,$M55,$L55,FALSE)*$U55*((1+Inputs!$D$7)^AU$2))),IF($N55=Lists!$K$3,IF($L55&lt;1,((($T55*(1-$F55)+$S55*(1-$G55))/$L55)*((1+Inputs!$D$7)^AU$2)),((INT(AU$2/$L55)-INT((AU$2-1)/$L55))*($T55*(1-$F55)+$S55*(1-$G55))*((1+Inputs!$D$7)^AU$2))),((_xlfn.WEIBULL.DIST(AU$2,$M55,$L55,FALSE)*($T55*(1-$F55)+$S55*(1-$G55))*((1+Inputs!$D$7)^AU$2))))))</f>
        <v>0</v>
      </c>
      <c r="AV55" s="88">
        <f>$E55*IF(AV$2&gt;Inputs!$D$5,0,IF(AV$2&gt;VLOOKUP($H55,Lists!$P$3:$Q$7,2),IF($N55=Lists!$K$3,IF($L55&lt;1,(($U55/$L55)*((1+Inputs!$D$7)^AV$2)),((INT(AV$2/$L55)-INT((AV$2-1)/$L55))*$U55*((1+Inputs!$D$7)^AV$2))),(_xlfn.WEIBULL.DIST(AV$2,$M55,$L55,FALSE)*$U55*((1+Inputs!$D$7)^AV$2))),IF($N55=Lists!$K$3,IF($L55&lt;1,((($T55*(1-$F55)+$S55*(1-$G55))/$L55)*((1+Inputs!$D$7)^AV$2)),((INT(AV$2/$L55)-INT((AV$2-1)/$L55))*($T55*(1-$F55)+$S55*(1-$G55))*((1+Inputs!$D$7)^AV$2))),((_xlfn.WEIBULL.DIST(AV$2,$M55,$L55,FALSE)*($T55*(1-$F55)+$S55*(1-$G55))*((1+Inputs!$D$7)^AV$2))))))</f>
        <v>0</v>
      </c>
      <c r="AW55" s="88">
        <f>$E55*IF(AW$2&gt;Inputs!$D$5,0,IF(AW$2&gt;VLOOKUP($H55,Lists!$P$3:$Q$7,2),IF($N55=Lists!$K$3,IF($L55&lt;1,(($U55/$L55)*((1+Inputs!$D$7)^AW$2)),((INT(AW$2/$L55)-INT((AW$2-1)/$L55))*$U55*((1+Inputs!$D$7)^AW$2))),(_xlfn.WEIBULL.DIST(AW$2,$M55,$L55,FALSE)*$U55*((1+Inputs!$D$7)^AW$2))),IF($N55=Lists!$K$3,IF($L55&lt;1,((($T55*(1-$F55)+$S55*(1-$G55))/$L55)*((1+Inputs!$D$7)^AW$2)),((INT(AW$2/$L55)-INT((AW$2-1)/$L55))*($T55*(1-$F55)+$S55*(1-$G55))*((1+Inputs!$D$7)^AW$2))),((_xlfn.WEIBULL.DIST(AW$2,$M55,$L55,FALSE)*($T55*(1-$F55)+$S55*(1-$G55))*((1+Inputs!$D$7)^AW$2))))))</f>
        <v>0</v>
      </c>
      <c r="AX55" s="88">
        <f>$E55*IF(AX$2&gt;Inputs!$D$5,0,IF(AX$2&gt;VLOOKUP($H55,Lists!$P$3:$Q$7,2),IF($N55=Lists!$K$3,IF($L55&lt;1,(($U55/$L55)*((1+Inputs!$D$7)^AX$2)),((INT(AX$2/$L55)-INT((AX$2-1)/$L55))*$U55*((1+Inputs!$D$7)^AX$2))),(_xlfn.WEIBULL.DIST(AX$2,$M55,$L55,FALSE)*$U55*((1+Inputs!$D$7)^AX$2))),IF($N55=Lists!$K$3,IF($L55&lt;1,((($T55*(1-$F55)+$S55*(1-$G55))/$L55)*((1+Inputs!$D$7)^AX$2)),((INT(AX$2/$L55)-INT((AX$2-1)/$L55))*($T55*(1-$F55)+$S55*(1-$G55))*((1+Inputs!$D$7)^AX$2))),((_xlfn.WEIBULL.DIST(AX$2,$M55,$L55,FALSE)*($T55*(1-$F55)+$S55*(1-$G55))*((1+Inputs!$D$7)^AX$2))))))</f>
        <v>0</v>
      </c>
      <c r="AY55" s="88">
        <f>$E55*IF(AY$2&gt;Inputs!$D$5,0,IF(AY$2&gt;VLOOKUP($H55,Lists!$P$3:$Q$7,2),IF($N55=Lists!$K$3,IF($L55&lt;1,(($U55/$L55)*((1+Inputs!$D$7)^AY$2)),((INT(AY$2/$L55)-INT((AY$2-1)/$L55))*$U55*((1+Inputs!$D$7)^AY$2))),(_xlfn.WEIBULL.DIST(AY$2,$M55,$L55,FALSE)*$U55*((1+Inputs!$D$7)^AY$2))),IF($N55=Lists!$K$3,IF($L55&lt;1,((($T55*(1-$F55)+$S55*(1-$G55))/$L55)*((1+Inputs!$D$7)^AY$2)),((INT(AY$2/$L55)-INT((AY$2-1)/$L55))*($T55*(1-$F55)+$S55*(1-$G55))*((1+Inputs!$D$7)^AY$2))),((_xlfn.WEIBULL.DIST(AY$2,$M55,$L55,FALSE)*($T55*(1-$F55)+$S55*(1-$G55))*((1+Inputs!$D$7)^AY$2))))))</f>
        <v>0</v>
      </c>
      <c r="AZ55" s="88">
        <f>$E55*IF(AZ$2&gt;Inputs!$D$5,0,IF(AZ$2&gt;VLOOKUP($H55,Lists!$P$3:$Q$7,2),IF($N55=Lists!$K$3,IF($L55&lt;1,(($U55/$L55)*((1+Inputs!$D$7)^AZ$2)),((INT(AZ$2/$L55)-INT((AZ$2-1)/$L55))*$U55*((1+Inputs!$D$7)^AZ$2))),(_xlfn.WEIBULL.DIST(AZ$2,$M55,$L55,FALSE)*$U55*((1+Inputs!$D$7)^AZ$2))),IF($N55=Lists!$K$3,IF($L55&lt;1,((($T55*(1-$F55)+$S55*(1-$G55))/$L55)*((1+Inputs!$D$7)^AZ$2)),((INT(AZ$2/$L55)-INT((AZ$2-1)/$L55))*($T55*(1-$F55)+$S55*(1-$G55))*((1+Inputs!$D$7)^AZ$2))),((_xlfn.WEIBULL.DIST(AZ$2,$M55,$L55,FALSE)*($T55*(1-$F55)+$S55*(1-$G55))*((1+Inputs!$D$7)^AZ$2))))))</f>
        <v>0</v>
      </c>
      <c r="BA55" s="88">
        <f>$E55*IF(BA$2&gt;Inputs!$D$5,0,IF(BA$2&gt;VLOOKUP($H55,Lists!$P$3:$Q$7,2),IF($N55=Lists!$K$3,IF($L55&lt;1,(($U55/$L55)*((1+Inputs!$D$7)^BA$2)),((INT(BA$2/$L55)-INT((BA$2-1)/$L55))*$U55*((1+Inputs!$D$7)^BA$2))),(_xlfn.WEIBULL.DIST(BA$2,$M55,$L55,FALSE)*$U55*((1+Inputs!$D$7)^BA$2))),IF($N55=Lists!$K$3,IF($L55&lt;1,((($T55*(1-$F55)+$S55*(1-$G55))/$L55)*((1+Inputs!$D$7)^BA$2)),((INT(BA$2/$L55)-INT((BA$2-1)/$L55))*($T55*(1-$F55)+$S55*(1-$G55))*((1+Inputs!$D$7)^BA$2))),((_xlfn.WEIBULL.DIST(BA$2,$M55,$L55,FALSE)*($T55*(1-$F55)+$S55*(1-$G55))*((1+Inputs!$D$7)^BA$2))))))</f>
        <v>0</v>
      </c>
      <c r="BB55" s="88">
        <f>$E55*IF(BB$2&gt;Inputs!$D$5,0,IF(BB$2&gt;VLOOKUP($H55,Lists!$P$3:$Q$7,2),IF($N55=Lists!$K$3,IF($L55&lt;1,(($U55/$L55)*((1+Inputs!$D$7)^BB$2)),((INT(BB$2/$L55)-INT((BB$2-1)/$L55))*$U55*((1+Inputs!$D$7)^BB$2))),(_xlfn.WEIBULL.DIST(BB$2,$M55,$L55,FALSE)*$U55*((1+Inputs!$D$7)^BB$2))),IF($N55=Lists!$K$3,IF($L55&lt;1,((($T55*(1-$F55)+$S55*(1-$G55))/$L55)*((1+Inputs!$D$7)^BB$2)),((INT(BB$2/$L55)-INT((BB$2-1)/$L55))*($T55*(1-$F55)+$S55*(1-$G55))*((1+Inputs!$D$7)^BB$2))),((_xlfn.WEIBULL.DIST(BB$2,$M55,$L55,FALSE)*($T55*(1-$F55)+$S55*(1-$G55))*((1+Inputs!$D$7)^BB$2))))))</f>
        <v>0</v>
      </c>
      <c r="BC55" s="88">
        <f>$E55*IF(BC$2&gt;Inputs!$D$5,0,IF(BC$2&gt;VLOOKUP($H55,Lists!$P$3:$Q$7,2),IF($N55=Lists!$K$3,IF($L55&lt;1,(($U55/$L55)*((1+Inputs!$D$7)^BC$2)),((INT(BC$2/$L55)-INT((BC$2-1)/$L55))*$U55*((1+Inputs!$D$7)^BC$2))),(_xlfn.WEIBULL.DIST(BC$2,$M55,$L55,FALSE)*$U55*((1+Inputs!$D$7)^BC$2))),IF($N55=Lists!$K$3,IF($L55&lt;1,((($T55*(1-$F55)+$S55*(1-$G55))/$L55)*((1+Inputs!$D$7)^BC$2)),((INT(BC$2/$L55)-INT((BC$2-1)/$L55))*($T55*(1-$F55)+$S55*(1-$G55))*((1+Inputs!$D$7)^BC$2))),((_xlfn.WEIBULL.DIST(BC$2,$M55,$L55,FALSE)*($T55*(1-$F55)+$S55*(1-$G55))*((1+Inputs!$D$7)^BC$2))))))</f>
        <v>0</v>
      </c>
      <c r="BD55" s="88">
        <f>$E55*IF(BD$2&gt;Inputs!$D$5,0,IF(BD$2&gt;VLOOKUP($H55,Lists!$P$3:$Q$7,2),IF($N55=Lists!$K$3,IF($L55&lt;1,(($U55/$L55)*((1+Inputs!$D$7)^BD$2)),((INT(BD$2/$L55)-INT((BD$2-1)/$L55))*$U55*((1+Inputs!$D$7)^BD$2))),(_xlfn.WEIBULL.DIST(BD$2,$M55,$L55,FALSE)*$U55*((1+Inputs!$D$7)^BD$2))),IF($N55=Lists!$K$3,IF($L55&lt;1,((($T55*(1-$F55)+$S55*(1-$G55))/$L55)*((1+Inputs!$D$7)^BD$2)),((INT(BD$2/$L55)-INT((BD$2-1)/$L55))*($T55*(1-$F55)+$S55*(1-$G55))*((1+Inputs!$D$7)^BD$2))),((_xlfn.WEIBULL.DIST(BD$2,$M55,$L55,FALSE)*($T55*(1-$F55)+$S55*(1-$G55))*((1+Inputs!$D$7)^BD$2))))))</f>
        <v>0</v>
      </c>
      <c r="BE55" s="88">
        <f>$E55*IF(BE$2&gt;Inputs!$D$5,0,IF(BE$2&gt;VLOOKUP($H55,Lists!$P$3:$Q$7,2),IF($N55=Lists!$K$3,IF($L55&lt;1,(($U55/$L55)*((1+Inputs!$D$7)^BE$2)),((INT(BE$2/$L55)-INT((BE$2-1)/$L55))*$U55*((1+Inputs!$D$7)^BE$2))),(_xlfn.WEIBULL.DIST(BE$2,$M55,$L55,FALSE)*$U55*((1+Inputs!$D$7)^BE$2))),IF($N55=Lists!$K$3,IF($L55&lt;1,((($T55*(1-$F55)+$S55*(1-$G55))/$L55)*((1+Inputs!$D$7)^BE$2)),((INT(BE$2/$L55)-INT((BE$2-1)/$L55))*($T55*(1-$F55)+$S55*(1-$G55))*((1+Inputs!$D$7)^BE$2))),((_xlfn.WEIBULL.DIST(BE$2,$M55,$L55,FALSE)*($T55*(1-$F55)+$S55*(1-$G55))*((1+Inputs!$D$7)^BE$2))))))</f>
        <v>0</v>
      </c>
      <c r="BF55" s="88">
        <f>$E55*IF(BF$2&gt;Inputs!$D$5,0,IF(BF$2&gt;VLOOKUP($H55,Lists!$P$3:$Q$7,2),IF($N55=Lists!$K$3,IF($L55&lt;1,(($U55/$L55)*((1+Inputs!$D$7)^BF$2)),((INT(BF$2/$L55)-INT((BF$2-1)/$L55))*$U55*((1+Inputs!$D$7)^BF$2))),(_xlfn.WEIBULL.DIST(BF$2,$M55,$L55,FALSE)*$U55*((1+Inputs!$D$7)^BF$2))),IF($N55=Lists!$K$3,IF($L55&lt;1,((($T55*(1-$F55)+$S55*(1-$G55))/$L55)*((1+Inputs!$D$7)^BF$2)),((INT(BF$2/$L55)-INT((BF$2-1)/$L55))*($T55*(1-$F55)+$S55*(1-$G55))*((1+Inputs!$D$7)^BF$2))),((_xlfn.WEIBULL.DIST(BF$2,$M55,$L55,FALSE)*($T55*(1-$F55)+$S55*(1-$G55))*((1+Inputs!$D$7)^BF$2))))))</f>
        <v>0</v>
      </c>
      <c r="BG55" s="88">
        <f>$E55*IF(BG$2&gt;Inputs!$D$5,0,IF(BG$2&gt;VLOOKUP($H55,Lists!$P$3:$Q$7,2),IF($N55=Lists!$K$3,IF($L55&lt;1,(($U55/$L55)*((1+Inputs!$D$7)^BG$2)),((INT(BG$2/$L55)-INT((BG$2-1)/$L55))*$U55*((1+Inputs!$D$7)^BG$2))),(_xlfn.WEIBULL.DIST(BG$2,$M55,$L55,FALSE)*$U55*((1+Inputs!$D$7)^BG$2))),IF($N55=Lists!$K$3,IF($L55&lt;1,((($T55*(1-$F55)+$S55*(1-$G55))/$L55)*((1+Inputs!$D$7)^BG$2)),((INT(BG$2/$L55)-INT((BG$2-1)/$L55))*($T55*(1-$F55)+$S55*(1-$G55))*((1+Inputs!$D$7)^BG$2))),((_xlfn.WEIBULL.DIST(BG$2,$M55,$L55,FALSE)*($T55*(1-$F55)+$S55*(1-$G55))*((1+Inputs!$D$7)^BG$2))))))</f>
        <v>0</v>
      </c>
      <c r="BH55" s="88">
        <f>$E55*IF(BH$2&gt;Inputs!$D$5,0,IF(BH$2&gt;VLOOKUP($H55,Lists!$P$3:$Q$7,2),IF($N55=Lists!$K$3,IF($L55&lt;1,(($U55/$L55)*((1+Inputs!$D$7)^BH$2)),((INT(BH$2/$L55)-INT((BH$2-1)/$L55))*$U55*((1+Inputs!$D$7)^BH$2))),(_xlfn.WEIBULL.DIST(BH$2,$M55,$L55,FALSE)*$U55*((1+Inputs!$D$7)^BH$2))),IF($N55=Lists!$K$3,IF($L55&lt;1,((($T55*(1-$F55)+$S55*(1-$G55))/$L55)*((1+Inputs!$D$7)^BH$2)),((INT(BH$2/$L55)-INT((BH$2-1)/$L55))*($T55*(1-$F55)+$S55*(1-$G55))*((1+Inputs!$D$7)^BH$2))),((_xlfn.WEIBULL.DIST(BH$2,$M55,$L55,FALSE)*($T55*(1-$F55)+$S55*(1-$G55))*((1+Inputs!$D$7)^BH$2))))))</f>
        <v>0</v>
      </c>
      <c r="BI55" s="88">
        <f>$E55*IF(BI$2&gt;Inputs!$D$5,0,IF(BI$2&gt;VLOOKUP($H55,Lists!$P$3:$Q$7,2),IF($N55=Lists!$K$3,IF($L55&lt;1,(($U55/$L55)*((1+Inputs!$D$7)^BI$2)),((INT(BI$2/$L55)-INT((BI$2-1)/$L55))*$U55*((1+Inputs!$D$7)^BI$2))),(_xlfn.WEIBULL.DIST(BI$2,$M55,$L55,FALSE)*$U55*((1+Inputs!$D$7)^BI$2))),IF($N55=Lists!$K$3,IF($L55&lt;1,((($T55*(1-$F55)+$S55*(1-$G55))/$L55)*((1+Inputs!$D$7)^BI$2)),((INT(BI$2/$L55)-INT((BI$2-1)/$L55))*($T55*(1-$F55)+$S55*(1-$G55))*((1+Inputs!$D$7)^BI$2))),((_xlfn.WEIBULL.DIST(BI$2,$M55,$L55,FALSE)*($T55*(1-$F55)+$S55*(1-$G55))*((1+Inputs!$D$7)^BI$2))))))</f>
        <v>0</v>
      </c>
      <c r="BJ55" s="88">
        <f>$E55*IF(BJ$2&gt;Inputs!$D$5,0,IF(BJ$2&gt;VLOOKUP($H55,Lists!$P$3:$Q$7,2),IF($N55=Lists!$K$3,IF($L55&lt;1,(($U55/$L55)*((1+Inputs!$D$7)^BJ$2)),((INT(BJ$2/$L55)-INT((BJ$2-1)/$L55))*$U55*((1+Inputs!$D$7)^BJ$2))),(_xlfn.WEIBULL.DIST(BJ$2,$M55,$L55,FALSE)*$U55*((1+Inputs!$D$7)^BJ$2))),IF($N55=Lists!$K$3,IF($L55&lt;1,((($T55*(1-$F55)+$S55*(1-$G55))/$L55)*((1+Inputs!$D$7)^BJ$2)),((INT(BJ$2/$L55)-INT((BJ$2-1)/$L55))*($T55*(1-$F55)+$S55*(1-$G55))*((1+Inputs!$D$7)^BJ$2))),((_xlfn.WEIBULL.DIST(BJ$2,$M55,$L55,FALSE)*($T55*(1-$F55)+$S55*(1-$G55))*((1+Inputs!$D$7)^BJ$2))))))</f>
        <v>0</v>
      </c>
      <c r="BK55" s="88">
        <f>$E55*IF(BK$2&gt;Inputs!$D$5,0,IF(BK$2&gt;VLOOKUP($H55,Lists!$P$3:$Q$7,2),IF($N55=Lists!$K$3,IF($L55&lt;1,(($U55/$L55)*((1+Inputs!$D$7)^BK$2)),((INT(BK$2/$L55)-INT((BK$2-1)/$L55))*$U55*((1+Inputs!$D$7)^BK$2))),(_xlfn.WEIBULL.DIST(BK$2,$M55,$L55,FALSE)*$U55*((1+Inputs!$D$7)^BK$2))),IF($N55=Lists!$K$3,IF($L55&lt;1,((($T55*(1-$F55)+$S55*(1-$G55))/$L55)*((1+Inputs!$D$7)^BK$2)),((INT(BK$2/$L55)-INT((BK$2-1)/$L55))*($T55*(1-$F55)+$S55*(1-$G55))*((1+Inputs!$D$7)^BK$2))),((_xlfn.WEIBULL.DIST(BK$2,$M55,$L55,FALSE)*($T55*(1-$F55)+$S55*(1-$G55))*((1+Inputs!$D$7)^BK$2))))))</f>
        <v>0</v>
      </c>
      <c r="BL55" s="88">
        <f>$E55*IF(BL$2&gt;Inputs!$D$5,0,IF(BL$2&gt;VLOOKUP($H55,Lists!$P$3:$Q$7,2),IF($N55=Lists!$K$3,IF($L55&lt;1,(($U55/$L55)*((1+Inputs!$D$7)^BL$2)),((INT(BL$2/$L55)-INT((BL$2-1)/$L55))*$U55*((1+Inputs!$D$7)^BL$2))),(_xlfn.WEIBULL.DIST(BL$2,$M55,$L55,FALSE)*$U55*((1+Inputs!$D$7)^BL$2))),IF($N55=Lists!$K$3,IF($L55&lt;1,((($T55*(1-$F55)+$S55*(1-$G55))/$L55)*((1+Inputs!$D$7)^BL$2)),((INT(BL$2/$L55)-INT((BL$2-1)/$L55))*($T55*(1-$F55)+$S55*(1-$G55))*((1+Inputs!$D$7)^BL$2))),((_xlfn.WEIBULL.DIST(BL$2,$M55,$L55,FALSE)*($T55*(1-$F55)+$S55*(1-$G55))*((1+Inputs!$D$7)^BL$2))))))</f>
        <v>0</v>
      </c>
      <c r="BM55" s="88">
        <f>$E55*IF(BM$2&gt;Inputs!$D$5,0,IF(BM$2&gt;VLOOKUP($H55,Lists!$P$3:$Q$7,2),IF($N55=Lists!$K$3,IF($L55&lt;1,(($U55/$L55)*((1+Inputs!$D$7)^BM$2)),((INT(BM$2/$L55)-INT((BM$2-1)/$L55))*$U55*((1+Inputs!$D$7)^BM$2))),(_xlfn.WEIBULL.DIST(BM$2,$M55,$L55,FALSE)*$U55*((1+Inputs!$D$7)^BM$2))),IF($N55=Lists!$K$3,IF($L55&lt;1,((($T55*(1-$F55)+$S55*(1-$G55))/$L55)*((1+Inputs!$D$7)^BM$2)),((INT(BM$2/$L55)-INT((BM$2-1)/$L55))*($T55*(1-$F55)+$S55*(1-$G55))*((1+Inputs!$D$7)^BM$2))),((_xlfn.WEIBULL.DIST(BM$2,$M55,$L55,FALSE)*($T55*(1-$F55)+$S55*(1-$G55))*((1+Inputs!$D$7)^BM$2))))))</f>
        <v>0</v>
      </c>
      <c r="BN55" s="88">
        <f>$E55*IF(BN$2&gt;Inputs!$D$5,0,IF(BN$2&gt;VLOOKUP($H55,Lists!$P$3:$Q$7,2),IF($N55=Lists!$K$3,IF($L55&lt;1,(($U55/$L55)*((1+Inputs!$D$7)^BN$2)),((INT(BN$2/$L55)-INT((BN$2-1)/$L55))*$U55*((1+Inputs!$D$7)^BN$2))),(_xlfn.WEIBULL.DIST(BN$2,$M55,$L55,FALSE)*$U55*((1+Inputs!$D$7)^BN$2))),IF($N55=Lists!$K$3,IF($L55&lt;1,((($T55*(1-$F55)+$S55*(1-$G55))/$L55)*((1+Inputs!$D$7)^BN$2)),((INT(BN$2/$L55)-INT((BN$2-1)/$L55))*($T55*(1-$F55)+$S55*(1-$G55))*((1+Inputs!$D$7)^BN$2))),((_xlfn.WEIBULL.DIST(BN$2,$M55,$L55,FALSE)*($T55*(1-$F55)+$S55*(1-$G55))*((1+Inputs!$D$7)^BN$2))))))</f>
        <v>0</v>
      </c>
      <c r="BO55" s="64">
        <f>NPV(Inputs!$D$6,BQ55:DD55)</f>
        <v>0</v>
      </c>
      <c r="BP55" s="67">
        <f t="shared" si="13"/>
        <v>0</v>
      </c>
      <c r="BQ55" s="88">
        <f>MAX(AA55,($E55*IF(BQ$2&gt;Inputs!$D$5,0,IF(BQ$2&gt;VLOOKUP($H55,Lists!$P$3:$Q$7,2),IF($N55=Lists!$K$3,IF($L55&lt;1,(($U55/$L55)*((1+Inputs!$D$7)^BQ$2)),((INT(BQ$2/$L55)-INT((BQ$2-1)/$L55))*$U55*((1+Inputs!$D$7)^BQ$2))),(Inputs!$D$8^((1-_xlfn.WEIBULL.DIST(BQ$2,$M55,$L55,FALSE))/_xlfn.WEIBULL.DIST(BQ$2,$M55,$L55,FALSE))*$U55*((1+Inputs!$D$7)^BQ$2))),IF($N55=Lists!$K$3,IF($L55&lt;1,((($T55*(1-$F55)+$S55*(1-$G55))/$L55)*((1+Inputs!$D$7)^BQ$2)),((INT(BQ$2/$L55)-INT((BQ$2-1)/$L55))*($T55*(1-$F55)+$S55*(1-$G55))*((1+Inputs!$D$7)^BQ$2))),((Inputs!$D$8^((1-_xlfn.WEIBULL.DIST(BQ$2,$M55,$L55,FALSE))/_xlfn.WEIBULL.DIST(BQ$2,$M55,$L55,FALSE))*($T55*(1-$F55)+$S55*(1-$G55))*((1+Inputs!$D$7)^BQ$2))))))))</f>
        <v>0</v>
      </c>
      <c r="BR55" s="88">
        <f>MAX(AB55,($E55*IF(BR$2&gt;Inputs!$D$5,0,IF(BR$2&gt;VLOOKUP($H55,Lists!$P$3:$Q$7,2),IF($N55=Lists!$K$3,IF($L55&lt;1,(($U55/$L55)*((1+Inputs!$D$7)^BR$2)),((INT(BR$2/$L55)-INT((BR$2-1)/$L55))*$U55*((1+Inputs!$D$7)^BR$2))),(Inputs!$D$8^((1-_xlfn.WEIBULL.DIST(BR$2,$M55,$L55,FALSE))/_xlfn.WEIBULL.DIST(BR$2,$M55,$L55,FALSE))*$U55*((1+Inputs!$D$7)^BR$2))),IF($N55=Lists!$K$3,IF($L55&lt;1,((($T55*(1-$F55)+$S55*(1-$G55))/$L55)*((1+Inputs!$D$7)^BR$2)),((INT(BR$2/$L55)-INT((BR$2-1)/$L55))*($T55*(1-$F55)+$S55*(1-$G55))*((1+Inputs!$D$7)^BR$2))),((Inputs!$D$8^((1-_xlfn.WEIBULL.DIST(BR$2,$M55,$L55,FALSE))/_xlfn.WEIBULL.DIST(BR$2,$M55,$L55,FALSE))*($T55*(1-$F55)+$S55*(1-$G55))*((1+Inputs!$D$7)^BR$2))))))))</f>
        <v>0</v>
      </c>
      <c r="BS55" s="88">
        <f>MAX(AC55,($E55*IF(BS$2&gt;Inputs!$D$5,0,IF(BS$2&gt;VLOOKUP($H55,Lists!$P$3:$Q$7,2),IF($N55=Lists!$K$3,IF($L55&lt;1,(($U55/$L55)*((1+Inputs!$D$7)^BS$2)),((INT(BS$2/$L55)-INT((BS$2-1)/$L55))*$U55*((1+Inputs!$D$7)^BS$2))),(Inputs!$D$8^((1-_xlfn.WEIBULL.DIST(BS$2,$M55,$L55,FALSE))/_xlfn.WEIBULL.DIST(BS$2,$M55,$L55,FALSE))*$U55*((1+Inputs!$D$7)^BS$2))),IF($N55=Lists!$K$3,IF($L55&lt;1,((($T55*(1-$F55)+$S55*(1-$G55))/$L55)*((1+Inputs!$D$7)^BS$2)),((INT(BS$2/$L55)-INT((BS$2-1)/$L55))*($T55*(1-$F55)+$S55*(1-$G55))*((1+Inputs!$D$7)^BS$2))),((Inputs!$D$8^((1-_xlfn.WEIBULL.DIST(BS$2,$M55,$L55,FALSE))/_xlfn.WEIBULL.DIST(BS$2,$M55,$L55,FALSE))*($T55*(1-$F55)+$S55*(1-$G55))*((1+Inputs!$D$7)^BS$2))))))))</f>
        <v>0</v>
      </c>
      <c r="BT55" s="88">
        <f>MAX(AD55,($E55*IF(BT$2&gt;Inputs!$D$5,0,IF(BT$2&gt;VLOOKUP($H55,Lists!$P$3:$Q$7,2),IF($N55=Lists!$K$3,IF($L55&lt;1,(($U55/$L55)*((1+Inputs!$D$7)^BT$2)),((INT(BT$2/$L55)-INT((BT$2-1)/$L55))*$U55*((1+Inputs!$D$7)^BT$2))),(Inputs!$D$8^((1-_xlfn.WEIBULL.DIST(BT$2,$M55,$L55,FALSE))/_xlfn.WEIBULL.DIST(BT$2,$M55,$L55,FALSE))*$U55*((1+Inputs!$D$7)^BT$2))),IF($N55=Lists!$K$3,IF($L55&lt;1,((($T55*(1-$F55)+$S55*(1-$G55))/$L55)*((1+Inputs!$D$7)^BT$2)),((INT(BT$2/$L55)-INT((BT$2-1)/$L55))*($T55*(1-$F55)+$S55*(1-$G55))*((1+Inputs!$D$7)^BT$2))),((Inputs!$D$8^((1-_xlfn.WEIBULL.DIST(BT$2,$M55,$L55,FALSE))/_xlfn.WEIBULL.DIST(BT$2,$M55,$L55,FALSE))*($T55*(1-$F55)+$S55*(1-$G55))*((1+Inputs!$D$7)^BT$2))))))))</f>
        <v>0</v>
      </c>
      <c r="BU55" s="88">
        <f>MAX(AE55,($E55*IF(BU$2&gt;Inputs!$D$5,0,IF(BU$2&gt;VLOOKUP($H55,Lists!$P$3:$Q$7,2),IF($N55=Lists!$K$3,IF($L55&lt;1,(($U55/$L55)*((1+Inputs!$D$7)^BU$2)),((INT(BU$2/$L55)-INT((BU$2-1)/$L55))*$U55*((1+Inputs!$D$7)^BU$2))),(Inputs!$D$8^((1-_xlfn.WEIBULL.DIST(BU$2,$M55,$L55,FALSE))/_xlfn.WEIBULL.DIST(BU$2,$M55,$L55,FALSE))*$U55*((1+Inputs!$D$7)^BU$2))),IF($N55=Lists!$K$3,IF($L55&lt;1,((($T55*(1-$F55)+$S55*(1-$G55))/$L55)*((1+Inputs!$D$7)^BU$2)),((INT(BU$2/$L55)-INT((BU$2-1)/$L55))*($T55*(1-$F55)+$S55*(1-$G55))*((1+Inputs!$D$7)^BU$2))),((Inputs!$D$8^((1-_xlfn.WEIBULL.DIST(BU$2,$M55,$L55,FALSE))/_xlfn.WEIBULL.DIST(BU$2,$M55,$L55,FALSE))*($T55*(1-$F55)+$S55*(1-$G55))*((1+Inputs!$D$7)^BU$2))))))))</f>
        <v>0</v>
      </c>
      <c r="BV55" s="88">
        <f>MAX(AF55,($E55*IF(BV$2&gt;Inputs!$D$5,0,IF(BV$2&gt;VLOOKUP($H55,Lists!$P$3:$Q$7,2),IF($N55=Lists!$K$3,IF($L55&lt;1,(($U55/$L55)*((1+Inputs!$D$7)^BV$2)),((INT(BV$2/$L55)-INT((BV$2-1)/$L55))*$U55*((1+Inputs!$D$7)^BV$2))),(Inputs!$D$8^((1-_xlfn.WEIBULL.DIST(BV$2,$M55,$L55,FALSE))/_xlfn.WEIBULL.DIST(BV$2,$M55,$L55,FALSE))*$U55*((1+Inputs!$D$7)^BV$2))),IF($N55=Lists!$K$3,IF($L55&lt;1,((($T55*(1-$F55)+$S55*(1-$G55))/$L55)*((1+Inputs!$D$7)^BV$2)),((INT(BV$2/$L55)-INT((BV$2-1)/$L55))*($T55*(1-$F55)+$S55*(1-$G55))*((1+Inputs!$D$7)^BV$2))),((Inputs!$D$8^((1-_xlfn.WEIBULL.DIST(BV$2,$M55,$L55,FALSE))/_xlfn.WEIBULL.DIST(BV$2,$M55,$L55,FALSE))*($T55*(1-$F55)+$S55*(1-$G55))*((1+Inputs!$D$7)^BV$2))))))))</f>
        <v>0</v>
      </c>
      <c r="BW55" s="88">
        <f>MAX(AG55,($E55*IF(BW$2&gt;Inputs!$D$5,0,IF(BW$2&gt;VLOOKUP($H55,Lists!$P$3:$Q$7,2),IF($N55=Lists!$K$3,IF($L55&lt;1,(($U55/$L55)*((1+Inputs!$D$7)^BW$2)),((INT(BW$2/$L55)-INT((BW$2-1)/$L55))*$U55*((1+Inputs!$D$7)^BW$2))),(Inputs!$D$8^((1-_xlfn.WEIBULL.DIST(BW$2,$M55,$L55,FALSE))/_xlfn.WEIBULL.DIST(BW$2,$M55,$L55,FALSE))*$U55*((1+Inputs!$D$7)^BW$2))),IF($N55=Lists!$K$3,IF($L55&lt;1,((($T55*(1-$F55)+$S55*(1-$G55))/$L55)*((1+Inputs!$D$7)^BW$2)),((INT(BW$2/$L55)-INT((BW$2-1)/$L55))*($T55*(1-$F55)+$S55*(1-$G55))*((1+Inputs!$D$7)^BW$2))),((Inputs!$D$8^((1-_xlfn.WEIBULL.DIST(BW$2,$M55,$L55,FALSE))/_xlfn.WEIBULL.DIST(BW$2,$M55,$L55,FALSE))*($T55*(1-$F55)+$S55*(1-$G55))*((1+Inputs!$D$7)^BW$2))))))))</f>
        <v>0</v>
      </c>
      <c r="BX55" s="88">
        <f>MAX(AH55,($E55*IF(BX$2&gt;Inputs!$D$5,0,IF(BX$2&gt;VLOOKUP($H55,Lists!$P$3:$Q$7,2),IF($N55=Lists!$K$3,IF($L55&lt;1,(($U55/$L55)*((1+Inputs!$D$7)^BX$2)),((INT(BX$2/$L55)-INT((BX$2-1)/$L55))*$U55*((1+Inputs!$D$7)^BX$2))),(Inputs!$D$8^((1-_xlfn.WEIBULL.DIST(BX$2,$M55,$L55,FALSE))/_xlfn.WEIBULL.DIST(BX$2,$M55,$L55,FALSE))*$U55*((1+Inputs!$D$7)^BX$2))),IF($N55=Lists!$K$3,IF($L55&lt;1,((($T55*(1-$F55)+$S55*(1-$G55))/$L55)*((1+Inputs!$D$7)^BX$2)),((INT(BX$2/$L55)-INT((BX$2-1)/$L55))*($T55*(1-$F55)+$S55*(1-$G55))*((1+Inputs!$D$7)^BX$2))),((Inputs!$D$8^((1-_xlfn.WEIBULL.DIST(BX$2,$M55,$L55,FALSE))/_xlfn.WEIBULL.DIST(BX$2,$M55,$L55,FALSE))*($T55*(1-$F55)+$S55*(1-$G55))*((1+Inputs!$D$7)^BX$2))))))))</f>
        <v>0</v>
      </c>
      <c r="BY55" s="88">
        <f>MAX(AI55,($E55*IF(BY$2&gt;Inputs!$D$5,0,IF(BY$2&gt;VLOOKUP($H55,Lists!$P$3:$Q$7,2),IF($N55=Lists!$K$3,IF($L55&lt;1,(($U55/$L55)*((1+Inputs!$D$7)^BY$2)),((INT(BY$2/$L55)-INT((BY$2-1)/$L55))*$U55*((1+Inputs!$D$7)^BY$2))),(Inputs!$D$8^((1-_xlfn.WEIBULL.DIST(BY$2,$M55,$L55,FALSE))/_xlfn.WEIBULL.DIST(BY$2,$M55,$L55,FALSE))*$U55*((1+Inputs!$D$7)^BY$2))),IF($N55=Lists!$K$3,IF($L55&lt;1,((($T55*(1-$F55)+$S55*(1-$G55))/$L55)*((1+Inputs!$D$7)^BY$2)),((INT(BY$2/$L55)-INT((BY$2-1)/$L55))*($T55*(1-$F55)+$S55*(1-$G55))*((1+Inputs!$D$7)^BY$2))),((Inputs!$D$8^((1-_xlfn.WEIBULL.DIST(BY$2,$M55,$L55,FALSE))/_xlfn.WEIBULL.DIST(BY$2,$M55,$L55,FALSE))*($T55*(1-$F55)+$S55*(1-$G55))*((1+Inputs!$D$7)^BY$2))))))))</f>
        <v>0</v>
      </c>
      <c r="BZ55" s="88">
        <f>MAX(AJ55,($E55*IF(BZ$2&gt;Inputs!$D$5,0,IF(BZ$2&gt;VLOOKUP($H55,Lists!$P$3:$Q$7,2),IF($N55=Lists!$K$3,IF($L55&lt;1,(($U55/$L55)*((1+Inputs!$D$7)^BZ$2)),((INT(BZ$2/$L55)-INT((BZ$2-1)/$L55))*$U55*((1+Inputs!$D$7)^BZ$2))),(Inputs!$D$8^((1-_xlfn.WEIBULL.DIST(BZ$2,$M55,$L55,FALSE))/_xlfn.WEIBULL.DIST(BZ$2,$M55,$L55,FALSE))*$U55*((1+Inputs!$D$7)^BZ$2))),IF($N55=Lists!$K$3,IF($L55&lt;1,((($T55*(1-$F55)+$S55*(1-$G55))/$L55)*((1+Inputs!$D$7)^BZ$2)),((INT(BZ$2/$L55)-INT((BZ$2-1)/$L55))*($T55*(1-$F55)+$S55*(1-$G55))*((1+Inputs!$D$7)^BZ$2))),((Inputs!$D$8^((1-_xlfn.WEIBULL.DIST(BZ$2,$M55,$L55,FALSE))/_xlfn.WEIBULL.DIST(BZ$2,$M55,$L55,FALSE))*($T55*(1-$F55)+$S55*(1-$G55))*((1+Inputs!$D$7)^BZ$2))))))))</f>
        <v>0</v>
      </c>
      <c r="CA55" s="88">
        <f>MAX(AK55,($E55*IF(CA$2&gt;Inputs!$D$5,0,IF(CA$2&gt;VLOOKUP($H55,Lists!$P$3:$Q$7,2),IF($N55=Lists!$K$3,IF($L55&lt;1,(($U55/$L55)*((1+Inputs!$D$7)^CA$2)),((INT(CA$2/$L55)-INT((CA$2-1)/$L55))*$U55*((1+Inputs!$D$7)^CA$2))),(Inputs!$D$8^((1-_xlfn.WEIBULL.DIST(CA$2,$M55,$L55,FALSE))/_xlfn.WEIBULL.DIST(CA$2,$M55,$L55,FALSE))*$U55*((1+Inputs!$D$7)^CA$2))),IF($N55=Lists!$K$3,IF($L55&lt;1,((($T55*(1-$F55)+$S55*(1-$G55))/$L55)*((1+Inputs!$D$7)^CA$2)),((INT(CA$2/$L55)-INT((CA$2-1)/$L55))*($T55*(1-$F55)+$S55*(1-$G55))*((1+Inputs!$D$7)^CA$2))),((Inputs!$D$8^((1-_xlfn.WEIBULL.DIST(CA$2,$M55,$L55,FALSE))/_xlfn.WEIBULL.DIST(CA$2,$M55,$L55,FALSE))*($T55*(1-$F55)+$S55*(1-$G55))*((1+Inputs!$D$7)^CA$2))))))))</f>
        <v>0</v>
      </c>
      <c r="CB55" s="88">
        <f>MAX(AL55,($E55*IF(CB$2&gt;Inputs!$D$5,0,IF(CB$2&gt;VLOOKUP($H55,Lists!$P$3:$Q$7,2),IF($N55=Lists!$K$3,IF($L55&lt;1,(($U55/$L55)*((1+Inputs!$D$7)^CB$2)),((INT(CB$2/$L55)-INT((CB$2-1)/$L55))*$U55*((1+Inputs!$D$7)^CB$2))),(Inputs!$D$8^((1-_xlfn.WEIBULL.DIST(CB$2,$M55,$L55,FALSE))/_xlfn.WEIBULL.DIST(CB$2,$M55,$L55,FALSE))*$U55*((1+Inputs!$D$7)^CB$2))),IF($N55=Lists!$K$3,IF($L55&lt;1,((($T55*(1-$F55)+$S55*(1-$G55))/$L55)*((1+Inputs!$D$7)^CB$2)),((INT(CB$2/$L55)-INT((CB$2-1)/$L55))*($T55*(1-$F55)+$S55*(1-$G55))*((1+Inputs!$D$7)^CB$2))),((Inputs!$D$8^((1-_xlfn.WEIBULL.DIST(CB$2,$M55,$L55,FALSE))/_xlfn.WEIBULL.DIST(CB$2,$M55,$L55,FALSE))*($T55*(1-$F55)+$S55*(1-$G55))*((1+Inputs!$D$7)^CB$2))))))))</f>
        <v>0</v>
      </c>
      <c r="CC55" s="88">
        <f>MAX(AM55,($E55*IF(CC$2&gt;Inputs!$D$5,0,IF(CC$2&gt;VLOOKUP($H55,Lists!$P$3:$Q$7,2),IF($N55=Lists!$K$3,IF($L55&lt;1,(($U55/$L55)*((1+Inputs!$D$7)^CC$2)),((INT(CC$2/$L55)-INT((CC$2-1)/$L55))*$U55*((1+Inputs!$D$7)^CC$2))),(Inputs!$D$8^((1-_xlfn.WEIBULL.DIST(CC$2,$M55,$L55,FALSE))/_xlfn.WEIBULL.DIST(CC$2,$M55,$L55,FALSE))*$U55*((1+Inputs!$D$7)^CC$2))),IF($N55=Lists!$K$3,IF($L55&lt;1,((($T55*(1-$F55)+$S55*(1-$G55))/$L55)*((1+Inputs!$D$7)^CC$2)),((INT(CC$2/$L55)-INT((CC$2-1)/$L55))*($T55*(1-$F55)+$S55*(1-$G55))*((1+Inputs!$D$7)^CC$2))),((Inputs!$D$8^((1-_xlfn.WEIBULL.DIST(CC$2,$M55,$L55,FALSE))/_xlfn.WEIBULL.DIST(CC$2,$M55,$L55,FALSE))*($T55*(1-$F55)+$S55*(1-$G55))*((1+Inputs!$D$7)^CC$2))))))))</f>
        <v>0</v>
      </c>
      <c r="CD55" s="88">
        <f>MAX(AN55,($E55*IF(CD$2&gt;Inputs!$D$5,0,IF(CD$2&gt;VLOOKUP($H55,Lists!$P$3:$Q$7,2),IF($N55=Lists!$K$3,IF($L55&lt;1,(($U55/$L55)*((1+Inputs!$D$7)^CD$2)),((INT(CD$2/$L55)-INT((CD$2-1)/$L55))*$U55*((1+Inputs!$D$7)^CD$2))),(Inputs!$D$8^((1-_xlfn.WEIBULL.DIST(CD$2,$M55,$L55,FALSE))/_xlfn.WEIBULL.DIST(CD$2,$M55,$L55,FALSE))*$U55*((1+Inputs!$D$7)^CD$2))),IF($N55=Lists!$K$3,IF($L55&lt;1,((($T55*(1-$F55)+$S55*(1-$G55))/$L55)*((1+Inputs!$D$7)^CD$2)),((INT(CD$2/$L55)-INT((CD$2-1)/$L55))*($T55*(1-$F55)+$S55*(1-$G55))*((1+Inputs!$D$7)^CD$2))),((Inputs!$D$8^((1-_xlfn.WEIBULL.DIST(CD$2,$M55,$L55,FALSE))/_xlfn.WEIBULL.DIST(CD$2,$M55,$L55,FALSE))*($T55*(1-$F55)+$S55*(1-$G55))*((1+Inputs!$D$7)^CD$2))))))))</f>
        <v>0</v>
      </c>
      <c r="CE55" s="88">
        <f>MAX(AO55,($E55*IF(CE$2&gt;Inputs!$D$5,0,IF(CE$2&gt;VLOOKUP($H55,Lists!$P$3:$Q$7,2),IF($N55=Lists!$K$3,IF($L55&lt;1,(($U55/$L55)*((1+Inputs!$D$7)^CE$2)),((INT(CE$2/$L55)-INT((CE$2-1)/$L55))*$U55*((1+Inputs!$D$7)^CE$2))),(Inputs!$D$8^((1-_xlfn.WEIBULL.DIST(CE$2,$M55,$L55,FALSE))/_xlfn.WEIBULL.DIST(CE$2,$M55,$L55,FALSE))*$U55*((1+Inputs!$D$7)^CE$2))),IF($N55=Lists!$K$3,IF($L55&lt;1,((($T55*(1-$F55)+$S55*(1-$G55))/$L55)*((1+Inputs!$D$7)^CE$2)),((INT(CE$2/$L55)-INT((CE$2-1)/$L55))*($T55*(1-$F55)+$S55*(1-$G55))*((1+Inputs!$D$7)^CE$2))),((Inputs!$D$8^((1-_xlfn.WEIBULL.DIST(CE$2,$M55,$L55,FALSE))/_xlfn.WEIBULL.DIST(CE$2,$M55,$L55,FALSE))*($T55*(1-$F55)+$S55*(1-$G55))*((1+Inputs!$D$7)^CE$2))))))))</f>
        <v>0</v>
      </c>
      <c r="CF55" s="88">
        <f>MAX(AP55,($E55*IF(CF$2&gt;Inputs!$D$5,0,IF(CF$2&gt;VLOOKUP($H55,Lists!$P$3:$Q$7,2),IF($N55=Lists!$K$3,IF($L55&lt;1,(($U55/$L55)*((1+Inputs!$D$7)^CF$2)),((INT(CF$2/$L55)-INT((CF$2-1)/$L55))*$U55*((1+Inputs!$D$7)^CF$2))),(Inputs!$D$8^((1-_xlfn.WEIBULL.DIST(CF$2,$M55,$L55,FALSE))/_xlfn.WEIBULL.DIST(CF$2,$M55,$L55,FALSE))*$U55*((1+Inputs!$D$7)^CF$2))),IF($N55=Lists!$K$3,IF($L55&lt;1,((($T55*(1-$F55)+$S55*(1-$G55))/$L55)*((1+Inputs!$D$7)^CF$2)),((INT(CF$2/$L55)-INT((CF$2-1)/$L55))*($T55*(1-$F55)+$S55*(1-$G55))*((1+Inputs!$D$7)^CF$2))),((Inputs!$D$8^((1-_xlfn.WEIBULL.DIST(CF$2,$M55,$L55,FALSE))/_xlfn.WEIBULL.DIST(CF$2,$M55,$L55,FALSE))*($T55*(1-$F55)+$S55*(1-$G55))*((1+Inputs!$D$7)^CF$2))))))))</f>
        <v>0</v>
      </c>
      <c r="CG55" s="88">
        <f>MAX(AQ55,($E55*IF(CG$2&gt;Inputs!$D$5,0,IF(CG$2&gt;VLOOKUP($H55,Lists!$P$3:$Q$7,2),IF($N55=Lists!$K$3,IF($L55&lt;1,(($U55/$L55)*((1+Inputs!$D$7)^CG$2)),((INT(CG$2/$L55)-INT((CG$2-1)/$L55))*$U55*((1+Inputs!$D$7)^CG$2))),(Inputs!$D$8^((1-_xlfn.WEIBULL.DIST(CG$2,$M55,$L55,FALSE))/_xlfn.WEIBULL.DIST(CG$2,$M55,$L55,FALSE))*$U55*((1+Inputs!$D$7)^CG$2))),IF($N55=Lists!$K$3,IF($L55&lt;1,((($T55*(1-$F55)+$S55*(1-$G55))/$L55)*((1+Inputs!$D$7)^CG$2)),((INT(CG$2/$L55)-INT((CG$2-1)/$L55))*($T55*(1-$F55)+$S55*(1-$G55))*((1+Inputs!$D$7)^CG$2))),((Inputs!$D$8^((1-_xlfn.WEIBULL.DIST(CG$2,$M55,$L55,FALSE))/_xlfn.WEIBULL.DIST(CG$2,$M55,$L55,FALSE))*($T55*(1-$F55)+$S55*(1-$G55))*((1+Inputs!$D$7)^CG$2))))))))</f>
        <v>0</v>
      </c>
      <c r="CH55" s="88">
        <f>MAX(AR55,($E55*IF(CH$2&gt;Inputs!$D$5,0,IF(CH$2&gt;VLOOKUP($H55,Lists!$P$3:$Q$7,2),IF($N55=Lists!$K$3,IF($L55&lt;1,(($U55/$L55)*((1+Inputs!$D$7)^CH$2)),((INT(CH$2/$L55)-INT((CH$2-1)/$L55))*$U55*((1+Inputs!$D$7)^CH$2))),(Inputs!$D$8^((1-_xlfn.WEIBULL.DIST(CH$2,$M55,$L55,FALSE))/_xlfn.WEIBULL.DIST(CH$2,$M55,$L55,FALSE))*$U55*((1+Inputs!$D$7)^CH$2))),IF($N55=Lists!$K$3,IF($L55&lt;1,((($T55*(1-$F55)+$S55*(1-$G55))/$L55)*((1+Inputs!$D$7)^CH$2)),((INT(CH$2/$L55)-INT((CH$2-1)/$L55))*($T55*(1-$F55)+$S55*(1-$G55))*((1+Inputs!$D$7)^CH$2))),((Inputs!$D$8^((1-_xlfn.WEIBULL.DIST(CH$2,$M55,$L55,FALSE))/_xlfn.WEIBULL.DIST(CH$2,$M55,$L55,FALSE))*($T55*(1-$F55)+$S55*(1-$G55))*((1+Inputs!$D$7)^CH$2))))))))</f>
        <v>0</v>
      </c>
      <c r="CI55" s="88">
        <f>MAX(AS55,($E55*IF(CI$2&gt;Inputs!$D$5,0,IF(CI$2&gt;VLOOKUP($H55,Lists!$P$3:$Q$7,2),IF($N55=Lists!$K$3,IF($L55&lt;1,(($U55/$L55)*((1+Inputs!$D$7)^CI$2)),((INT(CI$2/$L55)-INT((CI$2-1)/$L55))*$U55*((1+Inputs!$D$7)^CI$2))),(Inputs!$D$8^((1-_xlfn.WEIBULL.DIST(CI$2,$M55,$L55,FALSE))/_xlfn.WEIBULL.DIST(CI$2,$M55,$L55,FALSE))*$U55*((1+Inputs!$D$7)^CI$2))),IF($N55=Lists!$K$3,IF($L55&lt;1,((($T55*(1-$F55)+$S55*(1-$G55))/$L55)*((1+Inputs!$D$7)^CI$2)),((INT(CI$2/$L55)-INT((CI$2-1)/$L55))*($T55*(1-$F55)+$S55*(1-$G55))*((1+Inputs!$D$7)^CI$2))),((Inputs!$D$8^((1-_xlfn.WEIBULL.DIST(CI$2,$M55,$L55,FALSE))/_xlfn.WEIBULL.DIST(CI$2,$M55,$L55,FALSE))*($T55*(1-$F55)+$S55*(1-$G55))*((1+Inputs!$D$7)^CI$2))))))))</f>
        <v>0</v>
      </c>
      <c r="CJ55" s="88">
        <f>MAX(AT55,($E55*IF(CJ$2&gt;Inputs!$D$5,0,IF(CJ$2&gt;VLOOKUP($H55,Lists!$P$3:$Q$7,2),IF($N55=Lists!$K$3,IF($L55&lt;1,(($U55/$L55)*((1+Inputs!$D$7)^CJ$2)),((INT(CJ$2/$L55)-INT((CJ$2-1)/$L55))*$U55*((1+Inputs!$D$7)^CJ$2))),(Inputs!$D$8^((1-_xlfn.WEIBULL.DIST(CJ$2,$M55,$L55,FALSE))/_xlfn.WEIBULL.DIST(CJ$2,$M55,$L55,FALSE))*$U55*((1+Inputs!$D$7)^CJ$2))),IF($N55=Lists!$K$3,IF($L55&lt;1,((($T55*(1-$F55)+$S55*(1-$G55))/$L55)*((1+Inputs!$D$7)^CJ$2)),((INT(CJ$2/$L55)-INT((CJ$2-1)/$L55))*($T55*(1-$F55)+$S55*(1-$G55))*((1+Inputs!$D$7)^CJ$2))),((Inputs!$D$8^((1-_xlfn.WEIBULL.DIST(CJ$2,$M55,$L55,FALSE))/_xlfn.WEIBULL.DIST(CJ$2,$M55,$L55,FALSE))*($T55*(1-$F55)+$S55*(1-$G55))*((1+Inputs!$D$7)^CJ$2))))))))</f>
        <v>0</v>
      </c>
      <c r="CK55" s="88">
        <f>MAX(AU55,($E55*IF(CK$2&gt;Inputs!$D$5,0,IF(CK$2&gt;VLOOKUP($H55,Lists!$P$3:$Q$7,2),IF($N55=Lists!$K$3,IF($L55&lt;1,(($U55/$L55)*((1+Inputs!$D$7)^CK$2)),((INT(CK$2/$L55)-INT((CK$2-1)/$L55))*$U55*((1+Inputs!$D$7)^CK$2))),(Inputs!$D$8^((1-_xlfn.WEIBULL.DIST(CK$2,$M55,$L55,FALSE))/_xlfn.WEIBULL.DIST(CK$2,$M55,$L55,FALSE))*$U55*((1+Inputs!$D$7)^CK$2))),IF($N55=Lists!$K$3,IF($L55&lt;1,((($T55*(1-$F55)+$S55*(1-$G55))/$L55)*((1+Inputs!$D$7)^CK$2)),((INT(CK$2/$L55)-INT((CK$2-1)/$L55))*($T55*(1-$F55)+$S55*(1-$G55))*((1+Inputs!$D$7)^CK$2))),((Inputs!$D$8^((1-_xlfn.WEIBULL.DIST(CK$2,$M55,$L55,FALSE))/_xlfn.WEIBULL.DIST(CK$2,$M55,$L55,FALSE))*($T55*(1-$F55)+$S55*(1-$G55))*((1+Inputs!$D$7)^CK$2))))))))</f>
        <v>0</v>
      </c>
      <c r="CL55" s="88">
        <f>MAX(AV55,($E55*IF(CL$2&gt;Inputs!$D$5,0,IF(CL$2&gt;VLOOKUP($H55,Lists!$P$3:$Q$7,2),IF($N55=Lists!$K$3,IF($L55&lt;1,(($U55/$L55)*((1+Inputs!$D$7)^CL$2)),((INT(CL$2/$L55)-INT((CL$2-1)/$L55))*$U55*((1+Inputs!$D$7)^CL$2))),(Inputs!$D$8^((1-_xlfn.WEIBULL.DIST(CL$2,$M55,$L55,FALSE))/_xlfn.WEIBULL.DIST(CL$2,$M55,$L55,FALSE))*$U55*((1+Inputs!$D$7)^CL$2))),IF($N55=Lists!$K$3,IF($L55&lt;1,((($T55*(1-$F55)+$S55*(1-$G55))/$L55)*((1+Inputs!$D$7)^CL$2)),((INT(CL$2/$L55)-INT((CL$2-1)/$L55))*($T55*(1-$F55)+$S55*(1-$G55))*((1+Inputs!$D$7)^CL$2))),((Inputs!$D$8^((1-_xlfn.WEIBULL.DIST(CL$2,$M55,$L55,FALSE))/_xlfn.WEIBULL.DIST(CL$2,$M55,$L55,FALSE))*($T55*(1-$F55)+$S55*(1-$G55))*((1+Inputs!$D$7)^CL$2))))))))</f>
        <v>0</v>
      </c>
      <c r="CM55" s="88">
        <f>MAX(AW55,($E55*IF(CM$2&gt;Inputs!$D$5,0,IF(CM$2&gt;VLOOKUP($H55,Lists!$P$3:$Q$7,2),IF($N55=Lists!$K$3,IF($L55&lt;1,(($U55/$L55)*((1+Inputs!$D$7)^CM$2)),((INT(CM$2/$L55)-INT((CM$2-1)/$L55))*$U55*((1+Inputs!$D$7)^CM$2))),(Inputs!$D$8^((1-_xlfn.WEIBULL.DIST(CM$2,$M55,$L55,FALSE))/_xlfn.WEIBULL.DIST(CM$2,$M55,$L55,FALSE))*$U55*((1+Inputs!$D$7)^CM$2))),IF($N55=Lists!$K$3,IF($L55&lt;1,((($T55*(1-$F55)+$S55*(1-$G55))/$L55)*((1+Inputs!$D$7)^CM$2)),((INT(CM$2/$L55)-INT((CM$2-1)/$L55))*($T55*(1-$F55)+$S55*(1-$G55))*((1+Inputs!$D$7)^CM$2))),((Inputs!$D$8^((1-_xlfn.WEIBULL.DIST(CM$2,$M55,$L55,FALSE))/_xlfn.WEIBULL.DIST(CM$2,$M55,$L55,FALSE))*($T55*(1-$F55)+$S55*(1-$G55))*((1+Inputs!$D$7)^CM$2))))))))</f>
        <v>0</v>
      </c>
      <c r="CN55" s="88">
        <f>MAX(AX55,($E55*IF(CN$2&gt;Inputs!$D$5,0,IF(CN$2&gt;VLOOKUP($H55,Lists!$P$3:$Q$7,2),IF($N55=Lists!$K$3,IF($L55&lt;1,(($U55/$L55)*((1+Inputs!$D$7)^CN$2)),((INT(CN$2/$L55)-INT((CN$2-1)/$L55))*$U55*((1+Inputs!$D$7)^CN$2))),(Inputs!$D$8^((1-_xlfn.WEIBULL.DIST(CN$2,$M55,$L55,FALSE))/_xlfn.WEIBULL.DIST(CN$2,$M55,$L55,FALSE))*$U55*((1+Inputs!$D$7)^CN$2))),IF($N55=Lists!$K$3,IF($L55&lt;1,((($T55*(1-$F55)+$S55*(1-$G55))/$L55)*((1+Inputs!$D$7)^CN$2)),((INT(CN$2/$L55)-INT((CN$2-1)/$L55))*($T55*(1-$F55)+$S55*(1-$G55))*((1+Inputs!$D$7)^CN$2))),((Inputs!$D$8^((1-_xlfn.WEIBULL.DIST(CN$2,$M55,$L55,FALSE))/_xlfn.WEIBULL.DIST(CN$2,$M55,$L55,FALSE))*($T55*(1-$F55)+$S55*(1-$G55))*((1+Inputs!$D$7)^CN$2))))))))</f>
        <v>0</v>
      </c>
      <c r="CO55" s="88">
        <f>MAX(AY55,($E55*IF(CO$2&gt;Inputs!$D$5,0,IF(CO$2&gt;VLOOKUP($H55,Lists!$P$3:$Q$7,2),IF($N55=Lists!$K$3,IF($L55&lt;1,(($U55/$L55)*((1+Inputs!$D$7)^CO$2)),((INT(CO$2/$L55)-INT((CO$2-1)/$L55))*$U55*((1+Inputs!$D$7)^CO$2))),(Inputs!$D$8^((1-_xlfn.WEIBULL.DIST(CO$2,$M55,$L55,FALSE))/_xlfn.WEIBULL.DIST(CO$2,$M55,$L55,FALSE))*$U55*((1+Inputs!$D$7)^CO$2))),IF($N55=Lists!$K$3,IF($L55&lt;1,((($T55*(1-$F55)+$S55*(1-$G55))/$L55)*((1+Inputs!$D$7)^CO$2)),((INT(CO$2/$L55)-INT((CO$2-1)/$L55))*($T55*(1-$F55)+$S55*(1-$G55))*((1+Inputs!$D$7)^CO$2))),((Inputs!$D$8^((1-_xlfn.WEIBULL.DIST(CO$2,$M55,$L55,FALSE))/_xlfn.WEIBULL.DIST(CO$2,$M55,$L55,FALSE))*($T55*(1-$F55)+$S55*(1-$G55))*((1+Inputs!$D$7)^CO$2))))))))</f>
        <v>0</v>
      </c>
      <c r="CP55" s="88">
        <f>MAX(AZ55,($E55*IF(CP$2&gt;Inputs!$D$5,0,IF(CP$2&gt;VLOOKUP($H55,Lists!$P$3:$Q$7,2),IF($N55=Lists!$K$3,IF($L55&lt;1,(($U55/$L55)*((1+Inputs!$D$7)^CP$2)),((INT(CP$2/$L55)-INT((CP$2-1)/$L55))*$U55*((1+Inputs!$D$7)^CP$2))),(Inputs!$D$8^((1-_xlfn.WEIBULL.DIST(CP$2,$M55,$L55,FALSE))/_xlfn.WEIBULL.DIST(CP$2,$M55,$L55,FALSE))*$U55*((1+Inputs!$D$7)^CP$2))),IF($N55=Lists!$K$3,IF($L55&lt;1,((($T55*(1-$F55)+$S55*(1-$G55))/$L55)*((1+Inputs!$D$7)^CP$2)),((INT(CP$2/$L55)-INT((CP$2-1)/$L55))*($T55*(1-$F55)+$S55*(1-$G55))*((1+Inputs!$D$7)^CP$2))),((Inputs!$D$8^((1-_xlfn.WEIBULL.DIST(CP$2,$M55,$L55,FALSE))/_xlfn.WEIBULL.DIST(CP$2,$M55,$L55,FALSE))*($T55*(1-$F55)+$S55*(1-$G55))*((1+Inputs!$D$7)^CP$2))))))))</f>
        <v>0</v>
      </c>
      <c r="CQ55" s="88">
        <f>MAX(BA55,($E55*IF(CQ$2&gt;Inputs!$D$5,0,IF(CQ$2&gt;VLOOKUP($H55,Lists!$P$3:$Q$7,2),IF($N55=Lists!$K$3,IF($L55&lt;1,(($U55/$L55)*((1+Inputs!$D$7)^CQ$2)),((INT(CQ$2/$L55)-INT((CQ$2-1)/$L55))*$U55*((1+Inputs!$D$7)^CQ$2))),(Inputs!$D$8^((1-_xlfn.WEIBULL.DIST(CQ$2,$M55,$L55,FALSE))/_xlfn.WEIBULL.DIST(CQ$2,$M55,$L55,FALSE))*$U55*((1+Inputs!$D$7)^CQ$2))),IF($N55=Lists!$K$3,IF($L55&lt;1,((($T55*(1-$F55)+$S55*(1-$G55))/$L55)*((1+Inputs!$D$7)^CQ$2)),((INT(CQ$2/$L55)-INT((CQ$2-1)/$L55))*($T55*(1-$F55)+$S55*(1-$G55))*((1+Inputs!$D$7)^CQ$2))),((Inputs!$D$8^((1-_xlfn.WEIBULL.DIST(CQ$2,$M55,$L55,FALSE))/_xlfn.WEIBULL.DIST(CQ$2,$M55,$L55,FALSE))*($T55*(1-$F55)+$S55*(1-$G55))*((1+Inputs!$D$7)^CQ$2))))))))</f>
        <v>0</v>
      </c>
      <c r="CR55" s="88">
        <f>MAX(BB55,($E55*IF(CR$2&gt;Inputs!$D$5,0,IF(CR$2&gt;VLOOKUP($H55,Lists!$P$3:$Q$7,2),IF($N55=Lists!$K$3,IF($L55&lt;1,(($U55/$L55)*((1+Inputs!$D$7)^CR$2)),((INT(CR$2/$L55)-INT((CR$2-1)/$L55))*$U55*((1+Inputs!$D$7)^CR$2))),(Inputs!$D$8^((1-_xlfn.WEIBULL.DIST(CR$2,$M55,$L55,FALSE))/_xlfn.WEIBULL.DIST(CR$2,$M55,$L55,FALSE))*$U55*((1+Inputs!$D$7)^CR$2))),IF($N55=Lists!$K$3,IF($L55&lt;1,((($T55*(1-$F55)+$S55*(1-$G55))/$L55)*((1+Inputs!$D$7)^CR$2)),((INT(CR$2/$L55)-INT((CR$2-1)/$L55))*($T55*(1-$F55)+$S55*(1-$G55))*((1+Inputs!$D$7)^CR$2))),((Inputs!$D$8^((1-_xlfn.WEIBULL.DIST(CR$2,$M55,$L55,FALSE))/_xlfn.WEIBULL.DIST(CR$2,$M55,$L55,FALSE))*($T55*(1-$F55)+$S55*(1-$G55))*((1+Inputs!$D$7)^CR$2))))))))</f>
        <v>0</v>
      </c>
      <c r="CS55" s="88">
        <f>MAX(BC55,($E55*IF(CS$2&gt;Inputs!$D$5,0,IF(CS$2&gt;VLOOKUP($H55,Lists!$P$3:$Q$7,2),IF($N55=Lists!$K$3,IF($L55&lt;1,(($U55/$L55)*((1+Inputs!$D$7)^CS$2)),((INT(CS$2/$L55)-INT((CS$2-1)/$L55))*$U55*((1+Inputs!$D$7)^CS$2))),(Inputs!$D$8^((1-_xlfn.WEIBULL.DIST(CS$2,$M55,$L55,FALSE))/_xlfn.WEIBULL.DIST(CS$2,$M55,$L55,FALSE))*$U55*((1+Inputs!$D$7)^CS$2))),IF($N55=Lists!$K$3,IF($L55&lt;1,((($T55*(1-$F55)+$S55*(1-$G55))/$L55)*((1+Inputs!$D$7)^CS$2)),((INT(CS$2/$L55)-INT((CS$2-1)/$L55))*($T55*(1-$F55)+$S55*(1-$G55))*((1+Inputs!$D$7)^CS$2))),((Inputs!$D$8^((1-_xlfn.WEIBULL.DIST(CS$2,$M55,$L55,FALSE))/_xlfn.WEIBULL.DIST(CS$2,$M55,$L55,FALSE))*($T55*(1-$F55)+$S55*(1-$G55))*((1+Inputs!$D$7)^CS$2))))))))</f>
        <v>0</v>
      </c>
      <c r="CT55" s="88">
        <f>MAX(BD55,($E55*IF(CT$2&gt;Inputs!$D$5,0,IF(CT$2&gt;VLOOKUP($H55,Lists!$P$3:$Q$7,2),IF($N55=Lists!$K$3,IF($L55&lt;1,(($U55/$L55)*((1+Inputs!$D$7)^CT$2)),((INT(CT$2/$L55)-INT((CT$2-1)/$L55))*$U55*((1+Inputs!$D$7)^CT$2))),(Inputs!$D$8^((1-_xlfn.WEIBULL.DIST(CT$2,$M55,$L55,FALSE))/_xlfn.WEIBULL.DIST(CT$2,$M55,$L55,FALSE))*$U55*((1+Inputs!$D$7)^CT$2))),IF($N55=Lists!$K$3,IF($L55&lt;1,((($T55*(1-$F55)+$S55*(1-$G55))/$L55)*((1+Inputs!$D$7)^CT$2)),((INT(CT$2/$L55)-INT((CT$2-1)/$L55))*($T55*(1-$F55)+$S55*(1-$G55))*((1+Inputs!$D$7)^CT$2))),((Inputs!$D$8^((1-_xlfn.WEIBULL.DIST(CT$2,$M55,$L55,FALSE))/_xlfn.WEIBULL.DIST(CT$2,$M55,$L55,FALSE))*($T55*(1-$F55)+$S55*(1-$G55))*((1+Inputs!$D$7)^CT$2))))))))</f>
        <v>0</v>
      </c>
      <c r="CU55" s="88">
        <f>MAX(BE55,($E55*IF(CU$2&gt;Inputs!$D$5,0,IF(CU$2&gt;VLOOKUP($H55,Lists!$P$3:$Q$7,2),IF($N55=Lists!$K$3,IF($L55&lt;1,(($U55/$L55)*((1+Inputs!$D$7)^CU$2)),((INT(CU$2/$L55)-INT((CU$2-1)/$L55))*$U55*((1+Inputs!$D$7)^CU$2))),(Inputs!$D$8^((1-_xlfn.WEIBULL.DIST(CU$2,$M55,$L55,FALSE))/_xlfn.WEIBULL.DIST(CU$2,$M55,$L55,FALSE))*$U55*((1+Inputs!$D$7)^CU$2))),IF($N55=Lists!$K$3,IF($L55&lt;1,((($T55*(1-$F55)+$S55*(1-$G55))/$L55)*((1+Inputs!$D$7)^CU$2)),((INT(CU$2/$L55)-INT((CU$2-1)/$L55))*($T55*(1-$F55)+$S55*(1-$G55))*((1+Inputs!$D$7)^CU$2))),((Inputs!$D$8^((1-_xlfn.WEIBULL.DIST(CU$2,$M55,$L55,FALSE))/_xlfn.WEIBULL.DIST(CU$2,$M55,$L55,FALSE))*($T55*(1-$F55)+$S55*(1-$G55))*((1+Inputs!$D$7)^CU$2))))))))</f>
        <v>0</v>
      </c>
      <c r="CV55" s="88">
        <f>MAX(BF55,($E55*IF(CV$2&gt;Inputs!$D$5,0,IF(CV$2&gt;VLOOKUP($H55,Lists!$P$3:$Q$7,2),IF($N55=Lists!$K$3,IF($L55&lt;1,(($U55/$L55)*((1+Inputs!$D$7)^CV$2)),((INT(CV$2/$L55)-INT((CV$2-1)/$L55))*$U55*((1+Inputs!$D$7)^CV$2))),(Inputs!$D$8^((1-_xlfn.WEIBULL.DIST(CV$2,$M55,$L55,FALSE))/_xlfn.WEIBULL.DIST(CV$2,$M55,$L55,FALSE))*$U55*((1+Inputs!$D$7)^CV$2))),IF($N55=Lists!$K$3,IF($L55&lt;1,((($T55*(1-$F55)+$S55*(1-$G55))/$L55)*((1+Inputs!$D$7)^CV$2)),((INT(CV$2/$L55)-INT((CV$2-1)/$L55))*($T55*(1-$F55)+$S55*(1-$G55))*((1+Inputs!$D$7)^CV$2))),((Inputs!$D$8^((1-_xlfn.WEIBULL.DIST(CV$2,$M55,$L55,FALSE))/_xlfn.WEIBULL.DIST(CV$2,$M55,$L55,FALSE))*($T55*(1-$F55)+$S55*(1-$G55))*((1+Inputs!$D$7)^CV$2))))))))</f>
        <v>0</v>
      </c>
      <c r="CW55" s="88">
        <f>MAX(BG55,($E55*IF(CW$2&gt;Inputs!$D$5,0,IF(CW$2&gt;VLOOKUP($H55,Lists!$P$3:$Q$7,2),IF($N55=Lists!$K$3,IF($L55&lt;1,(($U55/$L55)*((1+Inputs!$D$7)^CW$2)),((INT(CW$2/$L55)-INT((CW$2-1)/$L55))*$U55*((1+Inputs!$D$7)^CW$2))),(Inputs!$D$8^((1-_xlfn.WEIBULL.DIST(CW$2,$M55,$L55,FALSE))/_xlfn.WEIBULL.DIST(CW$2,$M55,$L55,FALSE))*$U55*((1+Inputs!$D$7)^CW$2))),IF($N55=Lists!$K$3,IF($L55&lt;1,((($T55*(1-$F55)+$S55*(1-$G55))/$L55)*((1+Inputs!$D$7)^CW$2)),((INT(CW$2/$L55)-INT((CW$2-1)/$L55))*($T55*(1-$F55)+$S55*(1-$G55))*((1+Inputs!$D$7)^CW$2))),((Inputs!$D$8^((1-_xlfn.WEIBULL.DIST(CW$2,$M55,$L55,FALSE))/_xlfn.WEIBULL.DIST(CW$2,$M55,$L55,FALSE))*($T55*(1-$F55)+$S55*(1-$G55))*((1+Inputs!$D$7)^CW$2))))))))</f>
        <v>0</v>
      </c>
      <c r="CX55" s="88">
        <f>MAX(BH55,($E55*IF(CX$2&gt;Inputs!$D$5,0,IF(CX$2&gt;VLOOKUP($H55,Lists!$P$3:$Q$7,2),IF($N55=Lists!$K$3,IF($L55&lt;1,(($U55/$L55)*((1+Inputs!$D$7)^CX$2)),((INT(CX$2/$L55)-INT((CX$2-1)/$L55))*$U55*((1+Inputs!$D$7)^CX$2))),(Inputs!$D$8^((1-_xlfn.WEIBULL.DIST(CX$2,$M55,$L55,FALSE))/_xlfn.WEIBULL.DIST(CX$2,$M55,$L55,FALSE))*$U55*((1+Inputs!$D$7)^CX$2))),IF($N55=Lists!$K$3,IF($L55&lt;1,((($T55*(1-$F55)+$S55*(1-$G55))/$L55)*((1+Inputs!$D$7)^CX$2)),((INT(CX$2/$L55)-INT((CX$2-1)/$L55))*($T55*(1-$F55)+$S55*(1-$G55))*((1+Inputs!$D$7)^CX$2))),((Inputs!$D$8^((1-_xlfn.WEIBULL.DIST(CX$2,$M55,$L55,FALSE))/_xlfn.WEIBULL.DIST(CX$2,$M55,$L55,FALSE))*($T55*(1-$F55)+$S55*(1-$G55))*((1+Inputs!$D$7)^CX$2))))))))</f>
        <v>0</v>
      </c>
      <c r="CY55" s="88">
        <f>MAX(BI55,($E55*IF(CY$2&gt;Inputs!$D$5,0,IF(CY$2&gt;VLOOKUP($H55,Lists!$P$3:$Q$7,2),IF($N55=Lists!$K$3,IF($L55&lt;1,(($U55/$L55)*((1+Inputs!$D$7)^CY$2)),((INT(CY$2/$L55)-INT((CY$2-1)/$L55))*$U55*((1+Inputs!$D$7)^CY$2))),(Inputs!$D$8^((1-_xlfn.WEIBULL.DIST(CY$2,$M55,$L55,FALSE))/_xlfn.WEIBULL.DIST(CY$2,$M55,$L55,FALSE))*$U55*((1+Inputs!$D$7)^CY$2))),IF($N55=Lists!$K$3,IF($L55&lt;1,((($T55*(1-$F55)+$S55*(1-$G55))/$L55)*((1+Inputs!$D$7)^CY$2)),((INT(CY$2/$L55)-INT((CY$2-1)/$L55))*($T55*(1-$F55)+$S55*(1-$G55))*((1+Inputs!$D$7)^CY$2))),((Inputs!$D$8^((1-_xlfn.WEIBULL.DIST(CY$2,$M55,$L55,FALSE))/_xlfn.WEIBULL.DIST(CY$2,$M55,$L55,FALSE))*($T55*(1-$F55)+$S55*(1-$G55))*((1+Inputs!$D$7)^CY$2))))))))</f>
        <v>0</v>
      </c>
      <c r="CZ55" s="88">
        <f>MAX(BJ55,($E55*IF(CZ$2&gt;Inputs!$D$5,0,IF(CZ$2&gt;VLOOKUP($H55,Lists!$P$3:$Q$7,2),IF($N55=Lists!$K$3,IF($L55&lt;1,(($U55/$L55)*((1+Inputs!$D$7)^CZ$2)),((INT(CZ$2/$L55)-INT((CZ$2-1)/$L55))*$U55*((1+Inputs!$D$7)^CZ$2))),(Inputs!$D$8^((1-_xlfn.WEIBULL.DIST(CZ$2,$M55,$L55,FALSE))/_xlfn.WEIBULL.DIST(CZ$2,$M55,$L55,FALSE))*$U55*((1+Inputs!$D$7)^CZ$2))),IF($N55=Lists!$K$3,IF($L55&lt;1,((($T55*(1-$F55)+$S55*(1-$G55))/$L55)*((1+Inputs!$D$7)^CZ$2)),((INT(CZ$2/$L55)-INT((CZ$2-1)/$L55))*($T55*(1-$F55)+$S55*(1-$G55))*((1+Inputs!$D$7)^CZ$2))),((Inputs!$D$8^((1-_xlfn.WEIBULL.DIST(CZ$2,$M55,$L55,FALSE))/_xlfn.WEIBULL.DIST(CZ$2,$M55,$L55,FALSE))*($T55*(1-$F55)+$S55*(1-$G55))*((1+Inputs!$D$7)^CZ$2))))))))</f>
        <v>0</v>
      </c>
      <c r="DA55" s="88">
        <f>MAX(BK55,($E55*IF(DA$2&gt;Inputs!$D$5,0,IF(DA$2&gt;VLOOKUP($H55,Lists!$P$3:$Q$7,2),IF($N55=Lists!$K$3,IF($L55&lt;1,(($U55/$L55)*((1+Inputs!$D$7)^DA$2)),((INT(DA$2/$L55)-INT((DA$2-1)/$L55))*$U55*((1+Inputs!$D$7)^DA$2))),(Inputs!$D$8^((1-_xlfn.WEIBULL.DIST(DA$2,$M55,$L55,FALSE))/_xlfn.WEIBULL.DIST(DA$2,$M55,$L55,FALSE))*$U55*((1+Inputs!$D$7)^DA$2))),IF($N55=Lists!$K$3,IF($L55&lt;1,((($T55*(1-$F55)+$S55*(1-$G55))/$L55)*((1+Inputs!$D$7)^DA$2)),((INT(DA$2/$L55)-INT((DA$2-1)/$L55))*($T55*(1-$F55)+$S55*(1-$G55))*((1+Inputs!$D$7)^DA$2))),((Inputs!$D$8^((1-_xlfn.WEIBULL.DIST(DA$2,$M55,$L55,FALSE))/_xlfn.WEIBULL.DIST(DA$2,$M55,$L55,FALSE))*($T55*(1-$F55)+$S55*(1-$G55))*((1+Inputs!$D$7)^DA$2))))))))</f>
        <v>0</v>
      </c>
      <c r="DB55" s="88">
        <f>MAX(BL55,($E55*IF(DB$2&gt;Inputs!$D$5,0,IF(DB$2&gt;VLOOKUP($H55,Lists!$P$3:$Q$7,2),IF($N55=Lists!$K$3,IF($L55&lt;1,(($U55/$L55)*((1+Inputs!$D$7)^DB$2)),((INT(DB$2/$L55)-INT((DB$2-1)/$L55))*$U55*((1+Inputs!$D$7)^DB$2))),(Inputs!$D$8^((1-_xlfn.WEIBULL.DIST(DB$2,$M55,$L55,FALSE))/_xlfn.WEIBULL.DIST(DB$2,$M55,$L55,FALSE))*$U55*((1+Inputs!$D$7)^DB$2))),IF($N55=Lists!$K$3,IF($L55&lt;1,((($T55*(1-$F55)+$S55*(1-$G55))/$L55)*((1+Inputs!$D$7)^DB$2)),((INT(DB$2/$L55)-INT((DB$2-1)/$L55))*($T55*(1-$F55)+$S55*(1-$G55))*((1+Inputs!$D$7)^DB$2))),((Inputs!$D$8^((1-_xlfn.WEIBULL.DIST(DB$2,$M55,$L55,FALSE))/_xlfn.WEIBULL.DIST(DB$2,$M55,$L55,FALSE))*($T55*(1-$F55)+$S55*(1-$G55))*((1+Inputs!$D$7)^DB$2))))))))</f>
        <v>0</v>
      </c>
      <c r="DC55" s="88">
        <f>MAX(BM55,($E55*IF(DC$2&gt;Inputs!$D$5,0,IF(DC$2&gt;VLOOKUP($H55,Lists!$P$3:$Q$7,2),IF($N55=Lists!$K$3,IF($L55&lt;1,(($U55/$L55)*((1+Inputs!$D$7)^DC$2)),((INT(DC$2/$L55)-INT((DC$2-1)/$L55))*$U55*((1+Inputs!$D$7)^DC$2))),(Inputs!$D$8^((1-_xlfn.WEIBULL.DIST(DC$2,$M55,$L55,FALSE))/_xlfn.WEIBULL.DIST(DC$2,$M55,$L55,FALSE))*$U55*((1+Inputs!$D$7)^DC$2))),IF($N55=Lists!$K$3,IF($L55&lt;1,((($T55*(1-$F55)+$S55*(1-$G55))/$L55)*((1+Inputs!$D$7)^DC$2)),((INT(DC$2/$L55)-INT((DC$2-1)/$L55))*($T55*(1-$F55)+$S55*(1-$G55))*((1+Inputs!$D$7)^DC$2))),((Inputs!$D$8^((1-_xlfn.WEIBULL.DIST(DC$2,$M55,$L55,FALSE))/_xlfn.WEIBULL.DIST(DC$2,$M55,$L55,FALSE))*($T55*(1-$F55)+$S55*(1-$G55))*((1+Inputs!$D$7)^DC$2))))))))</f>
        <v>0</v>
      </c>
      <c r="DD55" s="88">
        <f>MAX(BN55,($E55*IF(DD$2&gt;Inputs!$D$5,0,IF(DD$2&gt;VLOOKUP($H55,Lists!$P$3:$Q$7,2),IF($N55=Lists!$K$3,IF($L55&lt;1,(($U55/$L55)*((1+Inputs!$D$7)^DD$2)),((INT(DD$2/$L55)-INT((DD$2-1)/$L55))*$U55*((1+Inputs!$D$7)^DD$2))),(Inputs!$D$8^((1-_xlfn.WEIBULL.DIST(DD$2,$M55,$L55,FALSE))/_xlfn.WEIBULL.DIST(DD$2,$M55,$L55,FALSE))*$U55*((1+Inputs!$D$7)^DD$2))),IF($N55=Lists!$K$3,IF($L55&lt;1,((($T55*(1-$F55)+$S55*(1-$G55))/$L55)*((1+Inputs!$D$7)^DD$2)),((INT(DD$2/$L55)-INT((DD$2-1)/$L55))*($T55*(1-$F55)+$S55*(1-$G55))*((1+Inputs!$D$7)^DD$2))),((Inputs!$D$8^((1-_xlfn.WEIBULL.DIST(DD$2,$M55,$L55,FALSE))/_xlfn.WEIBULL.DIST(DD$2,$M55,$L55,FALSE))*($T55*(1-$F55)+$S55*(1-$G55))*((1+Inputs!$D$7)^DD$2))))))))</f>
        <v>0</v>
      </c>
    </row>
    <row r="56" spans="1:108" s="1" customFormat="1" ht="16">
      <c r="A56" s="57" t="s">
        <v>411</v>
      </c>
      <c r="B56" s="13" t="s">
        <v>130</v>
      </c>
      <c r="C56" s="13" t="s">
        <v>474</v>
      </c>
      <c r="D56" s="13" t="s">
        <v>126</v>
      </c>
      <c r="E56" s="48">
        <f>IF(Inputs!$D$42=Lists!$H$3,1,0)*IF(Inputs!$D$45=Lists!Y4,1,IF(Inputs!$D$45=Lists!Y5,1,0))</f>
        <v>0</v>
      </c>
      <c r="F56" s="48">
        <v>0</v>
      </c>
      <c r="G56" s="48">
        <v>0</v>
      </c>
      <c r="H56" s="105" t="s">
        <v>350</v>
      </c>
      <c r="I56" s="14" t="s">
        <v>413</v>
      </c>
      <c r="J56" s="14" t="s">
        <v>84</v>
      </c>
      <c r="K56" s="13">
        <f>VLOOKUP(J56,'Labor Rates'!$A$1:$F$16,2)</f>
        <v>22.703653846153845</v>
      </c>
      <c r="L56" s="15">
        <v>30</v>
      </c>
      <c r="M56" s="15">
        <v>4</v>
      </c>
      <c r="N56" s="16" t="s">
        <v>226</v>
      </c>
      <c r="O56" s="61">
        <f>Inputs!D48</f>
        <v>31250</v>
      </c>
      <c r="P56" s="15">
        <v>0.5</v>
      </c>
      <c r="Q56" s="15">
        <f t="shared" si="7"/>
        <v>520.83333333333337</v>
      </c>
      <c r="R56" s="4">
        <v>25</v>
      </c>
      <c r="S56" s="53">
        <f t="shared" si="8"/>
        <v>354744.59134615381</v>
      </c>
      <c r="T56" s="53">
        <f t="shared" si="9"/>
        <v>781250</v>
      </c>
      <c r="U56" s="54">
        <f t="shared" si="10"/>
        <v>0</v>
      </c>
      <c r="V56" s="65"/>
      <c r="W56" s="58"/>
      <c r="X56" s="64">
        <f t="shared" si="11"/>
        <v>0</v>
      </c>
      <c r="Y56" s="64">
        <f>NPV(Inputs!$D$6,AA56:BN56)</f>
        <v>0</v>
      </c>
      <c r="Z56" s="67">
        <f t="shared" si="12"/>
        <v>0</v>
      </c>
      <c r="AA56" s="88">
        <f>$E56*IF(AA$2&gt;Inputs!$D$5,0,IF(AA$2&gt;VLOOKUP($H56,Lists!$P$3:$Q$7,2),IF($N56=Lists!$K$3,IF($L56&lt;1,(($U56/$L56)*((1+Inputs!$D$7)^AA$2)),((INT(AA$2/$L56)-INT((AA$2-1)/$L56))*$U56*((1+Inputs!$D$7)^AA$2))),(_xlfn.WEIBULL.DIST(AA$2,$M56,$L56,FALSE)*$U56*((1+Inputs!$D$7)^AA$2))),IF($N56=Lists!$K$3,IF($L56&lt;1,((($T56*(1-$F56)+$S56*(1-$G56))/$L56)*((1+Inputs!$D$7)^AA$2)),((INT(AA$2/$L56)-INT((AA$2-1)/$L56))*($T56*(1-$F56)+$S56*(1-$G56))*((1+Inputs!$D$7)^AA$2))),((_xlfn.WEIBULL.DIST(AA$2,$M56,$L56,FALSE)*($T56*(1-$F56)+$S56*(1-$G56))*((1+Inputs!$D$7)^AA$2))))))</f>
        <v>0</v>
      </c>
      <c r="AB56" s="88">
        <f>$E56*IF(AB$2&gt;Inputs!$D$5,0,IF(AB$2&gt;VLOOKUP($H56,Lists!$P$3:$Q$7,2),IF($N56=Lists!$K$3,IF($L56&lt;1,(($U56/$L56)*((1+Inputs!$D$7)^AB$2)),((INT(AB$2/$L56)-INT((AB$2-1)/$L56))*$U56*((1+Inputs!$D$7)^AB$2))),(_xlfn.WEIBULL.DIST(AB$2,$M56,$L56,FALSE)*$U56*((1+Inputs!$D$7)^AB$2))),IF($N56=Lists!$K$3,IF($L56&lt;1,((($T56*(1-$F56)+$S56*(1-$G56))/$L56)*((1+Inputs!$D$7)^AB$2)),((INT(AB$2/$L56)-INT((AB$2-1)/$L56))*($T56*(1-$F56)+$S56*(1-$G56))*((1+Inputs!$D$7)^AB$2))),((_xlfn.WEIBULL.DIST(AB$2,$M56,$L56,FALSE)*($T56*(1-$F56)+$S56*(1-$G56))*((1+Inputs!$D$7)^AB$2))))))</f>
        <v>0</v>
      </c>
      <c r="AC56" s="88">
        <f>$E56*IF(AC$2&gt;Inputs!$D$5,0,IF(AC$2&gt;VLOOKUP($H56,Lists!$P$3:$Q$7,2),IF($N56=Lists!$K$3,IF($L56&lt;1,(($U56/$L56)*((1+Inputs!$D$7)^AC$2)),((INT(AC$2/$L56)-INT((AC$2-1)/$L56))*$U56*((1+Inputs!$D$7)^AC$2))),(_xlfn.WEIBULL.DIST(AC$2,$M56,$L56,FALSE)*$U56*((1+Inputs!$D$7)^AC$2))),IF($N56=Lists!$K$3,IF($L56&lt;1,((($T56*(1-$F56)+$S56*(1-$G56))/$L56)*((1+Inputs!$D$7)^AC$2)),((INT(AC$2/$L56)-INT((AC$2-1)/$L56))*($T56*(1-$F56)+$S56*(1-$G56))*((1+Inputs!$D$7)^AC$2))),((_xlfn.WEIBULL.DIST(AC$2,$M56,$L56,FALSE)*($T56*(1-$F56)+$S56*(1-$G56))*((1+Inputs!$D$7)^AC$2))))))</f>
        <v>0</v>
      </c>
      <c r="AD56" s="88">
        <f>$E56*IF(AD$2&gt;Inputs!$D$5,0,IF(AD$2&gt;VLOOKUP($H56,Lists!$P$3:$Q$7,2),IF($N56=Lists!$K$3,IF($L56&lt;1,(($U56/$L56)*((1+Inputs!$D$7)^AD$2)),((INT(AD$2/$L56)-INT((AD$2-1)/$L56))*$U56*((1+Inputs!$D$7)^AD$2))),(_xlfn.WEIBULL.DIST(AD$2,$M56,$L56,FALSE)*$U56*((1+Inputs!$D$7)^AD$2))),IF($N56=Lists!$K$3,IF($L56&lt;1,((($T56*(1-$F56)+$S56*(1-$G56))/$L56)*((1+Inputs!$D$7)^AD$2)),((INT(AD$2/$L56)-INT((AD$2-1)/$L56))*($T56*(1-$F56)+$S56*(1-$G56))*((1+Inputs!$D$7)^AD$2))),((_xlfn.WEIBULL.DIST(AD$2,$M56,$L56,FALSE)*($T56*(1-$F56)+$S56*(1-$G56))*((1+Inputs!$D$7)^AD$2))))))</f>
        <v>0</v>
      </c>
      <c r="AE56" s="88">
        <f>$E56*IF(AE$2&gt;Inputs!$D$5,0,IF(AE$2&gt;VLOOKUP($H56,Lists!$P$3:$Q$7,2),IF($N56=Lists!$K$3,IF($L56&lt;1,(($U56/$L56)*((1+Inputs!$D$7)^AE$2)),((INT(AE$2/$L56)-INT((AE$2-1)/$L56))*$U56*((1+Inputs!$D$7)^AE$2))),(_xlfn.WEIBULL.DIST(AE$2,$M56,$L56,FALSE)*$U56*((1+Inputs!$D$7)^AE$2))),IF($N56=Lists!$K$3,IF($L56&lt;1,((($T56*(1-$F56)+$S56*(1-$G56))/$L56)*((1+Inputs!$D$7)^AE$2)),((INT(AE$2/$L56)-INT((AE$2-1)/$L56))*($T56*(1-$F56)+$S56*(1-$G56))*((1+Inputs!$D$7)^AE$2))),((_xlfn.WEIBULL.DIST(AE$2,$M56,$L56,FALSE)*($T56*(1-$F56)+$S56*(1-$G56))*((1+Inputs!$D$7)^AE$2))))))</f>
        <v>0</v>
      </c>
      <c r="AF56" s="88">
        <f>$E56*IF(AF$2&gt;Inputs!$D$5,0,IF(AF$2&gt;VLOOKUP($H56,Lists!$P$3:$Q$7,2),IF($N56=Lists!$K$3,IF($L56&lt;1,(($U56/$L56)*((1+Inputs!$D$7)^AF$2)),((INT(AF$2/$L56)-INT((AF$2-1)/$L56))*$U56*((1+Inputs!$D$7)^AF$2))),(_xlfn.WEIBULL.DIST(AF$2,$M56,$L56,FALSE)*$U56*((1+Inputs!$D$7)^AF$2))),IF($N56=Lists!$K$3,IF($L56&lt;1,((($T56*(1-$F56)+$S56*(1-$G56))/$L56)*((1+Inputs!$D$7)^AF$2)),((INT(AF$2/$L56)-INT((AF$2-1)/$L56))*($T56*(1-$F56)+$S56*(1-$G56))*((1+Inputs!$D$7)^AF$2))),((_xlfn.WEIBULL.DIST(AF$2,$M56,$L56,FALSE)*($T56*(1-$F56)+$S56*(1-$G56))*((1+Inputs!$D$7)^AF$2))))))</f>
        <v>0</v>
      </c>
      <c r="AG56" s="88">
        <f>$E56*IF(AG$2&gt;Inputs!$D$5,0,IF(AG$2&gt;VLOOKUP($H56,Lists!$P$3:$Q$7,2),IF($N56=Lists!$K$3,IF($L56&lt;1,(($U56/$L56)*((1+Inputs!$D$7)^AG$2)),((INT(AG$2/$L56)-INT((AG$2-1)/$L56))*$U56*((1+Inputs!$D$7)^AG$2))),(_xlfn.WEIBULL.DIST(AG$2,$M56,$L56,FALSE)*$U56*((1+Inputs!$D$7)^AG$2))),IF($N56=Lists!$K$3,IF($L56&lt;1,((($T56*(1-$F56)+$S56*(1-$G56))/$L56)*((1+Inputs!$D$7)^AG$2)),((INT(AG$2/$L56)-INT((AG$2-1)/$L56))*($T56*(1-$F56)+$S56*(1-$G56))*((1+Inputs!$D$7)^AG$2))),((_xlfn.WEIBULL.DIST(AG$2,$M56,$L56,FALSE)*($T56*(1-$F56)+$S56*(1-$G56))*((1+Inputs!$D$7)^AG$2))))))</f>
        <v>0</v>
      </c>
      <c r="AH56" s="88">
        <f>$E56*IF(AH$2&gt;Inputs!$D$5,0,IF(AH$2&gt;VLOOKUP($H56,Lists!$P$3:$Q$7,2),IF($N56=Lists!$K$3,IF($L56&lt;1,(($U56/$L56)*((1+Inputs!$D$7)^AH$2)),((INT(AH$2/$L56)-INT((AH$2-1)/$L56))*$U56*((1+Inputs!$D$7)^AH$2))),(_xlfn.WEIBULL.DIST(AH$2,$M56,$L56,FALSE)*$U56*((1+Inputs!$D$7)^AH$2))),IF($N56=Lists!$K$3,IF($L56&lt;1,((($T56*(1-$F56)+$S56*(1-$G56))/$L56)*((1+Inputs!$D$7)^AH$2)),((INT(AH$2/$L56)-INT((AH$2-1)/$L56))*($T56*(1-$F56)+$S56*(1-$G56))*((1+Inputs!$D$7)^AH$2))),((_xlfn.WEIBULL.DIST(AH$2,$M56,$L56,FALSE)*($T56*(1-$F56)+$S56*(1-$G56))*((1+Inputs!$D$7)^AH$2))))))</f>
        <v>0</v>
      </c>
      <c r="AI56" s="88">
        <f>$E56*IF(AI$2&gt;Inputs!$D$5,0,IF(AI$2&gt;VLOOKUP($H56,Lists!$P$3:$Q$7,2),IF($N56=Lists!$K$3,IF($L56&lt;1,(($U56/$L56)*((1+Inputs!$D$7)^AI$2)),((INT(AI$2/$L56)-INT((AI$2-1)/$L56))*$U56*((1+Inputs!$D$7)^AI$2))),(_xlfn.WEIBULL.DIST(AI$2,$M56,$L56,FALSE)*$U56*((1+Inputs!$D$7)^AI$2))),IF($N56=Lists!$K$3,IF($L56&lt;1,((($T56*(1-$F56)+$S56*(1-$G56))/$L56)*((1+Inputs!$D$7)^AI$2)),((INT(AI$2/$L56)-INT((AI$2-1)/$L56))*($T56*(1-$F56)+$S56*(1-$G56))*((1+Inputs!$D$7)^AI$2))),((_xlfn.WEIBULL.DIST(AI$2,$M56,$L56,FALSE)*($T56*(1-$F56)+$S56*(1-$G56))*((1+Inputs!$D$7)^AI$2))))))</f>
        <v>0</v>
      </c>
      <c r="AJ56" s="88">
        <f>$E56*IF(AJ$2&gt;Inputs!$D$5,0,IF(AJ$2&gt;VLOOKUP($H56,Lists!$P$3:$Q$7,2),IF($N56=Lists!$K$3,IF($L56&lt;1,(($U56/$L56)*((1+Inputs!$D$7)^AJ$2)),((INT(AJ$2/$L56)-INT((AJ$2-1)/$L56))*$U56*((1+Inputs!$D$7)^AJ$2))),(_xlfn.WEIBULL.DIST(AJ$2,$M56,$L56,FALSE)*$U56*((1+Inputs!$D$7)^AJ$2))),IF($N56=Lists!$K$3,IF($L56&lt;1,((($T56*(1-$F56)+$S56*(1-$G56))/$L56)*((1+Inputs!$D$7)^AJ$2)),((INT(AJ$2/$L56)-INT((AJ$2-1)/$L56))*($T56*(1-$F56)+$S56*(1-$G56))*((1+Inputs!$D$7)^AJ$2))),((_xlfn.WEIBULL.DIST(AJ$2,$M56,$L56,FALSE)*($T56*(1-$F56)+$S56*(1-$G56))*((1+Inputs!$D$7)^AJ$2))))))</f>
        <v>0</v>
      </c>
      <c r="AK56" s="88">
        <f>$E56*IF(AK$2&gt;Inputs!$D$5,0,IF(AK$2&gt;VLOOKUP($H56,Lists!$P$3:$Q$7,2),IF($N56=Lists!$K$3,IF($L56&lt;1,(($U56/$L56)*((1+Inputs!$D$7)^AK$2)),((INT(AK$2/$L56)-INT((AK$2-1)/$L56))*$U56*((1+Inputs!$D$7)^AK$2))),(_xlfn.WEIBULL.DIST(AK$2,$M56,$L56,FALSE)*$U56*((1+Inputs!$D$7)^AK$2))),IF($N56=Lists!$K$3,IF($L56&lt;1,((($T56*(1-$F56)+$S56*(1-$G56))/$L56)*((1+Inputs!$D$7)^AK$2)),((INT(AK$2/$L56)-INT((AK$2-1)/$L56))*($T56*(1-$F56)+$S56*(1-$G56))*((1+Inputs!$D$7)^AK$2))),((_xlfn.WEIBULL.DIST(AK$2,$M56,$L56,FALSE)*($T56*(1-$F56)+$S56*(1-$G56))*((1+Inputs!$D$7)^AK$2))))))</f>
        <v>0</v>
      </c>
      <c r="AL56" s="88">
        <f>$E56*IF(AL$2&gt;Inputs!$D$5,0,IF(AL$2&gt;VLOOKUP($H56,Lists!$P$3:$Q$7,2),IF($N56=Lists!$K$3,IF($L56&lt;1,(($U56/$L56)*((1+Inputs!$D$7)^AL$2)),((INT(AL$2/$L56)-INT((AL$2-1)/$L56))*$U56*((1+Inputs!$D$7)^AL$2))),(_xlfn.WEIBULL.DIST(AL$2,$M56,$L56,FALSE)*$U56*((1+Inputs!$D$7)^AL$2))),IF($N56=Lists!$K$3,IF($L56&lt;1,((($T56*(1-$F56)+$S56*(1-$G56))/$L56)*((1+Inputs!$D$7)^AL$2)),((INT(AL$2/$L56)-INT((AL$2-1)/$L56))*($T56*(1-$F56)+$S56*(1-$G56))*((1+Inputs!$D$7)^AL$2))),((_xlfn.WEIBULL.DIST(AL$2,$M56,$L56,FALSE)*($T56*(1-$F56)+$S56*(1-$G56))*((1+Inputs!$D$7)^AL$2))))))</f>
        <v>0</v>
      </c>
      <c r="AM56" s="88">
        <f>$E56*IF(AM$2&gt;Inputs!$D$5,0,IF(AM$2&gt;VLOOKUP($H56,Lists!$P$3:$Q$7,2),IF($N56=Lists!$K$3,IF($L56&lt;1,(($U56/$L56)*((1+Inputs!$D$7)^AM$2)),((INT(AM$2/$L56)-INT((AM$2-1)/$L56))*$U56*((1+Inputs!$D$7)^AM$2))),(_xlfn.WEIBULL.DIST(AM$2,$M56,$L56,FALSE)*$U56*((1+Inputs!$D$7)^AM$2))),IF($N56=Lists!$K$3,IF($L56&lt;1,((($T56*(1-$F56)+$S56*(1-$G56))/$L56)*((1+Inputs!$D$7)^AM$2)),((INT(AM$2/$L56)-INT((AM$2-1)/$L56))*($T56*(1-$F56)+$S56*(1-$G56))*((1+Inputs!$D$7)^AM$2))),((_xlfn.WEIBULL.DIST(AM$2,$M56,$L56,FALSE)*($T56*(1-$F56)+$S56*(1-$G56))*((1+Inputs!$D$7)^AM$2))))))</f>
        <v>0</v>
      </c>
      <c r="AN56" s="88">
        <f>$E56*IF(AN$2&gt;Inputs!$D$5,0,IF(AN$2&gt;VLOOKUP($H56,Lists!$P$3:$Q$7,2),IF($N56=Lists!$K$3,IF($L56&lt;1,(($U56/$L56)*((1+Inputs!$D$7)^AN$2)),((INT(AN$2/$L56)-INT((AN$2-1)/$L56))*$U56*((1+Inputs!$D$7)^AN$2))),(_xlfn.WEIBULL.DIST(AN$2,$M56,$L56,FALSE)*$U56*((1+Inputs!$D$7)^AN$2))),IF($N56=Lists!$K$3,IF($L56&lt;1,((($T56*(1-$F56)+$S56*(1-$G56))/$L56)*((1+Inputs!$D$7)^AN$2)),((INT(AN$2/$L56)-INT((AN$2-1)/$L56))*($T56*(1-$F56)+$S56*(1-$G56))*((1+Inputs!$D$7)^AN$2))),((_xlfn.WEIBULL.DIST(AN$2,$M56,$L56,FALSE)*($T56*(1-$F56)+$S56*(1-$G56))*((1+Inputs!$D$7)^AN$2))))))</f>
        <v>0</v>
      </c>
      <c r="AO56" s="88">
        <f>$E56*IF(AO$2&gt;Inputs!$D$5,0,IF(AO$2&gt;VLOOKUP($H56,Lists!$P$3:$Q$7,2),IF($N56=Lists!$K$3,IF($L56&lt;1,(($U56/$L56)*((1+Inputs!$D$7)^AO$2)),((INT(AO$2/$L56)-INT((AO$2-1)/$L56))*$U56*((1+Inputs!$D$7)^AO$2))),(_xlfn.WEIBULL.DIST(AO$2,$M56,$L56,FALSE)*$U56*((1+Inputs!$D$7)^AO$2))),IF($N56=Lists!$K$3,IF($L56&lt;1,((($T56*(1-$F56)+$S56*(1-$G56))/$L56)*((1+Inputs!$D$7)^AO$2)),((INT(AO$2/$L56)-INT((AO$2-1)/$L56))*($T56*(1-$F56)+$S56*(1-$G56))*((1+Inputs!$D$7)^AO$2))),((_xlfn.WEIBULL.DIST(AO$2,$M56,$L56,FALSE)*($T56*(1-$F56)+$S56*(1-$G56))*((1+Inputs!$D$7)^AO$2))))))</f>
        <v>0</v>
      </c>
      <c r="AP56" s="88">
        <f>$E56*IF(AP$2&gt;Inputs!$D$5,0,IF(AP$2&gt;VLOOKUP($H56,Lists!$P$3:$Q$7,2),IF($N56=Lists!$K$3,IF($L56&lt;1,(($U56/$L56)*((1+Inputs!$D$7)^AP$2)),((INT(AP$2/$L56)-INT((AP$2-1)/$L56))*$U56*((1+Inputs!$D$7)^AP$2))),(_xlfn.WEIBULL.DIST(AP$2,$M56,$L56,FALSE)*$U56*((1+Inputs!$D$7)^AP$2))),IF($N56=Lists!$K$3,IF($L56&lt;1,((($T56*(1-$F56)+$S56*(1-$G56))/$L56)*((1+Inputs!$D$7)^AP$2)),((INT(AP$2/$L56)-INT((AP$2-1)/$L56))*($T56*(1-$F56)+$S56*(1-$G56))*((1+Inputs!$D$7)^AP$2))),((_xlfn.WEIBULL.DIST(AP$2,$M56,$L56,FALSE)*($T56*(1-$F56)+$S56*(1-$G56))*((1+Inputs!$D$7)^AP$2))))))</f>
        <v>0</v>
      </c>
      <c r="AQ56" s="88">
        <f>$E56*IF(AQ$2&gt;Inputs!$D$5,0,IF(AQ$2&gt;VLOOKUP($H56,Lists!$P$3:$Q$7,2),IF($N56=Lists!$K$3,IF($L56&lt;1,(($U56/$L56)*((1+Inputs!$D$7)^AQ$2)),((INT(AQ$2/$L56)-INT((AQ$2-1)/$L56))*$U56*((1+Inputs!$D$7)^AQ$2))),(_xlfn.WEIBULL.DIST(AQ$2,$M56,$L56,FALSE)*$U56*((1+Inputs!$D$7)^AQ$2))),IF($N56=Lists!$K$3,IF($L56&lt;1,((($T56*(1-$F56)+$S56*(1-$G56))/$L56)*((1+Inputs!$D$7)^AQ$2)),((INT(AQ$2/$L56)-INT((AQ$2-1)/$L56))*($T56*(1-$F56)+$S56*(1-$G56))*((1+Inputs!$D$7)^AQ$2))),((_xlfn.WEIBULL.DIST(AQ$2,$M56,$L56,FALSE)*($T56*(1-$F56)+$S56*(1-$G56))*((1+Inputs!$D$7)^AQ$2))))))</f>
        <v>0</v>
      </c>
      <c r="AR56" s="88">
        <f>$E56*IF(AR$2&gt;Inputs!$D$5,0,IF(AR$2&gt;VLOOKUP($H56,Lists!$P$3:$Q$7,2),IF($N56=Lists!$K$3,IF($L56&lt;1,(($U56/$L56)*((1+Inputs!$D$7)^AR$2)),((INT(AR$2/$L56)-INT((AR$2-1)/$L56))*$U56*((1+Inputs!$D$7)^AR$2))),(_xlfn.WEIBULL.DIST(AR$2,$M56,$L56,FALSE)*$U56*((1+Inputs!$D$7)^AR$2))),IF($N56=Lists!$K$3,IF($L56&lt;1,((($T56*(1-$F56)+$S56*(1-$G56))/$L56)*((1+Inputs!$D$7)^AR$2)),((INT(AR$2/$L56)-INT((AR$2-1)/$L56))*($T56*(1-$F56)+$S56*(1-$G56))*((1+Inputs!$D$7)^AR$2))),((_xlfn.WEIBULL.DIST(AR$2,$M56,$L56,FALSE)*($T56*(1-$F56)+$S56*(1-$G56))*((1+Inputs!$D$7)^AR$2))))))</f>
        <v>0</v>
      </c>
      <c r="AS56" s="88">
        <f>$E56*IF(AS$2&gt;Inputs!$D$5,0,IF(AS$2&gt;VLOOKUP($H56,Lists!$P$3:$Q$7,2),IF($N56=Lists!$K$3,IF($L56&lt;1,(($U56/$L56)*((1+Inputs!$D$7)^AS$2)),((INT(AS$2/$L56)-INT((AS$2-1)/$L56))*$U56*((1+Inputs!$D$7)^AS$2))),(_xlfn.WEIBULL.DIST(AS$2,$M56,$L56,FALSE)*$U56*((1+Inputs!$D$7)^AS$2))),IF($N56=Lists!$K$3,IF($L56&lt;1,((($T56*(1-$F56)+$S56*(1-$G56))/$L56)*((1+Inputs!$D$7)^AS$2)),((INT(AS$2/$L56)-INT((AS$2-1)/$L56))*($T56*(1-$F56)+$S56*(1-$G56))*((1+Inputs!$D$7)^AS$2))),((_xlfn.WEIBULL.DIST(AS$2,$M56,$L56,FALSE)*($T56*(1-$F56)+$S56*(1-$G56))*((1+Inputs!$D$7)^AS$2))))))</f>
        <v>0</v>
      </c>
      <c r="AT56" s="88">
        <f>$E56*IF(AT$2&gt;Inputs!$D$5,0,IF(AT$2&gt;VLOOKUP($H56,Lists!$P$3:$Q$7,2),IF($N56=Lists!$K$3,IF($L56&lt;1,(($U56/$L56)*((1+Inputs!$D$7)^AT$2)),((INT(AT$2/$L56)-INT((AT$2-1)/$L56))*$U56*((1+Inputs!$D$7)^AT$2))),(_xlfn.WEIBULL.DIST(AT$2,$M56,$L56,FALSE)*$U56*((1+Inputs!$D$7)^AT$2))),IF($N56=Lists!$K$3,IF($L56&lt;1,((($T56*(1-$F56)+$S56*(1-$G56))/$L56)*((1+Inputs!$D$7)^AT$2)),((INT(AT$2/$L56)-INT((AT$2-1)/$L56))*($T56*(1-$F56)+$S56*(1-$G56))*((1+Inputs!$D$7)^AT$2))),((_xlfn.WEIBULL.DIST(AT$2,$M56,$L56,FALSE)*($T56*(1-$F56)+$S56*(1-$G56))*((1+Inputs!$D$7)^AT$2))))))</f>
        <v>0</v>
      </c>
      <c r="AU56" s="88">
        <f>$E56*IF(AU$2&gt;Inputs!$D$5,0,IF(AU$2&gt;VLOOKUP($H56,Lists!$P$3:$Q$7,2),IF($N56=Lists!$K$3,IF($L56&lt;1,(($U56/$L56)*((1+Inputs!$D$7)^AU$2)),((INT(AU$2/$L56)-INT((AU$2-1)/$L56))*$U56*((1+Inputs!$D$7)^AU$2))),(_xlfn.WEIBULL.DIST(AU$2,$M56,$L56,FALSE)*$U56*((1+Inputs!$D$7)^AU$2))),IF($N56=Lists!$K$3,IF($L56&lt;1,((($T56*(1-$F56)+$S56*(1-$G56))/$L56)*((1+Inputs!$D$7)^AU$2)),((INT(AU$2/$L56)-INT((AU$2-1)/$L56))*($T56*(1-$F56)+$S56*(1-$G56))*((1+Inputs!$D$7)^AU$2))),((_xlfn.WEIBULL.DIST(AU$2,$M56,$L56,FALSE)*($T56*(1-$F56)+$S56*(1-$G56))*((1+Inputs!$D$7)^AU$2))))))</f>
        <v>0</v>
      </c>
      <c r="AV56" s="88">
        <f>$E56*IF(AV$2&gt;Inputs!$D$5,0,IF(AV$2&gt;VLOOKUP($H56,Lists!$P$3:$Q$7,2),IF($N56=Lists!$K$3,IF($L56&lt;1,(($U56/$L56)*((1+Inputs!$D$7)^AV$2)),((INT(AV$2/$L56)-INT((AV$2-1)/$L56))*$U56*((1+Inputs!$D$7)^AV$2))),(_xlfn.WEIBULL.DIST(AV$2,$M56,$L56,FALSE)*$U56*((1+Inputs!$D$7)^AV$2))),IF($N56=Lists!$K$3,IF($L56&lt;1,((($T56*(1-$F56)+$S56*(1-$G56))/$L56)*((1+Inputs!$D$7)^AV$2)),((INT(AV$2/$L56)-INT((AV$2-1)/$L56))*($T56*(1-$F56)+$S56*(1-$G56))*((1+Inputs!$D$7)^AV$2))),((_xlfn.WEIBULL.DIST(AV$2,$M56,$L56,FALSE)*($T56*(1-$F56)+$S56*(1-$G56))*((1+Inputs!$D$7)^AV$2))))))</f>
        <v>0</v>
      </c>
      <c r="AW56" s="88">
        <f>$E56*IF(AW$2&gt;Inputs!$D$5,0,IF(AW$2&gt;VLOOKUP($H56,Lists!$P$3:$Q$7,2),IF($N56=Lists!$K$3,IF($L56&lt;1,(($U56/$L56)*((1+Inputs!$D$7)^AW$2)),((INT(AW$2/$L56)-INT((AW$2-1)/$L56))*$U56*((1+Inputs!$D$7)^AW$2))),(_xlfn.WEIBULL.DIST(AW$2,$M56,$L56,FALSE)*$U56*((1+Inputs!$D$7)^AW$2))),IF($N56=Lists!$K$3,IF($L56&lt;1,((($T56*(1-$F56)+$S56*(1-$G56))/$L56)*((1+Inputs!$D$7)^AW$2)),((INT(AW$2/$L56)-INT((AW$2-1)/$L56))*($T56*(1-$F56)+$S56*(1-$G56))*((1+Inputs!$D$7)^AW$2))),((_xlfn.WEIBULL.DIST(AW$2,$M56,$L56,FALSE)*($T56*(1-$F56)+$S56*(1-$G56))*((1+Inputs!$D$7)^AW$2))))))</f>
        <v>0</v>
      </c>
      <c r="AX56" s="88">
        <f>$E56*IF(AX$2&gt;Inputs!$D$5,0,IF(AX$2&gt;VLOOKUP($H56,Lists!$P$3:$Q$7,2),IF($N56=Lists!$K$3,IF($L56&lt;1,(($U56/$L56)*((1+Inputs!$D$7)^AX$2)),((INT(AX$2/$L56)-INT((AX$2-1)/$L56))*$U56*((1+Inputs!$D$7)^AX$2))),(_xlfn.WEIBULL.DIST(AX$2,$M56,$L56,FALSE)*$U56*((1+Inputs!$D$7)^AX$2))),IF($N56=Lists!$K$3,IF($L56&lt;1,((($T56*(1-$F56)+$S56*(1-$G56))/$L56)*((1+Inputs!$D$7)^AX$2)),((INT(AX$2/$L56)-INT((AX$2-1)/$L56))*($T56*(1-$F56)+$S56*(1-$G56))*((1+Inputs!$D$7)^AX$2))),((_xlfn.WEIBULL.DIST(AX$2,$M56,$L56,FALSE)*($T56*(1-$F56)+$S56*(1-$G56))*((1+Inputs!$D$7)^AX$2))))))</f>
        <v>0</v>
      </c>
      <c r="AY56" s="88">
        <f>$E56*IF(AY$2&gt;Inputs!$D$5,0,IF(AY$2&gt;VLOOKUP($H56,Lists!$P$3:$Q$7,2),IF($N56=Lists!$K$3,IF($L56&lt;1,(($U56/$L56)*((1+Inputs!$D$7)^AY$2)),((INT(AY$2/$L56)-INT((AY$2-1)/$L56))*$U56*((1+Inputs!$D$7)^AY$2))),(_xlfn.WEIBULL.DIST(AY$2,$M56,$L56,FALSE)*$U56*((1+Inputs!$D$7)^AY$2))),IF($N56=Lists!$K$3,IF($L56&lt;1,((($T56*(1-$F56)+$S56*(1-$G56))/$L56)*((1+Inputs!$D$7)^AY$2)),((INT(AY$2/$L56)-INT((AY$2-1)/$L56))*($T56*(1-$F56)+$S56*(1-$G56))*((1+Inputs!$D$7)^AY$2))),((_xlfn.WEIBULL.DIST(AY$2,$M56,$L56,FALSE)*($T56*(1-$F56)+$S56*(1-$G56))*((1+Inputs!$D$7)^AY$2))))))</f>
        <v>0</v>
      </c>
      <c r="AZ56" s="88">
        <f>$E56*IF(AZ$2&gt;Inputs!$D$5,0,IF(AZ$2&gt;VLOOKUP($H56,Lists!$P$3:$Q$7,2),IF($N56=Lists!$K$3,IF($L56&lt;1,(($U56/$L56)*((1+Inputs!$D$7)^AZ$2)),((INT(AZ$2/$L56)-INT((AZ$2-1)/$L56))*$U56*((1+Inputs!$D$7)^AZ$2))),(_xlfn.WEIBULL.DIST(AZ$2,$M56,$L56,FALSE)*$U56*((1+Inputs!$D$7)^AZ$2))),IF($N56=Lists!$K$3,IF($L56&lt;1,((($T56*(1-$F56)+$S56*(1-$G56))/$L56)*((1+Inputs!$D$7)^AZ$2)),((INT(AZ$2/$L56)-INT((AZ$2-1)/$L56))*($T56*(1-$F56)+$S56*(1-$G56))*((1+Inputs!$D$7)^AZ$2))),((_xlfn.WEIBULL.DIST(AZ$2,$M56,$L56,FALSE)*($T56*(1-$F56)+$S56*(1-$G56))*((1+Inputs!$D$7)^AZ$2))))))</f>
        <v>0</v>
      </c>
      <c r="BA56" s="88">
        <f>$E56*IF(BA$2&gt;Inputs!$D$5,0,IF(BA$2&gt;VLOOKUP($H56,Lists!$P$3:$Q$7,2),IF($N56=Lists!$K$3,IF($L56&lt;1,(($U56/$L56)*((1+Inputs!$D$7)^BA$2)),((INT(BA$2/$L56)-INT((BA$2-1)/$L56))*$U56*((1+Inputs!$D$7)^BA$2))),(_xlfn.WEIBULL.DIST(BA$2,$M56,$L56,FALSE)*$U56*((1+Inputs!$D$7)^BA$2))),IF($N56=Lists!$K$3,IF($L56&lt;1,((($T56*(1-$F56)+$S56*(1-$G56))/$L56)*((1+Inputs!$D$7)^BA$2)),((INT(BA$2/$L56)-INT((BA$2-1)/$L56))*($T56*(1-$F56)+$S56*(1-$G56))*((1+Inputs!$D$7)^BA$2))),((_xlfn.WEIBULL.DIST(BA$2,$M56,$L56,FALSE)*($T56*(1-$F56)+$S56*(1-$G56))*((1+Inputs!$D$7)^BA$2))))))</f>
        <v>0</v>
      </c>
      <c r="BB56" s="88">
        <f>$E56*IF(BB$2&gt;Inputs!$D$5,0,IF(BB$2&gt;VLOOKUP($H56,Lists!$P$3:$Q$7,2),IF($N56=Lists!$K$3,IF($L56&lt;1,(($U56/$L56)*((1+Inputs!$D$7)^BB$2)),((INT(BB$2/$L56)-INT((BB$2-1)/$L56))*$U56*((1+Inputs!$D$7)^BB$2))),(_xlfn.WEIBULL.DIST(BB$2,$M56,$L56,FALSE)*$U56*((1+Inputs!$D$7)^BB$2))),IF($N56=Lists!$K$3,IF($L56&lt;1,((($T56*(1-$F56)+$S56*(1-$G56))/$L56)*((1+Inputs!$D$7)^BB$2)),((INT(BB$2/$L56)-INT((BB$2-1)/$L56))*($T56*(1-$F56)+$S56*(1-$G56))*((1+Inputs!$D$7)^BB$2))),((_xlfn.WEIBULL.DIST(BB$2,$M56,$L56,FALSE)*($T56*(1-$F56)+$S56*(1-$G56))*((1+Inputs!$D$7)^BB$2))))))</f>
        <v>0</v>
      </c>
      <c r="BC56" s="88">
        <f>$E56*IF(BC$2&gt;Inputs!$D$5,0,IF(BC$2&gt;VLOOKUP($H56,Lists!$P$3:$Q$7,2),IF($N56=Lists!$K$3,IF($L56&lt;1,(($U56/$L56)*((1+Inputs!$D$7)^BC$2)),((INT(BC$2/$L56)-INT((BC$2-1)/$L56))*$U56*((1+Inputs!$D$7)^BC$2))),(_xlfn.WEIBULL.DIST(BC$2,$M56,$L56,FALSE)*$U56*((1+Inputs!$D$7)^BC$2))),IF($N56=Lists!$K$3,IF($L56&lt;1,((($T56*(1-$F56)+$S56*(1-$G56))/$L56)*((1+Inputs!$D$7)^BC$2)),((INT(BC$2/$L56)-INT((BC$2-1)/$L56))*($T56*(1-$F56)+$S56*(1-$G56))*((1+Inputs!$D$7)^BC$2))),((_xlfn.WEIBULL.DIST(BC$2,$M56,$L56,FALSE)*($T56*(1-$F56)+$S56*(1-$G56))*((1+Inputs!$D$7)^BC$2))))))</f>
        <v>0</v>
      </c>
      <c r="BD56" s="88">
        <f>$E56*IF(BD$2&gt;Inputs!$D$5,0,IF(BD$2&gt;VLOOKUP($H56,Lists!$P$3:$Q$7,2),IF($N56=Lists!$K$3,IF($L56&lt;1,(($U56/$L56)*((1+Inputs!$D$7)^BD$2)),((INT(BD$2/$L56)-INT((BD$2-1)/$L56))*$U56*((1+Inputs!$D$7)^BD$2))),(_xlfn.WEIBULL.DIST(BD$2,$M56,$L56,FALSE)*$U56*((1+Inputs!$D$7)^BD$2))),IF($N56=Lists!$K$3,IF($L56&lt;1,((($T56*(1-$F56)+$S56*(1-$G56))/$L56)*((1+Inputs!$D$7)^BD$2)),((INT(BD$2/$L56)-INT((BD$2-1)/$L56))*($T56*(1-$F56)+$S56*(1-$G56))*((1+Inputs!$D$7)^BD$2))),((_xlfn.WEIBULL.DIST(BD$2,$M56,$L56,FALSE)*($T56*(1-$F56)+$S56*(1-$G56))*((1+Inputs!$D$7)^BD$2))))))</f>
        <v>0</v>
      </c>
      <c r="BE56" s="88">
        <f>$E56*IF(BE$2&gt;Inputs!$D$5,0,IF(BE$2&gt;VLOOKUP($H56,Lists!$P$3:$Q$7,2),IF($N56=Lists!$K$3,IF($L56&lt;1,(($U56/$L56)*((1+Inputs!$D$7)^BE$2)),((INT(BE$2/$L56)-INT((BE$2-1)/$L56))*$U56*((1+Inputs!$D$7)^BE$2))),(_xlfn.WEIBULL.DIST(BE$2,$M56,$L56,FALSE)*$U56*((1+Inputs!$D$7)^BE$2))),IF($N56=Lists!$K$3,IF($L56&lt;1,((($T56*(1-$F56)+$S56*(1-$G56))/$L56)*((1+Inputs!$D$7)^BE$2)),((INT(BE$2/$L56)-INT((BE$2-1)/$L56))*($T56*(1-$F56)+$S56*(1-$G56))*((1+Inputs!$D$7)^BE$2))),((_xlfn.WEIBULL.DIST(BE$2,$M56,$L56,FALSE)*($T56*(1-$F56)+$S56*(1-$G56))*((1+Inputs!$D$7)^BE$2))))))</f>
        <v>0</v>
      </c>
      <c r="BF56" s="88">
        <f>$E56*IF(BF$2&gt;Inputs!$D$5,0,IF(BF$2&gt;VLOOKUP($H56,Lists!$P$3:$Q$7,2),IF($N56=Lists!$K$3,IF($L56&lt;1,(($U56/$L56)*((1+Inputs!$D$7)^BF$2)),((INT(BF$2/$L56)-INT((BF$2-1)/$L56))*$U56*((1+Inputs!$D$7)^BF$2))),(_xlfn.WEIBULL.DIST(BF$2,$M56,$L56,FALSE)*$U56*((1+Inputs!$D$7)^BF$2))),IF($N56=Lists!$K$3,IF($L56&lt;1,((($T56*(1-$F56)+$S56*(1-$G56))/$L56)*((1+Inputs!$D$7)^BF$2)),((INT(BF$2/$L56)-INT((BF$2-1)/$L56))*($T56*(1-$F56)+$S56*(1-$G56))*((1+Inputs!$D$7)^BF$2))),((_xlfn.WEIBULL.DIST(BF$2,$M56,$L56,FALSE)*($T56*(1-$F56)+$S56*(1-$G56))*((1+Inputs!$D$7)^BF$2))))))</f>
        <v>0</v>
      </c>
      <c r="BG56" s="88">
        <f>$E56*IF(BG$2&gt;Inputs!$D$5,0,IF(BG$2&gt;VLOOKUP($H56,Lists!$P$3:$Q$7,2),IF($N56=Lists!$K$3,IF($L56&lt;1,(($U56/$L56)*((1+Inputs!$D$7)^BG$2)),((INT(BG$2/$L56)-INT((BG$2-1)/$L56))*$U56*((1+Inputs!$D$7)^BG$2))),(_xlfn.WEIBULL.DIST(BG$2,$M56,$L56,FALSE)*$U56*((1+Inputs!$D$7)^BG$2))),IF($N56=Lists!$K$3,IF($L56&lt;1,((($T56*(1-$F56)+$S56*(1-$G56))/$L56)*((1+Inputs!$D$7)^BG$2)),((INT(BG$2/$L56)-INT((BG$2-1)/$L56))*($T56*(1-$F56)+$S56*(1-$G56))*((1+Inputs!$D$7)^BG$2))),((_xlfn.WEIBULL.DIST(BG$2,$M56,$L56,FALSE)*($T56*(1-$F56)+$S56*(1-$G56))*((1+Inputs!$D$7)^BG$2))))))</f>
        <v>0</v>
      </c>
      <c r="BH56" s="88">
        <f>$E56*IF(BH$2&gt;Inputs!$D$5,0,IF(BH$2&gt;VLOOKUP($H56,Lists!$P$3:$Q$7,2),IF($N56=Lists!$K$3,IF($L56&lt;1,(($U56/$L56)*((1+Inputs!$D$7)^BH$2)),((INT(BH$2/$L56)-INT((BH$2-1)/$L56))*$U56*((1+Inputs!$D$7)^BH$2))),(_xlfn.WEIBULL.DIST(BH$2,$M56,$L56,FALSE)*$U56*((1+Inputs!$D$7)^BH$2))),IF($N56=Lists!$K$3,IF($L56&lt;1,((($T56*(1-$F56)+$S56*(1-$G56))/$L56)*((1+Inputs!$D$7)^BH$2)),((INT(BH$2/$L56)-INT((BH$2-1)/$L56))*($T56*(1-$F56)+$S56*(1-$G56))*((1+Inputs!$D$7)^BH$2))),((_xlfn.WEIBULL.DIST(BH$2,$M56,$L56,FALSE)*($T56*(1-$F56)+$S56*(1-$G56))*((1+Inputs!$D$7)^BH$2))))))</f>
        <v>0</v>
      </c>
      <c r="BI56" s="88">
        <f>$E56*IF(BI$2&gt;Inputs!$D$5,0,IF(BI$2&gt;VLOOKUP($H56,Lists!$P$3:$Q$7,2),IF($N56=Lists!$K$3,IF($L56&lt;1,(($U56/$L56)*((1+Inputs!$D$7)^BI$2)),((INT(BI$2/$L56)-INT((BI$2-1)/$L56))*$U56*((1+Inputs!$D$7)^BI$2))),(_xlfn.WEIBULL.DIST(BI$2,$M56,$L56,FALSE)*$U56*((1+Inputs!$D$7)^BI$2))),IF($N56=Lists!$K$3,IF($L56&lt;1,((($T56*(1-$F56)+$S56*(1-$G56))/$L56)*((1+Inputs!$D$7)^BI$2)),((INT(BI$2/$L56)-INT((BI$2-1)/$L56))*($T56*(1-$F56)+$S56*(1-$G56))*((1+Inputs!$D$7)^BI$2))),((_xlfn.WEIBULL.DIST(BI$2,$M56,$L56,FALSE)*($T56*(1-$F56)+$S56*(1-$G56))*((1+Inputs!$D$7)^BI$2))))))</f>
        <v>0</v>
      </c>
      <c r="BJ56" s="88">
        <f>$E56*IF(BJ$2&gt;Inputs!$D$5,0,IF(BJ$2&gt;VLOOKUP($H56,Lists!$P$3:$Q$7,2),IF($N56=Lists!$K$3,IF($L56&lt;1,(($U56/$L56)*((1+Inputs!$D$7)^BJ$2)),((INT(BJ$2/$L56)-INT((BJ$2-1)/$L56))*$U56*((1+Inputs!$D$7)^BJ$2))),(_xlfn.WEIBULL.DIST(BJ$2,$M56,$L56,FALSE)*$U56*((1+Inputs!$D$7)^BJ$2))),IF($N56=Lists!$K$3,IF($L56&lt;1,((($T56*(1-$F56)+$S56*(1-$G56))/$L56)*((1+Inputs!$D$7)^BJ$2)),((INT(BJ$2/$L56)-INT((BJ$2-1)/$L56))*($T56*(1-$F56)+$S56*(1-$G56))*((1+Inputs!$D$7)^BJ$2))),((_xlfn.WEIBULL.DIST(BJ$2,$M56,$L56,FALSE)*($T56*(1-$F56)+$S56*(1-$G56))*((1+Inputs!$D$7)^BJ$2))))))</f>
        <v>0</v>
      </c>
      <c r="BK56" s="88">
        <f>$E56*IF(BK$2&gt;Inputs!$D$5,0,IF(BK$2&gt;VLOOKUP($H56,Lists!$P$3:$Q$7,2),IF($N56=Lists!$K$3,IF($L56&lt;1,(($U56/$L56)*((1+Inputs!$D$7)^BK$2)),((INT(BK$2/$L56)-INT((BK$2-1)/$L56))*$U56*((1+Inputs!$D$7)^BK$2))),(_xlfn.WEIBULL.DIST(BK$2,$M56,$L56,FALSE)*$U56*((1+Inputs!$D$7)^BK$2))),IF($N56=Lists!$K$3,IF($L56&lt;1,((($T56*(1-$F56)+$S56*(1-$G56))/$L56)*((1+Inputs!$D$7)^BK$2)),((INT(BK$2/$L56)-INT((BK$2-1)/$L56))*($T56*(1-$F56)+$S56*(1-$G56))*((1+Inputs!$D$7)^BK$2))),((_xlfn.WEIBULL.DIST(BK$2,$M56,$L56,FALSE)*($T56*(1-$F56)+$S56*(1-$G56))*((1+Inputs!$D$7)^BK$2))))))</f>
        <v>0</v>
      </c>
      <c r="BL56" s="88">
        <f>$E56*IF(BL$2&gt;Inputs!$D$5,0,IF(BL$2&gt;VLOOKUP($H56,Lists!$P$3:$Q$7,2),IF($N56=Lists!$K$3,IF($L56&lt;1,(($U56/$L56)*((1+Inputs!$D$7)^BL$2)),((INT(BL$2/$L56)-INT((BL$2-1)/$L56))*$U56*((1+Inputs!$D$7)^BL$2))),(_xlfn.WEIBULL.DIST(BL$2,$M56,$L56,FALSE)*$U56*((1+Inputs!$D$7)^BL$2))),IF($N56=Lists!$K$3,IF($L56&lt;1,((($T56*(1-$F56)+$S56*(1-$G56))/$L56)*((1+Inputs!$D$7)^BL$2)),((INT(BL$2/$L56)-INT((BL$2-1)/$L56))*($T56*(1-$F56)+$S56*(1-$G56))*((1+Inputs!$D$7)^BL$2))),((_xlfn.WEIBULL.DIST(BL$2,$M56,$L56,FALSE)*($T56*(1-$F56)+$S56*(1-$G56))*((1+Inputs!$D$7)^BL$2))))))</f>
        <v>0</v>
      </c>
      <c r="BM56" s="88">
        <f>$E56*IF(BM$2&gt;Inputs!$D$5,0,IF(BM$2&gt;VLOOKUP($H56,Lists!$P$3:$Q$7,2),IF($N56=Lists!$K$3,IF($L56&lt;1,(($U56/$L56)*((1+Inputs!$D$7)^BM$2)),((INT(BM$2/$L56)-INT((BM$2-1)/$L56))*$U56*((1+Inputs!$D$7)^BM$2))),(_xlfn.WEIBULL.DIST(BM$2,$M56,$L56,FALSE)*$U56*((1+Inputs!$D$7)^BM$2))),IF($N56=Lists!$K$3,IF($L56&lt;1,((($T56*(1-$F56)+$S56*(1-$G56))/$L56)*((1+Inputs!$D$7)^BM$2)),((INT(BM$2/$L56)-INT((BM$2-1)/$L56))*($T56*(1-$F56)+$S56*(1-$G56))*((1+Inputs!$D$7)^BM$2))),((_xlfn.WEIBULL.DIST(BM$2,$M56,$L56,FALSE)*($T56*(1-$F56)+$S56*(1-$G56))*((1+Inputs!$D$7)^BM$2))))))</f>
        <v>0</v>
      </c>
      <c r="BN56" s="88">
        <f>$E56*IF(BN$2&gt;Inputs!$D$5,0,IF(BN$2&gt;VLOOKUP($H56,Lists!$P$3:$Q$7,2),IF($N56=Lists!$K$3,IF($L56&lt;1,(($U56/$L56)*((1+Inputs!$D$7)^BN$2)),((INT(BN$2/$L56)-INT((BN$2-1)/$L56))*$U56*((1+Inputs!$D$7)^BN$2))),(_xlfn.WEIBULL.DIST(BN$2,$M56,$L56,FALSE)*$U56*((1+Inputs!$D$7)^BN$2))),IF($N56=Lists!$K$3,IF($L56&lt;1,((($T56*(1-$F56)+$S56*(1-$G56))/$L56)*((1+Inputs!$D$7)^BN$2)),((INT(BN$2/$L56)-INT((BN$2-1)/$L56))*($T56*(1-$F56)+$S56*(1-$G56))*((1+Inputs!$D$7)^BN$2))),((_xlfn.WEIBULL.DIST(BN$2,$M56,$L56,FALSE)*($T56*(1-$F56)+$S56*(1-$G56))*((1+Inputs!$D$7)^BN$2))))))</f>
        <v>0</v>
      </c>
      <c r="BO56" s="64">
        <f>NPV(Inputs!$D$6,BQ56:DD56)</f>
        <v>0</v>
      </c>
      <c r="BP56" s="67">
        <f t="shared" si="13"/>
        <v>0</v>
      </c>
      <c r="BQ56" s="88">
        <f>MAX(AA56,($E56*IF(BQ$2&gt;Inputs!$D$5,0,IF(BQ$2&gt;VLOOKUP($H56,Lists!$P$3:$Q$7,2),IF($N56=Lists!$K$3,IF($L56&lt;1,(($U56/$L56)*((1+Inputs!$D$7)^BQ$2)),((INT(BQ$2/$L56)-INT((BQ$2-1)/$L56))*$U56*((1+Inputs!$D$7)^BQ$2))),(Inputs!$D$8^((1-_xlfn.WEIBULL.DIST(BQ$2,$M56,$L56,FALSE))/_xlfn.WEIBULL.DIST(BQ$2,$M56,$L56,FALSE))*$U56*((1+Inputs!$D$7)^BQ$2))),IF($N56=Lists!$K$3,IF($L56&lt;1,((($T56*(1-$F56)+$S56*(1-$G56))/$L56)*((1+Inputs!$D$7)^BQ$2)),((INT(BQ$2/$L56)-INT((BQ$2-1)/$L56))*($T56*(1-$F56)+$S56*(1-$G56))*((1+Inputs!$D$7)^BQ$2))),((Inputs!$D$8^((1-_xlfn.WEIBULL.DIST(BQ$2,$M56,$L56,FALSE))/_xlfn.WEIBULL.DIST(BQ$2,$M56,$L56,FALSE))*($T56*(1-$F56)+$S56*(1-$G56))*((1+Inputs!$D$7)^BQ$2))))))))</f>
        <v>0</v>
      </c>
      <c r="BR56" s="88">
        <f>MAX(AB56,($E56*IF(BR$2&gt;Inputs!$D$5,0,IF(BR$2&gt;VLOOKUP($H56,Lists!$P$3:$Q$7,2),IF($N56=Lists!$K$3,IF($L56&lt;1,(($U56/$L56)*((1+Inputs!$D$7)^BR$2)),((INT(BR$2/$L56)-INT((BR$2-1)/$L56))*$U56*((1+Inputs!$D$7)^BR$2))),(Inputs!$D$8^((1-_xlfn.WEIBULL.DIST(BR$2,$M56,$L56,FALSE))/_xlfn.WEIBULL.DIST(BR$2,$M56,$L56,FALSE))*$U56*((1+Inputs!$D$7)^BR$2))),IF($N56=Lists!$K$3,IF($L56&lt;1,((($T56*(1-$F56)+$S56*(1-$G56))/$L56)*((1+Inputs!$D$7)^BR$2)),((INT(BR$2/$L56)-INT((BR$2-1)/$L56))*($T56*(1-$F56)+$S56*(1-$G56))*((1+Inputs!$D$7)^BR$2))),((Inputs!$D$8^((1-_xlfn.WEIBULL.DIST(BR$2,$M56,$L56,FALSE))/_xlfn.WEIBULL.DIST(BR$2,$M56,$L56,FALSE))*($T56*(1-$F56)+$S56*(1-$G56))*((1+Inputs!$D$7)^BR$2))))))))</f>
        <v>0</v>
      </c>
      <c r="BS56" s="88">
        <f>MAX(AC56,($E56*IF(BS$2&gt;Inputs!$D$5,0,IF(BS$2&gt;VLOOKUP($H56,Lists!$P$3:$Q$7,2),IF($N56=Lists!$K$3,IF($L56&lt;1,(($U56/$L56)*((1+Inputs!$D$7)^BS$2)),((INT(BS$2/$L56)-INT((BS$2-1)/$L56))*$U56*((1+Inputs!$D$7)^BS$2))),(Inputs!$D$8^((1-_xlfn.WEIBULL.DIST(BS$2,$M56,$L56,FALSE))/_xlfn.WEIBULL.DIST(BS$2,$M56,$L56,FALSE))*$U56*((1+Inputs!$D$7)^BS$2))),IF($N56=Lists!$K$3,IF($L56&lt;1,((($T56*(1-$F56)+$S56*(1-$G56))/$L56)*((1+Inputs!$D$7)^BS$2)),((INT(BS$2/$L56)-INT((BS$2-1)/$L56))*($T56*(1-$F56)+$S56*(1-$G56))*((1+Inputs!$D$7)^BS$2))),((Inputs!$D$8^((1-_xlfn.WEIBULL.DIST(BS$2,$M56,$L56,FALSE))/_xlfn.WEIBULL.DIST(BS$2,$M56,$L56,FALSE))*($T56*(1-$F56)+$S56*(1-$G56))*((1+Inputs!$D$7)^BS$2))))))))</f>
        <v>0</v>
      </c>
      <c r="BT56" s="88">
        <f>MAX(AD56,($E56*IF(BT$2&gt;Inputs!$D$5,0,IF(BT$2&gt;VLOOKUP($H56,Lists!$P$3:$Q$7,2),IF($N56=Lists!$K$3,IF($L56&lt;1,(($U56/$L56)*((1+Inputs!$D$7)^BT$2)),((INT(BT$2/$L56)-INT((BT$2-1)/$L56))*$U56*((1+Inputs!$D$7)^BT$2))),(Inputs!$D$8^((1-_xlfn.WEIBULL.DIST(BT$2,$M56,$L56,FALSE))/_xlfn.WEIBULL.DIST(BT$2,$M56,$L56,FALSE))*$U56*((1+Inputs!$D$7)^BT$2))),IF($N56=Lists!$K$3,IF($L56&lt;1,((($T56*(1-$F56)+$S56*(1-$G56))/$L56)*((1+Inputs!$D$7)^BT$2)),((INT(BT$2/$L56)-INT((BT$2-1)/$L56))*($T56*(1-$F56)+$S56*(1-$G56))*((1+Inputs!$D$7)^BT$2))),((Inputs!$D$8^((1-_xlfn.WEIBULL.DIST(BT$2,$M56,$L56,FALSE))/_xlfn.WEIBULL.DIST(BT$2,$M56,$L56,FALSE))*($T56*(1-$F56)+$S56*(1-$G56))*((1+Inputs!$D$7)^BT$2))))))))</f>
        <v>0</v>
      </c>
      <c r="BU56" s="88">
        <f>MAX(AE56,($E56*IF(BU$2&gt;Inputs!$D$5,0,IF(BU$2&gt;VLOOKUP($H56,Lists!$P$3:$Q$7,2),IF($N56=Lists!$K$3,IF($L56&lt;1,(($U56/$L56)*((1+Inputs!$D$7)^BU$2)),((INT(BU$2/$L56)-INT((BU$2-1)/$L56))*$U56*((1+Inputs!$D$7)^BU$2))),(Inputs!$D$8^((1-_xlfn.WEIBULL.DIST(BU$2,$M56,$L56,FALSE))/_xlfn.WEIBULL.DIST(BU$2,$M56,$L56,FALSE))*$U56*((1+Inputs!$D$7)^BU$2))),IF($N56=Lists!$K$3,IF($L56&lt;1,((($T56*(1-$F56)+$S56*(1-$G56))/$L56)*((1+Inputs!$D$7)^BU$2)),((INT(BU$2/$L56)-INT((BU$2-1)/$L56))*($T56*(1-$F56)+$S56*(1-$G56))*((1+Inputs!$D$7)^BU$2))),((Inputs!$D$8^((1-_xlfn.WEIBULL.DIST(BU$2,$M56,$L56,FALSE))/_xlfn.WEIBULL.DIST(BU$2,$M56,$L56,FALSE))*($T56*(1-$F56)+$S56*(1-$G56))*((1+Inputs!$D$7)^BU$2))))))))</f>
        <v>0</v>
      </c>
      <c r="BV56" s="88">
        <f>MAX(AF56,($E56*IF(BV$2&gt;Inputs!$D$5,0,IF(BV$2&gt;VLOOKUP($H56,Lists!$P$3:$Q$7,2),IF($N56=Lists!$K$3,IF($L56&lt;1,(($U56/$L56)*((1+Inputs!$D$7)^BV$2)),((INT(BV$2/$L56)-INT((BV$2-1)/$L56))*$U56*((1+Inputs!$D$7)^BV$2))),(Inputs!$D$8^((1-_xlfn.WEIBULL.DIST(BV$2,$M56,$L56,FALSE))/_xlfn.WEIBULL.DIST(BV$2,$M56,$L56,FALSE))*$U56*((1+Inputs!$D$7)^BV$2))),IF($N56=Lists!$K$3,IF($L56&lt;1,((($T56*(1-$F56)+$S56*(1-$G56))/$L56)*((1+Inputs!$D$7)^BV$2)),((INT(BV$2/$L56)-INT((BV$2-1)/$L56))*($T56*(1-$F56)+$S56*(1-$G56))*((1+Inputs!$D$7)^BV$2))),((Inputs!$D$8^((1-_xlfn.WEIBULL.DIST(BV$2,$M56,$L56,FALSE))/_xlfn.WEIBULL.DIST(BV$2,$M56,$L56,FALSE))*($T56*(1-$F56)+$S56*(1-$G56))*((1+Inputs!$D$7)^BV$2))))))))</f>
        <v>0</v>
      </c>
      <c r="BW56" s="88">
        <f>MAX(AG56,($E56*IF(BW$2&gt;Inputs!$D$5,0,IF(BW$2&gt;VLOOKUP($H56,Lists!$P$3:$Q$7,2),IF($N56=Lists!$K$3,IF($L56&lt;1,(($U56/$L56)*((1+Inputs!$D$7)^BW$2)),((INT(BW$2/$L56)-INT((BW$2-1)/$L56))*$U56*((1+Inputs!$D$7)^BW$2))),(Inputs!$D$8^((1-_xlfn.WEIBULL.DIST(BW$2,$M56,$L56,FALSE))/_xlfn.WEIBULL.DIST(BW$2,$M56,$L56,FALSE))*$U56*((1+Inputs!$D$7)^BW$2))),IF($N56=Lists!$K$3,IF($L56&lt;1,((($T56*(1-$F56)+$S56*(1-$G56))/$L56)*((1+Inputs!$D$7)^BW$2)),((INT(BW$2/$L56)-INT((BW$2-1)/$L56))*($T56*(1-$F56)+$S56*(1-$G56))*((1+Inputs!$D$7)^BW$2))),((Inputs!$D$8^((1-_xlfn.WEIBULL.DIST(BW$2,$M56,$L56,FALSE))/_xlfn.WEIBULL.DIST(BW$2,$M56,$L56,FALSE))*($T56*(1-$F56)+$S56*(1-$G56))*((1+Inputs!$D$7)^BW$2))))))))</f>
        <v>0</v>
      </c>
      <c r="BX56" s="88">
        <f>MAX(AH56,($E56*IF(BX$2&gt;Inputs!$D$5,0,IF(BX$2&gt;VLOOKUP($H56,Lists!$P$3:$Q$7,2),IF($N56=Lists!$K$3,IF($L56&lt;1,(($U56/$L56)*((1+Inputs!$D$7)^BX$2)),((INT(BX$2/$L56)-INT((BX$2-1)/$L56))*$U56*((1+Inputs!$D$7)^BX$2))),(Inputs!$D$8^((1-_xlfn.WEIBULL.DIST(BX$2,$M56,$L56,FALSE))/_xlfn.WEIBULL.DIST(BX$2,$M56,$L56,FALSE))*$U56*((1+Inputs!$D$7)^BX$2))),IF($N56=Lists!$K$3,IF($L56&lt;1,((($T56*(1-$F56)+$S56*(1-$G56))/$L56)*((1+Inputs!$D$7)^BX$2)),((INT(BX$2/$L56)-INT((BX$2-1)/$L56))*($T56*(1-$F56)+$S56*(1-$G56))*((1+Inputs!$D$7)^BX$2))),((Inputs!$D$8^((1-_xlfn.WEIBULL.DIST(BX$2,$M56,$L56,FALSE))/_xlfn.WEIBULL.DIST(BX$2,$M56,$L56,FALSE))*($T56*(1-$F56)+$S56*(1-$G56))*((1+Inputs!$D$7)^BX$2))))))))</f>
        <v>0</v>
      </c>
      <c r="BY56" s="88">
        <f>MAX(AI56,($E56*IF(BY$2&gt;Inputs!$D$5,0,IF(BY$2&gt;VLOOKUP($H56,Lists!$P$3:$Q$7,2),IF($N56=Lists!$K$3,IF($L56&lt;1,(($U56/$L56)*((1+Inputs!$D$7)^BY$2)),((INT(BY$2/$L56)-INT((BY$2-1)/$L56))*$U56*((1+Inputs!$D$7)^BY$2))),(Inputs!$D$8^((1-_xlfn.WEIBULL.DIST(BY$2,$M56,$L56,FALSE))/_xlfn.WEIBULL.DIST(BY$2,$M56,$L56,FALSE))*$U56*((1+Inputs!$D$7)^BY$2))),IF($N56=Lists!$K$3,IF($L56&lt;1,((($T56*(1-$F56)+$S56*(1-$G56))/$L56)*((1+Inputs!$D$7)^BY$2)),((INT(BY$2/$L56)-INT((BY$2-1)/$L56))*($T56*(1-$F56)+$S56*(1-$G56))*((1+Inputs!$D$7)^BY$2))),((Inputs!$D$8^((1-_xlfn.WEIBULL.DIST(BY$2,$M56,$L56,FALSE))/_xlfn.WEIBULL.DIST(BY$2,$M56,$L56,FALSE))*($T56*(1-$F56)+$S56*(1-$G56))*((1+Inputs!$D$7)^BY$2))))))))</f>
        <v>0</v>
      </c>
      <c r="BZ56" s="88">
        <f>MAX(AJ56,($E56*IF(BZ$2&gt;Inputs!$D$5,0,IF(BZ$2&gt;VLOOKUP($H56,Lists!$P$3:$Q$7,2),IF($N56=Lists!$K$3,IF($L56&lt;1,(($U56/$L56)*((1+Inputs!$D$7)^BZ$2)),((INT(BZ$2/$L56)-INT((BZ$2-1)/$L56))*$U56*((1+Inputs!$D$7)^BZ$2))),(Inputs!$D$8^((1-_xlfn.WEIBULL.DIST(BZ$2,$M56,$L56,FALSE))/_xlfn.WEIBULL.DIST(BZ$2,$M56,$L56,FALSE))*$U56*((1+Inputs!$D$7)^BZ$2))),IF($N56=Lists!$K$3,IF($L56&lt;1,((($T56*(1-$F56)+$S56*(1-$G56))/$L56)*((1+Inputs!$D$7)^BZ$2)),((INT(BZ$2/$L56)-INT((BZ$2-1)/$L56))*($T56*(1-$F56)+$S56*(1-$G56))*((1+Inputs!$D$7)^BZ$2))),((Inputs!$D$8^((1-_xlfn.WEIBULL.DIST(BZ$2,$M56,$L56,FALSE))/_xlfn.WEIBULL.DIST(BZ$2,$M56,$L56,FALSE))*($T56*(1-$F56)+$S56*(1-$G56))*((1+Inputs!$D$7)^BZ$2))))))))</f>
        <v>0</v>
      </c>
      <c r="CA56" s="88">
        <f>MAX(AK56,($E56*IF(CA$2&gt;Inputs!$D$5,0,IF(CA$2&gt;VLOOKUP($H56,Lists!$P$3:$Q$7,2),IF($N56=Lists!$K$3,IF($L56&lt;1,(($U56/$L56)*((1+Inputs!$D$7)^CA$2)),((INT(CA$2/$L56)-INT((CA$2-1)/$L56))*$U56*((1+Inputs!$D$7)^CA$2))),(Inputs!$D$8^((1-_xlfn.WEIBULL.DIST(CA$2,$M56,$L56,FALSE))/_xlfn.WEIBULL.DIST(CA$2,$M56,$L56,FALSE))*$U56*((1+Inputs!$D$7)^CA$2))),IF($N56=Lists!$K$3,IF($L56&lt;1,((($T56*(1-$F56)+$S56*(1-$G56))/$L56)*((1+Inputs!$D$7)^CA$2)),((INT(CA$2/$L56)-INT((CA$2-1)/$L56))*($T56*(1-$F56)+$S56*(1-$G56))*((1+Inputs!$D$7)^CA$2))),((Inputs!$D$8^((1-_xlfn.WEIBULL.DIST(CA$2,$M56,$L56,FALSE))/_xlfn.WEIBULL.DIST(CA$2,$M56,$L56,FALSE))*($T56*(1-$F56)+$S56*(1-$G56))*((1+Inputs!$D$7)^CA$2))))))))</f>
        <v>0</v>
      </c>
      <c r="CB56" s="88">
        <f>MAX(AL56,($E56*IF(CB$2&gt;Inputs!$D$5,0,IF(CB$2&gt;VLOOKUP($H56,Lists!$P$3:$Q$7,2),IF($N56=Lists!$K$3,IF($L56&lt;1,(($U56/$L56)*((1+Inputs!$D$7)^CB$2)),((INT(CB$2/$L56)-INT((CB$2-1)/$L56))*$U56*((1+Inputs!$D$7)^CB$2))),(Inputs!$D$8^((1-_xlfn.WEIBULL.DIST(CB$2,$M56,$L56,FALSE))/_xlfn.WEIBULL.DIST(CB$2,$M56,$L56,FALSE))*$U56*((1+Inputs!$D$7)^CB$2))),IF($N56=Lists!$K$3,IF($L56&lt;1,((($T56*(1-$F56)+$S56*(1-$G56))/$L56)*((1+Inputs!$D$7)^CB$2)),((INT(CB$2/$L56)-INT((CB$2-1)/$L56))*($T56*(1-$F56)+$S56*(1-$G56))*((1+Inputs!$D$7)^CB$2))),((Inputs!$D$8^((1-_xlfn.WEIBULL.DIST(CB$2,$M56,$L56,FALSE))/_xlfn.WEIBULL.DIST(CB$2,$M56,$L56,FALSE))*($T56*(1-$F56)+$S56*(1-$G56))*((1+Inputs!$D$7)^CB$2))))))))</f>
        <v>0</v>
      </c>
      <c r="CC56" s="88">
        <f>MAX(AM56,($E56*IF(CC$2&gt;Inputs!$D$5,0,IF(CC$2&gt;VLOOKUP($H56,Lists!$P$3:$Q$7,2),IF($N56=Lists!$K$3,IF($L56&lt;1,(($U56/$L56)*((1+Inputs!$D$7)^CC$2)),((INT(CC$2/$L56)-INT((CC$2-1)/$L56))*$U56*((1+Inputs!$D$7)^CC$2))),(Inputs!$D$8^((1-_xlfn.WEIBULL.DIST(CC$2,$M56,$L56,FALSE))/_xlfn.WEIBULL.DIST(CC$2,$M56,$L56,FALSE))*$U56*((1+Inputs!$D$7)^CC$2))),IF($N56=Lists!$K$3,IF($L56&lt;1,((($T56*(1-$F56)+$S56*(1-$G56))/$L56)*((1+Inputs!$D$7)^CC$2)),((INT(CC$2/$L56)-INT((CC$2-1)/$L56))*($T56*(1-$F56)+$S56*(1-$G56))*((1+Inputs!$D$7)^CC$2))),((Inputs!$D$8^((1-_xlfn.WEIBULL.DIST(CC$2,$M56,$L56,FALSE))/_xlfn.WEIBULL.DIST(CC$2,$M56,$L56,FALSE))*($T56*(1-$F56)+$S56*(1-$G56))*((1+Inputs!$D$7)^CC$2))))))))</f>
        <v>0</v>
      </c>
      <c r="CD56" s="88">
        <f>MAX(AN56,($E56*IF(CD$2&gt;Inputs!$D$5,0,IF(CD$2&gt;VLOOKUP($H56,Lists!$P$3:$Q$7,2),IF($N56=Lists!$K$3,IF($L56&lt;1,(($U56/$L56)*((1+Inputs!$D$7)^CD$2)),((INT(CD$2/$L56)-INT((CD$2-1)/$L56))*$U56*((1+Inputs!$D$7)^CD$2))),(Inputs!$D$8^((1-_xlfn.WEIBULL.DIST(CD$2,$M56,$L56,FALSE))/_xlfn.WEIBULL.DIST(CD$2,$M56,$L56,FALSE))*$U56*((1+Inputs!$D$7)^CD$2))),IF($N56=Lists!$K$3,IF($L56&lt;1,((($T56*(1-$F56)+$S56*(1-$G56))/$L56)*((1+Inputs!$D$7)^CD$2)),((INT(CD$2/$L56)-INT((CD$2-1)/$L56))*($T56*(1-$F56)+$S56*(1-$G56))*((1+Inputs!$D$7)^CD$2))),((Inputs!$D$8^((1-_xlfn.WEIBULL.DIST(CD$2,$M56,$L56,FALSE))/_xlfn.WEIBULL.DIST(CD$2,$M56,$L56,FALSE))*($T56*(1-$F56)+$S56*(1-$G56))*((1+Inputs!$D$7)^CD$2))))))))</f>
        <v>0</v>
      </c>
      <c r="CE56" s="88">
        <f>MAX(AO56,($E56*IF(CE$2&gt;Inputs!$D$5,0,IF(CE$2&gt;VLOOKUP($H56,Lists!$P$3:$Q$7,2),IF($N56=Lists!$K$3,IF($L56&lt;1,(($U56/$L56)*((1+Inputs!$D$7)^CE$2)),((INT(CE$2/$L56)-INT((CE$2-1)/$L56))*$U56*((1+Inputs!$D$7)^CE$2))),(Inputs!$D$8^((1-_xlfn.WEIBULL.DIST(CE$2,$M56,$L56,FALSE))/_xlfn.WEIBULL.DIST(CE$2,$M56,$L56,FALSE))*$U56*((1+Inputs!$D$7)^CE$2))),IF($N56=Lists!$K$3,IF($L56&lt;1,((($T56*(1-$F56)+$S56*(1-$G56))/$L56)*((1+Inputs!$D$7)^CE$2)),((INT(CE$2/$L56)-INT((CE$2-1)/$L56))*($T56*(1-$F56)+$S56*(1-$G56))*((1+Inputs!$D$7)^CE$2))),((Inputs!$D$8^((1-_xlfn.WEIBULL.DIST(CE$2,$M56,$L56,FALSE))/_xlfn.WEIBULL.DIST(CE$2,$M56,$L56,FALSE))*($T56*(1-$F56)+$S56*(1-$G56))*((1+Inputs!$D$7)^CE$2))))))))</f>
        <v>0</v>
      </c>
      <c r="CF56" s="88">
        <f>MAX(AP56,($E56*IF(CF$2&gt;Inputs!$D$5,0,IF(CF$2&gt;VLOOKUP($H56,Lists!$P$3:$Q$7,2),IF($N56=Lists!$K$3,IF($L56&lt;1,(($U56/$L56)*((1+Inputs!$D$7)^CF$2)),((INT(CF$2/$L56)-INT((CF$2-1)/$L56))*$U56*((1+Inputs!$D$7)^CF$2))),(Inputs!$D$8^((1-_xlfn.WEIBULL.DIST(CF$2,$M56,$L56,FALSE))/_xlfn.WEIBULL.DIST(CF$2,$M56,$L56,FALSE))*$U56*((1+Inputs!$D$7)^CF$2))),IF($N56=Lists!$K$3,IF($L56&lt;1,((($T56*(1-$F56)+$S56*(1-$G56))/$L56)*((1+Inputs!$D$7)^CF$2)),((INT(CF$2/$L56)-INT((CF$2-1)/$L56))*($T56*(1-$F56)+$S56*(1-$G56))*((1+Inputs!$D$7)^CF$2))),((Inputs!$D$8^((1-_xlfn.WEIBULL.DIST(CF$2,$M56,$L56,FALSE))/_xlfn.WEIBULL.DIST(CF$2,$M56,$L56,FALSE))*($T56*(1-$F56)+$S56*(1-$G56))*((1+Inputs!$D$7)^CF$2))))))))</f>
        <v>0</v>
      </c>
      <c r="CG56" s="88">
        <f>MAX(AQ56,($E56*IF(CG$2&gt;Inputs!$D$5,0,IF(CG$2&gt;VLOOKUP($H56,Lists!$P$3:$Q$7,2),IF($N56=Lists!$K$3,IF($L56&lt;1,(($U56/$L56)*((1+Inputs!$D$7)^CG$2)),((INT(CG$2/$L56)-INT((CG$2-1)/$L56))*$U56*((1+Inputs!$D$7)^CG$2))),(Inputs!$D$8^((1-_xlfn.WEIBULL.DIST(CG$2,$M56,$L56,FALSE))/_xlfn.WEIBULL.DIST(CG$2,$M56,$L56,FALSE))*$U56*((1+Inputs!$D$7)^CG$2))),IF($N56=Lists!$K$3,IF($L56&lt;1,((($T56*(1-$F56)+$S56*(1-$G56))/$L56)*((1+Inputs!$D$7)^CG$2)),((INT(CG$2/$L56)-INT((CG$2-1)/$L56))*($T56*(1-$F56)+$S56*(1-$G56))*((1+Inputs!$D$7)^CG$2))),((Inputs!$D$8^((1-_xlfn.WEIBULL.DIST(CG$2,$M56,$L56,FALSE))/_xlfn.WEIBULL.DIST(CG$2,$M56,$L56,FALSE))*($T56*(1-$F56)+$S56*(1-$G56))*((1+Inputs!$D$7)^CG$2))))))))</f>
        <v>0</v>
      </c>
      <c r="CH56" s="88">
        <f>MAX(AR56,($E56*IF(CH$2&gt;Inputs!$D$5,0,IF(CH$2&gt;VLOOKUP($H56,Lists!$P$3:$Q$7,2),IF($N56=Lists!$K$3,IF($L56&lt;1,(($U56/$L56)*((1+Inputs!$D$7)^CH$2)),((INT(CH$2/$L56)-INT((CH$2-1)/$L56))*$U56*((1+Inputs!$D$7)^CH$2))),(Inputs!$D$8^((1-_xlfn.WEIBULL.DIST(CH$2,$M56,$L56,FALSE))/_xlfn.WEIBULL.DIST(CH$2,$M56,$L56,FALSE))*$U56*((1+Inputs!$D$7)^CH$2))),IF($N56=Lists!$K$3,IF($L56&lt;1,((($T56*(1-$F56)+$S56*(1-$G56))/$L56)*((1+Inputs!$D$7)^CH$2)),((INT(CH$2/$L56)-INT((CH$2-1)/$L56))*($T56*(1-$F56)+$S56*(1-$G56))*((1+Inputs!$D$7)^CH$2))),((Inputs!$D$8^((1-_xlfn.WEIBULL.DIST(CH$2,$M56,$L56,FALSE))/_xlfn.WEIBULL.DIST(CH$2,$M56,$L56,FALSE))*($T56*(1-$F56)+$S56*(1-$G56))*((1+Inputs!$D$7)^CH$2))))))))</f>
        <v>0</v>
      </c>
      <c r="CI56" s="88">
        <f>MAX(AS56,($E56*IF(CI$2&gt;Inputs!$D$5,0,IF(CI$2&gt;VLOOKUP($H56,Lists!$P$3:$Q$7,2),IF($N56=Lists!$K$3,IF($L56&lt;1,(($U56/$L56)*((1+Inputs!$D$7)^CI$2)),((INT(CI$2/$L56)-INT((CI$2-1)/$L56))*$U56*((1+Inputs!$D$7)^CI$2))),(Inputs!$D$8^((1-_xlfn.WEIBULL.DIST(CI$2,$M56,$L56,FALSE))/_xlfn.WEIBULL.DIST(CI$2,$M56,$L56,FALSE))*$U56*((1+Inputs!$D$7)^CI$2))),IF($N56=Lists!$K$3,IF($L56&lt;1,((($T56*(1-$F56)+$S56*(1-$G56))/$L56)*((1+Inputs!$D$7)^CI$2)),((INT(CI$2/$L56)-INT((CI$2-1)/$L56))*($T56*(1-$F56)+$S56*(1-$G56))*((1+Inputs!$D$7)^CI$2))),((Inputs!$D$8^((1-_xlfn.WEIBULL.DIST(CI$2,$M56,$L56,FALSE))/_xlfn.WEIBULL.DIST(CI$2,$M56,$L56,FALSE))*($T56*(1-$F56)+$S56*(1-$G56))*((1+Inputs!$D$7)^CI$2))))))))</f>
        <v>0</v>
      </c>
      <c r="CJ56" s="88">
        <f>MAX(AT56,($E56*IF(CJ$2&gt;Inputs!$D$5,0,IF(CJ$2&gt;VLOOKUP($H56,Lists!$P$3:$Q$7,2),IF($N56=Lists!$K$3,IF($L56&lt;1,(($U56/$L56)*((1+Inputs!$D$7)^CJ$2)),((INT(CJ$2/$L56)-INT((CJ$2-1)/$L56))*$U56*((1+Inputs!$D$7)^CJ$2))),(Inputs!$D$8^((1-_xlfn.WEIBULL.DIST(CJ$2,$M56,$L56,FALSE))/_xlfn.WEIBULL.DIST(CJ$2,$M56,$L56,FALSE))*$U56*((1+Inputs!$D$7)^CJ$2))),IF($N56=Lists!$K$3,IF($L56&lt;1,((($T56*(1-$F56)+$S56*(1-$G56))/$L56)*((1+Inputs!$D$7)^CJ$2)),((INT(CJ$2/$L56)-INT((CJ$2-1)/$L56))*($T56*(1-$F56)+$S56*(1-$G56))*((1+Inputs!$D$7)^CJ$2))),((Inputs!$D$8^((1-_xlfn.WEIBULL.DIST(CJ$2,$M56,$L56,FALSE))/_xlfn.WEIBULL.DIST(CJ$2,$M56,$L56,FALSE))*($T56*(1-$F56)+$S56*(1-$G56))*((1+Inputs!$D$7)^CJ$2))))))))</f>
        <v>0</v>
      </c>
      <c r="CK56" s="88">
        <f>MAX(AU56,($E56*IF(CK$2&gt;Inputs!$D$5,0,IF(CK$2&gt;VLOOKUP($H56,Lists!$P$3:$Q$7,2),IF($N56=Lists!$K$3,IF($L56&lt;1,(($U56/$L56)*((1+Inputs!$D$7)^CK$2)),((INT(CK$2/$L56)-INT((CK$2-1)/$L56))*$U56*((1+Inputs!$D$7)^CK$2))),(Inputs!$D$8^((1-_xlfn.WEIBULL.DIST(CK$2,$M56,$L56,FALSE))/_xlfn.WEIBULL.DIST(CK$2,$M56,$L56,FALSE))*$U56*((1+Inputs!$D$7)^CK$2))),IF($N56=Lists!$K$3,IF($L56&lt;1,((($T56*(1-$F56)+$S56*(1-$G56))/$L56)*((1+Inputs!$D$7)^CK$2)),((INT(CK$2/$L56)-INT((CK$2-1)/$L56))*($T56*(1-$F56)+$S56*(1-$G56))*((1+Inputs!$D$7)^CK$2))),((Inputs!$D$8^((1-_xlfn.WEIBULL.DIST(CK$2,$M56,$L56,FALSE))/_xlfn.WEIBULL.DIST(CK$2,$M56,$L56,FALSE))*($T56*(1-$F56)+$S56*(1-$G56))*((1+Inputs!$D$7)^CK$2))))))))</f>
        <v>0</v>
      </c>
      <c r="CL56" s="88">
        <f>MAX(AV56,($E56*IF(CL$2&gt;Inputs!$D$5,0,IF(CL$2&gt;VLOOKUP($H56,Lists!$P$3:$Q$7,2),IF($N56=Lists!$K$3,IF($L56&lt;1,(($U56/$L56)*((1+Inputs!$D$7)^CL$2)),((INT(CL$2/$L56)-INT((CL$2-1)/$L56))*$U56*((1+Inputs!$D$7)^CL$2))),(Inputs!$D$8^((1-_xlfn.WEIBULL.DIST(CL$2,$M56,$L56,FALSE))/_xlfn.WEIBULL.DIST(CL$2,$M56,$L56,FALSE))*$U56*((1+Inputs!$D$7)^CL$2))),IF($N56=Lists!$K$3,IF($L56&lt;1,((($T56*(1-$F56)+$S56*(1-$G56))/$L56)*((1+Inputs!$D$7)^CL$2)),((INT(CL$2/$L56)-INT((CL$2-1)/$L56))*($T56*(1-$F56)+$S56*(1-$G56))*((1+Inputs!$D$7)^CL$2))),((Inputs!$D$8^((1-_xlfn.WEIBULL.DIST(CL$2,$M56,$L56,FALSE))/_xlfn.WEIBULL.DIST(CL$2,$M56,$L56,FALSE))*($T56*(1-$F56)+$S56*(1-$G56))*((1+Inputs!$D$7)^CL$2))))))))</f>
        <v>0</v>
      </c>
      <c r="CM56" s="88">
        <f>MAX(AW56,($E56*IF(CM$2&gt;Inputs!$D$5,0,IF(CM$2&gt;VLOOKUP($H56,Lists!$P$3:$Q$7,2),IF($N56=Lists!$K$3,IF($L56&lt;1,(($U56/$L56)*((1+Inputs!$D$7)^CM$2)),((INT(CM$2/$L56)-INT((CM$2-1)/$L56))*$U56*((1+Inputs!$D$7)^CM$2))),(Inputs!$D$8^((1-_xlfn.WEIBULL.DIST(CM$2,$M56,$L56,FALSE))/_xlfn.WEIBULL.DIST(CM$2,$M56,$L56,FALSE))*$U56*((1+Inputs!$D$7)^CM$2))),IF($N56=Lists!$K$3,IF($L56&lt;1,((($T56*(1-$F56)+$S56*(1-$G56))/$L56)*((1+Inputs!$D$7)^CM$2)),((INT(CM$2/$L56)-INT((CM$2-1)/$L56))*($T56*(1-$F56)+$S56*(1-$G56))*((1+Inputs!$D$7)^CM$2))),((Inputs!$D$8^((1-_xlfn.WEIBULL.DIST(CM$2,$M56,$L56,FALSE))/_xlfn.WEIBULL.DIST(CM$2,$M56,$L56,FALSE))*($T56*(1-$F56)+$S56*(1-$G56))*((1+Inputs!$D$7)^CM$2))))))))</f>
        <v>0</v>
      </c>
      <c r="CN56" s="88">
        <f>MAX(AX56,($E56*IF(CN$2&gt;Inputs!$D$5,0,IF(CN$2&gt;VLOOKUP($H56,Lists!$P$3:$Q$7,2),IF($N56=Lists!$K$3,IF($L56&lt;1,(($U56/$L56)*((1+Inputs!$D$7)^CN$2)),((INT(CN$2/$L56)-INT((CN$2-1)/$L56))*$U56*((1+Inputs!$D$7)^CN$2))),(Inputs!$D$8^((1-_xlfn.WEIBULL.DIST(CN$2,$M56,$L56,FALSE))/_xlfn.WEIBULL.DIST(CN$2,$M56,$L56,FALSE))*$U56*((1+Inputs!$D$7)^CN$2))),IF($N56=Lists!$K$3,IF($L56&lt;1,((($T56*(1-$F56)+$S56*(1-$G56))/$L56)*((1+Inputs!$D$7)^CN$2)),((INT(CN$2/$L56)-INT((CN$2-1)/$L56))*($T56*(1-$F56)+$S56*(1-$G56))*((1+Inputs!$D$7)^CN$2))),((Inputs!$D$8^((1-_xlfn.WEIBULL.DIST(CN$2,$M56,$L56,FALSE))/_xlfn.WEIBULL.DIST(CN$2,$M56,$L56,FALSE))*($T56*(1-$F56)+$S56*(1-$G56))*((1+Inputs!$D$7)^CN$2))))))))</f>
        <v>0</v>
      </c>
      <c r="CO56" s="88">
        <f>MAX(AY56,($E56*IF(CO$2&gt;Inputs!$D$5,0,IF(CO$2&gt;VLOOKUP($H56,Lists!$P$3:$Q$7,2),IF($N56=Lists!$K$3,IF($L56&lt;1,(($U56/$L56)*((1+Inputs!$D$7)^CO$2)),((INT(CO$2/$L56)-INT((CO$2-1)/$L56))*$U56*((1+Inputs!$D$7)^CO$2))),(Inputs!$D$8^((1-_xlfn.WEIBULL.DIST(CO$2,$M56,$L56,FALSE))/_xlfn.WEIBULL.DIST(CO$2,$M56,$L56,FALSE))*$U56*((1+Inputs!$D$7)^CO$2))),IF($N56=Lists!$K$3,IF($L56&lt;1,((($T56*(1-$F56)+$S56*(1-$G56))/$L56)*((1+Inputs!$D$7)^CO$2)),((INT(CO$2/$L56)-INT((CO$2-1)/$L56))*($T56*(1-$F56)+$S56*(1-$G56))*((1+Inputs!$D$7)^CO$2))),((Inputs!$D$8^((1-_xlfn.WEIBULL.DIST(CO$2,$M56,$L56,FALSE))/_xlfn.WEIBULL.DIST(CO$2,$M56,$L56,FALSE))*($T56*(1-$F56)+$S56*(1-$G56))*((1+Inputs!$D$7)^CO$2))))))))</f>
        <v>0</v>
      </c>
      <c r="CP56" s="88">
        <f>MAX(AZ56,($E56*IF(CP$2&gt;Inputs!$D$5,0,IF(CP$2&gt;VLOOKUP($H56,Lists!$P$3:$Q$7,2),IF($N56=Lists!$K$3,IF($L56&lt;1,(($U56/$L56)*((1+Inputs!$D$7)^CP$2)),((INT(CP$2/$L56)-INT((CP$2-1)/$L56))*$U56*((1+Inputs!$D$7)^CP$2))),(Inputs!$D$8^((1-_xlfn.WEIBULL.DIST(CP$2,$M56,$L56,FALSE))/_xlfn.WEIBULL.DIST(CP$2,$M56,$L56,FALSE))*$U56*((1+Inputs!$D$7)^CP$2))),IF($N56=Lists!$K$3,IF($L56&lt;1,((($T56*(1-$F56)+$S56*(1-$G56))/$L56)*((1+Inputs!$D$7)^CP$2)),((INT(CP$2/$L56)-INT((CP$2-1)/$L56))*($T56*(1-$F56)+$S56*(1-$G56))*((1+Inputs!$D$7)^CP$2))),((Inputs!$D$8^((1-_xlfn.WEIBULL.DIST(CP$2,$M56,$L56,FALSE))/_xlfn.WEIBULL.DIST(CP$2,$M56,$L56,FALSE))*($T56*(1-$F56)+$S56*(1-$G56))*((1+Inputs!$D$7)^CP$2))))))))</f>
        <v>0</v>
      </c>
      <c r="CQ56" s="88">
        <f>MAX(BA56,($E56*IF(CQ$2&gt;Inputs!$D$5,0,IF(CQ$2&gt;VLOOKUP($H56,Lists!$P$3:$Q$7,2),IF($N56=Lists!$K$3,IF($L56&lt;1,(($U56/$L56)*((1+Inputs!$D$7)^CQ$2)),((INT(CQ$2/$L56)-INT((CQ$2-1)/$L56))*$U56*((1+Inputs!$D$7)^CQ$2))),(Inputs!$D$8^((1-_xlfn.WEIBULL.DIST(CQ$2,$M56,$L56,FALSE))/_xlfn.WEIBULL.DIST(CQ$2,$M56,$L56,FALSE))*$U56*((1+Inputs!$D$7)^CQ$2))),IF($N56=Lists!$K$3,IF($L56&lt;1,((($T56*(1-$F56)+$S56*(1-$G56))/$L56)*((1+Inputs!$D$7)^CQ$2)),((INT(CQ$2/$L56)-INT((CQ$2-1)/$L56))*($T56*(1-$F56)+$S56*(1-$G56))*((1+Inputs!$D$7)^CQ$2))),((Inputs!$D$8^((1-_xlfn.WEIBULL.DIST(CQ$2,$M56,$L56,FALSE))/_xlfn.WEIBULL.DIST(CQ$2,$M56,$L56,FALSE))*($T56*(1-$F56)+$S56*(1-$G56))*((1+Inputs!$D$7)^CQ$2))))))))</f>
        <v>0</v>
      </c>
      <c r="CR56" s="88">
        <f>MAX(BB56,($E56*IF(CR$2&gt;Inputs!$D$5,0,IF(CR$2&gt;VLOOKUP($H56,Lists!$P$3:$Q$7,2),IF($N56=Lists!$K$3,IF($L56&lt;1,(($U56/$L56)*((1+Inputs!$D$7)^CR$2)),((INT(CR$2/$L56)-INT((CR$2-1)/$L56))*$U56*((1+Inputs!$D$7)^CR$2))),(Inputs!$D$8^((1-_xlfn.WEIBULL.DIST(CR$2,$M56,$L56,FALSE))/_xlfn.WEIBULL.DIST(CR$2,$M56,$L56,FALSE))*$U56*((1+Inputs!$D$7)^CR$2))),IF($N56=Lists!$K$3,IF($L56&lt;1,((($T56*(1-$F56)+$S56*(1-$G56))/$L56)*((1+Inputs!$D$7)^CR$2)),((INT(CR$2/$L56)-INT((CR$2-1)/$L56))*($T56*(1-$F56)+$S56*(1-$G56))*((1+Inputs!$D$7)^CR$2))),((Inputs!$D$8^((1-_xlfn.WEIBULL.DIST(CR$2,$M56,$L56,FALSE))/_xlfn.WEIBULL.DIST(CR$2,$M56,$L56,FALSE))*($T56*(1-$F56)+$S56*(1-$G56))*((1+Inputs!$D$7)^CR$2))))))))</f>
        <v>0</v>
      </c>
      <c r="CS56" s="88">
        <f>MAX(BC56,($E56*IF(CS$2&gt;Inputs!$D$5,0,IF(CS$2&gt;VLOOKUP($H56,Lists!$P$3:$Q$7,2),IF($N56=Lists!$K$3,IF($L56&lt;1,(($U56/$L56)*((1+Inputs!$D$7)^CS$2)),((INT(CS$2/$L56)-INT((CS$2-1)/$L56))*$U56*((1+Inputs!$D$7)^CS$2))),(Inputs!$D$8^((1-_xlfn.WEIBULL.DIST(CS$2,$M56,$L56,FALSE))/_xlfn.WEIBULL.DIST(CS$2,$M56,$L56,FALSE))*$U56*((1+Inputs!$D$7)^CS$2))),IF($N56=Lists!$K$3,IF($L56&lt;1,((($T56*(1-$F56)+$S56*(1-$G56))/$L56)*((1+Inputs!$D$7)^CS$2)),((INT(CS$2/$L56)-INT((CS$2-1)/$L56))*($T56*(1-$F56)+$S56*(1-$G56))*((1+Inputs!$D$7)^CS$2))),((Inputs!$D$8^((1-_xlfn.WEIBULL.DIST(CS$2,$M56,$L56,FALSE))/_xlfn.WEIBULL.DIST(CS$2,$M56,$L56,FALSE))*($T56*(1-$F56)+$S56*(1-$G56))*((1+Inputs!$D$7)^CS$2))))))))</f>
        <v>0</v>
      </c>
      <c r="CT56" s="88">
        <f>MAX(BD56,($E56*IF(CT$2&gt;Inputs!$D$5,0,IF(CT$2&gt;VLOOKUP($H56,Lists!$P$3:$Q$7,2),IF($N56=Lists!$K$3,IF($L56&lt;1,(($U56/$L56)*((1+Inputs!$D$7)^CT$2)),((INT(CT$2/$L56)-INT((CT$2-1)/$L56))*$U56*((1+Inputs!$D$7)^CT$2))),(Inputs!$D$8^((1-_xlfn.WEIBULL.DIST(CT$2,$M56,$L56,FALSE))/_xlfn.WEIBULL.DIST(CT$2,$M56,$L56,FALSE))*$U56*((1+Inputs!$D$7)^CT$2))),IF($N56=Lists!$K$3,IF($L56&lt;1,((($T56*(1-$F56)+$S56*(1-$G56))/$L56)*((1+Inputs!$D$7)^CT$2)),((INT(CT$2/$L56)-INT((CT$2-1)/$L56))*($T56*(1-$F56)+$S56*(1-$G56))*((1+Inputs!$D$7)^CT$2))),((Inputs!$D$8^((1-_xlfn.WEIBULL.DIST(CT$2,$M56,$L56,FALSE))/_xlfn.WEIBULL.DIST(CT$2,$M56,$L56,FALSE))*($T56*(1-$F56)+$S56*(1-$G56))*((1+Inputs!$D$7)^CT$2))))))))</f>
        <v>0</v>
      </c>
      <c r="CU56" s="88">
        <f>MAX(BE56,($E56*IF(CU$2&gt;Inputs!$D$5,0,IF(CU$2&gt;VLOOKUP($H56,Lists!$P$3:$Q$7,2),IF($N56=Lists!$K$3,IF($L56&lt;1,(($U56/$L56)*((1+Inputs!$D$7)^CU$2)),((INT(CU$2/$L56)-INT((CU$2-1)/$L56))*$U56*((1+Inputs!$D$7)^CU$2))),(Inputs!$D$8^((1-_xlfn.WEIBULL.DIST(CU$2,$M56,$L56,FALSE))/_xlfn.WEIBULL.DIST(CU$2,$M56,$L56,FALSE))*$U56*((1+Inputs!$D$7)^CU$2))),IF($N56=Lists!$K$3,IF($L56&lt;1,((($T56*(1-$F56)+$S56*(1-$G56))/$L56)*((1+Inputs!$D$7)^CU$2)),((INT(CU$2/$L56)-INT((CU$2-1)/$L56))*($T56*(1-$F56)+$S56*(1-$G56))*((1+Inputs!$D$7)^CU$2))),((Inputs!$D$8^((1-_xlfn.WEIBULL.DIST(CU$2,$M56,$L56,FALSE))/_xlfn.WEIBULL.DIST(CU$2,$M56,$L56,FALSE))*($T56*(1-$F56)+$S56*(1-$G56))*((1+Inputs!$D$7)^CU$2))))))))</f>
        <v>0</v>
      </c>
      <c r="CV56" s="88">
        <f>MAX(BF56,($E56*IF(CV$2&gt;Inputs!$D$5,0,IF(CV$2&gt;VLOOKUP($H56,Lists!$P$3:$Q$7,2),IF($N56=Lists!$K$3,IF($L56&lt;1,(($U56/$L56)*((1+Inputs!$D$7)^CV$2)),((INT(CV$2/$L56)-INT((CV$2-1)/$L56))*$U56*((1+Inputs!$D$7)^CV$2))),(Inputs!$D$8^((1-_xlfn.WEIBULL.DIST(CV$2,$M56,$L56,FALSE))/_xlfn.WEIBULL.DIST(CV$2,$M56,$L56,FALSE))*$U56*((1+Inputs!$D$7)^CV$2))),IF($N56=Lists!$K$3,IF($L56&lt;1,((($T56*(1-$F56)+$S56*(1-$G56))/$L56)*((1+Inputs!$D$7)^CV$2)),((INT(CV$2/$L56)-INT((CV$2-1)/$L56))*($T56*(1-$F56)+$S56*(1-$G56))*((1+Inputs!$D$7)^CV$2))),((Inputs!$D$8^((1-_xlfn.WEIBULL.DIST(CV$2,$M56,$L56,FALSE))/_xlfn.WEIBULL.DIST(CV$2,$M56,$L56,FALSE))*($T56*(1-$F56)+$S56*(1-$G56))*((1+Inputs!$D$7)^CV$2))))))))</f>
        <v>0</v>
      </c>
      <c r="CW56" s="88">
        <f>MAX(BG56,($E56*IF(CW$2&gt;Inputs!$D$5,0,IF(CW$2&gt;VLOOKUP($H56,Lists!$P$3:$Q$7,2),IF($N56=Lists!$K$3,IF($L56&lt;1,(($U56/$L56)*((1+Inputs!$D$7)^CW$2)),((INT(CW$2/$L56)-INT((CW$2-1)/$L56))*$U56*((1+Inputs!$D$7)^CW$2))),(Inputs!$D$8^((1-_xlfn.WEIBULL.DIST(CW$2,$M56,$L56,FALSE))/_xlfn.WEIBULL.DIST(CW$2,$M56,$L56,FALSE))*$U56*((1+Inputs!$D$7)^CW$2))),IF($N56=Lists!$K$3,IF($L56&lt;1,((($T56*(1-$F56)+$S56*(1-$G56))/$L56)*((1+Inputs!$D$7)^CW$2)),((INT(CW$2/$L56)-INT((CW$2-1)/$L56))*($T56*(1-$F56)+$S56*(1-$G56))*((1+Inputs!$D$7)^CW$2))),((Inputs!$D$8^((1-_xlfn.WEIBULL.DIST(CW$2,$M56,$L56,FALSE))/_xlfn.WEIBULL.DIST(CW$2,$M56,$L56,FALSE))*($T56*(1-$F56)+$S56*(1-$G56))*((1+Inputs!$D$7)^CW$2))))))))</f>
        <v>0</v>
      </c>
      <c r="CX56" s="88">
        <f>MAX(BH56,($E56*IF(CX$2&gt;Inputs!$D$5,0,IF(CX$2&gt;VLOOKUP($H56,Lists!$P$3:$Q$7,2),IF($N56=Lists!$K$3,IF($L56&lt;1,(($U56/$L56)*((1+Inputs!$D$7)^CX$2)),((INT(CX$2/$L56)-INT((CX$2-1)/$L56))*$U56*((1+Inputs!$D$7)^CX$2))),(Inputs!$D$8^((1-_xlfn.WEIBULL.DIST(CX$2,$M56,$L56,FALSE))/_xlfn.WEIBULL.DIST(CX$2,$M56,$L56,FALSE))*$U56*((1+Inputs!$D$7)^CX$2))),IF($N56=Lists!$K$3,IF($L56&lt;1,((($T56*(1-$F56)+$S56*(1-$G56))/$L56)*((1+Inputs!$D$7)^CX$2)),((INT(CX$2/$L56)-INT((CX$2-1)/$L56))*($T56*(1-$F56)+$S56*(1-$G56))*((1+Inputs!$D$7)^CX$2))),((Inputs!$D$8^((1-_xlfn.WEIBULL.DIST(CX$2,$M56,$L56,FALSE))/_xlfn.WEIBULL.DIST(CX$2,$M56,$L56,FALSE))*($T56*(1-$F56)+$S56*(1-$G56))*((1+Inputs!$D$7)^CX$2))))))))</f>
        <v>0</v>
      </c>
      <c r="CY56" s="88">
        <f>MAX(BI56,($E56*IF(CY$2&gt;Inputs!$D$5,0,IF(CY$2&gt;VLOOKUP($H56,Lists!$P$3:$Q$7,2),IF($N56=Lists!$K$3,IF($L56&lt;1,(($U56/$L56)*((1+Inputs!$D$7)^CY$2)),((INT(CY$2/$L56)-INT((CY$2-1)/$L56))*$U56*((1+Inputs!$D$7)^CY$2))),(Inputs!$D$8^((1-_xlfn.WEIBULL.DIST(CY$2,$M56,$L56,FALSE))/_xlfn.WEIBULL.DIST(CY$2,$M56,$L56,FALSE))*$U56*((1+Inputs!$D$7)^CY$2))),IF($N56=Lists!$K$3,IF($L56&lt;1,((($T56*(1-$F56)+$S56*(1-$G56))/$L56)*((1+Inputs!$D$7)^CY$2)),((INT(CY$2/$L56)-INT((CY$2-1)/$L56))*($T56*(1-$F56)+$S56*(1-$G56))*((1+Inputs!$D$7)^CY$2))),((Inputs!$D$8^((1-_xlfn.WEIBULL.DIST(CY$2,$M56,$L56,FALSE))/_xlfn.WEIBULL.DIST(CY$2,$M56,$L56,FALSE))*($T56*(1-$F56)+$S56*(1-$G56))*((1+Inputs!$D$7)^CY$2))))))))</f>
        <v>0</v>
      </c>
      <c r="CZ56" s="88">
        <f>MAX(BJ56,($E56*IF(CZ$2&gt;Inputs!$D$5,0,IF(CZ$2&gt;VLOOKUP($H56,Lists!$P$3:$Q$7,2),IF($N56=Lists!$K$3,IF($L56&lt;1,(($U56/$L56)*((1+Inputs!$D$7)^CZ$2)),((INT(CZ$2/$L56)-INT((CZ$2-1)/$L56))*$U56*((1+Inputs!$D$7)^CZ$2))),(Inputs!$D$8^((1-_xlfn.WEIBULL.DIST(CZ$2,$M56,$L56,FALSE))/_xlfn.WEIBULL.DIST(CZ$2,$M56,$L56,FALSE))*$U56*((1+Inputs!$D$7)^CZ$2))),IF($N56=Lists!$K$3,IF($L56&lt;1,((($T56*(1-$F56)+$S56*(1-$G56))/$L56)*((1+Inputs!$D$7)^CZ$2)),((INT(CZ$2/$L56)-INT((CZ$2-1)/$L56))*($T56*(1-$F56)+$S56*(1-$G56))*((1+Inputs!$D$7)^CZ$2))),((Inputs!$D$8^((1-_xlfn.WEIBULL.DIST(CZ$2,$M56,$L56,FALSE))/_xlfn.WEIBULL.DIST(CZ$2,$M56,$L56,FALSE))*($T56*(1-$F56)+$S56*(1-$G56))*((1+Inputs!$D$7)^CZ$2))))))))</f>
        <v>0</v>
      </c>
      <c r="DA56" s="88">
        <f>MAX(BK56,($E56*IF(DA$2&gt;Inputs!$D$5,0,IF(DA$2&gt;VLOOKUP($H56,Lists!$P$3:$Q$7,2),IF($N56=Lists!$K$3,IF($L56&lt;1,(($U56/$L56)*((1+Inputs!$D$7)^DA$2)),((INT(DA$2/$L56)-INT((DA$2-1)/$L56))*$U56*((1+Inputs!$D$7)^DA$2))),(Inputs!$D$8^((1-_xlfn.WEIBULL.DIST(DA$2,$M56,$L56,FALSE))/_xlfn.WEIBULL.DIST(DA$2,$M56,$L56,FALSE))*$U56*((1+Inputs!$D$7)^DA$2))),IF($N56=Lists!$K$3,IF($L56&lt;1,((($T56*(1-$F56)+$S56*(1-$G56))/$L56)*((1+Inputs!$D$7)^DA$2)),((INT(DA$2/$L56)-INT((DA$2-1)/$L56))*($T56*(1-$F56)+$S56*(1-$G56))*((1+Inputs!$D$7)^DA$2))),((Inputs!$D$8^((1-_xlfn.WEIBULL.DIST(DA$2,$M56,$L56,FALSE))/_xlfn.WEIBULL.DIST(DA$2,$M56,$L56,FALSE))*($T56*(1-$F56)+$S56*(1-$G56))*((1+Inputs!$D$7)^DA$2))))))))</f>
        <v>0</v>
      </c>
      <c r="DB56" s="88">
        <f>MAX(BL56,($E56*IF(DB$2&gt;Inputs!$D$5,0,IF(DB$2&gt;VLOOKUP($H56,Lists!$P$3:$Q$7,2),IF($N56=Lists!$K$3,IF($L56&lt;1,(($U56/$L56)*((1+Inputs!$D$7)^DB$2)),((INT(DB$2/$L56)-INT((DB$2-1)/$L56))*$U56*((1+Inputs!$D$7)^DB$2))),(Inputs!$D$8^((1-_xlfn.WEIBULL.DIST(DB$2,$M56,$L56,FALSE))/_xlfn.WEIBULL.DIST(DB$2,$M56,$L56,FALSE))*$U56*((1+Inputs!$D$7)^DB$2))),IF($N56=Lists!$K$3,IF($L56&lt;1,((($T56*(1-$F56)+$S56*(1-$G56))/$L56)*((1+Inputs!$D$7)^DB$2)),((INT(DB$2/$L56)-INT((DB$2-1)/$L56))*($T56*(1-$F56)+$S56*(1-$G56))*((1+Inputs!$D$7)^DB$2))),((Inputs!$D$8^((1-_xlfn.WEIBULL.DIST(DB$2,$M56,$L56,FALSE))/_xlfn.WEIBULL.DIST(DB$2,$M56,$L56,FALSE))*($T56*(1-$F56)+$S56*(1-$G56))*((1+Inputs!$D$7)^DB$2))))))))</f>
        <v>0</v>
      </c>
      <c r="DC56" s="88">
        <f>MAX(BM56,($E56*IF(DC$2&gt;Inputs!$D$5,0,IF(DC$2&gt;VLOOKUP($H56,Lists!$P$3:$Q$7,2),IF($N56=Lists!$K$3,IF($L56&lt;1,(($U56/$L56)*((1+Inputs!$D$7)^DC$2)),((INT(DC$2/$L56)-INT((DC$2-1)/$L56))*$U56*((1+Inputs!$D$7)^DC$2))),(Inputs!$D$8^((1-_xlfn.WEIBULL.DIST(DC$2,$M56,$L56,FALSE))/_xlfn.WEIBULL.DIST(DC$2,$M56,$L56,FALSE))*$U56*((1+Inputs!$D$7)^DC$2))),IF($N56=Lists!$K$3,IF($L56&lt;1,((($T56*(1-$F56)+$S56*(1-$G56))/$L56)*((1+Inputs!$D$7)^DC$2)),((INT(DC$2/$L56)-INT((DC$2-1)/$L56))*($T56*(1-$F56)+$S56*(1-$G56))*((1+Inputs!$D$7)^DC$2))),((Inputs!$D$8^((1-_xlfn.WEIBULL.DIST(DC$2,$M56,$L56,FALSE))/_xlfn.WEIBULL.DIST(DC$2,$M56,$L56,FALSE))*($T56*(1-$F56)+$S56*(1-$G56))*((1+Inputs!$D$7)^DC$2))))))))</f>
        <v>0</v>
      </c>
      <c r="DD56" s="88">
        <f>MAX(BN56,($E56*IF(DD$2&gt;Inputs!$D$5,0,IF(DD$2&gt;VLOOKUP($H56,Lists!$P$3:$Q$7,2),IF($N56=Lists!$K$3,IF($L56&lt;1,(($U56/$L56)*((1+Inputs!$D$7)^DD$2)),((INT(DD$2/$L56)-INT((DD$2-1)/$L56))*$U56*((1+Inputs!$D$7)^DD$2))),(Inputs!$D$8^((1-_xlfn.WEIBULL.DIST(DD$2,$M56,$L56,FALSE))/_xlfn.WEIBULL.DIST(DD$2,$M56,$L56,FALSE))*$U56*((1+Inputs!$D$7)^DD$2))),IF($N56=Lists!$K$3,IF($L56&lt;1,((($T56*(1-$F56)+$S56*(1-$G56))/$L56)*((1+Inputs!$D$7)^DD$2)),((INT(DD$2/$L56)-INT((DD$2-1)/$L56))*($T56*(1-$F56)+$S56*(1-$G56))*((1+Inputs!$D$7)^DD$2))),((Inputs!$D$8^((1-_xlfn.WEIBULL.DIST(DD$2,$M56,$L56,FALSE))/_xlfn.WEIBULL.DIST(DD$2,$M56,$L56,FALSE))*($T56*(1-$F56)+$S56*(1-$G56))*((1+Inputs!$D$7)^DD$2))))))))</f>
        <v>0</v>
      </c>
    </row>
    <row r="57" spans="1:108" s="1" customFormat="1" ht="16">
      <c r="A57" s="57" t="s">
        <v>254</v>
      </c>
      <c r="B57" s="13" t="s">
        <v>130</v>
      </c>
      <c r="C57" s="13" t="s">
        <v>474</v>
      </c>
      <c r="D57" s="13" t="s">
        <v>37</v>
      </c>
      <c r="E57" s="89">
        <v>0</v>
      </c>
      <c r="F57" s="48">
        <v>1</v>
      </c>
      <c r="G57" s="48">
        <v>1</v>
      </c>
      <c r="H57" s="105" t="s">
        <v>349</v>
      </c>
      <c r="I57" s="14" t="s">
        <v>19</v>
      </c>
      <c r="J57" s="14" t="s">
        <v>86</v>
      </c>
      <c r="K57" s="13">
        <f>VLOOKUP(J57,'Labor Rates'!$A$1:$F$16,2)</f>
        <v>29.298461538461535</v>
      </c>
      <c r="L57" s="15">
        <v>2</v>
      </c>
      <c r="M57" s="15">
        <v>1</v>
      </c>
      <c r="N57" s="13" t="s">
        <v>236</v>
      </c>
      <c r="O57" s="61">
        <f>$O$102*E57</f>
        <v>0</v>
      </c>
      <c r="P57" s="15">
        <f>10/60</f>
        <v>0.16666666666666666</v>
      </c>
      <c r="Q57" s="15">
        <f t="shared" si="7"/>
        <v>0</v>
      </c>
      <c r="R57" s="4">
        <v>25</v>
      </c>
      <c r="S57" s="53">
        <f t="shared" si="8"/>
        <v>0</v>
      </c>
      <c r="T57" s="53">
        <f t="shared" si="9"/>
        <v>0</v>
      </c>
      <c r="U57" s="54">
        <f t="shared" si="10"/>
        <v>0</v>
      </c>
      <c r="V57" s="65"/>
      <c r="W57" s="58"/>
      <c r="X57" s="64">
        <f t="shared" si="11"/>
        <v>0</v>
      </c>
      <c r="Y57" s="64">
        <f>NPV(Inputs!$D$6,AA57:BN57)</f>
        <v>0</v>
      </c>
      <c r="Z57" s="67">
        <f t="shared" si="12"/>
        <v>0</v>
      </c>
      <c r="AA57" s="88">
        <f>$E57*IF(AA$2&gt;Inputs!$D$5,0,IF(AA$2&gt;VLOOKUP($H57,Lists!$P$3:$Q$7,2),IF($N57=Lists!$K$3,IF($L57&lt;1,(($U57/$L57)*((1+Inputs!$D$7)^AA$2)),((INT(AA$2/$L57)-INT((AA$2-1)/$L57))*$U57*((1+Inputs!$D$7)^AA$2))),(_xlfn.WEIBULL.DIST(AA$2,$M57,$L57,FALSE)*$U57*((1+Inputs!$D$7)^AA$2))),IF($N57=Lists!$K$3,IF($L57&lt;1,((($T57*(1-$F57)+$S57*(1-$G57))/$L57)*((1+Inputs!$D$7)^AA$2)),((INT(AA$2/$L57)-INT((AA$2-1)/$L57))*($T57*(1-$F57)+$S57*(1-$G57))*((1+Inputs!$D$7)^AA$2))),((_xlfn.WEIBULL.DIST(AA$2,$M57,$L57,FALSE)*($T57*(1-$F57)+$S57*(1-$G57))*((1+Inputs!$D$7)^AA$2))))))</f>
        <v>0</v>
      </c>
      <c r="AB57" s="88">
        <f>$E57*IF(AB$2&gt;Inputs!$D$5,0,IF(AB$2&gt;VLOOKUP($H57,Lists!$P$3:$Q$7,2),IF($N57=Lists!$K$3,IF($L57&lt;1,(($U57/$L57)*((1+Inputs!$D$7)^AB$2)),((INT(AB$2/$L57)-INT((AB$2-1)/$L57))*$U57*((1+Inputs!$D$7)^AB$2))),(_xlfn.WEIBULL.DIST(AB$2,$M57,$L57,FALSE)*$U57*((1+Inputs!$D$7)^AB$2))),IF($N57=Lists!$K$3,IF($L57&lt;1,((($T57*(1-$F57)+$S57*(1-$G57))/$L57)*((1+Inputs!$D$7)^AB$2)),((INT(AB$2/$L57)-INT((AB$2-1)/$L57))*($T57*(1-$F57)+$S57*(1-$G57))*((1+Inputs!$D$7)^AB$2))),((_xlfn.WEIBULL.DIST(AB$2,$M57,$L57,FALSE)*($T57*(1-$F57)+$S57*(1-$G57))*((1+Inputs!$D$7)^AB$2))))))</f>
        <v>0</v>
      </c>
      <c r="AC57" s="88">
        <f>$E57*IF(AC$2&gt;Inputs!$D$5,0,IF(AC$2&gt;VLOOKUP($H57,Lists!$P$3:$Q$7,2),IF($N57=Lists!$K$3,IF($L57&lt;1,(($U57/$L57)*((1+Inputs!$D$7)^AC$2)),((INT(AC$2/$L57)-INT((AC$2-1)/$L57))*$U57*((1+Inputs!$D$7)^AC$2))),(_xlfn.WEIBULL.DIST(AC$2,$M57,$L57,FALSE)*$U57*((1+Inputs!$D$7)^AC$2))),IF($N57=Lists!$K$3,IF($L57&lt;1,((($T57*(1-$F57)+$S57*(1-$G57))/$L57)*((1+Inputs!$D$7)^AC$2)),((INT(AC$2/$L57)-INT((AC$2-1)/$L57))*($T57*(1-$F57)+$S57*(1-$G57))*((1+Inputs!$D$7)^AC$2))),((_xlfn.WEIBULL.DIST(AC$2,$M57,$L57,FALSE)*($T57*(1-$F57)+$S57*(1-$G57))*((1+Inputs!$D$7)^AC$2))))))</f>
        <v>0</v>
      </c>
      <c r="AD57" s="88">
        <f>$E57*IF(AD$2&gt;Inputs!$D$5,0,IF(AD$2&gt;VLOOKUP($H57,Lists!$P$3:$Q$7,2),IF($N57=Lists!$K$3,IF($L57&lt;1,(($U57/$L57)*((1+Inputs!$D$7)^AD$2)),((INT(AD$2/$L57)-INT((AD$2-1)/$L57))*$U57*((1+Inputs!$D$7)^AD$2))),(_xlfn.WEIBULL.DIST(AD$2,$M57,$L57,FALSE)*$U57*((1+Inputs!$D$7)^AD$2))),IF($N57=Lists!$K$3,IF($L57&lt;1,((($T57*(1-$F57)+$S57*(1-$G57))/$L57)*((1+Inputs!$D$7)^AD$2)),((INT(AD$2/$L57)-INT((AD$2-1)/$L57))*($T57*(1-$F57)+$S57*(1-$G57))*((1+Inputs!$D$7)^AD$2))),((_xlfn.WEIBULL.DIST(AD$2,$M57,$L57,FALSE)*($T57*(1-$F57)+$S57*(1-$G57))*((1+Inputs!$D$7)^AD$2))))))</f>
        <v>0</v>
      </c>
      <c r="AE57" s="88">
        <f>$E57*IF(AE$2&gt;Inputs!$D$5,0,IF(AE$2&gt;VLOOKUP($H57,Lists!$P$3:$Q$7,2),IF($N57=Lists!$K$3,IF($L57&lt;1,(($U57/$L57)*((1+Inputs!$D$7)^AE$2)),((INT(AE$2/$L57)-INT((AE$2-1)/$L57))*$U57*((1+Inputs!$D$7)^AE$2))),(_xlfn.WEIBULL.DIST(AE$2,$M57,$L57,FALSE)*$U57*((1+Inputs!$D$7)^AE$2))),IF($N57=Lists!$K$3,IF($L57&lt;1,((($T57*(1-$F57)+$S57*(1-$G57))/$L57)*((1+Inputs!$D$7)^AE$2)),((INT(AE$2/$L57)-INT((AE$2-1)/$L57))*($T57*(1-$F57)+$S57*(1-$G57))*((1+Inputs!$D$7)^AE$2))),((_xlfn.WEIBULL.DIST(AE$2,$M57,$L57,FALSE)*($T57*(1-$F57)+$S57*(1-$G57))*((1+Inputs!$D$7)^AE$2))))))</f>
        <v>0</v>
      </c>
      <c r="AF57" s="88">
        <f>$E57*IF(AF$2&gt;Inputs!$D$5,0,IF(AF$2&gt;VLOOKUP($H57,Lists!$P$3:$Q$7,2),IF($N57=Lists!$K$3,IF($L57&lt;1,(($U57/$L57)*((1+Inputs!$D$7)^AF$2)),((INT(AF$2/$L57)-INT((AF$2-1)/$L57))*$U57*((1+Inputs!$D$7)^AF$2))),(_xlfn.WEIBULL.DIST(AF$2,$M57,$L57,FALSE)*$U57*((1+Inputs!$D$7)^AF$2))),IF($N57=Lists!$K$3,IF($L57&lt;1,((($T57*(1-$F57)+$S57*(1-$G57))/$L57)*((1+Inputs!$D$7)^AF$2)),((INT(AF$2/$L57)-INT((AF$2-1)/$L57))*($T57*(1-$F57)+$S57*(1-$G57))*((1+Inputs!$D$7)^AF$2))),((_xlfn.WEIBULL.DIST(AF$2,$M57,$L57,FALSE)*($T57*(1-$F57)+$S57*(1-$G57))*((1+Inputs!$D$7)^AF$2))))))</f>
        <v>0</v>
      </c>
      <c r="AG57" s="88">
        <f>$E57*IF(AG$2&gt;Inputs!$D$5,0,IF(AG$2&gt;VLOOKUP($H57,Lists!$P$3:$Q$7,2),IF($N57=Lists!$K$3,IF($L57&lt;1,(($U57/$L57)*((1+Inputs!$D$7)^AG$2)),((INT(AG$2/$L57)-INT((AG$2-1)/$L57))*$U57*((1+Inputs!$D$7)^AG$2))),(_xlfn.WEIBULL.DIST(AG$2,$M57,$L57,FALSE)*$U57*((1+Inputs!$D$7)^AG$2))),IF($N57=Lists!$K$3,IF($L57&lt;1,((($T57*(1-$F57)+$S57*(1-$G57))/$L57)*((1+Inputs!$D$7)^AG$2)),((INT(AG$2/$L57)-INT((AG$2-1)/$L57))*($T57*(1-$F57)+$S57*(1-$G57))*((1+Inputs!$D$7)^AG$2))),((_xlfn.WEIBULL.DIST(AG$2,$M57,$L57,FALSE)*($T57*(1-$F57)+$S57*(1-$G57))*((1+Inputs!$D$7)^AG$2))))))</f>
        <v>0</v>
      </c>
      <c r="AH57" s="88">
        <f>$E57*IF(AH$2&gt;Inputs!$D$5,0,IF(AH$2&gt;VLOOKUP($H57,Lists!$P$3:$Q$7,2),IF($N57=Lists!$K$3,IF($L57&lt;1,(($U57/$L57)*((1+Inputs!$D$7)^AH$2)),((INT(AH$2/$L57)-INT((AH$2-1)/$L57))*$U57*((1+Inputs!$D$7)^AH$2))),(_xlfn.WEIBULL.DIST(AH$2,$M57,$L57,FALSE)*$U57*((1+Inputs!$D$7)^AH$2))),IF($N57=Lists!$K$3,IF($L57&lt;1,((($T57*(1-$F57)+$S57*(1-$G57))/$L57)*((1+Inputs!$D$7)^AH$2)),((INT(AH$2/$L57)-INT((AH$2-1)/$L57))*($T57*(1-$F57)+$S57*(1-$G57))*((1+Inputs!$D$7)^AH$2))),((_xlfn.WEIBULL.DIST(AH$2,$M57,$L57,FALSE)*($T57*(1-$F57)+$S57*(1-$G57))*((1+Inputs!$D$7)^AH$2))))))</f>
        <v>0</v>
      </c>
      <c r="AI57" s="88">
        <f>$E57*IF(AI$2&gt;Inputs!$D$5,0,IF(AI$2&gt;VLOOKUP($H57,Lists!$P$3:$Q$7,2),IF($N57=Lists!$K$3,IF($L57&lt;1,(($U57/$L57)*((1+Inputs!$D$7)^AI$2)),((INT(AI$2/$L57)-INT((AI$2-1)/$L57))*$U57*((1+Inputs!$D$7)^AI$2))),(_xlfn.WEIBULL.DIST(AI$2,$M57,$L57,FALSE)*$U57*((1+Inputs!$D$7)^AI$2))),IF($N57=Lists!$K$3,IF($L57&lt;1,((($T57*(1-$F57)+$S57*(1-$G57))/$L57)*((1+Inputs!$D$7)^AI$2)),((INT(AI$2/$L57)-INT((AI$2-1)/$L57))*($T57*(1-$F57)+$S57*(1-$G57))*((1+Inputs!$D$7)^AI$2))),((_xlfn.WEIBULL.DIST(AI$2,$M57,$L57,FALSE)*($T57*(1-$F57)+$S57*(1-$G57))*((1+Inputs!$D$7)^AI$2))))))</f>
        <v>0</v>
      </c>
      <c r="AJ57" s="88">
        <f>$E57*IF(AJ$2&gt;Inputs!$D$5,0,IF(AJ$2&gt;VLOOKUP($H57,Lists!$P$3:$Q$7,2),IF($N57=Lists!$K$3,IF($L57&lt;1,(($U57/$L57)*((1+Inputs!$D$7)^AJ$2)),((INT(AJ$2/$L57)-INT((AJ$2-1)/$L57))*$U57*((1+Inputs!$D$7)^AJ$2))),(_xlfn.WEIBULL.DIST(AJ$2,$M57,$L57,FALSE)*$U57*((1+Inputs!$D$7)^AJ$2))),IF($N57=Lists!$K$3,IF($L57&lt;1,((($T57*(1-$F57)+$S57*(1-$G57))/$L57)*((1+Inputs!$D$7)^AJ$2)),((INT(AJ$2/$L57)-INT((AJ$2-1)/$L57))*($T57*(1-$F57)+$S57*(1-$G57))*((1+Inputs!$D$7)^AJ$2))),((_xlfn.WEIBULL.DIST(AJ$2,$M57,$L57,FALSE)*($T57*(1-$F57)+$S57*(1-$G57))*((1+Inputs!$D$7)^AJ$2))))))</f>
        <v>0</v>
      </c>
      <c r="AK57" s="88">
        <f>$E57*IF(AK$2&gt;Inputs!$D$5,0,IF(AK$2&gt;VLOOKUP($H57,Lists!$P$3:$Q$7,2),IF($N57=Lists!$K$3,IF($L57&lt;1,(($U57/$L57)*((1+Inputs!$D$7)^AK$2)),((INT(AK$2/$L57)-INT((AK$2-1)/$L57))*$U57*((1+Inputs!$D$7)^AK$2))),(_xlfn.WEIBULL.DIST(AK$2,$M57,$L57,FALSE)*$U57*((1+Inputs!$D$7)^AK$2))),IF($N57=Lists!$K$3,IF($L57&lt;1,((($T57*(1-$F57)+$S57*(1-$G57))/$L57)*((1+Inputs!$D$7)^AK$2)),((INT(AK$2/$L57)-INT((AK$2-1)/$L57))*($T57*(1-$F57)+$S57*(1-$G57))*((1+Inputs!$D$7)^AK$2))),((_xlfn.WEIBULL.DIST(AK$2,$M57,$L57,FALSE)*($T57*(1-$F57)+$S57*(1-$G57))*((1+Inputs!$D$7)^AK$2))))))</f>
        <v>0</v>
      </c>
      <c r="AL57" s="88">
        <f>$E57*IF(AL$2&gt;Inputs!$D$5,0,IF(AL$2&gt;VLOOKUP($H57,Lists!$P$3:$Q$7,2),IF($N57=Lists!$K$3,IF($L57&lt;1,(($U57/$L57)*((1+Inputs!$D$7)^AL$2)),((INT(AL$2/$L57)-INT((AL$2-1)/$L57))*$U57*((1+Inputs!$D$7)^AL$2))),(_xlfn.WEIBULL.DIST(AL$2,$M57,$L57,FALSE)*$U57*((1+Inputs!$D$7)^AL$2))),IF($N57=Lists!$K$3,IF($L57&lt;1,((($T57*(1-$F57)+$S57*(1-$G57))/$L57)*((1+Inputs!$D$7)^AL$2)),((INT(AL$2/$L57)-INT((AL$2-1)/$L57))*($T57*(1-$F57)+$S57*(1-$G57))*((1+Inputs!$D$7)^AL$2))),((_xlfn.WEIBULL.DIST(AL$2,$M57,$L57,FALSE)*($T57*(1-$F57)+$S57*(1-$G57))*((1+Inputs!$D$7)^AL$2))))))</f>
        <v>0</v>
      </c>
      <c r="AM57" s="88">
        <f>$E57*IF(AM$2&gt;Inputs!$D$5,0,IF(AM$2&gt;VLOOKUP($H57,Lists!$P$3:$Q$7,2),IF($N57=Lists!$K$3,IF($L57&lt;1,(($U57/$L57)*((1+Inputs!$D$7)^AM$2)),((INT(AM$2/$L57)-INT((AM$2-1)/$L57))*$U57*((1+Inputs!$D$7)^AM$2))),(_xlfn.WEIBULL.DIST(AM$2,$M57,$L57,FALSE)*$U57*((1+Inputs!$D$7)^AM$2))),IF($N57=Lists!$K$3,IF($L57&lt;1,((($T57*(1-$F57)+$S57*(1-$G57))/$L57)*((1+Inputs!$D$7)^AM$2)),((INT(AM$2/$L57)-INT((AM$2-1)/$L57))*($T57*(1-$F57)+$S57*(1-$G57))*((1+Inputs!$D$7)^AM$2))),((_xlfn.WEIBULL.DIST(AM$2,$M57,$L57,FALSE)*($T57*(1-$F57)+$S57*(1-$G57))*((1+Inputs!$D$7)^AM$2))))))</f>
        <v>0</v>
      </c>
      <c r="AN57" s="88">
        <f>$E57*IF(AN$2&gt;Inputs!$D$5,0,IF(AN$2&gt;VLOOKUP($H57,Lists!$P$3:$Q$7,2),IF($N57=Lists!$K$3,IF($L57&lt;1,(($U57/$L57)*((1+Inputs!$D$7)^AN$2)),((INT(AN$2/$L57)-INT((AN$2-1)/$L57))*$U57*((1+Inputs!$D$7)^AN$2))),(_xlfn.WEIBULL.DIST(AN$2,$M57,$L57,FALSE)*$U57*((1+Inputs!$D$7)^AN$2))),IF($N57=Lists!$K$3,IF($L57&lt;1,((($T57*(1-$F57)+$S57*(1-$G57))/$L57)*((1+Inputs!$D$7)^AN$2)),((INT(AN$2/$L57)-INT((AN$2-1)/$L57))*($T57*(1-$F57)+$S57*(1-$G57))*((1+Inputs!$D$7)^AN$2))),((_xlfn.WEIBULL.DIST(AN$2,$M57,$L57,FALSE)*($T57*(1-$F57)+$S57*(1-$G57))*((1+Inputs!$D$7)^AN$2))))))</f>
        <v>0</v>
      </c>
      <c r="AO57" s="88">
        <f>$E57*IF(AO$2&gt;Inputs!$D$5,0,IF(AO$2&gt;VLOOKUP($H57,Lists!$P$3:$Q$7,2),IF($N57=Lists!$K$3,IF($L57&lt;1,(($U57/$L57)*((1+Inputs!$D$7)^AO$2)),((INT(AO$2/$L57)-INT((AO$2-1)/$L57))*$U57*((1+Inputs!$D$7)^AO$2))),(_xlfn.WEIBULL.DIST(AO$2,$M57,$L57,FALSE)*$U57*((1+Inputs!$D$7)^AO$2))),IF($N57=Lists!$K$3,IF($L57&lt;1,((($T57*(1-$F57)+$S57*(1-$G57))/$L57)*((1+Inputs!$D$7)^AO$2)),((INT(AO$2/$L57)-INT((AO$2-1)/$L57))*($T57*(1-$F57)+$S57*(1-$G57))*((1+Inputs!$D$7)^AO$2))),((_xlfn.WEIBULL.DIST(AO$2,$M57,$L57,FALSE)*($T57*(1-$F57)+$S57*(1-$G57))*((1+Inputs!$D$7)^AO$2))))))</f>
        <v>0</v>
      </c>
      <c r="AP57" s="88">
        <f>$E57*IF(AP$2&gt;Inputs!$D$5,0,IF(AP$2&gt;VLOOKUP($H57,Lists!$P$3:$Q$7,2),IF($N57=Lists!$K$3,IF($L57&lt;1,(($U57/$L57)*((1+Inputs!$D$7)^AP$2)),((INT(AP$2/$L57)-INT((AP$2-1)/$L57))*$U57*((1+Inputs!$D$7)^AP$2))),(_xlfn.WEIBULL.DIST(AP$2,$M57,$L57,FALSE)*$U57*((1+Inputs!$D$7)^AP$2))),IF($N57=Lists!$K$3,IF($L57&lt;1,((($T57*(1-$F57)+$S57*(1-$G57))/$L57)*((1+Inputs!$D$7)^AP$2)),((INT(AP$2/$L57)-INT((AP$2-1)/$L57))*($T57*(1-$F57)+$S57*(1-$G57))*((1+Inputs!$D$7)^AP$2))),((_xlfn.WEIBULL.DIST(AP$2,$M57,$L57,FALSE)*($T57*(1-$F57)+$S57*(1-$G57))*((1+Inputs!$D$7)^AP$2))))))</f>
        <v>0</v>
      </c>
      <c r="AQ57" s="88">
        <f>$E57*IF(AQ$2&gt;Inputs!$D$5,0,IF(AQ$2&gt;VLOOKUP($H57,Lists!$P$3:$Q$7,2),IF($N57=Lists!$K$3,IF($L57&lt;1,(($U57/$L57)*((1+Inputs!$D$7)^AQ$2)),((INT(AQ$2/$L57)-INT((AQ$2-1)/$L57))*$U57*((1+Inputs!$D$7)^AQ$2))),(_xlfn.WEIBULL.DIST(AQ$2,$M57,$L57,FALSE)*$U57*((1+Inputs!$D$7)^AQ$2))),IF($N57=Lists!$K$3,IF($L57&lt;1,((($T57*(1-$F57)+$S57*(1-$G57))/$L57)*((1+Inputs!$D$7)^AQ$2)),((INT(AQ$2/$L57)-INT((AQ$2-1)/$L57))*($T57*(1-$F57)+$S57*(1-$G57))*((1+Inputs!$D$7)^AQ$2))),((_xlfn.WEIBULL.DIST(AQ$2,$M57,$L57,FALSE)*($T57*(1-$F57)+$S57*(1-$G57))*((1+Inputs!$D$7)^AQ$2))))))</f>
        <v>0</v>
      </c>
      <c r="AR57" s="88">
        <f>$E57*IF(AR$2&gt;Inputs!$D$5,0,IF(AR$2&gt;VLOOKUP($H57,Lists!$P$3:$Q$7,2),IF($N57=Lists!$K$3,IF($L57&lt;1,(($U57/$L57)*((1+Inputs!$D$7)^AR$2)),((INT(AR$2/$L57)-INT((AR$2-1)/$L57))*$U57*((1+Inputs!$D$7)^AR$2))),(_xlfn.WEIBULL.DIST(AR$2,$M57,$L57,FALSE)*$U57*((1+Inputs!$D$7)^AR$2))),IF($N57=Lists!$K$3,IF($L57&lt;1,((($T57*(1-$F57)+$S57*(1-$G57))/$L57)*((1+Inputs!$D$7)^AR$2)),((INT(AR$2/$L57)-INT((AR$2-1)/$L57))*($T57*(1-$F57)+$S57*(1-$G57))*((1+Inputs!$D$7)^AR$2))),((_xlfn.WEIBULL.DIST(AR$2,$M57,$L57,FALSE)*($T57*(1-$F57)+$S57*(1-$G57))*((1+Inputs!$D$7)^AR$2))))))</f>
        <v>0</v>
      </c>
      <c r="AS57" s="88">
        <f>$E57*IF(AS$2&gt;Inputs!$D$5,0,IF(AS$2&gt;VLOOKUP($H57,Lists!$P$3:$Q$7,2),IF($N57=Lists!$K$3,IF($L57&lt;1,(($U57/$L57)*((1+Inputs!$D$7)^AS$2)),((INT(AS$2/$L57)-INT((AS$2-1)/$L57))*$U57*((1+Inputs!$D$7)^AS$2))),(_xlfn.WEIBULL.DIST(AS$2,$M57,$L57,FALSE)*$U57*((1+Inputs!$D$7)^AS$2))),IF($N57=Lists!$K$3,IF($L57&lt;1,((($T57*(1-$F57)+$S57*(1-$G57))/$L57)*((1+Inputs!$D$7)^AS$2)),((INT(AS$2/$L57)-INT((AS$2-1)/$L57))*($T57*(1-$F57)+$S57*(1-$G57))*((1+Inputs!$D$7)^AS$2))),((_xlfn.WEIBULL.DIST(AS$2,$M57,$L57,FALSE)*($T57*(1-$F57)+$S57*(1-$G57))*((1+Inputs!$D$7)^AS$2))))))</f>
        <v>0</v>
      </c>
      <c r="AT57" s="88">
        <f>$E57*IF(AT$2&gt;Inputs!$D$5,0,IF(AT$2&gt;VLOOKUP($H57,Lists!$P$3:$Q$7,2),IF($N57=Lists!$K$3,IF($L57&lt;1,(($U57/$L57)*((1+Inputs!$D$7)^AT$2)),((INT(AT$2/$L57)-INT((AT$2-1)/$L57))*$U57*((1+Inputs!$D$7)^AT$2))),(_xlfn.WEIBULL.DIST(AT$2,$M57,$L57,FALSE)*$U57*((1+Inputs!$D$7)^AT$2))),IF($N57=Lists!$K$3,IF($L57&lt;1,((($T57*(1-$F57)+$S57*(1-$G57))/$L57)*((1+Inputs!$D$7)^AT$2)),((INT(AT$2/$L57)-INT((AT$2-1)/$L57))*($T57*(1-$F57)+$S57*(1-$G57))*((1+Inputs!$D$7)^AT$2))),((_xlfn.WEIBULL.DIST(AT$2,$M57,$L57,FALSE)*($T57*(1-$F57)+$S57*(1-$G57))*((1+Inputs!$D$7)^AT$2))))))</f>
        <v>0</v>
      </c>
      <c r="AU57" s="88">
        <f>$E57*IF(AU$2&gt;Inputs!$D$5,0,IF(AU$2&gt;VLOOKUP($H57,Lists!$P$3:$Q$7,2),IF($N57=Lists!$K$3,IF($L57&lt;1,(($U57/$L57)*((1+Inputs!$D$7)^AU$2)),((INT(AU$2/$L57)-INT((AU$2-1)/$L57))*$U57*((1+Inputs!$D$7)^AU$2))),(_xlfn.WEIBULL.DIST(AU$2,$M57,$L57,FALSE)*$U57*((1+Inputs!$D$7)^AU$2))),IF($N57=Lists!$K$3,IF($L57&lt;1,((($T57*(1-$F57)+$S57*(1-$G57))/$L57)*((1+Inputs!$D$7)^AU$2)),((INT(AU$2/$L57)-INT((AU$2-1)/$L57))*($T57*(1-$F57)+$S57*(1-$G57))*((1+Inputs!$D$7)^AU$2))),((_xlfn.WEIBULL.DIST(AU$2,$M57,$L57,FALSE)*($T57*(1-$F57)+$S57*(1-$G57))*((1+Inputs!$D$7)^AU$2))))))</f>
        <v>0</v>
      </c>
      <c r="AV57" s="88">
        <f>$E57*IF(AV$2&gt;Inputs!$D$5,0,IF(AV$2&gt;VLOOKUP($H57,Lists!$P$3:$Q$7,2),IF($N57=Lists!$K$3,IF($L57&lt;1,(($U57/$L57)*((1+Inputs!$D$7)^AV$2)),((INT(AV$2/$L57)-INT((AV$2-1)/$L57))*$U57*((1+Inputs!$D$7)^AV$2))),(_xlfn.WEIBULL.DIST(AV$2,$M57,$L57,FALSE)*$U57*((1+Inputs!$D$7)^AV$2))),IF($N57=Lists!$K$3,IF($L57&lt;1,((($T57*(1-$F57)+$S57*(1-$G57))/$L57)*((1+Inputs!$D$7)^AV$2)),((INT(AV$2/$L57)-INT((AV$2-1)/$L57))*($T57*(1-$F57)+$S57*(1-$G57))*((1+Inputs!$D$7)^AV$2))),((_xlfn.WEIBULL.DIST(AV$2,$M57,$L57,FALSE)*($T57*(1-$F57)+$S57*(1-$G57))*((1+Inputs!$D$7)^AV$2))))))</f>
        <v>0</v>
      </c>
      <c r="AW57" s="88">
        <f>$E57*IF(AW$2&gt;Inputs!$D$5,0,IF(AW$2&gt;VLOOKUP($H57,Lists!$P$3:$Q$7,2),IF($N57=Lists!$K$3,IF($L57&lt;1,(($U57/$L57)*((1+Inputs!$D$7)^AW$2)),((INT(AW$2/$L57)-INT((AW$2-1)/$L57))*$U57*((1+Inputs!$D$7)^AW$2))),(_xlfn.WEIBULL.DIST(AW$2,$M57,$L57,FALSE)*$U57*((1+Inputs!$D$7)^AW$2))),IF($N57=Lists!$K$3,IF($L57&lt;1,((($T57*(1-$F57)+$S57*(1-$G57))/$L57)*((1+Inputs!$D$7)^AW$2)),((INT(AW$2/$L57)-INT((AW$2-1)/$L57))*($T57*(1-$F57)+$S57*(1-$G57))*((1+Inputs!$D$7)^AW$2))),((_xlfn.WEIBULL.DIST(AW$2,$M57,$L57,FALSE)*($T57*(1-$F57)+$S57*(1-$G57))*((1+Inputs!$D$7)^AW$2))))))</f>
        <v>0</v>
      </c>
      <c r="AX57" s="88">
        <f>$E57*IF(AX$2&gt;Inputs!$D$5,0,IF(AX$2&gt;VLOOKUP($H57,Lists!$P$3:$Q$7,2),IF($N57=Lists!$K$3,IF($L57&lt;1,(($U57/$L57)*((1+Inputs!$D$7)^AX$2)),((INT(AX$2/$L57)-INT((AX$2-1)/$L57))*$U57*((1+Inputs!$D$7)^AX$2))),(_xlfn.WEIBULL.DIST(AX$2,$M57,$L57,FALSE)*$U57*((1+Inputs!$D$7)^AX$2))),IF($N57=Lists!$K$3,IF($L57&lt;1,((($T57*(1-$F57)+$S57*(1-$G57))/$L57)*((1+Inputs!$D$7)^AX$2)),((INT(AX$2/$L57)-INT((AX$2-1)/$L57))*($T57*(1-$F57)+$S57*(1-$G57))*((1+Inputs!$D$7)^AX$2))),((_xlfn.WEIBULL.DIST(AX$2,$M57,$L57,FALSE)*($T57*(1-$F57)+$S57*(1-$G57))*((1+Inputs!$D$7)^AX$2))))))</f>
        <v>0</v>
      </c>
      <c r="AY57" s="88">
        <f>$E57*IF(AY$2&gt;Inputs!$D$5,0,IF(AY$2&gt;VLOOKUP($H57,Lists!$P$3:$Q$7,2),IF($N57=Lists!$K$3,IF($L57&lt;1,(($U57/$L57)*((1+Inputs!$D$7)^AY$2)),((INT(AY$2/$L57)-INT((AY$2-1)/$L57))*$U57*((1+Inputs!$D$7)^AY$2))),(_xlfn.WEIBULL.DIST(AY$2,$M57,$L57,FALSE)*$U57*((1+Inputs!$D$7)^AY$2))),IF($N57=Lists!$K$3,IF($L57&lt;1,((($T57*(1-$F57)+$S57*(1-$G57))/$L57)*((1+Inputs!$D$7)^AY$2)),((INT(AY$2/$L57)-INT((AY$2-1)/$L57))*($T57*(1-$F57)+$S57*(1-$G57))*((1+Inputs!$D$7)^AY$2))),((_xlfn.WEIBULL.DIST(AY$2,$M57,$L57,FALSE)*($T57*(1-$F57)+$S57*(1-$G57))*((1+Inputs!$D$7)^AY$2))))))</f>
        <v>0</v>
      </c>
      <c r="AZ57" s="88">
        <f>$E57*IF(AZ$2&gt;Inputs!$D$5,0,IF(AZ$2&gt;VLOOKUP($H57,Lists!$P$3:$Q$7,2),IF($N57=Lists!$K$3,IF($L57&lt;1,(($U57/$L57)*((1+Inputs!$D$7)^AZ$2)),((INT(AZ$2/$L57)-INT((AZ$2-1)/$L57))*$U57*((1+Inputs!$D$7)^AZ$2))),(_xlfn.WEIBULL.DIST(AZ$2,$M57,$L57,FALSE)*$U57*((1+Inputs!$D$7)^AZ$2))),IF($N57=Lists!$K$3,IF($L57&lt;1,((($T57*(1-$F57)+$S57*(1-$G57))/$L57)*((1+Inputs!$D$7)^AZ$2)),((INT(AZ$2/$L57)-INT((AZ$2-1)/$L57))*($T57*(1-$F57)+$S57*(1-$G57))*((1+Inputs!$D$7)^AZ$2))),((_xlfn.WEIBULL.DIST(AZ$2,$M57,$L57,FALSE)*($T57*(1-$F57)+$S57*(1-$G57))*((1+Inputs!$D$7)^AZ$2))))))</f>
        <v>0</v>
      </c>
      <c r="BA57" s="88">
        <f>$E57*IF(BA$2&gt;Inputs!$D$5,0,IF(BA$2&gt;VLOOKUP($H57,Lists!$P$3:$Q$7,2),IF($N57=Lists!$K$3,IF($L57&lt;1,(($U57/$L57)*((1+Inputs!$D$7)^BA$2)),((INT(BA$2/$L57)-INT((BA$2-1)/$L57))*$U57*((1+Inputs!$D$7)^BA$2))),(_xlfn.WEIBULL.DIST(BA$2,$M57,$L57,FALSE)*$U57*((1+Inputs!$D$7)^BA$2))),IF($N57=Lists!$K$3,IF($L57&lt;1,((($T57*(1-$F57)+$S57*(1-$G57))/$L57)*((1+Inputs!$D$7)^BA$2)),((INT(BA$2/$L57)-INT((BA$2-1)/$L57))*($T57*(1-$F57)+$S57*(1-$G57))*((1+Inputs!$D$7)^BA$2))),((_xlfn.WEIBULL.DIST(BA$2,$M57,$L57,FALSE)*($T57*(1-$F57)+$S57*(1-$G57))*((1+Inputs!$D$7)^BA$2))))))</f>
        <v>0</v>
      </c>
      <c r="BB57" s="88">
        <f>$E57*IF(BB$2&gt;Inputs!$D$5,0,IF(BB$2&gt;VLOOKUP($H57,Lists!$P$3:$Q$7,2),IF($N57=Lists!$K$3,IF($L57&lt;1,(($U57/$L57)*((1+Inputs!$D$7)^BB$2)),((INT(BB$2/$L57)-INT((BB$2-1)/$L57))*$U57*((1+Inputs!$D$7)^BB$2))),(_xlfn.WEIBULL.DIST(BB$2,$M57,$L57,FALSE)*$U57*((1+Inputs!$D$7)^BB$2))),IF($N57=Lists!$K$3,IF($L57&lt;1,((($T57*(1-$F57)+$S57*(1-$G57))/$L57)*((1+Inputs!$D$7)^BB$2)),((INT(BB$2/$L57)-INT((BB$2-1)/$L57))*($T57*(1-$F57)+$S57*(1-$G57))*((1+Inputs!$D$7)^BB$2))),((_xlfn.WEIBULL.DIST(BB$2,$M57,$L57,FALSE)*($T57*(1-$F57)+$S57*(1-$G57))*((1+Inputs!$D$7)^BB$2))))))</f>
        <v>0</v>
      </c>
      <c r="BC57" s="88">
        <f>$E57*IF(BC$2&gt;Inputs!$D$5,0,IF(BC$2&gt;VLOOKUP($H57,Lists!$P$3:$Q$7,2),IF($N57=Lists!$K$3,IF($L57&lt;1,(($U57/$L57)*((1+Inputs!$D$7)^BC$2)),((INT(BC$2/$L57)-INT((BC$2-1)/$L57))*$U57*((1+Inputs!$D$7)^BC$2))),(_xlfn.WEIBULL.DIST(BC$2,$M57,$L57,FALSE)*$U57*((1+Inputs!$D$7)^BC$2))),IF($N57=Lists!$K$3,IF($L57&lt;1,((($T57*(1-$F57)+$S57*(1-$G57))/$L57)*((1+Inputs!$D$7)^BC$2)),((INT(BC$2/$L57)-INT((BC$2-1)/$L57))*($T57*(1-$F57)+$S57*(1-$G57))*((1+Inputs!$D$7)^BC$2))),((_xlfn.WEIBULL.DIST(BC$2,$M57,$L57,FALSE)*($T57*(1-$F57)+$S57*(1-$G57))*((1+Inputs!$D$7)^BC$2))))))</f>
        <v>0</v>
      </c>
      <c r="BD57" s="88">
        <f>$E57*IF(BD$2&gt;Inputs!$D$5,0,IF(BD$2&gt;VLOOKUP($H57,Lists!$P$3:$Q$7,2),IF($N57=Lists!$K$3,IF($L57&lt;1,(($U57/$L57)*((1+Inputs!$D$7)^BD$2)),((INT(BD$2/$L57)-INT((BD$2-1)/$L57))*$U57*((1+Inputs!$D$7)^BD$2))),(_xlfn.WEIBULL.DIST(BD$2,$M57,$L57,FALSE)*$U57*((1+Inputs!$D$7)^BD$2))),IF($N57=Lists!$K$3,IF($L57&lt;1,((($T57*(1-$F57)+$S57*(1-$G57))/$L57)*((1+Inputs!$D$7)^BD$2)),((INT(BD$2/$L57)-INT((BD$2-1)/$L57))*($T57*(1-$F57)+$S57*(1-$G57))*((1+Inputs!$D$7)^BD$2))),((_xlfn.WEIBULL.DIST(BD$2,$M57,$L57,FALSE)*($T57*(1-$F57)+$S57*(1-$G57))*((1+Inputs!$D$7)^BD$2))))))</f>
        <v>0</v>
      </c>
      <c r="BE57" s="88">
        <f>$E57*IF(BE$2&gt;Inputs!$D$5,0,IF(BE$2&gt;VLOOKUP($H57,Lists!$P$3:$Q$7,2),IF($N57=Lists!$K$3,IF($L57&lt;1,(($U57/$L57)*((1+Inputs!$D$7)^BE$2)),((INT(BE$2/$L57)-INT((BE$2-1)/$L57))*$U57*((1+Inputs!$D$7)^BE$2))),(_xlfn.WEIBULL.DIST(BE$2,$M57,$L57,FALSE)*$U57*((1+Inputs!$D$7)^BE$2))),IF($N57=Lists!$K$3,IF($L57&lt;1,((($T57*(1-$F57)+$S57*(1-$G57))/$L57)*((1+Inputs!$D$7)^BE$2)),((INT(BE$2/$L57)-INT((BE$2-1)/$L57))*($T57*(1-$F57)+$S57*(1-$G57))*((1+Inputs!$D$7)^BE$2))),((_xlfn.WEIBULL.DIST(BE$2,$M57,$L57,FALSE)*($T57*(1-$F57)+$S57*(1-$G57))*((1+Inputs!$D$7)^BE$2))))))</f>
        <v>0</v>
      </c>
      <c r="BF57" s="88">
        <f>$E57*IF(BF$2&gt;Inputs!$D$5,0,IF(BF$2&gt;VLOOKUP($H57,Lists!$P$3:$Q$7,2),IF($N57=Lists!$K$3,IF($L57&lt;1,(($U57/$L57)*((1+Inputs!$D$7)^BF$2)),((INT(BF$2/$L57)-INT((BF$2-1)/$L57))*$U57*((1+Inputs!$D$7)^BF$2))),(_xlfn.WEIBULL.DIST(BF$2,$M57,$L57,FALSE)*$U57*((1+Inputs!$D$7)^BF$2))),IF($N57=Lists!$K$3,IF($L57&lt;1,((($T57*(1-$F57)+$S57*(1-$G57))/$L57)*((1+Inputs!$D$7)^BF$2)),((INT(BF$2/$L57)-INT((BF$2-1)/$L57))*($T57*(1-$F57)+$S57*(1-$G57))*((1+Inputs!$D$7)^BF$2))),((_xlfn.WEIBULL.DIST(BF$2,$M57,$L57,FALSE)*($T57*(1-$F57)+$S57*(1-$G57))*((1+Inputs!$D$7)^BF$2))))))</f>
        <v>0</v>
      </c>
      <c r="BG57" s="88">
        <f>$E57*IF(BG$2&gt;Inputs!$D$5,0,IF(BG$2&gt;VLOOKUP($H57,Lists!$P$3:$Q$7,2),IF($N57=Lists!$K$3,IF($L57&lt;1,(($U57/$L57)*((1+Inputs!$D$7)^BG$2)),((INT(BG$2/$L57)-INT((BG$2-1)/$L57))*$U57*((1+Inputs!$D$7)^BG$2))),(_xlfn.WEIBULL.DIST(BG$2,$M57,$L57,FALSE)*$U57*((1+Inputs!$D$7)^BG$2))),IF($N57=Lists!$K$3,IF($L57&lt;1,((($T57*(1-$F57)+$S57*(1-$G57))/$L57)*((1+Inputs!$D$7)^BG$2)),((INT(BG$2/$L57)-INT((BG$2-1)/$L57))*($T57*(1-$F57)+$S57*(1-$G57))*((1+Inputs!$D$7)^BG$2))),((_xlfn.WEIBULL.DIST(BG$2,$M57,$L57,FALSE)*($T57*(1-$F57)+$S57*(1-$G57))*((1+Inputs!$D$7)^BG$2))))))</f>
        <v>0</v>
      </c>
      <c r="BH57" s="88">
        <f>$E57*IF(BH$2&gt;Inputs!$D$5,0,IF(BH$2&gt;VLOOKUP($H57,Lists!$P$3:$Q$7,2),IF($N57=Lists!$K$3,IF($L57&lt;1,(($U57/$L57)*((1+Inputs!$D$7)^BH$2)),((INT(BH$2/$L57)-INT((BH$2-1)/$L57))*$U57*((1+Inputs!$D$7)^BH$2))),(_xlfn.WEIBULL.DIST(BH$2,$M57,$L57,FALSE)*$U57*((1+Inputs!$D$7)^BH$2))),IF($N57=Lists!$K$3,IF($L57&lt;1,((($T57*(1-$F57)+$S57*(1-$G57))/$L57)*((1+Inputs!$D$7)^BH$2)),((INT(BH$2/$L57)-INT((BH$2-1)/$L57))*($T57*(1-$F57)+$S57*(1-$G57))*((1+Inputs!$D$7)^BH$2))),((_xlfn.WEIBULL.DIST(BH$2,$M57,$L57,FALSE)*($T57*(1-$F57)+$S57*(1-$G57))*((1+Inputs!$D$7)^BH$2))))))</f>
        <v>0</v>
      </c>
      <c r="BI57" s="88">
        <f>$E57*IF(BI$2&gt;Inputs!$D$5,0,IF(BI$2&gt;VLOOKUP($H57,Lists!$P$3:$Q$7,2),IF($N57=Lists!$K$3,IF($L57&lt;1,(($U57/$L57)*((1+Inputs!$D$7)^BI$2)),((INT(BI$2/$L57)-INT((BI$2-1)/$L57))*$U57*((1+Inputs!$D$7)^BI$2))),(_xlfn.WEIBULL.DIST(BI$2,$M57,$L57,FALSE)*$U57*((1+Inputs!$D$7)^BI$2))),IF($N57=Lists!$K$3,IF($L57&lt;1,((($T57*(1-$F57)+$S57*(1-$G57))/$L57)*((1+Inputs!$D$7)^BI$2)),((INT(BI$2/$L57)-INT((BI$2-1)/$L57))*($T57*(1-$F57)+$S57*(1-$G57))*((1+Inputs!$D$7)^BI$2))),((_xlfn.WEIBULL.DIST(BI$2,$M57,$L57,FALSE)*($T57*(1-$F57)+$S57*(1-$G57))*((1+Inputs!$D$7)^BI$2))))))</f>
        <v>0</v>
      </c>
      <c r="BJ57" s="88">
        <f>$E57*IF(BJ$2&gt;Inputs!$D$5,0,IF(BJ$2&gt;VLOOKUP($H57,Lists!$P$3:$Q$7,2),IF($N57=Lists!$K$3,IF($L57&lt;1,(($U57/$L57)*((1+Inputs!$D$7)^BJ$2)),((INT(BJ$2/$L57)-INT((BJ$2-1)/$L57))*$U57*((1+Inputs!$D$7)^BJ$2))),(_xlfn.WEIBULL.DIST(BJ$2,$M57,$L57,FALSE)*$U57*((1+Inputs!$D$7)^BJ$2))),IF($N57=Lists!$K$3,IF($L57&lt;1,((($T57*(1-$F57)+$S57*(1-$G57))/$L57)*((1+Inputs!$D$7)^BJ$2)),((INT(BJ$2/$L57)-INT((BJ$2-1)/$L57))*($T57*(1-$F57)+$S57*(1-$G57))*((1+Inputs!$D$7)^BJ$2))),((_xlfn.WEIBULL.DIST(BJ$2,$M57,$L57,FALSE)*($T57*(1-$F57)+$S57*(1-$G57))*((1+Inputs!$D$7)^BJ$2))))))</f>
        <v>0</v>
      </c>
      <c r="BK57" s="88">
        <f>$E57*IF(BK$2&gt;Inputs!$D$5,0,IF(BK$2&gt;VLOOKUP($H57,Lists!$P$3:$Q$7,2),IF($N57=Lists!$K$3,IF($L57&lt;1,(($U57/$L57)*((1+Inputs!$D$7)^BK$2)),((INT(BK$2/$L57)-INT((BK$2-1)/$L57))*$U57*((1+Inputs!$D$7)^BK$2))),(_xlfn.WEIBULL.DIST(BK$2,$M57,$L57,FALSE)*$U57*((1+Inputs!$D$7)^BK$2))),IF($N57=Lists!$K$3,IF($L57&lt;1,((($T57*(1-$F57)+$S57*(1-$G57))/$L57)*((1+Inputs!$D$7)^BK$2)),((INT(BK$2/$L57)-INT((BK$2-1)/$L57))*($T57*(1-$F57)+$S57*(1-$G57))*((1+Inputs!$D$7)^BK$2))),((_xlfn.WEIBULL.DIST(BK$2,$M57,$L57,FALSE)*($T57*(1-$F57)+$S57*(1-$G57))*((1+Inputs!$D$7)^BK$2))))))</f>
        <v>0</v>
      </c>
      <c r="BL57" s="88">
        <f>$E57*IF(BL$2&gt;Inputs!$D$5,0,IF(BL$2&gt;VLOOKUP($H57,Lists!$P$3:$Q$7,2),IF($N57=Lists!$K$3,IF($L57&lt;1,(($U57/$L57)*((1+Inputs!$D$7)^BL$2)),((INT(BL$2/$L57)-INT((BL$2-1)/$L57))*$U57*((1+Inputs!$D$7)^BL$2))),(_xlfn.WEIBULL.DIST(BL$2,$M57,$L57,FALSE)*$U57*((1+Inputs!$D$7)^BL$2))),IF($N57=Lists!$K$3,IF($L57&lt;1,((($T57*(1-$F57)+$S57*(1-$G57))/$L57)*((1+Inputs!$D$7)^BL$2)),((INT(BL$2/$L57)-INT((BL$2-1)/$L57))*($T57*(1-$F57)+$S57*(1-$G57))*((1+Inputs!$D$7)^BL$2))),((_xlfn.WEIBULL.DIST(BL$2,$M57,$L57,FALSE)*($T57*(1-$F57)+$S57*(1-$G57))*((1+Inputs!$D$7)^BL$2))))))</f>
        <v>0</v>
      </c>
      <c r="BM57" s="88">
        <f>$E57*IF(BM$2&gt;Inputs!$D$5,0,IF(BM$2&gt;VLOOKUP($H57,Lists!$P$3:$Q$7,2),IF($N57=Lists!$K$3,IF($L57&lt;1,(($U57/$L57)*((1+Inputs!$D$7)^BM$2)),((INT(BM$2/$L57)-INT((BM$2-1)/$L57))*$U57*((1+Inputs!$D$7)^BM$2))),(_xlfn.WEIBULL.DIST(BM$2,$M57,$L57,FALSE)*$U57*((1+Inputs!$D$7)^BM$2))),IF($N57=Lists!$K$3,IF($L57&lt;1,((($T57*(1-$F57)+$S57*(1-$G57))/$L57)*((1+Inputs!$D$7)^BM$2)),((INT(BM$2/$L57)-INT((BM$2-1)/$L57))*($T57*(1-$F57)+$S57*(1-$G57))*((1+Inputs!$D$7)^BM$2))),((_xlfn.WEIBULL.DIST(BM$2,$M57,$L57,FALSE)*($T57*(1-$F57)+$S57*(1-$G57))*((1+Inputs!$D$7)^BM$2))))))</f>
        <v>0</v>
      </c>
      <c r="BN57" s="88">
        <f>$E57*IF(BN$2&gt;Inputs!$D$5,0,IF(BN$2&gt;VLOOKUP($H57,Lists!$P$3:$Q$7,2),IF($N57=Lists!$K$3,IF($L57&lt;1,(($U57/$L57)*((1+Inputs!$D$7)^BN$2)),((INT(BN$2/$L57)-INT((BN$2-1)/$L57))*$U57*((1+Inputs!$D$7)^BN$2))),(_xlfn.WEIBULL.DIST(BN$2,$M57,$L57,FALSE)*$U57*((1+Inputs!$D$7)^BN$2))),IF($N57=Lists!$K$3,IF($L57&lt;1,((($T57*(1-$F57)+$S57*(1-$G57))/$L57)*((1+Inputs!$D$7)^BN$2)),((INT(BN$2/$L57)-INT((BN$2-1)/$L57))*($T57*(1-$F57)+$S57*(1-$G57))*((1+Inputs!$D$7)^BN$2))),((_xlfn.WEIBULL.DIST(BN$2,$M57,$L57,FALSE)*($T57*(1-$F57)+$S57*(1-$G57))*((1+Inputs!$D$7)^BN$2))))))</f>
        <v>0</v>
      </c>
      <c r="BO57" s="64">
        <f>NPV(Inputs!$D$6,BQ57:DD57)</f>
        <v>0</v>
      </c>
      <c r="BP57" s="67">
        <f t="shared" si="13"/>
        <v>0</v>
      </c>
      <c r="BQ57" s="88">
        <f>MAX(AA57,($E57*IF(BQ$2&gt;Inputs!$D$5,0,IF(BQ$2&gt;VLOOKUP($H57,Lists!$P$3:$Q$7,2),IF($N57=Lists!$K$3,IF($L57&lt;1,(($U57/$L57)*((1+Inputs!$D$7)^BQ$2)),((INT(BQ$2/$L57)-INT((BQ$2-1)/$L57))*$U57*((1+Inputs!$D$7)^BQ$2))),(Inputs!$D$8^((1-_xlfn.WEIBULL.DIST(BQ$2,$M57,$L57,FALSE))/_xlfn.WEIBULL.DIST(BQ$2,$M57,$L57,FALSE))*$U57*((1+Inputs!$D$7)^BQ$2))),IF($N57=Lists!$K$3,IF($L57&lt;1,((($T57*(1-$F57)+$S57*(1-$G57))/$L57)*((1+Inputs!$D$7)^BQ$2)),((INT(BQ$2/$L57)-INT((BQ$2-1)/$L57))*($T57*(1-$F57)+$S57*(1-$G57))*((1+Inputs!$D$7)^BQ$2))),((Inputs!$D$8^((1-_xlfn.WEIBULL.DIST(BQ$2,$M57,$L57,FALSE))/_xlfn.WEIBULL.DIST(BQ$2,$M57,$L57,FALSE))*($T57*(1-$F57)+$S57*(1-$G57))*((1+Inputs!$D$7)^BQ$2))))))))</f>
        <v>0</v>
      </c>
      <c r="BR57" s="88">
        <f>MAX(AB57,($E57*IF(BR$2&gt;Inputs!$D$5,0,IF(BR$2&gt;VLOOKUP($H57,Lists!$P$3:$Q$7,2),IF($N57=Lists!$K$3,IF($L57&lt;1,(($U57/$L57)*((1+Inputs!$D$7)^BR$2)),((INT(BR$2/$L57)-INT((BR$2-1)/$L57))*$U57*((1+Inputs!$D$7)^BR$2))),(Inputs!$D$8^((1-_xlfn.WEIBULL.DIST(BR$2,$M57,$L57,FALSE))/_xlfn.WEIBULL.DIST(BR$2,$M57,$L57,FALSE))*$U57*((1+Inputs!$D$7)^BR$2))),IF($N57=Lists!$K$3,IF($L57&lt;1,((($T57*(1-$F57)+$S57*(1-$G57))/$L57)*((1+Inputs!$D$7)^BR$2)),((INT(BR$2/$L57)-INT((BR$2-1)/$L57))*($T57*(1-$F57)+$S57*(1-$G57))*((1+Inputs!$D$7)^BR$2))),((Inputs!$D$8^((1-_xlfn.WEIBULL.DIST(BR$2,$M57,$L57,FALSE))/_xlfn.WEIBULL.DIST(BR$2,$M57,$L57,FALSE))*($T57*(1-$F57)+$S57*(1-$G57))*((1+Inputs!$D$7)^BR$2))))))))</f>
        <v>0</v>
      </c>
      <c r="BS57" s="88">
        <f>MAX(AC57,($E57*IF(BS$2&gt;Inputs!$D$5,0,IF(BS$2&gt;VLOOKUP($H57,Lists!$P$3:$Q$7,2),IF($N57=Lists!$K$3,IF($L57&lt;1,(($U57/$L57)*((1+Inputs!$D$7)^BS$2)),((INT(BS$2/$L57)-INT((BS$2-1)/$L57))*$U57*((1+Inputs!$D$7)^BS$2))),(Inputs!$D$8^((1-_xlfn.WEIBULL.DIST(BS$2,$M57,$L57,FALSE))/_xlfn.WEIBULL.DIST(BS$2,$M57,$L57,FALSE))*$U57*((1+Inputs!$D$7)^BS$2))),IF($N57=Lists!$K$3,IF($L57&lt;1,((($T57*(1-$F57)+$S57*(1-$G57))/$L57)*((1+Inputs!$D$7)^BS$2)),((INT(BS$2/$L57)-INT((BS$2-1)/$L57))*($T57*(1-$F57)+$S57*(1-$G57))*((1+Inputs!$D$7)^BS$2))),((Inputs!$D$8^((1-_xlfn.WEIBULL.DIST(BS$2,$M57,$L57,FALSE))/_xlfn.WEIBULL.DIST(BS$2,$M57,$L57,FALSE))*($T57*(1-$F57)+$S57*(1-$G57))*((1+Inputs!$D$7)^BS$2))))))))</f>
        <v>0</v>
      </c>
      <c r="BT57" s="88">
        <f>MAX(AD57,($E57*IF(BT$2&gt;Inputs!$D$5,0,IF(BT$2&gt;VLOOKUP($H57,Lists!$P$3:$Q$7,2),IF($N57=Lists!$K$3,IF($L57&lt;1,(($U57/$L57)*((1+Inputs!$D$7)^BT$2)),((INT(BT$2/$L57)-INT((BT$2-1)/$L57))*$U57*((1+Inputs!$D$7)^BT$2))),(Inputs!$D$8^((1-_xlfn.WEIBULL.DIST(BT$2,$M57,$L57,FALSE))/_xlfn.WEIBULL.DIST(BT$2,$M57,$L57,FALSE))*$U57*((1+Inputs!$D$7)^BT$2))),IF($N57=Lists!$K$3,IF($L57&lt;1,((($T57*(1-$F57)+$S57*(1-$G57))/$L57)*((1+Inputs!$D$7)^BT$2)),((INT(BT$2/$L57)-INT((BT$2-1)/$L57))*($T57*(1-$F57)+$S57*(1-$G57))*((1+Inputs!$D$7)^BT$2))),((Inputs!$D$8^((1-_xlfn.WEIBULL.DIST(BT$2,$M57,$L57,FALSE))/_xlfn.WEIBULL.DIST(BT$2,$M57,$L57,FALSE))*($T57*(1-$F57)+$S57*(1-$G57))*((1+Inputs!$D$7)^BT$2))))))))</f>
        <v>0</v>
      </c>
      <c r="BU57" s="88">
        <f>MAX(AE57,($E57*IF(BU$2&gt;Inputs!$D$5,0,IF(BU$2&gt;VLOOKUP($H57,Lists!$P$3:$Q$7,2),IF($N57=Lists!$K$3,IF($L57&lt;1,(($U57/$L57)*((1+Inputs!$D$7)^BU$2)),((INT(BU$2/$L57)-INT((BU$2-1)/$L57))*$U57*((1+Inputs!$D$7)^BU$2))),(Inputs!$D$8^((1-_xlfn.WEIBULL.DIST(BU$2,$M57,$L57,FALSE))/_xlfn.WEIBULL.DIST(BU$2,$M57,$L57,FALSE))*$U57*((1+Inputs!$D$7)^BU$2))),IF($N57=Lists!$K$3,IF($L57&lt;1,((($T57*(1-$F57)+$S57*(1-$G57))/$L57)*((1+Inputs!$D$7)^BU$2)),((INT(BU$2/$L57)-INT((BU$2-1)/$L57))*($T57*(1-$F57)+$S57*(1-$G57))*((1+Inputs!$D$7)^BU$2))),((Inputs!$D$8^((1-_xlfn.WEIBULL.DIST(BU$2,$M57,$L57,FALSE))/_xlfn.WEIBULL.DIST(BU$2,$M57,$L57,FALSE))*($T57*(1-$F57)+$S57*(1-$G57))*((1+Inputs!$D$7)^BU$2))))))))</f>
        <v>0</v>
      </c>
      <c r="BV57" s="88">
        <f>MAX(AF57,($E57*IF(BV$2&gt;Inputs!$D$5,0,IF(BV$2&gt;VLOOKUP($H57,Lists!$P$3:$Q$7,2),IF($N57=Lists!$K$3,IF($L57&lt;1,(($U57/$L57)*((1+Inputs!$D$7)^BV$2)),((INT(BV$2/$L57)-INT((BV$2-1)/$L57))*$U57*((1+Inputs!$D$7)^BV$2))),(Inputs!$D$8^((1-_xlfn.WEIBULL.DIST(BV$2,$M57,$L57,FALSE))/_xlfn.WEIBULL.DIST(BV$2,$M57,$L57,FALSE))*$U57*((1+Inputs!$D$7)^BV$2))),IF($N57=Lists!$K$3,IF($L57&lt;1,((($T57*(1-$F57)+$S57*(1-$G57))/$L57)*((1+Inputs!$D$7)^BV$2)),((INT(BV$2/$L57)-INT((BV$2-1)/$L57))*($T57*(1-$F57)+$S57*(1-$G57))*((1+Inputs!$D$7)^BV$2))),((Inputs!$D$8^((1-_xlfn.WEIBULL.DIST(BV$2,$M57,$L57,FALSE))/_xlfn.WEIBULL.DIST(BV$2,$M57,$L57,FALSE))*($T57*(1-$F57)+$S57*(1-$G57))*((1+Inputs!$D$7)^BV$2))))))))</f>
        <v>0</v>
      </c>
      <c r="BW57" s="88">
        <f>MAX(AG57,($E57*IF(BW$2&gt;Inputs!$D$5,0,IF(BW$2&gt;VLOOKUP($H57,Lists!$P$3:$Q$7,2),IF($N57=Lists!$K$3,IF($L57&lt;1,(($U57/$L57)*((1+Inputs!$D$7)^BW$2)),((INT(BW$2/$L57)-INT((BW$2-1)/$L57))*$U57*((1+Inputs!$D$7)^BW$2))),(Inputs!$D$8^((1-_xlfn.WEIBULL.DIST(BW$2,$M57,$L57,FALSE))/_xlfn.WEIBULL.DIST(BW$2,$M57,$L57,FALSE))*$U57*((1+Inputs!$D$7)^BW$2))),IF($N57=Lists!$K$3,IF($L57&lt;1,((($T57*(1-$F57)+$S57*(1-$G57))/$L57)*((1+Inputs!$D$7)^BW$2)),((INT(BW$2/$L57)-INT((BW$2-1)/$L57))*($T57*(1-$F57)+$S57*(1-$G57))*((1+Inputs!$D$7)^BW$2))),((Inputs!$D$8^((1-_xlfn.WEIBULL.DIST(BW$2,$M57,$L57,FALSE))/_xlfn.WEIBULL.DIST(BW$2,$M57,$L57,FALSE))*($T57*(1-$F57)+$S57*(1-$G57))*((1+Inputs!$D$7)^BW$2))))))))</f>
        <v>0</v>
      </c>
      <c r="BX57" s="88">
        <f>MAX(AH57,($E57*IF(BX$2&gt;Inputs!$D$5,0,IF(BX$2&gt;VLOOKUP($H57,Lists!$P$3:$Q$7,2),IF($N57=Lists!$K$3,IF($L57&lt;1,(($U57/$L57)*((1+Inputs!$D$7)^BX$2)),((INT(BX$2/$L57)-INT((BX$2-1)/$L57))*$U57*((1+Inputs!$D$7)^BX$2))),(Inputs!$D$8^((1-_xlfn.WEIBULL.DIST(BX$2,$M57,$L57,FALSE))/_xlfn.WEIBULL.DIST(BX$2,$M57,$L57,FALSE))*$U57*((1+Inputs!$D$7)^BX$2))),IF($N57=Lists!$K$3,IF($L57&lt;1,((($T57*(1-$F57)+$S57*(1-$G57))/$L57)*((1+Inputs!$D$7)^BX$2)),((INT(BX$2/$L57)-INT((BX$2-1)/$L57))*($T57*(1-$F57)+$S57*(1-$G57))*((1+Inputs!$D$7)^BX$2))),((Inputs!$D$8^((1-_xlfn.WEIBULL.DIST(BX$2,$M57,$L57,FALSE))/_xlfn.WEIBULL.DIST(BX$2,$M57,$L57,FALSE))*($T57*(1-$F57)+$S57*(1-$G57))*((1+Inputs!$D$7)^BX$2))))))))</f>
        <v>0</v>
      </c>
      <c r="BY57" s="88">
        <f>MAX(AI57,($E57*IF(BY$2&gt;Inputs!$D$5,0,IF(BY$2&gt;VLOOKUP($H57,Lists!$P$3:$Q$7,2),IF($N57=Lists!$K$3,IF($L57&lt;1,(($U57/$L57)*((1+Inputs!$D$7)^BY$2)),((INT(BY$2/$L57)-INT((BY$2-1)/$L57))*$U57*((1+Inputs!$D$7)^BY$2))),(Inputs!$D$8^((1-_xlfn.WEIBULL.DIST(BY$2,$M57,$L57,FALSE))/_xlfn.WEIBULL.DIST(BY$2,$M57,$L57,FALSE))*$U57*((1+Inputs!$D$7)^BY$2))),IF($N57=Lists!$K$3,IF($L57&lt;1,((($T57*(1-$F57)+$S57*(1-$G57))/$L57)*((1+Inputs!$D$7)^BY$2)),((INT(BY$2/$L57)-INT((BY$2-1)/$L57))*($T57*(1-$F57)+$S57*(1-$G57))*((1+Inputs!$D$7)^BY$2))),((Inputs!$D$8^((1-_xlfn.WEIBULL.DIST(BY$2,$M57,$L57,FALSE))/_xlfn.WEIBULL.DIST(BY$2,$M57,$L57,FALSE))*($T57*(1-$F57)+$S57*(1-$G57))*((1+Inputs!$D$7)^BY$2))))))))</f>
        <v>0</v>
      </c>
      <c r="BZ57" s="88">
        <f>MAX(AJ57,($E57*IF(BZ$2&gt;Inputs!$D$5,0,IF(BZ$2&gt;VLOOKUP($H57,Lists!$P$3:$Q$7,2),IF($N57=Lists!$K$3,IF($L57&lt;1,(($U57/$L57)*((1+Inputs!$D$7)^BZ$2)),((INT(BZ$2/$L57)-INT((BZ$2-1)/$L57))*$U57*((1+Inputs!$D$7)^BZ$2))),(Inputs!$D$8^((1-_xlfn.WEIBULL.DIST(BZ$2,$M57,$L57,FALSE))/_xlfn.WEIBULL.DIST(BZ$2,$M57,$L57,FALSE))*$U57*((1+Inputs!$D$7)^BZ$2))),IF($N57=Lists!$K$3,IF($L57&lt;1,((($T57*(1-$F57)+$S57*(1-$G57))/$L57)*((1+Inputs!$D$7)^BZ$2)),((INT(BZ$2/$L57)-INT((BZ$2-1)/$L57))*($T57*(1-$F57)+$S57*(1-$G57))*((1+Inputs!$D$7)^BZ$2))),((Inputs!$D$8^((1-_xlfn.WEIBULL.DIST(BZ$2,$M57,$L57,FALSE))/_xlfn.WEIBULL.DIST(BZ$2,$M57,$L57,FALSE))*($T57*(1-$F57)+$S57*(1-$G57))*((1+Inputs!$D$7)^BZ$2))))))))</f>
        <v>0</v>
      </c>
      <c r="CA57" s="88">
        <f>MAX(AK57,($E57*IF(CA$2&gt;Inputs!$D$5,0,IF(CA$2&gt;VLOOKUP($H57,Lists!$P$3:$Q$7,2),IF($N57=Lists!$K$3,IF($L57&lt;1,(($U57/$L57)*((1+Inputs!$D$7)^CA$2)),((INT(CA$2/$L57)-INT((CA$2-1)/$L57))*$U57*((1+Inputs!$D$7)^CA$2))),(Inputs!$D$8^((1-_xlfn.WEIBULL.DIST(CA$2,$M57,$L57,FALSE))/_xlfn.WEIBULL.DIST(CA$2,$M57,$L57,FALSE))*$U57*((1+Inputs!$D$7)^CA$2))),IF($N57=Lists!$K$3,IF($L57&lt;1,((($T57*(1-$F57)+$S57*(1-$G57))/$L57)*((1+Inputs!$D$7)^CA$2)),((INT(CA$2/$L57)-INT((CA$2-1)/$L57))*($T57*(1-$F57)+$S57*(1-$G57))*((1+Inputs!$D$7)^CA$2))),((Inputs!$D$8^((1-_xlfn.WEIBULL.DIST(CA$2,$M57,$L57,FALSE))/_xlfn.WEIBULL.DIST(CA$2,$M57,$L57,FALSE))*($T57*(1-$F57)+$S57*(1-$G57))*((1+Inputs!$D$7)^CA$2))))))))</f>
        <v>0</v>
      </c>
      <c r="CB57" s="88">
        <f>MAX(AL57,($E57*IF(CB$2&gt;Inputs!$D$5,0,IF(CB$2&gt;VLOOKUP($H57,Lists!$P$3:$Q$7,2),IF($N57=Lists!$K$3,IF($L57&lt;1,(($U57/$L57)*((1+Inputs!$D$7)^CB$2)),((INT(CB$2/$L57)-INT((CB$2-1)/$L57))*$U57*((1+Inputs!$D$7)^CB$2))),(Inputs!$D$8^((1-_xlfn.WEIBULL.DIST(CB$2,$M57,$L57,FALSE))/_xlfn.WEIBULL.DIST(CB$2,$M57,$L57,FALSE))*$U57*((1+Inputs!$D$7)^CB$2))),IF($N57=Lists!$K$3,IF($L57&lt;1,((($T57*(1-$F57)+$S57*(1-$G57))/$L57)*((1+Inputs!$D$7)^CB$2)),((INT(CB$2/$L57)-INT((CB$2-1)/$L57))*($T57*(1-$F57)+$S57*(1-$G57))*((1+Inputs!$D$7)^CB$2))),((Inputs!$D$8^((1-_xlfn.WEIBULL.DIST(CB$2,$M57,$L57,FALSE))/_xlfn.WEIBULL.DIST(CB$2,$M57,$L57,FALSE))*($T57*(1-$F57)+$S57*(1-$G57))*((1+Inputs!$D$7)^CB$2))))))))</f>
        <v>0</v>
      </c>
      <c r="CC57" s="88">
        <f>MAX(AM57,($E57*IF(CC$2&gt;Inputs!$D$5,0,IF(CC$2&gt;VLOOKUP($H57,Lists!$P$3:$Q$7,2),IF($N57=Lists!$K$3,IF($L57&lt;1,(($U57/$L57)*((1+Inputs!$D$7)^CC$2)),((INT(CC$2/$L57)-INT((CC$2-1)/$L57))*$U57*((1+Inputs!$D$7)^CC$2))),(Inputs!$D$8^((1-_xlfn.WEIBULL.DIST(CC$2,$M57,$L57,FALSE))/_xlfn.WEIBULL.DIST(CC$2,$M57,$L57,FALSE))*$U57*((1+Inputs!$D$7)^CC$2))),IF($N57=Lists!$K$3,IF($L57&lt;1,((($T57*(1-$F57)+$S57*(1-$G57))/$L57)*((1+Inputs!$D$7)^CC$2)),((INT(CC$2/$L57)-INT((CC$2-1)/$L57))*($T57*(1-$F57)+$S57*(1-$G57))*((1+Inputs!$D$7)^CC$2))),((Inputs!$D$8^((1-_xlfn.WEIBULL.DIST(CC$2,$M57,$L57,FALSE))/_xlfn.WEIBULL.DIST(CC$2,$M57,$L57,FALSE))*($T57*(1-$F57)+$S57*(1-$G57))*((1+Inputs!$D$7)^CC$2))))))))</f>
        <v>0</v>
      </c>
      <c r="CD57" s="88">
        <f>MAX(AN57,($E57*IF(CD$2&gt;Inputs!$D$5,0,IF(CD$2&gt;VLOOKUP($H57,Lists!$P$3:$Q$7,2),IF($N57=Lists!$K$3,IF($L57&lt;1,(($U57/$L57)*((1+Inputs!$D$7)^CD$2)),((INT(CD$2/$L57)-INT((CD$2-1)/$L57))*$U57*((1+Inputs!$D$7)^CD$2))),(Inputs!$D$8^((1-_xlfn.WEIBULL.DIST(CD$2,$M57,$L57,FALSE))/_xlfn.WEIBULL.DIST(CD$2,$M57,$L57,FALSE))*$U57*((1+Inputs!$D$7)^CD$2))),IF($N57=Lists!$K$3,IF($L57&lt;1,((($T57*(1-$F57)+$S57*(1-$G57))/$L57)*((1+Inputs!$D$7)^CD$2)),((INT(CD$2/$L57)-INT((CD$2-1)/$L57))*($T57*(1-$F57)+$S57*(1-$G57))*((1+Inputs!$D$7)^CD$2))),((Inputs!$D$8^((1-_xlfn.WEIBULL.DIST(CD$2,$M57,$L57,FALSE))/_xlfn.WEIBULL.DIST(CD$2,$M57,$L57,FALSE))*($T57*(1-$F57)+$S57*(1-$G57))*((1+Inputs!$D$7)^CD$2))))))))</f>
        <v>0</v>
      </c>
      <c r="CE57" s="88">
        <f>MAX(AO57,($E57*IF(CE$2&gt;Inputs!$D$5,0,IF(CE$2&gt;VLOOKUP($H57,Lists!$P$3:$Q$7,2),IF($N57=Lists!$K$3,IF($L57&lt;1,(($U57/$L57)*((1+Inputs!$D$7)^CE$2)),((INT(CE$2/$L57)-INT((CE$2-1)/$L57))*$U57*((1+Inputs!$D$7)^CE$2))),(Inputs!$D$8^((1-_xlfn.WEIBULL.DIST(CE$2,$M57,$L57,FALSE))/_xlfn.WEIBULL.DIST(CE$2,$M57,$L57,FALSE))*$U57*((1+Inputs!$D$7)^CE$2))),IF($N57=Lists!$K$3,IF($L57&lt;1,((($T57*(1-$F57)+$S57*(1-$G57))/$L57)*((1+Inputs!$D$7)^CE$2)),((INT(CE$2/$L57)-INT((CE$2-1)/$L57))*($T57*(1-$F57)+$S57*(1-$G57))*((1+Inputs!$D$7)^CE$2))),((Inputs!$D$8^((1-_xlfn.WEIBULL.DIST(CE$2,$M57,$L57,FALSE))/_xlfn.WEIBULL.DIST(CE$2,$M57,$L57,FALSE))*($T57*(1-$F57)+$S57*(1-$G57))*((1+Inputs!$D$7)^CE$2))))))))</f>
        <v>0</v>
      </c>
      <c r="CF57" s="88">
        <f>MAX(AP57,($E57*IF(CF$2&gt;Inputs!$D$5,0,IF(CF$2&gt;VLOOKUP($H57,Lists!$P$3:$Q$7,2),IF($N57=Lists!$K$3,IF($L57&lt;1,(($U57/$L57)*((1+Inputs!$D$7)^CF$2)),((INT(CF$2/$L57)-INT((CF$2-1)/$L57))*$U57*((1+Inputs!$D$7)^CF$2))),(Inputs!$D$8^((1-_xlfn.WEIBULL.DIST(CF$2,$M57,$L57,FALSE))/_xlfn.WEIBULL.DIST(CF$2,$M57,$L57,FALSE))*$U57*((1+Inputs!$D$7)^CF$2))),IF($N57=Lists!$K$3,IF($L57&lt;1,((($T57*(1-$F57)+$S57*(1-$G57))/$L57)*((1+Inputs!$D$7)^CF$2)),((INT(CF$2/$L57)-INT((CF$2-1)/$L57))*($T57*(1-$F57)+$S57*(1-$G57))*((1+Inputs!$D$7)^CF$2))),((Inputs!$D$8^((1-_xlfn.WEIBULL.DIST(CF$2,$M57,$L57,FALSE))/_xlfn.WEIBULL.DIST(CF$2,$M57,$L57,FALSE))*($T57*(1-$F57)+$S57*(1-$G57))*((1+Inputs!$D$7)^CF$2))))))))</f>
        <v>0</v>
      </c>
      <c r="CG57" s="88">
        <f>MAX(AQ57,($E57*IF(CG$2&gt;Inputs!$D$5,0,IF(CG$2&gt;VLOOKUP($H57,Lists!$P$3:$Q$7,2),IF($N57=Lists!$K$3,IF($L57&lt;1,(($U57/$L57)*((1+Inputs!$D$7)^CG$2)),((INT(CG$2/$L57)-INT((CG$2-1)/$L57))*$U57*((1+Inputs!$D$7)^CG$2))),(Inputs!$D$8^((1-_xlfn.WEIBULL.DIST(CG$2,$M57,$L57,FALSE))/_xlfn.WEIBULL.DIST(CG$2,$M57,$L57,FALSE))*$U57*((1+Inputs!$D$7)^CG$2))),IF($N57=Lists!$K$3,IF($L57&lt;1,((($T57*(1-$F57)+$S57*(1-$G57))/$L57)*((1+Inputs!$D$7)^CG$2)),((INT(CG$2/$L57)-INT((CG$2-1)/$L57))*($T57*(1-$F57)+$S57*(1-$G57))*((1+Inputs!$D$7)^CG$2))),((Inputs!$D$8^((1-_xlfn.WEIBULL.DIST(CG$2,$M57,$L57,FALSE))/_xlfn.WEIBULL.DIST(CG$2,$M57,$L57,FALSE))*($T57*(1-$F57)+$S57*(1-$G57))*((1+Inputs!$D$7)^CG$2))))))))</f>
        <v>0</v>
      </c>
      <c r="CH57" s="88">
        <f>MAX(AR57,($E57*IF(CH$2&gt;Inputs!$D$5,0,IF(CH$2&gt;VLOOKUP($H57,Lists!$P$3:$Q$7,2),IF($N57=Lists!$K$3,IF($L57&lt;1,(($U57/$L57)*((1+Inputs!$D$7)^CH$2)),((INT(CH$2/$L57)-INT((CH$2-1)/$L57))*$U57*((1+Inputs!$D$7)^CH$2))),(Inputs!$D$8^((1-_xlfn.WEIBULL.DIST(CH$2,$M57,$L57,FALSE))/_xlfn.WEIBULL.DIST(CH$2,$M57,$L57,FALSE))*$U57*((1+Inputs!$D$7)^CH$2))),IF($N57=Lists!$K$3,IF($L57&lt;1,((($T57*(1-$F57)+$S57*(1-$G57))/$L57)*((1+Inputs!$D$7)^CH$2)),((INT(CH$2/$L57)-INT((CH$2-1)/$L57))*($T57*(1-$F57)+$S57*(1-$G57))*((1+Inputs!$D$7)^CH$2))),((Inputs!$D$8^((1-_xlfn.WEIBULL.DIST(CH$2,$M57,$L57,FALSE))/_xlfn.WEIBULL.DIST(CH$2,$M57,$L57,FALSE))*($T57*(1-$F57)+$S57*(1-$G57))*((1+Inputs!$D$7)^CH$2))))))))</f>
        <v>0</v>
      </c>
      <c r="CI57" s="88">
        <f>MAX(AS57,($E57*IF(CI$2&gt;Inputs!$D$5,0,IF(CI$2&gt;VLOOKUP($H57,Lists!$P$3:$Q$7,2),IF($N57=Lists!$K$3,IF($L57&lt;1,(($U57/$L57)*((1+Inputs!$D$7)^CI$2)),((INT(CI$2/$L57)-INT((CI$2-1)/$L57))*$U57*((1+Inputs!$D$7)^CI$2))),(Inputs!$D$8^((1-_xlfn.WEIBULL.DIST(CI$2,$M57,$L57,FALSE))/_xlfn.WEIBULL.DIST(CI$2,$M57,$L57,FALSE))*$U57*((1+Inputs!$D$7)^CI$2))),IF($N57=Lists!$K$3,IF($L57&lt;1,((($T57*(1-$F57)+$S57*(1-$G57))/$L57)*((1+Inputs!$D$7)^CI$2)),((INT(CI$2/$L57)-INT((CI$2-1)/$L57))*($T57*(1-$F57)+$S57*(1-$G57))*((1+Inputs!$D$7)^CI$2))),((Inputs!$D$8^((1-_xlfn.WEIBULL.DIST(CI$2,$M57,$L57,FALSE))/_xlfn.WEIBULL.DIST(CI$2,$M57,$L57,FALSE))*($T57*(1-$F57)+$S57*(1-$G57))*((1+Inputs!$D$7)^CI$2))))))))</f>
        <v>0</v>
      </c>
      <c r="CJ57" s="88">
        <f>MAX(AT57,($E57*IF(CJ$2&gt;Inputs!$D$5,0,IF(CJ$2&gt;VLOOKUP($H57,Lists!$P$3:$Q$7,2),IF($N57=Lists!$K$3,IF($L57&lt;1,(($U57/$L57)*((1+Inputs!$D$7)^CJ$2)),((INT(CJ$2/$L57)-INT((CJ$2-1)/$L57))*$U57*((1+Inputs!$D$7)^CJ$2))),(Inputs!$D$8^((1-_xlfn.WEIBULL.DIST(CJ$2,$M57,$L57,FALSE))/_xlfn.WEIBULL.DIST(CJ$2,$M57,$L57,FALSE))*$U57*((1+Inputs!$D$7)^CJ$2))),IF($N57=Lists!$K$3,IF($L57&lt;1,((($T57*(1-$F57)+$S57*(1-$G57))/$L57)*((1+Inputs!$D$7)^CJ$2)),((INT(CJ$2/$L57)-INT((CJ$2-1)/$L57))*($T57*(1-$F57)+$S57*(1-$G57))*((1+Inputs!$D$7)^CJ$2))),((Inputs!$D$8^((1-_xlfn.WEIBULL.DIST(CJ$2,$M57,$L57,FALSE))/_xlfn.WEIBULL.DIST(CJ$2,$M57,$L57,FALSE))*($T57*(1-$F57)+$S57*(1-$G57))*((1+Inputs!$D$7)^CJ$2))))))))</f>
        <v>0</v>
      </c>
      <c r="CK57" s="88">
        <f>MAX(AU57,($E57*IF(CK$2&gt;Inputs!$D$5,0,IF(CK$2&gt;VLOOKUP($H57,Lists!$P$3:$Q$7,2),IF($N57=Lists!$K$3,IF($L57&lt;1,(($U57/$L57)*((1+Inputs!$D$7)^CK$2)),((INT(CK$2/$L57)-INT((CK$2-1)/$L57))*$U57*((1+Inputs!$D$7)^CK$2))),(Inputs!$D$8^((1-_xlfn.WEIBULL.DIST(CK$2,$M57,$L57,FALSE))/_xlfn.WEIBULL.DIST(CK$2,$M57,$L57,FALSE))*$U57*((1+Inputs!$D$7)^CK$2))),IF($N57=Lists!$K$3,IF($L57&lt;1,((($T57*(1-$F57)+$S57*(1-$G57))/$L57)*((1+Inputs!$D$7)^CK$2)),((INT(CK$2/$L57)-INT((CK$2-1)/$L57))*($T57*(1-$F57)+$S57*(1-$G57))*((1+Inputs!$D$7)^CK$2))),((Inputs!$D$8^((1-_xlfn.WEIBULL.DIST(CK$2,$M57,$L57,FALSE))/_xlfn.WEIBULL.DIST(CK$2,$M57,$L57,FALSE))*($T57*(1-$F57)+$S57*(1-$G57))*((1+Inputs!$D$7)^CK$2))))))))</f>
        <v>0</v>
      </c>
      <c r="CL57" s="88">
        <f>MAX(AV57,($E57*IF(CL$2&gt;Inputs!$D$5,0,IF(CL$2&gt;VLOOKUP($H57,Lists!$P$3:$Q$7,2),IF($N57=Lists!$K$3,IF($L57&lt;1,(($U57/$L57)*((1+Inputs!$D$7)^CL$2)),((INT(CL$2/$L57)-INT((CL$2-1)/$L57))*$U57*((1+Inputs!$D$7)^CL$2))),(Inputs!$D$8^((1-_xlfn.WEIBULL.DIST(CL$2,$M57,$L57,FALSE))/_xlfn.WEIBULL.DIST(CL$2,$M57,$L57,FALSE))*$U57*((1+Inputs!$D$7)^CL$2))),IF($N57=Lists!$K$3,IF($L57&lt;1,((($T57*(1-$F57)+$S57*(1-$G57))/$L57)*((1+Inputs!$D$7)^CL$2)),((INT(CL$2/$L57)-INT((CL$2-1)/$L57))*($T57*(1-$F57)+$S57*(1-$G57))*((1+Inputs!$D$7)^CL$2))),((Inputs!$D$8^((1-_xlfn.WEIBULL.DIST(CL$2,$M57,$L57,FALSE))/_xlfn.WEIBULL.DIST(CL$2,$M57,$L57,FALSE))*($T57*(1-$F57)+$S57*(1-$G57))*((1+Inputs!$D$7)^CL$2))))))))</f>
        <v>0</v>
      </c>
      <c r="CM57" s="88">
        <f>MAX(AW57,($E57*IF(CM$2&gt;Inputs!$D$5,0,IF(CM$2&gt;VLOOKUP($H57,Lists!$P$3:$Q$7,2),IF($N57=Lists!$K$3,IF($L57&lt;1,(($U57/$L57)*((1+Inputs!$D$7)^CM$2)),((INT(CM$2/$L57)-INT((CM$2-1)/$L57))*$U57*((1+Inputs!$D$7)^CM$2))),(Inputs!$D$8^((1-_xlfn.WEIBULL.DIST(CM$2,$M57,$L57,FALSE))/_xlfn.WEIBULL.DIST(CM$2,$M57,$L57,FALSE))*$U57*((1+Inputs!$D$7)^CM$2))),IF($N57=Lists!$K$3,IF($L57&lt;1,((($T57*(1-$F57)+$S57*(1-$G57))/$L57)*((1+Inputs!$D$7)^CM$2)),((INT(CM$2/$L57)-INT((CM$2-1)/$L57))*($T57*(1-$F57)+$S57*(1-$G57))*((1+Inputs!$D$7)^CM$2))),((Inputs!$D$8^((1-_xlfn.WEIBULL.DIST(CM$2,$M57,$L57,FALSE))/_xlfn.WEIBULL.DIST(CM$2,$M57,$L57,FALSE))*($T57*(1-$F57)+$S57*(1-$G57))*((1+Inputs!$D$7)^CM$2))))))))</f>
        <v>0</v>
      </c>
      <c r="CN57" s="88">
        <f>MAX(AX57,($E57*IF(CN$2&gt;Inputs!$D$5,0,IF(CN$2&gt;VLOOKUP($H57,Lists!$P$3:$Q$7,2),IF($N57=Lists!$K$3,IF($L57&lt;1,(($U57/$L57)*((1+Inputs!$D$7)^CN$2)),((INT(CN$2/$L57)-INT((CN$2-1)/$L57))*$U57*((1+Inputs!$D$7)^CN$2))),(Inputs!$D$8^((1-_xlfn.WEIBULL.DIST(CN$2,$M57,$L57,FALSE))/_xlfn.WEIBULL.DIST(CN$2,$M57,$L57,FALSE))*$U57*((1+Inputs!$D$7)^CN$2))),IF($N57=Lists!$K$3,IF($L57&lt;1,((($T57*(1-$F57)+$S57*(1-$G57))/$L57)*((1+Inputs!$D$7)^CN$2)),((INT(CN$2/$L57)-INT((CN$2-1)/$L57))*($T57*(1-$F57)+$S57*(1-$G57))*((1+Inputs!$D$7)^CN$2))),((Inputs!$D$8^((1-_xlfn.WEIBULL.DIST(CN$2,$M57,$L57,FALSE))/_xlfn.WEIBULL.DIST(CN$2,$M57,$L57,FALSE))*($T57*(1-$F57)+$S57*(1-$G57))*((1+Inputs!$D$7)^CN$2))))))))</f>
        <v>0</v>
      </c>
      <c r="CO57" s="88">
        <f>MAX(AY57,($E57*IF(CO$2&gt;Inputs!$D$5,0,IF(CO$2&gt;VLOOKUP($H57,Lists!$P$3:$Q$7,2),IF($N57=Lists!$K$3,IF($L57&lt;1,(($U57/$L57)*((1+Inputs!$D$7)^CO$2)),((INT(CO$2/$L57)-INT((CO$2-1)/$L57))*$U57*((1+Inputs!$D$7)^CO$2))),(Inputs!$D$8^((1-_xlfn.WEIBULL.DIST(CO$2,$M57,$L57,FALSE))/_xlfn.WEIBULL.DIST(CO$2,$M57,$L57,FALSE))*$U57*((1+Inputs!$D$7)^CO$2))),IF($N57=Lists!$K$3,IF($L57&lt;1,((($T57*(1-$F57)+$S57*(1-$G57))/$L57)*((1+Inputs!$D$7)^CO$2)),((INT(CO$2/$L57)-INT((CO$2-1)/$L57))*($T57*(1-$F57)+$S57*(1-$G57))*((1+Inputs!$D$7)^CO$2))),((Inputs!$D$8^((1-_xlfn.WEIBULL.DIST(CO$2,$M57,$L57,FALSE))/_xlfn.WEIBULL.DIST(CO$2,$M57,$L57,FALSE))*($T57*(1-$F57)+$S57*(1-$G57))*((1+Inputs!$D$7)^CO$2))))))))</f>
        <v>0</v>
      </c>
      <c r="CP57" s="88">
        <f>MAX(AZ57,($E57*IF(CP$2&gt;Inputs!$D$5,0,IF(CP$2&gt;VLOOKUP($H57,Lists!$P$3:$Q$7,2),IF($N57=Lists!$K$3,IF($L57&lt;1,(($U57/$L57)*((1+Inputs!$D$7)^CP$2)),((INT(CP$2/$L57)-INT((CP$2-1)/$L57))*$U57*((1+Inputs!$D$7)^CP$2))),(Inputs!$D$8^((1-_xlfn.WEIBULL.DIST(CP$2,$M57,$L57,FALSE))/_xlfn.WEIBULL.DIST(CP$2,$M57,$L57,FALSE))*$U57*((1+Inputs!$D$7)^CP$2))),IF($N57=Lists!$K$3,IF($L57&lt;1,((($T57*(1-$F57)+$S57*(1-$G57))/$L57)*((1+Inputs!$D$7)^CP$2)),((INT(CP$2/$L57)-INT((CP$2-1)/$L57))*($T57*(1-$F57)+$S57*(1-$G57))*((1+Inputs!$D$7)^CP$2))),((Inputs!$D$8^((1-_xlfn.WEIBULL.DIST(CP$2,$M57,$L57,FALSE))/_xlfn.WEIBULL.DIST(CP$2,$M57,$L57,FALSE))*($T57*(1-$F57)+$S57*(1-$G57))*((1+Inputs!$D$7)^CP$2))))))))</f>
        <v>0</v>
      </c>
      <c r="CQ57" s="88">
        <f>MAX(BA57,($E57*IF(CQ$2&gt;Inputs!$D$5,0,IF(CQ$2&gt;VLOOKUP($H57,Lists!$P$3:$Q$7,2),IF($N57=Lists!$K$3,IF($L57&lt;1,(($U57/$L57)*((1+Inputs!$D$7)^CQ$2)),((INT(CQ$2/$L57)-INT((CQ$2-1)/$L57))*$U57*((1+Inputs!$D$7)^CQ$2))),(Inputs!$D$8^((1-_xlfn.WEIBULL.DIST(CQ$2,$M57,$L57,FALSE))/_xlfn.WEIBULL.DIST(CQ$2,$M57,$L57,FALSE))*$U57*((1+Inputs!$D$7)^CQ$2))),IF($N57=Lists!$K$3,IF($L57&lt;1,((($T57*(1-$F57)+$S57*(1-$G57))/$L57)*((1+Inputs!$D$7)^CQ$2)),((INT(CQ$2/$L57)-INT((CQ$2-1)/$L57))*($T57*(1-$F57)+$S57*(1-$G57))*((1+Inputs!$D$7)^CQ$2))),((Inputs!$D$8^((1-_xlfn.WEIBULL.DIST(CQ$2,$M57,$L57,FALSE))/_xlfn.WEIBULL.DIST(CQ$2,$M57,$L57,FALSE))*($T57*(1-$F57)+$S57*(1-$G57))*((1+Inputs!$D$7)^CQ$2))))))))</f>
        <v>0</v>
      </c>
      <c r="CR57" s="88">
        <f>MAX(BB57,($E57*IF(CR$2&gt;Inputs!$D$5,0,IF(CR$2&gt;VLOOKUP($H57,Lists!$P$3:$Q$7,2),IF($N57=Lists!$K$3,IF($L57&lt;1,(($U57/$L57)*((1+Inputs!$D$7)^CR$2)),((INT(CR$2/$L57)-INT((CR$2-1)/$L57))*$U57*((1+Inputs!$D$7)^CR$2))),(Inputs!$D$8^((1-_xlfn.WEIBULL.DIST(CR$2,$M57,$L57,FALSE))/_xlfn.WEIBULL.DIST(CR$2,$M57,$L57,FALSE))*$U57*((1+Inputs!$D$7)^CR$2))),IF($N57=Lists!$K$3,IF($L57&lt;1,((($T57*(1-$F57)+$S57*(1-$G57))/$L57)*((1+Inputs!$D$7)^CR$2)),((INT(CR$2/$L57)-INT((CR$2-1)/$L57))*($T57*(1-$F57)+$S57*(1-$G57))*((1+Inputs!$D$7)^CR$2))),((Inputs!$D$8^((1-_xlfn.WEIBULL.DIST(CR$2,$M57,$L57,FALSE))/_xlfn.WEIBULL.DIST(CR$2,$M57,$L57,FALSE))*($T57*(1-$F57)+$S57*(1-$G57))*((1+Inputs!$D$7)^CR$2))))))))</f>
        <v>0</v>
      </c>
      <c r="CS57" s="88">
        <f>MAX(BC57,($E57*IF(CS$2&gt;Inputs!$D$5,0,IF(CS$2&gt;VLOOKUP($H57,Lists!$P$3:$Q$7,2),IF($N57=Lists!$K$3,IF($L57&lt;1,(($U57/$L57)*((1+Inputs!$D$7)^CS$2)),((INT(CS$2/$L57)-INT((CS$2-1)/$L57))*$U57*((1+Inputs!$D$7)^CS$2))),(Inputs!$D$8^((1-_xlfn.WEIBULL.DIST(CS$2,$M57,$L57,FALSE))/_xlfn.WEIBULL.DIST(CS$2,$M57,$L57,FALSE))*$U57*((1+Inputs!$D$7)^CS$2))),IF($N57=Lists!$K$3,IF($L57&lt;1,((($T57*(1-$F57)+$S57*(1-$G57))/$L57)*((1+Inputs!$D$7)^CS$2)),((INT(CS$2/$L57)-INT((CS$2-1)/$L57))*($T57*(1-$F57)+$S57*(1-$G57))*((1+Inputs!$D$7)^CS$2))),((Inputs!$D$8^((1-_xlfn.WEIBULL.DIST(CS$2,$M57,$L57,FALSE))/_xlfn.WEIBULL.DIST(CS$2,$M57,$L57,FALSE))*($T57*(1-$F57)+$S57*(1-$G57))*((1+Inputs!$D$7)^CS$2))))))))</f>
        <v>0</v>
      </c>
      <c r="CT57" s="88">
        <f>MAX(BD57,($E57*IF(CT$2&gt;Inputs!$D$5,0,IF(CT$2&gt;VLOOKUP($H57,Lists!$P$3:$Q$7,2),IF($N57=Lists!$K$3,IF($L57&lt;1,(($U57/$L57)*((1+Inputs!$D$7)^CT$2)),((INT(CT$2/$L57)-INT((CT$2-1)/$L57))*$U57*((1+Inputs!$D$7)^CT$2))),(Inputs!$D$8^((1-_xlfn.WEIBULL.DIST(CT$2,$M57,$L57,FALSE))/_xlfn.WEIBULL.DIST(CT$2,$M57,$L57,FALSE))*$U57*((1+Inputs!$D$7)^CT$2))),IF($N57=Lists!$K$3,IF($L57&lt;1,((($T57*(1-$F57)+$S57*(1-$G57))/$L57)*((1+Inputs!$D$7)^CT$2)),((INT(CT$2/$L57)-INT((CT$2-1)/$L57))*($T57*(1-$F57)+$S57*(1-$G57))*((1+Inputs!$D$7)^CT$2))),((Inputs!$D$8^((1-_xlfn.WEIBULL.DIST(CT$2,$M57,$L57,FALSE))/_xlfn.WEIBULL.DIST(CT$2,$M57,$L57,FALSE))*($T57*(1-$F57)+$S57*(1-$G57))*((1+Inputs!$D$7)^CT$2))))))))</f>
        <v>0</v>
      </c>
      <c r="CU57" s="88">
        <f>MAX(BE57,($E57*IF(CU$2&gt;Inputs!$D$5,0,IF(CU$2&gt;VLOOKUP($H57,Lists!$P$3:$Q$7,2),IF($N57=Lists!$K$3,IF($L57&lt;1,(($U57/$L57)*((1+Inputs!$D$7)^CU$2)),((INT(CU$2/$L57)-INT((CU$2-1)/$L57))*$U57*((1+Inputs!$D$7)^CU$2))),(Inputs!$D$8^((1-_xlfn.WEIBULL.DIST(CU$2,$M57,$L57,FALSE))/_xlfn.WEIBULL.DIST(CU$2,$M57,$L57,FALSE))*$U57*((1+Inputs!$D$7)^CU$2))),IF($N57=Lists!$K$3,IF($L57&lt;1,((($T57*(1-$F57)+$S57*(1-$G57))/$L57)*((1+Inputs!$D$7)^CU$2)),((INT(CU$2/$L57)-INT((CU$2-1)/$L57))*($T57*(1-$F57)+$S57*(1-$G57))*((1+Inputs!$D$7)^CU$2))),((Inputs!$D$8^((1-_xlfn.WEIBULL.DIST(CU$2,$M57,$L57,FALSE))/_xlfn.WEIBULL.DIST(CU$2,$M57,$L57,FALSE))*($T57*(1-$F57)+$S57*(1-$G57))*((1+Inputs!$D$7)^CU$2))))))))</f>
        <v>0</v>
      </c>
      <c r="CV57" s="88">
        <f>MAX(BF57,($E57*IF(CV$2&gt;Inputs!$D$5,0,IF(CV$2&gt;VLOOKUP($H57,Lists!$P$3:$Q$7,2),IF($N57=Lists!$K$3,IF($L57&lt;1,(($U57/$L57)*((1+Inputs!$D$7)^CV$2)),((INT(CV$2/$L57)-INT((CV$2-1)/$L57))*$U57*((1+Inputs!$D$7)^CV$2))),(Inputs!$D$8^((1-_xlfn.WEIBULL.DIST(CV$2,$M57,$L57,FALSE))/_xlfn.WEIBULL.DIST(CV$2,$M57,$L57,FALSE))*$U57*((1+Inputs!$D$7)^CV$2))),IF($N57=Lists!$K$3,IF($L57&lt;1,((($T57*(1-$F57)+$S57*(1-$G57))/$L57)*((1+Inputs!$D$7)^CV$2)),((INT(CV$2/$L57)-INT((CV$2-1)/$L57))*($T57*(1-$F57)+$S57*(1-$G57))*((1+Inputs!$D$7)^CV$2))),((Inputs!$D$8^((1-_xlfn.WEIBULL.DIST(CV$2,$M57,$L57,FALSE))/_xlfn.WEIBULL.DIST(CV$2,$M57,$L57,FALSE))*($T57*(1-$F57)+$S57*(1-$G57))*((1+Inputs!$D$7)^CV$2))))))))</f>
        <v>0</v>
      </c>
      <c r="CW57" s="88">
        <f>MAX(BG57,($E57*IF(CW$2&gt;Inputs!$D$5,0,IF(CW$2&gt;VLOOKUP($H57,Lists!$P$3:$Q$7,2),IF($N57=Lists!$K$3,IF($L57&lt;1,(($U57/$L57)*((1+Inputs!$D$7)^CW$2)),((INT(CW$2/$L57)-INT((CW$2-1)/$L57))*$U57*((1+Inputs!$D$7)^CW$2))),(Inputs!$D$8^((1-_xlfn.WEIBULL.DIST(CW$2,$M57,$L57,FALSE))/_xlfn.WEIBULL.DIST(CW$2,$M57,$L57,FALSE))*$U57*((1+Inputs!$D$7)^CW$2))),IF($N57=Lists!$K$3,IF($L57&lt;1,((($T57*(1-$F57)+$S57*(1-$G57))/$L57)*((1+Inputs!$D$7)^CW$2)),((INT(CW$2/$L57)-INT((CW$2-1)/$L57))*($T57*(1-$F57)+$S57*(1-$G57))*((1+Inputs!$D$7)^CW$2))),((Inputs!$D$8^((1-_xlfn.WEIBULL.DIST(CW$2,$M57,$L57,FALSE))/_xlfn.WEIBULL.DIST(CW$2,$M57,$L57,FALSE))*($T57*(1-$F57)+$S57*(1-$G57))*((1+Inputs!$D$7)^CW$2))))))))</f>
        <v>0</v>
      </c>
      <c r="CX57" s="88">
        <f>MAX(BH57,($E57*IF(CX$2&gt;Inputs!$D$5,0,IF(CX$2&gt;VLOOKUP($H57,Lists!$P$3:$Q$7,2),IF($N57=Lists!$K$3,IF($L57&lt;1,(($U57/$L57)*((1+Inputs!$D$7)^CX$2)),((INT(CX$2/$L57)-INT((CX$2-1)/$L57))*$U57*((1+Inputs!$D$7)^CX$2))),(Inputs!$D$8^((1-_xlfn.WEIBULL.DIST(CX$2,$M57,$L57,FALSE))/_xlfn.WEIBULL.DIST(CX$2,$M57,$L57,FALSE))*$U57*((1+Inputs!$D$7)^CX$2))),IF($N57=Lists!$K$3,IF($L57&lt;1,((($T57*(1-$F57)+$S57*(1-$G57))/$L57)*((1+Inputs!$D$7)^CX$2)),((INT(CX$2/$L57)-INT((CX$2-1)/$L57))*($T57*(1-$F57)+$S57*(1-$G57))*((1+Inputs!$D$7)^CX$2))),((Inputs!$D$8^((1-_xlfn.WEIBULL.DIST(CX$2,$M57,$L57,FALSE))/_xlfn.WEIBULL.DIST(CX$2,$M57,$L57,FALSE))*($T57*(1-$F57)+$S57*(1-$G57))*((1+Inputs!$D$7)^CX$2))))))))</f>
        <v>0</v>
      </c>
      <c r="CY57" s="88">
        <f>MAX(BI57,($E57*IF(CY$2&gt;Inputs!$D$5,0,IF(CY$2&gt;VLOOKUP($H57,Lists!$P$3:$Q$7,2),IF($N57=Lists!$K$3,IF($L57&lt;1,(($U57/$L57)*((1+Inputs!$D$7)^CY$2)),((INT(CY$2/$L57)-INT((CY$2-1)/$L57))*$U57*((1+Inputs!$D$7)^CY$2))),(Inputs!$D$8^((1-_xlfn.WEIBULL.DIST(CY$2,$M57,$L57,FALSE))/_xlfn.WEIBULL.DIST(CY$2,$M57,$L57,FALSE))*$U57*((1+Inputs!$D$7)^CY$2))),IF($N57=Lists!$K$3,IF($L57&lt;1,((($T57*(1-$F57)+$S57*(1-$G57))/$L57)*((1+Inputs!$D$7)^CY$2)),((INT(CY$2/$L57)-INT((CY$2-1)/$L57))*($T57*(1-$F57)+$S57*(1-$G57))*((1+Inputs!$D$7)^CY$2))),((Inputs!$D$8^((1-_xlfn.WEIBULL.DIST(CY$2,$M57,$L57,FALSE))/_xlfn.WEIBULL.DIST(CY$2,$M57,$L57,FALSE))*($T57*(1-$F57)+$S57*(1-$G57))*((1+Inputs!$D$7)^CY$2))))))))</f>
        <v>0</v>
      </c>
      <c r="CZ57" s="88">
        <f>MAX(BJ57,($E57*IF(CZ$2&gt;Inputs!$D$5,0,IF(CZ$2&gt;VLOOKUP($H57,Lists!$P$3:$Q$7,2),IF($N57=Lists!$K$3,IF($L57&lt;1,(($U57/$L57)*((1+Inputs!$D$7)^CZ$2)),((INT(CZ$2/$L57)-INT((CZ$2-1)/$L57))*$U57*((1+Inputs!$D$7)^CZ$2))),(Inputs!$D$8^((1-_xlfn.WEIBULL.DIST(CZ$2,$M57,$L57,FALSE))/_xlfn.WEIBULL.DIST(CZ$2,$M57,$L57,FALSE))*$U57*((1+Inputs!$D$7)^CZ$2))),IF($N57=Lists!$K$3,IF($L57&lt;1,((($T57*(1-$F57)+$S57*(1-$G57))/$L57)*((1+Inputs!$D$7)^CZ$2)),((INT(CZ$2/$L57)-INT((CZ$2-1)/$L57))*($T57*(1-$F57)+$S57*(1-$G57))*((1+Inputs!$D$7)^CZ$2))),((Inputs!$D$8^((1-_xlfn.WEIBULL.DIST(CZ$2,$M57,$L57,FALSE))/_xlfn.WEIBULL.DIST(CZ$2,$M57,$L57,FALSE))*($T57*(1-$F57)+$S57*(1-$G57))*((1+Inputs!$D$7)^CZ$2))))))))</f>
        <v>0</v>
      </c>
      <c r="DA57" s="88">
        <f>MAX(BK57,($E57*IF(DA$2&gt;Inputs!$D$5,0,IF(DA$2&gt;VLOOKUP($H57,Lists!$P$3:$Q$7,2),IF($N57=Lists!$K$3,IF($L57&lt;1,(($U57/$L57)*((1+Inputs!$D$7)^DA$2)),((INT(DA$2/$L57)-INT((DA$2-1)/$L57))*$U57*((1+Inputs!$D$7)^DA$2))),(Inputs!$D$8^((1-_xlfn.WEIBULL.DIST(DA$2,$M57,$L57,FALSE))/_xlfn.WEIBULL.DIST(DA$2,$M57,$L57,FALSE))*$U57*((1+Inputs!$D$7)^DA$2))),IF($N57=Lists!$K$3,IF($L57&lt;1,((($T57*(1-$F57)+$S57*(1-$G57))/$L57)*((1+Inputs!$D$7)^DA$2)),((INT(DA$2/$L57)-INT((DA$2-1)/$L57))*($T57*(1-$F57)+$S57*(1-$G57))*((1+Inputs!$D$7)^DA$2))),((Inputs!$D$8^((1-_xlfn.WEIBULL.DIST(DA$2,$M57,$L57,FALSE))/_xlfn.WEIBULL.DIST(DA$2,$M57,$L57,FALSE))*($T57*(1-$F57)+$S57*(1-$G57))*((1+Inputs!$D$7)^DA$2))))))))</f>
        <v>0</v>
      </c>
      <c r="DB57" s="88">
        <f>MAX(BL57,($E57*IF(DB$2&gt;Inputs!$D$5,0,IF(DB$2&gt;VLOOKUP($H57,Lists!$P$3:$Q$7,2),IF($N57=Lists!$K$3,IF($L57&lt;1,(($U57/$L57)*((1+Inputs!$D$7)^DB$2)),((INT(DB$2/$L57)-INT((DB$2-1)/$L57))*$U57*((1+Inputs!$D$7)^DB$2))),(Inputs!$D$8^((1-_xlfn.WEIBULL.DIST(DB$2,$M57,$L57,FALSE))/_xlfn.WEIBULL.DIST(DB$2,$M57,$L57,FALSE))*$U57*((1+Inputs!$D$7)^DB$2))),IF($N57=Lists!$K$3,IF($L57&lt;1,((($T57*(1-$F57)+$S57*(1-$G57))/$L57)*((1+Inputs!$D$7)^DB$2)),((INT(DB$2/$L57)-INT((DB$2-1)/$L57))*($T57*(1-$F57)+$S57*(1-$G57))*((1+Inputs!$D$7)^DB$2))),((Inputs!$D$8^((1-_xlfn.WEIBULL.DIST(DB$2,$M57,$L57,FALSE))/_xlfn.WEIBULL.DIST(DB$2,$M57,$L57,FALSE))*($T57*(1-$F57)+$S57*(1-$G57))*((1+Inputs!$D$7)^DB$2))))))))</f>
        <v>0</v>
      </c>
      <c r="DC57" s="88">
        <f>MAX(BM57,($E57*IF(DC$2&gt;Inputs!$D$5,0,IF(DC$2&gt;VLOOKUP($H57,Lists!$P$3:$Q$7,2),IF($N57=Lists!$K$3,IF($L57&lt;1,(($U57/$L57)*((1+Inputs!$D$7)^DC$2)),((INT(DC$2/$L57)-INT((DC$2-1)/$L57))*$U57*((1+Inputs!$D$7)^DC$2))),(Inputs!$D$8^((1-_xlfn.WEIBULL.DIST(DC$2,$M57,$L57,FALSE))/_xlfn.WEIBULL.DIST(DC$2,$M57,$L57,FALSE))*$U57*((1+Inputs!$D$7)^DC$2))),IF($N57=Lists!$K$3,IF($L57&lt;1,((($T57*(1-$F57)+$S57*(1-$G57))/$L57)*((1+Inputs!$D$7)^DC$2)),((INT(DC$2/$L57)-INT((DC$2-1)/$L57))*($T57*(1-$F57)+$S57*(1-$G57))*((1+Inputs!$D$7)^DC$2))),((Inputs!$D$8^((1-_xlfn.WEIBULL.DIST(DC$2,$M57,$L57,FALSE))/_xlfn.WEIBULL.DIST(DC$2,$M57,$L57,FALSE))*($T57*(1-$F57)+$S57*(1-$G57))*((1+Inputs!$D$7)^DC$2))))))))</f>
        <v>0</v>
      </c>
      <c r="DD57" s="88">
        <f>MAX(BN57,($E57*IF(DD$2&gt;Inputs!$D$5,0,IF(DD$2&gt;VLOOKUP($H57,Lists!$P$3:$Q$7,2),IF($N57=Lists!$K$3,IF($L57&lt;1,(($U57/$L57)*((1+Inputs!$D$7)^DD$2)),((INT(DD$2/$L57)-INT((DD$2-1)/$L57))*$U57*((1+Inputs!$D$7)^DD$2))),(Inputs!$D$8^((1-_xlfn.WEIBULL.DIST(DD$2,$M57,$L57,FALSE))/_xlfn.WEIBULL.DIST(DD$2,$M57,$L57,FALSE))*$U57*((1+Inputs!$D$7)^DD$2))),IF($N57=Lists!$K$3,IF($L57&lt;1,((($T57*(1-$F57)+$S57*(1-$G57))/$L57)*((1+Inputs!$D$7)^DD$2)),((INT(DD$2/$L57)-INT((DD$2-1)/$L57))*($T57*(1-$F57)+$S57*(1-$G57))*((1+Inputs!$D$7)^DD$2))),((Inputs!$D$8^((1-_xlfn.WEIBULL.DIST(DD$2,$M57,$L57,FALSE))/_xlfn.WEIBULL.DIST(DD$2,$M57,$L57,FALSE))*($T57*(1-$F57)+$S57*(1-$G57))*((1+Inputs!$D$7)^DD$2))))))))</f>
        <v>0</v>
      </c>
    </row>
    <row r="58" spans="1:108" s="1" customFormat="1" ht="16">
      <c r="A58" s="57" t="s">
        <v>175</v>
      </c>
      <c r="B58" s="13" t="s">
        <v>130</v>
      </c>
      <c r="C58" s="13" t="s">
        <v>474</v>
      </c>
      <c r="D58" s="13" t="s">
        <v>37</v>
      </c>
      <c r="E58" s="89">
        <v>0</v>
      </c>
      <c r="F58" s="48">
        <v>1</v>
      </c>
      <c r="G58" s="48">
        <v>1</v>
      </c>
      <c r="H58" s="105" t="s">
        <v>350</v>
      </c>
      <c r="I58" s="14" t="s">
        <v>265</v>
      </c>
      <c r="J58" s="14" t="s">
        <v>86</v>
      </c>
      <c r="K58" s="13">
        <f>VLOOKUP(J58,'Labor Rates'!$A$1:$F$16,2)</f>
        <v>29.298461538461535</v>
      </c>
      <c r="L58" s="15">
        <v>25</v>
      </c>
      <c r="M58" s="15">
        <v>3</v>
      </c>
      <c r="N58" s="16" t="s">
        <v>226</v>
      </c>
      <c r="O58" s="61">
        <f>Inputs!$D$53*E58</f>
        <v>0</v>
      </c>
      <c r="P58" s="15">
        <v>0.5</v>
      </c>
      <c r="Q58" s="15">
        <f t="shared" si="7"/>
        <v>0</v>
      </c>
      <c r="R58" s="4">
        <v>120</v>
      </c>
      <c r="S58" s="53">
        <f t="shared" si="8"/>
        <v>0</v>
      </c>
      <c r="T58" s="53">
        <f t="shared" si="9"/>
        <v>0</v>
      </c>
      <c r="U58" s="54">
        <f t="shared" si="10"/>
        <v>0</v>
      </c>
      <c r="V58" s="65"/>
      <c r="W58" s="58"/>
      <c r="X58" s="64">
        <f t="shared" si="11"/>
        <v>0</v>
      </c>
      <c r="Y58" s="64">
        <f>NPV(Inputs!$D$6,AA58:BN58)</f>
        <v>0</v>
      </c>
      <c r="Z58" s="67">
        <f t="shared" si="12"/>
        <v>0</v>
      </c>
      <c r="AA58" s="88">
        <f>$E58*IF(AA$2&gt;Inputs!$D$5,0,IF(AA$2&gt;VLOOKUP($H58,Lists!$P$3:$Q$7,2),IF($N58=Lists!$K$3,IF($L58&lt;1,(($U58/$L58)*((1+Inputs!$D$7)^AA$2)),((INT(AA$2/$L58)-INT((AA$2-1)/$L58))*$U58*((1+Inputs!$D$7)^AA$2))),(_xlfn.WEIBULL.DIST(AA$2,$M58,$L58,FALSE)*$U58*((1+Inputs!$D$7)^AA$2))),IF($N58=Lists!$K$3,IF($L58&lt;1,((($T58*(1-$F58)+$S58*(1-$G58))/$L58)*((1+Inputs!$D$7)^AA$2)),((INT(AA$2/$L58)-INT((AA$2-1)/$L58))*($T58*(1-$F58)+$S58*(1-$G58))*((1+Inputs!$D$7)^AA$2))),((_xlfn.WEIBULL.DIST(AA$2,$M58,$L58,FALSE)*($T58*(1-$F58)+$S58*(1-$G58))*((1+Inputs!$D$7)^AA$2))))))</f>
        <v>0</v>
      </c>
      <c r="AB58" s="88">
        <f>$E58*IF(AB$2&gt;Inputs!$D$5,0,IF(AB$2&gt;VLOOKUP($H58,Lists!$P$3:$Q$7,2),IF($N58=Lists!$K$3,IF($L58&lt;1,(($U58/$L58)*((1+Inputs!$D$7)^AB$2)),((INT(AB$2/$L58)-INT((AB$2-1)/$L58))*$U58*((1+Inputs!$D$7)^AB$2))),(_xlfn.WEIBULL.DIST(AB$2,$M58,$L58,FALSE)*$U58*((1+Inputs!$D$7)^AB$2))),IF($N58=Lists!$K$3,IF($L58&lt;1,((($T58*(1-$F58)+$S58*(1-$G58))/$L58)*((1+Inputs!$D$7)^AB$2)),((INT(AB$2/$L58)-INT((AB$2-1)/$L58))*($T58*(1-$F58)+$S58*(1-$G58))*((1+Inputs!$D$7)^AB$2))),((_xlfn.WEIBULL.DIST(AB$2,$M58,$L58,FALSE)*($T58*(1-$F58)+$S58*(1-$G58))*((1+Inputs!$D$7)^AB$2))))))</f>
        <v>0</v>
      </c>
      <c r="AC58" s="88">
        <f>$E58*IF(AC$2&gt;Inputs!$D$5,0,IF(AC$2&gt;VLOOKUP($H58,Lists!$P$3:$Q$7,2),IF($N58=Lists!$K$3,IF($L58&lt;1,(($U58/$L58)*((1+Inputs!$D$7)^AC$2)),((INT(AC$2/$L58)-INT((AC$2-1)/$L58))*$U58*((1+Inputs!$D$7)^AC$2))),(_xlfn.WEIBULL.DIST(AC$2,$M58,$L58,FALSE)*$U58*((1+Inputs!$D$7)^AC$2))),IF($N58=Lists!$K$3,IF($L58&lt;1,((($T58*(1-$F58)+$S58*(1-$G58))/$L58)*((1+Inputs!$D$7)^AC$2)),((INT(AC$2/$L58)-INT((AC$2-1)/$L58))*($T58*(1-$F58)+$S58*(1-$G58))*((1+Inputs!$D$7)^AC$2))),((_xlfn.WEIBULL.DIST(AC$2,$M58,$L58,FALSE)*($T58*(1-$F58)+$S58*(1-$G58))*((1+Inputs!$D$7)^AC$2))))))</f>
        <v>0</v>
      </c>
      <c r="AD58" s="88">
        <f>$E58*IF(AD$2&gt;Inputs!$D$5,0,IF(AD$2&gt;VLOOKUP($H58,Lists!$P$3:$Q$7,2),IF($N58=Lists!$K$3,IF($L58&lt;1,(($U58/$L58)*((1+Inputs!$D$7)^AD$2)),((INT(AD$2/$L58)-INT((AD$2-1)/$L58))*$U58*((1+Inputs!$D$7)^AD$2))),(_xlfn.WEIBULL.DIST(AD$2,$M58,$L58,FALSE)*$U58*((1+Inputs!$D$7)^AD$2))),IF($N58=Lists!$K$3,IF($L58&lt;1,((($T58*(1-$F58)+$S58*(1-$G58))/$L58)*((1+Inputs!$D$7)^AD$2)),((INT(AD$2/$L58)-INT((AD$2-1)/$L58))*($T58*(1-$F58)+$S58*(1-$G58))*((1+Inputs!$D$7)^AD$2))),((_xlfn.WEIBULL.DIST(AD$2,$M58,$L58,FALSE)*($T58*(1-$F58)+$S58*(1-$G58))*((1+Inputs!$D$7)^AD$2))))))</f>
        <v>0</v>
      </c>
      <c r="AE58" s="88">
        <f>$E58*IF(AE$2&gt;Inputs!$D$5,0,IF(AE$2&gt;VLOOKUP($H58,Lists!$P$3:$Q$7,2),IF($N58=Lists!$K$3,IF($L58&lt;1,(($U58/$L58)*((1+Inputs!$D$7)^AE$2)),((INT(AE$2/$L58)-INT((AE$2-1)/$L58))*$U58*((1+Inputs!$D$7)^AE$2))),(_xlfn.WEIBULL.DIST(AE$2,$M58,$L58,FALSE)*$U58*((1+Inputs!$D$7)^AE$2))),IF($N58=Lists!$K$3,IF($L58&lt;1,((($T58*(1-$F58)+$S58*(1-$G58))/$L58)*((1+Inputs!$D$7)^AE$2)),((INT(AE$2/$L58)-INT((AE$2-1)/$L58))*($T58*(1-$F58)+$S58*(1-$G58))*((1+Inputs!$D$7)^AE$2))),((_xlfn.WEIBULL.DIST(AE$2,$M58,$L58,FALSE)*($T58*(1-$F58)+$S58*(1-$G58))*((1+Inputs!$D$7)^AE$2))))))</f>
        <v>0</v>
      </c>
      <c r="AF58" s="88">
        <f>$E58*IF(AF$2&gt;Inputs!$D$5,0,IF(AF$2&gt;VLOOKUP($H58,Lists!$P$3:$Q$7,2),IF($N58=Lists!$K$3,IF($L58&lt;1,(($U58/$L58)*((1+Inputs!$D$7)^AF$2)),((INT(AF$2/$L58)-INT((AF$2-1)/$L58))*$U58*((1+Inputs!$D$7)^AF$2))),(_xlfn.WEIBULL.DIST(AF$2,$M58,$L58,FALSE)*$U58*((1+Inputs!$D$7)^AF$2))),IF($N58=Lists!$K$3,IF($L58&lt;1,((($T58*(1-$F58)+$S58*(1-$G58))/$L58)*((1+Inputs!$D$7)^AF$2)),((INT(AF$2/$L58)-INT((AF$2-1)/$L58))*($T58*(1-$F58)+$S58*(1-$G58))*((1+Inputs!$D$7)^AF$2))),((_xlfn.WEIBULL.DIST(AF$2,$M58,$L58,FALSE)*($T58*(1-$F58)+$S58*(1-$G58))*((1+Inputs!$D$7)^AF$2))))))</f>
        <v>0</v>
      </c>
      <c r="AG58" s="88">
        <f>$E58*IF(AG$2&gt;Inputs!$D$5,0,IF(AG$2&gt;VLOOKUP($H58,Lists!$P$3:$Q$7,2),IF($N58=Lists!$K$3,IF($L58&lt;1,(($U58/$L58)*((1+Inputs!$D$7)^AG$2)),((INT(AG$2/$L58)-INT((AG$2-1)/$L58))*$U58*((1+Inputs!$D$7)^AG$2))),(_xlfn.WEIBULL.DIST(AG$2,$M58,$L58,FALSE)*$U58*((1+Inputs!$D$7)^AG$2))),IF($N58=Lists!$K$3,IF($L58&lt;1,((($T58*(1-$F58)+$S58*(1-$G58))/$L58)*((1+Inputs!$D$7)^AG$2)),((INT(AG$2/$L58)-INT((AG$2-1)/$L58))*($T58*(1-$F58)+$S58*(1-$G58))*((1+Inputs!$D$7)^AG$2))),((_xlfn.WEIBULL.DIST(AG$2,$M58,$L58,FALSE)*($T58*(1-$F58)+$S58*(1-$G58))*((1+Inputs!$D$7)^AG$2))))))</f>
        <v>0</v>
      </c>
      <c r="AH58" s="88">
        <f>$E58*IF(AH$2&gt;Inputs!$D$5,0,IF(AH$2&gt;VLOOKUP($H58,Lists!$P$3:$Q$7,2),IF($N58=Lists!$K$3,IF($L58&lt;1,(($U58/$L58)*((1+Inputs!$D$7)^AH$2)),((INT(AH$2/$L58)-INT((AH$2-1)/$L58))*$U58*((1+Inputs!$D$7)^AH$2))),(_xlfn.WEIBULL.DIST(AH$2,$M58,$L58,FALSE)*$U58*((1+Inputs!$D$7)^AH$2))),IF($N58=Lists!$K$3,IF($L58&lt;1,((($T58*(1-$F58)+$S58*(1-$G58))/$L58)*((1+Inputs!$D$7)^AH$2)),((INT(AH$2/$L58)-INT((AH$2-1)/$L58))*($T58*(1-$F58)+$S58*(1-$G58))*((1+Inputs!$D$7)^AH$2))),((_xlfn.WEIBULL.DIST(AH$2,$M58,$L58,FALSE)*($T58*(1-$F58)+$S58*(1-$G58))*((1+Inputs!$D$7)^AH$2))))))</f>
        <v>0</v>
      </c>
      <c r="AI58" s="88">
        <f>$E58*IF(AI$2&gt;Inputs!$D$5,0,IF(AI$2&gt;VLOOKUP($H58,Lists!$P$3:$Q$7,2),IF($N58=Lists!$K$3,IF($L58&lt;1,(($U58/$L58)*((1+Inputs!$D$7)^AI$2)),((INT(AI$2/$L58)-INT((AI$2-1)/$L58))*$U58*((1+Inputs!$D$7)^AI$2))),(_xlfn.WEIBULL.DIST(AI$2,$M58,$L58,FALSE)*$U58*((1+Inputs!$D$7)^AI$2))),IF($N58=Lists!$K$3,IF($L58&lt;1,((($T58*(1-$F58)+$S58*(1-$G58))/$L58)*((1+Inputs!$D$7)^AI$2)),((INT(AI$2/$L58)-INT((AI$2-1)/$L58))*($T58*(1-$F58)+$S58*(1-$G58))*((1+Inputs!$D$7)^AI$2))),((_xlfn.WEIBULL.DIST(AI$2,$M58,$L58,FALSE)*($T58*(1-$F58)+$S58*(1-$G58))*((1+Inputs!$D$7)^AI$2))))))</f>
        <v>0</v>
      </c>
      <c r="AJ58" s="88">
        <f>$E58*IF(AJ$2&gt;Inputs!$D$5,0,IF(AJ$2&gt;VLOOKUP($H58,Lists!$P$3:$Q$7,2),IF($N58=Lists!$K$3,IF($L58&lt;1,(($U58/$L58)*((1+Inputs!$D$7)^AJ$2)),((INT(AJ$2/$L58)-INT((AJ$2-1)/$L58))*$U58*((1+Inputs!$D$7)^AJ$2))),(_xlfn.WEIBULL.DIST(AJ$2,$M58,$L58,FALSE)*$U58*((1+Inputs!$D$7)^AJ$2))),IF($N58=Lists!$K$3,IF($L58&lt;1,((($T58*(1-$F58)+$S58*(1-$G58))/$L58)*((1+Inputs!$D$7)^AJ$2)),((INT(AJ$2/$L58)-INT((AJ$2-1)/$L58))*($T58*(1-$F58)+$S58*(1-$G58))*((1+Inputs!$D$7)^AJ$2))),((_xlfn.WEIBULL.DIST(AJ$2,$M58,$L58,FALSE)*($T58*(1-$F58)+$S58*(1-$G58))*((1+Inputs!$D$7)^AJ$2))))))</f>
        <v>0</v>
      </c>
      <c r="AK58" s="88">
        <f>$E58*IF(AK$2&gt;Inputs!$D$5,0,IF(AK$2&gt;VLOOKUP($H58,Lists!$P$3:$Q$7,2),IF($N58=Lists!$K$3,IF($L58&lt;1,(($U58/$L58)*((1+Inputs!$D$7)^AK$2)),((INT(AK$2/$L58)-INT((AK$2-1)/$L58))*$U58*((1+Inputs!$D$7)^AK$2))),(_xlfn.WEIBULL.DIST(AK$2,$M58,$L58,FALSE)*$U58*((1+Inputs!$D$7)^AK$2))),IF($N58=Lists!$K$3,IF($L58&lt;1,((($T58*(1-$F58)+$S58*(1-$G58))/$L58)*((1+Inputs!$D$7)^AK$2)),((INT(AK$2/$L58)-INT((AK$2-1)/$L58))*($T58*(1-$F58)+$S58*(1-$G58))*((1+Inputs!$D$7)^AK$2))),((_xlfn.WEIBULL.DIST(AK$2,$M58,$L58,FALSE)*($T58*(1-$F58)+$S58*(1-$G58))*((1+Inputs!$D$7)^AK$2))))))</f>
        <v>0</v>
      </c>
      <c r="AL58" s="88">
        <f>$E58*IF(AL$2&gt;Inputs!$D$5,0,IF(AL$2&gt;VLOOKUP($H58,Lists!$P$3:$Q$7,2),IF($N58=Lists!$K$3,IF($L58&lt;1,(($U58/$L58)*((1+Inputs!$D$7)^AL$2)),((INT(AL$2/$L58)-INT((AL$2-1)/$L58))*$U58*((1+Inputs!$D$7)^AL$2))),(_xlfn.WEIBULL.DIST(AL$2,$M58,$L58,FALSE)*$U58*((1+Inputs!$D$7)^AL$2))),IF($N58=Lists!$K$3,IF($L58&lt;1,((($T58*(1-$F58)+$S58*(1-$G58))/$L58)*((1+Inputs!$D$7)^AL$2)),((INT(AL$2/$L58)-INT((AL$2-1)/$L58))*($T58*(1-$F58)+$S58*(1-$G58))*((1+Inputs!$D$7)^AL$2))),((_xlfn.WEIBULL.DIST(AL$2,$M58,$L58,FALSE)*($T58*(1-$F58)+$S58*(1-$G58))*((1+Inputs!$D$7)^AL$2))))))</f>
        <v>0</v>
      </c>
      <c r="AM58" s="88">
        <f>$E58*IF(AM$2&gt;Inputs!$D$5,0,IF(AM$2&gt;VLOOKUP($H58,Lists!$P$3:$Q$7,2),IF($N58=Lists!$K$3,IF($L58&lt;1,(($U58/$L58)*((1+Inputs!$D$7)^AM$2)),((INT(AM$2/$L58)-INT((AM$2-1)/$L58))*$U58*((1+Inputs!$D$7)^AM$2))),(_xlfn.WEIBULL.DIST(AM$2,$M58,$L58,FALSE)*$U58*((1+Inputs!$D$7)^AM$2))),IF($N58=Lists!$K$3,IF($L58&lt;1,((($T58*(1-$F58)+$S58*(1-$G58))/$L58)*((1+Inputs!$D$7)^AM$2)),((INT(AM$2/$L58)-INT((AM$2-1)/$L58))*($T58*(1-$F58)+$S58*(1-$G58))*((1+Inputs!$D$7)^AM$2))),((_xlfn.WEIBULL.DIST(AM$2,$M58,$L58,FALSE)*($T58*(1-$F58)+$S58*(1-$G58))*((1+Inputs!$D$7)^AM$2))))))</f>
        <v>0</v>
      </c>
      <c r="AN58" s="88">
        <f>$E58*IF(AN$2&gt;Inputs!$D$5,0,IF(AN$2&gt;VLOOKUP($H58,Lists!$P$3:$Q$7,2),IF($N58=Lists!$K$3,IF($L58&lt;1,(($U58/$L58)*((1+Inputs!$D$7)^AN$2)),((INT(AN$2/$L58)-INT((AN$2-1)/$L58))*$U58*((1+Inputs!$D$7)^AN$2))),(_xlfn.WEIBULL.DIST(AN$2,$M58,$L58,FALSE)*$U58*((1+Inputs!$D$7)^AN$2))),IF($N58=Lists!$K$3,IF($L58&lt;1,((($T58*(1-$F58)+$S58*(1-$G58))/$L58)*((1+Inputs!$D$7)^AN$2)),((INT(AN$2/$L58)-INT((AN$2-1)/$L58))*($T58*(1-$F58)+$S58*(1-$G58))*((1+Inputs!$D$7)^AN$2))),((_xlfn.WEIBULL.DIST(AN$2,$M58,$L58,FALSE)*($T58*(1-$F58)+$S58*(1-$G58))*((1+Inputs!$D$7)^AN$2))))))</f>
        <v>0</v>
      </c>
      <c r="AO58" s="88">
        <f>$E58*IF(AO$2&gt;Inputs!$D$5,0,IF(AO$2&gt;VLOOKUP($H58,Lists!$P$3:$Q$7,2),IF($N58=Lists!$K$3,IF($L58&lt;1,(($U58/$L58)*((1+Inputs!$D$7)^AO$2)),((INT(AO$2/$L58)-INT((AO$2-1)/$L58))*$U58*((1+Inputs!$D$7)^AO$2))),(_xlfn.WEIBULL.DIST(AO$2,$M58,$L58,FALSE)*$U58*((1+Inputs!$D$7)^AO$2))),IF($N58=Lists!$K$3,IF($L58&lt;1,((($T58*(1-$F58)+$S58*(1-$G58))/$L58)*((1+Inputs!$D$7)^AO$2)),((INT(AO$2/$L58)-INT((AO$2-1)/$L58))*($T58*(1-$F58)+$S58*(1-$G58))*((1+Inputs!$D$7)^AO$2))),((_xlfn.WEIBULL.DIST(AO$2,$M58,$L58,FALSE)*($T58*(1-$F58)+$S58*(1-$G58))*((1+Inputs!$D$7)^AO$2))))))</f>
        <v>0</v>
      </c>
      <c r="AP58" s="88">
        <f>$E58*IF(AP$2&gt;Inputs!$D$5,0,IF(AP$2&gt;VLOOKUP($H58,Lists!$P$3:$Q$7,2),IF($N58=Lists!$K$3,IF($L58&lt;1,(($U58/$L58)*((1+Inputs!$D$7)^AP$2)),((INT(AP$2/$L58)-INT((AP$2-1)/$L58))*$U58*((1+Inputs!$D$7)^AP$2))),(_xlfn.WEIBULL.DIST(AP$2,$M58,$L58,FALSE)*$U58*((1+Inputs!$D$7)^AP$2))),IF($N58=Lists!$K$3,IF($L58&lt;1,((($T58*(1-$F58)+$S58*(1-$G58))/$L58)*((1+Inputs!$D$7)^AP$2)),((INT(AP$2/$L58)-INT((AP$2-1)/$L58))*($T58*(1-$F58)+$S58*(1-$G58))*((1+Inputs!$D$7)^AP$2))),((_xlfn.WEIBULL.DIST(AP$2,$M58,$L58,FALSE)*($T58*(1-$F58)+$S58*(1-$G58))*((1+Inputs!$D$7)^AP$2))))))</f>
        <v>0</v>
      </c>
      <c r="AQ58" s="88">
        <f>$E58*IF(AQ$2&gt;Inputs!$D$5,0,IF(AQ$2&gt;VLOOKUP($H58,Lists!$P$3:$Q$7,2),IF($N58=Lists!$K$3,IF($L58&lt;1,(($U58/$L58)*((1+Inputs!$D$7)^AQ$2)),((INT(AQ$2/$L58)-INT((AQ$2-1)/$L58))*$U58*((1+Inputs!$D$7)^AQ$2))),(_xlfn.WEIBULL.DIST(AQ$2,$M58,$L58,FALSE)*$U58*((1+Inputs!$D$7)^AQ$2))),IF($N58=Lists!$K$3,IF($L58&lt;1,((($T58*(1-$F58)+$S58*(1-$G58))/$L58)*((1+Inputs!$D$7)^AQ$2)),((INT(AQ$2/$L58)-INT((AQ$2-1)/$L58))*($T58*(1-$F58)+$S58*(1-$G58))*((1+Inputs!$D$7)^AQ$2))),((_xlfn.WEIBULL.DIST(AQ$2,$M58,$L58,FALSE)*($T58*(1-$F58)+$S58*(1-$G58))*((1+Inputs!$D$7)^AQ$2))))))</f>
        <v>0</v>
      </c>
      <c r="AR58" s="88">
        <f>$E58*IF(AR$2&gt;Inputs!$D$5,0,IF(AR$2&gt;VLOOKUP($H58,Lists!$P$3:$Q$7,2),IF($N58=Lists!$K$3,IF($L58&lt;1,(($U58/$L58)*((1+Inputs!$D$7)^AR$2)),((INT(AR$2/$L58)-INT((AR$2-1)/$L58))*$U58*((1+Inputs!$D$7)^AR$2))),(_xlfn.WEIBULL.DIST(AR$2,$M58,$L58,FALSE)*$U58*((1+Inputs!$D$7)^AR$2))),IF($N58=Lists!$K$3,IF($L58&lt;1,((($T58*(1-$F58)+$S58*(1-$G58))/$L58)*((1+Inputs!$D$7)^AR$2)),((INT(AR$2/$L58)-INT((AR$2-1)/$L58))*($T58*(1-$F58)+$S58*(1-$G58))*((1+Inputs!$D$7)^AR$2))),((_xlfn.WEIBULL.DIST(AR$2,$M58,$L58,FALSE)*($T58*(1-$F58)+$S58*(1-$G58))*((1+Inputs!$D$7)^AR$2))))))</f>
        <v>0</v>
      </c>
      <c r="AS58" s="88">
        <f>$E58*IF(AS$2&gt;Inputs!$D$5,0,IF(AS$2&gt;VLOOKUP($H58,Lists!$P$3:$Q$7,2),IF($N58=Lists!$K$3,IF($L58&lt;1,(($U58/$L58)*((1+Inputs!$D$7)^AS$2)),((INT(AS$2/$L58)-INT((AS$2-1)/$L58))*$U58*((1+Inputs!$D$7)^AS$2))),(_xlfn.WEIBULL.DIST(AS$2,$M58,$L58,FALSE)*$U58*((1+Inputs!$D$7)^AS$2))),IF($N58=Lists!$K$3,IF($L58&lt;1,((($T58*(1-$F58)+$S58*(1-$G58))/$L58)*((1+Inputs!$D$7)^AS$2)),((INT(AS$2/$L58)-INT((AS$2-1)/$L58))*($T58*(1-$F58)+$S58*(1-$G58))*((1+Inputs!$D$7)^AS$2))),((_xlfn.WEIBULL.DIST(AS$2,$M58,$L58,FALSE)*($T58*(1-$F58)+$S58*(1-$G58))*((1+Inputs!$D$7)^AS$2))))))</f>
        <v>0</v>
      </c>
      <c r="AT58" s="88">
        <f>$E58*IF(AT$2&gt;Inputs!$D$5,0,IF(AT$2&gt;VLOOKUP($H58,Lists!$P$3:$Q$7,2),IF($N58=Lists!$K$3,IF($L58&lt;1,(($U58/$L58)*((1+Inputs!$D$7)^AT$2)),((INT(AT$2/$L58)-INT((AT$2-1)/$L58))*$U58*((1+Inputs!$D$7)^AT$2))),(_xlfn.WEIBULL.DIST(AT$2,$M58,$L58,FALSE)*$U58*((1+Inputs!$D$7)^AT$2))),IF($N58=Lists!$K$3,IF($L58&lt;1,((($T58*(1-$F58)+$S58*(1-$G58))/$L58)*((1+Inputs!$D$7)^AT$2)),((INT(AT$2/$L58)-INT((AT$2-1)/$L58))*($T58*(1-$F58)+$S58*(1-$G58))*((1+Inputs!$D$7)^AT$2))),((_xlfn.WEIBULL.DIST(AT$2,$M58,$L58,FALSE)*($T58*(1-$F58)+$S58*(1-$G58))*((1+Inputs!$D$7)^AT$2))))))</f>
        <v>0</v>
      </c>
      <c r="AU58" s="88">
        <f>$E58*IF(AU$2&gt;Inputs!$D$5,0,IF(AU$2&gt;VLOOKUP($H58,Lists!$P$3:$Q$7,2),IF($N58=Lists!$K$3,IF($L58&lt;1,(($U58/$L58)*((1+Inputs!$D$7)^AU$2)),((INT(AU$2/$L58)-INT((AU$2-1)/$L58))*$U58*((1+Inputs!$D$7)^AU$2))),(_xlfn.WEIBULL.DIST(AU$2,$M58,$L58,FALSE)*$U58*((1+Inputs!$D$7)^AU$2))),IF($N58=Lists!$K$3,IF($L58&lt;1,((($T58*(1-$F58)+$S58*(1-$G58))/$L58)*((1+Inputs!$D$7)^AU$2)),((INT(AU$2/$L58)-INT((AU$2-1)/$L58))*($T58*(1-$F58)+$S58*(1-$G58))*((1+Inputs!$D$7)^AU$2))),((_xlfn.WEIBULL.DIST(AU$2,$M58,$L58,FALSE)*($T58*(1-$F58)+$S58*(1-$G58))*((1+Inputs!$D$7)^AU$2))))))</f>
        <v>0</v>
      </c>
      <c r="AV58" s="88">
        <f>$E58*IF(AV$2&gt;Inputs!$D$5,0,IF(AV$2&gt;VLOOKUP($H58,Lists!$P$3:$Q$7,2),IF($N58=Lists!$K$3,IF($L58&lt;1,(($U58/$L58)*((1+Inputs!$D$7)^AV$2)),((INT(AV$2/$L58)-INT((AV$2-1)/$L58))*$U58*((1+Inputs!$D$7)^AV$2))),(_xlfn.WEIBULL.DIST(AV$2,$M58,$L58,FALSE)*$U58*((1+Inputs!$D$7)^AV$2))),IF($N58=Lists!$K$3,IF($L58&lt;1,((($T58*(1-$F58)+$S58*(1-$G58))/$L58)*((1+Inputs!$D$7)^AV$2)),((INT(AV$2/$L58)-INT((AV$2-1)/$L58))*($T58*(1-$F58)+$S58*(1-$G58))*((1+Inputs!$D$7)^AV$2))),((_xlfn.WEIBULL.DIST(AV$2,$M58,$L58,FALSE)*($T58*(1-$F58)+$S58*(1-$G58))*((1+Inputs!$D$7)^AV$2))))))</f>
        <v>0</v>
      </c>
      <c r="AW58" s="88">
        <f>$E58*IF(AW$2&gt;Inputs!$D$5,0,IF(AW$2&gt;VLOOKUP($H58,Lists!$P$3:$Q$7,2),IF($N58=Lists!$K$3,IF($L58&lt;1,(($U58/$L58)*((1+Inputs!$D$7)^AW$2)),((INT(AW$2/$L58)-INT((AW$2-1)/$L58))*$U58*((1+Inputs!$D$7)^AW$2))),(_xlfn.WEIBULL.DIST(AW$2,$M58,$L58,FALSE)*$U58*((1+Inputs!$D$7)^AW$2))),IF($N58=Lists!$K$3,IF($L58&lt;1,((($T58*(1-$F58)+$S58*(1-$G58))/$L58)*((1+Inputs!$D$7)^AW$2)),((INT(AW$2/$L58)-INT((AW$2-1)/$L58))*($T58*(1-$F58)+$S58*(1-$G58))*((1+Inputs!$D$7)^AW$2))),((_xlfn.WEIBULL.DIST(AW$2,$M58,$L58,FALSE)*($T58*(1-$F58)+$S58*(1-$G58))*((1+Inputs!$D$7)^AW$2))))))</f>
        <v>0</v>
      </c>
      <c r="AX58" s="88">
        <f>$E58*IF(AX$2&gt;Inputs!$D$5,0,IF(AX$2&gt;VLOOKUP($H58,Lists!$P$3:$Q$7,2),IF($N58=Lists!$K$3,IF($L58&lt;1,(($U58/$L58)*((1+Inputs!$D$7)^AX$2)),((INT(AX$2/$L58)-INT((AX$2-1)/$L58))*$U58*((1+Inputs!$D$7)^AX$2))),(_xlfn.WEIBULL.DIST(AX$2,$M58,$L58,FALSE)*$U58*((1+Inputs!$D$7)^AX$2))),IF($N58=Lists!$K$3,IF($L58&lt;1,((($T58*(1-$F58)+$S58*(1-$G58))/$L58)*((1+Inputs!$D$7)^AX$2)),((INT(AX$2/$L58)-INT((AX$2-1)/$L58))*($T58*(1-$F58)+$S58*(1-$G58))*((1+Inputs!$D$7)^AX$2))),((_xlfn.WEIBULL.DIST(AX$2,$M58,$L58,FALSE)*($T58*(1-$F58)+$S58*(1-$G58))*((1+Inputs!$D$7)^AX$2))))))</f>
        <v>0</v>
      </c>
      <c r="AY58" s="88">
        <f>$E58*IF(AY$2&gt;Inputs!$D$5,0,IF(AY$2&gt;VLOOKUP($H58,Lists!$P$3:$Q$7,2),IF($N58=Lists!$K$3,IF($L58&lt;1,(($U58/$L58)*((1+Inputs!$D$7)^AY$2)),((INT(AY$2/$L58)-INT((AY$2-1)/$L58))*$U58*((1+Inputs!$D$7)^AY$2))),(_xlfn.WEIBULL.DIST(AY$2,$M58,$L58,FALSE)*$U58*((1+Inputs!$D$7)^AY$2))),IF($N58=Lists!$K$3,IF($L58&lt;1,((($T58*(1-$F58)+$S58*(1-$G58))/$L58)*((1+Inputs!$D$7)^AY$2)),((INT(AY$2/$L58)-INT((AY$2-1)/$L58))*($T58*(1-$F58)+$S58*(1-$G58))*((1+Inputs!$D$7)^AY$2))),((_xlfn.WEIBULL.DIST(AY$2,$M58,$L58,FALSE)*($T58*(1-$F58)+$S58*(1-$G58))*((1+Inputs!$D$7)^AY$2))))))</f>
        <v>0</v>
      </c>
      <c r="AZ58" s="88">
        <f>$E58*IF(AZ$2&gt;Inputs!$D$5,0,IF(AZ$2&gt;VLOOKUP($H58,Lists!$P$3:$Q$7,2),IF($N58=Lists!$K$3,IF($L58&lt;1,(($U58/$L58)*((1+Inputs!$D$7)^AZ$2)),((INT(AZ$2/$L58)-INT((AZ$2-1)/$L58))*$U58*((1+Inputs!$D$7)^AZ$2))),(_xlfn.WEIBULL.DIST(AZ$2,$M58,$L58,FALSE)*$U58*((1+Inputs!$D$7)^AZ$2))),IF($N58=Lists!$K$3,IF($L58&lt;1,((($T58*(1-$F58)+$S58*(1-$G58))/$L58)*((1+Inputs!$D$7)^AZ$2)),((INT(AZ$2/$L58)-INT((AZ$2-1)/$L58))*($T58*(1-$F58)+$S58*(1-$G58))*((1+Inputs!$D$7)^AZ$2))),((_xlfn.WEIBULL.DIST(AZ$2,$M58,$L58,FALSE)*($T58*(1-$F58)+$S58*(1-$G58))*((1+Inputs!$D$7)^AZ$2))))))</f>
        <v>0</v>
      </c>
      <c r="BA58" s="88">
        <f>$E58*IF(BA$2&gt;Inputs!$D$5,0,IF(BA$2&gt;VLOOKUP($H58,Lists!$P$3:$Q$7,2),IF($N58=Lists!$K$3,IF($L58&lt;1,(($U58/$L58)*((1+Inputs!$D$7)^BA$2)),((INT(BA$2/$L58)-INT((BA$2-1)/$L58))*$U58*((1+Inputs!$D$7)^BA$2))),(_xlfn.WEIBULL.DIST(BA$2,$M58,$L58,FALSE)*$U58*((1+Inputs!$D$7)^BA$2))),IF($N58=Lists!$K$3,IF($L58&lt;1,((($T58*(1-$F58)+$S58*(1-$G58))/$L58)*((1+Inputs!$D$7)^BA$2)),((INT(BA$2/$L58)-INT((BA$2-1)/$L58))*($T58*(1-$F58)+$S58*(1-$G58))*((1+Inputs!$D$7)^BA$2))),((_xlfn.WEIBULL.DIST(BA$2,$M58,$L58,FALSE)*($T58*(1-$F58)+$S58*(1-$G58))*((1+Inputs!$D$7)^BA$2))))))</f>
        <v>0</v>
      </c>
      <c r="BB58" s="88">
        <f>$E58*IF(BB$2&gt;Inputs!$D$5,0,IF(BB$2&gt;VLOOKUP($H58,Lists!$P$3:$Q$7,2),IF($N58=Lists!$K$3,IF($L58&lt;1,(($U58/$L58)*((1+Inputs!$D$7)^BB$2)),((INT(BB$2/$L58)-INT((BB$2-1)/$L58))*$U58*((1+Inputs!$D$7)^BB$2))),(_xlfn.WEIBULL.DIST(BB$2,$M58,$L58,FALSE)*$U58*((1+Inputs!$D$7)^BB$2))),IF($N58=Lists!$K$3,IF($L58&lt;1,((($T58*(1-$F58)+$S58*(1-$G58))/$L58)*((1+Inputs!$D$7)^BB$2)),((INT(BB$2/$L58)-INT((BB$2-1)/$L58))*($T58*(1-$F58)+$S58*(1-$G58))*((1+Inputs!$D$7)^BB$2))),((_xlfn.WEIBULL.DIST(BB$2,$M58,$L58,FALSE)*($T58*(1-$F58)+$S58*(1-$G58))*((1+Inputs!$D$7)^BB$2))))))</f>
        <v>0</v>
      </c>
      <c r="BC58" s="88">
        <f>$E58*IF(BC$2&gt;Inputs!$D$5,0,IF(BC$2&gt;VLOOKUP($H58,Lists!$P$3:$Q$7,2),IF($N58=Lists!$K$3,IF($L58&lt;1,(($U58/$L58)*((1+Inputs!$D$7)^BC$2)),((INT(BC$2/$L58)-INT((BC$2-1)/$L58))*$U58*((1+Inputs!$D$7)^BC$2))),(_xlfn.WEIBULL.DIST(BC$2,$M58,$L58,FALSE)*$U58*((1+Inputs!$D$7)^BC$2))),IF($N58=Lists!$K$3,IF($L58&lt;1,((($T58*(1-$F58)+$S58*(1-$G58))/$L58)*((1+Inputs!$D$7)^BC$2)),((INT(BC$2/$L58)-INT((BC$2-1)/$L58))*($T58*(1-$F58)+$S58*(1-$G58))*((1+Inputs!$D$7)^BC$2))),((_xlfn.WEIBULL.DIST(BC$2,$M58,$L58,FALSE)*($T58*(1-$F58)+$S58*(1-$G58))*((1+Inputs!$D$7)^BC$2))))))</f>
        <v>0</v>
      </c>
      <c r="BD58" s="88">
        <f>$E58*IF(BD$2&gt;Inputs!$D$5,0,IF(BD$2&gt;VLOOKUP($H58,Lists!$P$3:$Q$7,2),IF($N58=Lists!$K$3,IF($L58&lt;1,(($U58/$L58)*((1+Inputs!$D$7)^BD$2)),((INT(BD$2/$L58)-INT((BD$2-1)/$L58))*$U58*((1+Inputs!$D$7)^BD$2))),(_xlfn.WEIBULL.DIST(BD$2,$M58,$L58,FALSE)*$U58*((1+Inputs!$D$7)^BD$2))),IF($N58=Lists!$K$3,IF($L58&lt;1,((($T58*(1-$F58)+$S58*(1-$G58))/$L58)*((1+Inputs!$D$7)^BD$2)),((INT(BD$2/$L58)-INT((BD$2-1)/$L58))*($T58*(1-$F58)+$S58*(1-$G58))*((1+Inputs!$D$7)^BD$2))),((_xlfn.WEIBULL.DIST(BD$2,$M58,$L58,FALSE)*($T58*(1-$F58)+$S58*(1-$G58))*((1+Inputs!$D$7)^BD$2))))))</f>
        <v>0</v>
      </c>
      <c r="BE58" s="88">
        <f>$E58*IF(BE$2&gt;Inputs!$D$5,0,IF(BE$2&gt;VLOOKUP($H58,Lists!$P$3:$Q$7,2),IF($N58=Lists!$K$3,IF($L58&lt;1,(($U58/$L58)*((1+Inputs!$D$7)^BE$2)),((INT(BE$2/$L58)-INT((BE$2-1)/$L58))*$U58*((1+Inputs!$D$7)^BE$2))),(_xlfn.WEIBULL.DIST(BE$2,$M58,$L58,FALSE)*$U58*((1+Inputs!$D$7)^BE$2))),IF($N58=Lists!$K$3,IF($L58&lt;1,((($T58*(1-$F58)+$S58*(1-$G58))/$L58)*((1+Inputs!$D$7)^BE$2)),((INT(BE$2/$L58)-INT((BE$2-1)/$L58))*($T58*(1-$F58)+$S58*(1-$G58))*((1+Inputs!$D$7)^BE$2))),((_xlfn.WEIBULL.DIST(BE$2,$M58,$L58,FALSE)*($T58*(1-$F58)+$S58*(1-$G58))*((1+Inputs!$D$7)^BE$2))))))</f>
        <v>0</v>
      </c>
      <c r="BF58" s="88">
        <f>$E58*IF(BF$2&gt;Inputs!$D$5,0,IF(BF$2&gt;VLOOKUP($H58,Lists!$P$3:$Q$7,2),IF($N58=Lists!$K$3,IF($L58&lt;1,(($U58/$L58)*((1+Inputs!$D$7)^BF$2)),((INT(BF$2/$L58)-INT((BF$2-1)/$L58))*$U58*((1+Inputs!$D$7)^BF$2))),(_xlfn.WEIBULL.DIST(BF$2,$M58,$L58,FALSE)*$U58*((1+Inputs!$D$7)^BF$2))),IF($N58=Lists!$K$3,IF($L58&lt;1,((($T58*(1-$F58)+$S58*(1-$G58))/$L58)*((1+Inputs!$D$7)^BF$2)),((INT(BF$2/$L58)-INT((BF$2-1)/$L58))*($T58*(1-$F58)+$S58*(1-$G58))*((1+Inputs!$D$7)^BF$2))),((_xlfn.WEIBULL.DIST(BF$2,$M58,$L58,FALSE)*($T58*(1-$F58)+$S58*(1-$G58))*((1+Inputs!$D$7)^BF$2))))))</f>
        <v>0</v>
      </c>
      <c r="BG58" s="88">
        <f>$E58*IF(BG$2&gt;Inputs!$D$5,0,IF(BG$2&gt;VLOOKUP($H58,Lists!$P$3:$Q$7,2),IF($N58=Lists!$K$3,IF($L58&lt;1,(($U58/$L58)*((1+Inputs!$D$7)^BG$2)),((INT(BG$2/$L58)-INT((BG$2-1)/$L58))*$U58*((1+Inputs!$D$7)^BG$2))),(_xlfn.WEIBULL.DIST(BG$2,$M58,$L58,FALSE)*$U58*((1+Inputs!$D$7)^BG$2))),IF($N58=Lists!$K$3,IF($L58&lt;1,((($T58*(1-$F58)+$S58*(1-$G58))/$L58)*((1+Inputs!$D$7)^BG$2)),((INT(BG$2/$L58)-INT((BG$2-1)/$L58))*($T58*(1-$F58)+$S58*(1-$G58))*((1+Inputs!$D$7)^BG$2))),((_xlfn.WEIBULL.DIST(BG$2,$M58,$L58,FALSE)*($T58*(1-$F58)+$S58*(1-$G58))*((1+Inputs!$D$7)^BG$2))))))</f>
        <v>0</v>
      </c>
      <c r="BH58" s="88">
        <f>$E58*IF(BH$2&gt;Inputs!$D$5,0,IF(BH$2&gt;VLOOKUP($H58,Lists!$P$3:$Q$7,2),IF($N58=Lists!$K$3,IF($L58&lt;1,(($U58/$L58)*((1+Inputs!$D$7)^BH$2)),((INT(BH$2/$L58)-INT((BH$2-1)/$L58))*$U58*((1+Inputs!$D$7)^BH$2))),(_xlfn.WEIBULL.DIST(BH$2,$M58,$L58,FALSE)*$U58*((1+Inputs!$D$7)^BH$2))),IF($N58=Lists!$K$3,IF($L58&lt;1,((($T58*(1-$F58)+$S58*(1-$G58))/$L58)*((1+Inputs!$D$7)^BH$2)),((INT(BH$2/$L58)-INT((BH$2-1)/$L58))*($T58*(1-$F58)+$S58*(1-$G58))*((1+Inputs!$D$7)^BH$2))),((_xlfn.WEIBULL.DIST(BH$2,$M58,$L58,FALSE)*($T58*(1-$F58)+$S58*(1-$G58))*((1+Inputs!$D$7)^BH$2))))))</f>
        <v>0</v>
      </c>
      <c r="BI58" s="88">
        <f>$E58*IF(BI$2&gt;Inputs!$D$5,0,IF(BI$2&gt;VLOOKUP($H58,Lists!$P$3:$Q$7,2),IF($N58=Lists!$K$3,IF($L58&lt;1,(($U58/$L58)*((1+Inputs!$D$7)^BI$2)),((INT(BI$2/$L58)-INT((BI$2-1)/$L58))*$U58*((1+Inputs!$D$7)^BI$2))),(_xlfn.WEIBULL.DIST(BI$2,$M58,$L58,FALSE)*$U58*((1+Inputs!$D$7)^BI$2))),IF($N58=Lists!$K$3,IF($L58&lt;1,((($T58*(1-$F58)+$S58*(1-$G58))/$L58)*((1+Inputs!$D$7)^BI$2)),((INT(BI$2/$L58)-INT((BI$2-1)/$L58))*($T58*(1-$F58)+$S58*(1-$G58))*((1+Inputs!$D$7)^BI$2))),((_xlfn.WEIBULL.DIST(BI$2,$M58,$L58,FALSE)*($T58*(1-$F58)+$S58*(1-$G58))*((1+Inputs!$D$7)^BI$2))))))</f>
        <v>0</v>
      </c>
      <c r="BJ58" s="88">
        <f>$E58*IF(BJ$2&gt;Inputs!$D$5,0,IF(BJ$2&gt;VLOOKUP($H58,Lists!$P$3:$Q$7,2),IF($N58=Lists!$K$3,IF($L58&lt;1,(($U58/$L58)*((1+Inputs!$D$7)^BJ$2)),((INT(BJ$2/$L58)-INT((BJ$2-1)/$L58))*$U58*((1+Inputs!$D$7)^BJ$2))),(_xlfn.WEIBULL.DIST(BJ$2,$M58,$L58,FALSE)*$U58*((1+Inputs!$D$7)^BJ$2))),IF($N58=Lists!$K$3,IF($L58&lt;1,((($T58*(1-$F58)+$S58*(1-$G58))/$L58)*((1+Inputs!$D$7)^BJ$2)),((INT(BJ$2/$L58)-INT((BJ$2-1)/$L58))*($T58*(1-$F58)+$S58*(1-$G58))*((1+Inputs!$D$7)^BJ$2))),((_xlfn.WEIBULL.DIST(BJ$2,$M58,$L58,FALSE)*($T58*(1-$F58)+$S58*(1-$G58))*((1+Inputs!$D$7)^BJ$2))))))</f>
        <v>0</v>
      </c>
      <c r="BK58" s="88">
        <f>$E58*IF(BK$2&gt;Inputs!$D$5,0,IF(BK$2&gt;VLOOKUP($H58,Lists!$P$3:$Q$7,2),IF($N58=Lists!$K$3,IF($L58&lt;1,(($U58/$L58)*((1+Inputs!$D$7)^BK$2)),((INT(BK$2/$L58)-INT((BK$2-1)/$L58))*$U58*((1+Inputs!$D$7)^BK$2))),(_xlfn.WEIBULL.DIST(BK$2,$M58,$L58,FALSE)*$U58*((1+Inputs!$D$7)^BK$2))),IF($N58=Lists!$K$3,IF($L58&lt;1,((($T58*(1-$F58)+$S58*(1-$G58))/$L58)*((1+Inputs!$D$7)^BK$2)),((INT(BK$2/$L58)-INT((BK$2-1)/$L58))*($T58*(1-$F58)+$S58*(1-$G58))*((1+Inputs!$D$7)^BK$2))),((_xlfn.WEIBULL.DIST(BK$2,$M58,$L58,FALSE)*($T58*(1-$F58)+$S58*(1-$G58))*((1+Inputs!$D$7)^BK$2))))))</f>
        <v>0</v>
      </c>
      <c r="BL58" s="88">
        <f>$E58*IF(BL$2&gt;Inputs!$D$5,0,IF(BL$2&gt;VLOOKUP($H58,Lists!$P$3:$Q$7,2),IF($N58=Lists!$K$3,IF($L58&lt;1,(($U58/$L58)*((1+Inputs!$D$7)^BL$2)),((INT(BL$2/$L58)-INT((BL$2-1)/$L58))*$U58*((1+Inputs!$D$7)^BL$2))),(_xlfn.WEIBULL.DIST(BL$2,$M58,$L58,FALSE)*$U58*((1+Inputs!$D$7)^BL$2))),IF($N58=Lists!$K$3,IF($L58&lt;1,((($T58*(1-$F58)+$S58*(1-$G58))/$L58)*((1+Inputs!$D$7)^BL$2)),((INT(BL$2/$L58)-INT((BL$2-1)/$L58))*($T58*(1-$F58)+$S58*(1-$G58))*((1+Inputs!$D$7)^BL$2))),((_xlfn.WEIBULL.DIST(BL$2,$M58,$L58,FALSE)*($T58*(1-$F58)+$S58*(1-$G58))*((1+Inputs!$D$7)^BL$2))))))</f>
        <v>0</v>
      </c>
      <c r="BM58" s="88">
        <f>$E58*IF(BM$2&gt;Inputs!$D$5,0,IF(BM$2&gt;VLOOKUP($H58,Lists!$P$3:$Q$7,2),IF($N58=Lists!$K$3,IF($L58&lt;1,(($U58/$L58)*((1+Inputs!$D$7)^BM$2)),((INT(BM$2/$L58)-INT((BM$2-1)/$L58))*$U58*((1+Inputs!$D$7)^BM$2))),(_xlfn.WEIBULL.DIST(BM$2,$M58,$L58,FALSE)*$U58*((1+Inputs!$D$7)^BM$2))),IF($N58=Lists!$K$3,IF($L58&lt;1,((($T58*(1-$F58)+$S58*(1-$G58))/$L58)*((1+Inputs!$D$7)^BM$2)),((INT(BM$2/$L58)-INT((BM$2-1)/$L58))*($T58*(1-$F58)+$S58*(1-$G58))*((1+Inputs!$D$7)^BM$2))),((_xlfn.WEIBULL.DIST(BM$2,$M58,$L58,FALSE)*($T58*(1-$F58)+$S58*(1-$G58))*((1+Inputs!$D$7)^BM$2))))))</f>
        <v>0</v>
      </c>
      <c r="BN58" s="88">
        <f>$E58*IF(BN$2&gt;Inputs!$D$5,0,IF(BN$2&gt;VLOOKUP($H58,Lists!$P$3:$Q$7,2),IF($N58=Lists!$K$3,IF($L58&lt;1,(($U58/$L58)*((1+Inputs!$D$7)^BN$2)),((INT(BN$2/$L58)-INT((BN$2-1)/$L58))*$U58*((1+Inputs!$D$7)^BN$2))),(_xlfn.WEIBULL.DIST(BN$2,$M58,$L58,FALSE)*$U58*((1+Inputs!$D$7)^BN$2))),IF($N58=Lists!$K$3,IF($L58&lt;1,((($T58*(1-$F58)+$S58*(1-$G58))/$L58)*((1+Inputs!$D$7)^BN$2)),((INT(BN$2/$L58)-INT((BN$2-1)/$L58))*($T58*(1-$F58)+$S58*(1-$G58))*((1+Inputs!$D$7)^BN$2))),((_xlfn.WEIBULL.DIST(BN$2,$M58,$L58,FALSE)*($T58*(1-$F58)+$S58*(1-$G58))*((1+Inputs!$D$7)^BN$2))))))</f>
        <v>0</v>
      </c>
      <c r="BO58" s="64">
        <f>NPV(Inputs!$D$6,BQ58:DD58)</f>
        <v>0</v>
      </c>
      <c r="BP58" s="67">
        <f t="shared" si="13"/>
        <v>0</v>
      </c>
      <c r="BQ58" s="88">
        <f>MAX(AA58,($E58*IF(BQ$2&gt;Inputs!$D$5,0,IF(BQ$2&gt;VLOOKUP($H58,Lists!$P$3:$Q$7,2),IF($N58=Lists!$K$3,IF($L58&lt;1,(($U58/$L58)*((1+Inputs!$D$7)^BQ$2)),((INT(BQ$2/$L58)-INT((BQ$2-1)/$L58))*$U58*((1+Inputs!$D$7)^BQ$2))),(Inputs!$D$8^((1-_xlfn.WEIBULL.DIST(BQ$2,$M58,$L58,FALSE))/_xlfn.WEIBULL.DIST(BQ$2,$M58,$L58,FALSE))*$U58*((1+Inputs!$D$7)^BQ$2))),IF($N58=Lists!$K$3,IF($L58&lt;1,((($T58*(1-$F58)+$S58*(1-$G58))/$L58)*((1+Inputs!$D$7)^BQ$2)),((INT(BQ$2/$L58)-INT((BQ$2-1)/$L58))*($T58*(1-$F58)+$S58*(1-$G58))*((1+Inputs!$D$7)^BQ$2))),((Inputs!$D$8^((1-_xlfn.WEIBULL.DIST(BQ$2,$M58,$L58,FALSE))/_xlfn.WEIBULL.DIST(BQ$2,$M58,$L58,FALSE))*($T58*(1-$F58)+$S58*(1-$G58))*((1+Inputs!$D$7)^BQ$2))))))))</f>
        <v>0</v>
      </c>
      <c r="BR58" s="88">
        <f>MAX(AB58,($E58*IF(BR$2&gt;Inputs!$D$5,0,IF(BR$2&gt;VLOOKUP($H58,Lists!$P$3:$Q$7,2),IF($N58=Lists!$K$3,IF($L58&lt;1,(($U58/$L58)*((1+Inputs!$D$7)^BR$2)),((INT(BR$2/$L58)-INT((BR$2-1)/$L58))*$U58*((1+Inputs!$D$7)^BR$2))),(Inputs!$D$8^((1-_xlfn.WEIBULL.DIST(BR$2,$M58,$L58,FALSE))/_xlfn.WEIBULL.DIST(BR$2,$M58,$L58,FALSE))*$U58*((1+Inputs!$D$7)^BR$2))),IF($N58=Lists!$K$3,IF($L58&lt;1,((($T58*(1-$F58)+$S58*(1-$G58))/$L58)*((1+Inputs!$D$7)^BR$2)),((INT(BR$2/$L58)-INT((BR$2-1)/$L58))*($T58*(1-$F58)+$S58*(1-$G58))*((1+Inputs!$D$7)^BR$2))),((Inputs!$D$8^((1-_xlfn.WEIBULL.DIST(BR$2,$M58,$L58,FALSE))/_xlfn.WEIBULL.DIST(BR$2,$M58,$L58,FALSE))*($T58*(1-$F58)+$S58*(1-$G58))*((1+Inputs!$D$7)^BR$2))))))))</f>
        <v>0</v>
      </c>
      <c r="BS58" s="88">
        <f>MAX(AC58,($E58*IF(BS$2&gt;Inputs!$D$5,0,IF(BS$2&gt;VLOOKUP($H58,Lists!$P$3:$Q$7,2),IF($N58=Lists!$K$3,IF($L58&lt;1,(($U58/$L58)*((1+Inputs!$D$7)^BS$2)),((INT(BS$2/$L58)-INT((BS$2-1)/$L58))*$U58*((1+Inputs!$D$7)^BS$2))),(Inputs!$D$8^((1-_xlfn.WEIBULL.DIST(BS$2,$M58,$L58,FALSE))/_xlfn.WEIBULL.DIST(BS$2,$M58,$L58,FALSE))*$U58*((1+Inputs!$D$7)^BS$2))),IF($N58=Lists!$K$3,IF($L58&lt;1,((($T58*(1-$F58)+$S58*(1-$G58))/$L58)*((1+Inputs!$D$7)^BS$2)),((INT(BS$2/$L58)-INT((BS$2-1)/$L58))*($T58*(1-$F58)+$S58*(1-$G58))*((1+Inputs!$D$7)^BS$2))),((Inputs!$D$8^((1-_xlfn.WEIBULL.DIST(BS$2,$M58,$L58,FALSE))/_xlfn.WEIBULL.DIST(BS$2,$M58,$L58,FALSE))*($T58*(1-$F58)+$S58*(1-$G58))*((1+Inputs!$D$7)^BS$2))))))))</f>
        <v>0</v>
      </c>
      <c r="BT58" s="88">
        <f>MAX(AD58,($E58*IF(BT$2&gt;Inputs!$D$5,0,IF(BT$2&gt;VLOOKUP($H58,Lists!$P$3:$Q$7,2),IF($N58=Lists!$K$3,IF($L58&lt;1,(($U58/$L58)*((1+Inputs!$D$7)^BT$2)),((INT(BT$2/$L58)-INT((BT$2-1)/$L58))*$U58*((1+Inputs!$D$7)^BT$2))),(Inputs!$D$8^((1-_xlfn.WEIBULL.DIST(BT$2,$M58,$L58,FALSE))/_xlfn.WEIBULL.DIST(BT$2,$M58,$L58,FALSE))*$U58*((1+Inputs!$D$7)^BT$2))),IF($N58=Lists!$K$3,IF($L58&lt;1,((($T58*(1-$F58)+$S58*(1-$G58))/$L58)*((1+Inputs!$D$7)^BT$2)),((INT(BT$2/$L58)-INT((BT$2-1)/$L58))*($T58*(1-$F58)+$S58*(1-$G58))*((1+Inputs!$D$7)^BT$2))),((Inputs!$D$8^((1-_xlfn.WEIBULL.DIST(BT$2,$M58,$L58,FALSE))/_xlfn.WEIBULL.DIST(BT$2,$M58,$L58,FALSE))*($T58*(1-$F58)+$S58*(1-$G58))*((1+Inputs!$D$7)^BT$2))))))))</f>
        <v>0</v>
      </c>
      <c r="BU58" s="88">
        <f>MAX(AE58,($E58*IF(BU$2&gt;Inputs!$D$5,0,IF(BU$2&gt;VLOOKUP($H58,Lists!$P$3:$Q$7,2),IF($N58=Lists!$K$3,IF($L58&lt;1,(($U58/$L58)*((1+Inputs!$D$7)^BU$2)),((INT(BU$2/$L58)-INT((BU$2-1)/$L58))*$U58*((1+Inputs!$D$7)^BU$2))),(Inputs!$D$8^((1-_xlfn.WEIBULL.DIST(BU$2,$M58,$L58,FALSE))/_xlfn.WEIBULL.DIST(BU$2,$M58,$L58,FALSE))*$U58*((1+Inputs!$D$7)^BU$2))),IF($N58=Lists!$K$3,IF($L58&lt;1,((($T58*(1-$F58)+$S58*(1-$G58))/$L58)*((1+Inputs!$D$7)^BU$2)),((INT(BU$2/$L58)-INT((BU$2-1)/$L58))*($T58*(1-$F58)+$S58*(1-$G58))*((1+Inputs!$D$7)^BU$2))),((Inputs!$D$8^((1-_xlfn.WEIBULL.DIST(BU$2,$M58,$L58,FALSE))/_xlfn.WEIBULL.DIST(BU$2,$M58,$L58,FALSE))*($T58*(1-$F58)+$S58*(1-$G58))*((1+Inputs!$D$7)^BU$2))))))))</f>
        <v>0</v>
      </c>
      <c r="BV58" s="88">
        <f>MAX(AF58,($E58*IF(BV$2&gt;Inputs!$D$5,0,IF(BV$2&gt;VLOOKUP($H58,Lists!$P$3:$Q$7,2),IF($N58=Lists!$K$3,IF($L58&lt;1,(($U58/$L58)*((1+Inputs!$D$7)^BV$2)),((INT(BV$2/$L58)-INT((BV$2-1)/$L58))*$U58*((1+Inputs!$D$7)^BV$2))),(Inputs!$D$8^((1-_xlfn.WEIBULL.DIST(BV$2,$M58,$L58,FALSE))/_xlfn.WEIBULL.DIST(BV$2,$M58,$L58,FALSE))*$U58*((1+Inputs!$D$7)^BV$2))),IF($N58=Lists!$K$3,IF($L58&lt;1,((($T58*(1-$F58)+$S58*(1-$G58))/$L58)*((1+Inputs!$D$7)^BV$2)),((INT(BV$2/$L58)-INT((BV$2-1)/$L58))*($T58*(1-$F58)+$S58*(1-$G58))*((1+Inputs!$D$7)^BV$2))),((Inputs!$D$8^((1-_xlfn.WEIBULL.DIST(BV$2,$M58,$L58,FALSE))/_xlfn.WEIBULL.DIST(BV$2,$M58,$L58,FALSE))*($T58*(1-$F58)+$S58*(1-$G58))*((1+Inputs!$D$7)^BV$2))))))))</f>
        <v>0</v>
      </c>
      <c r="BW58" s="88">
        <f>MAX(AG58,($E58*IF(BW$2&gt;Inputs!$D$5,0,IF(BW$2&gt;VLOOKUP($H58,Lists!$P$3:$Q$7,2),IF($N58=Lists!$K$3,IF($L58&lt;1,(($U58/$L58)*((1+Inputs!$D$7)^BW$2)),((INT(BW$2/$L58)-INT((BW$2-1)/$L58))*$U58*((1+Inputs!$D$7)^BW$2))),(Inputs!$D$8^((1-_xlfn.WEIBULL.DIST(BW$2,$M58,$L58,FALSE))/_xlfn.WEIBULL.DIST(BW$2,$M58,$L58,FALSE))*$U58*((1+Inputs!$D$7)^BW$2))),IF($N58=Lists!$K$3,IF($L58&lt;1,((($T58*(1-$F58)+$S58*(1-$G58))/$L58)*((1+Inputs!$D$7)^BW$2)),((INT(BW$2/$L58)-INT((BW$2-1)/$L58))*($T58*(1-$F58)+$S58*(1-$G58))*((1+Inputs!$D$7)^BW$2))),((Inputs!$D$8^((1-_xlfn.WEIBULL.DIST(BW$2,$M58,$L58,FALSE))/_xlfn.WEIBULL.DIST(BW$2,$M58,$L58,FALSE))*($T58*(1-$F58)+$S58*(1-$G58))*((1+Inputs!$D$7)^BW$2))))))))</f>
        <v>0</v>
      </c>
      <c r="BX58" s="88">
        <f>MAX(AH58,($E58*IF(BX$2&gt;Inputs!$D$5,0,IF(BX$2&gt;VLOOKUP($H58,Lists!$P$3:$Q$7,2),IF($N58=Lists!$K$3,IF($L58&lt;1,(($U58/$L58)*((1+Inputs!$D$7)^BX$2)),((INT(BX$2/$L58)-INT((BX$2-1)/$L58))*$U58*((1+Inputs!$D$7)^BX$2))),(Inputs!$D$8^((1-_xlfn.WEIBULL.DIST(BX$2,$M58,$L58,FALSE))/_xlfn.WEIBULL.DIST(BX$2,$M58,$L58,FALSE))*$U58*((1+Inputs!$D$7)^BX$2))),IF($N58=Lists!$K$3,IF($L58&lt;1,((($T58*(1-$F58)+$S58*(1-$G58))/$L58)*((1+Inputs!$D$7)^BX$2)),((INT(BX$2/$L58)-INT((BX$2-1)/$L58))*($T58*(1-$F58)+$S58*(1-$G58))*((1+Inputs!$D$7)^BX$2))),((Inputs!$D$8^((1-_xlfn.WEIBULL.DIST(BX$2,$M58,$L58,FALSE))/_xlfn.WEIBULL.DIST(BX$2,$M58,$L58,FALSE))*($T58*(1-$F58)+$S58*(1-$G58))*((1+Inputs!$D$7)^BX$2))))))))</f>
        <v>0</v>
      </c>
      <c r="BY58" s="88">
        <f>MAX(AI58,($E58*IF(BY$2&gt;Inputs!$D$5,0,IF(BY$2&gt;VLOOKUP($H58,Lists!$P$3:$Q$7,2),IF($N58=Lists!$K$3,IF($L58&lt;1,(($U58/$L58)*((1+Inputs!$D$7)^BY$2)),((INT(BY$2/$L58)-INT((BY$2-1)/$L58))*$U58*((1+Inputs!$D$7)^BY$2))),(Inputs!$D$8^((1-_xlfn.WEIBULL.DIST(BY$2,$M58,$L58,FALSE))/_xlfn.WEIBULL.DIST(BY$2,$M58,$L58,FALSE))*$U58*((1+Inputs!$D$7)^BY$2))),IF($N58=Lists!$K$3,IF($L58&lt;1,((($T58*(1-$F58)+$S58*(1-$G58))/$L58)*((1+Inputs!$D$7)^BY$2)),((INT(BY$2/$L58)-INT((BY$2-1)/$L58))*($T58*(1-$F58)+$S58*(1-$G58))*((1+Inputs!$D$7)^BY$2))),((Inputs!$D$8^((1-_xlfn.WEIBULL.DIST(BY$2,$M58,$L58,FALSE))/_xlfn.WEIBULL.DIST(BY$2,$M58,$L58,FALSE))*($T58*(1-$F58)+$S58*(1-$G58))*((1+Inputs!$D$7)^BY$2))))))))</f>
        <v>0</v>
      </c>
      <c r="BZ58" s="88">
        <f>MAX(AJ58,($E58*IF(BZ$2&gt;Inputs!$D$5,0,IF(BZ$2&gt;VLOOKUP($H58,Lists!$P$3:$Q$7,2),IF($N58=Lists!$K$3,IF($L58&lt;1,(($U58/$L58)*((1+Inputs!$D$7)^BZ$2)),((INT(BZ$2/$L58)-INT((BZ$2-1)/$L58))*$U58*((1+Inputs!$D$7)^BZ$2))),(Inputs!$D$8^((1-_xlfn.WEIBULL.DIST(BZ$2,$M58,$L58,FALSE))/_xlfn.WEIBULL.DIST(BZ$2,$M58,$L58,FALSE))*$U58*((1+Inputs!$D$7)^BZ$2))),IF($N58=Lists!$K$3,IF($L58&lt;1,((($T58*(1-$F58)+$S58*(1-$G58))/$L58)*((1+Inputs!$D$7)^BZ$2)),((INT(BZ$2/$L58)-INT((BZ$2-1)/$L58))*($T58*(1-$F58)+$S58*(1-$G58))*((1+Inputs!$D$7)^BZ$2))),((Inputs!$D$8^((1-_xlfn.WEIBULL.DIST(BZ$2,$M58,$L58,FALSE))/_xlfn.WEIBULL.DIST(BZ$2,$M58,$L58,FALSE))*($T58*(1-$F58)+$S58*(1-$G58))*((1+Inputs!$D$7)^BZ$2))))))))</f>
        <v>0</v>
      </c>
      <c r="CA58" s="88">
        <f>MAX(AK58,($E58*IF(CA$2&gt;Inputs!$D$5,0,IF(CA$2&gt;VLOOKUP($H58,Lists!$P$3:$Q$7,2),IF($N58=Lists!$K$3,IF($L58&lt;1,(($U58/$L58)*((1+Inputs!$D$7)^CA$2)),((INT(CA$2/$L58)-INT((CA$2-1)/$L58))*$U58*((1+Inputs!$D$7)^CA$2))),(Inputs!$D$8^((1-_xlfn.WEIBULL.DIST(CA$2,$M58,$L58,FALSE))/_xlfn.WEIBULL.DIST(CA$2,$M58,$L58,FALSE))*$U58*((1+Inputs!$D$7)^CA$2))),IF($N58=Lists!$K$3,IF($L58&lt;1,((($T58*(1-$F58)+$S58*(1-$G58))/$L58)*((1+Inputs!$D$7)^CA$2)),((INT(CA$2/$L58)-INT((CA$2-1)/$L58))*($T58*(1-$F58)+$S58*(1-$G58))*((1+Inputs!$D$7)^CA$2))),((Inputs!$D$8^((1-_xlfn.WEIBULL.DIST(CA$2,$M58,$L58,FALSE))/_xlfn.WEIBULL.DIST(CA$2,$M58,$L58,FALSE))*($T58*(1-$F58)+$S58*(1-$G58))*((1+Inputs!$D$7)^CA$2))))))))</f>
        <v>0</v>
      </c>
      <c r="CB58" s="88">
        <f>MAX(AL58,($E58*IF(CB$2&gt;Inputs!$D$5,0,IF(CB$2&gt;VLOOKUP($H58,Lists!$P$3:$Q$7,2),IF($N58=Lists!$K$3,IF($L58&lt;1,(($U58/$L58)*((1+Inputs!$D$7)^CB$2)),((INT(CB$2/$L58)-INT((CB$2-1)/$L58))*$U58*((1+Inputs!$D$7)^CB$2))),(Inputs!$D$8^((1-_xlfn.WEIBULL.DIST(CB$2,$M58,$L58,FALSE))/_xlfn.WEIBULL.DIST(CB$2,$M58,$L58,FALSE))*$U58*((1+Inputs!$D$7)^CB$2))),IF($N58=Lists!$K$3,IF($L58&lt;1,((($T58*(1-$F58)+$S58*(1-$G58))/$L58)*((1+Inputs!$D$7)^CB$2)),((INT(CB$2/$L58)-INT((CB$2-1)/$L58))*($T58*(1-$F58)+$S58*(1-$G58))*((1+Inputs!$D$7)^CB$2))),((Inputs!$D$8^((1-_xlfn.WEIBULL.DIST(CB$2,$M58,$L58,FALSE))/_xlfn.WEIBULL.DIST(CB$2,$M58,$L58,FALSE))*($T58*(1-$F58)+$S58*(1-$G58))*((1+Inputs!$D$7)^CB$2))))))))</f>
        <v>0</v>
      </c>
      <c r="CC58" s="88">
        <f>MAX(AM58,($E58*IF(CC$2&gt;Inputs!$D$5,0,IF(CC$2&gt;VLOOKUP($H58,Lists!$P$3:$Q$7,2),IF($N58=Lists!$K$3,IF($L58&lt;1,(($U58/$L58)*((1+Inputs!$D$7)^CC$2)),((INT(CC$2/$L58)-INT((CC$2-1)/$L58))*$U58*((1+Inputs!$D$7)^CC$2))),(Inputs!$D$8^((1-_xlfn.WEIBULL.DIST(CC$2,$M58,$L58,FALSE))/_xlfn.WEIBULL.DIST(CC$2,$M58,$L58,FALSE))*$U58*((1+Inputs!$D$7)^CC$2))),IF($N58=Lists!$K$3,IF($L58&lt;1,((($T58*(1-$F58)+$S58*(1-$G58))/$L58)*((1+Inputs!$D$7)^CC$2)),((INT(CC$2/$L58)-INT((CC$2-1)/$L58))*($T58*(1-$F58)+$S58*(1-$G58))*((1+Inputs!$D$7)^CC$2))),((Inputs!$D$8^((1-_xlfn.WEIBULL.DIST(CC$2,$M58,$L58,FALSE))/_xlfn.WEIBULL.DIST(CC$2,$M58,$L58,FALSE))*($T58*(1-$F58)+$S58*(1-$G58))*((1+Inputs!$D$7)^CC$2))))))))</f>
        <v>0</v>
      </c>
      <c r="CD58" s="88">
        <f>MAX(AN58,($E58*IF(CD$2&gt;Inputs!$D$5,0,IF(CD$2&gt;VLOOKUP($H58,Lists!$P$3:$Q$7,2),IF($N58=Lists!$K$3,IF($L58&lt;1,(($U58/$L58)*((1+Inputs!$D$7)^CD$2)),((INT(CD$2/$L58)-INT((CD$2-1)/$L58))*$U58*((1+Inputs!$D$7)^CD$2))),(Inputs!$D$8^((1-_xlfn.WEIBULL.DIST(CD$2,$M58,$L58,FALSE))/_xlfn.WEIBULL.DIST(CD$2,$M58,$L58,FALSE))*$U58*((1+Inputs!$D$7)^CD$2))),IF($N58=Lists!$K$3,IF($L58&lt;1,((($T58*(1-$F58)+$S58*(1-$G58))/$L58)*((1+Inputs!$D$7)^CD$2)),((INT(CD$2/$L58)-INT((CD$2-1)/$L58))*($T58*(1-$F58)+$S58*(1-$G58))*((1+Inputs!$D$7)^CD$2))),((Inputs!$D$8^((1-_xlfn.WEIBULL.DIST(CD$2,$M58,$L58,FALSE))/_xlfn.WEIBULL.DIST(CD$2,$M58,$L58,FALSE))*($T58*(1-$F58)+$S58*(1-$G58))*((1+Inputs!$D$7)^CD$2))))))))</f>
        <v>0</v>
      </c>
      <c r="CE58" s="88">
        <f>MAX(AO58,($E58*IF(CE$2&gt;Inputs!$D$5,0,IF(CE$2&gt;VLOOKUP($H58,Lists!$P$3:$Q$7,2),IF($N58=Lists!$K$3,IF($L58&lt;1,(($U58/$L58)*((1+Inputs!$D$7)^CE$2)),((INT(CE$2/$L58)-INT((CE$2-1)/$L58))*$U58*((1+Inputs!$D$7)^CE$2))),(Inputs!$D$8^((1-_xlfn.WEIBULL.DIST(CE$2,$M58,$L58,FALSE))/_xlfn.WEIBULL.DIST(CE$2,$M58,$L58,FALSE))*$U58*((1+Inputs!$D$7)^CE$2))),IF($N58=Lists!$K$3,IF($L58&lt;1,((($T58*(1-$F58)+$S58*(1-$G58))/$L58)*((1+Inputs!$D$7)^CE$2)),((INT(CE$2/$L58)-INT((CE$2-1)/$L58))*($T58*(1-$F58)+$S58*(1-$G58))*((1+Inputs!$D$7)^CE$2))),((Inputs!$D$8^((1-_xlfn.WEIBULL.DIST(CE$2,$M58,$L58,FALSE))/_xlfn.WEIBULL.DIST(CE$2,$M58,$L58,FALSE))*($T58*(1-$F58)+$S58*(1-$G58))*((1+Inputs!$D$7)^CE$2))))))))</f>
        <v>0</v>
      </c>
      <c r="CF58" s="88">
        <f>MAX(AP58,($E58*IF(CF$2&gt;Inputs!$D$5,0,IF(CF$2&gt;VLOOKUP($H58,Lists!$P$3:$Q$7,2),IF($N58=Lists!$K$3,IF($L58&lt;1,(($U58/$L58)*((1+Inputs!$D$7)^CF$2)),((INT(CF$2/$L58)-INT((CF$2-1)/$L58))*$U58*((1+Inputs!$D$7)^CF$2))),(Inputs!$D$8^((1-_xlfn.WEIBULL.DIST(CF$2,$M58,$L58,FALSE))/_xlfn.WEIBULL.DIST(CF$2,$M58,$L58,FALSE))*$U58*((1+Inputs!$D$7)^CF$2))),IF($N58=Lists!$K$3,IF($L58&lt;1,((($T58*(1-$F58)+$S58*(1-$G58))/$L58)*((1+Inputs!$D$7)^CF$2)),((INT(CF$2/$L58)-INT((CF$2-1)/$L58))*($T58*(1-$F58)+$S58*(1-$G58))*((1+Inputs!$D$7)^CF$2))),((Inputs!$D$8^((1-_xlfn.WEIBULL.DIST(CF$2,$M58,$L58,FALSE))/_xlfn.WEIBULL.DIST(CF$2,$M58,$L58,FALSE))*($T58*(1-$F58)+$S58*(1-$G58))*((1+Inputs!$D$7)^CF$2))))))))</f>
        <v>0</v>
      </c>
      <c r="CG58" s="88">
        <f>MAX(AQ58,($E58*IF(CG$2&gt;Inputs!$D$5,0,IF(CG$2&gt;VLOOKUP($H58,Lists!$P$3:$Q$7,2),IF($N58=Lists!$K$3,IF($L58&lt;1,(($U58/$L58)*((1+Inputs!$D$7)^CG$2)),((INT(CG$2/$L58)-INT((CG$2-1)/$L58))*$U58*((1+Inputs!$D$7)^CG$2))),(Inputs!$D$8^((1-_xlfn.WEIBULL.DIST(CG$2,$M58,$L58,FALSE))/_xlfn.WEIBULL.DIST(CG$2,$M58,$L58,FALSE))*$U58*((1+Inputs!$D$7)^CG$2))),IF($N58=Lists!$K$3,IF($L58&lt;1,((($T58*(1-$F58)+$S58*(1-$G58))/$L58)*((1+Inputs!$D$7)^CG$2)),((INT(CG$2/$L58)-INT((CG$2-1)/$L58))*($T58*(1-$F58)+$S58*(1-$G58))*((1+Inputs!$D$7)^CG$2))),((Inputs!$D$8^((1-_xlfn.WEIBULL.DIST(CG$2,$M58,$L58,FALSE))/_xlfn.WEIBULL.DIST(CG$2,$M58,$L58,FALSE))*($T58*(1-$F58)+$S58*(1-$G58))*((1+Inputs!$D$7)^CG$2))))))))</f>
        <v>0</v>
      </c>
      <c r="CH58" s="88">
        <f>MAX(AR58,($E58*IF(CH$2&gt;Inputs!$D$5,0,IF(CH$2&gt;VLOOKUP($H58,Lists!$P$3:$Q$7,2),IF($N58=Lists!$K$3,IF($L58&lt;1,(($U58/$L58)*((1+Inputs!$D$7)^CH$2)),((INT(CH$2/$L58)-INT((CH$2-1)/$L58))*$U58*((1+Inputs!$D$7)^CH$2))),(Inputs!$D$8^((1-_xlfn.WEIBULL.DIST(CH$2,$M58,$L58,FALSE))/_xlfn.WEIBULL.DIST(CH$2,$M58,$L58,FALSE))*$U58*((1+Inputs!$D$7)^CH$2))),IF($N58=Lists!$K$3,IF($L58&lt;1,((($T58*(1-$F58)+$S58*(1-$G58))/$L58)*((1+Inputs!$D$7)^CH$2)),((INT(CH$2/$L58)-INT((CH$2-1)/$L58))*($T58*(1-$F58)+$S58*(1-$G58))*((1+Inputs!$D$7)^CH$2))),((Inputs!$D$8^((1-_xlfn.WEIBULL.DIST(CH$2,$M58,$L58,FALSE))/_xlfn.WEIBULL.DIST(CH$2,$M58,$L58,FALSE))*($T58*(1-$F58)+$S58*(1-$G58))*((1+Inputs!$D$7)^CH$2))))))))</f>
        <v>0</v>
      </c>
      <c r="CI58" s="88">
        <f>MAX(AS58,($E58*IF(CI$2&gt;Inputs!$D$5,0,IF(CI$2&gt;VLOOKUP($H58,Lists!$P$3:$Q$7,2),IF($N58=Lists!$K$3,IF($L58&lt;1,(($U58/$L58)*((1+Inputs!$D$7)^CI$2)),((INT(CI$2/$L58)-INT((CI$2-1)/$L58))*$U58*((1+Inputs!$D$7)^CI$2))),(Inputs!$D$8^((1-_xlfn.WEIBULL.DIST(CI$2,$M58,$L58,FALSE))/_xlfn.WEIBULL.DIST(CI$2,$M58,$L58,FALSE))*$U58*((1+Inputs!$D$7)^CI$2))),IF($N58=Lists!$K$3,IF($L58&lt;1,((($T58*(1-$F58)+$S58*(1-$G58))/$L58)*((1+Inputs!$D$7)^CI$2)),((INT(CI$2/$L58)-INT((CI$2-1)/$L58))*($T58*(1-$F58)+$S58*(1-$G58))*((1+Inputs!$D$7)^CI$2))),((Inputs!$D$8^((1-_xlfn.WEIBULL.DIST(CI$2,$M58,$L58,FALSE))/_xlfn.WEIBULL.DIST(CI$2,$M58,$L58,FALSE))*($T58*(1-$F58)+$S58*(1-$G58))*((1+Inputs!$D$7)^CI$2))))))))</f>
        <v>0</v>
      </c>
      <c r="CJ58" s="88">
        <f>MAX(AT58,($E58*IF(CJ$2&gt;Inputs!$D$5,0,IF(CJ$2&gt;VLOOKUP($H58,Lists!$P$3:$Q$7,2),IF($N58=Lists!$K$3,IF($L58&lt;1,(($U58/$L58)*((1+Inputs!$D$7)^CJ$2)),((INT(CJ$2/$L58)-INT((CJ$2-1)/$L58))*$U58*((1+Inputs!$D$7)^CJ$2))),(Inputs!$D$8^((1-_xlfn.WEIBULL.DIST(CJ$2,$M58,$L58,FALSE))/_xlfn.WEIBULL.DIST(CJ$2,$M58,$L58,FALSE))*$U58*((1+Inputs!$D$7)^CJ$2))),IF($N58=Lists!$K$3,IF($L58&lt;1,((($T58*(1-$F58)+$S58*(1-$G58))/$L58)*((1+Inputs!$D$7)^CJ$2)),((INT(CJ$2/$L58)-INT((CJ$2-1)/$L58))*($T58*(1-$F58)+$S58*(1-$G58))*((1+Inputs!$D$7)^CJ$2))),((Inputs!$D$8^((1-_xlfn.WEIBULL.DIST(CJ$2,$M58,$L58,FALSE))/_xlfn.WEIBULL.DIST(CJ$2,$M58,$L58,FALSE))*($T58*(1-$F58)+$S58*(1-$G58))*((1+Inputs!$D$7)^CJ$2))))))))</f>
        <v>0</v>
      </c>
      <c r="CK58" s="88">
        <f>MAX(AU58,($E58*IF(CK$2&gt;Inputs!$D$5,0,IF(CK$2&gt;VLOOKUP($H58,Lists!$P$3:$Q$7,2),IF($N58=Lists!$K$3,IF($L58&lt;1,(($U58/$L58)*((1+Inputs!$D$7)^CK$2)),((INT(CK$2/$L58)-INT((CK$2-1)/$L58))*$U58*((1+Inputs!$D$7)^CK$2))),(Inputs!$D$8^((1-_xlfn.WEIBULL.DIST(CK$2,$M58,$L58,FALSE))/_xlfn.WEIBULL.DIST(CK$2,$M58,$L58,FALSE))*$U58*((1+Inputs!$D$7)^CK$2))),IF($N58=Lists!$K$3,IF($L58&lt;1,((($T58*(1-$F58)+$S58*(1-$G58))/$L58)*((1+Inputs!$D$7)^CK$2)),((INT(CK$2/$L58)-INT((CK$2-1)/$L58))*($T58*(1-$F58)+$S58*(1-$G58))*((1+Inputs!$D$7)^CK$2))),((Inputs!$D$8^((1-_xlfn.WEIBULL.DIST(CK$2,$M58,$L58,FALSE))/_xlfn.WEIBULL.DIST(CK$2,$M58,$L58,FALSE))*($T58*(1-$F58)+$S58*(1-$G58))*((1+Inputs!$D$7)^CK$2))))))))</f>
        <v>0</v>
      </c>
      <c r="CL58" s="88">
        <f>MAX(AV58,($E58*IF(CL$2&gt;Inputs!$D$5,0,IF(CL$2&gt;VLOOKUP($H58,Lists!$P$3:$Q$7,2),IF($N58=Lists!$K$3,IF($L58&lt;1,(($U58/$L58)*((1+Inputs!$D$7)^CL$2)),((INT(CL$2/$L58)-INT((CL$2-1)/$L58))*$U58*((1+Inputs!$D$7)^CL$2))),(Inputs!$D$8^((1-_xlfn.WEIBULL.DIST(CL$2,$M58,$L58,FALSE))/_xlfn.WEIBULL.DIST(CL$2,$M58,$L58,FALSE))*$U58*((1+Inputs!$D$7)^CL$2))),IF($N58=Lists!$K$3,IF($L58&lt;1,((($T58*(1-$F58)+$S58*(1-$G58))/$L58)*((1+Inputs!$D$7)^CL$2)),((INT(CL$2/$L58)-INT((CL$2-1)/$L58))*($T58*(1-$F58)+$S58*(1-$G58))*((1+Inputs!$D$7)^CL$2))),((Inputs!$D$8^((1-_xlfn.WEIBULL.DIST(CL$2,$M58,$L58,FALSE))/_xlfn.WEIBULL.DIST(CL$2,$M58,$L58,FALSE))*($T58*(1-$F58)+$S58*(1-$G58))*((1+Inputs!$D$7)^CL$2))))))))</f>
        <v>0</v>
      </c>
      <c r="CM58" s="88">
        <f>MAX(AW58,($E58*IF(CM$2&gt;Inputs!$D$5,0,IF(CM$2&gt;VLOOKUP($H58,Lists!$P$3:$Q$7,2),IF($N58=Lists!$K$3,IF($L58&lt;1,(($U58/$L58)*((1+Inputs!$D$7)^CM$2)),((INT(CM$2/$L58)-INT((CM$2-1)/$L58))*$U58*((1+Inputs!$D$7)^CM$2))),(Inputs!$D$8^((1-_xlfn.WEIBULL.DIST(CM$2,$M58,$L58,FALSE))/_xlfn.WEIBULL.DIST(CM$2,$M58,$L58,FALSE))*$U58*((1+Inputs!$D$7)^CM$2))),IF($N58=Lists!$K$3,IF($L58&lt;1,((($T58*(1-$F58)+$S58*(1-$G58))/$L58)*((1+Inputs!$D$7)^CM$2)),((INT(CM$2/$L58)-INT((CM$2-1)/$L58))*($T58*(1-$F58)+$S58*(1-$G58))*((1+Inputs!$D$7)^CM$2))),((Inputs!$D$8^((1-_xlfn.WEIBULL.DIST(CM$2,$M58,$L58,FALSE))/_xlfn.WEIBULL.DIST(CM$2,$M58,$L58,FALSE))*($T58*(1-$F58)+$S58*(1-$G58))*((1+Inputs!$D$7)^CM$2))))))))</f>
        <v>0</v>
      </c>
      <c r="CN58" s="88">
        <f>MAX(AX58,($E58*IF(CN$2&gt;Inputs!$D$5,0,IF(CN$2&gt;VLOOKUP($H58,Lists!$P$3:$Q$7,2),IF($N58=Lists!$K$3,IF($L58&lt;1,(($U58/$L58)*((1+Inputs!$D$7)^CN$2)),((INT(CN$2/$L58)-INT((CN$2-1)/$L58))*$U58*((1+Inputs!$D$7)^CN$2))),(Inputs!$D$8^((1-_xlfn.WEIBULL.DIST(CN$2,$M58,$L58,FALSE))/_xlfn.WEIBULL.DIST(CN$2,$M58,$L58,FALSE))*$U58*((1+Inputs!$D$7)^CN$2))),IF($N58=Lists!$K$3,IF($L58&lt;1,((($T58*(1-$F58)+$S58*(1-$G58))/$L58)*((1+Inputs!$D$7)^CN$2)),((INT(CN$2/$L58)-INT((CN$2-1)/$L58))*($T58*(1-$F58)+$S58*(1-$G58))*((1+Inputs!$D$7)^CN$2))),((Inputs!$D$8^((1-_xlfn.WEIBULL.DIST(CN$2,$M58,$L58,FALSE))/_xlfn.WEIBULL.DIST(CN$2,$M58,$L58,FALSE))*($T58*(1-$F58)+$S58*(1-$G58))*((1+Inputs!$D$7)^CN$2))))))))</f>
        <v>0</v>
      </c>
      <c r="CO58" s="88">
        <f>MAX(AY58,($E58*IF(CO$2&gt;Inputs!$D$5,0,IF(CO$2&gt;VLOOKUP($H58,Lists!$P$3:$Q$7,2),IF($N58=Lists!$K$3,IF($L58&lt;1,(($U58/$L58)*((1+Inputs!$D$7)^CO$2)),((INT(CO$2/$L58)-INT((CO$2-1)/$L58))*$U58*((1+Inputs!$D$7)^CO$2))),(Inputs!$D$8^((1-_xlfn.WEIBULL.DIST(CO$2,$M58,$L58,FALSE))/_xlfn.WEIBULL.DIST(CO$2,$M58,$L58,FALSE))*$U58*((1+Inputs!$D$7)^CO$2))),IF($N58=Lists!$K$3,IF($L58&lt;1,((($T58*(1-$F58)+$S58*(1-$G58))/$L58)*((1+Inputs!$D$7)^CO$2)),((INT(CO$2/$L58)-INT((CO$2-1)/$L58))*($T58*(1-$F58)+$S58*(1-$G58))*((1+Inputs!$D$7)^CO$2))),((Inputs!$D$8^((1-_xlfn.WEIBULL.DIST(CO$2,$M58,$L58,FALSE))/_xlfn.WEIBULL.DIST(CO$2,$M58,$L58,FALSE))*($T58*(1-$F58)+$S58*(1-$G58))*((1+Inputs!$D$7)^CO$2))))))))</f>
        <v>0</v>
      </c>
      <c r="CP58" s="88">
        <f>MAX(AZ58,($E58*IF(CP$2&gt;Inputs!$D$5,0,IF(CP$2&gt;VLOOKUP($H58,Lists!$P$3:$Q$7,2),IF($N58=Lists!$K$3,IF($L58&lt;1,(($U58/$L58)*((1+Inputs!$D$7)^CP$2)),((INT(CP$2/$L58)-INT((CP$2-1)/$L58))*$U58*((1+Inputs!$D$7)^CP$2))),(Inputs!$D$8^((1-_xlfn.WEIBULL.DIST(CP$2,$M58,$L58,FALSE))/_xlfn.WEIBULL.DIST(CP$2,$M58,$L58,FALSE))*$U58*((1+Inputs!$D$7)^CP$2))),IF($N58=Lists!$K$3,IF($L58&lt;1,((($T58*(1-$F58)+$S58*(1-$G58))/$L58)*((1+Inputs!$D$7)^CP$2)),((INT(CP$2/$L58)-INT((CP$2-1)/$L58))*($T58*(1-$F58)+$S58*(1-$G58))*((1+Inputs!$D$7)^CP$2))),((Inputs!$D$8^((1-_xlfn.WEIBULL.DIST(CP$2,$M58,$L58,FALSE))/_xlfn.WEIBULL.DIST(CP$2,$M58,$L58,FALSE))*($T58*(1-$F58)+$S58*(1-$G58))*((1+Inputs!$D$7)^CP$2))))))))</f>
        <v>0</v>
      </c>
      <c r="CQ58" s="88">
        <f>MAX(BA58,($E58*IF(CQ$2&gt;Inputs!$D$5,0,IF(CQ$2&gt;VLOOKUP($H58,Lists!$P$3:$Q$7,2),IF($N58=Lists!$K$3,IF($L58&lt;1,(($U58/$L58)*((1+Inputs!$D$7)^CQ$2)),((INT(CQ$2/$L58)-INT((CQ$2-1)/$L58))*$U58*((1+Inputs!$D$7)^CQ$2))),(Inputs!$D$8^((1-_xlfn.WEIBULL.DIST(CQ$2,$M58,$L58,FALSE))/_xlfn.WEIBULL.DIST(CQ$2,$M58,$L58,FALSE))*$U58*((1+Inputs!$D$7)^CQ$2))),IF($N58=Lists!$K$3,IF($L58&lt;1,((($T58*(1-$F58)+$S58*(1-$G58))/$L58)*((1+Inputs!$D$7)^CQ$2)),((INT(CQ$2/$L58)-INT((CQ$2-1)/$L58))*($T58*(1-$F58)+$S58*(1-$G58))*((1+Inputs!$D$7)^CQ$2))),((Inputs!$D$8^((1-_xlfn.WEIBULL.DIST(CQ$2,$M58,$L58,FALSE))/_xlfn.WEIBULL.DIST(CQ$2,$M58,$L58,FALSE))*($T58*(1-$F58)+$S58*(1-$G58))*((1+Inputs!$D$7)^CQ$2))))))))</f>
        <v>0</v>
      </c>
      <c r="CR58" s="88">
        <f>MAX(BB58,($E58*IF(CR$2&gt;Inputs!$D$5,0,IF(CR$2&gt;VLOOKUP($H58,Lists!$P$3:$Q$7,2),IF($N58=Lists!$K$3,IF($L58&lt;1,(($U58/$L58)*((1+Inputs!$D$7)^CR$2)),((INT(CR$2/$L58)-INT((CR$2-1)/$L58))*$U58*((1+Inputs!$D$7)^CR$2))),(Inputs!$D$8^((1-_xlfn.WEIBULL.DIST(CR$2,$M58,$L58,FALSE))/_xlfn.WEIBULL.DIST(CR$2,$M58,$L58,FALSE))*$U58*((1+Inputs!$D$7)^CR$2))),IF($N58=Lists!$K$3,IF($L58&lt;1,((($T58*(1-$F58)+$S58*(1-$G58))/$L58)*((1+Inputs!$D$7)^CR$2)),((INT(CR$2/$L58)-INT((CR$2-1)/$L58))*($T58*(1-$F58)+$S58*(1-$G58))*((1+Inputs!$D$7)^CR$2))),((Inputs!$D$8^((1-_xlfn.WEIBULL.DIST(CR$2,$M58,$L58,FALSE))/_xlfn.WEIBULL.DIST(CR$2,$M58,$L58,FALSE))*($T58*(1-$F58)+$S58*(1-$G58))*((1+Inputs!$D$7)^CR$2))))))))</f>
        <v>0</v>
      </c>
      <c r="CS58" s="88">
        <f>MAX(BC58,($E58*IF(CS$2&gt;Inputs!$D$5,0,IF(CS$2&gt;VLOOKUP($H58,Lists!$P$3:$Q$7,2),IF($N58=Lists!$K$3,IF($L58&lt;1,(($U58/$L58)*((1+Inputs!$D$7)^CS$2)),((INT(CS$2/$L58)-INT((CS$2-1)/$L58))*$U58*((1+Inputs!$D$7)^CS$2))),(Inputs!$D$8^((1-_xlfn.WEIBULL.DIST(CS$2,$M58,$L58,FALSE))/_xlfn.WEIBULL.DIST(CS$2,$M58,$L58,FALSE))*$U58*((1+Inputs!$D$7)^CS$2))),IF($N58=Lists!$K$3,IF($L58&lt;1,((($T58*(1-$F58)+$S58*(1-$G58))/$L58)*((1+Inputs!$D$7)^CS$2)),((INT(CS$2/$L58)-INT((CS$2-1)/$L58))*($T58*(1-$F58)+$S58*(1-$G58))*((1+Inputs!$D$7)^CS$2))),((Inputs!$D$8^((1-_xlfn.WEIBULL.DIST(CS$2,$M58,$L58,FALSE))/_xlfn.WEIBULL.DIST(CS$2,$M58,$L58,FALSE))*($T58*(1-$F58)+$S58*(1-$G58))*((1+Inputs!$D$7)^CS$2))))))))</f>
        <v>0</v>
      </c>
      <c r="CT58" s="88">
        <f>MAX(BD58,($E58*IF(CT$2&gt;Inputs!$D$5,0,IF(CT$2&gt;VLOOKUP($H58,Lists!$P$3:$Q$7,2),IF($N58=Lists!$K$3,IF($L58&lt;1,(($U58/$L58)*((1+Inputs!$D$7)^CT$2)),((INT(CT$2/$L58)-INT((CT$2-1)/$L58))*$U58*((1+Inputs!$D$7)^CT$2))),(Inputs!$D$8^((1-_xlfn.WEIBULL.DIST(CT$2,$M58,$L58,FALSE))/_xlfn.WEIBULL.DIST(CT$2,$M58,$L58,FALSE))*$U58*((1+Inputs!$D$7)^CT$2))),IF($N58=Lists!$K$3,IF($L58&lt;1,((($T58*(1-$F58)+$S58*(1-$G58))/$L58)*((1+Inputs!$D$7)^CT$2)),((INT(CT$2/$L58)-INT((CT$2-1)/$L58))*($T58*(1-$F58)+$S58*(1-$G58))*((1+Inputs!$D$7)^CT$2))),((Inputs!$D$8^((1-_xlfn.WEIBULL.DIST(CT$2,$M58,$L58,FALSE))/_xlfn.WEIBULL.DIST(CT$2,$M58,$L58,FALSE))*($T58*(1-$F58)+$S58*(1-$G58))*((1+Inputs!$D$7)^CT$2))))))))</f>
        <v>0</v>
      </c>
      <c r="CU58" s="88">
        <f>MAX(BE58,($E58*IF(CU$2&gt;Inputs!$D$5,0,IF(CU$2&gt;VLOOKUP($H58,Lists!$P$3:$Q$7,2),IF($N58=Lists!$K$3,IF($L58&lt;1,(($U58/$L58)*((1+Inputs!$D$7)^CU$2)),((INT(CU$2/$L58)-INT((CU$2-1)/$L58))*$U58*((1+Inputs!$D$7)^CU$2))),(Inputs!$D$8^((1-_xlfn.WEIBULL.DIST(CU$2,$M58,$L58,FALSE))/_xlfn.WEIBULL.DIST(CU$2,$M58,$L58,FALSE))*$U58*((1+Inputs!$D$7)^CU$2))),IF($N58=Lists!$K$3,IF($L58&lt;1,((($T58*(1-$F58)+$S58*(1-$G58))/$L58)*((1+Inputs!$D$7)^CU$2)),((INT(CU$2/$L58)-INT((CU$2-1)/$L58))*($T58*(1-$F58)+$S58*(1-$G58))*((1+Inputs!$D$7)^CU$2))),((Inputs!$D$8^((1-_xlfn.WEIBULL.DIST(CU$2,$M58,$L58,FALSE))/_xlfn.WEIBULL.DIST(CU$2,$M58,$L58,FALSE))*($T58*(1-$F58)+$S58*(1-$G58))*((1+Inputs!$D$7)^CU$2))))))))</f>
        <v>0</v>
      </c>
      <c r="CV58" s="88">
        <f>MAX(BF58,($E58*IF(CV$2&gt;Inputs!$D$5,0,IF(CV$2&gt;VLOOKUP($H58,Lists!$P$3:$Q$7,2),IF($N58=Lists!$K$3,IF($L58&lt;1,(($U58/$L58)*((1+Inputs!$D$7)^CV$2)),((INT(CV$2/$L58)-INT((CV$2-1)/$L58))*$U58*((1+Inputs!$D$7)^CV$2))),(Inputs!$D$8^((1-_xlfn.WEIBULL.DIST(CV$2,$M58,$L58,FALSE))/_xlfn.WEIBULL.DIST(CV$2,$M58,$L58,FALSE))*$U58*((1+Inputs!$D$7)^CV$2))),IF($N58=Lists!$K$3,IF($L58&lt;1,((($T58*(1-$F58)+$S58*(1-$G58))/$L58)*((1+Inputs!$D$7)^CV$2)),((INT(CV$2/$L58)-INT((CV$2-1)/$L58))*($T58*(1-$F58)+$S58*(1-$G58))*((1+Inputs!$D$7)^CV$2))),((Inputs!$D$8^((1-_xlfn.WEIBULL.DIST(CV$2,$M58,$L58,FALSE))/_xlfn.WEIBULL.DIST(CV$2,$M58,$L58,FALSE))*($T58*(1-$F58)+$S58*(1-$G58))*((1+Inputs!$D$7)^CV$2))))))))</f>
        <v>0</v>
      </c>
      <c r="CW58" s="88">
        <f>MAX(BG58,($E58*IF(CW$2&gt;Inputs!$D$5,0,IF(CW$2&gt;VLOOKUP($H58,Lists!$P$3:$Q$7,2),IF($N58=Lists!$K$3,IF($L58&lt;1,(($U58/$L58)*((1+Inputs!$D$7)^CW$2)),((INT(CW$2/$L58)-INT((CW$2-1)/$L58))*$U58*((1+Inputs!$D$7)^CW$2))),(Inputs!$D$8^((1-_xlfn.WEIBULL.DIST(CW$2,$M58,$L58,FALSE))/_xlfn.WEIBULL.DIST(CW$2,$M58,$L58,FALSE))*$U58*((1+Inputs!$D$7)^CW$2))),IF($N58=Lists!$K$3,IF($L58&lt;1,((($T58*(1-$F58)+$S58*(1-$G58))/$L58)*((1+Inputs!$D$7)^CW$2)),((INT(CW$2/$L58)-INT((CW$2-1)/$L58))*($T58*(1-$F58)+$S58*(1-$G58))*((1+Inputs!$D$7)^CW$2))),((Inputs!$D$8^((1-_xlfn.WEIBULL.DIST(CW$2,$M58,$L58,FALSE))/_xlfn.WEIBULL.DIST(CW$2,$M58,$L58,FALSE))*($T58*(1-$F58)+$S58*(1-$G58))*((1+Inputs!$D$7)^CW$2))))))))</f>
        <v>0</v>
      </c>
      <c r="CX58" s="88">
        <f>MAX(BH58,($E58*IF(CX$2&gt;Inputs!$D$5,0,IF(CX$2&gt;VLOOKUP($H58,Lists!$P$3:$Q$7,2),IF($N58=Lists!$K$3,IF($L58&lt;1,(($U58/$L58)*((1+Inputs!$D$7)^CX$2)),((INT(CX$2/$L58)-INT((CX$2-1)/$L58))*$U58*((1+Inputs!$D$7)^CX$2))),(Inputs!$D$8^((1-_xlfn.WEIBULL.DIST(CX$2,$M58,$L58,FALSE))/_xlfn.WEIBULL.DIST(CX$2,$M58,$L58,FALSE))*$U58*((1+Inputs!$D$7)^CX$2))),IF($N58=Lists!$K$3,IF($L58&lt;1,((($T58*(1-$F58)+$S58*(1-$G58))/$L58)*((1+Inputs!$D$7)^CX$2)),((INT(CX$2/$L58)-INT((CX$2-1)/$L58))*($T58*(1-$F58)+$S58*(1-$G58))*((1+Inputs!$D$7)^CX$2))),((Inputs!$D$8^((1-_xlfn.WEIBULL.DIST(CX$2,$M58,$L58,FALSE))/_xlfn.WEIBULL.DIST(CX$2,$M58,$L58,FALSE))*($T58*(1-$F58)+$S58*(1-$G58))*((1+Inputs!$D$7)^CX$2))))))))</f>
        <v>0</v>
      </c>
      <c r="CY58" s="88">
        <f>MAX(BI58,($E58*IF(CY$2&gt;Inputs!$D$5,0,IF(CY$2&gt;VLOOKUP($H58,Lists!$P$3:$Q$7,2),IF($N58=Lists!$K$3,IF($L58&lt;1,(($U58/$L58)*((1+Inputs!$D$7)^CY$2)),((INT(CY$2/$L58)-INT((CY$2-1)/$L58))*$U58*((1+Inputs!$D$7)^CY$2))),(Inputs!$D$8^((1-_xlfn.WEIBULL.DIST(CY$2,$M58,$L58,FALSE))/_xlfn.WEIBULL.DIST(CY$2,$M58,$L58,FALSE))*$U58*((1+Inputs!$D$7)^CY$2))),IF($N58=Lists!$K$3,IF($L58&lt;1,((($T58*(1-$F58)+$S58*(1-$G58))/$L58)*((1+Inputs!$D$7)^CY$2)),((INT(CY$2/$L58)-INT((CY$2-1)/$L58))*($T58*(1-$F58)+$S58*(1-$G58))*((1+Inputs!$D$7)^CY$2))),((Inputs!$D$8^((1-_xlfn.WEIBULL.DIST(CY$2,$M58,$L58,FALSE))/_xlfn.WEIBULL.DIST(CY$2,$M58,$L58,FALSE))*($T58*(1-$F58)+$S58*(1-$G58))*((1+Inputs!$D$7)^CY$2))))))))</f>
        <v>0</v>
      </c>
      <c r="CZ58" s="88">
        <f>MAX(BJ58,($E58*IF(CZ$2&gt;Inputs!$D$5,0,IF(CZ$2&gt;VLOOKUP($H58,Lists!$P$3:$Q$7,2),IF($N58=Lists!$K$3,IF($L58&lt;1,(($U58/$L58)*((1+Inputs!$D$7)^CZ$2)),((INT(CZ$2/$L58)-INT((CZ$2-1)/$L58))*$U58*((1+Inputs!$D$7)^CZ$2))),(Inputs!$D$8^((1-_xlfn.WEIBULL.DIST(CZ$2,$M58,$L58,FALSE))/_xlfn.WEIBULL.DIST(CZ$2,$M58,$L58,FALSE))*$U58*((1+Inputs!$D$7)^CZ$2))),IF($N58=Lists!$K$3,IF($L58&lt;1,((($T58*(1-$F58)+$S58*(1-$G58))/$L58)*((1+Inputs!$D$7)^CZ$2)),((INT(CZ$2/$L58)-INT((CZ$2-1)/$L58))*($T58*(1-$F58)+$S58*(1-$G58))*((1+Inputs!$D$7)^CZ$2))),((Inputs!$D$8^((1-_xlfn.WEIBULL.DIST(CZ$2,$M58,$L58,FALSE))/_xlfn.WEIBULL.DIST(CZ$2,$M58,$L58,FALSE))*($T58*(1-$F58)+$S58*(1-$G58))*((1+Inputs!$D$7)^CZ$2))))))))</f>
        <v>0</v>
      </c>
      <c r="DA58" s="88">
        <f>MAX(BK58,($E58*IF(DA$2&gt;Inputs!$D$5,0,IF(DA$2&gt;VLOOKUP($H58,Lists!$P$3:$Q$7,2),IF($N58=Lists!$K$3,IF($L58&lt;1,(($U58/$L58)*((1+Inputs!$D$7)^DA$2)),((INT(DA$2/$L58)-INT((DA$2-1)/$L58))*$U58*((1+Inputs!$D$7)^DA$2))),(Inputs!$D$8^((1-_xlfn.WEIBULL.DIST(DA$2,$M58,$L58,FALSE))/_xlfn.WEIBULL.DIST(DA$2,$M58,$L58,FALSE))*$U58*((1+Inputs!$D$7)^DA$2))),IF($N58=Lists!$K$3,IF($L58&lt;1,((($T58*(1-$F58)+$S58*(1-$G58))/$L58)*((1+Inputs!$D$7)^DA$2)),((INT(DA$2/$L58)-INT((DA$2-1)/$L58))*($T58*(1-$F58)+$S58*(1-$G58))*((1+Inputs!$D$7)^DA$2))),((Inputs!$D$8^((1-_xlfn.WEIBULL.DIST(DA$2,$M58,$L58,FALSE))/_xlfn.WEIBULL.DIST(DA$2,$M58,$L58,FALSE))*($T58*(1-$F58)+$S58*(1-$G58))*((1+Inputs!$D$7)^DA$2))))))))</f>
        <v>0</v>
      </c>
      <c r="DB58" s="88">
        <f>MAX(BL58,($E58*IF(DB$2&gt;Inputs!$D$5,0,IF(DB$2&gt;VLOOKUP($H58,Lists!$P$3:$Q$7,2),IF($N58=Lists!$K$3,IF($L58&lt;1,(($U58/$L58)*((1+Inputs!$D$7)^DB$2)),((INT(DB$2/$L58)-INT((DB$2-1)/$L58))*$U58*((1+Inputs!$D$7)^DB$2))),(Inputs!$D$8^((1-_xlfn.WEIBULL.DIST(DB$2,$M58,$L58,FALSE))/_xlfn.WEIBULL.DIST(DB$2,$M58,$L58,FALSE))*$U58*((1+Inputs!$D$7)^DB$2))),IF($N58=Lists!$K$3,IF($L58&lt;1,((($T58*(1-$F58)+$S58*(1-$G58))/$L58)*((1+Inputs!$D$7)^DB$2)),((INT(DB$2/$L58)-INT((DB$2-1)/$L58))*($T58*(1-$F58)+$S58*(1-$G58))*((1+Inputs!$D$7)^DB$2))),((Inputs!$D$8^((1-_xlfn.WEIBULL.DIST(DB$2,$M58,$L58,FALSE))/_xlfn.WEIBULL.DIST(DB$2,$M58,$L58,FALSE))*($T58*(1-$F58)+$S58*(1-$G58))*((1+Inputs!$D$7)^DB$2))))))))</f>
        <v>0</v>
      </c>
      <c r="DC58" s="88">
        <f>MAX(BM58,($E58*IF(DC$2&gt;Inputs!$D$5,0,IF(DC$2&gt;VLOOKUP($H58,Lists!$P$3:$Q$7,2),IF($N58=Lists!$K$3,IF($L58&lt;1,(($U58/$L58)*((1+Inputs!$D$7)^DC$2)),((INT(DC$2/$L58)-INT((DC$2-1)/$L58))*$U58*((1+Inputs!$D$7)^DC$2))),(Inputs!$D$8^((1-_xlfn.WEIBULL.DIST(DC$2,$M58,$L58,FALSE))/_xlfn.WEIBULL.DIST(DC$2,$M58,$L58,FALSE))*$U58*((1+Inputs!$D$7)^DC$2))),IF($N58=Lists!$K$3,IF($L58&lt;1,((($T58*(1-$F58)+$S58*(1-$G58))/$L58)*((1+Inputs!$D$7)^DC$2)),((INT(DC$2/$L58)-INT((DC$2-1)/$L58))*($T58*(1-$F58)+$S58*(1-$G58))*((1+Inputs!$D$7)^DC$2))),((Inputs!$D$8^((1-_xlfn.WEIBULL.DIST(DC$2,$M58,$L58,FALSE))/_xlfn.WEIBULL.DIST(DC$2,$M58,$L58,FALSE))*($T58*(1-$F58)+$S58*(1-$G58))*((1+Inputs!$D$7)^DC$2))))))))</f>
        <v>0</v>
      </c>
      <c r="DD58" s="88">
        <f>MAX(BN58,($E58*IF(DD$2&gt;Inputs!$D$5,0,IF(DD$2&gt;VLOOKUP($H58,Lists!$P$3:$Q$7,2),IF($N58=Lists!$K$3,IF($L58&lt;1,(($U58/$L58)*((1+Inputs!$D$7)^DD$2)),((INT(DD$2/$L58)-INT((DD$2-1)/$L58))*$U58*((1+Inputs!$D$7)^DD$2))),(Inputs!$D$8^((1-_xlfn.WEIBULL.DIST(DD$2,$M58,$L58,FALSE))/_xlfn.WEIBULL.DIST(DD$2,$M58,$L58,FALSE))*$U58*((1+Inputs!$D$7)^DD$2))),IF($N58=Lists!$K$3,IF($L58&lt;1,((($T58*(1-$F58)+$S58*(1-$G58))/$L58)*((1+Inputs!$D$7)^DD$2)),((INT(DD$2/$L58)-INT((DD$2-1)/$L58))*($T58*(1-$F58)+$S58*(1-$G58))*((1+Inputs!$D$7)^DD$2))),((Inputs!$D$8^((1-_xlfn.WEIBULL.DIST(DD$2,$M58,$L58,FALSE))/_xlfn.WEIBULL.DIST(DD$2,$M58,$L58,FALSE))*($T58*(1-$F58)+$S58*(1-$G58))*((1+Inputs!$D$7)^DD$2))))))))</f>
        <v>0</v>
      </c>
    </row>
    <row r="59" spans="1:108" s="1" customFormat="1" ht="16">
      <c r="A59" s="57" t="s">
        <v>225</v>
      </c>
      <c r="B59" s="13" t="s">
        <v>130</v>
      </c>
      <c r="C59" s="13" t="s">
        <v>474</v>
      </c>
      <c r="D59" s="13" t="s">
        <v>37</v>
      </c>
      <c r="E59" s="89">
        <v>0</v>
      </c>
      <c r="F59" s="48">
        <v>1</v>
      </c>
      <c r="G59" s="48">
        <v>1</v>
      </c>
      <c r="H59" s="105" t="s">
        <v>350</v>
      </c>
      <c r="I59" s="14"/>
      <c r="J59" s="14" t="s">
        <v>86</v>
      </c>
      <c r="K59" s="13">
        <f>VLOOKUP(J59,'Labor Rates'!$A$1:$F$16,2)</f>
        <v>29.298461538461535</v>
      </c>
      <c r="L59" s="15">
        <v>25</v>
      </c>
      <c r="M59" s="15">
        <v>3</v>
      </c>
      <c r="N59" s="16" t="s">
        <v>226</v>
      </c>
      <c r="O59" s="61">
        <f>Inputs!$D$56*E59</f>
        <v>0</v>
      </c>
      <c r="P59" s="15">
        <v>0.5</v>
      </c>
      <c r="Q59" s="15">
        <f t="shared" si="7"/>
        <v>0</v>
      </c>
      <c r="R59" s="4">
        <v>120</v>
      </c>
      <c r="S59" s="53">
        <f t="shared" si="8"/>
        <v>0</v>
      </c>
      <c r="T59" s="53">
        <f t="shared" si="9"/>
        <v>0</v>
      </c>
      <c r="U59" s="54">
        <f t="shared" si="10"/>
        <v>0</v>
      </c>
      <c r="V59" s="65"/>
      <c r="W59" s="58"/>
      <c r="X59" s="64">
        <f t="shared" si="11"/>
        <v>0</v>
      </c>
      <c r="Y59" s="64">
        <f>NPV(Inputs!$D$6,AA59:BN59)</f>
        <v>0</v>
      </c>
      <c r="Z59" s="67">
        <f t="shared" si="12"/>
        <v>0</v>
      </c>
      <c r="AA59" s="88">
        <f>$E59*IF(AA$2&gt;Inputs!$D$5,0,IF(AA$2&gt;VLOOKUP($H59,Lists!$P$3:$Q$7,2),IF($N59=Lists!$K$3,IF($L59&lt;1,(($U59/$L59)*((1+Inputs!$D$7)^AA$2)),((INT(AA$2/$L59)-INT((AA$2-1)/$L59))*$U59*((1+Inputs!$D$7)^AA$2))),(_xlfn.WEIBULL.DIST(AA$2,$M59,$L59,FALSE)*$U59*((1+Inputs!$D$7)^AA$2))),IF($N59=Lists!$K$3,IF($L59&lt;1,((($T59*(1-$F59)+$S59*(1-$G59))/$L59)*((1+Inputs!$D$7)^AA$2)),((INT(AA$2/$L59)-INT((AA$2-1)/$L59))*($T59*(1-$F59)+$S59*(1-$G59))*((1+Inputs!$D$7)^AA$2))),((_xlfn.WEIBULL.DIST(AA$2,$M59,$L59,FALSE)*($T59*(1-$F59)+$S59*(1-$G59))*((1+Inputs!$D$7)^AA$2))))))</f>
        <v>0</v>
      </c>
      <c r="AB59" s="88">
        <f>$E59*IF(AB$2&gt;Inputs!$D$5,0,IF(AB$2&gt;VLOOKUP($H59,Lists!$P$3:$Q$7,2),IF($N59=Lists!$K$3,IF($L59&lt;1,(($U59/$L59)*((1+Inputs!$D$7)^AB$2)),((INT(AB$2/$L59)-INT((AB$2-1)/$L59))*$U59*((1+Inputs!$D$7)^AB$2))),(_xlfn.WEIBULL.DIST(AB$2,$M59,$L59,FALSE)*$U59*((1+Inputs!$D$7)^AB$2))),IF($N59=Lists!$K$3,IF($L59&lt;1,((($T59*(1-$F59)+$S59*(1-$G59))/$L59)*((1+Inputs!$D$7)^AB$2)),((INT(AB$2/$L59)-INT((AB$2-1)/$L59))*($T59*(1-$F59)+$S59*(1-$G59))*((1+Inputs!$D$7)^AB$2))),((_xlfn.WEIBULL.DIST(AB$2,$M59,$L59,FALSE)*($T59*(1-$F59)+$S59*(1-$G59))*((1+Inputs!$D$7)^AB$2))))))</f>
        <v>0</v>
      </c>
      <c r="AC59" s="88">
        <f>$E59*IF(AC$2&gt;Inputs!$D$5,0,IF(AC$2&gt;VLOOKUP($H59,Lists!$P$3:$Q$7,2),IF($N59=Lists!$K$3,IF($L59&lt;1,(($U59/$L59)*((1+Inputs!$D$7)^AC$2)),((INT(AC$2/$L59)-INT((AC$2-1)/$L59))*$U59*((1+Inputs!$D$7)^AC$2))),(_xlfn.WEIBULL.DIST(AC$2,$M59,$L59,FALSE)*$U59*((1+Inputs!$D$7)^AC$2))),IF($N59=Lists!$K$3,IF($L59&lt;1,((($T59*(1-$F59)+$S59*(1-$G59))/$L59)*((1+Inputs!$D$7)^AC$2)),((INT(AC$2/$L59)-INT((AC$2-1)/$L59))*($T59*(1-$F59)+$S59*(1-$G59))*((1+Inputs!$D$7)^AC$2))),((_xlfn.WEIBULL.DIST(AC$2,$M59,$L59,FALSE)*($T59*(1-$F59)+$S59*(1-$G59))*((1+Inputs!$D$7)^AC$2))))))</f>
        <v>0</v>
      </c>
      <c r="AD59" s="88">
        <f>$E59*IF(AD$2&gt;Inputs!$D$5,0,IF(AD$2&gt;VLOOKUP($H59,Lists!$P$3:$Q$7,2),IF($N59=Lists!$K$3,IF($L59&lt;1,(($U59/$L59)*((1+Inputs!$D$7)^AD$2)),((INT(AD$2/$L59)-INT((AD$2-1)/$L59))*$U59*((1+Inputs!$D$7)^AD$2))),(_xlfn.WEIBULL.DIST(AD$2,$M59,$L59,FALSE)*$U59*((1+Inputs!$D$7)^AD$2))),IF($N59=Lists!$K$3,IF($L59&lt;1,((($T59*(1-$F59)+$S59*(1-$G59))/$L59)*((1+Inputs!$D$7)^AD$2)),((INT(AD$2/$L59)-INT((AD$2-1)/$L59))*($T59*(1-$F59)+$S59*(1-$G59))*((1+Inputs!$D$7)^AD$2))),((_xlfn.WEIBULL.DIST(AD$2,$M59,$L59,FALSE)*($T59*(1-$F59)+$S59*(1-$G59))*((1+Inputs!$D$7)^AD$2))))))</f>
        <v>0</v>
      </c>
      <c r="AE59" s="88">
        <f>$E59*IF(AE$2&gt;Inputs!$D$5,0,IF(AE$2&gt;VLOOKUP($H59,Lists!$P$3:$Q$7,2),IF($N59=Lists!$K$3,IF($L59&lt;1,(($U59/$L59)*((1+Inputs!$D$7)^AE$2)),((INT(AE$2/$L59)-INT((AE$2-1)/$L59))*$U59*((1+Inputs!$D$7)^AE$2))),(_xlfn.WEIBULL.DIST(AE$2,$M59,$L59,FALSE)*$U59*((1+Inputs!$D$7)^AE$2))),IF($N59=Lists!$K$3,IF($L59&lt;1,((($T59*(1-$F59)+$S59*(1-$G59))/$L59)*((1+Inputs!$D$7)^AE$2)),((INT(AE$2/$L59)-INT((AE$2-1)/$L59))*($T59*(1-$F59)+$S59*(1-$G59))*((1+Inputs!$D$7)^AE$2))),((_xlfn.WEIBULL.DIST(AE$2,$M59,$L59,FALSE)*($T59*(1-$F59)+$S59*(1-$G59))*((1+Inputs!$D$7)^AE$2))))))</f>
        <v>0</v>
      </c>
      <c r="AF59" s="88">
        <f>$E59*IF(AF$2&gt;Inputs!$D$5,0,IF(AF$2&gt;VLOOKUP($H59,Lists!$P$3:$Q$7,2),IF($N59=Lists!$K$3,IF($L59&lt;1,(($U59/$L59)*((1+Inputs!$D$7)^AF$2)),((INT(AF$2/$L59)-INT((AF$2-1)/$L59))*$U59*((1+Inputs!$D$7)^AF$2))),(_xlfn.WEIBULL.DIST(AF$2,$M59,$L59,FALSE)*$U59*((1+Inputs!$D$7)^AF$2))),IF($N59=Lists!$K$3,IF($L59&lt;1,((($T59*(1-$F59)+$S59*(1-$G59))/$L59)*((1+Inputs!$D$7)^AF$2)),((INT(AF$2/$L59)-INT((AF$2-1)/$L59))*($T59*(1-$F59)+$S59*(1-$G59))*((1+Inputs!$D$7)^AF$2))),((_xlfn.WEIBULL.DIST(AF$2,$M59,$L59,FALSE)*($T59*(1-$F59)+$S59*(1-$G59))*((1+Inputs!$D$7)^AF$2))))))</f>
        <v>0</v>
      </c>
      <c r="AG59" s="88">
        <f>$E59*IF(AG$2&gt;Inputs!$D$5,0,IF(AG$2&gt;VLOOKUP($H59,Lists!$P$3:$Q$7,2),IF($N59=Lists!$K$3,IF($L59&lt;1,(($U59/$L59)*((1+Inputs!$D$7)^AG$2)),((INT(AG$2/$L59)-INT((AG$2-1)/$L59))*$U59*((1+Inputs!$D$7)^AG$2))),(_xlfn.WEIBULL.DIST(AG$2,$M59,$L59,FALSE)*$U59*((1+Inputs!$D$7)^AG$2))),IF($N59=Lists!$K$3,IF($L59&lt;1,((($T59*(1-$F59)+$S59*(1-$G59))/$L59)*((1+Inputs!$D$7)^AG$2)),((INT(AG$2/$L59)-INT((AG$2-1)/$L59))*($T59*(1-$F59)+$S59*(1-$G59))*((1+Inputs!$D$7)^AG$2))),((_xlfn.WEIBULL.DIST(AG$2,$M59,$L59,FALSE)*($T59*(1-$F59)+$S59*(1-$G59))*((1+Inputs!$D$7)^AG$2))))))</f>
        <v>0</v>
      </c>
      <c r="AH59" s="88">
        <f>$E59*IF(AH$2&gt;Inputs!$D$5,0,IF(AH$2&gt;VLOOKUP($H59,Lists!$P$3:$Q$7,2),IF($N59=Lists!$K$3,IF($L59&lt;1,(($U59/$L59)*((1+Inputs!$D$7)^AH$2)),((INT(AH$2/$L59)-INT((AH$2-1)/$L59))*$U59*((1+Inputs!$D$7)^AH$2))),(_xlfn.WEIBULL.DIST(AH$2,$M59,$L59,FALSE)*$U59*((1+Inputs!$D$7)^AH$2))),IF($N59=Lists!$K$3,IF($L59&lt;1,((($T59*(1-$F59)+$S59*(1-$G59))/$L59)*((1+Inputs!$D$7)^AH$2)),((INT(AH$2/$L59)-INT((AH$2-1)/$L59))*($T59*(1-$F59)+$S59*(1-$G59))*((1+Inputs!$D$7)^AH$2))),((_xlfn.WEIBULL.DIST(AH$2,$M59,$L59,FALSE)*($T59*(1-$F59)+$S59*(1-$G59))*((1+Inputs!$D$7)^AH$2))))))</f>
        <v>0</v>
      </c>
      <c r="AI59" s="88">
        <f>$E59*IF(AI$2&gt;Inputs!$D$5,0,IF(AI$2&gt;VLOOKUP($H59,Lists!$P$3:$Q$7,2),IF($N59=Lists!$K$3,IF($L59&lt;1,(($U59/$L59)*((1+Inputs!$D$7)^AI$2)),((INT(AI$2/$L59)-INT((AI$2-1)/$L59))*$U59*((1+Inputs!$D$7)^AI$2))),(_xlfn.WEIBULL.DIST(AI$2,$M59,$L59,FALSE)*$U59*((1+Inputs!$D$7)^AI$2))),IF($N59=Lists!$K$3,IF($L59&lt;1,((($T59*(1-$F59)+$S59*(1-$G59))/$L59)*((1+Inputs!$D$7)^AI$2)),((INT(AI$2/$L59)-INT((AI$2-1)/$L59))*($T59*(1-$F59)+$S59*(1-$G59))*((1+Inputs!$D$7)^AI$2))),((_xlfn.WEIBULL.DIST(AI$2,$M59,$L59,FALSE)*($T59*(1-$F59)+$S59*(1-$G59))*((1+Inputs!$D$7)^AI$2))))))</f>
        <v>0</v>
      </c>
      <c r="AJ59" s="88">
        <f>$E59*IF(AJ$2&gt;Inputs!$D$5,0,IF(AJ$2&gt;VLOOKUP($H59,Lists!$P$3:$Q$7,2),IF($N59=Lists!$K$3,IF($L59&lt;1,(($U59/$L59)*((1+Inputs!$D$7)^AJ$2)),((INT(AJ$2/$L59)-INT((AJ$2-1)/$L59))*$U59*((1+Inputs!$D$7)^AJ$2))),(_xlfn.WEIBULL.DIST(AJ$2,$M59,$L59,FALSE)*$U59*((1+Inputs!$D$7)^AJ$2))),IF($N59=Lists!$K$3,IF($L59&lt;1,((($T59*(1-$F59)+$S59*(1-$G59))/$L59)*((1+Inputs!$D$7)^AJ$2)),((INT(AJ$2/$L59)-INT((AJ$2-1)/$L59))*($T59*(1-$F59)+$S59*(1-$G59))*((1+Inputs!$D$7)^AJ$2))),((_xlfn.WEIBULL.DIST(AJ$2,$M59,$L59,FALSE)*($T59*(1-$F59)+$S59*(1-$G59))*((1+Inputs!$D$7)^AJ$2))))))</f>
        <v>0</v>
      </c>
      <c r="AK59" s="88">
        <f>$E59*IF(AK$2&gt;Inputs!$D$5,0,IF(AK$2&gt;VLOOKUP($H59,Lists!$P$3:$Q$7,2),IF($N59=Lists!$K$3,IF($L59&lt;1,(($U59/$L59)*((1+Inputs!$D$7)^AK$2)),((INT(AK$2/$L59)-INT((AK$2-1)/$L59))*$U59*((1+Inputs!$D$7)^AK$2))),(_xlfn.WEIBULL.DIST(AK$2,$M59,$L59,FALSE)*$U59*((1+Inputs!$D$7)^AK$2))),IF($N59=Lists!$K$3,IF($L59&lt;1,((($T59*(1-$F59)+$S59*(1-$G59))/$L59)*((1+Inputs!$D$7)^AK$2)),((INT(AK$2/$L59)-INT((AK$2-1)/$L59))*($T59*(1-$F59)+$S59*(1-$G59))*((1+Inputs!$D$7)^AK$2))),((_xlfn.WEIBULL.DIST(AK$2,$M59,$L59,FALSE)*($T59*(1-$F59)+$S59*(1-$G59))*((1+Inputs!$D$7)^AK$2))))))</f>
        <v>0</v>
      </c>
      <c r="AL59" s="88">
        <f>$E59*IF(AL$2&gt;Inputs!$D$5,0,IF(AL$2&gt;VLOOKUP($H59,Lists!$P$3:$Q$7,2),IF($N59=Lists!$K$3,IF($L59&lt;1,(($U59/$L59)*((1+Inputs!$D$7)^AL$2)),((INT(AL$2/$L59)-INT((AL$2-1)/$L59))*$U59*((1+Inputs!$D$7)^AL$2))),(_xlfn.WEIBULL.DIST(AL$2,$M59,$L59,FALSE)*$U59*((1+Inputs!$D$7)^AL$2))),IF($N59=Lists!$K$3,IF($L59&lt;1,((($T59*(1-$F59)+$S59*(1-$G59))/$L59)*((1+Inputs!$D$7)^AL$2)),((INT(AL$2/$L59)-INT((AL$2-1)/$L59))*($T59*(1-$F59)+$S59*(1-$G59))*((1+Inputs!$D$7)^AL$2))),((_xlfn.WEIBULL.DIST(AL$2,$M59,$L59,FALSE)*($T59*(1-$F59)+$S59*(1-$G59))*((1+Inputs!$D$7)^AL$2))))))</f>
        <v>0</v>
      </c>
      <c r="AM59" s="88">
        <f>$E59*IF(AM$2&gt;Inputs!$D$5,0,IF(AM$2&gt;VLOOKUP($H59,Lists!$P$3:$Q$7,2),IF($N59=Lists!$K$3,IF($L59&lt;1,(($U59/$L59)*((1+Inputs!$D$7)^AM$2)),((INT(AM$2/$L59)-INT((AM$2-1)/$L59))*$U59*((1+Inputs!$D$7)^AM$2))),(_xlfn.WEIBULL.DIST(AM$2,$M59,$L59,FALSE)*$U59*((1+Inputs!$D$7)^AM$2))),IF($N59=Lists!$K$3,IF($L59&lt;1,((($T59*(1-$F59)+$S59*(1-$G59))/$L59)*((1+Inputs!$D$7)^AM$2)),((INT(AM$2/$L59)-INT((AM$2-1)/$L59))*($T59*(1-$F59)+$S59*(1-$G59))*((1+Inputs!$D$7)^AM$2))),((_xlfn.WEIBULL.DIST(AM$2,$M59,$L59,FALSE)*($T59*(1-$F59)+$S59*(1-$G59))*((1+Inputs!$D$7)^AM$2))))))</f>
        <v>0</v>
      </c>
      <c r="AN59" s="88">
        <f>$E59*IF(AN$2&gt;Inputs!$D$5,0,IF(AN$2&gt;VLOOKUP($H59,Lists!$P$3:$Q$7,2),IF($N59=Lists!$K$3,IF($L59&lt;1,(($U59/$L59)*((1+Inputs!$D$7)^AN$2)),((INT(AN$2/$L59)-INT((AN$2-1)/$L59))*$U59*((1+Inputs!$D$7)^AN$2))),(_xlfn.WEIBULL.DIST(AN$2,$M59,$L59,FALSE)*$U59*((1+Inputs!$D$7)^AN$2))),IF($N59=Lists!$K$3,IF($L59&lt;1,((($T59*(1-$F59)+$S59*(1-$G59))/$L59)*((1+Inputs!$D$7)^AN$2)),((INT(AN$2/$L59)-INT((AN$2-1)/$L59))*($T59*(1-$F59)+$S59*(1-$G59))*((1+Inputs!$D$7)^AN$2))),((_xlfn.WEIBULL.DIST(AN$2,$M59,$L59,FALSE)*($T59*(1-$F59)+$S59*(1-$G59))*((1+Inputs!$D$7)^AN$2))))))</f>
        <v>0</v>
      </c>
      <c r="AO59" s="88">
        <f>$E59*IF(AO$2&gt;Inputs!$D$5,0,IF(AO$2&gt;VLOOKUP($H59,Lists!$P$3:$Q$7,2),IF($N59=Lists!$K$3,IF($L59&lt;1,(($U59/$L59)*((1+Inputs!$D$7)^AO$2)),((INT(AO$2/$L59)-INT((AO$2-1)/$L59))*$U59*((1+Inputs!$D$7)^AO$2))),(_xlfn.WEIBULL.DIST(AO$2,$M59,$L59,FALSE)*$U59*((1+Inputs!$D$7)^AO$2))),IF($N59=Lists!$K$3,IF($L59&lt;1,((($T59*(1-$F59)+$S59*(1-$G59))/$L59)*((1+Inputs!$D$7)^AO$2)),((INT(AO$2/$L59)-INT((AO$2-1)/$L59))*($T59*(1-$F59)+$S59*(1-$G59))*((1+Inputs!$D$7)^AO$2))),((_xlfn.WEIBULL.DIST(AO$2,$M59,$L59,FALSE)*($T59*(1-$F59)+$S59*(1-$G59))*((1+Inputs!$D$7)^AO$2))))))</f>
        <v>0</v>
      </c>
      <c r="AP59" s="88">
        <f>$E59*IF(AP$2&gt;Inputs!$D$5,0,IF(AP$2&gt;VLOOKUP($H59,Lists!$P$3:$Q$7,2),IF($N59=Lists!$K$3,IF($L59&lt;1,(($U59/$L59)*((1+Inputs!$D$7)^AP$2)),((INT(AP$2/$L59)-INT((AP$2-1)/$L59))*$U59*((1+Inputs!$D$7)^AP$2))),(_xlfn.WEIBULL.DIST(AP$2,$M59,$L59,FALSE)*$U59*((1+Inputs!$D$7)^AP$2))),IF($N59=Lists!$K$3,IF($L59&lt;1,((($T59*(1-$F59)+$S59*(1-$G59))/$L59)*((1+Inputs!$D$7)^AP$2)),((INT(AP$2/$L59)-INT((AP$2-1)/$L59))*($T59*(1-$F59)+$S59*(1-$G59))*((1+Inputs!$D$7)^AP$2))),((_xlfn.WEIBULL.DIST(AP$2,$M59,$L59,FALSE)*($T59*(1-$F59)+$S59*(1-$G59))*((1+Inputs!$D$7)^AP$2))))))</f>
        <v>0</v>
      </c>
      <c r="AQ59" s="88">
        <f>$E59*IF(AQ$2&gt;Inputs!$D$5,0,IF(AQ$2&gt;VLOOKUP($H59,Lists!$P$3:$Q$7,2),IF($N59=Lists!$K$3,IF($L59&lt;1,(($U59/$L59)*((1+Inputs!$D$7)^AQ$2)),((INT(AQ$2/$L59)-INT((AQ$2-1)/$L59))*$U59*((1+Inputs!$D$7)^AQ$2))),(_xlfn.WEIBULL.DIST(AQ$2,$M59,$L59,FALSE)*$U59*((1+Inputs!$D$7)^AQ$2))),IF($N59=Lists!$K$3,IF($L59&lt;1,((($T59*(1-$F59)+$S59*(1-$G59))/$L59)*((1+Inputs!$D$7)^AQ$2)),((INT(AQ$2/$L59)-INT((AQ$2-1)/$L59))*($T59*(1-$F59)+$S59*(1-$G59))*((1+Inputs!$D$7)^AQ$2))),((_xlfn.WEIBULL.DIST(AQ$2,$M59,$L59,FALSE)*($T59*(1-$F59)+$S59*(1-$G59))*((1+Inputs!$D$7)^AQ$2))))))</f>
        <v>0</v>
      </c>
      <c r="AR59" s="88">
        <f>$E59*IF(AR$2&gt;Inputs!$D$5,0,IF(AR$2&gt;VLOOKUP($H59,Lists!$P$3:$Q$7,2),IF($N59=Lists!$K$3,IF($L59&lt;1,(($U59/$L59)*((1+Inputs!$D$7)^AR$2)),((INT(AR$2/$L59)-INT((AR$2-1)/$L59))*$U59*((1+Inputs!$D$7)^AR$2))),(_xlfn.WEIBULL.DIST(AR$2,$M59,$L59,FALSE)*$U59*((1+Inputs!$D$7)^AR$2))),IF($N59=Lists!$K$3,IF($L59&lt;1,((($T59*(1-$F59)+$S59*(1-$G59))/$L59)*((1+Inputs!$D$7)^AR$2)),((INT(AR$2/$L59)-INT((AR$2-1)/$L59))*($T59*(1-$F59)+$S59*(1-$G59))*((1+Inputs!$D$7)^AR$2))),((_xlfn.WEIBULL.DIST(AR$2,$M59,$L59,FALSE)*($T59*(1-$F59)+$S59*(1-$G59))*((1+Inputs!$D$7)^AR$2))))))</f>
        <v>0</v>
      </c>
      <c r="AS59" s="88">
        <f>$E59*IF(AS$2&gt;Inputs!$D$5,0,IF(AS$2&gt;VLOOKUP($H59,Lists!$P$3:$Q$7,2),IF($N59=Lists!$K$3,IF($L59&lt;1,(($U59/$L59)*((1+Inputs!$D$7)^AS$2)),((INT(AS$2/$L59)-INT((AS$2-1)/$L59))*$U59*((1+Inputs!$D$7)^AS$2))),(_xlfn.WEIBULL.DIST(AS$2,$M59,$L59,FALSE)*$U59*((1+Inputs!$D$7)^AS$2))),IF($N59=Lists!$K$3,IF($L59&lt;1,((($T59*(1-$F59)+$S59*(1-$G59))/$L59)*((1+Inputs!$D$7)^AS$2)),((INT(AS$2/$L59)-INT((AS$2-1)/$L59))*($T59*(1-$F59)+$S59*(1-$G59))*((1+Inputs!$D$7)^AS$2))),((_xlfn.WEIBULL.DIST(AS$2,$M59,$L59,FALSE)*($T59*(1-$F59)+$S59*(1-$G59))*((1+Inputs!$D$7)^AS$2))))))</f>
        <v>0</v>
      </c>
      <c r="AT59" s="88">
        <f>$E59*IF(AT$2&gt;Inputs!$D$5,0,IF(AT$2&gt;VLOOKUP($H59,Lists!$P$3:$Q$7,2),IF($N59=Lists!$K$3,IF($L59&lt;1,(($U59/$L59)*((1+Inputs!$D$7)^AT$2)),((INT(AT$2/$L59)-INT((AT$2-1)/$L59))*$U59*((1+Inputs!$D$7)^AT$2))),(_xlfn.WEIBULL.DIST(AT$2,$M59,$L59,FALSE)*$U59*((1+Inputs!$D$7)^AT$2))),IF($N59=Lists!$K$3,IF($L59&lt;1,((($T59*(1-$F59)+$S59*(1-$G59))/$L59)*((1+Inputs!$D$7)^AT$2)),((INT(AT$2/$L59)-INT((AT$2-1)/$L59))*($T59*(1-$F59)+$S59*(1-$G59))*((1+Inputs!$D$7)^AT$2))),((_xlfn.WEIBULL.DIST(AT$2,$M59,$L59,FALSE)*($T59*(1-$F59)+$S59*(1-$G59))*((1+Inputs!$D$7)^AT$2))))))</f>
        <v>0</v>
      </c>
      <c r="AU59" s="88">
        <f>$E59*IF(AU$2&gt;Inputs!$D$5,0,IF(AU$2&gt;VLOOKUP($H59,Lists!$P$3:$Q$7,2),IF($N59=Lists!$K$3,IF($L59&lt;1,(($U59/$L59)*((1+Inputs!$D$7)^AU$2)),((INT(AU$2/$L59)-INT((AU$2-1)/$L59))*$U59*((1+Inputs!$D$7)^AU$2))),(_xlfn.WEIBULL.DIST(AU$2,$M59,$L59,FALSE)*$U59*((1+Inputs!$D$7)^AU$2))),IF($N59=Lists!$K$3,IF($L59&lt;1,((($T59*(1-$F59)+$S59*(1-$G59))/$L59)*((1+Inputs!$D$7)^AU$2)),((INT(AU$2/$L59)-INT((AU$2-1)/$L59))*($T59*(1-$F59)+$S59*(1-$G59))*((1+Inputs!$D$7)^AU$2))),((_xlfn.WEIBULL.DIST(AU$2,$M59,$L59,FALSE)*($T59*(1-$F59)+$S59*(1-$G59))*((1+Inputs!$D$7)^AU$2))))))</f>
        <v>0</v>
      </c>
      <c r="AV59" s="88">
        <f>$E59*IF(AV$2&gt;Inputs!$D$5,0,IF(AV$2&gt;VLOOKUP($H59,Lists!$P$3:$Q$7,2),IF($N59=Lists!$K$3,IF($L59&lt;1,(($U59/$L59)*((1+Inputs!$D$7)^AV$2)),((INT(AV$2/$L59)-INT((AV$2-1)/$L59))*$U59*((1+Inputs!$D$7)^AV$2))),(_xlfn.WEIBULL.DIST(AV$2,$M59,$L59,FALSE)*$U59*((1+Inputs!$D$7)^AV$2))),IF($N59=Lists!$K$3,IF($L59&lt;1,((($T59*(1-$F59)+$S59*(1-$G59))/$L59)*((1+Inputs!$D$7)^AV$2)),((INT(AV$2/$L59)-INT((AV$2-1)/$L59))*($T59*(1-$F59)+$S59*(1-$G59))*((1+Inputs!$D$7)^AV$2))),((_xlfn.WEIBULL.DIST(AV$2,$M59,$L59,FALSE)*($T59*(1-$F59)+$S59*(1-$G59))*((1+Inputs!$D$7)^AV$2))))))</f>
        <v>0</v>
      </c>
      <c r="AW59" s="88">
        <f>$E59*IF(AW$2&gt;Inputs!$D$5,0,IF(AW$2&gt;VLOOKUP($H59,Lists!$P$3:$Q$7,2),IF($N59=Lists!$K$3,IF($L59&lt;1,(($U59/$L59)*((1+Inputs!$D$7)^AW$2)),((INT(AW$2/$L59)-INT((AW$2-1)/$L59))*$U59*((1+Inputs!$D$7)^AW$2))),(_xlfn.WEIBULL.DIST(AW$2,$M59,$L59,FALSE)*$U59*((1+Inputs!$D$7)^AW$2))),IF($N59=Lists!$K$3,IF($L59&lt;1,((($T59*(1-$F59)+$S59*(1-$G59))/$L59)*((1+Inputs!$D$7)^AW$2)),((INT(AW$2/$L59)-INT((AW$2-1)/$L59))*($T59*(1-$F59)+$S59*(1-$G59))*((1+Inputs!$D$7)^AW$2))),((_xlfn.WEIBULL.DIST(AW$2,$M59,$L59,FALSE)*($T59*(1-$F59)+$S59*(1-$G59))*((1+Inputs!$D$7)^AW$2))))))</f>
        <v>0</v>
      </c>
      <c r="AX59" s="88">
        <f>$E59*IF(AX$2&gt;Inputs!$D$5,0,IF(AX$2&gt;VLOOKUP($H59,Lists!$P$3:$Q$7,2),IF($N59=Lists!$K$3,IF($L59&lt;1,(($U59/$L59)*((1+Inputs!$D$7)^AX$2)),((INT(AX$2/$L59)-INT((AX$2-1)/$L59))*$U59*((1+Inputs!$D$7)^AX$2))),(_xlfn.WEIBULL.DIST(AX$2,$M59,$L59,FALSE)*$U59*((1+Inputs!$D$7)^AX$2))),IF($N59=Lists!$K$3,IF($L59&lt;1,((($T59*(1-$F59)+$S59*(1-$G59))/$L59)*((1+Inputs!$D$7)^AX$2)),((INT(AX$2/$L59)-INT((AX$2-1)/$L59))*($T59*(1-$F59)+$S59*(1-$G59))*((1+Inputs!$D$7)^AX$2))),((_xlfn.WEIBULL.DIST(AX$2,$M59,$L59,FALSE)*($T59*(1-$F59)+$S59*(1-$G59))*((1+Inputs!$D$7)^AX$2))))))</f>
        <v>0</v>
      </c>
      <c r="AY59" s="88">
        <f>$E59*IF(AY$2&gt;Inputs!$D$5,0,IF(AY$2&gt;VLOOKUP($H59,Lists!$P$3:$Q$7,2),IF($N59=Lists!$K$3,IF($L59&lt;1,(($U59/$L59)*((1+Inputs!$D$7)^AY$2)),((INT(AY$2/$L59)-INT((AY$2-1)/$L59))*$U59*((1+Inputs!$D$7)^AY$2))),(_xlfn.WEIBULL.DIST(AY$2,$M59,$L59,FALSE)*$U59*((1+Inputs!$D$7)^AY$2))),IF($N59=Lists!$K$3,IF($L59&lt;1,((($T59*(1-$F59)+$S59*(1-$G59))/$L59)*((1+Inputs!$D$7)^AY$2)),((INT(AY$2/$L59)-INT((AY$2-1)/$L59))*($T59*(1-$F59)+$S59*(1-$G59))*((1+Inputs!$D$7)^AY$2))),((_xlfn.WEIBULL.DIST(AY$2,$M59,$L59,FALSE)*($T59*(1-$F59)+$S59*(1-$G59))*((1+Inputs!$D$7)^AY$2))))))</f>
        <v>0</v>
      </c>
      <c r="AZ59" s="88">
        <f>$E59*IF(AZ$2&gt;Inputs!$D$5,0,IF(AZ$2&gt;VLOOKUP($H59,Lists!$P$3:$Q$7,2),IF($N59=Lists!$K$3,IF($L59&lt;1,(($U59/$L59)*((1+Inputs!$D$7)^AZ$2)),((INT(AZ$2/$L59)-INT((AZ$2-1)/$L59))*$U59*((1+Inputs!$D$7)^AZ$2))),(_xlfn.WEIBULL.DIST(AZ$2,$M59,$L59,FALSE)*$U59*((1+Inputs!$D$7)^AZ$2))),IF($N59=Lists!$K$3,IF($L59&lt;1,((($T59*(1-$F59)+$S59*(1-$G59))/$L59)*((1+Inputs!$D$7)^AZ$2)),((INT(AZ$2/$L59)-INT((AZ$2-1)/$L59))*($T59*(1-$F59)+$S59*(1-$G59))*((1+Inputs!$D$7)^AZ$2))),((_xlfn.WEIBULL.DIST(AZ$2,$M59,$L59,FALSE)*($T59*(1-$F59)+$S59*(1-$G59))*((1+Inputs!$D$7)^AZ$2))))))</f>
        <v>0</v>
      </c>
      <c r="BA59" s="88">
        <f>$E59*IF(BA$2&gt;Inputs!$D$5,0,IF(BA$2&gt;VLOOKUP($H59,Lists!$P$3:$Q$7,2),IF($N59=Lists!$K$3,IF($L59&lt;1,(($U59/$L59)*((1+Inputs!$D$7)^BA$2)),((INT(BA$2/$L59)-INT((BA$2-1)/$L59))*$U59*((1+Inputs!$D$7)^BA$2))),(_xlfn.WEIBULL.DIST(BA$2,$M59,$L59,FALSE)*$U59*((1+Inputs!$D$7)^BA$2))),IF($N59=Lists!$K$3,IF($L59&lt;1,((($T59*(1-$F59)+$S59*(1-$G59))/$L59)*((1+Inputs!$D$7)^BA$2)),((INT(BA$2/$L59)-INT((BA$2-1)/$L59))*($T59*(1-$F59)+$S59*(1-$G59))*((1+Inputs!$D$7)^BA$2))),((_xlfn.WEIBULL.DIST(BA$2,$M59,$L59,FALSE)*($T59*(1-$F59)+$S59*(1-$G59))*((1+Inputs!$D$7)^BA$2))))))</f>
        <v>0</v>
      </c>
      <c r="BB59" s="88">
        <f>$E59*IF(BB$2&gt;Inputs!$D$5,0,IF(BB$2&gt;VLOOKUP($H59,Lists!$P$3:$Q$7,2),IF($N59=Lists!$K$3,IF($L59&lt;1,(($U59/$L59)*((1+Inputs!$D$7)^BB$2)),((INT(BB$2/$L59)-INT((BB$2-1)/$L59))*$U59*((1+Inputs!$D$7)^BB$2))),(_xlfn.WEIBULL.DIST(BB$2,$M59,$L59,FALSE)*$U59*((1+Inputs!$D$7)^BB$2))),IF($N59=Lists!$K$3,IF($L59&lt;1,((($T59*(1-$F59)+$S59*(1-$G59))/$L59)*((1+Inputs!$D$7)^BB$2)),((INT(BB$2/$L59)-INT((BB$2-1)/$L59))*($T59*(1-$F59)+$S59*(1-$G59))*((1+Inputs!$D$7)^BB$2))),((_xlfn.WEIBULL.DIST(BB$2,$M59,$L59,FALSE)*($T59*(1-$F59)+$S59*(1-$G59))*((1+Inputs!$D$7)^BB$2))))))</f>
        <v>0</v>
      </c>
      <c r="BC59" s="88">
        <f>$E59*IF(BC$2&gt;Inputs!$D$5,0,IF(BC$2&gt;VLOOKUP($H59,Lists!$P$3:$Q$7,2),IF($N59=Lists!$K$3,IF($L59&lt;1,(($U59/$L59)*((1+Inputs!$D$7)^BC$2)),((INT(BC$2/$L59)-INT((BC$2-1)/$L59))*$U59*((1+Inputs!$D$7)^BC$2))),(_xlfn.WEIBULL.DIST(BC$2,$M59,$L59,FALSE)*$U59*((1+Inputs!$D$7)^BC$2))),IF($N59=Lists!$K$3,IF($L59&lt;1,((($T59*(1-$F59)+$S59*(1-$G59))/$L59)*((1+Inputs!$D$7)^BC$2)),((INT(BC$2/$L59)-INT((BC$2-1)/$L59))*($T59*(1-$F59)+$S59*(1-$G59))*((1+Inputs!$D$7)^BC$2))),((_xlfn.WEIBULL.DIST(BC$2,$M59,$L59,FALSE)*($T59*(1-$F59)+$S59*(1-$G59))*((1+Inputs!$D$7)^BC$2))))))</f>
        <v>0</v>
      </c>
      <c r="BD59" s="88">
        <f>$E59*IF(BD$2&gt;Inputs!$D$5,0,IF(BD$2&gt;VLOOKUP($H59,Lists!$P$3:$Q$7,2),IF($N59=Lists!$K$3,IF($L59&lt;1,(($U59/$L59)*((1+Inputs!$D$7)^BD$2)),((INT(BD$2/$L59)-INT((BD$2-1)/$L59))*$U59*((1+Inputs!$D$7)^BD$2))),(_xlfn.WEIBULL.DIST(BD$2,$M59,$L59,FALSE)*$U59*((1+Inputs!$D$7)^BD$2))),IF($N59=Lists!$K$3,IF($L59&lt;1,((($T59*(1-$F59)+$S59*(1-$G59))/$L59)*((1+Inputs!$D$7)^BD$2)),((INT(BD$2/$L59)-INT((BD$2-1)/$L59))*($T59*(1-$F59)+$S59*(1-$G59))*((1+Inputs!$D$7)^BD$2))),((_xlfn.WEIBULL.DIST(BD$2,$M59,$L59,FALSE)*($T59*(1-$F59)+$S59*(1-$G59))*((1+Inputs!$D$7)^BD$2))))))</f>
        <v>0</v>
      </c>
      <c r="BE59" s="88">
        <f>$E59*IF(BE$2&gt;Inputs!$D$5,0,IF(BE$2&gt;VLOOKUP($H59,Lists!$P$3:$Q$7,2),IF($N59=Lists!$K$3,IF($L59&lt;1,(($U59/$L59)*((1+Inputs!$D$7)^BE$2)),((INT(BE$2/$L59)-INT((BE$2-1)/$L59))*$U59*((1+Inputs!$D$7)^BE$2))),(_xlfn.WEIBULL.DIST(BE$2,$M59,$L59,FALSE)*$U59*((1+Inputs!$D$7)^BE$2))),IF($N59=Lists!$K$3,IF($L59&lt;1,((($T59*(1-$F59)+$S59*(1-$G59))/$L59)*((1+Inputs!$D$7)^BE$2)),((INT(BE$2/$L59)-INT((BE$2-1)/$L59))*($T59*(1-$F59)+$S59*(1-$G59))*((1+Inputs!$D$7)^BE$2))),((_xlfn.WEIBULL.DIST(BE$2,$M59,$L59,FALSE)*($T59*(1-$F59)+$S59*(1-$G59))*((1+Inputs!$D$7)^BE$2))))))</f>
        <v>0</v>
      </c>
      <c r="BF59" s="88">
        <f>$E59*IF(BF$2&gt;Inputs!$D$5,0,IF(BF$2&gt;VLOOKUP($H59,Lists!$P$3:$Q$7,2),IF($N59=Lists!$K$3,IF($L59&lt;1,(($U59/$L59)*((1+Inputs!$D$7)^BF$2)),((INT(BF$2/$L59)-INT((BF$2-1)/$L59))*$U59*((1+Inputs!$D$7)^BF$2))),(_xlfn.WEIBULL.DIST(BF$2,$M59,$L59,FALSE)*$U59*((1+Inputs!$D$7)^BF$2))),IF($N59=Lists!$K$3,IF($L59&lt;1,((($T59*(1-$F59)+$S59*(1-$G59))/$L59)*((1+Inputs!$D$7)^BF$2)),((INT(BF$2/$L59)-INT((BF$2-1)/$L59))*($T59*(1-$F59)+$S59*(1-$G59))*((1+Inputs!$D$7)^BF$2))),((_xlfn.WEIBULL.DIST(BF$2,$M59,$L59,FALSE)*($T59*(1-$F59)+$S59*(1-$G59))*((1+Inputs!$D$7)^BF$2))))))</f>
        <v>0</v>
      </c>
      <c r="BG59" s="88">
        <f>$E59*IF(BG$2&gt;Inputs!$D$5,0,IF(BG$2&gt;VLOOKUP($H59,Lists!$P$3:$Q$7,2),IF($N59=Lists!$K$3,IF($L59&lt;1,(($U59/$L59)*((1+Inputs!$D$7)^BG$2)),((INT(BG$2/$L59)-INT((BG$2-1)/$L59))*$U59*((1+Inputs!$D$7)^BG$2))),(_xlfn.WEIBULL.DIST(BG$2,$M59,$L59,FALSE)*$U59*((1+Inputs!$D$7)^BG$2))),IF($N59=Lists!$K$3,IF($L59&lt;1,((($T59*(1-$F59)+$S59*(1-$G59))/$L59)*((1+Inputs!$D$7)^BG$2)),((INT(BG$2/$L59)-INT((BG$2-1)/$L59))*($T59*(1-$F59)+$S59*(1-$G59))*((1+Inputs!$D$7)^BG$2))),((_xlfn.WEIBULL.DIST(BG$2,$M59,$L59,FALSE)*($T59*(1-$F59)+$S59*(1-$G59))*((1+Inputs!$D$7)^BG$2))))))</f>
        <v>0</v>
      </c>
      <c r="BH59" s="88">
        <f>$E59*IF(BH$2&gt;Inputs!$D$5,0,IF(BH$2&gt;VLOOKUP($H59,Lists!$P$3:$Q$7,2),IF($N59=Lists!$K$3,IF($L59&lt;1,(($U59/$L59)*((1+Inputs!$D$7)^BH$2)),((INT(BH$2/$L59)-INT((BH$2-1)/$L59))*$U59*((1+Inputs!$D$7)^BH$2))),(_xlfn.WEIBULL.DIST(BH$2,$M59,$L59,FALSE)*$U59*((1+Inputs!$D$7)^BH$2))),IF($N59=Lists!$K$3,IF($L59&lt;1,((($T59*(1-$F59)+$S59*(1-$G59))/$L59)*((1+Inputs!$D$7)^BH$2)),((INT(BH$2/$L59)-INT((BH$2-1)/$L59))*($T59*(1-$F59)+$S59*(1-$G59))*((1+Inputs!$D$7)^BH$2))),((_xlfn.WEIBULL.DIST(BH$2,$M59,$L59,FALSE)*($T59*(1-$F59)+$S59*(1-$G59))*((1+Inputs!$D$7)^BH$2))))))</f>
        <v>0</v>
      </c>
      <c r="BI59" s="88">
        <f>$E59*IF(BI$2&gt;Inputs!$D$5,0,IF(BI$2&gt;VLOOKUP($H59,Lists!$P$3:$Q$7,2),IF($N59=Lists!$K$3,IF($L59&lt;1,(($U59/$L59)*((1+Inputs!$D$7)^BI$2)),((INT(BI$2/$L59)-INT((BI$2-1)/$L59))*$U59*((1+Inputs!$D$7)^BI$2))),(_xlfn.WEIBULL.DIST(BI$2,$M59,$L59,FALSE)*$U59*((1+Inputs!$D$7)^BI$2))),IF($N59=Lists!$K$3,IF($L59&lt;1,((($T59*(1-$F59)+$S59*(1-$G59))/$L59)*((1+Inputs!$D$7)^BI$2)),((INT(BI$2/$L59)-INT((BI$2-1)/$L59))*($T59*(1-$F59)+$S59*(1-$G59))*((1+Inputs!$D$7)^BI$2))),((_xlfn.WEIBULL.DIST(BI$2,$M59,$L59,FALSE)*($T59*(1-$F59)+$S59*(1-$G59))*((1+Inputs!$D$7)^BI$2))))))</f>
        <v>0</v>
      </c>
      <c r="BJ59" s="88">
        <f>$E59*IF(BJ$2&gt;Inputs!$D$5,0,IF(BJ$2&gt;VLOOKUP($H59,Lists!$P$3:$Q$7,2),IF($N59=Lists!$K$3,IF($L59&lt;1,(($U59/$L59)*((1+Inputs!$D$7)^BJ$2)),((INT(BJ$2/$L59)-INT((BJ$2-1)/$L59))*$U59*((1+Inputs!$D$7)^BJ$2))),(_xlfn.WEIBULL.DIST(BJ$2,$M59,$L59,FALSE)*$U59*((1+Inputs!$D$7)^BJ$2))),IF($N59=Lists!$K$3,IF($L59&lt;1,((($T59*(1-$F59)+$S59*(1-$G59))/$L59)*((1+Inputs!$D$7)^BJ$2)),((INT(BJ$2/$L59)-INT((BJ$2-1)/$L59))*($T59*(1-$F59)+$S59*(1-$G59))*((1+Inputs!$D$7)^BJ$2))),((_xlfn.WEIBULL.DIST(BJ$2,$M59,$L59,FALSE)*($T59*(1-$F59)+$S59*(1-$G59))*((1+Inputs!$D$7)^BJ$2))))))</f>
        <v>0</v>
      </c>
      <c r="BK59" s="88">
        <f>$E59*IF(BK$2&gt;Inputs!$D$5,0,IF(BK$2&gt;VLOOKUP($H59,Lists!$P$3:$Q$7,2),IF($N59=Lists!$K$3,IF($L59&lt;1,(($U59/$L59)*((1+Inputs!$D$7)^BK$2)),((INT(BK$2/$L59)-INT((BK$2-1)/$L59))*$U59*((1+Inputs!$D$7)^BK$2))),(_xlfn.WEIBULL.DIST(BK$2,$M59,$L59,FALSE)*$U59*((1+Inputs!$D$7)^BK$2))),IF($N59=Lists!$K$3,IF($L59&lt;1,((($T59*(1-$F59)+$S59*(1-$G59))/$L59)*((1+Inputs!$D$7)^BK$2)),((INT(BK$2/$L59)-INT((BK$2-1)/$L59))*($T59*(1-$F59)+$S59*(1-$G59))*((1+Inputs!$D$7)^BK$2))),((_xlfn.WEIBULL.DIST(BK$2,$M59,$L59,FALSE)*($T59*(1-$F59)+$S59*(1-$G59))*((1+Inputs!$D$7)^BK$2))))))</f>
        <v>0</v>
      </c>
      <c r="BL59" s="88">
        <f>$E59*IF(BL$2&gt;Inputs!$D$5,0,IF(BL$2&gt;VLOOKUP($H59,Lists!$P$3:$Q$7,2),IF($N59=Lists!$K$3,IF($L59&lt;1,(($U59/$L59)*((1+Inputs!$D$7)^BL$2)),((INT(BL$2/$L59)-INT((BL$2-1)/$L59))*$U59*((1+Inputs!$D$7)^BL$2))),(_xlfn.WEIBULL.DIST(BL$2,$M59,$L59,FALSE)*$U59*((1+Inputs!$D$7)^BL$2))),IF($N59=Lists!$K$3,IF($L59&lt;1,((($T59*(1-$F59)+$S59*(1-$G59))/$L59)*((1+Inputs!$D$7)^BL$2)),((INT(BL$2/$L59)-INT((BL$2-1)/$L59))*($T59*(1-$F59)+$S59*(1-$G59))*((1+Inputs!$D$7)^BL$2))),((_xlfn.WEIBULL.DIST(BL$2,$M59,$L59,FALSE)*($T59*(1-$F59)+$S59*(1-$G59))*((1+Inputs!$D$7)^BL$2))))))</f>
        <v>0</v>
      </c>
      <c r="BM59" s="88">
        <f>$E59*IF(BM$2&gt;Inputs!$D$5,0,IF(BM$2&gt;VLOOKUP($H59,Lists!$P$3:$Q$7,2),IF($N59=Lists!$K$3,IF($L59&lt;1,(($U59/$L59)*((1+Inputs!$D$7)^BM$2)),((INT(BM$2/$L59)-INT((BM$2-1)/$L59))*$U59*((1+Inputs!$D$7)^BM$2))),(_xlfn.WEIBULL.DIST(BM$2,$M59,$L59,FALSE)*$U59*((1+Inputs!$D$7)^BM$2))),IF($N59=Lists!$K$3,IF($L59&lt;1,((($T59*(1-$F59)+$S59*(1-$G59))/$L59)*((1+Inputs!$D$7)^BM$2)),((INT(BM$2/$L59)-INT((BM$2-1)/$L59))*($T59*(1-$F59)+$S59*(1-$G59))*((1+Inputs!$D$7)^BM$2))),((_xlfn.WEIBULL.DIST(BM$2,$M59,$L59,FALSE)*($T59*(1-$F59)+$S59*(1-$G59))*((1+Inputs!$D$7)^BM$2))))))</f>
        <v>0</v>
      </c>
      <c r="BN59" s="88">
        <f>$E59*IF(BN$2&gt;Inputs!$D$5,0,IF(BN$2&gt;VLOOKUP($H59,Lists!$P$3:$Q$7,2),IF($N59=Lists!$K$3,IF($L59&lt;1,(($U59/$L59)*((1+Inputs!$D$7)^BN$2)),((INT(BN$2/$L59)-INT((BN$2-1)/$L59))*$U59*((1+Inputs!$D$7)^BN$2))),(_xlfn.WEIBULL.DIST(BN$2,$M59,$L59,FALSE)*$U59*((1+Inputs!$D$7)^BN$2))),IF($N59=Lists!$K$3,IF($L59&lt;1,((($T59*(1-$F59)+$S59*(1-$G59))/$L59)*((1+Inputs!$D$7)^BN$2)),((INT(BN$2/$L59)-INT((BN$2-1)/$L59))*($T59*(1-$F59)+$S59*(1-$G59))*((1+Inputs!$D$7)^BN$2))),((_xlfn.WEIBULL.DIST(BN$2,$M59,$L59,FALSE)*($T59*(1-$F59)+$S59*(1-$G59))*((1+Inputs!$D$7)^BN$2))))))</f>
        <v>0</v>
      </c>
      <c r="BO59" s="64">
        <f>NPV(Inputs!$D$6,BQ59:DD59)</f>
        <v>0</v>
      </c>
      <c r="BP59" s="67">
        <f t="shared" si="13"/>
        <v>0</v>
      </c>
      <c r="BQ59" s="88">
        <f>MAX(AA59,($E59*IF(BQ$2&gt;Inputs!$D$5,0,IF(BQ$2&gt;VLOOKUP($H59,Lists!$P$3:$Q$7,2),IF($N59=Lists!$K$3,IF($L59&lt;1,(($U59/$L59)*((1+Inputs!$D$7)^BQ$2)),((INT(BQ$2/$L59)-INT((BQ$2-1)/$L59))*$U59*((1+Inputs!$D$7)^BQ$2))),(Inputs!$D$8^((1-_xlfn.WEIBULL.DIST(BQ$2,$M59,$L59,FALSE))/_xlfn.WEIBULL.DIST(BQ$2,$M59,$L59,FALSE))*$U59*((1+Inputs!$D$7)^BQ$2))),IF($N59=Lists!$K$3,IF($L59&lt;1,((($T59*(1-$F59)+$S59*(1-$G59))/$L59)*((1+Inputs!$D$7)^BQ$2)),((INT(BQ$2/$L59)-INT((BQ$2-1)/$L59))*($T59*(1-$F59)+$S59*(1-$G59))*((1+Inputs!$D$7)^BQ$2))),((Inputs!$D$8^((1-_xlfn.WEIBULL.DIST(BQ$2,$M59,$L59,FALSE))/_xlfn.WEIBULL.DIST(BQ$2,$M59,$L59,FALSE))*($T59*(1-$F59)+$S59*(1-$G59))*((1+Inputs!$D$7)^BQ$2))))))))</f>
        <v>0</v>
      </c>
      <c r="BR59" s="88">
        <f>MAX(AB59,($E59*IF(BR$2&gt;Inputs!$D$5,0,IF(BR$2&gt;VLOOKUP($H59,Lists!$P$3:$Q$7,2),IF($N59=Lists!$K$3,IF($L59&lt;1,(($U59/$L59)*((1+Inputs!$D$7)^BR$2)),((INT(BR$2/$L59)-INT((BR$2-1)/$L59))*$U59*((1+Inputs!$D$7)^BR$2))),(Inputs!$D$8^((1-_xlfn.WEIBULL.DIST(BR$2,$M59,$L59,FALSE))/_xlfn.WEIBULL.DIST(BR$2,$M59,$L59,FALSE))*$U59*((1+Inputs!$D$7)^BR$2))),IF($N59=Lists!$K$3,IF($L59&lt;1,((($T59*(1-$F59)+$S59*(1-$G59))/$L59)*((1+Inputs!$D$7)^BR$2)),((INT(BR$2/$L59)-INT((BR$2-1)/$L59))*($T59*(1-$F59)+$S59*(1-$G59))*((1+Inputs!$D$7)^BR$2))),((Inputs!$D$8^((1-_xlfn.WEIBULL.DIST(BR$2,$M59,$L59,FALSE))/_xlfn.WEIBULL.DIST(BR$2,$M59,$L59,FALSE))*($T59*(1-$F59)+$S59*(1-$G59))*((1+Inputs!$D$7)^BR$2))))))))</f>
        <v>0</v>
      </c>
      <c r="BS59" s="88">
        <f>MAX(AC59,($E59*IF(BS$2&gt;Inputs!$D$5,0,IF(BS$2&gt;VLOOKUP($H59,Lists!$P$3:$Q$7,2),IF($N59=Lists!$K$3,IF($L59&lt;1,(($U59/$L59)*((1+Inputs!$D$7)^BS$2)),((INT(BS$2/$L59)-INT((BS$2-1)/$L59))*$U59*((1+Inputs!$D$7)^BS$2))),(Inputs!$D$8^((1-_xlfn.WEIBULL.DIST(BS$2,$M59,$L59,FALSE))/_xlfn.WEIBULL.DIST(BS$2,$M59,$L59,FALSE))*$U59*((1+Inputs!$D$7)^BS$2))),IF($N59=Lists!$K$3,IF($L59&lt;1,((($T59*(1-$F59)+$S59*(1-$G59))/$L59)*((1+Inputs!$D$7)^BS$2)),((INT(BS$2/$L59)-INT((BS$2-1)/$L59))*($T59*(1-$F59)+$S59*(1-$G59))*((1+Inputs!$D$7)^BS$2))),((Inputs!$D$8^((1-_xlfn.WEIBULL.DIST(BS$2,$M59,$L59,FALSE))/_xlfn.WEIBULL.DIST(BS$2,$M59,$L59,FALSE))*($T59*(1-$F59)+$S59*(1-$G59))*((1+Inputs!$D$7)^BS$2))))))))</f>
        <v>0</v>
      </c>
      <c r="BT59" s="88">
        <f>MAX(AD59,($E59*IF(BT$2&gt;Inputs!$D$5,0,IF(BT$2&gt;VLOOKUP($H59,Lists!$P$3:$Q$7,2),IF($N59=Lists!$K$3,IF($L59&lt;1,(($U59/$L59)*((1+Inputs!$D$7)^BT$2)),((INT(BT$2/$L59)-INT((BT$2-1)/$L59))*$U59*((1+Inputs!$D$7)^BT$2))),(Inputs!$D$8^((1-_xlfn.WEIBULL.DIST(BT$2,$M59,$L59,FALSE))/_xlfn.WEIBULL.DIST(BT$2,$M59,$L59,FALSE))*$U59*((1+Inputs!$D$7)^BT$2))),IF($N59=Lists!$K$3,IF($L59&lt;1,((($T59*(1-$F59)+$S59*(1-$G59))/$L59)*((1+Inputs!$D$7)^BT$2)),((INT(BT$2/$L59)-INT((BT$2-1)/$L59))*($T59*(1-$F59)+$S59*(1-$G59))*((1+Inputs!$D$7)^BT$2))),((Inputs!$D$8^((1-_xlfn.WEIBULL.DIST(BT$2,$M59,$L59,FALSE))/_xlfn.WEIBULL.DIST(BT$2,$M59,$L59,FALSE))*($T59*(1-$F59)+$S59*(1-$G59))*((1+Inputs!$D$7)^BT$2))))))))</f>
        <v>0</v>
      </c>
      <c r="BU59" s="88">
        <f>MAX(AE59,($E59*IF(BU$2&gt;Inputs!$D$5,0,IF(BU$2&gt;VLOOKUP($H59,Lists!$P$3:$Q$7,2),IF($N59=Lists!$K$3,IF($L59&lt;1,(($U59/$L59)*((1+Inputs!$D$7)^BU$2)),((INT(BU$2/$L59)-INT((BU$2-1)/$L59))*$U59*((1+Inputs!$D$7)^BU$2))),(Inputs!$D$8^((1-_xlfn.WEIBULL.DIST(BU$2,$M59,$L59,FALSE))/_xlfn.WEIBULL.DIST(BU$2,$M59,$L59,FALSE))*$U59*((1+Inputs!$D$7)^BU$2))),IF($N59=Lists!$K$3,IF($L59&lt;1,((($T59*(1-$F59)+$S59*(1-$G59))/$L59)*((1+Inputs!$D$7)^BU$2)),((INT(BU$2/$L59)-INT((BU$2-1)/$L59))*($T59*(1-$F59)+$S59*(1-$G59))*((1+Inputs!$D$7)^BU$2))),((Inputs!$D$8^((1-_xlfn.WEIBULL.DIST(BU$2,$M59,$L59,FALSE))/_xlfn.WEIBULL.DIST(BU$2,$M59,$L59,FALSE))*($T59*(1-$F59)+$S59*(1-$G59))*((1+Inputs!$D$7)^BU$2))))))))</f>
        <v>0</v>
      </c>
      <c r="BV59" s="88">
        <f>MAX(AF59,($E59*IF(BV$2&gt;Inputs!$D$5,0,IF(BV$2&gt;VLOOKUP($H59,Lists!$P$3:$Q$7,2),IF($N59=Lists!$K$3,IF($L59&lt;1,(($U59/$L59)*((1+Inputs!$D$7)^BV$2)),((INT(BV$2/$L59)-INT((BV$2-1)/$L59))*$U59*((1+Inputs!$D$7)^BV$2))),(Inputs!$D$8^((1-_xlfn.WEIBULL.DIST(BV$2,$M59,$L59,FALSE))/_xlfn.WEIBULL.DIST(BV$2,$M59,$L59,FALSE))*$U59*((1+Inputs!$D$7)^BV$2))),IF($N59=Lists!$K$3,IF($L59&lt;1,((($T59*(1-$F59)+$S59*(1-$G59))/$L59)*((1+Inputs!$D$7)^BV$2)),((INT(BV$2/$L59)-INT((BV$2-1)/$L59))*($T59*(1-$F59)+$S59*(1-$G59))*((1+Inputs!$D$7)^BV$2))),((Inputs!$D$8^((1-_xlfn.WEIBULL.DIST(BV$2,$M59,$L59,FALSE))/_xlfn.WEIBULL.DIST(BV$2,$M59,$L59,FALSE))*($T59*(1-$F59)+$S59*(1-$G59))*((1+Inputs!$D$7)^BV$2))))))))</f>
        <v>0</v>
      </c>
      <c r="BW59" s="88">
        <f>MAX(AG59,($E59*IF(BW$2&gt;Inputs!$D$5,0,IF(BW$2&gt;VLOOKUP($H59,Lists!$P$3:$Q$7,2),IF($N59=Lists!$K$3,IF($L59&lt;1,(($U59/$L59)*((1+Inputs!$D$7)^BW$2)),((INT(BW$2/$L59)-INT((BW$2-1)/$L59))*$U59*((1+Inputs!$D$7)^BW$2))),(Inputs!$D$8^((1-_xlfn.WEIBULL.DIST(BW$2,$M59,$L59,FALSE))/_xlfn.WEIBULL.DIST(BW$2,$M59,$L59,FALSE))*$U59*((1+Inputs!$D$7)^BW$2))),IF($N59=Lists!$K$3,IF($L59&lt;1,((($T59*(1-$F59)+$S59*(1-$G59))/$L59)*((1+Inputs!$D$7)^BW$2)),((INT(BW$2/$L59)-INT((BW$2-1)/$L59))*($T59*(1-$F59)+$S59*(1-$G59))*((1+Inputs!$D$7)^BW$2))),((Inputs!$D$8^((1-_xlfn.WEIBULL.DIST(BW$2,$M59,$L59,FALSE))/_xlfn.WEIBULL.DIST(BW$2,$M59,$L59,FALSE))*($T59*(1-$F59)+$S59*(1-$G59))*((1+Inputs!$D$7)^BW$2))))))))</f>
        <v>0</v>
      </c>
      <c r="BX59" s="88">
        <f>MAX(AH59,($E59*IF(BX$2&gt;Inputs!$D$5,0,IF(BX$2&gt;VLOOKUP($H59,Lists!$P$3:$Q$7,2),IF($N59=Lists!$K$3,IF($L59&lt;1,(($U59/$L59)*((1+Inputs!$D$7)^BX$2)),((INT(BX$2/$L59)-INT((BX$2-1)/$L59))*$U59*((1+Inputs!$D$7)^BX$2))),(Inputs!$D$8^((1-_xlfn.WEIBULL.DIST(BX$2,$M59,$L59,FALSE))/_xlfn.WEIBULL.DIST(BX$2,$M59,$L59,FALSE))*$U59*((1+Inputs!$D$7)^BX$2))),IF($N59=Lists!$K$3,IF($L59&lt;1,((($T59*(1-$F59)+$S59*(1-$G59))/$L59)*((1+Inputs!$D$7)^BX$2)),((INT(BX$2/$L59)-INT((BX$2-1)/$L59))*($T59*(1-$F59)+$S59*(1-$G59))*((1+Inputs!$D$7)^BX$2))),((Inputs!$D$8^((1-_xlfn.WEIBULL.DIST(BX$2,$M59,$L59,FALSE))/_xlfn.WEIBULL.DIST(BX$2,$M59,$L59,FALSE))*($T59*(1-$F59)+$S59*(1-$G59))*((1+Inputs!$D$7)^BX$2))))))))</f>
        <v>0</v>
      </c>
      <c r="BY59" s="88">
        <f>MAX(AI59,($E59*IF(BY$2&gt;Inputs!$D$5,0,IF(BY$2&gt;VLOOKUP($H59,Lists!$P$3:$Q$7,2),IF($N59=Lists!$K$3,IF($L59&lt;1,(($U59/$L59)*((1+Inputs!$D$7)^BY$2)),((INT(BY$2/$L59)-INT((BY$2-1)/$L59))*$U59*((1+Inputs!$D$7)^BY$2))),(Inputs!$D$8^((1-_xlfn.WEIBULL.DIST(BY$2,$M59,$L59,FALSE))/_xlfn.WEIBULL.DIST(BY$2,$M59,$L59,FALSE))*$U59*((1+Inputs!$D$7)^BY$2))),IF($N59=Lists!$K$3,IF($L59&lt;1,((($T59*(1-$F59)+$S59*(1-$G59))/$L59)*((1+Inputs!$D$7)^BY$2)),((INT(BY$2/$L59)-INT((BY$2-1)/$L59))*($T59*(1-$F59)+$S59*(1-$G59))*((1+Inputs!$D$7)^BY$2))),((Inputs!$D$8^((1-_xlfn.WEIBULL.DIST(BY$2,$M59,$L59,FALSE))/_xlfn.WEIBULL.DIST(BY$2,$M59,$L59,FALSE))*($T59*(1-$F59)+$S59*(1-$G59))*((1+Inputs!$D$7)^BY$2))))))))</f>
        <v>0</v>
      </c>
      <c r="BZ59" s="88">
        <f>MAX(AJ59,($E59*IF(BZ$2&gt;Inputs!$D$5,0,IF(BZ$2&gt;VLOOKUP($H59,Lists!$P$3:$Q$7,2),IF($N59=Lists!$K$3,IF($L59&lt;1,(($U59/$L59)*((1+Inputs!$D$7)^BZ$2)),((INT(BZ$2/$L59)-INT((BZ$2-1)/$L59))*$U59*((1+Inputs!$D$7)^BZ$2))),(Inputs!$D$8^((1-_xlfn.WEIBULL.DIST(BZ$2,$M59,$L59,FALSE))/_xlfn.WEIBULL.DIST(BZ$2,$M59,$L59,FALSE))*$U59*((1+Inputs!$D$7)^BZ$2))),IF($N59=Lists!$K$3,IF($L59&lt;1,((($T59*(1-$F59)+$S59*(1-$G59))/$L59)*((1+Inputs!$D$7)^BZ$2)),((INT(BZ$2/$L59)-INT((BZ$2-1)/$L59))*($T59*(1-$F59)+$S59*(1-$G59))*((1+Inputs!$D$7)^BZ$2))),((Inputs!$D$8^((1-_xlfn.WEIBULL.DIST(BZ$2,$M59,$L59,FALSE))/_xlfn.WEIBULL.DIST(BZ$2,$M59,$L59,FALSE))*($T59*(1-$F59)+$S59*(1-$G59))*((1+Inputs!$D$7)^BZ$2))))))))</f>
        <v>0</v>
      </c>
      <c r="CA59" s="88">
        <f>MAX(AK59,($E59*IF(CA$2&gt;Inputs!$D$5,0,IF(CA$2&gt;VLOOKUP($H59,Lists!$P$3:$Q$7,2),IF($N59=Lists!$K$3,IF($L59&lt;1,(($U59/$L59)*((1+Inputs!$D$7)^CA$2)),((INT(CA$2/$L59)-INT((CA$2-1)/$L59))*$U59*((1+Inputs!$D$7)^CA$2))),(Inputs!$D$8^((1-_xlfn.WEIBULL.DIST(CA$2,$M59,$L59,FALSE))/_xlfn.WEIBULL.DIST(CA$2,$M59,$L59,FALSE))*$U59*((1+Inputs!$D$7)^CA$2))),IF($N59=Lists!$K$3,IF($L59&lt;1,((($T59*(1-$F59)+$S59*(1-$G59))/$L59)*((1+Inputs!$D$7)^CA$2)),((INT(CA$2/$L59)-INT((CA$2-1)/$L59))*($T59*(1-$F59)+$S59*(1-$G59))*((1+Inputs!$D$7)^CA$2))),((Inputs!$D$8^((1-_xlfn.WEIBULL.DIST(CA$2,$M59,$L59,FALSE))/_xlfn.WEIBULL.DIST(CA$2,$M59,$L59,FALSE))*($T59*(1-$F59)+$S59*(1-$G59))*((1+Inputs!$D$7)^CA$2))))))))</f>
        <v>0</v>
      </c>
      <c r="CB59" s="88">
        <f>MAX(AL59,($E59*IF(CB$2&gt;Inputs!$D$5,0,IF(CB$2&gt;VLOOKUP($H59,Lists!$P$3:$Q$7,2),IF($N59=Lists!$K$3,IF($L59&lt;1,(($U59/$L59)*((1+Inputs!$D$7)^CB$2)),((INT(CB$2/$L59)-INT((CB$2-1)/$L59))*$U59*((1+Inputs!$D$7)^CB$2))),(Inputs!$D$8^((1-_xlfn.WEIBULL.DIST(CB$2,$M59,$L59,FALSE))/_xlfn.WEIBULL.DIST(CB$2,$M59,$L59,FALSE))*$U59*((1+Inputs!$D$7)^CB$2))),IF($N59=Lists!$K$3,IF($L59&lt;1,((($T59*(1-$F59)+$S59*(1-$G59))/$L59)*((1+Inputs!$D$7)^CB$2)),((INT(CB$2/$L59)-INT((CB$2-1)/$L59))*($T59*(1-$F59)+$S59*(1-$G59))*((1+Inputs!$D$7)^CB$2))),((Inputs!$D$8^((1-_xlfn.WEIBULL.DIST(CB$2,$M59,$L59,FALSE))/_xlfn.WEIBULL.DIST(CB$2,$M59,$L59,FALSE))*($T59*(1-$F59)+$S59*(1-$G59))*((1+Inputs!$D$7)^CB$2))))))))</f>
        <v>0</v>
      </c>
      <c r="CC59" s="88">
        <f>MAX(AM59,($E59*IF(CC$2&gt;Inputs!$D$5,0,IF(CC$2&gt;VLOOKUP($H59,Lists!$P$3:$Q$7,2),IF($N59=Lists!$K$3,IF($L59&lt;1,(($U59/$L59)*((1+Inputs!$D$7)^CC$2)),((INT(CC$2/$L59)-INT((CC$2-1)/$L59))*$U59*((1+Inputs!$D$7)^CC$2))),(Inputs!$D$8^((1-_xlfn.WEIBULL.DIST(CC$2,$M59,$L59,FALSE))/_xlfn.WEIBULL.DIST(CC$2,$M59,$L59,FALSE))*$U59*((1+Inputs!$D$7)^CC$2))),IF($N59=Lists!$K$3,IF($L59&lt;1,((($T59*(1-$F59)+$S59*(1-$G59))/$L59)*((1+Inputs!$D$7)^CC$2)),((INT(CC$2/$L59)-INT((CC$2-1)/$L59))*($T59*(1-$F59)+$S59*(1-$G59))*((1+Inputs!$D$7)^CC$2))),((Inputs!$D$8^((1-_xlfn.WEIBULL.DIST(CC$2,$M59,$L59,FALSE))/_xlfn.WEIBULL.DIST(CC$2,$M59,$L59,FALSE))*($T59*(1-$F59)+$S59*(1-$G59))*((1+Inputs!$D$7)^CC$2))))))))</f>
        <v>0</v>
      </c>
      <c r="CD59" s="88">
        <f>MAX(AN59,($E59*IF(CD$2&gt;Inputs!$D$5,0,IF(CD$2&gt;VLOOKUP($H59,Lists!$P$3:$Q$7,2),IF($N59=Lists!$K$3,IF($L59&lt;1,(($U59/$L59)*((1+Inputs!$D$7)^CD$2)),((INT(CD$2/$L59)-INT((CD$2-1)/$L59))*$U59*((1+Inputs!$D$7)^CD$2))),(Inputs!$D$8^((1-_xlfn.WEIBULL.DIST(CD$2,$M59,$L59,FALSE))/_xlfn.WEIBULL.DIST(CD$2,$M59,$L59,FALSE))*$U59*((1+Inputs!$D$7)^CD$2))),IF($N59=Lists!$K$3,IF($L59&lt;1,((($T59*(1-$F59)+$S59*(1-$G59))/$L59)*((1+Inputs!$D$7)^CD$2)),((INT(CD$2/$L59)-INT((CD$2-1)/$L59))*($T59*(1-$F59)+$S59*(1-$G59))*((1+Inputs!$D$7)^CD$2))),((Inputs!$D$8^((1-_xlfn.WEIBULL.DIST(CD$2,$M59,$L59,FALSE))/_xlfn.WEIBULL.DIST(CD$2,$M59,$L59,FALSE))*($T59*(1-$F59)+$S59*(1-$G59))*((1+Inputs!$D$7)^CD$2))))))))</f>
        <v>0</v>
      </c>
      <c r="CE59" s="88">
        <f>MAX(AO59,($E59*IF(CE$2&gt;Inputs!$D$5,0,IF(CE$2&gt;VLOOKUP($H59,Lists!$P$3:$Q$7,2),IF($N59=Lists!$K$3,IF($L59&lt;1,(($U59/$L59)*((1+Inputs!$D$7)^CE$2)),((INT(CE$2/$L59)-INT((CE$2-1)/$L59))*$U59*((1+Inputs!$D$7)^CE$2))),(Inputs!$D$8^((1-_xlfn.WEIBULL.DIST(CE$2,$M59,$L59,FALSE))/_xlfn.WEIBULL.DIST(CE$2,$M59,$L59,FALSE))*$U59*((1+Inputs!$D$7)^CE$2))),IF($N59=Lists!$K$3,IF($L59&lt;1,((($T59*(1-$F59)+$S59*(1-$G59))/$L59)*((1+Inputs!$D$7)^CE$2)),((INT(CE$2/$L59)-INT((CE$2-1)/$L59))*($T59*(1-$F59)+$S59*(1-$G59))*((1+Inputs!$D$7)^CE$2))),((Inputs!$D$8^((1-_xlfn.WEIBULL.DIST(CE$2,$M59,$L59,FALSE))/_xlfn.WEIBULL.DIST(CE$2,$M59,$L59,FALSE))*($T59*(1-$F59)+$S59*(1-$G59))*((1+Inputs!$D$7)^CE$2))))))))</f>
        <v>0</v>
      </c>
      <c r="CF59" s="88">
        <f>MAX(AP59,($E59*IF(CF$2&gt;Inputs!$D$5,0,IF(CF$2&gt;VLOOKUP($H59,Lists!$P$3:$Q$7,2),IF($N59=Lists!$K$3,IF($L59&lt;1,(($U59/$L59)*((1+Inputs!$D$7)^CF$2)),((INT(CF$2/$L59)-INT((CF$2-1)/$L59))*$U59*((1+Inputs!$D$7)^CF$2))),(Inputs!$D$8^((1-_xlfn.WEIBULL.DIST(CF$2,$M59,$L59,FALSE))/_xlfn.WEIBULL.DIST(CF$2,$M59,$L59,FALSE))*$U59*((1+Inputs!$D$7)^CF$2))),IF($N59=Lists!$K$3,IF($L59&lt;1,((($T59*(1-$F59)+$S59*(1-$G59))/$L59)*((1+Inputs!$D$7)^CF$2)),((INT(CF$2/$L59)-INT((CF$2-1)/$L59))*($T59*(1-$F59)+$S59*(1-$G59))*((1+Inputs!$D$7)^CF$2))),((Inputs!$D$8^((1-_xlfn.WEIBULL.DIST(CF$2,$M59,$L59,FALSE))/_xlfn.WEIBULL.DIST(CF$2,$M59,$L59,FALSE))*($T59*(1-$F59)+$S59*(1-$G59))*((1+Inputs!$D$7)^CF$2))))))))</f>
        <v>0</v>
      </c>
      <c r="CG59" s="88">
        <f>MAX(AQ59,($E59*IF(CG$2&gt;Inputs!$D$5,0,IF(CG$2&gt;VLOOKUP($H59,Lists!$P$3:$Q$7,2),IF($N59=Lists!$K$3,IF($L59&lt;1,(($U59/$L59)*((1+Inputs!$D$7)^CG$2)),((INT(CG$2/$L59)-INT((CG$2-1)/$L59))*$U59*((1+Inputs!$D$7)^CG$2))),(Inputs!$D$8^((1-_xlfn.WEIBULL.DIST(CG$2,$M59,$L59,FALSE))/_xlfn.WEIBULL.DIST(CG$2,$M59,$L59,FALSE))*$U59*((1+Inputs!$D$7)^CG$2))),IF($N59=Lists!$K$3,IF($L59&lt;1,((($T59*(1-$F59)+$S59*(1-$G59))/$L59)*((1+Inputs!$D$7)^CG$2)),((INT(CG$2/$L59)-INT((CG$2-1)/$L59))*($T59*(1-$F59)+$S59*(1-$G59))*((1+Inputs!$D$7)^CG$2))),((Inputs!$D$8^((1-_xlfn.WEIBULL.DIST(CG$2,$M59,$L59,FALSE))/_xlfn.WEIBULL.DIST(CG$2,$M59,$L59,FALSE))*($T59*(1-$F59)+$S59*(1-$G59))*((1+Inputs!$D$7)^CG$2))))))))</f>
        <v>0</v>
      </c>
      <c r="CH59" s="88">
        <f>MAX(AR59,($E59*IF(CH$2&gt;Inputs!$D$5,0,IF(CH$2&gt;VLOOKUP($H59,Lists!$P$3:$Q$7,2),IF($N59=Lists!$K$3,IF($L59&lt;1,(($U59/$L59)*((1+Inputs!$D$7)^CH$2)),((INT(CH$2/$L59)-INT((CH$2-1)/$L59))*$U59*((1+Inputs!$D$7)^CH$2))),(Inputs!$D$8^((1-_xlfn.WEIBULL.DIST(CH$2,$M59,$L59,FALSE))/_xlfn.WEIBULL.DIST(CH$2,$M59,$L59,FALSE))*$U59*((1+Inputs!$D$7)^CH$2))),IF($N59=Lists!$K$3,IF($L59&lt;1,((($T59*(1-$F59)+$S59*(1-$G59))/$L59)*((1+Inputs!$D$7)^CH$2)),((INT(CH$2/$L59)-INT((CH$2-1)/$L59))*($T59*(1-$F59)+$S59*(1-$G59))*((1+Inputs!$D$7)^CH$2))),((Inputs!$D$8^((1-_xlfn.WEIBULL.DIST(CH$2,$M59,$L59,FALSE))/_xlfn.WEIBULL.DIST(CH$2,$M59,$L59,FALSE))*($T59*(1-$F59)+$S59*(1-$G59))*((1+Inputs!$D$7)^CH$2))))))))</f>
        <v>0</v>
      </c>
      <c r="CI59" s="88">
        <f>MAX(AS59,($E59*IF(CI$2&gt;Inputs!$D$5,0,IF(CI$2&gt;VLOOKUP($H59,Lists!$P$3:$Q$7,2),IF($N59=Lists!$K$3,IF($L59&lt;1,(($U59/$L59)*((1+Inputs!$D$7)^CI$2)),((INT(CI$2/$L59)-INT((CI$2-1)/$L59))*$U59*((1+Inputs!$D$7)^CI$2))),(Inputs!$D$8^((1-_xlfn.WEIBULL.DIST(CI$2,$M59,$L59,FALSE))/_xlfn.WEIBULL.DIST(CI$2,$M59,$L59,FALSE))*$U59*((1+Inputs!$D$7)^CI$2))),IF($N59=Lists!$K$3,IF($L59&lt;1,((($T59*(1-$F59)+$S59*(1-$G59))/$L59)*((1+Inputs!$D$7)^CI$2)),((INT(CI$2/$L59)-INT((CI$2-1)/$L59))*($T59*(1-$F59)+$S59*(1-$G59))*((1+Inputs!$D$7)^CI$2))),((Inputs!$D$8^((1-_xlfn.WEIBULL.DIST(CI$2,$M59,$L59,FALSE))/_xlfn.WEIBULL.DIST(CI$2,$M59,$L59,FALSE))*($T59*(1-$F59)+$S59*(1-$G59))*((1+Inputs!$D$7)^CI$2))))))))</f>
        <v>0</v>
      </c>
      <c r="CJ59" s="88">
        <f>MAX(AT59,($E59*IF(CJ$2&gt;Inputs!$D$5,0,IF(CJ$2&gt;VLOOKUP($H59,Lists!$P$3:$Q$7,2),IF($N59=Lists!$K$3,IF($L59&lt;1,(($U59/$L59)*((1+Inputs!$D$7)^CJ$2)),((INT(CJ$2/$L59)-INT((CJ$2-1)/$L59))*$U59*((1+Inputs!$D$7)^CJ$2))),(Inputs!$D$8^((1-_xlfn.WEIBULL.DIST(CJ$2,$M59,$L59,FALSE))/_xlfn.WEIBULL.DIST(CJ$2,$M59,$L59,FALSE))*$U59*((1+Inputs!$D$7)^CJ$2))),IF($N59=Lists!$K$3,IF($L59&lt;1,((($T59*(1-$F59)+$S59*(1-$G59))/$L59)*((1+Inputs!$D$7)^CJ$2)),((INT(CJ$2/$L59)-INT((CJ$2-1)/$L59))*($T59*(1-$F59)+$S59*(1-$G59))*((1+Inputs!$D$7)^CJ$2))),((Inputs!$D$8^((1-_xlfn.WEIBULL.DIST(CJ$2,$M59,$L59,FALSE))/_xlfn.WEIBULL.DIST(CJ$2,$M59,$L59,FALSE))*($T59*(1-$F59)+$S59*(1-$G59))*((1+Inputs!$D$7)^CJ$2))))))))</f>
        <v>0</v>
      </c>
      <c r="CK59" s="88">
        <f>MAX(AU59,($E59*IF(CK$2&gt;Inputs!$D$5,0,IF(CK$2&gt;VLOOKUP($H59,Lists!$P$3:$Q$7,2),IF($N59=Lists!$K$3,IF($L59&lt;1,(($U59/$L59)*((1+Inputs!$D$7)^CK$2)),((INT(CK$2/$L59)-INT((CK$2-1)/$L59))*$U59*((1+Inputs!$D$7)^CK$2))),(Inputs!$D$8^((1-_xlfn.WEIBULL.DIST(CK$2,$M59,$L59,FALSE))/_xlfn.WEIBULL.DIST(CK$2,$M59,$L59,FALSE))*$U59*((1+Inputs!$D$7)^CK$2))),IF($N59=Lists!$K$3,IF($L59&lt;1,((($T59*(1-$F59)+$S59*(1-$G59))/$L59)*((1+Inputs!$D$7)^CK$2)),((INT(CK$2/$L59)-INT((CK$2-1)/$L59))*($T59*(1-$F59)+$S59*(1-$G59))*((1+Inputs!$D$7)^CK$2))),((Inputs!$D$8^((1-_xlfn.WEIBULL.DIST(CK$2,$M59,$L59,FALSE))/_xlfn.WEIBULL.DIST(CK$2,$M59,$L59,FALSE))*($T59*(1-$F59)+$S59*(1-$G59))*((1+Inputs!$D$7)^CK$2))))))))</f>
        <v>0</v>
      </c>
      <c r="CL59" s="88">
        <f>MAX(AV59,($E59*IF(CL$2&gt;Inputs!$D$5,0,IF(CL$2&gt;VLOOKUP($H59,Lists!$P$3:$Q$7,2),IF($N59=Lists!$K$3,IF($L59&lt;1,(($U59/$L59)*((1+Inputs!$D$7)^CL$2)),((INT(CL$2/$L59)-INT((CL$2-1)/$L59))*$U59*((1+Inputs!$D$7)^CL$2))),(Inputs!$D$8^((1-_xlfn.WEIBULL.DIST(CL$2,$M59,$L59,FALSE))/_xlfn.WEIBULL.DIST(CL$2,$M59,$L59,FALSE))*$U59*((1+Inputs!$D$7)^CL$2))),IF($N59=Lists!$K$3,IF($L59&lt;1,((($T59*(1-$F59)+$S59*(1-$G59))/$L59)*((1+Inputs!$D$7)^CL$2)),((INT(CL$2/$L59)-INT((CL$2-1)/$L59))*($T59*(1-$F59)+$S59*(1-$G59))*((1+Inputs!$D$7)^CL$2))),((Inputs!$D$8^((1-_xlfn.WEIBULL.DIST(CL$2,$M59,$L59,FALSE))/_xlfn.WEIBULL.DIST(CL$2,$M59,$L59,FALSE))*($T59*(1-$F59)+$S59*(1-$G59))*((1+Inputs!$D$7)^CL$2))))))))</f>
        <v>0</v>
      </c>
      <c r="CM59" s="88">
        <f>MAX(AW59,($E59*IF(CM$2&gt;Inputs!$D$5,0,IF(CM$2&gt;VLOOKUP($H59,Lists!$P$3:$Q$7,2),IF($N59=Lists!$K$3,IF($L59&lt;1,(($U59/$L59)*((1+Inputs!$D$7)^CM$2)),((INT(CM$2/$L59)-INT((CM$2-1)/$L59))*$U59*((1+Inputs!$D$7)^CM$2))),(Inputs!$D$8^((1-_xlfn.WEIBULL.DIST(CM$2,$M59,$L59,FALSE))/_xlfn.WEIBULL.DIST(CM$2,$M59,$L59,FALSE))*$U59*((1+Inputs!$D$7)^CM$2))),IF($N59=Lists!$K$3,IF($L59&lt;1,((($T59*(1-$F59)+$S59*(1-$G59))/$L59)*((1+Inputs!$D$7)^CM$2)),((INT(CM$2/$L59)-INT((CM$2-1)/$L59))*($T59*(1-$F59)+$S59*(1-$G59))*((1+Inputs!$D$7)^CM$2))),((Inputs!$D$8^((1-_xlfn.WEIBULL.DIST(CM$2,$M59,$L59,FALSE))/_xlfn.WEIBULL.DIST(CM$2,$M59,$L59,FALSE))*($T59*(1-$F59)+$S59*(1-$G59))*((1+Inputs!$D$7)^CM$2))))))))</f>
        <v>0</v>
      </c>
      <c r="CN59" s="88">
        <f>MAX(AX59,($E59*IF(CN$2&gt;Inputs!$D$5,0,IF(CN$2&gt;VLOOKUP($H59,Lists!$P$3:$Q$7,2),IF($N59=Lists!$K$3,IF($L59&lt;1,(($U59/$L59)*((1+Inputs!$D$7)^CN$2)),((INT(CN$2/$L59)-INT((CN$2-1)/$L59))*$U59*((1+Inputs!$D$7)^CN$2))),(Inputs!$D$8^((1-_xlfn.WEIBULL.DIST(CN$2,$M59,$L59,FALSE))/_xlfn.WEIBULL.DIST(CN$2,$M59,$L59,FALSE))*$U59*((1+Inputs!$D$7)^CN$2))),IF($N59=Lists!$K$3,IF($L59&lt;1,((($T59*(1-$F59)+$S59*(1-$G59))/$L59)*((1+Inputs!$D$7)^CN$2)),((INT(CN$2/$L59)-INT((CN$2-1)/$L59))*($T59*(1-$F59)+$S59*(1-$G59))*((1+Inputs!$D$7)^CN$2))),((Inputs!$D$8^((1-_xlfn.WEIBULL.DIST(CN$2,$M59,$L59,FALSE))/_xlfn.WEIBULL.DIST(CN$2,$M59,$L59,FALSE))*($T59*(1-$F59)+$S59*(1-$G59))*((1+Inputs!$D$7)^CN$2))))))))</f>
        <v>0</v>
      </c>
      <c r="CO59" s="88">
        <f>MAX(AY59,($E59*IF(CO$2&gt;Inputs!$D$5,0,IF(CO$2&gt;VLOOKUP($H59,Lists!$P$3:$Q$7,2),IF($N59=Lists!$K$3,IF($L59&lt;1,(($U59/$L59)*((1+Inputs!$D$7)^CO$2)),((INT(CO$2/$L59)-INT((CO$2-1)/$L59))*$U59*((1+Inputs!$D$7)^CO$2))),(Inputs!$D$8^((1-_xlfn.WEIBULL.DIST(CO$2,$M59,$L59,FALSE))/_xlfn.WEIBULL.DIST(CO$2,$M59,$L59,FALSE))*$U59*((1+Inputs!$D$7)^CO$2))),IF($N59=Lists!$K$3,IF($L59&lt;1,((($T59*(1-$F59)+$S59*(1-$G59))/$L59)*((1+Inputs!$D$7)^CO$2)),((INT(CO$2/$L59)-INT((CO$2-1)/$L59))*($T59*(1-$F59)+$S59*(1-$G59))*((1+Inputs!$D$7)^CO$2))),((Inputs!$D$8^((1-_xlfn.WEIBULL.DIST(CO$2,$M59,$L59,FALSE))/_xlfn.WEIBULL.DIST(CO$2,$M59,$L59,FALSE))*($T59*(1-$F59)+$S59*(1-$G59))*((1+Inputs!$D$7)^CO$2))))))))</f>
        <v>0</v>
      </c>
      <c r="CP59" s="88">
        <f>MAX(AZ59,($E59*IF(CP$2&gt;Inputs!$D$5,0,IF(CP$2&gt;VLOOKUP($H59,Lists!$P$3:$Q$7,2),IF($N59=Lists!$K$3,IF($L59&lt;1,(($U59/$L59)*((1+Inputs!$D$7)^CP$2)),((INT(CP$2/$L59)-INT((CP$2-1)/$L59))*$U59*((1+Inputs!$D$7)^CP$2))),(Inputs!$D$8^((1-_xlfn.WEIBULL.DIST(CP$2,$M59,$L59,FALSE))/_xlfn.WEIBULL.DIST(CP$2,$M59,$L59,FALSE))*$U59*((1+Inputs!$D$7)^CP$2))),IF($N59=Lists!$K$3,IF($L59&lt;1,((($T59*(1-$F59)+$S59*(1-$G59))/$L59)*((1+Inputs!$D$7)^CP$2)),((INT(CP$2/$L59)-INT((CP$2-1)/$L59))*($T59*(1-$F59)+$S59*(1-$G59))*((1+Inputs!$D$7)^CP$2))),((Inputs!$D$8^((1-_xlfn.WEIBULL.DIST(CP$2,$M59,$L59,FALSE))/_xlfn.WEIBULL.DIST(CP$2,$M59,$L59,FALSE))*($T59*(1-$F59)+$S59*(1-$G59))*((1+Inputs!$D$7)^CP$2))))))))</f>
        <v>0</v>
      </c>
      <c r="CQ59" s="88">
        <f>MAX(BA59,($E59*IF(CQ$2&gt;Inputs!$D$5,0,IF(CQ$2&gt;VLOOKUP($H59,Lists!$P$3:$Q$7,2),IF($N59=Lists!$K$3,IF($L59&lt;1,(($U59/$L59)*((1+Inputs!$D$7)^CQ$2)),((INT(CQ$2/$L59)-INT((CQ$2-1)/$L59))*$U59*((1+Inputs!$D$7)^CQ$2))),(Inputs!$D$8^((1-_xlfn.WEIBULL.DIST(CQ$2,$M59,$L59,FALSE))/_xlfn.WEIBULL.DIST(CQ$2,$M59,$L59,FALSE))*$U59*((1+Inputs!$D$7)^CQ$2))),IF($N59=Lists!$K$3,IF($L59&lt;1,((($T59*(1-$F59)+$S59*(1-$G59))/$L59)*((1+Inputs!$D$7)^CQ$2)),((INT(CQ$2/$L59)-INT((CQ$2-1)/$L59))*($T59*(1-$F59)+$S59*(1-$G59))*((1+Inputs!$D$7)^CQ$2))),((Inputs!$D$8^((1-_xlfn.WEIBULL.DIST(CQ$2,$M59,$L59,FALSE))/_xlfn.WEIBULL.DIST(CQ$2,$M59,$L59,FALSE))*($T59*(1-$F59)+$S59*(1-$G59))*((1+Inputs!$D$7)^CQ$2))))))))</f>
        <v>0</v>
      </c>
      <c r="CR59" s="88">
        <f>MAX(BB59,($E59*IF(CR$2&gt;Inputs!$D$5,0,IF(CR$2&gt;VLOOKUP($H59,Lists!$P$3:$Q$7,2),IF($N59=Lists!$K$3,IF($L59&lt;1,(($U59/$L59)*((1+Inputs!$D$7)^CR$2)),((INT(CR$2/$L59)-INT((CR$2-1)/$L59))*$U59*((1+Inputs!$D$7)^CR$2))),(Inputs!$D$8^((1-_xlfn.WEIBULL.DIST(CR$2,$M59,$L59,FALSE))/_xlfn.WEIBULL.DIST(CR$2,$M59,$L59,FALSE))*$U59*((1+Inputs!$D$7)^CR$2))),IF($N59=Lists!$K$3,IF($L59&lt;1,((($T59*(1-$F59)+$S59*(1-$G59))/$L59)*((1+Inputs!$D$7)^CR$2)),((INT(CR$2/$L59)-INT((CR$2-1)/$L59))*($T59*(1-$F59)+$S59*(1-$G59))*((1+Inputs!$D$7)^CR$2))),((Inputs!$D$8^((1-_xlfn.WEIBULL.DIST(CR$2,$M59,$L59,FALSE))/_xlfn.WEIBULL.DIST(CR$2,$M59,$L59,FALSE))*($T59*(1-$F59)+$S59*(1-$G59))*((1+Inputs!$D$7)^CR$2))))))))</f>
        <v>0</v>
      </c>
      <c r="CS59" s="88">
        <f>MAX(BC59,($E59*IF(CS$2&gt;Inputs!$D$5,0,IF(CS$2&gt;VLOOKUP($H59,Lists!$P$3:$Q$7,2),IF($N59=Lists!$K$3,IF($L59&lt;1,(($U59/$L59)*((1+Inputs!$D$7)^CS$2)),((INT(CS$2/$L59)-INT((CS$2-1)/$L59))*$U59*((1+Inputs!$D$7)^CS$2))),(Inputs!$D$8^((1-_xlfn.WEIBULL.DIST(CS$2,$M59,$L59,FALSE))/_xlfn.WEIBULL.DIST(CS$2,$M59,$L59,FALSE))*$U59*((1+Inputs!$D$7)^CS$2))),IF($N59=Lists!$K$3,IF($L59&lt;1,((($T59*(1-$F59)+$S59*(1-$G59))/$L59)*((1+Inputs!$D$7)^CS$2)),((INT(CS$2/$L59)-INT((CS$2-1)/$L59))*($T59*(1-$F59)+$S59*(1-$G59))*((1+Inputs!$D$7)^CS$2))),((Inputs!$D$8^((1-_xlfn.WEIBULL.DIST(CS$2,$M59,$L59,FALSE))/_xlfn.WEIBULL.DIST(CS$2,$M59,$L59,FALSE))*($T59*(1-$F59)+$S59*(1-$G59))*((1+Inputs!$D$7)^CS$2))))))))</f>
        <v>0</v>
      </c>
      <c r="CT59" s="88">
        <f>MAX(BD59,($E59*IF(CT$2&gt;Inputs!$D$5,0,IF(CT$2&gt;VLOOKUP($H59,Lists!$P$3:$Q$7,2),IF($N59=Lists!$K$3,IF($L59&lt;1,(($U59/$L59)*((1+Inputs!$D$7)^CT$2)),((INT(CT$2/$L59)-INT((CT$2-1)/$L59))*$U59*((1+Inputs!$D$7)^CT$2))),(Inputs!$D$8^((1-_xlfn.WEIBULL.DIST(CT$2,$M59,$L59,FALSE))/_xlfn.WEIBULL.DIST(CT$2,$M59,$L59,FALSE))*$U59*((1+Inputs!$D$7)^CT$2))),IF($N59=Lists!$K$3,IF($L59&lt;1,((($T59*(1-$F59)+$S59*(1-$G59))/$L59)*((1+Inputs!$D$7)^CT$2)),((INT(CT$2/$L59)-INT((CT$2-1)/$L59))*($T59*(1-$F59)+$S59*(1-$G59))*((1+Inputs!$D$7)^CT$2))),((Inputs!$D$8^((1-_xlfn.WEIBULL.DIST(CT$2,$M59,$L59,FALSE))/_xlfn.WEIBULL.DIST(CT$2,$M59,$L59,FALSE))*($T59*(1-$F59)+$S59*(1-$G59))*((1+Inputs!$D$7)^CT$2))))))))</f>
        <v>0</v>
      </c>
      <c r="CU59" s="88">
        <f>MAX(BE59,($E59*IF(CU$2&gt;Inputs!$D$5,0,IF(CU$2&gt;VLOOKUP($H59,Lists!$P$3:$Q$7,2),IF($N59=Lists!$K$3,IF($L59&lt;1,(($U59/$L59)*((1+Inputs!$D$7)^CU$2)),((INT(CU$2/$L59)-INT((CU$2-1)/$L59))*$U59*((1+Inputs!$D$7)^CU$2))),(Inputs!$D$8^((1-_xlfn.WEIBULL.DIST(CU$2,$M59,$L59,FALSE))/_xlfn.WEIBULL.DIST(CU$2,$M59,$L59,FALSE))*$U59*((1+Inputs!$D$7)^CU$2))),IF($N59=Lists!$K$3,IF($L59&lt;1,((($T59*(1-$F59)+$S59*(1-$G59))/$L59)*((1+Inputs!$D$7)^CU$2)),((INT(CU$2/$L59)-INT((CU$2-1)/$L59))*($T59*(1-$F59)+$S59*(1-$G59))*((1+Inputs!$D$7)^CU$2))),((Inputs!$D$8^((1-_xlfn.WEIBULL.DIST(CU$2,$M59,$L59,FALSE))/_xlfn.WEIBULL.DIST(CU$2,$M59,$L59,FALSE))*($T59*(1-$F59)+$S59*(1-$G59))*((1+Inputs!$D$7)^CU$2))))))))</f>
        <v>0</v>
      </c>
      <c r="CV59" s="88">
        <f>MAX(BF59,($E59*IF(CV$2&gt;Inputs!$D$5,0,IF(CV$2&gt;VLOOKUP($H59,Lists!$P$3:$Q$7,2),IF($N59=Lists!$K$3,IF($L59&lt;1,(($U59/$L59)*((1+Inputs!$D$7)^CV$2)),((INT(CV$2/$L59)-INT((CV$2-1)/$L59))*$U59*((1+Inputs!$D$7)^CV$2))),(Inputs!$D$8^((1-_xlfn.WEIBULL.DIST(CV$2,$M59,$L59,FALSE))/_xlfn.WEIBULL.DIST(CV$2,$M59,$L59,FALSE))*$U59*((1+Inputs!$D$7)^CV$2))),IF($N59=Lists!$K$3,IF($L59&lt;1,((($T59*(1-$F59)+$S59*(1-$G59))/$L59)*((1+Inputs!$D$7)^CV$2)),((INT(CV$2/$L59)-INT((CV$2-1)/$L59))*($T59*(1-$F59)+$S59*(1-$G59))*((1+Inputs!$D$7)^CV$2))),((Inputs!$D$8^((1-_xlfn.WEIBULL.DIST(CV$2,$M59,$L59,FALSE))/_xlfn.WEIBULL.DIST(CV$2,$M59,$L59,FALSE))*($T59*(1-$F59)+$S59*(1-$G59))*((1+Inputs!$D$7)^CV$2))))))))</f>
        <v>0</v>
      </c>
      <c r="CW59" s="88">
        <f>MAX(BG59,($E59*IF(CW$2&gt;Inputs!$D$5,0,IF(CW$2&gt;VLOOKUP($H59,Lists!$P$3:$Q$7,2),IF($N59=Lists!$K$3,IF($L59&lt;1,(($U59/$L59)*((1+Inputs!$D$7)^CW$2)),((INT(CW$2/$L59)-INT((CW$2-1)/$L59))*$U59*((1+Inputs!$D$7)^CW$2))),(Inputs!$D$8^((1-_xlfn.WEIBULL.DIST(CW$2,$M59,$L59,FALSE))/_xlfn.WEIBULL.DIST(CW$2,$M59,$L59,FALSE))*$U59*((1+Inputs!$D$7)^CW$2))),IF($N59=Lists!$K$3,IF($L59&lt;1,((($T59*(1-$F59)+$S59*(1-$G59))/$L59)*((1+Inputs!$D$7)^CW$2)),((INT(CW$2/$L59)-INT((CW$2-1)/$L59))*($T59*(1-$F59)+$S59*(1-$G59))*((1+Inputs!$D$7)^CW$2))),((Inputs!$D$8^((1-_xlfn.WEIBULL.DIST(CW$2,$M59,$L59,FALSE))/_xlfn.WEIBULL.DIST(CW$2,$M59,$L59,FALSE))*($T59*(1-$F59)+$S59*(1-$G59))*((1+Inputs!$D$7)^CW$2))))))))</f>
        <v>0</v>
      </c>
      <c r="CX59" s="88">
        <f>MAX(BH59,($E59*IF(CX$2&gt;Inputs!$D$5,0,IF(CX$2&gt;VLOOKUP($H59,Lists!$P$3:$Q$7,2),IF($N59=Lists!$K$3,IF($L59&lt;1,(($U59/$L59)*((1+Inputs!$D$7)^CX$2)),((INT(CX$2/$L59)-INT((CX$2-1)/$L59))*$U59*((1+Inputs!$D$7)^CX$2))),(Inputs!$D$8^((1-_xlfn.WEIBULL.DIST(CX$2,$M59,$L59,FALSE))/_xlfn.WEIBULL.DIST(CX$2,$M59,$L59,FALSE))*$U59*((1+Inputs!$D$7)^CX$2))),IF($N59=Lists!$K$3,IF($L59&lt;1,((($T59*(1-$F59)+$S59*(1-$G59))/$L59)*((1+Inputs!$D$7)^CX$2)),((INT(CX$2/$L59)-INT((CX$2-1)/$L59))*($T59*(1-$F59)+$S59*(1-$G59))*((1+Inputs!$D$7)^CX$2))),((Inputs!$D$8^((1-_xlfn.WEIBULL.DIST(CX$2,$M59,$L59,FALSE))/_xlfn.WEIBULL.DIST(CX$2,$M59,$L59,FALSE))*($T59*(1-$F59)+$S59*(1-$G59))*((1+Inputs!$D$7)^CX$2))))))))</f>
        <v>0</v>
      </c>
      <c r="CY59" s="88">
        <f>MAX(BI59,($E59*IF(CY$2&gt;Inputs!$D$5,0,IF(CY$2&gt;VLOOKUP($H59,Lists!$P$3:$Q$7,2),IF($N59=Lists!$K$3,IF($L59&lt;1,(($U59/$L59)*((1+Inputs!$D$7)^CY$2)),((INT(CY$2/$L59)-INT((CY$2-1)/$L59))*$U59*((1+Inputs!$D$7)^CY$2))),(Inputs!$D$8^((1-_xlfn.WEIBULL.DIST(CY$2,$M59,$L59,FALSE))/_xlfn.WEIBULL.DIST(CY$2,$M59,$L59,FALSE))*$U59*((1+Inputs!$D$7)^CY$2))),IF($N59=Lists!$K$3,IF($L59&lt;1,((($T59*(1-$F59)+$S59*(1-$G59))/$L59)*((1+Inputs!$D$7)^CY$2)),((INT(CY$2/$L59)-INT((CY$2-1)/$L59))*($T59*(1-$F59)+$S59*(1-$G59))*((1+Inputs!$D$7)^CY$2))),((Inputs!$D$8^((1-_xlfn.WEIBULL.DIST(CY$2,$M59,$L59,FALSE))/_xlfn.WEIBULL.DIST(CY$2,$M59,$L59,FALSE))*($T59*(1-$F59)+$S59*(1-$G59))*((1+Inputs!$D$7)^CY$2))))))))</f>
        <v>0</v>
      </c>
      <c r="CZ59" s="88">
        <f>MAX(BJ59,($E59*IF(CZ$2&gt;Inputs!$D$5,0,IF(CZ$2&gt;VLOOKUP($H59,Lists!$P$3:$Q$7,2),IF($N59=Lists!$K$3,IF($L59&lt;1,(($U59/$L59)*((1+Inputs!$D$7)^CZ$2)),((INT(CZ$2/$L59)-INT((CZ$2-1)/$L59))*$U59*((1+Inputs!$D$7)^CZ$2))),(Inputs!$D$8^((1-_xlfn.WEIBULL.DIST(CZ$2,$M59,$L59,FALSE))/_xlfn.WEIBULL.DIST(CZ$2,$M59,$L59,FALSE))*$U59*((1+Inputs!$D$7)^CZ$2))),IF($N59=Lists!$K$3,IF($L59&lt;1,((($T59*(1-$F59)+$S59*(1-$G59))/$L59)*((1+Inputs!$D$7)^CZ$2)),((INT(CZ$2/$L59)-INT((CZ$2-1)/$L59))*($T59*(1-$F59)+$S59*(1-$G59))*((1+Inputs!$D$7)^CZ$2))),((Inputs!$D$8^((1-_xlfn.WEIBULL.DIST(CZ$2,$M59,$L59,FALSE))/_xlfn.WEIBULL.DIST(CZ$2,$M59,$L59,FALSE))*($T59*(1-$F59)+$S59*(1-$G59))*((1+Inputs!$D$7)^CZ$2))))))))</f>
        <v>0</v>
      </c>
      <c r="DA59" s="88">
        <f>MAX(BK59,($E59*IF(DA$2&gt;Inputs!$D$5,0,IF(DA$2&gt;VLOOKUP($H59,Lists!$P$3:$Q$7,2),IF($N59=Lists!$K$3,IF($L59&lt;1,(($U59/$L59)*((1+Inputs!$D$7)^DA$2)),((INT(DA$2/$L59)-INT((DA$2-1)/$L59))*$U59*((1+Inputs!$D$7)^DA$2))),(Inputs!$D$8^((1-_xlfn.WEIBULL.DIST(DA$2,$M59,$L59,FALSE))/_xlfn.WEIBULL.DIST(DA$2,$M59,$L59,FALSE))*$U59*((1+Inputs!$D$7)^DA$2))),IF($N59=Lists!$K$3,IF($L59&lt;1,((($T59*(1-$F59)+$S59*(1-$G59))/$L59)*((1+Inputs!$D$7)^DA$2)),((INT(DA$2/$L59)-INT((DA$2-1)/$L59))*($T59*(1-$F59)+$S59*(1-$G59))*((1+Inputs!$D$7)^DA$2))),((Inputs!$D$8^((1-_xlfn.WEIBULL.DIST(DA$2,$M59,$L59,FALSE))/_xlfn.WEIBULL.DIST(DA$2,$M59,$L59,FALSE))*($T59*(1-$F59)+$S59*(1-$G59))*((1+Inputs!$D$7)^DA$2))))))))</f>
        <v>0</v>
      </c>
      <c r="DB59" s="88">
        <f>MAX(BL59,($E59*IF(DB$2&gt;Inputs!$D$5,0,IF(DB$2&gt;VLOOKUP($H59,Lists!$P$3:$Q$7,2),IF($N59=Lists!$K$3,IF($L59&lt;1,(($U59/$L59)*((1+Inputs!$D$7)^DB$2)),((INT(DB$2/$L59)-INT((DB$2-1)/$L59))*$U59*((1+Inputs!$D$7)^DB$2))),(Inputs!$D$8^((1-_xlfn.WEIBULL.DIST(DB$2,$M59,$L59,FALSE))/_xlfn.WEIBULL.DIST(DB$2,$M59,$L59,FALSE))*$U59*((1+Inputs!$D$7)^DB$2))),IF($N59=Lists!$K$3,IF($L59&lt;1,((($T59*(1-$F59)+$S59*(1-$G59))/$L59)*((1+Inputs!$D$7)^DB$2)),((INT(DB$2/$L59)-INT((DB$2-1)/$L59))*($T59*(1-$F59)+$S59*(1-$G59))*((1+Inputs!$D$7)^DB$2))),((Inputs!$D$8^((1-_xlfn.WEIBULL.DIST(DB$2,$M59,$L59,FALSE))/_xlfn.WEIBULL.DIST(DB$2,$M59,$L59,FALSE))*($T59*(1-$F59)+$S59*(1-$G59))*((1+Inputs!$D$7)^DB$2))))))))</f>
        <v>0</v>
      </c>
      <c r="DC59" s="88">
        <f>MAX(BM59,($E59*IF(DC$2&gt;Inputs!$D$5,0,IF(DC$2&gt;VLOOKUP($H59,Lists!$P$3:$Q$7,2),IF($N59=Lists!$K$3,IF($L59&lt;1,(($U59/$L59)*((1+Inputs!$D$7)^DC$2)),((INT(DC$2/$L59)-INT((DC$2-1)/$L59))*$U59*((1+Inputs!$D$7)^DC$2))),(Inputs!$D$8^((1-_xlfn.WEIBULL.DIST(DC$2,$M59,$L59,FALSE))/_xlfn.WEIBULL.DIST(DC$2,$M59,$L59,FALSE))*$U59*((1+Inputs!$D$7)^DC$2))),IF($N59=Lists!$K$3,IF($L59&lt;1,((($T59*(1-$F59)+$S59*(1-$G59))/$L59)*((1+Inputs!$D$7)^DC$2)),((INT(DC$2/$L59)-INT((DC$2-1)/$L59))*($T59*(1-$F59)+$S59*(1-$G59))*((1+Inputs!$D$7)^DC$2))),((Inputs!$D$8^((1-_xlfn.WEIBULL.DIST(DC$2,$M59,$L59,FALSE))/_xlfn.WEIBULL.DIST(DC$2,$M59,$L59,FALSE))*($T59*(1-$F59)+$S59*(1-$G59))*((1+Inputs!$D$7)^DC$2))))))))</f>
        <v>0</v>
      </c>
      <c r="DD59" s="88">
        <f>MAX(BN59,($E59*IF(DD$2&gt;Inputs!$D$5,0,IF(DD$2&gt;VLOOKUP($H59,Lists!$P$3:$Q$7,2),IF($N59=Lists!$K$3,IF($L59&lt;1,(($U59/$L59)*((1+Inputs!$D$7)^DD$2)),((INT(DD$2/$L59)-INT((DD$2-1)/$L59))*$U59*((1+Inputs!$D$7)^DD$2))),(Inputs!$D$8^((1-_xlfn.WEIBULL.DIST(DD$2,$M59,$L59,FALSE))/_xlfn.WEIBULL.DIST(DD$2,$M59,$L59,FALSE))*$U59*((1+Inputs!$D$7)^DD$2))),IF($N59=Lists!$K$3,IF($L59&lt;1,((($T59*(1-$F59)+$S59*(1-$G59))/$L59)*((1+Inputs!$D$7)^DD$2)),((INT(DD$2/$L59)-INT((DD$2-1)/$L59))*($T59*(1-$F59)+$S59*(1-$G59))*((1+Inputs!$D$7)^DD$2))),((Inputs!$D$8^((1-_xlfn.WEIBULL.DIST(DD$2,$M59,$L59,FALSE))/_xlfn.WEIBULL.DIST(DD$2,$M59,$L59,FALSE))*($T59*(1-$F59)+$S59*(1-$G59))*((1+Inputs!$D$7)^DD$2))))))))</f>
        <v>0</v>
      </c>
    </row>
    <row r="60" spans="1:108" s="1" customFormat="1" ht="16">
      <c r="A60" s="57" t="s">
        <v>174</v>
      </c>
      <c r="B60" s="13" t="s">
        <v>130</v>
      </c>
      <c r="C60" s="13" t="s">
        <v>474</v>
      </c>
      <c r="D60" s="13" t="s">
        <v>37</v>
      </c>
      <c r="E60" s="89">
        <v>0</v>
      </c>
      <c r="F60" s="48">
        <v>1</v>
      </c>
      <c r="G60" s="48">
        <v>1</v>
      </c>
      <c r="H60" s="105" t="s">
        <v>350</v>
      </c>
      <c r="I60" s="14" t="s">
        <v>265</v>
      </c>
      <c r="J60" s="14" t="s">
        <v>86</v>
      </c>
      <c r="K60" s="13">
        <f>VLOOKUP(J60,'Labor Rates'!$A$1:$F$16,2)</f>
        <v>29.298461538461535</v>
      </c>
      <c r="L60" s="15">
        <v>25</v>
      </c>
      <c r="M60" s="15">
        <v>3</v>
      </c>
      <c r="N60" s="16" t="s">
        <v>226</v>
      </c>
      <c r="O60" s="61">
        <f>Inputs!$D$53*E60</f>
        <v>0</v>
      </c>
      <c r="P60" s="15">
        <v>0.5</v>
      </c>
      <c r="Q60" s="15">
        <f t="shared" si="7"/>
        <v>0</v>
      </c>
      <c r="R60" s="4">
        <v>40</v>
      </c>
      <c r="S60" s="53">
        <f t="shared" si="8"/>
        <v>0</v>
      </c>
      <c r="T60" s="53">
        <f t="shared" si="9"/>
        <v>0</v>
      </c>
      <c r="U60" s="54">
        <f t="shared" si="10"/>
        <v>0</v>
      </c>
      <c r="V60" s="65"/>
      <c r="W60" s="58"/>
      <c r="X60" s="64">
        <f t="shared" si="11"/>
        <v>0</v>
      </c>
      <c r="Y60" s="64">
        <f>NPV(Inputs!$D$6,AA60:BN60)</f>
        <v>0</v>
      </c>
      <c r="Z60" s="67">
        <f t="shared" si="12"/>
        <v>0</v>
      </c>
      <c r="AA60" s="88">
        <f>$E60*IF(AA$2&gt;Inputs!$D$5,0,IF(AA$2&gt;VLOOKUP($H60,Lists!$P$3:$Q$7,2),IF($N60=Lists!$K$3,IF($L60&lt;1,(($U60/$L60)*((1+Inputs!$D$7)^AA$2)),((INT(AA$2/$L60)-INT((AA$2-1)/$L60))*$U60*((1+Inputs!$D$7)^AA$2))),(_xlfn.WEIBULL.DIST(AA$2,$M60,$L60,FALSE)*$U60*((1+Inputs!$D$7)^AA$2))),IF($N60=Lists!$K$3,IF($L60&lt;1,((($T60*(1-$F60)+$S60*(1-$G60))/$L60)*((1+Inputs!$D$7)^AA$2)),((INT(AA$2/$L60)-INT((AA$2-1)/$L60))*($T60*(1-$F60)+$S60*(1-$G60))*((1+Inputs!$D$7)^AA$2))),((_xlfn.WEIBULL.DIST(AA$2,$M60,$L60,FALSE)*($T60*(1-$F60)+$S60*(1-$G60))*((1+Inputs!$D$7)^AA$2))))))</f>
        <v>0</v>
      </c>
      <c r="AB60" s="88">
        <f>$E60*IF(AB$2&gt;Inputs!$D$5,0,IF(AB$2&gt;VLOOKUP($H60,Lists!$P$3:$Q$7,2),IF($N60=Lists!$K$3,IF($L60&lt;1,(($U60/$L60)*((1+Inputs!$D$7)^AB$2)),((INT(AB$2/$L60)-INT((AB$2-1)/$L60))*$U60*((1+Inputs!$D$7)^AB$2))),(_xlfn.WEIBULL.DIST(AB$2,$M60,$L60,FALSE)*$U60*((1+Inputs!$D$7)^AB$2))),IF($N60=Lists!$K$3,IF($L60&lt;1,((($T60*(1-$F60)+$S60*(1-$G60))/$L60)*((1+Inputs!$D$7)^AB$2)),((INT(AB$2/$L60)-INT((AB$2-1)/$L60))*($T60*(1-$F60)+$S60*(1-$G60))*((1+Inputs!$D$7)^AB$2))),((_xlfn.WEIBULL.DIST(AB$2,$M60,$L60,FALSE)*($T60*(1-$F60)+$S60*(1-$G60))*((1+Inputs!$D$7)^AB$2))))))</f>
        <v>0</v>
      </c>
      <c r="AC60" s="88">
        <f>$E60*IF(AC$2&gt;Inputs!$D$5,0,IF(AC$2&gt;VLOOKUP($H60,Lists!$P$3:$Q$7,2),IF($N60=Lists!$K$3,IF($L60&lt;1,(($U60/$L60)*((1+Inputs!$D$7)^AC$2)),((INT(AC$2/$L60)-INT((AC$2-1)/$L60))*$U60*((1+Inputs!$D$7)^AC$2))),(_xlfn.WEIBULL.DIST(AC$2,$M60,$L60,FALSE)*$U60*((1+Inputs!$D$7)^AC$2))),IF($N60=Lists!$K$3,IF($L60&lt;1,((($T60*(1-$F60)+$S60*(1-$G60))/$L60)*((1+Inputs!$D$7)^AC$2)),((INT(AC$2/$L60)-INT((AC$2-1)/$L60))*($T60*(1-$F60)+$S60*(1-$G60))*((1+Inputs!$D$7)^AC$2))),((_xlfn.WEIBULL.DIST(AC$2,$M60,$L60,FALSE)*($T60*(1-$F60)+$S60*(1-$G60))*((1+Inputs!$D$7)^AC$2))))))</f>
        <v>0</v>
      </c>
      <c r="AD60" s="88">
        <f>$E60*IF(AD$2&gt;Inputs!$D$5,0,IF(AD$2&gt;VLOOKUP($H60,Lists!$P$3:$Q$7,2),IF($N60=Lists!$K$3,IF($L60&lt;1,(($U60/$L60)*((1+Inputs!$D$7)^AD$2)),((INT(AD$2/$L60)-INT((AD$2-1)/$L60))*$U60*((1+Inputs!$D$7)^AD$2))),(_xlfn.WEIBULL.DIST(AD$2,$M60,$L60,FALSE)*$U60*((1+Inputs!$D$7)^AD$2))),IF($N60=Lists!$K$3,IF($L60&lt;1,((($T60*(1-$F60)+$S60*(1-$G60))/$L60)*((1+Inputs!$D$7)^AD$2)),((INT(AD$2/$L60)-INT((AD$2-1)/$L60))*($T60*(1-$F60)+$S60*(1-$G60))*((1+Inputs!$D$7)^AD$2))),((_xlfn.WEIBULL.DIST(AD$2,$M60,$L60,FALSE)*($T60*(1-$F60)+$S60*(1-$G60))*((1+Inputs!$D$7)^AD$2))))))</f>
        <v>0</v>
      </c>
      <c r="AE60" s="88">
        <f>$E60*IF(AE$2&gt;Inputs!$D$5,0,IF(AE$2&gt;VLOOKUP($H60,Lists!$P$3:$Q$7,2),IF($N60=Lists!$K$3,IF($L60&lt;1,(($U60/$L60)*((1+Inputs!$D$7)^AE$2)),((INT(AE$2/$L60)-INT((AE$2-1)/$L60))*$U60*((1+Inputs!$D$7)^AE$2))),(_xlfn.WEIBULL.DIST(AE$2,$M60,$L60,FALSE)*$U60*((1+Inputs!$D$7)^AE$2))),IF($N60=Lists!$K$3,IF($L60&lt;1,((($T60*(1-$F60)+$S60*(1-$G60))/$L60)*((1+Inputs!$D$7)^AE$2)),((INT(AE$2/$L60)-INT((AE$2-1)/$L60))*($T60*(1-$F60)+$S60*(1-$G60))*((1+Inputs!$D$7)^AE$2))),((_xlfn.WEIBULL.DIST(AE$2,$M60,$L60,FALSE)*($T60*(1-$F60)+$S60*(1-$G60))*((1+Inputs!$D$7)^AE$2))))))</f>
        <v>0</v>
      </c>
      <c r="AF60" s="88">
        <f>$E60*IF(AF$2&gt;Inputs!$D$5,0,IF(AF$2&gt;VLOOKUP($H60,Lists!$P$3:$Q$7,2),IF($N60=Lists!$K$3,IF($L60&lt;1,(($U60/$L60)*((1+Inputs!$D$7)^AF$2)),((INT(AF$2/$L60)-INT((AF$2-1)/$L60))*$U60*((1+Inputs!$D$7)^AF$2))),(_xlfn.WEIBULL.DIST(AF$2,$M60,$L60,FALSE)*$U60*((1+Inputs!$D$7)^AF$2))),IF($N60=Lists!$K$3,IF($L60&lt;1,((($T60*(1-$F60)+$S60*(1-$G60))/$L60)*((1+Inputs!$D$7)^AF$2)),((INT(AF$2/$L60)-INT((AF$2-1)/$L60))*($T60*(1-$F60)+$S60*(1-$G60))*((1+Inputs!$D$7)^AF$2))),((_xlfn.WEIBULL.DIST(AF$2,$M60,$L60,FALSE)*($T60*(1-$F60)+$S60*(1-$G60))*((1+Inputs!$D$7)^AF$2))))))</f>
        <v>0</v>
      </c>
      <c r="AG60" s="88">
        <f>$E60*IF(AG$2&gt;Inputs!$D$5,0,IF(AG$2&gt;VLOOKUP($H60,Lists!$P$3:$Q$7,2),IF($N60=Lists!$K$3,IF($L60&lt;1,(($U60/$L60)*((1+Inputs!$D$7)^AG$2)),((INT(AG$2/$L60)-INT((AG$2-1)/$L60))*$U60*((1+Inputs!$D$7)^AG$2))),(_xlfn.WEIBULL.DIST(AG$2,$M60,$L60,FALSE)*$U60*((1+Inputs!$D$7)^AG$2))),IF($N60=Lists!$K$3,IF($L60&lt;1,((($T60*(1-$F60)+$S60*(1-$G60))/$L60)*((1+Inputs!$D$7)^AG$2)),((INT(AG$2/$L60)-INT((AG$2-1)/$L60))*($T60*(1-$F60)+$S60*(1-$G60))*((1+Inputs!$D$7)^AG$2))),((_xlfn.WEIBULL.DIST(AG$2,$M60,$L60,FALSE)*($T60*(1-$F60)+$S60*(1-$G60))*((1+Inputs!$D$7)^AG$2))))))</f>
        <v>0</v>
      </c>
      <c r="AH60" s="88">
        <f>$E60*IF(AH$2&gt;Inputs!$D$5,0,IF(AH$2&gt;VLOOKUP($H60,Lists!$P$3:$Q$7,2),IF($N60=Lists!$K$3,IF($L60&lt;1,(($U60/$L60)*((1+Inputs!$D$7)^AH$2)),((INT(AH$2/$L60)-INT((AH$2-1)/$L60))*$U60*((1+Inputs!$D$7)^AH$2))),(_xlfn.WEIBULL.DIST(AH$2,$M60,$L60,FALSE)*$U60*((1+Inputs!$D$7)^AH$2))),IF($N60=Lists!$K$3,IF($L60&lt;1,((($T60*(1-$F60)+$S60*(1-$G60))/$L60)*((1+Inputs!$D$7)^AH$2)),((INT(AH$2/$L60)-INT((AH$2-1)/$L60))*($T60*(1-$F60)+$S60*(1-$G60))*((1+Inputs!$D$7)^AH$2))),((_xlfn.WEIBULL.DIST(AH$2,$M60,$L60,FALSE)*($T60*(1-$F60)+$S60*(1-$G60))*((1+Inputs!$D$7)^AH$2))))))</f>
        <v>0</v>
      </c>
      <c r="AI60" s="88">
        <f>$E60*IF(AI$2&gt;Inputs!$D$5,0,IF(AI$2&gt;VLOOKUP($H60,Lists!$P$3:$Q$7,2),IF($N60=Lists!$K$3,IF($L60&lt;1,(($U60/$L60)*((1+Inputs!$D$7)^AI$2)),((INT(AI$2/$L60)-INT((AI$2-1)/$L60))*$U60*((1+Inputs!$D$7)^AI$2))),(_xlfn.WEIBULL.DIST(AI$2,$M60,$L60,FALSE)*$U60*((1+Inputs!$D$7)^AI$2))),IF($N60=Lists!$K$3,IF($L60&lt;1,((($T60*(1-$F60)+$S60*(1-$G60))/$L60)*((1+Inputs!$D$7)^AI$2)),((INT(AI$2/$L60)-INT((AI$2-1)/$L60))*($T60*(1-$F60)+$S60*(1-$G60))*((1+Inputs!$D$7)^AI$2))),((_xlfn.WEIBULL.DIST(AI$2,$M60,$L60,FALSE)*($T60*(1-$F60)+$S60*(1-$G60))*((1+Inputs!$D$7)^AI$2))))))</f>
        <v>0</v>
      </c>
      <c r="AJ60" s="88">
        <f>$E60*IF(AJ$2&gt;Inputs!$D$5,0,IF(AJ$2&gt;VLOOKUP($H60,Lists!$P$3:$Q$7,2),IF($N60=Lists!$K$3,IF($L60&lt;1,(($U60/$L60)*((1+Inputs!$D$7)^AJ$2)),((INT(AJ$2/$L60)-INT((AJ$2-1)/$L60))*$U60*((1+Inputs!$D$7)^AJ$2))),(_xlfn.WEIBULL.DIST(AJ$2,$M60,$L60,FALSE)*$U60*((1+Inputs!$D$7)^AJ$2))),IF($N60=Lists!$K$3,IF($L60&lt;1,((($T60*(1-$F60)+$S60*(1-$G60))/$L60)*((1+Inputs!$D$7)^AJ$2)),((INT(AJ$2/$L60)-INT((AJ$2-1)/$L60))*($T60*(1-$F60)+$S60*(1-$G60))*((1+Inputs!$D$7)^AJ$2))),((_xlfn.WEIBULL.DIST(AJ$2,$M60,$L60,FALSE)*($T60*(1-$F60)+$S60*(1-$G60))*((1+Inputs!$D$7)^AJ$2))))))</f>
        <v>0</v>
      </c>
      <c r="AK60" s="88">
        <f>$E60*IF(AK$2&gt;Inputs!$D$5,0,IF(AK$2&gt;VLOOKUP($H60,Lists!$P$3:$Q$7,2),IF($N60=Lists!$K$3,IF($L60&lt;1,(($U60/$L60)*((1+Inputs!$D$7)^AK$2)),((INT(AK$2/$L60)-INT((AK$2-1)/$L60))*$U60*((1+Inputs!$D$7)^AK$2))),(_xlfn.WEIBULL.DIST(AK$2,$M60,$L60,FALSE)*$U60*((1+Inputs!$D$7)^AK$2))),IF($N60=Lists!$K$3,IF($L60&lt;1,((($T60*(1-$F60)+$S60*(1-$G60))/$L60)*((1+Inputs!$D$7)^AK$2)),((INT(AK$2/$L60)-INT((AK$2-1)/$L60))*($T60*(1-$F60)+$S60*(1-$G60))*((1+Inputs!$D$7)^AK$2))),((_xlfn.WEIBULL.DIST(AK$2,$M60,$L60,FALSE)*($T60*(1-$F60)+$S60*(1-$G60))*((1+Inputs!$D$7)^AK$2))))))</f>
        <v>0</v>
      </c>
      <c r="AL60" s="88">
        <f>$E60*IF(AL$2&gt;Inputs!$D$5,0,IF(AL$2&gt;VLOOKUP($H60,Lists!$P$3:$Q$7,2),IF($N60=Lists!$K$3,IF($L60&lt;1,(($U60/$L60)*((1+Inputs!$D$7)^AL$2)),((INT(AL$2/$L60)-INT((AL$2-1)/$L60))*$U60*((1+Inputs!$D$7)^AL$2))),(_xlfn.WEIBULL.DIST(AL$2,$M60,$L60,FALSE)*$U60*((1+Inputs!$D$7)^AL$2))),IF($N60=Lists!$K$3,IF($L60&lt;1,((($T60*(1-$F60)+$S60*(1-$G60))/$L60)*((1+Inputs!$D$7)^AL$2)),((INT(AL$2/$L60)-INT((AL$2-1)/$L60))*($T60*(1-$F60)+$S60*(1-$G60))*((1+Inputs!$D$7)^AL$2))),((_xlfn.WEIBULL.DIST(AL$2,$M60,$L60,FALSE)*($T60*(1-$F60)+$S60*(1-$G60))*((1+Inputs!$D$7)^AL$2))))))</f>
        <v>0</v>
      </c>
      <c r="AM60" s="88">
        <f>$E60*IF(AM$2&gt;Inputs!$D$5,0,IF(AM$2&gt;VLOOKUP($H60,Lists!$P$3:$Q$7,2),IF($N60=Lists!$K$3,IF($L60&lt;1,(($U60/$L60)*((1+Inputs!$D$7)^AM$2)),((INT(AM$2/$L60)-INT((AM$2-1)/$L60))*$U60*((1+Inputs!$D$7)^AM$2))),(_xlfn.WEIBULL.DIST(AM$2,$M60,$L60,FALSE)*$U60*((1+Inputs!$D$7)^AM$2))),IF($N60=Lists!$K$3,IF($L60&lt;1,((($T60*(1-$F60)+$S60*(1-$G60))/$L60)*((1+Inputs!$D$7)^AM$2)),((INT(AM$2/$L60)-INT((AM$2-1)/$L60))*($T60*(1-$F60)+$S60*(1-$G60))*((1+Inputs!$D$7)^AM$2))),((_xlfn.WEIBULL.DIST(AM$2,$M60,$L60,FALSE)*($T60*(1-$F60)+$S60*(1-$G60))*((1+Inputs!$D$7)^AM$2))))))</f>
        <v>0</v>
      </c>
      <c r="AN60" s="88">
        <f>$E60*IF(AN$2&gt;Inputs!$D$5,0,IF(AN$2&gt;VLOOKUP($H60,Lists!$P$3:$Q$7,2),IF($N60=Lists!$K$3,IF($L60&lt;1,(($U60/$L60)*((1+Inputs!$D$7)^AN$2)),((INT(AN$2/$L60)-INT((AN$2-1)/$L60))*$U60*((1+Inputs!$D$7)^AN$2))),(_xlfn.WEIBULL.DIST(AN$2,$M60,$L60,FALSE)*$U60*((1+Inputs!$D$7)^AN$2))),IF($N60=Lists!$K$3,IF($L60&lt;1,((($T60*(1-$F60)+$S60*(1-$G60))/$L60)*((1+Inputs!$D$7)^AN$2)),((INT(AN$2/$L60)-INT((AN$2-1)/$L60))*($T60*(1-$F60)+$S60*(1-$G60))*((1+Inputs!$D$7)^AN$2))),((_xlfn.WEIBULL.DIST(AN$2,$M60,$L60,FALSE)*($T60*(1-$F60)+$S60*(1-$G60))*((1+Inputs!$D$7)^AN$2))))))</f>
        <v>0</v>
      </c>
      <c r="AO60" s="88">
        <f>$E60*IF(AO$2&gt;Inputs!$D$5,0,IF(AO$2&gt;VLOOKUP($H60,Lists!$P$3:$Q$7,2),IF($N60=Lists!$K$3,IF($L60&lt;1,(($U60/$L60)*((1+Inputs!$D$7)^AO$2)),((INT(AO$2/$L60)-INT((AO$2-1)/$L60))*$U60*((1+Inputs!$D$7)^AO$2))),(_xlfn.WEIBULL.DIST(AO$2,$M60,$L60,FALSE)*$U60*((1+Inputs!$D$7)^AO$2))),IF($N60=Lists!$K$3,IF($L60&lt;1,((($T60*(1-$F60)+$S60*(1-$G60))/$L60)*((1+Inputs!$D$7)^AO$2)),((INT(AO$2/$L60)-INT((AO$2-1)/$L60))*($T60*(1-$F60)+$S60*(1-$G60))*((1+Inputs!$D$7)^AO$2))),((_xlfn.WEIBULL.DIST(AO$2,$M60,$L60,FALSE)*($T60*(1-$F60)+$S60*(1-$G60))*((1+Inputs!$D$7)^AO$2))))))</f>
        <v>0</v>
      </c>
      <c r="AP60" s="88">
        <f>$E60*IF(AP$2&gt;Inputs!$D$5,0,IF(AP$2&gt;VLOOKUP($H60,Lists!$P$3:$Q$7,2),IF($N60=Lists!$K$3,IF($L60&lt;1,(($U60/$L60)*((1+Inputs!$D$7)^AP$2)),((INT(AP$2/$L60)-INT((AP$2-1)/$L60))*$U60*((1+Inputs!$D$7)^AP$2))),(_xlfn.WEIBULL.DIST(AP$2,$M60,$L60,FALSE)*$U60*((1+Inputs!$D$7)^AP$2))),IF($N60=Lists!$K$3,IF($L60&lt;1,((($T60*(1-$F60)+$S60*(1-$G60))/$L60)*((1+Inputs!$D$7)^AP$2)),((INT(AP$2/$L60)-INT((AP$2-1)/$L60))*($T60*(1-$F60)+$S60*(1-$G60))*((1+Inputs!$D$7)^AP$2))),((_xlfn.WEIBULL.DIST(AP$2,$M60,$L60,FALSE)*($T60*(1-$F60)+$S60*(1-$G60))*((1+Inputs!$D$7)^AP$2))))))</f>
        <v>0</v>
      </c>
      <c r="AQ60" s="88">
        <f>$E60*IF(AQ$2&gt;Inputs!$D$5,0,IF(AQ$2&gt;VLOOKUP($H60,Lists!$P$3:$Q$7,2),IF($N60=Lists!$K$3,IF($L60&lt;1,(($U60/$L60)*((1+Inputs!$D$7)^AQ$2)),((INT(AQ$2/$L60)-INT((AQ$2-1)/$L60))*$U60*((1+Inputs!$D$7)^AQ$2))),(_xlfn.WEIBULL.DIST(AQ$2,$M60,$L60,FALSE)*$U60*((1+Inputs!$D$7)^AQ$2))),IF($N60=Lists!$K$3,IF($L60&lt;1,((($T60*(1-$F60)+$S60*(1-$G60))/$L60)*((1+Inputs!$D$7)^AQ$2)),((INT(AQ$2/$L60)-INT((AQ$2-1)/$L60))*($T60*(1-$F60)+$S60*(1-$G60))*((1+Inputs!$D$7)^AQ$2))),((_xlfn.WEIBULL.DIST(AQ$2,$M60,$L60,FALSE)*($T60*(1-$F60)+$S60*(1-$G60))*((1+Inputs!$D$7)^AQ$2))))))</f>
        <v>0</v>
      </c>
      <c r="AR60" s="88">
        <f>$E60*IF(AR$2&gt;Inputs!$D$5,0,IF(AR$2&gt;VLOOKUP($H60,Lists!$P$3:$Q$7,2),IF($N60=Lists!$K$3,IF($L60&lt;1,(($U60/$L60)*((1+Inputs!$D$7)^AR$2)),((INT(AR$2/$L60)-INT((AR$2-1)/$L60))*$U60*((1+Inputs!$D$7)^AR$2))),(_xlfn.WEIBULL.DIST(AR$2,$M60,$L60,FALSE)*$U60*((1+Inputs!$D$7)^AR$2))),IF($N60=Lists!$K$3,IF($L60&lt;1,((($T60*(1-$F60)+$S60*(1-$G60))/$L60)*((1+Inputs!$D$7)^AR$2)),((INT(AR$2/$L60)-INT((AR$2-1)/$L60))*($T60*(1-$F60)+$S60*(1-$G60))*((1+Inputs!$D$7)^AR$2))),((_xlfn.WEIBULL.DIST(AR$2,$M60,$L60,FALSE)*($T60*(1-$F60)+$S60*(1-$G60))*((1+Inputs!$D$7)^AR$2))))))</f>
        <v>0</v>
      </c>
      <c r="AS60" s="88">
        <f>$E60*IF(AS$2&gt;Inputs!$D$5,0,IF(AS$2&gt;VLOOKUP($H60,Lists!$P$3:$Q$7,2),IF($N60=Lists!$K$3,IF($L60&lt;1,(($U60/$L60)*((1+Inputs!$D$7)^AS$2)),((INT(AS$2/$L60)-INT((AS$2-1)/$L60))*$U60*((1+Inputs!$D$7)^AS$2))),(_xlfn.WEIBULL.DIST(AS$2,$M60,$L60,FALSE)*$U60*((1+Inputs!$D$7)^AS$2))),IF($N60=Lists!$K$3,IF($L60&lt;1,((($T60*(1-$F60)+$S60*(1-$G60))/$L60)*((1+Inputs!$D$7)^AS$2)),((INT(AS$2/$L60)-INT((AS$2-1)/$L60))*($T60*(1-$F60)+$S60*(1-$G60))*((1+Inputs!$D$7)^AS$2))),((_xlfn.WEIBULL.DIST(AS$2,$M60,$L60,FALSE)*($T60*(1-$F60)+$S60*(1-$G60))*((1+Inputs!$D$7)^AS$2))))))</f>
        <v>0</v>
      </c>
      <c r="AT60" s="88">
        <f>$E60*IF(AT$2&gt;Inputs!$D$5,0,IF(AT$2&gt;VLOOKUP($H60,Lists!$P$3:$Q$7,2),IF($N60=Lists!$K$3,IF($L60&lt;1,(($U60/$L60)*((1+Inputs!$D$7)^AT$2)),((INT(AT$2/$L60)-INT((AT$2-1)/$L60))*$U60*((1+Inputs!$D$7)^AT$2))),(_xlfn.WEIBULL.DIST(AT$2,$M60,$L60,FALSE)*$U60*((1+Inputs!$D$7)^AT$2))),IF($N60=Lists!$K$3,IF($L60&lt;1,((($T60*(1-$F60)+$S60*(1-$G60))/$L60)*((1+Inputs!$D$7)^AT$2)),((INT(AT$2/$L60)-INT((AT$2-1)/$L60))*($T60*(1-$F60)+$S60*(1-$G60))*((1+Inputs!$D$7)^AT$2))),((_xlfn.WEIBULL.DIST(AT$2,$M60,$L60,FALSE)*($T60*(1-$F60)+$S60*(1-$G60))*((1+Inputs!$D$7)^AT$2))))))</f>
        <v>0</v>
      </c>
      <c r="AU60" s="88">
        <f>$E60*IF(AU$2&gt;Inputs!$D$5,0,IF(AU$2&gt;VLOOKUP($H60,Lists!$P$3:$Q$7,2),IF($N60=Lists!$K$3,IF($L60&lt;1,(($U60/$L60)*((1+Inputs!$D$7)^AU$2)),((INT(AU$2/$L60)-INT((AU$2-1)/$L60))*$U60*((1+Inputs!$D$7)^AU$2))),(_xlfn.WEIBULL.DIST(AU$2,$M60,$L60,FALSE)*$U60*((1+Inputs!$D$7)^AU$2))),IF($N60=Lists!$K$3,IF($L60&lt;1,((($T60*(1-$F60)+$S60*(1-$G60))/$L60)*((1+Inputs!$D$7)^AU$2)),((INT(AU$2/$L60)-INT((AU$2-1)/$L60))*($T60*(1-$F60)+$S60*(1-$G60))*((1+Inputs!$D$7)^AU$2))),((_xlfn.WEIBULL.DIST(AU$2,$M60,$L60,FALSE)*($T60*(1-$F60)+$S60*(1-$G60))*((1+Inputs!$D$7)^AU$2))))))</f>
        <v>0</v>
      </c>
      <c r="AV60" s="88">
        <f>$E60*IF(AV$2&gt;Inputs!$D$5,0,IF(AV$2&gt;VLOOKUP($H60,Lists!$P$3:$Q$7,2),IF($N60=Lists!$K$3,IF($L60&lt;1,(($U60/$L60)*((1+Inputs!$D$7)^AV$2)),((INT(AV$2/$L60)-INT((AV$2-1)/$L60))*$U60*((1+Inputs!$D$7)^AV$2))),(_xlfn.WEIBULL.DIST(AV$2,$M60,$L60,FALSE)*$U60*((1+Inputs!$D$7)^AV$2))),IF($N60=Lists!$K$3,IF($L60&lt;1,((($T60*(1-$F60)+$S60*(1-$G60))/$L60)*((1+Inputs!$D$7)^AV$2)),((INT(AV$2/$L60)-INT((AV$2-1)/$L60))*($T60*(1-$F60)+$S60*(1-$G60))*((1+Inputs!$D$7)^AV$2))),((_xlfn.WEIBULL.DIST(AV$2,$M60,$L60,FALSE)*($T60*(1-$F60)+$S60*(1-$G60))*((1+Inputs!$D$7)^AV$2))))))</f>
        <v>0</v>
      </c>
      <c r="AW60" s="88">
        <f>$E60*IF(AW$2&gt;Inputs!$D$5,0,IF(AW$2&gt;VLOOKUP($H60,Lists!$P$3:$Q$7,2),IF($N60=Lists!$K$3,IF($L60&lt;1,(($U60/$L60)*((1+Inputs!$D$7)^AW$2)),((INT(AW$2/$L60)-INT((AW$2-1)/$L60))*$U60*((1+Inputs!$D$7)^AW$2))),(_xlfn.WEIBULL.DIST(AW$2,$M60,$L60,FALSE)*$U60*((1+Inputs!$D$7)^AW$2))),IF($N60=Lists!$K$3,IF($L60&lt;1,((($T60*(1-$F60)+$S60*(1-$G60))/$L60)*((1+Inputs!$D$7)^AW$2)),((INT(AW$2/$L60)-INT((AW$2-1)/$L60))*($T60*(1-$F60)+$S60*(1-$G60))*((1+Inputs!$D$7)^AW$2))),((_xlfn.WEIBULL.DIST(AW$2,$M60,$L60,FALSE)*($T60*(1-$F60)+$S60*(1-$G60))*((1+Inputs!$D$7)^AW$2))))))</f>
        <v>0</v>
      </c>
      <c r="AX60" s="88">
        <f>$E60*IF(AX$2&gt;Inputs!$D$5,0,IF(AX$2&gt;VLOOKUP($H60,Lists!$P$3:$Q$7,2),IF($N60=Lists!$K$3,IF($L60&lt;1,(($U60/$L60)*((1+Inputs!$D$7)^AX$2)),((INT(AX$2/$L60)-INT((AX$2-1)/$L60))*$U60*((1+Inputs!$D$7)^AX$2))),(_xlfn.WEIBULL.DIST(AX$2,$M60,$L60,FALSE)*$U60*((1+Inputs!$D$7)^AX$2))),IF($N60=Lists!$K$3,IF($L60&lt;1,((($T60*(1-$F60)+$S60*(1-$G60))/$L60)*((1+Inputs!$D$7)^AX$2)),((INT(AX$2/$L60)-INT((AX$2-1)/$L60))*($T60*(1-$F60)+$S60*(1-$G60))*((1+Inputs!$D$7)^AX$2))),((_xlfn.WEIBULL.DIST(AX$2,$M60,$L60,FALSE)*($T60*(1-$F60)+$S60*(1-$G60))*((1+Inputs!$D$7)^AX$2))))))</f>
        <v>0</v>
      </c>
      <c r="AY60" s="88">
        <f>$E60*IF(AY$2&gt;Inputs!$D$5,0,IF(AY$2&gt;VLOOKUP($H60,Lists!$P$3:$Q$7,2),IF($N60=Lists!$K$3,IF($L60&lt;1,(($U60/$L60)*((1+Inputs!$D$7)^AY$2)),((INT(AY$2/$L60)-INT((AY$2-1)/$L60))*$U60*((1+Inputs!$D$7)^AY$2))),(_xlfn.WEIBULL.DIST(AY$2,$M60,$L60,FALSE)*$U60*((1+Inputs!$D$7)^AY$2))),IF($N60=Lists!$K$3,IF($L60&lt;1,((($T60*(1-$F60)+$S60*(1-$G60))/$L60)*((1+Inputs!$D$7)^AY$2)),((INT(AY$2/$L60)-INT((AY$2-1)/$L60))*($T60*(1-$F60)+$S60*(1-$G60))*((1+Inputs!$D$7)^AY$2))),((_xlfn.WEIBULL.DIST(AY$2,$M60,$L60,FALSE)*($T60*(1-$F60)+$S60*(1-$G60))*((1+Inputs!$D$7)^AY$2))))))</f>
        <v>0</v>
      </c>
      <c r="AZ60" s="88">
        <f>$E60*IF(AZ$2&gt;Inputs!$D$5,0,IF(AZ$2&gt;VLOOKUP($H60,Lists!$P$3:$Q$7,2),IF($N60=Lists!$K$3,IF($L60&lt;1,(($U60/$L60)*((1+Inputs!$D$7)^AZ$2)),((INT(AZ$2/$L60)-INT((AZ$2-1)/$L60))*$U60*((1+Inputs!$D$7)^AZ$2))),(_xlfn.WEIBULL.DIST(AZ$2,$M60,$L60,FALSE)*$U60*((1+Inputs!$D$7)^AZ$2))),IF($N60=Lists!$K$3,IF($L60&lt;1,((($T60*(1-$F60)+$S60*(1-$G60))/$L60)*((1+Inputs!$D$7)^AZ$2)),((INT(AZ$2/$L60)-INT((AZ$2-1)/$L60))*($T60*(1-$F60)+$S60*(1-$G60))*((1+Inputs!$D$7)^AZ$2))),((_xlfn.WEIBULL.DIST(AZ$2,$M60,$L60,FALSE)*($T60*(1-$F60)+$S60*(1-$G60))*((1+Inputs!$D$7)^AZ$2))))))</f>
        <v>0</v>
      </c>
      <c r="BA60" s="88">
        <f>$E60*IF(BA$2&gt;Inputs!$D$5,0,IF(BA$2&gt;VLOOKUP($H60,Lists!$P$3:$Q$7,2),IF($N60=Lists!$K$3,IF($L60&lt;1,(($U60/$L60)*((1+Inputs!$D$7)^BA$2)),((INT(BA$2/$L60)-INT((BA$2-1)/$L60))*$U60*((1+Inputs!$D$7)^BA$2))),(_xlfn.WEIBULL.DIST(BA$2,$M60,$L60,FALSE)*$U60*((1+Inputs!$D$7)^BA$2))),IF($N60=Lists!$K$3,IF($L60&lt;1,((($T60*(1-$F60)+$S60*(1-$G60))/$L60)*((1+Inputs!$D$7)^BA$2)),((INT(BA$2/$L60)-INT((BA$2-1)/$L60))*($T60*(1-$F60)+$S60*(1-$G60))*((1+Inputs!$D$7)^BA$2))),((_xlfn.WEIBULL.DIST(BA$2,$M60,$L60,FALSE)*($T60*(1-$F60)+$S60*(1-$G60))*((1+Inputs!$D$7)^BA$2))))))</f>
        <v>0</v>
      </c>
      <c r="BB60" s="88">
        <f>$E60*IF(BB$2&gt;Inputs!$D$5,0,IF(BB$2&gt;VLOOKUP($H60,Lists!$P$3:$Q$7,2),IF($N60=Lists!$K$3,IF($L60&lt;1,(($U60/$L60)*((1+Inputs!$D$7)^BB$2)),((INT(BB$2/$L60)-INT((BB$2-1)/$L60))*$U60*((1+Inputs!$D$7)^BB$2))),(_xlfn.WEIBULL.DIST(BB$2,$M60,$L60,FALSE)*$U60*((1+Inputs!$D$7)^BB$2))),IF($N60=Lists!$K$3,IF($L60&lt;1,((($T60*(1-$F60)+$S60*(1-$G60))/$L60)*((1+Inputs!$D$7)^BB$2)),((INT(BB$2/$L60)-INT((BB$2-1)/$L60))*($T60*(1-$F60)+$S60*(1-$G60))*((1+Inputs!$D$7)^BB$2))),((_xlfn.WEIBULL.DIST(BB$2,$M60,$L60,FALSE)*($T60*(1-$F60)+$S60*(1-$G60))*((1+Inputs!$D$7)^BB$2))))))</f>
        <v>0</v>
      </c>
      <c r="BC60" s="88">
        <f>$E60*IF(BC$2&gt;Inputs!$D$5,0,IF(BC$2&gt;VLOOKUP($H60,Lists!$P$3:$Q$7,2),IF($N60=Lists!$K$3,IF($L60&lt;1,(($U60/$L60)*((1+Inputs!$D$7)^BC$2)),((INT(BC$2/$L60)-INT((BC$2-1)/$L60))*$U60*((1+Inputs!$D$7)^BC$2))),(_xlfn.WEIBULL.DIST(BC$2,$M60,$L60,FALSE)*$U60*((1+Inputs!$D$7)^BC$2))),IF($N60=Lists!$K$3,IF($L60&lt;1,((($T60*(1-$F60)+$S60*(1-$G60))/$L60)*((1+Inputs!$D$7)^BC$2)),((INT(BC$2/$L60)-INT((BC$2-1)/$L60))*($T60*(1-$F60)+$S60*(1-$G60))*((1+Inputs!$D$7)^BC$2))),((_xlfn.WEIBULL.DIST(BC$2,$M60,$L60,FALSE)*($T60*(1-$F60)+$S60*(1-$G60))*((1+Inputs!$D$7)^BC$2))))))</f>
        <v>0</v>
      </c>
      <c r="BD60" s="88">
        <f>$E60*IF(BD$2&gt;Inputs!$D$5,0,IF(BD$2&gt;VLOOKUP($H60,Lists!$P$3:$Q$7,2),IF($N60=Lists!$K$3,IF($L60&lt;1,(($U60/$L60)*((1+Inputs!$D$7)^BD$2)),((INT(BD$2/$L60)-INT((BD$2-1)/$L60))*$U60*((1+Inputs!$D$7)^BD$2))),(_xlfn.WEIBULL.DIST(BD$2,$M60,$L60,FALSE)*$U60*((1+Inputs!$D$7)^BD$2))),IF($N60=Lists!$K$3,IF($L60&lt;1,((($T60*(1-$F60)+$S60*(1-$G60))/$L60)*((1+Inputs!$D$7)^BD$2)),((INT(BD$2/$L60)-INT((BD$2-1)/$L60))*($T60*(1-$F60)+$S60*(1-$G60))*((1+Inputs!$D$7)^BD$2))),((_xlfn.WEIBULL.DIST(BD$2,$M60,$L60,FALSE)*($T60*(1-$F60)+$S60*(1-$G60))*((1+Inputs!$D$7)^BD$2))))))</f>
        <v>0</v>
      </c>
      <c r="BE60" s="88">
        <f>$E60*IF(BE$2&gt;Inputs!$D$5,0,IF(BE$2&gt;VLOOKUP($H60,Lists!$P$3:$Q$7,2),IF($N60=Lists!$K$3,IF($L60&lt;1,(($U60/$L60)*((1+Inputs!$D$7)^BE$2)),((INT(BE$2/$L60)-INT((BE$2-1)/$L60))*$U60*((1+Inputs!$D$7)^BE$2))),(_xlfn.WEIBULL.DIST(BE$2,$M60,$L60,FALSE)*$U60*((1+Inputs!$D$7)^BE$2))),IF($N60=Lists!$K$3,IF($L60&lt;1,((($T60*(1-$F60)+$S60*(1-$G60))/$L60)*((1+Inputs!$D$7)^BE$2)),((INT(BE$2/$L60)-INT((BE$2-1)/$L60))*($T60*(1-$F60)+$S60*(1-$G60))*((1+Inputs!$D$7)^BE$2))),((_xlfn.WEIBULL.DIST(BE$2,$M60,$L60,FALSE)*($T60*(1-$F60)+$S60*(1-$G60))*((1+Inputs!$D$7)^BE$2))))))</f>
        <v>0</v>
      </c>
      <c r="BF60" s="88">
        <f>$E60*IF(BF$2&gt;Inputs!$D$5,0,IF(BF$2&gt;VLOOKUP($H60,Lists!$P$3:$Q$7,2),IF($N60=Lists!$K$3,IF($L60&lt;1,(($U60/$L60)*((1+Inputs!$D$7)^BF$2)),((INT(BF$2/$L60)-INT((BF$2-1)/$L60))*$U60*((1+Inputs!$D$7)^BF$2))),(_xlfn.WEIBULL.DIST(BF$2,$M60,$L60,FALSE)*$U60*((1+Inputs!$D$7)^BF$2))),IF($N60=Lists!$K$3,IF($L60&lt;1,((($T60*(1-$F60)+$S60*(1-$G60))/$L60)*((1+Inputs!$D$7)^BF$2)),((INT(BF$2/$L60)-INT((BF$2-1)/$L60))*($T60*(1-$F60)+$S60*(1-$G60))*((1+Inputs!$D$7)^BF$2))),((_xlfn.WEIBULL.DIST(BF$2,$M60,$L60,FALSE)*($T60*(1-$F60)+$S60*(1-$G60))*((1+Inputs!$D$7)^BF$2))))))</f>
        <v>0</v>
      </c>
      <c r="BG60" s="88">
        <f>$E60*IF(BG$2&gt;Inputs!$D$5,0,IF(BG$2&gt;VLOOKUP($H60,Lists!$P$3:$Q$7,2),IF($N60=Lists!$K$3,IF($L60&lt;1,(($U60/$L60)*((1+Inputs!$D$7)^BG$2)),((INT(BG$2/$L60)-INT((BG$2-1)/$L60))*$U60*((1+Inputs!$D$7)^BG$2))),(_xlfn.WEIBULL.DIST(BG$2,$M60,$L60,FALSE)*$U60*((1+Inputs!$D$7)^BG$2))),IF($N60=Lists!$K$3,IF($L60&lt;1,((($T60*(1-$F60)+$S60*(1-$G60))/$L60)*((1+Inputs!$D$7)^BG$2)),((INT(BG$2/$L60)-INT((BG$2-1)/$L60))*($T60*(1-$F60)+$S60*(1-$G60))*((1+Inputs!$D$7)^BG$2))),((_xlfn.WEIBULL.DIST(BG$2,$M60,$L60,FALSE)*($T60*(1-$F60)+$S60*(1-$G60))*((1+Inputs!$D$7)^BG$2))))))</f>
        <v>0</v>
      </c>
      <c r="BH60" s="88">
        <f>$E60*IF(BH$2&gt;Inputs!$D$5,0,IF(BH$2&gt;VLOOKUP($H60,Lists!$P$3:$Q$7,2),IF($N60=Lists!$K$3,IF($L60&lt;1,(($U60/$L60)*((1+Inputs!$D$7)^BH$2)),((INT(BH$2/$L60)-INT((BH$2-1)/$L60))*$U60*((1+Inputs!$D$7)^BH$2))),(_xlfn.WEIBULL.DIST(BH$2,$M60,$L60,FALSE)*$U60*((1+Inputs!$D$7)^BH$2))),IF($N60=Lists!$K$3,IF($L60&lt;1,((($T60*(1-$F60)+$S60*(1-$G60))/$L60)*((1+Inputs!$D$7)^BH$2)),((INT(BH$2/$L60)-INT((BH$2-1)/$L60))*($T60*(1-$F60)+$S60*(1-$G60))*((1+Inputs!$D$7)^BH$2))),((_xlfn.WEIBULL.DIST(BH$2,$M60,$L60,FALSE)*($T60*(1-$F60)+$S60*(1-$G60))*((1+Inputs!$D$7)^BH$2))))))</f>
        <v>0</v>
      </c>
      <c r="BI60" s="88">
        <f>$E60*IF(BI$2&gt;Inputs!$D$5,0,IF(BI$2&gt;VLOOKUP($H60,Lists!$P$3:$Q$7,2),IF($N60=Lists!$K$3,IF($L60&lt;1,(($U60/$L60)*((1+Inputs!$D$7)^BI$2)),((INT(BI$2/$L60)-INT((BI$2-1)/$L60))*$U60*((1+Inputs!$D$7)^BI$2))),(_xlfn.WEIBULL.DIST(BI$2,$M60,$L60,FALSE)*$U60*((1+Inputs!$D$7)^BI$2))),IF($N60=Lists!$K$3,IF($L60&lt;1,((($T60*(1-$F60)+$S60*(1-$G60))/$L60)*((1+Inputs!$D$7)^BI$2)),((INT(BI$2/$L60)-INT((BI$2-1)/$L60))*($T60*(1-$F60)+$S60*(1-$G60))*((1+Inputs!$D$7)^BI$2))),((_xlfn.WEIBULL.DIST(BI$2,$M60,$L60,FALSE)*($T60*(1-$F60)+$S60*(1-$G60))*((1+Inputs!$D$7)^BI$2))))))</f>
        <v>0</v>
      </c>
      <c r="BJ60" s="88">
        <f>$E60*IF(BJ$2&gt;Inputs!$D$5,0,IF(BJ$2&gt;VLOOKUP($H60,Lists!$P$3:$Q$7,2),IF($N60=Lists!$K$3,IF($L60&lt;1,(($U60/$L60)*((1+Inputs!$D$7)^BJ$2)),((INT(BJ$2/$L60)-INT((BJ$2-1)/$L60))*$U60*((1+Inputs!$D$7)^BJ$2))),(_xlfn.WEIBULL.DIST(BJ$2,$M60,$L60,FALSE)*$U60*((1+Inputs!$D$7)^BJ$2))),IF($N60=Lists!$K$3,IF($L60&lt;1,((($T60*(1-$F60)+$S60*(1-$G60))/$L60)*((1+Inputs!$D$7)^BJ$2)),((INT(BJ$2/$L60)-INT((BJ$2-1)/$L60))*($T60*(1-$F60)+$S60*(1-$G60))*((1+Inputs!$D$7)^BJ$2))),((_xlfn.WEIBULL.DIST(BJ$2,$M60,$L60,FALSE)*($T60*(1-$F60)+$S60*(1-$G60))*((1+Inputs!$D$7)^BJ$2))))))</f>
        <v>0</v>
      </c>
      <c r="BK60" s="88">
        <f>$E60*IF(BK$2&gt;Inputs!$D$5,0,IF(BK$2&gt;VLOOKUP($H60,Lists!$P$3:$Q$7,2),IF($N60=Lists!$K$3,IF($L60&lt;1,(($U60/$L60)*((1+Inputs!$D$7)^BK$2)),((INT(BK$2/$L60)-INT((BK$2-1)/$L60))*$U60*((1+Inputs!$D$7)^BK$2))),(_xlfn.WEIBULL.DIST(BK$2,$M60,$L60,FALSE)*$U60*((1+Inputs!$D$7)^BK$2))),IF($N60=Lists!$K$3,IF($L60&lt;1,((($T60*(1-$F60)+$S60*(1-$G60))/$L60)*((1+Inputs!$D$7)^BK$2)),((INT(BK$2/$L60)-INT((BK$2-1)/$L60))*($T60*(1-$F60)+$S60*(1-$G60))*((1+Inputs!$D$7)^BK$2))),((_xlfn.WEIBULL.DIST(BK$2,$M60,$L60,FALSE)*($T60*(1-$F60)+$S60*(1-$G60))*((1+Inputs!$D$7)^BK$2))))))</f>
        <v>0</v>
      </c>
      <c r="BL60" s="88">
        <f>$E60*IF(BL$2&gt;Inputs!$D$5,0,IF(BL$2&gt;VLOOKUP($H60,Lists!$P$3:$Q$7,2),IF($N60=Lists!$K$3,IF($L60&lt;1,(($U60/$L60)*((1+Inputs!$D$7)^BL$2)),((INT(BL$2/$L60)-INT((BL$2-1)/$L60))*$U60*((1+Inputs!$D$7)^BL$2))),(_xlfn.WEIBULL.DIST(BL$2,$M60,$L60,FALSE)*$U60*((1+Inputs!$D$7)^BL$2))),IF($N60=Lists!$K$3,IF($L60&lt;1,((($T60*(1-$F60)+$S60*(1-$G60))/$L60)*((1+Inputs!$D$7)^BL$2)),((INT(BL$2/$L60)-INT((BL$2-1)/$L60))*($T60*(1-$F60)+$S60*(1-$G60))*((1+Inputs!$D$7)^BL$2))),((_xlfn.WEIBULL.DIST(BL$2,$M60,$L60,FALSE)*($T60*(1-$F60)+$S60*(1-$G60))*((1+Inputs!$D$7)^BL$2))))))</f>
        <v>0</v>
      </c>
      <c r="BM60" s="88">
        <f>$E60*IF(BM$2&gt;Inputs!$D$5,0,IF(BM$2&gt;VLOOKUP($H60,Lists!$P$3:$Q$7,2),IF($N60=Lists!$K$3,IF($L60&lt;1,(($U60/$L60)*((1+Inputs!$D$7)^BM$2)),((INT(BM$2/$L60)-INT((BM$2-1)/$L60))*$U60*((1+Inputs!$D$7)^BM$2))),(_xlfn.WEIBULL.DIST(BM$2,$M60,$L60,FALSE)*$U60*((1+Inputs!$D$7)^BM$2))),IF($N60=Lists!$K$3,IF($L60&lt;1,((($T60*(1-$F60)+$S60*(1-$G60))/$L60)*((1+Inputs!$D$7)^BM$2)),((INT(BM$2/$L60)-INT((BM$2-1)/$L60))*($T60*(1-$F60)+$S60*(1-$G60))*((1+Inputs!$D$7)^BM$2))),((_xlfn.WEIBULL.DIST(BM$2,$M60,$L60,FALSE)*($T60*(1-$F60)+$S60*(1-$G60))*((1+Inputs!$D$7)^BM$2))))))</f>
        <v>0</v>
      </c>
      <c r="BN60" s="88">
        <f>$E60*IF(BN$2&gt;Inputs!$D$5,0,IF(BN$2&gt;VLOOKUP($H60,Lists!$P$3:$Q$7,2),IF($N60=Lists!$K$3,IF($L60&lt;1,(($U60/$L60)*((1+Inputs!$D$7)^BN$2)),((INT(BN$2/$L60)-INT((BN$2-1)/$L60))*$U60*((1+Inputs!$D$7)^BN$2))),(_xlfn.WEIBULL.DIST(BN$2,$M60,$L60,FALSE)*$U60*((1+Inputs!$D$7)^BN$2))),IF($N60=Lists!$K$3,IF($L60&lt;1,((($T60*(1-$F60)+$S60*(1-$G60))/$L60)*((1+Inputs!$D$7)^BN$2)),((INT(BN$2/$L60)-INT((BN$2-1)/$L60))*($T60*(1-$F60)+$S60*(1-$G60))*((1+Inputs!$D$7)^BN$2))),((_xlfn.WEIBULL.DIST(BN$2,$M60,$L60,FALSE)*($T60*(1-$F60)+$S60*(1-$G60))*((1+Inputs!$D$7)^BN$2))))))</f>
        <v>0</v>
      </c>
      <c r="BO60" s="64">
        <f>NPV(Inputs!$D$6,BQ60:DD60)</f>
        <v>0</v>
      </c>
      <c r="BP60" s="67">
        <f t="shared" si="13"/>
        <v>0</v>
      </c>
      <c r="BQ60" s="88">
        <f>MAX(AA60,($E60*IF(BQ$2&gt;Inputs!$D$5,0,IF(BQ$2&gt;VLOOKUP($H60,Lists!$P$3:$Q$7,2),IF($N60=Lists!$K$3,IF($L60&lt;1,(($U60/$L60)*((1+Inputs!$D$7)^BQ$2)),((INT(BQ$2/$L60)-INT((BQ$2-1)/$L60))*$U60*((1+Inputs!$D$7)^BQ$2))),(Inputs!$D$8^((1-_xlfn.WEIBULL.DIST(BQ$2,$M60,$L60,FALSE))/_xlfn.WEIBULL.DIST(BQ$2,$M60,$L60,FALSE))*$U60*((1+Inputs!$D$7)^BQ$2))),IF($N60=Lists!$K$3,IF($L60&lt;1,((($T60*(1-$F60)+$S60*(1-$G60))/$L60)*((1+Inputs!$D$7)^BQ$2)),((INT(BQ$2/$L60)-INT((BQ$2-1)/$L60))*($T60*(1-$F60)+$S60*(1-$G60))*((1+Inputs!$D$7)^BQ$2))),((Inputs!$D$8^((1-_xlfn.WEIBULL.DIST(BQ$2,$M60,$L60,FALSE))/_xlfn.WEIBULL.DIST(BQ$2,$M60,$L60,FALSE))*($T60*(1-$F60)+$S60*(1-$G60))*((1+Inputs!$D$7)^BQ$2))))))))</f>
        <v>0</v>
      </c>
      <c r="BR60" s="88">
        <f>MAX(AB60,($E60*IF(BR$2&gt;Inputs!$D$5,0,IF(BR$2&gt;VLOOKUP($H60,Lists!$P$3:$Q$7,2),IF($N60=Lists!$K$3,IF($L60&lt;1,(($U60/$L60)*((1+Inputs!$D$7)^BR$2)),((INT(BR$2/$L60)-INT((BR$2-1)/$L60))*$U60*((1+Inputs!$D$7)^BR$2))),(Inputs!$D$8^((1-_xlfn.WEIBULL.DIST(BR$2,$M60,$L60,FALSE))/_xlfn.WEIBULL.DIST(BR$2,$M60,$L60,FALSE))*$U60*((1+Inputs!$D$7)^BR$2))),IF($N60=Lists!$K$3,IF($L60&lt;1,((($T60*(1-$F60)+$S60*(1-$G60))/$L60)*((1+Inputs!$D$7)^BR$2)),((INT(BR$2/$L60)-INT((BR$2-1)/$L60))*($T60*(1-$F60)+$S60*(1-$G60))*((1+Inputs!$D$7)^BR$2))),((Inputs!$D$8^((1-_xlfn.WEIBULL.DIST(BR$2,$M60,$L60,FALSE))/_xlfn.WEIBULL.DIST(BR$2,$M60,$L60,FALSE))*($T60*(1-$F60)+$S60*(1-$G60))*((1+Inputs!$D$7)^BR$2))))))))</f>
        <v>0</v>
      </c>
      <c r="BS60" s="88">
        <f>MAX(AC60,($E60*IF(BS$2&gt;Inputs!$D$5,0,IF(BS$2&gt;VLOOKUP($H60,Lists!$P$3:$Q$7,2),IF($N60=Lists!$K$3,IF($L60&lt;1,(($U60/$L60)*((1+Inputs!$D$7)^BS$2)),((INT(BS$2/$L60)-INT((BS$2-1)/$L60))*$U60*((1+Inputs!$D$7)^BS$2))),(Inputs!$D$8^((1-_xlfn.WEIBULL.DIST(BS$2,$M60,$L60,FALSE))/_xlfn.WEIBULL.DIST(BS$2,$M60,$L60,FALSE))*$U60*((1+Inputs!$D$7)^BS$2))),IF($N60=Lists!$K$3,IF($L60&lt;1,((($T60*(1-$F60)+$S60*(1-$G60))/$L60)*((1+Inputs!$D$7)^BS$2)),((INT(BS$2/$L60)-INT((BS$2-1)/$L60))*($T60*(1-$F60)+$S60*(1-$G60))*((1+Inputs!$D$7)^BS$2))),((Inputs!$D$8^((1-_xlfn.WEIBULL.DIST(BS$2,$M60,$L60,FALSE))/_xlfn.WEIBULL.DIST(BS$2,$M60,$L60,FALSE))*($T60*(1-$F60)+$S60*(1-$G60))*((1+Inputs!$D$7)^BS$2))))))))</f>
        <v>0</v>
      </c>
      <c r="BT60" s="88">
        <f>MAX(AD60,($E60*IF(BT$2&gt;Inputs!$D$5,0,IF(BT$2&gt;VLOOKUP($H60,Lists!$P$3:$Q$7,2),IF($N60=Lists!$K$3,IF($L60&lt;1,(($U60/$L60)*((1+Inputs!$D$7)^BT$2)),((INT(BT$2/$L60)-INT((BT$2-1)/$L60))*$U60*((1+Inputs!$D$7)^BT$2))),(Inputs!$D$8^((1-_xlfn.WEIBULL.DIST(BT$2,$M60,$L60,FALSE))/_xlfn.WEIBULL.DIST(BT$2,$M60,$L60,FALSE))*$U60*((1+Inputs!$D$7)^BT$2))),IF($N60=Lists!$K$3,IF($L60&lt;1,((($T60*(1-$F60)+$S60*(1-$G60))/$L60)*((1+Inputs!$D$7)^BT$2)),((INT(BT$2/$L60)-INT((BT$2-1)/$L60))*($T60*(1-$F60)+$S60*(1-$G60))*((1+Inputs!$D$7)^BT$2))),((Inputs!$D$8^((1-_xlfn.WEIBULL.DIST(BT$2,$M60,$L60,FALSE))/_xlfn.WEIBULL.DIST(BT$2,$M60,$L60,FALSE))*($T60*(1-$F60)+$S60*(1-$G60))*((1+Inputs!$D$7)^BT$2))))))))</f>
        <v>0</v>
      </c>
      <c r="BU60" s="88">
        <f>MAX(AE60,($E60*IF(BU$2&gt;Inputs!$D$5,0,IF(BU$2&gt;VLOOKUP($H60,Lists!$P$3:$Q$7,2),IF($N60=Lists!$K$3,IF($L60&lt;1,(($U60/$L60)*((1+Inputs!$D$7)^BU$2)),((INT(BU$2/$L60)-INT((BU$2-1)/$L60))*$U60*((1+Inputs!$D$7)^BU$2))),(Inputs!$D$8^((1-_xlfn.WEIBULL.DIST(BU$2,$M60,$L60,FALSE))/_xlfn.WEIBULL.DIST(BU$2,$M60,$L60,FALSE))*$U60*((1+Inputs!$D$7)^BU$2))),IF($N60=Lists!$K$3,IF($L60&lt;1,((($T60*(1-$F60)+$S60*(1-$G60))/$L60)*((1+Inputs!$D$7)^BU$2)),((INT(BU$2/$L60)-INT((BU$2-1)/$L60))*($T60*(1-$F60)+$S60*(1-$G60))*((1+Inputs!$D$7)^BU$2))),((Inputs!$D$8^((1-_xlfn.WEIBULL.DIST(BU$2,$M60,$L60,FALSE))/_xlfn.WEIBULL.DIST(BU$2,$M60,$L60,FALSE))*($T60*(1-$F60)+$S60*(1-$G60))*((1+Inputs!$D$7)^BU$2))))))))</f>
        <v>0</v>
      </c>
      <c r="BV60" s="88">
        <f>MAX(AF60,($E60*IF(BV$2&gt;Inputs!$D$5,0,IF(BV$2&gt;VLOOKUP($H60,Lists!$P$3:$Q$7,2),IF($N60=Lists!$K$3,IF($L60&lt;1,(($U60/$L60)*((1+Inputs!$D$7)^BV$2)),((INT(BV$2/$L60)-INT((BV$2-1)/$L60))*$U60*((1+Inputs!$D$7)^BV$2))),(Inputs!$D$8^((1-_xlfn.WEIBULL.DIST(BV$2,$M60,$L60,FALSE))/_xlfn.WEIBULL.DIST(BV$2,$M60,$L60,FALSE))*$U60*((1+Inputs!$D$7)^BV$2))),IF($N60=Lists!$K$3,IF($L60&lt;1,((($T60*(1-$F60)+$S60*(1-$G60))/$L60)*((1+Inputs!$D$7)^BV$2)),((INT(BV$2/$L60)-INT((BV$2-1)/$L60))*($T60*(1-$F60)+$S60*(1-$G60))*((1+Inputs!$D$7)^BV$2))),((Inputs!$D$8^((1-_xlfn.WEIBULL.DIST(BV$2,$M60,$L60,FALSE))/_xlfn.WEIBULL.DIST(BV$2,$M60,$L60,FALSE))*($T60*(1-$F60)+$S60*(1-$G60))*((1+Inputs!$D$7)^BV$2))))))))</f>
        <v>0</v>
      </c>
      <c r="BW60" s="88">
        <f>MAX(AG60,($E60*IF(BW$2&gt;Inputs!$D$5,0,IF(BW$2&gt;VLOOKUP($H60,Lists!$P$3:$Q$7,2),IF($N60=Lists!$K$3,IF($L60&lt;1,(($U60/$L60)*((1+Inputs!$D$7)^BW$2)),((INT(BW$2/$L60)-INT((BW$2-1)/$L60))*$U60*((1+Inputs!$D$7)^BW$2))),(Inputs!$D$8^((1-_xlfn.WEIBULL.DIST(BW$2,$M60,$L60,FALSE))/_xlfn.WEIBULL.DIST(BW$2,$M60,$L60,FALSE))*$U60*((1+Inputs!$D$7)^BW$2))),IF($N60=Lists!$K$3,IF($L60&lt;1,((($T60*(1-$F60)+$S60*(1-$G60))/$L60)*((1+Inputs!$D$7)^BW$2)),((INT(BW$2/$L60)-INT((BW$2-1)/$L60))*($T60*(1-$F60)+$S60*(1-$G60))*((1+Inputs!$D$7)^BW$2))),((Inputs!$D$8^((1-_xlfn.WEIBULL.DIST(BW$2,$M60,$L60,FALSE))/_xlfn.WEIBULL.DIST(BW$2,$M60,$L60,FALSE))*($T60*(1-$F60)+$S60*(1-$G60))*((1+Inputs!$D$7)^BW$2))))))))</f>
        <v>0</v>
      </c>
      <c r="BX60" s="88">
        <f>MAX(AH60,($E60*IF(BX$2&gt;Inputs!$D$5,0,IF(BX$2&gt;VLOOKUP($H60,Lists!$P$3:$Q$7,2),IF($N60=Lists!$K$3,IF($L60&lt;1,(($U60/$L60)*((1+Inputs!$D$7)^BX$2)),((INT(BX$2/$L60)-INT((BX$2-1)/$L60))*$U60*((1+Inputs!$D$7)^BX$2))),(Inputs!$D$8^((1-_xlfn.WEIBULL.DIST(BX$2,$M60,$L60,FALSE))/_xlfn.WEIBULL.DIST(BX$2,$M60,$L60,FALSE))*$U60*((1+Inputs!$D$7)^BX$2))),IF($N60=Lists!$K$3,IF($L60&lt;1,((($T60*(1-$F60)+$S60*(1-$G60))/$L60)*((1+Inputs!$D$7)^BX$2)),((INT(BX$2/$L60)-INT((BX$2-1)/$L60))*($T60*(1-$F60)+$S60*(1-$G60))*((1+Inputs!$D$7)^BX$2))),((Inputs!$D$8^((1-_xlfn.WEIBULL.DIST(BX$2,$M60,$L60,FALSE))/_xlfn.WEIBULL.DIST(BX$2,$M60,$L60,FALSE))*($T60*(1-$F60)+$S60*(1-$G60))*((1+Inputs!$D$7)^BX$2))))))))</f>
        <v>0</v>
      </c>
      <c r="BY60" s="88">
        <f>MAX(AI60,($E60*IF(BY$2&gt;Inputs!$D$5,0,IF(BY$2&gt;VLOOKUP($H60,Lists!$P$3:$Q$7,2),IF($N60=Lists!$K$3,IF($L60&lt;1,(($U60/$L60)*((1+Inputs!$D$7)^BY$2)),((INT(BY$2/$L60)-INT((BY$2-1)/$L60))*$U60*((1+Inputs!$D$7)^BY$2))),(Inputs!$D$8^((1-_xlfn.WEIBULL.DIST(BY$2,$M60,$L60,FALSE))/_xlfn.WEIBULL.DIST(BY$2,$M60,$L60,FALSE))*$U60*((1+Inputs!$D$7)^BY$2))),IF($N60=Lists!$K$3,IF($L60&lt;1,((($T60*(1-$F60)+$S60*(1-$G60))/$L60)*((1+Inputs!$D$7)^BY$2)),((INT(BY$2/$L60)-INT((BY$2-1)/$L60))*($T60*(1-$F60)+$S60*(1-$G60))*((1+Inputs!$D$7)^BY$2))),((Inputs!$D$8^((1-_xlfn.WEIBULL.DIST(BY$2,$M60,$L60,FALSE))/_xlfn.WEIBULL.DIST(BY$2,$M60,$L60,FALSE))*($T60*(1-$F60)+$S60*(1-$G60))*((1+Inputs!$D$7)^BY$2))))))))</f>
        <v>0</v>
      </c>
      <c r="BZ60" s="88">
        <f>MAX(AJ60,($E60*IF(BZ$2&gt;Inputs!$D$5,0,IF(BZ$2&gt;VLOOKUP($H60,Lists!$P$3:$Q$7,2),IF($N60=Lists!$K$3,IF($L60&lt;1,(($U60/$L60)*((1+Inputs!$D$7)^BZ$2)),((INT(BZ$2/$L60)-INT((BZ$2-1)/$L60))*$U60*((1+Inputs!$D$7)^BZ$2))),(Inputs!$D$8^((1-_xlfn.WEIBULL.DIST(BZ$2,$M60,$L60,FALSE))/_xlfn.WEIBULL.DIST(BZ$2,$M60,$L60,FALSE))*$U60*((1+Inputs!$D$7)^BZ$2))),IF($N60=Lists!$K$3,IF($L60&lt;1,((($T60*(1-$F60)+$S60*(1-$G60))/$L60)*((1+Inputs!$D$7)^BZ$2)),((INT(BZ$2/$L60)-INT((BZ$2-1)/$L60))*($T60*(1-$F60)+$S60*(1-$G60))*((1+Inputs!$D$7)^BZ$2))),((Inputs!$D$8^((1-_xlfn.WEIBULL.DIST(BZ$2,$M60,$L60,FALSE))/_xlfn.WEIBULL.DIST(BZ$2,$M60,$L60,FALSE))*($T60*(1-$F60)+$S60*(1-$G60))*((1+Inputs!$D$7)^BZ$2))))))))</f>
        <v>0</v>
      </c>
      <c r="CA60" s="88">
        <f>MAX(AK60,($E60*IF(CA$2&gt;Inputs!$D$5,0,IF(CA$2&gt;VLOOKUP($H60,Lists!$P$3:$Q$7,2),IF($N60=Lists!$K$3,IF($L60&lt;1,(($U60/$L60)*((1+Inputs!$D$7)^CA$2)),((INT(CA$2/$L60)-INT((CA$2-1)/$L60))*$U60*((1+Inputs!$D$7)^CA$2))),(Inputs!$D$8^((1-_xlfn.WEIBULL.DIST(CA$2,$M60,$L60,FALSE))/_xlfn.WEIBULL.DIST(CA$2,$M60,$L60,FALSE))*$U60*((1+Inputs!$D$7)^CA$2))),IF($N60=Lists!$K$3,IF($L60&lt;1,((($T60*(1-$F60)+$S60*(1-$G60))/$L60)*((1+Inputs!$D$7)^CA$2)),((INT(CA$2/$L60)-INT((CA$2-1)/$L60))*($T60*(1-$F60)+$S60*(1-$G60))*((1+Inputs!$D$7)^CA$2))),((Inputs!$D$8^((1-_xlfn.WEIBULL.DIST(CA$2,$M60,$L60,FALSE))/_xlfn.WEIBULL.DIST(CA$2,$M60,$L60,FALSE))*($T60*(1-$F60)+$S60*(1-$G60))*((1+Inputs!$D$7)^CA$2))))))))</f>
        <v>0</v>
      </c>
      <c r="CB60" s="88">
        <f>MAX(AL60,($E60*IF(CB$2&gt;Inputs!$D$5,0,IF(CB$2&gt;VLOOKUP($H60,Lists!$P$3:$Q$7,2),IF($N60=Lists!$K$3,IF($L60&lt;1,(($U60/$L60)*((1+Inputs!$D$7)^CB$2)),((INT(CB$2/$L60)-INT((CB$2-1)/$L60))*$U60*((1+Inputs!$D$7)^CB$2))),(Inputs!$D$8^((1-_xlfn.WEIBULL.DIST(CB$2,$M60,$L60,FALSE))/_xlfn.WEIBULL.DIST(CB$2,$M60,$L60,FALSE))*$U60*((1+Inputs!$D$7)^CB$2))),IF($N60=Lists!$K$3,IF($L60&lt;1,((($T60*(1-$F60)+$S60*(1-$G60))/$L60)*((1+Inputs!$D$7)^CB$2)),((INT(CB$2/$L60)-INT((CB$2-1)/$L60))*($T60*(1-$F60)+$S60*(1-$G60))*((1+Inputs!$D$7)^CB$2))),((Inputs!$D$8^((1-_xlfn.WEIBULL.DIST(CB$2,$M60,$L60,FALSE))/_xlfn.WEIBULL.DIST(CB$2,$M60,$L60,FALSE))*($T60*(1-$F60)+$S60*(1-$G60))*((1+Inputs!$D$7)^CB$2))))))))</f>
        <v>0</v>
      </c>
      <c r="CC60" s="88">
        <f>MAX(AM60,($E60*IF(CC$2&gt;Inputs!$D$5,0,IF(CC$2&gt;VLOOKUP($H60,Lists!$P$3:$Q$7,2),IF($N60=Lists!$K$3,IF($L60&lt;1,(($U60/$L60)*((1+Inputs!$D$7)^CC$2)),((INT(CC$2/$L60)-INT((CC$2-1)/$L60))*$U60*((1+Inputs!$D$7)^CC$2))),(Inputs!$D$8^((1-_xlfn.WEIBULL.DIST(CC$2,$M60,$L60,FALSE))/_xlfn.WEIBULL.DIST(CC$2,$M60,$L60,FALSE))*$U60*((1+Inputs!$D$7)^CC$2))),IF($N60=Lists!$K$3,IF($L60&lt;1,((($T60*(1-$F60)+$S60*(1-$G60))/$L60)*((1+Inputs!$D$7)^CC$2)),((INT(CC$2/$L60)-INT((CC$2-1)/$L60))*($T60*(1-$F60)+$S60*(1-$G60))*((1+Inputs!$D$7)^CC$2))),((Inputs!$D$8^((1-_xlfn.WEIBULL.DIST(CC$2,$M60,$L60,FALSE))/_xlfn.WEIBULL.DIST(CC$2,$M60,$L60,FALSE))*($T60*(1-$F60)+$S60*(1-$G60))*((1+Inputs!$D$7)^CC$2))))))))</f>
        <v>0</v>
      </c>
      <c r="CD60" s="88">
        <f>MAX(AN60,($E60*IF(CD$2&gt;Inputs!$D$5,0,IF(CD$2&gt;VLOOKUP($H60,Lists!$P$3:$Q$7,2),IF($N60=Lists!$K$3,IF($L60&lt;1,(($U60/$L60)*((1+Inputs!$D$7)^CD$2)),((INT(CD$2/$L60)-INT((CD$2-1)/$L60))*$U60*((1+Inputs!$D$7)^CD$2))),(Inputs!$D$8^((1-_xlfn.WEIBULL.DIST(CD$2,$M60,$L60,FALSE))/_xlfn.WEIBULL.DIST(CD$2,$M60,$L60,FALSE))*$U60*((1+Inputs!$D$7)^CD$2))),IF($N60=Lists!$K$3,IF($L60&lt;1,((($T60*(1-$F60)+$S60*(1-$G60))/$L60)*((1+Inputs!$D$7)^CD$2)),((INT(CD$2/$L60)-INT((CD$2-1)/$L60))*($T60*(1-$F60)+$S60*(1-$G60))*((1+Inputs!$D$7)^CD$2))),((Inputs!$D$8^((1-_xlfn.WEIBULL.DIST(CD$2,$M60,$L60,FALSE))/_xlfn.WEIBULL.DIST(CD$2,$M60,$L60,FALSE))*($T60*(1-$F60)+$S60*(1-$G60))*((1+Inputs!$D$7)^CD$2))))))))</f>
        <v>0</v>
      </c>
      <c r="CE60" s="88">
        <f>MAX(AO60,($E60*IF(CE$2&gt;Inputs!$D$5,0,IF(CE$2&gt;VLOOKUP($H60,Lists!$P$3:$Q$7,2),IF($N60=Lists!$K$3,IF($L60&lt;1,(($U60/$L60)*((1+Inputs!$D$7)^CE$2)),((INT(CE$2/$L60)-INT((CE$2-1)/$L60))*$U60*((1+Inputs!$D$7)^CE$2))),(Inputs!$D$8^((1-_xlfn.WEIBULL.DIST(CE$2,$M60,$L60,FALSE))/_xlfn.WEIBULL.DIST(CE$2,$M60,$L60,FALSE))*$U60*((1+Inputs!$D$7)^CE$2))),IF($N60=Lists!$K$3,IF($L60&lt;1,((($T60*(1-$F60)+$S60*(1-$G60))/$L60)*((1+Inputs!$D$7)^CE$2)),((INT(CE$2/$L60)-INT((CE$2-1)/$L60))*($T60*(1-$F60)+$S60*(1-$G60))*((1+Inputs!$D$7)^CE$2))),((Inputs!$D$8^((1-_xlfn.WEIBULL.DIST(CE$2,$M60,$L60,FALSE))/_xlfn.WEIBULL.DIST(CE$2,$M60,$L60,FALSE))*($T60*(1-$F60)+$S60*(1-$G60))*((1+Inputs!$D$7)^CE$2))))))))</f>
        <v>0</v>
      </c>
      <c r="CF60" s="88">
        <f>MAX(AP60,($E60*IF(CF$2&gt;Inputs!$D$5,0,IF(CF$2&gt;VLOOKUP($H60,Lists!$P$3:$Q$7,2),IF($N60=Lists!$K$3,IF($L60&lt;1,(($U60/$L60)*((1+Inputs!$D$7)^CF$2)),((INT(CF$2/$L60)-INT((CF$2-1)/$L60))*$U60*((1+Inputs!$D$7)^CF$2))),(Inputs!$D$8^((1-_xlfn.WEIBULL.DIST(CF$2,$M60,$L60,FALSE))/_xlfn.WEIBULL.DIST(CF$2,$M60,$L60,FALSE))*$U60*((1+Inputs!$D$7)^CF$2))),IF($N60=Lists!$K$3,IF($L60&lt;1,((($T60*(1-$F60)+$S60*(1-$G60))/$L60)*((1+Inputs!$D$7)^CF$2)),((INT(CF$2/$L60)-INT((CF$2-1)/$L60))*($T60*(1-$F60)+$S60*(1-$G60))*((1+Inputs!$D$7)^CF$2))),((Inputs!$D$8^((1-_xlfn.WEIBULL.DIST(CF$2,$M60,$L60,FALSE))/_xlfn.WEIBULL.DIST(CF$2,$M60,$L60,FALSE))*($T60*(1-$F60)+$S60*(1-$G60))*((1+Inputs!$D$7)^CF$2))))))))</f>
        <v>0</v>
      </c>
      <c r="CG60" s="88">
        <f>MAX(AQ60,($E60*IF(CG$2&gt;Inputs!$D$5,0,IF(CG$2&gt;VLOOKUP($H60,Lists!$P$3:$Q$7,2),IF($N60=Lists!$K$3,IF($L60&lt;1,(($U60/$L60)*((1+Inputs!$D$7)^CG$2)),((INT(CG$2/$L60)-INT((CG$2-1)/$L60))*$U60*((1+Inputs!$D$7)^CG$2))),(Inputs!$D$8^((1-_xlfn.WEIBULL.DIST(CG$2,$M60,$L60,FALSE))/_xlfn.WEIBULL.DIST(CG$2,$M60,$L60,FALSE))*$U60*((1+Inputs!$D$7)^CG$2))),IF($N60=Lists!$K$3,IF($L60&lt;1,((($T60*(1-$F60)+$S60*(1-$G60))/$L60)*((1+Inputs!$D$7)^CG$2)),((INT(CG$2/$L60)-INT((CG$2-1)/$L60))*($T60*(1-$F60)+$S60*(1-$G60))*((1+Inputs!$D$7)^CG$2))),((Inputs!$D$8^((1-_xlfn.WEIBULL.DIST(CG$2,$M60,$L60,FALSE))/_xlfn.WEIBULL.DIST(CG$2,$M60,$L60,FALSE))*($T60*(1-$F60)+$S60*(1-$G60))*((1+Inputs!$D$7)^CG$2))))))))</f>
        <v>0</v>
      </c>
      <c r="CH60" s="88">
        <f>MAX(AR60,($E60*IF(CH$2&gt;Inputs!$D$5,0,IF(CH$2&gt;VLOOKUP($H60,Lists!$P$3:$Q$7,2),IF($N60=Lists!$K$3,IF($L60&lt;1,(($U60/$L60)*((1+Inputs!$D$7)^CH$2)),((INT(CH$2/$L60)-INT((CH$2-1)/$L60))*$U60*((1+Inputs!$D$7)^CH$2))),(Inputs!$D$8^((1-_xlfn.WEIBULL.DIST(CH$2,$M60,$L60,FALSE))/_xlfn.WEIBULL.DIST(CH$2,$M60,$L60,FALSE))*$U60*((1+Inputs!$D$7)^CH$2))),IF($N60=Lists!$K$3,IF($L60&lt;1,((($T60*(1-$F60)+$S60*(1-$G60))/$L60)*((1+Inputs!$D$7)^CH$2)),((INT(CH$2/$L60)-INT((CH$2-1)/$L60))*($T60*(1-$F60)+$S60*(1-$G60))*((1+Inputs!$D$7)^CH$2))),((Inputs!$D$8^((1-_xlfn.WEIBULL.DIST(CH$2,$M60,$L60,FALSE))/_xlfn.WEIBULL.DIST(CH$2,$M60,$L60,FALSE))*($T60*(1-$F60)+$S60*(1-$G60))*((1+Inputs!$D$7)^CH$2))))))))</f>
        <v>0</v>
      </c>
      <c r="CI60" s="88">
        <f>MAX(AS60,($E60*IF(CI$2&gt;Inputs!$D$5,0,IF(CI$2&gt;VLOOKUP($H60,Lists!$P$3:$Q$7,2),IF($N60=Lists!$K$3,IF($L60&lt;1,(($U60/$L60)*((1+Inputs!$D$7)^CI$2)),((INT(CI$2/$L60)-INT((CI$2-1)/$L60))*$U60*((1+Inputs!$D$7)^CI$2))),(Inputs!$D$8^((1-_xlfn.WEIBULL.DIST(CI$2,$M60,$L60,FALSE))/_xlfn.WEIBULL.DIST(CI$2,$M60,$L60,FALSE))*$U60*((1+Inputs!$D$7)^CI$2))),IF($N60=Lists!$K$3,IF($L60&lt;1,((($T60*(1-$F60)+$S60*(1-$G60))/$L60)*((1+Inputs!$D$7)^CI$2)),((INT(CI$2/$L60)-INT((CI$2-1)/$L60))*($T60*(1-$F60)+$S60*(1-$G60))*((1+Inputs!$D$7)^CI$2))),((Inputs!$D$8^((1-_xlfn.WEIBULL.DIST(CI$2,$M60,$L60,FALSE))/_xlfn.WEIBULL.DIST(CI$2,$M60,$L60,FALSE))*($T60*(1-$F60)+$S60*(1-$G60))*((1+Inputs!$D$7)^CI$2))))))))</f>
        <v>0</v>
      </c>
      <c r="CJ60" s="88">
        <f>MAX(AT60,($E60*IF(CJ$2&gt;Inputs!$D$5,0,IF(CJ$2&gt;VLOOKUP($H60,Lists!$P$3:$Q$7,2),IF($N60=Lists!$K$3,IF($L60&lt;1,(($U60/$L60)*((1+Inputs!$D$7)^CJ$2)),((INT(CJ$2/$L60)-INT((CJ$2-1)/$L60))*$U60*((1+Inputs!$D$7)^CJ$2))),(Inputs!$D$8^((1-_xlfn.WEIBULL.DIST(CJ$2,$M60,$L60,FALSE))/_xlfn.WEIBULL.DIST(CJ$2,$M60,$L60,FALSE))*$U60*((1+Inputs!$D$7)^CJ$2))),IF($N60=Lists!$K$3,IF($L60&lt;1,((($T60*(1-$F60)+$S60*(1-$G60))/$L60)*((1+Inputs!$D$7)^CJ$2)),((INT(CJ$2/$L60)-INT((CJ$2-1)/$L60))*($T60*(1-$F60)+$S60*(1-$G60))*((1+Inputs!$D$7)^CJ$2))),((Inputs!$D$8^((1-_xlfn.WEIBULL.DIST(CJ$2,$M60,$L60,FALSE))/_xlfn.WEIBULL.DIST(CJ$2,$M60,$L60,FALSE))*($T60*(1-$F60)+$S60*(1-$G60))*((1+Inputs!$D$7)^CJ$2))))))))</f>
        <v>0</v>
      </c>
      <c r="CK60" s="88">
        <f>MAX(AU60,($E60*IF(CK$2&gt;Inputs!$D$5,0,IF(CK$2&gt;VLOOKUP($H60,Lists!$P$3:$Q$7,2),IF($N60=Lists!$K$3,IF($L60&lt;1,(($U60/$L60)*((1+Inputs!$D$7)^CK$2)),((INT(CK$2/$L60)-INT((CK$2-1)/$L60))*$U60*((1+Inputs!$D$7)^CK$2))),(Inputs!$D$8^((1-_xlfn.WEIBULL.DIST(CK$2,$M60,$L60,FALSE))/_xlfn.WEIBULL.DIST(CK$2,$M60,$L60,FALSE))*$U60*((1+Inputs!$D$7)^CK$2))),IF($N60=Lists!$K$3,IF($L60&lt;1,((($T60*(1-$F60)+$S60*(1-$G60))/$L60)*((1+Inputs!$D$7)^CK$2)),((INT(CK$2/$L60)-INT((CK$2-1)/$L60))*($T60*(1-$F60)+$S60*(1-$G60))*((1+Inputs!$D$7)^CK$2))),((Inputs!$D$8^((1-_xlfn.WEIBULL.DIST(CK$2,$M60,$L60,FALSE))/_xlfn.WEIBULL.DIST(CK$2,$M60,$L60,FALSE))*($T60*(1-$F60)+$S60*(1-$G60))*((1+Inputs!$D$7)^CK$2))))))))</f>
        <v>0</v>
      </c>
      <c r="CL60" s="88">
        <f>MAX(AV60,($E60*IF(CL$2&gt;Inputs!$D$5,0,IF(CL$2&gt;VLOOKUP($H60,Lists!$P$3:$Q$7,2),IF($N60=Lists!$K$3,IF($L60&lt;1,(($U60/$L60)*((1+Inputs!$D$7)^CL$2)),((INT(CL$2/$L60)-INT((CL$2-1)/$L60))*$U60*((1+Inputs!$D$7)^CL$2))),(Inputs!$D$8^((1-_xlfn.WEIBULL.DIST(CL$2,$M60,$L60,FALSE))/_xlfn.WEIBULL.DIST(CL$2,$M60,$L60,FALSE))*$U60*((1+Inputs!$D$7)^CL$2))),IF($N60=Lists!$K$3,IF($L60&lt;1,((($T60*(1-$F60)+$S60*(1-$G60))/$L60)*((1+Inputs!$D$7)^CL$2)),((INT(CL$2/$L60)-INT((CL$2-1)/$L60))*($T60*(1-$F60)+$S60*(1-$G60))*((1+Inputs!$D$7)^CL$2))),((Inputs!$D$8^((1-_xlfn.WEIBULL.DIST(CL$2,$M60,$L60,FALSE))/_xlfn.WEIBULL.DIST(CL$2,$M60,$L60,FALSE))*($T60*(1-$F60)+$S60*(1-$G60))*((1+Inputs!$D$7)^CL$2))))))))</f>
        <v>0</v>
      </c>
      <c r="CM60" s="88">
        <f>MAX(AW60,($E60*IF(CM$2&gt;Inputs!$D$5,0,IF(CM$2&gt;VLOOKUP($H60,Lists!$P$3:$Q$7,2),IF($N60=Lists!$K$3,IF($L60&lt;1,(($U60/$L60)*((1+Inputs!$D$7)^CM$2)),((INT(CM$2/$L60)-INT((CM$2-1)/$L60))*$U60*((1+Inputs!$D$7)^CM$2))),(Inputs!$D$8^((1-_xlfn.WEIBULL.DIST(CM$2,$M60,$L60,FALSE))/_xlfn.WEIBULL.DIST(CM$2,$M60,$L60,FALSE))*$U60*((1+Inputs!$D$7)^CM$2))),IF($N60=Lists!$K$3,IF($L60&lt;1,((($T60*(1-$F60)+$S60*(1-$G60))/$L60)*((1+Inputs!$D$7)^CM$2)),((INT(CM$2/$L60)-INT((CM$2-1)/$L60))*($T60*(1-$F60)+$S60*(1-$G60))*((1+Inputs!$D$7)^CM$2))),((Inputs!$D$8^((1-_xlfn.WEIBULL.DIST(CM$2,$M60,$L60,FALSE))/_xlfn.WEIBULL.DIST(CM$2,$M60,$L60,FALSE))*($T60*(1-$F60)+$S60*(1-$G60))*((1+Inputs!$D$7)^CM$2))))))))</f>
        <v>0</v>
      </c>
      <c r="CN60" s="88">
        <f>MAX(AX60,($E60*IF(CN$2&gt;Inputs!$D$5,0,IF(CN$2&gt;VLOOKUP($H60,Lists!$P$3:$Q$7,2),IF($N60=Lists!$K$3,IF($L60&lt;1,(($U60/$L60)*((1+Inputs!$D$7)^CN$2)),((INT(CN$2/$L60)-INT((CN$2-1)/$L60))*$U60*((1+Inputs!$D$7)^CN$2))),(Inputs!$D$8^((1-_xlfn.WEIBULL.DIST(CN$2,$M60,$L60,FALSE))/_xlfn.WEIBULL.DIST(CN$2,$M60,$L60,FALSE))*$U60*((1+Inputs!$D$7)^CN$2))),IF($N60=Lists!$K$3,IF($L60&lt;1,((($T60*(1-$F60)+$S60*(1-$G60))/$L60)*((1+Inputs!$D$7)^CN$2)),((INT(CN$2/$L60)-INT((CN$2-1)/$L60))*($T60*(1-$F60)+$S60*(1-$G60))*((1+Inputs!$D$7)^CN$2))),((Inputs!$D$8^((1-_xlfn.WEIBULL.DIST(CN$2,$M60,$L60,FALSE))/_xlfn.WEIBULL.DIST(CN$2,$M60,$L60,FALSE))*($T60*(1-$F60)+$S60*(1-$G60))*((1+Inputs!$D$7)^CN$2))))))))</f>
        <v>0</v>
      </c>
      <c r="CO60" s="88">
        <f>MAX(AY60,($E60*IF(CO$2&gt;Inputs!$D$5,0,IF(CO$2&gt;VLOOKUP($H60,Lists!$P$3:$Q$7,2),IF($N60=Lists!$K$3,IF($L60&lt;1,(($U60/$L60)*((1+Inputs!$D$7)^CO$2)),((INT(CO$2/$L60)-INT((CO$2-1)/$L60))*$U60*((1+Inputs!$D$7)^CO$2))),(Inputs!$D$8^((1-_xlfn.WEIBULL.DIST(CO$2,$M60,$L60,FALSE))/_xlfn.WEIBULL.DIST(CO$2,$M60,$L60,FALSE))*$U60*((1+Inputs!$D$7)^CO$2))),IF($N60=Lists!$K$3,IF($L60&lt;1,((($T60*(1-$F60)+$S60*(1-$G60))/$L60)*((1+Inputs!$D$7)^CO$2)),((INT(CO$2/$L60)-INT((CO$2-1)/$L60))*($T60*(1-$F60)+$S60*(1-$G60))*((1+Inputs!$D$7)^CO$2))),((Inputs!$D$8^((1-_xlfn.WEIBULL.DIST(CO$2,$M60,$L60,FALSE))/_xlfn.WEIBULL.DIST(CO$2,$M60,$L60,FALSE))*($T60*(1-$F60)+$S60*(1-$G60))*((1+Inputs!$D$7)^CO$2))))))))</f>
        <v>0</v>
      </c>
      <c r="CP60" s="88">
        <f>MAX(AZ60,($E60*IF(CP$2&gt;Inputs!$D$5,0,IF(CP$2&gt;VLOOKUP($H60,Lists!$P$3:$Q$7,2),IF($N60=Lists!$K$3,IF($L60&lt;1,(($U60/$L60)*((1+Inputs!$D$7)^CP$2)),((INT(CP$2/$L60)-INT((CP$2-1)/$L60))*$U60*((1+Inputs!$D$7)^CP$2))),(Inputs!$D$8^((1-_xlfn.WEIBULL.DIST(CP$2,$M60,$L60,FALSE))/_xlfn.WEIBULL.DIST(CP$2,$M60,$L60,FALSE))*$U60*((1+Inputs!$D$7)^CP$2))),IF($N60=Lists!$K$3,IF($L60&lt;1,((($T60*(1-$F60)+$S60*(1-$G60))/$L60)*((1+Inputs!$D$7)^CP$2)),((INT(CP$2/$L60)-INT((CP$2-1)/$L60))*($T60*(1-$F60)+$S60*(1-$G60))*((1+Inputs!$D$7)^CP$2))),((Inputs!$D$8^((1-_xlfn.WEIBULL.DIST(CP$2,$M60,$L60,FALSE))/_xlfn.WEIBULL.DIST(CP$2,$M60,$L60,FALSE))*($T60*(1-$F60)+$S60*(1-$G60))*((1+Inputs!$D$7)^CP$2))))))))</f>
        <v>0</v>
      </c>
      <c r="CQ60" s="88">
        <f>MAX(BA60,($E60*IF(CQ$2&gt;Inputs!$D$5,0,IF(CQ$2&gt;VLOOKUP($H60,Lists!$P$3:$Q$7,2),IF($N60=Lists!$K$3,IF($L60&lt;1,(($U60/$L60)*((1+Inputs!$D$7)^CQ$2)),((INT(CQ$2/$L60)-INT((CQ$2-1)/$L60))*$U60*((1+Inputs!$D$7)^CQ$2))),(Inputs!$D$8^((1-_xlfn.WEIBULL.DIST(CQ$2,$M60,$L60,FALSE))/_xlfn.WEIBULL.DIST(CQ$2,$M60,$L60,FALSE))*$U60*((1+Inputs!$D$7)^CQ$2))),IF($N60=Lists!$K$3,IF($L60&lt;1,((($T60*(1-$F60)+$S60*(1-$G60))/$L60)*((1+Inputs!$D$7)^CQ$2)),((INT(CQ$2/$L60)-INT((CQ$2-1)/$L60))*($T60*(1-$F60)+$S60*(1-$G60))*((1+Inputs!$D$7)^CQ$2))),((Inputs!$D$8^((1-_xlfn.WEIBULL.DIST(CQ$2,$M60,$L60,FALSE))/_xlfn.WEIBULL.DIST(CQ$2,$M60,$L60,FALSE))*($T60*(1-$F60)+$S60*(1-$G60))*((1+Inputs!$D$7)^CQ$2))))))))</f>
        <v>0</v>
      </c>
      <c r="CR60" s="88">
        <f>MAX(BB60,($E60*IF(CR$2&gt;Inputs!$D$5,0,IF(CR$2&gt;VLOOKUP($H60,Lists!$P$3:$Q$7,2),IF($N60=Lists!$K$3,IF($L60&lt;1,(($U60/$L60)*((1+Inputs!$D$7)^CR$2)),((INT(CR$2/$L60)-INT((CR$2-1)/$L60))*$U60*((1+Inputs!$D$7)^CR$2))),(Inputs!$D$8^((1-_xlfn.WEIBULL.DIST(CR$2,$M60,$L60,FALSE))/_xlfn.WEIBULL.DIST(CR$2,$M60,$L60,FALSE))*$U60*((1+Inputs!$D$7)^CR$2))),IF($N60=Lists!$K$3,IF($L60&lt;1,((($T60*(1-$F60)+$S60*(1-$G60))/$L60)*((1+Inputs!$D$7)^CR$2)),((INT(CR$2/$L60)-INT((CR$2-1)/$L60))*($T60*(1-$F60)+$S60*(1-$G60))*((1+Inputs!$D$7)^CR$2))),((Inputs!$D$8^((1-_xlfn.WEIBULL.DIST(CR$2,$M60,$L60,FALSE))/_xlfn.WEIBULL.DIST(CR$2,$M60,$L60,FALSE))*($T60*(1-$F60)+$S60*(1-$G60))*((1+Inputs!$D$7)^CR$2))))))))</f>
        <v>0</v>
      </c>
      <c r="CS60" s="88">
        <f>MAX(BC60,($E60*IF(CS$2&gt;Inputs!$D$5,0,IF(CS$2&gt;VLOOKUP($H60,Lists!$P$3:$Q$7,2),IF($N60=Lists!$K$3,IF($L60&lt;1,(($U60/$L60)*((1+Inputs!$D$7)^CS$2)),((INT(CS$2/$L60)-INT((CS$2-1)/$L60))*$U60*((1+Inputs!$D$7)^CS$2))),(Inputs!$D$8^((1-_xlfn.WEIBULL.DIST(CS$2,$M60,$L60,FALSE))/_xlfn.WEIBULL.DIST(CS$2,$M60,$L60,FALSE))*$U60*((1+Inputs!$D$7)^CS$2))),IF($N60=Lists!$K$3,IF($L60&lt;1,((($T60*(1-$F60)+$S60*(1-$G60))/$L60)*((1+Inputs!$D$7)^CS$2)),((INT(CS$2/$L60)-INT((CS$2-1)/$L60))*($T60*(1-$F60)+$S60*(1-$G60))*((1+Inputs!$D$7)^CS$2))),((Inputs!$D$8^((1-_xlfn.WEIBULL.DIST(CS$2,$M60,$L60,FALSE))/_xlfn.WEIBULL.DIST(CS$2,$M60,$L60,FALSE))*($T60*(1-$F60)+$S60*(1-$G60))*((1+Inputs!$D$7)^CS$2))))))))</f>
        <v>0</v>
      </c>
      <c r="CT60" s="88">
        <f>MAX(BD60,($E60*IF(CT$2&gt;Inputs!$D$5,0,IF(CT$2&gt;VLOOKUP($H60,Lists!$P$3:$Q$7,2),IF($N60=Lists!$K$3,IF($L60&lt;1,(($U60/$L60)*((1+Inputs!$D$7)^CT$2)),((INT(CT$2/$L60)-INT((CT$2-1)/$L60))*$U60*((1+Inputs!$D$7)^CT$2))),(Inputs!$D$8^((1-_xlfn.WEIBULL.DIST(CT$2,$M60,$L60,FALSE))/_xlfn.WEIBULL.DIST(CT$2,$M60,$L60,FALSE))*$U60*((1+Inputs!$D$7)^CT$2))),IF($N60=Lists!$K$3,IF($L60&lt;1,((($T60*(1-$F60)+$S60*(1-$G60))/$L60)*((1+Inputs!$D$7)^CT$2)),((INT(CT$2/$L60)-INT((CT$2-1)/$L60))*($T60*(1-$F60)+$S60*(1-$G60))*((1+Inputs!$D$7)^CT$2))),((Inputs!$D$8^((1-_xlfn.WEIBULL.DIST(CT$2,$M60,$L60,FALSE))/_xlfn.WEIBULL.DIST(CT$2,$M60,$L60,FALSE))*($T60*(1-$F60)+$S60*(1-$G60))*((1+Inputs!$D$7)^CT$2))))))))</f>
        <v>0</v>
      </c>
      <c r="CU60" s="88">
        <f>MAX(BE60,($E60*IF(CU$2&gt;Inputs!$D$5,0,IF(CU$2&gt;VLOOKUP($H60,Lists!$P$3:$Q$7,2),IF($N60=Lists!$K$3,IF($L60&lt;1,(($U60/$L60)*((1+Inputs!$D$7)^CU$2)),((INT(CU$2/$L60)-INT((CU$2-1)/$L60))*$U60*((1+Inputs!$D$7)^CU$2))),(Inputs!$D$8^((1-_xlfn.WEIBULL.DIST(CU$2,$M60,$L60,FALSE))/_xlfn.WEIBULL.DIST(CU$2,$M60,$L60,FALSE))*$U60*((1+Inputs!$D$7)^CU$2))),IF($N60=Lists!$K$3,IF($L60&lt;1,((($T60*(1-$F60)+$S60*(1-$G60))/$L60)*((1+Inputs!$D$7)^CU$2)),((INT(CU$2/$L60)-INT((CU$2-1)/$L60))*($T60*(1-$F60)+$S60*(1-$G60))*((1+Inputs!$D$7)^CU$2))),((Inputs!$D$8^((1-_xlfn.WEIBULL.DIST(CU$2,$M60,$L60,FALSE))/_xlfn.WEIBULL.DIST(CU$2,$M60,$L60,FALSE))*($T60*(1-$F60)+$S60*(1-$G60))*((1+Inputs!$D$7)^CU$2))))))))</f>
        <v>0</v>
      </c>
      <c r="CV60" s="88">
        <f>MAX(BF60,($E60*IF(CV$2&gt;Inputs!$D$5,0,IF(CV$2&gt;VLOOKUP($H60,Lists!$P$3:$Q$7,2),IF($N60=Lists!$K$3,IF($L60&lt;1,(($U60/$L60)*((1+Inputs!$D$7)^CV$2)),((INT(CV$2/$L60)-INT((CV$2-1)/$L60))*$U60*((1+Inputs!$D$7)^CV$2))),(Inputs!$D$8^((1-_xlfn.WEIBULL.DIST(CV$2,$M60,$L60,FALSE))/_xlfn.WEIBULL.DIST(CV$2,$M60,$L60,FALSE))*$U60*((1+Inputs!$D$7)^CV$2))),IF($N60=Lists!$K$3,IF($L60&lt;1,((($T60*(1-$F60)+$S60*(1-$G60))/$L60)*((1+Inputs!$D$7)^CV$2)),((INT(CV$2/$L60)-INT((CV$2-1)/$L60))*($T60*(1-$F60)+$S60*(1-$G60))*((1+Inputs!$D$7)^CV$2))),((Inputs!$D$8^((1-_xlfn.WEIBULL.DIST(CV$2,$M60,$L60,FALSE))/_xlfn.WEIBULL.DIST(CV$2,$M60,$L60,FALSE))*($T60*(1-$F60)+$S60*(1-$G60))*((1+Inputs!$D$7)^CV$2))))))))</f>
        <v>0</v>
      </c>
      <c r="CW60" s="88">
        <f>MAX(BG60,($E60*IF(CW$2&gt;Inputs!$D$5,0,IF(CW$2&gt;VLOOKUP($H60,Lists!$P$3:$Q$7,2),IF($N60=Lists!$K$3,IF($L60&lt;1,(($U60/$L60)*((1+Inputs!$D$7)^CW$2)),((INT(CW$2/$L60)-INT((CW$2-1)/$L60))*$U60*((1+Inputs!$D$7)^CW$2))),(Inputs!$D$8^((1-_xlfn.WEIBULL.DIST(CW$2,$M60,$L60,FALSE))/_xlfn.WEIBULL.DIST(CW$2,$M60,$L60,FALSE))*$U60*((1+Inputs!$D$7)^CW$2))),IF($N60=Lists!$K$3,IF($L60&lt;1,((($T60*(1-$F60)+$S60*(1-$G60))/$L60)*((1+Inputs!$D$7)^CW$2)),((INT(CW$2/$L60)-INT((CW$2-1)/$L60))*($T60*(1-$F60)+$S60*(1-$G60))*((1+Inputs!$D$7)^CW$2))),((Inputs!$D$8^((1-_xlfn.WEIBULL.DIST(CW$2,$M60,$L60,FALSE))/_xlfn.WEIBULL.DIST(CW$2,$M60,$L60,FALSE))*($T60*(1-$F60)+$S60*(1-$G60))*((1+Inputs!$D$7)^CW$2))))))))</f>
        <v>0</v>
      </c>
      <c r="CX60" s="88">
        <f>MAX(BH60,($E60*IF(CX$2&gt;Inputs!$D$5,0,IF(CX$2&gt;VLOOKUP($H60,Lists!$P$3:$Q$7,2),IF($N60=Lists!$K$3,IF($L60&lt;1,(($U60/$L60)*((1+Inputs!$D$7)^CX$2)),((INT(CX$2/$L60)-INT((CX$2-1)/$L60))*$U60*((1+Inputs!$D$7)^CX$2))),(Inputs!$D$8^((1-_xlfn.WEIBULL.DIST(CX$2,$M60,$L60,FALSE))/_xlfn.WEIBULL.DIST(CX$2,$M60,$L60,FALSE))*$U60*((1+Inputs!$D$7)^CX$2))),IF($N60=Lists!$K$3,IF($L60&lt;1,((($T60*(1-$F60)+$S60*(1-$G60))/$L60)*((1+Inputs!$D$7)^CX$2)),((INT(CX$2/$L60)-INT((CX$2-1)/$L60))*($T60*(1-$F60)+$S60*(1-$G60))*((1+Inputs!$D$7)^CX$2))),((Inputs!$D$8^((1-_xlfn.WEIBULL.DIST(CX$2,$M60,$L60,FALSE))/_xlfn.WEIBULL.DIST(CX$2,$M60,$L60,FALSE))*($T60*(1-$F60)+$S60*(1-$G60))*((1+Inputs!$D$7)^CX$2))))))))</f>
        <v>0</v>
      </c>
      <c r="CY60" s="88">
        <f>MAX(BI60,($E60*IF(CY$2&gt;Inputs!$D$5,0,IF(CY$2&gt;VLOOKUP($H60,Lists!$P$3:$Q$7,2),IF($N60=Lists!$K$3,IF($L60&lt;1,(($U60/$L60)*((1+Inputs!$D$7)^CY$2)),((INT(CY$2/$L60)-INT((CY$2-1)/$L60))*$U60*((1+Inputs!$D$7)^CY$2))),(Inputs!$D$8^((1-_xlfn.WEIBULL.DIST(CY$2,$M60,$L60,FALSE))/_xlfn.WEIBULL.DIST(CY$2,$M60,$L60,FALSE))*$U60*((1+Inputs!$D$7)^CY$2))),IF($N60=Lists!$K$3,IF($L60&lt;1,((($T60*(1-$F60)+$S60*(1-$G60))/$L60)*((1+Inputs!$D$7)^CY$2)),((INT(CY$2/$L60)-INT((CY$2-1)/$L60))*($T60*(1-$F60)+$S60*(1-$G60))*((1+Inputs!$D$7)^CY$2))),((Inputs!$D$8^((1-_xlfn.WEIBULL.DIST(CY$2,$M60,$L60,FALSE))/_xlfn.WEIBULL.DIST(CY$2,$M60,$L60,FALSE))*($T60*(1-$F60)+$S60*(1-$G60))*((1+Inputs!$D$7)^CY$2))))))))</f>
        <v>0</v>
      </c>
      <c r="CZ60" s="88">
        <f>MAX(BJ60,($E60*IF(CZ$2&gt;Inputs!$D$5,0,IF(CZ$2&gt;VLOOKUP($H60,Lists!$P$3:$Q$7,2),IF($N60=Lists!$K$3,IF($L60&lt;1,(($U60/$L60)*((1+Inputs!$D$7)^CZ$2)),((INT(CZ$2/$L60)-INT((CZ$2-1)/$L60))*$U60*((1+Inputs!$D$7)^CZ$2))),(Inputs!$D$8^((1-_xlfn.WEIBULL.DIST(CZ$2,$M60,$L60,FALSE))/_xlfn.WEIBULL.DIST(CZ$2,$M60,$L60,FALSE))*$U60*((1+Inputs!$D$7)^CZ$2))),IF($N60=Lists!$K$3,IF($L60&lt;1,((($T60*(1-$F60)+$S60*(1-$G60))/$L60)*((1+Inputs!$D$7)^CZ$2)),((INT(CZ$2/$L60)-INT((CZ$2-1)/$L60))*($T60*(1-$F60)+$S60*(1-$G60))*((1+Inputs!$D$7)^CZ$2))),((Inputs!$D$8^((1-_xlfn.WEIBULL.DIST(CZ$2,$M60,$L60,FALSE))/_xlfn.WEIBULL.DIST(CZ$2,$M60,$L60,FALSE))*($T60*(1-$F60)+$S60*(1-$G60))*((1+Inputs!$D$7)^CZ$2))))))))</f>
        <v>0</v>
      </c>
      <c r="DA60" s="88">
        <f>MAX(BK60,($E60*IF(DA$2&gt;Inputs!$D$5,0,IF(DA$2&gt;VLOOKUP($H60,Lists!$P$3:$Q$7,2),IF($N60=Lists!$K$3,IF($L60&lt;1,(($U60/$L60)*((1+Inputs!$D$7)^DA$2)),((INT(DA$2/$L60)-INT((DA$2-1)/$L60))*$U60*((1+Inputs!$D$7)^DA$2))),(Inputs!$D$8^((1-_xlfn.WEIBULL.DIST(DA$2,$M60,$L60,FALSE))/_xlfn.WEIBULL.DIST(DA$2,$M60,$L60,FALSE))*$U60*((1+Inputs!$D$7)^DA$2))),IF($N60=Lists!$K$3,IF($L60&lt;1,((($T60*(1-$F60)+$S60*(1-$G60))/$L60)*((1+Inputs!$D$7)^DA$2)),((INT(DA$2/$L60)-INT((DA$2-1)/$L60))*($T60*(1-$F60)+$S60*(1-$G60))*((1+Inputs!$D$7)^DA$2))),((Inputs!$D$8^((1-_xlfn.WEIBULL.DIST(DA$2,$M60,$L60,FALSE))/_xlfn.WEIBULL.DIST(DA$2,$M60,$L60,FALSE))*($T60*(1-$F60)+$S60*(1-$G60))*((1+Inputs!$D$7)^DA$2))))))))</f>
        <v>0</v>
      </c>
      <c r="DB60" s="88">
        <f>MAX(BL60,($E60*IF(DB$2&gt;Inputs!$D$5,0,IF(DB$2&gt;VLOOKUP($H60,Lists!$P$3:$Q$7,2),IF($N60=Lists!$K$3,IF($L60&lt;1,(($U60/$L60)*((1+Inputs!$D$7)^DB$2)),((INT(DB$2/$L60)-INT((DB$2-1)/$L60))*$U60*((1+Inputs!$D$7)^DB$2))),(Inputs!$D$8^((1-_xlfn.WEIBULL.DIST(DB$2,$M60,$L60,FALSE))/_xlfn.WEIBULL.DIST(DB$2,$M60,$L60,FALSE))*$U60*((1+Inputs!$D$7)^DB$2))),IF($N60=Lists!$K$3,IF($L60&lt;1,((($T60*(1-$F60)+$S60*(1-$G60))/$L60)*((1+Inputs!$D$7)^DB$2)),((INT(DB$2/$L60)-INT((DB$2-1)/$L60))*($T60*(1-$F60)+$S60*(1-$G60))*((1+Inputs!$D$7)^DB$2))),((Inputs!$D$8^((1-_xlfn.WEIBULL.DIST(DB$2,$M60,$L60,FALSE))/_xlfn.WEIBULL.DIST(DB$2,$M60,$L60,FALSE))*($T60*(1-$F60)+$S60*(1-$G60))*((1+Inputs!$D$7)^DB$2))))))))</f>
        <v>0</v>
      </c>
      <c r="DC60" s="88">
        <f>MAX(BM60,($E60*IF(DC$2&gt;Inputs!$D$5,0,IF(DC$2&gt;VLOOKUP($H60,Lists!$P$3:$Q$7,2),IF($N60=Lists!$K$3,IF($L60&lt;1,(($U60/$L60)*((1+Inputs!$D$7)^DC$2)),((INT(DC$2/$L60)-INT((DC$2-1)/$L60))*$U60*((1+Inputs!$D$7)^DC$2))),(Inputs!$D$8^((1-_xlfn.WEIBULL.DIST(DC$2,$M60,$L60,FALSE))/_xlfn.WEIBULL.DIST(DC$2,$M60,$L60,FALSE))*$U60*((1+Inputs!$D$7)^DC$2))),IF($N60=Lists!$K$3,IF($L60&lt;1,((($T60*(1-$F60)+$S60*(1-$G60))/$L60)*((1+Inputs!$D$7)^DC$2)),((INT(DC$2/$L60)-INT((DC$2-1)/$L60))*($T60*(1-$F60)+$S60*(1-$G60))*((1+Inputs!$D$7)^DC$2))),((Inputs!$D$8^((1-_xlfn.WEIBULL.DIST(DC$2,$M60,$L60,FALSE))/_xlfn.WEIBULL.DIST(DC$2,$M60,$L60,FALSE))*($T60*(1-$F60)+$S60*(1-$G60))*((1+Inputs!$D$7)^DC$2))))))))</f>
        <v>0</v>
      </c>
      <c r="DD60" s="88">
        <f>MAX(BN60,($E60*IF(DD$2&gt;Inputs!$D$5,0,IF(DD$2&gt;VLOOKUP($H60,Lists!$P$3:$Q$7,2),IF($N60=Lists!$K$3,IF($L60&lt;1,(($U60/$L60)*((1+Inputs!$D$7)^DD$2)),((INT(DD$2/$L60)-INT((DD$2-1)/$L60))*$U60*((1+Inputs!$D$7)^DD$2))),(Inputs!$D$8^((1-_xlfn.WEIBULL.DIST(DD$2,$M60,$L60,FALSE))/_xlfn.WEIBULL.DIST(DD$2,$M60,$L60,FALSE))*$U60*((1+Inputs!$D$7)^DD$2))),IF($N60=Lists!$K$3,IF($L60&lt;1,((($T60*(1-$F60)+$S60*(1-$G60))/$L60)*((1+Inputs!$D$7)^DD$2)),((INT(DD$2/$L60)-INT((DD$2-1)/$L60))*($T60*(1-$F60)+$S60*(1-$G60))*((1+Inputs!$D$7)^DD$2))),((Inputs!$D$8^((1-_xlfn.WEIBULL.DIST(DD$2,$M60,$L60,FALSE))/_xlfn.WEIBULL.DIST(DD$2,$M60,$L60,FALSE))*($T60*(1-$F60)+$S60*(1-$G60))*((1+Inputs!$D$7)^DD$2))))))))</f>
        <v>0</v>
      </c>
    </row>
    <row r="61" spans="1:108" s="1" customFormat="1" ht="16">
      <c r="A61" s="57" t="s">
        <v>172</v>
      </c>
      <c r="B61" s="13" t="s">
        <v>130</v>
      </c>
      <c r="C61" s="13" t="s">
        <v>474</v>
      </c>
      <c r="D61" s="13" t="s">
        <v>37</v>
      </c>
      <c r="E61" s="89">
        <v>0</v>
      </c>
      <c r="F61" s="48">
        <v>1</v>
      </c>
      <c r="G61" s="48">
        <v>1</v>
      </c>
      <c r="H61" s="105" t="s">
        <v>350</v>
      </c>
      <c r="I61" s="14"/>
      <c r="J61" s="14" t="s">
        <v>88</v>
      </c>
      <c r="K61" s="13">
        <f>VLOOKUP(J61,'Labor Rates'!$A$1:$F$16,2)</f>
        <v>19.903846153846153</v>
      </c>
      <c r="L61" s="15">
        <v>25</v>
      </c>
      <c r="M61" s="15">
        <v>3</v>
      </c>
      <c r="N61" s="16" t="s">
        <v>226</v>
      </c>
      <c r="O61" s="61">
        <f>Inputs!$D$56*E61</f>
        <v>0</v>
      </c>
      <c r="P61" s="15">
        <v>0.5</v>
      </c>
      <c r="Q61" s="15">
        <f t="shared" si="7"/>
        <v>0</v>
      </c>
      <c r="R61" s="4">
        <v>250</v>
      </c>
      <c r="S61" s="53">
        <f t="shared" si="8"/>
        <v>0</v>
      </c>
      <c r="T61" s="53">
        <f t="shared" si="9"/>
        <v>0</v>
      </c>
      <c r="U61" s="54">
        <f t="shared" si="10"/>
        <v>0</v>
      </c>
      <c r="V61" s="65"/>
      <c r="W61" s="58"/>
      <c r="X61" s="64">
        <f t="shared" si="11"/>
        <v>0</v>
      </c>
      <c r="Y61" s="64">
        <f>NPV(Inputs!$D$6,AA61:BN61)</f>
        <v>0</v>
      </c>
      <c r="Z61" s="67">
        <f t="shared" si="12"/>
        <v>0</v>
      </c>
      <c r="AA61" s="88">
        <f>$E61*IF(AA$2&gt;Inputs!$D$5,0,IF(AA$2&gt;VLOOKUP($H61,Lists!$P$3:$Q$7,2),IF($N61=Lists!$K$3,IF($L61&lt;1,(($U61/$L61)*((1+Inputs!$D$7)^AA$2)),((INT(AA$2/$L61)-INT((AA$2-1)/$L61))*$U61*((1+Inputs!$D$7)^AA$2))),(_xlfn.WEIBULL.DIST(AA$2,$M61,$L61,FALSE)*$U61*((1+Inputs!$D$7)^AA$2))),IF($N61=Lists!$K$3,IF($L61&lt;1,((($T61*(1-$F61)+$S61*(1-$G61))/$L61)*((1+Inputs!$D$7)^AA$2)),((INT(AA$2/$L61)-INT((AA$2-1)/$L61))*($T61*(1-$F61)+$S61*(1-$G61))*((1+Inputs!$D$7)^AA$2))),((_xlfn.WEIBULL.DIST(AA$2,$M61,$L61,FALSE)*($T61*(1-$F61)+$S61*(1-$G61))*((1+Inputs!$D$7)^AA$2))))))</f>
        <v>0</v>
      </c>
      <c r="AB61" s="88">
        <f>$E61*IF(AB$2&gt;Inputs!$D$5,0,IF(AB$2&gt;VLOOKUP($H61,Lists!$P$3:$Q$7,2),IF($N61=Lists!$K$3,IF($L61&lt;1,(($U61/$L61)*((1+Inputs!$D$7)^AB$2)),((INT(AB$2/$L61)-INT((AB$2-1)/$L61))*$U61*((1+Inputs!$D$7)^AB$2))),(_xlfn.WEIBULL.DIST(AB$2,$M61,$L61,FALSE)*$U61*((1+Inputs!$D$7)^AB$2))),IF($N61=Lists!$K$3,IF($L61&lt;1,((($T61*(1-$F61)+$S61*(1-$G61))/$L61)*((1+Inputs!$D$7)^AB$2)),((INT(AB$2/$L61)-INT((AB$2-1)/$L61))*($T61*(1-$F61)+$S61*(1-$G61))*((1+Inputs!$D$7)^AB$2))),((_xlfn.WEIBULL.DIST(AB$2,$M61,$L61,FALSE)*($T61*(1-$F61)+$S61*(1-$G61))*((1+Inputs!$D$7)^AB$2))))))</f>
        <v>0</v>
      </c>
      <c r="AC61" s="88">
        <f>$E61*IF(AC$2&gt;Inputs!$D$5,0,IF(AC$2&gt;VLOOKUP($H61,Lists!$P$3:$Q$7,2),IF($N61=Lists!$K$3,IF($L61&lt;1,(($U61/$L61)*((1+Inputs!$D$7)^AC$2)),((INT(AC$2/$L61)-INT((AC$2-1)/$L61))*$U61*((1+Inputs!$D$7)^AC$2))),(_xlfn.WEIBULL.DIST(AC$2,$M61,$L61,FALSE)*$U61*((1+Inputs!$D$7)^AC$2))),IF($N61=Lists!$K$3,IF($L61&lt;1,((($T61*(1-$F61)+$S61*(1-$G61))/$L61)*((1+Inputs!$D$7)^AC$2)),((INT(AC$2/$L61)-INT((AC$2-1)/$L61))*($T61*(1-$F61)+$S61*(1-$G61))*((1+Inputs!$D$7)^AC$2))),((_xlfn.WEIBULL.DIST(AC$2,$M61,$L61,FALSE)*($T61*(1-$F61)+$S61*(1-$G61))*((1+Inputs!$D$7)^AC$2))))))</f>
        <v>0</v>
      </c>
      <c r="AD61" s="88">
        <f>$E61*IF(AD$2&gt;Inputs!$D$5,0,IF(AD$2&gt;VLOOKUP($H61,Lists!$P$3:$Q$7,2),IF($N61=Lists!$K$3,IF($L61&lt;1,(($U61/$L61)*((1+Inputs!$D$7)^AD$2)),((INT(AD$2/$L61)-INT((AD$2-1)/$L61))*$U61*((1+Inputs!$D$7)^AD$2))),(_xlfn.WEIBULL.DIST(AD$2,$M61,$L61,FALSE)*$U61*((1+Inputs!$D$7)^AD$2))),IF($N61=Lists!$K$3,IF($L61&lt;1,((($T61*(1-$F61)+$S61*(1-$G61))/$L61)*((1+Inputs!$D$7)^AD$2)),((INT(AD$2/$L61)-INT((AD$2-1)/$L61))*($T61*(1-$F61)+$S61*(1-$G61))*((1+Inputs!$D$7)^AD$2))),((_xlfn.WEIBULL.DIST(AD$2,$M61,$L61,FALSE)*($T61*(1-$F61)+$S61*(1-$G61))*((1+Inputs!$D$7)^AD$2))))))</f>
        <v>0</v>
      </c>
      <c r="AE61" s="88">
        <f>$E61*IF(AE$2&gt;Inputs!$D$5,0,IF(AE$2&gt;VLOOKUP($H61,Lists!$P$3:$Q$7,2),IF($N61=Lists!$K$3,IF($L61&lt;1,(($U61/$L61)*((1+Inputs!$D$7)^AE$2)),((INT(AE$2/$L61)-INT((AE$2-1)/$L61))*$U61*((1+Inputs!$D$7)^AE$2))),(_xlfn.WEIBULL.DIST(AE$2,$M61,$L61,FALSE)*$U61*((1+Inputs!$D$7)^AE$2))),IF($N61=Lists!$K$3,IF($L61&lt;1,((($T61*(1-$F61)+$S61*(1-$G61))/$L61)*((1+Inputs!$D$7)^AE$2)),((INT(AE$2/$L61)-INT((AE$2-1)/$L61))*($T61*(1-$F61)+$S61*(1-$G61))*((1+Inputs!$D$7)^AE$2))),((_xlfn.WEIBULL.DIST(AE$2,$M61,$L61,FALSE)*($T61*(1-$F61)+$S61*(1-$G61))*((1+Inputs!$D$7)^AE$2))))))</f>
        <v>0</v>
      </c>
      <c r="AF61" s="88">
        <f>$E61*IF(AF$2&gt;Inputs!$D$5,0,IF(AF$2&gt;VLOOKUP($H61,Lists!$P$3:$Q$7,2),IF($N61=Lists!$K$3,IF($L61&lt;1,(($U61/$L61)*((1+Inputs!$D$7)^AF$2)),((INT(AF$2/$L61)-INT((AF$2-1)/$L61))*$U61*((1+Inputs!$D$7)^AF$2))),(_xlfn.WEIBULL.DIST(AF$2,$M61,$L61,FALSE)*$U61*((1+Inputs!$D$7)^AF$2))),IF($N61=Lists!$K$3,IF($L61&lt;1,((($T61*(1-$F61)+$S61*(1-$G61))/$L61)*((1+Inputs!$D$7)^AF$2)),((INT(AF$2/$L61)-INT((AF$2-1)/$L61))*($T61*(1-$F61)+$S61*(1-$G61))*((1+Inputs!$D$7)^AF$2))),((_xlfn.WEIBULL.DIST(AF$2,$M61,$L61,FALSE)*($T61*(1-$F61)+$S61*(1-$G61))*((1+Inputs!$D$7)^AF$2))))))</f>
        <v>0</v>
      </c>
      <c r="AG61" s="88">
        <f>$E61*IF(AG$2&gt;Inputs!$D$5,0,IF(AG$2&gt;VLOOKUP($H61,Lists!$P$3:$Q$7,2),IF($N61=Lists!$K$3,IF($L61&lt;1,(($U61/$L61)*((1+Inputs!$D$7)^AG$2)),((INT(AG$2/$L61)-INT((AG$2-1)/$L61))*$U61*((1+Inputs!$D$7)^AG$2))),(_xlfn.WEIBULL.DIST(AG$2,$M61,$L61,FALSE)*$U61*((1+Inputs!$D$7)^AG$2))),IF($N61=Lists!$K$3,IF($L61&lt;1,((($T61*(1-$F61)+$S61*(1-$G61))/$L61)*((1+Inputs!$D$7)^AG$2)),((INT(AG$2/$L61)-INT((AG$2-1)/$L61))*($T61*(1-$F61)+$S61*(1-$G61))*((1+Inputs!$D$7)^AG$2))),((_xlfn.WEIBULL.DIST(AG$2,$M61,$L61,FALSE)*($T61*(1-$F61)+$S61*(1-$G61))*((1+Inputs!$D$7)^AG$2))))))</f>
        <v>0</v>
      </c>
      <c r="AH61" s="88">
        <f>$E61*IF(AH$2&gt;Inputs!$D$5,0,IF(AH$2&gt;VLOOKUP($H61,Lists!$P$3:$Q$7,2),IF($N61=Lists!$K$3,IF($L61&lt;1,(($U61/$L61)*((1+Inputs!$D$7)^AH$2)),((INT(AH$2/$L61)-INT((AH$2-1)/$L61))*$U61*((1+Inputs!$D$7)^AH$2))),(_xlfn.WEIBULL.DIST(AH$2,$M61,$L61,FALSE)*$U61*((1+Inputs!$D$7)^AH$2))),IF($N61=Lists!$K$3,IF($L61&lt;1,((($T61*(1-$F61)+$S61*(1-$G61))/$L61)*((1+Inputs!$D$7)^AH$2)),((INT(AH$2/$L61)-INT((AH$2-1)/$L61))*($T61*(1-$F61)+$S61*(1-$G61))*((1+Inputs!$D$7)^AH$2))),((_xlfn.WEIBULL.DIST(AH$2,$M61,$L61,FALSE)*($T61*(1-$F61)+$S61*(1-$G61))*((1+Inputs!$D$7)^AH$2))))))</f>
        <v>0</v>
      </c>
      <c r="AI61" s="88">
        <f>$E61*IF(AI$2&gt;Inputs!$D$5,0,IF(AI$2&gt;VLOOKUP($H61,Lists!$P$3:$Q$7,2),IF($N61=Lists!$K$3,IF($L61&lt;1,(($U61/$L61)*((1+Inputs!$D$7)^AI$2)),((INT(AI$2/$L61)-INT((AI$2-1)/$L61))*$U61*((1+Inputs!$D$7)^AI$2))),(_xlfn.WEIBULL.DIST(AI$2,$M61,$L61,FALSE)*$U61*((1+Inputs!$D$7)^AI$2))),IF($N61=Lists!$K$3,IF($L61&lt;1,((($T61*(1-$F61)+$S61*(1-$G61))/$L61)*((1+Inputs!$D$7)^AI$2)),((INT(AI$2/$L61)-INT((AI$2-1)/$L61))*($T61*(1-$F61)+$S61*(1-$G61))*((1+Inputs!$D$7)^AI$2))),((_xlfn.WEIBULL.DIST(AI$2,$M61,$L61,FALSE)*($T61*(1-$F61)+$S61*(1-$G61))*((1+Inputs!$D$7)^AI$2))))))</f>
        <v>0</v>
      </c>
      <c r="AJ61" s="88">
        <f>$E61*IF(AJ$2&gt;Inputs!$D$5,0,IF(AJ$2&gt;VLOOKUP($H61,Lists!$P$3:$Q$7,2),IF($N61=Lists!$K$3,IF($L61&lt;1,(($U61/$L61)*((1+Inputs!$D$7)^AJ$2)),((INT(AJ$2/$L61)-INT((AJ$2-1)/$L61))*$U61*((1+Inputs!$D$7)^AJ$2))),(_xlfn.WEIBULL.DIST(AJ$2,$M61,$L61,FALSE)*$U61*((1+Inputs!$D$7)^AJ$2))),IF($N61=Lists!$K$3,IF($L61&lt;1,((($T61*(1-$F61)+$S61*(1-$G61))/$L61)*((1+Inputs!$D$7)^AJ$2)),((INT(AJ$2/$L61)-INT((AJ$2-1)/$L61))*($T61*(1-$F61)+$S61*(1-$G61))*((1+Inputs!$D$7)^AJ$2))),((_xlfn.WEIBULL.DIST(AJ$2,$M61,$L61,FALSE)*($T61*(1-$F61)+$S61*(1-$G61))*((1+Inputs!$D$7)^AJ$2))))))</f>
        <v>0</v>
      </c>
      <c r="AK61" s="88">
        <f>$E61*IF(AK$2&gt;Inputs!$D$5,0,IF(AK$2&gt;VLOOKUP($H61,Lists!$P$3:$Q$7,2),IF($N61=Lists!$K$3,IF($L61&lt;1,(($U61/$L61)*((1+Inputs!$D$7)^AK$2)),((INT(AK$2/$L61)-INT((AK$2-1)/$L61))*$U61*((1+Inputs!$D$7)^AK$2))),(_xlfn.WEIBULL.DIST(AK$2,$M61,$L61,FALSE)*$U61*((1+Inputs!$D$7)^AK$2))),IF($N61=Lists!$K$3,IF($L61&lt;1,((($T61*(1-$F61)+$S61*(1-$G61))/$L61)*((1+Inputs!$D$7)^AK$2)),((INT(AK$2/$L61)-INT((AK$2-1)/$L61))*($T61*(1-$F61)+$S61*(1-$G61))*((1+Inputs!$D$7)^AK$2))),((_xlfn.WEIBULL.DIST(AK$2,$M61,$L61,FALSE)*($T61*(1-$F61)+$S61*(1-$G61))*((1+Inputs!$D$7)^AK$2))))))</f>
        <v>0</v>
      </c>
      <c r="AL61" s="88">
        <f>$E61*IF(AL$2&gt;Inputs!$D$5,0,IF(AL$2&gt;VLOOKUP($H61,Lists!$P$3:$Q$7,2),IF($N61=Lists!$K$3,IF($L61&lt;1,(($U61/$L61)*((1+Inputs!$D$7)^AL$2)),((INT(AL$2/$L61)-INT((AL$2-1)/$L61))*$U61*((1+Inputs!$D$7)^AL$2))),(_xlfn.WEIBULL.DIST(AL$2,$M61,$L61,FALSE)*$U61*((1+Inputs!$D$7)^AL$2))),IF($N61=Lists!$K$3,IF($L61&lt;1,((($T61*(1-$F61)+$S61*(1-$G61))/$L61)*((1+Inputs!$D$7)^AL$2)),((INT(AL$2/$L61)-INT((AL$2-1)/$L61))*($T61*(1-$F61)+$S61*(1-$G61))*((1+Inputs!$D$7)^AL$2))),((_xlfn.WEIBULL.DIST(AL$2,$M61,$L61,FALSE)*($T61*(1-$F61)+$S61*(1-$G61))*((1+Inputs!$D$7)^AL$2))))))</f>
        <v>0</v>
      </c>
      <c r="AM61" s="88">
        <f>$E61*IF(AM$2&gt;Inputs!$D$5,0,IF(AM$2&gt;VLOOKUP($H61,Lists!$P$3:$Q$7,2),IF($N61=Lists!$K$3,IF($L61&lt;1,(($U61/$L61)*((1+Inputs!$D$7)^AM$2)),((INT(AM$2/$L61)-INT((AM$2-1)/$L61))*$U61*((1+Inputs!$D$7)^AM$2))),(_xlfn.WEIBULL.DIST(AM$2,$M61,$L61,FALSE)*$U61*((1+Inputs!$D$7)^AM$2))),IF($N61=Lists!$K$3,IF($L61&lt;1,((($T61*(1-$F61)+$S61*(1-$G61))/$L61)*((1+Inputs!$D$7)^AM$2)),((INT(AM$2/$L61)-INT((AM$2-1)/$L61))*($T61*(1-$F61)+$S61*(1-$G61))*((1+Inputs!$D$7)^AM$2))),((_xlfn.WEIBULL.DIST(AM$2,$M61,$L61,FALSE)*($T61*(1-$F61)+$S61*(1-$G61))*((1+Inputs!$D$7)^AM$2))))))</f>
        <v>0</v>
      </c>
      <c r="AN61" s="88">
        <f>$E61*IF(AN$2&gt;Inputs!$D$5,0,IF(AN$2&gt;VLOOKUP($H61,Lists!$P$3:$Q$7,2),IF($N61=Lists!$K$3,IF($L61&lt;1,(($U61/$L61)*((1+Inputs!$D$7)^AN$2)),((INT(AN$2/$L61)-INT((AN$2-1)/$L61))*$U61*((1+Inputs!$D$7)^AN$2))),(_xlfn.WEIBULL.DIST(AN$2,$M61,$L61,FALSE)*$U61*((1+Inputs!$D$7)^AN$2))),IF($N61=Lists!$K$3,IF($L61&lt;1,((($T61*(1-$F61)+$S61*(1-$G61))/$L61)*((1+Inputs!$D$7)^AN$2)),((INT(AN$2/$L61)-INT((AN$2-1)/$L61))*($T61*(1-$F61)+$S61*(1-$G61))*((1+Inputs!$D$7)^AN$2))),((_xlfn.WEIBULL.DIST(AN$2,$M61,$L61,FALSE)*($T61*(1-$F61)+$S61*(1-$G61))*((1+Inputs!$D$7)^AN$2))))))</f>
        <v>0</v>
      </c>
      <c r="AO61" s="88">
        <f>$E61*IF(AO$2&gt;Inputs!$D$5,0,IF(AO$2&gt;VLOOKUP($H61,Lists!$P$3:$Q$7,2),IF($N61=Lists!$K$3,IF($L61&lt;1,(($U61/$L61)*((1+Inputs!$D$7)^AO$2)),((INT(AO$2/$L61)-INT((AO$2-1)/$L61))*$U61*((1+Inputs!$D$7)^AO$2))),(_xlfn.WEIBULL.DIST(AO$2,$M61,$L61,FALSE)*$U61*((1+Inputs!$D$7)^AO$2))),IF($N61=Lists!$K$3,IF($L61&lt;1,((($T61*(1-$F61)+$S61*(1-$G61))/$L61)*((1+Inputs!$D$7)^AO$2)),((INT(AO$2/$L61)-INT((AO$2-1)/$L61))*($T61*(1-$F61)+$S61*(1-$G61))*((1+Inputs!$D$7)^AO$2))),((_xlfn.WEIBULL.DIST(AO$2,$M61,$L61,FALSE)*($T61*(1-$F61)+$S61*(1-$G61))*((1+Inputs!$D$7)^AO$2))))))</f>
        <v>0</v>
      </c>
      <c r="AP61" s="88">
        <f>$E61*IF(AP$2&gt;Inputs!$D$5,0,IF(AP$2&gt;VLOOKUP($H61,Lists!$P$3:$Q$7,2),IF($N61=Lists!$K$3,IF($L61&lt;1,(($U61/$L61)*((1+Inputs!$D$7)^AP$2)),((INT(AP$2/$L61)-INT((AP$2-1)/$L61))*$U61*((1+Inputs!$D$7)^AP$2))),(_xlfn.WEIBULL.DIST(AP$2,$M61,$L61,FALSE)*$U61*((1+Inputs!$D$7)^AP$2))),IF($N61=Lists!$K$3,IF($L61&lt;1,((($T61*(1-$F61)+$S61*(1-$G61))/$L61)*((1+Inputs!$D$7)^AP$2)),((INT(AP$2/$L61)-INT((AP$2-1)/$L61))*($T61*(1-$F61)+$S61*(1-$G61))*((1+Inputs!$D$7)^AP$2))),((_xlfn.WEIBULL.DIST(AP$2,$M61,$L61,FALSE)*($T61*(1-$F61)+$S61*(1-$G61))*((1+Inputs!$D$7)^AP$2))))))</f>
        <v>0</v>
      </c>
      <c r="AQ61" s="88">
        <f>$E61*IF(AQ$2&gt;Inputs!$D$5,0,IF(AQ$2&gt;VLOOKUP($H61,Lists!$P$3:$Q$7,2),IF($N61=Lists!$K$3,IF($L61&lt;1,(($U61/$L61)*((1+Inputs!$D$7)^AQ$2)),((INT(AQ$2/$L61)-INT((AQ$2-1)/$L61))*$U61*((1+Inputs!$D$7)^AQ$2))),(_xlfn.WEIBULL.DIST(AQ$2,$M61,$L61,FALSE)*$U61*((1+Inputs!$D$7)^AQ$2))),IF($N61=Lists!$K$3,IF($L61&lt;1,((($T61*(1-$F61)+$S61*(1-$G61))/$L61)*((1+Inputs!$D$7)^AQ$2)),((INT(AQ$2/$L61)-INT((AQ$2-1)/$L61))*($T61*(1-$F61)+$S61*(1-$G61))*((1+Inputs!$D$7)^AQ$2))),((_xlfn.WEIBULL.DIST(AQ$2,$M61,$L61,FALSE)*($T61*(1-$F61)+$S61*(1-$G61))*((1+Inputs!$D$7)^AQ$2))))))</f>
        <v>0</v>
      </c>
      <c r="AR61" s="88">
        <f>$E61*IF(AR$2&gt;Inputs!$D$5,0,IF(AR$2&gt;VLOOKUP($H61,Lists!$P$3:$Q$7,2),IF($N61=Lists!$K$3,IF($L61&lt;1,(($U61/$L61)*((1+Inputs!$D$7)^AR$2)),((INT(AR$2/$L61)-INT((AR$2-1)/$L61))*$U61*((1+Inputs!$D$7)^AR$2))),(_xlfn.WEIBULL.DIST(AR$2,$M61,$L61,FALSE)*$U61*((1+Inputs!$D$7)^AR$2))),IF($N61=Lists!$K$3,IF($L61&lt;1,((($T61*(1-$F61)+$S61*(1-$G61))/$L61)*((1+Inputs!$D$7)^AR$2)),((INT(AR$2/$L61)-INT((AR$2-1)/$L61))*($T61*(1-$F61)+$S61*(1-$G61))*((1+Inputs!$D$7)^AR$2))),((_xlfn.WEIBULL.DIST(AR$2,$M61,$L61,FALSE)*($T61*(1-$F61)+$S61*(1-$G61))*((1+Inputs!$D$7)^AR$2))))))</f>
        <v>0</v>
      </c>
      <c r="AS61" s="88">
        <f>$E61*IF(AS$2&gt;Inputs!$D$5,0,IF(AS$2&gt;VLOOKUP($H61,Lists!$P$3:$Q$7,2),IF($N61=Lists!$K$3,IF($L61&lt;1,(($U61/$L61)*((1+Inputs!$D$7)^AS$2)),((INT(AS$2/$L61)-INT((AS$2-1)/$L61))*$U61*((1+Inputs!$D$7)^AS$2))),(_xlfn.WEIBULL.DIST(AS$2,$M61,$L61,FALSE)*$U61*((1+Inputs!$D$7)^AS$2))),IF($N61=Lists!$K$3,IF($L61&lt;1,((($T61*(1-$F61)+$S61*(1-$G61))/$L61)*((1+Inputs!$D$7)^AS$2)),((INT(AS$2/$L61)-INT((AS$2-1)/$L61))*($T61*(1-$F61)+$S61*(1-$G61))*((1+Inputs!$D$7)^AS$2))),((_xlfn.WEIBULL.DIST(AS$2,$M61,$L61,FALSE)*($T61*(1-$F61)+$S61*(1-$G61))*((1+Inputs!$D$7)^AS$2))))))</f>
        <v>0</v>
      </c>
      <c r="AT61" s="88">
        <f>$E61*IF(AT$2&gt;Inputs!$D$5,0,IF(AT$2&gt;VLOOKUP($H61,Lists!$P$3:$Q$7,2),IF($N61=Lists!$K$3,IF($L61&lt;1,(($U61/$L61)*((1+Inputs!$D$7)^AT$2)),((INT(AT$2/$L61)-INT((AT$2-1)/$L61))*$U61*((1+Inputs!$D$7)^AT$2))),(_xlfn.WEIBULL.DIST(AT$2,$M61,$L61,FALSE)*$U61*((1+Inputs!$D$7)^AT$2))),IF($N61=Lists!$K$3,IF($L61&lt;1,((($T61*(1-$F61)+$S61*(1-$G61))/$L61)*((1+Inputs!$D$7)^AT$2)),((INT(AT$2/$L61)-INT((AT$2-1)/$L61))*($T61*(1-$F61)+$S61*(1-$G61))*((1+Inputs!$D$7)^AT$2))),((_xlfn.WEIBULL.DIST(AT$2,$M61,$L61,FALSE)*($T61*(1-$F61)+$S61*(1-$G61))*((1+Inputs!$D$7)^AT$2))))))</f>
        <v>0</v>
      </c>
      <c r="AU61" s="88">
        <f>$E61*IF(AU$2&gt;Inputs!$D$5,0,IF(AU$2&gt;VLOOKUP($H61,Lists!$P$3:$Q$7,2),IF($N61=Lists!$K$3,IF($L61&lt;1,(($U61/$L61)*((1+Inputs!$D$7)^AU$2)),((INT(AU$2/$L61)-INT((AU$2-1)/$L61))*$U61*((1+Inputs!$D$7)^AU$2))),(_xlfn.WEIBULL.DIST(AU$2,$M61,$L61,FALSE)*$U61*((1+Inputs!$D$7)^AU$2))),IF($N61=Lists!$K$3,IF($L61&lt;1,((($T61*(1-$F61)+$S61*(1-$G61))/$L61)*((1+Inputs!$D$7)^AU$2)),((INT(AU$2/$L61)-INT((AU$2-1)/$L61))*($T61*(1-$F61)+$S61*(1-$G61))*((1+Inputs!$D$7)^AU$2))),((_xlfn.WEIBULL.DIST(AU$2,$M61,$L61,FALSE)*($T61*(1-$F61)+$S61*(1-$G61))*((1+Inputs!$D$7)^AU$2))))))</f>
        <v>0</v>
      </c>
      <c r="AV61" s="88">
        <f>$E61*IF(AV$2&gt;Inputs!$D$5,0,IF(AV$2&gt;VLOOKUP($H61,Lists!$P$3:$Q$7,2),IF($N61=Lists!$K$3,IF($L61&lt;1,(($U61/$L61)*((1+Inputs!$D$7)^AV$2)),((INT(AV$2/$L61)-INT((AV$2-1)/$L61))*$U61*((1+Inputs!$D$7)^AV$2))),(_xlfn.WEIBULL.DIST(AV$2,$M61,$L61,FALSE)*$U61*((1+Inputs!$D$7)^AV$2))),IF($N61=Lists!$K$3,IF($L61&lt;1,((($T61*(1-$F61)+$S61*(1-$G61))/$L61)*((1+Inputs!$D$7)^AV$2)),((INT(AV$2/$L61)-INT((AV$2-1)/$L61))*($T61*(1-$F61)+$S61*(1-$G61))*((1+Inputs!$D$7)^AV$2))),((_xlfn.WEIBULL.DIST(AV$2,$M61,$L61,FALSE)*($T61*(1-$F61)+$S61*(1-$G61))*((1+Inputs!$D$7)^AV$2))))))</f>
        <v>0</v>
      </c>
      <c r="AW61" s="88">
        <f>$E61*IF(AW$2&gt;Inputs!$D$5,0,IF(AW$2&gt;VLOOKUP($H61,Lists!$P$3:$Q$7,2),IF($N61=Lists!$K$3,IF($L61&lt;1,(($U61/$L61)*((1+Inputs!$D$7)^AW$2)),((INT(AW$2/$L61)-INT((AW$2-1)/$L61))*$U61*((1+Inputs!$D$7)^AW$2))),(_xlfn.WEIBULL.DIST(AW$2,$M61,$L61,FALSE)*$U61*((1+Inputs!$D$7)^AW$2))),IF($N61=Lists!$K$3,IF($L61&lt;1,((($T61*(1-$F61)+$S61*(1-$G61))/$L61)*((1+Inputs!$D$7)^AW$2)),((INT(AW$2/$L61)-INT((AW$2-1)/$L61))*($T61*(1-$F61)+$S61*(1-$G61))*((1+Inputs!$D$7)^AW$2))),((_xlfn.WEIBULL.DIST(AW$2,$M61,$L61,FALSE)*($T61*(1-$F61)+$S61*(1-$G61))*((1+Inputs!$D$7)^AW$2))))))</f>
        <v>0</v>
      </c>
      <c r="AX61" s="88">
        <f>$E61*IF(AX$2&gt;Inputs!$D$5,0,IF(AX$2&gt;VLOOKUP($H61,Lists!$P$3:$Q$7,2),IF($N61=Lists!$K$3,IF($L61&lt;1,(($U61/$L61)*((1+Inputs!$D$7)^AX$2)),((INT(AX$2/$L61)-INT((AX$2-1)/$L61))*$U61*((1+Inputs!$D$7)^AX$2))),(_xlfn.WEIBULL.DIST(AX$2,$M61,$L61,FALSE)*$U61*((1+Inputs!$D$7)^AX$2))),IF($N61=Lists!$K$3,IF($L61&lt;1,((($T61*(1-$F61)+$S61*(1-$G61))/$L61)*((1+Inputs!$D$7)^AX$2)),((INT(AX$2/$L61)-INT((AX$2-1)/$L61))*($T61*(1-$F61)+$S61*(1-$G61))*((1+Inputs!$D$7)^AX$2))),((_xlfn.WEIBULL.DIST(AX$2,$M61,$L61,FALSE)*($T61*(1-$F61)+$S61*(1-$G61))*((1+Inputs!$D$7)^AX$2))))))</f>
        <v>0</v>
      </c>
      <c r="AY61" s="88">
        <f>$E61*IF(AY$2&gt;Inputs!$D$5,0,IF(AY$2&gt;VLOOKUP($H61,Lists!$P$3:$Q$7,2),IF($N61=Lists!$K$3,IF($L61&lt;1,(($U61/$L61)*((1+Inputs!$D$7)^AY$2)),((INT(AY$2/$L61)-INT((AY$2-1)/$L61))*$U61*((1+Inputs!$D$7)^AY$2))),(_xlfn.WEIBULL.DIST(AY$2,$M61,$L61,FALSE)*$U61*((1+Inputs!$D$7)^AY$2))),IF($N61=Lists!$K$3,IF($L61&lt;1,((($T61*(1-$F61)+$S61*(1-$G61))/$L61)*((1+Inputs!$D$7)^AY$2)),((INT(AY$2/$L61)-INT((AY$2-1)/$L61))*($T61*(1-$F61)+$S61*(1-$G61))*((1+Inputs!$D$7)^AY$2))),((_xlfn.WEIBULL.DIST(AY$2,$M61,$L61,FALSE)*($T61*(1-$F61)+$S61*(1-$G61))*((1+Inputs!$D$7)^AY$2))))))</f>
        <v>0</v>
      </c>
      <c r="AZ61" s="88">
        <f>$E61*IF(AZ$2&gt;Inputs!$D$5,0,IF(AZ$2&gt;VLOOKUP($H61,Lists!$P$3:$Q$7,2),IF($N61=Lists!$K$3,IF($L61&lt;1,(($U61/$L61)*((1+Inputs!$D$7)^AZ$2)),((INT(AZ$2/$L61)-INT((AZ$2-1)/$L61))*$U61*((1+Inputs!$D$7)^AZ$2))),(_xlfn.WEIBULL.DIST(AZ$2,$M61,$L61,FALSE)*$U61*((1+Inputs!$D$7)^AZ$2))),IF($N61=Lists!$K$3,IF($L61&lt;1,((($T61*(1-$F61)+$S61*(1-$G61))/$L61)*((1+Inputs!$D$7)^AZ$2)),((INT(AZ$2/$L61)-INT((AZ$2-1)/$L61))*($T61*(1-$F61)+$S61*(1-$G61))*((1+Inputs!$D$7)^AZ$2))),((_xlfn.WEIBULL.DIST(AZ$2,$M61,$L61,FALSE)*($T61*(1-$F61)+$S61*(1-$G61))*((1+Inputs!$D$7)^AZ$2))))))</f>
        <v>0</v>
      </c>
      <c r="BA61" s="88">
        <f>$E61*IF(BA$2&gt;Inputs!$D$5,0,IF(BA$2&gt;VLOOKUP($H61,Lists!$P$3:$Q$7,2),IF($N61=Lists!$K$3,IF($L61&lt;1,(($U61/$L61)*((1+Inputs!$D$7)^BA$2)),((INT(BA$2/$L61)-INT((BA$2-1)/$L61))*$U61*((1+Inputs!$D$7)^BA$2))),(_xlfn.WEIBULL.DIST(BA$2,$M61,$L61,FALSE)*$U61*((1+Inputs!$D$7)^BA$2))),IF($N61=Lists!$K$3,IF($L61&lt;1,((($T61*(1-$F61)+$S61*(1-$G61))/$L61)*((1+Inputs!$D$7)^BA$2)),((INT(BA$2/$L61)-INT((BA$2-1)/$L61))*($T61*(1-$F61)+$S61*(1-$G61))*((1+Inputs!$D$7)^BA$2))),((_xlfn.WEIBULL.DIST(BA$2,$M61,$L61,FALSE)*($T61*(1-$F61)+$S61*(1-$G61))*((1+Inputs!$D$7)^BA$2))))))</f>
        <v>0</v>
      </c>
      <c r="BB61" s="88">
        <f>$E61*IF(BB$2&gt;Inputs!$D$5,0,IF(BB$2&gt;VLOOKUP($H61,Lists!$P$3:$Q$7,2),IF($N61=Lists!$K$3,IF($L61&lt;1,(($U61/$L61)*((1+Inputs!$D$7)^BB$2)),((INT(BB$2/$L61)-INT((BB$2-1)/$L61))*$U61*((1+Inputs!$D$7)^BB$2))),(_xlfn.WEIBULL.DIST(BB$2,$M61,$L61,FALSE)*$U61*((1+Inputs!$D$7)^BB$2))),IF($N61=Lists!$K$3,IF($L61&lt;1,((($T61*(1-$F61)+$S61*(1-$G61))/$L61)*((1+Inputs!$D$7)^BB$2)),((INT(BB$2/$L61)-INT((BB$2-1)/$L61))*($T61*(1-$F61)+$S61*(1-$G61))*((1+Inputs!$D$7)^BB$2))),((_xlfn.WEIBULL.DIST(BB$2,$M61,$L61,FALSE)*($T61*(1-$F61)+$S61*(1-$G61))*((1+Inputs!$D$7)^BB$2))))))</f>
        <v>0</v>
      </c>
      <c r="BC61" s="88">
        <f>$E61*IF(BC$2&gt;Inputs!$D$5,0,IF(BC$2&gt;VLOOKUP($H61,Lists!$P$3:$Q$7,2),IF($N61=Lists!$K$3,IF($L61&lt;1,(($U61/$L61)*((1+Inputs!$D$7)^BC$2)),((INT(BC$2/$L61)-INT((BC$2-1)/$L61))*$U61*((1+Inputs!$D$7)^BC$2))),(_xlfn.WEIBULL.DIST(BC$2,$M61,$L61,FALSE)*$U61*((1+Inputs!$D$7)^BC$2))),IF($N61=Lists!$K$3,IF($L61&lt;1,((($T61*(1-$F61)+$S61*(1-$G61))/$L61)*((1+Inputs!$D$7)^BC$2)),((INT(BC$2/$L61)-INT((BC$2-1)/$L61))*($T61*(1-$F61)+$S61*(1-$G61))*((1+Inputs!$D$7)^BC$2))),((_xlfn.WEIBULL.DIST(BC$2,$M61,$L61,FALSE)*($T61*(1-$F61)+$S61*(1-$G61))*((1+Inputs!$D$7)^BC$2))))))</f>
        <v>0</v>
      </c>
      <c r="BD61" s="88">
        <f>$E61*IF(BD$2&gt;Inputs!$D$5,0,IF(BD$2&gt;VLOOKUP($H61,Lists!$P$3:$Q$7,2),IF($N61=Lists!$K$3,IF($L61&lt;1,(($U61/$L61)*((1+Inputs!$D$7)^BD$2)),((INT(BD$2/$L61)-INT((BD$2-1)/$L61))*$U61*((1+Inputs!$D$7)^BD$2))),(_xlfn.WEIBULL.DIST(BD$2,$M61,$L61,FALSE)*$U61*((1+Inputs!$D$7)^BD$2))),IF($N61=Lists!$K$3,IF($L61&lt;1,((($T61*(1-$F61)+$S61*(1-$G61))/$L61)*((1+Inputs!$D$7)^BD$2)),((INT(BD$2/$L61)-INT((BD$2-1)/$L61))*($T61*(1-$F61)+$S61*(1-$G61))*((1+Inputs!$D$7)^BD$2))),((_xlfn.WEIBULL.DIST(BD$2,$M61,$L61,FALSE)*($T61*(1-$F61)+$S61*(1-$G61))*((1+Inputs!$D$7)^BD$2))))))</f>
        <v>0</v>
      </c>
      <c r="BE61" s="88">
        <f>$E61*IF(BE$2&gt;Inputs!$D$5,0,IF(BE$2&gt;VLOOKUP($H61,Lists!$P$3:$Q$7,2),IF($N61=Lists!$K$3,IF($L61&lt;1,(($U61/$L61)*((1+Inputs!$D$7)^BE$2)),((INT(BE$2/$L61)-INT((BE$2-1)/$L61))*$U61*((1+Inputs!$D$7)^BE$2))),(_xlfn.WEIBULL.DIST(BE$2,$M61,$L61,FALSE)*$U61*((1+Inputs!$D$7)^BE$2))),IF($N61=Lists!$K$3,IF($L61&lt;1,((($T61*(1-$F61)+$S61*(1-$G61))/$L61)*((1+Inputs!$D$7)^BE$2)),((INT(BE$2/$L61)-INT((BE$2-1)/$L61))*($T61*(1-$F61)+$S61*(1-$G61))*((1+Inputs!$D$7)^BE$2))),((_xlfn.WEIBULL.DIST(BE$2,$M61,$L61,FALSE)*($T61*(1-$F61)+$S61*(1-$G61))*((1+Inputs!$D$7)^BE$2))))))</f>
        <v>0</v>
      </c>
      <c r="BF61" s="88">
        <f>$E61*IF(BF$2&gt;Inputs!$D$5,0,IF(BF$2&gt;VLOOKUP($H61,Lists!$P$3:$Q$7,2),IF($N61=Lists!$K$3,IF($L61&lt;1,(($U61/$L61)*((1+Inputs!$D$7)^BF$2)),((INT(BF$2/$L61)-INT((BF$2-1)/$L61))*$U61*((1+Inputs!$D$7)^BF$2))),(_xlfn.WEIBULL.DIST(BF$2,$M61,$L61,FALSE)*$U61*((1+Inputs!$D$7)^BF$2))),IF($N61=Lists!$K$3,IF($L61&lt;1,((($T61*(1-$F61)+$S61*(1-$G61))/$L61)*((1+Inputs!$D$7)^BF$2)),((INT(BF$2/$L61)-INT((BF$2-1)/$L61))*($T61*(1-$F61)+$S61*(1-$G61))*((1+Inputs!$D$7)^BF$2))),((_xlfn.WEIBULL.DIST(BF$2,$M61,$L61,FALSE)*($T61*(1-$F61)+$S61*(1-$G61))*((1+Inputs!$D$7)^BF$2))))))</f>
        <v>0</v>
      </c>
      <c r="BG61" s="88">
        <f>$E61*IF(BG$2&gt;Inputs!$D$5,0,IF(BG$2&gt;VLOOKUP($H61,Lists!$P$3:$Q$7,2),IF($N61=Lists!$K$3,IF($L61&lt;1,(($U61/$L61)*((1+Inputs!$D$7)^BG$2)),((INT(BG$2/$L61)-INT((BG$2-1)/$L61))*$U61*((1+Inputs!$D$7)^BG$2))),(_xlfn.WEIBULL.DIST(BG$2,$M61,$L61,FALSE)*$U61*((1+Inputs!$D$7)^BG$2))),IF($N61=Lists!$K$3,IF($L61&lt;1,((($T61*(1-$F61)+$S61*(1-$G61))/$L61)*((1+Inputs!$D$7)^BG$2)),((INT(BG$2/$L61)-INT((BG$2-1)/$L61))*($T61*(1-$F61)+$S61*(1-$G61))*((1+Inputs!$D$7)^BG$2))),((_xlfn.WEIBULL.DIST(BG$2,$M61,$L61,FALSE)*($T61*(1-$F61)+$S61*(1-$G61))*((1+Inputs!$D$7)^BG$2))))))</f>
        <v>0</v>
      </c>
      <c r="BH61" s="88">
        <f>$E61*IF(BH$2&gt;Inputs!$D$5,0,IF(BH$2&gt;VLOOKUP($H61,Lists!$P$3:$Q$7,2),IF($N61=Lists!$K$3,IF($L61&lt;1,(($U61/$L61)*((1+Inputs!$D$7)^BH$2)),((INT(BH$2/$L61)-INT((BH$2-1)/$L61))*$U61*((1+Inputs!$D$7)^BH$2))),(_xlfn.WEIBULL.DIST(BH$2,$M61,$L61,FALSE)*$U61*((1+Inputs!$D$7)^BH$2))),IF($N61=Lists!$K$3,IF($L61&lt;1,((($T61*(1-$F61)+$S61*(1-$G61))/$L61)*((1+Inputs!$D$7)^BH$2)),((INT(BH$2/$L61)-INT((BH$2-1)/$L61))*($T61*(1-$F61)+$S61*(1-$G61))*((1+Inputs!$D$7)^BH$2))),((_xlfn.WEIBULL.DIST(BH$2,$M61,$L61,FALSE)*($T61*(1-$F61)+$S61*(1-$G61))*((1+Inputs!$D$7)^BH$2))))))</f>
        <v>0</v>
      </c>
      <c r="BI61" s="88">
        <f>$E61*IF(BI$2&gt;Inputs!$D$5,0,IF(BI$2&gt;VLOOKUP($H61,Lists!$P$3:$Q$7,2),IF($N61=Lists!$K$3,IF($L61&lt;1,(($U61/$L61)*((1+Inputs!$D$7)^BI$2)),((INT(BI$2/$L61)-INT((BI$2-1)/$L61))*$U61*((1+Inputs!$D$7)^BI$2))),(_xlfn.WEIBULL.DIST(BI$2,$M61,$L61,FALSE)*$U61*((1+Inputs!$D$7)^BI$2))),IF($N61=Lists!$K$3,IF($L61&lt;1,((($T61*(1-$F61)+$S61*(1-$G61))/$L61)*((1+Inputs!$D$7)^BI$2)),((INT(BI$2/$L61)-INT((BI$2-1)/$L61))*($T61*(1-$F61)+$S61*(1-$G61))*((1+Inputs!$D$7)^BI$2))),((_xlfn.WEIBULL.DIST(BI$2,$M61,$L61,FALSE)*($T61*(1-$F61)+$S61*(1-$G61))*((1+Inputs!$D$7)^BI$2))))))</f>
        <v>0</v>
      </c>
      <c r="BJ61" s="88">
        <f>$E61*IF(BJ$2&gt;Inputs!$D$5,0,IF(BJ$2&gt;VLOOKUP($H61,Lists!$P$3:$Q$7,2),IF($N61=Lists!$K$3,IF($L61&lt;1,(($U61/$L61)*((1+Inputs!$D$7)^BJ$2)),((INT(BJ$2/$L61)-INT((BJ$2-1)/$L61))*$U61*((1+Inputs!$D$7)^BJ$2))),(_xlfn.WEIBULL.DIST(BJ$2,$M61,$L61,FALSE)*$U61*((1+Inputs!$D$7)^BJ$2))),IF($N61=Lists!$K$3,IF($L61&lt;1,((($T61*(1-$F61)+$S61*(1-$G61))/$L61)*((1+Inputs!$D$7)^BJ$2)),((INT(BJ$2/$L61)-INT((BJ$2-1)/$L61))*($T61*(1-$F61)+$S61*(1-$G61))*((1+Inputs!$D$7)^BJ$2))),((_xlfn.WEIBULL.DIST(BJ$2,$M61,$L61,FALSE)*($T61*(1-$F61)+$S61*(1-$G61))*((1+Inputs!$D$7)^BJ$2))))))</f>
        <v>0</v>
      </c>
      <c r="BK61" s="88">
        <f>$E61*IF(BK$2&gt;Inputs!$D$5,0,IF(BK$2&gt;VLOOKUP($H61,Lists!$P$3:$Q$7,2),IF($N61=Lists!$K$3,IF($L61&lt;1,(($U61/$L61)*((1+Inputs!$D$7)^BK$2)),((INT(BK$2/$L61)-INT((BK$2-1)/$L61))*$U61*((1+Inputs!$D$7)^BK$2))),(_xlfn.WEIBULL.DIST(BK$2,$M61,$L61,FALSE)*$U61*((1+Inputs!$D$7)^BK$2))),IF($N61=Lists!$K$3,IF($L61&lt;1,((($T61*(1-$F61)+$S61*(1-$G61))/$L61)*((1+Inputs!$D$7)^BK$2)),((INT(BK$2/$L61)-INT((BK$2-1)/$L61))*($T61*(1-$F61)+$S61*(1-$G61))*((1+Inputs!$D$7)^BK$2))),((_xlfn.WEIBULL.DIST(BK$2,$M61,$L61,FALSE)*($T61*(1-$F61)+$S61*(1-$G61))*((1+Inputs!$D$7)^BK$2))))))</f>
        <v>0</v>
      </c>
      <c r="BL61" s="88">
        <f>$E61*IF(BL$2&gt;Inputs!$D$5,0,IF(BL$2&gt;VLOOKUP($H61,Lists!$P$3:$Q$7,2),IF($N61=Lists!$K$3,IF($L61&lt;1,(($U61/$L61)*((1+Inputs!$D$7)^BL$2)),((INT(BL$2/$L61)-INT((BL$2-1)/$L61))*$U61*((1+Inputs!$D$7)^BL$2))),(_xlfn.WEIBULL.DIST(BL$2,$M61,$L61,FALSE)*$U61*((1+Inputs!$D$7)^BL$2))),IF($N61=Lists!$K$3,IF($L61&lt;1,((($T61*(1-$F61)+$S61*(1-$G61))/$L61)*((1+Inputs!$D$7)^BL$2)),((INT(BL$2/$L61)-INT((BL$2-1)/$L61))*($T61*(1-$F61)+$S61*(1-$G61))*((1+Inputs!$D$7)^BL$2))),((_xlfn.WEIBULL.DIST(BL$2,$M61,$L61,FALSE)*($T61*(1-$F61)+$S61*(1-$G61))*((1+Inputs!$D$7)^BL$2))))))</f>
        <v>0</v>
      </c>
      <c r="BM61" s="88">
        <f>$E61*IF(BM$2&gt;Inputs!$D$5,0,IF(BM$2&gt;VLOOKUP($H61,Lists!$P$3:$Q$7,2),IF($N61=Lists!$K$3,IF($L61&lt;1,(($U61/$L61)*((1+Inputs!$D$7)^BM$2)),((INT(BM$2/$L61)-INT((BM$2-1)/$L61))*$U61*((1+Inputs!$D$7)^BM$2))),(_xlfn.WEIBULL.DIST(BM$2,$M61,$L61,FALSE)*$U61*((1+Inputs!$D$7)^BM$2))),IF($N61=Lists!$K$3,IF($L61&lt;1,((($T61*(1-$F61)+$S61*(1-$G61))/$L61)*((1+Inputs!$D$7)^BM$2)),((INT(BM$2/$L61)-INT((BM$2-1)/$L61))*($T61*(1-$F61)+$S61*(1-$G61))*((1+Inputs!$D$7)^BM$2))),((_xlfn.WEIBULL.DIST(BM$2,$M61,$L61,FALSE)*($T61*(1-$F61)+$S61*(1-$G61))*((1+Inputs!$D$7)^BM$2))))))</f>
        <v>0</v>
      </c>
      <c r="BN61" s="88">
        <f>$E61*IF(BN$2&gt;Inputs!$D$5,0,IF(BN$2&gt;VLOOKUP($H61,Lists!$P$3:$Q$7,2),IF($N61=Lists!$K$3,IF($L61&lt;1,(($U61/$L61)*((1+Inputs!$D$7)^BN$2)),((INT(BN$2/$L61)-INT((BN$2-1)/$L61))*$U61*((1+Inputs!$D$7)^BN$2))),(_xlfn.WEIBULL.DIST(BN$2,$M61,$L61,FALSE)*$U61*((1+Inputs!$D$7)^BN$2))),IF($N61=Lists!$K$3,IF($L61&lt;1,((($T61*(1-$F61)+$S61*(1-$G61))/$L61)*((1+Inputs!$D$7)^BN$2)),((INT(BN$2/$L61)-INT((BN$2-1)/$L61))*($T61*(1-$F61)+$S61*(1-$G61))*((1+Inputs!$D$7)^BN$2))),((_xlfn.WEIBULL.DIST(BN$2,$M61,$L61,FALSE)*($T61*(1-$F61)+$S61*(1-$G61))*((1+Inputs!$D$7)^BN$2))))))</f>
        <v>0</v>
      </c>
      <c r="BO61" s="64">
        <f>NPV(Inputs!$D$6,BQ61:DD61)</f>
        <v>0</v>
      </c>
      <c r="BP61" s="67">
        <f t="shared" si="13"/>
        <v>0</v>
      </c>
      <c r="BQ61" s="88">
        <f>MAX(AA61,($E61*IF(BQ$2&gt;Inputs!$D$5,0,IF(BQ$2&gt;VLOOKUP($H61,Lists!$P$3:$Q$7,2),IF($N61=Lists!$K$3,IF($L61&lt;1,(($U61/$L61)*((1+Inputs!$D$7)^BQ$2)),((INT(BQ$2/$L61)-INT((BQ$2-1)/$L61))*$U61*((1+Inputs!$D$7)^BQ$2))),(Inputs!$D$8^((1-_xlfn.WEIBULL.DIST(BQ$2,$M61,$L61,FALSE))/_xlfn.WEIBULL.DIST(BQ$2,$M61,$L61,FALSE))*$U61*((1+Inputs!$D$7)^BQ$2))),IF($N61=Lists!$K$3,IF($L61&lt;1,((($T61*(1-$F61)+$S61*(1-$G61))/$L61)*((1+Inputs!$D$7)^BQ$2)),((INT(BQ$2/$L61)-INT((BQ$2-1)/$L61))*($T61*(1-$F61)+$S61*(1-$G61))*((1+Inputs!$D$7)^BQ$2))),((Inputs!$D$8^((1-_xlfn.WEIBULL.DIST(BQ$2,$M61,$L61,FALSE))/_xlfn.WEIBULL.DIST(BQ$2,$M61,$L61,FALSE))*($T61*(1-$F61)+$S61*(1-$G61))*((1+Inputs!$D$7)^BQ$2))))))))</f>
        <v>0</v>
      </c>
      <c r="BR61" s="88">
        <f>MAX(AB61,($E61*IF(BR$2&gt;Inputs!$D$5,0,IF(BR$2&gt;VLOOKUP($H61,Lists!$P$3:$Q$7,2),IF($N61=Lists!$K$3,IF($L61&lt;1,(($U61/$L61)*((1+Inputs!$D$7)^BR$2)),((INT(BR$2/$L61)-INT((BR$2-1)/$L61))*$U61*((1+Inputs!$D$7)^BR$2))),(Inputs!$D$8^((1-_xlfn.WEIBULL.DIST(BR$2,$M61,$L61,FALSE))/_xlfn.WEIBULL.DIST(BR$2,$M61,$L61,FALSE))*$U61*((1+Inputs!$D$7)^BR$2))),IF($N61=Lists!$K$3,IF($L61&lt;1,((($T61*(1-$F61)+$S61*(1-$G61))/$L61)*((1+Inputs!$D$7)^BR$2)),((INT(BR$2/$L61)-INT((BR$2-1)/$L61))*($T61*(1-$F61)+$S61*(1-$G61))*((1+Inputs!$D$7)^BR$2))),((Inputs!$D$8^((1-_xlfn.WEIBULL.DIST(BR$2,$M61,$L61,FALSE))/_xlfn.WEIBULL.DIST(BR$2,$M61,$L61,FALSE))*($T61*(1-$F61)+$S61*(1-$G61))*((1+Inputs!$D$7)^BR$2))))))))</f>
        <v>0</v>
      </c>
      <c r="BS61" s="88">
        <f>MAX(AC61,($E61*IF(BS$2&gt;Inputs!$D$5,0,IF(BS$2&gt;VLOOKUP($H61,Lists!$P$3:$Q$7,2),IF($N61=Lists!$K$3,IF($L61&lt;1,(($U61/$L61)*((1+Inputs!$D$7)^BS$2)),((INT(BS$2/$L61)-INT((BS$2-1)/$L61))*$U61*((1+Inputs!$D$7)^BS$2))),(Inputs!$D$8^((1-_xlfn.WEIBULL.DIST(BS$2,$M61,$L61,FALSE))/_xlfn.WEIBULL.DIST(BS$2,$M61,$L61,FALSE))*$U61*((1+Inputs!$D$7)^BS$2))),IF($N61=Lists!$K$3,IF($L61&lt;1,((($T61*(1-$F61)+$S61*(1-$G61))/$L61)*((1+Inputs!$D$7)^BS$2)),((INT(BS$2/$L61)-INT((BS$2-1)/$L61))*($T61*(1-$F61)+$S61*(1-$G61))*((1+Inputs!$D$7)^BS$2))),((Inputs!$D$8^((1-_xlfn.WEIBULL.DIST(BS$2,$M61,$L61,FALSE))/_xlfn.WEIBULL.DIST(BS$2,$M61,$L61,FALSE))*($T61*(1-$F61)+$S61*(1-$G61))*((1+Inputs!$D$7)^BS$2))))))))</f>
        <v>0</v>
      </c>
      <c r="BT61" s="88">
        <f>MAX(AD61,($E61*IF(BT$2&gt;Inputs!$D$5,0,IF(BT$2&gt;VLOOKUP($H61,Lists!$P$3:$Q$7,2),IF($N61=Lists!$K$3,IF($L61&lt;1,(($U61/$L61)*((1+Inputs!$D$7)^BT$2)),((INT(BT$2/$L61)-INT((BT$2-1)/$L61))*$U61*((1+Inputs!$D$7)^BT$2))),(Inputs!$D$8^((1-_xlfn.WEIBULL.DIST(BT$2,$M61,$L61,FALSE))/_xlfn.WEIBULL.DIST(BT$2,$M61,$L61,FALSE))*$U61*((1+Inputs!$D$7)^BT$2))),IF($N61=Lists!$K$3,IF($L61&lt;1,((($T61*(1-$F61)+$S61*(1-$G61))/$L61)*((1+Inputs!$D$7)^BT$2)),((INT(BT$2/$L61)-INT((BT$2-1)/$L61))*($T61*(1-$F61)+$S61*(1-$G61))*((1+Inputs!$D$7)^BT$2))),((Inputs!$D$8^((1-_xlfn.WEIBULL.DIST(BT$2,$M61,$L61,FALSE))/_xlfn.WEIBULL.DIST(BT$2,$M61,$L61,FALSE))*($T61*(1-$F61)+$S61*(1-$G61))*((1+Inputs!$D$7)^BT$2))))))))</f>
        <v>0</v>
      </c>
      <c r="BU61" s="88">
        <f>MAX(AE61,($E61*IF(BU$2&gt;Inputs!$D$5,0,IF(BU$2&gt;VLOOKUP($H61,Lists!$P$3:$Q$7,2),IF($N61=Lists!$K$3,IF($L61&lt;1,(($U61/$L61)*((1+Inputs!$D$7)^BU$2)),((INT(BU$2/$L61)-INT((BU$2-1)/$L61))*$U61*((1+Inputs!$D$7)^BU$2))),(Inputs!$D$8^((1-_xlfn.WEIBULL.DIST(BU$2,$M61,$L61,FALSE))/_xlfn.WEIBULL.DIST(BU$2,$M61,$L61,FALSE))*$U61*((1+Inputs!$D$7)^BU$2))),IF($N61=Lists!$K$3,IF($L61&lt;1,((($T61*(1-$F61)+$S61*(1-$G61))/$L61)*((1+Inputs!$D$7)^BU$2)),((INT(BU$2/$L61)-INT((BU$2-1)/$L61))*($T61*(1-$F61)+$S61*(1-$G61))*((1+Inputs!$D$7)^BU$2))),((Inputs!$D$8^((1-_xlfn.WEIBULL.DIST(BU$2,$M61,$L61,FALSE))/_xlfn.WEIBULL.DIST(BU$2,$M61,$L61,FALSE))*($T61*(1-$F61)+$S61*(1-$G61))*((1+Inputs!$D$7)^BU$2))))))))</f>
        <v>0</v>
      </c>
      <c r="BV61" s="88">
        <f>MAX(AF61,($E61*IF(BV$2&gt;Inputs!$D$5,0,IF(BV$2&gt;VLOOKUP($H61,Lists!$P$3:$Q$7,2),IF($N61=Lists!$K$3,IF($L61&lt;1,(($U61/$L61)*((1+Inputs!$D$7)^BV$2)),((INT(BV$2/$L61)-INT((BV$2-1)/$L61))*$U61*((1+Inputs!$D$7)^BV$2))),(Inputs!$D$8^((1-_xlfn.WEIBULL.DIST(BV$2,$M61,$L61,FALSE))/_xlfn.WEIBULL.DIST(BV$2,$M61,$L61,FALSE))*$U61*((1+Inputs!$D$7)^BV$2))),IF($N61=Lists!$K$3,IF($L61&lt;1,((($T61*(1-$F61)+$S61*(1-$G61))/$L61)*((1+Inputs!$D$7)^BV$2)),((INT(BV$2/$L61)-INT((BV$2-1)/$L61))*($T61*(1-$F61)+$S61*(1-$G61))*((1+Inputs!$D$7)^BV$2))),((Inputs!$D$8^((1-_xlfn.WEIBULL.DIST(BV$2,$M61,$L61,FALSE))/_xlfn.WEIBULL.DIST(BV$2,$M61,$L61,FALSE))*($T61*(1-$F61)+$S61*(1-$G61))*((1+Inputs!$D$7)^BV$2))))))))</f>
        <v>0</v>
      </c>
      <c r="BW61" s="88">
        <f>MAX(AG61,($E61*IF(BW$2&gt;Inputs!$D$5,0,IF(BW$2&gt;VLOOKUP($H61,Lists!$P$3:$Q$7,2),IF($N61=Lists!$K$3,IF($L61&lt;1,(($U61/$L61)*((1+Inputs!$D$7)^BW$2)),((INT(BW$2/$L61)-INT((BW$2-1)/$L61))*$U61*((1+Inputs!$D$7)^BW$2))),(Inputs!$D$8^((1-_xlfn.WEIBULL.DIST(BW$2,$M61,$L61,FALSE))/_xlfn.WEIBULL.DIST(BW$2,$M61,$L61,FALSE))*$U61*((1+Inputs!$D$7)^BW$2))),IF($N61=Lists!$K$3,IF($L61&lt;1,((($T61*(1-$F61)+$S61*(1-$G61))/$L61)*((1+Inputs!$D$7)^BW$2)),((INT(BW$2/$L61)-INT((BW$2-1)/$L61))*($T61*(1-$F61)+$S61*(1-$G61))*((1+Inputs!$D$7)^BW$2))),((Inputs!$D$8^((1-_xlfn.WEIBULL.DIST(BW$2,$M61,$L61,FALSE))/_xlfn.WEIBULL.DIST(BW$2,$M61,$L61,FALSE))*($T61*(1-$F61)+$S61*(1-$G61))*((1+Inputs!$D$7)^BW$2))))))))</f>
        <v>0</v>
      </c>
      <c r="BX61" s="88">
        <f>MAX(AH61,($E61*IF(BX$2&gt;Inputs!$D$5,0,IF(BX$2&gt;VLOOKUP($H61,Lists!$P$3:$Q$7,2),IF($N61=Lists!$K$3,IF($L61&lt;1,(($U61/$L61)*((1+Inputs!$D$7)^BX$2)),((INT(BX$2/$L61)-INT((BX$2-1)/$L61))*$U61*((1+Inputs!$D$7)^BX$2))),(Inputs!$D$8^((1-_xlfn.WEIBULL.DIST(BX$2,$M61,$L61,FALSE))/_xlfn.WEIBULL.DIST(BX$2,$M61,$L61,FALSE))*$U61*((1+Inputs!$D$7)^BX$2))),IF($N61=Lists!$K$3,IF($L61&lt;1,((($T61*(1-$F61)+$S61*(1-$G61))/$L61)*((1+Inputs!$D$7)^BX$2)),((INT(BX$2/$L61)-INT((BX$2-1)/$L61))*($T61*(1-$F61)+$S61*(1-$G61))*((1+Inputs!$D$7)^BX$2))),((Inputs!$D$8^((1-_xlfn.WEIBULL.DIST(BX$2,$M61,$L61,FALSE))/_xlfn.WEIBULL.DIST(BX$2,$M61,$L61,FALSE))*($T61*(1-$F61)+$S61*(1-$G61))*((1+Inputs!$D$7)^BX$2))))))))</f>
        <v>0</v>
      </c>
      <c r="BY61" s="88">
        <f>MAX(AI61,($E61*IF(BY$2&gt;Inputs!$D$5,0,IF(BY$2&gt;VLOOKUP($H61,Lists!$P$3:$Q$7,2),IF($N61=Lists!$K$3,IF($L61&lt;1,(($U61/$L61)*((1+Inputs!$D$7)^BY$2)),((INT(BY$2/$L61)-INT((BY$2-1)/$L61))*$U61*((1+Inputs!$D$7)^BY$2))),(Inputs!$D$8^((1-_xlfn.WEIBULL.DIST(BY$2,$M61,$L61,FALSE))/_xlfn.WEIBULL.DIST(BY$2,$M61,$L61,FALSE))*$U61*((1+Inputs!$D$7)^BY$2))),IF($N61=Lists!$K$3,IF($L61&lt;1,((($T61*(1-$F61)+$S61*(1-$G61))/$L61)*((1+Inputs!$D$7)^BY$2)),((INT(BY$2/$L61)-INT((BY$2-1)/$L61))*($T61*(1-$F61)+$S61*(1-$G61))*((1+Inputs!$D$7)^BY$2))),((Inputs!$D$8^((1-_xlfn.WEIBULL.DIST(BY$2,$M61,$L61,FALSE))/_xlfn.WEIBULL.DIST(BY$2,$M61,$L61,FALSE))*($T61*(1-$F61)+$S61*(1-$G61))*((1+Inputs!$D$7)^BY$2))))))))</f>
        <v>0</v>
      </c>
      <c r="BZ61" s="88">
        <f>MAX(AJ61,($E61*IF(BZ$2&gt;Inputs!$D$5,0,IF(BZ$2&gt;VLOOKUP($H61,Lists!$P$3:$Q$7,2),IF($N61=Lists!$K$3,IF($L61&lt;1,(($U61/$L61)*((1+Inputs!$D$7)^BZ$2)),((INT(BZ$2/$L61)-INT((BZ$2-1)/$L61))*$U61*((1+Inputs!$D$7)^BZ$2))),(Inputs!$D$8^((1-_xlfn.WEIBULL.DIST(BZ$2,$M61,$L61,FALSE))/_xlfn.WEIBULL.DIST(BZ$2,$M61,$L61,FALSE))*$U61*((1+Inputs!$D$7)^BZ$2))),IF($N61=Lists!$K$3,IF($L61&lt;1,((($T61*(1-$F61)+$S61*(1-$G61))/$L61)*((1+Inputs!$D$7)^BZ$2)),((INT(BZ$2/$L61)-INT((BZ$2-1)/$L61))*($T61*(1-$F61)+$S61*(1-$G61))*((1+Inputs!$D$7)^BZ$2))),((Inputs!$D$8^((1-_xlfn.WEIBULL.DIST(BZ$2,$M61,$L61,FALSE))/_xlfn.WEIBULL.DIST(BZ$2,$M61,$L61,FALSE))*($T61*(1-$F61)+$S61*(1-$G61))*((1+Inputs!$D$7)^BZ$2))))))))</f>
        <v>0</v>
      </c>
      <c r="CA61" s="88">
        <f>MAX(AK61,($E61*IF(CA$2&gt;Inputs!$D$5,0,IF(CA$2&gt;VLOOKUP($H61,Lists!$P$3:$Q$7,2),IF($N61=Lists!$K$3,IF($L61&lt;1,(($U61/$L61)*((1+Inputs!$D$7)^CA$2)),((INT(CA$2/$L61)-INT((CA$2-1)/$L61))*$U61*((1+Inputs!$D$7)^CA$2))),(Inputs!$D$8^((1-_xlfn.WEIBULL.DIST(CA$2,$M61,$L61,FALSE))/_xlfn.WEIBULL.DIST(CA$2,$M61,$L61,FALSE))*$U61*((1+Inputs!$D$7)^CA$2))),IF($N61=Lists!$K$3,IF($L61&lt;1,((($T61*(1-$F61)+$S61*(1-$G61))/$L61)*((1+Inputs!$D$7)^CA$2)),((INT(CA$2/$L61)-INT((CA$2-1)/$L61))*($T61*(1-$F61)+$S61*(1-$G61))*((1+Inputs!$D$7)^CA$2))),((Inputs!$D$8^((1-_xlfn.WEIBULL.DIST(CA$2,$M61,$L61,FALSE))/_xlfn.WEIBULL.DIST(CA$2,$M61,$L61,FALSE))*($T61*(1-$F61)+$S61*(1-$G61))*((1+Inputs!$D$7)^CA$2))))))))</f>
        <v>0</v>
      </c>
      <c r="CB61" s="88">
        <f>MAX(AL61,($E61*IF(CB$2&gt;Inputs!$D$5,0,IF(CB$2&gt;VLOOKUP($H61,Lists!$P$3:$Q$7,2),IF($N61=Lists!$K$3,IF($L61&lt;1,(($U61/$L61)*((1+Inputs!$D$7)^CB$2)),((INT(CB$2/$L61)-INT((CB$2-1)/$L61))*$U61*((1+Inputs!$D$7)^CB$2))),(Inputs!$D$8^((1-_xlfn.WEIBULL.DIST(CB$2,$M61,$L61,FALSE))/_xlfn.WEIBULL.DIST(CB$2,$M61,$L61,FALSE))*$U61*((1+Inputs!$D$7)^CB$2))),IF($N61=Lists!$K$3,IF($L61&lt;1,((($T61*(1-$F61)+$S61*(1-$G61))/$L61)*((1+Inputs!$D$7)^CB$2)),((INT(CB$2/$L61)-INT((CB$2-1)/$L61))*($T61*(1-$F61)+$S61*(1-$G61))*((1+Inputs!$D$7)^CB$2))),((Inputs!$D$8^((1-_xlfn.WEIBULL.DIST(CB$2,$M61,$L61,FALSE))/_xlfn.WEIBULL.DIST(CB$2,$M61,$L61,FALSE))*($T61*(1-$F61)+$S61*(1-$G61))*((1+Inputs!$D$7)^CB$2))))))))</f>
        <v>0</v>
      </c>
      <c r="CC61" s="88">
        <f>MAX(AM61,($E61*IF(CC$2&gt;Inputs!$D$5,0,IF(CC$2&gt;VLOOKUP($H61,Lists!$P$3:$Q$7,2),IF($N61=Lists!$K$3,IF($L61&lt;1,(($U61/$L61)*((1+Inputs!$D$7)^CC$2)),((INT(CC$2/$L61)-INT((CC$2-1)/$L61))*$U61*((1+Inputs!$D$7)^CC$2))),(Inputs!$D$8^((1-_xlfn.WEIBULL.DIST(CC$2,$M61,$L61,FALSE))/_xlfn.WEIBULL.DIST(CC$2,$M61,$L61,FALSE))*$U61*((1+Inputs!$D$7)^CC$2))),IF($N61=Lists!$K$3,IF($L61&lt;1,((($T61*(1-$F61)+$S61*(1-$G61))/$L61)*((1+Inputs!$D$7)^CC$2)),((INT(CC$2/$L61)-INT((CC$2-1)/$L61))*($T61*(1-$F61)+$S61*(1-$G61))*((1+Inputs!$D$7)^CC$2))),((Inputs!$D$8^((1-_xlfn.WEIBULL.DIST(CC$2,$M61,$L61,FALSE))/_xlfn.WEIBULL.DIST(CC$2,$M61,$L61,FALSE))*($T61*(1-$F61)+$S61*(1-$G61))*((1+Inputs!$D$7)^CC$2))))))))</f>
        <v>0</v>
      </c>
      <c r="CD61" s="88">
        <f>MAX(AN61,($E61*IF(CD$2&gt;Inputs!$D$5,0,IF(CD$2&gt;VLOOKUP($H61,Lists!$P$3:$Q$7,2),IF($N61=Lists!$K$3,IF($L61&lt;1,(($U61/$L61)*((1+Inputs!$D$7)^CD$2)),((INT(CD$2/$L61)-INT((CD$2-1)/$L61))*$U61*((1+Inputs!$D$7)^CD$2))),(Inputs!$D$8^((1-_xlfn.WEIBULL.DIST(CD$2,$M61,$L61,FALSE))/_xlfn.WEIBULL.DIST(CD$2,$M61,$L61,FALSE))*$U61*((1+Inputs!$D$7)^CD$2))),IF($N61=Lists!$K$3,IF($L61&lt;1,((($T61*(1-$F61)+$S61*(1-$G61))/$L61)*((1+Inputs!$D$7)^CD$2)),((INT(CD$2/$L61)-INT((CD$2-1)/$L61))*($T61*(1-$F61)+$S61*(1-$G61))*((1+Inputs!$D$7)^CD$2))),((Inputs!$D$8^((1-_xlfn.WEIBULL.DIST(CD$2,$M61,$L61,FALSE))/_xlfn.WEIBULL.DIST(CD$2,$M61,$L61,FALSE))*($T61*(1-$F61)+$S61*(1-$G61))*((1+Inputs!$D$7)^CD$2))))))))</f>
        <v>0</v>
      </c>
      <c r="CE61" s="88">
        <f>MAX(AO61,($E61*IF(CE$2&gt;Inputs!$D$5,0,IF(CE$2&gt;VLOOKUP($H61,Lists!$P$3:$Q$7,2),IF($N61=Lists!$K$3,IF($L61&lt;1,(($U61/$L61)*((1+Inputs!$D$7)^CE$2)),((INT(CE$2/$L61)-INT((CE$2-1)/$L61))*$U61*((1+Inputs!$D$7)^CE$2))),(Inputs!$D$8^((1-_xlfn.WEIBULL.DIST(CE$2,$M61,$L61,FALSE))/_xlfn.WEIBULL.DIST(CE$2,$M61,$L61,FALSE))*$U61*((1+Inputs!$D$7)^CE$2))),IF($N61=Lists!$K$3,IF($L61&lt;1,((($T61*(1-$F61)+$S61*(1-$G61))/$L61)*((1+Inputs!$D$7)^CE$2)),((INT(CE$2/$L61)-INT((CE$2-1)/$L61))*($T61*(1-$F61)+$S61*(1-$G61))*((1+Inputs!$D$7)^CE$2))),((Inputs!$D$8^((1-_xlfn.WEIBULL.DIST(CE$2,$M61,$L61,FALSE))/_xlfn.WEIBULL.DIST(CE$2,$M61,$L61,FALSE))*($T61*(1-$F61)+$S61*(1-$G61))*((1+Inputs!$D$7)^CE$2))))))))</f>
        <v>0</v>
      </c>
      <c r="CF61" s="88">
        <f>MAX(AP61,($E61*IF(CF$2&gt;Inputs!$D$5,0,IF(CF$2&gt;VLOOKUP($H61,Lists!$P$3:$Q$7,2),IF($N61=Lists!$K$3,IF($L61&lt;1,(($U61/$L61)*((1+Inputs!$D$7)^CF$2)),((INT(CF$2/$L61)-INT((CF$2-1)/$L61))*$U61*((1+Inputs!$D$7)^CF$2))),(Inputs!$D$8^((1-_xlfn.WEIBULL.DIST(CF$2,$M61,$L61,FALSE))/_xlfn.WEIBULL.DIST(CF$2,$M61,$L61,FALSE))*$U61*((1+Inputs!$D$7)^CF$2))),IF($N61=Lists!$K$3,IF($L61&lt;1,((($T61*(1-$F61)+$S61*(1-$G61))/$L61)*((1+Inputs!$D$7)^CF$2)),((INT(CF$2/$L61)-INT((CF$2-1)/$L61))*($T61*(1-$F61)+$S61*(1-$G61))*((1+Inputs!$D$7)^CF$2))),((Inputs!$D$8^((1-_xlfn.WEIBULL.DIST(CF$2,$M61,$L61,FALSE))/_xlfn.WEIBULL.DIST(CF$2,$M61,$L61,FALSE))*($T61*(1-$F61)+$S61*(1-$G61))*((1+Inputs!$D$7)^CF$2))))))))</f>
        <v>0</v>
      </c>
      <c r="CG61" s="88">
        <f>MAX(AQ61,($E61*IF(CG$2&gt;Inputs!$D$5,0,IF(CG$2&gt;VLOOKUP($H61,Lists!$P$3:$Q$7,2),IF($N61=Lists!$K$3,IF($L61&lt;1,(($U61/$L61)*((1+Inputs!$D$7)^CG$2)),((INT(CG$2/$L61)-INT((CG$2-1)/$L61))*$U61*((1+Inputs!$D$7)^CG$2))),(Inputs!$D$8^((1-_xlfn.WEIBULL.DIST(CG$2,$M61,$L61,FALSE))/_xlfn.WEIBULL.DIST(CG$2,$M61,$L61,FALSE))*$U61*((1+Inputs!$D$7)^CG$2))),IF($N61=Lists!$K$3,IF($L61&lt;1,((($T61*(1-$F61)+$S61*(1-$G61))/$L61)*((1+Inputs!$D$7)^CG$2)),((INT(CG$2/$L61)-INT((CG$2-1)/$L61))*($T61*(1-$F61)+$S61*(1-$G61))*((1+Inputs!$D$7)^CG$2))),((Inputs!$D$8^((1-_xlfn.WEIBULL.DIST(CG$2,$M61,$L61,FALSE))/_xlfn.WEIBULL.DIST(CG$2,$M61,$L61,FALSE))*($T61*(1-$F61)+$S61*(1-$G61))*((1+Inputs!$D$7)^CG$2))))))))</f>
        <v>0</v>
      </c>
      <c r="CH61" s="88">
        <f>MAX(AR61,($E61*IF(CH$2&gt;Inputs!$D$5,0,IF(CH$2&gt;VLOOKUP($H61,Lists!$P$3:$Q$7,2),IF($N61=Lists!$K$3,IF($L61&lt;1,(($U61/$L61)*((1+Inputs!$D$7)^CH$2)),((INT(CH$2/$L61)-INT((CH$2-1)/$L61))*$U61*((1+Inputs!$D$7)^CH$2))),(Inputs!$D$8^((1-_xlfn.WEIBULL.DIST(CH$2,$M61,$L61,FALSE))/_xlfn.WEIBULL.DIST(CH$2,$M61,$L61,FALSE))*$U61*((1+Inputs!$D$7)^CH$2))),IF($N61=Lists!$K$3,IF($L61&lt;1,((($T61*(1-$F61)+$S61*(1-$G61))/$L61)*((1+Inputs!$D$7)^CH$2)),((INT(CH$2/$L61)-INT((CH$2-1)/$L61))*($T61*(1-$F61)+$S61*(1-$G61))*((1+Inputs!$D$7)^CH$2))),((Inputs!$D$8^((1-_xlfn.WEIBULL.DIST(CH$2,$M61,$L61,FALSE))/_xlfn.WEIBULL.DIST(CH$2,$M61,$L61,FALSE))*($T61*(1-$F61)+$S61*(1-$G61))*((1+Inputs!$D$7)^CH$2))))))))</f>
        <v>0</v>
      </c>
      <c r="CI61" s="88">
        <f>MAX(AS61,($E61*IF(CI$2&gt;Inputs!$D$5,0,IF(CI$2&gt;VLOOKUP($H61,Lists!$P$3:$Q$7,2),IF($N61=Lists!$K$3,IF($L61&lt;1,(($U61/$L61)*((1+Inputs!$D$7)^CI$2)),((INT(CI$2/$L61)-INT((CI$2-1)/$L61))*$U61*((1+Inputs!$D$7)^CI$2))),(Inputs!$D$8^((1-_xlfn.WEIBULL.DIST(CI$2,$M61,$L61,FALSE))/_xlfn.WEIBULL.DIST(CI$2,$M61,$L61,FALSE))*$U61*((1+Inputs!$D$7)^CI$2))),IF($N61=Lists!$K$3,IF($L61&lt;1,((($T61*(1-$F61)+$S61*(1-$G61))/$L61)*((1+Inputs!$D$7)^CI$2)),((INT(CI$2/$L61)-INT((CI$2-1)/$L61))*($T61*(1-$F61)+$S61*(1-$G61))*((1+Inputs!$D$7)^CI$2))),((Inputs!$D$8^((1-_xlfn.WEIBULL.DIST(CI$2,$M61,$L61,FALSE))/_xlfn.WEIBULL.DIST(CI$2,$M61,$L61,FALSE))*($T61*(1-$F61)+$S61*(1-$G61))*((1+Inputs!$D$7)^CI$2))))))))</f>
        <v>0</v>
      </c>
      <c r="CJ61" s="88">
        <f>MAX(AT61,($E61*IF(CJ$2&gt;Inputs!$D$5,0,IF(CJ$2&gt;VLOOKUP($H61,Lists!$P$3:$Q$7,2),IF($N61=Lists!$K$3,IF($L61&lt;1,(($U61/$L61)*((1+Inputs!$D$7)^CJ$2)),((INT(CJ$2/$L61)-INT((CJ$2-1)/$L61))*$U61*((1+Inputs!$D$7)^CJ$2))),(Inputs!$D$8^((1-_xlfn.WEIBULL.DIST(CJ$2,$M61,$L61,FALSE))/_xlfn.WEIBULL.DIST(CJ$2,$M61,$L61,FALSE))*$U61*((1+Inputs!$D$7)^CJ$2))),IF($N61=Lists!$K$3,IF($L61&lt;1,((($T61*(1-$F61)+$S61*(1-$G61))/$L61)*((1+Inputs!$D$7)^CJ$2)),((INT(CJ$2/$L61)-INT((CJ$2-1)/$L61))*($T61*(1-$F61)+$S61*(1-$G61))*((1+Inputs!$D$7)^CJ$2))),((Inputs!$D$8^((1-_xlfn.WEIBULL.DIST(CJ$2,$M61,$L61,FALSE))/_xlfn.WEIBULL.DIST(CJ$2,$M61,$L61,FALSE))*($T61*(1-$F61)+$S61*(1-$G61))*((1+Inputs!$D$7)^CJ$2))))))))</f>
        <v>0</v>
      </c>
      <c r="CK61" s="88">
        <f>MAX(AU61,($E61*IF(CK$2&gt;Inputs!$D$5,0,IF(CK$2&gt;VLOOKUP($H61,Lists!$P$3:$Q$7,2),IF($N61=Lists!$K$3,IF($L61&lt;1,(($U61/$L61)*((1+Inputs!$D$7)^CK$2)),((INT(CK$2/$L61)-INT((CK$2-1)/$L61))*$U61*((1+Inputs!$D$7)^CK$2))),(Inputs!$D$8^((1-_xlfn.WEIBULL.DIST(CK$2,$M61,$L61,FALSE))/_xlfn.WEIBULL.DIST(CK$2,$M61,$L61,FALSE))*$U61*((1+Inputs!$D$7)^CK$2))),IF($N61=Lists!$K$3,IF($L61&lt;1,((($T61*(1-$F61)+$S61*(1-$G61))/$L61)*((1+Inputs!$D$7)^CK$2)),((INT(CK$2/$L61)-INT((CK$2-1)/$L61))*($T61*(1-$F61)+$S61*(1-$G61))*((1+Inputs!$D$7)^CK$2))),((Inputs!$D$8^((1-_xlfn.WEIBULL.DIST(CK$2,$M61,$L61,FALSE))/_xlfn.WEIBULL.DIST(CK$2,$M61,$L61,FALSE))*($T61*(1-$F61)+$S61*(1-$G61))*((1+Inputs!$D$7)^CK$2))))))))</f>
        <v>0</v>
      </c>
      <c r="CL61" s="88">
        <f>MAX(AV61,($E61*IF(CL$2&gt;Inputs!$D$5,0,IF(CL$2&gt;VLOOKUP($H61,Lists!$P$3:$Q$7,2),IF($N61=Lists!$K$3,IF($L61&lt;1,(($U61/$L61)*((1+Inputs!$D$7)^CL$2)),((INT(CL$2/$L61)-INT((CL$2-1)/$L61))*$U61*((1+Inputs!$D$7)^CL$2))),(Inputs!$D$8^((1-_xlfn.WEIBULL.DIST(CL$2,$M61,$L61,FALSE))/_xlfn.WEIBULL.DIST(CL$2,$M61,$L61,FALSE))*$U61*((1+Inputs!$D$7)^CL$2))),IF($N61=Lists!$K$3,IF($L61&lt;1,((($T61*(1-$F61)+$S61*(1-$G61))/$L61)*((1+Inputs!$D$7)^CL$2)),((INT(CL$2/$L61)-INT((CL$2-1)/$L61))*($T61*(1-$F61)+$S61*(1-$G61))*((1+Inputs!$D$7)^CL$2))),((Inputs!$D$8^((1-_xlfn.WEIBULL.DIST(CL$2,$M61,$L61,FALSE))/_xlfn.WEIBULL.DIST(CL$2,$M61,$L61,FALSE))*($T61*(1-$F61)+$S61*(1-$G61))*((1+Inputs!$D$7)^CL$2))))))))</f>
        <v>0</v>
      </c>
      <c r="CM61" s="88">
        <f>MAX(AW61,($E61*IF(CM$2&gt;Inputs!$D$5,0,IF(CM$2&gt;VLOOKUP($H61,Lists!$P$3:$Q$7,2),IF($N61=Lists!$K$3,IF($L61&lt;1,(($U61/$L61)*((1+Inputs!$D$7)^CM$2)),((INT(CM$2/$L61)-INT((CM$2-1)/$L61))*$U61*((1+Inputs!$D$7)^CM$2))),(Inputs!$D$8^((1-_xlfn.WEIBULL.DIST(CM$2,$M61,$L61,FALSE))/_xlfn.WEIBULL.DIST(CM$2,$M61,$L61,FALSE))*$U61*((1+Inputs!$D$7)^CM$2))),IF($N61=Lists!$K$3,IF($L61&lt;1,((($T61*(1-$F61)+$S61*(1-$G61))/$L61)*((1+Inputs!$D$7)^CM$2)),((INT(CM$2/$L61)-INT((CM$2-1)/$L61))*($T61*(1-$F61)+$S61*(1-$G61))*((1+Inputs!$D$7)^CM$2))),((Inputs!$D$8^((1-_xlfn.WEIBULL.DIST(CM$2,$M61,$L61,FALSE))/_xlfn.WEIBULL.DIST(CM$2,$M61,$L61,FALSE))*($T61*(1-$F61)+$S61*(1-$G61))*((1+Inputs!$D$7)^CM$2))))))))</f>
        <v>0</v>
      </c>
      <c r="CN61" s="88">
        <f>MAX(AX61,($E61*IF(CN$2&gt;Inputs!$D$5,0,IF(CN$2&gt;VLOOKUP($H61,Lists!$P$3:$Q$7,2),IF($N61=Lists!$K$3,IF($L61&lt;1,(($U61/$L61)*((1+Inputs!$D$7)^CN$2)),((INT(CN$2/$L61)-INT((CN$2-1)/$L61))*$U61*((1+Inputs!$D$7)^CN$2))),(Inputs!$D$8^((1-_xlfn.WEIBULL.DIST(CN$2,$M61,$L61,FALSE))/_xlfn.WEIBULL.DIST(CN$2,$M61,$L61,FALSE))*$U61*((1+Inputs!$D$7)^CN$2))),IF($N61=Lists!$K$3,IF($L61&lt;1,((($T61*(1-$F61)+$S61*(1-$G61))/$L61)*((1+Inputs!$D$7)^CN$2)),((INT(CN$2/$L61)-INT((CN$2-1)/$L61))*($T61*(1-$F61)+$S61*(1-$G61))*((1+Inputs!$D$7)^CN$2))),((Inputs!$D$8^((1-_xlfn.WEIBULL.DIST(CN$2,$M61,$L61,FALSE))/_xlfn.WEIBULL.DIST(CN$2,$M61,$L61,FALSE))*($T61*(1-$F61)+$S61*(1-$G61))*((1+Inputs!$D$7)^CN$2))))))))</f>
        <v>0</v>
      </c>
      <c r="CO61" s="88">
        <f>MAX(AY61,($E61*IF(CO$2&gt;Inputs!$D$5,0,IF(CO$2&gt;VLOOKUP($H61,Lists!$P$3:$Q$7,2),IF($N61=Lists!$K$3,IF($L61&lt;1,(($U61/$L61)*((1+Inputs!$D$7)^CO$2)),((INT(CO$2/$L61)-INT((CO$2-1)/$L61))*$U61*((1+Inputs!$D$7)^CO$2))),(Inputs!$D$8^((1-_xlfn.WEIBULL.DIST(CO$2,$M61,$L61,FALSE))/_xlfn.WEIBULL.DIST(CO$2,$M61,$L61,FALSE))*$U61*((1+Inputs!$D$7)^CO$2))),IF($N61=Lists!$K$3,IF($L61&lt;1,((($T61*(1-$F61)+$S61*(1-$G61))/$L61)*((1+Inputs!$D$7)^CO$2)),((INT(CO$2/$L61)-INT((CO$2-1)/$L61))*($T61*(1-$F61)+$S61*(1-$G61))*((1+Inputs!$D$7)^CO$2))),((Inputs!$D$8^((1-_xlfn.WEIBULL.DIST(CO$2,$M61,$L61,FALSE))/_xlfn.WEIBULL.DIST(CO$2,$M61,$L61,FALSE))*($T61*(1-$F61)+$S61*(1-$G61))*((1+Inputs!$D$7)^CO$2))))))))</f>
        <v>0</v>
      </c>
      <c r="CP61" s="88">
        <f>MAX(AZ61,($E61*IF(CP$2&gt;Inputs!$D$5,0,IF(CP$2&gt;VLOOKUP($H61,Lists!$P$3:$Q$7,2),IF($N61=Lists!$K$3,IF($L61&lt;1,(($U61/$L61)*((1+Inputs!$D$7)^CP$2)),((INT(CP$2/$L61)-INT((CP$2-1)/$L61))*$U61*((1+Inputs!$D$7)^CP$2))),(Inputs!$D$8^((1-_xlfn.WEIBULL.DIST(CP$2,$M61,$L61,FALSE))/_xlfn.WEIBULL.DIST(CP$2,$M61,$L61,FALSE))*$U61*((1+Inputs!$D$7)^CP$2))),IF($N61=Lists!$K$3,IF($L61&lt;1,((($T61*(1-$F61)+$S61*(1-$G61))/$L61)*((1+Inputs!$D$7)^CP$2)),((INT(CP$2/$L61)-INT((CP$2-1)/$L61))*($T61*(1-$F61)+$S61*(1-$G61))*((1+Inputs!$D$7)^CP$2))),((Inputs!$D$8^((1-_xlfn.WEIBULL.DIST(CP$2,$M61,$L61,FALSE))/_xlfn.WEIBULL.DIST(CP$2,$M61,$L61,FALSE))*($T61*(1-$F61)+$S61*(1-$G61))*((1+Inputs!$D$7)^CP$2))))))))</f>
        <v>0</v>
      </c>
      <c r="CQ61" s="88">
        <f>MAX(BA61,($E61*IF(CQ$2&gt;Inputs!$D$5,0,IF(CQ$2&gt;VLOOKUP($H61,Lists!$P$3:$Q$7,2),IF($N61=Lists!$K$3,IF($L61&lt;1,(($U61/$L61)*((1+Inputs!$D$7)^CQ$2)),((INT(CQ$2/$L61)-INT((CQ$2-1)/$L61))*$U61*((1+Inputs!$D$7)^CQ$2))),(Inputs!$D$8^((1-_xlfn.WEIBULL.DIST(CQ$2,$M61,$L61,FALSE))/_xlfn.WEIBULL.DIST(CQ$2,$M61,$L61,FALSE))*$U61*((1+Inputs!$D$7)^CQ$2))),IF($N61=Lists!$K$3,IF($L61&lt;1,((($T61*(1-$F61)+$S61*(1-$G61))/$L61)*((1+Inputs!$D$7)^CQ$2)),((INT(CQ$2/$L61)-INT((CQ$2-1)/$L61))*($T61*(1-$F61)+$S61*(1-$G61))*((1+Inputs!$D$7)^CQ$2))),((Inputs!$D$8^((1-_xlfn.WEIBULL.DIST(CQ$2,$M61,$L61,FALSE))/_xlfn.WEIBULL.DIST(CQ$2,$M61,$L61,FALSE))*($T61*(1-$F61)+$S61*(1-$G61))*((1+Inputs!$D$7)^CQ$2))))))))</f>
        <v>0</v>
      </c>
      <c r="CR61" s="88">
        <f>MAX(BB61,($E61*IF(CR$2&gt;Inputs!$D$5,0,IF(CR$2&gt;VLOOKUP($H61,Lists!$P$3:$Q$7,2),IF($N61=Lists!$K$3,IF($L61&lt;1,(($U61/$L61)*((1+Inputs!$D$7)^CR$2)),((INT(CR$2/$L61)-INT((CR$2-1)/$L61))*$U61*((1+Inputs!$D$7)^CR$2))),(Inputs!$D$8^((1-_xlfn.WEIBULL.DIST(CR$2,$M61,$L61,FALSE))/_xlfn.WEIBULL.DIST(CR$2,$M61,$L61,FALSE))*$U61*((1+Inputs!$D$7)^CR$2))),IF($N61=Lists!$K$3,IF($L61&lt;1,((($T61*(1-$F61)+$S61*(1-$G61))/$L61)*((1+Inputs!$D$7)^CR$2)),((INT(CR$2/$L61)-INT((CR$2-1)/$L61))*($T61*(1-$F61)+$S61*(1-$G61))*((1+Inputs!$D$7)^CR$2))),((Inputs!$D$8^((1-_xlfn.WEIBULL.DIST(CR$2,$M61,$L61,FALSE))/_xlfn.WEIBULL.DIST(CR$2,$M61,$L61,FALSE))*($T61*(1-$F61)+$S61*(1-$G61))*((1+Inputs!$D$7)^CR$2))))))))</f>
        <v>0</v>
      </c>
      <c r="CS61" s="88">
        <f>MAX(BC61,($E61*IF(CS$2&gt;Inputs!$D$5,0,IF(CS$2&gt;VLOOKUP($H61,Lists!$P$3:$Q$7,2),IF($N61=Lists!$K$3,IF($L61&lt;1,(($U61/$L61)*((1+Inputs!$D$7)^CS$2)),((INT(CS$2/$L61)-INT((CS$2-1)/$L61))*$U61*((1+Inputs!$D$7)^CS$2))),(Inputs!$D$8^((1-_xlfn.WEIBULL.DIST(CS$2,$M61,$L61,FALSE))/_xlfn.WEIBULL.DIST(CS$2,$M61,$L61,FALSE))*$U61*((1+Inputs!$D$7)^CS$2))),IF($N61=Lists!$K$3,IF($L61&lt;1,((($T61*(1-$F61)+$S61*(1-$G61))/$L61)*((1+Inputs!$D$7)^CS$2)),((INT(CS$2/$L61)-INT((CS$2-1)/$L61))*($T61*(1-$F61)+$S61*(1-$G61))*((1+Inputs!$D$7)^CS$2))),((Inputs!$D$8^((1-_xlfn.WEIBULL.DIST(CS$2,$M61,$L61,FALSE))/_xlfn.WEIBULL.DIST(CS$2,$M61,$L61,FALSE))*($T61*(1-$F61)+$S61*(1-$G61))*((1+Inputs!$D$7)^CS$2))))))))</f>
        <v>0</v>
      </c>
      <c r="CT61" s="88">
        <f>MAX(BD61,($E61*IF(CT$2&gt;Inputs!$D$5,0,IF(CT$2&gt;VLOOKUP($H61,Lists!$P$3:$Q$7,2),IF($N61=Lists!$K$3,IF($L61&lt;1,(($U61/$L61)*((1+Inputs!$D$7)^CT$2)),((INT(CT$2/$L61)-INT((CT$2-1)/$L61))*$U61*((1+Inputs!$D$7)^CT$2))),(Inputs!$D$8^((1-_xlfn.WEIBULL.DIST(CT$2,$M61,$L61,FALSE))/_xlfn.WEIBULL.DIST(CT$2,$M61,$L61,FALSE))*$U61*((1+Inputs!$D$7)^CT$2))),IF($N61=Lists!$K$3,IF($L61&lt;1,((($T61*(1-$F61)+$S61*(1-$G61))/$L61)*((1+Inputs!$D$7)^CT$2)),((INT(CT$2/$L61)-INT((CT$2-1)/$L61))*($T61*(1-$F61)+$S61*(1-$G61))*((1+Inputs!$D$7)^CT$2))),((Inputs!$D$8^((1-_xlfn.WEIBULL.DIST(CT$2,$M61,$L61,FALSE))/_xlfn.WEIBULL.DIST(CT$2,$M61,$L61,FALSE))*($T61*(1-$F61)+$S61*(1-$G61))*((1+Inputs!$D$7)^CT$2))))))))</f>
        <v>0</v>
      </c>
      <c r="CU61" s="88">
        <f>MAX(BE61,($E61*IF(CU$2&gt;Inputs!$D$5,0,IF(CU$2&gt;VLOOKUP($H61,Lists!$P$3:$Q$7,2),IF($N61=Lists!$K$3,IF($L61&lt;1,(($U61/$L61)*((1+Inputs!$D$7)^CU$2)),((INT(CU$2/$L61)-INT((CU$2-1)/$L61))*$U61*((1+Inputs!$D$7)^CU$2))),(Inputs!$D$8^((1-_xlfn.WEIBULL.DIST(CU$2,$M61,$L61,FALSE))/_xlfn.WEIBULL.DIST(CU$2,$M61,$L61,FALSE))*$U61*((1+Inputs!$D$7)^CU$2))),IF($N61=Lists!$K$3,IF($L61&lt;1,((($T61*(1-$F61)+$S61*(1-$G61))/$L61)*((1+Inputs!$D$7)^CU$2)),((INT(CU$2/$L61)-INT((CU$2-1)/$L61))*($T61*(1-$F61)+$S61*(1-$G61))*((1+Inputs!$D$7)^CU$2))),((Inputs!$D$8^((1-_xlfn.WEIBULL.DIST(CU$2,$M61,$L61,FALSE))/_xlfn.WEIBULL.DIST(CU$2,$M61,$L61,FALSE))*($T61*(1-$F61)+$S61*(1-$G61))*((1+Inputs!$D$7)^CU$2))))))))</f>
        <v>0</v>
      </c>
      <c r="CV61" s="88">
        <f>MAX(BF61,($E61*IF(CV$2&gt;Inputs!$D$5,0,IF(CV$2&gt;VLOOKUP($H61,Lists!$P$3:$Q$7,2),IF($N61=Lists!$K$3,IF($L61&lt;1,(($U61/$L61)*((1+Inputs!$D$7)^CV$2)),((INT(CV$2/$L61)-INT((CV$2-1)/$L61))*$U61*((1+Inputs!$D$7)^CV$2))),(Inputs!$D$8^((1-_xlfn.WEIBULL.DIST(CV$2,$M61,$L61,FALSE))/_xlfn.WEIBULL.DIST(CV$2,$M61,$L61,FALSE))*$U61*((1+Inputs!$D$7)^CV$2))),IF($N61=Lists!$K$3,IF($L61&lt;1,((($T61*(1-$F61)+$S61*(1-$G61))/$L61)*((1+Inputs!$D$7)^CV$2)),((INT(CV$2/$L61)-INT((CV$2-1)/$L61))*($T61*(1-$F61)+$S61*(1-$G61))*((1+Inputs!$D$7)^CV$2))),((Inputs!$D$8^((1-_xlfn.WEIBULL.DIST(CV$2,$M61,$L61,FALSE))/_xlfn.WEIBULL.DIST(CV$2,$M61,$L61,FALSE))*($T61*(1-$F61)+$S61*(1-$G61))*((1+Inputs!$D$7)^CV$2))))))))</f>
        <v>0</v>
      </c>
      <c r="CW61" s="88">
        <f>MAX(BG61,($E61*IF(CW$2&gt;Inputs!$D$5,0,IF(CW$2&gt;VLOOKUP($H61,Lists!$P$3:$Q$7,2),IF($N61=Lists!$K$3,IF($L61&lt;1,(($U61/$L61)*((1+Inputs!$D$7)^CW$2)),((INT(CW$2/$L61)-INT((CW$2-1)/$L61))*$U61*((1+Inputs!$D$7)^CW$2))),(Inputs!$D$8^((1-_xlfn.WEIBULL.DIST(CW$2,$M61,$L61,FALSE))/_xlfn.WEIBULL.DIST(CW$2,$M61,$L61,FALSE))*$U61*((1+Inputs!$D$7)^CW$2))),IF($N61=Lists!$K$3,IF($L61&lt;1,((($T61*(1-$F61)+$S61*(1-$G61))/$L61)*((1+Inputs!$D$7)^CW$2)),((INT(CW$2/$L61)-INT((CW$2-1)/$L61))*($T61*(1-$F61)+$S61*(1-$G61))*((1+Inputs!$D$7)^CW$2))),((Inputs!$D$8^((1-_xlfn.WEIBULL.DIST(CW$2,$M61,$L61,FALSE))/_xlfn.WEIBULL.DIST(CW$2,$M61,$L61,FALSE))*($T61*(1-$F61)+$S61*(1-$G61))*((1+Inputs!$D$7)^CW$2))))))))</f>
        <v>0</v>
      </c>
      <c r="CX61" s="88">
        <f>MAX(BH61,($E61*IF(CX$2&gt;Inputs!$D$5,0,IF(CX$2&gt;VLOOKUP($H61,Lists!$P$3:$Q$7,2),IF($N61=Lists!$K$3,IF($L61&lt;1,(($U61/$L61)*((1+Inputs!$D$7)^CX$2)),((INT(CX$2/$L61)-INT((CX$2-1)/$L61))*$U61*((1+Inputs!$D$7)^CX$2))),(Inputs!$D$8^((1-_xlfn.WEIBULL.DIST(CX$2,$M61,$L61,FALSE))/_xlfn.WEIBULL.DIST(CX$2,$M61,$L61,FALSE))*$U61*((1+Inputs!$D$7)^CX$2))),IF($N61=Lists!$K$3,IF($L61&lt;1,((($T61*(1-$F61)+$S61*(1-$G61))/$L61)*((1+Inputs!$D$7)^CX$2)),((INT(CX$2/$L61)-INT((CX$2-1)/$L61))*($T61*(1-$F61)+$S61*(1-$G61))*((1+Inputs!$D$7)^CX$2))),((Inputs!$D$8^((1-_xlfn.WEIBULL.DIST(CX$2,$M61,$L61,FALSE))/_xlfn.WEIBULL.DIST(CX$2,$M61,$L61,FALSE))*($T61*(1-$F61)+$S61*(1-$G61))*((1+Inputs!$D$7)^CX$2))))))))</f>
        <v>0</v>
      </c>
      <c r="CY61" s="88">
        <f>MAX(BI61,($E61*IF(CY$2&gt;Inputs!$D$5,0,IF(CY$2&gt;VLOOKUP($H61,Lists!$P$3:$Q$7,2),IF($N61=Lists!$K$3,IF($L61&lt;1,(($U61/$L61)*((1+Inputs!$D$7)^CY$2)),((INT(CY$2/$L61)-INT((CY$2-1)/$L61))*$U61*((1+Inputs!$D$7)^CY$2))),(Inputs!$D$8^((1-_xlfn.WEIBULL.DIST(CY$2,$M61,$L61,FALSE))/_xlfn.WEIBULL.DIST(CY$2,$M61,$L61,FALSE))*$U61*((1+Inputs!$D$7)^CY$2))),IF($N61=Lists!$K$3,IF($L61&lt;1,((($T61*(1-$F61)+$S61*(1-$G61))/$L61)*((1+Inputs!$D$7)^CY$2)),((INT(CY$2/$L61)-INT((CY$2-1)/$L61))*($T61*(1-$F61)+$S61*(1-$G61))*((1+Inputs!$D$7)^CY$2))),((Inputs!$D$8^((1-_xlfn.WEIBULL.DIST(CY$2,$M61,$L61,FALSE))/_xlfn.WEIBULL.DIST(CY$2,$M61,$L61,FALSE))*($T61*(1-$F61)+$S61*(1-$G61))*((1+Inputs!$D$7)^CY$2))))))))</f>
        <v>0</v>
      </c>
      <c r="CZ61" s="88">
        <f>MAX(BJ61,($E61*IF(CZ$2&gt;Inputs!$D$5,0,IF(CZ$2&gt;VLOOKUP($H61,Lists!$P$3:$Q$7,2),IF($N61=Lists!$K$3,IF($L61&lt;1,(($U61/$L61)*((1+Inputs!$D$7)^CZ$2)),((INT(CZ$2/$L61)-INT((CZ$2-1)/$L61))*$U61*((1+Inputs!$D$7)^CZ$2))),(Inputs!$D$8^((1-_xlfn.WEIBULL.DIST(CZ$2,$M61,$L61,FALSE))/_xlfn.WEIBULL.DIST(CZ$2,$M61,$L61,FALSE))*$U61*((1+Inputs!$D$7)^CZ$2))),IF($N61=Lists!$K$3,IF($L61&lt;1,((($T61*(1-$F61)+$S61*(1-$G61))/$L61)*((1+Inputs!$D$7)^CZ$2)),((INT(CZ$2/$L61)-INT((CZ$2-1)/$L61))*($T61*(1-$F61)+$S61*(1-$G61))*((1+Inputs!$D$7)^CZ$2))),((Inputs!$D$8^((1-_xlfn.WEIBULL.DIST(CZ$2,$M61,$L61,FALSE))/_xlfn.WEIBULL.DIST(CZ$2,$M61,$L61,FALSE))*($T61*(1-$F61)+$S61*(1-$G61))*((1+Inputs!$D$7)^CZ$2))))))))</f>
        <v>0</v>
      </c>
      <c r="DA61" s="88">
        <f>MAX(BK61,($E61*IF(DA$2&gt;Inputs!$D$5,0,IF(DA$2&gt;VLOOKUP($H61,Lists!$P$3:$Q$7,2),IF($N61=Lists!$K$3,IF($L61&lt;1,(($U61/$L61)*((1+Inputs!$D$7)^DA$2)),((INT(DA$2/$L61)-INT((DA$2-1)/$L61))*$U61*((1+Inputs!$D$7)^DA$2))),(Inputs!$D$8^((1-_xlfn.WEIBULL.DIST(DA$2,$M61,$L61,FALSE))/_xlfn.WEIBULL.DIST(DA$2,$M61,$L61,FALSE))*$U61*((1+Inputs!$D$7)^DA$2))),IF($N61=Lists!$K$3,IF($L61&lt;1,((($T61*(1-$F61)+$S61*(1-$G61))/$L61)*((1+Inputs!$D$7)^DA$2)),((INT(DA$2/$L61)-INT((DA$2-1)/$L61))*($T61*(1-$F61)+$S61*(1-$G61))*((1+Inputs!$D$7)^DA$2))),((Inputs!$D$8^((1-_xlfn.WEIBULL.DIST(DA$2,$M61,$L61,FALSE))/_xlfn.WEIBULL.DIST(DA$2,$M61,$L61,FALSE))*($T61*(1-$F61)+$S61*(1-$G61))*((1+Inputs!$D$7)^DA$2))))))))</f>
        <v>0</v>
      </c>
      <c r="DB61" s="88">
        <f>MAX(BL61,($E61*IF(DB$2&gt;Inputs!$D$5,0,IF(DB$2&gt;VLOOKUP($H61,Lists!$P$3:$Q$7,2),IF($N61=Lists!$K$3,IF($L61&lt;1,(($U61/$L61)*((1+Inputs!$D$7)^DB$2)),((INT(DB$2/$L61)-INT((DB$2-1)/$L61))*$U61*((1+Inputs!$D$7)^DB$2))),(Inputs!$D$8^((1-_xlfn.WEIBULL.DIST(DB$2,$M61,$L61,FALSE))/_xlfn.WEIBULL.DIST(DB$2,$M61,$L61,FALSE))*$U61*((1+Inputs!$D$7)^DB$2))),IF($N61=Lists!$K$3,IF($L61&lt;1,((($T61*(1-$F61)+$S61*(1-$G61))/$L61)*((1+Inputs!$D$7)^DB$2)),((INT(DB$2/$L61)-INT((DB$2-1)/$L61))*($T61*(1-$F61)+$S61*(1-$G61))*((1+Inputs!$D$7)^DB$2))),((Inputs!$D$8^((1-_xlfn.WEIBULL.DIST(DB$2,$M61,$L61,FALSE))/_xlfn.WEIBULL.DIST(DB$2,$M61,$L61,FALSE))*($T61*(1-$F61)+$S61*(1-$G61))*((1+Inputs!$D$7)^DB$2))))))))</f>
        <v>0</v>
      </c>
      <c r="DC61" s="88">
        <f>MAX(BM61,($E61*IF(DC$2&gt;Inputs!$D$5,0,IF(DC$2&gt;VLOOKUP($H61,Lists!$P$3:$Q$7,2),IF($N61=Lists!$K$3,IF($L61&lt;1,(($U61/$L61)*((1+Inputs!$D$7)^DC$2)),((INT(DC$2/$L61)-INT((DC$2-1)/$L61))*$U61*((1+Inputs!$D$7)^DC$2))),(Inputs!$D$8^((1-_xlfn.WEIBULL.DIST(DC$2,$M61,$L61,FALSE))/_xlfn.WEIBULL.DIST(DC$2,$M61,$L61,FALSE))*$U61*((1+Inputs!$D$7)^DC$2))),IF($N61=Lists!$K$3,IF($L61&lt;1,((($T61*(1-$F61)+$S61*(1-$G61))/$L61)*((1+Inputs!$D$7)^DC$2)),((INT(DC$2/$L61)-INT((DC$2-1)/$L61))*($T61*(1-$F61)+$S61*(1-$G61))*((1+Inputs!$D$7)^DC$2))),((Inputs!$D$8^((1-_xlfn.WEIBULL.DIST(DC$2,$M61,$L61,FALSE))/_xlfn.WEIBULL.DIST(DC$2,$M61,$L61,FALSE))*($T61*(1-$F61)+$S61*(1-$G61))*((1+Inputs!$D$7)^DC$2))))))))</f>
        <v>0</v>
      </c>
      <c r="DD61" s="88">
        <f>MAX(BN61,($E61*IF(DD$2&gt;Inputs!$D$5,0,IF(DD$2&gt;VLOOKUP($H61,Lists!$P$3:$Q$7,2),IF($N61=Lists!$K$3,IF($L61&lt;1,(($U61/$L61)*((1+Inputs!$D$7)^DD$2)),((INT(DD$2/$L61)-INT((DD$2-1)/$L61))*$U61*((1+Inputs!$D$7)^DD$2))),(Inputs!$D$8^((1-_xlfn.WEIBULL.DIST(DD$2,$M61,$L61,FALSE))/_xlfn.WEIBULL.DIST(DD$2,$M61,$L61,FALSE))*$U61*((1+Inputs!$D$7)^DD$2))),IF($N61=Lists!$K$3,IF($L61&lt;1,((($T61*(1-$F61)+$S61*(1-$G61))/$L61)*((1+Inputs!$D$7)^DD$2)),((INT(DD$2/$L61)-INT((DD$2-1)/$L61))*($T61*(1-$F61)+$S61*(1-$G61))*((1+Inputs!$D$7)^DD$2))),((Inputs!$D$8^((1-_xlfn.WEIBULL.DIST(DD$2,$M61,$L61,FALSE))/_xlfn.WEIBULL.DIST(DD$2,$M61,$L61,FALSE))*($T61*(1-$F61)+$S61*(1-$G61))*((1+Inputs!$D$7)^DD$2))))))))</f>
        <v>0</v>
      </c>
    </row>
    <row r="62" spans="1:108" s="1" customFormat="1" ht="16">
      <c r="A62" s="57" t="s">
        <v>173</v>
      </c>
      <c r="B62" s="13" t="s">
        <v>130</v>
      </c>
      <c r="C62" s="13" t="s">
        <v>474</v>
      </c>
      <c r="D62" s="13" t="s">
        <v>37</v>
      </c>
      <c r="E62" s="89">
        <v>0</v>
      </c>
      <c r="F62" s="48">
        <v>1</v>
      </c>
      <c r="G62" s="48">
        <v>1</v>
      </c>
      <c r="H62" s="105" t="s">
        <v>350</v>
      </c>
      <c r="I62" s="14"/>
      <c r="J62" s="14" t="s">
        <v>86</v>
      </c>
      <c r="K62" s="13">
        <f>VLOOKUP(J62,'Labor Rates'!$A$1:$F$16,2)</f>
        <v>29.298461538461535</v>
      </c>
      <c r="L62" s="15">
        <v>25</v>
      </c>
      <c r="M62" s="15">
        <v>3</v>
      </c>
      <c r="N62" s="16" t="s">
        <v>226</v>
      </c>
      <c r="O62" s="61">
        <f>Inputs!$D$53*Inputs!$D$57*E62</f>
        <v>0</v>
      </c>
      <c r="P62" s="15">
        <v>0.5</v>
      </c>
      <c r="Q62" s="15">
        <f t="shared" si="7"/>
        <v>0</v>
      </c>
      <c r="R62" s="4">
        <v>40</v>
      </c>
      <c r="S62" s="53">
        <f t="shared" si="8"/>
        <v>0</v>
      </c>
      <c r="T62" s="53">
        <f t="shared" si="9"/>
        <v>0</v>
      </c>
      <c r="U62" s="54">
        <f t="shared" si="10"/>
        <v>0</v>
      </c>
      <c r="V62" s="65"/>
      <c r="W62" s="58"/>
      <c r="X62" s="64">
        <f t="shared" si="11"/>
        <v>0</v>
      </c>
      <c r="Y62" s="64">
        <f>NPV(Inputs!$D$6,AA62:BN62)</f>
        <v>0</v>
      </c>
      <c r="Z62" s="67">
        <f t="shared" si="12"/>
        <v>0</v>
      </c>
      <c r="AA62" s="88">
        <f>$E62*IF(AA$2&gt;Inputs!$D$5,0,IF(AA$2&gt;VLOOKUP($H62,Lists!$P$3:$Q$7,2),IF($N62=Lists!$K$3,IF($L62&lt;1,(($U62/$L62)*((1+Inputs!$D$7)^AA$2)),((INT(AA$2/$L62)-INT((AA$2-1)/$L62))*$U62*((1+Inputs!$D$7)^AA$2))),(_xlfn.WEIBULL.DIST(AA$2,$M62,$L62,FALSE)*$U62*((1+Inputs!$D$7)^AA$2))),IF($N62=Lists!$K$3,IF($L62&lt;1,((($T62*(1-$F62)+$S62*(1-$G62))/$L62)*((1+Inputs!$D$7)^AA$2)),((INT(AA$2/$L62)-INT((AA$2-1)/$L62))*($T62*(1-$F62)+$S62*(1-$G62))*((1+Inputs!$D$7)^AA$2))),((_xlfn.WEIBULL.DIST(AA$2,$M62,$L62,FALSE)*($T62*(1-$F62)+$S62*(1-$G62))*((1+Inputs!$D$7)^AA$2))))))</f>
        <v>0</v>
      </c>
      <c r="AB62" s="88">
        <f>$E62*IF(AB$2&gt;Inputs!$D$5,0,IF(AB$2&gt;VLOOKUP($H62,Lists!$P$3:$Q$7,2),IF($N62=Lists!$K$3,IF($L62&lt;1,(($U62/$L62)*((1+Inputs!$D$7)^AB$2)),((INT(AB$2/$L62)-INT((AB$2-1)/$L62))*$U62*((1+Inputs!$D$7)^AB$2))),(_xlfn.WEIBULL.DIST(AB$2,$M62,$L62,FALSE)*$U62*((1+Inputs!$D$7)^AB$2))),IF($N62=Lists!$K$3,IF($L62&lt;1,((($T62*(1-$F62)+$S62*(1-$G62))/$L62)*((1+Inputs!$D$7)^AB$2)),((INT(AB$2/$L62)-INT((AB$2-1)/$L62))*($T62*(1-$F62)+$S62*(1-$G62))*((1+Inputs!$D$7)^AB$2))),((_xlfn.WEIBULL.DIST(AB$2,$M62,$L62,FALSE)*($T62*(1-$F62)+$S62*(1-$G62))*((1+Inputs!$D$7)^AB$2))))))</f>
        <v>0</v>
      </c>
      <c r="AC62" s="88">
        <f>$E62*IF(AC$2&gt;Inputs!$D$5,0,IF(AC$2&gt;VLOOKUP($H62,Lists!$P$3:$Q$7,2),IF($N62=Lists!$K$3,IF($L62&lt;1,(($U62/$L62)*((1+Inputs!$D$7)^AC$2)),((INT(AC$2/$L62)-INT((AC$2-1)/$L62))*$U62*((1+Inputs!$D$7)^AC$2))),(_xlfn.WEIBULL.DIST(AC$2,$M62,$L62,FALSE)*$U62*((1+Inputs!$D$7)^AC$2))),IF($N62=Lists!$K$3,IF($L62&lt;1,((($T62*(1-$F62)+$S62*(1-$G62))/$L62)*((1+Inputs!$D$7)^AC$2)),((INT(AC$2/$L62)-INT((AC$2-1)/$L62))*($T62*(1-$F62)+$S62*(1-$G62))*((1+Inputs!$D$7)^AC$2))),((_xlfn.WEIBULL.DIST(AC$2,$M62,$L62,FALSE)*($T62*(1-$F62)+$S62*(1-$G62))*((1+Inputs!$D$7)^AC$2))))))</f>
        <v>0</v>
      </c>
      <c r="AD62" s="88">
        <f>$E62*IF(AD$2&gt;Inputs!$D$5,0,IF(AD$2&gt;VLOOKUP($H62,Lists!$P$3:$Q$7,2),IF($N62=Lists!$K$3,IF($L62&lt;1,(($U62/$L62)*((1+Inputs!$D$7)^AD$2)),((INT(AD$2/$L62)-INT((AD$2-1)/$L62))*$U62*((1+Inputs!$D$7)^AD$2))),(_xlfn.WEIBULL.DIST(AD$2,$M62,$L62,FALSE)*$U62*((1+Inputs!$D$7)^AD$2))),IF($N62=Lists!$K$3,IF($L62&lt;1,((($T62*(1-$F62)+$S62*(1-$G62))/$L62)*((1+Inputs!$D$7)^AD$2)),((INT(AD$2/$L62)-INT((AD$2-1)/$L62))*($T62*(1-$F62)+$S62*(1-$G62))*((1+Inputs!$D$7)^AD$2))),((_xlfn.WEIBULL.DIST(AD$2,$M62,$L62,FALSE)*($T62*(1-$F62)+$S62*(1-$G62))*((1+Inputs!$D$7)^AD$2))))))</f>
        <v>0</v>
      </c>
      <c r="AE62" s="88">
        <f>$E62*IF(AE$2&gt;Inputs!$D$5,0,IF(AE$2&gt;VLOOKUP($H62,Lists!$P$3:$Q$7,2),IF($N62=Lists!$K$3,IF($L62&lt;1,(($U62/$L62)*((1+Inputs!$D$7)^AE$2)),((INT(AE$2/$L62)-INT((AE$2-1)/$L62))*$U62*((1+Inputs!$D$7)^AE$2))),(_xlfn.WEIBULL.DIST(AE$2,$M62,$L62,FALSE)*$U62*((1+Inputs!$D$7)^AE$2))),IF($N62=Lists!$K$3,IF($L62&lt;1,((($T62*(1-$F62)+$S62*(1-$G62))/$L62)*((1+Inputs!$D$7)^AE$2)),((INT(AE$2/$L62)-INT((AE$2-1)/$L62))*($T62*(1-$F62)+$S62*(1-$G62))*((1+Inputs!$D$7)^AE$2))),((_xlfn.WEIBULL.DIST(AE$2,$M62,$L62,FALSE)*($T62*(1-$F62)+$S62*(1-$G62))*((1+Inputs!$D$7)^AE$2))))))</f>
        <v>0</v>
      </c>
      <c r="AF62" s="88">
        <f>$E62*IF(AF$2&gt;Inputs!$D$5,0,IF(AF$2&gt;VLOOKUP($H62,Lists!$P$3:$Q$7,2),IF($N62=Lists!$K$3,IF($L62&lt;1,(($U62/$L62)*((1+Inputs!$D$7)^AF$2)),((INT(AF$2/$L62)-INT((AF$2-1)/$L62))*$U62*((1+Inputs!$D$7)^AF$2))),(_xlfn.WEIBULL.DIST(AF$2,$M62,$L62,FALSE)*$U62*((1+Inputs!$D$7)^AF$2))),IF($N62=Lists!$K$3,IF($L62&lt;1,((($T62*(1-$F62)+$S62*(1-$G62))/$L62)*((1+Inputs!$D$7)^AF$2)),((INT(AF$2/$L62)-INT((AF$2-1)/$L62))*($T62*(1-$F62)+$S62*(1-$G62))*((1+Inputs!$D$7)^AF$2))),((_xlfn.WEIBULL.DIST(AF$2,$M62,$L62,FALSE)*($T62*(1-$F62)+$S62*(1-$G62))*((1+Inputs!$D$7)^AF$2))))))</f>
        <v>0</v>
      </c>
      <c r="AG62" s="88">
        <f>$E62*IF(AG$2&gt;Inputs!$D$5,0,IF(AG$2&gt;VLOOKUP($H62,Lists!$P$3:$Q$7,2),IF($N62=Lists!$K$3,IF($L62&lt;1,(($U62/$L62)*((1+Inputs!$D$7)^AG$2)),((INT(AG$2/$L62)-INT((AG$2-1)/$L62))*$U62*((1+Inputs!$D$7)^AG$2))),(_xlfn.WEIBULL.DIST(AG$2,$M62,$L62,FALSE)*$U62*((1+Inputs!$D$7)^AG$2))),IF($N62=Lists!$K$3,IF($L62&lt;1,((($T62*(1-$F62)+$S62*(1-$G62))/$L62)*((1+Inputs!$D$7)^AG$2)),((INT(AG$2/$L62)-INT((AG$2-1)/$L62))*($T62*(1-$F62)+$S62*(1-$G62))*((1+Inputs!$D$7)^AG$2))),((_xlfn.WEIBULL.DIST(AG$2,$M62,$L62,FALSE)*($T62*(1-$F62)+$S62*(1-$G62))*((1+Inputs!$D$7)^AG$2))))))</f>
        <v>0</v>
      </c>
      <c r="AH62" s="88">
        <f>$E62*IF(AH$2&gt;Inputs!$D$5,0,IF(AH$2&gt;VLOOKUP($H62,Lists!$P$3:$Q$7,2),IF($N62=Lists!$K$3,IF($L62&lt;1,(($U62/$L62)*((1+Inputs!$D$7)^AH$2)),((INT(AH$2/$L62)-INT((AH$2-1)/$L62))*$U62*((1+Inputs!$D$7)^AH$2))),(_xlfn.WEIBULL.DIST(AH$2,$M62,$L62,FALSE)*$U62*((1+Inputs!$D$7)^AH$2))),IF($N62=Lists!$K$3,IF($L62&lt;1,((($T62*(1-$F62)+$S62*(1-$G62))/$L62)*((1+Inputs!$D$7)^AH$2)),((INT(AH$2/$L62)-INT((AH$2-1)/$L62))*($T62*(1-$F62)+$S62*(1-$G62))*((1+Inputs!$D$7)^AH$2))),((_xlfn.WEIBULL.DIST(AH$2,$M62,$L62,FALSE)*($T62*(1-$F62)+$S62*(1-$G62))*((1+Inputs!$D$7)^AH$2))))))</f>
        <v>0</v>
      </c>
      <c r="AI62" s="88">
        <f>$E62*IF(AI$2&gt;Inputs!$D$5,0,IF(AI$2&gt;VLOOKUP($H62,Lists!$P$3:$Q$7,2),IF($N62=Lists!$K$3,IF($L62&lt;1,(($U62/$L62)*((1+Inputs!$D$7)^AI$2)),((INT(AI$2/$L62)-INT((AI$2-1)/$L62))*$U62*((1+Inputs!$D$7)^AI$2))),(_xlfn.WEIBULL.DIST(AI$2,$M62,$L62,FALSE)*$U62*((1+Inputs!$D$7)^AI$2))),IF($N62=Lists!$K$3,IF($L62&lt;1,((($T62*(1-$F62)+$S62*(1-$G62))/$L62)*((1+Inputs!$D$7)^AI$2)),((INT(AI$2/$L62)-INT((AI$2-1)/$L62))*($T62*(1-$F62)+$S62*(1-$G62))*((1+Inputs!$D$7)^AI$2))),((_xlfn.WEIBULL.DIST(AI$2,$M62,$L62,FALSE)*($T62*(1-$F62)+$S62*(1-$G62))*((1+Inputs!$D$7)^AI$2))))))</f>
        <v>0</v>
      </c>
      <c r="AJ62" s="88">
        <f>$E62*IF(AJ$2&gt;Inputs!$D$5,0,IF(AJ$2&gt;VLOOKUP($H62,Lists!$P$3:$Q$7,2),IF($N62=Lists!$K$3,IF($L62&lt;1,(($U62/$L62)*((1+Inputs!$D$7)^AJ$2)),((INT(AJ$2/$L62)-INT((AJ$2-1)/$L62))*$U62*((1+Inputs!$D$7)^AJ$2))),(_xlfn.WEIBULL.DIST(AJ$2,$M62,$L62,FALSE)*$U62*((1+Inputs!$D$7)^AJ$2))),IF($N62=Lists!$K$3,IF($L62&lt;1,((($T62*(1-$F62)+$S62*(1-$G62))/$L62)*((1+Inputs!$D$7)^AJ$2)),((INT(AJ$2/$L62)-INT((AJ$2-1)/$L62))*($T62*(1-$F62)+$S62*(1-$G62))*((1+Inputs!$D$7)^AJ$2))),((_xlfn.WEIBULL.DIST(AJ$2,$M62,$L62,FALSE)*($T62*(1-$F62)+$S62*(1-$G62))*((1+Inputs!$D$7)^AJ$2))))))</f>
        <v>0</v>
      </c>
      <c r="AK62" s="88">
        <f>$E62*IF(AK$2&gt;Inputs!$D$5,0,IF(AK$2&gt;VLOOKUP($H62,Lists!$P$3:$Q$7,2),IF($N62=Lists!$K$3,IF($L62&lt;1,(($U62/$L62)*((1+Inputs!$D$7)^AK$2)),((INT(AK$2/$L62)-INT((AK$2-1)/$L62))*$U62*((1+Inputs!$D$7)^AK$2))),(_xlfn.WEIBULL.DIST(AK$2,$M62,$L62,FALSE)*$U62*((1+Inputs!$D$7)^AK$2))),IF($N62=Lists!$K$3,IF($L62&lt;1,((($T62*(1-$F62)+$S62*(1-$G62))/$L62)*((1+Inputs!$D$7)^AK$2)),((INT(AK$2/$L62)-INT((AK$2-1)/$L62))*($T62*(1-$F62)+$S62*(1-$G62))*((1+Inputs!$D$7)^AK$2))),((_xlfn.WEIBULL.DIST(AK$2,$M62,$L62,FALSE)*($T62*(1-$F62)+$S62*(1-$G62))*((1+Inputs!$D$7)^AK$2))))))</f>
        <v>0</v>
      </c>
      <c r="AL62" s="88">
        <f>$E62*IF(AL$2&gt;Inputs!$D$5,0,IF(AL$2&gt;VLOOKUP($H62,Lists!$P$3:$Q$7,2),IF($N62=Lists!$K$3,IF($L62&lt;1,(($U62/$L62)*((1+Inputs!$D$7)^AL$2)),((INT(AL$2/$L62)-INT((AL$2-1)/$L62))*$U62*((1+Inputs!$D$7)^AL$2))),(_xlfn.WEIBULL.DIST(AL$2,$M62,$L62,FALSE)*$U62*((1+Inputs!$D$7)^AL$2))),IF($N62=Lists!$K$3,IF($L62&lt;1,((($T62*(1-$F62)+$S62*(1-$G62))/$L62)*((1+Inputs!$D$7)^AL$2)),((INT(AL$2/$L62)-INT((AL$2-1)/$L62))*($T62*(1-$F62)+$S62*(1-$G62))*((1+Inputs!$D$7)^AL$2))),((_xlfn.WEIBULL.DIST(AL$2,$M62,$L62,FALSE)*($T62*(1-$F62)+$S62*(1-$G62))*((1+Inputs!$D$7)^AL$2))))))</f>
        <v>0</v>
      </c>
      <c r="AM62" s="88">
        <f>$E62*IF(AM$2&gt;Inputs!$D$5,0,IF(AM$2&gt;VLOOKUP($H62,Lists!$P$3:$Q$7,2),IF($N62=Lists!$K$3,IF($L62&lt;1,(($U62/$L62)*((1+Inputs!$D$7)^AM$2)),((INT(AM$2/$L62)-INT((AM$2-1)/$L62))*$U62*((1+Inputs!$D$7)^AM$2))),(_xlfn.WEIBULL.DIST(AM$2,$M62,$L62,FALSE)*$U62*((1+Inputs!$D$7)^AM$2))),IF($N62=Lists!$K$3,IF($L62&lt;1,((($T62*(1-$F62)+$S62*(1-$G62))/$L62)*((1+Inputs!$D$7)^AM$2)),((INT(AM$2/$L62)-INT((AM$2-1)/$L62))*($T62*(1-$F62)+$S62*(1-$G62))*((1+Inputs!$D$7)^AM$2))),((_xlfn.WEIBULL.DIST(AM$2,$M62,$L62,FALSE)*($T62*(1-$F62)+$S62*(1-$G62))*((1+Inputs!$D$7)^AM$2))))))</f>
        <v>0</v>
      </c>
      <c r="AN62" s="88">
        <f>$E62*IF(AN$2&gt;Inputs!$D$5,0,IF(AN$2&gt;VLOOKUP($H62,Lists!$P$3:$Q$7,2),IF($N62=Lists!$K$3,IF($L62&lt;1,(($U62/$L62)*((1+Inputs!$D$7)^AN$2)),((INT(AN$2/$L62)-INT((AN$2-1)/$L62))*$U62*((1+Inputs!$D$7)^AN$2))),(_xlfn.WEIBULL.DIST(AN$2,$M62,$L62,FALSE)*$U62*((1+Inputs!$D$7)^AN$2))),IF($N62=Lists!$K$3,IF($L62&lt;1,((($T62*(1-$F62)+$S62*(1-$G62))/$L62)*((1+Inputs!$D$7)^AN$2)),((INT(AN$2/$L62)-INT((AN$2-1)/$L62))*($T62*(1-$F62)+$S62*(1-$G62))*((1+Inputs!$D$7)^AN$2))),((_xlfn.WEIBULL.DIST(AN$2,$M62,$L62,FALSE)*($T62*(1-$F62)+$S62*(1-$G62))*((1+Inputs!$D$7)^AN$2))))))</f>
        <v>0</v>
      </c>
      <c r="AO62" s="88">
        <f>$E62*IF(AO$2&gt;Inputs!$D$5,0,IF(AO$2&gt;VLOOKUP($H62,Lists!$P$3:$Q$7,2),IF($N62=Lists!$K$3,IF($L62&lt;1,(($U62/$L62)*((1+Inputs!$D$7)^AO$2)),((INT(AO$2/$L62)-INT((AO$2-1)/$L62))*$U62*((1+Inputs!$D$7)^AO$2))),(_xlfn.WEIBULL.DIST(AO$2,$M62,$L62,FALSE)*$U62*((1+Inputs!$D$7)^AO$2))),IF($N62=Lists!$K$3,IF($L62&lt;1,((($T62*(1-$F62)+$S62*(1-$G62))/$L62)*((1+Inputs!$D$7)^AO$2)),((INT(AO$2/$L62)-INT((AO$2-1)/$L62))*($T62*(1-$F62)+$S62*(1-$G62))*((1+Inputs!$D$7)^AO$2))),((_xlfn.WEIBULL.DIST(AO$2,$M62,$L62,FALSE)*($T62*(1-$F62)+$S62*(1-$G62))*((1+Inputs!$D$7)^AO$2))))))</f>
        <v>0</v>
      </c>
      <c r="AP62" s="88">
        <f>$E62*IF(AP$2&gt;Inputs!$D$5,0,IF(AP$2&gt;VLOOKUP($H62,Lists!$P$3:$Q$7,2),IF($N62=Lists!$K$3,IF($L62&lt;1,(($U62/$L62)*((1+Inputs!$D$7)^AP$2)),((INT(AP$2/$L62)-INT((AP$2-1)/$L62))*$U62*((1+Inputs!$D$7)^AP$2))),(_xlfn.WEIBULL.DIST(AP$2,$M62,$L62,FALSE)*$U62*((1+Inputs!$D$7)^AP$2))),IF($N62=Lists!$K$3,IF($L62&lt;1,((($T62*(1-$F62)+$S62*(1-$G62))/$L62)*((1+Inputs!$D$7)^AP$2)),((INT(AP$2/$L62)-INT((AP$2-1)/$L62))*($T62*(1-$F62)+$S62*(1-$G62))*((1+Inputs!$D$7)^AP$2))),((_xlfn.WEIBULL.DIST(AP$2,$M62,$L62,FALSE)*($T62*(1-$F62)+$S62*(1-$G62))*((1+Inputs!$D$7)^AP$2))))))</f>
        <v>0</v>
      </c>
      <c r="AQ62" s="88">
        <f>$E62*IF(AQ$2&gt;Inputs!$D$5,0,IF(AQ$2&gt;VLOOKUP($H62,Lists!$P$3:$Q$7,2),IF($N62=Lists!$K$3,IF($L62&lt;1,(($U62/$L62)*((1+Inputs!$D$7)^AQ$2)),((INT(AQ$2/$L62)-INT((AQ$2-1)/$L62))*$U62*((1+Inputs!$D$7)^AQ$2))),(_xlfn.WEIBULL.DIST(AQ$2,$M62,$L62,FALSE)*$U62*((1+Inputs!$D$7)^AQ$2))),IF($N62=Lists!$K$3,IF($L62&lt;1,((($T62*(1-$F62)+$S62*(1-$G62))/$L62)*((1+Inputs!$D$7)^AQ$2)),((INT(AQ$2/$L62)-INT((AQ$2-1)/$L62))*($T62*(1-$F62)+$S62*(1-$G62))*((1+Inputs!$D$7)^AQ$2))),((_xlfn.WEIBULL.DIST(AQ$2,$M62,$L62,FALSE)*($T62*(1-$F62)+$S62*(1-$G62))*((1+Inputs!$D$7)^AQ$2))))))</f>
        <v>0</v>
      </c>
      <c r="AR62" s="88">
        <f>$E62*IF(AR$2&gt;Inputs!$D$5,0,IF(AR$2&gt;VLOOKUP($H62,Lists!$P$3:$Q$7,2),IF($N62=Lists!$K$3,IF($L62&lt;1,(($U62/$L62)*((1+Inputs!$D$7)^AR$2)),((INT(AR$2/$L62)-INT((AR$2-1)/$L62))*$U62*((1+Inputs!$D$7)^AR$2))),(_xlfn.WEIBULL.DIST(AR$2,$M62,$L62,FALSE)*$U62*((1+Inputs!$D$7)^AR$2))),IF($N62=Lists!$K$3,IF($L62&lt;1,((($T62*(1-$F62)+$S62*(1-$G62))/$L62)*((1+Inputs!$D$7)^AR$2)),((INT(AR$2/$L62)-INT((AR$2-1)/$L62))*($T62*(1-$F62)+$S62*(1-$G62))*((1+Inputs!$D$7)^AR$2))),((_xlfn.WEIBULL.DIST(AR$2,$M62,$L62,FALSE)*($T62*(1-$F62)+$S62*(1-$G62))*((1+Inputs!$D$7)^AR$2))))))</f>
        <v>0</v>
      </c>
      <c r="AS62" s="88">
        <f>$E62*IF(AS$2&gt;Inputs!$D$5,0,IF(AS$2&gt;VLOOKUP($H62,Lists!$P$3:$Q$7,2),IF($N62=Lists!$K$3,IF($L62&lt;1,(($U62/$L62)*((1+Inputs!$D$7)^AS$2)),((INT(AS$2/$L62)-INT((AS$2-1)/$L62))*$U62*((1+Inputs!$D$7)^AS$2))),(_xlfn.WEIBULL.DIST(AS$2,$M62,$L62,FALSE)*$U62*((1+Inputs!$D$7)^AS$2))),IF($N62=Lists!$K$3,IF($L62&lt;1,((($T62*(1-$F62)+$S62*(1-$G62))/$L62)*((1+Inputs!$D$7)^AS$2)),((INT(AS$2/$L62)-INT((AS$2-1)/$L62))*($T62*(1-$F62)+$S62*(1-$G62))*((1+Inputs!$D$7)^AS$2))),((_xlfn.WEIBULL.DIST(AS$2,$M62,$L62,FALSE)*($T62*(1-$F62)+$S62*(1-$G62))*((1+Inputs!$D$7)^AS$2))))))</f>
        <v>0</v>
      </c>
      <c r="AT62" s="88">
        <f>$E62*IF(AT$2&gt;Inputs!$D$5,0,IF(AT$2&gt;VLOOKUP($H62,Lists!$P$3:$Q$7,2),IF($N62=Lists!$K$3,IF($L62&lt;1,(($U62/$L62)*((1+Inputs!$D$7)^AT$2)),((INT(AT$2/$L62)-INT((AT$2-1)/$L62))*$U62*((1+Inputs!$D$7)^AT$2))),(_xlfn.WEIBULL.DIST(AT$2,$M62,$L62,FALSE)*$U62*((1+Inputs!$D$7)^AT$2))),IF($N62=Lists!$K$3,IF($L62&lt;1,((($T62*(1-$F62)+$S62*(1-$G62))/$L62)*((1+Inputs!$D$7)^AT$2)),((INT(AT$2/$L62)-INT((AT$2-1)/$L62))*($T62*(1-$F62)+$S62*(1-$G62))*((1+Inputs!$D$7)^AT$2))),((_xlfn.WEIBULL.DIST(AT$2,$M62,$L62,FALSE)*($T62*(1-$F62)+$S62*(1-$G62))*((1+Inputs!$D$7)^AT$2))))))</f>
        <v>0</v>
      </c>
      <c r="AU62" s="88">
        <f>$E62*IF(AU$2&gt;Inputs!$D$5,0,IF(AU$2&gt;VLOOKUP($H62,Lists!$P$3:$Q$7,2),IF($N62=Lists!$K$3,IF($L62&lt;1,(($U62/$L62)*((1+Inputs!$D$7)^AU$2)),((INT(AU$2/$L62)-INT((AU$2-1)/$L62))*$U62*((1+Inputs!$D$7)^AU$2))),(_xlfn.WEIBULL.DIST(AU$2,$M62,$L62,FALSE)*$U62*((1+Inputs!$D$7)^AU$2))),IF($N62=Lists!$K$3,IF($L62&lt;1,((($T62*(1-$F62)+$S62*(1-$G62))/$L62)*((1+Inputs!$D$7)^AU$2)),((INT(AU$2/$L62)-INT((AU$2-1)/$L62))*($T62*(1-$F62)+$S62*(1-$G62))*((1+Inputs!$D$7)^AU$2))),((_xlfn.WEIBULL.DIST(AU$2,$M62,$L62,FALSE)*($T62*(1-$F62)+$S62*(1-$G62))*((1+Inputs!$D$7)^AU$2))))))</f>
        <v>0</v>
      </c>
      <c r="AV62" s="88">
        <f>$E62*IF(AV$2&gt;Inputs!$D$5,0,IF(AV$2&gt;VLOOKUP($H62,Lists!$P$3:$Q$7,2),IF($N62=Lists!$K$3,IF($L62&lt;1,(($U62/$L62)*((1+Inputs!$D$7)^AV$2)),((INT(AV$2/$L62)-INT((AV$2-1)/$L62))*$U62*((1+Inputs!$D$7)^AV$2))),(_xlfn.WEIBULL.DIST(AV$2,$M62,$L62,FALSE)*$U62*((1+Inputs!$D$7)^AV$2))),IF($N62=Lists!$K$3,IF($L62&lt;1,((($T62*(1-$F62)+$S62*(1-$G62))/$L62)*((1+Inputs!$D$7)^AV$2)),((INT(AV$2/$L62)-INT((AV$2-1)/$L62))*($T62*(1-$F62)+$S62*(1-$G62))*((1+Inputs!$D$7)^AV$2))),((_xlfn.WEIBULL.DIST(AV$2,$M62,$L62,FALSE)*($T62*(1-$F62)+$S62*(1-$G62))*((1+Inputs!$D$7)^AV$2))))))</f>
        <v>0</v>
      </c>
      <c r="AW62" s="88">
        <f>$E62*IF(AW$2&gt;Inputs!$D$5,0,IF(AW$2&gt;VLOOKUP($H62,Lists!$P$3:$Q$7,2),IF($N62=Lists!$K$3,IF($L62&lt;1,(($U62/$L62)*((1+Inputs!$D$7)^AW$2)),((INT(AW$2/$L62)-INT((AW$2-1)/$L62))*$U62*((1+Inputs!$D$7)^AW$2))),(_xlfn.WEIBULL.DIST(AW$2,$M62,$L62,FALSE)*$U62*((1+Inputs!$D$7)^AW$2))),IF($N62=Lists!$K$3,IF($L62&lt;1,((($T62*(1-$F62)+$S62*(1-$G62))/$L62)*((1+Inputs!$D$7)^AW$2)),((INT(AW$2/$L62)-INT((AW$2-1)/$L62))*($T62*(1-$F62)+$S62*(1-$G62))*((1+Inputs!$D$7)^AW$2))),((_xlfn.WEIBULL.DIST(AW$2,$M62,$L62,FALSE)*($T62*(1-$F62)+$S62*(1-$G62))*((1+Inputs!$D$7)^AW$2))))))</f>
        <v>0</v>
      </c>
      <c r="AX62" s="88">
        <f>$E62*IF(AX$2&gt;Inputs!$D$5,0,IF(AX$2&gt;VLOOKUP($H62,Lists!$P$3:$Q$7,2),IF($N62=Lists!$K$3,IF($L62&lt;1,(($U62/$L62)*((1+Inputs!$D$7)^AX$2)),((INT(AX$2/$L62)-INT((AX$2-1)/$L62))*$U62*((1+Inputs!$D$7)^AX$2))),(_xlfn.WEIBULL.DIST(AX$2,$M62,$L62,FALSE)*$U62*((1+Inputs!$D$7)^AX$2))),IF($N62=Lists!$K$3,IF($L62&lt;1,((($T62*(1-$F62)+$S62*(1-$G62))/$L62)*((1+Inputs!$D$7)^AX$2)),((INT(AX$2/$L62)-INT((AX$2-1)/$L62))*($T62*(1-$F62)+$S62*(1-$G62))*((1+Inputs!$D$7)^AX$2))),((_xlfn.WEIBULL.DIST(AX$2,$M62,$L62,FALSE)*($T62*(1-$F62)+$S62*(1-$G62))*((1+Inputs!$D$7)^AX$2))))))</f>
        <v>0</v>
      </c>
      <c r="AY62" s="88">
        <f>$E62*IF(AY$2&gt;Inputs!$D$5,0,IF(AY$2&gt;VLOOKUP($H62,Lists!$P$3:$Q$7,2),IF($N62=Lists!$K$3,IF($L62&lt;1,(($U62/$L62)*((1+Inputs!$D$7)^AY$2)),((INT(AY$2/$L62)-INT((AY$2-1)/$L62))*$U62*((1+Inputs!$D$7)^AY$2))),(_xlfn.WEIBULL.DIST(AY$2,$M62,$L62,FALSE)*$U62*((1+Inputs!$D$7)^AY$2))),IF($N62=Lists!$K$3,IF($L62&lt;1,((($T62*(1-$F62)+$S62*(1-$G62))/$L62)*((1+Inputs!$D$7)^AY$2)),((INT(AY$2/$L62)-INT((AY$2-1)/$L62))*($T62*(1-$F62)+$S62*(1-$G62))*((1+Inputs!$D$7)^AY$2))),((_xlfn.WEIBULL.DIST(AY$2,$M62,$L62,FALSE)*($T62*(1-$F62)+$S62*(1-$G62))*((1+Inputs!$D$7)^AY$2))))))</f>
        <v>0</v>
      </c>
      <c r="AZ62" s="88">
        <f>$E62*IF(AZ$2&gt;Inputs!$D$5,0,IF(AZ$2&gt;VLOOKUP($H62,Lists!$P$3:$Q$7,2),IF($N62=Lists!$K$3,IF($L62&lt;1,(($U62/$L62)*((1+Inputs!$D$7)^AZ$2)),((INT(AZ$2/$L62)-INT((AZ$2-1)/$L62))*$U62*((1+Inputs!$D$7)^AZ$2))),(_xlfn.WEIBULL.DIST(AZ$2,$M62,$L62,FALSE)*$U62*((1+Inputs!$D$7)^AZ$2))),IF($N62=Lists!$K$3,IF($L62&lt;1,((($T62*(1-$F62)+$S62*(1-$G62))/$L62)*((1+Inputs!$D$7)^AZ$2)),((INT(AZ$2/$L62)-INT((AZ$2-1)/$L62))*($T62*(1-$F62)+$S62*(1-$G62))*((1+Inputs!$D$7)^AZ$2))),((_xlfn.WEIBULL.DIST(AZ$2,$M62,$L62,FALSE)*($T62*(1-$F62)+$S62*(1-$G62))*((1+Inputs!$D$7)^AZ$2))))))</f>
        <v>0</v>
      </c>
      <c r="BA62" s="88">
        <f>$E62*IF(BA$2&gt;Inputs!$D$5,0,IF(BA$2&gt;VLOOKUP($H62,Lists!$P$3:$Q$7,2),IF($N62=Lists!$K$3,IF($L62&lt;1,(($U62/$L62)*((1+Inputs!$D$7)^BA$2)),((INT(BA$2/$L62)-INT((BA$2-1)/$L62))*$U62*((1+Inputs!$D$7)^BA$2))),(_xlfn.WEIBULL.DIST(BA$2,$M62,$L62,FALSE)*$U62*((1+Inputs!$D$7)^BA$2))),IF($N62=Lists!$K$3,IF($L62&lt;1,((($T62*(1-$F62)+$S62*(1-$G62))/$L62)*((1+Inputs!$D$7)^BA$2)),((INT(BA$2/$L62)-INT((BA$2-1)/$L62))*($T62*(1-$F62)+$S62*(1-$G62))*((1+Inputs!$D$7)^BA$2))),((_xlfn.WEIBULL.DIST(BA$2,$M62,$L62,FALSE)*($T62*(1-$F62)+$S62*(1-$G62))*((1+Inputs!$D$7)^BA$2))))))</f>
        <v>0</v>
      </c>
      <c r="BB62" s="88">
        <f>$E62*IF(BB$2&gt;Inputs!$D$5,0,IF(BB$2&gt;VLOOKUP($H62,Lists!$P$3:$Q$7,2),IF($N62=Lists!$K$3,IF($L62&lt;1,(($U62/$L62)*((1+Inputs!$D$7)^BB$2)),((INT(BB$2/$L62)-INT((BB$2-1)/$L62))*$U62*((1+Inputs!$D$7)^BB$2))),(_xlfn.WEIBULL.DIST(BB$2,$M62,$L62,FALSE)*$U62*((1+Inputs!$D$7)^BB$2))),IF($N62=Lists!$K$3,IF($L62&lt;1,((($T62*(1-$F62)+$S62*(1-$G62))/$L62)*((1+Inputs!$D$7)^BB$2)),((INT(BB$2/$L62)-INT((BB$2-1)/$L62))*($T62*(1-$F62)+$S62*(1-$G62))*((1+Inputs!$D$7)^BB$2))),((_xlfn.WEIBULL.DIST(BB$2,$M62,$L62,FALSE)*($T62*(1-$F62)+$S62*(1-$G62))*((1+Inputs!$D$7)^BB$2))))))</f>
        <v>0</v>
      </c>
      <c r="BC62" s="88">
        <f>$E62*IF(BC$2&gt;Inputs!$D$5,0,IF(BC$2&gt;VLOOKUP($H62,Lists!$P$3:$Q$7,2),IF($N62=Lists!$K$3,IF($L62&lt;1,(($U62/$L62)*((1+Inputs!$D$7)^BC$2)),((INT(BC$2/$L62)-INT((BC$2-1)/$L62))*$U62*((1+Inputs!$D$7)^BC$2))),(_xlfn.WEIBULL.DIST(BC$2,$M62,$L62,FALSE)*$U62*((1+Inputs!$D$7)^BC$2))),IF($N62=Lists!$K$3,IF($L62&lt;1,((($T62*(1-$F62)+$S62*(1-$G62))/$L62)*((1+Inputs!$D$7)^BC$2)),((INT(BC$2/$L62)-INT((BC$2-1)/$L62))*($T62*(1-$F62)+$S62*(1-$G62))*((1+Inputs!$D$7)^BC$2))),((_xlfn.WEIBULL.DIST(BC$2,$M62,$L62,FALSE)*($T62*(1-$F62)+$S62*(1-$G62))*((1+Inputs!$D$7)^BC$2))))))</f>
        <v>0</v>
      </c>
      <c r="BD62" s="88">
        <f>$E62*IF(BD$2&gt;Inputs!$D$5,0,IF(BD$2&gt;VLOOKUP($H62,Lists!$P$3:$Q$7,2),IF($N62=Lists!$K$3,IF($L62&lt;1,(($U62/$L62)*((1+Inputs!$D$7)^BD$2)),((INT(BD$2/$L62)-INT((BD$2-1)/$L62))*$U62*((1+Inputs!$D$7)^BD$2))),(_xlfn.WEIBULL.DIST(BD$2,$M62,$L62,FALSE)*$U62*((1+Inputs!$D$7)^BD$2))),IF($N62=Lists!$K$3,IF($L62&lt;1,((($T62*(1-$F62)+$S62*(1-$G62))/$L62)*((1+Inputs!$D$7)^BD$2)),((INT(BD$2/$L62)-INT((BD$2-1)/$L62))*($T62*(1-$F62)+$S62*(1-$G62))*((1+Inputs!$D$7)^BD$2))),((_xlfn.WEIBULL.DIST(BD$2,$M62,$L62,FALSE)*($T62*(1-$F62)+$S62*(1-$G62))*((1+Inputs!$D$7)^BD$2))))))</f>
        <v>0</v>
      </c>
      <c r="BE62" s="88">
        <f>$E62*IF(BE$2&gt;Inputs!$D$5,0,IF(BE$2&gt;VLOOKUP($H62,Lists!$P$3:$Q$7,2),IF($N62=Lists!$K$3,IF($L62&lt;1,(($U62/$L62)*((1+Inputs!$D$7)^BE$2)),((INT(BE$2/$L62)-INT((BE$2-1)/$L62))*$U62*((1+Inputs!$D$7)^BE$2))),(_xlfn.WEIBULL.DIST(BE$2,$M62,$L62,FALSE)*$U62*((1+Inputs!$D$7)^BE$2))),IF($N62=Lists!$K$3,IF($L62&lt;1,((($T62*(1-$F62)+$S62*(1-$G62))/$L62)*((1+Inputs!$D$7)^BE$2)),((INT(BE$2/$L62)-INT((BE$2-1)/$L62))*($T62*(1-$F62)+$S62*(1-$G62))*((1+Inputs!$D$7)^BE$2))),((_xlfn.WEIBULL.DIST(BE$2,$M62,$L62,FALSE)*($T62*(1-$F62)+$S62*(1-$G62))*((1+Inputs!$D$7)^BE$2))))))</f>
        <v>0</v>
      </c>
      <c r="BF62" s="88">
        <f>$E62*IF(BF$2&gt;Inputs!$D$5,0,IF(BF$2&gt;VLOOKUP($H62,Lists!$P$3:$Q$7,2),IF($N62=Lists!$K$3,IF($L62&lt;1,(($U62/$L62)*((1+Inputs!$D$7)^BF$2)),((INT(BF$2/$L62)-INT((BF$2-1)/$L62))*$U62*((1+Inputs!$D$7)^BF$2))),(_xlfn.WEIBULL.DIST(BF$2,$M62,$L62,FALSE)*$U62*((1+Inputs!$D$7)^BF$2))),IF($N62=Lists!$K$3,IF($L62&lt;1,((($T62*(1-$F62)+$S62*(1-$G62))/$L62)*((1+Inputs!$D$7)^BF$2)),((INT(BF$2/$L62)-INT((BF$2-1)/$L62))*($T62*(1-$F62)+$S62*(1-$G62))*((1+Inputs!$D$7)^BF$2))),((_xlfn.WEIBULL.DIST(BF$2,$M62,$L62,FALSE)*($T62*(1-$F62)+$S62*(1-$G62))*((1+Inputs!$D$7)^BF$2))))))</f>
        <v>0</v>
      </c>
      <c r="BG62" s="88">
        <f>$E62*IF(BG$2&gt;Inputs!$D$5,0,IF(BG$2&gt;VLOOKUP($H62,Lists!$P$3:$Q$7,2),IF($N62=Lists!$K$3,IF($L62&lt;1,(($U62/$L62)*((1+Inputs!$D$7)^BG$2)),((INT(BG$2/$L62)-INT((BG$2-1)/$L62))*$U62*((1+Inputs!$D$7)^BG$2))),(_xlfn.WEIBULL.DIST(BG$2,$M62,$L62,FALSE)*$U62*((1+Inputs!$D$7)^BG$2))),IF($N62=Lists!$K$3,IF($L62&lt;1,((($T62*(1-$F62)+$S62*(1-$G62))/$L62)*((1+Inputs!$D$7)^BG$2)),((INT(BG$2/$L62)-INT((BG$2-1)/$L62))*($T62*(1-$F62)+$S62*(1-$G62))*((1+Inputs!$D$7)^BG$2))),((_xlfn.WEIBULL.DIST(BG$2,$M62,$L62,FALSE)*($T62*(1-$F62)+$S62*(1-$G62))*((1+Inputs!$D$7)^BG$2))))))</f>
        <v>0</v>
      </c>
      <c r="BH62" s="88">
        <f>$E62*IF(BH$2&gt;Inputs!$D$5,0,IF(BH$2&gt;VLOOKUP($H62,Lists!$P$3:$Q$7,2),IF($N62=Lists!$K$3,IF($L62&lt;1,(($U62/$L62)*((1+Inputs!$D$7)^BH$2)),((INT(BH$2/$L62)-INT((BH$2-1)/$L62))*$U62*((1+Inputs!$D$7)^BH$2))),(_xlfn.WEIBULL.DIST(BH$2,$M62,$L62,FALSE)*$U62*((1+Inputs!$D$7)^BH$2))),IF($N62=Lists!$K$3,IF($L62&lt;1,((($T62*(1-$F62)+$S62*(1-$G62))/$L62)*((1+Inputs!$D$7)^BH$2)),((INT(BH$2/$L62)-INT((BH$2-1)/$L62))*($T62*(1-$F62)+$S62*(1-$G62))*((1+Inputs!$D$7)^BH$2))),((_xlfn.WEIBULL.DIST(BH$2,$M62,$L62,FALSE)*($T62*(1-$F62)+$S62*(1-$G62))*((1+Inputs!$D$7)^BH$2))))))</f>
        <v>0</v>
      </c>
      <c r="BI62" s="88">
        <f>$E62*IF(BI$2&gt;Inputs!$D$5,0,IF(BI$2&gt;VLOOKUP($H62,Lists!$P$3:$Q$7,2),IF($N62=Lists!$K$3,IF($L62&lt;1,(($U62/$L62)*((1+Inputs!$D$7)^BI$2)),((INT(BI$2/$L62)-INT((BI$2-1)/$L62))*$U62*((1+Inputs!$D$7)^BI$2))),(_xlfn.WEIBULL.DIST(BI$2,$M62,$L62,FALSE)*$U62*((1+Inputs!$D$7)^BI$2))),IF($N62=Lists!$K$3,IF($L62&lt;1,((($T62*(1-$F62)+$S62*(1-$G62))/$L62)*((1+Inputs!$D$7)^BI$2)),((INT(BI$2/$L62)-INT((BI$2-1)/$L62))*($T62*(1-$F62)+$S62*(1-$G62))*((1+Inputs!$D$7)^BI$2))),((_xlfn.WEIBULL.DIST(BI$2,$M62,$L62,FALSE)*($T62*(1-$F62)+$S62*(1-$G62))*((1+Inputs!$D$7)^BI$2))))))</f>
        <v>0</v>
      </c>
      <c r="BJ62" s="88">
        <f>$E62*IF(BJ$2&gt;Inputs!$D$5,0,IF(BJ$2&gt;VLOOKUP($H62,Lists!$P$3:$Q$7,2),IF($N62=Lists!$K$3,IF($L62&lt;1,(($U62/$L62)*((1+Inputs!$D$7)^BJ$2)),((INT(BJ$2/$L62)-INT((BJ$2-1)/$L62))*$U62*((1+Inputs!$D$7)^BJ$2))),(_xlfn.WEIBULL.DIST(BJ$2,$M62,$L62,FALSE)*$U62*((1+Inputs!$D$7)^BJ$2))),IF($N62=Lists!$K$3,IF($L62&lt;1,((($T62*(1-$F62)+$S62*(1-$G62))/$L62)*((1+Inputs!$D$7)^BJ$2)),((INT(BJ$2/$L62)-INT((BJ$2-1)/$L62))*($T62*(1-$F62)+$S62*(1-$G62))*((1+Inputs!$D$7)^BJ$2))),((_xlfn.WEIBULL.DIST(BJ$2,$M62,$L62,FALSE)*($T62*(1-$F62)+$S62*(1-$G62))*((1+Inputs!$D$7)^BJ$2))))))</f>
        <v>0</v>
      </c>
      <c r="BK62" s="88">
        <f>$E62*IF(BK$2&gt;Inputs!$D$5,0,IF(BK$2&gt;VLOOKUP($H62,Lists!$P$3:$Q$7,2),IF($N62=Lists!$K$3,IF($L62&lt;1,(($U62/$L62)*((1+Inputs!$D$7)^BK$2)),((INT(BK$2/$L62)-INT((BK$2-1)/$L62))*$U62*((1+Inputs!$D$7)^BK$2))),(_xlfn.WEIBULL.DIST(BK$2,$M62,$L62,FALSE)*$U62*((1+Inputs!$D$7)^BK$2))),IF($N62=Lists!$K$3,IF($L62&lt;1,((($T62*(1-$F62)+$S62*(1-$G62))/$L62)*((1+Inputs!$D$7)^BK$2)),((INT(BK$2/$L62)-INT((BK$2-1)/$L62))*($T62*(1-$F62)+$S62*(1-$G62))*((1+Inputs!$D$7)^BK$2))),((_xlfn.WEIBULL.DIST(BK$2,$M62,$L62,FALSE)*($T62*(1-$F62)+$S62*(1-$G62))*((1+Inputs!$D$7)^BK$2))))))</f>
        <v>0</v>
      </c>
      <c r="BL62" s="88">
        <f>$E62*IF(BL$2&gt;Inputs!$D$5,0,IF(BL$2&gt;VLOOKUP($H62,Lists!$P$3:$Q$7,2),IF($N62=Lists!$K$3,IF($L62&lt;1,(($U62/$L62)*((1+Inputs!$D$7)^BL$2)),((INT(BL$2/$L62)-INT((BL$2-1)/$L62))*$U62*((1+Inputs!$D$7)^BL$2))),(_xlfn.WEIBULL.DIST(BL$2,$M62,$L62,FALSE)*$U62*((1+Inputs!$D$7)^BL$2))),IF($N62=Lists!$K$3,IF($L62&lt;1,((($T62*(1-$F62)+$S62*(1-$G62))/$L62)*((1+Inputs!$D$7)^BL$2)),((INT(BL$2/$L62)-INT((BL$2-1)/$L62))*($T62*(1-$F62)+$S62*(1-$G62))*((1+Inputs!$D$7)^BL$2))),((_xlfn.WEIBULL.DIST(BL$2,$M62,$L62,FALSE)*($T62*(1-$F62)+$S62*(1-$G62))*((1+Inputs!$D$7)^BL$2))))))</f>
        <v>0</v>
      </c>
      <c r="BM62" s="88">
        <f>$E62*IF(BM$2&gt;Inputs!$D$5,0,IF(BM$2&gt;VLOOKUP($H62,Lists!$P$3:$Q$7,2),IF($N62=Lists!$K$3,IF($L62&lt;1,(($U62/$L62)*((1+Inputs!$D$7)^BM$2)),((INT(BM$2/$L62)-INT((BM$2-1)/$L62))*$U62*((1+Inputs!$D$7)^BM$2))),(_xlfn.WEIBULL.DIST(BM$2,$M62,$L62,FALSE)*$U62*((1+Inputs!$D$7)^BM$2))),IF($N62=Lists!$K$3,IF($L62&lt;1,((($T62*(1-$F62)+$S62*(1-$G62))/$L62)*((1+Inputs!$D$7)^BM$2)),((INT(BM$2/$L62)-INT((BM$2-1)/$L62))*($T62*(1-$F62)+$S62*(1-$G62))*((1+Inputs!$D$7)^BM$2))),((_xlfn.WEIBULL.DIST(BM$2,$M62,$L62,FALSE)*($T62*(1-$F62)+$S62*(1-$G62))*((1+Inputs!$D$7)^BM$2))))))</f>
        <v>0</v>
      </c>
      <c r="BN62" s="88">
        <f>$E62*IF(BN$2&gt;Inputs!$D$5,0,IF(BN$2&gt;VLOOKUP($H62,Lists!$P$3:$Q$7,2),IF($N62=Lists!$K$3,IF($L62&lt;1,(($U62/$L62)*((1+Inputs!$D$7)^BN$2)),((INT(BN$2/$L62)-INT((BN$2-1)/$L62))*$U62*((1+Inputs!$D$7)^BN$2))),(_xlfn.WEIBULL.DIST(BN$2,$M62,$L62,FALSE)*$U62*((1+Inputs!$D$7)^BN$2))),IF($N62=Lists!$K$3,IF($L62&lt;1,((($T62*(1-$F62)+$S62*(1-$G62))/$L62)*((1+Inputs!$D$7)^BN$2)),((INT(BN$2/$L62)-INT((BN$2-1)/$L62))*($T62*(1-$F62)+$S62*(1-$G62))*((1+Inputs!$D$7)^BN$2))),((_xlfn.WEIBULL.DIST(BN$2,$M62,$L62,FALSE)*($T62*(1-$F62)+$S62*(1-$G62))*((1+Inputs!$D$7)^BN$2))))))</f>
        <v>0</v>
      </c>
      <c r="BO62" s="64">
        <f>NPV(Inputs!$D$6,BQ62:DD62)</f>
        <v>0</v>
      </c>
      <c r="BP62" s="67">
        <f t="shared" si="13"/>
        <v>0</v>
      </c>
      <c r="BQ62" s="88">
        <f>MAX(AA62,($E62*IF(BQ$2&gt;Inputs!$D$5,0,IF(BQ$2&gt;VLOOKUP($H62,Lists!$P$3:$Q$7,2),IF($N62=Lists!$K$3,IF($L62&lt;1,(($U62/$L62)*((1+Inputs!$D$7)^BQ$2)),((INT(BQ$2/$L62)-INT((BQ$2-1)/$L62))*$U62*((1+Inputs!$D$7)^BQ$2))),(Inputs!$D$8^((1-_xlfn.WEIBULL.DIST(BQ$2,$M62,$L62,FALSE))/_xlfn.WEIBULL.DIST(BQ$2,$M62,$L62,FALSE))*$U62*((1+Inputs!$D$7)^BQ$2))),IF($N62=Lists!$K$3,IF($L62&lt;1,((($T62*(1-$F62)+$S62*(1-$G62))/$L62)*((1+Inputs!$D$7)^BQ$2)),((INT(BQ$2/$L62)-INT((BQ$2-1)/$L62))*($T62*(1-$F62)+$S62*(1-$G62))*((1+Inputs!$D$7)^BQ$2))),((Inputs!$D$8^((1-_xlfn.WEIBULL.DIST(BQ$2,$M62,$L62,FALSE))/_xlfn.WEIBULL.DIST(BQ$2,$M62,$L62,FALSE))*($T62*(1-$F62)+$S62*(1-$G62))*((1+Inputs!$D$7)^BQ$2))))))))</f>
        <v>0</v>
      </c>
      <c r="BR62" s="88">
        <f>MAX(AB62,($E62*IF(BR$2&gt;Inputs!$D$5,0,IF(BR$2&gt;VLOOKUP($H62,Lists!$P$3:$Q$7,2),IF($N62=Lists!$K$3,IF($L62&lt;1,(($U62/$L62)*((1+Inputs!$D$7)^BR$2)),((INT(BR$2/$L62)-INT((BR$2-1)/$L62))*$U62*((1+Inputs!$D$7)^BR$2))),(Inputs!$D$8^((1-_xlfn.WEIBULL.DIST(BR$2,$M62,$L62,FALSE))/_xlfn.WEIBULL.DIST(BR$2,$M62,$L62,FALSE))*$U62*((1+Inputs!$D$7)^BR$2))),IF($N62=Lists!$K$3,IF($L62&lt;1,((($T62*(1-$F62)+$S62*(1-$G62))/$L62)*((1+Inputs!$D$7)^BR$2)),((INT(BR$2/$L62)-INT((BR$2-1)/$L62))*($T62*(1-$F62)+$S62*(1-$G62))*((1+Inputs!$D$7)^BR$2))),((Inputs!$D$8^((1-_xlfn.WEIBULL.DIST(BR$2,$M62,$L62,FALSE))/_xlfn.WEIBULL.DIST(BR$2,$M62,$L62,FALSE))*($T62*(1-$F62)+$S62*(1-$G62))*((1+Inputs!$D$7)^BR$2))))))))</f>
        <v>0</v>
      </c>
      <c r="BS62" s="88">
        <f>MAX(AC62,($E62*IF(BS$2&gt;Inputs!$D$5,0,IF(BS$2&gt;VLOOKUP($H62,Lists!$P$3:$Q$7,2),IF($N62=Lists!$K$3,IF($L62&lt;1,(($U62/$L62)*((1+Inputs!$D$7)^BS$2)),((INT(BS$2/$L62)-INT((BS$2-1)/$L62))*$U62*((1+Inputs!$D$7)^BS$2))),(Inputs!$D$8^((1-_xlfn.WEIBULL.DIST(BS$2,$M62,$L62,FALSE))/_xlfn.WEIBULL.DIST(BS$2,$M62,$L62,FALSE))*$U62*((1+Inputs!$D$7)^BS$2))),IF($N62=Lists!$K$3,IF($L62&lt;1,((($T62*(1-$F62)+$S62*(1-$G62))/$L62)*((1+Inputs!$D$7)^BS$2)),((INT(BS$2/$L62)-INT((BS$2-1)/$L62))*($T62*(1-$F62)+$S62*(1-$G62))*((1+Inputs!$D$7)^BS$2))),((Inputs!$D$8^((1-_xlfn.WEIBULL.DIST(BS$2,$M62,$L62,FALSE))/_xlfn.WEIBULL.DIST(BS$2,$M62,$L62,FALSE))*($T62*(1-$F62)+$S62*(1-$G62))*((1+Inputs!$D$7)^BS$2))))))))</f>
        <v>0</v>
      </c>
      <c r="BT62" s="88">
        <f>MAX(AD62,($E62*IF(BT$2&gt;Inputs!$D$5,0,IF(BT$2&gt;VLOOKUP($H62,Lists!$P$3:$Q$7,2),IF($N62=Lists!$K$3,IF($L62&lt;1,(($U62/$L62)*((1+Inputs!$D$7)^BT$2)),((INT(BT$2/$L62)-INT((BT$2-1)/$L62))*$U62*((1+Inputs!$D$7)^BT$2))),(Inputs!$D$8^((1-_xlfn.WEIBULL.DIST(BT$2,$M62,$L62,FALSE))/_xlfn.WEIBULL.DIST(BT$2,$M62,$L62,FALSE))*$U62*((1+Inputs!$D$7)^BT$2))),IF($N62=Lists!$K$3,IF($L62&lt;1,((($T62*(1-$F62)+$S62*(1-$G62))/$L62)*((1+Inputs!$D$7)^BT$2)),((INT(BT$2/$L62)-INT((BT$2-1)/$L62))*($T62*(1-$F62)+$S62*(1-$G62))*((1+Inputs!$D$7)^BT$2))),((Inputs!$D$8^((1-_xlfn.WEIBULL.DIST(BT$2,$M62,$L62,FALSE))/_xlfn.WEIBULL.DIST(BT$2,$M62,$L62,FALSE))*($T62*(1-$F62)+$S62*(1-$G62))*((1+Inputs!$D$7)^BT$2))))))))</f>
        <v>0</v>
      </c>
      <c r="BU62" s="88">
        <f>MAX(AE62,($E62*IF(BU$2&gt;Inputs!$D$5,0,IF(BU$2&gt;VLOOKUP($H62,Lists!$P$3:$Q$7,2),IF($N62=Lists!$K$3,IF($L62&lt;1,(($U62/$L62)*((1+Inputs!$D$7)^BU$2)),((INT(BU$2/$L62)-INT((BU$2-1)/$L62))*$U62*((1+Inputs!$D$7)^BU$2))),(Inputs!$D$8^((1-_xlfn.WEIBULL.DIST(BU$2,$M62,$L62,FALSE))/_xlfn.WEIBULL.DIST(BU$2,$M62,$L62,FALSE))*$U62*((1+Inputs!$D$7)^BU$2))),IF($N62=Lists!$K$3,IF($L62&lt;1,((($T62*(1-$F62)+$S62*(1-$G62))/$L62)*((1+Inputs!$D$7)^BU$2)),((INT(BU$2/$L62)-INT((BU$2-1)/$L62))*($T62*(1-$F62)+$S62*(1-$G62))*((1+Inputs!$D$7)^BU$2))),((Inputs!$D$8^((1-_xlfn.WEIBULL.DIST(BU$2,$M62,$L62,FALSE))/_xlfn.WEIBULL.DIST(BU$2,$M62,$L62,FALSE))*($T62*(1-$F62)+$S62*(1-$G62))*((1+Inputs!$D$7)^BU$2))))))))</f>
        <v>0</v>
      </c>
      <c r="BV62" s="88">
        <f>MAX(AF62,($E62*IF(BV$2&gt;Inputs!$D$5,0,IF(BV$2&gt;VLOOKUP($H62,Lists!$P$3:$Q$7,2),IF($N62=Lists!$K$3,IF($L62&lt;1,(($U62/$L62)*((1+Inputs!$D$7)^BV$2)),((INT(BV$2/$L62)-INT((BV$2-1)/$L62))*$U62*((1+Inputs!$D$7)^BV$2))),(Inputs!$D$8^((1-_xlfn.WEIBULL.DIST(BV$2,$M62,$L62,FALSE))/_xlfn.WEIBULL.DIST(BV$2,$M62,$L62,FALSE))*$U62*((1+Inputs!$D$7)^BV$2))),IF($N62=Lists!$K$3,IF($L62&lt;1,((($T62*(1-$F62)+$S62*(1-$G62))/$L62)*((1+Inputs!$D$7)^BV$2)),((INT(BV$2/$L62)-INT((BV$2-1)/$L62))*($T62*(1-$F62)+$S62*(1-$G62))*((1+Inputs!$D$7)^BV$2))),((Inputs!$D$8^((1-_xlfn.WEIBULL.DIST(BV$2,$M62,$L62,FALSE))/_xlfn.WEIBULL.DIST(BV$2,$M62,$L62,FALSE))*($T62*(1-$F62)+$S62*(1-$G62))*((1+Inputs!$D$7)^BV$2))))))))</f>
        <v>0</v>
      </c>
      <c r="BW62" s="88">
        <f>MAX(AG62,($E62*IF(BW$2&gt;Inputs!$D$5,0,IF(BW$2&gt;VLOOKUP($H62,Lists!$P$3:$Q$7,2),IF($N62=Lists!$K$3,IF($L62&lt;1,(($U62/$L62)*((1+Inputs!$D$7)^BW$2)),((INT(BW$2/$L62)-INT((BW$2-1)/$L62))*$U62*((1+Inputs!$D$7)^BW$2))),(Inputs!$D$8^((1-_xlfn.WEIBULL.DIST(BW$2,$M62,$L62,FALSE))/_xlfn.WEIBULL.DIST(BW$2,$M62,$L62,FALSE))*$U62*((1+Inputs!$D$7)^BW$2))),IF($N62=Lists!$K$3,IF($L62&lt;1,((($T62*(1-$F62)+$S62*(1-$G62))/$L62)*((1+Inputs!$D$7)^BW$2)),((INT(BW$2/$L62)-INT((BW$2-1)/$L62))*($T62*(1-$F62)+$S62*(1-$G62))*((1+Inputs!$D$7)^BW$2))),((Inputs!$D$8^((1-_xlfn.WEIBULL.DIST(BW$2,$M62,$L62,FALSE))/_xlfn.WEIBULL.DIST(BW$2,$M62,$L62,FALSE))*($T62*(1-$F62)+$S62*(1-$G62))*((1+Inputs!$D$7)^BW$2))))))))</f>
        <v>0</v>
      </c>
      <c r="BX62" s="88">
        <f>MAX(AH62,($E62*IF(BX$2&gt;Inputs!$D$5,0,IF(BX$2&gt;VLOOKUP($H62,Lists!$P$3:$Q$7,2),IF($N62=Lists!$K$3,IF($L62&lt;1,(($U62/$L62)*((1+Inputs!$D$7)^BX$2)),((INT(BX$2/$L62)-INT((BX$2-1)/$L62))*$U62*((1+Inputs!$D$7)^BX$2))),(Inputs!$D$8^((1-_xlfn.WEIBULL.DIST(BX$2,$M62,$L62,FALSE))/_xlfn.WEIBULL.DIST(BX$2,$M62,$L62,FALSE))*$U62*((1+Inputs!$D$7)^BX$2))),IF($N62=Lists!$K$3,IF($L62&lt;1,((($T62*(1-$F62)+$S62*(1-$G62))/$L62)*((1+Inputs!$D$7)^BX$2)),((INT(BX$2/$L62)-INT((BX$2-1)/$L62))*($T62*(1-$F62)+$S62*(1-$G62))*((1+Inputs!$D$7)^BX$2))),((Inputs!$D$8^((1-_xlfn.WEIBULL.DIST(BX$2,$M62,$L62,FALSE))/_xlfn.WEIBULL.DIST(BX$2,$M62,$L62,FALSE))*($T62*(1-$F62)+$S62*(1-$G62))*((1+Inputs!$D$7)^BX$2))))))))</f>
        <v>0</v>
      </c>
      <c r="BY62" s="88">
        <f>MAX(AI62,($E62*IF(BY$2&gt;Inputs!$D$5,0,IF(BY$2&gt;VLOOKUP($H62,Lists!$P$3:$Q$7,2),IF($N62=Lists!$K$3,IF($L62&lt;1,(($U62/$L62)*((1+Inputs!$D$7)^BY$2)),((INT(BY$2/$L62)-INT((BY$2-1)/$L62))*$U62*((1+Inputs!$D$7)^BY$2))),(Inputs!$D$8^((1-_xlfn.WEIBULL.DIST(BY$2,$M62,$L62,FALSE))/_xlfn.WEIBULL.DIST(BY$2,$M62,$L62,FALSE))*$U62*((1+Inputs!$D$7)^BY$2))),IF($N62=Lists!$K$3,IF($L62&lt;1,((($T62*(1-$F62)+$S62*(1-$G62))/$L62)*((1+Inputs!$D$7)^BY$2)),((INT(BY$2/$L62)-INT((BY$2-1)/$L62))*($T62*(1-$F62)+$S62*(1-$G62))*((1+Inputs!$D$7)^BY$2))),((Inputs!$D$8^((1-_xlfn.WEIBULL.DIST(BY$2,$M62,$L62,FALSE))/_xlfn.WEIBULL.DIST(BY$2,$M62,$L62,FALSE))*($T62*(1-$F62)+$S62*(1-$G62))*((1+Inputs!$D$7)^BY$2))))))))</f>
        <v>0</v>
      </c>
      <c r="BZ62" s="88">
        <f>MAX(AJ62,($E62*IF(BZ$2&gt;Inputs!$D$5,0,IF(BZ$2&gt;VLOOKUP($H62,Lists!$P$3:$Q$7,2),IF($N62=Lists!$K$3,IF($L62&lt;1,(($U62/$L62)*((1+Inputs!$D$7)^BZ$2)),((INT(BZ$2/$L62)-INT((BZ$2-1)/$L62))*$U62*((1+Inputs!$D$7)^BZ$2))),(Inputs!$D$8^((1-_xlfn.WEIBULL.DIST(BZ$2,$M62,$L62,FALSE))/_xlfn.WEIBULL.DIST(BZ$2,$M62,$L62,FALSE))*$U62*((1+Inputs!$D$7)^BZ$2))),IF($N62=Lists!$K$3,IF($L62&lt;1,((($T62*(1-$F62)+$S62*(1-$G62))/$L62)*((1+Inputs!$D$7)^BZ$2)),((INT(BZ$2/$L62)-INT((BZ$2-1)/$L62))*($T62*(1-$F62)+$S62*(1-$G62))*((1+Inputs!$D$7)^BZ$2))),((Inputs!$D$8^((1-_xlfn.WEIBULL.DIST(BZ$2,$M62,$L62,FALSE))/_xlfn.WEIBULL.DIST(BZ$2,$M62,$L62,FALSE))*($T62*(1-$F62)+$S62*(1-$G62))*((1+Inputs!$D$7)^BZ$2))))))))</f>
        <v>0</v>
      </c>
      <c r="CA62" s="88">
        <f>MAX(AK62,($E62*IF(CA$2&gt;Inputs!$D$5,0,IF(CA$2&gt;VLOOKUP($H62,Lists!$P$3:$Q$7,2),IF($N62=Lists!$K$3,IF($L62&lt;1,(($U62/$L62)*((1+Inputs!$D$7)^CA$2)),((INT(CA$2/$L62)-INT((CA$2-1)/$L62))*$U62*((1+Inputs!$D$7)^CA$2))),(Inputs!$D$8^((1-_xlfn.WEIBULL.DIST(CA$2,$M62,$L62,FALSE))/_xlfn.WEIBULL.DIST(CA$2,$M62,$L62,FALSE))*$U62*((1+Inputs!$D$7)^CA$2))),IF($N62=Lists!$K$3,IF($L62&lt;1,((($T62*(1-$F62)+$S62*(1-$G62))/$L62)*((1+Inputs!$D$7)^CA$2)),((INT(CA$2/$L62)-INT((CA$2-1)/$L62))*($T62*(1-$F62)+$S62*(1-$G62))*((1+Inputs!$D$7)^CA$2))),((Inputs!$D$8^((1-_xlfn.WEIBULL.DIST(CA$2,$M62,$L62,FALSE))/_xlfn.WEIBULL.DIST(CA$2,$M62,$L62,FALSE))*($T62*(1-$F62)+$S62*(1-$G62))*((1+Inputs!$D$7)^CA$2))))))))</f>
        <v>0</v>
      </c>
      <c r="CB62" s="88">
        <f>MAX(AL62,($E62*IF(CB$2&gt;Inputs!$D$5,0,IF(CB$2&gt;VLOOKUP($H62,Lists!$P$3:$Q$7,2),IF($N62=Lists!$K$3,IF($L62&lt;1,(($U62/$L62)*((1+Inputs!$D$7)^CB$2)),((INT(CB$2/$L62)-INT((CB$2-1)/$L62))*$U62*((1+Inputs!$D$7)^CB$2))),(Inputs!$D$8^((1-_xlfn.WEIBULL.DIST(CB$2,$M62,$L62,FALSE))/_xlfn.WEIBULL.DIST(CB$2,$M62,$L62,FALSE))*$U62*((1+Inputs!$D$7)^CB$2))),IF($N62=Lists!$K$3,IF($L62&lt;1,((($T62*(1-$F62)+$S62*(1-$G62))/$L62)*((1+Inputs!$D$7)^CB$2)),((INT(CB$2/$L62)-INT((CB$2-1)/$L62))*($T62*(1-$F62)+$S62*(1-$G62))*((1+Inputs!$D$7)^CB$2))),((Inputs!$D$8^((1-_xlfn.WEIBULL.DIST(CB$2,$M62,$L62,FALSE))/_xlfn.WEIBULL.DIST(CB$2,$M62,$L62,FALSE))*($T62*(1-$F62)+$S62*(1-$G62))*((1+Inputs!$D$7)^CB$2))))))))</f>
        <v>0</v>
      </c>
      <c r="CC62" s="88">
        <f>MAX(AM62,($E62*IF(CC$2&gt;Inputs!$D$5,0,IF(CC$2&gt;VLOOKUP($H62,Lists!$P$3:$Q$7,2),IF($N62=Lists!$K$3,IF($L62&lt;1,(($U62/$L62)*((1+Inputs!$D$7)^CC$2)),((INT(CC$2/$L62)-INT((CC$2-1)/$L62))*$U62*((1+Inputs!$D$7)^CC$2))),(Inputs!$D$8^((1-_xlfn.WEIBULL.DIST(CC$2,$M62,$L62,FALSE))/_xlfn.WEIBULL.DIST(CC$2,$M62,$L62,FALSE))*$U62*((1+Inputs!$D$7)^CC$2))),IF($N62=Lists!$K$3,IF($L62&lt;1,((($T62*(1-$F62)+$S62*(1-$G62))/$L62)*((1+Inputs!$D$7)^CC$2)),((INT(CC$2/$L62)-INT((CC$2-1)/$L62))*($T62*(1-$F62)+$S62*(1-$G62))*((1+Inputs!$D$7)^CC$2))),((Inputs!$D$8^((1-_xlfn.WEIBULL.DIST(CC$2,$M62,$L62,FALSE))/_xlfn.WEIBULL.DIST(CC$2,$M62,$L62,FALSE))*($T62*(1-$F62)+$S62*(1-$G62))*((1+Inputs!$D$7)^CC$2))))))))</f>
        <v>0</v>
      </c>
      <c r="CD62" s="88">
        <f>MAX(AN62,($E62*IF(CD$2&gt;Inputs!$D$5,0,IF(CD$2&gt;VLOOKUP($H62,Lists!$P$3:$Q$7,2),IF($N62=Lists!$K$3,IF($L62&lt;1,(($U62/$L62)*((1+Inputs!$D$7)^CD$2)),((INT(CD$2/$L62)-INT((CD$2-1)/$L62))*$U62*((1+Inputs!$D$7)^CD$2))),(Inputs!$D$8^((1-_xlfn.WEIBULL.DIST(CD$2,$M62,$L62,FALSE))/_xlfn.WEIBULL.DIST(CD$2,$M62,$L62,FALSE))*$U62*((1+Inputs!$D$7)^CD$2))),IF($N62=Lists!$K$3,IF($L62&lt;1,((($T62*(1-$F62)+$S62*(1-$G62))/$L62)*((1+Inputs!$D$7)^CD$2)),((INT(CD$2/$L62)-INT((CD$2-1)/$L62))*($T62*(1-$F62)+$S62*(1-$G62))*((1+Inputs!$D$7)^CD$2))),((Inputs!$D$8^((1-_xlfn.WEIBULL.DIST(CD$2,$M62,$L62,FALSE))/_xlfn.WEIBULL.DIST(CD$2,$M62,$L62,FALSE))*($T62*(1-$F62)+$S62*(1-$G62))*((1+Inputs!$D$7)^CD$2))))))))</f>
        <v>0</v>
      </c>
      <c r="CE62" s="88">
        <f>MAX(AO62,($E62*IF(CE$2&gt;Inputs!$D$5,0,IF(CE$2&gt;VLOOKUP($H62,Lists!$P$3:$Q$7,2),IF($N62=Lists!$K$3,IF($L62&lt;1,(($U62/$L62)*((1+Inputs!$D$7)^CE$2)),((INT(CE$2/$L62)-INT((CE$2-1)/$L62))*$U62*((1+Inputs!$D$7)^CE$2))),(Inputs!$D$8^((1-_xlfn.WEIBULL.DIST(CE$2,$M62,$L62,FALSE))/_xlfn.WEIBULL.DIST(CE$2,$M62,$L62,FALSE))*$U62*((1+Inputs!$D$7)^CE$2))),IF($N62=Lists!$K$3,IF($L62&lt;1,((($T62*(1-$F62)+$S62*(1-$G62))/$L62)*((1+Inputs!$D$7)^CE$2)),((INT(CE$2/$L62)-INT((CE$2-1)/$L62))*($T62*(1-$F62)+$S62*(1-$G62))*((1+Inputs!$D$7)^CE$2))),((Inputs!$D$8^((1-_xlfn.WEIBULL.DIST(CE$2,$M62,$L62,FALSE))/_xlfn.WEIBULL.DIST(CE$2,$M62,$L62,FALSE))*($T62*(1-$F62)+$S62*(1-$G62))*((1+Inputs!$D$7)^CE$2))))))))</f>
        <v>0</v>
      </c>
      <c r="CF62" s="88">
        <f>MAX(AP62,($E62*IF(CF$2&gt;Inputs!$D$5,0,IF(CF$2&gt;VLOOKUP($H62,Lists!$P$3:$Q$7,2),IF($N62=Lists!$K$3,IF($L62&lt;1,(($U62/$L62)*((1+Inputs!$D$7)^CF$2)),((INT(CF$2/$L62)-INT((CF$2-1)/$L62))*$U62*((1+Inputs!$D$7)^CF$2))),(Inputs!$D$8^((1-_xlfn.WEIBULL.DIST(CF$2,$M62,$L62,FALSE))/_xlfn.WEIBULL.DIST(CF$2,$M62,$L62,FALSE))*$U62*((1+Inputs!$D$7)^CF$2))),IF($N62=Lists!$K$3,IF($L62&lt;1,((($T62*(1-$F62)+$S62*(1-$G62))/$L62)*((1+Inputs!$D$7)^CF$2)),((INT(CF$2/$L62)-INT((CF$2-1)/$L62))*($T62*(1-$F62)+$S62*(1-$G62))*((1+Inputs!$D$7)^CF$2))),((Inputs!$D$8^((1-_xlfn.WEIBULL.DIST(CF$2,$M62,$L62,FALSE))/_xlfn.WEIBULL.DIST(CF$2,$M62,$L62,FALSE))*($T62*(1-$F62)+$S62*(1-$G62))*((1+Inputs!$D$7)^CF$2))))))))</f>
        <v>0</v>
      </c>
      <c r="CG62" s="88">
        <f>MAX(AQ62,($E62*IF(CG$2&gt;Inputs!$D$5,0,IF(CG$2&gt;VLOOKUP($H62,Lists!$P$3:$Q$7,2),IF($N62=Lists!$K$3,IF($L62&lt;1,(($U62/$L62)*((1+Inputs!$D$7)^CG$2)),((INT(CG$2/$L62)-INT((CG$2-1)/$L62))*$U62*((1+Inputs!$D$7)^CG$2))),(Inputs!$D$8^((1-_xlfn.WEIBULL.DIST(CG$2,$M62,$L62,FALSE))/_xlfn.WEIBULL.DIST(CG$2,$M62,$L62,FALSE))*$U62*((1+Inputs!$D$7)^CG$2))),IF($N62=Lists!$K$3,IF($L62&lt;1,((($T62*(1-$F62)+$S62*(1-$G62))/$L62)*((1+Inputs!$D$7)^CG$2)),((INT(CG$2/$L62)-INT((CG$2-1)/$L62))*($T62*(1-$F62)+$S62*(1-$G62))*((1+Inputs!$D$7)^CG$2))),((Inputs!$D$8^((1-_xlfn.WEIBULL.DIST(CG$2,$M62,$L62,FALSE))/_xlfn.WEIBULL.DIST(CG$2,$M62,$L62,FALSE))*($T62*(1-$F62)+$S62*(1-$G62))*((1+Inputs!$D$7)^CG$2))))))))</f>
        <v>0</v>
      </c>
      <c r="CH62" s="88">
        <f>MAX(AR62,($E62*IF(CH$2&gt;Inputs!$D$5,0,IF(CH$2&gt;VLOOKUP($H62,Lists!$P$3:$Q$7,2),IF($N62=Lists!$K$3,IF($L62&lt;1,(($U62/$L62)*((1+Inputs!$D$7)^CH$2)),((INT(CH$2/$L62)-INT((CH$2-1)/$L62))*$U62*((1+Inputs!$D$7)^CH$2))),(Inputs!$D$8^((1-_xlfn.WEIBULL.DIST(CH$2,$M62,$L62,FALSE))/_xlfn.WEIBULL.DIST(CH$2,$M62,$L62,FALSE))*$U62*((1+Inputs!$D$7)^CH$2))),IF($N62=Lists!$K$3,IF($L62&lt;1,((($T62*(1-$F62)+$S62*(1-$G62))/$L62)*((1+Inputs!$D$7)^CH$2)),((INT(CH$2/$L62)-INT((CH$2-1)/$L62))*($T62*(1-$F62)+$S62*(1-$G62))*((1+Inputs!$D$7)^CH$2))),((Inputs!$D$8^((1-_xlfn.WEIBULL.DIST(CH$2,$M62,$L62,FALSE))/_xlfn.WEIBULL.DIST(CH$2,$M62,$L62,FALSE))*($T62*(1-$F62)+$S62*(1-$G62))*((1+Inputs!$D$7)^CH$2))))))))</f>
        <v>0</v>
      </c>
      <c r="CI62" s="88">
        <f>MAX(AS62,($E62*IF(CI$2&gt;Inputs!$D$5,0,IF(CI$2&gt;VLOOKUP($H62,Lists!$P$3:$Q$7,2),IF($N62=Lists!$K$3,IF($L62&lt;1,(($U62/$L62)*((1+Inputs!$D$7)^CI$2)),((INT(CI$2/$L62)-INT((CI$2-1)/$L62))*$U62*((1+Inputs!$D$7)^CI$2))),(Inputs!$D$8^((1-_xlfn.WEIBULL.DIST(CI$2,$M62,$L62,FALSE))/_xlfn.WEIBULL.DIST(CI$2,$M62,$L62,FALSE))*$U62*((1+Inputs!$D$7)^CI$2))),IF($N62=Lists!$K$3,IF($L62&lt;1,((($T62*(1-$F62)+$S62*(1-$G62))/$L62)*((1+Inputs!$D$7)^CI$2)),((INT(CI$2/$L62)-INT((CI$2-1)/$L62))*($T62*(1-$F62)+$S62*(1-$G62))*((1+Inputs!$D$7)^CI$2))),((Inputs!$D$8^((1-_xlfn.WEIBULL.DIST(CI$2,$M62,$L62,FALSE))/_xlfn.WEIBULL.DIST(CI$2,$M62,$L62,FALSE))*($T62*(1-$F62)+$S62*(1-$G62))*((1+Inputs!$D$7)^CI$2))))))))</f>
        <v>0</v>
      </c>
      <c r="CJ62" s="88">
        <f>MAX(AT62,($E62*IF(CJ$2&gt;Inputs!$D$5,0,IF(CJ$2&gt;VLOOKUP($H62,Lists!$P$3:$Q$7,2),IF($N62=Lists!$K$3,IF($L62&lt;1,(($U62/$L62)*((1+Inputs!$D$7)^CJ$2)),((INT(CJ$2/$L62)-INT((CJ$2-1)/$L62))*$U62*((1+Inputs!$D$7)^CJ$2))),(Inputs!$D$8^((1-_xlfn.WEIBULL.DIST(CJ$2,$M62,$L62,FALSE))/_xlfn.WEIBULL.DIST(CJ$2,$M62,$L62,FALSE))*$U62*((1+Inputs!$D$7)^CJ$2))),IF($N62=Lists!$K$3,IF($L62&lt;1,((($T62*(1-$F62)+$S62*(1-$G62))/$L62)*((1+Inputs!$D$7)^CJ$2)),((INT(CJ$2/$L62)-INT((CJ$2-1)/$L62))*($T62*(1-$F62)+$S62*(1-$G62))*((1+Inputs!$D$7)^CJ$2))),((Inputs!$D$8^((1-_xlfn.WEIBULL.DIST(CJ$2,$M62,$L62,FALSE))/_xlfn.WEIBULL.DIST(CJ$2,$M62,$L62,FALSE))*($T62*(1-$F62)+$S62*(1-$G62))*((1+Inputs!$D$7)^CJ$2))))))))</f>
        <v>0</v>
      </c>
      <c r="CK62" s="88">
        <f>MAX(AU62,($E62*IF(CK$2&gt;Inputs!$D$5,0,IF(CK$2&gt;VLOOKUP($H62,Lists!$P$3:$Q$7,2),IF($N62=Lists!$K$3,IF($L62&lt;1,(($U62/$L62)*((1+Inputs!$D$7)^CK$2)),((INT(CK$2/$L62)-INT((CK$2-1)/$L62))*$U62*((1+Inputs!$D$7)^CK$2))),(Inputs!$D$8^((1-_xlfn.WEIBULL.DIST(CK$2,$M62,$L62,FALSE))/_xlfn.WEIBULL.DIST(CK$2,$M62,$L62,FALSE))*$U62*((1+Inputs!$D$7)^CK$2))),IF($N62=Lists!$K$3,IF($L62&lt;1,((($T62*(1-$F62)+$S62*(1-$G62))/$L62)*((1+Inputs!$D$7)^CK$2)),((INT(CK$2/$L62)-INT((CK$2-1)/$L62))*($T62*(1-$F62)+$S62*(1-$G62))*((1+Inputs!$D$7)^CK$2))),((Inputs!$D$8^((1-_xlfn.WEIBULL.DIST(CK$2,$M62,$L62,FALSE))/_xlfn.WEIBULL.DIST(CK$2,$M62,$L62,FALSE))*($T62*(1-$F62)+$S62*(1-$G62))*((1+Inputs!$D$7)^CK$2))))))))</f>
        <v>0</v>
      </c>
      <c r="CL62" s="88">
        <f>MAX(AV62,($E62*IF(CL$2&gt;Inputs!$D$5,0,IF(CL$2&gt;VLOOKUP($H62,Lists!$P$3:$Q$7,2),IF($N62=Lists!$K$3,IF($L62&lt;1,(($U62/$L62)*((1+Inputs!$D$7)^CL$2)),((INT(CL$2/$L62)-INT((CL$2-1)/$L62))*$U62*((1+Inputs!$D$7)^CL$2))),(Inputs!$D$8^((1-_xlfn.WEIBULL.DIST(CL$2,$M62,$L62,FALSE))/_xlfn.WEIBULL.DIST(CL$2,$M62,$L62,FALSE))*$U62*((1+Inputs!$D$7)^CL$2))),IF($N62=Lists!$K$3,IF($L62&lt;1,((($T62*(1-$F62)+$S62*(1-$G62))/$L62)*((1+Inputs!$D$7)^CL$2)),((INT(CL$2/$L62)-INT((CL$2-1)/$L62))*($T62*(1-$F62)+$S62*(1-$G62))*((1+Inputs!$D$7)^CL$2))),((Inputs!$D$8^((1-_xlfn.WEIBULL.DIST(CL$2,$M62,$L62,FALSE))/_xlfn.WEIBULL.DIST(CL$2,$M62,$L62,FALSE))*($T62*(1-$F62)+$S62*(1-$G62))*((1+Inputs!$D$7)^CL$2))))))))</f>
        <v>0</v>
      </c>
      <c r="CM62" s="88">
        <f>MAX(AW62,($E62*IF(CM$2&gt;Inputs!$D$5,0,IF(CM$2&gt;VLOOKUP($H62,Lists!$P$3:$Q$7,2),IF($N62=Lists!$K$3,IF($L62&lt;1,(($U62/$L62)*((1+Inputs!$D$7)^CM$2)),((INT(CM$2/$L62)-INT((CM$2-1)/$L62))*$U62*((1+Inputs!$D$7)^CM$2))),(Inputs!$D$8^((1-_xlfn.WEIBULL.DIST(CM$2,$M62,$L62,FALSE))/_xlfn.WEIBULL.DIST(CM$2,$M62,$L62,FALSE))*$U62*((1+Inputs!$D$7)^CM$2))),IF($N62=Lists!$K$3,IF($L62&lt;1,((($T62*(1-$F62)+$S62*(1-$G62))/$L62)*((1+Inputs!$D$7)^CM$2)),((INT(CM$2/$L62)-INT((CM$2-1)/$L62))*($T62*(1-$F62)+$S62*(1-$G62))*((1+Inputs!$D$7)^CM$2))),((Inputs!$D$8^((1-_xlfn.WEIBULL.DIST(CM$2,$M62,$L62,FALSE))/_xlfn.WEIBULL.DIST(CM$2,$M62,$L62,FALSE))*($T62*(1-$F62)+$S62*(1-$G62))*((1+Inputs!$D$7)^CM$2))))))))</f>
        <v>0</v>
      </c>
      <c r="CN62" s="88">
        <f>MAX(AX62,($E62*IF(CN$2&gt;Inputs!$D$5,0,IF(CN$2&gt;VLOOKUP($H62,Lists!$P$3:$Q$7,2),IF($N62=Lists!$K$3,IF($L62&lt;1,(($U62/$L62)*((1+Inputs!$D$7)^CN$2)),((INT(CN$2/$L62)-INT((CN$2-1)/$L62))*$U62*((1+Inputs!$D$7)^CN$2))),(Inputs!$D$8^((1-_xlfn.WEIBULL.DIST(CN$2,$M62,$L62,FALSE))/_xlfn.WEIBULL.DIST(CN$2,$M62,$L62,FALSE))*$U62*((1+Inputs!$D$7)^CN$2))),IF($N62=Lists!$K$3,IF($L62&lt;1,((($T62*(1-$F62)+$S62*(1-$G62))/$L62)*((1+Inputs!$D$7)^CN$2)),((INT(CN$2/$L62)-INT((CN$2-1)/$L62))*($T62*(1-$F62)+$S62*(1-$G62))*((1+Inputs!$D$7)^CN$2))),((Inputs!$D$8^((1-_xlfn.WEIBULL.DIST(CN$2,$M62,$L62,FALSE))/_xlfn.WEIBULL.DIST(CN$2,$M62,$L62,FALSE))*($T62*(1-$F62)+$S62*(1-$G62))*((1+Inputs!$D$7)^CN$2))))))))</f>
        <v>0</v>
      </c>
      <c r="CO62" s="88">
        <f>MAX(AY62,($E62*IF(CO$2&gt;Inputs!$D$5,0,IF(CO$2&gt;VLOOKUP($H62,Lists!$P$3:$Q$7,2),IF($N62=Lists!$K$3,IF($L62&lt;1,(($U62/$L62)*((1+Inputs!$D$7)^CO$2)),((INT(CO$2/$L62)-INT((CO$2-1)/$L62))*$U62*((1+Inputs!$D$7)^CO$2))),(Inputs!$D$8^((1-_xlfn.WEIBULL.DIST(CO$2,$M62,$L62,FALSE))/_xlfn.WEIBULL.DIST(CO$2,$M62,$L62,FALSE))*$U62*((1+Inputs!$D$7)^CO$2))),IF($N62=Lists!$K$3,IF($L62&lt;1,((($T62*(1-$F62)+$S62*(1-$G62))/$L62)*((1+Inputs!$D$7)^CO$2)),((INT(CO$2/$L62)-INT((CO$2-1)/$L62))*($T62*(1-$F62)+$S62*(1-$G62))*((1+Inputs!$D$7)^CO$2))),((Inputs!$D$8^((1-_xlfn.WEIBULL.DIST(CO$2,$M62,$L62,FALSE))/_xlfn.WEIBULL.DIST(CO$2,$M62,$L62,FALSE))*($T62*(1-$F62)+$S62*(1-$G62))*((1+Inputs!$D$7)^CO$2))))))))</f>
        <v>0</v>
      </c>
      <c r="CP62" s="88">
        <f>MAX(AZ62,($E62*IF(CP$2&gt;Inputs!$D$5,0,IF(CP$2&gt;VLOOKUP($H62,Lists!$P$3:$Q$7,2),IF($N62=Lists!$K$3,IF($L62&lt;1,(($U62/$L62)*((1+Inputs!$D$7)^CP$2)),((INT(CP$2/$L62)-INT((CP$2-1)/$L62))*$U62*((1+Inputs!$D$7)^CP$2))),(Inputs!$D$8^((1-_xlfn.WEIBULL.DIST(CP$2,$M62,$L62,FALSE))/_xlfn.WEIBULL.DIST(CP$2,$M62,$L62,FALSE))*$U62*((1+Inputs!$D$7)^CP$2))),IF($N62=Lists!$K$3,IF($L62&lt;1,((($T62*(1-$F62)+$S62*(1-$G62))/$L62)*((1+Inputs!$D$7)^CP$2)),((INT(CP$2/$L62)-INT((CP$2-1)/$L62))*($T62*(1-$F62)+$S62*(1-$G62))*((1+Inputs!$D$7)^CP$2))),((Inputs!$D$8^((1-_xlfn.WEIBULL.DIST(CP$2,$M62,$L62,FALSE))/_xlfn.WEIBULL.DIST(CP$2,$M62,$L62,FALSE))*($T62*(1-$F62)+$S62*(1-$G62))*((1+Inputs!$D$7)^CP$2))))))))</f>
        <v>0</v>
      </c>
      <c r="CQ62" s="88">
        <f>MAX(BA62,($E62*IF(CQ$2&gt;Inputs!$D$5,0,IF(CQ$2&gt;VLOOKUP($H62,Lists!$P$3:$Q$7,2),IF($N62=Lists!$K$3,IF($L62&lt;1,(($U62/$L62)*((1+Inputs!$D$7)^CQ$2)),((INT(CQ$2/$L62)-INT((CQ$2-1)/$L62))*$U62*((1+Inputs!$D$7)^CQ$2))),(Inputs!$D$8^((1-_xlfn.WEIBULL.DIST(CQ$2,$M62,$L62,FALSE))/_xlfn.WEIBULL.DIST(CQ$2,$M62,$L62,FALSE))*$U62*((1+Inputs!$D$7)^CQ$2))),IF($N62=Lists!$K$3,IF($L62&lt;1,((($T62*(1-$F62)+$S62*(1-$G62))/$L62)*((1+Inputs!$D$7)^CQ$2)),((INT(CQ$2/$L62)-INT((CQ$2-1)/$L62))*($T62*(1-$F62)+$S62*(1-$G62))*((1+Inputs!$D$7)^CQ$2))),((Inputs!$D$8^((1-_xlfn.WEIBULL.DIST(CQ$2,$M62,$L62,FALSE))/_xlfn.WEIBULL.DIST(CQ$2,$M62,$L62,FALSE))*($T62*(1-$F62)+$S62*(1-$G62))*((1+Inputs!$D$7)^CQ$2))))))))</f>
        <v>0</v>
      </c>
      <c r="CR62" s="88">
        <f>MAX(BB62,($E62*IF(CR$2&gt;Inputs!$D$5,0,IF(CR$2&gt;VLOOKUP($H62,Lists!$P$3:$Q$7,2),IF($N62=Lists!$K$3,IF($L62&lt;1,(($U62/$L62)*((1+Inputs!$D$7)^CR$2)),((INT(CR$2/$L62)-INT((CR$2-1)/$L62))*$U62*((1+Inputs!$D$7)^CR$2))),(Inputs!$D$8^((1-_xlfn.WEIBULL.DIST(CR$2,$M62,$L62,FALSE))/_xlfn.WEIBULL.DIST(CR$2,$M62,$L62,FALSE))*$U62*((1+Inputs!$D$7)^CR$2))),IF($N62=Lists!$K$3,IF($L62&lt;1,((($T62*(1-$F62)+$S62*(1-$G62))/$L62)*((1+Inputs!$D$7)^CR$2)),((INT(CR$2/$L62)-INT((CR$2-1)/$L62))*($T62*(1-$F62)+$S62*(1-$G62))*((1+Inputs!$D$7)^CR$2))),((Inputs!$D$8^((1-_xlfn.WEIBULL.DIST(CR$2,$M62,$L62,FALSE))/_xlfn.WEIBULL.DIST(CR$2,$M62,$L62,FALSE))*($T62*(1-$F62)+$S62*(1-$G62))*((1+Inputs!$D$7)^CR$2))))))))</f>
        <v>0</v>
      </c>
      <c r="CS62" s="88">
        <f>MAX(BC62,($E62*IF(CS$2&gt;Inputs!$D$5,0,IF(CS$2&gt;VLOOKUP($H62,Lists!$P$3:$Q$7,2),IF($N62=Lists!$K$3,IF($L62&lt;1,(($U62/$L62)*((1+Inputs!$D$7)^CS$2)),((INT(CS$2/$L62)-INT((CS$2-1)/$L62))*$U62*((1+Inputs!$D$7)^CS$2))),(Inputs!$D$8^((1-_xlfn.WEIBULL.DIST(CS$2,$M62,$L62,FALSE))/_xlfn.WEIBULL.DIST(CS$2,$M62,$L62,FALSE))*$U62*((1+Inputs!$D$7)^CS$2))),IF($N62=Lists!$K$3,IF($L62&lt;1,((($T62*(1-$F62)+$S62*(1-$G62))/$L62)*((1+Inputs!$D$7)^CS$2)),((INT(CS$2/$L62)-INT((CS$2-1)/$L62))*($T62*(1-$F62)+$S62*(1-$G62))*((1+Inputs!$D$7)^CS$2))),((Inputs!$D$8^((1-_xlfn.WEIBULL.DIST(CS$2,$M62,$L62,FALSE))/_xlfn.WEIBULL.DIST(CS$2,$M62,$L62,FALSE))*($T62*(1-$F62)+$S62*(1-$G62))*((1+Inputs!$D$7)^CS$2))))))))</f>
        <v>0</v>
      </c>
      <c r="CT62" s="88">
        <f>MAX(BD62,($E62*IF(CT$2&gt;Inputs!$D$5,0,IF(CT$2&gt;VLOOKUP($H62,Lists!$P$3:$Q$7,2),IF($N62=Lists!$K$3,IF($L62&lt;1,(($U62/$L62)*((1+Inputs!$D$7)^CT$2)),((INT(CT$2/$L62)-INT((CT$2-1)/$L62))*$U62*((1+Inputs!$D$7)^CT$2))),(Inputs!$D$8^((1-_xlfn.WEIBULL.DIST(CT$2,$M62,$L62,FALSE))/_xlfn.WEIBULL.DIST(CT$2,$M62,$L62,FALSE))*$U62*((1+Inputs!$D$7)^CT$2))),IF($N62=Lists!$K$3,IF($L62&lt;1,((($T62*(1-$F62)+$S62*(1-$G62))/$L62)*((1+Inputs!$D$7)^CT$2)),((INT(CT$2/$L62)-INT((CT$2-1)/$L62))*($T62*(1-$F62)+$S62*(1-$G62))*((1+Inputs!$D$7)^CT$2))),((Inputs!$D$8^((1-_xlfn.WEIBULL.DIST(CT$2,$M62,$L62,FALSE))/_xlfn.WEIBULL.DIST(CT$2,$M62,$L62,FALSE))*($T62*(1-$F62)+$S62*(1-$G62))*((1+Inputs!$D$7)^CT$2))))))))</f>
        <v>0</v>
      </c>
      <c r="CU62" s="88">
        <f>MAX(BE62,($E62*IF(CU$2&gt;Inputs!$D$5,0,IF(CU$2&gt;VLOOKUP($H62,Lists!$P$3:$Q$7,2),IF($N62=Lists!$K$3,IF($L62&lt;1,(($U62/$L62)*((1+Inputs!$D$7)^CU$2)),((INT(CU$2/$L62)-INT((CU$2-1)/$L62))*$U62*((1+Inputs!$D$7)^CU$2))),(Inputs!$D$8^((1-_xlfn.WEIBULL.DIST(CU$2,$M62,$L62,FALSE))/_xlfn.WEIBULL.DIST(CU$2,$M62,$L62,FALSE))*$U62*((1+Inputs!$D$7)^CU$2))),IF($N62=Lists!$K$3,IF($L62&lt;1,((($T62*(1-$F62)+$S62*(1-$G62))/$L62)*((1+Inputs!$D$7)^CU$2)),((INT(CU$2/$L62)-INT((CU$2-1)/$L62))*($T62*(1-$F62)+$S62*(1-$G62))*((1+Inputs!$D$7)^CU$2))),((Inputs!$D$8^((1-_xlfn.WEIBULL.DIST(CU$2,$M62,$L62,FALSE))/_xlfn.WEIBULL.DIST(CU$2,$M62,$L62,FALSE))*($T62*(1-$F62)+$S62*(1-$G62))*((1+Inputs!$D$7)^CU$2))))))))</f>
        <v>0</v>
      </c>
      <c r="CV62" s="88">
        <f>MAX(BF62,($E62*IF(CV$2&gt;Inputs!$D$5,0,IF(CV$2&gt;VLOOKUP($H62,Lists!$P$3:$Q$7,2),IF($N62=Lists!$K$3,IF($L62&lt;1,(($U62/$L62)*((1+Inputs!$D$7)^CV$2)),((INT(CV$2/$L62)-INT((CV$2-1)/$L62))*$U62*((1+Inputs!$D$7)^CV$2))),(Inputs!$D$8^((1-_xlfn.WEIBULL.DIST(CV$2,$M62,$L62,FALSE))/_xlfn.WEIBULL.DIST(CV$2,$M62,$L62,FALSE))*$U62*((1+Inputs!$D$7)^CV$2))),IF($N62=Lists!$K$3,IF($L62&lt;1,((($T62*(1-$F62)+$S62*(1-$G62))/$L62)*((1+Inputs!$D$7)^CV$2)),((INT(CV$2/$L62)-INT((CV$2-1)/$L62))*($T62*(1-$F62)+$S62*(1-$G62))*((1+Inputs!$D$7)^CV$2))),((Inputs!$D$8^((1-_xlfn.WEIBULL.DIST(CV$2,$M62,$L62,FALSE))/_xlfn.WEIBULL.DIST(CV$2,$M62,$L62,FALSE))*($T62*(1-$F62)+$S62*(1-$G62))*((1+Inputs!$D$7)^CV$2))))))))</f>
        <v>0</v>
      </c>
      <c r="CW62" s="88">
        <f>MAX(BG62,($E62*IF(CW$2&gt;Inputs!$D$5,0,IF(CW$2&gt;VLOOKUP($H62,Lists!$P$3:$Q$7,2),IF($N62=Lists!$K$3,IF($L62&lt;1,(($U62/$L62)*((1+Inputs!$D$7)^CW$2)),((INT(CW$2/$L62)-INT((CW$2-1)/$L62))*$U62*((1+Inputs!$D$7)^CW$2))),(Inputs!$D$8^((1-_xlfn.WEIBULL.DIST(CW$2,$M62,$L62,FALSE))/_xlfn.WEIBULL.DIST(CW$2,$M62,$L62,FALSE))*$U62*((1+Inputs!$D$7)^CW$2))),IF($N62=Lists!$K$3,IF($L62&lt;1,((($T62*(1-$F62)+$S62*(1-$G62))/$L62)*((1+Inputs!$D$7)^CW$2)),((INT(CW$2/$L62)-INT((CW$2-1)/$L62))*($T62*(1-$F62)+$S62*(1-$G62))*((1+Inputs!$D$7)^CW$2))),((Inputs!$D$8^((1-_xlfn.WEIBULL.DIST(CW$2,$M62,$L62,FALSE))/_xlfn.WEIBULL.DIST(CW$2,$M62,$L62,FALSE))*($T62*(1-$F62)+$S62*(1-$G62))*((1+Inputs!$D$7)^CW$2))))))))</f>
        <v>0</v>
      </c>
      <c r="CX62" s="88">
        <f>MAX(BH62,($E62*IF(CX$2&gt;Inputs!$D$5,0,IF(CX$2&gt;VLOOKUP($H62,Lists!$P$3:$Q$7,2),IF($N62=Lists!$K$3,IF($L62&lt;1,(($U62/$L62)*((1+Inputs!$D$7)^CX$2)),((INT(CX$2/$L62)-INT((CX$2-1)/$L62))*$U62*((1+Inputs!$D$7)^CX$2))),(Inputs!$D$8^((1-_xlfn.WEIBULL.DIST(CX$2,$M62,$L62,FALSE))/_xlfn.WEIBULL.DIST(CX$2,$M62,$L62,FALSE))*$U62*((1+Inputs!$D$7)^CX$2))),IF($N62=Lists!$K$3,IF($L62&lt;1,((($T62*(1-$F62)+$S62*(1-$G62))/$L62)*((1+Inputs!$D$7)^CX$2)),((INT(CX$2/$L62)-INT((CX$2-1)/$L62))*($T62*(1-$F62)+$S62*(1-$G62))*((1+Inputs!$D$7)^CX$2))),((Inputs!$D$8^((1-_xlfn.WEIBULL.DIST(CX$2,$M62,$L62,FALSE))/_xlfn.WEIBULL.DIST(CX$2,$M62,$L62,FALSE))*($T62*(1-$F62)+$S62*(1-$G62))*((1+Inputs!$D$7)^CX$2))))))))</f>
        <v>0</v>
      </c>
      <c r="CY62" s="88">
        <f>MAX(BI62,($E62*IF(CY$2&gt;Inputs!$D$5,0,IF(CY$2&gt;VLOOKUP($H62,Lists!$P$3:$Q$7,2),IF($N62=Lists!$K$3,IF($L62&lt;1,(($U62/$L62)*((1+Inputs!$D$7)^CY$2)),((INT(CY$2/$L62)-INT((CY$2-1)/$L62))*$U62*((1+Inputs!$D$7)^CY$2))),(Inputs!$D$8^((1-_xlfn.WEIBULL.DIST(CY$2,$M62,$L62,FALSE))/_xlfn.WEIBULL.DIST(CY$2,$M62,$L62,FALSE))*$U62*((1+Inputs!$D$7)^CY$2))),IF($N62=Lists!$K$3,IF($L62&lt;1,((($T62*(1-$F62)+$S62*(1-$G62))/$L62)*((1+Inputs!$D$7)^CY$2)),((INT(CY$2/$L62)-INT((CY$2-1)/$L62))*($T62*(1-$F62)+$S62*(1-$G62))*((1+Inputs!$D$7)^CY$2))),((Inputs!$D$8^((1-_xlfn.WEIBULL.DIST(CY$2,$M62,$L62,FALSE))/_xlfn.WEIBULL.DIST(CY$2,$M62,$L62,FALSE))*($T62*(1-$F62)+$S62*(1-$G62))*((1+Inputs!$D$7)^CY$2))))))))</f>
        <v>0</v>
      </c>
      <c r="CZ62" s="88">
        <f>MAX(BJ62,($E62*IF(CZ$2&gt;Inputs!$D$5,0,IF(CZ$2&gt;VLOOKUP($H62,Lists!$P$3:$Q$7,2),IF($N62=Lists!$K$3,IF($L62&lt;1,(($U62/$L62)*((1+Inputs!$D$7)^CZ$2)),((INT(CZ$2/$L62)-INT((CZ$2-1)/$L62))*$U62*((1+Inputs!$D$7)^CZ$2))),(Inputs!$D$8^((1-_xlfn.WEIBULL.DIST(CZ$2,$M62,$L62,FALSE))/_xlfn.WEIBULL.DIST(CZ$2,$M62,$L62,FALSE))*$U62*((1+Inputs!$D$7)^CZ$2))),IF($N62=Lists!$K$3,IF($L62&lt;1,((($T62*(1-$F62)+$S62*(1-$G62))/$L62)*((1+Inputs!$D$7)^CZ$2)),((INT(CZ$2/$L62)-INT((CZ$2-1)/$L62))*($T62*(1-$F62)+$S62*(1-$G62))*((1+Inputs!$D$7)^CZ$2))),((Inputs!$D$8^((1-_xlfn.WEIBULL.DIST(CZ$2,$M62,$L62,FALSE))/_xlfn.WEIBULL.DIST(CZ$2,$M62,$L62,FALSE))*($T62*(1-$F62)+$S62*(1-$G62))*((1+Inputs!$D$7)^CZ$2))))))))</f>
        <v>0</v>
      </c>
      <c r="DA62" s="88">
        <f>MAX(BK62,($E62*IF(DA$2&gt;Inputs!$D$5,0,IF(DA$2&gt;VLOOKUP($H62,Lists!$P$3:$Q$7,2),IF($N62=Lists!$K$3,IF($L62&lt;1,(($U62/$L62)*((1+Inputs!$D$7)^DA$2)),((INT(DA$2/$L62)-INT((DA$2-1)/$L62))*$U62*((1+Inputs!$D$7)^DA$2))),(Inputs!$D$8^((1-_xlfn.WEIBULL.DIST(DA$2,$M62,$L62,FALSE))/_xlfn.WEIBULL.DIST(DA$2,$M62,$L62,FALSE))*$U62*((1+Inputs!$D$7)^DA$2))),IF($N62=Lists!$K$3,IF($L62&lt;1,((($T62*(1-$F62)+$S62*(1-$G62))/$L62)*((1+Inputs!$D$7)^DA$2)),((INT(DA$2/$L62)-INT((DA$2-1)/$L62))*($T62*(1-$F62)+$S62*(1-$G62))*((1+Inputs!$D$7)^DA$2))),((Inputs!$D$8^((1-_xlfn.WEIBULL.DIST(DA$2,$M62,$L62,FALSE))/_xlfn.WEIBULL.DIST(DA$2,$M62,$L62,FALSE))*($T62*(1-$F62)+$S62*(1-$G62))*((1+Inputs!$D$7)^DA$2))))))))</f>
        <v>0</v>
      </c>
      <c r="DB62" s="88">
        <f>MAX(BL62,($E62*IF(DB$2&gt;Inputs!$D$5,0,IF(DB$2&gt;VLOOKUP($H62,Lists!$P$3:$Q$7,2),IF($N62=Lists!$K$3,IF($L62&lt;1,(($U62/$L62)*((1+Inputs!$D$7)^DB$2)),((INT(DB$2/$L62)-INT((DB$2-1)/$L62))*$U62*((1+Inputs!$D$7)^DB$2))),(Inputs!$D$8^((1-_xlfn.WEIBULL.DIST(DB$2,$M62,$L62,FALSE))/_xlfn.WEIBULL.DIST(DB$2,$M62,$L62,FALSE))*$U62*((1+Inputs!$D$7)^DB$2))),IF($N62=Lists!$K$3,IF($L62&lt;1,((($T62*(1-$F62)+$S62*(1-$G62))/$L62)*((1+Inputs!$D$7)^DB$2)),((INT(DB$2/$L62)-INT((DB$2-1)/$L62))*($T62*(1-$F62)+$S62*(1-$G62))*((1+Inputs!$D$7)^DB$2))),((Inputs!$D$8^((1-_xlfn.WEIBULL.DIST(DB$2,$M62,$L62,FALSE))/_xlfn.WEIBULL.DIST(DB$2,$M62,$L62,FALSE))*($T62*(1-$F62)+$S62*(1-$G62))*((1+Inputs!$D$7)^DB$2))))))))</f>
        <v>0</v>
      </c>
      <c r="DC62" s="88">
        <f>MAX(BM62,($E62*IF(DC$2&gt;Inputs!$D$5,0,IF(DC$2&gt;VLOOKUP($H62,Lists!$P$3:$Q$7,2),IF($N62=Lists!$K$3,IF($L62&lt;1,(($U62/$L62)*((1+Inputs!$D$7)^DC$2)),((INT(DC$2/$L62)-INT((DC$2-1)/$L62))*$U62*((1+Inputs!$D$7)^DC$2))),(Inputs!$D$8^((1-_xlfn.WEIBULL.DIST(DC$2,$M62,$L62,FALSE))/_xlfn.WEIBULL.DIST(DC$2,$M62,$L62,FALSE))*$U62*((1+Inputs!$D$7)^DC$2))),IF($N62=Lists!$K$3,IF($L62&lt;1,((($T62*(1-$F62)+$S62*(1-$G62))/$L62)*((1+Inputs!$D$7)^DC$2)),((INT(DC$2/$L62)-INT((DC$2-1)/$L62))*($T62*(1-$F62)+$S62*(1-$G62))*((1+Inputs!$D$7)^DC$2))),((Inputs!$D$8^((1-_xlfn.WEIBULL.DIST(DC$2,$M62,$L62,FALSE))/_xlfn.WEIBULL.DIST(DC$2,$M62,$L62,FALSE))*($T62*(1-$F62)+$S62*(1-$G62))*((1+Inputs!$D$7)^DC$2))))))))</f>
        <v>0</v>
      </c>
      <c r="DD62" s="88">
        <f>MAX(BN62,($E62*IF(DD$2&gt;Inputs!$D$5,0,IF(DD$2&gt;VLOOKUP($H62,Lists!$P$3:$Q$7,2),IF($N62=Lists!$K$3,IF($L62&lt;1,(($U62/$L62)*((1+Inputs!$D$7)^DD$2)),((INT(DD$2/$L62)-INT((DD$2-1)/$L62))*$U62*((1+Inputs!$D$7)^DD$2))),(Inputs!$D$8^((1-_xlfn.WEIBULL.DIST(DD$2,$M62,$L62,FALSE))/_xlfn.WEIBULL.DIST(DD$2,$M62,$L62,FALSE))*$U62*((1+Inputs!$D$7)^DD$2))),IF($N62=Lists!$K$3,IF($L62&lt;1,((($T62*(1-$F62)+$S62*(1-$G62))/$L62)*((1+Inputs!$D$7)^DD$2)),((INT(DD$2/$L62)-INT((DD$2-1)/$L62))*($T62*(1-$F62)+$S62*(1-$G62))*((1+Inputs!$D$7)^DD$2))),((Inputs!$D$8^((1-_xlfn.WEIBULL.DIST(DD$2,$M62,$L62,FALSE))/_xlfn.WEIBULL.DIST(DD$2,$M62,$L62,FALSE))*($T62*(1-$F62)+$S62*(1-$G62))*((1+Inputs!$D$7)^DD$2))))))))</f>
        <v>0</v>
      </c>
    </row>
    <row r="63" spans="1:108" s="1" customFormat="1" ht="16">
      <c r="A63" s="57" t="s">
        <v>171</v>
      </c>
      <c r="B63" s="13" t="s">
        <v>130</v>
      </c>
      <c r="C63" s="13" t="s">
        <v>474</v>
      </c>
      <c r="D63" s="13" t="s">
        <v>37</v>
      </c>
      <c r="E63" s="89">
        <v>0</v>
      </c>
      <c r="F63" s="48">
        <v>1</v>
      </c>
      <c r="G63" s="48">
        <v>1</v>
      </c>
      <c r="H63" s="105" t="s">
        <v>350</v>
      </c>
      <c r="I63" s="14"/>
      <c r="J63" s="14" t="s">
        <v>89</v>
      </c>
      <c r="K63" s="13">
        <f>VLOOKUP(J63,'Labor Rates'!$A$1:$F$16,2)</f>
        <v>45.884999999999998</v>
      </c>
      <c r="L63" s="15">
        <v>25</v>
      </c>
      <c r="M63" s="15">
        <v>3</v>
      </c>
      <c r="N63" s="16" t="s">
        <v>226</v>
      </c>
      <c r="O63" s="61">
        <f>Inputs!$D$56*E63</f>
        <v>0</v>
      </c>
      <c r="P63" s="15">
        <v>1</v>
      </c>
      <c r="Q63" s="15">
        <f t="shared" si="7"/>
        <v>0</v>
      </c>
      <c r="R63" s="4">
        <v>0</v>
      </c>
      <c r="S63" s="53">
        <f t="shared" si="8"/>
        <v>0</v>
      </c>
      <c r="T63" s="53">
        <f t="shared" si="9"/>
        <v>0</v>
      </c>
      <c r="U63" s="54">
        <f t="shared" si="10"/>
        <v>0</v>
      </c>
      <c r="V63" s="65"/>
      <c r="W63" s="58"/>
      <c r="X63" s="64">
        <f t="shared" si="11"/>
        <v>0</v>
      </c>
      <c r="Y63" s="64">
        <f>NPV(Inputs!$D$6,AA63:BN63)</f>
        <v>0</v>
      </c>
      <c r="Z63" s="67">
        <f t="shared" si="12"/>
        <v>0</v>
      </c>
      <c r="AA63" s="88">
        <f>$E63*IF(AA$2&gt;Inputs!$D$5,0,IF(AA$2&gt;VLOOKUP($H63,Lists!$P$3:$Q$7,2),IF($N63=Lists!$K$3,IF($L63&lt;1,(($U63/$L63)*((1+Inputs!$D$7)^AA$2)),((INT(AA$2/$L63)-INT((AA$2-1)/$L63))*$U63*((1+Inputs!$D$7)^AA$2))),(_xlfn.WEIBULL.DIST(AA$2,$M63,$L63,FALSE)*$U63*((1+Inputs!$D$7)^AA$2))),IF($N63=Lists!$K$3,IF($L63&lt;1,((($T63*(1-$F63)+$S63*(1-$G63))/$L63)*((1+Inputs!$D$7)^AA$2)),((INT(AA$2/$L63)-INT((AA$2-1)/$L63))*($T63*(1-$F63)+$S63*(1-$G63))*((1+Inputs!$D$7)^AA$2))),((_xlfn.WEIBULL.DIST(AA$2,$M63,$L63,FALSE)*($T63*(1-$F63)+$S63*(1-$G63))*((1+Inputs!$D$7)^AA$2))))))</f>
        <v>0</v>
      </c>
      <c r="AB63" s="88">
        <f>$E63*IF(AB$2&gt;Inputs!$D$5,0,IF(AB$2&gt;VLOOKUP($H63,Lists!$P$3:$Q$7,2),IF($N63=Lists!$K$3,IF($L63&lt;1,(($U63/$L63)*((1+Inputs!$D$7)^AB$2)),((INT(AB$2/$L63)-INT((AB$2-1)/$L63))*$U63*((1+Inputs!$D$7)^AB$2))),(_xlfn.WEIBULL.DIST(AB$2,$M63,$L63,FALSE)*$U63*((1+Inputs!$D$7)^AB$2))),IF($N63=Lists!$K$3,IF($L63&lt;1,((($T63*(1-$F63)+$S63*(1-$G63))/$L63)*((1+Inputs!$D$7)^AB$2)),((INT(AB$2/$L63)-INT((AB$2-1)/$L63))*($T63*(1-$F63)+$S63*(1-$G63))*((1+Inputs!$D$7)^AB$2))),((_xlfn.WEIBULL.DIST(AB$2,$M63,$L63,FALSE)*($T63*(1-$F63)+$S63*(1-$G63))*((1+Inputs!$D$7)^AB$2))))))</f>
        <v>0</v>
      </c>
      <c r="AC63" s="88">
        <f>$E63*IF(AC$2&gt;Inputs!$D$5,0,IF(AC$2&gt;VLOOKUP($H63,Lists!$P$3:$Q$7,2),IF($N63=Lists!$K$3,IF($L63&lt;1,(($U63/$L63)*((1+Inputs!$D$7)^AC$2)),((INT(AC$2/$L63)-INT((AC$2-1)/$L63))*$U63*((1+Inputs!$D$7)^AC$2))),(_xlfn.WEIBULL.DIST(AC$2,$M63,$L63,FALSE)*$U63*((1+Inputs!$D$7)^AC$2))),IF($N63=Lists!$K$3,IF($L63&lt;1,((($T63*(1-$F63)+$S63*(1-$G63))/$L63)*((1+Inputs!$D$7)^AC$2)),((INT(AC$2/$L63)-INT((AC$2-1)/$L63))*($T63*(1-$F63)+$S63*(1-$G63))*((1+Inputs!$D$7)^AC$2))),((_xlfn.WEIBULL.DIST(AC$2,$M63,$L63,FALSE)*($T63*(1-$F63)+$S63*(1-$G63))*((1+Inputs!$D$7)^AC$2))))))</f>
        <v>0</v>
      </c>
      <c r="AD63" s="88">
        <f>$E63*IF(AD$2&gt;Inputs!$D$5,0,IF(AD$2&gt;VLOOKUP($H63,Lists!$P$3:$Q$7,2),IF($N63=Lists!$K$3,IF($L63&lt;1,(($U63/$L63)*((1+Inputs!$D$7)^AD$2)),((INT(AD$2/$L63)-INT((AD$2-1)/$L63))*$U63*((1+Inputs!$D$7)^AD$2))),(_xlfn.WEIBULL.DIST(AD$2,$M63,$L63,FALSE)*$U63*((1+Inputs!$D$7)^AD$2))),IF($N63=Lists!$K$3,IF($L63&lt;1,((($T63*(1-$F63)+$S63*(1-$G63))/$L63)*((1+Inputs!$D$7)^AD$2)),((INT(AD$2/$L63)-INT((AD$2-1)/$L63))*($T63*(1-$F63)+$S63*(1-$G63))*((1+Inputs!$D$7)^AD$2))),((_xlfn.WEIBULL.DIST(AD$2,$M63,$L63,FALSE)*($T63*(1-$F63)+$S63*(1-$G63))*((1+Inputs!$D$7)^AD$2))))))</f>
        <v>0</v>
      </c>
      <c r="AE63" s="88">
        <f>$E63*IF(AE$2&gt;Inputs!$D$5,0,IF(AE$2&gt;VLOOKUP($H63,Lists!$P$3:$Q$7,2),IF($N63=Lists!$K$3,IF($L63&lt;1,(($U63/$L63)*((1+Inputs!$D$7)^AE$2)),((INT(AE$2/$L63)-INT((AE$2-1)/$L63))*$U63*((1+Inputs!$D$7)^AE$2))),(_xlfn.WEIBULL.DIST(AE$2,$M63,$L63,FALSE)*$U63*((1+Inputs!$D$7)^AE$2))),IF($N63=Lists!$K$3,IF($L63&lt;1,((($T63*(1-$F63)+$S63*(1-$G63))/$L63)*((1+Inputs!$D$7)^AE$2)),((INT(AE$2/$L63)-INT((AE$2-1)/$L63))*($T63*(1-$F63)+$S63*(1-$G63))*((1+Inputs!$D$7)^AE$2))),((_xlfn.WEIBULL.DIST(AE$2,$M63,$L63,FALSE)*($T63*(1-$F63)+$S63*(1-$G63))*((1+Inputs!$D$7)^AE$2))))))</f>
        <v>0</v>
      </c>
      <c r="AF63" s="88">
        <f>$E63*IF(AF$2&gt;Inputs!$D$5,0,IF(AF$2&gt;VLOOKUP($H63,Lists!$P$3:$Q$7,2),IF($N63=Lists!$K$3,IF($L63&lt;1,(($U63/$L63)*((1+Inputs!$D$7)^AF$2)),((INT(AF$2/$L63)-INT((AF$2-1)/$L63))*$U63*((1+Inputs!$D$7)^AF$2))),(_xlfn.WEIBULL.DIST(AF$2,$M63,$L63,FALSE)*$U63*((1+Inputs!$D$7)^AF$2))),IF($N63=Lists!$K$3,IF($L63&lt;1,((($T63*(1-$F63)+$S63*(1-$G63))/$L63)*((1+Inputs!$D$7)^AF$2)),((INT(AF$2/$L63)-INT((AF$2-1)/$L63))*($T63*(1-$F63)+$S63*(1-$G63))*((1+Inputs!$D$7)^AF$2))),((_xlfn.WEIBULL.DIST(AF$2,$M63,$L63,FALSE)*($T63*(1-$F63)+$S63*(1-$G63))*((1+Inputs!$D$7)^AF$2))))))</f>
        <v>0</v>
      </c>
      <c r="AG63" s="88">
        <f>$E63*IF(AG$2&gt;Inputs!$D$5,0,IF(AG$2&gt;VLOOKUP($H63,Lists!$P$3:$Q$7,2),IF($N63=Lists!$K$3,IF($L63&lt;1,(($U63/$L63)*((1+Inputs!$D$7)^AG$2)),((INT(AG$2/$L63)-INT((AG$2-1)/$L63))*$U63*((1+Inputs!$D$7)^AG$2))),(_xlfn.WEIBULL.DIST(AG$2,$M63,$L63,FALSE)*$U63*((1+Inputs!$D$7)^AG$2))),IF($N63=Lists!$K$3,IF($L63&lt;1,((($T63*(1-$F63)+$S63*(1-$G63))/$L63)*((1+Inputs!$D$7)^AG$2)),((INT(AG$2/$L63)-INT((AG$2-1)/$L63))*($T63*(1-$F63)+$S63*(1-$G63))*((1+Inputs!$D$7)^AG$2))),((_xlfn.WEIBULL.DIST(AG$2,$M63,$L63,FALSE)*($T63*(1-$F63)+$S63*(1-$G63))*((1+Inputs!$D$7)^AG$2))))))</f>
        <v>0</v>
      </c>
      <c r="AH63" s="88">
        <f>$E63*IF(AH$2&gt;Inputs!$D$5,0,IF(AH$2&gt;VLOOKUP($H63,Lists!$P$3:$Q$7,2),IF($N63=Lists!$K$3,IF($L63&lt;1,(($U63/$L63)*((1+Inputs!$D$7)^AH$2)),((INT(AH$2/$L63)-INT((AH$2-1)/$L63))*$U63*((1+Inputs!$D$7)^AH$2))),(_xlfn.WEIBULL.DIST(AH$2,$M63,$L63,FALSE)*$U63*((1+Inputs!$D$7)^AH$2))),IF($N63=Lists!$K$3,IF($L63&lt;1,((($T63*(1-$F63)+$S63*(1-$G63))/$L63)*((1+Inputs!$D$7)^AH$2)),((INT(AH$2/$L63)-INT((AH$2-1)/$L63))*($T63*(1-$F63)+$S63*(1-$G63))*((1+Inputs!$D$7)^AH$2))),((_xlfn.WEIBULL.DIST(AH$2,$M63,$L63,FALSE)*($T63*(1-$F63)+$S63*(1-$G63))*((1+Inputs!$D$7)^AH$2))))))</f>
        <v>0</v>
      </c>
      <c r="AI63" s="88">
        <f>$E63*IF(AI$2&gt;Inputs!$D$5,0,IF(AI$2&gt;VLOOKUP($H63,Lists!$P$3:$Q$7,2),IF($N63=Lists!$K$3,IF($L63&lt;1,(($U63/$L63)*((1+Inputs!$D$7)^AI$2)),((INT(AI$2/$L63)-INT((AI$2-1)/$L63))*$U63*((1+Inputs!$D$7)^AI$2))),(_xlfn.WEIBULL.DIST(AI$2,$M63,$L63,FALSE)*$U63*((1+Inputs!$D$7)^AI$2))),IF($N63=Lists!$K$3,IF($L63&lt;1,((($T63*(1-$F63)+$S63*(1-$G63))/$L63)*((1+Inputs!$D$7)^AI$2)),((INT(AI$2/$L63)-INT((AI$2-1)/$L63))*($T63*(1-$F63)+$S63*(1-$G63))*((1+Inputs!$D$7)^AI$2))),((_xlfn.WEIBULL.DIST(AI$2,$M63,$L63,FALSE)*($T63*(1-$F63)+$S63*(1-$G63))*((1+Inputs!$D$7)^AI$2))))))</f>
        <v>0</v>
      </c>
      <c r="AJ63" s="88">
        <f>$E63*IF(AJ$2&gt;Inputs!$D$5,0,IF(AJ$2&gt;VLOOKUP($H63,Lists!$P$3:$Q$7,2),IF($N63=Lists!$K$3,IF($L63&lt;1,(($U63/$L63)*((1+Inputs!$D$7)^AJ$2)),((INT(AJ$2/$L63)-INT((AJ$2-1)/$L63))*$U63*((1+Inputs!$D$7)^AJ$2))),(_xlfn.WEIBULL.DIST(AJ$2,$M63,$L63,FALSE)*$U63*((1+Inputs!$D$7)^AJ$2))),IF($N63=Lists!$K$3,IF($L63&lt;1,((($T63*(1-$F63)+$S63*(1-$G63))/$L63)*((1+Inputs!$D$7)^AJ$2)),((INT(AJ$2/$L63)-INT((AJ$2-1)/$L63))*($T63*(1-$F63)+$S63*(1-$G63))*((1+Inputs!$D$7)^AJ$2))),((_xlfn.WEIBULL.DIST(AJ$2,$M63,$L63,FALSE)*($T63*(1-$F63)+$S63*(1-$G63))*((1+Inputs!$D$7)^AJ$2))))))</f>
        <v>0</v>
      </c>
      <c r="AK63" s="88">
        <f>$E63*IF(AK$2&gt;Inputs!$D$5,0,IF(AK$2&gt;VLOOKUP($H63,Lists!$P$3:$Q$7,2),IF($N63=Lists!$K$3,IF($L63&lt;1,(($U63/$L63)*((1+Inputs!$D$7)^AK$2)),((INT(AK$2/$L63)-INT((AK$2-1)/$L63))*$U63*((1+Inputs!$D$7)^AK$2))),(_xlfn.WEIBULL.DIST(AK$2,$M63,$L63,FALSE)*$U63*((1+Inputs!$D$7)^AK$2))),IF($N63=Lists!$K$3,IF($L63&lt;1,((($T63*(1-$F63)+$S63*(1-$G63))/$L63)*((1+Inputs!$D$7)^AK$2)),((INT(AK$2/$L63)-INT((AK$2-1)/$L63))*($T63*(1-$F63)+$S63*(1-$G63))*((1+Inputs!$D$7)^AK$2))),((_xlfn.WEIBULL.DIST(AK$2,$M63,$L63,FALSE)*($T63*(1-$F63)+$S63*(1-$G63))*((1+Inputs!$D$7)^AK$2))))))</f>
        <v>0</v>
      </c>
      <c r="AL63" s="88">
        <f>$E63*IF(AL$2&gt;Inputs!$D$5,0,IF(AL$2&gt;VLOOKUP($H63,Lists!$P$3:$Q$7,2),IF($N63=Lists!$K$3,IF($L63&lt;1,(($U63/$L63)*((1+Inputs!$D$7)^AL$2)),((INT(AL$2/$L63)-INT((AL$2-1)/$L63))*$U63*((1+Inputs!$D$7)^AL$2))),(_xlfn.WEIBULL.DIST(AL$2,$M63,$L63,FALSE)*$U63*((1+Inputs!$D$7)^AL$2))),IF($N63=Lists!$K$3,IF($L63&lt;1,((($T63*(1-$F63)+$S63*(1-$G63))/$L63)*((1+Inputs!$D$7)^AL$2)),((INT(AL$2/$L63)-INT((AL$2-1)/$L63))*($T63*(1-$F63)+$S63*(1-$G63))*((1+Inputs!$D$7)^AL$2))),((_xlfn.WEIBULL.DIST(AL$2,$M63,$L63,FALSE)*($T63*(1-$F63)+$S63*(1-$G63))*((1+Inputs!$D$7)^AL$2))))))</f>
        <v>0</v>
      </c>
      <c r="AM63" s="88">
        <f>$E63*IF(AM$2&gt;Inputs!$D$5,0,IF(AM$2&gt;VLOOKUP($H63,Lists!$P$3:$Q$7,2),IF($N63=Lists!$K$3,IF($L63&lt;1,(($U63/$L63)*((1+Inputs!$D$7)^AM$2)),((INT(AM$2/$L63)-INT((AM$2-1)/$L63))*$U63*((1+Inputs!$D$7)^AM$2))),(_xlfn.WEIBULL.DIST(AM$2,$M63,$L63,FALSE)*$U63*((1+Inputs!$D$7)^AM$2))),IF($N63=Lists!$K$3,IF($L63&lt;1,((($T63*(1-$F63)+$S63*(1-$G63))/$L63)*((1+Inputs!$D$7)^AM$2)),((INT(AM$2/$L63)-INT((AM$2-1)/$L63))*($T63*(1-$F63)+$S63*(1-$G63))*((1+Inputs!$D$7)^AM$2))),((_xlfn.WEIBULL.DIST(AM$2,$M63,$L63,FALSE)*($T63*(1-$F63)+$S63*(1-$G63))*((1+Inputs!$D$7)^AM$2))))))</f>
        <v>0</v>
      </c>
      <c r="AN63" s="88">
        <f>$E63*IF(AN$2&gt;Inputs!$D$5,0,IF(AN$2&gt;VLOOKUP($H63,Lists!$P$3:$Q$7,2),IF($N63=Lists!$K$3,IF($L63&lt;1,(($U63/$L63)*((1+Inputs!$D$7)^AN$2)),((INT(AN$2/$L63)-INT((AN$2-1)/$L63))*$U63*((1+Inputs!$D$7)^AN$2))),(_xlfn.WEIBULL.DIST(AN$2,$M63,$L63,FALSE)*$U63*((1+Inputs!$D$7)^AN$2))),IF($N63=Lists!$K$3,IF($L63&lt;1,((($T63*(1-$F63)+$S63*(1-$G63))/$L63)*((1+Inputs!$D$7)^AN$2)),((INT(AN$2/$L63)-INT((AN$2-1)/$L63))*($T63*(1-$F63)+$S63*(1-$G63))*((1+Inputs!$D$7)^AN$2))),((_xlfn.WEIBULL.DIST(AN$2,$M63,$L63,FALSE)*($T63*(1-$F63)+$S63*(1-$G63))*((1+Inputs!$D$7)^AN$2))))))</f>
        <v>0</v>
      </c>
      <c r="AO63" s="88">
        <f>$E63*IF(AO$2&gt;Inputs!$D$5,0,IF(AO$2&gt;VLOOKUP($H63,Lists!$P$3:$Q$7,2),IF($N63=Lists!$K$3,IF($L63&lt;1,(($U63/$L63)*((1+Inputs!$D$7)^AO$2)),((INT(AO$2/$L63)-INT((AO$2-1)/$L63))*$U63*((1+Inputs!$D$7)^AO$2))),(_xlfn.WEIBULL.DIST(AO$2,$M63,$L63,FALSE)*$U63*((1+Inputs!$D$7)^AO$2))),IF($N63=Lists!$K$3,IF($L63&lt;1,((($T63*(1-$F63)+$S63*(1-$G63))/$L63)*((1+Inputs!$D$7)^AO$2)),((INT(AO$2/$L63)-INT((AO$2-1)/$L63))*($T63*(1-$F63)+$S63*(1-$G63))*((1+Inputs!$D$7)^AO$2))),((_xlfn.WEIBULL.DIST(AO$2,$M63,$L63,FALSE)*($T63*(1-$F63)+$S63*(1-$G63))*((1+Inputs!$D$7)^AO$2))))))</f>
        <v>0</v>
      </c>
      <c r="AP63" s="88">
        <f>$E63*IF(AP$2&gt;Inputs!$D$5,0,IF(AP$2&gt;VLOOKUP($H63,Lists!$P$3:$Q$7,2),IF($N63=Lists!$K$3,IF($L63&lt;1,(($U63/$L63)*((1+Inputs!$D$7)^AP$2)),((INT(AP$2/$L63)-INT((AP$2-1)/$L63))*$U63*((1+Inputs!$D$7)^AP$2))),(_xlfn.WEIBULL.DIST(AP$2,$M63,$L63,FALSE)*$U63*((1+Inputs!$D$7)^AP$2))),IF($N63=Lists!$K$3,IF($L63&lt;1,((($T63*(1-$F63)+$S63*(1-$G63))/$L63)*((1+Inputs!$D$7)^AP$2)),((INT(AP$2/$L63)-INT((AP$2-1)/$L63))*($T63*(1-$F63)+$S63*(1-$G63))*((1+Inputs!$D$7)^AP$2))),((_xlfn.WEIBULL.DIST(AP$2,$M63,$L63,FALSE)*($T63*(1-$F63)+$S63*(1-$G63))*((1+Inputs!$D$7)^AP$2))))))</f>
        <v>0</v>
      </c>
      <c r="AQ63" s="88">
        <f>$E63*IF(AQ$2&gt;Inputs!$D$5,0,IF(AQ$2&gt;VLOOKUP($H63,Lists!$P$3:$Q$7,2),IF($N63=Lists!$K$3,IF($L63&lt;1,(($U63/$L63)*((1+Inputs!$D$7)^AQ$2)),((INT(AQ$2/$L63)-INT((AQ$2-1)/$L63))*$U63*((1+Inputs!$D$7)^AQ$2))),(_xlfn.WEIBULL.DIST(AQ$2,$M63,$L63,FALSE)*$U63*((1+Inputs!$D$7)^AQ$2))),IF($N63=Lists!$K$3,IF($L63&lt;1,((($T63*(1-$F63)+$S63*(1-$G63))/$L63)*((1+Inputs!$D$7)^AQ$2)),((INT(AQ$2/$L63)-INT((AQ$2-1)/$L63))*($T63*(1-$F63)+$S63*(1-$G63))*((1+Inputs!$D$7)^AQ$2))),((_xlfn.WEIBULL.DIST(AQ$2,$M63,$L63,FALSE)*($T63*(1-$F63)+$S63*(1-$G63))*((1+Inputs!$D$7)^AQ$2))))))</f>
        <v>0</v>
      </c>
      <c r="AR63" s="88">
        <f>$E63*IF(AR$2&gt;Inputs!$D$5,0,IF(AR$2&gt;VLOOKUP($H63,Lists!$P$3:$Q$7,2),IF($N63=Lists!$K$3,IF($L63&lt;1,(($U63/$L63)*((1+Inputs!$D$7)^AR$2)),((INT(AR$2/$L63)-INT((AR$2-1)/$L63))*$U63*((1+Inputs!$D$7)^AR$2))),(_xlfn.WEIBULL.DIST(AR$2,$M63,$L63,FALSE)*$U63*((1+Inputs!$D$7)^AR$2))),IF($N63=Lists!$K$3,IF($L63&lt;1,((($T63*(1-$F63)+$S63*(1-$G63))/$L63)*((1+Inputs!$D$7)^AR$2)),((INT(AR$2/$L63)-INT((AR$2-1)/$L63))*($T63*(1-$F63)+$S63*(1-$G63))*((1+Inputs!$D$7)^AR$2))),((_xlfn.WEIBULL.DIST(AR$2,$M63,$L63,FALSE)*($T63*(1-$F63)+$S63*(1-$G63))*((1+Inputs!$D$7)^AR$2))))))</f>
        <v>0</v>
      </c>
      <c r="AS63" s="88">
        <f>$E63*IF(AS$2&gt;Inputs!$D$5,0,IF(AS$2&gt;VLOOKUP($H63,Lists!$P$3:$Q$7,2),IF($N63=Lists!$K$3,IF($L63&lt;1,(($U63/$L63)*((1+Inputs!$D$7)^AS$2)),((INT(AS$2/$L63)-INT((AS$2-1)/$L63))*$U63*((1+Inputs!$D$7)^AS$2))),(_xlfn.WEIBULL.DIST(AS$2,$M63,$L63,FALSE)*$U63*((1+Inputs!$D$7)^AS$2))),IF($N63=Lists!$K$3,IF($L63&lt;1,((($T63*(1-$F63)+$S63*(1-$G63))/$L63)*((1+Inputs!$D$7)^AS$2)),((INT(AS$2/$L63)-INT((AS$2-1)/$L63))*($T63*(1-$F63)+$S63*(1-$G63))*((1+Inputs!$D$7)^AS$2))),((_xlfn.WEIBULL.DIST(AS$2,$M63,$L63,FALSE)*($T63*(1-$F63)+$S63*(1-$G63))*((1+Inputs!$D$7)^AS$2))))))</f>
        <v>0</v>
      </c>
      <c r="AT63" s="88">
        <f>$E63*IF(AT$2&gt;Inputs!$D$5,0,IF(AT$2&gt;VLOOKUP($H63,Lists!$P$3:$Q$7,2),IF($N63=Lists!$K$3,IF($L63&lt;1,(($U63/$L63)*((1+Inputs!$D$7)^AT$2)),((INT(AT$2/$L63)-INT((AT$2-1)/$L63))*$U63*((1+Inputs!$D$7)^AT$2))),(_xlfn.WEIBULL.DIST(AT$2,$M63,$L63,FALSE)*$U63*((1+Inputs!$D$7)^AT$2))),IF($N63=Lists!$K$3,IF($L63&lt;1,((($T63*(1-$F63)+$S63*(1-$G63))/$L63)*((1+Inputs!$D$7)^AT$2)),((INT(AT$2/$L63)-INT((AT$2-1)/$L63))*($T63*(1-$F63)+$S63*(1-$G63))*((1+Inputs!$D$7)^AT$2))),((_xlfn.WEIBULL.DIST(AT$2,$M63,$L63,FALSE)*($T63*(1-$F63)+$S63*(1-$G63))*((1+Inputs!$D$7)^AT$2))))))</f>
        <v>0</v>
      </c>
      <c r="AU63" s="88">
        <f>$E63*IF(AU$2&gt;Inputs!$D$5,0,IF(AU$2&gt;VLOOKUP($H63,Lists!$P$3:$Q$7,2),IF($N63=Lists!$K$3,IF($L63&lt;1,(($U63/$L63)*((1+Inputs!$D$7)^AU$2)),((INT(AU$2/$L63)-INT((AU$2-1)/$L63))*$U63*((1+Inputs!$D$7)^AU$2))),(_xlfn.WEIBULL.DIST(AU$2,$M63,$L63,FALSE)*$U63*((1+Inputs!$D$7)^AU$2))),IF($N63=Lists!$K$3,IF($L63&lt;1,((($T63*(1-$F63)+$S63*(1-$G63))/$L63)*((1+Inputs!$D$7)^AU$2)),((INT(AU$2/$L63)-INT((AU$2-1)/$L63))*($T63*(1-$F63)+$S63*(1-$G63))*((1+Inputs!$D$7)^AU$2))),((_xlfn.WEIBULL.DIST(AU$2,$M63,$L63,FALSE)*($T63*(1-$F63)+$S63*(1-$G63))*((1+Inputs!$D$7)^AU$2))))))</f>
        <v>0</v>
      </c>
      <c r="AV63" s="88">
        <f>$E63*IF(AV$2&gt;Inputs!$D$5,0,IF(AV$2&gt;VLOOKUP($H63,Lists!$P$3:$Q$7,2),IF($N63=Lists!$K$3,IF($L63&lt;1,(($U63/$L63)*((1+Inputs!$D$7)^AV$2)),((INT(AV$2/$L63)-INT((AV$2-1)/$L63))*$U63*((1+Inputs!$D$7)^AV$2))),(_xlfn.WEIBULL.DIST(AV$2,$M63,$L63,FALSE)*$U63*((1+Inputs!$D$7)^AV$2))),IF($N63=Lists!$K$3,IF($L63&lt;1,((($T63*(1-$F63)+$S63*(1-$G63))/$L63)*((1+Inputs!$D$7)^AV$2)),((INT(AV$2/$L63)-INT((AV$2-1)/$L63))*($T63*(1-$F63)+$S63*(1-$G63))*((1+Inputs!$D$7)^AV$2))),((_xlfn.WEIBULL.DIST(AV$2,$M63,$L63,FALSE)*($T63*(1-$F63)+$S63*(1-$G63))*((1+Inputs!$D$7)^AV$2))))))</f>
        <v>0</v>
      </c>
      <c r="AW63" s="88">
        <f>$E63*IF(AW$2&gt;Inputs!$D$5,0,IF(AW$2&gt;VLOOKUP($H63,Lists!$P$3:$Q$7,2),IF($N63=Lists!$K$3,IF($L63&lt;1,(($U63/$L63)*((1+Inputs!$D$7)^AW$2)),((INT(AW$2/$L63)-INT((AW$2-1)/$L63))*$U63*((1+Inputs!$D$7)^AW$2))),(_xlfn.WEIBULL.DIST(AW$2,$M63,$L63,FALSE)*$U63*((1+Inputs!$D$7)^AW$2))),IF($N63=Lists!$K$3,IF($L63&lt;1,((($T63*(1-$F63)+$S63*(1-$G63))/$L63)*((1+Inputs!$D$7)^AW$2)),((INT(AW$2/$L63)-INT((AW$2-1)/$L63))*($T63*(1-$F63)+$S63*(1-$G63))*((1+Inputs!$D$7)^AW$2))),((_xlfn.WEIBULL.DIST(AW$2,$M63,$L63,FALSE)*($T63*(1-$F63)+$S63*(1-$G63))*((1+Inputs!$D$7)^AW$2))))))</f>
        <v>0</v>
      </c>
      <c r="AX63" s="88">
        <f>$E63*IF(AX$2&gt;Inputs!$D$5,0,IF(AX$2&gt;VLOOKUP($H63,Lists!$P$3:$Q$7,2),IF($N63=Lists!$K$3,IF($L63&lt;1,(($U63/$L63)*((1+Inputs!$D$7)^AX$2)),((INT(AX$2/$L63)-INT((AX$2-1)/$L63))*$U63*((1+Inputs!$D$7)^AX$2))),(_xlfn.WEIBULL.DIST(AX$2,$M63,$L63,FALSE)*$U63*((1+Inputs!$D$7)^AX$2))),IF($N63=Lists!$K$3,IF($L63&lt;1,((($T63*(1-$F63)+$S63*(1-$G63))/$L63)*((1+Inputs!$D$7)^AX$2)),((INT(AX$2/$L63)-INT((AX$2-1)/$L63))*($T63*(1-$F63)+$S63*(1-$G63))*((1+Inputs!$D$7)^AX$2))),((_xlfn.WEIBULL.DIST(AX$2,$M63,$L63,FALSE)*($T63*(1-$F63)+$S63*(1-$G63))*((1+Inputs!$D$7)^AX$2))))))</f>
        <v>0</v>
      </c>
      <c r="AY63" s="88">
        <f>$E63*IF(AY$2&gt;Inputs!$D$5,0,IF(AY$2&gt;VLOOKUP($H63,Lists!$P$3:$Q$7,2),IF($N63=Lists!$K$3,IF($L63&lt;1,(($U63/$L63)*((1+Inputs!$D$7)^AY$2)),((INT(AY$2/$L63)-INT((AY$2-1)/$L63))*$U63*((1+Inputs!$D$7)^AY$2))),(_xlfn.WEIBULL.DIST(AY$2,$M63,$L63,FALSE)*$U63*((1+Inputs!$D$7)^AY$2))),IF($N63=Lists!$K$3,IF($L63&lt;1,((($T63*(1-$F63)+$S63*(1-$G63))/$L63)*((1+Inputs!$D$7)^AY$2)),((INT(AY$2/$L63)-INT((AY$2-1)/$L63))*($T63*(1-$F63)+$S63*(1-$G63))*((1+Inputs!$D$7)^AY$2))),((_xlfn.WEIBULL.DIST(AY$2,$M63,$L63,FALSE)*($T63*(1-$F63)+$S63*(1-$G63))*((1+Inputs!$D$7)^AY$2))))))</f>
        <v>0</v>
      </c>
      <c r="AZ63" s="88">
        <f>$E63*IF(AZ$2&gt;Inputs!$D$5,0,IF(AZ$2&gt;VLOOKUP($H63,Lists!$P$3:$Q$7,2),IF($N63=Lists!$K$3,IF($L63&lt;1,(($U63/$L63)*((1+Inputs!$D$7)^AZ$2)),((INT(AZ$2/$L63)-INT((AZ$2-1)/$L63))*$U63*((1+Inputs!$D$7)^AZ$2))),(_xlfn.WEIBULL.DIST(AZ$2,$M63,$L63,FALSE)*$U63*((1+Inputs!$D$7)^AZ$2))),IF($N63=Lists!$K$3,IF($L63&lt;1,((($T63*(1-$F63)+$S63*(1-$G63))/$L63)*((1+Inputs!$D$7)^AZ$2)),((INT(AZ$2/$L63)-INT((AZ$2-1)/$L63))*($T63*(1-$F63)+$S63*(1-$G63))*((1+Inputs!$D$7)^AZ$2))),((_xlfn.WEIBULL.DIST(AZ$2,$M63,$L63,FALSE)*($T63*(1-$F63)+$S63*(1-$G63))*((1+Inputs!$D$7)^AZ$2))))))</f>
        <v>0</v>
      </c>
      <c r="BA63" s="88">
        <f>$E63*IF(BA$2&gt;Inputs!$D$5,0,IF(BA$2&gt;VLOOKUP($H63,Lists!$P$3:$Q$7,2),IF($N63=Lists!$K$3,IF($L63&lt;1,(($U63/$L63)*((1+Inputs!$D$7)^BA$2)),((INT(BA$2/$L63)-INT((BA$2-1)/$L63))*$U63*((1+Inputs!$D$7)^BA$2))),(_xlfn.WEIBULL.DIST(BA$2,$M63,$L63,FALSE)*$U63*((1+Inputs!$D$7)^BA$2))),IF($N63=Lists!$K$3,IF($L63&lt;1,((($T63*(1-$F63)+$S63*(1-$G63))/$L63)*((1+Inputs!$D$7)^BA$2)),((INT(BA$2/$L63)-INT((BA$2-1)/$L63))*($T63*(1-$F63)+$S63*(1-$G63))*((1+Inputs!$D$7)^BA$2))),((_xlfn.WEIBULL.DIST(BA$2,$M63,$L63,FALSE)*($T63*(1-$F63)+$S63*(1-$G63))*((1+Inputs!$D$7)^BA$2))))))</f>
        <v>0</v>
      </c>
      <c r="BB63" s="88">
        <f>$E63*IF(BB$2&gt;Inputs!$D$5,0,IF(BB$2&gt;VLOOKUP($H63,Lists!$P$3:$Q$7,2),IF($N63=Lists!$K$3,IF($L63&lt;1,(($U63/$L63)*((1+Inputs!$D$7)^BB$2)),((INT(BB$2/$L63)-INT((BB$2-1)/$L63))*$U63*((1+Inputs!$D$7)^BB$2))),(_xlfn.WEIBULL.DIST(BB$2,$M63,$L63,FALSE)*$U63*((1+Inputs!$D$7)^BB$2))),IF($N63=Lists!$K$3,IF($L63&lt;1,((($T63*(1-$F63)+$S63*(1-$G63))/$L63)*((1+Inputs!$D$7)^BB$2)),((INT(BB$2/$L63)-INT((BB$2-1)/$L63))*($T63*(1-$F63)+$S63*(1-$G63))*((1+Inputs!$D$7)^BB$2))),((_xlfn.WEIBULL.DIST(BB$2,$M63,$L63,FALSE)*($T63*(1-$F63)+$S63*(1-$G63))*((1+Inputs!$D$7)^BB$2))))))</f>
        <v>0</v>
      </c>
      <c r="BC63" s="88">
        <f>$E63*IF(BC$2&gt;Inputs!$D$5,0,IF(BC$2&gt;VLOOKUP($H63,Lists!$P$3:$Q$7,2),IF($N63=Lists!$K$3,IF($L63&lt;1,(($U63/$L63)*((1+Inputs!$D$7)^BC$2)),((INT(BC$2/$L63)-INT((BC$2-1)/$L63))*$U63*((1+Inputs!$D$7)^BC$2))),(_xlfn.WEIBULL.DIST(BC$2,$M63,$L63,FALSE)*$U63*((1+Inputs!$D$7)^BC$2))),IF($N63=Lists!$K$3,IF($L63&lt;1,((($T63*(1-$F63)+$S63*(1-$G63))/$L63)*((1+Inputs!$D$7)^BC$2)),((INT(BC$2/$L63)-INT((BC$2-1)/$L63))*($T63*(1-$F63)+$S63*(1-$G63))*((1+Inputs!$D$7)^BC$2))),((_xlfn.WEIBULL.DIST(BC$2,$M63,$L63,FALSE)*($T63*(1-$F63)+$S63*(1-$G63))*((1+Inputs!$D$7)^BC$2))))))</f>
        <v>0</v>
      </c>
      <c r="BD63" s="88">
        <f>$E63*IF(BD$2&gt;Inputs!$D$5,0,IF(BD$2&gt;VLOOKUP($H63,Lists!$P$3:$Q$7,2),IF($N63=Lists!$K$3,IF($L63&lt;1,(($U63/$L63)*((1+Inputs!$D$7)^BD$2)),((INT(BD$2/$L63)-INT((BD$2-1)/$L63))*$U63*((1+Inputs!$D$7)^BD$2))),(_xlfn.WEIBULL.DIST(BD$2,$M63,$L63,FALSE)*$U63*((1+Inputs!$D$7)^BD$2))),IF($N63=Lists!$K$3,IF($L63&lt;1,((($T63*(1-$F63)+$S63*(1-$G63))/$L63)*((1+Inputs!$D$7)^BD$2)),((INT(BD$2/$L63)-INT((BD$2-1)/$L63))*($T63*(1-$F63)+$S63*(1-$G63))*((1+Inputs!$D$7)^BD$2))),((_xlfn.WEIBULL.DIST(BD$2,$M63,$L63,FALSE)*($T63*(1-$F63)+$S63*(1-$G63))*((1+Inputs!$D$7)^BD$2))))))</f>
        <v>0</v>
      </c>
      <c r="BE63" s="88">
        <f>$E63*IF(BE$2&gt;Inputs!$D$5,0,IF(BE$2&gt;VLOOKUP($H63,Lists!$P$3:$Q$7,2),IF($N63=Lists!$K$3,IF($L63&lt;1,(($U63/$L63)*((1+Inputs!$D$7)^BE$2)),((INT(BE$2/$L63)-INT((BE$2-1)/$L63))*$U63*((1+Inputs!$D$7)^BE$2))),(_xlfn.WEIBULL.DIST(BE$2,$M63,$L63,FALSE)*$U63*((1+Inputs!$D$7)^BE$2))),IF($N63=Lists!$K$3,IF($L63&lt;1,((($T63*(1-$F63)+$S63*(1-$G63))/$L63)*((1+Inputs!$D$7)^BE$2)),((INT(BE$2/$L63)-INT((BE$2-1)/$L63))*($T63*(1-$F63)+$S63*(1-$G63))*((1+Inputs!$D$7)^BE$2))),((_xlfn.WEIBULL.DIST(BE$2,$M63,$L63,FALSE)*($T63*(1-$F63)+$S63*(1-$G63))*((1+Inputs!$D$7)^BE$2))))))</f>
        <v>0</v>
      </c>
      <c r="BF63" s="88">
        <f>$E63*IF(BF$2&gt;Inputs!$D$5,0,IF(BF$2&gt;VLOOKUP($H63,Lists!$P$3:$Q$7,2),IF($N63=Lists!$K$3,IF($L63&lt;1,(($U63/$L63)*((1+Inputs!$D$7)^BF$2)),((INT(BF$2/$L63)-INT((BF$2-1)/$L63))*$U63*((1+Inputs!$D$7)^BF$2))),(_xlfn.WEIBULL.DIST(BF$2,$M63,$L63,FALSE)*$U63*((1+Inputs!$D$7)^BF$2))),IF($N63=Lists!$K$3,IF($L63&lt;1,((($T63*(1-$F63)+$S63*(1-$G63))/$L63)*((1+Inputs!$D$7)^BF$2)),((INT(BF$2/$L63)-INT((BF$2-1)/$L63))*($T63*(1-$F63)+$S63*(1-$G63))*((1+Inputs!$D$7)^BF$2))),((_xlfn.WEIBULL.DIST(BF$2,$M63,$L63,FALSE)*($T63*(1-$F63)+$S63*(1-$G63))*((1+Inputs!$D$7)^BF$2))))))</f>
        <v>0</v>
      </c>
      <c r="BG63" s="88">
        <f>$E63*IF(BG$2&gt;Inputs!$D$5,0,IF(BG$2&gt;VLOOKUP($H63,Lists!$P$3:$Q$7,2),IF($N63=Lists!$K$3,IF($L63&lt;1,(($U63/$L63)*((1+Inputs!$D$7)^BG$2)),((INT(BG$2/$L63)-INT((BG$2-1)/$L63))*$U63*((1+Inputs!$D$7)^BG$2))),(_xlfn.WEIBULL.DIST(BG$2,$M63,$L63,FALSE)*$U63*((1+Inputs!$D$7)^BG$2))),IF($N63=Lists!$K$3,IF($L63&lt;1,((($T63*(1-$F63)+$S63*(1-$G63))/$L63)*((1+Inputs!$D$7)^BG$2)),((INT(BG$2/$L63)-INT((BG$2-1)/$L63))*($T63*(1-$F63)+$S63*(1-$G63))*((1+Inputs!$D$7)^BG$2))),((_xlfn.WEIBULL.DIST(BG$2,$M63,$L63,FALSE)*($T63*(1-$F63)+$S63*(1-$G63))*((1+Inputs!$D$7)^BG$2))))))</f>
        <v>0</v>
      </c>
      <c r="BH63" s="88">
        <f>$E63*IF(BH$2&gt;Inputs!$D$5,0,IF(BH$2&gt;VLOOKUP($H63,Lists!$P$3:$Q$7,2),IF($N63=Lists!$K$3,IF($L63&lt;1,(($U63/$L63)*((1+Inputs!$D$7)^BH$2)),((INT(BH$2/$L63)-INT((BH$2-1)/$L63))*$U63*((1+Inputs!$D$7)^BH$2))),(_xlfn.WEIBULL.DIST(BH$2,$M63,$L63,FALSE)*$U63*((1+Inputs!$D$7)^BH$2))),IF($N63=Lists!$K$3,IF($L63&lt;1,((($T63*(1-$F63)+$S63*(1-$G63))/$L63)*((1+Inputs!$D$7)^BH$2)),((INT(BH$2/$L63)-INT((BH$2-1)/$L63))*($T63*(1-$F63)+$S63*(1-$G63))*((1+Inputs!$D$7)^BH$2))),((_xlfn.WEIBULL.DIST(BH$2,$M63,$L63,FALSE)*($T63*(1-$F63)+$S63*(1-$G63))*((1+Inputs!$D$7)^BH$2))))))</f>
        <v>0</v>
      </c>
      <c r="BI63" s="88">
        <f>$E63*IF(BI$2&gt;Inputs!$D$5,0,IF(BI$2&gt;VLOOKUP($H63,Lists!$P$3:$Q$7,2),IF($N63=Lists!$K$3,IF($L63&lt;1,(($U63/$L63)*((1+Inputs!$D$7)^BI$2)),((INT(BI$2/$L63)-INT((BI$2-1)/$L63))*$U63*((1+Inputs!$D$7)^BI$2))),(_xlfn.WEIBULL.DIST(BI$2,$M63,$L63,FALSE)*$U63*((1+Inputs!$D$7)^BI$2))),IF($N63=Lists!$K$3,IF($L63&lt;1,((($T63*(1-$F63)+$S63*(1-$G63))/$L63)*((1+Inputs!$D$7)^BI$2)),((INT(BI$2/$L63)-INT((BI$2-1)/$L63))*($T63*(1-$F63)+$S63*(1-$G63))*((1+Inputs!$D$7)^BI$2))),((_xlfn.WEIBULL.DIST(BI$2,$M63,$L63,FALSE)*($T63*(1-$F63)+$S63*(1-$G63))*((1+Inputs!$D$7)^BI$2))))))</f>
        <v>0</v>
      </c>
      <c r="BJ63" s="88">
        <f>$E63*IF(BJ$2&gt;Inputs!$D$5,0,IF(BJ$2&gt;VLOOKUP($H63,Lists!$P$3:$Q$7,2),IF($N63=Lists!$K$3,IF($L63&lt;1,(($U63/$L63)*((1+Inputs!$D$7)^BJ$2)),((INT(BJ$2/$L63)-INT((BJ$2-1)/$L63))*$U63*((1+Inputs!$D$7)^BJ$2))),(_xlfn.WEIBULL.DIST(BJ$2,$M63,$L63,FALSE)*$U63*((1+Inputs!$D$7)^BJ$2))),IF($N63=Lists!$K$3,IF($L63&lt;1,((($T63*(1-$F63)+$S63*(1-$G63))/$L63)*((1+Inputs!$D$7)^BJ$2)),((INT(BJ$2/$L63)-INT((BJ$2-1)/$L63))*($T63*(1-$F63)+$S63*(1-$G63))*((1+Inputs!$D$7)^BJ$2))),((_xlfn.WEIBULL.DIST(BJ$2,$M63,$L63,FALSE)*($T63*(1-$F63)+$S63*(1-$G63))*((1+Inputs!$D$7)^BJ$2))))))</f>
        <v>0</v>
      </c>
      <c r="BK63" s="88">
        <f>$E63*IF(BK$2&gt;Inputs!$D$5,0,IF(BK$2&gt;VLOOKUP($H63,Lists!$P$3:$Q$7,2),IF($N63=Lists!$K$3,IF($L63&lt;1,(($U63/$L63)*((1+Inputs!$D$7)^BK$2)),((INT(BK$2/$L63)-INT((BK$2-1)/$L63))*$U63*((1+Inputs!$D$7)^BK$2))),(_xlfn.WEIBULL.DIST(BK$2,$M63,$L63,FALSE)*$U63*((1+Inputs!$D$7)^BK$2))),IF($N63=Lists!$K$3,IF($L63&lt;1,((($T63*(1-$F63)+$S63*(1-$G63))/$L63)*((1+Inputs!$D$7)^BK$2)),((INT(BK$2/$L63)-INT((BK$2-1)/$L63))*($T63*(1-$F63)+$S63*(1-$G63))*((1+Inputs!$D$7)^BK$2))),((_xlfn.WEIBULL.DIST(BK$2,$M63,$L63,FALSE)*($T63*(1-$F63)+$S63*(1-$G63))*((1+Inputs!$D$7)^BK$2))))))</f>
        <v>0</v>
      </c>
      <c r="BL63" s="88">
        <f>$E63*IF(BL$2&gt;Inputs!$D$5,0,IF(BL$2&gt;VLOOKUP($H63,Lists!$P$3:$Q$7,2),IF($N63=Lists!$K$3,IF($L63&lt;1,(($U63/$L63)*((1+Inputs!$D$7)^BL$2)),((INT(BL$2/$L63)-INT((BL$2-1)/$L63))*$U63*((1+Inputs!$D$7)^BL$2))),(_xlfn.WEIBULL.DIST(BL$2,$M63,$L63,FALSE)*$U63*((1+Inputs!$D$7)^BL$2))),IF($N63=Lists!$K$3,IF($L63&lt;1,((($T63*(1-$F63)+$S63*(1-$G63))/$L63)*((1+Inputs!$D$7)^BL$2)),((INT(BL$2/$L63)-INT((BL$2-1)/$L63))*($T63*(1-$F63)+$S63*(1-$G63))*((1+Inputs!$D$7)^BL$2))),((_xlfn.WEIBULL.DIST(BL$2,$M63,$L63,FALSE)*($T63*(1-$F63)+$S63*(1-$G63))*((1+Inputs!$D$7)^BL$2))))))</f>
        <v>0</v>
      </c>
      <c r="BM63" s="88">
        <f>$E63*IF(BM$2&gt;Inputs!$D$5,0,IF(BM$2&gt;VLOOKUP($H63,Lists!$P$3:$Q$7,2),IF($N63=Lists!$K$3,IF($L63&lt;1,(($U63/$L63)*((1+Inputs!$D$7)^BM$2)),((INT(BM$2/$L63)-INT((BM$2-1)/$L63))*$U63*((1+Inputs!$D$7)^BM$2))),(_xlfn.WEIBULL.DIST(BM$2,$M63,$L63,FALSE)*$U63*((1+Inputs!$D$7)^BM$2))),IF($N63=Lists!$K$3,IF($L63&lt;1,((($T63*(1-$F63)+$S63*(1-$G63))/$L63)*((1+Inputs!$D$7)^BM$2)),((INT(BM$2/$L63)-INT((BM$2-1)/$L63))*($T63*(1-$F63)+$S63*(1-$G63))*((1+Inputs!$D$7)^BM$2))),((_xlfn.WEIBULL.DIST(BM$2,$M63,$L63,FALSE)*($T63*(1-$F63)+$S63*(1-$G63))*((1+Inputs!$D$7)^BM$2))))))</f>
        <v>0</v>
      </c>
      <c r="BN63" s="88">
        <f>$E63*IF(BN$2&gt;Inputs!$D$5,0,IF(BN$2&gt;VLOOKUP($H63,Lists!$P$3:$Q$7,2),IF($N63=Lists!$K$3,IF($L63&lt;1,(($U63/$L63)*((1+Inputs!$D$7)^BN$2)),((INT(BN$2/$L63)-INT((BN$2-1)/$L63))*$U63*((1+Inputs!$D$7)^BN$2))),(_xlfn.WEIBULL.DIST(BN$2,$M63,$L63,FALSE)*$U63*((1+Inputs!$D$7)^BN$2))),IF($N63=Lists!$K$3,IF($L63&lt;1,((($T63*(1-$F63)+$S63*(1-$G63))/$L63)*((1+Inputs!$D$7)^BN$2)),((INT(BN$2/$L63)-INT((BN$2-1)/$L63))*($T63*(1-$F63)+$S63*(1-$G63))*((1+Inputs!$D$7)^BN$2))),((_xlfn.WEIBULL.DIST(BN$2,$M63,$L63,FALSE)*($T63*(1-$F63)+$S63*(1-$G63))*((1+Inputs!$D$7)^BN$2))))))</f>
        <v>0</v>
      </c>
      <c r="BO63" s="64">
        <f>NPV(Inputs!$D$6,BQ63:DD63)</f>
        <v>0</v>
      </c>
      <c r="BP63" s="67">
        <f t="shared" si="13"/>
        <v>0</v>
      </c>
      <c r="BQ63" s="88">
        <f>MAX(AA63,($E63*IF(BQ$2&gt;Inputs!$D$5,0,IF(BQ$2&gt;VLOOKUP($H63,Lists!$P$3:$Q$7,2),IF($N63=Lists!$K$3,IF($L63&lt;1,(($U63/$L63)*((1+Inputs!$D$7)^BQ$2)),((INT(BQ$2/$L63)-INT((BQ$2-1)/$L63))*$U63*((1+Inputs!$D$7)^BQ$2))),(Inputs!$D$8^((1-_xlfn.WEIBULL.DIST(BQ$2,$M63,$L63,FALSE))/_xlfn.WEIBULL.DIST(BQ$2,$M63,$L63,FALSE))*$U63*((1+Inputs!$D$7)^BQ$2))),IF($N63=Lists!$K$3,IF($L63&lt;1,((($T63*(1-$F63)+$S63*(1-$G63))/$L63)*((1+Inputs!$D$7)^BQ$2)),((INT(BQ$2/$L63)-INT((BQ$2-1)/$L63))*($T63*(1-$F63)+$S63*(1-$G63))*((1+Inputs!$D$7)^BQ$2))),((Inputs!$D$8^((1-_xlfn.WEIBULL.DIST(BQ$2,$M63,$L63,FALSE))/_xlfn.WEIBULL.DIST(BQ$2,$M63,$L63,FALSE))*($T63*(1-$F63)+$S63*(1-$G63))*((1+Inputs!$D$7)^BQ$2))))))))</f>
        <v>0</v>
      </c>
      <c r="BR63" s="88">
        <f>MAX(AB63,($E63*IF(BR$2&gt;Inputs!$D$5,0,IF(BR$2&gt;VLOOKUP($H63,Lists!$P$3:$Q$7,2),IF($N63=Lists!$K$3,IF($L63&lt;1,(($U63/$L63)*((1+Inputs!$D$7)^BR$2)),((INT(BR$2/$L63)-INT((BR$2-1)/$L63))*$U63*((1+Inputs!$D$7)^BR$2))),(Inputs!$D$8^((1-_xlfn.WEIBULL.DIST(BR$2,$M63,$L63,FALSE))/_xlfn.WEIBULL.DIST(BR$2,$M63,$L63,FALSE))*$U63*((1+Inputs!$D$7)^BR$2))),IF($N63=Lists!$K$3,IF($L63&lt;1,((($T63*(1-$F63)+$S63*(1-$G63))/$L63)*((1+Inputs!$D$7)^BR$2)),((INT(BR$2/$L63)-INT((BR$2-1)/$L63))*($T63*(1-$F63)+$S63*(1-$G63))*((1+Inputs!$D$7)^BR$2))),((Inputs!$D$8^((1-_xlfn.WEIBULL.DIST(BR$2,$M63,$L63,FALSE))/_xlfn.WEIBULL.DIST(BR$2,$M63,$L63,FALSE))*($T63*(1-$F63)+$S63*(1-$G63))*((1+Inputs!$D$7)^BR$2))))))))</f>
        <v>0</v>
      </c>
      <c r="BS63" s="88">
        <f>MAX(AC63,($E63*IF(BS$2&gt;Inputs!$D$5,0,IF(BS$2&gt;VLOOKUP($H63,Lists!$P$3:$Q$7,2),IF($N63=Lists!$K$3,IF($L63&lt;1,(($U63/$L63)*((1+Inputs!$D$7)^BS$2)),((INT(BS$2/$L63)-INT((BS$2-1)/$L63))*$U63*((1+Inputs!$D$7)^BS$2))),(Inputs!$D$8^((1-_xlfn.WEIBULL.DIST(BS$2,$M63,$L63,FALSE))/_xlfn.WEIBULL.DIST(BS$2,$M63,$L63,FALSE))*$U63*((1+Inputs!$D$7)^BS$2))),IF($N63=Lists!$K$3,IF($L63&lt;1,((($T63*(1-$F63)+$S63*(1-$G63))/$L63)*((1+Inputs!$D$7)^BS$2)),((INT(BS$2/$L63)-INT((BS$2-1)/$L63))*($T63*(1-$F63)+$S63*(1-$G63))*((1+Inputs!$D$7)^BS$2))),((Inputs!$D$8^((1-_xlfn.WEIBULL.DIST(BS$2,$M63,$L63,FALSE))/_xlfn.WEIBULL.DIST(BS$2,$M63,$L63,FALSE))*($T63*(1-$F63)+$S63*(1-$G63))*((1+Inputs!$D$7)^BS$2))))))))</f>
        <v>0</v>
      </c>
      <c r="BT63" s="88">
        <f>MAX(AD63,($E63*IF(BT$2&gt;Inputs!$D$5,0,IF(BT$2&gt;VLOOKUP($H63,Lists!$P$3:$Q$7,2),IF($N63=Lists!$K$3,IF($L63&lt;1,(($U63/$L63)*((1+Inputs!$D$7)^BT$2)),((INT(BT$2/$L63)-INT((BT$2-1)/$L63))*$U63*((1+Inputs!$D$7)^BT$2))),(Inputs!$D$8^((1-_xlfn.WEIBULL.DIST(BT$2,$M63,$L63,FALSE))/_xlfn.WEIBULL.DIST(BT$2,$M63,$L63,FALSE))*$U63*((1+Inputs!$D$7)^BT$2))),IF($N63=Lists!$K$3,IF($L63&lt;1,((($T63*(1-$F63)+$S63*(1-$G63))/$L63)*((1+Inputs!$D$7)^BT$2)),((INT(BT$2/$L63)-INT((BT$2-1)/$L63))*($T63*(1-$F63)+$S63*(1-$G63))*((1+Inputs!$D$7)^BT$2))),((Inputs!$D$8^((1-_xlfn.WEIBULL.DIST(BT$2,$M63,$L63,FALSE))/_xlfn.WEIBULL.DIST(BT$2,$M63,$L63,FALSE))*($T63*(1-$F63)+$S63*(1-$G63))*((1+Inputs!$D$7)^BT$2))))))))</f>
        <v>0</v>
      </c>
      <c r="BU63" s="88">
        <f>MAX(AE63,($E63*IF(BU$2&gt;Inputs!$D$5,0,IF(BU$2&gt;VLOOKUP($H63,Lists!$P$3:$Q$7,2),IF($N63=Lists!$K$3,IF($L63&lt;1,(($U63/$L63)*((1+Inputs!$D$7)^BU$2)),((INT(BU$2/$L63)-INT((BU$2-1)/$L63))*$U63*((1+Inputs!$D$7)^BU$2))),(Inputs!$D$8^((1-_xlfn.WEIBULL.DIST(BU$2,$M63,$L63,FALSE))/_xlfn.WEIBULL.DIST(BU$2,$M63,$L63,FALSE))*$U63*((1+Inputs!$D$7)^BU$2))),IF($N63=Lists!$K$3,IF($L63&lt;1,((($T63*(1-$F63)+$S63*(1-$G63))/$L63)*((1+Inputs!$D$7)^BU$2)),((INT(BU$2/$L63)-INT((BU$2-1)/$L63))*($T63*(1-$F63)+$S63*(1-$G63))*((1+Inputs!$D$7)^BU$2))),((Inputs!$D$8^((1-_xlfn.WEIBULL.DIST(BU$2,$M63,$L63,FALSE))/_xlfn.WEIBULL.DIST(BU$2,$M63,$L63,FALSE))*($T63*(1-$F63)+$S63*(1-$G63))*((1+Inputs!$D$7)^BU$2))))))))</f>
        <v>0</v>
      </c>
      <c r="BV63" s="88">
        <f>MAX(AF63,($E63*IF(BV$2&gt;Inputs!$D$5,0,IF(BV$2&gt;VLOOKUP($H63,Lists!$P$3:$Q$7,2),IF($N63=Lists!$K$3,IF($L63&lt;1,(($U63/$L63)*((1+Inputs!$D$7)^BV$2)),((INT(BV$2/$L63)-INT((BV$2-1)/$L63))*$U63*((1+Inputs!$D$7)^BV$2))),(Inputs!$D$8^((1-_xlfn.WEIBULL.DIST(BV$2,$M63,$L63,FALSE))/_xlfn.WEIBULL.DIST(BV$2,$M63,$L63,FALSE))*$U63*((1+Inputs!$D$7)^BV$2))),IF($N63=Lists!$K$3,IF($L63&lt;1,((($T63*(1-$F63)+$S63*(1-$G63))/$L63)*((1+Inputs!$D$7)^BV$2)),((INT(BV$2/$L63)-INT((BV$2-1)/$L63))*($T63*(1-$F63)+$S63*(1-$G63))*((1+Inputs!$D$7)^BV$2))),((Inputs!$D$8^((1-_xlfn.WEIBULL.DIST(BV$2,$M63,$L63,FALSE))/_xlfn.WEIBULL.DIST(BV$2,$M63,$L63,FALSE))*($T63*(1-$F63)+$S63*(1-$G63))*((1+Inputs!$D$7)^BV$2))))))))</f>
        <v>0</v>
      </c>
      <c r="BW63" s="88">
        <f>MAX(AG63,($E63*IF(BW$2&gt;Inputs!$D$5,0,IF(BW$2&gt;VLOOKUP($H63,Lists!$P$3:$Q$7,2),IF($N63=Lists!$K$3,IF($L63&lt;1,(($U63/$L63)*((1+Inputs!$D$7)^BW$2)),((INT(BW$2/$L63)-INT((BW$2-1)/$L63))*$U63*((1+Inputs!$D$7)^BW$2))),(Inputs!$D$8^((1-_xlfn.WEIBULL.DIST(BW$2,$M63,$L63,FALSE))/_xlfn.WEIBULL.DIST(BW$2,$M63,$L63,FALSE))*$U63*((1+Inputs!$D$7)^BW$2))),IF($N63=Lists!$K$3,IF($L63&lt;1,((($T63*(1-$F63)+$S63*(1-$G63))/$L63)*((1+Inputs!$D$7)^BW$2)),((INT(BW$2/$L63)-INT((BW$2-1)/$L63))*($T63*(1-$F63)+$S63*(1-$G63))*((1+Inputs!$D$7)^BW$2))),((Inputs!$D$8^((1-_xlfn.WEIBULL.DIST(BW$2,$M63,$L63,FALSE))/_xlfn.WEIBULL.DIST(BW$2,$M63,$L63,FALSE))*($T63*(1-$F63)+$S63*(1-$G63))*((1+Inputs!$D$7)^BW$2))))))))</f>
        <v>0</v>
      </c>
      <c r="BX63" s="88">
        <f>MAX(AH63,($E63*IF(BX$2&gt;Inputs!$D$5,0,IF(BX$2&gt;VLOOKUP($H63,Lists!$P$3:$Q$7,2),IF($N63=Lists!$K$3,IF($L63&lt;1,(($U63/$L63)*((1+Inputs!$D$7)^BX$2)),((INT(BX$2/$L63)-INT((BX$2-1)/$L63))*$U63*((1+Inputs!$D$7)^BX$2))),(Inputs!$D$8^((1-_xlfn.WEIBULL.DIST(BX$2,$M63,$L63,FALSE))/_xlfn.WEIBULL.DIST(BX$2,$M63,$L63,FALSE))*$U63*((1+Inputs!$D$7)^BX$2))),IF($N63=Lists!$K$3,IF($L63&lt;1,((($T63*(1-$F63)+$S63*(1-$G63))/$L63)*((1+Inputs!$D$7)^BX$2)),((INT(BX$2/$L63)-INT((BX$2-1)/$L63))*($T63*(1-$F63)+$S63*(1-$G63))*((1+Inputs!$D$7)^BX$2))),((Inputs!$D$8^((1-_xlfn.WEIBULL.DIST(BX$2,$M63,$L63,FALSE))/_xlfn.WEIBULL.DIST(BX$2,$M63,$L63,FALSE))*($T63*(1-$F63)+$S63*(1-$G63))*((1+Inputs!$D$7)^BX$2))))))))</f>
        <v>0</v>
      </c>
      <c r="BY63" s="88">
        <f>MAX(AI63,($E63*IF(BY$2&gt;Inputs!$D$5,0,IF(BY$2&gt;VLOOKUP($H63,Lists!$P$3:$Q$7,2),IF($N63=Lists!$K$3,IF($L63&lt;1,(($U63/$L63)*((1+Inputs!$D$7)^BY$2)),((INT(BY$2/$L63)-INT((BY$2-1)/$L63))*$U63*((1+Inputs!$D$7)^BY$2))),(Inputs!$D$8^((1-_xlfn.WEIBULL.DIST(BY$2,$M63,$L63,FALSE))/_xlfn.WEIBULL.DIST(BY$2,$M63,$L63,FALSE))*$U63*((1+Inputs!$D$7)^BY$2))),IF($N63=Lists!$K$3,IF($L63&lt;1,((($T63*(1-$F63)+$S63*(1-$G63))/$L63)*((1+Inputs!$D$7)^BY$2)),((INT(BY$2/$L63)-INT((BY$2-1)/$L63))*($T63*(1-$F63)+$S63*(1-$G63))*((1+Inputs!$D$7)^BY$2))),((Inputs!$D$8^((1-_xlfn.WEIBULL.DIST(BY$2,$M63,$L63,FALSE))/_xlfn.WEIBULL.DIST(BY$2,$M63,$L63,FALSE))*($T63*(1-$F63)+$S63*(1-$G63))*((1+Inputs!$D$7)^BY$2))))))))</f>
        <v>0</v>
      </c>
      <c r="BZ63" s="88">
        <f>MAX(AJ63,($E63*IF(BZ$2&gt;Inputs!$D$5,0,IF(BZ$2&gt;VLOOKUP($H63,Lists!$P$3:$Q$7,2),IF($N63=Lists!$K$3,IF($L63&lt;1,(($U63/$L63)*((1+Inputs!$D$7)^BZ$2)),((INT(BZ$2/$L63)-INT((BZ$2-1)/$L63))*$U63*((1+Inputs!$D$7)^BZ$2))),(Inputs!$D$8^((1-_xlfn.WEIBULL.DIST(BZ$2,$M63,$L63,FALSE))/_xlfn.WEIBULL.DIST(BZ$2,$M63,$L63,FALSE))*$U63*((1+Inputs!$D$7)^BZ$2))),IF($N63=Lists!$K$3,IF($L63&lt;1,((($T63*(1-$F63)+$S63*(1-$G63))/$L63)*((1+Inputs!$D$7)^BZ$2)),((INT(BZ$2/$L63)-INT((BZ$2-1)/$L63))*($T63*(1-$F63)+$S63*(1-$G63))*((1+Inputs!$D$7)^BZ$2))),((Inputs!$D$8^((1-_xlfn.WEIBULL.DIST(BZ$2,$M63,$L63,FALSE))/_xlfn.WEIBULL.DIST(BZ$2,$M63,$L63,FALSE))*($T63*(1-$F63)+$S63*(1-$G63))*((1+Inputs!$D$7)^BZ$2))))))))</f>
        <v>0</v>
      </c>
      <c r="CA63" s="88">
        <f>MAX(AK63,($E63*IF(CA$2&gt;Inputs!$D$5,0,IF(CA$2&gt;VLOOKUP($H63,Lists!$P$3:$Q$7,2),IF($N63=Lists!$K$3,IF($L63&lt;1,(($U63/$L63)*((1+Inputs!$D$7)^CA$2)),((INT(CA$2/$L63)-INT((CA$2-1)/$L63))*$U63*((1+Inputs!$D$7)^CA$2))),(Inputs!$D$8^((1-_xlfn.WEIBULL.DIST(CA$2,$M63,$L63,FALSE))/_xlfn.WEIBULL.DIST(CA$2,$M63,$L63,FALSE))*$U63*((1+Inputs!$D$7)^CA$2))),IF($N63=Lists!$K$3,IF($L63&lt;1,((($T63*(1-$F63)+$S63*(1-$G63))/$L63)*((1+Inputs!$D$7)^CA$2)),((INT(CA$2/$L63)-INT((CA$2-1)/$L63))*($T63*(1-$F63)+$S63*(1-$G63))*((1+Inputs!$D$7)^CA$2))),((Inputs!$D$8^((1-_xlfn.WEIBULL.DIST(CA$2,$M63,$L63,FALSE))/_xlfn.WEIBULL.DIST(CA$2,$M63,$L63,FALSE))*($T63*(1-$F63)+$S63*(1-$G63))*((1+Inputs!$D$7)^CA$2))))))))</f>
        <v>0</v>
      </c>
      <c r="CB63" s="88">
        <f>MAX(AL63,($E63*IF(CB$2&gt;Inputs!$D$5,0,IF(CB$2&gt;VLOOKUP($H63,Lists!$P$3:$Q$7,2),IF($N63=Lists!$K$3,IF($L63&lt;1,(($U63/$L63)*((1+Inputs!$D$7)^CB$2)),((INT(CB$2/$L63)-INT((CB$2-1)/$L63))*$U63*((1+Inputs!$D$7)^CB$2))),(Inputs!$D$8^((1-_xlfn.WEIBULL.DIST(CB$2,$M63,$L63,FALSE))/_xlfn.WEIBULL.DIST(CB$2,$M63,$L63,FALSE))*$U63*((1+Inputs!$D$7)^CB$2))),IF($N63=Lists!$K$3,IF($L63&lt;1,((($T63*(1-$F63)+$S63*(1-$G63))/$L63)*((1+Inputs!$D$7)^CB$2)),((INT(CB$2/$L63)-INT((CB$2-1)/$L63))*($T63*(1-$F63)+$S63*(1-$G63))*((1+Inputs!$D$7)^CB$2))),((Inputs!$D$8^((1-_xlfn.WEIBULL.DIST(CB$2,$M63,$L63,FALSE))/_xlfn.WEIBULL.DIST(CB$2,$M63,$L63,FALSE))*($T63*(1-$F63)+$S63*(1-$G63))*((1+Inputs!$D$7)^CB$2))))))))</f>
        <v>0</v>
      </c>
      <c r="CC63" s="88">
        <f>MAX(AM63,($E63*IF(CC$2&gt;Inputs!$D$5,0,IF(CC$2&gt;VLOOKUP($H63,Lists!$P$3:$Q$7,2),IF($N63=Lists!$K$3,IF($L63&lt;1,(($U63/$L63)*((1+Inputs!$D$7)^CC$2)),((INT(CC$2/$L63)-INT((CC$2-1)/$L63))*$U63*((1+Inputs!$D$7)^CC$2))),(Inputs!$D$8^((1-_xlfn.WEIBULL.DIST(CC$2,$M63,$L63,FALSE))/_xlfn.WEIBULL.DIST(CC$2,$M63,$L63,FALSE))*$U63*((1+Inputs!$D$7)^CC$2))),IF($N63=Lists!$K$3,IF($L63&lt;1,((($T63*(1-$F63)+$S63*(1-$G63))/$L63)*((1+Inputs!$D$7)^CC$2)),((INT(CC$2/$L63)-INT((CC$2-1)/$L63))*($T63*(1-$F63)+$S63*(1-$G63))*((1+Inputs!$D$7)^CC$2))),((Inputs!$D$8^((1-_xlfn.WEIBULL.DIST(CC$2,$M63,$L63,FALSE))/_xlfn.WEIBULL.DIST(CC$2,$M63,$L63,FALSE))*($T63*(1-$F63)+$S63*(1-$G63))*((1+Inputs!$D$7)^CC$2))))))))</f>
        <v>0</v>
      </c>
      <c r="CD63" s="88">
        <f>MAX(AN63,($E63*IF(CD$2&gt;Inputs!$D$5,0,IF(CD$2&gt;VLOOKUP($H63,Lists!$P$3:$Q$7,2),IF($N63=Lists!$K$3,IF($L63&lt;1,(($U63/$L63)*((1+Inputs!$D$7)^CD$2)),((INT(CD$2/$L63)-INT((CD$2-1)/$L63))*$U63*((1+Inputs!$D$7)^CD$2))),(Inputs!$D$8^((1-_xlfn.WEIBULL.DIST(CD$2,$M63,$L63,FALSE))/_xlfn.WEIBULL.DIST(CD$2,$M63,$L63,FALSE))*$U63*((1+Inputs!$D$7)^CD$2))),IF($N63=Lists!$K$3,IF($L63&lt;1,((($T63*(1-$F63)+$S63*(1-$G63))/$L63)*((1+Inputs!$D$7)^CD$2)),((INT(CD$2/$L63)-INT((CD$2-1)/$L63))*($T63*(1-$F63)+$S63*(1-$G63))*((1+Inputs!$D$7)^CD$2))),((Inputs!$D$8^((1-_xlfn.WEIBULL.DIST(CD$2,$M63,$L63,FALSE))/_xlfn.WEIBULL.DIST(CD$2,$M63,$L63,FALSE))*($T63*(1-$F63)+$S63*(1-$G63))*((1+Inputs!$D$7)^CD$2))))))))</f>
        <v>0</v>
      </c>
      <c r="CE63" s="88">
        <f>MAX(AO63,($E63*IF(CE$2&gt;Inputs!$D$5,0,IF(CE$2&gt;VLOOKUP($H63,Lists!$P$3:$Q$7,2),IF($N63=Lists!$K$3,IF($L63&lt;1,(($U63/$L63)*((1+Inputs!$D$7)^CE$2)),((INT(CE$2/$L63)-INT((CE$2-1)/$L63))*$U63*((1+Inputs!$D$7)^CE$2))),(Inputs!$D$8^((1-_xlfn.WEIBULL.DIST(CE$2,$M63,$L63,FALSE))/_xlfn.WEIBULL.DIST(CE$2,$M63,$L63,FALSE))*$U63*((1+Inputs!$D$7)^CE$2))),IF($N63=Lists!$K$3,IF($L63&lt;1,((($T63*(1-$F63)+$S63*(1-$G63))/$L63)*((1+Inputs!$D$7)^CE$2)),((INT(CE$2/$L63)-INT((CE$2-1)/$L63))*($T63*(1-$F63)+$S63*(1-$G63))*((1+Inputs!$D$7)^CE$2))),((Inputs!$D$8^((1-_xlfn.WEIBULL.DIST(CE$2,$M63,$L63,FALSE))/_xlfn.WEIBULL.DIST(CE$2,$M63,$L63,FALSE))*($T63*(1-$F63)+$S63*(1-$G63))*((1+Inputs!$D$7)^CE$2))))))))</f>
        <v>0</v>
      </c>
      <c r="CF63" s="88">
        <f>MAX(AP63,($E63*IF(CF$2&gt;Inputs!$D$5,0,IF(CF$2&gt;VLOOKUP($H63,Lists!$P$3:$Q$7,2),IF($N63=Lists!$K$3,IF($L63&lt;1,(($U63/$L63)*((1+Inputs!$D$7)^CF$2)),((INT(CF$2/$L63)-INT((CF$2-1)/$L63))*$U63*((1+Inputs!$D$7)^CF$2))),(Inputs!$D$8^((1-_xlfn.WEIBULL.DIST(CF$2,$M63,$L63,FALSE))/_xlfn.WEIBULL.DIST(CF$2,$M63,$L63,FALSE))*$U63*((1+Inputs!$D$7)^CF$2))),IF($N63=Lists!$K$3,IF($L63&lt;1,((($T63*(1-$F63)+$S63*(1-$G63))/$L63)*((1+Inputs!$D$7)^CF$2)),((INT(CF$2/$L63)-INT((CF$2-1)/$L63))*($T63*(1-$F63)+$S63*(1-$G63))*((1+Inputs!$D$7)^CF$2))),((Inputs!$D$8^((1-_xlfn.WEIBULL.DIST(CF$2,$M63,$L63,FALSE))/_xlfn.WEIBULL.DIST(CF$2,$M63,$L63,FALSE))*($T63*(1-$F63)+$S63*(1-$G63))*((1+Inputs!$D$7)^CF$2))))))))</f>
        <v>0</v>
      </c>
      <c r="CG63" s="88">
        <f>MAX(AQ63,($E63*IF(CG$2&gt;Inputs!$D$5,0,IF(CG$2&gt;VLOOKUP($H63,Lists!$P$3:$Q$7,2),IF($N63=Lists!$K$3,IF($L63&lt;1,(($U63/$L63)*((1+Inputs!$D$7)^CG$2)),((INT(CG$2/$L63)-INT((CG$2-1)/$L63))*$U63*((1+Inputs!$D$7)^CG$2))),(Inputs!$D$8^((1-_xlfn.WEIBULL.DIST(CG$2,$M63,$L63,FALSE))/_xlfn.WEIBULL.DIST(CG$2,$M63,$L63,FALSE))*$U63*((1+Inputs!$D$7)^CG$2))),IF($N63=Lists!$K$3,IF($L63&lt;1,((($T63*(1-$F63)+$S63*(1-$G63))/$L63)*((1+Inputs!$D$7)^CG$2)),((INT(CG$2/$L63)-INT((CG$2-1)/$L63))*($T63*(1-$F63)+$S63*(1-$G63))*((1+Inputs!$D$7)^CG$2))),((Inputs!$D$8^((1-_xlfn.WEIBULL.DIST(CG$2,$M63,$L63,FALSE))/_xlfn.WEIBULL.DIST(CG$2,$M63,$L63,FALSE))*($T63*(1-$F63)+$S63*(1-$G63))*((1+Inputs!$D$7)^CG$2))))))))</f>
        <v>0</v>
      </c>
      <c r="CH63" s="88">
        <f>MAX(AR63,($E63*IF(CH$2&gt;Inputs!$D$5,0,IF(CH$2&gt;VLOOKUP($H63,Lists!$P$3:$Q$7,2),IF($N63=Lists!$K$3,IF($L63&lt;1,(($U63/$L63)*((1+Inputs!$D$7)^CH$2)),((INT(CH$2/$L63)-INT((CH$2-1)/$L63))*$U63*((1+Inputs!$D$7)^CH$2))),(Inputs!$D$8^((1-_xlfn.WEIBULL.DIST(CH$2,$M63,$L63,FALSE))/_xlfn.WEIBULL.DIST(CH$2,$M63,$L63,FALSE))*$U63*((1+Inputs!$D$7)^CH$2))),IF($N63=Lists!$K$3,IF($L63&lt;1,((($T63*(1-$F63)+$S63*(1-$G63))/$L63)*((1+Inputs!$D$7)^CH$2)),((INT(CH$2/$L63)-INT((CH$2-1)/$L63))*($T63*(1-$F63)+$S63*(1-$G63))*((1+Inputs!$D$7)^CH$2))),((Inputs!$D$8^((1-_xlfn.WEIBULL.DIST(CH$2,$M63,$L63,FALSE))/_xlfn.WEIBULL.DIST(CH$2,$M63,$L63,FALSE))*($T63*(1-$F63)+$S63*(1-$G63))*((1+Inputs!$D$7)^CH$2))))))))</f>
        <v>0</v>
      </c>
      <c r="CI63" s="88">
        <f>MAX(AS63,($E63*IF(CI$2&gt;Inputs!$D$5,0,IF(CI$2&gt;VLOOKUP($H63,Lists!$P$3:$Q$7,2),IF($N63=Lists!$K$3,IF($L63&lt;1,(($U63/$L63)*((1+Inputs!$D$7)^CI$2)),((INT(CI$2/$L63)-INT((CI$2-1)/$L63))*$U63*((1+Inputs!$D$7)^CI$2))),(Inputs!$D$8^((1-_xlfn.WEIBULL.DIST(CI$2,$M63,$L63,FALSE))/_xlfn.WEIBULL.DIST(CI$2,$M63,$L63,FALSE))*$U63*((1+Inputs!$D$7)^CI$2))),IF($N63=Lists!$K$3,IF($L63&lt;1,((($T63*(1-$F63)+$S63*(1-$G63))/$L63)*((1+Inputs!$D$7)^CI$2)),((INT(CI$2/$L63)-INT((CI$2-1)/$L63))*($T63*(1-$F63)+$S63*(1-$G63))*((1+Inputs!$D$7)^CI$2))),((Inputs!$D$8^((1-_xlfn.WEIBULL.DIST(CI$2,$M63,$L63,FALSE))/_xlfn.WEIBULL.DIST(CI$2,$M63,$L63,FALSE))*($T63*(1-$F63)+$S63*(1-$G63))*((1+Inputs!$D$7)^CI$2))))))))</f>
        <v>0</v>
      </c>
      <c r="CJ63" s="88">
        <f>MAX(AT63,($E63*IF(CJ$2&gt;Inputs!$D$5,0,IF(CJ$2&gt;VLOOKUP($H63,Lists!$P$3:$Q$7,2),IF($N63=Lists!$K$3,IF($L63&lt;1,(($U63/$L63)*((1+Inputs!$D$7)^CJ$2)),((INT(CJ$2/$L63)-INT((CJ$2-1)/$L63))*$U63*((1+Inputs!$D$7)^CJ$2))),(Inputs!$D$8^((1-_xlfn.WEIBULL.DIST(CJ$2,$M63,$L63,FALSE))/_xlfn.WEIBULL.DIST(CJ$2,$M63,$L63,FALSE))*$U63*((1+Inputs!$D$7)^CJ$2))),IF($N63=Lists!$K$3,IF($L63&lt;1,((($T63*(1-$F63)+$S63*(1-$G63))/$L63)*((1+Inputs!$D$7)^CJ$2)),((INT(CJ$2/$L63)-INT((CJ$2-1)/$L63))*($T63*(1-$F63)+$S63*(1-$G63))*((1+Inputs!$D$7)^CJ$2))),((Inputs!$D$8^((1-_xlfn.WEIBULL.DIST(CJ$2,$M63,$L63,FALSE))/_xlfn.WEIBULL.DIST(CJ$2,$M63,$L63,FALSE))*($T63*(1-$F63)+$S63*(1-$G63))*((1+Inputs!$D$7)^CJ$2))))))))</f>
        <v>0</v>
      </c>
      <c r="CK63" s="88">
        <f>MAX(AU63,($E63*IF(CK$2&gt;Inputs!$D$5,0,IF(CK$2&gt;VLOOKUP($H63,Lists!$P$3:$Q$7,2),IF($N63=Lists!$K$3,IF($L63&lt;1,(($U63/$L63)*((1+Inputs!$D$7)^CK$2)),((INT(CK$2/$L63)-INT((CK$2-1)/$L63))*$U63*((1+Inputs!$D$7)^CK$2))),(Inputs!$D$8^((1-_xlfn.WEIBULL.DIST(CK$2,$M63,$L63,FALSE))/_xlfn.WEIBULL.DIST(CK$2,$M63,$L63,FALSE))*$U63*((1+Inputs!$D$7)^CK$2))),IF($N63=Lists!$K$3,IF($L63&lt;1,((($T63*(1-$F63)+$S63*(1-$G63))/$L63)*((1+Inputs!$D$7)^CK$2)),((INT(CK$2/$L63)-INT((CK$2-1)/$L63))*($T63*(1-$F63)+$S63*(1-$G63))*((1+Inputs!$D$7)^CK$2))),((Inputs!$D$8^((1-_xlfn.WEIBULL.DIST(CK$2,$M63,$L63,FALSE))/_xlfn.WEIBULL.DIST(CK$2,$M63,$L63,FALSE))*($T63*(1-$F63)+$S63*(1-$G63))*((1+Inputs!$D$7)^CK$2))))))))</f>
        <v>0</v>
      </c>
      <c r="CL63" s="88">
        <f>MAX(AV63,($E63*IF(CL$2&gt;Inputs!$D$5,0,IF(CL$2&gt;VLOOKUP($H63,Lists!$P$3:$Q$7,2),IF($N63=Lists!$K$3,IF($L63&lt;1,(($U63/$L63)*((1+Inputs!$D$7)^CL$2)),((INT(CL$2/$L63)-INT((CL$2-1)/$L63))*$U63*((1+Inputs!$D$7)^CL$2))),(Inputs!$D$8^((1-_xlfn.WEIBULL.DIST(CL$2,$M63,$L63,FALSE))/_xlfn.WEIBULL.DIST(CL$2,$M63,$L63,FALSE))*$U63*((1+Inputs!$D$7)^CL$2))),IF($N63=Lists!$K$3,IF($L63&lt;1,((($T63*(1-$F63)+$S63*(1-$G63))/$L63)*((1+Inputs!$D$7)^CL$2)),((INT(CL$2/$L63)-INT((CL$2-1)/$L63))*($T63*(1-$F63)+$S63*(1-$G63))*((1+Inputs!$D$7)^CL$2))),((Inputs!$D$8^((1-_xlfn.WEIBULL.DIST(CL$2,$M63,$L63,FALSE))/_xlfn.WEIBULL.DIST(CL$2,$M63,$L63,FALSE))*($T63*(1-$F63)+$S63*(1-$G63))*((1+Inputs!$D$7)^CL$2))))))))</f>
        <v>0</v>
      </c>
      <c r="CM63" s="88">
        <f>MAX(AW63,($E63*IF(CM$2&gt;Inputs!$D$5,0,IF(CM$2&gt;VLOOKUP($H63,Lists!$P$3:$Q$7,2),IF($N63=Lists!$K$3,IF($L63&lt;1,(($U63/$L63)*((1+Inputs!$D$7)^CM$2)),((INT(CM$2/$L63)-INT((CM$2-1)/$L63))*$U63*((1+Inputs!$D$7)^CM$2))),(Inputs!$D$8^((1-_xlfn.WEIBULL.DIST(CM$2,$M63,$L63,FALSE))/_xlfn.WEIBULL.DIST(CM$2,$M63,$L63,FALSE))*$U63*((1+Inputs!$D$7)^CM$2))),IF($N63=Lists!$K$3,IF($L63&lt;1,((($T63*(1-$F63)+$S63*(1-$G63))/$L63)*((1+Inputs!$D$7)^CM$2)),((INT(CM$2/$L63)-INT((CM$2-1)/$L63))*($T63*(1-$F63)+$S63*(1-$G63))*((1+Inputs!$D$7)^CM$2))),((Inputs!$D$8^((1-_xlfn.WEIBULL.DIST(CM$2,$M63,$L63,FALSE))/_xlfn.WEIBULL.DIST(CM$2,$M63,$L63,FALSE))*($T63*(1-$F63)+$S63*(1-$G63))*((1+Inputs!$D$7)^CM$2))))))))</f>
        <v>0</v>
      </c>
      <c r="CN63" s="88">
        <f>MAX(AX63,($E63*IF(CN$2&gt;Inputs!$D$5,0,IF(CN$2&gt;VLOOKUP($H63,Lists!$P$3:$Q$7,2),IF($N63=Lists!$K$3,IF($L63&lt;1,(($U63/$L63)*((1+Inputs!$D$7)^CN$2)),((INT(CN$2/$L63)-INT((CN$2-1)/$L63))*$U63*((1+Inputs!$D$7)^CN$2))),(Inputs!$D$8^((1-_xlfn.WEIBULL.DIST(CN$2,$M63,$L63,FALSE))/_xlfn.WEIBULL.DIST(CN$2,$M63,$L63,FALSE))*$U63*((1+Inputs!$D$7)^CN$2))),IF($N63=Lists!$K$3,IF($L63&lt;1,((($T63*(1-$F63)+$S63*(1-$G63))/$L63)*((1+Inputs!$D$7)^CN$2)),((INT(CN$2/$L63)-INT((CN$2-1)/$L63))*($T63*(1-$F63)+$S63*(1-$G63))*((1+Inputs!$D$7)^CN$2))),((Inputs!$D$8^((1-_xlfn.WEIBULL.DIST(CN$2,$M63,$L63,FALSE))/_xlfn.WEIBULL.DIST(CN$2,$M63,$L63,FALSE))*($T63*(1-$F63)+$S63*(1-$G63))*((1+Inputs!$D$7)^CN$2))))))))</f>
        <v>0</v>
      </c>
      <c r="CO63" s="88">
        <f>MAX(AY63,($E63*IF(CO$2&gt;Inputs!$D$5,0,IF(CO$2&gt;VLOOKUP($H63,Lists!$P$3:$Q$7,2),IF($N63=Lists!$K$3,IF($L63&lt;1,(($U63/$L63)*((1+Inputs!$D$7)^CO$2)),((INT(CO$2/$L63)-INT((CO$2-1)/$L63))*$U63*((1+Inputs!$D$7)^CO$2))),(Inputs!$D$8^((1-_xlfn.WEIBULL.DIST(CO$2,$M63,$L63,FALSE))/_xlfn.WEIBULL.DIST(CO$2,$M63,$L63,FALSE))*$U63*((1+Inputs!$D$7)^CO$2))),IF($N63=Lists!$K$3,IF($L63&lt;1,((($T63*(1-$F63)+$S63*(1-$G63))/$L63)*((1+Inputs!$D$7)^CO$2)),((INT(CO$2/$L63)-INT((CO$2-1)/$L63))*($T63*(1-$F63)+$S63*(1-$G63))*((1+Inputs!$D$7)^CO$2))),((Inputs!$D$8^((1-_xlfn.WEIBULL.DIST(CO$2,$M63,$L63,FALSE))/_xlfn.WEIBULL.DIST(CO$2,$M63,$L63,FALSE))*($T63*(1-$F63)+$S63*(1-$G63))*((1+Inputs!$D$7)^CO$2))))))))</f>
        <v>0</v>
      </c>
      <c r="CP63" s="88">
        <f>MAX(AZ63,($E63*IF(CP$2&gt;Inputs!$D$5,0,IF(CP$2&gt;VLOOKUP($H63,Lists!$P$3:$Q$7,2),IF($N63=Lists!$K$3,IF($L63&lt;1,(($U63/$L63)*((1+Inputs!$D$7)^CP$2)),((INT(CP$2/$L63)-INT((CP$2-1)/$L63))*$U63*((1+Inputs!$D$7)^CP$2))),(Inputs!$D$8^((1-_xlfn.WEIBULL.DIST(CP$2,$M63,$L63,FALSE))/_xlfn.WEIBULL.DIST(CP$2,$M63,$L63,FALSE))*$U63*((1+Inputs!$D$7)^CP$2))),IF($N63=Lists!$K$3,IF($L63&lt;1,((($T63*(1-$F63)+$S63*(1-$G63))/$L63)*((1+Inputs!$D$7)^CP$2)),((INT(CP$2/$L63)-INT((CP$2-1)/$L63))*($T63*(1-$F63)+$S63*(1-$G63))*((1+Inputs!$D$7)^CP$2))),((Inputs!$D$8^((1-_xlfn.WEIBULL.DIST(CP$2,$M63,$L63,FALSE))/_xlfn.WEIBULL.DIST(CP$2,$M63,$L63,FALSE))*($T63*(1-$F63)+$S63*(1-$G63))*((1+Inputs!$D$7)^CP$2))))))))</f>
        <v>0</v>
      </c>
      <c r="CQ63" s="88">
        <f>MAX(BA63,($E63*IF(CQ$2&gt;Inputs!$D$5,0,IF(CQ$2&gt;VLOOKUP($H63,Lists!$P$3:$Q$7,2),IF($N63=Lists!$K$3,IF($L63&lt;1,(($U63/$L63)*((1+Inputs!$D$7)^CQ$2)),((INT(CQ$2/$L63)-INT((CQ$2-1)/$L63))*$U63*((1+Inputs!$D$7)^CQ$2))),(Inputs!$D$8^((1-_xlfn.WEIBULL.DIST(CQ$2,$M63,$L63,FALSE))/_xlfn.WEIBULL.DIST(CQ$2,$M63,$L63,FALSE))*$U63*((1+Inputs!$D$7)^CQ$2))),IF($N63=Lists!$K$3,IF($L63&lt;1,((($T63*(1-$F63)+$S63*(1-$G63))/$L63)*((1+Inputs!$D$7)^CQ$2)),((INT(CQ$2/$L63)-INT((CQ$2-1)/$L63))*($T63*(1-$F63)+$S63*(1-$G63))*((1+Inputs!$D$7)^CQ$2))),((Inputs!$D$8^((1-_xlfn.WEIBULL.DIST(CQ$2,$M63,$L63,FALSE))/_xlfn.WEIBULL.DIST(CQ$2,$M63,$L63,FALSE))*($T63*(1-$F63)+$S63*(1-$G63))*((1+Inputs!$D$7)^CQ$2))))))))</f>
        <v>0</v>
      </c>
      <c r="CR63" s="88">
        <f>MAX(BB63,($E63*IF(CR$2&gt;Inputs!$D$5,0,IF(CR$2&gt;VLOOKUP($H63,Lists!$P$3:$Q$7,2),IF($N63=Lists!$K$3,IF($L63&lt;1,(($U63/$L63)*((1+Inputs!$D$7)^CR$2)),((INT(CR$2/$L63)-INT((CR$2-1)/$L63))*$U63*((1+Inputs!$D$7)^CR$2))),(Inputs!$D$8^((1-_xlfn.WEIBULL.DIST(CR$2,$M63,$L63,FALSE))/_xlfn.WEIBULL.DIST(CR$2,$M63,$L63,FALSE))*$U63*((1+Inputs!$D$7)^CR$2))),IF($N63=Lists!$K$3,IF($L63&lt;1,((($T63*(1-$F63)+$S63*(1-$G63))/$L63)*((1+Inputs!$D$7)^CR$2)),((INT(CR$2/$L63)-INT((CR$2-1)/$L63))*($T63*(1-$F63)+$S63*(1-$G63))*((1+Inputs!$D$7)^CR$2))),((Inputs!$D$8^((1-_xlfn.WEIBULL.DIST(CR$2,$M63,$L63,FALSE))/_xlfn.WEIBULL.DIST(CR$2,$M63,$L63,FALSE))*($T63*(1-$F63)+$S63*(1-$G63))*((1+Inputs!$D$7)^CR$2))))))))</f>
        <v>0</v>
      </c>
      <c r="CS63" s="88">
        <f>MAX(BC63,($E63*IF(CS$2&gt;Inputs!$D$5,0,IF(CS$2&gt;VLOOKUP($H63,Lists!$P$3:$Q$7,2),IF($N63=Lists!$K$3,IF($L63&lt;1,(($U63/$L63)*((1+Inputs!$D$7)^CS$2)),((INT(CS$2/$L63)-INT((CS$2-1)/$L63))*$U63*((1+Inputs!$D$7)^CS$2))),(Inputs!$D$8^((1-_xlfn.WEIBULL.DIST(CS$2,$M63,$L63,FALSE))/_xlfn.WEIBULL.DIST(CS$2,$M63,$L63,FALSE))*$U63*((1+Inputs!$D$7)^CS$2))),IF($N63=Lists!$K$3,IF($L63&lt;1,((($T63*(1-$F63)+$S63*(1-$G63))/$L63)*((1+Inputs!$D$7)^CS$2)),((INT(CS$2/$L63)-INT((CS$2-1)/$L63))*($T63*(1-$F63)+$S63*(1-$G63))*((1+Inputs!$D$7)^CS$2))),((Inputs!$D$8^((1-_xlfn.WEIBULL.DIST(CS$2,$M63,$L63,FALSE))/_xlfn.WEIBULL.DIST(CS$2,$M63,$L63,FALSE))*($T63*(1-$F63)+$S63*(1-$G63))*((1+Inputs!$D$7)^CS$2))))))))</f>
        <v>0</v>
      </c>
      <c r="CT63" s="88">
        <f>MAX(BD63,($E63*IF(CT$2&gt;Inputs!$D$5,0,IF(CT$2&gt;VLOOKUP($H63,Lists!$P$3:$Q$7,2),IF($N63=Lists!$K$3,IF($L63&lt;1,(($U63/$L63)*((1+Inputs!$D$7)^CT$2)),((INT(CT$2/$L63)-INT((CT$2-1)/$L63))*$U63*((1+Inputs!$D$7)^CT$2))),(Inputs!$D$8^((1-_xlfn.WEIBULL.DIST(CT$2,$M63,$L63,FALSE))/_xlfn.WEIBULL.DIST(CT$2,$M63,$L63,FALSE))*$U63*((1+Inputs!$D$7)^CT$2))),IF($N63=Lists!$K$3,IF($L63&lt;1,((($T63*(1-$F63)+$S63*(1-$G63))/$L63)*((1+Inputs!$D$7)^CT$2)),((INT(CT$2/$L63)-INT((CT$2-1)/$L63))*($T63*(1-$F63)+$S63*(1-$G63))*((1+Inputs!$D$7)^CT$2))),((Inputs!$D$8^((1-_xlfn.WEIBULL.DIST(CT$2,$M63,$L63,FALSE))/_xlfn.WEIBULL.DIST(CT$2,$M63,$L63,FALSE))*($T63*(1-$F63)+$S63*(1-$G63))*((1+Inputs!$D$7)^CT$2))))))))</f>
        <v>0</v>
      </c>
      <c r="CU63" s="88">
        <f>MAX(BE63,($E63*IF(CU$2&gt;Inputs!$D$5,0,IF(CU$2&gt;VLOOKUP($H63,Lists!$P$3:$Q$7,2),IF($N63=Lists!$K$3,IF($L63&lt;1,(($U63/$L63)*((1+Inputs!$D$7)^CU$2)),((INT(CU$2/$L63)-INT((CU$2-1)/$L63))*$U63*((1+Inputs!$D$7)^CU$2))),(Inputs!$D$8^((1-_xlfn.WEIBULL.DIST(CU$2,$M63,$L63,FALSE))/_xlfn.WEIBULL.DIST(CU$2,$M63,$L63,FALSE))*$U63*((1+Inputs!$D$7)^CU$2))),IF($N63=Lists!$K$3,IF($L63&lt;1,((($T63*(1-$F63)+$S63*(1-$G63))/$L63)*((1+Inputs!$D$7)^CU$2)),((INT(CU$2/$L63)-INT((CU$2-1)/$L63))*($T63*(1-$F63)+$S63*(1-$G63))*((1+Inputs!$D$7)^CU$2))),((Inputs!$D$8^((1-_xlfn.WEIBULL.DIST(CU$2,$M63,$L63,FALSE))/_xlfn.WEIBULL.DIST(CU$2,$M63,$L63,FALSE))*($T63*(1-$F63)+$S63*(1-$G63))*((1+Inputs!$D$7)^CU$2))))))))</f>
        <v>0</v>
      </c>
      <c r="CV63" s="88">
        <f>MAX(BF63,($E63*IF(CV$2&gt;Inputs!$D$5,0,IF(CV$2&gt;VLOOKUP($H63,Lists!$P$3:$Q$7,2),IF($N63=Lists!$K$3,IF($L63&lt;1,(($U63/$L63)*((1+Inputs!$D$7)^CV$2)),((INT(CV$2/$L63)-INT((CV$2-1)/$L63))*$U63*((1+Inputs!$D$7)^CV$2))),(Inputs!$D$8^((1-_xlfn.WEIBULL.DIST(CV$2,$M63,$L63,FALSE))/_xlfn.WEIBULL.DIST(CV$2,$M63,$L63,FALSE))*$U63*((1+Inputs!$D$7)^CV$2))),IF($N63=Lists!$K$3,IF($L63&lt;1,((($T63*(1-$F63)+$S63*(1-$G63))/$L63)*((1+Inputs!$D$7)^CV$2)),((INT(CV$2/$L63)-INT((CV$2-1)/$L63))*($T63*(1-$F63)+$S63*(1-$G63))*((1+Inputs!$D$7)^CV$2))),((Inputs!$D$8^((1-_xlfn.WEIBULL.DIST(CV$2,$M63,$L63,FALSE))/_xlfn.WEIBULL.DIST(CV$2,$M63,$L63,FALSE))*($T63*(1-$F63)+$S63*(1-$G63))*((1+Inputs!$D$7)^CV$2))))))))</f>
        <v>0</v>
      </c>
      <c r="CW63" s="88">
        <f>MAX(BG63,($E63*IF(CW$2&gt;Inputs!$D$5,0,IF(CW$2&gt;VLOOKUP($H63,Lists!$P$3:$Q$7,2),IF($N63=Lists!$K$3,IF($L63&lt;1,(($U63/$L63)*((1+Inputs!$D$7)^CW$2)),((INT(CW$2/$L63)-INT((CW$2-1)/$L63))*$U63*((1+Inputs!$D$7)^CW$2))),(Inputs!$D$8^((1-_xlfn.WEIBULL.DIST(CW$2,$M63,$L63,FALSE))/_xlfn.WEIBULL.DIST(CW$2,$M63,$L63,FALSE))*$U63*((1+Inputs!$D$7)^CW$2))),IF($N63=Lists!$K$3,IF($L63&lt;1,((($T63*(1-$F63)+$S63*(1-$G63))/$L63)*((1+Inputs!$D$7)^CW$2)),((INT(CW$2/$L63)-INT((CW$2-1)/$L63))*($T63*(1-$F63)+$S63*(1-$G63))*((1+Inputs!$D$7)^CW$2))),((Inputs!$D$8^((1-_xlfn.WEIBULL.DIST(CW$2,$M63,$L63,FALSE))/_xlfn.WEIBULL.DIST(CW$2,$M63,$L63,FALSE))*($T63*(1-$F63)+$S63*(1-$G63))*((1+Inputs!$D$7)^CW$2))))))))</f>
        <v>0</v>
      </c>
      <c r="CX63" s="88">
        <f>MAX(BH63,($E63*IF(CX$2&gt;Inputs!$D$5,0,IF(CX$2&gt;VLOOKUP($H63,Lists!$P$3:$Q$7,2),IF($N63=Lists!$K$3,IF($L63&lt;1,(($U63/$L63)*((1+Inputs!$D$7)^CX$2)),((INT(CX$2/$L63)-INT((CX$2-1)/$L63))*$U63*((1+Inputs!$D$7)^CX$2))),(Inputs!$D$8^((1-_xlfn.WEIBULL.DIST(CX$2,$M63,$L63,FALSE))/_xlfn.WEIBULL.DIST(CX$2,$M63,$L63,FALSE))*$U63*((1+Inputs!$D$7)^CX$2))),IF($N63=Lists!$K$3,IF($L63&lt;1,((($T63*(1-$F63)+$S63*(1-$G63))/$L63)*((1+Inputs!$D$7)^CX$2)),((INT(CX$2/$L63)-INT((CX$2-1)/$L63))*($T63*(1-$F63)+$S63*(1-$G63))*((1+Inputs!$D$7)^CX$2))),((Inputs!$D$8^((1-_xlfn.WEIBULL.DIST(CX$2,$M63,$L63,FALSE))/_xlfn.WEIBULL.DIST(CX$2,$M63,$L63,FALSE))*($T63*(1-$F63)+$S63*(1-$G63))*((1+Inputs!$D$7)^CX$2))))))))</f>
        <v>0</v>
      </c>
      <c r="CY63" s="88">
        <f>MAX(BI63,($E63*IF(CY$2&gt;Inputs!$D$5,0,IF(CY$2&gt;VLOOKUP($H63,Lists!$P$3:$Q$7,2),IF($N63=Lists!$K$3,IF($L63&lt;1,(($U63/$L63)*((1+Inputs!$D$7)^CY$2)),((INT(CY$2/$L63)-INT((CY$2-1)/$L63))*$U63*((1+Inputs!$D$7)^CY$2))),(Inputs!$D$8^((1-_xlfn.WEIBULL.DIST(CY$2,$M63,$L63,FALSE))/_xlfn.WEIBULL.DIST(CY$2,$M63,$L63,FALSE))*$U63*((1+Inputs!$D$7)^CY$2))),IF($N63=Lists!$K$3,IF($L63&lt;1,((($T63*(1-$F63)+$S63*(1-$G63))/$L63)*((1+Inputs!$D$7)^CY$2)),((INT(CY$2/$L63)-INT((CY$2-1)/$L63))*($T63*(1-$F63)+$S63*(1-$G63))*((1+Inputs!$D$7)^CY$2))),((Inputs!$D$8^((1-_xlfn.WEIBULL.DIST(CY$2,$M63,$L63,FALSE))/_xlfn.WEIBULL.DIST(CY$2,$M63,$L63,FALSE))*($T63*(1-$F63)+$S63*(1-$G63))*((1+Inputs!$D$7)^CY$2))))))))</f>
        <v>0</v>
      </c>
      <c r="CZ63" s="88">
        <f>MAX(BJ63,($E63*IF(CZ$2&gt;Inputs!$D$5,0,IF(CZ$2&gt;VLOOKUP($H63,Lists!$P$3:$Q$7,2),IF($N63=Lists!$K$3,IF($L63&lt;1,(($U63/$L63)*((1+Inputs!$D$7)^CZ$2)),((INT(CZ$2/$L63)-INT((CZ$2-1)/$L63))*$U63*((1+Inputs!$D$7)^CZ$2))),(Inputs!$D$8^((1-_xlfn.WEIBULL.DIST(CZ$2,$M63,$L63,FALSE))/_xlfn.WEIBULL.DIST(CZ$2,$M63,$L63,FALSE))*$U63*((1+Inputs!$D$7)^CZ$2))),IF($N63=Lists!$K$3,IF($L63&lt;1,((($T63*(1-$F63)+$S63*(1-$G63))/$L63)*((1+Inputs!$D$7)^CZ$2)),((INT(CZ$2/$L63)-INT((CZ$2-1)/$L63))*($T63*(1-$F63)+$S63*(1-$G63))*((1+Inputs!$D$7)^CZ$2))),((Inputs!$D$8^((1-_xlfn.WEIBULL.DIST(CZ$2,$M63,$L63,FALSE))/_xlfn.WEIBULL.DIST(CZ$2,$M63,$L63,FALSE))*($T63*(1-$F63)+$S63*(1-$G63))*((1+Inputs!$D$7)^CZ$2))))))))</f>
        <v>0</v>
      </c>
      <c r="DA63" s="88">
        <f>MAX(BK63,($E63*IF(DA$2&gt;Inputs!$D$5,0,IF(DA$2&gt;VLOOKUP($H63,Lists!$P$3:$Q$7,2),IF($N63=Lists!$K$3,IF($L63&lt;1,(($U63/$L63)*((1+Inputs!$D$7)^DA$2)),((INT(DA$2/$L63)-INT((DA$2-1)/$L63))*$U63*((1+Inputs!$D$7)^DA$2))),(Inputs!$D$8^((1-_xlfn.WEIBULL.DIST(DA$2,$M63,$L63,FALSE))/_xlfn.WEIBULL.DIST(DA$2,$M63,$L63,FALSE))*$U63*((1+Inputs!$D$7)^DA$2))),IF($N63=Lists!$K$3,IF($L63&lt;1,((($T63*(1-$F63)+$S63*(1-$G63))/$L63)*((1+Inputs!$D$7)^DA$2)),((INT(DA$2/$L63)-INT((DA$2-1)/$L63))*($T63*(1-$F63)+$S63*(1-$G63))*((1+Inputs!$D$7)^DA$2))),((Inputs!$D$8^((1-_xlfn.WEIBULL.DIST(DA$2,$M63,$L63,FALSE))/_xlfn.WEIBULL.DIST(DA$2,$M63,$L63,FALSE))*($T63*(1-$F63)+$S63*(1-$G63))*((1+Inputs!$D$7)^DA$2))))))))</f>
        <v>0</v>
      </c>
      <c r="DB63" s="88">
        <f>MAX(BL63,($E63*IF(DB$2&gt;Inputs!$D$5,0,IF(DB$2&gt;VLOOKUP($H63,Lists!$P$3:$Q$7,2),IF($N63=Lists!$K$3,IF($L63&lt;1,(($U63/$L63)*((1+Inputs!$D$7)^DB$2)),((INT(DB$2/$L63)-INT((DB$2-1)/$L63))*$U63*((1+Inputs!$D$7)^DB$2))),(Inputs!$D$8^((1-_xlfn.WEIBULL.DIST(DB$2,$M63,$L63,FALSE))/_xlfn.WEIBULL.DIST(DB$2,$M63,$L63,FALSE))*$U63*((1+Inputs!$D$7)^DB$2))),IF($N63=Lists!$K$3,IF($L63&lt;1,((($T63*(1-$F63)+$S63*(1-$G63))/$L63)*((1+Inputs!$D$7)^DB$2)),((INT(DB$2/$L63)-INT((DB$2-1)/$L63))*($T63*(1-$F63)+$S63*(1-$G63))*((1+Inputs!$D$7)^DB$2))),((Inputs!$D$8^((1-_xlfn.WEIBULL.DIST(DB$2,$M63,$L63,FALSE))/_xlfn.WEIBULL.DIST(DB$2,$M63,$L63,FALSE))*($T63*(1-$F63)+$S63*(1-$G63))*((1+Inputs!$D$7)^DB$2))))))))</f>
        <v>0</v>
      </c>
      <c r="DC63" s="88">
        <f>MAX(BM63,($E63*IF(DC$2&gt;Inputs!$D$5,0,IF(DC$2&gt;VLOOKUP($H63,Lists!$P$3:$Q$7,2),IF($N63=Lists!$K$3,IF($L63&lt;1,(($U63/$L63)*((1+Inputs!$D$7)^DC$2)),((INT(DC$2/$L63)-INT((DC$2-1)/$L63))*$U63*((1+Inputs!$D$7)^DC$2))),(Inputs!$D$8^((1-_xlfn.WEIBULL.DIST(DC$2,$M63,$L63,FALSE))/_xlfn.WEIBULL.DIST(DC$2,$M63,$L63,FALSE))*$U63*((1+Inputs!$D$7)^DC$2))),IF($N63=Lists!$K$3,IF($L63&lt;1,((($T63*(1-$F63)+$S63*(1-$G63))/$L63)*((1+Inputs!$D$7)^DC$2)),((INT(DC$2/$L63)-INT((DC$2-1)/$L63))*($T63*(1-$F63)+$S63*(1-$G63))*((1+Inputs!$D$7)^DC$2))),((Inputs!$D$8^((1-_xlfn.WEIBULL.DIST(DC$2,$M63,$L63,FALSE))/_xlfn.WEIBULL.DIST(DC$2,$M63,$L63,FALSE))*($T63*(1-$F63)+$S63*(1-$G63))*((1+Inputs!$D$7)^DC$2))))))))</f>
        <v>0</v>
      </c>
      <c r="DD63" s="88">
        <f>MAX(BN63,($E63*IF(DD$2&gt;Inputs!$D$5,0,IF(DD$2&gt;VLOOKUP($H63,Lists!$P$3:$Q$7,2),IF($N63=Lists!$K$3,IF($L63&lt;1,(($U63/$L63)*((1+Inputs!$D$7)^DD$2)),((INT(DD$2/$L63)-INT((DD$2-1)/$L63))*$U63*((1+Inputs!$D$7)^DD$2))),(Inputs!$D$8^((1-_xlfn.WEIBULL.DIST(DD$2,$M63,$L63,FALSE))/_xlfn.WEIBULL.DIST(DD$2,$M63,$L63,FALSE))*$U63*((1+Inputs!$D$7)^DD$2))),IF($N63=Lists!$K$3,IF($L63&lt;1,((($T63*(1-$F63)+$S63*(1-$G63))/$L63)*((1+Inputs!$D$7)^DD$2)),((INT(DD$2/$L63)-INT((DD$2-1)/$L63))*($T63*(1-$F63)+$S63*(1-$G63))*((1+Inputs!$D$7)^DD$2))),((Inputs!$D$8^((1-_xlfn.WEIBULL.DIST(DD$2,$M63,$L63,FALSE))/_xlfn.WEIBULL.DIST(DD$2,$M63,$L63,FALSE))*($T63*(1-$F63)+$S63*(1-$G63))*((1+Inputs!$D$7)^DD$2))))))))</f>
        <v>0</v>
      </c>
    </row>
    <row r="64" spans="1:108" s="1" customFormat="1" ht="16">
      <c r="A64" s="57" t="s">
        <v>170</v>
      </c>
      <c r="B64" s="13" t="s">
        <v>130</v>
      </c>
      <c r="C64" s="13" t="s">
        <v>474</v>
      </c>
      <c r="D64" s="13" t="s">
        <v>17</v>
      </c>
      <c r="E64" s="48">
        <f>IF(Inputs!$D$30=Lists!$M$4,1,0)</f>
        <v>1</v>
      </c>
      <c r="F64" s="48">
        <v>0</v>
      </c>
      <c r="G64" s="48">
        <v>0</v>
      </c>
      <c r="H64" s="105" t="s">
        <v>350</v>
      </c>
      <c r="I64" s="14" t="s">
        <v>17</v>
      </c>
      <c r="J64" s="14" t="s">
        <v>87</v>
      </c>
      <c r="K64" s="13">
        <f>VLOOKUP(J64,'Labor Rates'!$A$1:$F$16,2)</f>
        <v>32.012019230769226</v>
      </c>
      <c r="L64" s="15">
        <v>40</v>
      </c>
      <c r="M64" s="15">
        <v>3</v>
      </c>
      <c r="N64" s="16" t="s">
        <v>226</v>
      </c>
      <c r="O64" s="61">
        <f>Inputs!$D$34</f>
        <v>10</v>
      </c>
      <c r="P64" s="15">
        <v>4</v>
      </c>
      <c r="Q64" s="15">
        <f t="shared" si="7"/>
        <v>1</v>
      </c>
      <c r="R64" s="4">
        <f>IF(Inputs!$D$34=0,0,0.05*Inputs!$D$15/Inputs!$D$34)</f>
        <v>50000</v>
      </c>
      <c r="S64" s="53">
        <f t="shared" si="8"/>
        <v>1280.4807692307691</v>
      </c>
      <c r="T64" s="53">
        <f t="shared" si="9"/>
        <v>500000</v>
      </c>
      <c r="U64" s="54">
        <f t="shared" si="10"/>
        <v>501280.48076923075</v>
      </c>
      <c r="V64" s="65"/>
      <c r="W64" s="58"/>
      <c r="X64" s="64">
        <f t="shared" si="11"/>
        <v>4278.0964213490988</v>
      </c>
      <c r="Y64" s="64">
        <f>NPV(Inputs!$D$6,AA64:BN64)</f>
        <v>48052.486749713309</v>
      </c>
      <c r="Z64" s="67">
        <f t="shared" si="12"/>
        <v>2.2663898707585398E-2</v>
      </c>
      <c r="AA64" s="88">
        <f>$E64*IF(AA$2&gt;Inputs!$D$5,0,IF(AA$2&gt;VLOOKUP($H64,Lists!$P$3:$Q$7,2),IF($N64=Lists!$K$3,IF($L64&lt;1,(($U64/$L64)*((1+Inputs!$D$7)^AA$2)),((INT(AA$2/$L64)-INT((AA$2-1)/$L64))*$U64*((1+Inputs!$D$7)^AA$2))),(_xlfn.WEIBULL.DIST(AA$2,$M64,$L64,FALSE)*$U64*((1+Inputs!$D$7)^AA$2))),IF($N64=Lists!$K$3,IF($L64&lt;1,((($T64*(1-$F64)+$S64*(1-$G64))/$L64)*((1+Inputs!$D$7)^AA$2)),((INT(AA$2/$L64)-INT((AA$2-1)/$L64))*($T64*(1-$F64)+$S64*(1-$G64))*((1+Inputs!$D$7)^AA$2))),((_xlfn.WEIBULL.DIST(AA$2,$M64,$L64,FALSE)*($T64*(1-$F64)+$S64*(1-$G64))*((1+Inputs!$D$7)^AA$2))))))</f>
        <v>23.967098497939119</v>
      </c>
      <c r="AB64" s="88">
        <f>$E64*IF(AB$2&gt;Inputs!$D$5,0,IF(AB$2&gt;VLOOKUP($H64,Lists!$P$3:$Q$7,2),IF($N64=Lists!$K$3,IF($L64&lt;1,(($U64/$L64)*((1+Inputs!$D$7)^AB$2)),((INT(AB$2/$L64)-INT((AB$2-1)/$L64))*$U64*((1+Inputs!$D$7)^AB$2))),(_xlfn.WEIBULL.DIST(AB$2,$M64,$L64,FALSE)*$U64*((1+Inputs!$D$7)^AB$2))),IF($N64=Lists!$K$3,IF($L64&lt;1,((($T64*(1-$F64)+$S64*(1-$G64))/$L64)*((1+Inputs!$D$7)^AB$2)),((INT(AB$2/$L64)-INT((AB$2-1)/$L64))*($T64*(1-$F64)+$S64*(1-$G64))*((1+Inputs!$D$7)^AB$2))),((_xlfn.WEIBULL.DIST(AB$2,$M64,$L64,FALSE)*($T64*(1-$F64)+$S64*(1-$G64))*((1+Inputs!$D$7)^AB$2))))))</f>
        <v>97.775067138765763</v>
      </c>
      <c r="AC64" s="88">
        <f>$E64*IF(AC$2&gt;Inputs!$D$5,0,IF(AC$2&gt;VLOOKUP($H64,Lists!$P$3:$Q$7,2),IF($N64=Lists!$K$3,IF($L64&lt;1,(($U64/$L64)*((1+Inputs!$D$7)^AC$2)),((INT(AC$2/$L64)-INT((AC$2-1)/$L64))*$U64*((1+Inputs!$D$7)^AC$2))),(_xlfn.WEIBULL.DIST(AC$2,$M64,$L64,FALSE)*$U64*((1+Inputs!$D$7)^AC$2))),IF($N64=Lists!$K$3,IF($L64&lt;1,((($T64*(1-$F64)+$S64*(1-$G64))/$L64)*((1+Inputs!$D$7)^AC$2)),((INT(AC$2/$L64)-INT((AC$2-1)/$L64))*($T64*(1-$F64)+$S64*(1-$G64))*((1+Inputs!$D$7)^AC$2))),((_xlfn.WEIBULL.DIST(AC$2,$M64,$L64,FALSE)*($T64*(1-$F64)+$S64*(1-$G64))*((1+Inputs!$D$7)^AC$2))))))</f>
        <v>224.32717206777014</v>
      </c>
      <c r="AD64" s="88">
        <f>$E64*IF(AD$2&gt;Inputs!$D$5,0,IF(AD$2&gt;VLOOKUP($H64,Lists!$P$3:$Q$7,2),IF($N64=Lists!$K$3,IF($L64&lt;1,(($U64/$L64)*((1+Inputs!$D$7)^AD$2)),((INT(AD$2/$L64)-INT((AD$2-1)/$L64))*$U64*((1+Inputs!$D$7)^AD$2))),(_xlfn.WEIBULL.DIST(AD$2,$M64,$L64,FALSE)*$U64*((1+Inputs!$D$7)^AD$2))),IF($N64=Lists!$K$3,IF($L64&lt;1,((($T64*(1-$F64)+$S64*(1-$G64))/$L64)*((1+Inputs!$D$7)^AD$2)),((INT(AD$2/$L64)-INT((AD$2-1)/$L64))*($T64*(1-$F64)+$S64*(1-$G64))*((1+Inputs!$D$7)^AD$2))),((_xlfn.WEIBULL.DIST(AD$2,$M64,$L64,FALSE)*($T64*(1-$F64)+$S64*(1-$G64))*((1+Inputs!$D$7)^AD$2))))))</f>
        <v>406.54483699646812</v>
      </c>
      <c r="AE64" s="88">
        <f>$E64*IF(AE$2&gt;Inputs!$D$5,0,IF(AE$2&gt;VLOOKUP($H64,Lists!$P$3:$Q$7,2),IF($N64=Lists!$K$3,IF($L64&lt;1,(($U64/$L64)*((1+Inputs!$D$7)^AE$2)),((INT(AE$2/$L64)-INT((AE$2-1)/$L64))*$U64*((1+Inputs!$D$7)^AE$2))),(_xlfn.WEIBULL.DIST(AE$2,$M64,$L64,FALSE)*$U64*((1+Inputs!$D$7)^AE$2))),IF($N64=Lists!$K$3,IF($L64&lt;1,((($T64*(1-$F64)+$S64*(1-$G64))/$L64)*((1+Inputs!$D$7)^AE$2)),((INT(AE$2/$L64)-INT((AE$2-1)/$L64))*($T64*(1-$F64)+$S64*(1-$G64))*((1+Inputs!$D$7)^AE$2))),((_xlfn.WEIBULL.DIST(AE$2,$M64,$L64,FALSE)*($T64*(1-$F64)+$S64*(1-$G64))*((1+Inputs!$D$7)^AE$2))))))</f>
        <v>647.31356909901604</v>
      </c>
      <c r="AF64" s="88">
        <f>$E64*IF(AF$2&gt;Inputs!$D$5,0,IF(AF$2&gt;VLOOKUP($H64,Lists!$P$3:$Q$7,2),IF($N64=Lists!$K$3,IF($L64&lt;1,(($U64/$L64)*((1+Inputs!$D$7)^AF$2)),((INT(AF$2/$L64)-INT((AF$2-1)/$L64))*$U64*((1+Inputs!$D$7)^AF$2))),(_xlfn.WEIBULL.DIST(AF$2,$M64,$L64,FALSE)*$U64*((1+Inputs!$D$7)^AF$2))),IF($N64=Lists!$K$3,IF($L64&lt;1,((($T64*(1-$F64)+$S64*(1-$G64))/$L64)*((1+Inputs!$D$7)^AF$2)),((INT(AF$2/$L64)-INT((AF$2-1)/$L64))*($T64*(1-$F64)+$S64*(1-$G64))*((1+Inputs!$D$7)^AF$2))),((_xlfn.WEIBULL.DIST(AF$2,$M64,$L64,FALSE)*($T64*(1-$F64)+$S64*(1-$G64))*((1+Inputs!$D$7)^AF$2))))))</f>
        <v>949.42324891751491</v>
      </c>
      <c r="AG64" s="88">
        <f>$E64*IF(AG$2&gt;Inputs!$D$5,0,IF(AG$2&gt;VLOOKUP($H64,Lists!$P$3:$Q$7,2),IF($N64=Lists!$K$3,IF($L64&lt;1,(($U64/$L64)*((1+Inputs!$D$7)^AG$2)),((INT(AG$2/$L64)-INT((AG$2-1)/$L64))*$U64*((1+Inputs!$D$7)^AG$2))),(_xlfn.WEIBULL.DIST(AG$2,$M64,$L64,FALSE)*$U64*((1+Inputs!$D$7)^AG$2))),IF($N64=Lists!$K$3,IF($L64&lt;1,((($T64*(1-$F64)+$S64*(1-$G64))/$L64)*((1+Inputs!$D$7)^AG$2)),((INT(AG$2/$L64)-INT((AG$2-1)/$L64))*($T64*(1-$F64)+$S64*(1-$G64))*((1+Inputs!$D$7)^AG$2))),((_xlfn.WEIBULL.DIST(AG$2,$M64,$L64,FALSE)*($T64*(1-$F64)+$S64*(1-$G64))*((1+Inputs!$D$7)^AG$2))))))</f>
        <v>1315.5029010735132</v>
      </c>
      <c r="AH64" s="88">
        <f>$E64*IF(AH$2&gt;Inputs!$D$5,0,IF(AH$2&gt;VLOOKUP($H64,Lists!$P$3:$Q$7,2),IF($N64=Lists!$K$3,IF($L64&lt;1,(($U64/$L64)*((1+Inputs!$D$7)^AH$2)),((INT(AH$2/$L64)-INT((AH$2-1)/$L64))*$U64*((1+Inputs!$D$7)^AH$2))),(_xlfn.WEIBULL.DIST(AH$2,$M64,$L64,FALSE)*$U64*((1+Inputs!$D$7)^AH$2))),IF($N64=Lists!$K$3,IF($L64&lt;1,((($T64*(1-$F64)+$S64*(1-$G64))/$L64)*((1+Inputs!$D$7)^AH$2)),((INT(AH$2/$L64)-INT((AH$2-1)/$L64))*($T64*(1-$F64)+$S64*(1-$G64))*((1+Inputs!$D$7)^AH$2))),((_xlfn.WEIBULL.DIST(AH$2,$M64,$L64,FALSE)*($T64*(1-$F64)+$S64*(1-$G64))*((1+Inputs!$D$7)^AH$2))))))</f>
        <v>1747.950247574053</v>
      </c>
      <c r="AI64" s="88">
        <f>$E64*IF(AI$2&gt;Inputs!$D$5,0,IF(AI$2&gt;VLOOKUP($H64,Lists!$P$3:$Q$7,2),IF($N64=Lists!$K$3,IF($L64&lt;1,(($U64/$L64)*((1+Inputs!$D$7)^AI$2)),((INT(AI$2/$L64)-INT((AI$2-1)/$L64))*$U64*((1+Inputs!$D$7)^AI$2))),(_xlfn.WEIBULL.DIST(AI$2,$M64,$L64,FALSE)*$U64*((1+Inputs!$D$7)^AI$2))),IF($N64=Lists!$K$3,IF($L64&lt;1,((($T64*(1-$F64)+$S64*(1-$G64))/$L64)*((1+Inputs!$D$7)^AI$2)),((INT(AI$2/$L64)-INT((AI$2-1)/$L64))*($T64*(1-$F64)+$S64*(1-$G64))*((1+Inputs!$D$7)^AI$2))),((_xlfn.WEIBULL.DIST(AI$2,$M64,$L64,FALSE)*($T64*(1-$F64)+$S64*(1-$G64))*((1+Inputs!$D$7)^AI$2))))))</f>
        <v>2248.8565520510592</v>
      </c>
      <c r="AJ64" s="88">
        <f>$E64*IF(AJ$2&gt;Inputs!$D$5,0,IF(AJ$2&gt;VLOOKUP($H64,Lists!$P$3:$Q$7,2),IF($N64=Lists!$K$3,IF($L64&lt;1,(($U64/$L64)*((1+Inputs!$D$7)^AJ$2)),((INT(AJ$2/$L64)-INT((AJ$2-1)/$L64))*$U64*((1+Inputs!$D$7)^AJ$2))),(_xlfn.WEIBULL.DIST(AJ$2,$M64,$L64,FALSE)*$U64*((1+Inputs!$D$7)^AJ$2))),IF($N64=Lists!$K$3,IF($L64&lt;1,((($T64*(1-$F64)+$S64*(1-$G64))/$L64)*((1+Inputs!$D$7)^AJ$2)),((INT(AJ$2/$L64)-INT((AJ$2-1)/$L64))*($T64*(1-$F64)+$S64*(1-$G64))*((1+Inputs!$D$7)^AJ$2))),((_xlfn.WEIBULL.DIST(AJ$2,$M64,$L64,FALSE)*($T64*(1-$F64)+$S64*(1-$G64))*((1+Inputs!$D$7)^AJ$2))))))</f>
        <v>2819.9274891803416</v>
      </c>
      <c r="AK64" s="88">
        <f>$E64*IF(AK$2&gt;Inputs!$D$5,0,IF(AK$2&gt;VLOOKUP($H64,Lists!$P$3:$Q$7,2),IF($N64=Lists!$K$3,IF($L64&lt;1,(($U64/$L64)*((1+Inputs!$D$7)^AK$2)),((INT(AK$2/$L64)-INT((AK$2-1)/$L64))*$U64*((1+Inputs!$D$7)^AK$2))),(_xlfn.WEIBULL.DIST(AK$2,$M64,$L64,FALSE)*$U64*((1+Inputs!$D$7)^AK$2))),IF($N64=Lists!$K$3,IF($L64&lt;1,((($T64*(1-$F64)+$S64*(1-$G64))/$L64)*((1+Inputs!$D$7)^AK$2)),((INT(AK$2/$L64)-INT((AK$2-1)/$L64))*($T64*(1-$F64)+$S64*(1-$G64))*((1+Inputs!$D$7)^AK$2))),((_xlfn.WEIBULL.DIST(AK$2,$M64,$L64,FALSE)*($T64*(1-$F64)+$S64*(1-$G64))*((1+Inputs!$D$7)^AK$2))))))</f>
        <v>3462.4010153062845</v>
      </c>
      <c r="AL64" s="88">
        <f>$E64*IF(AL$2&gt;Inputs!$D$5,0,IF(AL$2&gt;VLOOKUP($H64,Lists!$P$3:$Q$7,2),IF($N64=Lists!$K$3,IF($L64&lt;1,(($U64/$L64)*((1+Inputs!$D$7)^AL$2)),((INT(AL$2/$L64)-INT((AL$2-1)/$L64))*$U64*((1+Inputs!$D$7)^AL$2))),(_xlfn.WEIBULL.DIST(AL$2,$M64,$L64,FALSE)*$U64*((1+Inputs!$D$7)^AL$2))),IF($N64=Lists!$K$3,IF($L64&lt;1,((($T64*(1-$F64)+$S64*(1-$G64))/$L64)*((1+Inputs!$D$7)^AL$2)),((INT(AL$2/$L64)-INT((AL$2-1)/$L64))*($T64*(1-$F64)+$S64*(1-$G64))*((1+Inputs!$D$7)^AL$2))),((_xlfn.WEIBULL.DIST(AL$2,$M64,$L64,FALSE)*($T64*(1-$F64)+$S64*(1-$G64))*((1+Inputs!$D$7)^AL$2))))))</f>
        <v>4176.9634690703078</v>
      </c>
      <c r="AM64" s="88">
        <f>$E64*IF(AM$2&gt;Inputs!$D$5,0,IF(AM$2&gt;VLOOKUP($H64,Lists!$P$3:$Q$7,2),IF($N64=Lists!$K$3,IF($L64&lt;1,(($U64/$L64)*((1+Inputs!$D$7)^AM$2)),((INT(AM$2/$L64)-INT((AM$2-1)/$L64))*$U64*((1+Inputs!$D$7)^AM$2))),(_xlfn.WEIBULL.DIST(AM$2,$M64,$L64,FALSE)*$U64*((1+Inputs!$D$7)^AM$2))),IF($N64=Lists!$K$3,IF($L64&lt;1,((($T64*(1-$F64)+$S64*(1-$G64))/$L64)*((1+Inputs!$D$7)^AM$2)),((INT(AM$2/$L64)-INT((AM$2-1)/$L64))*($T64*(1-$F64)+$S64*(1-$G64))*((1+Inputs!$D$7)^AM$2))),((_xlfn.WEIBULL.DIST(AM$2,$M64,$L64,FALSE)*($T64*(1-$F64)+$S64*(1-$G64))*((1+Inputs!$D$7)^AM$2))))))</f>
        <v>4963.6653882565215</v>
      </c>
      <c r="AN64" s="88">
        <f>$E64*IF(AN$2&gt;Inputs!$D$5,0,IF(AN$2&gt;VLOOKUP($H64,Lists!$P$3:$Q$7,2),IF($N64=Lists!$K$3,IF($L64&lt;1,(($U64/$L64)*((1+Inputs!$D$7)^AN$2)),((INT(AN$2/$L64)-INT((AN$2-1)/$L64))*$U64*((1+Inputs!$D$7)^AN$2))),(_xlfn.WEIBULL.DIST(AN$2,$M64,$L64,FALSE)*$U64*((1+Inputs!$D$7)^AN$2))),IF($N64=Lists!$K$3,IF($L64&lt;1,((($T64*(1-$F64)+$S64*(1-$G64))/$L64)*((1+Inputs!$D$7)^AN$2)),((INT(AN$2/$L64)-INT((AN$2-1)/$L64))*($T64*(1-$F64)+$S64*(1-$G64))*((1+Inputs!$D$7)^AN$2))),((_xlfn.WEIBULL.DIST(AN$2,$M64,$L64,FALSE)*($T64*(1-$F64)+$S64*(1-$G64))*((1+Inputs!$D$7)^AN$2))))))</f>
        <v>5821.838783288712</v>
      </c>
      <c r="AO64" s="88">
        <f>$E64*IF(AO$2&gt;Inputs!$D$5,0,IF(AO$2&gt;VLOOKUP($H64,Lists!$P$3:$Q$7,2),IF($N64=Lists!$K$3,IF($L64&lt;1,(($U64/$L64)*((1+Inputs!$D$7)^AO$2)),((INT(AO$2/$L64)-INT((AO$2-1)/$L64))*$U64*((1+Inputs!$D$7)^AO$2))),(_xlfn.WEIBULL.DIST(AO$2,$M64,$L64,FALSE)*$U64*((1+Inputs!$D$7)^AO$2))),IF($N64=Lists!$K$3,IF($L64&lt;1,((($T64*(1-$F64)+$S64*(1-$G64))/$L64)*((1+Inputs!$D$7)^AO$2)),((INT(AO$2/$L64)-INT((AO$2-1)/$L64))*($T64*(1-$F64)+$S64*(1-$G64))*((1+Inputs!$D$7)^AO$2))),((_xlfn.WEIBULL.DIST(AO$2,$M64,$L64,FALSE)*($T64*(1-$F64)+$S64*(1-$G64))*((1+Inputs!$D$7)^AO$2))))))</f>
        <v>6750.0178495589516</v>
      </c>
      <c r="AP64" s="88">
        <f>$E64*IF(AP$2&gt;Inputs!$D$5,0,IF(AP$2&gt;VLOOKUP($H64,Lists!$P$3:$Q$7,2),IF($N64=Lists!$K$3,IF($L64&lt;1,(($U64/$L64)*((1+Inputs!$D$7)^AP$2)),((INT(AP$2/$L64)-INT((AP$2-1)/$L64))*$U64*((1+Inputs!$D$7)^AP$2))),(_xlfn.WEIBULL.DIST(AP$2,$M64,$L64,FALSE)*$U64*((1+Inputs!$D$7)^AP$2))),IF($N64=Lists!$K$3,IF($L64&lt;1,((($T64*(1-$F64)+$S64*(1-$G64))/$L64)*((1+Inputs!$D$7)^AP$2)),((INT(AP$2/$L64)-INT((AP$2-1)/$L64))*($T64*(1-$F64)+$S64*(1-$G64))*((1+Inputs!$D$7)^AP$2))),((_xlfn.WEIBULL.DIST(AP$2,$M64,$L64,FALSE)*($T64*(1-$F64)+$S64*(1-$G64))*((1+Inputs!$D$7)^AP$2))))))</f>
        <v>7745.8653194456701</v>
      </c>
      <c r="AQ64" s="88">
        <f>$E64*IF(AQ$2&gt;Inputs!$D$5,0,IF(AQ$2&gt;VLOOKUP($H64,Lists!$P$3:$Q$7,2),IF($N64=Lists!$K$3,IF($L64&lt;1,(($U64/$L64)*((1+Inputs!$D$7)^AQ$2)),((INT(AQ$2/$L64)-INT((AQ$2-1)/$L64))*$U64*((1+Inputs!$D$7)^AQ$2))),(_xlfn.WEIBULL.DIST(AQ$2,$M64,$L64,FALSE)*$U64*((1+Inputs!$D$7)^AQ$2))),IF($N64=Lists!$K$3,IF($L64&lt;1,((($T64*(1-$F64)+$S64*(1-$G64))/$L64)*((1+Inputs!$D$7)^AQ$2)),((INT(AQ$2/$L64)-INT((AQ$2-1)/$L64))*($T64*(1-$F64)+$S64*(1-$G64))*((1+Inputs!$D$7)^AQ$2))),((_xlfn.WEIBULL.DIST(AQ$2,$M64,$L64,FALSE)*($T64*(1-$F64)+$S64*(1-$G64))*((1+Inputs!$D$7)^AQ$2))))))</f>
        <v>8806.1068387989999</v>
      </c>
      <c r="AR64" s="88">
        <f>$E64*IF(AR$2&gt;Inputs!$D$5,0,IF(AR$2&gt;VLOOKUP($H64,Lists!$P$3:$Q$7,2),IF($N64=Lists!$K$3,IF($L64&lt;1,(($U64/$L64)*((1+Inputs!$D$7)^AR$2)),((INT(AR$2/$L64)-INT((AR$2-1)/$L64))*$U64*((1+Inputs!$D$7)^AR$2))),(_xlfn.WEIBULL.DIST(AR$2,$M64,$L64,FALSE)*$U64*((1+Inputs!$D$7)^AR$2))),IF($N64=Lists!$K$3,IF($L64&lt;1,((($T64*(1-$F64)+$S64*(1-$G64))/$L64)*((1+Inputs!$D$7)^AR$2)),((INT(AR$2/$L64)-INT((AR$2-1)/$L64))*($T64*(1-$F64)+$S64*(1-$G64))*((1+Inputs!$D$7)^AR$2))),((_xlfn.WEIBULL.DIST(AR$2,$M64,$L64,FALSE)*($T64*(1-$F64)+$S64*(1-$G64))*((1+Inputs!$D$7)^AR$2))))))</f>
        <v>9926.4758893697708</v>
      </c>
      <c r="AS64" s="88">
        <f>$E64*IF(AS$2&gt;Inputs!$D$5,0,IF(AS$2&gt;VLOOKUP($H64,Lists!$P$3:$Q$7,2),IF($N64=Lists!$K$3,IF($L64&lt;1,(($U64/$L64)*((1+Inputs!$D$7)^AS$2)),((INT(AS$2/$L64)-INT((AS$2-1)/$L64))*$U64*((1+Inputs!$D$7)^AS$2))),(_xlfn.WEIBULL.DIST(AS$2,$M64,$L64,FALSE)*$U64*((1+Inputs!$D$7)^AS$2))),IF($N64=Lists!$K$3,IF($L64&lt;1,((($T64*(1-$F64)+$S64*(1-$G64))/$L64)*((1+Inputs!$D$7)^AS$2)),((INT(AS$2/$L64)-INT((AS$2-1)/$L64))*($T64*(1-$F64)+$S64*(1-$G64))*((1+Inputs!$D$7)^AS$2))),((_xlfn.WEIBULL.DIST(AS$2,$M64,$L64,FALSE)*($T64*(1-$F64)+$S64*(1-$G64))*((1+Inputs!$D$7)^AS$2))))))</f>
        <v>11101.671855322575</v>
      </c>
      <c r="AT64" s="88">
        <f>$E64*IF(AT$2&gt;Inputs!$D$5,0,IF(AT$2&gt;VLOOKUP($H64,Lists!$P$3:$Q$7,2),IF($N64=Lists!$K$3,IF($L64&lt;1,(($U64/$L64)*((1+Inputs!$D$7)^AT$2)),((INT(AT$2/$L64)-INT((AT$2-1)/$L64))*$U64*((1+Inputs!$D$7)^AT$2))),(_xlfn.WEIBULL.DIST(AT$2,$M64,$L64,FALSE)*$U64*((1+Inputs!$D$7)^AT$2))),IF($N64=Lists!$K$3,IF($L64&lt;1,((($T64*(1-$F64)+$S64*(1-$G64))/$L64)*((1+Inputs!$D$7)^AT$2)),((INT(AT$2/$L64)-INT((AT$2-1)/$L64))*($T64*(1-$F64)+$S64*(1-$G64))*((1+Inputs!$D$7)^AT$2))),((_xlfn.WEIBULL.DIST(AT$2,$M64,$L64,FALSE)*($T64*(1-$F64)+$S64*(1-$G64))*((1+Inputs!$D$7)^AT$2))))))</f>
        <v>12325.333835967724</v>
      </c>
      <c r="AU64" s="88">
        <f>$E64*IF(AU$2&gt;Inputs!$D$5,0,IF(AU$2&gt;VLOOKUP($H64,Lists!$P$3:$Q$7,2),IF($N64=Lists!$K$3,IF($L64&lt;1,(($U64/$L64)*((1+Inputs!$D$7)^AU$2)),((INT(AU$2/$L64)-INT((AU$2-1)/$L64))*$U64*((1+Inputs!$D$7)^AU$2))),(_xlfn.WEIBULL.DIST(AU$2,$M64,$L64,FALSE)*$U64*((1+Inputs!$D$7)^AU$2))),IF($N64=Lists!$K$3,IF($L64&lt;1,((($T64*(1-$F64)+$S64*(1-$G64))/$L64)*((1+Inputs!$D$7)^AU$2)),((INT(AU$2/$L64)-INT((AU$2-1)/$L64))*($T64*(1-$F64)+$S64*(1-$G64))*((1+Inputs!$D$7)^AU$2))),((_xlfn.WEIBULL.DIST(AU$2,$M64,$L64,FALSE)*($T64*(1-$F64)+$S64*(1-$G64))*((1+Inputs!$D$7)^AU$2))))))</f>
        <v>13590.032726342613</v>
      </c>
      <c r="AV64" s="88">
        <f>$E64*IF(AV$2&gt;Inputs!$D$5,0,IF(AV$2&gt;VLOOKUP($H64,Lists!$P$3:$Q$7,2),IF($N64=Lists!$K$3,IF($L64&lt;1,(($U64/$L64)*((1+Inputs!$D$7)^AV$2)),((INT(AV$2/$L64)-INT((AV$2-1)/$L64))*$U64*((1+Inputs!$D$7)^AV$2))),(_xlfn.WEIBULL.DIST(AV$2,$M64,$L64,FALSE)*$U64*((1+Inputs!$D$7)^AV$2))),IF($N64=Lists!$K$3,IF($L64&lt;1,((($T64*(1-$F64)+$S64*(1-$G64))/$L64)*((1+Inputs!$D$7)^AV$2)),((INT(AV$2/$L64)-INT((AV$2-1)/$L64))*($T64*(1-$F64)+$S64*(1-$G64))*((1+Inputs!$D$7)^AV$2))),((_xlfn.WEIBULL.DIST(AV$2,$M64,$L64,FALSE)*($T64*(1-$F64)+$S64*(1-$G64))*((1+Inputs!$D$7)^AV$2))))))</f>
        <v>14887.283911948751</v>
      </c>
      <c r="AW64" s="88">
        <f>$E64*IF(AW$2&gt;Inputs!$D$5,0,IF(AW$2&gt;VLOOKUP($H64,Lists!$P$3:$Q$7,2),IF($N64=Lists!$K$3,IF($L64&lt;1,(($U64/$L64)*((1+Inputs!$D$7)^AW$2)),((INT(AW$2/$L64)-INT((AW$2-1)/$L64))*$U64*((1+Inputs!$D$7)^AW$2))),(_xlfn.WEIBULL.DIST(AW$2,$M64,$L64,FALSE)*$U64*((1+Inputs!$D$7)^AW$2))),IF($N64=Lists!$K$3,IF($L64&lt;1,((($T64*(1-$F64)+$S64*(1-$G64))/$L64)*((1+Inputs!$D$7)^AW$2)),((INT(AW$2/$L64)-INT((AW$2-1)/$L64))*($T64*(1-$F64)+$S64*(1-$G64))*((1+Inputs!$D$7)^AW$2))),((_xlfn.WEIBULL.DIST(AW$2,$M64,$L64,FALSE)*($T64*(1-$F64)+$S64*(1-$G64))*((1+Inputs!$D$7)^AW$2))))))</f>
        <v>16207.5826457597</v>
      </c>
      <c r="AX64" s="88">
        <f>$E64*IF(AX$2&gt;Inputs!$D$5,0,IF(AX$2&gt;VLOOKUP($H64,Lists!$P$3:$Q$7,2),IF($N64=Lists!$K$3,IF($L64&lt;1,(($U64/$L64)*((1+Inputs!$D$7)^AX$2)),((INT(AX$2/$L64)-INT((AX$2-1)/$L64))*$U64*((1+Inputs!$D$7)^AX$2))),(_xlfn.WEIBULL.DIST(AX$2,$M64,$L64,FALSE)*$U64*((1+Inputs!$D$7)^AX$2))),IF($N64=Lists!$K$3,IF($L64&lt;1,((($T64*(1-$F64)+$S64*(1-$G64))/$L64)*((1+Inputs!$D$7)^AX$2)),((INT(AX$2/$L64)-INT((AX$2-1)/$L64))*($T64*(1-$F64)+$S64*(1-$G64))*((1+Inputs!$D$7)^AX$2))),((_xlfn.WEIBULL.DIST(AX$2,$M64,$L64,FALSE)*($T64*(1-$F64)+$S64*(1-$G64))*((1+Inputs!$D$7)^AX$2))))))</f>
        <v>17540.463789569749</v>
      </c>
      <c r="AY64" s="88">
        <f>$E64*IF(AY$2&gt;Inputs!$D$5,0,IF(AY$2&gt;VLOOKUP($H64,Lists!$P$3:$Q$7,2),IF($N64=Lists!$K$3,IF($L64&lt;1,(($U64/$L64)*((1+Inputs!$D$7)^AY$2)),((INT(AY$2/$L64)-INT((AY$2-1)/$L64))*$U64*((1+Inputs!$D$7)^AY$2))),(_xlfn.WEIBULL.DIST(AY$2,$M64,$L64,FALSE)*$U64*((1+Inputs!$D$7)^AY$2))),IF($N64=Lists!$K$3,IF($L64&lt;1,((($T64*(1-$F64)+$S64*(1-$G64))/$L64)*((1+Inputs!$D$7)^AY$2)),((INT(AY$2/$L64)-INT((AY$2-1)/$L64))*($T64*(1-$F64)+$S64*(1-$G64))*((1+Inputs!$D$7)^AY$2))),((_xlfn.WEIBULL.DIST(AY$2,$M64,$L64,FALSE)*($T64*(1-$F64)+$S64*(1-$G64))*((1+Inputs!$D$7)^AY$2))))))</f>
        <v>18874.587106694751</v>
      </c>
      <c r="AZ64" s="88">
        <f>$E64*IF(AZ$2&gt;Inputs!$D$5,0,IF(AZ$2&gt;VLOOKUP($H64,Lists!$P$3:$Q$7,2),IF($N64=Lists!$K$3,IF($L64&lt;1,(($U64/$L64)*((1+Inputs!$D$7)^AZ$2)),((INT(AZ$2/$L64)-INT((AZ$2-1)/$L64))*$U64*((1+Inputs!$D$7)^AZ$2))),(_xlfn.WEIBULL.DIST(AZ$2,$M64,$L64,FALSE)*$U64*((1+Inputs!$D$7)^AZ$2))),IF($N64=Lists!$K$3,IF($L64&lt;1,((($T64*(1-$F64)+$S64*(1-$G64))/$L64)*((1+Inputs!$D$7)^AZ$2)),((INT(AZ$2/$L64)-INT((AZ$2-1)/$L64))*($T64*(1-$F64)+$S64*(1-$G64))*((1+Inputs!$D$7)^AZ$2))),((_xlfn.WEIBULL.DIST(AZ$2,$M64,$L64,FALSE)*($T64*(1-$F64)+$S64*(1-$G64))*((1+Inputs!$D$7)^AZ$2))))))</f>
        <v>0</v>
      </c>
      <c r="BA64" s="88">
        <f>$E64*IF(BA$2&gt;Inputs!$D$5,0,IF(BA$2&gt;VLOOKUP($H64,Lists!$P$3:$Q$7,2),IF($N64=Lists!$K$3,IF($L64&lt;1,(($U64/$L64)*((1+Inputs!$D$7)^BA$2)),((INT(BA$2/$L64)-INT((BA$2-1)/$L64))*$U64*((1+Inputs!$D$7)^BA$2))),(_xlfn.WEIBULL.DIST(BA$2,$M64,$L64,FALSE)*$U64*((1+Inputs!$D$7)^BA$2))),IF($N64=Lists!$K$3,IF($L64&lt;1,((($T64*(1-$F64)+$S64*(1-$G64))/$L64)*((1+Inputs!$D$7)^BA$2)),((INT(BA$2/$L64)-INT((BA$2-1)/$L64))*($T64*(1-$F64)+$S64*(1-$G64))*((1+Inputs!$D$7)^BA$2))),((_xlfn.WEIBULL.DIST(BA$2,$M64,$L64,FALSE)*($T64*(1-$F64)+$S64*(1-$G64))*((1+Inputs!$D$7)^BA$2))))))</f>
        <v>0</v>
      </c>
      <c r="BB64" s="88">
        <f>$E64*IF(BB$2&gt;Inputs!$D$5,0,IF(BB$2&gt;VLOOKUP($H64,Lists!$P$3:$Q$7,2),IF($N64=Lists!$K$3,IF($L64&lt;1,(($U64/$L64)*((1+Inputs!$D$7)^BB$2)),((INT(BB$2/$L64)-INT((BB$2-1)/$L64))*$U64*((1+Inputs!$D$7)^BB$2))),(_xlfn.WEIBULL.DIST(BB$2,$M64,$L64,FALSE)*$U64*((1+Inputs!$D$7)^BB$2))),IF($N64=Lists!$K$3,IF($L64&lt;1,((($T64*(1-$F64)+$S64*(1-$G64))/$L64)*((1+Inputs!$D$7)^BB$2)),((INT(BB$2/$L64)-INT((BB$2-1)/$L64))*($T64*(1-$F64)+$S64*(1-$G64))*((1+Inputs!$D$7)^BB$2))),((_xlfn.WEIBULL.DIST(BB$2,$M64,$L64,FALSE)*($T64*(1-$F64)+$S64*(1-$G64))*((1+Inputs!$D$7)^BB$2))))))</f>
        <v>0</v>
      </c>
      <c r="BC64" s="88">
        <f>$E64*IF(BC$2&gt;Inputs!$D$5,0,IF(BC$2&gt;VLOOKUP($H64,Lists!$P$3:$Q$7,2),IF($N64=Lists!$K$3,IF($L64&lt;1,(($U64/$L64)*((1+Inputs!$D$7)^BC$2)),((INT(BC$2/$L64)-INT((BC$2-1)/$L64))*$U64*((1+Inputs!$D$7)^BC$2))),(_xlfn.WEIBULL.DIST(BC$2,$M64,$L64,FALSE)*$U64*((1+Inputs!$D$7)^BC$2))),IF($N64=Lists!$K$3,IF($L64&lt;1,((($T64*(1-$F64)+$S64*(1-$G64))/$L64)*((1+Inputs!$D$7)^BC$2)),((INT(BC$2/$L64)-INT((BC$2-1)/$L64))*($T64*(1-$F64)+$S64*(1-$G64))*((1+Inputs!$D$7)^BC$2))),((_xlfn.WEIBULL.DIST(BC$2,$M64,$L64,FALSE)*($T64*(1-$F64)+$S64*(1-$G64))*((1+Inputs!$D$7)^BC$2))))))</f>
        <v>0</v>
      </c>
      <c r="BD64" s="88">
        <f>$E64*IF(BD$2&gt;Inputs!$D$5,0,IF(BD$2&gt;VLOOKUP($H64,Lists!$P$3:$Q$7,2),IF($N64=Lists!$K$3,IF($L64&lt;1,(($U64/$L64)*((1+Inputs!$D$7)^BD$2)),((INT(BD$2/$L64)-INT((BD$2-1)/$L64))*$U64*((1+Inputs!$D$7)^BD$2))),(_xlfn.WEIBULL.DIST(BD$2,$M64,$L64,FALSE)*$U64*((1+Inputs!$D$7)^BD$2))),IF($N64=Lists!$K$3,IF($L64&lt;1,((($T64*(1-$F64)+$S64*(1-$G64))/$L64)*((1+Inputs!$D$7)^BD$2)),((INT(BD$2/$L64)-INT((BD$2-1)/$L64))*($T64*(1-$F64)+$S64*(1-$G64))*((1+Inputs!$D$7)^BD$2))),((_xlfn.WEIBULL.DIST(BD$2,$M64,$L64,FALSE)*($T64*(1-$F64)+$S64*(1-$G64))*((1+Inputs!$D$7)^BD$2))))))</f>
        <v>0</v>
      </c>
      <c r="BE64" s="88">
        <f>$E64*IF(BE$2&gt;Inputs!$D$5,0,IF(BE$2&gt;VLOOKUP($H64,Lists!$P$3:$Q$7,2),IF($N64=Lists!$K$3,IF($L64&lt;1,(($U64/$L64)*((1+Inputs!$D$7)^BE$2)),((INT(BE$2/$L64)-INT((BE$2-1)/$L64))*$U64*((1+Inputs!$D$7)^BE$2))),(_xlfn.WEIBULL.DIST(BE$2,$M64,$L64,FALSE)*$U64*((1+Inputs!$D$7)^BE$2))),IF($N64=Lists!$K$3,IF($L64&lt;1,((($T64*(1-$F64)+$S64*(1-$G64))/$L64)*((1+Inputs!$D$7)^BE$2)),((INT(BE$2/$L64)-INT((BE$2-1)/$L64))*($T64*(1-$F64)+$S64*(1-$G64))*((1+Inputs!$D$7)^BE$2))),((_xlfn.WEIBULL.DIST(BE$2,$M64,$L64,FALSE)*($T64*(1-$F64)+$S64*(1-$G64))*((1+Inputs!$D$7)^BE$2))))))</f>
        <v>0</v>
      </c>
      <c r="BF64" s="88">
        <f>$E64*IF(BF$2&gt;Inputs!$D$5,0,IF(BF$2&gt;VLOOKUP($H64,Lists!$P$3:$Q$7,2),IF($N64=Lists!$K$3,IF($L64&lt;1,(($U64/$L64)*((1+Inputs!$D$7)^BF$2)),((INT(BF$2/$L64)-INT((BF$2-1)/$L64))*$U64*((1+Inputs!$D$7)^BF$2))),(_xlfn.WEIBULL.DIST(BF$2,$M64,$L64,FALSE)*$U64*((1+Inputs!$D$7)^BF$2))),IF($N64=Lists!$K$3,IF($L64&lt;1,((($T64*(1-$F64)+$S64*(1-$G64))/$L64)*((1+Inputs!$D$7)^BF$2)),((INT(BF$2/$L64)-INT((BF$2-1)/$L64))*($T64*(1-$F64)+$S64*(1-$G64))*((1+Inputs!$D$7)^BF$2))),((_xlfn.WEIBULL.DIST(BF$2,$M64,$L64,FALSE)*($T64*(1-$F64)+$S64*(1-$G64))*((1+Inputs!$D$7)^BF$2))))))</f>
        <v>0</v>
      </c>
      <c r="BG64" s="88">
        <f>$E64*IF(BG$2&gt;Inputs!$D$5,0,IF(BG$2&gt;VLOOKUP($H64,Lists!$P$3:$Q$7,2),IF($N64=Lists!$K$3,IF($L64&lt;1,(($U64/$L64)*((1+Inputs!$D$7)^BG$2)),((INT(BG$2/$L64)-INT((BG$2-1)/$L64))*$U64*((1+Inputs!$D$7)^BG$2))),(_xlfn.WEIBULL.DIST(BG$2,$M64,$L64,FALSE)*$U64*((1+Inputs!$D$7)^BG$2))),IF($N64=Lists!$K$3,IF($L64&lt;1,((($T64*(1-$F64)+$S64*(1-$G64))/$L64)*((1+Inputs!$D$7)^BG$2)),((INT(BG$2/$L64)-INT((BG$2-1)/$L64))*($T64*(1-$F64)+$S64*(1-$G64))*((1+Inputs!$D$7)^BG$2))),((_xlfn.WEIBULL.DIST(BG$2,$M64,$L64,FALSE)*($T64*(1-$F64)+$S64*(1-$G64))*((1+Inputs!$D$7)^BG$2))))))</f>
        <v>0</v>
      </c>
      <c r="BH64" s="88">
        <f>$E64*IF(BH$2&gt;Inputs!$D$5,0,IF(BH$2&gt;VLOOKUP($H64,Lists!$P$3:$Q$7,2),IF($N64=Lists!$K$3,IF($L64&lt;1,(($U64/$L64)*((1+Inputs!$D$7)^BH$2)),((INT(BH$2/$L64)-INT((BH$2-1)/$L64))*$U64*((1+Inputs!$D$7)^BH$2))),(_xlfn.WEIBULL.DIST(BH$2,$M64,$L64,FALSE)*$U64*((1+Inputs!$D$7)^BH$2))),IF($N64=Lists!$K$3,IF($L64&lt;1,((($T64*(1-$F64)+$S64*(1-$G64))/$L64)*((1+Inputs!$D$7)^BH$2)),((INT(BH$2/$L64)-INT((BH$2-1)/$L64))*($T64*(1-$F64)+$S64*(1-$G64))*((1+Inputs!$D$7)^BH$2))),((_xlfn.WEIBULL.DIST(BH$2,$M64,$L64,FALSE)*($T64*(1-$F64)+$S64*(1-$G64))*((1+Inputs!$D$7)^BH$2))))))</f>
        <v>0</v>
      </c>
      <c r="BI64" s="88">
        <f>$E64*IF(BI$2&gt;Inputs!$D$5,0,IF(BI$2&gt;VLOOKUP($H64,Lists!$P$3:$Q$7,2),IF($N64=Lists!$K$3,IF($L64&lt;1,(($U64/$L64)*((1+Inputs!$D$7)^BI$2)),((INT(BI$2/$L64)-INT((BI$2-1)/$L64))*$U64*((1+Inputs!$D$7)^BI$2))),(_xlfn.WEIBULL.DIST(BI$2,$M64,$L64,FALSE)*$U64*((1+Inputs!$D$7)^BI$2))),IF($N64=Lists!$K$3,IF($L64&lt;1,((($T64*(1-$F64)+$S64*(1-$G64))/$L64)*((1+Inputs!$D$7)^BI$2)),((INT(BI$2/$L64)-INT((BI$2-1)/$L64))*($T64*(1-$F64)+$S64*(1-$G64))*((1+Inputs!$D$7)^BI$2))),((_xlfn.WEIBULL.DIST(BI$2,$M64,$L64,FALSE)*($T64*(1-$F64)+$S64*(1-$G64))*((1+Inputs!$D$7)^BI$2))))))</f>
        <v>0</v>
      </c>
      <c r="BJ64" s="88">
        <f>$E64*IF(BJ$2&gt;Inputs!$D$5,0,IF(BJ$2&gt;VLOOKUP($H64,Lists!$P$3:$Q$7,2),IF($N64=Lists!$K$3,IF($L64&lt;1,(($U64/$L64)*((1+Inputs!$D$7)^BJ$2)),((INT(BJ$2/$L64)-INT((BJ$2-1)/$L64))*$U64*((1+Inputs!$D$7)^BJ$2))),(_xlfn.WEIBULL.DIST(BJ$2,$M64,$L64,FALSE)*$U64*((1+Inputs!$D$7)^BJ$2))),IF($N64=Lists!$K$3,IF($L64&lt;1,((($T64*(1-$F64)+$S64*(1-$G64))/$L64)*((1+Inputs!$D$7)^BJ$2)),((INT(BJ$2/$L64)-INT((BJ$2-1)/$L64))*($T64*(1-$F64)+$S64*(1-$G64))*((1+Inputs!$D$7)^BJ$2))),((_xlfn.WEIBULL.DIST(BJ$2,$M64,$L64,FALSE)*($T64*(1-$F64)+$S64*(1-$G64))*((1+Inputs!$D$7)^BJ$2))))))</f>
        <v>0</v>
      </c>
      <c r="BK64" s="88">
        <f>$E64*IF(BK$2&gt;Inputs!$D$5,0,IF(BK$2&gt;VLOOKUP($H64,Lists!$P$3:$Q$7,2),IF($N64=Lists!$K$3,IF($L64&lt;1,(($U64/$L64)*((1+Inputs!$D$7)^BK$2)),((INT(BK$2/$L64)-INT((BK$2-1)/$L64))*$U64*((1+Inputs!$D$7)^BK$2))),(_xlfn.WEIBULL.DIST(BK$2,$M64,$L64,FALSE)*$U64*((1+Inputs!$D$7)^BK$2))),IF($N64=Lists!$K$3,IF($L64&lt;1,((($T64*(1-$F64)+$S64*(1-$G64))/$L64)*((1+Inputs!$D$7)^BK$2)),((INT(BK$2/$L64)-INT((BK$2-1)/$L64))*($T64*(1-$F64)+$S64*(1-$G64))*((1+Inputs!$D$7)^BK$2))),((_xlfn.WEIBULL.DIST(BK$2,$M64,$L64,FALSE)*($T64*(1-$F64)+$S64*(1-$G64))*((1+Inputs!$D$7)^BK$2))))))</f>
        <v>0</v>
      </c>
      <c r="BL64" s="88">
        <f>$E64*IF(BL$2&gt;Inputs!$D$5,0,IF(BL$2&gt;VLOOKUP($H64,Lists!$P$3:$Q$7,2),IF($N64=Lists!$K$3,IF($L64&lt;1,(($U64/$L64)*((1+Inputs!$D$7)^BL$2)),((INT(BL$2/$L64)-INT((BL$2-1)/$L64))*$U64*((1+Inputs!$D$7)^BL$2))),(_xlfn.WEIBULL.DIST(BL$2,$M64,$L64,FALSE)*$U64*((1+Inputs!$D$7)^BL$2))),IF($N64=Lists!$K$3,IF($L64&lt;1,((($T64*(1-$F64)+$S64*(1-$G64))/$L64)*((1+Inputs!$D$7)^BL$2)),((INT(BL$2/$L64)-INT((BL$2-1)/$L64))*($T64*(1-$F64)+$S64*(1-$G64))*((1+Inputs!$D$7)^BL$2))),((_xlfn.WEIBULL.DIST(BL$2,$M64,$L64,FALSE)*($T64*(1-$F64)+$S64*(1-$G64))*((1+Inputs!$D$7)^BL$2))))))</f>
        <v>0</v>
      </c>
      <c r="BM64" s="88">
        <f>$E64*IF(BM$2&gt;Inputs!$D$5,0,IF(BM$2&gt;VLOOKUP($H64,Lists!$P$3:$Q$7,2),IF($N64=Lists!$K$3,IF($L64&lt;1,(($U64/$L64)*((1+Inputs!$D$7)^BM$2)),((INT(BM$2/$L64)-INT((BM$2-1)/$L64))*$U64*((1+Inputs!$D$7)^BM$2))),(_xlfn.WEIBULL.DIST(BM$2,$M64,$L64,FALSE)*$U64*((1+Inputs!$D$7)^BM$2))),IF($N64=Lists!$K$3,IF($L64&lt;1,((($T64*(1-$F64)+$S64*(1-$G64))/$L64)*((1+Inputs!$D$7)^BM$2)),((INT(BM$2/$L64)-INT((BM$2-1)/$L64))*($T64*(1-$F64)+$S64*(1-$G64))*((1+Inputs!$D$7)^BM$2))),((_xlfn.WEIBULL.DIST(BM$2,$M64,$L64,FALSE)*($T64*(1-$F64)+$S64*(1-$G64))*((1+Inputs!$D$7)^BM$2))))))</f>
        <v>0</v>
      </c>
      <c r="BN64" s="88">
        <f>$E64*IF(BN$2&gt;Inputs!$D$5,0,IF(BN$2&gt;VLOOKUP($H64,Lists!$P$3:$Q$7,2),IF($N64=Lists!$K$3,IF($L64&lt;1,(($U64/$L64)*((1+Inputs!$D$7)^BN$2)),((INT(BN$2/$L64)-INT((BN$2-1)/$L64))*$U64*((1+Inputs!$D$7)^BN$2))),(_xlfn.WEIBULL.DIST(BN$2,$M64,$L64,FALSE)*$U64*((1+Inputs!$D$7)^BN$2))),IF($N64=Lists!$K$3,IF($L64&lt;1,((($T64*(1-$F64)+$S64*(1-$G64))/$L64)*((1+Inputs!$D$7)^BN$2)),((INT(BN$2/$L64)-INT((BN$2-1)/$L64))*($T64*(1-$F64)+$S64*(1-$G64))*((1+Inputs!$D$7)^BN$2))),((_xlfn.WEIBULL.DIST(BN$2,$M64,$L64,FALSE)*($T64*(1-$F64)+$S64*(1-$G64))*((1+Inputs!$D$7)^BN$2))))))</f>
        <v>0</v>
      </c>
      <c r="BO64" s="64">
        <f>NPV(Inputs!$D$6,BQ64:DD64)</f>
        <v>49211.093178183677</v>
      </c>
      <c r="BP64" s="67">
        <f t="shared" si="13"/>
        <v>2.3210354063238067E-2</v>
      </c>
      <c r="BQ64" s="88">
        <f>MAX(AA64,($E64*IF(BQ$2&gt;Inputs!$D$5,0,IF(BQ$2&gt;VLOOKUP($H64,Lists!$P$3:$Q$7,2),IF($N64=Lists!$K$3,IF($L64&lt;1,(($U64/$L64)*((1+Inputs!$D$7)^BQ$2)),((INT(BQ$2/$L64)-INT((BQ$2-1)/$L64))*$U64*((1+Inputs!$D$7)^BQ$2))),(Inputs!$D$8^((1-_xlfn.WEIBULL.DIST(BQ$2,$M64,$L64,FALSE))/_xlfn.WEIBULL.DIST(BQ$2,$M64,$L64,FALSE))*$U64*((1+Inputs!$D$7)^BQ$2))),IF($N64=Lists!$K$3,IF($L64&lt;1,((($T64*(1-$F64)+$S64*(1-$G64))/$L64)*((1+Inputs!$D$7)^BQ$2)),((INT(BQ$2/$L64)-INT((BQ$2-1)/$L64))*($T64*(1-$F64)+$S64*(1-$G64))*((1+Inputs!$D$7)^BQ$2))),((Inputs!$D$8^((1-_xlfn.WEIBULL.DIST(BQ$2,$M64,$L64,FALSE))/_xlfn.WEIBULL.DIST(BQ$2,$M64,$L64,FALSE))*($T64*(1-$F64)+$S64*(1-$G64))*((1+Inputs!$D$7)^BQ$2))))))))</f>
        <v>23.967098497939119</v>
      </c>
      <c r="BR64" s="88">
        <f>MAX(AB64,($E64*IF(BR$2&gt;Inputs!$D$5,0,IF(BR$2&gt;VLOOKUP($H64,Lists!$P$3:$Q$7,2),IF($N64=Lists!$K$3,IF($L64&lt;1,(($U64/$L64)*((1+Inputs!$D$7)^BR$2)),((INT(BR$2/$L64)-INT((BR$2-1)/$L64))*$U64*((1+Inputs!$D$7)^BR$2))),(Inputs!$D$8^((1-_xlfn.WEIBULL.DIST(BR$2,$M64,$L64,FALSE))/_xlfn.WEIBULL.DIST(BR$2,$M64,$L64,FALSE))*$U64*((1+Inputs!$D$7)^BR$2))),IF($N64=Lists!$K$3,IF($L64&lt;1,((($T64*(1-$F64)+$S64*(1-$G64))/$L64)*((1+Inputs!$D$7)^BR$2)),((INT(BR$2/$L64)-INT((BR$2-1)/$L64))*($T64*(1-$F64)+$S64*(1-$G64))*((1+Inputs!$D$7)^BR$2))),((Inputs!$D$8^((1-_xlfn.WEIBULL.DIST(BR$2,$M64,$L64,FALSE))/_xlfn.WEIBULL.DIST(BR$2,$M64,$L64,FALSE))*($T64*(1-$F64)+$S64*(1-$G64))*((1+Inputs!$D$7)^BR$2))))))))</f>
        <v>97.775067138765763</v>
      </c>
      <c r="BS64" s="88">
        <f>MAX(AC64,($E64*IF(BS$2&gt;Inputs!$D$5,0,IF(BS$2&gt;VLOOKUP($H64,Lists!$P$3:$Q$7,2),IF($N64=Lists!$K$3,IF($L64&lt;1,(($U64/$L64)*((1+Inputs!$D$7)^BS$2)),((INT(BS$2/$L64)-INT((BS$2-1)/$L64))*$U64*((1+Inputs!$D$7)^BS$2))),(Inputs!$D$8^((1-_xlfn.WEIBULL.DIST(BS$2,$M64,$L64,FALSE))/_xlfn.WEIBULL.DIST(BS$2,$M64,$L64,FALSE))*$U64*((1+Inputs!$D$7)^BS$2))),IF($N64=Lists!$K$3,IF($L64&lt;1,((($T64*(1-$F64)+$S64*(1-$G64))/$L64)*((1+Inputs!$D$7)^BS$2)),((INT(BS$2/$L64)-INT((BS$2-1)/$L64))*($T64*(1-$F64)+$S64*(1-$G64))*((1+Inputs!$D$7)^BS$2))),((Inputs!$D$8^((1-_xlfn.WEIBULL.DIST(BS$2,$M64,$L64,FALSE))/_xlfn.WEIBULL.DIST(BS$2,$M64,$L64,FALSE))*($T64*(1-$F64)+$S64*(1-$G64))*((1+Inputs!$D$7)^BS$2))))))))</f>
        <v>224.32717206777014</v>
      </c>
      <c r="BT64" s="88">
        <f>MAX(AD64,($E64*IF(BT$2&gt;Inputs!$D$5,0,IF(BT$2&gt;VLOOKUP($H64,Lists!$P$3:$Q$7,2),IF($N64=Lists!$K$3,IF($L64&lt;1,(($U64/$L64)*((1+Inputs!$D$7)^BT$2)),((INT(BT$2/$L64)-INT((BT$2-1)/$L64))*$U64*((1+Inputs!$D$7)^BT$2))),(Inputs!$D$8^((1-_xlfn.WEIBULL.DIST(BT$2,$M64,$L64,FALSE))/_xlfn.WEIBULL.DIST(BT$2,$M64,$L64,FALSE))*$U64*((1+Inputs!$D$7)^BT$2))),IF($N64=Lists!$K$3,IF($L64&lt;1,((($T64*(1-$F64)+$S64*(1-$G64))/$L64)*((1+Inputs!$D$7)^BT$2)),((INT(BT$2/$L64)-INT((BT$2-1)/$L64))*($T64*(1-$F64)+$S64*(1-$G64))*((1+Inputs!$D$7)^BT$2))),((Inputs!$D$8^((1-_xlfn.WEIBULL.DIST(BT$2,$M64,$L64,FALSE))/_xlfn.WEIBULL.DIST(BT$2,$M64,$L64,FALSE))*($T64*(1-$F64)+$S64*(1-$G64))*((1+Inputs!$D$7)^BT$2))))))))</f>
        <v>406.54483699646812</v>
      </c>
      <c r="BU64" s="88">
        <f>MAX(AE64,($E64*IF(BU$2&gt;Inputs!$D$5,0,IF(BU$2&gt;VLOOKUP($H64,Lists!$P$3:$Q$7,2),IF($N64=Lists!$K$3,IF($L64&lt;1,(($U64/$L64)*((1+Inputs!$D$7)^BU$2)),((INT(BU$2/$L64)-INT((BU$2-1)/$L64))*$U64*((1+Inputs!$D$7)^BU$2))),(Inputs!$D$8^((1-_xlfn.WEIBULL.DIST(BU$2,$M64,$L64,FALSE))/_xlfn.WEIBULL.DIST(BU$2,$M64,$L64,FALSE))*$U64*((1+Inputs!$D$7)^BU$2))),IF($N64=Lists!$K$3,IF($L64&lt;1,((($T64*(1-$F64)+$S64*(1-$G64))/$L64)*((1+Inputs!$D$7)^BU$2)),((INT(BU$2/$L64)-INT((BU$2-1)/$L64))*($T64*(1-$F64)+$S64*(1-$G64))*((1+Inputs!$D$7)^BU$2))),((Inputs!$D$8^((1-_xlfn.WEIBULL.DIST(BU$2,$M64,$L64,FALSE))/_xlfn.WEIBULL.DIST(BU$2,$M64,$L64,FALSE))*($T64*(1-$F64)+$S64*(1-$G64))*((1+Inputs!$D$7)^BU$2))))))))</f>
        <v>647.31356909901604</v>
      </c>
      <c r="BV64" s="88">
        <f>MAX(AF64,($E64*IF(BV$2&gt;Inputs!$D$5,0,IF(BV$2&gt;VLOOKUP($H64,Lists!$P$3:$Q$7,2),IF($N64=Lists!$K$3,IF($L64&lt;1,(($U64/$L64)*((1+Inputs!$D$7)^BV$2)),((INT(BV$2/$L64)-INT((BV$2-1)/$L64))*$U64*((1+Inputs!$D$7)^BV$2))),(Inputs!$D$8^((1-_xlfn.WEIBULL.DIST(BV$2,$M64,$L64,FALSE))/_xlfn.WEIBULL.DIST(BV$2,$M64,$L64,FALSE))*$U64*((1+Inputs!$D$7)^BV$2))),IF($N64=Lists!$K$3,IF($L64&lt;1,((($T64*(1-$F64)+$S64*(1-$G64))/$L64)*((1+Inputs!$D$7)^BV$2)),((INT(BV$2/$L64)-INT((BV$2-1)/$L64))*($T64*(1-$F64)+$S64*(1-$G64))*((1+Inputs!$D$7)^BV$2))),((Inputs!$D$8^((1-_xlfn.WEIBULL.DIST(BV$2,$M64,$L64,FALSE))/_xlfn.WEIBULL.DIST(BV$2,$M64,$L64,FALSE))*($T64*(1-$F64)+$S64*(1-$G64))*((1+Inputs!$D$7)^BV$2))))))))</f>
        <v>949.42324891751491</v>
      </c>
      <c r="BW64" s="88">
        <f>MAX(AG64,($E64*IF(BW$2&gt;Inputs!$D$5,0,IF(BW$2&gt;VLOOKUP($H64,Lists!$P$3:$Q$7,2),IF($N64=Lists!$K$3,IF($L64&lt;1,(($U64/$L64)*((1+Inputs!$D$7)^BW$2)),((INT(BW$2/$L64)-INT((BW$2-1)/$L64))*$U64*((1+Inputs!$D$7)^BW$2))),(Inputs!$D$8^((1-_xlfn.WEIBULL.DIST(BW$2,$M64,$L64,FALSE))/_xlfn.WEIBULL.DIST(BW$2,$M64,$L64,FALSE))*$U64*((1+Inputs!$D$7)^BW$2))),IF($N64=Lists!$K$3,IF($L64&lt;1,((($T64*(1-$F64)+$S64*(1-$G64))/$L64)*((1+Inputs!$D$7)^BW$2)),((INT(BW$2/$L64)-INT((BW$2-1)/$L64))*($T64*(1-$F64)+$S64*(1-$G64))*((1+Inputs!$D$7)^BW$2))),((Inputs!$D$8^((1-_xlfn.WEIBULL.DIST(BW$2,$M64,$L64,FALSE))/_xlfn.WEIBULL.DIST(BW$2,$M64,$L64,FALSE))*($T64*(1-$F64)+$S64*(1-$G64))*((1+Inputs!$D$7)^BW$2))))))))</f>
        <v>1315.5029010735132</v>
      </c>
      <c r="BX64" s="88">
        <f>MAX(AH64,($E64*IF(BX$2&gt;Inputs!$D$5,0,IF(BX$2&gt;VLOOKUP($H64,Lists!$P$3:$Q$7,2),IF($N64=Lists!$K$3,IF($L64&lt;1,(($U64/$L64)*((1+Inputs!$D$7)^BX$2)),((INT(BX$2/$L64)-INT((BX$2-1)/$L64))*$U64*((1+Inputs!$D$7)^BX$2))),(Inputs!$D$8^((1-_xlfn.WEIBULL.DIST(BX$2,$M64,$L64,FALSE))/_xlfn.WEIBULL.DIST(BX$2,$M64,$L64,FALSE))*$U64*((1+Inputs!$D$7)^BX$2))),IF($N64=Lists!$K$3,IF($L64&lt;1,((($T64*(1-$F64)+$S64*(1-$G64))/$L64)*((1+Inputs!$D$7)^BX$2)),((INT(BX$2/$L64)-INT((BX$2-1)/$L64))*($T64*(1-$F64)+$S64*(1-$G64))*((1+Inputs!$D$7)^BX$2))),((Inputs!$D$8^((1-_xlfn.WEIBULL.DIST(BX$2,$M64,$L64,FALSE))/_xlfn.WEIBULL.DIST(BX$2,$M64,$L64,FALSE))*($T64*(1-$F64)+$S64*(1-$G64))*((1+Inputs!$D$7)^BX$2))))))))</f>
        <v>1747.950247574053</v>
      </c>
      <c r="BY64" s="88">
        <f>MAX(AI64,($E64*IF(BY$2&gt;Inputs!$D$5,0,IF(BY$2&gt;VLOOKUP($H64,Lists!$P$3:$Q$7,2),IF($N64=Lists!$K$3,IF($L64&lt;1,(($U64/$L64)*((1+Inputs!$D$7)^BY$2)),((INT(BY$2/$L64)-INT((BY$2-1)/$L64))*$U64*((1+Inputs!$D$7)^BY$2))),(Inputs!$D$8^((1-_xlfn.WEIBULL.DIST(BY$2,$M64,$L64,FALSE))/_xlfn.WEIBULL.DIST(BY$2,$M64,$L64,FALSE))*$U64*((1+Inputs!$D$7)^BY$2))),IF($N64=Lists!$K$3,IF($L64&lt;1,((($T64*(1-$F64)+$S64*(1-$G64))/$L64)*((1+Inputs!$D$7)^BY$2)),((INT(BY$2/$L64)-INT((BY$2-1)/$L64))*($T64*(1-$F64)+$S64*(1-$G64))*((1+Inputs!$D$7)^BY$2))),((Inputs!$D$8^((1-_xlfn.WEIBULL.DIST(BY$2,$M64,$L64,FALSE))/_xlfn.WEIBULL.DIST(BY$2,$M64,$L64,FALSE))*($T64*(1-$F64)+$S64*(1-$G64))*((1+Inputs!$D$7)^BY$2))))))))</f>
        <v>2248.8565520510592</v>
      </c>
      <c r="BZ64" s="88">
        <f>MAX(AJ64,($E64*IF(BZ$2&gt;Inputs!$D$5,0,IF(BZ$2&gt;VLOOKUP($H64,Lists!$P$3:$Q$7,2),IF($N64=Lists!$K$3,IF($L64&lt;1,(($U64/$L64)*((1+Inputs!$D$7)^BZ$2)),((INT(BZ$2/$L64)-INT((BZ$2-1)/$L64))*$U64*((1+Inputs!$D$7)^BZ$2))),(Inputs!$D$8^((1-_xlfn.WEIBULL.DIST(BZ$2,$M64,$L64,FALSE))/_xlfn.WEIBULL.DIST(BZ$2,$M64,$L64,FALSE))*$U64*((1+Inputs!$D$7)^BZ$2))),IF($N64=Lists!$K$3,IF($L64&lt;1,((($T64*(1-$F64)+$S64*(1-$G64))/$L64)*((1+Inputs!$D$7)^BZ$2)),((INT(BZ$2/$L64)-INT((BZ$2-1)/$L64))*($T64*(1-$F64)+$S64*(1-$G64))*((1+Inputs!$D$7)^BZ$2))),((Inputs!$D$8^((1-_xlfn.WEIBULL.DIST(BZ$2,$M64,$L64,FALSE))/_xlfn.WEIBULL.DIST(BZ$2,$M64,$L64,FALSE))*($T64*(1-$F64)+$S64*(1-$G64))*((1+Inputs!$D$7)^BZ$2))))))))</f>
        <v>2819.9274891803416</v>
      </c>
      <c r="CA64" s="88">
        <f>MAX(AK64,($E64*IF(CA$2&gt;Inputs!$D$5,0,IF(CA$2&gt;VLOOKUP($H64,Lists!$P$3:$Q$7,2),IF($N64=Lists!$K$3,IF($L64&lt;1,(($U64/$L64)*((1+Inputs!$D$7)^CA$2)),((INT(CA$2/$L64)-INT((CA$2-1)/$L64))*$U64*((1+Inputs!$D$7)^CA$2))),(Inputs!$D$8^((1-_xlfn.WEIBULL.DIST(CA$2,$M64,$L64,FALSE))/_xlfn.WEIBULL.DIST(CA$2,$M64,$L64,FALSE))*$U64*((1+Inputs!$D$7)^CA$2))),IF($N64=Lists!$K$3,IF($L64&lt;1,((($T64*(1-$F64)+$S64*(1-$G64))/$L64)*((1+Inputs!$D$7)^CA$2)),((INT(CA$2/$L64)-INT((CA$2-1)/$L64))*($T64*(1-$F64)+$S64*(1-$G64))*((1+Inputs!$D$7)^CA$2))),((Inputs!$D$8^((1-_xlfn.WEIBULL.DIST(CA$2,$M64,$L64,FALSE))/_xlfn.WEIBULL.DIST(CA$2,$M64,$L64,FALSE))*($T64*(1-$F64)+$S64*(1-$G64))*((1+Inputs!$D$7)^CA$2))))))))</f>
        <v>3462.4010153062845</v>
      </c>
      <c r="CB64" s="88">
        <f>MAX(AL64,($E64*IF(CB$2&gt;Inputs!$D$5,0,IF(CB$2&gt;VLOOKUP($H64,Lists!$P$3:$Q$7,2),IF($N64=Lists!$K$3,IF($L64&lt;1,(($U64/$L64)*((1+Inputs!$D$7)^CB$2)),((INT(CB$2/$L64)-INT((CB$2-1)/$L64))*$U64*((1+Inputs!$D$7)^CB$2))),(Inputs!$D$8^((1-_xlfn.WEIBULL.DIST(CB$2,$M64,$L64,FALSE))/_xlfn.WEIBULL.DIST(CB$2,$M64,$L64,FALSE))*$U64*((1+Inputs!$D$7)^CB$2))),IF($N64=Lists!$K$3,IF($L64&lt;1,((($T64*(1-$F64)+$S64*(1-$G64))/$L64)*((1+Inputs!$D$7)^CB$2)),((INT(CB$2/$L64)-INT((CB$2-1)/$L64))*($T64*(1-$F64)+$S64*(1-$G64))*((1+Inputs!$D$7)^CB$2))),((Inputs!$D$8^((1-_xlfn.WEIBULL.DIST(CB$2,$M64,$L64,FALSE))/_xlfn.WEIBULL.DIST(CB$2,$M64,$L64,FALSE))*($T64*(1-$F64)+$S64*(1-$G64))*((1+Inputs!$D$7)^CB$2))))))))</f>
        <v>4176.9634690703078</v>
      </c>
      <c r="CC64" s="88">
        <f>MAX(AM64,($E64*IF(CC$2&gt;Inputs!$D$5,0,IF(CC$2&gt;VLOOKUP($H64,Lists!$P$3:$Q$7,2),IF($N64=Lists!$K$3,IF($L64&lt;1,(($U64/$L64)*((1+Inputs!$D$7)^CC$2)),((INT(CC$2/$L64)-INT((CC$2-1)/$L64))*$U64*((1+Inputs!$D$7)^CC$2))),(Inputs!$D$8^((1-_xlfn.WEIBULL.DIST(CC$2,$M64,$L64,FALSE))/_xlfn.WEIBULL.DIST(CC$2,$M64,$L64,FALSE))*$U64*((1+Inputs!$D$7)^CC$2))),IF($N64=Lists!$K$3,IF($L64&lt;1,((($T64*(1-$F64)+$S64*(1-$G64))/$L64)*((1+Inputs!$D$7)^CC$2)),((INT(CC$2/$L64)-INT((CC$2-1)/$L64))*($T64*(1-$F64)+$S64*(1-$G64))*((1+Inputs!$D$7)^CC$2))),((Inputs!$D$8^((1-_xlfn.WEIBULL.DIST(CC$2,$M64,$L64,FALSE))/_xlfn.WEIBULL.DIST(CC$2,$M64,$L64,FALSE))*($T64*(1-$F64)+$S64*(1-$G64))*((1+Inputs!$D$7)^CC$2))))))))</f>
        <v>4963.6653882565215</v>
      </c>
      <c r="CD64" s="88">
        <f>MAX(AN64,($E64*IF(CD$2&gt;Inputs!$D$5,0,IF(CD$2&gt;VLOOKUP($H64,Lists!$P$3:$Q$7,2),IF($N64=Lists!$K$3,IF($L64&lt;1,(($U64/$L64)*((1+Inputs!$D$7)^CD$2)),((INT(CD$2/$L64)-INT((CD$2-1)/$L64))*$U64*((1+Inputs!$D$7)^CD$2))),(Inputs!$D$8^((1-_xlfn.WEIBULL.DIST(CD$2,$M64,$L64,FALSE))/_xlfn.WEIBULL.DIST(CD$2,$M64,$L64,FALSE))*$U64*((1+Inputs!$D$7)^CD$2))),IF($N64=Lists!$K$3,IF($L64&lt;1,((($T64*(1-$F64)+$S64*(1-$G64))/$L64)*((1+Inputs!$D$7)^CD$2)),((INT(CD$2/$L64)-INT((CD$2-1)/$L64))*($T64*(1-$F64)+$S64*(1-$G64))*((1+Inputs!$D$7)^CD$2))),((Inputs!$D$8^((1-_xlfn.WEIBULL.DIST(CD$2,$M64,$L64,FALSE))/_xlfn.WEIBULL.DIST(CD$2,$M64,$L64,FALSE))*($T64*(1-$F64)+$S64*(1-$G64))*((1+Inputs!$D$7)^CD$2))))))))</f>
        <v>5821.838783288712</v>
      </c>
      <c r="CE64" s="88">
        <f>MAX(AO64,($E64*IF(CE$2&gt;Inputs!$D$5,0,IF(CE$2&gt;VLOOKUP($H64,Lists!$P$3:$Q$7,2),IF($N64=Lists!$K$3,IF($L64&lt;1,(($U64/$L64)*((1+Inputs!$D$7)^CE$2)),((INT(CE$2/$L64)-INT((CE$2-1)/$L64))*$U64*((1+Inputs!$D$7)^CE$2))),(Inputs!$D$8^((1-_xlfn.WEIBULL.DIST(CE$2,$M64,$L64,FALSE))/_xlfn.WEIBULL.DIST(CE$2,$M64,$L64,FALSE))*$U64*((1+Inputs!$D$7)^CE$2))),IF($N64=Lists!$K$3,IF($L64&lt;1,((($T64*(1-$F64)+$S64*(1-$G64))/$L64)*((1+Inputs!$D$7)^CE$2)),((INT(CE$2/$L64)-INT((CE$2-1)/$L64))*($T64*(1-$F64)+$S64*(1-$G64))*((1+Inputs!$D$7)^CE$2))),((Inputs!$D$8^((1-_xlfn.WEIBULL.DIST(CE$2,$M64,$L64,FALSE))/_xlfn.WEIBULL.DIST(CE$2,$M64,$L64,FALSE))*($T64*(1-$F64)+$S64*(1-$G64))*((1+Inputs!$D$7)^CE$2))))))))</f>
        <v>6750.0178495589516</v>
      </c>
      <c r="CF64" s="88">
        <f>MAX(AP64,($E64*IF(CF$2&gt;Inputs!$D$5,0,IF(CF$2&gt;VLOOKUP($H64,Lists!$P$3:$Q$7,2),IF($N64=Lists!$K$3,IF($L64&lt;1,(($U64/$L64)*((1+Inputs!$D$7)^CF$2)),((INT(CF$2/$L64)-INT((CF$2-1)/$L64))*$U64*((1+Inputs!$D$7)^CF$2))),(Inputs!$D$8^((1-_xlfn.WEIBULL.DIST(CF$2,$M64,$L64,FALSE))/_xlfn.WEIBULL.DIST(CF$2,$M64,$L64,FALSE))*$U64*((1+Inputs!$D$7)^CF$2))),IF($N64=Lists!$K$3,IF($L64&lt;1,((($T64*(1-$F64)+$S64*(1-$G64))/$L64)*((1+Inputs!$D$7)^CF$2)),((INT(CF$2/$L64)-INT((CF$2-1)/$L64))*($T64*(1-$F64)+$S64*(1-$G64))*((1+Inputs!$D$7)^CF$2))),((Inputs!$D$8^((1-_xlfn.WEIBULL.DIST(CF$2,$M64,$L64,FALSE))/_xlfn.WEIBULL.DIST(CF$2,$M64,$L64,FALSE))*($T64*(1-$F64)+$S64*(1-$G64))*((1+Inputs!$D$7)^CF$2))))))))</f>
        <v>7745.8653194456701</v>
      </c>
      <c r="CG64" s="88">
        <f>MAX(AQ64,($E64*IF(CG$2&gt;Inputs!$D$5,0,IF(CG$2&gt;VLOOKUP($H64,Lists!$P$3:$Q$7,2),IF($N64=Lists!$K$3,IF($L64&lt;1,(($U64/$L64)*((1+Inputs!$D$7)^CG$2)),((INT(CG$2/$L64)-INT((CG$2-1)/$L64))*$U64*((1+Inputs!$D$7)^CG$2))),(Inputs!$D$8^((1-_xlfn.WEIBULL.DIST(CG$2,$M64,$L64,FALSE))/_xlfn.WEIBULL.DIST(CG$2,$M64,$L64,FALSE))*$U64*((1+Inputs!$D$7)^CG$2))),IF($N64=Lists!$K$3,IF($L64&lt;1,((($T64*(1-$F64)+$S64*(1-$G64))/$L64)*((1+Inputs!$D$7)^CG$2)),((INT(CG$2/$L64)-INT((CG$2-1)/$L64))*($T64*(1-$F64)+$S64*(1-$G64))*((1+Inputs!$D$7)^CG$2))),((Inputs!$D$8^((1-_xlfn.WEIBULL.DIST(CG$2,$M64,$L64,FALSE))/_xlfn.WEIBULL.DIST(CG$2,$M64,$L64,FALSE))*($T64*(1-$F64)+$S64*(1-$G64))*((1+Inputs!$D$7)^CG$2))))))))</f>
        <v>8806.1068387989999</v>
      </c>
      <c r="CH64" s="88">
        <f>MAX(AR64,($E64*IF(CH$2&gt;Inputs!$D$5,0,IF(CH$2&gt;VLOOKUP($H64,Lists!$P$3:$Q$7,2),IF($N64=Lists!$K$3,IF($L64&lt;1,(($U64/$L64)*((1+Inputs!$D$7)^CH$2)),((INT(CH$2/$L64)-INT((CH$2-1)/$L64))*$U64*((1+Inputs!$D$7)^CH$2))),(Inputs!$D$8^((1-_xlfn.WEIBULL.DIST(CH$2,$M64,$L64,FALSE))/_xlfn.WEIBULL.DIST(CH$2,$M64,$L64,FALSE))*$U64*((1+Inputs!$D$7)^CH$2))),IF($N64=Lists!$K$3,IF($L64&lt;1,((($T64*(1-$F64)+$S64*(1-$G64))/$L64)*((1+Inputs!$D$7)^CH$2)),((INT(CH$2/$L64)-INT((CH$2-1)/$L64))*($T64*(1-$F64)+$S64*(1-$G64))*((1+Inputs!$D$7)^CH$2))),((Inputs!$D$8^((1-_xlfn.WEIBULL.DIST(CH$2,$M64,$L64,FALSE))/_xlfn.WEIBULL.DIST(CH$2,$M64,$L64,FALSE))*($T64*(1-$F64)+$S64*(1-$G64))*((1+Inputs!$D$7)^CH$2))))))))</f>
        <v>9926.4758893697708</v>
      </c>
      <c r="CI64" s="88">
        <f>MAX(AS64,($E64*IF(CI$2&gt;Inputs!$D$5,0,IF(CI$2&gt;VLOOKUP($H64,Lists!$P$3:$Q$7,2),IF($N64=Lists!$K$3,IF($L64&lt;1,(($U64/$L64)*((1+Inputs!$D$7)^CI$2)),((INT(CI$2/$L64)-INT((CI$2-1)/$L64))*$U64*((1+Inputs!$D$7)^CI$2))),(Inputs!$D$8^((1-_xlfn.WEIBULL.DIST(CI$2,$M64,$L64,FALSE))/_xlfn.WEIBULL.DIST(CI$2,$M64,$L64,FALSE))*$U64*((1+Inputs!$D$7)^CI$2))),IF($N64=Lists!$K$3,IF($L64&lt;1,((($T64*(1-$F64)+$S64*(1-$G64))/$L64)*((1+Inputs!$D$7)^CI$2)),((INT(CI$2/$L64)-INT((CI$2-1)/$L64))*($T64*(1-$F64)+$S64*(1-$G64))*((1+Inputs!$D$7)^CI$2))),((Inputs!$D$8^((1-_xlfn.WEIBULL.DIST(CI$2,$M64,$L64,FALSE))/_xlfn.WEIBULL.DIST(CI$2,$M64,$L64,FALSE))*($T64*(1-$F64)+$S64*(1-$G64))*((1+Inputs!$D$7)^CI$2))))))))</f>
        <v>11101.671855322575</v>
      </c>
      <c r="CJ64" s="88">
        <f>MAX(AT64,($E64*IF(CJ$2&gt;Inputs!$D$5,0,IF(CJ$2&gt;VLOOKUP($H64,Lists!$P$3:$Q$7,2),IF($N64=Lists!$K$3,IF($L64&lt;1,(($U64/$L64)*((1+Inputs!$D$7)^CJ$2)),((INT(CJ$2/$L64)-INT((CJ$2-1)/$L64))*$U64*((1+Inputs!$D$7)^CJ$2))),(Inputs!$D$8^((1-_xlfn.WEIBULL.DIST(CJ$2,$M64,$L64,FALSE))/_xlfn.WEIBULL.DIST(CJ$2,$M64,$L64,FALSE))*$U64*((1+Inputs!$D$7)^CJ$2))),IF($N64=Lists!$K$3,IF($L64&lt;1,((($T64*(1-$F64)+$S64*(1-$G64))/$L64)*((1+Inputs!$D$7)^CJ$2)),((INT(CJ$2/$L64)-INT((CJ$2-1)/$L64))*($T64*(1-$F64)+$S64*(1-$G64))*((1+Inputs!$D$7)^CJ$2))),((Inputs!$D$8^((1-_xlfn.WEIBULL.DIST(CJ$2,$M64,$L64,FALSE))/_xlfn.WEIBULL.DIST(CJ$2,$M64,$L64,FALSE))*($T64*(1-$F64)+$S64*(1-$G64))*((1+Inputs!$D$7)^CJ$2))))))))</f>
        <v>12325.333835967724</v>
      </c>
      <c r="CK64" s="88">
        <f>MAX(AU64,($E64*IF(CK$2&gt;Inputs!$D$5,0,IF(CK$2&gt;VLOOKUP($H64,Lists!$P$3:$Q$7,2),IF($N64=Lists!$K$3,IF($L64&lt;1,(($U64/$L64)*((1+Inputs!$D$7)^CK$2)),((INT(CK$2/$L64)-INT((CK$2-1)/$L64))*$U64*((1+Inputs!$D$7)^CK$2))),(Inputs!$D$8^((1-_xlfn.WEIBULL.DIST(CK$2,$M64,$L64,FALSE))/_xlfn.WEIBULL.DIST(CK$2,$M64,$L64,FALSE))*$U64*((1+Inputs!$D$7)^CK$2))),IF($N64=Lists!$K$3,IF($L64&lt;1,((($T64*(1-$F64)+$S64*(1-$G64))/$L64)*((1+Inputs!$D$7)^CK$2)),((INT(CK$2/$L64)-INT((CK$2-1)/$L64))*($T64*(1-$F64)+$S64*(1-$G64))*((1+Inputs!$D$7)^CK$2))),((Inputs!$D$8^((1-_xlfn.WEIBULL.DIST(CK$2,$M64,$L64,FALSE))/_xlfn.WEIBULL.DIST(CK$2,$M64,$L64,FALSE))*($T64*(1-$F64)+$S64*(1-$G64))*((1+Inputs!$D$7)^CK$2))))))))</f>
        <v>13590.032726342613</v>
      </c>
      <c r="CL64" s="88">
        <f>MAX(AV64,($E64*IF(CL$2&gt;Inputs!$D$5,0,IF(CL$2&gt;VLOOKUP($H64,Lists!$P$3:$Q$7,2),IF($N64=Lists!$K$3,IF($L64&lt;1,(($U64/$L64)*((1+Inputs!$D$7)^CL$2)),((INT(CL$2/$L64)-INT((CL$2-1)/$L64))*$U64*((1+Inputs!$D$7)^CL$2))),(Inputs!$D$8^((1-_xlfn.WEIBULL.DIST(CL$2,$M64,$L64,FALSE))/_xlfn.WEIBULL.DIST(CL$2,$M64,$L64,FALSE))*$U64*((1+Inputs!$D$7)^CL$2))),IF($N64=Lists!$K$3,IF($L64&lt;1,((($T64*(1-$F64)+$S64*(1-$G64))/$L64)*((1+Inputs!$D$7)^CL$2)),((INT(CL$2/$L64)-INT((CL$2-1)/$L64))*($T64*(1-$F64)+$S64*(1-$G64))*((1+Inputs!$D$7)^CL$2))),((Inputs!$D$8^((1-_xlfn.WEIBULL.DIST(CL$2,$M64,$L64,FALSE))/_xlfn.WEIBULL.DIST(CL$2,$M64,$L64,FALSE))*($T64*(1-$F64)+$S64*(1-$G64))*((1+Inputs!$D$7)^CL$2))))))))</f>
        <v>14887.283911948751</v>
      </c>
      <c r="CM64" s="88">
        <f>MAX(AW64,($E64*IF(CM$2&gt;Inputs!$D$5,0,IF(CM$2&gt;VLOOKUP($H64,Lists!$P$3:$Q$7,2),IF($N64=Lists!$K$3,IF($L64&lt;1,(($U64/$L64)*((1+Inputs!$D$7)^CM$2)),((INT(CM$2/$L64)-INT((CM$2-1)/$L64))*$U64*((1+Inputs!$D$7)^CM$2))),(Inputs!$D$8^((1-_xlfn.WEIBULL.DIST(CM$2,$M64,$L64,FALSE))/_xlfn.WEIBULL.DIST(CM$2,$M64,$L64,FALSE))*$U64*((1+Inputs!$D$7)^CM$2))),IF($N64=Lists!$K$3,IF($L64&lt;1,((($T64*(1-$F64)+$S64*(1-$G64))/$L64)*((1+Inputs!$D$7)^CM$2)),((INT(CM$2/$L64)-INT((CM$2-1)/$L64))*($T64*(1-$F64)+$S64*(1-$G64))*((1+Inputs!$D$7)^CM$2))),((Inputs!$D$8^((1-_xlfn.WEIBULL.DIST(CM$2,$M64,$L64,FALSE))/_xlfn.WEIBULL.DIST(CM$2,$M64,$L64,FALSE))*($T64*(1-$F64)+$S64*(1-$G64))*((1+Inputs!$D$7)^CM$2))))))))</f>
        <v>16207.5826457597</v>
      </c>
      <c r="CN64" s="88">
        <f>MAX(AX64,($E64*IF(CN$2&gt;Inputs!$D$5,0,IF(CN$2&gt;VLOOKUP($H64,Lists!$P$3:$Q$7,2),IF($N64=Lists!$K$3,IF($L64&lt;1,(($U64/$L64)*((1+Inputs!$D$7)^CN$2)),((INT(CN$2/$L64)-INT((CN$2-1)/$L64))*$U64*((1+Inputs!$D$7)^CN$2))),(Inputs!$D$8^((1-_xlfn.WEIBULL.DIST(CN$2,$M64,$L64,FALSE))/_xlfn.WEIBULL.DIST(CN$2,$M64,$L64,FALSE))*$U64*((1+Inputs!$D$7)^CN$2))),IF($N64=Lists!$K$3,IF($L64&lt;1,((($T64*(1-$F64)+$S64*(1-$G64))/$L64)*((1+Inputs!$D$7)^CN$2)),((INT(CN$2/$L64)-INT((CN$2-1)/$L64))*($T64*(1-$F64)+$S64*(1-$G64))*((1+Inputs!$D$7)^CN$2))),((Inputs!$D$8^((1-_xlfn.WEIBULL.DIST(CN$2,$M64,$L64,FALSE))/_xlfn.WEIBULL.DIST(CN$2,$M64,$L64,FALSE))*($T64*(1-$F64)+$S64*(1-$G64))*((1+Inputs!$D$7)^CN$2))))))))</f>
        <v>18973.219393125422</v>
      </c>
      <c r="CO64" s="88">
        <f>MAX(AY64,($E64*IF(CO$2&gt;Inputs!$D$5,0,IF(CO$2&gt;VLOOKUP($H64,Lists!$P$3:$Q$7,2),IF($N64=Lists!$K$3,IF($L64&lt;1,(($U64/$L64)*((1+Inputs!$D$7)^CO$2)),((INT(CO$2/$L64)-INT((CO$2-1)/$L64))*$U64*((1+Inputs!$D$7)^CO$2))),(Inputs!$D$8^((1-_xlfn.WEIBULL.DIST(CO$2,$M64,$L64,FALSE))/_xlfn.WEIBULL.DIST(CO$2,$M64,$L64,FALSE))*$U64*((1+Inputs!$D$7)^CO$2))),IF($N64=Lists!$K$3,IF($L64&lt;1,((($T64*(1-$F64)+$S64*(1-$G64))/$L64)*((1+Inputs!$D$7)^CO$2)),((INT(CO$2/$L64)-INT((CO$2-1)/$L64))*($T64*(1-$F64)+$S64*(1-$G64))*((1+Inputs!$D$7)^CO$2))),((Inputs!$D$8^((1-_xlfn.WEIBULL.DIST(CO$2,$M64,$L64,FALSE))/_xlfn.WEIBULL.DIST(CO$2,$M64,$L64,FALSE))*($T64*(1-$F64)+$S64*(1-$G64))*((1+Inputs!$D$7)^CO$2))))))))</f>
        <v>23629.796957826453</v>
      </c>
      <c r="CP64" s="88">
        <f>MAX(AZ64,($E64*IF(CP$2&gt;Inputs!$D$5,0,IF(CP$2&gt;VLOOKUP($H64,Lists!$P$3:$Q$7,2),IF($N64=Lists!$K$3,IF($L64&lt;1,(($U64/$L64)*((1+Inputs!$D$7)^CP$2)),((INT(CP$2/$L64)-INT((CP$2-1)/$L64))*$U64*((1+Inputs!$D$7)^CP$2))),(Inputs!$D$8^((1-_xlfn.WEIBULL.DIST(CP$2,$M64,$L64,FALSE))/_xlfn.WEIBULL.DIST(CP$2,$M64,$L64,FALSE))*$U64*((1+Inputs!$D$7)^CP$2))),IF($N64=Lists!$K$3,IF($L64&lt;1,((($T64*(1-$F64)+$S64*(1-$G64))/$L64)*((1+Inputs!$D$7)^CP$2)),((INT(CP$2/$L64)-INT((CP$2-1)/$L64))*($T64*(1-$F64)+$S64*(1-$G64))*((1+Inputs!$D$7)^CP$2))),((Inputs!$D$8^((1-_xlfn.WEIBULL.DIST(CP$2,$M64,$L64,FALSE))/_xlfn.WEIBULL.DIST(CP$2,$M64,$L64,FALSE))*($T64*(1-$F64)+$S64*(1-$G64))*((1+Inputs!$D$7)^CP$2))))))))</f>
        <v>0</v>
      </c>
      <c r="CQ64" s="88">
        <f>MAX(BA64,($E64*IF(CQ$2&gt;Inputs!$D$5,0,IF(CQ$2&gt;VLOOKUP($H64,Lists!$P$3:$Q$7,2),IF($N64=Lists!$K$3,IF($L64&lt;1,(($U64/$L64)*((1+Inputs!$D$7)^CQ$2)),((INT(CQ$2/$L64)-INT((CQ$2-1)/$L64))*$U64*((1+Inputs!$D$7)^CQ$2))),(Inputs!$D$8^((1-_xlfn.WEIBULL.DIST(CQ$2,$M64,$L64,FALSE))/_xlfn.WEIBULL.DIST(CQ$2,$M64,$L64,FALSE))*$U64*((1+Inputs!$D$7)^CQ$2))),IF($N64=Lists!$K$3,IF($L64&lt;1,((($T64*(1-$F64)+$S64*(1-$G64))/$L64)*((1+Inputs!$D$7)^CQ$2)),((INT(CQ$2/$L64)-INT((CQ$2-1)/$L64))*($T64*(1-$F64)+$S64*(1-$G64))*((1+Inputs!$D$7)^CQ$2))),((Inputs!$D$8^((1-_xlfn.WEIBULL.DIST(CQ$2,$M64,$L64,FALSE))/_xlfn.WEIBULL.DIST(CQ$2,$M64,$L64,FALSE))*($T64*(1-$F64)+$S64*(1-$G64))*((1+Inputs!$D$7)^CQ$2))))))))</f>
        <v>0</v>
      </c>
      <c r="CR64" s="88">
        <f>MAX(BB64,($E64*IF(CR$2&gt;Inputs!$D$5,0,IF(CR$2&gt;VLOOKUP($H64,Lists!$P$3:$Q$7,2),IF($N64=Lists!$K$3,IF($L64&lt;1,(($U64/$L64)*((1+Inputs!$D$7)^CR$2)),((INT(CR$2/$L64)-INT((CR$2-1)/$L64))*$U64*((1+Inputs!$D$7)^CR$2))),(Inputs!$D$8^((1-_xlfn.WEIBULL.DIST(CR$2,$M64,$L64,FALSE))/_xlfn.WEIBULL.DIST(CR$2,$M64,$L64,FALSE))*$U64*((1+Inputs!$D$7)^CR$2))),IF($N64=Lists!$K$3,IF($L64&lt;1,((($T64*(1-$F64)+$S64*(1-$G64))/$L64)*((1+Inputs!$D$7)^CR$2)),((INT(CR$2/$L64)-INT((CR$2-1)/$L64))*($T64*(1-$F64)+$S64*(1-$G64))*((1+Inputs!$D$7)^CR$2))),((Inputs!$D$8^((1-_xlfn.WEIBULL.DIST(CR$2,$M64,$L64,FALSE))/_xlfn.WEIBULL.DIST(CR$2,$M64,$L64,FALSE))*($T64*(1-$F64)+$S64*(1-$G64))*((1+Inputs!$D$7)^CR$2))))))))</f>
        <v>0</v>
      </c>
      <c r="CS64" s="88">
        <f>MAX(BC64,($E64*IF(CS$2&gt;Inputs!$D$5,0,IF(CS$2&gt;VLOOKUP($H64,Lists!$P$3:$Q$7,2),IF($N64=Lists!$K$3,IF($L64&lt;1,(($U64/$L64)*((1+Inputs!$D$7)^CS$2)),((INT(CS$2/$L64)-INT((CS$2-1)/$L64))*$U64*((1+Inputs!$D$7)^CS$2))),(Inputs!$D$8^((1-_xlfn.WEIBULL.DIST(CS$2,$M64,$L64,FALSE))/_xlfn.WEIBULL.DIST(CS$2,$M64,$L64,FALSE))*$U64*((1+Inputs!$D$7)^CS$2))),IF($N64=Lists!$K$3,IF($L64&lt;1,((($T64*(1-$F64)+$S64*(1-$G64))/$L64)*((1+Inputs!$D$7)^CS$2)),((INT(CS$2/$L64)-INT((CS$2-1)/$L64))*($T64*(1-$F64)+$S64*(1-$G64))*((1+Inputs!$D$7)^CS$2))),((Inputs!$D$8^((1-_xlfn.WEIBULL.DIST(CS$2,$M64,$L64,FALSE))/_xlfn.WEIBULL.DIST(CS$2,$M64,$L64,FALSE))*($T64*(1-$F64)+$S64*(1-$G64))*((1+Inputs!$D$7)^CS$2))))))))</f>
        <v>0</v>
      </c>
      <c r="CT64" s="88">
        <f>MAX(BD64,($E64*IF(CT$2&gt;Inputs!$D$5,0,IF(CT$2&gt;VLOOKUP($H64,Lists!$P$3:$Q$7,2),IF($N64=Lists!$K$3,IF($L64&lt;1,(($U64/$L64)*((1+Inputs!$D$7)^CT$2)),((INT(CT$2/$L64)-INT((CT$2-1)/$L64))*$U64*((1+Inputs!$D$7)^CT$2))),(Inputs!$D$8^((1-_xlfn.WEIBULL.DIST(CT$2,$M64,$L64,FALSE))/_xlfn.WEIBULL.DIST(CT$2,$M64,$L64,FALSE))*$U64*((1+Inputs!$D$7)^CT$2))),IF($N64=Lists!$K$3,IF($L64&lt;1,((($T64*(1-$F64)+$S64*(1-$G64))/$L64)*((1+Inputs!$D$7)^CT$2)),((INT(CT$2/$L64)-INT((CT$2-1)/$L64))*($T64*(1-$F64)+$S64*(1-$G64))*((1+Inputs!$D$7)^CT$2))),((Inputs!$D$8^((1-_xlfn.WEIBULL.DIST(CT$2,$M64,$L64,FALSE))/_xlfn.WEIBULL.DIST(CT$2,$M64,$L64,FALSE))*($T64*(1-$F64)+$S64*(1-$G64))*((1+Inputs!$D$7)^CT$2))))))))</f>
        <v>0</v>
      </c>
      <c r="CU64" s="88">
        <f>MAX(BE64,($E64*IF(CU$2&gt;Inputs!$D$5,0,IF(CU$2&gt;VLOOKUP($H64,Lists!$P$3:$Q$7,2),IF($N64=Lists!$K$3,IF($L64&lt;1,(($U64/$L64)*((1+Inputs!$D$7)^CU$2)),((INT(CU$2/$L64)-INT((CU$2-1)/$L64))*$U64*((1+Inputs!$D$7)^CU$2))),(Inputs!$D$8^((1-_xlfn.WEIBULL.DIST(CU$2,$M64,$L64,FALSE))/_xlfn.WEIBULL.DIST(CU$2,$M64,$L64,FALSE))*$U64*((1+Inputs!$D$7)^CU$2))),IF($N64=Lists!$K$3,IF($L64&lt;1,((($T64*(1-$F64)+$S64*(1-$G64))/$L64)*((1+Inputs!$D$7)^CU$2)),((INT(CU$2/$L64)-INT((CU$2-1)/$L64))*($T64*(1-$F64)+$S64*(1-$G64))*((1+Inputs!$D$7)^CU$2))),((Inputs!$D$8^((1-_xlfn.WEIBULL.DIST(CU$2,$M64,$L64,FALSE))/_xlfn.WEIBULL.DIST(CU$2,$M64,$L64,FALSE))*($T64*(1-$F64)+$S64*(1-$G64))*((1+Inputs!$D$7)^CU$2))))))))</f>
        <v>0</v>
      </c>
      <c r="CV64" s="88">
        <f>MAX(BF64,($E64*IF(CV$2&gt;Inputs!$D$5,0,IF(CV$2&gt;VLOOKUP($H64,Lists!$P$3:$Q$7,2),IF($N64=Lists!$K$3,IF($L64&lt;1,(($U64/$L64)*((1+Inputs!$D$7)^CV$2)),((INT(CV$2/$L64)-INT((CV$2-1)/$L64))*$U64*((1+Inputs!$D$7)^CV$2))),(Inputs!$D$8^((1-_xlfn.WEIBULL.DIST(CV$2,$M64,$L64,FALSE))/_xlfn.WEIBULL.DIST(CV$2,$M64,$L64,FALSE))*$U64*((1+Inputs!$D$7)^CV$2))),IF($N64=Lists!$K$3,IF($L64&lt;1,((($T64*(1-$F64)+$S64*(1-$G64))/$L64)*((1+Inputs!$D$7)^CV$2)),((INT(CV$2/$L64)-INT((CV$2-1)/$L64))*($T64*(1-$F64)+$S64*(1-$G64))*((1+Inputs!$D$7)^CV$2))),((Inputs!$D$8^((1-_xlfn.WEIBULL.DIST(CV$2,$M64,$L64,FALSE))/_xlfn.WEIBULL.DIST(CV$2,$M64,$L64,FALSE))*($T64*(1-$F64)+$S64*(1-$G64))*((1+Inputs!$D$7)^CV$2))))))))</f>
        <v>0</v>
      </c>
      <c r="CW64" s="88">
        <f>MAX(BG64,($E64*IF(CW$2&gt;Inputs!$D$5,0,IF(CW$2&gt;VLOOKUP($H64,Lists!$P$3:$Q$7,2),IF($N64=Lists!$K$3,IF($L64&lt;1,(($U64/$L64)*((1+Inputs!$D$7)^CW$2)),((INT(CW$2/$L64)-INT((CW$2-1)/$L64))*$U64*((1+Inputs!$D$7)^CW$2))),(Inputs!$D$8^((1-_xlfn.WEIBULL.DIST(CW$2,$M64,$L64,FALSE))/_xlfn.WEIBULL.DIST(CW$2,$M64,$L64,FALSE))*$U64*((1+Inputs!$D$7)^CW$2))),IF($N64=Lists!$K$3,IF($L64&lt;1,((($T64*(1-$F64)+$S64*(1-$G64))/$L64)*((1+Inputs!$D$7)^CW$2)),((INT(CW$2/$L64)-INT((CW$2-1)/$L64))*($T64*(1-$F64)+$S64*(1-$G64))*((1+Inputs!$D$7)^CW$2))),((Inputs!$D$8^((1-_xlfn.WEIBULL.DIST(CW$2,$M64,$L64,FALSE))/_xlfn.WEIBULL.DIST(CW$2,$M64,$L64,FALSE))*($T64*(1-$F64)+$S64*(1-$G64))*((1+Inputs!$D$7)^CW$2))))))))</f>
        <v>0</v>
      </c>
      <c r="CX64" s="88">
        <f>MAX(BH64,($E64*IF(CX$2&gt;Inputs!$D$5,0,IF(CX$2&gt;VLOOKUP($H64,Lists!$P$3:$Q$7,2),IF($N64=Lists!$K$3,IF($L64&lt;1,(($U64/$L64)*((1+Inputs!$D$7)^CX$2)),((INT(CX$2/$L64)-INT((CX$2-1)/$L64))*$U64*((1+Inputs!$D$7)^CX$2))),(Inputs!$D$8^((1-_xlfn.WEIBULL.DIST(CX$2,$M64,$L64,FALSE))/_xlfn.WEIBULL.DIST(CX$2,$M64,$L64,FALSE))*$U64*((1+Inputs!$D$7)^CX$2))),IF($N64=Lists!$K$3,IF($L64&lt;1,((($T64*(1-$F64)+$S64*(1-$G64))/$L64)*((1+Inputs!$D$7)^CX$2)),((INT(CX$2/$L64)-INT((CX$2-1)/$L64))*($T64*(1-$F64)+$S64*(1-$G64))*((1+Inputs!$D$7)^CX$2))),((Inputs!$D$8^((1-_xlfn.WEIBULL.DIST(CX$2,$M64,$L64,FALSE))/_xlfn.WEIBULL.DIST(CX$2,$M64,$L64,FALSE))*($T64*(1-$F64)+$S64*(1-$G64))*((1+Inputs!$D$7)^CX$2))))))))</f>
        <v>0</v>
      </c>
      <c r="CY64" s="88">
        <f>MAX(BI64,($E64*IF(CY$2&gt;Inputs!$D$5,0,IF(CY$2&gt;VLOOKUP($H64,Lists!$P$3:$Q$7,2),IF($N64=Lists!$K$3,IF($L64&lt;1,(($U64/$L64)*((1+Inputs!$D$7)^CY$2)),((INT(CY$2/$L64)-INT((CY$2-1)/$L64))*$U64*((1+Inputs!$D$7)^CY$2))),(Inputs!$D$8^((1-_xlfn.WEIBULL.DIST(CY$2,$M64,$L64,FALSE))/_xlfn.WEIBULL.DIST(CY$2,$M64,$L64,FALSE))*$U64*((1+Inputs!$D$7)^CY$2))),IF($N64=Lists!$K$3,IF($L64&lt;1,((($T64*(1-$F64)+$S64*(1-$G64))/$L64)*((1+Inputs!$D$7)^CY$2)),((INT(CY$2/$L64)-INT((CY$2-1)/$L64))*($T64*(1-$F64)+$S64*(1-$G64))*((1+Inputs!$D$7)^CY$2))),((Inputs!$D$8^((1-_xlfn.WEIBULL.DIST(CY$2,$M64,$L64,FALSE))/_xlfn.WEIBULL.DIST(CY$2,$M64,$L64,FALSE))*($T64*(1-$F64)+$S64*(1-$G64))*((1+Inputs!$D$7)^CY$2))))))))</f>
        <v>0</v>
      </c>
      <c r="CZ64" s="88">
        <f>MAX(BJ64,($E64*IF(CZ$2&gt;Inputs!$D$5,0,IF(CZ$2&gt;VLOOKUP($H64,Lists!$P$3:$Q$7,2),IF($N64=Lists!$K$3,IF($L64&lt;1,(($U64/$L64)*((1+Inputs!$D$7)^CZ$2)),((INT(CZ$2/$L64)-INT((CZ$2-1)/$L64))*$U64*((1+Inputs!$D$7)^CZ$2))),(Inputs!$D$8^((1-_xlfn.WEIBULL.DIST(CZ$2,$M64,$L64,FALSE))/_xlfn.WEIBULL.DIST(CZ$2,$M64,$L64,FALSE))*$U64*((1+Inputs!$D$7)^CZ$2))),IF($N64=Lists!$K$3,IF($L64&lt;1,((($T64*(1-$F64)+$S64*(1-$G64))/$L64)*((1+Inputs!$D$7)^CZ$2)),((INT(CZ$2/$L64)-INT((CZ$2-1)/$L64))*($T64*(1-$F64)+$S64*(1-$G64))*((1+Inputs!$D$7)^CZ$2))),((Inputs!$D$8^((1-_xlfn.WEIBULL.DIST(CZ$2,$M64,$L64,FALSE))/_xlfn.WEIBULL.DIST(CZ$2,$M64,$L64,FALSE))*($T64*(1-$F64)+$S64*(1-$G64))*((1+Inputs!$D$7)^CZ$2))))))))</f>
        <v>0</v>
      </c>
      <c r="DA64" s="88">
        <f>MAX(BK64,($E64*IF(DA$2&gt;Inputs!$D$5,0,IF(DA$2&gt;VLOOKUP($H64,Lists!$P$3:$Q$7,2),IF($N64=Lists!$K$3,IF($L64&lt;1,(($U64/$L64)*((1+Inputs!$D$7)^DA$2)),((INT(DA$2/$L64)-INT((DA$2-1)/$L64))*$U64*((1+Inputs!$D$7)^DA$2))),(Inputs!$D$8^((1-_xlfn.WEIBULL.DIST(DA$2,$M64,$L64,FALSE))/_xlfn.WEIBULL.DIST(DA$2,$M64,$L64,FALSE))*$U64*((1+Inputs!$D$7)^DA$2))),IF($N64=Lists!$K$3,IF($L64&lt;1,((($T64*(1-$F64)+$S64*(1-$G64))/$L64)*((1+Inputs!$D$7)^DA$2)),((INT(DA$2/$L64)-INT((DA$2-1)/$L64))*($T64*(1-$F64)+$S64*(1-$G64))*((1+Inputs!$D$7)^DA$2))),((Inputs!$D$8^((1-_xlfn.WEIBULL.DIST(DA$2,$M64,$L64,FALSE))/_xlfn.WEIBULL.DIST(DA$2,$M64,$L64,FALSE))*($T64*(1-$F64)+$S64*(1-$G64))*((1+Inputs!$D$7)^DA$2))))))))</f>
        <v>0</v>
      </c>
      <c r="DB64" s="88">
        <f>MAX(BL64,($E64*IF(DB$2&gt;Inputs!$D$5,0,IF(DB$2&gt;VLOOKUP($H64,Lists!$P$3:$Q$7,2),IF($N64=Lists!$K$3,IF($L64&lt;1,(($U64/$L64)*((1+Inputs!$D$7)^DB$2)),((INT(DB$2/$L64)-INT((DB$2-1)/$L64))*$U64*((1+Inputs!$D$7)^DB$2))),(Inputs!$D$8^((1-_xlfn.WEIBULL.DIST(DB$2,$M64,$L64,FALSE))/_xlfn.WEIBULL.DIST(DB$2,$M64,$L64,FALSE))*$U64*((1+Inputs!$D$7)^DB$2))),IF($N64=Lists!$K$3,IF($L64&lt;1,((($T64*(1-$F64)+$S64*(1-$G64))/$L64)*((1+Inputs!$D$7)^DB$2)),((INT(DB$2/$L64)-INT((DB$2-1)/$L64))*($T64*(1-$F64)+$S64*(1-$G64))*((1+Inputs!$D$7)^DB$2))),((Inputs!$D$8^((1-_xlfn.WEIBULL.DIST(DB$2,$M64,$L64,FALSE))/_xlfn.WEIBULL.DIST(DB$2,$M64,$L64,FALSE))*($T64*(1-$F64)+$S64*(1-$G64))*((1+Inputs!$D$7)^DB$2))))))))</f>
        <v>0</v>
      </c>
      <c r="DC64" s="88">
        <f>MAX(BM64,($E64*IF(DC$2&gt;Inputs!$D$5,0,IF(DC$2&gt;VLOOKUP($H64,Lists!$P$3:$Q$7,2),IF($N64=Lists!$K$3,IF($L64&lt;1,(($U64/$L64)*((1+Inputs!$D$7)^DC$2)),((INT(DC$2/$L64)-INT((DC$2-1)/$L64))*$U64*((1+Inputs!$D$7)^DC$2))),(Inputs!$D$8^((1-_xlfn.WEIBULL.DIST(DC$2,$M64,$L64,FALSE))/_xlfn.WEIBULL.DIST(DC$2,$M64,$L64,FALSE))*$U64*((1+Inputs!$D$7)^DC$2))),IF($N64=Lists!$K$3,IF($L64&lt;1,((($T64*(1-$F64)+$S64*(1-$G64))/$L64)*((1+Inputs!$D$7)^DC$2)),((INT(DC$2/$L64)-INT((DC$2-1)/$L64))*($T64*(1-$F64)+$S64*(1-$G64))*((1+Inputs!$D$7)^DC$2))),((Inputs!$D$8^((1-_xlfn.WEIBULL.DIST(DC$2,$M64,$L64,FALSE))/_xlfn.WEIBULL.DIST(DC$2,$M64,$L64,FALSE))*($T64*(1-$F64)+$S64*(1-$G64))*((1+Inputs!$D$7)^DC$2))))))))</f>
        <v>0</v>
      </c>
      <c r="DD64" s="88">
        <f>MAX(BN64,($E64*IF(DD$2&gt;Inputs!$D$5,0,IF(DD$2&gt;VLOOKUP($H64,Lists!$P$3:$Q$7,2),IF($N64=Lists!$K$3,IF($L64&lt;1,(($U64/$L64)*((1+Inputs!$D$7)^DD$2)),((INT(DD$2/$L64)-INT((DD$2-1)/$L64))*$U64*((1+Inputs!$D$7)^DD$2))),(Inputs!$D$8^((1-_xlfn.WEIBULL.DIST(DD$2,$M64,$L64,FALSE))/_xlfn.WEIBULL.DIST(DD$2,$M64,$L64,FALSE))*$U64*((1+Inputs!$D$7)^DD$2))),IF($N64=Lists!$K$3,IF($L64&lt;1,((($T64*(1-$F64)+$S64*(1-$G64))/$L64)*((1+Inputs!$D$7)^DD$2)),((INT(DD$2/$L64)-INT((DD$2-1)/$L64))*($T64*(1-$F64)+$S64*(1-$G64))*((1+Inputs!$D$7)^DD$2))),((Inputs!$D$8^((1-_xlfn.WEIBULL.DIST(DD$2,$M64,$L64,FALSE))/_xlfn.WEIBULL.DIST(DD$2,$M64,$L64,FALSE))*($T64*(1-$F64)+$S64*(1-$G64))*((1+Inputs!$D$7)^DD$2))))))))</f>
        <v>0</v>
      </c>
    </row>
    <row r="65" spans="1:108" s="1" customFormat="1" ht="16">
      <c r="A65" s="57" t="s">
        <v>169</v>
      </c>
      <c r="B65" s="13" t="s">
        <v>130</v>
      </c>
      <c r="C65" s="13" t="s">
        <v>474</v>
      </c>
      <c r="D65" s="13" t="s">
        <v>17</v>
      </c>
      <c r="E65" s="48">
        <f>IF(Inputs!$D$30=Lists!$M$4,1,0)</f>
        <v>1</v>
      </c>
      <c r="F65" s="48">
        <v>0</v>
      </c>
      <c r="G65" s="48">
        <v>0</v>
      </c>
      <c r="H65" s="105" t="s">
        <v>350</v>
      </c>
      <c r="I65" s="14" t="s">
        <v>17</v>
      </c>
      <c r="J65" s="14" t="s">
        <v>87</v>
      </c>
      <c r="K65" s="13">
        <f>VLOOKUP(J65,'Labor Rates'!$A$1:$F$16,2)</f>
        <v>32.012019230769226</v>
      </c>
      <c r="L65" s="15">
        <v>25</v>
      </c>
      <c r="M65" s="15">
        <v>3</v>
      </c>
      <c r="N65" s="16" t="s">
        <v>226</v>
      </c>
      <c r="O65" s="61">
        <f>Inputs!$D$34</f>
        <v>10</v>
      </c>
      <c r="P65" s="15">
        <v>2</v>
      </c>
      <c r="Q65" s="15">
        <f t="shared" si="7"/>
        <v>0.8</v>
      </c>
      <c r="R65" s="4">
        <v>0</v>
      </c>
      <c r="S65" s="53">
        <f t="shared" si="8"/>
        <v>640.24038461538453</v>
      </c>
      <c r="T65" s="53">
        <f t="shared" si="9"/>
        <v>0</v>
      </c>
      <c r="U65" s="54">
        <f t="shared" si="10"/>
        <v>640.24038461538453</v>
      </c>
      <c r="V65" s="65"/>
      <c r="W65" s="58"/>
      <c r="X65" s="64">
        <f t="shared" si="11"/>
        <v>18.230015113877553</v>
      </c>
      <c r="Y65" s="64">
        <f>NPV(Inputs!$D$6,AA65:BN65)</f>
        <v>185.83871677792845</v>
      </c>
      <c r="Z65" s="67">
        <f t="shared" si="12"/>
        <v>8.7650611610183739E-5</v>
      </c>
      <c r="AA65" s="88">
        <f>$E65*IF(AA$2&gt;Inputs!$D$5,0,IF(AA$2&gt;VLOOKUP($H65,Lists!$P$3:$Q$7,2),IF($N65=Lists!$K$3,IF($L65&lt;1,(($U65/$L65)*((1+Inputs!$D$7)^AA$2)),((INT(AA$2/$L65)-INT((AA$2-1)/$L65))*$U65*((1+Inputs!$D$7)^AA$2))),(_xlfn.WEIBULL.DIST(AA$2,$M65,$L65,FALSE)*$U65*((1+Inputs!$D$7)^AA$2))),IF($N65=Lists!$K$3,IF($L65&lt;1,((($T65*(1-$F65)+$S65*(1-$G65))/$L65)*((1+Inputs!$D$7)^AA$2)),((INT(AA$2/$L65)-INT((AA$2-1)/$L65))*($T65*(1-$F65)+$S65*(1-$G65))*((1+Inputs!$D$7)^AA$2))),((_xlfn.WEIBULL.DIST(AA$2,$M65,$L65,FALSE)*($T65*(1-$F65)+$S65*(1-$G65))*((1+Inputs!$D$7)^AA$2))))))</f>
        <v>0.12537665256053632</v>
      </c>
      <c r="AB65" s="88">
        <f>$E65*IF(AB$2&gt;Inputs!$D$5,0,IF(AB$2&gt;VLOOKUP($H65,Lists!$P$3:$Q$7,2),IF($N65=Lists!$K$3,IF($L65&lt;1,(($U65/$L65)*((1+Inputs!$D$7)^AB$2)),((INT(AB$2/$L65)-INT((AB$2-1)/$L65))*$U65*((1+Inputs!$D$7)^AB$2))),(_xlfn.WEIBULL.DIST(AB$2,$M65,$L65,FALSE)*$U65*((1+Inputs!$D$7)^AB$2))),IF($N65=Lists!$K$3,IF($L65&lt;1,((($T65*(1-$F65)+$S65*(1-$G65))/$L65)*((1+Inputs!$D$7)^AB$2)),((INT(AB$2/$L65)-INT((AB$2-1)/$L65))*($T65*(1-$F65)+$S65*(1-$G65))*((1+Inputs!$D$7)^AB$2))),((_xlfn.WEIBULL.DIST(AB$2,$M65,$L65,FALSE)*($T65*(1-$F65)+$S65*(1-$G65))*((1+Inputs!$D$7)^AB$2))))))</f>
        <v>0.511307625312442</v>
      </c>
      <c r="AC65" s="88">
        <f>$E65*IF(AC$2&gt;Inputs!$D$5,0,IF(AC$2&gt;VLOOKUP($H65,Lists!$P$3:$Q$7,2),IF($N65=Lists!$K$3,IF($L65&lt;1,(($U65/$L65)*((1+Inputs!$D$7)^AC$2)),((INT(AC$2/$L65)-INT((AC$2-1)/$L65))*$U65*((1+Inputs!$D$7)^AC$2))),(_xlfn.WEIBULL.DIST(AC$2,$M65,$L65,FALSE)*$U65*((1+Inputs!$D$7)^AC$2))),IF($N65=Lists!$K$3,IF($L65&lt;1,((($T65*(1-$F65)+$S65*(1-$G65))/$L65)*((1+Inputs!$D$7)^AC$2)),((INT(AC$2/$L65)-INT((AC$2-1)/$L65))*($T65*(1-$F65)+$S65*(1-$G65))*((1+Inputs!$D$7)^AC$2))),((_xlfn.WEIBULL.DIST(AC$2,$M65,$L65,FALSE)*($T65*(1-$F65)+$S65*(1-$G65))*((1+Inputs!$D$7)^AC$2))))))</f>
        <v>1.1720249508895775</v>
      </c>
      <c r="AD65" s="88">
        <f>$E65*IF(AD$2&gt;Inputs!$D$5,0,IF(AD$2&gt;VLOOKUP($H65,Lists!$P$3:$Q$7,2),IF($N65=Lists!$K$3,IF($L65&lt;1,(($U65/$L65)*((1+Inputs!$D$7)^AD$2)),((INT(AD$2/$L65)-INT((AD$2-1)/$L65))*$U65*((1+Inputs!$D$7)^AD$2))),(_xlfn.WEIBULL.DIST(AD$2,$M65,$L65,FALSE)*$U65*((1+Inputs!$D$7)^AD$2))),IF($N65=Lists!$K$3,IF($L65&lt;1,((($T65*(1-$F65)+$S65*(1-$G65))/$L65)*((1+Inputs!$D$7)^AD$2)),((INT(AD$2/$L65)-INT((AD$2-1)/$L65))*($T65*(1-$F65)+$S65*(1-$G65))*((1+Inputs!$D$7)^AD$2))),((_xlfn.WEIBULL.DIST(AD$2,$M65,$L65,FALSE)*($T65*(1-$F65)+$S65*(1-$G65))*((1+Inputs!$D$7)^AD$2))))))</f>
        <v>2.120245221011094</v>
      </c>
      <c r="AE65" s="88">
        <f>$E65*IF(AE$2&gt;Inputs!$D$5,0,IF(AE$2&gt;VLOOKUP($H65,Lists!$P$3:$Q$7,2),IF($N65=Lists!$K$3,IF($L65&lt;1,(($U65/$L65)*((1+Inputs!$D$7)^AE$2)),((INT(AE$2/$L65)-INT((AE$2-1)/$L65))*$U65*((1+Inputs!$D$7)^AE$2))),(_xlfn.WEIBULL.DIST(AE$2,$M65,$L65,FALSE)*$U65*((1+Inputs!$D$7)^AE$2))),IF($N65=Lists!$K$3,IF($L65&lt;1,((($T65*(1-$F65)+$S65*(1-$G65))/$L65)*((1+Inputs!$D$7)^AE$2)),((INT(AE$2/$L65)-INT((AE$2-1)/$L65))*($T65*(1-$F65)+$S65*(1-$G65))*((1+Inputs!$D$7)^AE$2))),((_xlfn.WEIBULL.DIST(AE$2,$M65,$L65,FALSE)*($T65*(1-$F65)+$S65*(1-$G65))*((1+Inputs!$D$7)^AE$2))))))</f>
        <v>3.36597437285078</v>
      </c>
      <c r="AF65" s="88">
        <f>$E65*IF(AF$2&gt;Inputs!$D$5,0,IF(AF$2&gt;VLOOKUP($H65,Lists!$P$3:$Q$7,2),IF($N65=Lists!$K$3,IF($L65&lt;1,(($U65/$L65)*((1+Inputs!$D$7)^AF$2)),((INT(AF$2/$L65)-INT((AF$2-1)/$L65))*$U65*((1+Inputs!$D$7)^AF$2))),(_xlfn.WEIBULL.DIST(AF$2,$M65,$L65,FALSE)*$U65*((1+Inputs!$D$7)^AF$2))),IF($N65=Lists!$K$3,IF($L65&lt;1,((($T65*(1-$F65)+$S65*(1-$G65))/$L65)*((1+Inputs!$D$7)^AF$2)),((INT(AF$2/$L65)-INT((AF$2-1)/$L65))*($T65*(1-$F65)+$S65*(1-$G65))*((1+Inputs!$D$7)^AF$2))),((_xlfn.WEIBULL.DIST(AF$2,$M65,$L65,FALSE)*($T65*(1-$F65)+$S65*(1-$G65))*((1+Inputs!$D$7)^AF$2))))))</f>
        <v>4.9152333180930414</v>
      </c>
      <c r="AG65" s="88">
        <f>$E65*IF(AG$2&gt;Inputs!$D$5,0,IF(AG$2&gt;VLOOKUP($H65,Lists!$P$3:$Q$7,2),IF($N65=Lists!$K$3,IF($L65&lt;1,(($U65/$L65)*((1+Inputs!$D$7)^AG$2)),((INT(AG$2/$L65)-INT((AG$2-1)/$L65))*$U65*((1+Inputs!$D$7)^AG$2))),(_xlfn.WEIBULL.DIST(AG$2,$M65,$L65,FALSE)*$U65*((1+Inputs!$D$7)^AG$2))),IF($N65=Lists!$K$3,IF($L65&lt;1,((($T65*(1-$F65)+$S65*(1-$G65))/$L65)*((1+Inputs!$D$7)^AG$2)),((INT(AG$2/$L65)-INT((AG$2-1)/$L65))*($T65*(1-$F65)+$S65*(1-$G65))*((1+Inputs!$D$7)^AG$2))),((_xlfn.WEIBULL.DIST(AG$2,$M65,$L65,FALSE)*($T65*(1-$F65)+$S65*(1-$G65))*((1+Inputs!$D$7)^AG$2))))))</f>
        <v>6.7687417304546438</v>
      </c>
      <c r="AH65" s="88">
        <f>$E65*IF(AH$2&gt;Inputs!$D$5,0,IF(AH$2&gt;VLOOKUP($H65,Lists!$P$3:$Q$7,2),IF($N65=Lists!$K$3,IF($L65&lt;1,(($U65/$L65)*((1+Inputs!$D$7)^AH$2)),((INT(AH$2/$L65)-INT((AH$2-1)/$L65))*$U65*((1+Inputs!$D$7)^AH$2))),(_xlfn.WEIBULL.DIST(AH$2,$M65,$L65,FALSE)*$U65*((1+Inputs!$D$7)^AH$2))),IF($N65=Lists!$K$3,IF($L65&lt;1,((($T65*(1-$F65)+$S65*(1-$G65))/$L65)*((1+Inputs!$D$7)^AH$2)),((INT(AH$2/$L65)-INT((AH$2-1)/$L65))*($T65*(1-$F65)+$S65*(1-$G65))*((1+Inputs!$D$7)^AH$2))),((_xlfn.WEIBULL.DIST(AH$2,$M65,$L65,FALSE)*($T65*(1-$F65)+$S65*(1-$G65))*((1+Inputs!$D$7)^AH$2))))))</f>
        <v>8.9206126109160948</v>
      </c>
      <c r="AI65" s="88">
        <f>$E65*IF(AI$2&gt;Inputs!$D$5,0,IF(AI$2&gt;VLOOKUP($H65,Lists!$P$3:$Q$7,2),IF($N65=Lists!$K$3,IF($L65&lt;1,(($U65/$L65)*((1+Inputs!$D$7)^AI$2)),((INT(AI$2/$L65)-INT((AI$2-1)/$L65))*$U65*((1+Inputs!$D$7)^AI$2))),(_xlfn.WEIBULL.DIST(AI$2,$M65,$L65,FALSE)*$U65*((1+Inputs!$D$7)^AI$2))),IF($N65=Lists!$K$3,IF($L65&lt;1,((($T65*(1-$F65)+$S65*(1-$G65))/$L65)*((1+Inputs!$D$7)^AI$2)),((INT(AI$2/$L65)-INT((AI$2-1)/$L65))*($T65*(1-$F65)+$S65*(1-$G65))*((1+Inputs!$D$7)^AI$2))),((_xlfn.WEIBULL.DIST(AI$2,$M65,$L65,FALSE)*($T65*(1-$F65)+$S65*(1-$G65))*((1+Inputs!$D$7)^AI$2))))))</f>
        <v>11.357125237588159</v>
      </c>
      <c r="AJ65" s="88">
        <f>$E65*IF(AJ$2&gt;Inputs!$D$5,0,IF(AJ$2&gt;VLOOKUP($H65,Lists!$P$3:$Q$7,2),IF($N65=Lists!$K$3,IF($L65&lt;1,(($U65/$L65)*((1+Inputs!$D$7)^AJ$2)),((INT(AJ$2/$L65)-INT((AJ$2-1)/$L65))*$U65*((1+Inputs!$D$7)^AJ$2))),(_xlfn.WEIBULL.DIST(AJ$2,$M65,$L65,FALSE)*$U65*((1+Inputs!$D$7)^AJ$2))),IF($N65=Lists!$K$3,IF($L65&lt;1,((($T65*(1-$F65)+$S65*(1-$G65))/$L65)*((1+Inputs!$D$7)^AJ$2)),((INT(AJ$2/$L65)-INT((AJ$2-1)/$L65))*($T65*(1-$F65)+$S65*(1-$G65))*((1+Inputs!$D$7)^AJ$2))),((_xlfn.WEIBULL.DIST(AJ$2,$M65,$L65,FALSE)*($T65*(1-$F65)+$S65*(1-$G65))*((1+Inputs!$D$7)^AJ$2))))))</f>
        <v>14.055657444322588</v>
      </c>
      <c r="AK65" s="88">
        <f>$E65*IF(AK$2&gt;Inputs!$D$5,0,IF(AK$2&gt;VLOOKUP($H65,Lists!$P$3:$Q$7,2),IF($N65=Lists!$K$3,IF($L65&lt;1,(($U65/$L65)*((1+Inputs!$D$7)^AK$2)),((INT(AK$2/$L65)-INT((AK$2-1)/$L65))*$U65*((1+Inputs!$D$7)^AK$2))),(_xlfn.WEIBULL.DIST(AK$2,$M65,$L65,FALSE)*$U65*((1+Inputs!$D$7)^AK$2))),IF($N65=Lists!$K$3,IF($L65&lt;1,((($T65*(1-$F65)+$S65*(1-$G65))/$L65)*((1+Inputs!$D$7)^AK$2)),((INT(AK$2/$L65)-INT((AK$2-1)/$L65))*($T65*(1-$F65)+$S65*(1-$G65))*((1+Inputs!$D$7)^AK$2))),((_xlfn.WEIBULL.DIST(AK$2,$M65,$L65,FALSE)*($T65*(1-$F65)+$S65*(1-$G65))*((1+Inputs!$D$7)^AK$2))))))</f>
        <v>16.983868243940517</v>
      </c>
      <c r="AL65" s="88">
        <f>$E65*IF(AL$2&gt;Inputs!$D$5,0,IF(AL$2&gt;VLOOKUP($H65,Lists!$P$3:$Q$7,2),IF($N65=Lists!$K$3,IF($L65&lt;1,(($U65/$L65)*((1+Inputs!$D$7)^AL$2)),((INT(AL$2/$L65)-INT((AL$2-1)/$L65))*$U65*((1+Inputs!$D$7)^AL$2))),(_xlfn.WEIBULL.DIST(AL$2,$M65,$L65,FALSE)*$U65*((1+Inputs!$D$7)^AL$2))),IF($N65=Lists!$K$3,IF($L65&lt;1,((($T65*(1-$F65)+$S65*(1-$G65))/$L65)*((1+Inputs!$D$7)^AL$2)),((INT(AL$2/$L65)-INT((AL$2-1)/$L65))*($T65*(1-$F65)+$S65*(1-$G65))*((1+Inputs!$D$7)^AL$2))),((_xlfn.WEIBULL.DIST(AL$2,$M65,$L65,FALSE)*($T65*(1-$F65)+$S65*(1-$G65))*((1+Inputs!$D$7)^AL$2))))))</f>
        <v>20.099226826633465</v>
      </c>
      <c r="AM65" s="88">
        <f>$E65*IF(AM$2&gt;Inputs!$D$5,0,IF(AM$2&gt;VLOOKUP($H65,Lists!$P$3:$Q$7,2),IF($N65=Lists!$K$3,IF($L65&lt;1,(($U65/$L65)*((1+Inputs!$D$7)^AM$2)),((INT(AM$2/$L65)-INT((AM$2-1)/$L65))*$U65*((1+Inputs!$D$7)^AM$2))),(_xlfn.WEIBULL.DIST(AM$2,$M65,$L65,FALSE)*$U65*((1+Inputs!$D$7)^AM$2))),IF($N65=Lists!$K$3,IF($L65&lt;1,((($T65*(1-$F65)+$S65*(1-$G65))/$L65)*((1+Inputs!$D$7)^AM$2)),((INT(AM$2/$L65)-INT((AM$2-1)/$L65))*($T65*(1-$F65)+$S65*(1-$G65))*((1+Inputs!$D$7)^AM$2))),((_xlfn.WEIBULL.DIST(AM$2,$M65,$L65,FALSE)*($T65*(1-$F65)+$S65*(1-$G65))*((1+Inputs!$D$7)^AM$2))))))</f>
        <v>23.348982114356001</v>
      </c>
      <c r="AN65" s="88">
        <f>$E65*IF(AN$2&gt;Inputs!$D$5,0,IF(AN$2&gt;VLOOKUP($H65,Lists!$P$3:$Q$7,2),IF($N65=Lists!$K$3,IF($L65&lt;1,(($U65/$L65)*((1+Inputs!$D$7)^AN$2)),((INT(AN$2/$L65)-INT((AN$2-1)/$L65))*$U65*((1+Inputs!$D$7)^AN$2))),(_xlfn.WEIBULL.DIST(AN$2,$M65,$L65,FALSE)*$U65*((1+Inputs!$D$7)^AN$2))),IF($N65=Lists!$K$3,IF($L65&lt;1,((($T65*(1-$F65)+$S65*(1-$G65))/$L65)*((1+Inputs!$D$7)^AN$2)),((INT(AN$2/$L65)-INT((AN$2-1)/$L65))*($T65*(1-$F65)+$S65*(1-$G65))*((1+Inputs!$D$7)^AN$2))),((_xlfn.WEIBULL.DIST(AN$2,$M65,$L65,FALSE)*($T65*(1-$F65)+$S65*(1-$G65))*((1+Inputs!$D$7)^AN$2))))))</f>
        <v>26.670656731272214</v>
      </c>
      <c r="AO65" s="88">
        <f>$E65*IF(AO$2&gt;Inputs!$D$5,0,IF(AO$2&gt;VLOOKUP($H65,Lists!$P$3:$Q$7,2),IF($N65=Lists!$K$3,IF($L65&lt;1,(($U65/$L65)*((1+Inputs!$D$7)^AO$2)),((INT(AO$2/$L65)-INT((AO$2-1)/$L65))*$U65*((1+Inputs!$D$7)^AO$2))),(_xlfn.WEIBULL.DIST(AO$2,$M65,$L65,FALSE)*$U65*((1+Inputs!$D$7)^AO$2))),IF($N65=Lists!$K$3,IF($L65&lt;1,((($T65*(1-$F65)+$S65*(1-$G65))/$L65)*((1+Inputs!$D$7)^AO$2)),((INT(AO$2/$L65)-INT((AO$2-1)/$L65))*($T65*(1-$F65)+$S65*(1-$G65))*((1+Inputs!$D$7)^AO$2))),((_xlfn.WEIBULL.DIST(AO$2,$M65,$L65,FALSE)*($T65*(1-$F65)+$S65*(1-$G65))*((1+Inputs!$D$7)^AO$2))))))</f>
        <v>29.993129312192895</v>
      </c>
      <c r="AP65" s="88">
        <f>$E65*IF(AP$2&gt;Inputs!$D$5,0,IF(AP$2&gt;VLOOKUP($H65,Lists!$P$3:$Q$7,2),IF($N65=Lists!$K$3,IF($L65&lt;1,(($U65/$L65)*((1+Inputs!$D$7)^AP$2)),((INT(AP$2/$L65)-INT((AP$2-1)/$L65))*$U65*((1+Inputs!$D$7)^AP$2))),(_xlfn.WEIBULL.DIST(AP$2,$M65,$L65,FALSE)*$U65*((1+Inputs!$D$7)^AP$2))),IF($N65=Lists!$K$3,IF($L65&lt;1,((($T65*(1-$F65)+$S65*(1-$G65))/$L65)*((1+Inputs!$D$7)^AP$2)),((INT(AP$2/$L65)-INT((AP$2-1)/$L65))*($T65*(1-$F65)+$S65*(1-$G65))*((1+Inputs!$D$7)^AP$2))),((_xlfn.WEIBULL.DIST(AP$2,$M65,$L65,FALSE)*($T65*(1-$F65)+$S65*(1-$G65))*((1+Inputs!$D$7)^AP$2))))))</f>
        <v>33.238339108153333</v>
      </c>
      <c r="AQ65" s="88">
        <f>$E65*IF(AQ$2&gt;Inputs!$D$5,0,IF(AQ$2&gt;VLOOKUP($H65,Lists!$P$3:$Q$7,2),IF($N65=Lists!$K$3,IF($L65&lt;1,(($U65/$L65)*((1+Inputs!$D$7)^AQ$2)),((INT(AQ$2/$L65)-INT((AQ$2-1)/$L65))*$U65*((1+Inputs!$D$7)^AQ$2))),(_xlfn.WEIBULL.DIST(AQ$2,$M65,$L65,FALSE)*$U65*((1+Inputs!$D$7)^AQ$2))),IF($N65=Lists!$K$3,IF($L65&lt;1,((($T65*(1-$F65)+$S65*(1-$G65))/$L65)*((1+Inputs!$D$7)^AQ$2)),((INT(AQ$2/$L65)-INT((AQ$2-1)/$L65))*($T65*(1-$F65)+$S65*(1-$G65))*((1+Inputs!$D$7)^AQ$2))),((_xlfn.WEIBULL.DIST(AQ$2,$M65,$L65,FALSE)*($T65*(1-$F65)+$S65*(1-$G65))*((1+Inputs!$D$7)^AQ$2))))))</f>
        <v>36.323607455129164</v>
      </c>
      <c r="AR65" s="88">
        <f>$E65*IF(AR$2&gt;Inputs!$D$5,0,IF(AR$2&gt;VLOOKUP($H65,Lists!$P$3:$Q$7,2),IF($N65=Lists!$K$3,IF($L65&lt;1,(($U65/$L65)*((1+Inputs!$D$7)^AR$2)),((INT(AR$2/$L65)-INT((AR$2-1)/$L65))*$U65*((1+Inputs!$D$7)^AR$2))),(_xlfn.WEIBULL.DIST(AR$2,$M65,$L65,FALSE)*$U65*((1+Inputs!$D$7)^AR$2))),IF($N65=Lists!$K$3,IF($L65&lt;1,((($T65*(1-$F65)+$S65*(1-$G65))/$L65)*((1+Inputs!$D$7)^AR$2)),((INT(AR$2/$L65)-INT((AR$2-1)/$L65))*($T65*(1-$F65)+$S65*(1-$G65))*((1+Inputs!$D$7)^AR$2))),((_xlfn.WEIBULL.DIST(AR$2,$M65,$L65,FALSE)*($T65*(1-$F65)+$S65*(1-$G65))*((1+Inputs!$D$7)^AR$2))))))</f>
        <v>39.164523645375738</v>
      </c>
      <c r="AS65" s="88">
        <f>$E65*IF(AS$2&gt;Inputs!$D$5,0,IF(AS$2&gt;VLOOKUP($H65,Lists!$P$3:$Q$7,2),IF($N65=Lists!$K$3,IF($L65&lt;1,(($U65/$L65)*((1+Inputs!$D$7)^AS$2)),((INT(AS$2/$L65)-INT((AS$2-1)/$L65))*$U65*((1+Inputs!$D$7)^AS$2))),(_xlfn.WEIBULL.DIST(AS$2,$M65,$L65,FALSE)*$U65*((1+Inputs!$D$7)^AS$2))),IF($N65=Lists!$K$3,IF($L65&lt;1,((($T65*(1-$F65)+$S65*(1-$G65))/$L65)*((1+Inputs!$D$7)^AS$2)),((INT(AS$2/$L65)-INT((AS$2-1)/$L65))*($T65*(1-$F65)+$S65*(1-$G65))*((1+Inputs!$D$7)^AS$2))),((_xlfn.WEIBULL.DIST(AS$2,$M65,$L65,FALSE)*($T65*(1-$F65)+$S65*(1-$G65))*((1+Inputs!$D$7)^AS$2))))))</f>
        <v>41.678291170601085</v>
      </c>
      <c r="AT65" s="88">
        <f>$E65*IF(AT$2&gt;Inputs!$D$5,0,IF(AT$2&gt;VLOOKUP($H65,Lists!$P$3:$Q$7,2),IF($N65=Lists!$K$3,IF($L65&lt;1,(($U65/$L65)*((1+Inputs!$D$7)^AT$2)),((INT(AT$2/$L65)-INT((AT$2-1)/$L65))*$U65*((1+Inputs!$D$7)^AT$2))),(_xlfn.WEIBULL.DIST(AT$2,$M65,$L65,FALSE)*$U65*((1+Inputs!$D$7)^AT$2))),IF($N65=Lists!$K$3,IF($L65&lt;1,((($T65*(1-$F65)+$S65*(1-$G65))/$L65)*((1+Inputs!$D$7)^AT$2)),((INT(AT$2/$L65)-INT((AT$2-1)/$L65))*($T65*(1-$F65)+$S65*(1-$G65))*((1+Inputs!$D$7)^AT$2))),((_xlfn.WEIBULL.DIST(AT$2,$M65,$L65,FALSE)*($T65*(1-$F65)+$S65*(1-$G65))*((1+Inputs!$D$7)^AT$2))))))</f>
        <v>43.787378505897678</v>
      </c>
      <c r="AU65" s="88">
        <f>$E65*IF(AU$2&gt;Inputs!$D$5,0,IF(AU$2&gt;VLOOKUP($H65,Lists!$P$3:$Q$7,2),IF($N65=Lists!$K$3,IF($L65&lt;1,(($U65/$L65)*((1+Inputs!$D$7)^AU$2)),((INT(AU$2/$L65)-INT((AU$2-1)/$L65))*$U65*((1+Inputs!$D$7)^AU$2))),(_xlfn.WEIBULL.DIST(AU$2,$M65,$L65,FALSE)*$U65*((1+Inputs!$D$7)^AU$2))),IF($N65=Lists!$K$3,IF($L65&lt;1,((($T65*(1-$F65)+$S65*(1-$G65))/$L65)*((1+Inputs!$D$7)^AU$2)),((INT(AU$2/$L65)-INT((AU$2-1)/$L65))*($T65*(1-$F65)+$S65*(1-$G65))*((1+Inputs!$D$7)^AU$2))),((_xlfn.WEIBULL.DIST(AU$2,$M65,$L65,FALSE)*($T65*(1-$F65)+$S65*(1-$G65))*((1+Inputs!$D$7)^AU$2))))))</f>
        <v>45.423271849776377</v>
      </c>
      <c r="AV65" s="88">
        <f>$E65*IF(AV$2&gt;Inputs!$D$5,0,IF(AV$2&gt;VLOOKUP($H65,Lists!$P$3:$Q$7,2),IF($N65=Lists!$K$3,IF($L65&lt;1,(($U65/$L65)*((1+Inputs!$D$7)^AV$2)),((INT(AV$2/$L65)-INT((AV$2-1)/$L65))*$U65*((1+Inputs!$D$7)^AV$2))),(_xlfn.WEIBULL.DIST(AV$2,$M65,$L65,FALSE)*$U65*((1+Inputs!$D$7)^AV$2))),IF($N65=Lists!$K$3,IF($L65&lt;1,((($T65*(1-$F65)+$S65*(1-$G65))/$L65)*((1+Inputs!$D$7)^AV$2)),((INT(AV$2/$L65)-INT((AV$2-1)/$L65))*($T65*(1-$F65)+$S65*(1-$G65))*((1+Inputs!$D$7)^AV$2))),((_xlfn.WEIBULL.DIST(AV$2,$M65,$L65,FALSE)*($T65*(1-$F65)+$S65*(1-$G65))*((1+Inputs!$D$7)^AV$2))))))</f>
        <v>46.530091302856661</v>
      </c>
      <c r="AW65" s="88">
        <f>$E65*IF(AW$2&gt;Inputs!$D$5,0,IF(AW$2&gt;VLOOKUP($H65,Lists!$P$3:$Q$7,2),IF($N65=Lists!$K$3,IF($L65&lt;1,(($U65/$L65)*((1+Inputs!$D$7)^AW$2)),((INT(AW$2/$L65)-INT((AW$2-1)/$L65))*$U65*((1+Inputs!$D$7)^AW$2))),(_xlfn.WEIBULL.DIST(AW$2,$M65,$L65,FALSE)*$U65*((1+Inputs!$D$7)^AW$2))),IF($N65=Lists!$K$3,IF($L65&lt;1,((($T65*(1-$F65)+$S65*(1-$G65))/$L65)*((1+Inputs!$D$7)^AW$2)),((INT(AW$2/$L65)-INT((AW$2-1)/$L65))*($T65*(1-$F65)+$S65*(1-$G65))*((1+Inputs!$D$7)^AW$2))),((_xlfn.WEIBULL.DIST(AW$2,$M65,$L65,FALSE)*($T65*(1-$F65)+$S65*(1-$G65))*((1+Inputs!$D$7)^AW$2))))))</f>
        <v>47.067812478031755</v>
      </c>
      <c r="AX65" s="88">
        <f>$E65*IF(AX$2&gt;Inputs!$D$5,0,IF(AX$2&gt;VLOOKUP($H65,Lists!$P$3:$Q$7,2),IF($N65=Lists!$K$3,IF($L65&lt;1,(($U65/$L65)*((1+Inputs!$D$7)^AX$2)),((INT(AX$2/$L65)-INT((AX$2-1)/$L65))*$U65*((1+Inputs!$D$7)^AX$2))),(_xlfn.WEIBULL.DIST(AX$2,$M65,$L65,FALSE)*$U65*((1+Inputs!$D$7)^AX$2))),IF($N65=Lists!$K$3,IF($L65&lt;1,((($T65*(1-$F65)+$S65*(1-$G65))/$L65)*((1+Inputs!$D$7)^AX$2)),((INT(AX$2/$L65)-INT((AX$2-1)/$L65))*($T65*(1-$F65)+$S65*(1-$G65))*((1+Inputs!$D$7)^AX$2))),((_xlfn.WEIBULL.DIST(AX$2,$M65,$L65,FALSE)*($T65*(1-$F65)+$S65*(1-$G65))*((1+Inputs!$D$7)^AX$2))))))</f>
        <v>47.014837184212553</v>
      </c>
      <c r="AY65" s="88">
        <f>$E65*IF(AY$2&gt;Inputs!$D$5,0,IF(AY$2&gt;VLOOKUP($H65,Lists!$P$3:$Q$7,2),IF($N65=Lists!$K$3,IF($L65&lt;1,(($U65/$L65)*((1+Inputs!$D$7)^AY$2)),((INT(AY$2/$L65)-INT((AY$2-1)/$L65))*$U65*((1+Inputs!$D$7)^AY$2))),(_xlfn.WEIBULL.DIST(AY$2,$M65,$L65,FALSE)*$U65*((1+Inputs!$D$7)^AY$2))),IF($N65=Lists!$K$3,IF($L65&lt;1,((($T65*(1-$F65)+$S65*(1-$G65))/$L65)*((1+Inputs!$D$7)^AY$2)),((INT(AY$2/$L65)-INT((AY$2-1)/$L65))*($T65*(1-$F65)+$S65*(1-$G65))*((1+Inputs!$D$7)^AY$2))),((_xlfn.WEIBULL.DIST(AY$2,$M65,$L65,FALSE)*($T65*(1-$F65)+$S65*(1-$G65))*((1+Inputs!$D$7)^AY$2))))))</f>
        <v>46.369682579698562</v>
      </c>
      <c r="AZ65" s="88">
        <f>$E65*IF(AZ$2&gt;Inputs!$D$5,0,IF(AZ$2&gt;VLOOKUP($H65,Lists!$P$3:$Q$7,2),IF($N65=Lists!$K$3,IF($L65&lt;1,(($U65/$L65)*((1+Inputs!$D$7)^AZ$2)),((INT(AZ$2/$L65)-INT((AZ$2-1)/$L65))*$U65*((1+Inputs!$D$7)^AZ$2))),(_xlfn.WEIBULL.DIST(AZ$2,$M65,$L65,FALSE)*$U65*((1+Inputs!$D$7)^AZ$2))),IF($N65=Lists!$K$3,IF($L65&lt;1,((($T65*(1-$F65)+$S65*(1-$G65))/$L65)*((1+Inputs!$D$7)^AZ$2)),((INT(AZ$2/$L65)-INT((AZ$2-1)/$L65))*($T65*(1-$F65)+$S65*(1-$G65))*((1+Inputs!$D$7)^AZ$2))),((_xlfn.WEIBULL.DIST(AZ$2,$M65,$L65,FALSE)*($T65*(1-$F65)+$S65*(1-$G65))*((1+Inputs!$D$7)^AZ$2))))))</f>
        <v>0</v>
      </c>
      <c r="BA65" s="88">
        <f>$E65*IF(BA$2&gt;Inputs!$D$5,0,IF(BA$2&gt;VLOOKUP($H65,Lists!$P$3:$Q$7,2),IF($N65=Lists!$K$3,IF($L65&lt;1,(($U65/$L65)*((1+Inputs!$D$7)^BA$2)),((INT(BA$2/$L65)-INT((BA$2-1)/$L65))*$U65*((1+Inputs!$D$7)^BA$2))),(_xlfn.WEIBULL.DIST(BA$2,$M65,$L65,FALSE)*$U65*((1+Inputs!$D$7)^BA$2))),IF($N65=Lists!$K$3,IF($L65&lt;1,((($T65*(1-$F65)+$S65*(1-$G65))/$L65)*((1+Inputs!$D$7)^BA$2)),((INT(BA$2/$L65)-INT((BA$2-1)/$L65))*($T65*(1-$F65)+$S65*(1-$G65))*((1+Inputs!$D$7)^BA$2))),((_xlfn.WEIBULL.DIST(BA$2,$M65,$L65,FALSE)*($T65*(1-$F65)+$S65*(1-$G65))*((1+Inputs!$D$7)^BA$2))))))</f>
        <v>0</v>
      </c>
      <c r="BB65" s="88">
        <f>$E65*IF(BB$2&gt;Inputs!$D$5,0,IF(BB$2&gt;VLOOKUP($H65,Lists!$P$3:$Q$7,2),IF($N65=Lists!$K$3,IF($L65&lt;1,(($U65/$L65)*((1+Inputs!$D$7)^BB$2)),((INT(BB$2/$L65)-INT((BB$2-1)/$L65))*$U65*((1+Inputs!$D$7)^BB$2))),(_xlfn.WEIBULL.DIST(BB$2,$M65,$L65,FALSE)*$U65*((1+Inputs!$D$7)^BB$2))),IF($N65=Lists!$K$3,IF($L65&lt;1,((($T65*(1-$F65)+$S65*(1-$G65))/$L65)*((1+Inputs!$D$7)^BB$2)),((INT(BB$2/$L65)-INT((BB$2-1)/$L65))*($T65*(1-$F65)+$S65*(1-$G65))*((1+Inputs!$D$7)^BB$2))),((_xlfn.WEIBULL.DIST(BB$2,$M65,$L65,FALSE)*($T65*(1-$F65)+$S65*(1-$G65))*((1+Inputs!$D$7)^BB$2))))))</f>
        <v>0</v>
      </c>
      <c r="BC65" s="88">
        <f>$E65*IF(BC$2&gt;Inputs!$D$5,0,IF(BC$2&gt;VLOOKUP($H65,Lists!$P$3:$Q$7,2),IF($N65=Lists!$K$3,IF($L65&lt;1,(($U65/$L65)*((1+Inputs!$D$7)^BC$2)),((INT(BC$2/$L65)-INT((BC$2-1)/$L65))*$U65*((1+Inputs!$D$7)^BC$2))),(_xlfn.WEIBULL.DIST(BC$2,$M65,$L65,FALSE)*$U65*((1+Inputs!$D$7)^BC$2))),IF($N65=Lists!$K$3,IF($L65&lt;1,((($T65*(1-$F65)+$S65*(1-$G65))/$L65)*((1+Inputs!$D$7)^BC$2)),((INT(BC$2/$L65)-INT((BC$2-1)/$L65))*($T65*(1-$F65)+$S65*(1-$G65))*((1+Inputs!$D$7)^BC$2))),((_xlfn.WEIBULL.DIST(BC$2,$M65,$L65,FALSE)*($T65*(1-$F65)+$S65*(1-$G65))*((1+Inputs!$D$7)^BC$2))))))</f>
        <v>0</v>
      </c>
      <c r="BD65" s="88">
        <f>$E65*IF(BD$2&gt;Inputs!$D$5,0,IF(BD$2&gt;VLOOKUP($H65,Lists!$P$3:$Q$7,2),IF($N65=Lists!$K$3,IF($L65&lt;1,(($U65/$L65)*((1+Inputs!$D$7)^BD$2)),((INT(BD$2/$L65)-INT((BD$2-1)/$L65))*$U65*((1+Inputs!$D$7)^BD$2))),(_xlfn.WEIBULL.DIST(BD$2,$M65,$L65,FALSE)*$U65*((1+Inputs!$D$7)^BD$2))),IF($N65=Lists!$K$3,IF($L65&lt;1,((($T65*(1-$F65)+$S65*(1-$G65))/$L65)*((1+Inputs!$D$7)^BD$2)),((INT(BD$2/$L65)-INT((BD$2-1)/$L65))*($T65*(1-$F65)+$S65*(1-$G65))*((1+Inputs!$D$7)^BD$2))),((_xlfn.WEIBULL.DIST(BD$2,$M65,$L65,FALSE)*($T65*(1-$F65)+$S65*(1-$G65))*((1+Inputs!$D$7)^BD$2))))))</f>
        <v>0</v>
      </c>
      <c r="BE65" s="88">
        <f>$E65*IF(BE$2&gt;Inputs!$D$5,0,IF(BE$2&gt;VLOOKUP($H65,Lists!$P$3:$Q$7,2),IF($N65=Lists!$K$3,IF($L65&lt;1,(($U65/$L65)*((1+Inputs!$D$7)^BE$2)),((INT(BE$2/$L65)-INT((BE$2-1)/$L65))*$U65*((1+Inputs!$D$7)^BE$2))),(_xlfn.WEIBULL.DIST(BE$2,$M65,$L65,FALSE)*$U65*((1+Inputs!$D$7)^BE$2))),IF($N65=Lists!$K$3,IF($L65&lt;1,((($T65*(1-$F65)+$S65*(1-$G65))/$L65)*((1+Inputs!$D$7)^BE$2)),((INT(BE$2/$L65)-INT((BE$2-1)/$L65))*($T65*(1-$F65)+$S65*(1-$G65))*((1+Inputs!$D$7)^BE$2))),((_xlfn.WEIBULL.DIST(BE$2,$M65,$L65,FALSE)*($T65*(1-$F65)+$S65*(1-$G65))*((1+Inputs!$D$7)^BE$2))))))</f>
        <v>0</v>
      </c>
      <c r="BF65" s="88">
        <f>$E65*IF(BF$2&gt;Inputs!$D$5,0,IF(BF$2&gt;VLOOKUP($H65,Lists!$P$3:$Q$7,2),IF($N65=Lists!$K$3,IF($L65&lt;1,(($U65/$L65)*((1+Inputs!$D$7)^BF$2)),((INT(BF$2/$L65)-INT((BF$2-1)/$L65))*$U65*((1+Inputs!$D$7)^BF$2))),(_xlfn.WEIBULL.DIST(BF$2,$M65,$L65,FALSE)*$U65*((1+Inputs!$D$7)^BF$2))),IF($N65=Lists!$K$3,IF($L65&lt;1,((($T65*(1-$F65)+$S65*(1-$G65))/$L65)*((1+Inputs!$D$7)^BF$2)),((INT(BF$2/$L65)-INT((BF$2-1)/$L65))*($T65*(1-$F65)+$S65*(1-$G65))*((1+Inputs!$D$7)^BF$2))),((_xlfn.WEIBULL.DIST(BF$2,$M65,$L65,FALSE)*($T65*(1-$F65)+$S65*(1-$G65))*((1+Inputs!$D$7)^BF$2))))))</f>
        <v>0</v>
      </c>
      <c r="BG65" s="88">
        <f>$E65*IF(BG$2&gt;Inputs!$D$5,0,IF(BG$2&gt;VLOOKUP($H65,Lists!$P$3:$Q$7,2),IF($N65=Lists!$K$3,IF($L65&lt;1,(($U65/$L65)*((1+Inputs!$D$7)^BG$2)),((INT(BG$2/$L65)-INT((BG$2-1)/$L65))*$U65*((1+Inputs!$D$7)^BG$2))),(_xlfn.WEIBULL.DIST(BG$2,$M65,$L65,FALSE)*$U65*((1+Inputs!$D$7)^BG$2))),IF($N65=Lists!$K$3,IF($L65&lt;1,((($T65*(1-$F65)+$S65*(1-$G65))/$L65)*((1+Inputs!$D$7)^BG$2)),((INT(BG$2/$L65)-INT((BG$2-1)/$L65))*($T65*(1-$F65)+$S65*(1-$G65))*((1+Inputs!$D$7)^BG$2))),((_xlfn.WEIBULL.DIST(BG$2,$M65,$L65,FALSE)*($T65*(1-$F65)+$S65*(1-$G65))*((1+Inputs!$D$7)^BG$2))))))</f>
        <v>0</v>
      </c>
      <c r="BH65" s="88">
        <f>$E65*IF(BH$2&gt;Inputs!$D$5,0,IF(BH$2&gt;VLOOKUP($H65,Lists!$P$3:$Q$7,2),IF($N65=Lists!$K$3,IF($L65&lt;1,(($U65/$L65)*((1+Inputs!$D$7)^BH$2)),((INT(BH$2/$L65)-INT((BH$2-1)/$L65))*$U65*((1+Inputs!$D$7)^BH$2))),(_xlfn.WEIBULL.DIST(BH$2,$M65,$L65,FALSE)*$U65*((1+Inputs!$D$7)^BH$2))),IF($N65=Lists!$K$3,IF($L65&lt;1,((($T65*(1-$F65)+$S65*(1-$G65))/$L65)*((1+Inputs!$D$7)^BH$2)),((INT(BH$2/$L65)-INT((BH$2-1)/$L65))*($T65*(1-$F65)+$S65*(1-$G65))*((1+Inputs!$D$7)^BH$2))),((_xlfn.WEIBULL.DIST(BH$2,$M65,$L65,FALSE)*($T65*(1-$F65)+$S65*(1-$G65))*((1+Inputs!$D$7)^BH$2))))))</f>
        <v>0</v>
      </c>
      <c r="BI65" s="88">
        <f>$E65*IF(BI$2&gt;Inputs!$D$5,0,IF(BI$2&gt;VLOOKUP($H65,Lists!$P$3:$Q$7,2),IF($N65=Lists!$K$3,IF($L65&lt;1,(($U65/$L65)*((1+Inputs!$D$7)^BI$2)),((INT(BI$2/$L65)-INT((BI$2-1)/$L65))*$U65*((1+Inputs!$D$7)^BI$2))),(_xlfn.WEIBULL.DIST(BI$2,$M65,$L65,FALSE)*$U65*((1+Inputs!$D$7)^BI$2))),IF($N65=Lists!$K$3,IF($L65&lt;1,((($T65*(1-$F65)+$S65*(1-$G65))/$L65)*((1+Inputs!$D$7)^BI$2)),((INT(BI$2/$L65)-INT((BI$2-1)/$L65))*($T65*(1-$F65)+$S65*(1-$G65))*((1+Inputs!$D$7)^BI$2))),((_xlfn.WEIBULL.DIST(BI$2,$M65,$L65,FALSE)*($T65*(1-$F65)+$S65*(1-$G65))*((1+Inputs!$D$7)^BI$2))))))</f>
        <v>0</v>
      </c>
      <c r="BJ65" s="88">
        <f>$E65*IF(BJ$2&gt;Inputs!$D$5,0,IF(BJ$2&gt;VLOOKUP($H65,Lists!$P$3:$Q$7,2),IF($N65=Lists!$K$3,IF($L65&lt;1,(($U65/$L65)*((1+Inputs!$D$7)^BJ$2)),((INT(BJ$2/$L65)-INT((BJ$2-1)/$L65))*$U65*((1+Inputs!$D$7)^BJ$2))),(_xlfn.WEIBULL.DIST(BJ$2,$M65,$L65,FALSE)*$U65*((1+Inputs!$D$7)^BJ$2))),IF($N65=Lists!$K$3,IF($L65&lt;1,((($T65*(1-$F65)+$S65*(1-$G65))/$L65)*((1+Inputs!$D$7)^BJ$2)),((INT(BJ$2/$L65)-INT((BJ$2-1)/$L65))*($T65*(1-$F65)+$S65*(1-$G65))*((1+Inputs!$D$7)^BJ$2))),((_xlfn.WEIBULL.DIST(BJ$2,$M65,$L65,FALSE)*($T65*(1-$F65)+$S65*(1-$G65))*((1+Inputs!$D$7)^BJ$2))))))</f>
        <v>0</v>
      </c>
      <c r="BK65" s="88">
        <f>$E65*IF(BK$2&gt;Inputs!$D$5,0,IF(BK$2&gt;VLOOKUP($H65,Lists!$P$3:$Q$7,2),IF($N65=Lists!$K$3,IF($L65&lt;1,(($U65/$L65)*((1+Inputs!$D$7)^BK$2)),((INT(BK$2/$L65)-INT((BK$2-1)/$L65))*$U65*((1+Inputs!$D$7)^BK$2))),(_xlfn.WEIBULL.DIST(BK$2,$M65,$L65,FALSE)*$U65*((1+Inputs!$D$7)^BK$2))),IF($N65=Lists!$K$3,IF($L65&lt;1,((($T65*(1-$F65)+$S65*(1-$G65))/$L65)*((1+Inputs!$D$7)^BK$2)),((INT(BK$2/$L65)-INT((BK$2-1)/$L65))*($T65*(1-$F65)+$S65*(1-$G65))*((1+Inputs!$D$7)^BK$2))),((_xlfn.WEIBULL.DIST(BK$2,$M65,$L65,FALSE)*($T65*(1-$F65)+$S65*(1-$G65))*((1+Inputs!$D$7)^BK$2))))))</f>
        <v>0</v>
      </c>
      <c r="BL65" s="88">
        <f>$E65*IF(BL$2&gt;Inputs!$D$5,0,IF(BL$2&gt;VLOOKUP($H65,Lists!$P$3:$Q$7,2),IF($N65=Lists!$K$3,IF($L65&lt;1,(($U65/$L65)*((1+Inputs!$D$7)^BL$2)),((INT(BL$2/$L65)-INT((BL$2-1)/$L65))*$U65*((1+Inputs!$D$7)^BL$2))),(_xlfn.WEIBULL.DIST(BL$2,$M65,$L65,FALSE)*$U65*((1+Inputs!$D$7)^BL$2))),IF($N65=Lists!$K$3,IF($L65&lt;1,((($T65*(1-$F65)+$S65*(1-$G65))/$L65)*((1+Inputs!$D$7)^BL$2)),((INT(BL$2/$L65)-INT((BL$2-1)/$L65))*($T65*(1-$F65)+$S65*(1-$G65))*((1+Inputs!$D$7)^BL$2))),((_xlfn.WEIBULL.DIST(BL$2,$M65,$L65,FALSE)*($T65*(1-$F65)+$S65*(1-$G65))*((1+Inputs!$D$7)^BL$2))))))</f>
        <v>0</v>
      </c>
      <c r="BM65" s="88">
        <f>$E65*IF(BM$2&gt;Inputs!$D$5,0,IF(BM$2&gt;VLOOKUP($H65,Lists!$P$3:$Q$7,2),IF($N65=Lists!$K$3,IF($L65&lt;1,(($U65/$L65)*((1+Inputs!$D$7)^BM$2)),((INT(BM$2/$L65)-INT((BM$2-1)/$L65))*$U65*((1+Inputs!$D$7)^BM$2))),(_xlfn.WEIBULL.DIST(BM$2,$M65,$L65,FALSE)*$U65*((1+Inputs!$D$7)^BM$2))),IF($N65=Lists!$K$3,IF($L65&lt;1,((($T65*(1-$F65)+$S65*(1-$G65))/$L65)*((1+Inputs!$D$7)^BM$2)),((INT(BM$2/$L65)-INT((BM$2-1)/$L65))*($T65*(1-$F65)+$S65*(1-$G65))*((1+Inputs!$D$7)^BM$2))),((_xlfn.WEIBULL.DIST(BM$2,$M65,$L65,FALSE)*($T65*(1-$F65)+$S65*(1-$G65))*((1+Inputs!$D$7)^BM$2))))))</f>
        <v>0</v>
      </c>
      <c r="BN65" s="88">
        <f>$E65*IF(BN$2&gt;Inputs!$D$5,0,IF(BN$2&gt;VLOOKUP($H65,Lists!$P$3:$Q$7,2),IF($N65=Lists!$K$3,IF($L65&lt;1,(($U65/$L65)*((1+Inputs!$D$7)^BN$2)),((INT(BN$2/$L65)-INT((BN$2-1)/$L65))*$U65*((1+Inputs!$D$7)^BN$2))),(_xlfn.WEIBULL.DIST(BN$2,$M65,$L65,FALSE)*$U65*((1+Inputs!$D$7)^BN$2))),IF($N65=Lists!$K$3,IF($L65&lt;1,((($T65*(1-$F65)+$S65*(1-$G65))/$L65)*((1+Inputs!$D$7)^BN$2)),((INT(BN$2/$L65)-INT((BN$2-1)/$L65))*($T65*(1-$F65)+$S65*(1-$G65))*((1+Inputs!$D$7)^BN$2))),((_xlfn.WEIBULL.DIST(BN$2,$M65,$L65,FALSE)*($T65*(1-$F65)+$S65*(1-$G65))*((1+Inputs!$D$7)^BN$2))))))</f>
        <v>0</v>
      </c>
      <c r="BO65" s="64">
        <f>NPV(Inputs!$D$6,BQ65:DD65)</f>
        <v>523.28001622420322</v>
      </c>
      <c r="BP65" s="67">
        <f t="shared" si="13"/>
        <v>2.4680440255216846E-4</v>
      </c>
      <c r="BQ65" s="88">
        <f>MAX(AA65,($E65*IF(BQ$2&gt;Inputs!$D$5,0,IF(BQ$2&gt;VLOOKUP($H65,Lists!$P$3:$Q$7,2),IF($N65=Lists!$K$3,IF($L65&lt;1,(($U65/$L65)*((1+Inputs!$D$7)^BQ$2)),((INT(BQ$2/$L65)-INT((BQ$2-1)/$L65))*$U65*((1+Inputs!$D$7)^BQ$2))),(Inputs!$D$8^((1-_xlfn.WEIBULL.DIST(BQ$2,$M65,$L65,FALSE))/_xlfn.WEIBULL.DIST(BQ$2,$M65,$L65,FALSE))*$U65*((1+Inputs!$D$7)^BQ$2))),IF($N65=Lists!$K$3,IF($L65&lt;1,((($T65*(1-$F65)+$S65*(1-$G65))/$L65)*((1+Inputs!$D$7)^BQ$2)),((INT(BQ$2/$L65)-INT((BQ$2-1)/$L65))*($T65*(1-$F65)+$S65*(1-$G65))*((1+Inputs!$D$7)^BQ$2))),((Inputs!$D$8^((1-_xlfn.WEIBULL.DIST(BQ$2,$M65,$L65,FALSE))/_xlfn.WEIBULL.DIST(BQ$2,$M65,$L65,FALSE))*($T65*(1-$F65)+$S65*(1-$G65))*((1+Inputs!$D$7)^BQ$2))))))))</f>
        <v>0.12537665256053632</v>
      </c>
      <c r="BR65" s="88">
        <f>MAX(AB65,($E65*IF(BR$2&gt;Inputs!$D$5,0,IF(BR$2&gt;VLOOKUP($H65,Lists!$P$3:$Q$7,2),IF($N65=Lists!$K$3,IF($L65&lt;1,(($U65/$L65)*((1+Inputs!$D$7)^BR$2)),((INT(BR$2/$L65)-INT((BR$2-1)/$L65))*$U65*((1+Inputs!$D$7)^BR$2))),(Inputs!$D$8^((1-_xlfn.WEIBULL.DIST(BR$2,$M65,$L65,FALSE))/_xlfn.WEIBULL.DIST(BR$2,$M65,$L65,FALSE))*$U65*((1+Inputs!$D$7)^BR$2))),IF($N65=Lists!$K$3,IF($L65&lt;1,((($T65*(1-$F65)+$S65*(1-$G65))/$L65)*((1+Inputs!$D$7)^BR$2)),((INT(BR$2/$L65)-INT((BR$2-1)/$L65))*($T65*(1-$F65)+$S65*(1-$G65))*((1+Inputs!$D$7)^BR$2))),((Inputs!$D$8^((1-_xlfn.WEIBULL.DIST(BR$2,$M65,$L65,FALSE))/_xlfn.WEIBULL.DIST(BR$2,$M65,$L65,FALSE))*($T65*(1-$F65)+$S65*(1-$G65))*((1+Inputs!$D$7)^BR$2))))))))</f>
        <v>0.511307625312442</v>
      </c>
      <c r="BS65" s="88">
        <f>MAX(AC65,($E65*IF(BS$2&gt;Inputs!$D$5,0,IF(BS$2&gt;VLOOKUP($H65,Lists!$P$3:$Q$7,2),IF($N65=Lists!$K$3,IF($L65&lt;1,(($U65/$L65)*((1+Inputs!$D$7)^BS$2)),((INT(BS$2/$L65)-INT((BS$2-1)/$L65))*$U65*((1+Inputs!$D$7)^BS$2))),(Inputs!$D$8^((1-_xlfn.WEIBULL.DIST(BS$2,$M65,$L65,FALSE))/_xlfn.WEIBULL.DIST(BS$2,$M65,$L65,FALSE))*$U65*((1+Inputs!$D$7)^BS$2))),IF($N65=Lists!$K$3,IF($L65&lt;1,((($T65*(1-$F65)+$S65*(1-$G65))/$L65)*((1+Inputs!$D$7)^BS$2)),((INT(BS$2/$L65)-INT((BS$2-1)/$L65))*($T65*(1-$F65)+$S65*(1-$G65))*((1+Inputs!$D$7)^BS$2))),((Inputs!$D$8^((1-_xlfn.WEIBULL.DIST(BS$2,$M65,$L65,FALSE))/_xlfn.WEIBULL.DIST(BS$2,$M65,$L65,FALSE))*($T65*(1-$F65)+$S65*(1-$G65))*((1+Inputs!$D$7)^BS$2))))))))</f>
        <v>1.1720249508895775</v>
      </c>
      <c r="BT65" s="88">
        <f>MAX(AD65,($E65*IF(BT$2&gt;Inputs!$D$5,0,IF(BT$2&gt;VLOOKUP($H65,Lists!$P$3:$Q$7,2),IF($N65=Lists!$K$3,IF($L65&lt;1,(($U65/$L65)*((1+Inputs!$D$7)^BT$2)),((INT(BT$2/$L65)-INT((BT$2-1)/$L65))*$U65*((1+Inputs!$D$7)^BT$2))),(Inputs!$D$8^((1-_xlfn.WEIBULL.DIST(BT$2,$M65,$L65,FALSE))/_xlfn.WEIBULL.DIST(BT$2,$M65,$L65,FALSE))*$U65*((1+Inputs!$D$7)^BT$2))),IF($N65=Lists!$K$3,IF($L65&lt;1,((($T65*(1-$F65)+$S65*(1-$G65))/$L65)*((1+Inputs!$D$7)^BT$2)),((INT(BT$2/$L65)-INT((BT$2-1)/$L65))*($T65*(1-$F65)+$S65*(1-$G65))*((1+Inputs!$D$7)^BT$2))),((Inputs!$D$8^((1-_xlfn.WEIBULL.DIST(BT$2,$M65,$L65,FALSE))/_xlfn.WEIBULL.DIST(BT$2,$M65,$L65,FALSE))*($T65*(1-$F65)+$S65*(1-$G65))*((1+Inputs!$D$7)^BT$2))))))))</f>
        <v>2.120245221011094</v>
      </c>
      <c r="BU65" s="88">
        <f>MAX(AE65,($E65*IF(BU$2&gt;Inputs!$D$5,0,IF(BU$2&gt;VLOOKUP($H65,Lists!$P$3:$Q$7,2),IF($N65=Lists!$K$3,IF($L65&lt;1,(($U65/$L65)*((1+Inputs!$D$7)^BU$2)),((INT(BU$2/$L65)-INT((BU$2-1)/$L65))*$U65*((1+Inputs!$D$7)^BU$2))),(Inputs!$D$8^((1-_xlfn.WEIBULL.DIST(BU$2,$M65,$L65,FALSE))/_xlfn.WEIBULL.DIST(BU$2,$M65,$L65,FALSE))*$U65*((1+Inputs!$D$7)^BU$2))),IF($N65=Lists!$K$3,IF($L65&lt;1,((($T65*(1-$F65)+$S65*(1-$G65))/$L65)*((1+Inputs!$D$7)^BU$2)),((INT(BU$2/$L65)-INT((BU$2-1)/$L65))*($T65*(1-$F65)+$S65*(1-$G65))*((1+Inputs!$D$7)^BU$2))),((Inputs!$D$8^((1-_xlfn.WEIBULL.DIST(BU$2,$M65,$L65,FALSE))/_xlfn.WEIBULL.DIST(BU$2,$M65,$L65,FALSE))*($T65*(1-$F65)+$S65*(1-$G65))*((1+Inputs!$D$7)^BU$2))))))))</f>
        <v>3.36597437285078</v>
      </c>
      <c r="BV65" s="88">
        <f>MAX(AF65,($E65*IF(BV$2&gt;Inputs!$D$5,0,IF(BV$2&gt;VLOOKUP($H65,Lists!$P$3:$Q$7,2),IF($N65=Lists!$K$3,IF($L65&lt;1,(($U65/$L65)*((1+Inputs!$D$7)^BV$2)),((INT(BV$2/$L65)-INT((BV$2-1)/$L65))*$U65*((1+Inputs!$D$7)^BV$2))),(Inputs!$D$8^((1-_xlfn.WEIBULL.DIST(BV$2,$M65,$L65,FALSE))/_xlfn.WEIBULL.DIST(BV$2,$M65,$L65,FALSE))*$U65*((1+Inputs!$D$7)^BV$2))),IF($N65=Lists!$K$3,IF($L65&lt;1,((($T65*(1-$F65)+$S65*(1-$G65))/$L65)*((1+Inputs!$D$7)^BV$2)),((INT(BV$2/$L65)-INT((BV$2-1)/$L65))*($T65*(1-$F65)+$S65*(1-$G65))*((1+Inputs!$D$7)^BV$2))),((Inputs!$D$8^((1-_xlfn.WEIBULL.DIST(BV$2,$M65,$L65,FALSE))/_xlfn.WEIBULL.DIST(BV$2,$M65,$L65,FALSE))*($T65*(1-$F65)+$S65*(1-$G65))*((1+Inputs!$D$7)^BV$2))))))))</f>
        <v>4.9152333180930414</v>
      </c>
      <c r="BW65" s="88">
        <f>MAX(AG65,($E65*IF(BW$2&gt;Inputs!$D$5,0,IF(BW$2&gt;VLOOKUP($H65,Lists!$P$3:$Q$7,2),IF($N65=Lists!$K$3,IF($L65&lt;1,(($U65/$L65)*((1+Inputs!$D$7)^BW$2)),((INT(BW$2/$L65)-INT((BW$2-1)/$L65))*$U65*((1+Inputs!$D$7)^BW$2))),(Inputs!$D$8^((1-_xlfn.WEIBULL.DIST(BW$2,$M65,$L65,FALSE))/_xlfn.WEIBULL.DIST(BW$2,$M65,$L65,FALSE))*$U65*((1+Inputs!$D$7)^BW$2))),IF($N65=Lists!$K$3,IF($L65&lt;1,((($T65*(1-$F65)+$S65*(1-$G65))/$L65)*((1+Inputs!$D$7)^BW$2)),((INT(BW$2/$L65)-INT((BW$2-1)/$L65))*($T65*(1-$F65)+$S65*(1-$G65))*((1+Inputs!$D$7)^BW$2))),((Inputs!$D$8^((1-_xlfn.WEIBULL.DIST(BW$2,$M65,$L65,FALSE))/_xlfn.WEIBULL.DIST(BW$2,$M65,$L65,FALSE))*($T65*(1-$F65)+$S65*(1-$G65))*((1+Inputs!$D$7)^BW$2))))))))</f>
        <v>6.7687417304546438</v>
      </c>
      <c r="BX65" s="88">
        <f>MAX(AH65,($E65*IF(BX$2&gt;Inputs!$D$5,0,IF(BX$2&gt;VLOOKUP($H65,Lists!$P$3:$Q$7,2),IF($N65=Lists!$K$3,IF($L65&lt;1,(($U65/$L65)*((1+Inputs!$D$7)^BX$2)),((INT(BX$2/$L65)-INT((BX$2-1)/$L65))*$U65*((1+Inputs!$D$7)^BX$2))),(Inputs!$D$8^((1-_xlfn.WEIBULL.DIST(BX$2,$M65,$L65,FALSE))/_xlfn.WEIBULL.DIST(BX$2,$M65,$L65,FALSE))*$U65*((1+Inputs!$D$7)^BX$2))),IF($N65=Lists!$K$3,IF($L65&lt;1,((($T65*(1-$F65)+$S65*(1-$G65))/$L65)*((1+Inputs!$D$7)^BX$2)),((INT(BX$2/$L65)-INT((BX$2-1)/$L65))*($T65*(1-$F65)+$S65*(1-$G65))*((1+Inputs!$D$7)^BX$2))),((Inputs!$D$8^((1-_xlfn.WEIBULL.DIST(BX$2,$M65,$L65,FALSE))/_xlfn.WEIBULL.DIST(BX$2,$M65,$L65,FALSE))*($T65*(1-$F65)+$S65*(1-$G65))*((1+Inputs!$D$7)^BX$2))))))))</f>
        <v>8.9206126109160948</v>
      </c>
      <c r="BY65" s="88">
        <f>MAX(AI65,($E65*IF(BY$2&gt;Inputs!$D$5,0,IF(BY$2&gt;VLOOKUP($H65,Lists!$P$3:$Q$7,2),IF($N65=Lists!$K$3,IF($L65&lt;1,(($U65/$L65)*((1+Inputs!$D$7)^BY$2)),((INT(BY$2/$L65)-INT((BY$2-1)/$L65))*$U65*((1+Inputs!$D$7)^BY$2))),(Inputs!$D$8^((1-_xlfn.WEIBULL.DIST(BY$2,$M65,$L65,FALSE))/_xlfn.WEIBULL.DIST(BY$2,$M65,$L65,FALSE))*$U65*((1+Inputs!$D$7)^BY$2))),IF($N65=Lists!$K$3,IF($L65&lt;1,((($T65*(1-$F65)+$S65*(1-$G65))/$L65)*((1+Inputs!$D$7)^BY$2)),((INT(BY$2/$L65)-INT((BY$2-1)/$L65))*($T65*(1-$F65)+$S65*(1-$G65))*((1+Inputs!$D$7)^BY$2))),((Inputs!$D$8^((1-_xlfn.WEIBULL.DIST(BY$2,$M65,$L65,FALSE))/_xlfn.WEIBULL.DIST(BY$2,$M65,$L65,FALSE))*($T65*(1-$F65)+$S65*(1-$G65))*((1+Inputs!$D$7)^BY$2))))))))</f>
        <v>11.357125237588159</v>
      </c>
      <c r="BZ65" s="88">
        <f>MAX(AJ65,($E65*IF(BZ$2&gt;Inputs!$D$5,0,IF(BZ$2&gt;VLOOKUP($H65,Lists!$P$3:$Q$7,2),IF($N65=Lists!$K$3,IF($L65&lt;1,(($U65/$L65)*((1+Inputs!$D$7)^BZ$2)),((INT(BZ$2/$L65)-INT((BZ$2-1)/$L65))*$U65*((1+Inputs!$D$7)^BZ$2))),(Inputs!$D$8^((1-_xlfn.WEIBULL.DIST(BZ$2,$M65,$L65,FALSE))/_xlfn.WEIBULL.DIST(BZ$2,$M65,$L65,FALSE))*$U65*((1+Inputs!$D$7)^BZ$2))),IF($N65=Lists!$K$3,IF($L65&lt;1,((($T65*(1-$F65)+$S65*(1-$G65))/$L65)*((1+Inputs!$D$7)^BZ$2)),((INT(BZ$2/$L65)-INT((BZ$2-1)/$L65))*($T65*(1-$F65)+$S65*(1-$G65))*((1+Inputs!$D$7)^BZ$2))),((Inputs!$D$8^((1-_xlfn.WEIBULL.DIST(BZ$2,$M65,$L65,FALSE))/_xlfn.WEIBULL.DIST(BZ$2,$M65,$L65,FALSE))*($T65*(1-$F65)+$S65*(1-$G65))*((1+Inputs!$D$7)^BZ$2))))))))</f>
        <v>14.055657444322588</v>
      </c>
      <c r="CA65" s="88">
        <f>MAX(AK65,($E65*IF(CA$2&gt;Inputs!$D$5,0,IF(CA$2&gt;VLOOKUP($H65,Lists!$P$3:$Q$7,2),IF($N65=Lists!$K$3,IF($L65&lt;1,(($U65/$L65)*((1+Inputs!$D$7)^CA$2)),((INT(CA$2/$L65)-INT((CA$2-1)/$L65))*$U65*((1+Inputs!$D$7)^CA$2))),(Inputs!$D$8^((1-_xlfn.WEIBULL.DIST(CA$2,$M65,$L65,FALSE))/_xlfn.WEIBULL.DIST(CA$2,$M65,$L65,FALSE))*$U65*((1+Inputs!$D$7)^CA$2))),IF($N65=Lists!$K$3,IF($L65&lt;1,((($T65*(1-$F65)+$S65*(1-$G65))/$L65)*((1+Inputs!$D$7)^CA$2)),((INT(CA$2/$L65)-INT((CA$2-1)/$L65))*($T65*(1-$F65)+$S65*(1-$G65))*((1+Inputs!$D$7)^CA$2))),((Inputs!$D$8^((1-_xlfn.WEIBULL.DIST(CA$2,$M65,$L65,FALSE))/_xlfn.WEIBULL.DIST(CA$2,$M65,$L65,FALSE))*($T65*(1-$F65)+$S65*(1-$G65))*((1+Inputs!$D$7)^CA$2))))))))</f>
        <v>17.371617961291783</v>
      </c>
      <c r="CB65" s="88">
        <f>MAX(AL65,($E65*IF(CB$2&gt;Inputs!$D$5,0,IF(CB$2&gt;VLOOKUP($H65,Lists!$P$3:$Q$7,2),IF($N65=Lists!$K$3,IF($L65&lt;1,(($U65/$L65)*((1+Inputs!$D$7)^CB$2)),((INT(CB$2/$L65)-INT((CB$2-1)/$L65))*$U65*((1+Inputs!$D$7)^CB$2))),(Inputs!$D$8^((1-_xlfn.WEIBULL.DIST(CB$2,$M65,$L65,FALSE))/_xlfn.WEIBULL.DIST(CB$2,$M65,$L65,FALSE))*$U65*((1+Inputs!$D$7)^CB$2))),IF($N65=Lists!$K$3,IF($L65&lt;1,((($T65*(1-$F65)+$S65*(1-$G65))/$L65)*((1+Inputs!$D$7)^CB$2)),((INT(CB$2/$L65)-INT((CB$2-1)/$L65))*($T65*(1-$F65)+$S65*(1-$G65))*((1+Inputs!$D$7)^CB$2))),((Inputs!$D$8^((1-_xlfn.WEIBULL.DIST(CB$2,$M65,$L65,FALSE))/_xlfn.WEIBULL.DIST(CB$2,$M65,$L65,FALSE))*($T65*(1-$F65)+$S65*(1-$G65))*((1+Inputs!$D$7)^CB$2))))))))</f>
        <v>30.397512172619876</v>
      </c>
      <c r="CC65" s="88">
        <f>MAX(AM65,($E65*IF(CC$2&gt;Inputs!$D$5,0,IF(CC$2&gt;VLOOKUP($H65,Lists!$P$3:$Q$7,2),IF($N65=Lists!$K$3,IF($L65&lt;1,(($U65/$L65)*((1+Inputs!$D$7)^CC$2)),((INT(CC$2/$L65)-INT((CC$2-1)/$L65))*$U65*((1+Inputs!$D$7)^CC$2))),(Inputs!$D$8^((1-_xlfn.WEIBULL.DIST(CC$2,$M65,$L65,FALSE))/_xlfn.WEIBULL.DIST(CC$2,$M65,$L65,FALSE))*$U65*((1+Inputs!$D$7)^CC$2))),IF($N65=Lists!$K$3,IF($L65&lt;1,((($T65*(1-$F65)+$S65*(1-$G65))/$L65)*((1+Inputs!$D$7)^CC$2)),((INT(CC$2/$L65)-INT((CC$2-1)/$L65))*($T65*(1-$F65)+$S65*(1-$G65))*((1+Inputs!$D$7)^CC$2))),((Inputs!$D$8^((1-_xlfn.WEIBULL.DIST(CC$2,$M65,$L65,FALSE))/_xlfn.WEIBULL.DIST(CC$2,$M65,$L65,FALSE))*($T65*(1-$F65)+$S65*(1-$G65))*((1+Inputs!$D$7)^CC$2))))))))</f>
        <v>46.758860733488746</v>
      </c>
      <c r="CD65" s="88">
        <f>MAX(AN65,($E65*IF(CD$2&gt;Inputs!$D$5,0,IF(CD$2&gt;VLOOKUP($H65,Lists!$P$3:$Q$7,2),IF($N65=Lists!$K$3,IF($L65&lt;1,(($U65/$L65)*((1+Inputs!$D$7)^CD$2)),((INT(CD$2/$L65)-INT((CD$2-1)/$L65))*$U65*((1+Inputs!$D$7)^CD$2))),(Inputs!$D$8^((1-_xlfn.WEIBULL.DIST(CD$2,$M65,$L65,FALSE))/_xlfn.WEIBULL.DIST(CD$2,$M65,$L65,FALSE))*$U65*((1+Inputs!$D$7)^CD$2))),IF($N65=Lists!$K$3,IF($L65&lt;1,((($T65*(1-$F65)+$S65*(1-$G65))/$L65)*((1+Inputs!$D$7)^CD$2)),((INT(CD$2/$L65)-INT((CD$2-1)/$L65))*($T65*(1-$F65)+$S65*(1-$G65))*((1+Inputs!$D$7)^CD$2))),((Inputs!$D$8^((1-_xlfn.WEIBULL.DIST(CD$2,$M65,$L65,FALSE))/_xlfn.WEIBULL.DIST(CD$2,$M65,$L65,FALSE))*($T65*(1-$F65)+$S65*(1-$G65))*((1+Inputs!$D$7)^CD$2))))))))</f>
        <v>65.456068894151585</v>
      </c>
      <c r="CE65" s="88">
        <f>MAX(AO65,($E65*IF(CE$2&gt;Inputs!$D$5,0,IF(CE$2&gt;VLOOKUP($H65,Lists!$P$3:$Q$7,2),IF($N65=Lists!$K$3,IF($L65&lt;1,(($U65/$L65)*((1+Inputs!$D$7)^CE$2)),((INT(CE$2/$L65)-INT((CE$2-1)/$L65))*$U65*((1+Inputs!$D$7)^CE$2))),(Inputs!$D$8^((1-_xlfn.WEIBULL.DIST(CE$2,$M65,$L65,FALSE))/_xlfn.WEIBULL.DIST(CE$2,$M65,$L65,FALSE))*$U65*((1+Inputs!$D$7)^CE$2))),IF($N65=Lists!$K$3,IF($L65&lt;1,((($T65*(1-$F65)+$S65*(1-$G65))/$L65)*((1+Inputs!$D$7)^CE$2)),((INT(CE$2/$L65)-INT((CE$2-1)/$L65))*($T65*(1-$F65)+$S65*(1-$G65))*((1+Inputs!$D$7)^CE$2))),((Inputs!$D$8^((1-_xlfn.WEIBULL.DIST(CE$2,$M65,$L65,FALSE))/_xlfn.WEIBULL.DIST(CE$2,$M65,$L65,FALSE))*($T65*(1-$F65)+$S65*(1-$G65))*((1+Inputs!$D$7)^CE$2))))))))</f>
        <v>85.351326691664781</v>
      </c>
      <c r="CF65" s="88">
        <f>MAX(AP65,($E65*IF(CF$2&gt;Inputs!$D$5,0,IF(CF$2&gt;VLOOKUP($H65,Lists!$P$3:$Q$7,2),IF($N65=Lists!$K$3,IF($L65&lt;1,(($U65/$L65)*((1+Inputs!$D$7)^CF$2)),((INT(CF$2/$L65)-INT((CF$2-1)/$L65))*$U65*((1+Inputs!$D$7)^CF$2))),(Inputs!$D$8^((1-_xlfn.WEIBULL.DIST(CF$2,$M65,$L65,FALSE))/_xlfn.WEIBULL.DIST(CF$2,$M65,$L65,FALSE))*$U65*((1+Inputs!$D$7)^CF$2))),IF($N65=Lists!$K$3,IF($L65&lt;1,((($T65*(1-$F65)+$S65*(1-$G65))/$L65)*((1+Inputs!$D$7)^CF$2)),((INT(CF$2/$L65)-INT((CF$2-1)/$L65))*($T65*(1-$F65)+$S65*(1-$G65))*((1+Inputs!$D$7)^CF$2))),((Inputs!$D$8^((1-_xlfn.WEIBULL.DIST(CF$2,$M65,$L65,FALSE))/_xlfn.WEIBULL.DIST(CF$2,$M65,$L65,FALSE))*($T65*(1-$F65)+$S65*(1-$G65))*((1+Inputs!$D$7)^CF$2))))))))</f>
        <v>105.34376173908274</v>
      </c>
      <c r="CG65" s="88">
        <f>MAX(AQ65,($E65*IF(CG$2&gt;Inputs!$D$5,0,IF(CG$2&gt;VLOOKUP($H65,Lists!$P$3:$Q$7,2),IF($N65=Lists!$K$3,IF($L65&lt;1,(($U65/$L65)*((1+Inputs!$D$7)^CG$2)),((INT(CG$2/$L65)-INT((CG$2-1)/$L65))*$U65*((1+Inputs!$D$7)^CG$2))),(Inputs!$D$8^((1-_xlfn.WEIBULL.DIST(CG$2,$M65,$L65,FALSE))/_xlfn.WEIBULL.DIST(CG$2,$M65,$L65,FALSE))*$U65*((1+Inputs!$D$7)^CG$2))),IF($N65=Lists!$K$3,IF($L65&lt;1,((($T65*(1-$F65)+$S65*(1-$G65))/$L65)*((1+Inputs!$D$7)^CG$2)),((INT(CG$2/$L65)-INT((CG$2-1)/$L65))*($T65*(1-$F65)+$S65*(1-$G65))*((1+Inputs!$D$7)^CG$2))),((Inputs!$D$8^((1-_xlfn.WEIBULL.DIST(CG$2,$M65,$L65,FALSE))/_xlfn.WEIBULL.DIST(CG$2,$M65,$L65,FALSE))*($T65*(1-$F65)+$S65*(1-$G65))*((1+Inputs!$D$7)^CG$2))))))))</f>
        <v>124.45642981845786</v>
      </c>
      <c r="CH65" s="88">
        <f>MAX(AR65,($E65*IF(CH$2&gt;Inputs!$D$5,0,IF(CH$2&gt;VLOOKUP($H65,Lists!$P$3:$Q$7,2),IF($N65=Lists!$K$3,IF($L65&lt;1,(($U65/$L65)*((1+Inputs!$D$7)^CH$2)),((INT(CH$2/$L65)-INT((CH$2-1)/$L65))*$U65*((1+Inputs!$D$7)^CH$2))),(Inputs!$D$8^((1-_xlfn.WEIBULL.DIST(CH$2,$M65,$L65,FALSE))/_xlfn.WEIBULL.DIST(CH$2,$M65,$L65,FALSE))*$U65*((1+Inputs!$D$7)^CH$2))),IF($N65=Lists!$K$3,IF($L65&lt;1,((($T65*(1-$F65)+$S65*(1-$G65))/$L65)*((1+Inputs!$D$7)^CH$2)),((INT(CH$2/$L65)-INT((CH$2-1)/$L65))*($T65*(1-$F65)+$S65*(1-$G65))*((1+Inputs!$D$7)^CH$2))),((Inputs!$D$8^((1-_xlfn.WEIBULL.DIST(CH$2,$M65,$L65,FALSE))/_xlfn.WEIBULL.DIST(CH$2,$M65,$L65,FALSE))*($T65*(1-$F65)+$S65*(1-$G65))*((1+Inputs!$D$7)^CH$2))))))))</f>
        <v>141.86310733519426</v>
      </c>
      <c r="CI65" s="88">
        <f>MAX(AS65,($E65*IF(CI$2&gt;Inputs!$D$5,0,IF(CI$2&gt;VLOOKUP($H65,Lists!$P$3:$Q$7,2),IF($N65=Lists!$K$3,IF($L65&lt;1,(($U65/$L65)*((1+Inputs!$D$7)^CI$2)),((INT(CI$2/$L65)-INT((CI$2-1)/$L65))*$U65*((1+Inputs!$D$7)^CI$2))),(Inputs!$D$8^((1-_xlfn.WEIBULL.DIST(CI$2,$M65,$L65,FALSE))/_xlfn.WEIBULL.DIST(CI$2,$M65,$L65,FALSE))*$U65*((1+Inputs!$D$7)^CI$2))),IF($N65=Lists!$K$3,IF($L65&lt;1,((($T65*(1-$F65)+$S65*(1-$G65))/$L65)*((1+Inputs!$D$7)^CI$2)),((INT(CI$2/$L65)-INT((CI$2-1)/$L65))*($T65*(1-$F65)+$S65*(1-$G65))*((1+Inputs!$D$7)^CI$2))),((Inputs!$D$8^((1-_xlfn.WEIBULL.DIST(CI$2,$M65,$L65,FALSE))/_xlfn.WEIBULL.DIST(CI$2,$M65,$L65,FALSE))*($T65*(1-$F65)+$S65*(1-$G65))*((1+Inputs!$D$7)^CI$2))))))))</f>
        <v>156.88239979626687</v>
      </c>
      <c r="CJ65" s="88">
        <f>MAX(AT65,($E65*IF(CJ$2&gt;Inputs!$D$5,0,IF(CJ$2&gt;VLOOKUP($H65,Lists!$P$3:$Q$7,2),IF($N65=Lists!$K$3,IF($L65&lt;1,(($U65/$L65)*((1+Inputs!$D$7)^CJ$2)),((INT(CJ$2/$L65)-INT((CJ$2-1)/$L65))*$U65*((1+Inputs!$D$7)^CJ$2))),(Inputs!$D$8^((1-_xlfn.WEIBULL.DIST(CJ$2,$M65,$L65,FALSE))/_xlfn.WEIBULL.DIST(CJ$2,$M65,$L65,FALSE))*$U65*((1+Inputs!$D$7)^CJ$2))),IF($N65=Lists!$K$3,IF($L65&lt;1,((($T65*(1-$F65)+$S65*(1-$G65))/$L65)*((1+Inputs!$D$7)^CJ$2)),((INT(CJ$2/$L65)-INT((CJ$2-1)/$L65))*($T65*(1-$F65)+$S65*(1-$G65))*((1+Inputs!$D$7)^CJ$2))),((Inputs!$D$8^((1-_xlfn.WEIBULL.DIST(CJ$2,$M65,$L65,FALSE))/_xlfn.WEIBULL.DIST(CJ$2,$M65,$L65,FALSE))*($T65*(1-$F65)+$S65*(1-$G65))*((1+Inputs!$D$7)^CJ$2))))))))</f>
        <v>168.95879382345342</v>
      </c>
      <c r="CK65" s="88">
        <f>MAX(AU65,($E65*IF(CK$2&gt;Inputs!$D$5,0,IF(CK$2&gt;VLOOKUP($H65,Lists!$P$3:$Q$7,2),IF($N65=Lists!$K$3,IF($L65&lt;1,(($U65/$L65)*((1+Inputs!$D$7)^CK$2)),((INT(CK$2/$L65)-INT((CK$2-1)/$L65))*$U65*((1+Inputs!$D$7)^CK$2))),(Inputs!$D$8^((1-_xlfn.WEIBULL.DIST(CK$2,$M65,$L65,FALSE))/_xlfn.WEIBULL.DIST(CK$2,$M65,$L65,FALSE))*$U65*((1+Inputs!$D$7)^CK$2))),IF($N65=Lists!$K$3,IF($L65&lt;1,((($T65*(1-$F65)+$S65*(1-$G65))/$L65)*((1+Inputs!$D$7)^CK$2)),((INT(CK$2/$L65)-INT((CK$2-1)/$L65))*($T65*(1-$F65)+$S65*(1-$G65))*((1+Inputs!$D$7)^CK$2))),((Inputs!$D$8^((1-_xlfn.WEIBULL.DIST(CK$2,$M65,$L65,FALSE))/_xlfn.WEIBULL.DIST(CK$2,$M65,$L65,FALSE))*($T65*(1-$F65)+$S65*(1-$G65))*((1+Inputs!$D$7)^CK$2))))))))</f>
        <v>177.6427469922981</v>
      </c>
      <c r="CL65" s="88">
        <f>MAX(AV65,($E65*IF(CL$2&gt;Inputs!$D$5,0,IF(CL$2&gt;VLOOKUP($H65,Lists!$P$3:$Q$7,2),IF($N65=Lists!$K$3,IF($L65&lt;1,(($U65/$L65)*((1+Inputs!$D$7)^CL$2)),((INT(CL$2/$L65)-INT((CL$2-1)/$L65))*$U65*((1+Inputs!$D$7)^CL$2))),(Inputs!$D$8^((1-_xlfn.WEIBULL.DIST(CL$2,$M65,$L65,FALSE))/_xlfn.WEIBULL.DIST(CL$2,$M65,$L65,FALSE))*$U65*((1+Inputs!$D$7)^CL$2))),IF($N65=Lists!$K$3,IF($L65&lt;1,((($T65*(1-$F65)+$S65*(1-$G65))/$L65)*((1+Inputs!$D$7)^CL$2)),((INT(CL$2/$L65)-INT((CL$2-1)/$L65))*($T65*(1-$F65)+$S65*(1-$G65))*((1+Inputs!$D$7)^CL$2))),((Inputs!$D$8^((1-_xlfn.WEIBULL.DIST(CL$2,$M65,$L65,FALSE))/_xlfn.WEIBULL.DIST(CL$2,$M65,$L65,FALSE))*($T65*(1-$F65)+$S65*(1-$G65))*((1+Inputs!$D$7)^CL$2))))))))</f>
        <v>182.57675953900699</v>
      </c>
      <c r="CM65" s="88">
        <f>MAX(AW65,($E65*IF(CM$2&gt;Inputs!$D$5,0,IF(CM$2&gt;VLOOKUP($H65,Lists!$P$3:$Q$7,2),IF($N65=Lists!$K$3,IF($L65&lt;1,(($U65/$L65)*((1+Inputs!$D$7)^CM$2)),((INT(CM$2/$L65)-INT((CM$2-1)/$L65))*$U65*((1+Inputs!$D$7)^CM$2))),(Inputs!$D$8^((1-_xlfn.WEIBULL.DIST(CM$2,$M65,$L65,FALSE))/_xlfn.WEIBULL.DIST(CM$2,$M65,$L65,FALSE))*$U65*((1+Inputs!$D$7)^CM$2))),IF($N65=Lists!$K$3,IF($L65&lt;1,((($T65*(1-$F65)+$S65*(1-$G65))/$L65)*((1+Inputs!$D$7)^CM$2)),((INT(CM$2/$L65)-INT((CM$2-1)/$L65))*($T65*(1-$F65)+$S65*(1-$G65))*((1+Inputs!$D$7)^CM$2))),((Inputs!$D$8^((1-_xlfn.WEIBULL.DIST(CM$2,$M65,$L65,FALSE))/_xlfn.WEIBULL.DIST(CM$2,$M65,$L65,FALSE))*($T65*(1-$F65)+$S65*(1-$G65))*((1+Inputs!$D$7)^CM$2))))))))</f>
        <v>183.49142252144813</v>
      </c>
      <c r="CN65" s="88">
        <f>MAX(AX65,($E65*IF(CN$2&gt;Inputs!$D$5,0,IF(CN$2&gt;VLOOKUP($H65,Lists!$P$3:$Q$7,2),IF($N65=Lists!$K$3,IF($L65&lt;1,(($U65/$L65)*((1+Inputs!$D$7)^CN$2)),((INT(CN$2/$L65)-INT((CN$2-1)/$L65))*$U65*((1+Inputs!$D$7)^CN$2))),(Inputs!$D$8^((1-_xlfn.WEIBULL.DIST(CN$2,$M65,$L65,FALSE))/_xlfn.WEIBULL.DIST(CN$2,$M65,$L65,FALSE))*$U65*((1+Inputs!$D$7)^CN$2))),IF($N65=Lists!$K$3,IF($L65&lt;1,((($T65*(1-$F65)+$S65*(1-$G65))/$L65)*((1+Inputs!$D$7)^CN$2)),((INT(CN$2/$L65)-INT((CN$2-1)/$L65))*($T65*(1-$F65)+$S65*(1-$G65))*((1+Inputs!$D$7)^CN$2))),((Inputs!$D$8^((1-_xlfn.WEIBULL.DIST(CN$2,$M65,$L65,FALSE))/_xlfn.WEIBULL.DIST(CN$2,$M65,$L65,FALSE))*($T65*(1-$F65)+$S65*(1-$G65))*((1+Inputs!$D$7)^CN$2))))))))</f>
        <v>180.21392642964369</v>
      </c>
      <c r="CO65" s="88">
        <f>MAX(AY65,($E65*IF(CO$2&gt;Inputs!$D$5,0,IF(CO$2&gt;VLOOKUP($H65,Lists!$P$3:$Q$7,2),IF($N65=Lists!$K$3,IF($L65&lt;1,(($U65/$L65)*((1+Inputs!$D$7)^CO$2)),((INT(CO$2/$L65)-INT((CO$2-1)/$L65))*$U65*((1+Inputs!$D$7)^CO$2))),(Inputs!$D$8^((1-_xlfn.WEIBULL.DIST(CO$2,$M65,$L65,FALSE))/_xlfn.WEIBULL.DIST(CO$2,$M65,$L65,FALSE))*$U65*((1+Inputs!$D$7)^CO$2))),IF($N65=Lists!$K$3,IF($L65&lt;1,((($T65*(1-$F65)+$S65*(1-$G65))/$L65)*((1+Inputs!$D$7)^CO$2)),((INT(CO$2/$L65)-INT((CO$2-1)/$L65))*($T65*(1-$F65)+$S65*(1-$G65))*((1+Inputs!$D$7)^CO$2))),((Inputs!$D$8^((1-_xlfn.WEIBULL.DIST(CO$2,$M65,$L65,FALSE))/_xlfn.WEIBULL.DIST(CO$2,$M65,$L65,FALSE))*($T65*(1-$F65)+$S65*(1-$G65))*((1+Inputs!$D$7)^CO$2))))))))</f>
        <v>172.69063005819669</v>
      </c>
      <c r="CP65" s="88">
        <f>MAX(AZ65,($E65*IF(CP$2&gt;Inputs!$D$5,0,IF(CP$2&gt;VLOOKUP($H65,Lists!$P$3:$Q$7,2),IF($N65=Lists!$K$3,IF($L65&lt;1,(($U65/$L65)*((1+Inputs!$D$7)^CP$2)),((INT(CP$2/$L65)-INT((CP$2-1)/$L65))*$U65*((1+Inputs!$D$7)^CP$2))),(Inputs!$D$8^((1-_xlfn.WEIBULL.DIST(CP$2,$M65,$L65,FALSE))/_xlfn.WEIBULL.DIST(CP$2,$M65,$L65,FALSE))*$U65*((1+Inputs!$D$7)^CP$2))),IF($N65=Lists!$K$3,IF($L65&lt;1,((($T65*(1-$F65)+$S65*(1-$G65))/$L65)*((1+Inputs!$D$7)^CP$2)),((INT(CP$2/$L65)-INT((CP$2-1)/$L65))*($T65*(1-$F65)+$S65*(1-$G65))*((1+Inputs!$D$7)^CP$2))),((Inputs!$D$8^((1-_xlfn.WEIBULL.DIST(CP$2,$M65,$L65,FALSE))/_xlfn.WEIBULL.DIST(CP$2,$M65,$L65,FALSE))*($T65*(1-$F65)+$S65*(1-$G65))*((1+Inputs!$D$7)^CP$2))))))))</f>
        <v>0</v>
      </c>
      <c r="CQ65" s="88">
        <f>MAX(BA65,($E65*IF(CQ$2&gt;Inputs!$D$5,0,IF(CQ$2&gt;VLOOKUP($H65,Lists!$P$3:$Q$7,2),IF($N65=Lists!$K$3,IF($L65&lt;1,(($U65/$L65)*((1+Inputs!$D$7)^CQ$2)),((INT(CQ$2/$L65)-INT((CQ$2-1)/$L65))*$U65*((1+Inputs!$D$7)^CQ$2))),(Inputs!$D$8^((1-_xlfn.WEIBULL.DIST(CQ$2,$M65,$L65,FALSE))/_xlfn.WEIBULL.DIST(CQ$2,$M65,$L65,FALSE))*$U65*((1+Inputs!$D$7)^CQ$2))),IF($N65=Lists!$K$3,IF($L65&lt;1,((($T65*(1-$F65)+$S65*(1-$G65))/$L65)*((1+Inputs!$D$7)^CQ$2)),((INT(CQ$2/$L65)-INT((CQ$2-1)/$L65))*($T65*(1-$F65)+$S65*(1-$G65))*((1+Inputs!$D$7)^CQ$2))),((Inputs!$D$8^((1-_xlfn.WEIBULL.DIST(CQ$2,$M65,$L65,FALSE))/_xlfn.WEIBULL.DIST(CQ$2,$M65,$L65,FALSE))*($T65*(1-$F65)+$S65*(1-$G65))*((1+Inputs!$D$7)^CQ$2))))))))</f>
        <v>0</v>
      </c>
      <c r="CR65" s="88">
        <f>MAX(BB65,($E65*IF(CR$2&gt;Inputs!$D$5,0,IF(CR$2&gt;VLOOKUP($H65,Lists!$P$3:$Q$7,2),IF($N65=Lists!$K$3,IF($L65&lt;1,(($U65/$L65)*((1+Inputs!$D$7)^CR$2)),((INT(CR$2/$L65)-INT((CR$2-1)/$L65))*$U65*((1+Inputs!$D$7)^CR$2))),(Inputs!$D$8^((1-_xlfn.WEIBULL.DIST(CR$2,$M65,$L65,FALSE))/_xlfn.WEIBULL.DIST(CR$2,$M65,$L65,FALSE))*$U65*((1+Inputs!$D$7)^CR$2))),IF($N65=Lists!$K$3,IF($L65&lt;1,((($T65*(1-$F65)+$S65*(1-$G65))/$L65)*((1+Inputs!$D$7)^CR$2)),((INT(CR$2/$L65)-INT((CR$2-1)/$L65))*($T65*(1-$F65)+$S65*(1-$G65))*((1+Inputs!$D$7)^CR$2))),((Inputs!$D$8^((1-_xlfn.WEIBULL.DIST(CR$2,$M65,$L65,FALSE))/_xlfn.WEIBULL.DIST(CR$2,$M65,$L65,FALSE))*($T65*(1-$F65)+$S65*(1-$G65))*((1+Inputs!$D$7)^CR$2))))))))</f>
        <v>0</v>
      </c>
      <c r="CS65" s="88">
        <f>MAX(BC65,($E65*IF(CS$2&gt;Inputs!$D$5,0,IF(CS$2&gt;VLOOKUP($H65,Lists!$P$3:$Q$7,2),IF($N65=Lists!$K$3,IF($L65&lt;1,(($U65/$L65)*((1+Inputs!$D$7)^CS$2)),((INT(CS$2/$L65)-INT((CS$2-1)/$L65))*$U65*((1+Inputs!$D$7)^CS$2))),(Inputs!$D$8^((1-_xlfn.WEIBULL.DIST(CS$2,$M65,$L65,FALSE))/_xlfn.WEIBULL.DIST(CS$2,$M65,$L65,FALSE))*$U65*((1+Inputs!$D$7)^CS$2))),IF($N65=Lists!$K$3,IF($L65&lt;1,((($T65*(1-$F65)+$S65*(1-$G65))/$L65)*((1+Inputs!$D$7)^CS$2)),((INT(CS$2/$L65)-INT((CS$2-1)/$L65))*($T65*(1-$F65)+$S65*(1-$G65))*((1+Inputs!$D$7)^CS$2))),((Inputs!$D$8^((1-_xlfn.WEIBULL.DIST(CS$2,$M65,$L65,FALSE))/_xlfn.WEIBULL.DIST(CS$2,$M65,$L65,FALSE))*($T65*(1-$F65)+$S65*(1-$G65))*((1+Inputs!$D$7)^CS$2))))))))</f>
        <v>0</v>
      </c>
      <c r="CT65" s="88">
        <f>MAX(BD65,($E65*IF(CT$2&gt;Inputs!$D$5,0,IF(CT$2&gt;VLOOKUP($H65,Lists!$P$3:$Q$7,2),IF($N65=Lists!$K$3,IF($L65&lt;1,(($U65/$L65)*((1+Inputs!$D$7)^CT$2)),((INT(CT$2/$L65)-INT((CT$2-1)/$L65))*$U65*((1+Inputs!$D$7)^CT$2))),(Inputs!$D$8^((1-_xlfn.WEIBULL.DIST(CT$2,$M65,$L65,FALSE))/_xlfn.WEIBULL.DIST(CT$2,$M65,$L65,FALSE))*$U65*((1+Inputs!$D$7)^CT$2))),IF($N65=Lists!$K$3,IF($L65&lt;1,((($T65*(1-$F65)+$S65*(1-$G65))/$L65)*((1+Inputs!$D$7)^CT$2)),((INT(CT$2/$L65)-INT((CT$2-1)/$L65))*($T65*(1-$F65)+$S65*(1-$G65))*((1+Inputs!$D$7)^CT$2))),((Inputs!$D$8^((1-_xlfn.WEIBULL.DIST(CT$2,$M65,$L65,FALSE))/_xlfn.WEIBULL.DIST(CT$2,$M65,$L65,FALSE))*($T65*(1-$F65)+$S65*(1-$G65))*((1+Inputs!$D$7)^CT$2))))))))</f>
        <v>0</v>
      </c>
      <c r="CU65" s="88">
        <f>MAX(BE65,($E65*IF(CU$2&gt;Inputs!$D$5,0,IF(CU$2&gt;VLOOKUP($H65,Lists!$P$3:$Q$7,2),IF($N65=Lists!$K$3,IF($L65&lt;1,(($U65/$L65)*((1+Inputs!$D$7)^CU$2)),((INT(CU$2/$L65)-INT((CU$2-1)/$L65))*$U65*((1+Inputs!$D$7)^CU$2))),(Inputs!$D$8^((1-_xlfn.WEIBULL.DIST(CU$2,$M65,$L65,FALSE))/_xlfn.WEIBULL.DIST(CU$2,$M65,$L65,FALSE))*$U65*((1+Inputs!$D$7)^CU$2))),IF($N65=Lists!$K$3,IF($L65&lt;1,((($T65*(1-$F65)+$S65*(1-$G65))/$L65)*((1+Inputs!$D$7)^CU$2)),((INT(CU$2/$L65)-INT((CU$2-1)/$L65))*($T65*(1-$F65)+$S65*(1-$G65))*((1+Inputs!$D$7)^CU$2))),((Inputs!$D$8^((1-_xlfn.WEIBULL.DIST(CU$2,$M65,$L65,FALSE))/_xlfn.WEIBULL.DIST(CU$2,$M65,$L65,FALSE))*($T65*(1-$F65)+$S65*(1-$G65))*((1+Inputs!$D$7)^CU$2))))))))</f>
        <v>0</v>
      </c>
      <c r="CV65" s="88">
        <f>MAX(BF65,($E65*IF(CV$2&gt;Inputs!$D$5,0,IF(CV$2&gt;VLOOKUP($H65,Lists!$P$3:$Q$7,2),IF($N65=Lists!$K$3,IF($L65&lt;1,(($U65/$L65)*((1+Inputs!$D$7)^CV$2)),((INT(CV$2/$L65)-INT((CV$2-1)/$L65))*$U65*((1+Inputs!$D$7)^CV$2))),(Inputs!$D$8^((1-_xlfn.WEIBULL.DIST(CV$2,$M65,$L65,FALSE))/_xlfn.WEIBULL.DIST(CV$2,$M65,$L65,FALSE))*$U65*((1+Inputs!$D$7)^CV$2))),IF($N65=Lists!$K$3,IF($L65&lt;1,((($T65*(1-$F65)+$S65*(1-$G65))/$L65)*((1+Inputs!$D$7)^CV$2)),((INT(CV$2/$L65)-INT((CV$2-1)/$L65))*($T65*(1-$F65)+$S65*(1-$G65))*((1+Inputs!$D$7)^CV$2))),((Inputs!$D$8^((1-_xlfn.WEIBULL.DIST(CV$2,$M65,$L65,FALSE))/_xlfn.WEIBULL.DIST(CV$2,$M65,$L65,FALSE))*($T65*(1-$F65)+$S65*(1-$G65))*((1+Inputs!$D$7)^CV$2))))))))</f>
        <v>0</v>
      </c>
      <c r="CW65" s="88">
        <f>MAX(BG65,($E65*IF(CW$2&gt;Inputs!$D$5,0,IF(CW$2&gt;VLOOKUP($H65,Lists!$P$3:$Q$7,2),IF($N65=Lists!$K$3,IF($L65&lt;1,(($U65/$L65)*((1+Inputs!$D$7)^CW$2)),((INT(CW$2/$L65)-INT((CW$2-1)/$L65))*$U65*((1+Inputs!$D$7)^CW$2))),(Inputs!$D$8^((1-_xlfn.WEIBULL.DIST(CW$2,$M65,$L65,FALSE))/_xlfn.WEIBULL.DIST(CW$2,$M65,$L65,FALSE))*$U65*((1+Inputs!$D$7)^CW$2))),IF($N65=Lists!$K$3,IF($L65&lt;1,((($T65*(1-$F65)+$S65*(1-$G65))/$L65)*((1+Inputs!$D$7)^CW$2)),((INT(CW$2/$L65)-INT((CW$2-1)/$L65))*($T65*(1-$F65)+$S65*(1-$G65))*((1+Inputs!$D$7)^CW$2))),((Inputs!$D$8^((1-_xlfn.WEIBULL.DIST(CW$2,$M65,$L65,FALSE))/_xlfn.WEIBULL.DIST(CW$2,$M65,$L65,FALSE))*($T65*(1-$F65)+$S65*(1-$G65))*((1+Inputs!$D$7)^CW$2))))))))</f>
        <v>0</v>
      </c>
      <c r="CX65" s="88">
        <f>MAX(BH65,($E65*IF(CX$2&gt;Inputs!$D$5,0,IF(CX$2&gt;VLOOKUP($H65,Lists!$P$3:$Q$7,2),IF($N65=Lists!$K$3,IF($L65&lt;1,(($U65/$L65)*((1+Inputs!$D$7)^CX$2)),((INT(CX$2/$L65)-INT((CX$2-1)/$L65))*$U65*((1+Inputs!$D$7)^CX$2))),(Inputs!$D$8^((1-_xlfn.WEIBULL.DIST(CX$2,$M65,$L65,FALSE))/_xlfn.WEIBULL.DIST(CX$2,$M65,$L65,FALSE))*$U65*((1+Inputs!$D$7)^CX$2))),IF($N65=Lists!$K$3,IF($L65&lt;1,((($T65*(1-$F65)+$S65*(1-$G65))/$L65)*((1+Inputs!$D$7)^CX$2)),((INT(CX$2/$L65)-INT((CX$2-1)/$L65))*($T65*(1-$F65)+$S65*(1-$G65))*((1+Inputs!$D$7)^CX$2))),((Inputs!$D$8^((1-_xlfn.WEIBULL.DIST(CX$2,$M65,$L65,FALSE))/_xlfn.WEIBULL.DIST(CX$2,$M65,$L65,FALSE))*($T65*(1-$F65)+$S65*(1-$G65))*((1+Inputs!$D$7)^CX$2))))))))</f>
        <v>0</v>
      </c>
      <c r="CY65" s="88">
        <f>MAX(BI65,($E65*IF(CY$2&gt;Inputs!$D$5,0,IF(CY$2&gt;VLOOKUP($H65,Lists!$P$3:$Q$7,2),IF($N65=Lists!$K$3,IF($L65&lt;1,(($U65/$L65)*((1+Inputs!$D$7)^CY$2)),((INT(CY$2/$L65)-INT((CY$2-1)/$L65))*$U65*((1+Inputs!$D$7)^CY$2))),(Inputs!$D$8^((1-_xlfn.WEIBULL.DIST(CY$2,$M65,$L65,FALSE))/_xlfn.WEIBULL.DIST(CY$2,$M65,$L65,FALSE))*$U65*((1+Inputs!$D$7)^CY$2))),IF($N65=Lists!$K$3,IF($L65&lt;1,((($T65*(1-$F65)+$S65*(1-$G65))/$L65)*((1+Inputs!$D$7)^CY$2)),((INT(CY$2/$L65)-INT((CY$2-1)/$L65))*($T65*(1-$F65)+$S65*(1-$G65))*((1+Inputs!$D$7)^CY$2))),((Inputs!$D$8^((1-_xlfn.WEIBULL.DIST(CY$2,$M65,$L65,FALSE))/_xlfn.WEIBULL.DIST(CY$2,$M65,$L65,FALSE))*($T65*(1-$F65)+$S65*(1-$G65))*((1+Inputs!$D$7)^CY$2))))))))</f>
        <v>0</v>
      </c>
      <c r="CZ65" s="88">
        <f>MAX(BJ65,($E65*IF(CZ$2&gt;Inputs!$D$5,0,IF(CZ$2&gt;VLOOKUP($H65,Lists!$P$3:$Q$7,2),IF($N65=Lists!$K$3,IF($L65&lt;1,(($U65/$L65)*((1+Inputs!$D$7)^CZ$2)),((INT(CZ$2/$L65)-INT((CZ$2-1)/$L65))*$U65*((1+Inputs!$D$7)^CZ$2))),(Inputs!$D$8^((1-_xlfn.WEIBULL.DIST(CZ$2,$M65,$L65,FALSE))/_xlfn.WEIBULL.DIST(CZ$2,$M65,$L65,FALSE))*$U65*((1+Inputs!$D$7)^CZ$2))),IF($N65=Lists!$K$3,IF($L65&lt;1,((($T65*(1-$F65)+$S65*(1-$G65))/$L65)*((1+Inputs!$D$7)^CZ$2)),((INT(CZ$2/$L65)-INT((CZ$2-1)/$L65))*($T65*(1-$F65)+$S65*(1-$G65))*((1+Inputs!$D$7)^CZ$2))),((Inputs!$D$8^((1-_xlfn.WEIBULL.DIST(CZ$2,$M65,$L65,FALSE))/_xlfn.WEIBULL.DIST(CZ$2,$M65,$L65,FALSE))*($T65*(1-$F65)+$S65*(1-$G65))*((1+Inputs!$D$7)^CZ$2))))))))</f>
        <v>0</v>
      </c>
      <c r="DA65" s="88">
        <f>MAX(BK65,($E65*IF(DA$2&gt;Inputs!$D$5,0,IF(DA$2&gt;VLOOKUP($H65,Lists!$P$3:$Q$7,2),IF($N65=Lists!$K$3,IF($L65&lt;1,(($U65/$L65)*((1+Inputs!$D$7)^DA$2)),((INT(DA$2/$L65)-INT((DA$2-1)/$L65))*$U65*((1+Inputs!$D$7)^DA$2))),(Inputs!$D$8^((1-_xlfn.WEIBULL.DIST(DA$2,$M65,$L65,FALSE))/_xlfn.WEIBULL.DIST(DA$2,$M65,$L65,FALSE))*$U65*((1+Inputs!$D$7)^DA$2))),IF($N65=Lists!$K$3,IF($L65&lt;1,((($T65*(1-$F65)+$S65*(1-$G65))/$L65)*((1+Inputs!$D$7)^DA$2)),((INT(DA$2/$L65)-INT((DA$2-1)/$L65))*($T65*(1-$F65)+$S65*(1-$G65))*((1+Inputs!$D$7)^DA$2))),((Inputs!$D$8^((1-_xlfn.WEIBULL.DIST(DA$2,$M65,$L65,FALSE))/_xlfn.WEIBULL.DIST(DA$2,$M65,$L65,FALSE))*($T65*(1-$F65)+$S65*(1-$G65))*((1+Inputs!$D$7)^DA$2))))))))</f>
        <v>0</v>
      </c>
      <c r="DB65" s="88">
        <f>MAX(BL65,($E65*IF(DB$2&gt;Inputs!$D$5,0,IF(DB$2&gt;VLOOKUP($H65,Lists!$P$3:$Q$7,2),IF($N65=Lists!$K$3,IF($L65&lt;1,(($U65/$L65)*((1+Inputs!$D$7)^DB$2)),((INT(DB$2/$L65)-INT((DB$2-1)/$L65))*$U65*((1+Inputs!$D$7)^DB$2))),(Inputs!$D$8^((1-_xlfn.WEIBULL.DIST(DB$2,$M65,$L65,FALSE))/_xlfn.WEIBULL.DIST(DB$2,$M65,$L65,FALSE))*$U65*((1+Inputs!$D$7)^DB$2))),IF($N65=Lists!$K$3,IF($L65&lt;1,((($T65*(1-$F65)+$S65*(1-$G65))/$L65)*((1+Inputs!$D$7)^DB$2)),((INT(DB$2/$L65)-INT((DB$2-1)/$L65))*($T65*(1-$F65)+$S65*(1-$G65))*((1+Inputs!$D$7)^DB$2))),((Inputs!$D$8^((1-_xlfn.WEIBULL.DIST(DB$2,$M65,$L65,FALSE))/_xlfn.WEIBULL.DIST(DB$2,$M65,$L65,FALSE))*($T65*(1-$F65)+$S65*(1-$G65))*((1+Inputs!$D$7)^DB$2))))))))</f>
        <v>0</v>
      </c>
      <c r="DC65" s="88">
        <f>MAX(BM65,($E65*IF(DC$2&gt;Inputs!$D$5,0,IF(DC$2&gt;VLOOKUP($H65,Lists!$P$3:$Q$7,2),IF($N65=Lists!$K$3,IF($L65&lt;1,(($U65/$L65)*((1+Inputs!$D$7)^DC$2)),((INT(DC$2/$L65)-INT((DC$2-1)/$L65))*$U65*((1+Inputs!$D$7)^DC$2))),(Inputs!$D$8^((1-_xlfn.WEIBULL.DIST(DC$2,$M65,$L65,FALSE))/_xlfn.WEIBULL.DIST(DC$2,$M65,$L65,FALSE))*$U65*((1+Inputs!$D$7)^DC$2))),IF($N65=Lists!$K$3,IF($L65&lt;1,((($T65*(1-$F65)+$S65*(1-$G65))/$L65)*((1+Inputs!$D$7)^DC$2)),((INT(DC$2/$L65)-INT((DC$2-1)/$L65))*($T65*(1-$F65)+$S65*(1-$G65))*((1+Inputs!$D$7)^DC$2))),((Inputs!$D$8^((1-_xlfn.WEIBULL.DIST(DC$2,$M65,$L65,FALSE))/_xlfn.WEIBULL.DIST(DC$2,$M65,$L65,FALSE))*($T65*(1-$F65)+$S65*(1-$G65))*((1+Inputs!$D$7)^DC$2))))))))</f>
        <v>0</v>
      </c>
      <c r="DD65" s="88">
        <f>MAX(BN65,($E65*IF(DD$2&gt;Inputs!$D$5,0,IF(DD$2&gt;VLOOKUP($H65,Lists!$P$3:$Q$7,2),IF($N65=Lists!$K$3,IF($L65&lt;1,(($U65/$L65)*((1+Inputs!$D$7)^DD$2)),((INT(DD$2/$L65)-INT((DD$2-1)/$L65))*$U65*((1+Inputs!$D$7)^DD$2))),(Inputs!$D$8^((1-_xlfn.WEIBULL.DIST(DD$2,$M65,$L65,FALSE))/_xlfn.WEIBULL.DIST(DD$2,$M65,$L65,FALSE))*$U65*((1+Inputs!$D$7)^DD$2))),IF($N65=Lists!$K$3,IF($L65&lt;1,((($T65*(1-$F65)+$S65*(1-$G65))/$L65)*((1+Inputs!$D$7)^DD$2)),((INT(DD$2/$L65)-INT((DD$2-1)/$L65))*($T65*(1-$F65)+$S65*(1-$G65))*((1+Inputs!$D$7)^DD$2))),((Inputs!$D$8^((1-_xlfn.WEIBULL.DIST(DD$2,$M65,$L65,FALSE))/_xlfn.WEIBULL.DIST(DD$2,$M65,$L65,FALSE))*($T65*(1-$F65)+$S65*(1-$G65))*((1+Inputs!$D$7)^DD$2))))))))</f>
        <v>0</v>
      </c>
    </row>
    <row r="66" spans="1:108" s="1" customFormat="1" ht="16">
      <c r="A66" s="57" t="s">
        <v>135</v>
      </c>
      <c r="B66" s="13" t="s">
        <v>279</v>
      </c>
      <c r="C66" s="13" t="s">
        <v>90</v>
      </c>
      <c r="D66" s="13" t="s">
        <v>122</v>
      </c>
      <c r="E66" s="48">
        <v>1</v>
      </c>
      <c r="F66" s="48">
        <v>0</v>
      </c>
      <c r="G66" s="48">
        <v>0</v>
      </c>
      <c r="H66" s="105" t="s">
        <v>350</v>
      </c>
      <c r="I66" s="14" t="s">
        <v>22</v>
      </c>
      <c r="J66" s="14" t="s">
        <v>246</v>
      </c>
      <c r="K66" s="13">
        <f>VLOOKUP(J66,'Labor Rates'!$A$1:$F$16,2)</f>
        <v>33.119999999999997</v>
      </c>
      <c r="L66" s="15">
        <v>1</v>
      </c>
      <c r="M66" s="15">
        <v>1</v>
      </c>
      <c r="N66" s="13" t="s">
        <v>236</v>
      </c>
      <c r="O66" s="61">
        <f>Inputs!$D$29</f>
        <v>157</v>
      </c>
      <c r="P66" s="15">
        <v>0.08</v>
      </c>
      <c r="Q66" s="15">
        <f t="shared" si="7"/>
        <v>12.56</v>
      </c>
      <c r="R66" s="4">
        <v>0</v>
      </c>
      <c r="S66" s="53">
        <f t="shared" si="8"/>
        <v>415.98719999999997</v>
      </c>
      <c r="T66" s="53">
        <f t="shared" si="9"/>
        <v>0</v>
      </c>
      <c r="U66" s="54">
        <f t="shared" si="10"/>
        <v>415.98719999999997</v>
      </c>
      <c r="V66" s="65"/>
      <c r="W66" s="58"/>
      <c r="X66" s="64">
        <f t="shared" si="11"/>
        <v>515.47713633083333</v>
      </c>
      <c r="Y66" s="64">
        <f>NPV(Inputs!$D$6,AA66:BN66)</f>
        <v>5920.9462300783234</v>
      </c>
      <c r="Z66" s="67">
        <f t="shared" si="12"/>
        <v>2.7926073068914661E-3</v>
      </c>
      <c r="AA66" s="88">
        <f>$E66*IF(AA$2&gt;Inputs!$D$5,0,IF(AA$2&gt;VLOOKUP($H66,Lists!$P$3:$Q$7,2),IF($N66=Lists!$K$3,IF($L66&lt;1,(($U66/$L66)*((1+Inputs!$D$7)^AA$2)),((INT(AA$2/$L66)-INT((AA$2-1)/$L66))*$U66*((1+Inputs!$D$7)^AA$2))),(_xlfn.WEIBULL.DIST(AA$2,$M66,$L66,FALSE)*$U66*((1+Inputs!$D$7)^AA$2))),IF($N66=Lists!$K$3,IF($L66&lt;1,((($T66*(1-$F66)+$S66*(1-$G66))/$L66)*((1+Inputs!$D$7)^AA$2)),((INT(AA$2/$L66)-INT((AA$2-1)/$L66))*($T66*(1-$F66)+$S66*(1-$G66))*((1+Inputs!$D$7)^AA$2))),((_xlfn.WEIBULL.DIST(AA$2,$M66,$L66,FALSE)*($T66*(1-$F66)+$S66*(1-$G66))*((1+Inputs!$D$7)^AA$2))))))</f>
        <v>424.30694399999999</v>
      </c>
      <c r="AB66" s="88">
        <f>$E66*IF(AB$2&gt;Inputs!$D$5,0,IF(AB$2&gt;VLOOKUP($H66,Lists!$P$3:$Q$7,2),IF($N66=Lists!$K$3,IF($L66&lt;1,(($U66/$L66)*((1+Inputs!$D$7)^AB$2)),((INT(AB$2/$L66)-INT((AB$2-1)/$L66))*$U66*((1+Inputs!$D$7)^AB$2))),(_xlfn.WEIBULL.DIST(AB$2,$M66,$L66,FALSE)*$U66*((1+Inputs!$D$7)^AB$2))),IF($N66=Lists!$K$3,IF($L66&lt;1,((($T66*(1-$F66)+$S66*(1-$G66))/$L66)*((1+Inputs!$D$7)^AB$2)),((INT(AB$2/$L66)-INT((AB$2-1)/$L66))*($T66*(1-$F66)+$S66*(1-$G66))*((1+Inputs!$D$7)^AB$2))),((_xlfn.WEIBULL.DIST(AB$2,$M66,$L66,FALSE)*($T66*(1-$F66)+$S66*(1-$G66))*((1+Inputs!$D$7)^AB$2))))))</f>
        <v>432.79308287999999</v>
      </c>
      <c r="AC66" s="88">
        <f>$E66*IF(AC$2&gt;Inputs!$D$5,0,IF(AC$2&gt;VLOOKUP($H66,Lists!$P$3:$Q$7,2),IF($N66=Lists!$K$3,IF($L66&lt;1,(($U66/$L66)*((1+Inputs!$D$7)^AC$2)),((INT(AC$2/$L66)-INT((AC$2-1)/$L66))*$U66*((1+Inputs!$D$7)^AC$2))),(_xlfn.WEIBULL.DIST(AC$2,$M66,$L66,FALSE)*$U66*((1+Inputs!$D$7)^AC$2))),IF($N66=Lists!$K$3,IF($L66&lt;1,((($T66*(1-$F66)+$S66*(1-$G66))/$L66)*((1+Inputs!$D$7)^AC$2)),((INT(AC$2/$L66)-INT((AC$2-1)/$L66))*($T66*(1-$F66)+$S66*(1-$G66))*((1+Inputs!$D$7)^AC$2))),((_xlfn.WEIBULL.DIST(AC$2,$M66,$L66,FALSE)*($T66*(1-$F66)+$S66*(1-$G66))*((1+Inputs!$D$7)^AC$2))))))</f>
        <v>441.44894453759991</v>
      </c>
      <c r="AD66" s="88">
        <f>$E66*IF(AD$2&gt;Inputs!$D$5,0,IF(AD$2&gt;VLOOKUP($H66,Lists!$P$3:$Q$7,2),IF($N66=Lists!$K$3,IF($L66&lt;1,(($U66/$L66)*((1+Inputs!$D$7)^AD$2)),((INT(AD$2/$L66)-INT((AD$2-1)/$L66))*$U66*((1+Inputs!$D$7)^AD$2))),(_xlfn.WEIBULL.DIST(AD$2,$M66,$L66,FALSE)*$U66*((1+Inputs!$D$7)^AD$2))),IF($N66=Lists!$K$3,IF($L66&lt;1,((($T66*(1-$F66)+$S66*(1-$G66))/$L66)*((1+Inputs!$D$7)^AD$2)),((INT(AD$2/$L66)-INT((AD$2-1)/$L66))*($T66*(1-$F66)+$S66*(1-$G66))*((1+Inputs!$D$7)^AD$2))),((_xlfn.WEIBULL.DIST(AD$2,$M66,$L66,FALSE)*($T66*(1-$F66)+$S66*(1-$G66))*((1+Inputs!$D$7)^AD$2))))))</f>
        <v>450.27792342835198</v>
      </c>
      <c r="AE66" s="88">
        <f>$E66*IF(AE$2&gt;Inputs!$D$5,0,IF(AE$2&gt;VLOOKUP($H66,Lists!$P$3:$Q$7,2),IF($N66=Lists!$K$3,IF($L66&lt;1,(($U66/$L66)*((1+Inputs!$D$7)^AE$2)),((INT(AE$2/$L66)-INT((AE$2-1)/$L66))*$U66*((1+Inputs!$D$7)^AE$2))),(_xlfn.WEIBULL.DIST(AE$2,$M66,$L66,FALSE)*$U66*((1+Inputs!$D$7)^AE$2))),IF($N66=Lists!$K$3,IF($L66&lt;1,((($T66*(1-$F66)+$S66*(1-$G66))/$L66)*((1+Inputs!$D$7)^AE$2)),((INT(AE$2/$L66)-INT((AE$2-1)/$L66))*($T66*(1-$F66)+$S66*(1-$G66))*((1+Inputs!$D$7)^AE$2))),((_xlfn.WEIBULL.DIST(AE$2,$M66,$L66,FALSE)*($T66*(1-$F66)+$S66*(1-$G66))*((1+Inputs!$D$7)^AE$2))))))</f>
        <v>459.283481896919</v>
      </c>
      <c r="AF66" s="88">
        <f>$E66*IF(AF$2&gt;Inputs!$D$5,0,IF(AF$2&gt;VLOOKUP($H66,Lists!$P$3:$Q$7,2),IF($N66=Lists!$K$3,IF($L66&lt;1,(($U66/$L66)*((1+Inputs!$D$7)^AF$2)),((INT(AF$2/$L66)-INT((AF$2-1)/$L66))*$U66*((1+Inputs!$D$7)^AF$2))),(_xlfn.WEIBULL.DIST(AF$2,$M66,$L66,FALSE)*$U66*((1+Inputs!$D$7)^AF$2))),IF($N66=Lists!$K$3,IF($L66&lt;1,((($T66*(1-$F66)+$S66*(1-$G66))/$L66)*((1+Inputs!$D$7)^AF$2)),((INT(AF$2/$L66)-INT((AF$2-1)/$L66))*($T66*(1-$F66)+$S66*(1-$G66))*((1+Inputs!$D$7)^AF$2))),((_xlfn.WEIBULL.DIST(AF$2,$M66,$L66,FALSE)*($T66*(1-$F66)+$S66*(1-$G66))*((1+Inputs!$D$7)^AF$2))))))</f>
        <v>468.46915153485742</v>
      </c>
      <c r="AG66" s="88">
        <f>$E66*IF(AG$2&gt;Inputs!$D$5,0,IF(AG$2&gt;VLOOKUP($H66,Lists!$P$3:$Q$7,2),IF($N66=Lists!$K$3,IF($L66&lt;1,(($U66/$L66)*((1+Inputs!$D$7)^AG$2)),((INT(AG$2/$L66)-INT((AG$2-1)/$L66))*$U66*((1+Inputs!$D$7)^AG$2))),(_xlfn.WEIBULL.DIST(AG$2,$M66,$L66,FALSE)*$U66*((1+Inputs!$D$7)^AG$2))),IF($N66=Lists!$K$3,IF($L66&lt;1,((($T66*(1-$F66)+$S66*(1-$G66))/$L66)*((1+Inputs!$D$7)^AG$2)),((INT(AG$2/$L66)-INT((AG$2-1)/$L66))*($T66*(1-$F66)+$S66*(1-$G66))*((1+Inputs!$D$7)^AG$2))),((_xlfn.WEIBULL.DIST(AG$2,$M66,$L66,FALSE)*($T66*(1-$F66)+$S66*(1-$G66))*((1+Inputs!$D$7)^AG$2))))))</f>
        <v>477.83853456555448</v>
      </c>
      <c r="AH66" s="88">
        <f>$E66*IF(AH$2&gt;Inputs!$D$5,0,IF(AH$2&gt;VLOOKUP($H66,Lists!$P$3:$Q$7,2),IF($N66=Lists!$K$3,IF($L66&lt;1,(($U66/$L66)*((1+Inputs!$D$7)^AH$2)),((INT(AH$2/$L66)-INT((AH$2-1)/$L66))*$U66*((1+Inputs!$D$7)^AH$2))),(_xlfn.WEIBULL.DIST(AH$2,$M66,$L66,FALSE)*$U66*((1+Inputs!$D$7)^AH$2))),IF($N66=Lists!$K$3,IF($L66&lt;1,((($T66*(1-$F66)+$S66*(1-$G66))/$L66)*((1+Inputs!$D$7)^AH$2)),((INT(AH$2/$L66)-INT((AH$2-1)/$L66))*($T66*(1-$F66)+$S66*(1-$G66))*((1+Inputs!$D$7)^AH$2))),((_xlfn.WEIBULL.DIST(AH$2,$M66,$L66,FALSE)*($T66*(1-$F66)+$S66*(1-$G66))*((1+Inputs!$D$7)^AH$2))))))</f>
        <v>487.39530525686558</v>
      </c>
      <c r="AI66" s="88">
        <f>$E66*IF(AI$2&gt;Inputs!$D$5,0,IF(AI$2&gt;VLOOKUP($H66,Lists!$P$3:$Q$7,2),IF($N66=Lists!$K$3,IF($L66&lt;1,(($U66/$L66)*((1+Inputs!$D$7)^AI$2)),((INT(AI$2/$L66)-INT((AI$2-1)/$L66))*$U66*((1+Inputs!$D$7)^AI$2))),(_xlfn.WEIBULL.DIST(AI$2,$M66,$L66,FALSE)*$U66*((1+Inputs!$D$7)^AI$2))),IF($N66=Lists!$K$3,IF($L66&lt;1,((($T66*(1-$F66)+$S66*(1-$G66))/$L66)*((1+Inputs!$D$7)^AI$2)),((INT(AI$2/$L66)-INT((AI$2-1)/$L66))*($T66*(1-$F66)+$S66*(1-$G66))*((1+Inputs!$D$7)^AI$2))),((_xlfn.WEIBULL.DIST(AI$2,$M66,$L66,FALSE)*($T66*(1-$F66)+$S66*(1-$G66))*((1+Inputs!$D$7)^AI$2))))))</f>
        <v>497.14321136200289</v>
      </c>
      <c r="AJ66" s="88">
        <f>$E66*IF(AJ$2&gt;Inputs!$D$5,0,IF(AJ$2&gt;VLOOKUP($H66,Lists!$P$3:$Q$7,2),IF($N66=Lists!$K$3,IF($L66&lt;1,(($U66/$L66)*((1+Inputs!$D$7)^AJ$2)),((INT(AJ$2/$L66)-INT((AJ$2-1)/$L66))*$U66*((1+Inputs!$D$7)^AJ$2))),(_xlfn.WEIBULL.DIST(AJ$2,$M66,$L66,FALSE)*$U66*((1+Inputs!$D$7)^AJ$2))),IF($N66=Lists!$K$3,IF($L66&lt;1,((($T66*(1-$F66)+$S66*(1-$G66))/$L66)*((1+Inputs!$D$7)^AJ$2)),((INT(AJ$2/$L66)-INT((AJ$2-1)/$L66))*($T66*(1-$F66)+$S66*(1-$G66))*((1+Inputs!$D$7)^AJ$2))),((_xlfn.WEIBULL.DIST(AJ$2,$M66,$L66,FALSE)*($T66*(1-$F66)+$S66*(1-$G66))*((1+Inputs!$D$7)^AJ$2))))))</f>
        <v>507.08607558924297</v>
      </c>
      <c r="AK66" s="88">
        <f>$E66*IF(AK$2&gt;Inputs!$D$5,0,IF(AK$2&gt;VLOOKUP($H66,Lists!$P$3:$Q$7,2),IF($N66=Lists!$K$3,IF($L66&lt;1,(($U66/$L66)*((1+Inputs!$D$7)^AK$2)),((INT(AK$2/$L66)-INT((AK$2-1)/$L66))*$U66*((1+Inputs!$D$7)^AK$2))),(_xlfn.WEIBULL.DIST(AK$2,$M66,$L66,FALSE)*$U66*((1+Inputs!$D$7)^AK$2))),IF($N66=Lists!$K$3,IF($L66&lt;1,((($T66*(1-$F66)+$S66*(1-$G66))/$L66)*((1+Inputs!$D$7)^AK$2)),((INT(AK$2/$L66)-INT((AK$2-1)/$L66))*($T66*(1-$F66)+$S66*(1-$G66))*((1+Inputs!$D$7)^AK$2))),((_xlfn.WEIBULL.DIST(AK$2,$M66,$L66,FALSE)*($T66*(1-$F66)+$S66*(1-$G66))*((1+Inputs!$D$7)^AK$2))))))</f>
        <v>517.2277971010277</v>
      </c>
      <c r="AL66" s="88">
        <f>$E66*IF(AL$2&gt;Inputs!$D$5,0,IF(AL$2&gt;VLOOKUP($H66,Lists!$P$3:$Q$7,2),IF($N66=Lists!$K$3,IF($L66&lt;1,(($U66/$L66)*((1+Inputs!$D$7)^AL$2)),((INT(AL$2/$L66)-INT((AL$2-1)/$L66))*$U66*((1+Inputs!$D$7)^AL$2))),(_xlfn.WEIBULL.DIST(AL$2,$M66,$L66,FALSE)*$U66*((1+Inputs!$D$7)^AL$2))),IF($N66=Lists!$K$3,IF($L66&lt;1,((($T66*(1-$F66)+$S66*(1-$G66))/$L66)*((1+Inputs!$D$7)^AL$2)),((INT(AL$2/$L66)-INT((AL$2-1)/$L66))*($T66*(1-$F66)+$S66*(1-$G66))*((1+Inputs!$D$7)^AL$2))),((_xlfn.WEIBULL.DIST(AL$2,$M66,$L66,FALSE)*($T66*(1-$F66)+$S66*(1-$G66))*((1+Inputs!$D$7)^AL$2))))))</f>
        <v>527.57235304304845</v>
      </c>
      <c r="AM66" s="88">
        <f>$E66*IF(AM$2&gt;Inputs!$D$5,0,IF(AM$2&gt;VLOOKUP($H66,Lists!$P$3:$Q$7,2),IF($N66=Lists!$K$3,IF($L66&lt;1,(($U66/$L66)*((1+Inputs!$D$7)^AM$2)),((INT(AM$2/$L66)-INT((AM$2-1)/$L66))*$U66*((1+Inputs!$D$7)^AM$2))),(_xlfn.WEIBULL.DIST(AM$2,$M66,$L66,FALSE)*$U66*((1+Inputs!$D$7)^AM$2))),IF($N66=Lists!$K$3,IF($L66&lt;1,((($T66*(1-$F66)+$S66*(1-$G66))/$L66)*((1+Inputs!$D$7)^AM$2)),((INT(AM$2/$L66)-INT((AM$2-1)/$L66))*($T66*(1-$F66)+$S66*(1-$G66))*((1+Inputs!$D$7)^AM$2))),((_xlfn.WEIBULL.DIST(AM$2,$M66,$L66,FALSE)*($T66*(1-$F66)+$S66*(1-$G66))*((1+Inputs!$D$7)^AM$2))))))</f>
        <v>538.12380010390928</v>
      </c>
      <c r="AN66" s="88">
        <f>$E66*IF(AN$2&gt;Inputs!$D$5,0,IF(AN$2&gt;VLOOKUP($H66,Lists!$P$3:$Q$7,2),IF($N66=Lists!$K$3,IF($L66&lt;1,(($U66/$L66)*((1+Inputs!$D$7)^AN$2)),((INT(AN$2/$L66)-INT((AN$2-1)/$L66))*$U66*((1+Inputs!$D$7)^AN$2))),(_xlfn.WEIBULL.DIST(AN$2,$M66,$L66,FALSE)*$U66*((1+Inputs!$D$7)^AN$2))),IF($N66=Lists!$K$3,IF($L66&lt;1,((($T66*(1-$F66)+$S66*(1-$G66))/$L66)*((1+Inputs!$D$7)^AN$2)),((INT(AN$2/$L66)-INT((AN$2-1)/$L66))*($T66*(1-$F66)+$S66*(1-$G66))*((1+Inputs!$D$7)^AN$2))),((_xlfn.WEIBULL.DIST(AN$2,$M66,$L66,FALSE)*($T66*(1-$F66)+$S66*(1-$G66))*((1+Inputs!$D$7)^AN$2))))))</f>
        <v>548.88627610598758</v>
      </c>
      <c r="AO66" s="88">
        <f>$E66*IF(AO$2&gt;Inputs!$D$5,0,IF(AO$2&gt;VLOOKUP($H66,Lists!$P$3:$Q$7,2),IF($N66=Lists!$K$3,IF($L66&lt;1,(($U66/$L66)*((1+Inputs!$D$7)^AO$2)),((INT(AO$2/$L66)-INT((AO$2-1)/$L66))*$U66*((1+Inputs!$D$7)^AO$2))),(_xlfn.WEIBULL.DIST(AO$2,$M66,$L66,FALSE)*$U66*((1+Inputs!$D$7)^AO$2))),IF($N66=Lists!$K$3,IF($L66&lt;1,((($T66*(1-$F66)+$S66*(1-$G66))/$L66)*((1+Inputs!$D$7)^AO$2)),((INT(AO$2/$L66)-INT((AO$2-1)/$L66))*($T66*(1-$F66)+$S66*(1-$G66))*((1+Inputs!$D$7)^AO$2))),((_xlfn.WEIBULL.DIST(AO$2,$M66,$L66,FALSE)*($T66*(1-$F66)+$S66*(1-$G66))*((1+Inputs!$D$7)^AO$2))))))</f>
        <v>559.86400162810719</v>
      </c>
      <c r="AP66" s="88">
        <f>$E66*IF(AP$2&gt;Inputs!$D$5,0,IF(AP$2&gt;VLOOKUP($H66,Lists!$P$3:$Q$7,2),IF($N66=Lists!$K$3,IF($L66&lt;1,(($U66/$L66)*((1+Inputs!$D$7)^AP$2)),((INT(AP$2/$L66)-INT((AP$2-1)/$L66))*$U66*((1+Inputs!$D$7)^AP$2))),(_xlfn.WEIBULL.DIST(AP$2,$M66,$L66,FALSE)*$U66*((1+Inputs!$D$7)^AP$2))),IF($N66=Lists!$K$3,IF($L66&lt;1,((($T66*(1-$F66)+$S66*(1-$G66))/$L66)*((1+Inputs!$D$7)^AP$2)),((INT(AP$2/$L66)-INT((AP$2-1)/$L66))*($T66*(1-$F66)+$S66*(1-$G66))*((1+Inputs!$D$7)^AP$2))),((_xlfn.WEIBULL.DIST(AP$2,$M66,$L66,FALSE)*($T66*(1-$F66)+$S66*(1-$G66))*((1+Inputs!$D$7)^AP$2))))))</f>
        <v>571.06128166066947</v>
      </c>
      <c r="AQ66" s="88">
        <f>$E66*IF(AQ$2&gt;Inputs!$D$5,0,IF(AQ$2&gt;VLOOKUP($H66,Lists!$P$3:$Q$7,2),IF($N66=Lists!$K$3,IF($L66&lt;1,(($U66/$L66)*((1+Inputs!$D$7)^AQ$2)),((INT(AQ$2/$L66)-INT((AQ$2-1)/$L66))*$U66*((1+Inputs!$D$7)^AQ$2))),(_xlfn.WEIBULL.DIST(AQ$2,$M66,$L66,FALSE)*$U66*((1+Inputs!$D$7)^AQ$2))),IF($N66=Lists!$K$3,IF($L66&lt;1,((($T66*(1-$F66)+$S66*(1-$G66))/$L66)*((1+Inputs!$D$7)^AQ$2)),((INT(AQ$2/$L66)-INT((AQ$2-1)/$L66))*($T66*(1-$F66)+$S66*(1-$G66))*((1+Inputs!$D$7)^AQ$2))),((_xlfn.WEIBULL.DIST(AQ$2,$M66,$L66,FALSE)*($T66*(1-$F66)+$S66*(1-$G66))*((1+Inputs!$D$7)^AQ$2))))))</f>
        <v>582.4825072938828</v>
      </c>
      <c r="AR66" s="88">
        <f>$E66*IF(AR$2&gt;Inputs!$D$5,0,IF(AR$2&gt;VLOOKUP($H66,Lists!$P$3:$Q$7,2),IF($N66=Lists!$K$3,IF($L66&lt;1,(($U66/$L66)*((1+Inputs!$D$7)^AR$2)),((INT(AR$2/$L66)-INT((AR$2-1)/$L66))*$U66*((1+Inputs!$D$7)^AR$2))),(_xlfn.WEIBULL.DIST(AR$2,$M66,$L66,FALSE)*$U66*((1+Inputs!$D$7)^AR$2))),IF($N66=Lists!$K$3,IF($L66&lt;1,((($T66*(1-$F66)+$S66*(1-$G66))/$L66)*((1+Inputs!$D$7)^AR$2)),((INT(AR$2/$L66)-INT((AR$2-1)/$L66))*($T66*(1-$F66)+$S66*(1-$G66))*((1+Inputs!$D$7)^AR$2))),((_xlfn.WEIBULL.DIST(AR$2,$M66,$L66,FALSE)*($T66*(1-$F66)+$S66*(1-$G66))*((1+Inputs!$D$7)^AR$2))))))</f>
        <v>594.13215743976048</v>
      </c>
      <c r="AS66" s="88">
        <f>$E66*IF(AS$2&gt;Inputs!$D$5,0,IF(AS$2&gt;VLOOKUP($H66,Lists!$P$3:$Q$7,2),IF($N66=Lists!$K$3,IF($L66&lt;1,(($U66/$L66)*((1+Inputs!$D$7)^AS$2)),((INT(AS$2/$L66)-INT((AS$2-1)/$L66))*$U66*((1+Inputs!$D$7)^AS$2))),(_xlfn.WEIBULL.DIST(AS$2,$M66,$L66,FALSE)*$U66*((1+Inputs!$D$7)^AS$2))),IF($N66=Lists!$K$3,IF($L66&lt;1,((($T66*(1-$F66)+$S66*(1-$G66))/$L66)*((1+Inputs!$D$7)^AS$2)),((INT(AS$2/$L66)-INT((AS$2-1)/$L66))*($T66*(1-$F66)+$S66*(1-$G66))*((1+Inputs!$D$7)^AS$2))),((_xlfn.WEIBULL.DIST(AS$2,$M66,$L66,FALSE)*($T66*(1-$F66)+$S66*(1-$G66))*((1+Inputs!$D$7)^AS$2))))))</f>
        <v>606.01480058855566</v>
      </c>
      <c r="AT66" s="88">
        <f>$E66*IF(AT$2&gt;Inputs!$D$5,0,IF(AT$2&gt;VLOOKUP($H66,Lists!$P$3:$Q$7,2),IF($N66=Lists!$K$3,IF($L66&lt;1,(($U66/$L66)*((1+Inputs!$D$7)^AT$2)),((INT(AT$2/$L66)-INT((AT$2-1)/$L66))*$U66*((1+Inputs!$D$7)^AT$2))),(_xlfn.WEIBULL.DIST(AT$2,$M66,$L66,FALSE)*$U66*((1+Inputs!$D$7)^AT$2))),IF($N66=Lists!$K$3,IF($L66&lt;1,((($T66*(1-$F66)+$S66*(1-$G66))/$L66)*((1+Inputs!$D$7)^AT$2)),((INT(AT$2/$L66)-INT((AT$2-1)/$L66))*($T66*(1-$F66)+$S66*(1-$G66))*((1+Inputs!$D$7)^AT$2))),((_xlfn.WEIBULL.DIST(AT$2,$M66,$L66,FALSE)*($T66*(1-$F66)+$S66*(1-$G66))*((1+Inputs!$D$7)^AT$2))))))</f>
        <v>618.13509660032685</v>
      </c>
      <c r="AU66" s="88">
        <f>$E66*IF(AU$2&gt;Inputs!$D$5,0,IF(AU$2&gt;VLOOKUP($H66,Lists!$P$3:$Q$7,2),IF($N66=Lists!$K$3,IF($L66&lt;1,(($U66/$L66)*((1+Inputs!$D$7)^AU$2)),((INT(AU$2/$L66)-INT((AU$2-1)/$L66))*$U66*((1+Inputs!$D$7)^AU$2))),(_xlfn.WEIBULL.DIST(AU$2,$M66,$L66,FALSE)*$U66*((1+Inputs!$D$7)^AU$2))),IF($N66=Lists!$K$3,IF($L66&lt;1,((($T66*(1-$F66)+$S66*(1-$G66))/$L66)*((1+Inputs!$D$7)^AU$2)),((INT(AU$2/$L66)-INT((AU$2-1)/$L66))*($T66*(1-$F66)+$S66*(1-$G66))*((1+Inputs!$D$7)^AU$2))),((_xlfn.WEIBULL.DIST(AU$2,$M66,$L66,FALSE)*($T66*(1-$F66)+$S66*(1-$G66))*((1+Inputs!$D$7)^AU$2))))))</f>
        <v>630.49779853233326</v>
      </c>
      <c r="AV66" s="88">
        <f>$E66*IF(AV$2&gt;Inputs!$D$5,0,IF(AV$2&gt;VLOOKUP($H66,Lists!$P$3:$Q$7,2),IF($N66=Lists!$K$3,IF($L66&lt;1,(($U66/$L66)*((1+Inputs!$D$7)^AV$2)),((INT(AV$2/$L66)-INT((AV$2-1)/$L66))*$U66*((1+Inputs!$D$7)^AV$2))),(_xlfn.WEIBULL.DIST(AV$2,$M66,$L66,FALSE)*$U66*((1+Inputs!$D$7)^AV$2))),IF($N66=Lists!$K$3,IF($L66&lt;1,((($T66*(1-$F66)+$S66*(1-$G66))/$L66)*((1+Inputs!$D$7)^AV$2)),((INT(AV$2/$L66)-INT((AV$2-1)/$L66))*($T66*(1-$F66)+$S66*(1-$G66))*((1+Inputs!$D$7)^AV$2))),((_xlfn.WEIBULL.DIST(AV$2,$M66,$L66,FALSE)*($T66*(1-$F66)+$S66*(1-$G66))*((1+Inputs!$D$7)^AV$2))))))</f>
        <v>643.10775450298001</v>
      </c>
      <c r="AW66" s="88">
        <f>$E66*IF(AW$2&gt;Inputs!$D$5,0,IF(AW$2&gt;VLOOKUP($H66,Lists!$P$3:$Q$7,2),IF($N66=Lists!$K$3,IF($L66&lt;1,(($U66/$L66)*((1+Inputs!$D$7)^AW$2)),((INT(AW$2/$L66)-INT((AW$2-1)/$L66))*$U66*((1+Inputs!$D$7)^AW$2))),(_xlfn.WEIBULL.DIST(AW$2,$M66,$L66,FALSE)*$U66*((1+Inputs!$D$7)^AW$2))),IF($N66=Lists!$K$3,IF($L66&lt;1,((($T66*(1-$F66)+$S66*(1-$G66))/$L66)*((1+Inputs!$D$7)^AW$2)),((INT(AW$2/$L66)-INT((AW$2-1)/$L66))*($T66*(1-$F66)+$S66*(1-$G66))*((1+Inputs!$D$7)^AW$2))),((_xlfn.WEIBULL.DIST(AW$2,$M66,$L66,FALSE)*($T66*(1-$F66)+$S66*(1-$G66))*((1+Inputs!$D$7)^AW$2))))))</f>
        <v>655.96990959303946</v>
      </c>
      <c r="AX66" s="88">
        <f>$E66*IF(AX$2&gt;Inputs!$D$5,0,IF(AX$2&gt;VLOOKUP($H66,Lists!$P$3:$Q$7,2),IF($N66=Lists!$K$3,IF($L66&lt;1,(($U66/$L66)*((1+Inputs!$D$7)^AX$2)),((INT(AX$2/$L66)-INT((AX$2-1)/$L66))*$U66*((1+Inputs!$D$7)^AX$2))),(_xlfn.WEIBULL.DIST(AX$2,$M66,$L66,FALSE)*$U66*((1+Inputs!$D$7)^AX$2))),IF($N66=Lists!$K$3,IF($L66&lt;1,((($T66*(1-$F66)+$S66*(1-$G66))/$L66)*((1+Inputs!$D$7)^AX$2)),((INT(AX$2/$L66)-INT((AX$2-1)/$L66))*($T66*(1-$F66)+$S66*(1-$G66))*((1+Inputs!$D$7)^AX$2))),((_xlfn.WEIBULL.DIST(AX$2,$M66,$L66,FALSE)*($T66*(1-$F66)+$S66*(1-$G66))*((1+Inputs!$D$7)^AX$2))))))</f>
        <v>669.08930778490026</v>
      </c>
      <c r="AY66" s="88">
        <f>$E66*IF(AY$2&gt;Inputs!$D$5,0,IF(AY$2&gt;VLOOKUP($H66,Lists!$P$3:$Q$7,2),IF($N66=Lists!$K$3,IF($L66&lt;1,(($U66/$L66)*((1+Inputs!$D$7)^AY$2)),((INT(AY$2/$L66)-INT((AY$2-1)/$L66))*$U66*((1+Inputs!$D$7)^AY$2))),(_xlfn.WEIBULL.DIST(AY$2,$M66,$L66,FALSE)*$U66*((1+Inputs!$D$7)^AY$2))),IF($N66=Lists!$K$3,IF($L66&lt;1,((($T66*(1-$F66)+$S66*(1-$G66))/$L66)*((1+Inputs!$D$7)^AY$2)),((INT(AY$2/$L66)-INT((AY$2-1)/$L66))*($T66*(1-$F66)+$S66*(1-$G66))*((1+Inputs!$D$7)^AY$2))),((_xlfn.WEIBULL.DIST(AY$2,$M66,$L66,FALSE)*($T66*(1-$F66)+$S66*(1-$G66))*((1+Inputs!$D$7)^AY$2))))))</f>
        <v>682.47109394059828</v>
      </c>
      <c r="AZ66" s="88">
        <f>$E66*IF(AZ$2&gt;Inputs!$D$5,0,IF(AZ$2&gt;VLOOKUP($H66,Lists!$P$3:$Q$7,2),IF($N66=Lists!$K$3,IF($L66&lt;1,(($U66/$L66)*((1+Inputs!$D$7)^AZ$2)),((INT(AZ$2/$L66)-INT((AZ$2-1)/$L66))*$U66*((1+Inputs!$D$7)^AZ$2))),(_xlfn.WEIBULL.DIST(AZ$2,$M66,$L66,FALSE)*$U66*((1+Inputs!$D$7)^AZ$2))),IF($N66=Lists!$K$3,IF($L66&lt;1,((($T66*(1-$F66)+$S66*(1-$G66))/$L66)*((1+Inputs!$D$7)^AZ$2)),((INT(AZ$2/$L66)-INT((AZ$2-1)/$L66))*($T66*(1-$F66)+$S66*(1-$G66))*((1+Inputs!$D$7)^AZ$2))),((_xlfn.WEIBULL.DIST(AZ$2,$M66,$L66,FALSE)*($T66*(1-$F66)+$S66*(1-$G66))*((1+Inputs!$D$7)^AZ$2))))))</f>
        <v>0</v>
      </c>
      <c r="BA66" s="88">
        <f>$E66*IF(BA$2&gt;Inputs!$D$5,0,IF(BA$2&gt;VLOOKUP($H66,Lists!$P$3:$Q$7,2),IF($N66=Lists!$K$3,IF($L66&lt;1,(($U66/$L66)*((1+Inputs!$D$7)^BA$2)),((INT(BA$2/$L66)-INT((BA$2-1)/$L66))*$U66*((1+Inputs!$D$7)^BA$2))),(_xlfn.WEIBULL.DIST(BA$2,$M66,$L66,FALSE)*$U66*((1+Inputs!$D$7)^BA$2))),IF($N66=Lists!$K$3,IF($L66&lt;1,((($T66*(1-$F66)+$S66*(1-$G66))/$L66)*((1+Inputs!$D$7)^BA$2)),((INT(BA$2/$L66)-INT((BA$2-1)/$L66))*($T66*(1-$F66)+$S66*(1-$G66))*((1+Inputs!$D$7)^BA$2))),((_xlfn.WEIBULL.DIST(BA$2,$M66,$L66,FALSE)*($T66*(1-$F66)+$S66*(1-$G66))*((1+Inputs!$D$7)^BA$2))))))</f>
        <v>0</v>
      </c>
      <c r="BB66" s="88">
        <f>$E66*IF(BB$2&gt;Inputs!$D$5,0,IF(BB$2&gt;VLOOKUP($H66,Lists!$P$3:$Q$7,2),IF($N66=Lists!$K$3,IF($L66&lt;1,(($U66/$L66)*((1+Inputs!$D$7)^BB$2)),((INT(BB$2/$L66)-INT((BB$2-1)/$L66))*$U66*((1+Inputs!$D$7)^BB$2))),(_xlfn.WEIBULL.DIST(BB$2,$M66,$L66,FALSE)*$U66*((1+Inputs!$D$7)^BB$2))),IF($N66=Lists!$K$3,IF($L66&lt;1,((($T66*(1-$F66)+$S66*(1-$G66))/$L66)*((1+Inputs!$D$7)^BB$2)),((INT(BB$2/$L66)-INT((BB$2-1)/$L66))*($T66*(1-$F66)+$S66*(1-$G66))*((1+Inputs!$D$7)^BB$2))),((_xlfn.WEIBULL.DIST(BB$2,$M66,$L66,FALSE)*($T66*(1-$F66)+$S66*(1-$G66))*((1+Inputs!$D$7)^BB$2))))))</f>
        <v>0</v>
      </c>
      <c r="BC66" s="88">
        <f>$E66*IF(BC$2&gt;Inputs!$D$5,0,IF(BC$2&gt;VLOOKUP($H66,Lists!$P$3:$Q$7,2),IF($N66=Lists!$K$3,IF($L66&lt;1,(($U66/$L66)*((1+Inputs!$D$7)^BC$2)),((INT(BC$2/$L66)-INT((BC$2-1)/$L66))*$U66*((1+Inputs!$D$7)^BC$2))),(_xlfn.WEIBULL.DIST(BC$2,$M66,$L66,FALSE)*$U66*((1+Inputs!$D$7)^BC$2))),IF($N66=Lists!$K$3,IF($L66&lt;1,((($T66*(1-$F66)+$S66*(1-$G66))/$L66)*((1+Inputs!$D$7)^BC$2)),((INT(BC$2/$L66)-INT((BC$2-1)/$L66))*($T66*(1-$F66)+$S66*(1-$G66))*((1+Inputs!$D$7)^BC$2))),((_xlfn.WEIBULL.DIST(BC$2,$M66,$L66,FALSE)*($T66*(1-$F66)+$S66*(1-$G66))*((1+Inputs!$D$7)^BC$2))))))</f>
        <v>0</v>
      </c>
      <c r="BD66" s="88">
        <f>$E66*IF(BD$2&gt;Inputs!$D$5,0,IF(BD$2&gt;VLOOKUP($H66,Lists!$P$3:$Q$7,2),IF($N66=Lists!$K$3,IF($L66&lt;1,(($U66/$L66)*((1+Inputs!$D$7)^BD$2)),((INT(BD$2/$L66)-INT((BD$2-1)/$L66))*$U66*((1+Inputs!$D$7)^BD$2))),(_xlfn.WEIBULL.DIST(BD$2,$M66,$L66,FALSE)*$U66*((1+Inputs!$D$7)^BD$2))),IF($N66=Lists!$K$3,IF($L66&lt;1,((($T66*(1-$F66)+$S66*(1-$G66))/$L66)*((1+Inputs!$D$7)^BD$2)),((INT(BD$2/$L66)-INT((BD$2-1)/$L66))*($T66*(1-$F66)+$S66*(1-$G66))*((1+Inputs!$D$7)^BD$2))),((_xlfn.WEIBULL.DIST(BD$2,$M66,$L66,FALSE)*($T66*(1-$F66)+$S66*(1-$G66))*((1+Inputs!$D$7)^BD$2))))))</f>
        <v>0</v>
      </c>
      <c r="BE66" s="88">
        <f>$E66*IF(BE$2&gt;Inputs!$D$5,0,IF(BE$2&gt;VLOOKUP($H66,Lists!$P$3:$Q$7,2),IF($N66=Lists!$K$3,IF($L66&lt;1,(($U66/$L66)*((1+Inputs!$D$7)^BE$2)),((INT(BE$2/$L66)-INT((BE$2-1)/$L66))*$U66*((1+Inputs!$D$7)^BE$2))),(_xlfn.WEIBULL.DIST(BE$2,$M66,$L66,FALSE)*$U66*((1+Inputs!$D$7)^BE$2))),IF($N66=Lists!$K$3,IF($L66&lt;1,((($T66*(1-$F66)+$S66*(1-$G66))/$L66)*((1+Inputs!$D$7)^BE$2)),((INT(BE$2/$L66)-INT((BE$2-1)/$L66))*($T66*(1-$F66)+$S66*(1-$G66))*((1+Inputs!$D$7)^BE$2))),((_xlfn.WEIBULL.DIST(BE$2,$M66,$L66,FALSE)*($T66*(1-$F66)+$S66*(1-$G66))*((1+Inputs!$D$7)^BE$2))))))</f>
        <v>0</v>
      </c>
      <c r="BF66" s="88">
        <f>$E66*IF(BF$2&gt;Inputs!$D$5,0,IF(BF$2&gt;VLOOKUP($H66,Lists!$P$3:$Q$7,2),IF($N66=Lists!$K$3,IF($L66&lt;1,(($U66/$L66)*((1+Inputs!$D$7)^BF$2)),((INT(BF$2/$L66)-INT((BF$2-1)/$L66))*$U66*((1+Inputs!$D$7)^BF$2))),(_xlfn.WEIBULL.DIST(BF$2,$M66,$L66,FALSE)*$U66*((1+Inputs!$D$7)^BF$2))),IF($N66=Lists!$K$3,IF($L66&lt;1,((($T66*(1-$F66)+$S66*(1-$G66))/$L66)*((1+Inputs!$D$7)^BF$2)),((INT(BF$2/$L66)-INT((BF$2-1)/$L66))*($T66*(1-$F66)+$S66*(1-$G66))*((1+Inputs!$D$7)^BF$2))),((_xlfn.WEIBULL.DIST(BF$2,$M66,$L66,FALSE)*($T66*(1-$F66)+$S66*(1-$G66))*((1+Inputs!$D$7)^BF$2))))))</f>
        <v>0</v>
      </c>
      <c r="BG66" s="88">
        <f>$E66*IF(BG$2&gt;Inputs!$D$5,0,IF(BG$2&gt;VLOOKUP($H66,Lists!$P$3:$Q$7,2),IF($N66=Lists!$K$3,IF($L66&lt;1,(($U66/$L66)*((1+Inputs!$D$7)^BG$2)),((INT(BG$2/$L66)-INT((BG$2-1)/$L66))*$U66*((1+Inputs!$D$7)^BG$2))),(_xlfn.WEIBULL.DIST(BG$2,$M66,$L66,FALSE)*$U66*((1+Inputs!$D$7)^BG$2))),IF($N66=Lists!$K$3,IF($L66&lt;1,((($T66*(1-$F66)+$S66*(1-$G66))/$L66)*((1+Inputs!$D$7)^BG$2)),((INT(BG$2/$L66)-INT((BG$2-1)/$L66))*($T66*(1-$F66)+$S66*(1-$G66))*((1+Inputs!$D$7)^BG$2))),((_xlfn.WEIBULL.DIST(BG$2,$M66,$L66,FALSE)*($T66*(1-$F66)+$S66*(1-$G66))*((1+Inputs!$D$7)^BG$2))))))</f>
        <v>0</v>
      </c>
      <c r="BH66" s="88">
        <f>$E66*IF(BH$2&gt;Inputs!$D$5,0,IF(BH$2&gt;VLOOKUP($H66,Lists!$P$3:$Q$7,2),IF($N66=Lists!$K$3,IF($L66&lt;1,(($U66/$L66)*((1+Inputs!$D$7)^BH$2)),((INT(BH$2/$L66)-INT((BH$2-1)/$L66))*$U66*((1+Inputs!$D$7)^BH$2))),(_xlfn.WEIBULL.DIST(BH$2,$M66,$L66,FALSE)*$U66*((1+Inputs!$D$7)^BH$2))),IF($N66=Lists!$K$3,IF($L66&lt;1,((($T66*(1-$F66)+$S66*(1-$G66))/$L66)*((1+Inputs!$D$7)^BH$2)),((INT(BH$2/$L66)-INT((BH$2-1)/$L66))*($T66*(1-$F66)+$S66*(1-$G66))*((1+Inputs!$D$7)^BH$2))),((_xlfn.WEIBULL.DIST(BH$2,$M66,$L66,FALSE)*($T66*(1-$F66)+$S66*(1-$G66))*((1+Inputs!$D$7)^BH$2))))))</f>
        <v>0</v>
      </c>
      <c r="BI66" s="88">
        <f>$E66*IF(BI$2&gt;Inputs!$D$5,0,IF(BI$2&gt;VLOOKUP($H66,Lists!$P$3:$Q$7,2),IF($N66=Lists!$K$3,IF($L66&lt;1,(($U66/$L66)*((1+Inputs!$D$7)^BI$2)),((INT(BI$2/$L66)-INT((BI$2-1)/$L66))*$U66*((1+Inputs!$D$7)^BI$2))),(_xlfn.WEIBULL.DIST(BI$2,$M66,$L66,FALSE)*$U66*((1+Inputs!$D$7)^BI$2))),IF($N66=Lists!$K$3,IF($L66&lt;1,((($T66*(1-$F66)+$S66*(1-$G66))/$L66)*((1+Inputs!$D$7)^BI$2)),((INT(BI$2/$L66)-INT((BI$2-1)/$L66))*($T66*(1-$F66)+$S66*(1-$G66))*((1+Inputs!$D$7)^BI$2))),((_xlfn.WEIBULL.DIST(BI$2,$M66,$L66,FALSE)*($T66*(1-$F66)+$S66*(1-$G66))*((1+Inputs!$D$7)^BI$2))))))</f>
        <v>0</v>
      </c>
      <c r="BJ66" s="88">
        <f>$E66*IF(BJ$2&gt;Inputs!$D$5,0,IF(BJ$2&gt;VLOOKUP($H66,Lists!$P$3:$Q$7,2),IF($N66=Lists!$K$3,IF($L66&lt;1,(($U66/$L66)*((1+Inputs!$D$7)^BJ$2)),((INT(BJ$2/$L66)-INT((BJ$2-1)/$L66))*$U66*((1+Inputs!$D$7)^BJ$2))),(_xlfn.WEIBULL.DIST(BJ$2,$M66,$L66,FALSE)*$U66*((1+Inputs!$D$7)^BJ$2))),IF($N66=Lists!$K$3,IF($L66&lt;1,((($T66*(1-$F66)+$S66*(1-$G66))/$L66)*((1+Inputs!$D$7)^BJ$2)),((INT(BJ$2/$L66)-INT((BJ$2-1)/$L66))*($T66*(1-$F66)+$S66*(1-$G66))*((1+Inputs!$D$7)^BJ$2))),((_xlfn.WEIBULL.DIST(BJ$2,$M66,$L66,FALSE)*($T66*(1-$F66)+$S66*(1-$G66))*((1+Inputs!$D$7)^BJ$2))))))</f>
        <v>0</v>
      </c>
      <c r="BK66" s="88">
        <f>$E66*IF(BK$2&gt;Inputs!$D$5,0,IF(BK$2&gt;VLOOKUP($H66,Lists!$P$3:$Q$7,2),IF($N66=Lists!$K$3,IF($L66&lt;1,(($U66/$L66)*((1+Inputs!$D$7)^BK$2)),((INT(BK$2/$L66)-INT((BK$2-1)/$L66))*$U66*((1+Inputs!$D$7)^BK$2))),(_xlfn.WEIBULL.DIST(BK$2,$M66,$L66,FALSE)*$U66*((1+Inputs!$D$7)^BK$2))),IF($N66=Lists!$K$3,IF($L66&lt;1,((($T66*(1-$F66)+$S66*(1-$G66))/$L66)*((1+Inputs!$D$7)^BK$2)),((INT(BK$2/$L66)-INT((BK$2-1)/$L66))*($T66*(1-$F66)+$S66*(1-$G66))*((1+Inputs!$D$7)^BK$2))),((_xlfn.WEIBULL.DIST(BK$2,$M66,$L66,FALSE)*($T66*(1-$F66)+$S66*(1-$G66))*((1+Inputs!$D$7)^BK$2))))))</f>
        <v>0</v>
      </c>
      <c r="BL66" s="88">
        <f>$E66*IF(BL$2&gt;Inputs!$D$5,0,IF(BL$2&gt;VLOOKUP($H66,Lists!$P$3:$Q$7,2),IF($N66=Lists!$K$3,IF($L66&lt;1,(($U66/$L66)*((1+Inputs!$D$7)^BL$2)),((INT(BL$2/$L66)-INT((BL$2-1)/$L66))*$U66*((1+Inputs!$D$7)^BL$2))),(_xlfn.WEIBULL.DIST(BL$2,$M66,$L66,FALSE)*$U66*((1+Inputs!$D$7)^BL$2))),IF($N66=Lists!$K$3,IF($L66&lt;1,((($T66*(1-$F66)+$S66*(1-$G66))/$L66)*((1+Inputs!$D$7)^BL$2)),((INT(BL$2/$L66)-INT((BL$2-1)/$L66))*($T66*(1-$F66)+$S66*(1-$G66))*((1+Inputs!$D$7)^BL$2))),((_xlfn.WEIBULL.DIST(BL$2,$M66,$L66,FALSE)*($T66*(1-$F66)+$S66*(1-$G66))*((1+Inputs!$D$7)^BL$2))))))</f>
        <v>0</v>
      </c>
      <c r="BM66" s="88">
        <f>$E66*IF(BM$2&gt;Inputs!$D$5,0,IF(BM$2&gt;VLOOKUP($H66,Lists!$P$3:$Q$7,2),IF($N66=Lists!$K$3,IF($L66&lt;1,(($U66/$L66)*((1+Inputs!$D$7)^BM$2)),((INT(BM$2/$L66)-INT((BM$2-1)/$L66))*$U66*((1+Inputs!$D$7)^BM$2))),(_xlfn.WEIBULL.DIST(BM$2,$M66,$L66,FALSE)*$U66*((1+Inputs!$D$7)^BM$2))),IF($N66=Lists!$K$3,IF($L66&lt;1,((($T66*(1-$F66)+$S66*(1-$G66))/$L66)*((1+Inputs!$D$7)^BM$2)),((INT(BM$2/$L66)-INT((BM$2-1)/$L66))*($T66*(1-$F66)+$S66*(1-$G66))*((1+Inputs!$D$7)^BM$2))),((_xlfn.WEIBULL.DIST(BM$2,$M66,$L66,FALSE)*($T66*(1-$F66)+$S66*(1-$G66))*((1+Inputs!$D$7)^BM$2))))))</f>
        <v>0</v>
      </c>
      <c r="BN66" s="88">
        <f>$E66*IF(BN$2&gt;Inputs!$D$5,0,IF(BN$2&gt;VLOOKUP($H66,Lists!$P$3:$Q$7,2),IF($N66=Lists!$K$3,IF($L66&lt;1,(($U66/$L66)*((1+Inputs!$D$7)^BN$2)),((INT(BN$2/$L66)-INT((BN$2-1)/$L66))*$U66*((1+Inputs!$D$7)^BN$2))),(_xlfn.WEIBULL.DIST(BN$2,$M66,$L66,FALSE)*$U66*((1+Inputs!$D$7)^BN$2))),IF($N66=Lists!$K$3,IF($L66&lt;1,((($T66*(1-$F66)+$S66*(1-$G66))/$L66)*((1+Inputs!$D$7)^BN$2)),((INT(BN$2/$L66)-INT((BN$2-1)/$L66))*($T66*(1-$F66)+$S66*(1-$G66))*((1+Inputs!$D$7)^BN$2))),((_xlfn.WEIBULL.DIST(BN$2,$M66,$L66,FALSE)*($T66*(1-$F66)+$S66*(1-$G66))*((1+Inputs!$D$7)^BN$2))))))</f>
        <v>0</v>
      </c>
      <c r="BO66" s="64">
        <f>NPV(Inputs!$D$6,BQ66:DD66)</f>
        <v>5920.9462300783234</v>
      </c>
      <c r="BP66" s="67">
        <f t="shared" si="13"/>
        <v>2.7926073068914661E-3</v>
      </c>
      <c r="BQ66" s="88">
        <f>MAX(AA66,($E66*IF(BQ$2&gt;Inputs!$D$5,0,IF(BQ$2&gt;VLOOKUP($H66,Lists!$P$3:$Q$7,2),IF($N66=Lists!$K$3,IF($L66&lt;1,(($U66/$L66)*((1+Inputs!$D$7)^BQ$2)),((INT(BQ$2/$L66)-INT((BQ$2-1)/$L66))*$U66*((1+Inputs!$D$7)^BQ$2))),(Inputs!$D$8^((1-_xlfn.WEIBULL.DIST(BQ$2,$M66,$L66,FALSE))/_xlfn.WEIBULL.DIST(BQ$2,$M66,$L66,FALSE))*$U66*((1+Inputs!$D$7)^BQ$2))),IF($N66=Lists!$K$3,IF($L66&lt;1,((($T66*(1-$F66)+$S66*(1-$G66))/$L66)*((1+Inputs!$D$7)^BQ$2)),((INT(BQ$2/$L66)-INT((BQ$2-1)/$L66))*($T66*(1-$F66)+$S66*(1-$G66))*((1+Inputs!$D$7)^BQ$2))),((Inputs!$D$8^((1-_xlfn.WEIBULL.DIST(BQ$2,$M66,$L66,FALSE))/_xlfn.WEIBULL.DIST(BQ$2,$M66,$L66,FALSE))*($T66*(1-$F66)+$S66*(1-$G66))*((1+Inputs!$D$7)^BQ$2))))))))</f>
        <v>424.30694399999999</v>
      </c>
      <c r="BR66" s="88">
        <f>MAX(AB66,($E66*IF(BR$2&gt;Inputs!$D$5,0,IF(BR$2&gt;VLOOKUP($H66,Lists!$P$3:$Q$7,2),IF($N66=Lists!$K$3,IF($L66&lt;1,(($U66/$L66)*((1+Inputs!$D$7)^BR$2)),((INT(BR$2/$L66)-INT((BR$2-1)/$L66))*$U66*((1+Inputs!$D$7)^BR$2))),(Inputs!$D$8^((1-_xlfn.WEIBULL.DIST(BR$2,$M66,$L66,FALSE))/_xlfn.WEIBULL.DIST(BR$2,$M66,$L66,FALSE))*$U66*((1+Inputs!$D$7)^BR$2))),IF($N66=Lists!$K$3,IF($L66&lt;1,((($T66*(1-$F66)+$S66*(1-$G66))/$L66)*((1+Inputs!$D$7)^BR$2)),((INT(BR$2/$L66)-INT((BR$2-1)/$L66))*($T66*(1-$F66)+$S66*(1-$G66))*((1+Inputs!$D$7)^BR$2))),((Inputs!$D$8^((1-_xlfn.WEIBULL.DIST(BR$2,$M66,$L66,FALSE))/_xlfn.WEIBULL.DIST(BR$2,$M66,$L66,FALSE))*($T66*(1-$F66)+$S66*(1-$G66))*((1+Inputs!$D$7)^BR$2))))))))</f>
        <v>432.79308287999999</v>
      </c>
      <c r="BS66" s="88">
        <f>MAX(AC66,($E66*IF(BS$2&gt;Inputs!$D$5,0,IF(BS$2&gt;VLOOKUP($H66,Lists!$P$3:$Q$7,2),IF($N66=Lists!$K$3,IF($L66&lt;1,(($U66/$L66)*((1+Inputs!$D$7)^BS$2)),((INT(BS$2/$L66)-INT((BS$2-1)/$L66))*$U66*((1+Inputs!$D$7)^BS$2))),(Inputs!$D$8^((1-_xlfn.WEIBULL.DIST(BS$2,$M66,$L66,FALSE))/_xlfn.WEIBULL.DIST(BS$2,$M66,$L66,FALSE))*$U66*((1+Inputs!$D$7)^BS$2))),IF($N66=Lists!$K$3,IF($L66&lt;1,((($T66*(1-$F66)+$S66*(1-$G66))/$L66)*((1+Inputs!$D$7)^BS$2)),((INT(BS$2/$L66)-INT((BS$2-1)/$L66))*($T66*(1-$F66)+$S66*(1-$G66))*((1+Inputs!$D$7)^BS$2))),((Inputs!$D$8^((1-_xlfn.WEIBULL.DIST(BS$2,$M66,$L66,FALSE))/_xlfn.WEIBULL.DIST(BS$2,$M66,$L66,FALSE))*($T66*(1-$F66)+$S66*(1-$G66))*((1+Inputs!$D$7)^BS$2))))))))</f>
        <v>441.44894453759991</v>
      </c>
      <c r="BT66" s="88">
        <f>MAX(AD66,($E66*IF(BT$2&gt;Inputs!$D$5,0,IF(BT$2&gt;VLOOKUP($H66,Lists!$P$3:$Q$7,2),IF($N66=Lists!$K$3,IF($L66&lt;1,(($U66/$L66)*((1+Inputs!$D$7)^BT$2)),((INT(BT$2/$L66)-INT((BT$2-1)/$L66))*$U66*((1+Inputs!$D$7)^BT$2))),(Inputs!$D$8^((1-_xlfn.WEIBULL.DIST(BT$2,$M66,$L66,FALSE))/_xlfn.WEIBULL.DIST(BT$2,$M66,$L66,FALSE))*$U66*((1+Inputs!$D$7)^BT$2))),IF($N66=Lists!$K$3,IF($L66&lt;1,((($T66*(1-$F66)+$S66*(1-$G66))/$L66)*((1+Inputs!$D$7)^BT$2)),((INT(BT$2/$L66)-INT((BT$2-1)/$L66))*($T66*(1-$F66)+$S66*(1-$G66))*((1+Inputs!$D$7)^BT$2))),((Inputs!$D$8^((1-_xlfn.WEIBULL.DIST(BT$2,$M66,$L66,FALSE))/_xlfn.WEIBULL.DIST(BT$2,$M66,$L66,FALSE))*($T66*(1-$F66)+$S66*(1-$G66))*((1+Inputs!$D$7)^BT$2))))))))</f>
        <v>450.27792342835198</v>
      </c>
      <c r="BU66" s="88">
        <f>MAX(AE66,($E66*IF(BU$2&gt;Inputs!$D$5,0,IF(BU$2&gt;VLOOKUP($H66,Lists!$P$3:$Q$7,2),IF($N66=Lists!$K$3,IF($L66&lt;1,(($U66/$L66)*((1+Inputs!$D$7)^BU$2)),((INT(BU$2/$L66)-INT((BU$2-1)/$L66))*$U66*((1+Inputs!$D$7)^BU$2))),(Inputs!$D$8^((1-_xlfn.WEIBULL.DIST(BU$2,$M66,$L66,FALSE))/_xlfn.WEIBULL.DIST(BU$2,$M66,$L66,FALSE))*$U66*((1+Inputs!$D$7)^BU$2))),IF($N66=Lists!$K$3,IF($L66&lt;1,((($T66*(1-$F66)+$S66*(1-$G66))/$L66)*((1+Inputs!$D$7)^BU$2)),((INT(BU$2/$L66)-INT((BU$2-1)/$L66))*($T66*(1-$F66)+$S66*(1-$G66))*((1+Inputs!$D$7)^BU$2))),((Inputs!$D$8^((1-_xlfn.WEIBULL.DIST(BU$2,$M66,$L66,FALSE))/_xlfn.WEIBULL.DIST(BU$2,$M66,$L66,FALSE))*($T66*(1-$F66)+$S66*(1-$G66))*((1+Inputs!$D$7)^BU$2))))))))</f>
        <v>459.283481896919</v>
      </c>
      <c r="BV66" s="88">
        <f>MAX(AF66,($E66*IF(BV$2&gt;Inputs!$D$5,0,IF(BV$2&gt;VLOOKUP($H66,Lists!$P$3:$Q$7,2),IF($N66=Lists!$K$3,IF($L66&lt;1,(($U66/$L66)*((1+Inputs!$D$7)^BV$2)),((INT(BV$2/$L66)-INT((BV$2-1)/$L66))*$U66*((1+Inputs!$D$7)^BV$2))),(Inputs!$D$8^((1-_xlfn.WEIBULL.DIST(BV$2,$M66,$L66,FALSE))/_xlfn.WEIBULL.DIST(BV$2,$M66,$L66,FALSE))*$U66*((1+Inputs!$D$7)^BV$2))),IF($N66=Lists!$K$3,IF($L66&lt;1,((($T66*(1-$F66)+$S66*(1-$G66))/$L66)*((1+Inputs!$D$7)^BV$2)),((INT(BV$2/$L66)-INT((BV$2-1)/$L66))*($T66*(1-$F66)+$S66*(1-$G66))*((1+Inputs!$D$7)^BV$2))),((Inputs!$D$8^((1-_xlfn.WEIBULL.DIST(BV$2,$M66,$L66,FALSE))/_xlfn.WEIBULL.DIST(BV$2,$M66,$L66,FALSE))*($T66*(1-$F66)+$S66*(1-$G66))*((1+Inputs!$D$7)^BV$2))))))))</f>
        <v>468.46915153485742</v>
      </c>
      <c r="BW66" s="88">
        <f>MAX(AG66,($E66*IF(BW$2&gt;Inputs!$D$5,0,IF(BW$2&gt;VLOOKUP($H66,Lists!$P$3:$Q$7,2),IF($N66=Lists!$K$3,IF($L66&lt;1,(($U66/$L66)*((1+Inputs!$D$7)^BW$2)),((INT(BW$2/$L66)-INT((BW$2-1)/$L66))*$U66*((1+Inputs!$D$7)^BW$2))),(Inputs!$D$8^((1-_xlfn.WEIBULL.DIST(BW$2,$M66,$L66,FALSE))/_xlfn.WEIBULL.DIST(BW$2,$M66,$L66,FALSE))*$U66*((1+Inputs!$D$7)^BW$2))),IF($N66=Lists!$K$3,IF($L66&lt;1,((($T66*(1-$F66)+$S66*(1-$G66))/$L66)*((1+Inputs!$D$7)^BW$2)),((INT(BW$2/$L66)-INT((BW$2-1)/$L66))*($T66*(1-$F66)+$S66*(1-$G66))*((1+Inputs!$D$7)^BW$2))),((Inputs!$D$8^((1-_xlfn.WEIBULL.DIST(BW$2,$M66,$L66,FALSE))/_xlfn.WEIBULL.DIST(BW$2,$M66,$L66,FALSE))*($T66*(1-$F66)+$S66*(1-$G66))*((1+Inputs!$D$7)^BW$2))))))))</f>
        <v>477.83853456555448</v>
      </c>
      <c r="BX66" s="88">
        <f>MAX(AH66,($E66*IF(BX$2&gt;Inputs!$D$5,0,IF(BX$2&gt;VLOOKUP($H66,Lists!$P$3:$Q$7,2),IF($N66=Lists!$K$3,IF($L66&lt;1,(($U66/$L66)*((1+Inputs!$D$7)^BX$2)),((INT(BX$2/$L66)-INT((BX$2-1)/$L66))*$U66*((1+Inputs!$D$7)^BX$2))),(Inputs!$D$8^((1-_xlfn.WEIBULL.DIST(BX$2,$M66,$L66,FALSE))/_xlfn.WEIBULL.DIST(BX$2,$M66,$L66,FALSE))*$U66*((1+Inputs!$D$7)^BX$2))),IF($N66=Lists!$K$3,IF($L66&lt;1,((($T66*(1-$F66)+$S66*(1-$G66))/$L66)*((1+Inputs!$D$7)^BX$2)),((INT(BX$2/$L66)-INT((BX$2-1)/$L66))*($T66*(1-$F66)+$S66*(1-$G66))*((1+Inputs!$D$7)^BX$2))),((Inputs!$D$8^((1-_xlfn.WEIBULL.DIST(BX$2,$M66,$L66,FALSE))/_xlfn.WEIBULL.DIST(BX$2,$M66,$L66,FALSE))*($T66*(1-$F66)+$S66*(1-$G66))*((1+Inputs!$D$7)^BX$2))))))))</f>
        <v>487.39530525686558</v>
      </c>
      <c r="BY66" s="88">
        <f>MAX(AI66,($E66*IF(BY$2&gt;Inputs!$D$5,0,IF(BY$2&gt;VLOOKUP($H66,Lists!$P$3:$Q$7,2),IF($N66=Lists!$K$3,IF($L66&lt;1,(($U66/$L66)*((1+Inputs!$D$7)^BY$2)),((INT(BY$2/$L66)-INT((BY$2-1)/$L66))*$U66*((1+Inputs!$D$7)^BY$2))),(Inputs!$D$8^((1-_xlfn.WEIBULL.DIST(BY$2,$M66,$L66,FALSE))/_xlfn.WEIBULL.DIST(BY$2,$M66,$L66,FALSE))*$U66*((1+Inputs!$D$7)^BY$2))),IF($N66=Lists!$K$3,IF($L66&lt;1,((($T66*(1-$F66)+$S66*(1-$G66))/$L66)*((1+Inputs!$D$7)^BY$2)),((INT(BY$2/$L66)-INT((BY$2-1)/$L66))*($T66*(1-$F66)+$S66*(1-$G66))*((1+Inputs!$D$7)^BY$2))),((Inputs!$D$8^((1-_xlfn.WEIBULL.DIST(BY$2,$M66,$L66,FALSE))/_xlfn.WEIBULL.DIST(BY$2,$M66,$L66,FALSE))*($T66*(1-$F66)+$S66*(1-$G66))*((1+Inputs!$D$7)^BY$2))))))))</f>
        <v>497.14321136200289</v>
      </c>
      <c r="BZ66" s="88">
        <f>MAX(AJ66,($E66*IF(BZ$2&gt;Inputs!$D$5,0,IF(BZ$2&gt;VLOOKUP($H66,Lists!$P$3:$Q$7,2),IF($N66=Lists!$K$3,IF($L66&lt;1,(($U66/$L66)*((1+Inputs!$D$7)^BZ$2)),((INT(BZ$2/$L66)-INT((BZ$2-1)/$L66))*$U66*((1+Inputs!$D$7)^BZ$2))),(Inputs!$D$8^((1-_xlfn.WEIBULL.DIST(BZ$2,$M66,$L66,FALSE))/_xlfn.WEIBULL.DIST(BZ$2,$M66,$L66,FALSE))*$U66*((1+Inputs!$D$7)^BZ$2))),IF($N66=Lists!$K$3,IF($L66&lt;1,((($T66*(1-$F66)+$S66*(1-$G66))/$L66)*((1+Inputs!$D$7)^BZ$2)),((INT(BZ$2/$L66)-INT((BZ$2-1)/$L66))*($T66*(1-$F66)+$S66*(1-$G66))*((1+Inputs!$D$7)^BZ$2))),((Inputs!$D$8^((1-_xlfn.WEIBULL.DIST(BZ$2,$M66,$L66,FALSE))/_xlfn.WEIBULL.DIST(BZ$2,$M66,$L66,FALSE))*($T66*(1-$F66)+$S66*(1-$G66))*((1+Inputs!$D$7)^BZ$2))))))))</f>
        <v>507.08607558924297</v>
      </c>
      <c r="CA66" s="88">
        <f>MAX(AK66,($E66*IF(CA$2&gt;Inputs!$D$5,0,IF(CA$2&gt;VLOOKUP($H66,Lists!$P$3:$Q$7,2),IF($N66=Lists!$K$3,IF($L66&lt;1,(($U66/$L66)*((1+Inputs!$D$7)^CA$2)),((INT(CA$2/$L66)-INT((CA$2-1)/$L66))*$U66*((1+Inputs!$D$7)^CA$2))),(Inputs!$D$8^((1-_xlfn.WEIBULL.DIST(CA$2,$M66,$L66,FALSE))/_xlfn.WEIBULL.DIST(CA$2,$M66,$L66,FALSE))*$U66*((1+Inputs!$D$7)^CA$2))),IF($N66=Lists!$K$3,IF($L66&lt;1,((($T66*(1-$F66)+$S66*(1-$G66))/$L66)*((1+Inputs!$D$7)^CA$2)),((INT(CA$2/$L66)-INT((CA$2-1)/$L66))*($T66*(1-$F66)+$S66*(1-$G66))*((1+Inputs!$D$7)^CA$2))),((Inputs!$D$8^((1-_xlfn.WEIBULL.DIST(CA$2,$M66,$L66,FALSE))/_xlfn.WEIBULL.DIST(CA$2,$M66,$L66,FALSE))*($T66*(1-$F66)+$S66*(1-$G66))*((1+Inputs!$D$7)^CA$2))))))))</f>
        <v>517.2277971010277</v>
      </c>
      <c r="CB66" s="88">
        <f>MAX(AL66,($E66*IF(CB$2&gt;Inputs!$D$5,0,IF(CB$2&gt;VLOOKUP($H66,Lists!$P$3:$Q$7,2),IF($N66=Lists!$K$3,IF($L66&lt;1,(($U66/$L66)*((1+Inputs!$D$7)^CB$2)),((INT(CB$2/$L66)-INT((CB$2-1)/$L66))*$U66*((1+Inputs!$D$7)^CB$2))),(Inputs!$D$8^((1-_xlfn.WEIBULL.DIST(CB$2,$M66,$L66,FALSE))/_xlfn.WEIBULL.DIST(CB$2,$M66,$L66,FALSE))*$U66*((1+Inputs!$D$7)^CB$2))),IF($N66=Lists!$K$3,IF($L66&lt;1,((($T66*(1-$F66)+$S66*(1-$G66))/$L66)*((1+Inputs!$D$7)^CB$2)),((INT(CB$2/$L66)-INT((CB$2-1)/$L66))*($T66*(1-$F66)+$S66*(1-$G66))*((1+Inputs!$D$7)^CB$2))),((Inputs!$D$8^((1-_xlfn.WEIBULL.DIST(CB$2,$M66,$L66,FALSE))/_xlfn.WEIBULL.DIST(CB$2,$M66,$L66,FALSE))*($T66*(1-$F66)+$S66*(1-$G66))*((1+Inputs!$D$7)^CB$2))))))))</f>
        <v>527.57235304304845</v>
      </c>
      <c r="CC66" s="88">
        <f>MAX(AM66,($E66*IF(CC$2&gt;Inputs!$D$5,0,IF(CC$2&gt;VLOOKUP($H66,Lists!$P$3:$Q$7,2),IF($N66=Lists!$K$3,IF($L66&lt;1,(($U66/$L66)*((1+Inputs!$D$7)^CC$2)),((INT(CC$2/$L66)-INT((CC$2-1)/$L66))*$U66*((1+Inputs!$D$7)^CC$2))),(Inputs!$D$8^((1-_xlfn.WEIBULL.DIST(CC$2,$M66,$L66,FALSE))/_xlfn.WEIBULL.DIST(CC$2,$M66,$L66,FALSE))*$U66*((1+Inputs!$D$7)^CC$2))),IF($N66=Lists!$K$3,IF($L66&lt;1,((($T66*(1-$F66)+$S66*(1-$G66))/$L66)*((1+Inputs!$D$7)^CC$2)),((INT(CC$2/$L66)-INT((CC$2-1)/$L66))*($T66*(1-$F66)+$S66*(1-$G66))*((1+Inputs!$D$7)^CC$2))),((Inputs!$D$8^((1-_xlfn.WEIBULL.DIST(CC$2,$M66,$L66,FALSE))/_xlfn.WEIBULL.DIST(CC$2,$M66,$L66,FALSE))*($T66*(1-$F66)+$S66*(1-$G66))*((1+Inputs!$D$7)^CC$2))))))))</f>
        <v>538.12380010390928</v>
      </c>
      <c r="CD66" s="88">
        <f>MAX(AN66,($E66*IF(CD$2&gt;Inputs!$D$5,0,IF(CD$2&gt;VLOOKUP($H66,Lists!$P$3:$Q$7,2),IF($N66=Lists!$K$3,IF($L66&lt;1,(($U66/$L66)*((1+Inputs!$D$7)^CD$2)),((INT(CD$2/$L66)-INT((CD$2-1)/$L66))*$U66*((1+Inputs!$D$7)^CD$2))),(Inputs!$D$8^((1-_xlfn.WEIBULL.DIST(CD$2,$M66,$L66,FALSE))/_xlfn.WEIBULL.DIST(CD$2,$M66,$L66,FALSE))*$U66*((1+Inputs!$D$7)^CD$2))),IF($N66=Lists!$K$3,IF($L66&lt;1,((($T66*(1-$F66)+$S66*(1-$G66))/$L66)*((1+Inputs!$D$7)^CD$2)),((INT(CD$2/$L66)-INT((CD$2-1)/$L66))*($T66*(1-$F66)+$S66*(1-$G66))*((1+Inputs!$D$7)^CD$2))),((Inputs!$D$8^((1-_xlfn.WEIBULL.DIST(CD$2,$M66,$L66,FALSE))/_xlfn.WEIBULL.DIST(CD$2,$M66,$L66,FALSE))*($T66*(1-$F66)+$S66*(1-$G66))*((1+Inputs!$D$7)^CD$2))))))))</f>
        <v>548.88627610598758</v>
      </c>
      <c r="CE66" s="88">
        <f>MAX(AO66,($E66*IF(CE$2&gt;Inputs!$D$5,0,IF(CE$2&gt;VLOOKUP($H66,Lists!$P$3:$Q$7,2),IF($N66=Lists!$K$3,IF($L66&lt;1,(($U66/$L66)*((1+Inputs!$D$7)^CE$2)),((INT(CE$2/$L66)-INT((CE$2-1)/$L66))*$U66*((1+Inputs!$D$7)^CE$2))),(Inputs!$D$8^((1-_xlfn.WEIBULL.DIST(CE$2,$M66,$L66,FALSE))/_xlfn.WEIBULL.DIST(CE$2,$M66,$L66,FALSE))*$U66*((1+Inputs!$D$7)^CE$2))),IF($N66=Lists!$K$3,IF($L66&lt;1,((($T66*(1-$F66)+$S66*(1-$G66))/$L66)*((1+Inputs!$D$7)^CE$2)),((INT(CE$2/$L66)-INT((CE$2-1)/$L66))*($T66*(1-$F66)+$S66*(1-$G66))*((1+Inputs!$D$7)^CE$2))),((Inputs!$D$8^((1-_xlfn.WEIBULL.DIST(CE$2,$M66,$L66,FALSE))/_xlfn.WEIBULL.DIST(CE$2,$M66,$L66,FALSE))*($T66*(1-$F66)+$S66*(1-$G66))*((1+Inputs!$D$7)^CE$2))))))))</f>
        <v>559.86400162810719</v>
      </c>
      <c r="CF66" s="88">
        <f>MAX(AP66,($E66*IF(CF$2&gt;Inputs!$D$5,0,IF(CF$2&gt;VLOOKUP($H66,Lists!$P$3:$Q$7,2),IF($N66=Lists!$K$3,IF($L66&lt;1,(($U66/$L66)*((1+Inputs!$D$7)^CF$2)),((INT(CF$2/$L66)-INT((CF$2-1)/$L66))*$U66*((1+Inputs!$D$7)^CF$2))),(Inputs!$D$8^((1-_xlfn.WEIBULL.DIST(CF$2,$M66,$L66,FALSE))/_xlfn.WEIBULL.DIST(CF$2,$M66,$L66,FALSE))*$U66*((1+Inputs!$D$7)^CF$2))),IF($N66=Lists!$K$3,IF($L66&lt;1,((($T66*(1-$F66)+$S66*(1-$G66))/$L66)*((1+Inputs!$D$7)^CF$2)),((INT(CF$2/$L66)-INT((CF$2-1)/$L66))*($T66*(1-$F66)+$S66*(1-$G66))*((1+Inputs!$D$7)^CF$2))),((Inputs!$D$8^((1-_xlfn.WEIBULL.DIST(CF$2,$M66,$L66,FALSE))/_xlfn.WEIBULL.DIST(CF$2,$M66,$L66,FALSE))*($T66*(1-$F66)+$S66*(1-$G66))*((1+Inputs!$D$7)^CF$2))))))))</f>
        <v>571.06128166066947</v>
      </c>
      <c r="CG66" s="88">
        <f>MAX(AQ66,($E66*IF(CG$2&gt;Inputs!$D$5,0,IF(CG$2&gt;VLOOKUP($H66,Lists!$P$3:$Q$7,2),IF($N66=Lists!$K$3,IF($L66&lt;1,(($U66/$L66)*((1+Inputs!$D$7)^CG$2)),((INT(CG$2/$L66)-INT((CG$2-1)/$L66))*$U66*((1+Inputs!$D$7)^CG$2))),(Inputs!$D$8^((1-_xlfn.WEIBULL.DIST(CG$2,$M66,$L66,FALSE))/_xlfn.WEIBULL.DIST(CG$2,$M66,$L66,FALSE))*$U66*((1+Inputs!$D$7)^CG$2))),IF($N66=Lists!$K$3,IF($L66&lt;1,((($T66*(1-$F66)+$S66*(1-$G66))/$L66)*((1+Inputs!$D$7)^CG$2)),((INT(CG$2/$L66)-INT((CG$2-1)/$L66))*($T66*(1-$F66)+$S66*(1-$G66))*((1+Inputs!$D$7)^CG$2))),((Inputs!$D$8^((1-_xlfn.WEIBULL.DIST(CG$2,$M66,$L66,FALSE))/_xlfn.WEIBULL.DIST(CG$2,$M66,$L66,FALSE))*($T66*(1-$F66)+$S66*(1-$G66))*((1+Inputs!$D$7)^CG$2))))))))</f>
        <v>582.4825072938828</v>
      </c>
      <c r="CH66" s="88">
        <f>MAX(AR66,($E66*IF(CH$2&gt;Inputs!$D$5,0,IF(CH$2&gt;VLOOKUP($H66,Lists!$P$3:$Q$7,2),IF($N66=Lists!$K$3,IF($L66&lt;1,(($U66/$L66)*((1+Inputs!$D$7)^CH$2)),((INT(CH$2/$L66)-INT((CH$2-1)/$L66))*$U66*((1+Inputs!$D$7)^CH$2))),(Inputs!$D$8^((1-_xlfn.WEIBULL.DIST(CH$2,$M66,$L66,FALSE))/_xlfn.WEIBULL.DIST(CH$2,$M66,$L66,FALSE))*$U66*((1+Inputs!$D$7)^CH$2))),IF($N66=Lists!$K$3,IF($L66&lt;1,((($T66*(1-$F66)+$S66*(1-$G66))/$L66)*((1+Inputs!$D$7)^CH$2)),((INT(CH$2/$L66)-INT((CH$2-1)/$L66))*($T66*(1-$F66)+$S66*(1-$G66))*((1+Inputs!$D$7)^CH$2))),((Inputs!$D$8^((1-_xlfn.WEIBULL.DIST(CH$2,$M66,$L66,FALSE))/_xlfn.WEIBULL.DIST(CH$2,$M66,$L66,FALSE))*($T66*(1-$F66)+$S66*(1-$G66))*((1+Inputs!$D$7)^CH$2))))))))</f>
        <v>594.13215743976048</v>
      </c>
      <c r="CI66" s="88">
        <f>MAX(AS66,($E66*IF(CI$2&gt;Inputs!$D$5,0,IF(CI$2&gt;VLOOKUP($H66,Lists!$P$3:$Q$7,2),IF($N66=Lists!$K$3,IF($L66&lt;1,(($U66/$L66)*((1+Inputs!$D$7)^CI$2)),((INT(CI$2/$L66)-INT((CI$2-1)/$L66))*$U66*((1+Inputs!$D$7)^CI$2))),(Inputs!$D$8^((1-_xlfn.WEIBULL.DIST(CI$2,$M66,$L66,FALSE))/_xlfn.WEIBULL.DIST(CI$2,$M66,$L66,FALSE))*$U66*((1+Inputs!$D$7)^CI$2))),IF($N66=Lists!$K$3,IF($L66&lt;1,((($T66*(1-$F66)+$S66*(1-$G66))/$L66)*((1+Inputs!$D$7)^CI$2)),((INT(CI$2/$L66)-INT((CI$2-1)/$L66))*($T66*(1-$F66)+$S66*(1-$G66))*((1+Inputs!$D$7)^CI$2))),((Inputs!$D$8^((1-_xlfn.WEIBULL.DIST(CI$2,$M66,$L66,FALSE))/_xlfn.WEIBULL.DIST(CI$2,$M66,$L66,FALSE))*($T66*(1-$F66)+$S66*(1-$G66))*((1+Inputs!$D$7)^CI$2))))))))</f>
        <v>606.01480058855566</v>
      </c>
      <c r="CJ66" s="88">
        <f>MAX(AT66,($E66*IF(CJ$2&gt;Inputs!$D$5,0,IF(CJ$2&gt;VLOOKUP($H66,Lists!$P$3:$Q$7,2),IF($N66=Lists!$K$3,IF($L66&lt;1,(($U66/$L66)*((1+Inputs!$D$7)^CJ$2)),((INT(CJ$2/$L66)-INT((CJ$2-1)/$L66))*$U66*((1+Inputs!$D$7)^CJ$2))),(Inputs!$D$8^((1-_xlfn.WEIBULL.DIST(CJ$2,$M66,$L66,FALSE))/_xlfn.WEIBULL.DIST(CJ$2,$M66,$L66,FALSE))*$U66*((1+Inputs!$D$7)^CJ$2))),IF($N66=Lists!$K$3,IF($L66&lt;1,((($T66*(1-$F66)+$S66*(1-$G66))/$L66)*((1+Inputs!$D$7)^CJ$2)),((INT(CJ$2/$L66)-INT((CJ$2-1)/$L66))*($T66*(1-$F66)+$S66*(1-$G66))*((1+Inputs!$D$7)^CJ$2))),((Inputs!$D$8^((1-_xlfn.WEIBULL.DIST(CJ$2,$M66,$L66,FALSE))/_xlfn.WEIBULL.DIST(CJ$2,$M66,$L66,FALSE))*($T66*(1-$F66)+$S66*(1-$G66))*((1+Inputs!$D$7)^CJ$2))))))))</f>
        <v>618.13509660032685</v>
      </c>
      <c r="CK66" s="88">
        <f>MAX(AU66,($E66*IF(CK$2&gt;Inputs!$D$5,0,IF(CK$2&gt;VLOOKUP($H66,Lists!$P$3:$Q$7,2),IF($N66=Lists!$K$3,IF($L66&lt;1,(($U66/$L66)*((1+Inputs!$D$7)^CK$2)),((INT(CK$2/$L66)-INT((CK$2-1)/$L66))*$U66*((1+Inputs!$D$7)^CK$2))),(Inputs!$D$8^((1-_xlfn.WEIBULL.DIST(CK$2,$M66,$L66,FALSE))/_xlfn.WEIBULL.DIST(CK$2,$M66,$L66,FALSE))*$U66*((1+Inputs!$D$7)^CK$2))),IF($N66=Lists!$K$3,IF($L66&lt;1,((($T66*(1-$F66)+$S66*(1-$G66))/$L66)*((1+Inputs!$D$7)^CK$2)),((INT(CK$2/$L66)-INT((CK$2-1)/$L66))*($T66*(1-$F66)+$S66*(1-$G66))*((1+Inputs!$D$7)^CK$2))),((Inputs!$D$8^((1-_xlfn.WEIBULL.DIST(CK$2,$M66,$L66,FALSE))/_xlfn.WEIBULL.DIST(CK$2,$M66,$L66,FALSE))*($T66*(1-$F66)+$S66*(1-$G66))*((1+Inputs!$D$7)^CK$2))))))))</f>
        <v>630.49779853233326</v>
      </c>
      <c r="CL66" s="88">
        <f>MAX(AV66,($E66*IF(CL$2&gt;Inputs!$D$5,0,IF(CL$2&gt;VLOOKUP($H66,Lists!$P$3:$Q$7,2),IF($N66=Lists!$K$3,IF($L66&lt;1,(($U66/$L66)*((1+Inputs!$D$7)^CL$2)),((INT(CL$2/$L66)-INT((CL$2-1)/$L66))*$U66*((1+Inputs!$D$7)^CL$2))),(Inputs!$D$8^((1-_xlfn.WEIBULL.DIST(CL$2,$M66,$L66,FALSE))/_xlfn.WEIBULL.DIST(CL$2,$M66,$L66,FALSE))*$U66*((1+Inputs!$D$7)^CL$2))),IF($N66=Lists!$K$3,IF($L66&lt;1,((($T66*(1-$F66)+$S66*(1-$G66))/$L66)*((1+Inputs!$D$7)^CL$2)),((INT(CL$2/$L66)-INT((CL$2-1)/$L66))*($T66*(1-$F66)+$S66*(1-$G66))*((1+Inputs!$D$7)^CL$2))),((Inputs!$D$8^((1-_xlfn.WEIBULL.DIST(CL$2,$M66,$L66,FALSE))/_xlfn.WEIBULL.DIST(CL$2,$M66,$L66,FALSE))*($T66*(1-$F66)+$S66*(1-$G66))*((1+Inputs!$D$7)^CL$2))))))))</f>
        <v>643.10775450298001</v>
      </c>
      <c r="CM66" s="88">
        <f>MAX(AW66,($E66*IF(CM$2&gt;Inputs!$D$5,0,IF(CM$2&gt;VLOOKUP($H66,Lists!$P$3:$Q$7,2),IF($N66=Lists!$K$3,IF($L66&lt;1,(($U66/$L66)*((1+Inputs!$D$7)^CM$2)),((INT(CM$2/$L66)-INT((CM$2-1)/$L66))*$U66*((1+Inputs!$D$7)^CM$2))),(Inputs!$D$8^((1-_xlfn.WEIBULL.DIST(CM$2,$M66,$L66,FALSE))/_xlfn.WEIBULL.DIST(CM$2,$M66,$L66,FALSE))*$U66*((1+Inputs!$D$7)^CM$2))),IF($N66=Lists!$K$3,IF($L66&lt;1,((($T66*(1-$F66)+$S66*(1-$G66))/$L66)*((1+Inputs!$D$7)^CM$2)),((INT(CM$2/$L66)-INT((CM$2-1)/$L66))*($T66*(1-$F66)+$S66*(1-$G66))*((1+Inputs!$D$7)^CM$2))),((Inputs!$D$8^((1-_xlfn.WEIBULL.DIST(CM$2,$M66,$L66,FALSE))/_xlfn.WEIBULL.DIST(CM$2,$M66,$L66,FALSE))*($T66*(1-$F66)+$S66*(1-$G66))*((1+Inputs!$D$7)^CM$2))))))))</f>
        <v>655.96990959303946</v>
      </c>
      <c r="CN66" s="88">
        <f>MAX(AX66,($E66*IF(CN$2&gt;Inputs!$D$5,0,IF(CN$2&gt;VLOOKUP($H66,Lists!$P$3:$Q$7,2),IF($N66=Lists!$K$3,IF($L66&lt;1,(($U66/$L66)*((1+Inputs!$D$7)^CN$2)),((INT(CN$2/$L66)-INT((CN$2-1)/$L66))*$U66*((1+Inputs!$D$7)^CN$2))),(Inputs!$D$8^((1-_xlfn.WEIBULL.DIST(CN$2,$M66,$L66,FALSE))/_xlfn.WEIBULL.DIST(CN$2,$M66,$L66,FALSE))*$U66*((1+Inputs!$D$7)^CN$2))),IF($N66=Lists!$K$3,IF($L66&lt;1,((($T66*(1-$F66)+$S66*(1-$G66))/$L66)*((1+Inputs!$D$7)^CN$2)),((INT(CN$2/$L66)-INT((CN$2-1)/$L66))*($T66*(1-$F66)+$S66*(1-$G66))*((1+Inputs!$D$7)^CN$2))),((Inputs!$D$8^((1-_xlfn.WEIBULL.DIST(CN$2,$M66,$L66,FALSE))/_xlfn.WEIBULL.DIST(CN$2,$M66,$L66,FALSE))*($T66*(1-$F66)+$S66*(1-$G66))*((1+Inputs!$D$7)^CN$2))))))))</f>
        <v>669.08930778490026</v>
      </c>
      <c r="CO66" s="88">
        <f>MAX(AY66,($E66*IF(CO$2&gt;Inputs!$D$5,0,IF(CO$2&gt;VLOOKUP($H66,Lists!$P$3:$Q$7,2),IF($N66=Lists!$K$3,IF($L66&lt;1,(($U66/$L66)*((1+Inputs!$D$7)^CO$2)),((INT(CO$2/$L66)-INT((CO$2-1)/$L66))*$U66*((1+Inputs!$D$7)^CO$2))),(Inputs!$D$8^((1-_xlfn.WEIBULL.DIST(CO$2,$M66,$L66,FALSE))/_xlfn.WEIBULL.DIST(CO$2,$M66,$L66,FALSE))*$U66*((1+Inputs!$D$7)^CO$2))),IF($N66=Lists!$K$3,IF($L66&lt;1,((($T66*(1-$F66)+$S66*(1-$G66))/$L66)*((1+Inputs!$D$7)^CO$2)),((INT(CO$2/$L66)-INT((CO$2-1)/$L66))*($T66*(1-$F66)+$S66*(1-$G66))*((1+Inputs!$D$7)^CO$2))),((Inputs!$D$8^((1-_xlfn.WEIBULL.DIST(CO$2,$M66,$L66,FALSE))/_xlfn.WEIBULL.DIST(CO$2,$M66,$L66,FALSE))*($T66*(1-$F66)+$S66*(1-$G66))*((1+Inputs!$D$7)^CO$2))))))))</f>
        <v>682.47109394059828</v>
      </c>
      <c r="CP66" s="88">
        <f>MAX(AZ66,($E66*IF(CP$2&gt;Inputs!$D$5,0,IF(CP$2&gt;VLOOKUP($H66,Lists!$P$3:$Q$7,2),IF($N66=Lists!$K$3,IF($L66&lt;1,(($U66/$L66)*((1+Inputs!$D$7)^CP$2)),((INT(CP$2/$L66)-INT((CP$2-1)/$L66))*$U66*((1+Inputs!$D$7)^CP$2))),(Inputs!$D$8^((1-_xlfn.WEIBULL.DIST(CP$2,$M66,$L66,FALSE))/_xlfn.WEIBULL.DIST(CP$2,$M66,$L66,FALSE))*$U66*((1+Inputs!$D$7)^CP$2))),IF($N66=Lists!$K$3,IF($L66&lt;1,((($T66*(1-$F66)+$S66*(1-$G66))/$L66)*((1+Inputs!$D$7)^CP$2)),((INT(CP$2/$L66)-INT((CP$2-1)/$L66))*($T66*(1-$F66)+$S66*(1-$G66))*((1+Inputs!$D$7)^CP$2))),((Inputs!$D$8^((1-_xlfn.WEIBULL.DIST(CP$2,$M66,$L66,FALSE))/_xlfn.WEIBULL.DIST(CP$2,$M66,$L66,FALSE))*($T66*(1-$F66)+$S66*(1-$G66))*((1+Inputs!$D$7)^CP$2))))))))</f>
        <v>0</v>
      </c>
      <c r="CQ66" s="88">
        <f>MAX(BA66,($E66*IF(CQ$2&gt;Inputs!$D$5,0,IF(CQ$2&gt;VLOOKUP($H66,Lists!$P$3:$Q$7,2),IF($N66=Lists!$K$3,IF($L66&lt;1,(($U66/$L66)*((1+Inputs!$D$7)^CQ$2)),((INT(CQ$2/$L66)-INT((CQ$2-1)/$L66))*$U66*((1+Inputs!$D$7)^CQ$2))),(Inputs!$D$8^((1-_xlfn.WEIBULL.DIST(CQ$2,$M66,$L66,FALSE))/_xlfn.WEIBULL.DIST(CQ$2,$M66,$L66,FALSE))*$U66*((1+Inputs!$D$7)^CQ$2))),IF($N66=Lists!$K$3,IF($L66&lt;1,((($T66*(1-$F66)+$S66*(1-$G66))/$L66)*((1+Inputs!$D$7)^CQ$2)),((INT(CQ$2/$L66)-INT((CQ$2-1)/$L66))*($T66*(1-$F66)+$S66*(1-$G66))*((1+Inputs!$D$7)^CQ$2))),((Inputs!$D$8^((1-_xlfn.WEIBULL.DIST(CQ$2,$M66,$L66,FALSE))/_xlfn.WEIBULL.DIST(CQ$2,$M66,$L66,FALSE))*($T66*(1-$F66)+$S66*(1-$G66))*((1+Inputs!$D$7)^CQ$2))))))))</f>
        <v>0</v>
      </c>
      <c r="CR66" s="88">
        <f>MAX(BB66,($E66*IF(CR$2&gt;Inputs!$D$5,0,IF(CR$2&gt;VLOOKUP($H66,Lists!$P$3:$Q$7,2),IF($N66=Lists!$K$3,IF($L66&lt;1,(($U66/$L66)*((1+Inputs!$D$7)^CR$2)),((INT(CR$2/$L66)-INT((CR$2-1)/$L66))*$U66*((1+Inputs!$D$7)^CR$2))),(Inputs!$D$8^((1-_xlfn.WEIBULL.DIST(CR$2,$M66,$L66,FALSE))/_xlfn.WEIBULL.DIST(CR$2,$M66,$L66,FALSE))*$U66*((1+Inputs!$D$7)^CR$2))),IF($N66=Lists!$K$3,IF($L66&lt;1,((($T66*(1-$F66)+$S66*(1-$G66))/$L66)*((1+Inputs!$D$7)^CR$2)),((INT(CR$2/$L66)-INT((CR$2-1)/$L66))*($T66*(1-$F66)+$S66*(1-$G66))*((1+Inputs!$D$7)^CR$2))),((Inputs!$D$8^((1-_xlfn.WEIBULL.DIST(CR$2,$M66,$L66,FALSE))/_xlfn.WEIBULL.DIST(CR$2,$M66,$L66,FALSE))*($T66*(1-$F66)+$S66*(1-$G66))*((1+Inputs!$D$7)^CR$2))))))))</f>
        <v>0</v>
      </c>
      <c r="CS66" s="88">
        <f>MAX(BC66,($E66*IF(CS$2&gt;Inputs!$D$5,0,IF(CS$2&gt;VLOOKUP($H66,Lists!$P$3:$Q$7,2),IF($N66=Lists!$K$3,IF($L66&lt;1,(($U66/$L66)*((1+Inputs!$D$7)^CS$2)),((INT(CS$2/$L66)-INT((CS$2-1)/$L66))*$U66*((1+Inputs!$D$7)^CS$2))),(Inputs!$D$8^((1-_xlfn.WEIBULL.DIST(CS$2,$M66,$L66,FALSE))/_xlfn.WEIBULL.DIST(CS$2,$M66,$L66,FALSE))*$U66*((1+Inputs!$D$7)^CS$2))),IF($N66=Lists!$K$3,IF($L66&lt;1,((($T66*(1-$F66)+$S66*(1-$G66))/$L66)*((1+Inputs!$D$7)^CS$2)),((INT(CS$2/$L66)-INT((CS$2-1)/$L66))*($T66*(1-$F66)+$S66*(1-$G66))*((1+Inputs!$D$7)^CS$2))),((Inputs!$D$8^((1-_xlfn.WEIBULL.DIST(CS$2,$M66,$L66,FALSE))/_xlfn.WEIBULL.DIST(CS$2,$M66,$L66,FALSE))*($T66*(1-$F66)+$S66*(1-$G66))*((1+Inputs!$D$7)^CS$2))))))))</f>
        <v>0</v>
      </c>
      <c r="CT66" s="88">
        <f>MAX(BD66,($E66*IF(CT$2&gt;Inputs!$D$5,0,IF(CT$2&gt;VLOOKUP($H66,Lists!$P$3:$Q$7,2),IF($N66=Lists!$K$3,IF($L66&lt;1,(($U66/$L66)*((1+Inputs!$D$7)^CT$2)),((INT(CT$2/$L66)-INT((CT$2-1)/$L66))*$U66*((1+Inputs!$D$7)^CT$2))),(Inputs!$D$8^((1-_xlfn.WEIBULL.DIST(CT$2,$M66,$L66,FALSE))/_xlfn.WEIBULL.DIST(CT$2,$M66,$L66,FALSE))*$U66*((1+Inputs!$D$7)^CT$2))),IF($N66=Lists!$K$3,IF($L66&lt;1,((($T66*(1-$F66)+$S66*(1-$G66))/$L66)*((1+Inputs!$D$7)^CT$2)),((INT(CT$2/$L66)-INT((CT$2-1)/$L66))*($T66*(1-$F66)+$S66*(1-$G66))*((1+Inputs!$D$7)^CT$2))),((Inputs!$D$8^((1-_xlfn.WEIBULL.DIST(CT$2,$M66,$L66,FALSE))/_xlfn.WEIBULL.DIST(CT$2,$M66,$L66,FALSE))*($T66*(1-$F66)+$S66*(1-$G66))*((1+Inputs!$D$7)^CT$2))))))))</f>
        <v>0</v>
      </c>
      <c r="CU66" s="88">
        <f>MAX(BE66,($E66*IF(CU$2&gt;Inputs!$D$5,0,IF(CU$2&gt;VLOOKUP($H66,Lists!$P$3:$Q$7,2),IF($N66=Lists!$K$3,IF($L66&lt;1,(($U66/$L66)*((1+Inputs!$D$7)^CU$2)),((INT(CU$2/$L66)-INT((CU$2-1)/$L66))*$U66*((1+Inputs!$D$7)^CU$2))),(Inputs!$D$8^((1-_xlfn.WEIBULL.DIST(CU$2,$M66,$L66,FALSE))/_xlfn.WEIBULL.DIST(CU$2,$M66,$L66,FALSE))*$U66*((1+Inputs!$D$7)^CU$2))),IF($N66=Lists!$K$3,IF($L66&lt;1,((($T66*(1-$F66)+$S66*(1-$G66))/$L66)*((1+Inputs!$D$7)^CU$2)),((INT(CU$2/$L66)-INT((CU$2-1)/$L66))*($T66*(1-$F66)+$S66*(1-$G66))*((1+Inputs!$D$7)^CU$2))),((Inputs!$D$8^((1-_xlfn.WEIBULL.DIST(CU$2,$M66,$L66,FALSE))/_xlfn.WEIBULL.DIST(CU$2,$M66,$L66,FALSE))*($T66*(1-$F66)+$S66*(1-$G66))*((1+Inputs!$D$7)^CU$2))))))))</f>
        <v>0</v>
      </c>
      <c r="CV66" s="88">
        <f>MAX(BF66,($E66*IF(CV$2&gt;Inputs!$D$5,0,IF(CV$2&gt;VLOOKUP($H66,Lists!$P$3:$Q$7,2),IF($N66=Lists!$K$3,IF($L66&lt;1,(($U66/$L66)*((1+Inputs!$D$7)^CV$2)),((INT(CV$2/$L66)-INT((CV$2-1)/$L66))*$U66*((1+Inputs!$D$7)^CV$2))),(Inputs!$D$8^((1-_xlfn.WEIBULL.DIST(CV$2,$M66,$L66,FALSE))/_xlfn.WEIBULL.DIST(CV$2,$M66,$L66,FALSE))*$U66*((1+Inputs!$D$7)^CV$2))),IF($N66=Lists!$K$3,IF($L66&lt;1,((($T66*(1-$F66)+$S66*(1-$G66))/$L66)*((1+Inputs!$D$7)^CV$2)),((INT(CV$2/$L66)-INT((CV$2-1)/$L66))*($T66*(1-$F66)+$S66*(1-$G66))*((1+Inputs!$D$7)^CV$2))),((Inputs!$D$8^((1-_xlfn.WEIBULL.DIST(CV$2,$M66,$L66,FALSE))/_xlfn.WEIBULL.DIST(CV$2,$M66,$L66,FALSE))*($T66*(1-$F66)+$S66*(1-$G66))*((1+Inputs!$D$7)^CV$2))))))))</f>
        <v>0</v>
      </c>
      <c r="CW66" s="88">
        <f>MAX(BG66,($E66*IF(CW$2&gt;Inputs!$D$5,0,IF(CW$2&gt;VLOOKUP($H66,Lists!$P$3:$Q$7,2),IF($N66=Lists!$K$3,IF($L66&lt;1,(($U66/$L66)*((1+Inputs!$D$7)^CW$2)),((INT(CW$2/$L66)-INT((CW$2-1)/$L66))*$U66*((1+Inputs!$D$7)^CW$2))),(Inputs!$D$8^((1-_xlfn.WEIBULL.DIST(CW$2,$M66,$L66,FALSE))/_xlfn.WEIBULL.DIST(CW$2,$M66,$L66,FALSE))*$U66*((1+Inputs!$D$7)^CW$2))),IF($N66=Lists!$K$3,IF($L66&lt;1,((($T66*(1-$F66)+$S66*(1-$G66))/$L66)*((1+Inputs!$D$7)^CW$2)),((INT(CW$2/$L66)-INT((CW$2-1)/$L66))*($T66*(1-$F66)+$S66*(1-$G66))*((1+Inputs!$D$7)^CW$2))),((Inputs!$D$8^((1-_xlfn.WEIBULL.DIST(CW$2,$M66,$L66,FALSE))/_xlfn.WEIBULL.DIST(CW$2,$M66,$L66,FALSE))*($T66*(1-$F66)+$S66*(1-$G66))*((1+Inputs!$D$7)^CW$2))))))))</f>
        <v>0</v>
      </c>
      <c r="CX66" s="88">
        <f>MAX(BH66,($E66*IF(CX$2&gt;Inputs!$D$5,0,IF(CX$2&gt;VLOOKUP($H66,Lists!$P$3:$Q$7,2),IF($N66=Lists!$K$3,IF($L66&lt;1,(($U66/$L66)*((1+Inputs!$D$7)^CX$2)),((INT(CX$2/$L66)-INT((CX$2-1)/$L66))*$U66*((1+Inputs!$D$7)^CX$2))),(Inputs!$D$8^((1-_xlfn.WEIBULL.DIST(CX$2,$M66,$L66,FALSE))/_xlfn.WEIBULL.DIST(CX$2,$M66,$L66,FALSE))*$U66*((1+Inputs!$D$7)^CX$2))),IF($N66=Lists!$K$3,IF($L66&lt;1,((($T66*(1-$F66)+$S66*(1-$G66))/$L66)*((1+Inputs!$D$7)^CX$2)),((INT(CX$2/$L66)-INT((CX$2-1)/$L66))*($T66*(1-$F66)+$S66*(1-$G66))*((1+Inputs!$D$7)^CX$2))),((Inputs!$D$8^((1-_xlfn.WEIBULL.DIST(CX$2,$M66,$L66,FALSE))/_xlfn.WEIBULL.DIST(CX$2,$M66,$L66,FALSE))*($T66*(1-$F66)+$S66*(1-$G66))*((1+Inputs!$D$7)^CX$2))))))))</f>
        <v>0</v>
      </c>
      <c r="CY66" s="88">
        <f>MAX(BI66,($E66*IF(CY$2&gt;Inputs!$D$5,0,IF(CY$2&gt;VLOOKUP($H66,Lists!$P$3:$Q$7,2),IF($N66=Lists!$K$3,IF($L66&lt;1,(($U66/$L66)*((1+Inputs!$D$7)^CY$2)),((INT(CY$2/$L66)-INT((CY$2-1)/$L66))*$U66*((1+Inputs!$D$7)^CY$2))),(Inputs!$D$8^((1-_xlfn.WEIBULL.DIST(CY$2,$M66,$L66,FALSE))/_xlfn.WEIBULL.DIST(CY$2,$M66,$L66,FALSE))*$U66*((1+Inputs!$D$7)^CY$2))),IF($N66=Lists!$K$3,IF($L66&lt;1,((($T66*(1-$F66)+$S66*(1-$G66))/$L66)*((1+Inputs!$D$7)^CY$2)),((INT(CY$2/$L66)-INT((CY$2-1)/$L66))*($T66*(1-$F66)+$S66*(1-$G66))*((1+Inputs!$D$7)^CY$2))),((Inputs!$D$8^((1-_xlfn.WEIBULL.DIST(CY$2,$M66,$L66,FALSE))/_xlfn.WEIBULL.DIST(CY$2,$M66,$L66,FALSE))*($T66*(1-$F66)+$S66*(1-$G66))*((1+Inputs!$D$7)^CY$2))))))))</f>
        <v>0</v>
      </c>
      <c r="CZ66" s="88">
        <f>MAX(BJ66,($E66*IF(CZ$2&gt;Inputs!$D$5,0,IF(CZ$2&gt;VLOOKUP($H66,Lists!$P$3:$Q$7,2),IF($N66=Lists!$K$3,IF($L66&lt;1,(($U66/$L66)*((1+Inputs!$D$7)^CZ$2)),((INT(CZ$2/$L66)-INT((CZ$2-1)/$L66))*$U66*((1+Inputs!$D$7)^CZ$2))),(Inputs!$D$8^((1-_xlfn.WEIBULL.DIST(CZ$2,$M66,$L66,FALSE))/_xlfn.WEIBULL.DIST(CZ$2,$M66,$L66,FALSE))*$U66*((1+Inputs!$D$7)^CZ$2))),IF($N66=Lists!$K$3,IF($L66&lt;1,((($T66*(1-$F66)+$S66*(1-$G66))/$L66)*((1+Inputs!$D$7)^CZ$2)),((INT(CZ$2/$L66)-INT((CZ$2-1)/$L66))*($T66*(1-$F66)+$S66*(1-$G66))*((1+Inputs!$D$7)^CZ$2))),((Inputs!$D$8^((1-_xlfn.WEIBULL.DIST(CZ$2,$M66,$L66,FALSE))/_xlfn.WEIBULL.DIST(CZ$2,$M66,$L66,FALSE))*($T66*(1-$F66)+$S66*(1-$G66))*((1+Inputs!$D$7)^CZ$2))))))))</f>
        <v>0</v>
      </c>
      <c r="DA66" s="88">
        <f>MAX(BK66,($E66*IF(DA$2&gt;Inputs!$D$5,0,IF(DA$2&gt;VLOOKUP($H66,Lists!$P$3:$Q$7,2),IF($N66=Lists!$K$3,IF($L66&lt;1,(($U66/$L66)*((1+Inputs!$D$7)^DA$2)),((INT(DA$2/$L66)-INT((DA$2-1)/$L66))*$U66*((1+Inputs!$D$7)^DA$2))),(Inputs!$D$8^((1-_xlfn.WEIBULL.DIST(DA$2,$M66,$L66,FALSE))/_xlfn.WEIBULL.DIST(DA$2,$M66,$L66,FALSE))*$U66*((1+Inputs!$D$7)^DA$2))),IF($N66=Lists!$K$3,IF($L66&lt;1,((($T66*(1-$F66)+$S66*(1-$G66))/$L66)*((1+Inputs!$D$7)^DA$2)),((INT(DA$2/$L66)-INT((DA$2-1)/$L66))*($T66*(1-$F66)+$S66*(1-$G66))*((1+Inputs!$D$7)^DA$2))),((Inputs!$D$8^((1-_xlfn.WEIBULL.DIST(DA$2,$M66,$L66,FALSE))/_xlfn.WEIBULL.DIST(DA$2,$M66,$L66,FALSE))*($T66*(1-$F66)+$S66*(1-$G66))*((1+Inputs!$D$7)^DA$2))))))))</f>
        <v>0</v>
      </c>
      <c r="DB66" s="88">
        <f>MAX(BL66,($E66*IF(DB$2&gt;Inputs!$D$5,0,IF(DB$2&gt;VLOOKUP($H66,Lists!$P$3:$Q$7,2),IF($N66=Lists!$K$3,IF($L66&lt;1,(($U66/$L66)*((1+Inputs!$D$7)^DB$2)),((INT(DB$2/$L66)-INT((DB$2-1)/$L66))*$U66*((1+Inputs!$D$7)^DB$2))),(Inputs!$D$8^((1-_xlfn.WEIBULL.DIST(DB$2,$M66,$L66,FALSE))/_xlfn.WEIBULL.DIST(DB$2,$M66,$L66,FALSE))*$U66*((1+Inputs!$D$7)^DB$2))),IF($N66=Lists!$K$3,IF($L66&lt;1,((($T66*(1-$F66)+$S66*(1-$G66))/$L66)*((1+Inputs!$D$7)^DB$2)),((INT(DB$2/$L66)-INT((DB$2-1)/$L66))*($T66*(1-$F66)+$S66*(1-$G66))*((1+Inputs!$D$7)^DB$2))),((Inputs!$D$8^((1-_xlfn.WEIBULL.DIST(DB$2,$M66,$L66,FALSE))/_xlfn.WEIBULL.DIST(DB$2,$M66,$L66,FALSE))*($T66*(1-$F66)+$S66*(1-$G66))*((1+Inputs!$D$7)^DB$2))))))))</f>
        <v>0</v>
      </c>
      <c r="DC66" s="88">
        <f>MAX(BM66,($E66*IF(DC$2&gt;Inputs!$D$5,0,IF(DC$2&gt;VLOOKUP($H66,Lists!$P$3:$Q$7,2),IF($N66=Lists!$K$3,IF($L66&lt;1,(($U66/$L66)*((1+Inputs!$D$7)^DC$2)),((INT(DC$2/$L66)-INT((DC$2-1)/$L66))*$U66*((1+Inputs!$D$7)^DC$2))),(Inputs!$D$8^((1-_xlfn.WEIBULL.DIST(DC$2,$M66,$L66,FALSE))/_xlfn.WEIBULL.DIST(DC$2,$M66,$L66,FALSE))*$U66*((1+Inputs!$D$7)^DC$2))),IF($N66=Lists!$K$3,IF($L66&lt;1,((($T66*(1-$F66)+$S66*(1-$G66))/$L66)*((1+Inputs!$D$7)^DC$2)),((INT(DC$2/$L66)-INT((DC$2-1)/$L66))*($T66*(1-$F66)+$S66*(1-$G66))*((1+Inputs!$D$7)^DC$2))),((Inputs!$D$8^((1-_xlfn.WEIBULL.DIST(DC$2,$M66,$L66,FALSE))/_xlfn.WEIBULL.DIST(DC$2,$M66,$L66,FALSE))*($T66*(1-$F66)+$S66*(1-$G66))*((1+Inputs!$D$7)^DC$2))))))))</f>
        <v>0</v>
      </c>
      <c r="DD66" s="88">
        <f>MAX(BN66,($E66*IF(DD$2&gt;Inputs!$D$5,0,IF(DD$2&gt;VLOOKUP($H66,Lists!$P$3:$Q$7,2),IF($N66=Lists!$K$3,IF($L66&lt;1,(($U66/$L66)*((1+Inputs!$D$7)^DD$2)),((INT(DD$2/$L66)-INT((DD$2-1)/$L66))*$U66*((1+Inputs!$D$7)^DD$2))),(Inputs!$D$8^((1-_xlfn.WEIBULL.DIST(DD$2,$M66,$L66,FALSE))/_xlfn.WEIBULL.DIST(DD$2,$M66,$L66,FALSE))*$U66*((1+Inputs!$D$7)^DD$2))),IF($N66=Lists!$K$3,IF($L66&lt;1,((($T66*(1-$F66)+$S66*(1-$G66))/$L66)*((1+Inputs!$D$7)^DD$2)),((INT(DD$2/$L66)-INT((DD$2-1)/$L66))*($T66*(1-$F66)+$S66*(1-$G66))*((1+Inputs!$D$7)^DD$2))),((Inputs!$D$8^((1-_xlfn.WEIBULL.DIST(DD$2,$M66,$L66,FALSE))/_xlfn.WEIBULL.DIST(DD$2,$M66,$L66,FALSE))*($T66*(1-$F66)+$S66*(1-$G66))*((1+Inputs!$D$7)^DD$2))))))))</f>
        <v>0</v>
      </c>
    </row>
    <row r="67" spans="1:108" s="1" customFormat="1" ht="32">
      <c r="A67" s="57" t="s">
        <v>134</v>
      </c>
      <c r="B67" s="13" t="s">
        <v>279</v>
      </c>
      <c r="C67" s="13" t="s">
        <v>90</v>
      </c>
      <c r="D67" s="13" t="s">
        <v>122</v>
      </c>
      <c r="E67" s="48">
        <v>1</v>
      </c>
      <c r="F67" s="48">
        <v>0</v>
      </c>
      <c r="G67" s="48">
        <v>0</v>
      </c>
      <c r="H67" s="105" t="s">
        <v>350</v>
      </c>
      <c r="I67" s="14" t="s">
        <v>15</v>
      </c>
      <c r="J67" s="14" t="s">
        <v>246</v>
      </c>
      <c r="K67" s="13">
        <f>VLOOKUP(J67,'Labor Rates'!$A$1:$F$16,2)</f>
        <v>33.119999999999997</v>
      </c>
      <c r="L67" s="15">
        <v>1</v>
      </c>
      <c r="M67" s="15">
        <v>1</v>
      </c>
      <c r="N67" s="13" t="s">
        <v>236</v>
      </c>
      <c r="O67" s="61">
        <f>Inputs!$D$27</f>
        <v>157</v>
      </c>
      <c r="P67" s="15">
        <v>0.08</v>
      </c>
      <c r="Q67" s="15">
        <f t="shared" ref="Q67:Q98" si="14">O67*P67/L67</f>
        <v>12.56</v>
      </c>
      <c r="R67" s="4">
        <v>0</v>
      </c>
      <c r="S67" s="53">
        <f t="shared" ref="S67:S98" si="15">P67*O67*K67</f>
        <v>415.98719999999997</v>
      </c>
      <c r="T67" s="53">
        <f t="shared" ref="T67:T98" si="16">R67*O67</f>
        <v>0</v>
      </c>
      <c r="U67" s="54">
        <f t="shared" ref="U67:U98" si="17">E67*(T67+S67)</f>
        <v>415.98719999999997</v>
      </c>
      <c r="V67" s="65"/>
      <c r="W67" s="58"/>
      <c r="X67" s="64">
        <f t="shared" ref="X67:X98" si="18">AVERAGE(AA67:AT67)</f>
        <v>515.47713633083333</v>
      </c>
      <c r="Y67" s="64">
        <f>NPV(Inputs!$D$6,AA67:BN67)</f>
        <v>5920.9462300783234</v>
      </c>
      <c r="Z67" s="67">
        <f t="shared" ref="Z67:Z98" si="19">Y67/SUM($Y$3:$Y$136)</f>
        <v>2.7926073068914661E-3</v>
      </c>
      <c r="AA67" s="88">
        <f>$E67*IF(AA$2&gt;Inputs!$D$5,0,IF(AA$2&gt;VLOOKUP($H67,Lists!$P$3:$Q$7,2),IF($N67=Lists!$K$3,IF($L67&lt;1,(($U67/$L67)*((1+Inputs!$D$7)^AA$2)),((INT(AA$2/$L67)-INT((AA$2-1)/$L67))*$U67*((1+Inputs!$D$7)^AA$2))),(_xlfn.WEIBULL.DIST(AA$2,$M67,$L67,FALSE)*$U67*((1+Inputs!$D$7)^AA$2))),IF($N67=Lists!$K$3,IF($L67&lt;1,((($T67*(1-$F67)+$S67*(1-$G67))/$L67)*((1+Inputs!$D$7)^AA$2)),((INT(AA$2/$L67)-INT((AA$2-1)/$L67))*($T67*(1-$F67)+$S67*(1-$G67))*((1+Inputs!$D$7)^AA$2))),((_xlfn.WEIBULL.DIST(AA$2,$M67,$L67,FALSE)*($T67*(1-$F67)+$S67*(1-$G67))*((1+Inputs!$D$7)^AA$2))))))</f>
        <v>424.30694399999999</v>
      </c>
      <c r="AB67" s="88">
        <f>$E67*IF(AB$2&gt;Inputs!$D$5,0,IF(AB$2&gt;VLOOKUP($H67,Lists!$P$3:$Q$7,2),IF($N67=Lists!$K$3,IF($L67&lt;1,(($U67/$L67)*((1+Inputs!$D$7)^AB$2)),((INT(AB$2/$L67)-INT((AB$2-1)/$L67))*$U67*((1+Inputs!$D$7)^AB$2))),(_xlfn.WEIBULL.DIST(AB$2,$M67,$L67,FALSE)*$U67*((1+Inputs!$D$7)^AB$2))),IF($N67=Lists!$K$3,IF($L67&lt;1,((($T67*(1-$F67)+$S67*(1-$G67))/$L67)*((1+Inputs!$D$7)^AB$2)),((INT(AB$2/$L67)-INT((AB$2-1)/$L67))*($T67*(1-$F67)+$S67*(1-$G67))*((1+Inputs!$D$7)^AB$2))),((_xlfn.WEIBULL.DIST(AB$2,$M67,$L67,FALSE)*($T67*(1-$F67)+$S67*(1-$G67))*((1+Inputs!$D$7)^AB$2))))))</f>
        <v>432.79308287999999</v>
      </c>
      <c r="AC67" s="88">
        <f>$E67*IF(AC$2&gt;Inputs!$D$5,0,IF(AC$2&gt;VLOOKUP($H67,Lists!$P$3:$Q$7,2),IF($N67=Lists!$K$3,IF($L67&lt;1,(($U67/$L67)*((1+Inputs!$D$7)^AC$2)),((INT(AC$2/$L67)-INT((AC$2-1)/$L67))*$U67*((1+Inputs!$D$7)^AC$2))),(_xlfn.WEIBULL.DIST(AC$2,$M67,$L67,FALSE)*$U67*((1+Inputs!$D$7)^AC$2))),IF($N67=Lists!$K$3,IF($L67&lt;1,((($T67*(1-$F67)+$S67*(1-$G67))/$L67)*((1+Inputs!$D$7)^AC$2)),((INT(AC$2/$L67)-INT((AC$2-1)/$L67))*($T67*(1-$F67)+$S67*(1-$G67))*((1+Inputs!$D$7)^AC$2))),((_xlfn.WEIBULL.DIST(AC$2,$M67,$L67,FALSE)*($T67*(1-$F67)+$S67*(1-$G67))*((1+Inputs!$D$7)^AC$2))))))</f>
        <v>441.44894453759991</v>
      </c>
      <c r="AD67" s="88">
        <f>$E67*IF(AD$2&gt;Inputs!$D$5,0,IF(AD$2&gt;VLOOKUP($H67,Lists!$P$3:$Q$7,2),IF($N67=Lists!$K$3,IF($L67&lt;1,(($U67/$L67)*((1+Inputs!$D$7)^AD$2)),((INT(AD$2/$L67)-INT((AD$2-1)/$L67))*$U67*((1+Inputs!$D$7)^AD$2))),(_xlfn.WEIBULL.DIST(AD$2,$M67,$L67,FALSE)*$U67*((1+Inputs!$D$7)^AD$2))),IF($N67=Lists!$K$3,IF($L67&lt;1,((($T67*(1-$F67)+$S67*(1-$G67))/$L67)*((1+Inputs!$D$7)^AD$2)),((INT(AD$2/$L67)-INT((AD$2-1)/$L67))*($T67*(1-$F67)+$S67*(1-$G67))*((1+Inputs!$D$7)^AD$2))),((_xlfn.WEIBULL.DIST(AD$2,$M67,$L67,FALSE)*($T67*(1-$F67)+$S67*(1-$G67))*((1+Inputs!$D$7)^AD$2))))))</f>
        <v>450.27792342835198</v>
      </c>
      <c r="AE67" s="88">
        <f>$E67*IF(AE$2&gt;Inputs!$D$5,0,IF(AE$2&gt;VLOOKUP($H67,Lists!$P$3:$Q$7,2),IF($N67=Lists!$K$3,IF($L67&lt;1,(($U67/$L67)*((1+Inputs!$D$7)^AE$2)),((INT(AE$2/$L67)-INT((AE$2-1)/$L67))*$U67*((1+Inputs!$D$7)^AE$2))),(_xlfn.WEIBULL.DIST(AE$2,$M67,$L67,FALSE)*$U67*((1+Inputs!$D$7)^AE$2))),IF($N67=Lists!$K$3,IF($L67&lt;1,((($T67*(1-$F67)+$S67*(1-$G67))/$L67)*((1+Inputs!$D$7)^AE$2)),((INT(AE$2/$L67)-INT((AE$2-1)/$L67))*($T67*(1-$F67)+$S67*(1-$G67))*((1+Inputs!$D$7)^AE$2))),((_xlfn.WEIBULL.DIST(AE$2,$M67,$L67,FALSE)*($T67*(1-$F67)+$S67*(1-$G67))*((1+Inputs!$D$7)^AE$2))))))</f>
        <v>459.283481896919</v>
      </c>
      <c r="AF67" s="88">
        <f>$E67*IF(AF$2&gt;Inputs!$D$5,0,IF(AF$2&gt;VLOOKUP($H67,Lists!$P$3:$Q$7,2),IF($N67=Lists!$K$3,IF($L67&lt;1,(($U67/$L67)*((1+Inputs!$D$7)^AF$2)),((INT(AF$2/$L67)-INT((AF$2-1)/$L67))*$U67*((1+Inputs!$D$7)^AF$2))),(_xlfn.WEIBULL.DIST(AF$2,$M67,$L67,FALSE)*$U67*((1+Inputs!$D$7)^AF$2))),IF($N67=Lists!$K$3,IF($L67&lt;1,((($T67*(1-$F67)+$S67*(1-$G67))/$L67)*((1+Inputs!$D$7)^AF$2)),((INT(AF$2/$L67)-INT((AF$2-1)/$L67))*($T67*(1-$F67)+$S67*(1-$G67))*((1+Inputs!$D$7)^AF$2))),((_xlfn.WEIBULL.DIST(AF$2,$M67,$L67,FALSE)*($T67*(1-$F67)+$S67*(1-$G67))*((1+Inputs!$D$7)^AF$2))))))</f>
        <v>468.46915153485742</v>
      </c>
      <c r="AG67" s="88">
        <f>$E67*IF(AG$2&gt;Inputs!$D$5,0,IF(AG$2&gt;VLOOKUP($H67,Lists!$P$3:$Q$7,2),IF($N67=Lists!$K$3,IF($L67&lt;1,(($U67/$L67)*((1+Inputs!$D$7)^AG$2)),((INT(AG$2/$L67)-INT((AG$2-1)/$L67))*$U67*((1+Inputs!$D$7)^AG$2))),(_xlfn.WEIBULL.DIST(AG$2,$M67,$L67,FALSE)*$U67*((1+Inputs!$D$7)^AG$2))),IF($N67=Lists!$K$3,IF($L67&lt;1,((($T67*(1-$F67)+$S67*(1-$G67))/$L67)*((1+Inputs!$D$7)^AG$2)),((INT(AG$2/$L67)-INT((AG$2-1)/$L67))*($T67*(1-$F67)+$S67*(1-$G67))*((1+Inputs!$D$7)^AG$2))),((_xlfn.WEIBULL.DIST(AG$2,$M67,$L67,FALSE)*($T67*(1-$F67)+$S67*(1-$G67))*((1+Inputs!$D$7)^AG$2))))))</f>
        <v>477.83853456555448</v>
      </c>
      <c r="AH67" s="88">
        <f>$E67*IF(AH$2&gt;Inputs!$D$5,0,IF(AH$2&gt;VLOOKUP($H67,Lists!$P$3:$Q$7,2),IF($N67=Lists!$K$3,IF($L67&lt;1,(($U67/$L67)*((1+Inputs!$D$7)^AH$2)),((INT(AH$2/$L67)-INT((AH$2-1)/$L67))*$U67*((1+Inputs!$D$7)^AH$2))),(_xlfn.WEIBULL.DIST(AH$2,$M67,$L67,FALSE)*$U67*((1+Inputs!$D$7)^AH$2))),IF($N67=Lists!$K$3,IF($L67&lt;1,((($T67*(1-$F67)+$S67*(1-$G67))/$L67)*((1+Inputs!$D$7)^AH$2)),((INT(AH$2/$L67)-INT((AH$2-1)/$L67))*($T67*(1-$F67)+$S67*(1-$G67))*((1+Inputs!$D$7)^AH$2))),((_xlfn.WEIBULL.DIST(AH$2,$M67,$L67,FALSE)*($T67*(1-$F67)+$S67*(1-$G67))*((1+Inputs!$D$7)^AH$2))))))</f>
        <v>487.39530525686558</v>
      </c>
      <c r="AI67" s="88">
        <f>$E67*IF(AI$2&gt;Inputs!$D$5,0,IF(AI$2&gt;VLOOKUP($H67,Lists!$P$3:$Q$7,2),IF($N67=Lists!$K$3,IF($L67&lt;1,(($U67/$L67)*((1+Inputs!$D$7)^AI$2)),((INT(AI$2/$L67)-INT((AI$2-1)/$L67))*$U67*((1+Inputs!$D$7)^AI$2))),(_xlfn.WEIBULL.DIST(AI$2,$M67,$L67,FALSE)*$U67*((1+Inputs!$D$7)^AI$2))),IF($N67=Lists!$K$3,IF($L67&lt;1,((($T67*(1-$F67)+$S67*(1-$G67))/$L67)*((1+Inputs!$D$7)^AI$2)),((INT(AI$2/$L67)-INT((AI$2-1)/$L67))*($T67*(1-$F67)+$S67*(1-$G67))*((1+Inputs!$D$7)^AI$2))),((_xlfn.WEIBULL.DIST(AI$2,$M67,$L67,FALSE)*($T67*(1-$F67)+$S67*(1-$G67))*((1+Inputs!$D$7)^AI$2))))))</f>
        <v>497.14321136200289</v>
      </c>
      <c r="AJ67" s="88">
        <f>$E67*IF(AJ$2&gt;Inputs!$D$5,0,IF(AJ$2&gt;VLOOKUP($H67,Lists!$P$3:$Q$7,2),IF($N67=Lists!$K$3,IF($L67&lt;1,(($U67/$L67)*((1+Inputs!$D$7)^AJ$2)),((INT(AJ$2/$L67)-INT((AJ$2-1)/$L67))*$U67*((1+Inputs!$D$7)^AJ$2))),(_xlfn.WEIBULL.DIST(AJ$2,$M67,$L67,FALSE)*$U67*((1+Inputs!$D$7)^AJ$2))),IF($N67=Lists!$K$3,IF($L67&lt;1,((($T67*(1-$F67)+$S67*(1-$G67))/$L67)*((1+Inputs!$D$7)^AJ$2)),((INT(AJ$2/$L67)-INT((AJ$2-1)/$L67))*($T67*(1-$F67)+$S67*(1-$G67))*((1+Inputs!$D$7)^AJ$2))),((_xlfn.WEIBULL.DIST(AJ$2,$M67,$L67,FALSE)*($T67*(1-$F67)+$S67*(1-$G67))*((1+Inputs!$D$7)^AJ$2))))))</f>
        <v>507.08607558924297</v>
      </c>
      <c r="AK67" s="88">
        <f>$E67*IF(AK$2&gt;Inputs!$D$5,0,IF(AK$2&gt;VLOOKUP($H67,Lists!$P$3:$Q$7,2),IF($N67=Lists!$K$3,IF($L67&lt;1,(($U67/$L67)*((1+Inputs!$D$7)^AK$2)),((INT(AK$2/$L67)-INT((AK$2-1)/$L67))*$U67*((1+Inputs!$D$7)^AK$2))),(_xlfn.WEIBULL.DIST(AK$2,$M67,$L67,FALSE)*$U67*((1+Inputs!$D$7)^AK$2))),IF($N67=Lists!$K$3,IF($L67&lt;1,((($T67*(1-$F67)+$S67*(1-$G67))/$L67)*((1+Inputs!$D$7)^AK$2)),((INT(AK$2/$L67)-INT((AK$2-1)/$L67))*($T67*(1-$F67)+$S67*(1-$G67))*((1+Inputs!$D$7)^AK$2))),((_xlfn.WEIBULL.DIST(AK$2,$M67,$L67,FALSE)*($T67*(1-$F67)+$S67*(1-$G67))*((1+Inputs!$D$7)^AK$2))))))</f>
        <v>517.2277971010277</v>
      </c>
      <c r="AL67" s="88">
        <f>$E67*IF(AL$2&gt;Inputs!$D$5,0,IF(AL$2&gt;VLOOKUP($H67,Lists!$P$3:$Q$7,2),IF($N67=Lists!$K$3,IF($L67&lt;1,(($U67/$L67)*((1+Inputs!$D$7)^AL$2)),((INT(AL$2/$L67)-INT((AL$2-1)/$L67))*$U67*((1+Inputs!$D$7)^AL$2))),(_xlfn.WEIBULL.DIST(AL$2,$M67,$L67,FALSE)*$U67*((1+Inputs!$D$7)^AL$2))),IF($N67=Lists!$K$3,IF($L67&lt;1,((($T67*(1-$F67)+$S67*(1-$G67))/$L67)*((1+Inputs!$D$7)^AL$2)),((INT(AL$2/$L67)-INT((AL$2-1)/$L67))*($T67*(1-$F67)+$S67*(1-$G67))*((1+Inputs!$D$7)^AL$2))),((_xlfn.WEIBULL.DIST(AL$2,$M67,$L67,FALSE)*($T67*(1-$F67)+$S67*(1-$G67))*((1+Inputs!$D$7)^AL$2))))))</f>
        <v>527.57235304304845</v>
      </c>
      <c r="AM67" s="88">
        <f>$E67*IF(AM$2&gt;Inputs!$D$5,0,IF(AM$2&gt;VLOOKUP($H67,Lists!$P$3:$Q$7,2),IF($N67=Lists!$K$3,IF($L67&lt;1,(($U67/$L67)*((1+Inputs!$D$7)^AM$2)),((INT(AM$2/$L67)-INT((AM$2-1)/$L67))*$U67*((1+Inputs!$D$7)^AM$2))),(_xlfn.WEIBULL.DIST(AM$2,$M67,$L67,FALSE)*$U67*((1+Inputs!$D$7)^AM$2))),IF($N67=Lists!$K$3,IF($L67&lt;1,((($T67*(1-$F67)+$S67*(1-$G67))/$L67)*((1+Inputs!$D$7)^AM$2)),((INT(AM$2/$L67)-INT((AM$2-1)/$L67))*($T67*(1-$F67)+$S67*(1-$G67))*((1+Inputs!$D$7)^AM$2))),((_xlfn.WEIBULL.DIST(AM$2,$M67,$L67,FALSE)*($T67*(1-$F67)+$S67*(1-$G67))*((1+Inputs!$D$7)^AM$2))))))</f>
        <v>538.12380010390928</v>
      </c>
      <c r="AN67" s="88">
        <f>$E67*IF(AN$2&gt;Inputs!$D$5,0,IF(AN$2&gt;VLOOKUP($H67,Lists!$P$3:$Q$7,2),IF($N67=Lists!$K$3,IF($L67&lt;1,(($U67/$L67)*((1+Inputs!$D$7)^AN$2)),((INT(AN$2/$L67)-INT((AN$2-1)/$L67))*$U67*((1+Inputs!$D$7)^AN$2))),(_xlfn.WEIBULL.DIST(AN$2,$M67,$L67,FALSE)*$U67*((1+Inputs!$D$7)^AN$2))),IF($N67=Lists!$K$3,IF($L67&lt;1,((($T67*(1-$F67)+$S67*(1-$G67))/$L67)*((1+Inputs!$D$7)^AN$2)),((INT(AN$2/$L67)-INT((AN$2-1)/$L67))*($T67*(1-$F67)+$S67*(1-$G67))*((1+Inputs!$D$7)^AN$2))),((_xlfn.WEIBULL.DIST(AN$2,$M67,$L67,FALSE)*($T67*(1-$F67)+$S67*(1-$G67))*((1+Inputs!$D$7)^AN$2))))))</f>
        <v>548.88627610598758</v>
      </c>
      <c r="AO67" s="88">
        <f>$E67*IF(AO$2&gt;Inputs!$D$5,0,IF(AO$2&gt;VLOOKUP($H67,Lists!$P$3:$Q$7,2),IF($N67=Lists!$K$3,IF($L67&lt;1,(($U67/$L67)*((1+Inputs!$D$7)^AO$2)),((INT(AO$2/$L67)-INT((AO$2-1)/$L67))*$U67*((1+Inputs!$D$7)^AO$2))),(_xlfn.WEIBULL.DIST(AO$2,$M67,$L67,FALSE)*$U67*((1+Inputs!$D$7)^AO$2))),IF($N67=Lists!$K$3,IF($L67&lt;1,((($T67*(1-$F67)+$S67*(1-$G67))/$L67)*((1+Inputs!$D$7)^AO$2)),((INT(AO$2/$L67)-INT((AO$2-1)/$L67))*($T67*(1-$F67)+$S67*(1-$G67))*((1+Inputs!$D$7)^AO$2))),((_xlfn.WEIBULL.DIST(AO$2,$M67,$L67,FALSE)*($T67*(1-$F67)+$S67*(1-$G67))*((1+Inputs!$D$7)^AO$2))))))</f>
        <v>559.86400162810719</v>
      </c>
      <c r="AP67" s="88">
        <f>$E67*IF(AP$2&gt;Inputs!$D$5,0,IF(AP$2&gt;VLOOKUP($H67,Lists!$P$3:$Q$7,2),IF($N67=Lists!$K$3,IF($L67&lt;1,(($U67/$L67)*((1+Inputs!$D$7)^AP$2)),((INT(AP$2/$L67)-INT((AP$2-1)/$L67))*$U67*((1+Inputs!$D$7)^AP$2))),(_xlfn.WEIBULL.DIST(AP$2,$M67,$L67,FALSE)*$U67*((1+Inputs!$D$7)^AP$2))),IF($N67=Lists!$K$3,IF($L67&lt;1,((($T67*(1-$F67)+$S67*(1-$G67))/$L67)*((1+Inputs!$D$7)^AP$2)),((INT(AP$2/$L67)-INT((AP$2-1)/$L67))*($T67*(1-$F67)+$S67*(1-$G67))*((1+Inputs!$D$7)^AP$2))),((_xlfn.WEIBULL.DIST(AP$2,$M67,$L67,FALSE)*($T67*(1-$F67)+$S67*(1-$G67))*((1+Inputs!$D$7)^AP$2))))))</f>
        <v>571.06128166066947</v>
      </c>
      <c r="AQ67" s="88">
        <f>$E67*IF(AQ$2&gt;Inputs!$D$5,0,IF(AQ$2&gt;VLOOKUP($H67,Lists!$P$3:$Q$7,2),IF($N67=Lists!$K$3,IF($L67&lt;1,(($U67/$L67)*((1+Inputs!$D$7)^AQ$2)),((INT(AQ$2/$L67)-INT((AQ$2-1)/$L67))*$U67*((1+Inputs!$D$7)^AQ$2))),(_xlfn.WEIBULL.DIST(AQ$2,$M67,$L67,FALSE)*$U67*((1+Inputs!$D$7)^AQ$2))),IF($N67=Lists!$K$3,IF($L67&lt;1,((($T67*(1-$F67)+$S67*(1-$G67))/$L67)*((1+Inputs!$D$7)^AQ$2)),((INT(AQ$2/$L67)-INT((AQ$2-1)/$L67))*($T67*(1-$F67)+$S67*(1-$G67))*((1+Inputs!$D$7)^AQ$2))),((_xlfn.WEIBULL.DIST(AQ$2,$M67,$L67,FALSE)*($T67*(1-$F67)+$S67*(1-$G67))*((1+Inputs!$D$7)^AQ$2))))))</f>
        <v>582.4825072938828</v>
      </c>
      <c r="AR67" s="88">
        <f>$E67*IF(AR$2&gt;Inputs!$D$5,0,IF(AR$2&gt;VLOOKUP($H67,Lists!$P$3:$Q$7,2),IF($N67=Lists!$K$3,IF($L67&lt;1,(($U67/$L67)*((1+Inputs!$D$7)^AR$2)),((INT(AR$2/$L67)-INT((AR$2-1)/$L67))*$U67*((1+Inputs!$D$7)^AR$2))),(_xlfn.WEIBULL.DIST(AR$2,$M67,$L67,FALSE)*$U67*((1+Inputs!$D$7)^AR$2))),IF($N67=Lists!$K$3,IF($L67&lt;1,((($T67*(1-$F67)+$S67*(1-$G67))/$L67)*((1+Inputs!$D$7)^AR$2)),((INT(AR$2/$L67)-INT((AR$2-1)/$L67))*($T67*(1-$F67)+$S67*(1-$G67))*((1+Inputs!$D$7)^AR$2))),((_xlfn.WEIBULL.DIST(AR$2,$M67,$L67,FALSE)*($T67*(1-$F67)+$S67*(1-$G67))*((1+Inputs!$D$7)^AR$2))))))</f>
        <v>594.13215743976048</v>
      </c>
      <c r="AS67" s="88">
        <f>$E67*IF(AS$2&gt;Inputs!$D$5,0,IF(AS$2&gt;VLOOKUP($H67,Lists!$P$3:$Q$7,2),IF($N67=Lists!$K$3,IF($L67&lt;1,(($U67/$L67)*((1+Inputs!$D$7)^AS$2)),((INT(AS$2/$L67)-INT((AS$2-1)/$L67))*$U67*((1+Inputs!$D$7)^AS$2))),(_xlfn.WEIBULL.DIST(AS$2,$M67,$L67,FALSE)*$U67*((1+Inputs!$D$7)^AS$2))),IF($N67=Lists!$K$3,IF($L67&lt;1,((($T67*(1-$F67)+$S67*(1-$G67))/$L67)*((1+Inputs!$D$7)^AS$2)),((INT(AS$2/$L67)-INT((AS$2-1)/$L67))*($T67*(1-$F67)+$S67*(1-$G67))*((1+Inputs!$D$7)^AS$2))),((_xlfn.WEIBULL.DIST(AS$2,$M67,$L67,FALSE)*($T67*(1-$F67)+$S67*(1-$G67))*((1+Inputs!$D$7)^AS$2))))))</f>
        <v>606.01480058855566</v>
      </c>
      <c r="AT67" s="88">
        <f>$E67*IF(AT$2&gt;Inputs!$D$5,0,IF(AT$2&gt;VLOOKUP($H67,Lists!$P$3:$Q$7,2),IF($N67=Lists!$K$3,IF($L67&lt;1,(($U67/$L67)*((1+Inputs!$D$7)^AT$2)),((INT(AT$2/$L67)-INT((AT$2-1)/$L67))*$U67*((1+Inputs!$D$7)^AT$2))),(_xlfn.WEIBULL.DIST(AT$2,$M67,$L67,FALSE)*$U67*((1+Inputs!$D$7)^AT$2))),IF($N67=Lists!$K$3,IF($L67&lt;1,((($T67*(1-$F67)+$S67*(1-$G67))/$L67)*((1+Inputs!$D$7)^AT$2)),((INT(AT$2/$L67)-INT((AT$2-1)/$L67))*($T67*(1-$F67)+$S67*(1-$G67))*((1+Inputs!$D$7)^AT$2))),((_xlfn.WEIBULL.DIST(AT$2,$M67,$L67,FALSE)*($T67*(1-$F67)+$S67*(1-$G67))*((1+Inputs!$D$7)^AT$2))))))</f>
        <v>618.13509660032685</v>
      </c>
      <c r="AU67" s="88">
        <f>$E67*IF(AU$2&gt;Inputs!$D$5,0,IF(AU$2&gt;VLOOKUP($H67,Lists!$P$3:$Q$7,2),IF($N67=Lists!$K$3,IF($L67&lt;1,(($U67/$L67)*((1+Inputs!$D$7)^AU$2)),((INT(AU$2/$L67)-INT((AU$2-1)/$L67))*$U67*((1+Inputs!$D$7)^AU$2))),(_xlfn.WEIBULL.DIST(AU$2,$M67,$L67,FALSE)*$U67*((1+Inputs!$D$7)^AU$2))),IF($N67=Lists!$K$3,IF($L67&lt;1,((($T67*(1-$F67)+$S67*(1-$G67))/$L67)*((1+Inputs!$D$7)^AU$2)),((INT(AU$2/$L67)-INT((AU$2-1)/$L67))*($T67*(1-$F67)+$S67*(1-$G67))*((1+Inputs!$D$7)^AU$2))),((_xlfn.WEIBULL.DIST(AU$2,$M67,$L67,FALSE)*($T67*(1-$F67)+$S67*(1-$G67))*((1+Inputs!$D$7)^AU$2))))))</f>
        <v>630.49779853233326</v>
      </c>
      <c r="AV67" s="88">
        <f>$E67*IF(AV$2&gt;Inputs!$D$5,0,IF(AV$2&gt;VLOOKUP($H67,Lists!$P$3:$Q$7,2),IF($N67=Lists!$K$3,IF($L67&lt;1,(($U67/$L67)*((1+Inputs!$D$7)^AV$2)),((INT(AV$2/$L67)-INT((AV$2-1)/$L67))*$U67*((1+Inputs!$D$7)^AV$2))),(_xlfn.WEIBULL.DIST(AV$2,$M67,$L67,FALSE)*$U67*((1+Inputs!$D$7)^AV$2))),IF($N67=Lists!$K$3,IF($L67&lt;1,((($T67*(1-$F67)+$S67*(1-$G67))/$L67)*((1+Inputs!$D$7)^AV$2)),((INT(AV$2/$L67)-INT((AV$2-1)/$L67))*($T67*(1-$F67)+$S67*(1-$G67))*((1+Inputs!$D$7)^AV$2))),((_xlfn.WEIBULL.DIST(AV$2,$M67,$L67,FALSE)*($T67*(1-$F67)+$S67*(1-$G67))*((1+Inputs!$D$7)^AV$2))))))</f>
        <v>643.10775450298001</v>
      </c>
      <c r="AW67" s="88">
        <f>$E67*IF(AW$2&gt;Inputs!$D$5,0,IF(AW$2&gt;VLOOKUP($H67,Lists!$P$3:$Q$7,2),IF($N67=Lists!$K$3,IF($L67&lt;1,(($U67/$L67)*((1+Inputs!$D$7)^AW$2)),((INT(AW$2/$L67)-INT((AW$2-1)/$L67))*$U67*((1+Inputs!$D$7)^AW$2))),(_xlfn.WEIBULL.DIST(AW$2,$M67,$L67,FALSE)*$U67*((1+Inputs!$D$7)^AW$2))),IF($N67=Lists!$K$3,IF($L67&lt;1,((($T67*(1-$F67)+$S67*(1-$G67))/$L67)*((1+Inputs!$D$7)^AW$2)),((INT(AW$2/$L67)-INT((AW$2-1)/$L67))*($T67*(1-$F67)+$S67*(1-$G67))*((1+Inputs!$D$7)^AW$2))),((_xlfn.WEIBULL.DIST(AW$2,$M67,$L67,FALSE)*($T67*(1-$F67)+$S67*(1-$G67))*((1+Inputs!$D$7)^AW$2))))))</f>
        <v>655.96990959303946</v>
      </c>
      <c r="AX67" s="88">
        <f>$E67*IF(AX$2&gt;Inputs!$D$5,0,IF(AX$2&gt;VLOOKUP($H67,Lists!$P$3:$Q$7,2),IF($N67=Lists!$K$3,IF($L67&lt;1,(($U67/$L67)*((1+Inputs!$D$7)^AX$2)),((INT(AX$2/$L67)-INT((AX$2-1)/$L67))*$U67*((1+Inputs!$D$7)^AX$2))),(_xlfn.WEIBULL.DIST(AX$2,$M67,$L67,FALSE)*$U67*((1+Inputs!$D$7)^AX$2))),IF($N67=Lists!$K$3,IF($L67&lt;1,((($T67*(1-$F67)+$S67*(1-$G67))/$L67)*((1+Inputs!$D$7)^AX$2)),((INT(AX$2/$L67)-INT((AX$2-1)/$L67))*($T67*(1-$F67)+$S67*(1-$G67))*((1+Inputs!$D$7)^AX$2))),((_xlfn.WEIBULL.DIST(AX$2,$M67,$L67,FALSE)*($T67*(1-$F67)+$S67*(1-$G67))*((1+Inputs!$D$7)^AX$2))))))</f>
        <v>669.08930778490026</v>
      </c>
      <c r="AY67" s="88">
        <f>$E67*IF(AY$2&gt;Inputs!$D$5,0,IF(AY$2&gt;VLOOKUP($H67,Lists!$P$3:$Q$7,2),IF($N67=Lists!$K$3,IF($L67&lt;1,(($U67/$L67)*((1+Inputs!$D$7)^AY$2)),((INT(AY$2/$L67)-INT((AY$2-1)/$L67))*$U67*((1+Inputs!$D$7)^AY$2))),(_xlfn.WEIBULL.DIST(AY$2,$M67,$L67,FALSE)*$U67*((1+Inputs!$D$7)^AY$2))),IF($N67=Lists!$K$3,IF($L67&lt;1,((($T67*(1-$F67)+$S67*(1-$G67))/$L67)*((1+Inputs!$D$7)^AY$2)),((INT(AY$2/$L67)-INT((AY$2-1)/$L67))*($T67*(1-$F67)+$S67*(1-$G67))*((1+Inputs!$D$7)^AY$2))),((_xlfn.WEIBULL.DIST(AY$2,$M67,$L67,FALSE)*($T67*(1-$F67)+$S67*(1-$G67))*((1+Inputs!$D$7)^AY$2))))))</f>
        <v>682.47109394059828</v>
      </c>
      <c r="AZ67" s="88">
        <f>$E67*IF(AZ$2&gt;Inputs!$D$5,0,IF(AZ$2&gt;VLOOKUP($H67,Lists!$P$3:$Q$7,2),IF($N67=Lists!$K$3,IF($L67&lt;1,(($U67/$L67)*((1+Inputs!$D$7)^AZ$2)),((INT(AZ$2/$L67)-INT((AZ$2-1)/$L67))*$U67*((1+Inputs!$D$7)^AZ$2))),(_xlfn.WEIBULL.DIST(AZ$2,$M67,$L67,FALSE)*$U67*((1+Inputs!$D$7)^AZ$2))),IF($N67=Lists!$K$3,IF($L67&lt;1,((($T67*(1-$F67)+$S67*(1-$G67))/$L67)*((1+Inputs!$D$7)^AZ$2)),((INT(AZ$2/$L67)-INT((AZ$2-1)/$L67))*($T67*(1-$F67)+$S67*(1-$G67))*((1+Inputs!$D$7)^AZ$2))),((_xlfn.WEIBULL.DIST(AZ$2,$M67,$L67,FALSE)*($T67*(1-$F67)+$S67*(1-$G67))*((1+Inputs!$D$7)^AZ$2))))))</f>
        <v>0</v>
      </c>
      <c r="BA67" s="88">
        <f>$E67*IF(BA$2&gt;Inputs!$D$5,0,IF(BA$2&gt;VLOOKUP($H67,Lists!$P$3:$Q$7,2),IF($N67=Lists!$K$3,IF($L67&lt;1,(($U67/$L67)*((1+Inputs!$D$7)^BA$2)),((INT(BA$2/$L67)-INT((BA$2-1)/$L67))*$U67*((1+Inputs!$D$7)^BA$2))),(_xlfn.WEIBULL.DIST(BA$2,$M67,$L67,FALSE)*$U67*((1+Inputs!$D$7)^BA$2))),IF($N67=Lists!$K$3,IF($L67&lt;1,((($T67*(1-$F67)+$S67*(1-$G67))/$L67)*((1+Inputs!$D$7)^BA$2)),((INT(BA$2/$L67)-INT((BA$2-1)/$L67))*($T67*(1-$F67)+$S67*(1-$G67))*((1+Inputs!$D$7)^BA$2))),((_xlfn.WEIBULL.DIST(BA$2,$M67,$L67,FALSE)*($T67*(1-$F67)+$S67*(1-$G67))*((1+Inputs!$D$7)^BA$2))))))</f>
        <v>0</v>
      </c>
      <c r="BB67" s="88">
        <f>$E67*IF(BB$2&gt;Inputs!$D$5,0,IF(BB$2&gt;VLOOKUP($H67,Lists!$P$3:$Q$7,2),IF($N67=Lists!$K$3,IF($L67&lt;1,(($U67/$L67)*((1+Inputs!$D$7)^BB$2)),((INT(BB$2/$L67)-INT((BB$2-1)/$L67))*$U67*((1+Inputs!$D$7)^BB$2))),(_xlfn.WEIBULL.DIST(BB$2,$M67,$L67,FALSE)*$U67*((1+Inputs!$D$7)^BB$2))),IF($N67=Lists!$K$3,IF($L67&lt;1,((($T67*(1-$F67)+$S67*(1-$G67))/$L67)*((1+Inputs!$D$7)^BB$2)),((INT(BB$2/$L67)-INT((BB$2-1)/$L67))*($T67*(1-$F67)+$S67*(1-$G67))*((1+Inputs!$D$7)^BB$2))),((_xlfn.WEIBULL.DIST(BB$2,$M67,$L67,FALSE)*($T67*(1-$F67)+$S67*(1-$G67))*((1+Inputs!$D$7)^BB$2))))))</f>
        <v>0</v>
      </c>
      <c r="BC67" s="88">
        <f>$E67*IF(BC$2&gt;Inputs!$D$5,0,IF(BC$2&gt;VLOOKUP($H67,Lists!$P$3:$Q$7,2),IF($N67=Lists!$K$3,IF($L67&lt;1,(($U67/$L67)*((1+Inputs!$D$7)^BC$2)),((INT(BC$2/$L67)-INT((BC$2-1)/$L67))*$U67*((1+Inputs!$D$7)^BC$2))),(_xlfn.WEIBULL.DIST(BC$2,$M67,$L67,FALSE)*$U67*((1+Inputs!$D$7)^BC$2))),IF($N67=Lists!$K$3,IF($L67&lt;1,((($T67*(1-$F67)+$S67*(1-$G67))/$L67)*((1+Inputs!$D$7)^BC$2)),((INT(BC$2/$L67)-INT((BC$2-1)/$L67))*($T67*(1-$F67)+$S67*(1-$G67))*((1+Inputs!$D$7)^BC$2))),((_xlfn.WEIBULL.DIST(BC$2,$M67,$L67,FALSE)*($T67*(1-$F67)+$S67*(1-$G67))*((1+Inputs!$D$7)^BC$2))))))</f>
        <v>0</v>
      </c>
      <c r="BD67" s="88">
        <f>$E67*IF(BD$2&gt;Inputs!$D$5,0,IF(BD$2&gt;VLOOKUP($H67,Lists!$P$3:$Q$7,2),IF($N67=Lists!$K$3,IF($L67&lt;1,(($U67/$L67)*((1+Inputs!$D$7)^BD$2)),((INT(BD$2/$L67)-INT((BD$2-1)/$L67))*$U67*((1+Inputs!$D$7)^BD$2))),(_xlfn.WEIBULL.DIST(BD$2,$M67,$L67,FALSE)*$U67*((1+Inputs!$D$7)^BD$2))),IF($N67=Lists!$K$3,IF($L67&lt;1,((($T67*(1-$F67)+$S67*(1-$G67))/$L67)*((1+Inputs!$D$7)^BD$2)),((INT(BD$2/$L67)-INT((BD$2-1)/$L67))*($T67*(1-$F67)+$S67*(1-$G67))*((1+Inputs!$D$7)^BD$2))),((_xlfn.WEIBULL.DIST(BD$2,$M67,$L67,FALSE)*($T67*(1-$F67)+$S67*(1-$G67))*((1+Inputs!$D$7)^BD$2))))))</f>
        <v>0</v>
      </c>
      <c r="BE67" s="88">
        <f>$E67*IF(BE$2&gt;Inputs!$D$5,0,IF(BE$2&gt;VLOOKUP($H67,Lists!$P$3:$Q$7,2),IF($N67=Lists!$K$3,IF($L67&lt;1,(($U67/$L67)*((1+Inputs!$D$7)^BE$2)),((INT(BE$2/$L67)-INT((BE$2-1)/$L67))*$U67*((1+Inputs!$D$7)^BE$2))),(_xlfn.WEIBULL.DIST(BE$2,$M67,$L67,FALSE)*$U67*((1+Inputs!$D$7)^BE$2))),IF($N67=Lists!$K$3,IF($L67&lt;1,((($T67*(1-$F67)+$S67*(1-$G67))/$L67)*((1+Inputs!$D$7)^BE$2)),((INT(BE$2/$L67)-INT((BE$2-1)/$L67))*($T67*(1-$F67)+$S67*(1-$G67))*((1+Inputs!$D$7)^BE$2))),((_xlfn.WEIBULL.DIST(BE$2,$M67,$L67,FALSE)*($T67*(1-$F67)+$S67*(1-$G67))*((1+Inputs!$D$7)^BE$2))))))</f>
        <v>0</v>
      </c>
      <c r="BF67" s="88">
        <f>$E67*IF(BF$2&gt;Inputs!$D$5,0,IF(BF$2&gt;VLOOKUP($H67,Lists!$P$3:$Q$7,2),IF($N67=Lists!$K$3,IF($L67&lt;1,(($U67/$L67)*((1+Inputs!$D$7)^BF$2)),((INT(BF$2/$L67)-INT((BF$2-1)/$L67))*$U67*((1+Inputs!$D$7)^BF$2))),(_xlfn.WEIBULL.DIST(BF$2,$M67,$L67,FALSE)*$U67*((1+Inputs!$D$7)^BF$2))),IF($N67=Lists!$K$3,IF($L67&lt;1,((($T67*(1-$F67)+$S67*(1-$G67))/$L67)*((1+Inputs!$D$7)^BF$2)),((INT(BF$2/$L67)-INT((BF$2-1)/$L67))*($T67*(1-$F67)+$S67*(1-$G67))*((1+Inputs!$D$7)^BF$2))),((_xlfn.WEIBULL.DIST(BF$2,$M67,$L67,FALSE)*($T67*(1-$F67)+$S67*(1-$G67))*((1+Inputs!$D$7)^BF$2))))))</f>
        <v>0</v>
      </c>
      <c r="BG67" s="88">
        <f>$E67*IF(BG$2&gt;Inputs!$D$5,0,IF(BG$2&gt;VLOOKUP($H67,Lists!$P$3:$Q$7,2),IF($N67=Lists!$K$3,IF($L67&lt;1,(($U67/$L67)*((1+Inputs!$D$7)^BG$2)),((INT(BG$2/$L67)-INT((BG$2-1)/$L67))*$U67*((1+Inputs!$D$7)^BG$2))),(_xlfn.WEIBULL.DIST(BG$2,$M67,$L67,FALSE)*$U67*((1+Inputs!$D$7)^BG$2))),IF($N67=Lists!$K$3,IF($L67&lt;1,((($T67*(1-$F67)+$S67*(1-$G67))/$L67)*((1+Inputs!$D$7)^BG$2)),((INT(BG$2/$L67)-INT((BG$2-1)/$L67))*($T67*(1-$F67)+$S67*(1-$G67))*((1+Inputs!$D$7)^BG$2))),((_xlfn.WEIBULL.DIST(BG$2,$M67,$L67,FALSE)*($T67*(1-$F67)+$S67*(1-$G67))*((1+Inputs!$D$7)^BG$2))))))</f>
        <v>0</v>
      </c>
      <c r="BH67" s="88">
        <f>$E67*IF(BH$2&gt;Inputs!$D$5,0,IF(BH$2&gt;VLOOKUP($H67,Lists!$P$3:$Q$7,2),IF($N67=Lists!$K$3,IF($L67&lt;1,(($U67/$L67)*((1+Inputs!$D$7)^BH$2)),((INT(BH$2/$L67)-INT((BH$2-1)/$L67))*$U67*((1+Inputs!$D$7)^BH$2))),(_xlfn.WEIBULL.DIST(BH$2,$M67,$L67,FALSE)*$U67*((1+Inputs!$D$7)^BH$2))),IF($N67=Lists!$K$3,IF($L67&lt;1,((($T67*(1-$F67)+$S67*(1-$G67))/$L67)*((1+Inputs!$D$7)^BH$2)),((INT(BH$2/$L67)-INT((BH$2-1)/$L67))*($T67*(1-$F67)+$S67*(1-$G67))*((1+Inputs!$D$7)^BH$2))),((_xlfn.WEIBULL.DIST(BH$2,$M67,$L67,FALSE)*($T67*(1-$F67)+$S67*(1-$G67))*((1+Inputs!$D$7)^BH$2))))))</f>
        <v>0</v>
      </c>
      <c r="BI67" s="88">
        <f>$E67*IF(BI$2&gt;Inputs!$D$5,0,IF(BI$2&gt;VLOOKUP($H67,Lists!$P$3:$Q$7,2),IF($N67=Lists!$K$3,IF($L67&lt;1,(($U67/$L67)*((1+Inputs!$D$7)^BI$2)),((INT(BI$2/$L67)-INT((BI$2-1)/$L67))*$U67*((1+Inputs!$D$7)^BI$2))),(_xlfn.WEIBULL.DIST(BI$2,$M67,$L67,FALSE)*$U67*((1+Inputs!$D$7)^BI$2))),IF($N67=Lists!$K$3,IF($L67&lt;1,((($T67*(1-$F67)+$S67*(1-$G67))/$L67)*((1+Inputs!$D$7)^BI$2)),((INT(BI$2/$L67)-INT((BI$2-1)/$L67))*($T67*(1-$F67)+$S67*(1-$G67))*((1+Inputs!$D$7)^BI$2))),((_xlfn.WEIBULL.DIST(BI$2,$M67,$L67,FALSE)*($T67*(1-$F67)+$S67*(1-$G67))*((1+Inputs!$D$7)^BI$2))))))</f>
        <v>0</v>
      </c>
      <c r="BJ67" s="88">
        <f>$E67*IF(BJ$2&gt;Inputs!$D$5,0,IF(BJ$2&gt;VLOOKUP($H67,Lists!$P$3:$Q$7,2),IF($N67=Lists!$K$3,IF($L67&lt;1,(($U67/$L67)*((1+Inputs!$D$7)^BJ$2)),((INT(BJ$2/$L67)-INT((BJ$2-1)/$L67))*$U67*((1+Inputs!$D$7)^BJ$2))),(_xlfn.WEIBULL.DIST(BJ$2,$M67,$L67,FALSE)*$U67*((1+Inputs!$D$7)^BJ$2))),IF($N67=Lists!$K$3,IF($L67&lt;1,((($T67*(1-$F67)+$S67*(1-$G67))/$L67)*((1+Inputs!$D$7)^BJ$2)),((INT(BJ$2/$L67)-INT((BJ$2-1)/$L67))*($T67*(1-$F67)+$S67*(1-$G67))*((1+Inputs!$D$7)^BJ$2))),((_xlfn.WEIBULL.DIST(BJ$2,$M67,$L67,FALSE)*($T67*(1-$F67)+$S67*(1-$G67))*((1+Inputs!$D$7)^BJ$2))))))</f>
        <v>0</v>
      </c>
      <c r="BK67" s="88">
        <f>$E67*IF(BK$2&gt;Inputs!$D$5,0,IF(BK$2&gt;VLOOKUP($H67,Lists!$P$3:$Q$7,2),IF($N67=Lists!$K$3,IF($L67&lt;1,(($U67/$L67)*((1+Inputs!$D$7)^BK$2)),((INT(BK$2/$L67)-INT((BK$2-1)/$L67))*$U67*((1+Inputs!$D$7)^BK$2))),(_xlfn.WEIBULL.DIST(BK$2,$M67,$L67,FALSE)*$U67*((1+Inputs!$D$7)^BK$2))),IF($N67=Lists!$K$3,IF($L67&lt;1,((($T67*(1-$F67)+$S67*(1-$G67))/$L67)*((1+Inputs!$D$7)^BK$2)),((INT(BK$2/$L67)-INT((BK$2-1)/$L67))*($T67*(1-$F67)+$S67*(1-$G67))*((1+Inputs!$D$7)^BK$2))),((_xlfn.WEIBULL.DIST(BK$2,$M67,$L67,FALSE)*($T67*(1-$F67)+$S67*(1-$G67))*((1+Inputs!$D$7)^BK$2))))))</f>
        <v>0</v>
      </c>
      <c r="BL67" s="88">
        <f>$E67*IF(BL$2&gt;Inputs!$D$5,0,IF(BL$2&gt;VLOOKUP($H67,Lists!$P$3:$Q$7,2),IF($N67=Lists!$K$3,IF($L67&lt;1,(($U67/$L67)*((1+Inputs!$D$7)^BL$2)),((INT(BL$2/$L67)-INT((BL$2-1)/$L67))*$U67*((1+Inputs!$D$7)^BL$2))),(_xlfn.WEIBULL.DIST(BL$2,$M67,$L67,FALSE)*$U67*((1+Inputs!$D$7)^BL$2))),IF($N67=Lists!$K$3,IF($L67&lt;1,((($T67*(1-$F67)+$S67*(1-$G67))/$L67)*((1+Inputs!$D$7)^BL$2)),((INT(BL$2/$L67)-INT((BL$2-1)/$L67))*($T67*(1-$F67)+$S67*(1-$G67))*((1+Inputs!$D$7)^BL$2))),((_xlfn.WEIBULL.DIST(BL$2,$M67,$L67,FALSE)*($T67*(1-$F67)+$S67*(1-$G67))*((1+Inputs!$D$7)^BL$2))))))</f>
        <v>0</v>
      </c>
      <c r="BM67" s="88">
        <f>$E67*IF(BM$2&gt;Inputs!$D$5,0,IF(BM$2&gt;VLOOKUP($H67,Lists!$P$3:$Q$7,2),IF($N67=Lists!$K$3,IF($L67&lt;1,(($U67/$L67)*((1+Inputs!$D$7)^BM$2)),((INT(BM$2/$L67)-INT((BM$2-1)/$L67))*$U67*((1+Inputs!$D$7)^BM$2))),(_xlfn.WEIBULL.DIST(BM$2,$M67,$L67,FALSE)*$U67*((1+Inputs!$D$7)^BM$2))),IF($N67=Lists!$K$3,IF($L67&lt;1,((($T67*(1-$F67)+$S67*(1-$G67))/$L67)*((1+Inputs!$D$7)^BM$2)),((INT(BM$2/$L67)-INT((BM$2-1)/$L67))*($T67*(1-$F67)+$S67*(1-$G67))*((1+Inputs!$D$7)^BM$2))),((_xlfn.WEIBULL.DIST(BM$2,$M67,$L67,FALSE)*($T67*(1-$F67)+$S67*(1-$G67))*((1+Inputs!$D$7)^BM$2))))))</f>
        <v>0</v>
      </c>
      <c r="BN67" s="88">
        <f>$E67*IF(BN$2&gt;Inputs!$D$5,0,IF(BN$2&gt;VLOOKUP($H67,Lists!$P$3:$Q$7,2),IF($N67=Lists!$K$3,IF($L67&lt;1,(($U67/$L67)*((1+Inputs!$D$7)^BN$2)),((INT(BN$2/$L67)-INT((BN$2-1)/$L67))*$U67*((1+Inputs!$D$7)^BN$2))),(_xlfn.WEIBULL.DIST(BN$2,$M67,$L67,FALSE)*$U67*((1+Inputs!$D$7)^BN$2))),IF($N67=Lists!$K$3,IF($L67&lt;1,((($T67*(1-$F67)+$S67*(1-$G67))/$L67)*((1+Inputs!$D$7)^BN$2)),((INT(BN$2/$L67)-INT((BN$2-1)/$L67))*($T67*(1-$F67)+$S67*(1-$G67))*((1+Inputs!$D$7)^BN$2))),((_xlfn.WEIBULL.DIST(BN$2,$M67,$L67,FALSE)*($T67*(1-$F67)+$S67*(1-$G67))*((1+Inputs!$D$7)^BN$2))))))</f>
        <v>0</v>
      </c>
      <c r="BO67" s="64">
        <f>NPV(Inputs!$D$6,BQ67:DD67)</f>
        <v>5920.9462300783234</v>
      </c>
      <c r="BP67" s="67">
        <f t="shared" ref="BP67:BP98" si="20">BO67/SUM($Y$3:$Y$136)</f>
        <v>2.7926073068914661E-3</v>
      </c>
      <c r="BQ67" s="88">
        <f>MAX(AA67,($E67*IF(BQ$2&gt;Inputs!$D$5,0,IF(BQ$2&gt;VLOOKUP($H67,Lists!$P$3:$Q$7,2),IF($N67=Lists!$K$3,IF($L67&lt;1,(($U67/$L67)*((1+Inputs!$D$7)^BQ$2)),((INT(BQ$2/$L67)-INT((BQ$2-1)/$L67))*$U67*((1+Inputs!$D$7)^BQ$2))),(Inputs!$D$8^((1-_xlfn.WEIBULL.DIST(BQ$2,$M67,$L67,FALSE))/_xlfn.WEIBULL.DIST(BQ$2,$M67,$L67,FALSE))*$U67*((1+Inputs!$D$7)^BQ$2))),IF($N67=Lists!$K$3,IF($L67&lt;1,((($T67*(1-$F67)+$S67*(1-$G67))/$L67)*((1+Inputs!$D$7)^BQ$2)),((INT(BQ$2/$L67)-INT((BQ$2-1)/$L67))*($T67*(1-$F67)+$S67*(1-$G67))*((1+Inputs!$D$7)^BQ$2))),((Inputs!$D$8^((1-_xlfn.WEIBULL.DIST(BQ$2,$M67,$L67,FALSE))/_xlfn.WEIBULL.DIST(BQ$2,$M67,$L67,FALSE))*($T67*(1-$F67)+$S67*(1-$G67))*((1+Inputs!$D$7)^BQ$2))))))))</f>
        <v>424.30694399999999</v>
      </c>
      <c r="BR67" s="88">
        <f>MAX(AB67,($E67*IF(BR$2&gt;Inputs!$D$5,0,IF(BR$2&gt;VLOOKUP($H67,Lists!$P$3:$Q$7,2),IF($N67=Lists!$K$3,IF($L67&lt;1,(($U67/$L67)*((1+Inputs!$D$7)^BR$2)),((INT(BR$2/$L67)-INT((BR$2-1)/$L67))*$U67*((1+Inputs!$D$7)^BR$2))),(Inputs!$D$8^((1-_xlfn.WEIBULL.DIST(BR$2,$M67,$L67,FALSE))/_xlfn.WEIBULL.DIST(BR$2,$M67,$L67,FALSE))*$U67*((1+Inputs!$D$7)^BR$2))),IF($N67=Lists!$K$3,IF($L67&lt;1,((($T67*(1-$F67)+$S67*(1-$G67))/$L67)*((1+Inputs!$D$7)^BR$2)),((INT(BR$2/$L67)-INT((BR$2-1)/$L67))*($T67*(1-$F67)+$S67*(1-$G67))*((1+Inputs!$D$7)^BR$2))),((Inputs!$D$8^((1-_xlfn.WEIBULL.DIST(BR$2,$M67,$L67,FALSE))/_xlfn.WEIBULL.DIST(BR$2,$M67,$L67,FALSE))*($T67*(1-$F67)+$S67*(1-$G67))*((1+Inputs!$D$7)^BR$2))))))))</f>
        <v>432.79308287999999</v>
      </c>
      <c r="BS67" s="88">
        <f>MAX(AC67,($E67*IF(BS$2&gt;Inputs!$D$5,0,IF(BS$2&gt;VLOOKUP($H67,Lists!$P$3:$Q$7,2),IF($N67=Lists!$K$3,IF($L67&lt;1,(($U67/$L67)*((1+Inputs!$D$7)^BS$2)),((INT(BS$2/$L67)-INT((BS$2-1)/$L67))*$U67*((1+Inputs!$D$7)^BS$2))),(Inputs!$D$8^((1-_xlfn.WEIBULL.DIST(BS$2,$M67,$L67,FALSE))/_xlfn.WEIBULL.DIST(BS$2,$M67,$L67,FALSE))*$U67*((1+Inputs!$D$7)^BS$2))),IF($N67=Lists!$K$3,IF($L67&lt;1,((($T67*(1-$F67)+$S67*(1-$G67))/$L67)*((1+Inputs!$D$7)^BS$2)),((INT(BS$2/$L67)-INT((BS$2-1)/$L67))*($T67*(1-$F67)+$S67*(1-$G67))*((1+Inputs!$D$7)^BS$2))),((Inputs!$D$8^((1-_xlfn.WEIBULL.DIST(BS$2,$M67,$L67,FALSE))/_xlfn.WEIBULL.DIST(BS$2,$M67,$L67,FALSE))*($T67*(1-$F67)+$S67*(1-$G67))*((1+Inputs!$D$7)^BS$2))))))))</f>
        <v>441.44894453759991</v>
      </c>
      <c r="BT67" s="88">
        <f>MAX(AD67,($E67*IF(BT$2&gt;Inputs!$D$5,0,IF(BT$2&gt;VLOOKUP($H67,Lists!$P$3:$Q$7,2),IF($N67=Lists!$K$3,IF($L67&lt;1,(($U67/$L67)*((1+Inputs!$D$7)^BT$2)),((INT(BT$2/$L67)-INT((BT$2-1)/$L67))*$U67*((1+Inputs!$D$7)^BT$2))),(Inputs!$D$8^((1-_xlfn.WEIBULL.DIST(BT$2,$M67,$L67,FALSE))/_xlfn.WEIBULL.DIST(BT$2,$M67,$L67,FALSE))*$U67*((1+Inputs!$D$7)^BT$2))),IF($N67=Lists!$K$3,IF($L67&lt;1,((($T67*(1-$F67)+$S67*(1-$G67))/$L67)*((1+Inputs!$D$7)^BT$2)),((INT(BT$2/$L67)-INT((BT$2-1)/$L67))*($T67*(1-$F67)+$S67*(1-$G67))*((1+Inputs!$D$7)^BT$2))),((Inputs!$D$8^((1-_xlfn.WEIBULL.DIST(BT$2,$M67,$L67,FALSE))/_xlfn.WEIBULL.DIST(BT$2,$M67,$L67,FALSE))*($T67*(1-$F67)+$S67*(1-$G67))*((1+Inputs!$D$7)^BT$2))))))))</f>
        <v>450.27792342835198</v>
      </c>
      <c r="BU67" s="88">
        <f>MAX(AE67,($E67*IF(BU$2&gt;Inputs!$D$5,0,IF(BU$2&gt;VLOOKUP($H67,Lists!$P$3:$Q$7,2),IF($N67=Lists!$K$3,IF($L67&lt;1,(($U67/$L67)*((1+Inputs!$D$7)^BU$2)),((INT(BU$2/$L67)-INT((BU$2-1)/$L67))*$U67*((1+Inputs!$D$7)^BU$2))),(Inputs!$D$8^((1-_xlfn.WEIBULL.DIST(BU$2,$M67,$L67,FALSE))/_xlfn.WEIBULL.DIST(BU$2,$M67,$L67,FALSE))*$U67*((1+Inputs!$D$7)^BU$2))),IF($N67=Lists!$K$3,IF($L67&lt;1,((($T67*(1-$F67)+$S67*(1-$G67))/$L67)*((1+Inputs!$D$7)^BU$2)),((INT(BU$2/$L67)-INT((BU$2-1)/$L67))*($T67*(1-$F67)+$S67*(1-$G67))*((1+Inputs!$D$7)^BU$2))),((Inputs!$D$8^((1-_xlfn.WEIBULL.DIST(BU$2,$M67,$L67,FALSE))/_xlfn.WEIBULL.DIST(BU$2,$M67,$L67,FALSE))*($T67*(1-$F67)+$S67*(1-$G67))*((1+Inputs!$D$7)^BU$2))))))))</f>
        <v>459.283481896919</v>
      </c>
      <c r="BV67" s="88">
        <f>MAX(AF67,($E67*IF(BV$2&gt;Inputs!$D$5,0,IF(BV$2&gt;VLOOKUP($H67,Lists!$P$3:$Q$7,2),IF($N67=Lists!$K$3,IF($L67&lt;1,(($U67/$L67)*((1+Inputs!$D$7)^BV$2)),((INT(BV$2/$L67)-INT((BV$2-1)/$L67))*$U67*((1+Inputs!$D$7)^BV$2))),(Inputs!$D$8^((1-_xlfn.WEIBULL.DIST(BV$2,$M67,$L67,FALSE))/_xlfn.WEIBULL.DIST(BV$2,$M67,$L67,FALSE))*$U67*((1+Inputs!$D$7)^BV$2))),IF($N67=Lists!$K$3,IF($L67&lt;1,((($T67*(1-$F67)+$S67*(1-$G67))/$L67)*((1+Inputs!$D$7)^BV$2)),((INT(BV$2/$L67)-INT((BV$2-1)/$L67))*($T67*(1-$F67)+$S67*(1-$G67))*((1+Inputs!$D$7)^BV$2))),((Inputs!$D$8^((1-_xlfn.WEIBULL.DIST(BV$2,$M67,$L67,FALSE))/_xlfn.WEIBULL.DIST(BV$2,$M67,$L67,FALSE))*($T67*(1-$F67)+$S67*(1-$G67))*((1+Inputs!$D$7)^BV$2))))))))</f>
        <v>468.46915153485742</v>
      </c>
      <c r="BW67" s="88">
        <f>MAX(AG67,($E67*IF(BW$2&gt;Inputs!$D$5,0,IF(BW$2&gt;VLOOKUP($H67,Lists!$P$3:$Q$7,2),IF($N67=Lists!$K$3,IF($L67&lt;1,(($U67/$L67)*((1+Inputs!$D$7)^BW$2)),((INT(BW$2/$L67)-INT((BW$2-1)/$L67))*$U67*((1+Inputs!$D$7)^BW$2))),(Inputs!$D$8^((1-_xlfn.WEIBULL.DIST(BW$2,$M67,$L67,FALSE))/_xlfn.WEIBULL.DIST(BW$2,$M67,$L67,FALSE))*$U67*((1+Inputs!$D$7)^BW$2))),IF($N67=Lists!$K$3,IF($L67&lt;1,((($T67*(1-$F67)+$S67*(1-$G67))/$L67)*((1+Inputs!$D$7)^BW$2)),((INT(BW$2/$L67)-INT((BW$2-1)/$L67))*($T67*(1-$F67)+$S67*(1-$G67))*((1+Inputs!$D$7)^BW$2))),((Inputs!$D$8^((1-_xlfn.WEIBULL.DIST(BW$2,$M67,$L67,FALSE))/_xlfn.WEIBULL.DIST(BW$2,$M67,$L67,FALSE))*($T67*(1-$F67)+$S67*(1-$G67))*((1+Inputs!$D$7)^BW$2))))))))</f>
        <v>477.83853456555448</v>
      </c>
      <c r="BX67" s="88">
        <f>MAX(AH67,($E67*IF(BX$2&gt;Inputs!$D$5,0,IF(BX$2&gt;VLOOKUP($H67,Lists!$P$3:$Q$7,2),IF($N67=Lists!$K$3,IF($L67&lt;1,(($U67/$L67)*((1+Inputs!$D$7)^BX$2)),((INT(BX$2/$L67)-INT((BX$2-1)/$L67))*$U67*((1+Inputs!$D$7)^BX$2))),(Inputs!$D$8^((1-_xlfn.WEIBULL.DIST(BX$2,$M67,$L67,FALSE))/_xlfn.WEIBULL.DIST(BX$2,$M67,$L67,FALSE))*$U67*((1+Inputs!$D$7)^BX$2))),IF($N67=Lists!$K$3,IF($L67&lt;1,((($T67*(1-$F67)+$S67*(1-$G67))/$L67)*((1+Inputs!$D$7)^BX$2)),((INT(BX$2/$L67)-INT((BX$2-1)/$L67))*($T67*(1-$F67)+$S67*(1-$G67))*((1+Inputs!$D$7)^BX$2))),((Inputs!$D$8^((1-_xlfn.WEIBULL.DIST(BX$2,$M67,$L67,FALSE))/_xlfn.WEIBULL.DIST(BX$2,$M67,$L67,FALSE))*($T67*(1-$F67)+$S67*(1-$G67))*((1+Inputs!$D$7)^BX$2))))))))</f>
        <v>487.39530525686558</v>
      </c>
      <c r="BY67" s="88">
        <f>MAX(AI67,($E67*IF(BY$2&gt;Inputs!$D$5,0,IF(BY$2&gt;VLOOKUP($H67,Lists!$P$3:$Q$7,2),IF($N67=Lists!$K$3,IF($L67&lt;1,(($U67/$L67)*((1+Inputs!$D$7)^BY$2)),((INT(BY$2/$L67)-INT((BY$2-1)/$L67))*$U67*((1+Inputs!$D$7)^BY$2))),(Inputs!$D$8^((1-_xlfn.WEIBULL.DIST(BY$2,$M67,$L67,FALSE))/_xlfn.WEIBULL.DIST(BY$2,$M67,$L67,FALSE))*$U67*((1+Inputs!$D$7)^BY$2))),IF($N67=Lists!$K$3,IF($L67&lt;1,((($T67*(1-$F67)+$S67*(1-$G67))/$L67)*((1+Inputs!$D$7)^BY$2)),((INT(BY$2/$L67)-INT((BY$2-1)/$L67))*($T67*(1-$F67)+$S67*(1-$G67))*((1+Inputs!$D$7)^BY$2))),((Inputs!$D$8^((1-_xlfn.WEIBULL.DIST(BY$2,$M67,$L67,FALSE))/_xlfn.WEIBULL.DIST(BY$2,$M67,$L67,FALSE))*($T67*(1-$F67)+$S67*(1-$G67))*((1+Inputs!$D$7)^BY$2))))))))</f>
        <v>497.14321136200289</v>
      </c>
      <c r="BZ67" s="88">
        <f>MAX(AJ67,($E67*IF(BZ$2&gt;Inputs!$D$5,0,IF(BZ$2&gt;VLOOKUP($H67,Lists!$P$3:$Q$7,2),IF($N67=Lists!$K$3,IF($L67&lt;1,(($U67/$L67)*((1+Inputs!$D$7)^BZ$2)),((INT(BZ$2/$L67)-INT((BZ$2-1)/$L67))*$U67*((1+Inputs!$D$7)^BZ$2))),(Inputs!$D$8^((1-_xlfn.WEIBULL.DIST(BZ$2,$M67,$L67,FALSE))/_xlfn.WEIBULL.DIST(BZ$2,$M67,$L67,FALSE))*$U67*((1+Inputs!$D$7)^BZ$2))),IF($N67=Lists!$K$3,IF($L67&lt;1,((($T67*(1-$F67)+$S67*(1-$G67))/$L67)*((1+Inputs!$D$7)^BZ$2)),((INT(BZ$2/$L67)-INT((BZ$2-1)/$L67))*($T67*(1-$F67)+$S67*(1-$G67))*((1+Inputs!$D$7)^BZ$2))),((Inputs!$D$8^((1-_xlfn.WEIBULL.DIST(BZ$2,$M67,$L67,FALSE))/_xlfn.WEIBULL.DIST(BZ$2,$M67,$L67,FALSE))*($T67*(1-$F67)+$S67*(1-$G67))*((1+Inputs!$D$7)^BZ$2))))))))</f>
        <v>507.08607558924297</v>
      </c>
      <c r="CA67" s="88">
        <f>MAX(AK67,($E67*IF(CA$2&gt;Inputs!$D$5,0,IF(CA$2&gt;VLOOKUP($H67,Lists!$P$3:$Q$7,2),IF($N67=Lists!$K$3,IF($L67&lt;1,(($U67/$L67)*((1+Inputs!$D$7)^CA$2)),((INT(CA$2/$L67)-INT((CA$2-1)/$L67))*$U67*((1+Inputs!$D$7)^CA$2))),(Inputs!$D$8^((1-_xlfn.WEIBULL.DIST(CA$2,$M67,$L67,FALSE))/_xlfn.WEIBULL.DIST(CA$2,$M67,$L67,FALSE))*$U67*((1+Inputs!$D$7)^CA$2))),IF($N67=Lists!$K$3,IF($L67&lt;1,((($T67*(1-$F67)+$S67*(1-$G67))/$L67)*((1+Inputs!$D$7)^CA$2)),((INT(CA$2/$L67)-INT((CA$2-1)/$L67))*($T67*(1-$F67)+$S67*(1-$G67))*((1+Inputs!$D$7)^CA$2))),((Inputs!$D$8^((1-_xlfn.WEIBULL.DIST(CA$2,$M67,$L67,FALSE))/_xlfn.WEIBULL.DIST(CA$2,$M67,$L67,FALSE))*($T67*(1-$F67)+$S67*(1-$G67))*((1+Inputs!$D$7)^CA$2))))))))</f>
        <v>517.2277971010277</v>
      </c>
      <c r="CB67" s="88">
        <f>MAX(AL67,($E67*IF(CB$2&gt;Inputs!$D$5,0,IF(CB$2&gt;VLOOKUP($H67,Lists!$P$3:$Q$7,2),IF($N67=Lists!$K$3,IF($L67&lt;1,(($U67/$L67)*((1+Inputs!$D$7)^CB$2)),((INT(CB$2/$L67)-INT((CB$2-1)/$L67))*$U67*((1+Inputs!$D$7)^CB$2))),(Inputs!$D$8^((1-_xlfn.WEIBULL.DIST(CB$2,$M67,$L67,FALSE))/_xlfn.WEIBULL.DIST(CB$2,$M67,$L67,FALSE))*$U67*((1+Inputs!$D$7)^CB$2))),IF($N67=Lists!$K$3,IF($L67&lt;1,((($T67*(1-$F67)+$S67*(1-$G67))/$L67)*((1+Inputs!$D$7)^CB$2)),((INT(CB$2/$L67)-INT((CB$2-1)/$L67))*($T67*(1-$F67)+$S67*(1-$G67))*((1+Inputs!$D$7)^CB$2))),((Inputs!$D$8^((1-_xlfn.WEIBULL.DIST(CB$2,$M67,$L67,FALSE))/_xlfn.WEIBULL.DIST(CB$2,$M67,$L67,FALSE))*($T67*(1-$F67)+$S67*(1-$G67))*((1+Inputs!$D$7)^CB$2))))))))</f>
        <v>527.57235304304845</v>
      </c>
      <c r="CC67" s="88">
        <f>MAX(AM67,($E67*IF(CC$2&gt;Inputs!$D$5,0,IF(CC$2&gt;VLOOKUP($H67,Lists!$P$3:$Q$7,2),IF($N67=Lists!$K$3,IF($L67&lt;1,(($U67/$L67)*((1+Inputs!$D$7)^CC$2)),((INT(CC$2/$L67)-INT((CC$2-1)/$L67))*$U67*((1+Inputs!$D$7)^CC$2))),(Inputs!$D$8^((1-_xlfn.WEIBULL.DIST(CC$2,$M67,$L67,FALSE))/_xlfn.WEIBULL.DIST(CC$2,$M67,$L67,FALSE))*$U67*((1+Inputs!$D$7)^CC$2))),IF($N67=Lists!$K$3,IF($L67&lt;1,((($T67*(1-$F67)+$S67*(1-$G67))/$L67)*((1+Inputs!$D$7)^CC$2)),((INT(CC$2/$L67)-INT((CC$2-1)/$L67))*($T67*(1-$F67)+$S67*(1-$G67))*((1+Inputs!$D$7)^CC$2))),((Inputs!$D$8^((1-_xlfn.WEIBULL.DIST(CC$2,$M67,$L67,FALSE))/_xlfn.WEIBULL.DIST(CC$2,$M67,$L67,FALSE))*($T67*(1-$F67)+$S67*(1-$G67))*((1+Inputs!$D$7)^CC$2))))))))</f>
        <v>538.12380010390928</v>
      </c>
      <c r="CD67" s="88">
        <f>MAX(AN67,($E67*IF(CD$2&gt;Inputs!$D$5,0,IF(CD$2&gt;VLOOKUP($H67,Lists!$P$3:$Q$7,2),IF($N67=Lists!$K$3,IF($L67&lt;1,(($U67/$L67)*((1+Inputs!$D$7)^CD$2)),((INT(CD$2/$L67)-INT((CD$2-1)/$L67))*$U67*((1+Inputs!$D$7)^CD$2))),(Inputs!$D$8^((1-_xlfn.WEIBULL.DIST(CD$2,$M67,$L67,FALSE))/_xlfn.WEIBULL.DIST(CD$2,$M67,$L67,FALSE))*$U67*((1+Inputs!$D$7)^CD$2))),IF($N67=Lists!$K$3,IF($L67&lt;1,((($T67*(1-$F67)+$S67*(1-$G67))/$L67)*((1+Inputs!$D$7)^CD$2)),((INT(CD$2/$L67)-INT((CD$2-1)/$L67))*($T67*(1-$F67)+$S67*(1-$G67))*((1+Inputs!$D$7)^CD$2))),((Inputs!$D$8^((1-_xlfn.WEIBULL.DIST(CD$2,$M67,$L67,FALSE))/_xlfn.WEIBULL.DIST(CD$2,$M67,$L67,FALSE))*($T67*(1-$F67)+$S67*(1-$G67))*((1+Inputs!$D$7)^CD$2))))))))</f>
        <v>548.88627610598758</v>
      </c>
      <c r="CE67" s="88">
        <f>MAX(AO67,($E67*IF(CE$2&gt;Inputs!$D$5,0,IF(CE$2&gt;VLOOKUP($H67,Lists!$P$3:$Q$7,2),IF($N67=Lists!$K$3,IF($L67&lt;1,(($U67/$L67)*((1+Inputs!$D$7)^CE$2)),((INT(CE$2/$L67)-INT((CE$2-1)/$L67))*$U67*((1+Inputs!$D$7)^CE$2))),(Inputs!$D$8^((1-_xlfn.WEIBULL.DIST(CE$2,$M67,$L67,FALSE))/_xlfn.WEIBULL.DIST(CE$2,$M67,$L67,FALSE))*$U67*((1+Inputs!$D$7)^CE$2))),IF($N67=Lists!$K$3,IF($L67&lt;1,((($T67*(1-$F67)+$S67*(1-$G67))/$L67)*((1+Inputs!$D$7)^CE$2)),((INT(CE$2/$L67)-INT((CE$2-1)/$L67))*($T67*(1-$F67)+$S67*(1-$G67))*((1+Inputs!$D$7)^CE$2))),((Inputs!$D$8^((1-_xlfn.WEIBULL.DIST(CE$2,$M67,$L67,FALSE))/_xlfn.WEIBULL.DIST(CE$2,$M67,$L67,FALSE))*($T67*(1-$F67)+$S67*(1-$G67))*((1+Inputs!$D$7)^CE$2))))))))</f>
        <v>559.86400162810719</v>
      </c>
      <c r="CF67" s="88">
        <f>MAX(AP67,($E67*IF(CF$2&gt;Inputs!$D$5,0,IF(CF$2&gt;VLOOKUP($H67,Lists!$P$3:$Q$7,2),IF($N67=Lists!$K$3,IF($L67&lt;1,(($U67/$L67)*((1+Inputs!$D$7)^CF$2)),((INT(CF$2/$L67)-INT((CF$2-1)/$L67))*$U67*((1+Inputs!$D$7)^CF$2))),(Inputs!$D$8^((1-_xlfn.WEIBULL.DIST(CF$2,$M67,$L67,FALSE))/_xlfn.WEIBULL.DIST(CF$2,$M67,$L67,FALSE))*$U67*((1+Inputs!$D$7)^CF$2))),IF($N67=Lists!$K$3,IF($L67&lt;1,((($T67*(1-$F67)+$S67*(1-$G67))/$L67)*((1+Inputs!$D$7)^CF$2)),((INT(CF$2/$L67)-INT((CF$2-1)/$L67))*($T67*(1-$F67)+$S67*(1-$G67))*((1+Inputs!$D$7)^CF$2))),((Inputs!$D$8^((1-_xlfn.WEIBULL.DIST(CF$2,$M67,$L67,FALSE))/_xlfn.WEIBULL.DIST(CF$2,$M67,$L67,FALSE))*($T67*(1-$F67)+$S67*(1-$G67))*((1+Inputs!$D$7)^CF$2))))))))</f>
        <v>571.06128166066947</v>
      </c>
      <c r="CG67" s="88">
        <f>MAX(AQ67,($E67*IF(CG$2&gt;Inputs!$D$5,0,IF(CG$2&gt;VLOOKUP($H67,Lists!$P$3:$Q$7,2),IF($N67=Lists!$K$3,IF($L67&lt;1,(($U67/$L67)*((1+Inputs!$D$7)^CG$2)),((INT(CG$2/$L67)-INT((CG$2-1)/$L67))*$U67*((1+Inputs!$D$7)^CG$2))),(Inputs!$D$8^((1-_xlfn.WEIBULL.DIST(CG$2,$M67,$L67,FALSE))/_xlfn.WEIBULL.DIST(CG$2,$M67,$L67,FALSE))*$U67*((1+Inputs!$D$7)^CG$2))),IF($N67=Lists!$K$3,IF($L67&lt;1,((($T67*(1-$F67)+$S67*(1-$G67))/$L67)*((1+Inputs!$D$7)^CG$2)),((INT(CG$2/$L67)-INT((CG$2-1)/$L67))*($T67*(1-$F67)+$S67*(1-$G67))*((1+Inputs!$D$7)^CG$2))),((Inputs!$D$8^((1-_xlfn.WEIBULL.DIST(CG$2,$M67,$L67,FALSE))/_xlfn.WEIBULL.DIST(CG$2,$M67,$L67,FALSE))*($T67*(1-$F67)+$S67*(1-$G67))*((1+Inputs!$D$7)^CG$2))))))))</f>
        <v>582.4825072938828</v>
      </c>
      <c r="CH67" s="88">
        <f>MAX(AR67,($E67*IF(CH$2&gt;Inputs!$D$5,0,IF(CH$2&gt;VLOOKUP($H67,Lists!$P$3:$Q$7,2),IF($N67=Lists!$K$3,IF($L67&lt;1,(($U67/$L67)*((1+Inputs!$D$7)^CH$2)),((INT(CH$2/$L67)-INT((CH$2-1)/$L67))*$U67*((1+Inputs!$D$7)^CH$2))),(Inputs!$D$8^((1-_xlfn.WEIBULL.DIST(CH$2,$M67,$L67,FALSE))/_xlfn.WEIBULL.DIST(CH$2,$M67,$L67,FALSE))*$U67*((1+Inputs!$D$7)^CH$2))),IF($N67=Lists!$K$3,IF($L67&lt;1,((($T67*(1-$F67)+$S67*(1-$G67))/$L67)*((1+Inputs!$D$7)^CH$2)),((INT(CH$2/$L67)-INT((CH$2-1)/$L67))*($T67*(1-$F67)+$S67*(1-$G67))*((1+Inputs!$D$7)^CH$2))),((Inputs!$D$8^((1-_xlfn.WEIBULL.DIST(CH$2,$M67,$L67,FALSE))/_xlfn.WEIBULL.DIST(CH$2,$M67,$L67,FALSE))*($T67*(1-$F67)+$S67*(1-$G67))*((1+Inputs!$D$7)^CH$2))))))))</f>
        <v>594.13215743976048</v>
      </c>
      <c r="CI67" s="88">
        <f>MAX(AS67,($E67*IF(CI$2&gt;Inputs!$D$5,0,IF(CI$2&gt;VLOOKUP($H67,Lists!$P$3:$Q$7,2),IF($N67=Lists!$K$3,IF($L67&lt;1,(($U67/$L67)*((1+Inputs!$D$7)^CI$2)),((INT(CI$2/$L67)-INT((CI$2-1)/$L67))*$U67*((1+Inputs!$D$7)^CI$2))),(Inputs!$D$8^((1-_xlfn.WEIBULL.DIST(CI$2,$M67,$L67,FALSE))/_xlfn.WEIBULL.DIST(CI$2,$M67,$L67,FALSE))*$U67*((1+Inputs!$D$7)^CI$2))),IF($N67=Lists!$K$3,IF($L67&lt;1,((($T67*(1-$F67)+$S67*(1-$G67))/$L67)*((1+Inputs!$D$7)^CI$2)),((INT(CI$2/$L67)-INT((CI$2-1)/$L67))*($T67*(1-$F67)+$S67*(1-$G67))*((1+Inputs!$D$7)^CI$2))),((Inputs!$D$8^((1-_xlfn.WEIBULL.DIST(CI$2,$M67,$L67,FALSE))/_xlfn.WEIBULL.DIST(CI$2,$M67,$L67,FALSE))*($T67*(1-$F67)+$S67*(1-$G67))*((1+Inputs!$D$7)^CI$2))))))))</f>
        <v>606.01480058855566</v>
      </c>
      <c r="CJ67" s="88">
        <f>MAX(AT67,($E67*IF(CJ$2&gt;Inputs!$D$5,0,IF(CJ$2&gt;VLOOKUP($H67,Lists!$P$3:$Q$7,2),IF($N67=Lists!$K$3,IF($L67&lt;1,(($U67/$L67)*((1+Inputs!$D$7)^CJ$2)),((INT(CJ$2/$L67)-INT((CJ$2-1)/$L67))*$U67*((1+Inputs!$D$7)^CJ$2))),(Inputs!$D$8^((1-_xlfn.WEIBULL.DIST(CJ$2,$M67,$L67,FALSE))/_xlfn.WEIBULL.DIST(CJ$2,$M67,$L67,FALSE))*$U67*((1+Inputs!$D$7)^CJ$2))),IF($N67=Lists!$K$3,IF($L67&lt;1,((($T67*(1-$F67)+$S67*(1-$G67))/$L67)*((1+Inputs!$D$7)^CJ$2)),((INT(CJ$2/$L67)-INT((CJ$2-1)/$L67))*($T67*(1-$F67)+$S67*(1-$G67))*((1+Inputs!$D$7)^CJ$2))),((Inputs!$D$8^((1-_xlfn.WEIBULL.DIST(CJ$2,$M67,$L67,FALSE))/_xlfn.WEIBULL.DIST(CJ$2,$M67,$L67,FALSE))*($T67*(1-$F67)+$S67*(1-$G67))*((1+Inputs!$D$7)^CJ$2))))))))</f>
        <v>618.13509660032685</v>
      </c>
      <c r="CK67" s="88">
        <f>MAX(AU67,($E67*IF(CK$2&gt;Inputs!$D$5,0,IF(CK$2&gt;VLOOKUP($H67,Lists!$P$3:$Q$7,2),IF($N67=Lists!$K$3,IF($L67&lt;1,(($U67/$L67)*((1+Inputs!$D$7)^CK$2)),((INT(CK$2/$L67)-INT((CK$2-1)/$L67))*$U67*((1+Inputs!$D$7)^CK$2))),(Inputs!$D$8^((1-_xlfn.WEIBULL.DIST(CK$2,$M67,$L67,FALSE))/_xlfn.WEIBULL.DIST(CK$2,$M67,$L67,FALSE))*$U67*((1+Inputs!$D$7)^CK$2))),IF($N67=Lists!$K$3,IF($L67&lt;1,((($T67*(1-$F67)+$S67*(1-$G67))/$L67)*((1+Inputs!$D$7)^CK$2)),((INT(CK$2/$L67)-INT((CK$2-1)/$L67))*($T67*(1-$F67)+$S67*(1-$G67))*((1+Inputs!$D$7)^CK$2))),((Inputs!$D$8^((1-_xlfn.WEIBULL.DIST(CK$2,$M67,$L67,FALSE))/_xlfn.WEIBULL.DIST(CK$2,$M67,$L67,FALSE))*($T67*(1-$F67)+$S67*(1-$G67))*((1+Inputs!$D$7)^CK$2))))))))</f>
        <v>630.49779853233326</v>
      </c>
      <c r="CL67" s="88">
        <f>MAX(AV67,($E67*IF(CL$2&gt;Inputs!$D$5,0,IF(CL$2&gt;VLOOKUP($H67,Lists!$P$3:$Q$7,2),IF($N67=Lists!$K$3,IF($L67&lt;1,(($U67/$L67)*((1+Inputs!$D$7)^CL$2)),((INT(CL$2/$L67)-INT((CL$2-1)/$L67))*$U67*((1+Inputs!$D$7)^CL$2))),(Inputs!$D$8^((1-_xlfn.WEIBULL.DIST(CL$2,$M67,$L67,FALSE))/_xlfn.WEIBULL.DIST(CL$2,$M67,$L67,FALSE))*$U67*((1+Inputs!$D$7)^CL$2))),IF($N67=Lists!$K$3,IF($L67&lt;1,((($T67*(1-$F67)+$S67*(1-$G67))/$L67)*((1+Inputs!$D$7)^CL$2)),((INT(CL$2/$L67)-INT((CL$2-1)/$L67))*($T67*(1-$F67)+$S67*(1-$G67))*((1+Inputs!$D$7)^CL$2))),((Inputs!$D$8^((1-_xlfn.WEIBULL.DIST(CL$2,$M67,$L67,FALSE))/_xlfn.WEIBULL.DIST(CL$2,$M67,$L67,FALSE))*($T67*(1-$F67)+$S67*(1-$G67))*((1+Inputs!$D$7)^CL$2))))))))</f>
        <v>643.10775450298001</v>
      </c>
      <c r="CM67" s="88">
        <f>MAX(AW67,($E67*IF(CM$2&gt;Inputs!$D$5,0,IF(CM$2&gt;VLOOKUP($H67,Lists!$P$3:$Q$7,2),IF($N67=Lists!$K$3,IF($L67&lt;1,(($U67/$L67)*((1+Inputs!$D$7)^CM$2)),((INT(CM$2/$L67)-INT((CM$2-1)/$L67))*$U67*((1+Inputs!$D$7)^CM$2))),(Inputs!$D$8^((1-_xlfn.WEIBULL.DIST(CM$2,$M67,$L67,FALSE))/_xlfn.WEIBULL.DIST(CM$2,$M67,$L67,FALSE))*$U67*((1+Inputs!$D$7)^CM$2))),IF($N67=Lists!$K$3,IF($L67&lt;1,((($T67*(1-$F67)+$S67*(1-$G67))/$L67)*((1+Inputs!$D$7)^CM$2)),((INT(CM$2/$L67)-INT((CM$2-1)/$L67))*($T67*(1-$F67)+$S67*(1-$G67))*((1+Inputs!$D$7)^CM$2))),((Inputs!$D$8^((1-_xlfn.WEIBULL.DIST(CM$2,$M67,$L67,FALSE))/_xlfn.WEIBULL.DIST(CM$2,$M67,$L67,FALSE))*($T67*(1-$F67)+$S67*(1-$G67))*((1+Inputs!$D$7)^CM$2))))))))</f>
        <v>655.96990959303946</v>
      </c>
      <c r="CN67" s="88">
        <f>MAX(AX67,($E67*IF(CN$2&gt;Inputs!$D$5,0,IF(CN$2&gt;VLOOKUP($H67,Lists!$P$3:$Q$7,2),IF($N67=Lists!$K$3,IF($L67&lt;1,(($U67/$L67)*((1+Inputs!$D$7)^CN$2)),((INT(CN$2/$L67)-INT((CN$2-1)/$L67))*$U67*((1+Inputs!$D$7)^CN$2))),(Inputs!$D$8^((1-_xlfn.WEIBULL.DIST(CN$2,$M67,$L67,FALSE))/_xlfn.WEIBULL.DIST(CN$2,$M67,$L67,FALSE))*$U67*((1+Inputs!$D$7)^CN$2))),IF($N67=Lists!$K$3,IF($L67&lt;1,((($T67*(1-$F67)+$S67*(1-$G67))/$L67)*((1+Inputs!$D$7)^CN$2)),((INT(CN$2/$L67)-INT((CN$2-1)/$L67))*($T67*(1-$F67)+$S67*(1-$G67))*((1+Inputs!$D$7)^CN$2))),((Inputs!$D$8^((1-_xlfn.WEIBULL.DIST(CN$2,$M67,$L67,FALSE))/_xlfn.WEIBULL.DIST(CN$2,$M67,$L67,FALSE))*($T67*(1-$F67)+$S67*(1-$G67))*((1+Inputs!$D$7)^CN$2))))))))</f>
        <v>669.08930778490026</v>
      </c>
      <c r="CO67" s="88">
        <f>MAX(AY67,($E67*IF(CO$2&gt;Inputs!$D$5,0,IF(CO$2&gt;VLOOKUP($H67,Lists!$P$3:$Q$7,2),IF($N67=Lists!$K$3,IF($L67&lt;1,(($U67/$L67)*((1+Inputs!$D$7)^CO$2)),((INT(CO$2/$L67)-INT((CO$2-1)/$L67))*$U67*((1+Inputs!$D$7)^CO$2))),(Inputs!$D$8^((1-_xlfn.WEIBULL.DIST(CO$2,$M67,$L67,FALSE))/_xlfn.WEIBULL.DIST(CO$2,$M67,$L67,FALSE))*$U67*((1+Inputs!$D$7)^CO$2))),IF($N67=Lists!$K$3,IF($L67&lt;1,((($T67*(1-$F67)+$S67*(1-$G67))/$L67)*((1+Inputs!$D$7)^CO$2)),((INT(CO$2/$L67)-INT((CO$2-1)/$L67))*($T67*(1-$F67)+$S67*(1-$G67))*((1+Inputs!$D$7)^CO$2))),((Inputs!$D$8^((1-_xlfn.WEIBULL.DIST(CO$2,$M67,$L67,FALSE))/_xlfn.WEIBULL.DIST(CO$2,$M67,$L67,FALSE))*($T67*(1-$F67)+$S67*(1-$G67))*((1+Inputs!$D$7)^CO$2))))))))</f>
        <v>682.47109394059828</v>
      </c>
      <c r="CP67" s="88">
        <f>MAX(AZ67,($E67*IF(CP$2&gt;Inputs!$D$5,0,IF(CP$2&gt;VLOOKUP($H67,Lists!$P$3:$Q$7,2),IF($N67=Lists!$K$3,IF($L67&lt;1,(($U67/$L67)*((1+Inputs!$D$7)^CP$2)),((INT(CP$2/$L67)-INT((CP$2-1)/$L67))*$U67*((1+Inputs!$D$7)^CP$2))),(Inputs!$D$8^((1-_xlfn.WEIBULL.DIST(CP$2,$M67,$L67,FALSE))/_xlfn.WEIBULL.DIST(CP$2,$M67,$L67,FALSE))*$U67*((1+Inputs!$D$7)^CP$2))),IF($N67=Lists!$K$3,IF($L67&lt;1,((($T67*(1-$F67)+$S67*(1-$G67))/$L67)*((1+Inputs!$D$7)^CP$2)),((INT(CP$2/$L67)-INT((CP$2-1)/$L67))*($T67*(1-$F67)+$S67*(1-$G67))*((1+Inputs!$D$7)^CP$2))),((Inputs!$D$8^((1-_xlfn.WEIBULL.DIST(CP$2,$M67,$L67,FALSE))/_xlfn.WEIBULL.DIST(CP$2,$M67,$L67,FALSE))*($T67*(1-$F67)+$S67*(1-$G67))*((1+Inputs!$D$7)^CP$2))))))))</f>
        <v>0</v>
      </c>
      <c r="CQ67" s="88">
        <f>MAX(BA67,($E67*IF(CQ$2&gt;Inputs!$D$5,0,IF(CQ$2&gt;VLOOKUP($H67,Lists!$P$3:$Q$7,2),IF($N67=Lists!$K$3,IF($L67&lt;1,(($U67/$L67)*((1+Inputs!$D$7)^CQ$2)),((INT(CQ$2/$L67)-INT((CQ$2-1)/$L67))*$U67*((1+Inputs!$D$7)^CQ$2))),(Inputs!$D$8^((1-_xlfn.WEIBULL.DIST(CQ$2,$M67,$L67,FALSE))/_xlfn.WEIBULL.DIST(CQ$2,$M67,$L67,FALSE))*$U67*((1+Inputs!$D$7)^CQ$2))),IF($N67=Lists!$K$3,IF($L67&lt;1,((($T67*(1-$F67)+$S67*(1-$G67))/$L67)*((1+Inputs!$D$7)^CQ$2)),((INT(CQ$2/$L67)-INT((CQ$2-1)/$L67))*($T67*(1-$F67)+$S67*(1-$G67))*((1+Inputs!$D$7)^CQ$2))),((Inputs!$D$8^((1-_xlfn.WEIBULL.DIST(CQ$2,$M67,$L67,FALSE))/_xlfn.WEIBULL.DIST(CQ$2,$M67,$L67,FALSE))*($T67*(1-$F67)+$S67*(1-$G67))*((1+Inputs!$D$7)^CQ$2))))))))</f>
        <v>0</v>
      </c>
      <c r="CR67" s="88">
        <f>MAX(BB67,($E67*IF(CR$2&gt;Inputs!$D$5,0,IF(CR$2&gt;VLOOKUP($H67,Lists!$P$3:$Q$7,2),IF($N67=Lists!$K$3,IF($L67&lt;1,(($U67/$L67)*((1+Inputs!$D$7)^CR$2)),((INT(CR$2/$L67)-INT((CR$2-1)/$L67))*$U67*((1+Inputs!$D$7)^CR$2))),(Inputs!$D$8^((1-_xlfn.WEIBULL.DIST(CR$2,$M67,$L67,FALSE))/_xlfn.WEIBULL.DIST(CR$2,$M67,$L67,FALSE))*$U67*((1+Inputs!$D$7)^CR$2))),IF($N67=Lists!$K$3,IF($L67&lt;1,((($T67*(1-$F67)+$S67*(1-$G67))/$L67)*((1+Inputs!$D$7)^CR$2)),((INT(CR$2/$L67)-INT((CR$2-1)/$L67))*($T67*(1-$F67)+$S67*(1-$G67))*((1+Inputs!$D$7)^CR$2))),((Inputs!$D$8^((1-_xlfn.WEIBULL.DIST(CR$2,$M67,$L67,FALSE))/_xlfn.WEIBULL.DIST(CR$2,$M67,$L67,FALSE))*($T67*(1-$F67)+$S67*(1-$G67))*((1+Inputs!$D$7)^CR$2))))))))</f>
        <v>0</v>
      </c>
      <c r="CS67" s="88">
        <f>MAX(BC67,($E67*IF(CS$2&gt;Inputs!$D$5,0,IF(CS$2&gt;VLOOKUP($H67,Lists!$P$3:$Q$7,2),IF($N67=Lists!$K$3,IF($L67&lt;1,(($U67/$L67)*((1+Inputs!$D$7)^CS$2)),((INT(CS$2/$L67)-INT((CS$2-1)/$L67))*$U67*((1+Inputs!$D$7)^CS$2))),(Inputs!$D$8^((1-_xlfn.WEIBULL.DIST(CS$2,$M67,$L67,FALSE))/_xlfn.WEIBULL.DIST(CS$2,$M67,$L67,FALSE))*$U67*((1+Inputs!$D$7)^CS$2))),IF($N67=Lists!$K$3,IF($L67&lt;1,((($T67*(1-$F67)+$S67*(1-$G67))/$L67)*((1+Inputs!$D$7)^CS$2)),((INT(CS$2/$L67)-INT((CS$2-1)/$L67))*($T67*(1-$F67)+$S67*(1-$G67))*((1+Inputs!$D$7)^CS$2))),((Inputs!$D$8^((1-_xlfn.WEIBULL.DIST(CS$2,$M67,$L67,FALSE))/_xlfn.WEIBULL.DIST(CS$2,$M67,$L67,FALSE))*($T67*(1-$F67)+$S67*(1-$G67))*((1+Inputs!$D$7)^CS$2))))))))</f>
        <v>0</v>
      </c>
      <c r="CT67" s="88">
        <f>MAX(BD67,($E67*IF(CT$2&gt;Inputs!$D$5,0,IF(CT$2&gt;VLOOKUP($H67,Lists!$P$3:$Q$7,2),IF($N67=Lists!$K$3,IF($L67&lt;1,(($U67/$L67)*((1+Inputs!$D$7)^CT$2)),((INT(CT$2/$L67)-INT((CT$2-1)/$L67))*$U67*((1+Inputs!$D$7)^CT$2))),(Inputs!$D$8^((1-_xlfn.WEIBULL.DIST(CT$2,$M67,$L67,FALSE))/_xlfn.WEIBULL.DIST(CT$2,$M67,$L67,FALSE))*$U67*((1+Inputs!$D$7)^CT$2))),IF($N67=Lists!$K$3,IF($L67&lt;1,((($T67*(1-$F67)+$S67*(1-$G67))/$L67)*((1+Inputs!$D$7)^CT$2)),((INT(CT$2/$L67)-INT((CT$2-1)/$L67))*($T67*(1-$F67)+$S67*(1-$G67))*((1+Inputs!$D$7)^CT$2))),((Inputs!$D$8^((1-_xlfn.WEIBULL.DIST(CT$2,$M67,$L67,FALSE))/_xlfn.WEIBULL.DIST(CT$2,$M67,$L67,FALSE))*($T67*(1-$F67)+$S67*(1-$G67))*((1+Inputs!$D$7)^CT$2))))))))</f>
        <v>0</v>
      </c>
      <c r="CU67" s="88">
        <f>MAX(BE67,($E67*IF(CU$2&gt;Inputs!$D$5,0,IF(CU$2&gt;VLOOKUP($H67,Lists!$P$3:$Q$7,2),IF($N67=Lists!$K$3,IF($L67&lt;1,(($U67/$L67)*((1+Inputs!$D$7)^CU$2)),((INT(CU$2/$L67)-INT((CU$2-1)/$L67))*$U67*((1+Inputs!$D$7)^CU$2))),(Inputs!$D$8^((1-_xlfn.WEIBULL.DIST(CU$2,$M67,$L67,FALSE))/_xlfn.WEIBULL.DIST(CU$2,$M67,$L67,FALSE))*$U67*((1+Inputs!$D$7)^CU$2))),IF($N67=Lists!$K$3,IF($L67&lt;1,((($T67*(1-$F67)+$S67*(1-$G67))/$L67)*((1+Inputs!$D$7)^CU$2)),((INT(CU$2/$L67)-INT((CU$2-1)/$L67))*($T67*(1-$F67)+$S67*(1-$G67))*((1+Inputs!$D$7)^CU$2))),((Inputs!$D$8^((1-_xlfn.WEIBULL.DIST(CU$2,$M67,$L67,FALSE))/_xlfn.WEIBULL.DIST(CU$2,$M67,$L67,FALSE))*($T67*(1-$F67)+$S67*(1-$G67))*((1+Inputs!$D$7)^CU$2))))))))</f>
        <v>0</v>
      </c>
      <c r="CV67" s="88">
        <f>MAX(BF67,($E67*IF(CV$2&gt;Inputs!$D$5,0,IF(CV$2&gt;VLOOKUP($H67,Lists!$P$3:$Q$7,2),IF($N67=Lists!$K$3,IF($L67&lt;1,(($U67/$L67)*((1+Inputs!$D$7)^CV$2)),((INT(CV$2/$L67)-INT((CV$2-1)/$L67))*$U67*((1+Inputs!$D$7)^CV$2))),(Inputs!$D$8^((1-_xlfn.WEIBULL.DIST(CV$2,$M67,$L67,FALSE))/_xlfn.WEIBULL.DIST(CV$2,$M67,$L67,FALSE))*$U67*((1+Inputs!$D$7)^CV$2))),IF($N67=Lists!$K$3,IF($L67&lt;1,((($T67*(1-$F67)+$S67*(1-$G67))/$L67)*((1+Inputs!$D$7)^CV$2)),((INT(CV$2/$L67)-INT((CV$2-1)/$L67))*($T67*(1-$F67)+$S67*(1-$G67))*((1+Inputs!$D$7)^CV$2))),((Inputs!$D$8^((1-_xlfn.WEIBULL.DIST(CV$2,$M67,$L67,FALSE))/_xlfn.WEIBULL.DIST(CV$2,$M67,$L67,FALSE))*($T67*(1-$F67)+$S67*(1-$G67))*((1+Inputs!$D$7)^CV$2))))))))</f>
        <v>0</v>
      </c>
      <c r="CW67" s="88">
        <f>MAX(BG67,($E67*IF(CW$2&gt;Inputs!$D$5,0,IF(CW$2&gt;VLOOKUP($H67,Lists!$P$3:$Q$7,2),IF($N67=Lists!$K$3,IF($L67&lt;1,(($U67/$L67)*((1+Inputs!$D$7)^CW$2)),((INT(CW$2/$L67)-INT((CW$2-1)/$L67))*$U67*((1+Inputs!$D$7)^CW$2))),(Inputs!$D$8^((1-_xlfn.WEIBULL.DIST(CW$2,$M67,$L67,FALSE))/_xlfn.WEIBULL.DIST(CW$2,$M67,$L67,FALSE))*$U67*((1+Inputs!$D$7)^CW$2))),IF($N67=Lists!$K$3,IF($L67&lt;1,((($T67*(1-$F67)+$S67*(1-$G67))/$L67)*((1+Inputs!$D$7)^CW$2)),((INT(CW$2/$L67)-INT((CW$2-1)/$L67))*($T67*(1-$F67)+$S67*(1-$G67))*((1+Inputs!$D$7)^CW$2))),((Inputs!$D$8^((1-_xlfn.WEIBULL.DIST(CW$2,$M67,$L67,FALSE))/_xlfn.WEIBULL.DIST(CW$2,$M67,$L67,FALSE))*($T67*(1-$F67)+$S67*(1-$G67))*((1+Inputs!$D$7)^CW$2))))))))</f>
        <v>0</v>
      </c>
      <c r="CX67" s="88">
        <f>MAX(BH67,($E67*IF(CX$2&gt;Inputs!$D$5,0,IF(CX$2&gt;VLOOKUP($H67,Lists!$P$3:$Q$7,2),IF($N67=Lists!$K$3,IF($L67&lt;1,(($U67/$L67)*((1+Inputs!$D$7)^CX$2)),((INT(CX$2/$L67)-INT((CX$2-1)/$L67))*$U67*((1+Inputs!$D$7)^CX$2))),(Inputs!$D$8^((1-_xlfn.WEIBULL.DIST(CX$2,$M67,$L67,FALSE))/_xlfn.WEIBULL.DIST(CX$2,$M67,$L67,FALSE))*$U67*((1+Inputs!$D$7)^CX$2))),IF($N67=Lists!$K$3,IF($L67&lt;1,((($T67*(1-$F67)+$S67*(1-$G67))/$L67)*((1+Inputs!$D$7)^CX$2)),((INT(CX$2/$L67)-INT((CX$2-1)/$L67))*($T67*(1-$F67)+$S67*(1-$G67))*((1+Inputs!$D$7)^CX$2))),((Inputs!$D$8^((1-_xlfn.WEIBULL.DIST(CX$2,$M67,$L67,FALSE))/_xlfn.WEIBULL.DIST(CX$2,$M67,$L67,FALSE))*($T67*(1-$F67)+$S67*(1-$G67))*((1+Inputs!$D$7)^CX$2))))))))</f>
        <v>0</v>
      </c>
      <c r="CY67" s="88">
        <f>MAX(BI67,($E67*IF(CY$2&gt;Inputs!$D$5,0,IF(CY$2&gt;VLOOKUP($H67,Lists!$P$3:$Q$7,2),IF($N67=Lists!$K$3,IF($L67&lt;1,(($U67/$L67)*((1+Inputs!$D$7)^CY$2)),((INT(CY$2/$L67)-INT((CY$2-1)/$L67))*$U67*((1+Inputs!$D$7)^CY$2))),(Inputs!$D$8^((1-_xlfn.WEIBULL.DIST(CY$2,$M67,$L67,FALSE))/_xlfn.WEIBULL.DIST(CY$2,$M67,$L67,FALSE))*$U67*((1+Inputs!$D$7)^CY$2))),IF($N67=Lists!$K$3,IF($L67&lt;1,((($T67*(1-$F67)+$S67*(1-$G67))/$L67)*((1+Inputs!$D$7)^CY$2)),((INT(CY$2/$L67)-INT((CY$2-1)/$L67))*($T67*(1-$F67)+$S67*(1-$G67))*((1+Inputs!$D$7)^CY$2))),((Inputs!$D$8^((1-_xlfn.WEIBULL.DIST(CY$2,$M67,$L67,FALSE))/_xlfn.WEIBULL.DIST(CY$2,$M67,$L67,FALSE))*($T67*(1-$F67)+$S67*(1-$G67))*((1+Inputs!$D$7)^CY$2))))))))</f>
        <v>0</v>
      </c>
      <c r="CZ67" s="88">
        <f>MAX(BJ67,($E67*IF(CZ$2&gt;Inputs!$D$5,0,IF(CZ$2&gt;VLOOKUP($H67,Lists!$P$3:$Q$7,2),IF($N67=Lists!$K$3,IF($L67&lt;1,(($U67/$L67)*((1+Inputs!$D$7)^CZ$2)),((INT(CZ$2/$L67)-INT((CZ$2-1)/$L67))*$U67*((1+Inputs!$D$7)^CZ$2))),(Inputs!$D$8^((1-_xlfn.WEIBULL.DIST(CZ$2,$M67,$L67,FALSE))/_xlfn.WEIBULL.DIST(CZ$2,$M67,$L67,FALSE))*$U67*((1+Inputs!$D$7)^CZ$2))),IF($N67=Lists!$K$3,IF($L67&lt;1,((($T67*(1-$F67)+$S67*(1-$G67))/$L67)*((1+Inputs!$D$7)^CZ$2)),((INT(CZ$2/$L67)-INT((CZ$2-1)/$L67))*($T67*(1-$F67)+$S67*(1-$G67))*((1+Inputs!$D$7)^CZ$2))),((Inputs!$D$8^((1-_xlfn.WEIBULL.DIST(CZ$2,$M67,$L67,FALSE))/_xlfn.WEIBULL.DIST(CZ$2,$M67,$L67,FALSE))*($T67*(1-$F67)+$S67*(1-$G67))*((1+Inputs!$D$7)^CZ$2))))))))</f>
        <v>0</v>
      </c>
      <c r="DA67" s="88">
        <f>MAX(BK67,($E67*IF(DA$2&gt;Inputs!$D$5,0,IF(DA$2&gt;VLOOKUP($H67,Lists!$P$3:$Q$7,2),IF($N67=Lists!$K$3,IF($L67&lt;1,(($U67/$L67)*((1+Inputs!$D$7)^DA$2)),((INT(DA$2/$L67)-INT((DA$2-1)/$L67))*$U67*((1+Inputs!$D$7)^DA$2))),(Inputs!$D$8^((1-_xlfn.WEIBULL.DIST(DA$2,$M67,$L67,FALSE))/_xlfn.WEIBULL.DIST(DA$2,$M67,$L67,FALSE))*$U67*((1+Inputs!$D$7)^DA$2))),IF($N67=Lists!$K$3,IF($L67&lt;1,((($T67*(1-$F67)+$S67*(1-$G67))/$L67)*((1+Inputs!$D$7)^DA$2)),((INT(DA$2/$L67)-INT((DA$2-1)/$L67))*($T67*(1-$F67)+$S67*(1-$G67))*((1+Inputs!$D$7)^DA$2))),((Inputs!$D$8^((1-_xlfn.WEIBULL.DIST(DA$2,$M67,$L67,FALSE))/_xlfn.WEIBULL.DIST(DA$2,$M67,$L67,FALSE))*($T67*(1-$F67)+$S67*(1-$G67))*((1+Inputs!$D$7)^DA$2))))))))</f>
        <v>0</v>
      </c>
      <c r="DB67" s="88">
        <f>MAX(BL67,($E67*IF(DB$2&gt;Inputs!$D$5,0,IF(DB$2&gt;VLOOKUP($H67,Lists!$P$3:$Q$7,2),IF($N67=Lists!$K$3,IF($L67&lt;1,(($U67/$L67)*((1+Inputs!$D$7)^DB$2)),((INT(DB$2/$L67)-INT((DB$2-1)/$L67))*$U67*((1+Inputs!$D$7)^DB$2))),(Inputs!$D$8^((1-_xlfn.WEIBULL.DIST(DB$2,$M67,$L67,FALSE))/_xlfn.WEIBULL.DIST(DB$2,$M67,$L67,FALSE))*$U67*((1+Inputs!$D$7)^DB$2))),IF($N67=Lists!$K$3,IF($L67&lt;1,((($T67*(1-$F67)+$S67*(1-$G67))/$L67)*((1+Inputs!$D$7)^DB$2)),((INT(DB$2/$L67)-INT((DB$2-1)/$L67))*($T67*(1-$F67)+$S67*(1-$G67))*((1+Inputs!$D$7)^DB$2))),((Inputs!$D$8^((1-_xlfn.WEIBULL.DIST(DB$2,$M67,$L67,FALSE))/_xlfn.WEIBULL.DIST(DB$2,$M67,$L67,FALSE))*($T67*(1-$F67)+$S67*(1-$G67))*((1+Inputs!$D$7)^DB$2))))))))</f>
        <v>0</v>
      </c>
      <c r="DC67" s="88">
        <f>MAX(BM67,($E67*IF(DC$2&gt;Inputs!$D$5,0,IF(DC$2&gt;VLOOKUP($H67,Lists!$P$3:$Q$7,2),IF($N67=Lists!$K$3,IF($L67&lt;1,(($U67/$L67)*((1+Inputs!$D$7)^DC$2)),((INT(DC$2/$L67)-INT((DC$2-1)/$L67))*$U67*((1+Inputs!$D$7)^DC$2))),(Inputs!$D$8^((1-_xlfn.WEIBULL.DIST(DC$2,$M67,$L67,FALSE))/_xlfn.WEIBULL.DIST(DC$2,$M67,$L67,FALSE))*$U67*((1+Inputs!$D$7)^DC$2))),IF($N67=Lists!$K$3,IF($L67&lt;1,((($T67*(1-$F67)+$S67*(1-$G67))/$L67)*((1+Inputs!$D$7)^DC$2)),((INT(DC$2/$L67)-INT((DC$2-1)/$L67))*($T67*(1-$F67)+$S67*(1-$G67))*((1+Inputs!$D$7)^DC$2))),((Inputs!$D$8^((1-_xlfn.WEIBULL.DIST(DC$2,$M67,$L67,FALSE))/_xlfn.WEIBULL.DIST(DC$2,$M67,$L67,FALSE))*($T67*(1-$F67)+$S67*(1-$G67))*((1+Inputs!$D$7)^DC$2))))))))</f>
        <v>0</v>
      </c>
      <c r="DD67" s="88">
        <f>MAX(BN67,($E67*IF(DD$2&gt;Inputs!$D$5,0,IF(DD$2&gt;VLOOKUP($H67,Lists!$P$3:$Q$7,2),IF($N67=Lists!$K$3,IF($L67&lt;1,(($U67/$L67)*((1+Inputs!$D$7)^DD$2)),((INT(DD$2/$L67)-INT((DD$2-1)/$L67))*$U67*((1+Inputs!$D$7)^DD$2))),(Inputs!$D$8^((1-_xlfn.WEIBULL.DIST(DD$2,$M67,$L67,FALSE))/_xlfn.WEIBULL.DIST(DD$2,$M67,$L67,FALSE))*$U67*((1+Inputs!$D$7)^DD$2))),IF($N67=Lists!$K$3,IF($L67&lt;1,((($T67*(1-$F67)+$S67*(1-$G67))/$L67)*((1+Inputs!$D$7)^DD$2)),((INT(DD$2/$L67)-INT((DD$2-1)/$L67))*($T67*(1-$F67)+$S67*(1-$G67))*((1+Inputs!$D$7)^DD$2))),((Inputs!$D$8^((1-_xlfn.WEIBULL.DIST(DD$2,$M67,$L67,FALSE))/_xlfn.WEIBULL.DIST(DD$2,$M67,$L67,FALSE))*($T67*(1-$F67)+$S67*(1-$G67))*((1+Inputs!$D$7)^DD$2))))))))</f>
        <v>0</v>
      </c>
    </row>
    <row r="68" spans="1:108" s="1" customFormat="1" ht="32">
      <c r="A68" s="57" t="s">
        <v>154</v>
      </c>
      <c r="B68" s="13" t="s">
        <v>279</v>
      </c>
      <c r="C68" s="13" t="s">
        <v>472</v>
      </c>
      <c r="D68" s="13" t="s">
        <v>122</v>
      </c>
      <c r="E68" s="48">
        <v>1</v>
      </c>
      <c r="F68" s="48">
        <v>0</v>
      </c>
      <c r="G68" s="48">
        <v>0</v>
      </c>
      <c r="H68" s="105" t="s">
        <v>350</v>
      </c>
      <c r="I68" s="14"/>
      <c r="J68" s="14" t="s">
        <v>88</v>
      </c>
      <c r="K68" s="13">
        <f>VLOOKUP(J68,'Labor Rates'!$A$1:$F$16,2)</f>
        <v>19.903846153846153</v>
      </c>
      <c r="L68" s="15">
        <v>5</v>
      </c>
      <c r="M68" s="15">
        <v>1</v>
      </c>
      <c r="N68" s="13" t="s">
        <v>236</v>
      </c>
      <c r="O68" s="61">
        <v>1</v>
      </c>
      <c r="P68" s="15">
        <v>0.5</v>
      </c>
      <c r="Q68" s="15">
        <f t="shared" si="14"/>
        <v>0.1</v>
      </c>
      <c r="R68" s="4">
        <v>0</v>
      </c>
      <c r="S68" s="53">
        <f t="shared" si="15"/>
        <v>9.9519230769230766</v>
      </c>
      <c r="T68" s="53">
        <f t="shared" si="16"/>
        <v>0</v>
      </c>
      <c r="U68" s="54">
        <f t="shared" si="17"/>
        <v>9.9519230769230766</v>
      </c>
      <c r="V68" s="65"/>
      <c r="W68" s="58"/>
      <c r="X68" s="64">
        <f t="shared" si="18"/>
        <v>2.5650539139469437</v>
      </c>
      <c r="Y68" s="64">
        <f>NPV(Inputs!$D$6,AA68:BN68)</f>
        <v>25.685428562489573</v>
      </c>
      <c r="Z68" s="67">
        <f t="shared" si="19"/>
        <v>1.211450209087582E-5</v>
      </c>
      <c r="AA68" s="88">
        <f>$E68*IF(AA$2&gt;Inputs!$D$5,0,IF(AA$2&gt;VLOOKUP($H68,Lists!$P$3:$Q$7,2),IF($N68=Lists!$K$3,IF($L68&lt;1,(($U68/$L68)*((1+Inputs!$D$7)^AA$2)),((INT(AA$2/$L68)-INT((AA$2-1)/$L68))*$U68*((1+Inputs!$D$7)^AA$2))),(_xlfn.WEIBULL.DIST(AA$2,$M68,$L68,FALSE)*$U68*((1+Inputs!$D$7)^AA$2))),IF($N68=Lists!$K$3,IF($L68&lt;1,((($T68*(1-$F68)+$S68*(1-$G68))/$L68)*((1+Inputs!$D$7)^AA$2)),((INT(AA$2/$L68)-INT((AA$2-1)/$L68))*($T68*(1-$F68)+$S68*(1-$G68))*((1+Inputs!$D$7)^AA$2))),((_xlfn.WEIBULL.DIST(AA$2,$M68,$L68,FALSE)*($T68*(1-$F68)+$S68*(1-$G68))*((1+Inputs!$D$7)^AA$2))))))</f>
        <v>0</v>
      </c>
      <c r="AB68" s="88">
        <f>$E68*IF(AB$2&gt;Inputs!$D$5,0,IF(AB$2&gt;VLOOKUP($H68,Lists!$P$3:$Q$7,2),IF($N68=Lists!$K$3,IF($L68&lt;1,(($U68/$L68)*((1+Inputs!$D$7)^AB$2)),((INT(AB$2/$L68)-INT((AB$2-1)/$L68))*$U68*((1+Inputs!$D$7)^AB$2))),(_xlfn.WEIBULL.DIST(AB$2,$M68,$L68,FALSE)*$U68*((1+Inputs!$D$7)^AB$2))),IF($N68=Lists!$K$3,IF($L68&lt;1,((($T68*(1-$F68)+$S68*(1-$G68))/$L68)*((1+Inputs!$D$7)^AB$2)),((INT(AB$2/$L68)-INT((AB$2-1)/$L68))*($T68*(1-$F68)+$S68*(1-$G68))*((1+Inputs!$D$7)^AB$2))),((_xlfn.WEIBULL.DIST(AB$2,$M68,$L68,FALSE)*($T68*(1-$F68)+$S68*(1-$G68))*((1+Inputs!$D$7)^AB$2))))))</f>
        <v>0</v>
      </c>
      <c r="AC68" s="88">
        <f>$E68*IF(AC$2&gt;Inputs!$D$5,0,IF(AC$2&gt;VLOOKUP($H68,Lists!$P$3:$Q$7,2),IF($N68=Lists!$K$3,IF($L68&lt;1,(($U68/$L68)*((1+Inputs!$D$7)^AC$2)),((INT(AC$2/$L68)-INT((AC$2-1)/$L68))*$U68*((1+Inputs!$D$7)^AC$2))),(_xlfn.WEIBULL.DIST(AC$2,$M68,$L68,FALSE)*$U68*((1+Inputs!$D$7)^AC$2))),IF($N68=Lists!$K$3,IF($L68&lt;1,((($T68*(1-$F68)+$S68*(1-$G68))/$L68)*((1+Inputs!$D$7)^AC$2)),((INT(AC$2/$L68)-INT((AC$2-1)/$L68))*($T68*(1-$F68)+$S68*(1-$G68))*((1+Inputs!$D$7)^AC$2))),((_xlfn.WEIBULL.DIST(AC$2,$M68,$L68,FALSE)*($T68*(1-$F68)+$S68*(1-$G68))*((1+Inputs!$D$7)^AC$2))))))</f>
        <v>0</v>
      </c>
      <c r="AD68" s="88">
        <f>$E68*IF(AD$2&gt;Inputs!$D$5,0,IF(AD$2&gt;VLOOKUP($H68,Lists!$P$3:$Q$7,2),IF($N68=Lists!$K$3,IF($L68&lt;1,(($U68/$L68)*((1+Inputs!$D$7)^AD$2)),((INT(AD$2/$L68)-INT((AD$2-1)/$L68))*$U68*((1+Inputs!$D$7)^AD$2))),(_xlfn.WEIBULL.DIST(AD$2,$M68,$L68,FALSE)*$U68*((1+Inputs!$D$7)^AD$2))),IF($N68=Lists!$K$3,IF($L68&lt;1,((($T68*(1-$F68)+$S68*(1-$G68))/$L68)*((1+Inputs!$D$7)^AD$2)),((INT(AD$2/$L68)-INT((AD$2-1)/$L68))*($T68*(1-$F68)+$S68*(1-$G68))*((1+Inputs!$D$7)^AD$2))),((_xlfn.WEIBULL.DIST(AD$2,$M68,$L68,FALSE)*($T68*(1-$F68)+$S68*(1-$G68))*((1+Inputs!$D$7)^AD$2))))))</f>
        <v>0</v>
      </c>
      <c r="AE68" s="88">
        <f>$E68*IF(AE$2&gt;Inputs!$D$5,0,IF(AE$2&gt;VLOOKUP($H68,Lists!$P$3:$Q$7,2),IF($N68=Lists!$K$3,IF($L68&lt;1,(($U68/$L68)*((1+Inputs!$D$7)^AE$2)),((INT(AE$2/$L68)-INT((AE$2-1)/$L68))*$U68*((1+Inputs!$D$7)^AE$2))),(_xlfn.WEIBULL.DIST(AE$2,$M68,$L68,FALSE)*$U68*((1+Inputs!$D$7)^AE$2))),IF($N68=Lists!$K$3,IF($L68&lt;1,((($T68*(1-$F68)+$S68*(1-$G68))/$L68)*((1+Inputs!$D$7)^AE$2)),((INT(AE$2/$L68)-INT((AE$2-1)/$L68))*($T68*(1-$F68)+$S68*(1-$G68))*((1+Inputs!$D$7)^AE$2))),((_xlfn.WEIBULL.DIST(AE$2,$M68,$L68,FALSE)*($T68*(1-$F68)+$S68*(1-$G68))*((1+Inputs!$D$7)^AE$2))))))</f>
        <v>10.987727224153845</v>
      </c>
      <c r="AF68" s="88">
        <f>$E68*IF(AF$2&gt;Inputs!$D$5,0,IF(AF$2&gt;VLOOKUP($H68,Lists!$P$3:$Q$7,2),IF($N68=Lists!$K$3,IF($L68&lt;1,(($U68/$L68)*((1+Inputs!$D$7)^AF$2)),((INT(AF$2/$L68)-INT((AF$2-1)/$L68))*$U68*((1+Inputs!$D$7)^AF$2))),(_xlfn.WEIBULL.DIST(AF$2,$M68,$L68,FALSE)*$U68*((1+Inputs!$D$7)^AF$2))),IF($N68=Lists!$K$3,IF($L68&lt;1,((($T68*(1-$F68)+$S68*(1-$G68))/$L68)*((1+Inputs!$D$7)^AF$2)),((INT(AF$2/$L68)-INT((AF$2-1)/$L68))*($T68*(1-$F68)+$S68*(1-$G68))*((1+Inputs!$D$7)^AF$2))),((_xlfn.WEIBULL.DIST(AF$2,$M68,$L68,FALSE)*($T68*(1-$F68)+$S68*(1-$G68))*((1+Inputs!$D$7)^AF$2))))))</f>
        <v>0</v>
      </c>
      <c r="AG68" s="88">
        <f>$E68*IF(AG$2&gt;Inputs!$D$5,0,IF(AG$2&gt;VLOOKUP($H68,Lists!$P$3:$Q$7,2),IF($N68=Lists!$K$3,IF($L68&lt;1,(($U68/$L68)*((1+Inputs!$D$7)^AG$2)),((INT(AG$2/$L68)-INT((AG$2-1)/$L68))*$U68*((1+Inputs!$D$7)^AG$2))),(_xlfn.WEIBULL.DIST(AG$2,$M68,$L68,FALSE)*$U68*((1+Inputs!$D$7)^AG$2))),IF($N68=Lists!$K$3,IF($L68&lt;1,((($T68*(1-$F68)+$S68*(1-$G68))/$L68)*((1+Inputs!$D$7)^AG$2)),((INT(AG$2/$L68)-INT((AG$2-1)/$L68))*($T68*(1-$F68)+$S68*(1-$G68))*((1+Inputs!$D$7)^AG$2))),((_xlfn.WEIBULL.DIST(AG$2,$M68,$L68,FALSE)*($T68*(1-$F68)+$S68*(1-$G68))*((1+Inputs!$D$7)^AG$2))))))</f>
        <v>0</v>
      </c>
      <c r="AH68" s="88">
        <f>$E68*IF(AH$2&gt;Inputs!$D$5,0,IF(AH$2&gt;VLOOKUP($H68,Lists!$P$3:$Q$7,2),IF($N68=Lists!$K$3,IF($L68&lt;1,(($U68/$L68)*((1+Inputs!$D$7)^AH$2)),((INT(AH$2/$L68)-INT((AH$2-1)/$L68))*$U68*((1+Inputs!$D$7)^AH$2))),(_xlfn.WEIBULL.DIST(AH$2,$M68,$L68,FALSE)*$U68*((1+Inputs!$D$7)^AH$2))),IF($N68=Lists!$K$3,IF($L68&lt;1,((($T68*(1-$F68)+$S68*(1-$G68))/$L68)*((1+Inputs!$D$7)^AH$2)),((INT(AH$2/$L68)-INT((AH$2-1)/$L68))*($T68*(1-$F68)+$S68*(1-$G68))*((1+Inputs!$D$7)^AH$2))),((_xlfn.WEIBULL.DIST(AH$2,$M68,$L68,FALSE)*($T68*(1-$F68)+$S68*(1-$G68))*((1+Inputs!$D$7)^AH$2))))))</f>
        <v>0</v>
      </c>
      <c r="AI68" s="88">
        <f>$E68*IF(AI$2&gt;Inputs!$D$5,0,IF(AI$2&gt;VLOOKUP($H68,Lists!$P$3:$Q$7,2),IF($N68=Lists!$K$3,IF($L68&lt;1,(($U68/$L68)*((1+Inputs!$D$7)^AI$2)),((INT(AI$2/$L68)-INT((AI$2-1)/$L68))*$U68*((1+Inputs!$D$7)^AI$2))),(_xlfn.WEIBULL.DIST(AI$2,$M68,$L68,FALSE)*$U68*((1+Inputs!$D$7)^AI$2))),IF($N68=Lists!$K$3,IF($L68&lt;1,((($T68*(1-$F68)+$S68*(1-$G68))/$L68)*((1+Inputs!$D$7)^AI$2)),((INT(AI$2/$L68)-INT((AI$2-1)/$L68))*($T68*(1-$F68)+$S68*(1-$G68))*((1+Inputs!$D$7)^AI$2))),((_xlfn.WEIBULL.DIST(AI$2,$M68,$L68,FALSE)*($T68*(1-$F68)+$S68*(1-$G68))*((1+Inputs!$D$7)^AI$2))))))</f>
        <v>0</v>
      </c>
      <c r="AJ68" s="88">
        <f>$E68*IF(AJ$2&gt;Inputs!$D$5,0,IF(AJ$2&gt;VLOOKUP($H68,Lists!$P$3:$Q$7,2),IF($N68=Lists!$K$3,IF($L68&lt;1,(($U68/$L68)*((1+Inputs!$D$7)^AJ$2)),((INT(AJ$2/$L68)-INT((AJ$2-1)/$L68))*$U68*((1+Inputs!$D$7)^AJ$2))),(_xlfn.WEIBULL.DIST(AJ$2,$M68,$L68,FALSE)*$U68*((1+Inputs!$D$7)^AJ$2))),IF($N68=Lists!$K$3,IF($L68&lt;1,((($T68*(1-$F68)+$S68*(1-$G68))/$L68)*((1+Inputs!$D$7)^AJ$2)),((INT(AJ$2/$L68)-INT((AJ$2-1)/$L68))*($T68*(1-$F68)+$S68*(1-$G68))*((1+Inputs!$D$7)^AJ$2))),((_xlfn.WEIBULL.DIST(AJ$2,$M68,$L68,FALSE)*($T68*(1-$F68)+$S68*(1-$G68))*((1+Inputs!$D$7)^AJ$2))))))</f>
        <v>12.131338698986283</v>
      </c>
      <c r="AK68" s="88">
        <f>$E68*IF(AK$2&gt;Inputs!$D$5,0,IF(AK$2&gt;VLOOKUP($H68,Lists!$P$3:$Q$7,2),IF($N68=Lists!$K$3,IF($L68&lt;1,(($U68/$L68)*((1+Inputs!$D$7)^AK$2)),((INT(AK$2/$L68)-INT((AK$2-1)/$L68))*$U68*((1+Inputs!$D$7)^AK$2))),(_xlfn.WEIBULL.DIST(AK$2,$M68,$L68,FALSE)*$U68*((1+Inputs!$D$7)^AK$2))),IF($N68=Lists!$K$3,IF($L68&lt;1,((($T68*(1-$F68)+$S68*(1-$G68))/$L68)*((1+Inputs!$D$7)^AK$2)),((INT(AK$2/$L68)-INT((AK$2-1)/$L68))*($T68*(1-$F68)+$S68*(1-$G68))*((1+Inputs!$D$7)^AK$2))),((_xlfn.WEIBULL.DIST(AK$2,$M68,$L68,FALSE)*($T68*(1-$F68)+$S68*(1-$G68))*((1+Inputs!$D$7)^AK$2))))))</f>
        <v>0</v>
      </c>
      <c r="AL68" s="88">
        <f>$E68*IF(AL$2&gt;Inputs!$D$5,0,IF(AL$2&gt;VLOOKUP($H68,Lists!$P$3:$Q$7,2),IF($N68=Lists!$K$3,IF($L68&lt;1,(($U68/$L68)*((1+Inputs!$D$7)^AL$2)),((INT(AL$2/$L68)-INT((AL$2-1)/$L68))*$U68*((1+Inputs!$D$7)^AL$2))),(_xlfn.WEIBULL.DIST(AL$2,$M68,$L68,FALSE)*$U68*((1+Inputs!$D$7)^AL$2))),IF($N68=Lists!$K$3,IF($L68&lt;1,((($T68*(1-$F68)+$S68*(1-$G68))/$L68)*((1+Inputs!$D$7)^AL$2)),((INT(AL$2/$L68)-INT((AL$2-1)/$L68))*($T68*(1-$F68)+$S68*(1-$G68))*((1+Inputs!$D$7)^AL$2))),((_xlfn.WEIBULL.DIST(AL$2,$M68,$L68,FALSE)*($T68*(1-$F68)+$S68*(1-$G68))*((1+Inputs!$D$7)^AL$2))))))</f>
        <v>0</v>
      </c>
      <c r="AM68" s="88">
        <f>$E68*IF(AM$2&gt;Inputs!$D$5,0,IF(AM$2&gt;VLOOKUP($H68,Lists!$P$3:$Q$7,2),IF($N68=Lists!$K$3,IF($L68&lt;1,(($U68/$L68)*((1+Inputs!$D$7)^AM$2)),((INT(AM$2/$L68)-INT((AM$2-1)/$L68))*$U68*((1+Inputs!$D$7)^AM$2))),(_xlfn.WEIBULL.DIST(AM$2,$M68,$L68,FALSE)*$U68*((1+Inputs!$D$7)^AM$2))),IF($N68=Lists!$K$3,IF($L68&lt;1,((($T68*(1-$F68)+$S68*(1-$G68))/$L68)*((1+Inputs!$D$7)^AM$2)),((INT(AM$2/$L68)-INT((AM$2-1)/$L68))*($T68*(1-$F68)+$S68*(1-$G68))*((1+Inputs!$D$7)^AM$2))),((_xlfn.WEIBULL.DIST(AM$2,$M68,$L68,FALSE)*($T68*(1-$F68)+$S68*(1-$G68))*((1+Inputs!$D$7)^AM$2))))))</f>
        <v>0</v>
      </c>
      <c r="AN68" s="88">
        <f>$E68*IF(AN$2&gt;Inputs!$D$5,0,IF(AN$2&gt;VLOOKUP($H68,Lists!$P$3:$Q$7,2),IF($N68=Lists!$K$3,IF($L68&lt;1,(($U68/$L68)*((1+Inputs!$D$7)^AN$2)),((INT(AN$2/$L68)-INT((AN$2-1)/$L68))*$U68*((1+Inputs!$D$7)^AN$2))),(_xlfn.WEIBULL.DIST(AN$2,$M68,$L68,FALSE)*$U68*((1+Inputs!$D$7)^AN$2))),IF($N68=Lists!$K$3,IF($L68&lt;1,((($T68*(1-$F68)+$S68*(1-$G68))/$L68)*((1+Inputs!$D$7)^AN$2)),((INT(AN$2/$L68)-INT((AN$2-1)/$L68))*($T68*(1-$F68)+$S68*(1-$G68))*((1+Inputs!$D$7)^AN$2))),((_xlfn.WEIBULL.DIST(AN$2,$M68,$L68,FALSE)*($T68*(1-$F68)+$S68*(1-$G68))*((1+Inputs!$D$7)^AN$2))))))</f>
        <v>0</v>
      </c>
      <c r="AO68" s="88">
        <f>$E68*IF(AO$2&gt;Inputs!$D$5,0,IF(AO$2&gt;VLOOKUP($H68,Lists!$P$3:$Q$7,2),IF($N68=Lists!$K$3,IF($L68&lt;1,(($U68/$L68)*((1+Inputs!$D$7)^AO$2)),((INT(AO$2/$L68)-INT((AO$2-1)/$L68))*$U68*((1+Inputs!$D$7)^AO$2))),(_xlfn.WEIBULL.DIST(AO$2,$M68,$L68,FALSE)*$U68*((1+Inputs!$D$7)^AO$2))),IF($N68=Lists!$K$3,IF($L68&lt;1,((($T68*(1-$F68)+$S68*(1-$G68))/$L68)*((1+Inputs!$D$7)^AO$2)),((INT(AO$2/$L68)-INT((AO$2-1)/$L68))*($T68*(1-$F68)+$S68*(1-$G68))*((1+Inputs!$D$7)^AO$2))),((_xlfn.WEIBULL.DIST(AO$2,$M68,$L68,FALSE)*($T68*(1-$F68)+$S68*(1-$G68))*((1+Inputs!$D$7)^AO$2))))))</f>
        <v>13.393978174668016</v>
      </c>
      <c r="AP68" s="88">
        <f>$E68*IF(AP$2&gt;Inputs!$D$5,0,IF(AP$2&gt;VLOOKUP($H68,Lists!$P$3:$Q$7,2),IF($N68=Lists!$K$3,IF($L68&lt;1,(($U68/$L68)*((1+Inputs!$D$7)^AP$2)),((INT(AP$2/$L68)-INT((AP$2-1)/$L68))*$U68*((1+Inputs!$D$7)^AP$2))),(_xlfn.WEIBULL.DIST(AP$2,$M68,$L68,FALSE)*$U68*((1+Inputs!$D$7)^AP$2))),IF($N68=Lists!$K$3,IF($L68&lt;1,((($T68*(1-$F68)+$S68*(1-$G68))/$L68)*((1+Inputs!$D$7)^AP$2)),((INT(AP$2/$L68)-INT((AP$2-1)/$L68))*($T68*(1-$F68)+$S68*(1-$G68))*((1+Inputs!$D$7)^AP$2))),((_xlfn.WEIBULL.DIST(AP$2,$M68,$L68,FALSE)*($T68*(1-$F68)+$S68*(1-$G68))*((1+Inputs!$D$7)^AP$2))))))</f>
        <v>0</v>
      </c>
      <c r="AQ68" s="88">
        <f>$E68*IF(AQ$2&gt;Inputs!$D$5,0,IF(AQ$2&gt;VLOOKUP($H68,Lists!$P$3:$Q$7,2),IF($N68=Lists!$K$3,IF($L68&lt;1,(($U68/$L68)*((1+Inputs!$D$7)^AQ$2)),((INT(AQ$2/$L68)-INT((AQ$2-1)/$L68))*$U68*((1+Inputs!$D$7)^AQ$2))),(_xlfn.WEIBULL.DIST(AQ$2,$M68,$L68,FALSE)*$U68*((1+Inputs!$D$7)^AQ$2))),IF($N68=Lists!$K$3,IF($L68&lt;1,((($T68*(1-$F68)+$S68*(1-$G68))/$L68)*((1+Inputs!$D$7)^AQ$2)),((INT(AQ$2/$L68)-INT((AQ$2-1)/$L68))*($T68*(1-$F68)+$S68*(1-$G68))*((1+Inputs!$D$7)^AQ$2))),((_xlfn.WEIBULL.DIST(AQ$2,$M68,$L68,FALSE)*($T68*(1-$F68)+$S68*(1-$G68))*((1+Inputs!$D$7)^AQ$2))))))</f>
        <v>0</v>
      </c>
      <c r="AR68" s="88">
        <f>$E68*IF(AR$2&gt;Inputs!$D$5,0,IF(AR$2&gt;VLOOKUP($H68,Lists!$P$3:$Q$7,2),IF($N68=Lists!$K$3,IF($L68&lt;1,(($U68/$L68)*((1+Inputs!$D$7)^AR$2)),((INT(AR$2/$L68)-INT((AR$2-1)/$L68))*$U68*((1+Inputs!$D$7)^AR$2))),(_xlfn.WEIBULL.DIST(AR$2,$M68,$L68,FALSE)*$U68*((1+Inputs!$D$7)^AR$2))),IF($N68=Lists!$K$3,IF($L68&lt;1,((($T68*(1-$F68)+$S68*(1-$G68))/$L68)*((1+Inputs!$D$7)^AR$2)),((INT(AR$2/$L68)-INT((AR$2-1)/$L68))*($T68*(1-$F68)+$S68*(1-$G68))*((1+Inputs!$D$7)^AR$2))),((_xlfn.WEIBULL.DIST(AR$2,$M68,$L68,FALSE)*($T68*(1-$F68)+$S68*(1-$G68))*((1+Inputs!$D$7)^AR$2))))))</f>
        <v>0</v>
      </c>
      <c r="AS68" s="88">
        <f>$E68*IF(AS$2&gt;Inputs!$D$5,0,IF(AS$2&gt;VLOOKUP($H68,Lists!$P$3:$Q$7,2),IF($N68=Lists!$K$3,IF($L68&lt;1,(($U68/$L68)*((1+Inputs!$D$7)^AS$2)),((INT(AS$2/$L68)-INT((AS$2-1)/$L68))*$U68*((1+Inputs!$D$7)^AS$2))),(_xlfn.WEIBULL.DIST(AS$2,$M68,$L68,FALSE)*$U68*((1+Inputs!$D$7)^AS$2))),IF($N68=Lists!$K$3,IF($L68&lt;1,((($T68*(1-$F68)+$S68*(1-$G68))/$L68)*((1+Inputs!$D$7)^AS$2)),((INT(AS$2/$L68)-INT((AS$2-1)/$L68))*($T68*(1-$F68)+$S68*(1-$G68))*((1+Inputs!$D$7)^AS$2))),((_xlfn.WEIBULL.DIST(AS$2,$M68,$L68,FALSE)*($T68*(1-$F68)+$S68*(1-$G68))*((1+Inputs!$D$7)^AS$2))))))</f>
        <v>0</v>
      </c>
      <c r="AT68" s="88">
        <f>$E68*IF(AT$2&gt;Inputs!$D$5,0,IF(AT$2&gt;VLOOKUP($H68,Lists!$P$3:$Q$7,2),IF($N68=Lists!$K$3,IF($L68&lt;1,(($U68/$L68)*((1+Inputs!$D$7)^AT$2)),((INT(AT$2/$L68)-INT((AT$2-1)/$L68))*$U68*((1+Inputs!$D$7)^AT$2))),(_xlfn.WEIBULL.DIST(AT$2,$M68,$L68,FALSE)*$U68*((1+Inputs!$D$7)^AT$2))),IF($N68=Lists!$K$3,IF($L68&lt;1,((($T68*(1-$F68)+$S68*(1-$G68))/$L68)*((1+Inputs!$D$7)^AT$2)),((INT(AT$2/$L68)-INT((AT$2-1)/$L68))*($T68*(1-$F68)+$S68*(1-$G68))*((1+Inputs!$D$7)^AT$2))),((_xlfn.WEIBULL.DIST(AT$2,$M68,$L68,FALSE)*($T68*(1-$F68)+$S68*(1-$G68))*((1+Inputs!$D$7)^AT$2))))))</f>
        <v>14.788034181130737</v>
      </c>
      <c r="AU68" s="88">
        <f>$E68*IF(AU$2&gt;Inputs!$D$5,0,IF(AU$2&gt;VLOOKUP($H68,Lists!$P$3:$Q$7,2),IF($N68=Lists!$K$3,IF($L68&lt;1,(($U68/$L68)*((1+Inputs!$D$7)^AU$2)),((INT(AU$2/$L68)-INT((AU$2-1)/$L68))*$U68*((1+Inputs!$D$7)^AU$2))),(_xlfn.WEIBULL.DIST(AU$2,$M68,$L68,FALSE)*$U68*((1+Inputs!$D$7)^AU$2))),IF($N68=Lists!$K$3,IF($L68&lt;1,((($T68*(1-$F68)+$S68*(1-$G68))/$L68)*((1+Inputs!$D$7)^AU$2)),((INT(AU$2/$L68)-INT((AU$2-1)/$L68))*($T68*(1-$F68)+$S68*(1-$G68))*((1+Inputs!$D$7)^AU$2))),((_xlfn.WEIBULL.DIST(AU$2,$M68,$L68,FALSE)*($T68*(1-$F68)+$S68*(1-$G68))*((1+Inputs!$D$7)^AU$2))))))</f>
        <v>0</v>
      </c>
      <c r="AV68" s="88">
        <f>$E68*IF(AV$2&gt;Inputs!$D$5,0,IF(AV$2&gt;VLOOKUP($H68,Lists!$P$3:$Q$7,2),IF($N68=Lists!$K$3,IF($L68&lt;1,(($U68/$L68)*((1+Inputs!$D$7)^AV$2)),((INT(AV$2/$L68)-INT((AV$2-1)/$L68))*$U68*((1+Inputs!$D$7)^AV$2))),(_xlfn.WEIBULL.DIST(AV$2,$M68,$L68,FALSE)*$U68*((1+Inputs!$D$7)^AV$2))),IF($N68=Lists!$K$3,IF($L68&lt;1,((($T68*(1-$F68)+$S68*(1-$G68))/$L68)*((1+Inputs!$D$7)^AV$2)),((INT(AV$2/$L68)-INT((AV$2-1)/$L68))*($T68*(1-$F68)+$S68*(1-$G68))*((1+Inputs!$D$7)^AV$2))),((_xlfn.WEIBULL.DIST(AV$2,$M68,$L68,FALSE)*($T68*(1-$F68)+$S68*(1-$G68))*((1+Inputs!$D$7)^AV$2))))))</f>
        <v>0</v>
      </c>
      <c r="AW68" s="88">
        <f>$E68*IF(AW$2&gt;Inputs!$D$5,0,IF(AW$2&gt;VLOOKUP($H68,Lists!$P$3:$Q$7,2),IF($N68=Lists!$K$3,IF($L68&lt;1,(($U68/$L68)*((1+Inputs!$D$7)^AW$2)),((INT(AW$2/$L68)-INT((AW$2-1)/$L68))*$U68*((1+Inputs!$D$7)^AW$2))),(_xlfn.WEIBULL.DIST(AW$2,$M68,$L68,FALSE)*$U68*((1+Inputs!$D$7)^AW$2))),IF($N68=Lists!$K$3,IF($L68&lt;1,((($T68*(1-$F68)+$S68*(1-$G68))/$L68)*((1+Inputs!$D$7)^AW$2)),((INT(AW$2/$L68)-INT((AW$2-1)/$L68))*($T68*(1-$F68)+$S68*(1-$G68))*((1+Inputs!$D$7)^AW$2))),((_xlfn.WEIBULL.DIST(AW$2,$M68,$L68,FALSE)*($T68*(1-$F68)+$S68*(1-$G68))*((1+Inputs!$D$7)^AW$2))))))</f>
        <v>0</v>
      </c>
      <c r="AX68" s="88">
        <f>$E68*IF(AX$2&gt;Inputs!$D$5,0,IF(AX$2&gt;VLOOKUP($H68,Lists!$P$3:$Q$7,2),IF($N68=Lists!$K$3,IF($L68&lt;1,(($U68/$L68)*((1+Inputs!$D$7)^AX$2)),((INT(AX$2/$L68)-INT((AX$2-1)/$L68))*$U68*((1+Inputs!$D$7)^AX$2))),(_xlfn.WEIBULL.DIST(AX$2,$M68,$L68,FALSE)*$U68*((1+Inputs!$D$7)^AX$2))),IF($N68=Lists!$K$3,IF($L68&lt;1,((($T68*(1-$F68)+$S68*(1-$G68))/$L68)*((1+Inputs!$D$7)^AX$2)),((INT(AX$2/$L68)-INT((AX$2-1)/$L68))*($T68*(1-$F68)+$S68*(1-$G68))*((1+Inputs!$D$7)^AX$2))),((_xlfn.WEIBULL.DIST(AX$2,$M68,$L68,FALSE)*($T68*(1-$F68)+$S68*(1-$G68))*((1+Inputs!$D$7)^AX$2))))))</f>
        <v>0</v>
      </c>
      <c r="AY68" s="88">
        <f>$E68*IF(AY$2&gt;Inputs!$D$5,0,IF(AY$2&gt;VLOOKUP($H68,Lists!$P$3:$Q$7,2),IF($N68=Lists!$K$3,IF($L68&lt;1,(($U68/$L68)*((1+Inputs!$D$7)^AY$2)),((INT(AY$2/$L68)-INT((AY$2-1)/$L68))*$U68*((1+Inputs!$D$7)^AY$2))),(_xlfn.WEIBULL.DIST(AY$2,$M68,$L68,FALSE)*$U68*((1+Inputs!$D$7)^AY$2))),IF($N68=Lists!$K$3,IF($L68&lt;1,((($T68*(1-$F68)+$S68*(1-$G68))/$L68)*((1+Inputs!$D$7)^AY$2)),((INT(AY$2/$L68)-INT((AY$2-1)/$L68))*($T68*(1-$F68)+$S68*(1-$G68))*((1+Inputs!$D$7)^AY$2))),((_xlfn.WEIBULL.DIST(AY$2,$M68,$L68,FALSE)*($T68*(1-$F68)+$S68*(1-$G68))*((1+Inputs!$D$7)^AY$2))))))</f>
        <v>16.327184656451877</v>
      </c>
      <c r="AZ68" s="88">
        <f>$E68*IF(AZ$2&gt;Inputs!$D$5,0,IF(AZ$2&gt;VLOOKUP($H68,Lists!$P$3:$Q$7,2),IF($N68=Lists!$K$3,IF($L68&lt;1,(($U68/$L68)*((1+Inputs!$D$7)^AZ$2)),((INT(AZ$2/$L68)-INT((AZ$2-1)/$L68))*$U68*((1+Inputs!$D$7)^AZ$2))),(_xlfn.WEIBULL.DIST(AZ$2,$M68,$L68,FALSE)*$U68*((1+Inputs!$D$7)^AZ$2))),IF($N68=Lists!$K$3,IF($L68&lt;1,((($T68*(1-$F68)+$S68*(1-$G68))/$L68)*((1+Inputs!$D$7)^AZ$2)),((INT(AZ$2/$L68)-INT((AZ$2-1)/$L68))*($T68*(1-$F68)+$S68*(1-$G68))*((1+Inputs!$D$7)^AZ$2))),((_xlfn.WEIBULL.DIST(AZ$2,$M68,$L68,FALSE)*($T68*(1-$F68)+$S68*(1-$G68))*((1+Inputs!$D$7)^AZ$2))))))</f>
        <v>0</v>
      </c>
      <c r="BA68" s="88">
        <f>$E68*IF(BA$2&gt;Inputs!$D$5,0,IF(BA$2&gt;VLOOKUP($H68,Lists!$P$3:$Q$7,2),IF($N68=Lists!$K$3,IF($L68&lt;1,(($U68/$L68)*((1+Inputs!$D$7)^BA$2)),((INT(BA$2/$L68)-INT((BA$2-1)/$L68))*$U68*((1+Inputs!$D$7)^BA$2))),(_xlfn.WEIBULL.DIST(BA$2,$M68,$L68,FALSE)*$U68*((1+Inputs!$D$7)^BA$2))),IF($N68=Lists!$K$3,IF($L68&lt;1,((($T68*(1-$F68)+$S68*(1-$G68))/$L68)*((1+Inputs!$D$7)^BA$2)),((INT(BA$2/$L68)-INT((BA$2-1)/$L68))*($T68*(1-$F68)+$S68*(1-$G68))*((1+Inputs!$D$7)^BA$2))),((_xlfn.WEIBULL.DIST(BA$2,$M68,$L68,FALSE)*($T68*(1-$F68)+$S68*(1-$G68))*((1+Inputs!$D$7)^BA$2))))))</f>
        <v>0</v>
      </c>
      <c r="BB68" s="88">
        <f>$E68*IF(BB$2&gt;Inputs!$D$5,0,IF(BB$2&gt;VLOOKUP($H68,Lists!$P$3:$Q$7,2),IF($N68=Lists!$K$3,IF($L68&lt;1,(($U68/$L68)*((1+Inputs!$D$7)^BB$2)),((INT(BB$2/$L68)-INT((BB$2-1)/$L68))*$U68*((1+Inputs!$D$7)^BB$2))),(_xlfn.WEIBULL.DIST(BB$2,$M68,$L68,FALSE)*$U68*((1+Inputs!$D$7)^BB$2))),IF($N68=Lists!$K$3,IF($L68&lt;1,((($T68*(1-$F68)+$S68*(1-$G68))/$L68)*((1+Inputs!$D$7)^BB$2)),((INT(BB$2/$L68)-INT((BB$2-1)/$L68))*($T68*(1-$F68)+$S68*(1-$G68))*((1+Inputs!$D$7)^BB$2))),((_xlfn.WEIBULL.DIST(BB$2,$M68,$L68,FALSE)*($T68*(1-$F68)+$S68*(1-$G68))*((1+Inputs!$D$7)^BB$2))))))</f>
        <v>0</v>
      </c>
      <c r="BC68" s="88">
        <f>$E68*IF(BC$2&gt;Inputs!$D$5,0,IF(BC$2&gt;VLOOKUP($H68,Lists!$P$3:$Q$7,2),IF($N68=Lists!$K$3,IF($L68&lt;1,(($U68/$L68)*((1+Inputs!$D$7)^BC$2)),((INT(BC$2/$L68)-INT((BC$2-1)/$L68))*$U68*((1+Inputs!$D$7)^BC$2))),(_xlfn.WEIBULL.DIST(BC$2,$M68,$L68,FALSE)*$U68*((1+Inputs!$D$7)^BC$2))),IF($N68=Lists!$K$3,IF($L68&lt;1,((($T68*(1-$F68)+$S68*(1-$G68))/$L68)*((1+Inputs!$D$7)^BC$2)),((INT(BC$2/$L68)-INT((BC$2-1)/$L68))*($T68*(1-$F68)+$S68*(1-$G68))*((1+Inputs!$D$7)^BC$2))),((_xlfn.WEIBULL.DIST(BC$2,$M68,$L68,FALSE)*($T68*(1-$F68)+$S68*(1-$G68))*((1+Inputs!$D$7)^BC$2))))))</f>
        <v>0</v>
      </c>
      <c r="BD68" s="88">
        <f>$E68*IF(BD$2&gt;Inputs!$D$5,0,IF(BD$2&gt;VLOOKUP($H68,Lists!$P$3:$Q$7,2),IF($N68=Lists!$K$3,IF($L68&lt;1,(($U68/$L68)*((1+Inputs!$D$7)^BD$2)),((INT(BD$2/$L68)-INT((BD$2-1)/$L68))*$U68*((1+Inputs!$D$7)^BD$2))),(_xlfn.WEIBULL.DIST(BD$2,$M68,$L68,FALSE)*$U68*((1+Inputs!$D$7)^BD$2))),IF($N68=Lists!$K$3,IF($L68&lt;1,((($T68*(1-$F68)+$S68*(1-$G68))/$L68)*((1+Inputs!$D$7)^BD$2)),((INT(BD$2/$L68)-INT((BD$2-1)/$L68))*($T68*(1-$F68)+$S68*(1-$G68))*((1+Inputs!$D$7)^BD$2))),((_xlfn.WEIBULL.DIST(BD$2,$M68,$L68,FALSE)*($T68*(1-$F68)+$S68*(1-$G68))*((1+Inputs!$D$7)^BD$2))))))</f>
        <v>0</v>
      </c>
      <c r="BE68" s="88">
        <f>$E68*IF(BE$2&gt;Inputs!$D$5,0,IF(BE$2&gt;VLOOKUP($H68,Lists!$P$3:$Q$7,2),IF($N68=Lists!$K$3,IF($L68&lt;1,(($U68/$L68)*((1+Inputs!$D$7)^BE$2)),((INT(BE$2/$L68)-INT((BE$2-1)/$L68))*$U68*((1+Inputs!$D$7)^BE$2))),(_xlfn.WEIBULL.DIST(BE$2,$M68,$L68,FALSE)*$U68*((1+Inputs!$D$7)^BE$2))),IF($N68=Lists!$K$3,IF($L68&lt;1,((($T68*(1-$F68)+$S68*(1-$G68))/$L68)*((1+Inputs!$D$7)^BE$2)),((INT(BE$2/$L68)-INT((BE$2-1)/$L68))*($T68*(1-$F68)+$S68*(1-$G68))*((1+Inputs!$D$7)^BE$2))),((_xlfn.WEIBULL.DIST(BE$2,$M68,$L68,FALSE)*($T68*(1-$F68)+$S68*(1-$G68))*((1+Inputs!$D$7)^BE$2))))))</f>
        <v>0</v>
      </c>
      <c r="BF68" s="88">
        <f>$E68*IF(BF$2&gt;Inputs!$D$5,0,IF(BF$2&gt;VLOOKUP($H68,Lists!$P$3:$Q$7,2),IF($N68=Lists!$K$3,IF($L68&lt;1,(($U68/$L68)*((1+Inputs!$D$7)^BF$2)),((INT(BF$2/$L68)-INT((BF$2-1)/$L68))*$U68*((1+Inputs!$D$7)^BF$2))),(_xlfn.WEIBULL.DIST(BF$2,$M68,$L68,FALSE)*$U68*((1+Inputs!$D$7)^BF$2))),IF($N68=Lists!$K$3,IF($L68&lt;1,((($T68*(1-$F68)+$S68*(1-$G68))/$L68)*((1+Inputs!$D$7)^BF$2)),((INT(BF$2/$L68)-INT((BF$2-1)/$L68))*($T68*(1-$F68)+$S68*(1-$G68))*((1+Inputs!$D$7)^BF$2))),((_xlfn.WEIBULL.DIST(BF$2,$M68,$L68,FALSE)*($T68*(1-$F68)+$S68*(1-$G68))*((1+Inputs!$D$7)^BF$2))))))</f>
        <v>0</v>
      </c>
      <c r="BG68" s="88">
        <f>$E68*IF(BG$2&gt;Inputs!$D$5,0,IF(BG$2&gt;VLOOKUP($H68,Lists!$P$3:$Q$7,2),IF($N68=Lists!$K$3,IF($L68&lt;1,(($U68/$L68)*((1+Inputs!$D$7)^BG$2)),((INT(BG$2/$L68)-INT((BG$2-1)/$L68))*$U68*((1+Inputs!$D$7)^BG$2))),(_xlfn.WEIBULL.DIST(BG$2,$M68,$L68,FALSE)*$U68*((1+Inputs!$D$7)^BG$2))),IF($N68=Lists!$K$3,IF($L68&lt;1,((($T68*(1-$F68)+$S68*(1-$G68))/$L68)*((1+Inputs!$D$7)^BG$2)),((INT(BG$2/$L68)-INT((BG$2-1)/$L68))*($T68*(1-$F68)+$S68*(1-$G68))*((1+Inputs!$D$7)^BG$2))),((_xlfn.WEIBULL.DIST(BG$2,$M68,$L68,FALSE)*($T68*(1-$F68)+$S68*(1-$G68))*((1+Inputs!$D$7)^BG$2))))))</f>
        <v>0</v>
      </c>
      <c r="BH68" s="88">
        <f>$E68*IF(BH$2&gt;Inputs!$D$5,0,IF(BH$2&gt;VLOOKUP($H68,Lists!$P$3:$Q$7,2),IF($N68=Lists!$K$3,IF($L68&lt;1,(($U68/$L68)*((1+Inputs!$D$7)^BH$2)),((INT(BH$2/$L68)-INT((BH$2-1)/$L68))*$U68*((1+Inputs!$D$7)^BH$2))),(_xlfn.WEIBULL.DIST(BH$2,$M68,$L68,FALSE)*$U68*((1+Inputs!$D$7)^BH$2))),IF($N68=Lists!$K$3,IF($L68&lt;1,((($T68*(1-$F68)+$S68*(1-$G68))/$L68)*((1+Inputs!$D$7)^BH$2)),((INT(BH$2/$L68)-INT((BH$2-1)/$L68))*($T68*(1-$F68)+$S68*(1-$G68))*((1+Inputs!$D$7)^BH$2))),((_xlfn.WEIBULL.DIST(BH$2,$M68,$L68,FALSE)*($T68*(1-$F68)+$S68*(1-$G68))*((1+Inputs!$D$7)^BH$2))))))</f>
        <v>0</v>
      </c>
      <c r="BI68" s="88">
        <f>$E68*IF(BI$2&gt;Inputs!$D$5,0,IF(BI$2&gt;VLOOKUP($H68,Lists!$P$3:$Q$7,2),IF($N68=Lists!$K$3,IF($L68&lt;1,(($U68/$L68)*((1+Inputs!$D$7)^BI$2)),((INT(BI$2/$L68)-INT((BI$2-1)/$L68))*$U68*((1+Inputs!$D$7)^BI$2))),(_xlfn.WEIBULL.DIST(BI$2,$M68,$L68,FALSE)*$U68*((1+Inputs!$D$7)^BI$2))),IF($N68=Lists!$K$3,IF($L68&lt;1,((($T68*(1-$F68)+$S68*(1-$G68))/$L68)*((1+Inputs!$D$7)^BI$2)),((INT(BI$2/$L68)-INT((BI$2-1)/$L68))*($T68*(1-$F68)+$S68*(1-$G68))*((1+Inputs!$D$7)^BI$2))),((_xlfn.WEIBULL.DIST(BI$2,$M68,$L68,FALSE)*($T68*(1-$F68)+$S68*(1-$G68))*((1+Inputs!$D$7)^BI$2))))))</f>
        <v>0</v>
      </c>
      <c r="BJ68" s="88">
        <f>$E68*IF(BJ$2&gt;Inputs!$D$5,0,IF(BJ$2&gt;VLOOKUP($H68,Lists!$P$3:$Q$7,2),IF($N68=Lists!$K$3,IF($L68&lt;1,(($U68/$L68)*((1+Inputs!$D$7)^BJ$2)),((INT(BJ$2/$L68)-INT((BJ$2-1)/$L68))*$U68*((1+Inputs!$D$7)^BJ$2))),(_xlfn.WEIBULL.DIST(BJ$2,$M68,$L68,FALSE)*$U68*((1+Inputs!$D$7)^BJ$2))),IF($N68=Lists!$K$3,IF($L68&lt;1,((($T68*(1-$F68)+$S68*(1-$G68))/$L68)*((1+Inputs!$D$7)^BJ$2)),((INT(BJ$2/$L68)-INT((BJ$2-1)/$L68))*($T68*(1-$F68)+$S68*(1-$G68))*((1+Inputs!$D$7)^BJ$2))),((_xlfn.WEIBULL.DIST(BJ$2,$M68,$L68,FALSE)*($T68*(1-$F68)+$S68*(1-$G68))*((1+Inputs!$D$7)^BJ$2))))))</f>
        <v>0</v>
      </c>
      <c r="BK68" s="88">
        <f>$E68*IF(BK$2&gt;Inputs!$D$5,0,IF(BK$2&gt;VLOOKUP($H68,Lists!$P$3:$Q$7,2),IF($N68=Lists!$K$3,IF($L68&lt;1,(($U68/$L68)*((1+Inputs!$D$7)^BK$2)),((INT(BK$2/$L68)-INT((BK$2-1)/$L68))*$U68*((1+Inputs!$D$7)^BK$2))),(_xlfn.WEIBULL.DIST(BK$2,$M68,$L68,FALSE)*$U68*((1+Inputs!$D$7)^BK$2))),IF($N68=Lists!$K$3,IF($L68&lt;1,((($T68*(1-$F68)+$S68*(1-$G68))/$L68)*((1+Inputs!$D$7)^BK$2)),((INT(BK$2/$L68)-INT((BK$2-1)/$L68))*($T68*(1-$F68)+$S68*(1-$G68))*((1+Inputs!$D$7)^BK$2))),((_xlfn.WEIBULL.DIST(BK$2,$M68,$L68,FALSE)*($T68*(1-$F68)+$S68*(1-$G68))*((1+Inputs!$D$7)^BK$2))))))</f>
        <v>0</v>
      </c>
      <c r="BL68" s="88">
        <f>$E68*IF(BL$2&gt;Inputs!$D$5,0,IF(BL$2&gt;VLOOKUP($H68,Lists!$P$3:$Q$7,2),IF($N68=Lists!$K$3,IF($L68&lt;1,(($U68/$L68)*((1+Inputs!$D$7)^BL$2)),((INT(BL$2/$L68)-INT((BL$2-1)/$L68))*$U68*((1+Inputs!$D$7)^BL$2))),(_xlfn.WEIBULL.DIST(BL$2,$M68,$L68,FALSE)*$U68*((1+Inputs!$D$7)^BL$2))),IF($N68=Lists!$K$3,IF($L68&lt;1,((($T68*(1-$F68)+$S68*(1-$G68))/$L68)*((1+Inputs!$D$7)^BL$2)),((INT(BL$2/$L68)-INT((BL$2-1)/$L68))*($T68*(1-$F68)+$S68*(1-$G68))*((1+Inputs!$D$7)^BL$2))),((_xlfn.WEIBULL.DIST(BL$2,$M68,$L68,FALSE)*($T68*(1-$F68)+$S68*(1-$G68))*((1+Inputs!$D$7)^BL$2))))))</f>
        <v>0</v>
      </c>
      <c r="BM68" s="88">
        <f>$E68*IF(BM$2&gt;Inputs!$D$5,0,IF(BM$2&gt;VLOOKUP($H68,Lists!$P$3:$Q$7,2),IF($N68=Lists!$K$3,IF($L68&lt;1,(($U68/$L68)*((1+Inputs!$D$7)^BM$2)),((INT(BM$2/$L68)-INT((BM$2-1)/$L68))*$U68*((1+Inputs!$D$7)^BM$2))),(_xlfn.WEIBULL.DIST(BM$2,$M68,$L68,FALSE)*$U68*((1+Inputs!$D$7)^BM$2))),IF($N68=Lists!$K$3,IF($L68&lt;1,((($T68*(1-$F68)+$S68*(1-$G68))/$L68)*((1+Inputs!$D$7)^BM$2)),((INT(BM$2/$L68)-INT((BM$2-1)/$L68))*($T68*(1-$F68)+$S68*(1-$G68))*((1+Inputs!$D$7)^BM$2))),((_xlfn.WEIBULL.DIST(BM$2,$M68,$L68,FALSE)*($T68*(1-$F68)+$S68*(1-$G68))*((1+Inputs!$D$7)^BM$2))))))</f>
        <v>0</v>
      </c>
      <c r="BN68" s="88">
        <f>$E68*IF(BN$2&gt;Inputs!$D$5,0,IF(BN$2&gt;VLOOKUP($H68,Lists!$P$3:$Q$7,2),IF($N68=Lists!$K$3,IF($L68&lt;1,(($U68/$L68)*((1+Inputs!$D$7)^BN$2)),((INT(BN$2/$L68)-INT((BN$2-1)/$L68))*$U68*((1+Inputs!$D$7)^BN$2))),(_xlfn.WEIBULL.DIST(BN$2,$M68,$L68,FALSE)*$U68*((1+Inputs!$D$7)^BN$2))),IF($N68=Lists!$K$3,IF($L68&lt;1,((($T68*(1-$F68)+$S68*(1-$G68))/$L68)*((1+Inputs!$D$7)^BN$2)),((INT(BN$2/$L68)-INT((BN$2-1)/$L68))*($T68*(1-$F68)+$S68*(1-$G68))*((1+Inputs!$D$7)^BN$2))),((_xlfn.WEIBULL.DIST(BN$2,$M68,$L68,FALSE)*($T68*(1-$F68)+$S68*(1-$G68))*((1+Inputs!$D$7)^BN$2))))))</f>
        <v>0</v>
      </c>
      <c r="BO68" s="64">
        <f>NPV(Inputs!$D$6,BQ68:DD68)</f>
        <v>25.685428562489573</v>
      </c>
      <c r="BP68" s="67">
        <f t="shared" si="20"/>
        <v>1.211450209087582E-5</v>
      </c>
      <c r="BQ68" s="88">
        <f>MAX(AA68,($E68*IF(BQ$2&gt;Inputs!$D$5,0,IF(BQ$2&gt;VLOOKUP($H68,Lists!$P$3:$Q$7,2),IF($N68=Lists!$K$3,IF($L68&lt;1,(($U68/$L68)*((1+Inputs!$D$7)^BQ$2)),((INT(BQ$2/$L68)-INT((BQ$2-1)/$L68))*$U68*((1+Inputs!$D$7)^BQ$2))),(Inputs!$D$8^((1-_xlfn.WEIBULL.DIST(BQ$2,$M68,$L68,FALSE))/_xlfn.WEIBULL.DIST(BQ$2,$M68,$L68,FALSE))*$U68*((1+Inputs!$D$7)^BQ$2))),IF($N68=Lists!$K$3,IF($L68&lt;1,((($T68*(1-$F68)+$S68*(1-$G68))/$L68)*((1+Inputs!$D$7)^BQ$2)),((INT(BQ$2/$L68)-INT((BQ$2-1)/$L68))*($T68*(1-$F68)+$S68*(1-$G68))*((1+Inputs!$D$7)^BQ$2))),((Inputs!$D$8^((1-_xlfn.WEIBULL.DIST(BQ$2,$M68,$L68,FALSE))/_xlfn.WEIBULL.DIST(BQ$2,$M68,$L68,FALSE))*($T68*(1-$F68)+$S68*(1-$G68))*((1+Inputs!$D$7)^BQ$2))))))))</f>
        <v>0</v>
      </c>
      <c r="BR68" s="88">
        <f>MAX(AB68,($E68*IF(BR$2&gt;Inputs!$D$5,0,IF(BR$2&gt;VLOOKUP($H68,Lists!$P$3:$Q$7,2),IF($N68=Lists!$K$3,IF($L68&lt;1,(($U68/$L68)*((1+Inputs!$D$7)^BR$2)),((INT(BR$2/$L68)-INT((BR$2-1)/$L68))*$U68*((1+Inputs!$D$7)^BR$2))),(Inputs!$D$8^((1-_xlfn.WEIBULL.DIST(BR$2,$M68,$L68,FALSE))/_xlfn.WEIBULL.DIST(BR$2,$M68,$L68,FALSE))*$U68*((1+Inputs!$D$7)^BR$2))),IF($N68=Lists!$K$3,IF($L68&lt;1,((($T68*(1-$F68)+$S68*(1-$G68))/$L68)*((1+Inputs!$D$7)^BR$2)),((INT(BR$2/$L68)-INT((BR$2-1)/$L68))*($T68*(1-$F68)+$S68*(1-$G68))*((1+Inputs!$D$7)^BR$2))),((Inputs!$D$8^((1-_xlfn.WEIBULL.DIST(BR$2,$M68,$L68,FALSE))/_xlfn.WEIBULL.DIST(BR$2,$M68,$L68,FALSE))*($T68*(1-$F68)+$S68*(1-$G68))*((1+Inputs!$D$7)^BR$2))))))))</f>
        <v>0</v>
      </c>
      <c r="BS68" s="88">
        <f>MAX(AC68,($E68*IF(BS$2&gt;Inputs!$D$5,0,IF(BS$2&gt;VLOOKUP($H68,Lists!$P$3:$Q$7,2),IF($N68=Lists!$K$3,IF($L68&lt;1,(($U68/$L68)*((1+Inputs!$D$7)^BS$2)),((INT(BS$2/$L68)-INT((BS$2-1)/$L68))*$U68*((1+Inputs!$D$7)^BS$2))),(Inputs!$D$8^((1-_xlfn.WEIBULL.DIST(BS$2,$M68,$L68,FALSE))/_xlfn.WEIBULL.DIST(BS$2,$M68,$L68,FALSE))*$U68*((1+Inputs!$D$7)^BS$2))),IF($N68=Lists!$K$3,IF($L68&lt;1,((($T68*(1-$F68)+$S68*(1-$G68))/$L68)*((1+Inputs!$D$7)^BS$2)),((INT(BS$2/$L68)-INT((BS$2-1)/$L68))*($T68*(1-$F68)+$S68*(1-$G68))*((1+Inputs!$D$7)^BS$2))),((Inputs!$D$8^((1-_xlfn.WEIBULL.DIST(BS$2,$M68,$L68,FALSE))/_xlfn.WEIBULL.DIST(BS$2,$M68,$L68,FALSE))*($T68*(1-$F68)+$S68*(1-$G68))*((1+Inputs!$D$7)^BS$2))))))))</f>
        <v>0</v>
      </c>
      <c r="BT68" s="88">
        <f>MAX(AD68,($E68*IF(BT$2&gt;Inputs!$D$5,0,IF(BT$2&gt;VLOOKUP($H68,Lists!$P$3:$Q$7,2),IF($N68=Lists!$K$3,IF($L68&lt;1,(($U68/$L68)*((1+Inputs!$D$7)^BT$2)),((INT(BT$2/$L68)-INT((BT$2-1)/$L68))*$U68*((1+Inputs!$D$7)^BT$2))),(Inputs!$D$8^((1-_xlfn.WEIBULL.DIST(BT$2,$M68,$L68,FALSE))/_xlfn.WEIBULL.DIST(BT$2,$M68,$L68,FALSE))*$U68*((1+Inputs!$D$7)^BT$2))),IF($N68=Lists!$K$3,IF($L68&lt;1,((($T68*(1-$F68)+$S68*(1-$G68))/$L68)*((1+Inputs!$D$7)^BT$2)),((INT(BT$2/$L68)-INT((BT$2-1)/$L68))*($T68*(1-$F68)+$S68*(1-$G68))*((1+Inputs!$D$7)^BT$2))),((Inputs!$D$8^((1-_xlfn.WEIBULL.DIST(BT$2,$M68,$L68,FALSE))/_xlfn.WEIBULL.DIST(BT$2,$M68,$L68,FALSE))*($T68*(1-$F68)+$S68*(1-$G68))*((1+Inputs!$D$7)^BT$2))))))))</f>
        <v>0</v>
      </c>
      <c r="BU68" s="88">
        <f>MAX(AE68,($E68*IF(BU$2&gt;Inputs!$D$5,0,IF(BU$2&gt;VLOOKUP($H68,Lists!$P$3:$Q$7,2),IF($N68=Lists!$K$3,IF($L68&lt;1,(($U68/$L68)*((1+Inputs!$D$7)^BU$2)),((INT(BU$2/$L68)-INT((BU$2-1)/$L68))*$U68*((1+Inputs!$D$7)^BU$2))),(Inputs!$D$8^((1-_xlfn.WEIBULL.DIST(BU$2,$M68,$L68,FALSE))/_xlfn.WEIBULL.DIST(BU$2,$M68,$L68,FALSE))*$U68*((1+Inputs!$D$7)^BU$2))),IF($N68=Lists!$K$3,IF($L68&lt;1,((($T68*(1-$F68)+$S68*(1-$G68))/$L68)*((1+Inputs!$D$7)^BU$2)),((INT(BU$2/$L68)-INT((BU$2-1)/$L68))*($T68*(1-$F68)+$S68*(1-$G68))*((1+Inputs!$D$7)^BU$2))),((Inputs!$D$8^((1-_xlfn.WEIBULL.DIST(BU$2,$M68,$L68,FALSE))/_xlfn.WEIBULL.DIST(BU$2,$M68,$L68,FALSE))*($T68*(1-$F68)+$S68*(1-$G68))*((1+Inputs!$D$7)^BU$2))))))))</f>
        <v>10.987727224153845</v>
      </c>
      <c r="BV68" s="88">
        <f>MAX(AF68,($E68*IF(BV$2&gt;Inputs!$D$5,0,IF(BV$2&gt;VLOOKUP($H68,Lists!$P$3:$Q$7,2),IF($N68=Lists!$K$3,IF($L68&lt;1,(($U68/$L68)*((1+Inputs!$D$7)^BV$2)),((INT(BV$2/$L68)-INT((BV$2-1)/$L68))*$U68*((1+Inputs!$D$7)^BV$2))),(Inputs!$D$8^((1-_xlfn.WEIBULL.DIST(BV$2,$M68,$L68,FALSE))/_xlfn.WEIBULL.DIST(BV$2,$M68,$L68,FALSE))*$U68*((1+Inputs!$D$7)^BV$2))),IF($N68=Lists!$K$3,IF($L68&lt;1,((($T68*(1-$F68)+$S68*(1-$G68))/$L68)*((1+Inputs!$D$7)^BV$2)),((INT(BV$2/$L68)-INT((BV$2-1)/$L68))*($T68*(1-$F68)+$S68*(1-$G68))*((1+Inputs!$D$7)^BV$2))),((Inputs!$D$8^((1-_xlfn.WEIBULL.DIST(BV$2,$M68,$L68,FALSE))/_xlfn.WEIBULL.DIST(BV$2,$M68,$L68,FALSE))*($T68*(1-$F68)+$S68*(1-$G68))*((1+Inputs!$D$7)^BV$2))))))))</f>
        <v>0</v>
      </c>
      <c r="BW68" s="88">
        <f>MAX(AG68,($E68*IF(BW$2&gt;Inputs!$D$5,0,IF(BW$2&gt;VLOOKUP($H68,Lists!$P$3:$Q$7,2),IF($N68=Lists!$K$3,IF($L68&lt;1,(($U68/$L68)*((1+Inputs!$D$7)^BW$2)),((INT(BW$2/$L68)-INT((BW$2-1)/$L68))*$U68*((1+Inputs!$D$7)^BW$2))),(Inputs!$D$8^((1-_xlfn.WEIBULL.DIST(BW$2,$M68,$L68,FALSE))/_xlfn.WEIBULL.DIST(BW$2,$M68,$L68,FALSE))*$U68*((1+Inputs!$D$7)^BW$2))),IF($N68=Lists!$K$3,IF($L68&lt;1,((($T68*(1-$F68)+$S68*(1-$G68))/$L68)*((1+Inputs!$D$7)^BW$2)),((INT(BW$2/$L68)-INT((BW$2-1)/$L68))*($T68*(1-$F68)+$S68*(1-$G68))*((1+Inputs!$D$7)^BW$2))),((Inputs!$D$8^((1-_xlfn.WEIBULL.DIST(BW$2,$M68,$L68,FALSE))/_xlfn.WEIBULL.DIST(BW$2,$M68,$L68,FALSE))*($T68*(1-$F68)+$S68*(1-$G68))*((1+Inputs!$D$7)^BW$2))))))))</f>
        <v>0</v>
      </c>
      <c r="BX68" s="88">
        <f>MAX(AH68,($E68*IF(BX$2&gt;Inputs!$D$5,0,IF(BX$2&gt;VLOOKUP($H68,Lists!$P$3:$Q$7,2),IF($N68=Lists!$K$3,IF($L68&lt;1,(($U68/$L68)*((1+Inputs!$D$7)^BX$2)),((INT(BX$2/$L68)-INT((BX$2-1)/$L68))*$U68*((1+Inputs!$D$7)^BX$2))),(Inputs!$D$8^((1-_xlfn.WEIBULL.DIST(BX$2,$M68,$L68,FALSE))/_xlfn.WEIBULL.DIST(BX$2,$M68,$L68,FALSE))*$U68*((1+Inputs!$D$7)^BX$2))),IF($N68=Lists!$K$3,IF($L68&lt;1,((($T68*(1-$F68)+$S68*(1-$G68))/$L68)*((1+Inputs!$D$7)^BX$2)),((INT(BX$2/$L68)-INT((BX$2-1)/$L68))*($T68*(1-$F68)+$S68*(1-$G68))*((1+Inputs!$D$7)^BX$2))),((Inputs!$D$8^((1-_xlfn.WEIBULL.DIST(BX$2,$M68,$L68,FALSE))/_xlfn.WEIBULL.DIST(BX$2,$M68,$L68,FALSE))*($T68*(1-$F68)+$S68*(1-$G68))*((1+Inputs!$D$7)^BX$2))))))))</f>
        <v>0</v>
      </c>
      <c r="BY68" s="88">
        <f>MAX(AI68,($E68*IF(BY$2&gt;Inputs!$D$5,0,IF(BY$2&gt;VLOOKUP($H68,Lists!$P$3:$Q$7,2),IF($N68=Lists!$K$3,IF($L68&lt;1,(($U68/$L68)*((1+Inputs!$D$7)^BY$2)),((INT(BY$2/$L68)-INT((BY$2-1)/$L68))*$U68*((1+Inputs!$D$7)^BY$2))),(Inputs!$D$8^((1-_xlfn.WEIBULL.DIST(BY$2,$M68,$L68,FALSE))/_xlfn.WEIBULL.DIST(BY$2,$M68,$L68,FALSE))*$U68*((1+Inputs!$D$7)^BY$2))),IF($N68=Lists!$K$3,IF($L68&lt;1,((($T68*(1-$F68)+$S68*(1-$G68))/$L68)*((1+Inputs!$D$7)^BY$2)),((INT(BY$2/$L68)-INT((BY$2-1)/$L68))*($T68*(1-$F68)+$S68*(1-$G68))*((1+Inputs!$D$7)^BY$2))),((Inputs!$D$8^((1-_xlfn.WEIBULL.DIST(BY$2,$M68,$L68,FALSE))/_xlfn.WEIBULL.DIST(BY$2,$M68,$L68,FALSE))*($T68*(1-$F68)+$S68*(1-$G68))*((1+Inputs!$D$7)^BY$2))))))))</f>
        <v>0</v>
      </c>
      <c r="BZ68" s="88">
        <f>MAX(AJ68,($E68*IF(BZ$2&gt;Inputs!$D$5,0,IF(BZ$2&gt;VLOOKUP($H68,Lists!$P$3:$Q$7,2),IF($N68=Lists!$K$3,IF($L68&lt;1,(($U68/$L68)*((1+Inputs!$D$7)^BZ$2)),((INT(BZ$2/$L68)-INT((BZ$2-1)/$L68))*$U68*((1+Inputs!$D$7)^BZ$2))),(Inputs!$D$8^((1-_xlfn.WEIBULL.DIST(BZ$2,$M68,$L68,FALSE))/_xlfn.WEIBULL.DIST(BZ$2,$M68,$L68,FALSE))*$U68*((1+Inputs!$D$7)^BZ$2))),IF($N68=Lists!$K$3,IF($L68&lt;1,((($T68*(1-$F68)+$S68*(1-$G68))/$L68)*((1+Inputs!$D$7)^BZ$2)),((INT(BZ$2/$L68)-INT((BZ$2-1)/$L68))*($T68*(1-$F68)+$S68*(1-$G68))*((1+Inputs!$D$7)^BZ$2))),((Inputs!$D$8^((1-_xlfn.WEIBULL.DIST(BZ$2,$M68,$L68,FALSE))/_xlfn.WEIBULL.DIST(BZ$2,$M68,$L68,FALSE))*($T68*(1-$F68)+$S68*(1-$G68))*((1+Inputs!$D$7)^BZ$2))))))))</f>
        <v>12.131338698986283</v>
      </c>
      <c r="CA68" s="88">
        <f>MAX(AK68,($E68*IF(CA$2&gt;Inputs!$D$5,0,IF(CA$2&gt;VLOOKUP($H68,Lists!$P$3:$Q$7,2),IF($N68=Lists!$K$3,IF($L68&lt;1,(($U68/$L68)*((1+Inputs!$D$7)^CA$2)),((INT(CA$2/$L68)-INT((CA$2-1)/$L68))*$U68*((1+Inputs!$D$7)^CA$2))),(Inputs!$D$8^((1-_xlfn.WEIBULL.DIST(CA$2,$M68,$L68,FALSE))/_xlfn.WEIBULL.DIST(CA$2,$M68,$L68,FALSE))*$U68*((1+Inputs!$D$7)^CA$2))),IF($N68=Lists!$K$3,IF($L68&lt;1,((($T68*(1-$F68)+$S68*(1-$G68))/$L68)*((1+Inputs!$D$7)^CA$2)),((INT(CA$2/$L68)-INT((CA$2-1)/$L68))*($T68*(1-$F68)+$S68*(1-$G68))*((1+Inputs!$D$7)^CA$2))),((Inputs!$D$8^((1-_xlfn.WEIBULL.DIST(CA$2,$M68,$L68,FALSE))/_xlfn.WEIBULL.DIST(CA$2,$M68,$L68,FALSE))*($T68*(1-$F68)+$S68*(1-$G68))*((1+Inputs!$D$7)^CA$2))))))))</f>
        <v>0</v>
      </c>
      <c r="CB68" s="88">
        <f>MAX(AL68,($E68*IF(CB$2&gt;Inputs!$D$5,0,IF(CB$2&gt;VLOOKUP($H68,Lists!$P$3:$Q$7,2),IF($N68=Lists!$K$3,IF($L68&lt;1,(($U68/$L68)*((1+Inputs!$D$7)^CB$2)),((INT(CB$2/$L68)-INT((CB$2-1)/$L68))*$U68*((1+Inputs!$D$7)^CB$2))),(Inputs!$D$8^((1-_xlfn.WEIBULL.DIST(CB$2,$M68,$L68,FALSE))/_xlfn.WEIBULL.DIST(CB$2,$M68,$L68,FALSE))*$U68*((1+Inputs!$D$7)^CB$2))),IF($N68=Lists!$K$3,IF($L68&lt;1,((($T68*(1-$F68)+$S68*(1-$G68))/$L68)*((1+Inputs!$D$7)^CB$2)),((INT(CB$2/$L68)-INT((CB$2-1)/$L68))*($T68*(1-$F68)+$S68*(1-$G68))*((1+Inputs!$D$7)^CB$2))),((Inputs!$D$8^((1-_xlfn.WEIBULL.DIST(CB$2,$M68,$L68,FALSE))/_xlfn.WEIBULL.DIST(CB$2,$M68,$L68,FALSE))*($T68*(1-$F68)+$S68*(1-$G68))*((1+Inputs!$D$7)^CB$2))))))))</f>
        <v>0</v>
      </c>
      <c r="CC68" s="88">
        <f>MAX(AM68,($E68*IF(CC$2&gt;Inputs!$D$5,0,IF(CC$2&gt;VLOOKUP($H68,Lists!$P$3:$Q$7,2),IF($N68=Lists!$K$3,IF($L68&lt;1,(($U68/$L68)*((1+Inputs!$D$7)^CC$2)),((INT(CC$2/$L68)-INT((CC$2-1)/$L68))*$U68*((1+Inputs!$D$7)^CC$2))),(Inputs!$D$8^((1-_xlfn.WEIBULL.DIST(CC$2,$M68,$L68,FALSE))/_xlfn.WEIBULL.DIST(CC$2,$M68,$L68,FALSE))*$U68*((1+Inputs!$D$7)^CC$2))),IF($N68=Lists!$K$3,IF($L68&lt;1,((($T68*(1-$F68)+$S68*(1-$G68))/$L68)*((1+Inputs!$D$7)^CC$2)),((INT(CC$2/$L68)-INT((CC$2-1)/$L68))*($T68*(1-$F68)+$S68*(1-$G68))*((1+Inputs!$D$7)^CC$2))),((Inputs!$D$8^((1-_xlfn.WEIBULL.DIST(CC$2,$M68,$L68,FALSE))/_xlfn.WEIBULL.DIST(CC$2,$M68,$L68,FALSE))*($T68*(1-$F68)+$S68*(1-$G68))*((1+Inputs!$D$7)^CC$2))))))))</f>
        <v>0</v>
      </c>
      <c r="CD68" s="88">
        <f>MAX(AN68,($E68*IF(CD$2&gt;Inputs!$D$5,0,IF(CD$2&gt;VLOOKUP($H68,Lists!$P$3:$Q$7,2),IF($N68=Lists!$K$3,IF($L68&lt;1,(($U68/$L68)*((1+Inputs!$D$7)^CD$2)),((INT(CD$2/$L68)-INT((CD$2-1)/$L68))*$U68*((1+Inputs!$D$7)^CD$2))),(Inputs!$D$8^((1-_xlfn.WEIBULL.DIST(CD$2,$M68,$L68,FALSE))/_xlfn.WEIBULL.DIST(CD$2,$M68,$L68,FALSE))*$U68*((1+Inputs!$D$7)^CD$2))),IF($N68=Lists!$K$3,IF($L68&lt;1,((($T68*(1-$F68)+$S68*(1-$G68))/$L68)*((1+Inputs!$D$7)^CD$2)),((INT(CD$2/$L68)-INT((CD$2-1)/$L68))*($T68*(1-$F68)+$S68*(1-$G68))*((1+Inputs!$D$7)^CD$2))),((Inputs!$D$8^((1-_xlfn.WEIBULL.DIST(CD$2,$M68,$L68,FALSE))/_xlfn.WEIBULL.DIST(CD$2,$M68,$L68,FALSE))*($T68*(1-$F68)+$S68*(1-$G68))*((1+Inputs!$D$7)^CD$2))))))))</f>
        <v>0</v>
      </c>
      <c r="CE68" s="88">
        <f>MAX(AO68,($E68*IF(CE$2&gt;Inputs!$D$5,0,IF(CE$2&gt;VLOOKUP($H68,Lists!$P$3:$Q$7,2),IF($N68=Lists!$K$3,IF($L68&lt;1,(($U68/$L68)*((1+Inputs!$D$7)^CE$2)),((INT(CE$2/$L68)-INT((CE$2-1)/$L68))*$U68*((1+Inputs!$D$7)^CE$2))),(Inputs!$D$8^((1-_xlfn.WEIBULL.DIST(CE$2,$M68,$L68,FALSE))/_xlfn.WEIBULL.DIST(CE$2,$M68,$L68,FALSE))*$U68*((1+Inputs!$D$7)^CE$2))),IF($N68=Lists!$K$3,IF($L68&lt;1,((($T68*(1-$F68)+$S68*(1-$G68))/$L68)*((1+Inputs!$D$7)^CE$2)),((INT(CE$2/$L68)-INT((CE$2-1)/$L68))*($T68*(1-$F68)+$S68*(1-$G68))*((1+Inputs!$D$7)^CE$2))),((Inputs!$D$8^((1-_xlfn.WEIBULL.DIST(CE$2,$M68,$L68,FALSE))/_xlfn.WEIBULL.DIST(CE$2,$M68,$L68,FALSE))*($T68*(1-$F68)+$S68*(1-$G68))*((1+Inputs!$D$7)^CE$2))))))))</f>
        <v>13.393978174668016</v>
      </c>
      <c r="CF68" s="88">
        <f>MAX(AP68,($E68*IF(CF$2&gt;Inputs!$D$5,0,IF(CF$2&gt;VLOOKUP($H68,Lists!$P$3:$Q$7,2),IF($N68=Lists!$K$3,IF($L68&lt;1,(($U68/$L68)*((1+Inputs!$D$7)^CF$2)),((INT(CF$2/$L68)-INT((CF$2-1)/$L68))*$U68*((1+Inputs!$D$7)^CF$2))),(Inputs!$D$8^((1-_xlfn.WEIBULL.DIST(CF$2,$M68,$L68,FALSE))/_xlfn.WEIBULL.DIST(CF$2,$M68,$L68,FALSE))*$U68*((1+Inputs!$D$7)^CF$2))),IF($N68=Lists!$K$3,IF($L68&lt;1,((($T68*(1-$F68)+$S68*(1-$G68))/$L68)*((1+Inputs!$D$7)^CF$2)),((INT(CF$2/$L68)-INT((CF$2-1)/$L68))*($T68*(1-$F68)+$S68*(1-$G68))*((1+Inputs!$D$7)^CF$2))),((Inputs!$D$8^((1-_xlfn.WEIBULL.DIST(CF$2,$M68,$L68,FALSE))/_xlfn.WEIBULL.DIST(CF$2,$M68,$L68,FALSE))*($T68*(1-$F68)+$S68*(1-$G68))*((1+Inputs!$D$7)^CF$2))))))))</f>
        <v>0</v>
      </c>
      <c r="CG68" s="88">
        <f>MAX(AQ68,($E68*IF(CG$2&gt;Inputs!$D$5,0,IF(CG$2&gt;VLOOKUP($H68,Lists!$P$3:$Q$7,2),IF($N68=Lists!$K$3,IF($L68&lt;1,(($U68/$L68)*((1+Inputs!$D$7)^CG$2)),((INT(CG$2/$L68)-INT((CG$2-1)/$L68))*$U68*((1+Inputs!$D$7)^CG$2))),(Inputs!$D$8^((1-_xlfn.WEIBULL.DIST(CG$2,$M68,$L68,FALSE))/_xlfn.WEIBULL.DIST(CG$2,$M68,$L68,FALSE))*$U68*((1+Inputs!$D$7)^CG$2))),IF($N68=Lists!$K$3,IF($L68&lt;1,((($T68*(1-$F68)+$S68*(1-$G68))/$L68)*((1+Inputs!$D$7)^CG$2)),((INT(CG$2/$L68)-INT((CG$2-1)/$L68))*($T68*(1-$F68)+$S68*(1-$G68))*((1+Inputs!$D$7)^CG$2))),((Inputs!$D$8^((1-_xlfn.WEIBULL.DIST(CG$2,$M68,$L68,FALSE))/_xlfn.WEIBULL.DIST(CG$2,$M68,$L68,FALSE))*($T68*(1-$F68)+$S68*(1-$G68))*((1+Inputs!$D$7)^CG$2))))))))</f>
        <v>0</v>
      </c>
      <c r="CH68" s="88">
        <f>MAX(AR68,($E68*IF(CH$2&gt;Inputs!$D$5,0,IF(CH$2&gt;VLOOKUP($H68,Lists!$P$3:$Q$7,2),IF($N68=Lists!$K$3,IF($L68&lt;1,(($U68/$L68)*((1+Inputs!$D$7)^CH$2)),((INT(CH$2/$L68)-INT((CH$2-1)/$L68))*$U68*((1+Inputs!$D$7)^CH$2))),(Inputs!$D$8^((1-_xlfn.WEIBULL.DIST(CH$2,$M68,$L68,FALSE))/_xlfn.WEIBULL.DIST(CH$2,$M68,$L68,FALSE))*$U68*((1+Inputs!$D$7)^CH$2))),IF($N68=Lists!$K$3,IF($L68&lt;1,((($T68*(1-$F68)+$S68*(1-$G68))/$L68)*((1+Inputs!$D$7)^CH$2)),((INT(CH$2/$L68)-INT((CH$2-1)/$L68))*($T68*(1-$F68)+$S68*(1-$G68))*((1+Inputs!$D$7)^CH$2))),((Inputs!$D$8^((1-_xlfn.WEIBULL.DIST(CH$2,$M68,$L68,FALSE))/_xlfn.WEIBULL.DIST(CH$2,$M68,$L68,FALSE))*($T68*(1-$F68)+$S68*(1-$G68))*((1+Inputs!$D$7)^CH$2))))))))</f>
        <v>0</v>
      </c>
      <c r="CI68" s="88">
        <f>MAX(AS68,($E68*IF(CI$2&gt;Inputs!$D$5,0,IF(CI$2&gt;VLOOKUP($H68,Lists!$P$3:$Q$7,2),IF($N68=Lists!$K$3,IF($L68&lt;1,(($U68/$L68)*((1+Inputs!$D$7)^CI$2)),((INT(CI$2/$L68)-INT((CI$2-1)/$L68))*$U68*((1+Inputs!$D$7)^CI$2))),(Inputs!$D$8^((1-_xlfn.WEIBULL.DIST(CI$2,$M68,$L68,FALSE))/_xlfn.WEIBULL.DIST(CI$2,$M68,$L68,FALSE))*$U68*((1+Inputs!$D$7)^CI$2))),IF($N68=Lists!$K$3,IF($L68&lt;1,((($T68*(1-$F68)+$S68*(1-$G68))/$L68)*((1+Inputs!$D$7)^CI$2)),((INT(CI$2/$L68)-INT((CI$2-1)/$L68))*($T68*(1-$F68)+$S68*(1-$G68))*((1+Inputs!$D$7)^CI$2))),((Inputs!$D$8^((1-_xlfn.WEIBULL.DIST(CI$2,$M68,$L68,FALSE))/_xlfn.WEIBULL.DIST(CI$2,$M68,$L68,FALSE))*($T68*(1-$F68)+$S68*(1-$G68))*((1+Inputs!$D$7)^CI$2))))))))</f>
        <v>0</v>
      </c>
      <c r="CJ68" s="88">
        <f>MAX(AT68,($E68*IF(CJ$2&gt;Inputs!$D$5,0,IF(CJ$2&gt;VLOOKUP($H68,Lists!$P$3:$Q$7,2),IF($N68=Lists!$K$3,IF($L68&lt;1,(($U68/$L68)*((1+Inputs!$D$7)^CJ$2)),((INT(CJ$2/$L68)-INT((CJ$2-1)/$L68))*$U68*((1+Inputs!$D$7)^CJ$2))),(Inputs!$D$8^((1-_xlfn.WEIBULL.DIST(CJ$2,$M68,$L68,FALSE))/_xlfn.WEIBULL.DIST(CJ$2,$M68,$L68,FALSE))*$U68*((1+Inputs!$D$7)^CJ$2))),IF($N68=Lists!$K$3,IF($L68&lt;1,((($T68*(1-$F68)+$S68*(1-$G68))/$L68)*((1+Inputs!$D$7)^CJ$2)),((INT(CJ$2/$L68)-INT((CJ$2-1)/$L68))*($T68*(1-$F68)+$S68*(1-$G68))*((1+Inputs!$D$7)^CJ$2))),((Inputs!$D$8^((1-_xlfn.WEIBULL.DIST(CJ$2,$M68,$L68,FALSE))/_xlfn.WEIBULL.DIST(CJ$2,$M68,$L68,FALSE))*($T68*(1-$F68)+$S68*(1-$G68))*((1+Inputs!$D$7)^CJ$2))))))))</f>
        <v>14.788034181130737</v>
      </c>
      <c r="CK68" s="88">
        <f>MAX(AU68,($E68*IF(CK$2&gt;Inputs!$D$5,0,IF(CK$2&gt;VLOOKUP($H68,Lists!$P$3:$Q$7,2),IF($N68=Lists!$K$3,IF($L68&lt;1,(($U68/$L68)*((1+Inputs!$D$7)^CK$2)),((INT(CK$2/$L68)-INT((CK$2-1)/$L68))*$U68*((1+Inputs!$D$7)^CK$2))),(Inputs!$D$8^((1-_xlfn.WEIBULL.DIST(CK$2,$M68,$L68,FALSE))/_xlfn.WEIBULL.DIST(CK$2,$M68,$L68,FALSE))*$U68*((1+Inputs!$D$7)^CK$2))),IF($N68=Lists!$K$3,IF($L68&lt;1,((($T68*(1-$F68)+$S68*(1-$G68))/$L68)*((1+Inputs!$D$7)^CK$2)),((INT(CK$2/$L68)-INT((CK$2-1)/$L68))*($T68*(1-$F68)+$S68*(1-$G68))*((1+Inputs!$D$7)^CK$2))),((Inputs!$D$8^((1-_xlfn.WEIBULL.DIST(CK$2,$M68,$L68,FALSE))/_xlfn.WEIBULL.DIST(CK$2,$M68,$L68,FALSE))*($T68*(1-$F68)+$S68*(1-$G68))*((1+Inputs!$D$7)^CK$2))))))))</f>
        <v>0</v>
      </c>
      <c r="CL68" s="88">
        <f>MAX(AV68,($E68*IF(CL$2&gt;Inputs!$D$5,0,IF(CL$2&gt;VLOOKUP($H68,Lists!$P$3:$Q$7,2),IF($N68=Lists!$K$3,IF($L68&lt;1,(($U68/$L68)*((1+Inputs!$D$7)^CL$2)),((INT(CL$2/$L68)-INT((CL$2-1)/$L68))*$U68*((1+Inputs!$D$7)^CL$2))),(Inputs!$D$8^((1-_xlfn.WEIBULL.DIST(CL$2,$M68,$L68,FALSE))/_xlfn.WEIBULL.DIST(CL$2,$M68,$L68,FALSE))*$U68*((1+Inputs!$D$7)^CL$2))),IF($N68=Lists!$K$3,IF($L68&lt;1,((($T68*(1-$F68)+$S68*(1-$G68))/$L68)*((1+Inputs!$D$7)^CL$2)),((INT(CL$2/$L68)-INT((CL$2-1)/$L68))*($T68*(1-$F68)+$S68*(1-$G68))*((1+Inputs!$D$7)^CL$2))),((Inputs!$D$8^((1-_xlfn.WEIBULL.DIST(CL$2,$M68,$L68,FALSE))/_xlfn.WEIBULL.DIST(CL$2,$M68,$L68,FALSE))*($T68*(1-$F68)+$S68*(1-$G68))*((1+Inputs!$D$7)^CL$2))))))))</f>
        <v>0</v>
      </c>
      <c r="CM68" s="88">
        <f>MAX(AW68,($E68*IF(CM$2&gt;Inputs!$D$5,0,IF(CM$2&gt;VLOOKUP($H68,Lists!$P$3:$Q$7,2),IF($N68=Lists!$K$3,IF($L68&lt;1,(($U68/$L68)*((1+Inputs!$D$7)^CM$2)),((INT(CM$2/$L68)-INT((CM$2-1)/$L68))*$U68*((1+Inputs!$D$7)^CM$2))),(Inputs!$D$8^((1-_xlfn.WEIBULL.DIST(CM$2,$M68,$L68,FALSE))/_xlfn.WEIBULL.DIST(CM$2,$M68,$L68,FALSE))*$U68*((1+Inputs!$D$7)^CM$2))),IF($N68=Lists!$K$3,IF($L68&lt;1,((($T68*(1-$F68)+$S68*(1-$G68))/$L68)*((1+Inputs!$D$7)^CM$2)),((INT(CM$2/$L68)-INT((CM$2-1)/$L68))*($T68*(1-$F68)+$S68*(1-$G68))*((1+Inputs!$D$7)^CM$2))),((Inputs!$D$8^((1-_xlfn.WEIBULL.DIST(CM$2,$M68,$L68,FALSE))/_xlfn.WEIBULL.DIST(CM$2,$M68,$L68,FALSE))*($T68*(1-$F68)+$S68*(1-$G68))*((1+Inputs!$D$7)^CM$2))))))))</f>
        <v>0</v>
      </c>
      <c r="CN68" s="88">
        <f>MAX(AX68,($E68*IF(CN$2&gt;Inputs!$D$5,0,IF(CN$2&gt;VLOOKUP($H68,Lists!$P$3:$Q$7,2),IF($N68=Lists!$K$3,IF($L68&lt;1,(($U68/$L68)*((1+Inputs!$D$7)^CN$2)),((INT(CN$2/$L68)-INT((CN$2-1)/$L68))*$U68*((1+Inputs!$D$7)^CN$2))),(Inputs!$D$8^((1-_xlfn.WEIBULL.DIST(CN$2,$M68,$L68,FALSE))/_xlfn.WEIBULL.DIST(CN$2,$M68,$L68,FALSE))*$U68*((1+Inputs!$D$7)^CN$2))),IF($N68=Lists!$K$3,IF($L68&lt;1,((($T68*(1-$F68)+$S68*(1-$G68))/$L68)*((1+Inputs!$D$7)^CN$2)),((INT(CN$2/$L68)-INT((CN$2-1)/$L68))*($T68*(1-$F68)+$S68*(1-$G68))*((1+Inputs!$D$7)^CN$2))),((Inputs!$D$8^((1-_xlfn.WEIBULL.DIST(CN$2,$M68,$L68,FALSE))/_xlfn.WEIBULL.DIST(CN$2,$M68,$L68,FALSE))*($T68*(1-$F68)+$S68*(1-$G68))*((1+Inputs!$D$7)^CN$2))))))))</f>
        <v>0</v>
      </c>
      <c r="CO68" s="88">
        <f>MAX(AY68,($E68*IF(CO$2&gt;Inputs!$D$5,0,IF(CO$2&gt;VLOOKUP($H68,Lists!$P$3:$Q$7,2),IF($N68=Lists!$K$3,IF($L68&lt;1,(($U68/$L68)*((1+Inputs!$D$7)^CO$2)),((INT(CO$2/$L68)-INT((CO$2-1)/$L68))*$U68*((1+Inputs!$D$7)^CO$2))),(Inputs!$D$8^((1-_xlfn.WEIBULL.DIST(CO$2,$M68,$L68,FALSE))/_xlfn.WEIBULL.DIST(CO$2,$M68,$L68,FALSE))*$U68*((1+Inputs!$D$7)^CO$2))),IF($N68=Lists!$K$3,IF($L68&lt;1,((($T68*(1-$F68)+$S68*(1-$G68))/$L68)*((1+Inputs!$D$7)^CO$2)),((INT(CO$2/$L68)-INT((CO$2-1)/$L68))*($T68*(1-$F68)+$S68*(1-$G68))*((1+Inputs!$D$7)^CO$2))),((Inputs!$D$8^((1-_xlfn.WEIBULL.DIST(CO$2,$M68,$L68,FALSE))/_xlfn.WEIBULL.DIST(CO$2,$M68,$L68,FALSE))*($T68*(1-$F68)+$S68*(1-$G68))*((1+Inputs!$D$7)^CO$2))))))))</f>
        <v>16.327184656451877</v>
      </c>
      <c r="CP68" s="88">
        <f>MAX(AZ68,($E68*IF(CP$2&gt;Inputs!$D$5,0,IF(CP$2&gt;VLOOKUP($H68,Lists!$P$3:$Q$7,2),IF($N68=Lists!$K$3,IF($L68&lt;1,(($U68/$L68)*((1+Inputs!$D$7)^CP$2)),((INT(CP$2/$L68)-INT((CP$2-1)/$L68))*$U68*((1+Inputs!$D$7)^CP$2))),(Inputs!$D$8^((1-_xlfn.WEIBULL.DIST(CP$2,$M68,$L68,FALSE))/_xlfn.WEIBULL.DIST(CP$2,$M68,$L68,FALSE))*$U68*((1+Inputs!$D$7)^CP$2))),IF($N68=Lists!$K$3,IF($L68&lt;1,((($T68*(1-$F68)+$S68*(1-$G68))/$L68)*((1+Inputs!$D$7)^CP$2)),((INT(CP$2/$L68)-INT((CP$2-1)/$L68))*($T68*(1-$F68)+$S68*(1-$G68))*((1+Inputs!$D$7)^CP$2))),((Inputs!$D$8^((1-_xlfn.WEIBULL.DIST(CP$2,$M68,$L68,FALSE))/_xlfn.WEIBULL.DIST(CP$2,$M68,$L68,FALSE))*($T68*(1-$F68)+$S68*(1-$G68))*((1+Inputs!$D$7)^CP$2))))))))</f>
        <v>0</v>
      </c>
      <c r="CQ68" s="88">
        <f>MAX(BA68,($E68*IF(CQ$2&gt;Inputs!$D$5,0,IF(CQ$2&gt;VLOOKUP($H68,Lists!$P$3:$Q$7,2),IF($N68=Lists!$K$3,IF($L68&lt;1,(($U68/$L68)*((1+Inputs!$D$7)^CQ$2)),((INT(CQ$2/$L68)-INT((CQ$2-1)/$L68))*$U68*((1+Inputs!$D$7)^CQ$2))),(Inputs!$D$8^((1-_xlfn.WEIBULL.DIST(CQ$2,$M68,$L68,FALSE))/_xlfn.WEIBULL.DIST(CQ$2,$M68,$L68,FALSE))*$U68*((1+Inputs!$D$7)^CQ$2))),IF($N68=Lists!$K$3,IF($L68&lt;1,((($T68*(1-$F68)+$S68*(1-$G68))/$L68)*((1+Inputs!$D$7)^CQ$2)),((INT(CQ$2/$L68)-INT((CQ$2-1)/$L68))*($T68*(1-$F68)+$S68*(1-$G68))*((1+Inputs!$D$7)^CQ$2))),((Inputs!$D$8^((1-_xlfn.WEIBULL.DIST(CQ$2,$M68,$L68,FALSE))/_xlfn.WEIBULL.DIST(CQ$2,$M68,$L68,FALSE))*($T68*(1-$F68)+$S68*(1-$G68))*((1+Inputs!$D$7)^CQ$2))))))))</f>
        <v>0</v>
      </c>
      <c r="CR68" s="88">
        <f>MAX(BB68,($E68*IF(CR$2&gt;Inputs!$D$5,0,IF(CR$2&gt;VLOOKUP($H68,Lists!$P$3:$Q$7,2),IF($N68=Lists!$K$3,IF($L68&lt;1,(($U68/$L68)*((1+Inputs!$D$7)^CR$2)),((INT(CR$2/$L68)-INT((CR$2-1)/$L68))*$U68*((1+Inputs!$D$7)^CR$2))),(Inputs!$D$8^((1-_xlfn.WEIBULL.DIST(CR$2,$M68,$L68,FALSE))/_xlfn.WEIBULL.DIST(CR$2,$M68,$L68,FALSE))*$U68*((1+Inputs!$D$7)^CR$2))),IF($N68=Lists!$K$3,IF($L68&lt;1,((($T68*(1-$F68)+$S68*(1-$G68))/$L68)*((1+Inputs!$D$7)^CR$2)),((INT(CR$2/$L68)-INT((CR$2-1)/$L68))*($T68*(1-$F68)+$S68*(1-$G68))*((1+Inputs!$D$7)^CR$2))),((Inputs!$D$8^((1-_xlfn.WEIBULL.DIST(CR$2,$M68,$L68,FALSE))/_xlfn.WEIBULL.DIST(CR$2,$M68,$L68,FALSE))*($T68*(1-$F68)+$S68*(1-$G68))*((1+Inputs!$D$7)^CR$2))))))))</f>
        <v>0</v>
      </c>
      <c r="CS68" s="88">
        <f>MAX(BC68,($E68*IF(CS$2&gt;Inputs!$D$5,0,IF(CS$2&gt;VLOOKUP($H68,Lists!$P$3:$Q$7,2),IF($N68=Lists!$K$3,IF($L68&lt;1,(($U68/$L68)*((1+Inputs!$D$7)^CS$2)),((INT(CS$2/$L68)-INT((CS$2-1)/$L68))*$U68*((1+Inputs!$D$7)^CS$2))),(Inputs!$D$8^((1-_xlfn.WEIBULL.DIST(CS$2,$M68,$L68,FALSE))/_xlfn.WEIBULL.DIST(CS$2,$M68,$L68,FALSE))*$U68*((1+Inputs!$D$7)^CS$2))),IF($N68=Lists!$K$3,IF($L68&lt;1,((($T68*(1-$F68)+$S68*(1-$G68))/$L68)*((1+Inputs!$D$7)^CS$2)),((INT(CS$2/$L68)-INT((CS$2-1)/$L68))*($T68*(1-$F68)+$S68*(1-$G68))*((1+Inputs!$D$7)^CS$2))),((Inputs!$D$8^((1-_xlfn.WEIBULL.DIST(CS$2,$M68,$L68,FALSE))/_xlfn.WEIBULL.DIST(CS$2,$M68,$L68,FALSE))*($T68*(1-$F68)+$S68*(1-$G68))*((1+Inputs!$D$7)^CS$2))))))))</f>
        <v>0</v>
      </c>
      <c r="CT68" s="88">
        <f>MAX(BD68,($E68*IF(CT$2&gt;Inputs!$D$5,0,IF(CT$2&gt;VLOOKUP($H68,Lists!$P$3:$Q$7,2),IF($N68=Lists!$K$3,IF($L68&lt;1,(($U68/$L68)*((1+Inputs!$D$7)^CT$2)),((INT(CT$2/$L68)-INT((CT$2-1)/$L68))*$U68*((1+Inputs!$D$7)^CT$2))),(Inputs!$D$8^((1-_xlfn.WEIBULL.DIST(CT$2,$M68,$L68,FALSE))/_xlfn.WEIBULL.DIST(CT$2,$M68,$L68,FALSE))*$U68*((1+Inputs!$D$7)^CT$2))),IF($N68=Lists!$K$3,IF($L68&lt;1,((($T68*(1-$F68)+$S68*(1-$G68))/$L68)*((1+Inputs!$D$7)^CT$2)),((INT(CT$2/$L68)-INT((CT$2-1)/$L68))*($T68*(1-$F68)+$S68*(1-$G68))*((1+Inputs!$D$7)^CT$2))),((Inputs!$D$8^((1-_xlfn.WEIBULL.DIST(CT$2,$M68,$L68,FALSE))/_xlfn.WEIBULL.DIST(CT$2,$M68,$L68,FALSE))*($T68*(1-$F68)+$S68*(1-$G68))*((1+Inputs!$D$7)^CT$2))))))))</f>
        <v>0</v>
      </c>
      <c r="CU68" s="88">
        <f>MAX(BE68,($E68*IF(CU$2&gt;Inputs!$D$5,0,IF(CU$2&gt;VLOOKUP($H68,Lists!$P$3:$Q$7,2),IF($N68=Lists!$K$3,IF($L68&lt;1,(($U68/$L68)*((1+Inputs!$D$7)^CU$2)),((INT(CU$2/$L68)-INT((CU$2-1)/$L68))*$U68*((1+Inputs!$D$7)^CU$2))),(Inputs!$D$8^((1-_xlfn.WEIBULL.DIST(CU$2,$M68,$L68,FALSE))/_xlfn.WEIBULL.DIST(CU$2,$M68,$L68,FALSE))*$U68*((1+Inputs!$D$7)^CU$2))),IF($N68=Lists!$K$3,IF($L68&lt;1,((($T68*(1-$F68)+$S68*(1-$G68))/$L68)*((1+Inputs!$D$7)^CU$2)),((INT(CU$2/$L68)-INT((CU$2-1)/$L68))*($T68*(1-$F68)+$S68*(1-$G68))*((1+Inputs!$D$7)^CU$2))),((Inputs!$D$8^((1-_xlfn.WEIBULL.DIST(CU$2,$M68,$L68,FALSE))/_xlfn.WEIBULL.DIST(CU$2,$M68,$L68,FALSE))*($T68*(1-$F68)+$S68*(1-$G68))*((1+Inputs!$D$7)^CU$2))))))))</f>
        <v>0</v>
      </c>
      <c r="CV68" s="88">
        <f>MAX(BF68,($E68*IF(CV$2&gt;Inputs!$D$5,0,IF(CV$2&gt;VLOOKUP($H68,Lists!$P$3:$Q$7,2),IF($N68=Lists!$K$3,IF($L68&lt;1,(($U68/$L68)*((1+Inputs!$D$7)^CV$2)),((INT(CV$2/$L68)-INT((CV$2-1)/$L68))*$U68*((1+Inputs!$D$7)^CV$2))),(Inputs!$D$8^((1-_xlfn.WEIBULL.DIST(CV$2,$M68,$L68,FALSE))/_xlfn.WEIBULL.DIST(CV$2,$M68,$L68,FALSE))*$U68*((1+Inputs!$D$7)^CV$2))),IF($N68=Lists!$K$3,IF($L68&lt;1,((($T68*(1-$F68)+$S68*(1-$G68))/$L68)*((1+Inputs!$D$7)^CV$2)),((INT(CV$2/$L68)-INT((CV$2-1)/$L68))*($T68*(1-$F68)+$S68*(1-$G68))*((1+Inputs!$D$7)^CV$2))),((Inputs!$D$8^((1-_xlfn.WEIBULL.DIST(CV$2,$M68,$L68,FALSE))/_xlfn.WEIBULL.DIST(CV$2,$M68,$L68,FALSE))*($T68*(1-$F68)+$S68*(1-$G68))*((1+Inputs!$D$7)^CV$2))))))))</f>
        <v>0</v>
      </c>
      <c r="CW68" s="88">
        <f>MAX(BG68,($E68*IF(CW$2&gt;Inputs!$D$5,0,IF(CW$2&gt;VLOOKUP($H68,Lists!$P$3:$Q$7,2),IF($N68=Lists!$K$3,IF($L68&lt;1,(($U68/$L68)*((1+Inputs!$D$7)^CW$2)),((INT(CW$2/$L68)-INT((CW$2-1)/$L68))*$U68*((1+Inputs!$D$7)^CW$2))),(Inputs!$D$8^((1-_xlfn.WEIBULL.DIST(CW$2,$M68,$L68,FALSE))/_xlfn.WEIBULL.DIST(CW$2,$M68,$L68,FALSE))*$U68*((1+Inputs!$D$7)^CW$2))),IF($N68=Lists!$K$3,IF($L68&lt;1,((($T68*(1-$F68)+$S68*(1-$G68))/$L68)*((1+Inputs!$D$7)^CW$2)),((INT(CW$2/$L68)-INT((CW$2-1)/$L68))*($T68*(1-$F68)+$S68*(1-$G68))*((1+Inputs!$D$7)^CW$2))),((Inputs!$D$8^((1-_xlfn.WEIBULL.DIST(CW$2,$M68,$L68,FALSE))/_xlfn.WEIBULL.DIST(CW$2,$M68,$L68,FALSE))*($T68*(1-$F68)+$S68*(1-$G68))*((1+Inputs!$D$7)^CW$2))))))))</f>
        <v>0</v>
      </c>
      <c r="CX68" s="88">
        <f>MAX(BH68,($E68*IF(CX$2&gt;Inputs!$D$5,0,IF(CX$2&gt;VLOOKUP($H68,Lists!$P$3:$Q$7,2),IF($N68=Lists!$K$3,IF($L68&lt;1,(($U68/$L68)*((1+Inputs!$D$7)^CX$2)),((INT(CX$2/$L68)-INT((CX$2-1)/$L68))*$U68*((1+Inputs!$D$7)^CX$2))),(Inputs!$D$8^((1-_xlfn.WEIBULL.DIST(CX$2,$M68,$L68,FALSE))/_xlfn.WEIBULL.DIST(CX$2,$M68,$L68,FALSE))*$U68*((1+Inputs!$D$7)^CX$2))),IF($N68=Lists!$K$3,IF($L68&lt;1,((($T68*(1-$F68)+$S68*(1-$G68))/$L68)*((1+Inputs!$D$7)^CX$2)),((INT(CX$2/$L68)-INT((CX$2-1)/$L68))*($T68*(1-$F68)+$S68*(1-$G68))*((1+Inputs!$D$7)^CX$2))),((Inputs!$D$8^((1-_xlfn.WEIBULL.DIST(CX$2,$M68,$L68,FALSE))/_xlfn.WEIBULL.DIST(CX$2,$M68,$L68,FALSE))*($T68*(1-$F68)+$S68*(1-$G68))*((1+Inputs!$D$7)^CX$2))))))))</f>
        <v>0</v>
      </c>
      <c r="CY68" s="88">
        <f>MAX(BI68,($E68*IF(CY$2&gt;Inputs!$D$5,0,IF(CY$2&gt;VLOOKUP($H68,Lists!$P$3:$Q$7,2),IF($N68=Lists!$K$3,IF($L68&lt;1,(($U68/$L68)*((1+Inputs!$D$7)^CY$2)),((INT(CY$2/$L68)-INT((CY$2-1)/$L68))*$U68*((1+Inputs!$D$7)^CY$2))),(Inputs!$D$8^((1-_xlfn.WEIBULL.DIST(CY$2,$M68,$L68,FALSE))/_xlfn.WEIBULL.DIST(CY$2,$M68,$L68,FALSE))*$U68*((1+Inputs!$D$7)^CY$2))),IF($N68=Lists!$K$3,IF($L68&lt;1,((($T68*(1-$F68)+$S68*(1-$G68))/$L68)*((1+Inputs!$D$7)^CY$2)),((INT(CY$2/$L68)-INT((CY$2-1)/$L68))*($T68*(1-$F68)+$S68*(1-$G68))*((1+Inputs!$D$7)^CY$2))),((Inputs!$D$8^((1-_xlfn.WEIBULL.DIST(CY$2,$M68,$L68,FALSE))/_xlfn.WEIBULL.DIST(CY$2,$M68,$L68,FALSE))*($T68*(1-$F68)+$S68*(1-$G68))*((1+Inputs!$D$7)^CY$2))))))))</f>
        <v>0</v>
      </c>
      <c r="CZ68" s="88">
        <f>MAX(BJ68,($E68*IF(CZ$2&gt;Inputs!$D$5,0,IF(CZ$2&gt;VLOOKUP($H68,Lists!$P$3:$Q$7,2),IF($N68=Lists!$K$3,IF($L68&lt;1,(($U68/$L68)*((1+Inputs!$D$7)^CZ$2)),((INT(CZ$2/$L68)-INT((CZ$2-1)/$L68))*$U68*((1+Inputs!$D$7)^CZ$2))),(Inputs!$D$8^((1-_xlfn.WEIBULL.DIST(CZ$2,$M68,$L68,FALSE))/_xlfn.WEIBULL.DIST(CZ$2,$M68,$L68,FALSE))*$U68*((1+Inputs!$D$7)^CZ$2))),IF($N68=Lists!$K$3,IF($L68&lt;1,((($T68*(1-$F68)+$S68*(1-$G68))/$L68)*((1+Inputs!$D$7)^CZ$2)),((INT(CZ$2/$L68)-INT((CZ$2-1)/$L68))*($T68*(1-$F68)+$S68*(1-$G68))*((1+Inputs!$D$7)^CZ$2))),((Inputs!$D$8^((1-_xlfn.WEIBULL.DIST(CZ$2,$M68,$L68,FALSE))/_xlfn.WEIBULL.DIST(CZ$2,$M68,$L68,FALSE))*($T68*(1-$F68)+$S68*(1-$G68))*((1+Inputs!$D$7)^CZ$2))))))))</f>
        <v>0</v>
      </c>
      <c r="DA68" s="88">
        <f>MAX(BK68,($E68*IF(DA$2&gt;Inputs!$D$5,0,IF(DA$2&gt;VLOOKUP($H68,Lists!$P$3:$Q$7,2),IF($N68=Lists!$K$3,IF($L68&lt;1,(($U68/$L68)*((1+Inputs!$D$7)^DA$2)),((INT(DA$2/$L68)-INT((DA$2-1)/$L68))*$U68*((1+Inputs!$D$7)^DA$2))),(Inputs!$D$8^((1-_xlfn.WEIBULL.DIST(DA$2,$M68,$L68,FALSE))/_xlfn.WEIBULL.DIST(DA$2,$M68,$L68,FALSE))*$U68*((1+Inputs!$D$7)^DA$2))),IF($N68=Lists!$K$3,IF($L68&lt;1,((($T68*(1-$F68)+$S68*(1-$G68))/$L68)*((1+Inputs!$D$7)^DA$2)),((INT(DA$2/$L68)-INT((DA$2-1)/$L68))*($T68*(1-$F68)+$S68*(1-$G68))*((1+Inputs!$D$7)^DA$2))),((Inputs!$D$8^((1-_xlfn.WEIBULL.DIST(DA$2,$M68,$L68,FALSE))/_xlfn.WEIBULL.DIST(DA$2,$M68,$L68,FALSE))*($T68*(1-$F68)+$S68*(1-$G68))*((1+Inputs!$D$7)^DA$2))))))))</f>
        <v>0</v>
      </c>
      <c r="DB68" s="88">
        <f>MAX(BL68,($E68*IF(DB$2&gt;Inputs!$D$5,0,IF(DB$2&gt;VLOOKUP($H68,Lists!$P$3:$Q$7,2),IF($N68=Lists!$K$3,IF($L68&lt;1,(($U68/$L68)*((1+Inputs!$D$7)^DB$2)),((INT(DB$2/$L68)-INT((DB$2-1)/$L68))*$U68*((1+Inputs!$D$7)^DB$2))),(Inputs!$D$8^((1-_xlfn.WEIBULL.DIST(DB$2,$M68,$L68,FALSE))/_xlfn.WEIBULL.DIST(DB$2,$M68,$L68,FALSE))*$U68*((1+Inputs!$D$7)^DB$2))),IF($N68=Lists!$K$3,IF($L68&lt;1,((($T68*(1-$F68)+$S68*(1-$G68))/$L68)*((1+Inputs!$D$7)^DB$2)),((INT(DB$2/$L68)-INT((DB$2-1)/$L68))*($T68*(1-$F68)+$S68*(1-$G68))*((1+Inputs!$D$7)^DB$2))),((Inputs!$D$8^((1-_xlfn.WEIBULL.DIST(DB$2,$M68,$L68,FALSE))/_xlfn.WEIBULL.DIST(DB$2,$M68,$L68,FALSE))*($T68*(1-$F68)+$S68*(1-$G68))*((1+Inputs!$D$7)^DB$2))))))))</f>
        <v>0</v>
      </c>
      <c r="DC68" s="88">
        <f>MAX(BM68,($E68*IF(DC$2&gt;Inputs!$D$5,0,IF(DC$2&gt;VLOOKUP($H68,Lists!$P$3:$Q$7,2),IF($N68=Lists!$K$3,IF($L68&lt;1,(($U68/$L68)*((1+Inputs!$D$7)^DC$2)),((INT(DC$2/$L68)-INT((DC$2-1)/$L68))*$U68*((1+Inputs!$D$7)^DC$2))),(Inputs!$D$8^((1-_xlfn.WEIBULL.DIST(DC$2,$M68,$L68,FALSE))/_xlfn.WEIBULL.DIST(DC$2,$M68,$L68,FALSE))*$U68*((1+Inputs!$D$7)^DC$2))),IF($N68=Lists!$K$3,IF($L68&lt;1,((($T68*(1-$F68)+$S68*(1-$G68))/$L68)*((1+Inputs!$D$7)^DC$2)),((INT(DC$2/$L68)-INT((DC$2-1)/$L68))*($T68*(1-$F68)+$S68*(1-$G68))*((1+Inputs!$D$7)^DC$2))),((Inputs!$D$8^((1-_xlfn.WEIBULL.DIST(DC$2,$M68,$L68,FALSE))/_xlfn.WEIBULL.DIST(DC$2,$M68,$L68,FALSE))*($T68*(1-$F68)+$S68*(1-$G68))*((1+Inputs!$D$7)^DC$2))))))))</f>
        <v>0</v>
      </c>
      <c r="DD68" s="88">
        <f>MAX(BN68,($E68*IF(DD$2&gt;Inputs!$D$5,0,IF(DD$2&gt;VLOOKUP($H68,Lists!$P$3:$Q$7,2),IF($N68=Lists!$K$3,IF($L68&lt;1,(($U68/$L68)*((1+Inputs!$D$7)^DD$2)),((INT(DD$2/$L68)-INT((DD$2-1)/$L68))*$U68*((1+Inputs!$D$7)^DD$2))),(Inputs!$D$8^((1-_xlfn.WEIBULL.DIST(DD$2,$M68,$L68,FALSE))/_xlfn.WEIBULL.DIST(DD$2,$M68,$L68,FALSE))*$U68*((1+Inputs!$D$7)^DD$2))),IF($N68=Lists!$K$3,IF($L68&lt;1,((($T68*(1-$F68)+$S68*(1-$G68))/$L68)*((1+Inputs!$D$7)^DD$2)),((INT(DD$2/$L68)-INT((DD$2-1)/$L68))*($T68*(1-$F68)+$S68*(1-$G68))*((1+Inputs!$D$7)^DD$2))),((Inputs!$D$8^((1-_xlfn.WEIBULL.DIST(DD$2,$M68,$L68,FALSE))/_xlfn.WEIBULL.DIST(DD$2,$M68,$L68,FALSE))*($T68*(1-$F68)+$S68*(1-$G68))*((1+Inputs!$D$7)^DD$2))))))))</f>
        <v>0</v>
      </c>
    </row>
    <row r="69" spans="1:108" s="1" customFormat="1" ht="16">
      <c r="A69" s="57" t="s">
        <v>136</v>
      </c>
      <c r="B69" s="13" t="s">
        <v>279</v>
      </c>
      <c r="C69" s="13" t="s">
        <v>90</v>
      </c>
      <c r="D69" s="13" t="s">
        <v>122</v>
      </c>
      <c r="E69" s="48">
        <v>1</v>
      </c>
      <c r="F69" s="48">
        <v>0</v>
      </c>
      <c r="G69" s="48">
        <v>0</v>
      </c>
      <c r="H69" s="105" t="s">
        <v>350</v>
      </c>
      <c r="I69" s="14"/>
      <c r="J69" s="14" t="s">
        <v>88</v>
      </c>
      <c r="K69" s="13">
        <f>VLOOKUP(J69,'Labor Rates'!$A$1:$F$16,2)</f>
        <v>19.903846153846153</v>
      </c>
      <c r="L69" s="15">
        <v>1</v>
      </c>
      <c r="M69" s="15">
        <v>1</v>
      </c>
      <c r="N69" s="13" t="s">
        <v>236</v>
      </c>
      <c r="O69" s="61">
        <v>2</v>
      </c>
      <c r="P69" s="15">
        <v>0.08</v>
      </c>
      <c r="Q69" s="15">
        <f t="shared" si="14"/>
        <v>0.16</v>
      </c>
      <c r="R69" s="4">
        <v>0</v>
      </c>
      <c r="S69" s="53">
        <f t="shared" si="15"/>
        <v>3.1846153846153844</v>
      </c>
      <c r="T69" s="53">
        <f t="shared" si="16"/>
        <v>0</v>
      </c>
      <c r="U69" s="54">
        <f t="shared" si="17"/>
        <v>3.1846153846153844</v>
      </c>
      <c r="V69" s="65"/>
      <c r="W69" s="58"/>
      <c r="X69" s="64">
        <f t="shared" si="18"/>
        <v>3.9462666610334516</v>
      </c>
      <c r="Y69" s="64">
        <f>NPV(Inputs!$D$6,AA69:BN69)</f>
        <v>45.328165039183645</v>
      </c>
      <c r="Z69" s="67">
        <f t="shared" si="19"/>
        <v>2.1378975585585089E-5</v>
      </c>
      <c r="AA69" s="88">
        <f>$E69*IF(AA$2&gt;Inputs!$D$5,0,IF(AA$2&gt;VLOOKUP($H69,Lists!$P$3:$Q$7,2),IF($N69=Lists!$K$3,IF($L69&lt;1,(($U69/$L69)*((1+Inputs!$D$7)^AA$2)),((INT(AA$2/$L69)-INT((AA$2-1)/$L69))*$U69*((1+Inputs!$D$7)^AA$2))),(_xlfn.WEIBULL.DIST(AA$2,$M69,$L69,FALSE)*$U69*((1+Inputs!$D$7)^AA$2))),IF($N69=Lists!$K$3,IF($L69&lt;1,((($T69*(1-$F69)+$S69*(1-$G69))/$L69)*((1+Inputs!$D$7)^AA$2)),((INT(AA$2/$L69)-INT((AA$2-1)/$L69))*($T69*(1-$F69)+$S69*(1-$G69))*((1+Inputs!$D$7)^AA$2))),((_xlfn.WEIBULL.DIST(AA$2,$M69,$L69,FALSE)*($T69*(1-$F69)+$S69*(1-$G69))*((1+Inputs!$D$7)^AA$2))))))</f>
        <v>3.2483076923076921</v>
      </c>
      <c r="AB69" s="88">
        <f>$E69*IF(AB$2&gt;Inputs!$D$5,0,IF(AB$2&gt;VLOOKUP($H69,Lists!$P$3:$Q$7,2),IF($N69=Lists!$K$3,IF($L69&lt;1,(($U69/$L69)*((1+Inputs!$D$7)^AB$2)),((INT(AB$2/$L69)-INT((AB$2-1)/$L69))*$U69*((1+Inputs!$D$7)^AB$2))),(_xlfn.WEIBULL.DIST(AB$2,$M69,$L69,FALSE)*$U69*((1+Inputs!$D$7)^AB$2))),IF($N69=Lists!$K$3,IF($L69&lt;1,((($T69*(1-$F69)+$S69*(1-$G69))/$L69)*((1+Inputs!$D$7)^AB$2)),((INT(AB$2/$L69)-INT((AB$2-1)/$L69))*($T69*(1-$F69)+$S69*(1-$G69))*((1+Inputs!$D$7)^AB$2))),((_xlfn.WEIBULL.DIST(AB$2,$M69,$L69,FALSE)*($T69*(1-$F69)+$S69*(1-$G69))*((1+Inputs!$D$7)^AB$2))))))</f>
        <v>3.3132738461538458</v>
      </c>
      <c r="AC69" s="88">
        <f>$E69*IF(AC$2&gt;Inputs!$D$5,0,IF(AC$2&gt;VLOOKUP($H69,Lists!$P$3:$Q$7,2),IF($N69=Lists!$K$3,IF($L69&lt;1,(($U69/$L69)*((1+Inputs!$D$7)^AC$2)),((INT(AC$2/$L69)-INT((AC$2-1)/$L69))*$U69*((1+Inputs!$D$7)^AC$2))),(_xlfn.WEIBULL.DIST(AC$2,$M69,$L69,FALSE)*$U69*((1+Inputs!$D$7)^AC$2))),IF($N69=Lists!$K$3,IF($L69&lt;1,((($T69*(1-$F69)+$S69*(1-$G69))/$L69)*((1+Inputs!$D$7)^AC$2)),((INT(AC$2/$L69)-INT((AC$2-1)/$L69))*($T69*(1-$F69)+$S69*(1-$G69))*((1+Inputs!$D$7)^AC$2))),((_xlfn.WEIBULL.DIST(AC$2,$M69,$L69,FALSE)*($T69*(1-$F69)+$S69*(1-$G69))*((1+Inputs!$D$7)^AC$2))))))</f>
        <v>3.3795393230769228</v>
      </c>
      <c r="AD69" s="88">
        <f>$E69*IF(AD$2&gt;Inputs!$D$5,0,IF(AD$2&gt;VLOOKUP($H69,Lists!$P$3:$Q$7,2),IF($N69=Lists!$K$3,IF($L69&lt;1,(($U69/$L69)*((1+Inputs!$D$7)^AD$2)),((INT(AD$2/$L69)-INT((AD$2-1)/$L69))*$U69*((1+Inputs!$D$7)^AD$2))),(_xlfn.WEIBULL.DIST(AD$2,$M69,$L69,FALSE)*$U69*((1+Inputs!$D$7)^AD$2))),IF($N69=Lists!$K$3,IF($L69&lt;1,((($T69*(1-$F69)+$S69*(1-$G69))/$L69)*((1+Inputs!$D$7)^AD$2)),((INT(AD$2/$L69)-INT((AD$2-1)/$L69))*($T69*(1-$F69)+$S69*(1-$G69))*((1+Inputs!$D$7)^AD$2))),((_xlfn.WEIBULL.DIST(AD$2,$M69,$L69,FALSE)*($T69*(1-$F69)+$S69*(1-$G69))*((1+Inputs!$D$7)^AD$2))))))</f>
        <v>3.4471301095384614</v>
      </c>
      <c r="AE69" s="88">
        <f>$E69*IF(AE$2&gt;Inputs!$D$5,0,IF(AE$2&gt;VLOOKUP($H69,Lists!$P$3:$Q$7,2),IF($N69=Lists!$K$3,IF($L69&lt;1,(($U69/$L69)*((1+Inputs!$D$7)^AE$2)),((INT(AE$2/$L69)-INT((AE$2-1)/$L69))*$U69*((1+Inputs!$D$7)^AE$2))),(_xlfn.WEIBULL.DIST(AE$2,$M69,$L69,FALSE)*$U69*((1+Inputs!$D$7)^AE$2))),IF($N69=Lists!$K$3,IF($L69&lt;1,((($T69*(1-$F69)+$S69*(1-$G69))/$L69)*((1+Inputs!$D$7)^AE$2)),((INT(AE$2/$L69)-INT((AE$2-1)/$L69))*($T69*(1-$F69)+$S69*(1-$G69))*((1+Inputs!$D$7)^AE$2))),((_xlfn.WEIBULL.DIST(AE$2,$M69,$L69,FALSE)*($T69*(1-$F69)+$S69*(1-$G69))*((1+Inputs!$D$7)^AE$2))))))</f>
        <v>3.5160727117292305</v>
      </c>
      <c r="AF69" s="88">
        <f>$E69*IF(AF$2&gt;Inputs!$D$5,0,IF(AF$2&gt;VLOOKUP($H69,Lists!$P$3:$Q$7,2),IF($N69=Lists!$K$3,IF($L69&lt;1,(($U69/$L69)*((1+Inputs!$D$7)^AF$2)),((INT(AF$2/$L69)-INT((AF$2-1)/$L69))*$U69*((1+Inputs!$D$7)^AF$2))),(_xlfn.WEIBULL.DIST(AF$2,$M69,$L69,FALSE)*$U69*((1+Inputs!$D$7)^AF$2))),IF($N69=Lists!$K$3,IF($L69&lt;1,((($T69*(1-$F69)+$S69*(1-$G69))/$L69)*((1+Inputs!$D$7)^AF$2)),((INT(AF$2/$L69)-INT((AF$2-1)/$L69))*($T69*(1-$F69)+$S69*(1-$G69))*((1+Inputs!$D$7)^AF$2))),((_xlfn.WEIBULL.DIST(AF$2,$M69,$L69,FALSE)*($T69*(1-$F69)+$S69*(1-$G69))*((1+Inputs!$D$7)^AF$2))))))</f>
        <v>3.5863941659638154</v>
      </c>
      <c r="AG69" s="88">
        <f>$E69*IF(AG$2&gt;Inputs!$D$5,0,IF(AG$2&gt;VLOOKUP($H69,Lists!$P$3:$Q$7,2),IF($N69=Lists!$K$3,IF($L69&lt;1,(($U69/$L69)*((1+Inputs!$D$7)^AG$2)),((INT(AG$2/$L69)-INT((AG$2-1)/$L69))*$U69*((1+Inputs!$D$7)^AG$2))),(_xlfn.WEIBULL.DIST(AG$2,$M69,$L69,FALSE)*$U69*((1+Inputs!$D$7)^AG$2))),IF($N69=Lists!$K$3,IF($L69&lt;1,((($T69*(1-$F69)+$S69*(1-$G69))/$L69)*((1+Inputs!$D$7)^AG$2)),((INT(AG$2/$L69)-INT((AG$2-1)/$L69))*($T69*(1-$F69)+$S69*(1-$G69))*((1+Inputs!$D$7)^AG$2))),((_xlfn.WEIBULL.DIST(AG$2,$M69,$L69,FALSE)*($T69*(1-$F69)+$S69*(1-$G69))*((1+Inputs!$D$7)^AG$2))))))</f>
        <v>3.658122049283091</v>
      </c>
      <c r="AH69" s="88">
        <f>$E69*IF(AH$2&gt;Inputs!$D$5,0,IF(AH$2&gt;VLOOKUP($H69,Lists!$P$3:$Q$7,2),IF($N69=Lists!$K$3,IF($L69&lt;1,(($U69/$L69)*((1+Inputs!$D$7)^AH$2)),((INT(AH$2/$L69)-INT((AH$2-1)/$L69))*$U69*((1+Inputs!$D$7)^AH$2))),(_xlfn.WEIBULL.DIST(AH$2,$M69,$L69,FALSE)*$U69*((1+Inputs!$D$7)^AH$2))),IF($N69=Lists!$K$3,IF($L69&lt;1,((($T69*(1-$F69)+$S69*(1-$G69))/$L69)*((1+Inputs!$D$7)^AH$2)),((INT(AH$2/$L69)-INT((AH$2-1)/$L69))*($T69*(1-$F69)+$S69*(1-$G69))*((1+Inputs!$D$7)^AH$2))),((_xlfn.WEIBULL.DIST(AH$2,$M69,$L69,FALSE)*($T69*(1-$F69)+$S69*(1-$G69))*((1+Inputs!$D$7)^AH$2))))))</f>
        <v>3.7312844902687532</v>
      </c>
      <c r="AI69" s="88">
        <f>$E69*IF(AI$2&gt;Inputs!$D$5,0,IF(AI$2&gt;VLOOKUP($H69,Lists!$P$3:$Q$7,2),IF($N69=Lists!$K$3,IF($L69&lt;1,(($U69/$L69)*((1+Inputs!$D$7)^AI$2)),((INT(AI$2/$L69)-INT((AI$2-1)/$L69))*$U69*((1+Inputs!$D$7)^AI$2))),(_xlfn.WEIBULL.DIST(AI$2,$M69,$L69,FALSE)*$U69*((1+Inputs!$D$7)^AI$2))),IF($N69=Lists!$K$3,IF($L69&lt;1,((($T69*(1-$F69)+$S69*(1-$G69))/$L69)*((1+Inputs!$D$7)^AI$2)),((INT(AI$2/$L69)-INT((AI$2-1)/$L69))*($T69*(1-$F69)+$S69*(1-$G69))*((1+Inputs!$D$7)^AI$2))),((_xlfn.WEIBULL.DIST(AI$2,$M69,$L69,FALSE)*($T69*(1-$F69)+$S69*(1-$G69))*((1+Inputs!$D$7)^AI$2))))))</f>
        <v>3.805910180074128</v>
      </c>
      <c r="AJ69" s="88">
        <f>$E69*IF(AJ$2&gt;Inputs!$D$5,0,IF(AJ$2&gt;VLOOKUP($H69,Lists!$P$3:$Q$7,2),IF($N69=Lists!$K$3,IF($L69&lt;1,(($U69/$L69)*((1+Inputs!$D$7)^AJ$2)),((INT(AJ$2/$L69)-INT((AJ$2-1)/$L69))*$U69*((1+Inputs!$D$7)^AJ$2))),(_xlfn.WEIBULL.DIST(AJ$2,$M69,$L69,FALSE)*$U69*((1+Inputs!$D$7)^AJ$2))),IF($N69=Lists!$K$3,IF($L69&lt;1,((($T69*(1-$F69)+$S69*(1-$G69))/$L69)*((1+Inputs!$D$7)^AJ$2)),((INT(AJ$2/$L69)-INT((AJ$2-1)/$L69))*($T69*(1-$F69)+$S69*(1-$G69))*((1+Inputs!$D$7)^AJ$2))),((_xlfn.WEIBULL.DIST(AJ$2,$M69,$L69,FALSE)*($T69*(1-$F69)+$S69*(1-$G69))*((1+Inputs!$D$7)^AJ$2))))))</f>
        <v>3.8820283836756109</v>
      </c>
      <c r="AK69" s="88">
        <f>$E69*IF(AK$2&gt;Inputs!$D$5,0,IF(AK$2&gt;VLOOKUP($H69,Lists!$P$3:$Q$7,2),IF($N69=Lists!$K$3,IF($L69&lt;1,(($U69/$L69)*((1+Inputs!$D$7)^AK$2)),((INT(AK$2/$L69)-INT((AK$2-1)/$L69))*$U69*((1+Inputs!$D$7)^AK$2))),(_xlfn.WEIBULL.DIST(AK$2,$M69,$L69,FALSE)*$U69*((1+Inputs!$D$7)^AK$2))),IF($N69=Lists!$K$3,IF($L69&lt;1,((($T69*(1-$F69)+$S69*(1-$G69))/$L69)*((1+Inputs!$D$7)^AK$2)),((INT(AK$2/$L69)-INT((AK$2-1)/$L69))*($T69*(1-$F69)+$S69*(1-$G69))*((1+Inputs!$D$7)^AK$2))),((_xlfn.WEIBULL.DIST(AK$2,$M69,$L69,FALSE)*($T69*(1-$F69)+$S69*(1-$G69))*((1+Inputs!$D$7)^AK$2))))))</f>
        <v>3.9596689513491223</v>
      </c>
      <c r="AL69" s="88">
        <f>$E69*IF(AL$2&gt;Inputs!$D$5,0,IF(AL$2&gt;VLOOKUP($H69,Lists!$P$3:$Q$7,2),IF($N69=Lists!$K$3,IF($L69&lt;1,(($U69/$L69)*((1+Inputs!$D$7)^AL$2)),((INT(AL$2/$L69)-INT((AL$2-1)/$L69))*$U69*((1+Inputs!$D$7)^AL$2))),(_xlfn.WEIBULL.DIST(AL$2,$M69,$L69,FALSE)*$U69*((1+Inputs!$D$7)^AL$2))),IF($N69=Lists!$K$3,IF($L69&lt;1,((($T69*(1-$F69)+$S69*(1-$G69))/$L69)*((1+Inputs!$D$7)^AL$2)),((INT(AL$2/$L69)-INT((AL$2-1)/$L69))*($T69*(1-$F69)+$S69*(1-$G69))*((1+Inputs!$D$7)^AL$2))),((_xlfn.WEIBULL.DIST(AL$2,$M69,$L69,FALSE)*($T69*(1-$F69)+$S69*(1-$G69))*((1+Inputs!$D$7)^AL$2))))))</f>
        <v>4.0388623303761051</v>
      </c>
      <c r="AM69" s="88">
        <f>$E69*IF(AM$2&gt;Inputs!$D$5,0,IF(AM$2&gt;VLOOKUP($H69,Lists!$P$3:$Q$7,2),IF($N69=Lists!$K$3,IF($L69&lt;1,(($U69/$L69)*((1+Inputs!$D$7)^AM$2)),((INT(AM$2/$L69)-INT((AM$2-1)/$L69))*$U69*((1+Inputs!$D$7)^AM$2))),(_xlfn.WEIBULL.DIST(AM$2,$M69,$L69,FALSE)*$U69*((1+Inputs!$D$7)^AM$2))),IF($N69=Lists!$K$3,IF($L69&lt;1,((($T69*(1-$F69)+$S69*(1-$G69))/$L69)*((1+Inputs!$D$7)^AM$2)),((INT(AM$2/$L69)-INT((AM$2-1)/$L69))*($T69*(1-$F69)+$S69*(1-$G69))*((1+Inputs!$D$7)^AM$2))),((_xlfn.WEIBULL.DIST(AM$2,$M69,$L69,FALSE)*($T69*(1-$F69)+$S69*(1-$G69))*((1+Inputs!$D$7)^AM$2))))))</f>
        <v>4.1196395769836274</v>
      </c>
      <c r="AN69" s="88">
        <f>$E69*IF(AN$2&gt;Inputs!$D$5,0,IF(AN$2&gt;VLOOKUP($H69,Lists!$P$3:$Q$7,2),IF($N69=Lists!$K$3,IF($L69&lt;1,(($U69/$L69)*((1+Inputs!$D$7)^AN$2)),((INT(AN$2/$L69)-INT((AN$2-1)/$L69))*$U69*((1+Inputs!$D$7)^AN$2))),(_xlfn.WEIBULL.DIST(AN$2,$M69,$L69,FALSE)*$U69*((1+Inputs!$D$7)^AN$2))),IF($N69=Lists!$K$3,IF($L69&lt;1,((($T69*(1-$F69)+$S69*(1-$G69))/$L69)*((1+Inputs!$D$7)^AN$2)),((INT(AN$2/$L69)-INT((AN$2-1)/$L69))*($T69*(1-$F69)+$S69*(1-$G69))*((1+Inputs!$D$7)^AN$2))),((_xlfn.WEIBULL.DIST(AN$2,$M69,$L69,FALSE)*($T69*(1-$F69)+$S69*(1-$G69))*((1+Inputs!$D$7)^AN$2))))))</f>
        <v>4.2020323685232999</v>
      </c>
      <c r="AO69" s="88">
        <f>$E69*IF(AO$2&gt;Inputs!$D$5,0,IF(AO$2&gt;VLOOKUP($H69,Lists!$P$3:$Q$7,2),IF($N69=Lists!$K$3,IF($L69&lt;1,(($U69/$L69)*((1+Inputs!$D$7)^AO$2)),((INT(AO$2/$L69)-INT((AO$2-1)/$L69))*$U69*((1+Inputs!$D$7)^AO$2))),(_xlfn.WEIBULL.DIST(AO$2,$M69,$L69,FALSE)*$U69*((1+Inputs!$D$7)^AO$2))),IF($N69=Lists!$K$3,IF($L69&lt;1,((($T69*(1-$F69)+$S69*(1-$G69))/$L69)*((1+Inputs!$D$7)^AO$2)),((INT(AO$2/$L69)-INT((AO$2-1)/$L69))*($T69*(1-$F69)+$S69*(1-$G69))*((1+Inputs!$D$7)^AO$2))),((_xlfn.WEIBULL.DIST(AO$2,$M69,$L69,FALSE)*($T69*(1-$F69)+$S69*(1-$G69))*((1+Inputs!$D$7)^AO$2))))))</f>
        <v>4.2860730158937654</v>
      </c>
      <c r="AP69" s="88">
        <f>$E69*IF(AP$2&gt;Inputs!$D$5,0,IF(AP$2&gt;VLOOKUP($H69,Lists!$P$3:$Q$7,2),IF($N69=Lists!$K$3,IF($L69&lt;1,(($U69/$L69)*((1+Inputs!$D$7)^AP$2)),((INT(AP$2/$L69)-INT((AP$2-1)/$L69))*$U69*((1+Inputs!$D$7)^AP$2))),(_xlfn.WEIBULL.DIST(AP$2,$M69,$L69,FALSE)*$U69*((1+Inputs!$D$7)^AP$2))),IF($N69=Lists!$K$3,IF($L69&lt;1,((($T69*(1-$F69)+$S69*(1-$G69))/$L69)*((1+Inputs!$D$7)^AP$2)),((INT(AP$2/$L69)-INT((AP$2-1)/$L69))*($T69*(1-$F69)+$S69*(1-$G69))*((1+Inputs!$D$7)^AP$2))),((_xlfn.WEIBULL.DIST(AP$2,$M69,$L69,FALSE)*($T69*(1-$F69)+$S69*(1-$G69))*((1+Inputs!$D$7)^AP$2))))))</f>
        <v>4.3717944762116412</v>
      </c>
      <c r="AQ69" s="88">
        <f>$E69*IF(AQ$2&gt;Inputs!$D$5,0,IF(AQ$2&gt;VLOOKUP($H69,Lists!$P$3:$Q$7,2),IF($N69=Lists!$K$3,IF($L69&lt;1,(($U69/$L69)*((1+Inputs!$D$7)^AQ$2)),((INT(AQ$2/$L69)-INT((AQ$2-1)/$L69))*$U69*((1+Inputs!$D$7)^AQ$2))),(_xlfn.WEIBULL.DIST(AQ$2,$M69,$L69,FALSE)*$U69*((1+Inputs!$D$7)^AQ$2))),IF($N69=Lists!$K$3,IF($L69&lt;1,((($T69*(1-$F69)+$S69*(1-$G69))/$L69)*((1+Inputs!$D$7)^AQ$2)),((INT(AQ$2/$L69)-INT((AQ$2-1)/$L69))*($T69*(1-$F69)+$S69*(1-$G69))*((1+Inputs!$D$7)^AQ$2))),((_xlfn.WEIBULL.DIST(AQ$2,$M69,$L69,FALSE)*($T69*(1-$F69)+$S69*(1-$G69))*((1+Inputs!$D$7)^AQ$2))))))</f>
        <v>4.4592303657358743</v>
      </c>
      <c r="AR69" s="88">
        <f>$E69*IF(AR$2&gt;Inputs!$D$5,0,IF(AR$2&gt;VLOOKUP($H69,Lists!$P$3:$Q$7,2),IF($N69=Lists!$K$3,IF($L69&lt;1,(($U69/$L69)*((1+Inputs!$D$7)^AR$2)),((INT(AR$2/$L69)-INT((AR$2-1)/$L69))*$U69*((1+Inputs!$D$7)^AR$2))),(_xlfn.WEIBULL.DIST(AR$2,$M69,$L69,FALSE)*$U69*((1+Inputs!$D$7)^AR$2))),IF($N69=Lists!$K$3,IF($L69&lt;1,((($T69*(1-$F69)+$S69*(1-$G69))/$L69)*((1+Inputs!$D$7)^AR$2)),((INT(AR$2/$L69)-INT((AR$2-1)/$L69))*($T69*(1-$F69)+$S69*(1-$G69))*((1+Inputs!$D$7)^AR$2))),((_xlfn.WEIBULL.DIST(AR$2,$M69,$L69,FALSE)*($T69*(1-$F69)+$S69*(1-$G69))*((1+Inputs!$D$7)^AR$2))))))</f>
        <v>4.5484149730505914</v>
      </c>
      <c r="AS69" s="88">
        <f>$E69*IF(AS$2&gt;Inputs!$D$5,0,IF(AS$2&gt;VLOOKUP($H69,Lists!$P$3:$Q$7,2),IF($N69=Lists!$K$3,IF($L69&lt;1,(($U69/$L69)*((1+Inputs!$D$7)^AS$2)),((INT(AS$2/$L69)-INT((AS$2-1)/$L69))*$U69*((1+Inputs!$D$7)^AS$2))),(_xlfn.WEIBULL.DIST(AS$2,$M69,$L69,FALSE)*$U69*((1+Inputs!$D$7)^AS$2))),IF($N69=Lists!$K$3,IF($L69&lt;1,((($T69*(1-$F69)+$S69*(1-$G69))/$L69)*((1+Inputs!$D$7)^AS$2)),((INT(AS$2/$L69)-INT((AS$2-1)/$L69))*($T69*(1-$F69)+$S69*(1-$G69))*((1+Inputs!$D$7)^AS$2))),((_xlfn.WEIBULL.DIST(AS$2,$M69,$L69,FALSE)*($T69*(1-$F69)+$S69*(1-$G69))*((1+Inputs!$D$7)^AS$2))))))</f>
        <v>4.6393832725116031</v>
      </c>
      <c r="AT69" s="88">
        <f>$E69*IF(AT$2&gt;Inputs!$D$5,0,IF(AT$2&gt;VLOOKUP($H69,Lists!$P$3:$Q$7,2),IF($N69=Lists!$K$3,IF($L69&lt;1,(($U69/$L69)*((1+Inputs!$D$7)^AT$2)),((INT(AT$2/$L69)-INT((AT$2-1)/$L69))*$U69*((1+Inputs!$D$7)^AT$2))),(_xlfn.WEIBULL.DIST(AT$2,$M69,$L69,FALSE)*$U69*((1+Inputs!$D$7)^AT$2))),IF($N69=Lists!$K$3,IF($L69&lt;1,((($T69*(1-$F69)+$S69*(1-$G69))/$L69)*((1+Inputs!$D$7)^AT$2)),((INT(AT$2/$L69)-INT((AT$2-1)/$L69))*($T69*(1-$F69)+$S69*(1-$G69))*((1+Inputs!$D$7)^AT$2))),((_xlfn.WEIBULL.DIST(AT$2,$M69,$L69,FALSE)*($T69*(1-$F69)+$S69*(1-$G69))*((1+Inputs!$D$7)^AT$2))))))</f>
        <v>4.7321709379618353</v>
      </c>
      <c r="AU69" s="88">
        <f>$E69*IF(AU$2&gt;Inputs!$D$5,0,IF(AU$2&gt;VLOOKUP($H69,Lists!$P$3:$Q$7,2),IF($N69=Lists!$K$3,IF($L69&lt;1,(($U69/$L69)*((1+Inputs!$D$7)^AU$2)),((INT(AU$2/$L69)-INT((AU$2-1)/$L69))*$U69*((1+Inputs!$D$7)^AU$2))),(_xlfn.WEIBULL.DIST(AU$2,$M69,$L69,FALSE)*$U69*((1+Inputs!$D$7)^AU$2))),IF($N69=Lists!$K$3,IF($L69&lt;1,((($T69*(1-$F69)+$S69*(1-$G69))/$L69)*((1+Inputs!$D$7)^AU$2)),((INT(AU$2/$L69)-INT((AU$2-1)/$L69))*($T69*(1-$F69)+$S69*(1-$G69))*((1+Inputs!$D$7)^AU$2))),((_xlfn.WEIBULL.DIST(AU$2,$M69,$L69,FALSE)*($T69*(1-$F69)+$S69*(1-$G69))*((1+Inputs!$D$7)^AU$2))))))</f>
        <v>4.826814356721072</v>
      </c>
      <c r="AV69" s="88">
        <f>$E69*IF(AV$2&gt;Inputs!$D$5,0,IF(AV$2&gt;VLOOKUP($H69,Lists!$P$3:$Q$7,2),IF($N69=Lists!$K$3,IF($L69&lt;1,(($U69/$L69)*((1+Inputs!$D$7)^AV$2)),((INT(AV$2/$L69)-INT((AV$2-1)/$L69))*$U69*((1+Inputs!$D$7)^AV$2))),(_xlfn.WEIBULL.DIST(AV$2,$M69,$L69,FALSE)*$U69*((1+Inputs!$D$7)^AV$2))),IF($N69=Lists!$K$3,IF($L69&lt;1,((($T69*(1-$F69)+$S69*(1-$G69))/$L69)*((1+Inputs!$D$7)^AV$2)),((INT(AV$2/$L69)-INT((AV$2-1)/$L69))*($T69*(1-$F69)+$S69*(1-$G69))*((1+Inputs!$D$7)^AV$2))),((_xlfn.WEIBULL.DIST(AV$2,$M69,$L69,FALSE)*($T69*(1-$F69)+$S69*(1-$G69))*((1+Inputs!$D$7)^AV$2))))))</f>
        <v>4.9233506438554935</v>
      </c>
      <c r="AW69" s="88">
        <f>$E69*IF(AW$2&gt;Inputs!$D$5,0,IF(AW$2&gt;VLOOKUP($H69,Lists!$P$3:$Q$7,2),IF($N69=Lists!$K$3,IF($L69&lt;1,(($U69/$L69)*((1+Inputs!$D$7)^AW$2)),((INT(AW$2/$L69)-INT((AW$2-1)/$L69))*$U69*((1+Inputs!$D$7)^AW$2))),(_xlfn.WEIBULL.DIST(AW$2,$M69,$L69,FALSE)*$U69*((1+Inputs!$D$7)^AW$2))),IF($N69=Lists!$K$3,IF($L69&lt;1,((($T69*(1-$F69)+$S69*(1-$G69))/$L69)*((1+Inputs!$D$7)^AW$2)),((INT(AW$2/$L69)-INT((AW$2-1)/$L69))*($T69*(1-$F69)+$S69*(1-$G69))*((1+Inputs!$D$7)^AW$2))),((_xlfn.WEIBULL.DIST(AW$2,$M69,$L69,FALSE)*($T69*(1-$F69)+$S69*(1-$G69))*((1+Inputs!$D$7)^AW$2))))))</f>
        <v>5.0218176567326029</v>
      </c>
      <c r="AX69" s="88">
        <f>$E69*IF(AX$2&gt;Inputs!$D$5,0,IF(AX$2&gt;VLOOKUP($H69,Lists!$P$3:$Q$7,2),IF($N69=Lists!$K$3,IF($L69&lt;1,(($U69/$L69)*((1+Inputs!$D$7)^AX$2)),((INT(AX$2/$L69)-INT((AX$2-1)/$L69))*$U69*((1+Inputs!$D$7)^AX$2))),(_xlfn.WEIBULL.DIST(AX$2,$M69,$L69,FALSE)*$U69*((1+Inputs!$D$7)^AX$2))),IF($N69=Lists!$K$3,IF($L69&lt;1,((($T69*(1-$F69)+$S69*(1-$G69))/$L69)*((1+Inputs!$D$7)^AX$2)),((INT(AX$2/$L69)-INT((AX$2-1)/$L69))*($T69*(1-$F69)+$S69*(1-$G69))*((1+Inputs!$D$7)^AX$2))),((_xlfn.WEIBULL.DIST(AX$2,$M69,$L69,FALSE)*($T69*(1-$F69)+$S69*(1-$G69))*((1+Inputs!$D$7)^AX$2))))))</f>
        <v>5.1222540098672544</v>
      </c>
      <c r="AY69" s="88">
        <f>$E69*IF(AY$2&gt;Inputs!$D$5,0,IF(AY$2&gt;VLOOKUP($H69,Lists!$P$3:$Q$7,2),IF($N69=Lists!$K$3,IF($L69&lt;1,(($U69/$L69)*((1+Inputs!$D$7)^AY$2)),((INT(AY$2/$L69)-INT((AY$2-1)/$L69))*$U69*((1+Inputs!$D$7)^AY$2))),(_xlfn.WEIBULL.DIST(AY$2,$M69,$L69,FALSE)*$U69*((1+Inputs!$D$7)^AY$2))),IF($N69=Lists!$K$3,IF($L69&lt;1,((($T69*(1-$F69)+$S69*(1-$G69))/$L69)*((1+Inputs!$D$7)^AY$2)),((INT(AY$2/$L69)-INT((AY$2-1)/$L69))*($T69*(1-$F69)+$S69*(1-$G69))*((1+Inputs!$D$7)^AY$2))),((_xlfn.WEIBULL.DIST(AY$2,$M69,$L69,FALSE)*($T69*(1-$F69)+$S69*(1-$G69))*((1+Inputs!$D$7)^AY$2))))))</f>
        <v>5.2246990900645995</v>
      </c>
      <c r="AZ69" s="88">
        <f>$E69*IF(AZ$2&gt;Inputs!$D$5,0,IF(AZ$2&gt;VLOOKUP($H69,Lists!$P$3:$Q$7,2),IF($N69=Lists!$K$3,IF($L69&lt;1,(($U69/$L69)*((1+Inputs!$D$7)^AZ$2)),((INT(AZ$2/$L69)-INT((AZ$2-1)/$L69))*$U69*((1+Inputs!$D$7)^AZ$2))),(_xlfn.WEIBULL.DIST(AZ$2,$M69,$L69,FALSE)*$U69*((1+Inputs!$D$7)^AZ$2))),IF($N69=Lists!$K$3,IF($L69&lt;1,((($T69*(1-$F69)+$S69*(1-$G69))/$L69)*((1+Inputs!$D$7)^AZ$2)),((INT(AZ$2/$L69)-INT((AZ$2-1)/$L69))*($T69*(1-$F69)+$S69*(1-$G69))*((1+Inputs!$D$7)^AZ$2))),((_xlfn.WEIBULL.DIST(AZ$2,$M69,$L69,FALSE)*($T69*(1-$F69)+$S69*(1-$G69))*((1+Inputs!$D$7)^AZ$2))))))</f>
        <v>0</v>
      </c>
      <c r="BA69" s="88">
        <f>$E69*IF(BA$2&gt;Inputs!$D$5,0,IF(BA$2&gt;VLOOKUP($H69,Lists!$P$3:$Q$7,2),IF($N69=Lists!$K$3,IF($L69&lt;1,(($U69/$L69)*((1+Inputs!$D$7)^BA$2)),((INT(BA$2/$L69)-INT((BA$2-1)/$L69))*$U69*((1+Inputs!$D$7)^BA$2))),(_xlfn.WEIBULL.DIST(BA$2,$M69,$L69,FALSE)*$U69*((1+Inputs!$D$7)^BA$2))),IF($N69=Lists!$K$3,IF($L69&lt;1,((($T69*(1-$F69)+$S69*(1-$G69))/$L69)*((1+Inputs!$D$7)^BA$2)),((INT(BA$2/$L69)-INT((BA$2-1)/$L69))*($T69*(1-$F69)+$S69*(1-$G69))*((1+Inputs!$D$7)^BA$2))),((_xlfn.WEIBULL.DIST(BA$2,$M69,$L69,FALSE)*($T69*(1-$F69)+$S69*(1-$G69))*((1+Inputs!$D$7)^BA$2))))))</f>
        <v>0</v>
      </c>
      <c r="BB69" s="88">
        <f>$E69*IF(BB$2&gt;Inputs!$D$5,0,IF(BB$2&gt;VLOOKUP($H69,Lists!$P$3:$Q$7,2),IF($N69=Lists!$K$3,IF($L69&lt;1,(($U69/$L69)*((1+Inputs!$D$7)^BB$2)),((INT(BB$2/$L69)-INT((BB$2-1)/$L69))*$U69*((1+Inputs!$D$7)^BB$2))),(_xlfn.WEIBULL.DIST(BB$2,$M69,$L69,FALSE)*$U69*((1+Inputs!$D$7)^BB$2))),IF($N69=Lists!$K$3,IF($L69&lt;1,((($T69*(1-$F69)+$S69*(1-$G69))/$L69)*((1+Inputs!$D$7)^BB$2)),((INT(BB$2/$L69)-INT((BB$2-1)/$L69))*($T69*(1-$F69)+$S69*(1-$G69))*((1+Inputs!$D$7)^BB$2))),((_xlfn.WEIBULL.DIST(BB$2,$M69,$L69,FALSE)*($T69*(1-$F69)+$S69*(1-$G69))*((1+Inputs!$D$7)^BB$2))))))</f>
        <v>0</v>
      </c>
      <c r="BC69" s="88">
        <f>$E69*IF(BC$2&gt;Inputs!$D$5,0,IF(BC$2&gt;VLOOKUP($H69,Lists!$P$3:$Q$7,2),IF($N69=Lists!$K$3,IF($L69&lt;1,(($U69/$L69)*((1+Inputs!$D$7)^BC$2)),((INT(BC$2/$L69)-INT((BC$2-1)/$L69))*$U69*((1+Inputs!$D$7)^BC$2))),(_xlfn.WEIBULL.DIST(BC$2,$M69,$L69,FALSE)*$U69*((1+Inputs!$D$7)^BC$2))),IF($N69=Lists!$K$3,IF($L69&lt;1,((($T69*(1-$F69)+$S69*(1-$G69))/$L69)*((1+Inputs!$D$7)^BC$2)),((INT(BC$2/$L69)-INT((BC$2-1)/$L69))*($T69*(1-$F69)+$S69*(1-$G69))*((1+Inputs!$D$7)^BC$2))),((_xlfn.WEIBULL.DIST(BC$2,$M69,$L69,FALSE)*($T69*(1-$F69)+$S69*(1-$G69))*((1+Inputs!$D$7)^BC$2))))))</f>
        <v>0</v>
      </c>
      <c r="BD69" s="88">
        <f>$E69*IF(BD$2&gt;Inputs!$D$5,0,IF(BD$2&gt;VLOOKUP($H69,Lists!$P$3:$Q$7,2),IF($N69=Lists!$K$3,IF($L69&lt;1,(($U69/$L69)*((1+Inputs!$D$7)^BD$2)),((INT(BD$2/$L69)-INT((BD$2-1)/$L69))*$U69*((1+Inputs!$D$7)^BD$2))),(_xlfn.WEIBULL.DIST(BD$2,$M69,$L69,FALSE)*$U69*((1+Inputs!$D$7)^BD$2))),IF($N69=Lists!$K$3,IF($L69&lt;1,((($T69*(1-$F69)+$S69*(1-$G69))/$L69)*((1+Inputs!$D$7)^BD$2)),((INT(BD$2/$L69)-INT((BD$2-1)/$L69))*($T69*(1-$F69)+$S69*(1-$G69))*((1+Inputs!$D$7)^BD$2))),((_xlfn.WEIBULL.DIST(BD$2,$M69,$L69,FALSE)*($T69*(1-$F69)+$S69*(1-$G69))*((1+Inputs!$D$7)^BD$2))))))</f>
        <v>0</v>
      </c>
      <c r="BE69" s="88">
        <f>$E69*IF(BE$2&gt;Inputs!$D$5,0,IF(BE$2&gt;VLOOKUP($H69,Lists!$P$3:$Q$7,2),IF($N69=Lists!$K$3,IF($L69&lt;1,(($U69/$L69)*((1+Inputs!$D$7)^BE$2)),((INT(BE$2/$L69)-INT((BE$2-1)/$L69))*$U69*((1+Inputs!$D$7)^BE$2))),(_xlfn.WEIBULL.DIST(BE$2,$M69,$L69,FALSE)*$U69*((1+Inputs!$D$7)^BE$2))),IF($N69=Lists!$K$3,IF($L69&lt;1,((($T69*(1-$F69)+$S69*(1-$G69))/$L69)*((1+Inputs!$D$7)^BE$2)),((INT(BE$2/$L69)-INT((BE$2-1)/$L69))*($T69*(1-$F69)+$S69*(1-$G69))*((1+Inputs!$D$7)^BE$2))),((_xlfn.WEIBULL.DIST(BE$2,$M69,$L69,FALSE)*($T69*(1-$F69)+$S69*(1-$G69))*((1+Inputs!$D$7)^BE$2))))))</f>
        <v>0</v>
      </c>
      <c r="BF69" s="88">
        <f>$E69*IF(BF$2&gt;Inputs!$D$5,0,IF(BF$2&gt;VLOOKUP($H69,Lists!$P$3:$Q$7,2),IF($N69=Lists!$K$3,IF($L69&lt;1,(($U69/$L69)*((1+Inputs!$D$7)^BF$2)),((INT(BF$2/$L69)-INT((BF$2-1)/$L69))*$U69*((1+Inputs!$D$7)^BF$2))),(_xlfn.WEIBULL.DIST(BF$2,$M69,$L69,FALSE)*$U69*((1+Inputs!$D$7)^BF$2))),IF($N69=Lists!$K$3,IF($L69&lt;1,((($T69*(1-$F69)+$S69*(1-$G69))/$L69)*((1+Inputs!$D$7)^BF$2)),((INT(BF$2/$L69)-INT((BF$2-1)/$L69))*($T69*(1-$F69)+$S69*(1-$G69))*((1+Inputs!$D$7)^BF$2))),((_xlfn.WEIBULL.DIST(BF$2,$M69,$L69,FALSE)*($T69*(1-$F69)+$S69*(1-$G69))*((1+Inputs!$D$7)^BF$2))))))</f>
        <v>0</v>
      </c>
      <c r="BG69" s="88">
        <f>$E69*IF(BG$2&gt;Inputs!$D$5,0,IF(BG$2&gt;VLOOKUP($H69,Lists!$P$3:$Q$7,2),IF($N69=Lists!$K$3,IF($L69&lt;1,(($U69/$L69)*((1+Inputs!$D$7)^BG$2)),((INT(BG$2/$L69)-INT((BG$2-1)/$L69))*$U69*((1+Inputs!$D$7)^BG$2))),(_xlfn.WEIBULL.DIST(BG$2,$M69,$L69,FALSE)*$U69*((1+Inputs!$D$7)^BG$2))),IF($N69=Lists!$K$3,IF($L69&lt;1,((($T69*(1-$F69)+$S69*(1-$G69))/$L69)*((1+Inputs!$D$7)^BG$2)),((INT(BG$2/$L69)-INT((BG$2-1)/$L69))*($T69*(1-$F69)+$S69*(1-$G69))*((1+Inputs!$D$7)^BG$2))),((_xlfn.WEIBULL.DIST(BG$2,$M69,$L69,FALSE)*($T69*(1-$F69)+$S69*(1-$G69))*((1+Inputs!$D$7)^BG$2))))))</f>
        <v>0</v>
      </c>
      <c r="BH69" s="88">
        <f>$E69*IF(BH$2&gt;Inputs!$D$5,0,IF(BH$2&gt;VLOOKUP($H69,Lists!$P$3:$Q$7,2),IF($N69=Lists!$K$3,IF($L69&lt;1,(($U69/$L69)*((1+Inputs!$D$7)^BH$2)),((INT(BH$2/$L69)-INT((BH$2-1)/$L69))*$U69*((1+Inputs!$D$7)^BH$2))),(_xlfn.WEIBULL.DIST(BH$2,$M69,$L69,FALSE)*$U69*((1+Inputs!$D$7)^BH$2))),IF($N69=Lists!$K$3,IF($L69&lt;1,((($T69*(1-$F69)+$S69*(1-$G69))/$L69)*((1+Inputs!$D$7)^BH$2)),((INT(BH$2/$L69)-INT((BH$2-1)/$L69))*($T69*(1-$F69)+$S69*(1-$G69))*((1+Inputs!$D$7)^BH$2))),((_xlfn.WEIBULL.DIST(BH$2,$M69,$L69,FALSE)*($T69*(1-$F69)+$S69*(1-$G69))*((1+Inputs!$D$7)^BH$2))))))</f>
        <v>0</v>
      </c>
      <c r="BI69" s="88">
        <f>$E69*IF(BI$2&gt;Inputs!$D$5,0,IF(BI$2&gt;VLOOKUP($H69,Lists!$P$3:$Q$7,2),IF($N69=Lists!$K$3,IF($L69&lt;1,(($U69/$L69)*((1+Inputs!$D$7)^BI$2)),((INT(BI$2/$L69)-INT((BI$2-1)/$L69))*$U69*((1+Inputs!$D$7)^BI$2))),(_xlfn.WEIBULL.DIST(BI$2,$M69,$L69,FALSE)*$U69*((1+Inputs!$D$7)^BI$2))),IF($N69=Lists!$K$3,IF($L69&lt;1,((($T69*(1-$F69)+$S69*(1-$G69))/$L69)*((1+Inputs!$D$7)^BI$2)),((INT(BI$2/$L69)-INT((BI$2-1)/$L69))*($T69*(1-$F69)+$S69*(1-$G69))*((1+Inputs!$D$7)^BI$2))),((_xlfn.WEIBULL.DIST(BI$2,$M69,$L69,FALSE)*($T69*(1-$F69)+$S69*(1-$G69))*((1+Inputs!$D$7)^BI$2))))))</f>
        <v>0</v>
      </c>
      <c r="BJ69" s="88">
        <f>$E69*IF(BJ$2&gt;Inputs!$D$5,0,IF(BJ$2&gt;VLOOKUP($H69,Lists!$P$3:$Q$7,2),IF($N69=Lists!$K$3,IF($L69&lt;1,(($U69/$L69)*((1+Inputs!$D$7)^BJ$2)),((INT(BJ$2/$L69)-INT((BJ$2-1)/$L69))*$U69*((1+Inputs!$D$7)^BJ$2))),(_xlfn.WEIBULL.DIST(BJ$2,$M69,$L69,FALSE)*$U69*((1+Inputs!$D$7)^BJ$2))),IF($N69=Lists!$K$3,IF($L69&lt;1,((($T69*(1-$F69)+$S69*(1-$G69))/$L69)*((1+Inputs!$D$7)^BJ$2)),((INT(BJ$2/$L69)-INT((BJ$2-1)/$L69))*($T69*(1-$F69)+$S69*(1-$G69))*((1+Inputs!$D$7)^BJ$2))),((_xlfn.WEIBULL.DIST(BJ$2,$M69,$L69,FALSE)*($T69*(1-$F69)+$S69*(1-$G69))*((1+Inputs!$D$7)^BJ$2))))))</f>
        <v>0</v>
      </c>
      <c r="BK69" s="88">
        <f>$E69*IF(BK$2&gt;Inputs!$D$5,0,IF(BK$2&gt;VLOOKUP($H69,Lists!$P$3:$Q$7,2),IF($N69=Lists!$K$3,IF($L69&lt;1,(($U69/$L69)*((1+Inputs!$D$7)^BK$2)),((INT(BK$2/$L69)-INT((BK$2-1)/$L69))*$U69*((1+Inputs!$D$7)^BK$2))),(_xlfn.WEIBULL.DIST(BK$2,$M69,$L69,FALSE)*$U69*((1+Inputs!$D$7)^BK$2))),IF($N69=Lists!$K$3,IF($L69&lt;1,((($T69*(1-$F69)+$S69*(1-$G69))/$L69)*((1+Inputs!$D$7)^BK$2)),((INT(BK$2/$L69)-INT((BK$2-1)/$L69))*($T69*(1-$F69)+$S69*(1-$G69))*((1+Inputs!$D$7)^BK$2))),((_xlfn.WEIBULL.DIST(BK$2,$M69,$L69,FALSE)*($T69*(1-$F69)+$S69*(1-$G69))*((1+Inputs!$D$7)^BK$2))))))</f>
        <v>0</v>
      </c>
      <c r="BL69" s="88">
        <f>$E69*IF(BL$2&gt;Inputs!$D$5,0,IF(BL$2&gt;VLOOKUP($H69,Lists!$P$3:$Q$7,2),IF($N69=Lists!$K$3,IF($L69&lt;1,(($U69/$L69)*((1+Inputs!$D$7)^BL$2)),((INT(BL$2/$L69)-INT((BL$2-1)/$L69))*$U69*((1+Inputs!$D$7)^BL$2))),(_xlfn.WEIBULL.DIST(BL$2,$M69,$L69,FALSE)*$U69*((1+Inputs!$D$7)^BL$2))),IF($N69=Lists!$K$3,IF($L69&lt;1,((($T69*(1-$F69)+$S69*(1-$G69))/$L69)*((1+Inputs!$D$7)^BL$2)),((INT(BL$2/$L69)-INT((BL$2-1)/$L69))*($T69*(1-$F69)+$S69*(1-$G69))*((1+Inputs!$D$7)^BL$2))),((_xlfn.WEIBULL.DIST(BL$2,$M69,$L69,FALSE)*($T69*(1-$F69)+$S69*(1-$G69))*((1+Inputs!$D$7)^BL$2))))))</f>
        <v>0</v>
      </c>
      <c r="BM69" s="88">
        <f>$E69*IF(BM$2&gt;Inputs!$D$5,0,IF(BM$2&gt;VLOOKUP($H69,Lists!$P$3:$Q$7,2),IF($N69=Lists!$K$3,IF($L69&lt;1,(($U69/$L69)*((1+Inputs!$D$7)^BM$2)),((INT(BM$2/$L69)-INT((BM$2-1)/$L69))*$U69*((1+Inputs!$D$7)^BM$2))),(_xlfn.WEIBULL.DIST(BM$2,$M69,$L69,FALSE)*$U69*((1+Inputs!$D$7)^BM$2))),IF($N69=Lists!$K$3,IF($L69&lt;1,((($T69*(1-$F69)+$S69*(1-$G69))/$L69)*((1+Inputs!$D$7)^BM$2)),((INT(BM$2/$L69)-INT((BM$2-1)/$L69))*($T69*(1-$F69)+$S69*(1-$G69))*((1+Inputs!$D$7)^BM$2))),((_xlfn.WEIBULL.DIST(BM$2,$M69,$L69,FALSE)*($T69*(1-$F69)+$S69*(1-$G69))*((1+Inputs!$D$7)^BM$2))))))</f>
        <v>0</v>
      </c>
      <c r="BN69" s="88">
        <f>$E69*IF(BN$2&gt;Inputs!$D$5,0,IF(BN$2&gt;VLOOKUP($H69,Lists!$P$3:$Q$7,2),IF($N69=Lists!$K$3,IF($L69&lt;1,(($U69/$L69)*((1+Inputs!$D$7)^BN$2)),((INT(BN$2/$L69)-INT((BN$2-1)/$L69))*$U69*((1+Inputs!$D$7)^BN$2))),(_xlfn.WEIBULL.DIST(BN$2,$M69,$L69,FALSE)*$U69*((1+Inputs!$D$7)^BN$2))),IF($N69=Lists!$K$3,IF($L69&lt;1,((($T69*(1-$F69)+$S69*(1-$G69))/$L69)*((1+Inputs!$D$7)^BN$2)),((INT(BN$2/$L69)-INT((BN$2-1)/$L69))*($T69*(1-$F69)+$S69*(1-$G69))*((1+Inputs!$D$7)^BN$2))),((_xlfn.WEIBULL.DIST(BN$2,$M69,$L69,FALSE)*($T69*(1-$F69)+$S69*(1-$G69))*((1+Inputs!$D$7)^BN$2))))))</f>
        <v>0</v>
      </c>
      <c r="BO69" s="64">
        <f>NPV(Inputs!$D$6,BQ69:DD69)</f>
        <v>45.328165039183645</v>
      </c>
      <c r="BP69" s="67">
        <f t="shared" si="20"/>
        <v>2.1378975585585089E-5</v>
      </c>
      <c r="BQ69" s="88">
        <f>MAX(AA69,($E69*IF(BQ$2&gt;Inputs!$D$5,0,IF(BQ$2&gt;VLOOKUP($H69,Lists!$P$3:$Q$7,2),IF($N69=Lists!$K$3,IF($L69&lt;1,(($U69/$L69)*((1+Inputs!$D$7)^BQ$2)),((INT(BQ$2/$L69)-INT((BQ$2-1)/$L69))*$U69*((1+Inputs!$D$7)^BQ$2))),(Inputs!$D$8^((1-_xlfn.WEIBULL.DIST(BQ$2,$M69,$L69,FALSE))/_xlfn.WEIBULL.DIST(BQ$2,$M69,$L69,FALSE))*$U69*((1+Inputs!$D$7)^BQ$2))),IF($N69=Lists!$K$3,IF($L69&lt;1,((($T69*(1-$F69)+$S69*(1-$G69))/$L69)*((1+Inputs!$D$7)^BQ$2)),((INT(BQ$2/$L69)-INT((BQ$2-1)/$L69))*($T69*(1-$F69)+$S69*(1-$G69))*((1+Inputs!$D$7)^BQ$2))),((Inputs!$D$8^((1-_xlfn.WEIBULL.DIST(BQ$2,$M69,$L69,FALSE))/_xlfn.WEIBULL.DIST(BQ$2,$M69,$L69,FALSE))*($T69*(1-$F69)+$S69*(1-$G69))*((1+Inputs!$D$7)^BQ$2))))))))</f>
        <v>3.2483076923076921</v>
      </c>
      <c r="BR69" s="88">
        <f>MAX(AB69,($E69*IF(BR$2&gt;Inputs!$D$5,0,IF(BR$2&gt;VLOOKUP($H69,Lists!$P$3:$Q$7,2),IF($N69=Lists!$K$3,IF($L69&lt;1,(($U69/$L69)*((1+Inputs!$D$7)^BR$2)),((INT(BR$2/$L69)-INT((BR$2-1)/$L69))*$U69*((1+Inputs!$D$7)^BR$2))),(Inputs!$D$8^((1-_xlfn.WEIBULL.DIST(BR$2,$M69,$L69,FALSE))/_xlfn.WEIBULL.DIST(BR$2,$M69,$L69,FALSE))*$U69*((1+Inputs!$D$7)^BR$2))),IF($N69=Lists!$K$3,IF($L69&lt;1,((($T69*(1-$F69)+$S69*(1-$G69))/$L69)*((1+Inputs!$D$7)^BR$2)),((INT(BR$2/$L69)-INT((BR$2-1)/$L69))*($T69*(1-$F69)+$S69*(1-$G69))*((1+Inputs!$D$7)^BR$2))),((Inputs!$D$8^((1-_xlfn.WEIBULL.DIST(BR$2,$M69,$L69,FALSE))/_xlfn.WEIBULL.DIST(BR$2,$M69,$L69,FALSE))*($T69*(1-$F69)+$S69*(1-$G69))*((1+Inputs!$D$7)^BR$2))))))))</f>
        <v>3.3132738461538458</v>
      </c>
      <c r="BS69" s="88">
        <f>MAX(AC69,($E69*IF(BS$2&gt;Inputs!$D$5,0,IF(BS$2&gt;VLOOKUP($H69,Lists!$P$3:$Q$7,2),IF($N69=Lists!$K$3,IF($L69&lt;1,(($U69/$L69)*((1+Inputs!$D$7)^BS$2)),((INT(BS$2/$L69)-INT((BS$2-1)/$L69))*$U69*((1+Inputs!$D$7)^BS$2))),(Inputs!$D$8^((1-_xlfn.WEIBULL.DIST(BS$2,$M69,$L69,FALSE))/_xlfn.WEIBULL.DIST(BS$2,$M69,$L69,FALSE))*$U69*((1+Inputs!$D$7)^BS$2))),IF($N69=Lists!$K$3,IF($L69&lt;1,((($T69*(1-$F69)+$S69*(1-$G69))/$L69)*((1+Inputs!$D$7)^BS$2)),((INT(BS$2/$L69)-INT((BS$2-1)/$L69))*($T69*(1-$F69)+$S69*(1-$G69))*((1+Inputs!$D$7)^BS$2))),((Inputs!$D$8^((1-_xlfn.WEIBULL.DIST(BS$2,$M69,$L69,FALSE))/_xlfn.WEIBULL.DIST(BS$2,$M69,$L69,FALSE))*($T69*(1-$F69)+$S69*(1-$G69))*((1+Inputs!$D$7)^BS$2))))))))</f>
        <v>3.3795393230769228</v>
      </c>
      <c r="BT69" s="88">
        <f>MAX(AD69,($E69*IF(BT$2&gt;Inputs!$D$5,0,IF(BT$2&gt;VLOOKUP($H69,Lists!$P$3:$Q$7,2),IF($N69=Lists!$K$3,IF($L69&lt;1,(($U69/$L69)*((1+Inputs!$D$7)^BT$2)),((INT(BT$2/$L69)-INT((BT$2-1)/$L69))*$U69*((1+Inputs!$D$7)^BT$2))),(Inputs!$D$8^((1-_xlfn.WEIBULL.DIST(BT$2,$M69,$L69,FALSE))/_xlfn.WEIBULL.DIST(BT$2,$M69,$L69,FALSE))*$U69*((1+Inputs!$D$7)^BT$2))),IF($N69=Lists!$K$3,IF($L69&lt;1,((($T69*(1-$F69)+$S69*(1-$G69))/$L69)*((1+Inputs!$D$7)^BT$2)),((INT(BT$2/$L69)-INT((BT$2-1)/$L69))*($T69*(1-$F69)+$S69*(1-$G69))*((1+Inputs!$D$7)^BT$2))),((Inputs!$D$8^((1-_xlfn.WEIBULL.DIST(BT$2,$M69,$L69,FALSE))/_xlfn.WEIBULL.DIST(BT$2,$M69,$L69,FALSE))*($T69*(1-$F69)+$S69*(1-$G69))*((1+Inputs!$D$7)^BT$2))))))))</f>
        <v>3.4471301095384614</v>
      </c>
      <c r="BU69" s="88">
        <f>MAX(AE69,($E69*IF(BU$2&gt;Inputs!$D$5,0,IF(BU$2&gt;VLOOKUP($H69,Lists!$P$3:$Q$7,2),IF($N69=Lists!$K$3,IF($L69&lt;1,(($U69/$L69)*((1+Inputs!$D$7)^BU$2)),((INT(BU$2/$L69)-INT((BU$2-1)/$L69))*$U69*((1+Inputs!$D$7)^BU$2))),(Inputs!$D$8^((1-_xlfn.WEIBULL.DIST(BU$2,$M69,$L69,FALSE))/_xlfn.WEIBULL.DIST(BU$2,$M69,$L69,FALSE))*$U69*((1+Inputs!$D$7)^BU$2))),IF($N69=Lists!$K$3,IF($L69&lt;1,((($T69*(1-$F69)+$S69*(1-$G69))/$L69)*((1+Inputs!$D$7)^BU$2)),((INT(BU$2/$L69)-INT((BU$2-1)/$L69))*($T69*(1-$F69)+$S69*(1-$G69))*((1+Inputs!$D$7)^BU$2))),((Inputs!$D$8^((1-_xlfn.WEIBULL.DIST(BU$2,$M69,$L69,FALSE))/_xlfn.WEIBULL.DIST(BU$2,$M69,$L69,FALSE))*($T69*(1-$F69)+$S69*(1-$G69))*((1+Inputs!$D$7)^BU$2))))))))</f>
        <v>3.5160727117292305</v>
      </c>
      <c r="BV69" s="88">
        <f>MAX(AF69,($E69*IF(BV$2&gt;Inputs!$D$5,0,IF(BV$2&gt;VLOOKUP($H69,Lists!$P$3:$Q$7,2),IF($N69=Lists!$K$3,IF($L69&lt;1,(($U69/$L69)*((1+Inputs!$D$7)^BV$2)),((INT(BV$2/$L69)-INT((BV$2-1)/$L69))*$U69*((1+Inputs!$D$7)^BV$2))),(Inputs!$D$8^((1-_xlfn.WEIBULL.DIST(BV$2,$M69,$L69,FALSE))/_xlfn.WEIBULL.DIST(BV$2,$M69,$L69,FALSE))*$U69*((1+Inputs!$D$7)^BV$2))),IF($N69=Lists!$K$3,IF($L69&lt;1,((($T69*(1-$F69)+$S69*(1-$G69))/$L69)*((1+Inputs!$D$7)^BV$2)),((INT(BV$2/$L69)-INT((BV$2-1)/$L69))*($T69*(1-$F69)+$S69*(1-$G69))*((1+Inputs!$D$7)^BV$2))),((Inputs!$D$8^((1-_xlfn.WEIBULL.DIST(BV$2,$M69,$L69,FALSE))/_xlfn.WEIBULL.DIST(BV$2,$M69,$L69,FALSE))*($T69*(1-$F69)+$S69*(1-$G69))*((1+Inputs!$D$7)^BV$2))))))))</f>
        <v>3.5863941659638154</v>
      </c>
      <c r="BW69" s="88">
        <f>MAX(AG69,($E69*IF(BW$2&gt;Inputs!$D$5,0,IF(BW$2&gt;VLOOKUP($H69,Lists!$P$3:$Q$7,2),IF($N69=Lists!$K$3,IF($L69&lt;1,(($U69/$L69)*((1+Inputs!$D$7)^BW$2)),((INT(BW$2/$L69)-INT((BW$2-1)/$L69))*$U69*((1+Inputs!$D$7)^BW$2))),(Inputs!$D$8^((1-_xlfn.WEIBULL.DIST(BW$2,$M69,$L69,FALSE))/_xlfn.WEIBULL.DIST(BW$2,$M69,$L69,FALSE))*$U69*((1+Inputs!$D$7)^BW$2))),IF($N69=Lists!$K$3,IF($L69&lt;1,((($T69*(1-$F69)+$S69*(1-$G69))/$L69)*((1+Inputs!$D$7)^BW$2)),((INT(BW$2/$L69)-INT((BW$2-1)/$L69))*($T69*(1-$F69)+$S69*(1-$G69))*((1+Inputs!$D$7)^BW$2))),((Inputs!$D$8^((1-_xlfn.WEIBULL.DIST(BW$2,$M69,$L69,FALSE))/_xlfn.WEIBULL.DIST(BW$2,$M69,$L69,FALSE))*($T69*(1-$F69)+$S69*(1-$G69))*((1+Inputs!$D$7)^BW$2))))))))</f>
        <v>3.658122049283091</v>
      </c>
      <c r="BX69" s="88">
        <f>MAX(AH69,($E69*IF(BX$2&gt;Inputs!$D$5,0,IF(BX$2&gt;VLOOKUP($H69,Lists!$P$3:$Q$7,2),IF($N69=Lists!$K$3,IF($L69&lt;1,(($U69/$L69)*((1+Inputs!$D$7)^BX$2)),((INT(BX$2/$L69)-INT((BX$2-1)/$L69))*$U69*((1+Inputs!$D$7)^BX$2))),(Inputs!$D$8^((1-_xlfn.WEIBULL.DIST(BX$2,$M69,$L69,FALSE))/_xlfn.WEIBULL.DIST(BX$2,$M69,$L69,FALSE))*$U69*((1+Inputs!$D$7)^BX$2))),IF($N69=Lists!$K$3,IF($L69&lt;1,((($T69*(1-$F69)+$S69*(1-$G69))/$L69)*((1+Inputs!$D$7)^BX$2)),((INT(BX$2/$L69)-INT((BX$2-1)/$L69))*($T69*(1-$F69)+$S69*(1-$G69))*((1+Inputs!$D$7)^BX$2))),((Inputs!$D$8^((1-_xlfn.WEIBULL.DIST(BX$2,$M69,$L69,FALSE))/_xlfn.WEIBULL.DIST(BX$2,$M69,$L69,FALSE))*($T69*(1-$F69)+$S69*(1-$G69))*((1+Inputs!$D$7)^BX$2))))))))</f>
        <v>3.7312844902687532</v>
      </c>
      <c r="BY69" s="88">
        <f>MAX(AI69,($E69*IF(BY$2&gt;Inputs!$D$5,0,IF(BY$2&gt;VLOOKUP($H69,Lists!$P$3:$Q$7,2),IF($N69=Lists!$K$3,IF($L69&lt;1,(($U69/$L69)*((1+Inputs!$D$7)^BY$2)),((INT(BY$2/$L69)-INT((BY$2-1)/$L69))*$U69*((1+Inputs!$D$7)^BY$2))),(Inputs!$D$8^((1-_xlfn.WEIBULL.DIST(BY$2,$M69,$L69,FALSE))/_xlfn.WEIBULL.DIST(BY$2,$M69,$L69,FALSE))*$U69*((1+Inputs!$D$7)^BY$2))),IF($N69=Lists!$K$3,IF($L69&lt;1,((($T69*(1-$F69)+$S69*(1-$G69))/$L69)*((1+Inputs!$D$7)^BY$2)),((INT(BY$2/$L69)-INT((BY$2-1)/$L69))*($T69*(1-$F69)+$S69*(1-$G69))*((1+Inputs!$D$7)^BY$2))),((Inputs!$D$8^((1-_xlfn.WEIBULL.DIST(BY$2,$M69,$L69,FALSE))/_xlfn.WEIBULL.DIST(BY$2,$M69,$L69,FALSE))*($T69*(1-$F69)+$S69*(1-$G69))*((1+Inputs!$D$7)^BY$2))))))))</f>
        <v>3.805910180074128</v>
      </c>
      <c r="BZ69" s="88">
        <f>MAX(AJ69,($E69*IF(BZ$2&gt;Inputs!$D$5,0,IF(BZ$2&gt;VLOOKUP($H69,Lists!$P$3:$Q$7,2),IF($N69=Lists!$K$3,IF($L69&lt;1,(($U69/$L69)*((1+Inputs!$D$7)^BZ$2)),((INT(BZ$2/$L69)-INT((BZ$2-1)/$L69))*$U69*((1+Inputs!$D$7)^BZ$2))),(Inputs!$D$8^((1-_xlfn.WEIBULL.DIST(BZ$2,$M69,$L69,FALSE))/_xlfn.WEIBULL.DIST(BZ$2,$M69,$L69,FALSE))*$U69*((1+Inputs!$D$7)^BZ$2))),IF($N69=Lists!$K$3,IF($L69&lt;1,((($T69*(1-$F69)+$S69*(1-$G69))/$L69)*((1+Inputs!$D$7)^BZ$2)),((INT(BZ$2/$L69)-INT((BZ$2-1)/$L69))*($T69*(1-$F69)+$S69*(1-$G69))*((1+Inputs!$D$7)^BZ$2))),((Inputs!$D$8^((1-_xlfn.WEIBULL.DIST(BZ$2,$M69,$L69,FALSE))/_xlfn.WEIBULL.DIST(BZ$2,$M69,$L69,FALSE))*($T69*(1-$F69)+$S69*(1-$G69))*((1+Inputs!$D$7)^BZ$2))))))))</f>
        <v>3.8820283836756109</v>
      </c>
      <c r="CA69" s="88">
        <f>MAX(AK69,($E69*IF(CA$2&gt;Inputs!$D$5,0,IF(CA$2&gt;VLOOKUP($H69,Lists!$P$3:$Q$7,2),IF($N69=Lists!$K$3,IF($L69&lt;1,(($U69/$L69)*((1+Inputs!$D$7)^CA$2)),((INT(CA$2/$L69)-INT((CA$2-1)/$L69))*$U69*((1+Inputs!$D$7)^CA$2))),(Inputs!$D$8^((1-_xlfn.WEIBULL.DIST(CA$2,$M69,$L69,FALSE))/_xlfn.WEIBULL.DIST(CA$2,$M69,$L69,FALSE))*$U69*((1+Inputs!$D$7)^CA$2))),IF($N69=Lists!$K$3,IF($L69&lt;1,((($T69*(1-$F69)+$S69*(1-$G69))/$L69)*((1+Inputs!$D$7)^CA$2)),((INT(CA$2/$L69)-INT((CA$2-1)/$L69))*($T69*(1-$F69)+$S69*(1-$G69))*((1+Inputs!$D$7)^CA$2))),((Inputs!$D$8^((1-_xlfn.WEIBULL.DIST(CA$2,$M69,$L69,FALSE))/_xlfn.WEIBULL.DIST(CA$2,$M69,$L69,FALSE))*($T69*(1-$F69)+$S69*(1-$G69))*((1+Inputs!$D$7)^CA$2))))))))</f>
        <v>3.9596689513491223</v>
      </c>
      <c r="CB69" s="88">
        <f>MAX(AL69,($E69*IF(CB$2&gt;Inputs!$D$5,0,IF(CB$2&gt;VLOOKUP($H69,Lists!$P$3:$Q$7,2),IF($N69=Lists!$K$3,IF($L69&lt;1,(($U69/$L69)*((1+Inputs!$D$7)^CB$2)),((INT(CB$2/$L69)-INT((CB$2-1)/$L69))*$U69*((1+Inputs!$D$7)^CB$2))),(Inputs!$D$8^((1-_xlfn.WEIBULL.DIST(CB$2,$M69,$L69,FALSE))/_xlfn.WEIBULL.DIST(CB$2,$M69,$L69,FALSE))*$U69*((1+Inputs!$D$7)^CB$2))),IF($N69=Lists!$K$3,IF($L69&lt;1,((($T69*(1-$F69)+$S69*(1-$G69))/$L69)*((1+Inputs!$D$7)^CB$2)),((INT(CB$2/$L69)-INT((CB$2-1)/$L69))*($T69*(1-$F69)+$S69*(1-$G69))*((1+Inputs!$D$7)^CB$2))),((Inputs!$D$8^((1-_xlfn.WEIBULL.DIST(CB$2,$M69,$L69,FALSE))/_xlfn.WEIBULL.DIST(CB$2,$M69,$L69,FALSE))*($T69*(1-$F69)+$S69*(1-$G69))*((1+Inputs!$D$7)^CB$2))))))))</f>
        <v>4.0388623303761051</v>
      </c>
      <c r="CC69" s="88">
        <f>MAX(AM69,($E69*IF(CC$2&gt;Inputs!$D$5,0,IF(CC$2&gt;VLOOKUP($H69,Lists!$P$3:$Q$7,2),IF($N69=Lists!$K$3,IF($L69&lt;1,(($U69/$L69)*((1+Inputs!$D$7)^CC$2)),((INT(CC$2/$L69)-INT((CC$2-1)/$L69))*$U69*((1+Inputs!$D$7)^CC$2))),(Inputs!$D$8^((1-_xlfn.WEIBULL.DIST(CC$2,$M69,$L69,FALSE))/_xlfn.WEIBULL.DIST(CC$2,$M69,$L69,FALSE))*$U69*((1+Inputs!$D$7)^CC$2))),IF($N69=Lists!$K$3,IF($L69&lt;1,((($T69*(1-$F69)+$S69*(1-$G69))/$L69)*((1+Inputs!$D$7)^CC$2)),((INT(CC$2/$L69)-INT((CC$2-1)/$L69))*($T69*(1-$F69)+$S69*(1-$G69))*((1+Inputs!$D$7)^CC$2))),((Inputs!$D$8^((1-_xlfn.WEIBULL.DIST(CC$2,$M69,$L69,FALSE))/_xlfn.WEIBULL.DIST(CC$2,$M69,$L69,FALSE))*($T69*(1-$F69)+$S69*(1-$G69))*((1+Inputs!$D$7)^CC$2))))))))</f>
        <v>4.1196395769836274</v>
      </c>
      <c r="CD69" s="88">
        <f>MAX(AN69,($E69*IF(CD$2&gt;Inputs!$D$5,0,IF(CD$2&gt;VLOOKUP($H69,Lists!$P$3:$Q$7,2),IF($N69=Lists!$K$3,IF($L69&lt;1,(($U69/$L69)*((1+Inputs!$D$7)^CD$2)),((INT(CD$2/$L69)-INT((CD$2-1)/$L69))*$U69*((1+Inputs!$D$7)^CD$2))),(Inputs!$D$8^((1-_xlfn.WEIBULL.DIST(CD$2,$M69,$L69,FALSE))/_xlfn.WEIBULL.DIST(CD$2,$M69,$L69,FALSE))*$U69*((1+Inputs!$D$7)^CD$2))),IF($N69=Lists!$K$3,IF($L69&lt;1,((($T69*(1-$F69)+$S69*(1-$G69))/$L69)*((1+Inputs!$D$7)^CD$2)),((INT(CD$2/$L69)-INT((CD$2-1)/$L69))*($T69*(1-$F69)+$S69*(1-$G69))*((1+Inputs!$D$7)^CD$2))),((Inputs!$D$8^((1-_xlfn.WEIBULL.DIST(CD$2,$M69,$L69,FALSE))/_xlfn.WEIBULL.DIST(CD$2,$M69,$L69,FALSE))*($T69*(1-$F69)+$S69*(1-$G69))*((1+Inputs!$D$7)^CD$2))))))))</f>
        <v>4.2020323685232999</v>
      </c>
      <c r="CE69" s="88">
        <f>MAX(AO69,($E69*IF(CE$2&gt;Inputs!$D$5,0,IF(CE$2&gt;VLOOKUP($H69,Lists!$P$3:$Q$7,2),IF($N69=Lists!$K$3,IF($L69&lt;1,(($U69/$L69)*((1+Inputs!$D$7)^CE$2)),((INT(CE$2/$L69)-INT((CE$2-1)/$L69))*$U69*((1+Inputs!$D$7)^CE$2))),(Inputs!$D$8^((1-_xlfn.WEIBULL.DIST(CE$2,$M69,$L69,FALSE))/_xlfn.WEIBULL.DIST(CE$2,$M69,$L69,FALSE))*$U69*((1+Inputs!$D$7)^CE$2))),IF($N69=Lists!$K$3,IF($L69&lt;1,((($T69*(1-$F69)+$S69*(1-$G69))/$L69)*((1+Inputs!$D$7)^CE$2)),((INT(CE$2/$L69)-INT((CE$2-1)/$L69))*($T69*(1-$F69)+$S69*(1-$G69))*((1+Inputs!$D$7)^CE$2))),((Inputs!$D$8^((1-_xlfn.WEIBULL.DIST(CE$2,$M69,$L69,FALSE))/_xlfn.WEIBULL.DIST(CE$2,$M69,$L69,FALSE))*($T69*(1-$F69)+$S69*(1-$G69))*((1+Inputs!$D$7)^CE$2))))))))</f>
        <v>4.2860730158937654</v>
      </c>
      <c r="CF69" s="88">
        <f>MAX(AP69,($E69*IF(CF$2&gt;Inputs!$D$5,0,IF(CF$2&gt;VLOOKUP($H69,Lists!$P$3:$Q$7,2),IF($N69=Lists!$K$3,IF($L69&lt;1,(($U69/$L69)*((1+Inputs!$D$7)^CF$2)),((INT(CF$2/$L69)-INT((CF$2-1)/$L69))*$U69*((1+Inputs!$D$7)^CF$2))),(Inputs!$D$8^((1-_xlfn.WEIBULL.DIST(CF$2,$M69,$L69,FALSE))/_xlfn.WEIBULL.DIST(CF$2,$M69,$L69,FALSE))*$U69*((1+Inputs!$D$7)^CF$2))),IF($N69=Lists!$K$3,IF($L69&lt;1,((($T69*(1-$F69)+$S69*(1-$G69))/$L69)*((1+Inputs!$D$7)^CF$2)),((INT(CF$2/$L69)-INT((CF$2-1)/$L69))*($T69*(1-$F69)+$S69*(1-$G69))*((1+Inputs!$D$7)^CF$2))),((Inputs!$D$8^((1-_xlfn.WEIBULL.DIST(CF$2,$M69,$L69,FALSE))/_xlfn.WEIBULL.DIST(CF$2,$M69,$L69,FALSE))*($T69*(1-$F69)+$S69*(1-$G69))*((1+Inputs!$D$7)^CF$2))))))))</f>
        <v>4.3717944762116412</v>
      </c>
      <c r="CG69" s="88">
        <f>MAX(AQ69,($E69*IF(CG$2&gt;Inputs!$D$5,0,IF(CG$2&gt;VLOOKUP($H69,Lists!$P$3:$Q$7,2),IF($N69=Lists!$K$3,IF($L69&lt;1,(($U69/$L69)*((1+Inputs!$D$7)^CG$2)),((INT(CG$2/$L69)-INT((CG$2-1)/$L69))*$U69*((1+Inputs!$D$7)^CG$2))),(Inputs!$D$8^((1-_xlfn.WEIBULL.DIST(CG$2,$M69,$L69,FALSE))/_xlfn.WEIBULL.DIST(CG$2,$M69,$L69,FALSE))*$U69*((1+Inputs!$D$7)^CG$2))),IF($N69=Lists!$K$3,IF($L69&lt;1,((($T69*(1-$F69)+$S69*(1-$G69))/$L69)*((1+Inputs!$D$7)^CG$2)),((INT(CG$2/$L69)-INT((CG$2-1)/$L69))*($T69*(1-$F69)+$S69*(1-$G69))*((1+Inputs!$D$7)^CG$2))),((Inputs!$D$8^((1-_xlfn.WEIBULL.DIST(CG$2,$M69,$L69,FALSE))/_xlfn.WEIBULL.DIST(CG$2,$M69,$L69,FALSE))*($T69*(1-$F69)+$S69*(1-$G69))*((1+Inputs!$D$7)^CG$2))))))))</f>
        <v>4.4592303657358743</v>
      </c>
      <c r="CH69" s="88">
        <f>MAX(AR69,($E69*IF(CH$2&gt;Inputs!$D$5,0,IF(CH$2&gt;VLOOKUP($H69,Lists!$P$3:$Q$7,2),IF($N69=Lists!$K$3,IF($L69&lt;1,(($U69/$L69)*((1+Inputs!$D$7)^CH$2)),((INT(CH$2/$L69)-INT((CH$2-1)/$L69))*$U69*((1+Inputs!$D$7)^CH$2))),(Inputs!$D$8^((1-_xlfn.WEIBULL.DIST(CH$2,$M69,$L69,FALSE))/_xlfn.WEIBULL.DIST(CH$2,$M69,$L69,FALSE))*$U69*((1+Inputs!$D$7)^CH$2))),IF($N69=Lists!$K$3,IF($L69&lt;1,((($T69*(1-$F69)+$S69*(1-$G69))/$L69)*((1+Inputs!$D$7)^CH$2)),((INT(CH$2/$L69)-INT((CH$2-1)/$L69))*($T69*(1-$F69)+$S69*(1-$G69))*((1+Inputs!$D$7)^CH$2))),((Inputs!$D$8^((1-_xlfn.WEIBULL.DIST(CH$2,$M69,$L69,FALSE))/_xlfn.WEIBULL.DIST(CH$2,$M69,$L69,FALSE))*($T69*(1-$F69)+$S69*(1-$G69))*((1+Inputs!$D$7)^CH$2))))))))</f>
        <v>4.5484149730505914</v>
      </c>
      <c r="CI69" s="88">
        <f>MAX(AS69,($E69*IF(CI$2&gt;Inputs!$D$5,0,IF(CI$2&gt;VLOOKUP($H69,Lists!$P$3:$Q$7,2),IF($N69=Lists!$K$3,IF($L69&lt;1,(($U69/$L69)*((1+Inputs!$D$7)^CI$2)),((INT(CI$2/$L69)-INT((CI$2-1)/$L69))*$U69*((1+Inputs!$D$7)^CI$2))),(Inputs!$D$8^((1-_xlfn.WEIBULL.DIST(CI$2,$M69,$L69,FALSE))/_xlfn.WEIBULL.DIST(CI$2,$M69,$L69,FALSE))*$U69*((1+Inputs!$D$7)^CI$2))),IF($N69=Lists!$K$3,IF($L69&lt;1,((($T69*(1-$F69)+$S69*(1-$G69))/$L69)*((1+Inputs!$D$7)^CI$2)),((INT(CI$2/$L69)-INT((CI$2-1)/$L69))*($T69*(1-$F69)+$S69*(1-$G69))*((1+Inputs!$D$7)^CI$2))),((Inputs!$D$8^((1-_xlfn.WEIBULL.DIST(CI$2,$M69,$L69,FALSE))/_xlfn.WEIBULL.DIST(CI$2,$M69,$L69,FALSE))*($T69*(1-$F69)+$S69*(1-$G69))*((1+Inputs!$D$7)^CI$2))))))))</f>
        <v>4.6393832725116031</v>
      </c>
      <c r="CJ69" s="88">
        <f>MAX(AT69,($E69*IF(CJ$2&gt;Inputs!$D$5,0,IF(CJ$2&gt;VLOOKUP($H69,Lists!$P$3:$Q$7,2),IF($N69=Lists!$K$3,IF($L69&lt;1,(($U69/$L69)*((1+Inputs!$D$7)^CJ$2)),((INT(CJ$2/$L69)-INT((CJ$2-1)/$L69))*$U69*((1+Inputs!$D$7)^CJ$2))),(Inputs!$D$8^((1-_xlfn.WEIBULL.DIST(CJ$2,$M69,$L69,FALSE))/_xlfn.WEIBULL.DIST(CJ$2,$M69,$L69,FALSE))*$U69*((1+Inputs!$D$7)^CJ$2))),IF($N69=Lists!$K$3,IF($L69&lt;1,((($T69*(1-$F69)+$S69*(1-$G69))/$L69)*((1+Inputs!$D$7)^CJ$2)),((INT(CJ$2/$L69)-INT((CJ$2-1)/$L69))*($T69*(1-$F69)+$S69*(1-$G69))*((1+Inputs!$D$7)^CJ$2))),((Inputs!$D$8^((1-_xlfn.WEIBULL.DIST(CJ$2,$M69,$L69,FALSE))/_xlfn.WEIBULL.DIST(CJ$2,$M69,$L69,FALSE))*($T69*(1-$F69)+$S69*(1-$G69))*((1+Inputs!$D$7)^CJ$2))))))))</f>
        <v>4.7321709379618353</v>
      </c>
      <c r="CK69" s="88">
        <f>MAX(AU69,($E69*IF(CK$2&gt;Inputs!$D$5,0,IF(CK$2&gt;VLOOKUP($H69,Lists!$P$3:$Q$7,2),IF($N69=Lists!$K$3,IF($L69&lt;1,(($U69/$L69)*((1+Inputs!$D$7)^CK$2)),((INT(CK$2/$L69)-INT((CK$2-1)/$L69))*$U69*((1+Inputs!$D$7)^CK$2))),(Inputs!$D$8^((1-_xlfn.WEIBULL.DIST(CK$2,$M69,$L69,FALSE))/_xlfn.WEIBULL.DIST(CK$2,$M69,$L69,FALSE))*$U69*((1+Inputs!$D$7)^CK$2))),IF($N69=Lists!$K$3,IF($L69&lt;1,((($T69*(1-$F69)+$S69*(1-$G69))/$L69)*((1+Inputs!$D$7)^CK$2)),((INT(CK$2/$L69)-INT((CK$2-1)/$L69))*($T69*(1-$F69)+$S69*(1-$G69))*((1+Inputs!$D$7)^CK$2))),((Inputs!$D$8^((1-_xlfn.WEIBULL.DIST(CK$2,$M69,$L69,FALSE))/_xlfn.WEIBULL.DIST(CK$2,$M69,$L69,FALSE))*($T69*(1-$F69)+$S69*(1-$G69))*((1+Inputs!$D$7)^CK$2))))))))</f>
        <v>4.826814356721072</v>
      </c>
      <c r="CL69" s="88">
        <f>MAX(AV69,($E69*IF(CL$2&gt;Inputs!$D$5,0,IF(CL$2&gt;VLOOKUP($H69,Lists!$P$3:$Q$7,2),IF($N69=Lists!$K$3,IF($L69&lt;1,(($U69/$L69)*((1+Inputs!$D$7)^CL$2)),((INT(CL$2/$L69)-INT((CL$2-1)/$L69))*$U69*((1+Inputs!$D$7)^CL$2))),(Inputs!$D$8^((1-_xlfn.WEIBULL.DIST(CL$2,$M69,$L69,FALSE))/_xlfn.WEIBULL.DIST(CL$2,$M69,$L69,FALSE))*$U69*((1+Inputs!$D$7)^CL$2))),IF($N69=Lists!$K$3,IF($L69&lt;1,((($T69*(1-$F69)+$S69*(1-$G69))/$L69)*((1+Inputs!$D$7)^CL$2)),((INT(CL$2/$L69)-INT((CL$2-1)/$L69))*($T69*(1-$F69)+$S69*(1-$G69))*((1+Inputs!$D$7)^CL$2))),((Inputs!$D$8^((1-_xlfn.WEIBULL.DIST(CL$2,$M69,$L69,FALSE))/_xlfn.WEIBULL.DIST(CL$2,$M69,$L69,FALSE))*($T69*(1-$F69)+$S69*(1-$G69))*((1+Inputs!$D$7)^CL$2))))))))</f>
        <v>4.9233506438554935</v>
      </c>
      <c r="CM69" s="88">
        <f>MAX(AW69,($E69*IF(CM$2&gt;Inputs!$D$5,0,IF(CM$2&gt;VLOOKUP($H69,Lists!$P$3:$Q$7,2),IF($N69=Lists!$K$3,IF($L69&lt;1,(($U69/$L69)*((1+Inputs!$D$7)^CM$2)),((INT(CM$2/$L69)-INT((CM$2-1)/$L69))*$U69*((1+Inputs!$D$7)^CM$2))),(Inputs!$D$8^((1-_xlfn.WEIBULL.DIST(CM$2,$M69,$L69,FALSE))/_xlfn.WEIBULL.DIST(CM$2,$M69,$L69,FALSE))*$U69*((1+Inputs!$D$7)^CM$2))),IF($N69=Lists!$K$3,IF($L69&lt;1,((($T69*(1-$F69)+$S69*(1-$G69))/$L69)*((1+Inputs!$D$7)^CM$2)),((INT(CM$2/$L69)-INT((CM$2-1)/$L69))*($T69*(1-$F69)+$S69*(1-$G69))*((1+Inputs!$D$7)^CM$2))),((Inputs!$D$8^((1-_xlfn.WEIBULL.DIST(CM$2,$M69,$L69,FALSE))/_xlfn.WEIBULL.DIST(CM$2,$M69,$L69,FALSE))*($T69*(1-$F69)+$S69*(1-$G69))*((1+Inputs!$D$7)^CM$2))))))))</f>
        <v>5.0218176567326029</v>
      </c>
      <c r="CN69" s="88">
        <f>MAX(AX69,($E69*IF(CN$2&gt;Inputs!$D$5,0,IF(CN$2&gt;VLOOKUP($H69,Lists!$P$3:$Q$7,2),IF($N69=Lists!$K$3,IF($L69&lt;1,(($U69/$L69)*((1+Inputs!$D$7)^CN$2)),((INT(CN$2/$L69)-INT((CN$2-1)/$L69))*$U69*((1+Inputs!$D$7)^CN$2))),(Inputs!$D$8^((1-_xlfn.WEIBULL.DIST(CN$2,$M69,$L69,FALSE))/_xlfn.WEIBULL.DIST(CN$2,$M69,$L69,FALSE))*$U69*((1+Inputs!$D$7)^CN$2))),IF($N69=Lists!$K$3,IF($L69&lt;1,((($T69*(1-$F69)+$S69*(1-$G69))/$L69)*((1+Inputs!$D$7)^CN$2)),((INT(CN$2/$L69)-INT((CN$2-1)/$L69))*($T69*(1-$F69)+$S69*(1-$G69))*((1+Inputs!$D$7)^CN$2))),((Inputs!$D$8^((1-_xlfn.WEIBULL.DIST(CN$2,$M69,$L69,FALSE))/_xlfn.WEIBULL.DIST(CN$2,$M69,$L69,FALSE))*($T69*(1-$F69)+$S69*(1-$G69))*((1+Inputs!$D$7)^CN$2))))))))</f>
        <v>5.1222540098672544</v>
      </c>
      <c r="CO69" s="88">
        <f>MAX(AY69,($E69*IF(CO$2&gt;Inputs!$D$5,0,IF(CO$2&gt;VLOOKUP($H69,Lists!$P$3:$Q$7,2),IF($N69=Lists!$K$3,IF($L69&lt;1,(($U69/$L69)*((1+Inputs!$D$7)^CO$2)),((INT(CO$2/$L69)-INT((CO$2-1)/$L69))*$U69*((1+Inputs!$D$7)^CO$2))),(Inputs!$D$8^((1-_xlfn.WEIBULL.DIST(CO$2,$M69,$L69,FALSE))/_xlfn.WEIBULL.DIST(CO$2,$M69,$L69,FALSE))*$U69*((1+Inputs!$D$7)^CO$2))),IF($N69=Lists!$K$3,IF($L69&lt;1,((($T69*(1-$F69)+$S69*(1-$G69))/$L69)*((1+Inputs!$D$7)^CO$2)),((INT(CO$2/$L69)-INT((CO$2-1)/$L69))*($T69*(1-$F69)+$S69*(1-$G69))*((1+Inputs!$D$7)^CO$2))),((Inputs!$D$8^((1-_xlfn.WEIBULL.DIST(CO$2,$M69,$L69,FALSE))/_xlfn.WEIBULL.DIST(CO$2,$M69,$L69,FALSE))*($T69*(1-$F69)+$S69*(1-$G69))*((1+Inputs!$D$7)^CO$2))))))))</f>
        <v>5.2246990900645995</v>
      </c>
      <c r="CP69" s="88">
        <f>MAX(AZ69,($E69*IF(CP$2&gt;Inputs!$D$5,0,IF(CP$2&gt;VLOOKUP($H69,Lists!$P$3:$Q$7,2),IF($N69=Lists!$K$3,IF($L69&lt;1,(($U69/$L69)*((1+Inputs!$D$7)^CP$2)),((INT(CP$2/$L69)-INT((CP$2-1)/$L69))*$U69*((1+Inputs!$D$7)^CP$2))),(Inputs!$D$8^((1-_xlfn.WEIBULL.DIST(CP$2,$M69,$L69,FALSE))/_xlfn.WEIBULL.DIST(CP$2,$M69,$L69,FALSE))*$U69*((1+Inputs!$D$7)^CP$2))),IF($N69=Lists!$K$3,IF($L69&lt;1,((($T69*(1-$F69)+$S69*(1-$G69))/$L69)*((1+Inputs!$D$7)^CP$2)),((INT(CP$2/$L69)-INT((CP$2-1)/$L69))*($T69*(1-$F69)+$S69*(1-$G69))*((1+Inputs!$D$7)^CP$2))),((Inputs!$D$8^((1-_xlfn.WEIBULL.DIST(CP$2,$M69,$L69,FALSE))/_xlfn.WEIBULL.DIST(CP$2,$M69,$L69,FALSE))*($T69*(1-$F69)+$S69*(1-$G69))*((1+Inputs!$D$7)^CP$2))))))))</f>
        <v>0</v>
      </c>
      <c r="CQ69" s="88">
        <f>MAX(BA69,($E69*IF(CQ$2&gt;Inputs!$D$5,0,IF(CQ$2&gt;VLOOKUP($H69,Lists!$P$3:$Q$7,2),IF($N69=Lists!$K$3,IF($L69&lt;1,(($U69/$L69)*((1+Inputs!$D$7)^CQ$2)),((INT(CQ$2/$L69)-INT((CQ$2-1)/$L69))*$U69*((1+Inputs!$D$7)^CQ$2))),(Inputs!$D$8^((1-_xlfn.WEIBULL.DIST(CQ$2,$M69,$L69,FALSE))/_xlfn.WEIBULL.DIST(CQ$2,$M69,$L69,FALSE))*$U69*((1+Inputs!$D$7)^CQ$2))),IF($N69=Lists!$K$3,IF($L69&lt;1,((($T69*(1-$F69)+$S69*(1-$G69))/$L69)*((1+Inputs!$D$7)^CQ$2)),((INT(CQ$2/$L69)-INT((CQ$2-1)/$L69))*($T69*(1-$F69)+$S69*(1-$G69))*((1+Inputs!$D$7)^CQ$2))),((Inputs!$D$8^((1-_xlfn.WEIBULL.DIST(CQ$2,$M69,$L69,FALSE))/_xlfn.WEIBULL.DIST(CQ$2,$M69,$L69,FALSE))*($T69*(1-$F69)+$S69*(1-$G69))*((1+Inputs!$D$7)^CQ$2))))))))</f>
        <v>0</v>
      </c>
      <c r="CR69" s="88">
        <f>MAX(BB69,($E69*IF(CR$2&gt;Inputs!$D$5,0,IF(CR$2&gt;VLOOKUP($H69,Lists!$P$3:$Q$7,2),IF($N69=Lists!$K$3,IF($L69&lt;1,(($U69/$L69)*((1+Inputs!$D$7)^CR$2)),((INT(CR$2/$L69)-INT((CR$2-1)/$L69))*$U69*((1+Inputs!$D$7)^CR$2))),(Inputs!$D$8^((1-_xlfn.WEIBULL.DIST(CR$2,$M69,$L69,FALSE))/_xlfn.WEIBULL.DIST(CR$2,$M69,$L69,FALSE))*$U69*((1+Inputs!$D$7)^CR$2))),IF($N69=Lists!$K$3,IF($L69&lt;1,((($T69*(1-$F69)+$S69*(1-$G69))/$L69)*((1+Inputs!$D$7)^CR$2)),((INT(CR$2/$L69)-INT((CR$2-1)/$L69))*($T69*(1-$F69)+$S69*(1-$G69))*((1+Inputs!$D$7)^CR$2))),((Inputs!$D$8^((1-_xlfn.WEIBULL.DIST(CR$2,$M69,$L69,FALSE))/_xlfn.WEIBULL.DIST(CR$2,$M69,$L69,FALSE))*($T69*(1-$F69)+$S69*(1-$G69))*((1+Inputs!$D$7)^CR$2))))))))</f>
        <v>0</v>
      </c>
      <c r="CS69" s="88">
        <f>MAX(BC69,($E69*IF(CS$2&gt;Inputs!$D$5,0,IF(CS$2&gt;VLOOKUP($H69,Lists!$P$3:$Q$7,2),IF($N69=Lists!$K$3,IF($L69&lt;1,(($U69/$L69)*((1+Inputs!$D$7)^CS$2)),((INT(CS$2/$L69)-INT((CS$2-1)/$L69))*$U69*((1+Inputs!$D$7)^CS$2))),(Inputs!$D$8^((1-_xlfn.WEIBULL.DIST(CS$2,$M69,$L69,FALSE))/_xlfn.WEIBULL.DIST(CS$2,$M69,$L69,FALSE))*$U69*((1+Inputs!$D$7)^CS$2))),IF($N69=Lists!$K$3,IF($L69&lt;1,((($T69*(1-$F69)+$S69*(1-$G69))/$L69)*((1+Inputs!$D$7)^CS$2)),((INT(CS$2/$L69)-INT((CS$2-1)/$L69))*($T69*(1-$F69)+$S69*(1-$G69))*((1+Inputs!$D$7)^CS$2))),((Inputs!$D$8^((1-_xlfn.WEIBULL.DIST(CS$2,$M69,$L69,FALSE))/_xlfn.WEIBULL.DIST(CS$2,$M69,$L69,FALSE))*($T69*(1-$F69)+$S69*(1-$G69))*((1+Inputs!$D$7)^CS$2))))))))</f>
        <v>0</v>
      </c>
      <c r="CT69" s="88">
        <f>MAX(BD69,($E69*IF(CT$2&gt;Inputs!$D$5,0,IF(CT$2&gt;VLOOKUP($H69,Lists!$P$3:$Q$7,2),IF($N69=Lists!$K$3,IF($L69&lt;1,(($U69/$L69)*((1+Inputs!$D$7)^CT$2)),((INT(CT$2/$L69)-INT((CT$2-1)/$L69))*$U69*((1+Inputs!$D$7)^CT$2))),(Inputs!$D$8^((1-_xlfn.WEIBULL.DIST(CT$2,$M69,$L69,FALSE))/_xlfn.WEIBULL.DIST(CT$2,$M69,$L69,FALSE))*$U69*((1+Inputs!$D$7)^CT$2))),IF($N69=Lists!$K$3,IF($L69&lt;1,((($T69*(1-$F69)+$S69*(1-$G69))/$L69)*((1+Inputs!$D$7)^CT$2)),((INT(CT$2/$L69)-INT((CT$2-1)/$L69))*($T69*(1-$F69)+$S69*(1-$G69))*((1+Inputs!$D$7)^CT$2))),((Inputs!$D$8^((1-_xlfn.WEIBULL.DIST(CT$2,$M69,$L69,FALSE))/_xlfn.WEIBULL.DIST(CT$2,$M69,$L69,FALSE))*($T69*(1-$F69)+$S69*(1-$G69))*((1+Inputs!$D$7)^CT$2))))))))</f>
        <v>0</v>
      </c>
      <c r="CU69" s="88">
        <f>MAX(BE69,($E69*IF(CU$2&gt;Inputs!$D$5,0,IF(CU$2&gt;VLOOKUP($H69,Lists!$P$3:$Q$7,2),IF($N69=Lists!$K$3,IF($L69&lt;1,(($U69/$L69)*((1+Inputs!$D$7)^CU$2)),((INT(CU$2/$L69)-INT((CU$2-1)/$L69))*$U69*((1+Inputs!$D$7)^CU$2))),(Inputs!$D$8^((1-_xlfn.WEIBULL.DIST(CU$2,$M69,$L69,FALSE))/_xlfn.WEIBULL.DIST(CU$2,$M69,$L69,FALSE))*$U69*((1+Inputs!$D$7)^CU$2))),IF($N69=Lists!$K$3,IF($L69&lt;1,((($T69*(1-$F69)+$S69*(1-$G69))/$L69)*((1+Inputs!$D$7)^CU$2)),((INT(CU$2/$L69)-INT((CU$2-1)/$L69))*($T69*(1-$F69)+$S69*(1-$G69))*((1+Inputs!$D$7)^CU$2))),((Inputs!$D$8^((1-_xlfn.WEIBULL.DIST(CU$2,$M69,$L69,FALSE))/_xlfn.WEIBULL.DIST(CU$2,$M69,$L69,FALSE))*($T69*(1-$F69)+$S69*(1-$G69))*((1+Inputs!$D$7)^CU$2))))))))</f>
        <v>0</v>
      </c>
      <c r="CV69" s="88">
        <f>MAX(BF69,($E69*IF(CV$2&gt;Inputs!$D$5,0,IF(CV$2&gt;VLOOKUP($H69,Lists!$P$3:$Q$7,2),IF($N69=Lists!$K$3,IF($L69&lt;1,(($U69/$L69)*((1+Inputs!$D$7)^CV$2)),((INT(CV$2/$L69)-INT((CV$2-1)/$L69))*$U69*((1+Inputs!$D$7)^CV$2))),(Inputs!$D$8^((1-_xlfn.WEIBULL.DIST(CV$2,$M69,$L69,FALSE))/_xlfn.WEIBULL.DIST(CV$2,$M69,$L69,FALSE))*$U69*((1+Inputs!$D$7)^CV$2))),IF($N69=Lists!$K$3,IF($L69&lt;1,((($T69*(1-$F69)+$S69*(1-$G69))/$L69)*((1+Inputs!$D$7)^CV$2)),((INT(CV$2/$L69)-INT((CV$2-1)/$L69))*($T69*(1-$F69)+$S69*(1-$G69))*((1+Inputs!$D$7)^CV$2))),((Inputs!$D$8^((1-_xlfn.WEIBULL.DIST(CV$2,$M69,$L69,FALSE))/_xlfn.WEIBULL.DIST(CV$2,$M69,$L69,FALSE))*($T69*(1-$F69)+$S69*(1-$G69))*((1+Inputs!$D$7)^CV$2))))))))</f>
        <v>0</v>
      </c>
      <c r="CW69" s="88">
        <f>MAX(BG69,($E69*IF(CW$2&gt;Inputs!$D$5,0,IF(CW$2&gt;VLOOKUP($H69,Lists!$P$3:$Q$7,2),IF($N69=Lists!$K$3,IF($L69&lt;1,(($U69/$L69)*((1+Inputs!$D$7)^CW$2)),((INT(CW$2/$L69)-INT((CW$2-1)/$L69))*$U69*((1+Inputs!$D$7)^CW$2))),(Inputs!$D$8^((1-_xlfn.WEIBULL.DIST(CW$2,$M69,$L69,FALSE))/_xlfn.WEIBULL.DIST(CW$2,$M69,$L69,FALSE))*$U69*((1+Inputs!$D$7)^CW$2))),IF($N69=Lists!$K$3,IF($L69&lt;1,((($T69*(1-$F69)+$S69*(1-$G69))/$L69)*((1+Inputs!$D$7)^CW$2)),((INT(CW$2/$L69)-INT((CW$2-1)/$L69))*($T69*(1-$F69)+$S69*(1-$G69))*((1+Inputs!$D$7)^CW$2))),((Inputs!$D$8^((1-_xlfn.WEIBULL.DIST(CW$2,$M69,$L69,FALSE))/_xlfn.WEIBULL.DIST(CW$2,$M69,$L69,FALSE))*($T69*(1-$F69)+$S69*(1-$G69))*((1+Inputs!$D$7)^CW$2))))))))</f>
        <v>0</v>
      </c>
      <c r="CX69" s="88">
        <f>MAX(BH69,($E69*IF(CX$2&gt;Inputs!$D$5,0,IF(CX$2&gt;VLOOKUP($H69,Lists!$P$3:$Q$7,2),IF($N69=Lists!$K$3,IF($L69&lt;1,(($U69/$L69)*((1+Inputs!$D$7)^CX$2)),((INT(CX$2/$L69)-INT((CX$2-1)/$L69))*$U69*((1+Inputs!$D$7)^CX$2))),(Inputs!$D$8^((1-_xlfn.WEIBULL.DIST(CX$2,$M69,$L69,FALSE))/_xlfn.WEIBULL.DIST(CX$2,$M69,$L69,FALSE))*$U69*((1+Inputs!$D$7)^CX$2))),IF($N69=Lists!$K$3,IF($L69&lt;1,((($T69*(1-$F69)+$S69*(1-$G69))/$L69)*((1+Inputs!$D$7)^CX$2)),((INT(CX$2/$L69)-INT((CX$2-1)/$L69))*($T69*(1-$F69)+$S69*(1-$G69))*((1+Inputs!$D$7)^CX$2))),((Inputs!$D$8^((1-_xlfn.WEIBULL.DIST(CX$2,$M69,$L69,FALSE))/_xlfn.WEIBULL.DIST(CX$2,$M69,$L69,FALSE))*($T69*(1-$F69)+$S69*(1-$G69))*((1+Inputs!$D$7)^CX$2))))))))</f>
        <v>0</v>
      </c>
      <c r="CY69" s="88">
        <f>MAX(BI69,($E69*IF(CY$2&gt;Inputs!$D$5,0,IF(CY$2&gt;VLOOKUP($H69,Lists!$P$3:$Q$7,2),IF($N69=Lists!$K$3,IF($L69&lt;1,(($U69/$L69)*((1+Inputs!$D$7)^CY$2)),((INT(CY$2/$L69)-INT((CY$2-1)/$L69))*$U69*((1+Inputs!$D$7)^CY$2))),(Inputs!$D$8^((1-_xlfn.WEIBULL.DIST(CY$2,$M69,$L69,FALSE))/_xlfn.WEIBULL.DIST(CY$2,$M69,$L69,FALSE))*$U69*((1+Inputs!$D$7)^CY$2))),IF($N69=Lists!$K$3,IF($L69&lt;1,((($T69*(1-$F69)+$S69*(1-$G69))/$L69)*((1+Inputs!$D$7)^CY$2)),((INT(CY$2/$L69)-INT((CY$2-1)/$L69))*($T69*(1-$F69)+$S69*(1-$G69))*((1+Inputs!$D$7)^CY$2))),((Inputs!$D$8^((1-_xlfn.WEIBULL.DIST(CY$2,$M69,$L69,FALSE))/_xlfn.WEIBULL.DIST(CY$2,$M69,$L69,FALSE))*($T69*(1-$F69)+$S69*(1-$G69))*((1+Inputs!$D$7)^CY$2))))))))</f>
        <v>0</v>
      </c>
      <c r="CZ69" s="88">
        <f>MAX(BJ69,($E69*IF(CZ$2&gt;Inputs!$D$5,0,IF(CZ$2&gt;VLOOKUP($H69,Lists!$P$3:$Q$7,2),IF($N69=Lists!$K$3,IF($L69&lt;1,(($U69/$L69)*((1+Inputs!$D$7)^CZ$2)),((INT(CZ$2/$L69)-INT((CZ$2-1)/$L69))*$U69*((1+Inputs!$D$7)^CZ$2))),(Inputs!$D$8^((1-_xlfn.WEIBULL.DIST(CZ$2,$M69,$L69,FALSE))/_xlfn.WEIBULL.DIST(CZ$2,$M69,$L69,FALSE))*$U69*((1+Inputs!$D$7)^CZ$2))),IF($N69=Lists!$K$3,IF($L69&lt;1,((($T69*(1-$F69)+$S69*(1-$G69))/$L69)*((1+Inputs!$D$7)^CZ$2)),((INT(CZ$2/$L69)-INT((CZ$2-1)/$L69))*($T69*(1-$F69)+$S69*(1-$G69))*((1+Inputs!$D$7)^CZ$2))),((Inputs!$D$8^((1-_xlfn.WEIBULL.DIST(CZ$2,$M69,$L69,FALSE))/_xlfn.WEIBULL.DIST(CZ$2,$M69,$L69,FALSE))*($T69*(1-$F69)+$S69*(1-$G69))*((1+Inputs!$D$7)^CZ$2))))))))</f>
        <v>0</v>
      </c>
      <c r="DA69" s="88">
        <f>MAX(BK69,($E69*IF(DA$2&gt;Inputs!$D$5,0,IF(DA$2&gt;VLOOKUP($H69,Lists!$P$3:$Q$7,2),IF($N69=Lists!$K$3,IF($L69&lt;1,(($U69/$L69)*((1+Inputs!$D$7)^DA$2)),((INT(DA$2/$L69)-INT((DA$2-1)/$L69))*$U69*((1+Inputs!$D$7)^DA$2))),(Inputs!$D$8^((1-_xlfn.WEIBULL.DIST(DA$2,$M69,$L69,FALSE))/_xlfn.WEIBULL.DIST(DA$2,$M69,$L69,FALSE))*$U69*((1+Inputs!$D$7)^DA$2))),IF($N69=Lists!$K$3,IF($L69&lt;1,((($T69*(1-$F69)+$S69*(1-$G69))/$L69)*((1+Inputs!$D$7)^DA$2)),((INT(DA$2/$L69)-INT((DA$2-1)/$L69))*($T69*(1-$F69)+$S69*(1-$G69))*((1+Inputs!$D$7)^DA$2))),((Inputs!$D$8^((1-_xlfn.WEIBULL.DIST(DA$2,$M69,$L69,FALSE))/_xlfn.WEIBULL.DIST(DA$2,$M69,$L69,FALSE))*($T69*(1-$F69)+$S69*(1-$G69))*((1+Inputs!$D$7)^DA$2))))))))</f>
        <v>0</v>
      </c>
      <c r="DB69" s="88">
        <f>MAX(BL69,($E69*IF(DB$2&gt;Inputs!$D$5,0,IF(DB$2&gt;VLOOKUP($H69,Lists!$P$3:$Q$7,2),IF($N69=Lists!$K$3,IF($L69&lt;1,(($U69/$L69)*((1+Inputs!$D$7)^DB$2)),((INT(DB$2/$L69)-INT((DB$2-1)/$L69))*$U69*((1+Inputs!$D$7)^DB$2))),(Inputs!$D$8^((1-_xlfn.WEIBULL.DIST(DB$2,$M69,$L69,FALSE))/_xlfn.WEIBULL.DIST(DB$2,$M69,$L69,FALSE))*$U69*((1+Inputs!$D$7)^DB$2))),IF($N69=Lists!$K$3,IF($L69&lt;1,((($T69*(1-$F69)+$S69*(1-$G69))/$L69)*((1+Inputs!$D$7)^DB$2)),((INT(DB$2/$L69)-INT((DB$2-1)/$L69))*($T69*(1-$F69)+$S69*(1-$G69))*((1+Inputs!$D$7)^DB$2))),((Inputs!$D$8^((1-_xlfn.WEIBULL.DIST(DB$2,$M69,$L69,FALSE))/_xlfn.WEIBULL.DIST(DB$2,$M69,$L69,FALSE))*($T69*(1-$F69)+$S69*(1-$G69))*((1+Inputs!$D$7)^DB$2))))))))</f>
        <v>0</v>
      </c>
      <c r="DC69" s="88">
        <f>MAX(BM69,($E69*IF(DC$2&gt;Inputs!$D$5,0,IF(DC$2&gt;VLOOKUP($H69,Lists!$P$3:$Q$7,2),IF($N69=Lists!$K$3,IF($L69&lt;1,(($U69/$L69)*((1+Inputs!$D$7)^DC$2)),((INT(DC$2/$L69)-INT((DC$2-1)/$L69))*$U69*((1+Inputs!$D$7)^DC$2))),(Inputs!$D$8^((1-_xlfn.WEIBULL.DIST(DC$2,$M69,$L69,FALSE))/_xlfn.WEIBULL.DIST(DC$2,$M69,$L69,FALSE))*$U69*((1+Inputs!$D$7)^DC$2))),IF($N69=Lists!$K$3,IF($L69&lt;1,((($T69*(1-$F69)+$S69*(1-$G69))/$L69)*((1+Inputs!$D$7)^DC$2)),((INT(DC$2/$L69)-INT((DC$2-1)/$L69))*($T69*(1-$F69)+$S69*(1-$G69))*((1+Inputs!$D$7)^DC$2))),((Inputs!$D$8^((1-_xlfn.WEIBULL.DIST(DC$2,$M69,$L69,FALSE))/_xlfn.WEIBULL.DIST(DC$2,$M69,$L69,FALSE))*($T69*(1-$F69)+$S69*(1-$G69))*((1+Inputs!$D$7)^DC$2))))))))</f>
        <v>0</v>
      </c>
      <c r="DD69" s="88">
        <f>MAX(BN69,($E69*IF(DD$2&gt;Inputs!$D$5,0,IF(DD$2&gt;VLOOKUP($H69,Lists!$P$3:$Q$7,2),IF($N69=Lists!$K$3,IF($L69&lt;1,(($U69/$L69)*((1+Inputs!$D$7)^DD$2)),((INT(DD$2/$L69)-INT((DD$2-1)/$L69))*$U69*((1+Inputs!$D$7)^DD$2))),(Inputs!$D$8^((1-_xlfn.WEIBULL.DIST(DD$2,$M69,$L69,FALSE))/_xlfn.WEIBULL.DIST(DD$2,$M69,$L69,FALSE))*$U69*((1+Inputs!$D$7)^DD$2))),IF($N69=Lists!$K$3,IF($L69&lt;1,((($T69*(1-$F69)+$S69*(1-$G69))/$L69)*((1+Inputs!$D$7)^DD$2)),((INT(DD$2/$L69)-INT((DD$2-1)/$L69))*($T69*(1-$F69)+$S69*(1-$G69))*((1+Inputs!$D$7)^DD$2))),((Inputs!$D$8^((1-_xlfn.WEIBULL.DIST(DD$2,$M69,$L69,FALSE))/_xlfn.WEIBULL.DIST(DD$2,$M69,$L69,FALSE))*($T69*(1-$F69)+$S69*(1-$G69))*((1+Inputs!$D$7)^DD$2))))))))</f>
        <v>0</v>
      </c>
    </row>
    <row r="70" spans="1:108" s="1" customFormat="1" ht="32">
      <c r="A70" s="57" t="s">
        <v>321</v>
      </c>
      <c r="B70" s="13" t="s">
        <v>279</v>
      </c>
      <c r="C70" s="13" t="s">
        <v>471</v>
      </c>
      <c r="D70" s="13" t="s">
        <v>166</v>
      </c>
      <c r="E70" s="48">
        <f>IF(Inputs!$D$41=Lists!$I$4,0,1)</f>
        <v>1</v>
      </c>
      <c r="F70" s="48">
        <v>1</v>
      </c>
      <c r="G70" s="48">
        <v>1</v>
      </c>
      <c r="H70" s="105" t="s">
        <v>165</v>
      </c>
      <c r="I70" s="14" t="s">
        <v>164</v>
      </c>
      <c r="J70" s="14" t="s">
        <v>248</v>
      </c>
      <c r="K70" s="13">
        <f>VLOOKUP(J70,'Labor Rates'!$A$1:$F$16,2)</f>
        <v>22.995576923076925</v>
      </c>
      <c r="L70" s="15">
        <v>1</v>
      </c>
      <c r="M70" s="15">
        <v>1</v>
      </c>
      <c r="N70" s="13" t="s">
        <v>236</v>
      </c>
      <c r="O70" s="61">
        <v>1</v>
      </c>
      <c r="P70" s="15">
        <v>1</v>
      </c>
      <c r="Q70" s="15">
        <f t="shared" si="14"/>
        <v>1</v>
      </c>
      <c r="R70" s="4">
        <v>50</v>
      </c>
      <c r="S70" s="53">
        <f t="shared" si="15"/>
        <v>22.995576923076925</v>
      </c>
      <c r="T70" s="53">
        <f t="shared" si="16"/>
        <v>50</v>
      </c>
      <c r="U70" s="54">
        <f t="shared" si="17"/>
        <v>72.995576923076925</v>
      </c>
      <c r="V70" s="65"/>
      <c r="W70" s="58"/>
      <c r="X70" s="64">
        <f t="shared" si="18"/>
        <v>90.453626835452553</v>
      </c>
      <c r="Y70" s="64">
        <f>NPV(Inputs!$D$6,AA70:BN70)</f>
        <v>1038.9812138332254</v>
      </c>
      <c r="Z70" s="67">
        <f t="shared" si="19"/>
        <v>4.9003426424212761E-4</v>
      </c>
      <c r="AA70" s="88">
        <f>$E70*IF(AA$2&gt;Inputs!$D$5,0,IF(AA$2&gt;VLOOKUP($H70,Lists!$P$3:$Q$7,2),IF($N70=Lists!$K$3,IF($L70&lt;1,(($U70/$L70)*((1+Inputs!$D$7)^AA$2)),((INT(AA$2/$L70)-INT((AA$2-1)/$L70))*$U70*((1+Inputs!$D$7)^AA$2))),(_xlfn.WEIBULL.DIST(AA$2,$M70,$L70,FALSE)*$U70*((1+Inputs!$D$7)^AA$2))),IF($N70=Lists!$K$3,IF($L70&lt;1,((($T70*(1-$F70)+$S70*(1-$G70))/$L70)*((1+Inputs!$D$7)^AA$2)),((INT(AA$2/$L70)-INT((AA$2-1)/$L70))*($T70*(1-$F70)+$S70*(1-$G70))*((1+Inputs!$D$7)^AA$2))),((_xlfn.WEIBULL.DIST(AA$2,$M70,$L70,FALSE)*($T70*(1-$F70)+$S70*(1-$G70))*((1+Inputs!$D$7)^AA$2))))))</f>
        <v>74.455488461538465</v>
      </c>
      <c r="AB70" s="88">
        <f>$E70*IF(AB$2&gt;Inputs!$D$5,0,IF(AB$2&gt;VLOOKUP($H70,Lists!$P$3:$Q$7,2),IF($N70=Lists!$K$3,IF($L70&lt;1,(($U70/$L70)*((1+Inputs!$D$7)^AB$2)),((INT(AB$2/$L70)-INT((AB$2-1)/$L70))*$U70*((1+Inputs!$D$7)^AB$2))),(_xlfn.WEIBULL.DIST(AB$2,$M70,$L70,FALSE)*$U70*((1+Inputs!$D$7)^AB$2))),IF($N70=Lists!$K$3,IF($L70&lt;1,((($T70*(1-$F70)+$S70*(1-$G70))/$L70)*((1+Inputs!$D$7)^AB$2)),((INT(AB$2/$L70)-INT((AB$2-1)/$L70))*($T70*(1-$F70)+$S70*(1-$G70))*((1+Inputs!$D$7)^AB$2))),((_xlfn.WEIBULL.DIST(AB$2,$M70,$L70,FALSE)*($T70*(1-$F70)+$S70*(1-$G70))*((1+Inputs!$D$7)^AB$2))))))</f>
        <v>75.94459823076923</v>
      </c>
      <c r="AC70" s="88">
        <f>$E70*IF(AC$2&gt;Inputs!$D$5,0,IF(AC$2&gt;VLOOKUP($H70,Lists!$P$3:$Q$7,2),IF($N70=Lists!$K$3,IF($L70&lt;1,(($U70/$L70)*((1+Inputs!$D$7)^AC$2)),((INT(AC$2/$L70)-INT((AC$2-1)/$L70))*$U70*((1+Inputs!$D$7)^AC$2))),(_xlfn.WEIBULL.DIST(AC$2,$M70,$L70,FALSE)*$U70*((1+Inputs!$D$7)^AC$2))),IF($N70=Lists!$K$3,IF($L70&lt;1,((($T70*(1-$F70)+$S70*(1-$G70))/$L70)*((1+Inputs!$D$7)^AC$2)),((INT(AC$2/$L70)-INT((AC$2-1)/$L70))*($T70*(1-$F70)+$S70*(1-$G70))*((1+Inputs!$D$7)^AC$2))),((_xlfn.WEIBULL.DIST(AC$2,$M70,$L70,FALSE)*($T70*(1-$F70)+$S70*(1-$G70))*((1+Inputs!$D$7)^AC$2))))))</f>
        <v>77.463490195384608</v>
      </c>
      <c r="AD70" s="88">
        <f>$E70*IF(AD$2&gt;Inputs!$D$5,0,IF(AD$2&gt;VLOOKUP($H70,Lists!$P$3:$Q$7,2),IF($N70=Lists!$K$3,IF($L70&lt;1,(($U70/$L70)*((1+Inputs!$D$7)^AD$2)),((INT(AD$2/$L70)-INT((AD$2-1)/$L70))*$U70*((1+Inputs!$D$7)^AD$2))),(_xlfn.WEIBULL.DIST(AD$2,$M70,$L70,FALSE)*$U70*((1+Inputs!$D$7)^AD$2))),IF($N70=Lists!$K$3,IF($L70&lt;1,((($T70*(1-$F70)+$S70*(1-$G70))/$L70)*((1+Inputs!$D$7)^AD$2)),((INT(AD$2/$L70)-INT((AD$2-1)/$L70))*($T70*(1-$F70)+$S70*(1-$G70))*((1+Inputs!$D$7)^AD$2))),((_xlfn.WEIBULL.DIST(AD$2,$M70,$L70,FALSE)*($T70*(1-$F70)+$S70*(1-$G70))*((1+Inputs!$D$7)^AD$2))))))</f>
        <v>79.012759999292314</v>
      </c>
      <c r="AE70" s="88">
        <f>$E70*IF(AE$2&gt;Inputs!$D$5,0,IF(AE$2&gt;VLOOKUP($H70,Lists!$P$3:$Q$7,2),IF($N70=Lists!$K$3,IF($L70&lt;1,(($U70/$L70)*((1+Inputs!$D$7)^AE$2)),((INT(AE$2/$L70)-INT((AE$2-1)/$L70))*$U70*((1+Inputs!$D$7)^AE$2))),(_xlfn.WEIBULL.DIST(AE$2,$M70,$L70,FALSE)*$U70*((1+Inputs!$D$7)^AE$2))),IF($N70=Lists!$K$3,IF($L70&lt;1,((($T70*(1-$F70)+$S70*(1-$G70))/$L70)*((1+Inputs!$D$7)^AE$2)),((INT(AE$2/$L70)-INT((AE$2-1)/$L70))*($T70*(1-$F70)+$S70*(1-$G70))*((1+Inputs!$D$7)^AE$2))),((_xlfn.WEIBULL.DIST(AE$2,$M70,$L70,FALSE)*($T70*(1-$F70)+$S70*(1-$G70))*((1+Inputs!$D$7)^AE$2))))))</f>
        <v>80.593015199278156</v>
      </c>
      <c r="AF70" s="88">
        <f>$E70*IF(AF$2&gt;Inputs!$D$5,0,IF(AF$2&gt;VLOOKUP($H70,Lists!$P$3:$Q$7,2),IF($N70=Lists!$K$3,IF($L70&lt;1,(($U70/$L70)*((1+Inputs!$D$7)^AF$2)),((INT(AF$2/$L70)-INT((AF$2-1)/$L70))*$U70*((1+Inputs!$D$7)^AF$2))),(_xlfn.WEIBULL.DIST(AF$2,$M70,$L70,FALSE)*$U70*((1+Inputs!$D$7)^AF$2))),IF($N70=Lists!$K$3,IF($L70&lt;1,((($T70*(1-$F70)+$S70*(1-$G70))/$L70)*((1+Inputs!$D$7)^AF$2)),((INT(AF$2/$L70)-INT((AF$2-1)/$L70))*($T70*(1-$F70)+$S70*(1-$G70))*((1+Inputs!$D$7)^AF$2))),((_xlfn.WEIBULL.DIST(AF$2,$M70,$L70,FALSE)*($T70*(1-$F70)+$S70*(1-$G70))*((1+Inputs!$D$7)^AF$2))))))</f>
        <v>82.204875503263722</v>
      </c>
      <c r="AG70" s="88">
        <f>$E70*IF(AG$2&gt;Inputs!$D$5,0,IF(AG$2&gt;VLOOKUP($H70,Lists!$P$3:$Q$7,2),IF($N70=Lists!$K$3,IF($L70&lt;1,(($U70/$L70)*((1+Inputs!$D$7)^AG$2)),((INT(AG$2/$L70)-INT((AG$2-1)/$L70))*$U70*((1+Inputs!$D$7)^AG$2))),(_xlfn.WEIBULL.DIST(AG$2,$M70,$L70,FALSE)*$U70*((1+Inputs!$D$7)^AG$2))),IF($N70=Lists!$K$3,IF($L70&lt;1,((($T70*(1-$F70)+$S70*(1-$G70))/$L70)*((1+Inputs!$D$7)^AG$2)),((INT(AG$2/$L70)-INT((AG$2-1)/$L70))*($T70*(1-$F70)+$S70*(1-$G70))*((1+Inputs!$D$7)^AG$2))),((_xlfn.WEIBULL.DIST(AG$2,$M70,$L70,FALSE)*($T70*(1-$F70)+$S70*(1-$G70))*((1+Inputs!$D$7)^AG$2))))))</f>
        <v>83.848973013328987</v>
      </c>
      <c r="AH70" s="88">
        <f>$E70*IF(AH$2&gt;Inputs!$D$5,0,IF(AH$2&gt;VLOOKUP($H70,Lists!$P$3:$Q$7,2),IF($N70=Lists!$K$3,IF($L70&lt;1,(($U70/$L70)*((1+Inputs!$D$7)^AH$2)),((INT(AH$2/$L70)-INT((AH$2-1)/$L70))*$U70*((1+Inputs!$D$7)^AH$2))),(_xlfn.WEIBULL.DIST(AH$2,$M70,$L70,FALSE)*$U70*((1+Inputs!$D$7)^AH$2))),IF($N70=Lists!$K$3,IF($L70&lt;1,((($T70*(1-$F70)+$S70*(1-$G70))/$L70)*((1+Inputs!$D$7)^AH$2)),((INT(AH$2/$L70)-INT((AH$2-1)/$L70))*($T70*(1-$F70)+$S70*(1-$G70))*((1+Inputs!$D$7)^AH$2))),((_xlfn.WEIBULL.DIST(AH$2,$M70,$L70,FALSE)*($T70*(1-$F70)+$S70*(1-$G70))*((1+Inputs!$D$7)^AH$2))))))</f>
        <v>85.525952473595567</v>
      </c>
      <c r="AI70" s="88">
        <f>$E70*IF(AI$2&gt;Inputs!$D$5,0,IF(AI$2&gt;VLOOKUP($H70,Lists!$P$3:$Q$7,2),IF($N70=Lists!$K$3,IF($L70&lt;1,(($U70/$L70)*((1+Inputs!$D$7)^AI$2)),((INT(AI$2/$L70)-INT((AI$2-1)/$L70))*$U70*((1+Inputs!$D$7)^AI$2))),(_xlfn.WEIBULL.DIST(AI$2,$M70,$L70,FALSE)*$U70*((1+Inputs!$D$7)^AI$2))),IF($N70=Lists!$K$3,IF($L70&lt;1,((($T70*(1-$F70)+$S70*(1-$G70))/$L70)*((1+Inputs!$D$7)^AI$2)),((INT(AI$2/$L70)-INT((AI$2-1)/$L70))*($T70*(1-$F70)+$S70*(1-$G70))*((1+Inputs!$D$7)^AI$2))),((_xlfn.WEIBULL.DIST(AI$2,$M70,$L70,FALSE)*($T70*(1-$F70)+$S70*(1-$G70))*((1+Inputs!$D$7)^AI$2))))))</f>
        <v>87.236471523067479</v>
      </c>
      <c r="AJ70" s="88">
        <f>$E70*IF(AJ$2&gt;Inputs!$D$5,0,IF(AJ$2&gt;VLOOKUP($H70,Lists!$P$3:$Q$7,2),IF($N70=Lists!$K$3,IF($L70&lt;1,(($U70/$L70)*((1+Inputs!$D$7)^AJ$2)),((INT(AJ$2/$L70)-INT((AJ$2-1)/$L70))*$U70*((1+Inputs!$D$7)^AJ$2))),(_xlfn.WEIBULL.DIST(AJ$2,$M70,$L70,FALSE)*$U70*((1+Inputs!$D$7)^AJ$2))),IF($N70=Lists!$K$3,IF($L70&lt;1,((($T70*(1-$F70)+$S70*(1-$G70))/$L70)*((1+Inputs!$D$7)^AJ$2)),((INT(AJ$2/$L70)-INT((AJ$2-1)/$L70))*($T70*(1-$F70)+$S70*(1-$G70))*((1+Inputs!$D$7)^AJ$2))),((_xlfn.WEIBULL.DIST(AJ$2,$M70,$L70,FALSE)*($T70*(1-$F70)+$S70*(1-$G70))*((1+Inputs!$D$7)^AJ$2))))))</f>
        <v>88.981200953528827</v>
      </c>
      <c r="AK70" s="88">
        <f>$E70*IF(AK$2&gt;Inputs!$D$5,0,IF(AK$2&gt;VLOOKUP($H70,Lists!$P$3:$Q$7,2),IF($N70=Lists!$K$3,IF($L70&lt;1,(($U70/$L70)*((1+Inputs!$D$7)^AK$2)),((INT(AK$2/$L70)-INT((AK$2-1)/$L70))*$U70*((1+Inputs!$D$7)^AK$2))),(_xlfn.WEIBULL.DIST(AK$2,$M70,$L70,FALSE)*$U70*((1+Inputs!$D$7)^AK$2))),IF($N70=Lists!$K$3,IF($L70&lt;1,((($T70*(1-$F70)+$S70*(1-$G70))/$L70)*((1+Inputs!$D$7)^AK$2)),((INT(AK$2/$L70)-INT((AK$2-1)/$L70))*($T70*(1-$F70)+$S70*(1-$G70))*((1+Inputs!$D$7)^AK$2))),((_xlfn.WEIBULL.DIST(AK$2,$M70,$L70,FALSE)*($T70*(1-$F70)+$S70*(1-$G70))*((1+Inputs!$D$7)^AK$2))))))</f>
        <v>90.760824972599394</v>
      </c>
      <c r="AL70" s="88">
        <f>$E70*IF(AL$2&gt;Inputs!$D$5,0,IF(AL$2&gt;VLOOKUP($H70,Lists!$P$3:$Q$7,2),IF($N70=Lists!$K$3,IF($L70&lt;1,(($U70/$L70)*((1+Inputs!$D$7)^AL$2)),((INT(AL$2/$L70)-INT((AL$2-1)/$L70))*$U70*((1+Inputs!$D$7)^AL$2))),(_xlfn.WEIBULL.DIST(AL$2,$M70,$L70,FALSE)*$U70*((1+Inputs!$D$7)^AL$2))),IF($N70=Lists!$K$3,IF($L70&lt;1,((($T70*(1-$F70)+$S70*(1-$G70))/$L70)*((1+Inputs!$D$7)^AL$2)),((INT(AL$2/$L70)-INT((AL$2-1)/$L70))*($T70*(1-$F70)+$S70*(1-$G70))*((1+Inputs!$D$7)^AL$2))),((_xlfn.WEIBULL.DIST(AL$2,$M70,$L70,FALSE)*($T70*(1-$F70)+$S70*(1-$G70))*((1+Inputs!$D$7)^AL$2))))))</f>
        <v>92.576041472051401</v>
      </c>
      <c r="AM70" s="88">
        <f>$E70*IF(AM$2&gt;Inputs!$D$5,0,IF(AM$2&gt;VLOOKUP($H70,Lists!$P$3:$Q$7,2),IF($N70=Lists!$K$3,IF($L70&lt;1,(($U70/$L70)*((1+Inputs!$D$7)^AM$2)),((INT(AM$2/$L70)-INT((AM$2-1)/$L70))*$U70*((1+Inputs!$D$7)^AM$2))),(_xlfn.WEIBULL.DIST(AM$2,$M70,$L70,FALSE)*$U70*((1+Inputs!$D$7)^AM$2))),IF($N70=Lists!$K$3,IF($L70&lt;1,((($T70*(1-$F70)+$S70*(1-$G70))/$L70)*((1+Inputs!$D$7)^AM$2)),((INT(AM$2/$L70)-INT((AM$2-1)/$L70))*($T70*(1-$F70)+$S70*(1-$G70))*((1+Inputs!$D$7)^AM$2))),((_xlfn.WEIBULL.DIST(AM$2,$M70,$L70,FALSE)*($T70*(1-$F70)+$S70*(1-$G70))*((1+Inputs!$D$7)^AM$2))))))</f>
        <v>94.427562301492415</v>
      </c>
      <c r="AN70" s="88">
        <f>$E70*IF(AN$2&gt;Inputs!$D$5,0,IF(AN$2&gt;VLOOKUP($H70,Lists!$P$3:$Q$7,2),IF($N70=Lists!$K$3,IF($L70&lt;1,(($U70/$L70)*((1+Inputs!$D$7)^AN$2)),((INT(AN$2/$L70)-INT((AN$2-1)/$L70))*$U70*((1+Inputs!$D$7)^AN$2))),(_xlfn.WEIBULL.DIST(AN$2,$M70,$L70,FALSE)*$U70*((1+Inputs!$D$7)^AN$2))),IF($N70=Lists!$K$3,IF($L70&lt;1,((($T70*(1-$F70)+$S70*(1-$G70))/$L70)*((1+Inputs!$D$7)^AN$2)),((INT(AN$2/$L70)-INT((AN$2-1)/$L70))*($T70*(1-$F70)+$S70*(1-$G70))*((1+Inputs!$D$7)^AN$2))),((_xlfn.WEIBULL.DIST(AN$2,$M70,$L70,FALSE)*($T70*(1-$F70)+$S70*(1-$G70))*((1+Inputs!$D$7)^AN$2))))))</f>
        <v>96.316113547522278</v>
      </c>
      <c r="AO70" s="88">
        <f>$E70*IF(AO$2&gt;Inputs!$D$5,0,IF(AO$2&gt;VLOOKUP($H70,Lists!$P$3:$Q$7,2),IF($N70=Lists!$K$3,IF($L70&lt;1,(($U70/$L70)*((1+Inputs!$D$7)^AO$2)),((INT(AO$2/$L70)-INT((AO$2-1)/$L70))*$U70*((1+Inputs!$D$7)^AO$2))),(_xlfn.WEIBULL.DIST(AO$2,$M70,$L70,FALSE)*$U70*((1+Inputs!$D$7)^AO$2))),IF($N70=Lists!$K$3,IF($L70&lt;1,((($T70*(1-$F70)+$S70*(1-$G70))/$L70)*((1+Inputs!$D$7)^AO$2)),((INT(AO$2/$L70)-INT((AO$2-1)/$L70))*($T70*(1-$F70)+$S70*(1-$G70))*((1+Inputs!$D$7)^AO$2))),((_xlfn.WEIBULL.DIST(AO$2,$M70,$L70,FALSE)*($T70*(1-$F70)+$S70*(1-$G70))*((1+Inputs!$D$7)^AO$2))))))</f>
        <v>98.2424358184727</v>
      </c>
      <c r="AP70" s="88">
        <f>$E70*IF(AP$2&gt;Inputs!$D$5,0,IF(AP$2&gt;VLOOKUP($H70,Lists!$P$3:$Q$7,2),IF($N70=Lists!$K$3,IF($L70&lt;1,(($U70/$L70)*((1+Inputs!$D$7)^AP$2)),((INT(AP$2/$L70)-INT((AP$2-1)/$L70))*$U70*((1+Inputs!$D$7)^AP$2))),(_xlfn.WEIBULL.DIST(AP$2,$M70,$L70,FALSE)*$U70*((1+Inputs!$D$7)^AP$2))),IF($N70=Lists!$K$3,IF($L70&lt;1,((($T70*(1-$F70)+$S70*(1-$G70))/$L70)*((1+Inputs!$D$7)^AP$2)),((INT(AP$2/$L70)-INT((AP$2-1)/$L70))*($T70*(1-$F70)+$S70*(1-$G70))*((1+Inputs!$D$7)^AP$2))),((_xlfn.WEIBULL.DIST(AP$2,$M70,$L70,FALSE)*($T70*(1-$F70)+$S70*(1-$G70))*((1+Inputs!$D$7)^AP$2))))))</f>
        <v>100.20728453484216</v>
      </c>
      <c r="AQ70" s="88">
        <f>$E70*IF(AQ$2&gt;Inputs!$D$5,0,IF(AQ$2&gt;VLOOKUP($H70,Lists!$P$3:$Q$7,2),IF($N70=Lists!$K$3,IF($L70&lt;1,(($U70/$L70)*((1+Inputs!$D$7)^AQ$2)),((INT(AQ$2/$L70)-INT((AQ$2-1)/$L70))*$U70*((1+Inputs!$D$7)^AQ$2))),(_xlfn.WEIBULL.DIST(AQ$2,$M70,$L70,FALSE)*$U70*((1+Inputs!$D$7)^AQ$2))),IF($N70=Lists!$K$3,IF($L70&lt;1,((($T70*(1-$F70)+$S70*(1-$G70))/$L70)*((1+Inputs!$D$7)^AQ$2)),((INT(AQ$2/$L70)-INT((AQ$2-1)/$L70))*($T70*(1-$F70)+$S70*(1-$G70))*((1+Inputs!$D$7)^AQ$2))),((_xlfn.WEIBULL.DIST(AQ$2,$M70,$L70,FALSE)*($T70*(1-$F70)+$S70*(1-$G70))*((1+Inputs!$D$7)^AQ$2))))))</f>
        <v>102.21143022553902</v>
      </c>
      <c r="AR70" s="88">
        <f>$E70*IF(AR$2&gt;Inputs!$D$5,0,IF(AR$2&gt;VLOOKUP($H70,Lists!$P$3:$Q$7,2),IF($N70=Lists!$K$3,IF($L70&lt;1,(($U70/$L70)*((1+Inputs!$D$7)^AR$2)),((INT(AR$2/$L70)-INT((AR$2-1)/$L70))*$U70*((1+Inputs!$D$7)^AR$2))),(_xlfn.WEIBULL.DIST(AR$2,$M70,$L70,FALSE)*$U70*((1+Inputs!$D$7)^AR$2))),IF($N70=Lists!$K$3,IF($L70&lt;1,((($T70*(1-$F70)+$S70*(1-$G70))/$L70)*((1+Inputs!$D$7)^AR$2)),((INT(AR$2/$L70)-INT((AR$2-1)/$L70))*($T70*(1-$F70)+$S70*(1-$G70))*((1+Inputs!$D$7)^AR$2))),((_xlfn.WEIBULL.DIST(AR$2,$M70,$L70,FALSE)*($T70*(1-$F70)+$S70*(1-$G70))*((1+Inputs!$D$7)^AR$2))))))</f>
        <v>104.25565883004978</v>
      </c>
      <c r="AS70" s="88">
        <f>$E70*IF(AS$2&gt;Inputs!$D$5,0,IF(AS$2&gt;VLOOKUP($H70,Lists!$P$3:$Q$7,2),IF($N70=Lists!$K$3,IF($L70&lt;1,(($U70/$L70)*((1+Inputs!$D$7)^AS$2)),((INT(AS$2/$L70)-INT((AS$2-1)/$L70))*$U70*((1+Inputs!$D$7)^AS$2))),(_xlfn.WEIBULL.DIST(AS$2,$M70,$L70,FALSE)*$U70*((1+Inputs!$D$7)^AS$2))),IF($N70=Lists!$K$3,IF($L70&lt;1,((($T70*(1-$F70)+$S70*(1-$G70))/$L70)*((1+Inputs!$D$7)^AS$2)),((INT(AS$2/$L70)-INT((AS$2-1)/$L70))*($T70*(1-$F70)+$S70*(1-$G70))*((1+Inputs!$D$7)^AS$2))),((_xlfn.WEIBULL.DIST(AS$2,$M70,$L70,FALSE)*($T70*(1-$F70)+$S70*(1-$G70))*((1+Inputs!$D$7)^AS$2))))))</f>
        <v>106.34077200665078</v>
      </c>
      <c r="AT70" s="88">
        <f>$E70*IF(AT$2&gt;Inputs!$D$5,0,IF(AT$2&gt;VLOOKUP($H70,Lists!$P$3:$Q$7,2),IF($N70=Lists!$K$3,IF($L70&lt;1,(($U70/$L70)*((1+Inputs!$D$7)^AT$2)),((INT(AT$2/$L70)-INT((AT$2-1)/$L70))*$U70*((1+Inputs!$D$7)^AT$2))),(_xlfn.WEIBULL.DIST(AT$2,$M70,$L70,FALSE)*$U70*((1+Inputs!$D$7)^AT$2))),IF($N70=Lists!$K$3,IF($L70&lt;1,((($T70*(1-$F70)+$S70*(1-$G70))/$L70)*((1+Inputs!$D$7)^AT$2)),((INT(AT$2/$L70)-INT((AT$2-1)/$L70))*($T70*(1-$F70)+$S70*(1-$G70))*((1+Inputs!$D$7)^AT$2))),((_xlfn.WEIBULL.DIST(AT$2,$M70,$L70,FALSE)*($T70*(1-$F70)+$S70*(1-$G70))*((1+Inputs!$D$7)^AT$2))))))</f>
        <v>108.46758744678381</v>
      </c>
      <c r="AU70" s="88">
        <f>$E70*IF(AU$2&gt;Inputs!$D$5,0,IF(AU$2&gt;VLOOKUP($H70,Lists!$P$3:$Q$7,2),IF($N70=Lists!$K$3,IF($L70&lt;1,(($U70/$L70)*((1+Inputs!$D$7)^AU$2)),((INT(AU$2/$L70)-INT((AU$2-1)/$L70))*$U70*((1+Inputs!$D$7)^AU$2))),(_xlfn.WEIBULL.DIST(AU$2,$M70,$L70,FALSE)*$U70*((1+Inputs!$D$7)^AU$2))),IF($N70=Lists!$K$3,IF($L70&lt;1,((($T70*(1-$F70)+$S70*(1-$G70))/$L70)*((1+Inputs!$D$7)^AU$2)),((INT(AU$2/$L70)-INT((AU$2-1)/$L70))*($T70*(1-$F70)+$S70*(1-$G70))*((1+Inputs!$D$7)^AU$2))),((_xlfn.WEIBULL.DIST(AU$2,$M70,$L70,FALSE)*($T70*(1-$F70)+$S70*(1-$G70))*((1+Inputs!$D$7)^AU$2))))))</f>
        <v>110.63693919571948</v>
      </c>
      <c r="AV70" s="88">
        <f>$E70*IF(AV$2&gt;Inputs!$D$5,0,IF(AV$2&gt;VLOOKUP($H70,Lists!$P$3:$Q$7,2),IF($N70=Lists!$K$3,IF($L70&lt;1,(($U70/$L70)*((1+Inputs!$D$7)^AV$2)),((INT(AV$2/$L70)-INT((AV$2-1)/$L70))*$U70*((1+Inputs!$D$7)^AV$2))),(_xlfn.WEIBULL.DIST(AV$2,$M70,$L70,FALSE)*$U70*((1+Inputs!$D$7)^AV$2))),IF($N70=Lists!$K$3,IF($L70&lt;1,((($T70*(1-$F70)+$S70*(1-$G70))/$L70)*((1+Inputs!$D$7)^AV$2)),((INT(AV$2/$L70)-INT((AV$2-1)/$L70))*($T70*(1-$F70)+$S70*(1-$G70))*((1+Inputs!$D$7)^AV$2))),((_xlfn.WEIBULL.DIST(AV$2,$M70,$L70,FALSE)*($T70*(1-$F70)+$S70*(1-$G70))*((1+Inputs!$D$7)^AV$2))))))</f>
        <v>112.84967797963387</v>
      </c>
      <c r="AW70" s="88">
        <f>$E70*IF(AW$2&gt;Inputs!$D$5,0,IF(AW$2&gt;VLOOKUP($H70,Lists!$P$3:$Q$7,2),IF($N70=Lists!$K$3,IF($L70&lt;1,(($U70/$L70)*((1+Inputs!$D$7)^AW$2)),((INT(AW$2/$L70)-INT((AW$2-1)/$L70))*$U70*((1+Inputs!$D$7)^AW$2))),(_xlfn.WEIBULL.DIST(AW$2,$M70,$L70,FALSE)*$U70*((1+Inputs!$D$7)^AW$2))),IF($N70=Lists!$K$3,IF($L70&lt;1,((($T70*(1-$F70)+$S70*(1-$G70))/$L70)*((1+Inputs!$D$7)^AW$2)),((INT(AW$2/$L70)-INT((AW$2-1)/$L70))*($T70*(1-$F70)+$S70*(1-$G70))*((1+Inputs!$D$7)^AW$2))),((_xlfn.WEIBULL.DIST(AW$2,$M70,$L70,FALSE)*($T70*(1-$F70)+$S70*(1-$G70))*((1+Inputs!$D$7)^AW$2))))))</f>
        <v>115.10667153922653</v>
      </c>
      <c r="AX70" s="88">
        <f>$E70*IF(AX$2&gt;Inputs!$D$5,0,IF(AX$2&gt;VLOOKUP($H70,Lists!$P$3:$Q$7,2),IF($N70=Lists!$K$3,IF($L70&lt;1,(($U70/$L70)*((1+Inputs!$D$7)^AX$2)),((INT(AX$2/$L70)-INT((AX$2-1)/$L70))*$U70*((1+Inputs!$D$7)^AX$2))),(_xlfn.WEIBULL.DIST(AX$2,$M70,$L70,FALSE)*$U70*((1+Inputs!$D$7)^AX$2))),IF($N70=Lists!$K$3,IF($L70&lt;1,((($T70*(1-$F70)+$S70*(1-$G70))/$L70)*((1+Inputs!$D$7)^AX$2)),((INT(AX$2/$L70)-INT((AX$2-1)/$L70))*($T70*(1-$F70)+$S70*(1-$G70))*((1+Inputs!$D$7)^AX$2))),((_xlfn.WEIBULL.DIST(AX$2,$M70,$L70,FALSE)*($T70*(1-$F70)+$S70*(1-$G70))*((1+Inputs!$D$7)^AX$2))))))</f>
        <v>117.40880497001106</v>
      </c>
      <c r="AY70" s="88">
        <f>$E70*IF(AY$2&gt;Inputs!$D$5,0,IF(AY$2&gt;VLOOKUP($H70,Lists!$P$3:$Q$7,2),IF($N70=Lists!$K$3,IF($L70&lt;1,(($U70/$L70)*((1+Inputs!$D$7)^AY$2)),((INT(AY$2/$L70)-INT((AY$2-1)/$L70))*$U70*((1+Inputs!$D$7)^AY$2))),(_xlfn.WEIBULL.DIST(AY$2,$M70,$L70,FALSE)*$U70*((1+Inputs!$D$7)^AY$2))),IF($N70=Lists!$K$3,IF($L70&lt;1,((($T70*(1-$F70)+$S70*(1-$G70))/$L70)*((1+Inputs!$D$7)^AY$2)),((INT(AY$2/$L70)-INT((AY$2-1)/$L70))*($T70*(1-$F70)+$S70*(1-$G70))*((1+Inputs!$D$7)^AY$2))),((_xlfn.WEIBULL.DIST(AY$2,$M70,$L70,FALSE)*($T70*(1-$F70)+$S70*(1-$G70))*((1+Inputs!$D$7)^AY$2))))))</f>
        <v>119.75698106941128</v>
      </c>
      <c r="AZ70" s="88">
        <f>$E70*IF(AZ$2&gt;Inputs!$D$5,0,IF(AZ$2&gt;VLOOKUP($H70,Lists!$P$3:$Q$7,2),IF($N70=Lists!$K$3,IF($L70&lt;1,(($U70/$L70)*((1+Inputs!$D$7)^AZ$2)),((INT(AZ$2/$L70)-INT((AZ$2-1)/$L70))*$U70*((1+Inputs!$D$7)^AZ$2))),(_xlfn.WEIBULL.DIST(AZ$2,$M70,$L70,FALSE)*$U70*((1+Inputs!$D$7)^AZ$2))),IF($N70=Lists!$K$3,IF($L70&lt;1,((($T70*(1-$F70)+$S70*(1-$G70))/$L70)*((1+Inputs!$D$7)^AZ$2)),((INT(AZ$2/$L70)-INT((AZ$2-1)/$L70))*($T70*(1-$F70)+$S70*(1-$G70))*((1+Inputs!$D$7)^AZ$2))),((_xlfn.WEIBULL.DIST(AZ$2,$M70,$L70,FALSE)*($T70*(1-$F70)+$S70*(1-$G70))*((1+Inputs!$D$7)^AZ$2))))))</f>
        <v>0</v>
      </c>
      <c r="BA70" s="88">
        <f>$E70*IF(BA$2&gt;Inputs!$D$5,0,IF(BA$2&gt;VLOOKUP($H70,Lists!$P$3:$Q$7,2),IF($N70=Lists!$K$3,IF($L70&lt;1,(($U70/$L70)*((1+Inputs!$D$7)^BA$2)),((INT(BA$2/$L70)-INT((BA$2-1)/$L70))*$U70*((1+Inputs!$D$7)^BA$2))),(_xlfn.WEIBULL.DIST(BA$2,$M70,$L70,FALSE)*$U70*((1+Inputs!$D$7)^BA$2))),IF($N70=Lists!$K$3,IF($L70&lt;1,((($T70*(1-$F70)+$S70*(1-$G70))/$L70)*((1+Inputs!$D$7)^BA$2)),((INT(BA$2/$L70)-INT((BA$2-1)/$L70))*($T70*(1-$F70)+$S70*(1-$G70))*((1+Inputs!$D$7)^BA$2))),((_xlfn.WEIBULL.DIST(BA$2,$M70,$L70,FALSE)*($T70*(1-$F70)+$S70*(1-$G70))*((1+Inputs!$D$7)^BA$2))))))</f>
        <v>0</v>
      </c>
      <c r="BB70" s="88">
        <f>$E70*IF(BB$2&gt;Inputs!$D$5,0,IF(BB$2&gt;VLOOKUP($H70,Lists!$P$3:$Q$7,2),IF($N70=Lists!$K$3,IF($L70&lt;1,(($U70/$L70)*((1+Inputs!$D$7)^BB$2)),((INT(BB$2/$L70)-INT((BB$2-1)/$L70))*$U70*((1+Inputs!$D$7)^BB$2))),(_xlfn.WEIBULL.DIST(BB$2,$M70,$L70,FALSE)*$U70*((1+Inputs!$D$7)^BB$2))),IF($N70=Lists!$K$3,IF($L70&lt;1,((($T70*(1-$F70)+$S70*(1-$G70))/$L70)*((1+Inputs!$D$7)^BB$2)),((INT(BB$2/$L70)-INT((BB$2-1)/$L70))*($T70*(1-$F70)+$S70*(1-$G70))*((1+Inputs!$D$7)^BB$2))),((_xlfn.WEIBULL.DIST(BB$2,$M70,$L70,FALSE)*($T70*(1-$F70)+$S70*(1-$G70))*((1+Inputs!$D$7)^BB$2))))))</f>
        <v>0</v>
      </c>
      <c r="BC70" s="88">
        <f>$E70*IF(BC$2&gt;Inputs!$D$5,0,IF(BC$2&gt;VLOOKUP($H70,Lists!$P$3:$Q$7,2),IF($N70=Lists!$K$3,IF($L70&lt;1,(($U70/$L70)*((1+Inputs!$D$7)^BC$2)),((INT(BC$2/$L70)-INT((BC$2-1)/$L70))*$U70*((1+Inputs!$D$7)^BC$2))),(_xlfn.WEIBULL.DIST(BC$2,$M70,$L70,FALSE)*$U70*((1+Inputs!$D$7)^BC$2))),IF($N70=Lists!$K$3,IF($L70&lt;1,((($T70*(1-$F70)+$S70*(1-$G70))/$L70)*((1+Inputs!$D$7)^BC$2)),((INT(BC$2/$L70)-INT((BC$2-1)/$L70))*($T70*(1-$F70)+$S70*(1-$G70))*((1+Inputs!$D$7)^BC$2))),((_xlfn.WEIBULL.DIST(BC$2,$M70,$L70,FALSE)*($T70*(1-$F70)+$S70*(1-$G70))*((1+Inputs!$D$7)^BC$2))))))</f>
        <v>0</v>
      </c>
      <c r="BD70" s="88">
        <f>$E70*IF(BD$2&gt;Inputs!$D$5,0,IF(BD$2&gt;VLOOKUP($H70,Lists!$P$3:$Q$7,2),IF($N70=Lists!$K$3,IF($L70&lt;1,(($U70/$L70)*((1+Inputs!$D$7)^BD$2)),((INT(BD$2/$L70)-INT((BD$2-1)/$L70))*$U70*((1+Inputs!$D$7)^BD$2))),(_xlfn.WEIBULL.DIST(BD$2,$M70,$L70,FALSE)*$U70*((1+Inputs!$D$7)^BD$2))),IF($N70=Lists!$K$3,IF($L70&lt;1,((($T70*(1-$F70)+$S70*(1-$G70))/$L70)*((1+Inputs!$D$7)^BD$2)),((INT(BD$2/$L70)-INT((BD$2-1)/$L70))*($T70*(1-$F70)+$S70*(1-$G70))*((1+Inputs!$D$7)^BD$2))),((_xlfn.WEIBULL.DIST(BD$2,$M70,$L70,FALSE)*($T70*(1-$F70)+$S70*(1-$G70))*((1+Inputs!$D$7)^BD$2))))))</f>
        <v>0</v>
      </c>
      <c r="BE70" s="88">
        <f>$E70*IF(BE$2&gt;Inputs!$D$5,0,IF(BE$2&gt;VLOOKUP($H70,Lists!$P$3:$Q$7,2),IF($N70=Lists!$K$3,IF($L70&lt;1,(($U70/$L70)*((1+Inputs!$D$7)^BE$2)),((INT(BE$2/$L70)-INT((BE$2-1)/$L70))*$U70*((1+Inputs!$D$7)^BE$2))),(_xlfn.WEIBULL.DIST(BE$2,$M70,$L70,FALSE)*$U70*((1+Inputs!$D$7)^BE$2))),IF($N70=Lists!$K$3,IF($L70&lt;1,((($T70*(1-$F70)+$S70*(1-$G70))/$L70)*((1+Inputs!$D$7)^BE$2)),((INT(BE$2/$L70)-INT((BE$2-1)/$L70))*($T70*(1-$F70)+$S70*(1-$G70))*((1+Inputs!$D$7)^BE$2))),((_xlfn.WEIBULL.DIST(BE$2,$M70,$L70,FALSE)*($T70*(1-$F70)+$S70*(1-$G70))*((1+Inputs!$D$7)^BE$2))))))</f>
        <v>0</v>
      </c>
      <c r="BF70" s="88">
        <f>$E70*IF(BF$2&gt;Inputs!$D$5,0,IF(BF$2&gt;VLOOKUP($H70,Lists!$P$3:$Q$7,2),IF($N70=Lists!$K$3,IF($L70&lt;1,(($U70/$L70)*((1+Inputs!$D$7)^BF$2)),((INT(BF$2/$L70)-INT((BF$2-1)/$L70))*$U70*((1+Inputs!$D$7)^BF$2))),(_xlfn.WEIBULL.DIST(BF$2,$M70,$L70,FALSE)*$U70*((1+Inputs!$D$7)^BF$2))),IF($N70=Lists!$K$3,IF($L70&lt;1,((($T70*(1-$F70)+$S70*(1-$G70))/$L70)*((1+Inputs!$D$7)^BF$2)),((INT(BF$2/$L70)-INT((BF$2-1)/$L70))*($T70*(1-$F70)+$S70*(1-$G70))*((1+Inputs!$D$7)^BF$2))),((_xlfn.WEIBULL.DIST(BF$2,$M70,$L70,FALSE)*($T70*(1-$F70)+$S70*(1-$G70))*((1+Inputs!$D$7)^BF$2))))))</f>
        <v>0</v>
      </c>
      <c r="BG70" s="88">
        <f>$E70*IF(BG$2&gt;Inputs!$D$5,0,IF(BG$2&gt;VLOOKUP($H70,Lists!$P$3:$Q$7,2),IF($N70=Lists!$K$3,IF($L70&lt;1,(($U70/$L70)*((1+Inputs!$D$7)^BG$2)),((INT(BG$2/$L70)-INT((BG$2-1)/$L70))*$U70*((1+Inputs!$D$7)^BG$2))),(_xlfn.WEIBULL.DIST(BG$2,$M70,$L70,FALSE)*$U70*((1+Inputs!$D$7)^BG$2))),IF($N70=Lists!$K$3,IF($L70&lt;1,((($T70*(1-$F70)+$S70*(1-$G70))/$L70)*((1+Inputs!$D$7)^BG$2)),((INT(BG$2/$L70)-INT((BG$2-1)/$L70))*($T70*(1-$F70)+$S70*(1-$G70))*((1+Inputs!$D$7)^BG$2))),((_xlfn.WEIBULL.DIST(BG$2,$M70,$L70,FALSE)*($T70*(1-$F70)+$S70*(1-$G70))*((1+Inputs!$D$7)^BG$2))))))</f>
        <v>0</v>
      </c>
      <c r="BH70" s="88">
        <f>$E70*IF(BH$2&gt;Inputs!$D$5,0,IF(BH$2&gt;VLOOKUP($H70,Lists!$P$3:$Q$7,2),IF($N70=Lists!$K$3,IF($L70&lt;1,(($U70/$L70)*((1+Inputs!$D$7)^BH$2)),((INT(BH$2/$L70)-INT((BH$2-1)/$L70))*$U70*((1+Inputs!$D$7)^BH$2))),(_xlfn.WEIBULL.DIST(BH$2,$M70,$L70,FALSE)*$U70*((1+Inputs!$D$7)^BH$2))),IF($N70=Lists!$K$3,IF($L70&lt;1,((($T70*(1-$F70)+$S70*(1-$G70))/$L70)*((1+Inputs!$D$7)^BH$2)),((INT(BH$2/$L70)-INT((BH$2-1)/$L70))*($T70*(1-$F70)+$S70*(1-$G70))*((1+Inputs!$D$7)^BH$2))),((_xlfn.WEIBULL.DIST(BH$2,$M70,$L70,FALSE)*($T70*(1-$F70)+$S70*(1-$G70))*((1+Inputs!$D$7)^BH$2))))))</f>
        <v>0</v>
      </c>
      <c r="BI70" s="88">
        <f>$E70*IF(BI$2&gt;Inputs!$D$5,0,IF(BI$2&gt;VLOOKUP($H70,Lists!$P$3:$Q$7,2),IF($N70=Lists!$K$3,IF($L70&lt;1,(($U70/$L70)*((1+Inputs!$D$7)^BI$2)),((INT(BI$2/$L70)-INT((BI$2-1)/$L70))*$U70*((1+Inputs!$D$7)^BI$2))),(_xlfn.WEIBULL.DIST(BI$2,$M70,$L70,FALSE)*$U70*((1+Inputs!$D$7)^BI$2))),IF($N70=Lists!$K$3,IF($L70&lt;1,((($T70*(1-$F70)+$S70*(1-$G70))/$L70)*((1+Inputs!$D$7)^BI$2)),((INT(BI$2/$L70)-INT((BI$2-1)/$L70))*($T70*(1-$F70)+$S70*(1-$G70))*((1+Inputs!$D$7)^BI$2))),((_xlfn.WEIBULL.DIST(BI$2,$M70,$L70,FALSE)*($T70*(1-$F70)+$S70*(1-$G70))*((1+Inputs!$D$7)^BI$2))))))</f>
        <v>0</v>
      </c>
      <c r="BJ70" s="88">
        <f>$E70*IF(BJ$2&gt;Inputs!$D$5,0,IF(BJ$2&gt;VLOOKUP($H70,Lists!$P$3:$Q$7,2),IF($N70=Lists!$K$3,IF($L70&lt;1,(($U70/$L70)*((1+Inputs!$D$7)^BJ$2)),((INT(BJ$2/$L70)-INT((BJ$2-1)/$L70))*$U70*((1+Inputs!$D$7)^BJ$2))),(_xlfn.WEIBULL.DIST(BJ$2,$M70,$L70,FALSE)*$U70*((1+Inputs!$D$7)^BJ$2))),IF($N70=Lists!$K$3,IF($L70&lt;1,((($T70*(1-$F70)+$S70*(1-$G70))/$L70)*((1+Inputs!$D$7)^BJ$2)),((INT(BJ$2/$L70)-INT((BJ$2-1)/$L70))*($T70*(1-$F70)+$S70*(1-$G70))*((1+Inputs!$D$7)^BJ$2))),((_xlfn.WEIBULL.DIST(BJ$2,$M70,$L70,FALSE)*($T70*(1-$F70)+$S70*(1-$G70))*((1+Inputs!$D$7)^BJ$2))))))</f>
        <v>0</v>
      </c>
      <c r="BK70" s="88">
        <f>$E70*IF(BK$2&gt;Inputs!$D$5,0,IF(BK$2&gt;VLOOKUP($H70,Lists!$P$3:$Q$7,2),IF($N70=Lists!$K$3,IF($L70&lt;1,(($U70/$L70)*((1+Inputs!$D$7)^BK$2)),((INT(BK$2/$L70)-INT((BK$2-1)/$L70))*$U70*((1+Inputs!$D$7)^BK$2))),(_xlfn.WEIBULL.DIST(BK$2,$M70,$L70,FALSE)*$U70*((1+Inputs!$D$7)^BK$2))),IF($N70=Lists!$K$3,IF($L70&lt;1,((($T70*(1-$F70)+$S70*(1-$G70))/$L70)*((1+Inputs!$D$7)^BK$2)),((INT(BK$2/$L70)-INT((BK$2-1)/$L70))*($T70*(1-$F70)+$S70*(1-$G70))*((1+Inputs!$D$7)^BK$2))),((_xlfn.WEIBULL.DIST(BK$2,$M70,$L70,FALSE)*($T70*(1-$F70)+$S70*(1-$G70))*((1+Inputs!$D$7)^BK$2))))))</f>
        <v>0</v>
      </c>
      <c r="BL70" s="88">
        <f>$E70*IF(BL$2&gt;Inputs!$D$5,0,IF(BL$2&gt;VLOOKUP($H70,Lists!$P$3:$Q$7,2),IF($N70=Lists!$K$3,IF($L70&lt;1,(($U70/$L70)*((1+Inputs!$D$7)^BL$2)),((INT(BL$2/$L70)-INT((BL$2-1)/$L70))*$U70*((1+Inputs!$D$7)^BL$2))),(_xlfn.WEIBULL.DIST(BL$2,$M70,$L70,FALSE)*$U70*((1+Inputs!$D$7)^BL$2))),IF($N70=Lists!$K$3,IF($L70&lt;1,((($T70*(1-$F70)+$S70*(1-$G70))/$L70)*((1+Inputs!$D$7)^BL$2)),((INT(BL$2/$L70)-INT((BL$2-1)/$L70))*($T70*(1-$F70)+$S70*(1-$G70))*((1+Inputs!$D$7)^BL$2))),((_xlfn.WEIBULL.DIST(BL$2,$M70,$L70,FALSE)*($T70*(1-$F70)+$S70*(1-$G70))*((1+Inputs!$D$7)^BL$2))))))</f>
        <v>0</v>
      </c>
      <c r="BM70" s="88">
        <f>$E70*IF(BM$2&gt;Inputs!$D$5,0,IF(BM$2&gt;VLOOKUP($H70,Lists!$P$3:$Q$7,2),IF($N70=Lists!$K$3,IF($L70&lt;1,(($U70/$L70)*((1+Inputs!$D$7)^BM$2)),((INT(BM$2/$L70)-INT((BM$2-1)/$L70))*$U70*((1+Inputs!$D$7)^BM$2))),(_xlfn.WEIBULL.DIST(BM$2,$M70,$L70,FALSE)*$U70*((1+Inputs!$D$7)^BM$2))),IF($N70=Lists!$K$3,IF($L70&lt;1,((($T70*(1-$F70)+$S70*(1-$G70))/$L70)*((1+Inputs!$D$7)^BM$2)),((INT(BM$2/$L70)-INT((BM$2-1)/$L70))*($T70*(1-$F70)+$S70*(1-$G70))*((1+Inputs!$D$7)^BM$2))),((_xlfn.WEIBULL.DIST(BM$2,$M70,$L70,FALSE)*($T70*(1-$F70)+$S70*(1-$G70))*((1+Inputs!$D$7)^BM$2))))))</f>
        <v>0</v>
      </c>
      <c r="BN70" s="88">
        <f>$E70*IF(BN$2&gt;Inputs!$D$5,0,IF(BN$2&gt;VLOOKUP($H70,Lists!$P$3:$Q$7,2),IF($N70=Lists!$K$3,IF($L70&lt;1,(($U70/$L70)*((1+Inputs!$D$7)^BN$2)),((INT(BN$2/$L70)-INT((BN$2-1)/$L70))*$U70*((1+Inputs!$D$7)^BN$2))),(_xlfn.WEIBULL.DIST(BN$2,$M70,$L70,FALSE)*$U70*((1+Inputs!$D$7)^BN$2))),IF($N70=Lists!$K$3,IF($L70&lt;1,((($T70*(1-$F70)+$S70*(1-$G70))/$L70)*((1+Inputs!$D$7)^BN$2)),((INT(BN$2/$L70)-INT((BN$2-1)/$L70))*($T70*(1-$F70)+$S70*(1-$G70))*((1+Inputs!$D$7)^BN$2))),((_xlfn.WEIBULL.DIST(BN$2,$M70,$L70,FALSE)*($T70*(1-$F70)+$S70*(1-$G70))*((1+Inputs!$D$7)^BN$2))))))</f>
        <v>0</v>
      </c>
      <c r="BO70" s="64">
        <f>NPV(Inputs!$D$6,BQ70:DD70)</f>
        <v>1038.9812138332254</v>
      </c>
      <c r="BP70" s="67">
        <f t="shared" si="20"/>
        <v>4.9003426424212761E-4</v>
      </c>
      <c r="BQ70" s="88">
        <f>MAX(AA70,($E70*IF(BQ$2&gt;Inputs!$D$5,0,IF(BQ$2&gt;VLOOKUP($H70,Lists!$P$3:$Q$7,2),IF($N70=Lists!$K$3,IF($L70&lt;1,(($U70/$L70)*((1+Inputs!$D$7)^BQ$2)),((INT(BQ$2/$L70)-INT((BQ$2-1)/$L70))*$U70*((1+Inputs!$D$7)^BQ$2))),(Inputs!$D$8^((1-_xlfn.WEIBULL.DIST(BQ$2,$M70,$L70,FALSE))/_xlfn.WEIBULL.DIST(BQ$2,$M70,$L70,FALSE))*$U70*((1+Inputs!$D$7)^BQ$2))),IF($N70=Lists!$K$3,IF($L70&lt;1,((($T70*(1-$F70)+$S70*(1-$G70))/$L70)*((1+Inputs!$D$7)^BQ$2)),((INT(BQ$2/$L70)-INT((BQ$2-1)/$L70))*($T70*(1-$F70)+$S70*(1-$G70))*((1+Inputs!$D$7)^BQ$2))),((Inputs!$D$8^((1-_xlfn.WEIBULL.DIST(BQ$2,$M70,$L70,FALSE))/_xlfn.WEIBULL.DIST(BQ$2,$M70,$L70,FALSE))*($T70*(1-$F70)+$S70*(1-$G70))*((1+Inputs!$D$7)^BQ$2))))))))</f>
        <v>74.455488461538465</v>
      </c>
      <c r="BR70" s="88">
        <f>MAX(AB70,($E70*IF(BR$2&gt;Inputs!$D$5,0,IF(BR$2&gt;VLOOKUP($H70,Lists!$P$3:$Q$7,2),IF($N70=Lists!$K$3,IF($L70&lt;1,(($U70/$L70)*((1+Inputs!$D$7)^BR$2)),((INT(BR$2/$L70)-INT((BR$2-1)/$L70))*$U70*((1+Inputs!$D$7)^BR$2))),(Inputs!$D$8^((1-_xlfn.WEIBULL.DIST(BR$2,$M70,$L70,FALSE))/_xlfn.WEIBULL.DIST(BR$2,$M70,$L70,FALSE))*$U70*((1+Inputs!$D$7)^BR$2))),IF($N70=Lists!$K$3,IF($L70&lt;1,((($T70*(1-$F70)+$S70*(1-$G70))/$L70)*((1+Inputs!$D$7)^BR$2)),((INT(BR$2/$L70)-INT((BR$2-1)/$L70))*($T70*(1-$F70)+$S70*(1-$G70))*((1+Inputs!$D$7)^BR$2))),((Inputs!$D$8^((1-_xlfn.WEIBULL.DIST(BR$2,$M70,$L70,FALSE))/_xlfn.WEIBULL.DIST(BR$2,$M70,$L70,FALSE))*($T70*(1-$F70)+$S70*(1-$G70))*((1+Inputs!$D$7)^BR$2))))))))</f>
        <v>75.94459823076923</v>
      </c>
      <c r="BS70" s="88">
        <f>MAX(AC70,($E70*IF(BS$2&gt;Inputs!$D$5,0,IF(BS$2&gt;VLOOKUP($H70,Lists!$P$3:$Q$7,2),IF($N70=Lists!$K$3,IF($L70&lt;1,(($U70/$L70)*((1+Inputs!$D$7)^BS$2)),((INT(BS$2/$L70)-INT((BS$2-1)/$L70))*$U70*((1+Inputs!$D$7)^BS$2))),(Inputs!$D$8^((1-_xlfn.WEIBULL.DIST(BS$2,$M70,$L70,FALSE))/_xlfn.WEIBULL.DIST(BS$2,$M70,$L70,FALSE))*$U70*((1+Inputs!$D$7)^BS$2))),IF($N70=Lists!$K$3,IF($L70&lt;1,((($T70*(1-$F70)+$S70*(1-$G70))/$L70)*((1+Inputs!$D$7)^BS$2)),((INT(BS$2/$L70)-INT((BS$2-1)/$L70))*($T70*(1-$F70)+$S70*(1-$G70))*((1+Inputs!$D$7)^BS$2))),((Inputs!$D$8^((1-_xlfn.WEIBULL.DIST(BS$2,$M70,$L70,FALSE))/_xlfn.WEIBULL.DIST(BS$2,$M70,$L70,FALSE))*($T70*(1-$F70)+$S70*(1-$G70))*((1+Inputs!$D$7)^BS$2))))))))</f>
        <v>77.463490195384608</v>
      </c>
      <c r="BT70" s="88">
        <f>MAX(AD70,($E70*IF(BT$2&gt;Inputs!$D$5,0,IF(BT$2&gt;VLOOKUP($H70,Lists!$P$3:$Q$7,2),IF($N70=Lists!$K$3,IF($L70&lt;1,(($U70/$L70)*((1+Inputs!$D$7)^BT$2)),((INT(BT$2/$L70)-INT((BT$2-1)/$L70))*$U70*((1+Inputs!$D$7)^BT$2))),(Inputs!$D$8^((1-_xlfn.WEIBULL.DIST(BT$2,$M70,$L70,FALSE))/_xlfn.WEIBULL.DIST(BT$2,$M70,$L70,FALSE))*$U70*((1+Inputs!$D$7)^BT$2))),IF($N70=Lists!$K$3,IF($L70&lt;1,((($T70*(1-$F70)+$S70*(1-$G70))/$L70)*((1+Inputs!$D$7)^BT$2)),((INT(BT$2/$L70)-INT((BT$2-1)/$L70))*($T70*(1-$F70)+$S70*(1-$G70))*((1+Inputs!$D$7)^BT$2))),((Inputs!$D$8^((1-_xlfn.WEIBULL.DIST(BT$2,$M70,$L70,FALSE))/_xlfn.WEIBULL.DIST(BT$2,$M70,$L70,FALSE))*($T70*(1-$F70)+$S70*(1-$G70))*((1+Inputs!$D$7)^BT$2))))))))</f>
        <v>79.012759999292314</v>
      </c>
      <c r="BU70" s="88">
        <f>MAX(AE70,($E70*IF(BU$2&gt;Inputs!$D$5,0,IF(BU$2&gt;VLOOKUP($H70,Lists!$P$3:$Q$7,2),IF($N70=Lists!$K$3,IF($L70&lt;1,(($U70/$L70)*((1+Inputs!$D$7)^BU$2)),((INT(BU$2/$L70)-INT((BU$2-1)/$L70))*$U70*((1+Inputs!$D$7)^BU$2))),(Inputs!$D$8^((1-_xlfn.WEIBULL.DIST(BU$2,$M70,$L70,FALSE))/_xlfn.WEIBULL.DIST(BU$2,$M70,$L70,FALSE))*$U70*((1+Inputs!$D$7)^BU$2))),IF($N70=Lists!$K$3,IF($L70&lt;1,((($T70*(1-$F70)+$S70*(1-$G70))/$L70)*((1+Inputs!$D$7)^BU$2)),((INT(BU$2/$L70)-INT((BU$2-1)/$L70))*($T70*(1-$F70)+$S70*(1-$G70))*((1+Inputs!$D$7)^BU$2))),((Inputs!$D$8^((1-_xlfn.WEIBULL.DIST(BU$2,$M70,$L70,FALSE))/_xlfn.WEIBULL.DIST(BU$2,$M70,$L70,FALSE))*($T70*(1-$F70)+$S70*(1-$G70))*((1+Inputs!$D$7)^BU$2))))))))</f>
        <v>80.593015199278156</v>
      </c>
      <c r="BV70" s="88">
        <f>MAX(AF70,($E70*IF(BV$2&gt;Inputs!$D$5,0,IF(BV$2&gt;VLOOKUP($H70,Lists!$P$3:$Q$7,2),IF($N70=Lists!$K$3,IF($L70&lt;1,(($U70/$L70)*((1+Inputs!$D$7)^BV$2)),((INT(BV$2/$L70)-INT((BV$2-1)/$L70))*$U70*((1+Inputs!$D$7)^BV$2))),(Inputs!$D$8^((1-_xlfn.WEIBULL.DIST(BV$2,$M70,$L70,FALSE))/_xlfn.WEIBULL.DIST(BV$2,$M70,$L70,FALSE))*$U70*((1+Inputs!$D$7)^BV$2))),IF($N70=Lists!$K$3,IF($L70&lt;1,((($T70*(1-$F70)+$S70*(1-$G70))/$L70)*((1+Inputs!$D$7)^BV$2)),((INT(BV$2/$L70)-INT((BV$2-1)/$L70))*($T70*(1-$F70)+$S70*(1-$G70))*((1+Inputs!$D$7)^BV$2))),((Inputs!$D$8^((1-_xlfn.WEIBULL.DIST(BV$2,$M70,$L70,FALSE))/_xlfn.WEIBULL.DIST(BV$2,$M70,$L70,FALSE))*($T70*(1-$F70)+$S70*(1-$G70))*((1+Inputs!$D$7)^BV$2))))))))</f>
        <v>82.204875503263722</v>
      </c>
      <c r="BW70" s="88">
        <f>MAX(AG70,($E70*IF(BW$2&gt;Inputs!$D$5,0,IF(BW$2&gt;VLOOKUP($H70,Lists!$P$3:$Q$7,2),IF($N70=Lists!$K$3,IF($L70&lt;1,(($U70/$L70)*((1+Inputs!$D$7)^BW$2)),((INT(BW$2/$L70)-INT((BW$2-1)/$L70))*$U70*((1+Inputs!$D$7)^BW$2))),(Inputs!$D$8^((1-_xlfn.WEIBULL.DIST(BW$2,$M70,$L70,FALSE))/_xlfn.WEIBULL.DIST(BW$2,$M70,$L70,FALSE))*$U70*((1+Inputs!$D$7)^BW$2))),IF($N70=Lists!$K$3,IF($L70&lt;1,((($T70*(1-$F70)+$S70*(1-$G70))/$L70)*((1+Inputs!$D$7)^BW$2)),((INT(BW$2/$L70)-INT((BW$2-1)/$L70))*($T70*(1-$F70)+$S70*(1-$G70))*((1+Inputs!$D$7)^BW$2))),((Inputs!$D$8^((1-_xlfn.WEIBULL.DIST(BW$2,$M70,$L70,FALSE))/_xlfn.WEIBULL.DIST(BW$2,$M70,$L70,FALSE))*($T70*(1-$F70)+$S70*(1-$G70))*((1+Inputs!$D$7)^BW$2))))))))</f>
        <v>83.848973013328987</v>
      </c>
      <c r="BX70" s="88">
        <f>MAX(AH70,($E70*IF(BX$2&gt;Inputs!$D$5,0,IF(BX$2&gt;VLOOKUP($H70,Lists!$P$3:$Q$7,2),IF($N70=Lists!$K$3,IF($L70&lt;1,(($U70/$L70)*((1+Inputs!$D$7)^BX$2)),((INT(BX$2/$L70)-INT((BX$2-1)/$L70))*$U70*((1+Inputs!$D$7)^BX$2))),(Inputs!$D$8^((1-_xlfn.WEIBULL.DIST(BX$2,$M70,$L70,FALSE))/_xlfn.WEIBULL.DIST(BX$2,$M70,$L70,FALSE))*$U70*((1+Inputs!$D$7)^BX$2))),IF($N70=Lists!$K$3,IF($L70&lt;1,((($T70*(1-$F70)+$S70*(1-$G70))/$L70)*((1+Inputs!$D$7)^BX$2)),((INT(BX$2/$L70)-INT((BX$2-1)/$L70))*($T70*(1-$F70)+$S70*(1-$G70))*((1+Inputs!$D$7)^BX$2))),((Inputs!$D$8^((1-_xlfn.WEIBULL.DIST(BX$2,$M70,$L70,FALSE))/_xlfn.WEIBULL.DIST(BX$2,$M70,$L70,FALSE))*($T70*(1-$F70)+$S70*(1-$G70))*((1+Inputs!$D$7)^BX$2))))))))</f>
        <v>85.525952473595567</v>
      </c>
      <c r="BY70" s="88">
        <f>MAX(AI70,($E70*IF(BY$2&gt;Inputs!$D$5,0,IF(BY$2&gt;VLOOKUP($H70,Lists!$P$3:$Q$7,2),IF($N70=Lists!$K$3,IF($L70&lt;1,(($U70/$L70)*((1+Inputs!$D$7)^BY$2)),((INT(BY$2/$L70)-INT((BY$2-1)/$L70))*$U70*((1+Inputs!$D$7)^BY$2))),(Inputs!$D$8^((1-_xlfn.WEIBULL.DIST(BY$2,$M70,$L70,FALSE))/_xlfn.WEIBULL.DIST(BY$2,$M70,$L70,FALSE))*$U70*((1+Inputs!$D$7)^BY$2))),IF($N70=Lists!$K$3,IF($L70&lt;1,((($T70*(1-$F70)+$S70*(1-$G70))/$L70)*((1+Inputs!$D$7)^BY$2)),((INT(BY$2/$L70)-INT((BY$2-1)/$L70))*($T70*(1-$F70)+$S70*(1-$G70))*((1+Inputs!$D$7)^BY$2))),((Inputs!$D$8^((1-_xlfn.WEIBULL.DIST(BY$2,$M70,$L70,FALSE))/_xlfn.WEIBULL.DIST(BY$2,$M70,$L70,FALSE))*($T70*(1-$F70)+$S70*(1-$G70))*((1+Inputs!$D$7)^BY$2))))))))</f>
        <v>87.236471523067479</v>
      </c>
      <c r="BZ70" s="88">
        <f>MAX(AJ70,($E70*IF(BZ$2&gt;Inputs!$D$5,0,IF(BZ$2&gt;VLOOKUP($H70,Lists!$P$3:$Q$7,2),IF($N70=Lists!$K$3,IF($L70&lt;1,(($U70/$L70)*((1+Inputs!$D$7)^BZ$2)),((INT(BZ$2/$L70)-INT((BZ$2-1)/$L70))*$U70*((1+Inputs!$D$7)^BZ$2))),(Inputs!$D$8^((1-_xlfn.WEIBULL.DIST(BZ$2,$M70,$L70,FALSE))/_xlfn.WEIBULL.DIST(BZ$2,$M70,$L70,FALSE))*$U70*((1+Inputs!$D$7)^BZ$2))),IF($N70=Lists!$K$3,IF($L70&lt;1,((($T70*(1-$F70)+$S70*(1-$G70))/$L70)*((1+Inputs!$D$7)^BZ$2)),((INT(BZ$2/$L70)-INT((BZ$2-1)/$L70))*($T70*(1-$F70)+$S70*(1-$G70))*((1+Inputs!$D$7)^BZ$2))),((Inputs!$D$8^((1-_xlfn.WEIBULL.DIST(BZ$2,$M70,$L70,FALSE))/_xlfn.WEIBULL.DIST(BZ$2,$M70,$L70,FALSE))*($T70*(1-$F70)+$S70*(1-$G70))*((1+Inputs!$D$7)^BZ$2))))))))</f>
        <v>88.981200953528827</v>
      </c>
      <c r="CA70" s="88">
        <f>MAX(AK70,($E70*IF(CA$2&gt;Inputs!$D$5,0,IF(CA$2&gt;VLOOKUP($H70,Lists!$P$3:$Q$7,2),IF($N70=Lists!$K$3,IF($L70&lt;1,(($U70/$L70)*((1+Inputs!$D$7)^CA$2)),((INT(CA$2/$L70)-INT((CA$2-1)/$L70))*$U70*((1+Inputs!$D$7)^CA$2))),(Inputs!$D$8^((1-_xlfn.WEIBULL.DIST(CA$2,$M70,$L70,FALSE))/_xlfn.WEIBULL.DIST(CA$2,$M70,$L70,FALSE))*$U70*((1+Inputs!$D$7)^CA$2))),IF($N70=Lists!$K$3,IF($L70&lt;1,((($T70*(1-$F70)+$S70*(1-$G70))/$L70)*((1+Inputs!$D$7)^CA$2)),((INT(CA$2/$L70)-INT((CA$2-1)/$L70))*($T70*(1-$F70)+$S70*(1-$G70))*((1+Inputs!$D$7)^CA$2))),((Inputs!$D$8^((1-_xlfn.WEIBULL.DIST(CA$2,$M70,$L70,FALSE))/_xlfn.WEIBULL.DIST(CA$2,$M70,$L70,FALSE))*($T70*(1-$F70)+$S70*(1-$G70))*((1+Inputs!$D$7)^CA$2))))))))</f>
        <v>90.760824972599394</v>
      </c>
      <c r="CB70" s="88">
        <f>MAX(AL70,($E70*IF(CB$2&gt;Inputs!$D$5,0,IF(CB$2&gt;VLOOKUP($H70,Lists!$P$3:$Q$7,2),IF($N70=Lists!$K$3,IF($L70&lt;1,(($U70/$L70)*((1+Inputs!$D$7)^CB$2)),((INT(CB$2/$L70)-INT((CB$2-1)/$L70))*$U70*((1+Inputs!$D$7)^CB$2))),(Inputs!$D$8^((1-_xlfn.WEIBULL.DIST(CB$2,$M70,$L70,FALSE))/_xlfn.WEIBULL.DIST(CB$2,$M70,$L70,FALSE))*$U70*((1+Inputs!$D$7)^CB$2))),IF($N70=Lists!$K$3,IF($L70&lt;1,((($T70*(1-$F70)+$S70*(1-$G70))/$L70)*((1+Inputs!$D$7)^CB$2)),((INT(CB$2/$L70)-INT((CB$2-1)/$L70))*($T70*(1-$F70)+$S70*(1-$G70))*((1+Inputs!$D$7)^CB$2))),((Inputs!$D$8^((1-_xlfn.WEIBULL.DIST(CB$2,$M70,$L70,FALSE))/_xlfn.WEIBULL.DIST(CB$2,$M70,$L70,FALSE))*($T70*(1-$F70)+$S70*(1-$G70))*((1+Inputs!$D$7)^CB$2))))))))</f>
        <v>92.576041472051401</v>
      </c>
      <c r="CC70" s="88">
        <f>MAX(AM70,($E70*IF(CC$2&gt;Inputs!$D$5,0,IF(CC$2&gt;VLOOKUP($H70,Lists!$P$3:$Q$7,2),IF($N70=Lists!$K$3,IF($L70&lt;1,(($U70/$L70)*((1+Inputs!$D$7)^CC$2)),((INT(CC$2/$L70)-INT((CC$2-1)/$L70))*$U70*((1+Inputs!$D$7)^CC$2))),(Inputs!$D$8^((1-_xlfn.WEIBULL.DIST(CC$2,$M70,$L70,FALSE))/_xlfn.WEIBULL.DIST(CC$2,$M70,$L70,FALSE))*$U70*((1+Inputs!$D$7)^CC$2))),IF($N70=Lists!$K$3,IF($L70&lt;1,((($T70*(1-$F70)+$S70*(1-$G70))/$L70)*((1+Inputs!$D$7)^CC$2)),((INT(CC$2/$L70)-INT((CC$2-1)/$L70))*($T70*(1-$F70)+$S70*(1-$G70))*((1+Inputs!$D$7)^CC$2))),((Inputs!$D$8^((1-_xlfn.WEIBULL.DIST(CC$2,$M70,$L70,FALSE))/_xlfn.WEIBULL.DIST(CC$2,$M70,$L70,FALSE))*($T70*(1-$F70)+$S70*(1-$G70))*((1+Inputs!$D$7)^CC$2))))))))</f>
        <v>94.427562301492415</v>
      </c>
      <c r="CD70" s="88">
        <f>MAX(AN70,($E70*IF(CD$2&gt;Inputs!$D$5,0,IF(CD$2&gt;VLOOKUP($H70,Lists!$P$3:$Q$7,2),IF($N70=Lists!$K$3,IF($L70&lt;1,(($U70/$L70)*((1+Inputs!$D$7)^CD$2)),((INT(CD$2/$L70)-INT((CD$2-1)/$L70))*$U70*((1+Inputs!$D$7)^CD$2))),(Inputs!$D$8^((1-_xlfn.WEIBULL.DIST(CD$2,$M70,$L70,FALSE))/_xlfn.WEIBULL.DIST(CD$2,$M70,$L70,FALSE))*$U70*((1+Inputs!$D$7)^CD$2))),IF($N70=Lists!$K$3,IF($L70&lt;1,((($T70*(1-$F70)+$S70*(1-$G70))/$L70)*((1+Inputs!$D$7)^CD$2)),((INT(CD$2/$L70)-INT((CD$2-1)/$L70))*($T70*(1-$F70)+$S70*(1-$G70))*((1+Inputs!$D$7)^CD$2))),((Inputs!$D$8^((1-_xlfn.WEIBULL.DIST(CD$2,$M70,$L70,FALSE))/_xlfn.WEIBULL.DIST(CD$2,$M70,$L70,FALSE))*($T70*(1-$F70)+$S70*(1-$G70))*((1+Inputs!$D$7)^CD$2))))))))</f>
        <v>96.316113547522278</v>
      </c>
      <c r="CE70" s="88">
        <f>MAX(AO70,($E70*IF(CE$2&gt;Inputs!$D$5,0,IF(CE$2&gt;VLOOKUP($H70,Lists!$P$3:$Q$7,2),IF($N70=Lists!$K$3,IF($L70&lt;1,(($U70/$L70)*((1+Inputs!$D$7)^CE$2)),((INT(CE$2/$L70)-INT((CE$2-1)/$L70))*$U70*((1+Inputs!$D$7)^CE$2))),(Inputs!$D$8^((1-_xlfn.WEIBULL.DIST(CE$2,$M70,$L70,FALSE))/_xlfn.WEIBULL.DIST(CE$2,$M70,$L70,FALSE))*$U70*((1+Inputs!$D$7)^CE$2))),IF($N70=Lists!$K$3,IF($L70&lt;1,((($T70*(1-$F70)+$S70*(1-$G70))/$L70)*((1+Inputs!$D$7)^CE$2)),((INT(CE$2/$L70)-INT((CE$2-1)/$L70))*($T70*(1-$F70)+$S70*(1-$G70))*((1+Inputs!$D$7)^CE$2))),((Inputs!$D$8^((1-_xlfn.WEIBULL.DIST(CE$2,$M70,$L70,FALSE))/_xlfn.WEIBULL.DIST(CE$2,$M70,$L70,FALSE))*($T70*(1-$F70)+$S70*(1-$G70))*((1+Inputs!$D$7)^CE$2))))))))</f>
        <v>98.2424358184727</v>
      </c>
      <c r="CF70" s="88">
        <f>MAX(AP70,($E70*IF(CF$2&gt;Inputs!$D$5,0,IF(CF$2&gt;VLOOKUP($H70,Lists!$P$3:$Q$7,2),IF($N70=Lists!$K$3,IF($L70&lt;1,(($U70/$L70)*((1+Inputs!$D$7)^CF$2)),((INT(CF$2/$L70)-INT((CF$2-1)/$L70))*$U70*((1+Inputs!$D$7)^CF$2))),(Inputs!$D$8^((1-_xlfn.WEIBULL.DIST(CF$2,$M70,$L70,FALSE))/_xlfn.WEIBULL.DIST(CF$2,$M70,$L70,FALSE))*$U70*((1+Inputs!$D$7)^CF$2))),IF($N70=Lists!$K$3,IF($L70&lt;1,((($T70*(1-$F70)+$S70*(1-$G70))/$L70)*((1+Inputs!$D$7)^CF$2)),((INT(CF$2/$L70)-INT((CF$2-1)/$L70))*($T70*(1-$F70)+$S70*(1-$G70))*((1+Inputs!$D$7)^CF$2))),((Inputs!$D$8^((1-_xlfn.WEIBULL.DIST(CF$2,$M70,$L70,FALSE))/_xlfn.WEIBULL.DIST(CF$2,$M70,$L70,FALSE))*($T70*(1-$F70)+$S70*(1-$G70))*((1+Inputs!$D$7)^CF$2))))))))</f>
        <v>100.20728453484216</v>
      </c>
      <c r="CG70" s="88">
        <f>MAX(AQ70,($E70*IF(CG$2&gt;Inputs!$D$5,0,IF(CG$2&gt;VLOOKUP($H70,Lists!$P$3:$Q$7,2),IF($N70=Lists!$K$3,IF($L70&lt;1,(($U70/$L70)*((1+Inputs!$D$7)^CG$2)),((INT(CG$2/$L70)-INT((CG$2-1)/$L70))*$U70*((1+Inputs!$D$7)^CG$2))),(Inputs!$D$8^((1-_xlfn.WEIBULL.DIST(CG$2,$M70,$L70,FALSE))/_xlfn.WEIBULL.DIST(CG$2,$M70,$L70,FALSE))*$U70*((1+Inputs!$D$7)^CG$2))),IF($N70=Lists!$K$3,IF($L70&lt;1,((($T70*(1-$F70)+$S70*(1-$G70))/$L70)*((1+Inputs!$D$7)^CG$2)),((INT(CG$2/$L70)-INT((CG$2-1)/$L70))*($T70*(1-$F70)+$S70*(1-$G70))*((1+Inputs!$D$7)^CG$2))),((Inputs!$D$8^((1-_xlfn.WEIBULL.DIST(CG$2,$M70,$L70,FALSE))/_xlfn.WEIBULL.DIST(CG$2,$M70,$L70,FALSE))*($T70*(1-$F70)+$S70*(1-$G70))*((1+Inputs!$D$7)^CG$2))))))))</f>
        <v>102.21143022553902</v>
      </c>
      <c r="CH70" s="88">
        <f>MAX(AR70,($E70*IF(CH$2&gt;Inputs!$D$5,0,IF(CH$2&gt;VLOOKUP($H70,Lists!$P$3:$Q$7,2),IF($N70=Lists!$K$3,IF($L70&lt;1,(($U70/$L70)*((1+Inputs!$D$7)^CH$2)),((INT(CH$2/$L70)-INT((CH$2-1)/$L70))*$U70*((1+Inputs!$D$7)^CH$2))),(Inputs!$D$8^((1-_xlfn.WEIBULL.DIST(CH$2,$M70,$L70,FALSE))/_xlfn.WEIBULL.DIST(CH$2,$M70,$L70,FALSE))*$U70*((1+Inputs!$D$7)^CH$2))),IF($N70=Lists!$K$3,IF($L70&lt;1,((($T70*(1-$F70)+$S70*(1-$G70))/$L70)*((1+Inputs!$D$7)^CH$2)),((INT(CH$2/$L70)-INT((CH$2-1)/$L70))*($T70*(1-$F70)+$S70*(1-$G70))*((1+Inputs!$D$7)^CH$2))),((Inputs!$D$8^((1-_xlfn.WEIBULL.DIST(CH$2,$M70,$L70,FALSE))/_xlfn.WEIBULL.DIST(CH$2,$M70,$L70,FALSE))*($T70*(1-$F70)+$S70*(1-$G70))*((1+Inputs!$D$7)^CH$2))))))))</f>
        <v>104.25565883004978</v>
      </c>
      <c r="CI70" s="88">
        <f>MAX(AS70,($E70*IF(CI$2&gt;Inputs!$D$5,0,IF(CI$2&gt;VLOOKUP($H70,Lists!$P$3:$Q$7,2),IF($N70=Lists!$K$3,IF($L70&lt;1,(($U70/$L70)*((1+Inputs!$D$7)^CI$2)),((INT(CI$2/$L70)-INT((CI$2-1)/$L70))*$U70*((1+Inputs!$D$7)^CI$2))),(Inputs!$D$8^((1-_xlfn.WEIBULL.DIST(CI$2,$M70,$L70,FALSE))/_xlfn.WEIBULL.DIST(CI$2,$M70,$L70,FALSE))*$U70*((1+Inputs!$D$7)^CI$2))),IF($N70=Lists!$K$3,IF($L70&lt;1,((($T70*(1-$F70)+$S70*(1-$G70))/$L70)*((1+Inputs!$D$7)^CI$2)),((INT(CI$2/$L70)-INT((CI$2-1)/$L70))*($T70*(1-$F70)+$S70*(1-$G70))*((1+Inputs!$D$7)^CI$2))),((Inputs!$D$8^((1-_xlfn.WEIBULL.DIST(CI$2,$M70,$L70,FALSE))/_xlfn.WEIBULL.DIST(CI$2,$M70,$L70,FALSE))*($T70*(1-$F70)+$S70*(1-$G70))*((1+Inputs!$D$7)^CI$2))))))))</f>
        <v>106.34077200665078</v>
      </c>
      <c r="CJ70" s="88">
        <f>MAX(AT70,($E70*IF(CJ$2&gt;Inputs!$D$5,0,IF(CJ$2&gt;VLOOKUP($H70,Lists!$P$3:$Q$7,2),IF($N70=Lists!$K$3,IF($L70&lt;1,(($U70/$L70)*((1+Inputs!$D$7)^CJ$2)),((INT(CJ$2/$L70)-INT((CJ$2-1)/$L70))*$U70*((1+Inputs!$D$7)^CJ$2))),(Inputs!$D$8^((1-_xlfn.WEIBULL.DIST(CJ$2,$M70,$L70,FALSE))/_xlfn.WEIBULL.DIST(CJ$2,$M70,$L70,FALSE))*$U70*((1+Inputs!$D$7)^CJ$2))),IF($N70=Lists!$K$3,IF($L70&lt;1,((($T70*(1-$F70)+$S70*(1-$G70))/$L70)*((1+Inputs!$D$7)^CJ$2)),((INT(CJ$2/$L70)-INT((CJ$2-1)/$L70))*($T70*(1-$F70)+$S70*(1-$G70))*((1+Inputs!$D$7)^CJ$2))),((Inputs!$D$8^((1-_xlfn.WEIBULL.DIST(CJ$2,$M70,$L70,FALSE))/_xlfn.WEIBULL.DIST(CJ$2,$M70,$L70,FALSE))*($T70*(1-$F70)+$S70*(1-$G70))*((1+Inputs!$D$7)^CJ$2))))))))</f>
        <v>108.46758744678381</v>
      </c>
      <c r="CK70" s="88">
        <f>MAX(AU70,($E70*IF(CK$2&gt;Inputs!$D$5,0,IF(CK$2&gt;VLOOKUP($H70,Lists!$P$3:$Q$7,2),IF($N70=Lists!$K$3,IF($L70&lt;1,(($U70/$L70)*((1+Inputs!$D$7)^CK$2)),((INT(CK$2/$L70)-INT((CK$2-1)/$L70))*$U70*((1+Inputs!$D$7)^CK$2))),(Inputs!$D$8^((1-_xlfn.WEIBULL.DIST(CK$2,$M70,$L70,FALSE))/_xlfn.WEIBULL.DIST(CK$2,$M70,$L70,FALSE))*$U70*((1+Inputs!$D$7)^CK$2))),IF($N70=Lists!$K$3,IF($L70&lt;1,((($T70*(1-$F70)+$S70*(1-$G70))/$L70)*((1+Inputs!$D$7)^CK$2)),((INT(CK$2/$L70)-INT((CK$2-1)/$L70))*($T70*(1-$F70)+$S70*(1-$G70))*((1+Inputs!$D$7)^CK$2))),((Inputs!$D$8^((1-_xlfn.WEIBULL.DIST(CK$2,$M70,$L70,FALSE))/_xlfn.WEIBULL.DIST(CK$2,$M70,$L70,FALSE))*($T70*(1-$F70)+$S70*(1-$G70))*((1+Inputs!$D$7)^CK$2))))))))</f>
        <v>110.63693919571948</v>
      </c>
      <c r="CL70" s="88">
        <f>MAX(AV70,($E70*IF(CL$2&gt;Inputs!$D$5,0,IF(CL$2&gt;VLOOKUP($H70,Lists!$P$3:$Q$7,2),IF($N70=Lists!$K$3,IF($L70&lt;1,(($U70/$L70)*((1+Inputs!$D$7)^CL$2)),((INT(CL$2/$L70)-INT((CL$2-1)/$L70))*$U70*((1+Inputs!$D$7)^CL$2))),(Inputs!$D$8^((1-_xlfn.WEIBULL.DIST(CL$2,$M70,$L70,FALSE))/_xlfn.WEIBULL.DIST(CL$2,$M70,$L70,FALSE))*$U70*((1+Inputs!$D$7)^CL$2))),IF($N70=Lists!$K$3,IF($L70&lt;1,((($T70*(1-$F70)+$S70*(1-$G70))/$L70)*((1+Inputs!$D$7)^CL$2)),((INT(CL$2/$L70)-INT((CL$2-1)/$L70))*($T70*(1-$F70)+$S70*(1-$G70))*((1+Inputs!$D$7)^CL$2))),((Inputs!$D$8^((1-_xlfn.WEIBULL.DIST(CL$2,$M70,$L70,FALSE))/_xlfn.WEIBULL.DIST(CL$2,$M70,$L70,FALSE))*($T70*(1-$F70)+$S70*(1-$G70))*((1+Inputs!$D$7)^CL$2))))))))</f>
        <v>112.84967797963387</v>
      </c>
      <c r="CM70" s="88">
        <f>MAX(AW70,($E70*IF(CM$2&gt;Inputs!$D$5,0,IF(CM$2&gt;VLOOKUP($H70,Lists!$P$3:$Q$7,2),IF($N70=Lists!$K$3,IF($L70&lt;1,(($U70/$L70)*((1+Inputs!$D$7)^CM$2)),((INT(CM$2/$L70)-INT((CM$2-1)/$L70))*$U70*((1+Inputs!$D$7)^CM$2))),(Inputs!$D$8^((1-_xlfn.WEIBULL.DIST(CM$2,$M70,$L70,FALSE))/_xlfn.WEIBULL.DIST(CM$2,$M70,$L70,FALSE))*$U70*((1+Inputs!$D$7)^CM$2))),IF($N70=Lists!$K$3,IF($L70&lt;1,((($T70*(1-$F70)+$S70*(1-$G70))/$L70)*((1+Inputs!$D$7)^CM$2)),((INT(CM$2/$L70)-INT((CM$2-1)/$L70))*($T70*(1-$F70)+$S70*(1-$G70))*((1+Inputs!$D$7)^CM$2))),((Inputs!$D$8^((1-_xlfn.WEIBULL.DIST(CM$2,$M70,$L70,FALSE))/_xlfn.WEIBULL.DIST(CM$2,$M70,$L70,FALSE))*($T70*(1-$F70)+$S70*(1-$G70))*((1+Inputs!$D$7)^CM$2))))))))</f>
        <v>115.10667153922653</v>
      </c>
      <c r="CN70" s="88">
        <f>MAX(AX70,($E70*IF(CN$2&gt;Inputs!$D$5,0,IF(CN$2&gt;VLOOKUP($H70,Lists!$P$3:$Q$7,2),IF($N70=Lists!$K$3,IF($L70&lt;1,(($U70/$L70)*((1+Inputs!$D$7)^CN$2)),((INT(CN$2/$L70)-INT((CN$2-1)/$L70))*$U70*((1+Inputs!$D$7)^CN$2))),(Inputs!$D$8^((1-_xlfn.WEIBULL.DIST(CN$2,$M70,$L70,FALSE))/_xlfn.WEIBULL.DIST(CN$2,$M70,$L70,FALSE))*$U70*((1+Inputs!$D$7)^CN$2))),IF($N70=Lists!$K$3,IF($L70&lt;1,((($T70*(1-$F70)+$S70*(1-$G70))/$L70)*((1+Inputs!$D$7)^CN$2)),((INT(CN$2/$L70)-INT((CN$2-1)/$L70))*($T70*(1-$F70)+$S70*(1-$G70))*((1+Inputs!$D$7)^CN$2))),((Inputs!$D$8^((1-_xlfn.WEIBULL.DIST(CN$2,$M70,$L70,FALSE))/_xlfn.WEIBULL.DIST(CN$2,$M70,$L70,FALSE))*($T70*(1-$F70)+$S70*(1-$G70))*((1+Inputs!$D$7)^CN$2))))))))</f>
        <v>117.40880497001106</v>
      </c>
      <c r="CO70" s="88">
        <f>MAX(AY70,($E70*IF(CO$2&gt;Inputs!$D$5,0,IF(CO$2&gt;VLOOKUP($H70,Lists!$P$3:$Q$7,2),IF($N70=Lists!$K$3,IF($L70&lt;1,(($U70/$L70)*((1+Inputs!$D$7)^CO$2)),((INT(CO$2/$L70)-INT((CO$2-1)/$L70))*$U70*((1+Inputs!$D$7)^CO$2))),(Inputs!$D$8^((1-_xlfn.WEIBULL.DIST(CO$2,$M70,$L70,FALSE))/_xlfn.WEIBULL.DIST(CO$2,$M70,$L70,FALSE))*$U70*((1+Inputs!$D$7)^CO$2))),IF($N70=Lists!$K$3,IF($L70&lt;1,((($T70*(1-$F70)+$S70*(1-$G70))/$L70)*((1+Inputs!$D$7)^CO$2)),((INT(CO$2/$L70)-INT((CO$2-1)/$L70))*($T70*(1-$F70)+$S70*(1-$G70))*((1+Inputs!$D$7)^CO$2))),((Inputs!$D$8^((1-_xlfn.WEIBULL.DIST(CO$2,$M70,$L70,FALSE))/_xlfn.WEIBULL.DIST(CO$2,$M70,$L70,FALSE))*($T70*(1-$F70)+$S70*(1-$G70))*((1+Inputs!$D$7)^CO$2))))))))</f>
        <v>119.75698106941128</v>
      </c>
      <c r="CP70" s="88">
        <f>MAX(AZ70,($E70*IF(CP$2&gt;Inputs!$D$5,0,IF(CP$2&gt;VLOOKUP($H70,Lists!$P$3:$Q$7,2),IF($N70=Lists!$K$3,IF($L70&lt;1,(($U70/$L70)*((1+Inputs!$D$7)^CP$2)),((INT(CP$2/$L70)-INT((CP$2-1)/$L70))*$U70*((1+Inputs!$D$7)^CP$2))),(Inputs!$D$8^((1-_xlfn.WEIBULL.DIST(CP$2,$M70,$L70,FALSE))/_xlfn.WEIBULL.DIST(CP$2,$M70,$L70,FALSE))*$U70*((1+Inputs!$D$7)^CP$2))),IF($N70=Lists!$K$3,IF($L70&lt;1,((($T70*(1-$F70)+$S70*(1-$G70))/$L70)*((1+Inputs!$D$7)^CP$2)),((INT(CP$2/$L70)-INT((CP$2-1)/$L70))*($T70*(1-$F70)+$S70*(1-$G70))*((1+Inputs!$D$7)^CP$2))),((Inputs!$D$8^((1-_xlfn.WEIBULL.DIST(CP$2,$M70,$L70,FALSE))/_xlfn.WEIBULL.DIST(CP$2,$M70,$L70,FALSE))*($T70*(1-$F70)+$S70*(1-$G70))*((1+Inputs!$D$7)^CP$2))))))))</f>
        <v>0</v>
      </c>
      <c r="CQ70" s="88">
        <f>MAX(BA70,($E70*IF(CQ$2&gt;Inputs!$D$5,0,IF(CQ$2&gt;VLOOKUP($H70,Lists!$P$3:$Q$7,2),IF($N70=Lists!$K$3,IF($L70&lt;1,(($U70/$L70)*((1+Inputs!$D$7)^CQ$2)),((INT(CQ$2/$L70)-INT((CQ$2-1)/$L70))*$U70*((1+Inputs!$D$7)^CQ$2))),(Inputs!$D$8^((1-_xlfn.WEIBULL.DIST(CQ$2,$M70,$L70,FALSE))/_xlfn.WEIBULL.DIST(CQ$2,$M70,$L70,FALSE))*$U70*((1+Inputs!$D$7)^CQ$2))),IF($N70=Lists!$K$3,IF($L70&lt;1,((($T70*(1-$F70)+$S70*(1-$G70))/$L70)*((1+Inputs!$D$7)^CQ$2)),((INT(CQ$2/$L70)-INT((CQ$2-1)/$L70))*($T70*(1-$F70)+$S70*(1-$G70))*((1+Inputs!$D$7)^CQ$2))),((Inputs!$D$8^((1-_xlfn.WEIBULL.DIST(CQ$2,$M70,$L70,FALSE))/_xlfn.WEIBULL.DIST(CQ$2,$M70,$L70,FALSE))*($T70*(1-$F70)+$S70*(1-$G70))*((1+Inputs!$D$7)^CQ$2))))))))</f>
        <v>0</v>
      </c>
      <c r="CR70" s="88">
        <f>MAX(BB70,($E70*IF(CR$2&gt;Inputs!$D$5,0,IF(CR$2&gt;VLOOKUP($H70,Lists!$P$3:$Q$7,2),IF($N70=Lists!$K$3,IF($L70&lt;1,(($U70/$L70)*((1+Inputs!$D$7)^CR$2)),((INT(CR$2/$L70)-INT((CR$2-1)/$L70))*$U70*((1+Inputs!$D$7)^CR$2))),(Inputs!$D$8^((1-_xlfn.WEIBULL.DIST(CR$2,$M70,$L70,FALSE))/_xlfn.WEIBULL.DIST(CR$2,$M70,$L70,FALSE))*$U70*((1+Inputs!$D$7)^CR$2))),IF($N70=Lists!$K$3,IF($L70&lt;1,((($T70*(1-$F70)+$S70*(1-$G70))/$L70)*((1+Inputs!$D$7)^CR$2)),((INT(CR$2/$L70)-INT((CR$2-1)/$L70))*($T70*(1-$F70)+$S70*(1-$G70))*((1+Inputs!$D$7)^CR$2))),((Inputs!$D$8^((1-_xlfn.WEIBULL.DIST(CR$2,$M70,$L70,FALSE))/_xlfn.WEIBULL.DIST(CR$2,$M70,$L70,FALSE))*($T70*(1-$F70)+$S70*(1-$G70))*((1+Inputs!$D$7)^CR$2))))))))</f>
        <v>0</v>
      </c>
      <c r="CS70" s="88">
        <f>MAX(BC70,($E70*IF(CS$2&gt;Inputs!$D$5,0,IF(CS$2&gt;VLOOKUP($H70,Lists!$P$3:$Q$7,2),IF($N70=Lists!$K$3,IF($L70&lt;1,(($U70/$L70)*((1+Inputs!$D$7)^CS$2)),((INT(CS$2/$L70)-INT((CS$2-1)/$L70))*$U70*((1+Inputs!$D$7)^CS$2))),(Inputs!$D$8^((1-_xlfn.WEIBULL.DIST(CS$2,$M70,$L70,FALSE))/_xlfn.WEIBULL.DIST(CS$2,$M70,$L70,FALSE))*$U70*((1+Inputs!$D$7)^CS$2))),IF($N70=Lists!$K$3,IF($L70&lt;1,((($T70*(1-$F70)+$S70*(1-$G70))/$L70)*((1+Inputs!$D$7)^CS$2)),((INT(CS$2/$L70)-INT((CS$2-1)/$L70))*($T70*(1-$F70)+$S70*(1-$G70))*((1+Inputs!$D$7)^CS$2))),((Inputs!$D$8^((1-_xlfn.WEIBULL.DIST(CS$2,$M70,$L70,FALSE))/_xlfn.WEIBULL.DIST(CS$2,$M70,$L70,FALSE))*($T70*(1-$F70)+$S70*(1-$G70))*((1+Inputs!$D$7)^CS$2))))))))</f>
        <v>0</v>
      </c>
      <c r="CT70" s="88">
        <f>MAX(BD70,($E70*IF(CT$2&gt;Inputs!$D$5,0,IF(CT$2&gt;VLOOKUP($H70,Lists!$P$3:$Q$7,2),IF($N70=Lists!$K$3,IF($L70&lt;1,(($U70/$L70)*((1+Inputs!$D$7)^CT$2)),((INT(CT$2/$L70)-INT((CT$2-1)/$L70))*$U70*((1+Inputs!$D$7)^CT$2))),(Inputs!$D$8^((1-_xlfn.WEIBULL.DIST(CT$2,$M70,$L70,FALSE))/_xlfn.WEIBULL.DIST(CT$2,$M70,$L70,FALSE))*$U70*((1+Inputs!$D$7)^CT$2))),IF($N70=Lists!$K$3,IF($L70&lt;1,((($T70*(1-$F70)+$S70*(1-$G70))/$L70)*((1+Inputs!$D$7)^CT$2)),((INT(CT$2/$L70)-INT((CT$2-1)/$L70))*($T70*(1-$F70)+$S70*(1-$G70))*((1+Inputs!$D$7)^CT$2))),((Inputs!$D$8^((1-_xlfn.WEIBULL.DIST(CT$2,$M70,$L70,FALSE))/_xlfn.WEIBULL.DIST(CT$2,$M70,$L70,FALSE))*($T70*(1-$F70)+$S70*(1-$G70))*((1+Inputs!$D$7)^CT$2))))))))</f>
        <v>0</v>
      </c>
      <c r="CU70" s="88">
        <f>MAX(BE70,($E70*IF(CU$2&gt;Inputs!$D$5,0,IF(CU$2&gt;VLOOKUP($H70,Lists!$P$3:$Q$7,2),IF($N70=Lists!$K$3,IF($L70&lt;1,(($U70/$L70)*((1+Inputs!$D$7)^CU$2)),((INT(CU$2/$L70)-INT((CU$2-1)/$L70))*$U70*((1+Inputs!$D$7)^CU$2))),(Inputs!$D$8^((1-_xlfn.WEIBULL.DIST(CU$2,$M70,$L70,FALSE))/_xlfn.WEIBULL.DIST(CU$2,$M70,$L70,FALSE))*$U70*((1+Inputs!$D$7)^CU$2))),IF($N70=Lists!$K$3,IF($L70&lt;1,((($T70*(1-$F70)+$S70*(1-$G70))/$L70)*((1+Inputs!$D$7)^CU$2)),((INT(CU$2/$L70)-INT((CU$2-1)/$L70))*($T70*(1-$F70)+$S70*(1-$G70))*((1+Inputs!$D$7)^CU$2))),((Inputs!$D$8^((1-_xlfn.WEIBULL.DIST(CU$2,$M70,$L70,FALSE))/_xlfn.WEIBULL.DIST(CU$2,$M70,$L70,FALSE))*($T70*(1-$F70)+$S70*(1-$G70))*((1+Inputs!$D$7)^CU$2))))))))</f>
        <v>0</v>
      </c>
      <c r="CV70" s="88">
        <f>MAX(BF70,($E70*IF(CV$2&gt;Inputs!$D$5,0,IF(CV$2&gt;VLOOKUP($H70,Lists!$P$3:$Q$7,2),IF($N70=Lists!$K$3,IF($L70&lt;1,(($U70/$L70)*((1+Inputs!$D$7)^CV$2)),((INT(CV$2/$L70)-INT((CV$2-1)/$L70))*$U70*((1+Inputs!$D$7)^CV$2))),(Inputs!$D$8^((1-_xlfn.WEIBULL.DIST(CV$2,$M70,$L70,FALSE))/_xlfn.WEIBULL.DIST(CV$2,$M70,$L70,FALSE))*$U70*((1+Inputs!$D$7)^CV$2))),IF($N70=Lists!$K$3,IF($L70&lt;1,((($T70*(1-$F70)+$S70*(1-$G70))/$L70)*((1+Inputs!$D$7)^CV$2)),((INT(CV$2/$L70)-INT((CV$2-1)/$L70))*($T70*(1-$F70)+$S70*(1-$G70))*((1+Inputs!$D$7)^CV$2))),((Inputs!$D$8^((1-_xlfn.WEIBULL.DIST(CV$2,$M70,$L70,FALSE))/_xlfn.WEIBULL.DIST(CV$2,$M70,$L70,FALSE))*($T70*(1-$F70)+$S70*(1-$G70))*((1+Inputs!$D$7)^CV$2))))))))</f>
        <v>0</v>
      </c>
      <c r="CW70" s="88">
        <f>MAX(BG70,($E70*IF(CW$2&gt;Inputs!$D$5,0,IF(CW$2&gt;VLOOKUP($H70,Lists!$P$3:$Q$7,2),IF($N70=Lists!$K$3,IF($L70&lt;1,(($U70/$L70)*((1+Inputs!$D$7)^CW$2)),((INT(CW$2/$L70)-INT((CW$2-1)/$L70))*$U70*((1+Inputs!$D$7)^CW$2))),(Inputs!$D$8^((1-_xlfn.WEIBULL.DIST(CW$2,$M70,$L70,FALSE))/_xlfn.WEIBULL.DIST(CW$2,$M70,$L70,FALSE))*$U70*((1+Inputs!$D$7)^CW$2))),IF($N70=Lists!$K$3,IF($L70&lt;1,((($T70*(1-$F70)+$S70*(1-$G70))/$L70)*((1+Inputs!$D$7)^CW$2)),((INT(CW$2/$L70)-INT((CW$2-1)/$L70))*($T70*(1-$F70)+$S70*(1-$G70))*((1+Inputs!$D$7)^CW$2))),((Inputs!$D$8^((1-_xlfn.WEIBULL.DIST(CW$2,$M70,$L70,FALSE))/_xlfn.WEIBULL.DIST(CW$2,$M70,$L70,FALSE))*($T70*(1-$F70)+$S70*(1-$G70))*((1+Inputs!$D$7)^CW$2))))))))</f>
        <v>0</v>
      </c>
      <c r="CX70" s="88">
        <f>MAX(BH70,($E70*IF(CX$2&gt;Inputs!$D$5,0,IF(CX$2&gt;VLOOKUP($H70,Lists!$P$3:$Q$7,2),IF($N70=Lists!$K$3,IF($L70&lt;1,(($U70/$L70)*((1+Inputs!$D$7)^CX$2)),((INT(CX$2/$L70)-INT((CX$2-1)/$L70))*$U70*((1+Inputs!$D$7)^CX$2))),(Inputs!$D$8^((1-_xlfn.WEIBULL.DIST(CX$2,$M70,$L70,FALSE))/_xlfn.WEIBULL.DIST(CX$2,$M70,$L70,FALSE))*$U70*((1+Inputs!$D$7)^CX$2))),IF($N70=Lists!$K$3,IF($L70&lt;1,((($T70*(1-$F70)+$S70*(1-$G70))/$L70)*((1+Inputs!$D$7)^CX$2)),((INT(CX$2/$L70)-INT((CX$2-1)/$L70))*($T70*(1-$F70)+$S70*(1-$G70))*((1+Inputs!$D$7)^CX$2))),((Inputs!$D$8^((1-_xlfn.WEIBULL.DIST(CX$2,$M70,$L70,FALSE))/_xlfn.WEIBULL.DIST(CX$2,$M70,$L70,FALSE))*($T70*(1-$F70)+$S70*(1-$G70))*((1+Inputs!$D$7)^CX$2))))))))</f>
        <v>0</v>
      </c>
      <c r="CY70" s="88">
        <f>MAX(BI70,($E70*IF(CY$2&gt;Inputs!$D$5,0,IF(CY$2&gt;VLOOKUP($H70,Lists!$P$3:$Q$7,2),IF($N70=Lists!$K$3,IF($L70&lt;1,(($U70/$L70)*((1+Inputs!$D$7)^CY$2)),((INT(CY$2/$L70)-INT((CY$2-1)/$L70))*$U70*((1+Inputs!$D$7)^CY$2))),(Inputs!$D$8^((1-_xlfn.WEIBULL.DIST(CY$2,$M70,$L70,FALSE))/_xlfn.WEIBULL.DIST(CY$2,$M70,$L70,FALSE))*$U70*((1+Inputs!$D$7)^CY$2))),IF($N70=Lists!$K$3,IF($L70&lt;1,((($T70*(1-$F70)+$S70*(1-$G70))/$L70)*((1+Inputs!$D$7)^CY$2)),((INT(CY$2/$L70)-INT((CY$2-1)/$L70))*($T70*(1-$F70)+$S70*(1-$G70))*((1+Inputs!$D$7)^CY$2))),((Inputs!$D$8^((1-_xlfn.WEIBULL.DIST(CY$2,$M70,$L70,FALSE))/_xlfn.WEIBULL.DIST(CY$2,$M70,$L70,FALSE))*($T70*(1-$F70)+$S70*(1-$G70))*((1+Inputs!$D$7)^CY$2))))))))</f>
        <v>0</v>
      </c>
      <c r="CZ70" s="88">
        <f>MAX(BJ70,($E70*IF(CZ$2&gt;Inputs!$D$5,0,IF(CZ$2&gt;VLOOKUP($H70,Lists!$P$3:$Q$7,2),IF($N70=Lists!$K$3,IF($L70&lt;1,(($U70/$L70)*((1+Inputs!$D$7)^CZ$2)),((INT(CZ$2/$L70)-INT((CZ$2-1)/$L70))*$U70*((1+Inputs!$D$7)^CZ$2))),(Inputs!$D$8^((1-_xlfn.WEIBULL.DIST(CZ$2,$M70,$L70,FALSE))/_xlfn.WEIBULL.DIST(CZ$2,$M70,$L70,FALSE))*$U70*((1+Inputs!$D$7)^CZ$2))),IF($N70=Lists!$K$3,IF($L70&lt;1,((($T70*(1-$F70)+$S70*(1-$G70))/$L70)*((1+Inputs!$D$7)^CZ$2)),((INT(CZ$2/$L70)-INT((CZ$2-1)/$L70))*($T70*(1-$F70)+$S70*(1-$G70))*((1+Inputs!$D$7)^CZ$2))),((Inputs!$D$8^((1-_xlfn.WEIBULL.DIST(CZ$2,$M70,$L70,FALSE))/_xlfn.WEIBULL.DIST(CZ$2,$M70,$L70,FALSE))*($T70*(1-$F70)+$S70*(1-$G70))*((1+Inputs!$D$7)^CZ$2))))))))</f>
        <v>0</v>
      </c>
      <c r="DA70" s="88">
        <f>MAX(BK70,($E70*IF(DA$2&gt;Inputs!$D$5,0,IF(DA$2&gt;VLOOKUP($H70,Lists!$P$3:$Q$7,2),IF($N70=Lists!$K$3,IF($L70&lt;1,(($U70/$L70)*((1+Inputs!$D$7)^DA$2)),((INT(DA$2/$L70)-INT((DA$2-1)/$L70))*$U70*((1+Inputs!$D$7)^DA$2))),(Inputs!$D$8^((1-_xlfn.WEIBULL.DIST(DA$2,$M70,$L70,FALSE))/_xlfn.WEIBULL.DIST(DA$2,$M70,$L70,FALSE))*$U70*((1+Inputs!$D$7)^DA$2))),IF($N70=Lists!$K$3,IF($L70&lt;1,((($T70*(1-$F70)+$S70*(1-$G70))/$L70)*((1+Inputs!$D$7)^DA$2)),((INT(DA$2/$L70)-INT((DA$2-1)/$L70))*($T70*(1-$F70)+$S70*(1-$G70))*((1+Inputs!$D$7)^DA$2))),((Inputs!$D$8^((1-_xlfn.WEIBULL.DIST(DA$2,$M70,$L70,FALSE))/_xlfn.WEIBULL.DIST(DA$2,$M70,$L70,FALSE))*($T70*(1-$F70)+$S70*(1-$G70))*((1+Inputs!$D$7)^DA$2))))))))</f>
        <v>0</v>
      </c>
      <c r="DB70" s="88">
        <f>MAX(BL70,($E70*IF(DB$2&gt;Inputs!$D$5,0,IF(DB$2&gt;VLOOKUP($H70,Lists!$P$3:$Q$7,2),IF($N70=Lists!$K$3,IF($L70&lt;1,(($U70/$L70)*((1+Inputs!$D$7)^DB$2)),((INT(DB$2/$L70)-INT((DB$2-1)/$L70))*$U70*((1+Inputs!$D$7)^DB$2))),(Inputs!$D$8^((1-_xlfn.WEIBULL.DIST(DB$2,$M70,$L70,FALSE))/_xlfn.WEIBULL.DIST(DB$2,$M70,$L70,FALSE))*$U70*((1+Inputs!$D$7)^DB$2))),IF($N70=Lists!$K$3,IF($L70&lt;1,((($T70*(1-$F70)+$S70*(1-$G70))/$L70)*((1+Inputs!$D$7)^DB$2)),((INT(DB$2/$L70)-INT((DB$2-1)/$L70))*($T70*(1-$F70)+$S70*(1-$G70))*((1+Inputs!$D$7)^DB$2))),((Inputs!$D$8^((1-_xlfn.WEIBULL.DIST(DB$2,$M70,$L70,FALSE))/_xlfn.WEIBULL.DIST(DB$2,$M70,$L70,FALSE))*($T70*(1-$F70)+$S70*(1-$G70))*((1+Inputs!$D$7)^DB$2))))))))</f>
        <v>0</v>
      </c>
      <c r="DC70" s="88">
        <f>MAX(BM70,($E70*IF(DC$2&gt;Inputs!$D$5,0,IF(DC$2&gt;VLOOKUP($H70,Lists!$P$3:$Q$7,2),IF($N70=Lists!$K$3,IF($L70&lt;1,(($U70/$L70)*((1+Inputs!$D$7)^DC$2)),((INT(DC$2/$L70)-INT((DC$2-1)/$L70))*$U70*((1+Inputs!$D$7)^DC$2))),(Inputs!$D$8^((1-_xlfn.WEIBULL.DIST(DC$2,$M70,$L70,FALSE))/_xlfn.WEIBULL.DIST(DC$2,$M70,$L70,FALSE))*$U70*((1+Inputs!$D$7)^DC$2))),IF($N70=Lists!$K$3,IF($L70&lt;1,((($T70*(1-$F70)+$S70*(1-$G70))/$L70)*((1+Inputs!$D$7)^DC$2)),((INT(DC$2/$L70)-INT((DC$2-1)/$L70))*($T70*(1-$F70)+$S70*(1-$G70))*((1+Inputs!$D$7)^DC$2))),((Inputs!$D$8^((1-_xlfn.WEIBULL.DIST(DC$2,$M70,$L70,FALSE))/_xlfn.WEIBULL.DIST(DC$2,$M70,$L70,FALSE))*($T70*(1-$F70)+$S70*(1-$G70))*((1+Inputs!$D$7)^DC$2))))))))</f>
        <v>0</v>
      </c>
      <c r="DD70" s="88">
        <f>MAX(BN70,($E70*IF(DD$2&gt;Inputs!$D$5,0,IF(DD$2&gt;VLOOKUP($H70,Lists!$P$3:$Q$7,2),IF($N70=Lists!$K$3,IF($L70&lt;1,(($U70/$L70)*((1+Inputs!$D$7)^DD$2)),((INT(DD$2/$L70)-INT((DD$2-1)/$L70))*$U70*((1+Inputs!$D$7)^DD$2))),(Inputs!$D$8^((1-_xlfn.WEIBULL.DIST(DD$2,$M70,$L70,FALSE))/_xlfn.WEIBULL.DIST(DD$2,$M70,$L70,FALSE))*$U70*((1+Inputs!$D$7)^DD$2))),IF($N70=Lists!$K$3,IF($L70&lt;1,((($T70*(1-$F70)+$S70*(1-$G70))/$L70)*((1+Inputs!$D$7)^DD$2)),((INT(DD$2/$L70)-INT((DD$2-1)/$L70))*($T70*(1-$F70)+$S70*(1-$G70))*((1+Inputs!$D$7)^DD$2))),((Inputs!$D$8^((1-_xlfn.WEIBULL.DIST(DD$2,$M70,$L70,FALSE))/_xlfn.WEIBULL.DIST(DD$2,$M70,$L70,FALSE))*($T70*(1-$F70)+$S70*(1-$G70))*((1+Inputs!$D$7)^DD$2))))))))</f>
        <v>0</v>
      </c>
    </row>
    <row r="71" spans="1:108" s="1" customFormat="1" ht="32">
      <c r="A71" s="57" t="s">
        <v>145</v>
      </c>
      <c r="B71" s="13" t="s">
        <v>279</v>
      </c>
      <c r="C71" s="13" t="s">
        <v>471</v>
      </c>
      <c r="D71" s="13" t="s">
        <v>166</v>
      </c>
      <c r="E71" s="48">
        <f>IF(Inputs!$D$41=Lists!$I$6,1,0)</f>
        <v>1</v>
      </c>
      <c r="F71" s="48">
        <v>0</v>
      </c>
      <c r="G71" s="48">
        <v>0</v>
      </c>
      <c r="H71" s="105" t="s">
        <v>350</v>
      </c>
      <c r="I71" s="14"/>
      <c r="J71" s="14" t="s">
        <v>248</v>
      </c>
      <c r="K71" s="13">
        <f>VLOOKUP(J71,'Labor Rates'!$A$1:$F$16,2)</f>
        <v>22.995576923076925</v>
      </c>
      <c r="L71" s="15">
        <f>1/12</f>
        <v>8.3333333333333329E-2</v>
      </c>
      <c r="M71" s="15">
        <v>1</v>
      </c>
      <c r="N71" s="13" t="s">
        <v>236</v>
      </c>
      <c r="O71" s="61">
        <v>1</v>
      </c>
      <c r="P71" s="15">
        <v>1</v>
      </c>
      <c r="Q71" s="15">
        <f t="shared" si="14"/>
        <v>12</v>
      </c>
      <c r="R71" s="4">
        <v>0</v>
      </c>
      <c r="S71" s="53">
        <f t="shared" si="15"/>
        <v>22.995576923076925</v>
      </c>
      <c r="T71" s="53">
        <f t="shared" si="16"/>
        <v>0</v>
      </c>
      <c r="U71" s="54">
        <f t="shared" si="17"/>
        <v>22.995576923076925</v>
      </c>
      <c r="V71" s="65"/>
      <c r="W71" s="58"/>
      <c r="X71" s="64">
        <f t="shared" si="18"/>
        <v>341.94400617854859</v>
      </c>
      <c r="Y71" s="64">
        <f>NPV(Inputs!$D$6,AA71:BN71)</f>
        <v>3927.6855006452624</v>
      </c>
      <c r="Z71" s="67">
        <f t="shared" si="19"/>
        <v>1.8524882344909477E-3</v>
      </c>
      <c r="AA71" s="88">
        <f>$E71*IF(AA$2&gt;Inputs!$D$5,0,IF(AA$2&gt;VLOOKUP($H71,Lists!$P$3:$Q$7,2),IF($N71=Lists!$K$3,IF($L71&lt;1,(($U71/$L71)*((1+Inputs!$D$7)^AA$2)),((INT(AA$2/$L71)-INT((AA$2-1)/$L71))*$U71*((1+Inputs!$D$7)^AA$2))),(_xlfn.WEIBULL.DIST(AA$2,$M71,$L71,FALSE)*$U71*((1+Inputs!$D$7)^AA$2))),IF($N71=Lists!$K$3,IF($L71&lt;1,((($T71*(1-$F71)+$S71*(1-$G71))/$L71)*((1+Inputs!$D$7)^AA$2)),((INT(AA$2/$L71)-INT((AA$2-1)/$L71))*($T71*(1-$F71)+$S71*(1-$G71))*((1+Inputs!$D$7)^AA$2))),((_xlfn.WEIBULL.DIST(AA$2,$M71,$L71,FALSE)*($T71*(1-$F71)+$S71*(1-$G71))*((1+Inputs!$D$7)^AA$2))))))</f>
        <v>281.46586153846158</v>
      </c>
      <c r="AB71" s="88">
        <f>$E71*IF(AB$2&gt;Inputs!$D$5,0,IF(AB$2&gt;VLOOKUP($H71,Lists!$P$3:$Q$7,2),IF($N71=Lists!$K$3,IF($L71&lt;1,(($U71/$L71)*((1+Inputs!$D$7)^AB$2)),((INT(AB$2/$L71)-INT((AB$2-1)/$L71))*$U71*((1+Inputs!$D$7)^AB$2))),(_xlfn.WEIBULL.DIST(AB$2,$M71,$L71,FALSE)*$U71*((1+Inputs!$D$7)^AB$2))),IF($N71=Lists!$K$3,IF($L71&lt;1,((($T71*(1-$F71)+$S71*(1-$G71))/$L71)*((1+Inputs!$D$7)^AB$2)),((INT(AB$2/$L71)-INT((AB$2-1)/$L71))*($T71*(1-$F71)+$S71*(1-$G71))*((1+Inputs!$D$7)^AB$2))),((_xlfn.WEIBULL.DIST(AB$2,$M71,$L71,FALSE)*($T71*(1-$F71)+$S71*(1-$G71))*((1+Inputs!$D$7)^AB$2))))))</f>
        <v>287.09517876923081</v>
      </c>
      <c r="AC71" s="88">
        <f>$E71*IF(AC$2&gt;Inputs!$D$5,0,IF(AC$2&gt;VLOOKUP($H71,Lists!$P$3:$Q$7,2),IF($N71=Lists!$K$3,IF($L71&lt;1,(($U71/$L71)*((1+Inputs!$D$7)^AC$2)),((INT(AC$2/$L71)-INT((AC$2-1)/$L71))*$U71*((1+Inputs!$D$7)^AC$2))),(_xlfn.WEIBULL.DIST(AC$2,$M71,$L71,FALSE)*$U71*((1+Inputs!$D$7)^AC$2))),IF($N71=Lists!$K$3,IF($L71&lt;1,((($T71*(1-$F71)+$S71*(1-$G71))/$L71)*((1+Inputs!$D$7)^AC$2)),((INT(AC$2/$L71)-INT((AC$2-1)/$L71))*($T71*(1-$F71)+$S71*(1-$G71))*((1+Inputs!$D$7)^AC$2))),((_xlfn.WEIBULL.DIST(AC$2,$M71,$L71,FALSE)*($T71*(1-$F71)+$S71*(1-$G71))*((1+Inputs!$D$7)^AC$2))))))</f>
        <v>292.8370823446154</v>
      </c>
      <c r="AD71" s="88">
        <f>$E71*IF(AD$2&gt;Inputs!$D$5,0,IF(AD$2&gt;VLOOKUP($H71,Lists!$P$3:$Q$7,2),IF($N71=Lists!$K$3,IF($L71&lt;1,(($U71/$L71)*((1+Inputs!$D$7)^AD$2)),((INT(AD$2/$L71)-INT((AD$2-1)/$L71))*$U71*((1+Inputs!$D$7)^AD$2))),(_xlfn.WEIBULL.DIST(AD$2,$M71,$L71,FALSE)*$U71*((1+Inputs!$D$7)^AD$2))),IF($N71=Lists!$K$3,IF($L71&lt;1,((($T71*(1-$F71)+$S71*(1-$G71))/$L71)*((1+Inputs!$D$7)^AD$2)),((INT(AD$2/$L71)-INT((AD$2-1)/$L71))*($T71*(1-$F71)+$S71*(1-$G71))*((1+Inputs!$D$7)^AD$2))),((_xlfn.WEIBULL.DIST(AD$2,$M71,$L71,FALSE)*($T71*(1-$F71)+$S71*(1-$G71))*((1+Inputs!$D$7)^AD$2))))))</f>
        <v>298.69382399150771</v>
      </c>
      <c r="AE71" s="88">
        <f>$E71*IF(AE$2&gt;Inputs!$D$5,0,IF(AE$2&gt;VLOOKUP($H71,Lists!$P$3:$Q$7,2),IF($N71=Lists!$K$3,IF($L71&lt;1,(($U71/$L71)*((1+Inputs!$D$7)^AE$2)),((INT(AE$2/$L71)-INT((AE$2-1)/$L71))*$U71*((1+Inputs!$D$7)^AE$2))),(_xlfn.WEIBULL.DIST(AE$2,$M71,$L71,FALSE)*$U71*((1+Inputs!$D$7)^AE$2))),IF($N71=Lists!$K$3,IF($L71&lt;1,((($T71*(1-$F71)+$S71*(1-$G71))/$L71)*((1+Inputs!$D$7)^AE$2)),((INT(AE$2/$L71)-INT((AE$2-1)/$L71))*($T71*(1-$F71)+$S71*(1-$G71))*((1+Inputs!$D$7)^AE$2))),((_xlfn.WEIBULL.DIST(AE$2,$M71,$L71,FALSE)*($T71*(1-$F71)+$S71*(1-$G71))*((1+Inputs!$D$7)^AE$2))))))</f>
        <v>304.66770047133787</v>
      </c>
      <c r="AF71" s="88">
        <f>$E71*IF(AF$2&gt;Inputs!$D$5,0,IF(AF$2&gt;VLOOKUP($H71,Lists!$P$3:$Q$7,2),IF($N71=Lists!$K$3,IF($L71&lt;1,(($U71/$L71)*((1+Inputs!$D$7)^AF$2)),((INT(AF$2/$L71)-INT((AF$2-1)/$L71))*$U71*((1+Inputs!$D$7)^AF$2))),(_xlfn.WEIBULL.DIST(AF$2,$M71,$L71,FALSE)*$U71*((1+Inputs!$D$7)^AF$2))),IF($N71=Lists!$K$3,IF($L71&lt;1,((($T71*(1-$F71)+$S71*(1-$G71))/$L71)*((1+Inputs!$D$7)^AF$2)),((INT(AF$2/$L71)-INT((AF$2-1)/$L71))*($T71*(1-$F71)+$S71*(1-$G71))*((1+Inputs!$D$7)^AF$2))),((_xlfn.WEIBULL.DIST(AF$2,$M71,$L71,FALSE)*($T71*(1-$F71)+$S71*(1-$G71))*((1+Inputs!$D$7)^AF$2))))))</f>
        <v>310.76105448076464</v>
      </c>
      <c r="AG71" s="88">
        <f>$E71*IF(AG$2&gt;Inputs!$D$5,0,IF(AG$2&gt;VLOOKUP($H71,Lists!$P$3:$Q$7,2),IF($N71=Lists!$K$3,IF($L71&lt;1,(($U71/$L71)*((1+Inputs!$D$7)^AG$2)),((INT(AG$2/$L71)-INT((AG$2-1)/$L71))*$U71*((1+Inputs!$D$7)^AG$2))),(_xlfn.WEIBULL.DIST(AG$2,$M71,$L71,FALSE)*$U71*((1+Inputs!$D$7)^AG$2))),IF($N71=Lists!$K$3,IF($L71&lt;1,((($T71*(1-$F71)+$S71*(1-$G71))/$L71)*((1+Inputs!$D$7)^AG$2)),((INT(AG$2/$L71)-INT((AG$2-1)/$L71))*($T71*(1-$F71)+$S71*(1-$G71))*((1+Inputs!$D$7)^AG$2))),((_xlfn.WEIBULL.DIST(AG$2,$M71,$L71,FALSE)*($T71*(1-$F71)+$S71*(1-$G71))*((1+Inputs!$D$7)^AG$2))))))</f>
        <v>316.97627557037987</v>
      </c>
      <c r="AH71" s="88">
        <f>$E71*IF(AH$2&gt;Inputs!$D$5,0,IF(AH$2&gt;VLOOKUP($H71,Lists!$P$3:$Q$7,2),IF($N71=Lists!$K$3,IF($L71&lt;1,(($U71/$L71)*((1+Inputs!$D$7)^AH$2)),((INT(AH$2/$L71)-INT((AH$2-1)/$L71))*$U71*((1+Inputs!$D$7)^AH$2))),(_xlfn.WEIBULL.DIST(AH$2,$M71,$L71,FALSE)*$U71*((1+Inputs!$D$7)^AH$2))),IF($N71=Lists!$K$3,IF($L71&lt;1,((($T71*(1-$F71)+$S71*(1-$G71))/$L71)*((1+Inputs!$D$7)^AH$2)),((INT(AH$2/$L71)-INT((AH$2-1)/$L71))*($T71*(1-$F71)+$S71*(1-$G71))*((1+Inputs!$D$7)^AH$2))),((_xlfn.WEIBULL.DIST(AH$2,$M71,$L71,FALSE)*($T71*(1-$F71)+$S71*(1-$G71))*((1+Inputs!$D$7)^AH$2))))))</f>
        <v>323.31580108178747</v>
      </c>
      <c r="AI71" s="88">
        <f>$E71*IF(AI$2&gt;Inputs!$D$5,0,IF(AI$2&gt;VLOOKUP($H71,Lists!$P$3:$Q$7,2),IF($N71=Lists!$K$3,IF($L71&lt;1,(($U71/$L71)*((1+Inputs!$D$7)^AI$2)),((INT(AI$2/$L71)-INT((AI$2-1)/$L71))*$U71*((1+Inputs!$D$7)^AI$2))),(_xlfn.WEIBULL.DIST(AI$2,$M71,$L71,FALSE)*$U71*((1+Inputs!$D$7)^AI$2))),IF($N71=Lists!$K$3,IF($L71&lt;1,((($T71*(1-$F71)+$S71*(1-$G71))/$L71)*((1+Inputs!$D$7)^AI$2)),((INT(AI$2/$L71)-INT((AI$2-1)/$L71))*($T71*(1-$F71)+$S71*(1-$G71))*((1+Inputs!$D$7)^AI$2))),((_xlfn.WEIBULL.DIST(AI$2,$M71,$L71,FALSE)*($T71*(1-$F71)+$S71*(1-$G71))*((1+Inputs!$D$7)^AI$2))))))</f>
        <v>329.78211710342327</v>
      </c>
      <c r="AJ71" s="88">
        <f>$E71*IF(AJ$2&gt;Inputs!$D$5,0,IF(AJ$2&gt;VLOOKUP($H71,Lists!$P$3:$Q$7,2),IF($N71=Lists!$K$3,IF($L71&lt;1,(($U71/$L71)*((1+Inputs!$D$7)^AJ$2)),((INT(AJ$2/$L71)-INT((AJ$2-1)/$L71))*$U71*((1+Inputs!$D$7)^AJ$2))),(_xlfn.WEIBULL.DIST(AJ$2,$M71,$L71,FALSE)*$U71*((1+Inputs!$D$7)^AJ$2))),IF($N71=Lists!$K$3,IF($L71&lt;1,((($T71*(1-$F71)+$S71*(1-$G71))/$L71)*((1+Inputs!$D$7)^AJ$2)),((INT(AJ$2/$L71)-INT((AJ$2-1)/$L71))*($T71*(1-$F71)+$S71*(1-$G71))*((1+Inputs!$D$7)^AJ$2))),((_xlfn.WEIBULL.DIST(AJ$2,$M71,$L71,FALSE)*($T71*(1-$F71)+$S71*(1-$G71))*((1+Inputs!$D$7)^AJ$2))))))</f>
        <v>336.37775944549173</v>
      </c>
      <c r="AK71" s="88">
        <f>$E71*IF(AK$2&gt;Inputs!$D$5,0,IF(AK$2&gt;VLOOKUP($H71,Lists!$P$3:$Q$7,2),IF($N71=Lists!$K$3,IF($L71&lt;1,(($U71/$L71)*((1+Inputs!$D$7)^AK$2)),((INT(AK$2/$L71)-INT((AK$2-1)/$L71))*$U71*((1+Inputs!$D$7)^AK$2))),(_xlfn.WEIBULL.DIST(AK$2,$M71,$L71,FALSE)*$U71*((1+Inputs!$D$7)^AK$2))),IF($N71=Lists!$K$3,IF($L71&lt;1,((($T71*(1-$F71)+$S71*(1-$G71))/$L71)*((1+Inputs!$D$7)^AK$2)),((INT(AK$2/$L71)-INT((AK$2-1)/$L71))*($T71*(1-$F71)+$S71*(1-$G71))*((1+Inputs!$D$7)^AK$2))),((_xlfn.WEIBULL.DIST(AK$2,$M71,$L71,FALSE)*($T71*(1-$F71)+$S71*(1-$G71))*((1+Inputs!$D$7)^AK$2))))))</f>
        <v>343.10531463440151</v>
      </c>
      <c r="AL71" s="88">
        <f>$E71*IF(AL$2&gt;Inputs!$D$5,0,IF(AL$2&gt;VLOOKUP($H71,Lists!$P$3:$Q$7,2),IF($N71=Lists!$K$3,IF($L71&lt;1,(($U71/$L71)*((1+Inputs!$D$7)^AL$2)),((INT(AL$2/$L71)-INT((AL$2-1)/$L71))*$U71*((1+Inputs!$D$7)^AL$2))),(_xlfn.WEIBULL.DIST(AL$2,$M71,$L71,FALSE)*$U71*((1+Inputs!$D$7)^AL$2))),IF($N71=Lists!$K$3,IF($L71&lt;1,((($T71*(1-$F71)+$S71*(1-$G71))/$L71)*((1+Inputs!$D$7)^AL$2)),((INT(AL$2/$L71)-INT((AL$2-1)/$L71))*($T71*(1-$F71)+$S71*(1-$G71))*((1+Inputs!$D$7)^AL$2))),((_xlfn.WEIBULL.DIST(AL$2,$M71,$L71,FALSE)*($T71*(1-$F71)+$S71*(1-$G71))*((1+Inputs!$D$7)^AL$2))))))</f>
        <v>349.96742092708956</v>
      </c>
      <c r="AM71" s="88">
        <f>$E71*IF(AM$2&gt;Inputs!$D$5,0,IF(AM$2&gt;VLOOKUP($H71,Lists!$P$3:$Q$7,2),IF($N71=Lists!$K$3,IF($L71&lt;1,(($U71/$L71)*((1+Inputs!$D$7)^AM$2)),((INT(AM$2/$L71)-INT((AM$2-1)/$L71))*$U71*((1+Inputs!$D$7)^AM$2))),(_xlfn.WEIBULL.DIST(AM$2,$M71,$L71,FALSE)*$U71*((1+Inputs!$D$7)^AM$2))),IF($N71=Lists!$K$3,IF($L71&lt;1,((($T71*(1-$F71)+$S71*(1-$G71))/$L71)*((1+Inputs!$D$7)^AM$2)),((INT(AM$2/$L71)-INT((AM$2-1)/$L71))*($T71*(1-$F71)+$S71*(1-$G71))*((1+Inputs!$D$7)^AM$2))),((_xlfn.WEIBULL.DIST(AM$2,$M71,$L71,FALSE)*($T71*(1-$F71)+$S71*(1-$G71))*((1+Inputs!$D$7)^AM$2))))))</f>
        <v>356.96676934563135</v>
      </c>
      <c r="AN71" s="88">
        <f>$E71*IF(AN$2&gt;Inputs!$D$5,0,IF(AN$2&gt;VLOOKUP($H71,Lists!$P$3:$Q$7,2),IF($N71=Lists!$K$3,IF($L71&lt;1,(($U71/$L71)*((1+Inputs!$D$7)^AN$2)),((INT(AN$2/$L71)-INT((AN$2-1)/$L71))*$U71*((1+Inputs!$D$7)^AN$2))),(_xlfn.WEIBULL.DIST(AN$2,$M71,$L71,FALSE)*$U71*((1+Inputs!$D$7)^AN$2))),IF($N71=Lists!$K$3,IF($L71&lt;1,((($T71*(1-$F71)+$S71*(1-$G71))/$L71)*((1+Inputs!$D$7)^AN$2)),((INT(AN$2/$L71)-INT((AN$2-1)/$L71))*($T71*(1-$F71)+$S71*(1-$G71))*((1+Inputs!$D$7)^AN$2))),((_xlfn.WEIBULL.DIST(AN$2,$M71,$L71,FALSE)*($T71*(1-$F71)+$S71*(1-$G71))*((1+Inputs!$D$7)^AN$2))))))</f>
        <v>364.106104732544</v>
      </c>
      <c r="AO71" s="88">
        <f>$E71*IF(AO$2&gt;Inputs!$D$5,0,IF(AO$2&gt;VLOOKUP($H71,Lists!$P$3:$Q$7,2),IF($N71=Lists!$K$3,IF($L71&lt;1,(($U71/$L71)*((1+Inputs!$D$7)^AO$2)),((INT(AO$2/$L71)-INT((AO$2-1)/$L71))*$U71*((1+Inputs!$D$7)^AO$2))),(_xlfn.WEIBULL.DIST(AO$2,$M71,$L71,FALSE)*$U71*((1+Inputs!$D$7)^AO$2))),IF($N71=Lists!$K$3,IF($L71&lt;1,((($T71*(1-$F71)+$S71*(1-$G71))/$L71)*((1+Inputs!$D$7)^AO$2)),((INT(AO$2/$L71)-INT((AO$2-1)/$L71))*($T71*(1-$F71)+$S71*(1-$G71))*((1+Inputs!$D$7)^AO$2))),((_xlfn.WEIBULL.DIST(AO$2,$M71,$L71,FALSE)*($T71*(1-$F71)+$S71*(1-$G71))*((1+Inputs!$D$7)^AO$2))))))</f>
        <v>371.38822682719479</v>
      </c>
      <c r="AP71" s="88">
        <f>$E71*IF(AP$2&gt;Inputs!$D$5,0,IF(AP$2&gt;VLOOKUP($H71,Lists!$P$3:$Q$7,2),IF($N71=Lists!$K$3,IF($L71&lt;1,(($U71/$L71)*((1+Inputs!$D$7)^AP$2)),((INT(AP$2/$L71)-INT((AP$2-1)/$L71))*$U71*((1+Inputs!$D$7)^AP$2))),(_xlfn.WEIBULL.DIST(AP$2,$M71,$L71,FALSE)*$U71*((1+Inputs!$D$7)^AP$2))),IF($N71=Lists!$K$3,IF($L71&lt;1,((($T71*(1-$F71)+$S71*(1-$G71))/$L71)*((1+Inputs!$D$7)^AP$2)),((INT(AP$2/$L71)-INT((AP$2-1)/$L71))*($T71*(1-$F71)+$S71*(1-$G71))*((1+Inputs!$D$7)^AP$2))),((_xlfn.WEIBULL.DIST(AP$2,$M71,$L71,FALSE)*($T71*(1-$F71)+$S71*(1-$G71))*((1+Inputs!$D$7)^AP$2))))))</f>
        <v>378.81599136373876</v>
      </c>
      <c r="AQ71" s="88">
        <f>$E71*IF(AQ$2&gt;Inputs!$D$5,0,IF(AQ$2&gt;VLOOKUP($H71,Lists!$P$3:$Q$7,2),IF($N71=Lists!$K$3,IF($L71&lt;1,(($U71/$L71)*((1+Inputs!$D$7)^AQ$2)),((INT(AQ$2/$L71)-INT((AQ$2-1)/$L71))*$U71*((1+Inputs!$D$7)^AQ$2))),(_xlfn.WEIBULL.DIST(AQ$2,$M71,$L71,FALSE)*$U71*((1+Inputs!$D$7)^AQ$2))),IF($N71=Lists!$K$3,IF($L71&lt;1,((($T71*(1-$F71)+$S71*(1-$G71))/$L71)*((1+Inputs!$D$7)^AQ$2)),((INT(AQ$2/$L71)-INT((AQ$2-1)/$L71))*($T71*(1-$F71)+$S71*(1-$G71))*((1+Inputs!$D$7)^AQ$2))),((_xlfn.WEIBULL.DIST(AQ$2,$M71,$L71,FALSE)*($T71*(1-$F71)+$S71*(1-$G71))*((1+Inputs!$D$7)^AQ$2))))))</f>
        <v>386.39231119101356</v>
      </c>
      <c r="AR71" s="88">
        <f>$E71*IF(AR$2&gt;Inputs!$D$5,0,IF(AR$2&gt;VLOOKUP($H71,Lists!$P$3:$Q$7,2),IF($N71=Lists!$K$3,IF($L71&lt;1,(($U71/$L71)*((1+Inputs!$D$7)^AR$2)),((INT(AR$2/$L71)-INT((AR$2-1)/$L71))*$U71*((1+Inputs!$D$7)^AR$2))),(_xlfn.WEIBULL.DIST(AR$2,$M71,$L71,FALSE)*$U71*((1+Inputs!$D$7)^AR$2))),IF($N71=Lists!$K$3,IF($L71&lt;1,((($T71*(1-$F71)+$S71*(1-$G71))/$L71)*((1+Inputs!$D$7)^AR$2)),((INT(AR$2/$L71)-INT((AR$2-1)/$L71))*($T71*(1-$F71)+$S71*(1-$G71))*((1+Inputs!$D$7)^AR$2))),((_xlfn.WEIBULL.DIST(AR$2,$M71,$L71,FALSE)*($T71*(1-$F71)+$S71*(1-$G71))*((1+Inputs!$D$7)^AR$2))))))</f>
        <v>394.12015741483378</v>
      </c>
      <c r="AS71" s="88">
        <f>$E71*IF(AS$2&gt;Inputs!$D$5,0,IF(AS$2&gt;VLOOKUP($H71,Lists!$P$3:$Q$7,2),IF($N71=Lists!$K$3,IF($L71&lt;1,(($U71/$L71)*((1+Inputs!$D$7)^AS$2)),((INT(AS$2/$L71)-INT((AS$2-1)/$L71))*$U71*((1+Inputs!$D$7)^AS$2))),(_xlfn.WEIBULL.DIST(AS$2,$M71,$L71,FALSE)*$U71*((1+Inputs!$D$7)^AS$2))),IF($N71=Lists!$K$3,IF($L71&lt;1,((($T71*(1-$F71)+$S71*(1-$G71))/$L71)*((1+Inputs!$D$7)^AS$2)),((INT(AS$2/$L71)-INT((AS$2-1)/$L71))*($T71*(1-$F71)+$S71*(1-$G71))*((1+Inputs!$D$7)^AS$2))),((_xlfn.WEIBULL.DIST(AS$2,$M71,$L71,FALSE)*($T71*(1-$F71)+$S71*(1-$G71))*((1+Inputs!$D$7)^AS$2))))))</f>
        <v>402.00256056313043</v>
      </c>
      <c r="AT71" s="88">
        <f>$E71*IF(AT$2&gt;Inputs!$D$5,0,IF(AT$2&gt;VLOOKUP($H71,Lists!$P$3:$Q$7,2),IF($N71=Lists!$K$3,IF($L71&lt;1,(($U71/$L71)*((1+Inputs!$D$7)^AT$2)),((INT(AT$2/$L71)-INT((AT$2-1)/$L71))*$U71*((1+Inputs!$D$7)^AT$2))),(_xlfn.WEIBULL.DIST(AT$2,$M71,$L71,FALSE)*$U71*((1+Inputs!$D$7)^AT$2))),IF($N71=Lists!$K$3,IF($L71&lt;1,((($T71*(1-$F71)+$S71*(1-$G71))/$L71)*((1+Inputs!$D$7)^AT$2)),((INT(AT$2/$L71)-INT((AT$2-1)/$L71))*($T71*(1-$F71)+$S71*(1-$G71))*((1+Inputs!$D$7)^AT$2))),((_xlfn.WEIBULL.DIST(AT$2,$M71,$L71,FALSE)*($T71*(1-$F71)+$S71*(1-$G71))*((1+Inputs!$D$7)^AT$2))))))</f>
        <v>410.04261177439309</v>
      </c>
      <c r="AU71" s="88">
        <f>$E71*IF(AU$2&gt;Inputs!$D$5,0,IF(AU$2&gt;VLOOKUP($H71,Lists!$P$3:$Q$7,2),IF($N71=Lists!$K$3,IF($L71&lt;1,(($U71/$L71)*((1+Inputs!$D$7)^AU$2)),((INT(AU$2/$L71)-INT((AU$2-1)/$L71))*$U71*((1+Inputs!$D$7)^AU$2))),(_xlfn.WEIBULL.DIST(AU$2,$M71,$L71,FALSE)*$U71*((1+Inputs!$D$7)^AU$2))),IF($N71=Lists!$K$3,IF($L71&lt;1,((($T71*(1-$F71)+$S71*(1-$G71))/$L71)*((1+Inputs!$D$7)^AU$2)),((INT(AU$2/$L71)-INT((AU$2-1)/$L71))*($T71*(1-$F71)+$S71*(1-$G71))*((1+Inputs!$D$7)^AU$2))),((_xlfn.WEIBULL.DIST(AU$2,$M71,$L71,FALSE)*($T71*(1-$F71)+$S71*(1-$G71))*((1+Inputs!$D$7)^AU$2))))))</f>
        <v>418.24346400988094</v>
      </c>
      <c r="AV71" s="88">
        <f>$E71*IF(AV$2&gt;Inputs!$D$5,0,IF(AV$2&gt;VLOOKUP($H71,Lists!$P$3:$Q$7,2),IF($N71=Lists!$K$3,IF($L71&lt;1,(($U71/$L71)*((1+Inputs!$D$7)^AV$2)),((INT(AV$2/$L71)-INT((AV$2-1)/$L71))*$U71*((1+Inputs!$D$7)^AV$2))),(_xlfn.WEIBULL.DIST(AV$2,$M71,$L71,FALSE)*$U71*((1+Inputs!$D$7)^AV$2))),IF($N71=Lists!$K$3,IF($L71&lt;1,((($T71*(1-$F71)+$S71*(1-$G71))/$L71)*((1+Inputs!$D$7)^AV$2)),((INT(AV$2/$L71)-INT((AV$2-1)/$L71))*($T71*(1-$F71)+$S71*(1-$G71))*((1+Inputs!$D$7)^AV$2))),((_xlfn.WEIBULL.DIST(AV$2,$M71,$L71,FALSE)*($T71*(1-$F71)+$S71*(1-$G71))*((1+Inputs!$D$7)^AV$2))))))</f>
        <v>426.60833329007858</v>
      </c>
      <c r="AW71" s="88">
        <f>$E71*IF(AW$2&gt;Inputs!$D$5,0,IF(AW$2&gt;VLOOKUP($H71,Lists!$P$3:$Q$7,2),IF($N71=Lists!$K$3,IF($L71&lt;1,(($U71/$L71)*((1+Inputs!$D$7)^AW$2)),((INT(AW$2/$L71)-INT((AW$2-1)/$L71))*$U71*((1+Inputs!$D$7)^AW$2))),(_xlfn.WEIBULL.DIST(AW$2,$M71,$L71,FALSE)*$U71*((1+Inputs!$D$7)^AW$2))),IF($N71=Lists!$K$3,IF($L71&lt;1,((($T71*(1-$F71)+$S71*(1-$G71))/$L71)*((1+Inputs!$D$7)^AW$2)),((INT(AW$2/$L71)-INT((AW$2-1)/$L71))*($T71*(1-$F71)+$S71*(1-$G71))*((1+Inputs!$D$7)^AW$2))),((_xlfn.WEIBULL.DIST(AW$2,$M71,$L71,FALSE)*($T71*(1-$F71)+$S71*(1-$G71))*((1+Inputs!$D$7)^AW$2))))))</f>
        <v>435.14049995588005</v>
      </c>
      <c r="AX71" s="88">
        <f>$E71*IF(AX$2&gt;Inputs!$D$5,0,IF(AX$2&gt;VLOOKUP($H71,Lists!$P$3:$Q$7,2),IF($N71=Lists!$K$3,IF($L71&lt;1,(($U71/$L71)*((1+Inputs!$D$7)^AX$2)),((INT(AX$2/$L71)-INT((AX$2-1)/$L71))*$U71*((1+Inputs!$D$7)^AX$2))),(_xlfn.WEIBULL.DIST(AX$2,$M71,$L71,FALSE)*$U71*((1+Inputs!$D$7)^AX$2))),IF($N71=Lists!$K$3,IF($L71&lt;1,((($T71*(1-$F71)+$S71*(1-$G71))/$L71)*((1+Inputs!$D$7)^AX$2)),((INT(AX$2/$L71)-INT((AX$2-1)/$L71))*($T71*(1-$F71)+$S71*(1-$G71))*((1+Inputs!$D$7)^AX$2))),((_xlfn.WEIBULL.DIST(AX$2,$M71,$L71,FALSE)*($T71*(1-$F71)+$S71*(1-$G71))*((1+Inputs!$D$7)^AX$2))))))</f>
        <v>443.84330995499766</v>
      </c>
      <c r="AY71" s="88">
        <f>$E71*IF(AY$2&gt;Inputs!$D$5,0,IF(AY$2&gt;VLOOKUP($H71,Lists!$P$3:$Q$7,2),IF($N71=Lists!$K$3,IF($L71&lt;1,(($U71/$L71)*((1+Inputs!$D$7)^AY$2)),((INT(AY$2/$L71)-INT((AY$2-1)/$L71))*$U71*((1+Inputs!$D$7)^AY$2))),(_xlfn.WEIBULL.DIST(AY$2,$M71,$L71,FALSE)*$U71*((1+Inputs!$D$7)^AY$2))),IF($N71=Lists!$K$3,IF($L71&lt;1,((($T71*(1-$F71)+$S71*(1-$G71))/$L71)*((1+Inputs!$D$7)^AY$2)),((INT(AY$2/$L71)-INT((AY$2-1)/$L71))*($T71*(1-$F71)+$S71*(1-$G71))*((1+Inputs!$D$7)^AY$2))),((_xlfn.WEIBULL.DIST(AY$2,$M71,$L71,FALSE)*($T71*(1-$F71)+$S71*(1-$G71))*((1+Inputs!$D$7)^AY$2))))))</f>
        <v>452.72017615409766</v>
      </c>
      <c r="AZ71" s="88">
        <f>$E71*IF(AZ$2&gt;Inputs!$D$5,0,IF(AZ$2&gt;VLOOKUP($H71,Lists!$P$3:$Q$7,2),IF($N71=Lists!$K$3,IF($L71&lt;1,(($U71/$L71)*((1+Inputs!$D$7)^AZ$2)),((INT(AZ$2/$L71)-INT((AZ$2-1)/$L71))*$U71*((1+Inputs!$D$7)^AZ$2))),(_xlfn.WEIBULL.DIST(AZ$2,$M71,$L71,FALSE)*$U71*((1+Inputs!$D$7)^AZ$2))),IF($N71=Lists!$K$3,IF($L71&lt;1,((($T71*(1-$F71)+$S71*(1-$G71))/$L71)*((1+Inputs!$D$7)^AZ$2)),((INT(AZ$2/$L71)-INT((AZ$2-1)/$L71))*($T71*(1-$F71)+$S71*(1-$G71))*((1+Inputs!$D$7)^AZ$2))),((_xlfn.WEIBULL.DIST(AZ$2,$M71,$L71,FALSE)*($T71*(1-$F71)+$S71*(1-$G71))*((1+Inputs!$D$7)^AZ$2))))))</f>
        <v>0</v>
      </c>
      <c r="BA71" s="88">
        <f>$E71*IF(BA$2&gt;Inputs!$D$5,0,IF(BA$2&gt;VLOOKUP($H71,Lists!$P$3:$Q$7,2),IF($N71=Lists!$K$3,IF($L71&lt;1,(($U71/$L71)*((1+Inputs!$D$7)^BA$2)),((INT(BA$2/$L71)-INT((BA$2-1)/$L71))*$U71*((1+Inputs!$D$7)^BA$2))),(_xlfn.WEIBULL.DIST(BA$2,$M71,$L71,FALSE)*$U71*((1+Inputs!$D$7)^BA$2))),IF($N71=Lists!$K$3,IF($L71&lt;1,((($T71*(1-$F71)+$S71*(1-$G71))/$L71)*((1+Inputs!$D$7)^BA$2)),((INT(BA$2/$L71)-INT((BA$2-1)/$L71))*($T71*(1-$F71)+$S71*(1-$G71))*((1+Inputs!$D$7)^BA$2))),((_xlfn.WEIBULL.DIST(BA$2,$M71,$L71,FALSE)*($T71*(1-$F71)+$S71*(1-$G71))*((1+Inputs!$D$7)^BA$2))))))</f>
        <v>0</v>
      </c>
      <c r="BB71" s="88">
        <f>$E71*IF(BB$2&gt;Inputs!$D$5,0,IF(BB$2&gt;VLOOKUP($H71,Lists!$P$3:$Q$7,2),IF($N71=Lists!$K$3,IF($L71&lt;1,(($U71/$L71)*((1+Inputs!$D$7)^BB$2)),((INT(BB$2/$L71)-INT((BB$2-1)/$L71))*$U71*((1+Inputs!$D$7)^BB$2))),(_xlfn.WEIBULL.DIST(BB$2,$M71,$L71,FALSE)*$U71*((1+Inputs!$D$7)^BB$2))),IF($N71=Lists!$K$3,IF($L71&lt;1,((($T71*(1-$F71)+$S71*(1-$G71))/$L71)*((1+Inputs!$D$7)^BB$2)),((INT(BB$2/$L71)-INT((BB$2-1)/$L71))*($T71*(1-$F71)+$S71*(1-$G71))*((1+Inputs!$D$7)^BB$2))),((_xlfn.WEIBULL.DIST(BB$2,$M71,$L71,FALSE)*($T71*(1-$F71)+$S71*(1-$G71))*((1+Inputs!$D$7)^BB$2))))))</f>
        <v>0</v>
      </c>
      <c r="BC71" s="88">
        <f>$E71*IF(BC$2&gt;Inputs!$D$5,0,IF(BC$2&gt;VLOOKUP($H71,Lists!$P$3:$Q$7,2),IF($N71=Lists!$K$3,IF($L71&lt;1,(($U71/$L71)*((1+Inputs!$D$7)^BC$2)),((INT(BC$2/$L71)-INT((BC$2-1)/$L71))*$U71*((1+Inputs!$D$7)^BC$2))),(_xlfn.WEIBULL.DIST(BC$2,$M71,$L71,FALSE)*$U71*((1+Inputs!$D$7)^BC$2))),IF($N71=Lists!$K$3,IF($L71&lt;1,((($T71*(1-$F71)+$S71*(1-$G71))/$L71)*((1+Inputs!$D$7)^BC$2)),((INT(BC$2/$L71)-INT((BC$2-1)/$L71))*($T71*(1-$F71)+$S71*(1-$G71))*((1+Inputs!$D$7)^BC$2))),((_xlfn.WEIBULL.DIST(BC$2,$M71,$L71,FALSE)*($T71*(1-$F71)+$S71*(1-$G71))*((1+Inputs!$D$7)^BC$2))))))</f>
        <v>0</v>
      </c>
      <c r="BD71" s="88">
        <f>$E71*IF(BD$2&gt;Inputs!$D$5,0,IF(BD$2&gt;VLOOKUP($H71,Lists!$P$3:$Q$7,2),IF($N71=Lists!$K$3,IF($L71&lt;1,(($U71/$L71)*((1+Inputs!$D$7)^BD$2)),((INT(BD$2/$L71)-INT((BD$2-1)/$L71))*$U71*((1+Inputs!$D$7)^BD$2))),(_xlfn.WEIBULL.DIST(BD$2,$M71,$L71,FALSE)*$U71*((1+Inputs!$D$7)^BD$2))),IF($N71=Lists!$K$3,IF($L71&lt;1,((($T71*(1-$F71)+$S71*(1-$G71))/$L71)*((1+Inputs!$D$7)^BD$2)),((INT(BD$2/$L71)-INT((BD$2-1)/$L71))*($T71*(1-$F71)+$S71*(1-$G71))*((1+Inputs!$D$7)^BD$2))),((_xlfn.WEIBULL.DIST(BD$2,$M71,$L71,FALSE)*($T71*(1-$F71)+$S71*(1-$G71))*((1+Inputs!$D$7)^BD$2))))))</f>
        <v>0</v>
      </c>
      <c r="BE71" s="88">
        <f>$E71*IF(BE$2&gt;Inputs!$D$5,0,IF(BE$2&gt;VLOOKUP($H71,Lists!$P$3:$Q$7,2),IF($N71=Lists!$K$3,IF($L71&lt;1,(($U71/$L71)*((1+Inputs!$D$7)^BE$2)),((INT(BE$2/$L71)-INT((BE$2-1)/$L71))*$U71*((1+Inputs!$D$7)^BE$2))),(_xlfn.WEIBULL.DIST(BE$2,$M71,$L71,FALSE)*$U71*((1+Inputs!$D$7)^BE$2))),IF($N71=Lists!$K$3,IF($L71&lt;1,((($T71*(1-$F71)+$S71*(1-$G71))/$L71)*((1+Inputs!$D$7)^BE$2)),((INT(BE$2/$L71)-INT((BE$2-1)/$L71))*($T71*(1-$F71)+$S71*(1-$G71))*((1+Inputs!$D$7)^BE$2))),((_xlfn.WEIBULL.DIST(BE$2,$M71,$L71,FALSE)*($T71*(1-$F71)+$S71*(1-$G71))*((1+Inputs!$D$7)^BE$2))))))</f>
        <v>0</v>
      </c>
      <c r="BF71" s="88">
        <f>$E71*IF(BF$2&gt;Inputs!$D$5,0,IF(BF$2&gt;VLOOKUP($H71,Lists!$P$3:$Q$7,2),IF($N71=Lists!$K$3,IF($L71&lt;1,(($U71/$L71)*((1+Inputs!$D$7)^BF$2)),((INT(BF$2/$L71)-INT((BF$2-1)/$L71))*$U71*((1+Inputs!$D$7)^BF$2))),(_xlfn.WEIBULL.DIST(BF$2,$M71,$L71,FALSE)*$U71*((1+Inputs!$D$7)^BF$2))),IF($N71=Lists!$K$3,IF($L71&lt;1,((($T71*(1-$F71)+$S71*(1-$G71))/$L71)*((1+Inputs!$D$7)^BF$2)),((INT(BF$2/$L71)-INT((BF$2-1)/$L71))*($T71*(1-$F71)+$S71*(1-$G71))*((1+Inputs!$D$7)^BF$2))),((_xlfn.WEIBULL.DIST(BF$2,$M71,$L71,FALSE)*($T71*(1-$F71)+$S71*(1-$G71))*((1+Inputs!$D$7)^BF$2))))))</f>
        <v>0</v>
      </c>
      <c r="BG71" s="88">
        <f>$E71*IF(BG$2&gt;Inputs!$D$5,0,IF(BG$2&gt;VLOOKUP($H71,Lists!$P$3:$Q$7,2),IF($N71=Lists!$K$3,IF($L71&lt;1,(($U71/$L71)*((1+Inputs!$D$7)^BG$2)),((INT(BG$2/$L71)-INT((BG$2-1)/$L71))*$U71*((1+Inputs!$D$7)^BG$2))),(_xlfn.WEIBULL.DIST(BG$2,$M71,$L71,FALSE)*$U71*((1+Inputs!$D$7)^BG$2))),IF($N71=Lists!$K$3,IF($L71&lt;1,((($T71*(1-$F71)+$S71*(1-$G71))/$L71)*((1+Inputs!$D$7)^BG$2)),((INT(BG$2/$L71)-INT((BG$2-1)/$L71))*($T71*(1-$F71)+$S71*(1-$G71))*((1+Inputs!$D$7)^BG$2))),((_xlfn.WEIBULL.DIST(BG$2,$M71,$L71,FALSE)*($T71*(1-$F71)+$S71*(1-$G71))*((1+Inputs!$D$7)^BG$2))))))</f>
        <v>0</v>
      </c>
      <c r="BH71" s="88">
        <f>$E71*IF(BH$2&gt;Inputs!$D$5,0,IF(BH$2&gt;VLOOKUP($H71,Lists!$P$3:$Q$7,2),IF($N71=Lists!$K$3,IF($L71&lt;1,(($U71/$L71)*((1+Inputs!$D$7)^BH$2)),((INT(BH$2/$L71)-INT((BH$2-1)/$L71))*$U71*((1+Inputs!$D$7)^BH$2))),(_xlfn.WEIBULL.DIST(BH$2,$M71,$L71,FALSE)*$U71*((1+Inputs!$D$7)^BH$2))),IF($N71=Lists!$K$3,IF($L71&lt;1,((($T71*(1-$F71)+$S71*(1-$G71))/$L71)*((1+Inputs!$D$7)^BH$2)),((INT(BH$2/$L71)-INT((BH$2-1)/$L71))*($T71*(1-$F71)+$S71*(1-$G71))*((1+Inputs!$D$7)^BH$2))),((_xlfn.WEIBULL.DIST(BH$2,$M71,$L71,FALSE)*($T71*(1-$F71)+$S71*(1-$G71))*((1+Inputs!$D$7)^BH$2))))))</f>
        <v>0</v>
      </c>
      <c r="BI71" s="88">
        <f>$E71*IF(BI$2&gt;Inputs!$D$5,0,IF(BI$2&gt;VLOOKUP($H71,Lists!$P$3:$Q$7,2),IF($N71=Lists!$K$3,IF($L71&lt;1,(($U71/$L71)*((1+Inputs!$D$7)^BI$2)),((INT(BI$2/$L71)-INT((BI$2-1)/$L71))*$U71*((1+Inputs!$D$7)^BI$2))),(_xlfn.WEIBULL.DIST(BI$2,$M71,$L71,FALSE)*$U71*((1+Inputs!$D$7)^BI$2))),IF($N71=Lists!$K$3,IF($L71&lt;1,((($T71*(1-$F71)+$S71*(1-$G71))/$L71)*((1+Inputs!$D$7)^BI$2)),((INT(BI$2/$L71)-INT((BI$2-1)/$L71))*($T71*(1-$F71)+$S71*(1-$G71))*((1+Inputs!$D$7)^BI$2))),((_xlfn.WEIBULL.DIST(BI$2,$M71,$L71,FALSE)*($T71*(1-$F71)+$S71*(1-$G71))*((1+Inputs!$D$7)^BI$2))))))</f>
        <v>0</v>
      </c>
      <c r="BJ71" s="88">
        <f>$E71*IF(BJ$2&gt;Inputs!$D$5,0,IF(BJ$2&gt;VLOOKUP($H71,Lists!$P$3:$Q$7,2),IF($N71=Lists!$K$3,IF($L71&lt;1,(($U71/$L71)*((1+Inputs!$D$7)^BJ$2)),((INT(BJ$2/$L71)-INT((BJ$2-1)/$L71))*$U71*((1+Inputs!$D$7)^BJ$2))),(_xlfn.WEIBULL.DIST(BJ$2,$M71,$L71,FALSE)*$U71*((1+Inputs!$D$7)^BJ$2))),IF($N71=Lists!$K$3,IF($L71&lt;1,((($T71*(1-$F71)+$S71*(1-$G71))/$L71)*((1+Inputs!$D$7)^BJ$2)),((INT(BJ$2/$L71)-INT((BJ$2-1)/$L71))*($T71*(1-$F71)+$S71*(1-$G71))*((1+Inputs!$D$7)^BJ$2))),((_xlfn.WEIBULL.DIST(BJ$2,$M71,$L71,FALSE)*($T71*(1-$F71)+$S71*(1-$G71))*((1+Inputs!$D$7)^BJ$2))))))</f>
        <v>0</v>
      </c>
      <c r="BK71" s="88">
        <f>$E71*IF(BK$2&gt;Inputs!$D$5,0,IF(BK$2&gt;VLOOKUP($H71,Lists!$P$3:$Q$7,2),IF($N71=Lists!$K$3,IF($L71&lt;1,(($U71/$L71)*((1+Inputs!$D$7)^BK$2)),((INT(BK$2/$L71)-INT((BK$2-1)/$L71))*$U71*((1+Inputs!$D$7)^BK$2))),(_xlfn.WEIBULL.DIST(BK$2,$M71,$L71,FALSE)*$U71*((1+Inputs!$D$7)^BK$2))),IF($N71=Lists!$K$3,IF($L71&lt;1,((($T71*(1-$F71)+$S71*(1-$G71))/$L71)*((1+Inputs!$D$7)^BK$2)),((INT(BK$2/$L71)-INT((BK$2-1)/$L71))*($T71*(1-$F71)+$S71*(1-$G71))*((1+Inputs!$D$7)^BK$2))),((_xlfn.WEIBULL.DIST(BK$2,$M71,$L71,FALSE)*($T71*(1-$F71)+$S71*(1-$G71))*((1+Inputs!$D$7)^BK$2))))))</f>
        <v>0</v>
      </c>
      <c r="BL71" s="88">
        <f>$E71*IF(BL$2&gt;Inputs!$D$5,0,IF(BL$2&gt;VLOOKUP($H71,Lists!$P$3:$Q$7,2),IF($N71=Lists!$K$3,IF($L71&lt;1,(($U71/$L71)*((1+Inputs!$D$7)^BL$2)),((INT(BL$2/$L71)-INT((BL$2-1)/$L71))*$U71*((1+Inputs!$D$7)^BL$2))),(_xlfn.WEIBULL.DIST(BL$2,$M71,$L71,FALSE)*$U71*((1+Inputs!$D$7)^BL$2))),IF($N71=Lists!$K$3,IF($L71&lt;1,((($T71*(1-$F71)+$S71*(1-$G71))/$L71)*((1+Inputs!$D$7)^BL$2)),((INT(BL$2/$L71)-INT((BL$2-1)/$L71))*($T71*(1-$F71)+$S71*(1-$G71))*((1+Inputs!$D$7)^BL$2))),((_xlfn.WEIBULL.DIST(BL$2,$M71,$L71,FALSE)*($T71*(1-$F71)+$S71*(1-$G71))*((1+Inputs!$D$7)^BL$2))))))</f>
        <v>0</v>
      </c>
      <c r="BM71" s="88">
        <f>$E71*IF(BM$2&gt;Inputs!$D$5,0,IF(BM$2&gt;VLOOKUP($H71,Lists!$P$3:$Q$7,2),IF($N71=Lists!$K$3,IF($L71&lt;1,(($U71/$L71)*((1+Inputs!$D$7)^BM$2)),((INT(BM$2/$L71)-INT((BM$2-1)/$L71))*$U71*((1+Inputs!$D$7)^BM$2))),(_xlfn.WEIBULL.DIST(BM$2,$M71,$L71,FALSE)*$U71*((1+Inputs!$D$7)^BM$2))),IF($N71=Lists!$K$3,IF($L71&lt;1,((($T71*(1-$F71)+$S71*(1-$G71))/$L71)*((1+Inputs!$D$7)^BM$2)),((INT(BM$2/$L71)-INT((BM$2-1)/$L71))*($T71*(1-$F71)+$S71*(1-$G71))*((1+Inputs!$D$7)^BM$2))),((_xlfn.WEIBULL.DIST(BM$2,$M71,$L71,FALSE)*($T71*(1-$F71)+$S71*(1-$G71))*((1+Inputs!$D$7)^BM$2))))))</f>
        <v>0</v>
      </c>
      <c r="BN71" s="88">
        <f>$E71*IF(BN$2&gt;Inputs!$D$5,0,IF(BN$2&gt;VLOOKUP($H71,Lists!$P$3:$Q$7,2),IF($N71=Lists!$K$3,IF($L71&lt;1,(($U71/$L71)*((1+Inputs!$D$7)^BN$2)),((INT(BN$2/$L71)-INT((BN$2-1)/$L71))*$U71*((1+Inputs!$D$7)^BN$2))),(_xlfn.WEIBULL.DIST(BN$2,$M71,$L71,FALSE)*$U71*((1+Inputs!$D$7)^BN$2))),IF($N71=Lists!$K$3,IF($L71&lt;1,((($T71*(1-$F71)+$S71*(1-$G71))/$L71)*((1+Inputs!$D$7)^BN$2)),((INT(BN$2/$L71)-INT((BN$2-1)/$L71))*($T71*(1-$F71)+$S71*(1-$G71))*((1+Inputs!$D$7)^BN$2))),((_xlfn.WEIBULL.DIST(BN$2,$M71,$L71,FALSE)*($T71*(1-$F71)+$S71*(1-$G71))*((1+Inputs!$D$7)^BN$2))))))</f>
        <v>0</v>
      </c>
      <c r="BO71" s="64">
        <f>NPV(Inputs!$D$6,BQ71:DD71)</f>
        <v>3927.6855006452624</v>
      </c>
      <c r="BP71" s="67">
        <f t="shared" si="20"/>
        <v>1.8524882344909477E-3</v>
      </c>
      <c r="BQ71" s="88">
        <f>MAX(AA71,($E71*IF(BQ$2&gt;Inputs!$D$5,0,IF(BQ$2&gt;VLOOKUP($H71,Lists!$P$3:$Q$7,2),IF($N71=Lists!$K$3,IF($L71&lt;1,(($U71/$L71)*((1+Inputs!$D$7)^BQ$2)),((INT(BQ$2/$L71)-INT((BQ$2-1)/$L71))*$U71*((1+Inputs!$D$7)^BQ$2))),(Inputs!$D$8^((1-_xlfn.WEIBULL.DIST(BQ$2,$M71,$L71,FALSE))/_xlfn.WEIBULL.DIST(BQ$2,$M71,$L71,FALSE))*$U71*((1+Inputs!$D$7)^BQ$2))),IF($N71=Lists!$K$3,IF($L71&lt;1,((($T71*(1-$F71)+$S71*(1-$G71))/$L71)*((1+Inputs!$D$7)^BQ$2)),((INT(BQ$2/$L71)-INT((BQ$2-1)/$L71))*($T71*(1-$F71)+$S71*(1-$G71))*((1+Inputs!$D$7)^BQ$2))),((Inputs!$D$8^((1-_xlfn.WEIBULL.DIST(BQ$2,$M71,$L71,FALSE))/_xlfn.WEIBULL.DIST(BQ$2,$M71,$L71,FALSE))*($T71*(1-$F71)+$S71*(1-$G71))*((1+Inputs!$D$7)^BQ$2))))))))</f>
        <v>281.46586153846158</v>
      </c>
      <c r="BR71" s="88">
        <f>MAX(AB71,($E71*IF(BR$2&gt;Inputs!$D$5,0,IF(BR$2&gt;VLOOKUP($H71,Lists!$P$3:$Q$7,2),IF($N71=Lists!$K$3,IF($L71&lt;1,(($U71/$L71)*((1+Inputs!$D$7)^BR$2)),((INT(BR$2/$L71)-INT((BR$2-1)/$L71))*$U71*((1+Inputs!$D$7)^BR$2))),(Inputs!$D$8^((1-_xlfn.WEIBULL.DIST(BR$2,$M71,$L71,FALSE))/_xlfn.WEIBULL.DIST(BR$2,$M71,$L71,FALSE))*$U71*((1+Inputs!$D$7)^BR$2))),IF($N71=Lists!$K$3,IF($L71&lt;1,((($T71*(1-$F71)+$S71*(1-$G71))/$L71)*((1+Inputs!$D$7)^BR$2)),((INT(BR$2/$L71)-INT((BR$2-1)/$L71))*($T71*(1-$F71)+$S71*(1-$G71))*((1+Inputs!$D$7)^BR$2))),((Inputs!$D$8^((1-_xlfn.WEIBULL.DIST(BR$2,$M71,$L71,FALSE))/_xlfn.WEIBULL.DIST(BR$2,$M71,$L71,FALSE))*($T71*(1-$F71)+$S71*(1-$G71))*((1+Inputs!$D$7)^BR$2))))))))</f>
        <v>287.09517876923081</v>
      </c>
      <c r="BS71" s="88">
        <f>MAX(AC71,($E71*IF(BS$2&gt;Inputs!$D$5,0,IF(BS$2&gt;VLOOKUP($H71,Lists!$P$3:$Q$7,2),IF($N71=Lists!$K$3,IF($L71&lt;1,(($U71/$L71)*((1+Inputs!$D$7)^BS$2)),((INT(BS$2/$L71)-INT((BS$2-1)/$L71))*$U71*((1+Inputs!$D$7)^BS$2))),(Inputs!$D$8^((1-_xlfn.WEIBULL.DIST(BS$2,$M71,$L71,FALSE))/_xlfn.WEIBULL.DIST(BS$2,$M71,$L71,FALSE))*$U71*((1+Inputs!$D$7)^BS$2))),IF($N71=Lists!$K$3,IF($L71&lt;1,((($T71*(1-$F71)+$S71*(1-$G71))/$L71)*((1+Inputs!$D$7)^BS$2)),((INT(BS$2/$L71)-INT((BS$2-1)/$L71))*($T71*(1-$F71)+$S71*(1-$G71))*((1+Inputs!$D$7)^BS$2))),((Inputs!$D$8^((1-_xlfn.WEIBULL.DIST(BS$2,$M71,$L71,FALSE))/_xlfn.WEIBULL.DIST(BS$2,$M71,$L71,FALSE))*($T71*(1-$F71)+$S71*(1-$G71))*((1+Inputs!$D$7)^BS$2))))))))</f>
        <v>292.8370823446154</v>
      </c>
      <c r="BT71" s="88">
        <f>MAX(AD71,($E71*IF(BT$2&gt;Inputs!$D$5,0,IF(BT$2&gt;VLOOKUP($H71,Lists!$P$3:$Q$7,2),IF($N71=Lists!$K$3,IF($L71&lt;1,(($U71/$L71)*((1+Inputs!$D$7)^BT$2)),((INT(BT$2/$L71)-INT((BT$2-1)/$L71))*$U71*((1+Inputs!$D$7)^BT$2))),(Inputs!$D$8^((1-_xlfn.WEIBULL.DIST(BT$2,$M71,$L71,FALSE))/_xlfn.WEIBULL.DIST(BT$2,$M71,$L71,FALSE))*$U71*((1+Inputs!$D$7)^BT$2))),IF($N71=Lists!$K$3,IF($L71&lt;1,((($T71*(1-$F71)+$S71*(1-$G71))/$L71)*((1+Inputs!$D$7)^BT$2)),((INT(BT$2/$L71)-INT((BT$2-1)/$L71))*($T71*(1-$F71)+$S71*(1-$G71))*((1+Inputs!$D$7)^BT$2))),((Inputs!$D$8^((1-_xlfn.WEIBULL.DIST(BT$2,$M71,$L71,FALSE))/_xlfn.WEIBULL.DIST(BT$2,$M71,$L71,FALSE))*($T71*(1-$F71)+$S71*(1-$G71))*((1+Inputs!$D$7)^BT$2))))))))</f>
        <v>298.69382399150771</v>
      </c>
      <c r="BU71" s="88">
        <f>MAX(AE71,($E71*IF(BU$2&gt;Inputs!$D$5,0,IF(BU$2&gt;VLOOKUP($H71,Lists!$P$3:$Q$7,2),IF($N71=Lists!$K$3,IF($L71&lt;1,(($U71/$L71)*((1+Inputs!$D$7)^BU$2)),((INT(BU$2/$L71)-INT((BU$2-1)/$L71))*$U71*((1+Inputs!$D$7)^BU$2))),(Inputs!$D$8^((1-_xlfn.WEIBULL.DIST(BU$2,$M71,$L71,FALSE))/_xlfn.WEIBULL.DIST(BU$2,$M71,$L71,FALSE))*$U71*((1+Inputs!$D$7)^BU$2))),IF($N71=Lists!$K$3,IF($L71&lt;1,((($T71*(1-$F71)+$S71*(1-$G71))/$L71)*((1+Inputs!$D$7)^BU$2)),((INT(BU$2/$L71)-INT((BU$2-1)/$L71))*($T71*(1-$F71)+$S71*(1-$G71))*((1+Inputs!$D$7)^BU$2))),((Inputs!$D$8^((1-_xlfn.WEIBULL.DIST(BU$2,$M71,$L71,FALSE))/_xlfn.WEIBULL.DIST(BU$2,$M71,$L71,FALSE))*($T71*(1-$F71)+$S71*(1-$G71))*((1+Inputs!$D$7)^BU$2))))))))</f>
        <v>304.66770047133787</v>
      </c>
      <c r="BV71" s="88">
        <f>MAX(AF71,($E71*IF(BV$2&gt;Inputs!$D$5,0,IF(BV$2&gt;VLOOKUP($H71,Lists!$P$3:$Q$7,2),IF($N71=Lists!$K$3,IF($L71&lt;1,(($U71/$L71)*((1+Inputs!$D$7)^BV$2)),((INT(BV$2/$L71)-INT((BV$2-1)/$L71))*$U71*((1+Inputs!$D$7)^BV$2))),(Inputs!$D$8^((1-_xlfn.WEIBULL.DIST(BV$2,$M71,$L71,FALSE))/_xlfn.WEIBULL.DIST(BV$2,$M71,$L71,FALSE))*$U71*((1+Inputs!$D$7)^BV$2))),IF($N71=Lists!$K$3,IF($L71&lt;1,((($T71*(1-$F71)+$S71*(1-$G71))/$L71)*((1+Inputs!$D$7)^BV$2)),((INT(BV$2/$L71)-INT((BV$2-1)/$L71))*($T71*(1-$F71)+$S71*(1-$G71))*((1+Inputs!$D$7)^BV$2))),((Inputs!$D$8^((1-_xlfn.WEIBULL.DIST(BV$2,$M71,$L71,FALSE))/_xlfn.WEIBULL.DIST(BV$2,$M71,$L71,FALSE))*($T71*(1-$F71)+$S71*(1-$G71))*((1+Inputs!$D$7)^BV$2))))))))</f>
        <v>310.76105448076464</v>
      </c>
      <c r="BW71" s="88">
        <f>MAX(AG71,($E71*IF(BW$2&gt;Inputs!$D$5,0,IF(BW$2&gt;VLOOKUP($H71,Lists!$P$3:$Q$7,2),IF($N71=Lists!$K$3,IF($L71&lt;1,(($U71/$L71)*((1+Inputs!$D$7)^BW$2)),((INT(BW$2/$L71)-INT((BW$2-1)/$L71))*$U71*((1+Inputs!$D$7)^BW$2))),(Inputs!$D$8^((1-_xlfn.WEIBULL.DIST(BW$2,$M71,$L71,FALSE))/_xlfn.WEIBULL.DIST(BW$2,$M71,$L71,FALSE))*$U71*((1+Inputs!$D$7)^BW$2))),IF($N71=Lists!$K$3,IF($L71&lt;1,((($T71*(1-$F71)+$S71*(1-$G71))/$L71)*((1+Inputs!$D$7)^BW$2)),((INT(BW$2/$L71)-INT((BW$2-1)/$L71))*($T71*(1-$F71)+$S71*(1-$G71))*((1+Inputs!$D$7)^BW$2))),((Inputs!$D$8^((1-_xlfn.WEIBULL.DIST(BW$2,$M71,$L71,FALSE))/_xlfn.WEIBULL.DIST(BW$2,$M71,$L71,FALSE))*($T71*(1-$F71)+$S71*(1-$G71))*((1+Inputs!$D$7)^BW$2))))))))</f>
        <v>316.97627557037987</v>
      </c>
      <c r="BX71" s="88">
        <f>MAX(AH71,($E71*IF(BX$2&gt;Inputs!$D$5,0,IF(BX$2&gt;VLOOKUP($H71,Lists!$P$3:$Q$7,2),IF($N71=Lists!$K$3,IF($L71&lt;1,(($U71/$L71)*((1+Inputs!$D$7)^BX$2)),((INT(BX$2/$L71)-INT((BX$2-1)/$L71))*$U71*((1+Inputs!$D$7)^BX$2))),(Inputs!$D$8^((1-_xlfn.WEIBULL.DIST(BX$2,$M71,$L71,FALSE))/_xlfn.WEIBULL.DIST(BX$2,$M71,$L71,FALSE))*$U71*((1+Inputs!$D$7)^BX$2))),IF($N71=Lists!$K$3,IF($L71&lt;1,((($T71*(1-$F71)+$S71*(1-$G71))/$L71)*((1+Inputs!$D$7)^BX$2)),((INT(BX$2/$L71)-INT((BX$2-1)/$L71))*($T71*(1-$F71)+$S71*(1-$G71))*((1+Inputs!$D$7)^BX$2))),((Inputs!$D$8^((1-_xlfn.WEIBULL.DIST(BX$2,$M71,$L71,FALSE))/_xlfn.WEIBULL.DIST(BX$2,$M71,$L71,FALSE))*($T71*(1-$F71)+$S71*(1-$G71))*((1+Inputs!$D$7)^BX$2))))))))</f>
        <v>323.31580108178747</v>
      </c>
      <c r="BY71" s="88">
        <f>MAX(AI71,($E71*IF(BY$2&gt;Inputs!$D$5,0,IF(BY$2&gt;VLOOKUP($H71,Lists!$P$3:$Q$7,2),IF($N71=Lists!$K$3,IF($L71&lt;1,(($U71/$L71)*((1+Inputs!$D$7)^BY$2)),((INT(BY$2/$L71)-INT((BY$2-1)/$L71))*$U71*((1+Inputs!$D$7)^BY$2))),(Inputs!$D$8^((1-_xlfn.WEIBULL.DIST(BY$2,$M71,$L71,FALSE))/_xlfn.WEIBULL.DIST(BY$2,$M71,$L71,FALSE))*$U71*((1+Inputs!$D$7)^BY$2))),IF($N71=Lists!$K$3,IF($L71&lt;1,((($T71*(1-$F71)+$S71*(1-$G71))/$L71)*((1+Inputs!$D$7)^BY$2)),((INT(BY$2/$L71)-INT((BY$2-1)/$L71))*($T71*(1-$F71)+$S71*(1-$G71))*((1+Inputs!$D$7)^BY$2))),((Inputs!$D$8^((1-_xlfn.WEIBULL.DIST(BY$2,$M71,$L71,FALSE))/_xlfn.WEIBULL.DIST(BY$2,$M71,$L71,FALSE))*($T71*(1-$F71)+$S71*(1-$G71))*((1+Inputs!$D$7)^BY$2))))))))</f>
        <v>329.78211710342327</v>
      </c>
      <c r="BZ71" s="88">
        <f>MAX(AJ71,($E71*IF(BZ$2&gt;Inputs!$D$5,0,IF(BZ$2&gt;VLOOKUP($H71,Lists!$P$3:$Q$7,2),IF($N71=Lists!$K$3,IF($L71&lt;1,(($U71/$L71)*((1+Inputs!$D$7)^BZ$2)),((INT(BZ$2/$L71)-INT((BZ$2-1)/$L71))*$U71*((1+Inputs!$D$7)^BZ$2))),(Inputs!$D$8^((1-_xlfn.WEIBULL.DIST(BZ$2,$M71,$L71,FALSE))/_xlfn.WEIBULL.DIST(BZ$2,$M71,$L71,FALSE))*$U71*((1+Inputs!$D$7)^BZ$2))),IF($N71=Lists!$K$3,IF($L71&lt;1,((($T71*(1-$F71)+$S71*(1-$G71))/$L71)*((1+Inputs!$D$7)^BZ$2)),((INT(BZ$2/$L71)-INT((BZ$2-1)/$L71))*($T71*(1-$F71)+$S71*(1-$G71))*((1+Inputs!$D$7)^BZ$2))),((Inputs!$D$8^((1-_xlfn.WEIBULL.DIST(BZ$2,$M71,$L71,FALSE))/_xlfn.WEIBULL.DIST(BZ$2,$M71,$L71,FALSE))*($T71*(1-$F71)+$S71*(1-$G71))*((1+Inputs!$D$7)^BZ$2))))))))</f>
        <v>336.37775944549173</v>
      </c>
      <c r="CA71" s="88">
        <f>MAX(AK71,($E71*IF(CA$2&gt;Inputs!$D$5,0,IF(CA$2&gt;VLOOKUP($H71,Lists!$P$3:$Q$7,2),IF($N71=Lists!$K$3,IF($L71&lt;1,(($U71/$L71)*((1+Inputs!$D$7)^CA$2)),((INT(CA$2/$L71)-INT((CA$2-1)/$L71))*$U71*((1+Inputs!$D$7)^CA$2))),(Inputs!$D$8^((1-_xlfn.WEIBULL.DIST(CA$2,$M71,$L71,FALSE))/_xlfn.WEIBULL.DIST(CA$2,$M71,$L71,FALSE))*$U71*((1+Inputs!$D$7)^CA$2))),IF($N71=Lists!$K$3,IF($L71&lt;1,((($T71*(1-$F71)+$S71*(1-$G71))/$L71)*((1+Inputs!$D$7)^CA$2)),((INT(CA$2/$L71)-INT((CA$2-1)/$L71))*($T71*(1-$F71)+$S71*(1-$G71))*((1+Inputs!$D$7)^CA$2))),((Inputs!$D$8^((1-_xlfn.WEIBULL.DIST(CA$2,$M71,$L71,FALSE))/_xlfn.WEIBULL.DIST(CA$2,$M71,$L71,FALSE))*($T71*(1-$F71)+$S71*(1-$G71))*((1+Inputs!$D$7)^CA$2))))))))</f>
        <v>343.10531463440151</v>
      </c>
      <c r="CB71" s="88">
        <f>MAX(AL71,($E71*IF(CB$2&gt;Inputs!$D$5,0,IF(CB$2&gt;VLOOKUP($H71,Lists!$P$3:$Q$7,2),IF($N71=Lists!$K$3,IF($L71&lt;1,(($U71/$L71)*((1+Inputs!$D$7)^CB$2)),((INT(CB$2/$L71)-INT((CB$2-1)/$L71))*$U71*((1+Inputs!$D$7)^CB$2))),(Inputs!$D$8^((1-_xlfn.WEIBULL.DIST(CB$2,$M71,$L71,FALSE))/_xlfn.WEIBULL.DIST(CB$2,$M71,$L71,FALSE))*$U71*((1+Inputs!$D$7)^CB$2))),IF($N71=Lists!$K$3,IF($L71&lt;1,((($T71*(1-$F71)+$S71*(1-$G71))/$L71)*((1+Inputs!$D$7)^CB$2)),((INT(CB$2/$L71)-INT((CB$2-1)/$L71))*($T71*(1-$F71)+$S71*(1-$G71))*((1+Inputs!$D$7)^CB$2))),((Inputs!$D$8^((1-_xlfn.WEIBULL.DIST(CB$2,$M71,$L71,FALSE))/_xlfn.WEIBULL.DIST(CB$2,$M71,$L71,FALSE))*($T71*(1-$F71)+$S71*(1-$G71))*((1+Inputs!$D$7)^CB$2))))))))</f>
        <v>349.96742092708956</v>
      </c>
      <c r="CC71" s="88">
        <f>MAX(AM71,($E71*IF(CC$2&gt;Inputs!$D$5,0,IF(CC$2&gt;VLOOKUP($H71,Lists!$P$3:$Q$7,2),IF($N71=Lists!$K$3,IF($L71&lt;1,(($U71/$L71)*((1+Inputs!$D$7)^CC$2)),((INT(CC$2/$L71)-INT((CC$2-1)/$L71))*$U71*((1+Inputs!$D$7)^CC$2))),(Inputs!$D$8^((1-_xlfn.WEIBULL.DIST(CC$2,$M71,$L71,FALSE))/_xlfn.WEIBULL.DIST(CC$2,$M71,$L71,FALSE))*$U71*((1+Inputs!$D$7)^CC$2))),IF($N71=Lists!$K$3,IF($L71&lt;1,((($T71*(1-$F71)+$S71*(1-$G71))/$L71)*((1+Inputs!$D$7)^CC$2)),((INT(CC$2/$L71)-INT((CC$2-1)/$L71))*($T71*(1-$F71)+$S71*(1-$G71))*((1+Inputs!$D$7)^CC$2))),((Inputs!$D$8^((1-_xlfn.WEIBULL.DIST(CC$2,$M71,$L71,FALSE))/_xlfn.WEIBULL.DIST(CC$2,$M71,$L71,FALSE))*($T71*(1-$F71)+$S71*(1-$G71))*((1+Inputs!$D$7)^CC$2))))))))</f>
        <v>356.96676934563135</v>
      </c>
      <c r="CD71" s="88">
        <f>MAX(AN71,($E71*IF(CD$2&gt;Inputs!$D$5,0,IF(CD$2&gt;VLOOKUP($H71,Lists!$P$3:$Q$7,2),IF($N71=Lists!$K$3,IF($L71&lt;1,(($U71/$L71)*((1+Inputs!$D$7)^CD$2)),((INT(CD$2/$L71)-INT((CD$2-1)/$L71))*$U71*((1+Inputs!$D$7)^CD$2))),(Inputs!$D$8^((1-_xlfn.WEIBULL.DIST(CD$2,$M71,$L71,FALSE))/_xlfn.WEIBULL.DIST(CD$2,$M71,$L71,FALSE))*$U71*((1+Inputs!$D$7)^CD$2))),IF($N71=Lists!$K$3,IF($L71&lt;1,((($T71*(1-$F71)+$S71*(1-$G71))/$L71)*((1+Inputs!$D$7)^CD$2)),((INT(CD$2/$L71)-INT((CD$2-1)/$L71))*($T71*(1-$F71)+$S71*(1-$G71))*((1+Inputs!$D$7)^CD$2))),((Inputs!$D$8^((1-_xlfn.WEIBULL.DIST(CD$2,$M71,$L71,FALSE))/_xlfn.WEIBULL.DIST(CD$2,$M71,$L71,FALSE))*($T71*(1-$F71)+$S71*(1-$G71))*((1+Inputs!$D$7)^CD$2))))))))</f>
        <v>364.106104732544</v>
      </c>
      <c r="CE71" s="88">
        <f>MAX(AO71,($E71*IF(CE$2&gt;Inputs!$D$5,0,IF(CE$2&gt;VLOOKUP($H71,Lists!$P$3:$Q$7,2),IF($N71=Lists!$K$3,IF($L71&lt;1,(($U71/$L71)*((1+Inputs!$D$7)^CE$2)),((INT(CE$2/$L71)-INT((CE$2-1)/$L71))*$U71*((1+Inputs!$D$7)^CE$2))),(Inputs!$D$8^((1-_xlfn.WEIBULL.DIST(CE$2,$M71,$L71,FALSE))/_xlfn.WEIBULL.DIST(CE$2,$M71,$L71,FALSE))*$U71*((1+Inputs!$D$7)^CE$2))),IF($N71=Lists!$K$3,IF($L71&lt;1,((($T71*(1-$F71)+$S71*(1-$G71))/$L71)*((1+Inputs!$D$7)^CE$2)),((INT(CE$2/$L71)-INT((CE$2-1)/$L71))*($T71*(1-$F71)+$S71*(1-$G71))*((1+Inputs!$D$7)^CE$2))),((Inputs!$D$8^((1-_xlfn.WEIBULL.DIST(CE$2,$M71,$L71,FALSE))/_xlfn.WEIBULL.DIST(CE$2,$M71,$L71,FALSE))*($T71*(1-$F71)+$S71*(1-$G71))*((1+Inputs!$D$7)^CE$2))))))))</f>
        <v>371.38822682719479</v>
      </c>
      <c r="CF71" s="88">
        <f>MAX(AP71,($E71*IF(CF$2&gt;Inputs!$D$5,0,IF(CF$2&gt;VLOOKUP($H71,Lists!$P$3:$Q$7,2),IF($N71=Lists!$K$3,IF($L71&lt;1,(($U71/$L71)*((1+Inputs!$D$7)^CF$2)),((INT(CF$2/$L71)-INT((CF$2-1)/$L71))*$U71*((1+Inputs!$D$7)^CF$2))),(Inputs!$D$8^((1-_xlfn.WEIBULL.DIST(CF$2,$M71,$L71,FALSE))/_xlfn.WEIBULL.DIST(CF$2,$M71,$L71,FALSE))*$U71*((1+Inputs!$D$7)^CF$2))),IF($N71=Lists!$K$3,IF($L71&lt;1,((($T71*(1-$F71)+$S71*(1-$G71))/$L71)*((1+Inputs!$D$7)^CF$2)),((INT(CF$2/$L71)-INT((CF$2-1)/$L71))*($T71*(1-$F71)+$S71*(1-$G71))*((1+Inputs!$D$7)^CF$2))),((Inputs!$D$8^((1-_xlfn.WEIBULL.DIST(CF$2,$M71,$L71,FALSE))/_xlfn.WEIBULL.DIST(CF$2,$M71,$L71,FALSE))*($T71*(1-$F71)+$S71*(1-$G71))*((1+Inputs!$D$7)^CF$2))))))))</f>
        <v>378.81599136373876</v>
      </c>
      <c r="CG71" s="88">
        <f>MAX(AQ71,($E71*IF(CG$2&gt;Inputs!$D$5,0,IF(CG$2&gt;VLOOKUP($H71,Lists!$P$3:$Q$7,2),IF($N71=Lists!$K$3,IF($L71&lt;1,(($U71/$L71)*((1+Inputs!$D$7)^CG$2)),((INT(CG$2/$L71)-INT((CG$2-1)/$L71))*$U71*((1+Inputs!$D$7)^CG$2))),(Inputs!$D$8^((1-_xlfn.WEIBULL.DIST(CG$2,$M71,$L71,FALSE))/_xlfn.WEIBULL.DIST(CG$2,$M71,$L71,FALSE))*$U71*((1+Inputs!$D$7)^CG$2))),IF($N71=Lists!$K$3,IF($L71&lt;1,((($T71*(1-$F71)+$S71*(1-$G71))/$L71)*((1+Inputs!$D$7)^CG$2)),((INT(CG$2/$L71)-INT((CG$2-1)/$L71))*($T71*(1-$F71)+$S71*(1-$G71))*((1+Inputs!$D$7)^CG$2))),((Inputs!$D$8^((1-_xlfn.WEIBULL.DIST(CG$2,$M71,$L71,FALSE))/_xlfn.WEIBULL.DIST(CG$2,$M71,$L71,FALSE))*($T71*(1-$F71)+$S71*(1-$G71))*((1+Inputs!$D$7)^CG$2))))))))</f>
        <v>386.39231119101356</v>
      </c>
      <c r="CH71" s="88">
        <f>MAX(AR71,($E71*IF(CH$2&gt;Inputs!$D$5,0,IF(CH$2&gt;VLOOKUP($H71,Lists!$P$3:$Q$7,2),IF($N71=Lists!$K$3,IF($L71&lt;1,(($U71/$L71)*((1+Inputs!$D$7)^CH$2)),((INT(CH$2/$L71)-INT((CH$2-1)/$L71))*$U71*((1+Inputs!$D$7)^CH$2))),(Inputs!$D$8^((1-_xlfn.WEIBULL.DIST(CH$2,$M71,$L71,FALSE))/_xlfn.WEIBULL.DIST(CH$2,$M71,$L71,FALSE))*$U71*((1+Inputs!$D$7)^CH$2))),IF($N71=Lists!$K$3,IF($L71&lt;1,((($T71*(1-$F71)+$S71*(1-$G71))/$L71)*((1+Inputs!$D$7)^CH$2)),((INT(CH$2/$L71)-INT((CH$2-1)/$L71))*($T71*(1-$F71)+$S71*(1-$G71))*((1+Inputs!$D$7)^CH$2))),((Inputs!$D$8^((1-_xlfn.WEIBULL.DIST(CH$2,$M71,$L71,FALSE))/_xlfn.WEIBULL.DIST(CH$2,$M71,$L71,FALSE))*($T71*(1-$F71)+$S71*(1-$G71))*((1+Inputs!$D$7)^CH$2))))))))</f>
        <v>394.12015741483378</v>
      </c>
      <c r="CI71" s="88">
        <f>MAX(AS71,($E71*IF(CI$2&gt;Inputs!$D$5,0,IF(CI$2&gt;VLOOKUP($H71,Lists!$P$3:$Q$7,2),IF($N71=Lists!$K$3,IF($L71&lt;1,(($U71/$L71)*((1+Inputs!$D$7)^CI$2)),((INT(CI$2/$L71)-INT((CI$2-1)/$L71))*$U71*((1+Inputs!$D$7)^CI$2))),(Inputs!$D$8^((1-_xlfn.WEIBULL.DIST(CI$2,$M71,$L71,FALSE))/_xlfn.WEIBULL.DIST(CI$2,$M71,$L71,FALSE))*$U71*((1+Inputs!$D$7)^CI$2))),IF($N71=Lists!$K$3,IF($L71&lt;1,((($T71*(1-$F71)+$S71*(1-$G71))/$L71)*((1+Inputs!$D$7)^CI$2)),((INT(CI$2/$L71)-INT((CI$2-1)/$L71))*($T71*(1-$F71)+$S71*(1-$G71))*((1+Inputs!$D$7)^CI$2))),((Inputs!$D$8^((1-_xlfn.WEIBULL.DIST(CI$2,$M71,$L71,FALSE))/_xlfn.WEIBULL.DIST(CI$2,$M71,$L71,FALSE))*($T71*(1-$F71)+$S71*(1-$G71))*((1+Inputs!$D$7)^CI$2))))))))</f>
        <v>402.00256056313043</v>
      </c>
      <c r="CJ71" s="88">
        <f>MAX(AT71,($E71*IF(CJ$2&gt;Inputs!$D$5,0,IF(CJ$2&gt;VLOOKUP($H71,Lists!$P$3:$Q$7,2),IF($N71=Lists!$K$3,IF($L71&lt;1,(($U71/$L71)*((1+Inputs!$D$7)^CJ$2)),((INT(CJ$2/$L71)-INT((CJ$2-1)/$L71))*$U71*((1+Inputs!$D$7)^CJ$2))),(Inputs!$D$8^((1-_xlfn.WEIBULL.DIST(CJ$2,$M71,$L71,FALSE))/_xlfn.WEIBULL.DIST(CJ$2,$M71,$L71,FALSE))*$U71*((1+Inputs!$D$7)^CJ$2))),IF($N71=Lists!$K$3,IF($L71&lt;1,((($T71*(1-$F71)+$S71*(1-$G71))/$L71)*((1+Inputs!$D$7)^CJ$2)),((INT(CJ$2/$L71)-INT((CJ$2-1)/$L71))*($T71*(1-$F71)+$S71*(1-$G71))*((1+Inputs!$D$7)^CJ$2))),((Inputs!$D$8^((1-_xlfn.WEIBULL.DIST(CJ$2,$M71,$L71,FALSE))/_xlfn.WEIBULL.DIST(CJ$2,$M71,$L71,FALSE))*($T71*(1-$F71)+$S71*(1-$G71))*((1+Inputs!$D$7)^CJ$2))))))))</f>
        <v>410.04261177439309</v>
      </c>
      <c r="CK71" s="88">
        <f>MAX(AU71,($E71*IF(CK$2&gt;Inputs!$D$5,0,IF(CK$2&gt;VLOOKUP($H71,Lists!$P$3:$Q$7,2),IF($N71=Lists!$K$3,IF($L71&lt;1,(($U71/$L71)*((1+Inputs!$D$7)^CK$2)),((INT(CK$2/$L71)-INT((CK$2-1)/$L71))*$U71*((1+Inputs!$D$7)^CK$2))),(Inputs!$D$8^((1-_xlfn.WEIBULL.DIST(CK$2,$M71,$L71,FALSE))/_xlfn.WEIBULL.DIST(CK$2,$M71,$L71,FALSE))*$U71*((1+Inputs!$D$7)^CK$2))),IF($N71=Lists!$K$3,IF($L71&lt;1,((($T71*(1-$F71)+$S71*(1-$G71))/$L71)*((1+Inputs!$D$7)^CK$2)),((INT(CK$2/$L71)-INT((CK$2-1)/$L71))*($T71*(1-$F71)+$S71*(1-$G71))*((1+Inputs!$D$7)^CK$2))),((Inputs!$D$8^((1-_xlfn.WEIBULL.DIST(CK$2,$M71,$L71,FALSE))/_xlfn.WEIBULL.DIST(CK$2,$M71,$L71,FALSE))*($T71*(1-$F71)+$S71*(1-$G71))*((1+Inputs!$D$7)^CK$2))))))))</f>
        <v>418.24346400988094</v>
      </c>
      <c r="CL71" s="88">
        <f>MAX(AV71,($E71*IF(CL$2&gt;Inputs!$D$5,0,IF(CL$2&gt;VLOOKUP($H71,Lists!$P$3:$Q$7,2),IF($N71=Lists!$K$3,IF($L71&lt;1,(($U71/$L71)*((1+Inputs!$D$7)^CL$2)),((INT(CL$2/$L71)-INT((CL$2-1)/$L71))*$U71*((1+Inputs!$D$7)^CL$2))),(Inputs!$D$8^((1-_xlfn.WEIBULL.DIST(CL$2,$M71,$L71,FALSE))/_xlfn.WEIBULL.DIST(CL$2,$M71,$L71,FALSE))*$U71*((1+Inputs!$D$7)^CL$2))),IF($N71=Lists!$K$3,IF($L71&lt;1,((($T71*(1-$F71)+$S71*(1-$G71))/$L71)*((1+Inputs!$D$7)^CL$2)),((INT(CL$2/$L71)-INT((CL$2-1)/$L71))*($T71*(1-$F71)+$S71*(1-$G71))*((1+Inputs!$D$7)^CL$2))),((Inputs!$D$8^((1-_xlfn.WEIBULL.DIST(CL$2,$M71,$L71,FALSE))/_xlfn.WEIBULL.DIST(CL$2,$M71,$L71,FALSE))*($T71*(1-$F71)+$S71*(1-$G71))*((1+Inputs!$D$7)^CL$2))))))))</f>
        <v>426.60833329007858</v>
      </c>
      <c r="CM71" s="88">
        <f>MAX(AW71,($E71*IF(CM$2&gt;Inputs!$D$5,0,IF(CM$2&gt;VLOOKUP($H71,Lists!$P$3:$Q$7,2),IF($N71=Lists!$K$3,IF($L71&lt;1,(($U71/$L71)*((1+Inputs!$D$7)^CM$2)),((INT(CM$2/$L71)-INT((CM$2-1)/$L71))*$U71*((1+Inputs!$D$7)^CM$2))),(Inputs!$D$8^((1-_xlfn.WEIBULL.DIST(CM$2,$M71,$L71,FALSE))/_xlfn.WEIBULL.DIST(CM$2,$M71,$L71,FALSE))*$U71*((1+Inputs!$D$7)^CM$2))),IF($N71=Lists!$K$3,IF($L71&lt;1,((($T71*(1-$F71)+$S71*(1-$G71))/$L71)*((1+Inputs!$D$7)^CM$2)),((INT(CM$2/$L71)-INT((CM$2-1)/$L71))*($T71*(1-$F71)+$S71*(1-$G71))*((1+Inputs!$D$7)^CM$2))),((Inputs!$D$8^((1-_xlfn.WEIBULL.DIST(CM$2,$M71,$L71,FALSE))/_xlfn.WEIBULL.DIST(CM$2,$M71,$L71,FALSE))*($T71*(1-$F71)+$S71*(1-$G71))*((1+Inputs!$D$7)^CM$2))))))))</f>
        <v>435.14049995588005</v>
      </c>
      <c r="CN71" s="88">
        <f>MAX(AX71,($E71*IF(CN$2&gt;Inputs!$D$5,0,IF(CN$2&gt;VLOOKUP($H71,Lists!$P$3:$Q$7,2),IF($N71=Lists!$K$3,IF($L71&lt;1,(($U71/$L71)*((1+Inputs!$D$7)^CN$2)),((INT(CN$2/$L71)-INT((CN$2-1)/$L71))*$U71*((1+Inputs!$D$7)^CN$2))),(Inputs!$D$8^((1-_xlfn.WEIBULL.DIST(CN$2,$M71,$L71,FALSE))/_xlfn.WEIBULL.DIST(CN$2,$M71,$L71,FALSE))*$U71*((1+Inputs!$D$7)^CN$2))),IF($N71=Lists!$K$3,IF($L71&lt;1,((($T71*(1-$F71)+$S71*(1-$G71))/$L71)*((1+Inputs!$D$7)^CN$2)),((INT(CN$2/$L71)-INT((CN$2-1)/$L71))*($T71*(1-$F71)+$S71*(1-$G71))*((1+Inputs!$D$7)^CN$2))),((Inputs!$D$8^((1-_xlfn.WEIBULL.DIST(CN$2,$M71,$L71,FALSE))/_xlfn.WEIBULL.DIST(CN$2,$M71,$L71,FALSE))*($T71*(1-$F71)+$S71*(1-$G71))*((1+Inputs!$D$7)^CN$2))))))))</f>
        <v>443.84330995499766</v>
      </c>
      <c r="CO71" s="88">
        <f>MAX(AY71,($E71*IF(CO$2&gt;Inputs!$D$5,0,IF(CO$2&gt;VLOOKUP($H71,Lists!$P$3:$Q$7,2),IF($N71=Lists!$K$3,IF($L71&lt;1,(($U71/$L71)*((1+Inputs!$D$7)^CO$2)),((INT(CO$2/$L71)-INT((CO$2-1)/$L71))*$U71*((1+Inputs!$D$7)^CO$2))),(Inputs!$D$8^((1-_xlfn.WEIBULL.DIST(CO$2,$M71,$L71,FALSE))/_xlfn.WEIBULL.DIST(CO$2,$M71,$L71,FALSE))*$U71*((1+Inputs!$D$7)^CO$2))),IF($N71=Lists!$K$3,IF($L71&lt;1,((($T71*(1-$F71)+$S71*(1-$G71))/$L71)*((1+Inputs!$D$7)^CO$2)),((INT(CO$2/$L71)-INT((CO$2-1)/$L71))*($T71*(1-$F71)+$S71*(1-$G71))*((1+Inputs!$D$7)^CO$2))),((Inputs!$D$8^((1-_xlfn.WEIBULL.DIST(CO$2,$M71,$L71,FALSE))/_xlfn.WEIBULL.DIST(CO$2,$M71,$L71,FALSE))*($T71*(1-$F71)+$S71*(1-$G71))*((1+Inputs!$D$7)^CO$2))))))))</f>
        <v>452.72017615409766</v>
      </c>
      <c r="CP71" s="88">
        <f>MAX(AZ71,($E71*IF(CP$2&gt;Inputs!$D$5,0,IF(CP$2&gt;VLOOKUP($H71,Lists!$P$3:$Q$7,2),IF($N71=Lists!$K$3,IF($L71&lt;1,(($U71/$L71)*((1+Inputs!$D$7)^CP$2)),((INT(CP$2/$L71)-INT((CP$2-1)/$L71))*$U71*((1+Inputs!$D$7)^CP$2))),(Inputs!$D$8^((1-_xlfn.WEIBULL.DIST(CP$2,$M71,$L71,FALSE))/_xlfn.WEIBULL.DIST(CP$2,$M71,$L71,FALSE))*$U71*((1+Inputs!$D$7)^CP$2))),IF($N71=Lists!$K$3,IF($L71&lt;1,((($T71*(1-$F71)+$S71*(1-$G71))/$L71)*((1+Inputs!$D$7)^CP$2)),((INT(CP$2/$L71)-INT((CP$2-1)/$L71))*($T71*(1-$F71)+$S71*(1-$G71))*((1+Inputs!$D$7)^CP$2))),((Inputs!$D$8^((1-_xlfn.WEIBULL.DIST(CP$2,$M71,$L71,FALSE))/_xlfn.WEIBULL.DIST(CP$2,$M71,$L71,FALSE))*($T71*(1-$F71)+$S71*(1-$G71))*((1+Inputs!$D$7)^CP$2))))))))</f>
        <v>0</v>
      </c>
      <c r="CQ71" s="88">
        <f>MAX(BA71,($E71*IF(CQ$2&gt;Inputs!$D$5,0,IF(CQ$2&gt;VLOOKUP($H71,Lists!$P$3:$Q$7,2),IF($N71=Lists!$K$3,IF($L71&lt;1,(($U71/$L71)*((1+Inputs!$D$7)^CQ$2)),((INT(CQ$2/$L71)-INT((CQ$2-1)/$L71))*$U71*((1+Inputs!$D$7)^CQ$2))),(Inputs!$D$8^((1-_xlfn.WEIBULL.DIST(CQ$2,$M71,$L71,FALSE))/_xlfn.WEIBULL.DIST(CQ$2,$M71,$L71,FALSE))*$U71*((1+Inputs!$D$7)^CQ$2))),IF($N71=Lists!$K$3,IF($L71&lt;1,((($T71*(1-$F71)+$S71*(1-$G71))/$L71)*((1+Inputs!$D$7)^CQ$2)),((INT(CQ$2/$L71)-INT((CQ$2-1)/$L71))*($T71*(1-$F71)+$S71*(1-$G71))*((1+Inputs!$D$7)^CQ$2))),((Inputs!$D$8^((1-_xlfn.WEIBULL.DIST(CQ$2,$M71,$L71,FALSE))/_xlfn.WEIBULL.DIST(CQ$2,$M71,$L71,FALSE))*($T71*(1-$F71)+$S71*(1-$G71))*((1+Inputs!$D$7)^CQ$2))))))))</f>
        <v>0</v>
      </c>
      <c r="CR71" s="88">
        <f>MAX(BB71,($E71*IF(CR$2&gt;Inputs!$D$5,0,IF(CR$2&gt;VLOOKUP($H71,Lists!$P$3:$Q$7,2),IF($N71=Lists!$K$3,IF($L71&lt;1,(($U71/$L71)*((1+Inputs!$D$7)^CR$2)),((INT(CR$2/$L71)-INT((CR$2-1)/$L71))*$U71*((1+Inputs!$D$7)^CR$2))),(Inputs!$D$8^((1-_xlfn.WEIBULL.DIST(CR$2,$M71,$L71,FALSE))/_xlfn.WEIBULL.DIST(CR$2,$M71,$L71,FALSE))*$U71*((1+Inputs!$D$7)^CR$2))),IF($N71=Lists!$K$3,IF($L71&lt;1,((($T71*(1-$F71)+$S71*(1-$G71))/$L71)*((1+Inputs!$D$7)^CR$2)),((INT(CR$2/$L71)-INT((CR$2-1)/$L71))*($T71*(1-$F71)+$S71*(1-$G71))*((1+Inputs!$D$7)^CR$2))),((Inputs!$D$8^((1-_xlfn.WEIBULL.DIST(CR$2,$M71,$L71,FALSE))/_xlfn.WEIBULL.DIST(CR$2,$M71,$L71,FALSE))*($T71*(1-$F71)+$S71*(1-$G71))*((1+Inputs!$D$7)^CR$2))))))))</f>
        <v>0</v>
      </c>
      <c r="CS71" s="88">
        <f>MAX(BC71,($E71*IF(CS$2&gt;Inputs!$D$5,0,IF(CS$2&gt;VLOOKUP($H71,Lists!$P$3:$Q$7,2),IF($N71=Lists!$K$3,IF($L71&lt;1,(($U71/$L71)*((1+Inputs!$D$7)^CS$2)),((INT(CS$2/$L71)-INT((CS$2-1)/$L71))*$U71*((1+Inputs!$D$7)^CS$2))),(Inputs!$D$8^((1-_xlfn.WEIBULL.DIST(CS$2,$M71,$L71,FALSE))/_xlfn.WEIBULL.DIST(CS$2,$M71,$L71,FALSE))*$U71*((1+Inputs!$D$7)^CS$2))),IF($N71=Lists!$K$3,IF($L71&lt;1,((($T71*(1-$F71)+$S71*(1-$G71))/$L71)*((1+Inputs!$D$7)^CS$2)),((INT(CS$2/$L71)-INT((CS$2-1)/$L71))*($T71*(1-$F71)+$S71*(1-$G71))*((1+Inputs!$D$7)^CS$2))),((Inputs!$D$8^((1-_xlfn.WEIBULL.DIST(CS$2,$M71,$L71,FALSE))/_xlfn.WEIBULL.DIST(CS$2,$M71,$L71,FALSE))*($T71*(1-$F71)+$S71*(1-$G71))*((1+Inputs!$D$7)^CS$2))))))))</f>
        <v>0</v>
      </c>
      <c r="CT71" s="88">
        <f>MAX(BD71,($E71*IF(CT$2&gt;Inputs!$D$5,0,IF(CT$2&gt;VLOOKUP($H71,Lists!$P$3:$Q$7,2),IF($N71=Lists!$K$3,IF($L71&lt;1,(($U71/$L71)*((1+Inputs!$D$7)^CT$2)),((INT(CT$2/$L71)-INT((CT$2-1)/$L71))*$U71*((1+Inputs!$D$7)^CT$2))),(Inputs!$D$8^((1-_xlfn.WEIBULL.DIST(CT$2,$M71,$L71,FALSE))/_xlfn.WEIBULL.DIST(CT$2,$M71,$L71,FALSE))*$U71*((1+Inputs!$D$7)^CT$2))),IF($N71=Lists!$K$3,IF($L71&lt;1,((($T71*(1-$F71)+$S71*(1-$G71))/$L71)*((1+Inputs!$D$7)^CT$2)),((INT(CT$2/$L71)-INT((CT$2-1)/$L71))*($T71*(1-$F71)+$S71*(1-$G71))*((1+Inputs!$D$7)^CT$2))),((Inputs!$D$8^((1-_xlfn.WEIBULL.DIST(CT$2,$M71,$L71,FALSE))/_xlfn.WEIBULL.DIST(CT$2,$M71,$L71,FALSE))*($T71*(1-$F71)+$S71*(1-$G71))*((1+Inputs!$D$7)^CT$2))))))))</f>
        <v>0</v>
      </c>
      <c r="CU71" s="88">
        <f>MAX(BE71,($E71*IF(CU$2&gt;Inputs!$D$5,0,IF(CU$2&gt;VLOOKUP($H71,Lists!$P$3:$Q$7,2),IF($N71=Lists!$K$3,IF($L71&lt;1,(($U71/$L71)*((1+Inputs!$D$7)^CU$2)),((INT(CU$2/$L71)-INT((CU$2-1)/$L71))*$U71*((1+Inputs!$D$7)^CU$2))),(Inputs!$D$8^((1-_xlfn.WEIBULL.DIST(CU$2,$M71,$L71,FALSE))/_xlfn.WEIBULL.DIST(CU$2,$M71,$L71,FALSE))*$U71*((1+Inputs!$D$7)^CU$2))),IF($N71=Lists!$K$3,IF($L71&lt;1,((($T71*(1-$F71)+$S71*(1-$G71))/$L71)*((1+Inputs!$D$7)^CU$2)),((INT(CU$2/$L71)-INT((CU$2-1)/$L71))*($T71*(1-$F71)+$S71*(1-$G71))*((1+Inputs!$D$7)^CU$2))),((Inputs!$D$8^((1-_xlfn.WEIBULL.DIST(CU$2,$M71,$L71,FALSE))/_xlfn.WEIBULL.DIST(CU$2,$M71,$L71,FALSE))*($T71*(1-$F71)+$S71*(1-$G71))*((1+Inputs!$D$7)^CU$2))))))))</f>
        <v>0</v>
      </c>
      <c r="CV71" s="88">
        <f>MAX(BF71,($E71*IF(CV$2&gt;Inputs!$D$5,0,IF(CV$2&gt;VLOOKUP($H71,Lists!$P$3:$Q$7,2),IF($N71=Lists!$K$3,IF($L71&lt;1,(($U71/$L71)*((1+Inputs!$D$7)^CV$2)),((INT(CV$2/$L71)-INT((CV$2-1)/$L71))*$U71*((1+Inputs!$D$7)^CV$2))),(Inputs!$D$8^((1-_xlfn.WEIBULL.DIST(CV$2,$M71,$L71,FALSE))/_xlfn.WEIBULL.DIST(CV$2,$M71,$L71,FALSE))*$U71*((1+Inputs!$D$7)^CV$2))),IF($N71=Lists!$K$3,IF($L71&lt;1,((($T71*(1-$F71)+$S71*(1-$G71))/$L71)*((1+Inputs!$D$7)^CV$2)),((INT(CV$2/$L71)-INT((CV$2-1)/$L71))*($T71*(1-$F71)+$S71*(1-$G71))*((1+Inputs!$D$7)^CV$2))),((Inputs!$D$8^((1-_xlfn.WEIBULL.DIST(CV$2,$M71,$L71,FALSE))/_xlfn.WEIBULL.DIST(CV$2,$M71,$L71,FALSE))*($T71*(1-$F71)+$S71*(1-$G71))*((1+Inputs!$D$7)^CV$2))))))))</f>
        <v>0</v>
      </c>
      <c r="CW71" s="88">
        <f>MAX(BG71,($E71*IF(CW$2&gt;Inputs!$D$5,0,IF(CW$2&gt;VLOOKUP($H71,Lists!$P$3:$Q$7,2),IF($N71=Lists!$K$3,IF($L71&lt;1,(($U71/$L71)*((1+Inputs!$D$7)^CW$2)),((INT(CW$2/$L71)-INT((CW$2-1)/$L71))*$U71*((1+Inputs!$D$7)^CW$2))),(Inputs!$D$8^((1-_xlfn.WEIBULL.DIST(CW$2,$M71,$L71,FALSE))/_xlfn.WEIBULL.DIST(CW$2,$M71,$L71,FALSE))*$U71*((1+Inputs!$D$7)^CW$2))),IF($N71=Lists!$K$3,IF($L71&lt;1,((($T71*(1-$F71)+$S71*(1-$G71))/$L71)*((1+Inputs!$D$7)^CW$2)),((INT(CW$2/$L71)-INT((CW$2-1)/$L71))*($T71*(1-$F71)+$S71*(1-$G71))*((1+Inputs!$D$7)^CW$2))),((Inputs!$D$8^((1-_xlfn.WEIBULL.DIST(CW$2,$M71,$L71,FALSE))/_xlfn.WEIBULL.DIST(CW$2,$M71,$L71,FALSE))*($T71*(1-$F71)+$S71*(1-$G71))*((1+Inputs!$D$7)^CW$2))))))))</f>
        <v>0</v>
      </c>
      <c r="CX71" s="88">
        <f>MAX(BH71,($E71*IF(CX$2&gt;Inputs!$D$5,0,IF(CX$2&gt;VLOOKUP($H71,Lists!$P$3:$Q$7,2),IF($N71=Lists!$K$3,IF($L71&lt;1,(($U71/$L71)*((1+Inputs!$D$7)^CX$2)),((INT(CX$2/$L71)-INT((CX$2-1)/$L71))*$U71*((1+Inputs!$D$7)^CX$2))),(Inputs!$D$8^((1-_xlfn.WEIBULL.DIST(CX$2,$M71,$L71,FALSE))/_xlfn.WEIBULL.DIST(CX$2,$M71,$L71,FALSE))*$U71*((1+Inputs!$D$7)^CX$2))),IF($N71=Lists!$K$3,IF($L71&lt;1,((($T71*(1-$F71)+$S71*(1-$G71))/$L71)*((1+Inputs!$D$7)^CX$2)),((INT(CX$2/$L71)-INT((CX$2-1)/$L71))*($T71*(1-$F71)+$S71*(1-$G71))*((1+Inputs!$D$7)^CX$2))),((Inputs!$D$8^((1-_xlfn.WEIBULL.DIST(CX$2,$M71,$L71,FALSE))/_xlfn.WEIBULL.DIST(CX$2,$M71,$L71,FALSE))*($T71*(1-$F71)+$S71*(1-$G71))*((1+Inputs!$D$7)^CX$2))))))))</f>
        <v>0</v>
      </c>
      <c r="CY71" s="88">
        <f>MAX(BI71,($E71*IF(CY$2&gt;Inputs!$D$5,0,IF(CY$2&gt;VLOOKUP($H71,Lists!$P$3:$Q$7,2),IF($N71=Lists!$K$3,IF($L71&lt;1,(($U71/$L71)*((1+Inputs!$D$7)^CY$2)),((INT(CY$2/$L71)-INT((CY$2-1)/$L71))*$U71*((1+Inputs!$D$7)^CY$2))),(Inputs!$D$8^((1-_xlfn.WEIBULL.DIST(CY$2,$M71,$L71,FALSE))/_xlfn.WEIBULL.DIST(CY$2,$M71,$L71,FALSE))*$U71*((1+Inputs!$D$7)^CY$2))),IF($N71=Lists!$K$3,IF($L71&lt;1,((($T71*(1-$F71)+$S71*(1-$G71))/$L71)*((1+Inputs!$D$7)^CY$2)),((INT(CY$2/$L71)-INT((CY$2-1)/$L71))*($T71*(1-$F71)+$S71*(1-$G71))*((1+Inputs!$D$7)^CY$2))),((Inputs!$D$8^((1-_xlfn.WEIBULL.DIST(CY$2,$M71,$L71,FALSE))/_xlfn.WEIBULL.DIST(CY$2,$M71,$L71,FALSE))*($T71*(1-$F71)+$S71*(1-$G71))*((1+Inputs!$D$7)^CY$2))))))))</f>
        <v>0</v>
      </c>
      <c r="CZ71" s="88">
        <f>MAX(BJ71,($E71*IF(CZ$2&gt;Inputs!$D$5,0,IF(CZ$2&gt;VLOOKUP($H71,Lists!$P$3:$Q$7,2),IF($N71=Lists!$K$3,IF($L71&lt;1,(($U71/$L71)*((1+Inputs!$D$7)^CZ$2)),((INT(CZ$2/$L71)-INT((CZ$2-1)/$L71))*$U71*((1+Inputs!$D$7)^CZ$2))),(Inputs!$D$8^((1-_xlfn.WEIBULL.DIST(CZ$2,$M71,$L71,FALSE))/_xlfn.WEIBULL.DIST(CZ$2,$M71,$L71,FALSE))*$U71*((1+Inputs!$D$7)^CZ$2))),IF($N71=Lists!$K$3,IF($L71&lt;1,((($T71*(1-$F71)+$S71*(1-$G71))/$L71)*((1+Inputs!$D$7)^CZ$2)),((INT(CZ$2/$L71)-INT((CZ$2-1)/$L71))*($T71*(1-$F71)+$S71*(1-$G71))*((1+Inputs!$D$7)^CZ$2))),((Inputs!$D$8^((1-_xlfn.WEIBULL.DIST(CZ$2,$M71,$L71,FALSE))/_xlfn.WEIBULL.DIST(CZ$2,$M71,$L71,FALSE))*($T71*(1-$F71)+$S71*(1-$G71))*((1+Inputs!$D$7)^CZ$2))))))))</f>
        <v>0</v>
      </c>
      <c r="DA71" s="88">
        <f>MAX(BK71,($E71*IF(DA$2&gt;Inputs!$D$5,0,IF(DA$2&gt;VLOOKUP($H71,Lists!$P$3:$Q$7,2),IF($N71=Lists!$K$3,IF($L71&lt;1,(($U71/$L71)*((1+Inputs!$D$7)^DA$2)),((INT(DA$2/$L71)-INT((DA$2-1)/$L71))*$U71*((1+Inputs!$D$7)^DA$2))),(Inputs!$D$8^((1-_xlfn.WEIBULL.DIST(DA$2,$M71,$L71,FALSE))/_xlfn.WEIBULL.DIST(DA$2,$M71,$L71,FALSE))*$U71*((1+Inputs!$D$7)^DA$2))),IF($N71=Lists!$K$3,IF($L71&lt;1,((($T71*(1-$F71)+$S71*(1-$G71))/$L71)*((1+Inputs!$D$7)^DA$2)),((INT(DA$2/$L71)-INT((DA$2-1)/$L71))*($T71*(1-$F71)+$S71*(1-$G71))*((1+Inputs!$D$7)^DA$2))),((Inputs!$D$8^((1-_xlfn.WEIBULL.DIST(DA$2,$M71,$L71,FALSE))/_xlfn.WEIBULL.DIST(DA$2,$M71,$L71,FALSE))*($T71*(1-$F71)+$S71*(1-$G71))*((1+Inputs!$D$7)^DA$2))))))))</f>
        <v>0</v>
      </c>
      <c r="DB71" s="88">
        <f>MAX(BL71,($E71*IF(DB$2&gt;Inputs!$D$5,0,IF(DB$2&gt;VLOOKUP($H71,Lists!$P$3:$Q$7,2),IF($N71=Lists!$K$3,IF($L71&lt;1,(($U71/$L71)*((1+Inputs!$D$7)^DB$2)),((INT(DB$2/$L71)-INT((DB$2-1)/$L71))*$U71*((1+Inputs!$D$7)^DB$2))),(Inputs!$D$8^((1-_xlfn.WEIBULL.DIST(DB$2,$M71,$L71,FALSE))/_xlfn.WEIBULL.DIST(DB$2,$M71,$L71,FALSE))*$U71*((1+Inputs!$D$7)^DB$2))),IF($N71=Lists!$K$3,IF($L71&lt;1,((($T71*(1-$F71)+$S71*(1-$G71))/$L71)*((1+Inputs!$D$7)^DB$2)),((INT(DB$2/$L71)-INT((DB$2-1)/$L71))*($T71*(1-$F71)+$S71*(1-$G71))*((1+Inputs!$D$7)^DB$2))),((Inputs!$D$8^((1-_xlfn.WEIBULL.DIST(DB$2,$M71,$L71,FALSE))/_xlfn.WEIBULL.DIST(DB$2,$M71,$L71,FALSE))*($T71*(1-$F71)+$S71*(1-$G71))*((1+Inputs!$D$7)^DB$2))))))))</f>
        <v>0</v>
      </c>
      <c r="DC71" s="88">
        <f>MAX(BM71,($E71*IF(DC$2&gt;Inputs!$D$5,0,IF(DC$2&gt;VLOOKUP($H71,Lists!$P$3:$Q$7,2),IF($N71=Lists!$K$3,IF($L71&lt;1,(($U71/$L71)*((1+Inputs!$D$7)^DC$2)),((INT(DC$2/$L71)-INT((DC$2-1)/$L71))*$U71*((1+Inputs!$D$7)^DC$2))),(Inputs!$D$8^((1-_xlfn.WEIBULL.DIST(DC$2,$M71,$L71,FALSE))/_xlfn.WEIBULL.DIST(DC$2,$M71,$L71,FALSE))*$U71*((1+Inputs!$D$7)^DC$2))),IF($N71=Lists!$K$3,IF($L71&lt;1,((($T71*(1-$F71)+$S71*(1-$G71))/$L71)*((1+Inputs!$D$7)^DC$2)),((INT(DC$2/$L71)-INT((DC$2-1)/$L71))*($T71*(1-$F71)+$S71*(1-$G71))*((1+Inputs!$D$7)^DC$2))),((Inputs!$D$8^((1-_xlfn.WEIBULL.DIST(DC$2,$M71,$L71,FALSE))/_xlfn.WEIBULL.DIST(DC$2,$M71,$L71,FALSE))*($T71*(1-$F71)+$S71*(1-$G71))*((1+Inputs!$D$7)^DC$2))))))))</f>
        <v>0</v>
      </c>
      <c r="DD71" s="88">
        <f>MAX(BN71,($E71*IF(DD$2&gt;Inputs!$D$5,0,IF(DD$2&gt;VLOOKUP($H71,Lists!$P$3:$Q$7,2),IF($N71=Lists!$K$3,IF($L71&lt;1,(($U71/$L71)*((1+Inputs!$D$7)^DD$2)),((INT(DD$2/$L71)-INT((DD$2-1)/$L71))*$U71*((1+Inputs!$D$7)^DD$2))),(Inputs!$D$8^((1-_xlfn.WEIBULL.DIST(DD$2,$M71,$L71,FALSE))/_xlfn.WEIBULL.DIST(DD$2,$M71,$L71,FALSE))*$U71*((1+Inputs!$D$7)^DD$2))),IF($N71=Lists!$K$3,IF($L71&lt;1,((($T71*(1-$F71)+$S71*(1-$G71))/$L71)*((1+Inputs!$D$7)^DD$2)),((INT(DD$2/$L71)-INT((DD$2-1)/$L71))*($T71*(1-$F71)+$S71*(1-$G71))*((1+Inputs!$D$7)^DD$2))),((Inputs!$D$8^((1-_xlfn.WEIBULL.DIST(DD$2,$M71,$L71,FALSE))/_xlfn.WEIBULL.DIST(DD$2,$M71,$L71,FALSE))*($T71*(1-$F71)+$S71*(1-$G71))*((1+Inputs!$D$7)^DD$2))))))))</f>
        <v>0</v>
      </c>
    </row>
    <row r="72" spans="1:108" s="1" customFormat="1" ht="32">
      <c r="A72" s="57" t="s">
        <v>146</v>
      </c>
      <c r="B72" s="13" t="s">
        <v>279</v>
      </c>
      <c r="C72" s="13" t="s">
        <v>471</v>
      </c>
      <c r="D72" s="13" t="s">
        <v>166</v>
      </c>
      <c r="E72" s="48">
        <f>IF(Inputs!$D$41=Lists!$I$6,1,0)</f>
        <v>1</v>
      </c>
      <c r="F72" s="48">
        <v>0</v>
      </c>
      <c r="G72" s="48">
        <v>0</v>
      </c>
      <c r="H72" s="105" t="s">
        <v>350</v>
      </c>
      <c r="I72" s="14"/>
      <c r="J72" s="14" t="s">
        <v>248</v>
      </c>
      <c r="K72" s="13">
        <f>VLOOKUP(J72,'Labor Rates'!$A$1:$F$16,2)</f>
        <v>22.995576923076925</v>
      </c>
      <c r="L72" s="15">
        <f>1/12</f>
        <v>8.3333333333333329E-2</v>
      </c>
      <c r="M72" s="15">
        <v>1</v>
      </c>
      <c r="N72" s="13" t="s">
        <v>236</v>
      </c>
      <c r="O72" s="61">
        <v>1</v>
      </c>
      <c r="P72" s="15">
        <v>1</v>
      </c>
      <c r="Q72" s="15">
        <f t="shared" si="14"/>
        <v>12</v>
      </c>
      <c r="R72" s="4">
        <v>0</v>
      </c>
      <c r="S72" s="53">
        <f t="shared" si="15"/>
        <v>22.995576923076925</v>
      </c>
      <c r="T72" s="53">
        <f t="shared" si="16"/>
        <v>0</v>
      </c>
      <c r="U72" s="54">
        <f t="shared" si="17"/>
        <v>22.995576923076925</v>
      </c>
      <c r="V72" s="65"/>
      <c r="W72" s="58"/>
      <c r="X72" s="64">
        <f t="shared" si="18"/>
        <v>341.94400617854859</v>
      </c>
      <c r="Y72" s="64">
        <f>NPV(Inputs!$D$6,AA72:BN72)</f>
        <v>3927.6855006452624</v>
      </c>
      <c r="Z72" s="67">
        <f t="shared" si="19"/>
        <v>1.8524882344909477E-3</v>
      </c>
      <c r="AA72" s="88">
        <f>$E72*IF(AA$2&gt;Inputs!$D$5,0,IF(AA$2&gt;VLOOKUP($H72,Lists!$P$3:$Q$7,2),IF($N72=Lists!$K$3,IF($L72&lt;1,(($U72/$L72)*((1+Inputs!$D$7)^AA$2)),((INT(AA$2/$L72)-INT((AA$2-1)/$L72))*$U72*((1+Inputs!$D$7)^AA$2))),(_xlfn.WEIBULL.DIST(AA$2,$M72,$L72,FALSE)*$U72*((1+Inputs!$D$7)^AA$2))),IF($N72=Lists!$K$3,IF($L72&lt;1,((($T72*(1-$F72)+$S72*(1-$G72))/$L72)*((1+Inputs!$D$7)^AA$2)),((INT(AA$2/$L72)-INT((AA$2-1)/$L72))*($T72*(1-$F72)+$S72*(1-$G72))*((1+Inputs!$D$7)^AA$2))),((_xlfn.WEIBULL.DIST(AA$2,$M72,$L72,FALSE)*($T72*(1-$F72)+$S72*(1-$G72))*((1+Inputs!$D$7)^AA$2))))))</f>
        <v>281.46586153846158</v>
      </c>
      <c r="AB72" s="88">
        <f>$E72*IF(AB$2&gt;Inputs!$D$5,0,IF(AB$2&gt;VLOOKUP($H72,Lists!$P$3:$Q$7,2),IF($N72=Lists!$K$3,IF($L72&lt;1,(($U72/$L72)*((1+Inputs!$D$7)^AB$2)),((INT(AB$2/$L72)-INT((AB$2-1)/$L72))*$U72*((1+Inputs!$D$7)^AB$2))),(_xlfn.WEIBULL.DIST(AB$2,$M72,$L72,FALSE)*$U72*((1+Inputs!$D$7)^AB$2))),IF($N72=Lists!$K$3,IF($L72&lt;1,((($T72*(1-$F72)+$S72*(1-$G72))/$L72)*((1+Inputs!$D$7)^AB$2)),((INT(AB$2/$L72)-INT((AB$2-1)/$L72))*($T72*(1-$F72)+$S72*(1-$G72))*((1+Inputs!$D$7)^AB$2))),((_xlfn.WEIBULL.DIST(AB$2,$M72,$L72,FALSE)*($T72*(1-$F72)+$S72*(1-$G72))*((1+Inputs!$D$7)^AB$2))))))</f>
        <v>287.09517876923081</v>
      </c>
      <c r="AC72" s="88">
        <f>$E72*IF(AC$2&gt;Inputs!$D$5,0,IF(AC$2&gt;VLOOKUP($H72,Lists!$P$3:$Q$7,2),IF($N72=Lists!$K$3,IF($L72&lt;1,(($U72/$L72)*((1+Inputs!$D$7)^AC$2)),((INT(AC$2/$L72)-INT((AC$2-1)/$L72))*$U72*((1+Inputs!$D$7)^AC$2))),(_xlfn.WEIBULL.DIST(AC$2,$M72,$L72,FALSE)*$U72*((1+Inputs!$D$7)^AC$2))),IF($N72=Lists!$K$3,IF($L72&lt;1,((($T72*(1-$F72)+$S72*(1-$G72))/$L72)*((1+Inputs!$D$7)^AC$2)),((INT(AC$2/$L72)-INT((AC$2-1)/$L72))*($T72*(1-$F72)+$S72*(1-$G72))*((1+Inputs!$D$7)^AC$2))),((_xlfn.WEIBULL.DIST(AC$2,$M72,$L72,FALSE)*($T72*(1-$F72)+$S72*(1-$G72))*((1+Inputs!$D$7)^AC$2))))))</f>
        <v>292.8370823446154</v>
      </c>
      <c r="AD72" s="88">
        <f>$E72*IF(AD$2&gt;Inputs!$D$5,0,IF(AD$2&gt;VLOOKUP($H72,Lists!$P$3:$Q$7,2),IF($N72=Lists!$K$3,IF($L72&lt;1,(($U72/$L72)*((1+Inputs!$D$7)^AD$2)),((INT(AD$2/$L72)-INT((AD$2-1)/$L72))*$U72*((1+Inputs!$D$7)^AD$2))),(_xlfn.WEIBULL.DIST(AD$2,$M72,$L72,FALSE)*$U72*((1+Inputs!$D$7)^AD$2))),IF($N72=Lists!$K$3,IF($L72&lt;1,((($T72*(1-$F72)+$S72*(1-$G72))/$L72)*((1+Inputs!$D$7)^AD$2)),((INT(AD$2/$L72)-INT((AD$2-1)/$L72))*($T72*(1-$F72)+$S72*(1-$G72))*((1+Inputs!$D$7)^AD$2))),((_xlfn.WEIBULL.DIST(AD$2,$M72,$L72,FALSE)*($T72*(1-$F72)+$S72*(1-$G72))*((1+Inputs!$D$7)^AD$2))))))</f>
        <v>298.69382399150771</v>
      </c>
      <c r="AE72" s="88">
        <f>$E72*IF(AE$2&gt;Inputs!$D$5,0,IF(AE$2&gt;VLOOKUP($H72,Lists!$P$3:$Q$7,2),IF($N72=Lists!$K$3,IF($L72&lt;1,(($U72/$L72)*((1+Inputs!$D$7)^AE$2)),((INT(AE$2/$L72)-INT((AE$2-1)/$L72))*$U72*((1+Inputs!$D$7)^AE$2))),(_xlfn.WEIBULL.DIST(AE$2,$M72,$L72,FALSE)*$U72*((1+Inputs!$D$7)^AE$2))),IF($N72=Lists!$K$3,IF($L72&lt;1,((($T72*(1-$F72)+$S72*(1-$G72))/$L72)*((1+Inputs!$D$7)^AE$2)),((INT(AE$2/$L72)-INT((AE$2-1)/$L72))*($T72*(1-$F72)+$S72*(1-$G72))*((1+Inputs!$D$7)^AE$2))),((_xlfn.WEIBULL.DIST(AE$2,$M72,$L72,FALSE)*($T72*(1-$F72)+$S72*(1-$G72))*((1+Inputs!$D$7)^AE$2))))))</f>
        <v>304.66770047133787</v>
      </c>
      <c r="AF72" s="88">
        <f>$E72*IF(AF$2&gt;Inputs!$D$5,0,IF(AF$2&gt;VLOOKUP($H72,Lists!$P$3:$Q$7,2),IF($N72=Lists!$K$3,IF($L72&lt;1,(($U72/$L72)*((1+Inputs!$D$7)^AF$2)),((INT(AF$2/$L72)-INT((AF$2-1)/$L72))*$U72*((1+Inputs!$D$7)^AF$2))),(_xlfn.WEIBULL.DIST(AF$2,$M72,$L72,FALSE)*$U72*((1+Inputs!$D$7)^AF$2))),IF($N72=Lists!$K$3,IF($L72&lt;1,((($T72*(1-$F72)+$S72*(1-$G72))/$L72)*((1+Inputs!$D$7)^AF$2)),((INT(AF$2/$L72)-INT((AF$2-1)/$L72))*($T72*(1-$F72)+$S72*(1-$G72))*((1+Inputs!$D$7)^AF$2))),((_xlfn.WEIBULL.DIST(AF$2,$M72,$L72,FALSE)*($T72*(1-$F72)+$S72*(1-$G72))*((1+Inputs!$D$7)^AF$2))))))</f>
        <v>310.76105448076464</v>
      </c>
      <c r="AG72" s="88">
        <f>$E72*IF(AG$2&gt;Inputs!$D$5,0,IF(AG$2&gt;VLOOKUP($H72,Lists!$P$3:$Q$7,2),IF($N72=Lists!$K$3,IF($L72&lt;1,(($U72/$L72)*((1+Inputs!$D$7)^AG$2)),((INT(AG$2/$L72)-INT((AG$2-1)/$L72))*$U72*((1+Inputs!$D$7)^AG$2))),(_xlfn.WEIBULL.DIST(AG$2,$M72,$L72,FALSE)*$U72*((1+Inputs!$D$7)^AG$2))),IF($N72=Lists!$K$3,IF($L72&lt;1,((($T72*(1-$F72)+$S72*(1-$G72))/$L72)*((1+Inputs!$D$7)^AG$2)),((INT(AG$2/$L72)-INT((AG$2-1)/$L72))*($T72*(1-$F72)+$S72*(1-$G72))*((1+Inputs!$D$7)^AG$2))),((_xlfn.WEIBULL.DIST(AG$2,$M72,$L72,FALSE)*($T72*(1-$F72)+$S72*(1-$G72))*((1+Inputs!$D$7)^AG$2))))))</f>
        <v>316.97627557037987</v>
      </c>
      <c r="AH72" s="88">
        <f>$E72*IF(AH$2&gt;Inputs!$D$5,0,IF(AH$2&gt;VLOOKUP($H72,Lists!$P$3:$Q$7,2),IF($N72=Lists!$K$3,IF($L72&lt;1,(($U72/$L72)*((1+Inputs!$D$7)^AH$2)),((INT(AH$2/$L72)-INT((AH$2-1)/$L72))*$U72*((1+Inputs!$D$7)^AH$2))),(_xlfn.WEIBULL.DIST(AH$2,$M72,$L72,FALSE)*$U72*((1+Inputs!$D$7)^AH$2))),IF($N72=Lists!$K$3,IF($L72&lt;1,((($T72*(1-$F72)+$S72*(1-$G72))/$L72)*((1+Inputs!$D$7)^AH$2)),((INT(AH$2/$L72)-INT((AH$2-1)/$L72))*($T72*(1-$F72)+$S72*(1-$G72))*((1+Inputs!$D$7)^AH$2))),((_xlfn.WEIBULL.DIST(AH$2,$M72,$L72,FALSE)*($T72*(1-$F72)+$S72*(1-$G72))*((1+Inputs!$D$7)^AH$2))))))</f>
        <v>323.31580108178747</v>
      </c>
      <c r="AI72" s="88">
        <f>$E72*IF(AI$2&gt;Inputs!$D$5,0,IF(AI$2&gt;VLOOKUP($H72,Lists!$P$3:$Q$7,2),IF($N72=Lists!$K$3,IF($L72&lt;1,(($U72/$L72)*((1+Inputs!$D$7)^AI$2)),((INT(AI$2/$L72)-INT((AI$2-1)/$L72))*$U72*((1+Inputs!$D$7)^AI$2))),(_xlfn.WEIBULL.DIST(AI$2,$M72,$L72,FALSE)*$U72*((1+Inputs!$D$7)^AI$2))),IF($N72=Lists!$K$3,IF($L72&lt;1,((($T72*(1-$F72)+$S72*(1-$G72))/$L72)*((1+Inputs!$D$7)^AI$2)),((INT(AI$2/$L72)-INT((AI$2-1)/$L72))*($T72*(1-$F72)+$S72*(1-$G72))*((1+Inputs!$D$7)^AI$2))),((_xlfn.WEIBULL.DIST(AI$2,$M72,$L72,FALSE)*($T72*(1-$F72)+$S72*(1-$G72))*((1+Inputs!$D$7)^AI$2))))))</f>
        <v>329.78211710342327</v>
      </c>
      <c r="AJ72" s="88">
        <f>$E72*IF(AJ$2&gt;Inputs!$D$5,0,IF(AJ$2&gt;VLOOKUP($H72,Lists!$P$3:$Q$7,2),IF($N72=Lists!$K$3,IF($L72&lt;1,(($U72/$L72)*((1+Inputs!$D$7)^AJ$2)),((INT(AJ$2/$L72)-INT((AJ$2-1)/$L72))*$U72*((1+Inputs!$D$7)^AJ$2))),(_xlfn.WEIBULL.DIST(AJ$2,$M72,$L72,FALSE)*$U72*((1+Inputs!$D$7)^AJ$2))),IF($N72=Lists!$K$3,IF($L72&lt;1,((($T72*(1-$F72)+$S72*(1-$G72))/$L72)*((1+Inputs!$D$7)^AJ$2)),((INT(AJ$2/$L72)-INT((AJ$2-1)/$L72))*($T72*(1-$F72)+$S72*(1-$G72))*((1+Inputs!$D$7)^AJ$2))),((_xlfn.WEIBULL.DIST(AJ$2,$M72,$L72,FALSE)*($T72*(1-$F72)+$S72*(1-$G72))*((1+Inputs!$D$7)^AJ$2))))))</f>
        <v>336.37775944549173</v>
      </c>
      <c r="AK72" s="88">
        <f>$E72*IF(AK$2&gt;Inputs!$D$5,0,IF(AK$2&gt;VLOOKUP($H72,Lists!$P$3:$Q$7,2),IF($N72=Lists!$K$3,IF($L72&lt;1,(($U72/$L72)*((1+Inputs!$D$7)^AK$2)),((INT(AK$2/$L72)-INT((AK$2-1)/$L72))*$U72*((1+Inputs!$D$7)^AK$2))),(_xlfn.WEIBULL.DIST(AK$2,$M72,$L72,FALSE)*$U72*((1+Inputs!$D$7)^AK$2))),IF($N72=Lists!$K$3,IF($L72&lt;1,((($T72*(1-$F72)+$S72*(1-$G72))/$L72)*((1+Inputs!$D$7)^AK$2)),((INT(AK$2/$L72)-INT((AK$2-1)/$L72))*($T72*(1-$F72)+$S72*(1-$G72))*((1+Inputs!$D$7)^AK$2))),((_xlfn.WEIBULL.DIST(AK$2,$M72,$L72,FALSE)*($T72*(1-$F72)+$S72*(1-$G72))*((1+Inputs!$D$7)^AK$2))))))</f>
        <v>343.10531463440151</v>
      </c>
      <c r="AL72" s="88">
        <f>$E72*IF(AL$2&gt;Inputs!$D$5,0,IF(AL$2&gt;VLOOKUP($H72,Lists!$P$3:$Q$7,2),IF($N72=Lists!$K$3,IF($L72&lt;1,(($U72/$L72)*((1+Inputs!$D$7)^AL$2)),((INT(AL$2/$L72)-INT((AL$2-1)/$L72))*$U72*((1+Inputs!$D$7)^AL$2))),(_xlfn.WEIBULL.DIST(AL$2,$M72,$L72,FALSE)*$U72*((1+Inputs!$D$7)^AL$2))),IF($N72=Lists!$K$3,IF($L72&lt;1,((($T72*(1-$F72)+$S72*(1-$G72))/$L72)*((1+Inputs!$D$7)^AL$2)),((INT(AL$2/$L72)-INT((AL$2-1)/$L72))*($T72*(1-$F72)+$S72*(1-$G72))*((1+Inputs!$D$7)^AL$2))),((_xlfn.WEIBULL.DIST(AL$2,$M72,$L72,FALSE)*($T72*(1-$F72)+$S72*(1-$G72))*((1+Inputs!$D$7)^AL$2))))))</f>
        <v>349.96742092708956</v>
      </c>
      <c r="AM72" s="88">
        <f>$E72*IF(AM$2&gt;Inputs!$D$5,0,IF(AM$2&gt;VLOOKUP($H72,Lists!$P$3:$Q$7,2),IF($N72=Lists!$K$3,IF($L72&lt;1,(($U72/$L72)*((1+Inputs!$D$7)^AM$2)),((INT(AM$2/$L72)-INT((AM$2-1)/$L72))*$U72*((1+Inputs!$D$7)^AM$2))),(_xlfn.WEIBULL.DIST(AM$2,$M72,$L72,FALSE)*$U72*((1+Inputs!$D$7)^AM$2))),IF($N72=Lists!$K$3,IF($L72&lt;1,((($T72*(1-$F72)+$S72*(1-$G72))/$L72)*((1+Inputs!$D$7)^AM$2)),((INT(AM$2/$L72)-INT((AM$2-1)/$L72))*($T72*(1-$F72)+$S72*(1-$G72))*((1+Inputs!$D$7)^AM$2))),((_xlfn.WEIBULL.DIST(AM$2,$M72,$L72,FALSE)*($T72*(1-$F72)+$S72*(1-$G72))*((1+Inputs!$D$7)^AM$2))))))</f>
        <v>356.96676934563135</v>
      </c>
      <c r="AN72" s="88">
        <f>$E72*IF(AN$2&gt;Inputs!$D$5,0,IF(AN$2&gt;VLOOKUP($H72,Lists!$P$3:$Q$7,2),IF($N72=Lists!$K$3,IF($L72&lt;1,(($U72/$L72)*((1+Inputs!$D$7)^AN$2)),((INT(AN$2/$L72)-INT((AN$2-1)/$L72))*$U72*((1+Inputs!$D$7)^AN$2))),(_xlfn.WEIBULL.DIST(AN$2,$M72,$L72,FALSE)*$U72*((1+Inputs!$D$7)^AN$2))),IF($N72=Lists!$K$3,IF($L72&lt;1,((($T72*(1-$F72)+$S72*(1-$G72))/$L72)*((1+Inputs!$D$7)^AN$2)),((INT(AN$2/$L72)-INT((AN$2-1)/$L72))*($T72*(1-$F72)+$S72*(1-$G72))*((1+Inputs!$D$7)^AN$2))),((_xlfn.WEIBULL.DIST(AN$2,$M72,$L72,FALSE)*($T72*(1-$F72)+$S72*(1-$G72))*((1+Inputs!$D$7)^AN$2))))))</f>
        <v>364.106104732544</v>
      </c>
      <c r="AO72" s="88">
        <f>$E72*IF(AO$2&gt;Inputs!$D$5,0,IF(AO$2&gt;VLOOKUP($H72,Lists!$P$3:$Q$7,2),IF($N72=Lists!$K$3,IF($L72&lt;1,(($U72/$L72)*((1+Inputs!$D$7)^AO$2)),((INT(AO$2/$L72)-INT((AO$2-1)/$L72))*$U72*((1+Inputs!$D$7)^AO$2))),(_xlfn.WEIBULL.DIST(AO$2,$M72,$L72,FALSE)*$U72*((1+Inputs!$D$7)^AO$2))),IF($N72=Lists!$K$3,IF($L72&lt;1,((($T72*(1-$F72)+$S72*(1-$G72))/$L72)*((1+Inputs!$D$7)^AO$2)),((INT(AO$2/$L72)-INT((AO$2-1)/$L72))*($T72*(1-$F72)+$S72*(1-$G72))*((1+Inputs!$D$7)^AO$2))),((_xlfn.WEIBULL.DIST(AO$2,$M72,$L72,FALSE)*($T72*(1-$F72)+$S72*(1-$G72))*((1+Inputs!$D$7)^AO$2))))))</f>
        <v>371.38822682719479</v>
      </c>
      <c r="AP72" s="88">
        <f>$E72*IF(AP$2&gt;Inputs!$D$5,0,IF(AP$2&gt;VLOOKUP($H72,Lists!$P$3:$Q$7,2),IF($N72=Lists!$K$3,IF($L72&lt;1,(($U72/$L72)*((1+Inputs!$D$7)^AP$2)),((INT(AP$2/$L72)-INT((AP$2-1)/$L72))*$U72*((1+Inputs!$D$7)^AP$2))),(_xlfn.WEIBULL.DIST(AP$2,$M72,$L72,FALSE)*$U72*((1+Inputs!$D$7)^AP$2))),IF($N72=Lists!$K$3,IF($L72&lt;1,((($T72*(1-$F72)+$S72*(1-$G72))/$L72)*((1+Inputs!$D$7)^AP$2)),((INT(AP$2/$L72)-INT((AP$2-1)/$L72))*($T72*(1-$F72)+$S72*(1-$G72))*((1+Inputs!$D$7)^AP$2))),((_xlfn.WEIBULL.DIST(AP$2,$M72,$L72,FALSE)*($T72*(1-$F72)+$S72*(1-$G72))*((1+Inputs!$D$7)^AP$2))))))</f>
        <v>378.81599136373876</v>
      </c>
      <c r="AQ72" s="88">
        <f>$E72*IF(AQ$2&gt;Inputs!$D$5,0,IF(AQ$2&gt;VLOOKUP($H72,Lists!$P$3:$Q$7,2),IF($N72=Lists!$K$3,IF($L72&lt;1,(($U72/$L72)*((1+Inputs!$D$7)^AQ$2)),((INT(AQ$2/$L72)-INT((AQ$2-1)/$L72))*$U72*((1+Inputs!$D$7)^AQ$2))),(_xlfn.WEIBULL.DIST(AQ$2,$M72,$L72,FALSE)*$U72*((1+Inputs!$D$7)^AQ$2))),IF($N72=Lists!$K$3,IF($L72&lt;1,((($T72*(1-$F72)+$S72*(1-$G72))/$L72)*((1+Inputs!$D$7)^AQ$2)),((INT(AQ$2/$L72)-INT((AQ$2-1)/$L72))*($T72*(1-$F72)+$S72*(1-$G72))*((1+Inputs!$D$7)^AQ$2))),((_xlfn.WEIBULL.DIST(AQ$2,$M72,$L72,FALSE)*($T72*(1-$F72)+$S72*(1-$G72))*((1+Inputs!$D$7)^AQ$2))))))</f>
        <v>386.39231119101356</v>
      </c>
      <c r="AR72" s="88">
        <f>$E72*IF(AR$2&gt;Inputs!$D$5,0,IF(AR$2&gt;VLOOKUP($H72,Lists!$P$3:$Q$7,2),IF($N72=Lists!$K$3,IF($L72&lt;1,(($U72/$L72)*((1+Inputs!$D$7)^AR$2)),((INT(AR$2/$L72)-INT((AR$2-1)/$L72))*$U72*((1+Inputs!$D$7)^AR$2))),(_xlfn.WEIBULL.DIST(AR$2,$M72,$L72,FALSE)*$U72*((1+Inputs!$D$7)^AR$2))),IF($N72=Lists!$K$3,IF($L72&lt;1,((($T72*(1-$F72)+$S72*(1-$G72))/$L72)*((1+Inputs!$D$7)^AR$2)),((INT(AR$2/$L72)-INT((AR$2-1)/$L72))*($T72*(1-$F72)+$S72*(1-$G72))*((1+Inputs!$D$7)^AR$2))),((_xlfn.WEIBULL.DIST(AR$2,$M72,$L72,FALSE)*($T72*(1-$F72)+$S72*(1-$G72))*((1+Inputs!$D$7)^AR$2))))))</f>
        <v>394.12015741483378</v>
      </c>
      <c r="AS72" s="88">
        <f>$E72*IF(AS$2&gt;Inputs!$D$5,0,IF(AS$2&gt;VLOOKUP($H72,Lists!$P$3:$Q$7,2),IF($N72=Lists!$K$3,IF($L72&lt;1,(($U72/$L72)*((1+Inputs!$D$7)^AS$2)),((INT(AS$2/$L72)-INT((AS$2-1)/$L72))*$U72*((1+Inputs!$D$7)^AS$2))),(_xlfn.WEIBULL.DIST(AS$2,$M72,$L72,FALSE)*$U72*((1+Inputs!$D$7)^AS$2))),IF($N72=Lists!$K$3,IF($L72&lt;1,((($T72*(1-$F72)+$S72*(1-$G72))/$L72)*((1+Inputs!$D$7)^AS$2)),((INT(AS$2/$L72)-INT((AS$2-1)/$L72))*($T72*(1-$F72)+$S72*(1-$G72))*((1+Inputs!$D$7)^AS$2))),((_xlfn.WEIBULL.DIST(AS$2,$M72,$L72,FALSE)*($T72*(1-$F72)+$S72*(1-$G72))*((1+Inputs!$D$7)^AS$2))))))</f>
        <v>402.00256056313043</v>
      </c>
      <c r="AT72" s="88">
        <f>$E72*IF(AT$2&gt;Inputs!$D$5,0,IF(AT$2&gt;VLOOKUP($H72,Lists!$P$3:$Q$7,2),IF($N72=Lists!$K$3,IF($L72&lt;1,(($U72/$L72)*((1+Inputs!$D$7)^AT$2)),((INT(AT$2/$L72)-INT((AT$2-1)/$L72))*$U72*((1+Inputs!$D$7)^AT$2))),(_xlfn.WEIBULL.DIST(AT$2,$M72,$L72,FALSE)*$U72*((1+Inputs!$D$7)^AT$2))),IF($N72=Lists!$K$3,IF($L72&lt;1,((($T72*(1-$F72)+$S72*(1-$G72))/$L72)*((1+Inputs!$D$7)^AT$2)),((INT(AT$2/$L72)-INT((AT$2-1)/$L72))*($T72*(1-$F72)+$S72*(1-$G72))*((1+Inputs!$D$7)^AT$2))),((_xlfn.WEIBULL.DIST(AT$2,$M72,$L72,FALSE)*($T72*(1-$F72)+$S72*(1-$G72))*((1+Inputs!$D$7)^AT$2))))))</f>
        <v>410.04261177439309</v>
      </c>
      <c r="AU72" s="88">
        <f>$E72*IF(AU$2&gt;Inputs!$D$5,0,IF(AU$2&gt;VLOOKUP($H72,Lists!$P$3:$Q$7,2),IF($N72=Lists!$K$3,IF($L72&lt;1,(($U72/$L72)*((1+Inputs!$D$7)^AU$2)),((INT(AU$2/$L72)-INT((AU$2-1)/$L72))*$U72*((1+Inputs!$D$7)^AU$2))),(_xlfn.WEIBULL.DIST(AU$2,$M72,$L72,FALSE)*$U72*((1+Inputs!$D$7)^AU$2))),IF($N72=Lists!$K$3,IF($L72&lt;1,((($T72*(1-$F72)+$S72*(1-$G72))/$L72)*((1+Inputs!$D$7)^AU$2)),((INT(AU$2/$L72)-INT((AU$2-1)/$L72))*($T72*(1-$F72)+$S72*(1-$G72))*((1+Inputs!$D$7)^AU$2))),((_xlfn.WEIBULL.DIST(AU$2,$M72,$L72,FALSE)*($T72*(1-$F72)+$S72*(1-$G72))*((1+Inputs!$D$7)^AU$2))))))</f>
        <v>418.24346400988094</v>
      </c>
      <c r="AV72" s="88">
        <f>$E72*IF(AV$2&gt;Inputs!$D$5,0,IF(AV$2&gt;VLOOKUP($H72,Lists!$P$3:$Q$7,2),IF($N72=Lists!$K$3,IF($L72&lt;1,(($U72/$L72)*((1+Inputs!$D$7)^AV$2)),((INT(AV$2/$L72)-INT((AV$2-1)/$L72))*$U72*((1+Inputs!$D$7)^AV$2))),(_xlfn.WEIBULL.DIST(AV$2,$M72,$L72,FALSE)*$U72*((1+Inputs!$D$7)^AV$2))),IF($N72=Lists!$K$3,IF($L72&lt;1,((($T72*(1-$F72)+$S72*(1-$G72))/$L72)*((1+Inputs!$D$7)^AV$2)),((INT(AV$2/$L72)-INT((AV$2-1)/$L72))*($T72*(1-$F72)+$S72*(1-$G72))*((1+Inputs!$D$7)^AV$2))),((_xlfn.WEIBULL.DIST(AV$2,$M72,$L72,FALSE)*($T72*(1-$F72)+$S72*(1-$G72))*((1+Inputs!$D$7)^AV$2))))))</f>
        <v>426.60833329007858</v>
      </c>
      <c r="AW72" s="88">
        <f>$E72*IF(AW$2&gt;Inputs!$D$5,0,IF(AW$2&gt;VLOOKUP($H72,Lists!$P$3:$Q$7,2),IF($N72=Lists!$K$3,IF($L72&lt;1,(($U72/$L72)*((1+Inputs!$D$7)^AW$2)),((INT(AW$2/$L72)-INT((AW$2-1)/$L72))*$U72*((1+Inputs!$D$7)^AW$2))),(_xlfn.WEIBULL.DIST(AW$2,$M72,$L72,FALSE)*$U72*((1+Inputs!$D$7)^AW$2))),IF($N72=Lists!$K$3,IF($L72&lt;1,((($T72*(1-$F72)+$S72*(1-$G72))/$L72)*((1+Inputs!$D$7)^AW$2)),((INT(AW$2/$L72)-INT((AW$2-1)/$L72))*($T72*(1-$F72)+$S72*(1-$G72))*((1+Inputs!$D$7)^AW$2))),((_xlfn.WEIBULL.DIST(AW$2,$M72,$L72,FALSE)*($T72*(1-$F72)+$S72*(1-$G72))*((1+Inputs!$D$7)^AW$2))))))</f>
        <v>435.14049995588005</v>
      </c>
      <c r="AX72" s="88">
        <f>$E72*IF(AX$2&gt;Inputs!$D$5,0,IF(AX$2&gt;VLOOKUP($H72,Lists!$P$3:$Q$7,2),IF($N72=Lists!$K$3,IF($L72&lt;1,(($U72/$L72)*((1+Inputs!$D$7)^AX$2)),((INT(AX$2/$L72)-INT((AX$2-1)/$L72))*$U72*((1+Inputs!$D$7)^AX$2))),(_xlfn.WEIBULL.DIST(AX$2,$M72,$L72,FALSE)*$U72*((1+Inputs!$D$7)^AX$2))),IF($N72=Lists!$K$3,IF($L72&lt;1,((($T72*(1-$F72)+$S72*(1-$G72))/$L72)*((1+Inputs!$D$7)^AX$2)),((INT(AX$2/$L72)-INT((AX$2-1)/$L72))*($T72*(1-$F72)+$S72*(1-$G72))*((1+Inputs!$D$7)^AX$2))),((_xlfn.WEIBULL.DIST(AX$2,$M72,$L72,FALSE)*($T72*(1-$F72)+$S72*(1-$G72))*((1+Inputs!$D$7)^AX$2))))))</f>
        <v>443.84330995499766</v>
      </c>
      <c r="AY72" s="88">
        <f>$E72*IF(AY$2&gt;Inputs!$D$5,0,IF(AY$2&gt;VLOOKUP($H72,Lists!$P$3:$Q$7,2),IF($N72=Lists!$K$3,IF($L72&lt;1,(($U72/$L72)*((1+Inputs!$D$7)^AY$2)),((INT(AY$2/$L72)-INT((AY$2-1)/$L72))*$U72*((1+Inputs!$D$7)^AY$2))),(_xlfn.WEIBULL.DIST(AY$2,$M72,$L72,FALSE)*$U72*((1+Inputs!$D$7)^AY$2))),IF($N72=Lists!$K$3,IF($L72&lt;1,((($T72*(1-$F72)+$S72*(1-$G72))/$L72)*((1+Inputs!$D$7)^AY$2)),((INT(AY$2/$L72)-INT((AY$2-1)/$L72))*($T72*(1-$F72)+$S72*(1-$G72))*((1+Inputs!$D$7)^AY$2))),((_xlfn.WEIBULL.DIST(AY$2,$M72,$L72,FALSE)*($T72*(1-$F72)+$S72*(1-$G72))*((1+Inputs!$D$7)^AY$2))))))</f>
        <v>452.72017615409766</v>
      </c>
      <c r="AZ72" s="88">
        <f>$E72*IF(AZ$2&gt;Inputs!$D$5,0,IF(AZ$2&gt;VLOOKUP($H72,Lists!$P$3:$Q$7,2),IF($N72=Lists!$K$3,IF($L72&lt;1,(($U72/$L72)*((1+Inputs!$D$7)^AZ$2)),((INT(AZ$2/$L72)-INT((AZ$2-1)/$L72))*$U72*((1+Inputs!$D$7)^AZ$2))),(_xlfn.WEIBULL.DIST(AZ$2,$M72,$L72,FALSE)*$U72*((1+Inputs!$D$7)^AZ$2))),IF($N72=Lists!$K$3,IF($L72&lt;1,((($T72*(1-$F72)+$S72*(1-$G72))/$L72)*((1+Inputs!$D$7)^AZ$2)),((INT(AZ$2/$L72)-INT((AZ$2-1)/$L72))*($T72*(1-$F72)+$S72*(1-$G72))*((1+Inputs!$D$7)^AZ$2))),((_xlfn.WEIBULL.DIST(AZ$2,$M72,$L72,FALSE)*($T72*(1-$F72)+$S72*(1-$G72))*((1+Inputs!$D$7)^AZ$2))))))</f>
        <v>0</v>
      </c>
      <c r="BA72" s="88">
        <f>$E72*IF(BA$2&gt;Inputs!$D$5,0,IF(BA$2&gt;VLOOKUP($H72,Lists!$P$3:$Q$7,2),IF($N72=Lists!$K$3,IF($L72&lt;1,(($U72/$L72)*((1+Inputs!$D$7)^BA$2)),((INT(BA$2/$L72)-INT((BA$2-1)/$L72))*$U72*((1+Inputs!$D$7)^BA$2))),(_xlfn.WEIBULL.DIST(BA$2,$M72,$L72,FALSE)*$U72*((1+Inputs!$D$7)^BA$2))),IF($N72=Lists!$K$3,IF($L72&lt;1,((($T72*(1-$F72)+$S72*(1-$G72))/$L72)*((1+Inputs!$D$7)^BA$2)),((INT(BA$2/$L72)-INT((BA$2-1)/$L72))*($T72*(1-$F72)+$S72*(1-$G72))*((1+Inputs!$D$7)^BA$2))),((_xlfn.WEIBULL.DIST(BA$2,$M72,$L72,FALSE)*($T72*(1-$F72)+$S72*(1-$G72))*((1+Inputs!$D$7)^BA$2))))))</f>
        <v>0</v>
      </c>
      <c r="BB72" s="88">
        <f>$E72*IF(BB$2&gt;Inputs!$D$5,0,IF(BB$2&gt;VLOOKUP($H72,Lists!$P$3:$Q$7,2),IF($N72=Lists!$K$3,IF($L72&lt;1,(($U72/$L72)*((1+Inputs!$D$7)^BB$2)),((INT(BB$2/$L72)-INT((BB$2-1)/$L72))*$U72*((1+Inputs!$D$7)^BB$2))),(_xlfn.WEIBULL.DIST(BB$2,$M72,$L72,FALSE)*$U72*((1+Inputs!$D$7)^BB$2))),IF($N72=Lists!$K$3,IF($L72&lt;1,((($T72*(1-$F72)+$S72*(1-$G72))/$L72)*((1+Inputs!$D$7)^BB$2)),((INT(BB$2/$L72)-INT((BB$2-1)/$L72))*($T72*(1-$F72)+$S72*(1-$G72))*((1+Inputs!$D$7)^BB$2))),((_xlfn.WEIBULL.DIST(BB$2,$M72,$L72,FALSE)*($T72*(1-$F72)+$S72*(1-$G72))*((1+Inputs!$D$7)^BB$2))))))</f>
        <v>0</v>
      </c>
      <c r="BC72" s="88">
        <f>$E72*IF(BC$2&gt;Inputs!$D$5,0,IF(BC$2&gt;VLOOKUP($H72,Lists!$P$3:$Q$7,2),IF($N72=Lists!$K$3,IF($L72&lt;1,(($U72/$L72)*((1+Inputs!$D$7)^BC$2)),((INT(BC$2/$L72)-INT((BC$2-1)/$L72))*$U72*((1+Inputs!$D$7)^BC$2))),(_xlfn.WEIBULL.DIST(BC$2,$M72,$L72,FALSE)*$U72*((1+Inputs!$D$7)^BC$2))),IF($N72=Lists!$K$3,IF($L72&lt;1,((($T72*(1-$F72)+$S72*(1-$G72))/$L72)*((1+Inputs!$D$7)^BC$2)),((INT(BC$2/$L72)-INT((BC$2-1)/$L72))*($T72*(1-$F72)+$S72*(1-$G72))*((1+Inputs!$D$7)^BC$2))),((_xlfn.WEIBULL.DIST(BC$2,$M72,$L72,FALSE)*($T72*(1-$F72)+$S72*(1-$G72))*((1+Inputs!$D$7)^BC$2))))))</f>
        <v>0</v>
      </c>
      <c r="BD72" s="88">
        <f>$E72*IF(BD$2&gt;Inputs!$D$5,0,IF(BD$2&gt;VLOOKUP($H72,Lists!$P$3:$Q$7,2),IF($N72=Lists!$K$3,IF($L72&lt;1,(($U72/$L72)*((1+Inputs!$D$7)^BD$2)),((INT(BD$2/$L72)-INT((BD$2-1)/$L72))*$U72*((1+Inputs!$D$7)^BD$2))),(_xlfn.WEIBULL.DIST(BD$2,$M72,$L72,FALSE)*$U72*((1+Inputs!$D$7)^BD$2))),IF($N72=Lists!$K$3,IF($L72&lt;1,((($T72*(1-$F72)+$S72*(1-$G72))/$L72)*((1+Inputs!$D$7)^BD$2)),((INT(BD$2/$L72)-INT((BD$2-1)/$L72))*($T72*(1-$F72)+$S72*(1-$G72))*((1+Inputs!$D$7)^BD$2))),((_xlfn.WEIBULL.DIST(BD$2,$M72,$L72,FALSE)*($T72*(1-$F72)+$S72*(1-$G72))*((1+Inputs!$D$7)^BD$2))))))</f>
        <v>0</v>
      </c>
      <c r="BE72" s="88">
        <f>$E72*IF(BE$2&gt;Inputs!$D$5,0,IF(BE$2&gt;VLOOKUP($H72,Lists!$P$3:$Q$7,2),IF($N72=Lists!$K$3,IF($L72&lt;1,(($U72/$L72)*((1+Inputs!$D$7)^BE$2)),((INT(BE$2/$L72)-INT((BE$2-1)/$L72))*$U72*((1+Inputs!$D$7)^BE$2))),(_xlfn.WEIBULL.DIST(BE$2,$M72,$L72,FALSE)*$U72*((1+Inputs!$D$7)^BE$2))),IF($N72=Lists!$K$3,IF($L72&lt;1,((($T72*(1-$F72)+$S72*(1-$G72))/$L72)*((1+Inputs!$D$7)^BE$2)),((INT(BE$2/$L72)-INT((BE$2-1)/$L72))*($T72*(1-$F72)+$S72*(1-$G72))*((1+Inputs!$D$7)^BE$2))),((_xlfn.WEIBULL.DIST(BE$2,$M72,$L72,FALSE)*($T72*(1-$F72)+$S72*(1-$G72))*((1+Inputs!$D$7)^BE$2))))))</f>
        <v>0</v>
      </c>
      <c r="BF72" s="88">
        <f>$E72*IF(BF$2&gt;Inputs!$D$5,0,IF(BF$2&gt;VLOOKUP($H72,Lists!$P$3:$Q$7,2),IF($N72=Lists!$K$3,IF($L72&lt;1,(($U72/$L72)*((1+Inputs!$D$7)^BF$2)),((INT(BF$2/$L72)-INT((BF$2-1)/$L72))*$U72*((1+Inputs!$D$7)^BF$2))),(_xlfn.WEIBULL.DIST(BF$2,$M72,$L72,FALSE)*$U72*((1+Inputs!$D$7)^BF$2))),IF($N72=Lists!$K$3,IF($L72&lt;1,((($T72*(1-$F72)+$S72*(1-$G72))/$L72)*((1+Inputs!$D$7)^BF$2)),((INT(BF$2/$L72)-INT((BF$2-1)/$L72))*($T72*(1-$F72)+$S72*(1-$G72))*((1+Inputs!$D$7)^BF$2))),((_xlfn.WEIBULL.DIST(BF$2,$M72,$L72,FALSE)*($T72*(1-$F72)+$S72*(1-$G72))*((1+Inputs!$D$7)^BF$2))))))</f>
        <v>0</v>
      </c>
      <c r="BG72" s="88">
        <f>$E72*IF(BG$2&gt;Inputs!$D$5,0,IF(BG$2&gt;VLOOKUP($H72,Lists!$P$3:$Q$7,2),IF($N72=Lists!$K$3,IF($L72&lt;1,(($U72/$L72)*((1+Inputs!$D$7)^BG$2)),((INT(BG$2/$L72)-INT((BG$2-1)/$L72))*$U72*((1+Inputs!$D$7)^BG$2))),(_xlfn.WEIBULL.DIST(BG$2,$M72,$L72,FALSE)*$U72*((1+Inputs!$D$7)^BG$2))),IF($N72=Lists!$K$3,IF($L72&lt;1,((($T72*(1-$F72)+$S72*(1-$G72))/$L72)*((1+Inputs!$D$7)^BG$2)),((INT(BG$2/$L72)-INT((BG$2-1)/$L72))*($T72*(1-$F72)+$S72*(1-$G72))*((1+Inputs!$D$7)^BG$2))),((_xlfn.WEIBULL.DIST(BG$2,$M72,$L72,FALSE)*($T72*(1-$F72)+$S72*(1-$G72))*((1+Inputs!$D$7)^BG$2))))))</f>
        <v>0</v>
      </c>
      <c r="BH72" s="88">
        <f>$E72*IF(BH$2&gt;Inputs!$D$5,0,IF(BH$2&gt;VLOOKUP($H72,Lists!$P$3:$Q$7,2),IF($N72=Lists!$K$3,IF($L72&lt;1,(($U72/$L72)*((1+Inputs!$D$7)^BH$2)),((INT(BH$2/$L72)-INT((BH$2-1)/$L72))*$U72*((1+Inputs!$D$7)^BH$2))),(_xlfn.WEIBULL.DIST(BH$2,$M72,$L72,FALSE)*$U72*((1+Inputs!$D$7)^BH$2))),IF($N72=Lists!$K$3,IF($L72&lt;1,((($T72*(1-$F72)+$S72*(1-$G72))/$L72)*((1+Inputs!$D$7)^BH$2)),((INT(BH$2/$L72)-INT((BH$2-1)/$L72))*($T72*(1-$F72)+$S72*(1-$G72))*((1+Inputs!$D$7)^BH$2))),((_xlfn.WEIBULL.DIST(BH$2,$M72,$L72,FALSE)*($T72*(1-$F72)+$S72*(1-$G72))*((1+Inputs!$D$7)^BH$2))))))</f>
        <v>0</v>
      </c>
      <c r="BI72" s="88">
        <f>$E72*IF(BI$2&gt;Inputs!$D$5,0,IF(BI$2&gt;VLOOKUP($H72,Lists!$P$3:$Q$7,2),IF($N72=Lists!$K$3,IF($L72&lt;1,(($U72/$L72)*((1+Inputs!$D$7)^BI$2)),((INT(BI$2/$L72)-INT((BI$2-1)/$L72))*$U72*((1+Inputs!$D$7)^BI$2))),(_xlfn.WEIBULL.DIST(BI$2,$M72,$L72,FALSE)*$U72*((1+Inputs!$D$7)^BI$2))),IF($N72=Lists!$K$3,IF($L72&lt;1,((($T72*(1-$F72)+$S72*(1-$G72))/$L72)*((1+Inputs!$D$7)^BI$2)),((INT(BI$2/$L72)-INT((BI$2-1)/$L72))*($T72*(1-$F72)+$S72*(1-$G72))*((1+Inputs!$D$7)^BI$2))),((_xlfn.WEIBULL.DIST(BI$2,$M72,$L72,FALSE)*($T72*(1-$F72)+$S72*(1-$G72))*((1+Inputs!$D$7)^BI$2))))))</f>
        <v>0</v>
      </c>
      <c r="BJ72" s="88">
        <f>$E72*IF(BJ$2&gt;Inputs!$D$5,0,IF(BJ$2&gt;VLOOKUP($H72,Lists!$P$3:$Q$7,2),IF($N72=Lists!$K$3,IF($L72&lt;1,(($U72/$L72)*((1+Inputs!$D$7)^BJ$2)),((INT(BJ$2/$L72)-INT((BJ$2-1)/$L72))*$U72*((1+Inputs!$D$7)^BJ$2))),(_xlfn.WEIBULL.DIST(BJ$2,$M72,$L72,FALSE)*$U72*((1+Inputs!$D$7)^BJ$2))),IF($N72=Lists!$K$3,IF($L72&lt;1,((($T72*(1-$F72)+$S72*(1-$G72))/$L72)*((1+Inputs!$D$7)^BJ$2)),((INT(BJ$2/$L72)-INT((BJ$2-1)/$L72))*($T72*(1-$F72)+$S72*(1-$G72))*((1+Inputs!$D$7)^BJ$2))),((_xlfn.WEIBULL.DIST(BJ$2,$M72,$L72,FALSE)*($T72*(1-$F72)+$S72*(1-$G72))*((1+Inputs!$D$7)^BJ$2))))))</f>
        <v>0</v>
      </c>
      <c r="BK72" s="88">
        <f>$E72*IF(BK$2&gt;Inputs!$D$5,0,IF(BK$2&gt;VLOOKUP($H72,Lists!$P$3:$Q$7,2),IF($N72=Lists!$K$3,IF($L72&lt;1,(($U72/$L72)*((1+Inputs!$D$7)^BK$2)),((INT(BK$2/$L72)-INT((BK$2-1)/$L72))*$U72*((1+Inputs!$D$7)^BK$2))),(_xlfn.WEIBULL.DIST(BK$2,$M72,$L72,FALSE)*$U72*((1+Inputs!$D$7)^BK$2))),IF($N72=Lists!$K$3,IF($L72&lt;1,((($T72*(1-$F72)+$S72*(1-$G72))/$L72)*((1+Inputs!$D$7)^BK$2)),((INT(BK$2/$L72)-INT((BK$2-1)/$L72))*($T72*(1-$F72)+$S72*(1-$G72))*((1+Inputs!$D$7)^BK$2))),((_xlfn.WEIBULL.DIST(BK$2,$M72,$L72,FALSE)*($T72*(1-$F72)+$S72*(1-$G72))*((1+Inputs!$D$7)^BK$2))))))</f>
        <v>0</v>
      </c>
      <c r="BL72" s="88">
        <f>$E72*IF(BL$2&gt;Inputs!$D$5,0,IF(BL$2&gt;VLOOKUP($H72,Lists!$P$3:$Q$7,2),IF($N72=Lists!$K$3,IF($L72&lt;1,(($U72/$L72)*((1+Inputs!$D$7)^BL$2)),((INT(BL$2/$L72)-INT((BL$2-1)/$L72))*$U72*((1+Inputs!$D$7)^BL$2))),(_xlfn.WEIBULL.DIST(BL$2,$M72,$L72,FALSE)*$U72*((1+Inputs!$D$7)^BL$2))),IF($N72=Lists!$K$3,IF($L72&lt;1,((($T72*(1-$F72)+$S72*(1-$G72))/$L72)*((1+Inputs!$D$7)^BL$2)),((INT(BL$2/$L72)-INT((BL$2-1)/$L72))*($T72*(1-$F72)+$S72*(1-$G72))*((1+Inputs!$D$7)^BL$2))),((_xlfn.WEIBULL.DIST(BL$2,$M72,$L72,FALSE)*($T72*(1-$F72)+$S72*(1-$G72))*((1+Inputs!$D$7)^BL$2))))))</f>
        <v>0</v>
      </c>
      <c r="BM72" s="88">
        <f>$E72*IF(BM$2&gt;Inputs!$D$5,0,IF(BM$2&gt;VLOOKUP($H72,Lists!$P$3:$Q$7,2),IF($N72=Lists!$K$3,IF($L72&lt;1,(($U72/$L72)*((1+Inputs!$D$7)^BM$2)),((INT(BM$2/$L72)-INT((BM$2-1)/$L72))*$U72*((1+Inputs!$D$7)^BM$2))),(_xlfn.WEIBULL.DIST(BM$2,$M72,$L72,FALSE)*$U72*((1+Inputs!$D$7)^BM$2))),IF($N72=Lists!$K$3,IF($L72&lt;1,((($T72*(1-$F72)+$S72*(1-$G72))/$L72)*((1+Inputs!$D$7)^BM$2)),((INT(BM$2/$L72)-INT((BM$2-1)/$L72))*($T72*(1-$F72)+$S72*(1-$G72))*((1+Inputs!$D$7)^BM$2))),((_xlfn.WEIBULL.DIST(BM$2,$M72,$L72,FALSE)*($T72*(1-$F72)+$S72*(1-$G72))*((1+Inputs!$D$7)^BM$2))))))</f>
        <v>0</v>
      </c>
      <c r="BN72" s="88">
        <f>$E72*IF(BN$2&gt;Inputs!$D$5,0,IF(BN$2&gt;VLOOKUP($H72,Lists!$P$3:$Q$7,2),IF($N72=Lists!$K$3,IF($L72&lt;1,(($U72/$L72)*((1+Inputs!$D$7)^BN$2)),((INT(BN$2/$L72)-INT((BN$2-1)/$L72))*$U72*((1+Inputs!$D$7)^BN$2))),(_xlfn.WEIBULL.DIST(BN$2,$M72,$L72,FALSE)*$U72*((1+Inputs!$D$7)^BN$2))),IF($N72=Lists!$K$3,IF($L72&lt;1,((($T72*(1-$F72)+$S72*(1-$G72))/$L72)*((1+Inputs!$D$7)^BN$2)),((INT(BN$2/$L72)-INT((BN$2-1)/$L72))*($T72*(1-$F72)+$S72*(1-$G72))*((1+Inputs!$D$7)^BN$2))),((_xlfn.WEIBULL.DIST(BN$2,$M72,$L72,FALSE)*($T72*(1-$F72)+$S72*(1-$G72))*((1+Inputs!$D$7)^BN$2))))))</f>
        <v>0</v>
      </c>
      <c r="BO72" s="64">
        <f>NPV(Inputs!$D$6,BQ72:DD72)</f>
        <v>3927.6855006452624</v>
      </c>
      <c r="BP72" s="67">
        <f t="shared" si="20"/>
        <v>1.8524882344909477E-3</v>
      </c>
      <c r="BQ72" s="88">
        <f>MAX(AA72,($E72*IF(BQ$2&gt;Inputs!$D$5,0,IF(BQ$2&gt;VLOOKUP($H72,Lists!$P$3:$Q$7,2),IF($N72=Lists!$K$3,IF($L72&lt;1,(($U72/$L72)*((1+Inputs!$D$7)^BQ$2)),((INT(BQ$2/$L72)-INT((BQ$2-1)/$L72))*$U72*((1+Inputs!$D$7)^BQ$2))),(Inputs!$D$8^((1-_xlfn.WEIBULL.DIST(BQ$2,$M72,$L72,FALSE))/_xlfn.WEIBULL.DIST(BQ$2,$M72,$L72,FALSE))*$U72*((1+Inputs!$D$7)^BQ$2))),IF($N72=Lists!$K$3,IF($L72&lt;1,((($T72*(1-$F72)+$S72*(1-$G72))/$L72)*((1+Inputs!$D$7)^BQ$2)),((INT(BQ$2/$L72)-INT((BQ$2-1)/$L72))*($T72*(1-$F72)+$S72*(1-$G72))*((1+Inputs!$D$7)^BQ$2))),((Inputs!$D$8^((1-_xlfn.WEIBULL.DIST(BQ$2,$M72,$L72,FALSE))/_xlfn.WEIBULL.DIST(BQ$2,$M72,$L72,FALSE))*($T72*(1-$F72)+$S72*(1-$G72))*((1+Inputs!$D$7)^BQ$2))))))))</f>
        <v>281.46586153846158</v>
      </c>
      <c r="BR72" s="88">
        <f>MAX(AB72,($E72*IF(BR$2&gt;Inputs!$D$5,0,IF(BR$2&gt;VLOOKUP($H72,Lists!$P$3:$Q$7,2),IF($N72=Lists!$K$3,IF($L72&lt;1,(($U72/$L72)*((1+Inputs!$D$7)^BR$2)),((INT(BR$2/$L72)-INT((BR$2-1)/$L72))*$U72*((1+Inputs!$D$7)^BR$2))),(Inputs!$D$8^((1-_xlfn.WEIBULL.DIST(BR$2,$M72,$L72,FALSE))/_xlfn.WEIBULL.DIST(BR$2,$M72,$L72,FALSE))*$U72*((1+Inputs!$D$7)^BR$2))),IF($N72=Lists!$K$3,IF($L72&lt;1,((($T72*(1-$F72)+$S72*(1-$G72))/$L72)*((1+Inputs!$D$7)^BR$2)),((INT(BR$2/$L72)-INT((BR$2-1)/$L72))*($T72*(1-$F72)+$S72*(1-$G72))*((1+Inputs!$D$7)^BR$2))),((Inputs!$D$8^((1-_xlfn.WEIBULL.DIST(BR$2,$M72,$L72,FALSE))/_xlfn.WEIBULL.DIST(BR$2,$M72,$L72,FALSE))*($T72*(1-$F72)+$S72*(1-$G72))*((1+Inputs!$D$7)^BR$2))))))))</f>
        <v>287.09517876923081</v>
      </c>
      <c r="BS72" s="88">
        <f>MAX(AC72,($E72*IF(BS$2&gt;Inputs!$D$5,0,IF(BS$2&gt;VLOOKUP($H72,Lists!$P$3:$Q$7,2),IF($N72=Lists!$K$3,IF($L72&lt;1,(($U72/$L72)*((1+Inputs!$D$7)^BS$2)),((INT(BS$2/$L72)-INT((BS$2-1)/$L72))*$U72*((1+Inputs!$D$7)^BS$2))),(Inputs!$D$8^((1-_xlfn.WEIBULL.DIST(BS$2,$M72,$L72,FALSE))/_xlfn.WEIBULL.DIST(BS$2,$M72,$L72,FALSE))*$U72*((1+Inputs!$D$7)^BS$2))),IF($N72=Lists!$K$3,IF($L72&lt;1,((($T72*(1-$F72)+$S72*(1-$G72))/$L72)*((1+Inputs!$D$7)^BS$2)),((INT(BS$2/$L72)-INT((BS$2-1)/$L72))*($T72*(1-$F72)+$S72*(1-$G72))*((1+Inputs!$D$7)^BS$2))),((Inputs!$D$8^((1-_xlfn.WEIBULL.DIST(BS$2,$M72,$L72,FALSE))/_xlfn.WEIBULL.DIST(BS$2,$M72,$L72,FALSE))*($T72*(1-$F72)+$S72*(1-$G72))*((1+Inputs!$D$7)^BS$2))))))))</f>
        <v>292.8370823446154</v>
      </c>
      <c r="BT72" s="88">
        <f>MAX(AD72,($E72*IF(BT$2&gt;Inputs!$D$5,0,IF(BT$2&gt;VLOOKUP($H72,Lists!$P$3:$Q$7,2),IF($N72=Lists!$K$3,IF($L72&lt;1,(($U72/$L72)*((1+Inputs!$D$7)^BT$2)),((INT(BT$2/$L72)-INT((BT$2-1)/$L72))*$U72*((1+Inputs!$D$7)^BT$2))),(Inputs!$D$8^((1-_xlfn.WEIBULL.DIST(BT$2,$M72,$L72,FALSE))/_xlfn.WEIBULL.DIST(BT$2,$M72,$L72,FALSE))*$U72*((1+Inputs!$D$7)^BT$2))),IF($N72=Lists!$K$3,IF($L72&lt;1,((($T72*(1-$F72)+$S72*(1-$G72))/$L72)*((1+Inputs!$D$7)^BT$2)),((INT(BT$2/$L72)-INT((BT$2-1)/$L72))*($T72*(1-$F72)+$S72*(1-$G72))*((1+Inputs!$D$7)^BT$2))),((Inputs!$D$8^((1-_xlfn.WEIBULL.DIST(BT$2,$M72,$L72,FALSE))/_xlfn.WEIBULL.DIST(BT$2,$M72,$L72,FALSE))*($T72*(1-$F72)+$S72*(1-$G72))*((1+Inputs!$D$7)^BT$2))))))))</f>
        <v>298.69382399150771</v>
      </c>
      <c r="BU72" s="88">
        <f>MAX(AE72,($E72*IF(BU$2&gt;Inputs!$D$5,0,IF(BU$2&gt;VLOOKUP($H72,Lists!$P$3:$Q$7,2),IF($N72=Lists!$K$3,IF($L72&lt;1,(($U72/$L72)*((1+Inputs!$D$7)^BU$2)),((INT(BU$2/$L72)-INT((BU$2-1)/$L72))*$U72*((1+Inputs!$D$7)^BU$2))),(Inputs!$D$8^((1-_xlfn.WEIBULL.DIST(BU$2,$M72,$L72,FALSE))/_xlfn.WEIBULL.DIST(BU$2,$M72,$L72,FALSE))*$U72*((1+Inputs!$D$7)^BU$2))),IF($N72=Lists!$K$3,IF($L72&lt;1,((($T72*(1-$F72)+$S72*(1-$G72))/$L72)*((1+Inputs!$D$7)^BU$2)),((INT(BU$2/$L72)-INT((BU$2-1)/$L72))*($T72*(1-$F72)+$S72*(1-$G72))*((1+Inputs!$D$7)^BU$2))),((Inputs!$D$8^((1-_xlfn.WEIBULL.DIST(BU$2,$M72,$L72,FALSE))/_xlfn.WEIBULL.DIST(BU$2,$M72,$L72,FALSE))*($T72*(1-$F72)+$S72*(1-$G72))*((1+Inputs!$D$7)^BU$2))))))))</f>
        <v>304.66770047133787</v>
      </c>
      <c r="BV72" s="88">
        <f>MAX(AF72,($E72*IF(BV$2&gt;Inputs!$D$5,0,IF(BV$2&gt;VLOOKUP($H72,Lists!$P$3:$Q$7,2),IF($N72=Lists!$K$3,IF($L72&lt;1,(($U72/$L72)*((1+Inputs!$D$7)^BV$2)),((INT(BV$2/$L72)-INT((BV$2-1)/$L72))*$U72*((1+Inputs!$D$7)^BV$2))),(Inputs!$D$8^((1-_xlfn.WEIBULL.DIST(BV$2,$M72,$L72,FALSE))/_xlfn.WEIBULL.DIST(BV$2,$M72,$L72,FALSE))*$U72*((1+Inputs!$D$7)^BV$2))),IF($N72=Lists!$K$3,IF($L72&lt;1,((($T72*(1-$F72)+$S72*(1-$G72))/$L72)*((1+Inputs!$D$7)^BV$2)),((INT(BV$2/$L72)-INT((BV$2-1)/$L72))*($T72*(1-$F72)+$S72*(1-$G72))*((1+Inputs!$D$7)^BV$2))),((Inputs!$D$8^((1-_xlfn.WEIBULL.DIST(BV$2,$M72,$L72,FALSE))/_xlfn.WEIBULL.DIST(BV$2,$M72,$L72,FALSE))*($T72*(1-$F72)+$S72*(1-$G72))*((1+Inputs!$D$7)^BV$2))))))))</f>
        <v>310.76105448076464</v>
      </c>
      <c r="BW72" s="88">
        <f>MAX(AG72,($E72*IF(BW$2&gt;Inputs!$D$5,0,IF(BW$2&gt;VLOOKUP($H72,Lists!$P$3:$Q$7,2),IF($N72=Lists!$K$3,IF($L72&lt;1,(($U72/$L72)*((1+Inputs!$D$7)^BW$2)),((INT(BW$2/$L72)-INT((BW$2-1)/$L72))*$U72*((1+Inputs!$D$7)^BW$2))),(Inputs!$D$8^((1-_xlfn.WEIBULL.DIST(BW$2,$M72,$L72,FALSE))/_xlfn.WEIBULL.DIST(BW$2,$M72,$L72,FALSE))*$U72*((1+Inputs!$D$7)^BW$2))),IF($N72=Lists!$K$3,IF($L72&lt;1,((($T72*(1-$F72)+$S72*(1-$G72))/$L72)*((1+Inputs!$D$7)^BW$2)),((INT(BW$2/$L72)-INT((BW$2-1)/$L72))*($T72*(1-$F72)+$S72*(1-$G72))*((1+Inputs!$D$7)^BW$2))),((Inputs!$D$8^((1-_xlfn.WEIBULL.DIST(BW$2,$M72,$L72,FALSE))/_xlfn.WEIBULL.DIST(BW$2,$M72,$L72,FALSE))*($T72*(1-$F72)+$S72*(1-$G72))*((1+Inputs!$D$7)^BW$2))))))))</f>
        <v>316.97627557037987</v>
      </c>
      <c r="BX72" s="88">
        <f>MAX(AH72,($E72*IF(BX$2&gt;Inputs!$D$5,0,IF(BX$2&gt;VLOOKUP($H72,Lists!$P$3:$Q$7,2),IF($N72=Lists!$K$3,IF($L72&lt;1,(($U72/$L72)*((1+Inputs!$D$7)^BX$2)),((INT(BX$2/$L72)-INT((BX$2-1)/$L72))*$U72*((1+Inputs!$D$7)^BX$2))),(Inputs!$D$8^((1-_xlfn.WEIBULL.DIST(BX$2,$M72,$L72,FALSE))/_xlfn.WEIBULL.DIST(BX$2,$M72,$L72,FALSE))*$U72*((1+Inputs!$D$7)^BX$2))),IF($N72=Lists!$K$3,IF($L72&lt;1,((($T72*(1-$F72)+$S72*(1-$G72))/$L72)*((1+Inputs!$D$7)^BX$2)),((INT(BX$2/$L72)-INT((BX$2-1)/$L72))*($T72*(1-$F72)+$S72*(1-$G72))*((1+Inputs!$D$7)^BX$2))),((Inputs!$D$8^((1-_xlfn.WEIBULL.DIST(BX$2,$M72,$L72,FALSE))/_xlfn.WEIBULL.DIST(BX$2,$M72,$L72,FALSE))*($T72*(1-$F72)+$S72*(1-$G72))*((1+Inputs!$D$7)^BX$2))))))))</f>
        <v>323.31580108178747</v>
      </c>
      <c r="BY72" s="88">
        <f>MAX(AI72,($E72*IF(BY$2&gt;Inputs!$D$5,0,IF(BY$2&gt;VLOOKUP($H72,Lists!$P$3:$Q$7,2),IF($N72=Lists!$K$3,IF($L72&lt;1,(($U72/$L72)*((1+Inputs!$D$7)^BY$2)),((INT(BY$2/$L72)-INT((BY$2-1)/$L72))*$U72*((1+Inputs!$D$7)^BY$2))),(Inputs!$D$8^((1-_xlfn.WEIBULL.DIST(BY$2,$M72,$L72,FALSE))/_xlfn.WEIBULL.DIST(BY$2,$M72,$L72,FALSE))*$U72*((1+Inputs!$D$7)^BY$2))),IF($N72=Lists!$K$3,IF($L72&lt;1,((($T72*(1-$F72)+$S72*(1-$G72))/$L72)*((1+Inputs!$D$7)^BY$2)),((INT(BY$2/$L72)-INT((BY$2-1)/$L72))*($T72*(1-$F72)+$S72*(1-$G72))*((1+Inputs!$D$7)^BY$2))),((Inputs!$D$8^((1-_xlfn.WEIBULL.DIST(BY$2,$M72,$L72,FALSE))/_xlfn.WEIBULL.DIST(BY$2,$M72,$L72,FALSE))*($T72*(1-$F72)+$S72*(1-$G72))*((1+Inputs!$D$7)^BY$2))))))))</f>
        <v>329.78211710342327</v>
      </c>
      <c r="BZ72" s="88">
        <f>MAX(AJ72,($E72*IF(BZ$2&gt;Inputs!$D$5,0,IF(BZ$2&gt;VLOOKUP($H72,Lists!$P$3:$Q$7,2),IF($N72=Lists!$K$3,IF($L72&lt;1,(($U72/$L72)*((1+Inputs!$D$7)^BZ$2)),((INT(BZ$2/$L72)-INT((BZ$2-1)/$L72))*$U72*((1+Inputs!$D$7)^BZ$2))),(Inputs!$D$8^((1-_xlfn.WEIBULL.DIST(BZ$2,$M72,$L72,FALSE))/_xlfn.WEIBULL.DIST(BZ$2,$M72,$L72,FALSE))*$U72*((1+Inputs!$D$7)^BZ$2))),IF($N72=Lists!$K$3,IF($L72&lt;1,((($T72*(1-$F72)+$S72*(1-$G72))/$L72)*((1+Inputs!$D$7)^BZ$2)),((INT(BZ$2/$L72)-INT((BZ$2-1)/$L72))*($T72*(1-$F72)+$S72*(1-$G72))*((1+Inputs!$D$7)^BZ$2))),((Inputs!$D$8^((1-_xlfn.WEIBULL.DIST(BZ$2,$M72,$L72,FALSE))/_xlfn.WEIBULL.DIST(BZ$2,$M72,$L72,FALSE))*($T72*(1-$F72)+$S72*(1-$G72))*((1+Inputs!$D$7)^BZ$2))))))))</f>
        <v>336.37775944549173</v>
      </c>
      <c r="CA72" s="88">
        <f>MAX(AK72,($E72*IF(CA$2&gt;Inputs!$D$5,0,IF(CA$2&gt;VLOOKUP($H72,Lists!$P$3:$Q$7,2),IF($N72=Lists!$K$3,IF($L72&lt;1,(($U72/$L72)*((1+Inputs!$D$7)^CA$2)),((INT(CA$2/$L72)-INT((CA$2-1)/$L72))*$U72*((1+Inputs!$D$7)^CA$2))),(Inputs!$D$8^((1-_xlfn.WEIBULL.DIST(CA$2,$M72,$L72,FALSE))/_xlfn.WEIBULL.DIST(CA$2,$M72,$L72,FALSE))*$U72*((1+Inputs!$D$7)^CA$2))),IF($N72=Lists!$K$3,IF($L72&lt;1,((($T72*(1-$F72)+$S72*(1-$G72))/$L72)*((1+Inputs!$D$7)^CA$2)),((INT(CA$2/$L72)-INT((CA$2-1)/$L72))*($T72*(1-$F72)+$S72*(1-$G72))*((1+Inputs!$D$7)^CA$2))),((Inputs!$D$8^((1-_xlfn.WEIBULL.DIST(CA$2,$M72,$L72,FALSE))/_xlfn.WEIBULL.DIST(CA$2,$M72,$L72,FALSE))*($T72*(1-$F72)+$S72*(1-$G72))*((1+Inputs!$D$7)^CA$2))))))))</f>
        <v>343.10531463440151</v>
      </c>
      <c r="CB72" s="88">
        <f>MAX(AL72,($E72*IF(CB$2&gt;Inputs!$D$5,0,IF(CB$2&gt;VLOOKUP($H72,Lists!$P$3:$Q$7,2),IF($N72=Lists!$K$3,IF($L72&lt;1,(($U72/$L72)*((1+Inputs!$D$7)^CB$2)),((INT(CB$2/$L72)-INT((CB$2-1)/$L72))*$U72*((1+Inputs!$D$7)^CB$2))),(Inputs!$D$8^((1-_xlfn.WEIBULL.DIST(CB$2,$M72,$L72,FALSE))/_xlfn.WEIBULL.DIST(CB$2,$M72,$L72,FALSE))*$U72*((1+Inputs!$D$7)^CB$2))),IF($N72=Lists!$K$3,IF($L72&lt;1,((($T72*(1-$F72)+$S72*(1-$G72))/$L72)*((1+Inputs!$D$7)^CB$2)),((INT(CB$2/$L72)-INT((CB$2-1)/$L72))*($T72*(1-$F72)+$S72*(1-$G72))*((1+Inputs!$D$7)^CB$2))),((Inputs!$D$8^((1-_xlfn.WEIBULL.DIST(CB$2,$M72,$L72,FALSE))/_xlfn.WEIBULL.DIST(CB$2,$M72,$L72,FALSE))*($T72*(1-$F72)+$S72*(1-$G72))*((1+Inputs!$D$7)^CB$2))))))))</f>
        <v>349.96742092708956</v>
      </c>
      <c r="CC72" s="88">
        <f>MAX(AM72,($E72*IF(CC$2&gt;Inputs!$D$5,0,IF(CC$2&gt;VLOOKUP($H72,Lists!$P$3:$Q$7,2),IF($N72=Lists!$K$3,IF($L72&lt;1,(($U72/$L72)*((1+Inputs!$D$7)^CC$2)),((INT(CC$2/$L72)-INT((CC$2-1)/$L72))*$U72*((1+Inputs!$D$7)^CC$2))),(Inputs!$D$8^((1-_xlfn.WEIBULL.DIST(CC$2,$M72,$L72,FALSE))/_xlfn.WEIBULL.DIST(CC$2,$M72,$L72,FALSE))*$U72*((1+Inputs!$D$7)^CC$2))),IF($N72=Lists!$K$3,IF($L72&lt;1,((($T72*(1-$F72)+$S72*(1-$G72))/$L72)*((1+Inputs!$D$7)^CC$2)),((INT(CC$2/$L72)-INT((CC$2-1)/$L72))*($T72*(1-$F72)+$S72*(1-$G72))*((1+Inputs!$D$7)^CC$2))),((Inputs!$D$8^((1-_xlfn.WEIBULL.DIST(CC$2,$M72,$L72,FALSE))/_xlfn.WEIBULL.DIST(CC$2,$M72,$L72,FALSE))*($T72*(1-$F72)+$S72*(1-$G72))*((1+Inputs!$D$7)^CC$2))))))))</f>
        <v>356.96676934563135</v>
      </c>
      <c r="CD72" s="88">
        <f>MAX(AN72,($E72*IF(CD$2&gt;Inputs!$D$5,0,IF(CD$2&gt;VLOOKUP($H72,Lists!$P$3:$Q$7,2),IF($N72=Lists!$K$3,IF($L72&lt;1,(($U72/$L72)*((1+Inputs!$D$7)^CD$2)),((INT(CD$2/$L72)-INT((CD$2-1)/$L72))*$U72*((1+Inputs!$D$7)^CD$2))),(Inputs!$D$8^((1-_xlfn.WEIBULL.DIST(CD$2,$M72,$L72,FALSE))/_xlfn.WEIBULL.DIST(CD$2,$M72,$L72,FALSE))*$U72*((1+Inputs!$D$7)^CD$2))),IF($N72=Lists!$K$3,IF($L72&lt;1,((($T72*(1-$F72)+$S72*(1-$G72))/$L72)*((1+Inputs!$D$7)^CD$2)),((INT(CD$2/$L72)-INT((CD$2-1)/$L72))*($T72*(1-$F72)+$S72*(1-$G72))*((1+Inputs!$D$7)^CD$2))),((Inputs!$D$8^((1-_xlfn.WEIBULL.DIST(CD$2,$M72,$L72,FALSE))/_xlfn.WEIBULL.DIST(CD$2,$M72,$L72,FALSE))*($T72*(1-$F72)+$S72*(1-$G72))*((1+Inputs!$D$7)^CD$2))))))))</f>
        <v>364.106104732544</v>
      </c>
      <c r="CE72" s="88">
        <f>MAX(AO72,($E72*IF(CE$2&gt;Inputs!$D$5,0,IF(CE$2&gt;VLOOKUP($H72,Lists!$P$3:$Q$7,2),IF($N72=Lists!$K$3,IF($L72&lt;1,(($U72/$L72)*((1+Inputs!$D$7)^CE$2)),((INT(CE$2/$L72)-INT((CE$2-1)/$L72))*$U72*((1+Inputs!$D$7)^CE$2))),(Inputs!$D$8^((1-_xlfn.WEIBULL.DIST(CE$2,$M72,$L72,FALSE))/_xlfn.WEIBULL.DIST(CE$2,$M72,$L72,FALSE))*$U72*((1+Inputs!$D$7)^CE$2))),IF($N72=Lists!$K$3,IF($L72&lt;1,((($T72*(1-$F72)+$S72*(1-$G72))/$L72)*((1+Inputs!$D$7)^CE$2)),((INT(CE$2/$L72)-INT((CE$2-1)/$L72))*($T72*(1-$F72)+$S72*(1-$G72))*((1+Inputs!$D$7)^CE$2))),((Inputs!$D$8^((1-_xlfn.WEIBULL.DIST(CE$2,$M72,$L72,FALSE))/_xlfn.WEIBULL.DIST(CE$2,$M72,$L72,FALSE))*($T72*(1-$F72)+$S72*(1-$G72))*((1+Inputs!$D$7)^CE$2))))))))</f>
        <v>371.38822682719479</v>
      </c>
      <c r="CF72" s="88">
        <f>MAX(AP72,($E72*IF(CF$2&gt;Inputs!$D$5,0,IF(CF$2&gt;VLOOKUP($H72,Lists!$P$3:$Q$7,2),IF($N72=Lists!$K$3,IF($L72&lt;1,(($U72/$L72)*((1+Inputs!$D$7)^CF$2)),((INT(CF$2/$L72)-INT((CF$2-1)/$L72))*$U72*((1+Inputs!$D$7)^CF$2))),(Inputs!$D$8^((1-_xlfn.WEIBULL.DIST(CF$2,$M72,$L72,FALSE))/_xlfn.WEIBULL.DIST(CF$2,$M72,$L72,FALSE))*$U72*((1+Inputs!$D$7)^CF$2))),IF($N72=Lists!$K$3,IF($L72&lt;1,((($T72*(1-$F72)+$S72*(1-$G72))/$L72)*((1+Inputs!$D$7)^CF$2)),((INT(CF$2/$L72)-INT((CF$2-1)/$L72))*($T72*(1-$F72)+$S72*(1-$G72))*((1+Inputs!$D$7)^CF$2))),((Inputs!$D$8^((1-_xlfn.WEIBULL.DIST(CF$2,$M72,$L72,FALSE))/_xlfn.WEIBULL.DIST(CF$2,$M72,$L72,FALSE))*($T72*(1-$F72)+$S72*(1-$G72))*((1+Inputs!$D$7)^CF$2))))))))</f>
        <v>378.81599136373876</v>
      </c>
      <c r="CG72" s="88">
        <f>MAX(AQ72,($E72*IF(CG$2&gt;Inputs!$D$5,0,IF(CG$2&gt;VLOOKUP($H72,Lists!$P$3:$Q$7,2),IF($N72=Lists!$K$3,IF($L72&lt;1,(($U72/$L72)*((1+Inputs!$D$7)^CG$2)),((INT(CG$2/$L72)-INT((CG$2-1)/$L72))*$U72*((1+Inputs!$D$7)^CG$2))),(Inputs!$D$8^((1-_xlfn.WEIBULL.DIST(CG$2,$M72,$L72,FALSE))/_xlfn.WEIBULL.DIST(CG$2,$M72,$L72,FALSE))*$U72*((1+Inputs!$D$7)^CG$2))),IF($N72=Lists!$K$3,IF($L72&lt;1,((($T72*(1-$F72)+$S72*(1-$G72))/$L72)*((1+Inputs!$D$7)^CG$2)),((INT(CG$2/$L72)-INT((CG$2-1)/$L72))*($T72*(1-$F72)+$S72*(1-$G72))*((1+Inputs!$D$7)^CG$2))),((Inputs!$D$8^((1-_xlfn.WEIBULL.DIST(CG$2,$M72,$L72,FALSE))/_xlfn.WEIBULL.DIST(CG$2,$M72,$L72,FALSE))*($T72*(1-$F72)+$S72*(1-$G72))*((1+Inputs!$D$7)^CG$2))))))))</f>
        <v>386.39231119101356</v>
      </c>
      <c r="CH72" s="88">
        <f>MAX(AR72,($E72*IF(CH$2&gt;Inputs!$D$5,0,IF(CH$2&gt;VLOOKUP($H72,Lists!$P$3:$Q$7,2),IF($N72=Lists!$K$3,IF($L72&lt;1,(($U72/$L72)*((1+Inputs!$D$7)^CH$2)),((INT(CH$2/$L72)-INT((CH$2-1)/$L72))*$U72*((1+Inputs!$D$7)^CH$2))),(Inputs!$D$8^((1-_xlfn.WEIBULL.DIST(CH$2,$M72,$L72,FALSE))/_xlfn.WEIBULL.DIST(CH$2,$M72,$L72,FALSE))*$U72*((1+Inputs!$D$7)^CH$2))),IF($N72=Lists!$K$3,IF($L72&lt;1,((($T72*(1-$F72)+$S72*(1-$G72))/$L72)*((1+Inputs!$D$7)^CH$2)),((INT(CH$2/$L72)-INT((CH$2-1)/$L72))*($T72*(1-$F72)+$S72*(1-$G72))*((1+Inputs!$D$7)^CH$2))),((Inputs!$D$8^((1-_xlfn.WEIBULL.DIST(CH$2,$M72,$L72,FALSE))/_xlfn.WEIBULL.DIST(CH$2,$M72,$L72,FALSE))*($T72*(1-$F72)+$S72*(1-$G72))*((1+Inputs!$D$7)^CH$2))))))))</f>
        <v>394.12015741483378</v>
      </c>
      <c r="CI72" s="88">
        <f>MAX(AS72,($E72*IF(CI$2&gt;Inputs!$D$5,0,IF(CI$2&gt;VLOOKUP($H72,Lists!$P$3:$Q$7,2),IF($N72=Lists!$K$3,IF($L72&lt;1,(($U72/$L72)*((1+Inputs!$D$7)^CI$2)),((INT(CI$2/$L72)-INT((CI$2-1)/$L72))*$U72*((1+Inputs!$D$7)^CI$2))),(Inputs!$D$8^((1-_xlfn.WEIBULL.DIST(CI$2,$M72,$L72,FALSE))/_xlfn.WEIBULL.DIST(CI$2,$M72,$L72,FALSE))*$U72*((1+Inputs!$D$7)^CI$2))),IF($N72=Lists!$K$3,IF($L72&lt;1,((($T72*(1-$F72)+$S72*(1-$G72))/$L72)*((1+Inputs!$D$7)^CI$2)),((INT(CI$2/$L72)-INT((CI$2-1)/$L72))*($T72*(1-$F72)+$S72*(1-$G72))*((1+Inputs!$D$7)^CI$2))),((Inputs!$D$8^((1-_xlfn.WEIBULL.DIST(CI$2,$M72,$L72,FALSE))/_xlfn.WEIBULL.DIST(CI$2,$M72,$L72,FALSE))*($T72*(1-$F72)+$S72*(1-$G72))*((1+Inputs!$D$7)^CI$2))))))))</f>
        <v>402.00256056313043</v>
      </c>
      <c r="CJ72" s="88">
        <f>MAX(AT72,($E72*IF(CJ$2&gt;Inputs!$D$5,0,IF(CJ$2&gt;VLOOKUP($H72,Lists!$P$3:$Q$7,2),IF($N72=Lists!$K$3,IF($L72&lt;1,(($U72/$L72)*((1+Inputs!$D$7)^CJ$2)),((INT(CJ$2/$L72)-INT((CJ$2-1)/$L72))*$U72*((1+Inputs!$D$7)^CJ$2))),(Inputs!$D$8^((1-_xlfn.WEIBULL.DIST(CJ$2,$M72,$L72,FALSE))/_xlfn.WEIBULL.DIST(CJ$2,$M72,$L72,FALSE))*$U72*((1+Inputs!$D$7)^CJ$2))),IF($N72=Lists!$K$3,IF($L72&lt;1,((($T72*(1-$F72)+$S72*(1-$G72))/$L72)*((1+Inputs!$D$7)^CJ$2)),((INT(CJ$2/$L72)-INT((CJ$2-1)/$L72))*($T72*(1-$F72)+$S72*(1-$G72))*((1+Inputs!$D$7)^CJ$2))),((Inputs!$D$8^((1-_xlfn.WEIBULL.DIST(CJ$2,$M72,$L72,FALSE))/_xlfn.WEIBULL.DIST(CJ$2,$M72,$L72,FALSE))*($T72*(1-$F72)+$S72*(1-$G72))*((1+Inputs!$D$7)^CJ$2))))))))</f>
        <v>410.04261177439309</v>
      </c>
      <c r="CK72" s="88">
        <f>MAX(AU72,($E72*IF(CK$2&gt;Inputs!$D$5,0,IF(CK$2&gt;VLOOKUP($H72,Lists!$P$3:$Q$7,2),IF($N72=Lists!$K$3,IF($L72&lt;1,(($U72/$L72)*((1+Inputs!$D$7)^CK$2)),((INT(CK$2/$L72)-INT((CK$2-1)/$L72))*$U72*((1+Inputs!$D$7)^CK$2))),(Inputs!$D$8^((1-_xlfn.WEIBULL.DIST(CK$2,$M72,$L72,FALSE))/_xlfn.WEIBULL.DIST(CK$2,$M72,$L72,FALSE))*$U72*((1+Inputs!$D$7)^CK$2))),IF($N72=Lists!$K$3,IF($L72&lt;1,((($T72*(1-$F72)+$S72*(1-$G72))/$L72)*((1+Inputs!$D$7)^CK$2)),((INT(CK$2/$L72)-INT((CK$2-1)/$L72))*($T72*(1-$F72)+$S72*(1-$G72))*((1+Inputs!$D$7)^CK$2))),((Inputs!$D$8^((1-_xlfn.WEIBULL.DIST(CK$2,$M72,$L72,FALSE))/_xlfn.WEIBULL.DIST(CK$2,$M72,$L72,FALSE))*($T72*(1-$F72)+$S72*(1-$G72))*((1+Inputs!$D$7)^CK$2))))))))</f>
        <v>418.24346400988094</v>
      </c>
      <c r="CL72" s="88">
        <f>MAX(AV72,($E72*IF(CL$2&gt;Inputs!$D$5,0,IF(CL$2&gt;VLOOKUP($H72,Lists!$P$3:$Q$7,2),IF($N72=Lists!$K$3,IF($L72&lt;1,(($U72/$L72)*((1+Inputs!$D$7)^CL$2)),((INT(CL$2/$L72)-INT((CL$2-1)/$L72))*$U72*((1+Inputs!$D$7)^CL$2))),(Inputs!$D$8^((1-_xlfn.WEIBULL.DIST(CL$2,$M72,$L72,FALSE))/_xlfn.WEIBULL.DIST(CL$2,$M72,$L72,FALSE))*$U72*((1+Inputs!$D$7)^CL$2))),IF($N72=Lists!$K$3,IF($L72&lt;1,((($T72*(1-$F72)+$S72*(1-$G72))/$L72)*((1+Inputs!$D$7)^CL$2)),((INT(CL$2/$L72)-INT((CL$2-1)/$L72))*($T72*(1-$F72)+$S72*(1-$G72))*((1+Inputs!$D$7)^CL$2))),((Inputs!$D$8^((1-_xlfn.WEIBULL.DIST(CL$2,$M72,$L72,FALSE))/_xlfn.WEIBULL.DIST(CL$2,$M72,$L72,FALSE))*($T72*(1-$F72)+$S72*(1-$G72))*((1+Inputs!$D$7)^CL$2))))))))</f>
        <v>426.60833329007858</v>
      </c>
      <c r="CM72" s="88">
        <f>MAX(AW72,($E72*IF(CM$2&gt;Inputs!$D$5,0,IF(CM$2&gt;VLOOKUP($H72,Lists!$P$3:$Q$7,2),IF($N72=Lists!$K$3,IF($L72&lt;1,(($U72/$L72)*((1+Inputs!$D$7)^CM$2)),((INT(CM$2/$L72)-INT((CM$2-1)/$L72))*$U72*((1+Inputs!$D$7)^CM$2))),(Inputs!$D$8^((1-_xlfn.WEIBULL.DIST(CM$2,$M72,$L72,FALSE))/_xlfn.WEIBULL.DIST(CM$2,$M72,$L72,FALSE))*$U72*((1+Inputs!$D$7)^CM$2))),IF($N72=Lists!$K$3,IF($L72&lt;1,((($T72*(1-$F72)+$S72*(1-$G72))/$L72)*((1+Inputs!$D$7)^CM$2)),((INT(CM$2/$L72)-INT((CM$2-1)/$L72))*($T72*(1-$F72)+$S72*(1-$G72))*((1+Inputs!$D$7)^CM$2))),((Inputs!$D$8^((1-_xlfn.WEIBULL.DIST(CM$2,$M72,$L72,FALSE))/_xlfn.WEIBULL.DIST(CM$2,$M72,$L72,FALSE))*($T72*(1-$F72)+$S72*(1-$G72))*((1+Inputs!$D$7)^CM$2))))))))</f>
        <v>435.14049995588005</v>
      </c>
      <c r="CN72" s="88">
        <f>MAX(AX72,($E72*IF(CN$2&gt;Inputs!$D$5,0,IF(CN$2&gt;VLOOKUP($H72,Lists!$P$3:$Q$7,2),IF($N72=Lists!$K$3,IF($L72&lt;1,(($U72/$L72)*((1+Inputs!$D$7)^CN$2)),((INT(CN$2/$L72)-INT((CN$2-1)/$L72))*$U72*((1+Inputs!$D$7)^CN$2))),(Inputs!$D$8^((1-_xlfn.WEIBULL.DIST(CN$2,$M72,$L72,FALSE))/_xlfn.WEIBULL.DIST(CN$2,$M72,$L72,FALSE))*$U72*((1+Inputs!$D$7)^CN$2))),IF($N72=Lists!$K$3,IF($L72&lt;1,((($T72*(1-$F72)+$S72*(1-$G72))/$L72)*((1+Inputs!$D$7)^CN$2)),((INT(CN$2/$L72)-INT((CN$2-1)/$L72))*($T72*(1-$F72)+$S72*(1-$G72))*((1+Inputs!$D$7)^CN$2))),((Inputs!$D$8^((1-_xlfn.WEIBULL.DIST(CN$2,$M72,$L72,FALSE))/_xlfn.WEIBULL.DIST(CN$2,$M72,$L72,FALSE))*($T72*(1-$F72)+$S72*(1-$G72))*((1+Inputs!$D$7)^CN$2))))))))</f>
        <v>443.84330995499766</v>
      </c>
      <c r="CO72" s="88">
        <f>MAX(AY72,($E72*IF(CO$2&gt;Inputs!$D$5,0,IF(CO$2&gt;VLOOKUP($H72,Lists!$P$3:$Q$7,2),IF($N72=Lists!$K$3,IF($L72&lt;1,(($U72/$L72)*((1+Inputs!$D$7)^CO$2)),((INT(CO$2/$L72)-INT((CO$2-1)/$L72))*$U72*((1+Inputs!$D$7)^CO$2))),(Inputs!$D$8^((1-_xlfn.WEIBULL.DIST(CO$2,$M72,$L72,FALSE))/_xlfn.WEIBULL.DIST(CO$2,$M72,$L72,FALSE))*$U72*((1+Inputs!$D$7)^CO$2))),IF($N72=Lists!$K$3,IF($L72&lt;1,((($T72*(1-$F72)+$S72*(1-$G72))/$L72)*((1+Inputs!$D$7)^CO$2)),((INT(CO$2/$L72)-INT((CO$2-1)/$L72))*($T72*(1-$F72)+$S72*(1-$G72))*((1+Inputs!$D$7)^CO$2))),((Inputs!$D$8^((1-_xlfn.WEIBULL.DIST(CO$2,$M72,$L72,FALSE))/_xlfn.WEIBULL.DIST(CO$2,$M72,$L72,FALSE))*($T72*(1-$F72)+$S72*(1-$G72))*((1+Inputs!$D$7)^CO$2))))))))</f>
        <v>452.72017615409766</v>
      </c>
      <c r="CP72" s="88">
        <f>MAX(AZ72,($E72*IF(CP$2&gt;Inputs!$D$5,0,IF(CP$2&gt;VLOOKUP($H72,Lists!$P$3:$Q$7,2),IF($N72=Lists!$K$3,IF($L72&lt;1,(($U72/$L72)*((1+Inputs!$D$7)^CP$2)),((INT(CP$2/$L72)-INT((CP$2-1)/$L72))*$U72*((1+Inputs!$D$7)^CP$2))),(Inputs!$D$8^((1-_xlfn.WEIBULL.DIST(CP$2,$M72,$L72,FALSE))/_xlfn.WEIBULL.DIST(CP$2,$M72,$L72,FALSE))*$U72*((1+Inputs!$D$7)^CP$2))),IF($N72=Lists!$K$3,IF($L72&lt;1,((($T72*(1-$F72)+$S72*(1-$G72))/$L72)*((1+Inputs!$D$7)^CP$2)),((INT(CP$2/$L72)-INT((CP$2-1)/$L72))*($T72*(1-$F72)+$S72*(1-$G72))*((1+Inputs!$D$7)^CP$2))),((Inputs!$D$8^((1-_xlfn.WEIBULL.DIST(CP$2,$M72,$L72,FALSE))/_xlfn.WEIBULL.DIST(CP$2,$M72,$L72,FALSE))*($T72*(1-$F72)+$S72*(1-$G72))*((1+Inputs!$D$7)^CP$2))))))))</f>
        <v>0</v>
      </c>
      <c r="CQ72" s="88">
        <f>MAX(BA72,($E72*IF(CQ$2&gt;Inputs!$D$5,0,IF(CQ$2&gt;VLOOKUP($H72,Lists!$P$3:$Q$7,2),IF($N72=Lists!$K$3,IF($L72&lt;1,(($U72/$L72)*((1+Inputs!$D$7)^CQ$2)),((INT(CQ$2/$L72)-INT((CQ$2-1)/$L72))*$U72*((1+Inputs!$D$7)^CQ$2))),(Inputs!$D$8^((1-_xlfn.WEIBULL.DIST(CQ$2,$M72,$L72,FALSE))/_xlfn.WEIBULL.DIST(CQ$2,$M72,$L72,FALSE))*$U72*((1+Inputs!$D$7)^CQ$2))),IF($N72=Lists!$K$3,IF($L72&lt;1,((($T72*(1-$F72)+$S72*(1-$G72))/$L72)*((1+Inputs!$D$7)^CQ$2)),((INT(CQ$2/$L72)-INT((CQ$2-1)/$L72))*($T72*(1-$F72)+$S72*(1-$G72))*((1+Inputs!$D$7)^CQ$2))),((Inputs!$D$8^((1-_xlfn.WEIBULL.DIST(CQ$2,$M72,$L72,FALSE))/_xlfn.WEIBULL.DIST(CQ$2,$M72,$L72,FALSE))*($T72*(1-$F72)+$S72*(1-$G72))*((1+Inputs!$D$7)^CQ$2))))))))</f>
        <v>0</v>
      </c>
      <c r="CR72" s="88">
        <f>MAX(BB72,($E72*IF(CR$2&gt;Inputs!$D$5,0,IF(CR$2&gt;VLOOKUP($H72,Lists!$P$3:$Q$7,2),IF($N72=Lists!$K$3,IF($L72&lt;1,(($U72/$L72)*((1+Inputs!$D$7)^CR$2)),((INT(CR$2/$L72)-INT((CR$2-1)/$L72))*$U72*((1+Inputs!$D$7)^CR$2))),(Inputs!$D$8^((1-_xlfn.WEIBULL.DIST(CR$2,$M72,$L72,FALSE))/_xlfn.WEIBULL.DIST(CR$2,$M72,$L72,FALSE))*$U72*((1+Inputs!$D$7)^CR$2))),IF($N72=Lists!$K$3,IF($L72&lt;1,((($T72*(1-$F72)+$S72*(1-$G72))/$L72)*((1+Inputs!$D$7)^CR$2)),((INT(CR$2/$L72)-INT((CR$2-1)/$L72))*($T72*(1-$F72)+$S72*(1-$G72))*((1+Inputs!$D$7)^CR$2))),((Inputs!$D$8^((1-_xlfn.WEIBULL.DIST(CR$2,$M72,$L72,FALSE))/_xlfn.WEIBULL.DIST(CR$2,$M72,$L72,FALSE))*($T72*(1-$F72)+$S72*(1-$G72))*((1+Inputs!$D$7)^CR$2))))))))</f>
        <v>0</v>
      </c>
      <c r="CS72" s="88">
        <f>MAX(BC72,($E72*IF(CS$2&gt;Inputs!$D$5,0,IF(CS$2&gt;VLOOKUP($H72,Lists!$P$3:$Q$7,2),IF($N72=Lists!$K$3,IF($L72&lt;1,(($U72/$L72)*((1+Inputs!$D$7)^CS$2)),((INT(CS$2/$L72)-INT((CS$2-1)/$L72))*$U72*((1+Inputs!$D$7)^CS$2))),(Inputs!$D$8^((1-_xlfn.WEIBULL.DIST(CS$2,$M72,$L72,FALSE))/_xlfn.WEIBULL.DIST(CS$2,$M72,$L72,FALSE))*$U72*((1+Inputs!$D$7)^CS$2))),IF($N72=Lists!$K$3,IF($L72&lt;1,((($T72*(1-$F72)+$S72*(1-$G72))/$L72)*((1+Inputs!$D$7)^CS$2)),((INT(CS$2/$L72)-INT((CS$2-1)/$L72))*($T72*(1-$F72)+$S72*(1-$G72))*((1+Inputs!$D$7)^CS$2))),((Inputs!$D$8^((1-_xlfn.WEIBULL.DIST(CS$2,$M72,$L72,FALSE))/_xlfn.WEIBULL.DIST(CS$2,$M72,$L72,FALSE))*($T72*(1-$F72)+$S72*(1-$G72))*((1+Inputs!$D$7)^CS$2))))))))</f>
        <v>0</v>
      </c>
      <c r="CT72" s="88">
        <f>MAX(BD72,($E72*IF(CT$2&gt;Inputs!$D$5,0,IF(CT$2&gt;VLOOKUP($H72,Lists!$P$3:$Q$7,2),IF($N72=Lists!$K$3,IF($L72&lt;1,(($U72/$L72)*((1+Inputs!$D$7)^CT$2)),((INT(CT$2/$L72)-INT((CT$2-1)/$L72))*$U72*((1+Inputs!$D$7)^CT$2))),(Inputs!$D$8^((1-_xlfn.WEIBULL.DIST(CT$2,$M72,$L72,FALSE))/_xlfn.WEIBULL.DIST(CT$2,$M72,$L72,FALSE))*$U72*((1+Inputs!$D$7)^CT$2))),IF($N72=Lists!$K$3,IF($L72&lt;1,((($T72*(1-$F72)+$S72*(1-$G72))/$L72)*((1+Inputs!$D$7)^CT$2)),((INT(CT$2/$L72)-INT((CT$2-1)/$L72))*($T72*(1-$F72)+$S72*(1-$G72))*((1+Inputs!$D$7)^CT$2))),((Inputs!$D$8^((1-_xlfn.WEIBULL.DIST(CT$2,$M72,$L72,FALSE))/_xlfn.WEIBULL.DIST(CT$2,$M72,$L72,FALSE))*($T72*(1-$F72)+$S72*(1-$G72))*((1+Inputs!$D$7)^CT$2))))))))</f>
        <v>0</v>
      </c>
      <c r="CU72" s="88">
        <f>MAX(BE72,($E72*IF(CU$2&gt;Inputs!$D$5,0,IF(CU$2&gt;VLOOKUP($H72,Lists!$P$3:$Q$7,2),IF($N72=Lists!$K$3,IF($L72&lt;1,(($U72/$L72)*((1+Inputs!$D$7)^CU$2)),((INT(CU$2/$L72)-INT((CU$2-1)/$L72))*$U72*((1+Inputs!$D$7)^CU$2))),(Inputs!$D$8^((1-_xlfn.WEIBULL.DIST(CU$2,$M72,$L72,FALSE))/_xlfn.WEIBULL.DIST(CU$2,$M72,$L72,FALSE))*$U72*((1+Inputs!$D$7)^CU$2))),IF($N72=Lists!$K$3,IF($L72&lt;1,((($T72*(1-$F72)+$S72*(1-$G72))/$L72)*((1+Inputs!$D$7)^CU$2)),((INT(CU$2/$L72)-INT((CU$2-1)/$L72))*($T72*(1-$F72)+$S72*(1-$G72))*((1+Inputs!$D$7)^CU$2))),((Inputs!$D$8^((1-_xlfn.WEIBULL.DIST(CU$2,$M72,$L72,FALSE))/_xlfn.WEIBULL.DIST(CU$2,$M72,$L72,FALSE))*($T72*(1-$F72)+$S72*(1-$G72))*((1+Inputs!$D$7)^CU$2))))))))</f>
        <v>0</v>
      </c>
      <c r="CV72" s="88">
        <f>MAX(BF72,($E72*IF(CV$2&gt;Inputs!$D$5,0,IF(CV$2&gt;VLOOKUP($H72,Lists!$P$3:$Q$7,2),IF($N72=Lists!$K$3,IF($L72&lt;1,(($U72/$L72)*((1+Inputs!$D$7)^CV$2)),((INT(CV$2/$L72)-INT((CV$2-1)/$L72))*$U72*((1+Inputs!$D$7)^CV$2))),(Inputs!$D$8^((1-_xlfn.WEIBULL.DIST(CV$2,$M72,$L72,FALSE))/_xlfn.WEIBULL.DIST(CV$2,$M72,$L72,FALSE))*$U72*((1+Inputs!$D$7)^CV$2))),IF($N72=Lists!$K$3,IF($L72&lt;1,((($T72*(1-$F72)+$S72*(1-$G72))/$L72)*((1+Inputs!$D$7)^CV$2)),((INT(CV$2/$L72)-INT((CV$2-1)/$L72))*($T72*(1-$F72)+$S72*(1-$G72))*((1+Inputs!$D$7)^CV$2))),((Inputs!$D$8^((1-_xlfn.WEIBULL.DIST(CV$2,$M72,$L72,FALSE))/_xlfn.WEIBULL.DIST(CV$2,$M72,$L72,FALSE))*($T72*(1-$F72)+$S72*(1-$G72))*((1+Inputs!$D$7)^CV$2))))))))</f>
        <v>0</v>
      </c>
      <c r="CW72" s="88">
        <f>MAX(BG72,($E72*IF(CW$2&gt;Inputs!$D$5,0,IF(CW$2&gt;VLOOKUP($H72,Lists!$P$3:$Q$7,2),IF($N72=Lists!$K$3,IF($L72&lt;1,(($U72/$L72)*((1+Inputs!$D$7)^CW$2)),((INT(CW$2/$L72)-INT((CW$2-1)/$L72))*$U72*((1+Inputs!$D$7)^CW$2))),(Inputs!$D$8^((1-_xlfn.WEIBULL.DIST(CW$2,$M72,$L72,FALSE))/_xlfn.WEIBULL.DIST(CW$2,$M72,$L72,FALSE))*$U72*((1+Inputs!$D$7)^CW$2))),IF($N72=Lists!$K$3,IF($L72&lt;1,((($T72*(1-$F72)+$S72*(1-$G72))/$L72)*((1+Inputs!$D$7)^CW$2)),((INT(CW$2/$L72)-INT((CW$2-1)/$L72))*($T72*(1-$F72)+$S72*(1-$G72))*((1+Inputs!$D$7)^CW$2))),((Inputs!$D$8^((1-_xlfn.WEIBULL.DIST(CW$2,$M72,$L72,FALSE))/_xlfn.WEIBULL.DIST(CW$2,$M72,$L72,FALSE))*($T72*(1-$F72)+$S72*(1-$G72))*((1+Inputs!$D$7)^CW$2))))))))</f>
        <v>0</v>
      </c>
      <c r="CX72" s="88">
        <f>MAX(BH72,($E72*IF(CX$2&gt;Inputs!$D$5,0,IF(CX$2&gt;VLOOKUP($H72,Lists!$P$3:$Q$7,2),IF($N72=Lists!$K$3,IF($L72&lt;1,(($U72/$L72)*((1+Inputs!$D$7)^CX$2)),((INT(CX$2/$L72)-INT((CX$2-1)/$L72))*$U72*((1+Inputs!$D$7)^CX$2))),(Inputs!$D$8^((1-_xlfn.WEIBULL.DIST(CX$2,$M72,$L72,FALSE))/_xlfn.WEIBULL.DIST(CX$2,$M72,$L72,FALSE))*$U72*((1+Inputs!$D$7)^CX$2))),IF($N72=Lists!$K$3,IF($L72&lt;1,((($T72*(1-$F72)+$S72*(1-$G72))/$L72)*((1+Inputs!$D$7)^CX$2)),((INT(CX$2/$L72)-INT((CX$2-1)/$L72))*($T72*(1-$F72)+$S72*(1-$G72))*((1+Inputs!$D$7)^CX$2))),((Inputs!$D$8^((1-_xlfn.WEIBULL.DIST(CX$2,$M72,$L72,FALSE))/_xlfn.WEIBULL.DIST(CX$2,$M72,$L72,FALSE))*($T72*(1-$F72)+$S72*(1-$G72))*((1+Inputs!$D$7)^CX$2))))))))</f>
        <v>0</v>
      </c>
      <c r="CY72" s="88">
        <f>MAX(BI72,($E72*IF(CY$2&gt;Inputs!$D$5,0,IF(CY$2&gt;VLOOKUP($H72,Lists!$P$3:$Q$7,2),IF($N72=Lists!$K$3,IF($L72&lt;1,(($U72/$L72)*((1+Inputs!$D$7)^CY$2)),((INT(CY$2/$L72)-INT((CY$2-1)/$L72))*$U72*((1+Inputs!$D$7)^CY$2))),(Inputs!$D$8^((1-_xlfn.WEIBULL.DIST(CY$2,$M72,$L72,FALSE))/_xlfn.WEIBULL.DIST(CY$2,$M72,$L72,FALSE))*$U72*((1+Inputs!$D$7)^CY$2))),IF($N72=Lists!$K$3,IF($L72&lt;1,((($T72*(1-$F72)+$S72*(1-$G72))/$L72)*((1+Inputs!$D$7)^CY$2)),((INT(CY$2/$L72)-INT((CY$2-1)/$L72))*($T72*(1-$F72)+$S72*(1-$G72))*((1+Inputs!$D$7)^CY$2))),((Inputs!$D$8^((1-_xlfn.WEIBULL.DIST(CY$2,$M72,$L72,FALSE))/_xlfn.WEIBULL.DIST(CY$2,$M72,$L72,FALSE))*($T72*(1-$F72)+$S72*(1-$G72))*((1+Inputs!$D$7)^CY$2))))))))</f>
        <v>0</v>
      </c>
      <c r="CZ72" s="88">
        <f>MAX(BJ72,($E72*IF(CZ$2&gt;Inputs!$D$5,0,IF(CZ$2&gt;VLOOKUP($H72,Lists!$P$3:$Q$7,2),IF($N72=Lists!$K$3,IF($L72&lt;1,(($U72/$L72)*((1+Inputs!$D$7)^CZ$2)),((INT(CZ$2/$L72)-INT((CZ$2-1)/$L72))*$U72*((1+Inputs!$D$7)^CZ$2))),(Inputs!$D$8^((1-_xlfn.WEIBULL.DIST(CZ$2,$M72,$L72,FALSE))/_xlfn.WEIBULL.DIST(CZ$2,$M72,$L72,FALSE))*$U72*((1+Inputs!$D$7)^CZ$2))),IF($N72=Lists!$K$3,IF($L72&lt;1,((($T72*(1-$F72)+$S72*(1-$G72))/$L72)*((1+Inputs!$D$7)^CZ$2)),((INT(CZ$2/$L72)-INT((CZ$2-1)/$L72))*($T72*(1-$F72)+$S72*(1-$G72))*((1+Inputs!$D$7)^CZ$2))),((Inputs!$D$8^((1-_xlfn.WEIBULL.DIST(CZ$2,$M72,$L72,FALSE))/_xlfn.WEIBULL.DIST(CZ$2,$M72,$L72,FALSE))*($T72*(1-$F72)+$S72*(1-$G72))*((1+Inputs!$D$7)^CZ$2))))))))</f>
        <v>0</v>
      </c>
      <c r="DA72" s="88">
        <f>MAX(BK72,($E72*IF(DA$2&gt;Inputs!$D$5,0,IF(DA$2&gt;VLOOKUP($H72,Lists!$P$3:$Q$7,2),IF($N72=Lists!$K$3,IF($L72&lt;1,(($U72/$L72)*((1+Inputs!$D$7)^DA$2)),((INT(DA$2/$L72)-INT((DA$2-1)/$L72))*$U72*((1+Inputs!$D$7)^DA$2))),(Inputs!$D$8^((1-_xlfn.WEIBULL.DIST(DA$2,$M72,$L72,FALSE))/_xlfn.WEIBULL.DIST(DA$2,$M72,$L72,FALSE))*$U72*((1+Inputs!$D$7)^DA$2))),IF($N72=Lists!$K$3,IF($L72&lt;1,((($T72*(1-$F72)+$S72*(1-$G72))/$L72)*((1+Inputs!$D$7)^DA$2)),((INT(DA$2/$L72)-INT((DA$2-1)/$L72))*($T72*(1-$F72)+$S72*(1-$G72))*((1+Inputs!$D$7)^DA$2))),((Inputs!$D$8^((1-_xlfn.WEIBULL.DIST(DA$2,$M72,$L72,FALSE))/_xlfn.WEIBULL.DIST(DA$2,$M72,$L72,FALSE))*($T72*(1-$F72)+$S72*(1-$G72))*((1+Inputs!$D$7)^DA$2))))))))</f>
        <v>0</v>
      </c>
      <c r="DB72" s="88">
        <f>MAX(BL72,($E72*IF(DB$2&gt;Inputs!$D$5,0,IF(DB$2&gt;VLOOKUP($H72,Lists!$P$3:$Q$7,2),IF($N72=Lists!$K$3,IF($L72&lt;1,(($U72/$L72)*((1+Inputs!$D$7)^DB$2)),((INT(DB$2/$L72)-INT((DB$2-1)/$L72))*$U72*((1+Inputs!$D$7)^DB$2))),(Inputs!$D$8^((1-_xlfn.WEIBULL.DIST(DB$2,$M72,$L72,FALSE))/_xlfn.WEIBULL.DIST(DB$2,$M72,$L72,FALSE))*$U72*((1+Inputs!$D$7)^DB$2))),IF($N72=Lists!$K$3,IF($L72&lt;1,((($T72*(1-$F72)+$S72*(1-$G72))/$L72)*((1+Inputs!$D$7)^DB$2)),((INT(DB$2/$L72)-INT((DB$2-1)/$L72))*($T72*(1-$F72)+$S72*(1-$G72))*((1+Inputs!$D$7)^DB$2))),((Inputs!$D$8^((1-_xlfn.WEIBULL.DIST(DB$2,$M72,$L72,FALSE))/_xlfn.WEIBULL.DIST(DB$2,$M72,$L72,FALSE))*($T72*(1-$F72)+$S72*(1-$G72))*((1+Inputs!$D$7)^DB$2))))))))</f>
        <v>0</v>
      </c>
      <c r="DC72" s="88">
        <f>MAX(BM72,($E72*IF(DC$2&gt;Inputs!$D$5,0,IF(DC$2&gt;VLOOKUP($H72,Lists!$P$3:$Q$7,2),IF($N72=Lists!$K$3,IF($L72&lt;1,(($U72/$L72)*((1+Inputs!$D$7)^DC$2)),((INT(DC$2/$L72)-INT((DC$2-1)/$L72))*$U72*((1+Inputs!$D$7)^DC$2))),(Inputs!$D$8^((1-_xlfn.WEIBULL.DIST(DC$2,$M72,$L72,FALSE))/_xlfn.WEIBULL.DIST(DC$2,$M72,$L72,FALSE))*$U72*((1+Inputs!$D$7)^DC$2))),IF($N72=Lists!$K$3,IF($L72&lt;1,((($T72*(1-$F72)+$S72*(1-$G72))/$L72)*((1+Inputs!$D$7)^DC$2)),((INT(DC$2/$L72)-INT((DC$2-1)/$L72))*($T72*(1-$F72)+$S72*(1-$G72))*((1+Inputs!$D$7)^DC$2))),((Inputs!$D$8^((1-_xlfn.WEIBULL.DIST(DC$2,$M72,$L72,FALSE))/_xlfn.WEIBULL.DIST(DC$2,$M72,$L72,FALSE))*($T72*(1-$F72)+$S72*(1-$G72))*((1+Inputs!$D$7)^DC$2))))))))</f>
        <v>0</v>
      </c>
      <c r="DD72" s="88">
        <f>MAX(BN72,($E72*IF(DD$2&gt;Inputs!$D$5,0,IF(DD$2&gt;VLOOKUP($H72,Lists!$P$3:$Q$7,2),IF($N72=Lists!$K$3,IF($L72&lt;1,(($U72/$L72)*((1+Inputs!$D$7)^DD$2)),((INT(DD$2/$L72)-INT((DD$2-1)/$L72))*$U72*((1+Inputs!$D$7)^DD$2))),(Inputs!$D$8^((1-_xlfn.WEIBULL.DIST(DD$2,$M72,$L72,FALSE))/_xlfn.WEIBULL.DIST(DD$2,$M72,$L72,FALSE))*$U72*((1+Inputs!$D$7)^DD$2))),IF($N72=Lists!$K$3,IF($L72&lt;1,((($T72*(1-$F72)+$S72*(1-$G72))/$L72)*((1+Inputs!$D$7)^DD$2)),((INT(DD$2/$L72)-INT((DD$2-1)/$L72))*($T72*(1-$F72)+$S72*(1-$G72))*((1+Inputs!$D$7)^DD$2))),((Inputs!$D$8^((1-_xlfn.WEIBULL.DIST(DD$2,$M72,$L72,FALSE))/_xlfn.WEIBULL.DIST(DD$2,$M72,$L72,FALSE))*($T72*(1-$F72)+$S72*(1-$G72))*((1+Inputs!$D$7)^DD$2))))))))</f>
        <v>0</v>
      </c>
    </row>
    <row r="73" spans="1:108" s="1" customFormat="1" ht="96">
      <c r="A73" s="57" t="s">
        <v>272</v>
      </c>
      <c r="B73" s="13" t="s">
        <v>279</v>
      </c>
      <c r="C73" s="13" t="s">
        <v>341</v>
      </c>
      <c r="D73" s="13" t="s">
        <v>30</v>
      </c>
      <c r="E73" s="48">
        <f>IF(Inputs!D41=Lists!I4,0,1)</f>
        <v>1</v>
      </c>
      <c r="F73" s="48">
        <v>0</v>
      </c>
      <c r="G73" s="48">
        <v>0</v>
      </c>
      <c r="H73" s="105" t="s">
        <v>350</v>
      </c>
      <c r="I73" s="14" t="s">
        <v>382</v>
      </c>
      <c r="J73" s="14" t="s">
        <v>216</v>
      </c>
      <c r="K73" s="13">
        <f>VLOOKUP(J73,'Labor Rates'!$A$1:$F$16,2)</f>
        <v>14.735480769230767</v>
      </c>
      <c r="L73" s="15">
        <v>1</v>
      </c>
      <c r="M73" s="15">
        <v>1</v>
      </c>
      <c r="N73" s="13" t="s">
        <v>236</v>
      </c>
      <c r="O73" s="61">
        <f>Inputs!D20</f>
        <v>62500</v>
      </c>
      <c r="P73" s="15">
        <v>0.02</v>
      </c>
      <c r="Q73" s="15">
        <f t="shared" si="14"/>
        <v>1250</v>
      </c>
      <c r="R73" s="4">
        <v>1.12E-2</v>
      </c>
      <c r="S73" s="53">
        <f t="shared" si="15"/>
        <v>18419.350961538457</v>
      </c>
      <c r="T73" s="53">
        <f t="shared" si="16"/>
        <v>700</v>
      </c>
      <c r="U73" s="54">
        <f t="shared" si="17"/>
        <v>19119.350961538457</v>
      </c>
      <c r="V73" s="55" t="s">
        <v>33</v>
      </c>
      <c r="W73" s="58"/>
      <c r="X73" s="64">
        <f t="shared" si="18"/>
        <v>23692.046972017437</v>
      </c>
      <c r="Y73" s="64">
        <f>NPV(Inputs!$D$6,AA73:BN73)</f>
        <v>272134.93347214884</v>
      </c>
      <c r="Z73" s="67">
        <f t="shared" si="19"/>
        <v>0.12835212044556821</v>
      </c>
      <c r="AA73" s="88">
        <f>$E73*IF(AA$2&gt;Inputs!$D$5,0,IF(AA$2&gt;VLOOKUP($H73,Lists!$P$3:$Q$7,2),IF($N73=Lists!$K$3,IF($L73&lt;1,(($U73/$L73)*((1+Inputs!$D$7)^AA$2)),((INT(AA$2/$L73)-INT((AA$2-1)/$L73))*$U73*((1+Inputs!$D$7)^AA$2))),(_xlfn.WEIBULL.DIST(AA$2,$M73,$L73,FALSE)*$U73*((1+Inputs!$D$7)^AA$2))),IF($N73=Lists!$K$3,IF($L73&lt;1,((($T73*(1-$F73)+$S73*(1-$G73))/$L73)*((1+Inputs!$D$7)^AA$2)),((INT(AA$2/$L73)-INT((AA$2-1)/$L73))*($T73*(1-$F73)+$S73*(1-$G73))*((1+Inputs!$D$7)^AA$2))),((_xlfn.WEIBULL.DIST(AA$2,$M73,$L73,FALSE)*($T73*(1-$F73)+$S73*(1-$G73))*((1+Inputs!$D$7)^AA$2))))))</f>
        <v>19501.737980769227</v>
      </c>
      <c r="AB73" s="88">
        <f>$E73*IF(AB$2&gt;Inputs!$D$5,0,IF(AB$2&gt;VLOOKUP($H73,Lists!$P$3:$Q$7,2),IF($N73=Lists!$K$3,IF($L73&lt;1,(($U73/$L73)*((1+Inputs!$D$7)^AB$2)),((INT(AB$2/$L73)-INT((AB$2-1)/$L73))*$U73*((1+Inputs!$D$7)^AB$2))),(_xlfn.WEIBULL.DIST(AB$2,$M73,$L73,FALSE)*$U73*((1+Inputs!$D$7)^AB$2))),IF($N73=Lists!$K$3,IF($L73&lt;1,((($T73*(1-$F73)+$S73*(1-$G73))/$L73)*((1+Inputs!$D$7)^AB$2)),((INT(AB$2/$L73)-INT((AB$2-1)/$L73))*($T73*(1-$F73)+$S73*(1-$G73))*((1+Inputs!$D$7)^AB$2))),((_xlfn.WEIBULL.DIST(AB$2,$M73,$L73,FALSE)*($T73*(1-$F73)+$S73*(1-$G73))*((1+Inputs!$D$7)^AB$2))))))</f>
        <v>19891.772740384611</v>
      </c>
      <c r="AC73" s="88">
        <f>$E73*IF(AC$2&gt;Inputs!$D$5,0,IF(AC$2&gt;VLOOKUP($H73,Lists!$P$3:$Q$7,2),IF($N73=Lists!$K$3,IF($L73&lt;1,(($U73/$L73)*((1+Inputs!$D$7)^AC$2)),((INT(AC$2/$L73)-INT((AC$2-1)/$L73))*$U73*((1+Inputs!$D$7)^AC$2))),(_xlfn.WEIBULL.DIST(AC$2,$M73,$L73,FALSE)*$U73*((1+Inputs!$D$7)^AC$2))),IF($N73=Lists!$K$3,IF($L73&lt;1,((($T73*(1-$F73)+$S73*(1-$G73))/$L73)*((1+Inputs!$D$7)^AC$2)),((INT(AC$2/$L73)-INT((AC$2-1)/$L73))*($T73*(1-$F73)+$S73*(1-$G73))*((1+Inputs!$D$7)^AC$2))),((_xlfn.WEIBULL.DIST(AC$2,$M73,$L73,FALSE)*($T73*(1-$F73)+$S73*(1-$G73))*((1+Inputs!$D$7)^AC$2))))))</f>
        <v>20289.608195192301</v>
      </c>
      <c r="AD73" s="88">
        <f>$E73*IF(AD$2&gt;Inputs!$D$5,0,IF(AD$2&gt;VLOOKUP($H73,Lists!$P$3:$Q$7,2),IF($N73=Lists!$K$3,IF($L73&lt;1,(($U73/$L73)*((1+Inputs!$D$7)^AD$2)),((INT(AD$2/$L73)-INT((AD$2-1)/$L73))*$U73*((1+Inputs!$D$7)^AD$2))),(_xlfn.WEIBULL.DIST(AD$2,$M73,$L73,FALSE)*$U73*((1+Inputs!$D$7)^AD$2))),IF($N73=Lists!$K$3,IF($L73&lt;1,((($T73*(1-$F73)+$S73*(1-$G73))/$L73)*((1+Inputs!$D$7)^AD$2)),((INT(AD$2/$L73)-INT((AD$2-1)/$L73))*($T73*(1-$F73)+$S73*(1-$G73))*((1+Inputs!$D$7)^AD$2))),((_xlfn.WEIBULL.DIST(AD$2,$M73,$L73,FALSE)*($T73*(1-$F73)+$S73*(1-$G73))*((1+Inputs!$D$7)^AD$2))))))</f>
        <v>20695.400359096147</v>
      </c>
      <c r="AE73" s="88">
        <f>$E73*IF(AE$2&gt;Inputs!$D$5,0,IF(AE$2&gt;VLOOKUP($H73,Lists!$P$3:$Q$7,2),IF($N73=Lists!$K$3,IF($L73&lt;1,(($U73/$L73)*((1+Inputs!$D$7)^AE$2)),((INT(AE$2/$L73)-INT((AE$2-1)/$L73))*$U73*((1+Inputs!$D$7)^AE$2))),(_xlfn.WEIBULL.DIST(AE$2,$M73,$L73,FALSE)*$U73*((1+Inputs!$D$7)^AE$2))),IF($N73=Lists!$K$3,IF($L73&lt;1,((($T73*(1-$F73)+$S73*(1-$G73))/$L73)*((1+Inputs!$D$7)^AE$2)),((INT(AE$2/$L73)-INT((AE$2-1)/$L73))*($T73*(1-$F73)+$S73*(1-$G73))*((1+Inputs!$D$7)^AE$2))),((_xlfn.WEIBULL.DIST(AE$2,$M73,$L73,FALSE)*($T73*(1-$F73)+$S73*(1-$G73))*((1+Inputs!$D$7)^AE$2))))))</f>
        <v>21109.308366278074</v>
      </c>
      <c r="AF73" s="88">
        <f>$E73*IF(AF$2&gt;Inputs!$D$5,0,IF(AF$2&gt;VLOOKUP($H73,Lists!$P$3:$Q$7,2),IF($N73=Lists!$K$3,IF($L73&lt;1,(($U73/$L73)*((1+Inputs!$D$7)^AF$2)),((INT(AF$2/$L73)-INT((AF$2-1)/$L73))*$U73*((1+Inputs!$D$7)^AF$2))),(_xlfn.WEIBULL.DIST(AF$2,$M73,$L73,FALSE)*$U73*((1+Inputs!$D$7)^AF$2))),IF($N73=Lists!$K$3,IF($L73&lt;1,((($T73*(1-$F73)+$S73*(1-$G73))/$L73)*((1+Inputs!$D$7)^AF$2)),((INT(AF$2/$L73)-INT((AF$2-1)/$L73))*($T73*(1-$F73)+$S73*(1-$G73))*((1+Inputs!$D$7)^AF$2))),((_xlfn.WEIBULL.DIST(AF$2,$M73,$L73,FALSE)*($T73*(1-$F73)+$S73*(1-$G73))*((1+Inputs!$D$7)^AF$2))))))</f>
        <v>21531.494533603636</v>
      </c>
      <c r="AG73" s="88">
        <f>$E73*IF(AG$2&gt;Inputs!$D$5,0,IF(AG$2&gt;VLOOKUP($H73,Lists!$P$3:$Q$7,2),IF($N73=Lists!$K$3,IF($L73&lt;1,(($U73/$L73)*((1+Inputs!$D$7)^AG$2)),((INT(AG$2/$L73)-INT((AG$2-1)/$L73))*$U73*((1+Inputs!$D$7)^AG$2))),(_xlfn.WEIBULL.DIST(AG$2,$M73,$L73,FALSE)*$U73*((1+Inputs!$D$7)^AG$2))),IF($N73=Lists!$K$3,IF($L73&lt;1,((($T73*(1-$F73)+$S73*(1-$G73))/$L73)*((1+Inputs!$D$7)^AG$2)),((INT(AG$2/$L73)-INT((AG$2-1)/$L73))*($T73*(1-$F73)+$S73*(1-$G73))*((1+Inputs!$D$7)^AG$2))),((_xlfn.WEIBULL.DIST(AG$2,$M73,$L73,FALSE)*($T73*(1-$F73)+$S73*(1-$G73))*((1+Inputs!$D$7)^AG$2))))))</f>
        <v>21962.124424275702</v>
      </c>
      <c r="AH73" s="88">
        <f>$E73*IF(AH$2&gt;Inputs!$D$5,0,IF(AH$2&gt;VLOOKUP($H73,Lists!$P$3:$Q$7,2),IF($N73=Lists!$K$3,IF($L73&lt;1,(($U73/$L73)*((1+Inputs!$D$7)^AH$2)),((INT(AH$2/$L73)-INT((AH$2-1)/$L73))*$U73*((1+Inputs!$D$7)^AH$2))),(_xlfn.WEIBULL.DIST(AH$2,$M73,$L73,FALSE)*$U73*((1+Inputs!$D$7)^AH$2))),IF($N73=Lists!$K$3,IF($L73&lt;1,((($T73*(1-$F73)+$S73*(1-$G73))/$L73)*((1+Inputs!$D$7)^AH$2)),((INT(AH$2/$L73)-INT((AH$2-1)/$L73))*($T73*(1-$F73)+$S73*(1-$G73))*((1+Inputs!$D$7)^AH$2))),((_xlfn.WEIBULL.DIST(AH$2,$M73,$L73,FALSE)*($T73*(1-$F73)+$S73*(1-$G73))*((1+Inputs!$D$7)^AH$2))))))</f>
        <v>22401.366912761219</v>
      </c>
      <c r="AI73" s="88">
        <f>$E73*IF(AI$2&gt;Inputs!$D$5,0,IF(AI$2&gt;VLOOKUP($H73,Lists!$P$3:$Q$7,2),IF($N73=Lists!$K$3,IF($L73&lt;1,(($U73/$L73)*((1+Inputs!$D$7)^AI$2)),((INT(AI$2/$L73)-INT((AI$2-1)/$L73))*$U73*((1+Inputs!$D$7)^AI$2))),(_xlfn.WEIBULL.DIST(AI$2,$M73,$L73,FALSE)*$U73*((1+Inputs!$D$7)^AI$2))),IF($N73=Lists!$K$3,IF($L73&lt;1,((($T73*(1-$F73)+$S73*(1-$G73))/$L73)*((1+Inputs!$D$7)^AI$2)),((INT(AI$2/$L73)-INT((AI$2-1)/$L73))*($T73*(1-$F73)+$S73*(1-$G73))*((1+Inputs!$D$7)^AI$2))),((_xlfn.WEIBULL.DIST(AI$2,$M73,$L73,FALSE)*($T73*(1-$F73)+$S73*(1-$G73))*((1+Inputs!$D$7)^AI$2))))))</f>
        <v>22849.394251016445</v>
      </c>
      <c r="AJ73" s="88">
        <f>$E73*IF(AJ$2&gt;Inputs!$D$5,0,IF(AJ$2&gt;VLOOKUP($H73,Lists!$P$3:$Q$7,2),IF($N73=Lists!$K$3,IF($L73&lt;1,(($U73/$L73)*((1+Inputs!$D$7)^AJ$2)),((INT(AJ$2/$L73)-INT((AJ$2-1)/$L73))*$U73*((1+Inputs!$D$7)^AJ$2))),(_xlfn.WEIBULL.DIST(AJ$2,$M73,$L73,FALSE)*$U73*((1+Inputs!$D$7)^AJ$2))),IF($N73=Lists!$K$3,IF($L73&lt;1,((($T73*(1-$F73)+$S73*(1-$G73))/$L73)*((1+Inputs!$D$7)^AJ$2)),((INT(AJ$2/$L73)-INT((AJ$2-1)/$L73))*($T73*(1-$F73)+$S73*(1-$G73))*((1+Inputs!$D$7)^AJ$2))),((_xlfn.WEIBULL.DIST(AJ$2,$M73,$L73,FALSE)*($T73*(1-$F73)+$S73*(1-$G73))*((1+Inputs!$D$7)^AJ$2))))))</f>
        <v>23306.382136036773</v>
      </c>
      <c r="AK73" s="88">
        <f>$E73*IF(AK$2&gt;Inputs!$D$5,0,IF(AK$2&gt;VLOOKUP($H73,Lists!$P$3:$Q$7,2),IF($N73=Lists!$K$3,IF($L73&lt;1,(($U73/$L73)*((1+Inputs!$D$7)^AK$2)),((INT(AK$2/$L73)-INT((AK$2-1)/$L73))*$U73*((1+Inputs!$D$7)^AK$2))),(_xlfn.WEIBULL.DIST(AK$2,$M73,$L73,FALSE)*$U73*((1+Inputs!$D$7)^AK$2))),IF($N73=Lists!$K$3,IF($L73&lt;1,((($T73*(1-$F73)+$S73*(1-$G73))/$L73)*((1+Inputs!$D$7)^AK$2)),((INT(AK$2/$L73)-INT((AK$2-1)/$L73))*($T73*(1-$F73)+$S73*(1-$G73))*((1+Inputs!$D$7)^AK$2))),((_xlfn.WEIBULL.DIST(AK$2,$M73,$L73,FALSE)*($T73*(1-$F73)+$S73*(1-$G73))*((1+Inputs!$D$7)^AK$2))))))</f>
        <v>23772.509778757503</v>
      </c>
      <c r="AL73" s="88">
        <f>$E73*IF(AL$2&gt;Inputs!$D$5,0,IF(AL$2&gt;VLOOKUP($H73,Lists!$P$3:$Q$7,2),IF($N73=Lists!$K$3,IF($L73&lt;1,(($U73/$L73)*((1+Inputs!$D$7)^AL$2)),((INT(AL$2/$L73)-INT((AL$2-1)/$L73))*$U73*((1+Inputs!$D$7)^AL$2))),(_xlfn.WEIBULL.DIST(AL$2,$M73,$L73,FALSE)*$U73*((1+Inputs!$D$7)^AL$2))),IF($N73=Lists!$K$3,IF($L73&lt;1,((($T73*(1-$F73)+$S73*(1-$G73))/$L73)*((1+Inputs!$D$7)^AL$2)),((INT(AL$2/$L73)-INT((AL$2-1)/$L73))*($T73*(1-$F73)+$S73*(1-$G73))*((1+Inputs!$D$7)^AL$2))),((_xlfn.WEIBULL.DIST(AL$2,$M73,$L73,FALSE)*($T73*(1-$F73)+$S73*(1-$G73))*((1+Inputs!$D$7)^AL$2))))))</f>
        <v>24247.959974332658</v>
      </c>
      <c r="AM73" s="88">
        <f>$E73*IF(AM$2&gt;Inputs!$D$5,0,IF(AM$2&gt;VLOOKUP($H73,Lists!$P$3:$Q$7,2),IF($N73=Lists!$K$3,IF($L73&lt;1,(($U73/$L73)*((1+Inputs!$D$7)^AM$2)),((INT(AM$2/$L73)-INT((AM$2-1)/$L73))*$U73*((1+Inputs!$D$7)^AM$2))),(_xlfn.WEIBULL.DIST(AM$2,$M73,$L73,FALSE)*$U73*((1+Inputs!$D$7)^AM$2))),IF($N73=Lists!$K$3,IF($L73&lt;1,((($T73*(1-$F73)+$S73*(1-$G73))/$L73)*((1+Inputs!$D$7)^AM$2)),((INT(AM$2/$L73)-INT((AM$2-1)/$L73))*($T73*(1-$F73)+$S73*(1-$G73))*((1+Inputs!$D$7)^AM$2))),((_xlfn.WEIBULL.DIST(AM$2,$M73,$L73,FALSE)*($T73*(1-$F73)+$S73*(1-$G73))*((1+Inputs!$D$7)^AM$2))))))</f>
        <v>24732.919173819311</v>
      </c>
      <c r="AN73" s="88">
        <f>$E73*IF(AN$2&gt;Inputs!$D$5,0,IF(AN$2&gt;VLOOKUP($H73,Lists!$P$3:$Q$7,2),IF($N73=Lists!$K$3,IF($L73&lt;1,(($U73/$L73)*((1+Inputs!$D$7)^AN$2)),((INT(AN$2/$L73)-INT((AN$2-1)/$L73))*$U73*((1+Inputs!$D$7)^AN$2))),(_xlfn.WEIBULL.DIST(AN$2,$M73,$L73,FALSE)*$U73*((1+Inputs!$D$7)^AN$2))),IF($N73=Lists!$K$3,IF($L73&lt;1,((($T73*(1-$F73)+$S73*(1-$G73))/$L73)*((1+Inputs!$D$7)^AN$2)),((INT(AN$2/$L73)-INT((AN$2-1)/$L73))*($T73*(1-$F73)+$S73*(1-$G73))*((1+Inputs!$D$7)^AN$2))),((_xlfn.WEIBULL.DIST(AN$2,$M73,$L73,FALSE)*($T73*(1-$F73)+$S73*(1-$G73))*((1+Inputs!$D$7)^AN$2))))))</f>
        <v>25227.577557295699</v>
      </c>
      <c r="AO73" s="88">
        <f>$E73*IF(AO$2&gt;Inputs!$D$5,0,IF(AO$2&gt;VLOOKUP($H73,Lists!$P$3:$Q$7,2),IF($N73=Lists!$K$3,IF($L73&lt;1,(($U73/$L73)*((1+Inputs!$D$7)^AO$2)),((INT(AO$2/$L73)-INT((AO$2-1)/$L73))*$U73*((1+Inputs!$D$7)^AO$2))),(_xlfn.WEIBULL.DIST(AO$2,$M73,$L73,FALSE)*$U73*((1+Inputs!$D$7)^AO$2))),IF($N73=Lists!$K$3,IF($L73&lt;1,((($T73*(1-$F73)+$S73*(1-$G73))/$L73)*((1+Inputs!$D$7)^AO$2)),((INT(AO$2/$L73)-INT((AO$2-1)/$L73))*($T73*(1-$F73)+$S73*(1-$G73))*((1+Inputs!$D$7)^AO$2))),((_xlfn.WEIBULL.DIST(AO$2,$M73,$L73,FALSE)*($T73*(1-$F73)+$S73*(1-$G73))*((1+Inputs!$D$7)^AO$2))))))</f>
        <v>25732.129108441604</v>
      </c>
      <c r="AP73" s="88">
        <f>$E73*IF(AP$2&gt;Inputs!$D$5,0,IF(AP$2&gt;VLOOKUP($H73,Lists!$P$3:$Q$7,2),IF($N73=Lists!$K$3,IF($L73&lt;1,(($U73/$L73)*((1+Inputs!$D$7)^AP$2)),((INT(AP$2/$L73)-INT((AP$2-1)/$L73))*$U73*((1+Inputs!$D$7)^AP$2))),(_xlfn.WEIBULL.DIST(AP$2,$M73,$L73,FALSE)*$U73*((1+Inputs!$D$7)^AP$2))),IF($N73=Lists!$K$3,IF($L73&lt;1,((($T73*(1-$F73)+$S73*(1-$G73))/$L73)*((1+Inputs!$D$7)^AP$2)),((INT(AP$2/$L73)-INT((AP$2-1)/$L73))*($T73*(1-$F73)+$S73*(1-$G73))*((1+Inputs!$D$7)^AP$2))),((_xlfn.WEIBULL.DIST(AP$2,$M73,$L73,FALSE)*($T73*(1-$F73)+$S73*(1-$G73))*((1+Inputs!$D$7)^AP$2))))))</f>
        <v>26246.771690610443</v>
      </c>
      <c r="AQ73" s="88">
        <f>$E73*IF(AQ$2&gt;Inputs!$D$5,0,IF(AQ$2&gt;VLOOKUP($H73,Lists!$P$3:$Q$7,2),IF($N73=Lists!$K$3,IF($L73&lt;1,(($U73/$L73)*((1+Inputs!$D$7)^AQ$2)),((INT(AQ$2/$L73)-INT((AQ$2-1)/$L73))*$U73*((1+Inputs!$D$7)^AQ$2))),(_xlfn.WEIBULL.DIST(AQ$2,$M73,$L73,FALSE)*$U73*((1+Inputs!$D$7)^AQ$2))),IF($N73=Lists!$K$3,IF($L73&lt;1,((($T73*(1-$F73)+$S73*(1-$G73))/$L73)*((1+Inputs!$D$7)^AQ$2)),((INT(AQ$2/$L73)-INT((AQ$2-1)/$L73))*($T73*(1-$F73)+$S73*(1-$G73))*((1+Inputs!$D$7)^AQ$2))),((_xlfn.WEIBULL.DIST(AQ$2,$M73,$L73,FALSE)*($T73*(1-$F73)+$S73*(1-$G73))*((1+Inputs!$D$7)^AQ$2))))))</f>
        <v>26771.707124422654</v>
      </c>
      <c r="AR73" s="88">
        <f>$E73*IF(AR$2&gt;Inputs!$D$5,0,IF(AR$2&gt;VLOOKUP($H73,Lists!$P$3:$Q$7,2),IF($N73=Lists!$K$3,IF($L73&lt;1,(($U73/$L73)*((1+Inputs!$D$7)^AR$2)),((INT(AR$2/$L73)-INT((AR$2-1)/$L73))*$U73*((1+Inputs!$D$7)^AR$2))),(_xlfn.WEIBULL.DIST(AR$2,$M73,$L73,FALSE)*$U73*((1+Inputs!$D$7)^AR$2))),IF($N73=Lists!$K$3,IF($L73&lt;1,((($T73*(1-$F73)+$S73*(1-$G73))/$L73)*((1+Inputs!$D$7)^AR$2)),((INT(AR$2/$L73)-INT((AR$2-1)/$L73))*($T73*(1-$F73)+$S73*(1-$G73))*((1+Inputs!$D$7)^AR$2))),((_xlfn.WEIBULL.DIST(AR$2,$M73,$L73,FALSE)*($T73*(1-$F73)+$S73*(1-$G73))*((1+Inputs!$D$7)^AR$2))))))</f>
        <v>27307.141266911105</v>
      </c>
      <c r="AS73" s="88">
        <f>$E73*IF(AS$2&gt;Inputs!$D$5,0,IF(AS$2&gt;VLOOKUP($H73,Lists!$P$3:$Q$7,2),IF($N73=Lists!$K$3,IF($L73&lt;1,(($U73/$L73)*((1+Inputs!$D$7)^AS$2)),((INT(AS$2/$L73)-INT((AS$2-1)/$L73))*$U73*((1+Inputs!$D$7)^AS$2))),(_xlfn.WEIBULL.DIST(AS$2,$M73,$L73,FALSE)*$U73*((1+Inputs!$D$7)^AS$2))),IF($N73=Lists!$K$3,IF($L73&lt;1,((($T73*(1-$F73)+$S73*(1-$G73))/$L73)*((1+Inputs!$D$7)^AS$2)),((INT(AS$2/$L73)-INT((AS$2-1)/$L73))*($T73*(1-$F73)+$S73*(1-$G73))*((1+Inputs!$D$7)^AS$2))),((_xlfn.WEIBULL.DIST(AS$2,$M73,$L73,FALSE)*($T73*(1-$F73)+$S73*(1-$G73))*((1+Inputs!$D$7)^AS$2))))))</f>
        <v>27853.284092249323</v>
      </c>
      <c r="AT73" s="88">
        <f>$E73*IF(AT$2&gt;Inputs!$D$5,0,IF(AT$2&gt;VLOOKUP($H73,Lists!$P$3:$Q$7,2),IF($N73=Lists!$K$3,IF($L73&lt;1,(($U73/$L73)*((1+Inputs!$D$7)^AT$2)),((INT(AT$2/$L73)-INT((AT$2-1)/$L73))*$U73*((1+Inputs!$D$7)^AT$2))),(_xlfn.WEIBULL.DIST(AT$2,$M73,$L73,FALSE)*$U73*((1+Inputs!$D$7)^AT$2))),IF($N73=Lists!$K$3,IF($L73&lt;1,((($T73*(1-$F73)+$S73*(1-$G73))/$L73)*((1+Inputs!$D$7)^AT$2)),((INT(AT$2/$L73)-INT((AT$2-1)/$L73))*($T73*(1-$F73)+$S73*(1-$G73))*((1+Inputs!$D$7)^AT$2))),((_xlfn.WEIBULL.DIST(AT$2,$M73,$L73,FALSE)*($T73*(1-$F73)+$S73*(1-$G73))*((1+Inputs!$D$7)^AT$2))))))</f>
        <v>28410.349774094313</v>
      </c>
      <c r="AU73" s="88">
        <f>$E73*IF(AU$2&gt;Inputs!$D$5,0,IF(AU$2&gt;VLOOKUP($H73,Lists!$P$3:$Q$7,2),IF($N73=Lists!$K$3,IF($L73&lt;1,(($U73/$L73)*((1+Inputs!$D$7)^AU$2)),((INT(AU$2/$L73)-INT((AU$2-1)/$L73))*$U73*((1+Inputs!$D$7)^AU$2))),(_xlfn.WEIBULL.DIST(AU$2,$M73,$L73,FALSE)*$U73*((1+Inputs!$D$7)^AU$2))),IF($N73=Lists!$K$3,IF($L73&lt;1,((($T73*(1-$F73)+$S73*(1-$G73))/$L73)*((1+Inputs!$D$7)^AU$2)),((INT(AU$2/$L73)-INT((AU$2-1)/$L73))*($T73*(1-$F73)+$S73*(1-$G73))*((1+Inputs!$D$7)^AU$2))),((_xlfn.WEIBULL.DIST(AU$2,$M73,$L73,FALSE)*($T73*(1-$F73)+$S73*(1-$G73))*((1+Inputs!$D$7)^AU$2))))))</f>
        <v>28978.556769576197</v>
      </c>
      <c r="AV73" s="88">
        <f>$E73*IF(AV$2&gt;Inputs!$D$5,0,IF(AV$2&gt;VLOOKUP($H73,Lists!$P$3:$Q$7,2),IF($N73=Lists!$K$3,IF($L73&lt;1,(($U73/$L73)*((1+Inputs!$D$7)^AV$2)),((INT(AV$2/$L73)-INT((AV$2-1)/$L73))*$U73*((1+Inputs!$D$7)^AV$2))),(_xlfn.WEIBULL.DIST(AV$2,$M73,$L73,FALSE)*$U73*((1+Inputs!$D$7)^AV$2))),IF($N73=Lists!$K$3,IF($L73&lt;1,((($T73*(1-$F73)+$S73*(1-$G73))/$L73)*((1+Inputs!$D$7)^AV$2)),((INT(AV$2/$L73)-INT((AV$2-1)/$L73))*($T73*(1-$F73)+$S73*(1-$G73))*((1+Inputs!$D$7)^AV$2))),((_xlfn.WEIBULL.DIST(AV$2,$M73,$L73,FALSE)*($T73*(1-$F73)+$S73*(1-$G73))*((1+Inputs!$D$7)^AV$2))))))</f>
        <v>29558.127904967725</v>
      </c>
      <c r="AW73" s="88">
        <f>$E73*IF(AW$2&gt;Inputs!$D$5,0,IF(AW$2&gt;VLOOKUP($H73,Lists!$P$3:$Q$7,2),IF($N73=Lists!$K$3,IF($L73&lt;1,(($U73/$L73)*((1+Inputs!$D$7)^AW$2)),((INT(AW$2/$L73)-INT((AW$2-1)/$L73))*$U73*((1+Inputs!$D$7)^AW$2))),(_xlfn.WEIBULL.DIST(AW$2,$M73,$L73,FALSE)*$U73*((1+Inputs!$D$7)^AW$2))),IF($N73=Lists!$K$3,IF($L73&lt;1,((($T73*(1-$F73)+$S73*(1-$G73))/$L73)*((1+Inputs!$D$7)^AW$2)),((INT(AW$2/$L73)-INT((AW$2-1)/$L73))*($T73*(1-$F73)+$S73*(1-$G73))*((1+Inputs!$D$7)^AW$2))),((_xlfn.WEIBULL.DIST(AW$2,$M73,$L73,FALSE)*($T73*(1-$F73)+$S73*(1-$G73))*((1+Inputs!$D$7)^AW$2))))))</f>
        <v>30149.290463067071</v>
      </c>
      <c r="AX73" s="88">
        <f>$E73*IF(AX$2&gt;Inputs!$D$5,0,IF(AX$2&gt;VLOOKUP($H73,Lists!$P$3:$Q$7,2),IF($N73=Lists!$K$3,IF($L73&lt;1,(($U73/$L73)*((1+Inputs!$D$7)^AX$2)),((INT(AX$2/$L73)-INT((AX$2-1)/$L73))*$U73*((1+Inputs!$D$7)^AX$2))),(_xlfn.WEIBULL.DIST(AX$2,$M73,$L73,FALSE)*$U73*((1+Inputs!$D$7)^AX$2))),IF($N73=Lists!$K$3,IF($L73&lt;1,((($T73*(1-$F73)+$S73*(1-$G73))/$L73)*((1+Inputs!$D$7)^AX$2)),((INT(AX$2/$L73)-INT((AX$2-1)/$L73))*($T73*(1-$F73)+$S73*(1-$G73))*((1+Inputs!$D$7)^AX$2))),((_xlfn.WEIBULL.DIST(AX$2,$M73,$L73,FALSE)*($T73*(1-$F73)+$S73*(1-$G73))*((1+Inputs!$D$7)^AX$2))))))</f>
        <v>30752.276272328414</v>
      </c>
      <c r="AY73" s="88">
        <f>$E73*IF(AY$2&gt;Inputs!$D$5,0,IF(AY$2&gt;VLOOKUP($H73,Lists!$P$3:$Q$7,2),IF($N73=Lists!$K$3,IF($L73&lt;1,(($U73/$L73)*((1+Inputs!$D$7)^AY$2)),((INT(AY$2/$L73)-INT((AY$2-1)/$L73))*$U73*((1+Inputs!$D$7)^AY$2))),(_xlfn.WEIBULL.DIST(AY$2,$M73,$L73,FALSE)*$U73*((1+Inputs!$D$7)^AY$2))),IF($N73=Lists!$K$3,IF($L73&lt;1,((($T73*(1-$F73)+$S73*(1-$G73))/$L73)*((1+Inputs!$D$7)^AY$2)),((INT(AY$2/$L73)-INT((AY$2-1)/$L73))*($T73*(1-$F73)+$S73*(1-$G73))*((1+Inputs!$D$7)^AY$2))),((_xlfn.WEIBULL.DIST(AY$2,$M73,$L73,FALSE)*($T73*(1-$F73)+$S73*(1-$G73))*((1+Inputs!$D$7)^AY$2))))))</f>
        <v>31367.321797774985</v>
      </c>
      <c r="AZ73" s="88">
        <f>$E73*IF(AZ$2&gt;Inputs!$D$5,0,IF(AZ$2&gt;VLOOKUP($H73,Lists!$P$3:$Q$7,2),IF($N73=Lists!$K$3,IF($L73&lt;1,(($U73/$L73)*((1+Inputs!$D$7)^AZ$2)),((INT(AZ$2/$L73)-INT((AZ$2-1)/$L73))*$U73*((1+Inputs!$D$7)^AZ$2))),(_xlfn.WEIBULL.DIST(AZ$2,$M73,$L73,FALSE)*$U73*((1+Inputs!$D$7)^AZ$2))),IF($N73=Lists!$K$3,IF($L73&lt;1,((($T73*(1-$F73)+$S73*(1-$G73))/$L73)*((1+Inputs!$D$7)^AZ$2)),((INT(AZ$2/$L73)-INT((AZ$2-1)/$L73))*($T73*(1-$F73)+$S73*(1-$G73))*((1+Inputs!$D$7)^AZ$2))),((_xlfn.WEIBULL.DIST(AZ$2,$M73,$L73,FALSE)*($T73*(1-$F73)+$S73*(1-$G73))*((1+Inputs!$D$7)^AZ$2))))))</f>
        <v>0</v>
      </c>
      <c r="BA73" s="88">
        <f>$E73*IF(BA$2&gt;Inputs!$D$5,0,IF(BA$2&gt;VLOOKUP($H73,Lists!$P$3:$Q$7,2),IF($N73=Lists!$K$3,IF($L73&lt;1,(($U73/$L73)*((1+Inputs!$D$7)^BA$2)),((INT(BA$2/$L73)-INT((BA$2-1)/$L73))*$U73*((1+Inputs!$D$7)^BA$2))),(_xlfn.WEIBULL.DIST(BA$2,$M73,$L73,FALSE)*$U73*((1+Inputs!$D$7)^BA$2))),IF($N73=Lists!$K$3,IF($L73&lt;1,((($T73*(1-$F73)+$S73*(1-$G73))/$L73)*((1+Inputs!$D$7)^BA$2)),((INT(BA$2/$L73)-INT((BA$2-1)/$L73))*($T73*(1-$F73)+$S73*(1-$G73))*((1+Inputs!$D$7)^BA$2))),((_xlfn.WEIBULL.DIST(BA$2,$M73,$L73,FALSE)*($T73*(1-$F73)+$S73*(1-$G73))*((1+Inputs!$D$7)^BA$2))))))</f>
        <v>0</v>
      </c>
      <c r="BB73" s="88">
        <f>$E73*IF(BB$2&gt;Inputs!$D$5,0,IF(BB$2&gt;VLOOKUP($H73,Lists!$P$3:$Q$7,2),IF($N73=Lists!$K$3,IF($L73&lt;1,(($U73/$L73)*((1+Inputs!$D$7)^BB$2)),((INT(BB$2/$L73)-INT((BB$2-1)/$L73))*$U73*((1+Inputs!$D$7)^BB$2))),(_xlfn.WEIBULL.DIST(BB$2,$M73,$L73,FALSE)*$U73*((1+Inputs!$D$7)^BB$2))),IF($N73=Lists!$K$3,IF($L73&lt;1,((($T73*(1-$F73)+$S73*(1-$G73))/$L73)*((1+Inputs!$D$7)^BB$2)),((INT(BB$2/$L73)-INT((BB$2-1)/$L73))*($T73*(1-$F73)+$S73*(1-$G73))*((1+Inputs!$D$7)^BB$2))),((_xlfn.WEIBULL.DIST(BB$2,$M73,$L73,FALSE)*($T73*(1-$F73)+$S73*(1-$G73))*((1+Inputs!$D$7)^BB$2))))))</f>
        <v>0</v>
      </c>
      <c r="BC73" s="88">
        <f>$E73*IF(BC$2&gt;Inputs!$D$5,0,IF(BC$2&gt;VLOOKUP($H73,Lists!$P$3:$Q$7,2),IF($N73=Lists!$K$3,IF($L73&lt;1,(($U73/$L73)*((1+Inputs!$D$7)^BC$2)),((INT(BC$2/$L73)-INT((BC$2-1)/$L73))*$U73*((1+Inputs!$D$7)^BC$2))),(_xlfn.WEIBULL.DIST(BC$2,$M73,$L73,FALSE)*$U73*((1+Inputs!$D$7)^BC$2))),IF($N73=Lists!$K$3,IF($L73&lt;1,((($T73*(1-$F73)+$S73*(1-$G73))/$L73)*((1+Inputs!$D$7)^BC$2)),((INT(BC$2/$L73)-INT((BC$2-1)/$L73))*($T73*(1-$F73)+$S73*(1-$G73))*((1+Inputs!$D$7)^BC$2))),((_xlfn.WEIBULL.DIST(BC$2,$M73,$L73,FALSE)*($T73*(1-$F73)+$S73*(1-$G73))*((1+Inputs!$D$7)^BC$2))))))</f>
        <v>0</v>
      </c>
      <c r="BD73" s="88">
        <f>$E73*IF(BD$2&gt;Inputs!$D$5,0,IF(BD$2&gt;VLOOKUP($H73,Lists!$P$3:$Q$7,2),IF($N73=Lists!$K$3,IF($L73&lt;1,(($U73/$L73)*((1+Inputs!$D$7)^BD$2)),((INT(BD$2/$L73)-INT((BD$2-1)/$L73))*$U73*((1+Inputs!$D$7)^BD$2))),(_xlfn.WEIBULL.DIST(BD$2,$M73,$L73,FALSE)*$U73*((1+Inputs!$D$7)^BD$2))),IF($N73=Lists!$K$3,IF($L73&lt;1,((($T73*(1-$F73)+$S73*(1-$G73))/$L73)*((1+Inputs!$D$7)^BD$2)),((INT(BD$2/$L73)-INT((BD$2-1)/$L73))*($T73*(1-$F73)+$S73*(1-$G73))*((1+Inputs!$D$7)^BD$2))),((_xlfn.WEIBULL.DIST(BD$2,$M73,$L73,FALSE)*($T73*(1-$F73)+$S73*(1-$G73))*((1+Inputs!$D$7)^BD$2))))))</f>
        <v>0</v>
      </c>
      <c r="BE73" s="88">
        <f>$E73*IF(BE$2&gt;Inputs!$D$5,0,IF(BE$2&gt;VLOOKUP($H73,Lists!$P$3:$Q$7,2),IF($N73=Lists!$K$3,IF($L73&lt;1,(($U73/$L73)*((1+Inputs!$D$7)^BE$2)),((INT(BE$2/$L73)-INT((BE$2-1)/$L73))*$U73*((1+Inputs!$D$7)^BE$2))),(_xlfn.WEIBULL.DIST(BE$2,$M73,$L73,FALSE)*$U73*((1+Inputs!$D$7)^BE$2))),IF($N73=Lists!$K$3,IF($L73&lt;1,((($T73*(1-$F73)+$S73*(1-$G73))/$L73)*((1+Inputs!$D$7)^BE$2)),((INT(BE$2/$L73)-INT((BE$2-1)/$L73))*($T73*(1-$F73)+$S73*(1-$G73))*((1+Inputs!$D$7)^BE$2))),((_xlfn.WEIBULL.DIST(BE$2,$M73,$L73,FALSE)*($T73*(1-$F73)+$S73*(1-$G73))*((1+Inputs!$D$7)^BE$2))))))</f>
        <v>0</v>
      </c>
      <c r="BF73" s="88">
        <f>$E73*IF(BF$2&gt;Inputs!$D$5,0,IF(BF$2&gt;VLOOKUP($H73,Lists!$P$3:$Q$7,2),IF($N73=Lists!$K$3,IF($L73&lt;1,(($U73/$L73)*((1+Inputs!$D$7)^BF$2)),((INT(BF$2/$L73)-INT((BF$2-1)/$L73))*$U73*((1+Inputs!$D$7)^BF$2))),(_xlfn.WEIBULL.DIST(BF$2,$M73,$L73,FALSE)*$U73*((1+Inputs!$D$7)^BF$2))),IF($N73=Lists!$K$3,IF($L73&lt;1,((($T73*(1-$F73)+$S73*(1-$G73))/$L73)*((1+Inputs!$D$7)^BF$2)),((INT(BF$2/$L73)-INT((BF$2-1)/$L73))*($T73*(1-$F73)+$S73*(1-$G73))*((1+Inputs!$D$7)^BF$2))),((_xlfn.WEIBULL.DIST(BF$2,$M73,$L73,FALSE)*($T73*(1-$F73)+$S73*(1-$G73))*((1+Inputs!$D$7)^BF$2))))))</f>
        <v>0</v>
      </c>
      <c r="BG73" s="88">
        <f>$E73*IF(BG$2&gt;Inputs!$D$5,0,IF(BG$2&gt;VLOOKUP($H73,Lists!$P$3:$Q$7,2),IF($N73=Lists!$K$3,IF($L73&lt;1,(($U73/$L73)*((1+Inputs!$D$7)^BG$2)),((INT(BG$2/$L73)-INT((BG$2-1)/$L73))*$U73*((1+Inputs!$D$7)^BG$2))),(_xlfn.WEIBULL.DIST(BG$2,$M73,$L73,FALSE)*$U73*((1+Inputs!$D$7)^BG$2))),IF($N73=Lists!$K$3,IF($L73&lt;1,((($T73*(1-$F73)+$S73*(1-$G73))/$L73)*((1+Inputs!$D$7)^BG$2)),((INT(BG$2/$L73)-INT((BG$2-1)/$L73))*($T73*(1-$F73)+$S73*(1-$G73))*((1+Inputs!$D$7)^BG$2))),((_xlfn.WEIBULL.DIST(BG$2,$M73,$L73,FALSE)*($T73*(1-$F73)+$S73*(1-$G73))*((1+Inputs!$D$7)^BG$2))))))</f>
        <v>0</v>
      </c>
      <c r="BH73" s="88">
        <f>$E73*IF(BH$2&gt;Inputs!$D$5,0,IF(BH$2&gt;VLOOKUP($H73,Lists!$P$3:$Q$7,2),IF($N73=Lists!$K$3,IF($L73&lt;1,(($U73/$L73)*((1+Inputs!$D$7)^BH$2)),((INT(BH$2/$L73)-INT((BH$2-1)/$L73))*$U73*((1+Inputs!$D$7)^BH$2))),(_xlfn.WEIBULL.DIST(BH$2,$M73,$L73,FALSE)*$U73*((1+Inputs!$D$7)^BH$2))),IF($N73=Lists!$K$3,IF($L73&lt;1,((($T73*(1-$F73)+$S73*(1-$G73))/$L73)*((1+Inputs!$D$7)^BH$2)),((INT(BH$2/$L73)-INT((BH$2-1)/$L73))*($T73*(1-$F73)+$S73*(1-$G73))*((1+Inputs!$D$7)^BH$2))),((_xlfn.WEIBULL.DIST(BH$2,$M73,$L73,FALSE)*($T73*(1-$F73)+$S73*(1-$G73))*((1+Inputs!$D$7)^BH$2))))))</f>
        <v>0</v>
      </c>
      <c r="BI73" s="88">
        <f>$E73*IF(BI$2&gt;Inputs!$D$5,0,IF(BI$2&gt;VLOOKUP($H73,Lists!$P$3:$Q$7,2),IF($N73=Lists!$K$3,IF($L73&lt;1,(($U73/$L73)*((1+Inputs!$D$7)^BI$2)),((INT(BI$2/$L73)-INT((BI$2-1)/$L73))*$U73*((1+Inputs!$D$7)^BI$2))),(_xlfn.WEIBULL.DIST(BI$2,$M73,$L73,FALSE)*$U73*((1+Inputs!$D$7)^BI$2))),IF($N73=Lists!$K$3,IF($L73&lt;1,((($T73*(1-$F73)+$S73*(1-$G73))/$L73)*((1+Inputs!$D$7)^BI$2)),((INT(BI$2/$L73)-INT((BI$2-1)/$L73))*($T73*(1-$F73)+$S73*(1-$G73))*((1+Inputs!$D$7)^BI$2))),((_xlfn.WEIBULL.DIST(BI$2,$M73,$L73,FALSE)*($T73*(1-$F73)+$S73*(1-$G73))*((1+Inputs!$D$7)^BI$2))))))</f>
        <v>0</v>
      </c>
      <c r="BJ73" s="88">
        <f>$E73*IF(BJ$2&gt;Inputs!$D$5,0,IF(BJ$2&gt;VLOOKUP($H73,Lists!$P$3:$Q$7,2),IF($N73=Lists!$K$3,IF($L73&lt;1,(($U73/$L73)*((1+Inputs!$D$7)^BJ$2)),((INT(BJ$2/$L73)-INT((BJ$2-1)/$L73))*$U73*((1+Inputs!$D$7)^BJ$2))),(_xlfn.WEIBULL.DIST(BJ$2,$M73,$L73,FALSE)*$U73*((1+Inputs!$D$7)^BJ$2))),IF($N73=Lists!$K$3,IF($L73&lt;1,((($T73*(1-$F73)+$S73*(1-$G73))/$L73)*((1+Inputs!$D$7)^BJ$2)),((INT(BJ$2/$L73)-INT((BJ$2-1)/$L73))*($T73*(1-$F73)+$S73*(1-$G73))*((1+Inputs!$D$7)^BJ$2))),((_xlfn.WEIBULL.DIST(BJ$2,$M73,$L73,FALSE)*($T73*(1-$F73)+$S73*(1-$G73))*((1+Inputs!$D$7)^BJ$2))))))</f>
        <v>0</v>
      </c>
      <c r="BK73" s="88">
        <f>$E73*IF(BK$2&gt;Inputs!$D$5,0,IF(BK$2&gt;VLOOKUP($H73,Lists!$P$3:$Q$7,2),IF($N73=Lists!$K$3,IF($L73&lt;1,(($U73/$L73)*((1+Inputs!$D$7)^BK$2)),((INT(BK$2/$L73)-INT((BK$2-1)/$L73))*$U73*((1+Inputs!$D$7)^BK$2))),(_xlfn.WEIBULL.DIST(BK$2,$M73,$L73,FALSE)*$U73*((1+Inputs!$D$7)^BK$2))),IF($N73=Lists!$K$3,IF($L73&lt;1,((($T73*(1-$F73)+$S73*(1-$G73))/$L73)*((1+Inputs!$D$7)^BK$2)),((INT(BK$2/$L73)-INT((BK$2-1)/$L73))*($T73*(1-$F73)+$S73*(1-$G73))*((1+Inputs!$D$7)^BK$2))),((_xlfn.WEIBULL.DIST(BK$2,$M73,$L73,FALSE)*($T73*(1-$F73)+$S73*(1-$G73))*((1+Inputs!$D$7)^BK$2))))))</f>
        <v>0</v>
      </c>
      <c r="BL73" s="88">
        <f>$E73*IF(BL$2&gt;Inputs!$D$5,0,IF(BL$2&gt;VLOOKUP($H73,Lists!$P$3:$Q$7,2),IF($N73=Lists!$K$3,IF($L73&lt;1,(($U73/$L73)*((1+Inputs!$D$7)^BL$2)),((INT(BL$2/$L73)-INT((BL$2-1)/$L73))*$U73*((1+Inputs!$D$7)^BL$2))),(_xlfn.WEIBULL.DIST(BL$2,$M73,$L73,FALSE)*$U73*((1+Inputs!$D$7)^BL$2))),IF($N73=Lists!$K$3,IF($L73&lt;1,((($T73*(1-$F73)+$S73*(1-$G73))/$L73)*((1+Inputs!$D$7)^BL$2)),((INT(BL$2/$L73)-INT((BL$2-1)/$L73))*($T73*(1-$F73)+$S73*(1-$G73))*((1+Inputs!$D$7)^BL$2))),((_xlfn.WEIBULL.DIST(BL$2,$M73,$L73,FALSE)*($T73*(1-$F73)+$S73*(1-$G73))*((1+Inputs!$D$7)^BL$2))))))</f>
        <v>0</v>
      </c>
      <c r="BM73" s="88">
        <f>$E73*IF(BM$2&gt;Inputs!$D$5,0,IF(BM$2&gt;VLOOKUP($H73,Lists!$P$3:$Q$7,2),IF($N73=Lists!$K$3,IF($L73&lt;1,(($U73/$L73)*((1+Inputs!$D$7)^BM$2)),((INT(BM$2/$L73)-INT((BM$2-1)/$L73))*$U73*((1+Inputs!$D$7)^BM$2))),(_xlfn.WEIBULL.DIST(BM$2,$M73,$L73,FALSE)*$U73*((1+Inputs!$D$7)^BM$2))),IF($N73=Lists!$K$3,IF($L73&lt;1,((($T73*(1-$F73)+$S73*(1-$G73))/$L73)*((1+Inputs!$D$7)^BM$2)),((INT(BM$2/$L73)-INT((BM$2-1)/$L73))*($T73*(1-$F73)+$S73*(1-$G73))*((1+Inputs!$D$7)^BM$2))),((_xlfn.WEIBULL.DIST(BM$2,$M73,$L73,FALSE)*($T73*(1-$F73)+$S73*(1-$G73))*((1+Inputs!$D$7)^BM$2))))))</f>
        <v>0</v>
      </c>
      <c r="BN73" s="88">
        <f>$E73*IF(BN$2&gt;Inputs!$D$5,0,IF(BN$2&gt;VLOOKUP($H73,Lists!$P$3:$Q$7,2),IF($N73=Lists!$K$3,IF($L73&lt;1,(($U73/$L73)*((1+Inputs!$D$7)^BN$2)),((INT(BN$2/$L73)-INT((BN$2-1)/$L73))*$U73*((1+Inputs!$D$7)^BN$2))),(_xlfn.WEIBULL.DIST(BN$2,$M73,$L73,FALSE)*$U73*((1+Inputs!$D$7)^BN$2))),IF($N73=Lists!$K$3,IF($L73&lt;1,((($T73*(1-$F73)+$S73*(1-$G73))/$L73)*((1+Inputs!$D$7)^BN$2)),((INT(BN$2/$L73)-INT((BN$2-1)/$L73))*($T73*(1-$F73)+$S73*(1-$G73))*((1+Inputs!$D$7)^BN$2))),((_xlfn.WEIBULL.DIST(BN$2,$M73,$L73,FALSE)*($T73*(1-$F73)+$S73*(1-$G73))*((1+Inputs!$D$7)^BN$2))))))</f>
        <v>0</v>
      </c>
      <c r="BO73" s="64">
        <f>NPV(Inputs!$D$6,BQ73:DD73)</f>
        <v>272134.93347214884</v>
      </c>
      <c r="BP73" s="67">
        <f t="shared" si="20"/>
        <v>0.12835212044556821</v>
      </c>
      <c r="BQ73" s="88">
        <f>MAX(AA73,($E73*IF(BQ$2&gt;Inputs!$D$5,0,IF(BQ$2&gt;VLOOKUP($H73,Lists!$P$3:$Q$7,2),IF($N73=Lists!$K$3,IF($L73&lt;1,(($U73/$L73)*((1+Inputs!$D$7)^BQ$2)),((INT(BQ$2/$L73)-INT((BQ$2-1)/$L73))*$U73*((1+Inputs!$D$7)^BQ$2))),(Inputs!$D$8^((1-_xlfn.WEIBULL.DIST(BQ$2,$M73,$L73,FALSE))/_xlfn.WEIBULL.DIST(BQ$2,$M73,$L73,FALSE))*$U73*((1+Inputs!$D$7)^BQ$2))),IF($N73=Lists!$K$3,IF($L73&lt;1,((($T73*(1-$F73)+$S73*(1-$G73))/$L73)*((1+Inputs!$D$7)^BQ$2)),((INT(BQ$2/$L73)-INT((BQ$2-1)/$L73))*($T73*(1-$F73)+$S73*(1-$G73))*((1+Inputs!$D$7)^BQ$2))),((Inputs!$D$8^((1-_xlfn.WEIBULL.DIST(BQ$2,$M73,$L73,FALSE))/_xlfn.WEIBULL.DIST(BQ$2,$M73,$L73,FALSE))*($T73*(1-$F73)+$S73*(1-$G73))*((1+Inputs!$D$7)^BQ$2))))))))</f>
        <v>19501.737980769227</v>
      </c>
      <c r="BR73" s="88">
        <f>MAX(AB73,($E73*IF(BR$2&gt;Inputs!$D$5,0,IF(BR$2&gt;VLOOKUP($H73,Lists!$P$3:$Q$7,2),IF($N73=Lists!$K$3,IF($L73&lt;1,(($U73/$L73)*((1+Inputs!$D$7)^BR$2)),((INT(BR$2/$L73)-INT((BR$2-1)/$L73))*$U73*((1+Inputs!$D$7)^BR$2))),(Inputs!$D$8^((1-_xlfn.WEIBULL.DIST(BR$2,$M73,$L73,FALSE))/_xlfn.WEIBULL.DIST(BR$2,$M73,$L73,FALSE))*$U73*((1+Inputs!$D$7)^BR$2))),IF($N73=Lists!$K$3,IF($L73&lt;1,((($T73*(1-$F73)+$S73*(1-$G73))/$L73)*((1+Inputs!$D$7)^BR$2)),((INT(BR$2/$L73)-INT((BR$2-1)/$L73))*($T73*(1-$F73)+$S73*(1-$G73))*((1+Inputs!$D$7)^BR$2))),((Inputs!$D$8^((1-_xlfn.WEIBULL.DIST(BR$2,$M73,$L73,FALSE))/_xlfn.WEIBULL.DIST(BR$2,$M73,$L73,FALSE))*($T73*(1-$F73)+$S73*(1-$G73))*((1+Inputs!$D$7)^BR$2))))))))</f>
        <v>19891.772740384611</v>
      </c>
      <c r="BS73" s="88">
        <f>MAX(AC73,($E73*IF(BS$2&gt;Inputs!$D$5,0,IF(BS$2&gt;VLOOKUP($H73,Lists!$P$3:$Q$7,2),IF($N73=Lists!$K$3,IF($L73&lt;1,(($U73/$L73)*((1+Inputs!$D$7)^BS$2)),((INT(BS$2/$L73)-INT((BS$2-1)/$L73))*$U73*((1+Inputs!$D$7)^BS$2))),(Inputs!$D$8^((1-_xlfn.WEIBULL.DIST(BS$2,$M73,$L73,FALSE))/_xlfn.WEIBULL.DIST(BS$2,$M73,$L73,FALSE))*$U73*((1+Inputs!$D$7)^BS$2))),IF($N73=Lists!$K$3,IF($L73&lt;1,((($T73*(1-$F73)+$S73*(1-$G73))/$L73)*((1+Inputs!$D$7)^BS$2)),((INT(BS$2/$L73)-INT((BS$2-1)/$L73))*($T73*(1-$F73)+$S73*(1-$G73))*((1+Inputs!$D$7)^BS$2))),((Inputs!$D$8^((1-_xlfn.WEIBULL.DIST(BS$2,$M73,$L73,FALSE))/_xlfn.WEIBULL.DIST(BS$2,$M73,$L73,FALSE))*($T73*(1-$F73)+$S73*(1-$G73))*((1+Inputs!$D$7)^BS$2))))))))</f>
        <v>20289.608195192301</v>
      </c>
      <c r="BT73" s="88">
        <f>MAX(AD73,($E73*IF(BT$2&gt;Inputs!$D$5,0,IF(BT$2&gt;VLOOKUP($H73,Lists!$P$3:$Q$7,2),IF($N73=Lists!$K$3,IF($L73&lt;1,(($U73/$L73)*((1+Inputs!$D$7)^BT$2)),((INT(BT$2/$L73)-INT((BT$2-1)/$L73))*$U73*((1+Inputs!$D$7)^BT$2))),(Inputs!$D$8^((1-_xlfn.WEIBULL.DIST(BT$2,$M73,$L73,FALSE))/_xlfn.WEIBULL.DIST(BT$2,$M73,$L73,FALSE))*$U73*((1+Inputs!$D$7)^BT$2))),IF($N73=Lists!$K$3,IF($L73&lt;1,((($T73*(1-$F73)+$S73*(1-$G73))/$L73)*((1+Inputs!$D$7)^BT$2)),((INT(BT$2/$L73)-INT((BT$2-1)/$L73))*($T73*(1-$F73)+$S73*(1-$G73))*((1+Inputs!$D$7)^BT$2))),((Inputs!$D$8^((1-_xlfn.WEIBULL.DIST(BT$2,$M73,$L73,FALSE))/_xlfn.WEIBULL.DIST(BT$2,$M73,$L73,FALSE))*($T73*(1-$F73)+$S73*(1-$G73))*((1+Inputs!$D$7)^BT$2))))))))</f>
        <v>20695.400359096147</v>
      </c>
      <c r="BU73" s="88">
        <f>MAX(AE73,($E73*IF(BU$2&gt;Inputs!$D$5,0,IF(BU$2&gt;VLOOKUP($H73,Lists!$P$3:$Q$7,2),IF($N73=Lists!$K$3,IF($L73&lt;1,(($U73/$L73)*((1+Inputs!$D$7)^BU$2)),((INT(BU$2/$L73)-INT((BU$2-1)/$L73))*$U73*((1+Inputs!$D$7)^BU$2))),(Inputs!$D$8^((1-_xlfn.WEIBULL.DIST(BU$2,$M73,$L73,FALSE))/_xlfn.WEIBULL.DIST(BU$2,$M73,$L73,FALSE))*$U73*((1+Inputs!$D$7)^BU$2))),IF($N73=Lists!$K$3,IF($L73&lt;1,((($T73*(1-$F73)+$S73*(1-$G73))/$L73)*((1+Inputs!$D$7)^BU$2)),((INT(BU$2/$L73)-INT((BU$2-1)/$L73))*($T73*(1-$F73)+$S73*(1-$G73))*((1+Inputs!$D$7)^BU$2))),((Inputs!$D$8^((1-_xlfn.WEIBULL.DIST(BU$2,$M73,$L73,FALSE))/_xlfn.WEIBULL.DIST(BU$2,$M73,$L73,FALSE))*($T73*(1-$F73)+$S73*(1-$G73))*((1+Inputs!$D$7)^BU$2))))))))</f>
        <v>21109.308366278074</v>
      </c>
      <c r="BV73" s="88">
        <f>MAX(AF73,($E73*IF(BV$2&gt;Inputs!$D$5,0,IF(BV$2&gt;VLOOKUP($H73,Lists!$P$3:$Q$7,2),IF($N73=Lists!$K$3,IF($L73&lt;1,(($U73/$L73)*((1+Inputs!$D$7)^BV$2)),((INT(BV$2/$L73)-INT((BV$2-1)/$L73))*$U73*((1+Inputs!$D$7)^BV$2))),(Inputs!$D$8^((1-_xlfn.WEIBULL.DIST(BV$2,$M73,$L73,FALSE))/_xlfn.WEIBULL.DIST(BV$2,$M73,$L73,FALSE))*$U73*((1+Inputs!$D$7)^BV$2))),IF($N73=Lists!$K$3,IF($L73&lt;1,((($T73*(1-$F73)+$S73*(1-$G73))/$L73)*((1+Inputs!$D$7)^BV$2)),((INT(BV$2/$L73)-INT((BV$2-1)/$L73))*($T73*(1-$F73)+$S73*(1-$G73))*((1+Inputs!$D$7)^BV$2))),((Inputs!$D$8^((1-_xlfn.WEIBULL.DIST(BV$2,$M73,$L73,FALSE))/_xlfn.WEIBULL.DIST(BV$2,$M73,$L73,FALSE))*($T73*(1-$F73)+$S73*(1-$G73))*((1+Inputs!$D$7)^BV$2))))))))</f>
        <v>21531.494533603636</v>
      </c>
      <c r="BW73" s="88">
        <f>MAX(AG73,($E73*IF(BW$2&gt;Inputs!$D$5,0,IF(BW$2&gt;VLOOKUP($H73,Lists!$P$3:$Q$7,2),IF($N73=Lists!$K$3,IF($L73&lt;1,(($U73/$L73)*((1+Inputs!$D$7)^BW$2)),((INT(BW$2/$L73)-INT((BW$2-1)/$L73))*$U73*((1+Inputs!$D$7)^BW$2))),(Inputs!$D$8^((1-_xlfn.WEIBULL.DIST(BW$2,$M73,$L73,FALSE))/_xlfn.WEIBULL.DIST(BW$2,$M73,$L73,FALSE))*$U73*((1+Inputs!$D$7)^BW$2))),IF($N73=Lists!$K$3,IF($L73&lt;1,((($T73*(1-$F73)+$S73*(1-$G73))/$L73)*((1+Inputs!$D$7)^BW$2)),((INT(BW$2/$L73)-INT((BW$2-1)/$L73))*($T73*(1-$F73)+$S73*(1-$G73))*((1+Inputs!$D$7)^BW$2))),((Inputs!$D$8^((1-_xlfn.WEIBULL.DIST(BW$2,$M73,$L73,FALSE))/_xlfn.WEIBULL.DIST(BW$2,$M73,$L73,FALSE))*($T73*(1-$F73)+$S73*(1-$G73))*((1+Inputs!$D$7)^BW$2))))))))</f>
        <v>21962.124424275702</v>
      </c>
      <c r="BX73" s="88">
        <f>MAX(AH73,($E73*IF(BX$2&gt;Inputs!$D$5,0,IF(BX$2&gt;VLOOKUP($H73,Lists!$P$3:$Q$7,2),IF($N73=Lists!$K$3,IF($L73&lt;1,(($U73/$L73)*((1+Inputs!$D$7)^BX$2)),((INT(BX$2/$L73)-INT((BX$2-1)/$L73))*$U73*((1+Inputs!$D$7)^BX$2))),(Inputs!$D$8^((1-_xlfn.WEIBULL.DIST(BX$2,$M73,$L73,FALSE))/_xlfn.WEIBULL.DIST(BX$2,$M73,$L73,FALSE))*$U73*((1+Inputs!$D$7)^BX$2))),IF($N73=Lists!$K$3,IF($L73&lt;1,((($T73*(1-$F73)+$S73*(1-$G73))/$L73)*((1+Inputs!$D$7)^BX$2)),((INT(BX$2/$L73)-INT((BX$2-1)/$L73))*($T73*(1-$F73)+$S73*(1-$G73))*((1+Inputs!$D$7)^BX$2))),((Inputs!$D$8^((1-_xlfn.WEIBULL.DIST(BX$2,$M73,$L73,FALSE))/_xlfn.WEIBULL.DIST(BX$2,$M73,$L73,FALSE))*($T73*(1-$F73)+$S73*(1-$G73))*((1+Inputs!$D$7)^BX$2))))))))</f>
        <v>22401.366912761219</v>
      </c>
      <c r="BY73" s="88">
        <f>MAX(AI73,($E73*IF(BY$2&gt;Inputs!$D$5,0,IF(BY$2&gt;VLOOKUP($H73,Lists!$P$3:$Q$7,2),IF($N73=Lists!$K$3,IF($L73&lt;1,(($U73/$L73)*((1+Inputs!$D$7)^BY$2)),((INT(BY$2/$L73)-INT((BY$2-1)/$L73))*$U73*((1+Inputs!$D$7)^BY$2))),(Inputs!$D$8^((1-_xlfn.WEIBULL.DIST(BY$2,$M73,$L73,FALSE))/_xlfn.WEIBULL.DIST(BY$2,$M73,$L73,FALSE))*$U73*((1+Inputs!$D$7)^BY$2))),IF($N73=Lists!$K$3,IF($L73&lt;1,((($T73*(1-$F73)+$S73*(1-$G73))/$L73)*((1+Inputs!$D$7)^BY$2)),((INT(BY$2/$L73)-INT((BY$2-1)/$L73))*($T73*(1-$F73)+$S73*(1-$G73))*((1+Inputs!$D$7)^BY$2))),((Inputs!$D$8^((1-_xlfn.WEIBULL.DIST(BY$2,$M73,$L73,FALSE))/_xlfn.WEIBULL.DIST(BY$2,$M73,$L73,FALSE))*($T73*(1-$F73)+$S73*(1-$G73))*((1+Inputs!$D$7)^BY$2))))))))</f>
        <v>22849.394251016445</v>
      </c>
      <c r="BZ73" s="88">
        <f>MAX(AJ73,($E73*IF(BZ$2&gt;Inputs!$D$5,0,IF(BZ$2&gt;VLOOKUP($H73,Lists!$P$3:$Q$7,2),IF($N73=Lists!$K$3,IF($L73&lt;1,(($U73/$L73)*((1+Inputs!$D$7)^BZ$2)),((INT(BZ$2/$L73)-INT((BZ$2-1)/$L73))*$U73*((1+Inputs!$D$7)^BZ$2))),(Inputs!$D$8^((1-_xlfn.WEIBULL.DIST(BZ$2,$M73,$L73,FALSE))/_xlfn.WEIBULL.DIST(BZ$2,$M73,$L73,FALSE))*$U73*((1+Inputs!$D$7)^BZ$2))),IF($N73=Lists!$K$3,IF($L73&lt;1,((($T73*(1-$F73)+$S73*(1-$G73))/$L73)*((1+Inputs!$D$7)^BZ$2)),((INT(BZ$2/$L73)-INT((BZ$2-1)/$L73))*($T73*(1-$F73)+$S73*(1-$G73))*((1+Inputs!$D$7)^BZ$2))),((Inputs!$D$8^((1-_xlfn.WEIBULL.DIST(BZ$2,$M73,$L73,FALSE))/_xlfn.WEIBULL.DIST(BZ$2,$M73,$L73,FALSE))*($T73*(1-$F73)+$S73*(1-$G73))*((1+Inputs!$D$7)^BZ$2))))))))</f>
        <v>23306.382136036773</v>
      </c>
      <c r="CA73" s="88">
        <f>MAX(AK73,($E73*IF(CA$2&gt;Inputs!$D$5,0,IF(CA$2&gt;VLOOKUP($H73,Lists!$P$3:$Q$7,2),IF($N73=Lists!$K$3,IF($L73&lt;1,(($U73/$L73)*((1+Inputs!$D$7)^CA$2)),((INT(CA$2/$L73)-INT((CA$2-1)/$L73))*$U73*((1+Inputs!$D$7)^CA$2))),(Inputs!$D$8^((1-_xlfn.WEIBULL.DIST(CA$2,$M73,$L73,FALSE))/_xlfn.WEIBULL.DIST(CA$2,$M73,$L73,FALSE))*$U73*((1+Inputs!$D$7)^CA$2))),IF($N73=Lists!$K$3,IF($L73&lt;1,((($T73*(1-$F73)+$S73*(1-$G73))/$L73)*((1+Inputs!$D$7)^CA$2)),((INT(CA$2/$L73)-INT((CA$2-1)/$L73))*($T73*(1-$F73)+$S73*(1-$G73))*((1+Inputs!$D$7)^CA$2))),((Inputs!$D$8^((1-_xlfn.WEIBULL.DIST(CA$2,$M73,$L73,FALSE))/_xlfn.WEIBULL.DIST(CA$2,$M73,$L73,FALSE))*($T73*(1-$F73)+$S73*(1-$G73))*((1+Inputs!$D$7)^CA$2))))))))</f>
        <v>23772.509778757503</v>
      </c>
      <c r="CB73" s="88">
        <f>MAX(AL73,($E73*IF(CB$2&gt;Inputs!$D$5,0,IF(CB$2&gt;VLOOKUP($H73,Lists!$P$3:$Q$7,2),IF($N73=Lists!$K$3,IF($L73&lt;1,(($U73/$L73)*((1+Inputs!$D$7)^CB$2)),((INT(CB$2/$L73)-INT((CB$2-1)/$L73))*$U73*((1+Inputs!$D$7)^CB$2))),(Inputs!$D$8^((1-_xlfn.WEIBULL.DIST(CB$2,$M73,$L73,FALSE))/_xlfn.WEIBULL.DIST(CB$2,$M73,$L73,FALSE))*$U73*((1+Inputs!$D$7)^CB$2))),IF($N73=Lists!$K$3,IF($L73&lt;1,((($T73*(1-$F73)+$S73*(1-$G73))/$L73)*((1+Inputs!$D$7)^CB$2)),((INT(CB$2/$L73)-INT((CB$2-1)/$L73))*($T73*(1-$F73)+$S73*(1-$G73))*((1+Inputs!$D$7)^CB$2))),((Inputs!$D$8^((1-_xlfn.WEIBULL.DIST(CB$2,$M73,$L73,FALSE))/_xlfn.WEIBULL.DIST(CB$2,$M73,$L73,FALSE))*($T73*(1-$F73)+$S73*(1-$G73))*((1+Inputs!$D$7)^CB$2))))))))</f>
        <v>24247.959974332658</v>
      </c>
      <c r="CC73" s="88">
        <f>MAX(AM73,($E73*IF(CC$2&gt;Inputs!$D$5,0,IF(CC$2&gt;VLOOKUP($H73,Lists!$P$3:$Q$7,2),IF($N73=Lists!$K$3,IF($L73&lt;1,(($U73/$L73)*((1+Inputs!$D$7)^CC$2)),((INT(CC$2/$L73)-INT((CC$2-1)/$L73))*$U73*((1+Inputs!$D$7)^CC$2))),(Inputs!$D$8^((1-_xlfn.WEIBULL.DIST(CC$2,$M73,$L73,FALSE))/_xlfn.WEIBULL.DIST(CC$2,$M73,$L73,FALSE))*$U73*((1+Inputs!$D$7)^CC$2))),IF($N73=Lists!$K$3,IF($L73&lt;1,((($T73*(1-$F73)+$S73*(1-$G73))/$L73)*((1+Inputs!$D$7)^CC$2)),((INT(CC$2/$L73)-INT((CC$2-1)/$L73))*($T73*(1-$F73)+$S73*(1-$G73))*((1+Inputs!$D$7)^CC$2))),((Inputs!$D$8^((1-_xlfn.WEIBULL.DIST(CC$2,$M73,$L73,FALSE))/_xlfn.WEIBULL.DIST(CC$2,$M73,$L73,FALSE))*($T73*(1-$F73)+$S73*(1-$G73))*((1+Inputs!$D$7)^CC$2))))))))</f>
        <v>24732.919173819311</v>
      </c>
      <c r="CD73" s="88">
        <f>MAX(AN73,($E73*IF(CD$2&gt;Inputs!$D$5,0,IF(CD$2&gt;VLOOKUP($H73,Lists!$P$3:$Q$7,2),IF($N73=Lists!$K$3,IF($L73&lt;1,(($U73/$L73)*((1+Inputs!$D$7)^CD$2)),((INT(CD$2/$L73)-INT((CD$2-1)/$L73))*$U73*((1+Inputs!$D$7)^CD$2))),(Inputs!$D$8^((1-_xlfn.WEIBULL.DIST(CD$2,$M73,$L73,FALSE))/_xlfn.WEIBULL.DIST(CD$2,$M73,$L73,FALSE))*$U73*((1+Inputs!$D$7)^CD$2))),IF($N73=Lists!$K$3,IF($L73&lt;1,((($T73*(1-$F73)+$S73*(1-$G73))/$L73)*((1+Inputs!$D$7)^CD$2)),((INT(CD$2/$L73)-INT((CD$2-1)/$L73))*($T73*(1-$F73)+$S73*(1-$G73))*((1+Inputs!$D$7)^CD$2))),((Inputs!$D$8^((1-_xlfn.WEIBULL.DIST(CD$2,$M73,$L73,FALSE))/_xlfn.WEIBULL.DIST(CD$2,$M73,$L73,FALSE))*($T73*(1-$F73)+$S73*(1-$G73))*((1+Inputs!$D$7)^CD$2))))))))</f>
        <v>25227.577557295699</v>
      </c>
      <c r="CE73" s="88">
        <f>MAX(AO73,($E73*IF(CE$2&gt;Inputs!$D$5,0,IF(CE$2&gt;VLOOKUP($H73,Lists!$P$3:$Q$7,2),IF($N73=Lists!$K$3,IF($L73&lt;1,(($U73/$L73)*((1+Inputs!$D$7)^CE$2)),((INT(CE$2/$L73)-INT((CE$2-1)/$L73))*$U73*((1+Inputs!$D$7)^CE$2))),(Inputs!$D$8^((1-_xlfn.WEIBULL.DIST(CE$2,$M73,$L73,FALSE))/_xlfn.WEIBULL.DIST(CE$2,$M73,$L73,FALSE))*$U73*((1+Inputs!$D$7)^CE$2))),IF($N73=Lists!$K$3,IF($L73&lt;1,((($T73*(1-$F73)+$S73*(1-$G73))/$L73)*((1+Inputs!$D$7)^CE$2)),((INT(CE$2/$L73)-INT((CE$2-1)/$L73))*($T73*(1-$F73)+$S73*(1-$G73))*((1+Inputs!$D$7)^CE$2))),((Inputs!$D$8^((1-_xlfn.WEIBULL.DIST(CE$2,$M73,$L73,FALSE))/_xlfn.WEIBULL.DIST(CE$2,$M73,$L73,FALSE))*($T73*(1-$F73)+$S73*(1-$G73))*((1+Inputs!$D$7)^CE$2))))))))</f>
        <v>25732.129108441604</v>
      </c>
      <c r="CF73" s="88">
        <f>MAX(AP73,($E73*IF(CF$2&gt;Inputs!$D$5,0,IF(CF$2&gt;VLOOKUP($H73,Lists!$P$3:$Q$7,2),IF($N73=Lists!$K$3,IF($L73&lt;1,(($U73/$L73)*((1+Inputs!$D$7)^CF$2)),((INT(CF$2/$L73)-INT((CF$2-1)/$L73))*$U73*((1+Inputs!$D$7)^CF$2))),(Inputs!$D$8^((1-_xlfn.WEIBULL.DIST(CF$2,$M73,$L73,FALSE))/_xlfn.WEIBULL.DIST(CF$2,$M73,$L73,FALSE))*$U73*((1+Inputs!$D$7)^CF$2))),IF($N73=Lists!$K$3,IF($L73&lt;1,((($T73*(1-$F73)+$S73*(1-$G73))/$L73)*((1+Inputs!$D$7)^CF$2)),((INT(CF$2/$L73)-INT((CF$2-1)/$L73))*($T73*(1-$F73)+$S73*(1-$G73))*((1+Inputs!$D$7)^CF$2))),((Inputs!$D$8^((1-_xlfn.WEIBULL.DIST(CF$2,$M73,$L73,FALSE))/_xlfn.WEIBULL.DIST(CF$2,$M73,$L73,FALSE))*($T73*(1-$F73)+$S73*(1-$G73))*((1+Inputs!$D$7)^CF$2))))))))</f>
        <v>26246.771690610443</v>
      </c>
      <c r="CG73" s="88">
        <f>MAX(AQ73,($E73*IF(CG$2&gt;Inputs!$D$5,0,IF(CG$2&gt;VLOOKUP($H73,Lists!$P$3:$Q$7,2),IF($N73=Lists!$K$3,IF($L73&lt;1,(($U73/$L73)*((1+Inputs!$D$7)^CG$2)),((INT(CG$2/$L73)-INT((CG$2-1)/$L73))*$U73*((1+Inputs!$D$7)^CG$2))),(Inputs!$D$8^((1-_xlfn.WEIBULL.DIST(CG$2,$M73,$L73,FALSE))/_xlfn.WEIBULL.DIST(CG$2,$M73,$L73,FALSE))*$U73*((1+Inputs!$D$7)^CG$2))),IF($N73=Lists!$K$3,IF($L73&lt;1,((($T73*(1-$F73)+$S73*(1-$G73))/$L73)*((1+Inputs!$D$7)^CG$2)),((INT(CG$2/$L73)-INT((CG$2-1)/$L73))*($T73*(1-$F73)+$S73*(1-$G73))*((1+Inputs!$D$7)^CG$2))),((Inputs!$D$8^((1-_xlfn.WEIBULL.DIST(CG$2,$M73,$L73,FALSE))/_xlfn.WEIBULL.DIST(CG$2,$M73,$L73,FALSE))*($T73*(1-$F73)+$S73*(1-$G73))*((1+Inputs!$D$7)^CG$2))))))))</f>
        <v>26771.707124422654</v>
      </c>
      <c r="CH73" s="88">
        <f>MAX(AR73,($E73*IF(CH$2&gt;Inputs!$D$5,0,IF(CH$2&gt;VLOOKUP($H73,Lists!$P$3:$Q$7,2),IF($N73=Lists!$K$3,IF($L73&lt;1,(($U73/$L73)*((1+Inputs!$D$7)^CH$2)),((INT(CH$2/$L73)-INT((CH$2-1)/$L73))*$U73*((1+Inputs!$D$7)^CH$2))),(Inputs!$D$8^((1-_xlfn.WEIBULL.DIST(CH$2,$M73,$L73,FALSE))/_xlfn.WEIBULL.DIST(CH$2,$M73,$L73,FALSE))*$U73*((1+Inputs!$D$7)^CH$2))),IF($N73=Lists!$K$3,IF($L73&lt;1,((($T73*(1-$F73)+$S73*(1-$G73))/$L73)*((1+Inputs!$D$7)^CH$2)),((INT(CH$2/$L73)-INT((CH$2-1)/$L73))*($T73*(1-$F73)+$S73*(1-$G73))*((1+Inputs!$D$7)^CH$2))),((Inputs!$D$8^((1-_xlfn.WEIBULL.DIST(CH$2,$M73,$L73,FALSE))/_xlfn.WEIBULL.DIST(CH$2,$M73,$L73,FALSE))*($T73*(1-$F73)+$S73*(1-$G73))*((1+Inputs!$D$7)^CH$2))))))))</f>
        <v>27307.141266911105</v>
      </c>
      <c r="CI73" s="88">
        <f>MAX(AS73,($E73*IF(CI$2&gt;Inputs!$D$5,0,IF(CI$2&gt;VLOOKUP($H73,Lists!$P$3:$Q$7,2),IF($N73=Lists!$K$3,IF($L73&lt;1,(($U73/$L73)*((1+Inputs!$D$7)^CI$2)),((INT(CI$2/$L73)-INT((CI$2-1)/$L73))*$U73*((1+Inputs!$D$7)^CI$2))),(Inputs!$D$8^((1-_xlfn.WEIBULL.DIST(CI$2,$M73,$L73,FALSE))/_xlfn.WEIBULL.DIST(CI$2,$M73,$L73,FALSE))*$U73*((1+Inputs!$D$7)^CI$2))),IF($N73=Lists!$K$3,IF($L73&lt;1,((($T73*(1-$F73)+$S73*(1-$G73))/$L73)*((1+Inputs!$D$7)^CI$2)),((INT(CI$2/$L73)-INT((CI$2-1)/$L73))*($T73*(1-$F73)+$S73*(1-$G73))*((1+Inputs!$D$7)^CI$2))),((Inputs!$D$8^((1-_xlfn.WEIBULL.DIST(CI$2,$M73,$L73,FALSE))/_xlfn.WEIBULL.DIST(CI$2,$M73,$L73,FALSE))*($T73*(1-$F73)+$S73*(1-$G73))*((1+Inputs!$D$7)^CI$2))))))))</f>
        <v>27853.284092249323</v>
      </c>
      <c r="CJ73" s="88">
        <f>MAX(AT73,($E73*IF(CJ$2&gt;Inputs!$D$5,0,IF(CJ$2&gt;VLOOKUP($H73,Lists!$P$3:$Q$7,2),IF($N73=Lists!$K$3,IF($L73&lt;1,(($U73/$L73)*((1+Inputs!$D$7)^CJ$2)),((INT(CJ$2/$L73)-INT((CJ$2-1)/$L73))*$U73*((1+Inputs!$D$7)^CJ$2))),(Inputs!$D$8^((1-_xlfn.WEIBULL.DIST(CJ$2,$M73,$L73,FALSE))/_xlfn.WEIBULL.DIST(CJ$2,$M73,$L73,FALSE))*$U73*((1+Inputs!$D$7)^CJ$2))),IF($N73=Lists!$K$3,IF($L73&lt;1,((($T73*(1-$F73)+$S73*(1-$G73))/$L73)*((1+Inputs!$D$7)^CJ$2)),((INT(CJ$2/$L73)-INT((CJ$2-1)/$L73))*($T73*(1-$F73)+$S73*(1-$G73))*((1+Inputs!$D$7)^CJ$2))),((Inputs!$D$8^((1-_xlfn.WEIBULL.DIST(CJ$2,$M73,$L73,FALSE))/_xlfn.WEIBULL.DIST(CJ$2,$M73,$L73,FALSE))*($T73*(1-$F73)+$S73*(1-$G73))*((1+Inputs!$D$7)^CJ$2))))))))</f>
        <v>28410.349774094313</v>
      </c>
      <c r="CK73" s="88">
        <f>MAX(AU73,($E73*IF(CK$2&gt;Inputs!$D$5,0,IF(CK$2&gt;VLOOKUP($H73,Lists!$P$3:$Q$7,2),IF($N73=Lists!$K$3,IF($L73&lt;1,(($U73/$L73)*((1+Inputs!$D$7)^CK$2)),((INT(CK$2/$L73)-INT((CK$2-1)/$L73))*$U73*((1+Inputs!$D$7)^CK$2))),(Inputs!$D$8^((1-_xlfn.WEIBULL.DIST(CK$2,$M73,$L73,FALSE))/_xlfn.WEIBULL.DIST(CK$2,$M73,$L73,FALSE))*$U73*((1+Inputs!$D$7)^CK$2))),IF($N73=Lists!$K$3,IF($L73&lt;1,((($T73*(1-$F73)+$S73*(1-$G73))/$L73)*((1+Inputs!$D$7)^CK$2)),((INT(CK$2/$L73)-INT((CK$2-1)/$L73))*($T73*(1-$F73)+$S73*(1-$G73))*((1+Inputs!$D$7)^CK$2))),((Inputs!$D$8^((1-_xlfn.WEIBULL.DIST(CK$2,$M73,$L73,FALSE))/_xlfn.WEIBULL.DIST(CK$2,$M73,$L73,FALSE))*($T73*(1-$F73)+$S73*(1-$G73))*((1+Inputs!$D$7)^CK$2))))))))</f>
        <v>28978.556769576197</v>
      </c>
      <c r="CL73" s="88">
        <f>MAX(AV73,($E73*IF(CL$2&gt;Inputs!$D$5,0,IF(CL$2&gt;VLOOKUP($H73,Lists!$P$3:$Q$7,2),IF($N73=Lists!$K$3,IF($L73&lt;1,(($U73/$L73)*((1+Inputs!$D$7)^CL$2)),((INT(CL$2/$L73)-INT((CL$2-1)/$L73))*$U73*((1+Inputs!$D$7)^CL$2))),(Inputs!$D$8^((1-_xlfn.WEIBULL.DIST(CL$2,$M73,$L73,FALSE))/_xlfn.WEIBULL.DIST(CL$2,$M73,$L73,FALSE))*$U73*((1+Inputs!$D$7)^CL$2))),IF($N73=Lists!$K$3,IF($L73&lt;1,((($T73*(1-$F73)+$S73*(1-$G73))/$L73)*((1+Inputs!$D$7)^CL$2)),((INT(CL$2/$L73)-INT((CL$2-1)/$L73))*($T73*(1-$F73)+$S73*(1-$G73))*((1+Inputs!$D$7)^CL$2))),((Inputs!$D$8^((1-_xlfn.WEIBULL.DIST(CL$2,$M73,$L73,FALSE))/_xlfn.WEIBULL.DIST(CL$2,$M73,$L73,FALSE))*($T73*(1-$F73)+$S73*(1-$G73))*((1+Inputs!$D$7)^CL$2))))))))</f>
        <v>29558.127904967725</v>
      </c>
      <c r="CM73" s="88">
        <f>MAX(AW73,($E73*IF(CM$2&gt;Inputs!$D$5,0,IF(CM$2&gt;VLOOKUP($H73,Lists!$P$3:$Q$7,2),IF($N73=Lists!$K$3,IF($L73&lt;1,(($U73/$L73)*((1+Inputs!$D$7)^CM$2)),((INT(CM$2/$L73)-INT((CM$2-1)/$L73))*$U73*((1+Inputs!$D$7)^CM$2))),(Inputs!$D$8^((1-_xlfn.WEIBULL.DIST(CM$2,$M73,$L73,FALSE))/_xlfn.WEIBULL.DIST(CM$2,$M73,$L73,FALSE))*$U73*((1+Inputs!$D$7)^CM$2))),IF($N73=Lists!$K$3,IF($L73&lt;1,((($T73*(1-$F73)+$S73*(1-$G73))/$L73)*((1+Inputs!$D$7)^CM$2)),((INT(CM$2/$L73)-INT((CM$2-1)/$L73))*($T73*(1-$F73)+$S73*(1-$G73))*((1+Inputs!$D$7)^CM$2))),((Inputs!$D$8^((1-_xlfn.WEIBULL.DIST(CM$2,$M73,$L73,FALSE))/_xlfn.WEIBULL.DIST(CM$2,$M73,$L73,FALSE))*($T73*(1-$F73)+$S73*(1-$G73))*((1+Inputs!$D$7)^CM$2))))))))</f>
        <v>30149.290463067071</v>
      </c>
      <c r="CN73" s="88">
        <f>MAX(AX73,($E73*IF(CN$2&gt;Inputs!$D$5,0,IF(CN$2&gt;VLOOKUP($H73,Lists!$P$3:$Q$7,2),IF($N73=Lists!$K$3,IF($L73&lt;1,(($U73/$L73)*((1+Inputs!$D$7)^CN$2)),((INT(CN$2/$L73)-INT((CN$2-1)/$L73))*$U73*((1+Inputs!$D$7)^CN$2))),(Inputs!$D$8^((1-_xlfn.WEIBULL.DIST(CN$2,$M73,$L73,FALSE))/_xlfn.WEIBULL.DIST(CN$2,$M73,$L73,FALSE))*$U73*((1+Inputs!$D$7)^CN$2))),IF($N73=Lists!$K$3,IF($L73&lt;1,((($T73*(1-$F73)+$S73*(1-$G73))/$L73)*((1+Inputs!$D$7)^CN$2)),((INT(CN$2/$L73)-INT((CN$2-1)/$L73))*($T73*(1-$F73)+$S73*(1-$G73))*((1+Inputs!$D$7)^CN$2))),((Inputs!$D$8^((1-_xlfn.WEIBULL.DIST(CN$2,$M73,$L73,FALSE))/_xlfn.WEIBULL.DIST(CN$2,$M73,$L73,FALSE))*($T73*(1-$F73)+$S73*(1-$G73))*((1+Inputs!$D$7)^CN$2))))))))</f>
        <v>30752.276272328414</v>
      </c>
      <c r="CO73" s="88">
        <f>MAX(AY73,($E73*IF(CO$2&gt;Inputs!$D$5,0,IF(CO$2&gt;VLOOKUP($H73,Lists!$P$3:$Q$7,2),IF($N73=Lists!$K$3,IF($L73&lt;1,(($U73/$L73)*((1+Inputs!$D$7)^CO$2)),((INT(CO$2/$L73)-INT((CO$2-1)/$L73))*$U73*((1+Inputs!$D$7)^CO$2))),(Inputs!$D$8^((1-_xlfn.WEIBULL.DIST(CO$2,$M73,$L73,FALSE))/_xlfn.WEIBULL.DIST(CO$2,$M73,$L73,FALSE))*$U73*((1+Inputs!$D$7)^CO$2))),IF($N73=Lists!$K$3,IF($L73&lt;1,((($T73*(1-$F73)+$S73*(1-$G73))/$L73)*((1+Inputs!$D$7)^CO$2)),((INT(CO$2/$L73)-INT((CO$2-1)/$L73))*($T73*(1-$F73)+$S73*(1-$G73))*((1+Inputs!$D$7)^CO$2))),((Inputs!$D$8^((1-_xlfn.WEIBULL.DIST(CO$2,$M73,$L73,FALSE))/_xlfn.WEIBULL.DIST(CO$2,$M73,$L73,FALSE))*($T73*(1-$F73)+$S73*(1-$G73))*((1+Inputs!$D$7)^CO$2))))))))</f>
        <v>31367.321797774985</v>
      </c>
      <c r="CP73" s="88">
        <f>MAX(AZ73,($E73*IF(CP$2&gt;Inputs!$D$5,0,IF(CP$2&gt;VLOOKUP($H73,Lists!$P$3:$Q$7,2),IF($N73=Lists!$K$3,IF($L73&lt;1,(($U73/$L73)*((1+Inputs!$D$7)^CP$2)),((INT(CP$2/$L73)-INT((CP$2-1)/$L73))*$U73*((1+Inputs!$D$7)^CP$2))),(Inputs!$D$8^((1-_xlfn.WEIBULL.DIST(CP$2,$M73,$L73,FALSE))/_xlfn.WEIBULL.DIST(CP$2,$M73,$L73,FALSE))*$U73*((1+Inputs!$D$7)^CP$2))),IF($N73=Lists!$K$3,IF($L73&lt;1,((($T73*(1-$F73)+$S73*(1-$G73))/$L73)*((1+Inputs!$D$7)^CP$2)),((INT(CP$2/$L73)-INT((CP$2-1)/$L73))*($T73*(1-$F73)+$S73*(1-$G73))*((1+Inputs!$D$7)^CP$2))),((Inputs!$D$8^((1-_xlfn.WEIBULL.DIST(CP$2,$M73,$L73,FALSE))/_xlfn.WEIBULL.DIST(CP$2,$M73,$L73,FALSE))*($T73*(1-$F73)+$S73*(1-$G73))*((1+Inputs!$D$7)^CP$2))))))))</f>
        <v>0</v>
      </c>
      <c r="CQ73" s="88">
        <f>MAX(BA73,($E73*IF(CQ$2&gt;Inputs!$D$5,0,IF(CQ$2&gt;VLOOKUP($H73,Lists!$P$3:$Q$7,2),IF($N73=Lists!$K$3,IF($L73&lt;1,(($U73/$L73)*((1+Inputs!$D$7)^CQ$2)),((INT(CQ$2/$L73)-INT((CQ$2-1)/$L73))*$U73*((1+Inputs!$D$7)^CQ$2))),(Inputs!$D$8^((1-_xlfn.WEIBULL.DIST(CQ$2,$M73,$L73,FALSE))/_xlfn.WEIBULL.DIST(CQ$2,$M73,$L73,FALSE))*$U73*((1+Inputs!$D$7)^CQ$2))),IF($N73=Lists!$K$3,IF($L73&lt;1,((($T73*(1-$F73)+$S73*(1-$G73))/$L73)*((1+Inputs!$D$7)^CQ$2)),((INT(CQ$2/$L73)-INT((CQ$2-1)/$L73))*($T73*(1-$F73)+$S73*(1-$G73))*((1+Inputs!$D$7)^CQ$2))),((Inputs!$D$8^((1-_xlfn.WEIBULL.DIST(CQ$2,$M73,$L73,FALSE))/_xlfn.WEIBULL.DIST(CQ$2,$M73,$L73,FALSE))*($T73*(1-$F73)+$S73*(1-$G73))*((1+Inputs!$D$7)^CQ$2))))))))</f>
        <v>0</v>
      </c>
      <c r="CR73" s="88">
        <f>MAX(BB73,($E73*IF(CR$2&gt;Inputs!$D$5,0,IF(CR$2&gt;VLOOKUP($H73,Lists!$P$3:$Q$7,2),IF($N73=Lists!$K$3,IF($L73&lt;1,(($U73/$L73)*((1+Inputs!$D$7)^CR$2)),((INT(CR$2/$L73)-INT((CR$2-1)/$L73))*$U73*((1+Inputs!$D$7)^CR$2))),(Inputs!$D$8^((1-_xlfn.WEIBULL.DIST(CR$2,$M73,$L73,FALSE))/_xlfn.WEIBULL.DIST(CR$2,$M73,$L73,FALSE))*$U73*((1+Inputs!$D$7)^CR$2))),IF($N73=Lists!$K$3,IF($L73&lt;1,((($T73*(1-$F73)+$S73*(1-$G73))/$L73)*((1+Inputs!$D$7)^CR$2)),((INT(CR$2/$L73)-INT((CR$2-1)/$L73))*($T73*(1-$F73)+$S73*(1-$G73))*((1+Inputs!$D$7)^CR$2))),((Inputs!$D$8^((1-_xlfn.WEIBULL.DIST(CR$2,$M73,$L73,FALSE))/_xlfn.WEIBULL.DIST(CR$2,$M73,$L73,FALSE))*($T73*(1-$F73)+$S73*(1-$G73))*((1+Inputs!$D$7)^CR$2))))))))</f>
        <v>0</v>
      </c>
      <c r="CS73" s="88">
        <f>MAX(BC73,($E73*IF(CS$2&gt;Inputs!$D$5,0,IF(CS$2&gt;VLOOKUP($H73,Lists!$P$3:$Q$7,2),IF($N73=Lists!$K$3,IF($L73&lt;1,(($U73/$L73)*((1+Inputs!$D$7)^CS$2)),((INT(CS$2/$L73)-INT((CS$2-1)/$L73))*$U73*((1+Inputs!$D$7)^CS$2))),(Inputs!$D$8^((1-_xlfn.WEIBULL.DIST(CS$2,$M73,$L73,FALSE))/_xlfn.WEIBULL.DIST(CS$2,$M73,$L73,FALSE))*$U73*((1+Inputs!$D$7)^CS$2))),IF($N73=Lists!$K$3,IF($L73&lt;1,((($T73*(1-$F73)+$S73*(1-$G73))/$L73)*((1+Inputs!$D$7)^CS$2)),((INT(CS$2/$L73)-INT((CS$2-1)/$L73))*($T73*(1-$F73)+$S73*(1-$G73))*((1+Inputs!$D$7)^CS$2))),((Inputs!$D$8^((1-_xlfn.WEIBULL.DIST(CS$2,$M73,$L73,FALSE))/_xlfn.WEIBULL.DIST(CS$2,$M73,$L73,FALSE))*($T73*(1-$F73)+$S73*(1-$G73))*((1+Inputs!$D$7)^CS$2))))))))</f>
        <v>0</v>
      </c>
      <c r="CT73" s="88">
        <f>MAX(BD73,($E73*IF(CT$2&gt;Inputs!$D$5,0,IF(CT$2&gt;VLOOKUP($H73,Lists!$P$3:$Q$7,2),IF($N73=Lists!$K$3,IF($L73&lt;1,(($U73/$L73)*((1+Inputs!$D$7)^CT$2)),((INT(CT$2/$L73)-INT((CT$2-1)/$L73))*$U73*((1+Inputs!$D$7)^CT$2))),(Inputs!$D$8^((1-_xlfn.WEIBULL.DIST(CT$2,$M73,$L73,FALSE))/_xlfn.WEIBULL.DIST(CT$2,$M73,$L73,FALSE))*$U73*((1+Inputs!$D$7)^CT$2))),IF($N73=Lists!$K$3,IF($L73&lt;1,((($T73*(1-$F73)+$S73*(1-$G73))/$L73)*((1+Inputs!$D$7)^CT$2)),((INT(CT$2/$L73)-INT((CT$2-1)/$L73))*($T73*(1-$F73)+$S73*(1-$G73))*((1+Inputs!$D$7)^CT$2))),((Inputs!$D$8^((1-_xlfn.WEIBULL.DIST(CT$2,$M73,$L73,FALSE))/_xlfn.WEIBULL.DIST(CT$2,$M73,$L73,FALSE))*($T73*(1-$F73)+$S73*(1-$G73))*((1+Inputs!$D$7)^CT$2))))))))</f>
        <v>0</v>
      </c>
      <c r="CU73" s="88">
        <f>MAX(BE73,($E73*IF(CU$2&gt;Inputs!$D$5,0,IF(CU$2&gt;VLOOKUP($H73,Lists!$P$3:$Q$7,2),IF($N73=Lists!$K$3,IF($L73&lt;1,(($U73/$L73)*((1+Inputs!$D$7)^CU$2)),((INT(CU$2/$L73)-INT((CU$2-1)/$L73))*$U73*((1+Inputs!$D$7)^CU$2))),(Inputs!$D$8^((1-_xlfn.WEIBULL.DIST(CU$2,$M73,$L73,FALSE))/_xlfn.WEIBULL.DIST(CU$2,$M73,$L73,FALSE))*$U73*((1+Inputs!$D$7)^CU$2))),IF($N73=Lists!$K$3,IF($L73&lt;1,((($T73*(1-$F73)+$S73*(1-$G73))/$L73)*((1+Inputs!$D$7)^CU$2)),((INT(CU$2/$L73)-INT((CU$2-1)/$L73))*($T73*(1-$F73)+$S73*(1-$G73))*((1+Inputs!$D$7)^CU$2))),((Inputs!$D$8^((1-_xlfn.WEIBULL.DIST(CU$2,$M73,$L73,FALSE))/_xlfn.WEIBULL.DIST(CU$2,$M73,$L73,FALSE))*($T73*(1-$F73)+$S73*(1-$G73))*((1+Inputs!$D$7)^CU$2))))))))</f>
        <v>0</v>
      </c>
      <c r="CV73" s="88">
        <f>MAX(BF73,($E73*IF(CV$2&gt;Inputs!$D$5,0,IF(CV$2&gt;VLOOKUP($H73,Lists!$P$3:$Q$7,2),IF($N73=Lists!$K$3,IF($L73&lt;1,(($U73/$L73)*((1+Inputs!$D$7)^CV$2)),((INT(CV$2/$L73)-INT((CV$2-1)/$L73))*$U73*((1+Inputs!$D$7)^CV$2))),(Inputs!$D$8^((1-_xlfn.WEIBULL.DIST(CV$2,$M73,$L73,FALSE))/_xlfn.WEIBULL.DIST(CV$2,$M73,$L73,FALSE))*$U73*((1+Inputs!$D$7)^CV$2))),IF($N73=Lists!$K$3,IF($L73&lt;1,((($T73*(1-$F73)+$S73*(1-$G73))/$L73)*((1+Inputs!$D$7)^CV$2)),((INT(CV$2/$L73)-INT((CV$2-1)/$L73))*($T73*(1-$F73)+$S73*(1-$G73))*((1+Inputs!$D$7)^CV$2))),((Inputs!$D$8^((1-_xlfn.WEIBULL.DIST(CV$2,$M73,$L73,FALSE))/_xlfn.WEIBULL.DIST(CV$2,$M73,$L73,FALSE))*($T73*(1-$F73)+$S73*(1-$G73))*((1+Inputs!$D$7)^CV$2))))))))</f>
        <v>0</v>
      </c>
      <c r="CW73" s="88">
        <f>MAX(BG73,($E73*IF(CW$2&gt;Inputs!$D$5,0,IF(CW$2&gt;VLOOKUP($H73,Lists!$P$3:$Q$7,2),IF($N73=Lists!$K$3,IF($L73&lt;1,(($U73/$L73)*((1+Inputs!$D$7)^CW$2)),((INT(CW$2/$L73)-INT((CW$2-1)/$L73))*$U73*((1+Inputs!$D$7)^CW$2))),(Inputs!$D$8^((1-_xlfn.WEIBULL.DIST(CW$2,$M73,$L73,FALSE))/_xlfn.WEIBULL.DIST(CW$2,$M73,$L73,FALSE))*$U73*((1+Inputs!$D$7)^CW$2))),IF($N73=Lists!$K$3,IF($L73&lt;1,((($T73*(1-$F73)+$S73*(1-$G73))/$L73)*((1+Inputs!$D$7)^CW$2)),((INT(CW$2/$L73)-INT((CW$2-1)/$L73))*($T73*(1-$F73)+$S73*(1-$G73))*((1+Inputs!$D$7)^CW$2))),((Inputs!$D$8^((1-_xlfn.WEIBULL.DIST(CW$2,$M73,$L73,FALSE))/_xlfn.WEIBULL.DIST(CW$2,$M73,$L73,FALSE))*($T73*(1-$F73)+$S73*(1-$G73))*((1+Inputs!$D$7)^CW$2))))))))</f>
        <v>0</v>
      </c>
      <c r="CX73" s="88">
        <f>MAX(BH73,($E73*IF(CX$2&gt;Inputs!$D$5,0,IF(CX$2&gt;VLOOKUP($H73,Lists!$P$3:$Q$7,2),IF($N73=Lists!$K$3,IF($L73&lt;1,(($U73/$L73)*((1+Inputs!$D$7)^CX$2)),((INT(CX$2/$L73)-INT((CX$2-1)/$L73))*$U73*((1+Inputs!$D$7)^CX$2))),(Inputs!$D$8^((1-_xlfn.WEIBULL.DIST(CX$2,$M73,$L73,FALSE))/_xlfn.WEIBULL.DIST(CX$2,$M73,$L73,FALSE))*$U73*((1+Inputs!$D$7)^CX$2))),IF($N73=Lists!$K$3,IF($L73&lt;1,((($T73*(1-$F73)+$S73*(1-$G73))/$L73)*((1+Inputs!$D$7)^CX$2)),((INT(CX$2/$L73)-INT((CX$2-1)/$L73))*($T73*(1-$F73)+$S73*(1-$G73))*((1+Inputs!$D$7)^CX$2))),((Inputs!$D$8^((1-_xlfn.WEIBULL.DIST(CX$2,$M73,$L73,FALSE))/_xlfn.WEIBULL.DIST(CX$2,$M73,$L73,FALSE))*($T73*(1-$F73)+$S73*(1-$G73))*((1+Inputs!$D$7)^CX$2))))))))</f>
        <v>0</v>
      </c>
      <c r="CY73" s="88">
        <f>MAX(BI73,($E73*IF(CY$2&gt;Inputs!$D$5,0,IF(CY$2&gt;VLOOKUP($H73,Lists!$P$3:$Q$7,2),IF($N73=Lists!$K$3,IF($L73&lt;1,(($U73/$L73)*((1+Inputs!$D$7)^CY$2)),((INT(CY$2/$L73)-INT((CY$2-1)/$L73))*$U73*((1+Inputs!$D$7)^CY$2))),(Inputs!$D$8^((1-_xlfn.WEIBULL.DIST(CY$2,$M73,$L73,FALSE))/_xlfn.WEIBULL.DIST(CY$2,$M73,$L73,FALSE))*$U73*((1+Inputs!$D$7)^CY$2))),IF($N73=Lists!$K$3,IF($L73&lt;1,((($T73*(1-$F73)+$S73*(1-$G73))/$L73)*((1+Inputs!$D$7)^CY$2)),((INT(CY$2/$L73)-INT((CY$2-1)/$L73))*($T73*(1-$F73)+$S73*(1-$G73))*((1+Inputs!$D$7)^CY$2))),((Inputs!$D$8^((1-_xlfn.WEIBULL.DIST(CY$2,$M73,$L73,FALSE))/_xlfn.WEIBULL.DIST(CY$2,$M73,$L73,FALSE))*($T73*(1-$F73)+$S73*(1-$G73))*((1+Inputs!$D$7)^CY$2))))))))</f>
        <v>0</v>
      </c>
      <c r="CZ73" s="88">
        <f>MAX(BJ73,($E73*IF(CZ$2&gt;Inputs!$D$5,0,IF(CZ$2&gt;VLOOKUP($H73,Lists!$P$3:$Q$7,2),IF($N73=Lists!$K$3,IF($L73&lt;1,(($U73/$L73)*((1+Inputs!$D$7)^CZ$2)),((INT(CZ$2/$L73)-INT((CZ$2-1)/$L73))*$U73*((1+Inputs!$D$7)^CZ$2))),(Inputs!$D$8^((1-_xlfn.WEIBULL.DIST(CZ$2,$M73,$L73,FALSE))/_xlfn.WEIBULL.DIST(CZ$2,$M73,$L73,FALSE))*$U73*((1+Inputs!$D$7)^CZ$2))),IF($N73=Lists!$K$3,IF($L73&lt;1,((($T73*(1-$F73)+$S73*(1-$G73))/$L73)*((1+Inputs!$D$7)^CZ$2)),((INT(CZ$2/$L73)-INT((CZ$2-1)/$L73))*($T73*(1-$F73)+$S73*(1-$G73))*((1+Inputs!$D$7)^CZ$2))),((Inputs!$D$8^((1-_xlfn.WEIBULL.DIST(CZ$2,$M73,$L73,FALSE))/_xlfn.WEIBULL.DIST(CZ$2,$M73,$L73,FALSE))*($T73*(1-$F73)+$S73*(1-$G73))*((1+Inputs!$D$7)^CZ$2))))))))</f>
        <v>0</v>
      </c>
      <c r="DA73" s="88">
        <f>MAX(BK73,($E73*IF(DA$2&gt;Inputs!$D$5,0,IF(DA$2&gt;VLOOKUP($H73,Lists!$P$3:$Q$7,2),IF($N73=Lists!$K$3,IF($L73&lt;1,(($U73/$L73)*((1+Inputs!$D$7)^DA$2)),((INT(DA$2/$L73)-INT((DA$2-1)/$L73))*$U73*((1+Inputs!$D$7)^DA$2))),(Inputs!$D$8^((1-_xlfn.WEIBULL.DIST(DA$2,$M73,$L73,FALSE))/_xlfn.WEIBULL.DIST(DA$2,$M73,$L73,FALSE))*$U73*((1+Inputs!$D$7)^DA$2))),IF($N73=Lists!$K$3,IF($L73&lt;1,((($T73*(1-$F73)+$S73*(1-$G73))/$L73)*((1+Inputs!$D$7)^DA$2)),((INT(DA$2/$L73)-INT((DA$2-1)/$L73))*($T73*(1-$F73)+$S73*(1-$G73))*((1+Inputs!$D$7)^DA$2))),((Inputs!$D$8^((1-_xlfn.WEIBULL.DIST(DA$2,$M73,$L73,FALSE))/_xlfn.WEIBULL.DIST(DA$2,$M73,$L73,FALSE))*($T73*(1-$F73)+$S73*(1-$G73))*((1+Inputs!$D$7)^DA$2))))))))</f>
        <v>0</v>
      </c>
      <c r="DB73" s="88">
        <f>MAX(BL73,($E73*IF(DB$2&gt;Inputs!$D$5,0,IF(DB$2&gt;VLOOKUP($H73,Lists!$P$3:$Q$7,2),IF($N73=Lists!$K$3,IF($L73&lt;1,(($U73/$L73)*((1+Inputs!$D$7)^DB$2)),((INT(DB$2/$L73)-INT((DB$2-1)/$L73))*$U73*((1+Inputs!$D$7)^DB$2))),(Inputs!$D$8^((1-_xlfn.WEIBULL.DIST(DB$2,$M73,$L73,FALSE))/_xlfn.WEIBULL.DIST(DB$2,$M73,$L73,FALSE))*$U73*((1+Inputs!$D$7)^DB$2))),IF($N73=Lists!$K$3,IF($L73&lt;1,((($T73*(1-$F73)+$S73*(1-$G73))/$L73)*((1+Inputs!$D$7)^DB$2)),((INT(DB$2/$L73)-INT((DB$2-1)/$L73))*($T73*(1-$F73)+$S73*(1-$G73))*((1+Inputs!$D$7)^DB$2))),((Inputs!$D$8^((1-_xlfn.WEIBULL.DIST(DB$2,$M73,$L73,FALSE))/_xlfn.WEIBULL.DIST(DB$2,$M73,$L73,FALSE))*($T73*(1-$F73)+$S73*(1-$G73))*((1+Inputs!$D$7)^DB$2))))))))</f>
        <v>0</v>
      </c>
      <c r="DC73" s="88">
        <f>MAX(BM73,($E73*IF(DC$2&gt;Inputs!$D$5,0,IF(DC$2&gt;VLOOKUP($H73,Lists!$P$3:$Q$7,2),IF($N73=Lists!$K$3,IF($L73&lt;1,(($U73/$L73)*((1+Inputs!$D$7)^DC$2)),((INT(DC$2/$L73)-INT((DC$2-1)/$L73))*$U73*((1+Inputs!$D$7)^DC$2))),(Inputs!$D$8^((1-_xlfn.WEIBULL.DIST(DC$2,$M73,$L73,FALSE))/_xlfn.WEIBULL.DIST(DC$2,$M73,$L73,FALSE))*$U73*((1+Inputs!$D$7)^DC$2))),IF($N73=Lists!$K$3,IF($L73&lt;1,((($T73*(1-$F73)+$S73*(1-$G73))/$L73)*((1+Inputs!$D$7)^DC$2)),((INT(DC$2/$L73)-INT((DC$2-1)/$L73))*($T73*(1-$F73)+$S73*(1-$G73))*((1+Inputs!$D$7)^DC$2))),((Inputs!$D$8^((1-_xlfn.WEIBULL.DIST(DC$2,$M73,$L73,FALSE))/_xlfn.WEIBULL.DIST(DC$2,$M73,$L73,FALSE))*($T73*(1-$F73)+$S73*(1-$G73))*((1+Inputs!$D$7)^DC$2))))))))</f>
        <v>0</v>
      </c>
      <c r="DD73" s="88">
        <f>MAX(BN73,($E73*IF(DD$2&gt;Inputs!$D$5,0,IF(DD$2&gt;VLOOKUP($H73,Lists!$P$3:$Q$7,2),IF($N73=Lists!$K$3,IF($L73&lt;1,(($U73/$L73)*((1+Inputs!$D$7)^DD$2)),((INT(DD$2/$L73)-INT((DD$2-1)/$L73))*$U73*((1+Inputs!$D$7)^DD$2))),(Inputs!$D$8^((1-_xlfn.WEIBULL.DIST(DD$2,$M73,$L73,FALSE))/_xlfn.WEIBULL.DIST(DD$2,$M73,$L73,FALSE))*$U73*((1+Inputs!$D$7)^DD$2))),IF($N73=Lists!$K$3,IF($L73&lt;1,((($T73*(1-$F73)+$S73*(1-$G73))/$L73)*((1+Inputs!$D$7)^DD$2)),((INT(DD$2/$L73)-INT((DD$2-1)/$L73))*($T73*(1-$F73)+$S73*(1-$G73))*((1+Inputs!$D$7)^DD$2))),((Inputs!$D$8^((1-_xlfn.WEIBULL.DIST(DD$2,$M73,$L73,FALSE))/_xlfn.WEIBULL.DIST(DD$2,$M73,$L73,FALSE))*($T73*(1-$F73)+$S73*(1-$G73))*((1+Inputs!$D$7)^DD$2))))))))</f>
        <v>0</v>
      </c>
    </row>
    <row r="74" spans="1:108" s="1" customFormat="1" ht="48">
      <c r="A74" s="57" t="s">
        <v>234</v>
      </c>
      <c r="B74" s="13" t="s">
        <v>279</v>
      </c>
      <c r="C74" s="13" t="s">
        <v>341</v>
      </c>
      <c r="D74" s="13" t="s">
        <v>30</v>
      </c>
      <c r="E74" s="48">
        <f>IF(Inputs!$D$42=Lists!$H$4,1,0)</f>
        <v>1</v>
      </c>
      <c r="F74" s="48">
        <v>0</v>
      </c>
      <c r="G74" s="48">
        <v>0</v>
      </c>
      <c r="H74" s="105" t="s">
        <v>350</v>
      </c>
      <c r="I74" s="14" t="s">
        <v>24</v>
      </c>
      <c r="J74" s="14" t="s">
        <v>247</v>
      </c>
      <c r="K74" s="13">
        <f>VLOOKUP(J74,'Labor Rates'!$A$1:$F$16,2)</f>
        <v>29.298461538461535</v>
      </c>
      <c r="L74" s="15">
        <v>0.5</v>
      </c>
      <c r="M74" s="15">
        <v>1</v>
      </c>
      <c r="N74" s="13" t="s">
        <v>236</v>
      </c>
      <c r="O74" s="61">
        <v>1</v>
      </c>
      <c r="P74" s="15">
        <v>4</v>
      </c>
      <c r="Q74" s="15">
        <f t="shared" si="14"/>
        <v>8</v>
      </c>
      <c r="R74" s="4">
        <v>0</v>
      </c>
      <c r="S74" s="53">
        <f t="shared" si="15"/>
        <v>117.19384615384614</v>
      </c>
      <c r="T74" s="53">
        <f t="shared" si="16"/>
        <v>0</v>
      </c>
      <c r="U74" s="54">
        <f t="shared" si="17"/>
        <v>117.19384615384614</v>
      </c>
      <c r="V74" s="65" t="s">
        <v>56</v>
      </c>
      <c r="W74" s="58"/>
      <c r="X74" s="64">
        <f t="shared" si="18"/>
        <v>290.44522625206207</v>
      </c>
      <c r="Y74" s="64">
        <f>NPV(Inputs!$D$6,AA74:BN74)</f>
        <v>3336.1529468839167</v>
      </c>
      <c r="Z74" s="67">
        <f t="shared" si="19"/>
        <v>1.5734926030990628E-3</v>
      </c>
      <c r="AA74" s="88">
        <f>$E74*IF(AA$2&gt;Inputs!$D$5,0,IF(AA$2&gt;VLOOKUP($H74,Lists!$P$3:$Q$7,2),IF($N74=Lists!$K$3,IF($L74&lt;1,(($U74/$L74)*((1+Inputs!$D$7)^AA$2)),((INT(AA$2/$L74)-INT((AA$2-1)/$L74))*$U74*((1+Inputs!$D$7)^AA$2))),(_xlfn.WEIBULL.DIST(AA$2,$M74,$L74,FALSE)*$U74*((1+Inputs!$D$7)^AA$2))),IF($N74=Lists!$K$3,IF($L74&lt;1,((($T74*(1-$F74)+$S74*(1-$G74))/$L74)*((1+Inputs!$D$7)^AA$2)),((INT(AA$2/$L74)-INT((AA$2-1)/$L74))*($T74*(1-$F74)+$S74*(1-$G74))*((1+Inputs!$D$7)^AA$2))),((_xlfn.WEIBULL.DIST(AA$2,$M74,$L74,FALSE)*($T74*(1-$F74)+$S74*(1-$G74))*((1+Inputs!$D$7)^AA$2))))))</f>
        <v>239.07544615384612</v>
      </c>
      <c r="AB74" s="88">
        <f>$E74*IF(AB$2&gt;Inputs!$D$5,0,IF(AB$2&gt;VLOOKUP($H74,Lists!$P$3:$Q$7,2),IF($N74=Lists!$K$3,IF($L74&lt;1,(($U74/$L74)*((1+Inputs!$D$7)^AB$2)),((INT(AB$2/$L74)-INT((AB$2-1)/$L74))*$U74*((1+Inputs!$D$7)^AB$2))),(_xlfn.WEIBULL.DIST(AB$2,$M74,$L74,FALSE)*$U74*((1+Inputs!$D$7)^AB$2))),IF($N74=Lists!$K$3,IF($L74&lt;1,((($T74*(1-$F74)+$S74*(1-$G74))/$L74)*((1+Inputs!$D$7)^AB$2)),((INT(AB$2/$L74)-INT((AB$2-1)/$L74))*($T74*(1-$F74)+$S74*(1-$G74))*((1+Inputs!$D$7)^AB$2))),((_xlfn.WEIBULL.DIST(AB$2,$M74,$L74,FALSE)*($T74*(1-$F74)+$S74*(1-$G74))*((1+Inputs!$D$7)^AB$2))))))</f>
        <v>243.85695507692304</v>
      </c>
      <c r="AC74" s="88">
        <f>$E74*IF(AC$2&gt;Inputs!$D$5,0,IF(AC$2&gt;VLOOKUP($H74,Lists!$P$3:$Q$7,2),IF($N74=Lists!$K$3,IF($L74&lt;1,(($U74/$L74)*((1+Inputs!$D$7)^AC$2)),((INT(AC$2/$L74)-INT((AC$2-1)/$L74))*$U74*((1+Inputs!$D$7)^AC$2))),(_xlfn.WEIBULL.DIST(AC$2,$M74,$L74,FALSE)*$U74*((1+Inputs!$D$7)^AC$2))),IF($N74=Lists!$K$3,IF($L74&lt;1,((($T74*(1-$F74)+$S74*(1-$G74))/$L74)*((1+Inputs!$D$7)^AC$2)),((INT(AC$2/$L74)-INT((AC$2-1)/$L74))*($T74*(1-$F74)+$S74*(1-$G74))*((1+Inputs!$D$7)^AC$2))),((_xlfn.WEIBULL.DIST(AC$2,$M74,$L74,FALSE)*($T74*(1-$F74)+$S74*(1-$G74))*((1+Inputs!$D$7)^AC$2))))))</f>
        <v>248.73409417846148</v>
      </c>
      <c r="AD74" s="88">
        <f>$E74*IF(AD$2&gt;Inputs!$D$5,0,IF(AD$2&gt;VLOOKUP($H74,Lists!$P$3:$Q$7,2),IF($N74=Lists!$K$3,IF($L74&lt;1,(($U74/$L74)*((1+Inputs!$D$7)^AD$2)),((INT(AD$2/$L74)-INT((AD$2-1)/$L74))*$U74*((1+Inputs!$D$7)^AD$2))),(_xlfn.WEIBULL.DIST(AD$2,$M74,$L74,FALSE)*$U74*((1+Inputs!$D$7)^AD$2))),IF($N74=Lists!$K$3,IF($L74&lt;1,((($T74*(1-$F74)+$S74*(1-$G74))/$L74)*((1+Inputs!$D$7)^AD$2)),((INT(AD$2/$L74)-INT((AD$2-1)/$L74))*($T74*(1-$F74)+$S74*(1-$G74))*((1+Inputs!$D$7)^AD$2))),((_xlfn.WEIBULL.DIST(AD$2,$M74,$L74,FALSE)*($T74*(1-$F74)+$S74*(1-$G74))*((1+Inputs!$D$7)^AD$2))))))</f>
        <v>253.70877606203072</v>
      </c>
      <c r="AE74" s="88">
        <f>$E74*IF(AE$2&gt;Inputs!$D$5,0,IF(AE$2&gt;VLOOKUP($H74,Lists!$P$3:$Q$7,2),IF($N74=Lists!$K$3,IF($L74&lt;1,(($U74/$L74)*((1+Inputs!$D$7)^AE$2)),((INT(AE$2/$L74)-INT((AE$2-1)/$L74))*$U74*((1+Inputs!$D$7)^AE$2))),(_xlfn.WEIBULL.DIST(AE$2,$M74,$L74,FALSE)*$U74*((1+Inputs!$D$7)^AE$2))),IF($N74=Lists!$K$3,IF($L74&lt;1,((($T74*(1-$F74)+$S74*(1-$G74))/$L74)*((1+Inputs!$D$7)^AE$2)),((INT(AE$2/$L74)-INT((AE$2-1)/$L74))*($T74*(1-$F74)+$S74*(1-$G74))*((1+Inputs!$D$7)^AE$2))),((_xlfn.WEIBULL.DIST(AE$2,$M74,$L74,FALSE)*($T74*(1-$F74)+$S74*(1-$G74))*((1+Inputs!$D$7)^AE$2))))))</f>
        <v>258.78295158327137</v>
      </c>
      <c r="AF74" s="88">
        <f>$E74*IF(AF$2&gt;Inputs!$D$5,0,IF(AF$2&gt;VLOOKUP($H74,Lists!$P$3:$Q$7,2),IF($N74=Lists!$K$3,IF($L74&lt;1,(($U74/$L74)*((1+Inputs!$D$7)^AF$2)),((INT(AF$2/$L74)-INT((AF$2-1)/$L74))*$U74*((1+Inputs!$D$7)^AF$2))),(_xlfn.WEIBULL.DIST(AF$2,$M74,$L74,FALSE)*$U74*((1+Inputs!$D$7)^AF$2))),IF($N74=Lists!$K$3,IF($L74&lt;1,((($T74*(1-$F74)+$S74*(1-$G74))/$L74)*((1+Inputs!$D$7)^AF$2)),((INT(AF$2/$L74)-INT((AF$2-1)/$L74))*($T74*(1-$F74)+$S74*(1-$G74))*((1+Inputs!$D$7)^AF$2))),((_xlfn.WEIBULL.DIST(AF$2,$M74,$L74,FALSE)*($T74*(1-$F74)+$S74*(1-$G74))*((1+Inputs!$D$7)^AF$2))))))</f>
        <v>263.95861061493679</v>
      </c>
      <c r="AG74" s="88">
        <f>$E74*IF(AG$2&gt;Inputs!$D$5,0,IF(AG$2&gt;VLOOKUP($H74,Lists!$P$3:$Q$7,2),IF($N74=Lists!$K$3,IF($L74&lt;1,(($U74/$L74)*((1+Inputs!$D$7)^AG$2)),((INT(AG$2/$L74)-INT((AG$2-1)/$L74))*$U74*((1+Inputs!$D$7)^AG$2))),(_xlfn.WEIBULL.DIST(AG$2,$M74,$L74,FALSE)*$U74*((1+Inputs!$D$7)^AG$2))),IF($N74=Lists!$K$3,IF($L74&lt;1,((($T74*(1-$F74)+$S74*(1-$G74))/$L74)*((1+Inputs!$D$7)^AG$2)),((INT(AG$2/$L74)-INT((AG$2-1)/$L74))*($T74*(1-$F74)+$S74*(1-$G74))*((1+Inputs!$D$7)^AG$2))),((_xlfn.WEIBULL.DIST(AG$2,$M74,$L74,FALSE)*($T74*(1-$F74)+$S74*(1-$G74))*((1+Inputs!$D$7)^AG$2))))))</f>
        <v>269.23778282723549</v>
      </c>
      <c r="AH74" s="88">
        <f>$E74*IF(AH$2&gt;Inputs!$D$5,0,IF(AH$2&gt;VLOOKUP($H74,Lists!$P$3:$Q$7,2),IF($N74=Lists!$K$3,IF($L74&lt;1,(($U74/$L74)*((1+Inputs!$D$7)^AH$2)),((INT(AH$2/$L74)-INT((AH$2-1)/$L74))*$U74*((1+Inputs!$D$7)^AH$2))),(_xlfn.WEIBULL.DIST(AH$2,$M74,$L74,FALSE)*$U74*((1+Inputs!$D$7)^AH$2))),IF($N74=Lists!$K$3,IF($L74&lt;1,((($T74*(1-$F74)+$S74*(1-$G74))/$L74)*((1+Inputs!$D$7)^AH$2)),((INT(AH$2/$L74)-INT((AH$2-1)/$L74))*($T74*(1-$F74)+$S74*(1-$G74))*((1+Inputs!$D$7)^AH$2))),((_xlfn.WEIBULL.DIST(AH$2,$M74,$L74,FALSE)*($T74*(1-$F74)+$S74*(1-$G74))*((1+Inputs!$D$7)^AH$2))))))</f>
        <v>274.6225384837802</v>
      </c>
      <c r="AI74" s="88">
        <f>$E74*IF(AI$2&gt;Inputs!$D$5,0,IF(AI$2&gt;VLOOKUP($H74,Lists!$P$3:$Q$7,2),IF($N74=Lists!$K$3,IF($L74&lt;1,(($U74/$L74)*((1+Inputs!$D$7)^AI$2)),((INT(AI$2/$L74)-INT((AI$2-1)/$L74))*$U74*((1+Inputs!$D$7)^AI$2))),(_xlfn.WEIBULL.DIST(AI$2,$M74,$L74,FALSE)*$U74*((1+Inputs!$D$7)^AI$2))),IF($N74=Lists!$K$3,IF($L74&lt;1,((($T74*(1-$F74)+$S74*(1-$G74))/$L74)*((1+Inputs!$D$7)^AI$2)),((INT(AI$2/$L74)-INT((AI$2-1)/$L74))*($T74*(1-$F74)+$S74*(1-$G74))*((1+Inputs!$D$7)^AI$2))),((_xlfn.WEIBULL.DIST(AI$2,$M74,$L74,FALSE)*($T74*(1-$F74)+$S74*(1-$G74))*((1+Inputs!$D$7)^AI$2))))))</f>
        <v>280.1149892534558</v>
      </c>
      <c r="AJ74" s="88">
        <f>$E74*IF(AJ$2&gt;Inputs!$D$5,0,IF(AJ$2&gt;VLOOKUP($H74,Lists!$P$3:$Q$7,2),IF($N74=Lists!$K$3,IF($L74&lt;1,(($U74/$L74)*((1+Inputs!$D$7)^AJ$2)),((INT(AJ$2/$L74)-INT((AJ$2-1)/$L74))*$U74*((1+Inputs!$D$7)^AJ$2))),(_xlfn.WEIBULL.DIST(AJ$2,$M74,$L74,FALSE)*$U74*((1+Inputs!$D$7)^AJ$2))),IF($N74=Lists!$K$3,IF($L74&lt;1,((($T74*(1-$F74)+$S74*(1-$G74))/$L74)*((1+Inputs!$D$7)^AJ$2)),((INT(AJ$2/$L74)-INT((AJ$2-1)/$L74))*($T74*(1-$F74)+$S74*(1-$G74))*((1+Inputs!$D$7)^AJ$2))),((_xlfn.WEIBULL.DIST(AJ$2,$M74,$L74,FALSE)*($T74*(1-$F74)+$S74*(1-$G74))*((1+Inputs!$D$7)^AJ$2))))))</f>
        <v>285.71728903852494</v>
      </c>
      <c r="AK74" s="88">
        <f>$E74*IF(AK$2&gt;Inputs!$D$5,0,IF(AK$2&gt;VLOOKUP($H74,Lists!$P$3:$Q$7,2),IF($N74=Lists!$K$3,IF($L74&lt;1,(($U74/$L74)*((1+Inputs!$D$7)^AK$2)),((INT(AK$2/$L74)-INT((AK$2-1)/$L74))*$U74*((1+Inputs!$D$7)^AK$2))),(_xlfn.WEIBULL.DIST(AK$2,$M74,$L74,FALSE)*$U74*((1+Inputs!$D$7)^AK$2))),IF($N74=Lists!$K$3,IF($L74&lt;1,((($T74*(1-$F74)+$S74*(1-$G74))/$L74)*((1+Inputs!$D$7)^AK$2)),((INT(AK$2/$L74)-INT((AK$2-1)/$L74))*($T74*(1-$F74)+$S74*(1-$G74))*((1+Inputs!$D$7)^AK$2))),((_xlfn.WEIBULL.DIST(AK$2,$M74,$L74,FALSE)*($T74*(1-$F74)+$S74*(1-$G74))*((1+Inputs!$D$7)^AK$2))))))</f>
        <v>291.43163481929537</v>
      </c>
      <c r="AL74" s="88">
        <f>$E74*IF(AL$2&gt;Inputs!$D$5,0,IF(AL$2&gt;VLOOKUP($H74,Lists!$P$3:$Q$7,2),IF($N74=Lists!$K$3,IF($L74&lt;1,(($U74/$L74)*((1+Inputs!$D$7)^AL$2)),((INT(AL$2/$L74)-INT((AL$2-1)/$L74))*$U74*((1+Inputs!$D$7)^AL$2))),(_xlfn.WEIBULL.DIST(AL$2,$M74,$L74,FALSE)*$U74*((1+Inputs!$D$7)^AL$2))),IF($N74=Lists!$K$3,IF($L74&lt;1,((($T74*(1-$F74)+$S74*(1-$G74))/$L74)*((1+Inputs!$D$7)^AL$2)),((INT(AL$2/$L74)-INT((AL$2-1)/$L74))*($T74*(1-$F74)+$S74*(1-$G74))*((1+Inputs!$D$7)^AL$2))),((_xlfn.WEIBULL.DIST(AL$2,$M74,$L74,FALSE)*($T74*(1-$F74)+$S74*(1-$G74))*((1+Inputs!$D$7)^AL$2))))))</f>
        <v>297.26026751568133</v>
      </c>
      <c r="AM74" s="88">
        <f>$E74*IF(AM$2&gt;Inputs!$D$5,0,IF(AM$2&gt;VLOOKUP($H74,Lists!$P$3:$Q$7,2),IF($N74=Lists!$K$3,IF($L74&lt;1,(($U74/$L74)*((1+Inputs!$D$7)^AM$2)),((INT(AM$2/$L74)-INT((AM$2-1)/$L74))*$U74*((1+Inputs!$D$7)^AM$2))),(_xlfn.WEIBULL.DIST(AM$2,$M74,$L74,FALSE)*$U74*((1+Inputs!$D$7)^AM$2))),IF($N74=Lists!$K$3,IF($L74&lt;1,((($T74*(1-$F74)+$S74*(1-$G74))/$L74)*((1+Inputs!$D$7)^AM$2)),((INT(AM$2/$L74)-INT((AM$2-1)/$L74))*($T74*(1-$F74)+$S74*(1-$G74))*((1+Inputs!$D$7)^AM$2))),((_xlfn.WEIBULL.DIST(AM$2,$M74,$L74,FALSE)*($T74*(1-$F74)+$S74*(1-$G74))*((1+Inputs!$D$7)^AM$2))))))</f>
        <v>303.20547286599492</v>
      </c>
      <c r="AN74" s="88">
        <f>$E74*IF(AN$2&gt;Inputs!$D$5,0,IF(AN$2&gt;VLOOKUP($H74,Lists!$P$3:$Q$7,2),IF($N74=Lists!$K$3,IF($L74&lt;1,(($U74/$L74)*((1+Inputs!$D$7)^AN$2)),((INT(AN$2/$L74)-INT((AN$2-1)/$L74))*$U74*((1+Inputs!$D$7)^AN$2))),(_xlfn.WEIBULL.DIST(AN$2,$M74,$L74,FALSE)*$U74*((1+Inputs!$D$7)^AN$2))),IF($N74=Lists!$K$3,IF($L74&lt;1,((($T74*(1-$F74)+$S74*(1-$G74))/$L74)*((1+Inputs!$D$7)^AN$2)),((INT(AN$2/$L74)-INT((AN$2-1)/$L74))*($T74*(1-$F74)+$S74*(1-$G74))*((1+Inputs!$D$7)^AN$2))),((_xlfn.WEIBULL.DIST(AN$2,$M74,$L74,FALSE)*($T74*(1-$F74)+$S74*(1-$G74))*((1+Inputs!$D$7)^AN$2))))))</f>
        <v>309.26958232331486</v>
      </c>
      <c r="AO74" s="88">
        <f>$E74*IF(AO$2&gt;Inputs!$D$5,0,IF(AO$2&gt;VLOOKUP($H74,Lists!$P$3:$Q$7,2),IF($N74=Lists!$K$3,IF($L74&lt;1,(($U74/$L74)*((1+Inputs!$D$7)^AO$2)),((INT(AO$2/$L74)-INT((AO$2-1)/$L74))*$U74*((1+Inputs!$D$7)^AO$2))),(_xlfn.WEIBULL.DIST(AO$2,$M74,$L74,FALSE)*$U74*((1+Inputs!$D$7)^AO$2))),IF($N74=Lists!$K$3,IF($L74&lt;1,((($T74*(1-$F74)+$S74*(1-$G74))/$L74)*((1+Inputs!$D$7)^AO$2)),((INT(AO$2/$L74)-INT((AO$2-1)/$L74))*($T74*(1-$F74)+$S74*(1-$G74))*((1+Inputs!$D$7)^AO$2))),((_xlfn.WEIBULL.DIST(AO$2,$M74,$L74,FALSE)*($T74*(1-$F74)+$S74*(1-$G74))*((1+Inputs!$D$7)^AO$2))))))</f>
        <v>315.45497396978107</v>
      </c>
      <c r="AP74" s="88">
        <f>$E74*IF(AP$2&gt;Inputs!$D$5,0,IF(AP$2&gt;VLOOKUP($H74,Lists!$P$3:$Q$7,2),IF($N74=Lists!$K$3,IF($L74&lt;1,(($U74/$L74)*((1+Inputs!$D$7)^AP$2)),((INT(AP$2/$L74)-INT((AP$2-1)/$L74))*$U74*((1+Inputs!$D$7)^AP$2))),(_xlfn.WEIBULL.DIST(AP$2,$M74,$L74,FALSE)*$U74*((1+Inputs!$D$7)^AP$2))),IF($N74=Lists!$K$3,IF($L74&lt;1,((($T74*(1-$F74)+$S74*(1-$G74))/$L74)*((1+Inputs!$D$7)^AP$2)),((INT(AP$2/$L74)-INT((AP$2-1)/$L74))*($T74*(1-$F74)+$S74*(1-$G74))*((1+Inputs!$D$7)^AP$2))),((_xlfn.WEIBULL.DIST(AP$2,$M74,$L74,FALSE)*($T74*(1-$F74)+$S74*(1-$G74))*((1+Inputs!$D$7)^AP$2))))))</f>
        <v>321.76407344917675</v>
      </c>
      <c r="AQ74" s="88">
        <f>$E74*IF(AQ$2&gt;Inputs!$D$5,0,IF(AQ$2&gt;VLOOKUP($H74,Lists!$P$3:$Q$7,2),IF($N74=Lists!$K$3,IF($L74&lt;1,(($U74/$L74)*((1+Inputs!$D$7)^AQ$2)),((INT(AQ$2/$L74)-INT((AQ$2-1)/$L74))*$U74*((1+Inputs!$D$7)^AQ$2))),(_xlfn.WEIBULL.DIST(AQ$2,$M74,$L74,FALSE)*$U74*((1+Inputs!$D$7)^AQ$2))),IF($N74=Lists!$K$3,IF($L74&lt;1,((($T74*(1-$F74)+$S74*(1-$G74))/$L74)*((1+Inputs!$D$7)^AQ$2)),((INT(AQ$2/$L74)-INT((AQ$2-1)/$L74))*($T74*(1-$F74)+$S74*(1-$G74))*((1+Inputs!$D$7)^AQ$2))),((_xlfn.WEIBULL.DIST(AQ$2,$M74,$L74,FALSE)*($T74*(1-$F74)+$S74*(1-$G74))*((1+Inputs!$D$7)^AQ$2))))))</f>
        <v>328.19935491816034</v>
      </c>
      <c r="AR74" s="88">
        <f>$E74*IF(AR$2&gt;Inputs!$D$5,0,IF(AR$2&gt;VLOOKUP($H74,Lists!$P$3:$Q$7,2),IF($N74=Lists!$K$3,IF($L74&lt;1,(($U74/$L74)*((1+Inputs!$D$7)^AR$2)),((INT(AR$2/$L74)-INT((AR$2-1)/$L74))*$U74*((1+Inputs!$D$7)^AR$2))),(_xlfn.WEIBULL.DIST(AR$2,$M74,$L74,FALSE)*$U74*((1+Inputs!$D$7)^AR$2))),IF($N74=Lists!$K$3,IF($L74&lt;1,((($T74*(1-$F74)+$S74*(1-$G74))/$L74)*((1+Inputs!$D$7)^AR$2)),((INT(AR$2/$L74)-INT((AR$2-1)/$L74))*($T74*(1-$F74)+$S74*(1-$G74))*((1+Inputs!$D$7)^AR$2))),((_xlfn.WEIBULL.DIST(AR$2,$M74,$L74,FALSE)*($T74*(1-$F74)+$S74*(1-$G74))*((1+Inputs!$D$7)^AR$2))))))</f>
        <v>334.7633420165235</v>
      </c>
      <c r="AS74" s="88">
        <f>$E74*IF(AS$2&gt;Inputs!$D$5,0,IF(AS$2&gt;VLOOKUP($H74,Lists!$P$3:$Q$7,2),IF($N74=Lists!$K$3,IF($L74&lt;1,(($U74/$L74)*((1+Inputs!$D$7)^AS$2)),((INT(AS$2/$L74)-INT((AS$2-1)/$L74))*$U74*((1+Inputs!$D$7)^AS$2))),(_xlfn.WEIBULL.DIST(AS$2,$M74,$L74,FALSE)*$U74*((1+Inputs!$D$7)^AS$2))),IF($N74=Lists!$K$3,IF($L74&lt;1,((($T74*(1-$F74)+$S74*(1-$G74))/$L74)*((1+Inputs!$D$7)^AS$2)),((INT(AS$2/$L74)-INT((AS$2-1)/$L74))*($T74*(1-$F74)+$S74*(1-$G74))*((1+Inputs!$D$7)^AS$2))),((_xlfn.WEIBULL.DIST(AS$2,$M74,$L74,FALSE)*($T74*(1-$F74)+$S74*(1-$G74))*((1+Inputs!$D$7)^AS$2))))))</f>
        <v>341.45860885685397</v>
      </c>
      <c r="AT74" s="88">
        <f>$E74*IF(AT$2&gt;Inputs!$D$5,0,IF(AT$2&gt;VLOOKUP($H74,Lists!$P$3:$Q$7,2),IF($N74=Lists!$K$3,IF($L74&lt;1,(($U74/$L74)*((1+Inputs!$D$7)^AT$2)),((INT(AT$2/$L74)-INT((AT$2-1)/$L74))*$U74*((1+Inputs!$D$7)^AT$2))),(_xlfn.WEIBULL.DIST(AT$2,$M74,$L74,FALSE)*$U74*((1+Inputs!$D$7)^AT$2))),IF($N74=Lists!$K$3,IF($L74&lt;1,((($T74*(1-$F74)+$S74*(1-$G74))/$L74)*((1+Inputs!$D$7)^AT$2)),((INT(AT$2/$L74)-INT((AT$2-1)/$L74))*($T74*(1-$F74)+$S74*(1-$G74))*((1+Inputs!$D$7)^AT$2))),((_xlfn.WEIBULL.DIST(AT$2,$M74,$L74,FALSE)*($T74*(1-$F74)+$S74*(1-$G74))*((1+Inputs!$D$7)^AT$2))))))</f>
        <v>348.28778103399105</v>
      </c>
      <c r="AU74" s="88">
        <f>$E74*IF(AU$2&gt;Inputs!$D$5,0,IF(AU$2&gt;VLOOKUP($H74,Lists!$P$3:$Q$7,2),IF($N74=Lists!$K$3,IF($L74&lt;1,(($U74/$L74)*((1+Inputs!$D$7)^AU$2)),((INT(AU$2/$L74)-INT((AU$2-1)/$L74))*$U74*((1+Inputs!$D$7)^AU$2))),(_xlfn.WEIBULL.DIST(AU$2,$M74,$L74,FALSE)*$U74*((1+Inputs!$D$7)^AU$2))),IF($N74=Lists!$K$3,IF($L74&lt;1,((($T74*(1-$F74)+$S74*(1-$G74))/$L74)*((1+Inputs!$D$7)^AU$2)),((INT(AU$2/$L74)-INT((AU$2-1)/$L74))*($T74*(1-$F74)+$S74*(1-$G74))*((1+Inputs!$D$7)^AU$2))),((_xlfn.WEIBULL.DIST(AU$2,$M74,$L74,FALSE)*($T74*(1-$F74)+$S74*(1-$G74))*((1+Inputs!$D$7)^AU$2))))))</f>
        <v>355.25353665467088</v>
      </c>
      <c r="AV74" s="88">
        <f>$E74*IF(AV$2&gt;Inputs!$D$5,0,IF(AV$2&gt;VLOOKUP($H74,Lists!$P$3:$Q$7,2),IF($N74=Lists!$K$3,IF($L74&lt;1,(($U74/$L74)*((1+Inputs!$D$7)^AV$2)),((INT(AV$2/$L74)-INT((AV$2-1)/$L74))*$U74*((1+Inputs!$D$7)^AV$2))),(_xlfn.WEIBULL.DIST(AV$2,$M74,$L74,FALSE)*$U74*((1+Inputs!$D$7)^AV$2))),IF($N74=Lists!$K$3,IF($L74&lt;1,((($T74*(1-$F74)+$S74*(1-$G74))/$L74)*((1+Inputs!$D$7)^AV$2)),((INT(AV$2/$L74)-INT((AV$2-1)/$L74))*($T74*(1-$F74)+$S74*(1-$G74))*((1+Inputs!$D$7)^AV$2))),((_xlfn.WEIBULL.DIST(AV$2,$M74,$L74,FALSE)*($T74*(1-$F74)+$S74*(1-$G74))*((1+Inputs!$D$7)^AV$2))))))</f>
        <v>362.35860738776432</v>
      </c>
      <c r="AW74" s="88">
        <f>$E74*IF(AW$2&gt;Inputs!$D$5,0,IF(AW$2&gt;VLOOKUP($H74,Lists!$P$3:$Q$7,2),IF($N74=Lists!$K$3,IF($L74&lt;1,(($U74/$L74)*((1+Inputs!$D$7)^AW$2)),((INT(AW$2/$L74)-INT((AW$2-1)/$L74))*$U74*((1+Inputs!$D$7)^AW$2))),(_xlfn.WEIBULL.DIST(AW$2,$M74,$L74,FALSE)*$U74*((1+Inputs!$D$7)^AW$2))),IF($N74=Lists!$K$3,IF($L74&lt;1,((($T74*(1-$F74)+$S74*(1-$G74))/$L74)*((1+Inputs!$D$7)^AW$2)),((INT(AW$2/$L74)-INT((AW$2-1)/$L74))*($T74*(1-$F74)+$S74*(1-$G74))*((1+Inputs!$D$7)^AW$2))),((_xlfn.WEIBULL.DIST(AW$2,$M74,$L74,FALSE)*($T74*(1-$F74)+$S74*(1-$G74))*((1+Inputs!$D$7)^AW$2))))))</f>
        <v>369.6057795355195</v>
      </c>
      <c r="AX74" s="88">
        <f>$E74*IF(AX$2&gt;Inputs!$D$5,0,IF(AX$2&gt;VLOOKUP($H74,Lists!$P$3:$Q$7,2),IF($N74=Lists!$K$3,IF($L74&lt;1,(($U74/$L74)*((1+Inputs!$D$7)^AX$2)),((INT(AX$2/$L74)-INT((AX$2-1)/$L74))*$U74*((1+Inputs!$D$7)^AX$2))),(_xlfn.WEIBULL.DIST(AX$2,$M74,$L74,FALSE)*$U74*((1+Inputs!$D$7)^AX$2))),IF($N74=Lists!$K$3,IF($L74&lt;1,((($T74*(1-$F74)+$S74*(1-$G74))/$L74)*((1+Inputs!$D$7)^AX$2)),((INT(AX$2/$L74)-INT((AX$2-1)/$L74))*($T74*(1-$F74)+$S74*(1-$G74))*((1+Inputs!$D$7)^AX$2))),((_xlfn.WEIBULL.DIST(AX$2,$M74,$L74,FALSE)*($T74*(1-$F74)+$S74*(1-$G74))*((1+Inputs!$D$7)^AX$2))))))</f>
        <v>376.99789512622993</v>
      </c>
      <c r="AY74" s="88">
        <f>$E74*IF(AY$2&gt;Inputs!$D$5,0,IF(AY$2&gt;VLOOKUP($H74,Lists!$P$3:$Q$7,2),IF($N74=Lists!$K$3,IF($L74&lt;1,(($U74/$L74)*((1+Inputs!$D$7)^AY$2)),((INT(AY$2/$L74)-INT((AY$2-1)/$L74))*$U74*((1+Inputs!$D$7)^AY$2))),(_xlfn.WEIBULL.DIST(AY$2,$M74,$L74,FALSE)*$U74*((1+Inputs!$D$7)^AY$2))),IF($N74=Lists!$K$3,IF($L74&lt;1,((($T74*(1-$F74)+$S74*(1-$G74))/$L74)*((1+Inputs!$D$7)^AY$2)),((INT(AY$2/$L74)-INT((AY$2-1)/$L74))*($T74*(1-$F74)+$S74*(1-$G74))*((1+Inputs!$D$7)^AY$2))),((_xlfn.WEIBULL.DIST(AY$2,$M74,$L74,FALSE)*($T74*(1-$F74)+$S74*(1-$G74))*((1+Inputs!$D$7)^AY$2))))))</f>
        <v>384.53785302875451</v>
      </c>
      <c r="AZ74" s="88">
        <f>$E74*IF(AZ$2&gt;Inputs!$D$5,0,IF(AZ$2&gt;VLOOKUP($H74,Lists!$P$3:$Q$7,2),IF($N74=Lists!$K$3,IF($L74&lt;1,(($U74/$L74)*((1+Inputs!$D$7)^AZ$2)),((INT(AZ$2/$L74)-INT((AZ$2-1)/$L74))*$U74*((1+Inputs!$D$7)^AZ$2))),(_xlfn.WEIBULL.DIST(AZ$2,$M74,$L74,FALSE)*$U74*((1+Inputs!$D$7)^AZ$2))),IF($N74=Lists!$K$3,IF($L74&lt;1,((($T74*(1-$F74)+$S74*(1-$G74))/$L74)*((1+Inputs!$D$7)^AZ$2)),((INT(AZ$2/$L74)-INT((AZ$2-1)/$L74))*($T74*(1-$F74)+$S74*(1-$G74))*((1+Inputs!$D$7)^AZ$2))),((_xlfn.WEIBULL.DIST(AZ$2,$M74,$L74,FALSE)*($T74*(1-$F74)+$S74*(1-$G74))*((1+Inputs!$D$7)^AZ$2))))))</f>
        <v>0</v>
      </c>
      <c r="BA74" s="88">
        <f>$E74*IF(BA$2&gt;Inputs!$D$5,0,IF(BA$2&gt;VLOOKUP($H74,Lists!$P$3:$Q$7,2),IF($N74=Lists!$K$3,IF($L74&lt;1,(($U74/$L74)*((1+Inputs!$D$7)^BA$2)),((INT(BA$2/$L74)-INT((BA$2-1)/$L74))*$U74*((1+Inputs!$D$7)^BA$2))),(_xlfn.WEIBULL.DIST(BA$2,$M74,$L74,FALSE)*$U74*((1+Inputs!$D$7)^BA$2))),IF($N74=Lists!$K$3,IF($L74&lt;1,((($T74*(1-$F74)+$S74*(1-$G74))/$L74)*((1+Inputs!$D$7)^BA$2)),((INT(BA$2/$L74)-INT((BA$2-1)/$L74))*($T74*(1-$F74)+$S74*(1-$G74))*((1+Inputs!$D$7)^BA$2))),((_xlfn.WEIBULL.DIST(BA$2,$M74,$L74,FALSE)*($T74*(1-$F74)+$S74*(1-$G74))*((1+Inputs!$D$7)^BA$2))))))</f>
        <v>0</v>
      </c>
      <c r="BB74" s="88">
        <f>$E74*IF(BB$2&gt;Inputs!$D$5,0,IF(BB$2&gt;VLOOKUP($H74,Lists!$P$3:$Q$7,2),IF($N74=Lists!$K$3,IF($L74&lt;1,(($U74/$L74)*((1+Inputs!$D$7)^BB$2)),((INT(BB$2/$L74)-INT((BB$2-1)/$L74))*$U74*((1+Inputs!$D$7)^BB$2))),(_xlfn.WEIBULL.DIST(BB$2,$M74,$L74,FALSE)*$U74*((1+Inputs!$D$7)^BB$2))),IF($N74=Lists!$K$3,IF($L74&lt;1,((($T74*(1-$F74)+$S74*(1-$G74))/$L74)*((1+Inputs!$D$7)^BB$2)),((INT(BB$2/$L74)-INT((BB$2-1)/$L74))*($T74*(1-$F74)+$S74*(1-$G74))*((1+Inputs!$D$7)^BB$2))),((_xlfn.WEIBULL.DIST(BB$2,$M74,$L74,FALSE)*($T74*(1-$F74)+$S74*(1-$G74))*((1+Inputs!$D$7)^BB$2))))))</f>
        <v>0</v>
      </c>
      <c r="BC74" s="88">
        <f>$E74*IF(BC$2&gt;Inputs!$D$5,0,IF(BC$2&gt;VLOOKUP($H74,Lists!$P$3:$Q$7,2),IF($N74=Lists!$K$3,IF($L74&lt;1,(($U74/$L74)*((1+Inputs!$D$7)^BC$2)),((INT(BC$2/$L74)-INT((BC$2-1)/$L74))*$U74*((1+Inputs!$D$7)^BC$2))),(_xlfn.WEIBULL.DIST(BC$2,$M74,$L74,FALSE)*$U74*((1+Inputs!$D$7)^BC$2))),IF($N74=Lists!$K$3,IF($L74&lt;1,((($T74*(1-$F74)+$S74*(1-$G74))/$L74)*((1+Inputs!$D$7)^BC$2)),((INT(BC$2/$L74)-INT((BC$2-1)/$L74))*($T74*(1-$F74)+$S74*(1-$G74))*((1+Inputs!$D$7)^BC$2))),((_xlfn.WEIBULL.DIST(BC$2,$M74,$L74,FALSE)*($T74*(1-$F74)+$S74*(1-$G74))*((1+Inputs!$D$7)^BC$2))))))</f>
        <v>0</v>
      </c>
      <c r="BD74" s="88">
        <f>$E74*IF(BD$2&gt;Inputs!$D$5,0,IF(BD$2&gt;VLOOKUP($H74,Lists!$P$3:$Q$7,2),IF($N74=Lists!$K$3,IF($L74&lt;1,(($U74/$L74)*((1+Inputs!$D$7)^BD$2)),((INT(BD$2/$L74)-INT((BD$2-1)/$L74))*$U74*((1+Inputs!$D$7)^BD$2))),(_xlfn.WEIBULL.DIST(BD$2,$M74,$L74,FALSE)*$U74*((1+Inputs!$D$7)^BD$2))),IF($N74=Lists!$K$3,IF($L74&lt;1,((($T74*(1-$F74)+$S74*(1-$G74))/$L74)*((1+Inputs!$D$7)^BD$2)),((INT(BD$2/$L74)-INT((BD$2-1)/$L74))*($T74*(1-$F74)+$S74*(1-$G74))*((1+Inputs!$D$7)^BD$2))),((_xlfn.WEIBULL.DIST(BD$2,$M74,$L74,FALSE)*($T74*(1-$F74)+$S74*(1-$G74))*((1+Inputs!$D$7)^BD$2))))))</f>
        <v>0</v>
      </c>
      <c r="BE74" s="88">
        <f>$E74*IF(BE$2&gt;Inputs!$D$5,0,IF(BE$2&gt;VLOOKUP($H74,Lists!$P$3:$Q$7,2),IF($N74=Lists!$K$3,IF($L74&lt;1,(($U74/$L74)*((1+Inputs!$D$7)^BE$2)),((INT(BE$2/$L74)-INT((BE$2-1)/$L74))*$U74*((1+Inputs!$D$7)^BE$2))),(_xlfn.WEIBULL.DIST(BE$2,$M74,$L74,FALSE)*$U74*((1+Inputs!$D$7)^BE$2))),IF($N74=Lists!$K$3,IF($L74&lt;1,((($T74*(1-$F74)+$S74*(1-$G74))/$L74)*((1+Inputs!$D$7)^BE$2)),((INT(BE$2/$L74)-INT((BE$2-1)/$L74))*($T74*(1-$F74)+$S74*(1-$G74))*((1+Inputs!$D$7)^BE$2))),((_xlfn.WEIBULL.DIST(BE$2,$M74,$L74,FALSE)*($T74*(1-$F74)+$S74*(1-$G74))*((1+Inputs!$D$7)^BE$2))))))</f>
        <v>0</v>
      </c>
      <c r="BF74" s="88">
        <f>$E74*IF(BF$2&gt;Inputs!$D$5,0,IF(BF$2&gt;VLOOKUP($H74,Lists!$P$3:$Q$7,2),IF($N74=Lists!$K$3,IF($L74&lt;1,(($U74/$L74)*((1+Inputs!$D$7)^BF$2)),((INT(BF$2/$L74)-INT((BF$2-1)/$L74))*$U74*((1+Inputs!$D$7)^BF$2))),(_xlfn.WEIBULL.DIST(BF$2,$M74,$L74,FALSE)*$U74*((1+Inputs!$D$7)^BF$2))),IF($N74=Lists!$K$3,IF($L74&lt;1,((($T74*(1-$F74)+$S74*(1-$G74))/$L74)*((1+Inputs!$D$7)^BF$2)),((INT(BF$2/$L74)-INT((BF$2-1)/$L74))*($T74*(1-$F74)+$S74*(1-$G74))*((1+Inputs!$D$7)^BF$2))),((_xlfn.WEIBULL.DIST(BF$2,$M74,$L74,FALSE)*($T74*(1-$F74)+$S74*(1-$G74))*((1+Inputs!$D$7)^BF$2))))))</f>
        <v>0</v>
      </c>
      <c r="BG74" s="88">
        <f>$E74*IF(BG$2&gt;Inputs!$D$5,0,IF(BG$2&gt;VLOOKUP($H74,Lists!$P$3:$Q$7,2),IF($N74=Lists!$K$3,IF($L74&lt;1,(($U74/$L74)*((1+Inputs!$D$7)^BG$2)),((INT(BG$2/$L74)-INT((BG$2-1)/$L74))*$U74*((1+Inputs!$D$7)^BG$2))),(_xlfn.WEIBULL.DIST(BG$2,$M74,$L74,FALSE)*$U74*((1+Inputs!$D$7)^BG$2))),IF($N74=Lists!$K$3,IF($L74&lt;1,((($T74*(1-$F74)+$S74*(1-$G74))/$L74)*((1+Inputs!$D$7)^BG$2)),((INT(BG$2/$L74)-INT((BG$2-1)/$L74))*($T74*(1-$F74)+$S74*(1-$G74))*((1+Inputs!$D$7)^BG$2))),((_xlfn.WEIBULL.DIST(BG$2,$M74,$L74,FALSE)*($T74*(1-$F74)+$S74*(1-$G74))*((1+Inputs!$D$7)^BG$2))))))</f>
        <v>0</v>
      </c>
      <c r="BH74" s="88">
        <f>$E74*IF(BH$2&gt;Inputs!$D$5,0,IF(BH$2&gt;VLOOKUP($H74,Lists!$P$3:$Q$7,2),IF($N74=Lists!$K$3,IF($L74&lt;1,(($U74/$L74)*((1+Inputs!$D$7)^BH$2)),((INT(BH$2/$L74)-INT((BH$2-1)/$L74))*$U74*((1+Inputs!$D$7)^BH$2))),(_xlfn.WEIBULL.DIST(BH$2,$M74,$L74,FALSE)*$U74*((1+Inputs!$D$7)^BH$2))),IF($N74=Lists!$K$3,IF($L74&lt;1,((($T74*(1-$F74)+$S74*(1-$G74))/$L74)*((1+Inputs!$D$7)^BH$2)),((INT(BH$2/$L74)-INT((BH$2-1)/$L74))*($T74*(1-$F74)+$S74*(1-$G74))*((1+Inputs!$D$7)^BH$2))),((_xlfn.WEIBULL.DIST(BH$2,$M74,$L74,FALSE)*($T74*(1-$F74)+$S74*(1-$G74))*((1+Inputs!$D$7)^BH$2))))))</f>
        <v>0</v>
      </c>
      <c r="BI74" s="88">
        <f>$E74*IF(BI$2&gt;Inputs!$D$5,0,IF(BI$2&gt;VLOOKUP($H74,Lists!$P$3:$Q$7,2),IF($N74=Lists!$K$3,IF($L74&lt;1,(($U74/$L74)*((1+Inputs!$D$7)^BI$2)),((INT(BI$2/$L74)-INT((BI$2-1)/$L74))*$U74*((1+Inputs!$D$7)^BI$2))),(_xlfn.WEIBULL.DIST(BI$2,$M74,$L74,FALSE)*$U74*((1+Inputs!$D$7)^BI$2))),IF($N74=Lists!$K$3,IF($L74&lt;1,((($T74*(1-$F74)+$S74*(1-$G74))/$L74)*((1+Inputs!$D$7)^BI$2)),((INT(BI$2/$L74)-INT((BI$2-1)/$L74))*($T74*(1-$F74)+$S74*(1-$G74))*((1+Inputs!$D$7)^BI$2))),((_xlfn.WEIBULL.DIST(BI$2,$M74,$L74,FALSE)*($T74*(1-$F74)+$S74*(1-$G74))*((1+Inputs!$D$7)^BI$2))))))</f>
        <v>0</v>
      </c>
      <c r="BJ74" s="88">
        <f>$E74*IF(BJ$2&gt;Inputs!$D$5,0,IF(BJ$2&gt;VLOOKUP($H74,Lists!$P$3:$Q$7,2),IF($N74=Lists!$K$3,IF($L74&lt;1,(($U74/$L74)*((1+Inputs!$D$7)^BJ$2)),((INT(BJ$2/$L74)-INT((BJ$2-1)/$L74))*$U74*((1+Inputs!$D$7)^BJ$2))),(_xlfn.WEIBULL.DIST(BJ$2,$M74,$L74,FALSE)*$U74*((1+Inputs!$D$7)^BJ$2))),IF($N74=Lists!$K$3,IF($L74&lt;1,((($T74*(1-$F74)+$S74*(1-$G74))/$L74)*((1+Inputs!$D$7)^BJ$2)),((INT(BJ$2/$L74)-INT((BJ$2-1)/$L74))*($T74*(1-$F74)+$S74*(1-$G74))*((1+Inputs!$D$7)^BJ$2))),((_xlfn.WEIBULL.DIST(BJ$2,$M74,$L74,FALSE)*($T74*(1-$F74)+$S74*(1-$G74))*((1+Inputs!$D$7)^BJ$2))))))</f>
        <v>0</v>
      </c>
      <c r="BK74" s="88">
        <f>$E74*IF(BK$2&gt;Inputs!$D$5,0,IF(BK$2&gt;VLOOKUP($H74,Lists!$P$3:$Q$7,2),IF($N74=Lists!$K$3,IF($L74&lt;1,(($U74/$L74)*((1+Inputs!$D$7)^BK$2)),((INT(BK$2/$L74)-INT((BK$2-1)/$L74))*$U74*((1+Inputs!$D$7)^BK$2))),(_xlfn.WEIBULL.DIST(BK$2,$M74,$L74,FALSE)*$U74*((1+Inputs!$D$7)^BK$2))),IF($N74=Lists!$K$3,IF($L74&lt;1,((($T74*(1-$F74)+$S74*(1-$G74))/$L74)*((1+Inputs!$D$7)^BK$2)),((INT(BK$2/$L74)-INT((BK$2-1)/$L74))*($T74*(1-$F74)+$S74*(1-$G74))*((1+Inputs!$D$7)^BK$2))),((_xlfn.WEIBULL.DIST(BK$2,$M74,$L74,FALSE)*($T74*(1-$F74)+$S74*(1-$G74))*((1+Inputs!$D$7)^BK$2))))))</f>
        <v>0</v>
      </c>
      <c r="BL74" s="88">
        <f>$E74*IF(BL$2&gt;Inputs!$D$5,0,IF(BL$2&gt;VLOOKUP($H74,Lists!$P$3:$Q$7,2),IF($N74=Lists!$K$3,IF($L74&lt;1,(($U74/$L74)*((1+Inputs!$D$7)^BL$2)),((INT(BL$2/$L74)-INT((BL$2-1)/$L74))*$U74*((1+Inputs!$D$7)^BL$2))),(_xlfn.WEIBULL.DIST(BL$2,$M74,$L74,FALSE)*$U74*((1+Inputs!$D$7)^BL$2))),IF($N74=Lists!$K$3,IF($L74&lt;1,((($T74*(1-$F74)+$S74*(1-$G74))/$L74)*((1+Inputs!$D$7)^BL$2)),((INT(BL$2/$L74)-INT((BL$2-1)/$L74))*($T74*(1-$F74)+$S74*(1-$G74))*((1+Inputs!$D$7)^BL$2))),((_xlfn.WEIBULL.DIST(BL$2,$M74,$L74,FALSE)*($T74*(1-$F74)+$S74*(1-$G74))*((1+Inputs!$D$7)^BL$2))))))</f>
        <v>0</v>
      </c>
      <c r="BM74" s="88">
        <f>$E74*IF(BM$2&gt;Inputs!$D$5,0,IF(BM$2&gt;VLOOKUP($H74,Lists!$P$3:$Q$7,2),IF($N74=Lists!$K$3,IF($L74&lt;1,(($U74/$L74)*((1+Inputs!$D$7)^BM$2)),((INT(BM$2/$L74)-INT((BM$2-1)/$L74))*$U74*((1+Inputs!$D$7)^BM$2))),(_xlfn.WEIBULL.DIST(BM$2,$M74,$L74,FALSE)*$U74*((1+Inputs!$D$7)^BM$2))),IF($N74=Lists!$K$3,IF($L74&lt;1,((($T74*(1-$F74)+$S74*(1-$G74))/$L74)*((1+Inputs!$D$7)^BM$2)),((INT(BM$2/$L74)-INT((BM$2-1)/$L74))*($T74*(1-$F74)+$S74*(1-$G74))*((1+Inputs!$D$7)^BM$2))),((_xlfn.WEIBULL.DIST(BM$2,$M74,$L74,FALSE)*($T74*(1-$F74)+$S74*(1-$G74))*((1+Inputs!$D$7)^BM$2))))))</f>
        <v>0</v>
      </c>
      <c r="BN74" s="88">
        <f>$E74*IF(BN$2&gt;Inputs!$D$5,0,IF(BN$2&gt;VLOOKUP($H74,Lists!$P$3:$Q$7,2),IF($N74=Lists!$K$3,IF($L74&lt;1,(($U74/$L74)*((1+Inputs!$D$7)^BN$2)),((INT(BN$2/$L74)-INT((BN$2-1)/$L74))*$U74*((1+Inputs!$D$7)^BN$2))),(_xlfn.WEIBULL.DIST(BN$2,$M74,$L74,FALSE)*$U74*((1+Inputs!$D$7)^BN$2))),IF($N74=Lists!$K$3,IF($L74&lt;1,((($T74*(1-$F74)+$S74*(1-$G74))/$L74)*((1+Inputs!$D$7)^BN$2)),((INT(BN$2/$L74)-INT((BN$2-1)/$L74))*($T74*(1-$F74)+$S74*(1-$G74))*((1+Inputs!$D$7)^BN$2))),((_xlfn.WEIBULL.DIST(BN$2,$M74,$L74,FALSE)*($T74*(1-$F74)+$S74*(1-$G74))*((1+Inputs!$D$7)^BN$2))))))</f>
        <v>0</v>
      </c>
      <c r="BO74" s="64">
        <f>NPV(Inputs!$D$6,BQ74:DD74)</f>
        <v>3336.1529468839167</v>
      </c>
      <c r="BP74" s="67">
        <f t="shared" si="20"/>
        <v>1.5734926030990628E-3</v>
      </c>
      <c r="BQ74" s="88">
        <f>MAX(AA74,($E74*IF(BQ$2&gt;Inputs!$D$5,0,IF(BQ$2&gt;VLOOKUP($H74,Lists!$P$3:$Q$7,2),IF($N74=Lists!$K$3,IF($L74&lt;1,(($U74/$L74)*((1+Inputs!$D$7)^BQ$2)),((INT(BQ$2/$L74)-INT((BQ$2-1)/$L74))*$U74*((1+Inputs!$D$7)^BQ$2))),(Inputs!$D$8^((1-_xlfn.WEIBULL.DIST(BQ$2,$M74,$L74,FALSE))/_xlfn.WEIBULL.DIST(BQ$2,$M74,$L74,FALSE))*$U74*((1+Inputs!$D$7)^BQ$2))),IF($N74=Lists!$K$3,IF($L74&lt;1,((($T74*(1-$F74)+$S74*(1-$G74))/$L74)*((1+Inputs!$D$7)^BQ$2)),((INT(BQ$2/$L74)-INT((BQ$2-1)/$L74))*($T74*(1-$F74)+$S74*(1-$G74))*((1+Inputs!$D$7)^BQ$2))),((Inputs!$D$8^((1-_xlfn.WEIBULL.DIST(BQ$2,$M74,$L74,FALSE))/_xlfn.WEIBULL.DIST(BQ$2,$M74,$L74,FALSE))*($T74*(1-$F74)+$S74*(1-$G74))*((1+Inputs!$D$7)^BQ$2))))))))</f>
        <v>239.07544615384612</v>
      </c>
      <c r="BR74" s="88">
        <f>MAX(AB74,($E74*IF(BR$2&gt;Inputs!$D$5,0,IF(BR$2&gt;VLOOKUP($H74,Lists!$P$3:$Q$7,2),IF($N74=Lists!$K$3,IF($L74&lt;1,(($U74/$L74)*((1+Inputs!$D$7)^BR$2)),((INT(BR$2/$L74)-INT((BR$2-1)/$L74))*$U74*((1+Inputs!$D$7)^BR$2))),(Inputs!$D$8^((1-_xlfn.WEIBULL.DIST(BR$2,$M74,$L74,FALSE))/_xlfn.WEIBULL.DIST(BR$2,$M74,$L74,FALSE))*$U74*((1+Inputs!$D$7)^BR$2))),IF($N74=Lists!$K$3,IF($L74&lt;1,((($T74*(1-$F74)+$S74*(1-$G74))/$L74)*((1+Inputs!$D$7)^BR$2)),((INT(BR$2/$L74)-INT((BR$2-1)/$L74))*($T74*(1-$F74)+$S74*(1-$G74))*((1+Inputs!$D$7)^BR$2))),((Inputs!$D$8^((1-_xlfn.WEIBULL.DIST(BR$2,$M74,$L74,FALSE))/_xlfn.WEIBULL.DIST(BR$2,$M74,$L74,FALSE))*($T74*(1-$F74)+$S74*(1-$G74))*((1+Inputs!$D$7)^BR$2))))))))</f>
        <v>243.85695507692304</v>
      </c>
      <c r="BS74" s="88">
        <f>MAX(AC74,($E74*IF(BS$2&gt;Inputs!$D$5,0,IF(BS$2&gt;VLOOKUP($H74,Lists!$P$3:$Q$7,2),IF($N74=Lists!$K$3,IF($L74&lt;1,(($U74/$L74)*((1+Inputs!$D$7)^BS$2)),((INT(BS$2/$L74)-INT((BS$2-1)/$L74))*$U74*((1+Inputs!$D$7)^BS$2))),(Inputs!$D$8^((1-_xlfn.WEIBULL.DIST(BS$2,$M74,$L74,FALSE))/_xlfn.WEIBULL.DIST(BS$2,$M74,$L74,FALSE))*$U74*((1+Inputs!$D$7)^BS$2))),IF($N74=Lists!$K$3,IF($L74&lt;1,((($T74*(1-$F74)+$S74*(1-$G74))/$L74)*((1+Inputs!$D$7)^BS$2)),((INT(BS$2/$L74)-INT((BS$2-1)/$L74))*($T74*(1-$F74)+$S74*(1-$G74))*((1+Inputs!$D$7)^BS$2))),((Inputs!$D$8^((1-_xlfn.WEIBULL.DIST(BS$2,$M74,$L74,FALSE))/_xlfn.WEIBULL.DIST(BS$2,$M74,$L74,FALSE))*($T74*(1-$F74)+$S74*(1-$G74))*((1+Inputs!$D$7)^BS$2))))))))</f>
        <v>248.73409417846148</v>
      </c>
      <c r="BT74" s="88">
        <f>MAX(AD74,($E74*IF(BT$2&gt;Inputs!$D$5,0,IF(BT$2&gt;VLOOKUP($H74,Lists!$P$3:$Q$7,2),IF($N74=Lists!$K$3,IF($L74&lt;1,(($U74/$L74)*((1+Inputs!$D$7)^BT$2)),((INT(BT$2/$L74)-INT((BT$2-1)/$L74))*$U74*((1+Inputs!$D$7)^BT$2))),(Inputs!$D$8^((1-_xlfn.WEIBULL.DIST(BT$2,$M74,$L74,FALSE))/_xlfn.WEIBULL.DIST(BT$2,$M74,$L74,FALSE))*$U74*((1+Inputs!$D$7)^BT$2))),IF($N74=Lists!$K$3,IF($L74&lt;1,((($T74*(1-$F74)+$S74*(1-$G74))/$L74)*((1+Inputs!$D$7)^BT$2)),((INT(BT$2/$L74)-INT((BT$2-1)/$L74))*($T74*(1-$F74)+$S74*(1-$G74))*((1+Inputs!$D$7)^BT$2))),((Inputs!$D$8^((1-_xlfn.WEIBULL.DIST(BT$2,$M74,$L74,FALSE))/_xlfn.WEIBULL.DIST(BT$2,$M74,$L74,FALSE))*($T74*(1-$F74)+$S74*(1-$G74))*((1+Inputs!$D$7)^BT$2))))))))</f>
        <v>253.70877606203072</v>
      </c>
      <c r="BU74" s="88">
        <f>MAX(AE74,($E74*IF(BU$2&gt;Inputs!$D$5,0,IF(BU$2&gt;VLOOKUP($H74,Lists!$P$3:$Q$7,2),IF($N74=Lists!$K$3,IF($L74&lt;1,(($U74/$L74)*((1+Inputs!$D$7)^BU$2)),((INT(BU$2/$L74)-INT((BU$2-1)/$L74))*$U74*((1+Inputs!$D$7)^BU$2))),(Inputs!$D$8^((1-_xlfn.WEIBULL.DIST(BU$2,$M74,$L74,FALSE))/_xlfn.WEIBULL.DIST(BU$2,$M74,$L74,FALSE))*$U74*((1+Inputs!$D$7)^BU$2))),IF($N74=Lists!$K$3,IF($L74&lt;1,((($T74*(1-$F74)+$S74*(1-$G74))/$L74)*((1+Inputs!$D$7)^BU$2)),((INT(BU$2/$L74)-INT((BU$2-1)/$L74))*($T74*(1-$F74)+$S74*(1-$G74))*((1+Inputs!$D$7)^BU$2))),((Inputs!$D$8^((1-_xlfn.WEIBULL.DIST(BU$2,$M74,$L74,FALSE))/_xlfn.WEIBULL.DIST(BU$2,$M74,$L74,FALSE))*($T74*(1-$F74)+$S74*(1-$G74))*((1+Inputs!$D$7)^BU$2))))))))</f>
        <v>258.78295158327137</v>
      </c>
      <c r="BV74" s="88">
        <f>MAX(AF74,($E74*IF(BV$2&gt;Inputs!$D$5,0,IF(BV$2&gt;VLOOKUP($H74,Lists!$P$3:$Q$7,2),IF($N74=Lists!$K$3,IF($L74&lt;1,(($U74/$L74)*((1+Inputs!$D$7)^BV$2)),((INT(BV$2/$L74)-INT((BV$2-1)/$L74))*$U74*((1+Inputs!$D$7)^BV$2))),(Inputs!$D$8^((1-_xlfn.WEIBULL.DIST(BV$2,$M74,$L74,FALSE))/_xlfn.WEIBULL.DIST(BV$2,$M74,$L74,FALSE))*$U74*((1+Inputs!$D$7)^BV$2))),IF($N74=Lists!$K$3,IF($L74&lt;1,((($T74*(1-$F74)+$S74*(1-$G74))/$L74)*((1+Inputs!$D$7)^BV$2)),((INT(BV$2/$L74)-INT((BV$2-1)/$L74))*($T74*(1-$F74)+$S74*(1-$G74))*((1+Inputs!$D$7)^BV$2))),((Inputs!$D$8^((1-_xlfn.WEIBULL.DIST(BV$2,$M74,$L74,FALSE))/_xlfn.WEIBULL.DIST(BV$2,$M74,$L74,FALSE))*($T74*(1-$F74)+$S74*(1-$G74))*((1+Inputs!$D$7)^BV$2))))))))</f>
        <v>263.95861061493679</v>
      </c>
      <c r="BW74" s="88">
        <f>MAX(AG74,($E74*IF(BW$2&gt;Inputs!$D$5,0,IF(BW$2&gt;VLOOKUP($H74,Lists!$P$3:$Q$7,2),IF($N74=Lists!$K$3,IF($L74&lt;1,(($U74/$L74)*((1+Inputs!$D$7)^BW$2)),((INT(BW$2/$L74)-INT((BW$2-1)/$L74))*$U74*((1+Inputs!$D$7)^BW$2))),(Inputs!$D$8^((1-_xlfn.WEIBULL.DIST(BW$2,$M74,$L74,FALSE))/_xlfn.WEIBULL.DIST(BW$2,$M74,$L74,FALSE))*$U74*((1+Inputs!$D$7)^BW$2))),IF($N74=Lists!$K$3,IF($L74&lt;1,((($T74*(1-$F74)+$S74*(1-$G74))/$L74)*((1+Inputs!$D$7)^BW$2)),((INT(BW$2/$L74)-INT((BW$2-1)/$L74))*($T74*(1-$F74)+$S74*(1-$G74))*((1+Inputs!$D$7)^BW$2))),((Inputs!$D$8^((1-_xlfn.WEIBULL.DIST(BW$2,$M74,$L74,FALSE))/_xlfn.WEIBULL.DIST(BW$2,$M74,$L74,FALSE))*($T74*(1-$F74)+$S74*(1-$G74))*((1+Inputs!$D$7)^BW$2))))))))</f>
        <v>269.23778282723549</v>
      </c>
      <c r="BX74" s="88">
        <f>MAX(AH74,($E74*IF(BX$2&gt;Inputs!$D$5,0,IF(BX$2&gt;VLOOKUP($H74,Lists!$P$3:$Q$7,2),IF($N74=Lists!$K$3,IF($L74&lt;1,(($U74/$L74)*((1+Inputs!$D$7)^BX$2)),((INT(BX$2/$L74)-INT((BX$2-1)/$L74))*$U74*((1+Inputs!$D$7)^BX$2))),(Inputs!$D$8^((1-_xlfn.WEIBULL.DIST(BX$2,$M74,$L74,FALSE))/_xlfn.WEIBULL.DIST(BX$2,$M74,$L74,FALSE))*$U74*((1+Inputs!$D$7)^BX$2))),IF($N74=Lists!$K$3,IF($L74&lt;1,((($T74*(1-$F74)+$S74*(1-$G74))/$L74)*((1+Inputs!$D$7)^BX$2)),((INT(BX$2/$L74)-INT((BX$2-1)/$L74))*($T74*(1-$F74)+$S74*(1-$G74))*((1+Inputs!$D$7)^BX$2))),((Inputs!$D$8^((1-_xlfn.WEIBULL.DIST(BX$2,$M74,$L74,FALSE))/_xlfn.WEIBULL.DIST(BX$2,$M74,$L74,FALSE))*($T74*(1-$F74)+$S74*(1-$G74))*((1+Inputs!$D$7)^BX$2))))))))</f>
        <v>274.6225384837802</v>
      </c>
      <c r="BY74" s="88">
        <f>MAX(AI74,($E74*IF(BY$2&gt;Inputs!$D$5,0,IF(BY$2&gt;VLOOKUP($H74,Lists!$P$3:$Q$7,2),IF($N74=Lists!$K$3,IF($L74&lt;1,(($U74/$L74)*((1+Inputs!$D$7)^BY$2)),((INT(BY$2/$L74)-INT((BY$2-1)/$L74))*$U74*((1+Inputs!$D$7)^BY$2))),(Inputs!$D$8^((1-_xlfn.WEIBULL.DIST(BY$2,$M74,$L74,FALSE))/_xlfn.WEIBULL.DIST(BY$2,$M74,$L74,FALSE))*$U74*((1+Inputs!$D$7)^BY$2))),IF($N74=Lists!$K$3,IF($L74&lt;1,((($T74*(1-$F74)+$S74*(1-$G74))/$L74)*((1+Inputs!$D$7)^BY$2)),((INT(BY$2/$L74)-INT((BY$2-1)/$L74))*($T74*(1-$F74)+$S74*(1-$G74))*((1+Inputs!$D$7)^BY$2))),((Inputs!$D$8^((1-_xlfn.WEIBULL.DIST(BY$2,$M74,$L74,FALSE))/_xlfn.WEIBULL.DIST(BY$2,$M74,$L74,FALSE))*($T74*(1-$F74)+$S74*(1-$G74))*((1+Inputs!$D$7)^BY$2))))))))</f>
        <v>280.1149892534558</v>
      </c>
      <c r="BZ74" s="88">
        <f>MAX(AJ74,($E74*IF(BZ$2&gt;Inputs!$D$5,0,IF(BZ$2&gt;VLOOKUP($H74,Lists!$P$3:$Q$7,2),IF($N74=Lists!$K$3,IF($L74&lt;1,(($U74/$L74)*((1+Inputs!$D$7)^BZ$2)),((INT(BZ$2/$L74)-INT((BZ$2-1)/$L74))*$U74*((1+Inputs!$D$7)^BZ$2))),(Inputs!$D$8^((1-_xlfn.WEIBULL.DIST(BZ$2,$M74,$L74,FALSE))/_xlfn.WEIBULL.DIST(BZ$2,$M74,$L74,FALSE))*$U74*((1+Inputs!$D$7)^BZ$2))),IF($N74=Lists!$K$3,IF($L74&lt;1,((($T74*(1-$F74)+$S74*(1-$G74))/$L74)*((1+Inputs!$D$7)^BZ$2)),((INT(BZ$2/$L74)-INT((BZ$2-1)/$L74))*($T74*(1-$F74)+$S74*(1-$G74))*((1+Inputs!$D$7)^BZ$2))),((Inputs!$D$8^((1-_xlfn.WEIBULL.DIST(BZ$2,$M74,$L74,FALSE))/_xlfn.WEIBULL.DIST(BZ$2,$M74,$L74,FALSE))*($T74*(1-$F74)+$S74*(1-$G74))*((1+Inputs!$D$7)^BZ$2))))))))</f>
        <v>285.71728903852494</v>
      </c>
      <c r="CA74" s="88">
        <f>MAX(AK74,($E74*IF(CA$2&gt;Inputs!$D$5,0,IF(CA$2&gt;VLOOKUP($H74,Lists!$P$3:$Q$7,2),IF($N74=Lists!$K$3,IF($L74&lt;1,(($U74/$L74)*((1+Inputs!$D$7)^CA$2)),((INT(CA$2/$L74)-INT((CA$2-1)/$L74))*$U74*((1+Inputs!$D$7)^CA$2))),(Inputs!$D$8^((1-_xlfn.WEIBULL.DIST(CA$2,$M74,$L74,FALSE))/_xlfn.WEIBULL.DIST(CA$2,$M74,$L74,FALSE))*$U74*((1+Inputs!$D$7)^CA$2))),IF($N74=Lists!$K$3,IF($L74&lt;1,((($T74*(1-$F74)+$S74*(1-$G74))/$L74)*((1+Inputs!$D$7)^CA$2)),((INT(CA$2/$L74)-INT((CA$2-1)/$L74))*($T74*(1-$F74)+$S74*(1-$G74))*((1+Inputs!$D$7)^CA$2))),((Inputs!$D$8^((1-_xlfn.WEIBULL.DIST(CA$2,$M74,$L74,FALSE))/_xlfn.WEIBULL.DIST(CA$2,$M74,$L74,FALSE))*($T74*(1-$F74)+$S74*(1-$G74))*((1+Inputs!$D$7)^CA$2))))))))</f>
        <v>291.43163481929537</v>
      </c>
      <c r="CB74" s="88">
        <f>MAX(AL74,($E74*IF(CB$2&gt;Inputs!$D$5,0,IF(CB$2&gt;VLOOKUP($H74,Lists!$P$3:$Q$7,2),IF($N74=Lists!$K$3,IF($L74&lt;1,(($U74/$L74)*((1+Inputs!$D$7)^CB$2)),((INT(CB$2/$L74)-INT((CB$2-1)/$L74))*$U74*((1+Inputs!$D$7)^CB$2))),(Inputs!$D$8^((1-_xlfn.WEIBULL.DIST(CB$2,$M74,$L74,FALSE))/_xlfn.WEIBULL.DIST(CB$2,$M74,$L74,FALSE))*$U74*((1+Inputs!$D$7)^CB$2))),IF($N74=Lists!$K$3,IF($L74&lt;1,((($T74*(1-$F74)+$S74*(1-$G74))/$L74)*((1+Inputs!$D$7)^CB$2)),((INT(CB$2/$L74)-INT((CB$2-1)/$L74))*($T74*(1-$F74)+$S74*(1-$G74))*((1+Inputs!$D$7)^CB$2))),((Inputs!$D$8^((1-_xlfn.WEIBULL.DIST(CB$2,$M74,$L74,FALSE))/_xlfn.WEIBULL.DIST(CB$2,$M74,$L74,FALSE))*($T74*(1-$F74)+$S74*(1-$G74))*((1+Inputs!$D$7)^CB$2))))))))</f>
        <v>297.26026751568133</v>
      </c>
      <c r="CC74" s="88">
        <f>MAX(AM74,($E74*IF(CC$2&gt;Inputs!$D$5,0,IF(CC$2&gt;VLOOKUP($H74,Lists!$P$3:$Q$7,2),IF($N74=Lists!$K$3,IF($L74&lt;1,(($U74/$L74)*((1+Inputs!$D$7)^CC$2)),((INT(CC$2/$L74)-INT((CC$2-1)/$L74))*$U74*((1+Inputs!$D$7)^CC$2))),(Inputs!$D$8^((1-_xlfn.WEIBULL.DIST(CC$2,$M74,$L74,FALSE))/_xlfn.WEIBULL.DIST(CC$2,$M74,$L74,FALSE))*$U74*((1+Inputs!$D$7)^CC$2))),IF($N74=Lists!$K$3,IF($L74&lt;1,((($T74*(1-$F74)+$S74*(1-$G74))/$L74)*((1+Inputs!$D$7)^CC$2)),((INT(CC$2/$L74)-INT((CC$2-1)/$L74))*($T74*(1-$F74)+$S74*(1-$G74))*((1+Inputs!$D$7)^CC$2))),((Inputs!$D$8^((1-_xlfn.WEIBULL.DIST(CC$2,$M74,$L74,FALSE))/_xlfn.WEIBULL.DIST(CC$2,$M74,$L74,FALSE))*($T74*(1-$F74)+$S74*(1-$G74))*((1+Inputs!$D$7)^CC$2))))))))</f>
        <v>303.20547286599492</v>
      </c>
      <c r="CD74" s="88">
        <f>MAX(AN74,($E74*IF(CD$2&gt;Inputs!$D$5,0,IF(CD$2&gt;VLOOKUP($H74,Lists!$P$3:$Q$7,2),IF($N74=Lists!$K$3,IF($L74&lt;1,(($U74/$L74)*((1+Inputs!$D$7)^CD$2)),((INT(CD$2/$L74)-INT((CD$2-1)/$L74))*$U74*((1+Inputs!$D$7)^CD$2))),(Inputs!$D$8^((1-_xlfn.WEIBULL.DIST(CD$2,$M74,$L74,FALSE))/_xlfn.WEIBULL.DIST(CD$2,$M74,$L74,FALSE))*$U74*((1+Inputs!$D$7)^CD$2))),IF($N74=Lists!$K$3,IF($L74&lt;1,((($T74*(1-$F74)+$S74*(1-$G74))/$L74)*((1+Inputs!$D$7)^CD$2)),((INT(CD$2/$L74)-INT((CD$2-1)/$L74))*($T74*(1-$F74)+$S74*(1-$G74))*((1+Inputs!$D$7)^CD$2))),((Inputs!$D$8^((1-_xlfn.WEIBULL.DIST(CD$2,$M74,$L74,FALSE))/_xlfn.WEIBULL.DIST(CD$2,$M74,$L74,FALSE))*($T74*(1-$F74)+$S74*(1-$G74))*((1+Inputs!$D$7)^CD$2))))))))</f>
        <v>309.26958232331486</v>
      </c>
      <c r="CE74" s="88">
        <f>MAX(AO74,($E74*IF(CE$2&gt;Inputs!$D$5,0,IF(CE$2&gt;VLOOKUP($H74,Lists!$P$3:$Q$7,2),IF($N74=Lists!$K$3,IF($L74&lt;1,(($U74/$L74)*((1+Inputs!$D$7)^CE$2)),((INT(CE$2/$L74)-INT((CE$2-1)/$L74))*$U74*((1+Inputs!$D$7)^CE$2))),(Inputs!$D$8^((1-_xlfn.WEIBULL.DIST(CE$2,$M74,$L74,FALSE))/_xlfn.WEIBULL.DIST(CE$2,$M74,$L74,FALSE))*$U74*((1+Inputs!$D$7)^CE$2))),IF($N74=Lists!$K$3,IF($L74&lt;1,((($T74*(1-$F74)+$S74*(1-$G74))/$L74)*((1+Inputs!$D$7)^CE$2)),((INT(CE$2/$L74)-INT((CE$2-1)/$L74))*($T74*(1-$F74)+$S74*(1-$G74))*((1+Inputs!$D$7)^CE$2))),((Inputs!$D$8^((1-_xlfn.WEIBULL.DIST(CE$2,$M74,$L74,FALSE))/_xlfn.WEIBULL.DIST(CE$2,$M74,$L74,FALSE))*($T74*(1-$F74)+$S74*(1-$G74))*((1+Inputs!$D$7)^CE$2))))))))</f>
        <v>315.45497396978107</v>
      </c>
      <c r="CF74" s="88">
        <f>MAX(AP74,($E74*IF(CF$2&gt;Inputs!$D$5,0,IF(CF$2&gt;VLOOKUP($H74,Lists!$P$3:$Q$7,2),IF($N74=Lists!$K$3,IF($L74&lt;1,(($U74/$L74)*((1+Inputs!$D$7)^CF$2)),((INT(CF$2/$L74)-INT((CF$2-1)/$L74))*$U74*((1+Inputs!$D$7)^CF$2))),(Inputs!$D$8^((1-_xlfn.WEIBULL.DIST(CF$2,$M74,$L74,FALSE))/_xlfn.WEIBULL.DIST(CF$2,$M74,$L74,FALSE))*$U74*((1+Inputs!$D$7)^CF$2))),IF($N74=Lists!$K$3,IF($L74&lt;1,((($T74*(1-$F74)+$S74*(1-$G74))/$L74)*((1+Inputs!$D$7)^CF$2)),((INT(CF$2/$L74)-INT((CF$2-1)/$L74))*($T74*(1-$F74)+$S74*(1-$G74))*((1+Inputs!$D$7)^CF$2))),((Inputs!$D$8^((1-_xlfn.WEIBULL.DIST(CF$2,$M74,$L74,FALSE))/_xlfn.WEIBULL.DIST(CF$2,$M74,$L74,FALSE))*($T74*(1-$F74)+$S74*(1-$G74))*((1+Inputs!$D$7)^CF$2))))))))</f>
        <v>321.76407344917675</v>
      </c>
      <c r="CG74" s="88">
        <f>MAX(AQ74,($E74*IF(CG$2&gt;Inputs!$D$5,0,IF(CG$2&gt;VLOOKUP($H74,Lists!$P$3:$Q$7,2),IF($N74=Lists!$K$3,IF($L74&lt;1,(($U74/$L74)*((1+Inputs!$D$7)^CG$2)),((INT(CG$2/$L74)-INT((CG$2-1)/$L74))*$U74*((1+Inputs!$D$7)^CG$2))),(Inputs!$D$8^((1-_xlfn.WEIBULL.DIST(CG$2,$M74,$L74,FALSE))/_xlfn.WEIBULL.DIST(CG$2,$M74,$L74,FALSE))*$U74*((1+Inputs!$D$7)^CG$2))),IF($N74=Lists!$K$3,IF($L74&lt;1,((($T74*(1-$F74)+$S74*(1-$G74))/$L74)*((1+Inputs!$D$7)^CG$2)),((INT(CG$2/$L74)-INT((CG$2-1)/$L74))*($T74*(1-$F74)+$S74*(1-$G74))*((1+Inputs!$D$7)^CG$2))),((Inputs!$D$8^((1-_xlfn.WEIBULL.DIST(CG$2,$M74,$L74,FALSE))/_xlfn.WEIBULL.DIST(CG$2,$M74,$L74,FALSE))*($T74*(1-$F74)+$S74*(1-$G74))*((1+Inputs!$D$7)^CG$2))))))))</f>
        <v>328.19935491816034</v>
      </c>
      <c r="CH74" s="88">
        <f>MAX(AR74,($E74*IF(CH$2&gt;Inputs!$D$5,0,IF(CH$2&gt;VLOOKUP($H74,Lists!$P$3:$Q$7,2),IF($N74=Lists!$K$3,IF($L74&lt;1,(($U74/$L74)*((1+Inputs!$D$7)^CH$2)),((INT(CH$2/$L74)-INT((CH$2-1)/$L74))*$U74*((1+Inputs!$D$7)^CH$2))),(Inputs!$D$8^((1-_xlfn.WEIBULL.DIST(CH$2,$M74,$L74,FALSE))/_xlfn.WEIBULL.DIST(CH$2,$M74,$L74,FALSE))*$U74*((1+Inputs!$D$7)^CH$2))),IF($N74=Lists!$K$3,IF($L74&lt;1,((($T74*(1-$F74)+$S74*(1-$G74))/$L74)*((1+Inputs!$D$7)^CH$2)),((INT(CH$2/$L74)-INT((CH$2-1)/$L74))*($T74*(1-$F74)+$S74*(1-$G74))*((1+Inputs!$D$7)^CH$2))),((Inputs!$D$8^((1-_xlfn.WEIBULL.DIST(CH$2,$M74,$L74,FALSE))/_xlfn.WEIBULL.DIST(CH$2,$M74,$L74,FALSE))*($T74*(1-$F74)+$S74*(1-$G74))*((1+Inputs!$D$7)^CH$2))))))))</f>
        <v>334.7633420165235</v>
      </c>
      <c r="CI74" s="88">
        <f>MAX(AS74,($E74*IF(CI$2&gt;Inputs!$D$5,0,IF(CI$2&gt;VLOOKUP($H74,Lists!$P$3:$Q$7,2),IF($N74=Lists!$K$3,IF($L74&lt;1,(($U74/$L74)*((1+Inputs!$D$7)^CI$2)),((INT(CI$2/$L74)-INT((CI$2-1)/$L74))*$U74*((1+Inputs!$D$7)^CI$2))),(Inputs!$D$8^((1-_xlfn.WEIBULL.DIST(CI$2,$M74,$L74,FALSE))/_xlfn.WEIBULL.DIST(CI$2,$M74,$L74,FALSE))*$U74*((1+Inputs!$D$7)^CI$2))),IF($N74=Lists!$K$3,IF($L74&lt;1,((($T74*(1-$F74)+$S74*(1-$G74))/$L74)*((1+Inputs!$D$7)^CI$2)),((INT(CI$2/$L74)-INT((CI$2-1)/$L74))*($T74*(1-$F74)+$S74*(1-$G74))*((1+Inputs!$D$7)^CI$2))),((Inputs!$D$8^((1-_xlfn.WEIBULL.DIST(CI$2,$M74,$L74,FALSE))/_xlfn.WEIBULL.DIST(CI$2,$M74,$L74,FALSE))*($T74*(1-$F74)+$S74*(1-$G74))*((1+Inputs!$D$7)^CI$2))))))))</f>
        <v>341.45860885685397</v>
      </c>
      <c r="CJ74" s="88">
        <f>MAX(AT74,($E74*IF(CJ$2&gt;Inputs!$D$5,0,IF(CJ$2&gt;VLOOKUP($H74,Lists!$P$3:$Q$7,2),IF($N74=Lists!$K$3,IF($L74&lt;1,(($U74/$L74)*((1+Inputs!$D$7)^CJ$2)),((INT(CJ$2/$L74)-INT((CJ$2-1)/$L74))*$U74*((1+Inputs!$D$7)^CJ$2))),(Inputs!$D$8^((1-_xlfn.WEIBULL.DIST(CJ$2,$M74,$L74,FALSE))/_xlfn.WEIBULL.DIST(CJ$2,$M74,$L74,FALSE))*$U74*((1+Inputs!$D$7)^CJ$2))),IF($N74=Lists!$K$3,IF($L74&lt;1,((($T74*(1-$F74)+$S74*(1-$G74))/$L74)*((1+Inputs!$D$7)^CJ$2)),((INT(CJ$2/$L74)-INT((CJ$2-1)/$L74))*($T74*(1-$F74)+$S74*(1-$G74))*((1+Inputs!$D$7)^CJ$2))),((Inputs!$D$8^((1-_xlfn.WEIBULL.DIST(CJ$2,$M74,$L74,FALSE))/_xlfn.WEIBULL.DIST(CJ$2,$M74,$L74,FALSE))*($T74*(1-$F74)+$S74*(1-$G74))*((1+Inputs!$D$7)^CJ$2))))))))</f>
        <v>348.28778103399105</v>
      </c>
      <c r="CK74" s="88">
        <f>MAX(AU74,($E74*IF(CK$2&gt;Inputs!$D$5,0,IF(CK$2&gt;VLOOKUP($H74,Lists!$P$3:$Q$7,2),IF($N74=Lists!$K$3,IF($L74&lt;1,(($U74/$L74)*((1+Inputs!$D$7)^CK$2)),((INT(CK$2/$L74)-INT((CK$2-1)/$L74))*$U74*((1+Inputs!$D$7)^CK$2))),(Inputs!$D$8^((1-_xlfn.WEIBULL.DIST(CK$2,$M74,$L74,FALSE))/_xlfn.WEIBULL.DIST(CK$2,$M74,$L74,FALSE))*$U74*((1+Inputs!$D$7)^CK$2))),IF($N74=Lists!$K$3,IF($L74&lt;1,((($T74*(1-$F74)+$S74*(1-$G74))/$L74)*((1+Inputs!$D$7)^CK$2)),((INT(CK$2/$L74)-INT((CK$2-1)/$L74))*($T74*(1-$F74)+$S74*(1-$G74))*((1+Inputs!$D$7)^CK$2))),((Inputs!$D$8^((1-_xlfn.WEIBULL.DIST(CK$2,$M74,$L74,FALSE))/_xlfn.WEIBULL.DIST(CK$2,$M74,$L74,FALSE))*($T74*(1-$F74)+$S74*(1-$G74))*((1+Inputs!$D$7)^CK$2))))))))</f>
        <v>355.25353665467088</v>
      </c>
      <c r="CL74" s="88">
        <f>MAX(AV74,($E74*IF(CL$2&gt;Inputs!$D$5,0,IF(CL$2&gt;VLOOKUP($H74,Lists!$P$3:$Q$7,2),IF($N74=Lists!$K$3,IF($L74&lt;1,(($U74/$L74)*((1+Inputs!$D$7)^CL$2)),((INT(CL$2/$L74)-INT((CL$2-1)/$L74))*$U74*((1+Inputs!$D$7)^CL$2))),(Inputs!$D$8^((1-_xlfn.WEIBULL.DIST(CL$2,$M74,$L74,FALSE))/_xlfn.WEIBULL.DIST(CL$2,$M74,$L74,FALSE))*$U74*((1+Inputs!$D$7)^CL$2))),IF($N74=Lists!$K$3,IF($L74&lt;1,((($T74*(1-$F74)+$S74*(1-$G74))/$L74)*((1+Inputs!$D$7)^CL$2)),((INT(CL$2/$L74)-INT((CL$2-1)/$L74))*($T74*(1-$F74)+$S74*(1-$G74))*((1+Inputs!$D$7)^CL$2))),((Inputs!$D$8^((1-_xlfn.WEIBULL.DIST(CL$2,$M74,$L74,FALSE))/_xlfn.WEIBULL.DIST(CL$2,$M74,$L74,FALSE))*($T74*(1-$F74)+$S74*(1-$G74))*((1+Inputs!$D$7)^CL$2))))))))</f>
        <v>362.35860738776432</v>
      </c>
      <c r="CM74" s="88">
        <f>MAX(AW74,($E74*IF(CM$2&gt;Inputs!$D$5,0,IF(CM$2&gt;VLOOKUP($H74,Lists!$P$3:$Q$7,2),IF($N74=Lists!$K$3,IF($L74&lt;1,(($U74/$L74)*((1+Inputs!$D$7)^CM$2)),((INT(CM$2/$L74)-INT((CM$2-1)/$L74))*$U74*((1+Inputs!$D$7)^CM$2))),(Inputs!$D$8^((1-_xlfn.WEIBULL.DIST(CM$2,$M74,$L74,FALSE))/_xlfn.WEIBULL.DIST(CM$2,$M74,$L74,FALSE))*$U74*((1+Inputs!$D$7)^CM$2))),IF($N74=Lists!$K$3,IF($L74&lt;1,((($T74*(1-$F74)+$S74*(1-$G74))/$L74)*((1+Inputs!$D$7)^CM$2)),((INT(CM$2/$L74)-INT((CM$2-1)/$L74))*($T74*(1-$F74)+$S74*(1-$G74))*((1+Inputs!$D$7)^CM$2))),((Inputs!$D$8^((1-_xlfn.WEIBULL.DIST(CM$2,$M74,$L74,FALSE))/_xlfn.WEIBULL.DIST(CM$2,$M74,$L74,FALSE))*($T74*(1-$F74)+$S74*(1-$G74))*((1+Inputs!$D$7)^CM$2))))))))</f>
        <v>369.6057795355195</v>
      </c>
      <c r="CN74" s="88">
        <f>MAX(AX74,($E74*IF(CN$2&gt;Inputs!$D$5,0,IF(CN$2&gt;VLOOKUP($H74,Lists!$P$3:$Q$7,2),IF($N74=Lists!$K$3,IF($L74&lt;1,(($U74/$L74)*((1+Inputs!$D$7)^CN$2)),((INT(CN$2/$L74)-INT((CN$2-1)/$L74))*$U74*((1+Inputs!$D$7)^CN$2))),(Inputs!$D$8^((1-_xlfn.WEIBULL.DIST(CN$2,$M74,$L74,FALSE))/_xlfn.WEIBULL.DIST(CN$2,$M74,$L74,FALSE))*$U74*((1+Inputs!$D$7)^CN$2))),IF($N74=Lists!$K$3,IF($L74&lt;1,((($T74*(1-$F74)+$S74*(1-$G74))/$L74)*((1+Inputs!$D$7)^CN$2)),((INT(CN$2/$L74)-INT((CN$2-1)/$L74))*($T74*(1-$F74)+$S74*(1-$G74))*((1+Inputs!$D$7)^CN$2))),((Inputs!$D$8^((1-_xlfn.WEIBULL.DIST(CN$2,$M74,$L74,FALSE))/_xlfn.WEIBULL.DIST(CN$2,$M74,$L74,FALSE))*($T74*(1-$F74)+$S74*(1-$G74))*((1+Inputs!$D$7)^CN$2))))))))</f>
        <v>376.99789512622993</v>
      </c>
      <c r="CO74" s="88">
        <f>MAX(AY74,($E74*IF(CO$2&gt;Inputs!$D$5,0,IF(CO$2&gt;VLOOKUP($H74,Lists!$P$3:$Q$7,2),IF($N74=Lists!$K$3,IF($L74&lt;1,(($U74/$L74)*((1+Inputs!$D$7)^CO$2)),((INT(CO$2/$L74)-INT((CO$2-1)/$L74))*$U74*((1+Inputs!$D$7)^CO$2))),(Inputs!$D$8^((1-_xlfn.WEIBULL.DIST(CO$2,$M74,$L74,FALSE))/_xlfn.WEIBULL.DIST(CO$2,$M74,$L74,FALSE))*$U74*((1+Inputs!$D$7)^CO$2))),IF($N74=Lists!$K$3,IF($L74&lt;1,((($T74*(1-$F74)+$S74*(1-$G74))/$L74)*((1+Inputs!$D$7)^CO$2)),((INT(CO$2/$L74)-INT((CO$2-1)/$L74))*($T74*(1-$F74)+$S74*(1-$G74))*((1+Inputs!$D$7)^CO$2))),((Inputs!$D$8^((1-_xlfn.WEIBULL.DIST(CO$2,$M74,$L74,FALSE))/_xlfn.WEIBULL.DIST(CO$2,$M74,$L74,FALSE))*($T74*(1-$F74)+$S74*(1-$G74))*((1+Inputs!$D$7)^CO$2))))))))</f>
        <v>384.53785302875451</v>
      </c>
      <c r="CP74" s="88">
        <f>MAX(AZ74,($E74*IF(CP$2&gt;Inputs!$D$5,0,IF(CP$2&gt;VLOOKUP($H74,Lists!$P$3:$Q$7,2),IF($N74=Lists!$K$3,IF($L74&lt;1,(($U74/$L74)*((1+Inputs!$D$7)^CP$2)),((INT(CP$2/$L74)-INT((CP$2-1)/$L74))*$U74*((1+Inputs!$D$7)^CP$2))),(Inputs!$D$8^((1-_xlfn.WEIBULL.DIST(CP$2,$M74,$L74,FALSE))/_xlfn.WEIBULL.DIST(CP$2,$M74,$L74,FALSE))*$U74*((1+Inputs!$D$7)^CP$2))),IF($N74=Lists!$K$3,IF($L74&lt;1,((($T74*(1-$F74)+$S74*(1-$G74))/$L74)*((1+Inputs!$D$7)^CP$2)),((INT(CP$2/$L74)-INT((CP$2-1)/$L74))*($T74*(1-$F74)+$S74*(1-$G74))*((1+Inputs!$D$7)^CP$2))),((Inputs!$D$8^((1-_xlfn.WEIBULL.DIST(CP$2,$M74,$L74,FALSE))/_xlfn.WEIBULL.DIST(CP$2,$M74,$L74,FALSE))*($T74*(1-$F74)+$S74*(1-$G74))*((1+Inputs!$D$7)^CP$2))))))))</f>
        <v>0</v>
      </c>
      <c r="CQ74" s="88">
        <f>MAX(BA74,($E74*IF(CQ$2&gt;Inputs!$D$5,0,IF(CQ$2&gt;VLOOKUP($H74,Lists!$P$3:$Q$7,2),IF($N74=Lists!$K$3,IF($L74&lt;1,(($U74/$L74)*((1+Inputs!$D$7)^CQ$2)),((INT(CQ$2/$L74)-INT((CQ$2-1)/$L74))*$U74*((1+Inputs!$D$7)^CQ$2))),(Inputs!$D$8^((1-_xlfn.WEIBULL.DIST(CQ$2,$M74,$L74,FALSE))/_xlfn.WEIBULL.DIST(CQ$2,$M74,$L74,FALSE))*$U74*((1+Inputs!$D$7)^CQ$2))),IF($N74=Lists!$K$3,IF($L74&lt;1,((($T74*(1-$F74)+$S74*(1-$G74))/$L74)*((1+Inputs!$D$7)^CQ$2)),((INT(CQ$2/$L74)-INT((CQ$2-1)/$L74))*($T74*(1-$F74)+$S74*(1-$G74))*((1+Inputs!$D$7)^CQ$2))),((Inputs!$D$8^((1-_xlfn.WEIBULL.DIST(CQ$2,$M74,$L74,FALSE))/_xlfn.WEIBULL.DIST(CQ$2,$M74,$L74,FALSE))*($T74*(1-$F74)+$S74*(1-$G74))*((1+Inputs!$D$7)^CQ$2))))))))</f>
        <v>0</v>
      </c>
      <c r="CR74" s="88">
        <f>MAX(BB74,($E74*IF(CR$2&gt;Inputs!$D$5,0,IF(CR$2&gt;VLOOKUP($H74,Lists!$P$3:$Q$7,2),IF($N74=Lists!$K$3,IF($L74&lt;1,(($U74/$L74)*((1+Inputs!$D$7)^CR$2)),((INT(CR$2/$L74)-INT((CR$2-1)/$L74))*$U74*((1+Inputs!$D$7)^CR$2))),(Inputs!$D$8^((1-_xlfn.WEIBULL.DIST(CR$2,$M74,$L74,FALSE))/_xlfn.WEIBULL.DIST(CR$2,$M74,$L74,FALSE))*$U74*((1+Inputs!$D$7)^CR$2))),IF($N74=Lists!$K$3,IF($L74&lt;1,((($T74*(1-$F74)+$S74*(1-$G74))/$L74)*((1+Inputs!$D$7)^CR$2)),((INT(CR$2/$L74)-INT((CR$2-1)/$L74))*($T74*(1-$F74)+$S74*(1-$G74))*((1+Inputs!$D$7)^CR$2))),((Inputs!$D$8^((1-_xlfn.WEIBULL.DIST(CR$2,$M74,$L74,FALSE))/_xlfn.WEIBULL.DIST(CR$2,$M74,$L74,FALSE))*($T74*(1-$F74)+$S74*(1-$G74))*((1+Inputs!$D$7)^CR$2))))))))</f>
        <v>0</v>
      </c>
      <c r="CS74" s="88">
        <f>MAX(BC74,($E74*IF(CS$2&gt;Inputs!$D$5,0,IF(CS$2&gt;VLOOKUP($H74,Lists!$P$3:$Q$7,2),IF($N74=Lists!$K$3,IF($L74&lt;1,(($U74/$L74)*((1+Inputs!$D$7)^CS$2)),((INT(CS$2/$L74)-INT((CS$2-1)/$L74))*$U74*((1+Inputs!$D$7)^CS$2))),(Inputs!$D$8^((1-_xlfn.WEIBULL.DIST(CS$2,$M74,$L74,FALSE))/_xlfn.WEIBULL.DIST(CS$2,$M74,$L74,FALSE))*$U74*((1+Inputs!$D$7)^CS$2))),IF($N74=Lists!$K$3,IF($L74&lt;1,((($T74*(1-$F74)+$S74*(1-$G74))/$L74)*((1+Inputs!$D$7)^CS$2)),((INT(CS$2/$L74)-INT((CS$2-1)/$L74))*($T74*(1-$F74)+$S74*(1-$G74))*((1+Inputs!$D$7)^CS$2))),((Inputs!$D$8^((1-_xlfn.WEIBULL.DIST(CS$2,$M74,$L74,FALSE))/_xlfn.WEIBULL.DIST(CS$2,$M74,$L74,FALSE))*($T74*(1-$F74)+$S74*(1-$G74))*((1+Inputs!$D$7)^CS$2))))))))</f>
        <v>0</v>
      </c>
      <c r="CT74" s="88">
        <f>MAX(BD74,($E74*IF(CT$2&gt;Inputs!$D$5,0,IF(CT$2&gt;VLOOKUP($H74,Lists!$P$3:$Q$7,2),IF($N74=Lists!$K$3,IF($L74&lt;1,(($U74/$L74)*((1+Inputs!$D$7)^CT$2)),((INT(CT$2/$L74)-INT((CT$2-1)/$L74))*$U74*((1+Inputs!$D$7)^CT$2))),(Inputs!$D$8^((1-_xlfn.WEIBULL.DIST(CT$2,$M74,$L74,FALSE))/_xlfn.WEIBULL.DIST(CT$2,$M74,$L74,FALSE))*$U74*((1+Inputs!$D$7)^CT$2))),IF($N74=Lists!$K$3,IF($L74&lt;1,((($T74*(1-$F74)+$S74*(1-$G74))/$L74)*((1+Inputs!$D$7)^CT$2)),((INT(CT$2/$L74)-INT((CT$2-1)/$L74))*($T74*(1-$F74)+$S74*(1-$G74))*((1+Inputs!$D$7)^CT$2))),((Inputs!$D$8^((1-_xlfn.WEIBULL.DIST(CT$2,$M74,$L74,FALSE))/_xlfn.WEIBULL.DIST(CT$2,$M74,$L74,FALSE))*($T74*(1-$F74)+$S74*(1-$G74))*((1+Inputs!$D$7)^CT$2))))))))</f>
        <v>0</v>
      </c>
      <c r="CU74" s="88">
        <f>MAX(BE74,($E74*IF(CU$2&gt;Inputs!$D$5,0,IF(CU$2&gt;VLOOKUP($H74,Lists!$P$3:$Q$7,2),IF($N74=Lists!$K$3,IF($L74&lt;1,(($U74/$L74)*((1+Inputs!$D$7)^CU$2)),((INT(CU$2/$L74)-INT((CU$2-1)/$L74))*$U74*((1+Inputs!$D$7)^CU$2))),(Inputs!$D$8^((1-_xlfn.WEIBULL.DIST(CU$2,$M74,$L74,FALSE))/_xlfn.WEIBULL.DIST(CU$2,$M74,$L74,FALSE))*$U74*((1+Inputs!$D$7)^CU$2))),IF($N74=Lists!$K$3,IF($L74&lt;1,((($T74*(1-$F74)+$S74*(1-$G74))/$L74)*((1+Inputs!$D$7)^CU$2)),((INT(CU$2/$L74)-INT((CU$2-1)/$L74))*($T74*(1-$F74)+$S74*(1-$G74))*((1+Inputs!$D$7)^CU$2))),((Inputs!$D$8^((1-_xlfn.WEIBULL.DIST(CU$2,$M74,$L74,FALSE))/_xlfn.WEIBULL.DIST(CU$2,$M74,$L74,FALSE))*($T74*(1-$F74)+$S74*(1-$G74))*((1+Inputs!$D$7)^CU$2))))))))</f>
        <v>0</v>
      </c>
      <c r="CV74" s="88">
        <f>MAX(BF74,($E74*IF(CV$2&gt;Inputs!$D$5,0,IF(CV$2&gt;VLOOKUP($H74,Lists!$P$3:$Q$7,2),IF($N74=Lists!$K$3,IF($L74&lt;1,(($U74/$L74)*((1+Inputs!$D$7)^CV$2)),((INT(CV$2/$L74)-INT((CV$2-1)/$L74))*$U74*((1+Inputs!$D$7)^CV$2))),(Inputs!$D$8^((1-_xlfn.WEIBULL.DIST(CV$2,$M74,$L74,FALSE))/_xlfn.WEIBULL.DIST(CV$2,$M74,$L74,FALSE))*$U74*((1+Inputs!$D$7)^CV$2))),IF($N74=Lists!$K$3,IF($L74&lt;1,((($T74*(1-$F74)+$S74*(1-$G74))/$L74)*((1+Inputs!$D$7)^CV$2)),((INT(CV$2/$L74)-INT((CV$2-1)/$L74))*($T74*(1-$F74)+$S74*(1-$G74))*((1+Inputs!$D$7)^CV$2))),((Inputs!$D$8^((1-_xlfn.WEIBULL.DIST(CV$2,$M74,$L74,FALSE))/_xlfn.WEIBULL.DIST(CV$2,$M74,$L74,FALSE))*($T74*(1-$F74)+$S74*(1-$G74))*((1+Inputs!$D$7)^CV$2))))))))</f>
        <v>0</v>
      </c>
      <c r="CW74" s="88">
        <f>MAX(BG74,($E74*IF(CW$2&gt;Inputs!$D$5,0,IF(CW$2&gt;VLOOKUP($H74,Lists!$P$3:$Q$7,2),IF($N74=Lists!$K$3,IF($L74&lt;1,(($U74/$L74)*((1+Inputs!$D$7)^CW$2)),((INT(CW$2/$L74)-INT((CW$2-1)/$L74))*$U74*((1+Inputs!$D$7)^CW$2))),(Inputs!$D$8^((1-_xlfn.WEIBULL.DIST(CW$2,$M74,$L74,FALSE))/_xlfn.WEIBULL.DIST(CW$2,$M74,$L74,FALSE))*$U74*((1+Inputs!$D$7)^CW$2))),IF($N74=Lists!$K$3,IF($L74&lt;1,((($T74*(1-$F74)+$S74*(1-$G74))/$L74)*((1+Inputs!$D$7)^CW$2)),((INT(CW$2/$L74)-INT((CW$2-1)/$L74))*($T74*(1-$F74)+$S74*(1-$G74))*((1+Inputs!$D$7)^CW$2))),((Inputs!$D$8^((1-_xlfn.WEIBULL.DIST(CW$2,$M74,$L74,FALSE))/_xlfn.WEIBULL.DIST(CW$2,$M74,$L74,FALSE))*($T74*(1-$F74)+$S74*(1-$G74))*((1+Inputs!$D$7)^CW$2))))))))</f>
        <v>0</v>
      </c>
      <c r="CX74" s="88">
        <f>MAX(BH74,($E74*IF(CX$2&gt;Inputs!$D$5,0,IF(CX$2&gt;VLOOKUP($H74,Lists!$P$3:$Q$7,2),IF($N74=Lists!$K$3,IF($L74&lt;1,(($U74/$L74)*((1+Inputs!$D$7)^CX$2)),((INT(CX$2/$L74)-INT((CX$2-1)/$L74))*$U74*((1+Inputs!$D$7)^CX$2))),(Inputs!$D$8^((1-_xlfn.WEIBULL.DIST(CX$2,$M74,$L74,FALSE))/_xlfn.WEIBULL.DIST(CX$2,$M74,$L74,FALSE))*$U74*((1+Inputs!$D$7)^CX$2))),IF($N74=Lists!$K$3,IF($L74&lt;1,((($T74*(1-$F74)+$S74*(1-$G74))/$L74)*((1+Inputs!$D$7)^CX$2)),((INT(CX$2/$L74)-INT((CX$2-1)/$L74))*($T74*(1-$F74)+$S74*(1-$G74))*((1+Inputs!$D$7)^CX$2))),((Inputs!$D$8^((1-_xlfn.WEIBULL.DIST(CX$2,$M74,$L74,FALSE))/_xlfn.WEIBULL.DIST(CX$2,$M74,$L74,FALSE))*($T74*(1-$F74)+$S74*(1-$G74))*((1+Inputs!$D$7)^CX$2))))))))</f>
        <v>0</v>
      </c>
      <c r="CY74" s="88">
        <f>MAX(BI74,($E74*IF(CY$2&gt;Inputs!$D$5,0,IF(CY$2&gt;VLOOKUP($H74,Lists!$P$3:$Q$7,2),IF($N74=Lists!$K$3,IF($L74&lt;1,(($U74/$L74)*((1+Inputs!$D$7)^CY$2)),((INT(CY$2/$L74)-INT((CY$2-1)/$L74))*$U74*((1+Inputs!$D$7)^CY$2))),(Inputs!$D$8^((1-_xlfn.WEIBULL.DIST(CY$2,$M74,$L74,FALSE))/_xlfn.WEIBULL.DIST(CY$2,$M74,$L74,FALSE))*$U74*((1+Inputs!$D$7)^CY$2))),IF($N74=Lists!$K$3,IF($L74&lt;1,((($T74*(1-$F74)+$S74*(1-$G74))/$L74)*((1+Inputs!$D$7)^CY$2)),((INT(CY$2/$L74)-INT((CY$2-1)/$L74))*($T74*(1-$F74)+$S74*(1-$G74))*((1+Inputs!$D$7)^CY$2))),((Inputs!$D$8^((1-_xlfn.WEIBULL.DIST(CY$2,$M74,$L74,FALSE))/_xlfn.WEIBULL.DIST(CY$2,$M74,$L74,FALSE))*($T74*(1-$F74)+$S74*(1-$G74))*((1+Inputs!$D$7)^CY$2))))))))</f>
        <v>0</v>
      </c>
      <c r="CZ74" s="88">
        <f>MAX(BJ74,($E74*IF(CZ$2&gt;Inputs!$D$5,0,IF(CZ$2&gt;VLOOKUP($H74,Lists!$P$3:$Q$7,2),IF($N74=Lists!$K$3,IF($L74&lt;1,(($U74/$L74)*((1+Inputs!$D$7)^CZ$2)),((INT(CZ$2/$L74)-INT((CZ$2-1)/$L74))*$U74*((1+Inputs!$D$7)^CZ$2))),(Inputs!$D$8^((1-_xlfn.WEIBULL.DIST(CZ$2,$M74,$L74,FALSE))/_xlfn.WEIBULL.DIST(CZ$2,$M74,$L74,FALSE))*$U74*((1+Inputs!$D$7)^CZ$2))),IF($N74=Lists!$K$3,IF($L74&lt;1,((($T74*(1-$F74)+$S74*(1-$G74))/$L74)*((1+Inputs!$D$7)^CZ$2)),((INT(CZ$2/$L74)-INT((CZ$2-1)/$L74))*($T74*(1-$F74)+$S74*(1-$G74))*((1+Inputs!$D$7)^CZ$2))),((Inputs!$D$8^((1-_xlfn.WEIBULL.DIST(CZ$2,$M74,$L74,FALSE))/_xlfn.WEIBULL.DIST(CZ$2,$M74,$L74,FALSE))*($T74*(1-$F74)+$S74*(1-$G74))*((1+Inputs!$D$7)^CZ$2))))))))</f>
        <v>0</v>
      </c>
      <c r="DA74" s="88">
        <f>MAX(BK74,($E74*IF(DA$2&gt;Inputs!$D$5,0,IF(DA$2&gt;VLOOKUP($H74,Lists!$P$3:$Q$7,2),IF($N74=Lists!$K$3,IF($L74&lt;1,(($U74/$L74)*((1+Inputs!$D$7)^DA$2)),((INT(DA$2/$L74)-INT((DA$2-1)/$L74))*$U74*((1+Inputs!$D$7)^DA$2))),(Inputs!$D$8^((1-_xlfn.WEIBULL.DIST(DA$2,$M74,$L74,FALSE))/_xlfn.WEIBULL.DIST(DA$2,$M74,$L74,FALSE))*$U74*((1+Inputs!$D$7)^DA$2))),IF($N74=Lists!$K$3,IF($L74&lt;1,((($T74*(1-$F74)+$S74*(1-$G74))/$L74)*((1+Inputs!$D$7)^DA$2)),((INT(DA$2/$L74)-INT((DA$2-1)/$L74))*($T74*(1-$F74)+$S74*(1-$G74))*((1+Inputs!$D$7)^DA$2))),((Inputs!$D$8^((1-_xlfn.WEIBULL.DIST(DA$2,$M74,$L74,FALSE))/_xlfn.WEIBULL.DIST(DA$2,$M74,$L74,FALSE))*($T74*(1-$F74)+$S74*(1-$G74))*((1+Inputs!$D$7)^DA$2))))))))</f>
        <v>0</v>
      </c>
      <c r="DB74" s="88">
        <f>MAX(BL74,($E74*IF(DB$2&gt;Inputs!$D$5,0,IF(DB$2&gt;VLOOKUP($H74,Lists!$P$3:$Q$7,2),IF($N74=Lists!$K$3,IF($L74&lt;1,(($U74/$L74)*((1+Inputs!$D$7)^DB$2)),((INT(DB$2/$L74)-INT((DB$2-1)/$L74))*$U74*((1+Inputs!$D$7)^DB$2))),(Inputs!$D$8^((1-_xlfn.WEIBULL.DIST(DB$2,$M74,$L74,FALSE))/_xlfn.WEIBULL.DIST(DB$2,$M74,$L74,FALSE))*$U74*((1+Inputs!$D$7)^DB$2))),IF($N74=Lists!$K$3,IF($L74&lt;1,((($T74*(1-$F74)+$S74*(1-$G74))/$L74)*((1+Inputs!$D$7)^DB$2)),((INT(DB$2/$L74)-INT((DB$2-1)/$L74))*($T74*(1-$F74)+$S74*(1-$G74))*((1+Inputs!$D$7)^DB$2))),((Inputs!$D$8^((1-_xlfn.WEIBULL.DIST(DB$2,$M74,$L74,FALSE))/_xlfn.WEIBULL.DIST(DB$2,$M74,$L74,FALSE))*($T74*(1-$F74)+$S74*(1-$G74))*((1+Inputs!$D$7)^DB$2))))))))</f>
        <v>0</v>
      </c>
      <c r="DC74" s="88">
        <f>MAX(BM74,($E74*IF(DC$2&gt;Inputs!$D$5,0,IF(DC$2&gt;VLOOKUP($H74,Lists!$P$3:$Q$7,2),IF($N74=Lists!$K$3,IF($L74&lt;1,(($U74/$L74)*((1+Inputs!$D$7)^DC$2)),((INT(DC$2/$L74)-INT((DC$2-1)/$L74))*$U74*((1+Inputs!$D$7)^DC$2))),(Inputs!$D$8^((1-_xlfn.WEIBULL.DIST(DC$2,$M74,$L74,FALSE))/_xlfn.WEIBULL.DIST(DC$2,$M74,$L74,FALSE))*$U74*((1+Inputs!$D$7)^DC$2))),IF($N74=Lists!$K$3,IF($L74&lt;1,((($T74*(1-$F74)+$S74*(1-$G74))/$L74)*((1+Inputs!$D$7)^DC$2)),((INT(DC$2/$L74)-INT((DC$2-1)/$L74))*($T74*(1-$F74)+$S74*(1-$G74))*((1+Inputs!$D$7)^DC$2))),((Inputs!$D$8^((1-_xlfn.WEIBULL.DIST(DC$2,$M74,$L74,FALSE))/_xlfn.WEIBULL.DIST(DC$2,$M74,$L74,FALSE))*($T74*(1-$F74)+$S74*(1-$G74))*((1+Inputs!$D$7)^DC$2))))))))</f>
        <v>0</v>
      </c>
      <c r="DD74" s="88">
        <f>MAX(BN74,($E74*IF(DD$2&gt;Inputs!$D$5,0,IF(DD$2&gt;VLOOKUP($H74,Lists!$P$3:$Q$7,2),IF($N74=Lists!$K$3,IF($L74&lt;1,(($U74/$L74)*((1+Inputs!$D$7)^DD$2)),((INT(DD$2/$L74)-INT((DD$2-1)/$L74))*$U74*((1+Inputs!$D$7)^DD$2))),(Inputs!$D$8^((1-_xlfn.WEIBULL.DIST(DD$2,$M74,$L74,FALSE))/_xlfn.WEIBULL.DIST(DD$2,$M74,$L74,FALSE))*$U74*((1+Inputs!$D$7)^DD$2))),IF($N74=Lists!$K$3,IF($L74&lt;1,((($T74*(1-$F74)+$S74*(1-$G74))/$L74)*((1+Inputs!$D$7)^DD$2)),((INT(DD$2/$L74)-INT((DD$2-1)/$L74))*($T74*(1-$F74)+$S74*(1-$G74))*((1+Inputs!$D$7)^DD$2))),((Inputs!$D$8^((1-_xlfn.WEIBULL.DIST(DD$2,$M74,$L74,FALSE))/_xlfn.WEIBULL.DIST(DD$2,$M74,$L74,FALSE))*($T74*(1-$F74)+$S74*(1-$G74))*((1+Inputs!$D$7)^DD$2))))))))</f>
        <v>0</v>
      </c>
    </row>
    <row r="75" spans="1:108" s="1" customFormat="1" ht="96">
      <c r="A75" s="57" t="s">
        <v>14</v>
      </c>
      <c r="B75" s="13" t="s">
        <v>279</v>
      </c>
      <c r="C75" s="13" t="s">
        <v>341</v>
      </c>
      <c r="D75" s="13" t="s">
        <v>30</v>
      </c>
      <c r="E75" s="48">
        <f>IF(Inputs!$D$42=Lists!$H$4,1,0)</f>
        <v>1</v>
      </c>
      <c r="F75" s="48">
        <v>0</v>
      </c>
      <c r="G75" s="48">
        <v>0</v>
      </c>
      <c r="H75" s="105" t="s">
        <v>350</v>
      </c>
      <c r="I75" s="14" t="s">
        <v>32</v>
      </c>
      <c r="J75" s="14" t="s">
        <v>247</v>
      </c>
      <c r="K75" s="13">
        <f>VLOOKUP(J75,'Labor Rates'!$A$1:$F$16,2)</f>
        <v>29.298461538461535</v>
      </c>
      <c r="L75" s="15">
        <v>0.25</v>
      </c>
      <c r="M75" s="15">
        <v>1</v>
      </c>
      <c r="N75" s="13" t="s">
        <v>236</v>
      </c>
      <c r="O75" s="61">
        <f>Inputs!$D$50</f>
        <v>52.619970193740691</v>
      </c>
      <c r="P75" s="15">
        <v>2</v>
      </c>
      <c r="Q75" s="15">
        <f t="shared" si="14"/>
        <v>420.95976154992553</v>
      </c>
      <c r="R75" s="4">
        <v>0</v>
      </c>
      <c r="S75" s="53">
        <f t="shared" si="15"/>
        <v>3083.3683457526081</v>
      </c>
      <c r="T75" s="53">
        <f t="shared" si="16"/>
        <v>0</v>
      </c>
      <c r="U75" s="54">
        <f t="shared" si="17"/>
        <v>3083.3683457526081</v>
      </c>
      <c r="V75" s="55" t="s">
        <v>55</v>
      </c>
      <c r="W75" s="58"/>
      <c r="X75" s="64">
        <f t="shared" si="18"/>
        <v>15283.219148297771</v>
      </c>
      <c r="Y75" s="64">
        <f>NPV(Inputs!$D$6,AA75:BN75)</f>
        <v>175548.26862679183</v>
      </c>
      <c r="Z75" s="67">
        <f t="shared" si="19"/>
        <v>8.2797133875144119E-2</v>
      </c>
      <c r="AA75" s="88">
        <f>$E75*IF(AA$2&gt;Inputs!$D$5,0,IF(AA$2&gt;VLOOKUP($H75,Lists!$P$3:$Q$7,2),IF($N75=Lists!$K$3,IF($L75&lt;1,(($U75/$L75)*((1+Inputs!$D$7)^AA$2)),((INT(AA$2/$L75)-INT((AA$2-1)/$L75))*$U75*((1+Inputs!$D$7)^AA$2))),(_xlfn.WEIBULL.DIST(AA$2,$M75,$L75,FALSE)*$U75*((1+Inputs!$D$7)^AA$2))),IF($N75=Lists!$K$3,IF($L75&lt;1,((($T75*(1-$F75)+$S75*(1-$G75))/$L75)*((1+Inputs!$D$7)^AA$2)),((INT(AA$2/$L75)-INT((AA$2-1)/$L75))*($T75*(1-$F75)+$S75*(1-$G75))*((1+Inputs!$D$7)^AA$2))),((_xlfn.WEIBULL.DIST(AA$2,$M75,$L75,FALSE)*($T75*(1-$F75)+$S75*(1-$G75))*((1+Inputs!$D$7)^AA$2))))))</f>
        <v>12580.142850670642</v>
      </c>
      <c r="AB75" s="88">
        <f>$E75*IF(AB$2&gt;Inputs!$D$5,0,IF(AB$2&gt;VLOOKUP($H75,Lists!$P$3:$Q$7,2),IF($N75=Lists!$K$3,IF($L75&lt;1,(($U75/$L75)*((1+Inputs!$D$7)^AB$2)),((INT(AB$2/$L75)-INT((AB$2-1)/$L75))*$U75*((1+Inputs!$D$7)^AB$2))),(_xlfn.WEIBULL.DIST(AB$2,$M75,$L75,FALSE)*$U75*((1+Inputs!$D$7)^AB$2))),IF($N75=Lists!$K$3,IF($L75&lt;1,((($T75*(1-$F75)+$S75*(1-$G75))/$L75)*((1+Inputs!$D$7)^AB$2)),((INT(AB$2/$L75)-INT((AB$2-1)/$L75))*($T75*(1-$F75)+$S75*(1-$G75))*((1+Inputs!$D$7)^AB$2))),((_xlfn.WEIBULL.DIST(AB$2,$M75,$L75,FALSE)*($T75*(1-$F75)+$S75*(1-$G75))*((1+Inputs!$D$7)^AB$2))))))</f>
        <v>12831.745707684053</v>
      </c>
      <c r="AC75" s="88">
        <f>$E75*IF(AC$2&gt;Inputs!$D$5,0,IF(AC$2&gt;VLOOKUP($H75,Lists!$P$3:$Q$7,2),IF($N75=Lists!$K$3,IF($L75&lt;1,(($U75/$L75)*((1+Inputs!$D$7)^AC$2)),((INT(AC$2/$L75)-INT((AC$2-1)/$L75))*$U75*((1+Inputs!$D$7)^AC$2))),(_xlfn.WEIBULL.DIST(AC$2,$M75,$L75,FALSE)*$U75*((1+Inputs!$D$7)^AC$2))),IF($N75=Lists!$K$3,IF($L75&lt;1,((($T75*(1-$F75)+$S75*(1-$G75))/$L75)*((1+Inputs!$D$7)^AC$2)),((INT(AC$2/$L75)-INT((AC$2-1)/$L75))*($T75*(1-$F75)+$S75*(1-$G75))*((1+Inputs!$D$7)^AC$2))),((_xlfn.WEIBULL.DIST(AC$2,$M75,$L75,FALSE)*($T75*(1-$F75)+$S75*(1-$G75))*((1+Inputs!$D$7)^AC$2))))))</f>
        <v>13088.380621837734</v>
      </c>
      <c r="AD75" s="88">
        <f>$E75*IF(AD$2&gt;Inputs!$D$5,0,IF(AD$2&gt;VLOOKUP($H75,Lists!$P$3:$Q$7,2),IF($N75=Lists!$K$3,IF($L75&lt;1,(($U75/$L75)*((1+Inputs!$D$7)^AD$2)),((INT(AD$2/$L75)-INT((AD$2-1)/$L75))*$U75*((1+Inputs!$D$7)^AD$2))),(_xlfn.WEIBULL.DIST(AD$2,$M75,$L75,FALSE)*$U75*((1+Inputs!$D$7)^AD$2))),IF($N75=Lists!$K$3,IF($L75&lt;1,((($T75*(1-$F75)+$S75*(1-$G75))/$L75)*((1+Inputs!$D$7)^AD$2)),((INT(AD$2/$L75)-INT((AD$2-1)/$L75))*($T75*(1-$F75)+$S75*(1-$G75))*((1+Inputs!$D$7)^AD$2))),((_xlfn.WEIBULL.DIST(AD$2,$M75,$L75,FALSE)*($T75*(1-$F75)+$S75*(1-$G75))*((1+Inputs!$D$7)^AD$2))))))</f>
        <v>13350.148234274489</v>
      </c>
      <c r="AE75" s="88">
        <f>$E75*IF(AE$2&gt;Inputs!$D$5,0,IF(AE$2&gt;VLOOKUP($H75,Lists!$P$3:$Q$7,2),IF($N75=Lists!$K$3,IF($L75&lt;1,(($U75/$L75)*((1+Inputs!$D$7)^AE$2)),((INT(AE$2/$L75)-INT((AE$2-1)/$L75))*$U75*((1+Inputs!$D$7)^AE$2))),(_xlfn.WEIBULL.DIST(AE$2,$M75,$L75,FALSE)*$U75*((1+Inputs!$D$7)^AE$2))),IF($N75=Lists!$K$3,IF($L75&lt;1,((($T75*(1-$F75)+$S75*(1-$G75))/$L75)*((1+Inputs!$D$7)^AE$2)),((INT(AE$2/$L75)-INT((AE$2-1)/$L75))*($T75*(1-$F75)+$S75*(1-$G75))*((1+Inputs!$D$7)^AE$2))),((_xlfn.WEIBULL.DIST(AE$2,$M75,$L75,FALSE)*($T75*(1-$F75)+$S75*(1-$G75))*((1+Inputs!$D$7)^AE$2))))))</f>
        <v>13617.15119895998</v>
      </c>
      <c r="AF75" s="88">
        <f>$E75*IF(AF$2&gt;Inputs!$D$5,0,IF(AF$2&gt;VLOOKUP($H75,Lists!$P$3:$Q$7,2),IF($N75=Lists!$K$3,IF($L75&lt;1,(($U75/$L75)*((1+Inputs!$D$7)^AF$2)),((INT(AF$2/$L75)-INT((AF$2-1)/$L75))*$U75*((1+Inputs!$D$7)^AF$2))),(_xlfn.WEIBULL.DIST(AF$2,$M75,$L75,FALSE)*$U75*((1+Inputs!$D$7)^AF$2))),IF($N75=Lists!$K$3,IF($L75&lt;1,((($T75*(1-$F75)+$S75*(1-$G75))/$L75)*((1+Inputs!$D$7)^AF$2)),((INT(AF$2/$L75)-INT((AF$2-1)/$L75))*($T75*(1-$F75)+$S75*(1-$G75))*((1+Inputs!$D$7)^AF$2))),((_xlfn.WEIBULL.DIST(AF$2,$M75,$L75,FALSE)*($T75*(1-$F75)+$S75*(1-$G75))*((1+Inputs!$D$7)^AF$2))))))</f>
        <v>13889.49422293918</v>
      </c>
      <c r="AG75" s="88">
        <f>$E75*IF(AG$2&gt;Inputs!$D$5,0,IF(AG$2&gt;VLOOKUP($H75,Lists!$P$3:$Q$7,2),IF($N75=Lists!$K$3,IF($L75&lt;1,(($U75/$L75)*((1+Inputs!$D$7)^AG$2)),((INT(AG$2/$L75)-INT((AG$2-1)/$L75))*$U75*((1+Inputs!$D$7)^AG$2))),(_xlfn.WEIBULL.DIST(AG$2,$M75,$L75,FALSE)*$U75*((1+Inputs!$D$7)^AG$2))),IF($N75=Lists!$K$3,IF($L75&lt;1,((($T75*(1-$F75)+$S75*(1-$G75))/$L75)*((1+Inputs!$D$7)^AG$2)),((INT(AG$2/$L75)-INT((AG$2-1)/$L75))*($T75*(1-$F75)+$S75*(1-$G75))*((1+Inputs!$D$7)^AG$2))),((_xlfn.WEIBULL.DIST(AG$2,$M75,$L75,FALSE)*($T75*(1-$F75)+$S75*(1-$G75))*((1+Inputs!$D$7)^AG$2))))))</f>
        <v>14167.28410739796</v>
      </c>
      <c r="AH75" s="88">
        <f>$E75*IF(AH$2&gt;Inputs!$D$5,0,IF(AH$2&gt;VLOOKUP($H75,Lists!$P$3:$Q$7,2),IF($N75=Lists!$K$3,IF($L75&lt;1,(($U75/$L75)*((1+Inputs!$D$7)^AH$2)),((INT(AH$2/$L75)-INT((AH$2-1)/$L75))*$U75*((1+Inputs!$D$7)^AH$2))),(_xlfn.WEIBULL.DIST(AH$2,$M75,$L75,FALSE)*$U75*((1+Inputs!$D$7)^AH$2))),IF($N75=Lists!$K$3,IF($L75&lt;1,((($T75*(1-$F75)+$S75*(1-$G75))/$L75)*((1+Inputs!$D$7)^AH$2)),((INT(AH$2/$L75)-INT((AH$2-1)/$L75))*($T75*(1-$F75)+$S75*(1-$G75))*((1+Inputs!$D$7)^AH$2))),((_xlfn.WEIBULL.DIST(AH$2,$M75,$L75,FALSE)*($T75*(1-$F75)+$S75*(1-$G75))*((1+Inputs!$D$7)^AH$2))))))</f>
        <v>14450.629789545921</v>
      </c>
      <c r="AI75" s="88">
        <f>$E75*IF(AI$2&gt;Inputs!$D$5,0,IF(AI$2&gt;VLOOKUP($H75,Lists!$P$3:$Q$7,2),IF($N75=Lists!$K$3,IF($L75&lt;1,(($U75/$L75)*((1+Inputs!$D$7)^AI$2)),((INT(AI$2/$L75)-INT((AI$2-1)/$L75))*$U75*((1+Inputs!$D$7)^AI$2))),(_xlfn.WEIBULL.DIST(AI$2,$M75,$L75,FALSE)*$U75*((1+Inputs!$D$7)^AI$2))),IF($N75=Lists!$K$3,IF($L75&lt;1,((($T75*(1-$F75)+$S75*(1-$G75))/$L75)*((1+Inputs!$D$7)^AI$2)),((INT(AI$2/$L75)-INT((AI$2-1)/$L75))*($T75*(1-$F75)+$S75*(1-$G75))*((1+Inputs!$D$7)^AI$2))),((_xlfn.WEIBULL.DIST(AI$2,$M75,$L75,FALSE)*($T75*(1-$F75)+$S75*(1-$G75))*((1+Inputs!$D$7)^AI$2))))))</f>
        <v>14739.64238533684</v>
      </c>
      <c r="AJ75" s="88">
        <f>$E75*IF(AJ$2&gt;Inputs!$D$5,0,IF(AJ$2&gt;VLOOKUP($H75,Lists!$P$3:$Q$7,2),IF($N75=Lists!$K$3,IF($L75&lt;1,(($U75/$L75)*((1+Inputs!$D$7)^AJ$2)),((INT(AJ$2/$L75)-INT((AJ$2-1)/$L75))*$U75*((1+Inputs!$D$7)^AJ$2))),(_xlfn.WEIBULL.DIST(AJ$2,$M75,$L75,FALSE)*$U75*((1+Inputs!$D$7)^AJ$2))),IF($N75=Lists!$K$3,IF($L75&lt;1,((($T75*(1-$F75)+$S75*(1-$G75))/$L75)*((1+Inputs!$D$7)^AJ$2)),((INT(AJ$2/$L75)-INT((AJ$2-1)/$L75))*($T75*(1-$F75)+$S75*(1-$G75))*((1+Inputs!$D$7)^AJ$2))),((_xlfn.WEIBULL.DIST(AJ$2,$M75,$L75,FALSE)*($T75*(1-$F75)+$S75*(1-$G75))*((1+Inputs!$D$7)^AJ$2))))))</f>
        <v>15034.435233043576</v>
      </c>
      <c r="AK75" s="88">
        <f>$E75*IF(AK$2&gt;Inputs!$D$5,0,IF(AK$2&gt;VLOOKUP($H75,Lists!$P$3:$Q$7,2),IF($N75=Lists!$K$3,IF($L75&lt;1,(($U75/$L75)*((1+Inputs!$D$7)^AK$2)),((INT(AK$2/$L75)-INT((AK$2-1)/$L75))*$U75*((1+Inputs!$D$7)^AK$2))),(_xlfn.WEIBULL.DIST(AK$2,$M75,$L75,FALSE)*$U75*((1+Inputs!$D$7)^AK$2))),IF($N75=Lists!$K$3,IF($L75&lt;1,((($T75*(1-$F75)+$S75*(1-$G75))/$L75)*((1+Inputs!$D$7)^AK$2)),((INT(AK$2/$L75)-INT((AK$2-1)/$L75))*($T75*(1-$F75)+$S75*(1-$G75))*((1+Inputs!$D$7)^AK$2))),((_xlfn.WEIBULL.DIST(AK$2,$M75,$L75,FALSE)*($T75*(1-$F75)+$S75*(1-$G75))*((1+Inputs!$D$7)^AK$2))))))</f>
        <v>15335.123937704446</v>
      </c>
      <c r="AL75" s="88">
        <f>$E75*IF(AL$2&gt;Inputs!$D$5,0,IF(AL$2&gt;VLOOKUP($H75,Lists!$P$3:$Q$7,2),IF($N75=Lists!$K$3,IF($L75&lt;1,(($U75/$L75)*((1+Inputs!$D$7)^AL$2)),((INT(AL$2/$L75)-INT((AL$2-1)/$L75))*$U75*((1+Inputs!$D$7)^AL$2))),(_xlfn.WEIBULL.DIST(AL$2,$M75,$L75,FALSE)*$U75*((1+Inputs!$D$7)^AL$2))),IF($N75=Lists!$K$3,IF($L75&lt;1,((($T75*(1-$F75)+$S75*(1-$G75))/$L75)*((1+Inputs!$D$7)^AL$2)),((INT(AL$2/$L75)-INT((AL$2-1)/$L75))*($T75*(1-$F75)+$S75*(1-$G75))*((1+Inputs!$D$7)^AL$2))),((_xlfn.WEIBULL.DIST(AL$2,$M75,$L75,FALSE)*($T75*(1-$F75)+$S75*(1-$G75))*((1+Inputs!$D$7)^AL$2))))))</f>
        <v>15641.826416458536</v>
      </c>
      <c r="AM75" s="88">
        <f>$E75*IF(AM$2&gt;Inputs!$D$5,0,IF(AM$2&gt;VLOOKUP($H75,Lists!$P$3:$Q$7,2),IF($N75=Lists!$K$3,IF($L75&lt;1,(($U75/$L75)*((1+Inputs!$D$7)^AM$2)),((INT(AM$2/$L75)-INT((AM$2-1)/$L75))*$U75*((1+Inputs!$D$7)^AM$2))),(_xlfn.WEIBULL.DIST(AM$2,$M75,$L75,FALSE)*$U75*((1+Inputs!$D$7)^AM$2))),IF($N75=Lists!$K$3,IF($L75&lt;1,((($T75*(1-$F75)+$S75*(1-$G75))/$L75)*((1+Inputs!$D$7)^AM$2)),((INT(AM$2/$L75)-INT((AM$2-1)/$L75))*($T75*(1-$F75)+$S75*(1-$G75))*((1+Inputs!$D$7)^AM$2))),((_xlfn.WEIBULL.DIST(AM$2,$M75,$L75,FALSE)*($T75*(1-$F75)+$S75*(1-$G75))*((1+Inputs!$D$7)^AM$2))))))</f>
        <v>15954.662944787706</v>
      </c>
      <c r="AN75" s="88">
        <f>$E75*IF(AN$2&gt;Inputs!$D$5,0,IF(AN$2&gt;VLOOKUP($H75,Lists!$P$3:$Q$7,2),IF($N75=Lists!$K$3,IF($L75&lt;1,(($U75/$L75)*((1+Inputs!$D$7)^AN$2)),((INT(AN$2/$L75)-INT((AN$2-1)/$L75))*$U75*((1+Inputs!$D$7)^AN$2))),(_xlfn.WEIBULL.DIST(AN$2,$M75,$L75,FALSE)*$U75*((1+Inputs!$D$7)^AN$2))),IF($N75=Lists!$K$3,IF($L75&lt;1,((($T75*(1-$F75)+$S75*(1-$G75))/$L75)*((1+Inputs!$D$7)^AN$2)),((INT(AN$2/$L75)-INT((AN$2-1)/$L75))*($T75*(1-$F75)+$S75*(1-$G75))*((1+Inputs!$D$7)^AN$2))),((_xlfn.WEIBULL.DIST(AN$2,$M75,$L75,FALSE)*($T75*(1-$F75)+$S75*(1-$G75))*((1+Inputs!$D$7)^AN$2))))))</f>
        <v>16273.756203683462</v>
      </c>
      <c r="AO75" s="88">
        <f>$E75*IF(AO$2&gt;Inputs!$D$5,0,IF(AO$2&gt;VLOOKUP($H75,Lists!$P$3:$Q$7,2),IF($N75=Lists!$K$3,IF($L75&lt;1,(($U75/$L75)*((1+Inputs!$D$7)^AO$2)),((INT(AO$2/$L75)-INT((AO$2-1)/$L75))*$U75*((1+Inputs!$D$7)^AO$2))),(_xlfn.WEIBULL.DIST(AO$2,$M75,$L75,FALSE)*$U75*((1+Inputs!$D$7)^AO$2))),IF($N75=Lists!$K$3,IF($L75&lt;1,((($T75*(1-$F75)+$S75*(1-$G75))/$L75)*((1+Inputs!$D$7)^AO$2)),((INT(AO$2/$L75)-INT((AO$2-1)/$L75))*($T75*(1-$F75)+$S75*(1-$G75))*((1+Inputs!$D$7)^AO$2))),((_xlfn.WEIBULL.DIST(AO$2,$M75,$L75,FALSE)*($T75*(1-$F75)+$S75*(1-$G75))*((1+Inputs!$D$7)^AO$2))))))</f>
        <v>16599.231327757127</v>
      </c>
      <c r="AP75" s="88">
        <f>$E75*IF(AP$2&gt;Inputs!$D$5,0,IF(AP$2&gt;VLOOKUP($H75,Lists!$P$3:$Q$7,2),IF($N75=Lists!$K$3,IF($L75&lt;1,(($U75/$L75)*((1+Inputs!$D$7)^AP$2)),((INT(AP$2/$L75)-INT((AP$2-1)/$L75))*$U75*((1+Inputs!$D$7)^AP$2))),(_xlfn.WEIBULL.DIST(AP$2,$M75,$L75,FALSE)*$U75*((1+Inputs!$D$7)^AP$2))),IF($N75=Lists!$K$3,IF($L75&lt;1,((($T75*(1-$F75)+$S75*(1-$G75))/$L75)*((1+Inputs!$D$7)^AP$2)),((INT(AP$2/$L75)-INT((AP$2-1)/$L75))*($T75*(1-$F75)+$S75*(1-$G75))*((1+Inputs!$D$7)^AP$2))),((_xlfn.WEIBULL.DIST(AP$2,$M75,$L75,FALSE)*($T75*(1-$F75)+$S75*(1-$G75))*((1+Inputs!$D$7)^AP$2))))))</f>
        <v>16931.215954312273</v>
      </c>
      <c r="AQ75" s="88">
        <f>$E75*IF(AQ$2&gt;Inputs!$D$5,0,IF(AQ$2&gt;VLOOKUP($H75,Lists!$P$3:$Q$7,2),IF($N75=Lists!$K$3,IF($L75&lt;1,(($U75/$L75)*((1+Inputs!$D$7)^AQ$2)),((INT(AQ$2/$L75)-INT((AQ$2-1)/$L75))*$U75*((1+Inputs!$D$7)^AQ$2))),(_xlfn.WEIBULL.DIST(AQ$2,$M75,$L75,FALSE)*$U75*((1+Inputs!$D$7)^AQ$2))),IF($N75=Lists!$K$3,IF($L75&lt;1,((($T75*(1-$F75)+$S75*(1-$G75))/$L75)*((1+Inputs!$D$7)^AQ$2)),((INT(AQ$2/$L75)-INT((AQ$2-1)/$L75))*($T75*(1-$F75)+$S75*(1-$G75))*((1+Inputs!$D$7)^AQ$2))),((_xlfn.WEIBULL.DIST(AQ$2,$M75,$L75,FALSE)*($T75*(1-$F75)+$S75*(1-$G75))*((1+Inputs!$D$7)^AQ$2))))))</f>
        <v>17269.84027339852</v>
      </c>
      <c r="AR75" s="88">
        <f>$E75*IF(AR$2&gt;Inputs!$D$5,0,IF(AR$2&gt;VLOOKUP($H75,Lists!$P$3:$Q$7,2),IF($N75=Lists!$K$3,IF($L75&lt;1,(($U75/$L75)*((1+Inputs!$D$7)^AR$2)),((INT(AR$2/$L75)-INT((AR$2-1)/$L75))*$U75*((1+Inputs!$D$7)^AR$2))),(_xlfn.WEIBULL.DIST(AR$2,$M75,$L75,FALSE)*$U75*((1+Inputs!$D$7)^AR$2))),IF($N75=Lists!$K$3,IF($L75&lt;1,((($T75*(1-$F75)+$S75*(1-$G75))/$L75)*((1+Inputs!$D$7)^AR$2)),((INT(AR$2/$L75)-INT((AR$2-1)/$L75))*($T75*(1-$F75)+$S75*(1-$G75))*((1+Inputs!$D$7)^AR$2))),((_xlfn.WEIBULL.DIST(AR$2,$M75,$L75,FALSE)*($T75*(1-$F75)+$S75*(1-$G75))*((1+Inputs!$D$7)^AR$2))))))</f>
        <v>17615.237078866488</v>
      </c>
      <c r="AS75" s="88">
        <f>$E75*IF(AS$2&gt;Inputs!$D$5,0,IF(AS$2&gt;VLOOKUP($H75,Lists!$P$3:$Q$7,2),IF($N75=Lists!$K$3,IF($L75&lt;1,(($U75/$L75)*((1+Inputs!$D$7)^AS$2)),((INT(AS$2/$L75)-INT((AS$2-1)/$L75))*$U75*((1+Inputs!$D$7)^AS$2))),(_xlfn.WEIBULL.DIST(AS$2,$M75,$L75,FALSE)*$U75*((1+Inputs!$D$7)^AS$2))),IF($N75=Lists!$K$3,IF($L75&lt;1,((($T75*(1-$F75)+$S75*(1-$G75))/$L75)*((1+Inputs!$D$7)^AS$2)),((INT(AS$2/$L75)-INT((AS$2-1)/$L75))*($T75*(1-$F75)+$S75*(1-$G75))*((1+Inputs!$D$7)^AS$2))),((_xlfn.WEIBULL.DIST(AS$2,$M75,$L75,FALSE)*($T75*(1-$F75)+$S75*(1-$G75))*((1+Inputs!$D$7)^AS$2))))))</f>
        <v>17967.541820443817</v>
      </c>
      <c r="AT75" s="88">
        <f>$E75*IF(AT$2&gt;Inputs!$D$5,0,IF(AT$2&gt;VLOOKUP($H75,Lists!$P$3:$Q$7,2),IF($N75=Lists!$K$3,IF($L75&lt;1,(($U75/$L75)*((1+Inputs!$D$7)^AT$2)),((INT(AT$2/$L75)-INT((AT$2-1)/$L75))*$U75*((1+Inputs!$D$7)^AT$2))),(_xlfn.WEIBULL.DIST(AT$2,$M75,$L75,FALSE)*$U75*((1+Inputs!$D$7)^AT$2))),IF($N75=Lists!$K$3,IF($L75&lt;1,((($T75*(1-$F75)+$S75*(1-$G75))/$L75)*((1+Inputs!$D$7)^AT$2)),((INT(AT$2/$L75)-INT((AT$2-1)/$L75))*($T75*(1-$F75)+$S75*(1-$G75))*((1+Inputs!$D$7)^AT$2))),((_xlfn.WEIBULL.DIST(AT$2,$M75,$L75,FALSE)*($T75*(1-$F75)+$S75*(1-$G75))*((1+Inputs!$D$7)^AT$2))))))</f>
        <v>18326.892656852695</v>
      </c>
      <c r="AU75" s="88">
        <f>$E75*IF(AU$2&gt;Inputs!$D$5,0,IF(AU$2&gt;VLOOKUP($H75,Lists!$P$3:$Q$7,2),IF($N75=Lists!$K$3,IF($L75&lt;1,(($U75/$L75)*((1+Inputs!$D$7)^AU$2)),((INT(AU$2/$L75)-INT((AU$2-1)/$L75))*$U75*((1+Inputs!$D$7)^AU$2))),(_xlfn.WEIBULL.DIST(AU$2,$M75,$L75,FALSE)*$U75*((1+Inputs!$D$7)^AU$2))),IF($N75=Lists!$K$3,IF($L75&lt;1,((($T75*(1-$F75)+$S75*(1-$G75))/$L75)*((1+Inputs!$D$7)^AU$2)),((INT(AU$2/$L75)-INT((AU$2-1)/$L75))*($T75*(1-$F75)+$S75*(1-$G75))*((1+Inputs!$D$7)^AU$2))),((_xlfn.WEIBULL.DIST(AU$2,$M75,$L75,FALSE)*($T75*(1-$F75)+$S75*(1-$G75))*((1+Inputs!$D$7)^AU$2))))))</f>
        <v>18693.430509989746</v>
      </c>
      <c r="AV75" s="88">
        <f>$E75*IF(AV$2&gt;Inputs!$D$5,0,IF(AV$2&gt;VLOOKUP($H75,Lists!$P$3:$Q$7,2),IF($N75=Lists!$K$3,IF($L75&lt;1,(($U75/$L75)*((1+Inputs!$D$7)^AV$2)),((INT(AV$2/$L75)-INT((AV$2-1)/$L75))*$U75*((1+Inputs!$D$7)^AV$2))),(_xlfn.WEIBULL.DIST(AV$2,$M75,$L75,FALSE)*$U75*((1+Inputs!$D$7)^AV$2))),IF($N75=Lists!$K$3,IF($L75&lt;1,((($T75*(1-$F75)+$S75*(1-$G75))/$L75)*((1+Inputs!$D$7)^AV$2)),((INT(AV$2/$L75)-INT((AV$2-1)/$L75))*($T75*(1-$F75)+$S75*(1-$G75))*((1+Inputs!$D$7)^AV$2))),((_xlfn.WEIBULL.DIST(AV$2,$M75,$L75,FALSE)*($T75*(1-$F75)+$S75*(1-$G75))*((1+Inputs!$D$7)^AV$2))))))</f>
        <v>19067.299120189542</v>
      </c>
      <c r="AW75" s="88">
        <f>$E75*IF(AW$2&gt;Inputs!$D$5,0,IF(AW$2&gt;VLOOKUP($H75,Lists!$P$3:$Q$7,2),IF($N75=Lists!$K$3,IF($L75&lt;1,(($U75/$L75)*((1+Inputs!$D$7)^AW$2)),((INT(AW$2/$L75)-INT((AW$2-1)/$L75))*$U75*((1+Inputs!$D$7)^AW$2))),(_xlfn.WEIBULL.DIST(AW$2,$M75,$L75,FALSE)*$U75*((1+Inputs!$D$7)^AW$2))),IF($N75=Lists!$K$3,IF($L75&lt;1,((($T75*(1-$F75)+$S75*(1-$G75))/$L75)*((1+Inputs!$D$7)^AW$2)),((INT(AW$2/$L75)-INT((AW$2-1)/$L75))*($T75*(1-$F75)+$S75*(1-$G75))*((1+Inputs!$D$7)^AW$2))),((_xlfn.WEIBULL.DIST(AW$2,$M75,$L75,FALSE)*($T75*(1-$F75)+$S75*(1-$G75))*((1+Inputs!$D$7)^AW$2))))))</f>
        <v>19448.645102593331</v>
      </c>
      <c r="AX75" s="88">
        <f>$E75*IF(AX$2&gt;Inputs!$D$5,0,IF(AX$2&gt;VLOOKUP($H75,Lists!$P$3:$Q$7,2),IF($N75=Lists!$K$3,IF($L75&lt;1,(($U75/$L75)*((1+Inputs!$D$7)^AX$2)),((INT(AX$2/$L75)-INT((AX$2-1)/$L75))*$U75*((1+Inputs!$D$7)^AX$2))),(_xlfn.WEIBULL.DIST(AX$2,$M75,$L75,FALSE)*$U75*((1+Inputs!$D$7)^AX$2))),IF($N75=Lists!$K$3,IF($L75&lt;1,((($T75*(1-$F75)+$S75*(1-$G75))/$L75)*((1+Inputs!$D$7)^AX$2)),((INT(AX$2/$L75)-INT((AX$2-1)/$L75))*($T75*(1-$F75)+$S75*(1-$G75))*((1+Inputs!$D$7)^AX$2))),((_xlfn.WEIBULL.DIST(AX$2,$M75,$L75,FALSE)*($T75*(1-$F75)+$S75*(1-$G75))*((1+Inputs!$D$7)^AX$2))))))</f>
        <v>19837.618004645199</v>
      </c>
      <c r="AY75" s="88">
        <f>$E75*IF(AY$2&gt;Inputs!$D$5,0,IF(AY$2&gt;VLOOKUP($H75,Lists!$P$3:$Q$7,2),IF($N75=Lists!$K$3,IF($L75&lt;1,(($U75/$L75)*((1+Inputs!$D$7)^AY$2)),((INT(AY$2/$L75)-INT((AY$2-1)/$L75))*$U75*((1+Inputs!$D$7)^AY$2))),(_xlfn.WEIBULL.DIST(AY$2,$M75,$L75,FALSE)*$U75*((1+Inputs!$D$7)^AY$2))),IF($N75=Lists!$K$3,IF($L75&lt;1,((($T75*(1-$F75)+$S75*(1-$G75))/$L75)*((1+Inputs!$D$7)^AY$2)),((INT(AY$2/$L75)-INT((AY$2-1)/$L75))*($T75*(1-$F75)+$S75*(1-$G75))*((1+Inputs!$D$7)^AY$2))),((_xlfn.WEIBULL.DIST(AY$2,$M75,$L75,FALSE)*($T75*(1-$F75)+$S75*(1-$G75))*((1+Inputs!$D$7)^AY$2))))))</f>
        <v>20234.370364738104</v>
      </c>
      <c r="AZ75" s="88">
        <f>$E75*IF(AZ$2&gt;Inputs!$D$5,0,IF(AZ$2&gt;VLOOKUP($H75,Lists!$P$3:$Q$7,2),IF($N75=Lists!$K$3,IF($L75&lt;1,(($U75/$L75)*((1+Inputs!$D$7)^AZ$2)),((INT(AZ$2/$L75)-INT((AZ$2-1)/$L75))*$U75*((1+Inputs!$D$7)^AZ$2))),(_xlfn.WEIBULL.DIST(AZ$2,$M75,$L75,FALSE)*$U75*((1+Inputs!$D$7)^AZ$2))),IF($N75=Lists!$K$3,IF($L75&lt;1,((($T75*(1-$F75)+$S75*(1-$G75))/$L75)*((1+Inputs!$D$7)^AZ$2)),((INT(AZ$2/$L75)-INT((AZ$2-1)/$L75))*($T75*(1-$F75)+$S75*(1-$G75))*((1+Inputs!$D$7)^AZ$2))),((_xlfn.WEIBULL.DIST(AZ$2,$M75,$L75,FALSE)*($T75*(1-$F75)+$S75*(1-$G75))*((1+Inputs!$D$7)^AZ$2))))))</f>
        <v>0</v>
      </c>
      <c r="BA75" s="88">
        <f>$E75*IF(BA$2&gt;Inputs!$D$5,0,IF(BA$2&gt;VLOOKUP($H75,Lists!$P$3:$Q$7,2),IF($N75=Lists!$K$3,IF($L75&lt;1,(($U75/$L75)*((1+Inputs!$D$7)^BA$2)),((INT(BA$2/$L75)-INT((BA$2-1)/$L75))*$U75*((1+Inputs!$D$7)^BA$2))),(_xlfn.WEIBULL.DIST(BA$2,$M75,$L75,FALSE)*$U75*((1+Inputs!$D$7)^BA$2))),IF($N75=Lists!$K$3,IF($L75&lt;1,((($T75*(1-$F75)+$S75*(1-$G75))/$L75)*((1+Inputs!$D$7)^BA$2)),((INT(BA$2/$L75)-INT((BA$2-1)/$L75))*($T75*(1-$F75)+$S75*(1-$G75))*((1+Inputs!$D$7)^BA$2))),((_xlfn.WEIBULL.DIST(BA$2,$M75,$L75,FALSE)*($T75*(1-$F75)+$S75*(1-$G75))*((1+Inputs!$D$7)^BA$2))))))</f>
        <v>0</v>
      </c>
      <c r="BB75" s="88">
        <f>$E75*IF(BB$2&gt;Inputs!$D$5,0,IF(BB$2&gt;VLOOKUP($H75,Lists!$P$3:$Q$7,2),IF($N75=Lists!$K$3,IF($L75&lt;1,(($U75/$L75)*((1+Inputs!$D$7)^BB$2)),((INT(BB$2/$L75)-INT((BB$2-1)/$L75))*$U75*((1+Inputs!$D$7)^BB$2))),(_xlfn.WEIBULL.DIST(BB$2,$M75,$L75,FALSE)*$U75*((1+Inputs!$D$7)^BB$2))),IF($N75=Lists!$K$3,IF($L75&lt;1,((($T75*(1-$F75)+$S75*(1-$G75))/$L75)*((1+Inputs!$D$7)^BB$2)),((INT(BB$2/$L75)-INT((BB$2-1)/$L75))*($T75*(1-$F75)+$S75*(1-$G75))*((1+Inputs!$D$7)^BB$2))),((_xlfn.WEIBULL.DIST(BB$2,$M75,$L75,FALSE)*($T75*(1-$F75)+$S75*(1-$G75))*((1+Inputs!$D$7)^BB$2))))))</f>
        <v>0</v>
      </c>
      <c r="BC75" s="88">
        <f>$E75*IF(BC$2&gt;Inputs!$D$5,0,IF(BC$2&gt;VLOOKUP($H75,Lists!$P$3:$Q$7,2),IF($N75=Lists!$K$3,IF($L75&lt;1,(($U75/$L75)*((1+Inputs!$D$7)^BC$2)),((INT(BC$2/$L75)-INT((BC$2-1)/$L75))*$U75*((1+Inputs!$D$7)^BC$2))),(_xlfn.WEIBULL.DIST(BC$2,$M75,$L75,FALSE)*$U75*((1+Inputs!$D$7)^BC$2))),IF($N75=Lists!$K$3,IF($L75&lt;1,((($T75*(1-$F75)+$S75*(1-$G75))/$L75)*((1+Inputs!$D$7)^BC$2)),((INT(BC$2/$L75)-INT((BC$2-1)/$L75))*($T75*(1-$F75)+$S75*(1-$G75))*((1+Inputs!$D$7)^BC$2))),((_xlfn.WEIBULL.DIST(BC$2,$M75,$L75,FALSE)*($T75*(1-$F75)+$S75*(1-$G75))*((1+Inputs!$D$7)^BC$2))))))</f>
        <v>0</v>
      </c>
      <c r="BD75" s="88">
        <f>$E75*IF(BD$2&gt;Inputs!$D$5,0,IF(BD$2&gt;VLOOKUP($H75,Lists!$P$3:$Q$7,2),IF($N75=Lists!$K$3,IF($L75&lt;1,(($U75/$L75)*((1+Inputs!$D$7)^BD$2)),((INT(BD$2/$L75)-INT((BD$2-1)/$L75))*$U75*((1+Inputs!$D$7)^BD$2))),(_xlfn.WEIBULL.DIST(BD$2,$M75,$L75,FALSE)*$U75*((1+Inputs!$D$7)^BD$2))),IF($N75=Lists!$K$3,IF($L75&lt;1,((($T75*(1-$F75)+$S75*(1-$G75))/$L75)*((1+Inputs!$D$7)^BD$2)),((INT(BD$2/$L75)-INT((BD$2-1)/$L75))*($T75*(1-$F75)+$S75*(1-$G75))*((1+Inputs!$D$7)^BD$2))),((_xlfn.WEIBULL.DIST(BD$2,$M75,$L75,FALSE)*($T75*(1-$F75)+$S75*(1-$G75))*((1+Inputs!$D$7)^BD$2))))))</f>
        <v>0</v>
      </c>
      <c r="BE75" s="88">
        <f>$E75*IF(BE$2&gt;Inputs!$D$5,0,IF(BE$2&gt;VLOOKUP($H75,Lists!$P$3:$Q$7,2),IF($N75=Lists!$K$3,IF($L75&lt;1,(($U75/$L75)*((1+Inputs!$D$7)^BE$2)),((INT(BE$2/$L75)-INT((BE$2-1)/$L75))*$U75*((1+Inputs!$D$7)^BE$2))),(_xlfn.WEIBULL.DIST(BE$2,$M75,$L75,FALSE)*$U75*((1+Inputs!$D$7)^BE$2))),IF($N75=Lists!$K$3,IF($L75&lt;1,((($T75*(1-$F75)+$S75*(1-$G75))/$L75)*((1+Inputs!$D$7)^BE$2)),((INT(BE$2/$L75)-INT((BE$2-1)/$L75))*($T75*(1-$F75)+$S75*(1-$G75))*((1+Inputs!$D$7)^BE$2))),((_xlfn.WEIBULL.DIST(BE$2,$M75,$L75,FALSE)*($T75*(1-$F75)+$S75*(1-$G75))*((1+Inputs!$D$7)^BE$2))))))</f>
        <v>0</v>
      </c>
      <c r="BF75" s="88">
        <f>$E75*IF(BF$2&gt;Inputs!$D$5,0,IF(BF$2&gt;VLOOKUP($H75,Lists!$P$3:$Q$7,2),IF($N75=Lists!$K$3,IF($L75&lt;1,(($U75/$L75)*((1+Inputs!$D$7)^BF$2)),((INT(BF$2/$L75)-INT((BF$2-1)/$L75))*$U75*((1+Inputs!$D$7)^BF$2))),(_xlfn.WEIBULL.DIST(BF$2,$M75,$L75,FALSE)*$U75*((1+Inputs!$D$7)^BF$2))),IF($N75=Lists!$K$3,IF($L75&lt;1,((($T75*(1-$F75)+$S75*(1-$G75))/$L75)*((1+Inputs!$D$7)^BF$2)),((INT(BF$2/$L75)-INT((BF$2-1)/$L75))*($T75*(1-$F75)+$S75*(1-$G75))*((1+Inputs!$D$7)^BF$2))),((_xlfn.WEIBULL.DIST(BF$2,$M75,$L75,FALSE)*($T75*(1-$F75)+$S75*(1-$G75))*((1+Inputs!$D$7)^BF$2))))))</f>
        <v>0</v>
      </c>
      <c r="BG75" s="88">
        <f>$E75*IF(BG$2&gt;Inputs!$D$5,0,IF(BG$2&gt;VLOOKUP($H75,Lists!$P$3:$Q$7,2),IF($N75=Lists!$K$3,IF($L75&lt;1,(($U75/$L75)*((1+Inputs!$D$7)^BG$2)),((INT(BG$2/$L75)-INT((BG$2-1)/$L75))*$U75*((1+Inputs!$D$7)^BG$2))),(_xlfn.WEIBULL.DIST(BG$2,$M75,$L75,FALSE)*$U75*((1+Inputs!$D$7)^BG$2))),IF($N75=Lists!$K$3,IF($L75&lt;1,((($T75*(1-$F75)+$S75*(1-$G75))/$L75)*((1+Inputs!$D$7)^BG$2)),((INT(BG$2/$L75)-INT((BG$2-1)/$L75))*($T75*(1-$F75)+$S75*(1-$G75))*((1+Inputs!$D$7)^BG$2))),((_xlfn.WEIBULL.DIST(BG$2,$M75,$L75,FALSE)*($T75*(1-$F75)+$S75*(1-$G75))*((1+Inputs!$D$7)^BG$2))))))</f>
        <v>0</v>
      </c>
      <c r="BH75" s="88">
        <f>$E75*IF(BH$2&gt;Inputs!$D$5,0,IF(BH$2&gt;VLOOKUP($H75,Lists!$P$3:$Q$7,2),IF($N75=Lists!$K$3,IF($L75&lt;1,(($U75/$L75)*((1+Inputs!$D$7)^BH$2)),((INT(BH$2/$L75)-INT((BH$2-1)/$L75))*$U75*((1+Inputs!$D$7)^BH$2))),(_xlfn.WEIBULL.DIST(BH$2,$M75,$L75,FALSE)*$U75*((1+Inputs!$D$7)^BH$2))),IF($N75=Lists!$K$3,IF($L75&lt;1,((($T75*(1-$F75)+$S75*(1-$G75))/$L75)*((1+Inputs!$D$7)^BH$2)),((INT(BH$2/$L75)-INT((BH$2-1)/$L75))*($T75*(1-$F75)+$S75*(1-$G75))*((1+Inputs!$D$7)^BH$2))),((_xlfn.WEIBULL.DIST(BH$2,$M75,$L75,FALSE)*($T75*(1-$F75)+$S75*(1-$G75))*((1+Inputs!$D$7)^BH$2))))))</f>
        <v>0</v>
      </c>
      <c r="BI75" s="88">
        <f>$E75*IF(BI$2&gt;Inputs!$D$5,0,IF(BI$2&gt;VLOOKUP($H75,Lists!$P$3:$Q$7,2),IF($N75=Lists!$K$3,IF($L75&lt;1,(($U75/$L75)*((1+Inputs!$D$7)^BI$2)),((INT(BI$2/$L75)-INT((BI$2-1)/$L75))*$U75*((1+Inputs!$D$7)^BI$2))),(_xlfn.WEIBULL.DIST(BI$2,$M75,$L75,FALSE)*$U75*((1+Inputs!$D$7)^BI$2))),IF($N75=Lists!$K$3,IF($L75&lt;1,((($T75*(1-$F75)+$S75*(1-$G75))/$L75)*((1+Inputs!$D$7)^BI$2)),((INT(BI$2/$L75)-INT((BI$2-1)/$L75))*($T75*(1-$F75)+$S75*(1-$G75))*((1+Inputs!$D$7)^BI$2))),((_xlfn.WEIBULL.DIST(BI$2,$M75,$L75,FALSE)*($T75*(1-$F75)+$S75*(1-$G75))*((1+Inputs!$D$7)^BI$2))))))</f>
        <v>0</v>
      </c>
      <c r="BJ75" s="88">
        <f>$E75*IF(BJ$2&gt;Inputs!$D$5,0,IF(BJ$2&gt;VLOOKUP($H75,Lists!$P$3:$Q$7,2),IF($N75=Lists!$K$3,IF($L75&lt;1,(($U75/$L75)*((1+Inputs!$D$7)^BJ$2)),((INT(BJ$2/$L75)-INT((BJ$2-1)/$L75))*$U75*((1+Inputs!$D$7)^BJ$2))),(_xlfn.WEIBULL.DIST(BJ$2,$M75,$L75,FALSE)*$U75*((1+Inputs!$D$7)^BJ$2))),IF($N75=Lists!$K$3,IF($L75&lt;1,((($T75*(1-$F75)+$S75*(1-$G75))/$L75)*((1+Inputs!$D$7)^BJ$2)),((INT(BJ$2/$L75)-INT((BJ$2-1)/$L75))*($T75*(1-$F75)+$S75*(1-$G75))*((1+Inputs!$D$7)^BJ$2))),((_xlfn.WEIBULL.DIST(BJ$2,$M75,$L75,FALSE)*($T75*(1-$F75)+$S75*(1-$G75))*((1+Inputs!$D$7)^BJ$2))))))</f>
        <v>0</v>
      </c>
      <c r="BK75" s="88">
        <f>$E75*IF(BK$2&gt;Inputs!$D$5,0,IF(BK$2&gt;VLOOKUP($H75,Lists!$P$3:$Q$7,2),IF($N75=Lists!$K$3,IF($L75&lt;1,(($U75/$L75)*((1+Inputs!$D$7)^BK$2)),((INT(BK$2/$L75)-INT((BK$2-1)/$L75))*$U75*((1+Inputs!$D$7)^BK$2))),(_xlfn.WEIBULL.DIST(BK$2,$M75,$L75,FALSE)*$U75*((1+Inputs!$D$7)^BK$2))),IF($N75=Lists!$K$3,IF($L75&lt;1,((($T75*(1-$F75)+$S75*(1-$G75))/$L75)*((1+Inputs!$D$7)^BK$2)),((INT(BK$2/$L75)-INT((BK$2-1)/$L75))*($T75*(1-$F75)+$S75*(1-$G75))*((1+Inputs!$D$7)^BK$2))),((_xlfn.WEIBULL.DIST(BK$2,$M75,$L75,FALSE)*($T75*(1-$F75)+$S75*(1-$G75))*((1+Inputs!$D$7)^BK$2))))))</f>
        <v>0</v>
      </c>
      <c r="BL75" s="88">
        <f>$E75*IF(BL$2&gt;Inputs!$D$5,0,IF(BL$2&gt;VLOOKUP($H75,Lists!$P$3:$Q$7,2),IF($N75=Lists!$K$3,IF($L75&lt;1,(($U75/$L75)*((1+Inputs!$D$7)^BL$2)),((INT(BL$2/$L75)-INT((BL$2-1)/$L75))*$U75*((1+Inputs!$D$7)^BL$2))),(_xlfn.WEIBULL.DIST(BL$2,$M75,$L75,FALSE)*$U75*((1+Inputs!$D$7)^BL$2))),IF($N75=Lists!$K$3,IF($L75&lt;1,((($T75*(1-$F75)+$S75*(1-$G75))/$L75)*((1+Inputs!$D$7)^BL$2)),((INT(BL$2/$L75)-INT((BL$2-1)/$L75))*($T75*(1-$F75)+$S75*(1-$G75))*((1+Inputs!$D$7)^BL$2))),((_xlfn.WEIBULL.DIST(BL$2,$M75,$L75,FALSE)*($T75*(1-$F75)+$S75*(1-$G75))*((1+Inputs!$D$7)^BL$2))))))</f>
        <v>0</v>
      </c>
      <c r="BM75" s="88">
        <f>$E75*IF(BM$2&gt;Inputs!$D$5,0,IF(BM$2&gt;VLOOKUP($H75,Lists!$P$3:$Q$7,2),IF($N75=Lists!$K$3,IF($L75&lt;1,(($U75/$L75)*((1+Inputs!$D$7)^BM$2)),((INT(BM$2/$L75)-INT((BM$2-1)/$L75))*$U75*((1+Inputs!$D$7)^BM$2))),(_xlfn.WEIBULL.DIST(BM$2,$M75,$L75,FALSE)*$U75*((1+Inputs!$D$7)^BM$2))),IF($N75=Lists!$K$3,IF($L75&lt;1,((($T75*(1-$F75)+$S75*(1-$G75))/$L75)*((1+Inputs!$D$7)^BM$2)),((INT(BM$2/$L75)-INT((BM$2-1)/$L75))*($T75*(1-$F75)+$S75*(1-$G75))*((1+Inputs!$D$7)^BM$2))),((_xlfn.WEIBULL.DIST(BM$2,$M75,$L75,FALSE)*($T75*(1-$F75)+$S75*(1-$G75))*((1+Inputs!$D$7)^BM$2))))))</f>
        <v>0</v>
      </c>
      <c r="BN75" s="88">
        <f>$E75*IF(BN$2&gt;Inputs!$D$5,0,IF(BN$2&gt;VLOOKUP($H75,Lists!$P$3:$Q$7,2),IF($N75=Lists!$K$3,IF($L75&lt;1,(($U75/$L75)*((1+Inputs!$D$7)^BN$2)),((INT(BN$2/$L75)-INT((BN$2-1)/$L75))*$U75*((1+Inputs!$D$7)^BN$2))),(_xlfn.WEIBULL.DIST(BN$2,$M75,$L75,FALSE)*$U75*((1+Inputs!$D$7)^BN$2))),IF($N75=Lists!$K$3,IF($L75&lt;1,((($T75*(1-$F75)+$S75*(1-$G75))/$L75)*((1+Inputs!$D$7)^BN$2)),((INT(BN$2/$L75)-INT((BN$2-1)/$L75))*($T75*(1-$F75)+$S75*(1-$G75))*((1+Inputs!$D$7)^BN$2))),((_xlfn.WEIBULL.DIST(BN$2,$M75,$L75,FALSE)*($T75*(1-$F75)+$S75*(1-$G75))*((1+Inputs!$D$7)^BN$2))))))</f>
        <v>0</v>
      </c>
      <c r="BO75" s="64">
        <f>NPV(Inputs!$D$6,BQ75:DD75)</f>
        <v>175548.26862679183</v>
      </c>
      <c r="BP75" s="67">
        <f t="shared" si="20"/>
        <v>8.2797133875144119E-2</v>
      </c>
      <c r="BQ75" s="88">
        <f>MAX(AA75,($E75*IF(BQ$2&gt;Inputs!$D$5,0,IF(BQ$2&gt;VLOOKUP($H75,Lists!$P$3:$Q$7,2),IF($N75=Lists!$K$3,IF($L75&lt;1,(($U75/$L75)*((1+Inputs!$D$7)^BQ$2)),((INT(BQ$2/$L75)-INT((BQ$2-1)/$L75))*$U75*((1+Inputs!$D$7)^BQ$2))),(Inputs!$D$8^((1-_xlfn.WEIBULL.DIST(BQ$2,$M75,$L75,FALSE))/_xlfn.WEIBULL.DIST(BQ$2,$M75,$L75,FALSE))*$U75*((1+Inputs!$D$7)^BQ$2))),IF($N75=Lists!$K$3,IF($L75&lt;1,((($T75*(1-$F75)+$S75*(1-$G75))/$L75)*((1+Inputs!$D$7)^BQ$2)),((INT(BQ$2/$L75)-INT((BQ$2-1)/$L75))*($T75*(1-$F75)+$S75*(1-$G75))*((1+Inputs!$D$7)^BQ$2))),((Inputs!$D$8^((1-_xlfn.WEIBULL.DIST(BQ$2,$M75,$L75,FALSE))/_xlfn.WEIBULL.DIST(BQ$2,$M75,$L75,FALSE))*($T75*(1-$F75)+$S75*(1-$G75))*((1+Inputs!$D$7)^BQ$2))))))))</f>
        <v>12580.142850670642</v>
      </c>
      <c r="BR75" s="88">
        <f>MAX(AB75,($E75*IF(BR$2&gt;Inputs!$D$5,0,IF(BR$2&gt;VLOOKUP($H75,Lists!$P$3:$Q$7,2),IF($N75=Lists!$K$3,IF($L75&lt;1,(($U75/$L75)*((1+Inputs!$D$7)^BR$2)),((INT(BR$2/$L75)-INT((BR$2-1)/$L75))*$U75*((1+Inputs!$D$7)^BR$2))),(Inputs!$D$8^((1-_xlfn.WEIBULL.DIST(BR$2,$M75,$L75,FALSE))/_xlfn.WEIBULL.DIST(BR$2,$M75,$L75,FALSE))*$U75*((1+Inputs!$D$7)^BR$2))),IF($N75=Lists!$K$3,IF($L75&lt;1,((($T75*(1-$F75)+$S75*(1-$G75))/$L75)*((1+Inputs!$D$7)^BR$2)),((INT(BR$2/$L75)-INT((BR$2-1)/$L75))*($T75*(1-$F75)+$S75*(1-$G75))*((1+Inputs!$D$7)^BR$2))),((Inputs!$D$8^((1-_xlfn.WEIBULL.DIST(BR$2,$M75,$L75,FALSE))/_xlfn.WEIBULL.DIST(BR$2,$M75,$L75,FALSE))*($T75*(1-$F75)+$S75*(1-$G75))*((1+Inputs!$D$7)^BR$2))))))))</f>
        <v>12831.745707684053</v>
      </c>
      <c r="BS75" s="88">
        <f>MAX(AC75,($E75*IF(BS$2&gt;Inputs!$D$5,0,IF(BS$2&gt;VLOOKUP($H75,Lists!$P$3:$Q$7,2),IF($N75=Lists!$K$3,IF($L75&lt;1,(($U75/$L75)*((1+Inputs!$D$7)^BS$2)),((INT(BS$2/$L75)-INT((BS$2-1)/$L75))*$U75*((1+Inputs!$D$7)^BS$2))),(Inputs!$D$8^((1-_xlfn.WEIBULL.DIST(BS$2,$M75,$L75,FALSE))/_xlfn.WEIBULL.DIST(BS$2,$M75,$L75,FALSE))*$U75*((1+Inputs!$D$7)^BS$2))),IF($N75=Lists!$K$3,IF($L75&lt;1,((($T75*(1-$F75)+$S75*(1-$G75))/$L75)*((1+Inputs!$D$7)^BS$2)),((INT(BS$2/$L75)-INT((BS$2-1)/$L75))*($T75*(1-$F75)+$S75*(1-$G75))*((1+Inputs!$D$7)^BS$2))),((Inputs!$D$8^((1-_xlfn.WEIBULL.DIST(BS$2,$M75,$L75,FALSE))/_xlfn.WEIBULL.DIST(BS$2,$M75,$L75,FALSE))*($T75*(1-$F75)+$S75*(1-$G75))*((1+Inputs!$D$7)^BS$2))))))))</f>
        <v>13088.380621837734</v>
      </c>
      <c r="BT75" s="88">
        <f>MAX(AD75,($E75*IF(BT$2&gt;Inputs!$D$5,0,IF(BT$2&gt;VLOOKUP($H75,Lists!$P$3:$Q$7,2),IF($N75=Lists!$K$3,IF($L75&lt;1,(($U75/$L75)*((1+Inputs!$D$7)^BT$2)),((INT(BT$2/$L75)-INT((BT$2-1)/$L75))*$U75*((1+Inputs!$D$7)^BT$2))),(Inputs!$D$8^((1-_xlfn.WEIBULL.DIST(BT$2,$M75,$L75,FALSE))/_xlfn.WEIBULL.DIST(BT$2,$M75,$L75,FALSE))*$U75*((1+Inputs!$D$7)^BT$2))),IF($N75=Lists!$K$3,IF($L75&lt;1,((($T75*(1-$F75)+$S75*(1-$G75))/$L75)*((1+Inputs!$D$7)^BT$2)),((INT(BT$2/$L75)-INT((BT$2-1)/$L75))*($T75*(1-$F75)+$S75*(1-$G75))*((1+Inputs!$D$7)^BT$2))),((Inputs!$D$8^((1-_xlfn.WEIBULL.DIST(BT$2,$M75,$L75,FALSE))/_xlfn.WEIBULL.DIST(BT$2,$M75,$L75,FALSE))*($T75*(1-$F75)+$S75*(1-$G75))*((1+Inputs!$D$7)^BT$2))))))))</f>
        <v>13350.148234274489</v>
      </c>
      <c r="BU75" s="88">
        <f>MAX(AE75,($E75*IF(BU$2&gt;Inputs!$D$5,0,IF(BU$2&gt;VLOOKUP($H75,Lists!$P$3:$Q$7,2),IF($N75=Lists!$K$3,IF($L75&lt;1,(($U75/$L75)*((1+Inputs!$D$7)^BU$2)),((INT(BU$2/$L75)-INT((BU$2-1)/$L75))*$U75*((1+Inputs!$D$7)^BU$2))),(Inputs!$D$8^((1-_xlfn.WEIBULL.DIST(BU$2,$M75,$L75,FALSE))/_xlfn.WEIBULL.DIST(BU$2,$M75,$L75,FALSE))*$U75*((1+Inputs!$D$7)^BU$2))),IF($N75=Lists!$K$3,IF($L75&lt;1,((($T75*(1-$F75)+$S75*(1-$G75))/$L75)*((1+Inputs!$D$7)^BU$2)),((INT(BU$2/$L75)-INT((BU$2-1)/$L75))*($T75*(1-$F75)+$S75*(1-$G75))*((1+Inputs!$D$7)^BU$2))),((Inputs!$D$8^((1-_xlfn.WEIBULL.DIST(BU$2,$M75,$L75,FALSE))/_xlfn.WEIBULL.DIST(BU$2,$M75,$L75,FALSE))*($T75*(1-$F75)+$S75*(1-$G75))*((1+Inputs!$D$7)^BU$2))))))))</f>
        <v>13617.15119895998</v>
      </c>
      <c r="BV75" s="88">
        <f>MAX(AF75,($E75*IF(BV$2&gt;Inputs!$D$5,0,IF(BV$2&gt;VLOOKUP($H75,Lists!$P$3:$Q$7,2),IF($N75=Lists!$K$3,IF($L75&lt;1,(($U75/$L75)*((1+Inputs!$D$7)^BV$2)),((INT(BV$2/$L75)-INT((BV$2-1)/$L75))*$U75*((1+Inputs!$D$7)^BV$2))),(Inputs!$D$8^((1-_xlfn.WEIBULL.DIST(BV$2,$M75,$L75,FALSE))/_xlfn.WEIBULL.DIST(BV$2,$M75,$L75,FALSE))*$U75*((1+Inputs!$D$7)^BV$2))),IF($N75=Lists!$K$3,IF($L75&lt;1,((($T75*(1-$F75)+$S75*(1-$G75))/$L75)*((1+Inputs!$D$7)^BV$2)),((INT(BV$2/$L75)-INT((BV$2-1)/$L75))*($T75*(1-$F75)+$S75*(1-$G75))*((1+Inputs!$D$7)^BV$2))),((Inputs!$D$8^((1-_xlfn.WEIBULL.DIST(BV$2,$M75,$L75,FALSE))/_xlfn.WEIBULL.DIST(BV$2,$M75,$L75,FALSE))*($T75*(1-$F75)+$S75*(1-$G75))*((1+Inputs!$D$7)^BV$2))))))))</f>
        <v>13889.49422293918</v>
      </c>
      <c r="BW75" s="88">
        <f>MAX(AG75,($E75*IF(BW$2&gt;Inputs!$D$5,0,IF(BW$2&gt;VLOOKUP($H75,Lists!$P$3:$Q$7,2),IF($N75=Lists!$K$3,IF($L75&lt;1,(($U75/$L75)*((1+Inputs!$D$7)^BW$2)),((INT(BW$2/$L75)-INT((BW$2-1)/$L75))*$U75*((1+Inputs!$D$7)^BW$2))),(Inputs!$D$8^((1-_xlfn.WEIBULL.DIST(BW$2,$M75,$L75,FALSE))/_xlfn.WEIBULL.DIST(BW$2,$M75,$L75,FALSE))*$U75*((1+Inputs!$D$7)^BW$2))),IF($N75=Lists!$K$3,IF($L75&lt;1,((($T75*(1-$F75)+$S75*(1-$G75))/$L75)*((1+Inputs!$D$7)^BW$2)),((INT(BW$2/$L75)-INT((BW$2-1)/$L75))*($T75*(1-$F75)+$S75*(1-$G75))*((1+Inputs!$D$7)^BW$2))),((Inputs!$D$8^((1-_xlfn.WEIBULL.DIST(BW$2,$M75,$L75,FALSE))/_xlfn.WEIBULL.DIST(BW$2,$M75,$L75,FALSE))*($T75*(1-$F75)+$S75*(1-$G75))*((1+Inputs!$D$7)^BW$2))))))))</f>
        <v>14167.28410739796</v>
      </c>
      <c r="BX75" s="88">
        <f>MAX(AH75,($E75*IF(BX$2&gt;Inputs!$D$5,0,IF(BX$2&gt;VLOOKUP($H75,Lists!$P$3:$Q$7,2),IF($N75=Lists!$K$3,IF($L75&lt;1,(($U75/$L75)*((1+Inputs!$D$7)^BX$2)),((INT(BX$2/$L75)-INT((BX$2-1)/$L75))*$U75*((1+Inputs!$D$7)^BX$2))),(Inputs!$D$8^((1-_xlfn.WEIBULL.DIST(BX$2,$M75,$L75,FALSE))/_xlfn.WEIBULL.DIST(BX$2,$M75,$L75,FALSE))*$U75*((1+Inputs!$D$7)^BX$2))),IF($N75=Lists!$K$3,IF($L75&lt;1,((($T75*(1-$F75)+$S75*(1-$G75))/$L75)*((1+Inputs!$D$7)^BX$2)),((INT(BX$2/$L75)-INT((BX$2-1)/$L75))*($T75*(1-$F75)+$S75*(1-$G75))*((1+Inputs!$D$7)^BX$2))),((Inputs!$D$8^((1-_xlfn.WEIBULL.DIST(BX$2,$M75,$L75,FALSE))/_xlfn.WEIBULL.DIST(BX$2,$M75,$L75,FALSE))*($T75*(1-$F75)+$S75*(1-$G75))*((1+Inputs!$D$7)^BX$2))))))))</f>
        <v>14450.629789545921</v>
      </c>
      <c r="BY75" s="88">
        <f>MAX(AI75,($E75*IF(BY$2&gt;Inputs!$D$5,0,IF(BY$2&gt;VLOOKUP($H75,Lists!$P$3:$Q$7,2),IF($N75=Lists!$K$3,IF($L75&lt;1,(($U75/$L75)*((1+Inputs!$D$7)^BY$2)),((INT(BY$2/$L75)-INT((BY$2-1)/$L75))*$U75*((1+Inputs!$D$7)^BY$2))),(Inputs!$D$8^((1-_xlfn.WEIBULL.DIST(BY$2,$M75,$L75,FALSE))/_xlfn.WEIBULL.DIST(BY$2,$M75,$L75,FALSE))*$U75*((1+Inputs!$D$7)^BY$2))),IF($N75=Lists!$K$3,IF($L75&lt;1,((($T75*(1-$F75)+$S75*(1-$G75))/$L75)*((1+Inputs!$D$7)^BY$2)),((INT(BY$2/$L75)-INT((BY$2-1)/$L75))*($T75*(1-$F75)+$S75*(1-$G75))*((1+Inputs!$D$7)^BY$2))),((Inputs!$D$8^((1-_xlfn.WEIBULL.DIST(BY$2,$M75,$L75,FALSE))/_xlfn.WEIBULL.DIST(BY$2,$M75,$L75,FALSE))*($T75*(1-$F75)+$S75*(1-$G75))*((1+Inputs!$D$7)^BY$2))))))))</f>
        <v>14739.64238533684</v>
      </c>
      <c r="BZ75" s="88">
        <f>MAX(AJ75,($E75*IF(BZ$2&gt;Inputs!$D$5,0,IF(BZ$2&gt;VLOOKUP($H75,Lists!$P$3:$Q$7,2),IF($N75=Lists!$K$3,IF($L75&lt;1,(($U75/$L75)*((1+Inputs!$D$7)^BZ$2)),((INT(BZ$2/$L75)-INT((BZ$2-1)/$L75))*$U75*((1+Inputs!$D$7)^BZ$2))),(Inputs!$D$8^((1-_xlfn.WEIBULL.DIST(BZ$2,$M75,$L75,FALSE))/_xlfn.WEIBULL.DIST(BZ$2,$M75,$L75,FALSE))*$U75*((1+Inputs!$D$7)^BZ$2))),IF($N75=Lists!$K$3,IF($L75&lt;1,((($T75*(1-$F75)+$S75*(1-$G75))/$L75)*((1+Inputs!$D$7)^BZ$2)),((INT(BZ$2/$L75)-INT((BZ$2-1)/$L75))*($T75*(1-$F75)+$S75*(1-$G75))*((1+Inputs!$D$7)^BZ$2))),((Inputs!$D$8^((1-_xlfn.WEIBULL.DIST(BZ$2,$M75,$L75,FALSE))/_xlfn.WEIBULL.DIST(BZ$2,$M75,$L75,FALSE))*($T75*(1-$F75)+$S75*(1-$G75))*((1+Inputs!$D$7)^BZ$2))))))))</f>
        <v>15034.435233043576</v>
      </c>
      <c r="CA75" s="88">
        <f>MAX(AK75,($E75*IF(CA$2&gt;Inputs!$D$5,0,IF(CA$2&gt;VLOOKUP($H75,Lists!$P$3:$Q$7,2),IF($N75=Lists!$K$3,IF($L75&lt;1,(($U75/$L75)*((1+Inputs!$D$7)^CA$2)),((INT(CA$2/$L75)-INT((CA$2-1)/$L75))*$U75*((1+Inputs!$D$7)^CA$2))),(Inputs!$D$8^((1-_xlfn.WEIBULL.DIST(CA$2,$M75,$L75,FALSE))/_xlfn.WEIBULL.DIST(CA$2,$M75,$L75,FALSE))*$U75*((1+Inputs!$D$7)^CA$2))),IF($N75=Lists!$K$3,IF($L75&lt;1,((($T75*(1-$F75)+$S75*(1-$G75))/$L75)*((1+Inputs!$D$7)^CA$2)),((INT(CA$2/$L75)-INT((CA$2-1)/$L75))*($T75*(1-$F75)+$S75*(1-$G75))*((1+Inputs!$D$7)^CA$2))),((Inputs!$D$8^((1-_xlfn.WEIBULL.DIST(CA$2,$M75,$L75,FALSE))/_xlfn.WEIBULL.DIST(CA$2,$M75,$L75,FALSE))*($T75*(1-$F75)+$S75*(1-$G75))*((1+Inputs!$D$7)^CA$2))))))))</f>
        <v>15335.123937704446</v>
      </c>
      <c r="CB75" s="88">
        <f>MAX(AL75,($E75*IF(CB$2&gt;Inputs!$D$5,0,IF(CB$2&gt;VLOOKUP($H75,Lists!$P$3:$Q$7,2),IF($N75=Lists!$K$3,IF($L75&lt;1,(($U75/$L75)*((1+Inputs!$D$7)^CB$2)),((INT(CB$2/$L75)-INT((CB$2-1)/$L75))*$U75*((1+Inputs!$D$7)^CB$2))),(Inputs!$D$8^((1-_xlfn.WEIBULL.DIST(CB$2,$M75,$L75,FALSE))/_xlfn.WEIBULL.DIST(CB$2,$M75,$L75,FALSE))*$U75*((1+Inputs!$D$7)^CB$2))),IF($N75=Lists!$K$3,IF($L75&lt;1,((($T75*(1-$F75)+$S75*(1-$G75))/$L75)*((1+Inputs!$D$7)^CB$2)),((INT(CB$2/$L75)-INT((CB$2-1)/$L75))*($T75*(1-$F75)+$S75*(1-$G75))*((1+Inputs!$D$7)^CB$2))),((Inputs!$D$8^((1-_xlfn.WEIBULL.DIST(CB$2,$M75,$L75,FALSE))/_xlfn.WEIBULL.DIST(CB$2,$M75,$L75,FALSE))*($T75*(1-$F75)+$S75*(1-$G75))*((1+Inputs!$D$7)^CB$2))))))))</f>
        <v>15641.826416458536</v>
      </c>
      <c r="CC75" s="88">
        <f>MAX(AM75,($E75*IF(CC$2&gt;Inputs!$D$5,0,IF(CC$2&gt;VLOOKUP($H75,Lists!$P$3:$Q$7,2),IF($N75=Lists!$K$3,IF($L75&lt;1,(($U75/$L75)*((1+Inputs!$D$7)^CC$2)),((INT(CC$2/$L75)-INT((CC$2-1)/$L75))*$U75*((1+Inputs!$D$7)^CC$2))),(Inputs!$D$8^((1-_xlfn.WEIBULL.DIST(CC$2,$M75,$L75,FALSE))/_xlfn.WEIBULL.DIST(CC$2,$M75,$L75,FALSE))*$U75*((1+Inputs!$D$7)^CC$2))),IF($N75=Lists!$K$3,IF($L75&lt;1,((($T75*(1-$F75)+$S75*(1-$G75))/$L75)*((1+Inputs!$D$7)^CC$2)),((INT(CC$2/$L75)-INT((CC$2-1)/$L75))*($T75*(1-$F75)+$S75*(1-$G75))*((1+Inputs!$D$7)^CC$2))),((Inputs!$D$8^((1-_xlfn.WEIBULL.DIST(CC$2,$M75,$L75,FALSE))/_xlfn.WEIBULL.DIST(CC$2,$M75,$L75,FALSE))*($T75*(1-$F75)+$S75*(1-$G75))*((1+Inputs!$D$7)^CC$2))))))))</f>
        <v>15954.662944787706</v>
      </c>
      <c r="CD75" s="88">
        <f>MAX(AN75,($E75*IF(CD$2&gt;Inputs!$D$5,0,IF(CD$2&gt;VLOOKUP($H75,Lists!$P$3:$Q$7,2),IF($N75=Lists!$K$3,IF($L75&lt;1,(($U75/$L75)*((1+Inputs!$D$7)^CD$2)),((INT(CD$2/$L75)-INT((CD$2-1)/$L75))*$U75*((1+Inputs!$D$7)^CD$2))),(Inputs!$D$8^((1-_xlfn.WEIBULL.DIST(CD$2,$M75,$L75,FALSE))/_xlfn.WEIBULL.DIST(CD$2,$M75,$L75,FALSE))*$U75*((1+Inputs!$D$7)^CD$2))),IF($N75=Lists!$K$3,IF($L75&lt;1,((($T75*(1-$F75)+$S75*(1-$G75))/$L75)*((1+Inputs!$D$7)^CD$2)),((INT(CD$2/$L75)-INT((CD$2-1)/$L75))*($T75*(1-$F75)+$S75*(1-$G75))*((1+Inputs!$D$7)^CD$2))),((Inputs!$D$8^((1-_xlfn.WEIBULL.DIST(CD$2,$M75,$L75,FALSE))/_xlfn.WEIBULL.DIST(CD$2,$M75,$L75,FALSE))*($T75*(1-$F75)+$S75*(1-$G75))*((1+Inputs!$D$7)^CD$2))))))))</f>
        <v>16273.756203683462</v>
      </c>
      <c r="CE75" s="88">
        <f>MAX(AO75,($E75*IF(CE$2&gt;Inputs!$D$5,0,IF(CE$2&gt;VLOOKUP($H75,Lists!$P$3:$Q$7,2),IF($N75=Lists!$K$3,IF($L75&lt;1,(($U75/$L75)*((1+Inputs!$D$7)^CE$2)),((INT(CE$2/$L75)-INT((CE$2-1)/$L75))*$U75*((1+Inputs!$D$7)^CE$2))),(Inputs!$D$8^((1-_xlfn.WEIBULL.DIST(CE$2,$M75,$L75,FALSE))/_xlfn.WEIBULL.DIST(CE$2,$M75,$L75,FALSE))*$U75*((1+Inputs!$D$7)^CE$2))),IF($N75=Lists!$K$3,IF($L75&lt;1,((($T75*(1-$F75)+$S75*(1-$G75))/$L75)*((1+Inputs!$D$7)^CE$2)),((INT(CE$2/$L75)-INT((CE$2-1)/$L75))*($T75*(1-$F75)+$S75*(1-$G75))*((1+Inputs!$D$7)^CE$2))),((Inputs!$D$8^((1-_xlfn.WEIBULL.DIST(CE$2,$M75,$L75,FALSE))/_xlfn.WEIBULL.DIST(CE$2,$M75,$L75,FALSE))*($T75*(1-$F75)+$S75*(1-$G75))*((1+Inputs!$D$7)^CE$2))))))))</f>
        <v>16599.231327757127</v>
      </c>
      <c r="CF75" s="88">
        <f>MAX(AP75,($E75*IF(CF$2&gt;Inputs!$D$5,0,IF(CF$2&gt;VLOOKUP($H75,Lists!$P$3:$Q$7,2),IF($N75=Lists!$K$3,IF($L75&lt;1,(($U75/$L75)*((1+Inputs!$D$7)^CF$2)),((INT(CF$2/$L75)-INT((CF$2-1)/$L75))*$U75*((1+Inputs!$D$7)^CF$2))),(Inputs!$D$8^((1-_xlfn.WEIBULL.DIST(CF$2,$M75,$L75,FALSE))/_xlfn.WEIBULL.DIST(CF$2,$M75,$L75,FALSE))*$U75*((1+Inputs!$D$7)^CF$2))),IF($N75=Lists!$K$3,IF($L75&lt;1,((($T75*(1-$F75)+$S75*(1-$G75))/$L75)*((1+Inputs!$D$7)^CF$2)),((INT(CF$2/$L75)-INT((CF$2-1)/$L75))*($T75*(1-$F75)+$S75*(1-$G75))*((1+Inputs!$D$7)^CF$2))),((Inputs!$D$8^((1-_xlfn.WEIBULL.DIST(CF$2,$M75,$L75,FALSE))/_xlfn.WEIBULL.DIST(CF$2,$M75,$L75,FALSE))*($T75*(1-$F75)+$S75*(1-$G75))*((1+Inputs!$D$7)^CF$2))))))))</f>
        <v>16931.215954312273</v>
      </c>
      <c r="CG75" s="88">
        <f>MAX(AQ75,($E75*IF(CG$2&gt;Inputs!$D$5,0,IF(CG$2&gt;VLOOKUP($H75,Lists!$P$3:$Q$7,2),IF($N75=Lists!$K$3,IF($L75&lt;1,(($U75/$L75)*((1+Inputs!$D$7)^CG$2)),((INT(CG$2/$L75)-INT((CG$2-1)/$L75))*$U75*((1+Inputs!$D$7)^CG$2))),(Inputs!$D$8^((1-_xlfn.WEIBULL.DIST(CG$2,$M75,$L75,FALSE))/_xlfn.WEIBULL.DIST(CG$2,$M75,$L75,FALSE))*$U75*((1+Inputs!$D$7)^CG$2))),IF($N75=Lists!$K$3,IF($L75&lt;1,((($T75*(1-$F75)+$S75*(1-$G75))/$L75)*((1+Inputs!$D$7)^CG$2)),((INT(CG$2/$L75)-INT((CG$2-1)/$L75))*($T75*(1-$F75)+$S75*(1-$G75))*((1+Inputs!$D$7)^CG$2))),((Inputs!$D$8^((1-_xlfn.WEIBULL.DIST(CG$2,$M75,$L75,FALSE))/_xlfn.WEIBULL.DIST(CG$2,$M75,$L75,FALSE))*($T75*(1-$F75)+$S75*(1-$G75))*((1+Inputs!$D$7)^CG$2))))))))</f>
        <v>17269.84027339852</v>
      </c>
      <c r="CH75" s="88">
        <f>MAX(AR75,($E75*IF(CH$2&gt;Inputs!$D$5,0,IF(CH$2&gt;VLOOKUP($H75,Lists!$P$3:$Q$7,2),IF($N75=Lists!$K$3,IF($L75&lt;1,(($U75/$L75)*((1+Inputs!$D$7)^CH$2)),((INT(CH$2/$L75)-INT((CH$2-1)/$L75))*$U75*((1+Inputs!$D$7)^CH$2))),(Inputs!$D$8^((1-_xlfn.WEIBULL.DIST(CH$2,$M75,$L75,FALSE))/_xlfn.WEIBULL.DIST(CH$2,$M75,$L75,FALSE))*$U75*((1+Inputs!$D$7)^CH$2))),IF($N75=Lists!$K$3,IF($L75&lt;1,((($T75*(1-$F75)+$S75*(1-$G75))/$L75)*((1+Inputs!$D$7)^CH$2)),((INT(CH$2/$L75)-INT((CH$2-1)/$L75))*($T75*(1-$F75)+$S75*(1-$G75))*((1+Inputs!$D$7)^CH$2))),((Inputs!$D$8^((1-_xlfn.WEIBULL.DIST(CH$2,$M75,$L75,FALSE))/_xlfn.WEIBULL.DIST(CH$2,$M75,$L75,FALSE))*($T75*(1-$F75)+$S75*(1-$G75))*((1+Inputs!$D$7)^CH$2))))))))</f>
        <v>17615.237078866488</v>
      </c>
      <c r="CI75" s="88">
        <f>MAX(AS75,($E75*IF(CI$2&gt;Inputs!$D$5,0,IF(CI$2&gt;VLOOKUP($H75,Lists!$P$3:$Q$7,2),IF($N75=Lists!$K$3,IF($L75&lt;1,(($U75/$L75)*((1+Inputs!$D$7)^CI$2)),((INT(CI$2/$L75)-INT((CI$2-1)/$L75))*$U75*((1+Inputs!$D$7)^CI$2))),(Inputs!$D$8^((1-_xlfn.WEIBULL.DIST(CI$2,$M75,$L75,FALSE))/_xlfn.WEIBULL.DIST(CI$2,$M75,$L75,FALSE))*$U75*((1+Inputs!$D$7)^CI$2))),IF($N75=Lists!$K$3,IF($L75&lt;1,((($T75*(1-$F75)+$S75*(1-$G75))/$L75)*((1+Inputs!$D$7)^CI$2)),((INT(CI$2/$L75)-INT((CI$2-1)/$L75))*($T75*(1-$F75)+$S75*(1-$G75))*((1+Inputs!$D$7)^CI$2))),((Inputs!$D$8^((1-_xlfn.WEIBULL.DIST(CI$2,$M75,$L75,FALSE))/_xlfn.WEIBULL.DIST(CI$2,$M75,$L75,FALSE))*($T75*(1-$F75)+$S75*(1-$G75))*((1+Inputs!$D$7)^CI$2))))))))</f>
        <v>17967.541820443817</v>
      </c>
      <c r="CJ75" s="88">
        <f>MAX(AT75,($E75*IF(CJ$2&gt;Inputs!$D$5,0,IF(CJ$2&gt;VLOOKUP($H75,Lists!$P$3:$Q$7,2),IF($N75=Lists!$K$3,IF($L75&lt;1,(($U75/$L75)*((1+Inputs!$D$7)^CJ$2)),((INT(CJ$2/$L75)-INT((CJ$2-1)/$L75))*$U75*((1+Inputs!$D$7)^CJ$2))),(Inputs!$D$8^((1-_xlfn.WEIBULL.DIST(CJ$2,$M75,$L75,FALSE))/_xlfn.WEIBULL.DIST(CJ$2,$M75,$L75,FALSE))*$U75*((1+Inputs!$D$7)^CJ$2))),IF($N75=Lists!$K$3,IF($L75&lt;1,((($T75*(1-$F75)+$S75*(1-$G75))/$L75)*((1+Inputs!$D$7)^CJ$2)),((INT(CJ$2/$L75)-INT((CJ$2-1)/$L75))*($T75*(1-$F75)+$S75*(1-$G75))*((1+Inputs!$D$7)^CJ$2))),((Inputs!$D$8^((1-_xlfn.WEIBULL.DIST(CJ$2,$M75,$L75,FALSE))/_xlfn.WEIBULL.DIST(CJ$2,$M75,$L75,FALSE))*($T75*(1-$F75)+$S75*(1-$G75))*((1+Inputs!$D$7)^CJ$2))))))))</f>
        <v>18326.892656852695</v>
      </c>
      <c r="CK75" s="88">
        <f>MAX(AU75,($E75*IF(CK$2&gt;Inputs!$D$5,0,IF(CK$2&gt;VLOOKUP($H75,Lists!$P$3:$Q$7,2),IF($N75=Lists!$K$3,IF($L75&lt;1,(($U75/$L75)*((1+Inputs!$D$7)^CK$2)),((INT(CK$2/$L75)-INT((CK$2-1)/$L75))*$U75*((1+Inputs!$D$7)^CK$2))),(Inputs!$D$8^((1-_xlfn.WEIBULL.DIST(CK$2,$M75,$L75,FALSE))/_xlfn.WEIBULL.DIST(CK$2,$M75,$L75,FALSE))*$U75*((1+Inputs!$D$7)^CK$2))),IF($N75=Lists!$K$3,IF($L75&lt;1,((($T75*(1-$F75)+$S75*(1-$G75))/$L75)*((1+Inputs!$D$7)^CK$2)),((INT(CK$2/$L75)-INT((CK$2-1)/$L75))*($T75*(1-$F75)+$S75*(1-$G75))*((1+Inputs!$D$7)^CK$2))),((Inputs!$D$8^((1-_xlfn.WEIBULL.DIST(CK$2,$M75,$L75,FALSE))/_xlfn.WEIBULL.DIST(CK$2,$M75,$L75,FALSE))*($T75*(1-$F75)+$S75*(1-$G75))*((1+Inputs!$D$7)^CK$2))))))))</f>
        <v>18693.430509989746</v>
      </c>
      <c r="CL75" s="88">
        <f>MAX(AV75,($E75*IF(CL$2&gt;Inputs!$D$5,0,IF(CL$2&gt;VLOOKUP($H75,Lists!$P$3:$Q$7,2),IF($N75=Lists!$K$3,IF($L75&lt;1,(($U75/$L75)*((1+Inputs!$D$7)^CL$2)),((INT(CL$2/$L75)-INT((CL$2-1)/$L75))*$U75*((1+Inputs!$D$7)^CL$2))),(Inputs!$D$8^((1-_xlfn.WEIBULL.DIST(CL$2,$M75,$L75,FALSE))/_xlfn.WEIBULL.DIST(CL$2,$M75,$L75,FALSE))*$U75*((1+Inputs!$D$7)^CL$2))),IF($N75=Lists!$K$3,IF($L75&lt;1,((($T75*(1-$F75)+$S75*(1-$G75))/$L75)*((1+Inputs!$D$7)^CL$2)),((INT(CL$2/$L75)-INT((CL$2-1)/$L75))*($T75*(1-$F75)+$S75*(1-$G75))*((1+Inputs!$D$7)^CL$2))),((Inputs!$D$8^((1-_xlfn.WEIBULL.DIST(CL$2,$M75,$L75,FALSE))/_xlfn.WEIBULL.DIST(CL$2,$M75,$L75,FALSE))*($T75*(1-$F75)+$S75*(1-$G75))*((1+Inputs!$D$7)^CL$2))))))))</f>
        <v>19067.299120189542</v>
      </c>
      <c r="CM75" s="88">
        <f>MAX(AW75,($E75*IF(CM$2&gt;Inputs!$D$5,0,IF(CM$2&gt;VLOOKUP($H75,Lists!$P$3:$Q$7,2),IF($N75=Lists!$K$3,IF($L75&lt;1,(($U75/$L75)*((1+Inputs!$D$7)^CM$2)),((INT(CM$2/$L75)-INT((CM$2-1)/$L75))*$U75*((1+Inputs!$D$7)^CM$2))),(Inputs!$D$8^((1-_xlfn.WEIBULL.DIST(CM$2,$M75,$L75,FALSE))/_xlfn.WEIBULL.DIST(CM$2,$M75,$L75,FALSE))*$U75*((1+Inputs!$D$7)^CM$2))),IF($N75=Lists!$K$3,IF($L75&lt;1,((($T75*(1-$F75)+$S75*(1-$G75))/$L75)*((1+Inputs!$D$7)^CM$2)),((INT(CM$2/$L75)-INT((CM$2-1)/$L75))*($T75*(1-$F75)+$S75*(1-$G75))*((1+Inputs!$D$7)^CM$2))),((Inputs!$D$8^((1-_xlfn.WEIBULL.DIST(CM$2,$M75,$L75,FALSE))/_xlfn.WEIBULL.DIST(CM$2,$M75,$L75,FALSE))*($T75*(1-$F75)+$S75*(1-$G75))*((1+Inputs!$D$7)^CM$2))))))))</f>
        <v>19448.645102593331</v>
      </c>
      <c r="CN75" s="88">
        <f>MAX(AX75,($E75*IF(CN$2&gt;Inputs!$D$5,0,IF(CN$2&gt;VLOOKUP($H75,Lists!$P$3:$Q$7,2),IF($N75=Lists!$K$3,IF($L75&lt;1,(($U75/$L75)*((1+Inputs!$D$7)^CN$2)),((INT(CN$2/$L75)-INT((CN$2-1)/$L75))*$U75*((1+Inputs!$D$7)^CN$2))),(Inputs!$D$8^((1-_xlfn.WEIBULL.DIST(CN$2,$M75,$L75,FALSE))/_xlfn.WEIBULL.DIST(CN$2,$M75,$L75,FALSE))*$U75*((1+Inputs!$D$7)^CN$2))),IF($N75=Lists!$K$3,IF($L75&lt;1,((($T75*(1-$F75)+$S75*(1-$G75))/$L75)*((1+Inputs!$D$7)^CN$2)),((INT(CN$2/$L75)-INT((CN$2-1)/$L75))*($T75*(1-$F75)+$S75*(1-$G75))*((1+Inputs!$D$7)^CN$2))),((Inputs!$D$8^((1-_xlfn.WEIBULL.DIST(CN$2,$M75,$L75,FALSE))/_xlfn.WEIBULL.DIST(CN$2,$M75,$L75,FALSE))*($T75*(1-$F75)+$S75*(1-$G75))*((1+Inputs!$D$7)^CN$2))))))))</f>
        <v>19837.618004645199</v>
      </c>
      <c r="CO75" s="88">
        <f>MAX(AY75,($E75*IF(CO$2&gt;Inputs!$D$5,0,IF(CO$2&gt;VLOOKUP($H75,Lists!$P$3:$Q$7,2),IF($N75=Lists!$K$3,IF($L75&lt;1,(($U75/$L75)*((1+Inputs!$D$7)^CO$2)),((INT(CO$2/$L75)-INT((CO$2-1)/$L75))*$U75*((1+Inputs!$D$7)^CO$2))),(Inputs!$D$8^((1-_xlfn.WEIBULL.DIST(CO$2,$M75,$L75,FALSE))/_xlfn.WEIBULL.DIST(CO$2,$M75,$L75,FALSE))*$U75*((1+Inputs!$D$7)^CO$2))),IF($N75=Lists!$K$3,IF($L75&lt;1,((($T75*(1-$F75)+$S75*(1-$G75))/$L75)*((1+Inputs!$D$7)^CO$2)),((INT(CO$2/$L75)-INT((CO$2-1)/$L75))*($T75*(1-$F75)+$S75*(1-$G75))*((1+Inputs!$D$7)^CO$2))),((Inputs!$D$8^((1-_xlfn.WEIBULL.DIST(CO$2,$M75,$L75,FALSE))/_xlfn.WEIBULL.DIST(CO$2,$M75,$L75,FALSE))*($T75*(1-$F75)+$S75*(1-$G75))*((1+Inputs!$D$7)^CO$2))))))))</f>
        <v>20234.370364738104</v>
      </c>
      <c r="CP75" s="88">
        <f>MAX(AZ75,($E75*IF(CP$2&gt;Inputs!$D$5,0,IF(CP$2&gt;VLOOKUP($H75,Lists!$P$3:$Q$7,2),IF($N75=Lists!$K$3,IF($L75&lt;1,(($U75/$L75)*((1+Inputs!$D$7)^CP$2)),((INT(CP$2/$L75)-INT((CP$2-1)/$L75))*$U75*((1+Inputs!$D$7)^CP$2))),(Inputs!$D$8^((1-_xlfn.WEIBULL.DIST(CP$2,$M75,$L75,FALSE))/_xlfn.WEIBULL.DIST(CP$2,$M75,$L75,FALSE))*$U75*((1+Inputs!$D$7)^CP$2))),IF($N75=Lists!$K$3,IF($L75&lt;1,((($T75*(1-$F75)+$S75*(1-$G75))/$L75)*((1+Inputs!$D$7)^CP$2)),((INT(CP$2/$L75)-INT((CP$2-1)/$L75))*($T75*(1-$F75)+$S75*(1-$G75))*((1+Inputs!$D$7)^CP$2))),((Inputs!$D$8^((1-_xlfn.WEIBULL.DIST(CP$2,$M75,$L75,FALSE))/_xlfn.WEIBULL.DIST(CP$2,$M75,$L75,FALSE))*($T75*(1-$F75)+$S75*(1-$G75))*((1+Inputs!$D$7)^CP$2))))))))</f>
        <v>0</v>
      </c>
      <c r="CQ75" s="88">
        <f>MAX(BA75,($E75*IF(CQ$2&gt;Inputs!$D$5,0,IF(CQ$2&gt;VLOOKUP($H75,Lists!$P$3:$Q$7,2),IF($N75=Lists!$K$3,IF($L75&lt;1,(($U75/$L75)*((1+Inputs!$D$7)^CQ$2)),((INT(CQ$2/$L75)-INT((CQ$2-1)/$L75))*$U75*((1+Inputs!$D$7)^CQ$2))),(Inputs!$D$8^((1-_xlfn.WEIBULL.DIST(CQ$2,$M75,$L75,FALSE))/_xlfn.WEIBULL.DIST(CQ$2,$M75,$L75,FALSE))*$U75*((1+Inputs!$D$7)^CQ$2))),IF($N75=Lists!$K$3,IF($L75&lt;1,((($T75*(1-$F75)+$S75*(1-$G75))/$L75)*((1+Inputs!$D$7)^CQ$2)),((INT(CQ$2/$L75)-INT((CQ$2-1)/$L75))*($T75*(1-$F75)+$S75*(1-$G75))*((1+Inputs!$D$7)^CQ$2))),((Inputs!$D$8^((1-_xlfn.WEIBULL.DIST(CQ$2,$M75,$L75,FALSE))/_xlfn.WEIBULL.DIST(CQ$2,$M75,$L75,FALSE))*($T75*(1-$F75)+$S75*(1-$G75))*((1+Inputs!$D$7)^CQ$2))))))))</f>
        <v>0</v>
      </c>
      <c r="CR75" s="88">
        <f>MAX(BB75,($E75*IF(CR$2&gt;Inputs!$D$5,0,IF(CR$2&gt;VLOOKUP($H75,Lists!$P$3:$Q$7,2),IF($N75=Lists!$K$3,IF($L75&lt;1,(($U75/$L75)*((1+Inputs!$D$7)^CR$2)),((INT(CR$2/$L75)-INT((CR$2-1)/$L75))*$U75*((1+Inputs!$D$7)^CR$2))),(Inputs!$D$8^((1-_xlfn.WEIBULL.DIST(CR$2,$M75,$L75,FALSE))/_xlfn.WEIBULL.DIST(CR$2,$M75,$L75,FALSE))*$U75*((1+Inputs!$D$7)^CR$2))),IF($N75=Lists!$K$3,IF($L75&lt;1,((($T75*(1-$F75)+$S75*(1-$G75))/$L75)*((1+Inputs!$D$7)^CR$2)),((INT(CR$2/$L75)-INT((CR$2-1)/$L75))*($T75*(1-$F75)+$S75*(1-$G75))*((1+Inputs!$D$7)^CR$2))),((Inputs!$D$8^((1-_xlfn.WEIBULL.DIST(CR$2,$M75,$L75,FALSE))/_xlfn.WEIBULL.DIST(CR$2,$M75,$L75,FALSE))*($T75*(1-$F75)+$S75*(1-$G75))*((1+Inputs!$D$7)^CR$2))))))))</f>
        <v>0</v>
      </c>
      <c r="CS75" s="88">
        <f>MAX(BC75,($E75*IF(CS$2&gt;Inputs!$D$5,0,IF(CS$2&gt;VLOOKUP($H75,Lists!$P$3:$Q$7,2),IF($N75=Lists!$K$3,IF($L75&lt;1,(($U75/$L75)*((1+Inputs!$D$7)^CS$2)),((INT(CS$2/$L75)-INT((CS$2-1)/$L75))*$U75*((1+Inputs!$D$7)^CS$2))),(Inputs!$D$8^((1-_xlfn.WEIBULL.DIST(CS$2,$M75,$L75,FALSE))/_xlfn.WEIBULL.DIST(CS$2,$M75,$L75,FALSE))*$U75*((1+Inputs!$D$7)^CS$2))),IF($N75=Lists!$K$3,IF($L75&lt;1,((($T75*(1-$F75)+$S75*(1-$G75))/$L75)*((1+Inputs!$D$7)^CS$2)),((INT(CS$2/$L75)-INT((CS$2-1)/$L75))*($T75*(1-$F75)+$S75*(1-$G75))*((1+Inputs!$D$7)^CS$2))),((Inputs!$D$8^((1-_xlfn.WEIBULL.DIST(CS$2,$M75,$L75,FALSE))/_xlfn.WEIBULL.DIST(CS$2,$M75,$L75,FALSE))*($T75*(1-$F75)+$S75*(1-$G75))*((1+Inputs!$D$7)^CS$2))))))))</f>
        <v>0</v>
      </c>
      <c r="CT75" s="88">
        <f>MAX(BD75,($E75*IF(CT$2&gt;Inputs!$D$5,0,IF(CT$2&gt;VLOOKUP($H75,Lists!$P$3:$Q$7,2),IF($N75=Lists!$K$3,IF($L75&lt;1,(($U75/$L75)*((1+Inputs!$D$7)^CT$2)),((INT(CT$2/$L75)-INT((CT$2-1)/$L75))*$U75*((1+Inputs!$D$7)^CT$2))),(Inputs!$D$8^((1-_xlfn.WEIBULL.DIST(CT$2,$M75,$L75,FALSE))/_xlfn.WEIBULL.DIST(CT$2,$M75,$L75,FALSE))*$U75*((1+Inputs!$D$7)^CT$2))),IF($N75=Lists!$K$3,IF($L75&lt;1,((($T75*(1-$F75)+$S75*(1-$G75))/$L75)*((1+Inputs!$D$7)^CT$2)),((INT(CT$2/$L75)-INT((CT$2-1)/$L75))*($T75*(1-$F75)+$S75*(1-$G75))*((1+Inputs!$D$7)^CT$2))),((Inputs!$D$8^((1-_xlfn.WEIBULL.DIST(CT$2,$M75,$L75,FALSE))/_xlfn.WEIBULL.DIST(CT$2,$M75,$L75,FALSE))*($T75*(1-$F75)+$S75*(1-$G75))*((1+Inputs!$D$7)^CT$2))))))))</f>
        <v>0</v>
      </c>
      <c r="CU75" s="88">
        <f>MAX(BE75,($E75*IF(CU$2&gt;Inputs!$D$5,0,IF(CU$2&gt;VLOOKUP($H75,Lists!$P$3:$Q$7,2),IF($N75=Lists!$K$3,IF($L75&lt;1,(($U75/$L75)*((1+Inputs!$D$7)^CU$2)),((INT(CU$2/$L75)-INT((CU$2-1)/$L75))*$U75*((1+Inputs!$D$7)^CU$2))),(Inputs!$D$8^((1-_xlfn.WEIBULL.DIST(CU$2,$M75,$L75,FALSE))/_xlfn.WEIBULL.DIST(CU$2,$M75,$L75,FALSE))*$U75*((1+Inputs!$D$7)^CU$2))),IF($N75=Lists!$K$3,IF($L75&lt;1,((($T75*(1-$F75)+$S75*(1-$G75))/$L75)*((1+Inputs!$D$7)^CU$2)),((INT(CU$2/$L75)-INT((CU$2-1)/$L75))*($T75*(1-$F75)+$S75*(1-$G75))*((1+Inputs!$D$7)^CU$2))),((Inputs!$D$8^((1-_xlfn.WEIBULL.DIST(CU$2,$M75,$L75,FALSE))/_xlfn.WEIBULL.DIST(CU$2,$M75,$L75,FALSE))*($T75*(1-$F75)+$S75*(1-$G75))*((1+Inputs!$D$7)^CU$2))))))))</f>
        <v>0</v>
      </c>
      <c r="CV75" s="88">
        <f>MAX(BF75,($E75*IF(CV$2&gt;Inputs!$D$5,0,IF(CV$2&gt;VLOOKUP($H75,Lists!$P$3:$Q$7,2),IF($N75=Lists!$K$3,IF($L75&lt;1,(($U75/$L75)*((1+Inputs!$D$7)^CV$2)),((INT(CV$2/$L75)-INT((CV$2-1)/$L75))*$U75*((1+Inputs!$D$7)^CV$2))),(Inputs!$D$8^((1-_xlfn.WEIBULL.DIST(CV$2,$M75,$L75,FALSE))/_xlfn.WEIBULL.DIST(CV$2,$M75,$L75,FALSE))*$U75*((1+Inputs!$D$7)^CV$2))),IF($N75=Lists!$K$3,IF($L75&lt;1,((($T75*(1-$F75)+$S75*(1-$G75))/$L75)*((1+Inputs!$D$7)^CV$2)),((INT(CV$2/$L75)-INT((CV$2-1)/$L75))*($T75*(1-$F75)+$S75*(1-$G75))*((1+Inputs!$D$7)^CV$2))),((Inputs!$D$8^((1-_xlfn.WEIBULL.DIST(CV$2,$M75,$L75,FALSE))/_xlfn.WEIBULL.DIST(CV$2,$M75,$L75,FALSE))*($T75*(1-$F75)+$S75*(1-$G75))*((1+Inputs!$D$7)^CV$2))))))))</f>
        <v>0</v>
      </c>
      <c r="CW75" s="88">
        <f>MAX(BG75,($E75*IF(CW$2&gt;Inputs!$D$5,0,IF(CW$2&gt;VLOOKUP($H75,Lists!$P$3:$Q$7,2),IF($N75=Lists!$K$3,IF($L75&lt;1,(($U75/$L75)*((1+Inputs!$D$7)^CW$2)),((INT(CW$2/$L75)-INT((CW$2-1)/$L75))*$U75*((1+Inputs!$D$7)^CW$2))),(Inputs!$D$8^((1-_xlfn.WEIBULL.DIST(CW$2,$M75,$L75,FALSE))/_xlfn.WEIBULL.DIST(CW$2,$M75,$L75,FALSE))*$U75*((1+Inputs!$D$7)^CW$2))),IF($N75=Lists!$K$3,IF($L75&lt;1,((($T75*(1-$F75)+$S75*(1-$G75))/$L75)*((1+Inputs!$D$7)^CW$2)),((INT(CW$2/$L75)-INT((CW$2-1)/$L75))*($T75*(1-$F75)+$S75*(1-$G75))*((1+Inputs!$D$7)^CW$2))),((Inputs!$D$8^((1-_xlfn.WEIBULL.DIST(CW$2,$M75,$L75,FALSE))/_xlfn.WEIBULL.DIST(CW$2,$M75,$L75,FALSE))*($T75*(1-$F75)+$S75*(1-$G75))*((1+Inputs!$D$7)^CW$2))))))))</f>
        <v>0</v>
      </c>
      <c r="CX75" s="88">
        <f>MAX(BH75,($E75*IF(CX$2&gt;Inputs!$D$5,0,IF(CX$2&gt;VLOOKUP($H75,Lists!$P$3:$Q$7,2),IF($N75=Lists!$K$3,IF($L75&lt;1,(($U75/$L75)*((1+Inputs!$D$7)^CX$2)),((INT(CX$2/$L75)-INT((CX$2-1)/$L75))*$U75*((1+Inputs!$D$7)^CX$2))),(Inputs!$D$8^((1-_xlfn.WEIBULL.DIST(CX$2,$M75,$L75,FALSE))/_xlfn.WEIBULL.DIST(CX$2,$M75,$L75,FALSE))*$U75*((1+Inputs!$D$7)^CX$2))),IF($N75=Lists!$K$3,IF($L75&lt;1,((($T75*(1-$F75)+$S75*(1-$G75))/$L75)*((1+Inputs!$D$7)^CX$2)),((INT(CX$2/$L75)-INT((CX$2-1)/$L75))*($T75*(1-$F75)+$S75*(1-$G75))*((1+Inputs!$D$7)^CX$2))),((Inputs!$D$8^((1-_xlfn.WEIBULL.DIST(CX$2,$M75,$L75,FALSE))/_xlfn.WEIBULL.DIST(CX$2,$M75,$L75,FALSE))*($T75*(1-$F75)+$S75*(1-$G75))*((1+Inputs!$D$7)^CX$2))))))))</f>
        <v>0</v>
      </c>
      <c r="CY75" s="88">
        <f>MAX(BI75,($E75*IF(CY$2&gt;Inputs!$D$5,0,IF(CY$2&gt;VLOOKUP($H75,Lists!$P$3:$Q$7,2),IF($N75=Lists!$K$3,IF($L75&lt;1,(($U75/$L75)*((1+Inputs!$D$7)^CY$2)),((INT(CY$2/$L75)-INT((CY$2-1)/$L75))*$U75*((1+Inputs!$D$7)^CY$2))),(Inputs!$D$8^((1-_xlfn.WEIBULL.DIST(CY$2,$M75,$L75,FALSE))/_xlfn.WEIBULL.DIST(CY$2,$M75,$L75,FALSE))*$U75*((1+Inputs!$D$7)^CY$2))),IF($N75=Lists!$K$3,IF($L75&lt;1,((($T75*(1-$F75)+$S75*(1-$G75))/$L75)*((1+Inputs!$D$7)^CY$2)),((INT(CY$2/$L75)-INT((CY$2-1)/$L75))*($T75*(1-$F75)+$S75*(1-$G75))*((1+Inputs!$D$7)^CY$2))),((Inputs!$D$8^((1-_xlfn.WEIBULL.DIST(CY$2,$M75,$L75,FALSE))/_xlfn.WEIBULL.DIST(CY$2,$M75,$L75,FALSE))*($T75*(1-$F75)+$S75*(1-$G75))*((1+Inputs!$D$7)^CY$2))))))))</f>
        <v>0</v>
      </c>
      <c r="CZ75" s="88">
        <f>MAX(BJ75,($E75*IF(CZ$2&gt;Inputs!$D$5,0,IF(CZ$2&gt;VLOOKUP($H75,Lists!$P$3:$Q$7,2),IF($N75=Lists!$K$3,IF($L75&lt;1,(($U75/$L75)*((1+Inputs!$D$7)^CZ$2)),((INT(CZ$2/$L75)-INT((CZ$2-1)/$L75))*$U75*((1+Inputs!$D$7)^CZ$2))),(Inputs!$D$8^((1-_xlfn.WEIBULL.DIST(CZ$2,$M75,$L75,FALSE))/_xlfn.WEIBULL.DIST(CZ$2,$M75,$L75,FALSE))*$U75*((1+Inputs!$D$7)^CZ$2))),IF($N75=Lists!$K$3,IF($L75&lt;1,((($T75*(1-$F75)+$S75*(1-$G75))/$L75)*((1+Inputs!$D$7)^CZ$2)),((INT(CZ$2/$L75)-INT((CZ$2-1)/$L75))*($T75*(1-$F75)+$S75*(1-$G75))*((1+Inputs!$D$7)^CZ$2))),((Inputs!$D$8^((1-_xlfn.WEIBULL.DIST(CZ$2,$M75,$L75,FALSE))/_xlfn.WEIBULL.DIST(CZ$2,$M75,$L75,FALSE))*($T75*(1-$F75)+$S75*(1-$G75))*((1+Inputs!$D$7)^CZ$2))))))))</f>
        <v>0</v>
      </c>
      <c r="DA75" s="88">
        <f>MAX(BK75,($E75*IF(DA$2&gt;Inputs!$D$5,0,IF(DA$2&gt;VLOOKUP($H75,Lists!$P$3:$Q$7,2),IF($N75=Lists!$K$3,IF($L75&lt;1,(($U75/$L75)*((1+Inputs!$D$7)^DA$2)),((INT(DA$2/$L75)-INT((DA$2-1)/$L75))*$U75*((1+Inputs!$D$7)^DA$2))),(Inputs!$D$8^((1-_xlfn.WEIBULL.DIST(DA$2,$M75,$L75,FALSE))/_xlfn.WEIBULL.DIST(DA$2,$M75,$L75,FALSE))*$U75*((1+Inputs!$D$7)^DA$2))),IF($N75=Lists!$K$3,IF($L75&lt;1,((($T75*(1-$F75)+$S75*(1-$G75))/$L75)*((1+Inputs!$D$7)^DA$2)),((INT(DA$2/$L75)-INT((DA$2-1)/$L75))*($T75*(1-$F75)+$S75*(1-$G75))*((1+Inputs!$D$7)^DA$2))),((Inputs!$D$8^((1-_xlfn.WEIBULL.DIST(DA$2,$M75,$L75,FALSE))/_xlfn.WEIBULL.DIST(DA$2,$M75,$L75,FALSE))*($T75*(1-$F75)+$S75*(1-$G75))*((1+Inputs!$D$7)^DA$2))))))))</f>
        <v>0</v>
      </c>
      <c r="DB75" s="88">
        <f>MAX(BL75,($E75*IF(DB$2&gt;Inputs!$D$5,0,IF(DB$2&gt;VLOOKUP($H75,Lists!$P$3:$Q$7,2),IF($N75=Lists!$K$3,IF($L75&lt;1,(($U75/$L75)*((1+Inputs!$D$7)^DB$2)),((INT(DB$2/$L75)-INT((DB$2-1)/$L75))*$U75*((1+Inputs!$D$7)^DB$2))),(Inputs!$D$8^((1-_xlfn.WEIBULL.DIST(DB$2,$M75,$L75,FALSE))/_xlfn.WEIBULL.DIST(DB$2,$M75,$L75,FALSE))*$U75*((1+Inputs!$D$7)^DB$2))),IF($N75=Lists!$K$3,IF($L75&lt;1,((($T75*(1-$F75)+$S75*(1-$G75))/$L75)*((1+Inputs!$D$7)^DB$2)),((INT(DB$2/$L75)-INT((DB$2-1)/$L75))*($T75*(1-$F75)+$S75*(1-$G75))*((1+Inputs!$D$7)^DB$2))),((Inputs!$D$8^((1-_xlfn.WEIBULL.DIST(DB$2,$M75,$L75,FALSE))/_xlfn.WEIBULL.DIST(DB$2,$M75,$L75,FALSE))*($T75*(1-$F75)+$S75*(1-$G75))*((1+Inputs!$D$7)^DB$2))))))))</f>
        <v>0</v>
      </c>
      <c r="DC75" s="88">
        <f>MAX(BM75,($E75*IF(DC$2&gt;Inputs!$D$5,0,IF(DC$2&gt;VLOOKUP($H75,Lists!$P$3:$Q$7,2),IF($N75=Lists!$K$3,IF($L75&lt;1,(($U75/$L75)*((1+Inputs!$D$7)^DC$2)),((INT(DC$2/$L75)-INT((DC$2-1)/$L75))*$U75*((1+Inputs!$D$7)^DC$2))),(Inputs!$D$8^((1-_xlfn.WEIBULL.DIST(DC$2,$M75,$L75,FALSE))/_xlfn.WEIBULL.DIST(DC$2,$M75,$L75,FALSE))*$U75*((1+Inputs!$D$7)^DC$2))),IF($N75=Lists!$K$3,IF($L75&lt;1,((($T75*(1-$F75)+$S75*(1-$G75))/$L75)*((1+Inputs!$D$7)^DC$2)),((INT(DC$2/$L75)-INT((DC$2-1)/$L75))*($T75*(1-$F75)+$S75*(1-$G75))*((1+Inputs!$D$7)^DC$2))),((Inputs!$D$8^((1-_xlfn.WEIBULL.DIST(DC$2,$M75,$L75,FALSE))/_xlfn.WEIBULL.DIST(DC$2,$M75,$L75,FALSE))*($T75*(1-$F75)+$S75*(1-$G75))*((1+Inputs!$D$7)^DC$2))))))))</f>
        <v>0</v>
      </c>
      <c r="DD75" s="88">
        <f>MAX(BN75,($E75*IF(DD$2&gt;Inputs!$D$5,0,IF(DD$2&gt;VLOOKUP($H75,Lists!$P$3:$Q$7,2),IF($N75=Lists!$K$3,IF($L75&lt;1,(($U75/$L75)*((1+Inputs!$D$7)^DD$2)),((INT(DD$2/$L75)-INT((DD$2-1)/$L75))*$U75*((1+Inputs!$D$7)^DD$2))),(Inputs!$D$8^((1-_xlfn.WEIBULL.DIST(DD$2,$M75,$L75,FALSE))/_xlfn.WEIBULL.DIST(DD$2,$M75,$L75,FALSE))*$U75*((1+Inputs!$D$7)^DD$2))),IF($N75=Lists!$K$3,IF($L75&lt;1,((($T75*(1-$F75)+$S75*(1-$G75))/$L75)*((1+Inputs!$D$7)^DD$2)),((INT(DD$2/$L75)-INT((DD$2-1)/$L75))*($T75*(1-$F75)+$S75*(1-$G75))*((1+Inputs!$D$7)^DD$2))),((Inputs!$D$8^((1-_xlfn.WEIBULL.DIST(DD$2,$M75,$L75,FALSE))/_xlfn.WEIBULL.DIST(DD$2,$M75,$L75,FALSE))*($T75*(1-$F75)+$S75*(1-$G75))*((1+Inputs!$D$7)^DD$2))))))))</f>
        <v>0</v>
      </c>
    </row>
    <row r="76" spans="1:108" s="1" customFormat="1" ht="16">
      <c r="A76" s="57" t="s">
        <v>233</v>
      </c>
      <c r="B76" s="13" t="s">
        <v>279</v>
      </c>
      <c r="C76" s="13" t="s">
        <v>341</v>
      </c>
      <c r="D76" s="13" t="s">
        <v>30</v>
      </c>
      <c r="E76" s="106">
        <f>Inputs!$D$64</f>
        <v>0</v>
      </c>
      <c r="F76" s="90">
        <v>0</v>
      </c>
      <c r="G76" s="90">
        <v>0</v>
      </c>
      <c r="H76" s="105" t="s">
        <v>350</v>
      </c>
      <c r="I76" s="14" t="s">
        <v>266</v>
      </c>
      <c r="J76" s="14" t="s">
        <v>216</v>
      </c>
      <c r="K76" s="13">
        <f>VLOOKUP(J76,'Labor Rates'!$A$1:$F$16,2)</f>
        <v>14.735480769230767</v>
      </c>
      <c r="L76" s="15">
        <v>0.5</v>
      </c>
      <c r="M76" s="15">
        <v>1</v>
      </c>
      <c r="N76" s="13" t="s">
        <v>236</v>
      </c>
      <c r="O76" s="61">
        <v>1</v>
      </c>
      <c r="P76" s="15">
        <v>4</v>
      </c>
      <c r="Q76" s="15">
        <f t="shared" si="14"/>
        <v>8</v>
      </c>
      <c r="R76" s="4">
        <v>120</v>
      </c>
      <c r="S76" s="53">
        <f t="shared" si="15"/>
        <v>58.941923076923068</v>
      </c>
      <c r="T76" s="53">
        <f t="shared" si="16"/>
        <v>120</v>
      </c>
      <c r="U76" s="54">
        <f t="shared" si="17"/>
        <v>0</v>
      </c>
      <c r="V76" s="65"/>
      <c r="W76" s="58"/>
      <c r="X76" s="64">
        <f t="shared" si="18"/>
        <v>0</v>
      </c>
      <c r="Y76" s="64">
        <f>NPV(Inputs!$D$6,AA76:BN76)</f>
        <v>0</v>
      </c>
      <c r="Z76" s="67">
        <f t="shared" si="19"/>
        <v>0</v>
      </c>
      <c r="AA76" s="88">
        <f>$E76*IF(AA$2&gt;Inputs!$D$5,0,IF(AA$2&gt;VLOOKUP($H76,Lists!$P$3:$Q$7,2),IF($N76=Lists!$K$3,IF($L76&lt;1,(($U76/$L76)*((1+Inputs!$D$7)^AA$2)),((INT(AA$2/$L76)-INT((AA$2-1)/$L76))*$U76*((1+Inputs!$D$7)^AA$2))),(_xlfn.WEIBULL.DIST(AA$2,$M76,$L76,FALSE)*$U76*((1+Inputs!$D$7)^AA$2))),IF($N76=Lists!$K$3,IF($L76&lt;1,((($T76*(1-$F76)+$S76*(1-$G76))/$L76)*((1+Inputs!$D$7)^AA$2)),((INT(AA$2/$L76)-INT((AA$2-1)/$L76))*($T76*(1-$F76)+$S76*(1-$G76))*((1+Inputs!$D$7)^AA$2))),((_xlfn.WEIBULL.DIST(AA$2,$M76,$L76,FALSE)*($T76*(1-$F76)+$S76*(1-$G76))*((1+Inputs!$D$7)^AA$2))))))</f>
        <v>0</v>
      </c>
      <c r="AB76" s="88">
        <f>$E76*IF(AB$2&gt;Inputs!$D$5,0,IF(AB$2&gt;VLOOKUP($H76,Lists!$P$3:$Q$7,2),IF($N76=Lists!$K$3,IF($L76&lt;1,(($U76/$L76)*((1+Inputs!$D$7)^AB$2)),((INT(AB$2/$L76)-INT((AB$2-1)/$L76))*$U76*((1+Inputs!$D$7)^AB$2))),(_xlfn.WEIBULL.DIST(AB$2,$M76,$L76,FALSE)*$U76*((1+Inputs!$D$7)^AB$2))),IF($N76=Lists!$K$3,IF($L76&lt;1,((($T76*(1-$F76)+$S76*(1-$G76))/$L76)*((1+Inputs!$D$7)^AB$2)),((INT(AB$2/$L76)-INT((AB$2-1)/$L76))*($T76*(1-$F76)+$S76*(1-$G76))*((1+Inputs!$D$7)^AB$2))),((_xlfn.WEIBULL.DIST(AB$2,$M76,$L76,FALSE)*($T76*(1-$F76)+$S76*(1-$G76))*((1+Inputs!$D$7)^AB$2))))))</f>
        <v>0</v>
      </c>
      <c r="AC76" s="88">
        <f>$E76*IF(AC$2&gt;Inputs!$D$5,0,IF(AC$2&gt;VLOOKUP($H76,Lists!$P$3:$Q$7,2),IF($N76=Lists!$K$3,IF($L76&lt;1,(($U76/$L76)*((1+Inputs!$D$7)^AC$2)),((INT(AC$2/$L76)-INT((AC$2-1)/$L76))*$U76*((1+Inputs!$D$7)^AC$2))),(_xlfn.WEIBULL.DIST(AC$2,$M76,$L76,FALSE)*$U76*((1+Inputs!$D$7)^AC$2))),IF($N76=Lists!$K$3,IF($L76&lt;1,((($T76*(1-$F76)+$S76*(1-$G76))/$L76)*((1+Inputs!$D$7)^AC$2)),((INT(AC$2/$L76)-INT((AC$2-1)/$L76))*($T76*(1-$F76)+$S76*(1-$G76))*((1+Inputs!$D$7)^AC$2))),((_xlfn.WEIBULL.DIST(AC$2,$M76,$L76,FALSE)*($T76*(1-$F76)+$S76*(1-$G76))*((1+Inputs!$D$7)^AC$2))))))</f>
        <v>0</v>
      </c>
      <c r="AD76" s="88">
        <f>$E76*IF(AD$2&gt;Inputs!$D$5,0,IF(AD$2&gt;VLOOKUP($H76,Lists!$P$3:$Q$7,2),IF($N76=Lists!$K$3,IF($L76&lt;1,(($U76/$L76)*((1+Inputs!$D$7)^AD$2)),((INT(AD$2/$L76)-INT((AD$2-1)/$L76))*$U76*((1+Inputs!$D$7)^AD$2))),(_xlfn.WEIBULL.DIST(AD$2,$M76,$L76,FALSE)*$U76*((1+Inputs!$D$7)^AD$2))),IF($N76=Lists!$K$3,IF($L76&lt;1,((($T76*(1-$F76)+$S76*(1-$G76))/$L76)*((1+Inputs!$D$7)^AD$2)),((INT(AD$2/$L76)-INT((AD$2-1)/$L76))*($T76*(1-$F76)+$S76*(1-$G76))*((1+Inputs!$D$7)^AD$2))),((_xlfn.WEIBULL.DIST(AD$2,$M76,$L76,FALSE)*($T76*(1-$F76)+$S76*(1-$G76))*((1+Inputs!$D$7)^AD$2))))))</f>
        <v>0</v>
      </c>
      <c r="AE76" s="88">
        <f>$E76*IF(AE$2&gt;Inputs!$D$5,0,IF(AE$2&gt;VLOOKUP($H76,Lists!$P$3:$Q$7,2),IF($N76=Lists!$K$3,IF($L76&lt;1,(($U76/$L76)*((1+Inputs!$D$7)^AE$2)),((INT(AE$2/$L76)-INT((AE$2-1)/$L76))*$U76*((1+Inputs!$D$7)^AE$2))),(_xlfn.WEIBULL.DIST(AE$2,$M76,$L76,FALSE)*$U76*((1+Inputs!$D$7)^AE$2))),IF($N76=Lists!$K$3,IF($L76&lt;1,((($T76*(1-$F76)+$S76*(1-$G76))/$L76)*((1+Inputs!$D$7)^AE$2)),((INT(AE$2/$L76)-INT((AE$2-1)/$L76))*($T76*(1-$F76)+$S76*(1-$G76))*((1+Inputs!$D$7)^AE$2))),((_xlfn.WEIBULL.DIST(AE$2,$M76,$L76,FALSE)*($T76*(1-$F76)+$S76*(1-$G76))*((1+Inputs!$D$7)^AE$2))))))</f>
        <v>0</v>
      </c>
      <c r="AF76" s="88">
        <f>$E76*IF(AF$2&gt;Inputs!$D$5,0,IF(AF$2&gt;VLOOKUP($H76,Lists!$P$3:$Q$7,2),IF($N76=Lists!$K$3,IF($L76&lt;1,(($U76/$L76)*((1+Inputs!$D$7)^AF$2)),((INT(AF$2/$L76)-INT((AF$2-1)/$L76))*$U76*((1+Inputs!$D$7)^AF$2))),(_xlfn.WEIBULL.DIST(AF$2,$M76,$L76,FALSE)*$U76*((1+Inputs!$D$7)^AF$2))),IF($N76=Lists!$K$3,IF($L76&lt;1,((($T76*(1-$F76)+$S76*(1-$G76))/$L76)*((1+Inputs!$D$7)^AF$2)),((INT(AF$2/$L76)-INT((AF$2-1)/$L76))*($T76*(1-$F76)+$S76*(1-$G76))*((1+Inputs!$D$7)^AF$2))),((_xlfn.WEIBULL.DIST(AF$2,$M76,$L76,FALSE)*($T76*(1-$F76)+$S76*(1-$G76))*((1+Inputs!$D$7)^AF$2))))))</f>
        <v>0</v>
      </c>
      <c r="AG76" s="88">
        <f>$E76*IF(AG$2&gt;Inputs!$D$5,0,IF(AG$2&gt;VLOOKUP($H76,Lists!$P$3:$Q$7,2),IF($N76=Lists!$K$3,IF($L76&lt;1,(($U76/$L76)*((1+Inputs!$D$7)^AG$2)),((INT(AG$2/$L76)-INT((AG$2-1)/$L76))*$U76*((1+Inputs!$D$7)^AG$2))),(_xlfn.WEIBULL.DIST(AG$2,$M76,$L76,FALSE)*$U76*((1+Inputs!$D$7)^AG$2))),IF($N76=Lists!$K$3,IF($L76&lt;1,((($T76*(1-$F76)+$S76*(1-$G76))/$L76)*((1+Inputs!$D$7)^AG$2)),((INT(AG$2/$L76)-INT((AG$2-1)/$L76))*($T76*(1-$F76)+$S76*(1-$G76))*((1+Inputs!$D$7)^AG$2))),((_xlfn.WEIBULL.DIST(AG$2,$M76,$L76,FALSE)*($T76*(1-$F76)+$S76*(1-$G76))*((1+Inputs!$D$7)^AG$2))))))</f>
        <v>0</v>
      </c>
      <c r="AH76" s="88">
        <f>$E76*IF(AH$2&gt;Inputs!$D$5,0,IF(AH$2&gt;VLOOKUP($H76,Lists!$P$3:$Q$7,2),IF($N76=Lists!$K$3,IF($L76&lt;1,(($U76/$L76)*((1+Inputs!$D$7)^AH$2)),((INT(AH$2/$L76)-INT((AH$2-1)/$L76))*$U76*((1+Inputs!$D$7)^AH$2))),(_xlfn.WEIBULL.DIST(AH$2,$M76,$L76,FALSE)*$U76*((1+Inputs!$D$7)^AH$2))),IF($N76=Lists!$K$3,IF($L76&lt;1,((($T76*(1-$F76)+$S76*(1-$G76))/$L76)*((1+Inputs!$D$7)^AH$2)),((INT(AH$2/$L76)-INT((AH$2-1)/$L76))*($T76*(1-$F76)+$S76*(1-$G76))*((1+Inputs!$D$7)^AH$2))),((_xlfn.WEIBULL.DIST(AH$2,$M76,$L76,FALSE)*($T76*(1-$F76)+$S76*(1-$G76))*((1+Inputs!$D$7)^AH$2))))))</f>
        <v>0</v>
      </c>
      <c r="AI76" s="88">
        <f>$E76*IF(AI$2&gt;Inputs!$D$5,0,IF(AI$2&gt;VLOOKUP($H76,Lists!$P$3:$Q$7,2),IF($N76=Lists!$K$3,IF($L76&lt;1,(($U76/$L76)*((1+Inputs!$D$7)^AI$2)),((INT(AI$2/$L76)-INT((AI$2-1)/$L76))*$U76*((1+Inputs!$D$7)^AI$2))),(_xlfn.WEIBULL.DIST(AI$2,$M76,$L76,FALSE)*$U76*((1+Inputs!$D$7)^AI$2))),IF($N76=Lists!$K$3,IF($L76&lt;1,((($T76*(1-$F76)+$S76*(1-$G76))/$L76)*((1+Inputs!$D$7)^AI$2)),((INT(AI$2/$L76)-INT((AI$2-1)/$L76))*($T76*(1-$F76)+$S76*(1-$G76))*((1+Inputs!$D$7)^AI$2))),((_xlfn.WEIBULL.DIST(AI$2,$M76,$L76,FALSE)*($T76*(1-$F76)+$S76*(1-$G76))*((1+Inputs!$D$7)^AI$2))))))</f>
        <v>0</v>
      </c>
      <c r="AJ76" s="88">
        <f>$E76*IF(AJ$2&gt;Inputs!$D$5,0,IF(AJ$2&gt;VLOOKUP($H76,Lists!$P$3:$Q$7,2),IF($N76=Lists!$K$3,IF($L76&lt;1,(($U76/$L76)*((1+Inputs!$D$7)^AJ$2)),((INT(AJ$2/$L76)-INT((AJ$2-1)/$L76))*$U76*((1+Inputs!$D$7)^AJ$2))),(_xlfn.WEIBULL.DIST(AJ$2,$M76,$L76,FALSE)*$U76*((1+Inputs!$D$7)^AJ$2))),IF($N76=Lists!$K$3,IF($L76&lt;1,((($T76*(1-$F76)+$S76*(1-$G76))/$L76)*((1+Inputs!$D$7)^AJ$2)),((INT(AJ$2/$L76)-INT((AJ$2-1)/$L76))*($T76*(1-$F76)+$S76*(1-$G76))*((1+Inputs!$D$7)^AJ$2))),((_xlfn.WEIBULL.DIST(AJ$2,$M76,$L76,FALSE)*($T76*(1-$F76)+$S76*(1-$G76))*((1+Inputs!$D$7)^AJ$2))))))</f>
        <v>0</v>
      </c>
      <c r="AK76" s="88">
        <f>$E76*IF(AK$2&gt;Inputs!$D$5,0,IF(AK$2&gt;VLOOKUP($H76,Lists!$P$3:$Q$7,2),IF($N76=Lists!$K$3,IF($L76&lt;1,(($U76/$L76)*((1+Inputs!$D$7)^AK$2)),((INT(AK$2/$L76)-INT((AK$2-1)/$L76))*$U76*((1+Inputs!$D$7)^AK$2))),(_xlfn.WEIBULL.DIST(AK$2,$M76,$L76,FALSE)*$U76*((1+Inputs!$D$7)^AK$2))),IF($N76=Lists!$K$3,IF($L76&lt;1,((($T76*(1-$F76)+$S76*(1-$G76))/$L76)*((1+Inputs!$D$7)^AK$2)),((INT(AK$2/$L76)-INT((AK$2-1)/$L76))*($T76*(1-$F76)+$S76*(1-$G76))*((1+Inputs!$D$7)^AK$2))),((_xlfn.WEIBULL.DIST(AK$2,$M76,$L76,FALSE)*($T76*(1-$F76)+$S76*(1-$G76))*((1+Inputs!$D$7)^AK$2))))))</f>
        <v>0</v>
      </c>
      <c r="AL76" s="88">
        <f>$E76*IF(AL$2&gt;Inputs!$D$5,0,IF(AL$2&gt;VLOOKUP($H76,Lists!$P$3:$Q$7,2),IF($N76=Lists!$K$3,IF($L76&lt;1,(($U76/$L76)*((1+Inputs!$D$7)^AL$2)),((INT(AL$2/$L76)-INT((AL$2-1)/$L76))*$U76*((1+Inputs!$D$7)^AL$2))),(_xlfn.WEIBULL.DIST(AL$2,$M76,$L76,FALSE)*$U76*((1+Inputs!$D$7)^AL$2))),IF($N76=Lists!$K$3,IF($L76&lt;1,((($T76*(1-$F76)+$S76*(1-$G76))/$L76)*((1+Inputs!$D$7)^AL$2)),((INT(AL$2/$L76)-INT((AL$2-1)/$L76))*($T76*(1-$F76)+$S76*(1-$G76))*((1+Inputs!$D$7)^AL$2))),((_xlfn.WEIBULL.DIST(AL$2,$M76,$L76,FALSE)*($T76*(1-$F76)+$S76*(1-$G76))*((1+Inputs!$D$7)^AL$2))))))</f>
        <v>0</v>
      </c>
      <c r="AM76" s="88">
        <f>$E76*IF(AM$2&gt;Inputs!$D$5,0,IF(AM$2&gt;VLOOKUP($H76,Lists!$P$3:$Q$7,2),IF($N76=Lists!$K$3,IF($L76&lt;1,(($U76/$L76)*((1+Inputs!$D$7)^AM$2)),((INT(AM$2/$L76)-INT((AM$2-1)/$L76))*$U76*((1+Inputs!$D$7)^AM$2))),(_xlfn.WEIBULL.DIST(AM$2,$M76,$L76,FALSE)*$U76*((1+Inputs!$D$7)^AM$2))),IF($N76=Lists!$K$3,IF($L76&lt;1,((($T76*(1-$F76)+$S76*(1-$G76))/$L76)*((1+Inputs!$D$7)^AM$2)),((INT(AM$2/$L76)-INT((AM$2-1)/$L76))*($T76*(1-$F76)+$S76*(1-$G76))*((1+Inputs!$D$7)^AM$2))),((_xlfn.WEIBULL.DIST(AM$2,$M76,$L76,FALSE)*($T76*(1-$F76)+$S76*(1-$G76))*((1+Inputs!$D$7)^AM$2))))))</f>
        <v>0</v>
      </c>
      <c r="AN76" s="88">
        <f>$E76*IF(AN$2&gt;Inputs!$D$5,0,IF(AN$2&gt;VLOOKUP($H76,Lists!$P$3:$Q$7,2),IF($N76=Lists!$K$3,IF($L76&lt;1,(($U76/$L76)*((1+Inputs!$D$7)^AN$2)),((INT(AN$2/$L76)-INT((AN$2-1)/$L76))*$U76*((1+Inputs!$D$7)^AN$2))),(_xlfn.WEIBULL.DIST(AN$2,$M76,$L76,FALSE)*$U76*((1+Inputs!$D$7)^AN$2))),IF($N76=Lists!$K$3,IF($L76&lt;1,((($T76*(1-$F76)+$S76*(1-$G76))/$L76)*((1+Inputs!$D$7)^AN$2)),((INT(AN$2/$L76)-INT((AN$2-1)/$L76))*($T76*(1-$F76)+$S76*(1-$G76))*((1+Inputs!$D$7)^AN$2))),((_xlfn.WEIBULL.DIST(AN$2,$M76,$L76,FALSE)*($T76*(1-$F76)+$S76*(1-$G76))*((1+Inputs!$D$7)^AN$2))))))</f>
        <v>0</v>
      </c>
      <c r="AO76" s="88">
        <f>$E76*IF(AO$2&gt;Inputs!$D$5,0,IF(AO$2&gt;VLOOKUP($H76,Lists!$P$3:$Q$7,2),IF($N76=Lists!$K$3,IF($L76&lt;1,(($U76/$L76)*((1+Inputs!$D$7)^AO$2)),((INT(AO$2/$L76)-INT((AO$2-1)/$L76))*$U76*((1+Inputs!$D$7)^AO$2))),(_xlfn.WEIBULL.DIST(AO$2,$M76,$L76,FALSE)*$U76*((1+Inputs!$D$7)^AO$2))),IF($N76=Lists!$K$3,IF($L76&lt;1,((($T76*(1-$F76)+$S76*(1-$G76))/$L76)*((1+Inputs!$D$7)^AO$2)),((INT(AO$2/$L76)-INT((AO$2-1)/$L76))*($T76*(1-$F76)+$S76*(1-$G76))*((1+Inputs!$D$7)^AO$2))),((_xlfn.WEIBULL.DIST(AO$2,$M76,$L76,FALSE)*($T76*(1-$F76)+$S76*(1-$G76))*((1+Inputs!$D$7)^AO$2))))))</f>
        <v>0</v>
      </c>
      <c r="AP76" s="88">
        <f>$E76*IF(AP$2&gt;Inputs!$D$5,0,IF(AP$2&gt;VLOOKUP($H76,Lists!$P$3:$Q$7,2),IF($N76=Lists!$K$3,IF($L76&lt;1,(($U76/$L76)*((1+Inputs!$D$7)^AP$2)),((INT(AP$2/$L76)-INT((AP$2-1)/$L76))*$U76*((1+Inputs!$D$7)^AP$2))),(_xlfn.WEIBULL.DIST(AP$2,$M76,$L76,FALSE)*$U76*((1+Inputs!$D$7)^AP$2))),IF($N76=Lists!$K$3,IF($L76&lt;1,((($T76*(1-$F76)+$S76*(1-$G76))/$L76)*((1+Inputs!$D$7)^AP$2)),((INT(AP$2/$L76)-INT((AP$2-1)/$L76))*($T76*(1-$F76)+$S76*(1-$G76))*((1+Inputs!$D$7)^AP$2))),((_xlfn.WEIBULL.DIST(AP$2,$M76,$L76,FALSE)*($T76*(1-$F76)+$S76*(1-$G76))*((1+Inputs!$D$7)^AP$2))))))</f>
        <v>0</v>
      </c>
      <c r="AQ76" s="88">
        <f>$E76*IF(AQ$2&gt;Inputs!$D$5,0,IF(AQ$2&gt;VLOOKUP($H76,Lists!$P$3:$Q$7,2),IF($N76=Lists!$K$3,IF($L76&lt;1,(($U76/$L76)*((1+Inputs!$D$7)^AQ$2)),((INT(AQ$2/$L76)-INT((AQ$2-1)/$L76))*$U76*((1+Inputs!$D$7)^AQ$2))),(_xlfn.WEIBULL.DIST(AQ$2,$M76,$L76,FALSE)*$U76*((1+Inputs!$D$7)^AQ$2))),IF($N76=Lists!$K$3,IF($L76&lt;1,((($T76*(1-$F76)+$S76*(1-$G76))/$L76)*((1+Inputs!$D$7)^AQ$2)),((INT(AQ$2/$L76)-INT((AQ$2-1)/$L76))*($T76*(1-$F76)+$S76*(1-$G76))*((1+Inputs!$D$7)^AQ$2))),((_xlfn.WEIBULL.DIST(AQ$2,$M76,$L76,FALSE)*($T76*(1-$F76)+$S76*(1-$G76))*((1+Inputs!$D$7)^AQ$2))))))</f>
        <v>0</v>
      </c>
      <c r="AR76" s="88">
        <f>$E76*IF(AR$2&gt;Inputs!$D$5,0,IF(AR$2&gt;VLOOKUP($H76,Lists!$P$3:$Q$7,2),IF($N76=Lists!$K$3,IF($L76&lt;1,(($U76/$L76)*((1+Inputs!$D$7)^AR$2)),((INT(AR$2/$L76)-INT((AR$2-1)/$L76))*$U76*((1+Inputs!$D$7)^AR$2))),(_xlfn.WEIBULL.DIST(AR$2,$M76,$L76,FALSE)*$U76*((1+Inputs!$D$7)^AR$2))),IF($N76=Lists!$K$3,IF($L76&lt;1,((($T76*(1-$F76)+$S76*(1-$G76))/$L76)*((1+Inputs!$D$7)^AR$2)),((INT(AR$2/$L76)-INT((AR$2-1)/$L76))*($T76*(1-$F76)+$S76*(1-$G76))*((1+Inputs!$D$7)^AR$2))),((_xlfn.WEIBULL.DIST(AR$2,$M76,$L76,FALSE)*($T76*(1-$F76)+$S76*(1-$G76))*((1+Inputs!$D$7)^AR$2))))))</f>
        <v>0</v>
      </c>
      <c r="AS76" s="88">
        <f>$E76*IF(AS$2&gt;Inputs!$D$5,0,IF(AS$2&gt;VLOOKUP($H76,Lists!$P$3:$Q$7,2),IF($N76=Lists!$K$3,IF($L76&lt;1,(($U76/$L76)*((1+Inputs!$D$7)^AS$2)),((INT(AS$2/$L76)-INT((AS$2-1)/$L76))*$U76*((1+Inputs!$D$7)^AS$2))),(_xlfn.WEIBULL.DIST(AS$2,$M76,$L76,FALSE)*$U76*((1+Inputs!$D$7)^AS$2))),IF($N76=Lists!$K$3,IF($L76&lt;1,((($T76*(1-$F76)+$S76*(1-$G76))/$L76)*((1+Inputs!$D$7)^AS$2)),((INT(AS$2/$L76)-INT((AS$2-1)/$L76))*($T76*(1-$F76)+$S76*(1-$G76))*((1+Inputs!$D$7)^AS$2))),((_xlfn.WEIBULL.DIST(AS$2,$M76,$L76,FALSE)*($T76*(1-$F76)+$S76*(1-$G76))*((1+Inputs!$D$7)^AS$2))))))</f>
        <v>0</v>
      </c>
      <c r="AT76" s="88">
        <f>$E76*IF(AT$2&gt;Inputs!$D$5,0,IF(AT$2&gt;VLOOKUP($H76,Lists!$P$3:$Q$7,2),IF($N76=Lists!$K$3,IF($L76&lt;1,(($U76/$L76)*((1+Inputs!$D$7)^AT$2)),((INT(AT$2/$L76)-INT((AT$2-1)/$L76))*$U76*((1+Inputs!$D$7)^AT$2))),(_xlfn.WEIBULL.DIST(AT$2,$M76,$L76,FALSE)*$U76*((1+Inputs!$D$7)^AT$2))),IF($N76=Lists!$K$3,IF($L76&lt;1,((($T76*(1-$F76)+$S76*(1-$G76))/$L76)*((1+Inputs!$D$7)^AT$2)),((INT(AT$2/$L76)-INT((AT$2-1)/$L76))*($T76*(1-$F76)+$S76*(1-$G76))*((1+Inputs!$D$7)^AT$2))),((_xlfn.WEIBULL.DIST(AT$2,$M76,$L76,FALSE)*($T76*(1-$F76)+$S76*(1-$G76))*((1+Inputs!$D$7)^AT$2))))))</f>
        <v>0</v>
      </c>
      <c r="AU76" s="88">
        <f>$E76*IF(AU$2&gt;Inputs!$D$5,0,IF(AU$2&gt;VLOOKUP($H76,Lists!$P$3:$Q$7,2),IF($N76=Lists!$K$3,IF($L76&lt;1,(($U76/$L76)*((1+Inputs!$D$7)^AU$2)),((INT(AU$2/$L76)-INT((AU$2-1)/$L76))*$U76*((1+Inputs!$D$7)^AU$2))),(_xlfn.WEIBULL.DIST(AU$2,$M76,$L76,FALSE)*$U76*((1+Inputs!$D$7)^AU$2))),IF($N76=Lists!$K$3,IF($L76&lt;1,((($T76*(1-$F76)+$S76*(1-$G76))/$L76)*((1+Inputs!$D$7)^AU$2)),((INT(AU$2/$L76)-INT((AU$2-1)/$L76))*($T76*(1-$F76)+$S76*(1-$G76))*((1+Inputs!$D$7)^AU$2))),((_xlfn.WEIBULL.DIST(AU$2,$M76,$L76,FALSE)*($T76*(1-$F76)+$S76*(1-$G76))*((1+Inputs!$D$7)^AU$2))))))</f>
        <v>0</v>
      </c>
      <c r="AV76" s="88">
        <f>$E76*IF(AV$2&gt;Inputs!$D$5,0,IF(AV$2&gt;VLOOKUP($H76,Lists!$P$3:$Q$7,2),IF($N76=Lists!$K$3,IF($L76&lt;1,(($U76/$L76)*((1+Inputs!$D$7)^AV$2)),((INT(AV$2/$L76)-INT((AV$2-1)/$L76))*$U76*((1+Inputs!$D$7)^AV$2))),(_xlfn.WEIBULL.DIST(AV$2,$M76,$L76,FALSE)*$U76*((1+Inputs!$D$7)^AV$2))),IF($N76=Lists!$K$3,IF($L76&lt;1,((($T76*(1-$F76)+$S76*(1-$G76))/$L76)*((1+Inputs!$D$7)^AV$2)),((INT(AV$2/$L76)-INT((AV$2-1)/$L76))*($T76*(1-$F76)+$S76*(1-$G76))*((1+Inputs!$D$7)^AV$2))),((_xlfn.WEIBULL.DIST(AV$2,$M76,$L76,FALSE)*($T76*(1-$F76)+$S76*(1-$G76))*((1+Inputs!$D$7)^AV$2))))))</f>
        <v>0</v>
      </c>
      <c r="AW76" s="88">
        <f>$E76*IF(AW$2&gt;Inputs!$D$5,0,IF(AW$2&gt;VLOOKUP($H76,Lists!$P$3:$Q$7,2),IF($N76=Lists!$K$3,IF($L76&lt;1,(($U76/$L76)*((1+Inputs!$D$7)^AW$2)),((INT(AW$2/$L76)-INT((AW$2-1)/$L76))*$U76*((1+Inputs!$D$7)^AW$2))),(_xlfn.WEIBULL.DIST(AW$2,$M76,$L76,FALSE)*$U76*((1+Inputs!$D$7)^AW$2))),IF($N76=Lists!$K$3,IF($L76&lt;1,((($T76*(1-$F76)+$S76*(1-$G76))/$L76)*((1+Inputs!$D$7)^AW$2)),((INT(AW$2/$L76)-INT((AW$2-1)/$L76))*($T76*(1-$F76)+$S76*(1-$G76))*((1+Inputs!$D$7)^AW$2))),((_xlfn.WEIBULL.DIST(AW$2,$M76,$L76,FALSE)*($T76*(1-$F76)+$S76*(1-$G76))*((1+Inputs!$D$7)^AW$2))))))</f>
        <v>0</v>
      </c>
      <c r="AX76" s="88">
        <f>$E76*IF(AX$2&gt;Inputs!$D$5,0,IF(AX$2&gt;VLOOKUP($H76,Lists!$P$3:$Q$7,2),IF($N76=Lists!$K$3,IF($L76&lt;1,(($U76/$L76)*((1+Inputs!$D$7)^AX$2)),((INT(AX$2/$L76)-INT((AX$2-1)/$L76))*$U76*((1+Inputs!$D$7)^AX$2))),(_xlfn.WEIBULL.DIST(AX$2,$M76,$L76,FALSE)*$U76*((1+Inputs!$D$7)^AX$2))),IF($N76=Lists!$K$3,IF($L76&lt;1,((($T76*(1-$F76)+$S76*(1-$G76))/$L76)*((1+Inputs!$D$7)^AX$2)),((INT(AX$2/$L76)-INT((AX$2-1)/$L76))*($T76*(1-$F76)+$S76*(1-$G76))*((1+Inputs!$D$7)^AX$2))),((_xlfn.WEIBULL.DIST(AX$2,$M76,$L76,FALSE)*($T76*(1-$F76)+$S76*(1-$G76))*((1+Inputs!$D$7)^AX$2))))))</f>
        <v>0</v>
      </c>
      <c r="AY76" s="88">
        <f>$E76*IF(AY$2&gt;Inputs!$D$5,0,IF(AY$2&gt;VLOOKUP($H76,Lists!$P$3:$Q$7,2),IF($N76=Lists!$K$3,IF($L76&lt;1,(($U76/$L76)*((1+Inputs!$D$7)^AY$2)),((INT(AY$2/$L76)-INT((AY$2-1)/$L76))*$U76*((1+Inputs!$D$7)^AY$2))),(_xlfn.WEIBULL.DIST(AY$2,$M76,$L76,FALSE)*$U76*((1+Inputs!$D$7)^AY$2))),IF($N76=Lists!$K$3,IF($L76&lt;1,((($T76*(1-$F76)+$S76*(1-$G76))/$L76)*((1+Inputs!$D$7)^AY$2)),((INT(AY$2/$L76)-INT((AY$2-1)/$L76))*($T76*(1-$F76)+$S76*(1-$G76))*((1+Inputs!$D$7)^AY$2))),((_xlfn.WEIBULL.DIST(AY$2,$M76,$L76,FALSE)*($T76*(1-$F76)+$S76*(1-$G76))*((1+Inputs!$D$7)^AY$2))))))</f>
        <v>0</v>
      </c>
      <c r="AZ76" s="88">
        <f>$E76*IF(AZ$2&gt;Inputs!$D$5,0,IF(AZ$2&gt;VLOOKUP($H76,Lists!$P$3:$Q$7,2),IF($N76=Lists!$K$3,IF($L76&lt;1,(($U76/$L76)*((1+Inputs!$D$7)^AZ$2)),((INT(AZ$2/$L76)-INT((AZ$2-1)/$L76))*$U76*((1+Inputs!$D$7)^AZ$2))),(_xlfn.WEIBULL.DIST(AZ$2,$M76,$L76,FALSE)*$U76*((1+Inputs!$D$7)^AZ$2))),IF($N76=Lists!$K$3,IF($L76&lt;1,((($T76*(1-$F76)+$S76*(1-$G76))/$L76)*((1+Inputs!$D$7)^AZ$2)),((INT(AZ$2/$L76)-INT((AZ$2-1)/$L76))*($T76*(1-$F76)+$S76*(1-$G76))*((1+Inputs!$D$7)^AZ$2))),((_xlfn.WEIBULL.DIST(AZ$2,$M76,$L76,FALSE)*($T76*(1-$F76)+$S76*(1-$G76))*((1+Inputs!$D$7)^AZ$2))))))</f>
        <v>0</v>
      </c>
      <c r="BA76" s="88">
        <f>$E76*IF(BA$2&gt;Inputs!$D$5,0,IF(BA$2&gt;VLOOKUP($H76,Lists!$P$3:$Q$7,2),IF($N76=Lists!$K$3,IF($L76&lt;1,(($U76/$L76)*((1+Inputs!$D$7)^BA$2)),((INT(BA$2/$L76)-INT((BA$2-1)/$L76))*$U76*((1+Inputs!$D$7)^BA$2))),(_xlfn.WEIBULL.DIST(BA$2,$M76,$L76,FALSE)*$U76*((1+Inputs!$D$7)^BA$2))),IF($N76=Lists!$K$3,IF($L76&lt;1,((($T76*(1-$F76)+$S76*(1-$G76))/$L76)*((1+Inputs!$D$7)^BA$2)),((INT(BA$2/$L76)-INT((BA$2-1)/$L76))*($T76*(1-$F76)+$S76*(1-$G76))*((1+Inputs!$D$7)^BA$2))),((_xlfn.WEIBULL.DIST(BA$2,$M76,$L76,FALSE)*($T76*(1-$F76)+$S76*(1-$G76))*((1+Inputs!$D$7)^BA$2))))))</f>
        <v>0</v>
      </c>
      <c r="BB76" s="88">
        <f>$E76*IF(BB$2&gt;Inputs!$D$5,0,IF(BB$2&gt;VLOOKUP($H76,Lists!$P$3:$Q$7,2),IF($N76=Lists!$K$3,IF($L76&lt;1,(($U76/$L76)*((1+Inputs!$D$7)^BB$2)),((INT(BB$2/$L76)-INT((BB$2-1)/$L76))*$U76*((1+Inputs!$D$7)^BB$2))),(_xlfn.WEIBULL.DIST(BB$2,$M76,$L76,FALSE)*$U76*((1+Inputs!$D$7)^BB$2))),IF($N76=Lists!$K$3,IF($L76&lt;1,((($T76*(1-$F76)+$S76*(1-$G76))/$L76)*((1+Inputs!$D$7)^BB$2)),((INT(BB$2/$L76)-INT((BB$2-1)/$L76))*($T76*(1-$F76)+$S76*(1-$G76))*((1+Inputs!$D$7)^BB$2))),((_xlfn.WEIBULL.DIST(BB$2,$M76,$L76,FALSE)*($T76*(1-$F76)+$S76*(1-$G76))*((1+Inputs!$D$7)^BB$2))))))</f>
        <v>0</v>
      </c>
      <c r="BC76" s="88">
        <f>$E76*IF(BC$2&gt;Inputs!$D$5,0,IF(BC$2&gt;VLOOKUP($H76,Lists!$P$3:$Q$7,2),IF($N76=Lists!$K$3,IF($L76&lt;1,(($U76/$L76)*((1+Inputs!$D$7)^BC$2)),((INT(BC$2/$L76)-INT((BC$2-1)/$L76))*$U76*((1+Inputs!$D$7)^BC$2))),(_xlfn.WEIBULL.DIST(BC$2,$M76,$L76,FALSE)*$U76*((1+Inputs!$D$7)^BC$2))),IF($N76=Lists!$K$3,IF($L76&lt;1,((($T76*(1-$F76)+$S76*(1-$G76))/$L76)*((1+Inputs!$D$7)^BC$2)),((INT(BC$2/$L76)-INT((BC$2-1)/$L76))*($T76*(1-$F76)+$S76*(1-$G76))*((1+Inputs!$D$7)^BC$2))),((_xlfn.WEIBULL.DIST(BC$2,$M76,$L76,FALSE)*($T76*(1-$F76)+$S76*(1-$G76))*((1+Inputs!$D$7)^BC$2))))))</f>
        <v>0</v>
      </c>
      <c r="BD76" s="88">
        <f>$E76*IF(BD$2&gt;Inputs!$D$5,0,IF(BD$2&gt;VLOOKUP($H76,Lists!$P$3:$Q$7,2),IF($N76=Lists!$K$3,IF($L76&lt;1,(($U76/$L76)*((1+Inputs!$D$7)^BD$2)),((INT(BD$2/$L76)-INT((BD$2-1)/$L76))*$U76*((1+Inputs!$D$7)^BD$2))),(_xlfn.WEIBULL.DIST(BD$2,$M76,$L76,FALSE)*$U76*((1+Inputs!$D$7)^BD$2))),IF($N76=Lists!$K$3,IF($L76&lt;1,((($T76*(1-$F76)+$S76*(1-$G76))/$L76)*((1+Inputs!$D$7)^BD$2)),((INT(BD$2/$L76)-INT((BD$2-1)/$L76))*($T76*(1-$F76)+$S76*(1-$G76))*((1+Inputs!$D$7)^BD$2))),((_xlfn.WEIBULL.DIST(BD$2,$M76,$L76,FALSE)*($T76*(1-$F76)+$S76*(1-$G76))*((1+Inputs!$D$7)^BD$2))))))</f>
        <v>0</v>
      </c>
      <c r="BE76" s="88">
        <f>$E76*IF(BE$2&gt;Inputs!$D$5,0,IF(BE$2&gt;VLOOKUP($H76,Lists!$P$3:$Q$7,2),IF($N76=Lists!$K$3,IF($L76&lt;1,(($U76/$L76)*((1+Inputs!$D$7)^BE$2)),((INT(BE$2/$L76)-INT((BE$2-1)/$L76))*$U76*((1+Inputs!$D$7)^BE$2))),(_xlfn.WEIBULL.DIST(BE$2,$M76,$L76,FALSE)*$U76*((1+Inputs!$D$7)^BE$2))),IF($N76=Lists!$K$3,IF($L76&lt;1,((($T76*(1-$F76)+$S76*(1-$G76))/$L76)*((1+Inputs!$D$7)^BE$2)),((INT(BE$2/$L76)-INT((BE$2-1)/$L76))*($T76*(1-$F76)+$S76*(1-$G76))*((1+Inputs!$D$7)^BE$2))),((_xlfn.WEIBULL.DIST(BE$2,$M76,$L76,FALSE)*($T76*(1-$F76)+$S76*(1-$G76))*((1+Inputs!$D$7)^BE$2))))))</f>
        <v>0</v>
      </c>
      <c r="BF76" s="88">
        <f>$E76*IF(BF$2&gt;Inputs!$D$5,0,IF(BF$2&gt;VLOOKUP($H76,Lists!$P$3:$Q$7,2),IF($N76=Lists!$K$3,IF($L76&lt;1,(($U76/$L76)*((1+Inputs!$D$7)^BF$2)),((INT(BF$2/$L76)-INT((BF$2-1)/$L76))*$U76*((1+Inputs!$D$7)^BF$2))),(_xlfn.WEIBULL.DIST(BF$2,$M76,$L76,FALSE)*$U76*((1+Inputs!$D$7)^BF$2))),IF($N76=Lists!$K$3,IF($L76&lt;1,((($T76*(1-$F76)+$S76*(1-$G76))/$L76)*((1+Inputs!$D$7)^BF$2)),((INT(BF$2/$L76)-INT((BF$2-1)/$L76))*($T76*(1-$F76)+$S76*(1-$G76))*((1+Inputs!$D$7)^BF$2))),((_xlfn.WEIBULL.DIST(BF$2,$M76,$L76,FALSE)*($T76*(1-$F76)+$S76*(1-$G76))*((1+Inputs!$D$7)^BF$2))))))</f>
        <v>0</v>
      </c>
      <c r="BG76" s="88">
        <f>$E76*IF(BG$2&gt;Inputs!$D$5,0,IF(BG$2&gt;VLOOKUP($H76,Lists!$P$3:$Q$7,2),IF($N76=Lists!$K$3,IF($L76&lt;1,(($U76/$L76)*((1+Inputs!$D$7)^BG$2)),((INT(BG$2/$L76)-INT((BG$2-1)/$L76))*$U76*((1+Inputs!$D$7)^BG$2))),(_xlfn.WEIBULL.DIST(BG$2,$M76,$L76,FALSE)*$U76*((1+Inputs!$D$7)^BG$2))),IF($N76=Lists!$K$3,IF($L76&lt;1,((($T76*(1-$F76)+$S76*(1-$G76))/$L76)*((1+Inputs!$D$7)^BG$2)),((INT(BG$2/$L76)-INT((BG$2-1)/$L76))*($T76*(1-$F76)+$S76*(1-$G76))*((1+Inputs!$D$7)^BG$2))),((_xlfn.WEIBULL.DIST(BG$2,$M76,$L76,FALSE)*($T76*(1-$F76)+$S76*(1-$G76))*((1+Inputs!$D$7)^BG$2))))))</f>
        <v>0</v>
      </c>
      <c r="BH76" s="88">
        <f>$E76*IF(BH$2&gt;Inputs!$D$5,0,IF(BH$2&gt;VLOOKUP($H76,Lists!$P$3:$Q$7,2),IF($N76=Lists!$K$3,IF($L76&lt;1,(($U76/$L76)*((1+Inputs!$D$7)^BH$2)),((INT(BH$2/$L76)-INT((BH$2-1)/$L76))*$U76*((1+Inputs!$D$7)^BH$2))),(_xlfn.WEIBULL.DIST(BH$2,$M76,$L76,FALSE)*$U76*((1+Inputs!$D$7)^BH$2))),IF($N76=Lists!$K$3,IF($L76&lt;1,((($T76*(1-$F76)+$S76*(1-$G76))/$L76)*((1+Inputs!$D$7)^BH$2)),((INT(BH$2/$L76)-INT((BH$2-1)/$L76))*($T76*(1-$F76)+$S76*(1-$G76))*((1+Inputs!$D$7)^BH$2))),((_xlfn.WEIBULL.DIST(BH$2,$M76,$L76,FALSE)*($T76*(1-$F76)+$S76*(1-$G76))*((1+Inputs!$D$7)^BH$2))))))</f>
        <v>0</v>
      </c>
      <c r="BI76" s="88">
        <f>$E76*IF(BI$2&gt;Inputs!$D$5,0,IF(BI$2&gt;VLOOKUP($H76,Lists!$P$3:$Q$7,2),IF($N76=Lists!$K$3,IF($L76&lt;1,(($U76/$L76)*((1+Inputs!$D$7)^BI$2)),((INT(BI$2/$L76)-INT((BI$2-1)/$L76))*$U76*((1+Inputs!$D$7)^BI$2))),(_xlfn.WEIBULL.DIST(BI$2,$M76,$L76,FALSE)*$U76*((1+Inputs!$D$7)^BI$2))),IF($N76=Lists!$K$3,IF($L76&lt;1,((($T76*(1-$F76)+$S76*(1-$G76))/$L76)*((1+Inputs!$D$7)^BI$2)),((INT(BI$2/$L76)-INT((BI$2-1)/$L76))*($T76*(1-$F76)+$S76*(1-$G76))*((1+Inputs!$D$7)^BI$2))),((_xlfn.WEIBULL.DIST(BI$2,$M76,$L76,FALSE)*($T76*(1-$F76)+$S76*(1-$G76))*((1+Inputs!$D$7)^BI$2))))))</f>
        <v>0</v>
      </c>
      <c r="BJ76" s="88">
        <f>$E76*IF(BJ$2&gt;Inputs!$D$5,0,IF(BJ$2&gt;VLOOKUP($H76,Lists!$P$3:$Q$7,2),IF($N76=Lists!$K$3,IF($L76&lt;1,(($U76/$L76)*((1+Inputs!$D$7)^BJ$2)),((INT(BJ$2/$L76)-INT((BJ$2-1)/$L76))*$U76*((1+Inputs!$D$7)^BJ$2))),(_xlfn.WEIBULL.DIST(BJ$2,$M76,$L76,FALSE)*$U76*((1+Inputs!$D$7)^BJ$2))),IF($N76=Lists!$K$3,IF($L76&lt;1,((($T76*(1-$F76)+$S76*(1-$G76))/$L76)*((1+Inputs!$D$7)^BJ$2)),((INT(BJ$2/$L76)-INT((BJ$2-1)/$L76))*($T76*(1-$F76)+$S76*(1-$G76))*((1+Inputs!$D$7)^BJ$2))),((_xlfn.WEIBULL.DIST(BJ$2,$M76,$L76,FALSE)*($T76*(1-$F76)+$S76*(1-$G76))*((1+Inputs!$D$7)^BJ$2))))))</f>
        <v>0</v>
      </c>
      <c r="BK76" s="88">
        <f>$E76*IF(BK$2&gt;Inputs!$D$5,0,IF(BK$2&gt;VLOOKUP($H76,Lists!$P$3:$Q$7,2),IF($N76=Lists!$K$3,IF($L76&lt;1,(($U76/$L76)*((1+Inputs!$D$7)^BK$2)),((INT(BK$2/$L76)-INT((BK$2-1)/$L76))*$U76*((1+Inputs!$D$7)^BK$2))),(_xlfn.WEIBULL.DIST(BK$2,$M76,$L76,FALSE)*$U76*((1+Inputs!$D$7)^BK$2))),IF($N76=Lists!$K$3,IF($L76&lt;1,((($T76*(1-$F76)+$S76*(1-$G76))/$L76)*((1+Inputs!$D$7)^BK$2)),((INT(BK$2/$L76)-INT((BK$2-1)/$L76))*($T76*(1-$F76)+$S76*(1-$G76))*((1+Inputs!$D$7)^BK$2))),((_xlfn.WEIBULL.DIST(BK$2,$M76,$L76,FALSE)*($T76*(1-$F76)+$S76*(1-$G76))*((1+Inputs!$D$7)^BK$2))))))</f>
        <v>0</v>
      </c>
      <c r="BL76" s="88">
        <f>$E76*IF(BL$2&gt;Inputs!$D$5,0,IF(BL$2&gt;VLOOKUP($H76,Lists!$P$3:$Q$7,2),IF($N76=Lists!$K$3,IF($L76&lt;1,(($U76/$L76)*((1+Inputs!$D$7)^BL$2)),((INT(BL$2/$L76)-INT((BL$2-1)/$L76))*$U76*((1+Inputs!$D$7)^BL$2))),(_xlfn.WEIBULL.DIST(BL$2,$M76,$L76,FALSE)*$U76*((1+Inputs!$D$7)^BL$2))),IF($N76=Lists!$K$3,IF($L76&lt;1,((($T76*(1-$F76)+$S76*(1-$G76))/$L76)*((1+Inputs!$D$7)^BL$2)),((INT(BL$2/$L76)-INT((BL$2-1)/$L76))*($T76*(1-$F76)+$S76*(1-$G76))*((1+Inputs!$D$7)^BL$2))),((_xlfn.WEIBULL.DIST(BL$2,$M76,$L76,FALSE)*($T76*(1-$F76)+$S76*(1-$G76))*((1+Inputs!$D$7)^BL$2))))))</f>
        <v>0</v>
      </c>
      <c r="BM76" s="88">
        <f>$E76*IF(BM$2&gt;Inputs!$D$5,0,IF(BM$2&gt;VLOOKUP($H76,Lists!$P$3:$Q$7,2),IF($N76=Lists!$K$3,IF($L76&lt;1,(($U76/$L76)*((1+Inputs!$D$7)^BM$2)),((INT(BM$2/$L76)-INT((BM$2-1)/$L76))*$U76*((1+Inputs!$D$7)^BM$2))),(_xlfn.WEIBULL.DIST(BM$2,$M76,$L76,FALSE)*$U76*((1+Inputs!$D$7)^BM$2))),IF($N76=Lists!$K$3,IF($L76&lt;1,((($T76*(1-$F76)+$S76*(1-$G76))/$L76)*((1+Inputs!$D$7)^BM$2)),((INT(BM$2/$L76)-INT((BM$2-1)/$L76))*($T76*(1-$F76)+$S76*(1-$G76))*((1+Inputs!$D$7)^BM$2))),((_xlfn.WEIBULL.DIST(BM$2,$M76,$L76,FALSE)*($T76*(1-$F76)+$S76*(1-$G76))*((1+Inputs!$D$7)^BM$2))))))</f>
        <v>0</v>
      </c>
      <c r="BN76" s="88">
        <f>$E76*IF(BN$2&gt;Inputs!$D$5,0,IF(BN$2&gt;VLOOKUP($H76,Lists!$P$3:$Q$7,2),IF($N76=Lists!$K$3,IF($L76&lt;1,(($U76/$L76)*((1+Inputs!$D$7)^BN$2)),((INT(BN$2/$L76)-INT((BN$2-1)/$L76))*$U76*((1+Inputs!$D$7)^BN$2))),(_xlfn.WEIBULL.DIST(BN$2,$M76,$L76,FALSE)*$U76*((1+Inputs!$D$7)^BN$2))),IF($N76=Lists!$K$3,IF($L76&lt;1,((($T76*(1-$F76)+$S76*(1-$G76))/$L76)*((1+Inputs!$D$7)^BN$2)),((INT(BN$2/$L76)-INT((BN$2-1)/$L76))*($T76*(1-$F76)+$S76*(1-$G76))*((1+Inputs!$D$7)^BN$2))),((_xlfn.WEIBULL.DIST(BN$2,$M76,$L76,FALSE)*($T76*(1-$F76)+$S76*(1-$G76))*((1+Inputs!$D$7)^BN$2))))))</f>
        <v>0</v>
      </c>
      <c r="BO76" s="64">
        <f>NPV(Inputs!$D$6,BQ76:DD76)</f>
        <v>0</v>
      </c>
      <c r="BP76" s="67">
        <f t="shared" si="20"/>
        <v>0</v>
      </c>
      <c r="BQ76" s="88">
        <f>MAX(AA76,($E76*IF(BQ$2&gt;Inputs!$D$5,0,IF(BQ$2&gt;VLOOKUP($H76,Lists!$P$3:$Q$7,2),IF($N76=Lists!$K$3,IF($L76&lt;1,(($U76/$L76)*((1+Inputs!$D$7)^BQ$2)),((INT(BQ$2/$L76)-INT((BQ$2-1)/$L76))*$U76*((1+Inputs!$D$7)^BQ$2))),(Inputs!$D$8^((1-_xlfn.WEIBULL.DIST(BQ$2,$M76,$L76,FALSE))/_xlfn.WEIBULL.DIST(BQ$2,$M76,$L76,FALSE))*$U76*((1+Inputs!$D$7)^BQ$2))),IF($N76=Lists!$K$3,IF($L76&lt;1,((($T76*(1-$F76)+$S76*(1-$G76))/$L76)*((1+Inputs!$D$7)^BQ$2)),((INT(BQ$2/$L76)-INT((BQ$2-1)/$L76))*($T76*(1-$F76)+$S76*(1-$G76))*((1+Inputs!$D$7)^BQ$2))),((Inputs!$D$8^((1-_xlfn.WEIBULL.DIST(BQ$2,$M76,$L76,FALSE))/_xlfn.WEIBULL.DIST(BQ$2,$M76,$L76,FALSE))*($T76*(1-$F76)+$S76*(1-$G76))*((1+Inputs!$D$7)^BQ$2))))))))</f>
        <v>0</v>
      </c>
      <c r="BR76" s="88">
        <f>MAX(AB76,($E76*IF(BR$2&gt;Inputs!$D$5,0,IF(BR$2&gt;VLOOKUP($H76,Lists!$P$3:$Q$7,2),IF($N76=Lists!$K$3,IF($L76&lt;1,(($U76/$L76)*((1+Inputs!$D$7)^BR$2)),((INT(BR$2/$L76)-INT((BR$2-1)/$L76))*$U76*((1+Inputs!$D$7)^BR$2))),(Inputs!$D$8^((1-_xlfn.WEIBULL.DIST(BR$2,$M76,$L76,FALSE))/_xlfn.WEIBULL.DIST(BR$2,$M76,$L76,FALSE))*$U76*((1+Inputs!$D$7)^BR$2))),IF($N76=Lists!$K$3,IF($L76&lt;1,((($T76*(1-$F76)+$S76*(1-$G76))/$L76)*((1+Inputs!$D$7)^BR$2)),((INT(BR$2/$L76)-INT((BR$2-1)/$L76))*($T76*(1-$F76)+$S76*(1-$G76))*((1+Inputs!$D$7)^BR$2))),((Inputs!$D$8^((1-_xlfn.WEIBULL.DIST(BR$2,$M76,$L76,FALSE))/_xlfn.WEIBULL.DIST(BR$2,$M76,$L76,FALSE))*($T76*(1-$F76)+$S76*(1-$G76))*((1+Inputs!$D$7)^BR$2))))))))</f>
        <v>0</v>
      </c>
      <c r="BS76" s="88">
        <f>MAX(AC76,($E76*IF(BS$2&gt;Inputs!$D$5,0,IF(BS$2&gt;VLOOKUP($H76,Lists!$P$3:$Q$7,2),IF($N76=Lists!$K$3,IF($L76&lt;1,(($U76/$L76)*((1+Inputs!$D$7)^BS$2)),((INT(BS$2/$L76)-INT((BS$2-1)/$L76))*$U76*((1+Inputs!$D$7)^BS$2))),(Inputs!$D$8^((1-_xlfn.WEIBULL.DIST(BS$2,$M76,$L76,FALSE))/_xlfn.WEIBULL.DIST(BS$2,$M76,$L76,FALSE))*$U76*((1+Inputs!$D$7)^BS$2))),IF($N76=Lists!$K$3,IF($L76&lt;1,((($T76*(1-$F76)+$S76*(1-$G76))/$L76)*((1+Inputs!$D$7)^BS$2)),((INT(BS$2/$L76)-INT((BS$2-1)/$L76))*($T76*(1-$F76)+$S76*(1-$G76))*((1+Inputs!$D$7)^BS$2))),((Inputs!$D$8^((1-_xlfn.WEIBULL.DIST(BS$2,$M76,$L76,FALSE))/_xlfn.WEIBULL.DIST(BS$2,$M76,$L76,FALSE))*($T76*(1-$F76)+$S76*(1-$G76))*((1+Inputs!$D$7)^BS$2))))))))</f>
        <v>0</v>
      </c>
      <c r="BT76" s="88">
        <f>MAX(AD76,($E76*IF(BT$2&gt;Inputs!$D$5,0,IF(BT$2&gt;VLOOKUP($H76,Lists!$P$3:$Q$7,2),IF($N76=Lists!$K$3,IF($L76&lt;1,(($U76/$L76)*((1+Inputs!$D$7)^BT$2)),((INT(BT$2/$L76)-INT((BT$2-1)/$L76))*$U76*((1+Inputs!$D$7)^BT$2))),(Inputs!$D$8^((1-_xlfn.WEIBULL.DIST(BT$2,$M76,$L76,FALSE))/_xlfn.WEIBULL.DIST(BT$2,$M76,$L76,FALSE))*$U76*((1+Inputs!$D$7)^BT$2))),IF($N76=Lists!$K$3,IF($L76&lt;1,((($T76*(1-$F76)+$S76*(1-$G76))/$L76)*((1+Inputs!$D$7)^BT$2)),((INT(BT$2/$L76)-INT((BT$2-1)/$L76))*($T76*(1-$F76)+$S76*(1-$G76))*((1+Inputs!$D$7)^BT$2))),((Inputs!$D$8^((1-_xlfn.WEIBULL.DIST(BT$2,$M76,$L76,FALSE))/_xlfn.WEIBULL.DIST(BT$2,$M76,$L76,FALSE))*($T76*(1-$F76)+$S76*(1-$G76))*((1+Inputs!$D$7)^BT$2))))))))</f>
        <v>0</v>
      </c>
      <c r="BU76" s="88">
        <f>MAX(AE76,($E76*IF(BU$2&gt;Inputs!$D$5,0,IF(BU$2&gt;VLOOKUP($H76,Lists!$P$3:$Q$7,2),IF($N76=Lists!$K$3,IF($L76&lt;1,(($U76/$L76)*((1+Inputs!$D$7)^BU$2)),((INT(BU$2/$L76)-INT((BU$2-1)/$L76))*$U76*((1+Inputs!$D$7)^BU$2))),(Inputs!$D$8^((1-_xlfn.WEIBULL.DIST(BU$2,$M76,$L76,FALSE))/_xlfn.WEIBULL.DIST(BU$2,$M76,$L76,FALSE))*$U76*((1+Inputs!$D$7)^BU$2))),IF($N76=Lists!$K$3,IF($L76&lt;1,((($T76*(1-$F76)+$S76*(1-$G76))/$L76)*((1+Inputs!$D$7)^BU$2)),((INT(BU$2/$L76)-INT((BU$2-1)/$L76))*($T76*(1-$F76)+$S76*(1-$G76))*((1+Inputs!$D$7)^BU$2))),((Inputs!$D$8^((1-_xlfn.WEIBULL.DIST(BU$2,$M76,$L76,FALSE))/_xlfn.WEIBULL.DIST(BU$2,$M76,$L76,FALSE))*($T76*(1-$F76)+$S76*(1-$G76))*((1+Inputs!$D$7)^BU$2))))))))</f>
        <v>0</v>
      </c>
      <c r="BV76" s="88">
        <f>MAX(AF76,($E76*IF(BV$2&gt;Inputs!$D$5,0,IF(BV$2&gt;VLOOKUP($H76,Lists!$P$3:$Q$7,2),IF($N76=Lists!$K$3,IF($L76&lt;1,(($U76/$L76)*((1+Inputs!$D$7)^BV$2)),((INT(BV$2/$L76)-INT((BV$2-1)/$L76))*$U76*((1+Inputs!$D$7)^BV$2))),(Inputs!$D$8^((1-_xlfn.WEIBULL.DIST(BV$2,$M76,$L76,FALSE))/_xlfn.WEIBULL.DIST(BV$2,$M76,$L76,FALSE))*$U76*((1+Inputs!$D$7)^BV$2))),IF($N76=Lists!$K$3,IF($L76&lt;1,((($T76*(1-$F76)+$S76*(1-$G76))/$L76)*((1+Inputs!$D$7)^BV$2)),((INT(BV$2/$L76)-INT((BV$2-1)/$L76))*($T76*(1-$F76)+$S76*(1-$G76))*((1+Inputs!$D$7)^BV$2))),((Inputs!$D$8^((1-_xlfn.WEIBULL.DIST(BV$2,$M76,$L76,FALSE))/_xlfn.WEIBULL.DIST(BV$2,$M76,$L76,FALSE))*($T76*(1-$F76)+$S76*(1-$G76))*((1+Inputs!$D$7)^BV$2))))))))</f>
        <v>0</v>
      </c>
      <c r="BW76" s="88">
        <f>MAX(AG76,($E76*IF(BW$2&gt;Inputs!$D$5,0,IF(BW$2&gt;VLOOKUP($H76,Lists!$P$3:$Q$7,2),IF($N76=Lists!$K$3,IF($L76&lt;1,(($U76/$L76)*((1+Inputs!$D$7)^BW$2)),((INT(BW$2/$L76)-INT((BW$2-1)/$L76))*$U76*((1+Inputs!$D$7)^BW$2))),(Inputs!$D$8^((1-_xlfn.WEIBULL.DIST(BW$2,$M76,$L76,FALSE))/_xlfn.WEIBULL.DIST(BW$2,$M76,$L76,FALSE))*$U76*((1+Inputs!$D$7)^BW$2))),IF($N76=Lists!$K$3,IF($L76&lt;1,((($T76*(1-$F76)+$S76*(1-$G76))/$L76)*((1+Inputs!$D$7)^BW$2)),((INT(BW$2/$L76)-INT((BW$2-1)/$L76))*($T76*(1-$F76)+$S76*(1-$G76))*((1+Inputs!$D$7)^BW$2))),((Inputs!$D$8^((1-_xlfn.WEIBULL.DIST(BW$2,$M76,$L76,FALSE))/_xlfn.WEIBULL.DIST(BW$2,$M76,$L76,FALSE))*($T76*(1-$F76)+$S76*(1-$G76))*((1+Inputs!$D$7)^BW$2))))))))</f>
        <v>0</v>
      </c>
      <c r="BX76" s="88">
        <f>MAX(AH76,($E76*IF(BX$2&gt;Inputs!$D$5,0,IF(BX$2&gt;VLOOKUP($H76,Lists!$P$3:$Q$7,2),IF($N76=Lists!$K$3,IF($L76&lt;1,(($U76/$L76)*((1+Inputs!$D$7)^BX$2)),((INT(BX$2/$L76)-INT((BX$2-1)/$L76))*$U76*((1+Inputs!$D$7)^BX$2))),(Inputs!$D$8^((1-_xlfn.WEIBULL.DIST(BX$2,$M76,$L76,FALSE))/_xlfn.WEIBULL.DIST(BX$2,$M76,$L76,FALSE))*$U76*((1+Inputs!$D$7)^BX$2))),IF($N76=Lists!$K$3,IF($L76&lt;1,((($T76*(1-$F76)+$S76*(1-$G76))/$L76)*((1+Inputs!$D$7)^BX$2)),((INT(BX$2/$L76)-INT((BX$2-1)/$L76))*($T76*(1-$F76)+$S76*(1-$G76))*((1+Inputs!$D$7)^BX$2))),((Inputs!$D$8^((1-_xlfn.WEIBULL.DIST(BX$2,$M76,$L76,FALSE))/_xlfn.WEIBULL.DIST(BX$2,$M76,$L76,FALSE))*($T76*(1-$F76)+$S76*(1-$G76))*((1+Inputs!$D$7)^BX$2))))))))</f>
        <v>0</v>
      </c>
      <c r="BY76" s="88">
        <f>MAX(AI76,($E76*IF(BY$2&gt;Inputs!$D$5,0,IF(BY$2&gt;VLOOKUP($H76,Lists!$P$3:$Q$7,2),IF($N76=Lists!$K$3,IF($L76&lt;1,(($U76/$L76)*((1+Inputs!$D$7)^BY$2)),((INT(BY$2/$L76)-INT((BY$2-1)/$L76))*$U76*((1+Inputs!$D$7)^BY$2))),(Inputs!$D$8^((1-_xlfn.WEIBULL.DIST(BY$2,$M76,$L76,FALSE))/_xlfn.WEIBULL.DIST(BY$2,$M76,$L76,FALSE))*$U76*((1+Inputs!$D$7)^BY$2))),IF($N76=Lists!$K$3,IF($L76&lt;1,((($T76*(1-$F76)+$S76*(1-$G76))/$L76)*((1+Inputs!$D$7)^BY$2)),((INT(BY$2/$L76)-INT((BY$2-1)/$L76))*($T76*(1-$F76)+$S76*(1-$G76))*((1+Inputs!$D$7)^BY$2))),((Inputs!$D$8^((1-_xlfn.WEIBULL.DIST(BY$2,$M76,$L76,FALSE))/_xlfn.WEIBULL.DIST(BY$2,$M76,$L76,FALSE))*($T76*(1-$F76)+$S76*(1-$G76))*((1+Inputs!$D$7)^BY$2))))))))</f>
        <v>0</v>
      </c>
      <c r="BZ76" s="88">
        <f>MAX(AJ76,($E76*IF(BZ$2&gt;Inputs!$D$5,0,IF(BZ$2&gt;VLOOKUP($H76,Lists!$P$3:$Q$7,2),IF($N76=Lists!$K$3,IF($L76&lt;1,(($U76/$L76)*((1+Inputs!$D$7)^BZ$2)),((INT(BZ$2/$L76)-INT((BZ$2-1)/$L76))*$U76*((1+Inputs!$D$7)^BZ$2))),(Inputs!$D$8^((1-_xlfn.WEIBULL.DIST(BZ$2,$M76,$L76,FALSE))/_xlfn.WEIBULL.DIST(BZ$2,$M76,$L76,FALSE))*$U76*((1+Inputs!$D$7)^BZ$2))),IF($N76=Lists!$K$3,IF($L76&lt;1,((($T76*(1-$F76)+$S76*(1-$G76))/$L76)*((1+Inputs!$D$7)^BZ$2)),((INT(BZ$2/$L76)-INT((BZ$2-1)/$L76))*($T76*(1-$F76)+$S76*(1-$G76))*((1+Inputs!$D$7)^BZ$2))),((Inputs!$D$8^((1-_xlfn.WEIBULL.DIST(BZ$2,$M76,$L76,FALSE))/_xlfn.WEIBULL.DIST(BZ$2,$M76,$L76,FALSE))*($T76*(1-$F76)+$S76*(1-$G76))*((1+Inputs!$D$7)^BZ$2))))))))</f>
        <v>0</v>
      </c>
      <c r="CA76" s="88">
        <f>MAX(AK76,($E76*IF(CA$2&gt;Inputs!$D$5,0,IF(CA$2&gt;VLOOKUP($H76,Lists!$P$3:$Q$7,2),IF($N76=Lists!$K$3,IF($L76&lt;1,(($U76/$L76)*((1+Inputs!$D$7)^CA$2)),((INT(CA$2/$L76)-INT((CA$2-1)/$L76))*$U76*((1+Inputs!$D$7)^CA$2))),(Inputs!$D$8^((1-_xlfn.WEIBULL.DIST(CA$2,$M76,$L76,FALSE))/_xlfn.WEIBULL.DIST(CA$2,$M76,$L76,FALSE))*$U76*((1+Inputs!$D$7)^CA$2))),IF($N76=Lists!$K$3,IF($L76&lt;1,((($T76*(1-$F76)+$S76*(1-$G76))/$L76)*((1+Inputs!$D$7)^CA$2)),((INT(CA$2/$L76)-INT((CA$2-1)/$L76))*($T76*(1-$F76)+$S76*(1-$G76))*((1+Inputs!$D$7)^CA$2))),((Inputs!$D$8^((1-_xlfn.WEIBULL.DIST(CA$2,$M76,$L76,FALSE))/_xlfn.WEIBULL.DIST(CA$2,$M76,$L76,FALSE))*($T76*(1-$F76)+$S76*(1-$G76))*((1+Inputs!$D$7)^CA$2))))))))</f>
        <v>0</v>
      </c>
      <c r="CB76" s="88">
        <f>MAX(AL76,($E76*IF(CB$2&gt;Inputs!$D$5,0,IF(CB$2&gt;VLOOKUP($H76,Lists!$P$3:$Q$7,2),IF($N76=Lists!$K$3,IF($L76&lt;1,(($U76/$L76)*((1+Inputs!$D$7)^CB$2)),((INT(CB$2/$L76)-INT((CB$2-1)/$L76))*$U76*((1+Inputs!$D$7)^CB$2))),(Inputs!$D$8^((1-_xlfn.WEIBULL.DIST(CB$2,$M76,$L76,FALSE))/_xlfn.WEIBULL.DIST(CB$2,$M76,$L76,FALSE))*$U76*((1+Inputs!$D$7)^CB$2))),IF($N76=Lists!$K$3,IF($L76&lt;1,((($T76*(1-$F76)+$S76*(1-$G76))/$L76)*((1+Inputs!$D$7)^CB$2)),((INT(CB$2/$L76)-INT((CB$2-1)/$L76))*($T76*(1-$F76)+$S76*(1-$G76))*((1+Inputs!$D$7)^CB$2))),((Inputs!$D$8^((1-_xlfn.WEIBULL.DIST(CB$2,$M76,$L76,FALSE))/_xlfn.WEIBULL.DIST(CB$2,$M76,$L76,FALSE))*($T76*(1-$F76)+$S76*(1-$G76))*((1+Inputs!$D$7)^CB$2))))))))</f>
        <v>0</v>
      </c>
      <c r="CC76" s="88">
        <f>MAX(AM76,($E76*IF(CC$2&gt;Inputs!$D$5,0,IF(CC$2&gt;VLOOKUP($H76,Lists!$P$3:$Q$7,2),IF($N76=Lists!$K$3,IF($L76&lt;1,(($U76/$L76)*((1+Inputs!$D$7)^CC$2)),((INT(CC$2/$L76)-INT((CC$2-1)/$L76))*$U76*((1+Inputs!$D$7)^CC$2))),(Inputs!$D$8^((1-_xlfn.WEIBULL.DIST(CC$2,$M76,$L76,FALSE))/_xlfn.WEIBULL.DIST(CC$2,$M76,$L76,FALSE))*$U76*((1+Inputs!$D$7)^CC$2))),IF($N76=Lists!$K$3,IF($L76&lt;1,((($T76*(1-$F76)+$S76*(1-$G76))/$L76)*((1+Inputs!$D$7)^CC$2)),((INT(CC$2/$L76)-INT((CC$2-1)/$L76))*($T76*(1-$F76)+$S76*(1-$G76))*((1+Inputs!$D$7)^CC$2))),((Inputs!$D$8^((1-_xlfn.WEIBULL.DIST(CC$2,$M76,$L76,FALSE))/_xlfn.WEIBULL.DIST(CC$2,$M76,$L76,FALSE))*($T76*(1-$F76)+$S76*(1-$G76))*((1+Inputs!$D$7)^CC$2))))))))</f>
        <v>0</v>
      </c>
      <c r="CD76" s="88">
        <f>MAX(AN76,($E76*IF(CD$2&gt;Inputs!$D$5,0,IF(CD$2&gt;VLOOKUP($H76,Lists!$P$3:$Q$7,2),IF($N76=Lists!$K$3,IF($L76&lt;1,(($U76/$L76)*((1+Inputs!$D$7)^CD$2)),((INT(CD$2/$L76)-INT((CD$2-1)/$L76))*$U76*((1+Inputs!$D$7)^CD$2))),(Inputs!$D$8^((1-_xlfn.WEIBULL.DIST(CD$2,$M76,$L76,FALSE))/_xlfn.WEIBULL.DIST(CD$2,$M76,$L76,FALSE))*$U76*((1+Inputs!$D$7)^CD$2))),IF($N76=Lists!$K$3,IF($L76&lt;1,((($T76*(1-$F76)+$S76*(1-$G76))/$L76)*((1+Inputs!$D$7)^CD$2)),((INT(CD$2/$L76)-INT((CD$2-1)/$L76))*($T76*(1-$F76)+$S76*(1-$G76))*((1+Inputs!$D$7)^CD$2))),((Inputs!$D$8^((1-_xlfn.WEIBULL.DIST(CD$2,$M76,$L76,FALSE))/_xlfn.WEIBULL.DIST(CD$2,$M76,$L76,FALSE))*($T76*(1-$F76)+$S76*(1-$G76))*((1+Inputs!$D$7)^CD$2))))))))</f>
        <v>0</v>
      </c>
      <c r="CE76" s="88">
        <f>MAX(AO76,($E76*IF(CE$2&gt;Inputs!$D$5,0,IF(CE$2&gt;VLOOKUP($H76,Lists!$P$3:$Q$7,2),IF($N76=Lists!$K$3,IF($L76&lt;1,(($U76/$L76)*((1+Inputs!$D$7)^CE$2)),((INT(CE$2/$L76)-INT((CE$2-1)/$L76))*$U76*((1+Inputs!$D$7)^CE$2))),(Inputs!$D$8^((1-_xlfn.WEIBULL.DIST(CE$2,$M76,$L76,FALSE))/_xlfn.WEIBULL.DIST(CE$2,$M76,$L76,FALSE))*$U76*((1+Inputs!$D$7)^CE$2))),IF($N76=Lists!$K$3,IF($L76&lt;1,((($T76*(1-$F76)+$S76*(1-$G76))/$L76)*((1+Inputs!$D$7)^CE$2)),((INT(CE$2/$L76)-INT((CE$2-1)/$L76))*($T76*(1-$F76)+$S76*(1-$G76))*((1+Inputs!$D$7)^CE$2))),((Inputs!$D$8^((1-_xlfn.WEIBULL.DIST(CE$2,$M76,$L76,FALSE))/_xlfn.WEIBULL.DIST(CE$2,$M76,$L76,FALSE))*($T76*(1-$F76)+$S76*(1-$G76))*((1+Inputs!$D$7)^CE$2))))))))</f>
        <v>0</v>
      </c>
      <c r="CF76" s="88">
        <f>MAX(AP76,($E76*IF(CF$2&gt;Inputs!$D$5,0,IF(CF$2&gt;VLOOKUP($H76,Lists!$P$3:$Q$7,2),IF($N76=Lists!$K$3,IF($L76&lt;1,(($U76/$L76)*((1+Inputs!$D$7)^CF$2)),((INT(CF$2/$L76)-INT((CF$2-1)/$L76))*$U76*((1+Inputs!$D$7)^CF$2))),(Inputs!$D$8^((1-_xlfn.WEIBULL.DIST(CF$2,$M76,$L76,FALSE))/_xlfn.WEIBULL.DIST(CF$2,$M76,$L76,FALSE))*$U76*((1+Inputs!$D$7)^CF$2))),IF($N76=Lists!$K$3,IF($L76&lt;1,((($T76*(1-$F76)+$S76*(1-$G76))/$L76)*((1+Inputs!$D$7)^CF$2)),((INT(CF$2/$L76)-INT((CF$2-1)/$L76))*($T76*(1-$F76)+$S76*(1-$G76))*((1+Inputs!$D$7)^CF$2))),((Inputs!$D$8^((1-_xlfn.WEIBULL.DIST(CF$2,$M76,$L76,FALSE))/_xlfn.WEIBULL.DIST(CF$2,$M76,$L76,FALSE))*($T76*(1-$F76)+$S76*(1-$G76))*((1+Inputs!$D$7)^CF$2))))))))</f>
        <v>0</v>
      </c>
      <c r="CG76" s="88">
        <f>MAX(AQ76,($E76*IF(CG$2&gt;Inputs!$D$5,0,IF(CG$2&gt;VLOOKUP($H76,Lists!$P$3:$Q$7,2),IF($N76=Lists!$K$3,IF($L76&lt;1,(($U76/$L76)*((1+Inputs!$D$7)^CG$2)),((INT(CG$2/$L76)-INT((CG$2-1)/$L76))*$U76*((1+Inputs!$D$7)^CG$2))),(Inputs!$D$8^((1-_xlfn.WEIBULL.DIST(CG$2,$M76,$L76,FALSE))/_xlfn.WEIBULL.DIST(CG$2,$M76,$L76,FALSE))*$U76*((1+Inputs!$D$7)^CG$2))),IF($N76=Lists!$K$3,IF($L76&lt;1,((($T76*(1-$F76)+$S76*(1-$G76))/$L76)*((1+Inputs!$D$7)^CG$2)),((INT(CG$2/$L76)-INT((CG$2-1)/$L76))*($T76*(1-$F76)+$S76*(1-$G76))*((1+Inputs!$D$7)^CG$2))),((Inputs!$D$8^((1-_xlfn.WEIBULL.DIST(CG$2,$M76,$L76,FALSE))/_xlfn.WEIBULL.DIST(CG$2,$M76,$L76,FALSE))*($T76*(1-$F76)+$S76*(1-$G76))*((1+Inputs!$D$7)^CG$2))))))))</f>
        <v>0</v>
      </c>
      <c r="CH76" s="88">
        <f>MAX(AR76,($E76*IF(CH$2&gt;Inputs!$D$5,0,IF(CH$2&gt;VLOOKUP($H76,Lists!$P$3:$Q$7,2),IF($N76=Lists!$K$3,IF($L76&lt;1,(($U76/$L76)*((1+Inputs!$D$7)^CH$2)),((INT(CH$2/$L76)-INT((CH$2-1)/$L76))*$U76*((1+Inputs!$D$7)^CH$2))),(Inputs!$D$8^((1-_xlfn.WEIBULL.DIST(CH$2,$M76,$L76,FALSE))/_xlfn.WEIBULL.DIST(CH$2,$M76,$L76,FALSE))*$U76*((1+Inputs!$D$7)^CH$2))),IF($N76=Lists!$K$3,IF($L76&lt;1,((($T76*(1-$F76)+$S76*(1-$G76))/$L76)*((1+Inputs!$D$7)^CH$2)),((INT(CH$2/$L76)-INT((CH$2-1)/$L76))*($T76*(1-$F76)+$S76*(1-$G76))*((1+Inputs!$D$7)^CH$2))),((Inputs!$D$8^((1-_xlfn.WEIBULL.DIST(CH$2,$M76,$L76,FALSE))/_xlfn.WEIBULL.DIST(CH$2,$M76,$L76,FALSE))*($T76*(1-$F76)+$S76*(1-$G76))*((1+Inputs!$D$7)^CH$2))))))))</f>
        <v>0</v>
      </c>
      <c r="CI76" s="88">
        <f>MAX(AS76,($E76*IF(CI$2&gt;Inputs!$D$5,0,IF(CI$2&gt;VLOOKUP($H76,Lists!$P$3:$Q$7,2),IF($N76=Lists!$K$3,IF($L76&lt;1,(($U76/$L76)*((1+Inputs!$D$7)^CI$2)),((INT(CI$2/$L76)-INT((CI$2-1)/$L76))*$U76*((1+Inputs!$D$7)^CI$2))),(Inputs!$D$8^((1-_xlfn.WEIBULL.DIST(CI$2,$M76,$L76,FALSE))/_xlfn.WEIBULL.DIST(CI$2,$M76,$L76,FALSE))*$U76*((1+Inputs!$D$7)^CI$2))),IF($N76=Lists!$K$3,IF($L76&lt;1,((($T76*(1-$F76)+$S76*(1-$G76))/$L76)*((1+Inputs!$D$7)^CI$2)),((INT(CI$2/$L76)-INT((CI$2-1)/$L76))*($T76*(1-$F76)+$S76*(1-$G76))*((1+Inputs!$D$7)^CI$2))),((Inputs!$D$8^((1-_xlfn.WEIBULL.DIST(CI$2,$M76,$L76,FALSE))/_xlfn.WEIBULL.DIST(CI$2,$M76,$L76,FALSE))*($T76*(1-$F76)+$S76*(1-$G76))*((1+Inputs!$D$7)^CI$2))))))))</f>
        <v>0</v>
      </c>
      <c r="CJ76" s="88">
        <f>MAX(AT76,($E76*IF(CJ$2&gt;Inputs!$D$5,0,IF(CJ$2&gt;VLOOKUP($H76,Lists!$P$3:$Q$7,2),IF($N76=Lists!$K$3,IF($L76&lt;1,(($U76/$L76)*((1+Inputs!$D$7)^CJ$2)),((INT(CJ$2/$L76)-INT((CJ$2-1)/$L76))*$U76*((1+Inputs!$D$7)^CJ$2))),(Inputs!$D$8^((1-_xlfn.WEIBULL.DIST(CJ$2,$M76,$L76,FALSE))/_xlfn.WEIBULL.DIST(CJ$2,$M76,$L76,FALSE))*$U76*((1+Inputs!$D$7)^CJ$2))),IF($N76=Lists!$K$3,IF($L76&lt;1,((($T76*(1-$F76)+$S76*(1-$G76))/$L76)*((1+Inputs!$D$7)^CJ$2)),((INT(CJ$2/$L76)-INT((CJ$2-1)/$L76))*($T76*(1-$F76)+$S76*(1-$G76))*((1+Inputs!$D$7)^CJ$2))),((Inputs!$D$8^((1-_xlfn.WEIBULL.DIST(CJ$2,$M76,$L76,FALSE))/_xlfn.WEIBULL.DIST(CJ$2,$M76,$L76,FALSE))*($T76*(1-$F76)+$S76*(1-$G76))*((1+Inputs!$D$7)^CJ$2))))))))</f>
        <v>0</v>
      </c>
      <c r="CK76" s="88">
        <f>MAX(AU76,($E76*IF(CK$2&gt;Inputs!$D$5,0,IF(CK$2&gt;VLOOKUP($H76,Lists!$P$3:$Q$7,2),IF($N76=Lists!$K$3,IF($L76&lt;1,(($U76/$L76)*((1+Inputs!$D$7)^CK$2)),((INT(CK$2/$L76)-INT((CK$2-1)/$L76))*$U76*((1+Inputs!$D$7)^CK$2))),(Inputs!$D$8^((1-_xlfn.WEIBULL.DIST(CK$2,$M76,$L76,FALSE))/_xlfn.WEIBULL.DIST(CK$2,$M76,$L76,FALSE))*$U76*((1+Inputs!$D$7)^CK$2))),IF($N76=Lists!$K$3,IF($L76&lt;1,((($T76*(1-$F76)+$S76*(1-$G76))/$L76)*((1+Inputs!$D$7)^CK$2)),((INT(CK$2/$L76)-INT((CK$2-1)/$L76))*($T76*(1-$F76)+$S76*(1-$G76))*((1+Inputs!$D$7)^CK$2))),((Inputs!$D$8^((1-_xlfn.WEIBULL.DIST(CK$2,$M76,$L76,FALSE))/_xlfn.WEIBULL.DIST(CK$2,$M76,$L76,FALSE))*($T76*(1-$F76)+$S76*(1-$G76))*((1+Inputs!$D$7)^CK$2))))))))</f>
        <v>0</v>
      </c>
      <c r="CL76" s="88">
        <f>MAX(AV76,($E76*IF(CL$2&gt;Inputs!$D$5,0,IF(CL$2&gt;VLOOKUP($H76,Lists!$P$3:$Q$7,2),IF($N76=Lists!$K$3,IF($L76&lt;1,(($U76/$L76)*((1+Inputs!$D$7)^CL$2)),((INT(CL$2/$L76)-INT((CL$2-1)/$L76))*$U76*((1+Inputs!$D$7)^CL$2))),(Inputs!$D$8^((1-_xlfn.WEIBULL.DIST(CL$2,$M76,$L76,FALSE))/_xlfn.WEIBULL.DIST(CL$2,$M76,$L76,FALSE))*$U76*((1+Inputs!$D$7)^CL$2))),IF($N76=Lists!$K$3,IF($L76&lt;1,((($T76*(1-$F76)+$S76*(1-$G76))/$L76)*((1+Inputs!$D$7)^CL$2)),((INT(CL$2/$L76)-INT((CL$2-1)/$L76))*($T76*(1-$F76)+$S76*(1-$G76))*((1+Inputs!$D$7)^CL$2))),((Inputs!$D$8^((1-_xlfn.WEIBULL.DIST(CL$2,$M76,$L76,FALSE))/_xlfn.WEIBULL.DIST(CL$2,$M76,$L76,FALSE))*($T76*(1-$F76)+$S76*(1-$G76))*((1+Inputs!$D$7)^CL$2))))))))</f>
        <v>0</v>
      </c>
      <c r="CM76" s="88">
        <f>MAX(AW76,($E76*IF(CM$2&gt;Inputs!$D$5,0,IF(CM$2&gt;VLOOKUP($H76,Lists!$P$3:$Q$7,2),IF($N76=Lists!$K$3,IF($L76&lt;1,(($U76/$L76)*((1+Inputs!$D$7)^CM$2)),((INT(CM$2/$L76)-INT((CM$2-1)/$L76))*$U76*((1+Inputs!$D$7)^CM$2))),(Inputs!$D$8^((1-_xlfn.WEIBULL.DIST(CM$2,$M76,$L76,FALSE))/_xlfn.WEIBULL.DIST(CM$2,$M76,$L76,FALSE))*$U76*((1+Inputs!$D$7)^CM$2))),IF($N76=Lists!$K$3,IF($L76&lt;1,((($T76*(1-$F76)+$S76*(1-$G76))/$L76)*((1+Inputs!$D$7)^CM$2)),((INT(CM$2/$L76)-INT((CM$2-1)/$L76))*($T76*(1-$F76)+$S76*(1-$G76))*((1+Inputs!$D$7)^CM$2))),((Inputs!$D$8^((1-_xlfn.WEIBULL.DIST(CM$2,$M76,$L76,FALSE))/_xlfn.WEIBULL.DIST(CM$2,$M76,$L76,FALSE))*($T76*(1-$F76)+$S76*(1-$G76))*((1+Inputs!$D$7)^CM$2))))))))</f>
        <v>0</v>
      </c>
      <c r="CN76" s="88">
        <f>MAX(AX76,($E76*IF(CN$2&gt;Inputs!$D$5,0,IF(CN$2&gt;VLOOKUP($H76,Lists!$P$3:$Q$7,2),IF($N76=Lists!$K$3,IF($L76&lt;1,(($U76/$L76)*((1+Inputs!$D$7)^CN$2)),((INT(CN$2/$L76)-INT((CN$2-1)/$L76))*$U76*((1+Inputs!$D$7)^CN$2))),(Inputs!$D$8^((1-_xlfn.WEIBULL.DIST(CN$2,$M76,$L76,FALSE))/_xlfn.WEIBULL.DIST(CN$2,$M76,$L76,FALSE))*$U76*((1+Inputs!$D$7)^CN$2))),IF($N76=Lists!$K$3,IF($L76&lt;1,((($T76*(1-$F76)+$S76*(1-$G76))/$L76)*((1+Inputs!$D$7)^CN$2)),((INT(CN$2/$L76)-INT((CN$2-1)/$L76))*($T76*(1-$F76)+$S76*(1-$G76))*((1+Inputs!$D$7)^CN$2))),((Inputs!$D$8^((1-_xlfn.WEIBULL.DIST(CN$2,$M76,$L76,FALSE))/_xlfn.WEIBULL.DIST(CN$2,$M76,$L76,FALSE))*($T76*(1-$F76)+$S76*(1-$G76))*((1+Inputs!$D$7)^CN$2))))))))</f>
        <v>0</v>
      </c>
      <c r="CO76" s="88">
        <f>MAX(AY76,($E76*IF(CO$2&gt;Inputs!$D$5,0,IF(CO$2&gt;VLOOKUP($H76,Lists!$P$3:$Q$7,2),IF($N76=Lists!$K$3,IF($L76&lt;1,(($U76/$L76)*((1+Inputs!$D$7)^CO$2)),((INT(CO$2/$L76)-INT((CO$2-1)/$L76))*$U76*((1+Inputs!$D$7)^CO$2))),(Inputs!$D$8^((1-_xlfn.WEIBULL.DIST(CO$2,$M76,$L76,FALSE))/_xlfn.WEIBULL.DIST(CO$2,$M76,$L76,FALSE))*$U76*((1+Inputs!$D$7)^CO$2))),IF($N76=Lists!$K$3,IF($L76&lt;1,((($T76*(1-$F76)+$S76*(1-$G76))/$L76)*((1+Inputs!$D$7)^CO$2)),((INT(CO$2/$L76)-INT((CO$2-1)/$L76))*($T76*(1-$F76)+$S76*(1-$G76))*((1+Inputs!$D$7)^CO$2))),((Inputs!$D$8^((1-_xlfn.WEIBULL.DIST(CO$2,$M76,$L76,FALSE))/_xlfn.WEIBULL.DIST(CO$2,$M76,$L76,FALSE))*($T76*(1-$F76)+$S76*(1-$G76))*((1+Inputs!$D$7)^CO$2))))))))</f>
        <v>0</v>
      </c>
      <c r="CP76" s="88">
        <f>MAX(AZ76,($E76*IF(CP$2&gt;Inputs!$D$5,0,IF(CP$2&gt;VLOOKUP($H76,Lists!$P$3:$Q$7,2),IF($N76=Lists!$K$3,IF($L76&lt;1,(($U76/$L76)*((1+Inputs!$D$7)^CP$2)),((INT(CP$2/$L76)-INT((CP$2-1)/$L76))*$U76*((1+Inputs!$D$7)^CP$2))),(Inputs!$D$8^((1-_xlfn.WEIBULL.DIST(CP$2,$M76,$L76,FALSE))/_xlfn.WEIBULL.DIST(CP$2,$M76,$L76,FALSE))*$U76*((1+Inputs!$D$7)^CP$2))),IF($N76=Lists!$K$3,IF($L76&lt;1,((($T76*(1-$F76)+$S76*(1-$G76))/$L76)*((1+Inputs!$D$7)^CP$2)),((INT(CP$2/$L76)-INT((CP$2-1)/$L76))*($T76*(1-$F76)+$S76*(1-$G76))*((1+Inputs!$D$7)^CP$2))),((Inputs!$D$8^((1-_xlfn.WEIBULL.DIST(CP$2,$M76,$L76,FALSE))/_xlfn.WEIBULL.DIST(CP$2,$M76,$L76,FALSE))*($T76*(1-$F76)+$S76*(1-$G76))*((1+Inputs!$D$7)^CP$2))))))))</f>
        <v>0</v>
      </c>
      <c r="CQ76" s="88">
        <f>MAX(BA76,($E76*IF(CQ$2&gt;Inputs!$D$5,0,IF(CQ$2&gt;VLOOKUP($H76,Lists!$P$3:$Q$7,2),IF($N76=Lists!$K$3,IF($L76&lt;1,(($U76/$L76)*((1+Inputs!$D$7)^CQ$2)),((INT(CQ$2/$L76)-INT((CQ$2-1)/$L76))*$U76*((1+Inputs!$D$7)^CQ$2))),(Inputs!$D$8^((1-_xlfn.WEIBULL.DIST(CQ$2,$M76,$L76,FALSE))/_xlfn.WEIBULL.DIST(CQ$2,$M76,$L76,FALSE))*$U76*((1+Inputs!$D$7)^CQ$2))),IF($N76=Lists!$K$3,IF($L76&lt;1,((($T76*(1-$F76)+$S76*(1-$G76))/$L76)*((1+Inputs!$D$7)^CQ$2)),((INT(CQ$2/$L76)-INT((CQ$2-1)/$L76))*($T76*(1-$F76)+$S76*(1-$G76))*((1+Inputs!$D$7)^CQ$2))),((Inputs!$D$8^((1-_xlfn.WEIBULL.DIST(CQ$2,$M76,$L76,FALSE))/_xlfn.WEIBULL.DIST(CQ$2,$M76,$L76,FALSE))*($T76*(1-$F76)+$S76*(1-$G76))*((1+Inputs!$D$7)^CQ$2))))))))</f>
        <v>0</v>
      </c>
      <c r="CR76" s="88">
        <f>MAX(BB76,($E76*IF(CR$2&gt;Inputs!$D$5,0,IF(CR$2&gt;VLOOKUP($H76,Lists!$P$3:$Q$7,2),IF($N76=Lists!$K$3,IF($L76&lt;1,(($U76/$L76)*((1+Inputs!$D$7)^CR$2)),((INT(CR$2/$L76)-INT((CR$2-1)/$L76))*$U76*((1+Inputs!$D$7)^CR$2))),(Inputs!$D$8^((1-_xlfn.WEIBULL.DIST(CR$2,$M76,$L76,FALSE))/_xlfn.WEIBULL.DIST(CR$2,$M76,$L76,FALSE))*$U76*((1+Inputs!$D$7)^CR$2))),IF($N76=Lists!$K$3,IF($L76&lt;1,((($T76*(1-$F76)+$S76*(1-$G76))/$L76)*((1+Inputs!$D$7)^CR$2)),((INT(CR$2/$L76)-INT((CR$2-1)/$L76))*($T76*(1-$F76)+$S76*(1-$G76))*((1+Inputs!$D$7)^CR$2))),((Inputs!$D$8^((1-_xlfn.WEIBULL.DIST(CR$2,$M76,$L76,FALSE))/_xlfn.WEIBULL.DIST(CR$2,$M76,$L76,FALSE))*($T76*(1-$F76)+$S76*(1-$G76))*((1+Inputs!$D$7)^CR$2))))))))</f>
        <v>0</v>
      </c>
      <c r="CS76" s="88">
        <f>MAX(BC76,($E76*IF(CS$2&gt;Inputs!$D$5,0,IF(CS$2&gt;VLOOKUP($H76,Lists!$P$3:$Q$7,2),IF($N76=Lists!$K$3,IF($L76&lt;1,(($U76/$L76)*((1+Inputs!$D$7)^CS$2)),((INT(CS$2/$L76)-INT((CS$2-1)/$L76))*$U76*((1+Inputs!$D$7)^CS$2))),(Inputs!$D$8^((1-_xlfn.WEIBULL.DIST(CS$2,$M76,$L76,FALSE))/_xlfn.WEIBULL.DIST(CS$2,$M76,$L76,FALSE))*$U76*((1+Inputs!$D$7)^CS$2))),IF($N76=Lists!$K$3,IF($L76&lt;1,((($T76*(1-$F76)+$S76*(1-$G76))/$L76)*((1+Inputs!$D$7)^CS$2)),((INT(CS$2/$L76)-INT((CS$2-1)/$L76))*($T76*(1-$F76)+$S76*(1-$G76))*((1+Inputs!$D$7)^CS$2))),((Inputs!$D$8^((1-_xlfn.WEIBULL.DIST(CS$2,$M76,$L76,FALSE))/_xlfn.WEIBULL.DIST(CS$2,$M76,$L76,FALSE))*($T76*(1-$F76)+$S76*(1-$G76))*((1+Inputs!$D$7)^CS$2))))))))</f>
        <v>0</v>
      </c>
      <c r="CT76" s="88">
        <f>MAX(BD76,($E76*IF(CT$2&gt;Inputs!$D$5,0,IF(CT$2&gt;VLOOKUP($H76,Lists!$P$3:$Q$7,2),IF($N76=Lists!$K$3,IF($L76&lt;1,(($U76/$L76)*((1+Inputs!$D$7)^CT$2)),((INT(CT$2/$L76)-INT((CT$2-1)/$L76))*$U76*((1+Inputs!$D$7)^CT$2))),(Inputs!$D$8^((1-_xlfn.WEIBULL.DIST(CT$2,$M76,$L76,FALSE))/_xlfn.WEIBULL.DIST(CT$2,$M76,$L76,FALSE))*$U76*((1+Inputs!$D$7)^CT$2))),IF($N76=Lists!$K$3,IF($L76&lt;1,((($T76*(1-$F76)+$S76*(1-$G76))/$L76)*((1+Inputs!$D$7)^CT$2)),((INT(CT$2/$L76)-INT((CT$2-1)/$L76))*($T76*(1-$F76)+$S76*(1-$G76))*((1+Inputs!$D$7)^CT$2))),((Inputs!$D$8^((1-_xlfn.WEIBULL.DIST(CT$2,$M76,$L76,FALSE))/_xlfn.WEIBULL.DIST(CT$2,$M76,$L76,FALSE))*($T76*(1-$F76)+$S76*(1-$G76))*((1+Inputs!$D$7)^CT$2))))))))</f>
        <v>0</v>
      </c>
      <c r="CU76" s="88">
        <f>MAX(BE76,($E76*IF(CU$2&gt;Inputs!$D$5,0,IF(CU$2&gt;VLOOKUP($H76,Lists!$P$3:$Q$7,2),IF($N76=Lists!$K$3,IF($L76&lt;1,(($U76/$L76)*((1+Inputs!$D$7)^CU$2)),((INT(CU$2/$L76)-INT((CU$2-1)/$L76))*$U76*((1+Inputs!$D$7)^CU$2))),(Inputs!$D$8^((1-_xlfn.WEIBULL.DIST(CU$2,$M76,$L76,FALSE))/_xlfn.WEIBULL.DIST(CU$2,$M76,$L76,FALSE))*$U76*((1+Inputs!$D$7)^CU$2))),IF($N76=Lists!$K$3,IF($L76&lt;1,((($T76*(1-$F76)+$S76*(1-$G76))/$L76)*((1+Inputs!$D$7)^CU$2)),((INT(CU$2/$L76)-INT((CU$2-1)/$L76))*($T76*(1-$F76)+$S76*(1-$G76))*((1+Inputs!$D$7)^CU$2))),((Inputs!$D$8^((1-_xlfn.WEIBULL.DIST(CU$2,$M76,$L76,FALSE))/_xlfn.WEIBULL.DIST(CU$2,$M76,$L76,FALSE))*($T76*(1-$F76)+$S76*(1-$G76))*((1+Inputs!$D$7)^CU$2))))))))</f>
        <v>0</v>
      </c>
      <c r="CV76" s="88">
        <f>MAX(BF76,($E76*IF(CV$2&gt;Inputs!$D$5,0,IF(CV$2&gt;VLOOKUP($H76,Lists!$P$3:$Q$7,2),IF($N76=Lists!$K$3,IF($L76&lt;1,(($U76/$L76)*((1+Inputs!$D$7)^CV$2)),((INT(CV$2/$L76)-INT((CV$2-1)/$L76))*$U76*((1+Inputs!$D$7)^CV$2))),(Inputs!$D$8^((1-_xlfn.WEIBULL.DIST(CV$2,$M76,$L76,FALSE))/_xlfn.WEIBULL.DIST(CV$2,$M76,$L76,FALSE))*$U76*((1+Inputs!$D$7)^CV$2))),IF($N76=Lists!$K$3,IF($L76&lt;1,((($T76*(1-$F76)+$S76*(1-$G76))/$L76)*((1+Inputs!$D$7)^CV$2)),((INT(CV$2/$L76)-INT((CV$2-1)/$L76))*($T76*(1-$F76)+$S76*(1-$G76))*((1+Inputs!$D$7)^CV$2))),((Inputs!$D$8^((1-_xlfn.WEIBULL.DIST(CV$2,$M76,$L76,FALSE))/_xlfn.WEIBULL.DIST(CV$2,$M76,$L76,FALSE))*($T76*(1-$F76)+$S76*(1-$G76))*((1+Inputs!$D$7)^CV$2))))))))</f>
        <v>0</v>
      </c>
      <c r="CW76" s="88">
        <f>MAX(BG76,($E76*IF(CW$2&gt;Inputs!$D$5,0,IF(CW$2&gt;VLOOKUP($H76,Lists!$P$3:$Q$7,2),IF($N76=Lists!$K$3,IF($L76&lt;1,(($U76/$L76)*((1+Inputs!$D$7)^CW$2)),((INT(CW$2/$L76)-INT((CW$2-1)/$L76))*$U76*((1+Inputs!$D$7)^CW$2))),(Inputs!$D$8^((1-_xlfn.WEIBULL.DIST(CW$2,$M76,$L76,FALSE))/_xlfn.WEIBULL.DIST(CW$2,$M76,$L76,FALSE))*$U76*((1+Inputs!$D$7)^CW$2))),IF($N76=Lists!$K$3,IF($L76&lt;1,((($T76*(1-$F76)+$S76*(1-$G76))/$L76)*((1+Inputs!$D$7)^CW$2)),((INT(CW$2/$L76)-INT((CW$2-1)/$L76))*($T76*(1-$F76)+$S76*(1-$G76))*((1+Inputs!$D$7)^CW$2))),((Inputs!$D$8^((1-_xlfn.WEIBULL.DIST(CW$2,$M76,$L76,FALSE))/_xlfn.WEIBULL.DIST(CW$2,$M76,$L76,FALSE))*($T76*(1-$F76)+$S76*(1-$G76))*((1+Inputs!$D$7)^CW$2))))))))</f>
        <v>0</v>
      </c>
      <c r="CX76" s="88">
        <f>MAX(BH76,($E76*IF(CX$2&gt;Inputs!$D$5,0,IF(CX$2&gt;VLOOKUP($H76,Lists!$P$3:$Q$7,2),IF($N76=Lists!$K$3,IF($L76&lt;1,(($U76/$L76)*((1+Inputs!$D$7)^CX$2)),((INT(CX$2/$L76)-INT((CX$2-1)/$L76))*$U76*((1+Inputs!$D$7)^CX$2))),(Inputs!$D$8^((1-_xlfn.WEIBULL.DIST(CX$2,$M76,$L76,FALSE))/_xlfn.WEIBULL.DIST(CX$2,$M76,$L76,FALSE))*$U76*((1+Inputs!$D$7)^CX$2))),IF($N76=Lists!$K$3,IF($L76&lt;1,((($T76*(1-$F76)+$S76*(1-$G76))/$L76)*((1+Inputs!$D$7)^CX$2)),((INT(CX$2/$L76)-INT((CX$2-1)/$L76))*($T76*(1-$F76)+$S76*(1-$G76))*((1+Inputs!$D$7)^CX$2))),((Inputs!$D$8^((1-_xlfn.WEIBULL.DIST(CX$2,$M76,$L76,FALSE))/_xlfn.WEIBULL.DIST(CX$2,$M76,$L76,FALSE))*($T76*(1-$F76)+$S76*(1-$G76))*((1+Inputs!$D$7)^CX$2))))))))</f>
        <v>0</v>
      </c>
      <c r="CY76" s="88">
        <f>MAX(BI76,($E76*IF(CY$2&gt;Inputs!$D$5,0,IF(CY$2&gt;VLOOKUP($H76,Lists!$P$3:$Q$7,2),IF($N76=Lists!$K$3,IF($L76&lt;1,(($U76/$L76)*((1+Inputs!$D$7)^CY$2)),((INT(CY$2/$L76)-INT((CY$2-1)/$L76))*$U76*((1+Inputs!$D$7)^CY$2))),(Inputs!$D$8^((1-_xlfn.WEIBULL.DIST(CY$2,$M76,$L76,FALSE))/_xlfn.WEIBULL.DIST(CY$2,$M76,$L76,FALSE))*$U76*((1+Inputs!$D$7)^CY$2))),IF($N76=Lists!$K$3,IF($L76&lt;1,((($T76*(1-$F76)+$S76*(1-$G76))/$L76)*((1+Inputs!$D$7)^CY$2)),((INT(CY$2/$L76)-INT((CY$2-1)/$L76))*($T76*(1-$F76)+$S76*(1-$G76))*((1+Inputs!$D$7)^CY$2))),((Inputs!$D$8^((1-_xlfn.WEIBULL.DIST(CY$2,$M76,$L76,FALSE))/_xlfn.WEIBULL.DIST(CY$2,$M76,$L76,FALSE))*($T76*(1-$F76)+$S76*(1-$G76))*((1+Inputs!$D$7)^CY$2))))))))</f>
        <v>0</v>
      </c>
      <c r="CZ76" s="88">
        <f>MAX(BJ76,($E76*IF(CZ$2&gt;Inputs!$D$5,0,IF(CZ$2&gt;VLOOKUP($H76,Lists!$P$3:$Q$7,2),IF($N76=Lists!$K$3,IF($L76&lt;1,(($U76/$L76)*((1+Inputs!$D$7)^CZ$2)),((INT(CZ$2/$L76)-INT((CZ$2-1)/$L76))*$U76*((1+Inputs!$D$7)^CZ$2))),(Inputs!$D$8^((1-_xlfn.WEIBULL.DIST(CZ$2,$M76,$L76,FALSE))/_xlfn.WEIBULL.DIST(CZ$2,$M76,$L76,FALSE))*$U76*((1+Inputs!$D$7)^CZ$2))),IF($N76=Lists!$K$3,IF($L76&lt;1,((($T76*(1-$F76)+$S76*(1-$G76))/$L76)*((1+Inputs!$D$7)^CZ$2)),((INT(CZ$2/$L76)-INT((CZ$2-1)/$L76))*($T76*(1-$F76)+$S76*(1-$G76))*((1+Inputs!$D$7)^CZ$2))),((Inputs!$D$8^((1-_xlfn.WEIBULL.DIST(CZ$2,$M76,$L76,FALSE))/_xlfn.WEIBULL.DIST(CZ$2,$M76,$L76,FALSE))*($T76*(1-$F76)+$S76*(1-$G76))*((1+Inputs!$D$7)^CZ$2))))))))</f>
        <v>0</v>
      </c>
      <c r="DA76" s="88">
        <f>MAX(BK76,($E76*IF(DA$2&gt;Inputs!$D$5,0,IF(DA$2&gt;VLOOKUP($H76,Lists!$P$3:$Q$7,2),IF($N76=Lists!$K$3,IF($L76&lt;1,(($U76/$L76)*((1+Inputs!$D$7)^DA$2)),((INT(DA$2/$L76)-INT((DA$2-1)/$L76))*$U76*((1+Inputs!$D$7)^DA$2))),(Inputs!$D$8^((1-_xlfn.WEIBULL.DIST(DA$2,$M76,$L76,FALSE))/_xlfn.WEIBULL.DIST(DA$2,$M76,$L76,FALSE))*$U76*((1+Inputs!$D$7)^DA$2))),IF($N76=Lists!$K$3,IF($L76&lt;1,((($T76*(1-$F76)+$S76*(1-$G76))/$L76)*((1+Inputs!$D$7)^DA$2)),((INT(DA$2/$L76)-INT((DA$2-1)/$L76))*($T76*(1-$F76)+$S76*(1-$G76))*((1+Inputs!$D$7)^DA$2))),((Inputs!$D$8^((1-_xlfn.WEIBULL.DIST(DA$2,$M76,$L76,FALSE))/_xlfn.WEIBULL.DIST(DA$2,$M76,$L76,FALSE))*($T76*(1-$F76)+$S76*(1-$G76))*((1+Inputs!$D$7)^DA$2))))))))</f>
        <v>0</v>
      </c>
      <c r="DB76" s="88">
        <f>MAX(BL76,($E76*IF(DB$2&gt;Inputs!$D$5,0,IF(DB$2&gt;VLOOKUP($H76,Lists!$P$3:$Q$7,2),IF($N76=Lists!$K$3,IF($L76&lt;1,(($U76/$L76)*((1+Inputs!$D$7)^DB$2)),((INT(DB$2/$L76)-INT((DB$2-1)/$L76))*$U76*((1+Inputs!$D$7)^DB$2))),(Inputs!$D$8^((1-_xlfn.WEIBULL.DIST(DB$2,$M76,$L76,FALSE))/_xlfn.WEIBULL.DIST(DB$2,$M76,$L76,FALSE))*$U76*((1+Inputs!$D$7)^DB$2))),IF($N76=Lists!$K$3,IF($L76&lt;1,((($T76*(1-$F76)+$S76*(1-$G76))/$L76)*((1+Inputs!$D$7)^DB$2)),((INT(DB$2/$L76)-INT((DB$2-1)/$L76))*($T76*(1-$F76)+$S76*(1-$G76))*((1+Inputs!$D$7)^DB$2))),((Inputs!$D$8^((1-_xlfn.WEIBULL.DIST(DB$2,$M76,$L76,FALSE))/_xlfn.WEIBULL.DIST(DB$2,$M76,$L76,FALSE))*($T76*(1-$F76)+$S76*(1-$G76))*((1+Inputs!$D$7)^DB$2))))))))</f>
        <v>0</v>
      </c>
      <c r="DC76" s="88">
        <f>MAX(BM76,($E76*IF(DC$2&gt;Inputs!$D$5,0,IF(DC$2&gt;VLOOKUP($H76,Lists!$P$3:$Q$7,2),IF($N76=Lists!$K$3,IF($L76&lt;1,(($U76/$L76)*((1+Inputs!$D$7)^DC$2)),((INT(DC$2/$L76)-INT((DC$2-1)/$L76))*$U76*((1+Inputs!$D$7)^DC$2))),(Inputs!$D$8^((1-_xlfn.WEIBULL.DIST(DC$2,$M76,$L76,FALSE))/_xlfn.WEIBULL.DIST(DC$2,$M76,$L76,FALSE))*$U76*((1+Inputs!$D$7)^DC$2))),IF($N76=Lists!$K$3,IF($L76&lt;1,((($T76*(1-$F76)+$S76*(1-$G76))/$L76)*((1+Inputs!$D$7)^DC$2)),((INT(DC$2/$L76)-INT((DC$2-1)/$L76))*($T76*(1-$F76)+$S76*(1-$G76))*((1+Inputs!$D$7)^DC$2))),((Inputs!$D$8^((1-_xlfn.WEIBULL.DIST(DC$2,$M76,$L76,FALSE))/_xlfn.WEIBULL.DIST(DC$2,$M76,$L76,FALSE))*($T76*(1-$F76)+$S76*(1-$G76))*((1+Inputs!$D$7)^DC$2))))))))</f>
        <v>0</v>
      </c>
      <c r="DD76" s="88">
        <f>MAX(BN76,($E76*IF(DD$2&gt;Inputs!$D$5,0,IF(DD$2&gt;VLOOKUP($H76,Lists!$P$3:$Q$7,2),IF($N76=Lists!$K$3,IF($L76&lt;1,(($U76/$L76)*((1+Inputs!$D$7)^DD$2)),((INT(DD$2/$L76)-INT((DD$2-1)/$L76))*$U76*((1+Inputs!$D$7)^DD$2))),(Inputs!$D$8^((1-_xlfn.WEIBULL.DIST(DD$2,$M76,$L76,FALSE))/_xlfn.WEIBULL.DIST(DD$2,$M76,$L76,FALSE))*$U76*((1+Inputs!$D$7)^DD$2))),IF($N76=Lists!$K$3,IF($L76&lt;1,((($T76*(1-$F76)+$S76*(1-$G76))/$L76)*((1+Inputs!$D$7)^DD$2)),((INT(DD$2/$L76)-INT((DD$2-1)/$L76))*($T76*(1-$F76)+$S76*(1-$G76))*((1+Inputs!$D$7)^DD$2))),((Inputs!$D$8^((1-_xlfn.WEIBULL.DIST(DD$2,$M76,$L76,FALSE))/_xlfn.WEIBULL.DIST(DD$2,$M76,$L76,FALSE))*($T76*(1-$F76)+$S76*(1-$G76))*((1+Inputs!$D$7)^DD$2))))))))</f>
        <v>0</v>
      </c>
    </row>
    <row r="77" spans="1:108" s="1" customFormat="1" ht="16">
      <c r="A77" s="57" t="s">
        <v>231</v>
      </c>
      <c r="B77" s="13" t="s">
        <v>279</v>
      </c>
      <c r="C77" s="13" t="s">
        <v>341</v>
      </c>
      <c r="D77" s="13" t="s">
        <v>30</v>
      </c>
      <c r="E77" s="106">
        <f>Inputs!$D$62</f>
        <v>0</v>
      </c>
      <c r="F77" s="90">
        <v>0</v>
      </c>
      <c r="G77" s="90">
        <v>0</v>
      </c>
      <c r="H77" s="105" t="s">
        <v>350</v>
      </c>
      <c r="I77" s="14" t="s">
        <v>266</v>
      </c>
      <c r="J77" s="14" t="s">
        <v>247</v>
      </c>
      <c r="K77" s="13">
        <f>VLOOKUP(J77,'Labor Rates'!$A$1:$F$16,2)</f>
        <v>29.298461538461535</v>
      </c>
      <c r="L77" s="15">
        <v>0.5</v>
      </c>
      <c r="M77" s="15">
        <v>1</v>
      </c>
      <c r="N77" s="13" t="s">
        <v>236</v>
      </c>
      <c r="O77" s="61">
        <v>1</v>
      </c>
      <c r="P77" s="15">
        <v>2</v>
      </c>
      <c r="Q77" s="15">
        <f t="shared" si="14"/>
        <v>4</v>
      </c>
      <c r="R77" s="4">
        <v>100</v>
      </c>
      <c r="S77" s="53">
        <f t="shared" si="15"/>
        <v>58.596923076923069</v>
      </c>
      <c r="T77" s="53">
        <f t="shared" si="16"/>
        <v>100</v>
      </c>
      <c r="U77" s="54">
        <f t="shared" si="17"/>
        <v>0</v>
      </c>
      <c r="V77" s="65"/>
      <c r="W77" s="58"/>
      <c r="X77" s="64">
        <f t="shared" si="18"/>
        <v>0</v>
      </c>
      <c r="Y77" s="64">
        <f>NPV(Inputs!$D$6,AA77:BN77)</f>
        <v>0</v>
      </c>
      <c r="Z77" s="67">
        <f t="shared" si="19"/>
        <v>0</v>
      </c>
      <c r="AA77" s="88">
        <f>$E77*IF(AA$2&gt;Inputs!$D$5,0,IF(AA$2&gt;VLOOKUP($H77,Lists!$P$3:$Q$7,2),IF($N77=Lists!$K$3,IF($L77&lt;1,(($U77/$L77)*((1+Inputs!$D$7)^AA$2)),((INT(AA$2/$L77)-INT((AA$2-1)/$L77))*$U77*((1+Inputs!$D$7)^AA$2))),(_xlfn.WEIBULL.DIST(AA$2,$M77,$L77,FALSE)*$U77*((1+Inputs!$D$7)^AA$2))),IF($N77=Lists!$K$3,IF($L77&lt;1,((($T77*(1-$F77)+$S77*(1-$G77))/$L77)*((1+Inputs!$D$7)^AA$2)),((INT(AA$2/$L77)-INT((AA$2-1)/$L77))*($T77*(1-$F77)+$S77*(1-$G77))*((1+Inputs!$D$7)^AA$2))),((_xlfn.WEIBULL.DIST(AA$2,$M77,$L77,FALSE)*($T77*(1-$F77)+$S77*(1-$G77))*((1+Inputs!$D$7)^AA$2))))))</f>
        <v>0</v>
      </c>
      <c r="AB77" s="88">
        <f>$E77*IF(AB$2&gt;Inputs!$D$5,0,IF(AB$2&gt;VLOOKUP($H77,Lists!$P$3:$Q$7,2),IF($N77=Lists!$K$3,IF($L77&lt;1,(($U77/$L77)*((1+Inputs!$D$7)^AB$2)),((INT(AB$2/$L77)-INT((AB$2-1)/$L77))*$U77*((1+Inputs!$D$7)^AB$2))),(_xlfn.WEIBULL.DIST(AB$2,$M77,$L77,FALSE)*$U77*((1+Inputs!$D$7)^AB$2))),IF($N77=Lists!$K$3,IF($L77&lt;1,((($T77*(1-$F77)+$S77*(1-$G77))/$L77)*((1+Inputs!$D$7)^AB$2)),((INT(AB$2/$L77)-INT((AB$2-1)/$L77))*($T77*(1-$F77)+$S77*(1-$G77))*((1+Inputs!$D$7)^AB$2))),((_xlfn.WEIBULL.DIST(AB$2,$M77,$L77,FALSE)*($T77*(1-$F77)+$S77*(1-$G77))*((1+Inputs!$D$7)^AB$2))))))</f>
        <v>0</v>
      </c>
      <c r="AC77" s="88">
        <f>$E77*IF(AC$2&gt;Inputs!$D$5,0,IF(AC$2&gt;VLOOKUP($H77,Lists!$P$3:$Q$7,2),IF($N77=Lists!$K$3,IF($L77&lt;1,(($U77/$L77)*((1+Inputs!$D$7)^AC$2)),((INT(AC$2/$L77)-INT((AC$2-1)/$L77))*$U77*((1+Inputs!$D$7)^AC$2))),(_xlfn.WEIBULL.DIST(AC$2,$M77,$L77,FALSE)*$U77*((1+Inputs!$D$7)^AC$2))),IF($N77=Lists!$K$3,IF($L77&lt;1,((($T77*(1-$F77)+$S77*(1-$G77))/$L77)*((1+Inputs!$D$7)^AC$2)),((INT(AC$2/$L77)-INT((AC$2-1)/$L77))*($T77*(1-$F77)+$S77*(1-$G77))*((1+Inputs!$D$7)^AC$2))),((_xlfn.WEIBULL.DIST(AC$2,$M77,$L77,FALSE)*($T77*(1-$F77)+$S77*(1-$G77))*((1+Inputs!$D$7)^AC$2))))))</f>
        <v>0</v>
      </c>
      <c r="AD77" s="88">
        <f>$E77*IF(AD$2&gt;Inputs!$D$5,0,IF(AD$2&gt;VLOOKUP($H77,Lists!$P$3:$Q$7,2),IF($N77=Lists!$K$3,IF($L77&lt;1,(($U77/$L77)*((1+Inputs!$D$7)^AD$2)),((INT(AD$2/$L77)-INT((AD$2-1)/$L77))*$U77*((1+Inputs!$D$7)^AD$2))),(_xlfn.WEIBULL.DIST(AD$2,$M77,$L77,FALSE)*$U77*((1+Inputs!$D$7)^AD$2))),IF($N77=Lists!$K$3,IF($L77&lt;1,((($T77*(1-$F77)+$S77*(1-$G77))/$L77)*((1+Inputs!$D$7)^AD$2)),((INT(AD$2/$L77)-INT((AD$2-1)/$L77))*($T77*(1-$F77)+$S77*(1-$G77))*((1+Inputs!$D$7)^AD$2))),((_xlfn.WEIBULL.DIST(AD$2,$M77,$L77,FALSE)*($T77*(1-$F77)+$S77*(1-$G77))*((1+Inputs!$D$7)^AD$2))))))</f>
        <v>0</v>
      </c>
      <c r="AE77" s="88">
        <f>$E77*IF(AE$2&gt;Inputs!$D$5,0,IF(AE$2&gt;VLOOKUP($H77,Lists!$P$3:$Q$7,2),IF($N77=Lists!$K$3,IF($L77&lt;1,(($U77/$L77)*((1+Inputs!$D$7)^AE$2)),((INT(AE$2/$L77)-INT((AE$2-1)/$L77))*$U77*((1+Inputs!$D$7)^AE$2))),(_xlfn.WEIBULL.DIST(AE$2,$M77,$L77,FALSE)*$U77*((1+Inputs!$D$7)^AE$2))),IF($N77=Lists!$K$3,IF($L77&lt;1,((($T77*(1-$F77)+$S77*(1-$G77))/$L77)*((1+Inputs!$D$7)^AE$2)),((INT(AE$2/$L77)-INT((AE$2-1)/$L77))*($T77*(1-$F77)+$S77*(1-$G77))*((1+Inputs!$D$7)^AE$2))),((_xlfn.WEIBULL.DIST(AE$2,$M77,$L77,FALSE)*($T77*(1-$F77)+$S77*(1-$G77))*((1+Inputs!$D$7)^AE$2))))))</f>
        <v>0</v>
      </c>
      <c r="AF77" s="88">
        <f>$E77*IF(AF$2&gt;Inputs!$D$5,0,IF(AF$2&gt;VLOOKUP($H77,Lists!$P$3:$Q$7,2),IF($N77=Lists!$K$3,IF($L77&lt;1,(($U77/$L77)*((1+Inputs!$D$7)^AF$2)),((INT(AF$2/$L77)-INT((AF$2-1)/$L77))*$U77*((1+Inputs!$D$7)^AF$2))),(_xlfn.WEIBULL.DIST(AF$2,$M77,$L77,FALSE)*$U77*((1+Inputs!$D$7)^AF$2))),IF($N77=Lists!$K$3,IF($L77&lt;1,((($T77*(1-$F77)+$S77*(1-$G77))/$L77)*((1+Inputs!$D$7)^AF$2)),((INT(AF$2/$L77)-INT((AF$2-1)/$L77))*($T77*(1-$F77)+$S77*(1-$G77))*((1+Inputs!$D$7)^AF$2))),((_xlfn.WEIBULL.DIST(AF$2,$M77,$L77,FALSE)*($T77*(1-$F77)+$S77*(1-$G77))*((1+Inputs!$D$7)^AF$2))))))</f>
        <v>0</v>
      </c>
      <c r="AG77" s="88">
        <f>$E77*IF(AG$2&gt;Inputs!$D$5,0,IF(AG$2&gt;VLOOKUP($H77,Lists!$P$3:$Q$7,2),IF($N77=Lists!$K$3,IF($L77&lt;1,(($U77/$L77)*((1+Inputs!$D$7)^AG$2)),((INT(AG$2/$L77)-INT((AG$2-1)/$L77))*$U77*((1+Inputs!$D$7)^AG$2))),(_xlfn.WEIBULL.DIST(AG$2,$M77,$L77,FALSE)*$U77*((1+Inputs!$D$7)^AG$2))),IF($N77=Lists!$K$3,IF($L77&lt;1,((($T77*(1-$F77)+$S77*(1-$G77))/$L77)*((1+Inputs!$D$7)^AG$2)),((INT(AG$2/$L77)-INT((AG$2-1)/$L77))*($T77*(1-$F77)+$S77*(1-$G77))*((1+Inputs!$D$7)^AG$2))),((_xlfn.WEIBULL.DIST(AG$2,$M77,$L77,FALSE)*($T77*(1-$F77)+$S77*(1-$G77))*((1+Inputs!$D$7)^AG$2))))))</f>
        <v>0</v>
      </c>
      <c r="AH77" s="88">
        <f>$E77*IF(AH$2&gt;Inputs!$D$5,0,IF(AH$2&gt;VLOOKUP($H77,Lists!$P$3:$Q$7,2),IF($N77=Lists!$K$3,IF($L77&lt;1,(($U77/$L77)*((1+Inputs!$D$7)^AH$2)),((INT(AH$2/$L77)-INT((AH$2-1)/$L77))*$U77*((1+Inputs!$D$7)^AH$2))),(_xlfn.WEIBULL.DIST(AH$2,$M77,$L77,FALSE)*$U77*((1+Inputs!$D$7)^AH$2))),IF($N77=Lists!$K$3,IF($L77&lt;1,((($T77*(1-$F77)+$S77*(1-$G77))/$L77)*((1+Inputs!$D$7)^AH$2)),((INT(AH$2/$L77)-INT((AH$2-1)/$L77))*($T77*(1-$F77)+$S77*(1-$G77))*((1+Inputs!$D$7)^AH$2))),((_xlfn.WEIBULL.DIST(AH$2,$M77,$L77,FALSE)*($T77*(1-$F77)+$S77*(1-$G77))*((1+Inputs!$D$7)^AH$2))))))</f>
        <v>0</v>
      </c>
      <c r="AI77" s="88">
        <f>$E77*IF(AI$2&gt;Inputs!$D$5,0,IF(AI$2&gt;VLOOKUP($H77,Lists!$P$3:$Q$7,2),IF($N77=Lists!$K$3,IF($L77&lt;1,(($U77/$L77)*((1+Inputs!$D$7)^AI$2)),((INT(AI$2/$L77)-INT((AI$2-1)/$L77))*$U77*((1+Inputs!$D$7)^AI$2))),(_xlfn.WEIBULL.DIST(AI$2,$M77,$L77,FALSE)*$U77*((1+Inputs!$D$7)^AI$2))),IF($N77=Lists!$K$3,IF($L77&lt;1,((($T77*(1-$F77)+$S77*(1-$G77))/$L77)*((1+Inputs!$D$7)^AI$2)),((INT(AI$2/$L77)-INT((AI$2-1)/$L77))*($T77*(1-$F77)+$S77*(1-$G77))*((1+Inputs!$D$7)^AI$2))),((_xlfn.WEIBULL.DIST(AI$2,$M77,$L77,FALSE)*($T77*(1-$F77)+$S77*(1-$G77))*((1+Inputs!$D$7)^AI$2))))))</f>
        <v>0</v>
      </c>
      <c r="AJ77" s="88">
        <f>$E77*IF(AJ$2&gt;Inputs!$D$5,0,IF(AJ$2&gt;VLOOKUP($H77,Lists!$P$3:$Q$7,2),IF($N77=Lists!$K$3,IF($L77&lt;1,(($U77/$L77)*((1+Inputs!$D$7)^AJ$2)),((INT(AJ$2/$L77)-INT((AJ$2-1)/$L77))*$U77*((1+Inputs!$D$7)^AJ$2))),(_xlfn.WEIBULL.DIST(AJ$2,$M77,$L77,FALSE)*$U77*((1+Inputs!$D$7)^AJ$2))),IF($N77=Lists!$K$3,IF($L77&lt;1,((($T77*(1-$F77)+$S77*(1-$G77))/$L77)*((1+Inputs!$D$7)^AJ$2)),((INT(AJ$2/$L77)-INT((AJ$2-1)/$L77))*($T77*(1-$F77)+$S77*(1-$G77))*((1+Inputs!$D$7)^AJ$2))),((_xlfn.WEIBULL.DIST(AJ$2,$M77,$L77,FALSE)*($T77*(1-$F77)+$S77*(1-$G77))*((1+Inputs!$D$7)^AJ$2))))))</f>
        <v>0</v>
      </c>
      <c r="AK77" s="88">
        <f>$E77*IF(AK$2&gt;Inputs!$D$5,0,IF(AK$2&gt;VLOOKUP($H77,Lists!$P$3:$Q$7,2),IF($N77=Lists!$K$3,IF($L77&lt;1,(($U77/$L77)*((1+Inputs!$D$7)^AK$2)),((INT(AK$2/$L77)-INT((AK$2-1)/$L77))*$U77*((1+Inputs!$D$7)^AK$2))),(_xlfn.WEIBULL.DIST(AK$2,$M77,$L77,FALSE)*$U77*((1+Inputs!$D$7)^AK$2))),IF($N77=Lists!$K$3,IF($L77&lt;1,((($T77*(1-$F77)+$S77*(1-$G77))/$L77)*((1+Inputs!$D$7)^AK$2)),((INT(AK$2/$L77)-INT((AK$2-1)/$L77))*($T77*(1-$F77)+$S77*(1-$G77))*((1+Inputs!$D$7)^AK$2))),((_xlfn.WEIBULL.DIST(AK$2,$M77,$L77,FALSE)*($T77*(1-$F77)+$S77*(1-$G77))*((1+Inputs!$D$7)^AK$2))))))</f>
        <v>0</v>
      </c>
      <c r="AL77" s="88">
        <f>$E77*IF(AL$2&gt;Inputs!$D$5,0,IF(AL$2&gt;VLOOKUP($H77,Lists!$P$3:$Q$7,2),IF($N77=Lists!$K$3,IF($L77&lt;1,(($U77/$L77)*((1+Inputs!$D$7)^AL$2)),((INT(AL$2/$L77)-INT((AL$2-1)/$L77))*$U77*((1+Inputs!$D$7)^AL$2))),(_xlfn.WEIBULL.DIST(AL$2,$M77,$L77,FALSE)*$U77*((1+Inputs!$D$7)^AL$2))),IF($N77=Lists!$K$3,IF($L77&lt;1,((($T77*(1-$F77)+$S77*(1-$G77))/$L77)*((1+Inputs!$D$7)^AL$2)),((INT(AL$2/$L77)-INT((AL$2-1)/$L77))*($T77*(1-$F77)+$S77*(1-$G77))*((1+Inputs!$D$7)^AL$2))),((_xlfn.WEIBULL.DIST(AL$2,$M77,$L77,FALSE)*($T77*(1-$F77)+$S77*(1-$G77))*((1+Inputs!$D$7)^AL$2))))))</f>
        <v>0</v>
      </c>
      <c r="AM77" s="88">
        <f>$E77*IF(AM$2&gt;Inputs!$D$5,0,IF(AM$2&gt;VLOOKUP($H77,Lists!$P$3:$Q$7,2),IF($N77=Lists!$K$3,IF($L77&lt;1,(($U77/$L77)*((1+Inputs!$D$7)^AM$2)),((INT(AM$2/$L77)-INT((AM$2-1)/$L77))*$U77*((1+Inputs!$D$7)^AM$2))),(_xlfn.WEIBULL.DIST(AM$2,$M77,$L77,FALSE)*$U77*((1+Inputs!$D$7)^AM$2))),IF($N77=Lists!$K$3,IF($L77&lt;1,((($T77*(1-$F77)+$S77*(1-$G77))/$L77)*((1+Inputs!$D$7)^AM$2)),((INT(AM$2/$L77)-INT((AM$2-1)/$L77))*($T77*(1-$F77)+$S77*(1-$G77))*((1+Inputs!$D$7)^AM$2))),((_xlfn.WEIBULL.DIST(AM$2,$M77,$L77,FALSE)*($T77*(1-$F77)+$S77*(1-$G77))*((1+Inputs!$D$7)^AM$2))))))</f>
        <v>0</v>
      </c>
      <c r="AN77" s="88">
        <f>$E77*IF(AN$2&gt;Inputs!$D$5,0,IF(AN$2&gt;VLOOKUP($H77,Lists!$P$3:$Q$7,2),IF($N77=Lists!$K$3,IF($L77&lt;1,(($U77/$L77)*((1+Inputs!$D$7)^AN$2)),((INT(AN$2/$L77)-INT((AN$2-1)/$L77))*$U77*((1+Inputs!$D$7)^AN$2))),(_xlfn.WEIBULL.DIST(AN$2,$M77,$L77,FALSE)*$U77*((1+Inputs!$D$7)^AN$2))),IF($N77=Lists!$K$3,IF($L77&lt;1,((($T77*(1-$F77)+$S77*(1-$G77))/$L77)*((1+Inputs!$D$7)^AN$2)),((INT(AN$2/$L77)-INT((AN$2-1)/$L77))*($T77*(1-$F77)+$S77*(1-$G77))*((1+Inputs!$D$7)^AN$2))),((_xlfn.WEIBULL.DIST(AN$2,$M77,$L77,FALSE)*($T77*(1-$F77)+$S77*(1-$G77))*((1+Inputs!$D$7)^AN$2))))))</f>
        <v>0</v>
      </c>
      <c r="AO77" s="88">
        <f>$E77*IF(AO$2&gt;Inputs!$D$5,0,IF(AO$2&gt;VLOOKUP($H77,Lists!$P$3:$Q$7,2),IF($N77=Lists!$K$3,IF($L77&lt;1,(($U77/$L77)*((1+Inputs!$D$7)^AO$2)),((INT(AO$2/$L77)-INT((AO$2-1)/$L77))*$U77*((1+Inputs!$D$7)^AO$2))),(_xlfn.WEIBULL.DIST(AO$2,$M77,$L77,FALSE)*$U77*((1+Inputs!$D$7)^AO$2))),IF($N77=Lists!$K$3,IF($L77&lt;1,((($T77*(1-$F77)+$S77*(1-$G77))/$L77)*((1+Inputs!$D$7)^AO$2)),((INT(AO$2/$L77)-INT((AO$2-1)/$L77))*($T77*(1-$F77)+$S77*(1-$G77))*((1+Inputs!$D$7)^AO$2))),((_xlfn.WEIBULL.DIST(AO$2,$M77,$L77,FALSE)*($T77*(1-$F77)+$S77*(1-$G77))*((1+Inputs!$D$7)^AO$2))))))</f>
        <v>0</v>
      </c>
      <c r="AP77" s="88">
        <f>$E77*IF(AP$2&gt;Inputs!$D$5,0,IF(AP$2&gt;VLOOKUP($H77,Lists!$P$3:$Q$7,2),IF($N77=Lists!$K$3,IF($L77&lt;1,(($U77/$L77)*((1+Inputs!$D$7)^AP$2)),((INT(AP$2/$L77)-INT((AP$2-1)/$L77))*$U77*((1+Inputs!$D$7)^AP$2))),(_xlfn.WEIBULL.DIST(AP$2,$M77,$L77,FALSE)*$U77*((1+Inputs!$D$7)^AP$2))),IF($N77=Lists!$K$3,IF($L77&lt;1,((($T77*(1-$F77)+$S77*(1-$G77))/$L77)*((1+Inputs!$D$7)^AP$2)),((INT(AP$2/$L77)-INT((AP$2-1)/$L77))*($T77*(1-$F77)+$S77*(1-$G77))*((1+Inputs!$D$7)^AP$2))),((_xlfn.WEIBULL.DIST(AP$2,$M77,$L77,FALSE)*($T77*(1-$F77)+$S77*(1-$G77))*((1+Inputs!$D$7)^AP$2))))))</f>
        <v>0</v>
      </c>
      <c r="AQ77" s="88">
        <f>$E77*IF(AQ$2&gt;Inputs!$D$5,0,IF(AQ$2&gt;VLOOKUP($H77,Lists!$P$3:$Q$7,2),IF($N77=Lists!$K$3,IF($L77&lt;1,(($U77/$L77)*((1+Inputs!$D$7)^AQ$2)),((INT(AQ$2/$L77)-INT((AQ$2-1)/$L77))*$U77*((1+Inputs!$D$7)^AQ$2))),(_xlfn.WEIBULL.DIST(AQ$2,$M77,$L77,FALSE)*$U77*((1+Inputs!$D$7)^AQ$2))),IF($N77=Lists!$K$3,IF($L77&lt;1,((($T77*(1-$F77)+$S77*(1-$G77))/$L77)*((1+Inputs!$D$7)^AQ$2)),((INT(AQ$2/$L77)-INT((AQ$2-1)/$L77))*($T77*(1-$F77)+$S77*(1-$G77))*((1+Inputs!$D$7)^AQ$2))),((_xlfn.WEIBULL.DIST(AQ$2,$M77,$L77,FALSE)*($T77*(1-$F77)+$S77*(1-$G77))*((1+Inputs!$D$7)^AQ$2))))))</f>
        <v>0</v>
      </c>
      <c r="AR77" s="88">
        <f>$E77*IF(AR$2&gt;Inputs!$D$5,0,IF(AR$2&gt;VLOOKUP($H77,Lists!$P$3:$Q$7,2),IF($N77=Lists!$K$3,IF($L77&lt;1,(($U77/$L77)*((1+Inputs!$D$7)^AR$2)),((INT(AR$2/$L77)-INT((AR$2-1)/$L77))*$U77*((1+Inputs!$D$7)^AR$2))),(_xlfn.WEIBULL.DIST(AR$2,$M77,$L77,FALSE)*$U77*((1+Inputs!$D$7)^AR$2))),IF($N77=Lists!$K$3,IF($L77&lt;1,((($T77*(1-$F77)+$S77*(1-$G77))/$L77)*((1+Inputs!$D$7)^AR$2)),((INT(AR$2/$L77)-INT((AR$2-1)/$L77))*($T77*(1-$F77)+$S77*(1-$G77))*((1+Inputs!$D$7)^AR$2))),((_xlfn.WEIBULL.DIST(AR$2,$M77,$L77,FALSE)*($T77*(1-$F77)+$S77*(1-$G77))*((1+Inputs!$D$7)^AR$2))))))</f>
        <v>0</v>
      </c>
      <c r="AS77" s="88">
        <f>$E77*IF(AS$2&gt;Inputs!$D$5,0,IF(AS$2&gt;VLOOKUP($H77,Lists!$P$3:$Q$7,2),IF($N77=Lists!$K$3,IF($L77&lt;1,(($U77/$L77)*((1+Inputs!$D$7)^AS$2)),((INT(AS$2/$L77)-INT((AS$2-1)/$L77))*$U77*((1+Inputs!$D$7)^AS$2))),(_xlfn.WEIBULL.DIST(AS$2,$M77,$L77,FALSE)*$U77*((1+Inputs!$D$7)^AS$2))),IF($N77=Lists!$K$3,IF($L77&lt;1,((($T77*(1-$F77)+$S77*(1-$G77))/$L77)*((1+Inputs!$D$7)^AS$2)),((INT(AS$2/$L77)-INT((AS$2-1)/$L77))*($T77*(1-$F77)+$S77*(1-$G77))*((1+Inputs!$D$7)^AS$2))),((_xlfn.WEIBULL.DIST(AS$2,$M77,$L77,FALSE)*($T77*(1-$F77)+$S77*(1-$G77))*((1+Inputs!$D$7)^AS$2))))))</f>
        <v>0</v>
      </c>
      <c r="AT77" s="88">
        <f>$E77*IF(AT$2&gt;Inputs!$D$5,0,IF(AT$2&gt;VLOOKUP($H77,Lists!$P$3:$Q$7,2),IF($N77=Lists!$K$3,IF($L77&lt;1,(($U77/$L77)*((1+Inputs!$D$7)^AT$2)),((INT(AT$2/$L77)-INT((AT$2-1)/$L77))*$U77*((1+Inputs!$D$7)^AT$2))),(_xlfn.WEIBULL.DIST(AT$2,$M77,$L77,FALSE)*$U77*((1+Inputs!$D$7)^AT$2))),IF($N77=Lists!$K$3,IF($L77&lt;1,((($T77*(1-$F77)+$S77*(1-$G77))/$L77)*((1+Inputs!$D$7)^AT$2)),((INT(AT$2/$L77)-INT((AT$2-1)/$L77))*($T77*(1-$F77)+$S77*(1-$G77))*((1+Inputs!$D$7)^AT$2))),((_xlfn.WEIBULL.DIST(AT$2,$M77,$L77,FALSE)*($T77*(1-$F77)+$S77*(1-$G77))*((1+Inputs!$D$7)^AT$2))))))</f>
        <v>0</v>
      </c>
      <c r="AU77" s="88">
        <f>$E77*IF(AU$2&gt;Inputs!$D$5,0,IF(AU$2&gt;VLOOKUP($H77,Lists!$P$3:$Q$7,2),IF($N77=Lists!$K$3,IF($L77&lt;1,(($U77/$L77)*((1+Inputs!$D$7)^AU$2)),((INT(AU$2/$L77)-INT((AU$2-1)/$L77))*$U77*((1+Inputs!$D$7)^AU$2))),(_xlfn.WEIBULL.DIST(AU$2,$M77,$L77,FALSE)*$U77*((1+Inputs!$D$7)^AU$2))),IF($N77=Lists!$K$3,IF($L77&lt;1,((($T77*(1-$F77)+$S77*(1-$G77))/$L77)*((1+Inputs!$D$7)^AU$2)),((INT(AU$2/$L77)-INT((AU$2-1)/$L77))*($T77*(1-$F77)+$S77*(1-$G77))*((1+Inputs!$D$7)^AU$2))),((_xlfn.WEIBULL.DIST(AU$2,$M77,$L77,FALSE)*($T77*(1-$F77)+$S77*(1-$G77))*((1+Inputs!$D$7)^AU$2))))))</f>
        <v>0</v>
      </c>
      <c r="AV77" s="88">
        <f>$E77*IF(AV$2&gt;Inputs!$D$5,0,IF(AV$2&gt;VLOOKUP($H77,Lists!$P$3:$Q$7,2),IF($N77=Lists!$K$3,IF($L77&lt;1,(($U77/$L77)*((1+Inputs!$D$7)^AV$2)),((INT(AV$2/$L77)-INT((AV$2-1)/$L77))*$U77*((1+Inputs!$D$7)^AV$2))),(_xlfn.WEIBULL.DIST(AV$2,$M77,$L77,FALSE)*$U77*((1+Inputs!$D$7)^AV$2))),IF($N77=Lists!$K$3,IF($L77&lt;1,((($T77*(1-$F77)+$S77*(1-$G77))/$L77)*((1+Inputs!$D$7)^AV$2)),((INT(AV$2/$L77)-INT((AV$2-1)/$L77))*($T77*(1-$F77)+$S77*(1-$G77))*((1+Inputs!$D$7)^AV$2))),((_xlfn.WEIBULL.DIST(AV$2,$M77,$L77,FALSE)*($T77*(1-$F77)+$S77*(1-$G77))*((1+Inputs!$D$7)^AV$2))))))</f>
        <v>0</v>
      </c>
      <c r="AW77" s="88">
        <f>$E77*IF(AW$2&gt;Inputs!$D$5,0,IF(AW$2&gt;VLOOKUP($H77,Lists!$P$3:$Q$7,2),IF($N77=Lists!$K$3,IF($L77&lt;1,(($U77/$L77)*((1+Inputs!$D$7)^AW$2)),((INT(AW$2/$L77)-INT((AW$2-1)/$L77))*$U77*((1+Inputs!$D$7)^AW$2))),(_xlfn.WEIBULL.DIST(AW$2,$M77,$L77,FALSE)*$U77*((1+Inputs!$D$7)^AW$2))),IF($N77=Lists!$K$3,IF($L77&lt;1,((($T77*(1-$F77)+$S77*(1-$G77))/$L77)*((1+Inputs!$D$7)^AW$2)),((INT(AW$2/$L77)-INT((AW$2-1)/$L77))*($T77*(1-$F77)+$S77*(1-$G77))*((1+Inputs!$D$7)^AW$2))),((_xlfn.WEIBULL.DIST(AW$2,$M77,$L77,FALSE)*($T77*(1-$F77)+$S77*(1-$G77))*((1+Inputs!$D$7)^AW$2))))))</f>
        <v>0</v>
      </c>
      <c r="AX77" s="88">
        <f>$E77*IF(AX$2&gt;Inputs!$D$5,0,IF(AX$2&gt;VLOOKUP($H77,Lists!$P$3:$Q$7,2),IF($N77=Lists!$K$3,IF($L77&lt;1,(($U77/$L77)*((1+Inputs!$D$7)^AX$2)),((INT(AX$2/$L77)-INT((AX$2-1)/$L77))*$U77*((1+Inputs!$D$7)^AX$2))),(_xlfn.WEIBULL.DIST(AX$2,$M77,$L77,FALSE)*$U77*((1+Inputs!$D$7)^AX$2))),IF($N77=Lists!$K$3,IF($L77&lt;1,((($T77*(1-$F77)+$S77*(1-$G77))/$L77)*((1+Inputs!$D$7)^AX$2)),((INT(AX$2/$L77)-INT((AX$2-1)/$L77))*($T77*(1-$F77)+$S77*(1-$G77))*((1+Inputs!$D$7)^AX$2))),((_xlfn.WEIBULL.DIST(AX$2,$M77,$L77,FALSE)*($T77*(1-$F77)+$S77*(1-$G77))*((1+Inputs!$D$7)^AX$2))))))</f>
        <v>0</v>
      </c>
      <c r="AY77" s="88">
        <f>$E77*IF(AY$2&gt;Inputs!$D$5,0,IF(AY$2&gt;VLOOKUP($H77,Lists!$P$3:$Q$7,2),IF($N77=Lists!$K$3,IF($L77&lt;1,(($U77/$L77)*((1+Inputs!$D$7)^AY$2)),((INT(AY$2/$L77)-INT((AY$2-1)/$L77))*$U77*((1+Inputs!$D$7)^AY$2))),(_xlfn.WEIBULL.DIST(AY$2,$M77,$L77,FALSE)*$U77*((1+Inputs!$D$7)^AY$2))),IF($N77=Lists!$K$3,IF($L77&lt;1,((($T77*(1-$F77)+$S77*(1-$G77))/$L77)*((1+Inputs!$D$7)^AY$2)),((INT(AY$2/$L77)-INT((AY$2-1)/$L77))*($T77*(1-$F77)+$S77*(1-$G77))*((1+Inputs!$D$7)^AY$2))),((_xlfn.WEIBULL.DIST(AY$2,$M77,$L77,FALSE)*($T77*(1-$F77)+$S77*(1-$G77))*((1+Inputs!$D$7)^AY$2))))))</f>
        <v>0</v>
      </c>
      <c r="AZ77" s="88">
        <f>$E77*IF(AZ$2&gt;Inputs!$D$5,0,IF(AZ$2&gt;VLOOKUP($H77,Lists!$P$3:$Q$7,2),IF($N77=Lists!$K$3,IF($L77&lt;1,(($U77/$L77)*((1+Inputs!$D$7)^AZ$2)),((INT(AZ$2/$L77)-INT((AZ$2-1)/$L77))*$U77*((1+Inputs!$D$7)^AZ$2))),(_xlfn.WEIBULL.DIST(AZ$2,$M77,$L77,FALSE)*$U77*((1+Inputs!$D$7)^AZ$2))),IF($N77=Lists!$K$3,IF($L77&lt;1,((($T77*(1-$F77)+$S77*(1-$G77))/$L77)*((1+Inputs!$D$7)^AZ$2)),((INT(AZ$2/$L77)-INT((AZ$2-1)/$L77))*($T77*(1-$F77)+$S77*(1-$G77))*((1+Inputs!$D$7)^AZ$2))),((_xlfn.WEIBULL.DIST(AZ$2,$M77,$L77,FALSE)*($T77*(1-$F77)+$S77*(1-$G77))*((1+Inputs!$D$7)^AZ$2))))))</f>
        <v>0</v>
      </c>
      <c r="BA77" s="88">
        <f>$E77*IF(BA$2&gt;Inputs!$D$5,0,IF(BA$2&gt;VLOOKUP($H77,Lists!$P$3:$Q$7,2),IF($N77=Lists!$K$3,IF($L77&lt;1,(($U77/$L77)*((1+Inputs!$D$7)^BA$2)),((INT(BA$2/$L77)-INT((BA$2-1)/$L77))*$U77*((1+Inputs!$D$7)^BA$2))),(_xlfn.WEIBULL.DIST(BA$2,$M77,$L77,FALSE)*$U77*((1+Inputs!$D$7)^BA$2))),IF($N77=Lists!$K$3,IF($L77&lt;1,((($T77*(1-$F77)+$S77*(1-$G77))/$L77)*((1+Inputs!$D$7)^BA$2)),((INT(BA$2/$L77)-INT((BA$2-1)/$L77))*($T77*(1-$F77)+$S77*(1-$G77))*((1+Inputs!$D$7)^BA$2))),((_xlfn.WEIBULL.DIST(BA$2,$M77,$L77,FALSE)*($T77*(1-$F77)+$S77*(1-$G77))*((1+Inputs!$D$7)^BA$2))))))</f>
        <v>0</v>
      </c>
      <c r="BB77" s="88">
        <f>$E77*IF(BB$2&gt;Inputs!$D$5,0,IF(BB$2&gt;VLOOKUP($H77,Lists!$P$3:$Q$7,2),IF($N77=Lists!$K$3,IF($L77&lt;1,(($U77/$L77)*((1+Inputs!$D$7)^BB$2)),((INT(BB$2/$L77)-INT((BB$2-1)/$L77))*$U77*((1+Inputs!$D$7)^BB$2))),(_xlfn.WEIBULL.DIST(BB$2,$M77,$L77,FALSE)*$U77*((1+Inputs!$D$7)^BB$2))),IF($N77=Lists!$K$3,IF($L77&lt;1,((($T77*(1-$F77)+$S77*(1-$G77))/$L77)*((1+Inputs!$D$7)^BB$2)),((INT(BB$2/$L77)-INT((BB$2-1)/$L77))*($T77*(1-$F77)+$S77*(1-$G77))*((1+Inputs!$D$7)^BB$2))),((_xlfn.WEIBULL.DIST(BB$2,$M77,$L77,FALSE)*($T77*(1-$F77)+$S77*(1-$G77))*((1+Inputs!$D$7)^BB$2))))))</f>
        <v>0</v>
      </c>
      <c r="BC77" s="88">
        <f>$E77*IF(BC$2&gt;Inputs!$D$5,0,IF(BC$2&gt;VLOOKUP($H77,Lists!$P$3:$Q$7,2),IF($N77=Lists!$K$3,IF($L77&lt;1,(($U77/$L77)*((1+Inputs!$D$7)^BC$2)),((INT(BC$2/$L77)-INT((BC$2-1)/$L77))*$U77*((1+Inputs!$D$7)^BC$2))),(_xlfn.WEIBULL.DIST(BC$2,$M77,$L77,FALSE)*$U77*((1+Inputs!$D$7)^BC$2))),IF($N77=Lists!$K$3,IF($L77&lt;1,((($T77*(1-$F77)+$S77*(1-$G77))/$L77)*((1+Inputs!$D$7)^BC$2)),((INT(BC$2/$L77)-INT((BC$2-1)/$L77))*($T77*(1-$F77)+$S77*(1-$G77))*((1+Inputs!$D$7)^BC$2))),((_xlfn.WEIBULL.DIST(BC$2,$M77,$L77,FALSE)*($T77*(1-$F77)+$S77*(1-$G77))*((1+Inputs!$D$7)^BC$2))))))</f>
        <v>0</v>
      </c>
      <c r="BD77" s="88">
        <f>$E77*IF(BD$2&gt;Inputs!$D$5,0,IF(BD$2&gt;VLOOKUP($H77,Lists!$P$3:$Q$7,2),IF($N77=Lists!$K$3,IF($L77&lt;1,(($U77/$L77)*((1+Inputs!$D$7)^BD$2)),((INT(BD$2/$L77)-INT((BD$2-1)/$L77))*$U77*((1+Inputs!$D$7)^BD$2))),(_xlfn.WEIBULL.DIST(BD$2,$M77,$L77,FALSE)*$U77*((1+Inputs!$D$7)^BD$2))),IF($N77=Lists!$K$3,IF($L77&lt;1,((($T77*(1-$F77)+$S77*(1-$G77))/$L77)*((1+Inputs!$D$7)^BD$2)),((INT(BD$2/$L77)-INT((BD$2-1)/$L77))*($T77*(1-$F77)+$S77*(1-$G77))*((1+Inputs!$D$7)^BD$2))),((_xlfn.WEIBULL.DIST(BD$2,$M77,$L77,FALSE)*($T77*(1-$F77)+$S77*(1-$G77))*((1+Inputs!$D$7)^BD$2))))))</f>
        <v>0</v>
      </c>
      <c r="BE77" s="88">
        <f>$E77*IF(BE$2&gt;Inputs!$D$5,0,IF(BE$2&gt;VLOOKUP($H77,Lists!$P$3:$Q$7,2),IF($N77=Lists!$K$3,IF($L77&lt;1,(($U77/$L77)*((1+Inputs!$D$7)^BE$2)),((INT(BE$2/$L77)-INT((BE$2-1)/$L77))*$U77*((1+Inputs!$D$7)^BE$2))),(_xlfn.WEIBULL.DIST(BE$2,$M77,$L77,FALSE)*$U77*((1+Inputs!$D$7)^BE$2))),IF($N77=Lists!$K$3,IF($L77&lt;1,((($T77*(1-$F77)+$S77*(1-$G77))/$L77)*((1+Inputs!$D$7)^BE$2)),((INT(BE$2/$L77)-INT((BE$2-1)/$L77))*($T77*(1-$F77)+$S77*(1-$G77))*((1+Inputs!$D$7)^BE$2))),((_xlfn.WEIBULL.DIST(BE$2,$M77,$L77,FALSE)*($T77*(1-$F77)+$S77*(1-$G77))*((1+Inputs!$D$7)^BE$2))))))</f>
        <v>0</v>
      </c>
      <c r="BF77" s="88">
        <f>$E77*IF(BF$2&gt;Inputs!$D$5,0,IF(BF$2&gt;VLOOKUP($H77,Lists!$P$3:$Q$7,2),IF($N77=Lists!$K$3,IF($L77&lt;1,(($U77/$L77)*((1+Inputs!$D$7)^BF$2)),((INT(BF$2/$L77)-INT((BF$2-1)/$L77))*$U77*((1+Inputs!$D$7)^BF$2))),(_xlfn.WEIBULL.DIST(BF$2,$M77,$L77,FALSE)*$U77*((1+Inputs!$D$7)^BF$2))),IF($N77=Lists!$K$3,IF($L77&lt;1,((($T77*(1-$F77)+$S77*(1-$G77))/$L77)*((1+Inputs!$D$7)^BF$2)),((INT(BF$2/$L77)-INT((BF$2-1)/$L77))*($T77*(1-$F77)+$S77*(1-$G77))*((1+Inputs!$D$7)^BF$2))),((_xlfn.WEIBULL.DIST(BF$2,$M77,$L77,FALSE)*($T77*(1-$F77)+$S77*(1-$G77))*((1+Inputs!$D$7)^BF$2))))))</f>
        <v>0</v>
      </c>
      <c r="BG77" s="88">
        <f>$E77*IF(BG$2&gt;Inputs!$D$5,0,IF(BG$2&gt;VLOOKUP($H77,Lists!$P$3:$Q$7,2),IF($N77=Lists!$K$3,IF($L77&lt;1,(($U77/$L77)*((1+Inputs!$D$7)^BG$2)),((INT(BG$2/$L77)-INT((BG$2-1)/$L77))*$U77*((1+Inputs!$D$7)^BG$2))),(_xlfn.WEIBULL.DIST(BG$2,$M77,$L77,FALSE)*$U77*((1+Inputs!$D$7)^BG$2))),IF($N77=Lists!$K$3,IF($L77&lt;1,((($T77*(1-$F77)+$S77*(1-$G77))/$L77)*((1+Inputs!$D$7)^BG$2)),((INT(BG$2/$L77)-INT((BG$2-1)/$L77))*($T77*(1-$F77)+$S77*(1-$G77))*((1+Inputs!$D$7)^BG$2))),((_xlfn.WEIBULL.DIST(BG$2,$M77,$L77,FALSE)*($T77*(1-$F77)+$S77*(1-$G77))*((1+Inputs!$D$7)^BG$2))))))</f>
        <v>0</v>
      </c>
      <c r="BH77" s="88">
        <f>$E77*IF(BH$2&gt;Inputs!$D$5,0,IF(BH$2&gt;VLOOKUP($H77,Lists!$P$3:$Q$7,2),IF($N77=Lists!$K$3,IF($L77&lt;1,(($U77/$L77)*((1+Inputs!$D$7)^BH$2)),((INT(BH$2/$L77)-INT((BH$2-1)/$L77))*$U77*((1+Inputs!$D$7)^BH$2))),(_xlfn.WEIBULL.DIST(BH$2,$M77,$L77,FALSE)*$U77*((1+Inputs!$D$7)^BH$2))),IF($N77=Lists!$K$3,IF($L77&lt;1,((($T77*(1-$F77)+$S77*(1-$G77))/$L77)*((1+Inputs!$D$7)^BH$2)),((INT(BH$2/$L77)-INT((BH$2-1)/$L77))*($T77*(1-$F77)+$S77*(1-$G77))*((1+Inputs!$D$7)^BH$2))),((_xlfn.WEIBULL.DIST(BH$2,$M77,$L77,FALSE)*($T77*(1-$F77)+$S77*(1-$G77))*((1+Inputs!$D$7)^BH$2))))))</f>
        <v>0</v>
      </c>
      <c r="BI77" s="88">
        <f>$E77*IF(BI$2&gt;Inputs!$D$5,0,IF(BI$2&gt;VLOOKUP($H77,Lists!$P$3:$Q$7,2),IF($N77=Lists!$K$3,IF($L77&lt;1,(($U77/$L77)*((1+Inputs!$D$7)^BI$2)),((INT(BI$2/$L77)-INT((BI$2-1)/$L77))*$U77*((1+Inputs!$D$7)^BI$2))),(_xlfn.WEIBULL.DIST(BI$2,$M77,$L77,FALSE)*$U77*((1+Inputs!$D$7)^BI$2))),IF($N77=Lists!$K$3,IF($L77&lt;1,((($T77*(1-$F77)+$S77*(1-$G77))/$L77)*((1+Inputs!$D$7)^BI$2)),((INT(BI$2/$L77)-INT((BI$2-1)/$L77))*($T77*(1-$F77)+$S77*(1-$G77))*((1+Inputs!$D$7)^BI$2))),((_xlfn.WEIBULL.DIST(BI$2,$M77,$L77,FALSE)*($T77*(1-$F77)+$S77*(1-$G77))*((1+Inputs!$D$7)^BI$2))))))</f>
        <v>0</v>
      </c>
      <c r="BJ77" s="88">
        <f>$E77*IF(BJ$2&gt;Inputs!$D$5,0,IF(BJ$2&gt;VLOOKUP($H77,Lists!$P$3:$Q$7,2),IF($N77=Lists!$K$3,IF($L77&lt;1,(($U77/$L77)*((1+Inputs!$D$7)^BJ$2)),((INT(BJ$2/$L77)-INT((BJ$2-1)/$L77))*$U77*((1+Inputs!$D$7)^BJ$2))),(_xlfn.WEIBULL.DIST(BJ$2,$M77,$L77,FALSE)*$U77*((1+Inputs!$D$7)^BJ$2))),IF($N77=Lists!$K$3,IF($L77&lt;1,((($T77*(1-$F77)+$S77*(1-$G77))/$L77)*((1+Inputs!$D$7)^BJ$2)),((INT(BJ$2/$L77)-INT((BJ$2-1)/$L77))*($T77*(1-$F77)+$S77*(1-$G77))*((1+Inputs!$D$7)^BJ$2))),((_xlfn.WEIBULL.DIST(BJ$2,$M77,$L77,FALSE)*($T77*(1-$F77)+$S77*(1-$G77))*((1+Inputs!$D$7)^BJ$2))))))</f>
        <v>0</v>
      </c>
      <c r="BK77" s="88">
        <f>$E77*IF(BK$2&gt;Inputs!$D$5,0,IF(BK$2&gt;VLOOKUP($H77,Lists!$P$3:$Q$7,2),IF($N77=Lists!$K$3,IF($L77&lt;1,(($U77/$L77)*((1+Inputs!$D$7)^BK$2)),((INT(BK$2/$L77)-INT((BK$2-1)/$L77))*$U77*((1+Inputs!$D$7)^BK$2))),(_xlfn.WEIBULL.DIST(BK$2,$M77,$L77,FALSE)*$U77*((1+Inputs!$D$7)^BK$2))),IF($N77=Lists!$K$3,IF($L77&lt;1,((($T77*(1-$F77)+$S77*(1-$G77))/$L77)*((1+Inputs!$D$7)^BK$2)),((INT(BK$2/$L77)-INT((BK$2-1)/$L77))*($T77*(1-$F77)+$S77*(1-$G77))*((1+Inputs!$D$7)^BK$2))),((_xlfn.WEIBULL.DIST(BK$2,$M77,$L77,FALSE)*($T77*(1-$F77)+$S77*(1-$G77))*((1+Inputs!$D$7)^BK$2))))))</f>
        <v>0</v>
      </c>
      <c r="BL77" s="88">
        <f>$E77*IF(BL$2&gt;Inputs!$D$5,0,IF(BL$2&gt;VLOOKUP($H77,Lists!$P$3:$Q$7,2),IF($N77=Lists!$K$3,IF($L77&lt;1,(($U77/$L77)*((1+Inputs!$D$7)^BL$2)),((INT(BL$2/$L77)-INT((BL$2-1)/$L77))*$U77*((1+Inputs!$D$7)^BL$2))),(_xlfn.WEIBULL.DIST(BL$2,$M77,$L77,FALSE)*$U77*((1+Inputs!$D$7)^BL$2))),IF($N77=Lists!$K$3,IF($L77&lt;1,((($T77*(1-$F77)+$S77*(1-$G77))/$L77)*((1+Inputs!$D$7)^BL$2)),((INT(BL$2/$L77)-INT((BL$2-1)/$L77))*($T77*(1-$F77)+$S77*(1-$G77))*((1+Inputs!$D$7)^BL$2))),((_xlfn.WEIBULL.DIST(BL$2,$M77,$L77,FALSE)*($T77*(1-$F77)+$S77*(1-$G77))*((1+Inputs!$D$7)^BL$2))))))</f>
        <v>0</v>
      </c>
      <c r="BM77" s="88">
        <f>$E77*IF(BM$2&gt;Inputs!$D$5,0,IF(BM$2&gt;VLOOKUP($H77,Lists!$P$3:$Q$7,2),IF($N77=Lists!$K$3,IF($L77&lt;1,(($U77/$L77)*((1+Inputs!$D$7)^BM$2)),((INT(BM$2/$L77)-INT((BM$2-1)/$L77))*$U77*((1+Inputs!$D$7)^BM$2))),(_xlfn.WEIBULL.DIST(BM$2,$M77,$L77,FALSE)*$U77*((1+Inputs!$D$7)^BM$2))),IF($N77=Lists!$K$3,IF($L77&lt;1,((($T77*(1-$F77)+$S77*(1-$G77))/$L77)*((1+Inputs!$D$7)^BM$2)),((INT(BM$2/$L77)-INT((BM$2-1)/$L77))*($T77*(1-$F77)+$S77*(1-$G77))*((1+Inputs!$D$7)^BM$2))),((_xlfn.WEIBULL.DIST(BM$2,$M77,$L77,FALSE)*($T77*(1-$F77)+$S77*(1-$G77))*((1+Inputs!$D$7)^BM$2))))))</f>
        <v>0</v>
      </c>
      <c r="BN77" s="88">
        <f>$E77*IF(BN$2&gt;Inputs!$D$5,0,IF(BN$2&gt;VLOOKUP($H77,Lists!$P$3:$Q$7,2),IF($N77=Lists!$K$3,IF($L77&lt;1,(($U77/$L77)*((1+Inputs!$D$7)^BN$2)),((INT(BN$2/$L77)-INT((BN$2-1)/$L77))*$U77*((1+Inputs!$D$7)^BN$2))),(_xlfn.WEIBULL.DIST(BN$2,$M77,$L77,FALSE)*$U77*((1+Inputs!$D$7)^BN$2))),IF($N77=Lists!$K$3,IF($L77&lt;1,((($T77*(1-$F77)+$S77*(1-$G77))/$L77)*((1+Inputs!$D$7)^BN$2)),((INT(BN$2/$L77)-INT((BN$2-1)/$L77))*($T77*(1-$F77)+$S77*(1-$G77))*((1+Inputs!$D$7)^BN$2))),((_xlfn.WEIBULL.DIST(BN$2,$M77,$L77,FALSE)*($T77*(1-$F77)+$S77*(1-$G77))*((1+Inputs!$D$7)^BN$2))))))</f>
        <v>0</v>
      </c>
      <c r="BO77" s="64">
        <f>NPV(Inputs!$D$6,BQ77:DD77)</f>
        <v>0</v>
      </c>
      <c r="BP77" s="67">
        <f t="shared" si="20"/>
        <v>0</v>
      </c>
      <c r="BQ77" s="88">
        <f>MAX(AA77,($E77*IF(BQ$2&gt;Inputs!$D$5,0,IF(BQ$2&gt;VLOOKUP($H77,Lists!$P$3:$Q$7,2),IF($N77=Lists!$K$3,IF($L77&lt;1,(($U77/$L77)*((1+Inputs!$D$7)^BQ$2)),((INT(BQ$2/$L77)-INT((BQ$2-1)/$L77))*$U77*((1+Inputs!$D$7)^BQ$2))),(Inputs!$D$8^((1-_xlfn.WEIBULL.DIST(BQ$2,$M77,$L77,FALSE))/_xlfn.WEIBULL.DIST(BQ$2,$M77,$L77,FALSE))*$U77*((1+Inputs!$D$7)^BQ$2))),IF($N77=Lists!$K$3,IF($L77&lt;1,((($T77*(1-$F77)+$S77*(1-$G77))/$L77)*((1+Inputs!$D$7)^BQ$2)),((INT(BQ$2/$L77)-INT((BQ$2-1)/$L77))*($T77*(1-$F77)+$S77*(1-$G77))*((1+Inputs!$D$7)^BQ$2))),((Inputs!$D$8^((1-_xlfn.WEIBULL.DIST(BQ$2,$M77,$L77,FALSE))/_xlfn.WEIBULL.DIST(BQ$2,$M77,$L77,FALSE))*($T77*(1-$F77)+$S77*(1-$G77))*((1+Inputs!$D$7)^BQ$2))))))))</f>
        <v>0</v>
      </c>
      <c r="BR77" s="88">
        <f>MAX(AB77,($E77*IF(BR$2&gt;Inputs!$D$5,0,IF(BR$2&gt;VLOOKUP($H77,Lists!$P$3:$Q$7,2),IF($N77=Lists!$K$3,IF($L77&lt;1,(($U77/$L77)*((1+Inputs!$D$7)^BR$2)),((INT(BR$2/$L77)-INT((BR$2-1)/$L77))*$U77*((1+Inputs!$D$7)^BR$2))),(Inputs!$D$8^((1-_xlfn.WEIBULL.DIST(BR$2,$M77,$L77,FALSE))/_xlfn.WEIBULL.DIST(BR$2,$M77,$L77,FALSE))*$U77*((1+Inputs!$D$7)^BR$2))),IF($N77=Lists!$K$3,IF($L77&lt;1,((($T77*(1-$F77)+$S77*(1-$G77))/$L77)*((1+Inputs!$D$7)^BR$2)),((INT(BR$2/$L77)-INT((BR$2-1)/$L77))*($T77*(1-$F77)+$S77*(1-$G77))*((1+Inputs!$D$7)^BR$2))),((Inputs!$D$8^((1-_xlfn.WEIBULL.DIST(BR$2,$M77,$L77,FALSE))/_xlfn.WEIBULL.DIST(BR$2,$M77,$L77,FALSE))*($T77*(1-$F77)+$S77*(1-$G77))*((1+Inputs!$D$7)^BR$2))))))))</f>
        <v>0</v>
      </c>
      <c r="BS77" s="88">
        <f>MAX(AC77,($E77*IF(BS$2&gt;Inputs!$D$5,0,IF(BS$2&gt;VLOOKUP($H77,Lists!$P$3:$Q$7,2),IF($N77=Lists!$K$3,IF($L77&lt;1,(($U77/$L77)*((1+Inputs!$D$7)^BS$2)),((INT(BS$2/$L77)-INT((BS$2-1)/$L77))*$U77*((1+Inputs!$D$7)^BS$2))),(Inputs!$D$8^((1-_xlfn.WEIBULL.DIST(BS$2,$M77,$L77,FALSE))/_xlfn.WEIBULL.DIST(BS$2,$M77,$L77,FALSE))*$U77*((1+Inputs!$D$7)^BS$2))),IF($N77=Lists!$K$3,IF($L77&lt;1,((($T77*(1-$F77)+$S77*(1-$G77))/$L77)*((1+Inputs!$D$7)^BS$2)),((INT(BS$2/$L77)-INT((BS$2-1)/$L77))*($T77*(1-$F77)+$S77*(1-$G77))*((1+Inputs!$D$7)^BS$2))),((Inputs!$D$8^((1-_xlfn.WEIBULL.DIST(BS$2,$M77,$L77,FALSE))/_xlfn.WEIBULL.DIST(BS$2,$M77,$L77,FALSE))*($T77*(1-$F77)+$S77*(1-$G77))*((1+Inputs!$D$7)^BS$2))))))))</f>
        <v>0</v>
      </c>
      <c r="BT77" s="88">
        <f>MAX(AD77,($E77*IF(BT$2&gt;Inputs!$D$5,0,IF(BT$2&gt;VLOOKUP($H77,Lists!$P$3:$Q$7,2),IF($N77=Lists!$K$3,IF($L77&lt;1,(($U77/$L77)*((1+Inputs!$D$7)^BT$2)),((INT(BT$2/$L77)-INT((BT$2-1)/$L77))*$U77*((1+Inputs!$D$7)^BT$2))),(Inputs!$D$8^((1-_xlfn.WEIBULL.DIST(BT$2,$M77,$L77,FALSE))/_xlfn.WEIBULL.DIST(BT$2,$M77,$L77,FALSE))*$U77*((1+Inputs!$D$7)^BT$2))),IF($N77=Lists!$K$3,IF($L77&lt;1,((($T77*(1-$F77)+$S77*(1-$G77))/$L77)*((1+Inputs!$D$7)^BT$2)),((INT(BT$2/$L77)-INT((BT$2-1)/$L77))*($T77*(1-$F77)+$S77*(1-$G77))*((1+Inputs!$D$7)^BT$2))),((Inputs!$D$8^((1-_xlfn.WEIBULL.DIST(BT$2,$M77,$L77,FALSE))/_xlfn.WEIBULL.DIST(BT$2,$M77,$L77,FALSE))*($T77*(1-$F77)+$S77*(1-$G77))*((1+Inputs!$D$7)^BT$2))))))))</f>
        <v>0</v>
      </c>
      <c r="BU77" s="88">
        <f>MAX(AE77,($E77*IF(BU$2&gt;Inputs!$D$5,0,IF(BU$2&gt;VLOOKUP($H77,Lists!$P$3:$Q$7,2),IF($N77=Lists!$K$3,IF($L77&lt;1,(($U77/$L77)*((1+Inputs!$D$7)^BU$2)),((INT(BU$2/$L77)-INT((BU$2-1)/$L77))*$U77*((1+Inputs!$D$7)^BU$2))),(Inputs!$D$8^((1-_xlfn.WEIBULL.DIST(BU$2,$M77,$L77,FALSE))/_xlfn.WEIBULL.DIST(BU$2,$M77,$L77,FALSE))*$U77*((1+Inputs!$D$7)^BU$2))),IF($N77=Lists!$K$3,IF($L77&lt;1,((($T77*(1-$F77)+$S77*(1-$G77))/$L77)*((1+Inputs!$D$7)^BU$2)),((INT(BU$2/$L77)-INT((BU$2-1)/$L77))*($T77*(1-$F77)+$S77*(1-$G77))*((1+Inputs!$D$7)^BU$2))),((Inputs!$D$8^((1-_xlfn.WEIBULL.DIST(BU$2,$M77,$L77,FALSE))/_xlfn.WEIBULL.DIST(BU$2,$M77,$L77,FALSE))*($T77*(1-$F77)+$S77*(1-$G77))*((1+Inputs!$D$7)^BU$2))))))))</f>
        <v>0</v>
      </c>
      <c r="BV77" s="88">
        <f>MAX(AF77,($E77*IF(BV$2&gt;Inputs!$D$5,0,IF(BV$2&gt;VLOOKUP($H77,Lists!$P$3:$Q$7,2),IF($N77=Lists!$K$3,IF($L77&lt;1,(($U77/$L77)*((1+Inputs!$D$7)^BV$2)),((INT(BV$2/$L77)-INT((BV$2-1)/$L77))*$U77*((1+Inputs!$D$7)^BV$2))),(Inputs!$D$8^((1-_xlfn.WEIBULL.DIST(BV$2,$M77,$L77,FALSE))/_xlfn.WEIBULL.DIST(BV$2,$M77,$L77,FALSE))*$U77*((1+Inputs!$D$7)^BV$2))),IF($N77=Lists!$K$3,IF($L77&lt;1,((($T77*(1-$F77)+$S77*(1-$G77))/$L77)*((1+Inputs!$D$7)^BV$2)),((INT(BV$2/$L77)-INT((BV$2-1)/$L77))*($T77*(1-$F77)+$S77*(1-$G77))*((1+Inputs!$D$7)^BV$2))),((Inputs!$D$8^((1-_xlfn.WEIBULL.DIST(BV$2,$M77,$L77,FALSE))/_xlfn.WEIBULL.DIST(BV$2,$M77,$L77,FALSE))*($T77*(1-$F77)+$S77*(1-$G77))*((1+Inputs!$D$7)^BV$2))))))))</f>
        <v>0</v>
      </c>
      <c r="BW77" s="88">
        <f>MAX(AG77,($E77*IF(BW$2&gt;Inputs!$D$5,0,IF(BW$2&gt;VLOOKUP($H77,Lists!$P$3:$Q$7,2),IF($N77=Lists!$K$3,IF($L77&lt;1,(($U77/$L77)*((1+Inputs!$D$7)^BW$2)),((INT(BW$2/$L77)-INT((BW$2-1)/$L77))*$U77*((1+Inputs!$D$7)^BW$2))),(Inputs!$D$8^((1-_xlfn.WEIBULL.DIST(BW$2,$M77,$L77,FALSE))/_xlfn.WEIBULL.DIST(BW$2,$M77,$L77,FALSE))*$U77*((1+Inputs!$D$7)^BW$2))),IF($N77=Lists!$K$3,IF($L77&lt;1,((($T77*(1-$F77)+$S77*(1-$G77))/$L77)*((1+Inputs!$D$7)^BW$2)),((INT(BW$2/$L77)-INT((BW$2-1)/$L77))*($T77*(1-$F77)+$S77*(1-$G77))*((1+Inputs!$D$7)^BW$2))),((Inputs!$D$8^((1-_xlfn.WEIBULL.DIST(BW$2,$M77,$L77,FALSE))/_xlfn.WEIBULL.DIST(BW$2,$M77,$L77,FALSE))*($T77*(1-$F77)+$S77*(1-$G77))*((1+Inputs!$D$7)^BW$2))))))))</f>
        <v>0</v>
      </c>
      <c r="BX77" s="88">
        <f>MAX(AH77,($E77*IF(BX$2&gt;Inputs!$D$5,0,IF(BX$2&gt;VLOOKUP($H77,Lists!$P$3:$Q$7,2),IF($N77=Lists!$K$3,IF($L77&lt;1,(($U77/$L77)*((1+Inputs!$D$7)^BX$2)),((INT(BX$2/$L77)-INT((BX$2-1)/$L77))*$U77*((1+Inputs!$D$7)^BX$2))),(Inputs!$D$8^((1-_xlfn.WEIBULL.DIST(BX$2,$M77,$L77,FALSE))/_xlfn.WEIBULL.DIST(BX$2,$M77,$L77,FALSE))*$U77*((1+Inputs!$D$7)^BX$2))),IF($N77=Lists!$K$3,IF($L77&lt;1,((($T77*(1-$F77)+$S77*(1-$G77))/$L77)*((1+Inputs!$D$7)^BX$2)),((INT(BX$2/$L77)-INT((BX$2-1)/$L77))*($T77*(1-$F77)+$S77*(1-$G77))*((1+Inputs!$D$7)^BX$2))),((Inputs!$D$8^((1-_xlfn.WEIBULL.DIST(BX$2,$M77,$L77,FALSE))/_xlfn.WEIBULL.DIST(BX$2,$M77,$L77,FALSE))*($T77*(1-$F77)+$S77*(1-$G77))*((1+Inputs!$D$7)^BX$2))))))))</f>
        <v>0</v>
      </c>
      <c r="BY77" s="88">
        <f>MAX(AI77,($E77*IF(BY$2&gt;Inputs!$D$5,0,IF(BY$2&gt;VLOOKUP($H77,Lists!$P$3:$Q$7,2),IF($N77=Lists!$K$3,IF($L77&lt;1,(($U77/$L77)*((1+Inputs!$D$7)^BY$2)),((INT(BY$2/$L77)-INT((BY$2-1)/$L77))*$U77*((1+Inputs!$D$7)^BY$2))),(Inputs!$D$8^((1-_xlfn.WEIBULL.DIST(BY$2,$M77,$L77,FALSE))/_xlfn.WEIBULL.DIST(BY$2,$M77,$L77,FALSE))*$U77*((1+Inputs!$D$7)^BY$2))),IF($N77=Lists!$K$3,IF($L77&lt;1,((($T77*(1-$F77)+$S77*(1-$G77))/$L77)*((1+Inputs!$D$7)^BY$2)),((INT(BY$2/$L77)-INT((BY$2-1)/$L77))*($T77*(1-$F77)+$S77*(1-$G77))*((1+Inputs!$D$7)^BY$2))),((Inputs!$D$8^((1-_xlfn.WEIBULL.DIST(BY$2,$M77,$L77,FALSE))/_xlfn.WEIBULL.DIST(BY$2,$M77,$L77,FALSE))*($T77*(1-$F77)+$S77*(1-$G77))*((1+Inputs!$D$7)^BY$2))))))))</f>
        <v>0</v>
      </c>
      <c r="BZ77" s="88">
        <f>MAX(AJ77,($E77*IF(BZ$2&gt;Inputs!$D$5,0,IF(BZ$2&gt;VLOOKUP($H77,Lists!$P$3:$Q$7,2),IF($N77=Lists!$K$3,IF($L77&lt;1,(($U77/$L77)*((1+Inputs!$D$7)^BZ$2)),((INT(BZ$2/$L77)-INT((BZ$2-1)/$L77))*$U77*((1+Inputs!$D$7)^BZ$2))),(Inputs!$D$8^((1-_xlfn.WEIBULL.DIST(BZ$2,$M77,$L77,FALSE))/_xlfn.WEIBULL.DIST(BZ$2,$M77,$L77,FALSE))*$U77*((1+Inputs!$D$7)^BZ$2))),IF($N77=Lists!$K$3,IF($L77&lt;1,((($T77*(1-$F77)+$S77*(1-$G77))/$L77)*((1+Inputs!$D$7)^BZ$2)),((INT(BZ$2/$L77)-INT((BZ$2-1)/$L77))*($T77*(1-$F77)+$S77*(1-$G77))*((1+Inputs!$D$7)^BZ$2))),((Inputs!$D$8^((1-_xlfn.WEIBULL.DIST(BZ$2,$M77,$L77,FALSE))/_xlfn.WEIBULL.DIST(BZ$2,$M77,$L77,FALSE))*($T77*(1-$F77)+$S77*(1-$G77))*((1+Inputs!$D$7)^BZ$2))))))))</f>
        <v>0</v>
      </c>
      <c r="CA77" s="88">
        <f>MAX(AK77,($E77*IF(CA$2&gt;Inputs!$D$5,0,IF(CA$2&gt;VLOOKUP($H77,Lists!$P$3:$Q$7,2),IF($N77=Lists!$K$3,IF($L77&lt;1,(($U77/$L77)*((1+Inputs!$D$7)^CA$2)),((INT(CA$2/$L77)-INT((CA$2-1)/$L77))*$U77*((1+Inputs!$D$7)^CA$2))),(Inputs!$D$8^((1-_xlfn.WEIBULL.DIST(CA$2,$M77,$L77,FALSE))/_xlfn.WEIBULL.DIST(CA$2,$M77,$L77,FALSE))*$U77*((1+Inputs!$D$7)^CA$2))),IF($N77=Lists!$K$3,IF($L77&lt;1,((($T77*(1-$F77)+$S77*(1-$G77))/$L77)*((1+Inputs!$D$7)^CA$2)),((INT(CA$2/$L77)-INT((CA$2-1)/$L77))*($T77*(1-$F77)+$S77*(1-$G77))*((1+Inputs!$D$7)^CA$2))),((Inputs!$D$8^((1-_xlfn.WEIBULL.DIST(CA$2,$M77,$L77,FALSE))/_xlfn.WEIBULL.DIST(CA$2,$M77,$L77,FALSE))*($T77*(1-$F77)+$S77*(1-$G77))*((1+Inputs!$D$7)^CA$2))))))))</f>
        <v>0</v>
      </c>
      <c r="CB77" s="88">
        <f>MAX(AL77,($E77*IF(CB$2&gt;Inputs!$D$5,0,IF(CB$2&gt;VLOOKUP($H77,Lists!$P$3:$Q$7,2),IF($N77=Lists!$K$3,IF($L77&lt;1,(($U77/$L77)*((1+Inputs!$D$7)^CB$2)),((INT(CB$2/$L77)-INT((CB$2-1)/$L77))*$U77*((1+Inputs!$D$7)^CB$2))),(Inputs!$D$8^((1-_xlfn.WEIBULL.DIST(CB$2,$M77,$L77,FALSE))/_xlfn.WEIBULL.DIST(CB$2,$M77,$L77,FALSE))*$U77*((1+Inputs!$D$7)^CB$2))),IF($N77=Lists!$K$3,IF($L77&lt;1,((($T77*(1-$F77)+$S77*(1-$G77))/$L77)*((1+Inputs!$D$7)^CB$2)),((INT(CB$2/$L77)-INT((CB$2-1)/$L77))*($T77*(1-$F77)+$S77*(1-$G77))*((1+Inputs!$D$7)^CB$2))),((Inputs!$D$8^((1-_xlfn.WEIBULL.DIST(CB$2,$M77,$L77,FALSE))/_xlfn.WEIBULL.DIST(CB$2,$M77,$L77,FALSE))*($T77*(1-$F77)+$S77*(1-$G77))*((1+Inputs!$D$7)^CB$2))))))))</f>
        <v>0</v>
      </c>
      <c r="CC77" s="88">
        <f>MAX(AM77,($E77*IF(CC$2&gt;Inputs!$D$5,0,IF(CC$2&gt;VLOOKUP($H77,Lists!$P$3:$Q$7,2),IF($N77=Lists!$K$3,IF($L77&lt;1,(($U77/$L77)*((1+Inputs!$D$7)^CC$2)),((INT(CC$2/$L77)-INT((CC$2-1)/$L77))*$U77*((1+Inputs!$D$7)^CC$2))),(Inputs!$D$8^((1-_xlfn.WEIBULL.DIST(CC$2,$M77,$L77,FALSE))/_xlfn.WEIBULL.DIST(CC$2,$M77,$L77,FALSE))*$U77*((1+Inputs!$D$7)^CC$2))),IF($N77=Lists!$K$3,IF($L77&lt;1,((($T77*(1-$F77)+$S77*(1-$G77))/$L77)*((1+Inputs!$D$7)^CC$2)),((INT(CC$2/$L77)-INT((CC$2-1)/$L77))*($T77*(1-$F77)+$S77*(1-$G77))*((1+Inputs!$D$7)^CC$2))),((Inputs!$D$8^((1-_xlfn.WEIBULL.DIST(CC$2,$M77,$L77,FALSE))/_xlfn.WEIBULL.DIST(CC$2,$M77,$L77,FALSE))*($T77*(1-$F77)+$S77*(1-$G77))*((1+Inputs!$D$7)^CC$2))))))))</f>
        <v>0</v>
      </c>
      <c r="CD77" s="88">
        <f>MAX(AN77,($E77*IF(CD$2&gt;Inputs!$D$5,0,IF(CD$2&gt;VLOOKUP($H77,Lists!$P$3:$Q$7,2),IF($N77=Lists!$K$3,IF($L77&lt;1,(($U77/$L77)*((1+Inputs!$D$7)^CD$2)),((INT(CD$2/$L77)-INT((CD$2-1)/$L77))*$U77*((1+Inputs!$D$7)^CD$2))),(Inputs!$D$8^((1-_xlfn.WEIBULL.DIST(CD$2,$M77,$L77,FALSE))/_xlfn.WEIBULL.DIST(CD$2,$M77,$L77,FALSE))*$U77*((1+Inputs!$D$7)^CD$2))),IF($N77=Lists!$K$3,IF($L77&lt;1,((($T77*(1-$F77)+$S77*(1-$G77))/$L77)*((1+Inputs!$D$7)^CD$2)),((INT(CD$2/$L77)-INT((CD$2-1)/$L77))*($T77*(1-$F77)+$S77*(1-$G77))*((1+Inputs!$D$7)^CD$2))),((Inputs!$D$8^((1-_xlfn.WEIBULL.DIST(CD$2,$M77,$L77,FALSE))/_xlfn.WEIBULL.DIST(CD$2,$M77,$L77,FALSE))*($T77*(1-$F77)+$S77*(1-$G77))*((1+Inputs!$D$7)^CD$2))))))))</f>
        <v>0</v>
      </c>
      <c r="CE77" s="88">
        <f>MAX(AO77,($E77*IF(CE$2&gt;Inputs!$D$5,0,IF(CE$2&gt;VLOOKUP($H77,Lists!$P$3:$Q$7,2),IF($N77=Lists!$K$3,IF($L77&lt;1,(($U77/$L77)*((1+Inputs!$D$7)^CE$2)),((INT(CE$2/$L77)-INT((CE$2-1)/$L77))*$U77*((1+Inputs!$D$7)^CE$2))),(Inputs!$D$8^((1-_xlfn.WEIBULL.DIST(CE$2,$M77,$L77,FALSE))/_xlfn.WEIBULL.DIST(CE$2,$M77,$L77,FALSE))*$U77*((1+Inputs!$D$7)^CE$2))),IF($N77=Lists!$K$3,IF($L77&lt;1,((($T77*(1-$F77)+$S77*(1-$G77))/$L77)*((1+Inputs!$D$7)^CE$2)),((INT(CE$2/$L77)-INT((CE$2-1)/$L77))*($T77*(1-$F77)+$S77*(1-$G77))*((1+Inputs!$D$7)^CE$2))),((Inputs!$D$8^((1-_xlfn.WEIBULL.DIST(CE$2,$M77,$L77,FALSE))/_xlfn.WEIBULL.DIST(CE$2,$M77,$L77,FALSE))*($T77*(1-$F77)+$S77*(1-$G77))*((1+Inputs!$D$7)^CE$2))))))))</f>
        <v>0</v>
      </c>
      <c r="CF77" s="88">
        <f>MAX(AP77,($E77*IF(CF$2&gt;Inputs!$D$5,0,IF(CF$2&gt;VLOOKUP($H77,Lists!$P$3:$Q$7,2),IF($N77=Lists!$K$3,IF($L77&lt;1,(($U77/$L77)*((1+Inputs!$D$7)^CF$2)),((INT(CF$2/$L77)-INT((CF$2-1)/$L77))*$U77*((1+Inputs!$D$7)^CF$2))),(Inputs!$D$8^((1-_xlfn.WEIBULL.DIST(CF$2,$M77,$L77,FALSE))/_xlfn.WEIBULL.DIST(CF$2,$M77,$L77,FALSE))*$U77*((1+Inputs!$D$7)^CF$2))),IF($N77=Lists!$K$3,IF($L77&lt;1,((($T77*(1-$F77)+$S77*(1-$G77))/$L77)*((1+Inputs!$D$7)^CF$2)),((INT(CF$2/$L77)-INT((CF$2-1)/$L77))*($T77*(1-$F77)+$S77*(1-$G77))*((1+Inputs!$D$7)^CF$2))),((Inputs!$D$8^((1-_xlfn.WEIBULL.DIST(CF$2,$M77,$L77,FALSE))/_xlfn.WEIBULL.DIST(CF$2,$M77,$L77,FALSE))*($T77*(1-$F77)+$S77*(1-$G77))*((1+Inputs!$D$7)^CF$2))))))))</f>
        <v>0</v>
      </c>
      <c r="CG77" s="88">
        <f>MAX(AQ77,($E77*IF(CG$2&gt;Inputs!$D$5,0,IF(CG$2&gt;VLOOKUP($H77,Lists!$P$3:$Q$7,2),IF($N77=Lists!$K$3,IF($L77&lt;1,(($U77/$L77)*((1+Inputs!$D$7)^CG$2)),((INT(CG$2/$L77)-INT((CG$2-1)/$L77))*$U77*((1+Inputs!$D$7)^CG$2))),(Inputs!$D$8^((1-_xlfn.WEIBULL.DIST(CG$2,$M77,$L77,FALSE))/_xlfn.WEIBULL.DIST(CG$2,$M77,$L77,FALSE))*$U77*((1+Inputs!$D$7)^CG$2))),IF($N77=Lists!$K$3,IF($L77&lt;1,((($T77*(1-$F77)+$S77*(1-$G77))/$L77)*((1+Inputs!$D$7)^CG$2)),((INT(CG$2/$L77)-INT((CG$2-1)/$L77))*($T77*(1-$F77)+$S77*(1-$G77))*((1+Inputs!$D$7)^CG$2))),((Inputs!$D$8^((1-_xlfn.WEIBULL.DIST(CG$2,$M77,$L77,FALSE))/_xlfn.WEIBULL.DIST(CG$2,$M77,$L77,FALSE))*($T77*(1-$F77)+$S77*(1-$G77))*((1+Inputs!$D$7)^CG$2))))))))</f>
        <v>0</v>
      </c>
      <c r="CH77" s="88">
        <f>MAX(AR77,($E77*IF(CH$2&gt;Inputs!$D$5,0,IF(CH$2&gt;VLOOKUP($H77,Lists!$P$3:$Q$7,2),IF($N77=Lists!$K$3,IF($L77&lt;1,(($U77/$L77)*((1+Inputs!$D$7)^CH$2)),((INT(CH$2/$L77)-INT((CH$2-1)/$L77))*$U77*((1+Inputs!$D$7)^CH$2))),(Inputs!$D$8^((1-_xlfn.WEIBULL.DIST(CH$2,$M77,$L77,FALSE))/_xlfn.WEIBULL.DIST(CH$2,$M77,$L77,FALSE))*$U77*((1+Inputs!$D$7)^CH$2))),IF($N77=Lists!$K$3,IF($L77&lt;1,((($T77*(1-$F77)+$S77*(1-$G77))/$L77)*((1+Inputs!$D$7)^CH$2)),((INT(CH$2/$L77)-INT((CH$2-1)/$L77))*($T77*(1-$F77)+$S77*(1-$G77))*((1+Inputs!$D$7)^CH$2))),((Inputs!$D$8^((1-_xlfn.WEIBULL.DIST(CH$2,$M77,$L77,FALSE))/_xlfn.WEIBULL.DIST(CH$2,$M77,$L77,FALSE))*($T77*(1-$F77)+$S77*(1-$G77))*((1+Inputs!$D$7)^CH$2))))))))</f>
        <v>0</v>
      </c>
      <c r="CI77" s="88">
        <f>MAX(AS77,($E77*IF(CI$2&gt;Inputs!$D$5,0,IF(CI$2&gt;VLOOKUP($H77,Lists!$P$3:$Q$7,2),IF($N77=Lists!$K$3,IF($L77&lt;1,(($U77/$L77)*((1+Inputs!$D$7)^CI$2)),((INT(CI$2/$L77)-INT((CI$2-1)/$L77))*$U77*((1+Inputs!$D$7)^CI$2))),(Inputs!$D$8^((1-_xlfn.WEIBULL.DIST(CI$2,$M77,$L77,FALSE))/_xlfn.WEIBULL.DIST(CI$2,$M77,$L77,FALSE))*$U77*((1+Inputs!$D$7)^CI$2))),IF($N77=Lists!$K$3,IF($L77&lt;1,((($T77*(1-$F77)+$S77*(1-$G77))/$L77)*((1+Inputs!$D$7)^CI$2)),((INT(CI$2/$L77)-INT((CI$2-1)/$L77))*($T77*(1-$F77)+$S77*(1-$G77))*((1+Inputs!$D$7)^CI$2))),((Inputs!$D$8^((1-_xlfn.WEIBULL.DIST(CI$2,$M77,$L77,FALSE))/_xlfn.WEIBULL.DIST(CI$2,$M77,$L77,FALSE))*($T77*(1-$F77)+$S77*(1-$G77))*((1+Inputs!$D$7)^CI$2))))))))</f>
        <v>0</v>
      </c>
      <c r="CJ77" s="88">
        <f>MAX(AT77,($E77*IF(CJ$2&gt;Inputs!$D$5,0,IF(CJ$2&gt;VLOOKUP($H77,Lists!$P$3:$Q$7,2),IF($N77=Lists!$K$3,IF($L77&lt;1,(($U77/$L77)*((1+Inputs!$D$7)^CJ$2)),((INT(CJ$2/$L77)-INT((CJ$2-1)/$L77))*$U77*((1+Inputs!$D$7)^CJ$2))),(Inputs!$D$8^((1-_xlfn.WEIBULL.DIST(CJ$2,$M77,$L77,FALSE))/_xlfn.WEIBULL.DIST(CJ$2,$M77,$L77,FALSE))*$U77*((1+Inputs!$D$7)^CJ$2))),IF($N77=Lists!$K$3,IF($L77&lt;1,((($T77*(1-$F77)+$S77*(1-$G77))/$L77)*((1+Inputs!$D$7)^CJ$2)),((INT(CJ$2/$L77)-INT((CJ$2-1)/$L77))*($T77*(1-$F77)+$S77*(1-$G77))*((1+Inputs!$D$7)^CJ$2))),((Inputs!$D$8^((1-_xlfn.WEIBULL.DIST(CJ$2,$M77,$L77,FALSE))/_xlfn.WEIBULL.DIST(CJ$2,$M77,$L77,FALSE))*($T77*(1-$F77)+$S77*(1-$G77))*((1+Inputs!$D$7)^CJ$2))))))))</f>
        <v>0</v>
      </c>
      <c r="CK77" s="88">
        <f>MAX(AU77,($E77*IF(CK$2&gt;Inputs!$D$5,0,IF(CK$2&gt;VLOOKUP($H77,Lists!$P$3:$Q$7,2),IF($N77=Lists!$K$3,IF($L77&lt;1,(($U77/$L77)*((1+Inputs!$D$7)^CK$2)),((INT(CK$2/$L77)-INT((CK$2-1)/$L77))*$U77*((1+Inputs!$D$7)^CK$2))),(Inputs!$D$8^((1-_xlfn.WEIBULL.DIST(CK$2,$M77,$L77,FALSE))/_xlfn.WEIBULL.DIST(CK$2,$M77,$L77,FALSE))*$U77*((1+Inputs!$D$7)^CK$2))),IF($N77=Lists!$K$3,IF($L77&lt;1,((($T77*(1-$F77)+$S77*(1-$G77))/$L77)*((1+Inputs!$D$7)^CK$2)),((INT(CK$2/$L77)-INT((CK$2-1)/$L77))*($T77*(1-$F77)+$S77*(1-$G77))*((1+Inputs!$D$7)^CK$2))),((Inputs!$D$8^((1-_xlfn.WEIBULL.DIST(CK$2,$M77,$L77,FALSE))/_xlfn.WEIBULL.DIST(CK$2,$M77,$L77,FALSE))*($T77*(1-$F77)+$S77*(1-$G77))*((1+Inputs!$D$7)^CK$2))))))))</f>
        <v>0</v>
      </c>
      <c r="CL77" s="88">
        <f>MAX(AV77,($E77*IF(CL$2&gt;Inputs!$D$5,0,IF(CL$2&gt;VLOOKUP($H77,Lists!$P$3:$Q$7,2),IF($N77=Lists!$K$3,IF($L77&lt;1,(($U77/$L77)*((1+Inputs!$D$7)^CL$2)),((INT(CL$2/$L77)-INT((CL$2-1)/$L77))*$U77*((1+Inputs!$D$7)^CL$2))),(Inputs!$D$8^((1-_xlfn.WEIBULL.DIST(CL$2,$M77,$L77,FALSE))/_xlfn.WEIBULL.DIST(CL$2,$M77,$L77,FALSE))*$U77*((1+Inputs!$D$7)^CL$2))),IF($N77=Lists!$K$3,IF($L77&lt;1,((($T77*(1-$F77)+$S77*(1-$G77))/$L77)*((1+Inputs!$D$7)^CL$2)),((INT(CL$2/$L77)-INT((CL$2-1)/$L77))*($T77*(1-$F77)+$S77*(1-$G77))*((1+Inputs!$D$7)^CL$2))),((Inputs!$D$8^((1-_xlfn.WEIBULL.DIST(CL$2,$M77,$L77,FALSE))/_xlfn.WEIBULL.DIST(CL$2,$M77,$L77,FALSE))*($T77*(1-$F77)+$S77*(1-$G77))*((1+Inputs!$D$7)^CL$2))))))))</f>
        <v>0</v>
      </c>
      <c r="CM77" s="88">
        <f>MAX(AW77,($E77*IF(CM$2&gt;Inputs!$D$5,0,IF(CM$2&gt;VLOOKUP($H77,Lists!$P$3:$Q$7,2),IF($N77=Lists!$K$3,IF($L77&lt;1,(($U77/$L77)*((1+Inputs!$D$7)^CM$2)),((INT(CM$2/$L77)-INT((CM$2-1)/$L77))*$U77*((1+Inputs!$D$7)^CM$2))),(Inputs!$D$8^((1-_xlfn.WEIBULL.DIST(CM$2,$M77,$L77,FALSE))/_xlfn.WEIBULL.DIST(CM$2,$M77,$L77,FALSE))*$U77*((1+Inputs!$D$7)^CM$2))),IF($N77=Lists!$K$3,IF($L77&lt;1,((($T77*(1-$F77)+$S77*(1-$G77))/$L77)*((1+Inputs!$D$7)^CM$2)),((INT(CM$2/$L77)-INT((CM$2-1)/$L77))*($T77*(1-$F77)+$S77*(1-$G77))*((1+Inputs!$D$7)^CM$2))),((Inputs!$D$8^((1-_xlfn.WEIBULL.DIST(CM$2,$M77,$L77,FALSE))/_xlfn.WEIBULL.DIST(CM$2,$M77,$L77,FALSE))*($T77*(1-$F77)+$S77*(1-$G77))*((1+Inputs!$D$7)^CM$2))))))))</f>
        <v>0</v>
      </c>
      <c r="CN77" s="88">
        <f>MAX(AX77,($E77*IF(CN$2&gt;Inputs!$D$5,0,IF(CN$2&gt;VLOOKUP($H77,Lists!$P$3:$Q$7,2),IF($N77=Lists!$K$3,IF($L77&lt;1,(($U77/$L77)*((1+Inputs!$D$7)^CN$2)),((INT(CN$2/$L77)-INT((CN$2-1)/$L77))*$U77*((1+Inputs!$D$7)^CN$2))),(Inputs!$D$8^((1-_xlfn.WEIBULL.DIST(CN$2,$M77,$L77,FALSE))/_xlfn.WEIBULL.DIST(CN$2,$M77,$L77,FALSE))*$U77*((1+Inputs!$D$7)^CN$2))),IF($N77=Lists!$K$3,IF($L77&lt;1,((($T77*(1-$F77)+$S77*(1-$G77))/$L77)*((1+Inputs!$D$7)^CN$2)),((INT(CN$2/$L77)-INT((CN$2-1)/$L77))*($T77*(1-$F77)+$S77*(1-$G77))*((1+Inputs!$D$7)^CN$2))),((Inputs!$D$8^((1-_xlfn.WEIBULL.DIST(CN$2,$M77,$L77,FALSE))/_xlfn.WEIBULL.DIST(CN$2,$M77,$L77,FALSE))*($T77*(1-$F77)+$S77*(1-$G77))*((1+Inputs!$D$7)^CN$2))))))))</f>
        <v>0</v>
      </c>
      <c r="CO77" s="88">
        <f>MAX(AY77,($E77*IF(CO$2&gt;Inputs!$D$5,0,IF(CO$2&gt;VLOOKUP($H77,Lists!$P$3:$Q$7,2),IF($N77=Lists!$K$3,IF($L77&lt;1,(($U77/$L77)*((1+Inputs!$D$7)^CO$2)),((INT(CO$2/$L77)-INT((CO$2-1)/$L77))*$U77*((1+Inputs!$D$7)^CO$2))),(Inputs!$D$8^((1-_xlfn.WEIBULL.DIST(CO$2,$M77,$L77,FALSE))/_xlfn.WEIBULL.DIST(CO$2,$M77,$L77,FALSE))*$U77*((1+Inputs!$D$7)^CO$2))),IF($N77=Lists!$K$3,IF($L77&lt;1,((($T77*(1-$F77)+$S77*(1-$G77))/$L77)*((1+Inputs!$D$7)^CO$2)),((INT(CO$2/$L77)-INT((CO$2-1)/$L77))*($T77*(1-$F77)+$S77*(1-$G77))*((1+Inputs!$D$7)^CO$2))),((Inputs!$D$8^((1-_xlfn.WEIBULL.DIST(CO$2,$M77,$L77,FALSE))/_xlfn.WEIBULL.DIST(CO$2,$M77,$L77,FALSE))*($T77*(1-$F77)+$S77*(1-$G77))*((1+Inputs!$D$7)^CO$2))))))))</f>
        <v>0</v>
      </c>
      <c r="CP77" s="88">
        <f>MAX(AZ77,($E77*IF(CP$2&gt;Inputs!$D$5,0,IF(CP$2&gt;VLOOKUP($H77,Lists!$P$3:$Q$7,2),IF($N77=Lists!$K$3,IF($L77&lt;1,(($U77/$L77)*((1+Inputs!$D$7)^CP$2)),((INT(CP$2/$L77)-INT((CP$2-1)/$L77))*$U77*((1+Inputs!$D$7)^CP$2))),(Inputs!$D$8^((1-_xlfn.WEIBULL.DIST(CP$2,$M77,$L77,FALSE))/_xlfn.WEIBULL.DIST(CP$2,$M77,$L77,FALSE))*$U77*((1+Inputs!$D$7)^CP$2))),IF($N77=Lists!$K$3,IF($L77&lt;1,((($T77*(1-$F77)+$S77*(1-$G77))/$L77)*((1+Inputs!$D$7)^CP$2)),((INT(CP$2/$L77)-INT((CP$2-1)/$L77))*($T77*(1-$F77)+$S77*(1-$G77))*((1+Inputs!$D$7)^CP$2))),((Inputs!$D$8^((1-_xlfn.WEIBULL.DIST(CP$2,$M77,$L77,FALSE))/_xlfn.WEIBULL.DIST(CP$2,$M77,$L77,FALSE))*($T77*(1-$F77)+$S77*(1-$G77))*((1+Inputs!$D$7)^CP$2))))))))</f>
        <v>0</v>
      </c>
      <c r="CQ77" s="88">
        <f>MAX(BA77,($E77*IF(CQ$2&gt;Inputs!$D$5,0,IF(CQ$2&gt;VLOOKUP($H77,Lists!$P$3:$Q$7,2),IF($N77=Lists!$K$3,IF($L77&lt;1,(($U77/$L77)*((1+Inputs!$D$7)^CQ$2)),((INT(CQ$2/$L77)-INT((CQ$2-1)/$L77))*$U77*((1+Inputs!$D$7)^CQ$2))),(Inputs!$D$8^((1-_xlfn.WEIBULL.DIST(CQ$2,$M77,$L77,FALSE))/_xlfn.WEIBULL.DIST(CQ$2,$M77,$L77,FALSE))*$U77*((1+Inputs!$D$7)^CQ$2))),IF($N77=Lists!$K$3,IF($L77&lt;1,((($T77*(1-$F77)+$S77*(1-$G77))/$L77)*((1+Inputs!$D$7)^CQ$2)),((INT(CQ$2/$L77)-INT((CQ$2-1)/$L77))*($T77*(1-$F77)+$S77*(1-$G77))*((1+Inputs!$D$7)^CQ$2))),((Inputs!$D$8^((1-_xlfn.WEIBULL.DIST(CQ$2,$M77,$L77,FALSE))/_xlfn.WEIBULL.DIST(CQ$2,$M77,$L77,FALSE))*($T77*(1-$F77)+$S77*(1-$G77))*((1+Inputs!$D$7)^CQ$2))))))))</f>
        <v>0</v>
      </c>
      <c r="CR77" s="88">
        <f>MAX(BB77,($E77*IF(CR$2&gt;Inputs!$D$5,0,IF(CR$2&gt;VLOOKUP($H77,Lists!$P$3:$Q$7,2),IF($N77=Lists!$K$3,IF($L77&lt;1,(($U77/$L77)*((1+Inputs!$D$7)^CR$2)),((INT(CR$2/$L77)-INT((CR$2-1)/$L77))*$U77*((1+Inputs!$D$7)^CR$2))),(Inputs!$D$8^((1-_xlfn.WEIBULL.DIST(CR$2,$M77,$L77,FALSE))/_xlfn.WEIBULL.DIST(CR$2,$M77,$L77,FALSE))*$U77*((1+Inputs!$D$7)^CR$2))),IF($N77=Lists!$K$3,IF($L77&lt;1,((($T77*(1-$F77)+$S77*(1-$G77))/$L77)*((1+Inputs!$D$7)^CR$2)),((INT(CR$2/$L77)-INT((CR$2-1)/$L77))*($T77*(1-$F77)+$S77*(1-$G77))*((1+Inputs!$D$7)^CR$2))),((Inputs!$D$8^((1-_xlfn.WEIBULL.DIST(CR$2,$M77,$L77,FALSE))/_xlfn.WEIBULL.DIST(CR$2,$M77,$L77,FALSE))*($T77*(1-$F77)+$S77*(1-$G77))*((1+Inputs!$D$7)^CR$2))))))))</f>
        <v>0</v>
      </c>
      <c r="CS77" s="88">
        <f>MAX(BC77,($E77*IF(CS$2&gt;Inputs!$D$5,0,IF(CS$2&gt;VLOOKUP($H77,Lists!$P$3:$Q$7,2),IF($N77=Lists!$K$3,IF($L77&lt;1,(($U77/$L77)*((1+Inputs!$D$7)^CS$2)),((INT(CS$2/$L77)-INT((CS$2-1)/$L77))*$U77*((1+Inputs!$D$7)^CS$2))),(Inputs!$D$8^((1-_xlfn.WEIBULL.DIST(CS$2,$M77,$L77,FALSE))/_xlfn.WEIBULL.DIST(CS$2,$M77,$L77,FALSE))*$U77*((1+Inputs!$D$7)^CS$2))),IF($N77=Lists!$K$3,IF($L77&lt;1,((($T77*(1-$F77)+$S77*(1-$G77))/$L77)*((1+Inputs!$D$7)^CS$2)),((INT(CS$2/$L77)-INT((CS$2-1)/$L77))*($T77*(1-$F77)+$S77*(1-$G77))*((1+Inputs!$D$7)^CS$2))),((Inputs!$D$8^((1-_xlfn.WEIBULL.DIST(CS$2,$M77,$L77,FALSE))/_xlfn.WEIBULL.DIST(CS$2,$M77,$L77,FALSE))*($T77*(1-$F77)+$S77*(1-$G77))*((1+Inputs!$D$7)^CS$2))))))))</f>
        <v>0</v>
      </c>
      <c r="CT77" s="88">
        <f>MAX(BD77,($E77*IF(CT$2&gt;Inputs!$D$5,0,IF(CT$2&gt;VLOOKUP($H77,Lists!$P$3:$Q$7,2),IF($N77=Lists!$K$3,IF($L77&lt;1,(($U77/$L77)*((1+Inputs!$D$7)^CT$2)),((INT(CT$2/$L77)-INT((CT$2-1)/$L77))*$U77*((1+Inputs!$D$7)^CT$2))),(Inputs!$D$8^((1-_xlfn.WEIBULL.DIST(CT$2,$M77,$L77,FALSE))/_xlfn.WEIBULL.DIST(CT$2,$M77,$L77,FALSE))*$U77*((1+Inputs!$D$7)^CT$2))),IF($N77=Lists!$K$3,IF($L77&lt;1,((($T77*(1-$F77)+$S77*(1-$G77))/$L77)*((1+Inputs!$D$7)^CT$2)),((INT(CT$2/$L77)-INT((CT$2-1)/$L77))*($T77*(1-$F77)+$S77*(1-$G77))*((1+Inputs!$D$7)^CT$2))),((Inputs!$D$8^((1-_xlfn.WEIBULL.DIST(CT$2,$M77,$L77,FALSE))/_xlfn.WEIBULL.DIST(CT$2,$M77,$L77,FALSE))*($T77*(1-$F77)+$S77*(1-$G77))*((1+Inputs!$D$7)^CT$2))))))))</f>
        <v>0</v>
      </c>
      <c r="CU77" s="88">
        <f>MAX(BE77,($E77*IF(CU$2&gt;Inputs!$D$5,0,IF(CU$2&gt;VLOOKUP($H77,Lists!$P$3:$Q$7,2),IF($N77=Lists!$K$3,IF($L77&lt;1,(($U77/$L77)*((1+Inputs!$D$7)^CU$2)),((INT(CU$2/$L77)-INT((CU$2-1)/$L77))*$U77*((1+Inputs!$D$7)^CU$2))),(Inputs!$D$8^((1-_xlfn.WEIBULL.DIST(CU$2,$M77,$L77,FALSE))/_xlfn.WEIBULL.DIST(CU$2,$M77,$L77,FALSE))*$U77*((1+Inputs!$D$7)^CU$2))),IF($N77=Lists!$K$3,IF($L77&lt;1,((($T77*(1-$F77)+$S77*(1-$G77))/$L77)*((1+Inputs!$D$7)^CU$2)),((INT(CU$2/$L77)-INT((CU$2-1)/$L77))*($T77*(1-$F77)+$S77*(1-$G77))*((1+Inputs!$D$7)^CU$2))),((Inputs!$D$8^((1-_xlfn.WEIBULL.DIST(CU$2,$M77,$L77,FALSE))/_xlfn.WEIBULL.DIST(CU$2,$M77,$L77,FALSE))*($T77*(1-$F77)+$S77*(1-$G77))*((1+Inputs!$D$7)^CU$2))))))))</f>
        <v>0</v>
      </c>
      <c r="CV77" s="88">
        <f>MAX(BF77,($E77*IF(CV$2&gt;Inputs!$D$5,0,IF(CV$2&gt;VLOOKUP($H77,Lists!$P$3:$Q$7,2),IF($N77=Lists!$K$3,IF($L77&lt;1,(($U77/$L77)*((1+Inputs!$D$7)^CV$2)),((INT(CV$2/$L77)-INT((CV$2-1)/$L77))*$U77*((1+Inputs!$D$7)^CV$2))),(Inputs!$D$8^((1-_xlfn.WEIBULL.DIST(CV$2,$M77,$L77,FALSE))/_xlfn.WEIBULL.DIST(CV$2,$M77,$L77,FALSE))*$U77*((1+Inputs!$D$7)^CV$2))),IF($N77=Lists!$K$3,IF($L77&lt;1,((($T77*(1-$F77)+$S77*(1-$G77))/$L77)*((1+Inputs!$D$7)^CV$2)),((INT(CV$2/$L77)-INT((CV$2-1)/$L77))*($T77*(1-$F77)+$S77*(1-$G77))*((1+Inputs!$D$7)^CV$2))),((Inputs!$D$8^((1-_xlfn.WEIBULL.DIST(CV$2,$M77,$L77,FALSE))/_xlfn.WEIBULL.DIST(CV$2,$M77,$L77,FALSE))*($T77*(1-$F77)+$S77*(1-$G77))*((1+Inputs!$D$7)^CV$2))))))))</f>
        <v>0</v>
      </c>
      <c r="CW77" s="88">
        <f>MAX(BG77,($E77*IF(CW$2&gt;Inputs!$D$5,0,IF(CW$2&gt;VLOOKUP($H77,Lists!$P$3:$Q$7,2),IF($N77=Lists!$K$3,IF($L77&lt;1,(($U77/$L77)*((1+Inputs!$D$7)^CW$2)),((INT(CW$2/$L77)-INT((CW$2-1)/$L77))*$U77*((1+Inputs!$D$7)^CW$2))),(Inputs!$D$8^((1-_xlfn.WEIBULL.DIST(CW$2,$M77,$L77,FALSE))/_xlfn.WEIBULL.DIST(CW$2,$M77,$L77,FALSE))*$U77*((1+Inputs!$D$7)^CW$2))),IF($N77=Lists!$K$3,IF($L77&lt;1,((($T77*(1-$F77)+$S77*(1-$G77))/$L77)*((1+Inputs!$D$7)^CW$2)),((INT(CW$2/$L77)-INT((CW$2-1)/$L77))*($T77*(1-$F77)+$S77*(1-$G77))*((1+Inputs!$D$7)^CW$2))),((Inputs!$D$8^((1-_xlfn.WEIBULL.DIST(CW$2,$M77,$L77,FALSE))/_xlfn.WEIBULL.DIST(CW$2,$M77,$L77,FALSE))*($T77*(1-$F77)+$S77*(1-$G77))*((1+Inputs!$D$7)^CW$2))))))))</f>
        <v>0</v>
      </c>
      <c r="CX77" s="88">
        <f>MAX(BH77,($E77*IF(CX$2&gt;Inputs!$D$5,0,IF(CX$2&gt;VLOOKUP($H77,Lists!$P$3:$Q$7,2),IF($N77=Lists!$K$3,IF($L77&lt;1,(($U77/$L77)*((1+Inputs!$D$7)^CX$2)),((INT(CX$2/$L77)-INT((CX$2-1)/$L77))*$U77*((1+Inputs!$D$7)^CX$2))),(Inputs!$D$8^((1-_xlfn.WEIBULL.DIST(CX$2,$M77,$L77,FALSE))/_xlfn.WEIBULL.DIST(CX$2,$M77,$L77,FALSE))*$U77*((1+Inputs!$D$7)^CX$2))),IF($N77=Lists!$K$3,IF($L77&lt;1,((($T77*(1-$F77)+$S77*(1-$G77))/$L77)*((1+Inputs!$D$7)^CX$2)),((INT(CX$2/$L77)-INT((CX$2-1)/$L77))*($T77*(1-$F77)+$S77*(1-$G77))*((1+Inputs!$D$7)^CX$2))),((Inputs!$D$8^((1-_xlfn.WEIBULL.DIST(CX$2,$M77,$L77,FALSE))/_xlfn.WEIBULL.DIST(CX$2,$M77,$L77,FALSE))*($T77*(1-$F77)+$S77*(1-$G77))*((1+Inputs!$D$7)^CX$2))))))))</f>
        <v>0</v>
      </c>
      <c r="CY77" s="88">
        <f>MAX(BI77,($E77*IF(CY$2&gt;Inputs!$D$5,0,IF(CY$2&gt;VLOOKUP($H77,Lists!$P$3:$Q$7,2),IF($N77=Lists!$K$3,IF($L77&lt;1,(($U77/$L77)*((1+Inputs!$D$7)^CY$2)),((INT(CY$2/$L77)-INT((CY$2-1)/$L77))*$U77*((1+Inputs!$D$7)^CY$2))),(Inputs!$D$8^((1-_xlfn.WEIBULL.DIST(CY$2,$M77,$L77,FALSE))/_xlfn.WEIBULL.DIST(CY$2,$M77,$L77,FALSE))*$U77*((1+Inputs!$D$7)^CY$2))),IF($N77=Lists!$K$3,IF($L77&lt;1,((($T77*(1-$F77)+$S77*(1-$G77))/$L77)*((1+Inputs!$D$7)^CY$2)),((INT(CY$2/$L77)-INT((CY$2-1)/$L77))*($T77*(1-$F77)+$S77*(1-$G77))*((1+Inputs!$D$7)^CY$2))),((Inputs!$D$8^((1-_xlfn.WEIBULL.DIST(CY$2,$M77,$L77,FALSE))/_xlfn.WEIBULL.DIST(CY$2,$M77,$L77,FALSE))*($T77*(1-$F77)+$S77*(1-$G77))*((1+Inputs!$D$7)^CY$2))))))))</f>
        <v>0</v>
      </c>
      <c r="CZ77" s="88">
        <f>MAX(BJ77,($E77*IF(CZ$2&gt;Inputs!$D$5,0,IF(CZ$2&gt;VLOOKUP($H77,Lists!$P$3:$Q$7,2),IF($N77=Lists!$K$3,IF($L77&lt;1,(($U77/$L77)*((1+Inputs!$D$7)^CZ$2)),((INT(CZ$2/$L77)-INT((CZ$2-1)/$L77))*$U77*((1+Inputs!$D$7)^CZ$2))),(Inputs!$D$8^((1-_xlfn.WEIBULL.DIST(CZ$2,$M77,$L77,FALSE))/_xlfn.WEIBULL.DIST(CZ$2,$M77,$L77,FALSE))*$U77*((1+Inputs!$D$7)^CZ$2))),IF($N77=Lists!$K$3,IF($L77&lt;1,((($T77*(1-$F77)+$S77*(1-$G77))/$L77)*((1+Inputs!$D$7)^CZ$2)),((INT(CZ$2/$L77)-INT((CZ$2-1)/$L77))*($T77*(1-$F77)+$S77*(1-$G77))*((1+Inputs!$D$7)^CZ$2))),((Inputs!$D$8^((1-_xlfn.WEIBULL.DIST(CZ$2,$M77,$L77,FALSE))/_xlfn.WEIBULL.DIST(CZ$2,$M77,$L77,FALSE))*($T77*(1-$F77)+$S77*(1-$G77))*((1+Inputs!$D$7)^CZ$2))))))))</f>
        <v>0</v>
      </c>
      <c r="DA77" s="88">
        <f>MAX(BK77,($E77*IF(DA$2&gt;Inputs!$D$5,0,IF(DA$2&gt;VLOOKUP($H77,Lists!$P$3:$Q$7,2),IF($N77=Lists!$K$3,IF($L77&lt;1,(($U77/$L77)*((1+Inputs!$D$7)^DA$2)),((INT(DA$2/$L77)-INT((DA$2-1)/$L77))*$U77*((1+Inputs!$D$7)^DA$2))),(Inputs!$D$8^((1-_xlfn.WEIBULL.DIST(DA$2,$M77,$L77,FALSE))/_xlfn.WEIBULL.DIST(DA$2,$M77,$L77,FALSE))*$U77*((1+Inputs!$D$7)^DA$2))),IF($N77=Lists!$K$3,IF($L77&lt;1,((($T77*(1-$F77)+$S77*(1-$G77))/$L77)*((1+Inputs!$D$7)^DA$2)),((INT(DA$2/$L77)-INT((DA$2-1)/$L77))*($T77*(1-$F77)+$S77*(1-$G77))*((1+Inputs!$D$7)^DA$2))),((Inputs!$D$8^((1-_xlfn.WEIBULL.DIST(DA$2,$M77,$L77,FALSE))/_xlfn.WEIBULL.DIST(DA$2,$M77,$L77,FALSE))*($T77*(1-$F77)+$S77*(1-$G77))*((1+Inputs!$D$7)^DA$2))))))))</f>
        <v>0</v>
      </c>
      <c r="DB77" s="88">
        <f>MAX(BL77,($E77*IF(DB$2&gt;Inputs!$D$5,0,IF(DB$2&gt;VLOOKUP($H77,Lists!$P$3:$Q$7,2),IF($N77=Lists!$K$3,IF($L77&lt;1,(($U77/$L77)*((1+Inputs!$D$7)^DB$2)),((INT(DB$2/$L77)-INT((DB$2-1)/$L77))*$U77*((1+Inputs!$D$7)^DB$2))),(Inputs!$D$8^((1-_xlfn.WEIBULL.DIST(DB$2,$M77,$L77,FALSE))/_xlfn.WEIBULL.DIST(DB$2,$M77,$L77,FALSE))*$U77*((1+Inputs!$D$7)^DB$2))),IF($N77=Lists!$K$3,IF($L77&lt;1,((($T77*(1-$F77)+$S77*(1-$G77))/$L77)*((1+Inputs!$D$7)^DB$2)),((INT(DB$2/$L77)-INT((DB$2-1)/$L77))*($T77*(1-$F77)+$S77*(1-$G77))*((1+Inputs!$D$7)^DB$2))),((Inputs!$D$8^((1-_xlfn.WEIBULL.DIST(DB$2,$M77,$L77,FALSE))/_xlfn.WEIBULL.DIST(DB$2,$M77,$L77,FALSE))*($T77*(1-$F77)+$S77*(1-$G77))*((1+Inputs!$D$7)^DB$2))))))))</f>
        <v>0</v>
      </c>
      <c r="DC77" s="88">
        <f>MAX(BM77,($E77*IF(DC$2&gt;Inputs!$D$5,0,IF(DC$2&gt;VLOOKUP($H77,Lists!$P$3:$Q$7,2),IF($N77=Lists!$K$3,IF($L77&lt;1,(($U77/$L77)*((1+Inputs!$D$7)^DC$2)),((INT(DC$2/$L77)-INT((DC$2-1)/$L77))*$U77*((1+Inputs!$D$7)^DC$2))),(Inputs!$D$8^((1-_xlfn.WEIBULL.DIST(DC$2,$M77,$L77,FALSE))/_xlfn.WEIBULL.DIST(DC$2,$M77,$L77,FALSE))*$U77*((1+Inputs!$D$7)^DC$2))),IF($N77=Lists!$K$3,IF($L77&lt;1,((($T77*(1-$F77)+$S77*(1-$G77))/$L77)*((1+Inputs!$D$7)^DC$2)),((INT(DC$2/$L77)-INT((DC$2-1)/$L77))*($T77*(1-$F77)+$S77*(1-$G77))*((1+Inputs!$D$7)^DC$2))),((Inputs!$D$8^((1-_xlfn.WEIBULL.DIST(DC$2,$M77,$L77,FALSE))/_xlfn.WEIBULL.DIST(DC$2,$M77,$L77,FALSE))*($T77*(1-$F77)+$S77*(1-$G77))*((1+Inputs!$D$7)^DC$2))))))))</f>
        <v>0</v>
      </c>
      <c r="DD77" s="88">
        <f>MAX(BN77,($E77*IF(DD$2&gt;Inputs!$D$5,0,IF(DD$2&gt;VLOOKUP($H77,Lists!$P$3:$Q$7,2),IF($N77=Lists!$K$3,IF($L77&lt;1,(($U77/$L77)*((1+Inputs!$D$7)^DD$2)),((INT(DD$2/$L77)-INT((DD$2-1)/$L77))*$U77*((1+Inputs!$D$7)^DD$2))),(Inputs!$D$8^((1-_xlfn.WEIBULL.DIST(DD$2,$M77,$L77,FALSE))/_xlfn.WEIBULL.DIST(DD$2,$M77,$L77,FALSE))*$U77*((1+Inputs!$D$7)^DD$2))),IF($N77=Lists!$K$3,IF($L77&lt;1,((($T77*(1-$F77)+$S77*(1-$G77))/$L77)*((1+Inputs!$D$7)^DD$2)),((INT(DD$2/$L77)-INT((DD$2-1)/$L77))*($T77*(1-$F77)+$S77*(1-$G77))*((1+Inputs!$D$7)^DD$2))),((Inputs!$D$8^((1-_xlfn.WEIBULL.DIST(DD$2,$M77,$L77,FALSE))/_xlfn.WEIBULL.DIST(DD$2,$M77,$L77,FALSE))*($T77*(1-$F77)+$S77*(1-$G77))*((1+Inputs!$D$7)^DD$2))))))))</f>
        <v>0</v>
      </c>
    </row>
    <row r="78" spans="1:108" s="1" customFormat="1" ht="16">
      <c r="A78" s="57" t="s">
        <v>232</v>
      </c>
      <c r="B78" s="13" t="s">
        <v>279</v>
      </c>
      <c r="C78" s="13" t="s">
        <v>341</v>
      </c>
      <c r="D78" s="13" t="s">
        <v>30</v>
      </c>
      <c r="E78" s="106">
        <f>Inputs!$D$63</f>
        <v>0</v>
      </c>
      <c r="F78" s="90">
        <v>0</v>
      </c>
      <c r="G78" s="90">
        <v>0</v>
      </c>
      <c r="H78" s="105" t="s">
        <v>350</v>
      </c>
      <c r="I78" s="14" t="s">
        <v>266</v>
      </c>
      <c r="J78" s="14" t="s">
        <v>216</v>
      </c>
      <c r="K78" s="13">
        <f>VLOOKUP(J78,'Labor Rates'!$A$1:$F$16,2)</f>
        <v>14.735480769230767</v>
      </c>
      <c r="L78" s="15">
        <v>1</v>
      </c>
      <c r="M78" s="15">
        <v>1</v>
      </c>
      <c r="N78" s="13" t="s">
        <v>236</v>
      </c>
      <c r="O78" s="61">
        <v>1</v>
      </c>
      <c r="P78" s="15">
        <v>4</v>
      </c>
      <c r="Q78" s="15">
        <f t="shared" si="14"/>
        <v>4</v>
      </c>
      <c r="R78" s="4">
        <v>120</v>
      </c>
      <c r="S78" s="53">
        <f t="shared" si="15"/>
        <v>58.941923076923068</v>
      </c>
      <c r="T78" s="53">
        <f t="shared" si="16"/>
        <v>120</v>
      </c>
      <c r="U78" s="54">
        <f t="shared" si="17"/>
        <v>0</v>
      </c>
      <c r="V78" s="65"/>
      <c r="W78" s="58"/>
      <c r="X78" s="64">
        <f t="shared" si="18"/>
        <v>0</v>
      </c>
      <c r="Y78" s="64">
        <f>NPV(Inputs!$D$6,AA78:BN78)</f>
        <v>0</v>
      </c>
      <c r="Z78" s="67">
        <f t="shared" si="19"/>
        <v>0</v>
      </c>
      <c r="AA78" s="88">
        <f>$E78*IF(AA$2&gt;Inputs!$D$5,0,IF(AA$2&gt;VLOOKUP($H78,Lists!$P$3:$Q$7,2),IF($N78=Lists!$K$3,IF($L78&lt;1,(($U78/$L78)*((1+Inputs!$D$7)^AA$2)),((INT(AA$2/$L78)-INT((AA$2-1)/$L78))*$U78*((1+Inputs!$D$7)^AA$2))),(_xlfn.WEIBULL.DIST(AA$2,$M78,$L78,FALSE)*$U78*((1+Inputs!$D$7)^AA$2))),IF($N78=Lists!$K$3,IF($L78&lt;1,((($T78*(1-$F78)+$S78*(1-$G78))/$L78)*((1+Inputs!$D$7)^AA$2)),((INT(AA$2/$L78)-INT((AA$2-1)/$L78))*($T78*(1-$F78)+$S78*(1-$G78))*((1+Inputs!$D$7)^AA$2))),((_xlfn.WEIBULL.DIST(AA$2,$M78,$L78,FALSE)*($T78*(1-$F78)+$S78*(1-$G78))*((1+Inputs!$D$7)^AA$2))))))</f>
        <v>0</v>
      </c>
      <c r="AB78" s="88">
        <f>$E78*IF(AB$2&gt;Inputs!$D$5,0,IF(AB$2&gt;VLOOKUP($H78,Lists!$P$3:$Q$7,2),IF($N78=Lists!$K$3,IF($L78&lt;1,(($U78/$L78)*((1+Inputs!$D$7)^AB$2)),((INT(AB$2/$L78)-INT((AB$2-1)/$L78))*$U78*((1+Inputs!$D$7)^AB$2))),(_xlfn.WEIBULL.DIST(AB$2,$M78,$L78,FALSE)*$U78*((1+Inputs!$D$7)^AB$2))),IF($N78=Lists!$K$3,IF($L78&lt;1,((($T78*(1-$F78)+$S78*(1-$G78))/$L78)*((1+Inputs!$D$7)^AB$2)),((INT(AB$2/$L78)-INT((AB$2-1)/$L78))*($T78*(1-$F78)+$S78*(1-$G78))*((1+Inputs!$D$7)^AB$2))),((_xlfn.WEIBULL.DIST(AB$2,$M78,$L78,FALSE)*($T78*(1-$F78)+$S78*(1-$G78))*((1+Inputs!$D$7)^AB$2))))))</f>
        <v>0</v>
      </c>
      <c r="AC78" s="88">
        <f>$E78*IF(AC$2&gt;Inputs!$D$5,0,IF(AC$2&gt;VLOOKUP($H78,Lists!$P$3:$Q$7,2),IF($N78=Lists!$K$3,IF($L78&lt;1,(($U78/$L78)*((1+Inputs!$D$7)^AC$2)),((INT(AC$2/$L78)-INT((AC$2-1)/$L78))*$U78*((1+Inputs!$D$7)^AC$2))),(_xlfn.WEIBULL.DIST(AC$2,$M78,$L78,FALSE)*$U78*((1+Inputs!$D$7)^AC$2))),IF($N78=Lists!$K$3,IF($L78&lt;1,((($T78*(1-$F78)+$S78*(1-$G78))/$L78)*((1+Inputs!$D$7)^AC$2)),((INT(AC$2/$L78)-INT((AC$2-1)/$L78))*($T78*(1-$F78)+$S78*(1-$G78))*((1+Inputs!$D$7)^AC$2))),((_xlfn.WEIBULL.DIST(AC$2,$M78,$L78,FALSE)*($T78*(1-$F78)+$S78*(1-$G78))*((1+Inputs!$D$7)^AC$2))))))</f>
        <v>0</v>
      </c>
      <c r="AD78" s="88">
        <f>$E78*IF(AD$2&gt;Inputs!$D$5,0,IF(AD$2&gt;VLOOKUP($H78,Lists!$P$3:$Q$7,2),IF($N78=Lists!$K$3,IF($L78&lt;1,(($U78/$L78)*((1+Inputs!$D$7)^AD$2)),((INT(AD$2/$L78)-INT((AD$2-1)/$L78))*$U78*((1+Inputs!$D$7)^AD$2))),(_xlfn.WEIBULL.DIST(AD$2,$M78,$L78,FALSE)*$U78*((1+Inputs!$D$7)^AD$2))),IF($N78=Lists!$K$3,IF($L78&lt;1,((($T78*(1-$F78)+$S78*(1-$G78))/$L78)*((1+Inputs!$D$7)^AD$2)),((INT(AD$2/$L78)-INT((AD$2-1)/$L78))*($T78*(1-$F78)+$S78*(1-$G78))*((1+Inputs!$D$7)^AD$2))),((_xlfn.WEIBULL.DIST(AD$2,$M78,$L78,FALSE)*($T78*(1-$F78)+$S78*(1-$G78))*((1+Inputs!$D$7)^AD$2))))))</f>
        <v>0</v>
      </c>
      <c r="AE78" s="88">
        <f>$E78*IF(AE$2&gt;Inputs!$D$5,0,IF(AE$2&gt;VLOOKUP($H78,Lists!$P$3:$Q$7,2),IF($N78=Lists!$K$3,IF($L78&lt;1,(($U78/$L78)*((1+Inputs!$D$7)^AE$2)),((INT(AE$2/$L78)-INT((AE$2-1)/$L78))*$U78*((1+Inputs!$D$7)^AE$2))),(_xlfn.WEIBULL.DIST(AE$2,$M78,$L78,FALSE)*$U78*((1+Inputs!$D$7)^AE$2))),IF($N78=Lists!$K$3,IF($L78&lt;1,((($T78*(1-$F78)+$S78*(1-$G78))/$L78)*((1+Inputs!$D$7)^AE$2)),((INT(AE$2/$L78)-INT((AE$2-1)/$L78))*($T78*(1-$F78)+$S78*(1-$G78))*((1+Inputs!$D$7)^AE$2))),((_xlfn.WEIBULL.DIST(AE$2,$M78,$L78,FALSE)*($T78*(1-$F78)+$S78*(1-$G78))*((1+Inputs!$D$7)^AE$2))))))</f>
        <v>0</v>
      </c>
      <c r="AF78" s="88">
        <f>$E78*IF(AF$2&gt;Inputs!$D$5,0,IF(AF$2&gt;VLOOKUP($H78,Lists!$P$3:$Q$7,2),IF($N78=Lists!$K$3,IF($L78&lt;1,(($U78/$L78)*((1+Inputs!$D$7)^AF$2)),((INT(AF$2/$L78)-INT((AF$2-1)/$L78))*$U78*((1+Inputs!$D$7)^AF$2))),(_xlfn.WEIBULL.DIST(AF$2,$M78,$L78,FALSE)*$U78*((1+Inputs!$D$7)^AF$2))),IF($N78=Lists!$K$3,IF($L78&lt;1,((($T78*(1-$F78)+$S78*(1-$G78))/$L78)*((1+Inputs!$D$7)^AF$2)),((INT(AF$2/$L78)-INT((AF$2-1)/$L78))*($T78*(1-$F78)+$S78*(1-$G78))*((1+Inputs!$D$7)^AF$2))),((_xlfn.WEIBULL.DIST(AF$2,$M78,$L78,FALSE)*($T78*(1-$F78)+$S78*(1-$G78))*((1+Inputs!$D$7)^AF$2))))))</f>
        <v>0</v>
      </c>
      <c r="AG78" s="88">
        <f>$E78*IF(AG$2&gt;Inputs!$D$5,0,IF(AG$2&gt;VLOOKUP($H78,Lists!$P$3:$Q$7,2),IF($N78=Lists!$K$3,IF($L78&lt;1,(($U78/$L78)*((1+Inputs!$D$7)^AG$2)),((INT(AG$2/$L78)-INT((AG$2-1)/$L78))*$U78*((1+Inputs!$D$7)^AG$2))),(_xlfn.WEIBULL.DIST(AG$2,$M78,$L78,FALSE)*$U78*((1+Inputs!$D$7)^AG$2))),IF($N78=Lists!$K$3,IF($L78&lt;1,((($T78*(1-$F78)+$S78*(1-$G78))/$L78)*((1+Inputs!$D$7)^AG$2)),((INT(AG$2/$L78)-INT((AG$2-1)/$L78))*($T78*(1-$F78)+$S78*(1-$G78))*((1+Inputs!$D$7)^AG$2))),((_xlfn.WEIBULL.DIST(AG$2,$M78,$L78,FALSE)*($T78*(1-$F78)+$S78*(1-$G78))*((1+Inputs!$D$7)^AG$2))))))</f>
        <v>0</v>
      </c>
      <c r="AH78" s="88">
        <f>$E78*IF(AH$2&gt;Inputs!$D$5,0,IF(AH$2&gt;VLOOKUP($H78,Lists!$P$3:$Q$7,2),IF($N78=Lists!$K$3,IF($L78&lt;1,(($U78/$L78)*((1+Inputs!$D$7)^AH$2)),((INT(AH$2/$L78)-INT((AH$2-1)/$L78))*$U78*((1+Inputs!$D$7)^AH$2))),(_xlfn.WEIBULL.DIST(AH$2,$M78,$L78,FALSE)*$U78*((1+Inputs!$D$7)^AH$2))),IF($N78=Lists!$K$3,IF($L78&lt;1,((($T78*(1-$F78)+$S78*(1-$G78))/$L78)*((1+Inputs!$D$7)^AH$2)),((INT(AH$2/$L78)-INT((AH$2-1)/$L78))*($T78*(1-$F78)+$S78*(1-$G78))*((1+Inputs!$D$7)^AH$2))),((_xlfn.WEIBULL.DIST(AH$2,$M78,$L78,FALSE)*($T78*(1-$F78)+$S78*(1-$G78))*((1+Inputs!$D$7)^AH$2))))))</f>
        <v>0</v>
      </c>
      <c r="AI78" s="88">
        <f>$E78*IF(AI$2&gt;Inputs!$D$5,0,IF(AI$2&gt;VLOOKUP($H78,Lists!$P$3:$Q$7,2),IF($N78=Lists!$K$3,IF($L78&lt;1,(($U78/$L78)*((1+Inputs!$D$7)^AI$2)),((INT(AI$2/$L78)-INT((AI$2-1)/$L78))*$U78*((1+Inputs!$D$7)^AI$2))),(_xlfn.WEIBULL.DIST(AI$2,$M78,$L78,FALSE)*$U78*((1+Inputs!$D$7)^AI$2))),IF($N78=Lists!$K$3,IF($L78&lt;1,((($T78*(1-$F78)+$S78*(1-$G78))/$L78)*((1+Inputs!$D$7)^AI$2)),((INT(AI$2/$L78)-INT((AI$2-1)/$L78))*($T78*(1-$F78)+$S78*(1-$G78))*((1+Inputs!$D$7)^AI$2))),((_xlfn.WEIBULL.DIST(AI$2,$M78,$L78,FALSE)*($T78*(1-$F78)+$S78*(1-$G78))*((1+Inputs!$D$7)^AI$2))))))</f>
        <v>0</v>
      </c>
      <c r="AJ78" s="88">
        <f>$E78*IF(AJ$2&gt;Inputs!$D$5,0,IF(AJ$2&gt;VLOOKUP($H78,Lists!$P$3:$Q$7,2),IF($N78=Lists!$K$3,IF($L78&lt;1,(($U78/$L78)*((1+Inputs!$D$7)^AJ$2)),((INT(AJ$2/$L78)-INT((AJ$2-1)/$L78))*$U78*((1+Inputs!$D$7)^AJ$2))),(_xlfn.WEIBULL.DIST(AJ$2,$M78,$L78,FALSE)*$U78*((1+Inputs!$D$7)^AJ$2))),IF($N78=Lists!$K$3,IF($L78&lt;1,((($T78*(1-$F78)+$S78*(1-$G78))/$L78)*((1+Inputs!$D$7)^AJ$2)),((INT(AJ$2/$L78)-INT((AJ$2-1)/$L78))*($T78*(1-$F78)+$S78*(1-$G78))*((1+Inputs!$D$7)^AJ$2))),((_xlfn.WEIBULL.DIST(AJ$2,$M78,$L78,FALSE)*($T78*(1-$F78)+$S78*(1-$G78))*((1+Inputs!$D$7)^AJ$2))))))</f>
        <v>0</v>
      </c>
      <c r="AK78" s="88">
        <f>$E78*IF(AK$2&gt;Inputs!$D$5,0,IF(AK$2&gt;VLOOKUP($H78,Lists!$P$3:$Q$7,2),IF($N78=Lists!$K$3,IF($L78&lt;1,(($U78/$L78)*((1+Inputs!$D$7)^AK$2)),((INT(AK$2/$L78)-INT((AK$2-1)/$L78))*$U78*((1+Inputs!$D$7)^AK$2))),(_xlfn.WEIBULL.DIST(AK$2,$M78,$L78,FALSE)*$U78*((1+Inputs!$D$7)^AK$2))),IF($N78=Lists!$K$3,IF($L78&lt;1,((($T78*(1-$F78)+$S78*(1-$G78))/$L78)*((1+Inputs!$D$7)^AK$2)),((INT(AK$2/$L78)-INT((AK$2-1)/$L78))*($T78*(1-$F78)+$S78*(1-$G78))*((1+Inputs!$D$7)^AK$2))),((_xlfn.WEIBULL.DIST(AK$2,$M78,$L78,FALSE)*($T78*(1-$F78)+$S78*(1-$G78))*((1+Inputs!$D$7)^AK$2))))))</f>
        <v>0</v>
      </c>
      <c r="AL78" s="88">
        <f>$E78*IF(AL$2&gt;Inputs!$D$5,0,IF(AL$2&gt;VLOOKUP($H78,Lists!$P$3:$Q$7,2),IF($N78=Lists!$K$3,IF($L78&lt;1,(($U78/$L78)*((1+Inputs!$D$7)^AL$2)),((INT(AL$2/$L78)-INT((AL$2-1)/$L78))*$U78*((1+Inputs!$D$7)^AL$2))),(_xlfn.WEIBULL.DIST(AL$2,$M78,$L78,FALSE)*$U78*((1+Inputs!$D$7)^AL$2))),IF($N78=Lists!$K$3,IF($L78&lt;1,((($T78*(1-$F78)+$S78*(1-$G78))/$L78)*((1+Inputs!$D$7)^AL$2)),((INT(AL$2/$L78)-INT((AL$2-1)/$L78))*($T78*(1-$F78)+$S78*(1-$G78))*((1+Inputs!$D$7)^AL$2))),((_xlfn.WEIBULL.DIST(AL$2,$M78,$L78,FALSE)*($T78*(1-$F78)+$S78*(1-$G78))*((1+Inputs!$D$7)^AL$2))))))</f>
        <v>0</v>
      </c>
      <c r="AM78" s="88">
        <f>$E78*IF(AM$2&gt;Inputs!$D$5,0,IF(AM$2&gt;VLOOKUP($H78,Lists!$P$3:$Q$7,2),IF($N78=Lists!$K$3,IF($L78&lt;1,(($U78/$L78)*((1+Inputs!$D$7)^AM$2)),((INT(AM$2/$L78)-INT((AM$2-1)/$L78))*$U78*((1+Inputs!$D$7)^AM$2))),(_xlfn.WEIBULL.DIST(AM$2,$M78,$L78,FALSE)*$U78*((1+Inputs!$D$7)^AM$2))),IF($N78=Lists!$K$3,IF($L78&lt;1,((($T78*(1-$F78)+$S78*(1-$G78))/$L78)*((1+Inputs!$D$7)^AM$2)),((INT(AM$2/$L78)-INT((AM$2-1)/$L78))*($T78*(1-$F78)+$S78*(1-$G78))*((1+Inputs!$D$7)^AM$2))),((_xlfn.WEIBULL.DIST(AM$2,$M78,$L78,FALSE)*($T78*(1-$F78)+$S78*(1-$G78))*((1+Inputs!$D$7)^AM$2))))))</f>
        <v>0</v>
      </c>
      <c r="AN78" s="88">
        <f>$E78*IF(AN$2&gt;Inputs!$D$5,0,IF(AN$2&gt;VLOOKUP($H78,Lists!$P$3:$Q$7,2),IF($N78=Lists!$K$3,IF($L78&lt;1,(($U78/$L78)*((1+Inputs!$D$7)^AN$2)),((INT(AN$2/$L78)-INT((AN$2-1)/$L78))*$U78*((1+Inputs!$D$7)^AN$2))),(_xlfn.WEIBULL.DIST(AN$2,$M78,$L78,FALSE)*$U78*((1+Inputs!$D$7)^AN$2))),IF($N78=Lists!$K$3,IF($L78&lt;1,((($T78*(1-$F78)+$S78*(1-$G78))/$L78)*((1+Inputs!$D$7)^AN$2)),((INT(AN$2/$L78)-INT((AN$2-1)/$L78))*($T78*(1-$F78)+$S78*(1-$G78))*((1+Inputs!$D$7)^AN$2))),((_xlfn.WEIBULL.DIST(AN$2,$M78,$L78,FALSE)*($T78*(1-$F78)+$S78*(1-$G78))*((1+Inputs!$D$7)^AN$2))))))</f>
        <v>0</v>
      </c>
      <c r="AO78" s="88">
        <f>$E78*IF(AO$2&gt;Inputs!$D$5,0,IF(AO$2&gt;VLOOKUP($H78,Lists!$P$3:$Q$7,2),IF($N78=Lists!$K$3,IF($L78&lt;1,(($U78/$L78)*((1+Inputs!$D$7)^AO$2)),((INT(AO$2/$L78)-INT((AO$2-1)/$L78))*$U78*((1+Inputs!$D$7)^AO$2))),(_xlfn.WEIBULL.DIST(AO$2,$M78,$L78,FALSE)*$U78*((1+Inputs!$D$7)^AO$2))),IF($N78=Lists!$K$3,IF($L78&lt;1,((($T78*(1-$F78)+$S78*(1-$G78))/$L78)*((1+Inputs!$D$7)^AO$2)),((INT(AO$2/$L78)-INT((AO$2-1)/$L78))*($T78*(1-$F78)+$S78*(1-$G78))*((1+Inputs!$D$7)^AO$2))),((_xlfn.WEIBULL.DIST(AO$2,$M78,$L78,FALSE)*($T78*(1-$F78)+$S78*(1-$G78))*((1+Inputs!$D$7)^AO$2))))))</f>
        <v>0</v>
      </c>
      <c r="AP78" s="88">
        <f>$E78*IF(AP$2&gt;Inputs!$D$5,0,IF(AP$2&gt;VLOOKUP($H78,Lists!$P$3:$Q$7,2),IF($N78=Lists!$K$3,IF($L78&lt;1,(($U78/$L78)*((1+Inputs!$D$7)^AP$2)),((INT(AP$2/$L78)-INT((AP$2-1)/$L78))*$U78*((1+Inputs!$D$7)^AP$2))),(_xlfn.WEIBULL.DIST(AP$2,$M78,$L78,FALSE)*$U78*((1+Inputs!$D$7)^AP$2))),IF($N78=Lists!$K$3,IF($L78&lt;1,((($T78*(1-$F78)+$S78*(1-$G78))/$L78)*((1+Inputs!$D$7)^AP$2)),((INT(AP$2/$L78)-INT((AP$2-1)/$L78))*($T78*(1-$F78)+$S78*(1-$G78))*((1+Inputs!$D$7)^AP$2))),((_xlfn.WEIBULL.DIST(AP$2,$M78,$L78,FALSE)*($T78*(1-$F78)+$S78*(1-$G78))*((1+Inputs!$D$7)^AP$2))))))</f>
        <v>0</v>
      </c>
      <c r="AQ78" s="88">
        <f>$E78*IF(AQ$2&gt;Inputs!$D$5,0,IF(AQ$2&gt;VLOOKUP($H78,Lists!$P$3:$Q$7,2),IF($N78=Lists!$K$3,IF($L78&lt;1,(($U78/$L78)*((1+Inputs!$D$7)^AQ$2)),((INT(AQ$2/$L78)-INT((AQ$2-1)/$L78))*$U78*((1+Inputs!$D$7)^AQ$2))),(_xlfn.WEIBULL.DIST(AQ$2,$M78,$L78,FALSE)*$U78*((1+Inputs!$D$7)^AQ$2))),IF($N78=Lists!$K$3,IF($L78&lt;1,((($T78*(1-$F78)+$S78*(1-$G78))/$L78)*((1+Inputs!$D$7)^AQ$2)),((INT(AQ$2/$L78)-INT((AQ$2-1)/$L78))*($T78*(1-$F78)+$S78*(1-$G78))*((1+Inputs!$D$7)^AQ$2))),((_xlfn.WEIBULL.DIST(AQ$2,$M78,$L78,FALSE)*($T78*(1-$F78)+$S78*(1-$G78))*((1+Inputs!$D$7)^AQ$2))))))</f>
        <v>0</v>
      </c>
      <c r="AR78" s="88">
        <f>$E78*IF(AR$2&gt;Inputs!$D$5,0,IF(AR$2&gt;VLOOKUP($H78,Lists!$P$3:$Q$7,2),IF($N78=Lists!$K$3,IF($L78&lt;1,(($U78/$L78)*((1+Inputs!$D$7)^AR$2)),((INT(AR$2/$L78)-INT((AR$2-1)/$L78))*$U78*((1+Inputs!$D$7)^AR$2))),(_xlfn.WEIBULL.DIST(AR$2,$M78,$L78,FALSE)*$U78*((1+Inputs!$D$7)^AR$2))),IF($N78=Lists!$K$3,IF($L78&lt;1,((($T78*(1-$F78)+$S78*(1-$G78))/$L78)*((1+Inputs!$D$7)^AR$2)),((INT(AR$2/$L78)-INT((AR$2-1)/$L78))*($T78*(1-$F78)+$S78*(1-$G78))*((1+Inputs!$D$7)^AR$2))),((_xlfn.WEIBULL.DIST(AR$2,$M78,$L78,FALSE)*($T78*(1-$F78)+$S78*(1-$G78))*((1+Inputs!$D$7)^AR$2))))))</f>
        <v>0</v>
      </c>
      <c r="AS78" s="88">
        <f>$E78*IF(AS$2&gt;Inputs!$D$5,0,IF(AS$2&gt;VLOOKUP($H78,Lists!$P$3:$Q$7,2),IF($N78=Lists!$K$3,IF($L78&lt;1,(($U78/$L78)*((1+Inputs!$D$7)^AS$2)),((INT(AS$2/$L78)-INT((AS$2-1)/$L78))*$U78*((1+Inputs!$D$7)^AS$2))),(_xlfn.WEIBULL.DIST(AS$2,$M78,$L78,FALSE)*$U78*((1+Inputs!$D$7)^AS$2))),IF($N78=Lists!$K$3,IF($L78&lt;1,((($T78*(1-$F78)+$S78*(1-$G78))/$L78)*((1+Inputs!$D$7)^AS$2)),((INT(AS$2/$L78)-INT((AS$2-1)/$L78))*($T78*(1-$F78)+$S78*(1-$G78))*((1+Inputs!$D$7)^AS$2))),((_xlfn.WEIBULL.DIST(AS$2,$M78,$L78,FALSE)*($T78*(1-$F78)+$S78*(1-$G78))*((1+Inputs!$D$7)^AS$2))))))</f>
        <v>0</v>
      </c>
      <c r="AT78" s="88">
        <f>$E78*IF(AT$2&gt;Inputs!$D$5,0,IF(AT$2&gt;VLOOKUP($H78,Lists!$P$3:$Q$7,2),IF($N78=Lists!$K$3,IF($L78&lt;1,(($U78/$L78)*((1+Inputs!$D$7)^AT$2)),((INT(AT$2/$L78)-INT((AT$2-1)/$L78))*$U78*((1+Inputs!$D$7)^AT$2))),(_xlfn.WEIBULL.DIST(AT$2,$M78,$L78,FALSE)*$U78*((1+Inputs!$D$7)^AT$2))),IF($N78=Lists!$K$3,IF($L78&lt;1,((($T78*(1-$F78)+$S78*(1-$G78))/$L78)*((1+Inputs!$D$7)^AT$2)),((INT(AT$2/$L78)-INT((AT$2-1)/$L78))*($T78*(1-$F78)+$S78*(1-$G78))*((1+Inputs!$D$7)^AT$2))),((_xlfn.WEIBULL.DIST(AT$2,$M78,$L78,FALSE)*($T78*(1-$F78)+$S78*(1-$G78))*((1+Inputs!$D$7)^AT$2))))))</f>
        <v>0</v>
      </c>
      <c r="AU78" s="88">
        <f>$E78*IF(AU$2&gt;Inputs!$D$5,0,IF(AU$2&gt;VLOOKUP($H78,Lists!$P$3:$Q$7,2),IF($N78=Lists!$K$3,IF($L78&lt;1,(($U78/$L78)*((1+Inputs!$D$7)^AU$2)),((INT(AU$2/$L78)-INT((AU$2-1)/$L78))*$U78*((1+Inputs!$D$7)^AU$2))),(_xlfn.WEIBULL.DIST(AU$2,$M78,$L78,FALSE)*$U78*((1+Inputs!$D$7)^AU$2))),IF($N78=Lists!$K$3,IF($L78&lt;1,((($T78*(1-$F78)+$S78*(1-$G78))/$L78)*((1+Inputs!$D$7)^AU$2)),((INT(AU$2/$L78)-INT((AU$2-1)/$L78))*($T78*(1-$F78)+$S78*(1-$G78))*((1+Inputs!$D$7)^AU$2))),((_xlfn.WEIBULL.DIST(AU$2,$M78,$L78,FALSE)*($T78*(1-$F78)+$S78*(1-$G78))*((1+Inputs!$D$7)^AU$2))))))</f>
        <v>0</v>
      </c>
      <c r="AV78" s="88">
        <f>$E78*IF(AV$2&gt;Inputs!$D$5,0,IF(AV$2&gt;VLOOKUP($H78,Lists!$P$3:$Q$7,2),IF($N78=Lists!$K$3,IF($L78&lt;1,(($U78/$L78)*((1+Inputs!$D$7)^AV$2)),((INT(AV$2/$L78)-INT((AV$2-1)/$L78))*$U78*((1+Inputs!$D$7)^AV$2))),(_xlfn.WEIBULL.DIST(AV$2,$M78,$L78,FALSE)*$U78*((1+Inputs!$D$7)^AV$2))),IF($N78=Lists!$K$3,IF($L78&lt;1,((($T78*(1-$F78)+$S78*(1-$G78))/$L78)*((1+Inputs!$D$7)^AV$2)),((INT(AV$2/$L78)-INT((AV$2-1)/$L78))*($T78*(1-$F78)+$S78*(1-$G78))*((1+Inputs!$D$7)^AV$2))),((_xlfn.WEIBULL.DIST(AV$2,$M78,$L78,FALSE)*($T78*(1-$F78)+$S78*(1-$G78))*((1+Inputs!$D$7)^AV$2))))))</f>
        <v>0</v>
      </c>
      <c r="AW78" s="88">
        <f>$E78*IF(AW$2&gt;Inputs!$D$5,0,IF(AW$2&gt;VLOOKUP($H78,Lists!$P$3:$Q$7,2),IF($N78=Lists!$K$3,IF($L78&lt;1,(($U78/$L78)*((1+Inputs!$D$7)^AW$2)),((INT(AW$2/$L78)-INT((AW$2-1)/$L78))*$U78*((1+Inputs!$D$7)^AW$2))),(_xlfn.WEIBULL.DIST(AW$2,$M78,$L78,FALSE)*$U78*((1+Inputs!$D$7)^AW$2))),IF($N78=Lists!$K$3,IF($L78&lt;1,((($T78*(1-$F78)+$S78*(1-$G78))/$L78)*((1+Inputs!$D$7)^AW$2)),((INT(AW$2/$L78)-INT((AW$2-1)/$L78))*($T78*(1-$F78)+$S78*(1-$G78))*((1+Inputs!$D$7)^AW$2))),((_xlfn.WEIBULL.DIST(AW$2,$M78,$L78,FALSE)*($T78*(1-$F78)+$S78*(1-$G78))*((1+Inputs!$D$7)^AW$2))))))</f>
        <v>0</v>
      </c>
      <c r="AX78" s="88">
        <f>$E78*IF(AX$2&gt;Inputs!$D$5,0,IF(AX$2&gt;VLOOKUP($H78,Lists!$P$3:$Q$7,2),IF($N78=Lists!$K$3,IF($L78&lt;1,(($U78/$L78)*((1+Inputs!$D$7)^AX$2)),((INT(AX$2/$L78)-INT((AX$2-1)/$L78))*$U78*((1+Inputs!$D$7)^AX$2))),(_xlfn.WEIBULL.DIST(AX$2,$M78,$L78,FALSE)*$U78*((1+Inputs!$D$7)^AX$2))),IF($N78=Lists!$K$3,IF($L78&lt;1,((($T78*(1-$F78)+$S78*(1-$G78))/$L78)*((1+Inputs!$D$7)^AX$2)),((INT(AX$2/$L78)-INT((AX$2-1)/$L78))*($T78*(1-$F78)+$S78*(1-$G78))*((1+Inputs!$D$7)^AX$2))),((_xlfn.WEIBULL.DIST(AX$2,$M78,$L78,FALSE)*($T78*(1-$F78)+$S78*(1-$G78))*((1+Inputs!$D$7)^AX$2))))))</f>
        <v>0</v>
      </c>
      <c r="AY78" s="88">
        <f>$E78*IF(AY$2&gt;Inputs!$D$5,0,IF(AY$2&gt;VLOOKUP($H78,Lists!$P$3:$Q$7,2),IF($N78=Lists!$K$3,IF($L78&lt;1,(($U78/$L78)*((1+Inputs!$D$7)^AY$2)),((INT(AY$2/$L78)-INT((AY$2-1)/$L78))*$U78*((1+Inputs!$D$7)^AY$2))),(_xlfn.WEIBULL.DIST(AY$2,$M78,$L78,FALSE)*$U78*((1+Inputs!$D$7)^AY$2))),IF($N78=Lists!$K$3,IF($L78&lt;1,((($T78*(1-$F78)+$S78*(1-$G78))/$L78)*((1+Inputs!$D$7)^AY$2)),((INT(AY$2/$L78)-INT((AY$2-1)/$L78))*($T78*(1-$F78)+$S78*(1-$G78))*((1+Inputs!$D$7)^AY$2))),((_xlfn.WEIBULL.DIST(AY$2,$M78,$L78,FALSE)*($T78*(1-$F78)+$S78*(1-$G78))*((1+Inputs!$D$7)^AY$2))))))</f>
        <v>0</v>
      </c>
      <c r="AZ78" s="88">
        <f>$E78*IF(AZ$2&gt;Inputs!$D$5,0,IF(AZ$2&gt;VLOOKUP($H78,Lists!$P$3:$Q$7,2),IF($N78=Lists!$K$3,IF($L78&lt;1,(($U78/$L78)*((1+Inputs!$D$7)^AZ$2)),((INT(AZ$2/$L78)-INT((AZ$2-1)/$L78))*$U78*((1+Inputs!$D$7)^AZ$2))),(_xlfn.WEIBULL.DIST(AZ$2,$M78,$L78,FALSE)*$U78*((1+Inputs!$D$7)^AZ$2))),IF($N78=Lists!$K$3,IF($L78&lt;1,((($T78*(1-$F78)+$S78*(1-$G78))/$L78)*((1+Inputs!$D$7)^AZ$2)),((INT(AZ$2/$L78)-INT((AZ$2-1)/$L78))*($T78*(1-$F78)+$S78*(1-$G78))*((1+Inputs!$D$7)^AZ$2))),((_xlfn.WEIBULL.DIST(AZ$2,$M78,$L78,FALSE)*($T78*(1-$F78)+$S78*(1-$G78))*((1+Inputs!$D$7)^AZ$2))))))</f>
        <v>0</v>
      </c>
      <c r="BA78" s="88">
        <f>$E78*IF(BA$2&gt;Inputs!$D$5,0,IF(BA$2&gt;VLOOKUP($H78,Lists!$P$3:$Q$7,2),IF($N78=Lists!$K$3,IF($L78&lt;1,(($U78/$L78)*((1+Inputs!$D$7)^BA$2)),((INT(BA$2/$L78)-INT((BA$2-1)/$L78))*$U78*((1+Inputs!$D$7)^BA$2))),(_xlfn.WEIBULL.DIST(BA$2,$M78,$L78,FALSE)*$U78*((1+Inputs!$D$7)^BA$2))),IF($N78=Lists!$K$3,IF($L78&lt;1,((($T78*(1-$F78)+$S78*(1-$G78))/$L78)*((1+Inputs!$D$7)^BA$2)),((INT(BA$2/$L78)-INT((BA$2-1)/$L78))*($T78*(1-$F78)+$S78*(1-$G78))*((1+Inputs!$D$7)^BA$2))),((_xlfn.WEIBULL.DIST(BA$2,$M78,$L78,FALSE)*($T78*(1-$F78)+$S78*(1-$G78))*((1+Inputs!$D$7)^BA$2))))))</f>
        <v>0</v>
      </c>
      <c r="BB78" s="88">
        <f>$E78*IF(BB$2&gt;Inputs!$D$5,0,IF(BB$2&gt;VLOOKUP($H78,Lists!$P$3:$Q$7,2),IF($N78=Lists!$K$3,IF($L78&lt;1,(($U78/$L78)*((1+Inputs!$D$7)^BB$2)),((INT(BB$2/$L78)-INT((BB$2-1)/$L78))*$U78*((1+Inputs!$D$7)^BB$2))),(_xlfn.WEIBULL.DIST(BB$2,$M78,$L78,FALSE)*$U78*((1+Inputs!$D$7)^BB$2))),IF($N78=Lists!$K$3,IF($L78&lt;1,((($T78*(1-$F78)+$S78*(1-$G78))/$L78)*((1+Inputs!$D$7)^BB$2)),((INT(BB$2/$L78)-INT((BB$2-1)/$L78))*($T78*(1-$F78)+$S78*(1-$G78))*((1+Inputs!$D$7)^BB$2))),((_xlfn.WEIBULL.DIST(BB$2,$M78,$L78,FALSE)*($T78*(1-$F78)+$S78*(1-$G78))*((1+Inputs!$D$7)^BB$2))))))</f>
        <v>0</v>
      </c>
      <c r="BC78" s="88">
        <f>$E78*IF(BC$2&gt;Inputs!$D$5,0,IF(BC$2&gt;VLOOKUP($H78,Lists!$P$3:$Q$7,2),IF($N78=Lists!$K$3,IF($L78&lt;1,(($U78/$L78)*((1+Inputs!$D$7)^BC$2)),((INT(BC$2/$L78)-INT((BC$2-1)/$L78))*$U78*((1+Inputs!$D$7)^BC$2))),(_xlfn.WEIBULL.DIST(BC$2,$M78,$L78,FALSE)*$U78*((1+Inputs!$D$7)^BC$2))),IF($N78=Lists!$K$3,IF($L78&lt;1,((($T78*(1-$F78)+$S78*(1-$G78))/$L78)*((1+Inputs!$D$7)^BC$2)),((INT(BC$2/$L78)-INT((BC$2-1)/$L78))*($T78*(1-$F78)+$S78*(1-$G78))*((1+Inputs!$D$7)^BC$2))),((_xlfn.WEIBULL.DIST(BC$2,$M78,$L78,FALSE)*($T78*(1-$F78)+$S78*(1-$G78))*((1+Inputs!$D$7)^BC$2))))))</f>
        <v>0</v>
      </c>
      <c r="BD78" s="88">
        <f>$E78*IF(BD$2&gt;Inputs!$D$5,0,IF(BD$2&gt;VLOOKUP($H78,Lists!$P$3:$Q$7,2),IF($N78=Lists!$K$3,IF($L78&lt;1,(($U78/$L78)*((1+Inputs!$D$7)^BD$2)),((INT(BD$2/$L78)-INT((BD$2-1)/$L78))*$U78*((1+Inputs!$D$7)^BD$2))),(_xlfn.WEIBULL.DIST(BD$2,$M78,$L78,FALSE)*$U78*((1+Inputs!$D$7)^BD$2))),IF($N78=Lists!$K$3,IF($L78&lt;1,((($T78*(1-$F78)+$S78*(1-$G78))/$L78)*((1+Inputs!$D$7)^BD$2)),((INT(BD$2/$L78)-INT((BD$2-1)/$L78))*($T78*(1-$F78)+$S78*(1-$G78))*((1+Inputs!$D$7)^BD$2))),((_xlfn.WEIBULL.DIST(BD$2,$M78,$L78,FALSE)*($T78*(1-$F78)+$S78*(1-$G78))*((1+Inputs!$D$7)^BD$2))))))</f>
        <v>0</v>
      </c>
      <c r="BE78" s="88">
        <f>$E78*IF(BE$2&gt;Inputs!$D$5,0,IF(BE$2&gt;VLOOKUP($H78,Lists!$P$3:$Q$7,2),IF($N78=Lists!$K$3,IF($L78&lt;1,(($U78/$L78)*((1+Inputs!$D$7)^BE$2)),((INT(BE$2/$L78)-INT((BE$2-1)/$L78))*$U78*((1+Inputs!$D$7)^BE$2))),(_xlfn.WEIBULL.DIST(BE$2,$M78,$L78,FALSE)*$U78*((1+Inputs!$D$7)^BE$2))),IF($N78=Lists!$K$3,IF($L78&lt;1,((($T78*(1-$F78)+$S78*(1-$G78))/$L78)*((1+Inputs!$D$7)^BE$2)),((INT(BE$2/$L78)-INT((BE$2-1)/$L78))*($T78*(1-$F78)+$S78*(1-$G78))*((1+Inputs!$D$7)^BE$2))),((_xlfn.WEIBULL.DIST(BE$2,$M78,$L78,FALSE)*($T78*(1-$F78)+$S78*(1-$G78))*((1+Inputs!$D$7)^BE$2))))))</f>
        <v>0</v>
      </c>
      <c r="BF78" s="88">
        <f>$E78*IF(BF$2&gt;Inputs!$D$5,0,IF(BF$2&gt;VLOOKUP($H78,Lists!$P$3:$Q$7,2),IF($N78=Lists!$K$3,IF($L78&lt;1,(($U78/$L78)*((1+Inputs!$D$7)^BF$2)),((INT(BF$2/$L78)-INT((BF$2-1)/$L78))*$U78*((1+Inputs!$D$7)^BF$2))),(_xlfn.WEIBULL.DIST(BF$2,$M78,$L78,FALSE)*$U78*((1+Inputs!$D$7)^BF$2))),IF($N78=Lists!$K$3,IF($L78&lt;1,((($T78*(1-$F78)+$S78*(1-$G78))/$L78)*((1+Inputs!$D$7)^BF$2)),((INT(BF$2/$L78)-INT((BF$2-1)/$L78))*($T78*(1-$F78)+$S78*(1-$G78))*((1+Inputs!$D$7)^BF$2))),((_xlfn.WEIBULL.DIST(BF$2,$M78,$L78,FALSE)*($T78*(1-$F78)+$S78*(1-$G78))*((1+Inputs!$D$7)^BF$2))))))</f>
        <v>0</v>
      </c>
      <c r="BG78" s="88">
        <f>$E78*IF(BG$2&gt;Inputs!$D$5,0,IF(BG$2&gt;VLOOKUP($H78,Lists!$P$3:$Q$7,2),IF($N78=Lists!$K$3,IF($L78&lt;1,(($U78/$L78)*((1+Inputs!$D$7)^BG$2)),((INT(BG$2/$L78)-INT((BG$2-1)/$L78))*$U78*((1+Inputs!$D$7)^BG$2))),(_xlfn.WEIBULL.DIST(BG$2,$M78,$L78,FALSE)*$U78*((1+Inputs!$D$7)^BG$2))),IF($N78=Lists!$K$3,IF($L78&lt;1,((($T78*(1-$F78)+$S78*(1-$G78))/$L78)*((1+Inputs!$D$7)^BG$2)),((INT(BG$2/$L78)-INT((BG$2-1)/$L78))*($T78*(1-$F78)+$S78*(1-$G78))*((1+Inputs!$D$7)^BG$2))),((_xlfn.WEIBULL.DIST(BG$2,$M78,$L78,FALSE)*($T78*(1-$F78)+$S78*(1-$G78))*((1+Inputs!$D$7)^BG$2))))))</f>
        <v>0</v>
      </c>
      <c r="BH78" s="88">
        <f>$E78*IF(BH$2&gt;Inputs!$D$5,0,IF(BH$2&gt;VLOOKUP($H78,Lists!$P$3:$Q$7,2),IF($N78=Lists!$K$3,IF($L78&lt;1,(($U78/$L78)*((1+Inputs!$D$7)^BH$2)),((INT(BH$2/$L78)-INT((BH$2-1)/$L78))*$U78*((1+Inputs!$D$7)^BH$2))),(_xlfn.WEIBULL.DIST(BH$2,$M78,$L78,FALSE)*$U78*((1+Inputs!$D$7)^BH$2))),IF($N78=Lists!$K$3,IF($L78&lt;1,((($T78*(1-$F78)+$S78*(1-$G78))/$L78)*((1+Inputs!$D$7)^BH$2)),((INT(BH$2/$L78)-INT((BH$2-1)/$L78))*($T78*(1-$F78)+$S78*(1-$G78))*((1+Inputs!$D$7)^BH$2))),((_xlfn.WEIBULL.DIST(BH$2,$M78,$L78,FALSE)*($T78*(1-$F78)+$S78*(1-$G78))*((1+Inputs!$D$7)^BH$2))))))</f>
        <v>0</v>
      </c>
      <c r="BI78" s="88">
        <f>$E78*IF(BI$2&gt;Inputs!$D$5,0,IF(BI$2&gt;VLOOKUP($H78,Lists!$P$3:$Q$7,2),IF($N78=Lists!$K$3,IF($L78&lt;1,(($U78/$L78)*((1+Inputs!$D$7)^BI$2)),((INT(BI$2/$L78)-INT((BI$2-1)/$L78))*$U78*((1+Inputs!$D$7)^BI$2))),(_xlfn.WEIBULL.DIST(BI$2,$M78,$L78,FALSE)*$U78*((1+Inputs!$D$7)^BI$2))),IF($N78=Lists!$K$3,IF($L78&lt;1,((($T78*(1-$F78)+$S78*(1-$G78))/$L78)*((1+Inputs!$D$7)^BI$2)),((INT(BI$2/$L78)-INT((BI$2-1)/$L78))*($T78*(1-$F78)+$S78*(1-$G78))*((1+Inputs!$D$7)^BI$2))),((_xlfn.WEIBULL.DIST(BI$2,$M78,$L78,FALSE)*($T78*(1-$F78)+$S78*(1-$G78))*((1+Inputs!$D$7)^BI$2))))))</f>
        <v>0</v>
      </c>
      <c r="BJ78" s="88">
        <f>$E78*IF(BJ$2&gt;Inputs!$D$5,0,IF(BJ$2&gt;VLOOKUP($H78,Lists!$P$3:$Q$7,2),IF($N78=Lists!$K$3,IF($L78&lt;1,(($U78/$L78)*((1+Inputs!$D$7)^BJ$2)),((INT(BJ$2/$L78)-INT((BJ$2-1)/$L78))*$U78*((1+Inputs!$D$7)^BJ$2))),(_xlfn.WEIBULL.DIST(BJ$2,$M78,$L78,FALSE)*$U78*((1+Inputs!$D$7)^BJ$2))),IF($N78=Lists!$K$3,IF($L78&lt;1,((($T78*(1-$F78)+$S78*(1-$G78))/$L78)*((1+Inputs!$D$7)^BJ$2)),((INT(BJ$2/$L78)-INT((BJ$2-1)/$L78))*($T78*(1-$F78)+$S78*(1-$G78))*((1+Inputs!$D$7)^BJ$2))),((_xlfn.WEIBULL.DIST(BJ$2,$M78,$L78,FALSE)*($T78*(1-$F78)+$S78*(1-$G78))*((1+Inputs!$D$7)^BJ$2))))))</f>
        <v>0</v>
      </c>
      <c r="BK78" s="88">
        <f>$E78*IF(BK$2&gt;Inputs!$D$5,0,IF(BK$2&gt;VLOOKUP($H78,Lists!$P$3:$Q$7,2),IF($N78=Lists!$K$3,IF($L78&lt;1,(($U78/$L78)*((1+Inputs!$D$7)^BK$2)),((INT(BK$2/$L78)-INT((BK$2-1)/$L78))*$U78*((1+Inputs!$D$7)^BK$2))),(_xlfn.WEIBULL.DIST(BK$2,$M78,$L78,FALSE)*$U78*((1+Inputs!$D$7)^BK$2))),IF($N78=Lists!$K$3,IF($L78&lt;1,((($T78*(1-$F78)+$S78*(1-$G78))/$L78)*((1+Inputs!$D$7)^BK$2)),((INT(BK$2/$L78)-INT((BK$2-1)/$L78))*($T78*(1-$F78)+$S78*(1-$G78))*((1+Inputs!$D$7)^BK$2))),((_xlfn.WEIBULL.DIST(BK$2,$M78,$L78,FALSE)*($T78*(1-$F78)+$S78*(1-$G78))*((1+Inputs!$D$7)^BK$2))))))</f>
        <v>0</v>
      </c>
      <c r="BL78" s="88">
        <f>$E78*IF(BL$2&gt;Inputs!$D$5,0,IF(BL$2&gt;VLOOKUP($H78,Lists!$P$3:$Q$7,2),IF($N78=Lists!$K$3,IF($L78&lt;1,(($U78/$L78)*((1+Inputs!$D$7)^BL$2)),((INT(BL$2/$L78)-INT((BL$2-1)/$L78))*$U78*((1+Inputs!$D$7)^BL$2))),(_xlfn.WEIBULL.DIST(BL$2,$M78,$L78,FALSE)*$U78*((1+Inputs!$D$7)^BL$2))),IF($N78=Lists!$K$3,IF($L78&lt;1,((($T78*(1-$F78)+$S78*(1-$G78))/$L78)*((1+Inputs!$D$7)^BL$2)),((INT(BL$2/$L78)-INT((BL$2-1)/$L78))*($T78*(1-$F78)+$S78*(1-$G78))*((1+Inputs!$D$7)^BL$2))),((_xlfn.WEIBULL.DIST(BL$2,$M78,$L78,FALSE)*($T78*(1-$F78)+$S78*(1-$G78))*((1+Inputs!$D$7)^BL$2))))))</f>
        <v>0</v>
      </c>
      <c r="BM78" s="88">
        <f>$E78*IF(BM$2&gt;Inputs!$D$5,0,IF(BM$2&gt;VLOOKUP($H78,Lists!$P$3:$Q$7,2),IF($N78=Lists!$K$3,IF($L78&lt;1,(($U78/$L78)*((1+Inputs!$D$7)^BM$2)),((INT(BM$2/$L78)-INT((BM$2-1)/$L78))*$U78*((1+Inputs!$D$7)^BM$2))),(_xlfn.WEIBULL.DIST(BM$2,$M78,$L78,FALSE)*$U78*((1+Inputs!$D$7)^BM$2))),IF($N78=Lists!$K$3,IF($L78&lt;1,((($T78*(1-$F78)+$S78*(1-$G78))/$L78)*((1+Inputs!$D$7)^BM$2)),((INT(BM$2/$L78)-INT((BM$2-1)/$L78))*($T78*(1-$F78)+$S78*(1-$G78))*((1+Inputs!$D$7)^BM$2))),((_xlfn.WEIBULL.DIST(BM$2,$M78,$L78,FALSE)*($T78*(1-$F78)+$S78*(1-$G78))*((1+Inputs!$D$7)^BM$2))))))</f>
        <v>0</v>
      </c>
      <c r="BN78" s="88">
        <f>$E78*IF(BN$2&gt;Inputs!$D$5,0,IF(BN$2&gt;VLOOKUP($H78,Lists!$P$3:$Q$7,2),IF($N78=Lists!$K$3,IF($L78&lt;1,(($U78/$L78)*((1+Inputs!$D$7)^BN$2)),((INT(BN$2/$L78)-INT((BN$2-1)/$L78))*$U78*((1+Inputs!$D$7)^BN$2))),(_xlfn.WEIBULL.DIST(BN$2,$M78,$L78,FALSE)*$U78*((1+Inputs!$D$7)^BN$2))),IF($N78=Lists!$K$3,IF($L78&lt;1,((($T78*(1-$F78)+$S78*(1-$G78))/$L78)*((1+Inputs!$D$7)^BN$2)),((INT(BN$2/$L78)-INT((BN$2-1)/$L78))*($T78*(1-$F78)+$S78*(1-$G78))*((1+Inputs!$D$7)^BN$2))),((_xlfn.WEIBULL.DIST(BN$2,$M78,$L78,FALSE)*($T78*(1-$F78)+$S78*(1-$G78))*((1+Inputs!$D$7)^BN$2))))))</f>
        <v>0</v>
      </c>
      <c r="BO78" s="64">
        <f>NPV(Inputs!$D$6,BQ78:DD78)</f>
        <v>0</v>
      </c>
      <c r="BP78" s="67">
        <f t="shared" si="20"/>
        <v>0</v>
      </c>
      <c r="BQ78" s="88">
        <f>MAX(AA78,($E78*IF(BQ$2&gt;Inputs!$D$5,0,IF(BQ$2&gt;VLOOKUP($H78,Lists!$P$3:$Q$7,2),IF($N78=Lists!$K$3,IF($L78&lt;1,(($U78/$L78)*((1+Inputs!$D$7)^BQ$2)),((INT(BQ$2/$L78)-INT((BQ$2-1)/$L78))*$U78*((1+Inputs!$D$7)^BQ$2))),(Inputs!$D$8^((1-_xlfn.WEIBULL.DIST(BQ$2,$M78,$L78,FALSE))/_xlfn.WEIBULL.DIST(BQ$2,$M78,$L78,FALSE))*$U78*((1+Inputs!$D$7)^BQ$2))),IF($N78=Lists!$K$3,IF($L78&lt;1,((($T78*(1-$F78)+$S78*(1-$G78))/$L78)*((1+Inputs!$D$7)^BQ$2)),((INT(BQ$2/$L78)-INT((BQ$2-1)/$L78))*($T78*(1-$F78)+$S78*(1-$G78))*((1+Inputs!$D$7)^BQ$2))),((Inputs!$D$8^((1-_xlfn.WEIBULL.DIST(BQ$2,$M78,$L78,FALSE))/_xlfn.WEIBULL.DIST(BQ$2,$M78,$L78,FALSE))*($T78*(1-$F78)+$S78*(1-$G78))*((1+Inputs!$D$7)^BQ$2))))))))</f>
        <v>0</v>
      </c>
      <c r="BR78" s="88">
        <f>MAX(AB78,($E78*IF(BR$2&gt;Inputs!$D$5,0,IF(BR$2&gt;VLOOKUP($H78,Lists!$P$3:$Q$7,2),IF($N78=Lists!$K$3,IF($L78&lt;1,(($U78/$L78)*((1+Inputs!$D$7)^BR$2)),((INT(BR$2/$L78)-INT((BR$2-1)/$L78))*$U78*((1+Inputs!$D$7)^BR$2))),(Inputs!$D$8^((1-_xlfn.WEIBULL.DIST(BR$2,$M78,$L78,FALSE))/_xlfn.WEIBULL.DIST(BR$2,$M78,$L78,FALSE))*$U78*((1+Inputs!$D$7)^BR$2))),IF($N78=Lists!$K$3,IF($L78&lt;1,((($T78*(1-$F78)+$S78*(1-$G78))/$L78)*((1+Inputs!$D$7)^BR$2)),((INT(BR$2/$L78)-INT((BR$2-1)/$L78))*($T78*(1-$F78)+$S78*(1-$G78))*((1+Inputs!$D$7)^BR$2))),((Inputs!$D$8^((1-_xlfn.WEIBULL.DIST(BR$2,$M78,$L78,FALSE))/_xlfn.WEIBULL.DIST(BR$2,$M78,$L78,FALSE))*($T78*(1-$F78)+$S78*(1-$G78))*((1+Inputs!$D$7)^BR$2))))))))</f>
        <v>0</v>
      </c>
      <c r="BS78" s="88">
        <f>MAX(AC78,($E78*IF(BS$2&gt;Inputs!$D$5,0,IF(BS$2&gt;VLOOKUP($H78,Lists!$P$3:$Q$7,2),IF($N78=Lists!$K$3,IF($L78&lt;1,(($U78/$L78)*((1+Inputs!$D$7)^BS$2)),((INT(BS$2/$L78)-INT((BS$2-1)/$L78))*$U78*((1+Inputs!$D$7)^BS$2))),(Inputs!$D$8^((1-_xlfn.WEIBULL.DIST(BS$2,$M78,$L78,FALSE))/_xlfn.WEIBULL.DIST(BS$2,$M78,$L78,FALSE))*$U78*((1+Inputs!$D$7)^BS$2))),IF($N78=Lists!$K$3,IF($L78&lt;1,((($T78*(1-$F78)+$S78*(1-$G78))/$L78)*((1+Inputs!$D$7)^BS$2)),((INT(BS$2/$L78)-INT((BS$2-1)/$L78))*($T78*(1-$F78)+$S78*(1-$G78))*((1+Inputs!$D$7)^BS$2))),((Inputs!$D$8^((1-_xlfn.WEIBULL.DIST(BS$2,$M78,$L78,FALSE))/_xlfn.WEIBULL.DIST(BS$2,$M78,$L78,FALSE))*($T78*(1-$F78)+$S78*(1-$G78))*((1+Inputs!$D$7)^BS$2))))))))</f>
        <v>0</v>
      </c>
      <c r="BT78" s="88">
        <f>MAX(AD78,($E78*IF(BT$2&gt;Inputs!$D$5,0,IF(BT$2&gt;VLOOKUP($H78,Lists!$P$3:$Q$7,2),IF($N78=Lists!$K$3,IF($L78&lt;1,(($U78/$L78)*((1+Inputs!$D$7)^BT$2)),((INT(BT$2/$L78)-INT((BT$2-1)/$L78))*$U78*((1+Inputs!$D$7)^BT$2))),(Inputs!$D$8^((1-_xlfn.WEIBULL.DIST(BT$2,$M78,$L78,FALSE))/_xlfn.WEIBULL.DIST(BT$2,$M78,$L78,FALSE))*$U78*((1+Inputs!$D$7)^BT$2))),IF($N78=Lists!$K$3,IF($L78&lt;1,((($T78*(1-$F78)+$S78*(1-$G78))/$L78)*((1+Inputs!$D$7)^BT$2)),((INT(BT$2/$L78)-INT((BT$2-1)/$L78))*($T78*(1-$F78)+$S78*(1-$G78))*((1+Inputs!$D$7)^BT$2))),((Inputs!$D$8^((1-_xlfn.WEIBULL.DIST(BT$2,$M78,$L78,FALSE))/_xlfn.WEIBULL.DIST(BT$2,$M78,$L78,FALSE))*($T78*(1-$F78)+$S78*(1-$G78))*((1+Inputs!$D$7)^BT$2))))))))</f>
        <v>0</v>
      </c>
      <c r="BU78" s="88">
        <f>MAX(AE78,($E78*IF(BU$2&gt;Inputs!$D$5,0,IF(BU$2&gt;VLOOKUP($H78,Lists!$P$3:$Q$7,2),IF($N78=Lists!$K$3,IF($L78&lt;1,(($U78/$L78)*((1+Inputs!$D$7)^BU$2)),((INT(BU$2/$L78)-INT((BU$2-1)/$L78))*$U78*((1+Inputs!$D$7)^BU$2))),(Inputs!$D$8^((1-_xlfn.WEIBULL.DIST(BU$2,$M78,$L78,FALSE))/_xlfn.WEIBULL.DIST(BU$2,$M78,$L78,FALSE))*$U78*((1+Inputs!$D$7)^BU$2))),IF($N78=Lists!$K$3,IF($L78&lt;1,((($T78*(1-$F78)+$S78*(1-$G78))/$L78)*((1+Inputs!$D$7)^BU$2)),((INT(BU$2/$L78)-INT((BU$2-1)/$L78))*($T78*(1-$F78)+$S78*(1-$G78))*((1+Inputs!$D$7)^BU$2))),((Inputs!$D$8^((1-_xlfn.WEIBULL.DIST(BU$2,$M78,$L78,FALSE))/_xlfn.WEIBULL.DIST(BU$2,$M78,$L78,FALSE))*($T78*(1-$F78)+$S78*(1-$G78))*((1+Inputs!$D$7)^BU$2))))))))</f>
        <v>0</v>
      </c>
      <c r="BV78" s="88">
        <f>MAX(AF78,($E78*IF(BV$2&gt;Inputs!$D$5,0,IF(BV$2&gt;VLOOKUP($H78,Lists!$P$3:$Q$7,2),IF($N78=Lists!$K$3,IF($L78&lt;1,(($U78/$L78)*((1+Inputs!$D$7)^BV$2)),((INT(BV$2/$L78)-INT((BV$2-1)/$L78))*$U78*((1+Inputs!$D$7)^BV$2))),(Inputs!$D$8^((1-_xlfn.WEIBULL.DIST(BV$2,$M78,$L78,FALSE))/_xlfn.WEIBULL.DIST(BV$2,$M78,$L78,FALSE))*$U78*((1+Inputs!$D$7)^BV$2))),IF($N78=Lists!$K$3,IF($L78&lt;1,((($T78*(1-$F78)+$S78*(1-$G78))/$L78)*((1+Inputs!$D$7)^BV$2)),((INT(BV$2/$L78)-INT((BV$2-1)/$L78))*($T78*(1-$F78)+$S78*(1-$G78))*((1+Inputs!$D$7)^BV$2))),((Inputs!$D$8^((1-_xlfn.WEIBULL.DIST(BV$2,$M78,$L78,FALSE))/_xlfn.WEIBULL.DIST(BV$2,$M78,$L78,FALSE))*($T78*(1-$F78)+$S78*(1-$G78))*((1+Inputs!$D$7)^BV$2))))))))</f>
        <v>0</v>
      </c>
      <c r="BW78" s="88">
        <f>MAX(AG78,($E78*IF(BW$2&gt;Inputs!$D$5,0,IF(BW$2&gt;VLOOKUP($H78,Lists!$P$3:$Q$7,2),IF($N78=Lists!$K$3,IF($L78&lt;1,(($U78/$L78)*((1+Inputs!$D$7)^BW$2)),((INT(BW$2/$L78)-INT((BW$2-1)/$L78))*$U78*((1+Inputs!$D$7)^BW$2))),(Inputs!$D$8^((1-_xlfn.WEIBULL.DIST(BW$2,$M78,$L78,FALSE))/_xlfn.WEIBULL.DIST(BW$2,$M78,$L78,FALSE))*$U78*((1+Inputs!$D$7)^BW$2))),IF($N78=Lists!$K$3,IF($L78&lt;1,((($T78*(1-$F78)+$S78*(1-$G78))/$L78)*((1+Inputs!$D$7)^BW$2)),((INT(BW$2/$L78)-INT((BW$2-1)/$L78))*($T78*(1-$F78)+$S78*(1-$G78))*((1+Inputs!$D$7)^BW$2))),((Inputs!$D$8^((1-_xlfn.WEIBULL.DIST(BW$2,$M78,$L78,FALSE))/_xlfn.WEIBULL.DIST(BW$2,$M78,$L78,FALSE))*($T78*(1-$F78)+$S78*(1-$G78))*((1+Inputs!$D$7)^BW$2))))))))</f>
        <v>0</v>
      </c>
      <c r="BX78" s="88">
        <f>MAX(AH78,($E78*IF(BX$2&gt;Inputs!$D$5,0,IF(BX$2&gt;VLOOKUP($H78,Lists!$P$3:$Q$7,2),IF($N78=Lists!$K$3,IF($L78&lt;1,(($U78/$L78)*((1+Inputs!$D$7)^BX$2)),((INT(BX$2/$L78)-INT((BX$2-1)/$L78))*$U78*((1+Inputs!$D$7)^BX$2))),(Inputs!$D$8^((1-_xlfn.WEIBULL.DIST(BX$2,$M78,$L78,FALSE))/_xlfn.WEIBULL.DIST(BX$2,$M78,$L78,FALSE))*$U78*((1+Inputs!$D$7)^BX$2))),IF($N78=Lists!$K$3,IF($L78&lt;1,((($T78*(1-$F78)+$S78*(1-$G78))/$L78)*((1+Inputs!$D$7)^BX$2)),((INT(BX$2/$L78)-INT((BX$2-1)/$L78))*($T78*(1-$F78)+$S78*(1-$G78))*((1+Inputs!$D$7)^BX$2))),((Inputs!$D$8^((1-_xlfn.WEIBULL.DIST(BX$2,$M78,$L78,FALSE))/_xlfn.WEIBULL.DIST(BX$2,$M78,$L78,FALSE))*($T78*(1-$F78)+$S78*(1-$G78))*((1+Inputs!$D$7)^BX$2))))))))</f>
        <v>0</v>
      </c>
      <c r="BY78" s="88">
        <f>MAX(AI78,($E78*IF(BY$2&gt;Inputs!$D$5,0,IF(BY$2&gt;VLOOKUP($H78,Lists!$P$3:$Q$7,2),IF($N78=Lists!$K$3,IF($L78&lt;1,(($U78/$L78)*((1+Inputs!$D$7)^BY$2)),((INT(BY$2/$L78)-INT((BY$2-1)/$L78))*$U78*((1+Inputs!$D$7)^BY$2))),(Inputs!$D$8^((1-_xlfn.WEIBULL.DIST(BY$2,$M78,$L78,FALSE))/_xlfn.WEIBULL.DIST(BY$2,$M78,$L78,FALSE))*$U78*((1+Inputs!$D$7)^BY$2))),IF($N78=Lists!$K$3,IF($L78&lt;1,((($T78*(1-$F78)+$S78*(1-$G78))/$L78)*((1+Inputs!$D$7)^BY$2)),((INT(BY$2/$L78)-INT((BY$2-1)/$L78))*($T78*(1-$F78)+$S78*(1-$G78))*((1+Inputs!$D$7)^BY$2))),((Inputs!$D$8^((1-_xlfn.WEIBULL.DIST(BY$2,$M78,$L78,FALSE))/_xlfn.WEIBULL.DIST(BY$2,$M78,$L78,FALSE))*($T78*(1-$F78)+$S78*(1-$G78))*((1+Inputs!$D$7)^BY$2))))))))</f>
        <v>0</v>
      </c>
      <c r="BZ78" s="88">
        <f>MAX(AJ78,($E78*IF(BZ$2&gt;Inputs!$D$5,0,IF(BZ$2&gt;VLOOKUP($H78,Lists!$P$3:$Q$7,2),IF($N78=Lists!$K$3,IF($L78&lt;1,(($U78/$L78)*((1+Inputs!$D$7)^BZ$2)),((INT(BZ$2/$L78)-INT((BZ$2-1)/$L78))*$U78*((1+Inputs!$D$7)^BZ$2))),(Inputs!$D$8^((1-_xlfn.WEIBULL.DIST(BZ$2,$M78,$L78,FALSE))/_xlfn.WEIBULL.DIST(BZ$2,$M78,$L78,FALSE))*$U78*((1+Inputs!$D$7)^BZ$2))),IF($N78=Lists!$K$3,IF($L78&lt;1,((($T78*(1-$F78)+$S78*(1-$G78))/$L78)*((1+Inputs!$D$7)^BZ$2)),((INT(BZ$2/$L78)-INT((BZ$2-1)/$L78))*($T78*(1-$F78)+$S78*(1-$G78))*((1+Inputs!$D$7)^BZ$2))),((Inputs!$D$8^((1-_xlfn.WEIBULL.DIST(BZ$2,$M78,$L78,FALSE))/_xlfn.WEIBULL.DIST(BZ$2,$M78,$L78,FALSE))*($T78*(1-$F78)+$S78*(1-$G78))*((1+Inputs!$D$7)^BZ$2))))))))</f>
        <v>0</v>
      </c>
      <c r="CA78" s="88">
        <f>MAX(AK78,($E78*IF(CA$2&gt;Inputs!$D$5,0,IF(CA$2&gt;VLOOKUP($H78,Lists!$P$3:$Q$7,2),IF($N78=Lists!$K$3,IF($L78&lt;1,(($U78/$L78)*((1+Inputs!$D$7)^CA$2)),((INT(CA$2/$L78)-INT((CA$2-1)/$L78))*$U78*((1+Inputs!$D$7)^CA$2))),(Inputs!$D$8^((1-_xlfn.WEIBULL.DIST(CA$2,$M78,$L78,FALSE))/_xlfn.WEIBULL.DIST(CA$2,$M78,$L78,FALSE))*$U78*((1+Inputs!$D$7)^CA$2))),IF($N78=Lists!$K$3,IF($L78&lt;1,((($T78*(1-$F78)+$S78*(1-$G78))/$L78)*((1+Inputs!$D$7)^CA$2)),((INT(CA$2/$L78)-INT((CA$2-1)/$L78))*($T78*(1-$F78)+$S78*(1-$G78))*((1+Inputs!$D$7)^CA$2))),((Inputs!$D$8^((1-_xlfn.WEIBULL.DIST(CA$2,$M78,$L78,FALSE))/_xlfn.WEIBULL.DIST(CA$2,$M78,$L78,FALSE))*($T78*(1-$F78)+$S78*(1-$G78))*((1+Inputs!$D$7)^CA$2))))))))</f>
        <v>0</v>
      </c>
      <c r="CB78" s="88">
        <f>MAX(AL78,($E78*IF(CB$2&gt;Inputs!$D$5,0,IF(CB$2&gt;VLOOKUP($H78,Lists!$P$3:$Q$7,2),IF($N78=Lists!$K$3,IF($L78&lt;1,(($U78/$L78)*((1+Inputs!$D$7)^CB$2)),((INT(CB$2/$L78)-INT((CB$2-1)/$L78))*$U78*((1+Inputs!$D$7)^CB$2))),(Inputs!$D$8^((1-_xlfn.WEIBULL.DIST(CB$2,$M78,$L78,FALSE))/_xlfn.WEIBULL.DIST(CB$2,$M78,$L78,FALSE))*$U78*((1+Inputs!$D$7)^CB$2))),IF($N78=Lists!$K$3,IF($L78&lt;1,((($T78*(1-$F78)+$S78*(1-$G78))/$L78)*((1+Inputs!$D$7)^CB$2)),((INT(CB$2/$L78)-INT((CB$2-1)/$L78))*($T78*(1-$F78)+$S78*(1-$G78))*((1+Inputs!$D$7)^CB$2))),((Inputs!$D$8^((1-_xlfn.WEIBULL.DIST(CB$2,$M78,$L78,FALSE))/_xlfn.WEIBULL.DIST(CB$2,$M78,$L78,FALSE))*($T78*(1-$F78)+$S78*(1-$G78))*((1+Inputs!$D$7)^CB$2))))))))</f>
        <v>0</v>
      </c>
      <c r="CC78" s="88">
        <f>MAX(AM78,($E78*IF(CC$2&gt;Inputs!$D$5,0,IF(CC$2&gt;VLOOKUP($H78,Lists!$P$3:$Q$7,2),IF($N78=Lists!$K$3,IF($L78&lt;1,(($U78/$L78)*((1+Inputs!$D$7)^CC$2)),((INT(CC$2/$L78)-INT((CC$2-1)/$L78))*$U78*((1+Inputs!$D$7)^CC$2))),(Inputs!$D$8^((1-_xlfn.WEIBULL.DIST(CC$2,$M78,$L78,FALSE))/_xlfn.WEIBULL.DIST(CC$2,$M78,$L78,FALSE))*$U78*((1+Inputs!$D$7)^CC$2))),IF($N78=Lists!$K$3,IF($L78&lt;1,((($T78*(1-$F78)+$S78*(1-$G78))/$L78)*((1+Inputs!$D$7)^CC$2)),((INT(CC$2/$L78)-INT((CC$2-1)/$L78))*($T78*(1-$F78)+$S78*(1-$G78))*((1+Inputs!$D$7)^CC$2))),((Inputs!$D$8^((1-_xlfn.WEIBULL.DIST(CC$2,$M78,$L78,FALSE))/_xlfn.WEIBULL.DIST(CC$2,$M78,$L78,FALSE))*($T78*(1-$F78)+$S78*(1-$G78))*((1+Inputs!$D$7)^CC$2))))))))</f>
        <v>0</v>
      </c>
      <c r="CD78" s="88">
        <f>MAX(AN78,($E78*IF(CD$2&gt;Inputs!$D$5,0,IF(CD$2&gt;VLOOKUP($H78,Lists!$P$3:$Q$7,2),IF($N78=Lists!$K$3,IF($L78&lt;1,(($U78/$L78)*((1+Inputs!$D$7)^CD$2)),((INT(CD$2/$L78)-INT((CD$2-1)/$L78))*$U78*((1+Inputs!$D$7)^CD$2))),(Inputs!$D$8^((1-_xlfn.WEIBULL.DIST(CD$2,$M78,$L78,FALSE))/_xlfn.WEIBULL.DIST(CD$2,$M78,$L78,FALSE))*$U78*((1+Inputs!$D$7)^CD$2))),IF($N78=Lists!$K$3,IF($L78&lt;1,((($T78*(1-$F78)+$S78*(1-$G78))/$L78)*((1+Inputs!$D$7)^CD$2)),((INT(CD$2/$L78)-INT((CD$2-1)/$L78))*($T78*(1-$F78)+$S78*(1-$G78))*((1+Inputs!$D$7)^CD$2))),((Inputs!$D$8^((1-_xlfn.WEIBULL.DIST(CD$2,$M78,$L78,FALSE))/_xlfn.WEIBULL.DIST(CD$2,$M78,$L78,FALSE))*($T78*(1-$F78)+$S78*(1-$G78))*((1+Inputs!$D$7)^CD$2))))))))</f>
        <v>0</v>
      </c>
      <c r="CE78" s="88">
        <f>MAX(AO78,($E78*IF(CE$2&gt;Inputs!$D$5,0,IF(CE$2&gt;VLOOKUP($H78,Lists!$P$3:$Q$7,2),IF($N78=Lists!$K$3,IF($L78&lt;1,(($U78/$L78)*((1+Inputs!$D$7)^CE$2)),((INT(CE$2/$L78)-INT((CE$2-1)/$L78))*$U78*((1+Inputs!$D$7)^CE$2))),(Inputs!$D$8^((1-_xlfn.WEIBULL.DIST(CE$2,$M78,$L78,FALSE))/_xlfn.WEIBULL.DIST(CE$2,$M78,$L78,FALSE))*$U78*((1+Inputs!$D$7)^CE$2))),IF($N78=Lists!$K$3,IF($L78&lt;1,((($T78*(1-$F78)+$S78*(1-$G78))/$L78)*((1+Inputs!$D$7)^CE$2)),((INT(CE$2/$L78)-INT((CE$2-1)/$L78))*($T78*(1-$F78)+$S78*(1-$G78))*((1+Inputs!$D$7)^CE$2))),((Inputs!$D$8^((1-_xlfn.WEIBULL.DIST(CE$2,$M78,$L78,FALSE))/_xlfn.WEIBULL.DIST(CE$2,$M78,$L78,FALSE))*($T78*(1-$F78)+$S78*(1-$G78))*((1+Inputs!$D$7)^CE$2))))))))</f>
        <v>0</v>
      </c>
      <c r="CF78" s="88">
        <f>MAX(AP78,($E78*IF(CF$2&gt;Inputs!$D$5,0,IF(CF$2&gt;VLOOKUP($H78,Lists!$P$3:$Q$7,2),IF($N78=Lists!$K$3,IF($L78&lt;1,(($U78/$L78)*((1+Inputs!$D$7)^CF$2)),((INT(CF$2/$L78)-INT((CF$2-1)/$L78))*$U78*((1+Inputs!$D$7)^CF$2))),(Inputs!$D$8^((1-_xlfn.WEIBULL.DIST(CF$2,$M78,$L78,FALSE))/_xlfn.WEIBULL.DIST(CF$2,$M78,$L78,FALSE))*$U78*((1+Inputs!$D$7)^CF$2))),IF($N78=Lists!$K$3,IF($L78&lt;1,((($T78*(1-$F78)+$S78*(1-$G78))/$L78)*((1+Inputs!$D$7)^CF$2)),((INT(CF$2/$L78)-INT((CF$2-1)/$L78))*($T78*(1-$F78)+$S78*(1-$G78))*((1+Inputs!$D$7)^CF$2))),((Inputs!$D$8^((1-_xlfn.WEIBULL.DIST(CF$2,$M78,$L78,FALSE))/_xlfn.WEIBULL.DIST(CF$2,$M78,$L78,FALSE))*($T78*(1-$F78)+$S78*(1-$G78))*((1+Inputs!$D$7)^CF$2))))))))</f>
        <v>0</v>
      </c>
      <c r="CG78" s="88">
        <f>MAX(AQ78,($E78*IF(CG$2&gt;Inputs!$D$5,0,IF(CG$2&gt;VLOOKUP($H78,Lists!$P$3:$Q$7,2),IF($N78=Lists!$K$3,IF($L78&lt;1,(($U78/$L78)*((1+Inputs!$D$7)^CG$2)),((INT(CG$2/$L78)-INT((CG$2-1)/$L78))*$U78*((1+Inputs!$D$7)^CG$2))),(Inputs!$D$8^((1-_xlfn.WEIBULL.DIST(CG$2,$M78,$L78,FALSE))/_xlfn.WEIBULL.DIST(CG$2,$M78,$L78,FALSE))*$U78*((1+Inputs!$D$7)^CG$2))),IF($N78=Lists!$K$3,IF($L78&lt;1,((($T78*(1-$F78)+$S78*(1-$G78))/$L78)*((1+Inputs!$D$7)^CG$2)),((INT(CG$2/$L78)-INT((CG$2-1)/$L78))*($T78*(1-$F78)+$S78*(1-$G78))*((1+Inputs!$D$7)^CG$2))),((Inputs!$D$8^((1-_xlfn.WEIBULL.DIST(CG$2,$M78,$L78,FALSE))/_xlfn.WEIBULL.DIST(CG$2,$M78,$L78,FALSE))*($T78*(1-$F78)+$S78*(1-$G78))*((1+Inputs!$D$7)^CG$2))))))))</f>
        <v>0</v>
      </c>
      <c r="CH78" s="88">
        <f>MAX(AR78,($E78*IF(CH$2&gt;Inputs!$D$5,0,IF(CH$2&gt;VLOOKUP($H78,Lists!$P$3:$Q$7,2),IF($N78=Lists!$K$3,IF($L78&lt;1,(($U78/$L78)*((1+Inputs!$D$7)^CH$2)),((INT(CH$2/$L78)-INT((CH$2-1)/$L78))*$U78*((1+Inputs!$D$7)^CH$2))),(Inputs!$D$8^((1-_xlfn.WEIBULL.DIST(CH$2,$M78,$L78,FALSE))/_xlfn.WEIBULL.DIST(CH$2,$M78,$L78,FALSE))*$U78*((1+Inputs!$D$7)^CH$2))),IF($N78=Lists!$K$3,IF($L78&lt;1,((($T78*(1-$F78)+$S78*(1-$G78))/$L78)*((1+Inputs!$D$7)^CH$2)),((INT(CH$2/$L78)-INT((CH$2-1)/$L78))*($T78*(1-$F78)+$S78*(1-$G78))*((1+Inputs!$D$7)^CH$2))),((Inputs!$D$8^((1-_xlfn.WEIBULL.DIST(CH$2,$M78,$L78,FALSE))/_xlfn.WEIBULL.DIST(CH$2,$M78,$L78,FALSE))*($T78*(1-$F78)+$S78*(1-$G78))*((1+Inputs!$D$7)^CH$2))))))))</f>
        <v>0</v>
      </c>
      <c r="CI78" s="88">
        <f>MAX(AS78,($E78*IF(CI$2&gt;Inputs!$D$5,0,IF(CI$2&gt;VLOOKUP($H78,Lists!$P$3:$Q$7,2),IF($N78=Lists!$K$3,IF($L78&lt;1,(($U78/$L78)*((1+Inputs!$D$7)^CI$2)),((INT(CI$2/$L78)-INT((CI$2-1)/$L78))*$U78*((1+Inputs!$D$7)^CI$2))),(Inputs!$D$8^((1-_xlfn.WEIBULL.DIST(CI$2,$M78,$L78,FALSE))/_xlfn.WEIBULL.DIST(CI$2,$M78,$L78,FALSE))*$U78*((1+Inputs!$D$7)^CI$2))),IF($N78=Lists!$K$3,IF($L78&lt;1,((($T78*(1-$F78)+$S78*(1-$G78))/$L78)*((1+Inputs!$D$7)^CI$2)),((INT(CI$2/$L78)-INT((CI$2-1)/$L78))*($T78*(1-$F78)+$S78*(1-$G78))*((1+Inputs!$D$7)^CI$2))),((Inputs!$D$8^((1-_xlfn.WEIBULL.DIST(CI$2,$M78,$L78,FALSE))/_xlfn.WEIBULL.DIST(CI$2,$M78,$L78,FALSE))*($T78*(1-$F78)+$S78*(1-$G78))*((1+Inputs!$D$7)^CI$2))))))))</f>
        <v>0</v>
      </c>
      <c r="CJ78" s="88">
        <f>MAX(AT78,($E78*IF(CJ$2&gt;Inputs!$D$5,0,IF(CJ$2&gt;VLOOKUP($H78,Lists!$P$3:$Q$7,2),IF($N78=Lists!$K$3,IF($L78&lt;1,(($U78/$L78)*((1+Inputs!$D$7)^CJ$2)),((INT(CJ$2/$L78)-INT((CJ$2-1)/$L78))*$U78*((1+Inputs!$D$7)^CJ$2))),(Inputs!$D$8^((1-_xlfn.WEIBULL.DIST(CJ$2,$M78,$L78,FALSE))/_xlfn.WEIBULL.DIST(CJ$2,$M78,$L78,FALSE))*$U78*((1+Inputs!$D$7)^CJ$2))),IF($N78=Lists!$K$3,IF($L78&lt;1,((($T78*(1-$F78)+$S78*(1-$G78))/$L78)*((1+Inputs!$D$7)^CJ$2)),((INT(CJ$2/$L78)-INT((CJ$2-1)/$L78))*($T78*(1-$F78)+$S78*(1-$G78))*((1+Inputs!$D$7)^CJ$2))),((Inputs!$D$8^((1-_xlfn.WEIBULL.DIST(CJ$2,$M78,$L78,FALSE))/_xlfn.WEIBULL.DIST(CJ$2,$M78,$L78,FALSE))*($T78*(1-$F78)+$S78*(1-$G78))*((1+Inputs!$D$7)^CJ$2))))))))</f>
        <v>0</v>
      </c>
      <c r="CK78" s="88">
        <f>MAX(AU78,($E78*IF(CK$2&gt;Inputs!$D$5,0,IF(CK$2&gt;VLOOKUP($H78,Lists!$P$3:$Q$7,2),IF($N78=Lists!$K$3,IF($L78&lt;1,(($U78/$L78)*((1+Inputs!$D$7)^CK$2)),((INT(CK$2/$L78)-INT((CK$2-1)/$L78))*$U78*((1+Inputs!$D$7)^CK$2))),(Inputs!$D$8^((1-_xlfn.WEIBULL.DIST(CK$2,$M78,$L78,FALSE))/_xlfn.WEIBULL.DIST(CK$2,$M78,$L78,FALSE))*$U78*((1+Inputs!$D$7)^CK$2))),IF($N78=Lists!$K$3,IF($L78&lt;1,((($T78*(1-$F78)+$S78*(1-$G78))/$L78)*((1+Inputs!$D$7)^CK$2)),((INT(CK$2/$L78)-INT((CK$2-1)/$L78))*($T78*(1-$F78)+$S78*(1-$G78))*((1+Inputs!$D$7)^CK$2))),((Inputs!$D$8^((1-_xlfn.WEIBULL.DIST(CK$2,$M78,$L78,FALSE))/_xlfn.WEIBULL.DIST(CK$2,$M78,$L78,FALSE))*($T78*(1-$F78)+$S78*(1-$G78))*((1+Inputs!$D$7)^CK$2))))))))</f>
        <v>0</v>
      </c>
      <c r="CL78" s="88">
        <f>MAX(AV78,($E78*IF(CL$2&gt;Inputs!$D$5,0,IF(CL$2&gt;VLOOKUP($H78,Lists!$P$3:$Q$7,2),IF($N78=Lists!$K$3,IF($L78&lt;1,(($U78/$L78)*((1+Inputs!$D$7)^CL$2)),((INT(CL$2/$L78)-INT((CL$2-1)/$L78))*$U78*((1+Inputs!$D$7)^CL$2))),(Inputs!$D$8^((1-_xlfn.WEIBULL.DIST(CL$2,$M78,$L78,FALSE))/_xlfn.WEIBULL.DIST(CL$2,$M78,$L78,FALSE))*$U78*((1+Inputs!$D$7)^CL$2))),IF($N78=Lists!$K$3,IF($L78&lt;1,((($T78*(1-$F78)+$S78*(1-$G78))/$L78)*((1+Inputs!$D$7)^CL$2)),((INT(CL$2/$L78)-INT((CL$2-1)/$L78))*($T78*(1-$F78)+$S78*(1-$G78))*((1+Inputs!$D$7)^CL$2))),((Inputs!$D$8^((1-_xlfn.WEIBULL.DIST(CL$2,$M78,$L78,FALSE))/_xlfn.WEIBULL.DIST(CL$2,$M78,$L78,FALSE))*($T78*(1-$F78)+$S78*(1-$G78))*((1+Inputs!$D$7)^CL$2))))))))</f>
        <v>0</v>
      </c>
      <c r="CM78" s="88">
        <f>MAX(AW78,($E78*IF(CM$2&gt;Inputs!$D$5,0,IF(CM$2&gt;VLOOKUP($H78,Lists!$P$3:$Q$7,2),IF($N78=Lists!$K$3,IF($L78&lt;1,(($U78/$L78)*((1+Inputs!$D$7)^CM$2)),((INT(CM$2/$L78)-INT((CM$2-1)/$L78))*$U78*((1+Inputs!$D$7)^CM$2))),(Inputs!$D$8^((1-_xlfn.WEIBULL.DIST(CM$2,$M78,$L78,FALSE))/_xlfn.WEIBULL.DIST(CM$2,$M78,$L78,FALSE))*$U78*((1+Inputs!$D$7)^CM$2))),IF($N78=Lists!$K$3,IF($L78&lt;1,((($T78*(1-$F78)+$S78*(1-$G78))/$L78)*((1+Inputs!$D$7)^CM$2)),((INT(CM$2/$L78)-INT((CM$2-1)/$L78))*($T78*(1-$F78)+$S78*(1-$G78))*((1+Inputs!$D$7)^CM$2))),((Inputs!$D$8^((1-_xlfn.WEIBULL.DIST(CM$2,$M78,$L78,FALSE))/_xlfn.WEIBULL.DIST(CM$2,$M78,$L78,FALSE))*($T78*(1-$F78)+$S78*(1-$G78))*((1+Inputs!$D$7)^CM$2))))))))</f>
        <v>0</v>
      </c>
      <c r="CN78" s="88">
        <f>MAX(AX78,($E78*IF(CN$2&gt;Inputs!$D$5,0,IF(CN$2&gt;VLOOKUP($H78,Lists!$P$3:$Q$7,2),IF($N78=Lists!$K$3,IF($L78&lt;1,(($U78/$L78)*((1+Inputs!$D$7)^CN$2)),((INT(CN$2/$L78)-INT((CN$2-1)/$L78))*$U78*((1+Inputs!$D$7)^CN$2))),(Inputs!$D$8^((1-_xlfn.WEIBULL.DIST(CN$2,$M78,$L78,FALSE))/_xlfn.WEIBULL.DIST(CN$2,$M78,$L78,FALSE))*$U78*((1+Inputs!$D$7)^CN$2))),IF($N78=Lists!$K$3,IF($L78&lt;1,((($T78*(1-$F78)+$S78*(1-$G78))/$L78)*((1+Inputs!$D$7)^CN$2)),((INT(CN$2/$L78)-INT((CN$2-1)/$L78))*($T78*(1-$F78)+$S78*(1-$G78))*((1+Inputs!$D$7)^CN$2))),((Inputs!$D$8^((1-_xlfn.WEIBULL.DIST(CN$2,$M78,$L78,FALSE))/_xlfn.WEIBULL.DIST(CN$2,$M78,$L78,FALSE))*($T78*(1-$F78)+$S78*(1-$G78))*((1+Inputs!$D$7)^CN$2))))))))</f>
        <v>0</v>
      </c>
      <c r="CO78" s="88">
        <f>MAX(AY78,($E78*IF(CO$2&gt;Inputs!$D$5,0,IF(CO$2&gt;VLOOKUP($H78,Lists!$P$3:$Q$7,2),IF($N78=Lists!$K$3,IF($L78&lt;1,(($U78/$L78)*((1+Inputs!$D$7)^CO$2)),((INT(CO$2/$L78)-INT((CO$2-1)/$L78))*$U78*((1+Inputs!$D$7)^CO$2))),(Inputs!$D$8^((1-_xlfn.WEIBULL.DIST(CO$2,$M78,$L78,FALSE))/_xlfn.WEIBULL.DIST(CO$2,$M78,$L78,FALSE))*$U78*((1+Inputs!$D$7)^CO$2))),IF($N78=Lists!$K$3,IF($L78&lt;1,((($T78*(1-$F78)+$S78*(1-$G78))/$L78)*((1+Inputs!$D$7)^CO$2)),((INT(CO$2/$L78)-INT((CO$2-1)/$L78))*($T78*(1-$F78)+$S78*(1-$G78))*((1+Inputs!$D$7)^CO$2))),((Inputs!$D$8^((1-_xlfn.WEIBULL.DIST(CO$2,$M78,$L78,FALSE))/_xlfn.WEIBULL.DIST(CO$2,$M78,$L78,FALSE))*($T78*(1-$F78)+$S78*(1-$G78))*((1+Inputs!$D$7)^CO$2))))))))</f>
        <v>0</v>
      </c>
      <c r="CP78" s="88">
        <f>MAX(AZ78,($E78*IF(CP$2&gt;Inputs!$D$5,0,IF(CP$2&gt;VLOOKUP($H78,Lists!$P$3:$Q$7,2),IF($N78=Lists!$K$3,IF($L78&lt;1,(($U78/$L78)*((1+Inputs!$D$7)^CP$2)),((INT(CP$2/$L78)-INT((CP$2-1)/$L78))*$U78*((1+Inputs!$D$7)^CP$2))),(Inputs!$D$8^((1-_xlfn.WEIBULL.DIST(CP$2,$M78,$L78,FALSE))/_xlfn.WEIBULL.DIST(CP$2,$M78,$L78,FALSE))*$U78*((1+Inputs!$D$7)^CP$2))),IF($N78=Lists!$K$3,IF($L78&lt;1,((($T78*(1-$F78)+$S78*(1-$G78))/$L78)*((1+Inputs!$D$7)^CP$2)),((INT(CP$2/$L78)-INT((CP$2-1)/$L78))*($T78*(1-$F78)+$S78*(1-$G78))*((1+Inputs!$D$7)^CP$2))),((Inputs!$D$8^((1-_xlfn.WEIBULL.DIST(CP$2,$M78,$L78,FALSE))/_xlfn.WEIBULL.DIST(CP$2,$M78,$L78,FALSE))*($T78*(1-$F78)+$S78*(1-$G78))*((1+Inputs!$D$7)^CP$2))))))))</f>
        <v>0</v>
      </c>
      <c r="CQ78" s="88">
        <f>MAX(BA78,($E78*IF(CQ$2&gt;Inputs!$D$5,0,IF(CQ$2&gt;VLOOKUP($H78,Lists!$P$3:$Q$7,2),IF($N78=Lists!$K$3,IF($L78&lt;1,(($U78/$L78)*((1+Inputs!$D$7)^CQ$2)),((INT(CQ$2/$L78)-INT((CQ$2-1)/$L78))*$U78*((1+Inputs!$D$7)^CQ$2))),(Inputs!$D$8^((1-_xlfn.WEIBULL.DIST(CQ$2,$M78,$L78,FALSE))/_xlfn.WEIBULL.DIST(CQ$2,$M78,$L78,FALSE))*$U78*((1+Inputs!$D$7)^CQ$2))),IF($N78=Lists!$K$3,IF($L78&lt;1,((($T78*(1-$F78)+$S78*(1-$G78))/$L78)*((1+Inputs!$D$7)^CQ$2)),((INT(CQ$2/$L78)-INT((CQ$2-1)/$L78))*($T78*(1-$F78)+$S78*(1-$G78))*((1+Inputs!$D$7)^CQ$2))),((Inputs!$D$8^((1-_xlfn.WEIBULL.DIST(CQ$2,$M78,$L78,FALSE))/_xlfn.WEIBULL.DIST(CQ$2,$M78,$L78,FALSE))*($T78*(1-$F78)+$S78*(1-$G78))*((1+Inputs!$D$7)^CQ$2))))))))</f>
        <v>0</v>
      </c>
      <c r="CR78" s="88">
        <f>MAX(BB78,($E78*IF(CR$2&gt;Inputs!$D$5,0,IF(CR$2&gt;VLOOKUP($H78,Lists!$P$3:$Q$7,2),IF($N78=Lists!$K$3,IF($L78&lt;1,(($U78/$L78)*((1+Inputs!$D$7)^CR$2)),((INT(CR$2/$L78)-INT((CR$2-1)/$L78))*$U78*((1+Inputs!$D$7)^CR$2))),(Inputs!$D$8^((1-_xlfn.WEIBULL.DIST(CR$2,$M78,$L78,FALSE))/_xlfn.WEIBULL.DIST(CR$2,$M78,$L78,FALSE))*$U78*((1+Inputs!$D$7)^CR$2))),IF($N78=Lists!$K$3,IF($L78&lt;1,((($T78*(1-$F78)+$S78*(1-$G78))/$L78)*((1+Inputs!$D$7)^CR$2)),((INT(CR$2/$L78)-INT((CR$2-1)/$L78))*($T78*(1-$F78)+$S78*(1-$G78))*((1+Inputs!$D$7)^CR$2))),((Inputs!$D$8^((1-_xlfn.WEIBULL.DIST(CR$2,$M78,$L78,FALSE))/_xlfn.WEIBULL.DIST(CR$2,$M78,$L78,FALSE))*($T78*(1-$F78)+$S78*(1-$G78))*((1+Inputs!$D$7)^CR$2))))))))</f>
        <v>0</v>
      </c>
      <c r="CS78" s="88">
        <f>MAX(BC78,($E78*IF(CS$2&gt;Inputs!$D$5,0,IF(CS$2&gt;VLOOKUP($H78,Lists!$P$3:$Q$7,2),IF($N78=Lists!$K$3,IF($L78&lt;1,(($U78/$L78)*((1+Inputs!$D$7)^CS$2)),((INT(CS$2/$L78)-INT((CS$2-1)/$L78))*$U78*((1+Inputs!$D$7)^CS$2))),(Inputs!$D$8^((1-_xlfn.WEIBULL.DIST(CS$2,$M78,$L78,FALSE))/_xlfn.WEIBULL.DIST(CS$2,$M78,$L78,FALSE))*$U78*((1+Inputs!$D$7)^CS$2))),IF($N78=Lists!$K$3,IF($L78&lt;1,((($T78*(1-$F78)+$S78*(1-$G78))/$L78)*((1+Inputs!$D$7)^CS$2)),((INT(CS$2/$L78)-INT((CS$2-1)/$L78))*($T78*(1-$F78)+$S78*(1-$G78))*((1+Inputs!$D$7)^CS$2))),((Inputs!$D$8^((1-_xlfn.WEIBULL.DIST(CS$2,$M78,$L78,FALSE))/_xlfn.WEIBULL.DIST(CS$2,$M78,$L78,FALSE))*($T78*(1-$F78)+$S78*(1-$G78))*((1+Inputs!$D$7)^CS$2))))))))</f>
        <v>0</v>
      </c>
      <c r="CT78" s="88">
        <f>MAX(BD78,($E78*IF(CT$2&gt;Inputs!$D$5,0,IF(CT$2&gt;VLOOKUP($H78,Lists!$P$3:$Q$7,2),IF($N78=Lists!$K$3,IF($L78&lt;1,(($U78/$L78)*((1+Inputs!$D$7)^CT$2)),((INT(CT$2/$L78)-INT((CT$2-1)/$L78))*$U78*((1+Inputs!$D$7)^CT$2))),(Inputs!$D$8^((1-_xlfn.WEIBULL.DIST(CT$2,$M78,$L78,FALSE))/_xlfn.WEIBULL.DIST(CT$2,$M78,$L78,FALSE))*$U78*((1+Inputs!$D$7)^CT$2))),IF($N78=Lists!$K$3,IF($L78&lt;1,((($T78*(1-$F78)+$S78*(1-$G78))/$L78)*((1+Inputs!$D$7)^CT$2)),((INT(CT$2/$L78)-INT((CT$2-1)/$L78))*($T78*(1-$F78)+$S78*(1-$G78))*((1+Inputs!$D$7)^CT$2))),((Inputs!$D$8^((1-_xlfn.WEIBULL.DIST(CT$2,$M78,$L78,FALSE))/_xlfn.WEIBULL.DIST(CT$2,$M78,$L78,FALSE))*($T78*(1-$F78)+$S78*(1-$G78))*((1+Inputs!$D$7)^CT$2))))))))</f>
        <v>0</v>
      </c>
      <c r="CU78" s="88">
        <f>MAX(BE78,($E78*IF(CU$2&gt;Inputs!$D$5,0,IF(CU$2&gt;VLOOKUP($H78,Lists!$P$3:$Q$7,2),IF($N78=Lists!$K$3,IF($L78&lt;1,(($U78/$L78)*((1+Inputs!$D$7)^CU$2)),((INT(CU$2/$L78)-INT((CU$2-1)/$L78))*$U78*((1+Inputs!$D$7)^CU$2))),(Inputs!$D$8^((1-_xlfn.WEIBULL.DIST(CU$2,$M78,$L78,FALSE))/_xlfn.WEIBULL.DIST(CU$2,$M78,$L78,FALSE))*$U78*((1+Inputs!$D$7)^CU$2))),IF($N78=Lists!$K$3,IF($L78&lt;1,((($T78*(1-$F78)+$S78*(1-$G78))/$L78)*((1+Inputs!$D$7)^CU$2)),((INT(CU$2/$L78)-INT((CU$2-1)/$L78))*($T78*(1-$F78)+$S78*(1-$G78))*((1+Inputs!$D$7)^CU$2))),((Inputs!$D$8^((1-_xlfn.WEIBULL.DIST(CU$2,$M78,$L78,FALSE))/_xlfn.WEIBULL.DIST(CU$2,$M78,$L78,FALSE))*($T78*(1-$F78)+$S78*(1-$G78))*((1+Inputs!$D$7)^CU$2))))))))</f>
        <v>0</v>
      </c>
      <c r="CV78" s="88">
        <f>MAX(BF78,($E78*IF(CV$2&gt;Inputs!$D$5,0,IF(CV$2&gt;VLOOKUP($H78,Lists!$P$3:$Q$7,2),IF($N78=Lists!$K$3,IF($L78&lt;1,(($U78/$L78)*((1+Inputs!$D$7)^CV$2)),((INT(CV$2/$L78)-INT((CV$2-1)/$L78))*$U78*((1+Inputs!$D$7)^CV$2))),(Inputs!$D$8^((1-_xlfn.WEIBULL.DIST(CV$2,$M78,$L78,FALSE))/_xlfn.WEIBULL.DIST(CV$2,$M78,$L78,FALSE))*$U78*((1+Inputs!$D$7)^CV$2))),IF($N78=Lists!$K$3,IF($L78&lt;1,((($T78*(1-$F78)+$S78*(1-$G78))/$L78)*((1+Inputs!$D$7)^CV$2)),((INT(CV$2/$L78)-INT((CV$2-1)/$L78))*($T78*(1-$F78)+$S78*(1-$G78))*((1+Inputs!$D$7)^CV$2))),((Inputs!$D$8^((1-_xlfn.WEIBULL.DIST(CV$2,$M78,$L78,FALSE))/_xlfn.WEIBULL.DIST(CV$2,$M78,$L78,FALSE))*($T78*(1-$F78)+$S78*(1-$G78))*((1+Inputs!$D$7)^CV$2))))))))</f>
        <v>0</v>
      </c>
      <c r="CW78" s="88">
        <f>MAX(BG78,($E78*IF(CW$2&gt;Inputs!$D$5,0,IF(CW$2&gt;VLOOKUP($H78,Lists!$P$3:$Q$7,2),IF($N78=Lists!$K$3,IF($L78&lt;1,(($U78/$L78)*((1+Inputs!$D$7)^CW$2)),((INT(CW$2/$L78)-INT((CW$2-1)/$L78))*$U78*((1+Inputs!$D$7)^CW$2))),(Inputs!$D$8^((1-_xlfn.WEIBULL.DIST(CW$2,$M78,$L78,FALSE))/_xlfn.WEIBULL.DIST(CW$2,$M78,$L78,FALSE))*$U78*((1+Inputs!$D$7)^CW$2))),IF($N78=Lists!$K$3,IF($L78&lt;1,((($T78*(1-$F78)+$S78*(1-$G78))/$L78)*((1+Inputs!$D$7)^CW$2)),((INT(CW$2/$L78)-INT((CW$2-1)/$L78))*($T78*(1-$F78)+$S78*(1-$G78))*((1+Inputs!$D$7)^CW$2))),((Inputs!$D$8^((1-_xlfn.WEIBULL.DIST(CW$2,$M78,$L78,FALSE))/_xlfn.WEIBULL.DIST(CW$2,$M78,$L78,FALSE))*($T78*(1-$F78)+$S78*(1-$G78))*((1+Inputs!$D$7)^CW$2))))))))</f>
        <v>0</v>
      </c>
      <c r="CX78" s="88">
        <f>MAX(BH78,($E78*IF(CX$2&gt;Inputs!$D$5,0,IF(CX$2&gt;VLOOKUP($H78,Lists!$P$3:$Q$7,2),IF($N78=Lists!$K$3,IF($L78&lt;1,(($U78/$L78)*((1+Inputs!$D$7)^CX$2)),((INT(CX$2/$L78)-INT((CX$2-1)/$L78))*$U78*((1+Inputs!$D$7)^CX$2))),(Inputs!$D$8^((1-_xlfn.WEIBULL.DIST(CX$2,$M78,$L78,FALSE))/_xlfn.WEIBULL.DIST(CX$2,$M78,$L78,FALSE))*$U78*((1+Inputs!$D$7)^CX$2))),IF($N78=Lists!$K$3,IF($L78&lt;1,((($T78*(1-$F78)+$S78*(1-$G78))/$L78)*((1+Inputs!$D$7)^CX$2)),((INT(CX$2/$L78)-INT((CX$2-1)/$L78))*($T78*(1-$F78)+$S78*(1-$G78))*((1+Inputs!$D$7)^CX$2))),((Inputs!$D$8^((1-_xlfn.WEIBULL.DIST(CX$2,$M78,$L78,FALSE))/_xlfn.WEIBULL.DIST(CX$2,$M78,$L78,FALSE))*($T78*(1-$F78)+$S78*(1-$G78))*((1+Inputs!$D$7)^CX$2))))))))</f>
        <v>0</v>
      </c>
      <c r="CY78" s="88">
        <f>MAX(BI78,($E78*IF(CY$2&gt;Inputs!$D$5,0,IF(CY$2&gt;VLOOKUP($H78,Lists!$P$3:$Q$7,2),IF($N78=Lists!$K$3,IF($L78&lt;1,(($U78/$L78)*((1+Inputs!$D$7)^CY$2)),((INT(CY$2/$L78)-INT((CY$2-1)/$L78))*$U78*((1+Inputs!$D$7)^CY$2))),(Inputs!$D$8^((1-_xlfn.WEIBULL.DIST(CY$2,$M78,$L78,FALSE))/_xlfn.WEIBULL.DIST(CY$2,$M78,$L78,FALSE))*$U78*((1+Inputs!$D$7)^CY$2))),IF($N78=Lists!$K$3,IF($L78&lt;1,((($T78*(1-$F78)+$S78*(1-$G78))/$L78)*((1+Inputs!$D$7)^CY$2)),((INT(CY$2/$L78)-INT((CY$2-1)/$L78))*($T78*(1-$F78)+$S78*(1-$G78))*((1+Inputs!$D$7)^CY$2))),((Inputs!$D$8^((1-_xlfn.WEIBULL.DIST(CY$2,$M78,$L78,FALSE))/_xlfn.WEIBULL.DIST(CY$2,$M78,$L78,FALSE))*($T78*(1-$F78)+$S78*(1-$G78))*((1+Inputs!$D$7)^CY$2))))))))</f>
        <v>0</v>
      </c>
      <c r="CZ78" s="88">
        <f>MAX(BJ78,($E78*IF(CZ$2&gt;Inputs!$D$5,0,IF(CZ$2&gt;VLOOKUP($H78,Lists!$P$3:$Q$7,2),IF($N78=Lists!$K$3,IF($L78&lt;1,(($U78/$L78)*((1+Inputs!$D$7)^CZ$2)),((INT(CZ$2/$L78)-INT((CZ$2-1)/$L78))*$U78*((1+Inputs!$D$7)^CZ$2))),(Inputs!$D$8^((1-_xlfn.WEIBULL.DIST(CZ$2,$M78,$L78,FALSE))/_xlfn.WEIBULL.DIST(CZ$2,$M78,$L78,FALSE))*$U78*((1+Inputs!$D$7)^CZ$2))),IF($N78=Lists!$K$3,IF($L78&lt;1,((($T78*(1-$F78)+$S78*(1-$G78))/$L78)*((1+Inputs!$D$7)^CZ$2)),((INT(CZ$2/$L78)-INT((CZ$2-1)/$L78))*($T78*(1-$F78)+$S78*(1-$G78))*((1+Inputs!$D$7)^CZ$2))),((Inputs!$D$8^((1-_xlfn.WEIBULL.DIST(CZ$2,$M78,$L78,FALSE))/_xlfn.WEIBULL.DIST(CZ$2,$M78,$L78,FALSE))*($T78*(1-$F78)+$S78*(1-$G78))*((1+Inputs!$D$7)^CZ$2))))))))</f>
        <v>0</v>
      </c>
      <c r="DA78" s="88">
        <f>MAX(BK78,($E78*IF(DA$2&gt;Inputs!$D$5,0,IF(DA$2&gt;VLOOKUP($H78,Lists!$P$3:$Q$7,2),IF($N78=Lists!$K$3,IF($L78&lt;1,(($U78/$L78)*((1+Inputs!$D$7)^DA$2)),((INT(DA$2/$L78)-INT((DA$2-1)/$L78))*$U78*((1+Inputs!$D$7)^DA$2))),(Inputs!$D$8^((1-_xlfn.WEIBULL.DIST(DA$2,$M78,$L78,FALSE))/_xlfn.WEIBULL.DIST(DA$2,$M78,$L78,FALSE))*$U78*((1+Inputs!$D$7)^DA$2))),IF($N78=Lists!$K$3,IF($L78&lt;1,((($T78*(1-$F78)+$S78*(1-$G78))/$L78)*((1+Inputs!$D$7)^DA$2)),((INT(DA$2/$L78)-INT((DA$2-1)/$L78))*($T78*(1-$F78)+$S78*(1-$G78))*((1+Inputs!$D$7)^DA$2))),((Inputs!$D$8^((1-_xlfn.WEIBULL.DIST(DA$2,$M78,$L78,FALSE))/_xlfn.WEIBULL.DIST(DA$2,$M78,$L78,FALSE))*($T78*(1-$F78)+$S78*(1-$G78))*((1+Inputs!$D$7)^DA$2))))))))</f>
        <v>0</v>
      </c>
      <c r="DB78" s="88">
        <f>MAX(BL78,($E78*IF(DB$2&gt;Inputs!$D$5,0,IF(DB$2&gt;VLOOKUP($H78,Lists!$P$3:$Q$7,2),IF($N78=Lists!$K$3,IF($L78&lt;1,(($U78/$L78)*((1+Inputs!$D$7)^DB$2)),((INT(DB$2/$L78)-INT((DB$2-1)/$L78))*$U78*((1+Inputs!$D$7)^DB$2))),(Inputs!$D$8^((1-_xlfn.WEIBULL.DIST(DB$2,$M78,$L78,FALSE))/_xlfn.WEIBULL.DIST(DB$2,$M78,$L78,FALSE))*$U78*((1+Inputs!$D$7)^DB$2))),IF($N78=Lists!$K$3,IF($L78&lt;1,((($T78*(1-$F78)+$S78*(1-$G78))/$L78)*((1+Inputs!$D$7)^DB$2)),((INT(DB$2/$L78)-INT((DB$2-1)/$L78))*($T78*(1-$F78)+$S78*(1-$G78))*((1+Inputs!$D$7)^DB$2))),((Inputs!$D$8^((1-_xlfn.WEIBULL.DIST(DB$2,$M78,$L78,FALSE))/_xlfn.WEIBULL.DIST(DB$2,$M78,$L78,FALSE))*($T78*(1-$F78)+$S78*(1-$G78))*((1+Inputs!$D$7)^DB$2))))))))</f>
        <v>0</v>
      </c>
      <c r="DC78" s="88">
        <f>MAX(BM78,($E78*IF(DC$2&gt;Inputs!$D$5,0,IF(DC$2&gt;VLOOKUP($H78,Lists!$P$3:$Q$7,2),IF($N78=Lists!$K$3,IF($L78&lt;1,(($U78/$L78)*((1+Inputs!$D$7)^DC$2)),((INT(DC$2/$L78)-INT((DC$2-1)/$L78))*$U78*((1+Inputs!$D$7)^DC$2))),(Inputs!$D$8^((1-_xlfn.WEIBULL.DIST(DC$2,$M78,$L78,FALSE))/_xlfn.WEIBULL.DIST(DC$2,$M78,$L78,FALSE))*$U78*((1+Inputs!$D$7)^DC$2))),IF($N78=Lists!$K$3,IF($L78&lt;1,((($T78*(1-$F78)+$S78*(1-$G78))/$L78)*((1+Inputs!$D$7)^DC$2)),((INT(DC$2/$L78)-INT((DC$2-1)/$L78))*($T78*(1-$F78)+$S78*(1-$G78))*((1+Inputs!$D$7)^DC$2))),((Inputs!$D$8^((1-_xlfn.WEIBULL.DIST(DC$2,$M78,$L78,FALSE))/_xlfn.WEIBULL.DIST(DC$2,$M78,$L78,FALSE))*($T78*(1-$F78)+$S78*(1-$G78))*((1+Inputs!$D$7)^DC$2))))))))</f>
        <v>0</v>
      </c>
      <c r="DD78" s="88">
        <f>MAX(BN78,($E78*IF(DD$2&gt;Inputs!$D$5,0,IF(DD$2&gt;VLOOKUP($H78,Lists!$P$3:$Q$7,2),IF($N78=Lists!$K$3,IF($L78&lt;1,(($U78/$L78)*((1+Inputs!$D$7)^DD$2)),((INT(DD$2/$L78)-INT((DD$2-1)/$L78))*$U78*((1+Inputs!$D$7)^DD$2))),(Inputs!$D$8^((1-_xlfn.WEIBULL.DIST(DD$2,$M78,$L78,FALSE))/_xlfn.WEIBULL.DIST(DD$2,$M78,$L78,FALSE))*$U78*((1+Inputs!$D$7)^DD$2))),IF($N78=Lists!$K$3,IF($L78&lt;1,((($T78*(1-$F78)+$S78*(1-$G78))/$L78)*((1+Inputs!$D$7)^DD$2)),((INT(DD$2/$L78)-INT((DD$2-1)/$L78))*($T78*(1-$F78)+$S78*(1-$G78))*((1+Inputs!$D$7)^DD$2))),((Inputs!$D$8^((1-_xlfn.WEIBULL.DIST(DD$2,$M78,$L78,FALSE))/_xlfn.WEIBULL.DIST(DD$2,$M78,$L78,FALSE))*($T78*(1-$F78)+$S78*(1-$G78))*((1+Inputs!$D$7)^DD$2))))))))</f>
        <v>0</v>
      </c>
    </row>
    <row r="79" spans="1:108" s="1" customFormat="1" ht="16">
      <c r="A79" s="57" t="s">
        <v>326</v>
      </c>
      <c r="B79" s="13" t="s">
        <v>279</v>
      </c>
      <c r="C79" s="13" t="s">
        <v>341</v>
      </c>
      <c r="D79" s="13" t="s">
        <v>30</v>
      </c>
      <c r="E79" s="106">
        <f>Inputs!$D$65</f>
        <v>0</v>
      </c>
      <c r="F79" s="90">
        <v>0</v>
      </c>
      <c r="G79" s="90">
        <v>0</v>
      </c>
      <c r="H79" s="105" t="s">
        <v>350</v>
      </c>
      <c r="I79" s="14" t="s">
        <v>266</v>
      </c>
      <c r="J79" s="14" t="s">
        <v>216</v>
      </c>
      <c r="K79" s="13">
        <f>VLOOKUP(J79,'Labor Rates'!$A$1:$F$16,2)</f>
        <v>14.735480769230767</v>
      </c>
      <c r="L79" s="15">
        <v>1</v>
      </c>
      <c r="M79" s="15">
        <v>1</v>
      </c>
      <c r="N79" s="13" t="s">
        <v>236</v>
      </c>
      <c r="O79" s="61">
        <v>1</v>
      </c>
      <c r="P79" s="15">
        <v>4</v>
      </c>
      <c r="Q79" s="15">
        <f t="shared" si="14"/>
        <v>4</v>
      </c>
      <c r="R79" s="4">
        <v>120</v>
      </c>
      <c r="S79" s="53">
        <f t="shared" si="15"/>
        <v>58.941923076923068</v>
      </c>
      <c r="T79" s="53">
        <f t="shared" si="16"/>
        <v>120</v>
      </c>
      <c r="U79" s="54">
        <f t="shared" si="17"/>
        <v>0</v>
      </c>
      <c r="V79" s="65"/>
      <c r="W79" s="58"/>
      <c r="X79" s="64">
        <f t="shared" si="18"/>
        <v>0</v>
      </c>
      <c r="Y79" s="64">
        <f>NPV(Inputs!$D$6,AA79:BN79)</f>
        <v>0</v>
      </c>
      <c r="Z79" s="67">
        <f t="shared" si="19"/>
        <v>0</v>
      </c>
      <c r="AA79" s="88">
        <f>$E79*IF(AA$2&gt;Inputs!$D$5,0,IF(AA$2&gt;VLOOKUP($H79,Lists!$P$3:$Q$7,2),IF($N79=Lists!$K$3,IF($L79&lt;1,(($U79/$L79)*((1+Inputs!$D$7)^AA$2)),((INT(AA$2/$L79)-INT((AA$2-1)/$L79))*$U79*((1+Inputs!$D$7)^AA$2))),(_xlfn.WEIBULL.DIST(AA$2,$M79,$L79,FALSE)*$U79*((1+Inputs!$D$7)^AA$2))),IF($N79=Lists!$K$3,IF($L79&lt;1,((($T79*(1-$F79)+$S79*(1-$G79))/$L79)*((1+Inputs!$D$7)^AA$2)),((INT(AA$2/$L79)-INT((AA$2-1)/$L79))*($T79*(1-$F79)+$S79*(1-$G79))*((1+Inputs!$D$7)^AA$2))),((_xlfn.WEIBULL.DIST(AA$2,$M79,$L79,FALSE)*($T79*(1-$F79)+$S79*(1-$G79))*((1+Inputs!$D$7)^AA$2))))))</f>
        <v>0</v>
      </c>
      <c r="AB79" s="88">
        <f>$E79*IF(AB$2&gt;Inputs!$D$5,0,IF(AB$2&gt;VLOOKUP($H79,Lists!$P$3:$Q$7,2),IF($N79=Lists!$K$3,IF($L79&lt;1,(($U79/$L79)*((1+Inputs!$D$7)^AB$2)),((INT(AB$2/$L79)-INT((AB$2-1)/$L79))*$U79*((1+Inputs!$D$7)^AB$2))),(_xlfn.WEIBULL.DIST(AB$2,$M79,$L79,FALSE)*$U79*((1+Inputs!$D$7)^AB$2))),IF($N79=Lists!$K$3,IF($L79&lt;1,((($T79*(1-$F79)+$S79*(1-$G79))/$L79)*((1+Inputs!$D$7)^AB$2)),((INT(AB$2/$L79)-INT((AB$2-1)/$L79))*($T79*(1-$F79)+$S79*(1-$G79))*((1+Inputs!$D$7)^AB$2))),((_xlfn.WEIBULL.DIST(AB$2,$M79,$L79,FALSE)*($T79*(1-$F79)+$S79*(1-$G79))*((1+Inputs!$D$7)^AB$2))))))</f>
        <v>0</v>
      </c>
      <c r="AC79" s="88">
        <f>$E79*IF(AC$2&gt;Inputs!$D$5,0,IF(AC$2&gt;VLOOKUP($H79,Lists!$P$3:$Q$7,2),IF($N79=Lists!$K$3,IF($L79&lt;1,(($U79/$L79)*((1+Inputs!$D$7)^AC$2)),((INT(AC$2/$L79)-INT((AC$2-1)/$L79))*$U79*((1+Inputs!$D$7)^AC$2))),(_xlfn.WEIBULL.DIST(AC$2,$M79,$L79,FALSE)*$U79*((1+Inputs!$D$7)^AC$2))),IF($N79=Lists!$K$3,IF($L79&lt;1,((($T79*(1-$F79)+$S79*(1-$G79))/$L79)*((1+Inputs!$D$7)^AC$2)),((INT(AC$2/$L79)-INT((AC$2-1)/$L79))*($T79*(1-$F79)+$S79*(1-$G79))*((1+Inputs!$D$7)^AC$2))),((_xlfn.WEIBULL.DIST(AC$2,$M79,$L79,FALSE)*($T79*(1-$F79)+$S79*(1-$G79))*((1+Inputs!$D$7)^AC$2))))))</f>
        <v>0</v>
      </c>
      <c r="AD79" s="88">
        <f>$E79*IF(AD$2&gt;Inputs!$D$5,0,IF(AD$2&gt;VLOOKUP($H79,Lists!$P$3:$Q$7,2),IF($N79=Lists!$K$3,IF($L79&lt;1,(($U79/$L79)*((1+Inputs!$D$7)^AD$2)),((INT(AD$2/$L79)-INT((AD$2-1)/$L79))*$U79*((1+Inputs!$D$7)^AD$2))),(_xlfn.WEIBULL.DIST(AD$2,$M79,$L79,FALSE)*$U79*((1+Inputs!$D$7)^AD$2))),IF($N79=Lists!$K$3,IF($L79&lt;1,((($T79*(1-$F79)+$S79*(1-$G79))/$L79)*((1+Inputs!$D$7)^AD$2)),((INT(AD$2/$L79)-INT((AD$2-1)/$L79))*($T79*(1-$F79)+$S79*(1-$G79))*((1+Inputs!$D$7)^AD$2))),((_xlfn.WEIBULL.DIST(AD$2,$M79,$L79,FALSE)*($T79*(1-$F79)+$S79*(1-$G79))*((1+Inputs!$D$7)^AD$2))))))</f>
        <v>0</v>
      </c>
      <c r="AE79" s="88">
        <f>$E79*IF(AE$2&gt;Inputs!$D$5,0,IF(AE$2&gt;VLOOKUP($H79,Lists!$P$3:$Q$7,2),IF($N79=Lists!$K$3,IF($L79&lt;1,(($U79/$L79)*((1+Inputs!$D$7)^AE$2)),((INT(AE$2/$L79)-INT((AE$2-1)/$L79))*$U79*((1+Inputs!$D$7)^AE$2))),(_xlfn.WEIBULL.DIST(AE$2,$M79,$L79,FALSE)*$U79*((1+Inputs!$D$7)^AE$2))),IF($N79=Lists!$K$3,IF($L79&lt;1,((($T79*(1-$F79)+$S79*(1-$G79))/$L79)*((1+Inputs!$D$7)^AE$2)),((INT(AE$2/$L79)-INT((AE$2-1)/$L79))*($T79*(1-$F79)+$S79*(1-$G79))*((1+Inputs!$D$7)^AE$2))),((_xlfn.WEIBULL.DIST(AE$2,$M79,$L79,FALSE)*($T79*(1-$F79)+$S79*(1-$G79))*((1+Inputs!$D$7)^AE$2))))))</f>
        <v>0</v>
      </c>
      <c r="AF79" s="88">
        <f>$E79*IF(AF$2&gt;Inputs!$D$5,0,IF(AF$2&gt;VLOOKUP($H79,Lists!$P$3:$Q$7,2),IF($N79=Lists!$K$3,IF($L79&lt;1,(($U79/$L79)*((1+Inputs!$D$7)^AF$2)),((INT(AF$2/$L79)-INT((AF$2-1)/$L79))*$U79*((1+Inputs!$D$7)^AF$2))),(_xlfn.WEIBULL.DIST(AF$2,$M79,$L79,FALSE)*$U79*((1+Inputs!$D$7)^AF$2))),IF($N79=Lists!$K$3,IF($L79&lt;1,((($T79*(1-$F79)+$S79*(1-$G79))/$L79)*((1+Inputs!$D$7)^AF$2)),((INT(AF$2/$L79)-INT((AF$2-1)/$L79))*($T79*(1-$F79)+$S79*(1-$G79))*((1+Inputs!$D$7)^AF$2))),((_xlfn.WEIBULL.DIST(AF$2,$M79,$L79,FALSE)*($T79*(1-$F79)+$S79*(1-$G79))*((1+Inputs!$D$7)^AF$2))))))</f>
        <v>0</v>
      </c>
      <c r="AG79" s="88">
        <f>$E79*IF(AG$2&gt;Inputs!$D$5,0,IF(AG$2&gt;VLOOKUP($H79,Lists!$P$3:$Q$7,2),IF($N79=Lists!$K$3,IF($L79&lt;1,(($U79/$L79)*((1+Inputs!$D$7)^AG$2)),((INT(AG$2/$L79)-INT((AG$2-1)/$L79))*$U79*((1+Inputs!$D$7)^AG$2))),(_xlfn.WEIBULL.DIST(AG$2,$M79,$L79,FALSE)*$U79*((1+Inputs!$D$7)^AG$2))),IF($N79=Lists!$K$3,IF($L79&lt;1,((($T79*(1-$F79)+$S79*(1-$G79))/$L79)*((1+Inputs!$D$7)^AG$2)),((INT(AG$2/$L79)-INT((AG$2-1)/$L79))*($T79*(1-$F79)+$S79*(1-$G79))*((1+Inputs!$D$7)^AG$2))),((_xlfn.WEIBULL.DIST(AG$2,$M79,$L79,FALSE)*($T79*(1-$F79)+$S79*(1-$G79))*((1+Inputs!$D$7)^AG$2))))))</f>
        <v>0</v>
      </c>
      <c r="AH79" s="88">
        <f>$E79*IF(AH$2&gt;Inputs!$D$5,0,IF(AH$2&gt;VLOOKUP($H79,Lists!$P$3:$Q$7,2),IF($N79=Lists!$K$3,IF($L79&lt;1,(($U79/$L79)*((1+Inputs!$D$7)^AH$2)),((INT(AH$2/$L79)-INT((AH$2-1)/$L79))*$U79*((1+Inputs!$D$7)^AH$2))),(_xlfn.WEIBULL.DIST(AH$2,$M79,$L79,FALSE)*$U79*((1+Inputs!$D$7)^AH$2))),IF($N79=Lists!$K$3,IF($L79&lt;1,((($T79*(1-$F79)+$S79*(1-$G79))/$L79)*((1+Inputs!$D$7)^AH$2)),((INT(AH$2/$L79)-INT((AH$2-1)/$L79))*($T79*(1-$F79)+$S79*(1-$G79))*((1+Inputs!$D$7)^AH$2))),((_xlfn.WEIBULL.DIST(AH$2,$M79,$L79,FALSE)*($T79*(1-$F79)+$S79*(1-$G79))*((1+Inputs!$D$7)^AH$2))))))</f>
        <v>0</v>
      </c>
      <c r="AI79" s="88">
        <f>$E79*IF(AI$2&gt;Inputs!$D$5,0,IF(AI$2&gt;VLOOKUP($H79,Lists!$P$3:$Q$7,2),IF($N79=Lists!$K$3,IF($L79&lt;1,(($U79/$L79)*((1+Inputs!$D$7)^AI$2)),((INT(AI$2/$L79)-INT((AI$2-1)/$L79))*$U79*((1+Inputs!$D$7)^AI$2))),(_xlfn.WEIBULL.DIST(AI$2,$M79,$L79,FALSE)*$U79*((1+Inputs!$D$7)^AI$2))),IF($N79=Lists!$K$3,IF($L79&lt;1,((($T79*(1-$F79)+$S79*(1-$G79))/$L79)*((1+Inputs!$D$7)^AI$2)),((INT(AI$2/$L79)-INT((AI$2-1)/$L79))*($T79*(1-$F79)+$S79*(1-$G79))*((1+Inputs!$D$7)^AI$2))),((_xlfn.WEIBULL.DIST(AI$2,$M79,$L79,FALSE)*($T79*(1-$F79)+$S79*(1-$G79))*((1+Inputs!$D$7)^AI$2))))))</f>
        <v>0</v>
      </c>
      <c r="AJ79" s="88">
        <f>$E79*IF(AJ$2&gt;Inputs!$D$5,0,IF(AJ$2&gt;VLOOKUP($H79,Lists!$P$3:$Q$7,2),IF($N79=Lists!$K$3,IF($L79&lt;1,(($U79/$L79)*((1+Inputs!$D$7)^AJ$2)),((INT(AJ$2/$L79)-INT((AJ$2-1)/$L79))*$U79*((1+Inputs!$D$7)^AJ$2))),(_xlfn.WEIBULL.DIST(AJ$2,$M79,$L79,FALSE)*$U79*((1+Inputs!$D$7)^AJ$2))),IF($N79=Lists!$K$3,IF($L79&lt;1,((($T79*(1-$F79)+$S79*(1-$G79))/$L79)*((1+Inputs!$D$7)^AJ$2)),((INT(AJ$2/$L79)-INT((AJ$2-1)/$L79))*($T79*(1-$F79)+$S79*(1-$G79))*((1+Inputs!$D$7)^AJ$2))),((_xlfn.WEIBULL.DIST(AJ$2,$M79,$L79,FALSE)*($T79*(1-$F79)+$S79*(1-$G79))*((1+Inputs!$D$7)^AJ$2))))))</f>
        <v>0</v>
      </c>
      <c r="AK79" s="88">
        <f>$E79*IF(AK$2&gt;Inputs!$D$5,0,IF(AK$2&gt;VLOOKUP($H79,Lists!$P$3:$Q$7,2),IF($N79=Lists!$K$3,IF($L79&lt;1,(($U79/$L79)*((1+Inputs!$D$7)^AK$2)),((INT(AK$2/$L79)-INT((AK$2-1)/$L79))*$U79*((1+Inputs!$D$7)^AK$2))),(_xlfn.WEIBULL.DIST(AK$2,$M79,$L79,FALSE)*$U79*((1+Inputs!$D$7)^AK$2))),IF($N79=Lists!$K$3,IF($L79&lt;1,((($T79*(1-$F79)+$S79*(1-$G79))/$L79)*((1+Inputs!$D$7)^AK$2)),((INT(AK$2/$L79)-INT((AK$2-1)/$L79))*($T79*(1-$F79)+$S79*(1-$G79))*((1+Inputs!$D$7)^AK$2))),((_xlfn.WEIBULL.DIST(AK$2,$M79,$L79,FALSE)*($T79*(1-$F79)+$S79*(1-$G79))*((1+Inputs!$D$7)^AK$2))))))</f>
        <v>0</v>
      </c>
      <c r="AL79" s="88">
        <f>$E79*IF(AL$2&gt;Inputs!$D$5,0,IF(AL$2&gt;VLOOKUP($H79,Lists!$P$3:$Q$7,2),IF($N79=Lists!$K$3,IF($L79&lt;1,(($U79/$L79)*((1+Inputs!$D$7)^AL$2)),((INT(AL$2/$L79)-INT((AL$2-1)/$L79))*$U79*((1+Inputs!$D$7)^AL$2))),(_xlfn.WEIBULL.DIST(AL$2,$M79,$L79,FALSE)*$U79*((1+Inputs!$D$7)^AL$2))),IF($N79=Lists!$K$3,IF($L79&lt;1,((($T79*(1-$F79)+$S79*(1-$G79))/$L79)*((1+Inputs!$D$7)^AL$2)),((INT(AL$2/$L79)-INT((AL$2-1)/$L79))*($T79*(1-$F79)+$S79*(1-$G79))*((1+Inputs!$D$7)^AL$2))),((_xlfn.WEIBULL.DIST(AL$2,$M79,$L79,FALSE)*($T79*(1-$F79)+$S79*(1-$G79))*((1+Inputs!$D$7)^AL$2))))))</f>
        <v>0</v>
      </c>
      <c r="AM79" s="88">
        <f>$E79*IF(AM$2&gt;Inputs!$D$5,0,IF(AM$2&gt;VLOOKUP($H79,Lists!$P$3:$Q$7,2),IF($N79=Lists!$K$3,IF($L79&lt;1,(($U79/$L79)*((1+Inputs!$D$7)^AM$2)),((INT(AM$2/$L79)-INT((AM$2-1)/$L79))*$U79*((1+Inputs!$D$7)^AM$2))),(_xlfn.WEIBULL.DIST(AM$2,$M79,$L79,FALSE)*$U79*((1+Inputs!$D$7)^AM$2))),IF($N79=Lists!$K$3,IF($L79&lt;1,((($T79*(1-$F79)+$S79*(1-$G79))/$L79)*((1+Inputs!$D$7)^AM$2)),((INT(AM$2/$L79)-INT((AM$2-1)/$L79))*($T79*(1-$F79)+$S79*(1-$G79))*((1+Inputs!$D$7)^AM$2))),((_xlfn.WEIBULL.DIST(AM$2,$M79,$L79,FALSE)*($T79*(1-$F79)+$S79*(1-$G79))*((1+Inputs!$D$7)^AM$2))))))</f>
        <v>0</v>
      </c>
      <c r="AN79" s="88">
        <f>$E79*IF(AN$2&gt;Inputs!$D$5,0,IF(AN$2&gt;VLOOKUP($H79,Lists!$P$3:$Q$7,2),IF($N79=Lists!$K$3,IF($L79&lt;1,(($U79/$L79)*((1+Inputs!$D$7)^AN$2)),((INT(AN$2/$L79)-INT((AN$2-1)/$L79))*$U79*((1+Inputs!$D$7)^AN$2))),(_xlfn.WEIBULL.DIST(AN$2,$M79,$L79,FALSE)*$U79*((1+Inputs!$D$7)^AN$2))),IF($N79=Lists!$K$3,IF($L79&lt;1,((($T79*(1-$F79)+$S79*(1-$G79))/$L79)*((1+Inputs!$D$7)^AN$2)),((INT(AN$2/$L79)-INT((AN$2-1)/$L79))*($T79*(1-$F79)+$S79*(1-$G79))*((1+Inputs!$D$7)^AN$2))),((_xlfn.WEIBULL.DIST(AN$2,$M79,$L79,FALSE)*($T79*(1-$F79)+$S79*(1-$G79))*((1+Inputs!$D$7)^AN$2))))))</f>
        <v>0</v>
      </c>
      <c r="AO79" s="88">
        <f>$E79*IF(AO$2&gt;Inputs!$D$5,0,IF(AO$2&gt;VLOOKUP($H79,Lists!$P$3:$Q$7,2),IF($N79=Lists!$K$3,IF($L79&lt;1,(($U79/$L79)*((1+Inputs!$D$7)^AO$2)),((INT(AO$2/$L79)-INT((AO$2-1)/$L79))*$U79*((1+Inputs!$D$7)^AO$2))),(_xlfn.WEIBULL.DIST(AO$2,$M79,$L79,FALSE)*$U79*((1+Inputs!$D$7)^AO$2))),IF($N79=Lists!$K$3,IF($L79&lt;1,((($T79*(1-$F79)+$S79*(1-$G79))/$L79)*((1+Inputs!$D$7)^AO$2)),((INT(AO$2/$L79)-INT((AO$2-1)/$L79))*($T79*(1-$F79)+$S79*(1-$G79))*((1+Inputs!$D$7)^AO$2))),((_xlfn.WEIBULL.DIST(AO$2,$M79,$L79,FALSE)*($T79*(1-$F79)+$S79*(1-$G79))*((1+Inputs!$D$7)^AO$2))))))</f>
        <v>0</v>
      </c>
      <c r="AP79" s="88">
        <f>$E79*IF(AP$2&gt;Inputs!$D$5,0,IF(AP$2&gt;VLOOKUP($H79,Lists!$P$3:$Q$7,2),IF($N79=Lists!$K$3,IF($L79&lt;1,(($U79/$L79)*((1+Inputs!$D$7)^AP$2)),((INT(AP$2/$L79)-INT((AP$2-1)/$L79))*$U79*((1+Inputs!$D$7)^AP$2))),(_xlfn.WEIBULL.DIST(AP$2,$M79,$L79,FALSE)*$U79*((1+Inputs!$D$7)^AP$2))),IF($N79=Lists!$K$3,IF($L79&lt;1,((($T79*(1-$F79)+$S79*(1-$G79))/$L79)*((1+Inputs!$D$7)^AP$2)),((INT(AP$2/$L79)-INT((AP$2-1)/$L79))*($T79*(1-$F79)+$S79*(1-$G79))*((1+Inputs!$D$7)^AP$2))),((_xlfn.WEIBULL.DIST(AP$2,$M79,$L79,FALSE)*($T79*(1-$F79)+$S79*(1-$G79))*((1+Inputs!$D$7)^AP$2))))))</f>
        <v>0</v>
      </c>
      <c r="AQ79" s="88">
        <f>$E79*IF(AQ$2&gt;Inputs!$D$5,0,IF(AQ$2&gt;VLOOKUP($H79,Lists!$P$3:$Q$7,2),IF($N79=Lists!$K$3,IF($L79&lt;1,(($U79/$L79)*((1+Inputs!$D$7)^AQ$2)),((INT(AQ$2/$L79)-INT((AQ$2-1)/$L79))*$U79*((1+Inputs!$D$7)^AQ$2))),(_xlfn.WEIBULL.DIST(AQ$2,$M79,$L79,FALSE)*$U79*((1+Inputs!$D$7)^AQ$2))),IF($N79=Lists!$K$3,IF($L79&lt;1,((($T79*(1-$F79)+$S79*(1-$G79))/$L79)*((1+Inputs!$D$7)^AQ$2)),((INT(AQ$2/$L79)-INT((AQ$2-1)/$L79))*($T79*(1-$F79)+$S79*(1-$G79))*((1+Inputs!$D$7)^AQ$2))),((_xlfn.WEIBULL.DIST(AQ$2,$M79,$L79,FALSE)*($T79*(1-$F79)+$S79*(1-$G79))*((1+Inputs!$D$7)^AQ$2))))))</f>
        <v>0</v>
      </c>
      <c r="AR79" s="88">
        <f>$E79*IF(AR$2&gt;Inputs!$D$5,0,IF(AR$2&gt;VLOOKUP($H79,Lists!$P$3:$Q$7,2),IF($N79=Lists!$K$3,IF($L79&lt;1,(($U79/$L79)*((1+Inputs!$D$7)^AR$2)),((INT(AR$2/$L79)-INT((AR$2-1)/$L79))*$U79*((1+Inputs!$D$7)^AR$2))),(_xlfn.WEIBULL.DIST(AR$2,$M79,$L79,FALSE)*$U79*((1+Inputs!$D$7)^AR$2))),IF($N79=Lists!$K$3,IF($L79&lt;1,((($T79*(1-$F79)+$S79*(1-$G79))/$L79)*((1+Inputs!$D$7)^AR$2)),((INT(AR$2/$L79)-INT((AR$2-1)/$L79))*($T79*(1-$F79)+$S79*(1-$G79))*((1+Inputs!$D$7)^AR$2))),((_xlfn.WEIBULL.DIST(AR$2,$M79,$L79,FALSE)*($T79*(1-$F79)+$S79*(1-$G79))*((1+Inputs!$D$7)^AR$2))))))</f>
        <v>0</v>
      </c>
      <c r="AS79" s="88">
        <f>$E79*IF(AS$2&gt;Inputs!$D$5,0,IF(AS$2&gt;VLOOKUP($H79,Lists!$P$3:$Q$7,2),IF($N79=Lists!$K$3,IF($L79&lt;1,(($U79/$L79)*((1+Inputs!$D$7)^AS$2)),((INT(AS$2/$L79)-INT((AS$2-1)/$L79))*$U79*((1+Inputs!$D$7)^AS$2))),(_xlfn.WEIBULL.DIST(AS$2,$M79,$L79,FALSE)*$U79*((1+Inputs!$D$7)^AS$2))),IF($N79=Lists!$K$3,IF($L79&lt;1,((($T79*(1-$F79)+$S79*(1-$G79))/$L79)*((1+Inputs!$D$7)^AS$2)),((INT(AS$2/$L79)-INT((AS$2-1)/$L79))*($T79*(1-$F79)+$S79*(1-$G79))*((1+Inputs!$D$7)^AS$2))),((_xlfn.WEIBULL.DIST(AS$2,$M79,$L79,FALSE)*($T79*(1-$F79)+$S79*(1-$G79))*((1+Inputs!$D$7)^AS$2))))))</f>
        <v>0</v>
      </c>
      <c r="AT79" s="88">
        <f>$E79*IF(AT$2&gt;Inputs!$D$5,0,IF(AT$2&gt;VLOOKUP($H79,Lists!$P$3:$Q$7,2),IF($N79=Lists!$K$3,IF($L79&lt;1,(($U79/$L79)*((1+Inputs!$D$7)^AT$2)),((INT(AT$2/$L79)-INT((AT$2-1)/$L79))*$U79*((1+Inputs!$D$7)^AT$2))),(_xlfn.WEIBULL.DIST(AT$2,$M79,$L79,FALSE)*$U79*((1+Inputs!$D$7)^AT$2))),IF($N79=Lists!$K$3,IF($L79&lt;1,((($T79*(1-$F79)+$S79*(1-$G79))/$L79)*((1+Inputs!$D$7)^AT$2)),((INT(AT$2/$L79)-INT((AT$2-1)/$L79))*($T79*(1-$F79)+$S79*(1-$G79))*((1+Inputs!$D$7)^AT$2))),((_xlfn.WEIBULL.DIST(AT$2,$M79,$L79,FALSE)*($T79*(1-$F79)+$S79*(1-$G79))*((1+Inputs!$D$7)^AT$2))))))</f>
        <v>0</v>
      </c>
      <c r="AU79" s="88">
        <f>$E79*IF(AU$2&gt;Inputs!$D$5,0,IF(AU$2&gt;VLOOKUP($H79,Lists!$P$3:$Q$7,2),IF($N79=Lists!$K$3,IF($L79&lt;1,(($U79/$L79)*((1+Inputs!$D$7)^AU$2)),((INT(AU$2/$L79)-INT((AU$2-1)/$L79))*$U79*((1+Inputs!$D$7)^AU$2))),(_xlfn.WEIBULL.DIST(AU$2,$M79,$L79,FALSE)*$U79*((1+Inputs!$D$7)^AU$2))),IF($N79=Lists!$K$3,IF($L79&lt;1,((($T79*(1-$F79)+$S79*(1-$G79))/$L79)*((1+Inputs!$D$7)^AU$2)),((INT(AU$2/$L79)-INT((AU$2-1)/$L79))*($T79*(1-$F79)+$S79*(1-$G79))*((1+Inputs!$D$7)^AU$2))),((_xlfn.WEIBULL.DIST(AU$2,$M79,$L79,FALSE)*($T79*(1-$F79)+$S79*(1-$G79))*((1+Inputs!$D$7)^AU$2))))))</f>
        <v>0</v>
      </c>
      <c r="AV79" s="88">
        <f>$E79*IF(AV$2&gt;Inputs!$D$5,0,IF(AV$2&gt;VLOOKUP($H79,Lists!$P$3:$Q$7,2),IF($N79=Lists!$K$3,IF($L79&lt;1,(($U79/$L79)*((1+Inputs!$D$7)^AV$2)),((INT(AV$2/$L79)-INT((AV$2-1)/$L79))*$U79*((1+Inputs!$D$7)^AV$2))),(_xlfn.WEIBULL.DIST(AV$2,$M79,$L79,FALSE)*$U79*((1+Inputs!$D$7)^AV$2))),IF($N79=Lists!$K$3,IF($L79&lt;1,((($T79*(1-$F79)+$S79*(1-$G79))/$L79)*((1+Inputs!$D$7)^AV$2)),((INT(AV$2/$L79)-INT((AV$2-1)/$L79))*($T79*(1-$F79)+$S79*(1-$G79))*((1+Inputs!$D$7)^AV$2))),((_xlfn.WEIBULL.DIST(AV$2,$M79,$L79,FALSE)*($T79*(1-$F79)+$S79*(1-$G79))*((1+Inputs!$D$7)^AV$2))))))</f>
        <v>0</v>
      </c>
      <c r="AW79" s="88">
        <f>$E79*IF(AW$2&gt;Inputs!$D$5,0,IF(AW$2&gt;VLOOKUP($H79,Lists!$P$3:$Q$7,2),IF($N79=Lists!$K$3,IF($L79&lt;1,(($U79/$L79)*((1+Inputs!$D$7)^AW$2)),((INT(AW$2/$L79)-INT((AW$2-1)/$L79))*$U79*((1+Inputs!$D$7)^AW$2))),(_xlfn.WEIBULL.DIST(AW$2,$M79,$L79,FALSE)*$U79*((1+Inputs!$D$7)^AW$2))),IF($N79=Lists!$K$3,IF($L79&lt;1,((($T79*(1-$F79)+$S79*(1-$G79))/$L79)*((1+Inputs!$D$7)^AW$2)),((INT(AW$2/$L79)-INT((AW$2-1)/$L79))*($T79*(1-$F79)+$S79*(1-$G79))*((1+Inputs!$D$7)^AW$2))),((_xlfn.WEIBULL.DIST(AW$2,$M79,$L79,FALSE)*($T79*(1-$F79)+$S79*(1-$G79))*((1+Inputs!$D$7)^AW$2))))))</f>
        <v>0</v>
      </c>
      <c r="AX79" s="88">
        <f>$E79*IF(AX$2&gt;Inputs!$D$5,0,IF(AX$2&gt;VLOOKUP($H79,Lists!$P$3:$Q$7,2),IF($N79=Lists!$K$3,IF($L79&lt;1,(($U79/$L79)*((1+Inputs!$D$7)^AX$2)),((INT(AX$2/$L79)-INT((AX$2-1)/$L79))*$U79*((1+Inputs!$D$7)^AX$2))),(_xlfn.WEIBULL.DIST(AX$2,$M79,$L79,FALSE)*$U79*((1+Inputs!$D$7)^AX$2))),IF($N79=Lists!$K$3,IF($L79&lt;1,((($T79*(1-$F79)+$S79*(1-$G79))/$L79)*((1+Inputs!$D$7)^AX$2)),((INT(AX$2/$L79)-INT((AX$2-1)/$L79))*($T79*(1-$F79)+$S79*(1-$G79))*((1+Inputs!$D$7)^AX$2))),((_xlfn.WEIBULL.DIST(AX$2,$M79,$L79,FALSE)*($T79*(1-$F79)+$S79*(1-$G79))*((1+Inputs!$D$7)^AX$2))))))</f>
        <v>0</v>
      </c>
      <c r="AY79" s="88">
        <f>$E79*IF(AY$2&gt;Inputs!$D$5,0,IF(AY$2&gt;VLOOKUP($H79,Lists!$P$3:$Q$7,2),IF($N79=Lists!$K$3,IF($L79&lt;1,(($U79/$L79)*((1+Inputs!$D$7)^AY$2)),((INT(AY$2/$L79)-INT((AY$2-1)/$L79))*$U79*((1+Inputs!$D$7)^AY$2))),(_xlfn.WEIBULL.DIST(AY$2,$M79,$L79,FALSE)*$U79*((1+Inputs!$D$7)^AY$2))),IF($N79=Lists!$K$3,IF($L79&lt;1,((($T79*(1-$F79)+$S79*(1-$G79))/$L79)*((1+Inputs!$D$7)^AY$2)),((INT(AY$2/$L79)-INT((AY$2-1)/$L79))*($T79*(1-$F79)+$S79*(1-$G79))*((1+Inputs!$D$7)^AY$2))),((_xlfn.WEIBULL.DIST(AY$2,$M79,$L79,FALSE)*($T79*(1-$F79)+$S79*(1-$G79))*((1+Inputs!$D$7)^AY$2))))))</f>
        <v>0</v>
      </c>
      <c r="AZ79" s="88">
        <f>$E79*IF(AZ$2&gt;Inputs!$D$5,0,IF(AZ$2&gt;VLOOKUP($H79,Lists!$P$3:$Q$7,2),IF($N79=Lists!$K$3,IF($L79&lt;1,(($U79/$L79)*((1+Inputs!$D$7)^AZ$2)),((INT(AZ$2/$L79)-INT((AZ$2-1)/$L79))*$U79*((1+Inputs!$D$7)^AZ$2))),(_xlfn.WEIBULL.DIST(AZ$2,$M79,$L79,FALSE)*$U79*((1+Inputs!$D$7)^AZ$2))),IF($N79=Lists!$K$3,IF($L79&lt;1,((($T79*(1-$F79)+$S79*(1-$G79))/$L79)*((1+Inputs!$D$7)^AZ$2)),((INT(AZ$2/$L79)-INT((AZ$2-1)/$L79))*($T79*(1-$F79)+$S79*(1-$G79))*((1+Inputs!$D$7)^AZ$2))),((_xlfn.WEIBULL.DIST(AZ$2,$M79,$L79,FALSE)*($T79*(1-$F79)+$S79*(1-$G79))*((1+Inputs!$D$7)^AZ$2))))))</f>
        <v>0</v>
      </c>
      <c r="BA79" s="88">
        <f>$E79*IF(BA$2&gt;Inputs!$D$5,0,IF(BA$2&gt;VLOOKUP($H79,Lists!$P$3:$Q$7,2),IF($N79=Lists!$K$3,IF($L79&lt;1,(($U79/$L79)*((1+Inputs!$D$7)^BA$2)),((INT(BA$2/$L79)-INT((BA$2-1)/$L79))*$U79*((1+Inputs!$D$7)^BA$2))),(_xlfn.WEIBULL.DIST(BA$2,$M79,$L79,FALSE)*$U79*((1+Inputs!$D$7)^BA$2))),IF($N79=Lists!$K$3,IF($L79&lt;1,((($T79*(1-$F79)+$S79*(1-$G79))/$L79)*((1+Inputs!$D$7)^BA$2)),((INT(BA$2/$L79)-INT((BA$2-1)/$L79))*($T79*(1-$F79)+$S79*(1-$G79))*((1+Inputs!$D$7)^BA$2))),((_xlfn.WEIBULL.DIST(BA$2,$M79,$L79,FALSE)*($T79*(1-$F79)+$S79*(1-$G79))*((1+Inputs!$D$7)^BA$2))))))</f>
        <v>0</v>
      </c>
      <c r="BB79" s="88">
        <f>$E79*IF(BB$2&gt;Inputs!$D$5,0,IF(BB$2&gt;VLOOKUP($H79,Lists!$P$3:$Q$7,2),IF($N79=Lists!$K$3,IF($L79&lt;1,(($U79/$L79)*((1+Inputs!$D$7)^BB$2)),((INT(BB$2/$L79)-INT((BB$2-1)/$L79))*$U79*((1+Inputs!$D$7)^BB$2))),(_xlfn.WEIBULL.DIST(BB$2,$M79,$L79,FALSE)*$U79*((1+Inputs!$D$7)^BB$2))),IF($N79=Lists!$K$3,IF($L79&lt;1,((($T79*(1-$F79)+$S79*(1-$G79))/$L79)*((1+Inputs!$D$7)^BB$2)),((INT(BB$2/$L79)-INT((BB$2-1)/$L79))*($T79*(1-$F79)+$S79*(1-$G79))*((1+Inputs!$D$7)^BB$2))),((_xlfn.WEIBULL.DIST(BB$2,$M79,$L79,FALSE)*($T79*(1-$F79)+$S79*(1-$G79))*((1+Inputs!$D$7)^BB$2))))))</f>
        <v>0</v>
      </c>
      <c r="BC79" s="88">
        <f>$E79*IF(BC$2&gt;Inputs!$D$5,0,IF(BC$2&gt;VLOOKUP($H79,Lists!$P$3:$Q$7,2),IF($N79=Lists!$K$3,IF($L79&lt;1,(($U79/$L79)*((1+Inputs!$D$7)^BC$2)),((INT(BC$2/$L79)-INT((BC$2-1)/$L79))*$U79*((1+Inputs!$D$7)^BC$2))),(_xlfn.WEIBULL.DIST(BC$2,$M79,$L79,FALSE)*$U79*((1+Inputs!$D$7)^BC$2))),IF($N79=Lists!$K$3,IF($L79&lt;1,((($T79*(1-$F79)+$S79*(1-$G79))/$L79)*((1+Inputs!$D$7)^BC$2)),((INT(BC$2/$L79)-INT((BC$2-1)/$L79))*($T79*(1-$F79)+$S79*(1-$G79))*((1+Inputs!$D$7)^BC$2))),((_xlfn.WEIBULL.DIST(BC$2,$M79,$L79,FALSE)*($T79*(1-$F79)+$S79*(1-$G79))*((1+Inputs!$D$7)^BC$2))))))</f>
        <v>0</v>
      </c>
      <c r="BD79" s="88">
        <f>$E79*IF(BD$2&gt;Inputs!$D$5,0,IF(BD$2&gt;VLOOKUP($H79,Lists!$P$3:$Q$7,2),IF($N79=Lists!$K$3,IF($L79&lt;1,(($U79/$L79)*((1+Inputs!$D$7)^BD$2)),((INT(BD$2/$L79)-INT((BD$2-1)/$L79))*$U79*((1+Inputs!$D$7)^BD$2))),(_xlfn.WEIBULL.DIST(BD$2,$M79,$L79,FALSE)*$U79*((1+Inputs!$D$7)^BD$2))),IF($N79=Lists!$K$3,IF($L79&lt;1,((($T79*(1-$F79)+$S79*(1-$G79))/$L79)*((1+Inputs!$D$7)^BD$2)),((INT(BD$2/$L79)-INT((BD$2-1)/$L79))*($T79*(1-$F79)+$S79*(1-$G79))*((1+Inputs!$D$7)^BD$2))),((_xlfn.WEIBULL.DIST(BD$2,$M79,$L79,FALSE)*($T79*(1-$F79)+$S79*(1-$G79))*((1+Inputs!$D$7)^BD$2))))))</f>
        <v>0</v>
      </c>
      <c r="BE79" s="88">
        <f>$E79*IF(BE$2&gt;Inputs!$D$5,0,IF(BE$2&gt;VLOOKUP($H79,Lists!$P$3:$Q$7,2),IF($N79=Lists!$K$3,IF($L79&lt;1,(($U79/$L79)*((1+Inputs!$D$7)^BE$2)),((INT(BE$2/$L79)-INT((BE$2-1)/$L79))*$U79*((1+Inputs!$D$7)^BE$2))),(_xlfn.WEIBULL.DIST(BE$2,$M79,$L79,FALSE)*$U79*((1+Inputs!$D$7)^BE$2))),IF($N79=Lists!$K$3,IF($L79&lt;1,((($T79*(1-$F79)+$S79*(1-$G79))/$L79)*((1+Inputs!$D$7)^BE$2)),((INT(BE$2/$L79)-INT((BE$2-1)/$L79))*($T79*(1-$F79)+$S79*(1-$G79))*((1+Inputs!$D$7)^BE$2))),((_xlfn.WEIBULL.DIST(BE$2,$M79,$L79,FALSE)*($T79*(1-$F79)+$S79*(1-$G79))*((1+Inputs!$D$7)^BE$2))))))</f>
        <v>0</v>
      </c>
      <c r="BF79" s="88">
        <f>$E79*IF(BF$2&gt;Inputs!$D$5,0,IF(BF$2&gt;VLOOKUP($H79,Lists!$P$3:$Q$7,2),IF($N79=Lists!$K$3,IF($L79&lt;1,(($U79/$L79)*((1+Inputs!$D$7)^BF$2)),((INT(BF$2/$L79)-INT((BF$2-1)/$L79))*$U79*((1+Inputs!$D$7)^BF$2))),(_xlfn.WEIBULL.DIST(BF$2,$M79,$L79,FALSE)*$U79*((1+Inputs!$D$7)^BF$2))),IF($N79=Lists!$K$3,IF($L79&lt;1,((($T79*(1-$F79)+$S79*(1-$G79))/$L79)*((1+Inputs!$D$7)^BF$2)),((INT(BF$2/$L79)-INT((BF$2-1)/$L79))*($T79*(1-$F79)+$S79*(1-$G79))*((1+Inputs!$D$7)^BF$2))),((_xlfn.WEIBULL.DIST(BF$2,$M79,$L79,FALSE)*($T79*(1-$F79)+$S79*(1-$G79))*((1+Inputs!$D$7)^BF$2))))))</f>
        <v>0</v>
      </c>
      <c r="BG79" s="88">
        <f>$E79*IF(BG$2&gt;Inputs!$D$5,0,IF(BG$2&gt;VLOOKUP($H79,Lists!$P$3:$Q$7,2),IF($N79=Lists!$K$3,IF($L79&lt;1,(($U79/$L79)*((1+Inputs!$D$7)^BG$2)),((INT(BG$2/$L79)-INT((BG$2-1)/$L79))*$U79*((1+Inputs!$D$7)^BG$2))),(_xlfn.WEIBULL.DIST(BG$2,$M79,$L79,FALSE)*$U79*((1+Inputs!$D$7)^BG$2))),IF($N79=Lists!$K$3,IF($L79&lt;1,((($T79*(1-$F79)+$S79*(1-$G79))/$L79)*((1+Inputs!$D$7)^BG$2)),((INT(BG$2/$L79)-INT((BG$2-1)/$L79))*($T79*(1-$F79)+$S79*(1-$G79))*((1+Inputs!$D$7)^BG$2))),((_xlfn.WEIBULL.DIST(BG$2,$M79,$L79,FALSE)*($T79*(1-$F79)+$S79*(1-$G79))*((1+Inputs!$D$7)^BG$2))))))</f>
        <v>0</v>
      </c>
      <c r="BH79" s="88">
        <f>$E79*IF(BH$2&gt;Inputs!$D$5,0,IF(BH$2&gt;VLOOKUP($H79,Lists!$P$3:$Q$7,2),IF($N79=Lists!$K$3,IF($L79&lt;1,(($U79/$L79)*((1+Inputs!$D$7)^BH$2)),((INT(BH$2/$L79)-INT((BH$2-1)/$L79))*$U79*((1+Inputs!$D$7)^BH$2))),(_xlfn.WEIBULL.DIST(BH$2,$M79,$L79,FALSE)*$U79*((1+Inputs!$D$7)^BH$2))),IF($N79=Lists!$K$3,IF($L79&lt;1,((($T79*(1-$F79)+$S79*(1-$G79))/$L79)*((1+Inputs!$D$7)^BH$2)),((INT(BH$2/$L79)-INT((BH$2-1)/$L79))*($T79*(1-$F79)+$S79*(1-$G79))*((1+Inputs!$D$7)^BH$2))),((_xlfn.WEIBULL.DIST(BH$2,$M79,$L79,FALSE)*($T79*(1-$F79)+$S79*(1-$G79))*((1+Inputs!$D$7)^BH$2))))))</f>
        <v>0</v>
      </c>
      <c r="BI79" s="88">
        <f>$E79*IF(BI$2&gt;Inputs!$D$5,0,IF(BI$2&gt;VLOOKUP($H79,Lists!$P$3:$Q$7,2),IF($N79=Lists!$K$3,IF($L79&lt;1,(($U79/$L79)*((1+Inputs!$D$7)^BI$2)),((INT(BI$2/$L79)-INT((BI$2-1)/$L79))*$U79*((1+Inputs!$D$7)^BI$2))),(_xlfn.WEIBULL.DIST(BI$2,$M79,$L79,FALSE)*$U79*((1+Inputs!$D$7)^BI$2))),IF($N79=Lists!$K$3,IF($L79&lt;1,((($T79*(1-$F79)+$S79*(1-$G79))/$L79)*((1+Inputs!$D$7)^BI$2)),((INT(BI$2/$L79)-INT((BI$2-1)/$L79))*($T79*(1-$F79)+$S79*(1-$G79))*((1+Inputs!$D$7)^BI$2))),((_xlfn.WEIBULL.DIST(BI$2,$M79,$L79,FALSE)*($T79*(1-$F79)+$S79*(1-$G79))*((1+Inputs!$D$7)^BI$2))))))</f>
        <v>0</v>
      </c>
      <c r="BJ79" s="88">
        <f>$E79*IF(BJ$2&gt;Inputs!$D$5,0,IF(BJ$2&gt;VLOOKUP($H79,Lists!$P$3:$Q$7,2),IF($N79=Lists!$K$3,IF($L79&lt;1,(($U79/$L79)*((1+Inputs!$D$7)^BJ$2)),((INT(BJ$2/$L79)-INT((BJ$2-1)/$L79))*$U79*((1+Inputs!$D$7)^BJ$2))),(_xlfn.WEIBULL.DIST(BJ$2,$M79,$L79,FALSE)*$U79*((1+Inputs!$D$7)^BJ$2))),IF($N79=Lists!$K$3,IF($L79&lt;1,((($T79*(1-$F79)+$S79*(1-$G79))/$L79)*((1+Inputs!$D$7)^BJ$2)),((INT(BJ$2/$L79)-INT((BJ$2-1)/$L79))*($T79*(1-$F79)+$S79*(1-$G79))*((1+Inputs!$D$7)^BJ$2))),((_xlfn.WEIBULL.DIST(BJ$2,$M79,$L79,FALSE)*($T79*(1-$F79)+$S79*(1-$G79))*((1+Inputs!$D$7)^BJ$2))))))</f>
        <v>0</v>
      </c>
      <c r="BK79" s="88">
        <f>$E79*IF(BK$2&gt;Inputs!$D$5,0,IF(BK$2&gt;VLOOKUP($H79,Lists!$P$3:$Q$7,2),IF($N79=Lists!$K$3,IF($L79&lt;1,(($U79/$L79)*((1+Inputs!$D$7)^BK$2)),((INT(BK$2/$L79)-INT((BK$2-1)/$L79))*$U79*((1+Inputs!$D$7)^BK$2))),(_xlfn.WEIBULL.DIST(BK$2,$M79,$L79,FALSE)*$U79*((1+Inputs!$D$7)^BK$2))),IF($N79=Lists!$K$3,IF($L79&lt;1,((($T79*(1-$F79)+$S79*(1-$G79))/$L79)*((1+Inputs!$D$7)^BK$2)),((INT(BK$2/$L79)-INT((BK$2-1)/$L79))*($T79*(1-$F79)+$S79*(1-$G79))*((1+Inputs!$D$7)^BK$2))),((_xlfn.WEIBULL.DIST(BK$2,$M79,$L79,FALSE)*($T79*(1-$F79)+$S79*(1-$G79))*((1+Inputs!$D$7)^BK$2))))))</f>
        <v>0</v>
      </c>
      <c r="BL79" s="88">
        <f>$E79*IF(BL$2&gt;Inputs!$D$5,0,IF(BL$2&gt;VLOOKUP($H79,Lists!$P$3:$Q$7,2),IF($N79=Lists!$K$3,IF($L79&lt;1,(($U79/$L79)*((1+Inputs!$D$7)^BL$2)),((INT(BL$2/$L79)-INT((BL$2-1)/$L79))*$U79*((1+Inputs!$D$7)^BL$2))),(_xlfn.WEIBULL.DIST(BL$2,$M79,$L79,FALSE)*$U79*((1+Inputs!$D$7)^BL$2))),IF($N79=Lists!$K$3,IF($L79&lt;1,((($T79*(1-$F79)+$S79*(1-$G79))/$L79)*((1+Inputs!$D$7)^BL$2)),((INT(BL$2/$L79)-INT((BL$2-1)/$L79))*($T79*(1-$F79)+$S79*(1-$G79))*((1+Inputs!$D$7)^BL$2))),((_xlfn.WEIBULL.DIST(BL$2,$M79,$L79,FALSE)*($T79*(1-$F79)+$S79*(1-$G79))*((1+Inputs!$D$7)^BL$2))))))</f>
        <v>0</v>
      </c>
      <c r="BM79" s="88">
        <f>$E79*IF(BM$2&gt;Inputs!$D$5,0,IF(BM$2&gt;VLOOKUP($H79,Lists!$P$3:$Q$7,2),IF($N79=Lists!$K$3,IF($L79&lt;1,(($U79/$L79)*((1+Inputs!$D$7)^BM$2)),((INT(BM$2/$L79)-INT((BM$2-1)/$L79))*$U79*((1+Inputs!$D$7)^BM$2))),(_xlfn.WEIBULL.DIST(BM$2,$M79,$L79,FALSE)*$U79*((1+Inputs!$D$7)^BM$2))),IF($N79=Lists!$K$3,IF($L79&lt;1,((($T79*(1-$F79)+$S79*(1-$G79))/$L79)*((1+Inputs!$D$7)^BM$2)),((INT(BM$2/$L79)-INT((BM$2-1)/$L79))*($T79*(1-$F79)+$S79*(1-$G79))*((1+Inputs!$D$7)^BM$2))),((_xlfn.WEIBULL.DIST(BM$2,$M79,$L79,FALSE)*($T79*(1-$F79)+$S79*(1-$G79))*((1+Inputs!$D$7)^BM$2))))))</f>
        <v>0</v>
      </c>
      <c r="BN79" s="88">
        <f>$E79*IF(BN$2&gt;Inputs!$D$5,0,IF(BN$2&gt;VLOOKUP($H79,Lists!$P$3:$Q$7,2),IF($N79=Lists!$K$3,IF($L79&lt;1,(($U79/$L79)*((1+Inputs!$D$7)^BN$2)),((INT(BN$2/$L79)-INT((BN$2-1)/$L79))*$U79*((1+Inputs!$D$7)^BN$2))),(_xlfn.WEIBULL.DIST(BN$2,$M79,$L79,FALSE)*$U79*((1+Inputs!$D$7)^BN$2))),IF($N79=Lists!$K$3,IF($L79&lt;1,((($T79*(1-$F79)+$S79*(1-$G79))/$L79)*((1+Inputs!$D$7)^BN$2)),((INT(BN$2/$L79)-INT((BN$2-1)/$L79))*($T79*(1-$F79)+$S79*(1-$G79))*((1+Inputs!$D$7)^BN$2))),((_xlfn.WEIBULL.DIST(BN$2,$M79,$L79,FALSE)*($T79*(1-$F79)+$S79*(1-$G79))*((1+Inputs!$D$7)^BN$2))))))</f>
        <v>0</v>
      </c>
      <c r="BO79" s="64">
        <f>NPV(Inputs!$D$6,BQ79:DD79)</f>
        <v>0</v>
      </c>
      <c r="BP79" s="67">
        <f t="shared" si="20"/>
        <v>0</v>
      </c>
      <c r="BQ79" s="88">
        <f>MAX(AA79,($E79*IF(BQ$2&gt;Inputs!$D$5,0,IF(BQ$2&gt;VLOOKUP($H79,Lists!$P$3:$Q$7,2),IF($N79=Lists!$K$3,IF($L79&lt;1,(($U79/$L79)*((1+Inputs!$D$7)^BQ$2)),((INT(BQ$2/$L79)-INT((BQ$2-1)/$L79))*$U79*((1+Inputs!$D$7)^BQ$2))),(Inputs!$D$8^((1-_xlfn.WEIBULL.DIST(BQ$2,$M79,$L79,FALSE))/_xlfn.WEIBULL.DIST(BQ$2,$M79,$L79,FALSE))*$U79*((1+Inputs!$D$7)^BQ$2))),IF($N79=Lists!$K$3,IF($L79&lt;1,((($T79*(1-$F79)+$S79*(1-$G79))/$L79)*((1+Inputs!$D$7)^BQ$2)),((INT(BQ$2/$L79)-INT((BQ$2-1)/$L79))*($T79*(1-$F79)+$S79*(1-$G79))*((1+Inputs!$D$7)^BQ$2))),((Inputs!$D$8^((1-_xlfn.WEIBULL.DIST(BQ$2,$M79,$L79,FALSE))/_xlfn.WEIBULL.DIST(BQ$2,$M79,$L79,FALSE))*($T79*(1-$F79)+$S79*(1-$G79))*((1+Inputs!$D$7)^BQ$2))))))))</f>
        <v>0</v>
      </c>
      <c r="BR79" s="88">
        <f>MAX(AB79,($E79*IF(BR$2&gt;Inputs!$D$5,0,IF(BR$2&gt;VLOOKUP($H79,Lists!$P$3:$Q$7,2),IF($N79=Lists!$K$3,IF($L79&lt;1,(($U79/$L79)*((1+Inputs!$D$7)^BR$2)),((INT(BR$2/$L79)-INT((BR$2-1)/$L79))*$U79*((1+Inputs!$D$7)^BR$2))),(Inputs!$D$8^((1-_xlfn.WEIBULL.DIST(BR$2,$M79,$L79,FALSE))/_xlfn.WEIBULL.DIST(BR$2,$M79,$L79,FALSE))*$U79*((1+Inputs!$D$7)^BR$2))),IF($N79=Lists!$K$3,IF($L79&lt;1,((($T79*(1-$F79)+$S79*(1-$G79))/$L79)*((1+Inputs!$D$7)^BR$2)),((INT(BR$2/$L79)-INT((BR$2-1)/$L79))*($T79*(1-$F79)+$S79*(1-$G79))*((1+Inputs!$D$7)^BR$2))),((Inputs!$D$8^((1-_xlfn.WEIBULL.DIST(BR$2,$M79,$L79,FALSE))/_xlfn.WEIBULL.DIST(BR$2,$M79,$L79,FALSE))*($T79*(1-$F79)+$S79*(1-$G79))*((1+Inputs!$D$7)^BR$2))))))))</f>
        <v>0</v>
      </c>
      <c r="BS79" s="88">
        <f>MAX(AC79,($E79*IF(BS$2&gt;Inputs!$D$5,0,IF(BS$2&gt;VLOOKUP($H79,Lists!$P$3:$Q$7,2),IF($N79=Lists!$K$3,IF($L79&lt;1,(($U79/$L79)*((1+Inputs!$D$7)^BS$2)),((INT(BS$2/$L79)-INT((BS$2-1)/$L79))*$U79*((1+Inputs!$D$7)^BS$2))),(Inputs!$D$8^((1-_xlfn.WEIBULL.DIST(BS$2,$M79,$L79,FALSE))/_xlfn.WEIBULL.DIST(BS$2,$M79,$L79,FALSE))*$U79*((1+Inputs!$D$7)^BS$2))),IF($N79=Lists!$K$3,IF($L79&lt;1,((($T79*(1-$F79)+$S79*(1-$G79))/$L79)*((1+Inputs!$D$7)^BS$2)),((INT(BS$2/$L79)-INT((BS$2-1)/$L79))*($T79*(1-$F79)+$S79*(1-$G79))*((1+Inputs!$D$7)^BS$2))),((Inputs!$D$8^((1-_xlfn.WEIBULL.DIST(BS$2,$M79,$L79,FALSE))/_xlfn.WEIBULL.DIST(BS$2,$M79,$L79,FALSE))*($T79*(1-$F79)+$S79*(1-$G79))*((1+Inputs!$D$7)^BS$2))))))))</f>
        <v>0</v>
      </c>
      <c r="BT79" s="88">
        <f>MAX(AD79,($E79*IF(BT$2&gt;Inputs!$D$5,0,IF(BT$2&gt;VLOOKUP($H79,Lists!$P$3:$Q$7,2),IF($N79=Lists!$K$3,IF($L79&lt;1,(($U79/$L79)*((1+Inputs!$D$7)^BT$2)),((INT(BT$2/$L79)-INT((BT$2-1)/$L79))*$U79*((1+Inputs!$D$7)^BT$2))),(Inputs!$D$8^((1-_xlfn.WEIBULL.DIST(BT$2,$M79,$L79,FALSE))/_xlfn.WEIBULL.DIST(BT$2,$M79,$L79,FALSE))*$U79*((1+Inputs!$D$7)^BT$2))),IF($N79=Lists!$K$3,IF($L79&lt;1,((($T79*(1-$F79)+$S79*(1-$G79))/$L79)*((1+Inputs!$D$7)^BT$2)),((INT(BT$2/$L79)-INT((BT$2-1)/$L79))*($T79*(1-$F79)+$S79*(1-$G79))*((1+Inputs!$D$7)^BT$2))),((Inputs!$D$8^((1-_xlfn.WEIBULL.DIST(BT$2,$M79,$L79,FALSE))/_xlfn.WEIBULL.DIST(BT$2,$M79,$L79,FALSE))*($T79*(1-$F79)+$S79*(1-$G79))*((1+Inputs!$D$7)^BT$2))))))))</f>
        <v>0</v>
      </c>
      <c r="BU79" s="88">
        <f>MAX(AE79,($E79*IF(BU$2&gt;Inputs!$D$5,0,IF(BU$2&gt;VLOOKUP($H79,Lists!$P$3:$Q$7,2),IF($N79=Lists!$K$3,IF($L79&lt;1,(($U79/$L79)*((1+Inputs!$D$7)^BU$2)),((INT(BU$2/$L79)-INT((BU$2-1)/$L79))*$U79*((1+Inputs!$D$7)^BU$2))),(Inputs!$D$8^((1-_xlfn.WEIBULL.DIST(BU$2,$M79,$L79,FALSE))/_xlfn.WEIBULL.DIST(BU$2,$M79,$L79,FALSE))*$U79*((1+Inputs!$D$7)^BU$2))),IF($N79=Lists!$K$3,IF($L79&lt;1,((($T79*(1-$F79)+$S79*(1-$G79))/$L79)*((1+Inputs!$D$7)^BU$2)),((INT(BU$2/$L79)-INT((BU$2-1)/$L79))*($T79*(1-$F79)+$S79*(1-$G79))*((1+Inputs!$D$7)^BU$2))),((Inputs!$D$8^((1-_xlfn.WEIBULL.DIST(BU$2,$M79,$L79,FALSE))/_xlfn.WEIBULL.DIST(BU$2,$M79,$L79,FALSE))*($T79*(1-$F79)+$S79*(1-$G79))*((1+Inputs!$D$7)^BU$2))))))))</f>
        <v>0</v>
      </c>
      <c r="BV79" s="88">
        <f>MAX(AF79,($E79*IF(BV$2&gt;Inputs!$D$5,0,IF(BV$2&gt;VLOOKUP($H79,Lists!$P$3:$Q$7,2),IF($N79=Lists!$K$3,IF($L79&lt;1,(($U79/$L79)*((1+Inputs!$D$7)^BV$2)),((INT(BV$2/$L79)-INT((BV$2-1)/$L79))*$U79*((1+Inputs!$D$7)^BV$2))),(Inputs!$D$8^((1-_xlfn.WEIBULL.DIST(BV$2,$M79,$L79,FALSE))/_xlfn.WEIBULL.DIST(BV$2,$M79,$L79,FALSE))*$U79*((1+Inputs!$D$7)^BV$2))),IF($N79=Lists!$K$3,IF($L79&lt;1,((($T79*(1-$F79)+$S79*(1-$G79))/$L79)*((1+Inputs!$D$7)^BV$2)),((INT(BV$2/$L79)-INT((BV$2-1)/$L79))*($T79*(1-$F79)+$S79*(1-$G79))*((1+Inputs!$D$7)^BV$2))),((Inputs!$D$8^((1-_xlfn.WEIBULL.DIST(BV$2,$M79,$L79,FALSE))/_xlfn.WEIBULL.DIST(BV$2,$M79,$L79,FALSE))*($T79*(1-$F79)+$S79*(1-$G79))*((1+Inputs!$D$7)^BV$2))))))))</f>
        <v>0</v>
      </c>
      <c r="BW79" s="88">
        <f>MAX(AG79,($E79*IF(BW$2&gt;Inputs!$D$5,0,IF(BW$2&gt;VLOOKUP($H79,Lists!$P$3:$Q$7,2),IF($N79=Lists!$K$3,IF($L79&lt;1,(($U79/$L79)*((1+Inputs!$D$7)^BW$2)),((INT(BW$2/$L79)-INT((BW$2-1)/$L79))*$U79*((1+Inputs!$D$7)^BW$2))),(Inputs!$D$8^((1-_xlfn.WEIBULL.DIST(BW$2,$M79,$L79,FALSE))/_xlfn.WEIBULL.DIST(BW$2,$M79,$L79,FALSE))*$U79*((1+Inputs!$D$7)^BW$2))),IF($N79=Lists!$K$3,IF($L79&lt;1,((($T79*(1-$F79)+$S79*(1-$G79))/$L79)*((1+Inputs!$D$7)^BW$2)),((INT(BW$2/$L79)-INT((BW$2-1)/$L79))*($T79*(1-$F79)+$S79*(1-$G79))*((1+Inputs!$D$7)^BW$2))),((Inputs!$D$8^((1-_xlfn.WEIBULL.DIST(BW$2,$M79,$L79,FALSE))/_xlfn.WEIBULL.DIST(BW$2,$M79,$L79,FALSE))*($T79*(1-$F79)+$S79*(1-$G79))*((1+Inputs!$D$7)^BW$2))))))))</f>
        <v>0</v>
      </c>
      <c r="BX79" s="88">
        <f>MAX(AH79,($E79*IF(BX$2&gt;Inputs!$D$5,0,IF(BX$2&gt;VLOOKUP($H79,Lists!$P$3:$Q$7,2),IF($N79=Lists!$K$3,IF($L79&lt;1,(($U79/$L79)*((1+Inputs!$D$7)^BX$2)),((INT(BX$2/$L79)-INT((BX$2-1)/$L79))*$U79*((1+Inputs!$D$7)^BX$2))),(Inputs!$D$8^((1-_xlfn.WEIBULL.DIST(BX$2,$M79,$L79,FALSE))/_xlfn.WEIBULL.DIST(BX$2,$M79,$L79,FALSE))*$U79*((1+Inputs!$D$7)^BX$2))),IF($N79=Lists!$K$3,IF($L79&lt;1,((($T79*(1-$F79)+$S79*(1-$G79))/$L79)*((1+Inputs!$D$7)^BX$2)),((INT(BX$2/$L79)-INT((BX$2-1)/$L79))*($T79*(1-$F79)+$S79*(1-$G79))*((1+Inputs!$D$7)^BX$2))),((Inputs!$D$8^((1-_xlfn.WEIBULL.DIST(BX$2,$M79,$L79,FALSE))/_xlfn.WEIBULL.DIST(BX$2,$M79,$L79,FALSE))*($T79*(1-$F79)+$S79*(1-$G79))*((1+Inputs!$D$7)^BX$2))))))))</f>
        <v>0</v>
      </c>
      <c r="BY79" s="88">
        <f>MAX(AI79,($E79*IF(BY$2&gt;Inputs!$D$5,0,IF(BY$2&gt;VLOOKUP($H79,Lists!$P$3:$Q$7,2),IF($N79=Lists!$K$3,IF($L79&lt;1,(($U79/$L79)*((1+Inputs!$D$7)^BY$2)),((INT(BY$2/$L79)-INT((BY$2-1)/$L79))*$U79*((1+Inputs!$D$7)^BY$2))),(Inputs!$D$8^((1-_xlfn.WEIBULL.DIST(BY$2,$M79,$L79,FALSE))/_xlfn.WEIBULL.DIST(BY$2,$M79,$L79,FALSE))*$U79*((1+Inputs!$D$7)^BY$2))),IF($N79=Lists!$K$3,IF($L79&lt;1,((($T79*(1-$F79)+$S79*(1-$G79))/$L79)*((1+Inputs!$D$7)^BY$2)),((INT(BY$2/$L79)-INT((BY$2-1)/$L79))*($T79*(1-$F79)+$S79*(1-$G79))*((1+Inputs!$D$7)^BY$2))),((Inputs!$D$8^((1-_xlfn.WEIBULL.DIST(BY$2,$M79,$L79,FALSE))/_xlfn.WEIBULL.DIST(BY$2,$M79,$L79,FALSE))*($T79*(1-$F79)+$S79*(1-$G79))*((1+Inputs!$D$7)^BY$2))))))))</f>
        <v>0</v>
      </c>
      <c r="BZ79" s="88">
        <f>MAX(AJ79,($E79*IF(BZ$2&gt;Inputs!$D$5,0,IF(BZ$2&gt;VLOOKUP($H79,Lists!$P$3:$Q$7,2),IF($N79=Lists!$K$3,IF($L79&lt;1,(($U79/$L79)*((1+Inputs!$D$7)^BZ$2)),((INT(BZ$2/$L79)-INT((BZ$2-1)/$L79))*$U79*((1+Inputs!$D$7)^BZ$2))),(Inputs!$D$8^((1-_xlfn.WEIBULL.DIST(BZ$2,$M79,$L79,FALSE))/_xlfn.WEIBULL.DIST(BZ$2,$M79,$L79,FALSE))*$U79*((1+Inputs!$D$7)^BZ$2))),IF($N79=Lists!$K$3,IF($L79&lt;1,((($T79*(1-$F79)+$S79*(1-$G79))/$L79)*((1+Inputs!$D$7)^BZ$2)),((INT(BZ$2/$L79)-INT((BZ$2-1)/$L79))*($T79*(1-$F79)+$S79*(1-$G79))*((1+Inputs!$D$7)^BZ$2))),((Inputs!$D$8^((1-_xlfn.WEIBULL.DIST(BZ$2,$M79,$L79,FALSE))/_xlfn.WEIBULL.DIST(BZ$2,$M79,$L79,FALSE))*($T79*(1-$F79)+$S79*(1-$G79))*((1+Inputs!$D$7)^BZ$2))))))))</f>
        <v>0</v>
      </c>
      <c r="CA79" s="88">
        <f>MAX(AK79,($E79*IF(CA$2&gt;Inputs!$D$5,0,IF(CA$2&gt;VLOOKUP($H79,Lists!$P$3:$Q$7,2),IF($N79=Lists!$K$3,IF($L79&lt;1,(($U79/$L79)*((1+Inputs!$D$7)^CA$2)),((INT(CA$2/$L79)-INT((CA$2-1)/$L79))*$U79*((1+Inputs!$D$7)^CA$2))),(Inputs!$D$8^((1-_xlfn.WEIBULL.DIST(CA$2,$M79,$L79,FALSE))/_xlfn.WEIBULL.DIST(CA$2,$M79,$L79,FALSE))*$U79*((1+Inputs!$D$7)^CA$2))),IF($N79=Lists!$K$3,IF($L79&lt;1,((($T79*(1-$F79)+$S79*(1-$G79))/$L79)*((1+Inputs!$D$7)^CA$2)),((INT(CA$2/$L79)-INT((CA$2-1)/$L79))*($T79*(1-$F79)+$S79*(1-$G79))*((1+Inputs!$D$7)^CA$2))),((Inputs!$D$8^((1-_xlfn.WEIBULL.DIST(CA$2,$M79,$L79,FALSE))/_xlfn.WEIBULL.DIST(CA$2,$M79,$L79,FALSE))*($T79*(1-$F79)+$S79*(1-$G79))*((1+Inputs!$D$7)^CA$2))))))))</f>
        <v>0</v>
      </c>
      <c r="CB79" s="88">
        <f>MAX(AL79,($E79*IF(CB$2&gt;Inputs!$D$5,0,IF(CB$2&gt;VLOOKUP($H79,Lists!$P$3:$Q$7,2),IF($N79=Lists!$K$3,IF($L79&lt;1,(($U79/$L79)*((1+Inputs!$D$7)^CB$2)),((INT(CB$2/$L79)-INT((CB$2-1)/$L79))*$U79*((1+Inputs!$D$7)^CB$2))),(Inputs!$D$8^((1-_xlfn.WEIBULL.DIST(CB$2,$M79,$L79,FALSE))/_xlfn.WEIBULL.DIST(CB$2,$M79,$L79,FALSE))*$U79*((1+Inputs!$D$7)^CB$2))),IF($N79=Lists!$K$3,IF($L79&lt;1,((($T79*(1-$F79)+$S79*(1-$G79))/$L79)*((1+Inputs!$D$7)^CB$2)),((INT(CB$2/$L79)-INT((CB$2-1)/$L79))*($T79*(1-$F79)+$S79*(1-$G79))*((1+Inputs!$D$7)^CB$2))),((Inputs!$D$8^((1-_xlfn.WEIBULL.DIST(CB$2,$M79,$L79,FALSE))/_xlfn.WEIBULL.DIST(CB$2,$M79,$L79,FALSE))*($T79*(1-$F79)+$S79*(1-$G79))*((1+Inputs!$D$7)^CB$2))))))))</f>
        <v>0</v>
      </c>
      <c r="CC79" s="88">
        <f>MAX(AM79,($E79*IF(CC$2&gt;Inputs!$D$5,0,IF(CC$2&gt;VLOOKUP($H79,Lists!$P$3:$Q$7,2),IF($N79=Lists!$K$3,IF($L79&lt;1,(($U79/$L79)*((1+Inputs!$D$7)^CC$2)),((INT(CC$2/$L79)-INT((CC$2-1)/$L79))*$U79*((1+Inputs!$D$7)^CC$2))),(Inputs!$D$8^((1-_xlfn.WEIBULL.DIST(CC$2,$M79,$L79,FALSE))/_xlfn.WEIBULL.DIST(CC$2,$M79,$L79,FALSE))*$U79*((1+Inputs!$D$7)^CC$2))),IF($N79=Lists!$K$3,IF($L79&lt;1,((($T79*(1-$F79)+$S79*(1-$G79))/$L79)*((1+Inputs!$D$7)^CC$2)),((INT(CC$2/$L79)-INT((CC$2-1)/$L79))*($T79*(1-$F79)+$S79*(1-$G79))*((1+Inputs!$D$7)^CC$2))),((Inputs!$D$8^((1-_xlfn.WEIBULL.DIST(CC$2,$M79,$L79,FALSE))/_xlfn.WEIBULL.DIST(CC$2,$M79,$L79,FALSE))*($T79*(1-$F79)+$S79*(1-$G79))*((1+Inputs!$D$7)^CC$2))))))))</f>
        <v>0</v>
      </c>
      <c r="CD79" s="88">
        <f>MAX(AN79,($E79*IF(CD$2&gt;Inputs!$D$5,0,IF(CD$2&gt;VLOOKUP($H79,Lists!$P$3:$Q$7,2),IF($N79=Lists!$K$3,IF($L79&lt;1,(($U79/$L79)*((1+Inputs!$D$7)^CD$2)),((INT(CD$2/$L79)-INT((CD$2-1)/$L79))*$U79*((1+Inputs!$D$7)^CD$2))),(Inputs!$D$8^((1-_xlfn.WEIBULL.DIST(CD$2,$M79,$L79,FALSE))/_xlfn.WEIBULL.DIST(CD$2,$M79,$L79,FALSE))*$U79*((1+Inputs!$D$7)^CD$2))),IF($N79=Lists!$K$3,IF($L79&lt;1,((($T79*(1-$F79)+$S79*(1-$G79))/$L79)*((1+Inputs!$D$7)^CD$2)),((INT(CD$2/$L79)-INT((CD$2-1)/$L79))*($T79*(1-$F79)+$S79*(1-$G79))*((1+Inputs!$D$7)^CD$2))),((Inputs!$D$8^((1-_xlfn.WEIBULL.DIST(CD$2,$M79,$L79,FALSE))/_xlfn.WEIBULL.DIST(CD$2,$M79,$L79,FALSE))*($T79*(1-$F79)+$S79*(1-$G79))*((1+Inputs!$D$7)^CD$2))))))))</f>
        <v>0</v>
      </c>
      <c r="CE79" s="88">
        <f>MAX(AO79,($E79*IF(CE$2&gt;Inputs!$D$5,0,IF(CE$2&gt;VLOOKUP($H79,Lists!$P$3:$Q$7,2),IF($N79=Lists!$K$3,IF($L79&lt;1,(($U79/$L79)*((1+Inputs!$D$7)^CE$2)),((INT(CE$2/$L79)-INT((CE$2-1)/$L79))*$U79*((1+Inputs!$D$7)^CE$2))),(Inputs!$D$8^((1-_xlfn.WEIBULL.DIST(CE$2,$M79,$L79,FALSE))/_xlfn.WEIBULL.DIST(CE$2,$M79,$L79,FALSE))*$U79*((1+Inputs!$D$7)^CE$2))),IF($N79=Lists!$K$3,IF($L79&lt;1,((($T79*(1-$F79)+$S79*(1-$G79))/$L79)*((1+Inputs!$D$7)^CE$2)),((INT(CE$2/$L79)-INT((CE$2-1)/$L79))*($T79*(1-$F79)+$S79*(1-$G79))*((1+Inputs!$D$7)^CE$2))),((Inputs!$D$8^((1-_xlfn.WEIBULL.DIST(CE$2,$M79,$L79,FALSE))/_xlfn.WEIBULL.DIST(CE$2,$M79,$L79,FALSE))*($T79*(1-$F79)+$S79*(1-$G79))*((1+Inputs!$D$7)^CE$2))))))))</f>
        <v>0</v>
      </c>
      <c r="CF79" s="88">
        <f>MAX(AP79,($E79*IF(CF$2&gt;Inputs!$D$5,0,IF(CF$2&gt;VLOOKUP($H79,Lists!$P$3:$Q$7,2),IF($N79=Lists!$K$3,IF($L79&lt;1,(($U79/$L79)*((1+Inputs!$D$7)^CF$2)),((INT(CF$2/$L79)-INT((CF$2-1)/$L79))*$U79*((1+Inputs!$D$7)^CF$2))),(Inputs!$D$8^((1-_xlfn.WEIBULL.DIST(CF$2,$M79,$L79,FALSE))/_xlfn.WEIBULL.DIST(CF$2,$M79,$L79,FALSE))*$U79*((1+Inputs!$D$7)^CF$2))),IF($N79=Lists!$K$3,IF($L79&lt;1,((($T79*(1-$F79)+$S79*(1-$G79))/$L79)*((1+Inputs!$D$7)^CF$2)),((INT(CF$2/$L79)-INT((CF$2-1)/$L79))*($T79*(1-$F79)+$S79*(1-$G79))*((1+Inputs!$D$7)^CF$2))),((Inputs!$D$8^((1-_xlfn.WEIBULL.DIST(CF$2,$M79,$L79,FALSE))/_xlfn.WEIBULL.DIST(CF$2,$M79,$L79,FALSE))*($T79*(1-$F79)+$S79*(1-$G79))*((1+Inputs!$D$7)^CF$2))))))))</f>
        <v>0</v>
      </c>
      <c r="CG79" s="88">
        <f>MAX(AQ79,($E79*IF(CG$2&gt;Inputs!$D$5,0,IF(CG$2&gt;VLOOKUP($H79,Lists!$P$3:$Q$7,2),IF($N79=Lists!$K$3,IF($L79&lt;1,(($U79/$L79)*((1+Inputs!$D$7)^CG$2)),((INT(CG$2/$L79)-INT((CG$2-1)/$L79))*$U79*((1+Inputs!$D$7)^CG$2))),(Inputs!$D$8^((1-_xlfn.WEIBULL.DIST(CG$2,$M79,$L79,FALSE))/_xlfn.WEIBULL.DIST(CG$2,$M79,$L79,FALSE))*$U79*((1+Inputs!$D$7)^CG$2))),IF($N79=Lists!$K$3,IF($L79&lt;1,((($T79*(1-$F79)+$S79*(1-$G79))/$L79)*((1+Inputs!$D$7)^CG$2)),((INT(CG$2/$L79)-INT((CG$2-1)/$L79))*($T79*(1-$F79)+$S79*(1-$G79))*((1+Inputs!$D$7)^CG$2))),((Inputs!$D$8^((1-_xlfn.WEIBULL.DIST(CG$2,$M79,$L79,FALSE))/_xlfn.WEIBULL.DIST(CG$2,$M79,$L79,FALSE))*($T79*(1-$F79)+$S79*(1-$G79))*((1+Inputs!$D$7)^CG$2))))))))</f>
        <v>0</v>
      </c>
      <c r="CH79" s="88">
        <f>MAX(AR79,($E79*IF(CH$2&gt;Inputs!$D$5,0,IF(CH$2&gt;VLOOKUP($H79,Lists!$P$3:$Q$7,2),IF($N79=Lists!$K$3,IF($L79&lt;1,(($U79/$L79)*((1+Inputs!$D$7)^CH$2)),((INT(CH$2/$L79)-INT((CH$2-1)/$L79))*$U79*((1+Inputs!$D$7)^CH$2))),(Inputs!$D$8^((1-_xlfn.WEIBULL.DIST(CH$2,$M79,$L79,FALSE))/_xlfn.WEIBULL.DIST(CH$2,$M79,$L79,FALSE))*$U79*((1+Inputs!$D$7)^CH$2))),IF($N79=Lists!$K$3,IF($L79&lt;1,((($T79*(1-$F79)+$S79*(1-$G79))/$L79)*((1+Inputs!$D$7)^CH$2)),((INT(CH$2/$L79)-INT((CH$2-1)/$L79))*($T79*(1-$F79)+$S79*(1-$G79))*((1+Inputs!$D$7)^CH$2))),((Inputs!$D$8^((1-_xlfn.WEIBULL.DIST(CH$2,$M79,$L79,FALSE))/_xlfn.WEIBULL.DIST(CH$2,$M79,$L79,FALSE))*($T79*(1-$F79)+$S79*(1-$G79))*((1+Inputs!$D$7)^CH$2))))))))</f>
        <v>0</v>
      </c>
      <c r="CI79" s="88">
        <f>MAX(AS79,($E79*IF(CI$2&gt;Inputs!$D$5,0,IF(CI$2&gt;VLOOKUP($H79,Lists!$P$3:$Q$7,2),IF($N79=Lists!$K$3,IF($L79&lt;1,(($U79/$L79)*((1+Inputs!$D$7)^CI$2)),((INT(CI$2/$L79)-INT((CI$2-1)/$L79))*$U79*((1+Inputs!$D$7)^CI$2))),(Inputs!$D$8^((1-_xlfn.WEIBULL.DIST(CI$2,$M79,$L79,FALSE))/_xlfn.WEIBULL.DIST(CI$2,$M79,$L79,FALSE))*$U79*((1+Inputs!$D$7)^CI$2))),IF($N79=Lists!$K$3,IF($L79&lt;1,((($T79*(1-$F79)+$S79*(1-$G79))/$L79)*((1+Inputs!$D$7)^CI$2)),((INT(CI$2/$L79)-INT((CI$2-1)/$L79))*($T79*(1-$F79)+$S79*(1-$G79))*((1+Inputs!$D$7)^CI$2))),((Inputs!$D$8^((1-_xlfn.WEIBULL.DIST(CI$2,$M79,$L79,FALSE))/_xlfn.WEIBULL.DIST(CI$2,$M79,$L79,FALSE))*($T79*(1-$F79)+$S79*(1-$G79))*((1+Inputs!$D$7)^CI$2))))))))</f>
        <v>0</v>
      </c>
      <c r="CJ79" s="88">
        <f>MAX(AT79,($E79*IF(CJ$2&gt;Inputs!$D$5,0,IF(CJ$2&gt;VLOOKUP($H79,Lists!$P$3:$Q$7,2),IF($N79=Lists!$K$3,IF($L79&lt;1,(($U79/$L79)*((1+Inputs!$D$7)^CJ$2)),((INT(CJ$2/$L79)-INT((CJ$2-1)/$L79))*$U79*((1+Inputs!$D$7)^CJ$2))),(Inputs!$D$8^((1-_xlfn.WEIBULL.DIST(CJ$2,$M79,$L79,FALSE))/_xlfn.WEIBULL.DIST(CJ$2,$M79,$L79,FALSE))*$U79*((1+Inputs!$D$7)^CJ$2))),IF($N79=Lists!$K$3,IF($L79&lt;1,((($T79*(1-$F79)+$S79*(1-$G79))/$L79)*((1+Inputs!$D$7)^CJ$2)),((INT(CJ$2/$L79)-INT((CJ$2-1)/$L79))*($T79*(1-$F79)+$S79*(1-$G79))*((1+Inputs!$D$7)^CJ$2))),((Inputs!$D$8^((1-_xlfn.WEIBULL.DIST(CJ$2,$M79,$L79,FALSE))/_xlfn.WEIBULL.DIST(CJ$2,$M79,$L79,FALSE))*($T79*(1-$F79)+$S79*(1-$G79))*((1+Inputs!$D$7)^CJ$2))))))))</f>
        <v>0</v>
      </c>
      <c r="CK79" s="88">
        <f>MAX(AU79,($E79*IF(CK$2&gt;Inputs!$D$5,0,IF(CK$2&gt;VLOOKUP($H79,Lists!$P$3:$Q$7,2),IF($N79=Lists!$K$3,IF($L79&lt;1,(($U79/$L79)*((1+Inputs!$D$7)^CK$2)),((INT(CK$2/$L79)-INT((CK$2-1)/$L79))*$U79*((1+Inputs!$D$7)^CK$2))),(Inputs!$D$8^((1-_xlfn.WEIBULL.DIST(CK$2,$M79,$L79,FALSE))/_xlfn.WEIBULL.DIST(CK$2,$M79,$L79,FALSE))*$U79*((1+Inputs!$D$7)^CK$2))),IF($N79=Lists!$K$3,IF($L79&lt;1,((($T79*(1-$F79)+$S79*(1-$G79))/$L79)*((1+Inputs!$D$7)^CK$2)),((INT(CK$2/$L79)-INT((CK$2-1)/$L79))*($T79*(1-$F79)+$S79*(1-$G79))*((1+Inputs!$D$7)^CK$2))),((Inputs!$D$8^((1-_xlfn.WEIBULL.DIST(CK$2,$M79,$L79,FALSE))/_xlfn.WEIBULL.DIST(CK$2,$M79,$L79,FALSE))*($T79*(1-$F79)+$S79*(1-$G79))*((1+Inputs!$D$7)^CK$2))))))))</f>
        <v>0</v>
      </c>
      <c r="CL79" s="88">
        <f>MAX(AV79,($E79*IF(CL$2&gt;Inputs!$D$5,0,IF(CL$2&gt;VLOOKUP($H79,Lists!$P$3:$Q$7,2),IF($N79=Lists!$K$3,IF($L79&lt;1,(($U79/$L79)*((1+Inputs!$D$7)^CL$2)),((INT(CL$2/$L79)-INT((CL$2-1)/$L79))*$U79*((1+Inputs!$D$7)^CL$2))),(Inputs!$D$8^((1-_xlfn.WEIBULL.DIST(CL$2,$M79,$L79,FALSE))/_xlfn.WEIBULL.DIST(CL$2,$M79,$L79,FALSE))*$U79*((1+Inputs!$D$7)^CL$2))),IF($N79=Lists!$K$3,IF($L79&lt;1,((($T79*(1-$F79)+$S79*(1-$G79))/$L79)*((1+Inputs!$D$7)^CL$2)),((INT(CL$2/$L79)-INT((CL$2-1)/$L79))*($T79*(1-$F79)+$S79*(1-$G79))*((1+Inputs!$D$7)^CL$2))),((Inputs!$D$8^((1-_xlfn.WEIBULL.DIST(CL$2,$M79,$L79,FALSE))/_xlfn.WEIBULL.DIST(CL$2,$M79,$L79,FALSE))*($T79*(1-$F79)+$S79*(1-$G79))*((1+Inputs!$D$7)^CL$2))))))))</f>
        <v>0</v>
      </c>
      <c r="CM79" s="88">
        <f>MAX(AW79,($E79*IF(CM$2&gt;Inputs!$D$5,0,IF(CM$2&gt;VLOOKUP($H79,Lists!$P$3:$Q$7,2),IF($N79=Lists!$K$3,IF($L79&lt;1,(($U79/$L79)*((1+Inputs!$D$7)^CM$2)),((INT(CM$2/$L79)-INT((CM$2-1)/$L79))*$U79*((1+Inputs!$D$7)^CM$2))),(Inputs!$D$8^((1-_xlfn.WEIBULL.DIST(CM$2,$M79,$L79,FALSE))/_xlfn.WEIBULL.DIST(CM$2,$M79,$L79,FALSE))*$U79*((1+Inputs!$D$7)^CM$2))),IF($N79=Lists!$K$3,IF($L79&lt;1,((($T79*(1-$F79)+$S79*(1-$G79))/$L79)*((1+Inputs!$D$7)^CM$2)),((INT(CM$2/$L79)-INT((CM$2-1)/$L79))*($T79*(1-$F79)+$S79*(1-$G79))*((1+Inputs!$D$7)^CM$2))),((Inputs!$D$8^((1-_xlfn.WEIBULL.DIST(CM$2,$M79,$L79,FALSE))/_xlfn.WEIBULL.DIST(CM$2,$M79,$L79,FALSE))*($T79*(1-$F79)+$S79*(1-$G79))*((1+Inputs!$D$7)^CM$2))))))))</f>
        <v>0</v>
      </c>
      <c r="CN79" s="88">
        <f>MAX(AX79,($E79*IF(CN$2&gt;Inputs!$D$5,0,IF(CN$2&gt;VLOOKUP($H79,Lists!$P$3:$Q$7,2),IF($N79=Lists!$K$3,IF($L79&lt;1,(($U79/$L79)*((1+Inputs!$D$7)^CN$2)),((INT(CN$2/$L79)-INT((CN$2-1)/$L79))*$U79*((1+Inputs!$D$7)^CN$2))),(Inputs!$D$8^((1-_xlfn.WEIBULL.DIST(CN$2,$M79,$L79,FALSE))/_xlfn.WEIBULL.DIST(CN$2,$M79,$L79,FALSE))*$U79*((1+Inputs!$D$7)^CN$2))),IF($N79=Lists!$K$3,IF($L79&lt;1,((($T79*(1-$F79)+$S79*(1-$G79))/$L79)*((1+Inputs!$D$7)^CN$2)),((INT(CN$2/$L79)-INT((CN$2-1)/$L79))*($T79*(1-$F79)+$S79*(1-$G79))*((1+Inputs!$D$7)^CN$2))),((Inputs!$D$8^((1-_xlfn.WEIBULL.DIST(CN$2,$M79,$L79,FALSE))/_xlfn.WEIBULL.DIST(CN$2,$M79,$L79,FALSE))*($T79*(1-$F79)+$S79*(1-$G79))*((1+Inputs!$D$7)^CN$2))))))))</f>
        <v>0</v>
      </c>
      <c r="CO79" s="88">
        <f>MAX(AY79,($E79*IF(CO$2&gt;Inputs!$D$5,0,IF(CO$2&gt;VLOOKUP($H79,Lists!$P$3:$Q$7,2),IF($N79=Lists!$K$3,IF($L79&lt;1,(($U79/$L79)*((1+Inputs!$D$7)^CO$2)),((INT(CO$2/$L79)-INT((CO$2-1)/$L79))*$U79*((1+Inputs!$D$7)^CO$2))),(Inputs!$D$8^((1-_xlfn.WEIBULL.DIST(CO$2,$M79,$L79,FALSE))/_xlfn.WEIBULL.DIST(CO$2,$M79,$L79,FALSE))*$U79*((1+Inputs!$D$7)^CO$2))),IF($N79=Lists!$K$3,IF($L79&lt;1,((($T79*(1-$F79)+$S79*(1-$G79))/$L79)*((1+Inputs!$D$7)^CO$2)),((INT(CO$2/$L79)-INT((CO$2-1)/$L79))*($T79*(1-$F79)+$S79*(1-$G79))*((1+Inputs!$D$7)^CO$2))),((Inputs!$D$8^((1-_xlfn.WEIBULL.DIST(CO$2,$M79,$L79,FALSE))/_xlfn.WEIBULL.DIST(CO$2,$M79,$L79,FALSE))*($T79*(1-$F79)+$S79*(1-$G79))*((1+Inputs!$D$7)^CO$2))))))))</f>
        <v>0</v>
      </c>
      <c r="CP79" s="88">
        <f>MAX(AZ79,($E79*IF(CP$2&gt;Inputs!$D$5,0,IF(CP$2&gt;VLOOKUP($H79,Lists!$P$3:$Q$7,2),IF($N79=Lists!$K$3,IF($L79&lt;1,(($U79/$L79)*((1+Inputs!$D$7)^CP$2)),((INT(CP$2/$L79)-INT((CP$2-1)/$L79))*$U79*((1+Inputs!$D$7)^CP$2))),(Inputs!$D$8^((1-_xlfn.WEIBULL.DIST(CP$2,$M79,$L79,FALSE))/_xlfn.WEIBULL.DIST(CP$2,$M79,$L79,FALSE))*$U79*((1+Inputs!$D$7)^CP$2))),IF($N79=Lists!$K$3,IF($L79&lt;1,((($T79*(1-$F79)+$S79*(1-$G79))/$L79)*((1+Inputs!$D$7)^CP$2)),((INT(CP$2/$L79)-INT((CP$2-1)/$L79))*($T79*(1-$F79)+$S79*(1-$G79))*((1+Inputs!$D$7)^CP$2))),((Inputs!$D$8^((1-_xlfn.WEIBULL.DIST(CP$2,$M79,$L79,FALSE))/_xlfn.WEIBULL.DIST(CP$2,$M79,$L79,FALSE))*($T79*(1-$F79)+$S79*(1-$G79))*((1+Inputs!$D$7)^CP$2))))))))</f>
        <v>0</v>
      </c>
      <c r="CQ79" s="88">
        <f>MAX(BA79,($E79*IF(CQ$2&gt;Inputs!$D$5,0,IF(CQ$2&gt;VLOOKUP($H79,Lists!$P$3:$Q$7,2),IF($N79=Lists!$K$3,IF($L79&lt;1,(($U79/$L79)*((1+Inputs!$D$7)^CQ$2)),((INT(CQ$2/$L79)-INT((CQ$2-1)/$L79))*$U79*((1+Inputs!$D$7)^CQ$2))),(Inputs!$D$8^((1-_xlfn.WEIBULL.DIST(CQ$2,$M79,$L79,FALSE))/_xlfn.WEIBULL.DIST(CQ$2,$M79,$L79,FALSE))*$U79*((1+Inputs!$D$7)^CQ$2))),IF($N79=Lists!$K$3,IF($L79&lt;1,((($T79*(1-$F79)+$S79*(1-$G79))/$L79)*((1+Inputs!$D$7)^CQ$2)),((INT(CQ$2/$L79)-INT((CQ$2-1)/$L79))*($T79*(1-$F79)+$S79*(1-$G79))*((1+Inputs!$D$7)^CQ$2))),((Inputs!$D$8^((1-_xlfn.WEIBULL.DIST(CQ$2,$M79,$L79,FALSE))/_xlfn.WEIBULL.DIST(CQ$2,$M79,$L79,FALSE))*($T79*(1-$F79)+$S79*(1-$G79))*((1+Inputs!$D$7)^CQ$2))))))))</f>
        <v>0</v>
      </c>
      <c r="CR79" s="88">
        <f>MAX(BB79,($E79*IF(CR$2&gt;Inputs!$D$5,0,IF(CR$2&gt;VLOOKUP($H79,Lists!$P$3:$Q$7,2),IF($N79=Lists!$K$3,IF($L79&lt;1,(($U79/$L79)*((1+Inputs!$D$7)^CR$2)),((INT(CR$2/$L79)-INT((CR$2-1)/$L79))*$U79*((1+Inputs!$D$7)^CR$2))),(Inputs!$D$8^((1-_xlfn.WEIBULL.DIST(CR$2,$M79,$L79,FALSE))/_xlfn.WEIBULL.DIST(CR$2,$M79,$L79,FALSE))*$U79*((1+Inputs!$D$7)^CR$2))),IF($N79=Lists!$K$3,IF($L79&lt;1,((($T79*(1-$F79)+$S79*(1-$G79))/$L79)*((1+Inputs!$D$7)^CR$2)),((INT(CR$2/$L79)-INT((CR$2-1)/$L79))*($T79*(1-$F79)+$S79*(1-$G79))*((1+Inputs!$D$7)^CR$2))),((Inputs!$D$8^((1-_xlfn.WEIBULL.DIST(CR$2,$M79,$L79,FALSE))/_xlfn.WEIBULL.DIST(CR$2,$M79,$L79,FALSE))*($T79*(1-$F79)+$S79*(1-$G79))*((1+Inputs!$D$7)^CR$2))))))))</f>
        <v>0</v>
      </c>
      <c r="CS79" s="88">
        <f>MAX(BC79,($E79*IF(CS$2&gt;Inputs!$D$5,0,IF(CS$2&gt;VLOOKUP($H79,Lists!$P$3:$Q$7,2),IF($N79=Lists!$K$3,IF($L79&lt;1,(($U79/$L79)*((1+Inputs!$D$7)^CS$2)),((INT(CS$2/$L79)-INT((CS$2-1)/$L79))*$U79*((1+Inputs!$D$7)^CS$2))),(Inputs!$D$8^((1-_xlfn.WEIBULL.DIST(CS$2,$M79,$L79,FALSE))/_xlfn.WEIBULL.DIST(CS$2,$M79,$L79,FALSE))*$U79*((1+Inputs!$D$7)^CS$2))),IF($N79=Lists!$K$3,IF($L79&lt;1,((($T79*(1-$F79)+$S79*(1-$G79))/$L79)*((1+Inputs!$D$7)^CS$2)),((INT(CS$2/$L79)-INT((CS$2-1)/$L79))*($T79*(1-$F79)+$S79*(1-$G79))*((1+Inputs!$D$7)^CS$2))),((Inputs!$D$8^((1-_xlfn.WEIBULL.DIST(CS$2,$M79,$L79,FALSE))/_xlfn.WEIBULL.DIST(CS$2,$M79,$L79,FALSE))*($T79*(1-$F79)+$S79*(1-$G79))*((1+Inputs!$D$7)^CS$2))))))))</f>
        <v>0</v>
      </c>
      <c r="CT79" s="88">
        <f>MAX(BD79,($E79*IF(CT$2&gt;Inputs!$D$5,0,IF(CT$2&gt;VLOOKUP($H79,Lists!$P$3:$Q$7,2),IF($N79=Lists!$K$3,IF($L79&lt;1,(($U79/$L79)*((1+Inputs!$D$7)^CT$2)),((INT(CT$2/$L79)-INT((CT$2-1)/$L79))*$U79*((1+Inputs!$D$7)^CT$2))),(Inputs!$D$8^((1-_xlfn.WEIBULL.DIST(CT$2,$M79,$L79,FALSE))/_xlfn.WEIBULL.DIST(CT$2,$M79,$L79,FALSE))*$U79*((1+Inputs!$D$7)^CT$2))),IF($N79=Lists!$K$3,IF($L79&lt;1,((($T79*(1-$F79)+$S79*(1-$G79))/$L79)*((1+Inputs!$D$7)^CT$2)),((INT(CT$2/$L79)-INT((CT$2-1)/$L79))*($T79*(1-$F79)+$S79*(1-$G79))*((1+Inputs!$D$7)^CT$2))),((Inputs!$D$8^((1-_xlfn.WEIBULL.DIST(CT$2,$M79,$L79,FALSE))/_xlfn.WEIBULL.DIST(CT$2,$M79,$L79,FALSE))*($T79*(1-$F79)+$S79*(1-$G79))*((1+Inputs!$D$7)^CT$2))))))))</f>
        <v>0</v>
      </c>
      <c r="CU79" s="88">
        <f>MAX(BE79,($E79*IF(CU$2&gt;Inputs!$D$5,0,IF(CU$2&gt;VLOOKUP($H79,Lists!$P$3:$Q$7,2),IF($N79=Lists!$K$3,IF($L79&lt;1,(($U79/$L79)*((1+Inputs!$D$7)^CU$2)),((INT(CU$2/$L79)-INT((CU$2-1)/$L79))*$U79*((1+Inputs!$D$7)^CU$2))),(Inputs!$D$8^((1-_xlfn.WEIBULL.DIST(CU$2,$M79,$L79,FALSE))/_xlfn.WEIBULL.DIST(CU$2,$M79,$L79,FALSE))*$U79*((1+Inputs!$D$7)^CU$2))),IF($N79=Lists!$K$3,IF($L79&lt;1,((($T79*(1-$F79)+$S79*(1-$G79))/$L79)*((1+Inputs!$D$7)^CU$2)),((INT(CU$2/$L79)-INT((CU$2-1)/$L79))*($T79*(1-$F79)+$S79*(1-$G79))*((1+Inputs!$D$7)^CU$2))),((Inputs!$D$8^((1-_xlfn.WEIBULL.DIST(CU$2,$M79,$L79,FALSE))/_xlfn.WEIBULL.DIST(CU$2,$M79,$L79,FALSE))*($T79*(1-$F79)+$S79*(1-$G79))*((1+Inputs!$D$7)^CU$2))))))))</f>
        <v>0</v>
      </c>
      <c r="CV79" s="88">
        <f>MAX(BF79,($E79*IF(CV$2&gt;Inputs!$D$5,0,IF(CV$2&gt;VLOOKUP($H79,Lists!$P$3:$Q$7,2),IF($N79=Lists!$K$3,IF($L79&lt;1,(($U79/$L79)*((1+Inputs!$D$7)^CV$2)),((INT(CV$2/$L79)-INT((CV$2-1)/$L79))*$U79*((1+Inputs!$D$7)^CV$2))),(Inputs!$D$8^((1-_xlfn.WEIBULL.DIST(CV$2,$M79,$L79,FALSE))/_xlfn.WEIBULL.DIST(CV$2,$M79,$L79,FALSE))*$U79*((1+Inputs!$D$7)^CV$2))),IF($N79=Lists!$K$3,IF($L79&lt;1,((($T79*(1-$F79)+$S79*(1-$G79))/$L79)*((1+Inputs!$D$7)^CV$2)),((INT(CV$2/$L79)-INT((CV$2-1)/$L79))*($T79*(1-$F79)+$S79*(1-$G79))*((1+Inputs!$D$7)^CV$2))),((Inputs!$D$8^((1-_xlfn.WEIBULL.DIST(CV$2,$M79,$L79,FALSE))/_xlfn.WEIBULL.DIST(CV$2,$M79,$L79,FALSE))*($T79*(1-$F79)+$S79*(1-$G79))*((1+Inputs!$D$7)^CV$2))))))))</f>
        <v>0</v>
      </c>
      <c r="CW79" s="88">
        <f>MAX(BG79,($E79*IF(CW$2&gt;Inputs!$D$5,0,IF(CW$2&gt;VLOOKUP($H79,Lists!$P$3:$Q$7,2),IF($N79=Lists!$K$3,IF($L79&lt;1,(($U79/$L79)*((1+Inputs!$D$7)^CW$2)),((INT(CW$2/$L79)-INT((CW$2-1)/$L79))*$U79*((1+Inputs!$D$7)^CW$2))),(Inputs!$D$8^((1-_xlfn.WEIBULL.DIST(CW$2,$M79,$L79,FALSE))/_xlfn.WEIBULL.DIST(CW$2,$M79,$L79,FALSE))*$U79*((1+Inputs!$D$7)^CW$2))),IF($N79=Lists!$K$3,IF($L79&lt;1,((($T79*(1-$F79)+$S79*(1-$G79))/$L79)*((1+Inputs!$D$7)^CW$2)),((INT(CW$2/$L79)-INT((CW$2-1)/$L79))*($T79*(1-$F79)+$S79*(1-$G79))*((1+Inputs!$D$7)^CW$2))),((Inputs!$D$8^((1-_xlfn.WEIBULL.DIST(CW$2,$M79,$L79,FALSE))/_xlfn.WEIBULL.DIST(CW$2,$M79,$L79,FALSE))*($T79*(1-$F79)+$S79*(1-$G79))*((1+Inputs!$D$7)^CW$2))))))))</f>
        <v>0</v>
      </c>
      <c r="CX79" s="88">
        <f>MAX(BH79,($E79*IF(CX$2&gt;Inputs!$D$5,0,IF(CX$2&gt;VLOOKUP($H79,Lists!$P$3:$Q$7,2),IF($N79=Lists!$K$3,IF($L79&lt;1,(($U79/$L79)*((1+Inputs!$D$7)^CX$2)),((INT(CX$2/$L79)-INT((CX$2-1)/$L79))*$U79*((1+Inputs!$D$7)^CX$2))),(Inputs!$D$8^((1-_xlfn.WEIBULL.DIST(CX$2,$M79,$L79,FALSE))/_xlfn.WEIBULL.DIST(CX$2,$M79,$L79,FALSE))*$U79*((1+Inputs!$D$7)^CX$2))),IF($N79=Lists!$K$3,IF($L79&lt;1,((($T79*(1-$F79)+$S79*(1-$G79))/$L79)*((1+Inputs!$D$7)^CX$2)),((INT(CX$2/$L79)-INT((CX$2-1)/$L79))*($T79*(1-$F79)+$S79*(1-$G79))*((1+Inputs!$D$7)^CX$2))),((Inputs!$D$8^((1-_xlfn.WEIBULL.DIST(CX$2,$M79,$L79,FALSE))/_xlfn.WEIBULL.DIST(CX$2,$M79,$L79,FALSE))*($T79*(1-$F79)+$S79*(1-$G79))*((1+Inputs!$D$7)^CX$2))))))))</f>
        <v>0</v>
      </c>
      <c r="CY79" s="88">
        <f>MAX(BI79,($E79*IF(CY$2&gt;Inputs!$D$5,0,IF(CY$2&gt;VLOOKUP($H79,Lists!$P$3:$Q$7,2),IF($N79=Lists!$K$3,IF($L79&lt;1,(($U79/$L79)*((1+Inputs!$D$7)^CY$2)),((INT(CY$2/$L79)-INT((CY$2-1)/$L79))*$U79*((1+Inputs!$D$7)^CY$2))),(Inputs!$D$8^((1-_xlfn.WEIBULL.DIST(CY$2,$M79,$L79,FALSE))/_xlfn.WEIBULL.DIST(CY$2,$M79,$L79,FALSE))*$U79*((1+Inputs!$D$7)^CY$2))),IF($N79=Lists!$K$3,IF($L79&lt;1,((($T79*(1-$F79)+$S79*(1-$G79))/$L79)*((1+Inputs!$D$7)^CY$2)),((INT(CY$2/$L79)-INT((CY$2-1)/$L79))*($T79*(1-$F79)+$S79*(1-$G79))*((1+Inputs!$D$7)^CY$2))),((Inputs!$D$8^((1-_xlfn.WEIBULL.DIST(CY$2,$M79,$L79,FALSE))/_xlfn.WEIBULL.DIST(CY$2,$M79,$L79,FALSE))*($T79*(1-$F79)+$S79*(1-$G79))*((1+Inputs!$D$7)^CY$2))))))))</f>
        <v>0</v>
      </c>
      <c r="CZ79" s="88">
        <f>MAX(BJ79,($E79*IF(CZ$2&gt;Inputs!$D$5,0,IF(CZ$2&gt;VLOOKUP($H79,Lists!$P$3:$Q$7,2),IF($N79=Lists!$K$3,IF($L79&lt;1,(($U79/$L79)*((1+Inputs!$D$7)^CZ$2)),((INT(CZ$2/$L79)-INT((CZ$2-1)/$L79))*$U79*((1+Inputs!$D$7)^CZ$2))),(Inputs!$D$8^((1-_xlfn.WEIBULL.DIST(CZ$2,$M79,$L79,FALSE))/_xlfn.WEIBULL.DIST(CZ$2,$M79,$L79,FALSE))*$U79*((1+Inputs!$D$7)^CZ$2))),IF($N79=Lists!$K$3,IF($L79&lt;1,((($T79*(1-$F79)+$S79*(1-$G79))/$L79)*((1+Inputs!$D$7)^CZ$2)),((INT(CZ$2/$L79)-INT((CZ$2-1)/$L79))*($T79*(1-$F79)+$S79*(1-$G79))*((1+Inputs!$D$7)^CZ$2))),((Inputs!$D$8^((1-_xlfn.WEIBULL.DIST(CZ$2,$M79,$L79,FALSE))/_xlfn.WEIBULL.DIST(CZ$2,$M79,$L79,FALSE))*($T79*(1-$F79)+$S79*(1-$G79))*((1+Inputs!$D$7)^CZ$2))))))))</f>
        <v>0</v>
      </c>
      <c r="DA79" s="88">
        <f>MAX(BK79,($E79*IF(DA$2&gt;Inputs!$D$5,0,IF(DA$2&gt;VLOOKUP($H79,Lists!$P$3:$Q$7,2),IF($N79=Lists!$K$3,IF($L79&lt;1,(($U79/$L79)*((1+Inputs!$D$7)^DA$2)),((INT(DA$2/$L79)-INT((DA$2-1)/$L79))*$U79*((1+Inputs!$D$7)^DA$2))),(Inputs!$D$8^((1-_xlfn.WEIBULL.DIST(DA$2,$M79,$L79,FALSE))/_xlfn.WEIBULL.DIST(DA$2,$M79,$L79,FALSE))*$U79*((1+Inputs!$D$7)^DA$2))),IF($N79=Lists!$K$3,IF($L79&lt;1,((($T79*(1-$F79)+$S79*(1-$G79))/$L79)*((1+Inputs!$D$7)^DA$2)),((INT(DA$2/$L79)-INT((DA$2-1)/$L79))*($T79*(1-$F79)+$S79*(1-$G79))*((1+Inputs!$D$7)^DA$2))),((Inputs!$D$8^((1-_xlfn.WEIBULL.DIST(DA$2,$M79,$L79,FALSE))/_xlfn.WEIBULL.DIST(DA$2,$M79,$L79,FALSE))*($T79*(1-$F79)+$S79*(1-$G79))*((1+Inputs!$D$7)^DA$2))))))))</f>
        <v>0</v>
      </c>
      <c r="DB79" s="88">
        <f>MAX(BL79,($E79*IF(DB$2&gt;Inputs!$D$5,0,IF(DB$2&gt;VLOOKUP($H79,Lists!$P$3:$Q$7,2),IF($N79=Lists!$K$3,IF($L79&lt;1,(($U79/$L79)*((1+Inputs!$D$7)^DB$2)),((INT(DB$2/$L79)-INT((DB$2-1)/$L79))*$U79*((1+Inputs!$D$7)^DB$2))),(Inputs!$D$8^((1-_xlfn.WEIBULL.DIST(DB$2,$M79,$L79,FALSE))/_xlfn.WEIBULL.DIST(DB$2,$M79,$L79,FALSE))*$U79*((1+Inputs!$D$7)^DB$2))),IF($N79=Lists!$K$3,IF($L79&lt;1,((($T79*(1-$F79)+$S79*(1-$G79))/$L79)*((1+Inputs!$D$7)^DB$2)),((INT(DB$2/$L79)-INT((DB$2-1)/$L79))*($T79*(1-$F79)+$S79*(1-$G79))*((1+Inputs!$D$7)^DB$2))),((Inputs!$D$8^((1-_xlfn.WEIBULL.DIST(DB$2,$M79,$L79,FALSE))/_xlfn.WEIBULL.DIST(DB$2,$M79,$L79,FALSE))*($T79*(1-$F79)+$S79*(1-$G79))*((1+Inputs!$D$7)^DB$2))))))))</f>
        <v>0</v>
      </c>
      <c r="DC79" s="88">
        <f>MAX(BM79,($E79*IF(DC$2&gt;Inputs!$D$5,0,IF(DC$2&gt;VLOOKUP($H79,Lists!$P$3:$Q$7,2),IF($N79=Lists!$K$3,IF($L79&lt;1,(($U79/$L79)*((1+Inputs!$D$7)^DC$2)),((INT(DC$2/$L79)-INT((DC$2-1)/$L79))*$U79*((1+Inputs!$D$7)^DC$2))),(Inputs!$D$8^((1-_xlfn.WEIBULL.DIST(DC$2,$M79,$L79,FALSE))/_xlfn.WEIBULL.DIST(DC$2,$M79,$L79,FALSE))*$U79*((1+Inputs!$D$7)^DC$2))),IF($N79=Lists!$K$3,IF($L79&lt;1,((($T79*(1-$F79)+$S79*(1-$G79))/$L79)*((1+Inputs!$D$7)^DC$2)),((INT(DC$2/$L79)-INT((DC$2-1)/$L79))*($T79*(1-$F79)+$S79*(1-$G79))*((1+Inputs!$D$7)^DC$2))),((Inputs!$D$8^((1-_xlfn.WEIBULL.DIST(DC$2,$M79,$L79,FALSE))/_xlfn.WEIBULL.DIST(DC$2,$M79,$L79,FALSE))*($T79*(1-$F79)+$S79*(1-$G79))*((1+Inputs!$D$7)^DC$2))))))))</f>
        <v>0</v>
      </c>
      <c r="DD79" s="88">
        <f>MAX(BN79,($E79*IF(DD$2&gt;Inputs!$D$5,0,IF(DD$2&gt;VLOOKUP($H79,Lists!$P$3:$Q$7,2),IF($N79=Lists!$K$3,IF($L79&lt;1,(($U79/$L79)*((1+Inputs!$D$7)^DD$2)),((INT(DD$2/$L79)-INT((DD$2-1)/$L79))*$U79*((1+Inputs!$D$7)^DD$2))),(Inputs!$D$8^((1-_xlfn.WEIBULL.DIST(DD$2,$M79,$L79,FALSE))/_xlfn.WEIBULL.DIST(DD$2,$M79,$L79,FALSE))*$U79*((1+Inputs!$D$7)^DD$2))),IF($N79=Lists!$K$3,IF($L79&lt;1,((($T79*(1-$F79)+$S79*(1-$G79))/$L79)*((1+Inputs!$D$7)^DD$2)),((INT(DD$2/$L79)-INT((DD$2-1)/$L79))*($T79*(1-$F79)+$S79*(1-$G79))*((1+Inputs!$D$7)^DD$2))),((Inputs!$D$8^((1-_xlfn.WEIBULL.DIST(DD$2,$M79,$L79,FALSE))/_xlfn.WEIBULL.DIST(DD$2,$M79,$L79,FALSE))*($T79*(1-$F79)+$S79*(1-$G79))*((1+Inputs!$D$7)^DD$2))))))))</f>
        <v>0</v>
      </c>
    </row>
    <row r="80" spans="1:108" s="1" customFormat="1" ht="16">
      <c r="A80" s="57" t="s">
        <v>137</v>
      </c>
      <c r="B80" s="13" t="s">
        <v>279</v>
      </c>
      <c r="C80" s="13" t="s">
        <v>90</v>
      </c>
      <c r="D80" s="13" t="s">
        <v>123</v>
      </c>
      <c r="E80" s="48">
        <f>IF(Inputs!$D$30=Lists!$M$4,1,0)</f>
        <v>1</v>
      </c>
      <c r="F80" s="48">
        <v>0</v>
      </c>
      <c r="G80" s="48">
        <v>0</v>
      </c>
      <c r="H80" s="105" t="s">
        <v>350</v>
      </c>
      <c r="I80" s="14"/>
      <c r="J80" s="14" t="s">
        <v>246</v>
      </c>
      <c r="K80" s="13">
        <f>VLOOKUP(J80,'Labor Rates'!$A$1:$F$16,2)</f>
        <v>33.119999999999997</v>
      </c>
      <c r="L80" s="15">
        <v>1</v>
      </c>
      <c r="M80" s="15">
        <v>1</v>
      </c>
      <c r="N80" s="13" t="s">
        <v>236</v>
      </c>
      <c r="O80" s="61">
        <f>Inputs!$D$29</f>
        <v>157</v>
      </c>
      <c r="P80" s="15">
        <v>0.08</v>
      </c>
      <c r="Q80" s="15">
        <f t="shared" si="14"/>
        <v>12.56</v>
      </c>
      <c r="R80" s="4">
        <v>0</v>
      </c>
      <c r="S80" s="53">
        <f t="shared" si="15"/>
        <v>415.98719999999997</v>
      </c>
      <c r="T80" s="53">
        <f t="shared" si="16"/>
        <v>0</v>
      </c>
      <c r="U80" s="54">
        <f t="shared" si="17"/>
        <v>415.98719999999997</v>
      </c>
      <c r="V80" s="65"/>
      <c r="W80" s="58"/>
      <c r="X80" s="64">
        <f t="shared" si="18"/>
        <v>515.47713633083333</v>
      </c>
      <c r="Y80" s="64">
        <f>NPV(Inputs!$D$6,AA80:BN80)</f>
        <v>5920.9462300783234</v>
      </c>
      <c r="Z80" s="67">
        <f t="shared" si="19"/>
        <v>2.7926073068914661E-3</v>
      </c>
      <c r="AA80" s="88">
        <f>$E80*IF(AA$2&gt;Inputs!$D$5,0,IF(AA$2&gt;VLOOKUP($H80,Lists!$P$3:$Q$7,2),IF($N80=Lists!$K$3,IF($L80&lt;1,(($U80/$L80)*((1+Inputs!$D$7)^AA$2)),((INT(AA$2/$L80)-INT((AA$2-1)/$L80))*$U80*((1+Inputs!$D$7)^AA$2))),(_xlfn.WEIBULL.DIST(AA$2,$M80,$L80,FALSE)*$U80*((1+Inputs!$D$7)^AA$2))),IF($N80=Lists!$K$3,IF($L80&lt;1,((($T80*(1-$F80)+$S80*(1-$G80))/$L80)*((1+Inputs!$D$7)^AA$2)),((INT(AA$2/$L80)-INT((AA$2-1)/$L80))*($T80*(1-$F80)+$S80*(1-$G80))*((1+Inputs!$D$7)^AA$2))),((_xlfn.WEIBULL.DIST(AA$2,$M80,$L80,FALSE)*($T80*(1-$F80)+$S80*(1-$G80))*((1+Inputs!$D$7)^AA$2))))))</f>
        <v>424.30694399999999</v>
      </c>
      <c r="AB80" s="88">
        <f>$E80*IF(AB$2&gt;Inputs!$D$5,0,IF(AB$2&gt;VLOOKUP($H80,Lists!$P$3:$Q$7,2),IF($N80=Lists!$K$3,IF($L80&lt;1,(($U80/$L80)*((1+Inputs!$D$7)^AB$2)),((INT(AB$2/$L80)-INT((AB$2-1)/$L80))*$U80*((1+Inputs!$D$7)^AB$2))),(_xlfn.WEIBULL.DIST(AB$2,$M80,$L80,FALSE)*$U80*((1+Inputs!$D$7)^AB$2))),IF($N80=Lists!$K$3,IF($L80&lt;1,((($T80*(1-$F80)+$S80*(1-$G80))/$L80)*((1+Inputs!$D$7)^AB$2)),((INT(AB$2/$L80)-INT((AB$2-1)/$L80))*($T80*(1-$F80)+$S80*(1-$G80))*((1+Inputs!$D$7)^AB$2))),((_xlfn.WEIBULL.DIST(AB$2,$M80,$L80,FALSE)*($T80*(1-$F80)+$S80*(1-$G80))*((1+Inputs!$D$7)^AB$2))))))</f>
        <v>432.79308287999999</v>
      </c>
      <c r="AC80" s="88">
        <f>$E80*IF(AC$2&gt;Inputs!$D$5,0,IF(AC$2&gt;VLOOKUP($H80,Lists!$P$3:$Q$7,2),IF($N80=Lists!$K$3,IF($L80&lt;1,(($U80/$L80)*((1+Inputs!$D$7)^AC$2)),((INT(AC$2/$L80)-INT((AC$2-1)/$L80))*$U80*((1+Inputs!$D$7)^AC$2))),(_xlfn.WEIBULL.DIST(AC$2,$M80,$L80,FALSE)*$U80*((1+Inputs!$D$7)^AC$2))),IF($N80=Lists!$K$3,IF($L80&lt;1,((($T80*(1-$F80)+$S80*(1-$G80))/$L80)*((1+Inputs!$D$7)^AC$2)),((INT(AC$2/$L80)-INT((AC$2-1)/$L80))*($T80*(1-$F80)+$S80*(1-$G80))*((1+Inputs!$D$7)^AC$2))),((_xlfn.WEIBULL.DIST(AC$2,$M80,$L80,FALSE)*($T80*(1-$F80)+$S80*(1-$G80))*((1+Inputs!$D$7)^AC$2))))))</f>
        <v>441.44894453759991</v>
      </c>
      <c r="AD80" s="88">
        <f>$E80*IF(AD$2&gt;Inputs!$D$5,0,IF(AD$2&gt;VLOOKUP($H80,Lists!$P$3:$Q$7,2),IF($N80=Lists!$K$3,IF($L80&lt;1,(($U80/$L80)*((1+Inputs!$D$7)^AD$2)),((INT(AD$2/$L80)-INT((AD$2-1)/$L80))*$U80*((1+Inputs!$D$7)^AD$2))),(_xlfn.WEIBULL.DIST(AD$2,$M80,$L80,FALSE)*$U80*((1+Inputs!$D$7)^AD$2))),IF($N80=Lists!$K$3,IF($L80&lt;1,((($T80*(1-$F80)+$S80*(1-$G80))/$L80)*((1+Inputs!$D$7)^AD$2)),((INT(AD$2/$L80)-INT((AD$2-1)/$L80))*($T80*(1-$F80)+$S80*(1-$G80))*((1+Inputs!$D$7)^AD$2))),((_xlfn.WEIBULL.DIST(AD$2,$M80,$L80,FALSE)*($T80*(1-$F80)+$S80*(1-$G80))*((1+Inputs!$D$7)^AD$2))))))</f>
        <v>450.27792342835198</v>
      </c>
      <c r="AE80" s="88">
        <f>$E80*IF(AE$2&gt;Inputs!$D$5,0,IF(AE$2&gt;VLOOKUP($H80,Lists!$P$3:$Q$7,2),IF($N80=Lists!$K$3,IF($L80&lt;1,(($U80/$L80)*((1+Inputs!$D$7)^AE$2)),((INT(AE$2/$L80)-INT((AE$2-1)/$L80))*$U80*((1+Inputs!$D$7)^AE$2))),(_xlfn.WEIBULL.DIST(AE$2,$M80,$L80,FALSE)*$U80*((1+Inputs!$D$7)^AE$2))),IF($N80=Lists!$K$3,IF($L80&lt;1,((($T80*(1-$F80)+$S80*(1-$G80))/$L80)*((1+Inputs!$D$7)^AE$2)),((INT(AE$2/$L80)-INT((AE$2-1)/$L80))*($T80*(1-$F80)+$S80*(1-$G80))*((1+Inputs!$D$7)^AE$2))),((_xlfn.WEIBULL.DIST(AE$2,$M80,$L80,FALSE)*($T80*(1-$F80)+$S80*(1-$G80))*((1+Inputs!$D$7)^AE$2))))))</f>
        <v>459.283481896919</v>
      </c>
      <c r="AF80" s="88">
        <f>$E80*IF(AF$2&gt;Inputs!$D$5,0,IF(AF$2&gt;VLOOKUP($H80,Lists!$P$3:$Q$7,2),IF($N80=Lists!$K$3,IF($L80&lt;1,(($U80/$L80)*((1+Inputs!$D$7)^AF$2)),((INT(AF$2/$L80)-INT((AF$2-1)/$L80))*$U80*((1+Inputs!$D$7)^AF$2))),(_xlfn.WEIBULL.DIST(AF$2,$M80,$L80,FALSE)*$U80*((1+Inputs!$D$7)^AF$2))),IF($N80=Lists!$K$3,IF($L80&lt;1,((($T80*(1-$F80)+$S80*(1-$G80))/$L80)*((1+Inputs!$D$7)^AF$2)),((INT(AF$2/$L80)-INT((AF$2-1)/$L80))*($T80*(1-$F80)+$S80*(1-$G80))*((1+Inputs!$D$7)^AF$2))),((_xlfn.WEIBULL.DIST(AF$2,$M80,$L80,FALSE)*($T80*(1-$F80)+$S80*(1-$G80))*((1+Inputs!$D$7)^AF$2))))))</f>
        <v>468.46915153485742</v>
      </c>
      <c r="AG80" s="88">
        <f>$E80*IF(AG$2&gt;Inputs!$D$5,0,IF(AG$2&gt;VLOOKUP($H80,Lists!$P$3:$Q$7,2),IF($N80=Lists!$K$3,IF($L80&lt;1,(($U80/$L80)*((1+Inputs!$D$7)^AG$2)),((INT(AG$2/$L80)-INT((AG$2-1)/$L80))*$U80*((1+Inputs!$D$7)^AG$2))),(_xlfn.WEIBULL.DIST(AG$2,$M80,$L80,FALSE)*$U80*((1+Inputs!$D$7)^AG$2))),IF($N80=Lists!$K$3,IF($L80&lt;1,((($T80*(1-$F80)+$S80*(1-$G80))/$L80)*((1+Inputs!$D$7)^AG$2)),((INT(AG$2/$L80)-INT((AG$2-1)/$L80))*($T80*(1-$F80)+$S80*(1-$G80))*((1+Inputs!$D$7)^AG$2))),((_xlfn.WEIBULL.DIST(AG$2,$M80,$L80,FALSE)*($T80*(1-$F80)+$S80*(1-$G80))*((1+Inputs!$D$7)^AG$2))))))</f>
        <v>477.83853456555448</v>
      </c>
      <c r="AH80" s="88">
        <f>$E80*IF(AH$2&gt;Inputs!$D$5,0,IF(AH$2&gt;VLOOKUP($H80,Lists!$P$3:$Q$7,2),IF($N80=Lists!$K$3,IF($L80&lt;1,(($U80/$L80)*((1+Inputs!$D$7)^AH$2)),((INT(AH$2/$L80)-INT((AH$2-1)/$L80))*$U80*((1+Inputs!$D$7)^AH$2))),(_xlfn.WEIBULL.DIST(AH$2,$M80,$L80,FALSE)*$U80*((1+Inputs!$D$7)^AH$2))),IF($N80=Lists!$K$3,IF($L80&lt;1,((($T80*(1-$F80)+$S80*(1-$G80))/$L80)*((1+Inputs!$D$7)^AH$2)),((INT(AH$2/$L80)-INT((AH$2-1)/$L80))*($T80*(1-$F80)+$S80*(1-$G80))*((1+Inputs!$D$7)^AH$2))),((_xlfn.WEIBULL.DIST(AH$2,$M80,$L80,FALSE)*($T80*(1-$F80)+$S80*(1-$G80))*((1+Inputs!$D$7)^AH$2))))))</f>
        <v>487.39530525686558</v>
      </c>
      <c r="AI80" s="88">
        <f>$E80*IF(AI$2&gt;Inputs!$D$5,0,IF(AI$2&gt;VLOOKUP($H80,Lists!$P$3:$Q$7,2),IF($N80=Lists!$K$3,IF($L80&lt;1,(($U80/$L80)*((1+Inputs!$D$7)^AI$2)),((INT(AI$2/$L80)-INT((AI$2-1)/$L80))*$U80*((1+Inputs!$D$7)^AI$2))),(_xlfn.WEIBULL.DIST(AI$2,$M80,$L80,FALSE)*$U80*((1+Inputs!$D$7)^AI$2))),IF($N80=Lists!$K$3,IF($L80&lt;1,((($T80*(1-$F80)+$S80*(1-$G80))/$L80)*((1+Inputs!$D$7)^AI$2)),((INT(AI$2/$L80)-INT((AI$2-1)/$L80))*($T80*(1-$F80)+$S80*(1-$G80))*((1+Inputs!$D$7)^AI$2))),((_xlfn.WEIBULL.DIST(AI$2,$M80,$L80,FALSE)*($T80*(1-$F80)+$S80*(1-$G80))*((1+Inputs!$D$7)^AI$2))))))</f>
        <v>497.14321136200289</v>
      </c>
      <c r="AJ80" s="88">
        <f>$E80*IF(AJ$2&gt;Inputs!$D$5,0,IF(AJ$2&gt;VLOOKUP($H80,Lists!$P$3:$Q$7,2),IF($N80=Lists!$K$3,IF($L80&lt;1,(($U80/$L80)*((1+Inputs!$D$7)^AJ$2)),((INT(AJ$2/$L80)-INT((AJ$2-1)/$L80))*$U80*((1+Inputs!$D$7)^AJ$2))),(_xlfn.WEIBULL.DIST(AJ$2,$M80,$L80,FALSE)*$U80*((1+Inputs!$D$7)^AJ$2))),IF($N80=Lists!$K$3,IF($L80&lt;1,((($T80*(1-$F80)+$S80*(1-$G80))/$L80)*((1+Inputs!$D$7)^AJ$2)),((INT(AJ$2/$L80)-INT((AJ$2-1)/$L80))*($T80*(1-$F80)+$S80*(1-$G80))*((1+Inputs!$D$7)^AJ$2))),((_xlfn.WEIBULL.DIST(AJ$2,$M80,$L80,FALSE)*($T80*(1-$F80)+$S80*(1-$G80))*((1+Inputs!$D$7)^AJ$2))))))</f>
        <v>507.08607558924297</v>
      </c>
      <c r="AK80" s="88">
        <f>$E80*IF(AK$2&gt;Inputs!$D$5,0,IF(AK$2&gt;VLOOKUP($H80,Lists!$P$3:$Q$7,2),IF($N80=Lists!$K$3,IF($L80&lt;1,(($U80/$L80)*((1+Inputs!$D$7)^AK$2)),((INT(AK$2/$L80)-INT((AK$2-1)/$L80))*$U80*((1+Inputs!$D$7)^AK$2))),(_xlfn.WEIBULL.DIST(AK$2,$M80,$L80,FALSE)*$U80*((1+Inputs!$D$7)^AK$2))),IF($N80=Lists!$K$3,IF($L80&lt;1,((($T80*(1-$F80)+$S80*(1-$G80))/$L80)*((1+Inputs!$D$7)^AK$2)),((INT(AK$2/$L80)-INT((AK$2-1)/$L80))*($T80*(1-$F80)+$S80*(1-$G80))*((1+Inputs!$D$7)^AK$2))),((_xlfn.WEIBULL.DIST(AK$2,$M80,$L80,FALSE)*($T80*(1-$F80)+$S80*(1-$G80))*((1+Inputs!$D$7)^AK$2))))))</f>
        <v>517.2277971010277</v>
      </c>
      <c r="AL80" s="88">
        <f>$E80*IF(AL$2&gt;Inputs!$D$5,0,IF(AL$2&gt;VLOOKUP($H80,Lists!$P$3:$Q$7,2),IF($N80=Lists!$K$3,IF($L80&lt;1,(($U80/$L80)*((1+Inputs!$D$7)^AL$2)),((INT(AL$2/$L80)-INT((AL$2-1)/$L80))*$U80*((1+Inputs!$D$7)^AL$2))),(_xlfn.WEIBULL.DIST(AL$2,$M80,$L80,FALSE)*$U80*((1+Inputs!$D$7)^AL$2))),IF($N80=Lists!$K$3,IF($L80&lt;1,((($T80*(1-$F80)+$S80*(1-$G80))/$L80)*((1+Inputs!$D$7)^AL$2)),((INT(AL$2/$L80)-INT((AL$2-1)/$L80))*($T80*(1-$F80)+$S80*(1-$G80))*((1+Inputs!$D$7)^AL$2))),((_xlfn.WEIBULL.DIST(AL$2,$M80,$L80,FALSE)*($T80*(1-$F80)+$S80*(1-$G80))*((1+Inputs!$D$7)^AL$2))))))</f>
        <v>527.57235304304845</v>
      </c>
      <c r="AM80" s="88">
        <f>$E80*IF(AM$2&gt;Inputs!$D$5,0,IF(AM$2&gt;VLOOKUP($H80,Lists!$P$3:$Q$7,2),IF($N80=Lists!$K$3,IF($L80&lt;1,(($U80/$L80)*((1+Inputs!$D$7)^AM$2)),((INT(AM$2/$L80)-INT((AM$2-1)/$L80))*$U80*((1+Inputs!$D$7)^AM$2))),(_xlfn.WEIBULL.DIST(AM$2,$M80,$L80,FALSE)*$U80*((1+Inputs!$D$7)^AM$2))),IF($N80=Lists!$K$3,IF($L80&lt;1,((($T80*(1-$F80)+$S80*(1-$G80))/$L80)*((1+Inputs!$D$7)^AM$2)),((INT(AM$2/$L80)-INT((AM$2-1)/$L80))*($T80*(1-$F80)+$S80*(1-$G80))*((1+Inputs!$D$7)^AM$2))),((_xlfn.WEIBULL.DIST(AM$2,$M80,$L80,FALSE)*($T80*(1-$F80)+$S80*(1-$G80))*((1+Inputs!$D$7)^AM$2))))))</f>
        <v>538.12380010390928</v>
      </c>
      <c r="AN80" s="88">
        <f>$E80*IF(AN$2&gt;Inputs!$D$5,0,IF(AN$2&gt;VLOOKUP($H80,Lists!$P$3:$Q$7,2),IF($N80=Lists!$K$3,IF($L80&lt;1,(($U80/$L80)*((1+Inputs!$D$7)^AN$2)),((INT(AN$2/$L80)-INT((AN$2-1)/$L80))*$U80*((1+Inputs!$D$7)^AN$2))),(_xlfn.WEIBULL.DIST(AN$2,$M80,$L80,FALSE)*$U80*((1+Inputs!$D$7)^AN$2))),IF($N80=Lists!$K$3,IF($L80&lt;1,((($T80*(1-$F80)+$S80*(1-$G80))/$L80)*((1+Inputs!$D$7)^AN$2)),((INT(AN$2/$L80)-INT((AN$2-1)/$L80))*($T80*(1-$F80)+$S80*(1-$G80))*((1+Inputs!$D$7)^AN$2))),((_xlfn.WEIBULL.DIST(AN$2,$M80,$L80,FALSE)*($T80*(1-$F80)+$S80*(1-$G80))*((1+Inputs!$D$7)^AN$2))))))</f>
        <v>548.88627610598758</v>
      </c>
      <c r="AO80" s="88">
        <f>$E80*IF(AO$2&gt;Inputs!$D$5,0,IF(AO$2&gt;VLOOKUP($H80,Lists!$P$3:$Q$7,2),IF($N80=Lists!$K$3,IF($L80&lt;1,(($U80/$L80)*((1+Inputs!$D$7)^AO$2)),((INT(AO$2/$L80)-INT((AO$2-1)/$L80))*$U80*((1+Inputs!$D$7)^AO$2))),(_xlfn.WEIBULL.DIST(AO$2,$M80,$L80,FALSE)*$U80*((1+Inputs!$D$7)^AO$2))),IF($N80=Lists!$K$3,IF($L80&lt;1,((($T80*(1-$F80)+$S80*(1-$G80))/$L80)*((1+Inputs!$D$7)^AO$2)),((INT(AO$2/$L80)-INT((AO$2-1)/$L80))*($T80*(1-$F80)+$S80*(1-$G80))*((1+Inputs!$D$7)^AO$2))),((_xlfn.WEIBULL.DIST(AO$2,$M80,$L80,FALSE)*($T80*(1-$F80)+$S80*(1-$G80))*((1+Inputs!$D$7)^AO$2))))))</f>
        <v>559.86400162810719</v>
      </c>
      <c r="AP80" s="88">
        <f>$E80*IF(AP$2&gt;Inputs!$D$5,0,IF(AP$2&gt;VLOOKUP($H80,Lists!$P$3:$Q$7,2),IF($N80=Lists!$K$3,IF($L80&lt;1,(($U80/$L80)*((1+Inputs!$D$7)^AP$2)),((INT(AP$2/$L80)-INT((AP$2-1)/$L80))*$U80*((1+Inputs!$D$7)^AP$2))),(_xlfn.WEIBULL.DIST(AP$2,$M80,$L80,FALSE)*$U80*((1+Inputs!$D$7)^AP$2))),IF($N80=Lists!$K$3,IF($L80&lt;1,((($T80*(1-$F80)+$S80*(1-$G80))/$L80)*((1+Inputs!$D$7)^AP$2)),((INT(AP$2/$L80)-INT((AP$2-1)/$L80))*($T80*(1-$F80)+$S80*(1-$G80))*((1+Inputs!$D$7)^AP$2))),((_xlfn.WEIBULL.DIST(AP$2,$M80,$L80,FALSE)*($T80*(1-$F80)+$S80*(1-$G80))*((1+Inputs!$D$7)^AP$2))))))</f>
        <v>571.06128166066947</v>
      </c>
      <c r="AQ80" s="88">
        <f>$E80*IF(AQ$2&gt;Inputs!$D$5,0,IF(AQ$2&gt;VLOOKUP($H80,Lists!$P$3:$Q$7,2),IF($N80=Lists!$K$3,IF($L80&lt;1,(($U80/$L80)*((1+Inputs!$D$7)^AQ$2)),((INT(AQ$2/$L80)-INT((AQ$2-1)/$L80))*$U80*((1+Inputs!$D$7)^AQ$2))),(_xlfn.WEIBULL.DIST(AQ$2,$M80,$L80,FALSE)*$U80*((1+Inputs!$D$7)^AQ$2))),IF($N80=Lists!$K$3,IF($L80&lt;1,((($T80*(1-$F80)+$S80*(1-$G80))/$L80)*((1+Inputs!$D$7)^AQ$2)),((INT(AQ$2/$L80)-INT((AQ$2-1)/$L80))*($T80*(1-$F80)+$S80*(1-$G80))*((1+Inputs!$D$7)^AQ$2))),((_xlfn.WEIBULL.DIST(AQ$2,$M80,$L80,FALSE)*($T80*(1-$F80)+$S80*(1-$G80))*((1+Inputs!$D$7)^AQ$2))))))</f>
        <v>582.4825072938828</v>
      </c>
      <c r="AR80" s="88">
        <f>$E80*IF(AR$2&gt;Inputs!$D$5,0,IF(AR$2&gt;VLOOKUP($H80,Lists!$P$3:$Q$7,2),IF($N80=Lists!$K$3,IF($L80&lt;1,(($U80/$L80)*((1+Inputs!$D$7)^AR$2)),((INT(AR$2/$L80)-INT((AR$2-1)/$L80))*$U80*((1+Inputs!$D$7)^AR$2))),(_xlfn.WEIBULL.DIST(AR$2,$M80,$L80,FALSE)*$U80*((1+Inputs!$D$7)^AR$2))),IF($N80=Lists!$K$3,IF($L80&lt;1,((($T80*(1-$F80)+$S80*(1-$G80))/$L80)*((1+Inputs!$D$7)^AR$2)),((INT(AR$2/$L80)-INT((AR$2-1)/$L80))*($T80*(1-$F80)+$S80*(1-$G80))*((1+Inputs!$D$7)^AR$2))),((_xlfn.WEIBULL.DIST(AR$2,$M80,$L80,FALSE)*($T80*(1-$F80)+$S80*(1-$G80))*((1+Inputs!$D$7)^AR$2))))))</f>
        <v>594.13215743976048</v>
      </c>
      <c r="AS80" s="88">
        <f>$E80*IF(AS$2&gt;Inputs!$D$5,0,IF(AS$2&gt;VLOOKUP($H80,Lists!$P$3:$Q$7,2),IF($N80=Lists!$K$3,IF($L80&lt;1,(($U80/$L80)*((1+Inputs!$D$7)^AS$2)),((INT(AS$2/$L80)-INT((AS$2-1)/$L80))*$U80*((1+Inputs!$D$7)^AS$2))),(_xlfn.WEIBULL.DIST(AS$2,$M80,$L80,FALSE)*$U80*((1+Inputs!$D$7)^AS$2))),IF($N80=Lists!$K$3,IF($L80&lt;1,((($T80*(1-$F80)+$S80*(1-$G80))/$L80)*((1+Inputs!$D$7)^AS$2)),((INT(AS$2/$L80)-INT((AS$2-1)/$L80))*($T80*(1-$F80)+$S80*(1-$G80))*((1+Inputs!$D$7)^AS$2))),((_xlfn.WEIBULL.DIST(AS$2,$M80,$L80,FALSE)*($T80*(1-$F80)+$S80*(1-$G80))*((1+Inputs!$D$7)^AS$2))))))</f>
        <v>606.01480058855566</v>
      </c>
      <c r="AT80" s="88">
        <f>$E80*IF(AT$2&gt;Inputs!$D$5,0,IF(AT$2&gt;VLOOKUP($H80,Lists!$P$3:$Q$7,2),IF($N80=Lists!$K$3,IF($L80&lt;1,(($U80/$L80)*((1+Inputs!$D$7)^AT$2)),((INT(AT$2/$L80)-INT((AT$2-1)/$L80))*$U80*((1+Inputs!$D$7)^AT$2))),(_xlfn.WEIBULL.DIST(AT$2,$M80,$L80,FALSE)*$U80*((1+Inputs!$D$7)^AT$2))),IF($N80=Lists!$K$3,IF($L80&lt;1,((($T80*(1-$F80)+$S80*(1-$G80))/$L80)*((1+Inputs!$D$7)^AT$2)),((INT(AT$2/$L80)-INT((AT$2-1)/$L80))*($T80*(1-$F80)+$S80*(1-$G80))*((1+Inputs!$D$7)^AT$2))),((_xlfn.WEIBULL.DIST(AT$2,$M80,$L80,FALSE)*($T80*(1-$F80)+$S80*(1-$G80))*((1+Inputs!$D$7)^AT$2))))))</f>
        <v>618.13509660032685</v>
      </c>
      <c r="AU80" s="88">
        <f>$E80*IF(AU$2&gt;Inputs!$D$5,0,IF(AU$2&gt;VLOOKUP($H80,Lists!$P$3:$Q$7,2),IF($N80=Lists!$K$3,IF($L80&lt;1,(($U80/$L80)*((1+Inputs!$D$7)^AU$2)),((INT(AU$2/$L80)-INT((AU$2-1)/$L80))*$U80*((1+Inputs!$D$7)^AU$2))),(_xlfn.WEIBULL.DIST(AU$2,$M80,$L80,FALSE)*$U80*((1+Inputs!$D$7)^AU$2))),IF($N80=Lists!$K$3,IF($L80&lt;1,((($T80*(1-$F80)+$S80*(1-$G80))/$L80)*((1+Inputs!$D$7)^AU$2)),((INT(AU$2/$L80)-INT((AU$2-1)/$L80))*($T80*(1-$F80)+$S80*(1-$G80))*((1+Inputs!$D$7)^AU$2))),((_xlfn.WEIBULL.DIST(AU$2,$M80,$L80,FALSE)*($T80*(1-$F80)+$S80*(1-$G80))*((1+Inputs!$D$7)^AU$2))))))</f>
        <v>630.49779853233326</v>
      </c>
      <c r="AV80" s="88">
        <f>$E80*IF(AV$2&gt;Inputs!$D$5,0,IF(AV$2&gt;VLOOKUP($H80,Lists!$P$3:$Q$7,2),IF($N80=Lists!$K$3,IF($L80&lt;1,(($U80/$L80)*((1+Inputs!$D$7)^AV$2)),((INT(AV$2/$L80)-INT((AV$2-1)/$L80))*$U80*((1+Inputs!$D$7)^AV$2))),(_xlfn.WEIBULL.DIST(AV$2,$M80,$L80,FALSE)*$U80*((1+Inputs!$D$7)^AV$2))),IF($N80=Lists!$K$3,IF($L80&lt;1,((($T80*(1-$F80)+$S80*(1-$G80))/$L80)*((1+Inputs!$D$7)^AV$2)),((INT(AV$2/$L80)-INT((AV$2-1)/$L80))*($T80*(1-$F80)+$S80*(1-$G80))*((1+Inputs!$D$7)^AV$2))),((_xlfn.WEIBULL.DIST(AV$2,$M80,$L80,FALSE)*($T80*(1-$F80)+$S80*(1-$G80))*((1+Inputs!$D$7)^AV$2))))))</f>
        <v>643.10775450298001</v>
      </c>
      <c r="AW80" s="88">
        <f>$E80*IF(AW$2&gt;Inputs!$D$5,0,IF(AW$2&gt;VLOOKUP($H80,Lists!$P$3:$Q$7,2),IF($N80=Lists!$K$3,IF($L80&lt;1,(($U80/$L80)*((1+Inputs!$D$7)^AW$2)),((INT(AW$2/$L80)-INT((AW$2-1)/$L80))*$U80*((1+Inputs!$D$7)^AW$2))),(_xlfn.WEIBULL.DIST(AW$2,$M80,$L80,FALSE)*$U80*((1+Inputs!$D$7)^AW$2))),IF($N80=Lists!$K$3,IF($L80&lt;1,((($T80*(1-$F80)+$S80*(1-$G80))/$L80)*((1+Inputs!$D$7)^AW$2)),((INT(AW$2/$L80)-INT((AW$2-1)/$L80))*($T80*(1-$F80)+$S80*(1-$G80))*((1+Inputs!$D$7)^AW$2))),((_xlfn.WEIBULL.DIST(AW$2,$M80,$L80,FALSE)*($T80*(1-$F80)+$S80*(1-$G80))*((1+Inputs!$D$7)^AW$2))))))</f>
        <v>655.96990959303946</v>
      </c>
      <c r="AX80" s="88">
        <f>$E80*IF(AX$2&gt;Inputs!$D$5,0,IF(AX$2&gt;VLOOKUP($H80,Lists!$P$3:$Q$7,2),IF($N80=Lists!$K$3,IF($L80&lt;1,(($U80/$L80)*((1+Inputs!$D$7)^AX$2)),((INT(AX$2/$L80)-INT((AX$2-1)/$L80))*$U80*((1+Inputs!$D$7)^AX$2))),(_xlfn.WEIBULL.DIST(AX$2,$M80,$L80,FALSE)*$U80*((1+Inputs!$D$7)^AX$2))),IF($N80=Lists!$K$3,IF($L80&lt;1,((($T80*(1-$F80)+$S80*(1-$G80))/$L80)*((1+Inputs!$D$7)^AX$2)),((INT(AX$2/$L80)-INT((AX$2-1)/$L80))*($T80*(1-$F80)+$S80*(1-$G80))*((1+Inputs!$D$7)^AX$2))),((_xlfn.WEIBULL.DIST(AX$2,$M80,$L80,FALSE)*($T80*(1-$F80)+$S80*(1-$G80))*((1+Inputs!$D$7)^AX$2))))))</f>
        <v>669.08930778490026</v>
      </c>
      <c r="AY80" s="88">
        <f>$E80*IF(AY$2&gt;Inputs!$D$5,0,IF(AY$2&gt;VLOOKUP($H80,Lists!$P$3:$Q$7,2),IF($N80=Lists!$K$3,IF($L80&lt;1,(($U80/$L80)*((1+Inputs!$D$7)^AY$2)),((INT(AY$2/$L80)-INT((AY$2-1)/$L80))*$U80*((1+Inputs!$D$7)^AY$2))),(_xlfn.WEIBULL.DIST(AY$2,$M80,$L80,FALSE)*$U80*((1+Inputs!$D$7)^AY$2))),IF($N80=Lists!$K$3,IF($L80&lt;1,((($T80*(1-$F80)+$S80*(1-$G80))/$L80)*((1+Inputs!$D$7)^AY$2)),((INT(AY$2/$L80)-INT((AY$2-1)/$L80))*($T80*(1-$F80)+$S80*(1-$G80))*((1+Inputs!$D$7)^AY$2))),((_xlfn.WEIBULL.DIST(AY$2,$M80,$L80,FALSE)*($T80*(1-$F80)+$S80*(1-$G80))*((1+Inputs!$D$7)^AY$2))))))</f>
        <v>682.47109394059828</v>
      </c>
      <c r="AZ80" s="88">
        <f>$E80*IF(AZ$2&gt;Inputs!$D$5,0,IF(AZ$2&gt;VLOOKUP($H80,Lists!$P$3:$Q$7,2),IF($N80=Lists!$K$3,IF($L80&lt;1,(($U80/$L80)*((1+Inputs!$D$7)^AZ$2)),((INT(AZ$2/$L80)-INT((AZ$2-1)/$L80))*$U80*((1+Inputs!$D$7)^AZ$2))),(_xlfn.WEIBULL.DIST(AZ$2,$M80,$L80,FALSE)*$U80*((1+Inputs!$D$7)^AZ$2))),IF($N80=Lists!$K$3,IF($L80&lt;1,((($T80*(1-$F80)+$S80*(1-$G80))/$L80)*((1+Inputs!$D$7)^AZ$2)),((INT(AZ$2/$L80)-INT((AZ$2-1)/$L80))*($T80*(1-$F80)+$S80*(1-$G80))*((1+Inputs!$D$7)^AZ$2))),((_xlfn.WEIBULL.DIST(AZ$2,$M80,$L80,FALSE)*($T80*(1-$F80)+$S80*(1-$G80))*((1+Inputs!$D$7)^AZ$2))))))</f>
        <v>0</v>
      </c>
      <c r="BA80" s="88">
        <f>$E80*IF(BA$2&gt;Inputs!$D$5,0,IF(BA$2&gt;VLOOKUP($H80,Lists!$P$3:$Q$7,2),IF($N80=Lists!$K$3,IF($L80&lt;1,(($U80/$L80)*((1+Inputs!$D$7)^BA$2)),((INT(BA$2/$L80)-INT((BA$2-1)/$L80))*$U80*((1+Inputs!$D$7)^BA$2))),(_xlfn.WEIBULL.DIST(BA$2,$M80,$L80,FALSE)*$U80*((1+Inputs!$D$7)^BA$2))),IF($N80=Lists!$K$3,IF($L80&lt;1,((($T80*(1-$F80)+$S80*(1-$G80))/$L80)*((1+Inputs!$D$7)^BA$2)),((INT(BA$2/$L80)-INT((BA$2-1)/$L80))*($T80*(1-$F80)+$S80*(1-$G80))*((1+Inputs!$D$7)^BA$2))),((_xlfn.WEIBULL.DIST(BA$2,$M80,$L80,FALSE)*($T80*(1-$F80)+$S80*(1-$G80))*((1+Inputs!$D$7)^BA$2))))))</f>
        <v>0</v>
      </c>
      <c r="BB80" s="88">
        <f>$E80*IF(BB$2&gt;Inputs!$D$5,0,IF(BB$2&gt;VLOOKUP($H80,Lists!$P$3:$Q$7,2),IF($N80=Lists!$K$3,IF($L80&lt;1,(($U80/$L80)*((1+Inputs!$D$7)^BB$2)),((INT(BB$2/$L80)-INT((BB$2-1)/$L80))*$U80*((1+Inputs!$D$7)^BB$2))),(_xlfn.WEIBULL.DIST(BB$2,$M80,$L80,FALSE)*$U80*((1+Inputs!$D$7)^BB$2))),IF($N80=Lists!$K$3,IF($L80&lt;1,((($T80*(1-$F80)+$S80*(1-$G80))/$L80)*((1+Inputs!$D$7)^BB$2)),((INT(BB$2/$L80)-INT((BB$2-1)/$L80))*($T80*(1-$F80)+$S80*(1-$G80))*((1+Inputs!$D$7)^BB$2))),((_xlfn.WEIBULL.DIST(BB$2,$M80,$L80,FALSE)*($T80*(1-$F80)+$S80*(1-$G80))*((1+Inputs!$D$7)^BB$2))))))</f>
        <v>0</v>
      </c>
      <c r="BC80" s="88">
        <f>$E80*IF(BC$2&gt;Inputs!$D$5,0,IF(BC$2&gt;VLOOKUP($H80,Lists!$P$3:$Q$7,2),IF($N80=Lists!$K$3,IF($L80&lt;1,(($U80/$L80)*((1+Inputs!$D$7)^BC$2)),((INT(BC$2/$L80)-INT((BC$2-1)/$L80))*$U80*((1+Inputs!$D$7)^BC$2))),(_xlfn.WEIBULL.DIST(BC$2,$M80,$L80,FALSE)*$U80*((1+Inputs!$D$7)^BC$2))),IF($N80=Lists!$K$3,IF($L80&lt;1,((($T80*(1-$F80)+$S80*(1-$G80))/$L80)*((1+Inputs!$D$7)^BC$2)),((INT(BC$2/$L80)-INT((BC$2-1)/$L80))*($T80*(1-$F80)+$S80*(1-$G80))*((1+Inputs!$D$7)^BC$2))),((_xlfn.WEIBULL.DIST(BC$2,$M80,$L80,FALSE)*($T80*(1-$F80)+$S80*(1-$G80))*((1+Inputs!$D$7)^BC$2))))))</f>
        <v>0</v>
      </c>
      <c r="BD80" s="88">
        <f>$E80*IF(BD$2&gt;Inputs!$D$5,0,IF(BD$2&gt;VLOOKUP($H80,Lists!$P$3:$Q$7,2),IF($N80=Lists!$K$3,IF($L80&lt;1,(($U80/$L80)*((1+Inputs!$D$7)^BD$2)),((INT(BD$2/$L80)-INT((BD$2-1)/$L80))*$U80*((1+Inputs!$D$7)^BD$2))),(_xlfn.WEIBULL.DIST(BD$2,$M80,$L80,FALSE)*$U80*((1+Inputs!$D$7)^BD$2))),IF($N80=Lists!$K$3,IF($L80&lt;1,((($T80*(1-$F80)+$S80*(1-$G80))/$L80)*((1+Inputs!$D$7)^BD$2)),((INT(BD$2/$L80)-INT((BD$2-1)/$L80))*($T80*(1-$F80)+$S80*(1-$G80))*((1+Inputs!$D$7)^BD$2))),((_xlfn.WEIBULL.DIST(BD$2,$M80,$L80,FALSE)*($T80*(1-$F80)+$S80*(1-$G80))*((1+Inputs!$D$7)^BD$2))))))</f>
        <v>0</v>
      </c>
      <c r="BE80" s="88">
        <f>$E80*IF(BE$2&gt;Inputs!$D$5,0,IF(BE$2&gt;VLOOKUP($H80,Lists!$P$3:$Q$7,2),IF($N80=Lists!$K$3,IF($L80&lt;1,(($U80/$L80)*((1+Inputs!$D$7)^BE$2)),((INT(BE$2/$L80)-INT((BE$2-1)/$L80))*$U80*((1+Inputs!$D$7)^BE$2))),(_xlfn.WEIBULL.DIST(BE$2,$M80,$L80,FALSE)*$U80*((1+Inputs!$D$7)^BE$2))),IF($N80=Lists!$K$3,IF($L80&lt;1,((($T80*(1-$F80)+$S80*(1-$G80))/$L80)*((1+Inputs!$D$7)^BE$2)),((INT(BE$2/$L80)-INT((BE$2-1)/$L80))*($T80*(1-$F80)+$S80*(1-$G80))*((1+Inputs!$D$7)^BE$2))),((_xlfn.WEIBULL.DIST(BE$2,$M80,$L80,FALSE)*($T80*(1-$F80)+$S80*(1-$G80))*((1+Inputs!$D$7)^BE$2))))))</f>
        <v>0</v>
      </c>
      <c r="BF80" s="88">
        <f>$E80*IF(BF$2&gt;Inputs!$D$5,0,IF(BF$2&gt;VLOOKUP($H80,Lists!$P$3:$Q$7,2),IF($N80=Lists!$K$3,IF($L80&lt;1,(($U80/$L80)*((1+Inputs!$D$7)^BF$2)),((INT(BF$2/$L80)-INT((BF$2-1)/$L80))*$U80*((1+Inputs!$D$7)^BF$2))),(_xlfn.WEIBULL.DIST(BF$2,$M80,$L80,FALSE)*$U80*((1+Inputs!$D$7)^BF$2))),IF($N80=Lists!$K$3,IF($L80&lt;1,((($T80*(1-$F80)+$S80*(1-$G80))/$L80)*((1+Inputs!$D$7)^BF$2)),((INT(BF$2/$L80)-INT((BF$2-1)/$L80))*($T80*(1-$F80)+$S80*(1-$G80))*((1+Inputs!$D$7)^BF$2))),((_xlfn.WEIBULL.DIST(BF$2,$M80,$L80,FALSE)*($T80*(1-$F80)+$S80*(1-$G80))*((1+Inputs!$D$7)^BF$2))))))</f>
        <v>0</v>
      </c>
      <c r="BG80" s="88">
        <f>$E80*IF(BG$2&gt;Inputs!$D$5,0,IF(BG$2&gt;VLOOKUP($H80,Lists!$P$3:$Q$7,2),IF($N80=Lists!$K$3,IF($L80&lt;1,(($U80/$L80)*((1+Inputs!$D$7)^BG$2)),((INT(BG$2/$L80)-INT((BG$2-1)/$L80))*$U80*((1+Inputs!$D$7)^BG$2))),(_xlfn.WEIBULL.DIST(BG$2,$M80,$L80,FALSE)*$U80*((1+Inputs!$D$7)^BG$2))),IF($N80=Lists!$K$3,IF($L80&lt;1,((($T80*(1-$F80)+$S80*(1-$G80))/$L80)*((1+Inputs!$D$7)^BG$2)),((INT(BG$2/$L80)-INT((BG$2-1)/$L80))*($T80*(1-$F80)+$S80*(1-$G80))*((1+Inputs!$D$7)^BG$2))),((_xlfn.WEIBULL.DIST(BG$2,$M80,$L80,FALSE)*($T80*(1-$F80)+$S80*(1-$G80))*((1+Inputs!$D$7)^BG$2))))))</f>
        <v>0</v>
      </c>
      <c r="BH80" s="88">
        <f>$E80*IF(BH$2&gt;Inputs!$D$5,0,IF(BH$2&gt;VLOOKUP($H80,Lists!$P$3:$Q$7,2),IF($N80=Lists!$K$3,IF($L80&lt;1,(($U80/$L80)*((1+Inputs!$D$7)^BH$2)),((INT(BH$2/$L80)-INT((BH$2-1)/$L80))*$U80*((1+Inputs!$D$7)^BH$2))),(_xlfn.WEIBULL.DIST(BH$2,$M80,$L80,FALSE)*$U80*((1+Inputs!$D$7)^BH$2))),IF($N80=Lists!$K$3,IF($L80&lt;1,((($T80*(1-$F80)+$S80*(1-$G80))/$L80)*((1+Inputs!$D$7)^BH$2)),((INT(BH$2/$L80)-INT((BH$2-1)/$L80))*($T80*(1-$F80)+$S80*(1-$G80))*((1+Inputs!$D$7)^BH$2))),((_xlfn.WEIBULL.DIST(BH$2,$M80,$L80,FALSE)*($T80*(1-$F80)+$S80*(1-$G80))*((1+Inputs!$D$7)^BH$2))))))</f>
        <v>0</v>
      </c>
      <c r="BI80" s="88">
        <f>$E80*IF(BI$2&gt;Inputs!$D$5,0,IF(BI$2&gt;VLOOKUP($H80,Lists!$P$3:$Q$7,2),IF($N80=Lists!$K$3,IF($L80&lt;1,(($U80/$L80)*((1+Inputs!$D$7)^BI$2)),((INT(BI$2/$L80)-INT((BI$2-1)/$L80))*$U80*((1+Inputs!$D$7)^BI$2))),(_xlfn.WEIBULL.DIST(BI$2,$M80,$L80,FALSE)*$U80*((1+Inputs!$D$7)^BI$2))),IF($N80=Lists!$K$3,IF($L80&lt;1,((($T80*(1-$F80)+$S80*(1-$G80))/$L80)*((1+Inputs!$D$7)^BI$2)),((INT(BI$2/$L80)-INT((BI$2-1)/$L80))*($T80*(1-$F80)+$S80*(1-$G80))*((1+Inputs!$D$7)^BI$2))),((_xlfn.WEIBULL.DIST(BI$2,$M80,$L80,FALSE)*($T80*(1-$F80)+$S80*(1-$G80))*((1+Inputs!$D$7)^BI$2))))))</f>
        <v>0</v>
      </c>
      <c r="BJ80" s="88">
        <f>$E80*IF(BJ$2&gt;Inputs!$D$5,0,IF(BJ$2&gt;VLOOKUP($H80,Lists!$P$3:$Q$7,2),IF($N80=Lists!$K$3,IF($L80&lt;1,(($U80/$L80)*((1+Inputs!$D$7)^BJ$2)),((INT(BJ$2/$L80)-INT((BJ$2-1)/$L80))*$U80*((1+Inputs!$D$7)^BJ$2))),(_xlfn.WEIBULL.DIST(BJ$2,$M80,$L80,FALSE)*$U80*((1+Inputs!$D$7)^BJ$2))),IF($N80=Lists!$K$3,IF($L80&lt;1,((($T80*(1-$F80)+$S80*(1-$G80))/$L80)*((1+Inputs!$D$7)^BJ$2)),((INT(BJ$2/$L80)-INT((BJ$2-1)/$L80))*($T80*(1-$F80)+$S80*(1-$G80))*((1+Inputs!$D$7)^BJ$2))),((_xlfn.WEIBULL.DIST(BJ$2,$M80,$L80,FALSE)*($T80*(1-$F80)+$S80*(1-$G80))*((1+Inputs!$D$7)^BJ$2))))))</f>
        <v>0</v>
      </c>
      <c r="BK80" s="88">
        <f>$E80*IF(BK$2&gt;Inputs!$D$5,0,IF(BK$2&gt;VLOOKUP($H80,Lists!$P$3:$Q$7,2),IF($N80=Lists!$K$3,IF($L80&lt;1,(($U80/$L80)*((1+Inputs!$D$7)^BK$2)),((INT(BK$2/$L80)-INT((BK$2-1)/$L80))*$U80*((1+Inputs!$D$7)^BK$2))),(_xlfn.WEIBULL.DIST(BK$2,$M80,$L80,FALSE)*$U80*((1+Inputs!$D$7)^BK$2))),IF($N80=Lists!$K$3,IF($L80&lt;1,((($T80*(1-$F80)+$S80*(1-$G80))/$L80)*((1+Inputs!$D$7)^BK$2)),((INT(BK$2/$L80)-INT((BK$2-1)/$L80))*($T80*(1-$F80)+$S80*(1-$G80))*((1+Inputs!$D$7)^BK$2))),((_xlfn.WEIBULL.DIST(BK$2,$M80,$L80,FALSE)*($T80*(1-$F80)+$S80*(1-$G80))*((1+Inputs!$D$7)^BK$2))))))</f>
        <v>0</v>
      </c>
      <c r="BL80" s="88">
        <f>$E80*IF(BL$2&gt;Inputs!$D$5,0,IF(BL$2&gt;VLOOKUP($H80,Lists!$P$3:$Q$7,2),IF($N80=Lists!$K$3,IF($L80&lt;1,(($U80/$L80)*((1+Inputs!$D$7)^BL$2)),((INT(BL$2/$L80)-INT((BL$2-1)/$L80))*$U80*((1+Inputs!$D$7)^BL$2))),(_xlfn.WEIBULL.DIST(BL$2,$M80,$L80,FALSE)*$U80*((1+Inputs!$D$7)^BL$2))),IF($N80=Lists!$K$3,IF($L80&lt;1,((($T80*(1-$F80)+$S80*(1-$G80))/$L80)*((1+Inputs!$D$7)^BL$2)),((INT(BL$2/$L80)-INT((BL$2-1)/$L80))*($T80*(1-$F80)+$S80*(1-$G80))*((1+Inputs!$D$7)^BL$2))),((_xlfn.WEIBULL.DIST(BL$2,$M80,$L80,FALSE)*($T80*(1-$F80)+$S80*(1-$G80))*((1+Inputs!$D$7)^BL$2))))))</f>
        <v>0</v>
      </c>
      <c r="BM80" s="88">
        <f>$E80*IF(BM$2&gt;Inputs!$D$5,0,IF(BM$2&gt;VLOOKUP($H80,Lists!$P$3:$Q$7,2),IF($N80=Lists!$K$3,IF($L80&lt;1,(($U80/$L80)*((1+Inputs!$D$7)^BM$2)),((INT(BM$2/$L80)-INT((BM$2-1)/$L80))*$U80*((1+Inputs!$D$7)^BM$2))),(_xlfn.WEIBULL.DIST(BM$2,$M80,$L80,FALSE)*$U80*((1+Inputs!$D$7)^BM$2))),IF($N80=Lists!$K$3,IF($L80&lt;1,((($T80*(1-$F80)+$S80*(1-$G80))/$L80)*((1+Inputs!$D$7)^BM$2)),((INT(BM$2/$L80)-INT((BM$2-1)/$L80))*($T80*(1-$F80)+$S80*(1-$G80))*((1+Inputs!$D$7)^BM$2))),((_xlfn.WEIBULL.DIST(BM$2,$M80,$L80,FALSE)*($T80*(1-$F80)+$S80*(1-$G80))*((1+Inputs!$D$7)^BM$2))))))</f>
        <v>0</v>
      </c>
      <c r="BN80" s="88">
        <f>$E80*IF(BN$2&gt;Inputs!$D$5,0,IF(BN$2&gt;VLOOKUP($H80,Lists!$P$3:$Q$7,2),IF($N80=Lists!$K$3,IF($L80&lt;1,(($U80/$L80)*((1+Inputs!$D$7)^BN$2)),((INT(BN$2/$L80)-INT((BN$2-1)/$L80))*$U80*((1+Inputs!$D$7)^BN$2))),(_xlfn.WEIBULL.DIST(BN$2,$M80,$L80,FALSE)*$U80*((1+Inputs!$D$7)^BN$2))),IF($N80=Lists!$K$3,IF($L80&lt;1,((($T80*(1-$F80)+$S80*(1-$G80))/$L80)*((1+Inputs!$D$7)^BN$2)),((INT(BN$2/$L80)-INT((BN$2-1)/$L80))*($T80*(1-$F80)+$S80*(1-$G80))*((1+Inputs!$D$7)^BN$2))),((_xlfn.WEIBULL.DIST(BN$2,$M80,$L80,FALSE)*($T80*(1-$F80)+$S80*(1-$G80))*((1+Inputs!$D$7)^BN$2))))))</f>
        <v>0</v>
      </c>
      <c r="BO80" s="64">
        <f>NPV(Inputs!$D$6,BQ80:DD80)</f>
        <v>5920.9462300783234</v>
      </c>
      <c r="BP80" s="67">
        <f t="shared" si="20"/>
        <v>2.7926073068914661E-3</v>
      </c>
      <c r="BQ80" s="88">
        <f>MAX(AA80,($E80*IF(BQ$2&gt;Inputs!$D$5,0,IF(BQ$2&gt;VLOOKUP($H80,Lists!$P$3:$Q$7,2),IF($N80=Lists!$K$3,IF($L80&lt;1,(($U80/$L80)*((1+Inputs!$D$7)^BQ$2)),((INT(BQ$2/$L80)-INT((BQ$2-1)/$L80))*$U80*((1+Inputs!$D$7)^BQ$2))),(Inputs!$D$8^((1-_xlfn.WEIBULL.DIST(BQ$2,$M80,$L80,FALSE))/_xlfn.WEIBULL.DIST(BQ$2,$M80,$L80,FALSE))*$U80*((1+Inputs!$D$7)^BQ$2))),IF($N80=Lists!$K$3,IF($L80&lt;1,((($T80*(1-$F80)+$S80*(1-$G80))/$L80)*((1+Inputs!$D$7)^BQ$2)),((INT(BQ$2/$L80)-INT((BQ$2-1)/$L80))*($T80*(1-$F80)+$S80*(1-$G80))*((1+Inputs!$D$7)^BQ$2))),((Inputs!$D$8^((1-_xlfn.WEIBULL.DIST(BQ$2,$M80,$L80,FALSE))/_xlfn.WEIBULL.DIST(BQ$2,$M80,$L80,FALSE))*($T80*(1-$F80)+$S80*(1-$G80))*((1+Inputs!$D$7)^BQ$2))))))))</f>
        <v>424.30694399999999</v>
      </c>
      <c r="BR80" s="88">
        <f>MAX(AB80,($E80*IF(BR$2&gt;Inputs!$D$5,0,IF(BR$2&gt;VLOOKUP($H80,Lists!$P$3:$Q$7,2),IF($N80=Lists!$K$3,IF($L80&lt;1,(($U80/$L80)*((1+Inputs!$D$7)^BR$2)),((INT(BR$2/$L80)-INT((BR$2-1)/$L80))*$U80*((1+Inputs!$D$7)^BR$2))),(Inputs!$D$8^((1-_xlfn.WEIBULL.DIST(BR$2,$M80,$L80,FALSE))/_xlfn.WEIBULL.DIST(BR$2,$M80,$L80,FALSE))*$U80*((1+Inputs!$D$7)^BR$2))),IF($N80=Lists!$K$3,IF($L80&lt;1,((($T80*(1-$F80)+$S80*(1-$G80))/$L80)*((1+Inputs!$D$7)^BR$2)),((INT(BR$2/$L80)-INT((BR$2-1)/$L80))*($T80*(1-$F80)+$S80*(1-$G80))*((1+Inputs!$D$7)^BR$2))),((Inputs!$D$8^((1-_xlfn.WEIBULL.DIST(BR$2,$M80,$L80,FALSE))/_xlfn.WEIBULL.DIST(BR$2,$M80,$L80,FALSE))*($T80*(1-$F80)+$S80*(1-$G80))*((1+Inputs!$D$7)^BR$2))))))))</f>
        <v>432.79308287999999</v>
      </c>
      <c r="BS80" s="88">
        <f>MAX(AC80,($E80*IF(BS$2&gt;Inputs!$D$5,0,IF(BS$2&gt;VLOOKUP($H80,Lists!$P$3:$Q$7,2),IF($N80=Lists!$K$3,IF($L80&lt;1,(($U80/$L80)*((1+Inputs!$D$7)^BS$2)),((INT(BS$2/$L80)-INT((BS$2-1)/$L80))*$U80*((1+Inputs!$D$7)^BS$2))),(Inputs!$D$8^((1-_xlfn.WEIBULL.DIST(BS$2,$M80,$L80,FALSE))/_xlfn.WEIBULL.DIST(BS$2,$M80,$L80,FALSE))*$U80*((1+Inputs!$D$7)^BS$2))),IF($N80=Lists!$K$3,IF($L80&lt;1,((($T80*(1-$F80)+$S80*(1-$G80))/$L80)*((1+Inputs!$D$7)^BS$2)),((INT(BS$2/$L80)-INT((BS$2-1)/$L80))*($T80*(1-$F80)+$S80*(1-$G80))*((1+Inputs!$D$7)^BS$2))),((Inputs!$D$8^((1-_xlfn.WEIBULL.DIST(BS$2,$M80,$L80,FALSE))/_xlfn.WEIBULL.DIST(BS$2,$M80,$L80,FALSE))*($T80*(1-$F80)+$S80*(1-$G80))*((1+Inputs!$D$7)^BS$2))))))))</f>
        <v>441.44894453759991</v>
      </c>
      <c r="BT80" s="88">
        <f>MAX(AD80,($E80*IF(BT$2&gt;Inputs!$D$5,0,IF(BT$2&gt;VLOOKUP($H80,Lists!$P$3:$Q$7,2),IF($N80=Lists!$K$3,IF($L80&lt;1,(($U80/$L80)*((1+Inputs!$D$7)^BT$2)),((INT(BT$2/$L80)-INT((BT$2-1)/$L80))*$U80*((1+Inputs!$D$7)^BT$2))),(Inputs!$D$8^((1-_xlfn.WEIBULL.DIST(BT$2,$M80,$L80,FALSE))/_xlfn.WEIBULL.DIST(BT$2,$M80,$L80,FALSE))*$U80*((1+Inputs!$D$7)^BT$2))),IF($N80=Lists!$K$3,IF($L80&lt;1,((($T80*(1-$F80)+$S80*(1-$G80))/$L80)*((1+Inputs!$D$7)^BT$2)),((INT(BT$2/$L80)-INT((BT$2-1)/$L80))*($T80*(1-$F80)+$S80*(1-$G80))*((1+Inputs!$D$7)^BT$2))),((Inputs!$D$8^((1-_xlfn.WEIBULL.DIST(BT$2,$M80,$L80,FALSE))/_xlfn.WEIBULL.DIST(BT$2,$M80,$L80,FALSE))*($T80*(1-$F80)+$S80*(1-$G80))*((1+Inputs!$D$7)^BT$2))))))))</f>
        <v>450.27792342835198</v>
      </c>
      <c r="BU80" s="88">
        <f>MAX(AE80,($E80*IF(BU$2&gt;Inputs!$D$5,0,IF(BU$2&gt;VLOOKUP($H80,Lists!$P$3:$Q$7,2),IF($N80=Lists!$K$3,IF($L80&lt;1,(($U80/$L80)*((1+Inputs!$D$7)^BU$2)),((INT(BU$2/$L80)-INT((BU$2-1)/$L80))*$U80*((1+Inputs!$D$7)^BU$2))),(Inputs!$D$8^((1-_xlfn.WEIBULL.DIST(BU$2,$M80,$L80,FALSE))/_xlfn.WEIBULL.DIST(BU$2,$M80,$L80,FALSE))*$U80*((1+Inputs!$D$7)^BU$2))),IF($N80=Lists!$K$3,IF($L80&lt;1,((($T80*(1-$F80)+$S80*(1-$G80))/$L80)*((1+Inputs!$D$7)^BU$2)),((INT(BU$2/$L80)-INT((BU$2-1)/$L80))*($T80*(1-$F80)+$S80*(1-$G80))*((1+Inputs!$D$7)^BU$2))),((Inputs!$D$8^((1-_xlfn.WEIBULL.DIST(BU$2,$M80,$L80,FALSE))/_xlfn.WEIBULL.DIST(BU$2,$M80,$L80,FALSE))*($T80*(1-$F80)+$S80*(1-$G80))*((1+Inputs!$D$7)^BU$2))))))))</f>
        <v>459.283481896919</v>
      </c>
      <c r="BV80" s="88">
        <f>MAX(AF80,($E80*IF(BV$2&gt;Inputs!$D$5,0,IF(BV$2&gt;VLOOKUP($H80,Lists!$P$3:$Q$7,2),IF($N80=Lists!$K$3,IF($L80&lt;1,(($U80/$L80)*((1+Inputs!$D$7)^BV$2)),((INT(BV$2/$L80)-INT((BV$2-1)/$L80))*$U80*((1+Inputs!$D$7)^BV$2))),(Inputs!$D$8^((1-_xlfn.WEIBULL.DIST(BV$2,$M80,$L80,FALSE))/_xlfn.WEIBULL.DIST(BV$2,$M80,$L80,FALSE))*$U80*((1+Inputs!$D$7)^BV$2))),IF($N80=Lists!$K$3,IF($L80&lt;1,((($T80*(1-$F80)+$S80*(1-$G80))/$L80)*((1+Inputs!$D$7)^BV$2)),((INT(BV$2/$L80)-INT((BV$2-1)/$L80))*($T80*(1-$F80)+$S80*(1-$G80))*((1+Inputs!$D$7)^BV$2))),((Inputs!$D$8^((1-_xlfn.WEIBULL.DIST(BV$2,$M80,$L80,FALSE))/_xlfn.WEIBULL.DIST(BV$2,$M80,$L80,FALSE))*($T80*(1-$F80)+$S80*(1-$G80))*((1+Inputs!$D$7)^BV$2))))))))</f>
        <v>468.46915153485742</v>
      </c>
      <c r="BW80" s="88">
        <f>MAX(AG80,($E80*IF(BW$2&gt;Inputs!$D$5,0,IF(BW$2&gt;VLOOKUP($H80,Lists!$P$3:$Q$7,2),IF($N80=Lists!$K$3,IF($L80&lt;1,(($U80/$L80)*((1+Inputs!$D$7)^BW$2)),((INT(BW$2/$L80)-INT((BW$2-1)/$L80))*$U80*((1+Inputs!$D$7)^BW$2))),(Inputs!$D$8^((1-_xlfn.WEIBULL.DIST(BW$2,$M80,$L80,FALSE))/_xlfn.WEIBULL.DIST(BW$2,$M80,$L80,FALSE))*$U80*((1+Inputs!$D$7)^BW$2))),IF($N80=Lists!$K$3,IF($L80&lt;1,((($T80*(1-$F80)+$S80*(1-$G80))/$L80)*((1+Inputs!$D$7)^BW$2)),((INT(BW$2/$L80)-INT((BW$2-1)/$L80))*($T80*(1-$F80)+$S80*(1-$G80))*((1+Inputs!$D$7)^BW$2))),((Inputs!$D$8^((1-_xlfn.WEIBULL.DIST(BW$2,$M80,$L80,FALSE))/_xlfn.WEIBULL.DIST(BW$2,$M80,$L80,FALSE))*($T80*(1-$F80)+$S80*(1-$G80))*((1+Inputs!$D$7)^BW$2))))))))</f>
        <v>477.83853456555448</v>
      </c>
      <c r="BX80" s="88">
        <f>MAX(AH80,($E80*IF(BX$2&gt;Inputs!$D$5,0,IF(BX$2&gt;VLOOKUP($H80,Lists!$P$3:$Q$7,2),IF($N80=Lists!$K$3,IF($L80&lt;1,(($U80/$L80)*((1+Inputs!$D$7)^BX$2)),((INT(BX$2/$L80)-INT((BX$2-1)/$L80))*$U80*((1+Inputs!$D$7)^BX$2))),(Inputs!$D$8^((1-_xlfn.WEIBULL.DIST(BX$2,$M80,$L80,FALSE))/_xlfn.WEIBULL.DIST(BX$2,$M80,$L80,FALSE))*$U80*((1+Inputs!$D$7)^BX$2))),IF($N80=Lists!$K$3,IF($L80&lt;1,((($T80*(1-$F80)+$S80*(1-$G80))/$L80)*((1+Inputs!$D$7)^BX$2)),((INT(BX$2/$L80)-INT((BX$2-1)/$L80))*($T80*(1-$F80)+$S80*(1-$G80))*((1+Inputs!$D$7)^BX$2))),((Inputs!$D$8^((1-_xlfn.WEIBULL.DIST(BX$2,$M80,$L80,FALSE))/_xlfn.WEIBULL.DIST(BX$2,$M80,$L80,FALSE))*($T80*(1-$F80)+$S80*(1-$G80))*((1+Inputs!$D$7)^BX$2))))))))</f>
        <v>487.39530525686558</v>
      </c>
      <c r="BY80" s="88">
        <f>MAX(AI80,($E80*IF(BY$2&gt;Inputs!$D$5,0,IF(BY$2&gt;VLOOKUP($H80,Lists!$P$3:$Q$7,2),IF($N80=Lists!$K$3,IF($L80&lt;1,(($U80/$L80)*((1+Inputs!$D$7)^BY$2)),((INT(BY$2/$L80)-INT((BY$2-1)/$L80))*$U80*((1+Inputs!$D$7)^BY$2))),(Inputs!$D$8^((1-_xlfn.WEIBULL.DIST(BY$2,$M80,$L80,FALSE))/_xlfn.WEIBULL.DIST(BY$2,$M80,$L80,FALSE))*$U80*((1+Inputs!$D$7)^BY$2))),IF($N80=Lists!$K$3,IF($L80&lt;1,((($T80*(1-$F80)+$S80*(1-$G80))/$L80)*((1+Inputs!$D$7)^BY$2)),((INT(BY$2/$L80)-INT((BY$2-1)/$L80))*($T80*(1-$F80)+$S80*(1-$G80))*((1+Inputs!$D$7)^BY$2))),((Inputs!$D$8^((1-_xlfn.WEIBULL.DIST(BY$2,$M80,$L80,FALSE))/_xlfn.WEIBULL.DIST(BY$2,$M80,$L80,FALSE))*($T80*(1-$F80)+$S80*(1-$G80))*((1+Inputs!$D$7)^BY$2))))))))</f>
        <v>497.14321136200289</v>
      </c>
      <c r="BZ80" s="88">
        <f>MAX(AJ80,($E80*IF(BZ$2&gt;Inputs!$D$5,0,IF(BZ$2&gt;VLOOKUP($H80,Lists!$P$3:$Q$7,2),IF($N80=Lists!$K$3,IF($L80&lt;1,(($U80/$L80)*((1+Inputs!$D$7)^BZ$2)),((INT(BZ$2/$L80)-INT((BZ$2-1)/$L80))*$U80*((1+Inputs!$D$7)^BZ$2))),(Inputs!$D$8^((1-_xlfn.WEIBULL.DIST(BZ$2,$M80,$L80,FALSE))/_xlfn.WEIBULL.DIST(BZ$2,$M80,$L80,FALSE))*$U80*((1+Inputs!$D$7)^BZ$2))),IF($N80=Lists!$K$3,IF($L80&lt;1,((($T80*(1-$F80)+$S80*(1-$G80))/$L80)*((1+Inputs!$D$7)^BZ$2)),((INT(BZ$2/$L80)-INT((BZ$2-1)/$L80))*($T80*(1-$F80)+$S80*(1-$G80))*((1+Inputs!$D$7)^BZ$2))),((Inputs!$D$8^((1-_xlfn.WEIBULL.DIST(BZ$2,$M80,$L80,FALSE))/_xlfn.WEIBULL.DIST(BZ$2,$M80,$L80,FALSE))*($T80*(1-$F80)+$S80*(1-$G80))*((1+Inputs!$D$7)^BZ$2))))))))</f>
        <v>507.08607558924297</v>
      </c>
      <c r="CA80" s="88">
        <f>MAX(AK80,($E80*IF(CA$2&gt;Inputs!$D$5,0,IF(CA$2&gt;VLOOKUP($H80,Lists!$P$3:$Q$7,2),IF($N80=Lists!$K$3,IF($L80&lt;1,(($U80/$L80)*((1+Inputs!$D$7)^CA$2)),((INT(CA$2/$L80)-INT((CA$2-1)/$L80))*$U80*((1+Inputs!$D$7)^CA$2))),(Inputs!$D$8^((1-_xlfn.WEIBULL.DIST(CA$2,$M80,$L80,FALSE))/_xlfn.WEIBULL.DIST(CA$2,$M80,$L80,FALSE))*$U80*((1+Inputs!$D$7)^CA$2))),IF($N80=Lists!$K$3,IF($L80&lt;1,((($T80*(1-$F80)+$S80*(1-$G80))/$L80)*((1+Inputs!$D$7)^CA$2)),((INT(CA$2/$L80)-INT((CA$2-1)/$L80))*($T80*(1-$F80)+$S80*(1-$G80))*((1+Inputs!$D$7)^CA$2))),((Inputs!$D$8^((1-_xlfn.WEIBULL.DIST(CA$2,$M80,$L80,FALSE))/_xlfn.WEIBULL.DIST(CA$2,$M80,$L80,FALSE))*($T80*(1-$F80)+$S80*(1-$G80))*((1+Inputs!$D$7)^CA$2))))))))</f>
        <v>517.2277971010277</v>
      </c>
      <c r="CB80" s="88">
        <f>MAX(AL80,($E80*IF(CB$2&gt;Inputs!$D$5,0,IF(CB$2&gt;VLOOKUP($H80,Lists!$P$3:$Q$7,2),IF($N80=Lists!$K$3,IF($L80&lt;1,(($U80/$L80)*((1+Inputs!$D$7)^CB$2)),((INT(CB$2/$L80)-INT((CB$2-1)/$L80))*$U80*((1+Inputs!$D$7)^CB$2))),(Inputs!$D$8^((1-_xlfn.WEIBULL.DIST(CB$2,$M80,$L80,FALSE))/_xlfn.WEIBULL.DIST(CB$2,$M80,$L80,FALSE))*$U80*((1+Inputs!$D$7)^CB$2))),IF($N80=Lists!$K$3,IF($L80&lt;1,((($T80*(1-$F80)+$S80*(1-$G80))/$L80)*((1+Inputs!$D$7)^CB$2)),((INT(CB$2/$L80)-INT((CB$2-1)/$L80))*($T80*(1-$F80)+$S80*(1-$G80))*((1+Inputs!$D$7)^CB$2))),((Inputs!$D$8^((1-_xlfn.WEIBULL.DIST(CB$2,$M80,$L80,FALSE))/_xlfn.WEIBULL.DIST(CB$2,$M80,$L80,FALSE))*($T80*(1-$F80)+$S80*(1-$G80))*((1+Inputs!$D$7)^CB$2))))))))</f>
        <v>527.57235304304845</v>
      </c>
      <c r="CC80" s="88">
        <f>MAX(AM80,($E80*IF(CC$2&gt;Inputs!$D$5,0,IF(CC$2&gt;VLOOKUP($H80,Lists!$P$3:$Q$7,2),IF($N80=Lists!$K$3,IF($L80&lt;1,(($U80/$L80)*((1+Inputs!$D$7)^CC$2)),((INT(CC$2/$L80)-INT((CC$2-1)/$L80))*$U80*((1+Inputs!$D$7)^CC$2))),(Inputs!$D$8^((1-_xlfn.WEIBULL.DIST(CC$2,$M80,$L80,FALSE))/_xlfn.WEIBULL.DIST(CC$2,$M80,$L80,FALSE))*$U80*((1+Inputs!$D$7)^CC$2))),IF($N80=Lists!$K$3,IF($L80&lt;1,((($T80*(1-$F80)+$S80*(1-$G80))/$L80)*((1+Inputs!$D$7)^CC$2)),((INT(CC$2/$L80)-INT((CC$2-1)/$L80))*($T80*(1-$F80)+$S80*(1-$G80))*((1+Inputs!$D$7)^CC$2))),((Inputs!$D$8^((1-_xlfn.WEIBULL.DIST(CC$2,$M80,$L80,FALSE))/_xlfn.WEIBULL.DIST(CC$2,$M80,$L80,FALSE))*($T80*(1-$F80)+$S80*(1-$G80))*((1+Inputs!$D$7)^CC$2))))))))</f>
        <v>538.12380010390928</v>
      </c>
      <c r="CD80" s="88">
        <f>MAX(AN80,($E80*IF(CD$2&gt;Inputs!$D$5,0,IF(CD$2&gt;VLOOKUP($H80,Lists!$P$3:$Q$7,2),IF($N80=Lists!$K$3,IF($L80&lt;1,(($U80/$L80)*((1+Inputs!$D$7)^CD$2)),((INT(CD$2/$L80)-INT((CD$2-1)/$L80))*$U80*((1+Inputs!$D$7)^CD$2))),(Inputs!$D$8^((1-_xlfn.WEIBULL.DIST(CD$2,$M80,$L80,FALSE))/_xlfn.WEIBULL.DIST(CD$2,$M80,$L80,FALSE))*$U80*((1+Inputs!$D$7)^CD$2))),IF($N80=Lists!$K$3,IF($L80&lt;1,((($T80*(1-$F80)+$S80*(1-$G80))/$L80)*((1+Inputs!$D$7)^CD$2)),((INT(CD$2/$L80)-INT((CD$2-1)/$L80))*($T80*(1-$F80)+$S80*(1-$G80))*((1+Inputs!$D$7)^CD$2))),((Inputs!$D$8^((1-_xlfn.WEIBULL.DIST(CD$2,$M80,$L80,FALSE))/_xlfn.WEIBULL.DIST(CD$2,$M80,$L80,FALSE))*($T80*(1-$F80)+$S80*(1-$G80))*((1+Inputs!$D$7)^CD$2))))))))</f>
        <v>548.88627610598758</v>
      </c>
      <c r="CE80" s="88">
        <f>MAX(AO80,($E80*IF(CE$2&gt;Inputs!$D$5,0,IF(CE$2&gt;VLOOKUP($H80,Lists!$P$3:$Q$7,2),IF($N80=Lists!$K$3,IF($L80&lt;1,(($U80/$L80)*((1+Inputs!$D$7)^CE$2)),((INT(CE$2/$L80)-INT((CE$2-1)/$L80))*$U80*((1+Inputs!$D$7)^CE$2))),(Inputs!$D$8^((1-_xlfn.WEIBULL.DIST(CE$2,$M80,$L80,FALSE))/_xlfn.WEIBULL.DIST(CE$2,$M80,$L80,FALSE))*$U80*((1+Inputs!$D$7)^CE$2))),IF($N80=Lists!$K$3,IF($L80&lt;1,((($T80*(1-$F80)+$S80*(1-$G80))/$L80)*((1+Inputs!$D$7)^CE$2)),((INT(CE$2/$L80)-INT((CE$2-1)/$L80))*($T80*(1-$F80)+$S80*(1-$G80))*((1+Inputs!$D$7)^CE$2))),((Inputs!$D$8^((1-_xlfn.WEIBULL.DIST(CE$2,$M80,$L80,FALSE))/_xlfn.WEIBULL.DIST(CE$2,$M80,$L80,FALSE))*($T80*(1-$F80)+$S80*(1-$G80))*((1+Inputs!$D$7)^CE$2))))))))</f>
        <v>559.86400162810719</v>
      </c>
      <c r="CF80" s="88">
        <f>MAX(AP80,($E80*IF(CF$2&gt;Inputs!$D$5,0,IF(CF$2&gt;VLOOKUP($H80,Lists!$P$3:$Q$7,2),IF($N80=Lists!$K$3,IF($L80&lt;1,(($U80/$L80)*((1+Inputs!$D$7)^CF$2)),((INT(CF$2/$L80)-INT((CF$2-1)/$L80))*$U80*((1+Inputs!$D$7)^CF$2))),(Inputs!$D$8^((1-_xlfn.WEIBULL.DIST(CF$2,$M80,$L80,FALSE))/_xlfn.WEIBULL.DIST(CF$2,$M80,$L80,FALSE))*$U80*((1+Inputs!$D$7)^CF$2))),IF($N80=Lists!$K$3,IF($L80&lt;1,((($T80*(1-$F80)+$S80*(1-$G80))/$L80)*((1+Inputs!$D$7)^CF$2)),((INT(CF$2/$L80)-INT((CF$2-1)/$L80))*($T80*(1-$F80)+$S80*(1-$G80))*((1+Inputs!$D$7)^CF$2))),((Inputs!$D$8^((1-_xlfn.WEIBULL.DIST(CF$2,$M80,$L80,FALSE))/_xlfn.WEIBULL.DIST(CF$2,$M80,$L80,FALSE))*($T80*(1-$F80)+$S80*(1-$G80))*((1+Inputs!$D$7)^CF$2))))))))</f>
        <v>571.06128166066947</v>
      </c>
      <c r="CG80" s="88">
        <f>MAX(AQ80,($E80*IF(CG$2&gt;Inputs!$D$5,0,IF(CG$2&gt;VLOOKUP($H80,Lists!$P$3:$Q$7,2),IF($N80=Lists!$K$3,IF($L80&lt;1,(($U80/$L80)*((1+Inputs!$D$7)^CG$2)),((INT(CG$2/$L80)-INT((CG$2-1)/$L80))*$U80*((1+Inputs!$D$7)^CG$2))),(Inputs!$D$8^((1-_xlfn.WEIBULL.DIST(CG$2,$M80,$L80,FALSE))/_xlfn.WEIBULL.DIST(CG$2,$M80,$L80,FALSE))*$U80*((1+Inputs!$D$7)^CG$2))),IF($N80=Lists!$K$3,IF($L80&lt;1,((($T80*(1-$F80)+$S80*(1-$G80))/$L80)*((1+Inputs!$D$7)^CG$2)),((INT(CG$2/$L80)-INT((CG$2-1)/$L80))*($T80*(1-$F80)+$S80*(1-$G80))*((1+Inputs!$D$7)^CG$2))),((Inputs!$D$8^((1-_xlfn.WEIBULL.DIST(CG$2,$M80,$L80,FALSE))/_xlfn.WEIBULL.DIST(CG$2,$M80,$L80,FALSE))*($T80*(1-$F80)+$S80*(1-$G80))*((1+Inputs!$D$7)^CG$2))))))))</f>
        <v>582.4825072938828</v>
      </c>
      <c r="CH80" s="88">
        <f>MAX(AR80,($E80*IF(CH$2&gt;Inputs!$D$5,0,IF(CH$2&gt;VLOOKUP($H80,Lists!$P$3:$Q$7,2),IF($N80=Lists!$K$3,IF($L80&lt;1,(($U80/$L80)*((1+Inputs!$D$7)^CH$2)),((INT(CH$2/$L80)-INT((CH$2-1)/$L80))*$U80*((1+Inputs!$D$7)^CH$2))),(Inputs!$D$8^((1-_xlfn.WEIBULL.DIST(CH$2,$M80,$L80,FALSE))/_xlfn.WEIBULL.DIST(CH$2,$M80,$L80,FALSE))*$U80*((1+Inputs!$D$7)^CH$2))),IF($N80=Lists!$K$3,IF($L80&lt;1,((($T80*(1-$F80)+$S80*(1-$G80))/$L80)*((1+Inputs!$D$7)^CH$2)),((INT(CH$2/$L80)-INT((CH$2-1)/$L80))*($T80*(1-$F80)+$S80*(1-$G80))*((1+Inputs!$D$7)^CH$2))),((Inputs!$D$8^((1-_xlfn.WEIBULL.DIST(CH$2,$M80,$L80,FALSE))/_xlfn.WEIBULL.DIST(CH$2,$M80,$L80,FALSE))*($T80*(1-$F80)+$S80*(1-$G80))*((1+Inputs!$D$7)^CH$2))))))))</f>
        <v>594.13215743976048</v>
      </c>
      <c r="CI80" s="88">
        <f>MAX(AS80,($E80*IF(CI$2&gt;Inputs!$D$5,0,IF(CI$2&gt;VLOOKUP($H80,Lists!$P$3:$Q$7,2),IF($N80=Lists!$K$3,IF($L80&lt;1,(($U80/$L80)*((1+Inputs!$D$7)^CI$2)),((INT(CI$2/$L80)-INT((CI$2-1)/$L80))*$U80*((1+Inputs!$D$7)^CI$2))),(Inputs!$D$8^((1-_xlfn.WEIBULL.DIST(CI$2,$M80,$L80,FALSE))/_xlfn.WEIBULL.DIST(CI$2,$M80,$L80,FALSE))*$U80*((1+Inputs!$D$7)^CI$2))),IF($N80=Lists!$K$3,IF($L80&lt;1,((($T80*(1-$F80)+$S80*(1-$G80))/$L80)*((1+Inputs!$D$7)^CI$2)),((INT(CI$2/$L80)-INT((CI$2-1)/$L80))*($T80*(1-$F80)+$S80*(1-$G80))*((1+Inputs!$D$7)^CI$2))),((Inputs!$D$8^((1-_xlfn.WEIBULL.DIST(CI$2,$M80,$L80,FALSE))/_xlfn.WEIBULL.DIST(CI$2,$M80,$L80,FALSE))*($T80*(1-$F80)+$S80*(1-$G80))*((1+Inputs!$D$7)^CI$2))))))))</f>
        <v>606.01480058855566</v>
      </c>
      <c r="CJ80" s="88">
        <f>MAX(AT80,($E80*IF(CJ$2&gt;Inputs!$D$5,0,IF(CJ$2&gt;VLOOKUP($H80,Lists!$P$3:$Q$7,2),IF($N80=Lists!$K$3,IF($L80&lt;1,(($U80/$L80)*((1+Inputs!$D$7)^CJ$2)),((INT(CJ$2/$L80)-INT((CJ$2-1)/$L80))*$U80*((1+Inputs!$D$7)^CJ$2))),(Inputs!$D$8^((1-_xlfn.WEIBULL.DIST(CJ$2,$M80,$L80,FALSE))/_xlfn.WEIBULL.DIST(CJ$2,$M80,$L80,FALSE))*$U80*((1+Inputs!$D$7)^CJ$2))),IF($N80=Lists!$K$3,IF($L80&lt;1,((($T80*(1-$F80)+$S80*(1-$G80))/$L80)*((1+Inputs!$D$7)^CJ$2)),((INT(CJ$2/$L80)-INT((CJ$2-1)/$L80))*($T80*(1-$F80)+$S80*(1-$G80))*((1+Inputs!$D$7)^CJ$2))),((Inputs!$D$8^((1-_xlfn.WEIBULL.DIST(CJ$2,$M80,$L80,FALSE))/_xlfn.WEIBULL.DIST(CJ$2,$M80,$L80,FALSE))*($T80*(1-$F80)+$S80*(1-$G80))*((1+Inputs!$D$7)^CJ$2))))))))</f>
        <v>618.13509660032685</v>
      </c>
      <c r="CK80" s="88">
        <f>MAX(AU80,($E80*IF(CK$2&gt;Inputs!$D$5,0,IF(CK$2&gt;VLOOKUP($H80,Lists!$P$3:$Q$7,2),IF($N80=Lists!$K$3,IF($L80&lt;1,(($U80/$L80)*((1+Inputs!$D$7)^CK$2)),((INT(CK$2/$L80)-INT((CK$2-1)/$L80))*$U80*((1+Inputs!$D$7)^CK$2))),(Inputs!$D$8^((1-_xlfn.WEIBULL.DIST(CK$2,$M80,$L80,FALSE))/_xlfn.WEIBULL.DIST(CK$2,$M80,$L80,FALSE))*$U80*((1+Inputs!$D$7)^CK$2))),IF($N80=Lists!$K$3,IF($L80&lt;1,((($T80*(1-$F80)+$S80*(1-$G80))/$L80)*((1+Inputs!$D$7)^CK$2)),((INT(CK$2/$L80)-INT((CK$2-1)/$L80))*($T80*(1-$F80)+$S80*(1-$G80))*((1+Inputs!$D$7)^CK$2))),((Inputs!$D$8^((1-_xlfn.WEIBULL.DIST(CK$2,$M80,$L80,FALSE))/_xlfn.WEIBULL.DIST(CK$2,$M80,$L80,FALSE))*($T80*(1-$F80)+$S80*(1-$G80))*((1+Inputs!$D$7)^CK$2))))))))</f>
        <v>630.49779853233326</v>
      </c>
      <c r="CL80" s="88">
        <f>MAX(AV80,($E80*IF(CL$2&gt;Inputs!$D$5,0,IF(CL$2&gt;VLOOKUP($H80,Lists!$P$3:$Q$7,2),IF($N80=Lists!$K$3,IF($L80&lt;1,(($U80/$L80)*((1+Inputs!$D$7)^CL$2)),((INT(CL$2/$L80)-INT((CL$2-1)/$L80))*$U80*((1+Inputs!$D$7)^CL$2))),(Inputs!$D$8^((1-_xlfn.WEIBULL.DIST(CL$2,$M80,$L80,FALSE))/_xlfn.WEIBULL.DIST(CL$2,$M80,$L80,FALSE))*$U80*((1+Inputs!$D$7)^CL$2))),IF($N80=Lists!$K$3,IF($L80&lt;1,((($T80*(1-$F80)+$S80*(1-$G80))/$L80)*((1+Inputs!$D$7)^CL$2)),((INT(CL$2/$L80)-INT((CL$2-1)/$L80))*($T80*(1-$F80)+$S80*(1-$G80))*((1+Inputs!$D$7)^CL$2))),((Inputs!$D$8^((1-_xlfn.WEIBULL.DIST(CL$2,$M80,$L80,FALSE))/_xlfn.WEIBULL.DIST(CL$2,$M80,$L80,FALSE))*($T80*(1-$F80)+$S80*(1-$G80))*((1+Inputs!$D$7)^CL$2))))))))</f>
        <v>643.10775450298001</v>
      </c>
      <c r="CM80" s="88">
        <f>MAX(AW80,($E80*IF(CM$2&gt;Inputs!$D$5,0,IF(CM$2&gt;VLOOKUP($H80,Lists!$P$3:$Q$7,2),IF($N80=Lists!$K$3,IF($L80&lt;1,(($U80/$L80)*((1+Inputs!$D$7)^CM$2)),((INT(CM$2/$L80)-INT((CM$2-1)/$L80))*$U80*((1+Inputs!$D$7)^CM$2))),(Inputs!$D$8^((1-_xlfn.WEIBULL.DIST(CM$2,$M80,$L80,FALSE))/_xlfn.WEIBULL.DIST(CM$2,$M80,$L80,FALSE))*$U80*((1+Inputs!$D$7)^CM$2))),IF($N80=Lists!$K$3,IF($L80&lt;1,((($T80*(1-$F80)+$S80*(1-$G80))/$L80)*((1+Inputs!$D$7)^CM$2)),((INT(CM$2/$L80)-INT((CM$2-1)/$L80))*($T80*(1-$F80)+$S80*(1-$G80))*((1+Inputs!$D$7)^CM$2))),((Inputs!$D$8^((1-_xlfn.WEIBULL.DIST(CM$2,$M80,$L80,FALSE))/_xlfn.WEIBULL.DIST(CM$2,$M80,$L80,FALSE))*($T80*(1-$F80)+$S80*(1-$G80))*((1+Inputs!$D$7)^CM$2))))))))</f>
        <v>655.96990959303946</v>
      </c>
      <c r="CN80" s="88">
        <f>MAX(AX80,($E80*IF(CN$2&gt;Inputs!$D$5,0,IF(CN$2&gt;VLOOKUP($H80,Lists!$P$3:$Q$7,2),IF($N80=Lists!$K$3,IF($L80&lt;1,(($U80/$L80)*((1+Inputs!$D$7)^CN$2)),((INT(CN$2/$L80)-INT((CN$2-1)/$L80))*$U80*((1+Inputs!$D$7)^CN$2))),(Inputs!$D$8^((1-_xlfn.WEIBULL.DIST(CN$2,$M80,$L80,FALSE))/_xlfn.WEIBULL.DIST(CN$2,$M80,$L80,FALSE))*$U80*((1+Inputs!$D$7)^CN$2))),IF($N80=Lists!$K$3,IF($L80&lt;1,((($T80*(1-$F80)+$S80*(1-$G80))/$L80)*((1+Inputs!$D$7)^CN$2)),((INT(CN$2/$L80)-INT((CN$2-1)/$L80))*($T80*(1-$F80)+$S80*(1-$G80))*((1+Inputs!$D$7)^CN$2))),((Inputs!$D$8^((1-_xlfn.WEIBULL.DIST(CN$2,$M80,$L80,FALSE))/_xlfn.WEIBULL.DIST(CN$2,$M80,$L80,FALSE))*($T80*(1-$F80)+$S80*(1-$G80))*((1+Inputs!$D$7)^CN$2))))))))</f>
        <v>669.08930778490026</v>
      </c>
      <c r="CO80" s="88">
        <f>MAX(AY80,($E80*IF(CO$2&gt;Inputs!$D$5,0,IF(CO$2&gt;VLOOKUP($H80,Lists!$P$3:$Q$7,2),IF($N80=Lists!$K$3,IF($L80&lt;1,(($U80/$L80)*((1+Inputs!$D$7)^CO$2)),((INT(CO$2/$L80)-INT((CO$2-1)/$L80))*$U80*((1+Inputs!$D$7)^CO$2))),(Inputs!$D$8^((1-_xlfn.WEIBULL.DIST(CO$2,$M80,$L80,FALSE))/_xlfn.WEIBULL.DIST(CO$2,$M80,$L80,FALSE))*$U80*((1+Inputs!$D$7)^CO$2))),IF($N80=Lists!$K$3,IF($L80&lt;1,((($T80*(1-$F80)+$S80*(1-$G80))/$L80)*((1+Inputs!$D$7)^CO$2)),((INT(CO$2/$L80)-INT((CO$2-1)/$L80))*($T80*(1-$F80)+$S80*(1-$G80))*((1+Inputs!$D$7)^CO$2))),((Inputs!$D$8^((1-_xlfn.WEIBULL.DIST(CO$2,$M80,$L80,FALSE))/_xlfn.WEIBULL.DIST(CO$2,$M80,$L80,FALSE))*($T80*(1-$F80)+$S80*(1-$G80))*((1+Inputs!$D$7)^CO$2))))))))</f>
        <v>682.47109394059828</v>
      </c>
      <c r="CP80" s="88">
        <f>MAX(AZ80,($E80*IF(CP$2&gt;Inputs!$D$5,0,IF(CP$2&gt;VLOOKUP($H80,Lists!$P$3:$Q$7,2),IF($N80=Lists!$K$3,IF($L80&lt;1,(($U80/$L80)*((1+Inputs!$D$7)^CP$2)),((INT(CP$2/$L80)-INT((CP$2-1)/$L80))*$U80*((1+Inputs!$D$7)^CP$2))),(Inputs!$D$8^((1-_xlfn.WEIBULL.DIST(CP$2,$M80,$L80,FALSE))/_xlfn.WEIBULL.DIST(CP$2,$M80,$L80,FALSE))*$U80*((1+Inputs!$D$7)^CP$2))),IF($N80=Lists!$K$3,IF($L80&lt;1,((($T80*(1-$F80)+$S80*(1-$G80))/$L80)*((1+Inputs!$D$7)^CP$2)),((INT(CP$2/$L80)-INT((CP$2-1)/$L80))*($T80*(1-$F80)+$S80*(1-$G80))*((1+Inputs!$D$7)^CP$2))),((Inputs!$D$8^((1-_xlfn.WEIBULL.DIST(CP$2,$M80,$L80,FALSE))/_xlfn.WEIBULL.DIST(CP$2,$M80,$L80,FALSE))*($T80*(1-$F80)+$S80*(1-$G80))*((1+Inputs!$D$7)^CP$2))))))))</f>
        <v>0</v>
      </c>
      <c r="CQ80" s="88">
        <f>MAX(BA80,($E80*IF(CQ$2&gt;Inputs!$D$5,0,IF(CQ$2&gt;VLOOKUP($H80,Lists!$P$3:$Q$7,2),IF($N80=Lists!$K$3,IF($L80&lt;1,(($U80/$L80)*((1+Inputs!$D$7)^CQ$2)),((INT(CQ$2/$L80)-INT((CQ$2-1)/$L80))*$U80*((1+Inputs!$D$7)^CQ$2))),(Inputs!$D$8^((1-_xlfn.WEIBULL.DIST(CQ$2,$M80,$L80,FALSE))/_xlfn.WEIBULL.DIST(CQ$2,$M80,$L80,FALSE))*$U80*((1+Inputs!$D$7)^CQ$2))),IF($N80=Lists!$K$3,IF($L80&lt;1,((($T80*(1-$F80)+$S80*(1-$G80))/$L80)*((1+Inputs!$D$7)^CQ$2)),((INT(CQ$2/$L80)-INT((CQ$2-1)/$L80))*($T80*(1-$F80)+$S80*(1-$G80))*((1+Inputs!$D$7)^CQ$2))),((Inputs!$D$8^((1-_xlfn.WEIBULL.DIST(CQ$2,$M80,$L80,FALSE))/_xlfn.WEIBULL.DIST(CQ$2,$M80,$L80,FALSE))*($T80*(1-$F80)+$S80*(1-$G80))*((1+Inputs!$D$7)^CQ$2))))))))</f>
        <v>0</v>
      </c>
      <c r="CR80" s="88">
        <f>MAX(BB80,($E80*IF(CR$2&gt;Inputs!$D$5,0,IF(CR$2&gt;VLOOKUP($H80,Lists!$P$3:$Q$7,2),IF($N80=Lists!$K$3,IF($L80&lt;1,(($U80/$L80)*((1+Inputs!$D$7)^CR$2)),((INT(CR$2/$L80)-INT((CR$2-1)/$L80))*$U80*((1+Inputs!$D$7)^CR$2))),(Inputs!$D$8^((1-_xlfn.WEIBULL.DIST(CR$2,$M80,$L80,FALSE))/_xlfn.WEIBULL.DIST(CR$2,$M80,$L80,FALSE))*$U80*((1+Inputs!$D$7)^CR$2))),IF($N80=Lists!$K$3,IF($L80&lt;1,((($T80*(1-$F80)+$S80*(1-$G80))/$L80)*((1+Inputs!$D$7)^CR$2)),((INT(CR$2/$L80)-INT((CR$2-1)/$L80))*($T80*(1-$F80)+$S80*(1-$G80))*((1+Inputs!$D$7)^CR$2))),((Inputs!$D$8^((1-_xlfn.WEIBULL.DIST(CR$2,$M80,$L80,FALSE))/_xlfn.WEIBULL.DIST(CR$2,$M80,$L80,FALSE))*($T80*(1-$F80)+$S80*(1-$G80))*((1+Inputs!$D$7)^CR$2))))))))</f>
        <v>0</v>
      </c>
      <c r="CS80" s="88">
        <f>MAX(BC80,($E80*IF(CS$2&gt;Inputs!$D$5,0,IF(CS$2&gt;VLOOKUP($H80,Lists!$P$3:$Q$7,2),IF($N80=Lists!$K$3,IF($L80&lt;1,(($U80/$L80)*((1+Inputs!$D$7)^CS$2)),((INT(CS$2/$L80)-INT((CS$2-1)/$L80))*$U80*((1+Inputs!$D$7)^CS$2))),(Inputs!$D$8^((1-_xlfn.WEIBULL.DIST(CS$2,$M80,$L80,FALSE))/_xlfn.WEIBULL.DIST(CS$2,$M80,$L80,FALSE))*$U80*((1+Inputs!$D$7)^CS$2))),IF($N80=Lists!$K$3,IF($L80&lt;1,((($T80*(1-$F80)+$S80*(1-$G80))/$L80)*((1+Inputs!$D$7)^CS$2)),((INT(CS$2/$L80)-INT((CS$2-1)/$L80))*($T80*(1-$F80)+$S80*(1-$G80))*((1+Inputs!$D$7)^CS$2))),((Inputs!$D$8^((1-_xlfn.WEIBULL.DIST(CS$2,$M80,$L80,FALSE))/_xlfn.WEIBULL.DIST(CS$2,$M80,$L80,FALSE))*($T80*(1-$F80)+$S80*(1-$G80))*((1+Inputs!$D$7)^CS$2))))))))</f>
        <v>0</v>
      </c>
      <c r="CT80" s="88">
        <f>MAX(BD80,($E80*IF(CT$2&gt;Inputs!$D$5,0,IF(CT$2&gt;VLOOKUP($H80,Lists!$P$3:$Q$7,2),IF($N80=Lists!$K$3,IF($L80&lt;1,(($U80/$L80)*((1+Inputs!$D$7)^CT$2)),((INT(CT$2/$L80)-INT((CT$2-1)/$L80))*$U80*((1+Inputs!$D$7)^CT$2))),(Inputs!$D$8^((1-_xlfn.WEIBULL.DIST(CT$2,$M80,$L80,FALSE))/_xlfn.WEIBULL.DIST(CT$2,$M80,$L80,FALSE))*$U80*((1+Inputs!$D$7)^CT$2))),IF($N80=Lists!$K$3,IF($L80&lt;1,((($T80*(1-$F80)+$S80*(1-$G80))/$L80)*((1+Inputs!$D$7)^CT$2)),((INT(CT$2/$L80)-INT((CT$2-1)/$L80))*($T80*(1-$F80)+$S80*(1-$G80))*((1+Inputs!$D$7)^CT$2))),((Inputs!$D$8^((1-_xlfn.WEIBULL.DIST(CT$2,$M80,$L80,FALSE))/_xlfn.WEIBULL.DIST(CT$2,$M80,$L80,FALSE))*($T80*(1-$F80)+$S80*(1-$G80))*((1+Inputs!$D$7)^CT$2))))))))</f>
        <v>0</v>
      </c>
      <c r="CU80" s="88">
        <f>MAX(BE80,($E80*IF(CU$2&gt;Inputs!$D$5,0,IF(CU$2&gt;VLOOKUP($H80,Lists!$P$3:$Q$7,2),IF($N80=Lists!$K$3,IF($L80&lt;1,(($U80/$L80)*((1+Inputs!$D$7)^CU$2)),((INT(CU$2/$L80)-INT((CU$2-1)/$L80))*$U80*((1+Inputs!$D$7)^CU$2))),(Inputs!$D$8^((1-_xlfn.WEIBULL.DIST(CU$2,$M80,$L80,FALSE))/_xlfn.WEIBULL.DIST(CU$2,$M80,$L80,FALSE))*$U80*((1+Inputs!$D$7)^CU$2))),IF($N80=Lists!$K$3,IF($L80&lt;1,((($T80*(1-$F80)+$S80*(1-$G80))/$L80)*((1+Inputs!$D$7)^CU$2)),((INT(CU$2/$L80)-INT((CU$2-1)/$L80))*($T80*(1-$F80)+$S80*(1-$G80))*((1+Inputs!$D$7)^CU$2))),((Inputs!$D$8^((1-_xlfn.WEIBULL.DIST(CU$2,$M80,$L80,FALSE))/_xlfn.WEIBULL.DIST(CU$2,$M80,$L80,FALSE))*($T80*(1-$F80)+$S80*(1-$G80))*((1+Inputs!$D$7)^CU$2))))))))</f>
        <v>0</v>
      </c>
      <c r="CV80" s="88">
        <f>MAX(BF80,($E80*IF(CV$2&gt;Inputs!$D$5,0,IF(CV$2&gt;VLOOKUP($H80,Lists!$P$3:$Q$7,2),IF($N80=Lists!$K$3,IF($L80&lt;1,(($U80/$L80)*((1+Inputs!$D$7)^CV$2)),((INT(CV$2/$L80)-INT((CV$2-1)/$L80))*$U80*((1+Inputs!$D$7)^CV$2))),(Inputs!$D$8^((1-_xlfn.WEIBULL.DIST(CV$2,$M80,$L80,FALSE))/_xlfn.WEIBULL.DIST(CV$2,$M80,$L80,FALSE))*$U80*((1+Inputs!$D$7)^CV$2))),IF($N80=Lists!$K$3,IF($L80&lt;1,((($T80*(1-$F80)+$S80*(1-$G80))/$L80)*((1+Inputs!$D$7)^CV$2)),((INT(CV$2/$L80)-INT((CV$2-1)/$L80))*($T80*(1-$F80)+$S80*(1-$G80))*((1+Inputs!$D$7)^CV$2))),((Inputs!$D$8^((1-_xlfn.WEIBULL.DIST(CV$2,$M80,$L80,FALSE))/_xlfn.WEIBULL.DIST(CV$2,$M80,$L80,FALSE))*($T80*(1-$F80)+$S80*(1-$G80))*((1+Inputs!$D$7)^CV$2))))))))</f>
        <v>0</v>
      </c>
      <c r="CW80" s="88">
        <f>MAX(BG80,($E80*IF(CW$2&gt;Inputs!$D$5,0,IF(CW$2&gt;VLOOKUP($H80,Lists!$P$3:$Q$7,2),IF($N80=Lists!$K$3,IF($L80&lt;1,(($U80/$L80)*((1+Inputs!$D$7)^CW$2)),((INT(CW$2/$L80)-INT((CW$2-1)/$L80))*$U80*((1+Inputs!$D$7)^CW$2))),(Inputs!$D$8^((1-_xlfn.WEIBULL.DIST(CW$2,$M80,$L80,FALSE))/_xlfn.WEIBULL.DIST(CW$2,$M80,$L80,FALSE))*$U80*((1+Inputs!$D$7)^CW$2))),IF($N80=Lists!$K$3,IF($L80&lt;1,((($T80*(1-$F80)+$S80*(1-$G80))/$L80)*((1+Inputs!$D$7)^CW$2)),((INT(CW$2/$L80)-INT((CW$2-1)/$L80))*($T80*(1-$F80)+$S80*(1-$G80))*((1+Inputs!$D$7)^CW$2))),((Inputs!$D$8^((1-_xlfn.WEIBULL.DIST(CW$2,$M80,$L80,FALSE))/_xlfn.WEIBULL.DIST(CW$2,$M80,$L80,FALSE))*($T80*(1-$F80)+$S80*(1-$G80))*((1+Inputs!$D$7)^CW$2))))))))</f>
        <v>0</v>
      </c>
      <c r="CX80" s="88">
        <f>MAX(BH80,($E80*IF(CX$2&gt;Inputs!$D$5,0,IF(CX$2&gt;VLOOKUP($H80,Lists!$P$3:$Q$7,2),IF($N80=Lists!$K$3,IF($L80&lt;1,(($U80/$L80)*((1+Inputs!$D$7)^CX$2)),((INT(CX$2/$L80)-INT((CX$2-1)/$L80))*$U80*((1+Inputs!$D$7)^CX$2))),(Inputs!$D$8^((1-_xlfn.WEIBULL.DIST(CX$2,$M80,$L80,FALSE))/_xlfn.WEIBULL.DIST(CX$2,$M80,$L80,FALSE))*$U80*((1+Inputs!$D$7)^CX$2))),IF($N80=Lists!$K$3,IF($L80&lt;1,((($T80*(1-$F80)+$S80*(1-$G80))/$L80)*((1+Inputs!$D$7)^CX$2)),((INT(CX$2/$L80)-INT((CX$2-1)/$L80))*($T80*(1-$F80)+$S80*(1-$G80))*((1+Inputs!$D$7)^CX$2))),((Inputs!$D$8^((1-_xlfn.WEIBULL.DIST(CX$2,$M80,$L80,FALSE))/_xlfn.WEIBULL.DIST(CX$2,$M80,$L80,FALSE))*($T80*(1-$F80)+$S80*(1-$G80))*((1+Inputs!$D$7)^CX$2))))))))</f>
        <v>0</v>
      </c>
      <c r="CY80" s="88">
        <f>MAX(BI80,($E80*IF(CY$2&gt;Inputs!$D$5,0,IF(CY$2&gt;VLOOKUP($H80,Lists!$P$3:$Q$7,2),IF($N80=Lists!$K$3,IF($L80&lt;1,(($U80/$L80)*((1+Inputs!$D$7)^CY$2)),((INT(CY$2/$L80)-INT((CY$2-1)/$L80))*$U80*((1+Inputs!$D$7)^CY$2))),(Inputs!$D$8^((1-_xlfn.WEIBULL.DIST(CY$2,$M80,$L80,FALSE))/_xlfn.WEIBULL.DIST(CY$2,$M80,$L80,FALSE))*$U80*((1+Inputs!$D$7)^CY$2))),IF($N80=Lists!$K$3,IF($L80&lt;1,((($T80*(1-$F80)+$S80*(1-$G80))/$L80)*((1+Inputs!$D$7)^CY$2)),((INT(CY$2/$L80)-INT((CY$2-1)/$L80))*($T80*(1-$F80)+$S80*(1-$G80))*((1+Inputs!$D$7)^CY$2))),((Inputs!$D$8^((1-_xlfn.WEIBULL.DIST(CY$2,$M80,$L80,FALSE))/_xlfn.WEIBULL.DIST(CY$2,$M80,$L80,FALSE))*($T80*(1-$F80)+$S80*(1-$G80))*((1+Inputs!$D$7)^CY$2))))))))</f>
        <v>0</v>
      </c>
      <c r="CZ80" s="88">
        <f>MAX(BJ80,($E80*IF(CZ$2&gt;Inputs!$D$5,0,IF(CZ$2&gt;VLOOKUP($H80,Lists!$P$3:$Q$7,2),IF($N80=Lists!$K$3,IF($L80&lt;1,(($U80/$L80)*((1+Inputs!$D$7)^CZ$2)),((INT(CZ$2/$L80)-INT((CZ$2-1)/$L80))*$U80*((1+Inputs!$D$7)^CZ$2))),(Inputs!$D$8^((1-_xlfn.WEIBULL.DIST(CZ$2,$M80,$L80,FALSE))/_xlfn.WEIBULL.DIST(CZ$2,$M80,$L80,FALSE))*$U80*((1+Inputs!$D$7)^CZ$2))),IF($N80=Lists!$K$3,IF($L80&lt;1,((($T80*(1-$F80)+$S80*(1-$G80))/$L80)*((1+Inputs!$D$7)^CZ$2)),((INT(CZ$2/$L80)-INT((CZ$2-1)/$L80))*($T80*(1-$F80)+$S80*(1-$G80))*((1+Inputs!$D$7)^CZ$2))),((Inputs!$D$8^((1-_xlfn.WEIBULL.DIST(CZ$2,$M80,$L80,FALSE))/_xlfn.WEIBULL.DIST(CZ$2,$M80,$L80,FALSE))*($T80*(1-$F80)+$S80*(1-$G80))*((1+Inputs!$D$7)^CZ$2))))))))</f>
        <v>0</v>
      </c>
      <c r="DA80" s="88">
        <f>MAX(BK80,($E80*IF(DA$2&gt;Inputs!$D$5,0,IF(DA$2&gt;VLOOKUP($H80,Lists!$P$3:$Q$7,2),IF($N80=Lists!$K$3,IF($L80&lt;1,(($U80/$L80)*((1+Inputs!$D$7)^DA$2)),((INT(DA$2/$L80)-INT((DA$2-1)/$L80))*$U80*((1+Inputs!$D$7)^DA$2))),(Inputs!$D$8^((1-_xlfn.WEIBULL.DIST(DA$2,$M80,$L80,FALSE))/_xlfn.WEIBULL.DIST(DA$2,$M80,$L80,FALSE))*$U80*((1+Inputs!$D$7)^DA$2))),IF($N80=Lists!$K$3,IF($L80&lt;1,((($T80*(1-$F80)+$S80*(1-$G80))/$L80)*((1+Inputs!$D$7)^DA$2)),((INT(DA$2/$L80)-INT((DA$2-1)/$L80))*($T80*(1-$F80)+$S80*(1-$G80))*((1+Inputs!$D$7)^DA$2))),((Inputs!$D$8^((1-_xlfn.WEIBULL.DIST(DA$2,$M80,$L80,FALSE))/_xlfn.WEIBULL.DIST(DA$2,$M80,$L80,FALSE))*($T80*(1-$F80)+$S80*(1-$G80))*((1+Inputs!$D$7)^DA$2))))))))</f>
        <v>0</v>
      </c>
      <c r="DB80" s="88">
        <f>MAX(BL80,($E80*IF(DB$2&gt;Inputs!$D$5,0,IF(DB$2&gt;VLOOKUP($H80,Lists!$P$3:$Q$7,2),IF($N80=Lists!$K$3,IF($L80&lt;1,(($U80/$L80)*((1+Inputs!$D$7)^DB$2)),((INT(DB$2/$L80)-INT((DB$2-1)/$L80))*$U80*((1+Inputs!$D$7)^DB$2))),(Inputs!$D$8^((1-_xlfn.WEIBULL.DIST(DB$2,$M80,$L80,FALSE))/_xlfn.WEIBULL.DIST(DB$2,$M80,$L80,FALSE))*$U80*((1+Inputs!$D$7)^DB$2))),IF($N80=Lists!$K$3,IF($L80&lt;1,((($T80*(1-$F80)+$S80*(1-$G80))/$L80)*((1+Inputs!$D$7)^DB$2)),((INT(DB$2/$L80)-INT((DB$2-1)/$L80))*($T80*(1-$F80)+$S80*(1-$G80))*((1+Inputs!$D$7)^DB$2))),((Inputs!$D$8^((1-_xlfn.WEIBULL.DIST(DB$2,$M80,$L80,FALSE))/_xlfn.WEIBULL.DIST(DB$2,$M80,$L80,FALSE))*($T80*(1-$F80)+$S80*(1-$G80))*((1+Inputs!$D$7)^DB$2))))))))</f>
        <v>0</v>
      </c>
      <c r="DC80" s="88">
        <f>MAX(BM80,($E80*IF(DC$2&gt;Inputs!$D$5,0,IF(DC$2&gt;VLOOKUP($H80,Lists!$P$3:$Q$7,2),IF($N80=Lists!$K$3,IF($L80&lt;1,(($U80/$L80)*((1+Inputs!$D$7)^DC$2)),((INT(DC$2/$L80)-INT((DC$2-1)/$L80))*$U80*((1+Inputs!$D$7)^DC$2))),(Inputs!$D$8^((1-_xlfn.WEIBULL.DIST(DC$2,$M80,$L80,FALSE))/_xlfn.WEIBULL.DIST(DC$2,$M80,$L80,FALSE))*$U80*((1+Inputs!$D$7)^DC$2))),IF($N80=Lists!$K$3,IF($L80&lt;1,((($T80*(1-$F80)+$S80*(1-$G80))/$L80)*((1+Inputs!$D$7)^DC$2)),((INT(DC$2/$L80)-INT((DC$2-1)/$L80))*($T80*(1-$F80)+$S80*(1-$G80))*((1+Inputs!$D$7)^DC$2))),((Inputs!$D$8^((1-_xlfn.WEIBULL.DIST(DC$2,$M80,$L80,FALSE))/_xlfn.WEIBULL.DIST(DC$2,$M80,$L80,FALSE))*($T80*(1-$F80)+$S80*(1-$G80))*((1+Inputs!$D$7)^DC$2))))))))</f>
        <v>0</v>
      </c>
      <c r="DD80" s="88">
        <f>MAX(BN80,($E80*IF(DD$2&gt;Inputs!$D$5,0,IF(DD$2&gt;VLOOKUP($H80,Lists!$P$3:$Q$7,2),IF($N80=Lists!$K$3,IF($L80&lt;1,(($U80/$L80)*((1+Inputs!$D$7)^DD$2)),((INT(DD$2/$L80)-INT((DD$2-1)/$L80))*$U80*((1+Inputs!$D$7)^DD$2))),(Inputs!$D$8^((1-_xlfn.WEIBULL.DIST(DD$2,$M80,$L80,FALSE))/_xlfn.WEIBULL.DIST(DD$2,$M80,$L80,FALSE))*$U80*((1+Inputs!$D$7)^DD$2))),IF($N80=Lists!$K$3,IF($L80&lt;1,((($T80*(1-$F80)+$S80*(1-$G80))/$L80)*((1+Inputs!$D$7)^DD$2)),((INT(DD$2/$L80)-INT((DD$2-1)/$L80))*($T80*(1-$F80)+$S80*(1-$G80))*((1+Inputs!$D$7)^DD$2))),((Inputs!$D$8^((1-_xlfn.WEIBULL.DIST(DD$2,$M80,$L80,FALSE))/_xlfn.WEIBULL.DIST(DD$2,$M80,$L80,FALSE))*($T80*(1-$F80)+$S80*(1-$G80))*((1+Inputs!$D$7)^DD$2))))))))</f>
        <v>0</v>
      </c>
    </row>
    <row r="81" spans="1:108" s="1" customFormat="1" ht="23.25" customHeight="1">
      <c r="A81" s="57" t="s">
        <v>261</v>
      </c>
      <c r="B81" s="13" t="s">
        <v>279</v>
      </c>
      <c r="C81" s="13" t="s">
        <v>90</v>
      </c>
      <c r="D81" s="13" t="s">
        <v>123</v>
      </c>
      <c r="E81" s="48">
        <v>1</v>
      </c>
      <c r="F81" s="48">
        <v>0</v>
      </c>
      <c r="G81" s="48">
        <v>0</v>
      </c>
      <c r="H81" s="105" t="s">
        <v>350</v>
      </c>
      <c r="I81" s="14" t="s">
        <v>263</v>
      </c>
      <c r="J81" s="14" t="s">
        <v>246</v>
      </c>
      <c r="K81" s="13">
        <f>VLOOKUP(J81,'Labor Rates'!$A$1:$F$16,2)</f>
        <v>33.119999999999997</v>
      </c>
      <c r="L81" s="15">
        <v>5</v>
      </c>
      <c r="M81" s="15">
        <v>1</v>
      </c>
      <c r="N81" s="13" t="s">
        <v>236</v>
      </c>
      <c r="O81" s="61">
        <f>Inputs!$D$25</f>
        <v>2341.9203747072602</v>
      </c>
      <c r="P81" s="15">
        <v>0.05</v>
      </c>
      <c r="Q81" s="15">
        <f t="shared" si="14"/>
        <v>23.419203747072604</v>
      </c>
      <c r="R81" s="4">
        <v>0</v>
      </c>
      <c r="S81" s="53">
        <f t="shared" si="15"/>
        <v>3878.2201405152227</v>
      </c>
      <c r="T81" s="53">
        <f t="shared" si="16"/>
        <v>0</v>
      </c>
      <c r="U81" s="54">
        <f t="shared" si="17"/>
        <v>3878.2201405152227</v>
      </c>
      <c r="V81" s="65"/>
      <c r="W81" s="58"/>
      <c r="X81" s="64">
        <f t="shared" si="18"/>
        <v>999.59009667627993</v>
      </c>
      <c r="Y81" s="64">
        <f>NPV(Inputs!$D$6,AA81:BN81)</f>
        <v>10009.497219668068</v>
      </c>
      <c r="Z81" s="67">
        <f t="shared" si="19"/>
        <v>4.7209675595356829E-3</v>
      </c>
      <c r="AA81" s="88">
        <f>$E81*IF(AA$2&gt;Inputs!$D$5,0,IF(AA$2&gt;VLOOKUP($H81,Lists!$P$3:$Q$7,2),IF($N81=Lists!$K$3,IF($L81&lt;1,(($U81/$L81)*((1+Inputs!$D$7)^AA$2)),((INT(AA$2/$L81)-INT((AA$2-1)/$L81))*$U81*((1+Inputs!$D$7)^AA$2))),(_xlfn.WEIBULL.DIST(AA$2,$M81,$L81,FALSE)*$U81*((1+Inputs!$D$7)^AA$2))),IF($N81=Lists!$K$3,IF($L81&lt;1,((($T81*(1-$F81)+$S81*(1-$G81))/$L81)*((1+Inputs!$D$7)^AA$2)),((INT(AA$2/$L81)-INT((AA$2-1)/$L81))*($T81*(1-$F81)+$S81*(1-$G81))*((1+Inputs!$D$7)^AA$2))),((_xlfn.WEIBULL.DIST(AA$2,$M81,$L81,FALSE)*($T81*(1-$F81)+$S81*(1-$G81))*((1+Inputs!$D$7)^AA$2))))))</f>
        <v>0</v>
      </c>
      <c r="AB81" s="88">
        <f>$E81*IF(AB$2&gt;Inputs!$D$5,0,IF(AB$2&gt;VLOOKUP($H81,Lists!$P$3:$Q$7,2),IF($N81=Lists!$K$3,IF($L81&lt;1,(($U81/$L81)*((1+Inputs!$D$7)^AB$2)),((INT(AB$2/$L81)-INT((AB$2-1)/$L81))*$U81*((1+Inputs!$D$7)^AB$2))),(_xlfn.WEIBULL.DIST(AB$2,$M81,$L81,FALSE)*$U81*((1+Inputs!$D$7)^AB$2))),IF($N81=Lists!$K$3,IF($L81&lt;1,((($T81*(1-$F81)+$S81*(1-$G81))/$L81)*((1+Inputs!$D$7)^AB$2)),((INT(AB$2/$L81)-INT((AB$2-1)/$L81))*($T81*(1-$F81)+$S81*(1-$G81))*((1+Inputs!$D$7)^AB$2))),((_xlfn.WEIBULL.DIST(AB$2,$M81,$L81,FALSE)*($T81*(1-$F81)+$S81*(1-$G81))*((1+Inputs!$D$7)^AB$2))))))</f>
        <v>0</v>
      </c>
      <c r="AC81" s="88">
        <f>$E81*IF(AC$2&gt;Inputs!$D$5,0,IF(AC$2&gt;VLOOKUP($H81,Lists!$P$3:$Q$7,2),IF($N81=Lists!$K$3,IF($L81&lt;1,(($U81/$L81)*((1+Inputs!$D$7)^AC$2)),((INT(AC$2/$L81)-INT((AC$2-1)/$L81))*$U81*((1+Inputs!$D$7)^AC$2))),(_xlfn.WEIBULL.DIST(AC$2,$M81,$L81,FALSE)*$U81*((1+Inputs!$D$7)^AC$2))),IF($N81=Lists!$K$3,IF($L81&lt;1,((($T81*(1-$F81)+$S81*(1-$G81))/$L81)*((1+Inputs!$D$7)^AC$2)),((INT(AC$2/$L81)-INT((AC$2-1)/$L81))*($T81*(1-$F81)+$S81*(1-$G81))*((1+Inputs!$D$7)^AC$2))),((_xlfn.WEIBULL.DIST(AC$2,$M81,$L81,FALSE)*($T81*(1-$F81)+$S81*(1-$G81))*((1+Inputs!$D$7)^AC$2))))))</f>
        <v>0</v>
      </c>
      <c r="AD81" s="88">
        <f>$E81*IF(AD$2&gt;Inputs!$D$5,0,IF(AD$2&gt;VLOOKUP($H81,Lists!$P$3:$Q$7,2),IF($N81=Lists!$K$3,IF($L81&lt;1,(($U81/$L81)*((1+Inputs!$D$7)^AD$2)),((INT(AD$2/$L81)-INT((AD$2-1)/$L81))*$U81*((1+Inputs!$D$7)^AD$2))),(_xlfn.WEIBULL.DIST(AD$2,$M81,$L81,FALSE)*$U81*((1+Inputs!$D$7)^AD$2))),IF($N81=Lists!$K$3,IF($L81&lt;1,((($T81*(1-$F81)+$S81*(1-$G81))/$L81)*((1+Inputs!$D$7)^AD$2)),((INT(AD$2/$L81)-INT((AD$2-1)/$L81))*($T81*(1-$F81)+$S81*(1-$G81))*((1+Inputs!$D$7)^AD$2))),((_xlfn.WEIBULL.DIST(AD$2,$M81,$L81,FALSE)*($T81*(1-$F81)+$S81*(1-$G81))*((1+Inputs!$D$7)^AD$2))))))</f>
        <v>0</v>
      </c>
      <c r="AE81" s="88">
        <f>$E81*IF(AE$2&gt;Inputs!$D$5,0,IF(AE$2&gt;VLOOKUP($H81,Lists!$P$3:$Q$7,2),IF($N81=Lists!$K$3,IF($L81&lt;1,(($U81/$L81)*((1+Inputs!$D$7)^AE$2)),((INT(AE$2/$L81)-INT((AE$2-1)/$L81))*$U81*((1+Inputs!$D$7)^AE$2))),(_xlfn.WEIBULL.DIST(AE$2,$M81,$L81,FALSE)*$U81*((1+Inputs!$D$7)^AE$2))),IF($N81=Lists!$K$3,IF($L81&lt;1,((($T81*(1-$F81)+$S81*(1-$G81))/$L81)*((1+Inputs!$D$7)^AE$2)),((INT(AE$2/$L81)-INT((AE$2-1)/$L81))*($T81*(1-$F81)+$S81*(1-$G81))*((1+Inputs!$D$7)^AE$2))),((_xlfn.WEIBULL.DIST(AE$2,$M81,$L81,FALSE)*($T81*(1-$F81)+$S81*(1-$G81))*((1+Inputs!$D$7)^AE$2))))))</f>
        <v>4281.8684077264643</v>
      </c>
      <c r="AF81" s="88">
        <f>$E81*IF(AF$2&gt;Inputs!$D$5,0,IF(AF$2&gt;VLOOKUP($H81,Lists!$P$3:$Q$7,2),IF($N81=Lists!$K$3,IF($L81&lt;1,(($U81/$L81)*((1+Inputs!$D$7)^AF$2)),((INT(AF$2/$L81)-INT((AF$2-1)/$L81))*$U81*((1+Inputs!$D$7)^AF$2))),(_xlfn.WEIBULL.DIST(AF$2,$M81,$L81,FALSE)*$U81*((1+Inputs!$D$7)^AF$2))),IF($N81=Lists!$K$3,IF($L81&lt;1,((($T81*(1-$F81)+$S81*(1-$G81))/$L81)*((1+Inputs!$D$7)^AF$2)),((INT(AF$2/$L81)-INT((AF$2-1)/$L81))*($T81*(1-$F81)+$S81*(1-$G81))*((1+Inputs!$D$7)^AF$2))),((_xlfn.WEIBULL.DIST(AF$2,$M81,$L81,FALSE)*($T81*(1-$F81)+$S81*(1-$G81))*((1+Inputs!$D$7)^AF$2))))))</f>
        <v>0</v>
      </c>
      <c r="AG81" s="88">
        <f>$E81*IF(AG$2&gt;Inputs!$D$5,0,IF(AG$2&gt;VLOOKUP($H81,Lists!$P$3:$Q$7,2),IF($N81=Lists!$K$3,IF($L81&lt;1,(($U81/$L81)*((1+Inputs!$D$7)^AG$2)),((INT(AG$2/$L81)-INT((AG$2-1)/$L81))*$U81*((1+Inputs!$D$7)^AG$2))),(_xlfn.WEIBULL.DIST(AG$2,$M81,$L81,FALSE)*$U81*((1+Inputs!$D$7)^AG$2))),IF($N81=Lists!$K$3,IF($L81&lt;1,((($T81*(1-$F81)+$S81*(1-$G81))/$L81)*((1+Inputs!$D$7)^AG$2)),((INT(AG$2/$L81)-INT((AG$2-1)/$L81))*($T81*(1-$F81)+$S81*(1-$G81))*((1+Inputs!$D$7)^AG$2))),((_xlfn.WEIBULL.DIST(AG$2,$M81,$L81,FALSE)*($T81*(1-$F81)+$S81*(1-$G81))*((1+Inputs!$D$7)^AG$2))))))</f>
        <v>0</v>
      </c>
      <c r="AH81" s="88">
        <f>$E81*IF(AH$2&gt;Inputs!$D$5,0,IF(AH$2&gt;VLOOKUP($H81,Lists!$P$3:$Q$7,2),IF($N81=Lists!$K$3,IF($L81&lt;1,(($U81/$L81)*((1+Inputs!$D$7)^AH$2)),((INT(AH$2/$L81)-INT((AH$2-1)/$L81))*$U81*((1+Inputs!$D$7)^AH$2))),(_xlfn.WEIBULL.DIST(AH$2,$M81,$L81,FALSE)*$U81*((1+Inputs!$D$7)^AH$2))),IF($N81=Lists!$K$3,IF($L81&lt;1,((($T81*(1-$F81)+$S81*(1-$G81))/$L81)*((1+Inputs!$D$7)^AH$2)),((INT(AH$2/$L81)-INT((AH$2-1)/$L81))*($T81*(1-$F81)+$S81*(1-$G81))*((1+Inputs!$D$7)^AH$2))),((_xlfn.WEIBULL.DIST(AH$2,$M81,$L81,FALSE)*($T81*(1-$F81)+$S81*(1-$G81))*((1+Inputs!$D$7)^AH$2))))))</f>
        <v>0</v>
      </c>
      <c r="AI81" s="88">
        <f>$E81*IF(AI$2&gt;Inputs!$D$5,0,IF(AI$2&gt;VLOOKUP($H81,Lists!$P$3:$Q$7,2),IF($N81=Lists!$K$3,IF($L81&lt;1,(($U81/$L81)*((1+Inputs!$D$7)^AI$2)),((INT(AI$2/$L81)-INT((AI$2-1)/$L81))*$U81*((1+Inputs!$D$7)^AI$2))),(_xlfn.WEIBULL.DIST(AI$2,$M81,$L81,FALSE)*$U81*((1+Inputs!$D$7)^AI$2))),IF($N81=Lists!$K$3,IF($L81&lt;1,((($T81*(1-$F81)+$S81*(1-$G81))/$L81)*((1+Inputs!$D$7)^AI$2)),((INT(AI$2/$L81)-INT((AI$2-1)/$L81))*($T81*(1-$F81)+$S81*(1-$G81))*((1+Inputs!$D$7)^AI$2))),((_xlfn.WEIBULL.DIST(AI$2,$M81,$L81,FALSE)*($T81*(1-$F81)+$S81*(1-$G81))*((1+Inputs!$D$7)^AI$2))))))</f>
        <v>0</v>
      </c>
      <c r="AJ81" s="88">
        <f>$E81*IF(AJ$2&gt;Inputs!$D$5,0,IF(AJ$2&gt;VLOOKUP($H81,Lists!$P$3:$Q$7,2),IF($N81=Lists!$K$3,IF($L81&lt;1,(($U81/$L81)*((1+Inputs!$D$7)^AJ$2)),((INT(AJ$2/$L81)-INT((AJ$2-1)/$L81))*$U81*((1+Inputs!$D$7)^AJ$2))),(_xlfn.WEIBULL.DIST(AJ$2,$M81,$L81,FALSE)*$U81*((1+Inputs!$D$7)^AJ$2))),IF($N81=Lists!$K$3,IF($L81&lt;1,((($T81*(1-$F81)+$S81*(1-$G81))/$L81)*((1+Inputs!$D$7)^AJ$2)),((INT(AJ$2/$L81)-INT((AJ$2-1)/$L81))*($T81*(1-$F81)+$S81*(1-$G81))*((1+Inputs!$D$7)^AJ$2))),((_xlfn.WEIBULL.DIST(AJ$2,$M81,$L81,FALSE)*($T81*(1-$F81)+$S81*(1-$G81))*((1+Inputs!$D$7)^AJ$2))))))</f>
        <v>4727.528710799339</v>
      </c>
      <c r="AK81" s="88">
        <f>$E81*IF(AK$2&gt;Inputs!$D$5,0,IF(AK$2&gt;VLOOKUP($H81,Lists!$P$3:$Q$7,2),IF($N81=Lists!$K$3,IF($L81&lt;1,(($U81/$L81)*((1+Inputs!$D$7)^AK$2)),((INT(AK$2/$L81)-INT((AK$2-1)/$L81))*$U81*((1+Inputs!$D$7)^AK$2))),(_xlfn.WEIBULL.DIST(AK$2,$M81,$L81,FALSE)*$U81*((1+Inputs!$D$7)^AK$2))),IF($N81=Lists!$K$3,IF($L81&lt;1,((($T81*(1-$F81)+$S81*(1-$G81))/$L81)*((1+Inputs!$D$7)^AK$2)),((INT(AK$2/$L81)-INT((AK$2-1)/$L81))*($T81*(1-$F81)+$S81*(1-$G81))*((1+Inputs!$D$7)^AK$2))),((_xlfn.WEIBULL.DIST(AK$2,$M81,$L81,FALSE)*($T81*(1-$F81)+$S81*(1-$G81))*((1+Inputs!$D$7)^AK$2))))))</f>
        <v>0</v>
      </c>
      <c r="AL81" s="88">
        <f>$E81*IF(AL$2&gt;Inputs!$D$5,0,IF(AL$2&gt;VLOOKUP($H81,Lists!$P$3:$Q$7,2),IF($N81=Lists!$K$3,IF($L81&lt;1,(($U81/$L81)*((1+Inputs!$D$7)^AL$2)),((INT(AL$2/$L81)-INT((AL$2-1)/$L81))*$U81*((1+Inputs!$D$7)^AL$2))),(_xlfn.WEIBULL.DIST(AL$2,$M81,$L81,FALSE)*$U81*((1+Inputs!$D$7)^AL$2))),IF($N81=Lists!$K$3,IF($L81&lt;1,((($T81*(1-$F81)+$S81*(1-$G81))/$L81)*((1+Inputs!$D$7)^AL$2)),((INT(AL$2/$L81)-INT((AL$2-1)/$L81))*($T81*(1-$F81)+$S81*(1-$G81))*((1+Inputs!$D$7)^AL$2))),((_xlfn.WEIBULL.DIST(AL$2,$M81,$L81,FALSE)*($T81*(1-$F81)+$S81*(1-$G81))*((1+Inputs!$D$7)^AL$2))))))</f>
        <v>0</v>
      </c>
      <c r="AM81" s="88">
        <f>$E81*IF(AM$2&gt;Inputs!$D$5,0,IF(AM$2&gt;VLOOKUP($H81,Lists!$P$3:$Q$7,2),IF($N81=Lists!$K$3,IF($L81&lt;1,(($U81/$L81)*((1+Inputs!$D$7)^AM$2)),((INT(AM$2/$L81)-INT((AM$2-1)/$L81))*$U81*((1+Inputs!$D$7)^AM$2))),(_xlfn.WEIBULL.DIST(AM$2,$M81,$L81,FALSE)*$U81*((1+Inputs!$D$7)^AM$2))),IF($N81=Lists!$K$3,IF($L81&lt;1,((($T81*(1-$F81)+$S81*(1-$G81))/$L81)*((1+Inputs!$D$7)^AM$2)),((INT(AM$2/$L81)-INT((AM$2-1)/$L81))*($T81*(1-$F81)+$S81*(1-$G81))*((1+Inputs!$D$7)^AM$2))),((_xlfn.WEIBULL.DIST(AM$2,$M81,$L81,FALSE)*($T81*(1-$F81)+$S81*(1-$G81))*((1+Inputs!$D$7)^AM$2))))))</f>
        <v>0</v>
      </c>
      <c r="AN81" s="88">
        <f>$E81*IF(AN$2&gt;Inputs!$D$5,0,IF(AN$2&gt;VLOOKUP($H81,Lists!$P$3:$Q$7,2),IF($N81=Lists!$K$3,IF($L81&lt;1,(($U81/$L81)*((1+Inputs!$D$7)^AN$2)),((INT(AN$2/$L81)-INT((AN$2-1)/$L81))*$U81*((1+Inputs!$D$7)^AN$2))),(_xlfn.WEIBULL.DIST(AN$2,$M81,$L81,FALSE)*$U81*((1+Inputs!$D$7)^AN$2))),IF($N81=Lists!$K$3,IF($L81&lt;1,((($T81*(1-$F81)+$S81*(1-$G81))/$L81)*((1+Inputs!$D$7)^AN$2)),((INT(AN$2/$L81)-INT((AN$2-1)/$L81))*($T81*(1-$F81)+$S81*(1-$G81))*((1+Inputs!$D$7)^AN$2))),((_xlfn.WEIBULL.DIST(AN$2,$M81,$L81,FALSE)*($T81*(1-$F81)+$S81*(1-$G81))*((1+Inputs!$D$7)^AN$2))))))</f>
        <v>0</v>
      </c>
      <c r="AO81" s="88">
        <f>$E81*IF(AO$2&gt;Inputs!$D$5,0,IF(AO$2&gt;VLOOKUP($H81,Lists!$P$3:$Q$7,2),IF($N81=Lists!$K$3,IF($L81&lt;1,(($U81/$L81)*((1+Inputs!$D$7)^AO$2)),((INT(AO$2/$L81)-INT((AO$2-1)/$L81))*$U81*((1+Inputs!$D$7)^AO$2))),(_xlfn.WEIBULL.DIST(AO$2,$M81,$L81,FALSE)*$U81*((1+Inputs!$D$7)^AO$2))),IF($N81=Lists!$K$3,IF($L81&lt;1,((($T81*(1-$F81)+$S81*(1-$G81))/$L81)*((1+Inputs!$D$7)^AO$2)),((INT(AO$2/$L81)-INT((AO$2-1)/$L81))*($T81*(1-$F81)+$S81*(1-$G81))*((1+Inputs!$D$7)^AO$2))),((_xlfn.WEIBULL.DIST(AO$2,$M81,$L81,FALSE)*($T81*(1-$F81)+$S81*(1-$G81))*((1+Inputs!$D$7)^AO$2))))))</f>
        <v>5219.5736961703942</v>
      </c>
      <c r="AP81" s="88">
        <f>$E81*IF(AP$2&gt;Inputs!$D$5,0,IF(AP$2&gt;VLOOKUP($H81,Lists!$P$3:$Q$7,2),IF($N81=Lists!$K$3,IF($L81&lt;1,(($U81/$L81)*((1+Inputs!$D$7)^AP$2)),((INT(AP$2/$L81)-INT((AP$2-1)/$L81))*$U81*((1+Inputs!$D$7)^AP$2))),(_xlfn.WEIBULL.DIST(AP$2,$M81,$L81,FALSE)*$U81*((1+Inputs!$D$7)^AP$2))),IF($N81=Lists!$K$3,IF($L81&lt;1,((($T81*(1-$F81)+$S81*(1-$G81))/$L81)*((1+Inputs!$D$7)^AP$2)),((INT(AP$2/$L81)-INT((AP$2-1)/$L81))*($T81*(1-$F81)+$S81*(1-$G81))*((1+Inputs!$D$7)^AP$2))),((_xlfn.WEIBULL.DIST(AP$2,$M81,$L81,FALSE)*($T81*(1-$F81)+$S81*(1-$G81))*((1+Inputs!$D$7)^AP$2))))))</f>
        <v>0</v>
      </c>
      <c r="AQ81" s="88">
        <f>$E81*IF(AQ$2&gt;Inputs!$D$5,0,IF(AQ$2&gt;VLOOKUP($H81,Lists!$P$3:$Q$7,2),IF($N81=Lists!$K$3,IF($L81&lt;1,(($U81/$L81)*((1+Inputs!$D$7)^AQ$2)),((INT(AQ$2/$L81)-INT((AQ$2-1)/$L81))*$U81*((1+Inputs!$D$7)^AQ$2))),(_xlfn.WEIBULL.DIST(AQ$2,$M81,$L81,FALSE)*$U81*((1+Inputs!$D$7)^AQ$2))),IF($N81=Lists!$K$3,IF($L81&lt;1,((($T81*(1-$F81)+$S81*(1-$G81))/$L81)*((1+Inputs!$D$7)^AQ$2)),((INT(AQ$2/$L81)-INT((AQ$2-1)/$L81))*($T81*(1-$F81)+$S81*(1-$G81))*((1+Inputs!$D$7)^AQ$2))),((_xlfn.WEIBULL.DIST(AQ$2,$M81,$L81,FALSE)*($T81*(1-$F81)+$S81*(1-$G81))*((1+Inputs!$D$7)^AQ$2))))))</f>
        <v>0</v>
      </c>
      <c r="AR81" s="88">
        <f>$E81*IF(AR$2&gt;Inputs!$D$5,0,IF(AR$2&gt;VLOOKUP($H81,Lists!$P$3:$Q$7,2),IF($N81=Lists!$K$3,IF($L81&lt;1,(($U81/$L81)*((1+Inputs!$D$7)^AR$2)),((INT(AR$2/$L81)-INT((AR$2-1)/$L81))*$U81*((1+Inputs!$D$7)^AR$2))),(_xlfn.WEIBULL.DIST(AR$2,$M81,$L81,FALSE)*$U81*((1+Inputs!$D$7)^AR$2))),IF($N81=Lists!$K$3,IF($L81&lt;1,((($T81*(1-$F81)+$S81*(1-$G81))/$L81)*((1+Inputs!$D$7)^AR$2)),((INT(AR$2/$L81)-INT((AR$2-1)/$L81))*($T81*(1-$F81)+$S81*(1-$G81))*((1+Inputs!$D$7)^AR$2))),((_xlfn.WEIBULL.DIST(AR$2,$M81,$L81,FALSE)*($T81*(1-$F81)+$S81*(1-$G81))*((1+Inputs!$D$7)^AR$2))))))</f>
        <v>0</v>
      </c>
      <c r="AS81" s="88">
        <f>$E81*IF(AS$2&gt;Inputs!$D$5,0,IF(AS$2&gt;VLOOKUP($H81,Lists!$P$3:$Q$7,2),IF($N81=Lists!$K$3,IF($L81&lt;1,(($U81/$L81)*((1+Inputs!$D$7)^AS$2)),((INT(AS$2/$L81)-INT((AS$2-1)/$L81))*$U81*((1+Inputs!$D$7)^AS$2))),(_xlfn.WEIBULL.DIST(AS$2,$M81,$L81,FALSE)*$U81*((1+Inputs!$D$7)^AS$2))),IF($N81=Lists!$K$3,IF($L81&lt;1,((($T81*(1-$F81)+$S81*(1-$G81))/$L81)*((1+Inputs!$D$7)^AS$2)),((INT(AS$2/$L81)-INT((AS$2-1)/$L81))*($T81*(1-$F81)+$S81*(1-$G81))*((1+Inputs!$D$7)^AS$2))),((_xlfn.WEIBULL.DIST(AS$2,$M81,$L81,FALSE)*($T81*(1-$F81)+$S81*(1-$G81))*((1+Inputs!$D$7)^AS$2))))))</f>
        <v>0</v>
      </c>
      <c r="AT81" s="88">
        <f>$E81*IF(AT$2&gt;Inputs!$D$5,0,IF(AT$2&gt;VLOOKUP($H81,Lists!$P$3:$Q$7,2),IF($N81=Lists!$K$3,IF($L81&lt;1,(($U81/$L81)*((1+Inputs!$D$7)^AT$2)),((INT(AT$2/$L81)-INT((AT$2-1)/$L81))*$U81*((1+Inputs!$D$7)^AT$2))),(_xlfn.WEIBULL.DIST(AT$2,$M81,$L81,FALSE)*$U81*((1+Inputs!$D$7)^AT$2))),IF($N81=Lists!$K$3,IF($L81&lt;1,((($T81*(1-$F81)+$S81*(1-$G81))/$L81)*((1+Inputs!$D$7)^AT$2)),((INT(AT$2/$L81)-INT((AT$2-1)/$L81))*($T81*(1-$F81)+$S81*(1-$G81))*((1+Inputs!$D$7)^AT$2))),((_xlfn.WEIBULL.DIST(AT$2,$M81,$L81,FALSE)*($T81*(1-$F81)+$S81*(1-$G81))*((1+Inputs!$D$7)^AT$2))))))</f>
        <v>5762.8311188294019</v>
      </c>
      <c r="AU81" s="88">
        <f>$E81*IF(AU$2&gt;Inputs!$D$5,0,IF(AU$2&gt;VLOOKUP($H81,Lists!$P$3:$Q$7,2),IF($N81=Lists!$K$3,IF($L81&lt;1,(($U81/$L81)*((1+Inputs!$D$7)^AU$2)),((INT(AU$2/$L81)-INT((AU$2-1)/$L81))*$U81*((1+Inputs!$D$7)^AU$2))),(_xlfn.WEIBULL.DIST(AU$2,$M81,$L81,FALSE)*$U81*((1+Inputs!$D$7)^AU$2))),IF($N81=Lists!$K$3,IF($L81&lt;1,((($T81*(1-$F81)+$S81*(1-$G81))/$L81)*((1+Inputs!$D$7)^AU$2)),((INT(AU$2/$L81)-INT((AU$2-1)/$L81))*($T81*(1-$F81)+$S81*(1-$G81))*((1+Inputs!$D$7)^AU$2))),((_xlfn.WEIBULL.DIST(AU$2,$M81,$L81,FALSE)*($T81*(1-$F81)+$S81*(1-$G81))*((1+Inputs!$D$7)^AU$2))))))</f>
        <v>0</v>
      </c>
      <c r="AV81" s="88">
        <f>$E81*IF(AV$2&gt;Inputs!$D$5,0,IF(AV$2&gt;VLOOKUP($H81,Lists!$P$3:$Q$7,2),IF($N81=Lists!$K$3,IF($L81&lt;1,(($U81/$L81)*((1+Inputs!$D$7)^AV$2)),((INT(AV$2/$L81)-INT((AV$2-1)/$L81))*$U81*((1+Inputs!$D$7)^AV$2))),(_xlfn.WEIBULL.DIST(AV$2,$M81,$L81,FALSE)*$U81*((1+Inputs!$D$7)^AV$2))),IF($N81=Lists!$K$3,IF($L81&lt;1,((($T81*(1-$F81)+$S81*(1-$G81))/$L81)*((1+Inputs!$D$7)^AV$2)),((INT(AV$2/$L81)-INT((AV$2-1)/$L81))*($T81*(1-$F81)+$S81*(1-$G81))*((1+Inputs!$D$7)^AV$2))),((_xlfn.WEIBULL.DIST(AV$2,$M81,$L81,FALSE)*($T81*(1-$F81)+$S81*(1-$G81))*((1+Inputs!$D$7)^AV$2))))))</f>
        <v>0</v>
      </c>
      <c r="AW81" s="88">
        <f>$E81*IF(AW$2&gt;Inputs!$D$5,0,IF(AW$2&gt;VLOOKUP($H81,Lists!$P$3:$Q$7,2),IF($N81=Lists!$K$3,IF($L81&lt;1,(($U81/$L81)*((1+Inputs!$D$7)^AW$2)),((INT(AW$2/$L81)-INT((AW$2-1)/$L81))*$U81*((1+Inputs!$D$7)^AW$2))),(_xlfn.WEIBULL.DIST(AW$2,$M81,$L81,FALSE)*$U81*((1+Inputs!$D$7)^AW$2))),IF($N81=Lists!$K$3,IF($L81&lt;1,((($T81*(1-$F81)+$S81*(1-$G81))/$L81)*((1+Inputs!$D$7)^AW$2)),((INT(AW$2/$L81)-INT((AW$2-1)/$L81))*($T81*(1-$F81)+$S81*(1-$G81))*((1+Inputs!$D$7)^AW$2))),((_xlfn.WEIBULL.DIST(AW$2,$M81,$L81,FALSE)*($T81*(1-$F81)+$S81*(1-$G81))*((1+Inputs!$D$7)^AW$2))))))</f>
        <v>0</v>
      </c>
      <c r="AX81" s="88">
        <f>$E81*IF(AX$2&gt;Inputs!$D$5,0,IF(AX$2&gt;VLOOKUP($H81,Lists!$P$3:$Q$7,2),IF($N81=Lists!$K$3,IF($L81&lt;1,(($U81/$L81)*((1+Inputs!$D$7)^AX$2)),((INT(AX$2/$L81)-INT((AX$2-1)/$L81))*$U81*((1+Inputs!$D$7)^AX$2))),(_xlfn.WEIBULL.DIST(AX$2,$M81,$L81,FALSE)*$U81*((1+Inputs!$D$7)^AX$2))),IF($N81=Lists!$K$3,IF($L81&lt;1,((($T81*(1-$F81)+$S81*(1-$G81))/$L81)*((1+Inputs!$D$7)^AX$2)),((INT(AX$2/$L81)-INT((AX$2-1)/$L81))*($T81*(1-$F81)+$S81*(1-$G81))*((1+Inputs!$D$7)^AX$2))),((_xlfn.WEIBULL.DIST(AX$2,$M81,$L81,FALSE)*($T81*(1-$F81)+$S81*(1-$G81))*((1+Inputs!$D$7)^AX$2))))))</f>
        <v>0</v>
      </c>
      <c r="AY81" s="88">
        <f>$E81*IF(AY$2&gt;Inputs!$D$5,0,IF(AY$2&gt;VLOOKUP($H81,Lists!$P$3:$Q$7,2),IF($N81=Lists!$K$3,IF($L81&lt;1,(($U81/$L81)*((1+Inputs!$D$7)^AY$2)),((INT(AY$2/$L81)-INT((AY$2-1)/$L81))*$U81*((1+Inputs!$D$7)^AY$2))),(_xlfn.WEIBULL.DIST(AY$2,$M81,$L81,FALSE)*$U81*((1+Inputs!$D$7)^AY$2))),IF($N81=Lists!$K$3,IF($L81&lt;1,((($T81*(1-$F81)+$S81*(1-$G81))/$L81)*((1+Inputs!$D$7)^AY$2)),((INT(AY$2/$L81)-INT((AY$2-1)/$L81))*($T81*(1-$F81)+$S81*(1-$G81))*((1+Inputs!$D$7)^AY$2))),((_xlfn.WEIBULL.DIST(AY$2,$M81,$L81,FALSE)*($T81*(1-$F81)+$S81*(1-$G81))*((1+Inputs!$D$7)^AY$2))))))</f>
        <v>6362.6312103831206</v>
      </c>
      <c r="AZ81" s="88">
        <f>$E81*IF(AZ$2&gt;Inputs!$D$5,0,IF(AZ$2&gt;VLOOKUP($H81,Lists!$P$3:$Q$7,2),IF($N81=Lists!$K$3,IF($L81&lt;1,(($U81/$L81)*((1+Inputs!$D$7)^AZ$2)),((INT(AZ$2/$L81)-INT((AZ$2-1)/$L81))*$U81*((1+Inputs!$D$7)^AZ$2))),(_xlfn.WEIBULL.DIST(AZ$2,$M81,$L81,FALSE)*$U81*((1+Inputs!$D$7)^AZ$2))),IF($N81=Lists!$K$3,IF($L81&lt;1,((($T81*(1-$F81)+$S81*(1-$G81))/$L81)*((1+Inputs!$D$7)^AZ$2)),((INT(AZ$2/$L81)-INT((AZ$2-1)/$L81))*($T81*(1-$F81)+$S81*(1-$G81))*((1+Inputs!$D$7)^AZ$2))),((_xlfn.WEIBULL.DIST(AZ$2,$M81,$L81,FALSE)*($T81*(1-$F81)+$S81*(1-$G81))*((1+Inputs!$D$7)^AZ$2))))))</f>
        <v>0</v>
      </c>
      <c r="BA81" s="88">
        <f>$E81*IF(BA$2&gt;Inputs!$D$5,0,IF(BA$2&gt;VLOOKUP($H81,Lists!$P$3:$Q$7,2),IF($N81=Lists!$K$3,IF($L81&lt;1,(($U81/$L81)*((1+Inputs!$D$7)^BA$2)),((INT(BA$2/$L81)-INT((BA$2-1)/$L81))*$U81*((1+Inputs!$D$7)^BA$2))),(_xlfn.WEIBULL.DIST(BA$2,$M81,$L81,FALSE)*$U81*((1+Inputs!$D$7)^BA$2))),IF($N81=Lists!$K$3,IF($L81&lt;1,((($T81*(1-$F81)+$S81*(1-$G81))/$L81)*((1+Inputs!$D$7)^BA$2)),((INT(BA$2/$L81)-INT((BA$2-1)/$L81))*($T81*(1-$F81)+$S81*(1-$G81))*((1+Inputs!$D$7)^BA$2))),((_xlfn.WEIBULL.DIST(BA$2,$M81,$L81,FALSE)*($T81*(1-$F81)+$S81*(1-$G81))*((1+Inputs!$D$7)^BA$2))))))</f>
        <v>0</v>
      </c>
      <c r="BB81" s="88">
        <f>$E81*IF(BB$2&gt;Inputs!$D$5,0,IF(BB$2&gt;VLOOKUP($H81,Lists!$P$3:$Q$7,2),IF($N81=Lists!$K$3,IF($L81&lt;1,(($U81/$L81)*((1+Inputs!$D$7)^BB$2)),((INT(BB$2/$L81)-INT((BB$2-1)/$L81))*$U81*((1+Inputs!$D$7)^BB$2))),(_xlfn.WEIBULL.DIST(BB$2,$M81,$L81,FALSE)*$U81*((1+Inputs!$D$7)^BB$2))),IF($N81=Lists!$K$3,IF($L81&lt;1,((($T81*(1-$F81)+$S81*(1-$G81))/$L81)*((1+Inputs!$D$7)^BB$2)),((INT(BB$2/$L81)-INT((BB$2-1)/$L81))*($T81*(1-$F81)+$S81*(1-$G81))*((1+Inputs!$D$7)^BB$2))),((_xlfn.WEIBULL.DIST(BB$2,$M81,$L81,FALSE)*($T81*(1-$F81)+$S81*(1-$G81))*((1+Inputs!$D$7)^BB$2))))))</f>
        <v>0</v>
      </c>
      <c r="BC81" s="88">
        <f>$E81*IF(BC$2&gt;Inputs!$D$5,0,IF(BC$2&gt;VLOOKUP($H81,Lists!$P$3:$Q$7,2),IF($N81=Lists!$K$3,IF($L81&lt;1,(($U81/$L81)*((1+Inputs!$D$7)^BC$2)),((INT(BC$2/$L81)-INT((BC$2-1)/$L81))*$U81*((1+Inputs!$D$7)^BC$2))),(_xlfn.WEIBULL.DIST(BC$2,$M81,$L81,FALSE)*$U81*((1+Inputs!$D$7)^BC$2))),IF($N81=Lists!$K$3,IF($L81&lt;1,((($T81*(1-$F81)+$S81*(1-$G81))/$L81)*((1+Inputs!$D$7)^BC$2)),((INT(BC$2/$L81)-INT((BC$2-1)/$L81))*($T81*(1-$F81)+$S81*(1-$G81))*((1+Inputs!$D$7)^BC$2))),((_xlfn.WEIBULL.DIST(BC$2,$M81,$L81,FALSE)*($T81*(1-$F81)+$S81*(1-$G81))*((1+Inputs!$D$7)^BC$2))))))</f>
        <v>0</v>
      </c>
      <c r="BD81" s="88">
        <f>$E81*IF(BD$2&gt;Inputs!$D$5,0,IF(BD$2&gt;VLOOKUP($H81,Lists!$P$3:$Q$7,2),IF($N81=Lists!$K$3,IF($L81&lt;1,(($U81/$L81)*((1+Inputs!$D$7)^BD$2)),((INT(BD$2/$L81)-INT((BD$2-1)/$L81))*$U81*((1+Inputs!$D$7)^BD$2))),(_xlfn.WEIBULL.DIST(BD$2,$M81,$L81,FALSE)*$U81*((1+Inputs!$D$7)^BD$2))),IF($N81=Lists!$K$3,IF($L81&lt;1,((($T81*(1-$F81)+$S81*(1-$G81))/$L81)*((1+Inputs!$D$7)^BD$2)),((INT(BD$2/$L81)-INT((BD$2-1)/$L81))*($T81*(1-$F81)+$S81*(1-$G81))*((1+Inputs!$D$7)^BD$2))),((_xlfn.WEIBULL.DIST(BD$2,$M81,$L81,FALSE)*($T81*(1-$F81)+$S81*(1-$G81))*((1+Inputs!$D$7)^BD$2))))))</f>
        <v>0</v>
      </c>
      <c r="BE81" s="88">
        <f>$E81*IF(BE$2&gt;Inputs!$D$5,0,IF(BE$2&gt;VLOOKUP($H81,Lists!$P$3:$Q$7,2),IF($N81=Lists!$K$3,IF($L81&lt;1,(($U81/$L81)*((1+Inputs!$D$7)^BE$2)),((INT(BE$2/$L81)-INT((BE$2-1)/$L81))*$U81*((1+Inputs!$D$7)^BE$2))),(_xlfn.WEIBULL.DIST(BE$2,$M81,$L81,FALSE)*$U81*((1+Inputs!$D$7)^BE$2))),IF($N81=Lists!$K$3,IF($L81&lt;1,((($T81*(1-$F81)+$S81*(1-$G81))/$L81)*((1+Inputs!$D$7)^BE$2)),((INT(BE$2/$L81)-INT((BE$2-1)/$L81))*($T81*(1-$F81)+$S81*(1-$G81))*((1+Inputs!$D$7)^BE$2))),((_xlfn.WEIBULL.DIST(BE$2,$M81,$L81,FALSE)*($T81*(1-$F81)+$S81*(1-$G81))*((1+Inputs!$D$7)^BE$2))))))</f>
        <v>0</v>
      </c>
      <c r="BF81" s="88">
        <f>$E81*IF(BF$2&gt;Inputs!$D$5,0,IF(BF$2&gt;VLOOKUP($H81,Lists!$P$3:$Q$7,2),IF($N81=Lists!$K$3,IF($L81&lt;1,(($U81/$L81)*((1+Inputs!$D$7)^BF$2)),((INT(BF$2/$L81)-INT((BF$2-1)/$L81))*$U81*((1+Inputs!$D$7)^BF$2))),(_xlfn.WEIBULL.DIST(BF$2,$M81,$L81,FALSE)*$U81*((1+Inputs!$D$7)^BF$2))),IF($N81=Lists!$K$3,IF($L81&lt;1,((($T81*(1-$F81)+$S81*(1-$G81))/$L81)*((1+Inputs!$D$7)^BF$2)),((INT(BF$2/$L81)-INT((BF$2-1)/$L81))*($T81*(1-$F81)+$S81*(1-$G81))*((1+Inputs!$D$7)^BF$2))),((_xlfn.WEIBULL.DIST(BF$2,$M81,$L81,FALSE)*($T81*(1-$F81)+$S81*(1-$G81))*((1+Inputs!$D$7)^BF$2))))))</f>
        <v>0</v>
      </c>
      <c r="BG81" s="88">
        <f>$E81*IF(BG$2&gt;Inputs!$D$5,0,IF(BG$2&gt;VLOOKUP($H81,Lists!$P$3:$Q$7,2),IF($N81=Lists!$K$3,IF($L81&lt;1,(($U81/$L81)*((1+Inputs!$D$7)^BG$2)),((INT(BG$2/$L81)-INT((BG$2-1)/$L81))*$U81*((1+Inputs!$D$7)^BG$2))),(_xlfn.WEIBULL.DIST(BG$2,$M81,$L81,FALSE)*$U81*((1+Inputs!$D$7)^BG$2))),IF($N81=Lists!$K$3,IF($L81&lt;1,((($T81*(1-$F81)+$S81*(1-$G81))/$L81)*((1+Inputs!$D$7)^BG$2)),((INT(BG$2/$L81)-INT((BG$2-1)/$L81))*($T81*(1-$F81)+$S81*(1-$G81))*((1+Inputs!$D$7)^BG$2))),((_xlfn.WEIBULL.DIST(BG$2,$M81,$L81,FALSE)*($T81*(1-$F81)+$S81*(1-$G81))*((1+Inputs!$D$7)^BG$2))))))</f>
        <v>0</v>
      </c>
      <c r="BH81" s="88">
        <f>$E81*IF(BH$2&gt;Inputs!$D$5,0,IF(BH$2&gt;VLOOKUP($H81,Lists!$P$3:$Q$7,2),IF($N81=Lists!$K$3,IF($L81&lt;1,(($U81/$L81)*((1+Inputs!$D$7)^BH$2)),((INT(BH$2/$L81)-INT((BH$2-1)/$L81))*$U81*((1+Inputs!$D$7)^BH$2))),(_xlfn.WEIBULL.DIST(BH$2,$M81,$L81,FALSE)*$U81*((1+Inputs!$D$7)^BH$2))),IF($N81=Lists!$K$3,IF($L81&lt;1,((($T81*(1-$F81)+$S81*(1-$G81))/$L81)*((1+Inputs!$D$7)^BH$2)),((INT(BH$2/$L81)-INT((BH$2-1)/$L81))*($T81*(1-$F81)+$S81*(1-$G81))*((1+Inputs!$D$7)^BH$2))),((_xlfn.WEIBULL.DIST(BH$2,$M81,$L81,FALSE)*($T81*(1-$F81)+$S81*(1-$G81))*((1+Inputs!$D$7)^BH$2))))))</f>
        <v>0</v>
      </c>
      <c r="BI81" s="88">
        <f>$E81*IF(BI$2&gt;Inputs!$D$5,0,IF(BI$2&gt;VLOOKUP($H81,Lists!$P$3:$Q$7,2),IF($N81=Lists!$K$3,IF($L81&lt;1,(($U81/$L81)*((1+Inputs!$D$7)^BI$2)),((INT(BI$2/$L81)-INT((BI$2-1)/$L81))*$U81*((1+Inputs!$D$7)^BI$2))),(_xlfn.WEIBULL.DIST(BI$2,$M81,$L81,FALSE)*$U81*((1+Inputs!$D$7)^BI$2))),IF($N81=Lists!$K$3,IF($L81&lt;1,((($T81*(1-$F81)+$S81*(1-$G81))/$L81)*((1+Inputs!$D$7)^BI$2)),((INT(BI$2/$L81)-INT((BI$2-1)/$L81))*($T81*(1-$F81)+$S81*(1-$G81))*((1+Inputs!$D$7)^BI$2))),((_xlfn.WEIBULL.DIST(BI$2,$M81,$L81,FALSE)*($T81*(1-$F81)+$S81*(1-$G81))*((1+Inputs!$D$7)^BI$2))))))</f>
        <v>0</v>
      </c>
      <c r="BJ81" s="88">
        <f>$E81*IF(BJ$2&gt;Inputs!$D$5,0,IF(BJ$2&gt;VLOOKUP($H81,Lists!$P$3:$Q$7,2),IF($N81=Lists!$K$3,IF($L81&lt;1,(($U81/$L81)*((1+Inputs!$D$7)^BJ$2)),((INT(BJ$2/$L81)-INT((BJ$2-1)/$L81))*$U81*((1+Inputs!$D$7)^BJ$2))),(_xlfn.WEIBULL.DIST(BJ$2,$M81,$L81,FALSE)*$U81*((1+Inputs!$D$7)^BJ$2))),IF($N81=Lists!$K$3,IF($L81&lt;1,((($T81*(1-$F81)+$S81*(1-$G81))/$L81)*((1+Inputs!$D$7)^BJ$2)),((INT(BJ$2/$L81)-INT((BJ$2-1)/$L81))*($T81*(1-$F81)+$S81*(1-$G81))*((1+Inputs!$D$7)^BJ$2))),((_xlfn.WEIBULL.DIST(BJ$2,$M81,$L81,FALSE)*($T81*(1-$F81)+$S81*(1-$G81))*((1+Inputs!$D$7)^BJ$2))))))</f>
        <v>0</v>
      </c>
      <c r="BK81" s="88">
        <f>$E81*IF(BK$2&gt;Inputs!$D$5,0,IF(BK$2&gt;VLOOKUP($H81,Lists!$P$3:$Q$7,2),IF($N81=Lists!$K$3,IF($L81&lt;1,(($U81/$L81)*((1+Inputs!$D$7)^BK$2)),((INT(BK$2/$L81)-INT((BK$2-1)/$L81))*$U81*((1+Inputs!$D$7)^BK$2))),(_xlfn.WEIBULL.DIST(BK$2,$M81,$L81,FALSE)*$U81*((1+Inputs!$D$7)^BK$2))),IF($N81=Lists!$K$3,IF($L81&lt;1,((($T81*(1-$F81)+$S81*(1-$G81))/$L81)*((1+Inputs!$D$7)^BK$2)),((INT(BK$2/$L81)-INT((BK$2-1)/$L81))*($T81*(1-$F81)+$S81*(1-$G81))*((1+Inputs!$D$7)^BK$2))),((_xlfn.WEIBULL.DIST(BK$2,$M81,$L81,FALSE)*($T81*(1-$F81)+$S81*(1-$G81))*((1+Inputs!$D$7)^BK$2))))))</f>
        <v>0</v>
      </c>
      <c r="BL81" s="88">
        <f>$E81*IF(BL$2&gt;Inputs!$D$5,0,IF(BL$2&gt;VLOOKUP($H81,Lists!$P$3:$Q$7,2),IF($N81=Lists!$K$3,IF($L81&lt;1,(($U81/$L81)*((1+Inputs!$D$7)^BL$2)),((INT(BL$2/$L81)-INT((BL$2-1)/$L81))*$U81*((1+Inputs!$D$7)^BL$2))),(_xlfn.WEIBULL.DIST(BL$2,$M81,$L81,FALSE)*$U81*((1+Inputs!$D$7)^BL$2))),IF($N81=Lists!$K$3,IF($L81&lt;1,((($T81*(1-$F81)+$S81*(1-$G81))/$L81)*((1+Inputs!$D$7)^BL$2)),((INT(BL$2/$L81)-INT((BL$2-1)/$L81))*($T81*(1-$F81)+$S81*(1-$G81))*((1+Inputs!$D$7)^BL$2))),((_xlfn.WEIBULL.DIST(BL$2,$M81,$L81,FALSE)*($T81*(1-$F81)+$S81*(1-$G81))*((1+Inputs!$D$7)^BL$2))))))</f>
        <v>0</v>
      </c>
      <c r="BM81" s="88">
        <f>$E81*IF(BM$2&gt;Inputs!$D$5,0,IF(BM$2&gt;VLOOKUP($H81,Lists!$P$3:$Q$7,2),IF($N81=Lists!$K$3,IF($L81&lt;1,(($U81/$L81)*((1+Inputs!$D$7)^BM$2)),((INT(BM$2/$L81)-INT((BM$2-1)/$L81))*$U81*((1+Inputs!$D$7)^BM$2))),(_xlfn.WEIBULL.DIST(BM$2,$M81,$L81,FALSE)*$U81*((1+Inputs!$D$7)^BM$2))),IF($N81=Lists!$K$3,IF($L81&lt;1,((($T81*(1-$F81)+$S81*(1-$G81))/$L81)*((1+Inputs!$D$7)^BM$2)),((INT(BM$2/$L81)-INT((BM$2-1)/$L81))*($T81*(1-$F81)+$S81*(1-$G81))*((1+Inputs!$D$7)^BM$2))),((_xlfn.WEIBULL.DIST(BM$2,$M81,$L81,FALSE)*($T81*(1-$F81)+$S81*(1-$G81))*((1+Inputs!$D$7)^BM$2))))))</f>
        <v>0</v>
      </c>
      <c r="BN81" s="88">
        <f>$E81*IF(BN$2&gt;Inputs!$D$5,0,IF(BN$2&gt;VLOOKUP($H81,Lists!$P$3:$Q$7,2),IF($N81=Lists!$K$3,IF($L81&lt;1,(($U81/$L81)*((1+Inputs!$D$7)^BN$2)),((INT(BN$2/$L81)-INT((BN$2-1)/$L81))*$U81*((1+Inputs!$D$7)^BN$2))),(_xlfn.WEIBULL.DIST(BN$2,$M81,$L81,FALSE)*$U81*((1+Inputs!$D$7)^BN$2))),IF($N81=Lists!$K$3,IF($L81&lt;1,((($T81*(1-$F81)+$S81*(1-$G81))/$L81)*((1+Inputs!$D$7)^BN$2)),((INT(BN$2/$L81)-INT((BN$2-1)/$L81))*($T81*(1-$F81)+$S81*(1-$G81))*((1+Inputs!$D$7)^BN$2))),((_xlfn.WEIBULL.DIST(BN$2,$M81,$L81,FALSE)*($T81*(1-$F81)+$S81*(1-$G81))*((1+Inputs!$D$7)^BN$2))))))</f>
        <v>0</v>
      </c>
      <c r="BO81" s="64">
        <f>NPV(Inputs!$D$6,BQ81:DD81)</f>
        <v>10009.497219668068</v>
      </c>
      <c r="BP81" s="67">
        <f t="shared" si="20"/>
        <v>4.7209675595356829E-3</v>
      </c>
      <c r="BQ81" s="88">
        <f>MAX(AA81,($E81*IF(BQ$2&gt;Inputs!$D$5,0,IF(BQ$2&gt;VLOOKUP($H81,Lists!$P$3:$Q$7,2),IF($N81=Lists!$K$3,IF($L81&lt;1,(($U81/$L81)*((1+Inputs!$D$7)^BQ$2)),((INT(BQ$2/$L81)-INT((BQ$2-1)/$L81))*$U81*((1+Inputs!$D$7)^BQ$2))),(Inputs!$D$8^((1-_xlfn.WEIBULL.DIST(BQ$2,$M81,$L81,FALSE))/_xlfn.WEIBULL.DIST(BQ$2,$M81,$L81,FALSE))*$U81*((1+Inputs!$D$7)^BQ$2))),IF($N81=Lists!$K$3,IF($L81&lt;1,((($T81*(1-$F81)+$S81*(1-$G81))/$L81)*((1+Inputs!$D$7)^BQ$2)),((INT(BQ$2/$L81)-INT((BQ$2-1)/$L81))*($T81*(1-$F81)+$S81*(1-$G81))*((1+Inputs!$D$7)^BQ$2))),((Inputs!$D$8^((1-_xlfn.WEIBULL.DIST(BQ$2,$M81,$L81,FALSE))/_xlfn.WEIBULL.DIST(BQ$2,$M81,$L81,FALSE))*($T81*(1-$F81)+$S81*(1-$G81))*((1+Inputs!$D$7)^BQ$2))))))))</f>
        <v>0</v>
      </c>
      <c r="BR81" s="88">
        <f>MAX(AB81,($E81*IF(BR$2&gt;Inputs!$D$5,0,IF(BR$2&gt;VLOOKUP($H81,Lists!$P$3:$Q$7,2),IF($N81=Lists!$K$3,IF($L81&lt;1,(($U81/$L81)*((1+Inputs!$D$7)^BR$2)),((INT(BR$2/$L81)-INT((BR$2-1)/$L81))*$U81*((1+Inputs!$D$7)^BR$2))),(Inputs!$D$8^((1-_xlfn.WEIBULL.DIST(BR$2,$M81,$L81,FALSE))/_xlfn.WEIBULL.DIST(BR$2,$M81,$L81,FALSE))*$U81*((1+Inputs!$D$7)^BR$2))),IF($N81=Lists!$K$3,IF($L81&lt;1,((($T81*(1-$F81)+$S81*(1-$G81))/$L81)*((1+Inputs!$D$7)^BR$2)),((INT(BR$2/$L81)-INT((BR$2-1)/$L81))*($T81*(1-$F81)+$S81*(1-$G81))*((1+Inputs!$D$7)^BR$2))),((Inputs!$D$8^((1-_xlfn.WEIBULL.DIST(BR$2,$M81,$L81,FALSE))/_xlfn.WEIBULL.DIST(BR$2,$M81,$L81,FALSE))*($T81*(1-$F81)+$S81*(1-$G81))*((1+Inputs!$D$7)^BR$2))))))))</f>
        <v>0</v>
      </c>
      <c r="BS81" s="88">
        <f>MAX(AC81,($E81*IF(BS$2&gt;Inputs!$D$5,0,IF(BS$2&gt;VLOOKUP($H81,Lists!$P$3:$Q$7,2),IF($N81=Lists!$K$3,IF($L81&lt;1,(($U81/$L81)*((1+Inputs!$D$7)^BS$2)),((INT(BS$2/$L81)-INT((BS$2-1)/$L81))*$U81*((1+Inputs!$D$7)^BS$2))),(Inputs!$D$8^((1-_xlfn.WEIBULL.DIST(BS$2,$M81,$L81,FALSE))/_xlfn.WEIBULL.DIST(BS$2,$M81,$L81,FALSE))*$U81*((1+Inputs!$D$7)^BS$2))),IF($N81=Lists!$K$3,IF($L81&lt;1,((($T81*(1-$F81)+$S81*(1-$G81))/$L81)*((1+Inputs!$D$7)^BS$2)),((INT(BS$2/$L81)-INT((BS$2-1)/$L81))*($T81*(1-$F81)+$S81*(1-$G81))*((1+Inputs!$D$7)^BS$2))),((Inputs!$D$8^((1-_xlfn.WEIBULL.DIST(BS$2,$M81,$L81,FALSE))/_xlfn.WEIBULL.DIST(BS$2,$M81,$L81,FALSE))*($T81*(1-$F81)+$S81*(1-$G81))*((1+Inputs!$D$7)^BS$2))))))))</f>
        <v>0</v>
      </c>
      <c r="BT81" s="88">
        <f>MAX(AD81,($E81*IF(BT$2&gt;Inputs!$D$5,0,IF(BT$2&gt;VLOOKUP($H81,Lists!$P$3:$Q$7,2),IF($N81=Lists!$K$3,IF($L81&lt;1,(($U81/$L81)*((1+Inputs!$D$7)^BT$2)),((INT(BT$2/$L81)-INT((BT$2-1)/$L81))*$U81*((1+Inputs!$D$7)^BT$2))),(Inputs!$D$8^((1-_xlfn.WEIBULL.DIST(BT$2,$M81,$L81,FALSE))/_xlfn.WEIBULL.DIST(BT$2,$M81,$L81,FALSE))*$U81*((1+Inputs!$D$7)^BT$2))),IF($N81=Lists!$K$3,IF($L81&lt;1,((($T81*(1-$F81)+$S81*(1-$G81))/$L81)*((1+Inputs!$D$7)^BT$2)),((INT(BT$2/$L81)-INT((BT$2-1)/$L81))*($T81*(1-$F81)+$S81*(1-$G81))*((1+Inputs!$D$7)^BT$2))),((Inputs!$D$8^((1-_xlfn.WEIBULL.DIST(BT$2,$M81,$L81,FALSE))/_xlfn.WEIBULL.DIST(BT$2,$M81,$L81,FALSE))*($T81*(1-$F81)+$S81*(1-$G81))*((1+Inputs!$D$7)^BT$2))))))))</f>
        <v>0</v>
      </c>
      <c r="BU81" s="88">
        <f>MAX(AE81,($E81*IF(BU$2&gt;Inputs!$D$5,0,IF(BU$2&gt;VLOOKUP($H81,Lists!$P$3:$Q$7,2),IF($N81=Lists!$K$3,IF($L81&lt;1,(($U81/$L81)*((1+Inputs!$D$7)^BU$2)),((INT(BU$2/$L81)-INT((BU$2-1)/$L81))*$U81*((1+Inputs!$D$7)^BU$2))),(Inputs!$D$8^((1-_xlfn.WEIBULL.DIST(BU$2,$M81,$L81,FALSE))/_xlfn.WEIBULL.DIST(BU$2,$M81,$L81,FALSE))*$U81*((1+Inputs!$D$7)^BU$2))),IF($N81=Lists!$K$3,IF($L81&lt;1,((($T81*(1-$F81)+$S81*(1-$G81))/$L81)*((1+Inputs!$D$7)^BU$2)),((INT(BU$2/$L81)-INT((BU$2-1)/$L81))*($T81*(1-$F81)+$S81*(1-$G81))*((1+Inputs!$D$7)^BU$2))),((Inputs!$D$8^((1-_xlfn.WEIBULL.DIST(BU$2,$M81,$L81,FALSE))/_xlfn.WEIBULL.DIST(BU$2,$M81,$L81,FALSE))*($T81*(1-$F81)+$S81*(1-$G81))*((1+Inputs!$D$7)^BU$2))))))))</f>
        <v>4281.8684077264643</v>
      </c>
      <c r="BV81" s="88">
        <f>MAX(AF81,($E81*IF(BV$2&gt;Inputs!$D$5,0,IF(BV$2&gt;VLOOKUP($H81,Lists!$P$3:$Q$7,2),IF($N81=Lists!$K$3,IF($L81&lt;1,(($U81/$L81)*((1+Inputs!$D$7)^BV$2)),((INT(BV$2/$L81)-INT((BV$2-1)/$L81))*$U81*((1+Inputs!$D$7)^BV$2))),(Inputs!$D$8^((1-_xlfn.WEIBULL.DIST(BV$2,$M81,$L81,FALSE))/_xlfn.WEIBULL.DIST(BV$2,$M81,$L81,FALSE))*$U81*((1+Inputs!$D$7)^BV$2))),IF($N81=Lists!$K$3,IF($L81&lt;1,((($T81*(1-$F81)+$S81*(1-$G81))/$L81)*((1+Inputs!$D$7)^BV$2)),((INT(BV$2/$L81)-INT((BV$2-1)/$L81))*($T81*(1-$F81)+$S81*(1-$G81))*((1+Inputs!$D$7)^BV$2))),((Inputs!$D$8^((1-_xlfn.WEIBULL.DIST(BV$2,$M81,$L81,FALSE))/_xlfn.WEIBULL.DIST(BV$2,$M81,$L81,FALSE))*($T81*(1-$F81)+$S81*(1-$G81))*((1+Inputs!$D$7)^BV$2))))))))</f>
        <v>0</v>
      </c>
      <c r="BW81" s="88">
        <f>MAX(AG81,($E81*IF(BW$2&gt;Inputs!$D$5,0,IF(BW$2&gt;VLOOKUP($H81,Lists!$P$3:$Q$7,2),IF($N81=Lists!$K$3,IF($L81&lt;1,(($U81/$L81)*((1+Inputs!$D$7)^BW$2)),((INT(BW$2/$L81)-INT((BW$2-1)/$L81))*$U81*((1+Inputs!$D$7)^BW$2))),(Inputs!$D$8^((1-_xlfn.WEIBULL.DIST(BW$2,$M81,$L81,FALSE))/_xlfn.WEIBULL.DIST(BW$2,$M81,$L81,FALSE))*$U81*((1+Inputs!$D$7)^BW$2))),IF($N81=Lists!$K$3,IF($L81&lt;1,((($T81*(1-$F81)+$S81*(1-$G81))/$L81)*((1+Inputs!$D$7)^BW$2)),((INT(BW$2/$L81)-INT((BW$2-1)/$L81))*($T81*(1-$F81)+$S81*(1-$G81))*((1+Inputs!$D$7)^BW$2))),((Inputs!$D$8^((1-_xlfn.WEIBULL.DIST(BW$2,$M81,$L81,FALSE))/_xlfn.WEIBULL.DIST(BW$2,$M81,$L81,FALSE))*($T81*(1-$F81)+$S81*(1-$G81))*((1+Inputs!$D$7)^BW$2))))))))</f>
        <v>0</v>
      </c>
      <c r="BX81" s="88">
        <f>MAX(AH81,($E81*IF(BX$2&gt;Inputs!$D$5,0,IF(BX$2&gt;VLOOKUP($H81,Lists!$P$3:$Q$7,2),IF($N81=Lists!$K$3,IF($L81&lt;1,(($U81/$L81)*((1+Inputs!$D$7)^BX$2)),((INT(BX$2/$L81)-INT((BX$2-1)/$L81))*$U81*((1+Inputs!$D$7)^BX$2))),(Inputs!$D$8^((1-_xlfn.WEIBULL.DIST(BX$2,$M81,$L81,FALSE))/_xlfn.WEIBULL.DIST(BX$2,$M81,$L81,FALSE))*$U81*((1+Inputs!$D$7)^BX$2))),IF($N81=Lists!$K$3,IF($L81&lt;1,((($T81*(1-$F81)+$S81*(1-$G81))/$L81)*((1+Inputs!$D$7)^BX$2)),((INT(BX$2/$L81)-INT((BX$2-1)/$L81))*($T81*(1-$F81)+$S81*(1-$G81))*((1+Inputs!$D$7)^BX$2))),((Inputs!$D$8^((1-_xlfn.WEIBULL.DIST(BX$2,$M81,$L81,FALSE))/_xlfn.WEIBULL.DIST(BX$2,$M81,$L81,FALSE))*($T81*(1-$F81)+$S81*(1-$G81))*((1+Inputs!$D$7)^BX$2))))))))</f>
        <v>0</v>
      </c>
      <c r="BY81" s="88">
        <f>MAX(AI81,($E81*IF(BY$2&gt;Inputs!$D$5,0,IF(BY$2&gt;VLOOKUP($H81,Lists!$P$3:$Q$7,2),IF($N81=Lists!$K$3,IF($L81&lt;1,(($U81/$L81)*((1+Inputs!$D$7)^BY$2)),((INT(BY$2/$L81)-INT((BY$2-1)/$L81))*$U81*((1+Inputs!$D$7)^BY$2))),(Inputs!$D$8^((1-_xlfn.WEIBULL.DIST(BY$2,$M81,$L81,FALSE))/_xlfn.WEIBULL.DIST(BY$2,$M81,$L81,FALSE))*$U81*((1+Inputs!$D$7)^BY$2))),IF($N81=Lists!$K$3,IF($L81&lt;1,((($T81*(1-$F81)+$S81*(1-$G81))/$L81)*((1+Inputs!$D$7)^BY$2)),((INT(BY$2/$L81)-INT((BY$2-1)/$L81))*($T81*(1-$F81)+$S81*(1-$G81))*((1+Inputs!$D$7)^BY$2))),((Inputs!$D$8^((1-_xlfn.WEIBULL.DIST(BY$2,$M81,$L81,FALSE))/_xlfn.WEIBULL.DIST(BY$2,$M81,$L81,FALSE))*($T81*(1-$F81)+$S81*(1-$G81))*((1+Inputs!$D$7)^BY$2))))))))</f>
        <v>0</v>
      </c>
      <c r="BZ81" s="88">
        <f>MAX(AJ81,($E81*IF(BZ$2&gt;Inputs!$D$5,0,IF(BZ$2&gt;VLOOKUP($H81,Lists!$P$3:$Q$7,2),IF($N81=Lists!$K$3,IF($L81&lt;1,(($U81/$L81)*((1+Inputs!$D$7)^BZ$2)),((INT(BZ$2/$L81)-INT((BZ$2-1)/$L81))*$U81*((1+Inputs!$D$7)^BZ$2))),(Inputs!$D$8^((1-_xlfn.WEIBULL.DIST(BZ$2,$M81,$L81,FALSE))/_xlfn.WEIBULL.DIST(BZ$2,$M81,$L81,FALSE))*$U81*((1+Inputs!$D$7)^BZ$2))),IF($N81=Lists!$K$3,IF($L81&lt;1,((($T81*(1-$F81)+$S81*(1-$G81))/$L81)*((1+Inputs!$D$7)^BZ$2)),((INT(BZ$2/$L81)-INT((BZ$2-1)/$L81))*($T81*(1-$F81)+$S81*(1-$G81))*((1+Inputs!$D$7)^BZ$2))),((Inputs!$D$8^((1-_xlfn.WEIBULL.DIST(BZ$2,$M81,$L81,FALSE))/_xlfn.WEIBULL.DIST(BZ$2,$M81,$L81,FALSE))*($T81*(1-$F81)+$S81*(1-$G81))*((1+Inputs!$D$7)^BZ$2))))))))</f>
        <v>4727.528710799339</v>
      </c>
      <c r="CA81" s="88">
        <f>MAX(AK81,($E81*IF(CA$2&gt;Inputs!$D$5,0,IF(CA$2&gt;VLOOKUP($H81,Lists!$P$3:$Q$7,2),IF($N81=Lists!$K$3,IF($L81&lt;1,(($U81/$L81)*((1+Inputs!$D$7)^CA$2)),((INT(CA$2/$L81)-INT((CA$2-1)/$L81))*$U81*((1+Inputs!$D$7)^CA$2))),(Inputs!$D$8^((1-_xlfn.WEIBULL.DIST(CA$2,$M81,$L81,FALSE))/_xlfn.WEIBULL.DIST(CA$2,$M81,$L81,FALSE))*$U81*((1+Inputs!$D$7)^CA$2))),IF($N81=Lists!$K$3,IF($L81&lt;1,((($T81*(1-$F81)+$S81*(1-$G81))/$L81)*((1+Inputs!$D$7)^CA$2)),((INT(CA$2/$L81)-INT((CA$2-1)/$L81))*($T81*(1-$F81)+$S81*(1-$G81))*((1+Inputs!$D$7)^CA$2))),((Inputs!$D$8^((1-_xlfn.WEIBULL.DIST(CA$2,$M81,$L81,FALSE))/_xlfn.WEIBULL.DIST(CA$2,$M81,$L81,FALSE))*($T81*(1-$F81)+$S81*(1-$G81))*((1+Inputs!$D$7)^CA$2))))))))</f>
        <v>0</v>
      </c>
      <c r="CB81" s="88">
        <f>MAX(AL81,($E81*IF(CB$2&gt;Inputs!$D$5,0,IF(CB$2&gt;VLOOKUP($H81,Lists!$P$3:$Q$7,2),IF($N81=Lists!$K$3,IF($L81&lt;1,(($U81/$L81)*((1+Inputs!$D$7)^CB$2)),((INT(CB$2/$L81)-INT((CB$2-1)/$L81))*$U81*((1+Inputs!$D$7)^CB$2))),(Inputs!$D$8^((1-_xlfn.WEIBULL.DIST(CB$2,$M81,$L81,FALSE))/_xlfn.WEIBULL.DIST(CB$2,$M81,$L81,FALSE))*$U81*((1+Inputs!$D$7)^CB$2))),IF($N81=Lists!$K$3,IF($L81&lt;1,((($T81*(1-$F81)+$S81*(1-$G81))/$L81)*((1+Inputs!$D$7)^CB$2)),((INT(CB$2/$L81)-INT((CB$2-1)/$L81))*($T81*(1-$F81)+$S81*(1-$G81))*((1+Inputs!$D$7)^CB$2))),((Inputs!$D$8^((1-_xlfn.WEIBULL.DIST(CB$2,$M81,$L81,FALSE))/_xlfn.WEIBULL.DIST(CB$2,$M81,$L81,FALSE))*($T81*(1-$F81)+$S81*(1-$G81))*((1+Inputs!$D$7)^CB$2))))))))</f>
        <v>0</v>
      </c>
      <c r="CC81" s="88">
        <f>MAX(AM81,($E81*IF(CC$2&gt;Inputs!$D$5,0,IF(CC$2&gt;VLOOKUP($H81,Lists!$P$3:$Q$7,2),IF($N81=Lists!$K$3,IF($L81&lt;1,(($U81/$L81)*((1+Inputs!$D$7)^CC$2)),((INT(CC$2/$L81)-INT((CC$2-1)/$L81))*$U81*((1+Inputs!$D$7)^CC$2))),(Inputs!$D$8^((1-_xlfn.WEIBULL.DIST(CC$2,$M81,$L81,FALSE))/_xlfn.WEIBULL.DIST(CC$2,$M81,$L81,FALSE))*$U81*((1+Inputs!$D$7)^CC$2))),IF($N81=Lists!$K$3,IF($L81&lt;1,((($T81*(1-$F81)+$S81*(1-$G81))/$L81)*((1+Inputs!$D$7)^CC$2)),((INT(CC$2/$L81)-INT((CC$2-1)/$L81))*($T81*(1-$F81)+$S81*(1-$G81))*((1+Inputs!$D$7)^CC$2))),((Inputs!$D$8^((1-_xlfn.WEIBULL.DIST(CC$2,$M81,$L81,FALSE))/_xlfn.WEIBULL.DIST(CC$2,$M81,$L81,FALSE))*($T81*(1-$F81)+$S81*(1-$G81))*((1+Inputs!$D$7)^CC$2))))))))</f>
        <v>0</v>
      </c>
      <c r="CD81" s="88">
        <f>MAX(AN81,($E81*IF(CD$2&gt;Inputs!$D$5,0,IF(CD$2&gt;VLOOKUP($H81,Lists!$P$3:$Q$7,2),IF($N81=Lists!$K$3,IF($L81&lt;1,(($U81/$L81)*((1+Inputs!$D$7)^CD$2)),((INT(CD$2/$L81)-INT((CD$2-1)/$L81))*$U81*((1+Inputs!$D$7)^CD$2))),(Inputs!$D$8^((1-_xlfn.WEIBULL.DIST(CD$2,$M81,$L81,FALSE))/_xlfn.WEIBULL.DIST(CD$2,$M81,$L81,FALSE))*$U81*((1+Inputs!$D$7)^CD$2))),IF($N81=Lists!$K$3,IF($L81&lt;1,((($T81*(1-$F81)+$S81*(1-$G81))/$L81)*((1+Inputs!$D$7)^CD$2)),((INT(CD$2/$L81)-INT((CD$2-1)/$L81))*($T81*(1-$F81)+$S81*(1-$G81))*((1+Inputs!$D$7)^CD$2))),((Inputs!$D$8^((1-_xlfn.WEIBULL.DIST(CD$2,$M81,$L81,FALSE))/_xlfn.WEIBULL.DIST(CD$2,$M81,$L81,FALSE))*($T81*(1-$F81)+$S81*(1-$G81))*((1+Inputs!$D$7)^CD$2))))))))</f>
        <v>0</v>
      </c>
      <c r="CE81" s="88">
        <f>MAX(AO81,($E81*IF(CE$2&gt;Inputs!$D$5,0,IF(CE$2&gt;VLOOKUP($H81,Lists!$P$3:$Q$7,2),IF($N81=Lists!$K$3,IF($L81&lt;1,(($U81/$L81)*((1+Inputs!$D$7)^CE$2)),((INT(CE$2/$L81)-INT((CE$2-1)/$L81))*$U81*((1+Inputs!$D$7)^CE$2))),(Inputs!$D$8^((1-_xlfn.WEIBULL.DIST(CE$2,$M81,$L81,FALSE))/_xlfn.WEIBULL.DIST(CE$2,$M81,$L81,FALSE))*$U81*((1+Inputs!$D$7)^CE$2))),IF($N81=Lists!$K$3,IF($L81&lt;1,((($T81*(1-$F81)+$S81*(1-$G81))/$L81)*((1+Inputs!$D$7)^CE$2)),((INT(CE$2/$L81)-INT((CE$2-1)/$L81))*($T81*(1-$F81)+$S81*(1-$G81))*((1+Inputs!$D$7)^CE$2))),((Inputs!$D$8^((1-_xlfn.WEIBULL.DIST(CE$2,$M81,$L81,FALSE))/_xlfn.WEIBULL.DIST(CE$2,$M81,$L81,FALSE))*($T81*(1-$F81)+$S81*(1-$G81))*((1+Inputs!$D$7)^CE$2))))))))</f>
        <v>5219.5736961703942</v>
      </c>
      <c r="CF81" s="88">
        <f>MAX(AP81,($E81*IF(CF$2&gt;Inputs!$D$5,0,IF(CF$2&gt;VLOOKUP($H81,Lists!$P$3:$Q$7,2),IF($N81=Lists!$K$3,IF($L81&lt;1,(($U81/$L81)*((1+Inputs!$D$7)^CF$2)),((INT(CF$2/$L81)-INT((CF$2-1)/$L81))*$U81*((1+Inputs!$D$7)^CF$2))),(Inputs!$D$8^((1-_xlfn.WEIBULL.DIST(CF$2,$M81,$L81,FALSE))/_xlfn.WEIBULL.DIST(CF$2,$M81,$L81,FALSE))*$U81*((1+Inputs!$D$7)^CF$2))),IF($N81=Lists!$K$3,IF($L81&lt;1,((($T81*(1-$F81)+$S81*(1-$G81))/$L81)*((1+Inputs!$D$7)^CF$2)),((INT(CF$2/$L81)-INT((CF$2-1)/$L81))*($T81*(1-$F81)+$S81*(1-$G81))*((1+Inputs!$D$7)^CF$2))),((Inputs!$D$8^((1-_xlfn.WEIBULL.DIST(CF$2,$M81,$L81,FALSE))/_xlfn.WEIBULL.DIST(CF$2,$M81,$L81,FALSE))*($T81*(1-$F81)+$S81*(1-$G81))*((1+Inputs!$D$7)^CF$2))))))))</f>
        <v>0</v>
      </c>
      <c r="CG81" s="88">
        <f>MAX(AQ81,($E81*IF(CG$2&gt;Inputs!$D$5,0,IF(CG$2&gt;VLOOKUP($H81,Lists!$P$3:$Q$7,2),IF($N81=Lists!$K$3,IF($L81&lt;1,(($U81/$L81)*((1+Inputs!$D$7)^CG$2)),((INT(CG$2/$L81)-INT((CG$2-1)/$L81))*$U81*((1+Inputs!$D$7)^CG$2))),(Inputs!$D$8^((1-_xlfn.WEIBULL.DIST(CG$2,$M81,$L81,FALSE))/_xlfn.WEIBULL.DIST(CG$2,$M81,$L81,FALSE))*$U81*((1+Inputs!$D$7)^CG$2))),IF($N81=Lists!$K$3,IF($L81&lt;1,((($T81*(1-$F81)+$S81*(1-$G81))/$L81)*((1+Inputs!$D$7)^CG$2)),((INT(CG$2/$L81)-INT((CG$2-1)/$L81))*($T81*(1-$F81)+$S81*(1-$G81))*((1+Inputs!$D$7)^CG$2))),((Inputs!$D$8^((1-_xlfn.WEIBULL.DIST(CG$2,$M81,$L81,FALSE))/_xlfn.WEIBULL.DIST(CG$2,$M81,$L81,FALSE))*($T81*(1-$F81)+$S81*(1-$G81))*((1+Inputs!$D$7)^CG$2))))))))</f>
        <v>0</v>
      </c>
      <c r="CH81" s="88">
        <f>MAX(AR81,($E81*IF(CH$2&gt;Inputs!$D$5,0,IF(CH$2&gt;VLOOKUP($H81,Lists!$P$3:$Q$7,2),IF($N81=Lists!$K$3,IF($L81&lt;1,(($U81/$L81)*((1+Inputs!$D$7)^CH$2)),((INT(CH$2/$L81)-INT((CH$2-1)/$L81))*$U81*((1+Inputs!$D$7)^CH$2))),(Inputs!$D$8^((1-_xlfn.WEIBULL.DIST(CH$2,$M81,$L81,FALSE))/_xlfn.WEIBULL.DIST(CH$2,$M81,$L81,FALSE))*$U81*((1+Inputs!$D$7)^CH$2))),IF($N81=Lists!$K$3,IF($L81&lt;1,((($T81*(1-$F81)+$S81*(1-$G81))/$L81)*((1+Inputs!$D$7)^CH$2)),((INT(CH$2/$L81)-INT((CH$2-1)/$L81))*($T81*(1-$F81)+$S81*(1-$G81))*((1+Inputs!$D$7)^CH$2))),((Inputs!$D$8^((1-_xlfn.WEIBULL.DIST(CH$2,$M81,$L81,FALSE))/_xlfn.WEIBULL.DIST(CH$2,$M81,$L81,FALSE))*($T81*(1-$F81)+$S81*(1-$G81))*((1+Inputs!$D$7)^CH$2))))))))</f>
        <v>0</v>
      </c>
      <c r="CI81" s="88">
        <f>MAX(AS81,($E81*IF(CI$2&gt;Inputs!$D$5,0,IF(CI$2&gt;VLOOKUP($H81,Lists!$P$3:$Q$7,2),IF($N81=Lists!$K$3,IF($L81&lt;1,(($U81/$L81)*((1+Inputs!$D$7)^CI$2)),((INT(CI$2/$L81)-INT((CI$2-1)/$L81))*$U81*((1+Inputs!$D$7)^CI$2))),(Inputs!$D$8^((1-_xlfn.WEIBULL.DIST(CI$2,$M81,$L81,FALSE))/_xlfn.WEIBULL.DIST(CI$2,$M81,$L81,FALSE))*$U81*((1+Inputs!$D$7)^CI$2))),IF($N81=Lists!$K$3,IF($L81&lt;1,((($T81*(1-$F81)+$S81*(1-$G81))/$L81)*((1+Inputs!$D$7)^CI$2)),((INT(CI$2/$L81)-INT((CI$2-1)/$L81))*($T81*(1-$F81)+$S81*(1-$G81))*((1+Inputs!$D$7)^CI$2))),((Inputs!$D$8^((1-_xlfn.WEIBULL.DIST(CI$2,$M81,$L81,FALSE))/_xlfn.WEIBULL.DIST(CI$2,$M81,$L81,FALSE))*($T81*(1-$F81)+$S81*(1-$G81))*((1+Inputs!$D$7)^CI$2))))))))</f>
        <v>0</v>
      </c>
      <c r="CJ81" s="88">
        <f>MAX(AT81,($E81*IF(CJ$2&gt;Inputs!$D$5,0,IF(CJ$2&gt;VLOOKUP($H81,Lists!$P$3:$Q$7,2),IF($N81=Lists!$K$3,IF($L81&lt;1,(($U81/$L81)*((1+Inputs!$D$7)^CJ$2)),((INT(CJ$2/$L81)-INT((CJ$2-1)/$L81))*$U81*((1+Inputs!$D$7)^CJ$2))),(Inputs!$D$8^((1-_xlfn.WEIBULL.DIST(CJ$2,$M81,$L81,FALSE))/_xlfn.WEIBULL.DIST(CJ$2,$M81,$L81,FALSE))*$U81*((1+Inputs!$D$7)^CJ$2))),IF($N81=Lists!$K$3,IF($L81&lt;1,((($T81*(1-$F81)+$S81*(1-$G81))/$L81)*((1+Inputs!$D$7)^CJ$2)),((INT(CJ$2/$L81)-INT((CJ$2-1)/$L81))*($T81*(1-$F81)+$S81*(1-$G81))*((1+Inputs!$D$7)^CJ$2))),((Inputs!$D$8^((1-_xlfn.WEIBULL.DIST(CJ$2,$M81,$L81,FALSE))/_xlfn.WEIBULL.DIST(CJ$2,$M81,$L81,FALSE))*($T81*(1-$F81)+$S81*(1-$G81))*((1+Inputs!$D$7)^CJ$2))))))))</f>
        <v>5762.8311188294019</v>
      </c>
      <c r="CK81" s="88">
        <f>MAX(AU81,($E81*IF(CK$2&gt;Inputs!$D$5,0,IF(CK$2&gt;VLOOKUP($H81,Lists!$P$3:$Q$7,2),IF($N81=Lists!$K$3,IF($L81&lt;1,(($U81/$L81)*((1+Inputs!$D$7)^CK$2)),((INT(CK$2/$L81)-INT((CK$2-1)/$L81))*$U81*((1+Inputs!$D$7)^CK$2))),(Inputs!$D$8^((1-_xlfn.WEIBULL.DIST(CK$2,$M81,$L81,FALSE))/_xlfn.WEIBULL.DIST(CK$2,$M81,$L81,FALSE))*$U81*((1+Inputs!$D$7)^CK$2))),IF($N81=Lists!$K$3,IF($L81&lt;1,((($T81*(1-$F81)+$S81*(1-$G81))/$L81)*((1+Inputs!$D$7)^CK$2)),((INT(CK$2/$L81)-INT((CK$2-1)/$L81))*($T81*(1-$F81)+$S81*(1-$G81))*((1+Inputs!$D$7)^CK$2))),((Inputs!$D$8^((1-_xlfn.WEIBULL.DIST(CK$2,$M81,$L81,FALSE))/_xlfn.WEIBULL.DIST(CK$2,$M81,$L81,FALSE))*($T81*(1-$F81)+$S81*(1-$G81))*((1+Inputs!$D$7)^CK$2))))))))</f>
        <v>0</v>
      </c>
      <c r="CL81" s="88">
        <f>MAX(AV81,($E81*IF(CL$2&gt;Inputs!$D$5,0,IF(CL$2&gt;VLOOKUP($H81,Lists!$P$3:$Q$7,2),IF($N81=Lists!$K$3,IF($L81&lt;1,(($U81/$L81)*((1+Inputs!$D$7)^CL$2)),((INT(CL$2/$L81)-INT((CL$2-1)/$L81))*$U81*((1+Inputs!$D$7)^CL$2))),(Inputs!$D$8^((1-_xlfn.WEIBULL.DIST(CL$2,$M81,$L81,FALSE))/_xlfn.WEIBULL.DIST(CL$2,$M81,$L81,FALSE))*$U81*((1+Inputs!$D$7)^CL$2))),IF($N81=Lists!$K$3,IF($L81&lt;1,((($T81*(1-$F81)+$S81*(1-$G81))/$L81)*((1+Inputs!$D$7)^CL$2)),((INT(CL$2/$L81)-INT((CL$2-1)/$L81))*($T81*(1-$F81)+$S81*(1-$G81))*((1+Inputs!$D$7)^CL$2))),((Inputs!$D$8^((1-_xlfn.WEIBULL.DIST(CL$2,$M81,$L81,FALSE))/_xlfn.WEIBULL.DIST(CL$2,$M81,$L81,FALSE))*($T81*(1-$F81)+$S81*(1-$G81))*((1+Inputs!$D$7)^CL$2))))))))</f>
        <v>0</v>
      </c>
      <c r="CM81" s="88">
        <f>MAX(AW81,($E81*IF(CM$2&gt;Inputs!$D$5,0,IF(CM$2&gt;VLOOKUP($H81,Lists!$P$3:$Q$7,2),IF($N81=Lists!$K$3,IF($L81&lt;1,(($U81/$L81)*((1+Inputs!$D$7)^CM$2)),((INT(CM$2/$L81)-INT((CM$2-1)/$L81))*$U81*((1+Inputs!$D$7)^CM$2))),(Inputs!$D$8^((1-_xlfn.WEIBULL.DIST(CM$2,$M81,$L81,FALSE))/_xlfn.WEIBULL.DIST(CM$2,$M81,$L81,FALSE))*$U81*((1+Inputs!$D$7)^CM$2))),IF($N81=Lists!$K$3,IF($L81&lt;1,((($T81*(1-$F81)+$S81*(1-$G81))/$L81)*((1+Inputs!$D$7)^CM$2)),((INT(CM$2/$L81)-INT((CM$2-1)/$L81))*($T81*(1-$F81)+$S81*(1-$G81))*((1+Inputs!$D$7)^CM$2))),((Inputs!$D$8^((1-_xlfn.WEIBULL.DIST(CM$2,$M81,$L81,FALSE))/_xlfn.WEIBULL.DIST(CM$2,$M81,$L81,FALSE))*($T81*(1-$F81)+$S81*(1-$G81))*((1+Inputs!$D$7)^CM$2))))))))</f>
        <v>0</v>
      </c>
      <c r="CN81" s="88">
        <f>MAX(AX81,($E81*IF(CN$2&gt;Inputs!$D$5,0,IF(CN$2&gt;VLOOKUP($H81,Lists!$P$3:$Q$7,2),IF($N81=Lists!$K$3,IF($L81&lt;1,(($U81/$L81)*((1+Inputs!$D$7)^CN$2)),((INT(CN$2/$L81)-INT((CN$2-1)/$L81))*$U81*((1+Inputs!$D$7)^CN$2))),(Inputs!$D$8^((1-_xlfn.WEIBULL.DIST(CN$2,$M81,$L81,FALSE))/_xlfn.WEIBULL.DIST(CN$2,$M81,$L81,FALSE))*$U81*((1+Inputs!$D$7)^CN$2))),IF($N81=Lists!$K$3,IF($L81&lt;1,((($T81*(1-$F81)+$S81*(1-$G81))/$L81)*((1+Inputs!$D$7)^CN$2)),((INT(CN$2/$L81)-INT((CN$2-1)/$L81))*($T81*(1-$F81)+$S81*(1-$G81))*((1+Inputs!$D$7)^CN$2))),((Inputs!$D$8^((1-_xlfn.WEIBULL.DIST(CN$2,$M81,$L81,FALSE))/_xlfn.WEIBULL.DIST(CN$2,$M81,$L81,FALSE))*($T81*(1-$F81)+$S81*(1-$G81))*((1+Inputs!$D$7)^CN$2))))))))</f>
        <v>0</v>
      </c>
      <c r="CO81" s="88">
        <f>MAX(AY81,($E81*IF(CO$2&gt;Inputs!$D$5,0,IF(CO$2&gt;VLOOKUP($H81,Lists!$P$3:$Q$7,2),IF($N81=Lists!$K$3,IF($L81&lt;1,(($U81/$L81)*((1+Inputs!$D$7)^CO$2)),((INT(CO$2/$L81)-INT((CO$2-1)/$L81))*$U81*((1+Inputs!$D$7)^CO$2))),(Inputs!$D$8^((1-_xlfn.WEIBULL.DIST(CO$2,$M81,$L81,FALSE))/_xlfn.WEIBULL.DIST(CO$2,$M81,$L81,FALSE))*$U81*((1+Inputs!$D$7)^CO$2))),IF($N81=Lists!$K$3,IF($L81&lt;1,((($T81*(1-$F81)+$S81*(1-$G81))/$L81)*((1+Inputs!$D$7)^CO$2)),((INT(CO$2/$L81)-INT((CO$2-1)/$L81))*($T81*(1-$F81)+$S81*(1-$G81))*((1+Inputs!$D$7)^CO$2))),((Inputs!$D$8^((1-_xlfn.WEIBULL.DIST(CO$2,$M81,$L81,FALSE))/_xlfn.WEIBULL.DIST(CO$2,$M81,$L81,FALSE))*($T81*(1-$F81)+$S81*(1-$G81))*((1+Inputs!$D$7)^CO$2))))))))</f>
        <v>6362.6312103831206</v>
      </c>
      <c r="CP81" s="88">
        <f>MAX(AZ81,($E81*IF(CP$2&gt;Inputs!$D$5,0,IF(CP$2&gt;VLOOKUP($H81,Lists!$P$3:$Q$7,2),IF($N81=Lists!$K$3,IF($L81&lt;1,(($U81/$L81)*((1+Inputs!$D$7)^CP$2)),((INT(CP$2/$L81)-INT((CP$2-1)/$L81))*$U81*((1+Inputs!$D$7)^CP$2))),(Inputs!$D$8^((1-_xlfn.WEIBULL.DIST(CP$2,$M81,$L81,FALSE))/_xlfn.WEIBULL.DIST(CP$2,$M81,$L81,FALSE))*$U81*((1+Inputs!$D$7)^CP$2))),IF($N81=Lists!$K$3,IF($L81&lt;1,((($T81*(1-$F81)+$S81*(1-$G81))/$L81)*((1+Inputs!$D$7)^CP$2)),((INT(CP$2/$L81)-INT((CP$2-1)/$L81))*($T81*(1-$F81)+$S81*(1-$G81))*((1+Inputs!$D$7)^CP$2))),((Inputs!$D$8^((1-_xlfn.WEIBULL.DIST(CP$2,$M81,$L81,FALSE))/_xlfn.WEIBULL.DIST(CP$2,$M81,$L81,FALSE))*($T81*(1-$F81)+$S81*(1-$G81))*((1+Inputs!$D$7)^CP$2))))))))</f>
        <v>0</v>
      </c>
      <c r="CQ81" s="88">
        <f>MAX(BA81,($E81*IF(CQ$2&gt;Inputs!$D$5,0,IF(CQ$2&gt;VLOOKUP($H81,Lists!$P$3:$Q$7,2),IF($N81=Lists!$K$3,IF($L81&lt;1,(($U81/$L81)*((1+Inputs!$D$7)^CQ$2)),((INT(CQ$2/$L81)-INT((CQ$2-1)/$L81))*$U81*((1+Inputs!$D$7)^CQ$2))),(Inputs!$D$8^((1-_xlfn.WEIBULL.DIST(CQ$2,$M81,$L81,FALSE))/_xlfn.WEIBULL.DIST(CQ$2,$M81,$L81,FALSE))*$U81*((1+Inputs!$D$7)^CQ$2))),IF($N81=Lists!$K$3,IF($L81&lt;1,((($T81*(1-$F81)+$S81*(1-$G81))/$L81)*((1+Inputs!$D$7)^CQ$2)),((INT(CQ$2/$L81)-INT((CQ$2-1)/$L81))*($T81*(1-$F81)+$S81*(1-$G81))*((1+Inputs!$D$7)^CQ$2))),((Inputs!$D$8^((1-_xlfn.WEIBULL.DIST(CQ$2,$M81,$L81,FALSE))/_xlfn.WEIBULL.DIST(CQ$2,$M81,$L81,FALSE))*($T81*(1-$F81)+$S81*(1-$G81))*((1+Inputs!$D$7)^CQ$2))))))))</f>
        <v>0</v>
      </c>
      <c r="CR81" s="88">
        <f>MAX(BB81,($E81*IF(CR$2&gt;Inputs!$D$5,0,IF(CR$2&gt;VLOOKUP($H81,Lists!$P$3:$Q$7,2),IF($N81=Lists!$K$3,IF($L81&lt;1,(($U81/$L81)*((1+Inputs!$D$7)^CR$2)),((INT(CR$2/$L81)-INT((CR$2-1)/$L81))*$U81*((1+Inputs!$D$7)^CR$2))),(Inputs!$D$8^((1-_xlfn.WEIBULL.DIST(CR$2,$M81,$L81,FALSE))/_xlfn.WEIBULL.DIST(CR$2,$M81,$L81,FALSE))*$U81*((1+Inputs!$D$7)^CR$2))),IF($N81=Lists!$K$3,IF($L81&lt;1,((($T81*(1-$F81)+$S81*(1-$G81))/$L81)*((1+Inputs!$D$7)^CR$2)),((INT(CR$2/$L81)-INT((CR$2-1)/$L81))*($T81*(1-$F81)+$S81*(1-$G81))*((1+Inputs!$D$7)^CR$2))),((Inputs!$D$8^((1-_xlfn.WEIBULL.DIST(CR$2,$M81,$L81,FALSE))/_xlfn.WEIBULL.DIST(CR$2,$M81,$L81,FALSE))*($T81*(1-$F81)+$S81*(1-$G81))*((1+Inputs!$D$7)^CR$2))))))))</f>
        <v>0</v>
      </c>
      <c r="CS81" s="88">
        <f>MAX(BC81,($E81*IF(CS$2&gt;Inputs!$D$5,0,IF(CS$2&gt;VLOOKUP($H81,Lists!$P$3:$Q$7,2),IF($N81=Lists!$K$3,IF($L81&lt;1,(($U81/$L81)*((1+Inputs!$D$7)^CS$2)),((INT(CS$2/$L81)-INT((CS$2-1)/$L81))*$U81*((1+Inputs!$D$7)^CS$2))),(Inputs!$D$8^((1-_xlfn.WEIBULL.DIST(CS$2,$M81,$L81,FALSE))/_xlfn.WEIBULL.DIST(CS$2,$M81,$L81,FALSE))*$U81*((1+Inputs!$D$7)^CS$2))),IF($N81=Lists!$K$3,IF($L81&lt;1,((($T81*(1-$F81)+$S81*(1-$G81))/$L81)*((1+Inputs!$D$7)^CS$2)),((INT(CS$2/$L81)-INT((CS$2-1)/$L81))*($T81*(1-$F81)+$S81*(1-$G81))*((1+Inputs!$D$7)^CS$2))),((Inputs!$D$8^((1-_xlfn.WEIBULL.DIST(CS$2,$M81,$L81,FALSE))/_xlfn.WEIBULL.DIST(CS$2,$M81,$L81,FALSE))*($T81*(1-$F81)+$S81*(1-$G81))*((1+Inputs!$D$7)^CS$2))))))))</f>
        <v>0</v>
      </c>
      <c r="CT81" s="88">
        <f>MAX(BD81,($E81*IF(CT$2&gt;Inputs!$D$5,0,IF(CT$2&gt;VLOOKUP($H81,Lists!$P$3:$Q$7,2),IF($N81=Lists!$K$3,IF($L81&lt;1,(($U81/$L81)*((1+Inputs!$D$7)^CT$2)),((INT(CT$2/$L81)-INT((CT$2-1)/$L81))*$U81*((1+Inputs!$D$7)^CT$2))),(Inputs!$D$8^((1-_xlfn.WEIBULL.DIST(CT$2,$M81,$L81,FALSE))/_xlfn.WEIBULL.DIST(CT$2,$M81,$L81,FALSE))*$U81*((1+Inputs!$D$7)^CT$2))),IF($N81=Lists!$K$3,IF($L81&lt;1,((($T81*(1-$F81)+$S81*(1-$G81))/$L81)*((1+Inputs!$D$7)^CT$2)),((INT(CT$2/$L81)-INT((CT$2-1)/$L81))*($T81*(1-$F81)+$S81*(1-$G81))*((1+Inputs!$D$7)^CT$2))),((Inputs!$D$8^((1-_xlfn.WEIBULL.DIST(CT$2,$M81,$L81,FALSE))/_xlfn.WEIBULL.DIST(CT$2,$M81,$L81,FALSE))*($T81*(1-$F81)+$S81*(1-$G81))*((1+Inputs!$D$7)^CT$2))))))))</f>
        <v>0</v>
      </c>
      <c r="CU81" s="88">
        <f>MAX(BE81,($E81*IF(CU$2&gt;Inputs!$D$5,0,IF(CU$2&gt;VLOOKUP($H81,Lists!$P$3:$Q$7,2),IF($N81=Lists!$K$3,IF($L81&lt;1,(($U81/$L81)*((1+Inputs!$D$7)^CU$2)),((INT(CU$2/$L81)-INT((CU$2-1)/$L81))*$U81*((1+Inputs!$D$7)^CU$2))),(Inputs!$D$8^((1-_xlfn.WEIBULL.DIST(CU$2,$M81,$L81,FALSE))/_xlfn.WEIBULL.DIST(CU$2,$M81,$L81,FALSE))*$U81*((1+Inputs!$D$7)^CU$2))),IF($N81=Lists!$K$3,IF($L81&lt;1,((($T81*(1-$F81)+$S81*(1-$G81))/$L81)*((1+Inputs!$D$7)^CU$2)),((INT(CU$2/$L81)-INT((CU$2-1)/$L81))*($T81*(1-$F81)+$S81*(1-$G81))*((1+Inputs!$D$7)^CU$2))),((Inputs!$D$8^((1-_xlfn.WEIBULL.DIST(CU$2,$M81,$L81,FALSE))/_xlfn.WEIBULL.DIST(CU$2,$M81,$L81,FALSE))*($T81*(1-$F81)+$S81*(1-$G81))*((1+Inputs!$D$7)^CU$2))))))))</f>
        <v>0</v>
      </c>
      <c r="CV81" s="88">
        <f>MAX(BF81,($E81*IF(CV$2&gt;Inputs!$D$5,0,IF(CV$2&gt;VLOOKUP($H81,Lists!$P$3:$Q$7,2),IF($N81=Lists!$K$3,IF($L81&lt;1,(($U81/$L81)*((1+Inputs!$D$7)^CV$2)),((INT(CV$2/$L81)-INT((CV$2-1)/$L81))*$U81*((1+Inputs!$D$7)^CV$2))),(Inputs!$D$8^((1-_xlfn.WEIBULL.DIST(CV$2,$M81,$L81,FALSE))/_xlfn.WEIBULL.DIST(CV$2,$M81,$L81,FALSE))*$U81*((1+Inputs!$D$7)^CV$2))),IF($N81=Lists!$K$3,IF($L81&lt;1,((($T81*(1-$F81)+$S81*(1-$G81))/$L81)*((1+Inputs!$D$7)^CV$2)),((INT(CV$2/$L81)-INT((CV$2-1)/$L81))*($T81*(1-$F81)+$S81*(1-$G81))*((1+Inputs!$D$7)^CV$2))),((Inputs!$D$8^((1-_xlfn.WEIBULL.DIST(CV$2,$M81,$L81,FALSE))/_xlfn.WEIBULL.DIST(CV$2,$M81,$L81,FALSE))*($T81*(1-$F81)+$S81*(1-$G81))*((1+Inputs!$D$7)^CV$2))))))))</f>
        <v>0</v>
      </c>
      <c r="CW81" s="88">
        <f>MAX(BG81,($E81*IF(CW$2&gt;Inputs!$D$5,0,IF(CW$2&gt;VLOOKUP($H81,Lists!$P$3:$Q$7,2),IF($N81=Lists!$K$3,IF($L81&lt;1,(($U81/$L81)*((1+Inputs!$D$7)^CW$2)),((INT(CW$2/$L81)-INT((CW$2-1)/$L81))*$U81*((1+Inputs!$D$7)^CW$2))),(Inputs!$D$8^((1-_xlfn.WEIBULL.DIST(CW$2,$M81,$L81,FALSE))/_xlfn.WEIBULL.DIST(CW$2,$M81,$L81,FALSE))*$U81*((1+Inputs!$D$7)^CW$2))),IF($N81=Lists!$K$3,IF($L81&lt;1,((($T81*(1-$F81)+$S81*(1-$G81))/$L81)*((1+Inputs!$D$7)^CW$2)),((INT(CW$2/$L81)-INT((CW$2-1)/$L81))*($T81*(1-$F81)+$S81*(1-$G81))*((1+Inputs!$D$7)^CW$2))),((Inputs!$D$8^((1-_xlfn.WEIBULL.DIST(CW$2,$M81,$L81,FALSE))/_xlfn.WEIBULL.DIST(CW$2,$M81,$L81,FALSE))*($T81*(1-$F81)+$S81*(1-$G81))*((1+Inputs!$D$7)^CW$2))))))))</f>
        <v>0</v>
      </c>
      <c r="CX81" s="88">
        <f>MAX(BH81,($E81*IF(CX$2&gt;Inputs!$D$5,0,IF(CX$2&gt;VLOOKUP($H81,Lists!$P$3:$Q$7,2),IF($N81=Lists!$K$3,IF($L81&lt;1,(($U81/$L81)*((1+Inputs!$D$7)^CX$2)),((INT(CX$2/$L81)-INT((CX$2-1)/$L81))*$U81*((1+Inputs!$D$7)^CX$2))),(Inputs!$D$8^((1-_xlfn.WEIBULL.DIST(CX$2,$M81,$L81,FALSE))/_xlfn.WEIBULL.DIST(CX$2,$M81,$L81,FALSE))*$U81*((1+Inputs!$D$7)^CX$2))),IF($N81=Lists!$K$3,IF($L81&lt;1,((($T81*(1-$F81)+$S81*(1-$G81))/$L81)*((1+Inputs!$D$7)^CX$2)),((INT(CX$2/$L81)-INT((CX$2-1)/$L81))*($T81*(1-$F81)+$S81*(1-$G81))*((1+Inputs!$D$7)^CX$2))),((Inputs!$D$8^((1-_xlfn.WEIBULL.DIST(CX$2,$M81,$L81,FALSE))/_xlfn.WEIBULL.DIST(CX$2,$M81,$L81,FALSE))*($T81*(1-$F81)+$S81*(1-$G81))*((1+Inputs!$D$7)^CX$2))))))))</f>
        <v>0</v>
      </c>
      <c r="CY81" s="88">
        <f>MAX(BI81,($E81*IF(CY$2&gt;Inputs!$D$5,0,IF(CY$2&gt;VLOOKUP($H81,Lists!$P$3:$Q$7,2),IF($N81=Lists!$K$3,IF($L81&lt;1,(($U81/$L81)*((1+Inputs!$D$7)^CY$2)),((INT(CY$2/$L81)-INT((CY$2-1)/$L81))*$U81*((1+Inputs!$D$7)^CY$2))),(Inputs!$D$8^((1-_xlfn.WEIBULL.DIST(CY$2,$M81,$L81,FALSE))/_xlfn.WEIBULL.DIST(CY$2,$M81,$L81,FALSE))*$U81*((1+Inputs!$D$7)^CY$2))),IF($N81=Lists!$K$3,IF($L81&lt;1,((($T81*(1-$F81)+$S81*(1-$G81))/$L81)*((1+Inputs!$D$7)^CY$2)),((INT(CY$2/$L81)-INT((CY$2-1)/$L81))*($T81*(1-$F81)+$S81*(1-$G81))*((1+Inputs!$D$7)^CY$2))),((Inputs!$D$8^((1-_xlfn.WEIBULL.DIST(CY$2,$M81,$L81,FALSE))/_xlfn.WEIBULL.DIST(CY$2,$M81,$L81,FALSE))*($T81*(1-$F81)+$S81*(1-$G81))*((1+Inputs!$D$7)^CY$2))))))))</f>
        <v>0</v>
      </c>
      <c r="CZ81" s="88">
        <f>MAX(BJ81,($E81*IF(CZ$2&gt;Inputs!$D$5,0,IF(CZ$2&gt;VLOOKUP($H81,Lists!$P$3:$Q$7,2),IF($N81=Lists!$K$3,IF($L81&lt;1,(($U81/$L81)*((1+Inputs!$D$7)^CZ$2)),((INT(CZ$2/$L81)-INT((CZ$2-1)/$L81))*$U81*((1+Inputs!$D$7)^CZ$2))),(Inputs!$D$8^((1-_xlfn.WEIBULL.DIST(CZ$2,$M81,$L81,FALSE))/_xlfn.WEIBULL.DIST(CZ$2,$M81,$L81,FALSE))*$U81*((1+Inputs!$D$7)^CZ$2))),IF($N81=Lists!$K$3,IF($L81&lt;1,((($T81*(1-$F81)+$S81*(1-$G81))/$L81)*((1+Inputs!$D$7)^CZ$2)),((INT(CZ$2/$L81)-INT((CZ$2-1)/$L81))*($T81*(1-$F81)+$S81*(1-$G81))*((1+Inputs!$D$7)^CZ$2))),((Inputs!$D$8^((1-_xlfn.WEIBULL.DIST(CZ$2,$M81,$L81,FALSE))/_xlfn.WEIBULL.DIST(CZ$2,$M81,$L81,FALSE))*($T81*(1-$F81)+$S81*(1-$G81))*((1+Inputs!$D$7)^CZ$2))))))))</f>
        <v>0</v>
      </c>
      <c r="DA81" s="88">
        <f>MAX(BK81,($E81*IF(DA$2&gt;Inputs!$D$5,0,IF(DA$2&gt;VLOOKUP($H81,Lists!$P$3:$Q$7,2),IF($N81=Lists!$K$3,IF($L81&lt;1,(($U81/$L81)*((1+Inputs!$D$7)^DA$2)),((INT(DA$2/$L81)-INT((DA$2-1)/$L81))*$U81*((1+Inputs!$D$7)^DA$2))),(Inputs!$D$8^((1-_xlfn.WEIBULL.DIST(DA$2,$M81,$L81,FALSE))/_xlfn.WEIBULL.DIST(DA$2,$M81,$L81,FALSE))*$U81*((1+Inputs!$D$7)^DA$2))),IF($N81=Lists!$K$3,IF($L81&lt;1,((($T81*(1-$F81)+$S81*(1-$G81))/$L81)*((1+Inputs!$D$7)^DA$2)),((INT(DA$2/$L81)-INT((DA$2-1)/$L81))*($T81*(1-$F81)+$S81*(1-$G81))*((1+Inputs!$D$7)^DA$2))),((Inputs!$D$8^((1-_xlfn.WEIBULL.DIST(DA$2,$M81,$L81,FALSE))/_xlfn.WEIBULL.DIST(DA$2,$M81,$L81,FALSE))*($T81*(1-$F81)+$S81*(1-$G81))*((1+Inputs!$D$7)^DA$2))))))))</f>
        <v>0</v>
      </c>
      <c r="DB81" s="88">
        <f>MAX(BL81,($E81*IF(DB$2&gt;Inputs!$D$5,0,IF(DB$2&gt;VLOOKUP($H81,Lists!$P$3:$Q$7,2),IF($N81=Lists!$K$3,IF($L81&lt;1,(($U81/$L81)*((1+Inputs!$D$7)^DB$2)),((INT(DB$2/$L81)-INT((DB$2-1)/$L81))*$U81*((1+Inputs!$D$7)^DB$2))),(Inputs!$D$8^((1-_xlfn.WEIBULL.DIST(DB$2,$M81,$L81,FALSE))/_xlfn.WEIBULL.DIST(DB$2,$M81,$L81,FALSE))*$U81*((1+Inputs!$D$7)^DB$2))),IF($N81=Lists!$K$3,IF($L81&lt;1,((($T81*(1-$F81)+$S81*(1-$G81))/$L81)*((1+Inputs!$D$7)^DB$2)),((INT(DB$2/$L81)-INT((DB$2-1)/$L81))*($T81*(1-$F81)+$S81*(1-$G81))*((1+Inputs!$D$7)^DB$2))),((Inputs!$D$8^((1-_xlfn.WEIBULL.DIST(DB$2,$M81,$L81,FALSE))/_xlfn.WEIBULL.DIST(DB$2,$M81,$L81,FALSE))*($T81*(1-$F81)+$S81*(1-$G81))*((1+Inputs!$D$7)^DB$2))))))))</f>
        <v>0</v>
      </c>
      <c r="DC81" s="88">
        <f>MAX(BM81,($E81*IF(DC$2&gt;Inputs!$D$5,0,IF(DC$2&gt;VLOOKUP($H81,Lists!$P$3:$Q$7,2),IF($N81=Lists!$K$3,IF($L81&lt;1,(($U81/$L81)*((1+Inputs!$D$7)^DC$2)),((INT(DC$2/$L81)-INT((DC$2-1)/$L81))*$U81*((1+Inputs!$D$7)^DC$2))),(Inputs!$D$8^((1-_xlfn.WEIBULL.DIST(DC$2,$M81,$L81,FALSE))/_xlfn.WEIBULL.DIST(DC$2,$M81,$L81,FALSE))*$U81*((1+Inputs!$D$7)^DC$2))),IF($N81=Lists!$K$3,IF($L81&lt;1,((($T81*(1-$F81)+$S81*(1-$G81))/$L81)*((1+Inputs!$D$7)^DC$2)),((INT(DC$2/$L81)-INT((DC$2-1)/$L81))*($T81*(1-$F81)+$S81*(1-$G81))*((1+Inputs!$D$7)^DC$2))),((Inputs!$D$8^((1-_xlfn.WEIBULL.DIST(DC$2,$M81,$L81,FALSE))/_xlfn.WEIBULL.DIST(DC$2,$M81,$L81,FALSE))*($T81*(1-$F81)+$S81*(1-$G81))*((1+Inputs!$D$7)^DC$2))))))))</f>
        <v>0</v>
      </c>
      <c r="DD81" s="88">
        <f>MAX(BN81,($E81*IF(DD$2&gt;Inputs!$D$5,0,IF(DD$2&gt;VLOOKUP($H81,Lists!$P$3:$Q$7,2),IF($N81=Lists!$K$3,IF($L81&lt;1,(($U81/$L81)*((1+Inputs!$D$7)^DD$2)),((INT(DD$2/$L81)-INT((DD$2-1)/$L81))*$U81*((1+Inputs!$D$7)^DD$2))),(Inputs!$D$8^((1-_xlfn.WEIBULL.DIST(DD$2,$M81,$L81,FALSE))/_xlfn.WEIBULL.DIST(DD$2,$M81,$L81,FALSE))*$U81*((1+Inputs!$D$7)^DD$2))),IF($N81=Lists!$K$3,IF($L81&lt;1,((($T81*(1-$F81)+$S81*(1-$G81))/$L81)*((1+Inputs!$D$7)^DD$2)),((INT(DD$2/$L81)-INT((DD$2-1)/$L81))*($T81*(1-$F81)+$S81*(1-$G81))*((1+Inputs!$D$7)^DD$2))),((Inputs!$D$8^((1-_xlfn.WEIBULL.DIST(DD$2,$M81,$L81,FALSE))/_xlfn.WEIBULL.DIST(DD$2,$M81,$L81,FALSE))*($T81*(1-$F81)+$S81*(1-$G81))*((1+Inputs!$D$7)^DD$2))))))))</f>
        <v>0</v>
      </c>
    </row>
    <row r="82" spans="1:108" s="1" customFormat="1" ht="80">
      <c r="A82" s="57" t="s">
        <v>139</v>
      </c>
      <c r="B82" s="13" t="s">
        <v>279</v>
      </c>
      <c r="C82" s="13" t="s">
        <v>90</v>
      </c>
      <c r="D82" s="13" t="s">
        <v>123</v>
      </c>
      <c r="E82" s="48">
        <v>1</v>
      </c>
      <c r="F82" s="48">
        <v>0</v>
      </c>
      <c r="G82" s="48">
        <v>0</v>
      </c>
      <c r="H82" s="105" t="s">
        <v>350</v>
      </c>
      <c r="I82" s="14"/>
      <c r="J82" s="14" t="s">
        <v>83</v>
      </c>
      <c r="K82" s="13">
        <f>VLOOKUP(J82,'Labor Rates'!$A$1:$F$16,2)</f>
        <v>20.129423076923075</v>
      </c>
      <c r="L82" s="15">
        <v>1</v>
      </c>
      <c r="M82" s="15">
        <v>1</v>
      </c>
      <c r="N82" s="13" t="s">
        <v>236</v>
      </c>
      <c r="O82" s="61">
        <f>Inputs!$D$27+Inputs!$D$29+IF(Inputs!D30=Lists!M4,Inputs!$D$32,0)</f>
        <v>324</v>
      </c>
      <c r="P82" s="15">
        <v>0.15</v>
      </c>
      <c r="Q82" s="15">
        <f t="shared" si="14"/>
        <v>48.6</v>
      </c>
      <c r="R82" s="4">
        <v>1</v>
      </c>
      <c r="S82" s="53">
        <f t="shared" si="15"/>
        <v>978.28996153846151</v>
      </c>
      <c r="T82" s="53">
        <f t="shared" si="16"/>
        <v>324</v>
      </c>
      <c r="U82" s="54">
        <f t="shared" si="17"/>
        <v>1302.2899615384615</v>
      </c>
      <c r="V82" s="65"/>
      <c r="W82" s="58"/>
      <c r="X82" s="64">
        <f t="shared" si="18"/>
        <v>1613.7532598268349</v>
      </c>
      <c r="Y82" s="64">
        <f>NPV(Inputs!$D$6,AA82:BN82)</f>
        <v>18536.120434090284</v>
      </c>
      <c r="Z82" s="67">
        <f t="shared" si="19"/>
        <v>8.7425393432387245E-3</v>
      </c>
      <c r="AA82" s="88">
        <f>$E82*IF(AA$2&gt;Inputs!$D$5,0,IF(AA$2&gt;VLOOKUP($H82,Lists!$P$3:$Q$7,2),IF($N82=Lists!$K$3,IF($L82&lt;1,(($U82/$L82)*((1+Inputs!$D$7)^AA$2)),((INT(AA$2/$L82)-INT((AA$2-1)/$L82))*$U82*((1+Inputs!$D$7)^AA$2))),(_xlfn.WEIBULL.DIST(AA$2,$M82,$L82,FALSE)*$U82*((1+Inputs!$D$7)^AA$2))),IF($N82=Lists!$K$3,IF($L82&lt;1,((($T82*(1-$F82)+$S82*(1-$G82))/$L82)*((1+Inputs!$D$7)^AA$2)),((INT(AA$2/$L82)-INT((AA$2-1)/$L82))*($T82*(1-$F82)+$S82*(1-$G82))*((1+Inputs!$D$7)^AA$2))),((_xlfn.WEIBULL.DIST(AA$2,$M82,$L82,FALSE)*($T82*(1-$F82)+$S82*(1-$G82))*((1+Inputs!$D$7)^AA$2))))))</f>
        <v>1328.3357607692308</v>
      </c>
      <c r="AB82" s="88">
        <f>$E82*IF(AB$2&gt;Inputs!$D$5,0,IF(AB$2&gt;VLOOKUP($H82,Lists!$P$3:$Q$7,2),IF($N82=Lists!$K$3,IF($L82&lt;1,(($U82/$L82)*((1+Inputs!$D$7)^AB$2)),((INT(AB$2/$L82)-INT((AB$2-1)/$L82))*$U82*((1+Inputs!$D$7)^AB$2))),(_xlfn.WEIBULL.DIST(AB$2,$M82,$L82,FALSE)*$U82*((1+Inputs!$D$7)^AB$2))),IF($N82=Lists!$K$3,IF($L82&lt;1,((($T82*(1-$F82)+$S82*(1-$G82))/$L82)*((1+Inputs!$D$7)^AB$2)),((INT(AB$2/$L82)-INT((AB$2-1)/$L82))*($T82*(1-$F82)+$S82*(1-$G82))*((1+Inputs!$D$7)^AB$2))),((_xlfn.WEIBULL.DIST(AB$2,$M82,$L82,FALSE)*($T82*(1-$F82)+$S82*(1-$G82))*((1+Inputs!$D$7)^AB$2))))))</f>
        <v>1354.9024759846154</v>
      </c>
      <c r="AC82" s="88">
        <f>$E82*IF(AC$2&gt;Inputs!$D$5,0,IF(AC$2&gt;VLOOKUP($H82,Lists!$P$3:$Q$7,2),IF($N82=Lists!$K$3,IF($L82&lt;1,(($U82/$L82)*((1+Inputs!$D$7)^AC$2)),((INT(AC$2/$L82)-INT((AC$2-1)/$L82))*$U82*((1+Inputs!$D$7)^AC$2))),(_xlfn.WEIBULL.DIST(AC$2,$M82,$L82,FALSE)*$U82*((1+Inputs!$D$7)^AC$2))),IF($N82=Lists!$K$3,IF($L82&lt;1,((($T82*(1-$F82)+$S82*(1-$G82))/$L82)*((1+Inputs!$D$7)^AC$2)),((INT(AC$2/$L82)-INT((AC$2-1)/$L82))*($T82*(1-$F82)+$S82*(1-$G82))*((1+Inputs!$D$7)^AC$2))),((_xlfn.WEIBULL.DIST(AC$2,$M82,$L82,FALSE)*($T82*(1-$F82)+$S82*(1-$G82))*((1+Inputs!$D$7)^AC$2))))))</f>
        <v>1382.0005255043075</v>
      </c>
      <c r="AD82" s="88">
        <f>$E82*IF(AD$2&gt;Inputs!$D$5,0,IF(AD$2&gt;VLOOKUP($H82,Lists!$P$3:$Q$7,2),IF($N82=Lists!$K$3,IF($L82&lt;1,(($U82/$L82)*((1+Inputs!$D$7)^AD$2)),((INT(AD$2/$L82)-INT((AD$2-1)/$L82))*$U82*((1+Inputs!$D$7)^AD$2))),(_xlfn.WEIBULL.DIST(AD$2,$M82,$L82,FALSE)*$U82*((1+Inputs!$D$7)^AD$2))),IF($N82=Lists!$K$3,IF($L82&lt;1,((($T82*(1-$F82)+$S82*(1-$G82))/$L82)*((1+Inputs!$D$7)^AD$2)),((INT(AD$2/$L82)-INT((AD$2-1)/$L82))*($T82*(1-$F82)+$S82*(1-$G82))*((1+Inputs!$D$7)^AD$2))),((_xlfn.WEIBULL.DIST(AD$2,$M82,$L82,FALSE)*($T82*(1-$F82)+$S82*(1-$G82))*((1+Inputs!$D$7)^AD$2))))))</f>
        <v>1409.6405360143938</v>
      </c>
      <c r="AE82" s="88">
        <f>$E82*IF(AE$2&gt;Inputs!$D$5,0,IF(AE$2&gt;VLOOKUP($H82,Lists!$P$3:$Q$7,2),IF($N82=Lists!$K$3,IF($L82&lt;1,(($U82/$L82)*((1+Inputs!$D$7)^AE$2)),((INT(AE$2/$L82)-INT((AE$2-1)/$L82))*$U82*((1+Inputs!$D$7)^AE$2))),(_xlfn.WEIBULL.DIST(AE$2,$M82,$L82,FALSE)*$U82*((1+Inputs!$D$7)^AE$2))),IF($N82=Lists!$K$3,IF($L82&lt;1,((($T82*(1-$F82)+$S82*(1-$G82))/$L82)*((1+Inputs!$D$7)^AE$2)),((INT(AE$2/$L82)-INT((AE$2-1)/$L82))*($T82*(1-$F82)+$S82*(1-$G82))*((1+Inputs!$D$7)^AE$2))),((_xlfn.WEIBULL.DIST(AE$2,$M82,$L82,FALSE)*($T82*(1-$F82)+$S82*(1-$G82))*((1+Inputs!$D$7)^AE$2))))))</f>
        <v>1437.8333467346818</v>
      </c>
      <c r="AF82" s="88">
        <f>$E82*IF(AF$2&gt;Inputs!$D$5,0,IF(AF$2&gt;VLOOKUP($H82,Lists!$P$3:$Q$7,2),IF($N82=Lists!$K$3,IF($L82&lt;1,(($U82/$L82)*((1+Inputs!$D$7)^AF$2)),((INT(AF$2/$L82)-INT((AF$2-1)/$L82))*$U82*((1+Inputs!$D$7)^AF$2))),(_xlfn.WEIBULL.DIST(AF$2,$M82,$L82,FALSE)*$U82*((1+Inputs!$D$7)^AF$2))),IF($N82=Lists!$K$3,IF($L82&lt;1,((($T82*(1-$F82)+$S82*(1-$G82))/$L82)*((1+Inputs!$D$7)^AF$2)),((INT(AF$2/$L82)-INT((AF$2-1)/$L82))*($T82*(1-$F82)+$S82*(1-$G82))*((1+Inputs!$D$7)^AF$2))),((_xlfn.WEIBULL.DIST(AF$2,$M82,$L82,FALSE)*($T82*(1-$F82)+$S82*(1-$G82))*((1+Inputs!$D$7)^AF$2))))))</f>
        <v>1466.5900136693754</v>
      </c>
      <c r="AG82" s="88">
        <f>$E82*IF(AG$2&gt;Inputs!$D$5,0,IF(AG$2&gt;VLOOKUP($H82,Lists!$P$3:$Q$7,2),IF($N82=Lists!$K$3,IF($L82&lt;1,(($U82/$L82)*((1+Inputs!$D$7)^AG$2)),((INT(AG$2/$L82)-INT((AG$2-1)/$L82))*$U82*((1+Inputs!$D$7)^AG$2))),(_xlfn.WEIBULL.DIST(AG$2,$M82,$L82,FALSE)*$U82*((1+Inputs!$D$7)^AG$2))),IF($N82=Lists!$K$3,IF($L82&lt;1,((($T82*(1-$F82)+$S82*(1-$G82))/$L82)*((1+Inputs!$D$7)^AG$2)),((INT(AG$2/$L82)-INT((AG$2-1)/$L82))*($T82*(1-$F82)+$S82*(1-$G82))*((1+Inputs!$D$7)^AG$2))),((_xlfn.WEIBULL.DIST(AG$2,$M82,$L82,FALSE)*($T82*(1-$F82)+$S82*(1-$G82))*((1+Inputs!$D$7)^AG$2))))))</f>
        <v>1495.9218139427626</v>
      </c>
      <c r="AH82" s="88">
        <f>$E82*IF(AH$2&gt;Inputs!$D$5,0,IF(AH$2&gt;VLOOKUP($H82,Lists!$P$3:$Q$7,2),IF($N82=Lists!$K$3,IF($L82&lt;1,(($U82/$L82)*((1+Inputs!$D$7)^AH$2)),((INT(AH$2/$L82)-INT((AH$2-1)/$L82))*$U82*((1+Inputs!$D$7)^AH$2))),(_xlfn.WEIBULL.DIST(AH$2,$M82,$L82,FALSE)*$U82*((1+Inputs!$D$7)^AH$2))),IF($N82=Lists!$K$3,IF($L82&lt;1,((($T82*(1-$F82)+$S82*(1-$G82))/$L82)*((1+Inputs!$D$7)^AH$2)),((INT(AH$2/$L82)-INT((AH$2-1)/$L82))*($T82*(1-$F82)+$S82*(1-$G82))*((1+Inputs!$D$7)^AH$2))),((_xlfn.WEIBULL.DIST(AH$2,$M82,$L82,FALSE)*($T82*(1-$F82)+$S82*(1-$G82))*((1+Inputs!$D$7)^AH$2))))))</f>
        <v>1525.8402502216179</v>
      </c>
      <c r="AI82" s="88">
        <f>$E82*IF(AI$2&gt;Inputs!$D$5,0,IF(AI$2&gt;VLOOKUP($H82,Lists!$P$3:$Q$7,2),IF($N82=Lists!$K$3,IF($L82&lt;1,(($U82/$L82)*((1+Inputs!$D$7)^AI$2)),((INT(AI$2/$L82)-INT((AI$2-1)/$L82))*$U82*((1+Inputs!$D$7)^AI$2))),(_xlfn.WEIBULL.DIST(AI$2,$M82,$L82,FALSE)*$U82*((1+Inputs!$D$7)^AI$2))),IF($N82=Lists!$K$3,IF($L82&lt;1,((($T82*(1-$F82)+$S82*(1-$G82))/$L82)*((1+Inputs!$D$7)^AI$2)),((INT(AI$2/$L82)-INT((AI$2-1)/$L82))*($T82*(1-$F82)+$S82*(1-$G82))*((1+Inputs!$D$7)^AI$2))),((_xlfn.WEIBULL.DIST(AI$2,$M82,$L82,FALSE)*($T82*(1-$F82)+$S82*(1-$G82))*((1+Inputs!$D$7)^AI$2))))))</f>
        <v>1556.3570552260503</v>
      </c>
      <c r="AJ82" s="88">
        <f>$E82*IF(AJ$2&gt;Inputs!$D$5,0,IF(AJ$2&gt;VLOOKUP($H82,Lists!$P$3:$Q$7,2),IF($N82=Lists!$K$3,IF($L82&lt;1,(($U82/$L82)*((1+Inputs!$D$7)^AJ$2)),((INT(AJ$2/$L82)-INT((AJ$2-1)/$L82))*$U82*((1+Inputs!$D$7)^AJ$2))),(_xlfn.WEIBULL.DIST(AJ$2,$M82,$L82,FALSE)*$U82*((1+Inputs!$D$7)^AJ$2))),IF($N82=Lists!$K$3,IF($L82&lt;1,((($T82*(1-$F82)+$S82*(1-$G82))/$L82)*((1+Inputs!$D$7)^AJ$2)),((INT(AJ$2/$L82)-INT((AJ$2-1)/$L82))*($T82*(1-$F82)+$S82*(1-$G82))*((1+Inputs!$D$7)^AJ$2))),((_xlfn.WEIBULL.DIST(AJ$2,$M82,$L82,FALSE)*($T82*(1-$F82)+$S82*(1-$G82))*((1+Inputs!$D$7)^AJ$2))))))</f>
        <v>1587.4841963305714</v>
      </c>
      <c r="AK82" s="88">
        <f>$E82*IF(AK$2&gt;Inputs!$D$5,0,IF(AK$2&gt;VLOOKUP($H82,Lists!$P$3:$Q$7,2),IF($N82=Lists!$K$3,IF($L82&lt;1,(($U82/$L82)*((1+Inputs!$D$7)^AK$2)),((INT(AK$2/$L82)-INT((AK$2-1)/$L82))*$U82*((1+Inputs!$D$7)^AK$2))),(_xlfn.WEIBULL.DIST(AK$2,$M82,$L82,FALSE)*$U82*((1+Inputs!$D$7)^AK$2))),IF($N82=Lists!$K$3,IF($L82&lt;1,((($T82*(1-$F82)+$S82*(1-$G82))/$L82)*((1+Inputs!$D$7)^AK$2)),((INT(AK$2/$L82)-INT((AK$2-1)/$L82))*($T82*(1-$F82)+$S82*(1-$G82))*((1+Inputs!$D$7)^AK$2))),((_xlfn.WEIBULL.DIST(AK$2,$M82,$L82,FALSE)*($T82*(1-$F82)+$S82*(1-$G82))*((1+Inputs!$D$7)^AK$2))))))</f>
        <v>1619.2338802571826</v>
      </c>
      <c r="AL82" s="88">
        <f>$E82*IF(AL$2&gt;Inputs!$D$5,0,IF(AL$2&gt;VLOOKUP($H82,Lists!$P$3:$Q$7,2),IF($N82=Lists!$K$3,IF($L82&lt;1,(($U82/$L82)*((1+Inputs!$D$7)^AL$2)),((INT(AL$2/$L82)-INT((AL$2-1)/$L82))*$U82*((1+Inputs!$D$7)^AL$2))),(_xlfn.WEIBULL.DIST(AL$2,$M82,$L82,FALSE)*$U82*((1+Inputs!$D$7)^AL$2))),IF($N82=Lists!$K$3,IF($L82&lt;1,((($T82*(1-$F82)+$S82*(1-$G82))/$L82)*((1+Inputs!$D$7)^AL$2)),((INT(AL$2/$L82)-INT((AL$2-1)/$L82))*($T82*(1-$F82)+$S82*(1-$G82))*((1+Inputs!$D$7)^AL$2))),((_xlfn.WEIBULL.DIST(AL$2,$M82,$L82,FALSE)*($T82*(1-$F82)+$S82*(1-$G82))*((1+Inputs!$D$7)^AL$2))))))</f>
        <v>1651.6185578623265</v>
      </c>
      <c r="AM82" s="88">
        <f>$E82*IF(AM$2&gt;Inputs!$D$5,0,IF(AM$2&gt;VLOOKUP($H82,Lists!$P$3:$Q$7,2),IF($N82=Lists!$K$3,IF($L82&lt;1,(($U82/$L82)*((1+Inputs!$D$7)^AM$2)),((INT(AM$2/$L82)-INT((AM$2-1)/$L82))*$U82*((1+Inputs!$D$7)^AM$2))),(_xlfn.WEIBULL.DIST(AM$2,$M82,$L82,FALSE)*$U82*((1+Inputs!$D$7)^AM$2))),IF($N82=Lists!$K$3,IF($L82&lt;1,((($T82*(1-$F82)+$S82*(1-$G82))/$L82)*((1+Inputs!$D$7)^AM$2)),((INT(AM$2/$L82)-INT((AM$2-1)/$L82))*($T82*(1-$F82)+$S82*(1-$G82))*((1+Inputs!$D$7)^AM$2))),((_xlfn.WEIBULL.DIST(AM$2,$M82,$L82,FALSE)*($T82*(1-$F82)+$S82*(1-$G82))*((1+Inputs!$D$7)^AM$2))))))</f>
        <v>1684.6509290195729</v>
      </c>
      <c r="AN82" s="88">
        <f>$E82*IF(AN$2&gt;Inputs!$D$5,0,IF(AN$2&gt;VLOOKUP($H82,Lists!$P$3:$Q$7,2),IF($N82=Lists!$K$3,IF($L82&lt;1,(($U82/$L82)*((1+Inputs!$D$7)^AN$2)),((INT(AN$2/$L82)-INT((AN$2-1)/$L82))*$U82*((1+Inputs!$D$7)^AN$2))),(_xlfn.WEIBULL.DIST(AN$2,$M82,$L82,FALSE)*$U82*((1+Inputs!$D$7)^AN$2))),IF($N82=Lists!$K$3,IF($L82&lt;1,((($T82*(1-$F82)+$S82*(1-$G82))/$L82)*((1+Inputs!$D$7)^AN$2)),((INT(AN$2/$L82)-INT((AN$2-1)/$L82))*($T82*(1-$F82)+$S82*(1-$G82))*((1+Inputs!$D$7)^AN$2))),((_xlfn.WEIBULL.DIST(AN$2,$M82,$L82,FALSE)*($T82*(1-$F82)+$S82*(1-$G82))*((1+Inputs!$D$7)^AN$2))))))</f>
        <v>1718.3439475999646</v>
      </c>
      <c r="AO82" s="88">
        <f>$E82*IF(AO$2&gt;Inputs!$D$5,0,IF(AO$2&gt;VLOOKUP($H82,Lists!$P$3:$Q$7,2),IF($N82=Lists!$K$3,IF($L82&lt;1,(($U82/$L82)*((1+Inputs!$D$7)^AO$2)),((INT(AO$2/$L82)-INT((AO$2-1)/$L82))*$U82*((1+Inputs!$D$7)^AO$2))),(_xlfn.WEIBULL.DIST(AO$2,$M82,$L82,FALSE)*$U82*((1+Inputs!$D$7)^AO$2))),IF($N82=Lists!$K$3,IF($L82&lt;1,((($T82*(1-$F82)+$S82*(1-$G82))/$L82)*((1+Inputs!$D$7)^AO$2)),((INT(AO$2/$L82)-INT((AO$2-1)/$L82))*($T82*(1-$F82)+$S82*(1-$G82))*((1+Inputs!$D$7)^AO$2))),((_xlfn.WEIBULL.DIST(AO$2,$M82,$L82,FALSE)*($T82*(1-$F82)+$S82*(1-$G82))*((1+Inputs!$D$7)^AO$2))))))</f>
        <v>1752.7108265519632</v>
      </c>
      <c r="AP82" s="88">
        <f>$E82*IF(AP$2&gt;Inputs!$D$5,0,IF(AP$2&gt;VLOOKUP($H82,Lists!$P$3:$Q$7,2),IF($N82=Lists!$K$3,IF($L82&lt;1,(($U82/$L82)*((1+Inputs!$D$7)^AP$2)),((INT(AP$2/$L82)-INT((AP$2-1)/$L82))*$U82*((1+Inputs!$D$7)^AP$2))),(_xlfn.WEIBULL.DIST(AP$2,$M82,$L82,FALSE)*$U82*((1+Inputs!$D$7)^AP$2))),IF($N82=Lists!$K$3,IF($L82&lt;1,((($T82*(1-$F82)+$S82*(1-$G82))/$L82)*((1+Inputs!$D$7)^AP$2)),((INT(AP$2/$L82)-INT((AP$2-1)/$L82))*($T82*(1-$F82)+$S82*(1-$G82))*((1+Inputs!$D$7)^AP$2))),((_xlfn.WEIBULL.DIST(AP$2,$M82,$L82,FALSE)*($T82*(1-$F82)+$S82*(1-$G82))*((1+Inputs!$D$7)^AP$2))))))</f>
        <v>1787.7650430830029</v>
      </c>
      <c r="AQ82" s="88">
        <f>$E82*IF(AQ$2&gt;Inputs!$D$5,0,IF(AQ$2&gt;VLOOKUP($H82,Lists!$P$3:$Q$7,2),IF($N82=Lists!$K$3,IF($L82&lt;1,(($U82/$L82)*((1+Inputs!$D$7)^AQ$2)),((INT(AQ$2/$L82)-INT((AQ$2-1)/$L82))*$U82*((1+Inputs!$D$7)^AQ$2))),(_xlfn.WEIBULL.DIST(AQ$2,$M82,$L82,FALSE)*$U82*((1+Inputs!$D$7)^AQ$2))),IF($N82=Lists!$K$3,IF($L82&lt;1,((($T82*(1-$F82)+$S82*(1-$G82))/$L82)*((1+Inputs!$D$7)^AQ$2)),((INT(AQ$2/$L82)-INT((AQ$2-1)/$L82))*($T82*(1-$F82)+$S82*(1-$G82))*((1+Inputs!$D$7)^AQ$2))),((_xlfn.WEIBULL.DIST(AQ$2,$M82,$L82,FALSE)*($T82*(1-$F82)+$S82*(1-$G82))*((1+Inputs!$D$7)^AQ$2))))))</f>
        <v>1823.5203439446632</v>
      </c>
      <c r="AR82" s="88">
        <f>$E82*IF(AR$2&gt;Inputs!$D$5,0,IF(AR$2&gt;VLOOKUP($H82,Lists!$P$3:$Q$7,2),IF($N82=Lists!$K$3,IF($L82&lt;1,(($U82/$L82)*((1+Inputs!$D$7)^AR$2)),((INT(AR$2/$L82)-INT((AR$2-1)/$L82))*$U82*((1+Inputs!$D$7)^AR$2))),(_xlfn.WEIBULL.DIST(AR$2,$M82,$L82,FALSE)*$U82*((1+Inputs!$D$7)^AR$2))),IF($N82=Lists!$K$3,IF($L82&lt;1,((($T82*(1-$F82)+$S82*(1-$G82))/$L82)*((1+Inputs!$D$7)^AR$2)),((INT(AR$2/$L82)-INT((AR$2-1)/$L82))*($T82*(1-$F82)+$S82*(1-$G82))*((1+Inputs!$D$7)^AR$2))),((_xlfn.WEIBULL.DIST(AR$2,$M82,$L82,FALSE)*($T82*(1-$F82)+$S82*(1-$G82))*((1+Inputs!$D$7)^AR$2))))))</f>
        <v>1859.9907508235563</v>
      </c>
      <c r="AS82" s="88">
        <f>$E82*IF(AS$2&gt;Inputs!$D$5,0,IF(AS$2&gt;VLOOKUP($H82,Lists!$P$3:$Q$7,2),IF($N82=Lists!$K$3,IF($L82&lt;1,(($U82/$L82)*((1+Inputs!$D$7)^AS$2)),((INT(AS$2/$L82)-INT((AS$2-1)/$L82))*$U82*((1+Inputs!$D$7)^AS$2))),(_xlfn.WEIBULL.DIST(AS$2,$M82,$L82,FALSE)*$U82*((1+Inputs!$D$7)^AS$2))),IF($N82=Lists!$K$3,IF($L82&lt;1,((($T82*(1-$F82)+$S82*(1-$G82))/$L82)*((1+Inputs!$D$7)^AS$2)),((INT(AS$2/$L82)-INT((AS$2-1)/$L82))*($T82*(1-$F82)+$S82*(1-$G82))*((1+Inputs!$D$7)^AS$2))),((_xlfn.WEIBULL.DIST(AS$2,$M82,$L82,FALSE)*($T82*(1-$F82)+$S82*(1-$G82))*((1+Inputs!$D$7)^AS$2))))))</f>
        <v>1897.1905658400271</v>
      </c>
      <c r="AT82" s="88">
        <f>$E82*IF(AT$2&gt;Inputs!$D$5,0,IF(AT$2&gt;VLOOKUP($H82,Lists!$P$3:$Q$7,2),IF($N82=Lists!$K$3,IF($L82&lt;1,(($U82/$L82)*((1+Inputs!$D$7)^AT$2)),((INT(AT$2/$L82)-INT((AT$2-1)/$L82))*$U82*((1+Inputs!$D$7)^AT$2))),(_xlfn.WEIBULL.DIST(AT$2,$M82,$L82,FALSE)*$U82*((1+Inputs!$D$7)^AT$2))),IF($N82=Lists!$K$3,IF($L82&lt;1,((($T82*(1-$F82)+$S82*(1-$G82))/$L82)*((1+Inputs!$D$7)^AT$2)),((INT(AT$2/$L82)-INT((AT$2-1)/$L82))*($T82*(1-$F82)+$S82*(1-$G82))*((1+Inputs!$D$7)^AT$2))),((_xlfn.WEIBULL.DIST(AT$2,$M82,$L82,FALSE)*($T82*(1-$F82)+$S82*(1-$G82))*((1+Inputs!$D$7)^AT$2))))))</f>
        <v>1935.1343771568279</v>
      </c>
      <c r="AU82" s="88">
        <f>$E82*IF(AU$2&gt;Inputs!$D$5,0,IF(AU$2&gt;VLOOKUP($H82,Lists!$P$3:$Q$7,2),IF($N82=Lists!$K$3,IF($L82&lt;1,(($U82/$L82)*((1+Inputs!$D$7)^AU$2)),((INT(AU$2/$L82)-INT((AU$2-1)/$L82))*$U82*((1+Inputs!$D$7)^AU$2))),(_xlfn.WEIBULL.DIST(AU$2,$M82,$L82,FALSE)*$U82*((1+Inputs!$D$7)^AU$2))),IF($N82=Lists!$K$3,IF($L82&lt;1,((($T82*(1-$F82)+$S82*(1-$G82))/$L82)*((1+Inputs!$D$7)^AU$2)),((INT(AU$2/$L82)-INT((AU$2-1)/$L82))*($T82*(1-$F82)+$S82*(1-$G82))*((1+Inputs!$D$7)^AU$2))),((_xlfn.WEIBULL.DIST(AU$2,$M82,$L82,FALSE)*($T82*(1-$F82)+$S82*(1-$G82))*((1+Inputs!$D$7)^AU$2))))))</f>
        <v>1973.8370646999645</v>
      </c>
      <c r="AV82" s="88">
        <f>$E82*IF(AV$2&gt;Inputs!$D$5,0,IF(AV$2&gt;VLOOKUP($H82,Lists!$P$3:$Q$7,2),IF($N82=Lists!$K$3,IF($L82&lt;1,(($U82/$L82)*((1+Inputs!$D$7)^AV$2)),((INT(AV$2/$L82)-INT((AV$2-1)/$L82))*$U82*((1+Inputs!$D$7)^AV$2))),(_xlfn.WEIBULL.DIST(AV$2,$M82,$L82,FALSE)*$U82*((1+Inputs!$D$7)^AV$2))),IF($N82=Lists!$K$3,IF($L82&lt;1,((($T82*(1-$F82)+$S82*(1-$G82))/$L82)*((1+Inputs!$D$7)^AV$2)),((INT(AV$2/$L82)-INT((AV$2-1)/$L82))*($T82*(1-$F82)+$S82*(1-$G82))*((1+Inputs!$D$7)^AV$2))),((_xlfn.WEIBULL.DIST(AV$2,$M82,$L82,FALSE)*($T82*(1-$F82)+$S82*(1-$G82))*((1+Inputs!$D$7)^AV$2))))))</f>
        <v>2013.3138059939638</v>
      </c>
      <c r="AW82" s="88">
        <f>$E82*IF(AW$2&gt;Inputs!$D$5,0,IF(AW$2&gt;VLOOKUP($H82,Lists!$P$3:$Q$7,2),IF($N82=Lists!$K$3,IF($L82&lt;1,(($U82/$L82)*((1+Inputs!$D$7)^AW$2)),((INT(AW$2/$L82)-INT((AW$2-1)/$L82))*$U82*((1+Inputs!$D$7)^AW$2))),(_xlfn.WEIBULL.DIST(AW$2,$M82,$L82,FALSE)*$U82*((1+Inputs!$D$7)^AW$2))),IF($N82=Lists!$K$3,IF($L82&lt;1,((($T82*(1-$F82)+$S82*(1-$G82))/$L82)*((1+Inputs!$D$7)^AW$2)),((INT(AW$2/$L82)-INT((AW$2-1)/$L82))*($T82*(1-$F82)+$S82*(1-$G82))*((1+Inputs!$D$7)^AW$2))),((_xlfn.WEIBULL.DIST(AW$2,$M82,$L82,FALSE)*($T82*(1-$F82)+$S82*(1-$G82))*((1+Inputs!$D$7)^AW$2))))))</f>
        <v>2053.5800821138428</v>
      </c>
      <c r="AX82" s="88">
        <f>$E82*IF(AX$2&gt;Inputs!$D$5,0,IF(AX$2&gt;VLOOKUP($H82,Lists!$P$3:$Q$7,2),IF($N82=Lists!$K$3,IF($L82&lt;1,(($U82/$L82)*((1+Inputs!$D$7)^AX$2)),((INT(AX$2/$L82)-INT((AX$2-1)/$L82))*$U82*((1+Inputs!$D$7)^AX$2))),(_xlfn.WEIBULL.DIST(AX$2,$M82,$L82,FALSE)*$U82*((1+Inputs!$D$7)^AX$2))),IF($N82=Lists!$K$3,IF($L82&lt;1,((($T82*(1-$F82)+$S82*(1-$G82))/$L82)*((1+Inputs!$D$7)^AX$2)),((INT(AX$2/$L82)-INT((AX$2-1)/$L82))*($T82*(1-$F82)+$S82*(1-$G82))*((1+Inputs!$D$7)^AX$2))),((_xlfn.WEIBULL.DIST(AX$2,$M82,$L82,FALSE)*($T82*(1-$F82)+$S82*(1-$G82))*((1+Inputs!$D$7)^AX$2))))))</f>
        <v>2094.6516837561198</v>
      </c>
      <c r="AY82" s="88">
        <f>$E82*IF(AY$2&gt;Inputs!$D$5,0,IF(AY$2&gt;VLOOKUP($H82,Lists!$P$3:$Q$7,2),IF($N82=Lists!$K$3,IF($L82&lt;1,(($U82/$L82)*((1+Inputs!$D$7)^AY$2)),((INT(AY$2/$L82)-INT((AY$2-1)/$L82))*$U82*((1+Inputs!$D$7)^AY$2))),(_xlfn.WEIBULL.DIST(AY$2,$M82,$L82,FALSE)*$U82*((1+Inputs!$D$7)^AY$2))),IF($N82=Lists!$K$3,IF($L82&lt;1,((($T82*(1-$F82)+$S82*(1-$G82))/$L82)*((1+Inputs!$D$7)^AY$2)),((INT(AY$2/$L82)-INT((AY$2-1)/$L82))*($T82*(1-$F82)+$S82*(1-$G82))*((1+Inputs!$D$7)^AY$2))),((_xlfn.WEIBULL.DIST(AY$2,$M82,$L82,FALSE)*($T82*(1-$F82)+$S82*(1-$G82))*((1+Inputs!$D$7)^AY$2))))))</f>
        <v>2136.5447174312421</v>
      </c>
      <c r="AZ82" s="88">
        <f>$E82*IF(AZ$2&gt;Inputs!$D$5,0,IF(AZ$2&gt;VLOOKUP($H82,Lists!$P$3:$Q$7,2),IF($N82=Lists!$K$3,IF($L82&lt;1,(($U82/$L82)*((1+Inputs!$D$7)^AZ$2)),((INT(AZ$2/$L82)-INT((AZ$2-1)/$L82))*$U82*((1+Inputs!$D$7)^AZ$2))),(_xlfn.WEIBULL.DIST(AZ$2,$M82,$L82,FALSE)*$U82*((1+Inputs!$D$7)^AZ$2))),IF($N82=Lists!$K$3,IF($L82&lt;1,((($T82*(1-$F82)+$S82*(1-$G82))/$L82)*((1+Inputs!$D$7)^AZ$2)),((INT(AZ$2/$L82)-INT((AZ$2-1)/$L82))*($T82*(1-$F82)+$S82*(1-$G82))*((1+Inputs!$D$7)^AZ$2))),((_xlfn.WEIBULL.DIST(AZ$2,$M82,$L82,FALSE)*($T82*(1-$F82)+$S82*(1-$G82))*((1+Inputs!$D$7)^AZ$2))))))</f>
        <v>0</v>
      </c>
      <c r="BA82" s="88">
        <f>$E82*IF(BA$2&gt;Inputs!$D$5,0,IF(BA$2&gt;VLOOKUP($H82,Lists!$P$3:$Q$7,2),IF($N82=Lists!$K$3,IF($L82&lt;1,(($U82/$L82)*((1+Inputs!$D$7)^BA$2)),((INT(BA$2/$L82)-INT((BA$2-1)/$L82))*$U82*((1+Inputs!$D$7)^BA$2))),(_xlfn.WEIBULL.DIST(BA$2,$M82,$L82,FALSE)*$U82*((1+Inputs!$D$7)^BA$2))),IF($N82=Lists!$K$3,IF($L82&lt;1,((($T82*(1-$F82)+$S82*(1-$G82))/$L82)*((1+Inputs!$D$7)^BA$2)),((INT(BA$2/$L82)-INT((BA$2-1)/$L82))*($T82*(1-$F82)+$S82*(1-$G82))*((1+Inputs!$D$7)^BA$2))),((_xlfn.WEIBULL.DIST(BA$2,$M82,$L82,FALSE)*($T82*(1-$F82)+$S82*(1-$G82))*((1+Inputs!$D$7)^BA$2))))))</f>
        <v>0</v>
      </c>
      <c r="BB82" s="88">
        <f>$E82*IF(BB$2&gt;Inputs!$D$5,0,IF(BB$2&gt;VLOOKUP($H82,Lists!$P$3:$Q$7,2),IF($N82=Lists!$K$3,IF($L82&lt;1,(($U82/$L82)*((1+Inputs!$D$7)^BB$2)),((INT(BB$2/$L82)-INT((BB$2-1)/$L82))*$U82*((1+Inputs!$D$7)^BB$2))),(_xlfn.WEIBULL.DIST(BB$2,$M82,$L82,FALSE)*$U82*((1+Inputs!$D$7)^BB$2))),IF($N82=Lists!$K$3,IF($L82&lt;1,((($T82*(1-$F82)+$S82*(1-$G82))/$L82)*((1+Inputs!$D$7)^BB$2)),((INT(BB$2/$L82)-INT((BB$2-1)/$L82))*($T82*(1-$F82)+$S82*(1-$G82))*((1+Inputs!$D$7)^BB$2))),((_xlfn.WEIBULL.DIST(BB$2,$M82,$L82,FALSE)*($T82*(1-$F82)+$S82*(1-$G82))*((1+Inputs!$D$7)^BB$2))))))</f>
        <v>0</v>
      </c>
      <c r="BC82" s="88">
        <f>$E82*IF(BC$2&gt;Inputs!$D$5,0,IF(BC$2&gt;VLOOKUP($H82,Lists!$P$3:$Q$7,2),IF($N82=Lists!$K$3,IF($L82&lt;1,(($U82/$L82)*((1+Inputs!$D$7)^BC$2)),((INT(BC$2/$L82)-INT((BC$2-1)/$L82))*$U82*((1+Inputs!$D$7)^BC$2))),(_xlfn.WEIBULL.DIST(BC$2,$M82,$L82,FALSE)*$U82*((1+Inputs!$D$7)^BC$2))),IF($N82=Lists!$K$3,IF($L82&lt;1,((($T82*(1-$F82)+$S82*(1-$G82))/$L82)*((1+Inputs!$D$7)^BC$2)),((INT(BC$2/$L82)-INT((BC$2-1)/$L82))*($T82*(1-$F82)+$S82*(1-$G82))*((1+Inputs!$D$7)^BC$2))),((_xlfn.WEIBULL.DIST(BC$2,$M82,$L82,FALSE)*($T82*(1-$F82)+$S82*(1-$G82))*((1+Inputs!$D$7)^BC$2))))))</f>
        <v>0</v>
      </c>
      <c r="BD82" s="88">
        <f>$E82*IF(BD$2&gt;Inputs!$D$5,0,IF(BD$2&gt;VLOOKUP($H82,Lists!$P$3:$Q$7,2),IF($N82=Lists!$K$3,IF($L82&lt;1,(($U82/$L82)*((1+Inputs!$D$7)^BD$2)),((INT(BD$2/$L82)-INT((BD$2-1)/$L82))*$U82*((1+Inputs!$D$7)^BD$2))),(_xlfn.WEIBULL.DIST(BD$2,$M82,$L82,FALSE)*$U82*((1+Inputs!$D$7)^BD$2))),IF($N82=Lists!$K$3,IF($L82&lt;1,((($T82*(1-$F82)+$S82*(1-$G82))/$L82)*((1+Inputs!$D$7)^BD$2)),((INT(BD$2/$L82)-INT((BD$2-1)/$L82))*($T82*(1-$F82)+$S82*(1-$G82))*((1+Inputs!$D$7)^BD$2))),((_xlfn.WEIBULL.DIST(BD$2,$M82,$L82,FALSE)*($T82*(1-$F82)+$S82*(1-$G82))*((1+Inputs!$D$7)^BD$2))))))</f>
        <v>0</v>
      </c>
      <c r="BE82" s="88">
        <f>$E82*IF(BE$2&gt;Inputs!$D$5,0,IF(BE$2&gt;VLOOKUP($H82,Lists!$P$3:$Q$7,2),IF($N82=Lists!$K$3,IF($L82&lt;1,(($U82/$L82)*((1+Inputs!$D$7)^BE$2)),((INT(BE$2/$L82)-INT((BE$2-1)/$L82))*$U82*((1+Inputs!$D$7)^BE$2))),(_xlfn.WEIBULL.DIST(BE$2,$M82,$L82,FALSE)*$U82*((1+Inputs!$D$7)^BE$2))),IF($N82=Lists!$K$3,IF($L82&lt;1,((($T82*(1-$F82)+$S82*(1-$G82))/$L82)*((1+Inputs!$D$7)^BE$2)),((INT(BE$2/$L82)-INT((BE$2-1)/$L82))*($T82*(1-$F82)+$S82*(1-$G82))*((1+Inputs!$D$7)^BE$2))),((_xlfn.WEIBULL.DIST(BE$2,$M82,$L82,FALSE)*($T82*(1-$F82)+$S82*(1-$G82))*((1+Inputs!$D$7)^BE$2))))))</f>
        <v>0</v>
      </c>
      <c r="BF82" s="88">
        <f>$E82*IF(BF$2&gt;Inputs!$D$5,0,IF(BF$2&gt;VLOOKUP($H82,Lists!$P$3:$Q$7,2),IF($N82=Lists!$K$3,IF($L82&lt;1,(($U82/$L82)*((1+Inputs!$D$7)^BF$2)),((INT(BF$2/$L82)-INT((BF$2-1)/$L82))*$U82*((1+Inputs!$D$7)^BF$2))),(_xlfn.WEIBULL.DIST(BF$2,$M82,$L82,FALSE)*$U82*((1+Inputs!$D$7)^BF$2))),IF($N82=Lists!$K$3,IF($L82&lt;1,((($T82*(1-$F82)+$S82*(1-$G82))/$L82)*((1+Inputs!$D$7)^BF$2)),((INT(BF$2/$L82)-INT((BF$2-1)/$L82))*($T82*(1-$F82)+$S82*(1-$G82))*((1+Inputs!$D$7)^BF$2))),((_xlfn.WEIBULL.DIST(BF$2,$M82,$L82,FALSE)*($T82*(1-$F82)+$S82*(1-$G82))*((1+Inputs!$D$7)^BF$2))))))</f>
        <v>0</v>
      </c>
      <c r="BG82" s="88">
        <f>$E82*IF(BG$2&gt;Inputs!$D$5,0,IF(BG$2&gt;VLOOKUP($H82,Lists!$P$3:$Q$7,2),IF($N82=Lists!$K$3,IF($L82&lt;1,(($U82/$L82)*((1+Inputs!$D$7)^BG$2)),((INT(BG$2/$L82)-INT((BG$2-1)/$L82))*$U82*((1+Inputs!$D$7)^BG$2))),(_xlfn.WEIBULL.DIST(BG$2,$M82,$L82,FALSE)*$U82*((1+Inputs!$D$7)^BG$2))),IF($N82=Lists!$K$3,IF($L82&lt;1,((($T82*(1-$F82)+$S82*(1-$G82))/$L82)*((1+Inputs!$D$7)^BG$2)),((INT(BG$2/$L82)-INT((BG$2-1)/$L82))*($T82*(1-$F82)+$S82*(1-$G82))*((1+Inputs!$D$7)^BG$2))),((_xlfn.WEIBULL.DIST(BG$2,$M82,$L82,FALSE)*($T82*(1-$F82)+$S82*(1-$G82))*((1+Inputs!$D$7)^BG$2))))))</f>
        <v>0</v>
      </c>
      <c r="BH82" s="88">
        <f>$E82*IF(BH$2&gt;Inputs!$D$5,0,IF(BH$2&gt;VLOOKUP($H82,Lists!$P$3:$Q$7,2),IF($N82=Lists!$K$3,IF($L82&lt;1,(($U82/$L82)*((1+Inputs!$D$7)^BH$2)),((INT(BH$2/$L82)-INT((BH$2-1)/$L82))*$U82*((1+Inputs!$D$7)^BH$2))),(_xlfn.WEIBULL.DIST(BH$2,$M82,$L82,FALSE)*$U82*((1+Inputs!$D$7)^BH$2))),IF($N82=Lists!$K$3,IF($L82&lt;1,((($T82*(1-$F82)+$S82*(1-$G82))/$L82)*((1+Inputs!$D$7)^BH$2)),((INT(BH$2/$L82)-INT((BH$2-1)/$L82))*($T82*(1-$F82)+$S82*(1-$G82))*((1+Inputs!$D$7)^BH$2))),((_xlfn.WEIBULL.DIST(BH$2,$M82,$L82,FALSE)*($T82*(1-$F82)+$S82*(1-$G82))*((1+Inputs!$D$7)^BH$2))))))</f>
        <v>0</v>
      </c>
      <c r="BI82" s="88">
        <f>$E82*IF(BI$2&gt;Inputs!$D$5,0,IF(BI$2&gt;VLOOKUP($H82,Lists!$P$3:$Q$7,2),IF($N82=Lists!$K$3,IF($L82&lt;1,(($U82/$L82)*((1+Inputs!$D$7)^BI$2)),((INT(BI$2/$L82)-INT((BI$2-1)/$L82))*$U82*((1+Inputs!$D$7)^BI$2))),(_xlfn.WEIBULL.DIST(BI$2,$M82,$L82,FALSE)*$U82*((1+Inputs!$D$7)^BI$2))),IF($N82=Lists!$K$3,IF($L82&lt;1,((($T82*(1-$F82)+$S82*(1-$G82))/$L82)*((1+Inputs!$D$7)^BI$2)),((INT(BI$2/$L82)-INT((BI$2-1)/$L82))*($T82*(1-$F82)+$S82*(1-$G82))*((1+Inputs!$D$7)^BI$2))),((_xlfn.WEIBULL.DIST(BI$2,$M82,$L82,FALSE)*($T82*(1-$F82)+$S82*(1-$G82))*((1+Inputs!$D$7)^BI$2))))))</f>
        <v>0</v>
      </c>
      <c r="BJ82" s="88">
        <f>$E82*IF(BJ$2&gt;Inputs!$D$5,0,IF(BJ$2&gt;VLOOKUP($H82,Lists!$P$3:$Q$7,2),IF($N82=Lists!$K$3,IF($L82&lt;1,(($U82/$L82)*((1+Inputs!$D$7)^BJ$2)),((INT(BJ$2/$L82)-INT((BJ$2-1)/$L82))*$U82*((1+Inputs!$D$7)^BJ$2))),(_xlfn.WEIBULL.DIST(BJ$2,$M82,$L82,FALSE)*$U82*((1+Inputs!$D$7)^BJ$2))),IF($N82=Lists!$K$3,IF($L82&lt;1,((($T82*(1-$F82)+$S82*(1-$G82))/$L82)*((1+Inputs!$D$7)^BJ$2)),((INT(BJ$2/$L82)-INT((BJ$2-1)/$L82))*($T82*(1-$F82)+$S82*(1-$G82))*((1+Inputs!$D$7)^BJ$2))),((_xlfn.WEIBULL.DIST(BJ$2,$M82,$L82,FALSE)*($T82*(1-$F82)+$S82*(1-$G82))*((1+Inputs!$D$7)^BJ$2))))))</f>
        <v>0</v>
      </c>
      <c r="BK82" s="88">
        <f>$E82*IF(BK$2&gt;Inputs!$D$5,0,IF(BK$2&gt;VLOOKUP($H82,Lists!$P$3:$Q$7,2),IF($N82=Lists!$K$3,IF($L82&lt;1,(($U82/$L82)*((1+Inputs!$D$7)^BK$2)),((INT(BK$2/$L82)-INT((BK$2-1)/$L82))*$U82*((1+Inputs!$D$7)^BK$2))),(_xlfn.WEIBULL.DIST(BK$2,$M82,$L82,FALSE)*$U82*((1+Inputs!$D$7)^BK$2))),IF($N82=Lists!$K$3,IF($L82&lt;1,((($T82*(1-$F82)+$S82*(1-$G82))/$L82)*((1+Inputs!$D$7)^BK$2)),((INT(BK$2/$L82)-INT((BK$2-1)/$L82))*($T82*(1-$F82)+$S82*(1-$G82))*((1+Inputs!$D$7)^BK$2))),((_xlfn.WEIBULL.DIST(BK$2,$M82,$L82,FALSE)*($T82*(1-$F82)+$S82*(1-$G82))*((1+Inputs!$D$7)^BK$2))))))</f>
        <v>0</v>
      </c>
      <c r="BL82" s="88">
        <f>$E82*IF(BL$2&gt;Inputs!$D$5,0,IF(BL$2&gt;VLOOKUP($H82,Lists!$P$3:$Q$7,2),IF($N82=Lists!$K$3,IF($L82&lt;1,(($U82/$L82)*((1+Inputs!$D$7)^BL$2)),((INT(BL$2/$L82)-INT((BL$2-1)/$L82))*$U82*((1+Inputs!$D$7)^BL$2))),(_xlfn.WEIBULL.DIST(BL$2,$M82,$L82,FALSE)*$U82*((1+Inputs!$D$7)^BL$2))),IF($N82=Lists!$K$3,IF($L82&lt;1,((($T82*(1-$F82)+$S82*(1-$G82))/$L82)*((1+Inputs!$D$7)^BL$2)),((INT(BL$2/$L82)-INT((BL$2-1)/$L82))*($T82*(1-$F82)+$S82*(1-$G82))*((1+Inputs!$D$7)^BL$2))),((_xlfn.WEIBULL.DIST(BL$2,$M82,$L82,FALSE)*($T82*(1-$F82)+$S82*(1-$G82))*((1+Inputs!$D$7)^BL$2))))))</f>
        <v>0</v>
      </c>
      <c r="BM82" s="88">
        <f>$E82*IF(BM$2&gt;Inputs!$D$5,0,IF(BM$2&gt;VLOOKUP($H82,Lists!$P$3:$Q$7,2),IF($N82=Lists!$K$3,IF($L82&lt;1,(($U82/$L82)*((1+Inputs!$D$7)^BM$2)),((INT(BM$2/$L82)-INT((BM$2-1)/$L82))*$U82*((1+Inputs!$D$7)^BM$2))),(_xlfn.WEIBULL.DIST(BM$2,$M82,$L82,FALSE)*$U82*((1+Inputs!$D$7)^BM$2))),IF($N82=Lists!$K$3,IF($L82&lt;1,((($T82*(1-$F82)+$S82*(1-$G82))/$L82)*((1+Inputs!$D$7)^BM$2)),((INT(BM$2/$L82)-INT((BM$2-1)/$L82))*($T82*(1-$F82)+$S82*(1-$G82))*((1+Inputs!$D$7)^BM$2))),((_xlfn.WEIBULL.DIST(BM$2,$M82,$L82,FALSE)*($T82*(1-$F82)+$S82*(1-$G82))*((1+Inputs!$D$7)^BM$2))))))</f>
        <v>0</v>
      </c>
      <c r="BN82" s="88">
        <f>$E82*IF(BN$2&gt;Inputs!$D$5,0,IF(BN$2&gt;VLOOKUP($H82,Lists!$P$3:$Q$7,2),IF($N82=Lists!$K$3,IF($L82&lt;1,(($U82/$L82)*((1+Inputs!$D$7)^BN$2)),((INT(BN$2/$L82)-INT((BN$2-1)/$L82))*$U82*((1+Inputs!$D$7)^BN$2))),(_xlfn.WEIBULL.DIST(BN$2,$M82,$L82,FALSE)*$U82*((1+Inputs!$D$7)^BN$2))),IF($N82=Lists!$K$3,IF($L82&lt;1,((($T82*(1-$F82)+$S82*(1-$G82))/$L82)*((1+Inputs!$D$7)^BN$2)),((INT(BN$2/$L82)-INT((BN$2-1)/$L82))*($T82*(1-$F82)+$S82*(1-$G82))*((1+Inputs!$D$7)^BN$2))),((_xlfn.WEIBULL.DIST(BN$2,$M82,$L82,FALSE)*($T82*(1-$F82)+$S82*(1-$G82))*((1+Inputs!$D$7)^BN$2))))))</f>
        <v>0</v>
      </c>
      <c r="BO82" s="64">
        <f>NPV(Inputs!$D$6,BQ82:DD82)</f>
        <v>18536.120434090284</v>
      </c>
      <c r="BP82" s="67">
        <f t="shared" si="20"/>
        <v>8.7425393432387245E-3</v>
      </c>
      <c r="BQ82" s="88">
        <f>MAX(AA82,($E82*IF(BQ$2&gt;Inputs!$D$5,0,IF(BQ$2&gt;VLOOKUP($H82,Lists!$P$3:$Q$7,2),IF($N82=Lists!$K$3,IF($L82&lt;1,(($U82/$L82)*((1+Inputs!$D$7)^BQ$2)),((INT(BQ$2/$L82)-INT((BQ$2-1)/$L82))*$U82*((1+Inputs!$D$7)^BQ$2))),(Inputs!$D$8^((1-_xlfn.WEIBULL.DIST(BQ$2,$M82,$L82,FALSE))/_xlfn.WEIBULL.DIST(BQ$2,$M82,$L82,FALSE))*$U82*((1+Inputs!$D$7)^BQ$2))),IF($N82=Lists!$K$3,IF($L82&lt;1,((($T82*(1-$F82)+$S82*(1-$G82))/$L82)*((1+Inputs!$D$7)^BQ$2)),((INT(BQ$2/$L82)-INT((BQ$2-1)/$L82))*($T82*(1-$F82)+$S82*(1-$G82))*((1+Inputs!$D$7)^BQ$2))),((Inputs!$D$8^((1-_xlfn.WEIBULL.DIST(BQ$2,$M82,$L82,FALSE))/_xlfn.WEIBULL.DIST(BQ$2,$M82,$L82,FALSE))*($T82*(1-$F82)+$S82*(1-$G82))*((1+Inputs!$D$7)^BQ$2))))))))</f>
        <v>1328.3357607692308</v>
      </c>
      <c r="BR82" s="88">
        <f>MAX(AB82,($E82*IF(BR$2&gt;Inputs!$D$5,0,IF(BR$2&gt;VLOOKUP($H82,Lists!$P$3:$Q$7,2),IF($N82=Lists!$K$3,IF($L82&lt;1,(($U82/$L82)*((1+Inputs!$D$7)^BR$2)),((INT(BR$2/$L82)-INT((BR$2-1)/$L82))*$U82*((1+Inputs!$D$7)^BR$2))),(Inputs!$D$8^((1-_xlfn.WEIBULL.DIST(BR$2,$M82,$L82,FALSE))/_xlfn.WEIBULL.DIST(BR$2,$M82,$L82,FALSE))*$U82*((1+Inputs!$D$7)^BR$2))),IF($N82=Lists!$K$3,IF($L82&lt;1,((($T82*(1-$F82)+$S82*(1-$G82))/$L82)*((1+Inputs!$D$7)^BR$2)),((INT(BR$2/$L82)-INT((BR$2-1)/$L82))*($T82*(1-$F82)+$S82*(1-$G82))*((1+Inputs!$D$7)^BR$2))),((Inputs!$D$8^((1-_xlfn.WEIBULL.DIST(BR$2,$M82,$L82,FALSE))/_xlfn.WEIBULL.DIST(BR$2,$M82,$L82,FALSE))*($T82*(1-$F82)+$S82*(1-$G82))*((1+Inputs!$D$7)^BR$2))))))))</f>
        <v>1354.9024759846154</v>
      </c>
      <c r="BS82" s="88">
        <f>MAX(AC82,($E82*IF(BS$2&gt;Inputs!$D$5,0,IF(BS$2&gt;VLOOKUP($H82,Lists!$P$3:$Q$7,2),IF($N82=Lists!$K$3,IF($L82&lt;1,(($U82/$L82)*((1+Inputs!$D$7)^BS$2)),((INT(BS$2/$L82)-INT((BS$2-1)/$L82))*$U82*((1+Inputs!$D$7)^BS$2))),(Inputs!$D$8^((1-_xlfn.WEIBULL.DIST(BS$2,$M82,$L82,FALSE))/_xlfn.WEIBULL.DIST(BS$2,$M82,$L82,FALSE))*$U82*((1+Inputs!$D$7)^BS$2))),IF($N82=Lists!$K$3,IF($L82&lt;1,((($T82*(1-$F82)+$S82*(1-$G82))/$L82)*((1+Inputs!$D$7)^BS$2)),((INT(BS$2/$L82)-INT((BS$2-1)/$L82))*($T82*(1-$F82)+$S82*(1-$G82))*((1+Inputs!$D$7)^BS$2))),((Inputs!$D$8^((1-_xlfn.WEIBULL.DIST(BS$2,$M82,$L82,FALSE))/_xlfn.WEIBULL.DIST(BS$2,$M82,$L82,FALSE))*($T82*(1-$F82)+$S82*(1-$G82))*((1+Inputs!$D$7)^BS$2))))))))</f>
        <v>1382.0005255043075</v>
      </c>
      <c r="BT82" s="88">
        <f>MAX(AD82,($E82*IF(BT$2&gt;Inputs!$D$5,0,IF(BT$2&gt;VLOOKUP($H82,Lists!$P$3:$Q$7,2),IF($N82=Lists!$K$3,IF($L82&lt;1,(($U82/$L82)*((1+Inputs!$D$7)^BT$2)),((INT(BT$2/$L82)-INT((BT$2-1)/$L82))*$U82*((1+Inputs!$D$7)^BT$2))),(Inputs!$D$8^((1-_xlfn.WEIBULL.DIST(BT$2,$M82,$L82,FALSE))/_xlfn.WEIBULL.DIST(BT$2,$M82,$L82,FALSE))*$U82*((1+Inputs!$D$7)^BT$2))),IF($N82=Lists!$K$3,IF($L82&lt;1,((($T82*(1-$F82)+$S82*(1-$G82))/$L82)*((1+Inputs!$D$7)^BT$2)),((INT(BT$2/$L82)-INT((BT$2-1)/$L82))*($T82*(1-$F82)+$S82*(1-$G82))*((1+Inputs!$D$7)^BT$2))),((Inputs!$D$8^((1-_xlfn.WEIBULL.DIST(BT$2,$M82,$L82,FALSE))/_xlfn.WEIBULL.DIST(BT$2,$M82,$L82,FALSE))*($T82*(1-$F82)+$S82*(1-$G82))*((1+Inputs!$D$7)^BT$2))))))))</f>
        <v>1409.6405360143938</v>
      </c>
      <c r="BU82" s="88">
        <f>MAX(AE82,($E82*IF(BU$2&gt;Inputs!$D$5,0,IF(BU$2&gt;VLOOKUP($H82,Lists!$P$3:$Q$7,2),IF($N82=Lists!$K$3,IF($L82&lt;1,(($U82/$L82)*((1+Inputs!$D$7)^BU$2)),((INT(BU$2/$L82)-INT((BU$2-1)/$L82))*$U82*((1+Inputs!$D$7)^BU$2))),(Inputs!$D$8^((1-_xlfn.WEIBULL.DIST(BU$2,$M82,$L82,FALSE))/_xlfn.WEIBULL.DIST(BU$2,$M82,$L82,FALSE))*$U82*((1+Inputs!$D$7)^BU$2))),IF($N82=Lists!$K$3,IF($L82&lt;1,((($T82*(1-$F82)+$S82*(1-$G82))/$L82)*((1+Inputs!$D$7)^BU$2)),((INT(BU$2/$L82)-INT((BU$2-1)/$L82))*($T82*(1-$F82)+$S82*(1-$G82))*((1+Inputs!$D$7)^BU$2))),((Inputs!$D$8^((1-_xlfn.WEIBULL.DIST(BU$2,$M82,$L82,FALSE))/_xlfn.WEIBULL.DIST(BU$2,$M82,$L82,FALSE))*($T82*(1-$F82)+$S82*(1-$G82))*((1+Inputs!$D$7)^BU$2))))))))</f>
        <v>1437.8333467346818</v>
      </c>
      <c r="BV82" s="88">
        <f>MAX(AF82,($E82*IF(BV$2&gt;Inputs!$D$5,0,IF(BV$2&gt;VLOOKUP($H82,Lists!$P$3:$Q$7,2),IF($N82=Lists!$K$3,IF($L82&lt;1,(($U82/$L82)*((1+Inputs!$D$7)^BV$2)),((INT(BV$2/$L82)-INT((BV$2-1)/$L82))*$U82*((1+Inputs!$D$7)^BV$2))),(Inputs!$D$8^((1-_xlfn.WEIBULL.DIST(BV$2,$M82,$L82,FALSE))/_xlfn.WEIBULL.DIST(BV$2,$M82,$L82,FALSE))*$U82*((1+Inputs!$D$7)^BV$2))),IF($N82=Lists!$K$3,IF($L82&lt;1,((($T82*(1-$F82)+$S82*(1-$G82))/$L82)*((1+Inputs!$D$7)^BV$2)),((INT(BV$2/$L82)-INT((BV$2-1)/$L82))*($T82*(1-$F82)+$S82*(1-$G82))*((1+Inputs!$D$7)^BV$2))),((Inputs!$D$8^((1-_xlfn.WEIBULL.DIST(BV$2,$M82,$L82,FALSE))/_xlfn.WEIBULL.DIST(BV$2,$M82,$L82,FALSE))*($T82*(1-$F82)+$S82*(1-$G82))*((1+Inputs!$D$7)^BV$2))))))))</f>
        <v>1466.5900136693754</v>
      </c>
      <c r="BW82" s="88">
        <f>MAX(AG82,($E82*IF(BW$2&gt;Inputs!$D$5,0,IF(BW$2&gt;VLOOKUP($H82,Lists!$P$3:$Q$7,2),IF($N82=Lists!$K$3,IF($L82&lt;1,(($U82/$L82)*((1+Inputs!$D$7)^BW$2)),((INT(BW$2/$L82)-INT((BW$2-1)/$L82))*$U82*((1+Inputs!$D$7)^BW$2))),(Inputs!$D$8^((1-_xlfn.WEIBULL.DIST(BW$2,$M82,$L82,FALSE))/_xlfn.WEIBULL.DIST(BW$2,$M82,$L82,FALSE))*$U82*((1+Inputs!$D$7)^BW$2))),IF($N82=Lists!$K$3,IF($L82&lt;1,((($T82*(1-$F82)+$S82*(1-$G82))/$L82)*((1+Inputs!$D$7)^BW$2)),((INT(BW$2/$L82)-INT((BW$2-1)/$L82))*($T82*(1-$F82)+$S82*(1-$G82))*((1+Inputs!$D$7)^BW$2))),((Inputs!$D$8^((1-_xlfn.WEIBULL.DIST(BW$2,$M82,$L82,FALSE))/_xlfn.WEIBULL.DIST(BW$2,$M82,$L82,FALSE))*($T82*(1-$F82)+$S82*(1-$G82))*((1+Inputs!$D$7)^BW$2))))))))</f>
        <v>1495.9218139427626</v>
      </c>
      <c r="BX82" s="88">
        <f>MAX(AH82,($E82*IF(BX$2&gt;Inputs!$D$5,0,IF(BX$2&gt;VLOOKUP($H82,Lists!$P$3:$Q$7,2),IF($N82=Lists!$K$3,IF($L82&lt;1,(($U82/$L82)*((1+Inputs!$D$7)^BX$2)),((INT(BX$2/$L82)-INT((BX$2-1)/$L82))*$U82*((1+Inputs!$D$7)^BX$2))),(Inputs!$D$8^((1-_xlfn.WEIBULL.DIST(BX$2,$M82,$L82,FALSE))/_xlfn.WEIBULL.DIST(BX$2,$M82,$L82,FALSE))*$U82*((1+Inputs!$D$7)^BX$2))),IF($N82=Lists!$K$3,IF($L82&lt;1,((($T82*(1-$F82)+$S82*(1-$G82))/$L82)*((1+Inputs!$D$7)^BX$2)),((INT(BX$2/$L82)-INT((BX$2-1)/$L82))*($T82*(1-$F82)+$S82*(1-$G82))*((1+Inputs!$D$7)^BX$2))),((Inputs!$D$8^((1-_xlfn.WEIBULL.DIST(BX$2,$M82,$L82,FALSE))/_xlfn.WEIBULL.DIST(BX$2,$M82,$L82,FALSE))*($T82*(1-$F82)+$S82*(1-$G82))*((1+Inputs!$D$7)^BX$2))))))))</f>
        <v>1525.8402502216179</v>
      </c>
      <c r="BY82" s="88">
        <f>MAX(AI82,($E82*IF(BY$2&gt;Inputs!$D$5,0,IF(BY$2&gt;VLOOKUP($H82,Lists!$P$3:$Q$7,2),IF($N82=Lists!$K$3,IF($L82&lt;1,(($U82/$L82)*((1+Inputs!$D$7)^BY$2)),((INT(BY$2/$L82)-INT((BY$2-1)/$L82))*$U82*((1+Inputs!$D$7)^BY$2))),(Inputs!$D$8^((1-_xlfn.WEIBULL.DIST(BY$2,$M82,$L82,FALSE))/_xlfn.WEIBULL.DIST(BY$2,$M82,$L82,FALSE))*$U82*((1+Inputs!$D$7)^BY$2))),IF($N82=Lists!$K$3,IF($L82&lt;1,((($T82*(1-$F82)+$S82*(1-$G82))/$L82)*((1+Inputs!$D$7)^BY$2)),((INT(BY$2/$L82)-INT((BY$2-1)/$L82))*($T82*(1-$F82)+$S82*(1-$G82))*((1+Inputs!$D$7)^BY$2))),((Inputs!$D$8^((1-_xlfn.WEIBULL.DIST(BY$2,$M82,$L82,FALSE))/_xlfn.WEIBULL.DIST(BY$2,$M82,$L82,FALSE))*($T82*(1-$F82)+$S82*(1-$G82))*((1+Inputs!$D$7)^BY$2))))))))</f>
        <v>1556.3570552260503</v>
      </c>
      <c r="BZ82" s="88">
        <f>MAX(AJ82,($E82*IF(BZ$2&gt;Inputs!$D$5,0,IF(BZ$2&gt;VLOOKUP($H82,Lists!$P$3:$Q$7,2),IF($N82=Lists!$K$3,IF($L82&lt;1,(($U82/$L82)*((1+Inputs!$D$7)^BZ$2)),((INT(BZ$2/$L82)-INT((BZ$2-1)/$L82))*$U82*((1+Inputs!$D$7)^BZ$2))),(Inputs!$D$8^((1-_xlfn.WEIBULL.DIST(BZ$2,$M82,$L82,FALSE))/_xlfn.WEIBULL.DIST(BZ$2,$M82,$L82,FALSE))*$U82*((1+Inputs!$D$7)^BZ$2))),IF($N82=Lists!$K$3,IF($L82&lt;1,((($T82*(1-$F82)+$S82*(1-$G82))/$L82)*((1+Inputs!$D$7)^BZ$2)),((INT(BZ$2/$L82)-INT((BZ$2-1)/$L82))*($T82*(1-$F82)+$S82*(1-$G82))*((1+Inputs!$D$7)^BZ$2))),((Inputs!$D$8^((1-_xlfn.WEIBULL.DIST(BZ$2,$M82,$L82,FALSE))/_xlfn.WEIBULL.DIST(BZ$2,$M82,$L82,FALSE))*($T82*(1-$F82)+$S82*(1-$G82))*((1+Inputs!$D$7)^BZ$2))))))))</f>
        <v>1587.4841963305714</v>
      </c>
      <c r="CA82" s="88">
        <f>MAX(AK82,($E82*IF(CA$2&gt;Inputs!$D$5,0,IF(CA$2&gt;VLOOKUP($H82,Lists!$P$3:$Q$7,2),IF($N82=Lists!$K$3,IF($L82&lt;1,(($U82/$L82)*((1+Inputs!$D$7)^CA$2)),((INT(CA$2/$L82)-INT((CA$2-1)/$L82))*$U82*((1+Inputs!$D$7)^CA$2))),(Inputs!$D$8^((1-_xlfn.WEIBULL.DIST(CA$2,$M82,$L82,FALSE))/_xlfn.WEIBULL.DIST(CA$2,$M82,$L82,FALSE))*$U82*((1+Inputs!$D$7)^CA$2))),IF($N82=Lists!$K$3,IF($L82&lt;1,((($T82*(1-$F82)+$S82*(1-$G82))/$L82)*((1+Inputs!$D$7)^CA$2)),((INT(CA$2/$L82)-INT((CA$2-1)/$L82))*($T82*(1-$F82)+$S82*(1-$G82))*((1+Inputs!$D$7)^CA$2))),((Inputs!$D$8^((1-_xlfn.WEIBULL.DIST(CA$2,$M82,$L82,FALSE))/_xlfn.WEIBULL.DIST(CA$2,$M82,$L82,FALSE))*($T82*(1-$F82)+$S82*(1-$G82))*((1+Inputs!$D$7)^CA$2))))))))</f>
        <v>1619.2338802571826</v>
      </c>
      <c r="CB82" s="88">
        <f>MAX(AL82,($E82*IF(CB$2&gt;Inputs!$D$5,0,IF(CB$2&gt;VLOOKUP($H82,Lists!$P$3:$Q$7,2),IF($N82=Lists!$K$3,IF($L82&lt;1,(($U82/$L82)*((1+Inputs!$D$7)^CB$2)),((INT(CB$2/$L82)-INT((CB$2-1)/$L82))*$U82*((1+Inputs!$D$7)^CB$2))),(Inputs!$D$8^((1-_xlfn.WEIBULL.DIST(CB$2,$M82,$L82,FALSE))/_xlfn.WEIBULL.DIST(CB$2,$M82,$L82,FALSE))*$U82*((1+Inputs!$D$7)^CB$2))),IF($N82=Lists!$K$3,IF($L82&lt;1,((($T82*(1-$F82)+$S82*(1-$G82))/$L82)*((1+Inputs!$D$7)^CB$2)),((INT(CB$2/$L82)-INT((CB$2-1)/$L82))*($T82*(1-$F82)+$S82*(1-$G82))*((1+Inputs!$D$7)^CB$2))),((Inputs!$D$8^((1-_xlfn.WEIBULL.DIST(CB$2,$M82,$L82,FALSE))/_xlfn.WEIBULL.DIST(CB$2,$M82,$L82,FALSE))*($T82*(1-$F82)+$S82*(1-$G82))*((1+Inputs!$D$7)^CB$2))))))))</f>
        <v>1651.6185578623265</v>
      </c>
      <c r="CC82" s="88">
        <f>MAX(AM82,($E82*IF(CC$2&gt;Inputs!$D$5,0,IF(CC$2&gt;VLOOKUP($H82,Lists!$P$3:$Q$7,2),IF($N82=Lists!$K$3,IF($L82&lt;1,(($U82/$L82)*((1+Inputs!$D$7)^CC$2)),((INT(CC$2/$L82)-INT((CC$2-1)/$L82))*$U82*((1+Inputs!$D$7)^CC$2))),(Inputs!$D$8^((1-_xlfn.WEIBULL.DIST(CC$2,$M82,$L82,FALSE))/_xlfn.WEIBULL.DIST(CC$2,$M82,$L82,FALSE))*$U82*((1+Inputs!$D$7)^CC$2))),IF($N82=Lists!$K$3,IF($L82&lt;1,((($T82*(1-$F82)+$S82*(1-$G82))/$L82)*((1+Inputs!$D$7)^CC$2)),((INT(CC$2/$L82)-INT((CC$2-1)/$L82))*($T82*(1-$F82)+$S82*(1-$G82))*((1+Inputs!$D$7)^CC$2))),((Inputs!$D$8^((1-_xlfn.WEIBULL.DIST(CC$2,$M82,$L82,FALSE))/_xlfn.WEIBULL.DIST(CC$2,$M82,$L82,FALSE))*($T82*(1-$F82)+$S82*(1-$G82))*((1+Inputs!$D$7)^CC$2))))))))</f>
        <v>1684.6509290195729</v>
      </c>
      <c r="CD82" s="88">
        <f>MAX(AN82,($E82*IF(CD$2&gt;Inputs!$D$5,0,IF(CD$2&gt;VLOOKUP($H82,Lists!$P$3:$Q$7,2),IF($N82=Lists!$K$3,IF($L82&lt;1,(($U82/$L82)*((1+Inputs!$D$7)^CD$2)),((INT(CD$2/$L82)-INT((CD$2-1)/$L82))*$U82*((1+Inputs!$D$7)^CD$2))),(Inputs!$D$8^((1-_xlfn.WEIBULL.DIST(CD$2,$M82,$L82,FALSE))/_xlfn.WEIBULL.DIST(CD$2,$M82,$L82,FALSE))*$U82*((1+Inputs!$D$7)^CD$2))),IF($N82=Lists!$K$3,IF($L82&lt;1,((($T82*(1-$F82)+$S82*(1-$G82))/$L82)*((1+Inputs!$D$7)^CD$2)),((INT(CD$2/$L82)-INT((CD$2-1)/$L82))*($T82*(1-$F82)+$S82*(1-$G82))*((1+Inputs!$D$7)^CD$2))),((Inputs!$D$8^((1-_xlfn.WEIBULL.DIST(CD$2,$M82,$L82,FALSE))/_xlfn.WEIBULL.DIST(CD$2,$M82,$L82,FALSE))*($T82*(1-$F82)+$S82*(1-$G82))*((1+Inputs!$D$7)^CD$2))))))))</f>
        <v>1718.3439475999646</v>
      </c>
      <c r="CE82" s="88">
        <f>MAX(AO82,($E82*IF(CE$2&gt;Inputs!$D$5,0,IF(CE$2&gt;VLOOKUP($H82,Lists!$P$3:$Q$7,2),IF($N82=Lists!$K$3,IF($L82&lt;1,(($U82/$L82)*((1+Inputs!$D$7)^CE$2)),((INT(CE$2/$L82)-INT((CE$2-1)/$L82))*$U82*((1+Inputs!$D$7)^CE$2))),(Inputs!$D$8^((1-_xlfn.WEIBULL.DIST(CE$2,$M82,$L82,FALSE))/_xlfn.WEIBULL.DIST(CE$2,$M82,$L82,FALSE))*$U82*((1+Inputs!$D$7)^CE$2))),IF($N82=Lists!$K$3,IF($L82&lt;1,((($T82*(1-$F82)+$S82*(1-$G82))/$L82)*((1+Inputs!$D$7)^CE$2)),((INT(CE$2/$L82)-INT((CE$2-1)/$L82))*($T82*(1-$F82)+$S82*(1-$G82))*((1+Inputs!$D$7)^CE$2))),((Inputs!$D$8^((1-_xlfn.WEIBULL.DIST(CE$2,$M82,$L82,FALSE))/_xlfn.WEIBULL.DIST(CE$2,$M82,$L82,FALSE))*($T82*(1-$F82)+$S82*(1-$G82))*((1+Inputs!$D$7)^CE$2))))))))</f>
        <v>1752.7108265519632</v>
      </c>
      <c r="CF82" s="88">
        <f>MAX(AP82,($E82*IF(CF$2&gt;Inputs!$D$5,0,IF(CF$2&gt;VLOOKUP($H82,Lists!$P$3:$Q$7,2),IF($N82=Lists!$K$3,IF($L82&lt;1,(($U82/$L82)*((1+Inputs!$D$7)^CF$2)),((INT(CF$2/$L82)-INT((CF$2-1)/$L82))*$U82*((1+Inputs!$D$7)^CF$2))),(Inputs!$D$8^((1-_xlfn.WEIBULL.DIST(CF$2,$M82,$L82,FALSE))/_xlfn.WEIBULL.DIST(CF$2,$M82,$L82,FALSE))*$U82*((1+Inputs!$D$7)^CF$2))),IF($N82=Lists!$K$3,IF($L82&lt;1,((($T82*(1-$F82)+$S82*(1-$G82))/$L82)*((1+Inputs!$D$7)^CF$2)),((INT(CF$2/$L82)-INT((CF$2-1)/$L82))*($T82*(1-$F82)+$S82*(1-$G82))*((1+Inputs!$D$7)^CF$2))),((Inputs!$D$8^((1-_xlfn.WEIBULL.DIST(CF$2,$M82,$L82,FALSE))/_xlfn.WEIBULL.DIST(CF$2,$M82,$L82,FALSE))*($T82*(1-$F82)+$S82*(1-$G82))*((1+Inputs!$D$7)^CF$2))))))))</f>
        <v>1787.7650430830029</v>
      </c>
      <c r="CG82" s="88">
        <f>MAX(AQ82,($E82*IF(CG$2&gt;Inputs!$D$5,0,IF(CG$2&gt;VLOOKUP($H82,Lists!$P$3:$Q$7,2),IF($N82=Lists!$K$3,IF($L82&lt;1,(($U82/$L82)*((1+Inputs!$D$7)^CG$2)),((INT(CG$2/$L82)-INT((CG$2-1)/$L82))*$U82*((1+Inputs!$D$7)^CG$2))),(Inputs!$D$8^((1-_xlfn.WEIBULL.DIST(CG$2,$M82,$L82,FALSE))/_xlfn.WEIBULL.DIST(CG$2,$M82,$L82,FALSE))*$U82*((1+Inputs!$D$7)^CG$2))),IF($N82=Lists!$K$3,IF($L82&lt;1,((($T82*(1-$F82)+$S82*(1-$G82))/$L82)*((1+Inputs!$D$7)^CG$2)),((INT(CG$2/$L82)-INT((CG$2-1)/$L82))*($T82*(1-$F82)+$S82*(1-$G82))*((1+Inputs!$D$7)^CG$2))),((Inputs!$D$8^((1-_xlfn.WEIBULL.DIST(CG$2,$M82,$L82,FALSE))/_xlfn.WEIBULL.DIST(CG$2,$M82,$L82,FALSE))*($T82*(1-$F82)+$S82*(1-$G82))*((1+Inputs!$D$7)^CG$2))))))))</f>
        <v>1823.5203439446632</v>
      </c>
      <c r="CH82" s="88">
        <f>MAX(AR82,($E82*IF(CH$2&gt;Inputs!$D$5,0,IF(CH$2&gt;VLOOKUP($H82,Lists!$P$3:$Q$7,2),IF($N82=Lists!$K$3,IF($L82&lt;1,(($U82/$L82)*((1+Inputs!$D$7)^CH$2)),((INT(CH$2/$L82)-INT((CH$2-1)/$L82))*$U82*((1+Inputs!$D$7)^CH$2))),(Inputs!$D$8^((1-_xlfn.WEIBULL.DIST(CH$2,$M82,$L82,FALSE))/_xlfn.WEIBULL.DIST(CH$2,$M82,$L82,FALSE))*$U82*((1+Inputs!$D$7)^CH$2))),IF($N82=Lists!$K$3,IF($L82&lt;1,((($T82*(1-$F82)+$S82*(1-$G82))/$L82)*((1+Inputs!$D$7)^CH$2)),((INT(CH$2/$L82)-INT((CH$2-1)/$L82))*($T82*(1-$F82)+$S82*(1-$G82))*((1+Inputs!$D$7)^CH$2))),((Inputs!$D$8^((1-_xlfn.WEIBULL.DIST(CH$2,$M82,$L82,FALSE))/_xlfn.WEIBULL.DIST(CH$2,$M82,$L82,FALSE))*($T82*(1-$F82)+$S82*(1-$G82))*((1+Inputs!$D$7)^CH$2))))))))</f>
        <v>1859.9907508235563</v>
      </c>
      <c r="CI82" s="88">
        <f>MAX(AS82,($E82*IF(CI$2&gt;Inputs!$D$5,0,IF(CI$2&gt;VLOOKUP($H82,Lists!$P$3:$Q$7,2),IF($N82=Lists!$K$3,IF($L82&lt;1,(($U82/$L82)*((1+Inputs!$D$7)^CI$2)),((INT(CI$2/$L82)-INT((CI$2-1)/$L82))*$U82*((1+Inputs!$D$7)^CI$2))),(Inputs!$D$8^((1-_xlfn.WEIBULL.DIST(CI$2,$M82,$L82,FALSE))/_xlfn.WEIBULL.DIST(CI$2,$M82,$L82,FALSE))*$U82*((1+Inputs!$D$7)^CI$2))),IF($N82=Lists!$K$3,IF($L82&lt;1,((($T82*(1-$F82)+$S82*(1-$G82))/$L82)*((1+Inputs!$D$7)^CI$2)),((INT(CI$2/$L82)-INT((CI$2-1)/$L82))*($T82*(1-$F82)+$S82*(1-$G82))*((1+Inputs!$D$7)^CI$2))),((Inputs!$D$8^((1-_xlfn.WEIBULL.DIST(CI$2,$M82,$L82,FALSE))/_xlfn.WEIBULL.DIST(CI$2,$M82,$L82,FALSE))*($T82*(1-$F82)+$S82*(1-$G82))*((1+Inputs!$D$7)^CI$2))))))))</f>
        <v>1897.1905658400271</v>
      </c>
      <c r="CJ82" s="88">
        <f>MAX(AT82,($E82*IF(CJ$2&gt;Inputs!$D$5,0,IF(CJ$2&gt;VLOOKUP($H82,Lists!$P$3:$Q$7,2),IF($N82=Lists!$K$3,IF($L82&lt;1,(($U82/$L82)*((1+Inputs!$D$7)^CJ$2)),((INT(CJ$2/$L82)-INT((CJ$2-1)/$L82))*$U82*((1+Inputs!$D$7)^CJ$2))),(Inputs!$D$8^((1-_xlfn.WEIBULL.DIST(CJ$2,$M82,$L82,FALSE))/_xlfn.WEIBULL.DIST(CJ$2,$M82,$L82,FALSE))*$U82*((1+Inputs!$D$7)^CJ$2))),IF($N82=Lists!$K$3,IF($L82&lt;1,((($T82*(1-$F82)+$S82*(1-$G82))/$L82)*((1+Inputs!$D$7)^CJ$2)),((INT(CJ$2/$L82)-INT((CJ$2-1)/$L82))*($T82*(1-$F82)+$S82*(1-$G82))*((1+Inputs!$D$7)^CJ$2))),((Inputs!$D$8^((1-_xlfn.WEIBULL.DIST(CJ$2,$M82,$L82,FALSE))/_xlfn.WEIBULL.DIST(CJ$2,$M82,$L82,FALSE))*($T82*(1-$F82)+$S82*(1-$G82))*((1+Inputs!$D$7)^CJ$2))))))))</f>
        <v>1935.1343771568279</v>
      </c>
      <c r="CK82" s="88">
        <f>MAX(AU82,($E82*IF(CK$2&gt;Inputs!$D$5,0,IF(CK$2&gt;VLOOKUP($H82,Lists!$P$3:$Q$7,2),IF($N82=Lists!$K$3,IF($L82&lt;1,(($U82/$L82)*((1+Inputs!$D$7)^CK$2)),((INT(CK$2/$L82)-INT((CK$2-1)/$L82))*$U82*((1+Inputs!$D$7)^CK$2))),(Inputs!$D$8^((1-_xlfn.WEIBULL.DIST(CK$2,$M82,$L82,FALSE))/_xlfn.WEIBULL.DIST(CK$2,$M82,$L82,FALSE))*$U82*((1+Inputs!$D$7)^CK$2))),IF($N82=Lists!$K$3,IF($L82&lt;1,((($T82*(1-$F82)+$S82*(1-$G82))/$L82)*((1+Inputs!$D$7)^CK$2)),((INT(CK$2/$L82)-INT((CK$2-1)/$L82))*($T82*(1-$F82)+$S82*(1-$G82))*((1+Inputs!$D$7)^CK$2))),((Inputs!$D$8^((1-_xlfn.WEIBULL.DIST(CK$2,$M82,$L82,FALSE))/_xlfn.WEIBULL.DIST(CK$2,$M82,$L82,FALSE))*($T82*(1-$F82)+$S82*(1-$G82))*((1+Inputs!$D$7)^CK$2))))))))</f>
        <v>1973.8370646999645</v>
      </c>
      <c r="CL82" s="88">
        <f>MAX(AV82,($E82*IF(CL$2&gt;Inputs!$D$5,0,IF(CL$2&gt;VLOOKUP($H82,Lists!$P$3:$Q$7,2),IF($N82=Lists!$K$3,IF($L82&lt;1,(($U82/$L82)*((1+Inputs!$D$7)^CL$2)),((INT(CL$2/$L82)-INT((CL$2-1)/$L82))*$U82*((1+Inputs!$D$7)^CL$2))),(Inputs!$D$8^((1-_xlfn.WEIBULL.DIST(CL$2,$M82,$L82,FALSE))/_xlfn.WEIBULL.DIST(CL$2,$M82,$L82,FALSE))*$U82*((1+Inputs!$D$7)^CL$2))),IF($N82=Lists!$K$3,IF($L82&lt;1,((($T82*(1-$F82)+$S82*(1-$G82))/$L82)*((1+Inputs!$D$7)^CL$2)),((INT(CL$2/$L82)-INT((CL$2-1)/$L82))*($T82*(1-$F82)+$S82*(1-$G82))*((1+Inputs!$D$7)^CL$2))),((Inputs!$D$8^((1-_xlfn.WEIBULL.DIST(CL$2,$M82,$L82,FALSE))/_xlfn.WEIBULL.DIST(CL$2,$M82,$L82,FALSE))*($T82*(1-$F82)+$S82*(1-$G82))*((1+Inputs!$D$7)^CL$2))))))))</f>
        <v>2013.3138059939638</v>
      </c>
      <c r="CM82" s="88">
        <f>MAX(AW82,($E82*IF(CM$2&gt;Inputs!$D$5,0,IF(CM$2&gt;VLOOKUP($H82,Lists!$P$3:$Q$7,2),IF($N82=Lists!$K$3,IF($L82&lt;1,(($U82/$L82)*((1+Inputs!$D$7)^CM$2)),((INT(CM$2/$L82)-INT((CM$2-1)/$L82))*$U82*((1+Inputs!$D$7)^CM$2))),(Inputs!$D$8^((1-_xlfn.WEIBULL.DIST(CM$2,$M82,$L82,FALSE))/_xlfn.WEIBULL.DIST(CM$2,$M82,$L82,FALSE))*$U82*((1+Inputs!$D$7)^CM$2))),IF($N82=Lists!$K$3,IF($L82&lt;1,((($T82*(1-$F82)+$S82*(1-$G82))/$L82)*((1+Inputs!$D$7)^CM$2)),((INT(CM$2/$L82)-INT((CM$2-1)/$L82))*($T82*(1-$F82)+$S82*(1-$G82))*((1+Inputs!$D$7)^CM$2))),((Inputs!$D$8^((1-_xlfn.WEIBULL.DIST(CM$2,$M82,$L82,FALSE))/_xlfn.WEIBULL.DIST(CM$2,$M82,$L82,FALSE))*($T82*(1-$F82)+$S82*(1-$G82))*((1+Inputs!$D$7)^CM$2))))))))</f>
        <v>2053.5800821138428</v>
      </c>
      <c r="CN82" s="88">
        <f>MAX(AX82,($E82*IF(CN$2&gt;Inputs!$D$5,0,IF(CN$2&gt;VLOOKUP($H82,Lists!$P$3:$Q$7,2),IF($N82=Lists!$K$3,IF($L82&lt;1,(($U82/$L82)*((1+Inputs!$D$7)^CN$2)),((INT(CN$2/$L82)-INT((CN$2-1)/$L82))*$U82*((1+Inputs!$D$7)^CN$2))),(Inputs!$D$8^((1-_xlfn.WEIBULL.DIST(CN$2,$M82,$L82,FALSE))/_xlfn.WEIBULL.DIST(CN$2,$M82,$L82,FALSE))*$U82*((1+Inputs!$D$7)^CN$2))),IF($N82=Lists!$K$3,IF($L82&lt;1,((($T82*(1-$F82)+$S82*(1-$G82))/$L82)*((1+Inputs!$D$7)^CN$2)),((INT(CN$2/$L82)-INT((CN$2-1)/$L82))*($T82*(1-$F82)+$S82*(1-$G82))*((1+Inputs!$D$7)^CN$2))),((Inputs!$D$8^((1-_xlfn.WEIBULL.DIST(CN$2,$M82,$L82,FALSE))/_xlfn.WEIBULL.DIST(CN$2,$M82,$L82,FALSE))*($T82*(1-$F82)+$S82*(1-$G82))*((1+Inputs!$D$7)^CN$2))))))))</f>
        <v>2094.6516837561198</v>
      </c>
      <c r="CO82" s="88">
        <f>MAX(AY82,($E82*IF(CO$2&gt;Inputs!$D$5,0,IF(CO$2&gt;VLOOKUP($H82,Lists!$P$3:$Q$7,2),IF($N82=Lists!$K$3,IF($L82&lt;1,(($U82/$L82)*((1+Inputs!$D$7)^CO$2)),((INT(CO$2/$L82)-INT((CO$2-1)/$L82))*$U82*((1+Inputs!$D$7)^CO$2))),(Inputs!$D$8^((1-_xlfn.WEIBULL.DIST(CO$2,$M82,$L82,FALSE))/_xlfn.WEIBULL.DIST(CO$2,$M82,$L82,FALSE))*$U82*((1+Inputs!$D$7)^CO$2))),IF($N82=Lists!$K$3,IF($L82&lt;1,((($T82*(1-$F82)+$S82*(1-$G82))/$L82)*((1+Inputs!$D$7)^CO$2)),((INT(CO$2/$L82)-INT((CO$2-1)/$L82))*($T82*(1-$F82)+$S82*(1-$G82))*((1+Inputs!$D$7)^CO$2))),((Inputs!$D$8^((1-_xlfn.WEIBULL.DIST(CO$2,$M82,$L82,FALSE))/_xlfn.WEIBULL.DIST(CO$2,$M82,$L82,FALSE))*($T82*(1-$F82)+$S82*(1-$G82))*((1+Inputs!$D$7)^CO$2))))))))</f>
        <v>2136.5447174312421</v>
      </c>
      <c r="CP82" s="88">
        <f>MAX(AZ82,($E82*IF(CP$2&gt;Inputs!$D$5,0,IF(CP$2&gt;VLOOKUP($H82,Lists!$P$3:$Q$7,2),IF($N82=Lists!$K$3,IF($L82&lt;1,(($U82/$L82)*((1+Inputs!$D$7)^CP$2)),((INT(CP$2/$L82)-INT((CP$2-1)/$L82))*$U82*((1+Inputs!$D$7)^CP$2))),(Inputs!$D$8^((1-_xlfn.WEIBULL.DIST(CP$2,$M82,$L82,FALSE))/_xlfn.WEIBULL.DIST(CP$2,$M82,$L82,FALSE))*$U82*((1+Inputs!$D$7)^CP$2))),IF($N82=Lists!$K$3,IF($L82&lt;1,((($T82*(1-$F82)+$S82*(1-$G82))/$L82)*((1+Inputs!$D$7)^CP$2)),((INT(CP$2/$L82)-INT((CP$2-1)/$L82))*($T82*(1-$F82)+$S82*(1-$G82))*((1+Inputs!$D$7)^CP$2))),((Inputs!$D$8^((1-_xlfn.WEIBULL.DIST(CP$2,$M82,$L82,FALSE))/_xlfn.WEIBULL.DIST(CP$2,$M82,$L82,FALSE))*($T82*(1-$F82)+$S82*(1-$G82))*((1+Inputs!$D$7)^CP$2))))))))</f>
        <v>0</v>
      </c>
      <c r="CQ82" s="88">
        <f>MAX(BA82,($E82*IF(CQ$2&gt;Inputs!$D$5,0,IF(CQ$2&gt;VLOOKUP($H82,Lists!$P$3:$Q$7,2),IF($N82=Lists!$K$3,IF($L82&lt;1,(($U82/$L82)*((1+Inputs!$D$7)^CQ$2)),((INT(CQ$2/$L82)-INT((CQ$2-1)/$L82))*$U82*((1+Inputs!$D$7)^CQ$2))),(Inputs!$D$8^((1-_xlfn.WEIBULL.DIST(CQ$2,$M82,$L82,FALSE))/_xlfn.WEIBULL.DIST(CQ$2,$M82,$L82,FALSE))*$U82*((1+Inputs!$D$7)^CQ$2))),IF($N82=Lists!$K$3,IF($L82&lt;1,((($T82*(1-$F82)+$S82*(1-$G82))/$L82)*((1+Inputs!$D$7)^CQ$2)),((INT(CQ$2/$L82)-INT((CQ$2-1)/$L82))*($T82*(1-$F82)+$S82*(1-$G82))*((1+Inputs!$D$7)^CQ$2))),((Inputs!$D$8^((1-_xlfn.WEIBULL.DIST(CQ$2,$M82,$L82,FALSE))/_xlfn.WEIBULL.DIST(CQ$2,$M82,$L82,FALSE))*($T82*(1-$F82)+$S82*(1-$G82))*((1+Inputs!$D$7)^CQ$2))))))))</f>
        <v>0</v>
      </c>
      <c r="CR82" s="88">
        <f>MAX(BB82,($E82*IF(CR$2&gt;Inputs!$D$5,0,IF(CR$2&gt;VLOOKUP($H82,Lists!$P$3:$Q$7,2),IF($N82=Lists!$K$3,IF($L82&lt;1,(($U82/$L82)*((1+Inputs!$D$7)^CR$2)),((INT(CR$2/$L82)-INT((CR$2-1)/$L82))*$U82*((1+Inputs!$D$7)^CR$2))),(Inputs!$D$8^((1-_xlfn.WEIBULL.DIST(CR$2,$M82,$L82,FALSE))/_xlfn.WEIBULL.DIST(CR$2,$M82,$L82,FALSE))*$U82*((1+Inputs!$D$7)^CR$2))),IF($N82=Lists!$K$3,IF($L82&lt;1,((($T82*(1-$F82)+$S82*(1-$G82))/$L82)*((1+Inputs!$D$7)^CR$2)),((INT(CR$2/$L82)-INT((CR$2-1)/$L82))*($T82*(1-$F82)+$S82*(1-$G82))*((1+Inputs!$D$7)^CR$2))),((Inputs!$D$8^((1-_xlfn.WEIBULL.DIST(CR$2,$M82,$L82,FALSE))/_xlfn.WEIBULL.DIST(CR$2,$M82,$L82,FALSE))*($T82*(1-$F82)+$S82*(1-$G82))*((1+Inputs!$D$7)^CR$2))))))))</f>
        <v>0</v>
      </c>
      <c r="CS82" s="88">
        <f>MAX(BC82,($E82*IF(CS$2&gt;Inputs!$D$5,0,IF(CS$2&gt;VLOOKUP($H82,Lists!$P$3:$Q$7,2),IF($N82=Lists!$K$3,IF($L82&lt;1,(($U82/$L82)*((1+Inputs!$D$7)^CS$2)),((INT(CS$2/$L82)-INT((CS$2-1)/$L82))*$U82*((1+Inputs!$D$7)^CS$2))),(Inputs!$D$8^((1-_xlfn.WEIBULL.DIST(CS$2,$M82,$L82,FALSE))/_xlfn.WEIBULL.DIST(CS$2,$M82,$L82,FALSE))*$U82*((1+Inputs!$D$7)^CS$2))),IF($N82=Lists!$K$3,IF($L82&lt;1,((($T82*(1-$F82)+$S82*(1-$G82))/$L82)*((1+Inputs!$D$7)^CS$2)),((INT(CS$2/$L82)-INT((CS$2-1)/$L82))*($T82*(1-$F82)+$S82*(1-$G82))*((1+Inputs!$D$7)^CS$2))),((Inputs!$D$8^((1-_xlfn.WEIBULL.DIST(CS$2,$M82,$L82,FALSE))/_xlfn.WEIBULL.DIST(CS$2,$M82,$L82,FALSE))*($T82*(1-$F82)+$S82*(1-$G82))*((1+Inputs!$D$7)^CS$2))))))))</f>
        <v>0</v>
      </c>
      <c r="CT82" s="88">
        <f>MAX(BD82,($E82*IF(CT$2&gt;Inputs!$D$5,0,IF(CT$2&gt;VLOOKUP($H82,Lists!$P$3:$Q$7,2),IF($N82=Lists!$K$3,IF($L82&lt;1,(($U82/$L82)*((1+Inputs!$D$7)^CT$2)),((INT(CT$2/$L82)-INT((CT$2-1)/$L82))*$U82*((1+Inputs!$D$7)^CT$2))),(Inputs!$D$8^((1-_xlfn.WEIBULL.DIST(CT$2,$M82,$L82,FALSE))/_xlfn.WEIBULL.DIST(CT$2,$M82,$L82,FALSE))*$U82*((1+Inputs!$D$7)^CT$2))),IF($N82=Lists!$K$3,IF($L82&lt;1,((($T82*(1-$F82)+$S82*(1-$G82))/$L82)*((1+Inputs!$D$7)^CT$2)),((INT(CT$2/$L82)-INT((CT$2-1)/$L82))*($T82*(1-$F82)+$S82*(1-$G82))*((1+Inputs!$D$7)^CT$2))),((Inputs!$D$8^((1-_xlfn.WEIBULL.DIST(CT$2,$M82,$L82,FALSE))/_xlfn.WEIBULL.DIST(CT$2,$M82,$L82,FALSE))*($T82*(1-$F82)+$S82*(1-$G82))*((1+Inputs!$D$7)^CT$2))))))))</f>
        <v>0</v>
      </c>
      <c r="CU82" s="88">
        <f>MAX(BE82,($E82*IF(CU$2&gt;Inputs!$D$5,0,IF(CU$2&gt;VLOOKUP($H82,Lists!$P$3:$Q$7,2),IF($N82=Lists!$K$3,IF($L82&lt;1,(($U82/$L82)*((1+Inputs!$D$7)^CU$2)),((INT(CU$2/$L82)-INT((CU$2-1)/$L82))*$U82*((1+Inputs!$D$7)^CU$2))),(Inputs!$D$8^((1-_xlfn.WEIBULL.DIST(CU$2,$M82,$L82,FALSE))/_xlfn.WEIBULL.DIST(CU$2,$M82,$L82,FALSE))*$U82*((1+Inputs!$D$7)^CU$2))),IF($N82=Lists!$K$3,IF($L82&lt;1,((($T82*(1-$F82)+$S82*(1-$G82))/$L82)*((1+Inputs!$D$7)^CU$2)),((INT(CU$2/$L82)-INT((CU$2-1)/$L82))*($T82*(1-$F82)+$S82*(1-$G82))*((1+Inputs!$D$7)^CU$2))),((Inputs!$D$8^((1-_xlfn.WEIBULL.DIST(CU$2,$M82,$L82,FALSE))/_xlfn.WEIBULL.DIST(CU$2,$M82,$L82,FALSE))*($T82*(1-$F82)+$S82*(1-$G82))*((1+Inputs!$D$7)^CU$2))))))))</f>
        <v>0</v>
      </c>
      <c r="CV82" s="88">
        <f>MAX(BF82,($E82*IF(CV$2&gt;Inputs!$D$5,0,IF(CV$2&gt;VLOOKUP($H82,Lists!$P$3:$Q$7,2),IF($N82=Lists!$K$3,IF($L82&lt;1,(($U82/$L82)*((1+Inputs!$D$7)^CV$2)),((INT(CV$2/$L82)-INT((CV$2-1)/$L82))*$U82*((1+Inputs!$D$7)^CV$2))),(Inputs!$D$8^((1-_xlfn.WEIBULL.DIST(CV$2,$M82,$L82,FALSE))/_xlfn.WEIBULL.DIST(CV$2,$M82,$L82,FALSE))*$U82*((1+Inputs!$D$7)^CV$2))),IF($N82=Lists!$K$3,IF($L82&lt;1,((($T82*(1-$F82)+$S82*(1-$G82))/$L82)*((1+Inputs!$D$7)^CV$2)),((INT(CV$2/$L82)-INT((CV$2-1)/$L82))*($T82*(1-$F82)+$S82*(1-$G82))*((1+Inputs!$D$7)^CV$2))),((Inputs!$D$8^((1-_xlfn.WEIBULL.DIST(CV$2,$M82,$L82,FALSE))/_xlfn.WEIBULL.DIST(CV$2,$M82,$L82,FALSE))*($T82*(1-$F82)+$S82*(1-$G82))*((1+Inputs!$D$7)^CV$2))))))))</f>
        <v>0</v>
      </c>
      <c r="CW82" s="88">
        <f>MAX(BG82,($E82*IF(CW$2&gt;Inputs!$D$5,0,IF(CW$2&gt;VLOOKUP($H82,Lists!$P$3:$Q$7,2),IF($N82=Lists!$K$3,IF($L82&lt;1,(($U82/$L82)*((1+Inputs!$D$7)^CW$2)),((INT(CW$2/$L82)-INT((CW$2-1)/$L82))*$U82*((1+Inputs!$D$7)^CW$2))),(Inputs!$D$8^((1-_xlfn.WEIBULL.DIST(CW$2,$M82,$L82,FALSE))/_xlfn.WEIBULL.DIST(CW$2,$M82,$L82,FALSE))*$U82*((1+Inputs!$D$7)^CW$2))),IF($N82=Lists!$K$3,IF($L82&lt;1,((($T82*(1-$F82)+$S82*(1-$G82))/$L82)*((1+Inputs!$D$7)^CW$2)),((INT(CW$2/$L82)-INT((CW$2-1)/$L82))*($T82*(1-$F82)+$S82*(1-$G82))*((1+Inputs!$D$7)^CW$2))),((Inputs!$D$8^((1-_xlfn.WEIBULL.DIST(CW$2,$M82,$L82,FALSE))/_xlfn.WEIBULL.DIST(CW$2,$M82,$L82,FALSE))*($T82*(1-$F82)+$S82*(1-$G82))*((1+Inputs!$D$7)^CW$2))))))))</f>
        <v>0</v>
      </c>
      <c r="CX82" s="88">
        <f>MAX(BH82,($E82*IF(CX$2&gt;Inputs!$D$5,0,IF(CX$2&gt;VLOOKUP($H82,Lists!$P$3:$Q$7,2),IF($N82=Lists!$K$3,IF($L82&lt;1,(($U82/$L82)*((1+Inputs!$D$7)^CX$2)),((INT(CX$2/$L82)-INT((CX$2-1)/$L82))*$U82*((1+Inputs!$D$7)^CX$2))),(Inputs!$D$8^((1-_xlfn.WEIBULL.DIST(CX$2,$M82,$L82,FALSE))/_xlfn.WEIBULL.DIST(CX$2,$M82,$L82,FALSE))*$U82*((1+Inputs!$D$7)^CX$2))),IF($N82=Lists!$K$3,IF($L82&lt;1,((($T82*(1-$F82)+$S82*(1-$G82))/$L82)*((1+Inputs!$D$7)^CX$2)),((INT(CX$2/$L82)-INT((CX$2-1)/$L82))*($T82*(1-$F82)+$S82*(1-$G82))*((1+Inputs!$D$7)^CX$2))),((Inputs!$D$8^((1-_xlfn.WEIBULL.DIST(CX$2,$M82,$L82,FALSE))/_xlfn.WEIBULL.DIST(CX$2,$M82,$L82,FALSE))*($T82*(1-$F82)+$S82*(1-$G82))*((1+Inputs!$D$7)^CX$2))))))))</f>
        <v>0</v>
      </c>
      <c r="CY82" s="88">
        <f>MAX(BI82,($E82*IF(CY$2&gt;Inputs!$D$5,0,IF(CY$2&gt;VLOOKUP($H82,Lists!$P$3:$Q$7,2),IF($N82=Lists!$K$3,IF($L82&lt;1,(($U82/$L82)*((1+Inputs!$D$7)^CY$2)),((INT(CY$2/$L82)-INT((CY$2-1)/$L82))*$U82*((1+Inputs!$D$7)^CY$2))),(Inputs!$D$8^((1-_xlfn.WEIBULL.DIST(CY$2,$M82,$L82,FALSE))/_xlfn.WEIBULL.DIST(CY$2,$M82,$L82,FALSE))*$U82*((1+Inputs!$D$7)^CY$2))),IF($N82=Lists!$K$3,IF($L82&lt;1,((($T82*(1-$F82)+$S82*(1-$G82))/$L82)*((1+Inputs!$D$7)^CY$2)),((INT(CY$2/$L82)-INT((CY$2-1)/$L82))*($T82*(1-$F82)+$S82*(1-$G82))*((1+Inputs!$D$7)^CY$2))),((Inputs!$D$8^((1-_xlfn.WEIBULL.DIST(CY$2,$M82,$L82,FALSE))/_xlfn.WEIBULL.DIST(CY$2,$M82,$L82,FALSE))*($T82*(1-$F82)+$S82*(1-$G82))*((1+Inputs!$D$7)^CY$2))))))))</f>
        <v>0</v>
      </c>
      <c r="CZ82" s="88">
        <f>MAX(BJ82,($E82*IF(CZ$2&gt;Inputs!$D$5,0,IF(CZ$2&gt;VLOOKUP($H82,Lists!$P$3:$Q$7,2),IF($N82=Lists!$K$3,IF($L82&lt;1,(($U82/$L82)*((1+Inputs!$D$7)^CZ$2)),((INT(CZ$2/$L82)-INT((CZ$2-1)/$L82))*$U82*((1+Inputs!$D$7)^CZ$2))),(Inputs!$D$8^((1-_xlfn.WEIBULL.DIST(CZ$2,$M82,$L82,FALSE))/_xlfn.WEIBULL.DIST(CZ$2,$M82,$L82,FALSE))*$U82*((1+Inputs!$D$7)^CZ$2))),IF($N82=Lists!$K$3,IF($L82&lt;1,((($T82*(1-$F82)+$S82*(1-$G82))/$L82)*((1+Inputs!$D$7)^CZ$2)),((INT(CZ$2/$L82)-INT((CZ$2-1)/$L82))*($T82*(1-$F82)+$S82*(1-$G82))*((1+Inputs!$D$7)^CZ$2))),((Inputs!$D$8^((1-_xlfn.WEIBULL.DIST(CZ$2,$M82,$L82,FALSE))/_xlfn.WEIBULL.DIST(CZ$2,$M82,$L82,FALSE))*($T82*(1-$F82)+$S82*(1-$G82))*((1+Inputs!$D$7)^CZ$2))))))))</f>
        <v>0</v>
      </c>
      <c r="DA82" s="88">
        <f>MAX(BK82,($E82*IF(DA$2&gt;Inputs!$D$5,0,IF(DA$2&gt;VLOOKUP($H82,Lists!$P$3:$Q$7,2),IF($N82=Lists!$K$3,IF($L82&lt;1,(($U82/$L82)*((1+Inputs!$D$7)^DA$2)),((INT(DA$2/$L82)-INT((DA$2-1)/$L82))*$U82*((1+Inputs!$D$7)^DA$2))),(Inputs!$D$8^((1-_xlfn.WEIBULL.DIST(DA$2,$M82,$L82,FALSE))/_xlfn.WEIBULL.DIST(DA$2,$M82,$L82,FALSE))*$U82*((1+Inputs!$D$7)^DA$2))),IF($N82=Lists!$K$3,IF($L82&lt;1,((($T82*(1-$F82)+$S82*(1-$G82))/$L82)*((1+Inputs!$D$7)^DA$2)),((INT(DA$2/$L82)-INT((DA$2-1)/$L82))*($T82*(1-$F82)+$S82*(1-$G82))*((1+Inputs!$D$7)^DA$2))),((Inputs!$D$8^((1-_xlfn.WEIBULL.DIST(DA$2,$M82,$L82,FALSE))/_xlfn.WEIBULL.DIST(DA$2,$M82,$L82,FALSE))*($T82*(1-$F82)+$S82*(1-$G82))*((1+Inputs!$D$7)^DA$2))))))))</f>
        <v>0</v>
      </c>
      <c r="DB82" s="88">
        <f>MAX(BL82,($E82*IF(DB$2&gt;Inputs!$D$5,0,IF(DB$2&gt;VLOOKUP($H82,Lists!$P$3:$Q$7,2),IF($N82=Lists!$K$3,IF($L82&lt;1,(($U82/$L82)*((1+Inputs!$D$7)^DB$2)),((INT(DB$2/$L82)-INT((DB$2-1)/$L82))*$U82*((1+Inputs!$D$7)^DB$2))),(Inputs!$D$8^((1-_xlfn.WEIBULL.DIST(DB$2,$M82,$L82,FALSE))/_xlfn.WEIBULL.DIST(DB$2,$M82,$L82,FALSE))*$U82*((1+Inputs!$D$7)^DB$2))),IF($N82=Lists!$K$3,IF($L82&lt;1,((($T82*(1-$F82)+$S82*(1-$G82))/$L82)*((1+Inputs!$D$7)^DB$2)),((INT(DB$2/$L82)-INT((DB$2-1)/$L82))*($T82*(1-$F82)+$S82*(1-$G82))*((1+Inputs!$D$7)^DB$2))),((Inputs!$D$8^((1-_xlfn.WEIBULL.DIST(DB$2,$M82,$L82,FALSE))/_xlfn.WEIBULL.DIST(DB$2,$M82,$L82,FALSE))*($T82*(1-$F82)+$S82*(1-$G82))*((1+Inputs!$D$7)^DB$2))))))))</f>
        <v>0</v>
      </c>
      <c r="DC82" s="88">
        <f>MAX(BM82,($E82*IF(DC$2&gt;Inputs!$D$5,0,IF(DC$2&gt;VLOOKUP($H82,Lists!$P$3:$Q$7,2),IF($N82=Lists!$K$3,IF($L82&lt;1,(($U82/$L82)*((1+Inputs!$D$7)^DC$2)),((INT(DC$2/$L82)-INT((DC$2-1)/$L82))*$U82*((1+Inputs!$D$7)^DC$2))),(Inputs!$D$8^((1-_xlfn.WEIBULL.DIST(DC$2,$M82,$L82,FALSE))/_xlfn.WEIBULL.DIST(DC$2,$M82,$L82,FALSE))*$U82*((1+Inputs!$D$7)^DC$2))),IF($N82=Lists!$K$3,IF($L82&lt;1,((($T82*(1-$F82)+$S82*(1-$G82))/$L82)*((1+Inputs!$D$7)^DC$2)),((INT(DC$2/$L82)-INT((DC$2-1)/$L82))*($T82*(1-$F82)+$S82*(1-$G82))*((1+Inputs!$D$7)^DC$2))),((Inputs!$D$8^((1-_xlfn.WEIBULL.DIST(DC$2,$M82,$L82,FALSE))/_xlfn.WEIBULL.DIST(DC$2,$M82,$L82,FALSE))*($T82*(1-$F82)+$S82*(1-$G82))*((1+Inputs!$D$7)^DC$2))))))))</f>
        <v>0</v>
      </c>
      <c r="DD82" s="88">
        <f>MAX(BN82,($E82*IF(DD$2&gt;Inputs!$D$5,0,IF(DD$2&gt;VLOOKUP($H82,Lists!$P$3:$Q$7,2),IF($N82=Lists!$K$3,IF($L82&lt;1,(($U82/$L82)*((1+Inputs!$D$7)^DD$2)),((INT(DD$2/$L82)-INT((DD$2-1)/$L82))*$U82*((1+Inputs!$D$7)^DD$2))),(Inputs!$D$8^((1-_xlfn.WEIBULL.DIST(DD$2,$M82,$L82,FALSE))/_xlfn.WEIBULL.DIST(DD$2,$M82,$L82,FALSE))*$U82*((1+Inputs!$D$7)^DD$2))),IF($N82=Lists!$K$3,IF($L82&lt;1,((($T82*(1-$F82)+$S82*(1-$G82))/$L82)*((1+Inputs!$D$7)^DD$2)),((INT(DD$2/$L82)-INT((DD$2-1)/$L82))*($T82*(1-$F82)+$S82*(1-$G82))*((1+Inputs!$D$7)^DD$2))),((Inputs!$D$8^((1-_xlfn.WEIBULL.DIST(DD$2,$M82,$L82,FALSE))/_xlfn.WEIBULL.DIST(DD$2,$M82,$L82,FALSE))*($T82*(1-$F82)+$S82*(1-$G82))*((1+Inputs!$D$7)^DD$2))))))))</f>
        <v>0</v>
      </c>
    </row>
    <row r="83" spans="1:108" s="1" customFormat="1" ht="80">
      <c r="A83" s="57" t="s">
        <v>138</v>
      </c>
      <c r="B83" s="13" t="s">
        <v>279</v>
      </c>
      <c r="C83" s="13" t="s">
        <v>90</v>
      </c>
      <c r="D83" s="13" t="s">
        <v>123</v>
      </c>
      <c r="E83" s="48">
        <f>IF(Inputs!$D$30=Lists!$M$4,1,0)</f>
        <v>1</v>
      </c>
      <c r="F83" s="48">
        <v>0</v>
      </c>
      <c r="G83" s="48">
        <v>0</v>
      </c>
      <c r="H83" s="105" t="s">
        <v>350</v>
      </c>
      <c r="I83" s="14" t="s">
        <v>15</v>
      </c>
      <c r="J83" s="14" t="s">
        <v>88</v>
      </c>
      <c r="K83" s="13">
        <f>VLOOKUP(J83,'Labor Rates'!$A$1:$F$16,2)</f>
        <v>19.903846153846153</v>
      </c>
      <c r="L83" s="15">
        <v>1</v>
      </c>
      <c r="M83" s="15">
        <v>1</v>
      </c>
      <c r="N83" s="13" t="s">
        <v>236</v>
      </c>
      <c r="O83" s="61">
        <f>Inputs!$D$27</f>
        <v>157</v>
      </c>
      <c r="P83" s="15">
        <v>0.15</v>
      </c>
      <c r="Q83" s="15">
        <f t="shared" si="14"/>
        <v>23.55</v>
      </c>
      <c r="R83" s="4">
        <v>0</v>
      </c>
      <c r="S83" s="53">
        <f t="shared" si="15"/>
        <v>468.73557692307691</v>
      </c>
      <c r="T83" s="53">
        <f t="shared" si="16"/>
        <v>0</v>
      </c>
      <c r="U83" s="54">
        <f t="shared" si="17"/>
        <v>468.73557692307691</v>
      </c>
      <c r="V83" s="65"/>
      <c r="W83" s="58"/>
      <c r="X83" s="64">
        <f t="shared" si="18"/>
        <v>580.84112417086112</v>
      </c>
      <c r="Y83" s="64">
        <f>NPV(Inputs!$D$6,AA83:BN83)</f>
        <v>6671.7392917048428</v>
      </c>
      <c r="Z83" s="67">
        <f t="shared" si="19"/>
        <v>3.1467179690033054E-3</v>
      </c>
      <c r="AA83" s="88">
        <f>$E83*IF(AA$2&gt;Inputs!$D$5,0,IF(AA$2&gt;VLOOKUP($H83,Lists!$P$3:$Q$7,2),IF($N83=Lists!$K$3,IF($L83&lt;1,(($U83/$L83)*((1+Inputs!$D$7)^AA$2)),((INT(AA$2/$L83)-INT((AA$2-1)/$L83))*$U83*((1+Inputs!$D$7)^AA$2))),(_xlfn.WEIBULL.DIST(AA$2,$M83,$L83,FALSE)*$U83*((1+Inputs!$D$7)^AA$2))),IF($N83=Lists!$K$3,IF($L83&lt;1,((($T83*(1-$F83)+$S83*(1-$G83))/$L83)*((1+Inputs!$D$7)^AA$2)),((INT(AA$2/$L83)-INT((AA$2-1)/$L83))*($T83*(1-$F83)+$S83*(1-$G83))*((1+Inputs!$D$7)^AA$2))),((_xlfn.WEIBULL.DIST(AA$2,$M83,$L83,FALSE)*($T83*(1-$F83)+$S83*(1-$G83))*((1+Inputs!$D$7)^AA$2))))))</f>
        <v>478.11028846153846</v>
      </c>
      <c r="AB83" s="88">
        <f>$E83*IF(AB$2&gt;Inputs!$D$5,0,IF(AB$2&gt;VLOOKUP($H83,Lists!$P$3:$Q$7,2),IF($N83=Lists!$K$3,IF($L83&lt;1,(($U83/$L83)*((1+Inputs!$D$7)^AB$2)),((INT(AB$2/$L83)-INT((AB$2-1)/$L83))*$U83*((1+Inputs!$D$7)^AB$2))),(_xlfn.WEIBULL.DIST(AB$2,$M83,$L83,FALSE)*$U83*((1+Inputs!$D$7)^AB$2))),IF($N83=Lists!$K$3,IF($L83&lt;1,((($T83*(1-$F83)+$S83*(1-$G83))/$L83)*((1+Inputs!$D$7)^AB$2)),((INT(AB$2/$L83)-INT((AB$2-1)/$L83))*($T83*(1-$F83)+$S83*(1-$G83))*((1+Inputs!$D$7)^AB$2))),((_xlfn.WEIBULL.DIST(AB$2,$M83,$L83,FALSE)*($T83*(1-$F83)+$S83*(1-$G83))*((1+Inputs!$D$7)^AB$2))))))</f>
        <v>487.67249423076919</v>
      </c>
      <c r="AC83" s="88">
        <f>$E83*IF(AC$2&gt;Inputs!$D$5,0,IF(AC$2&gt;VLOOKUP($H83,Lists!$P$3:$Q$7,2),IF($N83=Lists!$K$3,IF($L83&lt;1,(($U83/$L83)*((1+Inputs!$D$7)^AC$2)),((INT(AC$2/$L83)-INT((AC$2-1)/$L83))*$U83*((1+Inputs!$D$7)^AC$2))),(_xlfn.WEIBULL.DIST(AC$2,$M83,$L83,FALSE)*$U83*((1+Inputs!$D$7)^AC$2))),IF($N83=Lists!$K$3,IF($L83&lt;1,((($T83*(1-$F83)+$S83*(1-$G83))/$L83)*((1+Inputs!$D$7)^AC$2)),((INT(AC$2/$L83)-INT((AC$2-1)/$L83))*($T83*(1-$F83)+$S83*(1-$G83))*((1+Inputs!$D$7)^AC$2))),((_xlfn.WEIBULL.DIST(AC$2,$M83,$L83,FALSE)*($T83*(1-$F83)+$S83*(1-$G83))*((1+Inputs!$D$7)^AC$2))))))</f>
        <v>497.42594411538454</v>
      </c>
      <c r="AD83" s="88">
        <f>$E83*IF(AD$2&gt;Inputs!$D$5,0,IF(AD$2&gt;VLOOKUP($H83,Lists!$P$3:$Q$7,2),IF($N83=Lists!$K$3,IF($L83&lt;1,(($U83/$L83)*((1+Inputs!$D$7)^AD$2)),((INT(AD$2/$L83)-INT((AD$2-1)/$L83))*$U83*((1+Inputs!$D$7)^AD$2))),(_xlfn.WEIBULL.DIST(AD$2,$M83,$L83,FALSE)*$U83*((1+Inputs!$D$7)^AD$2))),IF($N83=Lists!$K$3,IF($L83&lt;1,((($T83*(1-$F83)+$S83*(1-$G83))/$L83)*((1+Inputs!$D$7)^AD$2)),((INT(AD$2/$L83)-INT((AD$2-1)/$L83))*($T83*(1-$F83)+$S83*(1-$G83))*((1+Inputs!$D$7)^AD$2))),((_xlfn.WEIBULL.DIST(AD$2,$M83,$L83,FALSE)*($T83*(1-$F83)+$S83*(1-$G83))*((1+Inputs!$D$7)^AD$2))))))</f>
        <v>507.37446299769226</v>
      </c>
      <c r="AE83" s="88">
        <f>$E83*IF(AE$2&gt;Inputs!$D$5,0,IF(AE$2&gt;VLOOKUP($H83,Lists!$P$3:$Q$7,2),IF($N83=Lists!$K$3,IF($L83&lt;1,(($U83/$L83)*((1+Inputs!$D$7)^AE$2)),((INT(AE$2/$L83)-INT((AE$2-1)/$L83))*$U83*((1+Inputs!$D$7)^AE$2))),(_xlfn.WEIBULL.DIST(AE$2,$M83,$L83,FALSE)*$U83*((1+Inputs!$D$7)^AE$2))),IF($N83=Lists!$K$3,IF($L83&lt;1,((($T83*(1-$F83)+$S83*(1-$G83))/$L83)*((1+Inputs!$D$7)^AE$2)),((INT(AE$2/$L83)-INT((AE$2-1)/$L83))*($T83*(1-$F83)+$S83*(1-$G83))*((1+Inputs!$D$7)^AE$2))),((_xlfn.WEIBULL.DIST(AE$2,$M83,$L83,FALSE)*($T83*(1-$F83)+$S83*(1-$G83))*((1+Inputs!$D$7)^AE$2))))))</f>
        <v>517.52195225764615</v>
      </c>
      <c r="AF83" s="88">
        <f>$E83*IF(AF$2&gt;Inputs!$D$5,0,IF(AF$2&gt;VLOOKUP($H83,Lists!$P$3:$Q$7,2),IF($N83=Lists!$K$3,IF($L83&lt;1,(($U83/$L83)*((1+Inputs!$D$7)^AF$2)),((INT(AF$2/$L83)-INT((AF$2-1)/$L83))*$U83*((1+Inputs!$D$7)^AF$2))),(_xlfn.WEIBULL.DIST(AF$2,$M83,$L83,FALSE)*$U83*((1+Inputs!$D$7)^AF$2))),IF($N83=Lists!$K$3,IF($L83&lt;1,((($T83*(1-$F83)+$S83*(1-$G83))/$L83)*((1+Inputs!$D$7)^AF$2)),((INT(AF$2/$L83)-INT((AF$2-1)/$L83))*($T83*(1-$F83)+$S83*(1-$G83))*((1+Inputs!$D$7)^AF$2))),((_xlfn.WEIBULL.DIST(AF$2,$M83,$L83,FALSE)*($T83*(1-$F83)+$S83*(1-$G83))*((1+Inputs!$D$7)^AF$2))))))</f>
        <v>527.87239130279909</v>
      </c>
      <c r="AG83" s="88">
        <f>$E83*IF(AG$2&gt;Inputs!$D$5,0,IF(AG$2&gt;VLOOKUP($H83,Lists!$P$3:$Q$7,2),IF($N83=Lists!$K$3,IF($L83&lt;1,(($U83/$L83)*((1+Inputs!$D$7)^AG$2)),((INT(AG$2/$L83)-INT((AG$2-1)/$L83))*$U83*((1+Inputs!$D$7)^AG$2))),(_xlfn.WEIBULL.DIST(AG$2,$M83,$L83,FALSE)*$U83*((1+Inputs!$D$7)^AG$2))),IF($N83=Lists!$K$3,IF($L83&lt;1,((($T83*(1-$F83)+$S83*(1-$G83))/$L83)*((1+Inputs!$D$7)^AG$2)),((INT(AG$2/$L83)-INT((AG$2-1)/$L83))*($T83*(1-$F83)+$S83*(1-$G83))*((1+Inputs!$D$7)^AG$2))),((_xlfn.WEIBULL.DIST(AG$2,$M83,$L83,FALSE)*($T83*(1-$F83)+$S83*(1-$G83))*((1+Inputs!$D$7)^AG$2))))))</f>
        <v>538.42983912885495</v>
      </c>
      <c r="AH83" s="88">
        <f>$E83*IF(AH$2&gt;Inputs!$D$5,0,IF(AH$2&gt;VLOOKUP($H83,Lists!$P$3:$Q$7,2),IF($N83=Lists!$K$3,IF($L83&lt;1,(($U83/$L83)*((1+Inputs!$D$7)^AH$2)),((INT(AH$2/$L83)-INT((AH$2-1)/$L83))*$U83*((1+Inputs!$D$7)^AH$2))),(_xlfn.WEIBULL.DIST(AH$2,$M83,$L83,FALSE)*$U83*((1+Inputs!$D$7)^AH$2))),IF($N83=Lists!$K$3,IF($L83&lt;1,((($T83*(1-$F83)+$S83*(1-$G83))/$L83)*((1+Inputs!$D$7)^AH$2)),((INT(AH$2/$L83)-INT((AH$2-1)/$L83))*($T83*(1-$F83)+$S83*(1-$G83))*((1+Inputs!$D$7)^AH$2))),((_xlfn.WEIBULL.DIST(AH$2,$M83,$L83,FALSE)*($T83*(1-$F83)+$S83*(1-$G83))*((1+Inputs!$D$7)^AH$2))))))</f>
        <v>549.19843591143206</v>
      </c>
      <c r="AI83" s="88">
        <f>$E83*IF(AI$2&gt;Inputs!$D$5,0,IF(AI$2&gt;VLOOKUP($H83,Lists!$P$3:$Q$7,2),IF($N83=Lists!$K$3,IF($L83&lt;1,(($U83/$L83)*((1+Inputs!$D$7)^AI$2)),((INT(AI$2/$L83)-INT((AI$2-1)/$L83))*$U83*((1+Inputs!$D$7)^AI$2))),(_xlfn.WEIBULL.DIST(AI$2,$M83,$L83,FALSE)*$U83*((1+Inputs!$D$7)^AI$2))),IF($N83=Lists!$K$3,IF($L83&lt;1,((($T83*(1-$F83)+$S83*(1-$G83))/$L83)*((1+Inputs!$D$7)^AI$2)),((INT(AI$2/$L83)-INT((AI$2-1)/$L83))*($T83*(1-$F83)+$S83*(1-$G83))*((1+Inputs!$D$7)^AI$2))),((_xlfn.WEIBULL.DIST(AI$2,$M83,$L83,FALSE)*($T83*(1-$F83)+$S83*(1-$G83))*((1+Inputs!$D$7)^AI$2))))))</f>
        <v>560.18240462966071</v>
      </c>
      <c r="AJ83" s="88">
        <f>$E83*IF(AJ$2&gt;Inputs!$D$5,0,IF(AJ$2&gt;VLOOKUP($H83,Lists!$P$3:$Q$7,2),IF($N83=Lists!$K$3,IF($L83&lt;1,(($U83/$L83)*((1+Inputs!$D$7)^AJ$2)),((INT(AJ$2/$L83)-INT((AJ$2-1)/$L83))*$U83*((1+Inputs!$D$7)^AJ$2))),(_xlfn.WEIBULL.DIST(AJ$2,$M83,$L83,FALSE)*$U83*((1+Inputs!$D$7)^AJ$2))),IF($N83=Lists!$K$3,IF($L83&lt;1,((($T83*(1-$F83)+$S83*(1-$G83))/$L83)*((1+Inputs!$D$7)^AJ$2)),((INT(AJ$2/$L83)-INT((AJ$2-1)/$L83))*($T83*(1-$F83)+$S83*(1-$G83))*((1+Inputs!$D$7)^AJ$2))),((_xlfn.WEIBULL.DIST(AJ$2,$M83,$L83,FALSE)*($T83*(1-$F83)+$S83*(1-$G83))*((1+Inputs!$D$7)^AJ$2))))))</f>
        <v>571.38605272225402</v>
      </c>
      <c r="AK83" s="88">
        <f>$E83*IF(AK$2&gt;Inputs!$D$5,0,IF(AK$2&gt;VLOOKUP($H83,Lists!$P$3:$Q$7,2),IF($N83=Lists!$K$3,IF($L83&lt;1,(($U83/$L83)*((1+Inputs!$D$7)^AK$2)),((INT(AK$2/$L83)-INT((AK$2-1)/$L83))*$U83*((1+Inputs!$D$7)^AK$2))),(_xlfn.WEIBULL.DIST(AK$2,$M83,$L83,FALSE)*$U83*((1+Inputs!$D$7)^AK$2))),IF($N83=Lists!$K$3,IF($L83&lt;1,((($T83*(1-$F83)+$S83*(1-$G83))/$L83)*((1+Inputs!$D$7)^AK$2)),((INT(AK$2/$L83)-INT((AK$2-1)/$L83))*($T83*(1-$F83)+$S83*(1-$G83))*((1+Inputs!$D$7)^AK$2))),((_xlfn.WEIBULL.DIST(AK$2,$M83,$L83,FALSE)*($T83*(1-$F83)+$S83*(1-$G83))*((1+Inputs!$D$7)^AK$2))))))</f>
        <v>582.81377377669901</v>
      </c>
      <c r="AL83" s="88">
        <f>$E83*IF(AL$2&gt;Inputs!$D$5,0,IF(AL$2&gt;VLOOKUP($H83,Lists!$P$3:$Q$7,2),IF($N83=Lists!$K$3,IF($L83&lt;1,(($U83/$L83)*((1+Inputs!$D$7)^AL$2)),((INT(AL$2/$L83)-INT((AL$2-1)/$L83))*$U83*((1+Inputs!$D$7)^AL$2))),(_xlfn.WEIBULL.DIST(AL$2,$M83,$L83,FALSE)*$U83*((1+Inputs!$D$7)^AL$2))),IF($N83=Lists!$K$3,IF($L83&lt;1,((($T83*(1-$F83)+$S83*(1-$G83))/$L83)*((1+Inputs!$D$7)^AL$2)),((INT(AL$2/$L83)-INT((AL$2-1)/$L83))*($T83*(1-$F83)+$S83*(1-$G83))*((1+Inputs!$D$7)^AL$2))),((_xlfn.WEIBULL.DIST(AL$2,$M83,$L83,FALSE)*($T83*(1-$F83)+$S83*(1-$G83))*((1+Inputs!$D$7)^AL$2))))))</f>
        <v>594.47004925223303</v>
      </c>
      <c r="AM83" s="88">
        <f>$E83*IF(AM$2&gt;Inputs!$D$5,0,IF(AM$2&gt;VLOOKUP($H83,Lists!$P$3:$Q$7,2),IF($N83=Lists!$K$3,IF($L83&lt;1,(($U83/$L83)*((1+Inputs!$D$7)^AM$2)),((INT(AM$2/$L83)-INT((AM$2-1)/$L83))*$U83*((1+Inputs!$D$7)^AM$2))),(_xlfn.WEIBULL.DIST(AM$2,$M83,$L83,FALSE)*$U83*((1+Inputs!$D$7)^AM$2))),IF($N83=Lists!$K$3,IF($L83&lt;1,((($T83*(1-$F83)+$S83*(1-$G83))/$L83)*((1+Inputs!$D$7)^AM$2)),((INT(AM$2/$L83)-INT((AM$2-1)/$L83))*($T83*(1-$F83)+$S83*(1-$G83))*((1+Inputs!$D$7)^AM$2))),((_xlfn.WEIBULL.DIST(AM$2,$M83,$L83,FALSE)*($T83*(1-$F83)+$S83*(1-$G83))*((1+Inputs!$D$7)^AM$2))))))</f>
        <v>606.35945023727766</v>
      </c>
      <c r="AN83" s="88">
        <f>$E83*IF(AN$2&gt;Inputs!$D$5,0,IF(AN$2&gt;VLOOKUP($H83,Lists!$P$3:$Q$7,2),IF($N83=Lists!$K$3,IF($L83&lt;1,(($U83/$L83)*((1+Inputs!$D$7)^AN$2)),((INT(AN$2/$L83)-INT((AN$2-1)/$L83))*$U83*((1+Inputs!$D$7)^AN$2))),(_xlfn.WEIBULL.DIST(AN$2,$M83,$L83,FALSE)*$U83*((1+Inputs!$D$7)^AN$2))),IF($N83=Lists!$K$3,IF($L83&lt;1,((($T83*(1-$F83)+$S83*(1-$G83))/$L83)*((1+Inputs!$D$7)^AN$2)),((INT(AN$2/$L83)-INT((AN$2-1)/$L83))*($T83*(1-$F83)+$S83*(1-$G83))*((1+Inputs!$D$7)^AN$2))),((_xlfn.WEIBULL.DIST(AN$2,$M83,$L83,FALSE)*($T83*(1-$F83)+$S83*(1-$G83))*((1+Inputs!$D$7)^AN$2))))))</f>
        <v>618.48663924202333</v>
      </c>
      <c r="AO83" s="88">
        <f>$E83*IF(AO$2&gt;Inputs!$D$5,0,IF(AO$2&gt;VLOOKUP($H83,Lists!$P$3:$Q$7,2),IF($N83=Lists!$K$3,IF($L83&lt;1,(($U83/$L83)*((1+Inputs!$D$7)^AO$2)),((INT(AO$2/$L83)-INT((AO$2-1)/$L83))*$U83*((1+Inputs!$D$7)^AO$2))),(_xlfn.WEIBULL.DIST(AO$2,$M83,$L83,FALSE)*$U83*((1+Inputs!$D$7)^AO$2))),IF($N83=Lists!$K$3,IF($L83&lt;1,((($T83*(1-$F83)+$S83*(1-$G83))/$L83)*((1+Inputs!$D$7)^AO$2)),((INT(AO$2/$L83)-INT((AO$2-1)/$L83))*($T83*(1-$F83)+$S83*(1-$G83))*((1+Inputs!$D$7)^AO$2))),((_xlfn.WEIBULL.DIST(AO$2,$M83,$L83,FALSE)*($T83*(1-$F83)+$S83*(1-$G83))*((1+Inputs!$D$7)^AO$2))))))</f>
        <v>630.8563720268636</v>
      </c>
      <c r="AP83" s="88">
        <f>$E83*IF(AP$2&gt;Inputs!$D$5,0,IF(AP$2&gt;VLOOKUP($H83,Lists!$P$3:$Q$7,2),IF($N83=Lists!$K$3,IF($L83&lt;1,(($U83/$L83)*((1+Inputs!$D$7)^AP$2)),((INT(AP$2/$L83)-INT((AP$2-1)/$L83))*$U83*((1+Inputs!$D$7)^AP$2))),(_xlfn.WEIBULL.DIST(AP$2,$M83,$L83,FALSE)*$U83*((1+Inputs!$D$7)^AP$2))),IF($N83=Lists!$K$3,IF($L83&lt;1,((($T83*(1-$F83)+$S83*(1-$G83))/$L83)*((1+Inputs!$D$7)^AP$2)),((INT(AP$2/$L83)-INT((AP$2-1)/$L83))*($T83*(1-$F83)+$S83*(1-$G83))*((1+Inputs!$D$7)^AP$2))),((_xlfn.WEIBULL.DIST(AP$2,$M83,$L83,FALSE)*($T83*(1-$F83)+$S83*(1-$G83))*((1+Inputs!$D$7)^AP$2))))))</f>
        <v>643.47349946740098</v>
      </c>
      <c r="AQ83" s="88">
        <f>$E83*IF(AQ$2&gt;Inputs!$D$5,0,IF(AQ$2&gt;VLOOKUP($H83,Lists!$P$3:$Q$7,2),IF($N83=Lists!$K$3,IF($L83&lt;1,(($U83/$L83)*((1+Inputs!$D$7)^AQ$2)),((INT(AQ$2/$L83)-INT((AQ$2-1)/$L83))*$U83*((1+Inputs!$D$7)^AQ$2))),(_xlfn.WEIBULL.DIST(AQ$2,$M83,$L83,FALSE)*$U83*((1+Inputs!$D$7)^AQ$2))),IF($N83=Lists!$K$3,IF($L83&lt;1,((($T83*(1-$F83)+$S83*(1-$G83))/$L83)*((1+Inputs!$D$7)^AQ$2)),((INT(AQ$2/$L83)-INT((AQ$2-1)/$L83))*($T83*(1-$F83)+$S83*(1-$G83))*((1+Inputs!$D$7)^AQ$2))),((_xlfn.WEIBULL.DIST(AQ$2,$M83,$L83,FALSE)*($T83*(1-$F83)+$S83*(1-$G83))*((1+Inputs!$D$7)^AQ$2))))))</f>
        <v>656.34296945674907</v>
      </c>
      <c r="AR83" s="88">
        <f>$E83*IF(AR$2&gt;Inputs!$D$5,0,IF(AR$2&gt;VLOOKUP($H83,Lists!$P$3:$Q$7,2),IF($N83=Lists!$K$3,IF($L83&lt;1,(($U83/$L83)*((1+Inputs!$D$7)^AR$2)),((INT(AR$2/$L83)-INT((AR$2-1)/$L83))*$U83*((1+Inputs!$D$7)^AR$2))),(_xlfn.WEIBULL.DIST(AR$2,$M83,$L83,FALSE)*$U83*((1+Inputs!$D$7)^AR$2))),IF($N83=Lists!$K$3,IF($L83&lt;1,((($T83*(1-$F83)+$S83*(1-$G83))/$L83)*((1+Inputs!$D$7)^AR$2)),((INT(AR$2/$L83)-INT((AR$2-1)/$L83))*($T83*(1-$F83)+$S83*(1-$G83))*((1+Inputs!$D$7)^AR$2))),((_xlfn.WEIBULL.DIST(AR$2,$M83,$L83,FALSE)*($T83*(1-$F83)+$S83*(1-$G83))*((1+Inputs!$D$7)^AR$2))))))</f>
        <v>669.46982884588397</v>
      </c>
      <c r="AS83" s="88">
        <f>$E83*IF(AS$2&gt;Inputs!$D$5,0,IF(AS$2&gt;VLOOKUP($H83,Lists!$P$3:$Q$7,2),IF($N83=Lists!$K$3,IF($L83&lt;1,(($U83/$L83)*((1+Inputs!$D$7)^AS$2)),((INT(AS$2/$L83)-INT((AS$2-1)/$L83))*$U83*((1+Inputs!$D$7)^AS$2))),(_xlfn.WEIBULL.DIST(AS$2,$M83,$L83,FALSE)*$U83*((1+Inputs!$D$7)^AS$2))),IF($N83=Lists!$K$3,IF($L83&lt;1,((($T83*(1-$F83)+$S83*(1-$G83))/$L83)*((1+Inputs!$D$7)^AS$2)),((INT(AS$2/$L83)-INT((AS$2-1)/$L83))*($T83*(1-$F83)+$S83*(1-$G83))*((1+Inputs!$D$7)^AS$2))),((_xlfn.WEIBULL.DIST(AS$2,$M83,$L83,FALSE)*($T83*(1-$F83)+$S83*(1-$G83))*((1+Inputs!$D$7)^AS$2))))))</f>
        <v>682.85922542280161</v>
      </c>
      <c r="AT83" s="88">
        <f>$E83*IF(AT$2&gt;Inputs!$D$5,0,IF(AT$2&gt;VLOOKUP($H83,Lists!$P$3:$Q$7,2),IF($N83=Lists!$K$3,IF($L83&lt;1,(($U83/$L83)*((1+Inputs!$D$7)^AT$2)),((INT(AT$2/$L83)-INT((AT$2-1)/$L83))*$U83*((1+Inputs!$D$7)^AT$2))),(_xlfn.WEIBULL.DIST(AT$2,$M83,$L83,FALSE)*$U83*((1+Inputs!$D$7)^AT$2))),IF($N83=Lists!$K$3,IF($L83&lt;1,((($T83*(1-$F83)+$S83*(1-$G83))/$L83)*((1+Inputs!$D$7)^AT$2)),((INT(AT$2/$L83)-INT((AT$2-1)/$L83))*($T83*(1-$F83)+$S83*(1-$G83))*((1+Inputs!$D$7)^AT$2))),((_xlfn.WEIBULL.DIST(AT$2,$M83,$L83,FALSE)*($T83*(1-$F83)+$S83*(1-$G83))*((1+Inputs!$D$7)^AT$2))))))</f>
        <v>696.51640993125773</v>
      </c>
      <c r="AU83" s="88">
        <f>$E83*IF(AU$2&gt;Inputs!$D$5,0,IF(AU$2&gt;VLOOKUP($H83,Lists!$P$3:$Q$7,2),IF($N83=Lists!$K$3,IF($L83&lt;1,(($U83/$L83)*((1+Inputs!$D$7)^AU$2)),((INT(AU$2/$L83)-INT((AU$2-1)/$L83))*$U83*((1+Inputs!$D$7)^AU$2))),(_xlfn.WEIBULL.DIST(AU$2,$M83,$L83,FALSE)*$U83*((1+Inputs!$D$7)^AU$2))),IF($N83=Lists!$K$3,IF($L83&lt;1,((($T83*(1-$F83)+$S83*(1-$G83))/$L83)*((1+Inputs!$D$7)^AU$2)),((INT(AU$2/$L83)-INT((AU$2-1)/$L83))*($T83*(1-$F83)+$S83*(1-$G83))*((1+Inputs!$D$7)^AU$2))),((_xlfn.WEIBULL.DIST(AU$2,$M83,$L83,FALSE)*($T83*(1-$F83)+$S83*(1-$G83))*((1+Inputs!$D$7)^AU$2))))))</f>
        <v>710.44673812988276</v>
      </c>
      <c r="AV83" s="88">
        <f>$E83*IF(AV$2&gt;Inputs!$D$5,0,IF(AV$2&gt;VLOOKUP($H83,Lists!$P$3:$Q$7,2),IF($N83=Lists!$K$3,IF($L83&lt;1,(($U83/$L83)*((1+Inputs!$D$7)^AV$2)),((INT(AV$2/$L83)-INT((AV$2-1)/$L83))*$U83*((1+Inputs!$D$7)^AV$2))),(_xlfn.WEIBULL.DIST(AV$2,$M83,$L83,FALSE)*$U83*((1+Inputs!$D$7)^AV$2))),IF($N83=Lists!$K$3,IF($L83&lt;1,((($T83*(1-$F83)+$S83*(1-$G83))/$L83)*((1+Inputs!$D$7)^AV$2)),((INT(AV$2/$L83)-INT((AV$2-1)/$L83))*($T83*(1-$F83)+$S83*(1-$G83))*((1+Inputs!$D$7)^AV$2))),((_xlfn.WEIBULL.DIST(AV$2,$M83,$L83,FALSE)*($T83*(1-$F83)+$S83*(1-$G83))*((1+Inputs!$D$7)^AV$2))))))</f>
        <v>724.65567289248042</v>
      </c>
      <c r="AW83" s="88">
        <f>$E83*IF(AW$2&gt;Inputs!$D$5,0,IF(AW$2&gt;VLOOKUP($H83,Lists!$P$3:$Q$7,2),IF($N83=Lists!$K$3,IF($L83&lt;1,(($U83/$L83)*((1+Inputs!$D$7)^AW$2)),((INT(AW$2/$L83)-INT((AW$2-1)/$L83))*$U83*((1+Inputs!$D$7)^AW$2))),(_xlfn.WEIBULL.DIST(AW$2,$M83,$L83,FALSE)*$U83*((1+Inputs!$D$7)^AW$2))),IF($N83=Lists!$K$3,IF($L83&lt;1,((($T83*(1-$F83)+$S83*(1-$G83))/$L83)*((1+Inputs!$D$7)^AW$2)),((INT(AW$2/$L83)-INT((AW$2-1)/$L83))*($T83*(1-$F83)+$S83*(1-$G83))*((1+Inputs!$D$7)^AW$2))),((_xlfn.WEIBULL.DIST(AW$2,$M83,$L83,FALSE)*($T83*(1-$F83)+$S83*(1-$G83))*((1+Inputs!$D$7)^AW$2))))))</f>
        <v>739.14878635032994</v>
      </c>
      <c r="AX83" s="88">
        <f>$E83*IF(AX$2&gt;Inputs!$D$5,0,IF(AX$2&gt;VLOOKUP($H83,Lists!$P$3:$Q$7,2),IF($N83=Lists!$K$3,IF($L83&lt;1,(($U83/$L83)*((1+Inputs!$D$7)^AX$2)),((INT(AX$2/$L83)-INT((AX$2-1)/$L83))*$U83*((1+Inputs!$D$7)^AX$2))),(_xlfn.WEIBULL.DIST(AX$2,$M83,$L83,FALSE)*$U83*((1+Inputs!$D$7)^AX$2))),IF($N83=Lists!$K$3,IF($L83&lt;1,((($T83*(1-$F83)+$S83*(1-$G83))/$L83)*((1+Inputs!$D$7)^AX$2)),((INT(AX$2/$L83)-INT((AX$2-1)/$L83))*($T83*(1-$F83)+$S83*(1-$G83))*((1+Inputs!$D$7)^AX$2))),((_xlfn.WEIBULL.DIST(AX$2,$M83,$L83,FALSE)*($T83*(1-$F83)+$S83*(1-$G83))*((1+Inputs!$D$7)^AX$2))))))</f>
        <v>753.93176207733654</v>
      </c>
      <c r="AY83" s="88">
        <f>$E83*IF(AY$2&gt;Inputs!$D$5,0,IF(AY$2&gt;VLOOKUP($H83,Lists!$P$3:$Q$7,2),IF($N83=Lists!$K$3,IF($L83&lt;1,(($U83/$L83)*((1+Inputs!$D$7)^AY$2)),((INT(AY$2/$L83)-INT((AY$2-1)/$L83))*$U83*((1+Inputs!$D$7)^AY$2))),(_xlfn.WEIBULL.DIST(AY$2,$M83,$L83,FALSE)*$U83*((1+Inputs!$D$7)^AY$2))),IF($N83=Lists!$K$3,IF($L83&lt;1,((($T83*(1-$F83)+$S83*(1-$G83))/$L83)*((1+Inputs!$D$7)^AY$2)),((INT(AY$2/$L83)-INT((AY$2-1)/$L83))*($T83*(1-$F83)+$S83*(1-$G83))*((1+Inputs!$D$7)^AY$2))),((_xlfn.WEIBULL.DIST(AY$2,$M83,$L83,FALSE)*($T83*(1-$F83)+$S83*(1-$G83))*((1+Inputs!$D$7)^AY$2))))))</f>
        <v>769.01039731888329</v>
      </c>
      <c r="AZ83" s="88">
        <f>$E83*IF(AZ$2&gt;Inputs!$D$5,0,IF(AZ$2&gt;VLOOKUP($H83,Lists!$P$3:$Q$7,2),IF($N83=Lists!$K$3,IF($L83&lt;1,(($U83/$L83)*((1+Inputs!$D$7)^AZ$2)),((INT(AZ$2/$L83)-INT((AZ$2-1)/$L83))*$U83*((1+Inputs!$D$7)^AZ$2))),(_xlfn.WEIBULL.DIST(AZ$2,$M83,$L83,FALSE)*$U83*((1+Inputs!$D$7)^AZ$2))),IF($N83=Lists!$K$3,IF($L83&lt;1,((($T83*(1-$F83)+$S83*(1-$G83))/$L83)*((1+Inputs!$D$7)^AZ$2)),((INT(AZ$2/$L83)-INT((AZ$2-1)/$L83))*($T83*(1-$F83)+$S83*(1-$G83))*((1+Inputs!$D$7)^AZ$2))),((_xlfn.WEIBULL.DIST(AZ$2,$M83,$L83,FALSE)*($T83*(1-$F83)+$S83*(1-$G83))*((1+Inputs!$D$7)^AZ$2))))))</f>
        <v>0</v>
      </c>
      <c r="BA83" s="88">
        <f>$E83*IF(BA$2&gt;Inputs!$D$5,0,IF(BA$2&gt;VLOOKUP($H83,Lists!$P$3:$Q$7,2),IF($N83=Lists!$K$3,IF($L83&lt;1,(($U83/$L83)*((1+Inputs!$D$7)^BA$2)),((INT(BA$2/$L83)-INT((BA$2-1)/$L83))*$U83*((1+Inputs!$D$7)^BA$2))),(_xlfn.WEIBULL.DIST(BA$2,$M83,$L83,FALSE)*$U83*((1+Inputs!$D$7)^BA$2))),IF($N83=Lists!$K$3,IF($L83&lt;1,((($T83*(1-$F83)+$S83*(1-$G83))/$L83)*((1+Inputs!$D$7)^BA$2)),((INT(BA$2/$L83)-INT((BA$2-1)/$L83))*($T83*(1-$F83)+$S83*(1-$G83))*((1+Inputs!$D$7)^BA$2))),((_xlfn.WEIBULL.DIST(BA$2,$M83,$L83,FALSE)*($T83*(1-$F83)+$S83*(1-$G83))*((1+Inputs!$D$7)^BA$2))))))</f>
        <v>0</v>
      </c>
      <c r="BB83" s="88">
        <f>$E83*IF(BB$2&gt;Inputs!$D$5,0,IF(BB$2&gt;VLOOKUP($H83,Lists!$P$3:$Q$7,2),IF($N83=Lists!$K$3,IF($L83&lt;1,(($U83/$L83)*((1+Inputs!$D$7)^BB$2)),((INT(BB$2/$L83)-INT((BB$2-1)/$L83))*$U83*((1+Inputs!$D$7)^BB$2))),(_xlfn.WEIBULL.DIST(BB$2,$M83,$L83,FALSE)*$U83*((1+Inputs!$D$7)^BB$2))),IF($N83=Lists!$K$3,IF($L83&lt;1,((($T83*(1-$F83)+$S83*(1-$G83))/$L83)*((1+Inputs!$D$7)^BB$2)),((INT(BB$2/$L83)-INT((BB$2-1)/$L83))*($T83*(1-$F83)+$S83*(1-$G83))*((1+Inputs!$D$7)^BB$2))),((_xlfn.WEIBULL.DIST(BB$2,$M83,$L83,FALSE)*($T83*(1-$F83)+$S83*(1-$G83))*((1+Inputs!$D$7)^BB$2))))))</f>
        <v>0</v>
      </c>
      <c r="BC83" s="88">
        <f>$E83*IF(BC$2&gt;Inputs!$D$5,0,IF(BC$2&gt;VLOOKUP($H83,Lists!$P$3:$Q$7,2),IF($N83=Lists!$K$3,IF($L83&lt;1,(($U83/$L83)*((1+Inputs!$D$7)^BC$2)),((INT(BC$2/$L83)-INT((BC$2-1)/$L83))*$U83*((1+Inputs!$D$7)^BC$2))),(_xlfn.WEIBULL.DIST(BC$2,$M83,$L83,FALSE)*$U83*((1+Inputs!$D$7)^BC$2))),IF($N83=Lists!$K$3,IF($L83&lt;1,((($T83*(1-$F83)+$S83*(1-$G83))/$L83)*((1+Inputs!$D$7)^BC$2)),((INT(BC$2/$L83)-INT((BC$2-1)/$L83))*($T83*(1-$F83)+$S83*(1-$G83))*((1+Inputs!$D$7)^BC$2))),((_xlfn.WEIBULL.DIST(BC$2,$M83,$L83,FALSE)*($T83*(1-$F83)+$S83*(1-$G83))*((1+Inputs!$D$7)^BC$2))))))</f>
        <v>0</v>
      </c>
      <c r="BD83" s="88">
        <f>$E83*IF(BD$2&gt;Inputs!$D$5,0,IF(BD$2&gt;VLOOKUP($H83,Lists!$P$3:$Q$7,2),IF($N83=Lists!$K$3,IF($L83&lt;1,(($U83/$L83)*((1+Inputs!$D$7)^BD$2)),((INT(BD$2/$L83)-INT((BD$2-1)/$L83))*$U83*((1+Inputs!$D$7)^BD$2))),(_xlfn.WEIBULL.DIST(BD$2,$M83,$L83,FALSE)*$U83*((1+Inputs!$D$7)^BD$2))),IF($N83=Lists!$K$3,IF($L83&lt;1,((($T83*(1-$F83)+$S83*(1-$G83))/$L83)*((1+Inputs!$D$7)^BD$2)),((INT(BD$2/$L83)-INT((BD$2-1)/$L83))*($T83*(1-$F83)+$S83*(1-$G83))*((1+Inputs!$D$7)^BD$2))),((_xlfn.WEIBULL.DIST(BD$2,$M83,$L83,FALSE)*($T83*(1-$F83)+$S83*(1-$G83))*((1+Inputs!$D$7)^BD$2))))))</f>
        <v>0</v>
      </c>
      <c r="BE83" s="88">
        <f>$E83*IF(BE$2&gt;Inputs!$D$5,0,IF(BE$2&gt;VLOOKUP($H83,Lists!$P$3:$Q$7,2),IF($N83=Lists!$K$3,IF($L83&lt;1,(($U83/$L83)*((1+Inputs!$D$7)^BE$2)),((INT(BE$2/$L83)-INT((BE$2-1)/$L83))*$U83*((1+Inputs!$D$7)^BE$2))),(_xlfn.WEIBULL.DIST(BE$2,$M83,$L83,FALSE)*$U83*((1+Inputs!$D$7)^BE$2))),IF($N83=Lists!$K$3,IF($L83&lt;1,((($T83*(1-$F83)+$S83*(1-$G83))/$L83)*((1+Inputs!$D$7)^BE$2)),((INT(BE$2/$L83)-INT((BE$2-1)/$L83))*($T83*(1-$F83)+$S83*(1-$G83))*((1+Inputs!$D$7)^BE$2))),((_xlfn.WEIBULL.DIST(BE$2,$M83,$L83,FALSE)*($T83*(1-$F83)+$S83*(1-$G83))*((1+Inputs!$D$7)^BE$2))))))</f>
        <v>0</v>
      </c>
      <c r="BF83" s="88">
        <f>$E83*IF(BF$2&gt;Inputs!$D$5,0,IF(BF$2&gt;VLOOKUP($H83,Lists!$P$3:$Q$7,2),IF($N83=Lists!$K$3,IF($L83&lt;1,(($U83/$L83)*((1+Inputs!$D$7)^BF$2)),((INT(BF$2/$L83)-INT((BF$2-1)/$L83))*$U83*((1+Inputs!$D$7)^BF$2))),(_xlfn.WEIBULL.DIST(BF$2,$M83,$L83,FALSE)*$U83*((1+Inputs!$D$7)^BF$2))),IF($N83=Lists!$K$3,IF($L83&lt;1,((($T83*(1-$F83)+$S83*(1-$G83))/$L83)*((1+Inputs!$D$7)^BF$2)),((INT(BF$2/$L83)-INT((BF$2-1)/$L83))*($T83*(1-$F83)+$S83*(1-$G83))*((1+Inputs!$D$7)^BF$2))),((_xlfn.WEIBULL.DIST(BF$2,$M83,$L83,FALSE)*($T83*(1-$F83)+$S83*(1-$G83))*((1+Inputs!$D$7)^BF$2))))))</f>
        <v>0</v>
      </c>
      <c r="BG83" s="88">
        <f>$E83*IF(BG$2&gt;Inputs!$D$5,0,IF(BG$2&gt;VLOOKUP($H83,Lists!$P$3:$Q$7,2),IF($N83=Lists!$K$3,IF($L83&lt;1,(($U83/$L83)*((1+Inputs!$D$7)^BG$2)),((INT(BG$2/$L83)-INT((BG$2-1)/$L83))*$U83*((1+Inputs!$D$7)^BG$2))),(_xlfn.WEIBULL.DIST(BG$2,$M83,$L83,FALSE)*$U83*((1+Inputs!$D$7)^BG$2))),IF($N83=Lists!$K$3,IF($L83&lt;1,((($T83*(1-$F83)+$S83*(1-$G83))/$L83)*((1+Inputs!$D$7)^BG$2)),((INT(BG$2/$L83)-INT((BG$2-1)/$L83))*($T83*(1-$F83)+$S83*(1-$G83))*((1+Inputs!$D$7)^BG$2))),((_xlfn.WEIBULL.DIST(BG$2,$M83,$L83,FALSE)*($T83*(1-$F83)+$S83*(1-$G83))*((1+Inputs!$D$7)^BG$2))))))</f>
        <v>0</v>
      </c>
      <c r="BH83" s="88">
        <f>$E83*IF(BH$2&gt;Inputs!$D$5,0,IF(BH$2&gt;VLOOKUP($H83,Lists!$P$3:$Q$7,2),IF($N83=Lists!$K$3,IF($L83&lt;1,(($U83/$L83)*((1+Inputs!$D$7)^BH$2)),((INT(BH$2/$L83)-INT((BH$2-1)/$L83))*$U83*((1+Inputs!$D$7)^BH$2))),(_xlfn.WEIBULL.DIST(BH$2,$M83,$L83,FALSE)*$U83*((1+Inputs!$D$7)^BH$2))),IF($N83=Lists!$K$3,IF($L83&lt;1,((($T83*(1-$F83)+$S83*(1-$G83))/$L83)*((1+Inputs!$D$7)^BH$2)),((INT(BH$2/$L83)-INT((BH$2-1)/$L83))*($T83*(1-$F83)+$S83*(1-$G83))*((1+Inputs!$D$7)^BH$2))),((_xlfn.WEIBULL.DIST(BH$2,$M83,$L83,FALSE)*($T83*(1-$F83)+$S83*(1-$G83))*((1+Inputs!$D$7)^BH$2))))))</f>
        <v>0</v>
      </c>
      <c r="BI83" s="88">
        <f>$E83*IF(BI$2&gt;Inputs!$D$5,0,IF(BI$2&gt;VLOOKUP($H83,Lists!$P$3:$Q$7,2),IF($N83=Lists!$K$3,IF($L83&lt;1,(($U83/$L83)*((1+Inputs!$D$7)^BI$2)),((INT(BI$2/$L83)-INT((BI$2-1)/$L83))*$U83*((1+Inputs!$D$7)^BI$2))),(_xlfn.WEIBULL.DIST(BI$2,$M83,$L83,FALSE)*$U83*((1+Inputs!$D$7)^BI$2))),IF($N83=Lists!$K$3,IF($L83&lt;1,((($T83*(1-$F83)+$S83*(1-$G83))/$L83)*((1+Inputs!$D$7)^BI$2)),((INT(BI$2/$L83)-INT((BI$2-1)/$L83))*($T83*(1-$F83)+$S83*(1-$G83))*((1+Inputs!$D$7)^BI$2))),((_xlfn.WEIBULL.DIST(BI$2,$M83,$L83,FALSE)*($T83*(1-$F83)+$S83*(1-$G83))*((1+Inputs!$D$7)^BI$2))))))</f>
        <v>0</v>
      </c>
      <c r="BJ83" s="88">
        <f>$E83*IF(BJ$2&gt;Inputs!$D$5,0,IF(BJ$2&gt;VLOOKUP($H83,Lists!$P$3:$Q$7,2),IF($N83=Lists!$K$3,IF($L83&lt;1,(($U83/$L83)*((1+Inputs!$D$7)^BJ$2)),((INT(BJ$2/$L83)-INT((BJ$2-1)/$L83))*$U83*((1+Inputs!$D$7)^BJ$2))),(_xlfn.WEIBULL.DIST(BJ$2,$M83,$L83,FALSE)*$U83*((1+Inputs!$D$7)^BJ$2))),IF($N83=Lists!$K$3,IF($L83&lt;1,((($T83*(1-$F83)+$S83*(1-$G83))/$L83)*((1+Inputs!$D$7)^BJ$2)),((INT(BJ$2/$L83)-INT((BJ$2-1)/$L83))*($T83*(1-$F83)+$S83*(1-$G83))*((1+Inputs!$D$7)^BJ$2))),((_xlfn.WEIBULL.DIST(BJ$2,$M83,$L83,FALSE)*($T83*(1-$F83)+$S83*(1-$G83))*((1+Inputs!$D$7)^BJ$2))))))</f>
        <v>0</v>
      </c>
      <c r="BK83" s="88">
        <f>$E83*IF(BK$2&gt;Inputs!$D$5,0,IF(BK$2&gt;VLOOKUP($H83,Lists!$P$3:$Q$7,2),IF($N83=Lists!$K$3,IF($L83&lt;1,(($U83/$L83)*((1+Inputs!$D$7)^BK$2)),((INT(BK$2/$L83)-INT((BK$2-1)/$L83))*$U83*((1+Inputs!$D$7)^BK$2))),(_xlfn.WEIBULL.DIST(BK$2,$M83,$L83,FALSE)*$U83*((1+Inputs!$D$7)^BK$2))),IF($N83=Lists!$K$3,IF($L83&lt;1,((($T83*(1-$F83)+$S83*(1-$G83))/$L83)*((1+Inputs!$D$7)^BK$2)),((INT(BK$2/$L83)-INT((BK$2-1)/$L83))*($T83*(1-$F83)+$S83*(1-$G83))*((1+Inputs!$D$7)^BK$2))),((_xlfn.WEIBULL.DIST(BK$2,$M83,$L83,FALSE)*($T83*(1-$F83)+$S83*(1-$G83))*((1+Inputs!$D$7)^BK$2))))))</f>
        <v>0</v>
      </c>
      <c r="BL83" s="88">
        <f>$E83*IF(BL$2&gt;Inputs!$D$5,0,IF(BL$2&gt;VLOOKUP($H83,Lists!$P$3:$Q$7,2),IF($N83=Lists!$K$3,IF($L83&lt;1,(($U83/$L83)*((1+Inputs!$D$7)^BL$2)),((INT(BL$2/$L83)-INT((BL$2-1)/$L83))*$U83*((1+Inputs!$D$7)^BL$2))),(_xlfn.WEIBULL.DIST(BL$2,$M83,$L83,FALSE)*$U83*((1+Inputs!$D$7)^BL$2))),IF($N83=Lists!$K$3,IF($L83&lt;1,((($T83*(1-$F83)+$S83*(1-$G83))/$L83)*((1+Inputs!$D$7)^BL$2)),((INT(BL$2/$L83)-INT((BL$2-1)/$L83))*($T83*(1-$F83)+$S83*(1-$G83))*((1+Inputs!$D$7)^BL$2))),((_xlfn.WEIBULL.DIST(BL$2,$M83,$L83,FALSE)*($T83*(1-$F83)+$S83*(1-$G83))*((1+Inputs!$D$7)^BL$2))))))</f>
        <v>0</v>
      </c>
      <c r="BM83" s="88">
        <f>$E83*IF(BM$2&gt;Inputs!$D$5,0,IF(BM$2&gt;VLOOKUP($H83,Lists!$P$3:$Q$7,2),IF($N83=Lists!$K$3,IF($L83&lt;1,(($U83/$L83)*((1+Inputs!$D$7)^BM$2)),((INT(BM$2/$L83)-INT((BM$2-1)/$L83))*$U83*((1+Inputs!$D$7)^BM$2))),(_xlfn.WEIBULL.DIST(BM$2,$M83,$L83,FALSE)*$U83*((1+Inputs!$D$7)^BM$2))),IF($N83=Lists!$K$3,IF($L83&lt;1,((($T83*(1-$F83)+$S83*(1-$G83))/$L83)*((1+Inputs!$D$7)^BM$2)),((INT(BM$2/$L83)-INT((BM$2-1)/$L83))*($T83*(1-$F83)+$S83*(1-$G83))*((1+Inputs!$D$7)^BM$2))),((_xlfn.WEIBULL.DIST(BM$2,$M83,$L83,FALSE)*($T83*(1-$F83)+$S83*(1-$G83))*((1+Inputs!$D$7)^BM$2))))))</f>
        <v>0</v>
      </c>
      <c r="BN83" s="88">
        <f>$E83*IF(BN$2&gt;Inputs!$D$5,0,IF(BN$2&gt;VLOOKUP($H83,Lists!$P$3:$Q$7,2),IF($N83=Lists!$K$3,IF($L83&lt;1,(($U83/$L83)*((1+Inputs!$D$7)^BN$2)),((INT(BN$2/$L83)-INT((BN$2-1)/$L83))*$U83*((1+Inputs!$D$7)^BN$2))),(_xlfn.WEIBULL.DIST(BN$2,$M83,$L83,FALSE)*$U83*((1+Inputs!$D$7)^BN$2))),IF($N83=Lists!$K$3,IF($L83&lt;1,((($T83*(1-$F83)+$S83*(1-$G83))/$L83)*((1+Inputs!$D$7)^BN$2)),((INT(BN$2/$L83)-INT((BN$2-1)/$L83))*($T83*(1-$F83)+$S83*(1-$G83))*((1+Inputs!$D$7)^BN$2))),((_xlfn.WEIBULL.DIST(BN$2,$M83,$L83,FALSE)*($T83*(1-$F83)+$S83*(1-$G83))*((1+Inputs!$D$7)^BN$2))))))</f>
        <v>0</v>
      </c>
      <c r="BO83" s="64">
        <f>NPV(Inputs!$D$6,BQ83:DD83)</f>
        <v>6671.7392917048428</v>
      </c>
      <c r="BP83" s="67">
        <f t="shared" si="20"/>
        <v>3.1467179690033054E-3</v>
      </c>
      <c r="BQ83" s="88">
        <f>MAX(AA83,($E83*IF(BQ$2&gt;Inputs!$D$5,0,IF(BQ$2&gt;VLOOKUP($H83,Lists!$P$3:$Q$7,2),IF($N83=Lists!$K$3,IF($L83&lt;1,(($U83/$L83)*((1+Inputs!$D$7)^BQ$2)),((INT(BQ$2/$L83)-INT((BQ$2-1)/$L83))*$U83*((1+Inputs!$D$7)^BQ$2))),(Inputs!$D$8^((1-_xlfn.WEIBULL.DIST(BQ$2,$M83,$L83,FALSE))/_xlfn.WEIBULL.DIST(BQ$2,$M83,$L83,FALSE))*$U83*((1+Inputs!$D$7)^BQ$2))),IF($N83=Lists!$K$3,IF($L83&lt;1,((($T83*(1-$F83)+$S83*(1-$G83))/$L83)*((1+Inputs!$D$7)^BQ$2)),((INT(BQ$2/$L83)-INT((BQ$2-1)/$L83))*($T83*(1-$F83)+$S83*(1-$G83))*((1+Inputs!$D$7)^BQ$2))),((Inputs!$D$8^((1-_xlfn.WEIBULL.DIST(BQ$2,$M83,$L83,FALSE))/_xlfn.WEIBULL.DIST(BQ$2,$M83,$L83,FALSE))*($T83*(1-$F83)+$S83*(1-$G83))*((1+Inputs!$D$7)^BQ$2))))))))</f>
        <v>478.11028846153846</v>
      </c>
      <c r="BR83" s="88">
        <f>MAX(AB83,($E83*IF(BR$2&gt;Inputs!$D$5,0,IF(BR$2&gt;VLOOKUP($H83,Lists!$P$3:$Q$7,2),IF($N83=Lists!$K$3,IF($L83&lt;1,(($U83/$L83)*((1+Inputs!$D$7)^BR$2)),((INT(BR$2/$L83)-INT((BR$2-1)/$L83))*$U83*((1+Inputs!$D$7)^BR$2))),(Inputs!$D$8^((1-_xlfn.WEIBULL.DIST(BR$2,$M83,$L83,FALSE))/_xlfn.WEIBULL.DIST(BR$2,$M83,$L83,FALSE))*$U83*((1+Inputs!$D$7)^BR$2))),IF($N83=Lists!$K$3,IF($L83&lt;1,((($T83*(1-$F83)+$S83*(1-$G83))/$L83)*((1+Inputs!$D$7)^BR$2)),((INT(BR$2/$L83)-INT((BR$2-1)/$L83))*($T83*(1-$F83)+$S83*(1-$G83))*((1+Inputs!$D$7)^BR$2))),((Inputs!$D$8^((1-_xlfn.WEIBULL.DIST(BR$2,$M83,$L83,FALSE))/_xlfn.WEIBULL.DIST(BR$2,$M83,$L83,FALSE))*($T83*(1-$F83)+$S83*(1-$G83))*((1+Inputs!$D$7)^BR$2))))))))</f>
        <v>487.67249423076919</v>
      </c>
      <c r="BS83" s="88">
        <f>MAX(AC83,($E83*IF(BS$2&gt;Inputs!$D$5,0,IF(BS$2&gt;VLOOKUP($H83,Lists!$P$3:$Q$7,2),IF($N83=Lists!$K$3,IF($L83&lt;1,(($U83/$L83)*((1+Inputs!$D$7)^BS$2)),((INT(BS$2/$L83)-INT((BS$2-1)/$L83))*$U83*((1+Inputs!$D$7)^BS$2))),(Inputs!$D$8^((1-_xlfn.WEIBULL.DIST(BS$2,$M83,$L83,FALSE))/_xlfn.WEIBULL.DIST(BS$2,$M83,$L83,FALSE))*$U83*((1+Inputs!$D$7)^BS$2))),IF($N83=Lists!$K$3,IF($L83&lt;1,((($T83*(1-$F83)+$S83*(1-$G83))/$L83)*((1+Inputs!$D$7)^BS$2)),((INT(BS$2/$L83)-INT((BS$2-1)/$L83))*($T83*(1-$F83)+$S83*(1-$G83))*((1+Inputs!$D$7)^BS$2))),((Inputs!$D$8^((1-_xlfn.WEIBULL.DIST(BS$2,$M83,$L83,FALSE))/_xlfn.WEIBULL.DIST(BS$2,$M83,$L83,FALSE))*($T83*(1-$F83)+$S83*(1-$G83))*((1+Inputs!$D$7)^BS$2))))))))</f>
        <v>497.42594411538454</v>
      </c>
      <c r="BT83" s="88">
        <f>MAX(AD83,($E83*IF(BT$2&gt;Inputs!$D$5,0,IF(BT$2&gt;VLOOKUP($H83,Lists!$P$3:$Q$7,2),IF($N83=Lists!$K$3,IF($L83&lt;1,(($U83/$L83)*((1+Inputs!$D$7)^BT$2)),((INT(BT$2/$L83)-INT((BT$2-1)/$L83))*$U83*((1+Inputs!$D$7)^BT$2))),(Inputs!$D$8^((1-_xlfn.WEIBULL.DIST(BT$2,$M83,$L83,FALSE))/_xlfn.WEIBULL.DIST(BT$2,$M83,$L83,FALSE))*$U83*((1+Inputs!$D$7)^BT$2))),IF($N83=Lists!$K$3,IF($L83&lt;1,((($T83*(1-$F83)+$S83*(1-$G83))/$L83)*((1+Inputs!$D$7)^BT$2)),((INT(BT$2/$L83)-INT((BT$2-1)/$L83))*($T83*(1-$F83)+$S83*(1-$G83))*((1+Inputs!$D$7)^BT$2))),((Inputs!$D$8^((1-_xlfn.WEIBULL.DIST(BT$2,$M83,$L83,FALSE))/_xlfn.WEIBULL.DIST(BT$2,$M83,$L83,FALSE))*($T83*(1-$F83)+$S83*(1-$G83))*((1+Inputs!$D$7)^BT$2))))))))</f>
        <v>507.37446299769226</v>
      </c>
      <c r="BU83" s="88">
        <f>MAX(AE83,($E83*IF(BU$2&gt;Inputs!$D$5,0,IF(BU$2&gt;VLOOKUP($H83,Lists!$P$3:$Q$7,2),IF($N83=Lists!$K$3,IF($L83&lt;1,(($U83/$L83)*((1+Inputs!$D$7)^BU$2)),((INT(BU$2/$L83)-INT((BU$2-1)/$L83))*$U83*((1+Inputs!$D$7)^BU$2))),(Inputs!$D$8^((1-_xlfn.WEIBULL.DIST(BU$2,$M83,$L83,FALSE))/_xlfn.WEIBULL.DIST(BU$2,$M83,$L83,FALSE))*$U83*((1+Inputs!$D$7)^BU$2))),IF($N83=Lists!$K$3,IF($L83&lt;1,((($T83*(1-$F83)+$S83*(1-$G83))/$L83)*((1+Inputs!$D$7)^BU$2)),((INT(BU$2/$L83)-INT((BU$2-1)/$L83))*($T83*(1-$F83)+$S83*(1-$G83))*((1+Inputs!$D$7)^BU$2))),((Inputs!$D$8^((1-_xlfn.WEIBULL.DIST(BU$2,$M83,$L83,FALSE))/_xlfn.WEIBULL.DIST(BU$2,$M83,$L83,FALSE))*($T83*(1-$F83)+$S83*(1-$G83))*((1+Inputs!$D$7)^BU$2))))))))</f>
        <v>517.52195225764615</v>
      </c>
      <c r="BV83" s="88">
        <f>MAX(AF83,($E83*IF(BV$2&gt;Inputs!$D$5,0,IF(BV$2&gt;VLOOKUP($H83,Lists!$P$3:$Q$7,2),IF($N83=Lists!$K$3,IF($L83&lt;1,(($U83/$L83)*((1+Inputs!$D$7)^BV$2)),((INT(BV$2/$L83)-INT((BV$2-1)/$L83))*$U83*((1+Inputs!$D$7)^BV$2))),(Inputs!$D$8^((1-_xlfn.WEIBULL.DIST(BV$2,$M83,$L83,FALSE))/_xlfn.WEIBULL.DIST(BV$2,$M83,$L83,FALSE))*$U83*((1+Inputs!$D$7)^BV$2))),IF($N83=Lists!$K$3,IF($L83&lt;1,((($T83*(1-$F83)+$S83*(1-$G83))/$L83)*((1+Inputs!$D$7)^BV$2)),((INT(BV$2/$L83)-INT((BV$2-1)/$L83))*($T83*(1-$F83)+$S83*(1-$G83))*((1+Inputs!$D$7)^BV$2))),((Inputs!$D$8^((1-_xlfn.WEIBULL.DIST(BV$2,$M83,$L83,FALSE))/_xlfn.WEIBULL.DIST(BV$2,$M83,$L83,FALSE))*($T83*(1-$F83)+$S83*(1-$G83))*((1+Inputs!$D$7)^BV$2))))))))</f>
        <v>527.87239130279909</v>
      </c>
      <c r="BW83" s="88">
        <f>MAX(AG83,($E83*IF(BW$2&gt;Inputs!$D$5,0,IF(BW$2&gt;VLOOKUP($H83,Lists!$P$3:$Q$7,2),IF($N83=Lists!$K$3,IF($L83&lt;1,(($U83/$L83)*((1+Inputs!$D$7)^BW$2)),((INT(BW$2/$L83)-INT((BW$2-1)/$L83))*$U83*((1+Inputs!$D$7)^BW$2))),(Inputs!$D$8^((1-_xlfn.WEIBULL.DIST(BW$2,$M83,$L83,FALSE))/_xlfn.WEIBULL.DIST(BW$2,$M83,$L83,FALSE))*$U83*((1+Inputs!$D$7)^BW$2))),IF($N83=Lists!$K$3,IF($L83&lt;1,((($T83*(1-$F83)+$S83*(1-$G83))/$L83)*((1+Inputs!$D$7)^BW$2)),((INT(BW$2/$L83)-INT((BW$2-1)/$L83))*($T83*(1-$F83)+$S83*(1-$G83))*((1+Inputs!$D$7)^BW$2))),((Inputs!$D$8^((1-_xlfn.WEIBULL.DIST(BW$2,$M83,$L83,FALSE))/_xlfn.WEIBULL.DIST(BW$2,$M83,$L83,FALSE))*($T83*(1-$F83)+$S83*(1-$G83))*((1+Inputs!$D$7)^BW$2))))))))</f>
        <v>538.42983912885495</v>
      </c>
      <c r="BX83" s="88">
        <f>MAX(AH83,($E83*IF(BX$2&gt;Inputs!$D$5,0,IF(BX$2&gt;VLOOKUP($H83,Lists!$P$3:$Q$7,2),IF($N83=Lists!$K$3,IF($L83&lt;1,(($U83/$L83)*((1+Inputs!$D$7)^BX$2)),((INT(BX$2/$L83)-INT((BX$2-1)/$L83))*$U83*((1+Inputs!$D$7)^BX$2))),(Inputs!$D$8^((1-_xlfn.WEIBULL.DIST(BX$2,$M83,$L83,FALSE))/_xlfn.WEIBULL.DIST(BX$2,$M83,$L83,FALSE))*$U83*((1+Inputs!$D$7)^BX$2))),IF($N83=Lists!$K$3,IF($L83&lt;1,((($T83*(1-$F83)+$S83*(1-$G83))/$L83)*((1+Inputs!$D$7)^BX$2)),((INT(BX$2/$L83)-INT((BX$2-1)/$L83))*($T83*(1-$F83)+$S83*(1-$G83))*((1+Inputs!$D$7)^BX$2))),((Inputs!$D$8^((1-_xlfn.WEIBULL.DIST(BX$2,$M83,$L83,FALSE))/_xlfn.WEIBULL.DIST(BX$2,$M83,$L83,FALSE))*($T83*(1-$F83)+$S83*(1-$G83))*((1+Inputs!$D$7)^BX$2))))))))</f>
        <v>549.19843591143206</v>
      </c>
      <c r="BY83" s="88">
        <f>MAX(AI83,($E83*IF(BY$2&gt;Inputs!$D$5,0,IF(BY$2&gt;VLOOKUP($H83,Lists!$P$3:$Q$7,2),IF($N83=Lists!$K$3,IF($L83&lt;1,(($U83/$L83)*((1+Inputs!$D$7)^BY$2)),((INT(BY$2/$L83)-INT((BY$2-1)/$L83))*$U83*((1+Inputs!$D$7)^BY$2))),(Inputs!$D$8^((1-_xlfn.WEIBULL.DIST(BY$2,$M83,$L83,FALSE))/_xlfn.WEIBULL.DIST(BY$2,$M83,$L83,FALSE))*$U83*((1+Inputs!$D$7)^BY$2))),IF($N83=Lists!$K$3,IF($L83&lt;1,((($T83*(1-$F83)+$S83*(1-$G83))/$L83)*((1+Inputs!$D$7)^BY$2)),((INT(BY$2/$L83)-INT((BY$2-1)/$L83))*($T83*(1-$F83)+$S83*(1-$G83))*((1+Inputs!$D$7)^BY$2))),((Inputs!$D$8^((1-_xlfn.WEIBULL.DIST(BY$2,$M83,$L83,FALSE))/_xlfn.WEIBULL.DIST(BY$2,$M83,$L83,FALSE))*($T83*(1-$F83)+$S83*(1-$G83))*((1+Inputs!$D$7)^BY$2))))))))</f>
        <v>560.18240462966071</v>
      </c>
      <c r="BZ83" s="88">
        <f>MAX(AJ83,($E83*IF(BZ$2&gt;Inputs!$D$5,0,IF(BZ$2&gt;VLOOKUP($H83,Lists!$P$3:$Q$7,2),IF($N83=Lists!$K$3,IF($L83&lt;1,(($U83/$L83)*((1+Inputs!$D$7)^BZ$2)),((INT(BZ$2/$L83)-INT((BZ$2-1)/$L83))*$U83*((1+Inputs!$D$7)^BZ$2))),(Inputs!$D$8^((1-_xlfn.WEIBULL.DIST(BZ$2,$M83,$L83,FALSE))/_xlfn.WEIBULL.DIST(BZ$2,$M83,$L83,FALSE))*$U83*((1+Inputs!$D$7)^BZ$2))),IF($N83=Lists!$K$3,IF($L83&lt;1,((($T83*(1-$F83)+$S83*(1-$G83))/$L83)*((1+Inputs!$D$7)^BZ$2)),((INT(BZ$2/$L83)-INT((BZ$2-1)/$L83))*($T83*(1-$F83)+$S83*(1-$G83))*((1+Inputs!$D$7)^BZ$2))),((Inputs!$D$8^((1-_xlfn.WEIBULL.DIST(BZ$2,$M83,$L83,FALSE))/_xlfn.WEIBULL.DIST(BZ$2,$M83,$L83,FALSE))*($T83*(1-$F83)+$S83*(1-$G83))*((1+Inputs!$D$7)^BZ$2))))))))</f>
        <v>571.38605272225402</v>
      </c>
      <c r="CA83" s="88">
        <f>MAX(AK83,($E83*IF(CA$2&gt;Inputs!$D$5,0,IF(CA$2&gt;VLOOKUP($H83,Lists!$P$3:$Q$7,2),IF($N83=Lists!$K$3,IF($L83&lt;1,(($U83/$L83)*((1+Inputs!$D$7)^CA$2)),((INT(CA$2/$L83)-INT((CA$2-1)/$L83))*$U83*((1+Inputs!$D$7)^CA$2))),(Inputs!$D$8^((1-_xlfn.WEIBULL.DIST(CA$2,$M83,$L83,FALSE))/_xlfn.WEIBULL.DIST(CA$2,$M83,$L83,FALSE))*$U83*((1+Inputs!$D$7)^CA$2))),IF($N83=Lists!$K$3,IF($L83&lt;1,((($T83*(1-$F83)+$S83*(1-$G83))/$L83)*((1+Inputs!$D$7)^CA$2)),((INT(CA$2/$L83)-INT((CA$2-1)/$L83))*($T83*(1-$F83)+$S83*(1-$G83))*((1+Inputs!$D$7)^CA$2))),((Inputs!$D$8^((1-_xlfn.WEIBULL.DIST(CA$2,$M83,$L83,FALSE))/_xlfn.WEIBULL.DIST(CA$2,$M83,$L83,FALSE))*($T83*(1-$F83)+$S83*(1-$G83))*((1+Inputs!$D$7)^CA$2))))))))</f>
        <v>582.81377377669901</v>
      </c>
      <c r="CB83" s="88">
        <f>MAX(AL83,($E83*IF(CB$2&gt;Inputs!$D$5,0,IF(CB$2&gt;VLOOKUP($H83,Lists!$P$3:$Q$7,2),IF($N83=Lists!$K$3,IF($L83&lt;1,(($U83/$L83)*((1+Inputs!$D$7)^CB$2)),((INT(CB$2/$L83)-INT((CB$2-1)/$L83))*$U83*((1+Inputs!$D$7)^CB$2))),(Inputs!$D$8^((1-_xlfn.WEIBULL.DIST(CB$2,$M83,$L83,FALSE))/_xlfn.WEIBULL.DIST(CB$2,$M83,$L83,FALSE))*$U83*((1+Inputs!$D$7)^CB$2))),IF($N83=Lists!$K$3,IF($L83&lt;1,((($T83*(1-$F83)+$S83*(1-$G83))/$L83)*((1+Inputs!$D$7)^CB$2)),((INT(CB$2/$L83)-INT((CB$2-1)/$L83))*($T83*(1-$F83)+$S83*(1-$G83))*((1+Inputs!$D$7)^CB$2))),((Inputs!$D$8^((1-_xlfn.WEIBULL.DIST(CB$2,$M83,$L83,FALSE))/_xlfn.WEIBULL.DIST(CB$2,$M83,$L83,FALSE))*($T83*(1-$F83)+$S83*(1-$G83))*((1+Inputs!$D$7)^CB$2))))))))</f>
        <v>594.47004925223303</v>
      </c>
      <c r="CC83" s="88">
        <f>MAX(AM83,($E83*IF(CC$2&gt;Inputs!$D$5,0,IF(CC$2&gt;VLOOKUP($H83,Lists!$P$3:$Q$7,2),IF($N83=Lists!$K$3,IF($L83&lt;1,(($U83/$L83)*((1+Inputs!$D$7)^CC$2)),((INT(CC$2/$L83)-INT((CC$2-1)/$L83))*$U83*((1+Inputs!$D$7)^CC$2))),(Inputs!$D$8^((1-_xlfn.WEIBULL.DIST(CC$2,$M83,$L83,FALSE))/_xlfn.WEIBULL.DIST(CC$2,$M83,$L83,FALSE))*$U83*((1+Inputs!$D$7)^CC$2))),IF($N83=Lists!$K$3,IF($L83&lt;1,((($T83*(1-$F83)+$S83*(1-$G83))/$L83)*((1+Inputs!$D$7)^CC$2)),((INT(CC$2/$L83)-INT((CC$2-1)/$L83))*($T83*(1-$F83)+$S83*(1-$G83))*((1+Inputs!$D$7)^CC$2))),((Inputs!$D$8^((1-_xlfn.WEIBULL.DIST(CC$2,$M83,$L83,FALSE))/_xlfn.WEIBULL.DIST(CC$2,$M83,$L83,FALSE))*($T83*(1-$F83)+$S83*(1-$G83))*((1+Inputs!$D$7)^CC$2))))))))</f>
        <v>606.35945023727766</v>
      </c>
      <c r="CD83" s="88">
        <f>MAX(AN83,($E83*IF(CD$2&gt;Inputs!$D$5,0,IF(CD$2&gt;VLOOKUP($H83,Lists!$P$3:$Q$7,2),IF($N83=Lists!$K$3,IF($L83&lt;1,(($U83/$L83)*((1+Inputs!$D$7)^CD$2)),((INT(CD$2/$L83)-INT((CD$2-1)/$L83))*$U83*((1+Inputs!$D$7)^CD$2))),(Inputs!$D$8^((1-_xlfn.WEIBULL.DIST(CD$2,$M83,$L83,FALSE))/_xlfn.WEIBULL.DIST(CD$2,$M83,$L83,FALSE))*$U83*((1+Inputs!$D$7)^CD$2))),IF($N83=Lists!$K$3,IF($L83&lt;1,((($T83*(1-$F83)+$S83*(1-$G83))/$L83)*((1+Inputs!$D$7)^CD$2)),((INT(CD$2/$L83)-INT((CD$2-1)/$L83))*($T83*(1-$F83)+$S83*(1-$G83))*((1+Inputs!$D$7)^CD$2))),((Inputs!$D$8^((1-_xlfn.WEIBULL.DIST(CD$2,$M83,$L83,FALSE))/_xlfn.WEIBULL.DIST(CD$2,$M83,$L83,FALSE))*($T83*(1-$F83)+$S83*(1-$G83))*((1+Inputs!$D$7)^CD$2))))))))</f>
        <v>618.48663924202333</v>
      </c>
      <c r="CE83" s="88">
        <f>MAX(AO83,($E83*IF(CE$2&gt;Inputs!$D$5,0,IF(CE$2&gt;VLOOKUP($H83,Lists!$P$3:$Q$7,2),IF($N83=Lists!$K$3,IF($L83&lt;1,(($U83/$L83)*((1+Inputs!$D$7)^CE$2)),((INT(CE$2/$L83)-INT((CE$2-1)/$L83))*$U83*((1+Inputs!$D$7)^CE$2))),(Inputs!$D$8^((1-_xlfn.WEIBULL.DIST(CE$2,$M83,$L83,FALSE))/_xlfn.WEIBULL.DIST(CE$2,$M83,$L83,FALSE))*$U83*((1+Inputs!$D$7)^CE$2))),IF($N83=Lists!$K$3,IF($L83&lt;1,((($T83*(1-$F83)+$S83*(1-$G83))/$L83)*((1+Inputs!$D$7)^CE$2)),((INT(CE$2/$L83)-INT((CE$2-1)/$L83))*($T83*(1-$F83)+$S83*(1-$G83))*((1+Inputs!$D$7)^CE$2))),((Inputs!$D$8^((1-_xlfn.WEIBULL.DIST(CE$2,$M83,$L83,FALSE))/_xlfn.WEIBULL.DIST(CE$2,$M83,$L83,FALSE))*($T83*(1-$F83)+$S83*(1-$G83))*((1+Inputs!$D$7)^CE$2))))))))</f>
        <v>630.8563720268636</v>
      </c>
      <c r="CF83" s="88">
        <f>MAX(AP83,($E83*IF(CF$2&gt;Inputs!$D$5,0,IF(CF$2&gt;VLOOKUP($H83,Lists!$P$3:$Q$7,2),IF($N83=Lists!$K$3,IF($L83&lt;1,(($U83/$L83)*((1+Inputs!$D$7)^CF$2)),((INT(CF$2/$L83)-INT((CF$2-1)/$L83))*$U83*((1+Inputs!$D$7)^CF$2))),(Inputs!$D$8^((1-_xlfn.WEIBULL.DIST(CF$2,$M83,$L83,FALSE))/_xlfn.WEIBULL.DIST(CF$2,$M83,$L83,FALSE))*$U83*((1+Inputs!$D$7)^CF$2))),IF($N83=Lists!$K$3,IF($L83&lt;1,((($T83*(1-$F83)+$S83*(1-$G83))/$L83)*((1+Inputs!$D$7)^CF$2)),((INT(CF$2/$L83)-INT((CF$2-1)/$L83))*($T83*(1-$F83)+$S83*(1-$G83))*((1+Inputs!$D$7)^CF$2))),((Inputs!$D$8^((1-_xlfn.WEIBULL.DIST(CF$2,$M83,$L83,FALSE))/_xlfn.WEIBULL.DIST(CF$2,$M83,$L83,FALSE))*($T83*(1-$F83)+$S83*(1-$G83))*((1+Inputs!$D$7)^CF$2))))))))</f>
        <v>643.47349946740098</v>
      </c>
      <c r="CG83" s="88">
        <f>MAX(AQ83,($E83*IF(CG$2&gt;Inputs!$D$5,0,IF(CG$2&gt;VLOOKUP($H83,Lists!$P$3:$Q$7,2),IF($N83=Lists!$K$3,IF($L83&lt;1,(($U83/$L83)*((1+Inputs!$D$7)^CG$2)),((INT(CG$2/$L83)-INT((CG$2-1)/$L83))*$U83*((1+Inputs!$D$7)^CG$2))),(Inputs!$D$8^((1-_xlfn.WEIBULL.DIST(CG$2,$M83,$L83,FALSE))/_xlfn.WEIBULL.DIST(CG$2,$M83,$L83,FALSE))*$U83*((1+Inputs!$D$7)^CG$2))),IF($N83=Lists!$K$3,IF($L83&lt;1,((($T83*(1-$F83)+$S83*(1-$G83))/$L83)*((1+Inputs!$D$7)^CG$2)),((INT(CG$2/$L83)-INT((CG$2-1)/$L83))*($T83*(1-$F83)+$S83*(1-$G83))*((1+Inputs!$D$7)^CG$2))),((Inputs!$D$8^((1-_xlfn.WEIBULL.DIST(CG$2,$M83,$L83,FALSE))/_xlfn.WEIBULL.DIST(CG$2,$M83,$L83,FALSE))*($T83*(1-$F83)+$S83*(1-$G83))*((1+Inputs!$D$7)^CG$2))))))))</f>
        <v>656.34296945674907</v>
      </c>
      <c r="CH83" s="88">
        <f>MAX(AR83,($E83*IF(CH$2&gt;Inputs!$D$5,0,IF(CH$2&gt;VLOOKUP($H83,Lists!$P$3:$Q$7,2),IF($N83=Lists!$K$3,IF($L83&lt;1,(($U83/$L83)*((1+Inputs!$D$7)^CH$2)),((INT(CH$2/$L83)-INT((CH$2-1)/$L83))*$U83*((1+Inputs!$D$7)^CH$2))),(Inputs!$D$8^((1-_xlfn.WEIBULL.DIST(CH$2,$M83,$L83,FALSE))/_xlfn.WEIBULL.DIST(CH$2,$M83,$L83,FALSE))*$U83*((1+Inputs!$D$7)^CH$2))),IF($N83=Lists!$K$3,IF($L83&lt;1,((($T83*(1-$F83)+$S83*(1-$G83))/$L83)*((1+Inputs!$D$7)^CH$2)),((INT(CH$2/$L83)-INT((CH$2-1)/$L83))*($T83*(1-$F83)+$S83*(1-$G83))*((1+Inputs!$D$7)^CH$2))),((Inputs!$D$8^((1-_xlfn.WEIBULL.DIST(CH$2,$M83,$L83,FALSE))/_xlfn.WEIBULL.DIST(CH$2,$M83,$L83,FALSE))*($T83*(1-$F83)+$S83*(1-$G83))*((1+Inputs!$D$7)^CH$2))))))))</f>
        <v>669.46982884588397</v>
      </c>
      <c r="CI83" s="88">
        <f>MAX(AS83,($E83*IF(CI$2&gt;Inputs!$D$5,0,IF(CI$2&gt;VLOOKUP($H83,Lists!$P$3:$Q$7,2),IF($N83=Lists!$K$3,IF($L83&lt;1,(($U83/$L83)*((1+Inputs!$D$7)^CI$2)),((INT(CI$2/$L83)-INT((CI$2-1)/$L83))*$U83*((1+Inputs!$D$7)^CI$2))),(Inputs!$D$8^((1-_xlfn.WEIBULL.DIST(CI$2,$M83,$L83,FALSE))/_xlfn.WEIBULL.DIST(CI$2,$M83,$L83,FALSE))*$U83*((1+Inputs!$D$7)^CI$2))),IF($N83=Lists!$K$3,IF($L83&lt;1,((($T83*(1-$F83)+$S83*(1-$G83))/$L83)*((1+Inputs!$D$7)^CI$2)),((INT(CI$2/$L83)-INT((CI$2-1)/$L83))*($T83*(1-$F83)+$S83*(1-$G83))*((1+Inputs!$D$7)^CI$2))),((Inputs!$D$8^((1-_xlfn.WEIBULL.DIST(CI$2,$M83,$L83,FALSE))/_xlfn.WEIBULL.DIST(CI$2,$M83,$L83,FALSE))*($T83*(1-$F83)+$S83*(1-$G83))*((1+Inputs!$D$7)^CI$2))))))))</f>
        <v>682.85922542280161</v>
      </c>
      <c r="CJ83" s="88">
        <f>MAX(AT83,($E83*IF(CJ$2&gt;Inputs!$D$5,0,IF(CJ$2&gt;VLOOKUP($H83,Lists!$P$3:$Q$7,2),IF($N83=Lists!$K$3,IF($L83&lt;1,(($U83/$L83)*((1+Inputs!$D$7)^CJ$2)),((INT(CJ$2/$L83)-INT((CJ$2-1)/$L83))*$U83*((1+Inputs!$D$7)^CJ$2))),(Inputs!$D$8^((1-_xlfn.WEIBULL.DIST(CJ$2,$M83,$L83,FALSE))/_xlfn.WEIBULL.DIST(CJ$2,$M83,$L83,FALSE))*$U83*((1+Inputs!$D$7)^CJ$2))),IF($N83=Lists!$K$3,IF($L83&lt;1,((($T83*(1-$F83)+$S83*(1-$G83))/$L83)*((1+Inputs!$D$7)^CJ$2)),((INT(CJ$2/$L83)-INT((CJ$2-1)/$L83))*($T83*(1-$F83)+$S83*(1-$G83))*((1+Inputs!$D$7)^CJ$2))),((Inputs!$D$8^((1-_xlfn.WEIBULL.DIST(CJ$2,$M83,$L83,FALSE))/_xlfn.WEIBULL.DIST(CJ$2,$M83,$L83,FALSE))*($T83*(1-$F83)+$S83*(1-$G83))*((1+Inputs!$D$7)^CJ$2))))))))</f>
        <v>696.51640993125773</v>
      </c>
      <c r="CK83" s="88">
        <f>MAX(AU83,($E83*IF(CK$2&gt;Inputs!$D$5,0,IF(CK$2&gt;VLOOKUP($H83,Lists!$P$3:$Q$7,2),IF($N83=Lists!$K$3,IF($L83&lt;1,(($U83/$L83)*((1+Inputs!$D$7)^CK$2)),((INT(CK$2/$L83)-INT((CK$2-1)/$L83))*$U83*((1+Inputs!$D$7)^CK$2))),(Inputs!$D$8^((1-_xlfn.WEIBULL.DIST(CK$2,$M83,$L83,FALSE))/_xlfn.WEIBULL.DIST(CK$2,$M83,$L83,FALSE))*$U83*((1+Inputs!$D$7)^CK$2))),IF($N83=Lists!$K$3,IF($L83&lt;1,((($T83*(1-$F83)+$S83*(1-$G83))/$L83)*((1+Inputs!$D$7)^CK$2)),((INT(CK$2/$L83)-INT((CK$2-1)/$L83))*($T83*(1-$F83)+$S83*(1-$G83))*((1+Inputs!$D$7)^CK$2))),((Inputs!$D$8^((1-_xlfn.WEIBULL.DIST(CK$2,$M83,$L83,FALSE))/_xlfn.WEIBULL.DIST(CK$2,$M83,$L83,FALSE))*($T83*(1-$F83)+$S83*(1-$G83))*((1+Inputs!$D$7)^CK$2))))))))</f>
        <v>710.44673812988276</v>
      </c>
      <c r="CL83" s="88">
        <f>MAX(AV83,($E83*IF(CL$2&gt;Inputs!$D$5,0,IF(CL$2&gt;VLOOKUP($H83,Lists!$P$3:$Q$7,2),IF($N83=Lists!$K$3,IF($L83&lt;1,(($U83/$L83)*((1+Inputs!$D$7)^CL$2)),((INT(CL$2/$L83)-INT((CL$2-1)/$L83))*$U83*((1+Inputs!$D$7)^CL$2))),(Inputs!$D$8^((1-_xlfn.WEIBULL.DIST(CL$2,$M83,$L83,FALSE))/_xlfn.WEIBULL.DIST(CL$2,$M83,$L83,FALSE))*$U83*((1+Inputs!$D$7)^CL$2))),IF($N83=Lists!$K$3,IF($L83&lt;1,((($T83*(1-$F83)+$S83*(1-$G83))/$L83)*((1+Inputs!$D$7)^CL$2)),((INT(CL$2/$L83)-INT((CL$2-1)/$L83))*($T83*(1-$F83)+$S83*(1-$G83))*((1+Inputs!$D$7)^CL$2))),((Inputs!$D$8^((1-_xlfn.WEIBULL.DIST(CL$2,$M83,$L83,FALSE))/_xlfn.WEIBULL.DIST(CL$2,$M83,$L83,FALSE))*($T83*(1-$F83)+$S83*(1-$G83))*((1+Inputs!$D$7)^CL$2))))))))</f>
        <v>724.65567289248042</v>
      </c>
      <c r="CM83" s="88">
        <f>MAX(AW83,($E83*IF(CM$2&gt;Inputs!$D$5,0,IF(CM$2&gt;VLOOKUP($H83,Lists!$P$3:$Q$7,2),IF($N83=Lists!$K$3,IF($L83&lt;1,(($U83/$L83)*((1+Inputs!$D$7)^CM$2)),((INT(CM$2/$L83)-INT((CM$2-1)/$L83))*$U83*((1+Inputs!$D$7)^CM$2))),(Inputs!$D$8^((1-_xlfn.WEIBULL.DIST(CM$2,$M83,$L83,FALSE))/_xlfn.WEIBULL.DIST(CM$2,$M83,$L83,FALSE))*$U83*((1+Inputs!$D$7)^CM$2))),IF($N83=Lists!$K$3,IF($L83&lt;1,((($T83*(1-$F83)+$S83*(1-$G83))/$L83)*((1+Inputs!$D$7)^CM$2)),((INT(CM$2/$L83)-INT((CM$2-1)/$L83))*($T83*(1-$F83)+$S83*(1-$G83))*((1+Inputs!$D$7)^CM$2))),((Inputs!$D$8^((1-_xlfn.WEIBULL.DIST(CM$2,$M83,$L83,FALSE))/_xlfn.WEIBULL.DIST(CM$2,$M83,$L83,FALSE))*($T83*(1-$F83)+$S83*(1-$G83))*((1+Inputs!$D$7)^CM$2))))))))</f>
        <v>739.14878635032994</v>
      </c>
      <c r="CN83" s="88">
        <f>MAX(AX83,($E83*IF(CN$2&gt;Inputs!$D$5,0,IF(CN$2&gt;VLOOKUP($H83,Lists!$P$3:$Q$7,2),IF($N83=Lists!$K$3,IF($L83&lt;1,(($U83/$L83)*((1+Inputs!$D$7)^CN$2)),((INT(CN$2/$L83)-INT((CN$2-1)/$L83))*$U83*((1+Inputs!$D$7)^CN$2))),(Inputs!$D$8^((1-_xlfn.WEIBULL.DIST(CN$2,$M83,$L83,FALSE))/_xlfn.WEIBULL.DIST(CN$2,$M83,$L83,FALSE))*$U83*((1+Inputs!$D$7)^CN$2))),IF($N83=Lists!$K$3,IF($L83&lt;1,((($T83*(1-$F83)+$S83*(1-$G83))/$L83)*((1+Inputs!$D$7)^CN$2)),((INT(CN$2/$L83)-INT((CN$2-1)/$L83))*($T83*(1-$F83)+$S83*(1-$G83))*((1+Inputs!$D$7)^CN$2))),((Inputs!$D$8^((1-_xlfn.WEIBULL.DIST(CN$2,$M83,$L83,FALSE))/_xlfn.WEIBULL.DIST(CN$2,$M83,$L83,FALSE))*($T83*(1-$F83)+$S83*(1-$G83))*((1+Inputs!$D$7)^CN$2))))))))</f>
        <v>753.93176207733654</v>
      </c>
      <c r="CO83" s="88">
        <f>MAX(AY83,($E83*IF(CO$2&gt;Inputs!$D$5,0,IF(CO$2&gt;VLOOKUP($H83,Lists!$P$3:$Q$7,2),IF($N83=Lists!$K$3,IF($L83&lt;1,(($U83/$L83)*((1+Inputs!$D$7)^CO$2)),((INT(CO$2/$L83)-INT((CO$2-1)/$L83))*$U83*((1+Inputs!$D$7)^CO$2))),(Inputs!$D$8^((1-_xlfn.WEIBULL.DIST(CO$2,$M83,$L83,FALSE))/_xlfn.WEIBULL.DIST(CO$2,$M83,$L83,FALSE))*$U83*((1+Inputs!$D$7)^CO$2))),IF($N83=Lists!$K$3,IF($L83&lt;1,((($T83*(1-$F83)+$S83*(1-$G83))/$L83)*((1+Inputs!$D$7)^CO$2)),((INT(CO$2/$L83)-INT((CO$2-1)/$L83))*($T83*(1-$F83)+$S83*(1-$G83))*((1+Inputs!$D$7)^CO$2))),((Inputs!$D$8^((1-_xlfn.WEIBULL.DIST(CO$2,$M83,$L83,FALSE))/_xlfn.WEIBULL.DIST(CO$2,$M83,$L83,FALSE))*($T83*(1-$F83)+$S83*(1-$G83))*((1+Inputs!$D$7)^CO$2))))))))</f>
        <v>769.01039731888329</v>
      </c>
      <c r="CP83" s="88">
        <f>MAX(AZ83,($E83*IF(CP$2&gt;Inputs!$D$5,0,IF(CP$2&gt;VLOOKUP($H83,Lists!$P$3:$Q$7,2),IF($N83=Lists!$K$3,IF($L83&lt;1,(($U83/$L83)*((1+Inputs!$D$7)^CP$2)),((INT(CP$2/$L83)-INT((CP$2-1)/$L83))*$U83*((1+Inputs!$D$7)^CP$2))),(Inputs!$D$8^((1-_xlfn.WEIBULL.DIST(CP$2,$M83,$L83,FALSE))/_xlfn.WEIBULL.DIST(CP$2,$M83,$L83,FALSE))*$U83*((1+Inputs!$D$7)^CP$2))),IF($N83=Lists!$K$3,IF($L83&lt;1,((($T83*(1-$F83)+$S83*(1-$G83))/$L83)*((1+Inputs!$D$7)^CP$2)),((INT(CP$2/$L83)-INT((CP$2-1)/$L83))*($T83*(1-$F83)+$S83*(1-$G83))*((1+Inputs!$D$7)^CP$2))),((Inputs!$D$8^((1-_xlfn.WEIBULL.DIST(CP$2,$M83,$L83,FALSE))/_xlfn.WEIBULL.DIST(CP$2,$M83,$L83,FALSE))*($T83*(1-$F83)+$S83*(1-$G83))*((1+Inputs!$D$7)^CP$2))))))))</f>
        <v>0</v>
      </c>
      <c r="CQ83" s="88">
        <f>MAX(BA83,($E83*IF(CQ$2&gt;Inputs!$D$5,0,IF(CQ$2&gt;VLOOKUP($H83,Lists!$P$3:$Q$7,2),IF($N83=Lists!$K$3,IF($L83&lt;1,(($U83/$L83)*((1+Inputs!$D$7)^CQ$2)),((INT(CQ$2/$L83)-INT((CQ$2-1)/$L83))*$U83*((1+Inputs!$D$7)^CQ$2))),(Inputs!$D$8^((1-_xlfn.WEIBULL.DIST(CQ$2,$M83,$L83,FALSE))/_xlfn.WEIBULL.DIST(CQ$2,$M83,$L83,FALSE))*$U83*((1+Inputs!$D$7)^CQ$2))),IF($N83=Lists!$K$3,IF($L83&lt;1,((($T83*(1-$F83)+$S83*(1-$G83))/$L83)*((1+Inputs!$D$7)^CQ$2)),((INT(CQ$2/$L83)-INT((CQ$2-1)/$L83))*($T83*(1-$F83)+$S83*(1-$G83))*((1+Inputs!$D$7)^CQ$2))),((Inputs!$D$8^((1-_xlfn.WEIBULL.DIST(CQ$2,$M83,$L83,FALSE))/_xlfn.WEIBULL.DIST(CQ$2,$M83,$L83,FALSE))*($T83*(1-$F83)+$S83*(1-$G83))*((1+Inputs!$D$7)^CQ$2))))))))</f>
        <v>0</v>
      </c>
      <c r="CR83" s="88">
        <f>MAX(BB83,($E83*IF(CR$2&gt;Inputs!$D$5,0,IF(CR$2&gt;VLOOKUP($H83,Lists!$P$3:$Q$7,2),IF($N83=Lists!$K$3,IF($L83&lt;1,(($U83/$L83)*((1+Inputs!$D$7)^CR$2)),((INT(CR$2/$L83)-INT((CR$2-1)/$L83))*$U83*((1+Inputs!$D$7)^CR$2))),(Inputs!$D$8^((1-_xlfn.WEIBULL.DIST(CR$2,$M83,$L83,FALSE))/_xlfn.WEIBULL.DIST(CR$2,$M83,$L83,FALSE))*$U83*((1+Inputs!$D$7)^CR$2))),IF($N83=Lists!$K$3,IF($L83&lt;1,((($T83*(1-$F83)+$S83*(1-$G83))/$L83)*((1+Inputs!$D$7)^CR$2)),((INT(CR$2/$L83)-INT((CR$2-1)/$L83))*($T83*(1-$F83)+$S83*(1-$G83))*((1+Inputs!$D$7)^CR$2))),((Inputs!$D$8^((1-_xlfn.WEIBULL.DIST(CR$2,$M83,$L83,FALSE))/_xlfn.WEIBULL.DIST(CR$2,$M83,$L83,FALSE))*($T83*(1-$F83)+$S83*(1-$G83))*((1+Inputs!$D$7)^CR$2))))))))</f>
        <v>0</v>
      </c>
      <c r="CS83" s="88">
        <f>MAX(BC83,($E83*IF(CS$2&gt;Inputs!$D$5,0,IF(CS$2&gt;VLOOKUP($H83,Lists!$P$3:$Q$7,2),IF($N83=Lists!$K$3,IF($L83&lt;1,(($U83/$L83)*((1+Inputs!$D$7)^CS$2)),((INT(CS$2/$L83)-INT((CS$2-1)/$L83))*$U83*((1+Inputs!$D$7)^CS$2))),(Inputs!$D$8^((1-_xlfn.WEIBULL.DIST(CS$2,$M83,$L83,FALSE))/_xlfn.WEIBULL.DIST(CS$2,$M83,$L83,FALSE))*$U83*((1+Inputs!$D$7)^CS$2))),IF($N83=Lists!$K$3,IF($L83&lt;1,((($T83*(1-$F83)+$S83*(1-$G83))/$L83)*((1+Inputs!$D$7)^CS$2)),((INT(CS$2/$L83)-INT((CS$2-1)/$L83))*($T83*(1-$F83)+$S83*(1-$G83))*((1+Inputs!$D$7)^CS$2))),((Inputs!$D$8^((1-_xlfn.WEIBULL.DIST(CS$2,$M83,$L83,FALSE))/_xlfn.WEIBULL.DIST(CS$2,$M83,$L83,FALSE))*($T83*(1-$F83)+$S83*(1-$G83))*((1+Inputs!$D$7)^CS$2))))))))</f>
        <v>0</v>
      </c>
      <c r="CT83" s="88">
        <f>MAX(BD83,($E83*IF(CT$2&gt;Inputs!$D$5,0,IF(CT$2&gt;VLOOKUP($H83,Lists!$P$3:$Q$7,2),IF($N83=Lists!$K$3,IF($L83&lt;1,(($U83/$L83)*((1+Inputs!$D$7)^CT$2)),((INT(CT$2/$L83)-INT((CT$2-1)/$L83))*$U83*((1+Inputs!$D$7)^CT$2))),(Inputs!$D$8^((1-_xlfn.WEIBULL.DIST(CT$2,$M83,$L83,FALSE))/_xlfn.WEIBULL.DIST(CT$2,$M83,$L83,FALSE))*$U83*((1+Inputs!$D$7)^CT$2))),IF($N83=Lists!$K$3,IF($L83&lt;1,((($T83*(1-$F83)+$S83*(1-$G83))/$L83)*((1+Inputs!$D$7)^CT$2)),((INT(CT$2/$L83)-INT((CT$2-1)/$L83))*($T83*(1-$F83)+$S83*(1-$G83))*((1+Inputs!$D$7)^CT$2))),((Inputs!$D$8^((1-_xlfn.WEIBULL.DIST(CT$2,$M83,$L83,FALSE))/_xlfn.WEIBULL.DIST(CT$2,$M83,$L83,FALSE))*($T83*(1-$F83)+$S83*(1-$G83))*((1+Inputs!$D$7)^CT$2))))))))</f>
        <v>0</v>
      </c>
      <c r="CU83" s="88">
        <f>MAX(BE83,($E83*IF(CU$2&gt;Inputs!$D$5,0,IF(CU$2&gt;VLOOKUP($H83,Lists!$P$3:$Q$7,2),IF($N83=Lists!$K$3,IF($L83&lt;1,(($U83/$L83)*((1+Inputs!$D$7)^CU$2)),((INT(CU$2/$L83)-INT((CU$2-1)/$L83))*$U83*((1+Inputs!$D$7)^CU$2))),(Inputs!$D$8^((1-_xlfn.WEIBULL.DIST(CU$2,$M83,$L83,FALSE))/_xlfn.WEIBULL.DIST(CU$2,$M83,$L83,FALSE))*$U83*((1+Inputs!$D$7)^CU$2))),IF($N83=Lists!$K$3,IF($L83&lt;1,((($T83*(1-$F83)+$S83*(1-$G83))/$L83)*((1+Inputs!$D$7)^CU$2)),((INT(CU$2/$L83)-INT((CU$2-1)/$L83))*($T83*(1-$F83)+$S83*(1-$G83))*((1+Inputs!$D$7)^CU$2))),((Inputs!$D$8^((1-_xlfn.WEIBULL.DIST(CU$2,$M83,$L83,FALSE))/_xlfn.WEIBULL.DIST(CU$2,$M83,$L83,FALSE))*($T83*(1-$F83)+$S83*(1-$G83))*((1+Inputs!$D$7)^CU$2))))))))</f>
        <v>0</v>
      </c>
      <c r="CV83" s="88">
        <f>MAX(BF83,($E83*IF(CV$2&gt;Inputs!$D$5,0,IF(CV$2&gt;VLOOKUP($H83,Lists!$P$3:$Q$7,2),IF($N83=Lists!$K$3,IF($L83&lt;1,(($U83/$L83)*((1+Inputs!$D$7)^CV$2)),((INT(CV$2/$L83)-INT((CV$2-1)/$L83))*$U83*((1+Inputs!$D$7)^CV$2))),(Inputs!$D$8^((1-_xlfn.WEIBULL.DIST(CV$2,$M83,$L83,FALSE))/_xlfn.WEIBULL.DIST(CV$2,$M83,$L83,FALSE))*$U83*((1+Inputs!$D$7)^CV$2))),IF($N83=Lists!$K$3,IF($L83&lt;1,((($T83*(1-$F83)+$S83*(1-$G83))/$L83)*((1+Inputs!$D$7)^CV$2)),((INT(CV$2/$L83)-INT((CV$2-1)/$L83))*($T83*(1-$F83)+$S83*(1-$G83))*((1+Inputs!$D$7)^CV$2))),((Inputs!$D$8^((1-_xlfn.WEIBULL.DIST(CV$2,$M83,$L83,FALSE))/_xlfn.WEIBULL.DIST(CV$2,$M83,$L83,FALSE))*($T83*(1-$F83)+$S83*(1-$G83))*((1+Inputs!$D$7)^CV$2))))))))</f>
        <v>0</v>
      </c>
      <c r="CW83" s="88">
        <f>MAX(BG83,($E83*IF(CW$2&gt;Inputs!$D$5,0,IF(CW$2&gt;VLOOKUP($H83,Lists!$P$3:$Q$7,2),IF($N83=Lists!$K$3,IF($L83&lt;1,(($U83/$L83)*((1+Inputs!$D$7)^CW$2)),((INT(CW$2/$L83)-INT((CW$2-1)/$L83))*$U83*((1+Inputs!$D$7)^CW$2))),(Inputs!$D$8^((1-_xlfn.WEIBULL.DIST(CW$2,$M83,$L83,FALSE))/_xlfn.WEIBULL.DIST(CW$2,$M83,$L83,FALSE))*$U83*((1+Inputs!$D$7)^CW$2))),IF($N83=Lists!$K$3,IF($L83&lt;1,((($T83*(1-$F83)+$S83*(1-$G83))/$L83)*((1+Inputs!$D$7)^CW$2)),((INT(CW$2/$L83)-INT((CW$2-1)/$L83))*($T83*(1-$F83)+$S83*(1-$G83))*((1+Inputs!$D$7)^CW$2))),((Inputs!$D$8^((1-_xlfn.WEIBULL.DIST(CW$2,$M83,$L83,FALSE))/_xlfn.WEIBULL.DIST(CW$2,$M83,$L83,FALSE))*($T83*(1-$F83)+$S83*(1-$G83))*((1+Inputs!$D$7)^CW$2))))))))</f>
        <v>0</v>
      </c>
      <c r="CX83" s="88">
        <f>MAX(BH83,($E83*IF(CX$2&gt;Inputs!$D$5,0,IF(CX$2&gt;VLOOKUP($H83,Lists!$P$3:$Q$7,2),IF($N83=Lists!$K$3,IF($L83&lt;1,(($U83/$L83)*((1+Inputs!$D$7)^CX$2)),((INT(CX$2/$L83)-INT((CX$2-1)/$L83))*$U83*((1+Inputs!$D$7)^CX$2))),(Inputs!$D$8^((1-_xlfn.WEIBULL.DIST(CX$2,$M83,$L83,FALSE))/_xlfn.WEIBULL.DIST(CX$2,$M83,$L83,FALSE))*$U83*((1+Inputs!$D$7)^CX$2))),IF($N83=Lists!$K$3,IF($L83&lt;1,((($T83*(1-$F83)+$S83*(1-$G83))/$L83)*((1+Inputs!$D$7)^CX$2)),((INT(CX$2/$L83)-INT((CX$2-1)/$L83))*($T83*(1-$F83)+$S83*(1-$G83))*((1+Inputs!$D$7)^CX$2))),((Inputs!$D$8^((1-_xlfn.WEIBULL.DIST(CX$2,$M83,$L83,FALSE))/_xlfn.WEIBULL.DIST(CX$2,$M83,$L83,FALSE))*($T83*(1-$F83)+$S83*(1-$G83))*((1+Inputs!$D$7)^CX$2))))))))</f>
        <v>0</v>
      </c>
      <c r="CY83" s="88">
        <f>MAX(BI83,($E83*IF(CY$2&gt;Inputs!$D$5,0,IF(CY$2&gt;VLOOKUP($H83,Lists!$P$3:$Q$7,2),IF($N83=Lists!$K$3,IF($L83&lt;1,(($U83/$L83)*((1+Inputs!$D$7)^CY$2)),((INT(CY$2/$L83)-INT((CY$2-1)/$L83))*$U83*((1+Inputs!$D$7)^CY$2))),(Inputs!$D$8^((1-_xlfn.WEIBULL.DIST(CY$2,$M83,$L83,FALSE))/_xlfn.WEIBULL.DIST(CY$2,$M83,$L83,FALSE))*$U83*((1+Inputs!$D$7)^CY$2))),IF($N83=Lists!$K$3,IF($L83&lt;1,((($T83*(1-$F83)+$S83*(1-$G83))/$L83)*((1+Inputs!$D$7)^CY$2)),((INT(CY$2/$L83)-INT((CY$2-1)/$L83))*($T83*(1-$F83)+$S83*(1-$G83))*((1+Inputs!$D$7)^CY$2))),((Inputs!$D$8^((1-_xlfn.WEIBULL.DIST(CY$2,$M83,$L83,FALSE))/_xlfn.WEIBULL.DIST(CY$2,$M83,$L83,FALSE))*($T83*(1-$F83)+$S83*(1-$G83))*((1+Inputs!$D$7)^CY$2))))))))</f>
        <v>0</v>
      </c>
      <c r="CZ83" s="88">
        <f>MAX(BJ83,($E83*IF(CZ$2&gt;Inputs!$D$5,0,IF(CZ$2&gt;VLOOKUP($H83,Lists!$P$3:$Q$7,2),IF($N83=Lists!$K$3,IF($L83&lt;1,(($U83/$L83)*((1+Inputs!$D$7)^CZ$2)),((INT(CZ$2/$L83)-INT((CZ$2-1)/$L83))*$U83*((1+Inputs!$D$7)^CZ$2))),(Inputs!$D$8^((1-_xlfn.WEIBULL.DIST(CZ$2,$M83,$L83,FALSE))/_xlfn.WEIBULL.DIST(CZ$2,$M83,$L83,FALSE))*$U83*((1+Inputs!$D$7)^CZ$2))),IF($N83=Lists!$K$3,IF($L83&lt;1,((($T83*(1-$F83)+$S83*(1-$G83))/$L83)*((1+Inputs!$D$7)^CZ$2)),((INT(CZ$2/$L83)-INT((CZ$2-1)/$L83))*($T83*(1-$F83)+$S83*(1-$G83))*((1+Inputs!$D$7)^CZ$2))),((Inputs!$D$8^((1-_xlfn.WEIBULL.DIST(CZ$2,$M83,$L83,FALSE))/_xlfn.WEIBULL.DIST(CZ$2,$M83,$L83,FALSE))*($T83*(1-$F83)+$S83*(1-$G83))*((1+Inputs!$D$7)^CZ$2))))))))</f>
        <v>0</v>
      </c>
      <c r="DA83" s="88">
        <f>MAX(BK83,($E83*IF(DA$2&gt;Inputs!$D$5,0,IF(DA$2&gt;VLOOKUP($H83,Lists!$P$3:$Q$7,2),IF($N83=Lists!$K$3,IF($L83&lt;1,(($U83/$L83)*((1+Inputs!$D$7)^DA$2)),((INT(DA$2/$L83)-INT((DA$2-1)/$L83))*$U83*((1+Inputs!$D$7)^DA$2))),(Inputs!$D$8^((1-_xlfn.WEIBULL.DIST(DA$2,$M83,$L83,FALSE))/_xlfn.WEIBULL.DIST(DA$2,$M83,$L83,FALSE))*$U83*((1+Inputs!$D$7)^DA$2))),IF($N83=Lists!$K$3,IF($L83&lt;1,((($T83*(1-$F83)+$S83*(1-$G83))/$L83)*((1+Inputs!$D$7)^DA$2)),((INT(DA$2/$L83)-INT((DA$2-1)/$L83))*($T83*(1-$F83)+$S83*(1-$G83))*((1+Inputs!$D$7)^DA$2))),((Inputs!$D$8^((1-_xlfn.WEIBULL.DIST(DA$2,$M83,$L83,FALSE))/_xlfn.WEIBULL.DIST(DA$2,$M83,$L83,FALSE))*($T83*(1-$F83)+$S83*(1-$G83))*((1+Inputs!$D$7)^DA$2))))))))</f>
        <v>0</v>
      </c>
      <c r="DB83" s="88">
        <f>MAX(BL83,($E83*IF(DB$2&gt;Inputs!$D$5,0,IF(DB$2&gt;VLOOKUP($H83,Lists!$P$3:$Q$7,2),IF($N83=Lists!$K$3,IF($L83&lt;1,(($U83/$L83)*((1+Inputs!$D$7)^DB$2)),((INT(DB$2/$L83)-INT((DB$2-1)/$L83))*$U83*((1+Inputs!$D$7)^DB$2))),(Inputs!$D$8^((1-_xlfn.WEIBULL.DIST(DB$2,$M83,$L83,FALSE))/_xlfn.WEIBULL.DIST(DB$2,$M83,$L83,FALSE))*$U83*((1+Inputs!$D$7)^DB$2))),IF($N83=Lists!$K$3,IF($L83&lt;1,((($T83*(1-$F83)+$S83*(1-$G83))/$L83)*((1+Inputs!$D$7)^DB$2)),((INT(DB$2/$L83)-INT((DB$2-1)/$L83))*($T83*(1-$F83)+$S83*(1-$G83))*((1+Inputs!$D$7)^DB$2))),((Inputs!$D$8^((1-_xlfn.WEIBULL.DIST(DB$2,$M83,$L83,FALSE))/_xlfn.WEIBULL.DIST(DB$2,$M83,$L83,FALSE))*($T83*(1-$F83)+$S83*(1-$G83))*((1+Inputs!$D$7)^DB$2))))))))</f>
        <v>0</v>
      </c>
      <c r="DC83" s="88">
        <f>MAX(BM83,($E83*IF(DC$2&gt;Inputs!$D$5,0,IF(DC$2&gt;VLOOKUP($H83,Lists!$P$3:$Q$7,2),IF($N83=Lists!$K$3,IF($L83&lt;1,(($U83/$L83)*((1+Inputs!$D$7)^DC$2)),((INT(DC$2/$L83)-INT((DC$2-1)/$L83))*$U83*((1+Inputs!$D$7)^DC$2))),(Inputs!$D$8^((1-_xlfn.WEIBULL.DIST(DC$2,$M83,$L83,FALSE))/_xlfn.WEIBULL.DIST(DC$2,$M83,$L83,FALSE))*$U83*((1+Inputs!$D$7)^DC$2))),IF($N83=Lists!$K$3,IF($L83&lt;1,((($T83*(1-$F83)+$S83*(1-$G83))/$L83)*((1+Inputs!$D$7)^DC$2)),((INT(DC$2/$L83)-INT((DC$2-1)/$L83))*($T83*(1-$F83)+$S83*(1-$G83))*((1+Inputs!$D$7)^DC$2))),((Inputs!$D$8^((1-_xlfn.WEIBULL.DIST(DC$2,$M83,$L83,FALSE))/_xlfn.WEIBULL.DIST(DC$2,$M83,$L83,FALSE))*($T83*(1-$F83)+$S83*(1-$G83))*((1+Inputs!$D$7)^DC$2))))))))</f>
        <v>0</v>
      </c>
      <c r="DD83" s="88">
        <f>MAX(BN83,($E83*IF(DD$2&gt;Inputs!$D$5,0,IF(DD$2&gt;VLOOKUP($H83,Lists!$P$3:$Q$7,2),IF($N83=Lists!$K$3,IF($L83&lt;1,(($U83/$L83)*((1+Inputs!$D$7)^DD$2)),((INT(DD$2/$L83)-INT((DD$2-1)/$L83))*$U83*((1+Inputs!$D$7)^DD$2))),(Inputs!$D$8^((1-_xlfn.WEIBULL.DIST(DD$2,$M83,$L83,FALSE))/_xlfn.WEIBULL.DIST(DD$2,$M83,$L83,FALSE))*$U83*((1+Inputs!$D$7)^DD$2))),IF($N83=Lists!$K$3,IF($L83&lt;1,((($T83*(1-$F83)+$S83*(1-$G83))/$L83)*((1+Inputs!$D$7)^DD$2)),((INT(DD$2/$L83)-INT((DD$2-1)/$L83))*($T83*(1-$F83)+$S83*(1-$G83))*((1+Inputs!$D$7)^DD$2))),((Inputs!$D$8^((1-_xlfn.WEIBULL.DIST(DD$2,$M83,$L83,FALSE))/_xlfn.WEIBULL.DIST(DD$2,$M83,$L83,FALSE))*($T83*(1-$F83)+$S83*(1-$G83))*((1+Inputs!$D$7)^DD$2))))))))</f>
        <v>0</v>
      </c>
    </row>
    <row r="84" spans="1:108" s="1" customFormat="1" ht="16">
      <c r="A84" s="57" t="s">
        <v>155</v>
      </c>
      <c r="B84" s="13" t="s">
        <v>279</v>
      </c>
      <c r="C84" s="13" t="s">
        <v>472</v>
      </c>
      <c r="D84" s="13" t="s">
        <v>123</v>
      </c>
      <c r="E84" s="48">
        <f>IF(Inputs!$D$30=Lists!$M$4,1,0)</f>
        <v>1</v>
      </c>
      <c r="F84" s="48">
        <v>0</v>
      </c>
      <c r="G84" s="48">
        <v>0</v>
      </c>
      <c r="H84" s="105" t="s">
        <v>350</v>
      </c>
      <c r="I84" s="14" t="s">
        <v>15</v>
      </c>
      <c r="J84" s="14" t="s">
        <v>88</v>
      </c>
      <c r="K84" s="13">
        <f>VLOOKUP(J84,'Labor Rates'!$A$1:$F$16,2)</f>
        <v>19.903846153846153</v>
      </c>
      <c r="L84" s="15">
        <v>1</v>
      </c>
      <c r="M84" s="15">
        <v>1</v>
      </c>
      <c r="N84" s="13" t="s">
        <v>236</v>
      </c>
      <c r="O84" s="61">
        <f>Inputs!$D$27</f>
        <v>157</v>
      </c>
      <c r="P84" s="15">
        <v>0.25</v>
      </c>
      <c r="Q84" s="15">
        <f t="shared" si="14"/>
        <v>39.25</v>
      </c>
      <c r="R84" s="4">
        <v>0</v>
      </c>
      <c r="S84" s="53">
        <f t="shared" si="15"/>
        <v>781.22596153846155</v>
      </c>
      <c r="T84" s="53">
        <f t="shared" si="16"/>
        <v>0</v>
      </c>
      <c r="U84" s="54">
        <f t="shared" si="17"/>
        <v>781.22596153846155</v>
      </c>
      <c r="V84" s="65"/>
      <c r="W84" s="58"/>
      <c r="X84" s="64">
        <f t="shared" si="18"/>
        <v>968.06854028476823</v>
      </c>
      <c r="Y84" s="64">
        <f>NPV(Inputs!$D$6,AA84:BN84)</f>
        <v>11119.565486174735</v>
      </c>
      <c r="Z84" s="67">
        <f t="shared" si="19"/>
        <v>5.244529948338841E-3</v>
      </c>
      <c r="AA84" s="88">
        <f>$E84*IF(AA$2&gt;Inputs!$D$5,0,IF(AA$2&gt;VLOOKUP($H84,Lists!$P$3:$Q$7,2),IF($N84=Lists!$K$3,IF($L84&lt;1,(($U84/$L84)*((1+Inputs!$D$7)^AA$2)),((INT(AA$2/$L84)-INT((AA$2-1)/$L84))*$U84*((1+Inputs!$D$7)^AA$2))),(_xlfn.WEIBULL.DIST(AA$2,$M84,$L84,FALSE)*$U84*((1+Inputs!$D$7)^AA$2))),IF($N84=Lists!$K$3,IF($L84&lt;1,((($T84*(1-$F84)+$S84*(1-$G84))/$L84)*((1+Inputs!$D$7)^AA$2)),((INT(AA$2/$L84)-INT((AA$2-1)/$L84))*($T84*(1-$F84)+$S84*(1-$G84))*((1+Inputs!$D$7)^AA$2))),((_xlfn.WEIBULL.DIST(AA$2,$M84,$L84,FALSE)*($T84*(1-$F84)+$S84*(1-$G84))*((1+Inputs!$D$7)^AA$2))))))</f>
        <v>796.85048076923078</v>
      </c>
      <c r="AB84" s="88">
        <f>$E84*IF(AB$2&gt;Inputs!$D$5,0,IF(AB$2&gt;VLOOKUP($H84,Lists!$P$3:$Q$7,2),IF($N84=Lists!$K$3,IF($L84&lt;1,(($U84/$L84)*((1+Inputs!$D$7)^AB$2)),((INT(AB$2/$L84)-INT((AB$2-1)/$L84))*$U84*((1+Inputs!$D$7)^AB$2))),(_xlfn.WEIBULL.DIST(AB$2,$M84,$L84,FALSE)*$U84*((1+Inputs!$D$7)^AB$2))),IF($N84=Lists!$K$3,IF($L84&lt;1,((($T84*(1-$F84)+$S84*(1-$G84))/$L84)*((1+Inputs!$D$7)^AB$2)),((INT(AB$2/$L84)-INT((AB$2-1)/$L84))*($T84*(1-$F84)+$S84*(1-$G84))*((1+Inputs!$D$7)^AB$2))),((_xlfn.WEIBULL.DIST(AB$2,$M84,$L84,FALSE)*($T84*(1-$F84)+$S84*(1-$G84))*((1+Inputs!$D$7)^AB$2))))))</f>
        <v>812.78749038461535</v>
      </c>
      <c r="AC84" s="88">
        <f>$E84*IF(AC$2&gt;Inputs!$D$5,0,IF(AC$2&gt;VLOOKUP($H84,Lists!$P$3:$Q$7,2),IF($N84=Lists!$K$3,IF($L84&lt;1,(($U84/$L84)*((1+Inputs!$D$7)^AC$2)),((INT(AC$2/$L84)-INT((AC$2-1)/$L84))*$U84*((1+Inputs!$D$7)^AC$2))),(_xlfn.WEIBULL.DIST(AC$2,$M84,$L84,FALSE)*$U84*((1+Inputs!$D$7)^AC$2))),IF($N84=Lists!$K$3,IF($L84&lt;1,((($T84*(1-$F84)+$S84*(1-$G84))/$L84)*((1+Inputs!$D$7)^AC$2)),((INT(AC$2/$L84)-INT((AC$2-1)/$L84))*($T84*(1-$F84)+$S84*(1-$G84))*((1+Inputs!$D$7)^AC$2))),((_xlfn.WEIBULL.DIST(AC$2,$M84,$L84,FALSE)*($T84*(1-$F84)+$S84*(1-$G84))*((1+Inputs!$D$7)^AC$2))))))</f>
        <v>829.04324019230762</v>
      </c>
      <c r="AD84" s="88">
        <f>$E84*IF(AD$2&gt;Inputs!$D$5,0,IF(AD$2&gt;VLOOKUP($H84,Lists!$P$3:$Q$7,2),IF($N84=Lists!$K$3,IF($L84&lt;1,(($U84/$L84)*((1+Inputs!$D$7)^AD$2)),((INT(AD$2/$L84)-INT((AD$2-1)/$L84))*$U84*((1+Inputs!$D$7)^AD$2))),(_xlfn.WEIBULL.DIST(AD$2,$M84,$L84,FALSE)*$U84*((1+Inputs!$D$7)^AD$2))),IF($N84=Lists!$K$3,IF($L84&lt;1,((($T84*(1-$F84)+$S84*(1-$G84))/$L84)*((1+Inputs!$D$7)^AD$2)),((INT(AD$2/$L84)-INT((AD$2-1)/$L84))*($T84*(1-$F84)+$S84*(1-$G84))*((1+Inputs!$D$7)^AD$2))),((_xlfn.WEIBULL.DIST(AD$2,$M84,$L84,FALSE)*($T84*(1-$F84)+$S84*(1-$G84))*((1+Inputs!$D$7)^AD$2))))))</f>
        <v>845.62410499615385</v>
      </c>
      <c r="AE84" s="88">
        <f>$E84*IF(AE$2&gt;Inputs!$D$5,0,IF(AE$2&gt;VLOOKUP($H84,Lists!$P$3:$Q$7,2),IF($N84=Lists!$K$3,IF($L84&lt;1,(($U84/$L84)*((1+Inputs!$D$7)^AE$2)),((INT(AE$2/$L84)-INT((AE$2-1)/$L84))*$U84*((1+Inputs!$D$7)^AE$2))),(_xlfn.WEIBULL.DIST(AE$2,$M84,$L84,FALSE)*$U84*((1+Inputs!$D$7)^AE$2))),IF($N84=Lists!$K$3,IF($L84&lt;1,((($T84*(1-$F84)+$S84*(1-$G84))/$L84)*((1+Inputs!$D$7)^AE$2)),((INT(AE$2/$L84)-INT((AE$2-1)/$L84))*($T84*(1-$F84)+$S84*(1-$G84))*((1+Inputs!$D$7)^AE$2))),((_xlfn.WEIBULL.DIST(AE$2,$M84,$L84,FALSE)*($T84*(1-$F84)+$S84*(1-$G84))*((1+Inputs!$D$7)^AE$2))))))</f>
        <v>862.53658709607691</v>
      </c>
      <c r="AF84" s="88">
        <f>$E84*IF(AF$2&gt;Inputs!$D$5,0,IF(AF$2&gt;VLOOKUP($H84,Lists!$P$3:$Q$7,2),IF($N84=Lists!$K$3,IF($L84&lt;1,(($U84/$L84)*((1+Inputs!$D$7)^AF$2)),((INT(AF$2/$L84)-INT((AF$2-1)/$L84))*$U84*((1+Inputs!$D$7)^AF$2))),(_xlfn.WEIBULL.DIST(AF$2,$M84,$L84,FALSE)*$U84*((1+Inputs!$D$7)^AF$2))),IF($N84=Lists!$K$3,IF($L84&lt;1,((($T84*(1-$F84)+$S84*(1-$G84))/$L84)*((1+Inputs!$D$7)^AF$2)),((INT(AF$2/$L84)-INT((AF$2-1)/$L84))*($T84*(1-$F84)+$S84*(1-$G84))*((1+Inputs!$D$7)^AF$2))),((_xlfn.WEIBULL.DIST(AF$2,$M84,$L84,FALSE)*($T84*(1-$F84)+$S84*(1-$G84))*((1+Inputs!$D$7)^AF$2))))))</f>
        <v>879.78731883799855</v>
      </c>
      <c r="AG84" s="88">
        <f>$E84*IF(AG$2&gt;Inputs!$D$5,0,IF(AG$2&gt;VLOOKUP($H84,Lists!$P$3:$Q$7,2),IF($N84=Lists!$K$3,IF($L84&lt;1,(($U84/$L84)*((1+Inputs!$D$7)^AG$2)),((INT(AG$2/$L84)-INT((AG$2-1)/$L84))*$U84*((1+Inputs!$D$7)^AG$2))),(_xlfn.WEIBULL.DIST(AG$2,$M84,$L84,FALSE)*$U84*((1+Inputs!$D$7)^AG$2))),IF($N84=Lists!$K$3,IF($L84&lt;1,((($T84*(1-$F84)+$S84*(1-$G84))/$L84)*((1+Inputs!$D$7)^AG$2)),((INT(AG$2/$L84)-INT((AG$2-1)/$L84))*($T84*(1-$F84)+$S84*(1-$G84))*((1+Inputs!$D$7)^AG$2))),((_xlfn.WEIBULL.DIST(AG$2,$M84,$L84,FALSE)*($T84*(1-$F84)+$S84*(1-$G84))*((1+Inputs!$D$7)^AG$2))))))</f>
        <v>897.38306521475829</v>
      </c>
      <c r="AH84" s="88">
        <f>$E84*IF(AH$2&gt;Inputs!$D$5,0,IF(AH$2&gt;VLOOKUP($H84,Lists!$P$3:$Q$7,2),IF($N84=Lists!$K$3,IF($L84&lt;1,(($U84/$L84)*((1+Inputs!$D$7)^AH$2)),((INT(AH$2/$L84)-INT((AH$2-1)/$L84))*$U84*((1+Inputs!$D$7)^AH$2))),(_xlfn.WEIBULL.DIST(AH$2,$M84,$L84,FALSE)*$U84*((1+Inputs!$D$7)^AH$2))),IF($N84=Lists!$K$3,IF($L84&lt;1,((($T84*(1-$F84)+$S84*(1-$G84))/$L84)*((1+Inputs!$D$7)^AH$2)),((INT(AH$2/$L84)-INT((AH$2-1)/$L84))*($T84*(1-$F84)+$S84*(1-$G84))*((1+Inputs!$D$7)^AH$2))),((_xlfn.WEIBULL.DIST(AH$2,$M84,$L84,FALSE)*($T84*(1-$F84)+$S84*(1-$G84))*((1+Inputs!$D$7)^AH$2))))))</f>
        <v>915.33072651905354</v>
      </c>
      <c r="AI84" s="88">
        <f>$E84*IF(AI$2&gt;Inputs!$D$5,0,IF(AI$2&gt;VLOOKUP($H84,Lists!$P$3:$Q$7,2),IF($N84=Lists!$K$3,IF($L84&lt;1,(($U84/$L84)*((1+Inputs!$D$7)^AI$2)),((INT(AI$2/$L84)-INT((AI$2-1)/$L84))*$U84*((1+Inputs!$D$7)^AI$2))),(_xlfn.WEIBULL.DIST(AI$2,$M84,$L84,FALSE)*$U84*((1+Inputs!$D$7)^AI$2))),IF($N84=Lists!$K$3,IF($L84&lt;1,((($T84*(1-$F84)+$S84*(1-$G84))/$L84)*((1+Inputs!$D$7)^AI$2)),((INT(AI$2/$L84)-INT((AI$2-1)/$L84))*($T84*(1-$F84)+$S84*(1-$G84))*((1+Inputs!$D$7)^AI$2))),((_xlfn.WEIBULL.DIST(AI$2,$M84,$L84,FALSE)*($T84*(1-$F84)+$S84*(1-$G84))*((1+Inputs!$D$7)^AI$2))))))</f>
        <v>933.63734104943467</v>
      </c>
      <c r="AJ84" s="88">
        <f>$E84*IF(AJ$2&gt;Inputs!$D$5,0,IF(AJ$2&gt;VLOOKUP($H84,Lists!$P$3:$Q$7,2),IF($N84=Lists!$K$3,IF($L84&lt;1,(($U84/$L84)*((1+Inputs!$D$7)^AJ$2)),((INT(AJ$2/$L84)-INT((AJ$2-1)/$L84))*$U84*((1+Inputs!$D$7)^AJ$2))),(_xlfn.WEIBULL.DIST(AJ$2,$M84,$L84,FALSE)*$U84*((1+Inputs!$D$7)^AJ$2))),IF($N84=Lists!$K$3,IF($L84&lt;1,((($T84*(1-$F84)+$S84*(1-$G84))/$L84)*((1+Inputs!$D$7)^AJ$2)),((INT(AJ$2/$L84)-INT((AJ$2-1)/$L84))*($T84*(1-$F84)+$S84*(1-$G84))*((1+Inputs!$D$7)^AJ$2))),((_xlfn.WEIBULL.DIST(AJ$2,$M84,$L84,FALSE)*($T84*(1-$F84)+$S84*(1-$G84))*((1+Inputs!$D$7)^AJ$2))))))</f>
        <v>952.31008787042333</v>
      </c>
      <c r="AK84" s="88">
        <f>$E84*IF(AK$2&gt;Inputs!$D$5,0,IF(AK$2&gt;VLOOKUP($H84,Lists!$P$3:$Q$7,2),IF($N84=Lists!$K$3,IF($L84&lt;1,(($U84/$L84)*((1+Inputs!$D$7)^AK$2)),((INT(AK$2/$L84)-INT((AK$2-1)/$L84))*$U84*((1+Inputs!$D$7)^AK$2))),(_xlfn.WEIBULL.DIST(AK$2,$M84,$L84,FALSE)*$U84*((1+Inputs!$D$7)^AK$2))),IF($N84=Lists!$K$3,IF($L84&lt;1,((($T84*(1-$F84)+$S84*(1-$G84))/$L84)*((1+Inputs!$D$7)^AK$2)),((INT(AK$2/$L84)-INT((AK$2-1)/$L84))*($T84*(1-$F84)+$S84*(1-$G84))*((1+Inputs!$D$7)^AK$2))),((_xlfn.WEIBULL.DIST(AK$2,$M84,$L84,FALSE)*($T84*(1-$F84)+$S84*(1-$G84))*((1+Inputs!$D$7)^AK$2))))))</f>
        <v>971.35628962783164</v>
      </c>
      <c r="AL84" s="88">
        <f>$E84*IF(AL$2&gt;Inputs!$D$5,0,IF(AL$2&gt;VLOOKUP($H84,Lists!$P$3:$Q$7,2),IF($N84=Lists!$K$3,IF($L84&lt;1,(($U84/$L84)*((1+Inputs!$D$7)^AL$2)),((INT(AL$2/$L84)-INT((AL$2-1)/$L84))*$U84*((1+Inputs!$D$7)^AL$2))),(_xlfn.WEIBULL.DIST(AL$2,$M84,$L84,FALSE)*$U84*((1+Inputs!$D$7)^AL$2))),IF($N84=Lists!$K$3,IF($L84&lt;1,((($T84*(1-$F84)+$S84*(1-$G84))/$L84)*((1+Inputs!$D$7)^AL$2)),((INT(AL$2/$L84)-INT((AL$2-1)/$L84))*($T84*(1-$F84)+$S84*(1-$G84))*((1+Inputs!$D$7)^AL$2))),((_xlfn.WEIBULL.DIST(AL$2,$M84,$L84,FALSE)*($T84*(1-$F84)+$S84*(1-$G84))*((1+Inputs!$D$7)^AL$2))))))</f>
        <v>990.78341542038845</v>
      </c>
      <c r="AM84" s="88">
        <f>$E84*IF(AM$2&gt;Inputs!$D$5,0,IF(AM$2&gt;VLOOKUP($H84,Lists!$P$3:$Q$7,2),IF($N84=Lists!$K$3,IF($L84&lt;1,(($U84/$L84)*((1+Inputs!$D$7)^AM$2)),((INT(AM$2/$L84)-INT((AM$2-1)/$L84))*$U84*((1+Inputs!$D$7)^AM$2))),(_xlfn.WEIBULL.DIST(AM$2,$M84,$L84,FALSE)*$U84*((1+Inputs!$D$7)^AM$2))),IF($N84=Lists!$K$3,IF($L84&lt;1,((($T84*(1-$F84)+$S84*(1-$G84))/$L84)*((1+Inputs!$D$7)^AM$2)),((INT(AM$2/$L84)-INT((AM$2-1)/$L84))*($T84*(1-$F84)+$S84*(1-$G84))*((1+Inputs!$D$7)^AM$2))),((_xlfn.WEIBULL.DIST(AM$2,$M84,$L84,FALSE)*($T84*(1-$F84)+$S84*(1-$G84))*((1+Inputs!$D$7)^AM$2))))))</f>
        <v>1010.5990837287961</v>
      </c>
      <c r="AN84" s="88">
        <f>$E84*IF(AN$2&gt;Inputs!$D$5,0,IF(AN$2&gt;VLOOKUP($H84,Lists!$P$3:$Q$7,2),IF($N84=Lists!$K$3,IF($L84&lt;1,(($U84/$L84)*((1+Inputs!$D$7)^AN$2)),((INT(AN$2/$L84)-INT((AN$2-1)/$L84))*$U84*((1+Inputs!$D$7)^AN$2))),(_xlfn.WEIBULL.DIST(AN$2,$M84,$L84,FALSE)*$U84*((1+Inputs!$D$7)^AN$2))),IF($N84=Lists!$K$3,IF($L84&lt;1,((($T84*(1-$F84)+$S84*(1-$G84))/$L84)*((1+Inputs!$D$7)^AN$2)),((INT(AN$2/$L84)-INT((AN$2-1)/$L84))*($T84*(1-$F84)+$S84*(1-$G84))*((1+Inputs!$D$7)^AN$2))),((_xlfn.WEIBULL.DIST(AN$2,$M84,$L84,FALSE)*($T84*(1-$F84)+$S84*(1-$G84))*((1+Inputs!$D$7)^AN$2))))))</f>
        <v>1030.8110654033721</v>
      </c>
      <c r="AO84" s="88">
        <f>$E84*IF(AO$2&gt;Inputs!$D$5,0,IF(AO$2&gt;VLOOKUP($H84,Lists!$P$3:$Q$7,2),IF($N84=Lists!$K$3,IF($L84&lt;1,(($U84/$L84)*((1+Inputs!$D$7)^AO$2)),((INT(AO$2/$L84)-INT((AO$2-1)/$L84))*$U84*((1+Inputs!$D$7)^AO$2))),(_xlfn.WEIBULL.DIST(AO$2,$M84,$L84,FALSE)*$U84*((1+Inputs!$D$7)^AO$2))),IF($N84=Lists!$K$3,IF($L84&lt;1,((($T84*(1-$F84)+$S84*(1-$G84))/$L84)*((1+Inputs!$D$7)^AO$2)),((INT(AO$2/$L84)-INT((AO$2-1)/$L84))*($T84*(1-$F84)+$S84*(1-$G84))*((1+Inputs!$D$7)^AO$2))),((_xlfn.WEIBULL.DIST(AO$2,$M84,$L84,FALSE)*($T84*(1-$F84)+$S84*(1-$G84))*((1+Inputs!$D$7)^AO$2))))))</f>
        <v>1051.4272867114394</v>
      </c>
      <c r="AP84" s="88">
        <f>$E84*IF(AP$2&gt;Inputs!$D$5,0,IF(AP$2&gt;VLOOKUP($H84,Lists!$P$3:$Q$7,2),IF($N84=Lists!$K$3,IF($L84&lt;1,(($U84/$L84)*((1+Inputs!$D$7)^AP$2)),((INT(AP$2/$L84)-INT((AP$2-1)/$L84))*$U84*((1+Inputs!$D$7)^AP$2))),(_xlfn.WEIBULL.DIST(AP$2,$M84,$L84,FALSE)*$U84*((1+Inputs!$D$7)^AP$2))),IF($N84=Lists!$K$3,IF($L84&lt;1,((($T84*(1-$F84)+$S84*(1-$G84))/$L84)*((1+Inputs!$D$7)^AP$2)),((INT(AP$2/$L84)-INT((AP$2-1)/$L84))*($T84*(1-$F84)+$S84*(1-$G84))*((1+Inputs!$D$7)^AP$2))),((_xlfn.WEIBULL.DIST(AP$2,$M84,$L84,FALSE)*($T84*(1-$F84)+$S84*(1-$G84))*((1+Inputs!$D$7)^AP$2))))))</f>
        <v>1072.4558324456682</v>
      </c>
      <c r="AQ84" s="88">
        <f>$E84*IF(AQ$2&gt;Inputs!$D$5,0,IF(AQ$2&gt;VLOOKUP($H84,Lists!$P$3:$Q$7,2),IF($N84=Lists!$K$3,IF($L84&lt;1,(($U84/$L84)*((1+Inputs!$D$7)^AQ$2)),((INT(AQ$2/$L84)-INT((AQ$2-1)/$L84))*$U84*((1+Inputs!$D$7)^AQ$2))),(_xlfn.WEIBULL.DIST(AQ$2,$M84,$L84,FALSE)*$U84*((1+Inputs!$D$7)^AQ$2))),IF($N84=Lists!$K$3,IF($L84&lt;1,((($T84*(1-$F84)+$S84*(1-$G84))/$L84)*((1+Inputs!$D$7)^AQ$2)),((INT(AQ$2/$L84)-INT((AQ$2-1)/$L84))*($T84*(1-$F84)+$S84*(1-$G84))*((1+Inputs!$D$7)^AQ$2))),((_xlfn.WEIBULL.DIST(AQ$2,$M84,$L84,FALSE)*($T84*(1-$F84)+$S84*(1-$G84))*((1+Inputs!$D$7)^AQ$2))))))</f>
        <v>1093.9049490945818</v>
      </c>
      <c r="AR84" s="88">
        <f>$E84*IF(AR$2&gt;Inputs!$D$5,0,IF(AR$2&gt;VLOOKUP($H84,Lists!$P$3:$Q$7,2),IF($N84=Lists!$K$3,IF($L84&lt;1,(($U84/$L84)*((1+Inputs!$D$7)^AR$2)),((INT(AR$2/$L84)-INT((AR$2-1)/$L84))*$U84*((1+Inputs!$D$7)^AR$2))),(_xlfn.WEIBULL.DIST(AR$2,$M84,$L84,FALSE)*$U84*((1+Inputs!$D$7)^AR$2))),IF($N84=Lists!$K$3,IF($L84&lt;1,((($T84*(1-$F84)+$S84*(1-$G84))/$L84)*((1+Inputs!$D$7)^AR$2)),((INT(AR$2/$L84)-INT((AR$2-1)/$L84))*($T84*(1-$F84)+$S84*(1-$G84))*((1+Inputs!$D$7)^AR$2))),((_xlfn.WEIBULL.DIST(AR$2,$M84,$L84,FALSE)*($T84*(1-$F84)+$S84*(1-$G84))*((1+Inputs!$D$7)^AR$2))))))</f>
        <v>1115.7830480764733</v>
      </c>
      <c r="AS84" s="88">
        <f>$E84*IF(AS$2&gt;Inputs!$D$5,0,IF(AS$2&gt;VLOOKUP($H84,Lists!$P$3:$Q$7,2),IF($N84=Lists!$K$3,IF($L84&lt;1,(($U84/$L84)*((1+Inputs!$D$7)^AS$2)),((INT(AS$2/$L84)-INT((AS$2-1)/$L84))*$U84*((1+Inputs!$D$7)^AS$2))),(_xlfn.WEIBULL.DIST(AS$2,$M84,$L84,FALSE)*$U84*((1+Inputs!$D$7)^AS$2))),IF($N84=Lists!$K$3,IF($L84&lt;1,((($T84*(1-$F84)+$S84*(1-$G84))/$L84)*((1+Inputs!$D$7)^AS$2)),((INT(AS$2/$L84)-INT((AS$2-1)/$L84))*($T84*(1-$F84)+$S84*(1-$G84))*((1+Inputs!$D$7)^AS$2))),((_xlfn.WEIBULL.DIST(AS$2,$M84,$L84,FALSE)*($T84*(1-$F84)+$S84*(1-$G84))*((1+Inputs!$D$7)^AS$2))))))</f>
        <v>1138.0987090380027</v>
      </c>
      <c r="AT84" s="88">
        <f>$E84*IF(AT$2&gt;Inputs!$D$5,0,IF(AT$2&gt;VLOOKUP($H84,Lists!$P$3:$Q$7,2),IF($N84=Lists!$K$3,IF($L84&lt;1,(($U84/$L84)*((1+Inputs!$D$7)^AT$2)),((INT(AT$2/$L84)-INT((AT$2-1)/$L84))*$U84*((1+Inputs!$D$7)^AT$2))),(_xlfn.WEIBULL.DIST(AT$2,$M84,$L84,FALSE)*$U84*((1+Inputs!$D$7)^AT$2))),IF($N84=Lists!$K$3,IF($L84&lt;1,((($T84*(1-$F84)+$S84*(1-$G84))/$L84)*((1+Inputs!$D$7)^AT$2)),((INT(AT$2/$L84)-INT((AT$2-1)/$L84))*($T84*(1-$F84)+$S84*(1-$G84))*((1+Inputs!$D$7)^AT$2))),((_xlfn.WEIBULL.DIST(AT$2,$M84,$L84,FALSE)*($T84*(1-$F84)+$S84*(1-$G84))*((1+Inputs!$D$7)^AT$2))))))</f>
        <v>1160.8606832187629</v>
      </c>
      <c r="AU84" s="88">
        <f>$E84*IF(AU$2&gt;Inputs!$D$5,0,IF(AU$2&gt;VLOOKUP($H84,Lists!$P$3:$Q$7,2),IF($N84=Lists!$K$3,IF($L84&lt;1,(($U84/$L84)*((1+Inputs!$D$7)^AU$2)),((INT(AU$2/$L84)-INT((AU$2-1)/$L84))*$U84*((1+Inputs!$D$7)^AU$2))),(_xlfn.WEIBULL.DIST(AU$2,$M84,$L84,FALSE)*$U84*((1+Inputs!$D$7)^AU$2))),IF($N84=Lists!$K$3,IF($L84&lt;1,((($T84*(1-$F84)+$S84*(1-$G84))/$L84)*((1+Inputs!$D$7)^AU$2)),((INT(AU$2/$L84)-INT((AU$2-1)/$L84))*($T84*(1-$F84)+$S84*(1-$G84))*((1+Inputs!$D$7)^AU$2))),((_xlfn.WEIBULL.DIST(AU$2,$M84,$L84,FALSE)*($T84*(1-$F84)+$S84*(1-$G84))*((1+Inputs!$D$7)^AU$2))))))</f>
        <v>1184.077896883138</v>
      </c>
      <c r="AV84" s="88">
        <f>$E84*IF(AV$2&gt;Inputs!$D$5,0,IF(AV$2&gt;VLOOKUP($H84,Lists!$P$3:$Q$7,2),IF($N84=Lists!$K$3,IF($L84&lt;1,(($U84/$L84)*((1+Inputs!$D$7)^AV$2)),((INT(AV$2/$L84)-INT((AV$2-1)/$L84))*$U84*((1+Inputs!$D$7)^AV$2))),(_xlfn.WEIBULL.DIST(AV$2,$M84,$L84,FALSE)*$U84*((1+Inputs!$D$7)^AV$2))),IF($N84=Lists!$K$3,IF($L84&lt;1,((($T84*(1-$F84)+$S84*(1-$G84))/$L84)*((1+Inputs!$D$7)^AV$2)),((INT(AV$2/$L84)-INT((AV$2-1)/$L84))*($T84*(1-$F84)+$S84*(1-$G84))*((1+Inputs!$D$7)^AV$2))),((_xlfn.WEIBULL.DIST(AV$2,$M84,$L84,FALSE)*($T84*(1-$F84)+$S84*(1-$G84))*((1+Inputs!$D$7)^AV$2))))))</f>
        <v>1207.7594548208008</v>
      </c>
      <c r="AW84" s="88">
        <f>$E84*IF(AW$2&gt;Inputs!$D$5,0,IF(AW$2&gt;VLOOKUP($H84,Lists!$P$3:$Q$7,2),IF($N84=Lists!$K$3,IF($L84&lt;1,(($U84/$L84)*((1+Inputs!$D$7)^AW$2)),((INT(AW$2/$L84)-INT((AW$2-1)/$L84))*$U84*((1+Inputs!$D$7)^AW$2))),(_xlfn.WEIBULL.DIST(AW$2,$M84,$L84,FALSE)*$U84*((1+Inputs!$D$7)^AW$2))),IF($N84=Lists!$K$3,IF($L84&lt;1,((($T84*(1-$F84)+$S84*(1-$G84))/$L84)*((1+Inputs!$D$7)^AW$2)),((INT(AW$2/$L84)-INT((AW$2-1)/$L84))*($T84*(1-$F84)+$S84*(1-$G84))*((1+Inputs!$D$7)^AW$2))),((_xlfn.WEIBULL.DIST(AW$2,$M84,$L84,FALSE)*($T84*(1-$F84)+$S84*(1-$G84))*((1+Inputs!$D$7)^AW$2))))))</f>
        <v>1231.9146439172166</v>
      </c>
      <c r="AX84" s="88">
        <f>$E84*IF(AX$2&gt;Inputs!$D$5,0,IF(AX$2&gt;VLOOKUP($H84,Lists!$P$3:$Q$7,2),IF($N84=Lists!$K$3,IF($L84&lt;1,(($U84/$L84)*((1+Inputs!$D$7)^AX$2)),((INT(AX$2/$L84)-INT((AX$2-1)/$L84))*$U84*((1+Inputs!$D$7)^AX$2))),(_xlfn.WEIBULL.DIST(AX$2,$M84,$L84,FALSE)*$U84*((1+Inputs!$D$7)^AX$2))),IF($N84=Lists!$K$3,IF($L84&lt;1,((($T84*(1-$F84)+$S84*(1-$G84))/$L84)*((1+Inputs!$D$7)^AX$2)),((INT(AX$2/$L84)-INT((AX$2-1)/$L84))*($T84*(1-$F84)+$S84*(1-$G84))*((1+Inputs!$D$7)^AX$2))),((_xlfn.WEIBULL.DIST(AX$2,$M84,$L84,FALSE)*($T84*(1-$F84)+$S84*(1-$G84))*((1+Inputs!$D$7)^AX$2))))))</f>
        <v>1256.552936795561</v>
      </c>
      <c r="AY84" s="88">
        <f>$E84*IF(AY$2&gt;Inputs!$D$5,0,IF(AY$2&gt;VLOOKUP($H84,Lists!$P$3:$Q$7,2),IF($N84=Lists!$K$3,IF($L84&lt;1,(($U84/$L84)*((1+Inputs!$D$7)^AY$2)),((INT(AY$2/$L84)-INT((AY$2-1)/$L84))*$U84*((1+Inputs!$D$7)^AY$2))),(_xlfn.WEIBULL.DIST(AY$2,$M84,$L84,FALSE)*$U84*((1+Inputs!$D$7)^AY$2))),IF($N84=Lists!$K$3,IF($L84&lt;1,((($T84*(1-$F84)+$S84*(1-$G84))/$L84)*((1+Inputs!$D$7)^AY$2)),((INT(AY$2/$L84)-INT((AY$2-1)/$L84))*($T84*(1-$F84)+$S84*(1-$G84))*((1+Inputs!$D$7)^AY$2))),((_xlfn.WEIBULL.DIST(AY$2,$M84,$L84,FALSE)*($T84*(1-$F84)+$S84*(1-$G84))*((1+Inputs!$D$7)^AY$2))))))</f>
        <v>1281.6839955314722</v>
      </c>
      <c r="AZ84" s="88">
        <f>$E84*IF(AZ$2&gt;Inputs!$D$5,0,IF(AZ$2&gt;VLOOKUP($H84,Lists!$P$3:$Q$7,2),IF($N84=Lists!$K$3,IF($L84&lt;1,(($U84/$L84)*((1+Inputs!$D$7)^AZ$2)),((INT(AZ$2/$L84)-INT((AZ$2-1)/$L84))*$U84*((1+Inputs!$D$7)^AZ$2))),(_xlfn.WEIBULL.DIST(AZ$2,$M84,$L84,FALSE)*$U84*((1+Inputs!$D$7)^AZ$2))),IF($N84=Lists!$K$3,IF($L84&lt;1,((($T84*(1-$F84)+$S84*(1-$G84))/$L84)*((1+Inputs!$D$7)^AZ$2)),((INT(AZ$2/$L84)-INT((AZ$2-1)/$L84))*($T84*(1-$F84)+$S84*(1-$G84))*((1+Inputs!$D$7)^AZ$2))),((_xlfn.WEIBULL.DIST(AZ$2,$M84,$L84,FALSE)*($T84*(1-$F84)+$S84*(1-$G84))*((1+Inputs!$D$7)^AZ$2))))))</f>
        <v>0</v>
      </c>
      <c r="BA84" s="88">
        <f>$E84*IF(BA$2&gt;Inputs!$D$5,0,IF(BA$2&gt;VLOOKUP($H84,Lists!$P$3:$Q$7,2),IF($N84=Lists!$K$3,IF($L84&lt;1,(($U84/$L84)*((1+Inputs!$D$7)^BA$2)),((INT(BA$2/$L84)-INT((BA$2-1)/$L84))*$U84*((1+Inputs!$D$7)^BA$2))),(_xlfn.WEIBULL.DIST(BA$2,$M84,$L84,FALSE)*$U84*((1+Inputs!$D$7)^BA$2))),IF($N84=Lists!$K$3,IF($L84&lt;1,((($T84*(1-$F84)+$S84*(1-$G84))/$L84)*((1+Inputs!$D$7)^BA$2)),((INT(BA$2/$L84)-INT((BA$2-1)/$L84))*($T84*(1-$F84)+$S84*(1-$G84))*((1+Inputs!$D$7)^BA$2))),((_xlfn.WEIBULL.DIST(BA$2,$M84,$L84,FALSE)*($T84*(1-$F84)+$S84*(1-$G84))*((1+Inputs!$D$7)^BA$2))))))</f>
        <v>0</v>
      </c>
      <c r="BB84" s="88">
        <f>$E84*IF(BB$2&gt;Inputs!$D$5,0,IF(BB$2&gt;VLOOKUP($H84,Lists!$P$3:$Q$7,2),IF($N84=Lists!$K$3,IF($L84&lt;1,(($U84/$L84)*((1+Inputs!$D$7)^BB$2)),((INT(BB$2/$L84)-INT((BB$2-1)/$L84))*$U84*((1+Inputs!$D$7)^BB$2))),(_xlfn.WEIBULL.DIST(BB$2,$M84,$L84,FALSE)*$U84*((1+Inputs!$D$7)^BB$2))),IF($N84=Lists!$K$3,IF($L84&lt;1,((($T84*(1-$F84)+$S84*(1-$G84))/$L84)*((1+Inputs!$D$7)^BB$2)),((INT(BB$2/$L84)-INT((BB$2-1)/$L84))*($T84*(1-$F84)+$S84*(1-$G84))*((1+Inputs!$D$7)^BB$2))),((_xlfn.WEIBULL.DIST(BB$2,$M84,$L84,FALSE)*($T84*(1-$F84)+$S84*(1-$G84))*((1+Inputs!$D$7)^BB$2))))))</f>
        <v>0</v>
      </c>
      <c r="BC84" s="88">
        <f>$E84*IF(BC$2&gt;Inputs!$D$5,0,IF(BC$2&gt;VLOOKUP($H84,Lists!$P$3:$Q$7,2),IF($N84=Lists!$K$3,IF($L84&lt;1,(($U84/$L84)*((1+Inputs!$D$7)^BC$2)),((INT(BC$2/$L84)-INT((BC$2-1)/$L84))*$U84*((1+Inputs!$D$7)^BC$2))),(_xlfn.WEIBULL.DIST(BC$2,$M84,$L84,FALSE)*$U84*((1+Inputs!$D$7)^BC$2))),IF($N84=Lists!$K$3,IF($L84&lt;1,((($T84*(1-$F84)+$S84*(1-$G84))/$L84)*((1+Inputs!$D$7)^BC$2)),((INT(BC$2/$L84)-INT((BC$2-1)/$L84))*($T84*(1-$F84)+$S84*(1-$G84))*((1+Inputs!$D$7)^BC$2))),((_xlfn.WEIBULL.DIST(BC$2,$M84,$L84,FALSE)*($T84*(1-$F84)+$S84*(1-$G84))*((1+Inputs!$D$7)^BC$2))))))</f>
        <v>0</v>
      </c>
      <c r="BD84" s="88">
        <f>$E84*IF(BD$2&gt;Inputs!$D$5,0,IF(BD$2&gt;VLOOKUP($H84,Lists!$P$3:$Q$7,2),IF($N84=Lists!$K$3,IF($L84&lt;1,(($U84/$L84)*((1+Inputs!$D$7)^BD$2)),((INT(BD$2/$L84)-INT((BD$2-1)/$L84))*$U84*((1+Inputs!$D$7)^BD$2))),(_xlfn.WEIBULL.DIST(BD$2,$M84,$L84,FALSE)*$U84*((1+Inputs!$D$7)^BD$2))),IF($N84=Lists!$K$3,IF($L84&lt;1,((($T84*(1-$F84)+$S84*(1-$G84))/$L84)*((1+Inputs!$D$7)^BD$2)),((INT(BD$2/$L84)-INT((BD$2-1)/$L84))*($T84*(1-$F84)+$S84*(1-$G84))*((1+Inputs!$D$7)^BD$2))),((_xlfn.WEIBULL.DIST(BD$2,$M84,$L84,FALSE)*($T84*(1-$F84)+$S84*(1-$G84))*((1+Inputs!$D$7)^BD$2))))))</f>
        <v>0</v>
      </c>
      <c r="BE84" s="88">
        <f>$E84*IF(BE$2&gt;Inputs!$D$5,0,IF(BE$2&gt;VLOOKUP($H84,Lists!$P$3:$Q$7,2),IF($N84=Lists!$K$3,IF($L84&lt;1,(($U84/$L84)*((1+Inputs!$D$7)^BE$2)),((INT(BE$2/$L84)-INT((BE$2-1)/$L84))*$U84*((1+Inputs!$D$7)^BE$2))),(_xlfn.WEIBULL.DIST(BE$2,$M84,$L84,FALSE)*$U84*((1+Inputs!$D$7)^BE$2))),IF($N84=Lists!$K$3,IF($L84&lt;1,((($T84*(1-$F84)+$S84*(1-$G84))/$L84)*((1+Inputs!$D$7)^BE$2)),((INT(BE$2/$L84)-INT((BE$2-1)/$L84))*($T84*(1-$F84)+$S84*(1-$G84))*((1+Inputs!$D$7)^BE$2))),((_xlfn.WEIBULL.DIST(BE$2,$M84,$L84,FALSE)*($T84*(1-$F84)+$S84*(1-$G84))*((1+Inputs!$D$7)^BE$2))))))</f>
        <v>0</v>
      </c>
      <c r="BF84" s="88">
        <f>$E84*IF(BF$2&gt;Inputs!$D$5,0,IF(BF$2&gt;VLOOKUP($H84,Lists!$P$3:$Q$7,2),IF($N84=Lists!$K$3,IF($L84&lt;1,(($U84/$L84)*((1+Inputs!$D$7)^BF$2)),((INT(BF$2/$L84)-INT((BF$2-1)/$L84))*$U84*((1+Inputs!$D$7)^BF$2))),(_xlfn.WEIBULL.DIST(BF$2,$M84,$L84,FALSE)*$U84*((1+Inputs!$D$7)^BF$2))),IF($N84=Lists!$K$3,IF($L84&lt;1,((($T84*(1-$F84)+$S84*(1-$G84))/$L84)*((1+Inputs!$D$7)^BF$2)),((INT(BF$2/$L84)-INT((BF$2-1)/$L84))*($T84*(1-$F84)+$S84*(1-$G84))*((1+Inputs!$D$7)^BF$2))),((_xlfn.WEIBULL.DIST(BF$2,$M84,$L84,FALSE)*($T84*(1-$F84)+$S84*(1-$G84))*((1+Inputs!$D$7)^BF$2))))))</f>
        <v>0</v>
      </c>
      <c r="BG84" s="88">
        <f>$E84*IF(BG$2&gt;Inputs!$D$5,0,IF(BG$2&gt;VLOOKUP($H84,Lists!$P$3:$Q$7,2),IF($N84=Lists!$K$3,IF($L84&lt;1,(($U84/$L84)*((1+Inputs!$D$7)^BG$2)),((INT(BG$2/$L84)-INT((BG$2-1)/$L84))*$U84*((1+Inputs!$D$7)^BG$2))),(_xlfn.WEIBULL.DIST(BG$2,$M84,$L84,FALSE)*$U84*((1+Inputs!$D$7)^BG$2))),IF($N84=Lists!$K$3,IF($L84&lt;1,((($T84*(1-$F84)+$S84*(1-$G84))/$L84)*((1+Inputs!$D$7)^BG$2)),((INT(BG$2/$L84)-INT((BG$2-1)/$L84))*($T84*(1-$F84)+$S84*(1-$G84))*((1+Inputs!$D$7)^BG$2))),((_xlfn.WEIBULL.DIST(BG$2,$M84,$L84,FALSE)*($T84*(1-$F84)+$S84*(1-$G84))*((1+Inputs!$D$7)^BG$2))))))</f>
        <v>0</v>
      </c>
      <c r="BH84" s="88">
        <f>$E84*IF(BH$2&gt;Inputs!$D$5,0,IF(BH$2&gt;VLOOKUP($H84,Lists!$P$3:$Q$7,2),IF($N84=Lists!$K$3,IF($L84&lt;1,(($U84/$L84)*((1+Inputs!$D$7)^BH$2)),((INT(BH$2/$L84)-INT((BH$2-1)/$L84))*$U84*((1+Inputs!$D$7)^BH$2))),(_xlfn.WEIBULL.DIST(BH$2,$M84,$L84,FALSE)*$U84*((1+Inputs!$D$7)^BH$2))),IF($N84=Lists!$K$3,IF($L84&lt;1,((($T84*(1-$F84)+$S84*(1-$G84))/$L84)*((1+Inputs!$D$7)^BH$2)),((INT(BH$2/$L84)-INT((BH$2-1)/$L84))*($T84*(1-$F84)+$S84*(1-$G84))*((1+Inputs!$D$7)^BH$2))),((_xlfn.WEIBULL.DIST(BH$2,$M84,$L84,FALSE)*($T84*(1-$F84)+$S84*(1-$G84))*((1+Inputs!$D$7)^BH$2))))))</f>
        <v>0</v>
      </c>
      <c r="BI84" s="88">
        <f>$E84*IF(BI$2&gt;Inputs!$D$5,0,IF(BI$2&gt;VLOOKUP($H84,Lists!$P$3:$Q$7,2),IF($N84=Lists!$K$3,IF($L84&lt;1,(($U84/$L84)*((1+Inputs!$D$7)^BI$2)),((INT(BI$2/$L84)-INT((BI$2-1)/$L84))*$U84*((1+Inputs!$D$7)^BI$2))),(_xlfn.WEIBULL.DIST(BI$2,$M84,$L84,FALSE)*$U84*((1+Inputs!$D$7)^BI$2))),IF($N84=Lists!$K$3,IF($L84&lt;1,((($T84*(1-$F84)+$S84*(1-$G84))/$L84)*((1+Inputs!$D$7)^BI$2)),((INT(BI$2/$L84)-INT((BI$2-1)/$L84))*($T84*(1-$F84)+$S84*(1-$G84))*((1+Inputs!$D$7)^BI$2))),((_xlfn.WEIBULL.DIST(BI$2,$M84,$L84,FALSE)*($T84*(1-$F84)+$S84*(1-$G84))*((1+Inputs!$D$7)^BI$2))))))</f>
        <v>0</v>
      </c>
      <c r="BJ84" s="88">
        <f>$E84*IF(BJ$2&gt;Inputs!$D$5,0,IF(BJ$2&gt;VLOOKUP($H84,Lists!$P$3:$Q$7,2),IF($N84=Lists!$K$3,IF($L84&lt;1,(($U84/$L84)*((1+Inputs!$D$7)^BJ$2)),((INT(BJ$2/$L84)-INT((BJ$2-1)/$L84))*$U84*((1+Inputs!$D$7)^BJ$2))),(_xlfn.WEIBULL.DIST(BJ$2,$M84,$L84,FALSE)*$U84*((1+Inputs!$D$7)^BJ$2))),IF($N84=Lists!$K$3,IF($L84&lt;1,((($T84*(1-$F84)+$S84*(1-$G84))/$L84)*((1+Inputs!$D$7)^BJ$2)),((INT(BJ$2/$L84)-INT((BJ$2-1)/$L84))*($T84*(1-$F84)+$S84*(1-$G84))*((1+Inputs!$D$7)^BJ$2))),((_xlfn.WEIBULL.DIST(BJ$2,$M84,$L84,FALSE)*($T84*(1-$F84)+$S84*(1-$G84))*((1+Inputs!$D$7)^BJ$2))))))</f>
        <v>0</v>
      </c>
      <c r="BK84" s="88">
        <f>$E84*IF(BK$2&gt;Inputs!$D$5,0,IF(BK$2&gt;VLOOKUP($H84,Lists!$P$3:$Q$7,2),IF($N84=Lists!$K$3,IF($L84&lt;1,(($U84/$L84)*((1+Inputs!$D$7)^BK$2)),((INT(BK$2/$L84)-INT((BK$2-1)/$L84))*$U84*((1+Inputs!$D$7)^BK$2))),(_xlfn.WEIBULL.DIST(BK$2,$M84,$L84,FALSE)*$U84*((1+Inputs!$D$7)^BK$2))),IF($N84=Lists!$K$3,IF($L84&lt;1,((($T84*(1-$F84)+$S84*(1-$G84))/$L84)*((1+Inputs!$D$7)^BK$2)),((INT(BK$2/$L84)-INT((BK$2-1)/$L84))*($T84*(1-$F84)+$S84*(1-$G84))*((1+Inputs!$D$7)^BK$2))),((_xlfn.WEIBULL.DIST(BK$2,$M84,$L84,FALSE)*($T84*(1-$F84)+$S84*(1-$G84))*((1+Inputs!$D$7)^BK$2))))))</f>
        <v>0</v>
      </c>
      <c r="BL84" s="88">
        <f>$E84*IF(BL$2&gt;Inputs!$D$5,0,IF(BL$2&gt;VLOOKUP($H84,Lists!$P$3:$Q$7,2),IF($N84=Lists!$K$3,IF($L84&lt;1,(($U84/$L84)*((1+Inputs!$D$7)^BL$2)),((INT(BL$2/$L84)-INT((BL$2-1)/$L84))*$U84*((1+Inputs!$D$7)^BL$2))),(_xlfn.WEIBULL.DIST(BL$2,$M84,$L84,FALSE)*$U84*((1+Inputs!$D$7)^BL$2))),IF($N84=Lists!$K$3,IF($L84&lt;1,((($T84*(1-$F84)+$S84*(1-$G84))/$L84)*((1+Inputs!$D$7)^BL$2)),((INT(BL$2/$L84)-INT((BL$2-1)/$L84))*($T84*(1-$F84)+$S84*(1-$G84))*((1+Inputs!$D$7)^BL$2))),((_xlfn.WEIBULL.DIST(BL$2,$M84,$L84,FALSE)*($T84*(1-$F84)+$S84*(1-$G84))*((1+Inputs!$D$7)^BL$2))))))</f>
        <v>0</v>
      </c>
      <c r="BM84" s="88">
        <f>$E84*IF(BM$2&gt;Inputs!$D$5,0,IF(BM$2&gt;VLOOKUP($H84,Lists!$P$3:$Q$7,2),IF($N84=Lists!$K$3,IF($L84&lt;1,(($U84/$L84)*((1+Inputs!$D$7)^BM$2)),((INT(BM$2/$L84)-INT((BM$2-1)/$L84))*$U84*((1+Inputs!$D$7)^BM$2))),(_xlfn.WEIBULL.DIST(BM$2,$M84,$L84,FALSE)*$U84*((1+Inputs!$D$7)^BM$2))),IF($N84=Lists!$K$3,IF($L84&lt;1,((($T84*(1-$F84)+$S84*(1-$G84))/$L84)*((1+Inputs!$D$7)^BM$2)),((INT(BM$2/$L84)-INT((BM$2-1)/$L84))*($T84*(1-$F84)+$S84*(1-$G84))*((1+Inputs!$D$7)^BM$2))),((_xlfn.WEIBULL.DIST(BM$2,$M84,$L84,FALSE)*($T84*(1-$F84)+$S84*(1-$G84))*((1+Inputs!$D$7)^BM$2))))))</f>
        <v>0</v>
      </c>
      <c r="BN84" s="88">
        <f>$E84*IF(BN$2&gt;Inputs!$D$5,0,IF(BN$2&gt;VLOOKUP($H84,Lists!$P$3:$Q$7,2),IF($N84=Lists!$K$3,IF($L84&lt;1,(($U84/$L84)*((1+Inputs!$D$7)^BN$2)),((INT(BN$2/$L84)-INT((BN$2-1)/$L84))*$U84*((1+Inputs!$D$7)^BN$2))),(_xlfn.WEIBULL.DIST(BN$2,$M84,$L84,FALSE)*$U84*((1+Inputs!$D$7)^BN$2))),IF($N84=Lists!$K$3,IF($L84&lt;1,((($T84*(1-$F84)+$S84*(1-$G84))/$L84)*((1+Inputs!$D$7)^BN$2)),((INT(BN$2/$L84)-INT((BN$2-1)/$L84))*($T84*(1-$F84)+$S84*(1-$G84))*((1+Inputs!$D$7)^BN$2))),((_xlfn.WEIBULL.DIST(BN$2,$M84,$L84,FALSE)*($T84*(1-$F84)+$S84*(1-$G84))*((1+Inputs!$D$7)^BN$2))))))</f>
        <v>0</v>
      </c>
      <c r="BO84" s="64">
        <f>NPV(Inputs!$D$6,BQ84:DD84)</f>
        <v>11119.565486174735</v>
      </c>
      <c r="BP84" s="67">
        <f t="shared" si="20"/>
        <v>5.244529948338841E-3</v>
      </c>
      <c r="BQ84" s="88">
        <f>MAX(AA84,($E84*IF(BQ$2&gt;Inputs!$D$5,0,IF(BQ$2&gt;VLOOKUP($H84,Lists!$P$3:$Q$7,2),IF($N84=Lists!$K$3,IF($L84&lt;1,(($U84/$L84)*((1+Inputs!$D$7)^BQ$2)),((INT(BQ$2/$L84)-INT((BQ$2-1)/$L84))*$U84*((1+Inputs!$D$7)^BQ$2))),(Inputs!$D$8^((1-_xlfn.WEIBULL.DIST(BQ$2,$M84,$L84,FALSE))/_xlfn.WEIBULL.DIST(BQ$2,$M84,$L84,FALSE))*$U84*((1+Inputs!$D$7)^BQ$2))),IF($N84=Lists!$K$3,IF($L84&lt;1,((($T84*(1-$F84)+$S84*(1-$G84))/$L84)*((1+Inputs!$D$7)^BQ$2)),((INT(BQ$2/$L84)-INT((BQ$2-1)/$L84))*($T84*(1-$F84)+$S84*(1-$G84))*((1+Inputs!$D$7)^BQ$2))),((Inputs!$D$8^((1-_xlfn.WEIBULL.DIST(BQ$2,$M84,$L84,FALSE))/_xlfn.WEIBULL.DIST(BQ$2,$M84,$L84,FALSE))*($T84*(1-$F84)+$S84*(1-$G84))*((1+Inputs!$D$7)^BQ$2))))))))</f>
        <v>796.85048076923078</v>
      </c>
      <c r="BR84" s="88">
        <f>MAX(AB84,($E84*IF(BR$2&gt;Inputs!$D$5,0,IF(BR$2&gt;VLOOKUP($H84,Lists!$P$3:$Q$7,2),IF($N84=Lists!$K$3,IF($L84&lt;1,(($U84/$L84)*((1+Inputs!$D$7)^BR$2)),((INT(BR$2/$L84)-INT((BR$2-1)/$L84))*$U84*((1+Inputs!$D$7)^BR$2))),(Inputs!$D$8^((1-_xlfn.WEIBULL.DIST(BR$2,$M84,$L84,FALSE))/_xlfn.WEIBULL.DIST(BR$2,$M84,$L84,FALSE))*$U84*((1+Inputs!$D$7)^BR$2))),IF($N84=Lists!$K$3,IF($L84&lt;1,((($T84*(1-$F84)+$S84*(1-$G84))/$L84)*((1+Inputs!$D$7)^BR$2)),((INT(BR$2/$L84)-INT((BR$2-1)/$L84))*($T84*(1-$F84)+$S84*(1-$G84))*((1+Inputs!$D$7)^BR$2))),((Inputs!$D$8^((1-_xlfn.WEIBULL.DIST(BR$2,$M84,$L84,FALSE))/_xlfn.WEIBULL.DIST(BR$2,$M84,$L84,FALSE))*($T84*(1-$F84)+$S84*(1-$G84))*((1+Inputs!$D$7)^BR$2))))))))</f>
        <v>812.78749038461535</v>
      </c>
      <c r="BS84" s="88">
        <f>MAX(AC84,($E84*IF(BS$2&gt;Inputs!$D$5,0,IF(BS$2&gt;VLOOKUP($H84,Lists!$P$3:$Q$7,2),IF($N84=Lists!$K$3,IF($L84&lt;1,(($U84/$L84)*((1+Inputs!$D$7)^BS$2)),((INT(BS$2/$L84)-INT((BS$2-1)/$L84))*$U84*((1+Inputs!$D$7)^BS$2))),(Inputs!$D$8^((1-_xlfn.WEIBULL.DIST(BS$2,$M84,$L84,FALSE))/_xlfn.WEIBULL.DIST(BS$2,$M84,$L84,FALSE))*$U84*((1+Inputs!$D$7)^BS$2))),IF($N84=Lists!$K$3,IF($L84&lt;1,((($T84*(1-$F84)+$S84*(1-$G84))/$L84)*((1+Inputs!$D$7)^BS$2)),((INT(BS$2/$L84)-INT((BS$2-1)/$L84))*($T84*(1-$F84)+$S84*(1-$G84))*((1+Inputs!$D$7)^BS$2))),((Inputs!$D$8^((1-_xlfn.WEIBULL.DIST(BS$2,$M84,$L84,FALSE))/_xlfn.WEIBULL.DIST(BS$2,$M84,$L84,FALSE))*($T84*(1-$F84)+$S84*(1-$G84))*((1+Inputs!$D$7)^BS$2))))))))</f>
        <v>829.04324019230762</v>
      </c>
      <c r="BT84" s="88">
        <f>MAX(AD84,($E84*IF(BT$2&gt;Inputs!$D$5,0,IF(BT$2&gt;VLOOKUP($H84,Lists!$P$3:$Q$7,2),IF($N84=Lists!$K$3,IF($L84&lt;1,(($U84/$L84)*((1+Inputs!$D$7)^BT$2)),((INT(BT$2/$L84)-INT((BT$2-1)/$L84))*$U84*((1+Inputs!$D$7)^BT$2))),(Inputs!$D$8^((1-_xlfn.WEIBULL.DIST(BT$2,$M84,$L84,FALSE))/_xlfn.WEIBULL.DIST(BT$2,$M84,$L84,FALSE))*$U84*((1+Inputs!$D$7)^BT$2))),IF($N84=Lists!$K$3,IF($L84&lt;1,((($T84*(1-$F84)+$S84*(1-$G84))/$L84)*((1+Inputs!$D$7)^BT$2)),((INT(BT$2/$L84)-INT((BT$2-1)/$L84))*($T84*(1-$F84)+$S84*(1-$G84))*((1+Inputs!$D$7)^BT$2))),((Inputs!$D$8^((1-_xlfn.WEIBULL.DIST(BT$2,$M84,$L84,FALSE))/_xlfn.WEIBULL.DIST(BT$2,$M84,$L84,FALSE))*($T84*(1-$F84)+$S84*(1-$G84))*((1+Inputs!$D$7)^BT$2))))))))</f>
        <v>845.62410499615385</v>
      </c>
      <c r="BU84" s="88">
        <f>MAX(AE84,($E84*IF(BU$2&gt;Inputs!$D$5,0,IF(BU$2&gt;VLOOKUP($H84,Lists!$P$3:$Q$7,2),IF($N84=Lists!$K$3,IF($L84&lt;1,(($U84/$L84)*((1+Inputs!$D$7)^BU$2)),((INT(BU$2/$L84)-INT((BU$2-1)/$L84))*$U84*((1+Inputs!$D$7)^BU$2))),(Inputs!$D$8^((1-_xlfn.WEIBULL.DIST(BU$2,$M84,$L84,FALSE))/_xlfn.WEIBULL.DIST(BU$2,$M84,$L84,FALSE))*$U84*((1+Inputs!$D$7)^BU$2))),IF($N84=Lists!$K$3,IF($L84&lt;1,((($T84*(1-$F84)+$S84*(1-$G84))/$L84)*((1+Inputs!$D$7)^BU$2)),((INT(BU$2/$L84)-INT((BU$2-1)/$L84))*($T84*(1-$F84)+$S84*(1-$G84))*((1+Inputs!$D$7)^BU$2))),((Inputs!$D$8^((1-_xlfn.WEIBULL.DIST(BU$2,$M84,$L84,FALSE))/_xlfn.WEIBULL.DIST(BU$2,$M84,$L84,FALSE))*($T84*(1-$F84)+$S84*(1-$G84))*((1+Inputs!$D$7)^BU$2))))))))</f>
        <v>862.53658709607691</v>
      </c>
      <c r="BV84" s="88">
        <f>MAX(AF84,($E84*IF(BV$2&gt;Inputs!$D$5,0,IF(BV$2&gt;VLOOKUP($H84,Lists!$P$3:$Q$7,2),IF($N84=Lists!$K$3,IF($L84&lt;1,(($U84/$L84)*((1+Inputs!$D$7)^BV$2)),((INT(BV$2/$L84)-INT((BV$2-1)/$L84))*$U84*((1+Inputs!$D$7)^BV$2))),(Inputs!$D$8^((1-_xlfn.WEIBULL.DIST(BV$2,$M84,$L84,FALSE))/_xlfn.WEIBULL.DIST(BV$2,$M84,$L84,FALSE))*$U84*((1+Inputs!$D$7)^BV$2))),IF($N84=Lists!$K$3,IF($L84&lt;1,((($T84*(1-$F84)+$S84*(1-$G84))/$L84)*((1+Inputs!$D$7)^BV$2)),((INT(BV$2/$L84)-INT((BV$2-1)/$L84))*($T84*(1-$F84)+$S84*(1-$G84))*((1+Inputs!$D$7)^BV$2))),((Inputs!$D$8^((1-_xlfn.WEIBULL.DIST(BV$2,$M84,$L84,FALSE))/_xlfn.WEIBULL.DIST(BV$2,$M84,$L84,FALSE))*($T84*(1-$F84)+$S84*(1-$G84))*((1+Inputs!$D$7)^BV$2))))))))</f>
        <v>879.78731883799855</v>
      </c>
      <c r="BW84" s="88">
        <f>MAX(AG84,($E84*IF(BW$2&gt;Inputs!$D$5,0,IF(BW$2&gt;VLOOKUP($H84,Lists!$P$3:$Q$7,2),IF($N84=Lists!$K$3,IF($L84&lt;1,(($U84/$L84)*((1+Inputs!$D$7)^BW$2)),((INT(BW$2/$L84)-INT((BW$2-1)/$L84))*$U84*((1+Inputs!$D$7)^BW$2))),(Inputs!$D$8^((1-_xlfn.WEIBULL.DIST(BW$2,$M84,$L84,FALSE))/_xlfn.WEIBULL.DIST(BW$2,$M84,$L84,FALSE))*$U84*((1+Inputs!$D$7)^BW$2))),IF($N84=Lists!$K$3,IF($L84&lt;1,((($T84*(1-$F84)+$S84*(1-$G84))/$L84)*((1+Inputs!$D$7)^BW$2)),((INT(BW$2/$L84)-INT((BW$2-1)/$L84))*($T84*(1-$F84)+$S84*(1-$G84))*((1+Inputs!$D$7)^BW$2))),((Inputs!$D$8^((1-_xlfn.WEIBULL.DIST(BW$2,$M84,$L84,FALSE))/_xlfn.WEIBULL.DIST(BW$2,$M84,$L84,FALSE))*($T84*(1-$F84)+$S84*(1-$G84))*((1+Inputs!$D$7)^BW$2))))))))</f>
        <v>897.38306521475829</v>
      </c>
      <c r="BX84" s="88">
        <f>MAX(AH84,($E84*IF(BX$2&gt;Inputs!$D$5,0,IF(BX$2&gt;VLOOKUP($H84,Lists!$P$3:$Q$7,2),IF($N84=Lists!$K$3,IF($L84&lt;1,(($U84/$L84)*((1+Inputs!$D$7)^BX$2)),((INT(BX$2/$L84)-INT((BX$2-1)/$L84))*$U84*((1+Inputs!$D$7)^BX$2))),(Inputs!$D$8^((1-_xlfn.WEIBULL.DIST(BX$2,$M84,$L84,FALSE))/_xlfn.WEIBULL.DIST(BX$2,$M84,$L84,FALSE))*$U84*((1+Inputs!$D$7)^BX$2))),IF($N84=Lists!$K$3,IF($L84&lt;1,((($T84*(1-$F84)+$S84*(1-$G84))/$L84)*((1+Inputs!$D$7)^BX$2)),((INT(BX$2/$L84)-INT((BX$2-1)/$L84))*($T84*(1-$F84)+$S84*(1-$G84))*((1+Inputs!$D$7)^BX$2))),((Inputs!$D$8^((1-_xlfn.WEIBULL.DIST(BX$2,$M84,$L84,FALSE))/_xlfn.WEIBULL.DIST(BX$2,$M84,$L84,FALSE))*($T84*(1-$F84)+$S84*(1-$G84))*((1+Inputs!$D$7)^BX$2))))))))</f>
        <v>915.33072651905354</v>
      </c>
      <c r="BY84" s="88">
        <f>MAX(AI84,($E84*IF(BY$2&gt;Inputs!$D$5,0,IF(BY$2&gt;VLOOKUP($H84,Lists!$P$3:$Q$7,2),IF($N84=Lists!$K$3,IF($L84&lt;1,(($U84/$L84)*((1+Inputs!$D$7)^BY$2)),((INT(BY$2/$L84)-INT((BY$2-1)/$L84))*$U84*((1+Inputs!$D$7)^BY$2))),(Inputs!$D$8^((1-_xlfn.WEIBULL.DIST(BY$2,$M84,$L84,FALSE))/_xlfn.WEIBULL.DIST(BY$2,$M84,$L84,FALSE))*$U84*((1+Inputs!$D$7)^BY$2))),IF($N84=Lists!$K$3,IF($L84&lt;1,((($T84*(1-$F84)+$S84*(1-$G84))/$L84)*((1+Inputs!$D$7)^BY$2)),((INT(BY$2/$L84)-INT((BY$2-1)/$L84))*($T84*(1-$F84)+$S84*(1-$G84))*((1+Inputs!$D$7)^BY$2))),((Inputs!$D$8^((1-_xlfn.WEIBULL.DIST(BY$2,$M84,$L84,FALSE))/_xlfn.WEIBULL.DIST(BY$2,$M84,$L84,FALSE))*($T84*(1-$F84)+$S84*(1-$G84))*((1+Inputs!$D$7)^BY$2))))))))</f>
        <v>933.63734104943467</v>
      </c>
      <c r="BZ84" s="88">
        <f>MAX(AJ84,($E84*IF(BZ$2&gt;Inputs!$D$5,0,IF(BZ$2&gt;VLOOKUP($H84,Lists!$P$3:$Q$7,2),IF($N84=Lists!$K$3,IF($L84&lt;1,(($U84/$L84)*((1+Inputs!$D$7)^BZ$2)),((INT(BZ$2/$L84)-INT((BZ$2-1)/$L84))*$U84*((1+Inputs!$D$7)^BZ$2))),(Inputs!$D$8^((1-_xlfn.WEIBULL.DIST(BZ$2,$M84,$L84,FALSE))/_xlfn.WEIBULL.DIST(BZ$2,$M84,$L84,FALSE))*$U84*((1+Inputs!$D$7)^BZ$2))),IF($N84=Lists!$K$3,IF($L84&lt;1,((($T84*(1-$F84)+$S84*(1-$G84))/$L84)*((1+Inputs!$D$7)^BZ$2)),((INT(BZ$2/$L84)-INT((BZ$2-1)/$L84))*($T84*(1-$F84)+$S84*(1-$G84))*((1+Inputs!$D$7)^BZ$2))),((Inputs!$D$8^((1-_xlfn.WEIBULL.DIST(BZ$2,$M84,$L84,FALSE))/_xlfn.WEIBULL.DIST(BZ$2,$M84,$L84,FALSE))*($T84*(1-$F84)+$S84*(1-$G84))*((1+Inputs!$D$7)^BZ$2))))))))</f>
        <v>952.31008787042333</v>
      </c>
      <c r="CA84" s="88">
        <f>MAX(AK84,($E84*IF(CA$2&gt;Inputs!$D$5,0,IF(CA$2&gt;VLOOKUP($H84,Lists!$P$3:$Q$7,2),IF($N84=Lists!$K$3,IF($L84&lt;1,(($U84/$L84)*((1+Inputs!$D$7)^CA$2)),((INT(CA$2/$L84)-INT((CA$2-1)/$L84))*$U84*((1+Inputs!$D$7)^CA$2))),(Inputs!$D$8^((1-_xlfn.WEIBULL.DIST(CA$2,$M84,$L84,FALSE))/_xlfn.WEIBULL.DIST(CA$2,$M84,$L84,FALSE))*$U84*((1+Inputs!$D$7)^CA$2))),IF($N84=Lists!$K$3,IF($L84&lt;1,((($T84*(1-$F84)+$S84*(1-$G84))/$L84)*((1+Inputs!$D$7)^CA$2)),((INT(CA$2/$L84)-INT((CA$2-1)/$L84))*($T84*(1-$F84)+$S84*(1-$G84))*((1+Inputs!$D$7)^CA$2))),((Inputs!$D$8^((1-_xlfn.WEIBULL.DIST(CA$2,$M84,$L84,FALSE))/_xlfn.WEIBULL.DIST(CA$2,$M84,$L84,FALSE))*($T84*(1-$F84)+$S84*(1-$G84))*((1+Inputs!$D$7)^CA$2))))))))</f>
        <v>971.35628962783164</v>
      </c>
      <c r="CB84" s="88">
        <f>MAX(AL84,($E84*IF(CB$2&gt;Inputs!$D$5,0,IF(CB$2&gt;VLOOKUP($H84,Lists!$P$3:$Q$7,2),IF($N84=Lists!$K$3,IF($L84&lt;1,(($U84/$L84)*((1+Inputs!$D$7)^CB$2)),((INT(CB$2/$L84)-INT((CB$2-1)/$L84))*$U84*((1+Inputs!$D$7)^CB$2))),(Inputs!$D$8^((1-_xlfn.WEIBULL.DIST(CB$2,$M84,$L84,FALSE))/_xlfn.WEIBULL.DIST(CB$2,$M84,$L84,FALSE))*$U84*((1+Inputs!$D$7)^CB$2))),IF($N84=Lists!$K$3,IF($L84&lt;1,((($T84*(1-$F84)+$S84*(1-$G84))/$L84)*((1+Inputs!$D$7)^CB$2)),((INT(CB$2/$L84)-INT((CB$2-1)/$L84))*($T84*(1-$F84)+$S84*(1-$G84))*((1+Inputs!$D$7)^CB$2))),((Inputs!$D$8^((1-_xlfn.WEIBULL.DIST(CB$2,$M84,$L84,FALSE))/_xlfn.WEIBULL.DIST(CB$2,$M84,$L84,FALSE))*($T84*(1-$F84)+$S84*(1-$G84))*((1+Inputs!$D$7)^CB$2))))))))</f>
        <v>990.78341542038845</v>
      </c>
      <c r="CC84" s="88">
        <f>MAX(AM84,($E84*IF(CC$2&gt;Inputs!$D$5,0,IF(CC$2&gt;VLOOKUP($H84,Lists!$P$3:$Q$7,2),IF($N84=Lists!$K$3,IF($L84&lt;1,(($U84/$L84)*((1+Inputs!$D$7)^CC$2)),((INT(CC$2/$L84)-INT((CC$2-1)/$L84))*$U84*((1+Inputs!$D$7)^CC$2))),(Inputs!$D$8^((1-_xlfn.WEIBULL.DIST(CC$2,$M84,$L84,FALSE))/_xlfn.WEIBULL.DIST(CC$2,$M84,$L84,FALSE))*$U84*((1+Inputs!$D$7)^CC$2))),IF($N84=Lists!$K$3,IF($L84&lt;1,((($T84*(1-$F84)+$S84*(1-$G84))/$L84)*((1+Inputs!$D$7)^CC$2)),((INT(CC$2/$L84)-INT((CC$2-1)/$L84))*($T84*(1-$F84)+$S84*(1-$G84))*((1+Inputs!$D$7)^CC$2))),((Inputs!$D$8^((1-_xlfn.WEIBULL.DIST(CC$2,$M84,$L84,FALSE))/_xlfn.WEIBULL.DIST(CC$2,$M84,$L84,FALSE))*($T84*(1-$F84)+$S84*(1-$G84))*((1+Inputs!$D$7)^CC$2))))))))</f>
        <v>1010.5990837287961</v>
      </c>
      <c r="CD84" s="88">
        <f>MAX(AN84,($E84*IF(CD$2&gt;Inputs!$D$5,0,IF(CD$2&gt;VLOOKUP($H84,Lists!$P$3:$Q$7,2),IF($N84=Lists!$K$3,IF($L84&lt;1,(($U84/$L84)*((1+Inputs!$D$7)^CD$2)),((INT(CD$2/$L84)-INT((CD$2-1)/$L84))*$U84*((1+Inputs!$D$7)^CD$2))),(Inputs!$D$8^((1-_xlfn.WEIBULL.DIST(CD$2,$M84,$L84,FALSE))/_xlfn.WEIBULL.DIST(CD$2,$M84,$L84,FALSE))*$U84*((1+Inputs!$D$7)^CD$2))),IF($N84=Lists!$K$3,IF($L84&lt;1,((($T84*(1-$F84)+$S84*(1-$G84))/$L84)*((1+Inputs!$D$7)^CD$2)),((INT(CD$2/$L84)-INT((CD$2-1)/$L84))*($T84*(1-$F84)+$S84*(1-$G84))*((1+Inputs!$D$7)^CD$2))),((Inputs!$D$8^((1-_xlfn.WEIBULL.DIST(CD$2,$M84,$L84,FALSE))/_xlfn.WEIBULL.DIST(CD$2,$M84,$L84,FALSE))*($T84*(1-$F84)+$S84*(1-$G84))*((1+Inputs!$D$7)^CD$2))))))))</f>
        <v>1030.8110654033721</v>
      </c>
      <c r="CE84" s="88">
        <f>MAX(AO84,($E84*IF(CE$2&gt;Inputs!$D$5,0,IF(CE$2&gt;VLOOKUP($H84,Lists!$P$3:$Q$7,2),IF($N84=Lists!$K$3,IF($L84&lt;1,(($U84/$L84)*((1+Inputs!$D$7)^CE$2)),((INT(CE$2/$L84)-INT((CE$2-1)/$L84))*$U84*((1+Inputs!$D$7)^CE$2))),(Inputs!$D$8^((1-_xlfn.WEIBULL.DIST(CE$2,$M84,$L84,FALSE))/_xlfn.WEIBULL.DIST(CE$2,$M84,$L84,FALSE))*$U84*((1+Inputs!$D$7)^CE$2))),IF($N84=Lists!$K$3,IF($L84&lt;1,((($T84*(1-$F84)+$S84*(1-$G84))/$L84)*((1+Inputs!$D$7)^CE$2)),((INT(CE$2/$L84)-INT((CE$2-1)/$L84))*($T84*(1-$F84)+$S84*(1-$G84))*((1+Inputs!$D$7)^CE$2))),((Inputs!$D$8^((1-_xlfn.WEIBULL.DIST(CE$2,$M84,$L84,FALSE))/_xlfn.WEIBULL.DIST(CE$2,$M84,$L84,FALSE))*($T84*(1-$F84)+$S84*(1-$G84))*((1+Inputs!$D$7)^CE$2))))))))</f>
        <v>1051.4272867114394</v>
      </c>
      <c r="CF84" s="88">
        <f>MAX(AP84,($E84*IF(CF$2&gt;Inputs!$D$5,0,IF(CF$2&gt;VLOOKUP($H84,Lists!$P$3:$Q$7,2),IF($N84=Lists!$K$3,IF($L84&lt;1,(($U84/$L84)*((1+Inputs!$D$7)^CF$2)),((INT(CF$2/$L84)-INT((CF$2-1)/$L84))*$U84*((1+Inputs!$D$7)^CF$2))),(Inputs!$D$8^((1-_xlfn.WEIBULL.DIST(CF$2,$M84,$L84,FALSE))/_xlfn.WEIBULL.DIST(CF$2,$M84,$L84,FALSE))*$U84*((1+Inputs!$D$7)^CF$2))),IF($N84=Lists!$K$3,IF($L84&lt;1,((($T84*(1-$F84)+$S84*(1-$G84))/$L84)*((1+Inputs!$D$7)^CF$2)),((INT(CF$2/$L84)-INT((CF$2-1)/$L84))*($T84*(1-$F84)+$S84*(1-$G84))*((1+Inputs!$D$7)^CF$2))),((Inputs!$D$8^((1-_xlfn.WEIBULL.DIST(CF$2,$M84,$L84,FALSE))/_xlfn.WEIBULL.DIST(CF$2,$M84,$L84,FALSE))*($T84*(1-$F84)+$S84*(1-$G84))*((1+Inputs!$D$7)^CF$2))))))))</f>
        <v>1072.4558324456682</v>
      </c>
      <c r="CG84" s="88">
        <f>MAX(AQ84,($E84*IF(CG$2&gt;Inputs!$D$5,0,IF(CG$2&gt;VLOOKUP($H84,Lists!$P$3:$Q$7,2),IF($N84=Lists!$K$3,IF($L84&lt;1,(($U84/$L84)*((1+Inputs!$D$7)^CG$2)),((INT(CG$2/$L84)-INT((CG$2-1)/$L84))*$U84*((1+Inputs!$D$7)^CG$2))),(Inputs!$D$8^((1-_xlfn.WEIBULL.DIST(CG$2,$M84,$L84,FALSE))/_xlfn.WEIBULL.DIST(CG$2,$M84,$L84,FALSE))*$U84*((1+Inputs!$D$7)^CG$2))),IF($N84=Lists!$K$3,IF($L84&lt;1,((($T84*(1-$F84)+$S84*(1-$G84))/$L84)*((1+Inputs!$D$7)^CG$2)),((INT(CG$2/$L84)-INT((CG$2-1)/$L84))*($T84*(1-$F84)+$S84*(1-$G84))*((1+Inputs!$D$7)^CG$2))),((Inputs!$D$8^((1-_xlfn.WEIBULL.DIST(CG$2,$M84,$L84,FALSE))/_xlfn.WEIBULL.DIST(CG$2,$M84,$L84,FALSE))*($T84*(1-$F84)+$S84*(1-$G84))*((1+Inputs!$D$7)^CG$2))))))))</f>
        <v>1093.9049490945818</v>
      </c>
      <c r="CH84" s="88">
        <f>MAX(AR84,($E84*IF(CH$2&gt;Inputs!$D$5,0,IF(CH$2&gt;VLOOKUP($H84,Lists!$P$3:$Q$7,2),IF($N84=Lists!$K$3,IF($L84&lt;1,(($U84/$L84)*((1+Inputs!$D$7)^CH$2)),((INT(CH$2/$L84)-INT((CH$2-1)/$L84))*$U84*((1+Inputs!$D$7)^CH$2))),(Inputs!$D$8^((1-_xlfn.WEIBULL.DIST(CH$2,$M84,$L84,FALSE))/_xlfn.WEIBULL.DIST(CH$2,$M84,$L84,FALSE))*$U84*((1+Inputs!$D$7)^CH$2))),IF($N84=Lists!$K$3,IF($L84&lt;1,((($T84*(1-$F84)+$S84*(1-$G84))/$L84)*((1+Inputs!$D$7)^CH$2)),((INT(CH$2/$L84)-INT((CH$2-1)/$L84))*($T84*(1-$F84)+$S84*(1-$G84))*((1+Inputs!$D$7)^CH$2))),((Inputs!$D$8^((1-_xlfn.WEIBULL.DIST(CH$2,$M84,$L84,FALSE))/_xlfn.WEIBULL.DIST(CH$2,$M84,$L84,FALSE))*($T84*(1-$F84)+$S84*(1-$G84))*((1+Inputs!$D$7)^CH$2))))))))</f>
        <v>1115.7830480764733</v>
      </c>
      <c r="CI84" s="88">
        <f>MAX(AS84,($E84*IF(CI$2&gt;Inputs!$D$5,0,IF(CI$2&gt;VLOOKUP($H84,Lists!$P$3:$Q$7,2),IF($N84=Lists!$K$3,IF($L84&lt;1,(($U84/$L84)*((1+Inputs!$D$7)^CI$2)),((INT(CI$2/$L84)-INT((CI$2-1)/$L84))*$U84*((1+Inputs!$D$7)^CI$2))),(Inputs!$D$8^((1-_xlfn.WEIBULL.DIST(CI$2,$M84,$L84,FALSE))/_xlfn.WEIBULL.DIST(CI$2,$M84,$L84,FALSE))*$U84*((1+Inputs!$D$7)^CI$2))),IF($N84=Lists!$K$3,IF($L84&lt;1,((($T84*(1-$F84)+$S84*(1-$G84))/$L84)*((1+Inputs!$D$7)^CI$2)),((INT(CI$2/$L84)-INT((CI$2-1)/$L84))*($T84*(1-$F84)+$S84*(1-$G84))*((1+Inputs!$D$7)^CI$2))),((Inputs!$D$8^((1-_xlfn.WEIBULL.DIST(CI$2,$M84,$L84,FALSE))/_xlfn.WEIBULL.DIST(CI$2,$M84,$L84,FALSE))*($T84*(1-$F84)+$S84*(1-$G84))*((1+Inputs!$D$7)^CI$2))))))))</f>
        <v>1138.0987090380027</v>
      </c>
      <c r="CJ84" s="88">
        <f>MAX(AT84,($E84*IF(CJ$2&gt;Inputs!$D$5,0,IF(CJ$2&gt;VLOOKUP($H84,Lists!$P$3:$Q$7,2),IF($N84=Lists!$K$3,IF($L84&lt;1,(($U84/$L84)*((1+Inputs!$D$7)^CJ$2)),((INT(CJ$2/$L84)-INT((CJ$2-1)/$L84))*$U84*((1+Inputs!$D$7)^CJ$2))),(Inputs!$D$8^((1-_xlfn.WEIBULL.DIST(CJ$2,$M84,$L84,FALSE))/_xlfn.WEIBULL.DIST(CJ$2,$M84,$L84,FALSE))*$U84*((1+Inputs!$D$7)^CJ$2))),IF($N84=Lists!$K$3,IF($L84&lt;1,((($T84*(1-$F84)+$S84*(1-$G84))/$L84)*((1+Inputs!$D$7)^CJ$2)),((INT(CJ$2/$L84)-INT((CJ$2-1)/$L84))*($T84*(1-$F84)+$S84*(1-$G84))*((1+Inputs!$D$7)^CJ$2))),((Inputs!$D$8^((1-_xlfn.WEIBULL.DIST(CJ$2,$M84,$L84,FALSE))/_xlfn.WEIBULL.DIST(CJ$2,$M84,$L84,FALSE))*($T84*(1-$F84)+$S84*(1-$G84))*((1+Inputs!$D$7)^CJ$2))))))))</f>
        <v>1160.8606832187629</v>
      </c>
      <c r="CK84" s="88">
        <f>MAX(AU84,($E84*IF(CK$2&gt;Inputs!$D$5,0,IF(CK$2&gt;VLOOKUP($H84,Lists!$P$3:$Q$7,2),IF($N84=Lists!$K$3,IF($L84&lt;1,(($U84/$L84)*((1+Inputs!$D$7)^CK$2)),((INT(CK$2/$L84)-INT((CK$2-1)/$L84))*$U84*((1+Inputs!$D$7)^CK$2))),(Inputs!$D$8^((1-_xlfn.WEIBULL.DIST(CK$2,$M84,$L84,FALSE))/_xlfn.WEIBULL.DIST(CK$2,$M84,$L84,FALSE))*$U84*((1+Inputs!$D$7)^CK$2))),IF($N84=Lists!$K$3,IF($L84&lt;1,((($T84*(1-$F84)+$S84*(1-$G84))/$L84)*((1+Inputs!$D$7)^CK$2)),((INT(CK$2/$L84)-INT((CK$2-1)/$L84))*($T84*(1-$F84)+$S84*(1-$G84))*((1+Inputs!$D$7)^CK$2))),((Inputs!$D$8^((1-_xlfn.WEIBULL.DIST(CK$2,$M84,$L84,FALSE))/_xlfn.WEIBULL.DIST(CK$2,$M84,$L84,FALSE))*($T84*(1-$F84)+$S84*(1-$G84))*((1+Inputs!$D$7)^CK$2))))))))</f>
        <v>1184.077896883138</v>
      </c>
      <c r="CL84" s="88">
        <f>MAX(AV84,($E84*IF(CL$2&gt;Inputs!$D$5,0,IF(CL$2&gt;VLOOKUP($H84,Lists!$P$3:$Q$7,2),IF($N84=Lists!$K$3,IF($L84&lt;1,(($U84/$L84)*((1+Inputs!$D$7)^CL$2)),((INT(CL$2/$L84)-INT((CL$2-1)/$L84))*$U84*((1+Inputs!$D$7)^CL$2))),(Inputs!$D$8^((1-_xlfn.WEIBULL.DIST(CL$2,$M84,$L84,FALSE))/_xlfn.WEIBULL.DIST(CL$2,$M84,$L84,FALSE))*$U84*((1+Inputs!$D$7)^CL$2))),IF($N84=Lists!$K$3,IF($L84&lt;1,((($T84*(1-$F84)+$S84*(1-$G84))/$L84)*((1+Inputs!$D$7)^CL$2)),((INT(CL$2/$L84)-INT((CL$2-1)/$L84))*($T84*(1-$F84)+$S84*(1-$G84))*((1+Inputs!$D$7)^CL$2))),((Inputs!$D$8^((1-_xlfn.WEIBULL.DIST(CL$2,$M84,$L84,FALSE))/_xlfn.WEIBULL.DIST(CL$2,$M84,$L84,FALSE))*($T84*(1-$F84)+$S84*(1-$G84))*((1+Inputs!$D$7)^CL$2))))))))</f>
        <v>1207.7594548208008</v>
      </c>
      <c r="CM84" s="88">
        <f>MAX(AW84,($E84*IF(CM$2&gt;Inputs!$D$5,0,IF(CM$2&gt;VLOOKUP($H84,Lists!$P$3:$Q$7,2),IF($N84=Lists!$K$3,IF($L84&lt;1,(($U84/$L84)*((1+Inputs!$D$7)^CM$2)),((INT(CM$2/$L84)-INT((CM$2-1)/$L84))*$U84*((1+Inputs!$D$7)^CM$2))),(Inputs!$D$8^((1-_xlfn.WEIBULL.DIST(CM$2,$M84,$L84,FALSE))/_xlfn.WEIBULL.DIST(CM$2,$M84,$L84,FALSE))*$U84*((1+Inputs!$D$7)^CM$2))),IF($N84=Lists!$K$3,IF($L84&lt;1,((($T84*(1-$F84)+$S84*(1-$G84))/$L84)*((1+Inputs!$D$7)^CM$2)),((INT(CM$2/$L84)-INT((CM$2-1)/$L84))*($T84*(1-$F84)+$S84*(1-$G84))*((1+Inputs!$D$7)^CM$2))),((Inputs!$D$8^((1-_xlfn.WEIBULL.DIST(CM$2,$M84,$L84,FALSE))/_xlfn.WEIBULL.DIST(CM$2,$M84,$L84,FALSE))*($T84*(1-$F84)+$S84*(1-$G84))*((1+Inputs!$D$7)^CM$2))))))))</f>
        <v>1231.9146439172166</v>
      </c>
      <c r="CN84" s="88">
        <f>MAX(AX84,($E84*IF(CN$2&gt;Inputs!$D$5,0,IF(CN$2&gt;VLOOKUP($H84,Lists!$P$3:$Q$7,2),IF($N84=Lists!$K$3,IF($L84&lt;1,(($U84/$L84)*((1+Inputs!$D$7)^CN$2)),((INT(CN$2/$L84)-INT((CN$2-1)/$L84))*$U84*((1+Inputs!$D$7)^CN$2))),(Inputs!$D$8^((1-_xlfn.WEIBULL.DIST(CN$2,$M84,$L84,FALSE))/_xlfn.WEIBULL.DIST(CN$2,$M84,$L84,FALSE))*$U84*((1+Inputs!$D$7)^CN$2))),IF($N84=Lists!$K$3,IF($L84&lt;1,((($T84*(1-$F84)+$S84*(1-$G84))/$L84)*((1+Inputs!$D$7)^CN$2)),((INT(CN$2/$L84)-INT((CN$2-1)/$L84))*($T84*(1-$F84)+$S84*(1-$G84))*((1+Inputs!$D$7)^CN$2))),((Inputs!$D$8^((1-_xlfn.WEIBULL.DIST(CN$2,$M84,$L84,FALSE))/_xlfn.WEIBULL.DIST(CN$2,$M84,$L84,FALSE))*($T84*(1-$F84)+$S84*(1-$G84))*((1+Inputs!$D$7)^CN$2))))))))</f>
        <v>1256.552936795561</v>
      </c>
      <c r="CO84" s="88">
        <f>MAX(AY84,($E84*IF(CO$2&gt;Inputs!$D$5,0,IF(CO$2&gt;VLOOKUP($H84,Lists!$P$3:$Q$7,2),IF($N84=Lists!$K$3,IF($L84&lt;1,(($U84/$L84)*((1+Inputs!$D$7)^CO$2)),((INT(CO$2/$L84)-INT((CO$2-1)/$L84))*$U84*((1+Inputs!$D$7)^CO$2))),(Inputs!$D$8^((1-_xlfn.WEIBULL.DIST(CO$2,$M84,$L84,FALSE))/_xlfn.WEIBULL.DIST(CO$2,$M84,$L84,FALSE))*$U84*((1+Inputs!$D$7)^CO$2))),IF($N84=Lists!$K$3,IF($L84&lt;1,((($T84*(1-$F84)+$S84*(1-$G84))/$L84)*((1+Inputs!$D$7)^CO$2)),((INT(CO$2/$L84)-INT((CO$2-1)/$L84))*($T84*(1-$F84)+$S84*(1-$G84))*((1+Inputs!$D$7)^CO$2))),((Inputs!$D$8^((1-_xlfn.WEIBULL.DIST(CO$2,$M84,$L84,FALSE))/_xlfn.WEIBULL.DIST(CO$2,$M84,$L84,FALSE))*($T84*(1-$F84)+$S84*(1-$G84))*((1+Inputs!$D$7)^CO$2))))))))</f>
        <v>1281.6839955314722</v>
      </c>
      <c r="CP84" s="88">
        <f>MAX(AZ84,($E84*IF(CP$2&gt;Inputs!$D$5,0,IF(CP$2&gt;VLOOKUP($H84,Lists!$P$3:$Q$7,2),IF($N84=Lists!$K$3,IF($L84&lt;1,(($U84/$L84)*((1+Inputs!$D$7)^CP$2)),((INT(CP$2/$L84)-INT((CP$2-1)/$L84))*$U84*((1+Inputs!$D$7)^CP$2))),(Inputs!$D$8^((1-_xlfn.WEIBULL.DIST(CP$2,$M84,$L84,FALSE))/_xlfn.WEIBULL.DIST(CP$2,$M84,$L84,FALSE))*$U84*((1+Inputs!$D$7)^CP$2))),IF($N84=Lists!$K$3,IF($L84&lt;1,((($T84*(1-$F84)+$S84*(1-$G84))/$L84)*((1+Inputs!$D$7)^CP$2)),((INT(CP$2/$L84)-INT((CP$2-1)/$L84))*($T84*(1-$F84)+$S84*(1-$G84))*((1+Inputs!$D$7)^CP$2))),((Inputs!$D$8^((1-_xlfn.WEIBULL.DIST(CP$2,$M84,$L84,FALSE))/_xlfn.WEIBULL.DIST(CP$2,$M84,$L84,FALSE))*($T84*(1-$F84)+$S84*(1-$G84))*((1+Inputs!$D$7)^CP$2))))))))</f>
        <v>0</v>
      </c>
      <c r="CQ84" s="88">
        <f>MAX(BA84,($E84*IF(CQ$2&gt;Inputs!$D$5,0,IF(CQ$2&gt;VLOOKUP($H84,Lists!$P$3:$Q$7,2),IF($N84=Lists!$K$3,IF($L84&lt;1,(($U84/$L84)*((1+Inputs!$D$7)^CQ$2)),((INT(CQ$2/$L84)-INT((CQ$2-1)/$L84))*$U84*((1+Inputs!$D$7)^CQ$2))),(Inputs!$D$8^((1-_xlfn.WEIBULL.DIST(CQ$2,$M84,$L84,FALSE))/_xlfn.WEIBULL.DIST(CQ$2,$M84,$L84,FALSE))*$U84*((1+Inputs!$D$7)^CQ$2))),IF($N84=Lists!$K$3,IF($L84&lt;1,((($T84*(1-$F84)+$S84*(1-$G84))/$L84)*((1+Inputs!$D$7)^CQ$2)),((INT(CQ$2/$L84)-INT((CQ$2-1)/$L84))*($T84*(1-$F84)+$S84*(1-$G84))*((1+Inputs!$D$7)^CQ$2))),((Inputs!$D$8^((1-_xlfn.WEIBULL.DIST(CQ$2,$M84,$L84,FALSE))/_xlfn.WEIBULL.DIST(CQ$2,$M84,$L84,FALSE))*($T84*(1-$F84)+$S84*(1-$G84))*((1+Inputs!$D$7)^CQ$2))))))))</f>
        <v>0</v>
      </c>
      <c r="CR84" s="88">
        <f>MAX(BB84,($E84*IF(CR$2&gt;Inputs!$D$5,0,IF(CR$2&gt;VLOOKUP($H84,Lists!$P$3:$Q$7,2),IF($N84=Lists!$K$3,IF($L84&lt;1,(($U84/$L84)*((1+Inputs!$D$7)^CR$2)),((INT(CR$2/$L84)-INT((CR$2-1)/$L84))*$U84*((1+Inputs!$D$7)^CR$2))),(Inputs!$D$8^((1-_xlfn.WEIBULL.DIST(CR$2,$M84,$L84,FALSE))/_xlfn.WEIBULL.DIST(CR$2,$M84,$L84,FALSE))*$U84*((1+Inputs!$D$7)^CR$2))),IF($N84=Lists!$K$3,IF($L84&lt;1,((($T84*(1-$F84)+$S84*(1-$G84))/$L84)*((1+Inputs!$D$7)^CR$2)),((INT(CR$2/$L84)-INT((CR$2-1)/$L84))*($T84*(1-$F84)+$S84*(1-$G84))*((1+Inputs!$D$7)^CR$2))),((Inputs!$D$8^((1-_xlfn.WEIBULL.DIST(CR$2,$M84,$L84,FALSE))/_xlfn.WEIBULL.DIST(CR$2,$M84,$L84,FALSE))*($T84*(1-$F84)+$S84*(1-$G84))*((1+Inputs!$D$7)^CR$2))))))))</f>
        <v>0</v>
      </c>
      <c r="CS84" s="88">
        <f>MAX(BC84,($E84*IF(CS$2&gt;Inputs!$D$5,0,IF(CS$2&gt;VLOOKUP($H84,Lists!$P$3:$Q$7,2),IF($N84=Lists!$K$3,IF($L84&lt;1,(($U84/$L84)*((1+Inputs!$D$7)^CS$2)),((INT(CS$2/$L84)-INT((CS$2-1)/$L84))*$U84*((1+Inputs!$D$7)^CS$2))),(Inputs!$D$8^((1-_xlfn.WEIBULL.DIST(CS$2,$M84,$L84,FALSE))/_xlfn.WEIBULL.DIST(CS$2,$M84,$L84,FALSE))*$U84*((1+Inputs!$D$7)^CS$2))),IF($N84=Lists!$K$3,IF($L84&lt;1,((($T84*(1-$F84)+$S84*(1-$G84))/$L84)*((1+Inputs!$D$7)^CS$2)),((INT(CS$2/$L84)-INT((CS$2-1)/$L84))*($T84*(1-$F84)+$S84*(1-$G84))*((1+Inputs!$D$7)^CS$2))),((Inputs!$D$8^((1-_xlfn.WEIBULL.DIST(CS$2,$M84,$L84,FALSE))/_xlfn.WEIBULL.DIST(CS$2,$M84,$L84,FALSE))*($T84*(1-$F84)+$S84*(1-$G84))*((1+Inputs!$D$7)^CS$2))))))))</f>
        <v>0</v>
      </c>
      <c r="CT84" s="88">
        <f>MAX(BD84,($E84*IF(CT$2&gt;Inputs!$D$5,0,IF(CT$2&gt;VLOOKUP($H84,Lists!$P$3:$Q$7,2),IF($N84=Lists!$K$3,IF($L84&lt;1,(($U84/$L84)*((1+Inputs!$D$7)^CT$2)),((INT(CT$2/$L84)-INT((CT$2-1)/$L84))*$U84*((1+Inputs!$D$7)^CT$2))),(Inputs!$D$8^((1-_xlfn.WEIBULL.DIST(CT$2,$M84,$L84,FALSE))/_xlfn.WEIBULL.DIST(CT$2,$M84,$L84,FALSE))*$U84*((1+Inputs!$D$7)^CT$2))),IF($N84=Lists!$K$3,IF($L84&lt;1,((($T84*(1-$F84)+$S84*(1-$G84))/$L84)*((1+Inputs!$D$7)^CT$2)),((INT(CT$2/$L84)-INT((CT$2-1)/$L84))*($T84*(1-$F84)+$S84*(1-$G84))*((1+Inputs!$D$7)^CT$2))),((Inputs!$D$8^((1-_xlfn.WEIBULL.DIST(CT$2,$M84,$L84,FALSE))/_xlfn.WEIBULL.DIST(CT$2,$M84,$L84,FALSE))*($T84*(1-$F84)+$S84*(1-$G84))*((1+Inputs!$D$7)^CT$2))))))))</f>
        <v>0</v>
      </c>
      <c r="CU84" s="88">
        <f>MAX(BE84,($E84*IF(CU$2&gt;Inputs!$D$5,0,IF(CU$2&gt;VLOOKUP($H84,Lists!$P$3:$Q$7,2),IF($N84=Lists!$K$3,IF($L84&lt;1,(($U84/$L84)*((1+Inputs!$D$7)^CU$2)),((INT(CU$2/$L84)-INT((CU$2-1)/$L84))*$U84*((1+Inputs!$D$7)^CU$2))),(Inputs!$D$8^((1-_xlfn.WEIBULL.DIST(CU$2,$M84,$L84,FALSE))/_xlfn.WEIBULL.DIST(CU$2,$M84,$L84,FALSE))*$U84*((1+Inputs!$D$7)^CU$2))),IF($N84=Lists!$K$3,IF($L84&lt;1,((($T84*(1-$F84)+$S84*(1-$G84))/$L84)*((1+Inputs!$D$7)^CU$2)),((INT(CU$2/$L84)-INT((CU$2-1)/$L84))*($T84*(1-$F84)+$S84*(1-$G84))*((1+Inputs!$D$7)^CU$2))),((Inputs!$D$8^((1-_xlfn.WEIBULL.DIST(CU$2,$M84,$L84,FALSE))/_xlfn.WEIBULL.DIST(CU$2,$M84,$L84,FALSE))*($T84*(1-$F84)+$S84*(1-$G84))*((1+Inputs!$D$7)^CU$2))))))))</f>
        <v>0</v>
      </c>
      <c r="CV84" s="88">
        <f>MAX(BF84,($E84*IF(CV$2&gt;Inputs!$D$5,0,IF(CV$2&gt;VLOOKUP($H84,Lists!$P$3:$Q$7,2),IF($N84=Lists!$K$3,IF($L84&lt;1,(($U84/$L84)*((1+Inputs!$D$7)^CV$2)),((INT(CV$2/$L84)-INT((CV$2-1)/$L84))*$U84*((1+Inputs!$D$7)^CV$2))),(Inputs!$D$8^((1-_xlfn.WEIBULL.DIST(CV$2,$M84,$L84,FALSE))/_xlfn.WEIBULL.DIST(CV$2,$M84,$L84,FALSE))*$U84*((1+Inputs!$D$7)^CV$2))),IF($N84=Lists!$K$3,IF($L84&lt;1,((($T84*(1-$F84)+$S84*(1-$G84))/$L84)*((1+Inputs!$D$7)^CV$2)),((INT(CV$2/$L84)-INT((CV$2-1)/$L84))*($T84*(1-$F84)+$S84*(1-$G84))*((1+Inputs!$D$7)^CV$2))),((Inputs!$D$8^((1-_xlfn.WEIBULL.DIST(CV$2,$M84,$L84,FALSE))/_xlfn.WEIBULL.DIST(CV$2,$M84,$L84,FALSE))*($T84*(1-$F84)+$S84*(1-$G84))*((1+Inputs!$D$7)^CV$2))))))))</f>
        <v>0</v>
      </c>
      <c r="CW84" s="88">
        <f>MAX(BG84,($E84*IF(CW$2&gt;Inputs!$D$5,0,IF(CW$2&gt;VLOOKUP($H84,Lists!$P$3:$Q$7,2),IF($N84=Lists!$K$3,IF($L84&lt;1,(($U84/$L84)*((1+Inputs!$D$7)^CW$2)),((INT(CW$2/$L84)-INT((CW$2-1)/$L84))*$U84*((1+Inputs!$D$7)^CW$2))),(Inputs!$D$8^((1-_xlfn.WEIBULL.DIST(CW$2,$M84,$L84,FALSE))/_xlfn.WEIBULL.DIST(CW$2,$M84,$L84,FALSE))*$U84*((1+Inputs!$D$7)^CW$2))),IF($N84=Lists!$K$3,IF($L84&lt;1,((($T84*(1-$F84)+$S84*(1-$G84))/$L84)*((1+Inputs!$D$7)^CW$2)),((INT(CW$2/$L84)-INT((CW$2-1)/$L84))*($T84*(1-$F84)+$S84*(1-$G84))*((1+Inputs!$D$7)^CW$2))),((Inputs!$D$8^((1-_xlfn.WEIBULL.DIST(CW$2,$M84,$L84,FALSE))/_xlfn.WEIBULL.DIST(CW$2,$M84,$L84,FALSE))*($T84*(1-$F84)+$S84*(1-$G84))*((1+Inputs!$D$7)^CW$2))))))))</f>
        <v>0</v>
      </c>
      <c r="CX84" s="88">
        <f>MAX(BH84,($E84*IF(CX$2&gt;Inputs!$D$5,0,IF(CX$2&gt;VLOOKUP($H84,Lists!$P$3:$Q$7,2),IF($N84=Lists!$K$3,IF($L84&lt;1,(($U84/$L84)*((1+Inputs!$D$7)^CX$2)),((INT(CX$2/$L84)-INT((CX$2-1)/$L84))*$U84*((1+Inputs!$D$7)^CX$2))),(Inputs!$D$8^((1-_xlfn.WEIBULL.DIST(CX$2,$M84,$L84,FALSE))/_xlfn.WEIBULL.DIST(CX$2,$M84,$L84,FALSE))*$U84*((1+Inputs!$D$7)^CX$2))),IF($N84=Lists!$K$3,IF($L84&lt;1,((($T84*(1-$F84)+$S84*(1-$G84))/$L84)*((1+Inputs!$D$7)^CX$2)),((INT(CX$2/$L84)-INT((CX$2-1)/$L84))*($T84*(1-$F84)+$S84*(1-$G84))*((1+Inputs!$D$7)^CX$2))),((Inputs!$D$8^((1-_xlfn.WEIBULL.DIST(CX$2,$M84,$L84,FALSE))/_xlfn.WEIBULL.DIST(CX$2,$M84,$L84,FALSE))*($T84*(1-$F84)+$S84*(1-$G84))*((1+Inputs!$D$7)^CX$2))))))))</f>
        <v>0</v>
      </c>
      <c r="CY84" s="88">
        <f>MAX(BI84,($E84*IF(CY$2&gt;Inputs!$D$5,0,IF(CY$2&gt;VLOOKUP($H84,Lists!$P$3:$Q$7,2),IF($N84=Lists!$K$3,IF($L84&lt;1,(($U84/$L84)*((1+Inputs!$D$7)^CY$2)),((INT(CY$2/$L84)-INT((CY$2-1)/$L84))*$U84*((1+Inputs!$D$7)^CY$2))),(Inputs!$D$8^((1-_xlfn.WEIBULL.DIST(CY$2,$M84,$L84,FALSE))/_xlfn.WEIBULL.DIST(CY$2,$M84,$L84,FALSE))*$U84*((1+Inputs!$D$7)^CY$2))),IF($N84=Lists!$K$3,IF($L84&lt;1,((($T84*(1-$F84)+$S84*(1-$G84))/$L84)*((1+Inputs!$D$7)^CY$2)),((INT(CY$2/$L84)-INT((CY$2-1)/$L84))*($T84*(1-$F84)+$S84*(1-$G84))*((1+Inputs!$D$7)^CY$2))),((Inputs!$D$8^((1-_xlfn.WEIBULL.DIST(CY$2,$M84,$L84,FALSE))/_xlfn.WEIBULL.DIST(CY$2,$M84,$L84,FALSE))*($T84*(1-$F84)+$S84*(1-$G84))*((1+Inputs!$D$7)^CY$2))))))))</f>
        <v>0</v>
      </c>
      <c r="CZ84" s="88">
        <f>MAX(BJ84,($E84*IF(CZ$2&gt;Inputs!$D$5,0,IF(CZ$2&gt;VLOOKUP($H84,Lists!$P$3:$Q$7,2),IF($N84=Lists!$K$3,IF($L84&lt;1,(($U84/$L84)*((1+Inputs!$D$7)^CZ$2)),((INT(CZ$2/$L84)-INT((CZ$2-1)/$L84))*$U84*((1+Inputs!$D$7)^CZ$2))),(Inputs!$D$8^((1-_xlfn.WEIBULL.DIST(CZ$2,$M84,$L84,FALSE))/_xlfn.WEIBULL.DIST(CZ$2,$M84,$L84,FALSE))*$U84*((1+Inputs!$D$7)^CZ$2))),IF($N84=Lists!$K$3,IF($L84&lt;1,((($T84*(1-$F84)+$S84*(1-$G84))/$L84)*((1+Inputs!$D$7)^CZ$2)),((INT(CZ$2/$L84)-INT((CZ$2-1)/$L84))*($T84*(1-$F84)+$S84*(1-$G84))*((1+Inputs!$D$7)^CZ$2))),((Inputs!$D$8^((1-_xlfn.WEIBULL.DIST(CZ$2,$M84,$L84,FALSE))/_xlfn.WEIBULL.DIST(CZ$2,$M84,$L84,FALSE))*($T84*(1-$F84)+$S84*(1-$G84))*((1+Inputs!$D$7)^CZ$2))))))))</f>
        <v>0</v>
      </c>
      <c r="DA84" s="88">
        <f>MAX(BK84,($E84*IF(DA$2&gt;Inputs!$D$5,0,IF(DA$2&gt;VLOOKUP($H84,Lists!$P$3:$Q$7,2),IF($N84=Lists!$K$3,IF($L84&lt;1,(($U84/$L84)*((1+Inputs!$D$7)^DA$2)),((INT(DA$2/$L84)-INT((DA$2-1)/$L84))*$U84*((1+Inputs!$D$7)^DA$2))),(Inputs!$D$8^((1-_xlfn.WEIBULL.DIST(DA$2,$M84,$L84,FALSE))/_xlfn.WEIBULL.DIST(DA$2,$M84,$L84,FALSE))*$U84*((1+Inputs!$D$7)^DA$2))),IF($N84=Lists!$K$3,IF($L84&lt;1,((($T84*(1-$F84)+$S84*(1-$G84))/$L84)*((1+Inputs!$D$7)^DA$2)),((INT(DA$2/$L84)-INT((DA$2-1)/$L84))*($T84*(1-$F84)+$S84*(1-$G84))*((1+Inputs!$D$7)^DA$2))),((Inputs!$D$8^((1-_xlfn.WEIBULL.DIST(DA$2,$M84,$L84,FALSE))/_xlfn.WEIBULL.DIST(DA$2,$M84,$L84,FALSE))*($T84*(1-$F84)+$S84*(1-$G84))*((1+Inputs!$D$7)^DA$2))))))))</f>
        <v>0</v>
      </c>
      <c r="DB84" s="88">
        <f>MAX(BL84,($E84*IF(DB$2&gt;Inputs!$D$5,0,IF(DB$2&gt;VLOOKUP($H84,Lists!$P$3:$Q$7,2),IF($N84=Lists!$K$3,IF($L84&lt;1,(($U84/$L84)*((1+Inputs!$D$7)^DB$2)),((INT(DB$2/$L84)-INT((DB$2-1)/$L84))*$U84*((1+Inputs!$D$7)^DB$2))),(Inputs!$D$8^((1-_xlfn.WEIBULL.DIST(DB$2,$M84,$L84,FALSE))/_xlfn.WEIBULL.DIST(DB$2,$M84,$L84,FALSE))*$U84*((1+Inputs!$D$7)^DB$2))),IF($N84=Lists!$K$3,IF($L84&lt;1,((($T84*(1-$F84)+$S84*(1-$G84))/$L84)*((1+Inputs!$D$7)^DB$2)),((INT(DB$2/$L84)-INT((DB$2-1)/$L84))*($T84*(1-$F84)+$S84*(1-$G84))*((1+Inputs!$D$7)^DB$2))),((Inputs!$D$8^((1-_xlfn.WEIBULL.DIST(DB$2,$M84,$L84,FALSE))/_xlfn.WEIBULL.DIST(DB$2,$M84,$L84,FALSE))*($T84*(1-$F84)+$S84*(1-$G84))*((1+Inputs!$D$7)^DB$2))))))))</f>
        <v>0</v>
      </c>
      <c r="DC84" s="88">
        <f>MAX(BM84,($E84*IF(DC$2&gt;Inputs!$D$5,0,IF(DC$2&gt;VLOOKUP($H84,Lists!$P$3:$Q$7,2),IF($N84=Lists!$K$3,IF($L84&lt;1,(($U84/$L84)*((1+Inputs!$D$7)^DC$2)),((INT(DC$2/$L84)-INT((DC$2-1)/$L84))*$U84*((1+Inputs!$D$7)^DC$2))),(Inputs!$D$8^((1-_xlfn.WEIBULL.DIST(DC$2,$M84,$L84,FALSE))/_xlfn.WEIBULL.DIST(DC$2,$M84,$L84,FALSE))*$U84*((1+Inputs!$D$7)^DC$2))),IF($N84=Lists!$K$3,IF($L84&lt;1,((($T84*(1-$F84)+$S84*(1-$G84))/$L84)*((1+Inputs!$D$7)^DC$2)),((INT(DC$2/$L84)-INT((DC$2-1)/$L84))*($T84*(1-$F84)+$S84*(1-$G84))*((1+Inputs!$D$7)^DC$2))),((Inputs!$D$8^((1-_xlfn.WEIBULL.DIST(DC$2,$M84,$L84,FALSE))/_xlfn.WEIBULL.DIST(DC$2,$M84,$L84,FALSE))*($T84*(1-$F84)+$S84*(1-$G84))*((1+Inputs!$D$7)^DC$2))))))))</f>
        <v>0</v>
      </c>
      <c r="DD84" s="88">
        <f>MAX(BN84,($E84*IF(DD$2&gt;Inputs!$D$5,0,IF(DD$2&gt;VLOOKUP($H84,Lists!$P$3:$Q$7,2),IF($N84=Lists!$K$3,IF($L84&lt;1,(($U84/$L84)*((1+Inputs!$D$7)^DD$2)),((INT(DD$2/$L84)-INT((DD$2-1)/$L84))*$U84*((1+Inputs!$D$7)^DD$2))),(Inputs!$D$8^((1-_xlfn.WEIBULL.DIST(DD$2,$M84,$L84,FALSE))/_xlfn.WEIBULL.DIST(DD$2,$M84,$L84,FALSE))*$U84*((1+Inputs!$D$7)^DD$2))),IF($N84=Lists!$K$3,IF($L84&lt;1,((($T84*(1-$F84)+$S84*(1-$G84))/$L84)*((1+Inputs!$D$7)^DD$2)),((INT(DD$2/$L84)-INT((DD$2-1)/$L84))*($T84*(1-$F84)+$S84*(1-$G84))*((1+Inputs!$D$7)^DD$2))),((Inputs!$D$8^((1-_xlfn.WEIBULL.DIST(DD$2,$M84,$L84,FALSE))/_xlfn.WEIBULL.DIST(DD$2,$M84,$L84,FALSE))*($T84*(1-$F84)+$S84*(1-$G84))*((1+Inputs!$D$7)^DD$2))))))))</f>
        <v>0</v>
      </c>
    </row>
    <row r="85" spans="1:108" s="1" customFormat="1" ht="16">
      <c r="A85" s="57" t="s">
        <v>133</v>
      </c>
      <c r="B85" s="13" t="s">
        <v>279</v>
      </c>
      <c r="C85" s="13" t="s">
        <v>90</v>
      </c>
      <c r="D85" s="13" t="s">
        <v>123</v>
      </c>
      <c r="E85" s="48">
        <v>1</v>
      </c>
      <c r="F85" s="48">
        <v>0</v>
      </c>
      <c r="G85" s="48">
        <v>0</v>
      </c>
      <c r="H85" s="105" t="s">
        <v>350</v>
      </c>
      <c r="I85" s="14" t="s">
        <v>263</v>
      </c>
      <c r="J85" s="14" t="s">
        <v>87</v>
      </c>
      <c r="K85" s="13">
        <f>VLOOKUP(J85,'Labor Rates'!$A$1:$F$16,2)</f>
        <v>32.012019230769226</v>
      </c>
      <c r="L85" s="15">
        <v>5</v>
      </c>
      <c r="M85" s="15">
        <v>1</v>
      </c>
      <c r="N85" s="13" t="s">
        <v>236</v>
      </c>
      <c r="O85" s="61">
        <v>1</v>
      </c>
      <c r="P85" s="15">
        <v>0.25</v>
      </c>
      <c r="Q85" s="15">
        <f t="shared" si="14"/>
        <v>0.05</v>
      </c>
      <c r="R85" s="4">
        <v>0</v>
      </c>
      <c r="S85" s="53">
        <f t="shared" si="15"/>
        <v>8.0030048076923066</v>
      </c>
      <c r="T85" s="53">
        <f t="shared" si="16"/>
        <v>0</v>
      </c>
      <c r="U85" s="54">
        <f t="shared" si="17"/>
        <v>8.0030048076923066</v>
      </c>
      <c r="V85" s="65"/>
      <c r="W85" s="58"/>
      <c r="X85" s="64">
        <f t="shared" si="18"/>
        <v>2.0627308557990007</v>
      </c>
      <c r="Y85" s="64">
        <f>NPV(Inputs!$D$6,AA85:BN85)</f>
        <v>20.655365469002028</v>
      </c>
      <c r="Z85" s="67">
        <f t="shared" si="19"/>
        <v>9.7420787647459691E-6</v>
      </c>
      <c r="AA85" s="88">
        <f>$E85*IF(AA$2&gt;Inputs!$D$5,0,IF(AA$2&gt;VLOOKUP($H85,Lists!$P$3:$Q$7,2),IF($N85=Lists!$K$3,IF($L85&lt;1,(($U85/$L85)*((1+Inputs!$D$7)^AA$2)),((INT(AA$2/$L85)-INT((AA$2-1)/$L85))*$U85*((1+Inputs!$D$7)^AA$2))),(_xlfn.WEIBULL.DIST(AA$2,$M85,$L85,FALSE)*$U85*((1+Inputs!$D$7)^AA$2))),IF($N85=Lists!$K$3,IF($L85&lt;1,((($T85*(1-$F85)+$S85*(1-$G85))/$L85)*((1+Inputs!$D$7)^AA$2)),((INT(AA$2/$L85)-INT((AA$2-1)/$L85))*($T85*(1-$F85)+$S85*(1-$G85))*((1+Inputs!$D$7)^AA$2))),((_xlfn.WEIBULL.DIST(AA$2,$M85,$L85,FALSE)*($T85*(1-$F85)+$S85*(1-$G85))*((1+Inputs!$D$7)^AA$2))))))</f>
        <v>0</v>
      </c>
      <c r="AB85" s="88">
        <f>$E85*IF(AB$2&gt;Inputs!$D$5,0,IF(AB$2&gt;VLOOKUP($H85,Lists!$P$3:$Q$7,2),IF($N85=Lists!$K$3,IF($L85&lt;1,(($U85/$L85)*((1+Inputs!$D$7)^AB$2)),((INT(AB$2/$L85)-INT((AB$2-1)/$L85))*$U85*((1+Inputs!$D$7)^AB$2))),(_xlfn.WEIBULL.DIST(AB$2,$M85,$L85,FALSE)*$U85*((1+Inputs!$D$7)^AB$2))),IF($N85=Lists!$K$3,IF($L85&lt;1,((($T85*(1-$F85)+$S85*(1-$G85))/$L85)*((1+Inputs!$D$7)^AB$2)),((INT(AB$2/$L85)-INT((AB$2-1)/$L85))*($T85*(1-$F85)+$S85*(1-$G85))*((1+Inputs!$D$7)^AB$2))),((_xlfn.WEIBULL.DIST(AB$2,$M85,$L85,FALSE)*($T85*(1-$F85)+$S85*(1-$G85))*((1+Inputs!$D$7)^AB$2))))))</f>
        <v>0</v>
      </c>
      <c r="AC85" s="88">
        <f>$E85*IF(AC$2&gt;Inputs!$D$5,0,IF(AC$2&gt;VLOOKUP($H85,Lists!$P$3:$Q$7,2),IF($N85=Lists!$K$3,IF($L85&lt;1,(($U85/$L85)*((1+Inputs!$D$7)^AC$2)),((INT(AC$2/$L85)-INT((AC$2-1)/$L85))*$U85*((1+Inputs!$D$7)^AC$2))),(_xlfn.WEIBULL.DIST(AC$2,$M85,$L85,FALSE)*$U85*((1+Inputs!$D$7)^AC$2))),IF($N85=Lists!$K$3,IF($L85&lt;1,((($T85*(1-$F85)+$S85*(1-$G85))/$L85)*((1+Inputs!$D$7)^AC$2)),((INT(AC$2/$L85)-INT((AC$2-1)/$L85))*($T85*(1-$F85)+$S85*(1-$G85))*((1+Inputs!$D$7)^AC$2))),((_xlfn.WEIBULL.DIST(AC$2,$M85,$L85,FALSE)*($T85*(1-$F85)+$S85*(1-$G85))*((1+Inputs!$D$7)^AC$2))))))</f>
        <v>0</v>
      </c>
      <c r="AD85" s="88">
        <f>$E85*IF(AD$2&gt;Inputs!$D$5,0,IF(AD$2&gt;VLOOKUP($H85,Lists!$P$3:$Q$7,2),IF($N85=Lists!$K$3,IF($L85&lt;1,(($U85/$L85)*((1+Inputs!$D$7)^AD$2)),((INT(AD$2/$L85)-INT((AD$2-1)/$L85))*$U85*((1+Inputs!$D$7)^AD$2))),(_xlfn.WEIBULL.DIST(AD$2,$M85,$L85,FALSE)*$U85*((1+Inputs!$D$7)^AD$2))),IF($N85=Lists!$K$3,IF($L85&lt;1,((($T85*(1-$F85)+$S85*(1-$G85))/$L85)*((1+Inputs!$D$7)^AD$2)),((INT(AD$2/$L85)-INT((AD$2-1)/$L85))*($T85*(1-$F85)+$S85*(1-$G85))*((1+Inputs!$D$7)^AD$2))),((_xlfn.WEIBULL.DIST(AD$2,$M85,$L85,FALSE)*($T85*(1-$F85)+$S85*(1-$G85))*((1+Inputs!$D$7)^AD$2))))))</f>
        <v>0</v>
      </c>
      <c r="AE85" s="88">
        <f>$E85*IF(AE$2&gt;Inputs!$D$5,0,IF(AE$2&gt;VLOOKUP($H85,Lists!$P$3:$Q$7,2),IF($N85=Lists!$K$3,IF($L85&lt;1,(($U85/$L85)*((1+Inputs!$D$7)^AE$2)),((INT(AE$2/$L85)-INT((AE$2-1)/$L85))*$U85*((1+Inputs!$D$7)^AE$2))),(_xlfn.WEIBULL.DIST(AE$2,$M85,$L85,FALSE)*$U85*((1+Inputs!$D$7)^AE$2))),IF($N85=Lists!$K$3,IF($L85&lt;1,((($T85*(1-$F85)+$S85*(1-$G85))/$L85)*((1+Inputs!$D$7)^AE$2)),((INT(AE$2/$L85)-INT((AE$2-1)/$L85))*($T85*(1-$F85)+$S85*(1-$G85))*((1+Inputs!$D$7)^AE$2))),((_xlfn.WEIBULL.DIST(AE$2,$M85,$L85,FALSE)*($T85*(1-$F85)+$S85*(1-$G85))*((1+Inputs!$D$7)^AE$2))))))</f>
        <v>8.8359639760903832</v>
      </c>
      <c r="AF85" s="88">
        <f>$E85*IF(AF$2&gt;Inputs!$D$5,0,IF(AF$2&gt;VLOOKUP($H85,Lists!$P$3:$Q$7,2),IF($N85=Lists!$K$3,IF($L85&lt;1,(($U85/$L85)*((1+Inputs!$D$7)^AF$2)),((INT(AF$2/$L85)-INT((AF$2-1)/$L85))*$U85*((1+Inputs!$D$7)^AF$2))),(_xlfn.WEIBULL.DIST(AF$2,$M85,$L85,FALSE)*$U85*((1+Inputs!$D$7)^AF$2))),IF($N85=Lists!$K$3,IF($L85&lt;1,((($T85*(1-$F85)+$S85*(1-$G85))/$L85)*((1+Inputs!$D$7)^AF$2)),((INT(AF$2/$L85)-INT((AF$2-1)/$L85))*($T85*(1-$F85)+$S85*(1-$G85))*((1+Inputs!$D$7)^AF$2))),((_xlfn.WEIBULL.DIST(AF$2,$M85,$L85,FALSE)*($T85*(1-$F85)+$S85*(1-$G85))*((1+Inputs!$D$7)^AF$2))))))</f>
        <v>0</v>
      </c>
      <c r="AG85" s="88">
        <f>$E85*IF(AG$2&gt;Inputs!$D$5,0,IF(AG$2&gt;VLOOKUP($H85,Lists!$P$3:$Q$7,2),IF($N85=Lists!$K$3,IF($L85&lt;1,(($U85/$L85)*((1+Inputs!$D$7)^AG$2)),((INT(AG$2/$L85)-INT((AG$2-1)/$L85))*$U85*((1+Inputs!$D$7)^AG$2))),(_xlfn.WEIBULL.DIST(AG$2,$M85,$L85,FALSE)*$U85*((1+Inputs!$D$7)^AG$2))),IF($N85=Lists!$K$3,IF($L85&lt;1,((($T85*(1-$F85)+$S85*(1-$G85))/$L85)*((1+Inputs!$D$7)^AG$2)),((INT(AG$2/$L85)-INT((AG$2-1)/$L85))*($T85*(1-$F85)+$S85*(1-$G85))*((1+Inputs!$D$7)^AG$2))),((_xlfn.WEIBULL.DIST(AG$2,$M85,$L85,FALSE)*($T85*(1-$F85)+$S85*(1-$G85))*((1+Inputs!$D$7)^AG$2))))))</f>
        <v>0</v>
      </c>
      <c r="AH85" s="88">
        <f>$E85*IF(AH$2&gt;Inputs!$D$5,0,IF(AH$2&gt;VLOOKUP($H85,Lists!$P$3:$Q$7,2),IF($N85=Lists!$K$3,IF($L85&lt;1,(($U85/$L85)*((1+Inputs!$D$7)^AH$2)),((INT(AH$2/$L85)-INT((AH$2-1)/$L85))*$U85*((1+Inputs!$D$7)^AH$2))),(_xlfn.WEIBULL.DIST(AH$2,$M85,$L85,FALSE)*$U85*((1+Inputs!$D$7)^AH$2))),IF($N85=Lists!$K$3,IF($L85&lt;1,((($T85*(1-$F85)+$S85*(1-$G85))/$L85)*((1+Inputs!$D$7)^AH$2)),((INT(AH$2/$L85)-INT((AH$2-1)/$L85))*($T85*(1-$F85)+$S85*(1-$G85))*((1+Inputs!$D$7)^AH$2))),((_xlfn.WEIBULL.DIST(AH$2,$M85,$L85,FALSE)*($T85*(1-$F85)+$S85*(1-$G85))*((1+Inputs!$D$7)^AH$2))))))</f>
        <v>0</v>
      </c>
      <c r="AI85" s="88">
        <f>$E85*IF(AI$2&gt;Inputs!$D$5,0,IF(AI$2&gt;VLOOKUP($H85,Lists!$P$3:$Q$7,2),IF($N85=Lists!$K$3,IF($L85&lt;1,(($U85/$L85)*((1+Inputs!$D$7)^AI$2)),((INT(AI$2/$L85)-INT((AI$2-1)/$L85))*$U85*((1+Inputs!$D$7)^AI$2))),(_xlfn.WEIBULL.DIST(AI$2,$M85,$L85,FALSE)*$U85*((1+Inputs!$D$7)^AI$2))),IF($N85=Lists!$K$3,IF($L85&lt;1,((($T85*(1-$F85)+$S85*(1-$G85))/$L85)*((1+Inputs!$D$7)^AI$2)),((INT(AI$2/$L85)-INT((AI$2-1)/$L85))*($T85*(1-$F85)+$S85*(1-$G85))*((1+Inputs!$D$7)^AI$2))),((_xlfn.WEIBULL.DIST(AI$2,$M85,$L85,FALSE)*($T85*(1-$F85)+$S85*(1-$G85))*((1+Inputs!$D$7)^AI$2))))))</f>
        <v>0</v>
      </c>
      <c r="AJ85" s="88">
        <f>$E85*IF(AJ$2&gt;Inputs!$D$5,0,IF(AJ$2&gt;VLOOKUP($H85,Lists!$P$3:$Q$7,2),IF($N85=Lists!$K$3,IF($L85&lt;1,(($U85/$L85)*((1+Inputs!$D$7)^AJ$2)),((INT(AJ$2/$L85)-INT((AJ$2-1)/$L85))*$U85*((1+Inputs!$D$7)^AJ$2))),(_xlfn.WEIBULL.DIST(AJ$2,$M85,$L85,FALSE)*$U85*((1+Inputs!$D$7)^AJ$2))),IF($N85=Lists!$K$3,IF($L85&lt;1,((($T85*(1-$F85)+$S85*(1-$G85))/$L85)*((1+Inputs!$D$7)^AJ$2)),((INT(AJ$2/$L85)-INT((AJ$2-1)/$L85))*($T85*(1-$F85)+$S85*(1-$G85))*((1+Inputs!$D$7)^AJ$2))),((_xlfn.WEIBULL.DIST(AJ$2,$M85,$L85,FALSE)*($T85*(1-$F85)+$S85*(1-$G85))*((1+Inputs!$D$7)^AJ$2))))))</f>
        <v>9.7556182037681367</v>
      </c>
      <c r="AK85" s="88">
        <f>$E85*IF(AK$2&gt;Inputs!$D$5,0,IF(AK$2&gt;VLOOKUP($H85,Lists!$P$3:$Q$7,2),IF($N85=Lists!$K$3,IF($L85&lt;1,(($U85/$L85)*((1+Inputs!$D$7)^AK$2)),((INT(AK$2/$L85)-INT((AK$2-1)/$L85))*$U85*((1+Inputs!$D$7)^AK$2))),(_xlfn.WEIBULL.DIST(AK$2,$M85,$L85,FALSE)*$U85*((1+Inputs!$D$7)^AK$2))),IF($N85=Lists!$K$3,IF($L85&lt;1,((($T85*(1-$F85)+$S85*(1-$G85))/$L85)*((1+Inputs!$D$7)^AK$2)),((INT(AK$2/$L85)-INT((AK$2-1)/$L85))*($T85*(1-$F85)+$S85*(1-$G85))*((1+Inputs!$D$7)^AK$2))),((_xlfn.WEIBULL.DIST(AK$2,$M85,$L85,FALSE)*($T85*(1-$F85)+$S85*(1-$G85))*((1+Inputs!$D$7)^AK$2))))))</f>
        <v>0</v>
      </c>
      <c r="AL85" s="88">
        <f>$E85*IF(AL$2&gt;Inputs!$D$5,0,IF(AL$2&gt;VLOOKUP($H85,Lists!$P$3:$Q$7,2),IF($N85=Lists!$K$3,IF($L85&lt;1,(($U85/$L85)*((1+Inputs!$D$7)^AL$2)),((INT(AL$2/$L85)-INT((AL$2-1)/$L85))*$U85*((1+Inputs!$D$7)^AL$2))),(_xlfn.WEIBULL.DIST(AL$2,$M85,$L85,FALSE)*$U85*((1+Inputs!$D$7)^AL$2))),IF($N85=Lists!$K$3,IF($L85&lt;1,((($T85*(1-$F85)+$S85*(1-$G85))/$L85)*((1+Inputs!$D$7)^AL$2)),((INT(AL$2/$L85)-INT((AL$2-1)/$L85))*($T85*(1-$F85)+$S85*(1-$G85))*((1+Inputs!$D$7)^AL$2))),((_xlfn.WEIBULL.DIST(AL$2,$M85,$L85,FALSE)*($T85*(1-$F85)+$S85*(1-$G85))*((1+Inputs!$D$7)^AL$2))))))</f>
        <v>0</v>
      </c>
      <c r="AM85" s="88">
        <f>$E85*IF(AM$2&gt;Inputs!$D$5,0,IF(AM$2&gt;VLOOKUP($H85,Lists!$P$3:$Q$7,2),IF($N85=Lists!$K$3,IF($L85&lt;1,(($U85/$L85)*((1+Inputs!$D$7)^AM$2)),((INT(AM$2/$L85)-INT((AM$2-1)/$L85))*$U85*((1+Inputs!$D$7)^AM$2))),(_xlfn.WEIBULL.DIST(AM$2,$M85,$L85,FALSE)*$U85*((1+Inputs!$D$7)^AM$2))),IF($N85=Lists!$K$3,IF($L85&lt;1,((($T85*(1-$F85)+$S85*(1-$G85))/$L85)*((1+Inputs!$D$7)^AM$2)),((INT(AM$2/$L85)-INT((AM$2-1)/$L85))*($T85*(1-$F85)+$S85*(1-$G85))*((1+Inputs!$D$7)^AM$2))),((_xlfn.WEIBULL.DIST(AM$2,$M85,$L85,FALSE)*($T85*(1-$F85)+$S85*(1-$G85))*((1+Inputs!$D$7)^AM$2))))))</f>
        <v>0</v>
      </c>
      <c r="AN85" s="88">
        <f>$E85*IF(AN$2&gt;Inputs!$D$5,0,IF(AN$2&gt;VLOOKUP($H85,Lists!$P$3:$Q$7,2),IF($N85=Lists!$K$3,IF($L85&lt;1,(($U85/$L85)*((1+Inputs!$D$7)^AN$2)),((INT(AN$2/$L85)-INT((AN$2-1)/$L85))*$U85*((1+Inputs!$D$7)^AN$2))),(_xlfn.WEIBULL.DIST(AN$2,$M85,$L85,FALSE)*$U85*((1+Inputs!$D$7)^AN$2))),IF($N85=Lists!$K$3,IF($L85&lt;1,((($T85*(1-$F85)+$S85*(1-$G85))/$L85)*((1+Inputs!$D$7)^AN$2)),((INT(AN$2/$L85)-INT((AN$2-1)/$L85))*($T85*(1-$F85)+$S85*(1-$G85))*((1+Inputs!$D$7)^AN$2))),((_xlfn.WEIBULL.DIST(AN$2,$M85,$L85,FALSE)*($T85*(1-$F85)+$S85*(1-$G85))*((1+Inputs!$D$7)^AN$2))))))</f>
        <v>0</v>
      </c>
      <c r="AO85" s="88">
        <f>$E85*IF(AO$2&gt;Inputs!$D$5,0,IF(AO$2&gt;VLOOKUP($H85,Lists!$P$3:$Q$7,2),IF($N85=Lists!$K$3,IF($L85&lt;1,(($U85/$L85)*((1+Inputs!$D$7)^AO$2)),((INT(AO$2/$L85)-INT((AO$2-1)/$L85))*$U85*((1+Inputs!$D$7)^AO$2))),(_xlfn.WEIBULL.DIST(AO$2,$M85,$L85,FALSE)*$U85*((1+Inputs!$D$7)^AO$2))),IF($N85=Lists!$K$3,IF($L85&lt;1,((($T85*(1-$F85)+$S85*(1-$G85))/$L85)*((1+Inputs!$D$7)^AO$2)),((INT(AO$2/$L85)-INT((AO$2-1)/$L85))*($T85*(1-$F85)+$S85*(1-$G85))*((1+Inputs!$D$7)^AO$2))),((_xlfn.WEIBULL.DIST(AO$2,$M85,$L85,FALSE)*($T85*(1-$F85)+$S85*(1-$G85))*((1+Inputs!$D$7)^AO$2))))))</f>
        <v>10.770990782128862</v>
      </c>
      <c r="AP85" s="88">
        <f>$E85*IF(AP$2&gt;Inputs!$D$5,0,IF(AP$2&gt;VLOOKUP($H85,Lists!$P$3:$Q$7,2),IF($N85=Lists!$K$3,IF($L85&lt;1,(($U85/$L85)*((1+Inputs!$D$7)^AP$2)),((INT(AP$2/$L85)-INT((AP$2-1)/$L85))*$U85*((1+Inputs!$D$7)^AP$2))),(_xlfn.WEIBULL.DIST(AP$2,$M85,$L85,FALSE)*$U85*((1+Inputs!$D$7)^AP$2))),IF($N85=Lists!$K$3,IF($L85&lt;1,((($T85*(1-$F85)+$S85*(1-$G85))/$L85)*((1+Inputs!$D$7)^AP$2)),((INT(AP$2/$L85)-INT((AP$2-1)/$L85))*($T85*(1-$F85)+$S85*(1-$G85))*((1+Inputs!$D$7)^AP$2))),((_xlfn.WEIBULL.DIST(AP$2,$M85,$L85,FALSE)*($T85*(1-$F85)+$S85*(1-$G85))*((1+Inputs!$D$7)^AP$2))))))</f>
        <v>0</v>
      </c>
      <c r="AQ85" s="88">
        <f>$E85*IF(AQ$2&gt;Inputs!$D$5,0,IF(AQ$2&gt;VLOOKUP($H85,Lists!$P$3:$Q$7,2),IF($N85=Lists!$K$3,IF($L85&lt;1,(($U85/$L85)*((1+Inputs!$D$7)^AQ$2)),((INT(AQ$2/$L85)-INT((AQ$2-1)/$L85))*$U85*((1+Inputs!$D$7)^AQ$2))),(_xlfn.WEIBULL.DIST(AQ$2,$M85,$L85,FALSE)*$U85*((1+Inputs!$D$7)^AQ$2))),IF($N85=Lists!$K$3,IF($L85&lt;1,((($T85*(1-$F85)+$S85*(1-$G85))/$L85)*((1+Inputs!$D$7)^AQ$2)),((INT(AQ$2/$L85)-INT((AQ$2-1)/$L85))*($T85*(1-$F85)+$S85*(1-$G85))*((1+Inputs!$D$7)^AQ$2))),((_xlfn.WEIBULL.DIST(AQ$2,$M85,$L85,FALSE)*($T85*(1-$F85)+$S85*(1-$G85))*((1+Inputs!$D$7)^AQ$2))))))</f>
        <v>0</v>
      </c>
      <c r="AR85" s="88">
        <f>$E85*IF(AR$2&gt;Inputs!$D$5,0,IF(AR$2&gt;VLOOKUP($H85,Lists!$P$3:$Q$7,2),IF($N85=Lists!$K$3,IF($L85&lt;1,(($U85/$L85)*((1+Inputs!$D$7)^AR$2)),((INT(AR$2/$L85)-INT((AR$2-1)/$L85))*$U85*((1+Inputs!$D$7)^AR$2))),(_xlfn.WEIBULL.DIST(AR$2,$M85,$L85,FALSE)*$U85*((1+Inputs!$D$7)^AR$2))),IF($N85=Lists!$K$3,IF($L85&lt;1,((($T85*(1-$F85)+$S85*(1-$G85))/$L85)*((1+Inputs!$D$7)^AR$2)),((INT(AR$2/$L85)-INT((AR$2-1)/$L85))*($T85*(1-$F85)+$S85*(1-$G85))*((1+Inputs!$D$7)^AR$2))),((_xlfn.WEIBULL.DIST(AR$2,$M85,$L85,FALSE)*($T85*(1-$F85)+$S85*(1-$G85))*((1+Inputs!$D$7)^AR$2))))))</f>
        <v>0</v>
      </c>
      <c r="AS85" s="88">
        <f>$E85*IF(AS$2&gt;Inputs!$D$5,0,IF(AS$2&gt;VLOOKUP($H85,Lists!$P$3:$Q$7,2),IF($N85=Lists!$K$3,IF($L85&lt;1,(($U85/$L85)*((1+Inputs!$D$7)^AS$2)),((INT(AS$2/$L85)-INT((AS$2-1)/$L85))*$U85*((1+Inputs!$D$7)^AS$2))),(_xlfn.WEIBULL.DIST(AS$2,$M85,$L85,FALSE)*$U85*((1+Inputs!$D$7)^AS$2))),IF($N85=Lists!$K$3,IF($L85&lt;1,((($T85*(1-$F85)+$S85*(1-$G85))/$L85)*((1+Inputs!$D$7)^AS$2)),((INT(AS$2/$L85)-INT((AS$2-1)/$L85))*($T85*(1-$F85)+$S85*(1-$G85))*((1+Inputs!$D$7)^AS$2))),((_xlfn.WEIBULL.DIST(AS$2,$M85,$L85,FALSE)*($T85*(1-$F85)+$S85*(1-$G85))*((1+Inputs!$D$7)^AS$2))))))</f>
        <v>0</v>
      </c>
      <c r="AT85" s="88">
        <f>$E85*IF(AT$2&gt;Inputs!$D$5,0,IF(AT$2&gt;VLOOKUP($H85,Lists!$P$3:$Q$7,2),IF($N85=Lists!$K$3,IF($L85&lt;1,(($U85/$L85)*((1+Inputs!$D$7)^AT$2)),((INT(AT$2/$L85)-INT((AT$2-1)/$L85))*$U85*((1+Inputs!$D$7)^AT$2))),(_xlfn.WEIBULL.DIST(AT$2,$M85,$L85,FALSE)*$U85*((1+Inputs!$D$7)^AT$2))),IF($N85=Lists!$K$3,IF($L85&lt;1,((($T85*(1-$F85)+$S85*(1-$G85))/$L85)*((1+Inputs!$D$7)^AT$2)),((INT(AT$2/$L85)-INT((AT$2-1)/$L85))*($T85*(1-$F85)+$S85*(1-$G85))*((1+Inputs!$D$7)^AT$2))),((_xlfn.WEIBULL.DIST(AT$2,$M85,$L85,FALSE)*($T85*(1-$F85)+$S85*(1-$G85))*((1+Inputs!$D$7)^AT$2))))))</f>
        <v>11.892044153992632</v>
      </c>
      <c r="AU85" s="88">
        <f>$E85*IF(AU$2&gt;Inputs!$D$5,0,IF(AU$2&gt;VLOOKUP($H85,Lists!$P$3:$Q$7,2),IF($N85=Lists!$K$3,IF($L85&lt;1,(($U85/$L85)*((1+Inputs!$D$7)^AU$2)),((INT(AU$2/$L85)-INT((AU$2-1)/$L85))*$U85*((1+Inputs!$D$7)^AU$2))),(_xlfn.WEIBULL.DIST(AU$2,$M85,$L85,FALSE)*$U85*((1+Inputs!$D$7)^AU$2))),IF($N85=Lists!$K$3,IF($L85&lt;1,((($T85*(1-$F85)+$S85*(1-$G85))/$L85)*((1+Inputs!$D$7)^AU$2)),((INT(AU$2/$L85)-INT((AU$2-1)/$L85))*($T85*(1-$F85)+$S85*(1-$G85))*((1+Inputs!$D$7)^AU$2))),((_xlfn.WEIBULL.DIST(AU$2,$M85,$L85,FALSE)*($T85*(1-$F85)+$S85*(1-$G85))*((1+Inputs!$D$7)^AU$2))))))</f>
        <v>0</v>
      </c>
      <c r="AV85" s="88">
        <f>$E85*IF(AV$2&gt;Inputs!$D$5,0,IF(AV$2&gt;VLOOKUP($H85,Lists!$P$3:$Q$7,2),IF($N85=Lists!$K$3,IF($L85&lt;1,(($U85/$L85)*((1+Inputs!$D$7)^AV$2)),((INT(AV$2/$L85)-INT((AV$2-1)/$L85))*$U85*((1+Inputs!$D$7)^AV$2))),(_xlfn.WEIBULL.DIST(AV$2,$M85,$L85,FALSE)*$U85*((1+Inputs!$D$7)^AV$2))),IF($N85=Lists!$K$3,IF($L85&lt;1,((($T85*(1-$F85)+$S85*(1-$G85))/$L85)*((1+Inputs!$D$7)^AV$2)),((INT(AV$2/$L85)-INT((AV$2-1)/$L85))*($T85*(1-$F85)+$S85*(1-$G85))*((1+Inputs!$D$7)^AV$2))),((_xlfn.WEIBULL.DIST(AV$2,$M85,$L85,FALSE)*($T85*(1-$F85)+$S85*(1-$G85))*((1+Inputs!$D$7)^AV$2))))))</f>
        <v>0</v>
      </c>
      <c r="AW85" s="88">
        <f>$E85*IF(AW$2&gt;Inputs!$D$5,0,IF(AW$2&gt;VLOOKUP($H85,Lists!$P$3:$Q$7,2),IF($N85=Lists!$K$3,IF($L85&lt;1,(($U85/$L85)*((1+Inputs!$D$7)^AW$2)),((INT(AW$2/$L85)-INT((AW$2-1)/$L85))*$U85*((1+Inputs!$D$7)^AW$2))),(_xlfn.WEIBULL.DIST(AW$2,$M85,$L85,FALSE)*$U85*((1+Inputs!$D$7)^AW$2))),IF($N85=Lists!$K$3,IF($L85&lt;1,((($T85*(1-$F85)+$S85*(1-$G85))/$L85)*((1+Inputs!$D$7)^AW$2)),((INT(AW$2/$L85)-INT((AW$2-1)/$L85))*($T85*(1-$F85)+$S85*(1-$G85))*((1+Inputs!$D$7)^AW$2))),((_xlfn.WEIBULL.DIST(AW$2,$M85,$L85,FALSE)*($T85*(1-$F85)+$S85*(1-$G85))*((1+Inputs!$D$7)^AW$2))))))</f>
        <v>0</v>
      </c>
      <c r="AX85" s="88">
        <f>$E85*IF(AX$2&gt;Inputs!$D$5,0,IF(AX$2&gt;VLOOKUP($H85,Lists!$P$3:$Q$7,2),IF($N85=Lists!$K$3,IF($L85&lt;1,(($U85/$L85)*((1+Inputs!$D$7)^AX$2)),((INT(AX$2/$L85)-INT((AX$2-1)/$L85))*$U85*((1+Inputs!$D$7)^AX$2))),(_xlfn.WEIBULL.DIST(AX$2,$M85,$L85,FALSE)*$U85*((1+Inputs!$D$7)^AX$2))),IF($N85=Lists!$K$3,IF($L85&lt;1,((($T85*(1-$F85)+$S85*(1-$G85))/$L85)*((1+Inputs!$D$7)^AX$2)),((INT(AX$2/$L85)-INT((AX$2-1)/$L85))*($T85*(1-$F85)+$S85*(1-$G85))*((1+Inputs!$D$7)^AX$2))),((_xlfn.WEIBULL.DIST(AX$2,$M85,$L85,FALSE)*($T85*(1-$F85)+$S85*(1-$G85))*((1+Inputs!$D$7)^AX$2))))))</f>
        <v>0</v>
      </c>
      <c r="AY85" s="88">
        <f>$E85*IF(AY$2&gt;Inputs!$D$5,0,IF(AY$2&gt;VLOOKUP($H85,Lists!$P$3:$Q$7,2),IF($N85=Lists!$K$3,IF($L85&lt;1,(($U85/$L85)*((1+Inputs!$D$7)^AY$2)),((INT(AY$2/$L85)-INT((AY$2-1)/$L85))*$U85*((1+Inputs!$D$7)^AY$2))),(_xlfn.WEIBULL.DIST(AY$2,$M85,$L85,FALSE)*$U85*((1+Inputs!$D$7)^AY$2))),IF($N85=Lists!$K$3,IF($L85&lt;1,((($T85*(1-$F85)+$S85*(1-$G85))/$L85)*((1+Inputs!$D$7)^AY$2)),((INT(AY$2/$L85)-INT((AY$2-1)/$L85))*($T85*(1-$F85)+$S85*(1-$G85))*((1+Inputs!$D$7)^AY$2))),((_xlfn.WEIBULL.DIST(AY$2,$M85,$L85,FALSE)*($T85*(1-$F85)+$S85*(1-$G85))*((1+Inputs!$D$7)^AY$2))))))</f>
        <v>13.129777661230047</v>
      </c>
      <c r="AZ85" s="88">
        <f>$E85*IF(AZ$2&gt;Inputs!$D$5,0,IF(AZ$2&gt;VLOOKUP($H85,Lists!$P$3:$Q$7,2),IF($N85=Lists!$K$3,IF($L85&lt;1,(($U85/$L85)*((1+Inputs!$D$7)^AZ$2)),((INT(AZ$2/$L85)-INT((AZ$2-1)/$L85))*$U85*((1+Inputs!$D$7)^AZ$2))),(_xlfn.WEIBULL.DIST(AZ$2,$M85,$L85,FALSE)*$U85*((1+Inputs!$D$7)^AZ$2))),IF($N85=Lists!$K$3,IF($L85&lt;1,((($T85*(1-$F85)+$S85*(1-$G85))/$L85)*((1+Inputs!$D$7)^AZ$2)),((INT(AZ$2/$L85)-INT((AZ$2-1)/$L85))*($T85*(1-$F85)+$S85*(1-$G85))*((1+Inputs!$D$7)^AZ$2))),((_xlfn.WEIBULL.DIST(AZ$2,$M85,$L85,FALSE)*($T85*(1-$F85)+$S85*(1-$G85))*((1+Inputs!$D$7)^AZ$2))))))</f>
        <v>0</v>
      </c>
      <c r="BA85" s="88">
        <f>$E85*IF(BA$2&gt;Inputs!$D$5,0,IF(BA$2&gt;VLOOKUP($H85,Lists!$P$3:$Q$7,2),IF($N85=Lists!$K$3,IF($L85&lt;1,(($U85/$L85)*((1+Inputs!$D$7)^BA$2)),((INT(BA$2/$L85)-INT((BA$2-1)/$L85))*$U85*((1+Inputs!$D$7)^BA$2))),(_xlfn.WEIBULL.DIST(BA$2,$M85,$L85,FALSE)*$U85*((1+Inputs!$D$7)^BA$2))),IF($N85=Lists!$K$3,IF($L85&lt;1,((($T85*(1-$F85)+$S85*(1-$G85))/$L85)*((1+Inputs!$D$7)^BA$2)),((INT(BA$2/$L85)-INT((BA$2-1)/$L85))*($T85*(1-$F85)+$S85*(1-$G85))*((1+Inputs!$D$7)^BA$2))),((_xlfn.WEIBULL.DIST(BA$2,$M85,$L85,FALSE)*($T85*(1-$F85)+$S85*(1-$G85))*((1+Inputs!$D$7)^BA$2))))))</f>
        <v>0</v>
      </c>
      <c r="BB85" s="88">
        <f>$E85*IF(BB$2&gt;Inputs!$D$5,0,IF(BB$2&gt;VLOOKUP($H85,Lists!$P$3:$Q$7,2),IF($N85=Lists!$K$3,IF($L85&lt;1,(($U85/$L85)*((1+Inputs!$D$7)^BB$2)),((INT(BB$2/$L85)-INT((BB$2-1)/$L85))*$U85*((1+Inputs!$D$7)^BB$2))),(_xlfn.WEIBULL.DIST(BB$2,$M85,$L85,FALSE)*$U85*((1+Inputs!$D$7)^BB$2))),IF($N85=Lists!$K$3,IF($L85&lt;1,((($T85*(1-$F85)+$S85*(1-$G85))/$L85)*((1+Inputs!$D$7)^BB$2)),((INT(BB$2/$L85)-INT((BB$2-1)/$L85))*($T85*(1-$F85)+$S85*(1-$G85))*((1+Inputs!$D$7)^BB$2))),((_xlfn.WEIBULL.DIST(BB$2,$M85,$L85,FALSE)*($T85*(1-$F85)+$S85*(1-$G85))*((1+Inputs!$D$7)^BB$2))))))</f>
        <v>0</v>
      </c>
      <c r="BC85" s="88">
        <f>$E85*IF(BC$2&gt;Inputs!$D$5,0,IF(BC$2&gt;VLOOKUP($H85,Lists!$P$3:$Q$7,2),IF($N85=Lists!$K$3,IF($L85&lt;1,(($U85/$L85)*((1+Inputs!$D$7)^BC$2)),((INT(BC$2/$L85)-INT((BC$2-1)/$L85))*$U85*((1+Inputs!$D$7)^BC$2))),(_xlfn.WEIBULL.DIST(BC$2,$M85,$L85,FALSE)*$U85*((1+Inputs!$D$7)^BC$2))),IF($N85=Lists!$K$3,IF($L85&lt;1,((($T85*(1-$F85)+$S85*(1-$G85))/$L85)*((1+Inputs!$D$7)^BC$2)),((INT(BC$2/$L85)-INT((BC$2-1)/$L85))*($T85*(1-$F85)+$S85*(1-$G85))*((1+Inputs!$D$7)^BC$2))),((_xlfn.WEIBULL.DIST(BC$2,$M85,$L85,FALSE)*($T85*(1-$F85)+$S85*(1-$G85))*((1+Inputs!$D$7)^BC$2))))))</f>
        <v>0</v>
      </c>
      <c r="BD85" s="88">
        <f>$E85*IF(BD$2&gt;Inputs!$D$5,0,IF(BD$2&gt;VLOOKUP($H85,Lists!$P$3:$Q$7,2),IF($N85=Lists!$K$3,IF($L85&lt;1,(($U85/$L85)*((1+Inputs!$D$7)^BD$2)),((INT(BD$2/$L85)-INT((BD$2-1)/$L85))*$U85*((1+Inputs!$D$7)^BD$2))),(_xlfn.WEIBULL.DIST(BD$2,$M85,$L85,FALSE)*$U85*((1+Inputs!$D$7)^BD$2))),IF($N85=Lists!$K$3,IF($L85&lt;1,((($T85*(1-$F85)+$S85*(1-$G85))/$L85)*((1+Inputs!$D$7)^BD$2)),((INT(BD$2/$L85)-INT((BD$2-1)/$L85))*($T85*(1-$F85)+$S85*(1-$G85))*((1+Inputs!$D$7)^BD$2))),((_xlfn.WEIBULL.DIST(BD$2,$M85,$L85,FALSE)*($T85*(1-$F85)+$S85*(1-$G85))*((1+Inputs!$D$7)^BD$2))))))</f>
        <v>0</v>
      </c>
      <c r="BE85" s="88">
        <f>$E85*IF(BE$2&gt;Inputs!$D$5,0,IF(BE$2&gt;VLOOKUP($H85,Lists!$P$3:$Q$7,2),IF($N85=Lists!$K$3,IF($L85&lt;1,(($U85/$L85)*((1+Inputs!$D$7)^BE$2)),((INT(BE$2/$L85)-INT((BE$2-1)/$L85))*$U85*((1+Inputs!$D$7)^BE$2))),(_xlfn.WEIBULL.DIST(BE$2,$M85,$L85,FALSE)*$U85*((1+Inputs!$D$7)^BE$2))),IF($N85=Lists!$K$3,IF($L85&lt;1,((($T85*(1-$F85)+$S85*(1-$G85))/$L85)*((1+Inputs!$D$7)^BE$2)),((INT(BE$2/$L85)-INT((BE$2-1)/$L85))*($T85*(1-$F85)+$S85*(1-$G85))*((1+Inputs!$D$7)^BE$2))),((_xlfn.WEIBULL.DIST(BE$2,$M85,$L85,FALSE)*($T85*(1-$F85)+$S85*(1-$G85))*((1+Inputs!$D$7)^BE$2))))))</f>
        <v>0</v>
      </c>
      <c r="BF85" s="88">
        <f>$E85*IF(BF$2&gt;Inputs!$D$5,0,IF(BF$2&gt;VLOOKUP($H85,Lists!$P$3:$Q$7,2),IF($N85=Lists!$K$3,IF($L85&lt;1,(($U85/$L85)*((1+Inputs!$D$7)^BF$2)),((INT(BF$2/$L85)-INT((BF$2-1)/$L85))*$U85*((1+Inputs!$D$7)^BF$2))),(_xlfn.WEIBULL.DIST(BF$2,$M85,$L85,FALSE)*$U85*((1+Inputs!$D$7)^BF$2))),IF($N85=Lists!$K$3,IF($L85&lt;1,((($T85*(1-$F85)+$S85*(1-$G85))/$L85)*((1+Inputs!$D$7)^BF$2)),((INT(BF$2/$L85)-INT((BF$2-1)/$L85))*($T85*(1-$F85)+$S85*(1-$G85))*((1+Inputs!$D$7)^BF$2))),((_xlfn.WEIBULL.DIST(BF$2,$M85,$L85,FALSE)*($T85*(1-$F85)+$S85*(1-$G85))*((1+Inputs!$D$7)^BF$2))))))</f>
        <v>0</v>
      </c>
      <c r="BG85" s="88">
        <f>$E85*IF(BG$2&gt;Inputs!$D$5,0,IF(BG$2&gt;VLOOKUP($H85,Lists!$P$3:$Q$7,2),IF($N85=Lists!$K$3,IF($L85&lt;1,(($U85/$L85)*((1+Inputs!$D$7)^BG$2)),((INT(BG$2/$L85)-INT((BG$2-1)/$L85))*$U85*((1+Inputs!$D$7)^BG$2))),(_xlfn.WEIBULL.DIST(BG$2,$M85,$L85,FALSE)*$U85*((1+Inputs!$D$7)^BG$2))),IF($N85=Lists!$K$3,IF($L85&lt;1,((($T85*(1-$F85)+$S85*(1-$G85))/$L85)*((1+Inputs!$D$7)^BG$2)),((INT(BG$2/$L85)-INT((BG$2-1)/$L85))*($T85*(1-$F85)+$S85*(1-$G85))*((1+Inputs!$D$7)^BG$2))),((_xlfn.WEIBULL.DIST(BG$2,$M85,$L85,FALSE)*($T85*(1-$F85)+$S85*(1-$G85))*((1+Inputs!$D$7)^BG$2))))))</f>
        <v>0</v>
      </c>
      <c r="BH85" s="88">
        <f>$E85*IF(BH$2&gt;Inputs!$D$5,0,IF(BH$2&gt;VLOOKUP($H85,Lists!$P$3:$Q$7,2),IF($N85=Lists!$K$3,IF($L85&lt;1,(($U85/$L85)*((1+Inputs!$D$7)^BH$2)),((INT(BH$2/$L85)-INT((BH$2-1)/$L85))*$U85*((1+Inputs!$D$7)^BH$2))),(_xlfn.WEIBULL.DIST(BH$2,$M85,$L85,FALSE)*$U85*((1+Inputs!$D$7)^BH$2))),IF($N85=Lists!$K$3,IF($L85&lt;1,((($T85*(1-$F85)+$S85*(1-$G85))/$L85)*((1+Inputs!$D$7)^BH$2)),((INT(BH$2/$L85)-INT((BH$2-1)/$L85))*($T85*(1-$F85)+$S85*(1-$G85))*((1+Inputs!$D$7)^BH$2))),((_xlfn.WEIBULL.DIST(BH$2,$M85,$L85,FALSE)*($T85*(1-$F85)+$S85*(1-$G85))*((1+Inputs!$D$7)^BH$2))))))</f>
        <v>0</v>
      </c>
      <c r="BI85" s="88">
        <f>$E85*IF(BI$2&gt;Inputs!$D$5,0,IF(BI$2&gt;VLOOKUP($H85,Lists!$P$3:$Q$7,2),IF($N85=Lists!$K$3,IF($L85&lt;1,(($U85/$L85)*((1+Inputs!$D$7)^BI$2)),((INT(BI$2/$L85)-INT((BI$2-1)/$L85))*$U85*((1+Inputs!$D$7)^BI$2))),(_xlfn.WEIBULL.DIST(BI$2,$M85,$L85,FALSE)*$U85*((1+Inputs!$D$7)^BI$2))),IF($N85=Lists!$K$3,IF($L85&lt;1,((($T85*(1-$F85)+$S85*(1-$G85))/$L85)*((1+Inputs!$D$7)^BI$2)),((INT(BI$2/$L85)-INT((BI$2-1)/$L85))*($T85*(1-$F85)+$S85*(1-$G85))*((1+Inputs!$D$7)^BI$2))),((_xlfn.WEIBULL.DIST(BI$2,$M85,$L85,FALSE)*($T85*(1-$F85)+$S85*(1-$G85))*((1+Inputs!$D$7)^BI$2))))))</f>
        <v>0</v>
      </c>
      <c r="BJ85" s="88">
        <f>$E85*IF(BJ$2&gt;Inputs!$D$5,0,IF(BJ$2&gt;VLOOKUP($H85,Lists!$P$3:$Q$7,2),IF($N85=Lists!$K$3,IF($L85&lt;1,(($U85/$L85)*((1+Inputs!$D$7)^BJ$2)),((INT(BJ$2/$L85)-INT((BJ$2-1)/$L85))*$U85*((1+Inputs!$D$7)^BJ$2))),(_xlfn.WEIBULL.DIST(BJ$2,$M85,$L85,FALSE)*$U85*((1+Inputs!$D$7)^BJ$2))),IF($N85=Lists!$K$3,IF($L85&lt;1,((($T85*(1-$F85)+$S85*(1-$G85))/$L85)*((1+Inputs!$D$7)^BJ$2)),((INT(BJ$2/$L85)-INT((BJ$2-1)/$L85))*($T85*(1-$F85)+$S85*(1-$G85))*((1+Inputs!$D$7)^BJ$2))),((_xlfn.WEIBULL.DIST(BJ$2,$M85,$L85,FALSE)*($T85*(1-$F85)+$S85*(1-$G85))*((1+Inputs!$D$7)^BJ$2))))))</f>
        <v>0</v>
      </c>
      <c r="BK85" s="88">
        <f>$E85*IF(BK$2&gt;Inputs!$D$5,0,IF(BK$2&gt;VLOOKUP($H85,Lists!$P$3:$Q$7,2),IF($N85=Lists!$K$3,IF($L85&lt;1,(($U85/$L85)*((1+Inputs!$D$7)^BK$2)),((INT(BK$2/$L85)-INT((BK$2-1)/$L85))*$U85*((1+Inputs!$D$7)^BK$2))),(_xlfn.WEIBULL.DIST(BK$2,$M85,$L85,FALSE)*$U85*((1+Inputs!$D$7)^BK$2))),IF($N85=Lists!$K$3,IF($L85&lt;1,((($T85*(1-$F85)+$S85*(1-$G85))/$L85)*((1+Inputs!$D$7)^BK$2)),((INT(BK$2/$L85)-INT((BK$2-1)/$L85))*($T85*(1-$F85)+$S85*(1-$G85))*((1+Inputs!$D$7)^BK$2))),((_xlfn.WEIBULL.DIST(BK$2,$M85,$L85,FALSE)*($T85*(1-$F85)+$S85*(1-$G85))*((1+Inputs!$D$7)^BK$2))))))</f>
        <v>0</v>
      </c>
      <c r="BL85" s="88">
        <f>$E85*IF(BL$2&gt;Inputs!$D$5,0,IF(BL$2&gt;VLOOKUP($H85,Lists!$P$3:$Q$7,2),IF($N85=Lists!$K$3,IF($L85&lt;1,(($U85/$L85)*((1+Inputs!$D$7)^BL$2)),((INT(BL$2/$L85)-INT((BL$2-1)/$L85))*$U85*((1+Inputs!$D$7)^BL$2))),(_xlfn.WEIBULL.DIST(BL$2,$M85,$L85,FALSE)*$U85*((1+Inputs!$D$7)^BL$2))),IF($N85=Lists!$K$3,IF($L85&lt;1,((($T85*(1-$F85)+$S85*(1-$G85))/$L85)*((1+Inputs!$D$7)^BL$2)),((INT(BL$2/$L85)-INT((BL$2-1)/$L85))*($T85*(1-$F85)+$S85*(1-$G85))*((1+Inputs!$D$7)^BL$2))),((_xlfn.WEIBULL.DIST(BL$2,$M85,$L85,FALSE)*($T85*(1-$F85)+$S85*(1-$G85))*((1+Inputs!$D$7)^BL$2))))))</f>
        <v>0</v>
      </c>
      <c r="BM85" s="88">
        <f>$E85*IF(BM$2&gt;Inputs!$D$5,0,IF(BM$2&gt;VLOOKUP($H85,Lists!$P$3:$Q$7,2),IF($N85=Lists!$K$3,IF($L85&lt;1,(($U85/$L85)*((1+Inputs!$D$7)^BM$2)),((INT(BM$2/$L85)-INT((BM$2-1)/$L85))*$U85*((1+Inputs!$D$7)^BM$2))),(_xlfn.WEIBULL.DIST(BM$2,$M85,$L85,FALSE)*$U85*((1+Inputs!$D$7)^BM$2))),IF($N85=Lists!$K$3,IF($L85&lt;1,((($T85*(1-$F85)+$S85*(1-$G85))/$L85)*((1+Inputs!$D$7)^BM$2)),((INT(BM$2/$L85)-INT((BM$2-1)/$L85))*($T85*(1-$F85)+$S85*(1-$G85))*((1+Inputs!$D$7)^BM$2))),((_xlfn.WEIBULL.DIST(BM$2,$M85,$L85,FALSE)*($T85*(1-$F85)+$S85*(1-$G85))*((1+Inputs!$D$7)^BM$2))))))</f>
        <v>0</v>
      </c>
      <c r="BN85" s="88">
        <f>$E85*IF(BN$2&gt;Inputs!$D$5,0,IF(BN$2&gt;VLOOKUP($H85,Lists!$P$3:$Q$7,2),IF($N85=Lists!$K$3,IF($L85&lt;1,(($U85/$L85)*((1+Inputs!$D$7)^BN$2)),((INT(BN$2/$L85)-INT((BN$2-1)/$L85))*$U85*((1+Inputs!$D$7)^BN$2))),(_xlfn.WEIBULL.DIST(BN$2,$M85,$L85,FALSE)*$U85*((1+Inputs!$D$7)^BN$2))),IF($N85=Lists!$K$3,IF($L85&lt;1,((($T85*(1-$F85)+$S85*(1-$G85))/$L85)*((1+Inputs!$D$7)^BN$2)),((INT(BN$2/$L85)-INT((BN$2-1)/$L85))*($T85*(1-$F85)+$S85*(1-$G85))*((1+Inputs!$D$7)^BN$2))),((_xlfn.WEIBULL.DIST(BN$2,$M85,$L85,FALSE)*($T85*(1-$F85)+$S85*(1-$G85))*((1+Inputs!$D$7)^BN$2))))))</f>
        <v>0</v>
      </c>
      <c r="BO85" s="64">
        <f>NPV(Inputs!$D$6,BQ85:DD85)</f>
        <v>20.655365469002028</v>
      </c>
      <c r="BP85" s="67">
        <f t="shared" si="20"/>
        <v>9.7420787647459691E-6</v>
      </c>
      <c r="BQ85" s="88">
        <f>MAX(AA85,($E85*IF(BQ$2&gt;Inputs!$D$5,0,IF(BQ$2&gt;VLOOKUP($H85,Lists!$P$3:$Q$7,2),IF($N85=Lists!$K$3,IF($L85&lt;1,(($U85/$L85)*((1+Inputs!$D$7)^BQ$2)),((INT(BQ$2/$L85)-INT((BQ$2-1)/$L85))*$U85*((1+Inputs!$D$7)^BQ$2))),(Inputs!$D$8^((1-_xlfn.WEIBULL.DIST(BQ$2,$M85,$L85,FALSE))/_xlfn.WEIBULL.DIST(BQ$2,$M85,$L85,FALSE))*$U85*((1+Inputs!$D$7)^BQ$2))),IF($N85=Lists!$K$3,IF($L85&lt;1,((($T85*(1-$F85)+$S85*(1-$G85))/$L85)*((1+Inputs!$D$7)^BQ$2)),((INT(BQ$2/$L85)-INT((BQ$2-1)/$L85))*($T85*(1-$F85)+$S85*(1-$G85))*((1+Inputs!$D$7)^BQ$2))),((Inputs!$D$8^((1-_xlfn.WEIBULL.DIST(BQ$2,$M85,$L85,FALSE))/_xlfn.WEIBULL.DIST(BQ$2,$M85,$L85,FALSE))*($T85*(1-$F85)+$S85*(1-$G85))*((1+Inputs!$D$7)^BQ$2))))))))</f>
        <v>0</v>
      </c>
      <c r="BR85" s="88">
        <f>MAX(AB85,($E85*IF(BR$2&gt;Inputs!$D$5,0,IF(BR$2&gt;VLOOKUP($H85,Lists!$P$3:$Q$7,2),IF($N85=Lists!$K$3,IF($L85&lt;1,(($U85/$L85)*((1+Inputs!$D$7)^BR$2)),((INT(BR$2/$L85)-INT((BR$2-1)/$L85))*$U85*((1+Inputs!$D$7)^BR$2))),(Inputs!$D$8^((1-_xlfn.WEIBULL.DIST(BR$2,$M85,$L85,FALSE))/_xlfn.WEIBULL.DIST(BR$2,$M85,$L85,FALSE))*$U85*((1+Inputs!$D$7)^BR$2))),IF($N85=Lists!$K$3,IF($L85&lt;1,((($T85*(1-$F85)+$S85*(1-$G85))/$L85)*((1+Inputs!$D$7)^BR$2)),((INT(BR$2/$L85)-INT((BR$2-1)/$L85))*($T85*(1-$F85)+$S85*(1-$G85))*((1+Inputs!$D$7)^BR$2))),((Inputs!$D$8^((1-_xlfn.WEIBULL.DIST(BR$2,$M85,$L85,FALSE))/_xlfn.WEIBULL.DIST(BR$2,$M85,$L85,FALSE))*($T85*(1-$F85)+$S85*(1-$G85))*((1+Inputs!$D$7)^BR$2))))))))</f>
        <v>0</v>
      </c>
      <c r="BS85" s="88">
        <f>MAX(AC85,($E85*IF(BS$2&gt;Inputs!$D$5,0,IF(BS$2&gt;VLOOKUP($H85,Lists!$P$3:$Q$7,2),IF($N85=Lists!$K$3,IF($L85&lt;1,(($U85/$L85)*((1+Inputs!$D$7)^BS$2)),((INT(BS$2/$L85)-INT((BS$2-1)/$L85))*$U85*((1+Inputs!$D$7)^BS$2))),(Inputs!$D$8^((1-_xlfn.WEIBULL.DIST(BS$2,$M85,$L85,FALSE))/_xlfn.WEIBULL.DIST(BS$2,$M85,$L85,FALSE))*$U85*((1+Inputs!$D$7)^BS$2))),IF($N85=Lists!$K$3,IF($L85&lt;1,((($T85*(1-$F85)+$S85*(1-$G85))/$L85)*((1+Inputs!$D$7)^BS$2)),((INT(BS$2/$L85)-INT((BS$2-1)/$L85))*($T85*(1-$F85)+$S85*(1-$G85))*((1+Inputs!$D$7)^BS$2))),((Inputs!$D$8^((1-_xlfn.WEIBULL.DIST(BS$2,$M85,$L85,FALSE))/_xlfn.WEIBULL.DIST(BS$2,$M85,$L85,FALSE))*($T85*(1-$F85)+$S85*(1-$G85))*((1+Inputs!$D$7)^BS$2))))))))</f>
        <v>0</v>
      </c>
      <c r="BT85" s="88">
        <f>MAX(AD85,($E85*IF(BT$2&gt;Inputs!$D$5,0,IF(BT$2&gt;VLOOKUP($H85,Lists!$P$3:$Q$7,2),IF($N85=Lists!$K$3,IF($L85&lt;1,(($U85/$L85)*((1+Inputs!$D$7)^BT$2)),((INT(BT$2/$L85)-INT((BT$2-1)/$L85))*$U85*((1+Inputs!$D$7)^BT$2))),(Inputs!$D$8^((1-_xlfn.WEIBULL.DIST(BT$2,$M85,$L85,FALSE))/_xlfn.WEIBULL.DIST(BT$2,$M85,$L85,FALSE))*$U85*((1+Inputs!$D$7)^BT$2))),IF($N85=Lists!$K$3,IF($L85&lt;1,((($T85*(1-$F85)+$S85*(1-$G85))/$L85)*((1+Inputs!$D$7)^BT$2)),((INT(BT$2/$L85)-INT((BT$2-1)/$L85))*($T85*(1-$F85)+$S85*(1-$G85))*((1+Inputs!$D$7)^BT$2))),((Inputs!$D$8^((1-_xlfn.WEIBULL.DIST(BT$2,$M85,$L85,FALSE))/_xlfn.WEIBULL.DIST(BT$2,$M85,$L85,FALSE))*($T85*(1-$F85)+$S85*(1-$G85))*((1+Inputs!$D$7)^BT$2))))))))</f>
        <v>0</v>
      </c>
      <c r="BU85" s="88">
        <f>MAX(AE85,($E85*IF(BU$2&gt;Inputs!$D$5,0,IF(BU$2&gt;VLOOKUP($H85,Lists!$P$3:$Q$7,2),IF($N85=Lists!$K$3,IF($L85&lt;1,(($U85/$L85)*((1+Inputs!$D$7)^BU$2)),((INT(BU$2/$L85)-INT((BU$2-1)/$L85))*$U85*((1+Inputs!$D$7)^BU$2))),(Inputs!$D$8^((1-_xlfn.WEIBULL.DIST(BU$2,$M85,$L85,FALSE))/_xlfn.WEIBULL.DIST(BU$2,$M85,$L85,FALSE))*$U85*((1+Inputs!$D$7)^BU$2))),IF($N85=Lists!$K$3,IF($L85&lt;1,((($T85*(1-$F85)+$S85*(1-$G85))/$L85)*((1+Inputs!$D$7)^BU$2)),((INT(BU$2/$L85)-INT((BU$2-1)/$L85))*($T85*(1-$F85)+$S85*(1-$G85))*((1+Inputs!$D$7)^BU$2))),((Inputs!$D$8^((1-_xlfn.WEIBULL.DIST(BU$2,$M85,$L85,FALSE))/_xlfn.WEIBULL.DIST(BU$2,$M85,$L85,FALSE))*($T85*(1-$F85)+$S85*(1-$G85))*((1+Inputs!$D$7)^BU$2))))))))</f>
        <v>8.8359639760903832</v>
      </c>
      <c r="BV85" s="88">
        <f>MAX(AF85,($E85*IF(BV$2&gt;Inputs!$D$5,0,IF(BV$2&gt;VLOOKUP($H85,Lists!$P$3:$Q$7,2),IF($N85=Lists!$K$3,IF($L85&lt;1,(($U85/$L85)*((1+Inputs!$D$7)^BV$2)),((INT(BV$2/$L85)-INT((BV$2-1)/$L85))*$U85*((1+Inputs!$D$7)^BV$2))),(Inputs!$D$8^((1-_xlfn.WEIBULL.DIST(BV$2,$M85,$L85,FALSE))/_xlfn.WEIBULL.DIST(BV$2,$M85,$L85,FALSE))*$U85*((1+Inputs!$D$7)^BV$2))),IF($N85=Lists!$K$3,IF($L85&lt;1,((($T85*(1-$F85)+$S85*(1-$G85))/$L85)*((1+Inputs!$D$7)^BV$2)),((INT(BV$2/$L85)-INT((BV$2-1)/$L85))*($T85*(1-$F85)+$S85*(1-$G85))*((1+Inputs!$D$7)^BV$2))),((Inputs!$D$8^((1-_xlfn.WEIBULL.DIST(BV$2,$M85,$L85,FALSE))/_xlfn.WEIBULL.DIST(BV$2,$M85,$L85,FALSE))*($T85*(1-$F85)+$S85*(1-$G85))*((1+Inputs!$D$7)^BV$2))))))))</f>
        <v>0</v>
      </c>
      <c r="BW85" s="88">
        <f>MAX(AG85,($E85*IF(BW$2&gt;Inputs!$D$5,0,IF(BW$2&gt;VLOOKUP($H85,Lists!$P$3:$Q$7,2),IF($N85=Lists!$K$3,IF($L85&lt;1,(($U85/$L85)*((1+Inputs!$D$7)^BW$2)),((INT(BW$2/$L85)-INT((BW$2-1)/$L85))*$U85*((1+Inputs!$D$7)^BW$2))),(Inputs!$D$8^((1-_xlfn.WEIBULL.DIST(BW$2,$M85,$L85,FALSE))/_xlfn.WEIBULL.DIST(BW$2,$M85,$L85,FALSE))*$U85*((1+Inputs!$D$7)^BW$2))),IF($N85=Lists!$K$3,IF($L85&lt;1,((($T85*(1-$F85)+$S85*(1-$G85))/$L85)*((1+Inputs!$D$7)^BW$2)),((INT(BW$2/$L85)-INT((BW$2-1)/$L85))*($T85*(1-$F85)+$S85*(1-$G85))*((1+Inputs!$D$7)^BW$2))),((Inputs!$D$8^((1-_xlfn.WEIBULL.DIST(BW$2,$M85,$L85,FALSE))/_xlfn.WEIBULL.DIST(BW$2,$M85,$L85,FALSE))*($T85*(1-$F85)+$S85*(1-$G85))*((1+Inputs!$D$7)^BW$2))))))))</f>
        <v>0</v>
      </c>
      <c r="BX85" s="88">
        <f>MAX(AH85,($E85*IF(BX$2&gt;Inputs!$D$5,0,IF(BX$2&gt;VLOOKUP($H85,Lists!$P$3:$Q$7,2),IF($N85=Lists!$K$3,IF($L85&lt;1,(($U85/$L85)*((1+Inputs!$D$7)^BX$2)),((INT(BX$2/$L85)-INT((BX$2-1)/$L85))*$U85*((1+Inputs!$D$7)^BX$2))),(Inputs!$D$8^((1-_xlfn.WEIBULL.DIST(BX$2,$M85,$L85,FALSE))/_xlfn.WEIBULL.DIST(BX$2,$M85,$L85,FALSE))*$U85*((1+Inputs!$D$7)^BX$2))),IF($N85=Lists!$K$3,IF($L85&lt;1,((($T85*(1-$F85)+$S85*(1-$G85))/$L85)*((1+Inputs!$D$7)^BX$2)),((INT(BX$2/$L85)-INT((BX$2-1)/$L85))*($T85*(1-$F85)+$S85*(1-$G85))*((1+Inputs!$D$7)^BX$2))),((Inputs!$D$8^((1-_xlfn.WEIBULL.DIST(BX$2,$M85,$L85,FALSE))/_xlfn.WEIBULL.DIST(BX$2,$M85,$L85,FALSE))*($T85*(1-$F85)+$S85*(1-$G85))*((1+Inputs!$D$7)^BX$2))))))))</f>
        <v>0</v>
      </c>
      <c r="BY85" s="88">
        <f>MAX(AI85,($E85*IF(BY$2&gt;Inputs!$D$5,0,IF(BY$2&gt;VLOOKUP($H85,Lists!$P$3:$Q$7,2),IF($N85=Lists!$K$3,IF($L85&lt;1,(($U85/$L85)*((1+Inputs!$D$7)^BY$2)),((INT(BY$2/$L85)-INT((BY$2-1)/$L85))*$U85*((1+Inputs!$D$7)^BY$2))),(Inputs!$D$8^((1-_xlfn.WEIBULL.DIST(BY$2,$M85,$L85,FALSE))/_xlfn.WEIBULL.DIST(BY$2,$M85,$L85,FALSE))*$U85*((1+Inputs!$D$7)^BY$2))),IF($N85=Lists!$K$3,IF($L85&lt;1,((($T85*(1-$F85)+$S85*(1-$G85))/$L85)*((1+Inputs!$D$7)^BY$2)),((INT(BY$2/$L85)-INT((BY$2-1)/$L85))*($T85*(1-$F85)+$S85*(1-$G85))*((1+Inputs!$D$7)^BY$2))),((Inputs!$D$8^((1-_xlfn.WEIBULL.DIST(BY$2,$M85,$L85,FALSE))/_xlfn.WEIBULL.DIST(BY$2,$M85,$L85,FALSE))*($T85*(1-$F85)+$S85*(1-$G85))*((1+Inputs!$D$7)^BY$2))))))))</f>
        <v>0</v>
      </c>
      <c r="BZ85" s="88">
        <f>MAX(AJ85,($E85*IF(BZ$2&gt;Inputs!$D$5,0,IF(BZ$2&gt;VLOOKUP($H85,Lists!$P$3:$Q$7,2),IF($N85=Lists!$K$3,IF($L85&lt;1,(($U85/$L85)*((1+Inputs!$D$7)^BZ$2)),((INT(BZ$2/$L85)-INT((BZ$2-1)/$L85))*$U85*((1+Inputs!$D$7)^BZ$2))),(Inputs!$D$8^((1-_xlfn.WEIBULL.DIST(BZ$2,$M85,$L85,FALSE))/_xlfn.WEIBULL.DIST(BZ$2,$M85,$L85,FALSE))*$U85*((1+Inputs!$D$7)^BZ$2))),IF($N85=Lists!$K$3,IF($L85&lt;1,((($T85*(1-$F85)+$S85*(1-$G85))/$L85)*((1+Inputs!$D$7)^BZ$2)),((INT(BZ$2/$L85)-INT((BZ$2-1)/$L85))*($T85*(1-$F85)+$S85*(1-$G85))*((1+Inputs!$D$7)^BZ$2))),((Inputs!$D$8^((1-_xlfn.WEIBULL.DIST(BZ$2,$M85,$L85,FALSE))/_xlfn.WEIBULL.DIST(BZ$2,$M85,$L85,FALSE))*($T85*(1-$F85)+$S85*(1-$G85))*((1+Inputs!$D$7)^BZ$2))))))))</f>
        <v>9.7556182037681367</v>
      </c>
      <c r="CA85" s="88">
        <f>MAX(AK85,($E85*IF(CA$2&gt;Inputs!$D$5,0,IF(CA$2&gt;VLOOKUP($H85,Lists!$P$3:$Q$7,2),IF($N85=Lists!$K$3,IF($L85&lt;1,(($U85/$L85)*((1+Inputs!$D$7)^CA$2)),((INT(CA$2/$L85)-INT((CA$2-1)/$L85))*$U85*((1+Inputs!$D$7)^CA$2))),(Inputs!$D$8^((1-_xlfn.WEIBULL.DIST(CA$2,$M85,$L85,FALSE))/_xlfn.WEIBULL.DIST(CA$2,$M85,$L85,FALSE))*$U85*((1+Inputs!$D$7)^CA$2))),IF($N85=Lists!$K$3,IF($L85&lt;1,((($T85*(1-$F85)+$S85*(1-$G85))/$L85)*((1+Inputs!$D$7)^CA$2)),((INT(CA$2/$L85)-INT((CA$2-1)/$L85))*($T85*(1-$F85)+$S85*(1-$G85))*((1+Inputs!$D$7)^CA$2))),((Inputs!$D$8^((1-_xlfn.WEIBULL.DIST(CA$2,$M85,$L85,FALSE))/_xlfn.WEIBULL.DIST(CA$2,$M85,$L85,FALSE))*($T85*(1-$F85)+$S85*(1-$G85))*((1+Inputs!$D$7)^CA$2))))))))</f>
        <v>0</v>
      </c>
      <c r="CB85" s="88">
        <f>MAX(AL85,($E85*IF(CB$2&gt;Inputs!$D$5,0,IF(CB$2&gt;VLOOKUP($H85,Lists!$P$3:$Q$7,2),IF($N85=Lists!$K$3,IF($L85&lt;1,(($U85/$L85)*((1+Inputs!$D$7)^CB$2)),((INT(CB$2/$L85)-INT((CB$2-1)/$L85))*$U85*((1+Inputs!$D$7)^CB$2))),(Inputs!$D$8^((1-_xlfn.WEIBULL.DIST(CB$2,$M85,$L85,FALSE))/_xlfn.WEIBULL.DIST(CB$2,$M85,$L85,FALSE))*$U85*((1+Inputs!$D$7)^CB$2))),IF($N85=Lists!$K$3,IF($L85&lt;1,((($T85*(1-$F85)+$S85*(1-$G85))/$L85)*((1+Inputs!$D$7)^CB$2)),((INT(CB$2/$L85)-INT((CB$2-1)/$L85))*($T85*(1-$F85)+$S85*(1-$G85))*((1+Inputs!$D$7)^CB$2))),((Inputs!$D$8^((1-_xlfn.WEIBULL.DIST(CB$2,$M85,$L85,FALSE))/_xlfn.WEIBULL.DIST(CB$2,$M85,$L85,FALSE))*($T85*(1-$F85)+$S85*(1-$G85))*((1+Inputs!$D$7)^CB$2))))))))</f>
        <v>0</v>
      </c>
      <c r="CC85" s="88">
        <f>MAX(AM85,($E85*IF(CC$2&gt;Inputs!$D$5,0,IF(CC$2&gt;VLOOKUP($H85,Lists!$P$3:$Q$7,2),IF($N85=Lists!$K$3,IF($L85&lt;1,(($U85/$L85)*((1+Inputs!$D$7)^CC$2)),((INT(CC$2/$L85)-INT((CC$2-1)/$L85))*$U85*((1+Inputs!$D$7)^CC$2))),(Inputs!$D$8^((1-_xlfn.WEIBULL.DIST(CC$2,$M85,$L85,FALSE))/_xlfn.WEIBULL.DIST(CC$2,$M85,$L85,FALSE))*$U85*((1+Inputs!$D$7)^CC$2))),IF($N85=Lists!$K$3,IF($L85&lt;1,((($T85*(1-$F85)+$S85*(1-$G85))/$L85)*((1+Inputs!$D$7)^CC$2)),((INT(CC$2/$L85)-INT((CC$2-1)/$L85))*($T85*(1-$F85)+$S85*(1-$G85))*((1+Inputs!$D$7)^CC$2))),((Inputs!$D$8^((1-_xlfn.WEIBULL.DIST(CC$2,$M85,$L85,FALSE))/_xlfn.WEIBULL.DIST(CC$2,$M85,$L85,FALSE))*($T85*(1-$F85)+$S85*(1-$G85))*((1+Inputs!$D$7)^CC$2))))))))</f>
        <v>0</v>
      </c>
      <c r="CD85" s="88">
        <f>MAX(AN85,($E85*IF(CD$2&gt;Inputs!$D$5,0,IF(CD$2&gt;VLOOKUP($H85,Lists!$P$3:$Q$7,2),IF($N85=Lists!$K$3,IF($L85&lt;1,(($U85/$L85)*((1+Inputs!$D$7)^CD$2)),((INT(CD$2/$L85)-INT((CD$2-1)/$L85))*$U85*((1+Inputs!$D$7)^CD$2))),(Inputs!$D$8^((1-_xlfn.WEIBULL.DIST(CD$2,$M85,$L85,FALSE))/_xlfn.WEIBULL.DIST(CD$2,$M85,$L85,FALSE))*$U85*((1+Inputs!$D$7)^CD$2))),IF($N85=Lists!$K$3,IF($L85&lt;1,((($T85*(1-$F85)+$S85*(1-$G85))/$L85)*((1+Inputs!$D$7)^CD$2)),((INT(CD$2/$L85)-INT((CD$2-1)/$L85))*($T85*(1-$F85)+$S85*(1-$G85))*((1+Inputs!$D$7)^CD$2))),((Inputs!$D$8^((1-_xlfn.WEIBULL.DIST(CD$2,$M85,$L85,FALSE))/_xlfn.WEIBULL.DIST(CD$2,$M85,$L85,FALSE))*($T85*(1-$F85)+$S85*(1-$G85))*((1+Inputs!$D$7)^CD$2))))))))</f>
        <v>0</v>
      </c>
      <c r="CE85" s="88">
        <f>MAX(AO85,($E85*IF(CE$2&gt;Inputs!$D$5,0,IF(CE$2&gt;VLOOKUP($H85,Lists!$P$3:$Q$7,2),IF($N85=Lists!$K$3,IF($L85&lt;1,(($U85/$L85)*((1+Inputs!$D$7)^CE$2)),((INT(CE$2/$L85)-INT((CE$2-1)/$L85))*$U85*((1+Inputs!$D$7)^CE$2))),(Inputs!$D$8^((1-_xlfn.WEIBULL.DIST(CE$2,$M85,$L85,FALSE))/_xlfn.WEIBULL.DIST(CE$2,$M85,$L85,FALSE))*$U85*((1+Inputs!$D$7)^CE$2))),IF($N85=Lists!$K$3,IF($L85&lt;1,((($T85*(1-$F85)+$S85*(1-$G85))/$L85)*((1+Inputs!$D$7)^CE$2)),((INT(CE$2/$L85)-INT((CE$2-1)/$L85))*($T85*(1-$F85)+$S85*(1-$G85))*((1+Inputs!$D$7)^CE$2))),((Inputs!$D$8^((1-_xlfn.WEIBULL.DIST(CE$2,$M85,$L85,FALSE))/_xlfn.WEIBULL.DIST(CE$2,$M85,$L85,FALSE))*($T85*(1-$F85)+$S85*(1-$G85))*((1+Inputs!$D$7)^CE$2))))))))</f>
        <v>10.770990782128862</v>
      </c>
      <c r="CF85" s="88">
        <f>MAX(AP85,($E85*IF(CF$2&gt;Inputs!$D$5,0,IF(CF$2&gt;VLOOKUP($H85,Lists!$P$3:$Q$7,2),IF($N85=Lists!$K$3,IF($L85&lt;1,(($U85/$L85)*((1+Inputs!$D$7)^CF$2)),((INT(CF$2/$L85)-INT((CF$2-1)/$L85))*$U85*((1+Inputs!$D$7)^CF$2))),(Inputs!$D$8^((1-_xlfn.WEIBULL.DIST(CF$2,$M85,$L85,FALSE))/_xlfn.WEIBULL.DIST(CF$2,$M85,$L85,FALSE))*$U85*((1+Inputs!$D$7)^CF$2))),IF($N85=Lists!$K$3,IF($L85&lt;1,((($T85*(1-$F85)+$S85*(1-$G85))/$L85)*((1+Inputs!$D$7)^CF$2)),((INT(CF$2/$L85)-INT((CF$2-1)/$L85))*($T85*(1-$F85)+$S85*(1-$G85))*((1+Inputs!$D$7)^CF$2))),((Inputs!$D$8^((1-_xlfn.WEIBULL.DIST(CF$2,$M85,$L85,FALSE))/_xlfn.WEIBULL.DIST(CF$2,$M85,$L85,FALSE))*($T85*(1-$F85)+$S85*(1-$G85))*((1+Inputs!$D$7)^CF$2))))))))</f>
        <v>0</v>
      </c>
      <c r="CG85" s="88">
        <f>MAX(AQ85,($E85*IF(CG$2&gt;Inputs!$D$5,0,IF(CG$2&gt;VLOOKUP($H85,Lists!$P$3:$Q$7,2),IF($N85=Lists!$K$3,IF($L85&lt;1,(($U85/$L85)*((1+Inputs!$D$7)^CG$2)),((INT(CG$2/$L85)-INT((CG$2-1)/$L85))*$U85*((1+Inputs!$D$7)^CG$2))),(Inputs!$D$8^((1-_xlfn.WEIBULL.DIST(CG$2,$M85,$L85,FALSE))/_xlfn.WEIBULL.DIST(CG$2,$M85,$L85,FALSE))*$U85*((1+Inputs!$D$7)^CG$2))),IF($N85=Lists!$K$3,IF($L85&lt;1,((($T85*(1-$F85)+$S85*(1-$G85))/$L85)*((1+Inputs!$D$7)^CG$2)),((INT(CG$2/$L85)-INT((CG$2-1)/$L85))*($T85*(1-$F85)+$S85*(1-$G85))*((1+Inputs!$D$7)^CG$2))),((Inputs!$D$8^((1-_xlfn.WEIBULL.DIST(CG$2,$M85,$L85,FALSE))/_xlfn.WEIBULL.DIST(CG$2,$M85,$L85,FALSE))*($T85*(1-$F85)+$S85*(1-$G85))*((1+Inputs!$D$7)^CG$2))))))))</f>
        <v>0</v>
      </c>
      <c r="CH85" s="88">
        <f>MAX(AR85,($E85*IF(CH$2&gt;Inputs!$D$5,0,IF(CH$2&gt;VLOOKUP($H85,Lists!$P$3:$Q$7,2),IF($N85=Lists!$K$3,IF($L85&lt;1,(($U85/$L85)*((1+Inputs!$D$7)^CH$2)),((INT(CH$2/$L85)-INT((CH$2-1)/$L85))*$U85*((1+Inputs!$D$7)^CH$2))),(Inputs!$D$8^((1-_xlfn.WEIBULL.DIST(CH$2,$M85,$L85,FALSE))/_xlfn.WEIBULL.DIST(CH$2,$M85,$L85,FALSE))*$U85*((1+Inputs!$D$7)^CH$2))),IF($N85=Lists!$K$3,IF($L85&lt;1,((($T85*(1-$F85)+$S85*(1-$G85))/$L85)*((1+Inputs!$D$7)^CH$2)),((INT(CH$2/$L85)-INT((CH$2-1)/$L85))*($T85*(1-$F85)+$S85*(1-$G85))*((1+Inputs!$D$7)^CH$2))),((Inputs!$D$8^((1-_xlfn.WEIBULL.DIST(CH$2,$M85,$L85,FALSE))/_xlfn.WEIBULL.DIST(CH$2,$M85,$L85,FALSE))*($T85*(1-$F85)+$S85*(1-$G85))*((1+Inputs!$D$7)^CH$2))))))))</f>
        <v>0</v>
      </c>
      <c r="CI85" s="88">
        <f>MAX(AS85,($E85*IF(CI$2&gt;Inputs!$D$5,0,IF(CI$2&gt;VLOOKUP($H85,Lists!$P$3:$Q$7,2),IF($N85=Lists!$K$3,IF($L85&lt;1,(($U85/$L85)*((1+Inputs!$D$7)^CI$2)),((INT(CI$2/$L85)-INT((CI$2-1)/$L85))*$U85*((1+Inputs!$D$7)^CI$2))),(Inputs!$D$8^((1-_xlfn.WEIBULL.DIST(CI$2,$M85,$L85,FALSE))/_xlfn.WEIBULL.DIST(CI$2,$M85,$L85,FALSE))*$U85*((1+Inputs!$D$7)^CI$2))),IF($N85=Lists!$K$3,IF($L85&lt;1,((($T85*(1-$F85)+$S85*(1-$G85))/$L85)*((1+Inputs!$D$7)^CI$2)),((INT(CI$2/$L85)-INT((CI$2-1)/$L85))*($T85*(1-$F85)+$S85*(1-$G85))*((1+Inputs!$D$7)^CI$2))),((Inputs!$D$8^((1-_xlfn.WEIBULL.DIST(CI$2,$M85,$L85,FALSE))/_xlfn.WEIBULL.DIST(CI$2,$M85,$L85,FALSE))*($T85*(1-$F85)+$S85*(1-$G85))*((1+Inputs!$D$7)^CI$2))))))))</f>
        <v>0</v>
      </c>
      <c r="CJ85" s="88">
        <f>MAX(AT85,($E85*IF(CJ$2&gt;Inputs!$D$5,0,IF(CJ$2&gt;VLOOKUP($H85,Lists!$P$3:$Q$7,2),IF($N85=Lists!$K$3,IF($L85&lt;1,(($U85/$L85)*((1+Inputs!$D$7)^CJ$2)),((INT(CJ$2/$L85)-INT((CJ$2-1)/$L85))*$U85*((1+Inputs!$D$7)^CJ$2))),(Inputs!$D$8^((1-_xlfn.WEIBULL.DIST(CJ$2,$M85,$L85,FALSE))/_xlfn.WEIBULL.DIST(CJ$2,$M85,$L85,FALSE))*$U85*((1+Inputs!$D$7)^CJ$2))),IF($N85=Lists!$K$3,IF($L85&lt;1,((($T85*(1-$F85)+$S85*(1-$G85))/$L85)*((1+Inputs!$D$7)^CJ$2)),((INT(CJ$2/$L85)-INT((CJ$2-1)/$L85))*($T85*(1-$F85)+$S85*(1-$G85))*((1+Inputs!$D$7)^CJ$2))),((Inputs!$D$8^((1-_xlfn.WEIBULL.DIST(CJ$2,$M85,$L85,FALSE))/_xlfn.WEIBULL.DIST(CJ$2,$M85,$L85,FALSE))*($T85*(1-$F85)+$S85*(1-$G85))*((1+Inputs!$D$7)^CJ$2))))))))</f>
        <v>11.892044153992632</v>
      </c>
      <c r="CK85" s="88">
        <f>MAX(AU85,($E85*IF(CK$2&gt;Inputs!$D$5,0,IF(CK$2&gt;VLOOKUP($H85,Lists!$P$3:$Q$7,2),IF($N85=Lists!$K$3,IF($L85&lt;1,(($U85/$L85)*((1+Inputs!$D$7)^CK$2)),((INT(CK$2/$L85)-INT((CK$2-1)/$L85))*$U85*((1+Inputs!$D$7)^CK$2))),(Inputs!$D$8^((1-_xlfn.WEIBULL.DIST(CK$2,$M85,$L85,FALSE))/_xlfn.WEIBULL.DIST(CK$2,$M85,$L85,FALSE))*$U85*((1+Inputs!$D$7)^CK$2))),IF($N85=Lists!$K$3,IF($L85&lt;1,((($T85*(1-$F85)+$S85*(1-$G85))/$L85)*((1+Inputs!$D$7)^CK$2)),((INT(CK$2/$L85)-INT((CK$2-1)/$L85))*($T85*(1-$F85)+$S85*(1-$G85))*((1+Inputs!$D$7)^CK$2))),((Inputs!$D$8^((1-_xlfn.WEIBULL.DIST(CK$2,$M85,$L85,FALSE))/_xlfn.WEIBULL.DIST(CK$2,$M85,$L85,FALSE))*($T85*(1-$F85)+$S85*(1-$G85))*((1+Inputs!$D$7)^CK$2))))))))</f>
        <v>0</v>
      </c>
      <c r="CL85" s="88">
        <f>MAX(AV85,($E85*IF(CL$2&gt;Inputs!$D$5,0,IF(CL$2&gt;VLOOKUP($H85,Lists!$P$3:$Q$7,2),IF($N85=Lists!$K$3,IF($L85&lt;1,(($U85/$L85)*((1+Inputs!$D$7)^CL$2)),((INT(CL$2/$L85)-INT((CL$2-1)/$L85))*$U85*((1+Inputs!$D$7)^CL$2))),(Inputs!$D$8^((1-_xlfn.WEIBULL.DIST(CL$2,$M85,$L85,FALSE))/_xlfn.WEIBULL.DIST(CL$2,$M85,$L85,FALSE))*$U85*((1+Inputs!$D$7)^CL$2))),IF($N85=Lists!$K$3,IF($L85&lt;1,((($T85*(1-$F85)+$S85*(1-$G85))/$L85)*((1+Inputs!$D$7)^CL$2)),((INT(CL$2/$L85)-INT((CL$2-1)/$L85))*($T85*(1-$F85)+$S85*(1-$G85))*((1+Inputs!$D$7)^CL$2))),((Inputs!$D$8^((1-_xlfn.WEIBULL.DIST(CL$2,$M85,$L85,FALSE))/_xlfn.WEIBULL.DIST(CL$2,$M85,$L85,FALSE))*($T85*(1-$F85)+$S85*(1-$G85))*((1+Inputs!$D$7)^CL$2))))))))</f>
        <v>0</v>
      </c>
      <c r="CM85" s="88">
        <f>MAX(AW85,($E85*IF(CM$2&gt;Inputs!$D$5,0,IF(CM$2&gt;VLOOKUP($H85,Lists!$P$3:$Q$7,2),IF($N85=Lists!$K$3,IF($L85&lt;1,(($U85/$L85)*((1+Inputs!$D$7)^CM$2)),((INT(CM$2/$L85)-INT((CM$2-1)/$L85))*$U85*((1+Inputs!$D$7)^CM$2))),(Inputs!$D$8^((1-_xlfn.WEIBULL.DIST(CM$2,$M85,$L85,FALSE))/_xlfn.WEIBULL.DIST(CM$2,$M85,$L85,FALSE))*$U85*((1+Inputs!$D$7)^CM$2))),IF($N85=Lists!$K$3,IF($L85&lt;1,((($T85*(1-$F85)+$S85*(1-$G85))/$L85)*((1+Inputs!$D$7)^CM$2)),((INT(CM$2/$L85)-INT((CM$2-1)/$L85))*($T85*(1-$F85)+$S85*(1-$G85))*((1+Inputs!$D$7)^CM$2))),((Inputs!$D$8^((1-_xlfn.WEIBULL.DIST(CM$2,$M85,$L85,FALSE))/_xlfn.WEIBULL.DIST(CM$2,$M85,$L85,FALSE))*($T85*(1-$F85)+$S85*(1-$G85))*((1+Inputs!$D$7)^CM$2))))))))</f>
        <v>0</v>
      </c>
      <c r="CN85" s="88">
        <f>MAX(AX85,($E85*IF(CN$2&gt;Inputs!$D$5,0,IF(CN$2&gt;VLOOKUP($H85,Lists!$P$3:$Q$7,2),IF($N85=Lists!$K$3,IF($L85&lt;1,(($U85/$L85)*((1+Inputs!$D$7)^CN$2)),((INT(CN$2/$L85)-INT((CN$2-1)/$L85))*$U85*((1+Inputs!$D$7)^CN$2))),(Inputs!$D$8^((1-_xlfn.WEIBULL.DIST(CN$2,$M85,$L85,FALSE))/_xlfn.WEIBULL.DIST(CN$2,$M85,$L85,FALSE))*$U85*((1+Inputs!$D$7)^CN$2))),IF($N85=Lists!$K$3,IF($L85&lt;1,((($T85*(1-$F85)+$S85*(1-$G85))/$L85)*((1+Inputs!$D$7)^CN$2)),((INT(CN$2/$L85)-INT((CN$2-1)/$L85))*($T85*(1-$F85)+$S85*(1-$G85))*((1+Inputs!$D$7)^CN$2))),((Inputs!$D$8^((1-_xlfn.WEIBULL.DIST(CN$2,$M85,$L85,FALSE))/_xlfn.WEIBULL.DIST(CN$2,$M85,$L85,FALSE))*($T85*(1-$F85)+$S85*(1-$G85))*((1+Inputs!$D$7)^CN$2))))))))</f>
        <v>0</v>
      </c>
      <c r="CO85" s="88">
        <f>MAX(AY85,($E85*IF(CO$2&gt;Inputs!$D$5,0,IF(CO$2&gt;VLOOKUP($H85,Lists!$P$3:$Q$7,2),IF($N85=Lists!$K$3,IF($L85&lt;1,(($U85/$L85)*((1+Inputs!$D$7)^CO$2)),((INT(CO$2/$L85)-INT((CO$2-1)/$L85))*$U85*((1+Inputs!$D$7)^CO$2))),(Inputs!$D$8^((1-_xlfn.WEIBULL.DIST(CO$2,$M85,$L85,FALSE))/_xlfn.WEIBULL.DIST(CO$2,$M85,$L85,FALSE))*$U85*((1+Inputs!$D$7)^CO$2))),IF($N85=Lists!$K$3,IF($L85&lt;1,((($T85*(1-$F85)+$S85*(1-$G85))/$L85)*((1+Inputs!$D$7)^CO$2)),((INT(CO$2/$L85)-INT((CO$2-1)/$L85))*($T85*(1-$F85)+$S85*(1-$G85))*((1+Inputs!$D$7)^CO$2))),((Inputs!$D$8^((1-_xlfn.WEIBULL.DIST(CO$2,$M85,$L85,FALSE))/_xlfn.WEIBULL.DIST(CO$2,$M85,$L85,FALSE))*($T85*(1-$F85)+$S85*(1-$G85))*((1+Inputs!$D$7)^CO$2))))))))</f>
        <v>13.129777661230047</v>
      </c>
      <c r="CP85" s="88">
        <f>MAX(AZ85,($E85*IF(CP$2&gt;Inputs!$D$5,0,IF(CP$2&gt;VLOOKUP($H85,Lists!$P$3:$Q$7,2),IF($N85=Lists!$K$3,IF($L85&lt;1,(($U85/$L85)*((1+Inputs!$D$7)^CP$2)),((INT(CP$2/$L85)-INT((CP$2-1)/$L85))*$U85*((1+Inputs!$D$7)^CP$2))),(Inputs!$D$8^((1-_xlfn.WEIBULL.DIST(CP$2,$M85,$L85,FALSE))/_xlfn.WEIBULL.DIST(CP$2,$M85,$L85,FALSE))*$U85*((1+Inputs!$D$7)^CP$2))),IF($N85=Lists!$K$3,IF($L85&lt;1,((($T85*(1-$F85)+$S85*(1-$G85))/$L85)*((1+Inputs!$D$7)^CP$2)),((INT(CP$2/$L85)-INT((CP$2-1)/$L85))*($T85*(1-$F85)+$S85*(1-$G85))*((1+Inputs!$D$7)^CP$2))),((Inputs!$D$8^((1-_xlfn.WEIBULL.DIST(CP$2,$M85,$L85,FALSE))/_xlfn.WEIBULL.DIST(CP$2,$M85,$L85,FALSE))*($T85*(1-$F85)+$S85*(1-$G85))*((1+Inputs!$D$7)^CP$2))))))))</f>
        <v>0</v>
      </c>
      <c r="CQ85" s="88">
        <f>MAX(BA85,($E85*IF(CQ$2&gt;Inputs!$D$5,0,IF(CQ$2&gt;VLOOKUP($H85,Lists!$P$3:$Q$7,2),IF($N85=Lists!$K$3,IF($L85&lt;1,(($U85/$L85)*((1+Inputs!$D$7)^CQ$2)),((INT(CQ$2/$L85)-INT((CQ$2-1)/$L85))*$U85*((1+Inputs!$D$7)^CQ$2))),(Inputs!$D$8^((1-_xlfn.WEIBULL.DIST(CQ$2,$M85,$L85,FALSE))/_xlfn.WEIBULL.DIST(CQ$2,$M85,$L85,FALSE))*$U85*((1+Inputs!$D$7)^CQ$2))),IF($N85=Lists!$K$3,IF($L85&lt;1,((($T85*(1-$F85)+$S85*(1-$G85))/$L85)*((1+Inputs!$D$7)^CQ$2)),((INT(CQ$2/$L85)-INT((CQ$2-1)/$L85))*($T85*(1-$F85)+$S85*(1-$G85))*((1+Inputs!$D$7)^CQ$2))),((Inputs!$D$8^((1-_xlfn.WEIBULL.DIST(CQ$2,$M85,$L85,FALSE))/_xlfn.WEIBULL.DIST(CQ$2,$M85,$L85,FALSE))*($T85*(1-$F85)+$S85*(1-$G85))*((1+Inputs!$D$7)^CQ$2))))))))</f>
        <v>0</v>
      </c>
      <c r="CR85" s="88">
        <f>MAX(BB85,($E85*IF(CR$2&gt;Inputs!$D$5,0,IF(CR$2&gt;VLOOKUP($H85,Lists!$P$3:$Q$7,2),IF($N85=Lists!$K$3,IF($L85&lt;1,(($U85/$L85)*((1+Inputs!$D$7)^CR$2)),((INT(CR$2/$L85)-INT((CR$2-1)/$L85))*$U85*((1+Inputs!$D$7)^CR$2))),(Inputs!$D$8^((1-_xlfn.WEIBULL.DIST(CR$2,$M85,$L85,FALSE))/_xlfn.WEIBULL.DIST(CR$2,$M85,$L85,FALSE))*$U85*((1+Inputs!$D$7)^CR$2))),IF($N85=Lists!$K$3,IF($L85&lt;1,((($T85*(1-$F85)+$S85*(1-$G85))/$L85)*((1+Inputs!$D$7)^CR$2)),((INT(CR$2/$L85)-INT((CR$2-1)/$L85))*($T85*(1-$F85)+$S85*(1-$G85))*((1+Inputs!$D$7)^CR$2))),((Inputs!$D$8^((1-_xlfn.WEIBULL.DIST(CR$2,$M85,$L85,FALSE))/_xlfn.WEIBULL.DIST(CR$2,$M85,$L85,FALSE))*($T85*(1-$F85)+$S85*(1-$G85))*((1+Inputs!$D$7)^CR$2))))))))</f>
        <v>0</v>
      </c>
      <c r="CS85" s="88">
        <f>MAX(BC85,($E85*IF(CS$2&gt;Inputs!$D$5,0,IF(CS$2&gt;VLOOKUP($H85,Lists!$P$3:$Q$7,2),IF($N85=Lists!$K$3,IF($L85&lt;1,(($U85/$L85)*((1+Inputs!$D$7)^CS$2)),((INT(CS$2/$L85)-INT((CS$2-1)/$L85))*$U85*((1+Inputs!$D$7)^CS$2))),(Inputs!$D$8^((1-_xlfn.WEIBULL.DIST(CS$2,$M85,$L85,FALSE))/_xlfn.WEIBULL.DIST(CS$2,$M85,$L85,FALSE))*$U85*((1+Inputs!$D$7)^CS$2))),IF($N85=Lists!$K$3,IF($L85&lt;1,((($T85*(1-$F85)+$S85*(1-$G85))/$L85)*((1+Inputs!$D$7)^CS$2)),((INT(CS$2/$L85)-INT((CS$2-1)/$L85))*($T85*(1-$F85)+$S85*(1-$G85))*((1+Inputs!$D$7)^CS$2))),((Inputs!$D$8^((1-_xlfn.WEIBULL.DIST(CS$2,$M85,$L85,FALSE))/_xlfn.WEIBULL.DIST(CS$2,$M85,$L85,FALSE))*($T85*(1-$F85)+$S85*(1-$G85))*((1+Inputs!$D$7)^CS$2))))))))</f>
        <v>0</v>
      </c>
      <c r="CT85" s="88">
        <f>MAX(BD85,($E85*IF(CT$2&gt;Inputs!$D$5,0,IF(CT$2&gt;VLOOKUP($H85,Lists!$P$3:$Q$7,2),IF($N85=Lists!$K$3,IF($L85&lt;1,(($U85/$L85)*((1+Inputs!$D$7)^CT$2)),((INT(CT$2/$L85)-INT((CT$2-1)/$L85))*$U85*((1+Inputs!$D$7)^CT$2))),(Inputs!$D$8^((1-_xlfn.WEIBULL.DIST(CT$2,$M85,$L85,FALSE))/_xlfn.WEIBULL.DIST(CT$2,$M85,$L85,FALSE))*$U85*((1+Inputs!$D$7)^CT$2))),IF($N85=Lists!$K$3,IF($L85&lt;1,((($T85*(1-$F85)+$S85*(1-$G85))/$L85)*((1+Inputs!$D$7)^CT$2)),((INT(CT$2/$L85)-INT((CT$2-1)/$L85))*($T85*(1-$F85)+$S85*(1-$G85))*((1+Inputs!$D$7)^CT$2))),((Inputs!$D$8^((1-_xlfn.WEIBULL.DIST(CT$2,$M85,$L85,FALSE))/_xlfn.WEIBULL.DIST(CT$2,$M85,$L85,FALSE))*($T85*(1-$F85)+$S85*(1-$G85))*((1+Inputs!$D$7)^CT$2))))))))</f>
        <v>0</v>
      </c>
      <c r="CU85" s="88">
        <f>MAX(BE85,($E85*IF(CU$2&gt;Inputs!$D$5,0,IF(CU$2&gt;VLOOKUP($H85,Lists!$P$3:$Q$7,2),IF($N85=Lists!$K$3,IF($L85&lt;1,(($U85/$L85)*((1+Inputs!$D$7)^CU$2)),((INT(CU$2/$L85)-INT((CU$2-1)/$L85))*$U85*((1+Inputs!$D$7)^CU$2))),(Inputs!$D$8^((1-_xlfn.WEIBULL.DIST(CU$2,$M85,$L85,FALSE))/_xlfn.WEIBULL.DIST(CU$2,$M85,$L85,FALSE))*$U85*((1+Inputs!$D$7)^CU$2))),IF($N85=Lists!$K$3,IF($L85&lt;1,((($T85*(1-$F85)+$S85*(1-$G85))/$L85)*((1+Inputs!$D$7)^CU$2)),((INT(CU$2/$L85)-INT((CU$2-1)/$L85))*($T85*(1-$F85)+$S85*(1-$G85))*((1+Inputs!$D$7)^CU$2))),((Inputs!$D$8^((1-_xlfn.WEIBULL.DIST(CU$2,$M85,$L85,FALSE))/_xlfn.WEIBULL.DIST(CU$2,$M85,$L85,FALSE))*($T85*(1-$F85)+$S85*(1-$G85))*((1+Inputs!$D$7)^CU$2))))))))</f>
        <v>0</v>
      </c>
      <c r="CV85" s="88">
        <f>MAX(BF85,($E85*IF(CV$2&gt;Inputs!$D$5,0,IF(CV$2&gt;VLOOKUP($H85,Lists!$P$3:$Q$7,2),IF($N85=Lists!$K$3,IF($L85&lt;1,(($U85/$L85)*((1+Inputs!$D$7)^CV$2)),((INT(CV$2/$L85)-INT((CV$2-1)/$L85))*$U85*((1+Inputs!$D$7)^CV$2))),(Inputs!$D$8^((1-_xlfn.WEIBULL.DIST(CV$2,$M85,$L85,FALSE))/_xlfn.WEIBULL.DIST(CV$2,$M85,$L85,FALSE))*$U85*((1+Inputs!$D$7)^CV$2))),IF($N85=Lists!$K$3,IF($L85&lt;1,((($T85*(1-$F85)+$S85*(1-$G85))/$L85)*((1+Inputs!$D$7)^CV$2)),((INT(CV$2/$L85)-INT((CV$2-1)/$L85))*($T85*(1-$F85)+$S85*(1-$G85))*((1+Inputs!$D$7)^CV$2))),((Inputs!$D$8^((1-_xlfn.WEIBULL.DIST(CV$2,$M85,$L85,FALSE))/_xlfn.WEIBULL.DIST(CV$2,$M85,$L85,FALSE))*($T85*(1-$F85)+$S85*(1-$G85))*((1+Inputs!$D$7)^CV$2))))))))</f>
        <v>0</v>
      </c>
      <c r="CW85" s="88">
        <f>MAX(BG85,($E85*IF(CW$2&gt;Inputs!$D$5,0,IF(CW$2&gt;VLOOKUP($H85,Lists!$P$3:$Q$7,2),IF($N85=Lists!$K$3,IF($L85&lt;1,(($U85/$L85)*((1+Inputs!$D$7)^CW$2)),((INT(CW$2/$L85)-INT((CW$2-1)/$L85))*$U85*((1+Inputs!$D$7)^CW$2))),(Inputs!$D$8^((1-_xlfn.WEIBULL.DIST(CW$2,$M85,$L85,FALSE))/_xlfn.WEIBULL.DIST(CW$2,$M85,$L85,FALSE))*$U85*((1+Inputs!$D$7)^CW$2))),IF($N85=Lists!$K$3,IF($L85&lt;1,((($T85*(1-$F85)+$S85*(1-$G85))/$L85)*((1+Inputs!$D$7)^CW$2)),((INT(CW$2/$L85)-INT((CW$2-1)/$L85))*($T85*(1-$F85)+$S85*(1-$G85))*((1+Inputs!$D$7)^CW$2))),((Inputs!$D$8^((1-_xlfn.WEIBULL.DIST(CW$2,$M85,$L85,FALSE))/_xlfn.WEIBULL.DIST(CW$2,$M85,$L85,FALSE))*($T85*(1-$F85)+$S85*(1-$G85))*((1+Inputs!$D$7)^CW$2))))))))</f>
        <v>0</v>
      </c>
      <c r="CX85" s="88">
        <f>MAX(BH85,($E85*IF(CX$2&gt;Inputs!$D$5,0,IF(CX$2&gt;VLOOKUP($H85,Lists!$P$3:$Q$7,2),IF($N85=Lists!$K$3,IF($L85&lt;1,(($U85/$L85)*((1+Inputs!$D$7)^CX$2)),((INT(CX$2/$L85)-INT((CX$2-1)/$L85))*$U85*((1+Inputs!$D$7)^CX$2))),(Inputs!$D$8^((1-_xlfn.WEIBULL.DIST(CX$2,$M85,$L85,FALSE))/_xlfn.WEIBULL.DIST(CX$2,$M85,$L85,FALSE))*$U85*((1+Inputs!$D$7)^CX$2))),IF($N85=Lists!$K$3,IF($L85&lt;1,((($T85*(1-$F85)+$S85*(1-$G85))/$L85)*((1+Inputs!$D$7)^CX$2)),((INT(CX$2/$L85)-INT((CX$2-1)/$L85))*($T85*(1-$F85)+$S85*(1-$G85))*((1+Inputs!$D$7)^CX$2))),((Inputs!$D$8^((1-_xlfn.WEIBULL.DIST(CX$2,$M85,$L85,FALSE))/_xlfn.WEIBULL.DIST(CX$2,$M85,$L85,FALSE))*($T85*(1-$F85)+$S85*(1-$G85))*((1+Inputs!$D$7)^CX$2))))))))</f>
        <v>0</v>
      </c>
      <c r="CY85" s="88">
        <f>MAX(BI85,($E85*IF(CY$2&gt;Inputs!$D$5,0,IF(CY$2&gt;VLOOKUP($H85,Lists!$P$3:$Q$7,2),IF($N85=Lists!$K$3,IF($L85&lt;1,(($U85/$L85)*((1+Inputs!$D$7)^CY$2)),((INT(CY$2/$L85)-INT((CY$2-1)/$L85))*$U85*((1+Inputs!$D$7)^CY$2))),(Inputs!$D$8^((1-_xlfn.WEIBULL.DIST(CY$2,$M85,$L85,FALSE))/_xlfn.WEIBULL.DIST(CY$2,$M85,$L85,FALSE))*$U85*((1+Inputs!$D$7)^CY$2))),IF($N85=Lists!$K$3,IF($L85&lt;1,((($T85*(1-$F85)+$S85*(1-$G85))/$L85)*((1+Inputs!$D$7)^CY$2)),((INT(CY$2/$L85)-INT((CY$2-1)/$L85))*($T85*(1-$F85)+$S85*(1-$G85))*((1+Inputs!$D$7)^CY$2))),((Inputs!$D$8^((1-_xlfn.WEIBULL.DIST(CY$2,$M85,$L85,FALSE))/_xlfn.WEIBULL.DIST(CY$2,$M85,$L85,FALSE))*($T85*(1-$F85)+$S85*(1-$G85))*((1+Inputs!$D$7)^CY$2))))))))</f>
        <v>0</v>
      </c>
      <c r="CZ85" s="88">
        <f>MAX(BJ85,($E85*IF(CZ$2&gt;Inputs!$D$5,0,IF(CZ$2&gt;VLOOKUP($H85,Lists!$P$3:$Q$7,2),IF($N85=Lists!$K$3,IF($L85&lt;1,(($U85/$L85)*((1+Inputs!$D$7)^CZ$2)),((INT(CZ$2/$L85)-INT((CZ$2-1)/$L85))*$U85*((1+Inputs!$D$7)^CZ$2))),(Inputs!$D$8^((1-_xlfn.WEIBULL.DIST(CZ$2,$M85,$L85,FALSE))/_xlfn.WEIBULL.DIST(CZ$2,$M85,$L85,FALSE))*$U85*((1+Inputs!$D$7)^CZ$2))),IF($N85=Lists!$K$3,IF($L85&lt;1,((($T85*(1-$F85)+$S85*(1-$G85))/$L85)*((1+Inputs!$D$7)^CZ$2)),((INT(CZ$2/$L85)-INT((CZ$2-1)/$L85))*($T85*(1-$F85)+$S85*(1-$G85))*((1+Inputs!$D$7)^CZ$2))),((Inputs!$D$8^((1-_xlfn.WEIBULL.DIST(CZ$2,$M85,$L85,FALSE))/_xlfn.WEIBULL.DIST(CZ$2,$M85,$L85,FALSE))*($T85*(1-$F85)+$S85*(1-$G85))*((1+Inputs!$D$7)^CZ$2))))))))</f>
        <v>0</v>
      </c>
      <c r="DA85" s="88">
        <f>MAX(BK85,($E85*IF(DA$2&gt;Inputs!$D$5,0,IF(DA$2&gt;VLOOKUP($H85,Lists!$P$3:$Q$7,2),IF($N85=Lists!$K$3,IF($L85&lt;1,(($U85/$L85)*((1+Inputs!$D$7)^DA$2)),((INT(DA$2/$L85)-INT((DA$2-1)/$L85))*$U85*((1+Inputs!$D$7)^DA$2))),(Inputs!$D$8^((1-_xlfn.WEIBULL.DIST(DA$2,$M85,$L85,FALSE))/_xlfn.WEIBULL.DIST(DA$2,$M85,$L85,FALSE))*$U85*((1+Inputs!$D$7)^DA$2))),IF($N85=Lists!$K$3,IF($L85&lt;1,((($T85*(1-$F85)+$S85*(1-$G85))/$L85)*((1+Inputs!$D$7)^DA$2)),((INT(DA$2/$L85)-INT((DA$2-1)/$L85))*($T85*(1-$F85)+$S85*(1-$G85))*((1+Inputs!$D$7)^DA$2))),((Inputs!$D$8^((1-_xlfn.WEIBULL.DIST(DA$2,$M85,$L85,FALSE))/_xlfn.WEIBULL.DIST(DA$2,$M85,$L85,FALSE))*($T85*(1-$F85)+$S85*(1-$G85))*((1+Inputs!$D$7)^DA$2))))))))</f>
        <v>0</v>
      </c>
      <c r="DB85" s="88">
        <f>MAX(BL85,($E85*IF(DB$2&gt;Inputs!$D$5,0,IF(DB$2&gt;VLOOKUP($H85,Lists!$P$3:$Q$7,2),IF($N85=Lists!$K$3,IF($L85&lt;1,(($U85/$L85)*((1+Inputs!$D$7)^DB$2)),((INT(DB$2/$L85)-INT((DB$2-1)/$L85))*$U85*((1+Inputs!$D$7)^DB$2))),(Inputs!$D$8^((1-_xlfn.WEIBULL.DIST(DB$2,$M85,$L85,FALSE))/_xlfn.WEIBULL.DIST(DB$2,$M85,$L85,FALSE))*$U85*((1+Inputs!$D$7)^DB$2))),IF($N85=Lists!$K$3,IF($L85&lt;1,((($T85*(1-$F85)+$S85*(1-$G85))/$L85)*((1+Inputs!$D$7)^DB$2)),((INT(DB$2/$L85)-INT((DB$2-1)/$L85))*($T85*(1-$F85)+$S85*(1-$G85))*((1+Inputs!$D$7)^DB$2))),((Inputs!$D$8^((1-_xlfn.WEIBULL.DIST(DB$2,$M85,$L85,FALSE))/_xlfn.WEIBULL.DIST(DB$2,$M85,$L85,FALSE))*($T85*(1-$F85)+$S85*(1-$G85))*((1+Inputs!$D$7)^DB$2))))))))</f>
        <v>0</v>
      </c>
      <c r="DC85" s="88">
        <f>MAX(BM85,($E85*IF(DC$2&gt;Inputs!$D$5,0,IF(DC$2&gt;VLOOKUP($H85,Lists!$P$3:$Q$7,2),IF($N85=Lists!$K$3,IF($L85&lt;1,(($U85/$L85)*((1+Inputs!$D$7)^DC$2)),((INT(DC$2/$L85)-INT((DC$2-1)/$L85))*$U85*((1+Inputs!$D$7)^DC$2))),(Inputs!$D$8^((1-_xlfn.WEIBULL.DIST(DC$2,$M85,$L85,FALSE))/_xlfn.WEIBULL.DIST(DC$2,$M85,$L85,FALSE))*$U85*((1+Inputs!$D$7)^DC$2))),IF($N85=Lists!$K$3,IF($L85&lt;1,((($T85*(1-$F85)+$S85*(1-$G85))/$L85)*((1+Inputs!$D$7)^DC$2)),((INT(DC$2/$L85)-INT((DC$2-1)/$L85))*($T85*(1-$F85)+$S85*(1-$G85))*((1+Inputs!$D$7)^DC$2))),((Inputs!$D$8^((1-_xlfn.WEIBULL.DIST(DC$2,$M85,$L85,FALSE))/_xlfn.WEIBULL.DIST(DC$2,$M85,$L85,FALSE))*($T85*(1-$F85)+$S85*(1-$G85))*((1+Inputs!$D$7)^DC$2))))))))</f>
        <v>0</v>
      </c>
      <c r="DD85" s="88">
        <f>MAX(BN85,($E85*IF(DD$2&gt;Inputs!$D$5,0,IF(DD$2&gt;VLOOKUP($H85,Lists!$P$3:$Q$7,2),IF($N85=Lists!$K$3,IF($L85&lt;1,(($U85/$L85)*((1+Inputs!$D$7)^DD$2)),((INT(DD$2/$L85)-INT((DD$2-1)/$L85))*$U85*((1+Inputs!$D$7)^DD$2))),(Inputs!$D$8^((1-_xlfn.WEIBULL.DIST(DD$2,$M85,$L85,FALSE))/_xlfn.WEIBULL.DIST(DD$2,$M85,$L85,FALSE))*$U85*((1+Inputs!$D$7)^DD$2))),IF($N85=Lists!$K$3,IF($L85&lt;1,((($T85*(1-$F85)+$S85*(1-$G85))/$L85)*((1+Inputs!$D$7)^DD$2)),((INT(DD$2/$L85)-INT((DD$2-1)/$L85))*($T85*(1-$F85)+$S85*(1-$G85))*((1+Inputs!$D$7)^DD$2))),((Inputs!$D$8^((1-_xlfn.WEIBULL.DIST(DD$2,$M85,$L85,FALSE))/_xlfn.WEIBULL.DIST(DD$2,$M85,$L85,FALSE))*($T85*(1-$F85)+$S85*(1-$G85))*((1+Inputs!$D$7)^DD$2))))))))</f>
        <v>0</v>
      </c>
    </row>
    <row r="86" spans="1:108" s="1" customFormat="1" ht="16">
      <c r="A86" s="57" t="s">
        <v>7</v>
      </c>
      <c r="B86" s="13" t="s">
        <v>279</v>
      </c>
      <c r="C86" s="13" t="s">
        <v>90</v>
      </c>
      <c r="D86" s="13" t="s">
        <v>34</v>
      </c>
      <c r="E86" s="48">
        <f>IF(Inputs!$D$41=Lists!$I$4,0,1)</f>
        <v>1</v>
      </c>
      <c r="F86" s="48">
        <v>0</v>
      </c>
      <c r="G86" s="48">
        <v>0</v>
      </c>
      <c r="H86" s="105" t="s">
        <v>350</v>
      </c>
      <c r="I86" s="14" t="s">
        <v>16</v>
      </c>
      <c r="J86" s="14" t="s">
        <v>246</v>
      </c>
      <c r="K86" s="13">
        <f>VLOOKUP(J86,'Labor Rates'!$A$1:$F$16,2)</f>
        <v>33.119999999999997</v>
      </c>
      <c r="L86" s="15">
        <v>1</v>
      </c>
      <c r="M86" s="15">
        <v>1</v>
      </c>
      <c r="N86" s="13" t="s">
        <v>236</v>
      </c>
      <c r="O86" s="61">
        <f>Inputs!$D$32</f>
        <v>10</v>
      </c>
      <c r="P86" s="15">
        <v>0.5</v>
      </c>
      <c r="Q86" s="15">
        <f t="shared" si="14"/>
        <v>5</v>
      </c>
      <c r="R86" s="4">
        <v>0</v>
      </c>
      <c r="S86" s="53">
        <f t="shared" si="15"/>
        <v>165.6</v>
      </c>
      <c r="T86" s="53">
        <f t="shared" si="16"/>
        <v>0</v>
      </c>
      <c r="U86" s="54">
        <f t="shared" si="17"/>
        <v>165.6</v>
      </c>
      <c r="V86" s="65"/>
      <c r="W86" s="58"/>
      <c r="X86" s="64">
        <f t="shared" si="18"/>
        <v>205.20586637373944</v>
      </c>
      <c r="Y86" s="64">
        <f>NPV(Inputs!$D$6,AA86:BN86)</f>
        <v>2357.0645820375498</v>
      </c>
      <c r="Z86" s="67">
        <f t="shared" si="19"/>
        <v>1.1117067304504248E-3</v>
      </c>
      <c r="AA86" s="88">
        <f>$E86*IF(AA$2&gt;Inputs!$D$5,0,IF(AA$2&gt;VLOOKUP($H86,Lists!$P$3:$Q$7,2),IF($N86=Lists!$K$3,IF($L86&lt;1,(($U86/$L86)*((1+Inputs!$D$7)^AA$2)),((INT(AA$2/$L86)-INT((AA$2-1)/$L86))*$U86*((1+Inputs!$D$7)^AA$2))),(_xlfn.WEIBULL.DIST(AA$2,$M86,$L86,FALSE)*$U86*((1+Inputs!$D$7)^AA$2))),IF($N86=Lists!$K$3,IF($L86&lt;1,((($T86*(1-$F86)+$S86*(1-$G86))/$L86)*((1+Inputs!$D$7)^AA$2)),((INT(AA$2/$L86)-INT((AA$2-1)/$L86))*($T86*(1-$F86)+$S86*(1-$G86))*((1+Inputs!$D$7)^AA$2))),((_xlfn.WEIBULL.DIST(AA$2,$M86,$L86,FALSE)*($T86*(1-$F86)+$S86*(1-$G86))*((1+Inputs!$D$7)^AA$2))))))</f>
        <v>168.91200000000001</v>
      </c>
      <c r="AB86" s="88">
        <f>$E86*IF(AB$2&gt;Inputs!$D$5,0,IF(AB$2&gt;VLOOKUP($H86,Lists!$P$3:$Q$7,2),IF($N86=Lists!$K$3,IF($L86&lt;1,(($U86/$L86)*((1+Inputs!$D$7)^AB$2)),((INT(AB$2/$L86)-INT((AB$2-1)/$L86))*$U86*((1+Inputs!$D$7)^AB$2))),(_xlfn.WEIBULL.DIST(AB$2,$M86,$L86,FALSE)*$U86*((1+Inputs!$D$7)^AB$2))),IF($N86=Lists!$K$3,IF($L86&lt;1,((($T86*(1-$F86)+$S86*(1-$G86))/$L86)*((1+Inputs!$D$7)^AB$2)),((INT(AB$2/$L86)-INT((AB$2-1)/$L86))*($T86*(1-$F86)+$S86*(1-$G86))*((1+Inputs!$D$7)^AB$2))),((_xlfn.WEIBULL.DIST(AB$2,$M86,$L86,FALSE)*($T86*(1-$F86)+$S86*(1-$G86))*((1+Inputs!$D$7)^AB$2))))))</f>
        <v>172.29023999999998</v>
      </c>
      <c r="AC86" s="88">
        <f>$E86*IF(AC$2&gt;Inputs!$D$5,0,IF(AC$2&gt;VLOOKUP($H86,Lists!$P$3:$Q$7,2),IF($N86=Lists!$K$3,IF($L86&lt;1,(($U86/$L86)*((1+Inputs!$D$7)^AC$2)),((INT(AC$2/$L86)-INT((AC$2-1)/$L86))*$U86*((1+Inputs!$D$7)^AC$2))),(_xlfn.WEIBULL.DIST(AC$2,$M86,$L86,FALSE)*$U86*((1+Inputs!$D$7)^AC$2))),IF($N86=Lists!$K$3,IF($L86&lt;1,((($T86*(1-$F86)+$S86*(1-$G86))/$L86)*((1+Inputs!$D$7)^AC$2)),((INT(AC$2/$L86)-INT((AC$2-1)/$L86))*($T86*(1-$F86)+$S86*(1-$G86))*((1+Inputs!$D$7)^AC$2))),((_xlfn.WEIBULL.DIST(AC$2,$M86,$L86,FALSE)*($T86*(1-$F86)+$S86*(1-$G86))*((1+Inputs!$D$7)^AC$2))))))</f>
        <v>175.73604479999997</v>
      </c>
      <c r="AD86" s="88">
        <f>$E86*IF(AD$2&gt;Inputs!$D$5,0,IF(AD$2&gt;VLOOKUP($H86,Lists!$P$3:$Q$7,2),IF($N86=Lists!$K$3,IF($L86&lt;1,(($U86/$L86)*((1+Inputs!$D$7)^AD$2)),((INT(AD$2/$L86)-INT((AD$2-1)/$L86))*$U86*((1+Inputs!$D$7)^AD$2))),(_xlfn.WEIBULL.DIST(AD$2,$M86,$L86,FALSE)*$U86*((1+Inputs!$D$7)^AD$2))),IF($N86=Lists!$K$3,IF($L86&lt;1,((($T86*(1-$F86)+$S86*(1-$G86))/$L86)*((1+Inputs!$D$7)^AD$2)),((INT(AD$2/$L86)-INT((AD$2-1)/$L86))*($T86*(1-$F86)+$S86*(1-$G86))*((1+Inputs!$D$7)^AD$2))),((_xlfn.WEIBULL.DIST(AD$2,$M86,$L86,FALSE)*($T86*(1-$F86)+$S86*(1-$G86))*((1+Inputs!$D$7)^AD$2))))))</f>
        <v>179.250765696</v>
      </c>
      <c r="AE86" s="88">
        <f>$E86*IF(AE$2&gt;Inputs!$D$5,0,IF(AE$2&gt;VLOOKUP($H86,Lists!$P$3:$Q$7,2),IF($N86=Lists!$K$3,IF($L86&lt;1,(($U86/$L86)*((1+Inputs!$D$7)^AE$2)),((INT(AE$2/$L86)-INT((AE$2-1)/$L86))*$U86*((1+Inputs!$D$7)^AE$2))),(_xlfn.WEIBULL.DIST(AE$2,$M86,$L86,FALSE)*$U86*((1+Inputs!$D$7)^AE$2))),IF($N86=Lists!$K$3,IF($L86&lt;1,((($T86*(1-$F86)+$S86*(1-$G86))/$L86)*((1+Inputs!$D$7)^AE$2)),((INT(AE$2/$L86)-INT((AE$2-1)/$L86))*($T86*(1-$F86)+$S86*(1-$G86))*((1+Inputs!$D$7)^AE$2))),((_xlfn.WEIBULL.DIST(AE$2,$M86,$L86,FALSE)*($T86*(1-$F86)+$S86*(1-$G86))*((1+Inputs!$D$7)^AE$2))))))</f>
        <v>182.83578100992</v>
      </c>
      <c r="AF86" s="88">
        <f>$E86*IF(AF$2&gt;Inputs!$D$5,0,IF(AF$2&gt;VLOOKUP($H86,Lists!$P$3:$Q$7,2),IF($N86=Lists!$K$3,IF($L86&lt;1,(($U86/$L86)*((1+Inputs!$D$7)^AF$2)),((INT(AF$2/$L86)-INT((AF$2-1)/$L86))*$U86*((1+Inputs!$D$7)^AF$2))),(_xlfn.WEIBULL.DIST(AF$2,$M86,$L86,FALSE)*$U86*((1+Inputs!$D$7)^AF$2))),IF($N86=Lists!$K$3,IF($L86&lt;1,((($T86*(1-$F86)+$S86*(1-$G86))/$L86)*((1+Inputs!$D$7)^AF$2)),((INT(AF$2/$L86)-INT((AF$2-1)/$L86))*($T86*(1-$F86)+$S86*(1-$G86))*((1+Inputs!$D$7)^AF$2))),((_xlfn.WEIBULL.DIST(AF$2,$M86,$L86,FALSE)*($T86*(1-$F86)+$S86*(1-$G86))*((1+Inputs!$D$7)^AF$2))))))</f>
        <v>186.49249663011841</v>
      </c>
      <c r="AG86" s="88">
        <f>$E86*IF(AG$2&gt;Inputs!$D$5,0,IF(AG$2&gt;VLOOKUP($H86,Lists!$P$3:$Q$7,2),IF($N86=Lists!$K$3,IF($L86&lt;1,(($U86/$L86)*((1+Inputs!$D$7)^AG$2)),((INT(AG$2/$L86)-INT((AG$2-1)/$L86))*$U86*((1+Inputs!$D$7)^AG$2))),(_xlfn.WEIBULL.DIST(AG$2,$M86,$L86,FALSE)*$U86*((1+Inputs!$D$7)^AG$2))),IF($N86=Lists!$K$3,IF($L86&lt;1,((($T86*(1-$F86)+$S86*(1-$G86))/$L86)*((1+Inputs!$D$7)^AG$2)),((INT(AG$2/$L86)-INT((AG$2-1)/$L86))*($T86*(1-$F86)+$S86*(1-$G86))*((1+Inputs!$D$7)^AG$2))),((_xlfn.WEIBULL.DIST(AG$2,$M86,$L86,FALSE)*($T86*(1-$F86)+$S86*(1-$G86))*((1+Inputs!$D$7)^AG$2))))))</f>
        <v>190.22234656272073</v>
      </c>
      <c r="AH86" s="88">
        <f>$E86*IF(AH$2&gt;Inputs!$D$5,0,IF(AH$2&gt;VLOOKUP($H86,Lists!$P$3:$Q$7,2),IF($N86=Lists!$K$3,IF($L86&lt;1,(($U86/$L86)*((1+Inputs!$D$7)^AH$2)),((INT(AH$2/$L86)-INT((AH$2-1)/$L86))*$U86*((1+Inputs!$D$7)^AH$2))),(_xlfn.WEIBULL.DIST(AH$2,$M86,$L86,FALSE)*$U86*((1+Inputs!$D$7)^AH$2))),IF($N86=Lists!$K$3,IF($L86&lt;1,((($T86*(1-$F86)+$S86*(1-$G86))/$L86)*((1+Inputs!$D$7)^AH$2)),((INT(AH$2/$L86)-INT((AH$2-1)/$L86))*($T86*(1-$F86)+$S86*(1-$G86))*((1+Inputs!$D$7)^AH$2))),((_xlfn.WEIBULL.DIST(AH$2,$M86,$L86,FALSE)*($T86*(1-$F86)+$S86*(1-$G86))*((1+Inputs!$D$7)^AH$2))))))</f>
        <v>194.02679349397516</v>
      </c>
      <c r="AI86" s="88">
        <f>$E86*IF(AI$2&gt;Inputs!$D$5,0,IF(AI$2&gt;VLOOKUP($H86,Lists!$P$3:$Q$7,2),IF($N86=Lists!$K$3,IF($L86&lt;1,(($U86/$L86)*((1+Inputs!$D$7)^AI$2)),((INT(AI$2/$L86)-INT((AI$2-1)/$L86))*$U86*((1+Inputs!$D$7)^AI$2))),(_xlfn.WEIBULL.DIST(AI$2,$M86,$L86,FALSE)*$U86*((1+Inputs!$D$7)^AI$2))),IF($N86=Lists!$K$3,IF($L86&lt;1,((($T86*(1-$F86)+$S86*(1-$G86))/$L86)*((1+Inputs!$D$7)^AI$2)),((INT(AI$2/$L86)-INT((AI$2-1)/$L86))*($T86*(1-$F86)+$S86*(1-$G86))*((1+Inputs!$D$7)^AI$2))),((_xlfn.WEIBULL.DIST(AI$2,$M86,$L86,FALSE)*($T86*(1-$F86)+$S86*(1-$G86))*((1+Inputs!$D$7)^AI$2))))))</f>
        <v>197.90732936385467</v>
      </c>
      <c r="AJ86" s="88">
        <f>$E86*IF(AJ$2&gt;Inputs!$D$5,0,IF(AJ$2&gt;VLOOKUP($H86,Lists!$P$3:$Q$7,2),IF($N86=Lists!$K$3,IF($L86&lt;1,(($U86/$L86)*((1+Inputs!$D$7)^AJ$2)),((INT(AJ$2/$L86)-INT((AJ$2-1)/$L86))*$U86*((1+Inputs!$D$7)^AJ$2))),(_xlfn.WEIBULL.DIST(AJ$2,$M86,$L86,FALSE)*$U86*((1+Inputs!$D$7)^AJ$2))),IF($N86=Lists!$K$3,IF($L86&lt;1,((($T86*(1-$F86)+$S86*(1-$G86))/$L86)*((1+Inputs!$D$7)^AJ$2)),((INT(AJ$2/$L86)-INT((AJ$2-1)/$L86))*($T86*(1-$F86)+$S86*(1-$G86))*((1+Inputs!$D$7)^AJ$2))),((_xlfn.WEIBULL.DIST(AJ$2,$M86,$L86,FALSE)*($T86*(1-$F86)+$S86*(1-$G86))*((1+Inputs!$D$7)^AJ$2))))))</f>
        <v>201.86547595113177</v>
      </c>
      <c r="AK86" s="88">
        <f>$E86*IF(AK$2&gt;Inputs!$D$5,0,IF(AK$2&gt;VLOOKUP($H86,Lists!$P$3:$Q$7,2),IF($N86=Lists!$K$3,IF($L86&lt;1,(($U86/$L86)*((1+Inputs!$D$7)^AK$2)),((INT(AK$2/$L86)-INT((AK$2-1)/$L86))*$U86*((1+Inputs!$D$7)^AK$2))),(_xlfn.WEIBULL.DIST(AK$2,$M86,$L86,FALSE)*$U86*((1+Inputs!$D$7)^AK$2))),IF($N86=Lists!$K$3,IF($L86&lt;1,((($T86*(1-$F86)+$S86*(1-$G86))/$L86)*((1+Inputs!$D$7)^AK$2)),((INT(AK$2/$L86)-INT((AK$2-1)/$L86))*($T86*(1-$F86)+$S86*(1-$G86))*((1+Inputs!$D$7)^AK$2))),((_xlfn.WEIBULL.DIST(AK$2,$M86,$L86,FALSE)*($T86*(1-$F86)+$S86*(1-$G86))*((1+Inputs!$D$7)^AK$2))))))</f>
        <v>205.90278547015436</v>
      </c>
      <c r="AL86" s="88">
        <f>$E86*IF(AL$2&gt;Inputs!$D$5,0,IF(AL$2&gt;VLOOKUP($H86,Lists!$P$3:$Q$7,2),IF($N86=Lists!$K$3,IF($L86&lt;1,(($U86/$L86)*((1+Inputs!$D$7)^AL$2)),((INT(AL$2/$L86)-INT((AL$2-1)/$L86))*$U86*((1+Inputs!$D$7)^AL$2))),(_xlfn.WEIBULL.DIST(AL$2,$M86,$L86,FALSE)*$U86*((1+Inputs!$D$7)^AL$2))),IF($N86=Lists!$K$3,IF($L86&lt;1,((($T86*(1-$F86)+$S86*(1-$G86))/$L86)*((1+Inputs!$D$7)^AL$2)),((INT(AL$2/$L86)-INT((AL$2-1)/$L86))*($T86*(1-$F86)+$S86*(1-$G86))*((1+Inputs!$D$7)^AL$2))),((_xlfn.WEIBULL.DIST(AL$2,$M86,$L86,FALSE)*($T86*(1-$F86)+$S86*(1-$G86))*((1+Inputs!$D$7)^AL$2))))))</f>
        <v>210.02084117955749</v>
      </c>
      <c r="AM86" s="88">
        <f>$E86*IF(AM$2&gt;Inputs!$D$5,0,IF(AM$2&gt;VLOOKUP($H86,Lists!$P$3:$Q$7,2),IF($N86=Lists!$K$3,IF($L86&lt;1,(($U86/$L86)*((1+Inputs!$D$7)^AM$2)),((INT(AM$2/$L86)-INT((AM$2-1)/$L86))*$U86*((1+Inputs!$D$7)^AM$2))),(_xlfn.WEIBULL.DIST(AM$2,$M86,$L86,FALSE)*$U86*((1+Inputs!$D$7)^AM$2))),IF($N86=Lists!$K$3,IF($L86&lt;1,((($T86*(1-$F86)+$S86*(1-$G86))/$L86)*((1+Inputs!$D$7)^AM$2)),((INT(AM$2/$L86)-INT((AM$2-1)/$L86))*($T86*(1-$F86)+$S86*(1-$G86))*((1+Inputs!$D$7)^AM$2))),((_xlfn.WEIBULL.DIST(AM$2,$M86,$L86,FALSE)*($T86*(1-$F86)+$S86*(1-$G86))*((1+Inputs!$D$7)^AM$2))))))</f>
        <v>214.22125800314862</v>
      </c>
      <c r="AN86" s="88">
        <f>$E86*IF(AN$2&gt;Inputs!$D$5,0,IF(AN$2&gt;VLOOKUP($H86,Lists!$P$3:$Q$7,2),IF($N86=Lists!$K$3,IF($L86&lt;1,(($U86/$L86)*((1+Inputs!$D$7)^AN$2)),((INT(AN$2/$L86)-INT((AN$2-1)/$L86))*$U86*((1+Inputs!$D$7)^AN$2))),(_xlfn.WEIBULL.DIST(AN$2,$M86,$L86,FALSE)*$U86*((1+Inputs!$D$7)^AN$2))),IF($N86=Lists!$K$3,IF($L86&lt;1,((($T86*(1-$F86)+$S86*(1-$G86))/$L86)*((1+Inputs!$D$7)^AN$2)),((INT(AN$2/$L86)-INT((AN$2-1)/$L86))*($T86*(1-$F86)+$S86*(1-$G86))*((1+Inputs!$D$7)^AN$2))),((_xlfn.WEIBULL.DIST(AN$2,$M86,$L86,FALSE)*($T86*(1-$F86)+$S86*(1-$G86))*((1+Inputs!$D$7)^AN$2))))))</f>
        <v>218.50568316321161</v>
      </c>
      <c r="AO86" s="88">
        <f>$E86*IF(AO$2&gt;Inputs!$D$5,0,IF(AO$2&gt;VLOOKUP($H86,Lists!$P$3:$Q$7,2),IF($N86=Lists!$K$3,IF($L86&lt;1,(($U86/$L86)*((1+Inputs!$D$7)^AO$2)),((INT(AO$2/$L86)-INT((AO$2-1)/$L86))*$U86*((1+Inputs!$D$7)^AO$2))),(_xlfn.WEIBULL.DIST(AO$2,$M86,$L86,FALSE)*$U86*((1+Inputs!$D$7)^AO$2))),IF($N86=Lists!$K$3,IF($L86&lt;1,((($T86*(1-$F86)+$S86*(1-$G86))/$L86)*((1+Inputs!$D$7)^AO$2)),((INT(AO$2/$L86)-INT((AO$2-1)/$L86))*($T86*(1-$F86)+$S86*(1-$G86))*((1+Inputs!$D$7)^AO$2))),((_xlfn.WEIBULL.DIST(AO$2,$M86,$L86,FALSE)*($T86*(1-$F86)+$S86*(1-$G86))*((1+Inputs!$D$7)^AO$2))))))</f>
        <v>222.87579682647578</v>
      </c>
      <c r="AP86" s="88">
        <f>$E86*IF(AP$2&gt;Inputs!$D$5,0,IF(AP$2&gt;VLOOKUP($H86,Lists!$P$3:$Q$7,2),IF($N86=Lists!$K$3,IF($L86&lt;1,(($U86/$L86)*((1+Inputs!$D$7)^AP$2)),((INT(AP$2/$L86)-INT((AP$2-1)/$L86))*$U86*((1+Inputs!$D$7)^AP$2))),(_xlfn.WEIBULL.DIST(AP$2,$M86,$L86,FALSE)*$U86*((1+Inputs!$D$7)^AP$2))),IF($N86=Lists!$K$3,IF($L86&lt;1,((($T86*(1-$F86)+$S86*(1-$G86))/$L86)*((1+Inputs!$D$7)^AP$2)),((INT(AP$2/$L86)-INT((AP$2-1)/$L86))*($T86*(1-$F86)+$S86*(1-$G86))*((1+Inputs!$D$7)^AP$2))),((_xlfn.WEIBULL.DIST(AP$2,$M86,$L86,FALSE)*($T86*(1-$F86)+$S86*(1-$G86))*((1+Inputs!$D$7)^AP$2))))))</f>
        <v>227.33331276300535</v>
      </c>
      <c r="AQ86" s="88">
        <f>$E86*IF(AQ$2&gt;Inputs!$D$5,0,IF(AQ$2&gt;VLOOKUP($H86,Lists!$P$3:$Q$7,2),IF($N86=Lists!$K$3,IF($L86&lt;1,(($U86/$L86)*((1+Inputs!$D$7)^AQ$2)),((INT(AQ$2/$L86)-INT((AQ$2-1)/$L86))*$U86*((1+Inputs!$D$7)^AQ$2))),(_xlfn.WEIBULL.DIST(AQ$2,$M86,$L86,FALSE)*$U86*((1+Inputs!$D$7)^AQ$2))),IF($N86=Lists!$K$3,IF($L86&lt;1,((($T86*(1-$F86)+$S86*(1-$G86))/$L86)*((1+Inputs!$D$7)^AQ$2)),((INT(AQ$2/$L86)-INT((AQ$2-1)/$L86))*($T86*(1-$F86)+$S86*(1-$G86))*((1+Inputs!$D$7)^AQ$2))),((_xlfn.WEIBULL.DIST(AQ$2,$M86,$L86,FALSE)*($T86*(1-$F86)+$S86*(1-$G86))*((1+Inputs!$D$7)^AQ$2))))))</f>
        <v>231.87997901826546</v>
      </c>
      <c r="AR86" s="88">
        <f>$E86*IF(AR$2&gt;Inputs!$D$5,0,IF(AR$2&gt;VLOOKUP($H86,Lists!$P$3:$Q$7,2),IF($N86=Lists!$K$3,IF($L86&lt;1,(($U86/$L86)*((1+Inputs!$D$7)^AR$2)),((INT(AR$2/$L86)-INT((AR$2-1)/$L86))*$U86*((1+Inputs!$D$7)^AR$2))),(_xlfn.WEIBULL.DIST(AR$2,$M86,$L86,FALSE)*$U86*((1+Inputs!$D$7)^AR$2))),IF($N86=Lists!$K$3,IF($L86&lt;1,((($T86*(1-$F86)+$S86*(1-$G86))/$L86)*((1+Inputs!$D$7)^AR$2)),((INT(AR$2/$L86)-INT((AR$2-1)/$L86))*($T86*(1-$F86)+$S86*(1-$G86))*((1+Inputs!$D$7)^AR$2))),((_xlfn.WEIBULL.DIST(AR$2,$M86,$L86,FALSE)*($T86*(1-$F86)+$S86*(1-$G86))*((1+Inputs!$D$7)^AR$2))))))</f>
        <v>236.51757859863076</v>
      </c>
      <c r="AS86" s="88">
        <f>$E86*IF(AS$2&gt;Inputs!$D$5,0,IF(AS$2&gt;VLOOKUP($H86,Lists!$P$3:$Q$7,2),IF($N86=Lists!$K$3,IF($L86&lt;1,(($U86/$L86)*((1+Inputs!$D$7)^AS$2)),((INT(AS$2/$L86)-INT((AS$2-1)/$L86))*$U86*((1+Inputs!$D$7)^AS$2))),(_xlfn.WEIBULL.DIST(AS$2,$M86,$L86,FALSE)*$U86*((1+Inputs!$D$7)^AS$2))),IF($N86=Lists!$K$3,IF($L86&lt;1,((($T86*(1-$F86)+$S86*(1-$G86))/$L86)*((1+Inputs!$D$7)^AS$2)),((INT(AS$2/$L86)-INT((AS$2-1)/$L86))*($T86*(1-$F86)+$S86*(1-$G86))*((1+Inputs!$D$7)^AS$2))),((_xlfn.WEIBULL.DIST(AS$2,$M86,$L86,FALSE)*($T86*(1-$F86)+$S86*(1-$G86))*((1+Inputs!$D$7)^AS$2))))))</f>
        <v>241.24793017060335</v>
      </c>
      <c r="AT86" s="88">
        <f>$E86*IF(AT$2&gt;Inputs!$D$5,0,IF(AT$2&gt;VLOOKUP($H86,Lists!$P$3:$Q$7,2),IF($N86=Lists!$K$3,IF($L86&lt;1,(($U86/$L86)*((1+Inputs!$D$7)^AT$2)),((INT(AT$2/$L86)-INT((AT$2-1)/$L86))*$U86*((1+Inputs!$D$7)^AT$2))),(_xlfn.WEIBULL.DIST(AT$2,$M86,$L86,FALSE)*$U86*((1+Inputs!$D$7)^AT$2))),IF($N86=Lists!$K$3,IF($L86&lt;1,((($T86*(1-$F86)+$S86*(1-$G86))/$L86)*((1+Inputs!$D$7)^AT$2)),((INT(AT$2/$L86)-INT((AT$2-1)/$L86))*($T86*(1-$F86)+$S86*(1-$G86))*((1+Inputs!$D$7)^AT$2))),((_xlfn.WEIBULL.DIST(AT$2,$M86,$L86,FALSE)*($T86*(1-$F86)+$S86*(1-$G86))*((1+Inputs!$D$7)^AT$2))))))</f>
        <v>246.07288877401544</v>
      </c>
      <c r="AU86" s="88">
        <f>$E86*IF(AU$2&gt;Inputs!$D$5,0,IF(AU$2&gt;VLOOKUP($H86,Lists!$P$3:$Q$7,2),IF($N86=Lists!$K$3,IF($L86&lt;1,(($U86/$L86)*((1+Inputs!$D$7)^AU$2)),((INT(AU$2/$L86)-INT((AU$2-1)/$L86))*$U86*((1+Inputs!$D$7)^AU$2))),(_xlfn.WEIBULL.DIST(AU$2,$M86,$L86,FALSE)*$U86*((1+Inputs!$D$7)^AU$2))),IF($N86=Lists!$K$3,IF($L86&lt;1,((($T86*(1-$F86)+$S86*(1-$G86))/$L86)*((1+Inputs!$D$7)^AU$2)),((INT(AU$2/$L86)-INT((AU$2-1)/$L86))*($T86*(1-$F86)+$S86*(1-$G86))*((1+Inputs!$D$7)^AU$2))),((_xlfn.WEIBULL.DIST(AU$2,$M86,$L86,FALSE)*($T86*(1-$F86)+$S86*(1-$G86))*((1+Inputs!$D$7)^AU$2))))))</f>
        <v>250.99434654949573</v>
      </c>
      <c r="AV86" s="88">
        <f>$E86*IF(AV$2&gt;Inputs!$D$5,0,IF(AV$2&gt;VLOOKUP($H86,Lists!$P$3:$Q$7,2),IF($N86=Lists!$K$3,IF($L86&lt;1,(($U86/$L86)*((1+Inputs!$D$7)^AV$2)),((INT(AV$2/$L86)-INT((AV$2-1)/$L86))*$U86*((1+Inputs!$D$7)^AV$2))),(_xlfn.WEIBULL.DIST(AV$2,$M86,$L86,FALSE)*$U86*((1+Inputs!$D$7)^AV$2))),IF($N86=Lists!$K$3,IF($L86&lt;1,((($T86*(1-$F86)+$S86*(1-$G86))/$L86)*((1+Inputs!$D$7)^AV$2)),((INT(AV$2/$L86)-INT((AV$2-1)/$L86))*($T86*(1-$F86)+$S86*(1-$G86))*((1+Inputs!$D$7)^AV$2))),((_xlfn.WEIBULL.DIST(AV$2,$M86,$L86,FALSE)*($T86*(1-$F86)+$S86*(1-$G86))*((1+Inputs!$D$7)^AV$2))))))</f>
        <v>256.0142334804857</v>
      </c>
      <c r="AW86" s="88">
        <f>$E86*IF(AW$2&gt;Inputs!$D$5,0,IF(AW$2&gt;VLOOKUP($H86,Lists!$P$3:$Q$7,2),IF($N86=Lists!$K$3,IF($L86&lt;1,(($U86/$L86)*((1+Inputs!$D$7)^AW$2)),((INT(AW$2/$L86)-INT((AW$2-1)/$L86))*$U86*((1+Inputs!$D$7)^AW$2))),(_xlfn.WEIBULL.DIST(AW$2,$M86,$L86,FALSE)*$U86*((1+Inputs!$D$7)^AW$2))),IF($N86=Lists!$K$3,IF($L86&lt;1,((($T86*(1-$F86)+$S86*(1-$G86))/$L86)*((1+Inputs!$D$7)^AW$2)),((INT(AW$2/$L86)-INT((AW$2-1)/$L86))*($T86*(1-$F86)+$S86*(1-$G86))*((1+Inputs!$D$7)^AW$2))),((_xlfn.WEIBULL.DIST(AW$2,$M86,$L86,FALSE)*($T86*(1-$F86)+$S86*(1-$G86))*((1+Inputs!$D$7)^AW$2))))))</f>
        <v>261.13451815009535</v>
      </c>
      <c r="AX86" s="88">
        <f>$E86*IF(AX$2&gt;Inputs!$D$5,0,IF(AX$2&gt;VLOOKUP($H86,Lists!$P$3:$Q$7,2),IF($N86=Lists!$K$3,IF($L86&lt;1,(($U86/$L86)*((1+Inputs!$D$7)^AX$2)),((INT(AX$2/$L86)-INT((AX$2-1)/$L86))*$U86*((1+Inputs!$D$7)^AX$2))),(_xlfn.WEIBULL.DIST(AX$2,$M86,$L86,FALSE)*$U86*((1+Inputs!$D$7)^AX$2))),IF($N86=Lists!$K$3,IF($L86&lt;1,((($T86*(1-$F86)+$S86*(1-$G86))/$L86)*((1+Inputs!$D$7)^AX$2)),((INT(AX$2/$L86)-INT((AX$2-1)/$L86))*($T86*(1-$F86)+$S86*(1-$G86))*((1+Inputs!$D$7)^AX$2))),((_xlfn.WEIBULL.DIST(AX$2,$M86,$L86,FALSE)*($T86*(1-$F86)+$S86*(1-$G86))*((1+Inputs!$D$7)^AX$2))))))</f>
        <v>266.35720851309725</v>
      </c>
      <c r="AY86" s="88">
        <f>$E86*IF(AY$2&gt;Inputs!$D$5,0,IF(AY$2&gt;VLOOKUP($H86,Lists!$P$3:$Q$7,2),IF($N86=Lists!$K$3,IF($L86&lt;1,(($U86/$L86)*((1+Inputs!$D$7)^AY$2)),((INT(AY$2/$L86)-INT((AY$2-1)/$L86))*$U86*((1+Inputs!$D$7)^AY$2))),(_xlfn.WEIBULL.DIST(AY$2,$M86,$L86,FALSE)*$U86*((1+Inputs!$D$7)^AY$2))),IF($N86=Lists!$K$3,IF($L86&lt;1,((($T86*(1-$F86)+$S86*(1-$G86))/$L86)*((1+Inputs!$D$7)^AY$2)),((INT(AY$2/$L86)-INT((AY$2-1)/$L86))*($T86*(1-$F86)+$S86*(1-$G86))*((1+Inputs!$D$7)^AY$2))),((_xlfn.WEIBULL.DIST(AY$2,$M86,$L86,FALSE)*($T86*(1-$F86)+$S86*(1-$G86))*((1+Inputs!$D$7)^AY$2))))))</f>
        <v>271.68435268335918</v>
      </c>
      <c r="AZ86" s="88">
        <f>$E86*IF(AZ$2&gt;Inputs!$D$5,0,IF(AZ$2&gt;VLOOKUP($H86,Lists!$P$3:$Q$7,2),IF($N86=Lists!$K$3,IF($L86&lt;1,(($U86/$L86)*((1+Inputs!$D$7)^AZ$2)),((INT(AZ$2/$L86)-INT((AZ$2-1)/$L86))*$U86*((1+Inputs!$D$7)^AZ$2))),(_xlfn.WEIBULL.DIST(AZ$2,$M86,$L86,FALSE)*$U86*((1+Inputs!$D$7)^AZ$2))),IF($N86=Lists!$K$3,IF($L86&lt;1,((($T86*(1-$F86)+$S86*(1-$G86))/$L86)*((1+Inputs!$D$7)^AZ$2)),((INT(AZ$2/$L86)-INT((AZ$2-1)/$L86))*($T86*(1-$F86)+$S86*(1-$G86))*((1+Inputs!$D$7)^AZ$2))),((_xlfn.WEIBULL.DIST(AZ$2,$M86,$L86,FALSE)*($T86*(1-$F86)+$S86*(1-$G86))*((1+Inputs!$D$7)^AZ$2))))))</f>
        <v>0</v>
      </c>
      <c r="BA86" s="88">
        <f>$E86*IF(BA$2&gt;Inputs!$D$5,0,IF(BA$2&gt;VLOOKUP($H86,Lists!$P$3:$Q$7,2),IF($N86=Lists!$K$3,IF($L86&lt;1,(($U86/$L86)*((1+Inputs!$D$7)^BA$2)),((INT(BA$2/$L86)-INT((BA$2-1)/$L86))*$U86*((1+Inputs!$D$7)^BA$2))),(_xlfn.WEIBULL.DIST(BA$2,$M86,$L86,FALSE)*$U86*((1+Inputs!$D$7)^BA$2))),IF($N86=Lists!$K$3,IF($L86&lt;1,((($T86*(1-$F86)+$S86*(1-$G86))/$L86)*((1+Inputs!$D$7)^BA$2)),((INT(BA$2/$L86)-INT((BA$2-1)/$L86))*($T86*(1-$F86)+$S86*(1-$G86))*((1+Inputs!$D$7)^BA$2))),((_xlfn.WEIBULL.DIST(BA$2,$M86,$L86,FALSE)*($T86*(1-$F86)+$S86*(1-$G86))*((1+Inputs!$D$7)^BA$2))))))</f>
        <v>0</v>
      </c>
      <c r="BB86" s="88">
        <f>$E86*IF(BB$2&gt;Inputs!$D$5,0,IF(BB$2&gt;VLOOKUP($H86,Lists!$P$3:$Q$7,2),IF($N86=Lists!$K$3,IF($L86&lt;1,(($U86/$L86)*((1+Inputs!$D$7)^BB$2)),((INT(BB$2/$L86)-INT((BB$2-1)/$L86))*$U86*((1+Inputs!$D$7)^BB$2))),(_xlfn.WEIBULL.DIST(BB$2,$M86,$L86,FALSE)*$U86*((1+Inputs!$D$7)^BB$2))),IF($N86=Lists!$K$3,IF($L86&lt;1,((($T86*(1-$F86)+$S86*(1-$G86))/$L86)*((1+Inputs!$D$7)^BB$2)),((INT(BB$2/$L86)-INT((BB$2-1)/$L86))*($T86*(1-$F86)+$S86*(1-$G86))*((1+Inputs!$D$7)^BB$2))),((_xlfn.WEIBULL.DIST(BB$2,$M86,$L86,FALSE)*($T86*(1-$F86)+$S86*(1-$G86))*((1+Inputs!$D$7)^BB$2))))))</f>
        <v>0</v>
      </c>
      <c r="BC86" s="88">
        <f>$E86*IF(BC$2&gt;Inputs!$D$5,0,IF(BC$2&gt;VLOOKUP($H86,Lists!$P$3:$Q$7,2),IF($N86=Lists!$K$3,IF($L86&lt;1,(($U86/$L86)*((1+Inputs!$D$7)^BC$2)),((INT(BC$2/$L86)-INT((BC$2-1)/$L86))*$U86*((1+Inputs!$D$7)^BC$2))),(_xlfn.WEIBULL.DIST(BC$2,$M86,$L86,FALSE)*$U86*((1+Inputs!$D$7)^BC$2))),IF($N86=Lists!$K$3,IF($L86&lt;1,((($T86*(1-$F86)+$S86*(1-$G86))/$L86)*((1+Inputs!$D$7)^BC$2)),((INT(BC$2/$L86)-INT((BC$2-1)/$L86))*($T86*(1-$F86)+$S86*(1-$G86))*((1+Inputs!$D$7)^BC$2))),((_xlfn.WEIBULL.DIST(BC$2,$M86,$L86,FALSE)*($T86*(1-$F86)+$S86*(1-$G86))*((1+Inputs!$D$7)^BC$2))))))</f>
        <v>0</v>
      </c>
      <c r="BD86" s="88">
        <f>$E86*IF(BD$2&gt;Inputs!$D$5,0,IF(BD$2&gt;VLOOKUP($H86,Lists!$P$3:$Q$7,2),IF($N86=Lists!$K$3,IF($L86&lt;1,(($U86/$L86)*((1+Inputs!$D$7)^BD$2)),((INT(BD$2/$L86)-INT((BD$2-1)/$L86))*$U86*((1+Inputs!$D$7)^BD$2))),(_xlfn.WEIBULL.DIST(BD$2,$M86,$L86,FALSE)*$U86*((1+Inputs!$D$7)^BD$2))),IF($N86=Lists!$K$3,IF($L86&lt;1,((($T86*(1-$F86)+$S86*(1-$G86))/$L86)*((1+Inputs!$D$7)^BD$2)),((INT(BD$2/$L86)-INT((BD$2-1)/$L86))*($T86*(1-$F86)+$S86*(1-$G86))*((1+Inputs!$D$7)^BD$2))),((_xlfn.WEIBULL.DIST(BD$2,$M86,$L86,FALSE)*($T86*(1-$F86)+$S86*(1-$G86))*((1+Inputs!$D$7)^BD$2))))))</f>
        <v>0</v>
      </c>
      <c r="BE86" s="88">
        <f>$E86*IF(BE$2&gt;Inputs!$D$5,0,IF(BE$2&gt;VLOOKUP($H86,Lists!$P$3:$Q$7,2),IF($N86=Lists!$K$3,IF($L86&lt;1,(($U86/$L86)*((1+Inputs!$D$7)^BE$2)),((INT(BE$2/$L86)-INT((BE$2-1)/$L86))*$U86*((1+Inputs!$D$7)^BE$2))),(_xlfn.WEIBULL.DIST(BE$2,$M86,$L86,FALSE)*$U86*((1+Inputs!$D$7)^BE$2))),IF($N86=Lists!$K$3,IF($L86&lt;1,((($T86*(1-$F86)+$S86*(1-$G86))/$L86)*((1+Inputs!$D$7)^BE$2)),((INT(BE$2/$L86)-INT((BE$2-1)/$L86))*($T86*(1-$F86)+$S86*(1-$G86))*((1+Inputs!$D$7)^BE$2))),((_xlfn.WEIBULL.DIST(BE$2,$M86,$L86,FALSE)*($T86*(1-$F86)+$S86*(1-$G86))*((1+Inputs!$D$7)^BE$2))))))</f>
        <v>0</v>
      </c>
      <c r="BF86" s="88">
        <f>$E86*IF(BF$2&gt;Inputs!$D$5,0,IF(BF$2&gt;VLOOKUP($H86,Lists!$P$3:$Q$7,2),IF($N86=Lists!$K$3,IF($L86&lt;1,(($U86/$L86)*((1+Inputs!$D$7)^BF$2)),((INT(BF$2/$L86)-INT((BF$2-1)/$L86))*$U86*((1+Inputs!$D$7)^BF$2))),(_xlfn.WEIBULL.DIST(BF$2,$M86,$L86,FALSE)*$U86*((1+Inputs!$D$7)^BF$2))),IF($N86=Lists!$K$3,IF($L86&lt;1,((($T86*(1-$F86)+$S86*(1-$G86))/$L86)*((1+Inputs!$D$7)^BF$2)),((INT(BF$2/$L86)-INT((BF$2-1)/$L86))*($T86*(1-$F86)+$S86*(1-$G86))*((1+Inputs!$D$7)^BF$2))),((_xlfn.WEIBULL.DIST(BF$2,$M86,$L86,FALSE)*($T86*(1-$F86)+$S86*(1-$G86))*((1+Inputs!$D$7)^BF$2))))))</f>
        <v>0</v>
      </c>
      <c r="BG86" s="88">
        <f>$E86*IF(BG$2&gt;Inputs!$D$5,0,IF(BG$2&gt;VLOOKUP($H86,Lists!$P$3:$Q$7,2),IF($N86=Lists!$K$3,IF($L86&lt;1,(($U86/$L86)*((1+Inputs!$D$7)^BG$2)),((INT(BG$2/$L86)-INT((BG$2-1)/$L86))*$U86*((1+Inputs!$D$7)^BG$2))),(_xlfn.WEIBULL.DIST(BG$2,$M86,$L86,FALSE)*$U86*((1+Inputs!$D$7)^BG$2))),IF($N86=Lists!$K$3,IF($L86&lt;1,((($T86*(1-$F86)+$S86*(1-$G86))/$L86)*((1+Inputs!$D$7)^BG$2)),((INT(BG$2/$L86)-INT((BG$2-1)/$L86))*($T86*(1-$F86)+$S86*(1-$G86))*((1+Inputs!$D$7)^BG$2))),((_xlfn.WEIBULL.DIST(BG$2,$M86,$L86,FALSE)*($T86*(1-$F86)+$S86*(1-$G86))*((1+Inputs!$D$7)^BG$2))))))</f>
        <v>0</v>
      </c>
      <c r="BH86" s="88">
        <f>$E86*IF(BH$2&gt;Inputs!$D$5,0,IF(BH$2&gt;VLOOKUP($H86,Lists!$P$3:$Q$7,2),IF($N86=Lists!$K$3,IF($L86&lt;1,(($U86/$L86)*((1+Inputs!$D$7)^BH$2)),((INT(BH$2/$L86)-INT((BH$2-1)/$L86))*$U86*((1+Inputs!$D$7)^BH$2))),(_xlfn.WEIBULL.DIST(BH$2,$M86,$L86,FALSE)*$U86*((1+Inputs!$D$7)^BH$2))),IF($N86=Lists!$K$3,IF($L86&lt;1,((($T86*(1-$F86)+$S86*(1-$G86))/$L86)*((1+Inputs!$D$7)^BH$2)),((INT(BH$2/$L86)-INT((BH$2-1)/$L86))*($T86*(1-$F86)+$S86*(1-$G86))*((1+Inputs!$D$7)^BH$2))),((_xlfn.WEIBULL.DIST(BH$2,$M86,$L86,FALSE)*($T86*(1-$F86)+$S86*(1-$G86))*((1+Inputs!$D$7)^BH$2))))))</f>
        <v>0</v>
      </c>
      <c r="BI86" s="88">
        <f>$E86*IF(BI$2&gt;Inputs!$D$5,0,IF(BI$2&gt;VLOOKUP($H86,Lists!$P$3:$Q$7,2),IF($N86=Lists!$K$3,IF($L86&lt;1,(($U86/$L86)*((1+Inputs!$D$7)^BI$2)),((INT(BI$2/$L86)-INT((BI$2-1)/$L86))*$U86*((1+Inputs!$D$7)^BI$2))),(_xlfn.WEIBULL.DIST(BI$2,$M86,$L86,FALSE)*$U86*((1+Inputs!$D$7)^BI$2))),IF($N86=Lists!$K$3,IF($L86&lt;1,((($T86*(1-$F86)+$S86*(1-$G86))/$L86)*((1+Inputs!$D$7)^BI$2)),((INT(BI$2/$L86)-INT((BI$2-1)/$L86))*($T86*(1-$F86)+$S86*(1-$G86))*((1+Inputs!$D$7)^BI$2))),((_xlfn.WEIBULL.DIST(BI$2,$M86,$L86,FALSE)*($T86*(1-$F86)+$S86*(1-$G86))*((1+Inputs!$D$7)^BI$2))))))</f>
        <v>0</v>
      </c>
      <c r="BJ86" s="88">
        <f>$E86*IF(BJ$2&gt;Inputs!$D$5,0,IF(BJ$2&gt;VLOOKUP($H86,Lists!$P$3:$Q$7,2),IF($N86=Lists!$K$3,IF($L86&lt;1,(($U86/$L86)*((1+Inputs!$D$7)^BJ$2)),((INT(BJ$2/$L86)-INT((BJ$2-1)/$L86))*$U86*((1+Inputs!$D$7)^BJ$2))),(_xlfn.WEIBULL.DIST(BJ$2,$M86,$L86,FALSE)*$U86*((1+Inputs!$D$7)^BJ$2))),IF($N86=Lists!$K$3,IF($L86&lt;1,((($T86*(1-$F86)+$S86*(1-$G86))/$L86)*((1+Inputs!$D$7)^BJ$2)),((INT(BJ$2/$L86)-INT((BJ$2-1)/$L86))*($T86*(1-$F86)+$S86*(1-$G86))*((1+Inputs!$D$7)^BJ$2))),((_xlfn.WEIBULL.DIST(BJ$2,$M86,$L86,FALSE)*($T86*(1-$F86)+$S86*(1-$G86))*((1+Inputs!$D$7)^BJ$2))))))</f>
        <v>0</v>
      </c>
      <c r="BK86" s="88">
        <f>$E86*IF(BK$2&gt;Inputs!$D$5,0,IF(BK$2&gt;VLOOKUP($H86,Lists!$P$3:$Q$7,2),IF($N86=Lists!$K$3,IF($L86&lt;1,(($U86/$L86)*((1+Inputs!$D$7)^BK$2)),((INT(BK$2/$L86)-INT((BK$2-1)/$L86))*$U86*((1+Inputs!$D$7)^BK$2))),(_xlfn.WEIBULL.DIST(BK$2,$M86,$L86,FALSE)*$U86*((1+Inputs!$D$7)^BK$2))),IF($N86=Lists!$K$3,IF($L86&lt;1,((($T86*(1-$F86)+$S86*(1-$G86))/$L86)*((1+Inputs!$D$7)^BK$2)),((INT(BK$2/$L86)-INT((BK$2-1)/$L86))*($T86*(1-$F86)+$S86*(1-$G86))*((1+Inputs!$D$7)^BK$2))),((_xlfn.WEIBULL.DIST(BK$2,$M86,$L86,FALSE)*($T86*(1-$F86)+$S86*(1-$G86))*((1+Inputs!$D$7)^BK$2))))))</f>
        <v>0</v>
      </c>
      <c r="BL86" s="88">
        <f>$E86*IF(BL$2&gt;Inputs!$D$5,0,IF(BL$2&gt;VLOOKUP($H86,Lists!$P$3:$Q$7,2),IF($N86=Lists!$K$3,IF($L86&lt;1,(($U86/$L86)*((1+Inputs!$D$7)^BL$2)),((INT(BL$2/$L86)-INT((BL$2-1)/$L86))*$U86*((1+Inputs!$D$7)^BL$2))),(_xlfn.WEIBULL.DIST(BL$2,$M86,$L86,FALSE)*$U86*((1+Inputs!$D$7)^BL$2))),IF($N86=Lists!$K$3,IF($L86&lt;1,((($T86*(1-$F86)+$S86*(1-$G86))/$L86)*((1+Inputs!$D$7)^BL$2)),((INT(BL$2/$L86)-INT((BL$2-1)/$L86))*($T86*(1-$F86)+$S86*(1-$G86))*((1+Inputs!$D$7)^BL$2))),((_xlfn.WEIBULL.DIST(BL$2,$M86,$L86,FALSE)*($T86*(1-$F86)+$S86*(1-$G86))*((1+Inputs!$D$7)^BL$2))))))</f>
        <v>0</v>
      </c>
      <c r="BM86" s="88">
        <f>$E86*IF(BM$2&gt;Inputs!$D$5,0,IF(BM$2&gt;VLOOKUP($H86,Lists!$P$3:$Q$7,2),IF($N86=Lists!$K$3,IF($L86&lt;1,(($U86/$L86)*((1+Inputs!$D$7)^BM$2)),((INT(BM$2/$L86)-INT((BM$2-1)/$L86))*$U86*((1+Inputs!$D$7)^BM$2))),(_xlfn.WEIBULL.DIST(BM$2,$M86,$L86,FALSE)*$U86*((1+Inputs!$D$7)^BM$2))),IF($N86=Lists!$K$3,IF($L86&lt;1,((($T86*(1-$F86)+$S86*(1-$G86))/$L86)*((1+Inputs!$D$7)^BM$2)),((INT(BM$2/$L86)-INT((BM$2-1)/$L86))*($T86*(1-$F86)+$S86*(1-$G86))*((1+Inputs!$D$7)^BM$2))),((_xlfn.WEIBULL.DIST(BM$2,$M86,$L86,FALSE)*($T86*(1-$F86)+$S86*(1-$G86))*((1+Inputs!$D$7)^BM$2))))))</f>
        <v>0</v>
      </c>
      <c r="BN86" s="88">
        <f>$E86*IF(BN$2&gt;Inputs!$D$5,0,IF(BN$2&gt;VLOOKUP($H86,Lists!$P$3:$Q$7,2),IF($N86=Lists!$K$3,IF($L86&lt;1,(($U86/$L86)*((1+Inputs!$D$7)^BN$2)),((INT(BN$2/$L86)-INT((BN$2-1)/$L86))*$U86*((1+Inputs!$D$7)^BN$2))),(_xlfn.WEIBULL.DIST(BN$2,$M86,$L86,FALSE)*$U86*((1+Inputs!$D$7)^BN$2))),IF($N86=Lists!$K$3,IF($L86&lt;1,((($T86*(1-$F86)+$S86*(1-$G86))/$L86)*((1+Inputs!$D$7)^BN$2)),((INT(BN$2/$L86)-INT((BN$2-1)/$L86))*($T86*(1-$F86)+$S86*(1-$G86))*((1+Inputs!$D$7)^BN$2))),((_xlfn.WEIBULL.DIST(BN$2,$M86,$L86,FALSE)*($T86*(1-$F86)+$S86*(1-$G86))*((1+Inputs!$D$7)^BN$2))))))</f>
        <v>0</v>
      </c>
      <c r="BO86" s="64">
        <f>NPV(Inputs!$D$6,BQ86:DD86)</f>
        <v>2357.0645820375498</v>
      </c>
      <c r="BP86" s="67">
        <f t="shared" si="20"/>
        <v>1.1117067304504248E-3</v>
      </c>
      <c r="BQ86" s="88">
        <f>MAX(AA86,($E86*IF(BQ$2&gt;Inputs!$D$5,0,IF(BQ$2&gt;VLOOKUP($H86,Lists!$P$3:$Q$7,2),IF($N86=Lists!$K$3,IF($L86&lt;1,(($U86/$L86)*((1+Inputs!$D$7)^BQ$2)),((INT(BQ$2/$L86)-INT((BQ$2-1)/$L86))*$U86*((1+Inputs!$D$7)^BQ$2))),(Inputs!$D$8^((1-_xlfn.WEIBULL.DIST(BQ$2,$M86,$L86,FALSE))/_xlfn.WEIBULL.DIST(BQ$2,$M86,$L86,FALSE))*$U86*((1+Inputs!$D$7)^BQ$2))),IF($N86=Lists!$K$3,IF($L86&lt;1,((($T86*(1-$F86)+$S86*(1-$G86))/$L86)*((1+Inputs!$D$7)^BQ$2)),((INT(BQ$2/$L86)-INT((BQ$2-1)/$L86))*($T86*(1-$F86)+$S86*(1-$G86))*((1+Inputs!$D$7)^BQ$2))),((Inputs!$D$8^((1-_xlfn.WEIBULL.DIST(BQ$2,$M86,$L86,FALSE))/_xlfn.WEIBULL.DIST(BQ$2,$M86,$L86,FALSE))*($T86*(1-$F86)+$S86*(1-$G86))*((1+Inputs!$D$7)^BQ$2))))))))</f>
        <v>168.91200000000001</v>
      </c>
      <c r="BR86" s="88">
        <f>MAX(AB86,($E86*IF(BR$2&gt;Inputs!$D$5,0,IF(BR$2&gt;VLOOKUP($H86,Lists!$P$3:$Q$7,2),IF($N86=Lists!$K$3,IF($L86&lt;1,(($U86/$L86)*((1+Inputs!$D$7)^BR$2)),((INT(BR$2/$L86)-INT((BR$2-1)/$L86))*$U86*((1+Inputs!$D$7)^BR$2))),(Inputs!$D$8^((1-_xlfn.WEIBULL.DIST(BR$2,$M86,$L86,FALSE))/_xlfn.WEIBULL.DIST(BR$2,$M86,$L86,FALSE))*$U86*((1+Inputs!$D$7)^BR$2))),IF($N86=Lists!$K$3,IF($L86&lt;1,((($T86*(1-$F86)+$S86*(1-$G86))/$L86)*((1+Inputs!$D$7)^BR$2)),((INT(BR$2/$L86)-INT((BR$2-1)/$L86))*($T86*(1-$F86)+$S86*(1-$G86))*((1+Inputs!$D$7)^BR$2))),((Inputs!$D$8^((1-_xlfn.WEIBULL.DIST(BR$2,$M86,$L86,FALSE))/_xlfn.WEIBULL.DIST(BR$2,$M86,$L86,FALSE))*($T86*(1-$F86)+$S86*(1-$G86))*((1+Inputs!$D$7)^BR$2))))))))</f>
        <v>172.29023999999998</v>
      </c>
      <c r="BS86" s="88">
        <f>MAX(AC86,($E86*IF(BS$2&gt;Inputs!$D$5,0,IF(BS$2&gt;VLOOKUP($H86,Lists!$P$3:$Q$7,2),IF($N86=Lists!$K$3,IF($L86&lt;1,(($U86/$L86)*((1+Inputs!$D$7)^BS$2)),((INT(BS$2/$L86)-INT((BS$2-1)/$L86))*$U86*((1+Inputs!$D$7)^BS$2))),(Inputs!$D$8^((1-_xlfn.WEIBULL.DIST(BS$2,$M86,$L86,FALSE))/_xlfn.WEIBULL.DIST(BS$2,$M86,$L86,FALSE))*$U86*((1+Inputs!$D$7)^BS$2))),IF($N86=Lists!$K$3,IF($L86&lt;1,((($T86*(1-$F86)+$S86*(1-$G86))/$L86)*((1+Inputs!$D$7)^BS$2)),((INT(BS$2/$L86)-INT((BS$2-1)/$L86))*($T86*(1-$F86)+$S86*(1-$G86))*((1+Inputs!$D$7)^BS$2))),((Inputs!$D$8^((1-_xlfn.WEIBULL.DIST(BS$2,$M86,$L86,FALSE))/_xlfn.WEIBULL.DIST(BS$2,$M86,$L86,FALSE))*($T86*(1-$F86)+$S86*(1-$G86))*((1+Inputs!$D$7)^BS$2))))))))</f>
        <v>175.73604479999997</v>
      </c>
      <c r="BT86" s="88">
        <f>MAX(AD86,($E86*IF(BT$2&gt;Inputs!$D$5,0,IF(BT$2&gt;VLOOKUP($H86,Lists!$P$3:$Q$7,2),IF($N86=Lists!$K$3,IF($L86&lt;1,(($U86/$L86)*((1+Inputs!$D$7)^BT$2)),((INT(BT$2/$L86)-INT((BT$2-1)/$L86))*$U86*((1+Inputs!$D$7)^BT$2))),(Inputs!$D$8^((1-_xlfn.WEIBULL.DIST(BT$2,$M86,$L86,FALSE))/_xlfn.WEIBULL.DIST(BT$2,$M86,$L86,FALSE))*$U86*((1+Inputs!$D$7)^BT$2))),IF($N86=Lists!$K$3,IF($L86&lt;1,((($T86*(1-$F86)+$S86*(1-$G86))/$L86)*((1+Inputs!$D$7)^BT$2)),((INT(BT$2/$L86)-INT((BT$2-1)/$L86))*($T86*(1-$F86)+$S86*(1-$G86))*((1+Inputs!$D$7)^BT$2))),((Inputs!$D$8^((1-_xlfn.WEIBULL.DIST(BT$2,$M86,$L86,FALSE))/_xlfn.WEIBULL.DIST(BT$2,$M86,$L86,FALSE))*($T86*(1-$F86)+$S86*(1-$G86))*((1+Inputs!$D$7)^BT$2))))))))</f>
        <v>179.250765696</v>
      </c>
      <c r="BU86" s="88">
        <f>MAX(AE86,($E86*IF(BU$2&gt;Inputs!$D$5,0,IF(BU$2&gt;VLOOKUP($H86,Lists!$P$3:$Q$7,2),IF($N86=Lists!$K$3,IF($L86&lt;1,(($U86/$L86)*((1+Inputs!$D$7)^BU$2)),((INT(BU$2/$L86)-INT((BU$2-1)/$L86))*$U86*((1+Inputs!$D$7)^BU$2))),(Inputs!$D$8^((1-_xlfn.WEIBULL.DIST(BU$2,$M86,$L86,FALSE))/_xlfn.WEIBULL.DIST(BU$2,$M86,$L86,FALSE))*$U86*((1+Inputs!$D$7)^BU$2))),IF($N86=Lists!$K$3,IF($L86&lt;1,((($T86*(1-$F86)+$S86*(1-$G86))/$L86)*((1+Inputs!$D$7)^BU$2)),((INT(BU$2/$L86)-INT((BU$2-1)/$L86))*($T86*(1-$F86)+$S86*(1-$G86))*((1+Inputs!$D$7)^BU$2))),((Inputs!$D$8^((1-_xlfn.WEIBULL.DIST(BU$2,$M86,$L86,FALSE))/_xlfn.WEIBULL.DIST(BU$2,$M86,$L86,FALSE))*($T86*(1-$F86)+$S86*(1-$G86))*((1+Inputs!$D$7)^BU$2))))))))</f>
        <v>182.83578100992</v>
      </c>
      <c r="BV86" s="88">
        <f>MAX(AF86,($E86*IF(BV$2&gt;Inputs!$D$5,0,IF(BV$2&gt;VLOOKUP($H86,Lists!$P$3:$Q$7,2),IF($N86=Lists!$K$3,IF($L86&lt;1,(($U86/$L86)*((1+Inputs!$D$7)^BV$2)),((INT(BV$2/$L86)-INT((BV$2-1)/$L86))*$U86*((1+Inputs!$D$7)^BV$2))),(Inputs!$D$8^((1-_xlfn.WEIBULL.DIST(BV$2,$M86,$L86,FALSE))/_xlfn.WEIBULL.DIST(BV$2,$M86,$L86,FALSE))*$U86*((1+Inputs!$D$7)^BV$2))),IF($N86=Lists!$K$3,IF($L86&lt;1,((($T86*(1-$F86)+$S86*(1-$G86))/$L86)*((1+Inputs!$D$7)^BV$2)),((INT(BV$2/$L86)-INT((BV$2-1)/$L86))*($T86*(1-$F86)+$S86*(1-$G86))*((1+Inputs!$D$7)^BV$2))),((Inputs!$D$8^((1-_xlfn.WEIBULL.DIST(BV$2,$M86,$L86,FALSE))/_xlfn.WEIBULL.DIST(BV$2,$M86,$L86,FALSE))*($T86*(1-$F86)+$S86*(1-$G86))*((1+Inputs!$D$7)^BV$2))))))))</f>
        <v>186.49249663011841</v>
      </c>
      <c r="BW86" s="88">
        <f>MAX(AG86,($E86*IF(BW$2&gt;Inputs!$D$5,0,IF(BW$2&gt;VLOOKUP($H86,Lists!$P$3:$Q$7,2),IF($N86=Lists!$K$3,IF($L86&lt;1,(($U86/$L86)*((1+Inputs!$D$7)^BW$2)),((INT(BW$2/$L86)-INT((BW$2-1)/$L86))*$U86*((1+Inputs!$D$7)^BW$2))),(Inputs!$D$8^((1-_xlfn.WEIBULL.DIST(BW$2,$M86,$L86,FALSE))/_xlfn.WEIBULL.DIST(BW$2,$M86,$L86,FALSE))*$U86*((1+Inputs!$D$7)^BW$2))),IF($N86=Lists!$K$3,IF($L86&lt;1,((($T86*(1-$F86)+$S86*(1-$G86))/$L86)*((1+Inputs!$D$7)^BW$2)),((INT(BW$2/$L86)-INT((BW$2-1)/$L86))*($T86*(1-$F86)+$S86*(1-$G86))*((1+Inputs!$D$7)^BW$2))),((Inputs!$D$8^((1-_xlfn.WEIBULL.DIST(BW$2,$M86,$L86,FALSE))/_xlfn.WEIBULL.DIST(BW$2,$M86,$L86,FALSE))*($T86*(1-$F86)+$S86*(1-$G86))*((1+Inputs!$D$7)^BW$2))))))))</f>
        <v>190.22234656272073</v>
      </c>
      <c r="BX86" s="88">
        <f>MAX(AH86,($E86*IF(BX$2&gt;Inputs!$D$5,0,IF(BX$2&gt;VLOOKUP($H86,Lists!$P$3:$Q$7,2),IF($N86=Lists!$K$3,IF($L86&lt;1,(($U86/$L86)*((1+Inputs!$D$7)^BX$2)),((INT(BX$2/$L86)-INT((BX$2-1)/$L86))*$U86*((1+Inputs!$D$7)^BX$2))),(Inputs!$D$8^((1-_xlfn.WEIBULL.DIST(BX$2,$M86,$L86,FALSE))/_xlfn.WEIBULL.DIST(BX$2,$M86,$L86,FALSE))*$U86*((1+Inputs!$D$7)^BX$2))),IF($N86=Lists!$K$3,IF($L86&lt;1,((($T86*(1-$F86)+$S86*(1-$G86))/$L86)*((1+Inputs!$D$7)^BX$2)),((INT(BX$2/$L86)-INT((BX$2-1)/$L86))*($T86*(1-$F86)+$S86*(1-$G86))*((1+Inputs!$D$7)^BX$2))),((Inputs!$D$8^((1-_xlfn.WEIBULL.DIST(BX$2,$M86,$L86,FALSE))/_xlfn.WEIBULL.DIST(BX$2,$M86,$L86,FALSE))*($T86*(1-$F86)+$S86*(1-$G86))*((1+Inputs!$D$7)^BX$2))))))))</f>
        <v>194.02679349397516</v>
      </c>
      <c r="BY86" s="88">
        <f>MAX(AI86,($E86*IF(BY$2&gt;Inputs!$D$5,0,IF(BY$2&gt;VLOOKUP($H86,Lists!$P$3:$Q$7,2),IF($N86=Lists!$K$3,IF($L86&lt;1,(($U86/$L86)*((1+Inputs!$D$7)^BY$2)),((INT(BY$2/$L86)-INT((BY$2-1)/$L86))*$U86*((1+Inputs!$D$7)^BY$2))),(Inputs!$D$8^((1-_xlfn.WEIBULL.DIST(BY$2,$M86,$L86,FALSE))/_xlfn.WEIBULL.DIST(BY$2,$M86,$L86,FALSE))*$U86*((1+Inputs!$D$7)^BY$2))),IF($N86=Lists!$K$3,IF($L86&lt;1,((($T86*(1-$F86)+$S86*(1-$G86))/$L86)*((1+Inputs!$D$7)^BY$2)),((INT(BY$2/$L86)-INT((BY$2-1)/$L86))*($T86*(1-$F86)+$S86*(1-$G86))*((1+Inputs!$D$7)^BY$2))),((Inputs!$D$8^((1-_xlfn.WEIBULL.DIST(BY$2,$M86,$L86,FALSE))/_xlfn.WEIBULL.DIST(BY$2,$M86,$L86,FALSE))*($T86*(1-$F86)+$S86*(1-$G86))*((1+Inputs!$D$7)^BY$2))))))))</f>
        <v>197.90732936385467</v>
      </c>
      <c r="BZ86" s="88">
        <f>MAX(AJ86,($E86*IF(BZ$2&gt;Inputs!$D$5,0,IF(BZ$2&gt;VLOOKUP($H86,Lists!$P$3:$Q$7,2),IF($N86=Lists!$K$3,IF($L86&lt;1,(($U86/$L86)*((1+Inputs!$D$7)^BZ$2)),((INT(BZ$2/$L86)-INT((BZ$2-1)/$L86))*$U86*((1+Inputs!$D$7)^BZ$2))),(Inputs!$D$8^((1-_xlfn.WEIBULL.DIST(BZ$2,$M86,$L86,FALSE))/_xlfn.WEIBULL.DIST(BZ$2,$M86,$L86,FALSE))*$U86*((1+Inputs!$D$7)^BZ$2))),IF($N86=Lists!$K$3,IF($L86&lt;1,((($T86*(1-$F86)+$S86*(1-$G86))/$L86)*((1+Inputs!$D$7)^BZ$2)),((INT(BZ$2/$L86)-INT((BZ$2-1)/$L86))*($T86*(1-$F86)+$S86*(1-$G86))*((1+Inputs!$D$7)^BZ$2))),((Inputs!$D$8^((1-_xlfn.WEIBULL.DIST(BZ$2,$M86,$L86,FALSE))/_xlfn.WEIBULL.DIST(BZ$2,$M86,$L86,FALSE))*($T86*(1-$F86)+$S86*(1-$G86))*((1+Inputs!$D$7)^BZ$2))))))))</f>
        <v>201.86547595113177</v>
      </c>
      <c r="CA86" s="88">
        <f>MAX(AK86,($E86*IF(CA$2&gt;Inputs!$D$5,0,IF(CA$2&gt;VLOOKUP($H86,Lists!$P$3:$Q$7,2),IF($N86=Lists!$K$3,IF($L86&lt;1,(($U86/$L86)*((1+Inputs!$D$7)^CA$2)),((INT(CA$2/$L86)-INT((CA$2-1)/$L86))*$U86*((1+Inputs!$D$7)^CA$2))),(Inputs!$D$8^((1-_xlfn.WEIBULL.DIST(CA$2,$M86,$L86,FALSE))/_xlfn.WEIBULL.DIST(CA$2,$M86,$L86,FALSE))*$U86*((1+Inputs!$D$7)^CA$2))),IF($N86=Lists!$K$3,IF($L86&lt;1,((($T86*(1-$F86)+$S86*(1-$G86))/$L86)*((1+Inputs!$D$7)^CA$2)),((INT(CA$2/$L86)-INT((CA$2-1)/$L86))*($T86*(1-$F86)+$S86*(1-$G86))*((1+Inputs!$D$7)^CA$2))),((Inputs!$D$8^((1-_xlfn.WEIBULL.DIST(CA$2,$M86,$L86,FALSE))/_xlfn.WEIBULL.DIST(CA$2,$M86,$L86,FALSE))*($T86*(1-$F86)+$S86*(1-$G86))*((1+Inputs!$D$7)^CA$2))))))))</f>
        <v>205.90278547015436</v>
      </c>
      <c r="CB86" s="88">
        <f>MAX(AL86,($E86*IF(CB$2&gt;Inputs!$D$5,0,IF(CB$2&gt;VLOOKUP($H86,Lists!$P$3:$Q$7,2),IF($N86=Lists!$K$3,IF($L86&lt;1,(($U86/$L86)*((1+Inputs!$D$7)^CB$2)),((INT(CB$2/$L86)-INT((CB$2-1)/$L86))*$U86*((1+Inputs!$D$7)^CB$2))),(Inputs!$D$8^((1-_xlfn.WEIBULL.DIST(CB$2,$M86,$L86,FALSE))/_xlfn.WEIBULL.DIST(CB$2,$M86,$L86,FALSE))*$U86*((1+Inputs!$D$7)^CB$2))),IF($N86=Lists!$K$3,IF($L86&lt;1,((($T86*(1-$F86)+$S86*(1-$G86))/$L86)*((1+Inputs!$D$7)^CB$2)),((INT(CB$2/$L86)-INT((CB$2-1)/$L86))*($T86*(1-$F86)+$S86*(1-$G86))*((1+Inputs!$D$7)^CB$2))),((Inputs!$D$8^((1-_xlfn.WEIBULL.DIST(CB$2,$M86,$L86,FALSE))/_xlfn.WEIBULL.DIST(CB$2,$M86,$L86,FALSE))*($T86*(1-$F86)+$S86*(1-$G86))*((1+Inputs!$D$7)^CB$2))))))))</f>
        <v>210.02084117955749</v>
      </c>
      <c r="CC86" s="88">
        <f>MAX(AM86,($E86*IF(CC$2&gt;Inputs!$D$5,0,IF(CC$2&gt;VLOOKUP($H86,Lists!$P$3:$Q$7,2),IF($N86=Lists!$K$3,IF($L86&lt;1,(($U86/$L86)*((1+Inputs!$D$7)^CC$2)),((INT(CC$2/$L86)-INT((CC$2-1)/$L86))*$U86*((1+Inputs!$D$7)^CC$2))),(Inputs!$D$8^((1-_xlfn.WEIBULL.DIST(CC$2,$M86,$L86,FALSE))/_xlfn.WEIBULL.DIST(CC$2,$M86,$L86,FALSE))*$U86*((1+Inputs!$D$7)^CC$2))),IF($N86=Lists!$K$3,IF($L86&lt;1,((($T86*(1-$F86)+$S86*(1-$G86))/$L86)*((1+Inputs!$D$7)^CC$2)),((INT(CC$2/$L86)-INT((CC$2-1)/$L86))*($T86*(1-$F86)+$S86*(1-$G86))*((1+Inputs!$D$7)^CC$2))),((Inputs!$D$8^((1-_xlfn.WEIBULL.DIST(CC$2,$M86,$L86,FALSE))/_xlfn.WEIBULL.DIST(CC$2,$M86,$L86,FALSE))*($T86*(1-$F86)+$S86*(1-$G86))*((1+Inputs!$D$7)^CC$2))))))))</f>
        <v>214.22125800314862</v>
      </c>
      <c r="CD86" s="88">
        <f>MAX(AN86,($E86*IF(CD$2&gt;Inputs!$D$5,0,IF(CD$2&gt;VLOOKUP($H86,Lists!$P$3:$Q$7,2),IF($N86=Lists!$K$3,IF($L86&lt;1,(($U86/$L86)*((1+Inputs!$D$7)^CD$2)),((INT(CD$2/$L86)-INT((CD$2-1)/$L86))*$U86*((1+Inputs!$D$7)^CD$2))),(Inputs!$D$8^((1-_xlfn.WEIBULL.DIST(CD$2,$M86,$L86,FALSE))/_xlfn.WEIBULL.DIST(CD$2,$M86,$L86,FALSE))*$U86*((1+Inputs!$D$7)^CD$2))),IF($N86=Lists!$K$3,IF($L86&lt;1,((($T86*(1-$F86)+$S86*(1-$G86))/$L86)*((1+Inputs!$D$7)^CD$2)),((INT(CD$2/$L86)-INT((CD$2-1)/$L86))*($T86*(1-$F86)+$S86*(1-$G86))*((1+Inputs!$D$7)^CD$2))),((Inputs!$D$8^((1-_xlfn.WEIBULL.DIST(CD$2,$M86,$L86,FALSE))/_xlfn.WEIBULL.DIST(CD$2,$M86,$L86,FALSE))*($T86*(1-$F86)+$S86*(1-$G86))*((1+Inputs!$D$7)^CD$2))))))))</f>
        <v>218.50568316321161</v>
      </c>
      <c r="CE86" s="88">
        <f>MAX(AO86,($E86*IF(CE$2&gt;Inputs!$D$5,0,IF(CE$2&gt;VLOOKUP($H86,Lists!$P$3:$Q$7,2),IF($N86=Lists!$K$3,IF($L86&lt;1,(($U86/$L86)*((1+Inputs!$D$7)^CE$2)),((INT(CE$2/$L86)-INT((CE$2-1)/$L86))*$U86*((1+Inputs!$D$7)^CE$2))),(Inputs!$D$8^((1-_xlfn.WEIBULL.DIST(CE$2,$M86,$L86,FALSE))/_xlfn.WEIBULL.DIST(CE$2,$M86,$L86,FALSE))*$U86*((1+Inputs!$D$7)^CE$2))),IF($N86=Lists!$K$3,IF($L86&lt;1,((($T86*(1-$F86)+$S86*(1-$G86))/$L86)*((1+Inputs!$D$7)^CE$2)),((INT(CE$2/$L86)-INT((CE$2-1)/$L86))*($T86*(1-$F86)+$S86*(1-$G86))*((1+Inputs!$D$7)^CE$2))),((Inputs!$D$8^((1-_xlfn.WEIBULL.DIST(CE$2,$M86,$L86,FALSE))/_xlfn.WEIBULL.DIST(CE$2,$M86,$L86,FALSE))*($T86*(1-$F86)+$S86*(1-$G86))*((1+Inputs!$D$7)^CE$2))))))))</f>
        <v>222.87579682647578</v>
      </c>
      <c r="CF86" s="88">
        <f>MAX(AP86,($E86*IF(CF$2&gt;Inputs!$D$5,0,IF(CF$2&gt;VLOOKUP($H86,Lists!$P$3:$Q$7,2),IF($N86=Lists!$K$3,IF($L86&lt;1,(($U86/$L86)*((1+Inputs!$D$7)^CF$2)),((INT(CF$2/$L86)-INT((CF$2-1)/$L86))*$U86*((1+Inputs!$D$7)^CF$2))),(Inputs!$D$8^((1-_xlfn.WEIBULL.DIST(CF$2,$M86,$L86,FALSE))/_xlfn.WEIBULL.DIST(CF$2,$M86,$L86,FALSE))*$U86*((1+Inputs!$D$7)^CF$2))),IF($N86=Lists!$K$3,IF($L86&lt;1,((($T86*(1-$F86)+$S86*(1-$G86))/$L86)*((1+Inputs!$D$7)^CF$2)),((INT(CF$2/$L86)-INT((CF$2-1)/$L86))*($T86*(1-$F86)+$S86*(1-$G86))*((1+Inputs!$D$7)^CF$2))),((Inputs!$D$8^((1-_xlfn.WEIBULL.DIST(CF$2,$M86,$L86,FALSE))/_xlfn.WEIBULL.DIST(CF$2,$M86,$L86,FALSE))*($T86*(1-$F86)+$S86*(1-$G86))*((1+Inputs!$D$7)^CF$2))))))))</f>
        <v>227.33331276300535</v>
      </c>
      <c r="CG86" s="88">
        <f>MAX(AQ86,($E86*IF(CG$2&gt;Inputs!$D$5,0,IF(CG$2&gt;VLOOKUP($H86,Lists!$P$3:$Q$7,2),IF($N86=Lists!$K$3,IF($L86&lt;1,(($U86/$L86)*((1+Inputs!$D$7)^CG$2)),((INT(CG$2/$L86)-INT((CG$2-1)/$L86))*$U86*((1+Inputs!$D$7)^CG$2))),(Inputs!$D$8^((1-_xlfn.WEIBULL.DIST(CG$2,$M86,$L86,FALSE))/_xlfn.WEIBULL.DIST(CG$2,$M86,$L86,FALSE))*$U86*((1+Inputs!$D$7)^CG$2))),IF($N86=Lists!$K$3,IF($L86&lt;1,((($T86*(1-$F86)+$S86*(1-$G86))/$L86)*((1+Inputs!$D$7)^CG$2)),((INT(CG$2/$L86)-INT((CG$2-1)/$L86))*($T86*(1-$F86)+$S86*(1-$G86))*((1+Inputs!$D$7)^CG$2))),((Inputs!$D$8^((1-_xlfn.WEIBULL.DIST(CG$2,$M86,$L86,FALSE))/_xlfn.WEIBULL.DIST(CG$2,$M86,$L86,FALSE))*($T86*(1-$F86)+$S86*(1-$G86))*((1+Inputs!$D$7)^CG$2))))))))</f>
        <v>231.87997901826546</v>
      </c>
      <c r="CH86" s="88">
        <f>MAX(AR86,($E86*IF(CH$2&gt;Inputs!$D$5,0,IF(CH$2&gt;VLOOKUP($H86,Lists!$P$3:$Q$7,2),IF($N86=Lists!$K$3,IF($L86&lt;1,(($U86/$L86)*((1+Inputs!$D$7)^CH$2)),((INT(CH$2/$L86)-INT((CH$2-1)/$L86))*$U86*((1+Inputs!$D$7)^CH$2))),(Inputs!$D$8^((1-_xlfn.WEIBULL.DIST(CH$2,$M86,$L86,FALSE))/_xlfn.WEIBULL.DIST(CH$2,$M86,$L86,FALSE))*$U86*((1+Inputs!$D$7)^CH$2))),IF($N86=Lists!$K$3,IF($L86&lt;1,((($T86*(1-$F86)+$S86*(1-$G86))/$L86)*((1+Inputs!$D$7)^CH$2)),((INT(CH$2/$L86)-INT((CH$2-1)/$L86))*($T86*(1-$F86)+$S86*(1-$G86))*((1+Inputs!$D$7)^CH$2))),((Inputs!$D$8^((1-_xlfn.WEIBULL.DIST(CH$2,$M86,$L86,FALSE))/_xlfn.WEIBULL.DIST(CH$2,$M86,$L86,FALSE))*($T86*(1-$F86)+$S86*(1-$G86))*((1+Inputs!$D$7)^CH$2))))))))</f>
        <v>236.51757859863076</v>
      </c>
      <c r="CI86" s="88">
        <f>MAX(AS86,($E86*IF(CI$2&gt;Inputs!$D$5,0,IF(CI$2&gt;VLOOKUP($H86,Lists!$P$3:$Q$7,2),IF($N86=Lists!$K$3,IF($L86&lt;1,(($U86/$L86)*((1+Inputs!$D$7)^CI$2)),((INT(CI$2/$L86)-INT((CI$2-1)/$L86))*$U86*((1+Inputs!$D$7)^CI$2))),(Inputs!$D$8^((1-_xlfn.WEIBULL.DIST(CI$2,$M86,$L86,FALSE))/_xlfn.WEIBULL.DIST(CI$2,$M86,$L86,FALSE))*$U86*((1+Inputs!$D$7)^CI$2))),IF($N86=Lists!$K$3,IF($L86&lt;1,((($T86*(1-$F86)+$S86*(1-$G86))/$L86)*((1+Inputs!$D$7)^CI$2)),((INT(CI$2/$L86)-INT((CI$2-1)/$L86))*($T86*(1-$F86)+$S86*(1-$G86))*((1+Inputs!$D$7)^CI$2))),((Inputs!$D$8^((1-_xlfn.WEIBULL.DIST(CI$2,$M86,$L86,FALSE))/_xlfn.WEIBULL.DIST(CI$2,$M86,$L86,FALSE))*($T86*(1-$F86)+$S86*(1-$G86))*((1+Inputs!$D$7)^CI$2))))))))</f>
        <v>241.24793017060335</v>
      </c>
      <c r="CJ86" s="88">
        <f>MAX(AT86,($E86*IF(CJ$2&gt;Inputs!$D$5,0,IF(CJ$2&gt;VLOOKUP($H86,Lists!$P$3:$Q$7,2),IF($N86=Lists!$K$3,IF($L86&lt;1,(($U86/$L86)*((1+Inputs!$D$7)^CJ$2)),((INT(CJ$2/$L86)-INT((CJ$2-1)/$L86))*$U86*((1+Inputs!$D$7)^CJ$2))),(Inputs!$D$8^((1-_xlfn.WEIBULL.DIST(CJ$2,$M86,$L86,FALSE))/_xlfn.WEIBULL.DIST(CJ$2,$M86,$L86,FALSE))*$U86*((1+Inputs!$D$7)^CJ$2))),IF($N86=Lists!$K$3,IF($L86&lt;1,((($T86*(1-$F86)+$S86*(1-$G86))/$L86)*((1+Inputs!$D$7)^CJ$2)),((INT(CJ$2/$L86)-INT((CJ$2-1)/$L86))*($T86*(1-$F86)+$S86*(1-$G86))*((1+Inputs!$D$7)^CJ$2))),((Inputs!$D$8^((1-_xlfn.WEIBULL.DIST(CJ$2,$M86,$L86,FALSE))/_xlfn.WEIBULL.DIST(CJ$2,$M86,$L86,FALSE))*($T86*(1-$F86)+$S86*(1-$G86))*((1+Inputs!$D$7)^CJ$2))))))))</f>
        <v>246.07288877401544</v>
      </c>
      <c r="CK86" s="88">
        <f>MAX(AU86,($E86*IF(CK$2&gt;Inputs!$D$5,0,IF(CK$2&gt;VLOOKUP($H86,Lists!$P$3:$Q$7,2),IF($N86=Lists!$K$3,IF($L86&lt;1,(($U86/$L86)*((1+Inputs!$D$7)^CK$2)),((INT(CK$2/$L86)-INT((CK$2-1)/$L86))*$U86*((1+Inputs!$D$7)^CK$2))),(Inputs!$D$8^((1-_xlfn.WEIBULL.DIST(CK$2,$M86,$L86,FALSE))/_xlfn.WEIBULL.DIST(CK$2,$M86,$L86,FALSE))*$U86*((1+Inputs!$D$7)^CK$2))),IF($N86=Lists!$K$3,IF($L86&lt;1,((($T86*(1-$F86)+$S86*(1-$G86))/$L86)*((1+Inputs!$D$7)^CK$2)),((INT(CK$2/$L86)-INT((CK$2-1)/$L86))*($T86*(1-$F86)+$S86*(1-$G86))*((1+Inputs!$D$7)^CK$2))),((Inputs!$D$8^((1-_xlfn.WEIBULL.DIST(CK$2,$M86,$L86,FALSE))/_xlfn.WEIBULL.DIST(CK$2,$M86,$L86,FALSE))*($T86*(1-$F86)+$S86*(1-$G86))*((1+Inputs!$D$7)^CK$2))))))))</f>
        <v>250.99434654949573</v>
      </c>
      <c r="CL86" s="88">
        <f>MAX(AV86,($E86*IF(CL$2&gt;Inputs!$D$5,0,IF(CL$2&gt;VLOOKUP($H86,Lists!$P$3:$Q$7,2),IF($N86=Lists!$K$3,IF($L86&lt;1,(($U86/$L86)*((1+Inputs!$D$7)^CL$2)),((INT(CL$2/$L86)-INT((CL$2-1)/$L86))*$U86*((1+Inputs!$D$7)^CL$2))),(Inputs!$D$8^((1-_xlfn.WEIBULL.DIST(CL$2,$M86,$L86,FALSE))/_xlfn.WEIBULL.DIST(CL$2,$M86,$L86,FALSE))*$U86*((1+Inputs!$D$7)^CL$2))),IF($N86=Lists!$K$3,IF($L86&lt;1,((($T86*(1-$F86)+$S86*(1-$G86))/$L86)*((1+Inputs!$D$7)^CL$2)),((INT(CL$2/$L86)-INT((CL$2-1)/$L86))*($T86*(1-$F86)+$S86*(1-$G86))*((1+Inputs!$D$7)^CL$2))),((Inputs!$D$8^((1-_xlfn.WEIBULL.DIST(CL$2,$M86,$L86,FALSE))/_xlfn.WEIBULL.DIST(CL$2,$M86,$L86,FALSE))*($T86*(1-$F86)+$S86*(1-$G86))*((1+Inputs!$D$7)^CL$2))))))))</f>
        <v>256.0142334804857</v>
      </c>
      <c r="CM86" s="88">
        <f>MAX(AW86,($E86*IF(CM$2&gt;Inputs!$D$5,0,IF(CM$2&gt;VLOOKUP($H86,Lists!$P$3:$Q$7,2),IF($N86=Lists!$K$3,IF($L86&lt;1,(($U86/$L86)*((1+Inputs!$D$7)^CM$2)),((INT(CM$2/$L86)-INT((CM$2-1)/$L86))*$U86*((1+Inputs!$D$7)^CM$2))),(Inputs!$D$8^((1-_xlfn.WEIBULL.DIST(CM$2,$M86,$L86,FALSE))/_xlfn.WEIBULL.DIST(CM$2,$M86,$L86,FALSE))*$U86*((1+Inputs!$D$7)^CM$2))),IF($N86=Lists!$K$3,IF($L86&lt;1,((($T86*(1-$F86)+$S86*(1-$G86))/$L86)*((1+Inputs!$D$7)^CM$2)),((INT(CM$2/$L86)-INT((CM$2-1)/$L86))*($T86*(1-$F86)+$S86*(1-$G86))*((1+Inputs!$D$7)^CM$2))),((Inputs!$D$8^((1-_xlfn.WEIBULL.DIST(CM$2,$M86,$L86,FALSE))/_xlfn.WEIBULL.DIST(CM$2,$M86,$L86,FALSE))*($T86*(1-$F86)+$S86*(1-$G86))*((1+Inputs!$D$7)^CM$2))))))))</f>
        <v>261.13451815009535</v>
      </c>
      <c r="CN86" s="88">
        <f>MAX(AX86,($E86*IF(CN$2&gt;Inputs!$D$5,0,IF(CN$2&gt;VLOOKUP($H86,Lists!$P$3:$Q$7,2),IF($N86=Lists!$K$3,IF($L86&lt;1,(($U86/$L86)*((1+Inputs!$D$7)^CN$2)),((INT(CN$2/$L86)-INT((CN$2-1)/$L86))*$U86*((1+Inputs!$D$7)^CN$2))),(Inputs!$D$8^((1-_xlfn.WEIBULL.DIST(CN$2,$M86,$L86,FALSE))/_xlfn.WEIBULL.DIST(CN$2,$M86,$L86,FALSE))*$U86*((1+Inputs!$D$7)^CN$2))),IF($N86=Lists!$K$3,IF($L86&lt;1,((($T86*(1-$F86)+$S86*(1-$G86))/$L86)*((1+Inputs!$D$7)^CN$2)),((INT(CN$2/$L86)-INT((CN$2-1)/$L86))*($T86*(1-$F86)+$S86*(1-$G86))*((1+Inputs!$D$7)^CN$2))),((Inputs!$D$8^((1-_xlfn.WEIBULL.DIST(CN$2,$M86,$L86,FALSE))/_xlfn.WEIBULL.DIST(CN$2,$M86,$L86,FALSE))*($T86*(1-$F86)+$S86*(1-$G86))*((1+Inputs!$D$7)^CN$2))))))))</f>
        <v>266.35720851309725</v>
      </c>
      <c r="CO86" s="88">
        <f>MAX(AY86,($E86*IF(CO$2&gt;Inputs!$D$5,0,IF(CO$2&gt;VLOOKUP($H86,Lists!$P$3:$Q$7,2),IF($N86=Lists!$K$3,IF($L86&lt;1,(($U86/$L86)*((1+Inputs!$D$7)^CO$2)),((INT(CO$2/$L86)-INT((CO$2-1)/$L86))*$U86*((1+Inputs!$D$7)^CO$2))),(Inputs!$D$8^((1-_xlfn.WEIBULL.DIST(CO$2,$M86,$L86,FALSE))/_xlfn.WEIBULL.DIST(CO$2,$M86,$L86,FALSE))*$U86*((1+Inputs!$D$7)^CO$2))),IF($N86=Lists!$K$3,IF($L86&lt;1,((($T86*(1-$F86)+$S86*(1-$G86))/$L86)*((1+Inputs!$D$7)^CO$2)),((INT(CO$2/$L86)-INT((CO$2-1)/$L86))*($T86*(1-$F86)+$S86*(1-$G86))*((1+Inputs!$D$7)^CO$2))),((Inputs!$D$8^((1-_xlfn.WEIBULL.DIST(CO$2,$M86,$L86,FALSE))/_xlfn.WEIBULL.DIST(CO$2,$M86,$L86,FALSE))*($T86*(1-$F86)+$S86*(1-$G86))*((1+Inputs!$D$7)^CO$2))))))))</f>
        <v>271.68435268335918</v>
      </c>
      <c r="CP86" s="88">
        <f>MAX(AZ86,($E86*IF(CP$2&gt;Inputs!$D$5,0,IF(CP$2&gt;VLOOKUP($H86,Lists!$P$3:$Q$7,2),IF($N86=Lists!$K$3,IF($L86&lt;1,(($U86/$L86)*((1+Inputs!$D$7)^CP$2)),((INT(CP$2/$L86)-INT((CP$2-1)/$L86))*$U86*((1+Inputs!$D$7)^CP$2))),(Inputs!$D$8^((1-_xlfn.WEIBULL.DIST(CP$2,$M86,$L86,FALSE))/_xlfn.WEIBULL.DIST(CP$2,$M86,$L86,FALSE))*$U86*((1+Inputs!$D$7)^CP$2))),IF($N86=Lists!$K$3,IF($L86&lt;1,((($T86*(1-$F86)+$S86*(1-$G86))/$L86)*((1+Inputs!$D$7)^CP$2)),((INT(CP$2/$L86)-INT((CP$2-1)/$L86))*($T86*(1-$F86)+$S86*(1-$G86))*((1+Inputs!$D$7)^CP$2))),((Inputs!$D$8^((1-_xlfn.WEIBULL.DIST(CP$2,$M86,$L86,FALSE))/_xlfn.WEIBULL.DIST(CP$2,$M86,$L86,FALSE))*($T86*(1-$F86)+$S86*(1-$G86))*((1+Inputs!$D$7)^CP$2))))))))</f>
        <v>0</v>
      </c>
      <c r="CQ86" s="88">
        <f>MAX(BA86,($E86*IF(CQ$2&gt;Inputs!$D$5,0,IF(CQ$2&gt;VLOOKUP($H86,Lists!$P$3:$Q$7,2),IF($N86=Lists!$K$3,IF($L86&lt;1,(($U86/$L86)*((1+Inputs!$D$7)^CQ$2)),((INT(CQ$2/$L86)-INT((CQ$2-1)/$L86))*$U86*((1+Inputs!$D$7)^CQ$2))),(Inputs!$D$8^((1-_xlfn.WEIBULL.DIST(CQ$2,$M86,$L86,FALSE))/_xlfn.WEIBULL.DIST(CQ$2,$M86,$L86,FALSE))*$U86*((1+Inputs!$D$7)^CQ$2))),IF($N86=Lists!$K$3,IF($L86&lt;1,((($T86*(1-$F86)+$S86*(1-$G86))/$L86)*((1+Inputs!$D$7)^CQ$2)),((INT(CQ$2/$L86)-INT((CQ$2-1)/$L86))*($T86*(1-$F86)+$S86*(1-$G86))*((1+Inputs!$D$7)^CQ$2))),((Inputs!$D$8^((1-_xlfn.WEIBULL.DIST(CQ$2,$M86,$L86,FALSE))/_xlfn.WEIBULL.DIST(CQ$2,$M86,$L86,FALSE))*($T86*(1-$F86)+$S86*(1-$G86))*((1+Inputs!$D$7)^CQ$2))))))))</f>
        <v>0</v>
      </c>
      <c r="CR86" s="88">
        <f>MAX(BB86,($E86*IF(CR$2&gt;Inputs!$D$5,0,IF(CR$2&gt;VLOOKUP($H86,Lists!$P$3:$Q$7,2),IF($N86=Lists!$K$3,IF($L86&lt;1,(($U86/$L86)*((1+Inputs!$D$7)^CR$2)),((INT(CR$2/$L86)-INT((CR$2-1)/$L86))*$U86*((1+Inputs!$D$7)^CR$2))),(Inputs!$D$8^((1-_xlfn.WEIBULL.DIST(CR$2,$M86,$L86,FALSE))/_xlfn.WEIBULL.DIST(CR$2,$M86,$L86,FALSE))*$U86*((1+Inputs!$D$7)^CR$2))),IF($N86=Lists!$K$3,IF($L86&lt;1,((($T86*(1-$F86)+$S86*(1-$G86))/$L86)*((1+Inputs!$D$7)^CR$2)),((INT(CR$2/$L86)-INT((CR$2-1)/$L86))*($T86*(1-$F86)+$S86*(1-$G86))*((1+Inputs!$D$7)^CR$2))),((Inputs!$D$8^((1-_xlfn.WEIBULL.DIST(CR$2,$M86,$L86,FALSE))/_xlfn.WEIBULL.DIST(CR$2,$M86,$L86,FALSE))*($T86*(1-$F86)+$S86*(1-$G86))*((1+Inputs!$D$7)^CR$2))))))))</f>
        <v>0</v>
      </c>
      <c r="CS86" s="88">
        <f>MAX(BC86,($E86*IF(CS$2&gt;Inputs!$D$5,0,IF(CS$2&gt;VLOOKUP($H86,Lists!$P$3:$Q$7,2),IF($N86=Lists!$K$3,IF($L86&lt;1,(($U86/$L86)*((1+Inputs!$D$7)^CS$2)),((INT(CS$2/$L86)-INT((CS$2-1)/$L86))*$U86*((1+Inputs!$D$7)^CS$2))),(Inputs!$D$8^((1-_xlfn.WEIBULL.DIST(CS$2,$M86,$L86,FALSE))/_xlfn.WEIBULL.DIST(CS$2,$M86,$L86,FALSE))*$U86*((1+Inputs!$D$7)^CS$2))),IF($N86=Lists!$K$3,IF($L86&lt;1,((($T86*(1-$F86)+$S86*(1-$G86))/$L86)*((1+Inputs!$D$7)^CS$2)),((INT(CS$2/$L86)-INT((CS$2-1)/$L86))*($T86*(1-$F86)+$S86*(1-$G86))*((1+Inputs!$D$7)^CS$2))),((Inputs!$D$8^((1-_xlfn.WEIBULL.DIST(CS$2,$M86,$L86,FALSE))/_xlfn.WEIBULL.DIST(CS$2,$M86,$L86,FALSE))*($T86*(1-$F86)+$S86*(1-$G86))*((1+Inputs!$D$7)^CS$2))))))))</f>
        <v>0</v>
      </c>
      <c r="CT86" s="88">
        <f>MAX(BD86,($E86*IF(CT$2&gt;Inputs!$D$5,0,IF(CT$2&gt;VLOOKUP($H86,Lists!$P$3:$Q$7,2),IF($N86=Lists!$K$3,IF($L86&lt;1,(($U86/$L86)*((1+Inputs!$D$7)^CT$2)),((INT(CT$2/$L86)-INT((CT$2-1)/$L86))*$U86*((1+Inputs!$D$7)^CT$2))),(Inputs!$D$8^((1-_xlfn.WEIBULL.DIST(CT$2,$M86,$L86,FALSE))/_xlfn.WEIBULL.DIST(CT$2,$M86,$L86,FALSE))*$U86*((1+Inputs!$D$7)^CT$2))),IF($N86=Lists!$K$3,IF($L86&lt;1,((($T86*(1-$F86)+$S86*(1-$G86))/$L86)*((1+Inputs!$D$7)^CT$2)),((INT(CT$2/$L86)-INT((CT$2-1)/$L86))*($T86*(1-$F86)+$S86*(1-$G86))*((1+Inputs!$D$7)^CT$2))),((Inputs!$D$8^((1-_xlfn.WEIBULL.DIST(CT$2,$M86,$L86,FALSE))/_xlfn.WEIBULL.DIST(CT$2,$M86,$L86,FALSE))*($T86*(1-$F86)+$S86*(1-$G86))*((1+Inputs!$D$7)^CT$2))))))))</f>
        <v>0</v>
      </c>
      <c r="CU86" s="88">
        <f>MAX(BE86,($E86*IF(CU$2&gt;Inputs!$D$5,0,IF(CU$2&gt;VLOOKUP($H86,Lists!$P$3:$Q$7,2),IF($N86=Lists!$K$3,IF($L86&lt;1,(($U86/$L86)*((1+Inputs!$D$7)^CU$2)),((INT(CU$2/$L86)-INT((CU$2-1)/$L86))*$U86*((1+Inputs!$D$7)^CU$2))),(Inputs!$D$8^((1-_xlfn.WEIBULL.DIST(CU$2,$M86,$L86,FALSE))/_xlfn.WEIBULL.DIST(CU$2,$M86,$L86,FALSE))*$U86*((1+Inputs!$D$7)^CU$2))),IF($N86=Lists!$K$3,IF($L86&lt;1,((($T86*(1-$F86)+$S86*(1-$G86))/$L86)*((1+Inputs!$D$7)^CU$2)),((INT(CU$2/$L86)-INT((CU$2-1)/$L86))*($T86*(1-$F86)+$S86*(1-$G86))*((1+Inputs!$D$7)^CU$2))),((Inputs!$D$8^((1-_xlfn.WEIBULL.DIST(CU$2,$M86,$L86,FALSE))/_xlfn.WEIBULL.DIST(CU$2,$M86,$L86,FALSE))*($T86*(1-$F86)+$S86*(1-$G86))*((1+Inputs!$D$7)^CU$2))))))))</f>
        <v>0</v>
      </c>
      <c r="CV86" s="88">
        <f>MAX(BF86,($E86*IF(CV$2&gt;Inputs!$D$5,0,IF(CV$2&gt;VLOOKUP($H86,Lists!$P$3:$Q$7,2),IF($N86=Lists!$K$3,IF($L86&lt;1,(($U86/$L86)*((1+Inputs!$D$7)^CV$2)),((INT(CV$2/$L86)-INT((CV$2-1)/$L86))*$U86*((1+Inputs!$D$7)^CV$2))),(Inputs!$D$8^((1-_xlfn.WEIBULL.DIST(CV$2,$M86,$L86,FALSE))/_xlfn.WEIBULL.DIST(CV$2,$M86,$L86,FALSE))*$U86*((1+Inputs!$D$7)^CV$2))),IF($N86=Lists!$K$3,IF($L86&lt;1,((($T86*(1-$F86)+$S86*(1-$G86))/$L86)*((1+Inputs!$D$7)^CV$2)),((INT(CV$2/$L86)-INT((CV$2-1)/$L86))*($T86*(1-$F86)+$S86*(1-$G86))*((1+Inputs!$D$7)^CV$2))),((Inputs!$D$8^((1-_xlfn.WEIBULL.DIST(CV$2,$M86,$L86,FALSE))/_xlfn.WEIBULL.DIST(CV$2,$M86,$L86,FALSE))*($T86*(1-$F86)+$S86*(1-$G86))*((1+Inputs!$D$7)^CV$2))))))))</f>
        <v>0</v>
      </c>
      <c r="CW86" s="88">
        <f>MAX(BG86,($E86*IF(CW$2&gt;Inputs!$D$5,0,IF(CW$2&gt;VLOOKUP($H86,Lists!$P$3:$Q$7,2),IF($N86=Lists!$K$3,IF($L86&lt;1,(($U86/$L86)*((1+Inputs!$D$7)^CW$2)),((INT(CW$2/$L86)-INT((CW$2-1)/$L86))*$U86*((1+Inputs!$D$7)^CW$2))),(Inputs!$D$8^((1-_xlfn.WEIBULL.DIST(CW$2,$M86,$L86,FALSE))/_xlfn.WEIBULL.DIST(CW$2,$M86,$L86,FALSE))*$U86*((1+Inputs!$D$7)^CW$2))),IF($N86=Lists!$K$3,IF($L86&lt;1,((($T86*(1-$F86)+$S86*(1-$G86))/$L86)*((1+Inputs!$D$7)^CW$2)),((INT(CW$2/$L86)-INT((CW$2-1)/$L86))*($T86*(1-$F86)+$S86*(1-$G86))*((1+Inputs!$D$7)^CW$2))),((Inputs!$D$8^((1-_xlfn.WEIBULL.DIST(CW$2,$M86,$L86,FALSE))/_xlfn.WEIBULL.DIST(CW$2,$M86,$L86,FALSE))*($T86*(1-$F86)+$S86*(1-$G86))*((1+Inputs!$D$7)^CW$2))))))))</f>
        <v>0</v>
      </c>
      <c r="CX86" s="88">
        <f>MAX(BH86,($E86*IF(CX$2&gt;Inputs!$D$5,0,IF(CX$2&gt;VLOOKUP($H86,Lists!$P$3:$Q$7,2),IF($N86=Lists!$K$3,IF($L86&lt;1,(($U86/$L86)*((1+Inputs!$D$7)^CX$2)),((INT(CX$2/$L86)-INT((CX$2-1)/$L86))*$U86*((1+Inputs!$D$7)^CX$2))),(Inputs!$D$8^((1-_xlfn.WEIBULL.DIST(CX$2,$M86,$L86,FALSE))/_xlfn.WEIBULL.DIST(CX$2,$M86,$L86,FALSE))*$U86*((1+Inputs!$D$7)^CX$2))),IF($N86=Lists!$K$3,IF($L86&lt;1,((($T86*(1-$F86)+$S86*(1-$G86))/$L86)*((1+Inputs!$D$7)^CX$2)),((INT(CX$2/$L86)-INT((CX$2-1)/$L86))*($T86*(1-$F86)+$S86*(1-$G86))*((1+Inputs!$D$7)^CX$2))),((Inputs!$D$8^((1-_xlfn.WEIBULL.DIST(CX$2,$M86,$L86,FALSE))/_xlfn.WEIBULL.DIST(CX$2,$M86,$L86,FALSE))*($T86*(1-$F86)+$S86*(1-$G86))*((1+Inputs!$D$7)^CX$2))))))))</f>
        <v>0</v>
      </c>
      <c r="CY86" s="88">
        <f>MAX(BI86,($E86*IF(CY$2&gt;Inputs!$D$5,0,IF(CY$2&gt;VLOOKUP($H86,Lists!$P$3:$Q$7,2),IF($N86=Lists!$K$3,IF($L86&lt;1,(($U86/$L86)*((1+Inputs!$D$7)^CY$2)),((INT(CY$2/$L86)-INT((CY$2-1)/$L86))*$U86*((1+Inputs!$D$7)^CY$2))),(Inputs!$D$8^((1-_xlfn.WEIBULL.DIST(CY$2,$M86,$L86,FALSE))/_xlfn.WEIBULL.DIST(CY$2,$M86,$L86,FALSE))*$U86*((1+Inputs!$D$7)^CY$2))),IF($N86=Lists!$K$3,IF($L86&lt;1,((($T86*(1-$F86)+$S86*(1-$G86))/$L86)*((1+Inputs!$D$7)^CY$2)),((INT(CY$2/$L86)-INT((CY$2-1)/$L86))*($T86*(1-$F86)+$S86*(1-$G86))*((1+Inputs!$D$7)^CY$2))),((Inputs!$D$8^((1-_xlfn.WEIBULL.DIST(CY$2,$M86,$L86,FALSE))/_xlfn.WEIBULL.DIST(CY$2,$M86,$L86,FALSE))*($T86*(1-$F86)+$S86*(1-$G86))*((1+Inputs!$D$7)^CY$2))))))))</f>
        <v>0</v>
      </c>
      <c r="CZ86" s="88">
        <f>MAX(BJ86,($E86*IF(CZ$2&gt;Inputs!$D$5,0,IF(CZ$2&gt;VLOOKUP($H86,Lists!$P$3:$Q$7,2),IF($N86=Lists!$K$3,IF($L86&lt;1,(($U86/$L86)*((1+Inputs!$D$7)^CZ$2)),((INT(CZ$2/$L86)-INT((CZ$2-1)/$L86))*$U86*((1+Inputs!$D$7)^CZ$2))),(Inputs!$D$8^((1-_xlfn.WEIBULL.DIST(CZ$2,$M86,$L86,FALSE))/_xlfn.WEIBULL.DIST(CZ$2,$M86,$L86,FALSE))*$U86*((1+Inputs!$D$7)^CZ$2))),IF($N86=Lists!$K$3,IF($L86&lt;1,((($T86*(1-$F86)+$S86*(1-$G86))/$L86)*((1+Inputs!$D$7)^CZ$2)),((INT(CZ$2/$L86)-INT((CZ$2-1)/$L86))*($T86*(1-$F86)+$S86*(1-$G86))*((1+Inputs!$D$7)^CZ$2))),((Inputs!$D$8^((1-_xlfn.WEIBULL.DIST(CZ$2,$M86,$L86,FALSE))/_xlfn.WEIBULL.DIST(CZ$2,$M86,$L86,FALSE))*($T86*(1-$F86)+$S86*(1-$G86))*((1+Inputs!$D$7)^CZ$2))))))))</f>
        <v>0</v>
      </c>
      <c r="DA86" s="88">
        <f>MAX(BK86,($E86*IF(DA$2&gt;Inputs!$D$5,0,IF(DA$2&gt;VLOOKUP($H86,Lists!$P$3:$Q$7,2),IF($N86=Lists!$K$3,IF($L86&lt;1,(($U86/$L86)*((1+Inputs!$D$7)^DA$2)),((INT(DA$2/$L86)-INT((DA$2-1)/$L86))*$U86*((1+Inputs!$D$7)^DA$2))),(Inputs!$D$8^((1-_xlfn.WEIBULL.DIST(DA$2,$M86,$L86,FALSE))/_xlfn.WEIBULL.DIST(DA$2,$M86,$L86,FALSE))*$U86*((1+Inputs!$D$7)^DA$2))),IF($N86=Lists!$K$3,IF($L86&lt;1,((($T86*(1-$F86)+$S86*(1-$G86))/$L86)*((1+Inputs!$D$7)^DA$2)),((INT(DA$2/$L86)-INT((DA$2-1)/$L86))*($T86*(1-$F86)+$S86*(1-$G86))*((1+Inputs!$D$7)^DA$2))),((Inputs!$D$8^((1-_xlfn.WEIBULL.DIST(DA$2,$M86,$L86,FALSE))/_xlfn.WEIBULL.DIST(DA$2,$M86,$L86,FALSE))*($T86*(1-$F86)+$S86*(1-$G86))*((1+Inputs!$D$7)^DA$2))))))))</f>
        <v>0</v>
      </c>
      <c r="DB86" s="88">
        <f>MAX(BL86,($E86*IF(DB$2&gt;Inputs!$D$5,0,IF(DB$2&gt;VLOOKUP($H86,Lists!$P$3:$Q$7,2),IF($N86=Lists!$K$3,IF($L86&lt;1,(($U86/$L86)*((1+Inputs!$D$7)^DB$2)),((INT(DB$2/$L86)-INT((DB$2-1)/$L86))*$U86*((1+Inputs!$D$7)^DB$2))),(Inputs!$D$8^((1-_xlfn.WEIBULL.DIST(DB$2,$M86,$L86,FALSE))/_xlfn.WEIBULL.DIST(DB$2,$M86,$L86,FALSE))*$U86*((1+Inputs!$D$7)^DB$2))),IF($N86=Lists!$K$3,IF($L86&lt;1,((($T86*(1-$F86)+$S86*(1-$G86))/$L86)*((1+Inputs!$D$7)^DB$2)),((INT(DB$2/$L86)-INT((DB$2-1)/$L86))*($T86*(1-$F86)+$S86*(1-$G86))*((1+Inputs!$D$7)^DB$2))),((Inputs!$D$8^((1-_xlfn.WEIBULL.DIST(DB$2,$M86,$L86,FALSE))/_xlfn.WEIBULL.DIST(DB$2,$M86,$L86,FALSE))*($T86*(1-$F86)+$S86*(1-$G86))*((1+Inputs!$D$7)^DB$2))))))))</f>
        <v>0</v>
      </c>
      <c r="DC86" s="88">
        <f>MAX(BM86,($E86*IF(DC$2&gt;Inputs!$D$5,0,IF(DC$2&gt;VLOOKUP($H86,Lists!$P$3:$Q$7,2),IF($N86=Lists!$K$3,IF($L86&lt;1,(($U86/$L86)*((1+Inputs!$D$7)^DC$2)),((INT(DC$2/$L86)-INT((DC$2-1)/$L86))*$U86*((1+Inputs!$D$7)^DC$2))),(Inputs!$D$8^((1-_xlfn.WEIBULL.DIST(DC$2,$M86,$L86,FALSE))/_xlfn.WEIBULL.DIST(DC$2,$M86,$L86,FALSE))*$U86*((1+Inputs!$D$7)^DC$2))),IF($N86=Lists!$K$3,IF($L86&lt;1,((($T86*(1-$F86)+$S86*(1-$G86))/$L86)*((1+Inputs!$D$7)^DC$2)),((INT(DC$2/$L86)-INT((DC$2-1)/$L86))*($T86*(1-$F86)+$S86*(1-$G86))*((1+Inputs!$D$7)^DC$2))),((Inputs!$D$8^((1-_xlfn.WEIBULL.DIST(DC$2,$M86,$L86,FALSE))/_xlfn.WEIBULL.DIST(DC$2,$M86,$L86,FALSE))*($T86*(1-$F86)+$S86*(1-$G86))*((1+Inputs!$D$7)^DC$2))))))))</f>
        <v>0</v>
      </c>
      <c r="DD86" s="88">
        <f>MAX(BN86,($E86*IF(DD$2&gt;Inputs!$D$5,0,IF(DD$2&gt;VLOOKUP($H86,Lists!$P$3:$Q$7,2),IF($N86=Lists!$K$3,IF($L86&lt;1,(($U86/$L86)*((1+Inputs!$D$7)^DD$2)),((INT(DD$2/$L86)-INT((DD$2-1)/$L86))*$U86*((1+Inputs!$D$7)^DD$2))),(Inputs!$D$8^((1-_xlfn.WEIBULL.DIST(DD$2,$M86,$L86,FALSE))/_xlfn.WEIBULL.DIST(DD$2,$M86,$L86,FALSE))*$U86*((1+Inputs!$D$7)^DD$2))),IF($N86=Lists!$K$3,IF($L86&lt;1,((($T86*(1-$F86)+$S86*(1-$G86))/$L86)*((1+Inputs!$D$7)^DD$2)),((INT(DD$2/$L86)-INT((DD$2-1)/$L86))*($T86*(1-$F86)+$S86*(1-$G86))*((1+Inputs!$D$7)^DD$2))),((Inputs!$D$8^((1-_xlfn.WEIBULL.DIST(DD$2,$M86,$L86,FALSE))/_xlfn.WEIBULL.DIST(DD$2,$M86,$L86,FALSE))*($T86*(1-$F86)+$S86*(1-$G86))*((1+Inputs!$D$7)^DD$2))))))))</f>
        <v>0</v>
      </c>
    </row>
    <row r="87" spans="1:108" s="1" customFormat="1" ht="16">
      <c r="A87" s="57" t="s">
        <v>59</v>
      </c>
      <c r="B87" s="13" t="s">
        <v>279</v>
      </c>
      <c r="C87" s="13" t="s">
        <v>471</v>
      </c>
      <c r="D87" s="13" t="s">
        <v>34</v>
      </c>
      <c r="E87" s="48">
        <f>IF(Inputs!D41=Lists!I4,0,1)</f>
        <v>1</v>
      </c>
      <c r="F87" s="48">
        <v>1</v>
      </c>
      <c r="G87" s="48">
        <v>1</v>
      </c>
      <c r="H87" s="105" t="s">
        <v>349</v>
      </c>
      <c r="I87" s="14" t="s">
        <v>24</v>
      </c>
      <c r="J87" s="14" t="s">
        <v>87</v>
      </c>
      <c r="K87" s="13">
        <f>VLOOKUP(J87,'Labor Rates'!$A$1:$F$16,2)</f>
        <v>32.012019230769226</v>
      </c>
      <c r="L87" s="15">
        <v>1</v>
      </c>
      <c r="M87" s="15">
        <v>1</v>
      </c>
      <c r="N87" s="13" t="s">
        <v>236</v>
      </c>
      <c r="O87" s="61">
        <v>1</v>
      </c>
      <c r="P87" s="15">
        <v>1</v>
      </c>
      <c r="Q87" s="15">
        <f t="shared" si="14"/>
        <v>1</v>
      </c>
      <c r="R87" s="4">
        <v>0</v>
      </c>
      <c r="S87" s="53">
        <f t="shared" si="15"/>
        <v>32.012019230769226</v>
      </c>
      <c r="T87" s="53">
        <f t="shared" si="16"/>
        <v>0</v>
      </c>
      <c r="U87" s="54">
        <f t="shared" si="17"/>
        <v>32.012019230769226</v>
      </c>
      <c r="V87" s="65"/>
      <c r="W87" s="58"/>
      <c r="X87" s="64">
        <f t="shared" si="18"/>
        <v>38.035588351494106</v>
      </c>
      <c r="Y87" s="64">
        <f>NPV(Inputs!$D$6,AA87:BN87)</f>
        <v>425.12636183929271</v>
      </c>
      <c r="Z87" s="67">
        <f t="shared" si="19"/>
        <v>2.0051034721335235E-4</v>
      </c>
      <c r="AA87" s="88">
        <f>$E87*IF(AA$2&gt;Inputs!$D$5,0,IF(AA$2&gt;VLOOKUP($H87,Lists!$P$3:$Q$7,2),IF($N87=Lists!$K$3,IF($L87&lt;1,(($U87/$L87)*((1+Inputs!$D$7)^AA$2)),((INT(AA$2/$L87)-INT((AA$2-1)/$L87))*$U87*((1+Inputs!$D$7)^AA$2))),(_xlfn.WEIBULL.DIST(AA$2,$M87,$L87,FALSE)*$U87*((1+Inputs!$D$7)^AA$2))),IF($N87=Lists!$K$3,IF($L87&lt;1,((($T87*(1-$F87)+$S87*(1-$G87))/$L87)*((1+Inputs!$D$7)^AA$2)),((INT(AA$2/$L87)-INT((AA$2-1)/$L87))*($T87*(1-$F87)+$S87*(1-$G87))*((1+Inputs!$D$7)^AA$2))),((_xlfn.WEIBULL.DIST(AA$2,$M87,$L87,FALSE)*($T87*(1-$F87)+$S87*(1-$G87))*((1+Inputs!$D$7)^AA$2))))))</f>
        <v>0</v>
      </c>
      <c r="AB87" s="88">
        <f>$E87*IF(AB$2&gt;Inputs!$D$5,0,IF(AB$2&gt;VLOOKUP($H87,Lists!$P$3:$Q$7,2),IF($N87=Lists!$K$3,IF($L87&lt;1,(($U87/$L87)*((1+Inputs!$D$7)^AB$2)),((INT(AB$2/$L87)-INT((AB$2-1)/$L87))*$U87*((1+Inputs!$D$7)^AB$2))),(_xlfn.WEIBULL.DIST(AB$2,$M87,$L87,FALSE)*$U87*((1+Inputs!$D$7)^AB$2))),IF($N87=Lists!$K$3,IF($L87&lt;1,((($T87*(1-$F87)+$S87*(1-$G87))/$L87)*((1+Inputs!$D$7)^AB$2)),((INT(AB$2/$L87)-INT((AB$2-1)/$L87))*($T87*(1-$F87)+$S87*(1-$G87))*((1+Inputs!$D$7)^AB$2))),((_xlfn.WEIBULL.DIST(AB$2,$M87,$L87,FALSE)*($T87*(1-$F87)+$S87*(1-$G87))*((1+Inputs!$D$7)^AB$2))))))</f>
        <v>33.305304807692302</v>
      </c>
      <c r="AC87" s="88">
        <f>$E87*IF(AC$2&gt;Inputs!$D$5,0,IF(AC$2&gt;VLOOKUP($H87,Lists!$P$3:$Q$7,2),IF($N87=Lists!$K$3,IF($L87&lt;1,(($U87/$L87)*((1+Inputs!$D$7)^AC$2)),((INT(AC$2/$L87)-INT((AC$2-1)/$L87))*$U87*((1+Inputs!$D$7)^AC$2))),(_xlfn.WEIBULL.DIST(AC$2,$M87,$L87,FALSE)*$U87*((1+Inputs!$D$7)^AC$2))),IF($N87=Lists!$K$3,IF($L87&lt;1,((($T87*(1-$F87)+$S87*(1-$G87))/$L87)*((1+Inputs!$D$7)^AC$2)),((INT(AC$2/$L87)-INT((AC$2-1)/$L87))*($T87*(1-$F87)+$S87*(1-$G87))*((1+Inputs!$D$7)^AC$2))),((_xlfn.WEIBULL.DIST(AC$2,$M87,$L87,FALSE)*($T87*(1-$F87)+$S87*(1-$G87))*((1+Inputs!$D$7)^AC$2))))))</f>
        <v>33.971410903846149</v>
      </c>
      <c r="AD87" s="88">
        <f>$E87*IF(AD$2&gt;Inputs!$D$5,0,IF(AD$2&gt;VLOOKUP($H87,Lists!$P$3:$Q$7,2),IF($N87=Lists!$K$3,IF($L87&lt;1,(($U87/$L87)*((1+Inputs!$D$7)^AD$2)),((INT(AD$2/$L87)-INT((AD$2-1)/$L87))*$U87*((1+Inputs!$D$7)^AD$2))),(_xlfn.WEIBULL.DIST(AD$2,$M87,$L87,FALSE)*$U87*((1+Inputs!$D$7)^AD$2))),IF($N87=Lists!$K$3,IF($L87&lt;1,((($T87*(1-$F87)+$S87*(1-$G87))/$L87)*((1+Inputs!$D$7)^AD$2)),((INT(AD$2/$L87)-INT((AD$2-1)/$L87))*($T87*(1-$F87)+$S87*(1-$G87))*((1+Inputs!$D$7)^AD$2))),((_xlfn.WEIBULL.DIST(AD$2,$M87,$L87,FALSE)*($T87*(1-$F87)+$S87*(1-$G87))*((1+Inputs!$D$7)^AD$2))))))</f>
        <v>34.65083912192307</v>
      </c>
      <c r="AE87" s="88">
        <f>$E87*IF(AE$2&gt;Inputs!$D$5,0,IF(AE$2&gt;VLOOKUP($H87,Lists!$P$3:$Q$7,2),IF($N87=Lists!$K$3,IF($L87&lt;1,(($U87/$L87)*((1+Inputs!$D$7)^AE$2)),((INT(AE$2/$L87)-INT((AE$2-1)/$L87))*$U87*((1+Inputs!$D$7)^AE$2))),(_xlfn.WEIBULL.DIST(AE$2,$M87,$L87,FALSE)*$U87*((1+Inputs!$D$7)^AE$2))),IF($N87=Lists!$K$3,IF($L87&lt;1,((($T87*(1-$F87)+$S87*(1-$G87))/$L87)*((1+Inputs!$D$7)^AE$2)),((INT(AE$2/$L87)-INT((AE$2-1)/$L87))*($T87*(1-$F87)+$S87*(1-$G87))*((1+Inputs!$D$7)^AE$2))),((_xlfn.WEIBULL.DIST(AE$2,$M87,$L87,FALSE)*($T87*(1-$F87)+$S87*(1-$G87))*((1+Inputs!$D$7)^AE$2))))))</f>
        <v>35.343855904361533</v>
      </c>
      <c r="AF87" s="88">
        <f>$E87*IF(AF$2&gt;Inputs!$D$5,0,IF(AF$2&gt;VLOOKUP($H87,Lists!$P$3:$Q$7,2),IF($N87=Lists!$K$3,IF($L87&lt;1,(($U87/$L87)*((1+Inputs!$D$7)^AF$2)),((INT(AF$2/$L87)-INT((AF$2-1)/$L87))*$U87*((1+Inputs!$D$7)^AF$2))),(_xlfn.WEIBULL.DIST(AF$2,$M87,$L87,FALSE)*$U87*((1+Inputs!$D$7)^AF$2))),IF($N87=Lists!$K$3,IF($L87&lt;1,((($T87*(1-$F87)+$S87*(1-$G87))/$L87)*((1+Inputs!$D$7)^AF$2)),((INT(AF$2/$L87)-INT((AF$2-1)/$L87))*($T87*(1-$F87)+$S87*(1-$G87))*((1+Inputs!$D$7)^AF$2))),((_xlfn.WEIBULL.DIST(AF$2,$M87,$L87,FALSE)*($T87*(1-$F87)+$S87*(1-$G87))*((1+Inputs!$D$7)^AF$2))))))</f>
        <v>36.050733022448767</v>
      </c>
      <c r="AG87" s="88">
        <f>$E87*IF(AG$2&gt;Inputs!$D$5,0,IF(AG$2&gt;VLOOKUP($H87,Lists!$P$3:$Q$7,2),IF($N87=Lists!$K$3,IF($L87&lt;1,(($U87/$L87)*((1+Inputs!$D$7)^AG$2)),((INT(AG$2/$L87)-INT((AG$2-1)/$L87))*$U87*((1+Inputs!$D$7)^AG$2))),(_xlfn.WEIBULL.DIST(AG$2,$M87,$L87,FALSE)*$U87*((1+Inputs!$D$7)^AG$2))),IF($N87=Lists!$K$3,IF($L87&lt;1,((($T87*(1-$F87)+$S87*(1-$G87))/$L87)*((1+Inputs!$D$7)^AG$2)),((INT(AG$2/$L87)-INT((AG$2-1)/$L87))*($T87*(1-$F87)+$S87*(1-$G87))*((1+Inputs!$D$7)^AG$2))),((_xlfn.WEIBULL.DIST(AG$2,$M87,$L87,FALSE)*($T87*(1-$F87)+$S87*(1-$G87))*((1+Inputs!$D$7)^AG$2))))))</f>
        <v>36.771747682897733</v>
      </c>
      <c r="AH87" s="88">
        <f>$E87*IF(AH$2&gt;Inputs!$D$5,0,IF(AH$2&gt;VLOOKUP($H87,Lists!$P$3:$Q$7,2),IF($N87=Lists!$K$3,IF($L87&lt;1,(($U87/$L87)*((1+Inputs!$D$7)^AH$2)),((INT(AH$2/$L87)-INT((AH$2-1)/$L87))*$U87*((1+Inputs!$D$7)^AH$2))),(_xlfn.WEIBULL.DIST(AH$2,$M87,$L87,FALSE)*$U87*((1+Inputs!$D$7)^AH$2))),IF($N87=Lists!$K$3,IF($L87&lt;1,((($T87*(1-$F87)+$S87*(1-$G87))/$L87)*((1+Inputs!$D$7)^AH$2)),((INT(AH$2/$L87)-INT((AH$2-1)/$L87))*($T87*(1-$F87)+$S87*(1-$G87))*((1+Inputs!$D$7)^AH$2))),((_xlfn.WEIBULL.DIST(AH$2,$M87,$L87,FALSE)*($T87*(1-$F87)+$S87*(1-$G87))*((1+Inputs!$D$7)^AH$2))))))</f>
        <v>37.50718263655569</v>
      </c>
      <c r="AI87" s="88">
        <f>$E87*IF(AI$2&gt;Inputs!$D$5,0,IF(AI$2&gt;VLOOKUP($H87,Lists!$P$3:$Q$7,2),IF($N87=Lists!$K$3,IF($L87&lt;1,(($U87/$L87)*((1+Inputs!$D$7)^AI$2)),((INT(AI$2/$L87)-INT((AI$2-1)/$L87))*$U87*((1+Inputs!$D$7)^AI$2))),(_xlfn.WEIBULL.DIST(AI$2,$M87,$L87,FALSE)*$U87*((1+Inputs!$D$7)^AI$2))),IF($N87=Lists!$K$3,IF($L87&lt;1,((($T87*(1-$F87)+$S87*(1-$G87))/$L87)*((1+Inputs!$D$7)^AI$2)),((INT(AI$2/$L87)-INT((AI$2-1)/$L87))*($T87*(1-$F87)+$S87*(1-$G87))*((1+Inputs!$D$7)^AI$2))),((_xlfn.WEIBULL.DIST(AI$2,$M87,$L87,FALSE)*($T87*(1-$F87)+$S87*(1-$G87))*((1+Inputs!$D$7)^AI$2))))))</f>
        <v>38.257326289286809</v>
      </c>
      <c r="AJ87" s="88">
        <f>$E87*IF(AJ$2&gt;Inputs!$D$5,0,IF(AJ$2&gt;VLOOKUP($H87,Lists!$P$3:$Q$7,2),IF($N87=Lists!$K$3,IF($L87&lt;1,(($U87/$L87)*((1+Inputs!$D$7)^AJ$2)),((INT(AJ$2/$L87)-INT((AJ$2-1)/$L87))*$U87*((1+Inputs!$D$7)^AJ$2))),(_xlfn.WEIBULL.DIST(AJ$2,$M87,$L87,FALSE)*$U87*((1+Inputs!$D$7)^AJ$2))),IF($N87=Lists!$K$3,IF($L87&lt;1,((($T87*(1-$F87)+$S87*(1-$G87))/$L87)*((1+Inputs!$D$7)^AJ$2)),((INT(AJ$2/$L87)-INT((AJ$2-1)/$L87))*($T87*(1-$F87)+$S87*(1-$G87))*((1+Inputs!$D$7)^AJ$2))),((_xlfn.WEIBULL.DIST(AJ$2,$M87,$L87,FALSE)*($T87*(1-$F87)+$S87*(1-$G87))*((1+Inputs!$D$7)^AJ$2))))))</f>
        <v>39.022472815072547</v>
      </c>
      <c r="AK87" s="88">
        <f>$E87*IF(AK$2&gt;Inputs!$D$5,0,IF(AK$2&gt;VLOOKUP($H87,Lists!$P$3:$Q$7,2),IF($N87=Lists!$K$3,IF($L87&lt;1,(($U87/$L87)*((1+Inputs!$D$7)^AK$2)),((INT(AK$2/$L87)-INT((AK$2-1)/$L87))*$U87*((1+Inputs!$D$7)^AK$2))),(_xlfn.WEIBULL.DIST(AK$2,$M87,$L87,FALSE)*$U87*((1+Inputs!$D$7)^AK$2))),IF($N87=Lists!$K$3,IF($L87&lt;1,((($T87*(1-$F87)+$S87*(1-$G87))/$L87)*((1+Inputs!$D$7)^AK$2)),((INT(AK$2/$L87)-INT((AK$2-1)/$L87))*($T87*(1-$F87)+$S87*(1-$G87))*((1+Inputs!$D$7)^AK$2))),((_xlfn.WEIBULL.DIST(AK$2,$M87,$L87,FALSE)*($T87*(1-$F87)+$S87*(1-$G87))*((1+Inputs!$D$7)^AK$2))))))</f>
        <v>39.802922271373987</v>
      </c>
      <c r="AL87" s="88">
        <f>$E87*IF(AL$2&gt;Inputs!$D$5,0,IF(AL$2&gt;VLOOKUP($H87,Lists!$P$3:$Q$7,2),IF($N87=Lists!$K$3,IF($L87&lt;1,(($U87/$L87)*((1+Inputs!$D$7)^AL$2)),((INT(AL$2/$L87)-INT((AL$2-1)/$L87))*$U87*((1+Inputs!$D$7)^AL$2))),(_xlfn.WEIBULL.DIST(AL$2,$M87,$L87,FALSE)*$U87*((1+Inputs!$D$7)^AL$2))),IF($N87=Lists!$K$3,IF($L87&lt;1,((($T87*(1-$F87)+$S87*(1-$G87))/$L87)*((1+Inputs!$D$7)^AL$2)),((INT(AL$2/$L87)-INT((AL$2-1)/$L87))*($T87*(1-$F87)+$S87*(1-$G87))*((1+Inputs!$D$7)^AL$2))),((_xlfn.WEIBULL.DIST(AL$2,$M87,$L87,FALSE)*($T87*(1-$F87)+$S87*(1-$G87))*((1+Inputs!$D$7)^AL$2))))))</f>
        <v>40.598980716801471</v>
      </c>
      <c r="AM87" s="88">
        <f>$E87*IF(AM$2&gt;Inputs!$D$5,0,IF(AM$2&gt;VLOOKUP($H87,Lists!$P$3:$Q$7,2),IF($N87=Lists!$K$3,IF($L87&lt;1,(($U87/$L87)*((1+Inputs!$D$7)^AM$2)),((INT(AM$2/$L87)-INT((AM$2-1)/$L87))*$U87*((1+Inputs!$D$7)^AM$2))),(_xlfn.WEIBULL.DIST(AM$2,$M87,$L87,FALSE)*$U87*((1+Inputs!$D$7)^AM$2))),IF($N87=Lists!$K$3,IF($L87&lt;1,((($T87*(1-$F87)+$S87*(1-$G87))/$L87)*((1+Inputs!$D$7)^AM$2)),((INT(AM$2/$L87)-INT((AM$2-1)/$L87))*($T87*(1-$F87)+$S87*(1-$G87))*((1+Inputs!$D$7)^AM$2))),((_xlfn.WEIBULL.DIST(AM$2,$M87,$L87,FALSE)*($T87*(1-$F87)+$S87*(1-$G87))*((1+Inputs!$D$7)^AM$2))))))</f>
        <v>41.410960331137503</v>
      </c>
      <c r="AN87" s="88">
        <f>$E87*IF(AN$2&gt;Inputs!$D$5,0,IF(AN$2&gt;VLOOKUP($H87,Lists!$P$3:$Q$7,2),IF($N87=Lists!$K$3,IF($L87&lt;1,(($U87/$L87)*((1+Inputs!$D$7)^AN$2)),((INT(AN$2/$L87)-INT((AN$2-1)/$L87))*$U87*((1+Inputs!$D$7)^AN$2))),(_xlfn.WEIBULL.DIST(AN$2,$M87,$L87,FALSE)*$U87*((1+Inputs!$D$7)^AN$2))),IF($N87=Lists!$K$3,IF($L87&lt;1,((($T87*(1-$F87)+$S87*(1-$G87))/$L87)*((1+Inputs!$D$7)^AN$2)),((INT(AN$2/$L87)-INT((AN$2-1)/$L87))*($T87*(1-$F87)+$S87*(1-$G87))*((1+Inputs!$D$7)^AN$2))),((_xlfn.WEIBULL.DIST(AN$2,$M87,$L87,FALSE)*($T87*(1-$F87)+$S87*(1-$G87))*((1+Inputs!$D$7)^AN$2))))))</f>
        <v>42.239179537760258</v>
      </c>
      <c r="AO87" s="88">
        <f>$E87*IF(AO$2&gt;Inputs!$D$5,0,IF(AO$2&gt;VLOOKUP($H87,Lists!$P$3:$Q$7,2),IF($N87=Lists!$K$3,IF($L87&lt;1,(($U87/$L87)*((1+Inputs!$D$7)^AO$2)),((INT(AO$2/$L87)-INT((AO$2-1)/$L87))*$U87*((1+Inputs!$D$7)^AO$2))),(_xlfn.WEIBULL.DIST(AO$2,$M87,$L87,FALSE)*$U87*((1+Inputs!$D$7)^AO$2))),IF($N87=Lists!$K$3,IF($L87&lt;1,((($T87*(1-$F87)+$S87*(1-$G87))/$L87)*((1+Inputs!$D$7)^AO$2)),((INT(AO$2/$L87)-INT((AO$2-1)/$L87))*($T87*(1-$F87)+$S87*(1-$G87))*((1+Inputs!$D$7)^AO$2))),((_xlfn.WEIBULL.DIST(AO$2,$M87,$L87,FALSE)*($T87*(1-$F87)+$S87*(1-$G87))*((1+Inputs!$D$7)^AO$2))))))</f>
        <v>43.08396312851545</v>
      </c>
      <c r="AP87" s="88">
        <f>$E87*IF(AP$2&gt;Inputs!$D$5,0,IF(AP$2&gt;VLOOKUP($H87,Lists!$P$3:$Q$7,2),IF($N87=Lists!$K$3,IF($L87&lt;1,(($U87/$L87)*((1+Inputs!$D$7)^AP$2)),((INT(AP$2/$L87)-INT((AP$2-1)/$L87))*$U87*((1+Inputs!$D$7)^AP$2))),(_xlfn.WEIBULL.DIST(AP$2,$M87,$L87,FALSE)*$U87*((1+Inputs!$D$7)^AP$2))),IF($N87=Lists!$K$3,IF($L87&lt;1,((($T87*(1-$F87)+$S87*(1-$G87))/$L87)*((1+Inputs!$D$7)^AP$2)),((INT(AP$2/$L87)-INT((AP$2-1)/$L87))*($T87*(1-$F87)+$S87*(1-$G87))*((1+Inputs!$D$7)^AP$2))),((_xlfn.WEIBULL.DIST(AP$2,$M87,$L87,FALSE)*($T87*(1-$F87)+$S87*(1-$G87))*((1+Inputs!$D$7)^AP$2))))))</f>
        <v>43.945642391085762</v>
      </c>
      <c r="AQ87" s="88">
        <f>$E87*IF(AQ$2&gt;Inputs!$D$5,0,IF(AQ$2&gt;VLOOKUP($H87,Lists!$P$3:$Q$7,2),IF($N87=Lists!$K$3,IF($L87&lt;1,(($U87/$L87)*((1+Inputs!$D$7)^AQ$2)),((INT(AQ$2/$L87)-INT((AQ$2-1)/$L87))*$U87*((1+Inputs!$D$7)^AQ$2))),(_xlfn.WEIBULL.DIST(AQ$2,$M87,$L87,FALSE)*$U87*((1+Inputs!$D$7)^AQ$2))),IF($N87=Lists!$K$3,IF($L87&lt;1,((($T87*(1-$F87)+$S87*(1-$G87))/$L87)*((1+Inputs!$D$7)^AQ$2)),((INT(AQ$2/$L87)-INT((AQ$2-1)/$L87))*($T87*(1-$F87)+$S87*(1-$G87))*((1+Inputs!$D$7)^AQ$2))),((_xlfn.WEIBULL.DIST(AQ$2,$M87,$L87,FALSE)*($T87*(1-$F87)+$S87*(1-$G87))*((1+Inputs!$D$7)^AQ$2))))))</f>
        <v>44.824555238907486</v>
      </c>
      <c r="AR87" s="88">
        <f>$E87*IF(AR$2&gt;Inputs!$D$5,0,IF(AR$2&gt;VLOOKUP($H87,Lists!$P$3:$Q$7,2),IF($N87=Lists!$K$3,IF($L87&lt;1,(($U87/$L87)*((1+Inputs!$D$7)^AR$2)),((INT(AR$2/$L87)-INT((AR$2-1)/$L87))*$U87*((1+Inputs!$D$7)^AR$2))),(_xlfn.WEIBULL.DIST(AR$2,$M87,$L87,FALSE)*$U87*((1+Inputs!$D$7)^AR$2))),IF($N87=Lists!$K$3,IF($L87&lt;1,((($T87*(1-$F87)+$S87*(1-$G87))/$L87)*((1+Inputs!$D$7)^AR$2)),((INT(AR$2/$L87)-INT((AR$2-1)/$L87))*($T87*(1-$F87)+$S87*(1-$G87))*((1+Inputs!$D$7)^AR$2))),((_xlfn.WEIBULL.DIST(AR$2,$M87,$L87,FALSE)*($T87*(1-$F87)+$S87*(1-$G87))*((1+Inputs!$D$7)^AR$2))))))</f>
        <v>45.721046343685629</v>
      </c>
      <c r="AS87" s="88">
        <f>$E87*IF(AS$2&gt;Inputs!$D$5,0,IF(AS$2&gt;VLOOKUP($H87,Lists!$P$3:$Q$7,2),IF($N87=Lists!$K$3,IF($L87&lt;1,(($U87/$L87)*((1+Inputs!$D$7)^AS$2)),((INT(AS$2/$L87)-INT((AS$2-1)/$L87))*$U87*((1+Inputs!$D$7)^AS$2))),(_xlfn.WEIBULL.DIST(AS$2,$M87,$L87,FALSE)*$U87*((1+Inputs!$D$7)^AS$2))),IF($N87=Lists!$K$3,IF($L87&lt;1,((($T87*(1-$F87)+$S87*(1-$G87))/$L87)*((1+Inputs!$D$7)^AS$2)),((INT(AS$2/$L87)-INT((AS$2-1)/$L87))*($T87*(1-$F87)+$S87*(1-$G87))*((1+Inputs!$D$7)^AS$2))),((_xlfn.WEIBULL.DIST(AS$2,$M87,$L87,FALSE)*($T87*(1-$F87)+$S87*(1-$G87))*((1+Inputs!$D$7)^AS$2))))))</f>
        <v>46.635467270559339</v>
      </c>
      <c r="AT87" s="88">
        <f>$E87*IF(AT$2&gt;Inputs!$D$5,0,IF(AT$2&gt;VLOOKUP($H87,Lists!$P$3:$Q$7,2),IF($N87=Lists!$K$3,IF($L87&lt;1,(($U87/$L87)*((1+Inputs!$D$7)^AT$2)),((INT(AT$2/$L87)-INT((AT$2-1)/$L87))*$U87*((1+Inputs!$D$7)^AT$2))),(_xlfn.WEIBULL.DIST(AT$2,$M87,$L87,FALSE)*$U87*((1+Inputs!$D$7)^AT$2))),IF($N87=Lists!$K$3,IF($L87&lt;1,((($T87*(1-$F87)+$S87*(1-$G87))/$L87)*((1+Inputs!$D$7)^AT$2)),((INT(AT$2/$L87)-INT((AT$2-1)/$L87))*($T87*(1-$F87)+$S87*(1-$G87))*((1+Inputs!$D$7)^AT$2))),((_xlfn.WEIBULL.DIST(AT$2,$M87,$L87,FALSE)*($T87*(1-$F87)+$S87*(1-$G87))*((1+Inputs!$D$7)^AT$2))))))</f>
        <v>47.568176615970529</v>
      </c>
      <c r="AU87" s="88">
        <f>$E87*IF(AU$2&gt;Inputs!$D$5,0,IF(AU$2&gt;VLOOKUP($H87,Lists!$P$3:$Q$7,2),IF($N87=Lists!$K$3,IF($L87&lt;1,(($U87/$L87)*((1+Inputs!$D$7)^AU$2)),((INT(AU$2/$L87)-INT((AU$2-1)/$L87))*$U87*((1+Inputs!$D$7)^AU$2))),(_xlfn.WEIBULL.DIST(AU$2,$M87,$L87,FALSE)*$U87*((1+Inputs!$D$7)^AU$2))),IF($N87=Lists!$K$3,IF($L87&lt;1,((($T87*(1-$F87)+$S87*(1-$G87))/$L87)*((1+Inputs!$D$7)^AU$2)),((INT(AU$2/$L87)-INT((AU$2-1)/$L87))*($T87*(1-$F87)+$S87*(1-$G87))*((1+Inputs!$D$7)^AU$2))),((_xlfn.WEIBULL.DIST(AU$2,$M87,$L87,FALSE)*($T87*(1-$F87)+$S87*(1-$G87))*((1+Inputs!$D$7)^AU$2))))))</f>
        <v>48.519540148289934</v>
      </c>
      <c r="AV87" s="88">
        <f>$E87*IF(AV$2&gt;Inputs!$D$5,0,IF(AV$2&gt;VLOOKUP($H87,Lists!$P$3:$Q$7,2),IF($N87=Lists!$K$3,IF($L87&lt;1,(($U87/$L87)*((1+Inputs!$D$7)^AV$2)),((INT(AV$2/$L87)-INT((AV$2-1)/$L87))*$U87*((1+Inputs!$D$7)^AV$2))),(_xlfn.WEIBULL.DIST(AV$2,$M87,$L87,FALSE)*$U87*((1+Inputs!$D$7)^AV$2))),IF($N87=Lists!$K$3,IF($L87&lt;1,((($T87*(1-$F87)+$S87*(1-$G87))/$L87)*((1+Inputs!$D$7)^AV$2)),((INT(AV$2/$L87)-INT((AV$2-1)/$L87))*($T87*(1-$F87)+$S87*(1-$G87))*((1+Inputs!$D$7)^AV$2))),((_xlfn.WEIBULL.DIST(AV$2,$M87,$L87,FALSE)*($T87*(1-$F87)+$S87*(1-$G87))*((1+Inputs!$D$7)^AV$2))))))</f>
        <v>49.489930951255737</v>
      </c>
      <c r="AW87" s="88">
        <f>$E87*IF(AW$2&gt;Inputs!$D$5,0,IF(AW$2&gt;VLOOKUP($H87,Lists!$P$3:$Q$7,2),IF($N87=Lists!$K$3,IF($L87&lt;1,(($U87/$L87)*((1+Inputs!$D$7)^AW$2)),((INT(AW$2/$L87)-INT((AW$2-1)/$L87))*$U87*((1+Inputs!$D$7)^AW$2))),(_xlfn.WEIBULL.DIST(AW$2,$M87,$L87,FALSE)*$U87*((1+Inputs!$D$7)^AW$2))),IF($N87=Lists!$K$3,IF($L87&lt;1,((($T87*(1-$F87)+$S87*(1-$G87))/$L87)*((1+Inputs!$D$7)^AW$2)),((INT(AW$2/$L87)-INT((AW$2-1)/$L87))*($T87*(1-$F87)+$S87*(1-$G87))*((1+Inputs!$D$7)^AW$2))),((_xlfn.WEIBULL.DIST(AW$2,$M87,$L87,FALSE)*($T87*(1-$F87)+$S87*(1-$G87))*((1+Inputs!$D$7)^AW$2))))))</f>
        <v>50.479729570280846</v>
      </c>
      <c r="AX87" s="88">
        <f>$E87*IF(AX$2&gt;Inputs!$D$5,0,IF(AX$2&gt;VLOOKUP($H87,Lists!$P$3:$Q$7,2),IF($N87=Lists!$K$3,IF($L87&lt;1,(($U87/$L87)*((1+Inputs!$D$7)^AX$2)),((INT(AX$2/$L87)-INT((AX$2-1)/$L87))*$U87*((1+Inputs!$D$7)^AX$2))),(_xlfn.WEIBULL.DIST(AX$2,$M87,$L87,FALSE)*$U87*((1+Inputs!$D$7)^AX$2))),IF($N87=Lists!$K$3,IF($L87&lt;1,((($T87*(1-$F87)+$S87*(1-$G87))/$L87)*((1+Inputs!$D$7)^AX$2)),((INT(AX$2/$L87)-INT((AX$2-1)/$L87))*($T87*(1-$F87)+$S87*(1-$G87))*((1+Inputs!$D$7)^AX$2))),((_xlfn.WEIBULL.DIST(AX$2,$M87,$L87,FALSE)*($T87*(1-$F87)+$S87*(1-$G87))*((1+Inputs!$D$7)^AX$2))))))</f>
        <v>51.489324161686461</v>
      </c>
      <c r="AY87" s="88">
        <f>$E87*IF(AY$2&gt;Inputs!$D$5,0,IF(AY$2&gt;VLOOKUP($H87,Lists!$P$3:$Q$7,2),IF($N87=Lists!$K$3,IF($L87&lt;1,(($U87/$L87)*((1+Inputs!$D$7)^AY$2)),((INT(AY$2/$L87)-INT((AY$2-1)/$L87))*$U87*((1+Inputs!$D$7)^AY$2))),(_xlfn.WEIBULL.DIST(AY$2,$M87,$L87,FALSE)*$U87*((1+Inputs!$D$7)^AY$2))),IF($N87=Lists!$K$3,IF($L87&lt;1,((($T87*(1-$F87)+$S87*(1-$G87))/$L87)*((1+Inputs!$D$7)^AY$2)),((INT(AY$2/$L87)-INT((AY$2-1)/$L87))*($T87*(1-$F87)+$S87*(1-$G87))*((1+Inputs!$D$7)^AY$2))),((_xlfn.WEIBULL.DIST(AY$2,$M87,$L87,FALSE)*($T87*(1-$F87)+$S87*(1-$G87))*((1+Inputs!$D$7)^AY$2))))))</f>
        <v>52.51911064492019</v>
      </c>
      <c r="AZ87" s="88">
        <f>$E87*IF(AZ$2&gt;Inputs!$D$5,0,IF(AZ$2&gt;VLOOKUP($H87,Lists!$P$3:$Q$7,2),IF($N87=Lists!$K$3,IF($L87&lt;1,(($U87/$L87)*((1+Inputs!$D$7)^AZ$2)),((INT(AZ$2/$L87)-INT((AZ$2-1)/$L87))*$U87*((1+Inputs!$D$7)^AZ$2))),(_xlfn.WEIBULL.DIST(AZ$2,$M87,$L87,FALSE)*$U87*((1+Inputs!$D$7)^AZ$2))),IF($N87=Lists!$K$3,IF($L87&lt;1,((($T87*(1-$F87)+$S87*(1-$G87))/$L87)*((1+Inputs!$D$7)^AZ$2)),((INT(AZ$2/$L87)-INT((AZ$2-1)/$L87))*($T87*(1-$F87)+$S87*(1-$G87))*((1+Inputs!$D$7)^AZ$2))),((_xlfn.WEIBULL.DIST(AZ$2,$M87,$L87,FALSE)*($T87*(1-$F87)+$S87*(1-$G87))*((1+Inputs!$D$7)^AZ$2))))))</f>
        <v>0</v>
      </c>
      <c r="BA87" s="88">
        <f>$E87*IF(BA$2&gt;Inputs!$D$5,0,IF(BA$2&gt;VLOOKUP($H87,Lists!$P$3:$Q$7,2),IF($N87=Lists!$K$3,IF($L87&lt;1,(($U87/$L87)*((1+Inputs!$D$7)^BA$2)),((INT(BA$2/$L87)-INT((BA$2-1)/$L87))*$U87*((1+Inputs!$D$7)^BA$2))),(_xlfn.WEIBULL.DIST(BA$2,$M87,$L87,FALSE)*$U87*((1+Inputs!$D$7)^BA$2))),IF($N87=Lists!$K$3,IF($L87&lt;1,((($T87*(1-$F87)+$S87*(1-$G87))/$L87)*((1+Inputs!$D$7)^BA$2)),((INT(BA$2/$L87)-INT((BA$2-1)/$L87))*($T87*(1-$F87)+$S87*(1-$G87))*((1+Inputs!$D$7)^BA$2))),((_xlfn.WEIBULL.DIST(BA$2,$M87,$L87,FALSE)*($T87*(1-$F87)+$S87*(1-$G87))*((1+Inputs!$D$7)^BA$2))))))</f>
        <v>0</v>
      </c>
      <c r="BB87" s="88">
        <f>$E87*IF(BB$2&gt;Inputs!$D$5,0,IF(BB$2&gt;VLOOKUP($H87,Lists!$P$3:$Q$7,2),IF($N87=Lists!$K$3,IF($L87&lt;1,(($U87/$L87)*((1+Inputs!$D$7)^BB$2)),((INT(BB$2/$L87)-INT((BB$2-1)/$L87))*$U87*((1+Inputs!$D$7)^BB$2))),(_xlfn.WEIBULL.DIST(BB$2,$M87,$L87,FALSE)*$U87*((1+Inputs!$D$7)^BB$2))),IF($N87=Lists!$K$3,IF($L87&lt;1,((($T87*(1-$F87)+$S87*(1-$G87))/$L87)*((1+Inputs!$D$7)^BB$2)),((INT(BB$2/$L87)-INT((BB$2-1)/$L87))*($T87*(1-$F87)+$S87*(1-$G87))*((1+Inputs!$D$7)^BB$2))),((_xlfn.WEIBULL.DIST(BB$2,$M87,$L87,FALSE)*($T87*(1-$F87)+$S87*(1-$G87))*((1+Inputs!$D$7)^BB$2))))))</f>
        <v>0</v>
      </c>
      <c r="BC87" s="88">
        <f>$E87*IF(BC$2&gt;Inputs!$D$5,0,IF(BC$2&gt;VLOOKUP($H87,Lists!$P$3:$Q$7,2),IF($N87=Lists!$K$3,IF($L87&lt;1,(($U87/$L87)*((1+Inputs!$D$7)^BC$2)),((INT(BC$2/$L87)-INT((BC$2-1)/$L87))*$U87*((1+Inputs!$D$7)^BC$2))),(_xlfn.WEIBULL.DIST(BC$2,$M87,$L87,FALSE)*$U87*((1+Inputs!$D$7)^BC$2))),IF($N87=Lists!$K$3,IF($L87&lt;1,((($T87*(1-$F87)+$S87*(1-$G87))/$L87)*((1+Inputs!$D$7)^BC$2)),((INT(BC$2/$L87)-INT((BC$2-1)/$L87))*($T87*(1-$F87)+$S87*(1-$G87))*((1+Inputs!$D$7)^BC$2))),((_xlfn.WEIBULL.DIST(BC$2,$M87,$L87,FALSE)*($T87*(1-$F87)+$S87*(1-$G87))*((1+Inputs!$D$7)^BC$2))))))</f>
        <v>0</v>
      </c>
      <c r="BD87" s="88">
        <f>$E87*IF(BD$2&gt;Inputs!$D$5,0,IF(BD$2&gt;VLOOKUP($H87,Lists!$P$3:$Q$7,2),IF($N87=Lists!$K$3,IF($L87&lt;1,(($U87/$L87)*((1+Inputs!$D$7)^BD$2)),((INT(BD$2/$L87)-INT((BD$2-1)/$L87))*$U87*((1+Inputs!$D$7)^BD$2))),(_xlfn.WEIBULL.DIST(BD$2,$M87,$L87,FALSE)*$U87*((1+Inputs!$D$7)^BD$2))),IF($N87=Lists!$K$3,IF($L87&lt;1,((($T87*(1-$F87)+$S87*(1-$G87))/$L87)*((1+Inputs!$D$7)^BD$2)),((INT(BD$2/$L87)-INT((BD$2-1)/$L87))*($T87*(1-$F87)+$S87*(1-$G87))*((1+Inputs!$D$7)^BD$2))),((_xlfn.WEIBULL.DIST(BD$2,$M87,$L87,FALSE)*($T87*(1-$F87)+$S87*(1-$G87))*((1+Inputs!$D$7)^BD$2))))))</f>
        <v>0</v>
      </c>
      <c r="BE87" s="88">
        <f>$E87*IF(BE$2&gt;Inputs!$D$5,0,IF(BE$2&gt;VLOOKUP($H87,Lists!$P$3:$Q$7,2),IF($N87=Lists!$K$3,IF($L87&lt;1,(($U87/$L87)*((1+Inputs!$D$7)^BE$2)),((INT(BE$2/$L87)-INT((BE$2-1)/$L87))*$U87*((1+Inputs!$D$7)^BE$2))),(_xlfn.WEIBULL.DIST(BE$2,$M87,$L87,FALSE)*$U87*((1+Inputs!$D$7)^BE$2))),IF($N87=Lists!$K$3,IF($L87&lt;1,((($T87*(1-$F87)+$S87*(1-$G87))/$L87)*((1+Inputs!$D$7)^BE$2)),((INT(BE$2/$L87)-INT((BE$2-1)/$L87))*($T87*(1-$F87)+$S87*(1-$G87))*((1+Inputs!$D$7)^BE$2))),((_xlfn.WEIBULL.DIST(BE$2,$M87,$L87,FALSE)*($T87*(1-$F87)+$S87*(1-$G87))*((1+Inputs!$D$7)^BE$2))))))</f>
        <v>0</v>
      </c>
      <c r="BF87" s="88">
        <f>$E87*IF(BF$2&gt;Inputs!$D$5,0,IF(BF$2&gt;VLOOKUP($H87,Lists!$P$3:$Q$7,2),IF($N87=Lists!$K$3,IF($L87&lt;1,(($U87/$L87)*((1+Inputs!$D$7)^BF$2)),((INT(BF$2/$L87)-INT((BF$2-1)/$L87))*$U87*((1+Inputs!$D$7)^BF$2))),(_xlfn.WEIBULL.DIST(BF$2,$M87,$L87,FALSE)*$U87*((1+Inputs!$D$7)^BF$2))),IF($N87=Lists!$K$3,IF($L87&lt;1,((($T87*(1-$F87)+$S87*(1-$G87))/$L87)*((1+Inputs!$D$7)^BF$2)),((INT(BF$2/$L87)-INT((BF$2-1)/$L87))*($T87*(1-$F87)+$S87*(1-$G87))*((1+Inputs!$D$7)^BF$2))),((_xlfn.WEIBULL.DIST(BF$2,$M87,$L87,FALSE)*($T87*(1-$F87)+$S87*(1-$G87))*((1+Inputs!$D$7)^BF$2))))))</f>
        <v>0</v>
      </c>
      <c r="BG87" s="88">
        <f>$E87*IF(BG$2&gt;Inputs!$D$5,0,IF(BG$2&gt;VLOOKUP($H87,Lists!$P$3:$Q$7,2),IF($N87=Lists!$K$3,IF($L87&lt;1,(($U87/$L87)*((1+Inputs!$D$7)^BG$2)),((INT(BG$2/$L87)-INT((BG$2-1)/$L87))*$U87*((1+Inputs!$D$7)^BG$2))),(_xlfn.WEIBULL.DIST(BG$2,$M87,$L87,FALSE)*$U87*((1+Inputs!$D$7)^BG$2))),IF($N87=Lists!$K$3,IF($L87&lt;1,((($T87*(1-$F87)+$S87*(1-$G87))/$L87)*((1+Inputs!$D$7)^BG$2)),((INT(BG$2/$L87)-INT((BG$2-1)/$L87))*($T87*(1-$F87)+$S87*(1-$G87))*((1+Inputs!$D$7)^BG$2))),((_xlfn.WEIBULL.DIST(BG$2,$M87,$L87,FALSE)*($T87*(1-$F87)+$S87*(1-$G87))*((1+Inputs!$D$7)^BG$2))))))</f>
        <v>0</v>
      </c>
      <c r="BH87" s="88">
        <f>$E87*IF(BH$2&gt;Inputs!$D$5,0,IF(BH$2&gt;VLOOKUP($H87,Lists!$P$3:$Q$7,2),IF($N87=Lists!$K$3,IF($L87&lt;1,(($U87/$L87)*((1+Inputs!$D$7)^BH$2)),((INT(BH$2/$L87)-INT((BH$2-1)/$L87))*$U87*((1+Inputs!$D$7)^BH$2))),(_xlfn.WEIBULL.DIST(BH$2,$M87,$L87,FALSE)*$U87*((1+Inputs!$D$7)^BH$2))),IF($N87=Lists!$K$3,IF($L87&lt;1,((($T87*(1-$F87)+$S87*(1-$G87))/$L87)*((1+Inputs!$D$7)^BH$2)),((INT(BH$2/$L87)-INT((BH$2-1)/$L87))*($T87*(1-$F87)+$S87*(1-$G87))*((1+Inputs!$D$7)^BH$2))),((_xlfn.WEIBULL.DIST(BH$2,$M87,$L87,FALSE)*($T87*(1-$F87)+$S87*(1-$G87))*((1+Inputs!$D$7)^BH$2))))))</f>
        <v>0</v>
      </c>
      <c r="BI87" s="88">
        <f>$E87*IF(BI$2&gt;Inputs!$D$5,0,IF(BI$2&gt;VLOOKUP($H87,Lists!$P$3:$Q$7,2),IF($N87=Lists!$K$3,IF($L87&lt;1,(($U87/$L87)*((1+Inputs!$D$7)^BI$2)),((INT(BI$2/$L87)-INT((BI$2-1)/$L87))*$U87*((1+Inputs!$D$7)^BI$2))),(_xlfn.WEIBULL.DIST(BI$2,$M87,$L87,FALSE)*$U87*((1+Inputs!$D$7)^BI$2))),IF($N87=Lists!$K$3,IF($L87&lt;1,((($T87*(1-$F87)+$S87*(1-$G87))/$L87)*((1+Inputs!$D$7)^BI$2)),((INT(BI$2/$L87)-INT((BI$2-1)/$L87))*($T87*(1-$F87)+$S87*(1-$G87))*((1+Inputs!$D$7)^BI$2))),((_xlfn.WEIBULL.DIST(BI$2,$M87,$L87,FALSE)*($T87*(1-$F87)+$S87*(1-$G87))*((1+Inputs!$D$7)^BI$2))))))</f>
        <v>0</v>
      </c>
      <c r="BJ87" s="88">
        <f>$E87*IF(BJ$2&gt;Inputs!$D$5,0,IF(BJ$2&gt;VLOOKUP($H87,Lists!$P$3:$Q$7,2),IF($N87=Lists!$K$3,IF($L87&lt;1,(($U87/$L87)*((1+Inputs!$D$7)^BJ$2)),((INT(BJ$2/$L87)-INT((BJ$2-1)/$L87))*$U87*((1+Inputs!$D$7)^BJ$2))),(_xlfn.WEIBULL.DIST(BJ$2,$M87,$L87,FALSE)*$U87*((1+Inputs!$D$7)^BJ$2))),IF($N87=Lists!$K$3,IF($L87&lt;1,((($T87*(1-$F87)+$S87*(1-$G87))/$L87)*((1+Inputs!$D$7)^BJ$2)),((INT(BJ$2/$L87)-INT((BJ$2-1)/$L87))*($T87*(1-$F87)+$S87*(1-$G87))*((1+Inputs!$D$7)^BJ$2))),((_xlfn.WEIBULL.DIST(BJ$2,$M87,$L87,FALSE)*($T87*(1-$F87)+$S87*(1-$G87))*((1+Inputs!$D$7)^BJ$2))))))</f>
        <v>0</v>
      </c>
      <c r="BK87" s="88">
        <f>$E87*IF(BK$2&gt;Inputs!$D$5,0,IF(BK$2&gt;VLOOKUP($H87,Lists!$P$3:$Q$7,2),IF($N87=Lists!$K$3,IF($L87&lt;1,(($U87/$L87)*((1+Inputs!$D$7)^BK$2)),((INT(BK$2/$L87)-INT((BK$2-1)/$L87))*$U87*((1+Inputs!$D$7)^BK$2))),(_xlfn.WEIBULL.DIST(BK$2,$M87,$L87,FALSE)*$U87*((1+Inputs!$D$7)^BK$2))),IF($N87=Lists!$K$3,IF($L87&lt;1,((($T87*(1-$F87)+$S87*(1-$G87))/$L87)*((1+Inputs!$D$7)^BK$2)),((INT(BK$2/$L87)-INT((BK$2-1)/$L87))*($T87*(1-$F87)+$S87*(1-$G87))*((1+Inputs!$D$7)^BK$2))),((_xlfn.WEIBULL.DIST(BK$2,$M87,$L87,FALSE)*($T87*(1-$F87)+$S87*(1-$G87))*((1+Inputs!$D$7)^BK$2))))))</f>
        <v>0</v>
      </c>
      <c r="BL87" s="88">
        <f>$E87*IF(BL$2&gt;Inputs!$D$5,0,IF(BL$2&gt;VLOOKUP($H87,Lists!$P$3:$Q$7,2),IF($N87=Lists!$K$3,IF($L87&lt;1,(($U87/$L87)*((1+Inputs!$D$7)^BL$2)),((INT(BL$2/$L87)-INT((BL$2-1)/$L87))*$U87*((1+Inputs!$D$7)^BL$2))),(_xlfn.WEIBULL.DIST(BL$2,$M87,$L87,FALSE)*$U87*((1+Inputs!$D$7)^BL$2))),IF($N87=Lists!$K$3,IF($L87&lt;1,((($T87*(1-$F87)+$S87*(1-$G87))/$L87)*((1+Inputs!$D$7)^BL$2)),((INT(BL$2/$L87)-INT((BL$2-1)/$L87))*($T87*(1-$F87)+$S87*(1-$G87))*((1+Inputs!$D$7)^BL$2))),((_xlfn.WEIBULL.DIST(BL$2,$M87,$L87,FALSE)*($T87*(1-$F87)+$S87*(1-$G87))*((1+Inputs!$D$7)^BL$2))))))</f>
        <v>0</v>
      </c>
      <c r="BM87" s="88">
        <f>$E87*IF(BM$2&gt;Inputs!$D$5,0,IF(BM$2&gt;VLOOKUP($H87,Lists!$P$3:$Q$7,2),IF($N87=Lists!$K$3,IF($L87&lt;1,(($U87/$L87)*((1+Inputs!$D$7)^BM$2)),((INT(BM$2/$L87)-INT((BM$2-1)/$L87))*$U87*((1+Inputs!$D$7)^BM$2))),(_xlfn.WEIBULL.DIST(BM$2,$M87,$L87,FALSE)*$U87*((1+Inputs!$D$7)^BM$2))),IF($N87=Lists!$K$3,IF($L87&lt;1,((($T87*(1-$F87)+$S87*(1-$G87))/$L87)*((1+Inputs!$D$7)^BM$2)),((INT(BM$2/$L87)-INT((BM$2-1)/$L87))*($T87*(1-$F87)+$S87*(1-$G87))*((1+Inputs!$D$7)^BM$2))),((_xlfn.WEIBULL.DIST(BM$2,$M87,$L87,FALSE)*($T87*(1-$F87)+$S87*(1-$G87))*((1+Inputs!$D$7)^BM$2))))))</f>
        <v>0</v>
      </c>
      <c r="BN87" s="88">
        <f>$E87*IF(BN$2&gt;Inputs!$D$5,0,IF(BN$2&gt;VLOOKUP($H87,Lists!$P$3:$Q$7,2),IF($N87=Lists!$K$3,IF($L87&lt;1,(($U87/$L87)*((1+Inputs!$D$7)^BN$2)),((INT(BN$2/$L87)-INT((BN$2-1)/$L87))*$U87*((1+Inputs!$D$7)^BN$2))),(_xlfn.WEIBULL.DIST(BN$2,$M87,$L87,FALSE)*$U87*((1+Inputs!$D$7)^BN$2))),IF($N87=Lists!$K$3,IF($L87&lt;1,((($T87*(1-$F87)+$S87*(1-$G87))/$L87)*((1+Inputs!$D$7)^BN$2)),((INT(BN$2/$L87)-INT((BN$2-1)/$L87))*($T87*(1-$F87)+$S87*(1-$G87))*((1+Inputs!$D$7)^BN$2))),((_xlfn.WEIBULL.DIST(BN$2,$M87,$L87,FALSE)*($T87*(1-$F87)+$S87*(1-$G87))*((1+Inputs!$D$7)^BN$2))))))</f>
        <v>0</v>
      </c>
      <c r="BO87" s="64">
        <f>NPV(Inputs!$D$6,BQ87:DD87)</f>
        <v>425.12636183929271</v>
      </c>
      <c r="BP87" s="67">
        <f t="shared" si="20"/>
        <v>2.0051034721335235E-4</v>
      </c>
      <c r="BQ87" s="88">
        <f>MAX(AA87,($E87*IF(BQ$2&gt;Inputs!$D$5,0,IF(BQ$2&gt;VLOOKUP($H87,Lists!$P$3:$Q$7,2),IF($N87=Lists!$K$3,IF($L87&lt;1,(($U87/$L87)*((1+Inputs!$D$7)^BQ$2)),((INT(BQ$2/$L87)-INT((BQ$2-1)/$L87))*$U87*((1+Inputs!$D$7)^BQ$2))),(Inputs!$D$8^((1-_xlfn.WEIBULL.DIST(BQ$2,$M87,$L87,FALSE))/_xlfn.WEIBULL.DIST(BQ$2,$M87,$L87,FALSE))*$U87*((1+Inputs!$D$7)^BQ$2))),IF($N87=Lists!$K$3,IF($L87&lt;1,((($T87*(1-$F87)+$S87*(1-$G87))/$L87)*((1+Inputs!$D$7)^BQ$2)),((INT(BQ$2/$L87)-INT((BQ$2-1)/$L87))*($T87*(1-$F87)+$S87*(1-$G87))*((1+Inputs!$D$7)^BQ$2))),((Inputs!$D$8^((1-_xlfn.WEIBULL.DIST(BQ$2,$M87,$L87,FALSE))/_xlfn.WEIBULL.DIST(BQ$2,$M87,$L87,FALSE))*($T87*(1-$F87)+$S87*(1-$G87))*((1+Inputs!$D$7)^BQ$2))))))))</f>
        <v>0</v>
      </c>
      <c r="BR87" s="88">
        <f>MAX(AB87,($E87*IF(BR$2&gt;Inputs!$D$5,0,IF(BR$2&gt;VLOOKUP($H87,Lists!$P$3:$Q$7,2),IF($N87=Lists!$K$3,IF($L87&lt;1,(($U87/$L87)*((1+Inputs!$D$7)^BR$2)),((INT(BR$2/$L87)-INT((BR$2-1)/$L87))*$U87*((1+Inputs!$D$7)^BR$2))),(Inputs!$D$8^((1-_xlfn.WEIBULL.DIST(BR$2,$M87,$L87,FALSE))/_xlfn.WEIBULL.DIST(BR$2,$M87,$L87,FALSE))*$U87*((1+Inputs!$D$7)^BR$2))),IF($N87=Lists!$K$3,IF($L87&lt;1,((($T87*(1-$F87)+$S87*(1-$G87))/$L87)*((1+Inputs!$D$7)^BR$2)),((INT(BR$2/$L87)-INT((BR$2-1)/$L87))*($T87*(1-$F87)+$S87*(1-$G87))*((1+Inputs!$D$7)^BR$2))),((Inputs!$D$8^((1-_xlfn.WEIBULL.DIST(BR$2,$M87,$L87,FALSE))/_xlfn.WEIBULL.DIST(BR$2,$M87,$L87,FALSE))*($T87*(1-$F87)+$S87*(1-$G87))*((1+Inputs!$D$7)^BR$2))))))))</f>
        <v>33.305304807692302</v>
      </c>
      <c r="BS87" s="88">
        <f>MAX(AC87,($E87*IF(BS$2&gt;Inputs!$D$5,0,IF(BS$2&gt;VLOOKUP($H87,Lists!$P$3:$Q$7,2),IF($N87=Lists!$K$3,IF($L87&lt;1,(($U87/$L87)*((1+Inputs!$D$7)^BS$2)),((INT(BS$2/$L87)-INT((BS$2-1)/$L87))*$U87*((1+Inputs!$D$7)^BS$2))),(Inputs!$D$8^((1-_xlfn.WEIBULL.DIST(BS$2,$M87,$L87,FALSE))/_xlfn.WEIBULL.DIST(BS$2,$M87,$L87,FALSE))*$U87*((1+Inputs!$D$7)^BS$2))),IF($N87=Lists!$K$3,IF($L87&lt;1,((($T87*(1-$F87)+$S87*(1-$G87))/$L87)*((1+Inputs!$D$7)^BS$2)),((INT(BS$2/$L87)-INT((BS$2-1)/$L87))*($T87*(1-$F87)+$S87*(1-$G87))*((1+Inputs!$D$7)^BS$2))),((Inputs!$D$8^((1-_xlfn.WEIBULL.DIST(BS$2,$M87,$L87,FALSE))/_xlfn.WEIBULL.DIST(BS$2,$M87,$L87,FALSE))*($T87*(1-$F87)+$S87*(1-$G87))*((1+Inputs!$D$7)^BS$2))))))))</f>
        <v>33.971410903846149</v>
      </c>
      <c r="BT87" s="88">
        <f>MAX(AD87,($E87*IF(BT$2&gt;Inputs!$D$5,0,IF(BT$2&gt;VLOOKUP($H87,Lists!$P$3:$Q$7,2),IF($N87=Lists!$K$3,IF($L87&lt;1,(($U87/$L87)*((1+Inputs!$D$7)^BT$2)),((INT(BT$2/$L87)-INT((BT$2-1)/$L87))*$U87*((1+Inputs!$D$7)^BT$2))),(Inputs!$D$8^((1-_xlfn.WEIBULL.DIST(BT$2,$M87,$L87,FALSE))/_xlfn.WEIBULL.DIST(BT$2,$M87,$L87,FALSE))*$U87*((1+Inputs!$D$7)^BT$2))),IF($N87=Lists!$K$3,IF($L87&lt;1,((($T87*(1-$F87)+$S87*(1-$G87))/$L87)*((1+Inputs!$D$7)^BT$2)),((INT(BT$2/$L87)-INT((BT$2-1)/$L87))*($T87*(1-$F87)+$S87*(1-$G87))*((1+Inputs!$D$7)^BT$2))),((Inputs!$D$8^((1-_xlfn.WEIBULL.DIST(BT$2,$M87,$L87,FALSE))/_xlfn.WEIBULL.DIST(BT$2,$M87,$L87,FALSE))*($T87*(1-$F87)+$S87*(1-$G87))*((1+Inputs!$D$7)^BT$2))))))))</f>
        <v>34.65083912192307</v>
      </c>
      <c r="BU87" s="88">
        <f>MAX(AE87,($E87*IF(BU$2&gt;Inputs!$D$5,0,IF(BU$2&gt;VLOOKUP($H87,Lists!$P$3:$Q$7,2),IF($N87=Lists!$K$3,IF($L87&lt;1,(($U87/$L87)*((1+Inputs!$D$7)^BU$2)),((INT(BU$2/$L87)-INT((BU$2-1)/$L87))*$U87*((1+Inputs!$D$7)^BU$2))),(Inputs!$D$8^((1-_xlfn.WEIBULL.DIST(BU$2,$M87,$L87,FALSE))/_xlfn.WEIBULL.DIST(BU$2,$M87,$L87,FALSE))*$U87*((1+Inputs!$D$7)^BU$2))),IF($N87=Lists!$K$3,IF($L87&lt;1,((($T87*(1-$F87)+$S87*(1-$G87))/$L87)*((1+Inputs!$D$7)^BU$2)),((INT(BU$2/$L87)-INT((BU$2-1)/$L87))*($T87*(1-$F87)+$S87*(1-$G87))*((1+Inputs!$D$7)^BU$2))),((Inputs!$D$8^((1-_xlfn.WEIBULL.DIST(BU$2,$M87,$L87,FALSE))/_xlfn.WEIBULL.DIST(BU$2,$M87,$L87,FALSE))*($T87*(1-$F87)+$S87*(1-$G87))*((1+Inputs!$D$7)^BU$2))))))))</f>
        <v>35.343855904361533</v>
      </c>
      <c r="BV87" s="88">
        <f>MAX(AF87,($E87*IF(BV$2&gt;Inputs!$D$5,0,IF(BV$2&gt;VLOOKUP($H87,Lists!$P$3:$Q$7,2),IF($N87=Lists!$K$3,IF($L87&lt;1,(($U87/$L87)*((1+Inputs!$D$7)^BV$2)),((INT(BV$2/$L87)-INT((BV$2-1)/$L87))*$U87*((1+Inputs!$D$7)^BV$2))),(Inputs!$D$8^((1-_xlfn.WEIBULL.DIST(BV$2,$M87,$L87,FALSE))/_xlfn.WEIBULL.DIST(BV$2,$M87,$L87,FALSE))*$U87*((1+Inputs!$D$7)^BV$2))),IF($N87=Lists!$K$3,IF($L87&lt;1,((($T87*(1-$F87)+$S87*(1-$G87))/$L87)*((1+Inputs!$D$7)^BV$2)),((INT(BV$2/$L87)-INT((BV$2-1)/$L87))*($T87*(1-$F87)+$S87*(1-$G87))*((1+Inputs!$D$7)^BV$2))),((Inputs!$D$8^((1-_xlfn.WEIBULL.DIST(BV$2,$M87,$L87,FALSE))/_xlfn.WEIBULL.DIST(BV$2,$M87,$L87,FALSE))*($T87*(1-$F87)+$S87*(1-$G87))*((1+Inputs!$D$7)^BV$2))))))))</f>
        <v>36.050733022448767</v>
      </c>
      <c r="BW87" s="88">
        <f>MAX(AG87,($E87*IF(BW$2&gt;Inputs!$D$5,0,IF(BW$2&gt;VLOOKUP($H87,Lists!$P$3:$Q$7,2),IF($N87=Lists!$K$3,IF($L87&lt;1,(($U87/$L87)*((1+Inputs!$D$7)^BW$2)),((INT(BW$2/$L87)-INT((BW$2-1)/$L87))*$U87*((1+Inputs!$D$7)^BW$2))),(Inputs!$D$8^((1-_xlfn.WEIBULL.DIST(BW$2,$M87,$L87,FALSE))/_xlfn.WEIBULL.DIST(BW$2,$M87,$L87,FALSE))*$U87*((1+Inputs!$D$7)^BW$2))),IF($N87=Lists!$K$3,IF($L87&lt;1,((($T87*(1-$F87)+$S87*(1-$G87))/$L87)*((1+Inputs!$D$7)^BW$2)),((INT(BW$2/$L87)-INT((BW$2-1)/$L87))*($T87*(1-$F87)+$S87*(1-$G87))*((1+Inputs!$D$7)^BW$2))),((Inputs!$D$8^((1-_xlfn.WEIBULL.DIST(BW$2,$M87,$L87,FALSE))/_xlfn.WEIBULL.DIST(BW$2,$M87,$L87,FALSE))*($T87*(1-$F87)+$S87*(1-$G87))*((1+Inputs!$D$7)^BW$2))))))))</f>
        <v>36.771747682897733</v>
      </c>
      <c r="BX87" s="88">
        <f>MAX(AH87,($E87*IF(BX$2&gt;Inputs!$D$5,0,IF(BX$2&gt;VLOOKUP($H87,Lists!$P$3:$Q$7,2),IF($N87=Lists!$K$3,IF($L87&lt;1,(($U87/$L87)*((1+Inputs!$D$7)^BX$2)),((INT(BX$2/$L87)-INT((BX$2-1)/$L87))*$U87*((1+Inputs!$D$7)^BX$2))),(Inputs!$D$8^((1-_xlfn.WEIBULL.DIST(BX$2,$M87,$L87,FALSE))/_xlfn.WEIBULL.DIST(BX$2,$M87,$L87,FALSE))*$U87*((1+Inputs!$D$7)^BX$2))),IF($N87=Lists!$K$3,IF($L87&lt;1,((($T87*(1-$F87)+$S87*(1-$G87))/$L87)*((1+Inputs!$D$7)^BX$2)),((INT(BX$2/$L87)-INT((BX$2-1)/$L87))*($T87*(1-$F87)+$S87*(1-$G87))*((1+Inputs!$D$7)^BX$2))),((Inputs!$D$8^((1-_xlfn.WEIBULL.DIST(BX$2,$M87,$L87,FALSE))/_xlfn.WEIBULL.DIST(BX$2,$M87,$L87,FALSE))*($T87*(1-$F87)+$S87*(1-$G87))*((1+Inputs!$D$7)^BX$2))))))))</f>
        <v>37.50718263655569</v>
      </c>
      <c r="BY87" s="88">
        <f>MAX(AI87,($E87*IF(BY$2&gt;Inputs!$D$5,0,IF(BY$2&gt;VLOOKUP($H87,Lists!$P$3:$Q$7,2),IF($N87=Lists!$K$3,IF($L87&lt;1,(($U87/$L87)*((1+Inputs!$D$7)^BY$2)),((INT(BY$2/$L87)-INT((BY$2-1)/$L87))*$U87*((1+Inputs!$D$7)^BY$2))),(Inputs!$D$8^((1-_xlfn.WEIBULL.DIST(BY$2,$M87,$L87,FALSE))/_xlfn.WEIBULL.DIST(BY$2,$M87,$L87,FALSE))*$U87*((1+Inputs!$D$7)^BY$2))),IF($N87=Lists!$K$3,IF($L87&lt;1,((($T87*(1-$F87)+$S87*(1-$G87))/$L87)*((1+Inputs!$D$7)^BY$2)),((INT(BY$2/$L87)-INT((BY$2-1)/$L87))*($T87*(1-$F87)+$S87*(1-$G87))*((1+Inputs!$D$7)^BY$2))),((Inputs!$D$8^((1-_xlfn.WEIBULL.DIST(BY$2,$M87,$L87,FALSE))/_xlfn.WEIBULL.DIST(BY$2,$M87,$L87,FALSE))*($T87*(1-$F87)+$S87*(1-$G87))*((1+Inputs!$D$7)^BY$2))))))))</f>
        <v>38.257326289286809</v>
      </c>
      <c r="BZ87" s="88">
        <f>MAX(AJ87,($E87*IF(BZ$2&gt;Inputs!$D$5,0,IF(BZ$2&gt;VLOOKUP($H87,Lists!$P$3:$Q$7,2),IF($N87=Lists!$K$3,IF($L87&lt;1,(($U87/$L87)*((1+Inputs!$D$7)^BZ$2)),((INT(BZ$2/$L87)-INT((BZ$2-1)/$L87))*$U87*((1+Inputs!$D$7)^BZ$2))),(Inputs!$D$8^((1-_xlfn.WEIBULL.DIST(BZ$2,$M87,$L87,FALSE))/_xlfn.WEIBULL.DIST(BZ$2,$M87,$L87,FALSE))*$U87*((1+Inputs!$D$7)^BZ$2))),IF($N87=Lists!$K$3,IF($L87&lt;1,((($T87*(1-$F87)+$S87*(1-$G87))/$L87)*((1+Inputs!$D$7)^BZ$2)),((INT(BZ$2/$L87)-INT((BZ$2-1)/$L87))*($T87*(1-$F87)+$S87*(1-$G87))*((1+Inputs!$D$7)^BZ$2))),((Inputs!$D$8^((1-_xlfn.WEIBULL.DIST(BZ$2,$M87,$L87,FALSE))/_xlfn.WEIBULL.DIST(BZ$2,$M87,$L87,FALSE))*($T87*(1-$F87)+$S87*(1-$G87))*((1+Inputs!$D$7)^BZ$2))))))))</f>
        <v>39.022472815072547</v>
      </c>
      <c r="CA87" s="88">
        <f>MAX(AK87,($E87*IF(CA$2&gt;Inputs!$D$5,0,IF(CA$2&gt;VLOOKUP($H87,Lists!$P$3:$Q$7,2),IF($N87=Lists!$K$3,IF($L87&lt;1,(($U87/$L87)*((1+Inputs!$D$7)^CA$2)),((INT(CA$2/$L87)-INT((CA$2-1)/$L87))*$U87*((1+Inputs!$D$7)^CA$2))),(Inputs!$D$8^((1-_xlfn.WEIBULL.DIST(CA$2,$M87,$L87,FALSE))/_xlfn.WEIBULL.DIST(CA$2,$M87,$L87,FALSE))*$U87*((1+Inputs!$D$7)^CA$2))),IF($N87=Lists!$K$3,IF($L87&lt;1,((($T87*(1-$F87)+$S87*(1-$G87))/$L87)*((1+Inputs!$D$7)^CA$2)),((INT(CA$2/$L87)-INT((CA$2-1)/$L87))*($T87*(1-$F87)+$S87*(1-$G87))*((1+Inputs!$D$7)^CA$2))),((Inputs!$D$8^((1-_xlfn.WEIBULL.DIST(CA$2,$M87,$L87,FALSE))/_xlfn.WEIBULL.DIST(CA$2,$M87,$L87,FALSE))*($T87*(1-$F87)+$S87*(1-$G87))*((1+Inputs!$D$7)^CA$2))))))))</f>
        <v>39.802922271373987</v>
      </c>
      <c r="CB87" s="88">
        <f>MAX(AL87,($E87*IF(CB$2&gt;Inputs!$D$5,0,IF(CB$2&gt;VLOOKUP($H87,Lists!$P$3:$Q$7,2),IF($N87=Lists!$K$3,IF($L87&lt;1,(($U87/$L87)*((1+Inputs!$D$7)^CB$2)),((INT(CB$2/$L87)-INT((CB$2-1)/$L87))*$U87*((1+Inputs!$D$7)^CB$2))),(Inputs!$D$8^((1-_xlfn.WEIBULL.DIST(CB$2,$M87,$L87,FALSE))/_xlfn.WEIBULL.DIST(CB$2,$M87,$L87,FALSE))*$U87*((1+Inputs!$D$7)^CB$2))),IF($N87=Lists!$K$3,IF($L87&lt;1,((($T87*(1-$F87)+$S87*(1-$G87))/$L87)*((1+Inputs!$D$7)^CB$2)),((INT(CB$2/$L87)-INT((CB$2-1)/$L87))*($T87*(1-$F87)+$S87*(1-$G87))*((1+Inputs!$D$7)^CB$2))),((Inputs!$D$8^((1-_xlfn.WEIBULL.DIST(CB$2,$M87,$L87,FALSE))/_xlfn.WEIBULL.DIST(CB$2,$M87,$L87,FALSE))*($T87*(1-$F87)+$S87*(1-$G87))*((1+Inputs!$D$7)^CB$2))))))))</f>
        <v>40.598980716801471</v>
      </c>
      <c r="CC87" s="88">
        <f>MAX(AM87,($E87*IF(CC$2&gt;Inputs!$D$5,0,IF(CC$2&gt;VLOOKUP($H87,Lists!$P$3:$Q$7,2),IF($N87=Lists!$K$3,IF($L87&lt;1,(($U87/$L87)*((1+Inputs!$D$7)^CC$2)),((INT(CC$2/$L87)-INT((CC$2-1)/$L87))*$U87*((1+Inputs!$D$7)^CC$2))),(Inputs!$D$8^((1-_xlfn.WEIBULL.DIST(CC$2,$M87,$L87,FALSE))/_xlfn.WEIBULL.DIST(CC$2,$M87,$L87,FALSE))*$U87*((1+Inputs!$D$7)^CC$2))),IF($N87=Lists!$K$3,IF($L87&lt;1,((($T87*(1-$F87)+$S87*(1-$G87))/$L87)*((1+Inputs!$D$7)^CC$2)),((INT(CC$2/$L87)-INT((CC$2-1)/$L87))*($T87*(1-$F87)+$S87*(1-$G87))*((1+Inputs!$D$7)^CC$2))),((Inputs!$D$8^((1-_xlfn.WEIBULL.DIST(CC$2,$M87,$L87,FALSE))/_xlfn.WEIBULL.DIST(CC$2,$M87,$L87,FALSE))*($T87*(1-$F87)+$S87*(1-$G87))*((1+Inputs!$D$7)^CC$2))))))))</f>
        <v>41.410960331137503</v>
      </c>
      <c r="CD87" s="88">
        <f>MAX(AN87,($E87*IF(CD$2&gt;Inputs!$D$5,0,IF(CD$2&gt;VLOOKUP($H87,Lists!$P$3:$Q$7,2),IF($N87=Lists!$K$3,IF($L87&lt;1,(($U87/$L87)*((1+Inputs!$D$7)^CD$2)),((INT(CD$2/$L87)-INT((CD$2-1)/$L87))*$U87*((1+Inputs!$D$7)^CD$2))),(Inputs!$D$8^((1-_xlfn.WEIBULL.DIST(CD$2,$M87,$L87,FALSE))/_xlfn.WEIBULL.DIST(CD$2,$M87,$L87,FALSE))*$U87*((1+Inputs!$D$7)^CD$2))),IF($N87=Lists!$K$3,IF($L87&lt;1,((($T87*(1-$F87)+$S87*(1-$G87))/$L87)*((1+Inputs!$D$7)^CD$2)),((INT(CD$2/$L87)-INT((CD$2-1)/$L87))*($T87*(1-$F87)+$S87*(1-$G87))*((1+Inputs!$D$7)^CD$2))),((Inputs!$D$8^((1-_xlfn.WEIBULL.DIST(CD$2,$M87,$L87,FALSE))/_xlfn.WEIBULL.DIST(CD$2,$M87,$L87,FALSE))*($T87*(1-$F87)+$S87*(1-$G87))*((1+Inputs!$D$7)^CD$2))))))))</f>
        <v>42.239179537760258</v>
      </c>
      <c r="CE87" s="88">
        <f>MAX(AO87,($E87*IF(CE$2&gt;Inputs!$D$5,0,IF(CE$2&gt;VLOOKUP($H87,Lists!$P$3:$Q$7,2),IF($N87=Lists!$K$3,IF($L87&lt;1,(($U87/$L87)*((1+Inputs!$D$7)^CE$2)),((INT(CE$2/$L87)-INT((CE$2-1)/$L87))*$U87*((1+Inputs!$D$7)^CE$2))),(Inputs!$D$8^((1-_xlfn.WEIBULL.DIST(CE$2,$M87,$L87,FALSE))/_xlfn.WEIBULL.DIST(CE$2,$M87,$L87,FALSE))*$U87*((1+Inputs!$D$7)^CE$2))),IF($N87=Lists!$K$3,IF($L87&lt;1,((($T87*(1-$F87)+$S87*(1-$G87))/$L87)*((1+Inputs!$D$7)^CE$2)),((INT(CE$2/$L87)-INT((CE$2-1)/$L87))*($T87*(1-$F87)+$S87*(1-$G87))*((1+Inputs!$D$7)^CE$2))),((Inputs!$D$8^((1-_xlfn.WEIBULL.DIST(CE$2,$M87,$L87,FALSE))/_xlfn.WEIBULL.DIST(CE$2,$M87,$L87,FALSE))*($T87*(1-$F87)+$S87*(1-$G87))*((1+Inputs!$D$7)^CE$2))))))))</f>
        <v>43.08396312851545</v>
      </c>
      <c r="CF87" s="88">
        <f>MAX(AP87,($E87*IF(CF$2&gt;Inputs!$D$5,0,IF(CF$2&gt;VLOOKUP($H87,Lists!$P$3:$Q$7,2),IF($N87=Lists!$K$3,IF($L87&lt;1,(($U87/$L87)*((1+Inputs!$D$7)^CF$2)),((INT(CF$2/$L87)-INT((CF$2-1)/$L87))*$U87*((1+Inputs!$D$7)^CF$2))),(Inputs!$D$8^((1-_xlfn.WEIBULL.DIST(CF$2,$M87,$L87,FALSE))/_xlfn.WEIBULL.DIST(CF$2,$M87,$L87,FALSE))*$U87*((1+Inputs!$D$7)^CF$2))),IF($N87=Lists!$K$3,IF($L87&lt;1,((($T87*(1-$F87)+$S87*(1-$G87))/$L87)*((1+Inputs!$D$7)^CF$2)),((INT(CF$2/$L87)-INT((CF$2-1)/$L87))*($T87*(1-$F87)+$S87*(1-$G87))*((1+Inputs!$D$7)^CF$2))),((Inputs!$D$8^((1-_xlfn.WEIBULL.DIST(CF$2,$M87,$L87,FALSE))/_xlfn.WEIBULL.DIST(CF$2,$M87,$L87,FALSE))*($T87*(1-$F87)+$S87*(1-$G87))*((1+Inputs!$D$7)^CF$2))))))))</f>
        <v>43.945642391085762</v>
      </c>
      <c r="CG87" s="88">
        <f>MAX(AQ87,($E87*IF(CG$2&gt;Inputs!$D$5,0,IF(CG$2&gt;VLOOKUP($H87,Lists!$P$3:$Q$7,2),IF($N87=Lists!$K$3,IF($L87&lt;1,(($U87/$L87)*((1+Inputs!$D$7)^CG$2)),((INT(CG$2/$L87)-INT((CG$2-1)/$L87))*$U87*((1+Inputs!$D$7)^CG$2))),(Inputs!$D$8^((1-_xlfn.WEIBULL.DIST(CG$2,$M87,$L87,FALSE))/_xlfn.WEIBULL.DIST(CG$2,$M87,$L87,FALSE))*$U87*((1+Inputs!$D$7)^CG$2))),IF($N87=Lists!$K$3,IF($L87&lt;1,((($T87*(1-$F87)+$S87*(1-$G87))/$L87)*((1+Inputs!$D$7)^CG$2)),((INT(CG$2/$L87)-INT((CG$2-1)/$L87))*($T87*(1-$F87)+$S87*(1-$G87))*((1+Inputs!$D$7)^CG$2))),((Inputs!$D$8^((1-_xlfn.WEIBULL.DIST(CG$2,$M87,$L87,FALSE))/_xlfn.WEIBULL.DIST(CG$2,$M87,$L87,FALSE))*($T87*(1-$F87)+$S87*(1-$G87))*((1+Inputs!$D$7)^CG$2))))))))</f>
        <v>44.824555238907486</v>
      </c>
      <c r="CH87" s="88">
        <f>MAX(AR87,($E87*IF(CH$2&gt;Inputs!$D$5,0,IF(CH$2&gt;VLOOKUP($H87,Lists!$P$3:$Q$7,2),IF($N87=Lists!$K$3,IF($L87&lt;1,(($U87/$L87)*((1+Inputs!$D$7)^CH$2)),((INT(CH$2/$L87)-INT((CH$2-1)/$L87))*$U87*((1+Inputs!$D$7)^CH$2))),(Inputs!$D$8^((1-_xlfn.WEIBULL.DIST(CH$2,$M87,$L87,FALSE))/_xlfn.WEIBULL.DIST(CH$2,$M87,$L87,FALSE))*$U87*((1+Inputs!$D$7)^CH$2))),IF($N87=Lists!$K$3,IF($L87&lt;1,((($T87*(1-$F87)+$S87*(1-$G87))/$L87)*((1+Inputs!$D$7)^CH$2)),((INT(CH$2/$L87)-INT((CH$2-1)/$L87))*($T87*(1-$F87)+$S87*(1-$G87))*((1+Inputs!$D$7)^CH$2))),((Inputs!$D$8^((1-_xlfn.WEIBULL.DIST(CH$2,$M87,$L87,FALSE))/_xlfn.WEIBULL.DIST(CH$2,$M87,$L87,FALSE))*($T87*(1-$F87)+$S87*(1-$G87))*((1+Inputs!$D$7)^CH$2))))))))</f>
        <v>45.721046343685629</v>
      </c>
      <c r="CI87" s="88">
        <f>MAX(AS87,($E87*IF(CI$2&gt;Inputs!$D$5,0,IF(CI$2&gt;VLOOKUP($H87,Lists!$P$3:$Q$7,2),IF($N87=Lists!$K$3,IF($L87&lt;1,(($U87/$L87)*((1+Inputs!$D$7)^CI$2)),((INT(CI$2/$L87)-INT((CI$2-1)/$L87))*$U87*((1+Inputs!$D$7)^CI$2))),(Inputs!$D$8^((1-_xlfn.WEIBULL.DIST(CI$2,$M87,$L87,FALSE))/_xlfn.WEIBULL.DIST(CI$2,$M87,$L87,FALSE))*$U87*((1+Inputs!$D$7)^CI$2))),IF($N87=Lists!$K$3,IF($L87&lt;1,((($T87*(1-$F87)+$S87*(1-$G87))/$L87)*((1+Inputs!$D$7)^CI$2)),((INT(CI$2/$L87)-INT((CI$2-1)/$L87))*($T87*(1-$F87)+$S87*(1-$G87))*((1+Inputs!$D$7)^CI$2))),((Inputs!$D$8^((1-_xlfn.WEIBULL.DIST(CI$2,$M87,$L87,FALSE))/_xlfn.WEIBULL.DIST(CI$2,$M87,$L87,FALSE))*($T87*(1-$F87)+$S87*(1-$G87))*((1+Inputs!$D$7)^CI$2))))))))</f>
        <v>46.635467270559339</v>
      </c>
      <c r="CJ87" s="88">
        <f>MAX(AT87,($E87*IF(CJ$2&gt;Inputs!$D$5,0,IF(CJ$2&gt;VLOOKUP($H87,Lists!$P$3:$Q$7,2),IF($N87=Lists!$K$3,IF($L87&lt;1,(($U87/$L87)*((1+Inputs!$D$7)^CJ$2)),((INT(CJ$2/$L87)-INT((CJ$2-1)/$L87))*$U87*((1+Inputs!$D$7)^CJ$2))),(Inputs!$D$8^((1-_xlfn.WEIBULL.DIST(CJ$2,$M87,$L87,FALSE))/_xlfn.WEIBULL.DIST(CJ$2,$M87,$L87,FALSE))*$U87*((1+Inputs!$D$7)^CJ$2))),IF($N87=Lists!$K$3,IF($L87&lt;1,((($T87*(1-$F87)+$S87*(1-$G87))/$L87)*((1+Inputs!$D$7)^CJ$2)),((INT(CJ$2/$L87)-INT((CJ$2-1)/$L87))*($T87*(1-$F87)+$S87*(1-$G87))*((1+Inputs!$D$7)^CJ$2))),((Inputs!$D$8^((1-_xlfn.WEIBULL.DIST(CJ$2,$M87,$L87,FALSE))/_xlfn.WEIBULL.DIST(CJ$2,$M87,$L87,FALSE))*($T87*(1-$F87)+$S87*(1-$G87))*((1+Inputs!$D$7)^CJ$2))))))))</f>
        <v>47.568176615970529</v>
      </c>
      <c r="CK87" s="88">
        <f>MAX(AU87,($E87*IF(CK$2&gt;Inputs!$D$5,0,IF(CK$2&gt;VLOOKUP($H87,Lists!$P$3:$Q$7,2),IF($N87=Lists!$K$3,IF($L87&lt;1,(($U87/$L87)*((1+Inputs!$D$7)^CK$2)),((INT(CK$2/$L87)-INT((CK$2-1)/$L87))*$U87*((1+Inputs!$D$7)^CK$2))),(Inputs!$D$8^((1-_xlfn.WEIBULL.DIST(CK$2,$M87,$L87,FALSE))/_xlfn.WEIBULL.DIST(CK$2,$M87,$L87,FALSE))*$U87*((1+Inputs!$D$7)^CK$2))),IF($N87=Lists!$K$3,IF($L87&lt;1,((($T87*(1-$F87)+$S87*(1-$G87))/$L87)*((1+Inputs!$D$7)^CK$2)),((INT(CK$2/$L87)-INT((CK$2-1)/$L87))*($T87*(1-$F87)+$S87*(1-$G87))*((1+Inputs!$D$7)^CK$2))),((Inputs!$D$8^((1-_xlfn.WEIBULL.DIST(CK$2,$M87,$L87,FALSE))/_xlfn.WEIBULL.DIST(CK$2,$M87,$L87,FALSE))*($T87*(1-$F87)+$S87*(1-$G87))*((1+Inputs!$D$7)^CK$2))))))))</f>
        <v>48.519540148289934</v>
      </c>
      <c r="CL87" s="88">
        <f>MAX(AV87,($E87*IF(CL$2&gt;Inputs!$D$5,0,IF(CL$2&gt;VLOOKUP($H87,Lists!$P$3:$Q$7,2),IF($N87=Lists!$K$3,IF($L87&lt;1,(($U87/$L87)*((1+Inputs!$D$7)^CL$2)),((INT(CL$2/$L87)-INT((CL$2-1)/$L87))*$U87*((1+Inputs!$D$7)^CL$2))),(Inputs!$D$8^((1-_xlfn.WEIBULL.DIST(CL$2,$M87,$L87,FALSE))/_xlfn.WEIBULL.DIST(CL$2,$M87,$L87,FALSE))*$U87*((1+Inputs!$D$7)^CL$2))),IF($N87=Lists!$K$3,IF($L87&lt;1,((($T87*(1-$F87)+$S87*(1-$G87))/$L87)*((1+Inputs!$D$7)^CL$2)),((INT(CL$2/$L87)-INT((CL$2-1)/$L87))*($T87*(1-$F87)+$S87*(1-$G87))*((1+Inputs!$D$7)^CL$2))),((Inputs!$D$8^((1-_xlfn.WEIBULL.DIST(CL$2,$M87,$L87,FALSE))/_xlfn.WEIBULL.DIST(CL$2,$M87,$L87,FALSE))*($T87*(1-$F87)+$S87*(1-$G87))*((1+Inputs!$D$7)^CL$2))))))))</f>
        <v>49.489930951255737</v>
      </c>
      <c r="CM87" s="88">
        <f>MAX(AW87,($E87*IF(CM$2&gt;Inputs!$D$5,0,IF(CM$2&gt;VLOOKUP($H87,Lists!$P$3:$Q$7,2),IF($N87=Lists!$K$3,IF($L87&lt;1,(($U87/$L87)*((1+Inputs!$D$7)^CM$2)),((INT(CM$2/$L87)-INT((CM$2-1)/$L87))*$U87*((1+Inputs!$D$7)^CM$2))),(Inputs!$D$8^((1-_xlfn.WEIBULL.DIST(CM$2,$M87,$L87,FALSE))/_xlfn.WEIBULL.DIST(CM$2,$M87,$L87,FALSE))*$U87*((1+Inputs!$D$7)^CM$2))),IF($N87=Lists!$K$3,IF($L87&lt;1,((($T87*(1-$F87)+$S87*(1-$G87))/$L87)*((1+Inputs!$D$7)^CM$2)),((INT(CM$2/$L87)-INT((CM$2-1)/$L87))*($T87*(1-$F87)+$S87*(1-$G87))*((1+Inputs!$D$7)^CM$2))),((Inputs!$D$8^((1-_xlfn.WEIBULL.DIST(CM$2,$M87,$L87,FALSE))/_xlfn.WEIBULL.DIST(CM$2,$M87,$L87,FALSE))*($T87*(1-$F87)+$S87*(1-$G87))*((1+Inputs!$D$7)^CM$2))))))))</f>
        <v>50.479729570280846</v>
      </c>
      <c r="CN87" s="88">
        <f>MAX(AX87,($E87*IF(CN$2&gt;Inputs!$D$5,0,IF(CN$2&gt;VLOOKUP($H87,Lists!$P$3:$Q$7,2),IF($N87=Lists!$K$3,IF($L87&lt;1,(($U87/$L87)*((1+Inputs!$D$7)^CN$2)),((INT(CN$2/$L87)-INT((CN$2-1)/$L87))*$U87*((1+Inputs!$D$7)^CN$2))),(Inputs!$D$8^((1-_xlfn.WEIBULL.DIST(CN$2,$M87,$L87,FALSE))/_xlfn.WEIBULL.DIST(CN$2,$M87,$L87,FALSE))*$U87*((1+Inputs!$D$7)^CN$2))),IF($N87=Lists!$K$3,IF($L87&lt;1,((($T87*(1-$F87)+$S87*(1-$G87))/$L87)*((1+Inputs!$D$7)^CN$2)),((INT(CN$2/$L87)-INT((CN$2-1)/$L87))*($T87*(1-$F87)+$S87*(1-$G87))*((1+Inputs!$D$7)^CN$2))),((Inputs!$D$8^((1-_xlfn.WEIBULL.DIST(CN$2,$M87,$L87,FALSE))/_xlfn.WEIBULL.DIST(CN$2,$M87,$L87,FALSE))*($T87*(1-$F87)+$S87*(1-$G87))*((1+Inputs!$D$7)^CN$2))))))))</f>
        <v>51.489324161686461</v>
      </c>
      <c r="CO87" s="88">
        <f>MAX(AY87,($E87*IF(CO$2&gt;Inputs!$D$5,0,IF(CO$2&gt;VLOOKUP($H87,Lists!$P$3:$Q$7,2),IF($N87=Lists!$K$3,IF($L87&lt;1,(($U87/$L87)*((1+Inputs!$D$7)^CO$2)),((INT(CO$2/$L87)-INT((CO$2-1)/$L87))*$U87*((1+Inputs!$D$7)^CO$2))),(Inputs!$D$8^((1-_xlfn.WEIBULL.DIST(CO$2,$M87,$L87,FALSE))/_xlfn.WEIBULL.DIST(CO$2,$M87,$L87,FALSE))*$U87*((1+Inputs!$D$7)^CO$2))),IF($N87=Lists!$K$3,IF($L87&lt;1,((($T87*(1-$F87)+$S87*(1-$G87))/$L87)*((1+Inputs!$D$7)^CO$2)),((INT(CO$2/$L87)-INT((CO$2-1)/$L87))*($T87*(1-$F87)+$S87*(1-$G87))*((1+Inputs!$D$7)^CO$2))),((Inputs!$D$8^((1-_xlfn.WEIBULL.DIST(CO$2,$M87,$L87,FALSE))/_xlfn.WEIBULL.DIST(CO$2,$M87,$L87,FALSE))*($T87*(1-$F87)+$S87*(1-$G87))*((1+Inputs!$D$7)^CO$2))))))))</f>
        <v>52.51911064492019</v>
      </c>
      <c r="CP87" s="88">
        <f>MAX(AZ87,($E87*IF(CP$2&gt;Inputs!$D$5,0,IF(CP$2&gt;VLOOKUP($H87,Lists!$P$3:$Q$7,2),IF($N87=Lists!$K$3,IF($L87&lt;1,(($U87/$L87)*((1+Inputs!$D$7)^CP$2)),((INT(CP$2/$L87)-INT((CP$2-1)/$L87))*$U87*((1+Inputs!$D$7)^CP$2))),(Inputs!$D$8^((1-_xlfn.WEIBULL.DIST(CP$2,$M87,$L87,FALSE))/_xlfn.WEIBULL.DIST(CP$2,$M87,$L87,FALSE))*$U87*((1+Inputs!$D$7)^CP$2))),IF($N87=Lists!$K$3,IF($L87&lt;1,((($T87*(1-$F87)+$S87*(1-$G87))/$L87)*((1+Inputs!$D$7)^CP$2)),((INT(CP$2/$L87)-INT((CP$2-1)/$L87))*($T87*(1-$F87)+$S87*(1-$G87))*((1+Inputs!$D$7)^CP$2))),((Inputs!$D$8^((1-_xlfn.WEIBULL.DIST(CP$2,$M87,$L87,FALSE))/_xlfn.WEIBULL.DIST(CP$2,$M87,$L87,FALSE))*($T87*(1-$F87)+$S87*(1-$G87))*((1+Inputs!$D$7)^CP$2))))))))</f>
        <v>0</v>
      </c>
      <c r="CQ87" s="88">
        <f>MAX(BA87,($E87*IF(CQ$2&gt;Inputs!$D$5,0,IF(CQ$2&gt;VLOOKUP($H87,Lists!$P$3:$Q$7,2),IF($N87=Lists!$K$3,IF($L87&lt;1,(($U87/$L87)*((1+Inputs!$D$7)^CQ$2)),((INT(CQ$2/$L87)-INT((CQ$2-1)/$L87))*$U87*((1+Inputs!$D$7)^CQ$2))),(Inputs!$D$8^((1-_xlfn.WEIBULL.DIST(CQ$2,$M87,$L87,FALSE))/_xlfn.WEIBULL.DIST(CQ$2,$M87,$L87,FALSE))*$U87*((1+Inputs!$D$7)^CQ$2))),IF($N87=Lists!$K$3,IF($L87&lt;1,((($T87*(1-$F87)+$S87*(1-$G87))/$L87)*((1+Inputs!$D$7)^CQ$2)),((INT(CQ$2/$L87)-INT((CQ$2-1)/$L87))*($T87*(1-$F87)+$S87*(1-$G87))*((1+Inputs!$D$7)^CQ$2))),((Inputs!$D$8^((1-_xlfn.WEIBULL.DIST(CQ$2,$M87,$L87,FALSE))/_xlfn.WEIBULL.DIST(CQ$2,$M87,$L87,FALSE))*($T87*(1-$F87)+$S87*(1-$G87))*((1+Inputs!$D$7)^CQ$2))))))))</f>
        <v>0</v>
      </c>
      <c r="CR87" s="88">
        <f>MAX(BB87,($E87*IF(CR$2&gt;Inputs!$D$5,0,IF(CR$2&gt;VLOOKUP($H87,Lists!$P$3:$Q$7,2),IF($N87=Lists!$K$3,IF($L87&lt;1,(($U87/$L87)*((1+Inputs!$D$7)^CR$2)),((INT(CR$2/$L87)-INT((CR$2-1)/$L87))*$U87*((1+Inputs!$D$7)^CR$2))),(Inputs!$D$8^((1-_xlfn.WEIBULL.DIST(CR$2,$M87,$L87,FALSE))/_xlfn.WEIBULL.DIST(CR$2,$M87,$L87,FALSE))*$U87*((1+Inputs!$D$7)^CR$2))),IF($N87=Lists!$K$3,IF($L87&lt;1,((($T87*(1-$F87)+$S87*(1-$G87))/$L87)*((1+Inputs!$D$7)^CR$2)),((INT(CR$2/$L87)-INT((CR$2-1)/$L87))*($T87*(1-$F87)+$S87*(1-$G87))*((1+Inputs!$D$7)^CR$2))),((Inputs!$D$8^((1-_xlfn.WEIBULL.DIST(CR$2,$M87,$L87,FALSE))/_xlfn.WEIBULL.DIST(CR$2,$M87,$L87,FALSE))*($T87*(1-$F87)+$S87*(1-$G87))*((1+Inputs!$D$7)^CR$2))))))))</f>
        <v>0</v>
      </c>
      <c r="CS87" s="88">
        <f>MAX(BC87,($E87*IF(CS$2&gt;Inputs!$D$5,0,IF(CS$2&gt;VLOOKUP($H87,Lists!$P$3:$Q$7,2),IF($N87=Lists!$K$3,IF($L87&lt;1,(($U87/$L87)*((1+Inputs!$D$7)^CS$2)),((INT(CS$2/$L87)-INT((CS$2-1)/$L87))*$U87*((1+Inputs!$D$7)^CS$2))),(Inputs!$D$8^((1-_xlfn.WEIBULL.DIST(CS$2,$M87,$L87,FALSE))/_xlfn.WEIBULL.DIST(CS$2,$M87,$L87,FALSE))*$U87*((1+Inputs!$D$7)^CS$2))),IF($N87=Lists!$K$3,IF($L87&lt;1,((($T87*(1-$F87)+$S87*(1-$G87))/$L87)*((1+Inputs!$D$7)^CS$2)),((INT(CS$2/$L87)-INT((CS$2-1)/$L87))*($T87*(1-$F87)+$S87*(1-$G87))*((1+Inputs!$D$7)^CS$2))),((Inputs!$D$8^((1-_xlfn.WEIBULL.DIST(CS$2,$M87,$L87,FALSE))/_xlfn.WEIBULL.DIST(CS$2,$M87,$L87,FALSE))*($T87*(1-$F87)+$S87*(1-$G87))*((1+Inputs!$D$7)^CS$2))))))))</f>
        <v>0</v>
      </c>
      <c r="CT87" s="88">
        <f>MAX(BD87,($E87*IF(CT$2&gt;Inputs!$D$5,0,IF(CT$2&gt;VLOOKUP($H87,Lists!$P$3:$Q$7,2),IF($N87=Lists!$K$3,IF($L87&lt;1,(($U87/$L87)*((1+Inputs!$D$7)^CT$2)),((INT(CT$2/$L87)-INT((CT$2-1)/$L87))*$U87*((1+Inputs!$D$7)^CT$2))),(Inputs!$D$8^((1-_xlfn.WEIBULL.DIST(CT$2,$M87,$L87,FALSE))/_xlfn.WEIBULL.DIST(CT$2,$M87,$L87,FALSE))*$U87*((1+Inputs!$D$7)^CT$2))),IF($N87=Lists!$K$3,IF($L87&lt;1,((($T87*(1-$F87)+$S87*(1-$G87))/$L87)*((1+Inputs!$D$7)^CT$2)),((INT(CT$2/$L87)-INT((CT$2-1)/$L87))*($T87*(1-$F87)+$S87*(1-$G87))*((1+Inputs!$D$7)^CT$2))),((Inputs!$D$8^((1-_xlfn.WEIBULL.DIST(CT$2,$M87,$L87,FALSE))/_xlfn.WEIBULL.DIST(CT$2,$M87,$L87,FALSE))*($T87*(1-$F87)+$S87*(1-$G87))*((1+Inputs!$D$7)^CT$2))))))))</f>
        <v>0</v>
      </c>
      <c r="CU87" s="88">
        <f>MAX(BE87,($E87*IF(CU$2&gt;Inputs!$D$5,0,IF(CU$2&gt;VLOOKUP($H87,Lists!$P$3:$Q$7,2),IF($N87=Lists!$K$3,IF($L87&lt;1,(($U87/$L87)*((1+Inputs!$D$7)^CU$2)),((INT(CU$2/$L87)-INT((CU$2-1)/$L87))*$U87*((1+Inputs!$D$7)^CU$2))),(Inputs!$D$8^((1-_xlfn.WEIBULL.DIST(CU$2,$M87,$L87,FALSE))/_xlfn.WEIBULL.DIST(CU$2,$M87,$L87,FALSE))*$U87*((1+Inputs!$D$7)^CU$2))),IF($N87=Lists!$K$3,IF($L87&lt;1,((($T87*(1-$F87)+$S87*(1-$G87))/$L87)*((1+Inputs!$D$7)^CU$2)),((INT(CU$2/$L87)-INT((CU$2-1)/$L87))*($T87*(1-$F87)+$S87*(1-$G87))*((1+Inputs!$D$7)^CU$2))),((Inputs!$D$8^((1-_xlfn.WEIBULL.DIST(CU$2,$M87,$L87,FALSE))/_xlfn.WEIBULL.DIST(CU$2,$M87,$L87,FALSE))*($T87*(1-$F87)+$S87*(1-$G87))*((1+Inputs!$D$7)^CU$2))))))))</f>
        <v>0</v>
      </c>
      <c r="CV87" s="88">
        <f>MAX(BF87,($E87*IF(CV$2&gt;Inputs!$D$5,0,IF(CV$2&gt;VLOOKUP($H87,Lists!$P$3:$Q$7,2),IF($N87=Lists!$K$3,IF($L87&lt;1,(($U87/$L87)*((1+Inputs!$D$7)^CV$2)),((INT(CV$2/$L87)-INT((CV$2-1)/$L87))*$U87*((1+Inputs!$D$7)^CV$2))),(Inputs!$D$8^((1-_xlfn.WEIBULL.DIST(CV$2,$M87,$L87,FALSE))/_xlfn.WEIBULL.DIST(CV$2,$M87,$L87,FALSE))*$U87*((1+Inputs!$D$7)^CV$2))),IF($N87=Lists!$K$3,IF($L87&lt;1,((($T87*(1-$F87)+$S87*(1-$G87))/$L87)*((1+Inputs!$D$7)^CV$2)),((INT(CV$2/$L87)-INT((CV$2-1)/$L87))*($T87*(1-$F87)+$S87*(1-$G87))*((1+Inputs!$D$7)^CV$2))),((Inputs!$D$8^((1-_xlfn.WEIBULL.DIST(CV$2,$M87,$L87,FALSE))/_xlfn.WEIBULL.DIST(CV$2,$M87,$L87,FALSE))*($T87*(1-$F87)+$S87*(1-$G87))*((1+Inputs!$D$7)^CV$2))))))))</f>
        <v>0</v>
      </c>
      <c r="CW87" s="88">
        <f>MAX(BG87,($E87*IF(CW$2&gt;Inputs!$D$5,0,IF(CW$2&gt;VLOOKUP($H87,Lists!$P$3:$Q$7,2),IF($N87=Lists!$K$3,IF($L87&lt;1,(($U87/$L87)*((1+Inputs!$D$7)^CW$2)),((INT(CW$2/$L87)-INT((CW$2-1)/$L87))*$U87*((1+Inputs!$D$7)^CW$2))),(Inputs!$D$8^((1-_xlfn.WEIBULL.DIST(CW$2,$M87,$L87,FALSE))/_xlfn.WEIBULL.DIST(CW$2,$M87,$L87,FALSE))*$U87*((1+Inputs!$D$7)^CW$2))),IF($N87=Lists!$K$3,IF($L87&lt;1,((($T87*(1-$F87)+$S87*(1-$G87))/$L87)*((1+Inputs!$D$7)^CW$2)),((INT(CW$2/$L87)-INT((CW$2-1)/$L87))*($T87*(1-$F87)+$S87*(1-$G87))*((1+Inputs!$D$7)^CW$2))),((Inputs!$D$8^((1-_xlfn.WEIBULL.DIST(CW$2,$M87,$L87,FALSE))/_xlfn.WEIBULL.DIST(CW$2,$M87,$L87,FALSE))*($T87*(1-$F87)+$S87*(1-$G87))*((1+Inputs!$D$7)^CW$2))))))))</f>
        <v>0</v>
      </c>
      <c r="CX87" s="88">
        <f>MAX(BH87,($E87*IF(CX$2&gt;Inputs!$D$5,0,IF(CX$2&gt;VLOOKUP($H87,Lists!$P$3:$Q$7,2),IF($N87=Lists!$K$3,IF($L87&lt;1,(($U87/$L87)*((1+Inputs!$D$7)^CX$2)),((INT(CX$2/$L87)-INT((CX$2-1)/$L87))*$U87*((1+Inputs!$D$7)^CX$2))),(Inputs!$D$8^((1-_xlfn.WEIBULL.DIST(CX$2,$M87,$L87,FALSE))/_xlfn.WEIBULL.DIST(CX$2,$M87,$L87,FALSE))*$U87*((1+Inputs!$D$7)^CX$2))),IF($N87=Lists!$K$3,IF($L87&lt;1,((($T87*(1-$F87)+$S87*(1-$G87))/$L87)*((1+Inputs!$D$7)^CX$2)),((INT(CX$2/$L87)-INT((CX$2-1)/$L87))*($T87*(1-$F87)+$S87*(1-$G87))*((1+Inputs!$D$7)^CX$2))),((Inputs!$D$8^((1-_xlfn.WEIBULL.DIST(CX$2,$M87,$L87,FALSE))/_xlfn.WEIBULL.DIST(CX$2,$M87,$L87,FALSE))*($T87*(1-$F87)+$S87*(1-$G87))*((1+Inputs!$D$7)^CX$2))))))))</f>
        <v>0</v>
      </c>
      <c r="CY87" s="88">
        <f>MAX(BI87,($E87*IF(CY$2&gt;Inputs!$D$5,0,IF(CY$2&gt;VLOOKUP($H87,Lists!$P$3:$Q$7,2),IF($N87=Lists!$K$3,IF($L87&lt;1,(($U87/$L87)*((1+Inputs!$D$7)^CY$2)),((INT(CY$2/$L87)-INT((CY$2-1)/$L87))*$U87*((1+Inputs!$D$7)^CY$2))),(Inputs!$D$8^((1-_xlfn.WEIBULL.DIST(CY$2,$M87,$L87,FALSE))/_xlfn.WEIBULL.DIST(CY$2,$M87,$L87,FALSE))*$U87*((1+Inputs!$D$7)^CY$2))),IF($N87=Lists!$K$3,IF($L87&lt;1,((($T87*(1-$F87)+$S87*(1-$G87))/$L87)*((1+Inputs!$D$7)^CY$2)),((INT(CY$2/$L87)-INT((CY$2-1)/$L87))*($T87*(1-$F87)+$S87*(1-$G87))*((1+Inputs!$D$7)^CY$2))),((Inputs!$D$8^((1-_xlfn.WEIBULL.DIST(CY$2,$M87,$L87,FALSE))/_xlfn.WEIBULL.DIST(CY$2,$M87,$L87,FALSE))*($T87*(1-$F87)+$S87*(1-$G87))*((1+Inputs!$D$7)^CY$2))))))))</f>
        <v>0</v>
      </c>
      <c r="CZ87" s="88">
        <f>MAX(BJ87,($E87*IF(CZ$2&gt;Inputs!$D$5,0,IF(CZ$2&gt;VLOOKUP($H87,Lists!$P$3:$Q$7,2),IF($N87=Lists!$K$3,IF($L87&lt;1,(($U87/$L87)*((1+Inputs!$D$7)^CZ$2)),((INT(CZ$2/$L87)-INT((CZ$2-1)/$L87))*$U87*((1+Inputs!$D$7)^CZ$2))),(Inputs!$D$8^((1-_xlfn.WEIBULL.DIST(CZ$2,$M87,$L87,FALSE))/_xlfn.WEIBULL.DIST(CZ$2,$M87,$L87,FALSE))*$U87*((1+Inputs!$D$7)^CZ$2))),IF($N87=Lists!$K$3,IF($L87&lt;1,((($T87*(1-$F87)+$S87*(1-$G87))/$L87)*((1+Inputs!$D$7)^CZ$2)),((INT(CZ$2/$L87)-INT((CZ$2-1)/$L87))*($T87*(1-$F87)+$S87*(1-$G87))*((1+Inputs!$D$7)^CZ$2))),((Inputs!$D$8^((1-_xlfn.WEIBULL.DIST(CZ$2,$M87,$L87,FALSE))/_xlfn.WEIBULL.DIST(CZ$2,$M87,$L87,FALSE))*($T87*(1-$F87)+$S87*(1-$G87))*((1+Inputs!$D$7)^CZ$2))))))))</f>
        <v>0</v>
      </c>
      <c r="DA87" s="88">
        <f>MAX(BK87,($E87*IF(DA$2&gt;Inputs!$D$5,0,IF(DA$2&gt;VLOOKUP($H87,Lists!$P$3:$Q$7,2),IF($N87=Lists!$K$3,IF($L87&lt;1,(($U87/$L87)*((1+Inputs!$D$7)^DA$2)),((INT(DA$2/$L87)-INT((DA$2-1)/$L87))*$U87*((1+Inputs!$D$7)^DA$2))),(Inputs!$D$8^((1-_xlfn.WEIBULL.DIST(DA$2,$M87,$L87,FALSE))/_xlfn.WEIBULL.DIST(DA$2,$M87,$L87,FALSE))*$U87*((1+Inputs!$D$7)^DA$2))),IF($N87=Lists!$K$3,IF($L87&lt;1,((($T87*(1-$F87)+$S87*(1-$G87))/$L87)*((1+Inputs!$D$7)^DA$2)),((INT(DA$2/$L87)-INT((DA$2-1)/$L87))*($T87*(1-$F87)+$S87*(1-$G87))*((1+Inputs!$D$7)^DA$2))),((Inputs!$D$8^((1-_xlfn.WEIBULL.DIST(DA$2,$M87,$L87,FALSE))/_xlfn.WEIBULL.DIST(DA$2,$M87,$L87,FALSE))*($T87*(1-$F87)+$S87*(1-$G87))*((1+Inputs!$D$7)^DA$2))))))))</f>
        <v>0</v>
      </c>
      <c r="DB87" s="88">
        <f>MAX(BL87,($E87*IF(DB$2&gt;Inputs!$D$5,0,IF(DB$2&gt;VLOOKUP($H87,Lists!$P$3:$Q$7,2),IF($N87=Lists!$K$3,IF($L87&lt;1,(($U87/$L87)*((1+Inputs!$D$7)^DB$2)),((INT(DB$2/$L87)-INT((DB$2-1)/$L87))*$U87*((1+Inputs!$D$7)^DB$2))),(Inputs!$D$8^((1-_xlfn.WEIBULL.DIST(DB$2,$M87,$L87,FALSE))/_xlfn.WEIBULL.DIST(DB$2,$M87,$L87,FALSE))*$U87*((1+Inputs!$D$7)^DB$2))),IF($N87=Lists!$K$3,IF($L87&lt;1,((($T87*(1-$F87)+$S87*(1-$G87))/$L87)*((1+Inputs!$D$7)^DB$2)),((INT(DB$2/$L87)-INT((DB$2-1)/$L87))*($T87*(1-$F87)+$S87*(1-$G87))*((1+Inputs!$D$7)^DB$2))),((Inputs!$D$8^((1-_xlfn.WEIBULL.DIST(DB$2,$M87,$L87,FALSE))/_xlfn.WEIBULL.DIST(DB$2,$M87,$L87,FALSE))*($T87*(1-$F87)+$S87*(1-$G87))*((1+Inputs!$D$7)^DB$2))))))))</f>
        <v>0</v>
      </c>
      <c r="DC87" s="88">
        <f>MAX(BM87,($E87*IF(DC$2&gt;Inputs!$D$5,0,IF(DC$2&gt;VLOOKUP($H87,Lists!$P$3:$Q$7,2),IF($N87=Lists!$K$3,IF($L87&lt;1,(($U87/$L87)*((1+Inputs!$D$7)^DC$2)),((INT(DC$2/$L87)-INT((DC$2-1)/$L87))*$U87*((1+Inputs!$D$7)^DC$2))),(Inputs!$D$8^((1-_xlfn.WEIBULL.DIST(DC$2,$M87,$L87,FALSE))/_xlfn.WEIBULL.DIST(DC$2,$M87,$L87,FALSE))*$U87*((1+Inputs!$D$7)^DC$2))),IF($N87=Lists!$K$3,IF($L87&lt;1,((($T87*(1-$F87)+$S87*(1-$G87))/$L87)*((1+Inputs!$D$7)^DC$2)),((INT(DC$2/$L87)-INT((DC$2-1)/$L87))*($T87*(1-$F87)+$S87*(1-$G87))*((1+Inputs!$D$7)^DC$2))),((Inputs!$D$8^((1-_xlfn.WEIBULL.DIST(DC$2,$M87,$L87,FALSE))/_xlfn.WEIBULL.DIST(DC$2,$M87,$L87,FALSE))*($T87*(1-$F87)+$S87*(1-$G87))*((1+Inputs!$D$7)^DC$2))))))))</f>
        <v>0</v>
      </c>
      <c r="DD87" s="88">
        <f>MAX(BN87,($E87*IF(DD$2&gt;Inputs!$D$5,0,IF(DD$2&gt;VLOOKUP($H87,Lists!$P$3:$Q$7,2),IF($N87=Lists!$K$3,IF($L87&lt;1,(($U87/$L87)*((1+Inputs!$D$7)^DD$2)),((INT(DD$2/$L87)-INT((DD$2-1)/$L87))*$U87*((1+Inputs!$D$7)^DD$2))),(Inputs!$D$8^((1-_xlfn.WEIBULL.DIST(DD$2,$M87,$L87,FALSE))/_xlfn.WEIBULL.DIST(DD$2,$M87,$L87,FALSE))*$U87*((1+Inputs!$D$7)^DD$2))),IF($N87=Lists!$K$3,IF($L87&lt;1,((($T87*(1-$F87)+$S87*(1-$G87))/$L87)*((1+Inputs!$D$7)^DD$2)),((INT(DD$2/$L87)-INT((DD$2-1)/$L87))*($T87*(1-$F87)+$S87*(1-$G87))*((1+Inputs!$D$7)^DD$2))),((Inputs!$D$8^((1-_xlfn.WEIBULL.DIST(DD$2,$M87,$L87,FALSE))/_xlfn.WEIBULL.DIST(DD$2,$M87,$L87,FALSE))*($T87*(1-$F87)+$S87*(1-$G87))*((1+Inputs!$D$7)^DD$2))))))))</f>
        <v>0</v>
      </c>
    </row>
    <row r="88" spans="1:108" s="1" customFormat="1" ht="16">
      <c r="A88" s="57" t="s">
        <v>1</v>
      </c>
      <c r="B88" s="13" t="s">
        <v>279</v>
      </c>
      <c r="C88" s="13" t="s">
        <v>473</v>
      </c>
      <c r="D88" s="13" t="s">
        <v>34</v>
      </c>
      <c r="E88" s="48">
        <v>1</v>
      </c>
      <c r="F88" s="48">
        <v>0</v>
      </c>
      <c r="G88" s="48">
        <v>0</v>
      </c>
      <c r="H88" s="105" t="s">
        <v>350</v>
      </c>
      <c r="I88" s="14" t="s">
        <v>15</v>
      </c>
      <c r="J88" s="14" t="s">
        <v>92</v>
      </c>
      <c r="K88" s="13">
        <f>VLOOKUP(J88,'Labor Rates'!$A$1:$F$16,2)</f>
        <v>33.17307692307692</v>
      </c>
      <c r="L88" s="15">
        <v>1</v>
      </c>
      <c r="M88" s="15">
        <v>1</v>
      </c>
      <c r="N88" s="13" t="s">
        <v>236</v>
      </c>
      <c r="O88" s="61">
        <f>Inputs!$D$27</f>
        <v>157</v>
      </c>
      <c r="P88" s="15">
        <f>5/60</f>
        <v>8.3333333333333329E-2</v>
      </c>
      <c r="Q88" s="15">
        <f t="shared" si="14"/>
        <v>13.083333333333332</v>
      </c>
      <c r="R88" s="4">
        <v>0</v>
      </c>
      <c r="S88" s="53">
        <f t="shared" si="15"/>
        <v>434.01442307692298</v>
      </c>
      <c r="T88" s="53">
        <f t="shared" si="16"/>
        <v>0</v>
      </c>
      <c r="U88" s="54">
        <f t="shared" si="17"/>
        <v>434.01442307692298</v>
      </c>
      <c r="V88" s="65"/>
      <c r="W88" s="58"/>
      <c r="X88" s="64">
        <f t="shared" si="18"/>
        <v>537.81585571376002</v>
      </c>
      <c r="Y88" s="64">
        <f>NPV(Inputs!$D$6,AA88:BN88)</f>
        <v>6177.536381208186</v>
      </c>
      <c r="Z88" s="67">
        <f t="shared" si="19"/>
        <v>2.9136277490771339E-3</v>
      </c>
      <c r="AA88" s="88">
        <f>$E88*IF(AA$2&gt;Inputs!$D$5,0,IF(AA$2&gt;VLOOKUP($H88,Lists!$P$3:$Q$7,2),IF($N88=Lists!$K$3,IF($L88&lt;1,(($U88/$L88)*((1+Inputs!$D$7)^AA$2)),((INT(AA$2/$L88)-INT((AA$2-1)/$L88))*$U88*((1+Inputs!$D$7)^AA$2))),(_xlfn.WEIBULL.DIST(AA$2,$M88,$L88,FALSE)*$U88*((1+Inputs!$D$7)^AA$2))),IF($N88=Lists!$K$3,IF($L88&lt;1,((($T88*(1-$F88)+$S88*(1-$G88))/$L88)*((1+Inputs!$D$7)^AA$2)),((INT(AA$2/$L88)-INT((AA$2-1)/$L88))*($T88*(1-$F88)+$S88*(1-$G88))*((1+Inputs!$D$7)^AA$2))),((_xlfn.WEIBULL.DIST(AA$2,$M88,$L88,FALSE)*($T88*(1-$F88)+$S88*(1-$G88))*((1+Inputs!$D$7)^AA$2))))))</f>
        <v>442.69471153846143</v>
      </c>
      <c r="AB88" s="88">
        <f>$E88*IF(AB$2&gt;Inputs!$D$5,0,IF(AB$2&gt;VLOOKUP($H88,Lists!$P$3:$Q$7,2),IF($N88=Lists!$K$3,IF($L88&lt;1,(($U88/$L88)*((1+Inputs!$D$7)^AB$2)),((INT(AB$2/$L88)-INT((AB$2-1)/$L88))*$U88*((1+Inputs!$D$7)^AB$2))),(_xlfn.WEIBULL.DIST(AB$2,$M88,$L88,FALSE)*$U88*((1+Inputs!$D$7)^AB$2))),IF($N88=Lists!$K$3,IF($L88&lt;1,((($T88*(1-$F88)+$S88*(1-$G88))/$L88)*((1+Inputs!$D$7)^AB$2)),((INT(AB$2/$L88)-INT((AB$2-1)/$L88))*($T88*(1-$F88)+$S88*(1-$G88))*((1+Inputs!$D$7)^AB$2))),((_xlfn.WEIBULL.DIST(AB$2,$M88,$L88,FALSE)*($T88*(1-$F88)+$S88*(1-$G88))*((1+Inputs!$D$7)^AB$2))))))</f>
        <v>451.54860576923068</v>
      </c>
      <c r="AC88" s="88">
        <f>$E88*IF(AC$2&gt;Inputs!$D$5,0,IF(AC$2&gt;VLOOKUP($H88,Lists!$P$3:$Q$7,2),IF($N88=Lists!$K$3,IF($L88&lt;1,(($U88/$L88)*((1+Inputs!$D$7)^AC$2)),((INT(AC$2/$L88)-INT((AC$2-1)/$L88))*$U88*((1+Inputs!$D$7)^AC$2))),(_xlfn.WEIBULL.DIST(AC$2,$M88,$L88,FALSE)*$U88*((1+Inputs!$D$7)^AC$2))),IF($N88=Lists!$K$3,IF($L88&lt;1,((($T88*(1-$F88)+$S88*(1-$G88))/$L88)*((1+Inputs!$D$7)^AC$2)),((INT(AC$2/$L88)-INT((AC$2-1)/$L88))*($T88*(1-$F88)+$S88*(1-$G88))*((1+Inputs!$D$7)^AC$2))),((_xlfn.WEIBULL.DIST(AC$2,$M88,$L88,FALSE)*($T88*(1-$F88)+$S88*(1-$G88))*((1+Inputs!$D$7)^AC$2))))))</f>
        <v>460.57957788461528</v>
      </c>
      <c r="AD88" s="88">
        <f>$E88*IF(AD$2&gt;Inputs!$D$5,0,IF(AD$2&gt;VLOOKUP($H88,Lists!$P$3:$Q$7,2),IF($N88=Lists!$K$3,IF($L88&lt;1,(($U88/$L88)*((1+Inputs!$D$7)^AD$2)),((INT(AD$2/$L88)-INT((AD$2-1)/$L88))*$U88*((1+Inputs!$D$7)^AD$2))),(_xlfn.WEIBULL.DIST(AD$2,$M88,$L88,FALSE)*$U88*((1+Inputs!$D$7)^AD$2))),IF($N88=Lists!$K$3,IF($L88&lt;1,((($T88*(1-$F88)+$S88*(1-$G88))/$L88)*((1+Inputs!$D$7)^AD$2)),((INT(AD$2/$L88)-INT((AD$2-1)/$L88))*($T88*(1-$F88)+$S88*(1-$G88))*((1+Inputs!$D$7)^AD$2))),((_xlfn.WEIBULL.DIST(AD$2,$M88,$L88,FALSE)*($T88*(1-$F88)+$S88*(1-$G88))*((1+Inputs!$D$7)^AD$2))))))</f>
        <v>469.79116944230759</v>
      </c>
      <c r="AE88" s="88">
        <f>$E88*IF(AE$2&gt;Inputs!$D$5,0,IF(AE$2&gt;VLOOKUP($H88,Lists!$P$3:$Q$7,2),IF($N88=Lists!$K$3,IF($L88&lt;1,(($U88/$L88)*((1+Inputs!$D$7)^AE$2)),((INT(AE$2/$L88)-INT((AE$2-1)/$L88))*$U88*((1+Inputs!$D$7)^AE$2))),(_xlfn.WEIBULL.DIST(AE$2,$M88,$L88,FALSE)*$U88*((1+Inputs!$D$7)^AE$2))),IF($N88=Lists!$K$3,IF($L88&lt;1,((($T88*(1-$F88)+$S88*(1-$G88))/$L88)*((1+Inputs!$D$7)^AE$2)),((INT(AE$2/$L88)-INT((AE$2-1)/$L88))*($T88*(1-$F88)+$S88*(1-$G88))*((1+Inputs!$D$7)^AE$2))),((_xlfn.WEIBULL.DIST(AE$2,$M88,$L88,FALSE)*($T88*(1-$F88)+$S88*(1-$G88))*((1+Inputs!$D$7)^AE$2))))))</f>
        <v>479.18699283115376</v>
      </c>
      <c r="AF88" s="88">
        <f>$E88*IF(AF$2&gt;Inputs!$D$5,0,IF(AF$2&gt;VLOOKUP($H88,Lists!$P$3:$Q$7,2),IF($N88=Lists!$K$3,IF($L88&lt;1,(($U88/$L88)*((1+Inputs!$D$7)^AF$2)),((INT(AF$2/$L88)-INT((AF$2-1)/$L88))*$U88*((1+Inputs!$D$7)^AF$2))),(_xlfn.WEIBULL.DIST(AF$2,$M88,$L88,FALSE)*$U88*((1+Inputs!$D$7)^AF$2))),IF($N88=Lists!$K$3,IF($L88&lt;1,((($T88*(1-$F88)+$S88*(1-$G88))/$L88)*((1+Inputs!$D$7)^AF$2)),((INT(AF$2/$L88)-INT((AF$2-1)/$L88))*($T88*(1-$F88)+$S88*(1-$G88))*((1+Inputs!$D$7)^AF$2))),((_xlfn.WEIBULL.DIST(AF$2,$M88,$L88,FALSE)*($T88*(1-$F88)+$S88*(1-$G88))*((1+Inputs!$D$7)^AF$2))))))</f>
        <v>488.77073268777684</v>
      </c>
      <c r="AG88" s="88">
        <f>$E88*IF(AG$2&gt;Inputs!$D$5,0,IF(AG$2&gt;VLOOKUP($H88,Lists!$P$3:$Q$7,2),IF($N88=Lists!$K$3,IF($L88&lt;1,(($U88/$L88)*((1+Inputs!$D$7)^AG$2)),((INT(AG$2/$L88)-INT((AG$2-1)/$L88))*$U88*((1+Inputs!$D$7)^AG$2))),(_xlfn.WEIBULL.DIST(AG$2,$M88,$L88,FALSE)*$U88*((1+Inputs!$D$7)^AG$2))),IF($N88=Lists!$K$3,IF($L88&lt;1,((($T88*(1-$F88)+$S88*(1-$G88))/$L88)*((1+Inputs!$D$7)^AG$2)),((INT(AG$2/$L88)-INT((AG$2-1)/$L88))*($T88*(1-$F88)+$S88*(1-$G88))*((1+Inputs!$D$7)^AG$2))),((_xlfn.WEIBULL.DIST(AG$2,$M88,$L88,FALSE)*($T88*(1-$F88)+$S88*(1-$G88))*((1+Inputs!$D$7)^AG$2))))))</f>
        <v>498.54614734153228</v>
      </c>
      <c r="AH88" s="88">
        <f>$E88*IF(AH$2&gt;Inputs!$D$5,0,IF(AH$2&gt;VLOOKUP($H88,Lists!$P$3:$Q$7,2),IF($N88=Lists!$K$3,IF($L88&lt;1,(($U88/$L88)*((1+Inputs!$D$7)^AH$2)),((INT(AH$2/$L88)-INT((AH$2-1)/$L88))*$U88*((1+Inputs!$D$7)^AH$2))),(_xlfn.WEIBULL.DIST(AH$2,$M88,$L88,FALSE)*$U88*((1+Inputs!$D$7)^AH$2))),IF($N88=Lists!$K$3,IF($L88&lt;1,((($T88*(1-$F88)+$S88*(1-$G88))/$L88)*((1+Inputs!$D$7)^AH$2)),((INT(AH$2/$L88)-INT((AH$2-1)/$L88))*($T88*(1-$F88)+$S88*(1-$G88))*((1+Inputs!$D$7)^AH$2))),((_xlfn.WEIBULL.DIST(AH$2,$M88,$L88,FALSE)*($T88*(1-$F88)+$S88*(1-$G88))*((1+Inputs!$D$7)^AH$2))))))</f>
        <v>508.51707028836296</v>
      </c>
      <c r="AI88" s="88">
        <f>$E88*IF(AI$2&gt;Inputs!$D$5,0,IF(AI$2&gt;VLOOKUP($H88,Lists!$P$3:$Q$7,2),IF($N88=Lists!$K$3,IF($L88&lt;1,(($U88/$L88)*((1+Inputs!$D$7)^AI$2)),((INT(AI$2/$L88)-INT((AI$2-1)/$L88))*$U88*((1+Inputs!$D$7)^AI$2))),(_xlfn.WEIBULL.DIST(AI$2,$M88,$L88,FALSE)*$U88*((1+Inputs!$D$7)^AI$2))),IF($N88=Lists!$K$3,IF($L88&lt;1,((($T88*(1-$F88)+$S88*(1-$G88))/$L88)*((1+Inputs!$D$7)^AI$2)),((INT(AI$2/$L88)-INT((AI$2-1)/$L88))*($T88*(1-$F88)+$S88*(1-$G88))*((1+Inputs!$D$7)^AI$2))),((_xlfn.WEIBULL.DIST(AI$2,$M88,$L88,FALSE)*($T88*(1-$F88)+$S88*(1-$G88))*((1+Inputs!$D$7)^AI$2))))))</f>
        <v>518.68741169413022</v>
      </c>
      <c r="AJ88" s="88">
        <f>$E88*IF(AJ$2&gt;Inputs!$D$5,0,IF(AJ$2&gt;VLOOKUP($H88,Lists!$P$3:$Q$7,2),IF($N88=Lists!$K$3,IF($L88&lt;1,(($U88/$L88)*((1+Inputs!$D$7)^AJ$2)),((INT(AJ$2/$L88)-INT((AJ$2-1)/$L88))*$U88*((1+Inputs!$D$7)^AJ$2))),(_xlfn.WEIBULL.DIST(AJ$2,$M88,$L88,FALSE)*$U88*((1+Inputs!$D$7)^AJ$2))),IF($N88=Lists!$K$3,IF($L88&lt;1,((($T88*(1-$F88)+$S88*(1-$G88))/$L88)*((1+Inputs!$D$7)^AJ$2)),((INT(AJ$2/$L88)-INT((AJ$2-1)/$L88))*($T88*(1-$F88)+$S88*(1-$G88))*((1+Inputs!$D$7)^AJ$2))),((_xlfn.WEIBULL.DIST(AJ$2,$M88,$L88,FALSE)*($T88*(1-$F88)+$S88*(1-$G88))*((1+Inputs!$D$7)^AJ$2))))))</f>
        <v>529.0611599280129</v>
      </c>
      <c r="AK88" s="88">
        <f>$E88*IF(AK$2&gt;Inputs!$D$5,0,IF(AK$2&gt;VLOOKUP($H88,Lists!$P$3:$Q$7,2),IF($N88=Lists!$K$3,IF($L88&lt;1,(($U88/$L88)*((1+Inputs!$D$7)^AK$2)),((INT(AK$2/$L88)-INT((AK$2-1)/$L88))*$U88*((1+Inputs!$D$7)^AK$2))),(_xlfn.WEIBULL.DIST(AK$2,$M88,$L88,FALSE)*$U88*((1+Inputs!$D$7)^AK$2))),IF($N88=Lists!$K$3,IF($L88&lt;1,((($T88*(1-$F88)+$S88*(1-$G88))/$L88)*((1+Inputs!$D$7)^AK$2)),((INT(AK$2/$L88)-INT((AK$2-1)/$L88))*($T88*(1-$F88)+$S88*(1-$G88))*((1+Inputs!$D$7)^AK$2))),((_xlfn.WEIBULL.DIST(AK$2,$M88,$L88,FALSE)*($T88*(1-$F88)+$S88*(1-$G88))*((1+Inputs!$D$7)^AK$2))))))</f>
        <v>539.64238312657301</v>
      </c>
      <c r="AL88" s="88">
        <f>$E88*IF(AL$2&gt;Inputs!$D$5,0,IF(AL$2&gt;VLOOKUP($H88,Lists!$P$3:$Q$7,2),IF($N88=Lists!$K$3,IF($L88&lt;1,(($U88/$L88)*((1+Inputs!$D$7)^AL$2)),((INT(AL$2/$L88)-INT((AL$2-1)/$L88))*$U88*((1+Inputs!$D$7)^AL$2))),(_xlfn.WEIBULL.DIST(AL$2,$M88,$L88,FALSE)*$U88*((1+Inputs!$D$7)^AL$2))),IF($N88=Lists!$K$3,IF($L88&lt;1,((($T88*(1-$F88)+$S88*(1-$G88))/$L88)*((1+Inputs!$D$7)^AL$2)),((INT(AL$2/$L88)-INT((AL$2-1)/$L88))*($T88*(1-$F88)+$S88*(1-$G88))*((1+Inputs!$D$7)^AL$2))),((_xlfn.WEIBULL.DIST(AL$2,$M88,$L88,FALSE)*($T88*(1-$F88)+$S88*(1-$G88))*((1+Inputs!$D$7)^AL$2))))))</f>
        <v>550.43523078910459</v>
      </c>
      <c r="AM88" s="88">
        <f>$E88*IF(AM$2&gt;Inputs!$D$5,0,IF(AM$2&gt;VLOOKUP($H88,Lists!$P$3:$Q$7,2),IF($N88=Lists!$K$3,IF($L88&lt;1,(($U88/$L88)*((1+Inputs!$D$7)^AM$2)),((INT(AM$2/$L88)-INT((AM$2-1)/$L88))*$U88*((1+Inputs!$D$7)^AM$2))),(_xlfn.WEIBULL.DIST(AM$2,$M88,$L88,FALSE)*$U88*((1+Inputs!$D$7)^AM$2))),IF($N88=Lists!$K$3,IF($L88&lt;1,((($T88*(1-$F88)+$S88*(1-$G88))/$L88)*((1+Inputs!$D$7)^AM$2)),((INT(AM$2/$L88)-INT((AM$2-1)/$L88))*($T88*(1-$F88)+$S88*(1-$G88))*((1+Inputs!$D$7)^AM$2))),((_xlfn.WEIBULL.DIST(AM$2,$M88,$L88,FALSE)*($T88*(1-$F88)+$S88*(1-$G88))*((1+Inputs!$D$7)^AM$2))))))</f>
        <v>561.44393540488659</v>
      </c>
      <c r="AN88" s="88">
        <f>$E88*IF(AN$2&gt;Inputs!$D$5,0,IF(AN$2&gt;VLOOKUP($H88,Lists!$P$3:$Q$7,2),IF($N88=Lists!$K$3,IF($L88&lt;1,(($U88/$L88)*((1+Inputs!$D$7)^AN$2)),((INT(AN$2/$L88)-INT((AN$2-1)/$L88))*$U88*((1+Inputs!$D$7)^AN$2))),(_xlfn.WEIBULL.DIST(AN$2,$M88,$L88,FALSE)*$U88*((1+Inputs!$D$7)^AN$2))),IF($N88=Lists!$K$3,IF($L88&lt;1,((($T88*(1-$F88)+$S88*(1-$G88))/$L88)*((1+Inputs!$D$7)^AN$2)),((INT(AN$2/$L88)-INT((AN$2-1)/$L88))*($T88*(1-$F88)+$S88*(1-$G88))*((1+Inputs!$D$7)^AN$2))),((_xlfn.WEIBULL.DIST(AN$2,$M88,$L88,FALSE)*($T88*(1-$F88)+$S88*(1-$G88))*((1+Inputs!$D$7)^AN$2))))))</f>
        <v>572.67281411298438</v>
      </c>
      <c r="AO88" s="88">
        <f>$E88*IF(AO$2&gt;Inputs!$D$5,0,IF(AO$2&gt;VLOOKUP($H88,Lists!$P$3:$Q$7,2),IF($N88=Lists!$K$3,IF($L88&lt;1,(($U88/$L88)*((1+Inputs!$D$7)^AO$2)),((INT(AO$2/$L88)-INT((AO$2-1)/$L88))*$U88*((1+Inputs!$D$7)^AO$2))),(_xlfn.WEIBULL.DIST(AO$2,$M88,$L88,FALSE)*$U88*((1+Inputs!$D$7)^AO$2))),IF($N88=Lists!$K$3,IF($L88&lt;1,((($T88*(1-$F88)+$S88*(1-$G88))/$L88)*((1+Inputs!$D$7)^AO$2)),((INT(AO$2/$L88)-INT((AO$2-1)/$L88))*($T88*(1-$F88)+$S88*(1-$G88))*((1+Inputs!$D$7)^AO$2))),((_xlfn.WEIBULL.DIST(AO$2,$M88,$L88,FALSE)*($T88*(1-$F88)+$S88*(1-$G88))*((1+Inputs!$D$7)^AO$2))))))</f>
        <v>584.12627039524398</v>
      </c>
      <c r="AP88" s="88">
        <f>$E88*IF(AP$2&gt;Inputs!$D$5,0,IF(AP$2&gt;VLOOKUP($H88,Lists!$P$3:$Q$7,2),IF($N88=Lists!$K$3,IF($L88&lt;1,(($U88/$L88)*((1+Inputs!$D$7)^AP$2)),((INT(AP$2/$L88)-INT((AP$2-1)/$L88))*$U88*((1+Inputs!$D$7)^AP$2))),(_xlfn.WEIBULL.DIST(AP$2,$M88,$L88,FALSE)*$U88*((1+Inputs!$D$7)^AP$2))),IF($N88=Lists!$K$3,IF($L88&lt;1,((($T88*(1-$F88)+$S88*(1-$G88))/$L88)*((1+Inputs!$D$7)^AP$2)),((INT(AP$2/$L88)-INT((AP$2-1)/$L88))*($T88*(1-$F88)+$S88*(1-$G88))*((1+Inputs!$D$7)^AP$2))),((_xlfn.WEIBULL.DIST(AP$2,$M88,$L88,FALSE)*($T88*(1-$F88)+$S88*(1-$G88))*((1+Inputs!$D$7)^AP$2))))))</f>
        <v>595.80879580314888</v>
      </c>
      <c r="AQ88" s="88">
        <f>$E88*IF(AQ$2&gt;Inputs!$D$5,0,IF(AQ$2&gt;VLOOKUP($H88,Lists!$P$3:$Q$7,2),IF($N88=Lists!$K$3,IF($L88&lt;1,(($U88/$L88)*((1+Inputs!$D$7)^AQ$2)),((INT(AQ$2/$L88)-INT((AQ$2-1)/$L88))*$U88*((1+Inputs!$D$7)^AQ$2))),(_xlfn.WEIBULL.DIST(AQ$2,$M88,$L88,FALSE)*$U88*((1+Inputs!$D$7)^AQ$2))),IF($N88=Lists!$K$3,IF($L88&lt;1,((($T88*(1-$F88)+$S88*(1-$G88))/$L88)*((1+Inputs!$D$7)^AQ$2)),((INT(AQ$2/$L88)-INT((AQ$2-1)/$L88))*($T88*(1-$F88)+$S88*(1-$G88))*((1+Inputs!$D$7)^AQ$2))),((_xlfn.WEIBULL.DIST(AQ$2,$M88,$L88,FALSE)*($T88*(1-$F88)+$S88*(1-$G88))*((1+Inputs!$D$7)^AQ$2))))))</f>
        <v>607.72497171921191</v>
      </c>
      <c r="AR88" s="88">
        <f>$E88*IF(AR$2&gt;Inputs!$D$5,0,IF(AR$2&gt;VLOOKUP($H88,Lists!$P$3:$Q$7,2),IF($N88=Lists!$K$3,IF($L88&lt;1,(($U88/$L88)*((1+Inputs!$D$7)^AR$2)),((INT(AR$2/$L88)-INT((AR$2-1)/$L88))*$U88*((1+Inputs!$D$7)^AR$2))),(_xlfn.WEIBULL.DIST(AR$2,$M88,$L88,FALSE)*$U88*((1+Inputs!$D$7)^AR$2))),IF($N88=Lists!$K$3,IF($L88&lt;1,((($T88*(1-$F88)+$S88*(1-$G88))/$L88)*((1+Inputs!$D$7)^AR$2)),((INT(AR$2/$L88)-INT((AR$2-1)/$L88))*($T88*(1-$F88)+$S88*(1-$G88))*((1+Inputs!$D$7)^AR$2))),((_xlfn.WEIBULL.DIST(AR$2,$M88,$L88,FALSE)*($T88*(1-$F88)+$S88*(1-$G88))*((1+Inputs!$D$7)^AR$2))))))</f>
        <v>619.87947115359611</v>
      </c>
      <c r="AS88" s="88">
        <f>$E88*IF(AS$2&gt;Inputs!$D$5,0,IF(AS$2&gt;VLOOKUP($H88,Lists!$P$3:$Q$7,2),IF($N88=Lists!$K$3,IF($L88&lt;1,(($U88/$L88)*((1+Inputs!$D$7)^AS$2)),((INT(AS$2/$L88)-INT((AS$2-1)/$L88))*$U88*((1+Inputs!$D$7)^AS$2))),(_xlfn.WEIBULL.DIST(AS$2,$M88,$L88,FALSE)*$U88*((1+Inputs!$D$7)^AS$2))),IF($N88=Lists!$K$3,IF($L88&lt;1,((($T88*(1-$F88)+$S88*(1-$G88))/$L88)*((1+Inputs!$D$7)^AS$2)),((INT(AS$2/$L88)-INT((AS$2-1)/$L88))*($T88*(1-$F88)+$S88*(1-$G88))*((1+Inputs!$D$7)^AS$2))),((_xlfn.WEIBULL.DIST(AS$2,$M88,$L88,FALSE)*($T88*(1-$F88)+$S88*(1-$G88))*((1+Inputs!$D$7)^AS$2))))))</f>
        <v>632.27706057666796</v>
      </c>
      <c r="AT88" s="88">
        <f>$E88*IF(AT$2&gt;Inputs!$D$5,0,IF(AT$2&gt;VLOOKUP($H88,Lists!$P$3:$Q$7,2),IF($N88=Lists!$K$3,IF($L88&lt;1,(($U88/$L88)*((1+Inputs!$D$7)^AT$2)),((INT(AT$2/$L88)-INT((AT$2-1)/$L88))*$U88*((1+Inputs!$D$7)^AT$2))),(_xlfn.WEIBULL.DIST(AT$2,$M88,$L88,FALSE)*$U88*((1+Inputs!$D$7)^AT$2))),IF($N88=Lists!$K$3,IF($L88&lt;1,((($T88*(1-$F88)+$S88*(1-$G88))/$L88)*((1+Inputs!$D$7)^AT$2)),((INT(AT$2/$L88)-INT((AT$2-1)/$L88))*($T88*(1-$F88)+$S88*(1-$G88))*((1+Inputs!$D$7)^AT$2))),((_xlfn.WEIBULL.DIST(AT$2,$M88,$L88,FALSE)*($T88*(1-$F88)+$S88*(1-$G88))*((1+Inputs!$D$7)^AT$2))))))</f>
        <v>644.9226017882014</v>
      </c>
      <c r="AU88" s="88">
        <f>$E88*IF(AU$2&gt;Inputs!$D$5,0,IF(AU$2&gt;VLOOKUP($H88,Lists!$P$3:$Q$7,2),IF($N88=Lists!$K$3,IF($L88&lt;1,(($U88/$L88)*((1+Inputs!$D$7)^AU$2)),((INT(AU$2/$L88)-INT((AU$2-1)/$L88))*$U88*((1+Inputs!$D$7)^AU$2))),(_xlfn.WEIBULL.DIST(AU$2,$M88,$L88,FALSE)*$U88*((1+Inputs!$D$7)^AU$2))),IF($N88=Lists!$K$3,IF($L88&lt;1,((($T88*(1-$F88)+$S88*(1-$G88))/$L88)*((1+Inputs!$D$7)^AU$2)),((INT(AU$2/$L88)-INT((AU$2-1)/$L88))*($T88*(1-$F88)+$S88*(1-$G88))*((1+Inputs!$D$7)^AU$2))),((_xlfn.WEIBULL.DIST(AU$2,$M88,$L88,FALSE)*($T88*(1-$F88)+$S88*(1-$G88))*((1+Inputs!$D$7)^AU$2))))))</f>
        <v>657.82105382396537</v>
      </c>
      <c r="AV88" s="88">
        <f>$E88*IF(AV$2&gt;Inputs!$D$5,0,IF(AV$2&gt;VLOOKUP($H88,Lists!$P$3:$Q$7,2),IF($N88=Lists!$K$3,IF($L88&lt;1,(($U88/$L88)*((1+Inputs!$D$7)^AV$2)),((INT(AV$2/$L88)-INT((AV$2-1)/$L88))*$U88*((1+Inputs!$D$7)^AV$2))),(_xlfn.WEIBULL.DIST(AV$2,$M88,$L88,FALSE)*$U88*((1+Inputs!$D$7)^AV$2))),IF($N88=Lists!$K$3,IF($L88&lt;1,((($T88*(1-$F88)+$S88*(1-$G88))/$L88)*((1+Inputs!$D$7)^AV$2)),((INT(AV$2/$L88)-INT((AV$2-1)/$L88))*($T88*(1-$F88)+$S88*(1-$G88))*((1+Inputs!$D$7)^AV$2))),((_xlfn.WEIBULL.DIST(AV$2,$M88,$L88,FALSE)*($T88*(1-$F88)+$S88*(1-$G88))*((1+Inputs!$D$7)^AV$2))))))</f>
        <v>670.9774749004448</v>
      </c>
      <c r="AW88" s="88">
        <f>$E88*IF(AW$2&gt;Inputs!$D$5,0,IF(AW$2&gt;VLOOKUP($H88,Lists!$P$3:$Q$7,2),IF($N88=Lists!$K$3,IF($L88&lt;1,(($U88/$L88)*((1+Inputs!$D$7)^AW$2)),((INT(AW$2/$L88)-INT((AW$2-1)/$L88))*$U88*((1+Inputs!$D$7)^AW$2))),(_xlfn.WEIBULL.DIST(AW$2,$M88,$L88,FALSE)*$U88*((1+Inputs!$D$7)^AW$2))),IF($N88=Lists!$K$3,IF($L88&lt;1,((($T88*(1-$F88)+$S88*(1-$G88))/$L88)*((1+Inputs!$D$7)^AW$2)),((INT(AW$2/$L88)-INT((AW$2-1)/$L88))*($T88*(1-$F88)+$S88*(1-$G88))*((1+Inputs!$D$7)^AW$2))),((_xlfn.WEIBULL.DIST(AW$2,$M88,$L88,FALSE)*($T88*(1-$F88)+$S88*(1-$G88))*((1+Inputs!$D$7)^AW$2))))))</f>
        <v>684.39702439845348</v>
      </c>
      <c r="AX88" s="88">
        <f>$E88*IF(AX$2&gt;Inputs!$D$5,0,IF(AX$2&gt;VLOOKUP($H88,Lists!$P$3:$Q$7,2),IF($N88=Lists!$K$3,IF($L88&lt;1,(($U88/$L88)*((1+Inputs!$D$7)^AX$2)),((INT(AX$2/$L88)-INT((AX$2-1)/$L88))*$U88*((1+Inputs!$D$7)^AX$2))),(_xlfn.WEIBULL.DIST(AX$2,$M88,$L88,FALSE)*$U88*((1+Inputs!$D$7)^AX$2))),IF($N88=Lists!$K$3,IF($L88&lt;1,((($T88*(1-$F88)+$S88*(1-$G88))/$L88)*((1+Inputs!$D$7)^AX$2)),((INT(AX$2/$L88)-INT((AX$2-1)/$L88))*($T88*(1-$F88)+$S88*(1-$G88))*((1+Inputs!$D$7)^AX$2))),((_xlfn.WEIBULL.DIST(AX$2,$M88,$L88,FALSE)*($T88*(1-$F88)+$S88*(1-$G88))*((1+Inputs!$D$7)^AX$2))))))</f>
        <v>698.08496488642265</v>
      </c>
      <c r="AY88" s="88">
        <f>$E88*IF(AY$2&gt;Inputs!$D$5,0,IF(AY$2&gt;VLOOKUP($H88,Lists!$P$3:$Q$7,2),IF($N88=Lists!$K$3,IF($L88&lt;1,(($U88/$L88)*((1+Inputs!$D$7)^AY$2)),((INT(AY$2/$L88)-INT((AY$2-1)/$L88))*$U88*((1+Inputs!$D$7)^AY$2))),(_xlfn.WEIBULL.DIST(AY$2,$M88,$L88,FALSE)*$U88*((1+Inputs!$D$7)^AY$2))),IF($N88=Lists!$K$3,IF($L88&lt;1,((($T88*(1-$F88)+$S88*(1-$G88))/$L88)*((1+Inputs!$D$7)^AY$2)),((INT(AY$2/$L88)-INT((AY$2-1)/$L88))*($T88*(1-$F88)+$S88*(1-$G88))*((1+Inputs!$D$7)^AY$2))),((_xlfn.WEIBULL.DIST(AY$2,$M88,$L88,FALSE)*($T88*(1-$F88)+$S88*(1-$G88))*((1+Inputs!$D$7)^AY$2))))))</f>
        <v>712.04666418415104</v>
      </c>
      <c r="AZ88" s="88">
        <f>$E88*IF(AZ$2&gt;Inputs!$D$5,0,IF(AZ$2&gt;VLOOKUP($H88,Lists!$P$3:$Q$7,2),IF($N88=Lists!$K$3,IF($L88&lt;1,(($U88/$L88)*((1+Inputs!$D$7)^AZ$2)),((INT(AZ$2/$L88)-INT((AZ$2-1)/$L88))*$U88*((1+Inputs!$D$7)^AZ$2))),(_xlfn.WEIBULL.DIST(AZ$2,$M88,$L88,FALSE)*$U88*((1+Inputs!$D$7)^AZ$2))),IF($N88=Lists!$K$3,IF($L88&lt;1,((($T88*(1-$F88)+$S88*(1-$G88))/$L88)*((1+Inputs!$D$7)^AZ$2)),((INT(AZ$2/$L88)-INT((AZ$2-1)/$L88))*($T88*(1-$F88)+$S88*(1-$G88))*((1+Inputs!$D$7)^AZ$2))),((_xlfn.WEIBULL.DIST(AZ$2,$M88,$L88,FALSE)*($T88*(1-$F88)+$S88*(1-$G88))*((1+Inputs!$D$7)^AZ$2))))))</f>
        <v>0</v>
      </c>
      <c r="BA88" s="88">
        <f>$E88*IF(BA$2&gt;Inputs!$D$5,0,IF(BA$2&gt;VLOOKUP($H88,Lists!$P$3:$Q$7,2),IF($N88=Lists!$K$3,IF($L88&lt;1,(($U88/$L88)*((1+Inputs!$D$7)^BA$2)),((INT(BA$2/$L88)-INT((BA$2-1)/$L88))*$U88*((1+Inputs!$D$7)^BA$2))),(_xlfn.WEIBULL.DIST(BA$2,$M88,$L88,FALSE)*$U88*((1+Inputs!$D$7)^BA$2))),IF($N88=Lists!$K$3,IF($L88&lt;1,((($T88*(1-$F88)+$S88*(1-$G88))/$L88)*((1+Inputs!$D$7)^BA$2)),((INT(BA$2/$L88)-INT((BA$2-1)/$L88))*($T88*(1-$F88)+$S88*(1-$G88))*((1+Inputs!$D$7)^BA$2))),((_xlfn.WEIBULL.DIST(BA$2,$M88,$L88,FALSE)*($T88*(1-$F88)+$S88*(1-$G88))*((1+Inputs!$D$7)^BA$2))))))</f>
        <v>0</v>
      </c>
      <c r="BB88" s="88">
        <f>$E88*IF(BB$2&gt;Inputs!$D$5,0,IF(BB$2&gt;VLOOKUP($H88,Lists!$P$3:$Q$7,2),IF($N88=Lists!$K$3,IF($L88&lt;1,(($U88/$L88)*((1+Inputs!$D$7)^BB$2)),((INT(BB$2/$L88)-INT((BB$2-1)/$L88))*$U88*((1+Inputs!$D$7)^BB$2))),(_xlfn.WEIBULL.DIST(BB$2,$M88,$L88,FALSE)*$U88*((1+Inputs!$D$7)^BB$2))),IF($N88=Lists!$K$3,IF($L88&lt;1,((($T88*(1-$F88)+$S88*(1-$G88))/$L88)*((1+Inputs!$D$7)^BB$2)),((INT(BB$2/$L88)-INT((BB$2-1)/$L88))*($T88*(1-$F88)+$S88*(1-$G88))*((1+Inputs!$D$7)^BB$2))),((_xlfn.WEIBULL.DIST(BB$2,$M88,$L88,FALSE)*($T88*(1-$F88)+$S88*(1-$G88))*((1+Inputs!$D$7)^BB$2))))))</f>
        <v>0</v>
      </c>
      <c r="BC88" s="88">
        <f>$E88*IF(BC$2&gt;Inputs!$D$5,0,IF(BC$2&gt;VLOOKUP($H88,Lists!$P$3:$Q$7,2),IF($N88=Lists!$K$3,IF($L88&lt;1,(($U88/$L88)*((1+Inputs!$D$7)^BC$2)),((INT(BC$2/$L88)-INT((BC$2-1)/$L88))*$U88*((1+Inputs!$D$7)^BC$2))),(_xlfn.WEIBULL.DIST(BC$2,$M88,$L88,FALSE)*$U88*((1+Inputs!$D$7)^BC$2))),IF($N88=Lists!$K$3,IF($L88&lt;1,((($T88*(1-$F88)+$S88*(1-$G88))/$L88)*((1+Inputs!$D$7)^BC$2)),((INT(BC$2/$L88)-INT((BC$2-1)/$L88))*($T88*(1-$F88)+$S88*(1-$G88))*((1+Inputs!$D$7)^BC$2))),((_xlfn.WEIBULL.DIST(BC$2,$M88,$L88,FALSE)*($T88*(1-$F88)+$S88*(1-$G88))*((1+Inputs!$D$7)^BC$2))))))</f>
        <v>0</v>
      </c>
      <c r="BD88" s="88">
        <f>$E88*IF(BD$2&gt;Inputs!$D$5,0,IF(BD$2&gt;VLOOKUP($H88,Lists!$P$3:$Q$7,2),IF($N88=Lists!$K$3,IF($L88&lt;1,(($U88/$L88)*((1+Inputs!$D$7)^BD$2)),((INT(BD$2/$L88)-INT((BD$2-1)/$L88))*$U88*((1+Inputs!$D$7)^BD$2))),(_xlfn.WEIBULL.DIST(BD$2,$M88,$L88,FALSE)*$U88*((1+Inputs!$D$7)^BD$2))),IF($N88=Lists!$K$3,IF($L88&lt;1,((($T88*(1-$F88)+$S88*(1-$G88))/$L88)*((1+Inputs!$D$7)^BD$2)),((INT(BD$2/$L88)-INT((BD$2-1)/$L88))*($T88*(1-$F88)+$S88*(1-$G88))*((1+Inputs!$D$7)^BD$2))),((_xlfn.WEIBULL.DIST(BD$2,$M88,$L88,FALSE)*($T88*(1-$F88)+$S88*(1-$G88))*((1+Inputs!$D$7)^BD$2))))))</f>
        <v>0</v>
      </c>
      <c r="BE88" s="88">
        <f>$E88*IF(BE$2&gt;Inputs!$D$5,0,IF(BE$2&gt;VLOOKUP($H88,Lists!$P$3:$Q$7,2),IF($N88=Lists!$K$3,IF($L88&lt;1,(($U88/$L88)*((1+Inputs!$D$7)^BE$2)),((INT(BE$2/$L88)-INT((BE$2-1)/$L88))*$U88*((1+Inputs!$D$7)^BE$2))),(_xlfn.WEIBULL.DIST(BE$2,$M88,$L88,FALSE)*$U88*((1+Inputs!$D$7)^BE$2))),IF($N88=Lists!$K$3,IF($L88&lt;1,((($T88*(1-$F88)+$S88*(1-$G88))/$L88)*((1+Inputs!$D$7)^BE$2)),((INT(BE$2/$L88)-INT((BE$2-1)/$L88))*($T88*(1-$F88)+$S88*(1-$G88))*((1+Inputs!$D$7)^BE$2))),((_xlfn.WEIBULL.DIST(BE$2,$M88,$L88,FALSE)*($T88*(1-$F88)+$S88*(1-$G88))*((1+Inputs!$D$7)^BE$2))))))</f>
        <v>0</v>
      </c>
      <c r="BF88" s="88">
        <f>$E88*IF(BF$2&gt;Inputs!$D$5,0,IF(BF$2&gt;VLOOKUP($H88,Lists!$P$3:$Q$7,2),IF($N88=Lists!$K$3,IF($L88&lt;1,(($U88/$L88)*((1+Inputs!$D$7)^BF$2)),((INT(BF$2/$L88)-INT((BF$2-1)/$L88))*$U88*((1+Inputs!$D$7)^BF$2))),(_xlfn.WEIBULL.DIST(BF$2,$M88,$L88,FALSE)*$U88*((1+Inputs!$D$7)^BF$2))),IF($N88=Lists!$K$3,IF($L88&lt;1,((($T88*(1-$F88)+$S88*(1-$G88))/$L88)*((1+Inputs!$D$7)^BF$2)),((INT(BF$2/$L88)-INT((BF$2-1)/$L88))*($T88*(1-$F88)+$S88*(1-$G88))*((1+Inputs!$D$7)^BF$2))),((_xlfn.WEIBULL.DIST(BF$2,$M88,$L88,FALSE)*($T88*(1-$F88)+$S88*(1-$G88))*((1+Inputs!$D$7)^BF$2))))))</f>
        <v>0</v>
      </c>
      <c r="BG88" s="88">
        <f>$E88*IF(BG$2&gt;Inputs!$D$5,0,IF(BG$2&gt;VLOOKUP($H88,Lists!$P$3:$Q$7,2),IF($N88=Lists!$K$3,IF($L88&lt;1,(($U88/$L88)*((1+Inputs!$D$7)^BG$2)),((INT(BG$2/$L88)-INT((BG$2-1)/$L88))*$U88*((1+Inputs!$D$7)^BG$2))),(_xlfn.WEIBULL.DIST(BG$2,$M88,$L88,FALSE)*$U88*((1+Inputs!$D$7)^BG$2))),IF($N88=Lists!$K$3,IF($L88&lt;1,((($T88*(1-$F88)+$S88*(1-$G88))/$L88)*((1+Inputs!$D$7)^BG$2)),((INT(BG$2/$L88)-INT((BG$2-1)/$L88))*($T88*(1-$F88)+$S88*(1-$G88))*((1+Inputs!$D$7)^BG$2))),((_xlfn.WEIBULL.DIST(BG$2,$M88,$L88,FALSE)*($T88*(1-$F88)+$S88*(1-$G88))*((1+Inputs!$D$7)^BG$2))))))</f>
        <v>0</v>
      </c>
      <c r="BH88" s="88">
        <f>$E88*IF(BH$2&gt;Inputs!$D$5,0,IF(BH$2&gt;VLOOKUP($H88,Lists!$P$3:$Q$7,2),IF($N88=Lists!$K$3,IF($L88&lt;1,(($U88/$L88)*((1+Inputs!$D$7)^BH$2)),((INT(BH$2/$L88)-INT((BH$2-1)/$L88))*$U88*((1+Inputs!$D$7)^BH$2))),(_xlfn.WEIBULL.DIST(BH$2,$M88,$L88,FALSE)*$U88*((1+Inputs!$D$7)^BH$2))),IF($N88=Lists!$K$3,IF($L88&lt;1,((($T88*(1-$F88)+$S88*(1-$G88))/$L88)*((1+Inputs!$D$7)^BH$2)),((INT(BH$2/$L88)-INT((BH$2-1)/$L88))*($T88*(1-$F88)+$S88*(1-$G88))*((1+Inputs!$D$7)^BH$2))),((_xlfn.WEIBULL.DIST(BH$2,$M88,$L88,FALSE)*($T88*(1-$F88)+$S88*(1-$G88))*((1+Inputs!$D$7)^BH$2))))))</f>
        <v>0</v>
      </c>
      <c r="BI88" s="88">
        <f>$E88*IF(BI$2&gt;Inputs!$D$5,0,IF(BI$2&gt;VLOOKUP($H88,Lists!$P$3:$Q$7,2),IF($N88=Lists!$K$3,IF($L88&lt;1,(($U88/$L88)*((1+Inputs!$D$7)^BI$2)),((INT(BI$2/$L88)-INT((BI$2-1)/$L88))*$U88*((1+Inputs!$D$7)^BI$2))),(_xlfn.WEIBULL.DIST(BI$2,$M88,$L88,FALSE)*$U88*((1+Inputs!$D$7)^BI$2))),IF($N88=Lists!$K$3,IF($L88&lt;1,((($T88*(1-$F88)+$S88*(1-$G88))/$L88)*((1+Inputs!$D$7)^BI$2)),((INT(BI$2/$L88)-INT((BI$2-1)/$L88))*($T88*(1-$F88)+$S88*(1-$G88))*((1+Inputs!$D$7)^BI$2))),((_xlfn.WEIBULL.DIST(BI$2,$M88,$L88,FALSE)*($T88*(1-$F88)+$S88*(1-$G88))*((1+Inputs!$D$7)^BI$2))))))</f>
        <v>0</v>
      </c>
      <c r="BJ88" s="88">
        <f>$E88*IF(BJ$2&gt;Inputs!$D$5,0,IF(BJ$2&gt;VLOOKUP($H88,Lists!$P$3:$Q$7,2),IF($N88=Lists!$K$3,IF($L88&lt;1,(($U88/$L88)*((1+Inputs!$D$7)^BJ$2)),((INT(BJ$2/$L88)-INT((BJ$2-1)/$L88))*$U88*((1+Inputs!$D$7)^BJ$2))),(_xlfn.WEIBULL.DIST(BJ$2,$M88,$L88,FALSE)*$U88*((1+Inputs!$D$7)^BJ$2))),IF($N88=Lists!$K$3,IF($L88&lt;1,((($T88*(1-$F88)+$S88*(1-$G88))/$L88)*((1+Inputs!$D$7)^BJ$2)),((INT(BJ$2/$L88)-INT((BJ$2-1)/$L88))*($T88*(1-$F88)+$S88*(1-$G88))*((1+Inputs!$D$7)^BJ$2))),((_xlfn.WEIBULL.DIST(BJ$2,$M88,$L88,FALSE)*($T88*(1-$F88)+$S88*(1-$G88))*((1+Inputs!$D$7)^BJ$2))))))</f>
        <v>0</v>
      </c>
      <c r="BK88" s="88">
        <f>$E88*IF(BK$2&gt;Inputs!$D$5,0,IF(BK$2&gt;VLOOKUP($H88,Lists!$P$3:$Q$7,2),IF($N88=Lists!$K$3,IF($L88&lt;1,(($U88/$L88)*((1+Inputs!$D$7)^BK$2)),((INT(BK$2/$L88)-INT((BK$2-1)/$L88))*$U88*((1+Inputs!$D$7)^BK$2))),(_xlfn.WEIBULL.DIST(BK$2,$M88,$L88,FALSE)*$U88*((1+Inputs!$D$7)^BK$2))),IF($N88=Lists!$K$3,IF($L88&lt;1,((($T88*(1-$F88)+$S88*(1-$G88))/$L88)*((1+Inputs!$D$7)^BK$2)),((INT(BK$2/$L88)-INT((BK$2-1)/$L88))*($T88*(1-$F88)+$S88*(1-$G88))*((1+Inputs!$D$7)^BK$2))),((_xlfn.WEIBULL.DIST(BK$2,$M88,$L88,FALSE)*($T88*(1-$F88)+$S88*(1-$G88))*((1+Inputs!$D$7)^BK$2))))))</f>
        <v>0</v>
      </c>
      <c r="BL88" s="88">
        <f>$E88*IF(BL$2&gt;Inputs!$D$5,0,IF(BL$2&gt;VLOOKUP($H88,Lists!$P$3:$Q$7,2),IF($N88=Lists!$K$3,IF($L88&lt;1,(($U88/$L88)*((1+Inputs!$D$7)^BL$2)),((INT(BL$2/$L88)-INT((BL$2-1)/$L88))*$U88*((1+Inputs!$D$7)^BL$2))),(_xlfn.WEIBULL.DIST(BL$2,$M88,$L88,FALSE)*$U88*((1+Inputs!$D$7)^BL$2))),IF($N88=Lists!$K$3,IF($L88&lt;1,((($T88*(1-$F88)+$S88*(1-$G88))/$L88)*((1+Inputs!$D$7)^BL$2)),((INT(BL$2/$L88)-INT((BL$2-1)/$L88))*($T88*(1-$F88)+$S88*(1-$G88))*((1+Inputs!$D$7)^BL$2))),((_xlfn.WEIBULL.DIST(BL$2,$M88,$L88,FALSE)*($T88*(1-$F88)+$S88*(1-$G88))*((1+Inputs!$D$7)^BL$2))))))</f>
        <v>0</v>
      </c>
      <c r="BM88" s="88">
        <f>$E88*IF(BM$2&gt;Inputs!$D$5,0,IF(BM$2&gt;VLOOKUP($H88,Lists!$P$3:$Q$7,2),IF($N88=Lists!$K$3,IF($L88&lt;1,(($U88/$L88)*((1+Inputs!$D$7)^BM$2)),((INT(BM$2/$L88)-INT((BM$2-1)/$L88))*$U88*((1+Inputs!$D$7)^BM$2))),(_xlfn.WEIBULL.DIST(BM$2,$M88,$L88,FALSE)*$U88*((1+Inputs!$D$7)^BM$2))),IF($N88=Lists!$K$3,IF($L88&lt;1,((($T88*(1-$F88)+$S88*(1-$G88))/$L88)*((1+Inputs!$D$7)^BM$2)),((INT(BM$2/$L88)-INT((BM$2-1)/$L88))*($T88*(1-$F88)+$S88*(1-$G88))*((1+Inputs!$D$7)^BM$2))),((_xlfn.WEIBULL.DIST(BM$2,$M88,$L88,FALSE)*($T88*(1-$F88)+$S88*(1-$G88))*((1+Inputs!$D$7)^BM$2))))))</f>
        <v>0</v>
      </c>
      <c r="BN88" s="88">
        <f>$E88*IF(BN$2&gt;Inputs!$D$5,0,IF(BN$2&gt;VLOOKUP($H88,Lists!$P$3:$Q$7,2),IF($N88=Lists!$K$3,IF($L88&lt;1,(($U88/$L88)*((1+Inputs!$D$7)^BN$2)),((INT(BN$2/$L88)-INT((BN$2-1)/$L88))*$U88*((1+Inputs!$D$7)^BN$2))),(_xlfn.WEIBULL.DIST(BN$2,$M88,$L88,FALSE)*$U88*((1+Inputs!$D$7)^BN$2))),IF($N88=Lists!$K$3,IF($L88&lt;1,((($T88*(1-$F88)+$S88*(1-$G88))/$L88)*((1+Inputs!$D$7)^BN$2)),((INT(BN$2/$L88)-INT((BN$2-1)/$L88))*($T88*(1-$F88)+$S88*(1-$G88))*((1+Inputs!$D$7)^BN$2))),((_xlfn.WEIBULL.DIST(BN$2,$M88,$L88,FALSE)*($T88*(1-$F88)+$S88*(1-$G88))*((1+Inputs!$D$7)^BN$2))))))</f>
        <v>0</v>
      </c>
      <c r="BO88" s="64">
        <f>NPV(Inputs!$D$6,BQ88:DD88)</f>
        <v>6177.536381208186</v>
      </c>
      <c r="BP88" s="67">
        <f t="shared" si="20"/>
        <v>2.9136277490771339E-3</v>
      </c>
      <c r="BQ88" s="88">
        <f>MAX(AA88,($E88*IF(BQ$2&gt;Inputs!$D$5,0,IF(BQ$2&gt;VLOOKUP($H88,Lists!$P$3:$Q$7,2),IF($N88=Lists!$K$3,IF($L88&lt;1,(($U88/$L88)*((1+Inputs!$D$7)^BQ$2)),((INT(BQ$2/$L88)-INT((BQ$2-1)/$L88))*$U88*((1+Inputs!$D$7)^BQ$2))),(Inputs!$D$8^((1-_xlfn.WEIBULL.DIST(BQ$2,$M88,$L88,FALSE))/_xlfn.WEIBULL.DIST(BQ$2,$M88,$L88,FALSE))*$U88*((1+Inputs!$D$7)^BQ$2))),IF($N88=Lists!$K$3,IF($L88&lt;1,((($T88*(1-$F88)+$S88*(1-$G88))/$L88)*((1+Inputs!$D$7)^BQ$2)),((INT(BQ$2/$L88)-INT((BQ$2-1)/$L88))*($T88*(1-$F88)+$S88*(1-$G88))*((1+Inputs!$D$7)^BQ$2))),((Inputs!$D$8^((1-_xlfn.WEIBULL.DIST(BQ$2,$M88,$L88,FALSE))/_xlfn.WEIBULL.DIST(BQ$2,$M88,$L88,FALSE))*($T88*(1-$F88)+$S88*(1-$G88))*((1+Inputs!$D$7)^BQ$2))))))))</f>
        <v>442.69471153846143</v>
      </c>
      <c r="BR88" s="88">
        <f>MAX(AB88,($E88*IF(BR$2&gt;Inputs!$D$5,0,IF(BR$2&gt;VLOOKUP($H88,Lists!$P$3:$Q$7,2),IF($N88=Lists!$K$3,IF($L88&lt;1,(($U88/$L88)*((1+Inputs!$D$7)^BR$2)),((INT(BR$2/$L88)-INT((BR$2-1)/$L88))*$U88*((1+Inputs!$D$7)^BR$2))),(Inputs!$D$8^((1-_xlfn.WEIBULL.DIST(BR$2,$M88,$L88,FALSE))/_xlfn.WEIBULL.DIST(BR$2,$M88,$L88,FALSE))*$U88*((1+Inputs!$D$7)^BR$2))),IF($N88=Lists!$K$3,IF($L88&lt;1,((($T88*(1-$F88)+$S88*(1-$G88))/$L88)*((1+Inputs!$D$7)^BR$2)),((INT(BR$2/$L88)-INT((BR$2-1)/$L88))*($T88*(1-$F88)+$S88*(1-$G88))*((1+Inputs!$D$7)^BR$2))),((Inputs!$D$8^((1-_xlfn.WEIBULL.DIST(BR$2,$M88,$L88,FALSE))/_xlfn.WEIBULL.DIST(BR$2,$M88,$L88,FALSE))*($T88*(1-$F88)+$S88*(1-$G88))*((1+Inputs!$D$7)^BR$2))))))))</f>
        <v>451.54860576923068</v>
      </c>
      <c r="BS88" s="88">
        <f>MAX(AC88,($E88*IF(BS$2&gt;Inputs!$D$5,0,IF(BS$2&gt;VLOOKUP($H88,Lists!$P$3:$Q$7,2),IF($N88=Lists!$K$3,IF($L88&lt;1,(($U88/$L88)*((1+Inputs!$D$7)^BS$2)),((INT(BS$2/$L88)-INT((BS$2-1)/$L88))*$U88*((1+Inputs!$D$7)^BS$2))),(Inputs!$D$8^((1-_xlfn.WEIBULL.DIST(BS$2,$M88,$L88,FALSE))/_xlfn.WEIBULL.DIST(BS$2,$M88,$L88,FALSE))*$U88*((1+Inputs!$D$7)^BS$2))),IF($N88=Lists!$K$3,IF($L88&lt;1,((($T88*(1-$F88)+$S88*(1-$G88))/$L88)*((1+Inputs!$D$7)^BS$2)),((INT(BS$2/$L88)-INT((BS$2-1)/$L88))*($T88*(1-$F88)+$S88*(1-$G88))*((1+Inputs!$D$7)^BS$2))),((Inputs!$D$8^((1-_xlfn.WEIBULL.DIST(BS$2,$M88,$L88,FALSE))/_xlfn.WEIBULL.DIST(BS$2,$M88,$L88,FALSE))*($T88*(1-$F88)+$S88*(1-$G88))*((1+Inputs!$D$7)^BS$2))))))))</f>
        <v>460.57957788461528</v>
      </c>
      <c r="BT88" s="88">
        <f>MAX(AD88,($E88*IF(BT$2&gt;Inputs!$D$5,0,IF(BT$2&gt;VLOOKUP($H88,Lists!$P$3:$Q$7,2),IF($N88=Lists!$K$3,IF($L88&lt;1,(($U88/$L88)*((1+Inputs!$D$7)^BT$2)),((INT(BT$2/$L88)-INT((BT$2-1)/$L88))*$U88*((1+Inputs!$D$7)^BT$2))),(Inputs!$D$8^((1-_xlfn.WEIBULL.DIST(BT$2,$M88,$L88,FALSE))/_xlfn.WEIBULL.DIST(BT$2,$M88,$L88,FALSE))*$U88*((1+Inputs!$D$7)^BT$2))),IF($N88=Lists!$K$3,IF($L88&lt;1,((($T88*(1-$F88)+$S88*(1-$G88))/$L88)*((1+Inputs!$D$7)^BT$2)),((INT(BT$2/$L88)-INT((BT$2-1)/$L88))*($T88*(1-$F88)+$S88*(1-$G88))*((1+Inputs!$D$7)^BT$2))),((Inputs!$D$8^((1-_xlfn.WEIBULL.DIST(BT$2,$M88,$L88,FALSE))/_xlfn.WEIBULL.DIST(BT$2,$M88,$L88,FALSE))*($T88*(1-$F88)+$S88*(1-$G88))*((1+Inputs!$D$7)^BT$2))))))))</f>
        <v>469.79116944230759</v>
      </c>
      <c r="BU88" s="88">
        <f>MAX(AE88,($E88*IF(BU$2&gt;Inputs!$D$5,0,IF(BU$2&gt;VLOOKUP($H88,Lists!$P$3:$Q$7,2),IF($N88=Lists!$K$3,IF($L88&lt;1,(($U88/$L88)*((1+Inputs!$D$7)^BU$2)),((INT(BU$2/$L88)-INT((BU$2-1)/$L88))*$U88*((1+Inputs!$D$7)^BU$2))),(Inputs!$D$8^((1-_xlfn.WEIBULL.DIST(BU$2,$M88,$L88,FALSE))/_xlfn.WEIBULL.DIST(BU$2,$M88,$L88,FALSE))*$U88*((1+Inputs!$D$7)^BU$2))),IF($N88=Lists!$K$3,IF($L88&lt;1,((($T88*(1-$F88)+$S88*(1-$G88))/$L88)*((1+Inputs!$D$7)^BU$2)),((INT(BU$2/$L88)-INT((BU$2-1)/$L88))*($T88*(1-$F88)+$S88*(1-$G88))*((1+Inputs!$D$7)^BU$2))),((Inputs!$D$8^((1-_xlfn.WEIBULL.DIST(BU$2,$M88,$L88,FALSE))/_xlfn.WEIBULL.DIST(BU$2,$M88,$L88,FALSE))*($T88*(1-$F88)+$S88*(1-$G88))*((1+Inputs!$D$7)^BU$2))))))))</f>
        <v>479.18699283115376</v>
      </c>
      <c r="BV88" s="88">
        <f>MAX(AF88,($E88*IF(BV$2&gt;Inputs!$D$5,0,IF(BV$2&gt;VLOOKUP($H88,Lists!$P$3:$Q$7,2),IF($N88=Lists!$K$3,IF($L88&lt;1,(($U88/$L88)*((1+Inputs!$D$7)^BV$2)),((INT(BV$2/$L88)-INT((BV$2-1)/$L88))*$U88*((1+Inputs!$D$7)^BV$2))),(Inputs!$D$8^((1-_xlfn.WEIBULL.DIST(BV$2,$M88,$L88,FALSE))/_xlfn.WEIBULL.DIST(BV$2,$M88,$L88,FALSE))*$U88*((1+Inputs!$D$7)^BV$2))),IF($N88=Lists!$K$3,IF($L88&lt;1,((($T88*(1-$F88)+$S88*(1-$G88))/$L88)*((1+Inputs!$D$7)^BV$2)),((INT(BV$2/$L88)-INT((BV$2-1)/$L88))*($T88*(1-$F88)+$S88*(1-$G88))*((1+Inputs!$D$7)^BV$2))),((Inputs!$D$8^((1-_xlfn.WEIBULL.DIST(BV$2,$M88,$L88,FALSE))/_xlfn.WEIBULL.DIST(BV$2,$M88,$L88,FALSE))*($T88*(1-$F88)+$S88*(1-$G88))*((1+Inputs!$D$7)^BV$2))))))))</f>
        <v>488.77073268777684</v>
      </c>
      <c r="BW88" s="88">
        <f>MAX(AG88,($E88*IF(BW$2&gt;Inputs!$D$5,0,IF(BW$2&gt;VLOOKUP($H88,Lists!$P$3:$Q$7,2),IF($N88=Lists!$K$3,IF($L88&lt;1,(($U88/$L88)*((1+Inputs!$D$7)^BW$2)),((INT(BW$2/$L88)-INT((BW$2-1)/$L88))*$U88*((1+Inputs!$D$7)^BW$2))),(Inputs!$D$8^((1-_xlfn.WEIBULL.DIST(BW$2,$M88,$L88,FALSE))/_xlfn.WEIBULL.DIST(BW$2,$M88,$L88,FALSE))*$U88*((1+Inputs!$D$7)^BW$2))),IF($N88=Lists!$K$3,IF($L88&lt;1,((($T88*(1-$F88)+$S88*(1-$G88))/$L88)*((1+Inputs!$D$7)^BW$2)),((INT(BW$2/$L88)-INT((BW$2-1)/$L88))*($T88*(1-$F88)+$S88*(1-$G88))*((1+Inputs!$D$7)^BW$2))),((Inputs!$D$8^((1-_xlfn.WEIBULL.DIST(BW$2,$M88,$L88,FALSE))/_xlfn.WEIBULL.DIST(BW$2,$M88,$L88,FALSE))*($T88*(1-$F88)+$S88*(1-$G88))*((1+Inputs!$D$7)^BW$2))))))))</f>
        <v>498.54614734153228</v>
      </c>
      <c r="BX88" s="88">
        <f>MAX(AH88,($E88*IF(BX$2&gt;Inputs!$D$5,0,IF(BX$2&gt;VLOOKUP($H88,Lists!$P$3:$Q$7,2),IF($N88=Lists!$K$3,IF($L88&lt;1,(($U88/$L88)*((1+Inputs!$D$7)^BX$2)),((INT(BX$2/$L88)-INT((BX$2-1)/$L88))*$U88*((1+Inputs!$D$7)^BX$2))),(Inputs!$D$8^((1-_xlfn.WEIBULL.DIST(BX$2,$M88,$L88,FALSE))/_xlfn.WEIBULL.DIST(BX$2,$M88,$L88,FALSE))*$U88*((1+Inputs!$D$7)^BX$2))),IF($N88=Lists!$K$3,IF($L88&lt;1,((($T88*(1-$F88)+$S88*(1-$G88))/$L88)*((1+Inputs!$D$7)^BX$2)),((INT(BX$2/$L88)-INT((BX$2-1)/$L88))*($T88*(1-$F88)+$S88*(1-$G88))*((1+Inputs!$D$7)^BX$2))),((Inputs!$D$8^((1-_xlfn.WEIBULL.DIST(BX$2,$M88,$L88,FALSE))/_xlfn.WEIBULL.DIST(BX$2,$M88,$L88,FALSE))*($T88*(1-$F88)+$S88*(1-$G88))*((1+Inputs!$D$7)^BX$2))))))))</f>
        <v>508.51707028836296</v>
      </c>
      <c r="BY88" s="88">
        <f>MAX(AI88,($E88*IF(BY$2&gt;Inputs!$D$5,0,IF(BY$2&gt;VLOOKUP($H88,Lists!$P$3:$Q$7,2),IF($N88=Lists!$K$3,IF($L88&lt;1,(($U88/$L88)*((1+Inputs!$D$7)^BY$2)),((INT(BY$2/$L88)-INT((BY$2-1)/$L88))*$U88*((1+Inputs!$D$7)^BY$2))),(Inputs!$D$8^((1-_xlfn.WEIBULL.DIST(BY$2,$M88,$L88,FALSE))/_xlfn.WEIBULL.DIST(BY$2,$M88,$L88,FALSE))*$U88*((1+Inputs!$D$7)^BY$2))),IF($N88=Lists!$K$3,IF($L88&lt;1,((($T88*(1-$F88)+$S88*(1-$G88))/$L88)*((1+Inputs!$D$7)^BY$2)),((INT(BY$2/$L88)-INT((BY$2-1)/$L88))*($T88*(1-$F88)+$S88*(1-$G88))*((1+Inputs!$D$7)^BY$2))),((Inputs!$D$8^((1-_xlfn.WEIBULL.DIST(BY$2,$M88,$L88,FALSE))/_xlfn.WEIBULL.DIST(BY$2,$M88,$L88,FALSE))*($T88*(1-$F88)+$S88*(1-$G88))*((1+Inputs!$D$7)^BY$2))))))))</f>
        <v>518.68741169413022</v>
      </c>
      <c r="BZ88" s="88">
        <f>MAX(AJ88,($E88*IF(BZ$2&gt;Inputs!$D$5,0,IF(BZ$2&gt;VLOOKUP($H88,Lists!$P$3:$Q$7,2),IF($N88=Lists!$K$3,IF($L88&lt;1,(($U88/$L88)*((1+Inputs!$D$7)^BZ$2)),((INT(BZ$2/$L88)-INT((BZ$2-1)/$L88))*$U88*((1+Inputs!$D$7)^BZ$2))),(Inputs!$D$8^((1-_xlfn.WEIBULL.DIST(BZ$2,$M88,$L88,FALSE))/_xlfn.WEIBULL.DIST(BZ$2,$M88,$L88,FALSE))*$U88*((1+Inputs!$D$7)^BZ$2))),IF($N88=Lists!$K$3,IF($L88&lt;1,((($T88*(1-$F88)+$S88*(1-$G88))/$L88)*((1+Inputs!$D$7)^BZ$2)),((INT(BZ$2/$L88)-INT((BZ$2-1)/$L88))*($T88*(1-$F88)+$S88*(1-$G88))*((1+Inputs!$D$7)^BZ$2))),((Inputs!$D$8^((1-_xlfn.WEIBULL.DIST(BZ$2,$M88,$L88,FALSE))/_xlfn.WEIBULL.DIST(BZ$2,$M88,$L88,FALSE))*($T88*(1-$F88)+$S88*(1-$G88))*((1+Inputs!$D$7)^BZ$2))))))))</f>
        <v>529.0611599280129</v>
      </c>
      <c r="CA88" s="88">
        <f>MAX(AK88,($E88*IF(CA$2&gt;Inputs!$D$5,0,IF(CA$2&gt;VLOOKUP($H88,Lists!$P$3:$Q$7,2),IF($N88=Lists!$K$3,IF($L88&lt;1,(($U88/$L88)*((1+Inputs!$D$7)^CA$2)),((INT(CA$2/$L88)-INT((CA$2-1)/$L88))*$U88*((1+Inputs!$D$7)^CA$2))),(Inputs!$D$8^((1-_xlfn.WEIBULL.DIST(CA$2,$M88,$L88,FALSE))/_xlfn.WEIBULL.DIST(CA$2,$M88,$L88,FALSE))*$U88*((1+Inputs!$D$7)^CA$2))),IF($N88=Lists!$K$3,IF($L88&lt;1,((($T88*(1-$F88)+$S88*(1-$G88))/$L88)*((1+Inputs!$D$7)^CA$2)),((INT(CA$2/$L88)-INT((CA$2-1)/$L88))*($T88*(1-$F88)+$S88*(1-$G88))*((1+Inputs!$D$7)^CA$2))),((Inputs!$D$8^((1-_xlfn.WEIBULL.DIST(CA$2,$M88,$L88,FALSE))/_xlfn.WEIBULL.DIST(CA$2,$M88,$L88,FALSE))*($T88*(1-$F88)+$S88*(1-$G88))*((1+Inputs!$D$7)^CA$2))))))))</f>
        <v>539.64238312657301</v>
      </c>
      <c r="CB88" s="88">
        <f>MAX(AL88,($E88*IF(CB$2&gt;Inputs!$D$5,0,IF(CB$2&gt;VLOOKUP($H88,Lists!$P$3:$Q$7,2),IF($N88=Lists!$K$3,IF($L88&lt;1,(($U88/$L88)*((1+Inputs!$D$7)^CB$2)),((INT(CB$2/$L88)-INT((CB$2-1)/$L88))*$U88*((1+Inputs!$D$7)^CB$2))),(Inputs!$D$8^((1-_xlfn.WEIBULL.DIST(CB$2,$M88,$L88,FALSE))/_xlfn.WEIBULL.DIST(CB$2,$M88,$L88,FALSE))*$U88*((1+Inputs!$D$7)^CB$2))),IF($N88=Lists!$K$3,IF($L88&lt;1,((($T88*(1-$F88)+$S88*(1-$G88))/$L88)*((1+Inputs!$D$7)^CB$2)),((INT(CB$2/$L88)-INT((CB$2-1)/$L88))*($T88*(1-$F88)+$S88*(1-$G88))*((1+Inputs!$D$7)^CB$2))),((Inputs!$D$8^((1-_xlfn.WEIBULL.DIST(CB$2,$M88,$L88,FALSE))/_xlfn.WEIBULL.DIST(CB$2,$M88,$L88,FALSE))*($T88*(1-$F88)+$S88*(1-$G88))*((1+Inputs!$D$7)^CB$2))))))))</f>
        <v>550.43523078910459</v>
      </c>
      <c r="CC88" s="88">
        <f>MAX(AM88,($E88*IF(CC$2&gt;Inputs!$D$5,0,IF(CC$2&gt;VLOOKUP($H88,Lists!$P$3:$Q$7,2),IF($N88=Lists!$K$3,IF($L88&lt;1,(($U88/$L88)*((1+Inputs!$D$7)^CC$2)),((INT(CC$2/$L88)-INT((CC$2-1)/$L88))*$U88*((1+Inputs!$D$7)^CC$2))),(Inputs!$D$8^((1-_xlfn.WEIBULL.DIST(CC$2,$M88,$L88,FALSE))/_xlfn.WEIBULL.DIST(CC$2,$M88,$L88,FALSE))*$U88*((1+Inputs!$D$7)^CC$2))),IF($N88=Lists!$K$3,IF($L88&lt;1,((($T88*(1-$F88)+$S88*(1-$G88))/$L88)*((1+Inputs!$D$7)^CC$2)),((INT(CC$2/$L88)-INT((CC$2-1)/$L88))*($T88*(1-$F88)+$S88*(1-$G88))*((1+Inputs!$D$7)^CC$2))),((Inputs!$D$8^((1-_xlfn.WEIBULL.DIST(CC$2,$M88,$L88,FALSE))/_xlfn.WEIBULL.DIST(CC$2,$M88,$L88,FALSE))*($T88*(1-$F88)+$S88*(1-$G88))*((1+Inputs!$D$7)^CC$2))))))))</f>
        <v>561.44393540488659</v>
      </c>
      <c r="CD88" s="88">
        <f>MAX(AN88,($E88*IF(CD$2&gt;Inputs!$D$5,0,IF(CD$2&gt;VLOOKUP($H88,Lists!$P$3:$Q$7,2),IF($N88=Lists!$K$3,IF($L88&lt;1,(($U88/$L88)*((1+Inputs!$D$7)^CD$2)),((INT(CD$2/$L88)-INT((CD$2-1)/$L88))*$U88*((1+Inputs!$D$7)^CD$2))),(Inputs!$D$8^((1-_xlfn.WEIBULL.DIST(CD$2,$M88,$L88,FALSE))/_xlfn.WEIBULL.DIST(CD$2,$M88,$L88,FALSE))*$U88*((1+Inputs!$D$7)^CD$2))),IF($N88=Lists!$K$3,IF($L88&lt;1,((($T88*(1-$F88)+$S88*(1-$G88))/$L88)*((1+Inputs!$D$7)^CD$2)),((INT(CD$2/$L88)-INT((CD$2-1)/$L88))*($T88*(1-$F88)+$S88*(1-$G88))*((1+Inputs!$D$7)^CD$2))),((Inputs!$D$8^((1-_xlfn.WEIBULL.DIST(CD$2,$M88,$L88,FALSE))/_xlfn.WEIBULL.DIST(CD$2,$M88,$L88,FALSE))*($T88*(1-$F88)+$S88*(1-$G88))*((1+Inputs!$D$7)^CD$2))))))))</f>
        <v>572.67281411298438</v>
      </c>
      <c r="CE88" s="88">
        <f>MAX(AO88,($E88*IF(CE$2&gt;Inputs!$D$5,0,IF(CE$2&gt;VLOOKUP($H88,Lists!$P$3:$Q$7,2),IF($N88=Lists!$K$3,IF($L88&lt;1,(($U88/$L88)*((1+Inputs!$D$7)^CE$2)),((INT(CE$2/$L88)-INT((CE$2-1)/$L88))*$U88*((1+Inputs!$D$7)^CE$2))),(Inputs!$D$8^((1-_xlfn.WEIBULL.DIST(CE$2,$M88,$L88,FALSE))/_xlfn.WEIBULL.DIST(CE$2,$M88,$L88,FALSE))*$U88*((1+Inputs!$D$7)^CE$2))),IF($N88=Lists!$K$3,IF($L88&lt;1,((($T88*(1-$F88)+$S88*(1-$G88))/$L88)*((1+Inputs!$D$7)^CE$2)),((INT(CE$2/$L88)-INT((CE$2-1)/$L88))*($T88*(1-$F88)+$S88*(1-$G88))*((1+Inputs!$D$7)^CE$2))),((Inputs!$D$8^((1-_xlfn.WEIBULL.DIST(CE$2,$M88,$L88,FALSE))/_xlfn.WEIBULL.DIST(CE$2,$M88,$L88,FALSE))*($T88*(1-$F88)+$S88*(1-$G88))*((1+Inputs!$D$7)^CE$2))))))))</f>
        <v>584.12627039524398</v>
      </c>
      <c r="CF88" s="88">
        <f>MAX(AP88,($E88*IF(CF$2&gt;Inputs!$D$5,0,IF(CF$2&gt;VLOOKUP($H88,Lists!$P$3:$Q$7,2),IF($N88=Lists!$K$3,IF($L88&lt;1,(($U88/$L88)*((1+Inputs!$D$7)^CF$2)),((INT(CF$2/$L88)-INT((CF$2-1)/$L88))*$U88*((1+Inputs!$D$7)^CF$2))),(Inputs!$D$8^((1-_xlfn.WEIBULL.DIST(CF$2,$M88,$L88,FALSE))/_xlfn.WEIBULL.DIST(CF$2,$M88,$L88,FALSE))*$U88*((1+Inputs!$D$7)^CF$2))),IF($N88=Lists!$K$3,IF($L88&lt;1,((($T88*(1-$F88)+$S88*(1-$G88))/$L88)*((1+Inputs!$D$7)^CF$2)),((INT(CF$2/$L88)-INT((CF$2-1)/$L88))*($T88*(1-$F88)+$S88*(1-$G88))*((1+Inputs!$D$7)^CF$2))),((Inputs!$D$8^((1-_xlfn.WEIBULL.DIST(CF$2,$M88,$L88,FALSE))/_xlfn.WEIBULL.DIST(CF$2,$M88,$L88,FALSE))*($T88*(1-$F88)+$S88*(1-$G88))*((1+Inputs!$D$7)^CF$2))))))))</f>
        <v>595.80879580314888</v>
      </c>
      <c r="CG88" s="88">
        <f>MAX(AQ88,($E88*IF(CG$2&gt;Inputs!$D$5,0,IF(CG$2&gt;VLOOKUP($H88,Lists!$P$3:$Q$7,2),IF($N88=Lists!$K$3,IF($L88&lt;1,(($U88/$L88)*((1+Inputs!$D$7)^CG$2)),((INT(CG$2/$L88)-INT((CG$2-1)/$L88))*$U88*((1+Inputs!$D$7)^CG$2))),(Inputs!$D$8^((1-_xlfn.WEIBULL.DIST(CG$2,$M88,$L88,FALSE))/_xlfn.WEIBULL.DIST(CG$2,$M88,$L88,FALSE))*$U88*((1+Inputs!$D$7)^CG$2))),IF($N88=Lists!$K$3,IF($L88&lt;1,((($T88*(1-$F88)+$S88*(1-$G88))/$L88)*((1+Inputs!$D$7)^CG$2)),((INT(CG$2/$L88)-INT((CG$2-1)/$L88))*($T88*(1-$F88)+$S88*(1-$G88))*((1+Inputs!$D$7)^CG$2))),((Inputs!$D$8^((1-_xlfn.WEIBULL.DIST(CG$2,$M88,$L88,FALSE))/_xlfn.WEIBULL.DIST(CG$2,$M88,$L88,FALSE))*($T88*(1-$F88)+$S88*(1-$G88))*((1+Inputs!$D$7)^CG$2))))))))</f>
        <v>607.72497171921191</v>
      </c>
      <c r="CH88" s="88">
        <f>MAX(AR88,($E88*IF(CH$2&gt;Inputs!$D$5,0,IF(CH$2&gt;VLOOKUP($H88,Lists!$P$3:$Q$7,2),IF($N88=Lists!$K$3,IF($L88&lt;1,(($U88/$L88)*((1+Inputs!$D$7)^CH$2)),((INT(CH$2/$L88)-INT((CH$2-1)/$L88))*$U88*((1+Inputs!$D$7)^CH$2))),(Inputs!$D$8^((1-_xlfn.WEIBULL.DIST(CH$2,$M88,$L88,FALSE))/_xlfn.WEIBULL.DIST(CH$2,$M88,$L88,FALSE))*$U88*((1+Inputs!$D$7)^CH$2))),IF($N88=Lists!$K$3,IF($L88&lt;1,((($T88*(1-$F88)+$S88*(1-$G88))/$L88)*((1+Inputs!$D$7)^CH$2)),((INT(CH$2/$L88)-INT((CH$2-1)/$L88))*($T88*(1-$F88)+$S88*(1-$G88))*((1+Inputs!$D$7)^CH$2))),((Inputs!$D$8^((1-_xlfn.WEIBULL.DIST(CH$2,$M88,$L88,FALSE))/_xlfn.WEIBULL.DIST(CH$2,$M88,$L88,FALSE))*($T88*(1-$F88)+$S88*(1-$G88))*((1+Inputs!$D$7)^CH$2))))))))</f>
        <v>619.87947115359611</v>
      </c>
      <c r="CI88" s="88">
        <f>MAX(AS88,($E88*IF(CI$2&gt;Inputs!$D$5,0,IF(CI$2&gt;VLOOKUP($H88,Lists!$P$3:$Q$7,2),IF($N88=Lists!$K$3,IF($L88&lt;1,(($U88/$L88)*((1+Inputs!$D$7)^CI$2)),((INT(CI$2/$L88)-INT((CI$2-1)/$L88))*$U88*((1+Inputs!$D$7)^CI$2))),(Inputs!$D$8^((1-_xlfn.WEIBULL.DIST(CI$2,$M88,$L88,FALSE))/_xlfn.WEIBULL.DIST(CI$2,$M88,$L88,FALSE))*$U88*((1+Inputs!$D$7)^CI$2))),IF($N88=Lists!$K$3,IF($L88&lt;1,((($T88*(1-$F88)+$S88*(1-$G88))/$L88)*((1+Inputs!$D$7)^CI$2)),((INT(CI$2/$L88)-INT((CI$2-1)/$L88))*($T88*(1-$F88)+$S88*(1-$G88))*((1+Inputs!$D$7)^CI$2))),((Inputs!$D$8^((1-_xlfn.WEIBULL.DIST(CI$2,$M88,$L88,FALSE))/_xlfn.WEIBULL.DIST(CI$2,$M88,$L88,FALSE))*($T88*(1-$F88)+$S88*(1-$G88))*((1+Inputs!$D$7)^CI$2))))))))</f>
        <v>632.27706057666796</v>
      </c>
      <c r="CJ88" s="88">
        <f>MAX(AT88,($E88*IF(CJ$2&gt;Inputs!$D$5,0,IF(CJ$2&gt;VLOOKUP($H88,Lists!$P$3:$Q$7,2),IF($N88=Lists!$K$3,IF($L88&lt;1,(($U88/$L88)*((1+Inputs!$D$7)^CJ$2)),((INT(CJ$2/$L88)-INT((CJ$2-1)/$L88))*$U88*((1+Inputs!$D$7)^CJ$2))),(Inputs!$D$8^((1-_xlfn.WEIBULL.DIST(CJ$2,$M88,$L88,FALSE))/_xlfn.WEIBULL.DIST(CJ$2,$M88,$L88,FALSE))*$U88*((1+Inputs!$D$7)^CJ$2))),IF($N88=Lists!$K$3,IF($L88&lt;1,((($T88*(1-$F88)+$S88*(1-$G88))/$L88)*((1+Inputs!$D$7)^CJ$2)),((INT(CJ$2/$L88)-INT((CJ$2-1)/$L88))*($T88*(1-$F88)+$S88*(1-$G88))*((1+Inputs!$D$7)^CJ$2))),((Inputs!$D$8^((1-_xlfn.WEIBULL.DIST(CJ$2,$M88,$L88,FALSE))/_xlfn.WEIBULL.DIST(CJ$2,$M88,$L88,FALSE))*($T88*(1-$F88)+$S88*(1-$G88))*((1+Inputs!$D$7)^CJ$2))))))))</f>
        <v>644.9226017882014</v>
      </c>
      <c r="CK88" s="88">
        <f>MAX(AU88,($E88*IF(CK$2&gt;Inputs!$D$5,0,IF(CK$2&gt;VLOOKUP($H88,Lists!$P$3:$Q$7,2),IF($N88=Lists!$K$3,IF($L88&lt;1,(($U88/$L88)*((1+Inputs!$D$7)^CK$2)),((INT(CK$2/$L88)-INT((CK$2-1)/$L88))*$U88*((1+Inputs!$D$7)^CK$2))),(Inputs!$D$8^((1-_xlfn.WEIBULL.DIST(CK$2,$M88,$L88,FALSE))/_xlfn.WEIBULL.DIST(CK$2,$M88,$L88,FALSE))*$U88*((1+Inputs!$D$7)^CK$2))),IF($N88=Lists!$K$3,IF($L88&lt;1,((($T88*(1-$F88)+$S88*(1-$G88))/$L88)*((1+Inputs!$D$7)^CK$2)),((INT(CK$2/$L88)-INT((CK$2-1)/$L88))*($T88*(1-$F88)+$S88*(1-$G88))*((1+Inputs!$D$7)^CK$2))),((Inputs!$D$8^((1-_xlfn.WEIBULL.DIST(CK$2,$M88,$L88,FALSE))/_xlfn.WEIBULL.DIST(CK$2,$M88,$L88,FALSE))*($T88*(1-$F88)+$S88*(1-$G88))*((1+Inputs!$D$7)^CK$2))))))))</f>
        <v>657.82105382396537</v>
      </c>
      <c r="CL88" s="88">
        <f>MAX(AV88,($E88*IF(CL$2&gt;Inputs!$D$5,0,IF(CL$2&gt;VLOOKUP($H88,Lists!$P$3:$Q$7,2),IF($N88=Lists!$K$3,IF($L88&lt;1,(($U88/$L88)*((1+Inputs!$D$7)^CL$2)),((INT(CL$2/$L88)-INT((CL$2-1)/$L88))*$U88*((1+Inputs!$D$7)^CL$2))),(Inputs!$D$8^((1-_xlfn.WEIBULL.DIST(CL$2,$M88,$L88,FALSE))/_xlfn.WEIBULL.DIST(CL$2,$M88,$L88,FALSE))*$U88*((1+Inputs!$D$7)^CL$2))),IF($N88=Lists!$K$3,IF($L88&lt;1,((($T88*(1-$F88)+$S88*(1-$G88))/$L88)*((1+Inputs!$D$7)^CL$2)),((INT(CL$2/$L88)-INT((CL$2-1)/$L88))*($T88*(1-$F88)+$S88*(1-$G88))*((1+Inputs!$D$7)^CL$2))),((Inputs!$D$8^((1-_xlfn.WEIBULL.DIST(CL$2,$M88,$L88,FALSE))/_xlfn.WEIBULL.DIST(CL$2,$M88,$L88,FALSE))*($T88*(1-$F88)+$S88*(1-$G88))*((1+Inputs!$D$7)^CL$2))))))))</f>
        <v>670.9774749004448</v>
      </c>
      <c r="CM88" s="88">
        <f>MAX(AW88,($E88*IF(CM$2&gt;Inputs!$D$5,0,IF(CM$2&gt;VLOOKUP($H88,Lists!$P$3:$Q$7,2),IF($N88=Lists!$K$3,IF($L88&lt;1,(($U88/$L88)*((1+Inputs!$D$7)^CM$2)),((INT(CM$2/$L88)-INT((CM$2-1)/$L88))*$U88*((1+Inputs!$D$7)^CM$2))),(Inputs!$D$8^((1-_xlfn.WEIBULL.DIST(CM$2,$M88,$L88,FALSE))/_xlfn.WEIBULL.DIST(CM$2,$M88,$L88,FALSE))*$U88*((1+Inputs!$D$7)^CM$2))),IF($N88=Lists!$K$3,IF($L88&lt;1,((($T88*(1-$F88)+$S88*(1-$G88))/$L88)*((1+Inputs!$D$7)^CM$2)),((INT(CM$2/$L88)-INT((CM$2-1)/$L88))*($T88*(1-$F88)+$S88*(1-$G88))*((1+Inputs!$D$7)^CM$2))),((Inputs!$D$8^((1-_xlfn.WEIBULL.DIST(CM$2,$M88,$L88,FALSE))/_xlfn.WEIBULL.DIST(CM$2,$M88,$L88,FALSE))*($T88*(1-$F88)+$S88*(1-$G88))*((1+Inputs!$D$7)^CM$2))))))))</f>
        <v>684.39702439845348</v>
      </c>
      <c r="CN88" s="88">
        <f>MAX(AX88,($E88*IF(CN$2&gt;Inputs!$D$5,0,IF(CN$2&gt;VLOOKUP($H88,Lists!$P$3:$Q$7,2),IF($N88=Lists!$K$3,IF($L88&lt;1,(($U88/$L88)*((1+Inputs!$D$7)^CN$2)),((INT(CN$2/$L88)-INT((CN$2-1)/$L88))*$U88*((1+Inputs!$D$7)^CN$2))),(Inputs!$D$8^((1-_xlfn.WEIBULL.DIST(CN$2,$M88,$L88,FALSE))/_xlfn.WEIBULL.DIST(CN$2,$M88,$L88,FALSE))*$U88*((1+Inputs!$D$7)^CN$2))),IF($N88=Lists!$K$3,IF($L88&lt;1,((($T88*(1-$F88)+$S88*(1-$G88))/$L88)*((1+Inputs!$D$7)^CN$2)),((INT(CN$2/$L88)-INT((CN$2-1)/$L88))*($T88*(1-$F88)+$S88*(1-$G88))*((1+Inputs!$D$7)^CN$2))),((Inputs!$D$8^((1-_xlfn.WEIBULL.DIST(CN$2,$M88,$L88,FALSE))/_xlfn.WEIBULL.DIST(CN$2,$M88,$L88,FALSE))*($T88*(1-$F88)+$S88*(1-$G88))*((1+Inputs!$D$7)^CN$2))))))))</f>
        <v>698.08496488642265</v>
      </c>
      <c r="CO88" s="88">
        <f>MAX(AY88,($E88*IF(CO$2&gt;Inputs!$D$5,0,IF(CO$2&gt;VLOOKUP($H88,Lists!$P$3:$Q$7,2),IF($N88=Lists!$K$3,IF($L88&lt;1,(($U88/$L88)*((1+Inputs!$D$7)^CO$2)),((INT(CO$2/$L88)-INT((CO$2-1)/$L88))*$U88*((1+Inputs!$D$7)^CO$2))),(Inputs!$D$8^((1-_xlfn.WEIBULL.DIST(CO$2,$M88,$L88,FALSE))/_xlfn.WEIBULL.DIST(CO$2,$M88,$L88,FALSE))*$U88*((1+Inputs!$D$7)^CO$2))),IF($N88=Lists!$K$3,IF($L88&lt;1,((($T88*(1-$F88)+$S88*(1-$G88))/$L88)*((1+Inputs!$D$7)^CO$2)),((INT(CO$2/$L88)-INT((CO$2-1)/$L88))*($T88*(1-$F88)+$S88*(1-$G88))*((1+Inputs!$D$7)^CO$2))),((Inputs!$D$8^((1-_xlfn.WEIBULL.DIST(CO$2,$M88,$L88,FALSE))/_xlfn.WEIBULL.DIST(CO$2,$M88,$L88,FALSE))*($T88*(1-$F88)+$S88*(1-$G88))*((1+Inputs!$D$7)^CO$2))))))))</f>
        <v>712.04666418415104</v>
      </c>
      <c r="CP88" s="88">
        <f>MAX(AZ88,($E88*IF(CP$2&gt;Inputs!$D$5,0,IF(CP$2&gt;VLOOKUP($H88,Lists!$P$3:$Q$7,2),IF($N88=Lists!$K$3,IF($L88&lt;1,(($U88/$L88)*((1+Inputs!$D$7)^CP$2)),((INT(CP$2/$L88)-INT((CP$2-1)/$L88))*$U88*((1+Inputs!$D$7)^CP$2))),(Inputs!$D$8^((1-_xlfn.WEIBULL.DIST(CP$2,$M88,$L88,FALSE))/_xlfn.WEIBULL.DIST(CP$2,$M88,$L88,FALSE))*$U88*((1+Inputs!$D$7)^CP$2))),IF($N88=Lists!$K$3,IF($L88&lt;1,((($T88*(1-$F88)+$S88*(1-$G88))/$L88)*((1+Inputs!$D$7)^CP$2)),((INT(CP$2/$L88)-INT((CP$2-1)/$L88))*($T88*(1-$F88)+$S88*(1-$G88))*((1+Inputs!$D$7)^CP$2))),((Inputs!$D$8^((1-_xlfn.WEIBULL.DIST(CP$2,$M88,$L88,FALSE))/_xlfn.WEIBULL.DIST(CP$2,$M88,$L88,FALSE))*($T88*(1-$F88)+$S88*(1-$G88))*((1+Inputs!$D$7)^CP$2))))))))</f>
        <v>0</v>
      </c>
      <c r="CQ88" s="88">
        <f>MAX(BA88,($E88*IF(CQ$2&gt;Inputs!$D$5,0,IF(CQ$2&gt;VLOOKUP($H88,Lists!$P$3:$Q$7,2),IF($N88=Lists!$K$3,IF($L88&lt;1,(($U88/$L88)*((1+Inputs!$D$7)^CQ$2)),((INT(CQ$2/$L88)-INT((CQ$2-1)/$L88))*$U88*((1+Inputs!$D$7)^CQ$2))),(Inputs!$D$8^((1-_xlfn.WEIBULL.DIST(CQ$2,$M88,$L88,FALSE))/_xlfn.WEIBULL.DIST(CQ$2,$M88,$L88,FALSE))*$U88*((1+Inputs!$D$7)^CQ$2))),IF($N88=Lists!$K$3,IF($L88&lt;1,((($T88*(1-$F88)+$S88*(1-$G88))/$L88)*((1+Inputs!$D$7)^CQ$2)),((INT(CQ$2/$L88)-INT((CQ$2-1)/$L88))*($T88*(1-$F88)+$S88*(1-$G88))*((1+Inputs!$D$7)^CQ$2))),((Inputs!$D$8^((1-_xlfn.WEIBULL.DIST(CQ$2,$M88,$L88,FALSE))/_xlfn.WEIBULL.DIST(CQ$2,$M88,$L88,FALSE))*($T88*(1-$F88)+$S88*(1-$G88))*((1+Inputs!$D$7)^CQ$2))))))))</f>
        <v>0</v>
      </c>
      <c r="CR88" s="88">
        <f>MAX(BB88,($E88*IF(CR$2&gt;Inputs!$D$5,0,IF(CR$2&gt;VLOOKUP($H88,Lists!$P$3:$Q$7,2),IF($N88=Lists!$K$3,IF($L88&lt;1,(($U88/$L88)*((1+Inputs!$D$7)^CR$2)),((INT(CR$2/$L88)-INT((CR$2-1)/$L88))*$U88*((1+Inputs!$D$7)^CR$2))),(Inputs!$D$8^((1-_xlfn.WEIBULL.DIST(CR$2,$M88,$L88,FALSE))/_xlfn.WEIBULL.DIST(CR$2,$M88,$L88,FALSE))*$U88*((1+Inputs!$D$7)^CR$2))),IF($N88=Lists!$K$3,IF($L88&lt;1,((($T88*(1-$F88)+$S88*(1-$G88))/$L88)*((1+Inputs!$D$7)^CR$2)),((INT(CR$2/$L88)-INT((CR$2-1)/$L88))*($T88*(1-$F88)+$S88*(1-$G88))*((1+Inputs!$D$7)^CR$2))),((Inputs!$D$8^((1-_xlfn.WEIBULL.DIST(CR$2,$M88,$L88,FALSE))/_xlfn.WEIBULL.DIST(CR$2,$M88,$L88,FALSE))*($T88*(1-$F88)+$S88*(1-$G88))*((1+Inputs!$D$7)^CR$2))))))))</f>
        <v>0</v>
      </c>
      <c r="CS88" s="88">
        <f>MAX(BC88,($E88*IF(CS$2&gt;Inputs!$D$5,0,IF(CS$2&gt;VLOOKUP($H88,Lists!$P$3:$Q$7,2),IF($N88=Lists!$K$3,IF($L88&lt;1,(($U88/$L88)*((1+Inputs!$D$7)^CS$2)),((INT(CS$2/$L88)-INT((CS$2-1)/$L88))*$U88*((1+Inputs!$D$7)^CS$2))),(Inputs!$D$8^((1-_xlfn.WEIBULL.DIST(CS$2,$M88,$L88,FALSE))/_xlfn.WEIBULL.DIST(CS$2,$M88,$L88,FALSE))*$U88*((1+Inputs!$D$7)^CS$2))),IF($N88=Lists!$K$3,IF($L88&lt;1,((($T88*(1-$F88)+$S88*(1-$G88))/$L88)*((1+Inputs!$D$7)^CS$2)),((INT(CS$2/$L88)-INT((CS$2-1)/$L88))*($T88*(1-$F88)+$S88*(1-$G88))*((1+Inputs!$D$7)^CS$2))),((Inputs!$D$8^((1-_xlfn.WEIBULL.DIST(CS$2,$M88,$L88,FALSE))/_xlfn.WEIBULL.DIST(CS$2,$M88,$L88,FALSE))*($T88*(1-$F88)+$S88*(1-$G88))*((1+Inputs!$D$7)^CS$2))))))))</f>
        <v>0</v>
      </c>
      <c r="CT88" s="88">
        <f>MAX(BD88,($E88*IF(CT$2&gt;Inputs!$D$5,0,IF(CT$2&gt;VLOOKUP($H88,Lists!$P$3:$Q$7,2),IF($N88=Lists!$K$3,IF($L88&lt;1,(($U88/$L88)*((1+Inputs!$D$7)^CT$2)),((INT(CT$2/$L88)-INT((CT$2-1)/$L88))*$U88*((1+Inputs!$D$7)^CT$2))),(Inputs!$D$8^((1-_xlfn.WEIBULL.DIST(CT$2,$M88,$L88,FALSE))/_xlfn.WEIBULL.DIST(CT$2,$M88,$L88,FALSE))*$U88*((1+Inputs!$D$7)^CT$2))),IF($N88=Lists!$K$3,IF($L88&lt;1,((($T88*(1-$F88)+$S88*(1-$G88))/$L88)*((1+Inputs!$D$7)^CT$2)),((INT(CT$2/$L88)-INT((CT$2-1)/$L88))*($T88*(1-$F88)+$S88*(1-$G88))*((1+Inputs!$D$7)^CT$2))),((Inputs!$D$8^((1-_xlfn.WEIBULL.DIST(CT$2,$M88,$L88,FALSE))/_xlfn.WEIBULL.DIST(CT$2,$M88,$L88,FALSE))*($T88*(1-$F88)+$S88*(1-$G88))*((1+Inputs!$D$7)^CT$2))))))))</f>
        <v>0</v>
      </c>
      <c r="CU88" s="88">
        <f>MAX(BE88,($E88*IF(CU$2&gt;Inputs!$D$5,0,IF(CU$2&gt;VLOOKUP($H88,Lists!$P$3:$Q$7,2),IF($N88=Lists!$K$3,IF($L88&lt;1,(($U88/$L88)*((1+Inputs!$D$7)^CU$2)),((INT(CU$2/$L88)-INT((CU$2-1)/$L88))*$U88*((1+Inputs!$D$7)^CU$2))),(Inputs!$D$8^((1-_xlfn.WEIBULL.DIST(CU$2,$M88,$L88,FALSE))/_xlfn.WEIBULL.DIST(CU$2,$M88,$L88,FALSE))*$U88*((1+Inputs!$D$7)^CU$2))),IF($N88=Lists!$K$3,IF($L88&lt;1,((($T88*(1-$F88)+$S88*(1-$G88))/$L88)*((1+Inputs!$D$7)^CU$2)),((INT(CU$2/$L88)-INT((CU$2-1)/$L88))*($T88*(1-$F88)+$S88*(1-$G88))*((1+Inputs!$D$7)^CU$2))),((Inputs!$D$8^((1-_xlfn.WEIBULL.DIST(CU$2,$M88,$L88,FALSE))/_xlfn.WEIBULL.DIST(CU$2,$M88,$L88,FALSE))*($T88*(1-$F88)+$S88*(1-$G88))*((1+Inputs!$D$7)^CU$2))))))))</f>
        <v>0</v>
      </c>
      <c r="CV88" s="88">
        <f>MAX(BF88,($E88*IF(CV$2&gt;Inputs!$D$5,0,IF(CV$2&gt;VLOOKUP($H88,Lists!$P$3:$Q$7,2),IF($N88=Lists!$K$3,IF($L88&lt;1,(($U88/$L88)*((1+Inputs!$D$7)^CV$2)),((INT(CV$2/$L88)-INT((CV$2-1)/$L88))*$U88*((1+Inputs!$D$7)^CV$2))),(Inputs!$D$8^((1-_xlfn.WEIBULL.DIST(CV$2,$M88,$L88,FALSE))/_xlfn.WEIBULL.DIST(CV$2,$M88,$L88,FALSE))*$U88*((1+Inputs!$D$7)^CV$2))),IF($N88=Lists!$K$3,IF($L88&lt;1,((($T88*(1-$F88)+$S88*(1-$G88))/$L88)*((1+Inputs!$D$7)^CV$2)),((INT(CV$2/$L88)-INT((CV$2-1)/$L88))*($T88*(1-$F88)+$S88*(1-$G88))*((1+Inputs!$D$7)^CV$2))),((Inputs!$D$8^((1-_xlfn.WEIBULL.DIST(CV$2,$M88,$L88,FALSE))/_xlfn.WEIBULL.DIST(CV$2,$M88,$L88,FALSE))*($T88*(1-$F88)+$S88*(1-$G88))*((1+Inputs!$D$7)^CV$2))))))))</f>
        <v>0</v>
      </c>
      <c r="CW88" s="88">
        <f>MAX(BG88,($E88*IF(CW$2&gt;Inputs!$D$5,0,IF(CW$2&gt;VLOOKUP($H88,Lists!$P$3:$Q$7,2),IF($N88=Lists!$K$3,IF($L88&lt;1,(($U88/$L88)*((1+Inputs!$D$7)^CW$2)),((INT(CW$2/$L88)-INT((CW$2-1)/$L88))*$U88*((1+Inputs!$D$7)^CW$2))),(Inputs!$D$8^((1-_xlfn.WEIBULL.DIST(CW$2,$M88,$L88,FALSE))/_xlfn.WEIBULL.DIST(CW$2,$M88,$L88,FALSE))*$U88*((1+Inputs!$D$7)^CW$2))),IF($N88=Lists!$K$3,IF($L88&lt;1,((($T88*(1-$F88)+$S88*(1-$G88))/$L88)*((1+Inputs!$D$7)^CW$2)),((INT(CW$2/$L88)-INT((CW$2-1)/$L88))*($T88*(1-$F88)+$S88*(1-$G88))*((1+Inputs!$D$7)^CW$2))),((Inputs!$D$8^((1-_xlfn.WEIBULL.DIST(CW$2,$M88,$L88,FALSE))/_xlfn.WEIBULL.DIST(CW$2,$M88,$L88,FALSE))*($T88*(1-$F88)+$S88*(1-$G88))*((1+Inputs!$D$7)^CW$2))))))))</f>
        <v>0</v>
      </c>
      <c r="CX88" s="88">
        <f>MAX(BH88,($E88*IF(CX$2&gt;Inputs!$D$5,0,IF(CX$2&gt;VLOOKUP($H88,Lists!$P$3:$Q$7,2),IF($N88=Lists!$K$3,IF($L88&lt;1,(($U88/$L88)*((1+Inputs!$D$7)^CX$2)),((INT(CX$2/$L88)-INT((CX$2-1)/$L88))*$U88*((1+Inputs!$D$7)^CX$2))),(Inputs!$D$8^((1-_xlfn.WEIBULL.DIST(CX$2,$M88,$L88,FALSE))/_xlfn.WEIBULL.DIST(CX$2,$M88,$L88,FALSE))*$U88*((1+Inputs!$D$7)^CX$2))),IF($N88=Lists!$K$3,IF($L88&lt;1,((($T88*(1-$F88)+$S88*(1-$G88))/$L88)*((1+Inputs!$D$7)^CX$2)),((INT(CX$2/$L88)-INT((CX$2-1)/$L88))*($T88*(1-$F88)+$S88*(1-$G88))*((1+Inputs!$D$7)^CX$2))),((Inputs!$D$8^((1-_xlfn.WEIBULL.DIST(CX$2,$M88,$L88,FALSE))/_xlfn.WEIBULL.DIST(CX$2,$M88,$L88,FALSE))*($T88*(1-$F88)+$S88*(1-$G88))*((1+Inputs!$D$7)^CX$2))))))))</f>
        <v>0</v>
      </c>
      <c r="CY88" s="88">
        <f>MAX(BI88,($E88*IF(CY$2&gt;Inputs!$D$5,0,IF(CY$2&gt;VLOOKUP($H88,Lists!$P$3:$Q$7,2),IF($N88=Lists!$K$3,IF($L88&lt;1,(($U88/$L88)*((1+Inputs!$D$7)^CY$2)),((INT(CY$2/$L88)-INT((CY$2-1)/$L88))*$U88*((1+Inputs!$D$7)^CY$2))),(Inputs!$D$8^((1-_xlfn.WEIBULL.DIST(CY$2,$M88,$L88,FALSE))/_xlfn.WEIBULL.DIST(CY$2,$M88,$L88,FALSE))*$U88*((1+Inputs!$D$7)^CY$2))),IF($N88=Lists!$K$3,IF($L88&lt;1,((($T88*(1-$F88)+$S88*(1-$G88))/$L88)*((1+Inputs!$D$7)^CY$2)),((INT(CY$2/$L88)-INT((CY$2-1)/$L88))*($T88*(1-$F88)+$S88*(1-$G88))*((1+Inputs!$D$7)^CY$2))),((Inputs!$D$8^((1-_xlfn.WEIBULL.DIST(CY$2,$M88,$L88,FALSE))/_xlfn.WEIBULL.DIST(CY$2,$M88,$L88,FALSE))*($T88*(1-$F88)+$S88*(1-$G88))*((1+Inputs!$D$7)^CY$2))))))))</f>
        <v>0</v>
      </c>
      <c r="CZ88" s="88">
        <f>MAX(BJ88,($E88*IF(CZ$2&gt;Inputs!$D$5,0,IF(CZ$2&gt;VLOOKUP($H88,Lists!$P$3:$Q$7,2),IF($N88=Lists!$K$3,IF($L88&lt;1,(($U88/$L88)*((1+Inputs!$D$7)^CZ$2)),((INT(CZ$2/$L88)-INT((CZ$2-1)/$L88))*$U88*((1+Inputs!$D$7)^CZ$2))),(Inputs!$D$8^((1-_xlfn.WEIBULL.DIST(CZ$2,$M88,$L88,FALSE))/_xlfn.WEIBULL.DIST(CZ$2,$M88,$L88,FALSE))*$U88*((1+Inputs!$D$7)^CZ$2))),IF($N88=Lists!$K$3,IF($L88&lt;1,((($T88*(1-$F88)+$S88*(1-$G88))/$L88)*((1+Inputs!$D$7)^CZ$2)),((INT(CZ$2/$L88)-INT((CZ$2-1)/$L88))*($T88*(1-$F88)+$S88*(1-$G88))*((1+Inputs!$D$7)^CZ$2))),((Inputs!$D$8^((1-_xlfn.WEIBULL.DIST(CZ$2,$M88,$L88,FALSE))/_xlfn.WEIBULL.DIST(CZ$2,$M88,$L88,FALSE))*($T88*(1-$F88)+$S88*(1-$G88))*((1+Inputs!$D$7)^CZ$2))))))))</f>
        <v>0</v>
      </c>
      <c r="DA88" s="88">
        <f>MAX(BK88,($E88*IF(DA$2&gt;Inputs!$D$5,0,IF(DA$2&gt;VLOOKUP($H88,Lists!$P$3:$Q$7,2),IF($N88=Lists!$K$3,IF($L88&lt;1,(($U88/$L88)*((1+Inputs!$D$7)^DA$2)),((INT(DA$2/$L88)-INT((DA$2-1)/$L88))*$U88*((1+Inputs!$D$7)^DA$2))),(Inputs!$D$8^((1-_xlfn.WEIBULL.DIST(DA$2,$M88,$L88,FALSE))/_xlfn.WEIBULL.DIST(DA$2,$M88,$L88,FALSE))*$U88*((1+Inputs!$D$7)^DA$2))),IF($N88=Lists!$K$3,IF($L88&lt;1,((($T88*(1-$F88)+$S88*(1-$G88))/$L88)*((1+Inputs!$D$7)^DA$2)),((INT(DA$2/$L88)-INT((DA$2-1)/$L88))*($T88*(1-$F88)+$S88*(1-$G88))*((1+Inputs!$D$7)^DA$2))),((Inputs!$D$8^((1-_xlfn.WEIBULL.DIST(DA$2,$M88,$L88,FALSE))/_xlfn.WEIBULL.DIST(DA$2,$M88,$L88,FALSE))*($T88*(1-$F88)+$S88*(1-$G88))*((1+Inputs!$D$7)^DA$2))))))))</f>
        <v>0</v>
      </c>
      <c r="DB88" s="88">
        <f>MAX(BL88,($E88*IF(DB$2&gt;Inputs!$D$5,0,IF(DB$2&gt;VLOOKUP($H88,Lists!$P$3:$Q$7,2),IF($N88=Lists!$K$3,IF($L88&lt;1,(($U88/$L88)*((1+Inputs!$D$7)^DB$2)),((INT(DB$2/$L88)-INT((DB$2-1)/$L88))*$U88*((1+Inputs!$D$7)^DB$2))),(Inputs!$D$8^((1-_xlfn.WEIBULL.DIST(DB$2,$M88,$L88,FALSE))/_xlfn.WEIBULL.DIST(DB$2,$M88,$L88,FALSE))*$U88*((1+Inputs!$D$7)^DB$2))),IF($N88=Lists!$K$3,IF($L88&lt;1,((($T88*(1-$F88)+$S88*(1-$G88))/$L88)*((1+Inputs!$D$7)^DB$2)),((INT(DB$2/$L88)-INT((DB$2-1)/$L88))*($T88*(1-$F88)+$S88*(1-$G88))*((1+Inputs!$D$7)^DB$2))),((Inputs!$D$8^((1-_xlfn.WEIBULL.DIST(DB$2,$M88,$L88,FALSE))/_xlfn.WEIBULL.DIST(DB$2,$M88,$L88,FALSE))*($T88*(1-$F88)+$S88*(1-$G88))*((1+Inputs!$D$7)^DB$2))))))))</f>
        <v>0</v>
      </c>
      <c r="DC88" s="88">
        <f>MAX(BM88,($E88*IF(DC$2&gt;Inputs!$D$5,0,IF(DC$2&gt;VLOOKUP($H88,Lists!$P$3:$Q$7,2),IF($N88=Lists!$K$3,IF($L88&lt;1,(($U88/$L88)*((1+Inputs!$D$7)^DC$2)),((INT(DC$2/$L88)-INT((DC$2-1)/$L88))*$U88*((1+Inputs!$D$7)^DC$2))),(Inputs!$D$8^((1-_xlfn.WEIBULL.DIST(DC$2,$M88,$L88,FALSE))/_xlfn.WEIBULL.DIST(DC$2,$M88,$L88,FALSE))*$U88*((1+Inputs!$D$7)^DC$2))),IF($N88=Lists!$K$3,IF($L88&lt;1,((($T88*(1-$F88)+$S88*(1-$G88))/$L88)*((1+Inputs!$D$7)^DC$2)),((INT(DC$2/$L88)-INT((DC$2-1)/$L88))*($T88*(1-$F88)+$S88*(1-$G88))*((1+Inputs!$D$7)^DC$2))),((Inputs!$D$8^((1-_xlfn.WEIBULL.DIST(DC$2,$M88,$L88,FALSE))/_xlfn.WEIBULL.DIST(DC$2,$M88,$L88,FALSE))*($T88*(1-$F88)+$S88*(1-$G88))*((1+Inputs!$D$7)^DC$2))))))))</f>
        <v>0</v>
      </c>
      <c r="DD88" s="88">
        <f>MAX(BN88,($E88*IF(DD$2&gt;Inputs!$D$5,0,IF(DD$2&gt;VLOOKUP($H88,Lists!$P$3:$Q$7,2),IF($N88=Lists!$K$3,IF($L88&lt;1,(($U88/$L88)*((1+Inputs!$D$7)^DD$2)),((INT(DD$2/$L88)-INT((DD$2-1)/$L88))*$U88*((1+Inputs!$D$7)^DD$2))),(Inputs!$D$8^((1-_xlfn.WEIBULL.DIST(DD$2,$M88,$L88,FALSE))/_xlfn.WEIBULL.DIST(DD$2,$M88,$L88,FALSE))*$U88*((1+Inputs!$D$7)^DD$2))),IF($N88=Lists!$K$3,IF($L88&lt;1,((($T88*(1-$F88)+$S88*(1-$G88))/$L88)*((1+Inputs!$D$7)^DD$2)),((INT(DD$2/$L88)-INT((DD$2-1)/$L88))*($T88*(1-$F88)+$S88*(1-$G88))*((1+Inputs!$D$7)^DD$2))),((Inputs!$D$8^((1-_xlfn.WEIBULL.DIST(DD$2,$M88,$L88,FALSE))/_xlfn.WEIBULL.DIST(DD$2,$M88,$L88,FALSE))*($T88*(1-$F88)+$S88*(1-$G88))*((1+Inputs!$D$7)^DD$2))))))))</f>
        <v>0</v>
      </c>
    </row>
    <row r="89" spans="1:108" s="1" customFormat="1" ht="16">
      <c r="A89" s="57" t="s">
        <v>10</v>
      </c>
      <c r="B89" s="13" t="s">
        <v>279</v>
      </c>
      <c r="C89" s="13" t="s">
        <v>473</v>
      </c>
      <c r="D89" s="13" t="s">
        <v>34</v>
      </c>
      <c r="E89" s="48">
        <f>IF(Inputs!$D$46=Lists!$AC$3,0,1)</f>
        <v>0</v>
      </c>
      <c r="F89" s="48">
        <v>0</v>
      </c>
      <c r="G89" s="48">
        <v>0</v>
      </c>
      <c r="H89" s="105" t="s">
        <v>350</v>
      </c>
      <c r="I89" s="14" t="s">
        <v>30</v>
      </c>
      <c r="J89" s="14" t="s">
        <v>92</v>
      </c>
      <c r="K89" s="13">
        <f>VLOOKUP(J89,'Labor Rates'!$A$1:$F$16,2)</f>
        <v>33.17307692307692</v>
      </c>
      <c r="L89" s="15">
        <v>5</v>
      </c>
      <c r="M89" s="15">
        <v>1</v>
      </c>
      <c r="N89" s="13" t="s">
        <v>240</v>
      </c>
      <c r="O89" s="61">
        <f>Inputs!$D$15/Inputs!$D$19</f>
        <v>32786.885245901642</v>
      </c>
      <c r="P89" s="15">
        <f>15/3600</f>
        <v>4.1666666666666666E-3</v>
      </c>
      <c r="Q89" s="15">
        <f t="shared" si="14"/>
        <v>27.322404371584703</v>
      </c>
      <c r="R89" s="4">
        <v>0</v>
      </c>
      <c r="S89" s="53">
        <f t="shared" si="15"/>
        <v>4531.8411097099624</v>
      </c>
      <c r="T89" s="53">
        <f t="shared" si="16"/>
        <v>0</v>
      </c>
      <c r="U89" s="54">
        <f t="shared" si="17"/>
        <v>0</v>
      </c>
      <c r="V89" s="65"/>
      <c r="W89" s="58"/>
      <c r="X89" s="64">
        <f t="shared" si="18"/>
        <v>0</v>
      </c>
      <c r="Y89" s="64">
        <f>NPV(Inputs!$D$6,AA89:BN89)</f>
        <v>0</v>
      </c>
      <c r="Z89" s="67">
        <f t="shared" si="19"/>
        <v>0</v>
      </c>
      <c r="AA89" s="88">
        <f>$E89*IF(AA$2&gt;Inputs!$D$5,0,IF(AA$2&gt;VLOOKUP($H89,Lists!$P$3:$Q$7,2),IF($N89=Lists!$K$3,IF($L89&lt;1,(($U89/$L89)*((1+Inputs!$D$7)^AA$2)),((INT(AA$2/$L89)-INT((AA$2-1)/$L89))*$U89*((1+Inputs!$D$7)^AA$2))),(_xlfn.WEIBULL.DIST(AA$2,$M89,$L89,FALSE)*$U89*((1+Inputs!$D$7)^AA$2))),IF($N89=Lists!$K$3,IF($L89&lt;1,((($T89*(1-$F89)+$S89*(1-$G89))/$L89)*((1+Inputs!$D$7)^AA$2)),((INT(AA$2/$L89)-INT((AA$2-1)/$L89))*($T89*(1-$F89)+$S89*(1-$G89))*((1+Inputs!$D$7)^AA$2))),((_xlfn.WEIBULL.DIST(AA$2,$M89,$L89,FALSE)*($T89*(1-$F89)+$S89*(1-$G89))*((1+Inputs!$D$7)^AA$2))))))</f>
        <v>0</v>
      </c>
      <c r="AB89" s="88">
        <f>$E89*IF(AB$2&gt;Inputs!$D$5,0,IF(AB$2&gt;VLOOKUP($H89,Lists!$P$3:$Q$7,2),IF($N89=Lists!$K$3,IF($L89&lt;1,(($U89/$L89)*((1+Inputs!$D$7)^AB$2)),((INT(AB$2/$L89)-INT((AB$2-1)/$L89))*$U89*((1+Inputs!$D$7)^AB$2))),(_xlfn.WEIBULL.DIST(AB$2,$M89,$L89,FALSE)*$U89*((1+Inputs!$D$7)^AB$2))),IF($N89=Lists!$K$3,IF($L89&lt;1,((($T89*(1-$F89)+$S89*(1-$G89))/$L89)*((1+Inputs!$D$7)^AB$2)),((INT(AB$2/$L89)-INT((AB$2-1)/$L89))*($T89*(1-$F89)+$S89*(1-$G89))*((1+Inputs!$D$7)^AB$2))),((_xlfn.WEIBULL.DIST(AB$2,$M89,$L89,FALSE)*($T89*(1-$F89)+$S89*(1-$G89))*((1+Inputs!$D$7)^AB$2))))))</f>
        <v>0</v>
      </c>
      <c r="AC89" s="88">
        <f>$E89*IF(AC$2&gt;Inputs!$D$5,0,IF(AC$2&gt;VLOOKUP($H89,Lists!$P$3:$Q$7,2),IF($N89=Lists!$K$3,IF($L89&lt;1,(($U89/$L89)*((1+Inputs!$D$7)^AC$2)),((INT(AC$2/$L89)-INT((AC$2-1)/$L89))*$U89*((1+Inputs!$D$7)^AC$2))),(_xlfn.WEIBULL.DIST(AC$2,$M89,$L89,FALSE)*$U89*((1+Inputs!$D$7)^AC$2))),IF($N89=Lists!$K$3,IF($L89&lt;1,((($T89*(1-$F89)+$S89*(1-$G89))/$L89)*((1+Inputs!$D$7)^AC$2)),((INT(AC$2/$L89)-INT((AC$2-1)/$L89))*($T89*(1-$F89)+$S89*(1-$G89))*((1+Inputs!$D$7)^AC$2))),((_xlfn.WEIBULL.DIST(AC$2,$M89,$L89,FALSE)*($T89*(1-$F89)+$S89*(1-$G89))*((1+Inputs!$D$7)^AC$2))))))</f>
        <v>0</v>
      </c>
      <c r="AD89" s="88">
        <f>$E89*IF(AD$2&gt;Inputs!$D$5,0,IF(AD$2&gt;VLOOKUP($H89,Lists!$P$3:$Q$7,2),IF($N89=Lists!$K$3,IF($L89&lt;1,(($U89/$L89)*((1+Inputs!$D$7)^AD$2)),((INT(AD$2/$L89)-INT((AD$2-1)/$L89))*$U89*((1+Inputs!$D$7)^AD$2))),(_xlfn.WEIBULL.DIST(AD$2,$M89,$L89,FALSE)*$U89*((1+Inputs!$D$7)^AD$2))),IF($N89=Lists!$K$3,IF($L89&lt;1,((($T89*(1-$F89)+$S89*(1-$G89))/$L89)*((1+Inputs!$D$7)^AD$2)),((INT(AD$2/$L89)-INT((AD$2-1)/$L89))*($T89*(1-$F89)+$S89*(1-$G89))*((1+Inputs!$D$7)^AD$2))),((_xlfn.WEIBULL.DIST(AD$2,$M89,$L89,FALSE)*($T89*(1-$F89)+$S89*(1-$G89))*((1+Inputs!$D$7)^AD$2))))))</f>
        <v>0</v>
      </c>
      <c r="AE89" s="88">
        <f>$E89*IF(AE$2&gt;Inputs!$D$5,0,IF(AE$2&gt;VLOOKUP($H89,Lists!$P$3:$Q$7,2),IF($N89=Lists!$K$3,IF($L89&lt;1,(($U89/$L89)*((1+Inputs!$D$7)^AE$2)),((INT(AE$2/$L89)-INT((AE$2-1)/$L89))*$U89*((1+Inputs!$D$7)^AE$2))),(_xlfn.WEIBULL.DIST(AE$2,$M89,$L89,FALSE)*$U89*((1+Inputs!$D$7)^AE$2))),IF($N89=Lists!$K$3,IF($L89&lt;1,((($T89*(1-$F89)+$S89*(1-$G89))/$L89)*((1+Inputs!$D$7)^AE$2)),((INT(AE$2/$L89)-INT((AE$2-1)/$L89))*($T89*(1-$F89)+$S89*(1-$G89))*((1+Inputs!$D$7)^AE$2))),((_xlfn.WEIBULL.DIST(AE$2,$M89,$L89,FALSE)*($T89*(1-$F89)+$S89*(1-$G89))*((1+Inputs!$D$7)^AE$2))))))</f>
        <v>0</v>
      </c>
      <c r="AF89" s="88">
        <f>$E89*IF(AF$2&gt;Inputs!$D$5,0,IF(AF$2&gt;VLOOKUP($H89,Lists!$P$3:$Q$7,2),IF($N89=Lists!$K$3,IF($L89&lt;1,(($U89/$L89)*((1+Inputs!$D$7)^AF$2)),((INT(AF$2/$L89)-INT((AF$2-1)/$L89))*$U89*((1+Inputs!$D$7)^AF$2))),(_xlfn.WEIBULL.DIST(AF$2,$M89,$L89,FALSE)*$U89*((1+Inputs!$D$7)^AF$2))),IF($N89=Lists!$K$3,IF($L89&lt;1,((($T89*(1-$F89)+$S89*(1-$G89))/$L89)*((1+Inputs!$D$7)^AF$2)),((INT(AF$2/$L89)-INT((AF$2-1)/$L89))*($T89*(1-$F89)+$S89*(1-$G89))*((1+Inputs!$D$7)^AF$2))),((_xlfn.WEIBULL.DIST(AF$2,$M89,$L89,FALSE)*($T89*(1-$F89)+$S89*(1-$G89))*((1+Inputs!$D$7)^AF$2))))))</f>
        <v>0</v>
      </c>
      <c r="AG89" s="88">
        <f>$E89*IF(AG$2&gt;Inputs!$D$5,0,IF(AG$2&gt;VLOOKUP($H89,Lists!$P$3:$Q$7,2),IF($N89=Lists!$K$3,IF($L89&lt;1,(($U89/$L89)*((1+Inputs!$D$7)^AG$2)),((INT(AG$2/$L89)-INT((AG$2-1)/$L89))*$U89*((1+Inputs!$D$7)^AG$2))),(_xlfn.WEIBULL.DIST(AG$2,$M89,$L89,FALSE)*$U89*((1+Inputs!$D$7)^AG$2))),IF($N89=Lists!$K$3,IF($L89&lt;1,((($T89*(1-$F89)+$S89*(1-$G89))/$L89)*((1+Inputs!$D$7)^AG$2)),((INT(AG$2/$L89)-INT((AG$2-1)/$L89))*($T89*(1-$F89)+$S89*(1-$G89))*((1+Inputs!$D$7)^AG$2))),((_xlfn.WEIBULL.DIST(AG$2,$M89,$L89,FALSE)*($T89*(1-$F89)+$S89*(1-$G89))*((1+Inputs!$D$7)^AG$2))))))</f>
        <v>0</v>
      </c>
      <c r="AH89" s="88">
        <f>$E89*IF(AH$2&gt;Inputs!$D$5,0,IF(AH$2&gt;VLOOKUP($H89,Lists!$P$3:$Q$7,2),IF($N89=Lists!$K$3,IF($L89&lt;1,(($U89/$L89)*((1+Inputs!$D$7)^AH$2)),((INT(AH$2/$L89)-INT((AH$2-1)/$L89))*$U89*((1+Inputs!$D$7)^AH$2))),(_xlfn.WEIBULL.DIST(AH$2,$M89,$L89,FALSE)*$U89*((1+Inputs!$D$7)^AH$2))),IF($N89=Lists!$K$3,IF($L89&lt;1,((($T89*(1-$F89)+$S89*(1-$G89))/$L89)*((1+Inputs!$D$7)^AH$2)),((INT(AH$2/$L89)-INT((AH$2-1)/$L89))*($T89*(1-$F89)+$S89*(1-$G89))*((1+Inputs!$D$7)^AH$2))),((_xlfn.WEIBULL.DIST(AH$2,$M89,$L89,FALSE)*($T89*(1-$F89)+$S89*(1-$G89))*((1+Inputs!$D$7)^AH$2))))))</f>
        <v>0</v>
      </c>
      <c r="AI89" s="88">
        <f>$E89*IF(AI$2&gt;Inputs!$D$5,0,IF(AI$2&gt;VLOOKUP($H89,Lists!$P$3:$Q$7,2),IF($N89=Lists!$K$3,IF($L89&lt;1,(($U89/$L89)*((1+Inputs!$D$7)^AI$2)),((INT(AI$2/$L89)-INT((AI$2-1)/$L89))*$U89*((1+Inputs!$D$7)^AI$2))),(_xlfn.WEIBULL.DIST(AI$2,$M89,$L89,FALSE)*$U89*((1+Inputs!$D$7)^AI$2))),IF($N89=Lists!$K$3,IF($L89&lt;1,((($T89*(1-$F89)+$S89*(1-$G89))/$L89)*((1+Inputs!$D$7)^AI$2)),((INT(AI$2/$L89)-INT((AI$2-1)/$L89))*($T89*(1-$F89)+$S89*(1-$G89))*((1+Inputs!$D$7)^AI$2))),((_xlfn.WEIBULL.DIST(AI$2,$M89,$L89,FALSE)*($T89*(1-$F89)+$S89*(1-$G89))*((1+Inputs!$D$7)^AI$2))))))</f>
        <v>0</v>
      </c>
      <c r="AJ89" s="88">
        <f>$E89*IF(AJ$2&gt;Inputs!$D$5,0,IF(AJ$2&gt;VLOOKUP($H89,Lists!$P$3:$Q$7,2),IF($N89=Lists!$K$3,IF($L89&lt;1,(($U89/$L89)*((1+Inputs!$D$7)^AJ$2)),((INT(AJ$2/$L89)-INT((AJ$2-1)/$L89))*$U89*((1+Inputs!$D$7)^AJ$2))),(_xlfn.WEIBULL.DIST(AJ$2,$M89,$L89,FALSE)*$U89*((1+Inputs!$D$7)^AJ$2))),IF($N89=Lists!$K$3,IF($L89&lt;1,((($T89*(1-$F89)+$S89*(1-$G89))/$L89)*((1+Inputs!$D$7)^AJ$2)),((INT(AJ$2/$L89)-INT((AJ$2-1)/$L89))*($T89*(1-$F89)+$S89*(1-$G89))*((1+Inputs!$D$7)^AJ$2))),((_xlfn.WEIBULL.DIST(AJ$2,$M89,$L89,FALSE)*($T89*(1-$F89)+$S89*(1-$G89))*((1+Inputs!$D$7)^AJ$2))))))</f>
        <v>0</v>
      </c>
      <c r="AK89" s="88">
        <f>$E89*IF(AK$2&gt;Inputs!$D$5,0,IF(AK$2&gt;VLOOKUP($H89,Lists!$P$3:$Q$7,2),IF($N89=Lists!$K$3,IF($L89&lt;1,(($U89/$L89)*((1+Inputs!$D$7)^AK$2)),((INT(AK$2/$L89)-INT((AK$2-1)/$L89))*$U89*((1+Inputs!$D$7)^AK$2))),(_xlfn.WEIBULL.DIST(AK$2,$M89,$L89,FALSE)*$U89*((1+Inputs!$D$7)^AK$2))),IF($N89=Lists!$K$3,IF($L89&lt;1,((($T89*(1-$F89)+$S89*(1-$G89))/$L89)*((1+Inputs!$D$7)^AK$2)),((INT(AK$2/$L89)-INT((AK$2-1)/$L89))*($T89*(1-$F89)+$S89*(1-$G89))*((1+Inputs!$D$7)^AK$2))),((_xlfn.WEIBULL.DIST(AK$2,$M89,$L89,FALSE)*($T89*(1-$F89)+$S89*(1-$G89))*((1+Inputs!$D$7)^AK$2))))))</f>
        <v>0</v>
      </c>
      <c r="AL89" s="88">
        <f>$E89*IF(AL$2&gt;Inputs!$D$5,0,IF(AL$2&gt;VLOOKUP($H89,Lists!$P$3:$Q$7,2),IF($N89=Lists!$K$3,IF($L89&lt;1,(($U89/$L89)*((1+Inputs!$D$7)^AL$2)),((INT(AL$2/$L89)-INT((AL$2-1)/$L89))*$U89*((1+Inputs!$D$7)^AL$2))),(_xlfn.WEIBULL.DIST(AL$2,$M89,$L89,FALSE)*$U89*((1+Inputs!$D$7)^AL$2))),IF($N89=Lists!$K$3,IF($L89&lt;1,((($T89*(1-$F89)+$S89*(1-$G89))/$L89)*((1+Inputs!$D$7)^AL$2)),((INT(AL$2/$L89)-INT((AL$2-1)/$L89))*($T89*(1-$F89)+$S89*(1-$G89))*((1+Inputs!$D$7)^AL$2))),((_xlfn.WEIBULL.DIST(AL$2,$M89,$L89,FALSE)*($T89*(1-$F89)+$S89*(1-$G89))*((1+Inputs!$D$7)^AL$2))))))</f>
        <v>0</v>
      </c>
      <c r="AM89" s="88">
        <f>$E89*IF(AM$2&gt;Inputs!$D$5,0,IF(AM$2&gt;VLOOKUP($H89,Lists!$P$3:$Q$7,2),IF($N89=Lists!$K$3,IF($L89&lt;1,(($U89/$L89)*((1+Inputs!$D$7)^AM$2)),((INT(AM$2/$L89)-INT((AM$2-1)/$L89))*$U89*((1+Inputs!$D$7)^AM$2))),(_xlfn.WEIBULL.DIST(AM$2,$M89,$L89,FALSE)*$U89*((1+Inputs!$D$7)^AM$2))),IF($N89=Lists!$K$3,IF($L89&lt;1,((($T89*(1-$F89)+$S89*(1-$G89))/$L89)*((1+Inputs!$D$7)^AM$2)),((INT(AM$2/$L89)-INT((AM$2-1)/$L89))*($T89*(1-$F89)+$S89*(1-$G89))*((1+Inputs!$D$7)^AM$2))),((_xlfn.WEIBULL.DIST(AM$2,$M89,$L89,FALSE)*($T89*(1-$F89)+$S89*(1-$G89))*((1+Inputs!$D$7)^AM$2))))))</f>
        <v>0</v>
      </c>
      <c r="AN89" s="88">
        <f>$E89*IF(AN$2&gt;Inputs!$D$5,0,IF(AN$2&gt;VLOOKUP($H89,Lists!$P$3:$Q$7,2),IF($N89=Lists!$K$3,IF($L89&lt;1,(($U89/$L89)*((1+Inputs!$D$7)^AN$2)),((INT(AN$2/$L89)-INT((AN$2-1)/$L89))*$U89*((1+Inputs!$D$7)^AN$2))),(_xlfn.WEIBULL.DIST(AN$2,$M89,$L89,FALSE)*$U89*((1+Inputs!$D$7)^AN$2))),IF($N89=Lists!$K$3,IF($L89&lt;1,((($T89*(1-$F89)+$S89*(1-$G89))/$L89)*((1+Inputs!$D$7)^AN$2)),((INT(AN$2/$L89)-INT((AN$2-1)/$L89))*($T89*(1-$F89)+$S89*(1-$G89))*((1+Inputs!$D$7)^AN$2))),((_xlfn.WEIBULL.DIST(AN$2,$M89,$L89,FALSE)*($T89*(1-$F89)+$S89*(1-$G89))*((1+Inputs!$D$7)^AN$2))))))</f>
        <v>0</v>
      </c>
      <c r="AO89" s="88">
        <f>$E89*IF(AO$2&gt;Inputs!$D$5,0,IF(AO$2&gt;VLOOKUP($H89,Lists!$P$3:$Q$7,2),IF($N89=Lists!$K$3,IF($L89&lt;1,(($U89/$L89)*((1+Inputs!$D$7)^AO$2)),((INT(AO$2/$L89)-INT((AO$2-1)/$L89))*$U89*((1+Inputs!$D$7)^AO$2))),(_xlfn.WEIBULL.DIST(AO$2,$M89,$L89,FALSE)*$U89*((1+Inputs!$D$7)^AO$2))),IF($N89=Lists!$K$3,IF($L89&lt;1,((($T89*(1-$F89)+$S89*(1-$G89))/$L89)*((1+Inputs!$D$7)^AO$2)),((INT(AO$2/$L89)-INT((AO$2-1)/$L89))*($T89*(1-$F89)+$S89*(1-$G89))*((1+Inputs!$D$7)^AO$2))),((_xlfn.WEIBULL.DIST(AO$2,$M89,$L89,FALSE)*($T89*(1-$F89)+$S89*(1-$G89))*((1+Inputs!$D$7)^AO$2))))))</f>
        <v>0</v>
      </c>
      <c r="AP89" s="88">
        <f>$E89*IF(AP$2&gt;Inputs!$D$5,0,IF(AP$2&gt;VLOOKUP($H89,Lists!$P$3:$Q$7,2),IF($N89=Lists!$K$3,IF($L89&lt;1,(($U89/$L89)*((1+Inputs!$D$7)^AP$2)),((INT(AP$2/$L89)-INT((AP$2-1)/$L89))*$U89*((1+Inputs!$D$7)^AP$2))),(_xlfn.WEIBULL.DIST(AP$2,$M89,$L89,FALSE)*$U89*((1+Inputs!$D$7)^AP$2))),IF($N89=Lists!$K$3,IF($L89&lt;1,((($T89*(1-$F89)+$S89*(1-$G89))/$L89)*((1+Inputs!$D$7)^AP$2)),((INT(AP$2/$L89)-INT((AP$2-1)/$L89))*($T89*(1-$F89)+$S89*(1-$G89))*((1+Inputs!$D$7)^AP$2))),((_xlfn.WEIBULL.DIST(AP$2,$M89,$L89,FALSE)*($T89*(1-$F89)+$S89*(1-$G89))*((1+Inputs!$D$7)^AP$2))))))</f>
        <v>0</v>
      </c>
      <c r="AQ89" s="88">
        <f>$E89*IF(AQ$2&gt;Inputs!$D$5,0,IF(AQ$2&gt;VLOOKUP($H89,Lists!$P$3:$Q$7,2),IF($N89=Lists!$K$3,IF($L89&lt;1,(($U89/$L89)*((1+Inputs!$D$7)^AQ$2)),((INT(AQ$2/$L89)-INT((AQ$2-1)/$L89))*$U89*((1+Inputs!$D$7)^AQ$2))),(_xlfn.WEIBULL.DIST(AQ$2,$M89,$L89,FALSE)*$U89*((1+Inputs!$D$7)^AQ$2))),IF($N89=Lists!$K$3,IF($L89&lt;1,((($T89*(1-$F89)+$S89*(1-$G89))/$L89)*((1+Inputs!$D$7)^AQ$2)),((INT(AQ$2/$L89)-INT((AQ$2-1)/$L89))*($T89*(1-$F89)+$S89*(1-$G89))*((1+Inputs!$D$7)^AQ$2))),((_xlfn.WEIBULL.DIST(AQ$2,$M89,$L89,FALSE)*($T89*(1-$F89)+$S89*(1-$G89))*((1+Inputs!$D$7)^AQ$2))))))</f>
        <v>0</v>
      </c>
      <c r="AR89" s="88">
        <f>$E89*IF(AR$2&gt;Inputs!$D$5,0,IF(AR$2&gt;VLOOKUP($H89,Lists!$P$3:$Q$7,2),IF($N89=Lists!$K$3,IF($L89&lt;1,(($U89/$L89)*((1+Inputs!$D$7)^AR$2)),((INT(AR$2/$L89)-INT((AR$2-1)/$L89))*$U89*((1+Inputs!$D$7)^AR$2))),(_xlfn.WEIBULL.DIST(AR$2,$M89,$L89,FALSE)*$U89*((1+Inputs!$D$7)^AR$2))),IF($N89=Lists!$K$3,IF($L89&lt;1,((($T89*(1-$F89)+$S89*(1-$G89))/$L89)*((1+Inputs!$D$7)^AR$2)),((INT(AR$2/$L89)-INT((AR$2-1)/$L89))*($T89*(1-$F89)+$S89*(1-$G89))*((1+Inputs!$D$7)^AR$2))),((_xlfn.WEIBULL.DIST(AR$2,$M89,$L89,FALSE)*($T89*(1-$F89)+$S89*(1-$G89))*((1+Inputs!$D$7)^AR$2))))))</f>
        <v>0</v>
      </c>
      <c r="AS89" s="88">
        <f>$E89*IF(AS$2&gt;Inputs!$D$5,0,IF(AS$2&gt;VLOOKUP($H89,Lists!$P$3:$Q$7,2),IF($N89=Lists!$K$3,IF($L89&lt;1,(($U89/$L89)*((1+Inputs!$D$7)^AS$2)),((INT(AS$2/$L89)-INT((AS$2-1)/$L89))*$U89*((1+Inputs!$D$7)^AS$2))),(_xlfn.WEIBULL.DIST(AS$2,$M89,$L89,FALSE)*$U89*((1+Inputs!$D$7)^AS$2))),IF($N89=Lists!$K$3,IF($L89&lt;1,((($T89*(1-$F89)+$S89*(1-$G89))/$L89)*((1+Inputs!$D$7)^AS$2)),((INT(AS$2/$L89)-INT((AS$2-1)/$L89))*($T89*(1-$F89)+$S89*(1-$G89))*((1+Inputs!$D$7)^AS$2))),((_xlfn.WEIBULL.DIST(AS$2,$M89,$L89,FALSE)*($T89*(1-$F89)+$S89*(1-$G89))*((1+Inputs!$D$7)^AS$2))))))</f>
        <v>0</v>
      </c>
      <c r="AT89" s="88">
        <f>$E89*IF(AT$2&gt;Inputs!$D$5,0,IF(AT$2&gt;VLOOKUP($H89,Lists!$P$3:$Q$7,2),IF($N89=Lists!$K$3,IF($L89&lt;1,(($U89/$L89)*((1+Inputs!$D$7)^AT$2)),((INT(AT$2/$L89)-INT((AT$2-1)/$L89))*$U89*((1+Inputs!$D$7)^AT$2))),(_xlfn.WEIBULL.DIST(AT$2,$M89,$L89,FALSE)*$U89*((1+Inputs!$D$7)^AT$2))),IF($N89=Lists!$K$3,IF($L89&lt;1,((($T89*(1-$F89)+$S89*(1-$G89))/$L89)*((1+Inputs!$D$7)^AT$2)),((INT(AT$2/$L89)-INT((AT$2-1)/$L89))*($T89*(1-$F89)+$S89*(1-$G89))*((1+Inputs!$D$7)^AT$2))),((_xlfn.WEIBULL.DIST(AT$2,$M89,$L89,FALSE)*($T89*(1-$F89)+$S89*(1-$G89))*((1+Inputs!$D$7)^AT$2))))))</f>
        <v>0</v>
      </c>
      <c r="AU89" s="88">
        <f>$E89*IF(AU$2&gt;Inputs!$D$5,0,IF(AU$2&gt;VLOOKUP($H89,Lists!$P$3:$Q$7,2),IF($N89=Lists!$K$3,IF($L89&lt;1,(($U89/$L89)*((1+Inputs!$D$7)^AU$2)),((INT(AU$2/$L89)-INT((AU$2-1)/$L89))*$U89*((1+Inputs!$D$7)^AU$2))),(_xlfn.WEIBULL.DIST(AU$2,$M89,$L89,FALSE)*$U89*((1+Inputs!$D$7)^AU$2))),IF($N89=Lists!$K$3,IF($L89&lt;1,((($T89*(1-$F89)+$S89*(1-$G89))/$L89)*((1+Inputs!$D$7)^AU$2)),((INT(AU$2/$L89)-INT((AU$2-1)/$L89))*($T89*(1-$F89)+$S89*(1-$G89))*((1+Inputs!$D$7)^AU$2))),((_xlfn.WEIBULL.DIST(AU$2,$M89,$L89,FALSE)*($T89*(1-$F89)+$S89*(1-$G89))*((1+Inputs!$D$7)^AU$2))))))</f>
        <v>0</v>
      </c>
      <c r="AV89" s="88">
        <f>$E89*IF(AV$2&gt;Inputs!$D$5,0,IF(AV$2&gt;VLOOKUP($H89,Lists!$P$3:$Q$7,2),IF($N89=Lists!$K$3,IF($L89&lt;1,(($U89/$L89)*((1+Inputs!$D$7)^AV$2)),((INT(AV$2/$L89)-INT((AV$2-1)/$L89))*$U89*((1+Inputs!$D$7)^AV$2))),(_xlfn.WEIBULL.DIST(AV$2,$M89,$L89,FALSE)*$U89*((1+Inputs!$D$7)^AV$2))),IF($N89=Lists!$K$3,IF($L89&lt;1,((($T89*(1-$F89)+$S89*(1-$G89))/$L89)*((1+Inputs!$D$7)^AV$2)),((INT(AV$2/$L89)-INT((AV$2-1)/$L89))*($T89*(1-$F89)+$S89*(1-$G89))*((1+Inputs!$D$7)^AV$2))),((_xlfn.WEIBULL.DIST(AV$2,$M89,$L89,FALSE)*($T89*(1-$F89)+$S89*(1-$G89))*((1+Inputs!$D$7)^AV$2))))))</f>
        <v>0</v>
      </c>
      <c r="AW89" s="88">
        <f>$E89*IF(AW$2&gt;Inputs!$D$5,0,IF(AW$2&gt;VLOOKUP($H89,Lists!$P$3:$Q$7,2),IF($N89=Lists!$K$3,IF($L89&lt;1,(($U89/$L89)*((1+Inputs!$D$7)^AW$2)),((INT(AW$2/$L89)-INT((AW$2-1)/$L89))*$U89*((1+Inputs!$D$7)^AW$2))),(_xlfn.WEIBULL.DIST(AW$2,$M89,$L89,FALSE)*$U89*((1+Inputs!$D$7)^AW$2))),IF($N89=Lists!$K$3,IF($L89&lt;1,((($T89*(1-$F89)+$S89*(1-$G89))/$L89)*((1+Inputs!$D$7)^AW$2)),((INT(AW$2/$L89)-INT((AW$2-1)/$L89))*($T89*(1-$F89)+$S89*(1-$G89))*((1+Inputs!$D$7)^AW$2))),((_xlfn.WEIBULL.DIST(AW$2,$M89,$L89,FALSE)*($T89*(1-$F89)+$S89*(1-$G89))*((1+Inputs!$D$7)^AW$2))))))</f>
        <v>0</v>
      </c>
      <c r="AX89" s="88">
        <f>$E89*IF(AX$2&gt;Inputs!$D$5,0,IF(AX$2&gt;VLOOKUP($H89,Lists!$P$3:$Q$7,2),IF($N89=Lists!$K$3,IF($L89&lt;1,(($U89/$L89)*((1+Inputs!$D$7)^AX$2)),((INT(AX$2/$L89)-INT((AX$2-1)/$L89))*$U89*((1+Inputs!$D$7)^AX$2))),(_xlfn.WEIBULL.DIST(AX$2,$M89,$L89,FALSE)*$U89*((1+Inputs!$D$7)^AX$2))),IF($N89=Lists!$K$3,IF($L89&lt;1,((($T89*(1-$F89)+$S89*(1-$G89))/$L89)*((1+Inputs!$D$7)^AX$2)),((INT(AX$2/$L89)-INT((AX$2-1)/$L89))*($T89*(1-$F89)+$S89*(1-$G89))*((1+Inputs!$D$7)^AX$2))),((_xlfn.WEIBULL.DIST(AX$2,$M89,$L89,FALSE)*($T89*(1-$F89)+$S89*(1-$G89))*((1+Inputs!$D$7)^AX$2))))))</f>
        <v>0</v>
      </c>
      <c r="AY89" s="88">
        <f>$E89*IF(AY$2&gt;Inputs!$D$5,0,IF(AY$2&gt;VLOOKUP($H89,Lists!$P$3:$Q$7,2),IF($N89=Lists!$K$3,IF($L89&lt;1,(($U89/$L89)*((1+Inputs!$D$7)^AY$2)),((INT(AY$2/$L89)-INT((AY$2-1)/$L89))*$U89*((1+Inputs!$D$7)^AY$2))),(_xlfn.WEIBULL.DIST(AY$2,$M89,$L89,FALSE)*$U89*((1+Inputs!$D$7)^AY$2))),IF($N89=Lists!$K$3,IF($L89&lt;1,((($T89*(1-$F89)+$S89*(1-$G89))/$L89)*((1+Inputs!$D$7)^AY$2)),((INT(AY$2/$L89)-INT((AY$2-1)/$L89))*($T89*(1-$F89)+$S89*(1-$G89))*((1+Inputs!$D$7)^AY$2))),((_xlfn.WEIBULL.DIST(AY$2,$M89,$L89,FALSE)*($T89*(1-$F89)+$S89*(1-$G89))*((1+Inputs!$D$7)^AY$2))))))</f>
        <v>0</v>
      </c>
      <c r="AZ89" s="88">
        <f>$E89*IF(AZ$2&gt;Inputs!$D$5,0,IF(AZ$2&gt;VLOOKUP($H89,Lists!$P$3:$Q$7,2),IF($N89=Lists!$K$3,IF($L89&lt;1,(($U89/$L89)*((1+Inputs!$D$7)^AZ$2)),((INT(AZ$2/$L89)-INT((AZ$2-1)/$L89))*$U89*((1+Inputs!$D$7)^AZ$2))),(_xlfn.WEIBULL.DIST(AZ$2,$M89,$L89,FALSE)*$U89*((1+Inputs!$D$7)^AZ$2))),IF($N89=Lists!$K$3,IF($L89&lt;1,((($T89*(1-$F89)+$S89*(1-$G89))/$L89)*((1+Inputs!$D$7)^AZ$2)),((INT(AZ$2/$L89)-INT((AZ$2-1)/$L89))*($T89*(1-$F89)+$S89*(1-$G89))*((1+Inputs!$D$7)^AZ$2))),((_xlfn.WEIBULL.DIST(AZ$2,$M89,$L89,FALSE)*($T89*(1-$F89)+$S89*(1-$G89))*((1+Inputs!$D$7)^AZ$2))))))</f>
        <v>0</v>
      </c>
      <c r="BA89" s="88">
        <f>$E89*IF(BA$2&gt;Inputs!$D$5,0,IF(BA$2&gt;VLOOKUP($H89,Lists!$P$3:$Q$7,2),IF($N89=Lists!$K$3,IF($L89&lt;1,(($U89/$L89)*((1+Inputs!$D$7)^BA$2)),((INT(BA$2/$L89)-INT((BA$2-1)/$L89))*$U89*((1+Inputs!$D$7)^BA$2))),(_xlfn.WEIBULL.DIST(BA$2,$M89,$L89,FALSE)*$U89*((1+Inputs!$D$7)^BA$2))),IF($N89=Lists!$K$3,IF($L89&lt;1,((($T89*(1-$F89)+$S89*(1-$G89))/$L89)*((1+Inputs!$D$7)^BA$2)),((INT(BA$2/$L89)-INT((BA$2-1)/$L89))*($T89*(1-$F89)+$S89*(1-$G89))*((1+Inputs!$D$7)^BA$2))),((_xlfn.WEIBULL.DIST(BA$2,$M89,$L89,FALSE)*($T89*(1-$F89)+$S89*(1-$G89))*((1+Inputs!$D$7)^BA$2))))))</f>
        <v>0</v>
      </c>
      <c r="BB89" s="88">
        <f>$E89*IF(BB$2&gt;Inputs!$D$5,0,IF(BB$2&gt;VLOOKUP($H89,Lists!$P$3:$Q$7,2),IF($N89=Lists!$K$3,IF($L89&lt;1,(($U89/$L89)*((1+Inputs!$D$7)^BB$2)),((INT(BB$2/$L89)-INT((BB$2-1)/$L89))*$U89*((1+Inputs!$D$7)^BB$2))),(_xlfn.WEIBULL.DIST(BB$2,$M89,$L89,FALSE)*$U89*((1+Inputs!$D$7)^BB$2))),IF($N89=Lists!$K$3,IF($L89&lt;1,((($T89*(1-$F89)+$S89*(1-$G89))/$L89)*((1+Inputs!$D$7)^BB$2)),((INT(BB$2/$L89)-INT((BB$2-1)/$L89))*($T89*(1-$F89)+$S89*(1-$G89))*((1+Inputs!$D$7)^BB$2))),((_xlfn.WEIBULL.DIST(BB$2,$M89,$L89,FALSE)*($T89*(1-$F89)+$S89*(1-$G89))*((1+Inputs!$D$7)^BB$2))))))</f>
        <v>0</v>
      </c>
      <c r="BC89" s="88">
        <f>$E89*IF(BC$2&gt;Inputs!$D$5,0,IF(BC$2&gt;VLOOKUP($H89,Lists!$P$3:$Q$7,2),IF($N89=Lists!$K$3,IF($L89&lt;1,(($U89/$L89)*((1+Inputs!$D$7)^BC$2)),((INT(BC$2/$L89)-INT((BC$2-1)/$L89))*$U89*((1+Inputs!$D$7)^BC$2))),(_xlfn.WEIBULL.DIST(BC$2,$M89,$L89,FALSE)*$U89*((1+Inputs!$D$7)^BC$2))),IF($N89=Lists!$K$3,IF($L89&lt;1,((($T89*(1-$F89)+$S89*(1-$G89))/$L89)*((1+Inputs!$D$7)^BC$2)),((INT(BC$2/$L89)-INT((BC$2-1)/$L89))*($T89*(1-$F89)+$S89*(1-$G89))*((1+Inputs!$D$7)^BC$2))),((_xlfn.WEIBULL.DIST(BC$2,$M89,$L89,FALSE)*($T89*(1-$F89)+$S89*(1-$G89))*((1+Inputs!$D$7)^BC$2))))))</f>
        <v>0</v>
      </c>
      <c r="BD89" s="88">
        <f>$E89*IF(BD$2&gt;Inputs!$D$5,0,IF(BD$2&gt;VLOOKUP($H89,Lists!$P$3:$Q$7,2),IF($N89=Lists!$K$3,IF($L89&lt;1,(($U89/$L89)*((1+Inputs!$D$7)^BD$2)),((INT(BD$2/$L89)-INT((BD$2-1)/$L89))*$U89*((1+Inputs!$D$7)^BD$2))),(_xlfn.WEIBULL.DIST(BD$2,$M89,$L89,FALSE)*$U89*((1+Inputs!$D$7)^BD$2))),IF($N89=Lists!$K$3,IF($L89&lt;1,((($T89*(1-$F89)+$S89*(1-$G89))/$L89)*((1+Inputs!$D$7)^BD$2)),((INT(BD$2/$L89)-INT((BD$2-1)/$L89))*($T89*(1-$F89)+$S89*(1-$G89))*((1+Inputs!$D$7)^BD$2))),((_xlfn.WEIBULL.DIST(BD$2,$M89,$L89,FALSE)*($T89*(1-$F89)+$S89*(1-$G89))*((1+Inputs!$D$7)^BD$2))))))</f>
        <v>0</v>
      </c>
      <c r="BE89" s="88">
        <f>$E89*IF(BE$2&gt;Inputs!$D$5,0,IF(BE$2&gt;VLOOKUP($H89,Lists!$P$3:$Q$7,2),IF($N89=Lists!$K$3,IF($L89&lt;1,(($U89/$L89)*((1+Inputs!$D$7)^BE$2)),((INT(BE$2/$L89)-INT((BE$2-1)/$L89))*$U89*((1+Inputs!$D$7)^BE$2))),(_xlfn.WEIBULL.DIST(BE$2,$M89,$L89,FALSE)*$U89*((1+Inputs!$D$7)^BE$2))),IF($N89=Lists!$K$3,IF($L89&lt;1,((($T89*(1-$F89)+$S89*(1-$G89))/$L89)*((1+Inputs!$D$7)^BE$2)),((INT(BE$2/$L89)-INT((BE$2-1)/$L89))*($T89*(1-$F89)+$S89*(1-$G89))*((1+Inputs!$D$7)^BE$2))),((_xlfn.WEIBULL.DIST(BE$2,$M89,$L89,FALSE)*($T89*(1-$F89)+$S89*(1-$G89))*((1+Inputs!$D$7)^BE$2))))))</f>
        <v>0</v>
      </c>
      <c r="BF89" s="88">
        <f>$E89*IF(BF$2&gt;Inputs!$D$5,0,IF(BF$2&gt;VLOOKUP($H89,Lists!$P$3:$Q$7,2),IF($N89=Lists!$K$3,IF($L89&lt;1,(($U89/$L89)*((1+Inputs!$D$7)^BF$2)),((INT(BF$2/$L89)-INT((BF$2-1)/$L89))*$U89*((1+Inputs!$D$7)^BF$2))),(_xlfn.WEIBULL.DIST(BF$2,$M89,$L89,FALSE)*$U89*((1+Inputs!$D$7)^BF$2))),IF($N89=Lists!$K$3,IF($L89&lt;1,((($T89*(1-$F89)+$S89*(1-$G89))/$L89)*((1+Inputs!$D$7)^BF$2)),((INT(BF$2/$L89)-INT((BF$2-1)/$L89))*($T89*(1-$F89)+$S89*(1-$G89))*((1+Inputs!$D$7)^BF$2))),((_xlfn.WEIBULL.DIST(BF$2,$M89,$L89,FALSE)*($T89*(1-$F89)+$S89*(1-$G89))*((1+Inputs!$D$7)^BF$2))))))</f>
        <v>0</v>
      </c>
      <c r="BG89" s="88">
        <f>$E89*IF(BG$2&gt;Inputs!$D$5,0,IF(BG$2&gt;VLOOKUP($H89,Lists!$P$3:$Q$7,2),IF($N89=Lists!$K$3,IF($L89&lt;1,(($U89/$L89)*((1+Inputs!$D$7)^BG$2)),((INT(BG$2/$L89)-INT((BG$2-1)/$L89))*$U89*((1+Inputs!$D$7)^BG$2))),(_xlfn.WEIBULL.DIST(BG$2,$M89,$L89,FALSE)*$U89*((1+Inputs!$D$7)^BG$2))),IF($N89=Lists!$K$3,IF($L89&lt;1,((($T89*(1-$F89)+$S89*(1-$G89))/$L89)*((1+Inputs!$D$7)^BG$2)),((INT(BG$2/$L89)-INT((BG$2-1)/$L89))*($T89*(1-$F89)+$S89*(1-$G89))*((1+Inputs!$D$7)^BG$2))),((_xlfn.WEIBULL.DIST(BG$2,$M89,$L89,FALSE)*($T89*(1-$F89)+$S89*(1-$G89))*((1+Inputs!$D$7)^BG$2))))))</f>
        <v>0</v>
      </c>
      <c r="BH89" s="88">
        <f>$E89*IF(BH$2&gt;Inputs!$D$5,0,IF(BH$2&gt;VLOOKUP($H89,Lists!$P$3:$Q$7,2),IF($N89=Lists!$K$3,IF($L89&lt;1,(($U89/$L89)*((1+Inputs!$D$7)^BH$2)),((INT(BH$2/$L89)-INT((BH$2-1)/$L89))*$U89*((1+Inputs!$D$7)^BH$2))),(_xlfn.WEIBULL.DIST(BH$2,$M89,$L89,FALSE)*$U89*((1+Inputs!$D$7)^BH$2))),IF($N89=Lists!$K$3,IF($L89&lt;1,((($T89*(1-$F89)+$S89*(1-$G89))/$L89)*((1+Inputs!$D$7)^BH$2)),((INT(BH$2/$L89)-INT((BH$2-1)/$L89))*($T89*(1-$F89)+$S89*(1-$G89))*((1+Inputs!$D$7)^BH$2))),((_xlfn.WEIBULL.DIST(BH$2,$M89,$L89,FALSE)*($T89*(1-$F89)+$S89*(1-$G89))*((1+Inputs!$D$7)^BH$2))))))</f>
        <v>0</v>
      </c>
      <c r="BI89" s="88">
        <f>$E89*IF(BI$2&gt;Inputs!$D$5,0,IF(BI$2&gt;VLOOKUP($H89,Lists!$P$3:$Q$7,2),IF($N89=Lists!$K$3,IF($L89&lt;1,(($U89/$L89)*((1+Inputs!$D$7)^BI$2)),((INT(BI$2/$L89)-INT((BI$2-1)/$L89))*$U89*((1+Inputs!$D$7)^BI$2))),(_xlfn.WEIBULL.DIST(BI$2,$M89,$L89,FALSE)*$U89*((1+Inputs!$D$7)^BI$2))),IF($N89=Lists!$K$3,IF($L89&lt;1,((($T89*(1-$F89)+$S89*(1-$G89))/$L89)*((1+Inputs!$D$7)^BI$2)),((INT(BI$2/$L89)-INT((BI$2-1)/$L89))*($T89*(1-$F89)+$S89*(1-$G89))*((1+Inputs!$D$7)^BI$2))),((_xlfn.WEIBULL.DIST(BI$2,$M89,$L89,FALSE)*($T89*(1-$F89)+$S89*(1-$G89))*((1+Inputs!$D$7)^BI$2))))))</f>
        <v>0</v>
      </c>
      <c r="BJ89" s="88">
        <f>$E89*IF(BJ$2&gt;Inputs!$D$5,0,IF(BJ$2&gt;VLOOKUP($H89,Lists!$P$3:$Q$7,2),IF($N89=Lists!$K$3,IF($L89&lt;1,(($U89/$L89)*((1+Inputs!$D$7)^BJ$2)),((INT(BJ$2/$L89)-INT((BJ$2-1)/$L89))*$U89*((1+Inputs!$D$7)^BJ$2))),(_xlfn.WEIBULL.DIST(BJ$2,$M89,$L89,FALSE)*$U89*((1+Inputs!$D$7)^BJ$2))),IF($N89=Lists!$K$3,IF($L89&lt;1,((($T89*(1-$F89)+$S89*(1-$G89))/$L89)*((1+Inputs!$D$7)^BJ$2)),((INT(BJ$2/$L89)-INT((BJ$2-1)/$L89))*($T89*(1-$F89)+$S89*(1-$G89))*((1+Inputs!$D$7)^BJ$2))),((_xlfn.WEIBULL.DIST(BJ$2,$M89,$L89,FALSE)*($T89*(1-$F89)+$S89*(1-$G89))*((1+Inputs!$D$7)^BJ$2))))))</f>
        <v>0</v>
      </c>
      <c r="BK89" s="88">
        <f>$E89*IF(BK$2&gt;Inputs!$D$5,0,IF(BK$2&gt;VLOOKUP($H89,Lists!$P$3:$Q$7,2),IF($N89=Lists!$K$3,IF($L89&lt;1,(($U89/$L89)*((1+Inputs!$D$7)^BK$2)),((INT(BK$2/$L89)-INT((BK$2-1)/$L89))*$U89*((1+Inputs!$D$7)^BK$2))),(_xlfn.WEIBULL.DIST(BK$2,$M89,$L89,FALSE)*$U89*((1+Inputs!$D$7)^BK$2))),IF($N89=Lists!$K$3,IF($L89&lt;1,((($T89*(1-$F89)+$S89*(1-$G89))/$L89)*((1+Inputs!$D$7)^BK$2)),((INT(BK$2/$L89)-INT((BK$2-1)/$L89))*($T89*(1-$F89)+$S89*(1-$G89))*((1+Inputs!$D$7)^BK$2))),((_xlfn.WEIBULL.DIST(BK$2,$M89,$L89,FALSE)*($T89*(1-$F89)+$S89*(1-$G89))*((1+Inputs!$D$7)^BK$2))))))</f>
        <v>0</v>
      </c>
      <c r="BL89" s="88">
        <f>$E89*IF(BL$2&gt;Inputs!$D$5,0,IF(BL$2&gt;VLOOKUP($H89,Lists!$P$3:$Q$7,2),IF($N89=Lists!$K$3,IF($L89&lt;1,(($U89/$L89)*((1+Inputs!$D$7)^BL$2)),((INT(BL$2/$L89)-INT((BL$2-1)/$L89))*$U89*((1+Inputs!$D$7)^BL$2))),(_xlfn.WEIBULL.DIST(BL$2,$M89,$L89,FALSE)*$U89*((1+Inputs!$D$7)^BL$2))),IF($N89=Lists!$K$3,IF($L89&lt;1,((($T89*(1-$F89)+$S89*(1-$G89))/$L89)*((1+Inputs!$D$7)^BL$2)),((INT(BL$2/$L89)-INT((BL$2-1)/$L89))*($T89*(1-$F89)+$S89*(1-$G89))*((1+Inputs!$D$7)^BL$2))),((_xlfn.WEIBULL.DIST(BL$2,$M89,$L89,FALSE)*($T89*(1-$F89)+$S89*(1-$G89))*((1+Inputs!$D$7)^BL$2))))))</f>
        <v>0</v>
      </c>
      <c r="BM89" s="88">
        <f>$E89*IF(BM$2&gt;Inputs!$D$5,0,IF(BM$2&gt;VLOOKUP($H89,Lists!$P$3:$Q$7,2),IF($N89=Lists!$K$3,IF($L89&lt;1,(($U89/$L89)*((1+Inputs!$D$7)^BM$2)),((INT(BM$2/$L89)-INT((BM$2-1)/$L89))*$U89*((1+Inputs!$D$7)^BM$2))),(_xlfn.WEIBULL.DIST(BM$2,$M89,$L89,FALSE)*$U89*((1+Inputs!$D$7)^BM$2))),IF($N89=Lists!$K$3,IF($L89&lt;1,((($T89*(1-$F89)+$S89*(1-$G89))/$L89)*((1+Inputs!$D$7)^BM$2)),((INT(BM$2/$L89)-INT((BM$2-1)/$L89))*($T89*(1-$F89)+$S89*(1-$G89))*((1+Inputs!$D$7)^BM$2))),((_xlfn.WEIBULL.DIST(BM$2,$M89,$L89,FALSE)*($T89*(1-$F89)+$S89*(1-$G89))*((1+Inputs!$D$7)^BM$2))))))</f>
        <v>0</v>
      </c>
      <c r="BN89" s="88">
        <f>$E89*IF(BN$2&gt;Inputs!$D$5,0,IF(BN$2&gt;VLOOKUP($H89,Lists!$P$3:$Q$7,2),IF($N89=Lists!$K$3,IF($L89&lt;1,(($U89/$L89)*((1+Inputs!$D$7)^BN$2)),((INT(BN$2/$L89)-INT((BN$2-1)/$L89))*$U89*((1+Inputs!$D$7)^BN$2))),(_xlfn.WEIBULL.DIST(BN$2,$M89,$L89,FALSE)*$U89*((1+Inputs!$D$7)^BN$2))),IF($N89=Lists!$K$3,IF($L89&lt;1,((($T89*(1-$F89)+$S89*(1-$G89))/$L89)*((1+Inputs!$D$7)^BN$2)),((INT(BN$2/$L89)-INT((BN$2-1)/$L89))*($T89*(1-$F89)+$S89*(1-$G89))*((1+Inputs!$D$7)^BN$2))),((_xlfn.WEIBULL.DIST(BN$2,$M89,$L89,FALSE)*($T89*(1-$F89)+$S89*(1-$G89))*((1+Inputs!$D$7)^BN$2))))))</f>
        <v>0</v>
      </c>
      <c r="BO89" s="64">
        <f>NPV(Inputs!$D$6,BQ89:DD89)</f>
        <v>0</v>
      </c>
      <c r="BP89" s="67">
        <f t="shared" si="20"/>
        <v>0</v>
      </c>
      <c r="BQ89" s="88">
        <f>MAX(AA89,($E89*IF(BQ$2&gt;Inputs!$D$5,0,IF(BQ$2&gt;VLOOKUP($H89,Lists!$P$3:$Q$7,2),IF($N89=Lists!$K$3,IF($L89&lt;1,(($U89/$L89)*((1+Inputs!$D$7)^BQ$2)),((INT(BQ$2/$L89)-INT((BQ$2-1)/$L89))*$U89*((1+Inputs!$D$7)^BQ$2))),(Inputs!$D$8^((1-_xlfn.WEIBULL.DIST(BQ$2,$M89,$L89,FALSE))/_xlfn.WEIBULL.DIST(BQ$2,$M89,$L89,FALSE))*$U89*((1+Inputs!$D$7)^BQ$2))),IF($N89=Lists!$K$3,IF($L89&lt;1,((($T89*(1-$F89)+$S89*(1-$G89))/$L89)*((1+Inputs!$D$7)^BQ$2)),((INT(BQ$2/$L89)-INT((BQ$2-1)/$L89))*($T89*(1-$F89)+$S89*(1-$G89))*((1+Inputs!$D$7)^BQ$2))),((Inputs!$D$8^((1-_xlfn.WEIBULL.DIST(BQ$2,$M89,$L89,FALSE))/_xlfn.WEIBULL.DIST(BQ$2,$M89,$L89,FALSE))*($T89*(1-$F89)+$S89*(1-$G89))*((1+Inputs!$D$7)^BQ$2))))))))</f>
        <v>0</v>
      </c>
      <c r="BR89" s="88">
        <f>MAX(AB89,($E89*IF(BR$2&gt;Inputs!$D$5,0,IF(BR$2&gt;VLOOKUP($H89,Lists!$P$3:$Q$7,2),IF($N89=Lists!$K$3,IF($L89&lt;1,(($U89/$L89)*((1+Inputs!$D$7)^BR$2)),((INT(BR$2/$L89)-INT((BR$2-1)/$L89))*$U89*((1+Inputs!$D$7)^BR$2))),(Inputs!$D$8^((1-_xlfn.WEIBULL.DIST(BR$2,$M89,$L89,FALSE))/_xlfn.WEIBULL.DIST(BR$2,$M89,$L89,FALSE))*$U89*((1+Inputs!$D$7)^BR$2))),IF($N89=Lists!$K$3,IF($L89&lt;1,((($T89*(1-$F89)+$S89*(1-$G89))/$L89)*((1+Inputs!$D$7)^BR$2)),((INT(BR$2/$L89)-INT((BR$2-1)/$L89))*($T89*(1-$F89)+$S89*(1-$G89))*((1+Inputs!$D$7)^BR$2))),((Inputs!$D$8^((1-_xlfn.WEIBULL.DIST(BR$2,$M89,$L89,FALSE))/_xlfn.WEIBULL.DIST(BR$2,$M89,$L89,FALSE))*($T89*(1-$F89)+$S89*(1-$G89))*((1+Inputs!$D$7)^BR$2))))))))</f>
        <v>0</v>
      </c>
      <c r="BS89" s="88">
        <f>MAX(AC89,($E89*IF(BS$2&gt;Inputs!$D$5,0,IF(BS$2&gt;VLOOKUP($H89,Lists!$P$3:$Q$7,2),IF($N89=Lists!$K$3,IF($L89&lt;1,(($U89/$L89)*((1+Inputs!$D$7)^BS$2)),((INT(BS$2/$L89)-INT((BS$2-1)/$L89))*$U89*((1+Inputs!$D$7)^BS$2))),(Inputs!$D$8^((1-_xlfn.WEIBULL.DIST(BS$2,$M89,$L89,FALSE))/_xlfn.WEIBULL.DIST(BS$2,$M89,$L89,FALSE))*$U89*((1+Inputs!$D$7)^BS$2))),IF($N89=Lists!$K$3,IF($L89&lt;1,((($T89*(1-$F89)+$S89*(1-$G89))/$L89)*((1+Inputs!$D$7)^BS$2)),((INT(BS$2/$L89)-INT((BS$2-1)/$L89))*($T89*(1-$F89)+$S89*(1-$G89))*((1+Inputs!$D$7)^BS$2))),((Inputs!$D$8^((1-_xlfn.WEIBULL.DIST(BS$2,$M89,$L89,FALSE))/_xlfn.WEIBULL.DIST(BS$2,$M89,$L89,FALSE))*($T89*(1-$F89)+$S89*(1-$G89))*((1+Inputs!$D$7)^BS$2))))))))</f>
        <v>0</v>
      </c>
      <c r="BT89" s="88">
        <f>MAX(AD89,($E89*IF(BT$2&gt;Inputs!$D$5,0,IF(BT$2&gt;VLOOKUP($H89,Lists!$P$3:$Q$7,2),IF($N89=Lists!$K$3,IF($L89&lt;1,(($U89/$L89)*((1+Inputs!$D$7)^BT$2)),((INT(BT$2/$L89)-INT((BT$2-1)/$L89))*$U89*((1+Inputs!$D$7)^BT$2))),(Inputs!$D$8^((1-_xlfn.WEIBULL.DIST(BT$2,$M89,$L89,FALSE))/_xlfn.WEIBULL.DIST(BT$2,$M89,$L89,FALSE))*$U89*((1+Inputs!$D$7)^BT$2))),IF($N89=Lists!$K$3,IF($L89&lt;1,((($T89*(1-$F89)+$S89*(1-$G89))/$L89)*((1+Inputs!$D$7)^BT$2)),((INT(BT$2/$L89)-INT((BT$2-1)/$L89))*($T89*(1-$F89)+$S89*(1-$G89))*((1+Inputs!$D$7)^BT$2))),((Inputs!$D$8^((1-_xlfn.WEIBULL.DIST(BT$2,$M89,$L89,FALSE))/_xlfn.WEIBULL.DIST(BT$2,$M89,$L89,FALSE))*($T89*(1-$F89)+$S89*(1-$G89))*((1+Inputs!$D$7)^BT$2))))))))</f>
        <v>0</v>
      </c>
      <c r="BU89" s="88">
        <f>MAX(AE89,($E89*IF(BU$2&gt;Inputs!$D$5,0,IF(BU$2&gt;VLOOKUP($H89,Lists!$P$3:$Q$7,2),IF($N89=Lists!$K$3,IF($L89&lt;1,(($U89/$L89)*((1+Inputs!$D$7)^BU$2)),((INT(BU$2/$L89)-INT((BU$2-1)/$L89))*$U89*((1+Inputs!$D$7)^BU$2))),(Inputs!$D$8^((1-_xlfn.WEIBULL.DIST(BU$2,$M89,$L89,FALSE))/_xlfn.WEIBULL.DIST(BU$2,$M89,$L89,FALSE))*$U89*((1+Inputs!$D$7)^BU$2))),IF($N89=Lists!$K$3,IF($L89&lt;1,((($T89*(1-$F89)+$S89*(1-$G89))/$L89)*((1+Inputs!$D$7)^BU$2)),((INT(BU$2/$L89)-INT((BU$2-1)/$L89))*($T89*(1-$F89)+$S89*(1-$G89))*((1+Inputs!$D$7)^BU$2))),((Inputs!$D$8^((1-_xlfn.WEIBULL.DIST(BU$2,$M89,$L89,FALSE))/_xlfn.WEIBULL.DIST(BU$2,$M89,$L89,FALSE))*($T89*(1-$F89)+$S89*(1-$G89))*((1+Inputs!$D$7)^BU$2))))))))</f>
        <v>0</v>
      </c>
      <c r="BV89" s="88">
        <f>MAX(AF89,($E89*IF(BV$2&gt;Inputs!$D$5,0,IF(BV$2&gt;VLOOKUP($H89,Lists!$P$3:$Q$7,2),IF($N89=Lists!$K$3,IF($L89&lt;1,(($U89/$L89)*((1+Inputs!$D$7)^BV$2)),((INT(BV$2/$L89)-INT((BV$2-1)/$L89))*$U89*((1+Inputs!$D$7)^BV$2))),(Inputs!$D$8^((1-_xlfn.WEIBULL.DIST(BV$2,$M89,$L89,FALSE))/_xlfn.WEIBULL.DIST(BV$2,$M89,$L89,FALSE))*$U89*((1+Inputs!$D$7)^BV$2))),IF($N89=Lists!$K$3,IF($L89&lt;1,((($T89*(1-$F89)+$S89*(1-$G89))/$L89)*((1+Inputs!$D$7)^BV$2)),((INT(BV$2/$L89)-INT((BV$2-1)/$L89))*($T89*(1-$F89)+$S89*(1-$G89))*((1+Inputs!$D$7)^BV$2))),((Inputs!$D$8^((1-_xlfn.WEIBULL.DIST(BV$2,$M89,$L89,FALSE))/_xlfn.WEIBULL.DIST(BV$2,$M89,$L89,FALSE))*($T89*(1-$F89)+$S89*(1-$G89))*((1+Inputs!$D$7)^BV$2))))))))</f>
        <v>0</v>
      </c>
      <c r="BW89" s="88">
        <f>MAX(AG89,($E89*IF(BW$2&gt;Inputs!$D$5,0,IF(BW$2&gt;VLOOKUP($H89,Lists!$P$3:$Q$7,2),IF($N89=Lists!$K$3,IF($L89&lt;1,(($U89/$L89)*((1+Inputs!$D$7)^BW$2)),((INT(BW$2/$L89)-INT((BW$2-1)/$L89))*$U89*((1+Inputs!$D$7)^BW$2))),(Inputs!$D$8^((1-_xlfn.WEIBULL.DIST(BW$2,$M89,$L89,FALSE))/_xlfn.WEIBULL.DIST(BW$2,$M89,$L89,FALSE))*$U89*((1+Inputs!$D$7)^BW$2))),IF($N89=Lists!$K$3,IF($L89&lt;1,((($T89*(1-$F89)+$S89*(1-$G89))/$L89)*((1+Inputs!$D$7)^BW$2)),((INT(BW$2/$L89)-INT((BW$2-1)/$L89))*($T89*(1-$F89)+$S89*(1-$G89))*((1+Inputs!$D$7)^BW$2))),((Inputs!$D$8^((1-_xlfn.WEIBULL.DIST(BW$2,$M89,$L89,FALSE))/_xlfn.WEIBULL.DIST(BW$2,$M89,$L89,FALSE))*($T89*(1-$F89)+$S89*(1-$G89))*((1+Inputs!$D$7)^BW$2))))))))</f>
        <v>0</v>
      </c>
      <c r="BX89" s="88">
        <f>MAX(AH89,($E89*IF(BX$2&gt;Inputs!$D$5,0,IF(BX$2&gt;VLOOKUP($H89,Lists!$P$3:$Q$7,2),IF($N89=Lists!$K$3,IF($L89&lt;1,(($U89/$L89)*((1+Inputs!$D$7)^BX$2)),((INT(BX$2/$L89)-INT((BX$2-1)/$L89))*$U89*((1+Inputs!$D$7)^BX$2))),(Inputs!$D$8^((1-_xlfn.WEIBULL.DIST(BX$2,$M89,$L89,FALSE))/_xlfn.WEIBULL.DIST(BX$2,$M89,$L89,FALSE))*$U89*((1+Inputs!$D$7)^BX$2))),IF($N89=Lists!$K$3,IF($L89&lt;1,((($T89*(1-$F89)+$S89*(1-$G89))/$L89)*((1+Inputs!$D$7)^BX$2)),((INT(BX$2/$L89)-INT((BX$2-1)/$L89))*($T89*(1-$F89)+$S89*(1-$G89))*((1+Inputs!$D$7)^BX$2))),((Inputs!$D$8^((1-_xlfn.WEIBULL.DIST(BX$2,$M89,$L89,FALSE))/_xlfn.WEIBULL.DIST(BX$2,$M89,$L89,FALSE))*($T89*(1-$F89)+$S89*(1-$G89))*((1+Inputs!$D$7)^BX$2))))))))</f>
        <v>0</v>
      </c>
      <c r="BY89" s="88">
        <f>MAX(AI89,($E89*IF(BY$2&gt;Inputs!$D$5,0,IF(BY$2&gt;VLOOKUP($H89,Lists!$P$3:$Q$7,2),IF($N89=Lists!$K$3,IF($L89&lt;1,(($U89/$L89)*((1+Inputs!$D$7)^BY$2)),((INT(BY$2/$L89)-INT((BY$2-1)/$L89))*$U89*((1+Inputs!$D$7)^BY$2))),(Inputs!$D$8^((1-_xlfn.WEIBULL.DIST(BY$2,$M89,$L89,FALSE))/_xlfn.WEIBULL.DIST(BY$2,$M89,$L89,FALSE))*$U89*((1+Inputs!$D$7)^BY$2))),IF($N89=Lists!$K$3,IF($L89&lt;1,((($T89*(1-$F89)+$S89*(1-$G89))/$L89)*((1+Inputs!$D$7)^BY$2)),((INT(BY$2/$L89)-INT((BY$2-1)/$L89))*($T89*(1-$F89)+$S89*(1-$G89))*((1+Inputs!$D$7)^BY$2))),((Inputs!$D$8^((1-_xlfn.WEIBULL.DIST(BY$2,$M89,$L89,FALSE))/_xlfn.WEIBULL.DIST(BY$2,$M89,$L89,FALSE))*($T89*(1-$F89)+$S89*(1-$G89))*((1+Inputs!$D$7)^BY$2))))))))</f>
        <v>0</v>
      </c>
      <c r="BZ89" s="88">
        <f>MAX(AJ89,($E89*IF(BZ$2&gt;Inputs!$D$5,0,IF(BZ$2&gt;VLOOKUP($H89,Lists!$P$3:$Q$7,2),IF($N89=Lists!$K$3,IF($L89&lt;1,(($U89/$L89)*((1+Inputs!$D$7)^BZ$2)),((INT(BZ$2/$L89)-INT((BZ$2-1)/$L89))*$U89*((1+Inputs!$D$7)^BZ$2))),(Inputs!$D$8^((1-_xlfn.WEIBULL.DIST(BZ$2,$M89,$L89,FALSE))/_xlfn.WEIBULL.DIST(BZ$2,$M89,$L89,FALSE))*$U89*((1+Inputs!$D$7)^BZ$2))),IF($N89=Lists!$K$3,IF($L89&lt;1,((($T89*(1-$F89)+$S89*(1-$G89))/$L89)*((1+Inputs!$D$7)^BZ$2)),((INT(BZ$2/$L89)-INT((BZ$2-1)/$L89))*($T89*(1-$F89)+$S89*(1-$G89))*((1+Inputs!$D$7)^BZ$2))),((Inputs!$D$8^((1-_xlfn.WEIBULL.DIST(BZ$2,$M89,$L89,FALSE))/_xlfn.WEIBULL.DIST(BZ$2,$M89,$L89,FALSE))*($T89*(1-$F89)+$S89*(1-$G89))*((1+Inputs!$D$7)^BZ$2))))))))</f>
        <v>0</v>
      </c>
      <c r="CA89" s="88">
        <f>MAX(AK89,($E89*IF(CA$2&gt;Inputs!$D$5,0,IF(CA$2&gt;VLOOKUP($H89,Lists!$P$3:$Q$7,2),IF($N89=Lists!$K$3,IF($L89&lt;1,(($U89/$L89)*((1+Inputs!$D$7)^CA$2)),((INT(CA$2/$L89)-INT((CA$2-1)/$L89))*$U89*((1+Inputs!$D$7)^CA$2))),(Inputs!$D$8^((1-_xlfn.WEIBULL.DIST(CA$2,$M89,$L89,FALSE))/_xlfn.WEIBULL.DIST(CA$2,$M89,$L89,FALSE))*$U89*((1+Inputs!$D$7)^CA$2))),IF($N89=Lists!$K$3,IF($L89&lt;1,((($T89*(1-$F89)+$S89*(1-$G89))/$L89)*((1+Inputs!$D$7)^CA$2)),((INT(CA$2/$L89)-INT((CA$2-1)/$L89))*($T89*(1-$F89)+$S89*(1-$G89))*((1+Inputs!$D$7)^CA$2))),((Inputs!$D$8^((1-_xlfn.WEIBULL.DIST(CA$2,$M89,$L89,FALSE))/_xlfn.WEIBULL.DIST(CA$2,$M89,$L89,FALSE))*($T89*(1-$F89)+$S89*(1-$G89))*((1+Inputs!$D$7)^CA$2))))))))</f>
        <v>0</v>
      </c>
      <c r="CB89" s="88">
        <f>MAX(AL89,($E89*IF(CB$2&gt;Inputs!$D$5,0,IF(CB$2&gt;VLOOKUP($H89,Lists!$P$3:$Q$7,2),IF($N89=Lists!$K$3,IF($L89&lt;1,(($U89/$L89)*((1+Inputs!$D$7)^CB$2)),((INT(CB$2/$L89)-INT((CB$2-1)/$L89))*$U89*((1+Inputs!$D$7)^CB$2))),(Inputs!$D$8^((1-_xlfn.WEIBULL.DIST(CB$2,$M89,$L89,FALSE))/_xlfn.WEIBULL.DIST(CB$2,$M89,$L89,FALSE))*$U89*((1+Inputs!$D$7)^CB$2))),IF($N89=Lists!$K$3,IF($L89&lt;1,((($T89*(1-$F89)+$S89*(1-$G89))/$L89)*((1+Inputs!$D$7)^CB$2)),((INT(CB$2/$L89)-INT((CB$2-1)/$L89))*($T89*(1-$F89)+$S89*(1-$G89))*((1+Inputs!$D$7)^CB$2))),((Inputs!$D$8^((1-_xlfn.WEIBULL.DIST(CB$2,$M89,$L89,FALSE))/_xlfn.WEIBULL.DIST(CB$2,$M89,$L89,FALSE))*($T89*(1-$F89)+$S89*(1-$G89))*((1+Inputs!$D$7)^CB$2))))))))</f>
        <v>0</v>
      </c>
      <c r="CC89" s="88">
        <f>MAX(AM89,($E89*IF(CC$2&gt;Inputs!$D$5,0,IF(CC$2&gt;VLOOKUP($H89,Lists!$P$3:$Q$7,2),IF($N89=Lists!$K$3,IF($L89&lt;1,(($U89/$L89)*((1+Inputs!$D$7)^CC$2)),((INT(CC$2/$L89)-INT((CC$2-1)/$L89))*$U89*((1+Inputs!$D$7)^CC$2))),(Inputs!$D$8^((1-_xlfn.WEIBULL.DIST(CC$2,$M89,$L89,FALSE))/_xlfn.WEIBULL.DIST(CC$2,$M89,$L89,FALSE))*$U89*((1+Inputs!$D$7)^CC$2))),IF($N89=Lists!$K$3,IF($L89&lt;1,((($T89*(1-$F89)+$S89*(1-$G89))/$L89)*((1+Inputs!$D$7)^CC$2)),((INT(CC$2/$L89)-INT((CC$2-1)/$L89))*($T89*(1-$F89)+$S89*(1-$G89))*((1+Inputs!$D$7)^CC$2))),((Inputs!$D$8^((1-_xlfn.WEIBULL.DIST(CC$2,$M89,$L89,FALSE))/_xlfn.WEIBULL.DIST(CC$2,$M89,$L89,FALSE))*($T89*(1-$F89)+$S89*(1-$G89))*((1+Inputs!$D$7)^CC$2))))))))</f>
        <v>0</v>
      </c>
      <c r="CD89" s="88">
        <f>MAX(AN89,($E89*IF(CD$2&gt;Inputs!$D$5,0,IF(CD$2&gt;VLOOKUP($H89,Lists!$P$3:$Q$7,2),IF($N89=Lists!$K$3,IF($L89&lt;1,(($U89/$L89)*((1+Inputs!$D$7)^CD$2)),((INT(CD$2/$L89)-INT((CD$2-1)/$L89))*$U89*((1+Inputs!$D$7)^CD$2))),(Inputs!$D$8^((1-_xlfn.WEIBULL.DIST(CD$2,$M89,$L89,FALSE))/_xlfn.WEIBULL.DIST(CD$2,$M89,$L89,FALSE))*$U89*((1+Inputs!$D$7)^CD$2))),IF($N89=Lists!$K$3,IF($L89&lt;1,((($T89*(1-$F89)+$S89*(1-$G89))/$L89)*((1+Inputs!$D$7)^CD$2)),((INT(CD$2/$L89)-INT((CD$2-1)/$L89))*($T89*(1-$F89)+$S89*(1-$G89))*((1+Inputs!$D$7)^CD$2))),((Inputs!$D$8^((1-_xlfn.WEIBULL.DIST(CD$2,$M89,$L89,FALSE))/_xlfn.WEIBULL.DIST(CD$2,$M89,$L89,FALSE))*($T89*(1-$F89)+$S89*(1-$G89))*((1+Inputs!$D$7)^CD$2))))))))</f>
        <v>0</v>
      </c>
      <c r="CE89" s="88">
        <f>MAX(AO89,($E89*IF(CE$2&gt;Inputs!$D$5,0,IF(CE$2&gt;VLOOKUP($H89,Lists!$P$3:$Q$7,2),IF($N89=Lists!$K$3,IF($L89&lt;1,(($U89/$L89)*((1+Inputs!$D$7)^CE$2)),((INT(CE$2/$L89)-INT((CE$2-1)/$L89))*$U89*((1+Inputs!$D$7)^CE$2))),(Inputs!$D$8^((1-_xlfn.WEIBULL.DIST(CE$2,$M89,$L89,FALSE))/_xlfn.WEIBULL.DIST(CE$2,$M89,$L89,FALSE))*$U89*((1+Inputs!$D$7)^CE$2))),IF($N89=Lists!$K$3,IF($L89&lt;1,((($T89*(1-$F89)+$S89*(1-$G89))/$L89)*((1+Inputs!$D$7)^CE$2)),((INT(CE$2/$L89)-INT((CE$2-1)/$L89))*($T89*(1-$F89)+$S89*(1-$G89))*((1+Inputs!$D$7)^CE$2))),((Inputs!$D$8^((1-_xlfn.WEIBULL.DIST(CE$2,$M89,$L89,FALSE))/_xlfn.WEIBULL.DIST(CE$2,$M89,$L89,FALSE))*($T89*(1-$F89)+$S89*(1-$G89))*((1+Inputs!$D$7)^CE$2))))))))</f>
        <v>0</v>
      </c>
      <c r="CF89" s="88">
        <f>MAX(AP89,($E89*IF(CF$2&gt;Inputs!$D$5,0,IF(CF$2&gt;VLOOKUP($H89,Lists!$P$3:$Q$7,2),IF($N89=Lists!$K$3,IF($L89&lt;1,(($U89/$L89)*((1+Inputs!$D$7)^CF$2)),((INT(CF$2/$L89)-INT((CF$2-1)/$L89))*$U89*((1+Inputs!$D$7)^CF$2))),(Inputs!$D$8^((1-_xlfn.WEIBULL.DIST(CF$2,$M89,$L89,FALSE))/_xlfn.WEIBULL.DIST(CF$2,$M89,$L89,FALSE))*$U89*((1+Inputs!$D$7)^CF$2))),IF($N89=Lists!$K$3,IF($L89&lt;1,((($T89*(1-$F89)+$S89*(1-$G89))/$L89)*((1+Inputs!$D$7)^CF$2)),((INT(CF$2/$L89)-INT((CF$2-1)/$L89))*($T89*(1-$F89)+$S89*(1-$G89))*((1+Inputs!$D$7)^CF$2))),((Inputs!$D$8^((1-_xlfn.WEIBULL.DIST(CF$2,$M89,$L89,FALSE))/_xlfn.WEIBULL.DIST(CF$2,$M89,$L89,FALSE))*($T89*(1-$F89)+$S89*(1-$G89))*((1+Inputs!$D$7)^CF$2))))))))</f>
        <v>0</v>
      </c>
      <c r="CG89" s="88">
        <f>MAX(AQ89,($E89*IF(CG$2&gt;Inputs!$D$5,0,IF(CG$2&gt;VLOOKUP($H89,Lists!$P$3:$Q$7,2),IF($N89=Lists!$K$3,IF($L89&lt;1,(($U89/$L89)*((1+Inputs!$D$7)^CG$2)),((INT(CG$2/$L89)-INT((CG$2-1)/$L89))*$U89*((1+Inputs!$D$7)^CG$2))),(Inputs!$D$8^((1-_xlfn.WEIBULL.DIST(CG$2,$M89,$L89,FALSE))/_xlfn.WEIBULL.DIST(CG$2,$M89,$L89,FALSE))*$U89*((1+Inputs!$D$7)^CG$2))),IF($N89=Lists!$K$3,IF($L89&lt;1,((($T89*(1-$F89)+$S89*(1-$G89))/$L89)*((1+Inputs!$D$7)^CG$2)),((INT(CG$2/$L89)-INT((CG$2-1)/$L89))*($T89*(1-$F89)+$S89*(1-$G89))*((1+Inputs!$D$7)^CG$2))),((Inputs!$D$8^((1-_xlfn.WEIBULL.DIST(CG$2,$M89,$L89,FALSE))/_xlfn.WEIBULL.DIST(CG$2,$M89,$L89,FALSE))*($T89*(1-$F89)+$S89*(1-$G89))*((1+Inputs!$D$7)^CG$2))))))))</f>
        <v>0</v>
      </c>
      <c r="CH89" s="88">
        <f>MAX(AR89,($E89*IF(CH$2&gt;Inputs!$D$5,0,IF(CH$2&gt;VLOOKUP($H89,Lists!$P$3:$Q$7,2),IF($N89=Lists!$K$3,IF($L89&lt;1,(($U89/$L89)*((1+Inputs!$D$7)^CH$2)),((INT(CH$2/$L89)-INT((CH$2-1)/$L89))*$U89*((1+Inputs!$D$7)^CH$2))),(Inputs!$D$8^((1-_xlfn.WEIBULL.DIST(CH$2,$M89,$L89,FALSE))/_xlfn.WEIBULL.DIST(CH$2,$M89,$L89,FALSE))*$U89*((1+Inputs!$D$7)^CH$2))),IF($N89=Lists!$K$3,IF($L89&lt;1,((($T89*(1-$F89)+$S89*(1-$G89))/$L89)*((1+Inputs!$D$7)^CH$2)),((INT(CH$2/$L89)-INT((CH$2-1)/$L89))*($T89*(1-$F89)+$S89*(1-$G89))*((1+Inputs!$D$7)^CH$2))),((Inputs!$D$8^((1-_xlfn.WEIBULL.DIST(CH$2,$M89,$L89,FALSE))/_xlfn.WEIBULL.DIST(CH$2,$M89,$L89,FALSE))*($T89*(1-$F89)+$S89*(1-$G89))*((1+Inputs!$D$7)^CH$2))))))))</f>
        <v>0</v>
      </c>
      <c r="CI89" s="88">
        <f>MAX(AS89,($E89*IF(CI$2&gt;Inputs!$D$5,0,IF(CI$2&gt;VLOOKUP($H89,Lists!$P$3:$Q$7,2),IF($N89=Lists!$K$3,IF($L89&lt;1,(($U89/$L89)*((1+Inputs!$D$7)^CI$2)),((INT(CI$2/$L89)-INT((CI$2-1)/$L89))*$U89*((1+Inputs!$D$7)^CI$2))),(Inputs!$D$8^((1-_xlfn.WEIBULL.DIST(CI$2,$M89,$L89,FALSE))/_xlfn.WEIBULL.DIST(CI$2,$M89,$L89,FALSE))*$U89*((1+Inputs!$D$7)^CI$2))),IF($N89=Lists!$K$3,IF($L89&lt;1,((($T89*(1-$F89)+$S89*(1-$G89))/$L89)*((1+Inputs!$D$7)^CI$2)),((INT(CI$2/$L89)-INT((CI$2-1)/$L89))*($T89*(1-$F89)+$S89*(1-$G89))*((1+Inputs!$D$7)^CI$2))),((Inputs!$D$8^((1-_xlfn.WEIBULL.DIST(CI$2,$M89,$L89,FALSE))/_xlfn.WEIBULL.DIST(CI$2,$M89,$L89,FALSE))*($T89*(1-$F89)+$S89*(1-$G89))*((1+Inputs!$D$7)^CI$2))))))))</f>
        <v>0</v>
      </c>
      <c r="CJ89" s="88">
        <f>MAX(AT89,($E89*IF(CJ$2&gt;Inputs!$D$5,0,IF(CJ$2&gt;VLOOKUP($H89,Lists!$P$3:$Q$7,2),IF($N89=Lists!$K$3,IF($L89&lt;1,(($U89/$L89)*((1+Inputs!$D$7)^CJ$2)),((INT(CJ$2/$L89)-INT((CJ$2-1)/$L89))*$U89*((1+Inputs!$D$7)^CJ$2))),(Inputs!$D$8^((1-_xlfn.WEIBULL.DIST(CJ$2,$M89,$L89,FALSE))/_xlfn.WEIBULL.DIST(CJ$2,$M89,$L89,FALSE))*$U89*((1+Inputs!$D$7)^CJ$2))),IF($N89=Lists!$K$3,IF($L89&lt;1,((($T89*(1-$F89)+$S89*(1-$G89))/$L89)*((1+Inputs!$D$7)^CJ$2)),((INT(CJ$2/$L89)-INT((CJ$2-1)/$L89))*($T89*(1-$F89)+$S89*(1-$G89))*((1+Inputs!$D$7)^CJ$2))),((Inputs!$D$8^((1-_xlfn.WEIBULL.DIST(CJ$2,$M89,$L89,FALSE))/_xlfn.WEIBULL.DIST(CJ$2,$M89,$L89,FALSE))*($T89*(1-$F89)+$S89*(1-$G89))*((1+Inputs!$D$7)^CJ$2))))))))</f>
        <v>0</v>
      </c>
      <c r="CK89" s="88">
        <f>MAX(AU89,($E89*IF(CK$2&gt;Inputs!$D$5,0,IF(CK$2&gt;VLOOKUP($H89,Lists!$P$3:$Q$7,2),IF($N89=Lists!$K$3,IF($L89&lt;1,(($U89/$L89)*((1+Inputs!$D$7)^CK$2)),((INT(CK$2/$L89)-INT((CK$2-1)/$L89))*$U89*((1+Inputs!$D$7)^CK$2))),(Inputs!$D$8^((1-_xlfn.WEIBULL.DIST(CK$2,$M89,$L89,FALSE))/_xlfn.WEIBULL.DIST(CK$2,$M89,$L89,FALSE))*$U89*((1+Inputs!$D$7)^CK$2))),IF($N89=Lists!$K$3,IF($L89&lt;1,((($T89*(1-$F89)+$S89*(1-$G89))/$L89)*((1+Inputs!$D$7)^CK$2)),((INT(CK$2/$L89)-INT((CK$2-1)/$L89))*($T89*(1-$F89)+$S89*(1-$G89))*((1+Inputs!$D$7)^CK$2))),((Inputs!$D$8^((1-_xlfn.WEIBULL.DIST(CK$2,$M89,$L89,FALSE))/_xlfn.WEIBULL.DIST(CK$2,$M89,$L89,FALSE))*($T89*(1-$F89)+$S89*(1-$G89))*((1+Inputs!$D$7)^CK$2))))))))</f>
        <v>0</v>
      </c>
      <c r="CL89" s="88">
        <f>MAX(AV89,($E89*IF(CL$2&gt;Inputs!$D$5,0,IF(CL$2&gt;VLOOKUP($H89,Lists!$P$3:$Q$7,2),IF($N89=Lists!$K$3,IF($L89&lt;1,(($U89/$L89)*((1+Inputs!$D$7)^CL$2)),((INT(CL$2/$L89)-INT((CL$2-1)/$L89))*$U89*((1+Inputs!$D$7)^CL$2))),(Inputs!$D$8^((1-_xlfn.WEIBULL.DIST(CL$2,$M89,$L89,FALSE))/_xlfn.WEIBULL.DIST(CL$2,$M89,$L89,FALSE))*$U89*((1+Inputs!$D$7)^CL$2))),IF($N89=Lists!$K$3,IF($L89&lt;1,((($T89*(1-$F89)+$S89*(1-$G89))/$L89)*((1+Inputs!$D$7)^CL$2)),((INT(CL$2/$L89)-INT((CL$2-1)/$L89))*($T89*(1-$F89)+$S89*(1-$G89))*((1+Inputs!$D$7)^CL$2))),((Inputs!$D$8^((1-_xlfn.WEIBULL.DIST(CL$2,$M89,$L89,FALSE))/_xlfn.WEIBULL.DIST(CL$2,$M89,$L89,FALSE))*($T89*(1-$F89)+$S89*(1-$G89))*((1+Inputs!$D$7)^CL$2))))))))</f>
        <v>0</v>
      </c>
      <c r="CM89" s="88">
        <f>MAX(AW89,($E89*IF(CM$2&gt;Inputs!$D$5,0,IF(CM$2&gt;VLOOKUP($H89,Lists!$P$3:$Q$7,2),IF($N89=Lists!$K$3,IF($L89&lt;1,(($U89/$L89)*((1+Inputs!$D$7)^CM$2)),((INT(CM$2/$L89)-INT((CM$2-1)/$L89))*$U89*((1+Inputs!$D$7)^CM$2))),(Inputs!$D$8^((1-_xlfn.WEIBULL.DIST(CM$2,$M89,$L89,FALSE))/_xlfn.WEIBULL.DIST(CM$2,$M89,$L89,FALSE))*$U89*((1+Inputs!$D$7)^CM$2))),IF($N89=Lists!$K$3,IF($L89&lt;1,((($T89*(1-$F89)+$S89*(1-$G89))/$L89)*((1+Inputs!$D$7)^CM$2)),((INT(CM$2/$L89)-INT((CM$2-1)/$L89))*($T89*(1-$F89)+$S89*(1-$G89))*((1+Inputs!$D$7)^CM$2))),((Inputs!$D$8^((1-_xlfn.WEIBULL.DIST(CM$2,$M89,$L89,FALSE))/_xlfn.WEIBULL.DIST(CM$2,$M89,$L89,FALSE))*($T89*(1-$F89)+$S89*(1-$G89))*((1+Inputs!$D$7)^CM$2))))))))</f>
        <v>0</v>
      </c>
      <c r="CN89" s="88">
        <f>MAX(AX89,($E89*IF(CN$2&gt;Inputs!$D$5,0,IF(CN$2&gt;VLOOKUP($H89,Lists!$P$3:$Q$7,2),IF($N89=Lists!$K$3,IF($L89&lt;1,(($U89/$L89)*((1+Inputs!$D$7)^CN$2)),((INT(CN$2/$L89)-INT((CN$2-1)/$L89))*$U89*((1+Inputs!$D$7)^CN$2))),(Inputs!$D$8^((1-_xlfn.WEIBULL.DIST(CN$2,$M89,$L89,FALSE))/_xlfn.WEIBULL.DIST(CN$2,$M89,$L89,FALSE))*$U89*((1+Inputs!$D$7)^CN$2))),IF($N89=Lists!$K$3,IF($L89&lt;1,((($T89*(1-$F89)+$S89*(1-$G89))/$L89)*((1+Inputs!$D$7)^CN$2)),((INT(CN$2/$L89)-INT((CN$2-1)/$L89))*($T89*(1-$F89)+$S89*(1-$G89))*((1+Inputs!$D$7)^CN$2))),((Inputs!$D$8^((1-_xlfn.WEIBULL.DIST(CN$2,$M89,$L89,FALSE))/_xlfn.WEIBULL.DIST(CN$2,$M89,$L89,FALSE))*($T89*(1-$F89)+$S89*(1-$G89))*((1+Inputs!$D$7)^CN$2))))))))</f>
        <v>0</v>
      </c>
      <c r="CO89" s="88">
        <f>MAX(AY89,($E89*IF(CO$2&gt;Inputs!$D$5,0,IF(CO$2&gt;VLOOKUP($H89,Lists!$P$3:$Q$7,2),IF($N89=Lists!$K$3,IF($L89&lt;1,(($U89/$L89)*((1+Inputs!$D$7)^CO$2)),((INT(CO$2/$L89)-INT((CO$2-1)/$L89))*$U89*((1+Inputs!$D$7)^CO$2))),(Inputs!$D$8^((1-_xlfn.WEIBULL.DIST(CO$2,$M89,$L89,FALSE))/_xlfn.WEIBULL.DIST(CO$2,$M89,$L89,FALSE))*$U89*((1+Inputs!$D$7)^CO$2))),IF($N89=Lists!$K$3,IF($L89&lt;1,((($T89*(1-$F89)+$S89*(1-$G89))/$L89)*((1+Inputs!$D$7)^CO$2)),((INT(CO$2/$L89)-INT((CO$2-1)/$L89))*($T89*(1-$F89)+$S89*(1-$G89))*((1+Inputs!$D$7)^CO$2))),((Inputs!$D$8^((1-_xlfn.WEIBULL.DIST(CO$2,$M89,$L89,FALSE))/_xlfn.WEIBULL.DIST(CO$2,$M89,$L89,FALSE))*($T89*(1-$F89)+$S89*(1-$G89))*((1+Inputs!$D$7)^CO$2))))))))</f>
        <v>0</v>
      </c>
      <c r="CP89" s="88">
        <f>MAX(AZ89,($E89*IF(CP$2&gt;Inputs!$D$5,0,IF(CP$2&gt;VLOOKUP($H89,Lists!$P$3:$Q$7,2),IF($N89=Lists!$K$3,IF($L89&lt;1,(($U89/$L89)*((1+Inputs!$D$7)^CP$2)),((INT(CP$2/$L89)-INT((CP$2-1)/$L89))*$U89*((1+Inputs!$D$7)^CP$2))),(Inputs!$D$8^((1-_xlfn.WEIBULL.DIST(CP$2,$M89,$L89,FALSE))/_xlfn.WEIBULL.DIST(CP$2,$M89,$L89,FALSE))*$U89*((1+Inputs!$D$7)^CP$2))),IF($N89=Lists!$K$3,IF($L89&lt;1,((($T89*(1-$F89)+$S89*(1-$G89))/$L89)*((1+Inputs!$D$7)^CP$2)),((INT(CP$2/$L89)-INT((CP$2-1)/$L89))*($T89*(1-$F89)+$S89*(1-$G89))*((1+Inputs!$D$7)^CP$2))),((Inputs!$D$8^((1-_xlfn.WEIBULL.DIST(CP$2,$M89,$L89,FALSE))/_xlfn.WEIBULL.DIST(CP$2,$M89,$L89,FALSE))*($T89*(1-$F89)+$S89*(1-$G89))*((1+Inputs!$D$7)^CP$2))))))))</f>
        <v>0</v>
      </c>
      <c r="CQ89" s="88">
        <f>MAX(BA89,($E89*IF(CQ$2&gt;Inputs!$D$5,0,IF(CQ$2&gt;VLOOKUP($H89,Lists!$P$3:$Q$7,2),IF($N89=Lists!$K$3,IF($L89&lt;1,(($U89/$L89)*((1+Inputs!$D$7)^CQ$2)),((INT(CQ$2/$L89)-INT((CQ$2-1)/$L89))*$U89*((1+Inputs!$D$7)^CQ$2))),(Inputs!$D$8^((1-_xlfn.WEIBULL.DIST(CQ$2,$M89,$L89,FALSE))/_xlfn.WEIBULL.DIST(CQ$2,$M89,$L89,FALSE))*$U89*((1+Inputs!$D$7)^CQ$2))),IF($N89=Lists!$K$3,IF($L89&lt;1,((($T89*(1-$F89)+$S89*(1-$G89))/$L89)*((1+Inputs!$D$7)^CQ$2)),((INT(CQ$2/$L89)-INT((CQ$2-1)/$L89))*($T89*(1-$F89)+$S89*(1-$G89))*((1+Inputs!$D$7)^CQ$2))),((Inputs!$D$8^((1-_xlfn.WEIBULL.DIST(CQ$2,$M89,$L89,FALSE))/_xlfn.WEIBULL.DIST(CQ$2,$M89,$L89,FALSE))*($T89*(1-$F89)+$S89*(1-$G89))*((1+Inputs!$D$7)^CQ$2))))))))</f>
        <v>0</v>
      </c>
      <c r="CR89" s="88">
        <f>MAX(BB89,($E89*IF(CR$2&gt;Inputs!$D$5,0,IF(CR$2&gt;VLOOKUP($H89,Lists!$P$3:$Q$7,2),IF($N89=Lists!$K$3,IF($L89&lt;1,(($U89/$L89)*((1+Inputs!$D$7)^CR$2)),((INT(CR$2/$L89)-INT((CR$2-1)/$L89))*$U89*((1+Inputs!$D$7)^CR$2))),(Inputs!$D$8^((1-_xlfn.WEIBULL.DIST(CR$2,$M89,$L89,FALSE))/_xlfn.WEIBULL.DIST(CR$2,$M89,$L89,FALSE))*$U89*((1+Inputs!$D$7)^CR$2))),IF($N89=Lists!$K$3,IF($L89&lt;1,((($T89*(1-$F89)+$S89*(1-$G89))/$L89)*((1+Inputs!$D$7)^CR$2)),((INT(CR$2/$L89)-INT((CR$2-1)/$L89))*($T89*(1-$F89)+$S89*(1-$G89))*((1+Inputs!$D$7)^CR$2))),((Inputs!$D$8^((1-_xlfn.WEIBULL.DIST(CR$2,$M89,$L89,FALSE))/_xlfn.WEIBULL.DIST(CR$2,$M89,$L89,FALSE))*($T89*(1-$F89)+$S89*(1-$G89))*((1+Inputs!$D$7)^CR$2))))))))</f>
        <v>0</v>
      </c>
      <c r="CS89" s="88">
        <f>MAX(BC89,($E89*IF(CS$2&gt;Inputs!$D$5,0,IF(CS$2&gt;VLOOKUP($H89,Lists!$P$3:$Q$7,2),IF($N89=Lists!$K$3,IF($L89&lt;1,(($U89/$L89)*((1+Inputs!$D$7)^CS$2)),((INT(CS$2/$L89)-INT((CS$2-1)/$L89))*$U89*((1+Inputs!$D$7)^CS$2))),(Inputs!$D$8^((1-_xlfn.WEIBULL.DIST(CS$2,$M89,$L89,FALSE))/_xlfn.WEIBULL.DIST(CS$2,$M89,$L89,FALSE))*$U89*((1+Inputs!$D$7)^CS$2))),IF($N89=Lists!$K$3,IF($L89&lt;1,((($T89*(1-$F89)+$S89*(1-$G89))/$L89)*((1+Inputs!$D$7)^CS$2)),((INT(CS$2/$L89)-INT((CS$2-1)/$L89))*($T89*(1-$F89)+$S89*(1-$G89))*((1+Inputs!$D$7)^CS$2))),((Inputs!$D$8^((1-_xlfn.WEIBULL.DIST(CS$2,$M89,$L89,FALSE))/_xlfn.WEIBULL.DIST(CS$2,$M89,$L89,FALSE))*($T89*(1-$F89)+$S89*(1-$G89))*((1+Inputs!$D$7)^CS$2))))))))</f>
        <v>0</v>
      </c>
      <c r="CT89" s="88">
        <f>MAX(BD89,($E89*IF(CT$2&gt;Inputs!$D$5,0,IF(CT$2&gt;VLOOKUP($H89,Lists!$P$3:$Q$7,2),IF($N89=Lists!$K$3,IF($L89&lt;1,(($U89/$L89)*((1+Inputs!$D$7)^CT$2)),((INT(CT$2/$L89)-INT((CT$2-1)/$L89))*$U89*((1+Inputs!$D$7)^CT$2))),(Inputs!$D$8^((1-_xlfn.WEIBULL.DIST(CT$2,$M89,$L89,FALSE))/_xlfn.WEIBULL.DIST(CT$2,$M89,$L89,FALSE))*$U89*((1+Inputs!$D$7)^CT$2))),IF($N89=Lists!$K$3,IF($L89&lt;1,((($T89*(1-$F89)+$S89*(1-$G89))/$L89)*((1+Inputs!$D$7)^CT$2)),((INT(CT$2/$L89)-INT((CT$2-1)/$L89))*($T89*(1-$F89)+$S89*(1-$G89))*((1+Inputs!$D$7)^CT$2))),((Inputs!$D$8^((1-_xlfn.WEIBULL.DIST(CT$2,$M89,$L89,FALSE))/_xlfn.WEIBULL.DIST(CT$2,$M89,$L89,FALSE))*($T89*(1-$F89)+$S89*(1-$G89))*((1+Inputs!$D$7)^CT$2))))))))</f>
        <v>0</v>
      </c>
      <c r="CU89" s="88">
        <f>MAX(BE89,($E89*IF(CU$2&gt;Inputs!$D$5,0,IF(CU$2&gt;VLOOKUP($H89,Lists!$P$3:$Q$7,2),IF($N89=Lists!$K$3,IF($L89&lt;1,(($U89/$L89)*((1+Inputs!$D$7)^CU$2)),((INT(CU$2/$L89)-INT((CU$2-1)/$L89))*$U89*((1+Inputs!$D$7)^CU$2))),(Inputs!$D$8^((1-_xlfn.WEIBULL.DIST(CU$2,$M89,$L89,FALSE))/_xlfn.WEIBULL.DIST(CU$2,$M89,$L89,FALSE))*$U89*((1+Inputs!$D$7)^CU$2))),IF($N89=Lists!$K$3,IF($L89&lt;1,((($T89*(1-$F89)+$S89*(1-$G89))/$L89)*((1+Inputs!$D$7)^CU$2)),((INT(CU$2/$L89)-INT((CU$2-1)/$L89))*($T89*(1-$F89)+$S89*(1-$G89))*((1+Inputs!$D$7)^CU$2))),((Inputs!$D$8^((1-_xlfn.WEIBULL.DIST(CU$2,$M89,$L89,FALSE))/_xlfn.WEIBULL.DIST(CU$2,$M89,$L89,FALSE))*($T89*(1-$F89)+$S89*(1-$G89))*((1+Inputs!$D$7)^CU$2))))))))</f>
        <v>0</v>
      </c>
      <c r="CV89" s="88">
        <f>MAX(BF89,($E89*IF(CV$2&gt;Inputs!$D$5,0,IF(CV$2&gt;VLOOKUP($H89,Lists!$P$3:$Q$7,2),IF($N89=Lists!$K$3,IF($L89&lt;1,(($U89/$L89)*((1+Inputs!$D$7)^CV$2)),((INT(CV$2/$L89)-INT((CV$2-1)/$L89))*$U89*((1+Inputs!$D$7)^CV$2))),(Inputs!$D$8^((1-_xlfn.WEIBULL.DIST(CV$2,$M89,$L89,FALSE))/_xlfn.WEIBULL.DIST(CV$2,$M89,$L89,FALSE))*$U89*((1+Inputs!$D$7)^CV$2))),IF($N89=Lists!$K$3,IF($L89&lt;1,((($T89*(1-$F89)+$S89*(1-$G89))/$L89)*((1+Inputs!$D$7)^CV$2)),((INT(CV$2/$L89)-INT((CV$2-1)/$L89))*($T89*(1-$F89)+$S89*(1-$G89))*((1+Inputs!$D$7)^CV$2))),((Inputs!$D$8^((1-_xlfn.WEIBULL.DIST(CV$2,$M89,$L89,FALSE))/_xlfn.WEIBULL.DIST(CV$2,$M89,$L89,FALSE))*($T89*(1-$F89)+$S89*(1-$G89))*((1+Inputs!$D$7)^CV$2))))))))</f>
        <v>0</v>
      </c>
      <c r="CW89" s="88">
        <f>MAX(BG89,($E89*IF(CW$2&gt;Inputs!$D$5,0,IF(CW$2&gt;VLOOKUP($H89,Lists!$P$3:$Q$7,2),IF($N89=Lists!$K$3,IF($L89&lt;1,(($U89/$L89)*((1+Inputs!$D$7)^CW$2)),((INT(CW$2/$L89)-INT((CW$2-1)/$L89))*$U89*((1+Inputs!$D$7)^CW$2))),(Inputs!$D$8^((1-_xlfn.WEIBULL.DIST(CW$2,$M89,$L89,FALSE))/_xlfn.WEIBULL.DIST(CW$2,$M89,$L89,FALSE))*$U89*((1+Inputs!$D$7)^CW$2))),IF($N89=Lists!$K$3,IF($L89&lt;1,((($T89*(1-$F89)+$S89*(1-$G89))/$L89)*((1+Inputs!$D$7)^CW$2)),((INT(CW$2/$L89)-INT((CW$2-1)/$L89))*($T89*(1-$F89)+$S89*(1-$G89))*((1+Inputs!$D$7)^CW$2))),((Inputs!$D$8^((1-_xlfn.WEIBULL.DIST(CW$2,$M89,$L89,FALSE))/_xlfn.WEIBULL.DIST(CW$2,$M89,$L89,FALSE))*($T89*(1-$F89)+$S89*(1-$G89))*((1+Inputs!$D$7)^CW$2))))))))</f>
        <v>0</v>
      </c>
      <c r="CX89" s="88">
        <f>MAX(BH89,($E89*IF(CX$2&gt;Inputs!$D$5,0,IF(CX$2&gt;VLOOKUP($H89,Lists!$P$3:$Q$7,2),IF($N89=Lists!$K$3,IF($L89&lt;1,(($U89/$L89)*((1+Inputs!$D$7)^CX$2)),((INT(CX$2/$L89)-INT((CX$2-1)/$L89))*$U89*((1+Inputs!$D$7)^CX$2))),(Inputs!$D$8^((1-_xlfn.WEIBULL.DIST(CX$2,$M89,$L89,FALSE))/_xlfn.WEIBULL.DIST(CX$2,$M89,$L89,FALSE))*$U89*((1+Inputs!$D$7)^CX$2))),IF($N89=Lists!$K$3,IF($L89&lt;1,((($T89*(1-$F89)+$S89*(1-$G89))/$L89)*((1+Inputs!$D$7)^CX$2)),((INT(CX$2/$L89)-INT((CX$2-1)/$L89))*($T89*(1-$F89)+$S89*(1-$G89))*((1+Inputs!$D$7)^CX$2))),((Inputs!$D$8^((1-_xlfn.WEIBULL.DIST(CX$2,$M89,$L89,FALSE))/_xlfn.WEIBULL.DIST(CX$2,$M89,$L89,FALSE))*($T89*(1-$F89)+$S89*(1-$G89))*((1+Inputs!$D$7)^CX$2))))))))</f>
        <v>0</v>
      </c>
      <c r="CY89" s="88">
        <f>MAX(BI89,($E89*IF(CY$2&gt;Inputs!$D$5,0,IF(CY$2&gt;VLOOKUP($H89,Lists!$P$3:$Q$7,2),IF($N89=Lists!$K$3,IF($L89&lt;1,(($U89/$L89)*((1+Inputs!$D$7)^CY$2)),((INT(CY$2/$L89)-INT((CY$2-1)/$L89))*$U89*((1+Inputs!$D$7)^CY$2))),(Inputs!$D$8^((1-_xlfn.WEIBULL.DIST(CY$2,$M89,$L89,FALSE))/_xlfn.WEIBULL.DIST(CY$2,$M89,$L89,FALSE))*$U89*((1+Inputs!$D$7)^CY$2))),IF($N89=Lists!$K$3,IF($L89&lt;1,((($T89*(1-$F89)+$S89*(1-$G89))/$L89)*((1+Inputs!$D$7)^CY$2)),((INT(CY$2/$L89)-INT((CY$2-1)/$L89))*($T89*(1-$F89)+$S89*(1-$G89))*((1+Inputs!$D$7)^CY$2))),((Inputs!$D$8^((1-_xlfn.WEIBULL.DIST(CY$2,$M89,$L89,FALSE))/_xlfn.WEIBULL.DIST(CY$2,$M89,$L89,FALSE))*($T89*(1-$F89)+$S89*(1-$G89))*((1+Inputs!$D$7)^CY$2))))))))</f>
        <v>0</v>
      </c>
      <c r="CZ89" s="88">
        <f>MAX(BJ89,($E89*IF(CZ$2&gt;Inputs!$D$5,0,IF(CZ$2&gt;VLOOKUP($H89,Lists!$P$3:$Q$7,2),IF($N89=Lists!$K$3,IF($L89&lt;1,(($U89/$L89)*((1+Inputs!$D$7)^CZ$2)),((INT(CZ$2/$L89)-INT((CZ$2-1)/$L89))*$U89*((1+Inputs!$D$7)^CZ$2))),(Inputs!$D$8^((1-_xlfn.WEIBULL.DIST(CZ$2,$M89,$L89,FALSE))/_xlfn.WEIBULL.DIST(CZ$2,$M89,$L89,FALSE))*$U89*((1+Inputs!$D$7)^CZ$2))),IF($N89=Lists!$K$3,IF($L89&lt;1,((($T89*(1-$F89)+$S89*(1-$G89))/$L89)*((1+Inputs!$D$7)^CZ$2)),((INT(CZ$2/$L89)-INT((CZ$2-1)/$L89))*($T89*(1-$F89)+$S89*(1-$G89))*((1+Inputs!$D$7)^CZ$2))),((Inputs!$D$8^((1-_xlfn.WEIBULL.DIST(CZ$2,$M89,$L89,FALSE))/_xlfn.WEIBULL.DIST(CZ$2,$M89,$L89,FALSE))*($T89*(1-$F89)+$S89*(1-$G89))*((1+Inputs!$D$7)^CZ$2))))))))</f>
        <v>0</v>
      </c>
      <c r="DA89" s="88">
        <f>MAX(BK89,($E89*IF(DA$2&gt;Inputs!$D$5,0,IF(DA$2&gt;VLOOKUP($H89,Lists!$P$3:$Q$7,2),IF($N89=Lists!$K$3,IF($L89&lt;1,(($U89/$L89)*((1+Inputs!$D$7)^DA$2)),((INT(DA$2/$L89)-INT((DA$2-1)/$L89))*$U89*((1+Inputs!$D$7)^DA$2))),(Inputs!$D$8^((1-_xlfn.WEIBULL.DIST(DA$2,$M89,$L89,FALSE))/_xlfn.WEIBULL.DIST(DA$2,$M89,$L89,FALSE))*$U89*((1+Inputs!$D$7)^DA$2))),IF($N89=Lists!$K$3,IF($L89&lt;1,((($T89*(1-$F89)+$S89*(1-$G89))/$L89)*((1+Inputs!$D$7)^DA$2)),((INT(DA$2/$L89)-INT((DA$2-1)/$L89))*($T89*(1-$F89)+$S89*(1-$G89))*((1+Inputs!$D$7)^DA$2))),((Inputs!$D$8^((1-_xlfn.WEIBULL.DIST(DA$2,$M89,$L89,FALSE))/_xlfn.WEIBULL.DIST(DA$2,$M89,$L89,FALSE))*($T89*(1-$F89)+$S89*(1-$G89))*((1+Inputs!$D$7)^DA$2))))))))</f>
        <v>0</v>
      </c>
      <c r="DB89" s="88">
        <f>MAX(BL89,($E89*IF(DB$2&gt;Inputs!$D$5,0,IF(DB$2&gt;VLOOKUP($H89,Lists!$P$3:$Q$7,2),IF($N89=Lists!$K$3,IF($L89&lt;1,(($U89/$L89)*((1+Inputs!$D$7)^DB$2)),((INT(DB$2/$L89)-INT((DB$2-1)/$L89))*$U89*((1+Inputs!$D$7)^DB$2))),(Inputs!$D$8^((1-_xlfn.WEIBULL.DIST(DB$2,$M89,$L89,FALSE))/_xlfn.WEIBULL.DIST(DB$2,$M89,$L89,FALSE))*$U89*((1+Inputs!$D$7)^DB$2))),IF($N89=Lists!$K$3,IF($L89&lt;1,((($T89*(1-$F89)+$S89*(1-$G89))/$L89)*((1+Inputs!$D$7)^DB$2)),((INT(DB$2/$L89)-INT((DB$2-1)/$L89))*($T89*(1-$F89)+$S89*(1-$G89))*((1+Inputs!$D$7)^DB$2))),((Inputs!$D$8^((1-_xlfn.WEIBULL.DIST(DB$2,$M89,$L89,FALSE))/_xlfn.WEIBULL.DIST(DB$2,$M89,$L89,FALSE))*($T89*(1-$F89)+$S89*(1-$G89))*((1+Inputs!$D$7)^DB$2))))))))</f>
        <v>0</v>
      </c>
      <c r="DC89" s="88">
        <f>MAX(BM89,($E89*IF(DC$2&gt;Inputs!$D$5,0,IF(DC$2&gt;VLOOKUP($H89,Lists!$P$3:$Q$7,2),IF($N89=Lists!$K$3,IF($L89&lt;1,(($U89/$L89)*((1+Inputs!$D$7)^DC$2)),((INT(DC$2/$L89)-INT((DC$2-1)/$L89))*$U89*((1+Inputs!$D$7)^DC$2))),(Inputs!$D$8^((1-_xlfn.WEIBULL.DIST(DC$2,$M89,$L89,FALSE))/_xlfn.WEIBULL.DIST(DC$2,$M89,$L89,FALSE))*$U89*((1+Inputs!$D$7)^DC$2))),IF($N89=Lists!$K$3,IF($L89&lt;1,((($T89*(1-$F89)+$S89*(1-$G89))/$L89)*((1+Inputs!$D$7)^DC$2)),((INT(DC$2/$L89)-INT((DC$2-1)/$L89))*($T89*(1-$F89)+$S89*(1-$G89))*((1+Inputs!$D$7)^DC$2))),((Inputs!$D$8^((1-_xlfn.WEIBULL.DIST(DC$2,$M89,$L89,FALSE))/_xlfn.WEIBULL.DIST(DC$2,$M89,$L89,FALSE))*($T89*(1-$F89)+$S89*(1-$G89))*((1+Inputs!$D$7)^DC$2))))))))</f>
        <v>0</v>
      </c>
      <c r="DD89" s="88">
        <f>MAX(BN89,($E89*IF(DD$2&gt;Inputs!$D$5,0,IF(DD$2&gt;VLOOKUP($H89,Lists!$P$3:$Q$7,2),IF($N89=Lists!$K$3,IF($L89&lt;1,(($U89/$L89)*((1+Inputs!$D$7)^DD$2)),((INT(DD$2/$L89)-INT((DD$2-1)/$L89))*$U89*((1+Inputs!$D$7)^DD$2))),(Inputs!$D$8^((1-_xlfn.WEIBULL.DIST(DD$2,$M89,$L89,FALSE))/_xlfn.WEIBULL.DIST(DD$2,$M89,$L89,FALSE))*$U89*((1+Inputs!$D$7)^DD$2))),IF($N89=Lists!$K$3,IF($L89&lt;1,((($T89*(1-$F89)+$S89*(1-$G89))/$L89)*((1+Inputs!$D$7)^DD$2)),((INT(DD$2/$L89)-INT((DD$2-1)/$L89))*($T89*(1-$F89)+$S89*(1-$G89))*((1+Inputs!$D$7)^DD$2))),((Inputs!$D$8^((1-_xlfn.WEIBULL.DIST(DD$2,$M89,$L89,FALSE))/_xlfn.WEIBULL.DIST(DD$2,$M89,$L89,FALSE))*($T89*(1-$F89)+$S89*(1-$G89))*((1+Inputs!$D$7)^DD$2))))))))</f>
        <v>0</v>
      </c>
    </row>
    <row r="90" spans="1:108" s="1" customFormat="1" ht="16">
      <c r="A90" s="57" t="s">
        <v>52</v>
      </c>
      <c r="B90" s="13" t="s">
        <v>279</v>
      </c>
      <c r="C90" s="13" t="s">
        <v>473</v>
      </c>
      <c r="D90" s="13" t="s">
        <v>34</v>
      </c>
      <c r="E90" s="48">
        <v>1</v>
      </c>
      <c r="F90" s="48">
        <v>0</v>
      </c>
      <c r="G90" s="48">
        <v>0</v>
      </c>
      <c r="H90" s="105" t="s">
        <v>350</v>
      </c>
      <c r="I90" s="14" t="s">
        <v>47</v>
      </c>
      <c r="J90" s="14" t="s">
        <v>87</v>
      </c>
      <c r="K90" s="13">
        <f>VLOOKUP(J90,'Labor Rates'!$A$1:$F$16,2)</f>
        <v>32.012019230769226</v>
      </c>
      <c r="L90" s="15">
        <v>1</v>
      </c>
      <c r="M90" s="15">
        <v>1</v>
      </c>
      <c r="N90" s="13" t="s">
        <v>236</v>
      </c>
      <c r="O90" s="61">
        <f>$O$3</f>
        <v>1</v>
      </c>
      <c r="P90" s="15">
        <f>2/3600</f>
        <v>5.5555555555555556E-4</v>
      </c>
      <c r="Q90" s="15">
        <f t="shared" si="14"/>
        <v>5.5555555555555556E-4</v>
      </c>
      <c r="R90" s="4">
        <v>0</v>
      </c>
      <c r="S90" s="53">
        <f t="shared" si="15"/>
        <v>1.7784455128205125E-2</v>
      </c>
      <c r="T90" s="53">
        <f t="shared" si="16"/>
        <v>0</v>
      </c>
      <c r="U90" s="54">
        <f t="shared" si="17"/>
        <v>1.7784455128205125E-2</v>
      </c>
      <c r="V90" s="65"/>
      <c r="W90" s="58"/>
      <c r="X90" s="64">
        <f t="shared" si="18"/>
        <v>2.2037889629035183E-2</v>
      </c>
      <c r="Y90" s="64">
        <f>NPV(Inputs!$D$6,AA90:BN90)</f>
        <v>0.25313471795608922</v>
      </c>
      <c r="Z90" s="67">
        <f t="shared" si="19"/>
        <v>1.1939069120422229E-7</v>
      </c>
      <c r="AA90" s="88">
        <f>$E90*IF(AA$2&gt;Inputs!$D$5,0,IF(AA$2&gt;VLOOKUP($H90,Lists!$P$3:$Q$7,2),IF($N90=Lists!$K$3,IF($L90&lt;1,(($U90/$L90)*((1+Inputs!$D$7)^AA$2)),((INT(AA$2/$L90)-INT((AA$2-1)/$L90))*$U90*((1+Inputs!$D$7)^AA$2))),(_xlfn.WEIBULL.DIST(AA$2,$M90,$L90,FALSE)*$U90*((1+Inputs!$D$7)^AA$2))),IF($N90=Lists!$K$3,IF($L90&lt;1,((($T90*(1-$F90)+$S90*(1-$G90))/$L90)*((1+Inputs!$D$7)^AA$2)),((INT(AA$2/$L90)-INT((AA$2-1)/$L90))*($T90*(1-$F90)+$S90*(1-$G90))*((1+Inputs!$D$7)^AA$2))),((_xlfn.WEIBULL.DIST(AA$2,$M90,$L90,FALSE)*($T90*(1-$F90)+$S90*(1-$G90))*((1+Inputs!$D$7)^AA$2))))))</f>
        <v>1.8140144230769227E-2</v>
      </c>
      <c r="AB90" s="88">
        <f>$E90*IF(AB$2&gt;Inputs!$D$5,0,IF(AB$2&gt;VLOOKUP($H90,Lists!$P$3:$Q$7,2),IF($N90=Lists!$K$3,IF($L90&lt;1,(($U90/$L90)*((1+Inputs!$D$7)^AB$2)),((INT(AB$2/$L90)-INT((AB$2-1)/$L90))*$U90*((1+Inputs!$D$7)^AB$2))),(_xlfn.WEIBULL.DIST(AB$2,$M90,$L90,FALSE)*$U90*((1+Inputs!$D$7)^AB$2))),IF($N90=Lists!$K$3,IF($L90&lt;1,((($T90*(1-$F90)+$S90*(1-$G90))/$L90)*((1+Inputs!$D$7)^AB$2)),((INT(AB$2/$L90)-INT((AB$2-1)/$L90))*($T90*(1-$F90)+$S90*(1-$G90))*((1+Inputs!$D$7)^AB$2))),((_xlfn.WEIBULL.DIST(AB$2,$M90,$L90,FALSE)*($T90*(1-$F90)+$S90*(1-$G90))*((1+Inputs!$D$7)^AB$2))))))</f>
        <v>1.850294711538461E-2</v>
      </c>
      <c r="AC90" s="88">
        <f>$E90*IF(AC$2&gt;Inputs!$D$5,0,IF(AC$2&gt;VLOOKUP($H90,Lists!$P$3:$Q$7,2),IF($N90=Lists!$K$3,IF($L90&lt;1,(($U90/$L90)*((1+Inputs!$D$7)^AC$2)),((INT(AC$2/$L90)-INT((AC$2-1)/$L90))*$U90*((1+Inputs!$D$7)^AC$2))),(_xlfn.WEIBULL.DIST(AC$2,$M90,$L90,FALSE)*$U90*((1+Inputs!$D$7)^AC$2))),IF($N90=Lists!$K$3,IF($L90&lt;1,((($T90*(1-$F90)+$S90*(1-$G90))/$L90)*((1+Inputs!$D$7)^AC$2)),((INT(AC$2/$L90)-INT((AC$2-1)/$L90))*($T90*(1-$F90)+$S90*(1-$G90))*((1+Inputs!$D$7)^AC$2))),((_xlfn.WEIBULL.DIST(AC$2,$M90,$L90,FALSE)*($T90*(1-$F90)+$S90*(1-$G90))*((1+Inputs!$D$7)^AC$2))))))</f>
        <v>1.8873006057692304E-2</v>
      </c>
      <c r="AD90" s="88">
        <f>$E90*IF(AD$2&gt;Inputs!$D$5,0,IF(AD$2&gt;VLOOKUP($H90,Lists!$P$3:$Q$7,2),IF($N90=Lists!$K$3,IF($L90&lt;1,(($U90/$L90)*((1+Inputs!$D$7)^AD$2)),((INT(AD$2/$L90)-INT((AD$2-1)/$L90))*$U90*((1+Inputs!$D$7)^AD$2))),(_xlfn.WEIBULL.DIST(AD$2,$M90,$L90,FALSE)*$U90*((1+Inputs!$D$7)^AD$2))),IF($N90=Lists!$K$3,IF($L90&lt;1,((($T90*(1-$F90)+$S90*(1-$G90))/$L90)*((1+Inputs!$D$7)^AD$2)),((INT(AD$2/$L90)-INT((AD$2-1)/$L90))*($T90*(1-$F90)+$S90*(1-$G90))*((1+Inputs!$D$7)^AD$2))),((_xlfn.WEIBULL.DIST(AD$2,$M90,$L90,FALSE)*($T90*(1-$F90)+$S90*(1-$G90))*((1+Inputs!$D$7)^AD$2))))))</f>
        <v>1.925046617884615E-2</v>
      </c>
      <c r="AE90" s="88">
        <f>$E90*IF(AE$2&gt;Inputs!$D$5,0,IF(AE$2&gt;VLOOKUP($H90,Lists!$P$3:$Q$7,2),IF($N90=Lists!$K$3,IF($L90&lt;1,(($U90/$L90)*((1+Inputs!$D$7)^AE$2)),((INT(AE$2/$L90)-INT((AE$2-1)/$L90))*$U90*((1+Inputs!$D$7)^AE$2))),(_xlfn.WEIBULL.DIST(AE$2,$M90,$L90,FALSE)*$U90*((1+Inputs!$D$7)^AE$2))),IF($N90=Lists!$K$3,IF($L90&lt;1,((($T90*(1-$F90)+$S90*(1-$G90))/$L90)*((1+Inputs!$D$7)^AE$2)),((INT(AE$2/$L90)-INT((AE$2-1)/$L90))*($T90*(1-$F90)+$S90*(1-$G90))*((1+Inputs!$D$7)^AE$2))),((_xlfn.WEIBULL.DIST(AE$2,$M90,$L90,FALSE)*($T90*(1-$F90)+$S90*(1-$G90))*((1+Inputs!$D$7)^AE$2))))))</f>
        <v>1.9635475502423075E-2</v>
      </c>
      <c r="AF90" s="88">
        <f>$E90*IF(AF$2&gt;Inputs!$D$5,0,IF(AF$2&gt;VLOOKUP($H90,Lists!$P$3:$Q$7,2),IF($N90=Lists!$K$3,IF($L90&lt;1,(($U90/$L90)*((1+Inputs!$D$7)^AF$2)),((INT(AF$2/$L90)-INT((AF$2-1)/$L90))*$U90*((1+Inputs!$D$7)^AF$2))),(_xlfn.WEIBULL.DIST(AF$2,$M90,$L90,FALSE)*$U90*((1+Inputs!$D$7)^AF$2))),IF($N90=Lists!$K$3,IF($L90&lt;1,((($T90*(1-$F90)+$S90*(1-$G90))/$L90)*((1+Inputs!$D$7)^AF$2)),((INT(AF$2/$L90)-INT((AF$2-1)/$L90))*($T90*(1-$F90)+$S90*(1-$G90))*((1+Inputs!$D$7)^AF$2))),((_xlfn.WEIBULL.DIST(AF$2,$M90,$L90,FALSE)*($T90*(1-$F90)+$S90*(1-$G90))*((1+Inputs!$D$7)^AF$2))))))</f>
        <v>2.0028185012471535E-2</v>
      </c>
      <c r="AG90" s="88">
        <f>$E90*IF(AG$2&gt;Inputs!$D$5,0,IF(AG$2&gt;VLOOKUP($H90,Lists!$P$3:$Q$7,2),IF($N90=Lists!$K$3,IF($L90&lt;1,(($U90/$L90)*((1+Inputs!$D$7)^AG$2)),((INT(AG$2/$L90)-INT((AG$2-1)/$L90))*$U90*((1+Inputs!$D$7)^AG$2))),(_xlfn.WEIBULL.DIST(AG$2,$M90,$L90,FALSE)*$U90*((1+Inputs!$D$7)^AG$2))),IF($N90=Lists!$K$3,IF($L90&lt;1,((($T90*(1-$F90)+$S90*(1-$G90))/$L90)*((1+Inputs!$D$7)^AG$2)),((INT(AG$2/$L90)-INT((AG$2-1)/$L90))*($T90*(1-$F90)+$S90*(1-$G90))*((1+Inputs!$D$7)^AG$2))),((_xlfn.WEIBULL.DIST(AG$2,$M90,$L90,FALSE)*($T90*(1-$F90)+$S90*(1-$G90))*((1+Inputs!$D$7)^AG$2))))))</f>
        <v>2.0428748712720962E-2</v>
      </c>
      <c r="AH90" s="88">
        <f>$E90*IF(AH$2&gt;Inputs!$D$5,0,IF(AH$2&gt;VLOOKUP($H90,Lists!$P$3:$Q$7,2),IF($N90=Lists!$K$3,IF($L90&lt;1,(($U90/$L90)*((1+Inputs!$D$7)^AH$2)),((INT(AH$2/$L90)-INT((AH$2-1)/$L90))*$U90*((1+Inputs!$D$7)^AH$2))),(_xlfn.WEIBULL.DIST(AH$2,$M90,$L90,FALSE)*$U90*((1+Inputs!$D$7)^AH$2))),IF($N90=Lists!$K$3,IF($L90&lt;1,((($T90*(1-$F90)+$S90*(1-$G90))/$L90)*((1+Inputs!$D$7)^AH$2)),((INT(AH$2/$L90)-INT((AH$2-1)/$L90))*($T90*(1-$F90)+$S90*(1-$G90))*((1+Inputs!$D$7)^AH$2))),((_xlfn.WEIBULL.DIST(AH$2,$M90,$L90,FALSE)*($T90*(1-$F90)+$S90*(1-$G90))*((1+Inputs!$D$7)^AH$2))))))</f>
        <v>2.0837323686975384E-2</v>
      </c>
      <c r="AI90" s="88">
        <f>$E90*IF(AI$2&gt;Inputs!$D$5,0,IF(AI$2&gt;VLOOKUP($H90,Lists!$P$3:$Q$7,2),IF($N90=Lists!$K$3,IF($L90&lt;1,(($U90/$L90)*((1+Inputs!$D$7)^AI$2)),((INT(AI$2/$L90)-INT((AI$2-1)/$L90))*$U90*((1+Inputs!$D$7)^AI$2))),(_xlfn.WEIBULL.DIST(AI$2,$M90,$L90,FALSE)*$U90*((1+Inputs!$D$7)^AI$2))),IF($N90=Lists!$K$3,IF($L90&lt;1,((($T90*(1-$F90)+$S90*(1-$G90))/$L90)*((1+Inputs!$D$7)^AI$2)),((INT(AI$2/$L90)-INT((AI$2-1)/$L90))*($T90*(1-$F90)+$S90*(1-$G90))*((1+Inputs!$D$7)^AI$2))),((_xlfn.WEIBULL.DIST(AI$2,$M90,$L90,FALSE)*($T90*(1-$F90)+$S90*(1-$G90))*((1+Inputs!$D$7)^AI$2))))))</f>
        <v>2.1254070160714889E-2</v>
      </c>
      <c r="AJ90" s="88">
        <f>$E90*IF(AJ$2&gt;Inputs!$D$5,0,IF(AJ$2&gt;VLOOKUP($H90,Lists!$P$3:$Q$7,2),IF($N90=Lists!$K$3,IF($L90&lt;1,(($U90/$L90)*((1+Inputs!$D$7)^AJ$2)),((INT(AJ$2/$L90)-INT((AJ$2-1)/$L90))*$U90*((1+Inputs!$D$7)^AJ$2))),(_xlfn.WEIBULL.DIST(AJ$2,$M90,$L90,FALSE)*$U90*((1+Inputs!$D$7)^AJ$2))),IF($N90=Lists!$K$3,IF($L90&lt;1,((($T90*(1-$F90)+$S90*(1-$G90))/$L90)*((1+Inputs!$D$7)^AJ$2)),((INT(AJ$2/$L90)-INT((AJ$2-1)/$L90))*($T90*(1-$F90)+$S90*(1-$G90))*((1+Inputs!$D$7)^AJ$2))),((_xlfn.WEIBULL.DIST(AJ$2,$M90,$L90,FALSE)*($T90*(1-$F90)+$S90*(1-$G90))*((1+Inputs!$D$7)^AJ$2))))))</f>
        <v>2.1679151563929189E-2</v>
      </c>
      <c r="AK90" s="88">
        <f>$E90*IF(AK$2&gt;Inputs!$D$5,0,IF(AK$2&gt;VLOOKUP($H90,Lists!$P$3:$Q$7,2),IF($N90=Lists!$K$3,IF($L90&lt;1,(($U90/$L90)*((1+Inputs!$D$7)^AK$2)),((INT(AK$2/$L90)-INT((AK$2-1)/$L90))*$U90*((1+Inputs!$D$7)^AK$2))),(_xlfn.WEIBULL.DIST(AK$2,$M90,$L90,FALSE)*$U90*((1+Inputs!$D$7)^AK$2))),IF($N90=Lists!$K$3,IF($L90&lt;1,((($T90*(1-$F90)+$S90*(1-$G90))/$L90)*((1+Inputs!$D$7)^AK$2)),((INT(AK$2/$L90)-INT((AK$2-1)/$L90))*($T90*(1-$F90)+$S90*(1-$G90))*((1+Inputs!$D$7)^AK$2))),((_xlfn.WEIBULL.DIST(AK$2,$M90,$L90,FALSE)*($T90*(1-$F90)+$S90*(1-$G90))*((1+Inputs!$D$7)^AK$2))))))</f>
        <v>2.211273459520777E-2</v>
      </c>
      <c r="AL90" s="88">
        <f>$E90*IF(AL$2&gt;Inputs!$D$5,0,IF(AL$2&gt;VLOOKUP($H90,Lists!$P$3:$Q$7,2),IF($N90=Lists!$K$3,IF($L90&lt;1,(($U90/$L90)*((1+Inputs!$D$7)^AL$2)),((INT(AL$2/$L90)-INT((AL$2-1)/$L90))*$U90*((1+Inputs!$D$7)^AL$2))),(_xlfn.WEIBULL.DIST(AL$2,$M90,$L90,FALSE)*$U90*((1+Inputs!$D$7)^AL$2))),IF($N90=Lists!$K$3,IF($L90&lt;1,((($T90*(1-$F90)+$S90*(1-$G90))/$L90)*((1+Inputs!$D$7)^AL$2)),((INT(AL$2/$L90)-INT((AL$2-1)/$L90))*($T90*(1-$F90)+$S90*(1-$G90))*((1+Inputs!$D$7)^AL$2))),((_xlfn.WEIBULL.DIST(AL$2,$M90,$L90,FALSE)*($T90*(1-$F90)+$S90*(1-$G90))*((1+Inputs!$D$7)^AL$2))))))</f>
        <v>2.2554989287111929E-2</v>
      </c>
      <c r="AM90" s="88">
        <f>$E90*IF(AM$2&gt;Inputs!$D$5,0,IF(AM$2&gt;VLOOKUP($H90,Lists!$P$3:$Q$7,2),IF($N90=Lists!$K$3,IF($L90&lt;1,(($U90/$L90)*((1+Inputs!$D$7)^AM$2)),((INT(AM$2/$L90)-INT((AM$2-1)/$L90))*$U90*((1+Inputs!$D$7)^AM$2))),(_xlfn.WEIBULL.DIST(AM$2,$M90,$L90,FALSE)*$U90*((1+Inputs!$D$7)^AM$2))),IF($N90=Lists!$K$3,IF($L90&lt;1,((($T90*(1-$F90)+$S90*(1-$G90))/$L90)*((1+Inputs!$D$7)^AM$2)),((INT(AM$2/$L90)-INT((AM$2-1)/$L90))*($T90*(1-$F90)+$S90*(1-$G90))*((1+Inputs!$D$7)^AM$2))),((_xlfn.WEIBULL.DIST(AM$2,$M90,$L90,FALSE)*($T90*(1-$F90)+$S90*(1-$G90))*((1+Inputs!$D$7)^AM$2))))))</f>
        <v>2.3006089072854164E-2</v>
      </c>
      <c r="AN90" s="88">
        <f>$E90*IF(AN$2&gt;Inputs!$D$5,0,IF(AN$2&gt;VLOOKUP($H90,Lists!$P$3:$Q$7,2),IF($N90=Lists!$K$3,IF($L90&lt;1,(($U90/$L90)*((1+Inputs!$D$7)^AN$2)),((INT(AN$2/$L90)-INT((AN$2-1)/$L90))*$U90*((1+Inputs!$D$7)^AN$2))),(_xlfn.WEIBULL.DIST(AN$2,$M90,$L90,FALSE)*$U90*((1+Inputs!$D$7)^AN$2))),IF($N90=Lists!$K$3,IF($L90&lt;1,((($T90*(1-$F90)+$S90*(1-$G90))/$L90)*((1+Inputs!$D$7)^AN$2)),((INT(AN$2/$L90)-INT((AN$2-1)/$L90))*($T90*(1-$F90)+$S90*(1-$G90))*((1+Inputs!$D$7)^AN$2))),((_xlfn.WEIBULL.DIST(AN$2,$M90,$L90,FALSE)*($T90*(1-$F90)+$S90*(1-$G90))*((1+Inputs!$D$7)^AN$2))))))</f>
        <v>2.3466210854311251E-2</v>
      </c>
      <c r="AO90" s="88">
        <f>$E90*IF(AO$2&gt;Inputs!$D$5,0,IF(AO$2&gt;VLOOKUP($H90,Lists!$P$3:$Q$7,2),IF($N90=Lists!$K$3,IF($L90&lt;1,(($U90/$L90)*((1+Inputs!$D$7)^AO$2)),((INT(AO$2/$L90)-INT((AO$2-1)/$L90))*$U90*((1+Inputs!$D$7)^AO$2))),(_xlfn.WEIBULL.DIST(AO$2,$M90,$L90,FALSE)*$U90*((1+Inputs!$D$7)^AO$2))),IF($N90=Lists!$K$3,IF($L90&lt;1,((($T90*(1-$F90)+$S90*(1-$G90))/$L90)*((1+Inputs!$D$7)^AO$2)),((INT(AO$2/$L90)-INT((AO$2-1)/$L90))*($T90*(1-$F90)+$S90*(1-$G90))*((1+Inputs!$D$7)^AO$2))),((_xlfn.WEIBULL.DIST(AO$2,$M90,$L90,FALSE)*($T90*(1-$F90)+$S90*(1-$G90))*((1+Inputs!$D$7)^AO$2))))))</f>
        <v>2.3935535071397469E-2</v>
      </c>
      <c r="AP90" s="88">
        <f>$E90*IF(AP$2&gt;Inputs!$D$5,0,IF(AP$2&gt;VLOOKUP($H90,Lists!$P$3:$Q$7,2),IF($N90=Lists!$K$3,IF($L90&lt;1,(($U90/$L90)*((1+Inputs!$D$7)^AP$2)),((INT(AP$2/$L90)-INT((AP$2-1)/$L90))*$U90*((1+Inputs!$D$7)^AP$2))),(_xlfn.WEIBULL.DIST(AP$2,$M90,$L90,FALSE)*$U90*((1+Inputs!$D$7)^AP$2))),IF($N90=Lists!$K$3,IF($L90&lt;1,((($T90*(1-$F90)+$S90*(1-$G90))/$L90)*((1+Inputs!$D$7)^AP$2)),((INT(AP$2/$L90)-INT((AP$2-1)/$L90))*($T90*(1-$F90)+$S90*(1-$G90))*((1+Inputs!$D$7)^AP$2))),((_xlfn.WEIBULL.DIST(AP$2,$M90,$L90,FALSE)*($T90*(1-$F90)+$S90*(1-$G90))*((1+Inputs!$D$7)^AP$2))))))</f>
        <v>2.4414245772825423E-2</v>
      </c>
      <c r="AQ90" s="88">
        <f>$E90*IF(AQ$2&gt;Inputs!$D$5,0,IF(AQ$2&gt;VLOOKUP($H90,Lists!$P$3:$Q$7,2),IF($N90=Lists!$K$3,IF($L90&lt;1,(($U90/$L90)*((1+Inputs!$D$7)^AQ$2)),((INT(AQ$2/$L90)-INT((AQ$2-1)/$L90))*$U90*((1+Inputs!$D$7)^AQ$2))),(_xlfn.WEIBULL.DIST(AQ$2,$M90,$L90,FALSE)*$U90*((1+Inputs!$D$7)^AQ$2))),IF($N90=Lists!$K$3,IF($L90&lt;1,((($T90*(1-$F90)+$S90*(1-$G90))/$L90)*((1+Inputs!$D$7)^AQ$2)),((INT(AQ$2/$L90)-INT((AQ$2-1)/$L90))*($T90*(1-$F90)+$S90*(1-$G90))*((1+Inputs!$D$7)^AQ$2))),((_xlfn.WEIBULL.DIST(AQ$2,$M90,$L90,FALSE)*($T90*(1-$F90)+$S90*(1-$G90))*((1+Inputs!$D$7)^AQ$2))))))</f>
        <v>2.4902530688281934E-2</v>
      </c>
      <c r="AR90" s="88">
        <f>$E90*IF(AR$2&gt;Inputs!$D$5,0,IF(AR$2&gt;VLOOKUP($H90,Lists!$P$3:$Q$7,2),IF($N90=Lists!$K$3,IF($L90&lt;1,(($U90/$L90)*((1+Inputs!$D$7)^AR$2)),((INT(AR$2/$L90)-INT((AR$2-1)/$L90))*$U90*((1+Inputs!$D$7)^AR$2))),(_xlfn.WEIBULL.DIST(AR$2,$M90,$L90,FALSE)*$U90*((1+Inputs!$D$7)^AR$2))),IF($N90=Lists!$K$3,IF($L90&lt;1,((($T90*(1-$F90)+$S90*(1-$G90))/$L90)*((1+Inputs!$D$7)^AR$2)),((INT(AR$2/$L90)-INT((AR$2-1)/$L90))*($T90*(1-$F90)+$S90*(1-$G90))*((1+Inputs!$D$7)^AR$2))),((_xlfn.WEIBULL.DIST(AR$2,$M90,$L90,FALSE)*($T90*(1-$F90)+$S90*(1-$G90))*((1+Inputs!$D$7)^AR$2))))))</f>
        <v>2.5400581302047569E-2</v>
      </c>
      <c r="AS90" s="88">
        <f>$E90*IF(AS$2&gt;Inputs!$D$5,0,IF(AS$2&gt;VLOOKUP($H90,Lists!$P$3:$Q$7,2),IF($N90=Lists!$K$3,IF($L90&lt;1,(($U90/$L90)*((1+Inputs!$D$7)^AS$2)),((INT(AS$2/$L90)-INT((AS$2-1)/$L90))*$U90*((1+Inputs!$D$7)^AS$2))),(_xlfn.WEIBULL.DIST(AS$2,$M90,$L90,FALSE)*$U90*((1+Inputs!$D$7)^AS$2))),IF($N90=Lists!$K$3,IF($L90&lt;1,((($T90*(1-$F90)+$S90*(1-$G90))/$L90)*((1+Inputs!$D$7)^AS$2)),((INT(AS$2/$L90)-INT((AS$2-1)/$L90))*($T90*(1-$F90)+$S90*(1-$G90))*((1+Inputs!$D$7)^AS$2))),((_xlfn.WEIBULL.DIST(AS$2,$M90,$L90,FALSE)*($T90*(1-$F90)+$S90*(1-$G90))*((1+Inputs!$D$7)^AS$2))))))</f>
        <v>2.590859292808852E-2</v>
      </c>
      <c r="AT90" s="88">
        <f>$E90*IF(AT$2&gt;Inputs!$D$5,0,IF(AT$2&gt;VLOOKUP($H90,Lists!$P$3:$Q$7,2),IF($N90=Lists!$K$3,IF($L90&lt;1,(($U90/$L90)*((1+Inputs!$D$7)^AT$2)),((INT(AT$2/$L90)-INT((AT$2-1)/$L90))*$U90*((1+Inputs!$D$7)^AT$2))),(_xlfn.WEIBULL.DIST(AT$2,$M90,$L90,FALSE)*$U90*((1+Inputs!$D$7)^AT$2))),IF($N90=Lists!$K$3,IF($L90&lt;1,((($T90*(1-$F90)+$S90*(1-$G90))/$L90)*((1+Inputs!$D$7)^AT$2)),((INT(AT$2/$L90)-INT((AT$2-1)/$L90))*($T90*(1-$F90)+$S90*(1-$G90))*((1+Inputs!$D$7)^AT$2))),((_xlfn.WEIBULL.DIST(AT$2,$M90,$L90,FALSE)*($T90*(1-$F90)+$S90*(1-$G90))*((1+Inputs!$D$7)^AT$2))))))</f>
        <v>2.6426764786650292E-2</v>
      </c>
      <c r="AU90" s="88">
        <f>$E90*IF(AU$2&gt;Inputs!$D$5,0,IF(AU$2&gt;VLOOKUP($H90,Lists!$P$3:$Q$7,2),IF($N90=Lists!$K$3,IF($L90&lt;1,(($U90/$L90)*((1+Inputs!$D$7)^AU$2)),((INT(AU$2/$L90)-INT((AU$2-1)/$L90))*$U90*((1+Inputs!$D$7)^AU$2))),(_xlfn.WEIBULL.DIST(AU$2,$M90,$L90,FALSE)*$U90*((1+Inputs!$D$7)^AU$2))),IF($N90=Lists!$K$3,IF($L90&lt;1,((($T90*(1-$F90)+$S90*(1-$G90))/$L90)*((1+Inputs!$D$7)^AU$2)),((INT(AU$2/$L90)-INT((AU$2-1)/$L90))*($T90*(1-$F90)+$S90*(1-$G90))*((1+Inputs!$D$7)^AU$2))),((_xlfn.WEIBULL.DIST(AU$2,$M90,$L90,FALSE)*($T90*(1-$F90)+$S90*(1-$G90))*((1+Inputs!$D$7)^AU$2))))))</f>
        <v>2.6955300082383296E-2</v>
      </c>
      <c r="AV90" s="88">
        <f>$E90*IF(AV$2&gt;Inputs!$D$5,0,IF(AV$2&gt;VLOOKUP($H90,Lists!$P$3:$Q$7,2),IF($N90=Lists!$K$3,IF($L90&lt;1,(($U90/$L90)*((1+Inputs!$D$7)^AV$2)),((INT(AV$2/$L90)-INT((AV$2-1)/$L90))*$U90*((1+Inputs!$D$7)^AV$2))),(_xlfn.WEIBULL.DIST(AV$2,$M90,$L90,FALSE)*$U90*((1+Inputs!$D$7)^AV$2))),IF($N90=Lists!$K$3,IF($L90&lt;1,((($T90*(1-$F90)+$S90*(1-$G90))/$L90)*((1+Inputs!$D$7)^AV$2)),((INT(AV$2/$L90)-INT((AV$2-1)/$L90))*($T90*(1-$F90)+$S90*(1-$G90))*((1+Inputs!$D$7)^AV$2))),((_xlfn.WEIBULL.DIST(AV$2,$M90,$L90,FALSE)*($T90*(1-$F90)+$S90*(1-$G90))*((1+Inputs!$D$7)^AV$2))))))</f>
        <v>2.7494406084030965E-2</v>
      </c>
      <c r="AW90" s="88">
        <f>$E90*IF(AW$2&gt;Inputs!$D$5,0,IF(AW$2&gt;VLOOKUP($H90,Lists!$P$3:$Q$7,2),IF($N90=Lists!$K$3,IF($L90&lt;1,(($U90/$L90)*((1+Inputs!$D$7)^AW$2)),((INT(AW$2/$L90)-INT((AW$2-1)/$L90))*$U90*((1+Inputs!$D$7)^AW$2))),(_xlfn.WEIBULL.DIST(AW$2,$M90,$L90,FALSE)*$U90*((1+Inputs!$D$7)^AW$2))),IF($N90=Lists!$K$3,IF($L90&lt;1,((($T90*(1-$F90)+$S90*(1-$G90))/$L90)*((1+Inputs!$D$7)^AW$2)),((INT(AW$2/$L90)-INT((AW$2-1)/$L90))*($T90*(1-$F90)+$S90*(1-$G90))*((1+Inputs!$D$7)^AW$2))),((_xlfn.WEIBULL.DIST(AW$2,$M90,$L90,FALSE)*($T90*(1-$F90)+$S90*(1-$G90))*((1+Inputs!$D$7)^AW$2))))))</f>
        <v>2.8044294205711577E-2</v>
      </c>
      <c r="AX90" s="88">
        <f>$E90*IF(AX$2&gt;Inputs!$D$5,0,IF(AX$2&gt;VLOOKUP($H90,Lists!$P$3:$Q$7,2),IF($N90=Lists!$K$3,IF($L90&lt;1,(($U90/$L90)*((1+Inputs!$D$7)^AX$2)),((INT(AX$2/$L90)-INT((AX$2-1)/$L90))*$U90*((1+Inputs!$D$7)^AX$2))),(_xlfn.WEIBULL.DIST(AX$2,$M90,$L90,FALSE)*$U90*((1+Inputs!$D$7)^AX$2))),IF($N90=Lists!$K$3,IF($L90&lt;1,((($T90*(1-$F90)+$S90*(1-$G90))/$L90)*((1+Inputs!$D$7)^AX$2)),((INT(AX$2/$L90)-INT((AX$2-1)/$L90))*($T90*(1-$F90)+$S90*(1-$G90))*((1+Inputs!$D$7)^AX$2))),((_xlfn.WEIBULL.DIST(AX$2,$M90,$L90,FALSE)*($T90*(1-$F90)+$S90*(1-$G90))*((1+Inputs!$D$7)^AX$2))))))</f>
        <v>2.8605180089825811E-2</v>
      </c>
      <c r="AY90" s="88">
        <f>$E90*IF(AY$2&gt;Inputs!$D$5,0,IF(AY$2&gt;VLOOKUP($H90,Lists!$P$3:$Q$7,2),IF($N90=Lists!$K$3,IF($L90&lt;1,(($U90/$L90)*((1+Inputs!$D$7)^AY$2)),((INT(AY$2/$L90)-INT((AY$2-1)/$L90))*$U90*((1+Inputs!$D$7)^AY$2))),(_xlfn.WEIBULL.DIST(AY$2,$M90,$L90,FALSE)*$U90*((1+Inputs!$D$7)^AY$2))),IF($N90=Lists!$K$3,IF($L90&lt;1,((($T90*(1-$F90)+$S90*(1-$G90))/$L90)*((1+Inputs!$D$7)^AY$2)),((INT(AY$2/$L90)-INT((AY$2-1)/$L90))*($T90*(1-$F90)+$S90*(1-$G90))*((1+Inputs!$D$7)^AY$2))),((_xlfn.WEIBULL.DIST(AY$2,$M90,$L90,FALSE)*($T90*(1-$F90)+$S90*(1-$G90))*((1+Inputs!$D$7)^AY$2))))))</f>
        <v>2.9177283691622327E-2</v>
      </c>
      <c r="AZ90" s="88">
        <f>$E90*IF(AZ$2&gt;Inputs!$D$5,0,IF(AZ$2&gt;VLOOKUP($H90,Lists!$P$3:$Q$7,2),IF($N90=Lists!$K$3,IF($L90&lt;1,(($U90/$L90)*((1+Inputs!$D$7)^AZ$2)),((INT(AZ$2/$L90)-INT((AZ$2-1)/$L90))*$U90*((1+Inputs!$D$7)^AZ$2))),(_xlfn.WEIBULL.DIST(AZ$2,$M90,$L90,FALSE)*$U90*((1+Inputs!$D$7)^AZ$2))),IF($N90=Lists!$K$3,IF($L90&lt;1,((($T90*(1-$F90)+$S90*(1-$G90))/$L90)*((1+Inputs!$D$7)^AZ$2)),((INT(AZ$2/$L90)-INT((AZ$2-1)/$L90))*($T90*(1-$F90)+$S90*(1-$G90))*((1+Inputs!$D$7)^AZ$2))),((_xlfn.WEIBULL.DIST(AZ$2,$M90,$L90,FALSE)*($T90*(1-$F90)+$S90*(1-$G90))*((1+Inputs!$D$7)^AZ$2))))))</f>
        <v>0</v>
      </c>
      <c r="BA90" s="88">
        <f>$E90*IF(BA$2&gt;Inputs!$D$5,0,IF(BA$2&gt;VLOOKUP($H90,Lists!$P$3:$Q$7,2),IF($N90=Lists!$K$3,IF($L90&lt;1,(($U90/$L90)*((1+Inputs!$D$7)^BA$2)),((INT(BA$2/$L90)-INT((BA$2-1)/$L90))*$U90*((1+Inputs!$D$7)^BA$2))),(_xlfn.WEIBULL.DIST(BA$2,$M90,$L90,FALSE)*$U90*((1+Inputs!$D$7)^BA$2))),IF($N90=Lists!$K$3,IF($L90&lt;1,((($T90*(1-$F90)+$S90*(1-$G90))/$L90)*((1+Inputs!$D$7)^BA$2)),((INT(BA$2/$L90)-INT((BA$2-1)/$L90))*($T90*(1-$F90)+$S90*(1-$G90))*((1+Inputs!$D$7)^BA$2))),((_xlfn.WEIBULL.DIST(BA$2,$M90,$L90,FALSE)*($T90*(1-$F90)+$S90*(1-$G90))*((1+Inputs!$D$7)^BA$2))))))</f>
        <v>0</v>
      </c>
      <c r="BB90" s="88">
        <f>$E90*IF(BB$2&gt;Inputs!$D$5,0,IF(BB$2&gt;VLOOKUP($H90,Lists!$P$3:$Q$7,2),IF($N90=Lists!$K$3,IF($L90&lt;1,(($U90/$L90)*((1+Inputs!$D$7)^BB$2)),((INT(BB$2/$L90)-INT((BB$2-1)/$L90))*$U90*((1+Inputs!$D$7)^BB$2))),(_xlfn.WEIBULL.DIST(BB$2,$M90,$L90,FALSE)*$U90*((1+Inputs!$D$7)^BB$2))),IF($N90=Lists!$K$3,IF($L90&lt;1,((($T90*(1-$F90)+$S90*(1-$G90))/$L90)*((1+Inputs!$D$7)^BB$2)),((INT(BB$2/$L90)-INT((BB$2-1)/$L90))*($T90*(1-$F90)+$S90*(1-$G90))*((1+Inputs!$D$7)^BB$2))),((_xlfn.WEIBULL.DIST(BB$2,$M90,$L90,FALSE)*($T90*(1-$F90)+$S90*(1-$G90))*((1+Inputs!$D$7)^BB$2))))))</f>
        <v>0</v>
      </c>
      <c r="BC90" s="88">
        <f>$E90*IF(BC$2&gt;Inputs!$D$5,0,IF(BC$2&gt;VLOOKUP($H90,Lists!$P$3:$Q$7,2),IF($N90=Lists!$K$3,IF($L90&lt;1,(($U90/$L90)*((1+Inputs!$D$7)^BC$2)),((INT(BC$2/$L90)-INT((BC$2-1)/$L90))*$U90*((1+Inputs!$D$7)^BC$2))),(_xlfn.WEIBULL.DIST(BC$2,$M90,$L90,FALSE)*$U90*((1+Inputs!$D$7)^BC$2))),IF($N90=Lists!$K$3,IF($L90&lt;1,((($T90*(1-$F90)+$S90*(1-$G90))/$L90)*((1+Inputs!$D$7)^BC$2)),((INT(BC$2/$L90)-INT((BC$2-1)/$L90))*($T90*(1-$F90)+$S90*(1-$G90))*((1+Inputs!$D$7)^BC$2))),((_xlfn.WEIBULL.DIST(BC$2,$M90,$L90,FALSE)*($T90*(1-$F90)+$S90*(1-$G90))*((1+Inputs!$D$7)^BC$2))))))</f>
        <v>0</v>
      </c>
      <c r="BD90" s="88">
        <f>$E90*IF(BD$2&gt;Inputs!$D$5,0,IF(BD$2&gt;VLOOKUP($H90,Lists!$P$3:$Q$7,2),IF($N90=Lists!$K$3,IF($L90&lt;1,(($U90/$L90)*((1+Inputs!$D$7)^BD$2)),((INT(BD$2/$L90)-INT((BD$2-1)/$L90))*$U90*((1+Inputs!$D$7)^BD$2))),(_xlfn.WEIBULL.DIST(BD$2,$M90,$L90,FALSE)*$U90*((1+Inputs!$D$7)^BD$2))),IF($N90=Lists!$K$3,IF($L90&lt;1,((($T90*(1-$F90)+$S90*(1-$G90))/$L90)*((1+Inputs!$D$7)^BD$2)),((INT(BD$2/$L90)-INT((BD$2-1)/$L90))*($T90*(1-$F90)+$S90*(1-$G90))*((1+Inputs!$D$7)^BD$2))),((_xlfn.WEIBULL.DIST(BD$2,$M90,$L90,FALSE)*($T90*(1-$F90)+$S90*(1-$G90))*((1+Inputs!$D$7)^BD$2))))))</f>
        <v>0</v>
      </c>
      <c r="BE90" s="88">
        <f>$E90*IF(BE$2&gt;Inputs!$D$5,0,IF(BE$2&gt;VLOOKUP($H90,Lists!$P$3:$Q$7,2),IF($N90=Lists!$K$3,IF($L90&lt;1,(($U90/$L90)*((1+Inputs!$D$7)^BE$2)),((INT(BE$2/$L90)-INT((BE$2-1)/$L90))*$U90*((1+Inputs!$D$7)^BE$2))),(_xlfn.WEIBULL.DIST(BE$2,$M90,$L90,FALSE)*$U90*((1+Inputs!$D$7)^BE$2))),IF($N90=Lists!$K$3,IF($L90&lt;1,((($T90*(1-$F90)+$S90*(1-$G90))/$L90)*((1+Inputs!$D$7)^BE$2)),((INT(BE$2/$L90)-INT((BE$2-1)/$L90))*($T90*(1-$F90)+$S90*(1-$G90))*((1+Inputs!$D$7)^BE$2))),((_xlfn.WEIBULL.DIST(BE$2,$M90,$L90,FALSE)*($T90*(1-$F90)+$S90*(1-$G90))*((1+Inputs!$D$7)^BE$2))))))</f>
        <v>0</v>
      </c>
      <c r="BF90" s="88">
        <f>$E90*IF(BF$2&gt;Inputs!$D$5,0,IF(BF$2&gt;VLOOKUP($H90,Lists!$P$3:$Q$7,2),IF($N90=Lists!$K$3,IF($L90&lt;1,(($U90/$L90)*((1+Inputs!$D$7)^BF$2)),((INT(BF$2/$L90)-INT((BF$2-1)/$L90))*$U90*((1+Inputs!$D$7)^BF$2))),(_xlfn.WEIBULL.DIST(BF$2,$M90,$L90,FALSE)*$U90*((1+Inputs!$D$7)^BF$2))),IF($N90=Lists!$K$3,IF($L90&lt;1,((($T90*(1-$F90)+$S90*(1-$G90))/$L90)*((1+Inputs!$D$7)^BF$2)),((INT(BF$2/$L90)-INT((BF$2-1)/$L90))*($T90*(1-$F90)+$S90*(1-$G90))*((1+Inputs!$D$7)^BF$2))),((_xlfn.WEIBULL.DIST(BF$2,$M90,$L90,FALSE)*($T90*(1-$F90)+$S90*(1-$G90))*((1+Inputs!$D$7)^BF$2))))))</f>
        <v>0</v>
      </c>
      <c r="BG90" s="88">
        <f>$E90*IF(BG$2&gt;Inputs!$D$5,0,IF(BG$2&gt;VLOOKUP($H90,Lists!$P$3:$Q$7,2),IF($N90=Lists!$K$3,IF($L90&lt;1,(($U90/$L90)*((1+Inputs!$D$7)^BG$2)),((INT(BG$2/$L90)-INT((BG$2-1)/$L90))*$U90*((1+Inputs!$D$7)^BG$2))),(_xlfn.WEIBULL.DIST(BG$2,$M90,$L90,FALSE)*$U90*((1+Inputs!$D$7)^BG$2))),IF($N90=Lists!$K$3,IF($L90&lt;1,((($T90*(1-$F90)+$S90*(1-$G90))/$L90)*((1+Inputs!$D$7)^BG$2)),((INT(BG$2/$L90)-INT((BG$2-1)/$L90))*($T90*(1-$F90)+$S90*(1-$G90))*((1+Inputs!$D$7)^BG$2))),((_xlfn.WEIBULL.DIST(BG$2,$M90,$L90,FALSE)*($T90*(1-$F90)+$S90*(1-$G90))*((1+Inputs!$D$7)^BG$2))))))</f>
        <v>0</v>
      </c>
      <c r="BH90" s="88">
        <f>$E90*IF(BH$2&gt;Inputs!$D$5,0,IF(BH$2&gt;VLOOKUP($H90,Lists!$P$3:$Q$7,2),IF($N90=Lists!$K$3,IF($L90&lt;1,(($U90/$L90)*((1+Inputs!$D$7)^BH$2)),((INT(BH$2/$L90)-INT((BH$2-1)/$L90))*$U90*((1+Inputs!$D$7)^BH$2))),(_xlfn.WEIBULL.DIST(BH$2,$M90,$L90,FALSE)*$U90*((1+Inputs!$D$7)^BH$2))),IF($N90=Lists!$K$3,IF($L90&lt;1,((($T90*(1-$F90)+$S90*(1-$G90))/$L90)*((1+Inputs!$D$7)^BH$2)),((INT(BH$2/$L90)-INT((BH$2-1)/$L90))*($T90*(1-$F90)+$S90*(1-$G90))*((1+Inputs!$D$7)^BH$2))),((_xlfn.WEIBULL.DIST(BH$2,$M90,$L90,FALSE)*($T90*(1-$F90)+$S90*(1-$G90))*((1+Inputs!$D$7)^BH$2))))))</f>
        <v>0</v>
      </c>
      <c r="BI90" s="88">
        <f>$E90*IF(BI$2&gt;Inputs!$D$5,0,IF(BI$2&gt;VLOOKUP($H90,Lists!$P$3:$Q$7,2),IF($N90=Lists!$K$3,IF($L90&lt;1,(($U90/$L90)*((1+Inputs!$D$7)^BI$2)),((INT(BI$2/$L90)-INT((BI$2-1)/$L90))*$U90*((1+Inputs!$D$7)^BI$2))),(_xlfn.WEIBULL.DIST(BI$2,$M90,$L90,FALSE)*$U90*((1+Inputs!$D$7)^BI$2))),IF($N90=Lists!$K$3,IF($L90&lt;1,((($T90*(1-$F90)+$S90*(1-$G90))/$L90)*((1+Inputs!$D$7)^BI$2)),((INT(BI$2/$L90)-INT((BI$2-1)/$L90))*($T90*(1-$F90)+$S90*(1-$G90))*((1+Inputs!$D$7)^BI$2))),((_xlfn.WEIBULL.DIST(BI$2,$M90,$L90,FALSE)*($T90*(1-$F90)+$S90*(1-$G90))*((1+Inputs!$D$7)^BI$2))))))</f>
        <v>0</v>
      </c>
      <c r="BJ90" s="88">
        <f>$E90*IF(BJ$2&gt;Inputs!$D$5,0,IF(BJ$2&gt;VLOOKUP($H90,Lists!$P$3:$Q$7,2),IF($N90=Lists!$K$3,IF($L90&lt;1,(($U90/$L90)*((1+Inputs!$D$7)^BJ$2)),((INT(BJ$2/$L90)-INT((BJ$2-1)/$L90))*$U90*((1+Inputs!$D$7)^BJ$2))),(_xlfn.WEIBULL.DIST(BJ$2,$M90,$L90,FALSE)*$U90*((1+Inputs!$D$7)^BJ$2))),IF($N90=Lists!$K$3,IF($L90&lt;1,((($T90*(1-$F90)+$S90*(1-$G90))/$L90)*((1+Inputs!$D$7)^BJ$2)),((INT(BJ$2/$L90)-INT((BJ$2-1)/$L90))*($T90*(1-$F90)+$S90*(1-$G90))*((1+Inputs!$D$7)^BJ$2))),((_xlfn.WEIBULL.DIST(BJ$2,$M90,$L90,FALSE)*($T90*(1-$F90)+$S90*(1-$G90))*((1+Inputs!$D$7)^BJ$2))))))</f>
        <v>0</v>
      </c>
      <c r="BK90" s="88">
        <f>$E90*IF(BK$2&gt;Inputs!$D$5,0,IF(BK$2&gt;VLOOKUP($H90,Lists!$P$3:$Q$7,2),IF($N90=Lists!$K$3,IF($L90&lt;1,(($U90/$L90)*((1+Inputs!$D$7)^BK$2)),((INT(BK$2/$L90)-INT((BK$2-1)/$L90))*$U90*((1+Inputs!$D$7)^BK$2))),(_xlfn.WEIBULL.DIST(BK$2,$M90,$L90,FALSE)*$U90*((1+Inputs!$D$7)^BK$2))),IF($N90=Lists!$K$3,IF($L90&lt;1,((($T90*(1-$F90)+$S90*(1-$G90))/$L90)*((1+Inputs!$D$7)^BK$2)),((INT(BK$2/$L90)-INT((BK$2-1)/$L90))*($T90*(1-$F90)+$S90*(1-$G90))*((1+Inputs!$D$7)^BK$2))),((_xlfn.WEIBULL.DIST(BK$2,$M90,$L90,FALSE)*($T90*(1-$F90)+$S90*(1-$G90))*((1+Inputs!$D$7)^BK$2))))))</f>
        <v>0</v>
      </c>
      <c r="BL90" s="88">
        <f>$E90*IF(BL$2&gt;Inputs!$D$5,0,IF(BL$2&gt;VLOOKUP($H90,Lists!$P$3:$Q$7,2),IF($N90=Lists!$K$3,IF($L90&lt;1,(($U90/$L90)*((1+Inputs!$D$7)^BL$2)),((INT(BL$2/$L90)-INT((BL$2-1)/$L90))*$U90*((1+Inputs!$D$7)^BL$2))),(_xlfn.WEIBULL.DIST(BL$2,$M90,$L90,FALSE)*$U90*((1+Inputs!$D$7)^BL$2))),IF($N90=Lists!$K$3,IF($L90&lt;1,((($T90*(1-$F90)+$S90*(1-$G90))/$L90)*((1+Inputs!$D$7)^BL$2)),((INT(BL$2/$L90)-INT((BL$2-1)/$L90))*($T90*(1-$F90)+$S90*(1-$G90))*((1+Inputs!$D$7)^BL$2))),((_xlfn.WEIBULL.DIST(BL$2,$M90,$L90,FALSE)*($T90*(1-$F90)+$S90*(1-$G90))*((1+Inputs!$D$7)^BL$2))))))</f>
        <v>0</v>
      </c>
      <c r="BM90" s="88">
        <f>$E90*IF(BM$2&gt;Inputs!$D$5,0,IF(BM$2&gt;VLOOKUP($H90,Lists!$P$3:$Q$7,2),IF($N90=Lists!$K$3,IF($L90&lt;1,(($U90/$L90)*((1+Inputs!$D$7)^BM$2)),((INT(BM$2/$L90)-INT((BM$2-1)/$L90))*$U90*((1+Inputs!$D$7)^BM$2))),(_xlfn.WEIBULL.DIST(BM$2,$M90,$L90,FALSE)*$U90*((1+Inputs!$D$7)^BM$2))),IF($N90=Lists!$K$3,IF($L90&lt;1,((($T90*(1-$F90)+$S90*(1-$G90))/$L90)*((1+Inputs!$D$7)^BM$2)),((INT(BM$2/$L90)-INT((BM$2-1)/$L90))*($T90*(1-$F90)+$S90*(1-$G90))*((1+Inputs!$D$7)^BM$2))),((_xlfn.WEIBULL.DIST(BM$2,$M90,$L90,FALSE)*($T90*(1-$F90)+$S90*(1-$G90))*((1+Inputs!$D$7)^BM$2))))))</f>
        <v>0</v>
      </c>
      <c r="BN90" s="88">
        <f>$E90*IF(BN$2&gt;Inputs!$D$5,0,IF(BN$2&gt;VLOOKUP($H90,Lists!$P$3:$Q$7,2),IF($N90=Lists!$K$3,IF($L90&lt;1,(($U90/$L90)*((1+Inputs!$D$7)^BN$2)),((INT(BN$2/$L90)-INT((BN$2-1)/$L90))*$U90*((1+Inputs!$D$7)^BN$2))),(_xlfn.WEIBULL.DIST(BN$2,$M90,$L90,FALSE)*$U90*((1+Inputs!$D$7)^BN$2))),IF($N90=Lists!$K$3,IF($L90&lt;1,((($T90*(1-$F90)+$S90*(1-$G90))/$L90)*((1+Inputs!$D$7)^BN$2)),((INT(BN$2/$L90)-INT((BN$2-1)/$L90))*($T90*(1-$F90)+$S90*(1-$G90))*((1+Inputs!$D$7)^BN$2))),((_xlfn.WEIBULL.DIST(BN$2,$M90,$L90,FALSE)*($T90*(1-$F90)+$S90*(1-$G90))*((1+Inputs!$D$7)^BN$2))))))</f>
        <v>0</v>
      </c>
      <c r="BO90" s="64">
        <f>NPV(Inputs!$D$6,BQ90:DD90)</f>
        <v>0.25313471795608922</v>
      </c>
      <c r="BP90" s="67">
        <f t="shared" si="20"/>
        <v>1.1939069120422229E-7</v>
      </c>
      <c r="BQ90" s="88">
        <f>MAX(AA90,($E90*IF(BQ$2&gt;Inputs!$D$5,0,IF(BQ$2&gt;VLOOKUP($H90,Lists!$P$3:$Q$7,2),IF($N90=Lists!$K$3,IF($L90&lt;1,(($U90/$L90)*((1+Inputs!$D$7)^BQ$2)),((INT(BQ$2/$L90)-INT((BQ$2-1)/$L90))*$U90*((1+Inputs!$D$7)^BQ$2))),(Inputs!$D$8^((1-_xlfn.WEIBULL.DIST(BQ$2,$M90,$L90,FALSE))/_xlfn.WEIBULL.DIST(BQ$2,$M90,$L90,FALSE))*$U90*((1+Inputs!$D$7)^BQ$2))),IF($N90=Lists!$K$3,IF($L90&lt;1,((($T90*(1-$F90)+$S90*(1-$G90))/$L90)*((1+Inputs!$D$7)^BQ$2)),((INT(BQ$2/$L90)-INT((BQ$2-1)/$L90))*($T90*(1-$F90)+$S90*(1-$G90))*((1+Inputs!$D$7)^BQ$2))),((Inputs!$D$8^((1-_xlfn.WEIBULL.DIST(BQ$2,$M90,$L90,FALSE))/_xlfn.WEIBULL.DIST(BQ$2,$M90,$L90,FALSE))*($T90*(1-$F90)+$S90*(1-$G90))*((1+Inputs!$D$7)^BQ$2))))))))</f>
        <v>1.8140144230769227E-2</v>
      </c>
      <c r="BR90" s="88">
        <f>MAX(AB90,($E90*IF(BR$2&gt;Inputs!$D$5,0,IF(BR$2&gt;VLOOKUP($H90,Lists!$P$3:$Q$7,2),IF($N90=Lists!$K$3,IF($L90&lt;1,(($U90/$L90)*((1+Inputs!$D$7)^BR$2)),((INT(BR$2/$L90)-INT((BR$2-1)/$L90))*$U90*((1+Inputs!$D$7)^BR$2))),(Inputs!$D$8^((1-_xlfn.WEIBULL.DIST(BR$2,$M90,$L90,FALSE))/_xlfn.WEIBULL.DIST(BR$2,$M90,$L90,FALSE))*$U90*((1+Inputs!$D$7)^BR$2))),IF($N90=Lists!$K$3,IF($L90&lt;1,((($T90*(1-$F90)+$S90*(1-$G90))/$L90)*((1+Inputs!$D$7)^BR$2)),((INT(BR$2/$L90)-INT((BR$2-1)/$L90))*($T90*(1-$F90)+$S90*(1-$G90))*((1+Inputs!$D$7)^BR$2))),((Inputs!$D$8^((1-_xlfn.WEIBULL.DIST(BR$2,$M90,$L90,FALSE))/_xlfn.WEIBULL.DIST(BR$2,$M90,$L90,FALSE))*($T90*(1-$F90)+$S90*(1-$G90))*((1+Inputs!$D$7)^BR$2))))))))</f>
        <v>1.850294711538461E-2</v>
      </c>
      <c r="BS90" s="88">
        <f>MAX(AC90,($E90*IF(BS$2&gt;Inputs!$D$5,0,IF(BS$2&gt;VLOOKUP($H90,Lists!$P$3:$Q$7,2),IF($N90=Lists!$K$3,IF($L90&lt;1,(($U90/$L90)*((1+Inputs!$D$7)^BS$2)),((INT(BS$2/$L90)-INT((BS$2-1)/$L90))*$U90*((1+Inputs!$D$7)^BS$2))),(Inputs!$D$8^((1-_xlfn.WEIBULL.DIST(BS$2,$M90,$L90,FALSE))/_xlfn.WEIBULL.DIST(BS$2,$M90,$L90,FALSE))*$U90*((1+Inputs!$D$7)^BS$2))),IF($N90=Lists!$K$3,IF($L90&lt;1,((($T90*(1-$F90)+$S90*(1-$G90))/$L90)*((1+Inputs!$D$7)^BS$2)),((INT(BS$2/$L90)-INT((BS$2-1)/$L90))*($T90*(1-$F90)+$S90*(1-$G90))*((1+Inputs!$D$7)^BS$2))),((Inputs!$D$8^((1-_xlfn.WEIBULL.DIST(BS$2,$M90,$L90,FALSE))/_xlfn.WEIBULL.DIST(BS$2,$M90,$L90,FALSE))*($T90*(1-$F90)+$S90*(1-$G90))*((1+Inputs!$D$7)^BS$2))))))))</f>
        <v>1.8873006057692304E-2</v>
      </c>
      <c r="BT90" s="88">
        <f>MAX(AD90,($E90*IF(BT$2&gt;Inputs!$D$5,0,IF(BT$2&gt;VLOOKUP($H90,Lists!$P$3:$Q$7,2),IF($N90=Lists!$K$3,IF($L90&lt;1,(($U90/$L90)*((1+Inputs!$D$7)^BT$2)),((INT(BT$2/$L90)-INT((BT$2-1)/$L90))*$U90*((1+Inputs!$D$7)^BT$2))),(Inputs!$D$8^((1-_xlfn.WEIBULL.DIST(BT$2,$M90,$L90,FALSE))/_xlfn.WEIBULL.DIST(BT$2,$M90,$L90,FALSE))*$U90*((1+Inputs!$D$7)^BT$2))),IF($N90=Lists!$K$3,IF($L90&lt;1,((($T90*(1-$F90)+$S90*(1-$G90))/$L90)*((1+Inputs!$D$7)^BT$2)),((INT(BT$2/$L90)-INT((BT$2-1)/$L90))*($T90*(1-$F90)+$S90*(1-$G90))*((1+Inputs!$D$7)^BT$2))),((Inputs!$D$8^((1-_xlfn.WEIBULL.DIST(BT$2,$M90,$L90,FALSE))/_xlfn.WEIBULL.DIST(BT$2,$M90,$L90,FALSE))*($T90*(1-$F90)+$S90*(1-$G90))*((1+Inputs!$D$7)^BT$2))))))))</f>
        <v>1.925046617884615E-2</v>
      </c>
      <c r="BU90" s="88">
        <f>MAX(AE90,($E90*IF(BU$2&gt;Inputs!$D$5,0,IF(BU$2&gt;VLOOKUP($H90,Lists!$P$3:$Q$7,2),IF($N90=Lists!$K$3,IF($L90&lt;1,(($U90/$L90)*((1+Inputs!$D$7)^BU$2)),((INT(BU$2/$L90)-INT((BU$2-1)/$L90))*$U90*((1+Inputs!$D$7)^BU$2))),(Inputs!$D$8^((1-_xlfn.WEIBULL.DIST(BU$2,$M90,$L90,FALSE))/_xlfn.WEIBULL.DIST(BU$2,$M90,$L90,FALSE))*$U90*((1+Inputs!$D$7)^BU$2))),IF($N90=Lists!$K$3,IF($L90&lt;1,((($T90*(1-$F90)+$S90*(1-$G90))/$L90)*((1+Inputs!$D$7)^BU$2)),((INT(BU$2/$L90)-INT((BU$2-1)/$L90))*($T90*(1-$F90)+$S90*(1-$G90))*((1+Inputs!$D$7)^BU$2))),((Inputs!$D$8^((1-_xlfn.WEIBULL.DIST(BU$2,$M90,$L90,FALSE))/_xlfn.WEIBULL.DIST(BU$2,$M90,$L90,FALSE))*($T90*(1-$F90)+$S90*(1-$G90))*((1+Inputs!$D$7)^BU$2))))))))</f>
        <v>1.9635475502423075E-2</v>
      </c>
      <c r="BV90" s="88">
        <f>MAX(AF90,($E90*IF(BV$2&gt;Inputs!$D$5,0,IF(BV$2&gt;VLOOKUP($H90,Lists!$P$3:$Q$7,2),IF($N90=Lists!$K$3,IF($L90&lt;1,(($U90/$L90)*((1+Inputs!$D$7)^BV$2)),((INT(BV$2/$L90)-INT((BV$2-1)/$L90))*$U90*((1+Inputs!$D$7)^BV$2))),(Inputs!$D$8^((1-_xlfn.WEIBULL.DIST(BV$2,$M90,$L90,FALSE))/_xlfn.WEIBULL.DIST(BV$2,$M90,$L90,FALSE))*$U90*((1+Inputs!$D$7)^BV$2))),IF($N90=Lists!$K$3,IF($L90&lt;1,((($T90*(1-$F90)+$S90*(1-$G90))/$L90)*((1+Inputs!$D$7)^BV$2)),((INT(BV$2/$L90)-INT((BV$2-1)/$L90))*($T90*(1-$F90)+$S90*(1-$G90))*((1+Inputs!$D$7)^BV$2))),((Inputs!$D$8^((1-_xlfn.WEIBULL.DIST(BV$2,$M90,$L90,FALSE))/_xlfn.WEIBULL.DIST(BV$2,$M90,$L90,FALSE))*($T90*(1-$F90)+$S90*(1-$G90))*((1+Inputs!$D$7)^BV$2))))))))</f>
        <v>2.0028185012471535E-2</v>
      </c>
      <c r="BW90" s="88">
        <f>MAX(AG90,($E90*IF(BW$2&gt;Inputs!$D$5,0,IF(BW$2&gt;VLOOKUP($H90,Lists!$P$3:$Q$7,2),IF($N90=Lists!$K$3,IF($L90&lt;1,(($U90/$L90)*((1+Inputs!$D$7)^BW$2)),((INT(BW$2/$L90)-INT((BW$2-1)/$L90))*$U90*((1+Inputs!$D$7)^BW$2))),(Inputs!$D$8^((1-_xlfn.WEIBULL.DIST(BW$2,$M90,$L90,FALSE))/_xlfn.WEIBULL.DIST(BW$2,$M90,$L90,FALSE))*$U90*((1+Inputs!$D$7)^BW$2))),IF($N90=Lists!$K$3,IF($L90&lt;1,((($T90*(1-$F90)+$S90*(1-$G90))/$L90)*((1+Inputs!$D$7)^BW$2)),((INT(BW$2/$L90)-INT((BW$2-1)/$L90))*($T90*(1-$F90)+$S90*(1-$G90))*((1+Inputs!$D$7)^BW$2))),((Inputs!$D$8^((1-_xlfn.WEIBULL.DIST(BW$2,$M90,$L90,FALSE))/_xlfn.WEIBULL.DIST(BW$2,$M90,$L90,FALSE))*($T90*(1-$F90)+$S90*(1-$G90))*((1+Inputs!$D$7)^BW$2))))))))</f>
        <v>2.0428748712720962E-2</v>
      </c>
      <c r="BX90" s="88">
        <f>MAX(AH90,($E90*IF(BX$2&gt;Inputs!$D$5,0,IF(BX$2&gt;VLOOKUP($H90,Lists!$P$3:$Q$7,2),IF($N90=Lists!$K$3,IF($L90&lt;1,(($U90/$L90)*((1+Inputs!$D$7)^BX$2)),((INT(BX$2/$L90)-INT((BX$2-1)/$L90))*$U90*((1+Inputs!$D$7)^BX$2))),(Inputs!$D$8^((1-_xlfn.WEIBULL.DIST(BX$2,$M90,$L90,FALSE))/_xlfn.WEIBULL.DIST(BX$2,$M90,$L90,FALSE))*$U90*((1+Inputs!$D$7)^BX$2))),IF($N90=Lists!$K$3,IF($L90&lt;1,((($T90*(1-$F90)+$S90*(1-$G90))/$L90)*((1+Inputs!$D$7)^BX$2)),((INT(BX$2/$L90)-INT((BX$2-1)/$L90))*($T90*(1-$F90)+$S90*(1-$G90))*((1+Inputs!$D$7)^BX$2))),((Inputs!$D$8^((1-_xlfn.WEIBULL.DIST(BX$2,$M90,$L90,FALSE))/_xlfn.WEIBULL.DIST(BX$2,$M90,$L90,FALSE))*($T90*(1-$F90)+$S90*(1-$G90))*((1+Inputs!$D$7)^BX$2))))))))</f>
        <v>2.0837323686975384E-2</v>
      </c>
      <c r="BY90" s="88">
        <f>MAX(AI90,($E90*IF(BY$2&gt;Inputs!$D$5,0,IF(BY$2&gt;VLOOKUP($H90,Lists!$P$3:$Q$7,2),IF($N90=Lists!$K$3,IF($L90&lt;1,(($U90/$L90)*((1+Inputs!$D$7)^BY$2)),((INT(BY$2/$L90)-INT((BY$2-1)/$L90))*$U90*((1+Inputs!$D$7)^BY$2))),(Inputs!$D$8^((1-_xlfn.WEIBULL.DIST(BY$2,$M90,$L90,FALSE))/_xlfn.WEIBULL.DIST(BY$2,$M90,$L90,FALSE))*$U90*((1+Inputs!$D$7)^BY$2))),IF($N90=Lists!$K$3,IF($L90&lt;1,((($T90*(1-$F90)+$S90*(1-$G90))/$L90)*((1+Inputs!$D$7)^BY$2)),((INT(BY$2/$L90)-INT((BY$2-1)/$L90))*($T90*(1-$F90)+$S90*(1-$G90))*((1+Inputs!$D$7)^BY$2))),((Inputs!$D$8^((1-_xlfn.WEIBULL.DIST(BY$2,$M90,$L90,FALSE))/_xlfn.WEIBULL.DIST(BY$2,$M90,$L90,FALSE))*($T90*(1-$F90)+$S90*(1-$G90))*((1+Inputs!$D$7)^BY$2))))))))</f>
        <v>2.1254070160714889E-2</v>
      </c>
      <c r="BZ90" s="88">
        <f>MAX(AJ90,($E90*IF(BZ$2&gt;Inputs!$D$5,0,IF(BZ$2&gt;VLOOKUP($H90,Lists!$P$3:$Q$7,2),IF($N90=Lists!$K$3,IF($L90&lt;1,(($U90/$L90)*((1+Inputs!$D$7)^BZ$2)),((INT(BZ$2/$L90)-INT((BZ$2-1)/$L90))*$U90*((1+Inputs!$D$7)^BZ$2))),(Inputs!$D$8^((1-_xlfn.WEIBULL.DIST(BZ$2,$M90,$L90,FALSE))/_xlfn.WEIBULL.DIST(BZ$2,$M90,$L90,FALSE))*$U90*((1+Inputs!$D$7)^BZ$2))),IF($N90=Lists!$K$3,IF($L90&lt;1,((($T90*(1-$F90)+$S90*(1-$G90))/$L90)*((1+Inputs!$D$7)^BZ$2)),((INT(BZ$2/$L90)-INT((BZ$2-1)/$L90))*($T90*(1-$F90)+$S90*(1-$G90))*((1+Inputs!$D$7)^BZ$2))),((Inputs!$D$8^((1-_xlfn.WEIBULL.DIST(BZ$2,$M90,$L90,FALSE))/_xlfn.WEIBULL.DIST(BZ$2,$M90,$L90,FALSE))*($T90*(1-$F90)+$S90*(1-$G90))*((1+Inputs!$D$7)^BZ$2))))))))</f>
        <v>2.1679151563929189E-2</v>
      </c>
      <c r="CA90" s="88">
        <f>MAX(AK90,($E90*IF(CA$2&gt;Inputs!$D$5,0,IF(CA$2&gt;VLOOKUP($H90,Lists!$P$3:$Q$7,2),IF($N90=Lists!$K$3,IF($L90&lt;1,(($U90/$L90)*((1+Inputs!$D$7)^CA$2)),((INT(CA$2/$L90)-INT((CA$2-1)/$L90))*$U90*((1+Inputs!$D$7)^CA$2))),(Inputs!$D$8^((1-_xlfn.WEIBULL.DIST(CA$2,$M90,$L90,FALSE))/_xlfn.WEIBULL.DIST(CA$2,$M90,$L90,FALSE))*$U90*((1+Inputs!$D$7)^CA$2))),IF($N90=Lists!$K$3,IF($L90&lt;1,((($T90*(1-$F90)+$S90*(1-$G90))/$L90)*((1+Inputs!$D$7)^CA$2)),((INT(CA$2/$L90)-INT((CA$2-1)/$L90))*($T90*(1-$F90)+$S90*(1-$G90))*((1+Inputs!$D$7)^CA$2))),((Inputs!$D$8^((1-_xlfn.WEIBULL.DIST(CA$2,$M90,$L90,FALSE))/_xlfn.WEIBULL.DIST(CA$2,$M90,$L90,FALSE))*($T90*(1-$F90)+$S90*(1-$G90))*((1+Inputs!$D$7)^CA$2))))))))</f>
        <v>2.211273459520777E-2</v>
      </c>
      <c r="CB90" s="88">
        <f>MAX(AL90,($E90*IF(CB$2&gt;Inputs!$D$5,0,IF(CB$2&gt;VLOOKUP($H90,Lists!$P$3:$Q$7,2),IF($N90=Lists!$K$3,IF($L90&lt;1,(($U90/$L90)*((1+Inputs!$D$7)^CB$2)),((INT(CB$2/$L90)-INT((CB$2-1)/$L90))*$U90*((1+Inputs!$D$7)^CB$2))),(Inputs!$D$8^((1-_xlfn.WEIBULL.DIST(CB$2,$M90,$L90,FALSE))/_xlfn.WEIBULL.DIST(CB$2,$M90,$L90,FALSE))*$U90*((1+Inputs!$D$7)^CB$2))),IF($N90=Lists!$K$3,IF($L90&lt;1,((($T90*(1-$F90)+$S90*(1-$G90))/$L90)*((1+Inputs!$D$7)^CB$2)),((INT(CB$2/$L90)-INT((CB$2-1)/$L90))*($T90*(1-$F90)+$S90*(1-$G90))*((1+Inputs!$D$7)^CB$2))),((Inputs!$D$8^((1-_xlfn.WEIBULL.DIST(CB$2,$M90,$L90,FALSE))/_xlfn.WEIBULL.DIST(CB$2,$M90,$L90,FALSE))*($T90*(1-$F90)+$S90*(1-$G90))*((1+Inputs!$D$7)^CB$2))))))))</f>
        <v>2.2554989287111929E-2</v>
      </c>
      <c r="CC90" s="88">
        <f>MAX(AM90,($E90*IF(CC$2&gt;Inputs!$D$5,0,IF(CC$2&gt;VLOOKUP($H90,Lists!$P$3:$Q$7,2),IF($N90=Lists!$K$3,IF($L90&lt;1,(($U90/$L90)*((1+Inputs!$D$7)^CC$2)),((INT(CC$2/$L90)-INT((CC$2-1)/$L90))*$U90*((1+Inputs!$D$7)^CC$2))),(Inputs!$D$8^((1-_xlfn.WEIBULL.DIST(CC$2,$M90,$L90,FALSE))/_xlfn.WEIBULL.DIST(CC$2,$M90,$L90,FALSE))*$U90*((1+Inputs!$D$7)^CC$2))),IF($N90=Lists!$K$3,IF($L90&lt;1,((($T90*(1-$F90)+$S90*(1-$G90))/$L90)*((1+Inputs!$D$7)^CC$2)),((INT(CC$2/$L90)-INT((CC$2-1)/$L90))*($T90*(1-$F90)+$S90*(1-$G90))*((1+Inputs!$D$7)^CC$2))),((Inputs!$D$8^((1-_xlfn.WEIBULL.DIST(CC$2,$M90,$L90,FALSE))/_xlfn.WEIBULL.DIST(CC$2,$M90,$L90,FALSE))*($T90*(1-$F90)+$S90*(1-$G90))*((1+Inputs!$D$7)^CC$2))))))))</f>
        <v>2.3006089072854164E-2</v>
      </c>
      <c r="CD90" s="88">
        <f>MAX(AN90,($E90*IF(CD$2&gt;Inputs!$D$5,0,IF(CD$2&gt;VLOOKUP($H90,Lists!$P$3:$Q$7,2),IF($N90=Lists!$K$3,IF($L90&lt;1,(($U90/$L90)*((1+Inputs!$D$7)^CD$2)),((INT(CD$2/$L90)-INT((CD$2-1)/$L90))*$U90*((1+Inputs!$D$7)^CD$2))),(Inputs!$D$8^((1-_xlfn.WEIBULL.DIST(CD$2,$M90,$L90,FALSE))/_xlfn.WEIBULL.DIST(CD$2,$M90,$L90,FALSE))*$U90*((1+Inputs!$D$7)^CD$2))),IF($N90=Lists!$K$3,IF($L90&lt;1,((($T90*(1-$F90)+$S90*(1-$G90))/$L90)*((1+Inputs!$D$7)^CD$2)),((INT(CD$2/$L90)-INT((CD$2-1)/$L90))*($T90*(1-$F90)+$S90*(1-$G90))*((1+Inputs!$D$7)^CD$2))),((Inputs!$D$8^((1-_xlfn.WEIBULL.DIST(CD$2,$M90,$L90,FALSE))/_xlfn.WEIBULL.DIST(CD$2,$M90,$L90,FALSE))*($T90*(1-$F90)+$S90*(1-$G90))*((1+Inputs!$D$7)^CD$2))))))))</f>
        <v>2.3466210854311251E-2</v>
      </c>
      <c r="CE90" s="88">
        <f>MAX(AO90,($E90*IF(CE$2&gt;Inputs!$D$5,0,IF(CE$2&gt;VLOOKUP($H90,Lists!$P$3:$Q$7,2),IF($N90=Lists!$K$3,IF($L90&lt;1,(($U90/$L90)*((1+Inputs!$D$7)^CE$2)),((INT(CE$2/$L90)-INT((CE$2-1)/$L90))*$U90*((1+Inputs!$D$7)^CE$2))),(Inputs!$D$8^((1-_xlfn.WEIBULL.DIST(CE$2,$M90,$L90,FALSE))/_xlfn.WEIBULL.DIST(CE$2,$M90,$L90,FALSE))*$U90*((1+Inputs!$D$7)^CE$2))),IF($N90=Lists!$K$3,IF($L90&lt;1,((($T90*(1-$F90)+$S90*(1-$G90))/$L90)*((1+Inputs!$D$7)^CE$2)),((INT(CE$2/$L90)-INT((CE$2-1)/$L90))*($T90*(1-$F90)+$S90*(1-$G90))*((1+Inputs!$D$7)^CE$2))),((Inputs!$D$8^((1-_xlfn.WEIBULL.DIST(CE$2,$M90,$L90,FALSE))/_xlfn.WEIBULL.DIST(CE$2,$M90,$L90,FALSE))*($T90*(1-$F90)+$S90*(1-$G90))*((1+Inputs!$D$7)^CE$2))))))))</f>
        <v>2.3935535071397469E-2</v>
      </c>
      <c r="CF90" s="88">
        <f>MAX(AP90,($E90*IF(CF$2&gt;Inputs!$D$5,0,IF(CF$2&gt;VLOOKUP($H90,Lists!$P$3:$Q$7,2),IF($N90=Lists!$K$3,IF($L90&lt;1,(($U90/$L90)*((1+Inputs!$D$7)^CF$2)),((INT(CF$2/$L90)-INT((CF$2-1)/$L90))*$U90*((1+Inputs!$D$7)^CF$2))),(Inputs!$D$8^((1-_xlfn.WEIBULL.DIST(CF$2,$M90,$L90,FALSE))/_xlfn.WEIBULL.DIST(CF$2,$M90,$L90,FALSE))*$U90*((1+Inputs!$D$7)^CF$2))),IF($N90=Lists!$K$3,IF($L90&lt;1,((($T90*(1-$F90)+$S90*(1-$G90))/$L90)*((1+Inputs!$D$7)^CF$2)),((INT(CF$2/$L90)-INT((CF$2-1)/$L90))*($T90*(1-$F90)+$S90*(1-$G90))*((1+Inputs!$D$7)^CF$2))),((Inputs!$D$8^((1-_xlfn.WEIBULL.DIST(CF$2,$M90,$L90,FALSE))/_xlfn.WEIBULL.DIST(CF$2,$M90,$L90,FALSE))*($T90*(1-$F90)+$S90*(1-$G90))*((1+Inputs!$D$7)^CF$2))))))))</f>
        <v>2.4414245772825423E-2</v>
      </c>
      <c r="CG90" s="88">
        <f>MAX(AQ90,($E90*IF(CG$2&gt;Inputs!$D$5,0,IF(CG$2&gt;VLOOKUP($H90,Lists!$P$3:$Q$7,2),IF($N90=Lists!$K$3,IF($L90&lt;1,(($U90/$L90)*((1+Inputs!$D$7)^CG$2)),((INT(CG$2/$L90)-INT((CG$2-1)/$L90))*$U90*((1+Inputs!$D$7)^CG$2))),(Inputs!$D$8^((1-_xlfn.WEIBULL.DIST(CG$2,$M90,$L90,FALSE))/_xlfn.WEIBULL.DIST(CG$2,$M90,$L90,FALSE))*$U90*((1+Inputs!$D$7)^CG$2))),IF($N90=Lists!$K$3,IF($L90&lt;1,((($T90*(1-$F90)+$S90*(1-$G90))/$L90)*((1+Inputs!$D$7)^CG$2)),((INT(CG$2/$L90)-INT((CG$2-1)/$L90))*($T90*(1-$F90)+$S90*(1-$G90))*((1+Inputs!$D$7)^CG$2))),((Inputs!$D$8^((1-_xlfn.WEIBULL.DIST(CG$2,$M90,$L90,FALSE))/_xlfn.WEIBULL.DIST(CG$2,$M90,$L90,FALSE))*($T90*(1-$F90)+$S90*(1-$G90))*((1+Inputs!$D$7)^CG$2))))))))</f>
        <v>2.4902530688281934E-2</v>
      </c>
      <c r="CH90" s="88">
        <f>MAX(AR90,($E90*IF(CH$2&gt;Inputs!$D$5,0,IF(CH$2&gt;VLOOKUP($H90,Lists!$P$3:$Q$7,2),IF($N90=Lists!$K$3,IF($L90&lt;1,(($U90/$L90)*((1+Inputs!$D$7)^CH$2)),((INT(CH$2/$L90)-INT((CH$2-1)/$L90))*$U90*((1+Inputs!$D$7)^CH$2))),(Inputs!$D$8^((1-_xlfn.WEIBULL.DIST(CH$2,$M90,$L90,FALSE))/_xlfn.WEIBULL.DIST(CH$2,$M90,$L90,FALSE))*$U90*((1+Inputs!$D$7)^CH$2))),IF($N90=Lists!$K$3,IF($L90&lt;1,((($T90*(1-$F90)+$S90*(1-$G90))/$L90)*((1+Inputs!$D$7)^CH$2)),((INT(CH$2/$L90)-INT((CH$2-1)/$L90))*($T90*(1-$F90)+$S90*(1-$G90))*((1+Inputs!$D$7)^CH$2))),((Inputs!$D$8^((1-_xlfn.WEIBULL.DIST(CH$2,$M90,$L90,FALSE))/_xlfn.WEIBULL.DIST(CH$2,$M90,$L90,FALSE))*($T90*(1-$F90)+$S90*(1-$G90))*((1+Inputs!$D$7)^CH$2))))))))</f>
        <v>2.5400581302047569E-2</v>
      </c>
      <c r="CI90" s="88">
        <f>MAX(AS90,($E90*IF(CI$2&gt;Inputs!$D$5,0,IF(CI$2&gt;VLOOKUP($H90,Lists!$P$3:$Q$7,2),IF($N90=Lists!$K$3,IF($L90&lt;1,(($U90/$L90)*((1+Inputs!$D$7)^CI$2)),((INT(CI$2/$L90)-INT((CI$2-1)/$L90))*$U90*((1+Inputs!$D$7)^CI$2))),(Inputs!$D$8^((1-_xlfn.WEIBULL.DIST(CI$2,$M90,$L90,FALSE))/_xlfn.WEIBULL.DIST(CI$2,$M90,$L90,FALSE))*$U90*((1+Inputs!$D$7)^CI$2))),IF($N90=Lists!$K$3,IF($L90&lt;1,((($T90*(1-$F90)+$S90*(1-$G90))/$L90)*((1+Inputs!$D$7)^CI$2)),((INT(CI$2/$L90)-INT((CI$2-1)/$L90))*($T90*(1-$F90)+$S90*(1-$G90))*((1+Inputs!$D$7)^CI$2))),((Inputs!$D$8^((1-_xlfn.WEIBULL.DIST(CI$2,$M90,$L90,FALSE))/_xlfn.WEIBULL.DIST(CI$2,$M90,$L90,FALSE))*($T90*(1-$F90)+$S90*(1-$G90))*((1+Inputs!$D$7)^CI$2))))))))</f>
        <v>2.590859292808852E-2</v>
      </c>
      <c r="CJ90" s="88">
        <f>MAX(AT90,($E90*IF(CJ$2&gt;Inputs!$D$5,0,IF(CJ$2&gt;VLOOKUP($H90,Lists!$P$3:$Q$7,2),IF($N90=Lists!$K$3,IF($L90&lt;1,(($U90/$L90)*((1+Inputs!$D$7)^CJ$2)),((INT(CJ$2/$L90)-INT((CJ$2-1)/$L90))*$U90*((1+Inputs!$D$7)^CJ$2))),(Inputs!$D$8^((1-_xlfn.WEIBULL.DIST(CJ$2,$M90,$L90,FALSE))/_xlfn.WEIBULL.DIST(CJ$2,$M90,$L90,FALSE))*$U90*((1+Inputs!$D$7)^CJ$2))),IF($N90=Lists!$K$3,IF($L90&lt;1,((($T90*(1-$F90)+$S90*(1-$G90))/$L90)*((1+Inputs!$D$7)^CJ$2)),((INT(CJ$2/$L90)-INT((CJ$2-1)/$L90))*($T90*(1-$F90)+$S90*(1-$G90))*((1+Inputs!$D$7)^CJ$2))),((Inputs!$D$8^((1-_xlfn.WEIBULL.DIST(CJ$2,$M90,$L90,FALSE))/_xlfn.WEIBULL.DIST(CJ$2,$M90,$L90,FALSE))*($T90*(1-$F90)+$S90*(1-$G90))*((1+Inputs!$D$7)^CJ$2))))))))</f>
        <v>2.6426764786650292E-2</v>
      </c>
      <c r="CK90" s="88">
        <f>MAX(AU90,($E90*IF(CK$2&gt;Inputs!$D$5,0,IF(CK$2&gt;VLOOKUP($H90,Lists!$P$3:$Q$7,2),IF($N90=Lists!$K$3,IF($L90&lt;1,(($U90/$L90)*((1+Inputs!$D$7)^CK$2)),((INT(CK$2/$L90)-INT((CK$2-1)/$L90))*$U90*((1+Inputs!$D$7)^CK$2))),(Inputs!$D$8^((1-_xlfn.WEIBULL.DIST(CK$2,$M90,$L90,FALSE))/_xlfn.WEIBULL.DIST(CK$2,$M90,$L90,FALSE))*$U90*((1+Inputs!$D$7)^CK$2))),IF($N90=Lists!$K$3,IF($L90&lt;1,((($T90*(1-$F90)+$S90*(1-$G90))/$L90)*((1+Inputs!$D$7)^CK$2)),((INT(CK$2/$L90)-INT((CK$2-1)/$L90))*($T90*(1-$F90)+$S90*(1-$G90))*((1+Inputs!$D$7)^CK$2))),((Inputs!$D$8^((1-_xlfn.WEIBULL.DIST(CK$2,$M90,$L90,FALSE))/_xlfn.WEIBULL.DIST(CK$2,$M90,$L90,FALSE))*($T90*(1-$F90)+$S90*(1-$G90))*((1+Inputs!$D$7)^CK$2))))))))</f>
        <v>2.6955300082383296E-2</v>
      </c>
      <c r="CL90" s="88">
        <f>MAX(AV90,($E90*IF(CL$2&gt;Inputs!$D$5,0,IF(CL$2&gt;VLOOKUP($H90,Lists!$P$3:$Q$7,2),IF($N90=Lists!$K$3,IF($L90&lt;1,(($U90/$L90)*((1+Inputs!$D$7)^CL$2)),((INT(CL$2/$L90)-INT((CL$2-1)/$L90))*$U90*((1+Inputs!$D$7)^CL$2))),(Inputs!$D$8^((1-_xlfn.WEIBULL.DIST(CL$2,$M90,$L90,FALSE))/_xlfn.WEIBULL.DIST(CL$2,$M90,$L90,FALSE))*$U90*((1+Inputs!$D$7)^CL$2))),IF($N90=Lists!$K$3,IF($L90&lt;1,((($T90*(1-$F90)+$S90*(1-$G90))/$L90)*((1+Inputs!$D$7)^CL$2)),((INT(CL$2/$L90)-INT((CL$2-1)/$L90))*($T90*(1-$F90)+$S90*(1-$G90))*((1+Inputs!$D$7)^CL$2))),((Inputs!$D$8^((1-_xlfn.WEIBULL.DIST(CL$2,$M90,$L90,FALSE))/_xlfn.WEIBULL.DIST(CL$2,$M90,$L90,FALSE))*($T90*(1-$F90)+$S90*(1-$G90))*((1+Inputs!$D$7)^CL$2))))))))</f>
        <v>2.7494406084030965E-2</v>
      </c>
      <c r="CM90" s="88">
        <f>MAX(AW90,($E90*IF(CM$2&gt;Inputs!$D$5,0,IF(CM$2&gt;VLOOKUP($H90,Lists!$P$3:$Q$7,2),IF($N90=Lists!$K$3,IF($L90&lt;1,(($U90/$L90)*((1+Inputs!$D$7)^CM$2)),((INT(CM$2/$L90)-INT((CM$2-1)/$L90))*$U90*((1+Inputs!$D$7)^CM$2))),(Inputs!$D$8^((1-_xlfn.WEIBULL.DIST(CM$2,$M90,$L90,FALSE))/_xlfn.WEIBULL.DIST(CM$2,$M90,$L90,FALSE))*$U90*((1+Inputs!$D$7)^CM$2))),IF($N90=Lists!$K$3,IF($L90&lt;1,((($T90*(1-$F90)+$S90*(1-$G90))/$L90)*((1+Inputs!$D$7)^CM$2)),((INT(CM$2/$L90)-INT((CM$2-1)/$L90))*($T90*(1-$F90)+$S90*(1-$G90))*((1+Inputs!$D$7)^CM$2))),((Inputs!$D$8^((1-_xlfn.WEIBULL.DIST(CM$2,$M90,$L90,FALSE))/_xlfn.WEIBULL.DIST(CM$2,$M90,$L90,FALSE))*($T90*(1-$F90)+$S90*(1-$G90))*((1+Inputs!$D$7)^CM$2))))))))</f>
        <v>2.8044294205711577E-2</v>
      </c>
      <c r="CN90" s="88">
        <f>MAX(AX90,($E90*IF(CN$2&gt;Inputs!$D$5,0,IF(CN$2&gt;VLOOKUP($H90,Lists!$P$3:$Q$7,2),IF($N90=Lists!$K$3,IF($L90&lt;1,(($U90/$L90)*((1+Inputs!$D$7)^CN$2)),((INT(CN$2/$L90)-INT((CN$2-1)/$L90))*$U90*((1+Inputs!$D$7)^CN$2))),(Inputs!$D$8^((1-_xlfn.WEIBULL.DIST(CN$2,$M90,$L90,FALSE))/_xlfn.WEIBULL.DIST(CN$2,$M90,$L90,FALSE))*$U90*((1+Inputs!$D$7)^CN$2))),IF($N90=Lists!$K$3,IF($L90&lt;1,((($T90*(1-$F90)+$S90*(1-$G90))/$L90)*((1+Inputs!$D$7)^CN$2)),((INT(CN$2/$L90)-INT((CN$2-1)/$L90))*($T90*(1-$F90)+$S90*(1-$G90))*((1+Inputs!$D$7)^CN$2))),((Inputs!$D$8^((1-_xlfn.WEIBULL.DIST(CN$2,$M90,$L90,FALSE))/_xlfn.WEIBULL.DIST(CN$2,$M90,$L90,FALSE))*($T90*(1-$F90)+$S90*(1-$G90))*((1+Inputs!$D$7)^CN$2))))))))</f>
        <v>2.8605180089825811E-2</v>
      </c>
      <c r="CO90" s="88">
        <f>MAX(AY90,($E90*IF(CO$2&gt;Inputs!$D$5,0,IF(CO$2&gt;VLOOKUP($H90,Lists!$P$3:$Q$7,2),IF($N90=Lists!$K$3,IF($L90&lt;1,(($U90/$L90)*((1+Inputs!$D$7)^CO$2)),((INT(CO$2/$L90)-INT((CO$2-1)/$L90))*$U90*((1+Inputs!$D$7)^CO$2))),(Inputs!$D$8^((1-_xlfn.WEIBULL.DIST(CO$2,$M90,$L90,FALSE))/_xlfn.WEIBULL.DIST(CO$2,$M90,$L90,FALSE))*$U90*((1+Inputs!$D$7)^CO$2))),IF($N90=Lists!$K$3,IF($L90&lt;1,((($T90*(1-$F90)+$S90*(1-$G90))/$L90)*((1+Inputs!$D$7)^CO$2)),((INT(CO$2/$L90)-INT((CO$2-1)/$L90))*($T90*(1-$F90)+$S90*(1-$G90))*((1+Inputs!$D$7)^CO$2))),((Inputs!$D$8^((1-_xlfn.WEIBULL.DIST(CO$2,$M90,$L90,FALSE))/_xlfn.WEIBULL.DIST(CO$2,$M90,$L90,FALSE))*($T90*(1-$F90)+$S90*(1-$G90))*((1+Inputs!$D$7)^CO$2))))))))</f>
        <v>2.9177283691622327E-2</v>
      </c>
      <c r="CP90" s="88">
        <f>MAX(AZ90,($E90*IF(CP$2&gt;Inputs!$D$5,0,IF(CP$2&gt;VLOOKUP($H90,Lists!$P$3:$Q$7,2),IF($N90=Lists!$K$3,IF($L90&lt;1,(($U90/$L90)*((1+Inputs!$D$7)^CP$2)),((INT(CP$2/$L90)-INT((CP$2-1)/$L90))*$U90*((1+Inputs!$D$7)^CP$2))),(Inputs!$D$8^((1-_xlfn.WEIBULL.DIST(CP$2,$M90,$L90,FALSE))/_xlfn.WEIBULL.DIST(CP$2,$M90,$L90,FALSE))*$U90*((1+Inputs!$D$7)^CP$2))),IF($N90=Lists!$K$3,IF($L90&lt;1,((($T90*(1-$F90)+$S90*(1-$G90))/$L90)*((1+Inputs!$D$7)^CP$2)),((INT(CP$2/$L90)-INT((CP$2-1)/$L90))*($T90*(1-$F90)+$S90*(1-$G90))*((1+Inputs!$D$7)^CP$2))),((Inputs!$D$8^((1-_xlfn.WEIBULL.DIST(CP$2,$M90,$L90,FALSE))/_xlfn.WEIBULL.DIST(CP$2,$M90,$L90,FALSE))*($T90*(1-$F90)+$S90*(1-$G90))*((1+Inputs!$D$7)^CP$2))))))))</f>
        <v>0</v>
      </c>
      <c r="CQ90" s="88">
        <f>MAX(BA90,($E90*IF(CQ$2&gt;Inputs!$D$5,0,IF(CQ$2&gt;VLOOKUP($H90,Lists!$P$3:$Q$7,2),IF($N90=Lists!$K$3,IF($L90&lt;1,(($U90/$L90)*((1+Inputs!$D$7)^CQ$2)),((INT(CQ$2/$L90)-INT((CQ$2-1)/$L90))*$U90*((1+Inputs!$D$7)^CQ$2))),(Inputs!$D$8^((1-_xlfn.WEIBULL.DIST(CQ$2,$M90,$L90,FALSE))/_xlfn.WEIBULL.DIST(CQ$2,$M90,$L90,FALSE))*$U90*((1+Inputs!$D$7)^CQ$2))),IF($N90=Lists!$K$3,IF($L90&lt;1,((($T90*(1-$F90)+$S90*(1-$G90))/$L90)*((1+Inputs!$D$7)^CQ$2)),((INT(CQ$2/$L90)-INT((CQ$2-1)/$L90))*($T90*(1-$F90)+$S90*(1-$G90))*((1+Inputs!$D$7)^CQ$2))),((Inputs!$D$8^((1-_xlfn.WEIBULL.DIST(CQ$2,$M90,$L90,FALSE))/_xlfn.WEIBULL.DIST(CQ$2,$M90,$L90,FALSE))*($T90*(1-$F90)+$S90*(1-$G90))*((1+Inputs!$D$7)^CQ$2))))))))</f>
        <v>0</v>
      </c>
      <c r="CR90" s="88">
        <f>MAX(BB90,($E90*IF(CR$2&gt;Inputs!$D$5,0,IF(CR$2&gt;VLOOKUP($H90,Lists!$P$3:$Q$7,2),IF($N90=Lists!$K$3,IF($L90&lt;1,(($U90/$L90)*((1+Inputs!$D$7)^CR$2)),((INT(CR$2/$L90)-INT((CR$2-1)/$L90))*$U90*((1+Inputs!$D$7)^CR$2))),(Inputs!$D$8^((1-_xlfn.WEIBULL.DIST(CR$2,$M90,$L90,FALSE))/_xlfn.WEIBULL.DIST(CR$2,$M90,$L90,FALSE))*$U90*((1+Inputs!$D$7)^CR$2))),IF($N90=Lists!$K$3,IF($L90&lt;1,((($T90*(1-$F90)+$S90*(1-$G90))/$L90)*((1+Inputs!$D$7)^CR$2)),((INT(CR$2/$L90)-INT((CR$2-1)/$L90))*($T90*(1-$F90)+$S90*(1-$G90))*((1+Inputs!$D$7)^CR$2))),((Inputs!$D$8^((1-_xlfn.WEIBULL.DIST(CR$2,$M90,$L90,FALSE))/_xlfn.WEIBULL.DIST(CR$2,$M90,$L90,FALSE))*($T90*(1-$F90)+$S90*(1-$G90))*((1+Inputs!$D$7)^CR$2))))))))</f>
        <v>0</v>
      </c>
      <c r="CS90" s="88">
        <f>MAX(BC90,($E90*IF(CS$2&gt;Inputs!$D$5,0,IF(CS$2&gt;VLOOKUP($H90,Lists!$P$3:$Q$7,2),IF($N90=Lists!$K$3,IF($L90&lt;1,(($U90/$L90)*((1+Inputs!$D$7)^CS$2)),((INT(CS$2/$L90)-INT((CS$2-1)/$L90))*$U90*((1+Inputs!$D$7)^CS$2))),(Inputs!$D$8^((1-_xlfn.WEIBULL.DIST(CS$2,$M90,$L90,FALSE))/_xlfn.WEIBULL.DIST(CS$2,$M90,$L90,FALSE))*$U90*((1+Inputs!$D$7)^CS$2))),IF($N90=Lists!$K$3,IF($L90&lt;1,((($T90*(1-$F90)+$S90*(1-$G90))/$L90)*((1+Inputs!$D$7)^CS$2)),((INT(CS$2/$L90)-INT((CS$2-1)/$L90))*($T90*(1-$F90)+$S90*(1-$G90))*((1+Inputs!$D$7)^CS$2))),((Inputs!$D$8^((1-_xlfn.WEIBULL.DIST(CS$2,$M90,$L90,FALSE))/_xlfn.WEIBULL.DIST(CS$2,$M90,$L90,FALSE))*($T90*(1-$F90)+$S90*(1-$G90))*((1+Inputs!$D$7)^CS$2))))))))</f>
        <v>0</v>
      </c>
      <c r="CT90" s="88">
        <f>MAX(BD90,($E90*IF(CT$2&gt;Inputs!$D$5,0,IF(CT$2&gt;VLOOKUP($H90,Lists!$P$3:$Q$7,2),IF($N90=Lists!$K$3,IF($L90&lt;1,(($U90/$L90)*((1+Inputs!$D$7)^CT$2)),((INT(CT$2/$L90)-INT((CT$2-1)/$L90))*$U90*((1+Inputs!$D$7)^CT$2))),(Inputs!$D$8^((1-_xlfn.WEIBULL.DIST(CT$2,$M90,$L90,FALSE))/_xlfn.WEIBULL.DIST(CT$2,$M90,$L90,FALSE))*$U90*((1+Inputs!$D$7)^CT$2))),IF($N90=Lists!$K$3,IF($L90&lt;1,((($T90*(1-$F90)+$S90*(1-$G90))/$L90)*((1+Inputs!$D$7)^CT$2)),((INT(CT$2/$L90)-INT((CT$2-1)/$L90))*($T90*(1-$F90)+$S90*(1-$G90))*((1+Inputs!$D$7)^CT$2))),((Inputs!$D$8^((1-_xlfn.WEIBULL.DIST(CT$2,$M90,$L90,FALSE))/_xlfn.WEIBULL.DIST(CT$2,$M90,$L90,FALSE))*($T90*(1-$F90)+$S90*(1-$G90))*((1+Inputs!$D$7)^CT$2))))))))</f>
        <v>0</v>
      </c>
      <c r="CU90" s="88">
        <f>MAX(BE90,($E90*IF(CU$2&gt;Inputs!$D$5,0,IF(CU$2&gt;VLOOKUP($H90,Lists!$P$3:$Q$7,2),IF($N90=Lists!$K$3,IF($L90&lt;1,(($U90/$L90)*((1+Inputs!$D$7)^CU$2)),((INT(CU$2/$L90)-INT((CU$2-1)/$L90))*$U90*((1+Inputs!$D$7)^CU$2))),(Inputs!$D$8^((1-_xlfn.WEIBULL.DIST(CU$2,$M90,$L90,FALSE))/_xlfn.WEIBULL.DIST(CU$2,$M90,$L90,FALSE))*$U90*((1+Inputs!$D$7)^CU$2))),IF($N90=Lists!$K$3,IF($L90&lt;1,((($T90*(1-$F90)+$S90*(1-$G90))/$L90)*((1+Inputs!$D$7)^CU$2)),((INT(CU$2/$L90)-INT((CU$2-1)/$L90))*($T90*(1-$F90)+$S90*(1-$G90))*((1+Inputs!$D$7)^CU$2))),((Inputs!$D$8^((1-_xlfn.WEIBULL.DIST(CU$2,$M90,$L90,FALSE))/_xlfn.WEIBULL.DIST(CU$2,$M90,$L90,FALSE))*($T90*(1-$F90)+$S90*(1-$G90))*((1+Inputs!$D$7)^CU$2))))))))</f>
        <v>0</v>
      </c>
      <c r="CV90" s="88">
        <f>MAX(BF90,($E90*IF(CV$2&gt;Inputs!$D$5,0,IF(CV$2&gt;VLOOKUP($H90,Lists!$P$3:$Q$7,2),IF($N90=Lists!$K$3,IF($L90&lt;1,(($U90/$L90)*((1+Inputs!$D$7)^CV$2)),((INT(CV$2/$L90)-INT((CV$2-1)/$L90))*$U90*((1+Inputs!$D$7)^CV$2))),(Inputs!$D$8^((1-_xlfn.WEIBULL.DIST(CV$2,$M90,$L90,FALSE))/_xlfn.WEIBULL.DIST(CV$2,$M90,$L90,FALSE))*$U90*((1+Inputs!$D$7)^CV$2))),IF($N90=Lists!$K$3,IF($L90&lt;1,((($T90*(1-$F90)+$S90*(1-$G90))/$L90)*((1+Inputs!$D$7)^CV$2)),((INT(CV$2/$L90)-INT((CV$2-1)/$L90))*($T90*(1-$F90)+$S90*(1-$G90))*((1+Inputs!$D$7)^CV$2))),((Inputs!$D$8^((1-_xlfn.WEIBULL.DIST(CV$2,$M90,$L90,FALSE))/_xlfn.WEIBULL.DIST(CV$2,$M90,$L90,FALSE))*($T90*(1-$F90)+$S90*(1-$G90))*((1+Inputs!$D$7)^CV$2))))))))</f>
        <v>0</v>
      </c>
      <c r="CW90" s="88">
        <f>MAX(BG90,($E90*IF(CW$2&gt;Inputs!$D$5,0,IF(CW$2&gt;VLOOKUP($H90,Lists!$P$3:$Q$7,2),IF($N90=Lists!$K$3,IF($L90&lt;1,(($U90/$L90)*((1+Inputs!$D$7)^CW$2)),((INT(CW$2/$L90)-INT((CW$2-1)/$L90))*$U90*((1+Inputs!$D$7)^CW$2))),(Inputs!$D$8^((1-_xlfn.WEIBULL.DIST(CW$2,$M90,$L90,FALSE))/_xlfn.WEIBULL.DIST(CW$2,$M90,$L90,FALSE))*$U90*((1+Inputs!$D$7)^CW$2))),IF($N90=Lists!$K$3,IF($L90&lt;1,((($T90*(1-$F90)+$S90*(1-$G90))/$L90)*((1+Inputs!$D$7)^CW$2)),((INT(CW$2/$L90)-INT((CW$2-1)/$L90))*($T90*(1-$F90)+$S90*(1-$G90))*((1+Inputs!$D$7)^CW$2))),((Inputs!$D$8^((1-_xlfn.WEIBULL.DIST(CW$2,$M90,$L90,FALSE))/_xlfn.WEIBULL.DIST(CW$2,$M90,$L90,FALSE))*($T90*(1-$F90)+$S90*(1-$G90))*((1+Inputs!$D$7)^CW$2))))))))</f>
        <v>0</v>
      </c>
      <c r="CX90" s="88">
        <f>MAX(BH90,($E90*IF(CX$2&gt;Inputs!$D$5,0,IF(CX$2&gt;VLOOKUP($H90,Lists!$P$3:$Q$7,2),IF($N90=Lists!$K$3,IF($L90&lt;1,(($U90/$L90)*((1+Inputs!$D$7)^CX$2)),((INT(CX$2/$L90)-INT((CX$2-1)/$L90))*$U90*((1+Inputs!$D$7)^CX$2))),(Inputs!$D$8^((1-_xlfn.WEIBULL.DIST(CX$2,$M90,$L90,FALSE))/_xlfn.WEIBULL.DIST(CX$2,$M90,$L90,FALSE))*$U90*((1+Inputs!$D$7)^CX$2))),IF($N90=Lists!$K$3,IF($L90&lt;1,((($T90*(1-$F90)+$S90*(1-$G90))/$L90)*((1+Inputs!$D$7)^CX$2)),((INT(CX$2/$L90)-INT((CX$2-1)/$L90))*($T90*(1-$F90)+$S90*(1-$G90))*((1+Inputs!$D$7)^CX$2))),((Inputs!$D$8^((1-_xlfn.WEIBULL.DIST(CX$2,$M90,$L90,FALSE))/_xlfn.WEIBULL.DIST(CX$2,$M90,$L90,FALSE))*($T90*(1-$F90)+$S90*(1-$G90))*((1+Inputs!$D$7)^CX$2))))))))</f>
        <v>0</v>
      </c>
      <c r="CY90" s="88">
        <f>MAX(BI90,($E90*IF(CY$2&gt;Inputs!$D$5,0,IF(CY$2&gt;VLOOKUP($H90,Lists!$P$3:$Q$7,2),IF($N90=Lists!$K$3,IF($L90&lt;1,(($U90/$L90)*((1+Inputs!$D$7)^CY$2)),((INT(CY$2/$L90)-INT((CY$2-1)/$L90))*$U90*((1+Inputs!$D$7)^CY$2))),(Inputs!$D$8^((1-_xlfn.WEIBULL.DIST(CY$2,$M90,$L90,FALSE))/_xlfn.WEIBULL.DIST(CY$2,$M90,$L90,FALSE))*$U90*((1+Inputs!$D$7)^CY$2))),IF($N90=Lists!$K$3,IF($L90&lt;1,((($T90*(1-$F90)+$S90*(1-$G90))/$L90)*((1+Inputs!$D$7)^CY$2)),((INT(CY$2/$L90)-INT((CY$2-1)/$L90))*($T90*(1-$F90)+$S90*(1-$G90))*((1+Inputs!$D$7)^CY$2))),((Inputs!$D$8^((1-_xlfn.WEIBULL.DIST(CY$2,$M90,$L90,FALSE))/_xlfn.WEIBULL.DIST(CY$2,$M90,$L90,FALSE))*($T90*(1-$F90)+$S90*(1-$G90))*((1+Inputs!$D$7)^CY$2))))))))</f>
        <v>0</v>
      </c>
      <c r="CZ90" s="88">
        <f>MAX(BJ90,($E90*IF(CZ$2&gt;Inputs!$D$5,0,IF(CZ$2&gt;VLOOKUP($H90,Lists!$P$3:$Q$7,2),IF($N90=Lists!$K$3,IF($L90&lt;1,(($U90/$L90)*((1+Inputs!$D$7)^CZ$2)),((INT(CZ$2/$L90)-INT((CZ$2-1)/$L90))*$U90*((1+Inputs!$D$7)^CZ$2))),(Inputs!$D$8^((1-_xlfn.WEIBULL.DIST(CZ$2,$M90,$L90,FALSE))/_xlfn.WEIBULL.DIST(CZ$2,$M90,$L90,FALSE))*$U90*((1+Inputs!$D$7)^CZ$2))),IF($N90=Lists!$K$3,IF($L90&lt;1,((($T90*(1-$F90)+$S90*(1-$G90))/$L90)*((1+Inputs!$D$7)^CZ$2)),((INT(CZ$2/$L90)-INT((CZ$2-1)/$L90))*($T90*(1-$F90)+$S90*(1-$G90))*((1+Inputs!$D$7)^CZ$2))),((Inputs!$D$8^((1-_xlfn.WEIBULL.DIST(CZ$2,$M90,$L90,FALSE))/_xlfn.WEIBULL.DIST(CZ$2,$M90,$L90,FALSE))*($T90*(1-$F90)+$S90*(1-$G90))*((1+Inputs!$D$7)^CZ$2))))))))</f>
        <v>0</v>
      </c>
      <c r="DA90" s="88">
        <f>MAX(BK90,($E90*IF(DA$2&gt;Inputs!$D$5,0,IF(DA$2&gt;VLOOKUP($H90,Lists!$P$3:$Q$7,2),IF($N90=Lists!$K$3,IF($L90&lt;1,(($U90/$L90)*((1+Inputs!$D$7)^DA$2)),((INT(DA$2/$L90)-INT((DA$2-1)/$L90))*$U90*((1+Inputs!$D$7)^DA$2))),(Inputs!$D$8^((1-_xlfn.WEIBULL.DIST(DA$2,$M90,$L90,FALSE))/_xlfn.WEIBULL.DIST(DA$2,$M90,$L90,FALSE))*$U90*((1+Inputs!$D$7)^DA$2))),IF($N90=Lists!$K$3,IF($L90&lt;1,((($T90*(1-$F90)+$S90*(1-$G90))/$L90)*((1+Inputs!$D$7)^DA$2)),((INT(DA$2/$L90)-INT((DA$2-1)/$L90))*($T90*(1-$F90)+$S90*(1-$G90))*((1+Inputs!$D$7)^DA$2))),((Inputs!$D$8^((1-_xlfn.WEIBULL.DIST(DA$2,$M90,$L90,FALSE))/_xlfn.WEIBULL.DIST(DA$2,$M90,$L90,FALSE))*($T90*(1-$F90)+$S90*(1-$G90))*((1+Inputs!$D$7)^DA$2))))))))</f>
        <v>0</v>
      </c>
      <c r="DB90" s="88">
        <f>MAX(BL90,($E90*IF(DB$2&gt;Inputs!$D$5,0,IF(DB$2&gt;VLOOKUP($H90,Lists!$P$3:$Q$7,2),IF($N90=Lists!$K$3,IF($L90&lt;1,(($U90/$L90)*((1+Inputs!$D$7)^DB$2)),((INT(DB$2/$L90)-INT((DB$2-1)/$L90))*$U90*((1+Inputs!$D$7)^DB$2))),(Inputs!$D$8^((1-_xlfn.WEIBULL.DIST(DB$2,$M90,$L90,FALSE))/_xlfn.WEIBULL.DIST(DB$2,$M90,$L90,FALSE))*$U90*((1+Inputs!$D$7)^DB$2))),IF($N90=Lists!$K$3,IF($L90&lt;1,((($T90*(1-$F90)+$S90*(1-$G90))/$L90)*((1+Inputs!$D$7)^DB$2)),((INT(DB$2/$L90)-INT((DB$2-1)/$L90))*($T90*(1-$F90)+$S90*(1-$G90))*((1+Inputs!$D$7)^DB$2))),((Inputs!$D$8^((1-_xlfn.WEIBULL.DIST(DB$2,$M90,$L90,FALSE))/_xlfn.WEIBULL.DIST(DB$2,$M90,$L90,FALSE))*($T90*(1-$F90)+$S90*(1-$G90))*((1+Inputs!$D$7)^DB$2))))))))</f>
        <v>0</v>
      </c>
      <c r="DC90" s="88">
        <f>MAX(BM90,($E90*IF(DC$2&gt;Inputs!$D$5,0,IF(DC$2&gt;VLOOKUP($H90,Lists!$P$3:$Q$7,2),IF($N90=Lists!$K$3,IF($L90&lt;1,(($U90/$L90)*((1+Inputs!$D$7)^DC$2)),((INT(DC$2/$L90)-INT((DC$2-1)/$L90))*$U90*((1+Inputs!$D$7)^DC$2))),(Inputs!$D$8^((1-_xlfn.WEIBULL.DIST(DC$2,$M90,$L90,FALSE))/_xlfn.WEIBULL.DIST(DC$2,$M90,$L90,FALSE))*$U90*((1+Inputs!$D$7)^DC$2))),IF($N90=Lists!$K$3,IF($L90&lt;1,((($T90*(1-$F90)+$S90*(1-$G90))/$L90)*((1+Inputs!$D$7)^DC$2)),((INT(DC$2/$L90)-INT((DC$2-1)/$L90))*($T90*(1-$F90)+$S90*(1-$G90))*((1+Inputs!$D$7)^DC$2))),((Inputs!$D$8^((1-_xlfn.WEIBULL.DIST(DC$2,$M90,$L90,FALSE))/_xlfn.WEIBULL.DIST(DC$2,$M90,$L90,FALSE))*($T90*(1-$F90)+$S90*(1-$G90))*((1+Inputs!$D$7)^DC$2))))))))</f>
        <v>0</v>
      </c>
      <c r="DD90" s="88">
        <f>MAX(BN90,($E90*IF(DD$2&gt;Inputs!$D$5,0,IF(DD$2&gt;VLOOKUP($H90,Lists!$P$3:$Q$7,2),IF($N90=Lists!$K$3,IF($L90&lt;1,(($U90/$L90)*((1+Inputs!$D$7)^DD$2)),((INT(DD$2/$L90)-INT((DD$2-1)/$L90))*$U90*((1+Inputs!$D$7)^DD$2))),(Inputs!$D$8^((1-_xlfn.WEIBULL.DIST(DD$2,$M90,$L90,FALSE))/_xlfn.WEIBULL.DIST(DD$2,$M90,$L90,FALSE))*$U90*((1+Inputs!$D$7)^DD$2))),IF($N90=Lists!$K$3,IF($L90&lt;1,((($T90*(1-$F90)+$S90*(1-$G90))/$L90)*((1+Inputs!$D$7)^DD$2)),((INT(DD$2/$L90)-INT((DD$2-1)/$L90))*($T90*(1-$F90)+$S90*(1-$G90))*((1+Inputs!$D$7)^DD$2))),((Inputs!$D$8^((1-_xlfn.WEIBULL.DIST(DD$2,$M90,$L90,FALSE))/_xlfn.WEIBULL.DIST(DD$2,$M90,$L90,FALSE))*($T90*(1-$F90)+$S90*(1-$G90))*((1+Inputs!$D$7)^DD$2))))))))</f>
        <v>0</v>
      </c>
    </row>
    <row r="91" spans="1:108" s="1" customFormat="1" ht="16">
      <c r="A91" s="57" t="s">
        <v>253</v>
      </c>
      <c r="B91" s="13" t="s">
        <v>279</v>
      </c>
      <c r="C91" s="13" t="s">
        <v>472</v>
      </c>
      <c r="D91" s="13" t="s">
        <v>34</v>
      </c>
      <c r="E91" s="48">
        <f>IF(Inputs!$D$30=Lists!$M$4,1,0)</f>
        <v>1</v>
      </c>
      <c r="F91" s="48">
        <v>1</v>
      </c>
      <c r="G91" s="48">
        <v>1</v>
      </c>
      <c r="H91" s="105" t="s">
        <v>349</v>
      </c>
      <c r="I91" s="14" t="s">
        <v>21</v>
      </c>
      <c r="J91" s="14" t="s">
        <v>91</v>
      </c>
      <c r="K91" s="13">
        <f>VLOOKUP(J91,'Labor Rates'!$A$1:$F$16,2)</f>
        <v>33.17307692307692</v>
      </c>
      <c r="L91" s="15">
        <v>5</v>
      </c>
      <c r="M91" s="15">
        <v>1</v>
      </c>
      <c r="N91" s="13" t="s">
        <v>236</v>
      </c>
      <c r="O91" s="61">
        <f>Inputs!$D$32</f>
        <v>10</v>
      </c>
      <c r="P91" s="15">
        <v>0.5</v>
      </c>
      <c r="Q91" s="15">
        <f t="shared" si="14"/>
        <v>1</v>
      </c>
      <c r="R91" s="4">
        <v>0</v>
      </c>
      <c r="S91" s="53">
        <f t="shared" si="15"/>
        <v>165.86538461538458</v>
      </c>
      <c r="T91" s="53">
        <f t="shared" si="16"/>
        <v>0</v>
      </c>
      <c r="U91" s="54">
        <f t="shared" si="17"/>
        <v>165.86538461538458</v>
      </c>
      <c r="V91" s="65"/>
      <c r="W91" s="58"/>
      <c r="X91" s="64">
        <f t="shared" si="18"/>
        <v>42.7508985657824</v>
      </c>
      <c r="Y91" s="64">
        <f>NPV(Inputs!$D$6,AA91:BN91)</f>
        <v>428.09047604149282</v>
      </c>
      <c r="Z91" s="67">
        <f t="shared" si="19"/>
        <v>2.0190836818126363E-4</v>
      </c>
      <c r="AA91" s="88">
        <f>$E91*IF(AA$2&gt;Inputs!$D$5,0,IF(AA$2&gt;VLOOKUP($H91,Lists!$P$3:$Q$7,2),IF($N91=Lists!$K$3,IF($L91&lt;1,(($U91/$L91)*((1+Inputs!$D$7)^AA$2)),((INT(AA$2/$L91)-INT((AA$2-1)/$L91))*$U91*((1+Inputs!$D$7)^AA$2))),(_xlfn.WEIBULL.DIST(AA$2,$M91,$L91,FALSE)*$U91*((1+Inputs!$D$7)^AA$2))),IF($N91=Lists!$K$3,IF($L91&lt;1,((($T91*(1-$F91)+$S91*(1-$G91))/$L91)*((1+Inputs!$D$7)^AA$2)),((INT(AA$2/$L91)-INT((AA$2-1)/$L91))*($T91*(1-$F91)+$S91*(1-$G91))*((1+Inputs!$D$7)^AA$2))),((_xlfn.WEIBULL.DIST(AA$2,$M91,$L91,FALSE)*($T91*(1-$F91)+$S91*(1-$G91))*((1+Inputs!$D$7)^AA$2))))))</f>
        <v>0</v>
      </c>
      <c r="AB91" s="88">
        <f>$E91*IF(AB$2&gt;Inputs!$D$5,0,IF(AB$2&gt;VLOOKUP($H91,Lists!$P$3:$Q$7,2),IF($N91=Lists!$K$3,IF($L91&lt;1,(($U91/$L91)*((1+Inputs!$D$7)^AB$2)),((INT(AB$2/$L91)-INT((AB$2-1)/$L91))*$U91*((1+Inputs!$D$7)^AB$2))),(_xlfn.WEIBULL.DIST(AB$2,$M91,$L91,FALSE)*$U91*((1+Inputs!$D$7)^AB$2))),IF($N91=Lists!$K$3,IF($L91&lt;1,((($T91*(1-$F91)+$S91*(1-$G91))/$L91)*((1+Inputs!$D$7)^AB$2)),((INT(AB$2/$L91)-INT((AB$2-1)/$L91))*($T91*(1-$F91)+$S91*(1-$G91))*((1+Inputs!$D$7)^AB$2))),((_xlfn.WEIBULL.DIST(AB$2,$M91,$L91,FALSE)*($T91*(1-$F91)+$S91*(1-$G91))*((1+Inputs!$D$7)^AB$2))))))</f>
        <v>0</v>
      </c>
      <c r="AC91" s="88">
        <f>$E91*IF(AC$2&gt;Inputs!$D$5,0,IF(AC$2&gt;VLOOKUP($H91,Lists!$P$3:$Q$7,2),IF($N91=Lists!$K$3,IF($L91&lt;1,(($U91/$L91)*((1+Inputs!$D$7)^AC$2)),((INT(AC$2/$L91)-INT((AC$2-1)/$L91))*$U91*((1+Inputs!$D$7)^AC$2))),(_xlfn.WEIBULL.DIST(AC$2,$M91,$L91,FALSE)*$U91*((1+Inputs!$D$7)^AC$2))),IF($N91=Lists!$K$3,IF($L91&lt;1,((($T91*(1-$F91)+$S91*(1-$G91))/$L91)*((1+Inputs!$D$7)^AC$2)),((INT(AC$2/$L91)-INT((AC$2-1)/$L91))*($T91*(1-$F91)+$S91*(1-$G91))*((1+Inputs!$D$7)^AC$2))),((_xlfn.WEIBULL.DIST(AC$2,$M91,$L91,FALSE)*($T91*(1-$F91)+$S91*(1-$G91))*((1+Inputs!$D$7)^AC$2))))))</f>
        <v>0</v>
      </c>
      <c r="AD91" s="88">
        <f>$E91*IF(AD$2&gt;Inputs!$D$5,0,IF(AD$2&gt;VLOOKUP($H91,Lists!$P$3:$Q$7,2),IF($N91=Lists!$K$3,IF($L91&lt;1,(($U91/$L91)*((1+Inputs!$D$7)^AD$2)),((INT(AD$2/$L91)-INT((AD$2-1)/$L91))*$U91*((1+Inputs!$D$7)^AD$2))),(_xlfn.WEIBULL.DIST(AD$2,$M91,$L91,FALSE)*$U91*((1+Inputs!$D$7)^AD$2))),IF($N91=Lists!$K$3,IF($L91&lt;1,((($T91*(1-$F91)+$S91*(1-$G91))/$L91)*((1+Inputs!$D$7)^AD$2)),((INT(AD$2/$L91)-INT((AD$2-1)/$L91))*($T91*(1-$F91)+$S91*(1-$G91))*((1+Inputs!$D$7)^AD$2))),((_xlfn.WEIBULL.DIST(AD$2,$M91,$L91,FALSE)*($T91*(1-$F91)+$S91*(1-$G91))*((1+Inputs!$D$7)^AD$2))))))</f>
        <v>0</v>
      </c>
      <c r="AE91" s="88">
        <f>$E91*IF(AE$2&gt;Inputs!$D$5,0,IF(AE$2&gt;VLOOKUP($H91,Lists!$P$3:$Q$7,2),IF($N91=Lists!$K$3,IF($L91&lt;1,(($U91/$L91)*((1+Inputs!$D$7)^AE$2)),((INT(AE$2/$L91)-INT((AE$2-1)/$L91))*$U91*((1+Inputs!$D$7)^AE$2))),(_xlfn.WEIBULL.DIST(AE$2,$M91,$L91,FALSE)*$U91*((1+Inputs!$D$7)^AE$2))),IF($N91=Lists!$K$3,IF($L91&lt;1,((($T91*(1-$F91)+$S91*(1-$G91))/$L91)*((1+Inputs!$D$7)^AE$2)),((INT(AE$2/$L91)-INT((AE$2-1)/$L91))*($T91*(1-$F91)+$S91*(1-$G91))*((1+Inputs!$D$7)^AE$2))),((_xlfn.WEIBULL.DIST(AE$2,$M91,$L91,FALSE)*($T91*(1-$F91)+$S91*(1-$G91))*((1+Inputs!$D$7)^AE$2))))))</f>
        <v>183.12878706923073</v>
      </c>
      <c r="AF91" s="88">
        <f>$E91*IF(AF$2&gt;Inputs!$D$5,0,IF(AF$2&gt;VLOOKUP($H91,Lists!$P$3:$Q$7,2),IF($N91=Lists!$K$3,IF($L91&lt;1,(($U91/$L91)*((1+Inputs!$D$7)^AF$2)),((INT(AF$2/$L91)-INT((AF$2-1)/$L91))*$U91*((1+Inputs!$D$7)^AF$2))),(_xlfn.WEIBULL.DIST(AF$2,$M91,$L91,FALSE)*$U91*((1+Inputs!$D$7)^AF$2))),IF($N91=Lists!$K$3,IF($L91&lt;1,((($T91*(1-$F91)+$S91*(1-$G91))/$L91)*((1+Inputs!$D$7)^AF$2)),((INT(AF$2/$L91)-INT((AF$2-1)/$L91))*($T91*(1-$F91)+$S91*(1-$G91))*((1+Inputs!$D$7)^AF$2))),((_xlfn.WEIBULL.DIST(AF$2,$M91,$L91,FALSE)*($T91*(1-$F91)+$S91*(1-$G91))*((1+Inputs!$D$7)^AF$2))))))</f>
        <v>0</v>
      </c>
      <c r="AG91" s="88">
        <f>$E91*IF(AG$2&gt;Inputs!$D$5,0,IF(AG$2&gt;VLOOKUP($H91,Lists!$P$3:$Q$7,2),IF($N91=Lists!$K$3,IF($L91&lt;1,(($U91/$L91)*((1+Inputs!$D$7)^AG$2)),((INT(AG$2/$L91)-INT((AG$2-1)/$L91))*$U91*((1+Inputs!$D$7)^AG$2))),(_xlfn.WEIBULL.DIST(AG$2,$M91,$L91,FALSE)*$U91*((1+Inputs!$D$7)^AG$2))),IF($N91=Lists!$K$3,IF($L91&lt;1,((($T91*(1-$F91)+$S91*(1-$G91))/$L91)*((1+Inputs!$D$7)^AG$2)),((INT(AG$2/$L91)-INT((AG$2-1)/$L91))*($T91*(1-$F91)+$S91*(1-$G91))*((1+Inputs!$D$7)^AG$2))),((_xlfn.WEIBULL.DIST(AG$2,$M91,$L91,FALSE)*($T91*(1-$F91)+$S91*(1-$G91))*((1+Inputs!$D$7)^AG$2))))))</f>
        <v>0</v>
      </c>
      <c r="AH91" s="88">
        <f>$E91*IF(AH$2&gt;Inputs!$D$5,0,IF(AH$2&gt;VLOOKUP($H91,Lists!$P$3:$Q$7,2),IF($N91=Lists!$K$3,IF($L91&lt;1,(($U91/$L91)*((1+Inputs!$D$7)^AH$2)),((INT(AH$2/$L91)-INT((AH$2-1)/$L91))*$U91*((1+Inputs!$D$7)^AH$2))),(_xlfn.WEIBULL.DIST(AH$2,$M91,$L91,FALSE)*$U91*((1+Inputs!$D$7)^AH$2))),IF($N91=Lists!$K$3,IF($L91&lt;1,((($T91*(1-$F91)+$S91*(1-$G91))/$L91)*((1+Inputs!$D$7)^AH$2)),((INT(AH$2/$L91)-INT((AH$2-1)/$L91))*($T91*(1-$F91)+$S91*(1-$G91))*((1+Inputs!$D$7)^AH$2))),((_xlfn.WEIBULL.DIST(AH$2,$M91,$L91,FALSE)*($T91*(1-$F91)+$S91*(1-$G91))*((1+Inputs!$D$7)^AH$2))))))</f>
        <v>0</v>
      </c>
      <c r="AI91" s="88">
        <f>$E91*IF(AI$2&gt;Inputs!$D$5,0,IF(AI$2&gt;VLOOKUP($H91,Lists!$P$3:$Q$7,2),IF($N91=Lists!$K$3,IF($L91&lt;1,(($U91/$L91)*((1+Inputs!$D$7)^AI$2)),((INT(AI$2/$L91)-INT((AI$2-1)/$L91))*$U91*((1+Inputs!$D$7)^AI$2))),(_xlfn.WEIBULL.DIST(AI$2,$M91,$L91,FALSE)*$U91*((1+Inputs!$D$7)^AI$2))),IF($N91=Lists!$K$3,IF($L91&lt;1,((($T91*(1-$F91)+$S91*(1-$G91))/$L91)*((1+Inputs!$D$7)^AI$2)),((INT(AI$2/$L91)-INT((AI$2-1)/$L91))*($T91*(1-$F91)+$S91*(1-$G91))*((1+Inputs!$D$7)^AI$2))),((_xlfn.WEIBULL.DIST(AI$2,$M91,$L91,FALSE)*($T91*(1-$F91)+$S91*(1-$G91))*((1+Inputs!$D$7)^AI$2))))))</f>
        <v>0</v>
      </c>
      <c r="AJ91" s="88">
        <f>$E91*IF(AJ$2&gt;Inputs!$D$5,0,IF(AJ$2&gt;VLOOKUP($H91,Lists!$P$3:$Q$7,2),IF($N91=Lists!$K$3,IF($L91&lt;1,(($U91/$L91)*((1+Inputs!$D$7)^AJ$2)),((INT(AJ$2/$L91)-INT((AJ$2-1)/$L91))*$U91*((1+Inputs!$D$7)^AJ$2))),(_xlfn.WEIBULL.DIST(AJ$2,$M91,$L91,FALSE)*$U91*((1+Inputs!$D$7)^AJ$2))),IF($N91=Lists!$K$3,IF($L91&lt;1,((($T91*(1-$F91)+$S91*(1-$G91))/$L91)*((1+Inputs!$D$7)^AJ$2)),((INT(AJ$2/$L91)-INT((AJ$2-1)/$L91))*($T91*(1-$F91)+$S91*(1-$G91))*((1+Inputs!$D$7)^AJ$2))),((_xlfn.WEIBULL.DIST(AJ$2,$M91,$L91,FALSE)*($T91*(1-$F91)+$S91*(1-$G91))*((1+Inputs!$D$7)^AJ$2))))))</f>
        <v>202.18897831643804</v>
      </c>
      <c r="AK91" s="88">
        <f>$E91*IF(AK$2&gt;Inputs!$D$5,0,IF(AK$2&gt;VLOOKUP($H91,Lists!$P$3:$Q$7,2),IF($N91=Lists!$K$3,IF($L91&lt;1,(($U91/$L91)*((1+Inputs!$D$7)^AK$2)),((INT(AK$2/$L91)-INT((AK$2-1)/$L91))*$U91*((1+Inputs!$D$7)^AK$2))),(_xlfn.WEIBULL.DIST(AK$2,$M91,$L91,FALSE)*$U91*((1+Inputs!$D$7)^AK$2))),IF($N91=Lists!$K$3,IF($L91&lt;1,((($T91*(1-$F91)+$S91*(1-$G91))/$L91)*((1+Inputs!$D$7)^AK$2)),((INT(AK$2/$L91)-INT((AK$2-1)/$L91))*($T91*(1-$F91)+$S91*(1-$G91))*((1+Inputs!$D$7)^AK$2))),((_xlfn.WEIBULL.DIST(AK$2,$M91,$L91,FALSE)*($T91*(1-$F91)+$S91*(1-$G91))*((1+Inputs!$D$7)^AK$2))))))</f>
        <v>0</v>
      </c>
      <c r="AL91" s="88">
        <f>$E91*IF(AL$2&gt;Inputs!$D$5,0,IF(AL$2&gt;VLOOKUP($H91,Lists!$P$3:$Q$7,2),IF($N91=Lists!$K$3,IF($L91&lt;1,(($U91/$L91)*((1+Inputs!$D$7)^AL$2)),((INT(AL$2/$L91)-INT((AL$2-1)/$L91))*$U91*((1+Inputs!$D$7)^AL$2))),(_xlfn.WEIBULL.DIST(AL$2,$M91,$L91,FALSE)*$U91*((1+Inputs!$D$7)^AL$2))),IF($N91=Lists!$K$3,IF($L91&lt;1,((($T91*(1-$F91)+$S91*(1-$G91))/$L91)*((1+Inputs!$D$7)^AL$2)),((INT(AL$2/$L91)-INT((AL$2-1)/$L91))*($T91*(1-$F91)+$S91*(1-$G91))*((1+Inputs!$D$7)^AL$2))),((_xlfn.WEIBULL.DIST(AL$2,$M91,$L91,FALSE)*($T91*(1-$F91)+$S91*(1-$G91))*((1+Inputs!$D$7)^AL$2))))))</f>
        <v>0</v>
      </c>
      <c r="AM91" s="88">
        <f>$E91*IF(AM$2&gt;Inputs!$D$5,0,IF(AM$2&gt;VLOOKUP($H91,Lists!$P$3:$Q$7,2),IF($N91=Lists!$K$3,IF($L91&lt;1,(($U91/$L91)*((1+Inputs!$D$7)^AM$2)),((INT(AM$2/$L91)-INT((AM$2-1)/$L91))*$U91*((1+Inputs!$D$7)^AM$2))),(_xlfn.WEIBULL.DIST(AM$2,$M91,$L91,FALSE)*$U91*((1+Inputs!$D$7)^AM$2))),IF($N91=Lists!$K$3,IF($L91&lt;1,((($T91*(1-$F91)+$S91*(1-$G91))/$L91)*((1+Inputs!$D$7)^AM$2)),((INT(AM$2/$L91)-INT((AM$2-1)/$L91))*($T91*(1-$F91)+$S91*(1-$G91))*((1+Inputs!$D$7)^AM$2))),((_xlfn.WEIBULL.DIST(AM$2,$M91,$L91,FALSE)*($T91*(1-$F91)+$S91*(1-$G91))*((1+Inputs!$D$7)^AM$2))))))</f>
        <v>0</v>
      </c>
      <c r="AN91" s="88">
        <f>$E91*IF(AN$2&gt;Inputs!$D$5,0,IF(AN$2&gt;VLOOKUP($H91,Lists!$P$3:$Q$7,2),IF($N91=Lists!$K$3,IF($L91&lt;1,(($U91/$L91)*((1+Inputs!$D$7)^AN$2)),((INT(AN$2/$L91)-INT((AN$2-1)/$L91))*$U91*((1+Inputs!$D$7)^AN$2))),(_xlfn.WEIBULL.DIST(AN$2,$M91,$L91,FALSE)*$U91*((1+Inputs!$D$7)^AN$2))),IF($N91=Lists!$K$3,IF($L91&lt;1,((($T91*(1-$F91)+$S91*(1-$G91))/$L91)*((1+Inputs!$D$7)^AN$2)),((INT(AN$2/$L91)-INT((AN$2-1)/$L91))*($T91*(1-$F91)+$S91*(1-$G91))*((1+Inputs!$D$7)^AN$2))),((_xlfn.WEIBULL.DIST(AN$2,$M91,$L91,FALSE)*($T91*(1-$F91)+$S91*(1-$G91))*((1+Inputs!$D$7)^AN$2))))))</f>
        <v>0</v>
      </c>
      <c r="AO91" s="88">
        <f>$E91*IF(AO$2&gt;Inputs!$D$5,0,IF(AO$2&gt;VLOOKUP($H91,Lists!$P$3:$Q$7,2),IF($N91=Lists!$K$3,IF($L91&lt;1,(($U91/$L91)*((1+Inputs!$D$7)^AO$2)),((INT(AO$2/$L91)-INT((AO$2-1)/$L91))*$U91*((1+Inputs!$D$7)^AO$2))),(_xlfn.WEIBULL.DIST(AO$2,$M91,$L91,FALSE)*$U91*((1+Inputs!$D$7)^AO$2))),IF($N91=Lists!$K$3,IF($L91&lt;1,((($T91*(1-$F91)+$S91*(1-$G91))/$L91)*((1+Inputs!$D$7)^AO$2)),((INT(AO$2/$L91)-INT((AO$2-1)/$L91))*($T91*(1-$F91)+$S91*(1-$G91))*((1+Inputs!$D$7)^AO$2))),((_xlfn.WEIBULL.DIST(AO$2,$M91,$L91,FALSE)*($T91*(1-$F91)+$S91*(1-$G91))*((1+Inputs!$D$7)^AO$2))))))</f>
        <v>223.23296957780025</v>
      </c>
      <c r="AP91" s="88">
        <f>$E91*IF(AP$2&gt;Inputs!$D$5,0,IF(AP$2&gt;VLOOKUP($H91,Lists!$P$3:$Q$7,2),IF($N91=Lists!$K$3,IF($L91&lt;1,(($U91/$L91)*((1+Inputs!$D$7)^AP$2)),((INT(AP$2/$L91)-INT((AP$2-1)/$L91))*$U91*((1+Inputs!$D$7)^AP$2))),(_xlfn.WEIBULL.DIST(AP$2,$M91,$L91,FALSE)*$U91*((1+Inputs!$D$7)^AP$2))),IF($N91=Lists!$K$3,IF($L91&lt;1,((($T91*(1-$F91)+$S91*(1-$G91))/$L91)*((1+Inputs!$D$7)^AP$2)),((INT(AP$2/$L91)-INT((AP$2-1)/$L91))*($T91*(1-$F91)+$S91*(1-$G91))*((1+Inputs!$D$7)^AP$2))),((_xlfn.WEIBULL.DIST(AP$2,$M91,$L91,FALSE)*($T91*(1-$F91)+$S91*(1-$G91))*((1+Inputs!$D$7)^AP$2))))))</f>
        <v>0</v>
      </c>
      <c r="AQ91" s="88">
        <f>$E91*IF(AQ$2&gt;Inputs!$D$5,0,IF(AQ$2&gt;VLOOKUP($H91,Lists!$P$3:$Q$7,2),IF($N91=Lists!$K$3,IF($L91&lt;1,(($U91/$L91)*((1+Inputs!$D$7)^AQ$2)),((INT(AQ$2/$L91)-INT((AQ$2-1)/$L91))*$U91*((1+Inputs!$D$7)^AQ$2))),(_xlfn.WEIBULL.DIST(AQ$2,$M91,$L91,FALSE)*$U91*((1+Inputs!$D$7)^AQ$2))),IF($N91=Lists!$K$3,IF($L91&lt;1,((($T91*(1-$F91)+$S91*(1-$G91))/$L91)*((1+Inputs!$D$7)^AQ$2)),((INT(AQ$2/$L91)-INT((AQ$2-1)/$L91))*($T91*(1-$F91)+$S91*(1-$G91))*((1+Inputs!$D$7)^AQ$2))),((_xlfn.WEIBULL.DIST(AQ$2,$M91,$L91,FALSE)*($T91*(1-$F91)+$S91*(1-$G91))*((1+Inputs!$D$7)^AQ$2))))))</f>
        <v>0</v>
      </c>
      <c r="AR91" s="88">
        <f>$E91*IF(AR$2&gt;Inputs!$D$5,0,IF(AR$2&gt;VLOOKUP($H91,Lists!$P$3:$Q$7,2),IF($N91=Lists!$K$3,IF($L91&lt;1,(($U91/$L91)*((1+Inputs!$D$7)^AR$2)),((INT(AR$2/$L91)-INT((AR$2-1)/$L91))*$U91*((1+Inputs!$D$7)^AR$2))),(_xlfn.WEIBULL.DIST(AR$2,$M91,$L91,FALSE)*$U91*((1+Inputs!$D$7)^AR$2))),IF($N91=Lists!$K$3,IF($L91&lt;1,((($T91*(1-$F91)+$S91*(1-$G91))/$L91)*((1+Inputs!$D$7)^AR$2)),((INT(AR$2/$L91)-INT((AR$2-1)/$L91))*($T91*(1-$F91)+$S91*(1-$G91))*((1+Inputs!$D$7)^AR$2))),((_xlfn.WEIBULL.DIST(AR$2,$M91,$L91,FALSE)*($T91*(1-$F91)+$S91*(1-$G91))*((1+Inputs!$D$7)^AR$2))))))</f>
        <v>0</v>
      </c>
      <c r="AS91" s="88">
        <f>$E91*IF(AS$2&gt;Inputs!$D$5,0,IF(AS$2&gt;VLOOKUP($H91,Lists!$P$3:$Q$7,2),IF($N91=Lists!$K$3,IF($L91&lt;1,(($U91/$L91)*((1+Inputs!$D$7)^AS$2)),((INT(AS$2/$L91)-INT((AS$2-1)/$L91))*$U91*((1+Inputs!$D$7)^AS$2))),(_xlfn.WEIBULL.DIST(AS$2,$M91,$L91,FALSE)*$U91*((1+Inputs!$D$7)^AS$2))),IF($N91=Lists!$K$3,IF($L91&lt;1,((($T91*(1-$F91)+$S91*(1-$G91))/$L91)*((1+Inputs!$D$7)^AS$2)),((INT(AS$2/$L91)-INT((AS$2-1)/$L91))*($T91*(1-$F91)+$S91*(1-$G91))*((1+Inputs!$D$7)^AS$2))),((_xlfn.WEIBULL.DIST(AS$2,$M91,$L91,FALSE)*($T91*(1-$F91)+$S91*(1-$G91))*((1+Inputs!$D$7)^AS$2))))))</f>
        <v>0</v>
      </c>
      <c r="AT91" s="88">
        <f>$E91*IF(AT$2&gt;Inputs!$D$5,0,IF(AT$2&gt;VLOOKUP($H91,Lists!$P$3:$Q$7,2),IF($N91=Lists!$K$3,IF($L91&lt;1,(($U91/$L91)*((1+Inputs!$D$7)^AT$2)),((INT(AT$2/$L91)-INT((AT$2-1)/$L91))*$U91*((1+Inputs!$D$7)^AT$2))),(_xlfn.WEIBULL.DIST(AT$2,$M91,$L91,FALSE)*$U91*((1+Inputs!$D$7)^AT$2))),IF($N91=Lists!$K$3,IF($L91&lt;1,((($T91*(1-$F91)+$S91*(1-$G91))/$L91)*((1+Inputs!$D$7)^AT$2)),((INT(AT$2/$L91)-INT((AT$2-1)/$L91))*($T91*(1-$F91)+$S91*(1-$G91))*((1+Inputs!$D$7)^AT$2))),((_xlfn.WEIBULL.DIST(AT$2,$M91,$L91,FALSE)*($T91*(1-$F91)+$S91*(1-$G91))*((1+Inputs!$D$7)^AT$2))))))</f>
        <v>246.4672363521789</v>
      </c>
      <c r="AU91" s="88">
        <f>$E91*IF(AU$2&gt;Inputs!$D$5,0,IF(AU$2&gt;VLOOKUP($H91,Lists!$P$3:$Q$7,2),IF($N91=Lists!$K$3,IF($L91&lt;1,(($U91/$L91)*((1+Inputs!$D$7)^AU$2)),((INT(AU$2/$L91)-INT((AU$2-1)/$L91))*$U91*((1+Inputs!$D$7)^AU$2))),(_xlfn.WEIBULL.DIST(AU$2,$M91,$L91,FALSE)*$U91*((1+Inputs!$D$7)^AU$2))),IF($N91=Lists!$K$3,IF($L91&lt;1,((($T91*(1-$F91)+$S91*(1-$G91))/$L91)*((1+Inputs!$D$7)^AU$2)),((INT(AU$2/$L91)-INT((AU$2-1)/$L91))*($T91*(1-$F91)+$S91*(1-$G91))*((1+Inputs!$D$7)^AU$2))),((_xlfn.WEIBULL.DIST(AU$2,$M91,$L91,FALSE)*($T91*(1-$F91)+$S91*(1-$G91))*((1+Inputs!$D$7)^AU$2))))))</f>
        <v>0</v>
      </c>
      <c r="AV91" s="88">
        <f>$E91*IF(AV$2&gt;Inputs!$D$5,0,IF(AV$2&gt;VLOOKUP($H91,Lists!$P$3:$Q$7,2),IF($N91=Lists!$K$3,IF($L91&lt;1,(($U91/$L91)*((1+Inputs!$D$7)^AV$2)),((INT(AV$2/$L91)-INT((AV$2-1)/$L91))*$U91*((1+Inputs!$D$7)^AV$2))),(_xlfn.WEIBULL.DIST(AV$2,$M91,$L91,FALSE)*$U91*((1+Inputs!$D$7)^AV$2))),IF($N91=Lists!$K$3,IF($L91&lt;1,((($T91*(1-$F91)+$S91*(1-$G91))/$L91)*((1+Inputs!$D$7)^AV$2)),((INT(AV$2/$L91)-INT((AV$2-1)/$L91))*($T91*(1-$F91)+$S91*(1-$G91))*((1+Inputs!$D$7)^AV$2))),((_xlfn.WEIBULL.DIST(AV$2,$M91,$L91,FALSE)*($T91*(1-$F91)+$S91*(1-$G91))*((1+Inputs!$D$7)^AV$2))))))</f>
        <v>0</v>
      </c>
      <c r="AW91" s="88">
        <f>$E91*IF(AW$2&gt;Inputs!$D$5,0,IF(AW$2&gt;VLOOKUP($H91,Lists!$P$3:$Q$7,2),IF($N91=Lists!$K$3,IF($L91&lt;1,(($U91/$L91)*((1+Inputs!$D$7)^AW$2)),((INT(AW$2/$L91)-INT((AW$2-1)/$L91))*$U91*((1+Inputs!$D$7)^AW$2))),(_xlfn.WEIBULL.DIST(AW$2,$M91,$L91,FALSE)*$U91*((1+Inputs!$D$7)^AW$2))),IF($N91=Lists!$K$3,IF($L91&lt;1,((($T91*(1-$F91)+$S91*(1-$G91))/$L91)*((1+Inputs!$D$7)^AW$2)),((INT(AW$2/$L91)-INT((AW$2-1)/$L91))*($T91*(1-$F91)+$S91*(1-$G91))*((1+Inputs!$D$7)^AW$2))),((_xlfn.WEIBULL.DIST(AW$2,$M91,$L91,FALSE)*($T91*(1-$F91)+$S91*(1-$G91))*((1+Inputs!$D$7)^AW$2))))))</f>
        <v>0</v>
      </c>
      <c r="AX91" s="88">
        <f>$E91*IF(AX$2&gt;Inputs!$D$5,0,IF(AX$2&gt;VLOOKUP($H91,Lists!$P$3:$Q$7,2),IF($N91=Lists!$K$3,IF($L91&lt;1,(($U91/$L91)*((1+Inputs!$D$7)^AX$2)),((INT(AX$2/$L91)-INT((AX$2-1)/$L91))*$U91*((1+Inputs!$D$7)^AX$2))),(_xlfn.WEIBULL.DIST(AX$2,$M91,$L91,FALSE)*$U91*((1+Inputs!$D$7)^AX$2))),IF($N91=Lists!$K$3,IF($L91&lt;1,((($T91*(1-$F91)+$S91*(1-$G91))/$L91)*((1+Inputs!$D$7)^AX$2)),((INT(AX$2/$L91)-INT((AX$2-1)/$L91))*($T91*(1-$F91)+$S91*(1-$G91))*((1+Inputs!$D$7)^AX$2))),((_xlfn.WEIBULL.DIST(AX$2,$M91,$L91,FALSE)*($T91*(1-$F91)+$S91*(1-$G91))*((1+Inputs!$D$7)^AX$2))))))</f>
        <v>0</v>
      </c>
      <c r="AY91" s="88">
        <f>$E91*IF(AY$2&gt;Inputs!$D$5,0,IF(AY$2&gt;VLOOKUP($H91,Lists!$P$3:$Q$7,2),IF($N91=Lists!$K$3,IF($L91&lt;1,(($U91/$L91)*((1+Inputs!$D$7)^AY$2)),((INT(AY$2/$L91)-INT((AY$2-1)/$L91))*$U91*((1+Inputs!$D$7)^AY$2))),(_xlfn.WEIBULL.DIST(AY$2,$M91,$L91,FALSE)*$U91*((1+Inputs!$D$7)^AY$2))),IF($N91=Lists!$K$3,IF($L91&lt;1,((($T91*(1-$F91)+$S91*(1-$G91))/$L91)*((1+Inputs!$D$7)^AY$2)),((INT(AY$2/$L91)-INT((AY$2-1)/$L91))*($T91*(1-$F91)+$S91*(1-$G91))*((1+Inputs!$D$7)^AY$2))),((_xlfn.WEIBULL.DIST(AY$2,$M91,$L91,FALSE)*($T91*(1-$F91)+$S91*(1-$G91))*((1+Inputs!$D$7)^AY$2))))))</f>
        <v>272.1197442741979</v>
      </c>
      <c r="AZ91" s="88">
        <f>$E91*IF(AZ$2&gt;Inputs!$D$5,0,IF(AZ$2&gt;VLOOKUP($H91,Lists!$P$3:$Q$7,2),IF($N91=Lists!$K$3,IF($L91&lt;1,(($U91/$L91)*((1+Inputs!$D$7)^AZ$2)),((INT(AZ$2/$L91)-INT((AZ$2-1)/$L91))*$U91*((1+Inputs!$D$7)^AZ$2))),(_xlfn.WEIBULL.DIST(AZ$2,$M91,$L91,FALSE)*$U91*((1+Inputs!$D$7)^AZ$2))),IF($N91=Lists!$K$3,IF($L91&lt;1,((($T91*(1-$F91)+$S91*(1-$G91))/$L91)*((1+Inputs!$D$7)^AZ$2)),((INT(AZ$2/$L91)-INT((AZ$2-1)/$L91))*($T91*(1-$F91)+$S91*(1-$G91))*((1+Inputs!$D$7)^AZ$2))),((_xlfn.WEIBULL.DIST(AZ$2,$M91,$L91,FALSE)*($T91*(1-$F91)+$S91*(1-$G91))*((1+Inputs!$D$7)^AZ$2))))))</f>
        <v>0</v>
      </c>
      <c r="BA91" s="88">
        <f>$E91*IF(BA$2&gt;Inputs!$D$5,0,IF(BA$2&gt;VLOOKUP($H91,Lists!$P$3:$Q$7,2),IF($N91=Lists!$K$3,IF($L91&lt;1,(($U91/$L91)*((1+Inputs!$D$7)^BA$2)),((INT(BA$2/$L91)-INT((BA$2-1)/$L91))*$U91*((1+Inputs!$D$7)^BA$2))),(_xlfn.WEIBULL.DIST(BA$2,$M91,$L91,FALSE)*$U91*((1+Inputs!$D$7)^BA$2))),IF($N91=Lists!$K$3,IF($L91&lt;1,((($T91*(1-$F91)+$S91*(1-$G91))/$L91)*((1+Inputs!$D$7)^BA$2)),((INT(BA$2/$L91)-INT((BA$2-1)/$L91))*($T91*(1-$F91)+$S91*(1-$G91))*((1+Inputs!$D$7)^BA$2))),((_xlfn.WEIBULL.DIST(BA$2,$M91,$L91,FALSE)*($T91*(1-$F91)+$S91*(1-$G91))*((1+Inputs!$D$7)^BA$2))))))</f>
        <v>0</v>
      </c>
      <c r="BB91" s="88">
        <f>$E91*IF(BB$2&gt;Inputs!$D$5,0,IF(BB$2&gt;VLOOKUP($H91,Lists!$P$3:$Q$7,2),IF($N91=Lists!$K$3,IF($L91&lt;1,(($U91/$L91)*((1+Inputs!$D$7)^BB$2)),((INT(BB$2/$L91)-INT((BB$2-1)/$L91))*$U91*((1+Inputs!$D$7)^BB$2))),(_xlfn.WEIBULL.DIST(BB$2,$M91,$L91,FALSE)*$U91*((1+Inputs!$D$7)^BB$2))),IF($N91=Lists!$K$3,IF($L91&lt;1,((($T91*(1-$F91)+$S91*(1-$G91))/$L91)*((1+Inputs!$D$7)^BB$2)),((INT(BB$2/$L91)-INT((BB$2-1)/$L91))*($T91*(1-$F91)+$S91*(1-$G91))*((1+Inputs!$D$7)^BB$2))),((_xlfn.WEIBULL.DIST(BB$2,$M91,$L91,FALSE)*($T91*(1-$F91)+$S91*(1-$G91))*((1+Inputs!$D$7)^BB$2))))))</f>
        <v>0</v>
      </c>
      <c r="BC91" s="88">
        <f>$E91*IF(BC$2&gt;Inputs!$D$5,0,IF(BC$2&gt;VLOOKUP($H91,Lists!$P$3:$Q$7,2),IF($N91=Lists!$K$3,IF($L91&lt;1,(($U91/$L91)*((1+Inputs!$D$7)^BC$2)),((INT(BC$2/$L91)-INT((BC$2-1)/$L91))*$U91*((1+Inputs!$D$7)^BC$2))),(_xlfn.WEIBULL.DIST(BC$2,$M91,$L91,FALSE)*$U91*((1+Inputs!$D$7)^BC$2))),IF($N91=Lists!$K$3,IF($L91&lt;1,((($T91*(1-$F91)+$S91*(1-$G91))/$L91)*((1+Inputs!$D$7)^BC$2)),((INT(BC$2/$L91)-INT((BC$2-1)/$L91))*($T91*(1-$F91)+$S91*(1-$G91))*((1+Inputs!$D$7)^BC$2))),((_xlfn.WEIBULL.DIST(BC$2,$M91,$L91,FALSE)*($T91*(1-$F91)+$S91*(1-$G91))*((1+Inputs!$D$7)^BC$2))))))</f>
        <v>0</v>
      </c>
      <c r="BD91" s="88">
        <f>$E91*IF(BD$2&gt;Inputs!$D$5,0,IF(BD$2&gt;VLOOKUP($H91,Lists!$P$3:$Q$7,2),IF($N91=Lists!$K$3,IF($L91&lt;1,(($U91/$L91)*((1+Inputs!$D$7)^BD$2)),((INT(BD$2/$L91)-INT((BD$2-1)/$L91))*$U91*((1+Inputs!$D$7)^BD$2))),(_xlfn.WEIBULL.DIST(BD$2,$M91,$L91,FALSE)*$U91*((1+Inputs!$D$7)^BD$2))),IF($N91=Lists!$K$3,IF($L91&lt;1,((($T91*(1-$F91)+$S91*(1-$G91))/$L91)*((1+Inputs!$D$7)^BD$2)),((INT(BD$2/$L91)-INT((BD$2-1)/$L91))*($T91*(1-$F91)+$S91*(1-$G91))*((1+Inputs!$D$7)^BD$2))),((_xlfn.WEIBULL.DIST(BD$2,$M91,$L91,FALSE)*($T91*(1-$F91)+$S91*(1-$G91))*((1+Inputs!$D$7)^BD$2))))))</f>
        <v>0</v>
      </c>
      <c r="BE91" s="88">
        <f>$E91*IF(BE$2&gt;Inputs!$D$5,0,IF(BE$2&gt;VLOOKUP($H91,Lists!$P$3:$Q$7,2),IF($N91=Lists!$K$3,IF($L91&lt;1,(($U91/$L91)*((1+Inputs!$D$7)^BE$2)),((INT(BE$2/$L91)-INT((BE$2-1)/$L91))*$U91*((1+Inputs!$D$7)^BE$2))),(_xlfn.WEIBULL.DIST(BE$2,$M91,$L91,FALSE)*$U91*((1+Inputs!$D$7)^BE$2))),IF($N91=Lists!$K$3,IF($L91&lt;1,((($T91*(1-$F91)+$S91*(1-$G91))/$L91)*((1+Inputs!$D$7)^BE$2)),((INT(BE$2/$L91)-INT((BE$2-1)/$L91))*($T91*(1-$F91)+$S91*(1-$G91))*((1+Inputs!$D$7)^BE$2))),((_xlfn.WEIBULL.DIST(BE$2,$M91,$L91,FALSE)*($T91*(1-$F91)+$S91*(1-$G91))*((1+Inputs!$D$7)^BE$2))))))</f>
        <v>0</v>
      </c>
      <c r="BF91" s="88">
        <f>$E91*IF(BF$2&gt;Inputs!$D$5,0,IF(BF$2&gt;VLOOKUP($H91,Lists!$P$3:$Q$7,2),IF($N91=Lists!$K$3,IF($L91&lt;1,(($U91/$L91)*((1+Inputs!$D$7)^BF$2)),((INT(BF$2/$L91)-INT((BF$2-1)/$L91))*$U91*((1+Inputs!$D$7)^BF$2))),(_xlfn.WEIBULL.DIST(BF$2,$M91,$L91,FALSE)*$U91*((1+Inputs!$D$7)^BF$2))),IF($N91=Lists!$K$3,IF($L91&lt;1,((($T91*(1-$F91)+$S91*(1-$G91))/$L91)*((1+Inputs!$D$7)^BF$2)),((INT(BF$2/$L91)-INT((BF$2-1)/$L91))*($T91*(1-$F91)+$S91*(1-$G91))*((1+Inputs!$D$7)^BF$2))),((_xlfn.WEIBULL.DIST(BF$2,$M91,$L91,FALSE)*($T91*(1-$F91)+$S91*(1-$G91))*((1+Inputs!$D$7)^BF$2))))))</f>
        <v>0</v>
      </c>
      <c r="BG91" s="88">
        <f>$E91*IF(BG$2&gt;Inputs!$D$5,0,IF(BG$2&gt;VLOOKUP($H91,Lists!$P$3:$Q$7,2),IF($N91=Lists!$K$3,IF($L91&lt;1,(($U91/$L91)*((1+Inputs!$D$7)^BG$2)),((INT(BG$2/$L91)-INT((BG$2-1)/$L91))*$U91*((1+Inputs!$D$7)^BG$2))),(_xlfn.WEIBULL.DIST(BG$2,$M91,$L91,FALSE)*$U91*((1+Inputs!$D$7)^BG$2))),IF($N91=Lists!$K$3,IF($L91&lt;1,((($T91*(1-$F91)+$S91*(1-$G91))/$L91)*((1+Inputs!$D$7)^BG$2)),((INT(BG$2/$L91)-INT((BG$2-1)/$L91))*($T91*(1-$F91)+$S91*(1-$G91))*((1+Inputs!$D$7)^BG$2))),((_xlfn.WEIBULL.DIST(BG$2,$M91,$L91,FALSE)*($T91*(1-$F91)+$S91*(1-$G91))*((1+Inputs!$D$7)^BG$2))))))</f>
        <v>0</v>
      </c>
      <c r="BH91" s="88">
        <f>$E91*IF(BH$2&gt;Inputs!$D$5,0,IF(BH$2&gt;VLOOKUP($H91,Lists!$P$3:$Q$7,2),IF($N91=Lists!$K$3,IF($L91&lt;1,(($U91/$L91)*((1+Inputs!$D$7)^BH$2)),((INT(BH$2/$L91)-INT((BH$2-1)/$L91))*$U91*((1+Inputs!$D$7)^BH$2))),(_xlfn.WEIBULL.DIST(BH$2,$M91,$L91,FALSE)*$U91*((1+Inputs!$D$7)^BH$2))),IF($N91=Lists!$K$3,IF($L91&lt;1,((($T91*(1-$F91)+$S91*(1-$G91))/$L91)*((1+Inputs!$D$7)^BH$2)),((INT(BH$2/$L91)-INT((BH$2-1)/$L91))*($T91*(1-$F91)+$S91*(1-$G91))*((1+Inputs!$D$7)^BH$2))),((_xlfn.WEIBULL.DIST(BH$2,$M91,$L91,FALSE)*($T91*(1-$F91)+$S91*(1-$G91))*((1+Inputs!$D$7)^BH$2))))))</f>
        <v>0</v>
      </c>
      <c r="BI91" s="88">
        <f>$E91*IF(BI$2&gt;Inputs!$D$5,0,IF(BI$2&gt;VLOOKUP($H91,Lists!$P$3:$Q$7,2),IF($N91=Lists!$K$3,IF($L91&lt;1,(($U91/$L91)*((1+Inputs!$D$7)^BI$2)),((INT(BI$2/$L91)-INT((BI$2-1)/$L91))*$U91*((1+Inputs!$D$7)^BI$2))),(_xlfn.WEIBULL.DIST(BI$2,$M91,$L91,FALSE)*$U91*((1+Inputs!$D$7)^BI$2))),IF($N91=Lists!$K$3,IF($L91&lt;1,((($T91*(1-$F91)+$S91*(1-$G91))/$L91)*((1+Inputs!$D$7)^BI$2)),((INT(BI$2/$L91)-INT((BI$2-1)/$L91))*($T91*(1-$F91)+$S91*(1-$G91))*((1+Inputs!$D$7)^BI$2))),((_xlfn.WEIBULL.DIST(BI$2,$M91,$L91,FALSE)*($T91*(1-$F91)+$S91*(1-$G91))*((1+Inputs!$D$7)^BI$2))))))</f>
        <v>0</v>
      </c>
      <c r="BJ91" s="88">
        <f>$E91*IF(BJ$2&gt;Inputs!$D$5,0,IF(BJ$2&gt;VLOOKUP($H91,Lists!$P$3:$Q$7,2),IF($N91=Lists!$K$3,IF($L91&lt;1,(($U91/$L91)*((1+Inputs!$D$7)^BJ$2)),((INT(BJ$2/$L91)-INT((BJ$2-1)/$L91))*$U91*((1+Inputs!$D$7)^BJ$2))),(_xlfn.WEIBULL.DIST(BJ$2,$M91,$L91,FALSE)*$U91*((1+Inputs!$D$7)^BJ$2))),IF($N91=Lists!$K$3,IF($L91&lt;1,((($T91*(1-$F91)+$S91*(1-$G91))/$L91)*((1+Inputs!$D$7)^BJ$2)),((INT(BJ$2/$L91)-INT((BJ$2-1)/$L91))*($T91*(1-$F91)+$S91*(1-$G91))*((1+Inputs!$D$7)^BJ$2))),((_xlfn.WEIBULL.DIST(BJ$2,$M91,$L91,FALSE)*($T91*(1-$F91)+$S91*(1-$G91))*((1+Inputs!$D$7)^BJ$2))))))</f>
        <v>0</v>
      </c>
      <c r="BK91" s="88">
        <f>$E91*IF(BK$2&gt;Inputs!$D$5,0,IF(BK$2&gt;VLOOKUP($H91,Lists!$P$3:$Q$7,2),IF($N91=Lists!$K$3,IF($L91&lt;1,(($U91/$L91)*((1+Inputs!$D$7)^BK$2)),((INT(BK$2/$L91)-INT((BK$2-1)/$L91))*$U91*((1+Inputs!$D$7)^BK$2))),(_xlfn.WEIBULL.DIST(BK$2,$M91,$L91,FALSE)*$U91*((1+Inputs!$D$7)^BK$2))),IF($N91=Lists!$K$3,IF($L91&lt;1,((($T91*(1-$F91)+$S91*(1-$G91))/$L91)*((1+Inputs!$D$7)^BK$2)),((INT(BK$2/$L91)-INT((BK$2-1)/$L91))*($T91*(1-$F91)+$S91*(1-$G91))*((1+Inputs!$D$7)^BK$2))),((_xlfn.WEIBULL.DIST(BK$2,$M91,$L91,FALSE)*($T91*(1-$F91)+$S91*(1-$G91))*((1+Inputs!$D$7)^BK$2))))))</f>
        <v>0</v>
      </c>
      <c r="BL91" s="88">
        <f>$E91*IF(BL$2&gt;Inputs!$D$5,0,IF(BL$2&gt;VLOOKUP($H91,Lists!$P$3:$Q$7,2),IF($N91=Lists!$K$3,IF($L91&lt;1,(($U91/$L91)*((1+Inputs!$D$7)^BL$2)),((INT(BL$2/$L91)-INT((BL$2-1)/$L91))*$U91*((1+Inputs!$D$7)^BL$2))),(_xlfn.WEIBULL.DIST(BL$2,$M91,$L91,FALSE)*$U91*((1+Inputs!$D$7)^BL$2))),IF($N91=Lists!$K$3,IF($L91&lt;1,((($T91*(1-$F91)+$S91*(1-$G91))/$L91)*((1+Inputs!$D$7)^BL$2)),((INT(BL$2/$L91)-INT((BL$2-1)/$L91))*($T91*(1-$F91)+$S91*(1-$G91))*((1+Inputs!$D$7)^BL$2))),((_xlfn.WEIBULL.DIST(BL$2,$M91,$L91,FALSE)*($T91*(1-$F91)+$S91*(1-$G91))*((1+Inputs!$D$7)^BL$2))))))</f>
        <v>0</v>
      </c>
      <c r="BM91" s="88">
        <f>$E91*IF(BM$2&gt;Inputs!$D$5,0,IF(BM$2&gt;VLOOKUP($H91,Lists!$P$3:$Q$7,2),IF($N91=Lists!$K$3,IF($L91&lt;1,(($U91/$L91)*((1+Inputs!$D$7)^BM$2)),((INT(BM$2/$L91)-INT((BM$2-1)/$L91))*$U91*((1+Inputs!$D$7)^BM$2))),(_xlfn.WEIBULL.DIST(BM$2,$M91,$L91,FALSE)*$U91*((1+Inputs!$D$7)^BM$2))),IF($N91=Lists!$K$3,IF($L91&lt;1,((($T91*(1-$F91)+$S91*(1-$G91))/$L91)*((1+Inputs!$D$7)^BM$2)),((INT(BM$2/$L91)-INT((BM$2-1)/$L91))*($T91*(1-$F91)+$S91*(1-$G91))*((1+Inputs!$D$7)^BM$2))),((_xlfn.WEIBULL.DIST(BM$2,$M91,$L91,FALSE)*($T91*(1-$F91)+$S91*(1-$G91))*((1+Inputs!$D$7)^BM$2))))))</f>
        <v>0</v>
      </c>
      <c r="BN91" s="88">
        <f>$E91*IF(BN$2&gt;Inputs!$D$5,0,IF(BN$2&gt;VLOOKUP($H91,Lists!$P$3:$Q$7,2),IF($N91=Lists!$K$3,IF($L91&lt;1,(($U91/$L91)*((1+Inputs!$D$7)^BN$2)),((INT(BN$2/$L91)-INT((BN$2-1)/$L91))*$U91*((1+Inputs!$D$7)^BN$2))),(_xlfn.WEIBULL.DIST(BN$2,$M91,$L91,FALSE)*$U91*((1+Inputs!$D$7)^BN$2))),IF($N91=Lists!$K$3,IF($L91&lt;1,((($T91*(1-$F91)+$S91*(1-$G91))/$L91)*((1+Inputs!$D$7)^BN$2)),((INT(BN$2/$L91)-INT((BN$2-1)/$L91))*($T91*(1-$F91)+$S91*(1-$G91))*((1+Inputs!$D$7)^BN$2))),((_xlfn.WEIBULL.DIST(BN$2,$M91,$L91,FALSE)*($T91*(1-$F91)+$S91*(1-$G91))*((1+Inputs!$D$7)^BN$2))))))</f>
        <v>0</v>
      </c>
      <c r="BO91" s="64">
        <f>NPV(Inputs!$D$6,BQ91:DD91)</f>
        <v>428.09047604149282</v>
      </c>
      <c r="BP91" s="67">
        <f t="shared" si="20"/>
        <v>2.0190836818126363E-4</v>
      </c>
      <c r="BQ91" s="88">
        <f>MAX(AA91,($E91*IF(BQ$2&gt;Inputs!$D$5,0,IF(BQ$2&gt;VLOOKUP($H91,Lists!$P$3:$Q$7,2),IF($N91=Lists!$K$3,IF($L91&lt;1,(($U91/$L91)*((1+Inputs!$D$7)^BQ$2)),((INT(BQ$2/$L91)-INT((BQ$2-1)/$L91))*$U91*((1+Inputs!$D$7)^BQ$2))),(Inputs!$D$8^((1-_xlfn.WEIBULL.DIST(BQ$2,$M91,$L91,FALSE))/_xlfn.WEIBULL.DIST(BQ$2,$M91,$L91,FALSE))*$U91*((1+Inputs!$D$7)^BQ$2))),IF($N91=Lists!$K$3,IF($L91&lt;1,((($T91*(1-$F91)+$S91*(1-$G91))/$L91)*((1+Inputs!$D$7)^BQ$2)),((INT(BQ$2/$L91)-INT((BQ$2-1)/$L91))*($T91*(1-$F91)+$S91*(1-$G91))*((1+Inputs!$D$7)^BQ$2))),((Inputs!$D$8^((1-_xlfn.WEIBULL.DIST(BQ$2,$M91,$L91,FALSE))/_xlfn.WEIBULL.DIST(BQ$2,$M91,$L91,FALSE))*($T91*(1-$F91)+$S91*(1-$G91))*((1+Inputs!$D$7)^BQ$2))))))))</f>
        <v>0</v>
      </c>
      <c r="BR91" s="88">
        <f>MAX(AB91,($E91*IF(BR$2&gt;Inputs!$D$5,0,IF(BR$2&gt;VLOOKUP($H91,Lists!$P$3:$Q$7,2),IF($N91=Lists!$K$3,IF($L91&lt;1,(($U91/$L91)*((1+Inputs!$D$7)^BR$2)),((INT(BR$2/$L91)-INT((BR$2-1)/$L91))*$U91*((1+Inputs!$D$7)^BR$2))),(Inputs!$D$8^((1-_xlfn.WEIBULL.DIST(BR$2,$M91,$L91,FALSE))/_xlfn.WEIBULL.DIST(BR$2,$M91,$L91,FALSE))*$U91*((1+Inputs!$D$7)^BR$2))),IF($N91=Lists!$K$3,IF($L91&lt;1,((($T91*(1-$F91)+$S91*(1-$G91))/$L91)*((1+Inputs!$D$7)^BR$2)),((INT(BR$2/$L91)-INT((BR$2-1)/$L91))*($T91*(1-$F91)+$S91*(1-$G91))*((1+Inputs!$D$7)^BR$2))),((Inputs!$D$8^((1-_xlfn.WEIBULL.DIST(BR$2,$M91,$L91,FALSE))/_xlfn.WEIBULL.DIST(BR$2,$M91,$L91,FALSE))*($T91*(1-$F91)+$S91*(1-$G91))*((1+Inputs!$D$7)^BR$2))))))))</f>
        <v>0</v>
      </c>
      <c r="BS91" s="88">
        <f>MAX(AC91,($E91*IF(BS$2&gt;Inputs!$D$5,0,IF(BS$2&gt;VLOOKUP($H91,Lists!$P$3:$Q$7,2),IF($N91=Lists!$K$3,IF($L91&lt;1,(($U91/$L91)*((1+Inputs!$D$7)^BS$2)),((INT(BS$2/$L91)-INT((BS$2-1)/$L91))*$U91*((1+Inputs!$D$7)^BS$2))),(Inputs!$D$8^((1-_xlfn.WEIBULL.DIST(BS$2,$M91,$L91,FALSE))/_xlfn.WEIBULL.DIST(BS$2,$M91,$L91,FALSE))*$U91*((1+Inputs!$D$7)^BS$2))),IF($N91=Lists!$K$3,IF($L91&lt;1,((($T91*(1-$F91)+$S91*(1-$G91))/$L91)*((1+Inputs!$D$7)^BS$2)),((INT(BS$2/$L91)-INT((BS$2-1)/$L91))*($T91*(1-$F91)+$S91*(1-$G91))*((1+Inputs!$D$7)^BS$2))),((Inputs!$D$8^((1-_xlfn.WEIBULL.DIST(BS$2,$M91,$L91,FALSE))/_xlfn.WEIBULL.DIST(BS$2,$M91,$L91,FALSE))*($T91*(1-$F91)+$S91*(1-$G91))*((1+Inputs!$D$7)^BS$2))))))))</f>
        <v>0</v>
      </c>
      <c r="BT91" s="88">
        <f>MAX(AD91,($E91*IF(BT$2&gt;Inputs!$D$5,0,IF(BT$2&gt;VLOOKUP($H91,Lists!$P$3:$Q$7,2),IF($N91=Lists!$K$3,IF($L91&lt;1,(($U91/$L91)*((1+Inputs!$D$7)^BT$2)),((INT(BT$2/$L91)-INT((BT$2-1)/$L91))*$U91*((1+Inputs!$D$7)^BT$2))),(Inputs!$D$8^((1-_xlfn.WEIBULL.DIST(BT$2,$M91,$L91,FALSE))/_xlfn.WEIBULL.DIST(BT$2,$M91,$L91,FALSE))*$U91*((1+Inputs!$D$7)^BT$2))),IF($N91=Lists!$K$3,IF($L91&lt;1,((($T91*(1-$F91)+$S91*(1-$G91))/$L91)*((1+Inputs!$D$7)^BT$2)),((INT(BT$2/$L91)-INT((BT$2-1)/$L91))*($T91*(1-$F91)+$S91*(1-$G91))*((1+Inputs!$D$7)^BT$2))),((Inputs!$D$8^((1-_xlfn.WEIBULL.DIST(BT$2,$M91,$L91,FALSE))/_xlfn.WEIBULL.DIST(BT$2,$M91,$L91,FALSE))*($T91*(1-$F91)+$S91*(1-$G91))*((1+Inputs!$D$7)^BT$2))))))))</f>
        <v>0</v>
      </c>
      <c r="BU91" s="88">
        <f>MAX(AE91,($E91*IF(BU$2&gt;Inputs!$D$5,0,IF(BU$2&gt;VLOOKUP($H91,Lists!$P$3:$Q$7,2),IF($N91=Lists!$K$3,IF($L91&lt;1,(($U91/$L91)*((1+Inputs!$D$7)^BU$2)),((INT(BU$2/$L91)-INT((BU$2-1)/$L91))*$U91*((1+Inputs!$D$7)^BU$2))),(Inputs!$D$8^((1-_xlfn.WEIBULL.DIST(BU$2,$M91,$L91,FALSE))/_xlfn.WEIBULL.DIST(BU$2,$M91,$L91,FALSE))*$U91*((1+Inputs!$D$7)^BU$2))),IF($N91=Lists!$K$3,IF($L91&lt;1,((($T91*(1-$F91)+$S91*(1-$G91))/$L91)*((1+Inputs!$D$7)^BU$2)),((INT(BU$2/$L91)-INT((BU$2-1)/$L91))*($T91*(1-$F91)+$S91*(1-$G91))*((1+Inputs!$D$7)^BU$2))),((Inputs!$D$8^((1-_xlfn.WEIBULL.DIST(BU$2,$M91,$L91,FALSE))/_xlfn.WEIBULL.DIST(BU$2,$M91,$L91,FALSE))*($T91*(1-$F91)+$S91*(1-$G91))*((1+Inputs!$D$7)^BU$2))))))))</f>
        <v>183.12878706923073</v>
      </c>
      <c r="BV91" s="88">
        <f>MAX(AF91,($E91*IF(BV$2&gt;Inputs!$D$5,0,IF(BV$2&gt;VLOOKUP($H91,Lists!$P$3:$Q$7,2),IF($N91=Lists!$K$3,IF($L91&lt;1,(($U91/$L91)*((1+Inputs!$D$7)^BV$2)),((INT(BV$2/$L91)-INT((BV$2-1)/$L91))*$U91*((1+Inputs!$D$7)^BV$2))),(Inputs!$D$8^((1-_xlfn.WEIBULL.DIST(BV$2,$M91,$L91,FALSE))/_xlfn.WEIBULL.DIST(BV$2,$M91,$L91,FALSE))*$U91*((1+Inputs!$D$7)^BV$2))),IF($N91=Lists!$K$3,IF($L91&lt;1,((($T91*(1-$F91)+$S91*(1-$G91))/$L91)*((1+Inputs!$D$7)^BV$2)),((INT(BV$2/$L91)-INT((BV$2-1)/$L91))*($T91*(1-$F91)+$S91*(1-$G91))*((1+Inputs!$D$7)^BV$2))),((Inputs!$D$8^((1-_xlfn.WEIBULL.DIST(BV$2,$M91,$L91,FALSE))/_xlfn.WEIBULL.DIST(BV$2,$M91,$L91,FALSE))*($T91*(1-$F91)+$S91*(1-$G91))*((1+Inputs!$D$7)^BV$2))))))))</f>
        <v>0</v>
      </c>
      <c r="BW91" s="88">
        <f>MAX(AG91,($E91*IF(BW$2&gt;Inputs!$D$5,0,IF(BW$2&gt;VLOOKUP($H91,Lists!$P$3:$Q$7,2),IF($N91=Lists!$K$3,IF($L91&lt;1,(($U91/$L91)*((1+Inputs!$D$7)^BW$2)),((INT(BW$2/$L91)-INT((BW$2-1)/$L91))*$U91*((1+Inputs!$D$7)^BW$2))),(Inputs!$D$8^((1-_xlfn.WEIBULL.DIST(BW$2,$M91,$L91,FALSE))/_xlfn.WEIBULL.DIST(BW$2,$M91,$L91,FALSE))*$U91*((1+Inputs!$D$7)^BW$2))),IF($N91=Lists!$K$3,IF($L91&lt;1,((($T91*(1-$F91)+$S91*(1-$G91))/$L91)*((1+Inputs!$D$7)^BW$2)),((INT(BW$2/$L91)-INT((BW$2-1)/$L91))*($T91*(1-$F91)+$S91*(1-$G91))*((1+Inputs!$D$7)^BW$2))),((Inputs!$D$8^((1-_xlfn.WEIBULL.DIST(BW$2,$M91,$L91,FALSE))/_xlfn.WEIBULL.DIST(BW$2,$M91,$L91,FALSE))*($T91*(1-$F91)+$S91*(1-$G91))*((1+Inputs!$D$7)^BW$2))))))))</f>
        <v>0</v>
      </c>
      <c r="BX91" s="88">
        <f>MAX(AH91,($E91*IF(BX$2&gt;Inputs!$D$5,0,IF(BX$2&gt;VLOOKUP($H91,Lists!$P$3:$Q$7,2),IF($N91=Lists!$K$3,IF($L91&lt;1,(($U91/$L91)*((1+Inputs!$D$7)^BX$2)),((INT(BX$2/$L91)-INT((BX$2-1)/$L91))*$U91*((1+Inputs!$D$7)^BX$2))),(Inputs!$D$8^((1-_xlfn.WEIBULL.DIST(BX$2,$M91,$L91,FALSE))/_xlfn.WEIBULL.DIST(BX$2,$M91,$L91,FALSE))*$U91*((1+Inputs!$D$7)^BX$2))),IF($N91=Lists!$K$3,IF($L91&lt;1,((($T91*(1-$F91)+$S91*(1-$G91))/$L91)*((1+Inputs!$D$7)^BX$2)),((INT(BX$2/$L91)-INT((BX$2-1)/$L91))*($T91*(1-$F91)+$S91*(1-$G91))*((1+Inputs!$D$7)^BX$2))),((Inputs!$D$8^((1-_xlfn.WEIBULL.DIST(BX$2,$M91,$L91,FALSE))/_xlfn.WEIBULL.DIST(BX$2,$M91,$L91,FALSE))*($T91*(1-$F91)+$S91*(1-$G91))*((1+Inputs!$D$7)^BX$2))))))))</f>
        <v>0</v>
      </c>
      <c r="BY91" s="88">
        <f>MAX(AI91,($E91*IF(BY$2&gt;Inputs!$D$5,0,IF(BY$2&gt;VLOOKUP($H91,Lists!$P$3:$Q$7,2),IF($N91=Lists!$K$3,IF($L91&lt;1,(($U91/$L91)*((1+Inputs!$D$7)^BY$2)),((INT(BY$2/$L91)-INT((BY$2-1)/$L91))*$U91*((1+Inputs!$D$7)^BY$2))),(Inputs!$D$8^((1-_xlfn.WEIBULL.DIST(BY$2,$M91,$L91,FALSE))/_xlfn.WEIBULL.DIST(BY$2,$M91,$L91,FALSE))*$U91*((1+Inputs!$D$7)^BY$2))),IF($N91=Lists!$K$3,IF($L91&lt;1,((($T91*(1-$F91)+$S91*(1-$G91))/$L91)*((1+Inputs!$D$7)^BY$2)),((INT(BY$2/$L91)-INT((BY$2-1)/$L91))*($T91*(1-$F91)+$S91*(1-$G91))*((1+Inputs!$D$7)^BY$2))),((Inputs!$D$8^((1-_xlfn.WEIBULL.DIST(BY$2,$M91,$L91,FALSE))/_xlfn.WEIBULL.DIST(BY$2,$M91,$L91,FALSE))*($T91*(1-$F91)+$S91*(1-$G91))*((1+Inputs!$D$7)^BY$2))))))))</f>
        <v>0</v>
      </c>
      <c r="BZ91" s="88">
        <f>MAX(AJ91,($E91*IF(BZ$2&gt;Inputs!$D$5,0,IF(BZ$2&gt;VLOOKUP($H91,Lists!$P$3:$Q$7,2),IF($N91=Lists!$K$3,IF($L91&lt;1,(($U91/$L91)*((1+Inputs!$D$7)^BZ$2)),((INT(BZ$2/$L91)-INT((BZ$2-1)/$L91))*$U91*((1+Inputs!$D$7)^BZ$2))),(Inputs!$D$8^((1-_xlfn.WEIBULL.DIST(BZ$2,$M91,$L91,FALSE))/_xlfn.WEIBULL.DIST(BZ$2,$M91,$L91,FALSE))*$U91*((1+Inputs!$D$7)^BZ$2))),IF($N91=Lists!$K$3,IF($L91&lt;1,((($T91*(1-$F91)+$S91*(1-$G91))/$L91)*((1+Inputs!$D$7)^BZ$2)),((INT(BZ$2/$L91)-INT((BZ$2-1)/$L91))*($T91*(1-$F91)+$S91*(1-$G91))*((1+Inputs!$D$7)^BZ$2))),((Inputs!$D$8^((1-_xlfn.WEIBULL.DIST(BZ$2,$M91,$L91,FALSE))/_xlfn.WEIBULL.DIST(BZ$2,$M91,$L91,FALSE))*($T91*(1-$F91)+$S91*(1-$G91))*((1+Inputs!$D$7)^BZ$2))))))))</f>
        <v>202.18897831643804</v>
      </c>
      <c r="CA91" s="88">
        <f>MAX(AK91,($E91*IF(CA$2&gt;Inputs!$D$5,0,IF(CA$2&gt;VLOOKUP($H91,Lists!$P$3:$Q$7,2),IF($N91=Lists!$K$3,IF($L91&lt;1,(($U91/$L91)*((1+Inputs!$D$7)^CA$2)),((INT(CA$2/$L91)-INT((CA$2-1)/$L91))*$U91*((1+Inputs!$D$7)^CA$2))),(Inputs!$D$8^((1-_xlfn.WEIBULL.DIST(CA$2,$M91,$L91,FALSE))/_xlfn.WEIBULL.DIST(CA$2,$M91,$L91,FALSE))*$U91*((1+Inputs!$D$7)^CA$2))),IF($N91=Lists!$K$3,IF($L91&lt;1,((($T91*(1-$F91)+$S91*(1-$G91))/$L91)*((1+Inputs!$D$7)^CA$2)),((INT(CA$2/$L91)-INT((CA$2-1)/$L91))*($T91*(1-$F91)+$S91*(1-$G91))*((1+Inputs!$D$7)^CA$2))),((Inputs!$D$8^((1-_xlfn.WEIBULL.DIST(CA$2,$M91,$L91,FALSE))/_xlfn.WEIBULL.DIST(CA$2,$M91,$L91,FALSE))*($T91*(1-$F91)+$S91*(1-$G91))*((1+Inputs!$D$7)^CA$2))))))))</f>
        <v>0</v>
      </c>
      <c r="CB91" s="88">
        <f>MAX(AL91,($E91*IF(CB$2&gt;Inputs!$D$5,0,IF(CB$2&gt;VLOOKUP($H91,Lists!$P$3:$Q$7,2),IF($N91=Lists!$K$3,IF($L91&lt;1,(($U91/$L91)*((1+Inputs!$D$7)^CB$2)),((INT(CB$2/$L91)-INT((CB$2-1)/$L91))*$U91*((1+Inputs!$D$7)^CB$2))),(Inputs!$D$8^((1-_xlfn.WEIBULL.DIST(CB$2,$M91,$L91,FALSE))/_xlfn.WEIBULL.DIST(CB$2,$M91,$L91,FALSE))*$U91*((1+Inputs!$D$7)^CB$2))),IF($N91=Lists!$K$3,IF($L91&lt;1,((($T91*(1-$F91)+$S91*(1-$G91))/$L91)*((1+Inputs!$D$7)^CB$2)),((INT(CB$2/$L91)-INT((CB$2-1)/$L91))*($T91*(1-$F91)+$S91*(1-$G91))*((1+Inputs!$D$7)^CB$2))),((Inputs!$D$8^((1-_xlfn.WEIBULL.DIST(CB$2,$M91,$L91,FALSE))/_xlfn.WEIBULL.DIST(CB$2,$M91,$L91,FALSE))*($T91*(1-$F91)+$S91*(1-$G91))*((1+Inputs!$D$7)^CB$2))))))))</f>
        <v>0</v>
      </c>
      <c r="CC91" s="88">
        <f>MAX(AM91,($E91*IF(CC$2&gt;Inputs!$D$5,0,IF(CC$2&gt;VLOOKUP($H91,Lists!$P$3:$Q$7,2),IF($N91=Lists!$K$3,IF($L91&lt;1,(($U91/$L91)*((1+Inputs!$D$7)^CC$2)),((INT(CC$2/$L91)-INT((CC$2-1)/$L91))*$U91*((1+Inputs!$D$7)^CC$2))),(Inputs!$D$8^((1-_xlfn.WEIBULL.DIST(CC$2,$M91,$L91,FALSE))/_xlfn.WEIBULL.DIST(CC$2,$M91,$L91,FALSE))*$U91*((1+Inputs!$D$7)^CC$2))),IF($N91=Lists!$K$3,IF($L91&lt;1,((($T91*(1-$F91)+$S91*(1-$G91))/$L91)*((1+Inputs!$D$7)^CC$2)),((INT(CC$2/$L91)-INT((CC$2-1)/$L91))*($T91*(1-$F91)+$S91*(1-$G91))*((1+Inputs!$D$7)^CC$2))),((Inputs!$D$8^((1-_xlfn.WEIBULL.DIST(CC$2,$M91,$L91,FALSE))/_xlfn.WEIBULL.DIST(CC$2,$M91,$L91,FALSE))*($T91*(1-$F91)+$S91*(1-$G91))*((1+Inputs!$D$7)^CC$2))))))))</f>
        <v>0</v>
      </c>
      <c r="CD91" s="88">
        <f>MAX(AN91,($E91*IF(CD$2&gt;Inputs!$D$5,0,IF(CD$2&gt;VLOOKUP($H91,Lists!$P$3:$Q$7,2),IF($N91=Lists!$K$3,IF($L91&lt;1,(($U91/$L91)*((1+Inputs!$D$7)^CD$2)),((INT(CD$2/$L91)-INT((CD$2-1)/$L91))*$U91*((1+Inputs!$D$7)^CD$2))),(Inputs!$D$8^((1-_xlfn.WEIBULL.DIST(CD$2,$M91,$L91,FALSE))/_xlfn.WEIBULL.DIST(CD$2,$M91,$L91,FALSE))*$U91*((1+Inputs!$D$7)^CD$2))),IF($N91=Lists!$K$3,IF($L91&lt;1,((($T91*(1-$F91)+$S91*(1-$G91))/$L91)*((1+Inputs!$D$7)^CD$2)),((INT(CD$2/$L91)-INT((CD$2-1)/$L91))*($T91*(1-$F91)+$S91*(1-$G91))*((1+Inputs!$D$7)^CD$2))),((Inputs!$D$8^((1-_xlfn.WEIBULL.DIST(CD$2,$M91,$L91,FALSE))/_xlfn.WEIBULL.DIST(CD$2,$M91,$L91,FALSE))*($T91*(1-$F91)+$S91*(1-$G91))*((1+Inputs!$D$7)^CD$2))))))))</f>
        <v>0</v>
      </c>
      <c r="CE91" s="88">
        <f>MAX(AO91,($E91*IF(CE$2&gt;Inputs!$D$5,0,IF(CE$2&gt;VLOOKUP($H91,Lists!$P$3:$Q$7,2),IF($N91=Lists!$K$3,IF($L91&lt;1,(($U91/$L91)*((1+Inputs!$D$7)^CE$2)),((INT(CE$2/$L91)-INT((CE$2-1)/$L91))*$U91*((1+Inputs!$D$7)^CE$2))),(Inputs!$D$8^((1-_xlfn.WEIBULL.DIST(CE$2,$M91,$L91,FALSE))/_xlfn.WEIBULL.DIST(CE$2,$M91,$L91,FALSE))*$U91*((1+Inputs!$D$7)^CE$2))),IF($N91=Lists!$K$3,IF($L91&lt;1,((($T91*(1-$F91)+$S91*(1-$G91))/$L91)*((1+Inputs!$D$7)^CE$2)),((INT(CE$2/$L91)-INT((CE$2-1)/$L91))*($T91*(1-$F91)+$S91*(1-$G91))*((1+Inputs!$D$7)^CE$2))),((Inputs!$D$8^((1-_xlfn.WEIBULL.DIST(CE$2,$M91,$L91,FALSE))/_xlfn.WEIBULL.DIST(CE$2,$M91,$L91,FALSE))*($T91*(1-$F91)+$S91*(1-$G91))*((1+Inputs!$D$7)^CE$2))))))))</f>
        <v>223.23296957780025</v>
      </c>
      <c r="CF91" s="88">
        <f>MAX(AP91,($E91*IF(CF$2&gt;Inputs!$D$5,0,IF(CF$2&gt;VLOOKUP($H91,Lists!$P$3:$Q$7,2),IF($N91=Lists!$K$3,IF($L91&lt;1,(($U91/$L91)*((1+Inputs!$D$7)^CF$2)),((INT(CF$2/$L91)-INT((CF$2-1)/$L91))*$U91*((1+Inputs!$D$7)^CF$2))),(Inputs!$D$8^((1-_xlfn.WEIBULL.DIST(CF$2,$M91,$L91,FALSE))/_xlfn.WEIBULL.DIST(CF$2,$M91,$L91,FALSE))*$U91*((1+Inputs!$D$7)^CF$2))),IF($N91=Lists!$K$3,IF($L91&lt;1,((($T91*(1-$F91)+$S91*(1-$G91))/$L91)*((1+Inputs!$D$7)^CF$2)),((INT(CF$2/$L91)-INT((CF$2-1)/$L91))*($T91*(1-$F91)+$S91*(1-$G91))*((1+Inputs!$D$7)^CF$2))),((Inputs!$D$8^((1-_xlfn.WEIBULL.DIST(CF$2,$M91,$L91,FALSE))/_xlfn.WEIBULL.DIST(CF$2,$M91,$L91,FALSE))*($T91*(1-$F91)+$S91*(1-$G91))*((1+Inputs!$D$7)^CF$2))))))))</f>
        <v>0</v>
      </c>
      <c r="CG91" s="88">
        <f>MAX(AQ91,($E91*IF(CG$2&gt;Inputs!$D$5,0,IF(CG$2&gt;VLOOKUP($H91,Lists!$P$3:$Q$7,2),IF($N91=Lists!$K$3,IF($L91&lt;1,(($U91/$L91)*((1+Inputs!$D$7)^CG$2)),((INT(CG$2/$L91)-INT((CG$2-1)/$L91))*$U91*((1+Inputs!$D$7)^CG$2))),(Inputs!$D$8^((1-_xlfn.WEIBULL.DIST(CG$2,$M91,$L91,FALSE))/_xlfn.WEIBULL.DIST(CG$2,$M91,$L91,FALSE))*$U91*((1+Inputs!$D$7)^CG$2))),IF($N91=Lists!$K$3,IF($L91&lt;1,((($T91*(1-$F91)+$S91*(1-$G91))/$L91)*((1+Inputs!$D$7)^CG$2)),((INT(CG$2/$L91)-INT((CG$2-1)/$L91))*($T91*(1-$F91)+$S91*(1-$G91))*((1+Inputs!$D$7)^CG$2))),((Inputs!$D$8^((1-_xlfn.WEIBULL.DIST(CG$2,$M91,$L91,FALSE))/_xlfn.WEIBULL.DIST(CG$2,$M91,$L91,FALSE))*($T91*(1-$F91)+$S91*(1-$G91))*((1+Inputs!$D$7)^CG$2))))))))</f>
        <v>0</v>
      </c>
      <c r="CH91" s="88">
        <f>MAX(AR91,($E91*IF(CH$2&gt;Inputs!$D$5,0,IF(CH$2&gt;VLOOKUP($H91,Lists!$P$3:$Q$7,2),IF($N91=Lists!$K$3,IF($L91&lt;1,(($U91/$L91)*((1+Inputs!$D$7)^CH$2)),((INT(CH$2/$L91)-INT((CH$2-1)/$L91))*$U91*((1+Inputs!$D$7)^CH$2))),(Inputs!$D$8^((1-_xlfn.WEIBULL.DIST(CH$2,$M91,$L91,FALSE))/_xlfn.WEIBULL.DIST(CH$2,$M91,$L91,FALSE))*$U91*((1+Inputs!$D$7)^CH$2))),IF($N91=Lists!$K$3,IF($L91&lt;1,((($T91*(1-$F91)+$S91*(1-$G91))/$L91)*((1+Inputs!$D$7)^CH$2)),((INT(CH$2/$L91)-INT((CH$2-1)/$L91))*($T91*(1-$F91)+$S91*(1-$G91))*((1+Inputs!$D$7)^CH$2))),((Inputs!$D$8^((1-_xlfn.WEIBULL.DIST(CH$2,$M91,$L91,FALSE))/_xlfn.WEIBULL.DIST(CH$2,$M91,$L91,FALSE))*($T91*(1-$F91)+$S91*(1-$G91))*((1+Inputs!$D$7)^CH$2))))))))</f>
        <v>0</v>
      </c>
      <c r="CI91" s="88">
        <f>MAX(AS91,($E91*IF(CI$2&gt;Inputs!$D$5,0,IF(CI$2&gt;VLOOKUP($H91,Lists!$P$3:$Q$7,2),IF($N91=Lists!$K$3,IF($L91&lt;1,(($U91/$L91)*((1+Inputs!$D$7)^CI$2)),((INT(CI$2/$L91)-INT((CI$2-1)/$L91))*$U91*((1+Inputs!$D$7)^CI$2))),(Inputs!$D$8^((1-_xlfn.WEIBULL.DIST(CI$2,$M91,$L91,FALSE))/_xlfn.WEIBULL.DIST(CI$2,$M91,$L91,FALSE))*$U91*((1+Inputs!$D$7)^CI$2))),IF($N91=Lists!$K$3,IF($L91&lt;1,((($T91*(1-$F91)+$S91*(1-$G91))/$L91)*((1+Inputs!$D$7)^CI$2)),((INT(CI$2/$L91)-INT((CI$2-1)/$L91))*($T91*(1-$F91)+$S91*(1-$G91))*((1+Inputs!$D$7)^CI$2))),((Inputs!$D$8^((1-_xlfn.WEIBULL.DIST(CI$2,$M91,$L91,FALSE))/_xlfn.WEIBULL.DIST(CI$2,$M91,$L91,FALSE))*($T91*(1-$F91)+$S91*(1-$G91))*((1+Inputs!$D$7)^CI$2))))))))</f>
        <v>0</v>
      </c>
      <c r="CJ91" s="88">
        <f>MAX(AT91,($E91*IF(CJ$2&gt;Inputs!$D$5,0,IF(CJ$2&gt;VLOOKUP($H91,Lists!$P$3:$Q$7,2),IF($N91=Lists!$K$3,IF($L91&lt;1,(($U91/$L91)*((1+Inputs!$D$7)^CJ$2)),((INT(CJ$2/$L91)-INT((CJ$2-1)/$L91))*$U91*((1+Inputs!$D$7)^CJ$2))),(Inputs!$D$8^((1-_xlfn.WEIBULL.DIST(CJ$2,$M91,$L91,FALSE))/_xlfn.WEIBULL.DIST(CJ$2,$M91,$L91,FALSE))*$U91*((1+Inputs!$D$7)^CJ$2))),IF($N91=Lists!$K$3,IF($L91&lt;1,((($T91*(1-$F91)+$S91*(1-$G91))/$L91)*((1+Inputs!$D$7)^CJ$2)),((INT(CJ$2/$L91)-INT((CJ$2-1)/$L91))*($T91*(1-$F91)+$S91*(1-$G91))*((1+Inputs!$D$7)^CJ$2))),((Inputs!$D$8^((1-_xlfn.WEIBULL.DIST(CJ$2,$M91,$L91,FALSE))/_xlfn.WEIBULL.DIST(CJ$2,$M91,$L91,FALSE))*($T91*(1-$F91)+$S91*(1-$G91))*((1+Inputs!$D$7)^CJ$2))))))))</f>
        <v>246.4672363521789</v>
      </c>
      <c r="CK91" s="88">
        <f>MAX(AU91,($E91*IF(CK$2&gt;Inputs!$D$5,0,IF(CK$2&gt;VLOOKUP($H91,Lists!$P$3:$Q$7,2),IF($N91=Lists!$K$3,IF($L91&lt;1,(($U91/$L91)*((1+Inputs!$D$7)^CK$2)),((INT(CK$2/$L91)-INT((CK$2-1)/$L91))*$U91*((1+Inputs!$D$7)^CK$2))),(Inputs!$D$8^((1-_xlfn.WEIBULL.DIST(CK$2,$M91,$L91,FALSE))/_xlfn.WEIBULL.DIST(CK$2,$M91,$L91,FALSE))*$U91*((1+Inputs!$D$7)^CK$2))),IF($N91=Lists!$K$3,IF($L91&lt;1,((($T91*(1-$F91)+$S91*(1-$G91))/$L91)*((1+Inputs!$D$7)^CK$2)),((INT(CK$2/$L91)-INT((CK$2-1)/$L91))*($T91*(1-$F91)+$S91*(1-$G91))*((1+Inputs!$D$7)^CK$2))),((Inputs!$D$8^((1-_xlfn.WEIBULL.DIST(CK$2,$M91,$L91,FALSE))/_xlfn.WEIBULL.DIST(CK$2,$M91,$L91,FALSE))*($T91*(1-$F91)+$S91*(1-$G91))*((1+Inputs!$D$7)^CK$2))))))))</f>
        <v>0</v>
      </c>
      <c r="CL91" s="88">
        <f>MAX(AV91,($E91*IF(CL$2&gt;Inputs!$D$5,0,IF(CL$2&gt;VLOOKUP($H91,Lists!$P$3:$Q$7,2),IF($N91=Lists!$K$3,IF($L91&lt;1,(($U91/$L91)*((1+Inputs!$D$7)^CL$2)),((INT(CL$2/$L91)-INT((CL$2-1)/$L91))*$U91*((1+Inputs!$D$7)^CL$2))),(Inputs!$D$8^((1-_xlfn.WEIBULL.DIST(CL$2,$M91,$L91,FALSE))/_xlfn.WEIBULL.DIST(CL$2,$M91,$L91,FALSE))*$U91*((1+Inputs!$D$7)^CL$2))),IF($N91=Lists!$K$3,IF($L91&lt;1,((($T91*(1-$F91)+$S91*(1-$G91))/$L91)*((1+Inputs!$D$7)^CL$2)),((INT(CL$2/$L91)-INT((CL$2-1)/$L91))*($T91*(1-$F91)+$S91*(1-$G91))*((1+Inputs!$D$7)^CL$2))),((Inputs!$D$8^((1-_xlfn.WEIBULL.DIST(CL$2,$M91,$L91,FALSE))/_xlfn.WEIBULL.DIST(CL$2,$M91,$L91,FALSE))*($T91*(1-$F91)+$S91*(1-$G91))*((1+Inputs!$D$7)^CL$2))))))))</f>
        <v>0</v>
      </c>
      <c r="CM91" s="88">
        <f>MAX(AW91,($E91*IF(CM$2&gt;Inputs!$D$5,0,IF(CM$2&gt;VLOOKUP($H91,Lists!$P$3:$Q$7,2),IF($N91=Lists!$K$3,IF($L91&lt;1,(($U91/$L91)*((1+Inputs!$D$7)^CM$2)),((INT(CM$2/$L91)-INT((CM$2-1)/$L91))*$U91*((1+Inputs!$D$7)^CM$2))),(Inputs!$D$8^((1-_xlfn.WEIBULL.DIST(CM$2,$M91,$L91,FALSE))/_xlfn.WEIBULL.DIST(CM$2,$M91,$L91,FALSE))*$U91*((1+Inputs!$D$7)^CM$2))),IF($N91=Lists!$K$3,IF($L91&lt;1,((($T91*(1-$F91)+$S91*(1-$G91))/$L91)*((1+Inputs!$D$7)^CM$2)),((INT(CM$2/$L91)-INT((CM$2-1)/$L91))*($T91*(1-$F91)+$S91*(1-$G91))*((1+Inputs!$D$7)^CM$2))),((Inputs!$D$8^((1-_xlfn.WEIBULL.DIST(CM$2,$M91,$L91,FALSE))/_xlfn.WEIBULL.DIST(CM$2,$M91,$L91,FALSE))*($T91*(1-$F91)+$S91*(1-$G91))*((1+Inputs!$D$7)^CM$2))))))))</f>
        <v>0</v>
      </c>
      <c r="CN91" s="88">
        <f>MAX(AX91,($E91*IF(CN$2&gt;Inputs!$D$5,0,IF(CN$2&gt;VLOOKUP($H91,Lists!$P$3:$Q$7,2),IF($N91=Lists!$K$3,IF($L91&lt;1,(($U91/$L91)*((1+Inputs!$D$7)^CN$2)),((INT(CN$2/$L91)-INT((CN$2-1)/$L91))*$U91*((1+Inputs!$D$7)^CN$2))),(Inputs!$D$8^((1-_xlfn.WEIBULL.DIST(CN$2,$M91,$L91,FALSE))/_xlfn.WEIBULL.DIST(CN$2,$M91,$L91,FALSE))*$U91*((1+Inputs!$D$7)^CN$2))),IF($N91=Lists!$K$3,IF($L91&lt;1,((($T91*(1-$F91)+$S91*(1-$G91))/$L91)*((1+Inputs!$D$7)^CN$2)),((INT(CN$2/$L91)-INT((CN$2-1)/$L91))*($T91*(1-$F91)+$S91*(1-$G91))*((1+Inputs!$D$7)^CN$2))),((Inputs!$D$8^((1-_xlfn.WEIBULL.DIST(CN$2,$M91,$L91,FALSE))/_xlfn.WEIBULL.DIST(CN$2,$M91,$L91,FALSE))*($T91*(1-$F91)+$S91*(1-$G91))*((1+Inputs!$D$7)^CN$2))))))))</f>
        <v>0</v>
      </c>
      <c r="CO91" s="88">
        <f>MAX(AY91,($E91*IF(CO$2&gt;Inputs!$D$5,0,IF(CO$2&gt;VLOOKUP($H91,Lists!$P$3:$Q$7,2),IF($N91=Lists!$K$3,IF($L91&lt;1,(($U91/$L91)*((1+Inputs!$D$7)^CO$2)),((INT(CO$2/$L91)-INT((CO$2-1)/$L91))*$U91*((1+Inputs!$D$7)^CO$2))),(Inputs!$D$8^((1-_xlfn.WEIBULL.DIST(CO$2,$M91,$L91,FALSE))/_xlfn.WEIBULL.DIST(CO$2,$M91,$L91,FALSE))*$U91*((1+Inputs!$D$7)^CO$2))),IF($N91=Lists!$K$3,IF($L91&lt;1,((($T91*(1-$F91)+$S91*(1-$G91))/$L91)*((1+Inputs!$D$7)^CO$2)),((INT(CO$2/$L91)-INT((CO$2-1)/$L91))*($T91*(1-$F91)+$S91*(1-$G91))*((1+Inputs!$D$7)^CO$2))),((Inputs!$D$8^((1-_xlfn.WEIBULL.DIST(CO$2,$M91,$L91,FALSE))/_xlfn.WEIBULL.DIST(CO$2,$M91,$L91,FALSE))*($T91*(1-$F91)+$S91*(1-$G91))*((1+Inputs!$D$7)^CO$2))))))))</f>
        <v>272.1197442741979</v>
      </c>
      <c r="CP91" s="88">
        <f>MAX(AZ91,($E91*IF(CP$2&gt;Inputs!$D$5,0,IF(CP$2&gt;VLOOKUP($H91,Lists!$P$3:$Q$7,2),IF($N91=Lists!$K$3,IF($L91&lt;1,(($U91/$L91)*((1+Inputs!$D$7)^CP$2)),((INT(CP$2/$L91)-INT((CP$2-1)/$L91))*$U91*((1+Inputs!$D$7)^CP$2))),(Inputs!$D$8^((1-_xlfn.WEIBULL.DIST(CP$2,$M91,$L91,FALSE))/_xlfn.WEIBULL.DIST(CP$2,$M91,$L91,FALSE))*$U91*((1+Inputs!$D$7)^CP$2))),IF($N91=Lists!$K$3,IF($L91&lt;1,((($T91*(1-$F91)+$S91*(1-$G91))/$L91)*((1+Inputs!$D$7)^CP$2)),((INT(CP$2/$L91)-INT((CP$2-1)/$L91))*($T91*(1-$F91)+$S91*(1-$G91))*((1+Inputs!$D$7)^CP$2))),((Inputs!$D$8^((1-_xlfn.WEIBULL.DIST(CP$2,$M91,$L91,FALSE))/_xlfn.WEIBULL.DIST(CP$2,$M91,$L91,FALSE))*($T91*(1-$F91)+$S91*(1-$G91))*((1+Inputs!$D$7)^CP$2))))))))</f>
        <v>0</v>
      </c>
      <c r="CQ91" s="88">
        <f>MAX(BA91,($E91*IF(CQ$2&gt;Inputs!$D$5,0,IF(CQ$2&gt;VLOOKUP($H91,Lists!$P$3:$Q$7,2),IF($N91=Lists!$K$3,IF($L91&lt;1,(($U91/$L91)*((1+Inputs!$D$7)^CQ$2)),((INT(CQ$2/$L91)-INT((CQ$2-1)/$L91))*$U91*((1+Inputs!$D$7)^CQ$2))),(Inputs!$D$8^((1-_xlfn.WEIBULL.DIST(CQ$2,$M91,$L91,FALSE))/_xlfn.WEIBULL.DIST(CQ$2,$M91,$L91,FALSE))*$U91*((1+Inputs!$D$7)^CQ$2))),IF($N91=Lists!$K$3,IF($L91&lt;1,((($T91*(1-$F91)+$S91*(1-$G91))/$L91)*((1+Inputs!$D$7)^CQ$2)),((INT(CQ$2/$L91)-INT((CQ$2-1)/$L91))*($T91*(1-$F91)+$S91*(1-$G91))*((1+Inputs!$D$7)^CQ$2))),((Inputs!$D$8^((1-_xlfn.WEIBULL.DIST(CQ$2,$M91,$L91,FALSE))/_xlfn.WEIBULL.DIST(CQ$2,$M91,$L91,FALSE))*($T91*(1-$F91)+$S91*(1-$G91))*((1+Inputs!$D$7)^CQ$2))))))))</f>
        <v>0</v>
      </c>
      <c r="CR91" s="88">
        <f>MAX(BB91,($E91*IF(CR$2&gt;Inputs!$D$5,0,IF(CR$2&gt;VLOOKUP($H91,Lists!$P$3:$Q$7,2),IF($N91=Lists!$K$3,IF($L91&lt;1,(($U91/$L91)*((1+Inputs!$D$7)^CR$2)),((INT(CR$2/$L91)-INT((CR$2-1)/$L91))*$U91*((1+Inputs!$D$7)^CR$2))),(Inputs!$D$8^((1-_xlfn.WEIBULL.DIST(CR$2,$M91,$L91,FALSE))/_xlfn.WEIBULL.DIST(CR$2,$M91,$L91,FALSE))*$U91*((1+Inputs!$D$7)^CR$2))),IF($N91=Lists!$K$3,IF($L91&lt;1,((($T91*(1-$F91)+$S91*(1-$G91))/$L91)*((1+Inputs!$D$7)^CR$2)),((INT(CR$2/$L91)-INT((CR$2-1)/$L91))*($T91*(1-$F91)+$S91*(1-$G91))*((1+Inputs!$D$7)^CR$2))),((Inputs!$D$8^((1-_xlfn.WEIBULL.DIST(CR$2,$M91,$L91,FALSE))/_xlfn.WEIBULL.DIST(CR$2,$M91,$L91,FALSE))*($T91*(1-$F91)+$S91*(1-$G91))*((1+Inputs!$D$7)^CR$2))))))))</f>
        <v>0</v>
      </c>
      <c r="CS91" s="88">
        <f>MAX(BC91,($E91*IF(CS$2&gt;Inputs!$D$5,0,IF(CS$2&gt;VLOOKUP($H91,Lists!$P$3:$Q$7,2),IF($N91=Lists!$K$3,IF($L91&lt;1,(($U91/$L91)*((1+Inputs!$D$7)^CS$2)),((INT(CS$2/$L91)-INT((CS$2-1)/$L91))*$U91*((1+Inputs!$D$7)^CS$2))),(Inputs!$D$8^((1-_xlfn.WEIBULL.DIST(CS$2,$M91,$L91,FALSE))/_xlfn.WEIBULL.DIST(CS$2,$M91,$L91,FALSE))*$U91*((1+Inputs!$D$7)^CS$2))),IF($N91=Lists!$K$3,IF($L91&lt;1,((($T91*(1-$F91)+$S91*(1-$G91))/$L91)*((1+Inputs!$D$7)^CS$2)),((INT(CS$2/$L91)-INT((CS$2-1)/$L91))*($T91*(1-$F91)+$S91*(1-$G91))*((1+Inputs!$D$7)^CS$2))),((Inputs!$D$8^((1-_xlfn.WEIBULL.DIST(CS$2,$M91,$L91,FALSE))/_xlfn.WEIBULL.DIST(CS$2,$M91,$L91,FALSE))*($T91*(1-$F91)+$S91*(1-$G91))*((1+Inputs!$D$7)^CS$2))))))))</f>
        <v>0</v>
      </c>
      <c r="CT91" s="88">
        <f>MAX(BD91,($E91*IF(CT$2&gt;Inputs!$D$5,0,IF(CT$2&gt;VLOOKUP($H91,Lists!$P$3:$Q$7,2),IF($N91=Lists!$K$3,IF($L91&lt;1,(($U91/$L91)*((1+Inputs!$D$7)^CT$2)),((INT(CT$2/$L91)-INT((CT$2-1)/$L91))*$U91*((1+Inputs!$D$7)^CT$2))),(Inputs!$D$8^((1-_xlfn.WEIBULL.DIST(CT$2,$M91,$L91,FALSE))/_xlfn.WEIBULL.DIST(CT$2,$M91,$L91,FALSE))*$U91*((1+Inputs!$D$7)^CT$2))),IF($N91=Lists!$K$3,IF($L91&lt;1,((($T91*(1-$F91)+$S91*(1-$G91))/$L91)*((1+Inputs!$D$7)^CT$2)),((INT(CT$2/$L91)-INT((CT$2-1)/$L91))*($T91*(1-$F91)+$S91*(1-$G91))*((1+Inputs!$D$7)^CT$2))),((Inputs!$D$8^((1-_xlfn.WEIBULL.DIST(CT$2,$M91,$L91,FALSE))/_xlfn.WEIBULL.DIST(CT$2,$M91,$L91,FALSE))*($T91*(1-$F91)+$S91*(1-$G91))*((1+Inputs!$D$7)^CT$2))))))))</f>
        <v>0</v>
      </c>
      <c r="CU91" s="88">
        <f>MAX(BE91,($E91*IF(CU$2&gt;Inputs!$D$5,0,IF(CU$2&gt;VLOOKUP($H91,Lists!$P$3:$Q$7,2),IF($N91=Lists!$K$3,IF($L91&lt;1,(($U91/$L91)*((1+Inputs!$D$7)^CU$2)),((INT(CU$2/$L91)-INT((CU$2-1)/$L91))*$U91*((1+Inputs!$D$7)^CU$2))),(Inputs!$D$8^((1-_xlfn.WEIBULL.DIST(CU$2,$M91,$L91,FALSE))/_xlfn.WEIBULL.DIST(CU$2,$M91,$L91,FALSE))*$U91*((1+Inputs!$D$7)^CU$2))),IF($N91=Lists!$K$3,IF($L91&lt;1,((($T91*(1-$F91)+$S91*(1-$G91))/$L91)*((1+Inputs!$D$7)^CU$2)),((INT(CU$2/$L91)-INT((CU$2-1)/$L91))*($T91*(1-$F91)+$S91*(1-$G91))*((1+Inputs!$D$7)^CU$2))),((Inputs!$D$8^((1-_xlfn.WEIBULL.DIST(CU$2,$M91,$L91,FALSE))/_xlfn.WEIBULL.DIST(CU$2,$M91,$L91,FALSE))*($T91*(1-$F91)+$S91*(1-$G91))*((1+Inputs!$D$7)^CU$2))))))))</f>
        <v>0</v>
      </c>
      <c r="CV91" s="88">
        <f>MAX(BF91,($E91*IF(CV$2&gt;Inputs!$D$5,0,IF(CV$2&gt;VLOOKUP($H91,Lists!$P$3:$Q$7,2),IF($N91=Lists!$K$3,IF($L91&lt;1,(($U91/$L91)*((1+Inputs!$D$7)^CV$2)),((INT(CV$2/$L91)-INT((CV$2-1)/$L91))*$U91*((1+Inputs!$D$7)^CV$2))),(Inputs!$D$8^((1-_xlfn.WEIBULL.DIST(CV$2,$M91,$L91,FALSE))/_xlfn.WEIBULL.DIST(CV$2,$M91,$L91,FALSE))*$U91*((1+Inputs!$D$7)^CV$2))),IF($N91=Lists!$K$3,IF($L91&lt;1,((($T91*(1-$F91)+$S91*(1-$G91))/$L91)*((1+Inputs!$D$7)^CV$2)),((INT(CV$2/$L91)-INT((CV$2-1)/$L91))*($T91*(1-$F91)+$S91*(1-$G91))*((1+Inputs!$D$7)^CV$2))),((Inputs!$D$8^((1-_xlfn.WEIBULL.DIST(CV$2,$M91,$L91,FALSE))/_xlfn.WEIBULL.DIST(CV$2,$M91,$L91,FALSE))*($T91*(1-$F91)+$S91*(1-$G91))*((1+Inputs!$D$7)^CV$2))))))))</f>
        <v>0</v>
      </c>
      <c r="CW91" s="88">
        <f>MAX(BG91,($E91*IF(CW$2&gt;Inputs!$D$5,0,IF(CW$2&gt;VLOOKUP($H91,Lists!$P$3:$Q$7,2),IF($N91=Lists!$K$3,IF($L91&lt;1,(($U91/$L91)*((1+Inputs!$D$7)^CW$2)),((INT(CW$2/$L91)-INT((CW$2-1)/$L91))*$U91*((1+Inputs!$D$7)^CW$2))),(Inputs!$D$8^((1-_xlfn.WEIBULL.DIST(CW$2,$M91,$L91,FALSE))/_xlfn.WEIBULL.DIST(CW$2,$M91,$L91,FALSE))*$U91*((1+Inputs!$D$7)^CW$2))),IF($N91=Lists!$K$3,IF($L91&lt;1,((($T91*(1-$F91)+$S91*(1-$G91))/$L91)*((1+Inputs!$D$7)^CW$2)),((INT(CW$2/$L91)-INT((CW$2-1)/$L91))*($T91*(1-$F91)+$S91*(1-$G91))*((1+Inputs!$D$7)^CW$2))),((Inputs!$D$8^((1-_xlfn.WEIBULL.DIST(CW$2,$M91,$L91,FALSE))/_xlfn.WEIBULL.DIST(CW$2,$M91,$L91,FALSE))*($T91*(1-$F91)+$S91*(1-$G91))*((1+Inputs!$D$7)^CW$2))))))))</f>
        <v>0</v>
      </c>
      <c r="CX91" s="88">
        <f>MAX(BH91,($E91*IF(CX$2&gt;Inputs!$D$5,0,IF(CX$2&gt;VLOOKUP($H91,Lists!$P$3:$Q$7,2),IF($N91=Lists!$K$3,IF($L91&lt;1,(($U91/$L91)*((1+Inputs!$D$7)^CX$2)),((INT(CX$2/$L91)-INT((CX$2-1)/$L91))*$U91*((1+Inputs!$D$7)^CX$2))),(Inputs!$D$8^((1-_xlfn.WEIBULL.DIST(CX$2,$M91,$L91,FALSE))/_xlfn.WEIBULL.DIST(CX$2,$M91,$L91,FALSE))*$U91*((1+Inputs!$D$7)^CX$2))),IF($N91=Lists!$K$3,IF($L91&lt;1,((($T91*(1-$F91)+$S91*(1-$G91))/$L91)*((1+Inputs!$D$7)^CX$2)),((INT(CX$2/$L91)-INT((CX$2-1)/$L91))*($T91*(1-$F91)+$S91*(1-$G91))*((1+Inputs!$D$7)^CX$2))),((Inputs!$D$8^((1-_xlfn.WEIBULL.DIST(CX$2,$M91,$L91,FALSE))/_xlfn.WEIBULL.DIST(CX$2,$M91,$L91,FALSE))*($T91*(1-$F91)+$S91*(1-$G91))*((1+Inputs!$D$7)^CX$2))))))))</f>
        <v>0</v>
      </c>
      <c r="CY91" s="88">
        <f>MAX(BI91,($E91*IF(CY$2&gt;Inputs!$D$5,0,IF(CY$2&gt;VLOOKUP($H91,Lists!$P$3:$Q$7,2),IF($N91=Lists!$K$3,IF($L91&lt;1,(($U91/$L91)*((1+Inputs!$D$7)^CY$2)),((INT(CY$2/$L91)-INT((CY$2-1)/$L91))*$U91*((1+Inputs!$D$7)^CY$2))),(Inputs!$D$8^((1-_xlfn.WEIBULL.DIST(CY$2,$M91,$L91,FALSE))/_xlfn.WEIBULL.DIST(CY$2,$M91,$L91,FALSE))*$U91*((1+Inputs!$D$7)^CY$2))),IF($N91=Lists!$K$3,IF($L91&lt;1,((($T91*(1-$F91)+$S91*(1-$G91))/$L91)*((1+Inputs!$D$7)^CY$2)),((INT(CY$2/$L91)-INT((CY$2-1)/$L91))*($T91*(1-$F91)+$S91*(1-$G91))*((1+Inputs!$D$7)^CY$2))),((Inputs!$D$8^((1-_xlfn.WEIBULL.DIST(CY$2,$M91,$L91,FALSE))/_xlfn.WEIBULL.DIST(CY$2,$M91,$L91,FALSE))*($T91*(1-$F91)+$S91*(1-$G91))*((1+Inputs!$D$7)^CY$2))))))))</f>
        <v>0</v>
      </c>
      <c r="CZ91" s="88">
        <f>MAX(BJ91,($E91*IF(CZ$2&gt;Inputs!$D$5,0,IF(CZ$2&gt;VLOOKUP($H91,Lists!$P$3:$Q$7,2),IF($N91=Lists!$K$3,IF($L91&lt;1,(($U91/$L91)*((1+Inputs!$D$7)^CZ$2)),((INT(CZ$2/$L91)-INT((CZ$2-1)/$L91))*$U91*((1+Inputs!$D$7)^CZ$2))),(Inputs!$D$8^((1-_xlfn.WEIBULL.DIST(CZ$2,$M91,$L91,FALSE))/_xlfn.WEIBULL.DIST(CZ$2,$M91,$L91,FALSE))*$U91*((1+Inputs!$D$7)^CZ$2))),IF($N91=Lists!$K$3,IF($L91&lt;1,((($T91*(1-$F91)+$S91*(1-$G91))/$L91)*((1+Inputs!$D$7)^CZ$2)),((INT(CZ$2/$L91)-INT((CZ$2-1)/$L91))*($T91*(1-$F91)+$S91*(1-$G91))*((1+Inputs!$D$7)^CZ$2))),((Inputs!$D$8^((1-_xlfn.WEIBULL.DIST(CZ$2,$M91,$L91,FALSE))/_xlfn.WEIBULL.DIST(CZ$2,$M91,$L91,FALSE))*($T91*(1-$F91)+$S91*(1-$G91))*((1+Inputs!$D$7)^CZ$2))))))))</f>
        <v>0</v>
      </c>
      <c r="DA91" s="88">
        <f>MAX(BK91,($E91*IF(DA$2&gt;Inputs!$D$5,0,IF(DA$2&gt;VLOOKUP($H91,Lists!$P$3:$Q$7,2),IF($N91=Lists!$K$3,IF($L91&lt;1,(($U91/$L91)*((1+Inputs!$D$7)^DA$2)),((INT(DA$2/$L91)-INT((DA$2-1)/$L91))*$U91*((1+Inputs!$D$7)^DA$2))),(Inputs!$D$8^((1-_xlfn.WEIBULL.DIST(DA$2,$M91,$L91,FALSE))/_xlfn.WEIBULL.DIST(DA$2,$M91,$L91,FALSE))*$U91*((1+Inputs!$D$7)^DA$2))),IF($N91=Lists!$K$3,IF($L91&lt;1,((($T91*(1-$F91)+$S91*(1-$G91))/$L91)*((1+Inputs!$D$7)^DA$2)),((INT(DA$2/$L91)-INT((DA$2-1)/$L91))*($T91*(1-$F91)+$S91*(1-$G91))*((1+Inputs!$D$7)^DA$2))),((Inputs!$D$8^((1-_xlfn.WEIBULL.DIST(DA$2,$M91,$L91,FALSE))/_xlfn.WEIBULL.DIST(DA$2,$M91,$L91,FALSE))*($T91*(1-$F91)+$S91*(1-$G91))*((1+Inputs!$D$7)^DA$2))))))))</f>
        <v>0</v>
      </c>
      <c r="DB91" s="88">
        <f>MAX(BL91,($E91*IF(DB$2&gt;Inputs!$D$5,0,IF(DB$2&gt;VLOOKUP($H91,Lists!$P$3:$Q$7,2),IF($N91=Lists!$K$3,IF($L91&lt;1,(($U91/$L91)*((1+Inputs!$D$7)^DB$2)),((INT(DB$2/$L91)-INT((DB$2-1)/$L91))*$U91*((1+Inputs!$D$7)^DB$2))),(Inputs!$D$8^((1-_xlfn.WEIBULL.DIST(DB$2,$M91,$L91,FALSE))/_xlfn.WEIBULL.DIST(DB$2,$M91,$L91,FALSE))*$U91*((1+Inputs!$D$7)^DB$2))),IF($N91=Lists!$K$3,IF($L91&lt;1,((($T91*(1-$F91)+$S91*(1-$G91))/$L91)*((1+Inputs!$D$7)^DB$2)),((INT(DB$2/$L91)-INT((DB$2-1)/$L91))*($T91*(1-$F91)+$S91*(1-$G91))*((1+Inputs!$D$7)^DB$2))),((Inputs!$D$8^((1-_xlfn.WEIBULL.DIST(DB$2,$M91,$L91,FALSE))/_xlfn.WEIBULL.DIST(DB$2,$M91,$L91,FALSE))*($T91*(1-$F91)+$S91*(1-$G91))*((1+Inputs!$D$7)^DB$2))))))))</f>
        <v>0</v>
      </c>
      <c r="DC91" s="88">
        <f>MAX(BM91,($E91*IF(DC$2&gt;Inputs!$D$5,0,IF(DC$2&gt;VLOOKUP($H91,Lists!$P$3:$Q$7,2),IF($N91=Lists!$K$3,IF($L91&lt;1,(($U91/$L91)*((1+Inputs!$D$7)^DC$2)),((INT(DC$2/$L91)-INT((DC$2-1)/$L91))*$U91*((1+Inputs!$D$7)^DC$2))),(Inputs!$D$8^((1-_xlfn.WEIBULL.DIST(DC$2,$M91,$L91,FALSE))/_xlfn.WEIBULL.DIST(DC$2,$M91,$L91,FALSE))*$U91*((1+Inputs!$D$7)^DC$2))),IF($N91=Lists!$K$3,IF($L91&lt;1,((($T91*(1-$F91)+$S91*(1-$G91))/$L91)*((1+Inputs!$D$7)^DC$2)),((INT(DC$2/$L91)-INT((DC$2-1)/$L91))*($T91*(1-$F91)+$S91*(1-$G91))*((1+Inputs!$D$7)^DC$2))),((Inputs!$D$8^((1-_xlfn.WEIBULL.DIST(DC$2,$M91,$L91,FALSE))/_xlfn.WEIBULL.DIST(DC$2,$M91,$L91,FALSE))*($T91*(1-$F91)+$S91*(1-$G91))*((1+Inputs!$D$7)^DC$2))))))))</f>
        <v>0</v>
      </c>
      <c r="DD91" s="88">
        <f>MAX(BN91,($E91*IF(DD$2&gt;Inputs!$D$5,0,IF(DD$2&gt;VLOOKUP($H91,Lists!$P$3:$Q$7,2),IF($N91=Lists!$K$3,IF($L91&lt;1,(($U91/$L91)*((1+Inputs!$D$7)^DD$2)),((INT(DD$2/$L91)-INT((DD$2-1)/$L91))*$U91*((1+Inputs!$D$7)^DD$2))),(Inputs!$D$8^((1-_xlfn.WEIBULL.DIST(DD$2,$M91,$L91,FALSE))/_xlfn.WEIBULL.DIST(DD$2,$M91,$L91,FALSE))*$U91*((1+Inputs!$D$7)^DD$2))),IF($N91=Lists!$K$3,IF($L91&lt;1,((($T91*(1-$F91)+$S91*(1-$G91))/$L91)*((1+Inputs!$D$7)^DD$2)),((INT(DD$2/$L91)-INT((DD$2-1)/$L91))*($T91*(1-$F91)+$S91*(1-$G91))*((1+Inputs!$D$7)^DD$2))),((Inputs!$D$8^((1-_xlfn.WEIBULL.DIST(DD$2,$M91,$L91,FALSE))/_xlfn.WEIBULL.DIST(DD$2,$M91,$L91,FALSE))*($T91*(1-$F91)+$S91*(1-$G91))*((1+Inputs!$D$7)^DD$2))))))))</f>
        <v>0</v>
      </c>
    </row>
    <row r="92" spans="1:108" s="1" customFormat="1" ht="16">
      <c r="A92" s="57" t="s">
        <v>50</v>
      </c>
      <c r="B92" s="13" t="s">
        <v>279</v>
      </c>
      <c r="C92" s="13" t="s">
        <v>471</v>
      </c>
      <c r="D92" s="13" t="s">
        <v>34</v>
      </c>
      <c r="E92" s="48">
        <f>IF(Inputs!$D$30=Lists!$M$4,1,0)</f>
        <v>1</v>
      </c>
      <c r="F92" s="48">
        <v>0</v>
      </c>
      <c r="G92" s="48">
        <v>0</v>
      </c>
      <c r="H92" s="105" t="s">
        <v>350</v>
      </c>
      <c r="I92" s="14" t="s">
        <v>21</v>
      </c>
      <c r="J92" s="14" t="s">
        <v>89</v>
      </c>
      <c r="K92" s="13">
        <f>VLOOKUP(J92,'Labor Rates'!$A$1:$F$16,2)</f>
        <v>45.884999999999998</v>
      </c>
      <c r="L92" s="15">
        <v>1</v>
      </c>
      <c r="M92" s="15">
        <v>1</v>
      </c>
      <c r="N92" s="13" t="s">
        <v>236</v>
      </c>
      <c r="O92" s="61">
        <v>1</v>
      </c>
      <c r="P92" s="15">
        <v>0.25</v>
      </c>
      <c r="Q92" s="15">
        <f t="shared" si="14"/>
        <v>0.25</v>
      </c>
      <c r="R92" s="4">
        <v>0</v>
      </c>
      <c r="S92" s="53">
        <f t="shared" si="15"/>
        <v>11.47125</v>
      </c>
      <c r="T92" s="53">
        <f t="shared" si="16"/>
        <v>0</v>
      </c>
      <c r="U92" s="54">
        <f t="shared" si="17"/>
        <v>11.47125</v>
      </c>
      <c r="V92" s="65"/>
      <c r="W92" s="58"/>
      <c r="X92" s="64">
        <f t="shared" si="18"/>
        <v>14.214781368597576</v>
      </c>
      <c r="Y92" s="64">
        <f>NPV(Inputs!$D$6,AA92:BN92)</f>
        <v>163.27582781822608</v>
      </c>
      <c r="Z92" s="67">
        <f t="shared" si="19"/>
        <v>7.700885164057629E-5</v>
      </c>
      <c r="AA92" s="88">
        <f>$E92*IF(AA$2&gt;Inputs!$D$5,0,IF(AA$2&gt;VLOOKUP($H92,Lists!$P$3:$Q$7,2),IF($N92=Lists!$K$3,IF($L92&lt;1,(($U92/$L92)*((1+Inputs!$D$7)^AA$2)),((INT(AA$2/$L92)-INT((AA$2-1)/$L92))*$U92*((1+Inputs!$D$7)^AA$2))),(_xlfn.WEIBULL.DIST(AA$2,$M92,$L92,FALSE)*$U92*((1+Inputs!$D$7)^AA$2))),IF($N92=Lists!$K$3,IF($L92&lt;1,((($T92*(1-$F92)+$S92*(1-$G92))/$L92)*((1+Inputs!$D$7)^AA$2)),((INT(AA$2/$L92)-INT((AA$2-1)/$L92))*($T92*(1-$F92)+$S92*(1-$G92))*((1+Inputs!$D$7)^AA$2))),((_xlfn.WEIBULL.DIST(AA$2,$M92,$L92,FALSE)*($T92*(1-$F92)+$S92*(1-$G92))*((1+Inputs!$D$7)^AA$2))))))</f>
        <v>11.700675</v>
      </c>
      <c r="AB92" s="88">
        <f>$E92*IF(AB$2&gt;Inputs!$D$5,0,IF(AB$2&gt;VLOOKUP($H92,Lists!$P$3:$Q$7,2),IF($N92=Lists!$K$3,IF($L92&lt;1,(($U92/$L92)*((1+Inputs!$D$7)^AB$2)),((INT(AB$2/$L92)-INT((AB$2-1)/$L92))*$U92*((1+Inputs!$D$7)^AB$2))),(_xlfn.WEIBULL.DIST(AB$2,$M92,$L92,FALSE)*$U92*((1+Inputs!$D$7)^AB$2))),IF($N92=Lists!$K$3,IF($L92&lt;1,((($T92*(1-$F92)+$S92*(1-$G92))/$L92)*((1+Inputs!$D$7)^AB$2)),((INT(AB$2/$L92)-INT((AB$2-1)/$L92))*($T92*(1-$F92)+$S92*(1-$G92))*((1+Inputs!$D$7)^AB$2))),((_xlfn.WEIBULL.DIST(AB$2,$M92,$L92,FALSE)*($T92*(1-$F92)+$S92*(1-$G92))*((1+Inputs!$D$7)^AB$2))))))</f>
        <v>11.9346885</v>
      </c>
      <c r="AC92" s="88">
        <f>$E92*IF(AC$2&gt;Inputs!$D$5,0,IF(AC$2&gt;VLOOKUP($H92,Lists!$P$3:$Q$7,2),IF($N92=Lists!$K$3,IF($L92&lt;1,(($U92/$L92)*((1+Inputs!$D$7)^AC$2)),((INT(AC$2/$L92)-INT((AC$2-1)/$L92))*$U92*((1+Inputs!$D$7)^AC$2))),(_xlfn.WEIBULL.DIST(AC$2,$M92,$L92,FALSE)*$U92*((1+Inputs!$D$7)^AC$2))),IF($N92=Lists!$K$3,IF($L92&lt;1,((($T92*(1-$F92)+$S92*(1-$G92))/$L92)*((1+Inputs!$D$7)^AC$2)),((INT(AC$2/$L92)-INT((AC$2-1)/$L92))*($T92*(1-$F92)+$S92*(1-$G92))*((1+Inputs!$D$7)^AC$2))),((_xlfn.WEIBULL.DIST(AC$2,$M92,$L92,FALSE)*($T92*(1-$F92)+$S92*(1-$G92))*((1+Inputs!$D$7)^AC$2))))))</f>
        <v>12.173382269999999</v>
      </c>
      <c r="AD92" s="88">
        <f>$E92*IF(AD$2&gt;Inputs!$D$5,0,IF(AD$2&gt;VLOOKUP($H92,Lists!$P$3:$Q$7,2),IF($N92=Lists!$K$3,IF($L92&lt;1,(($U92/$L92)*((1+Inputs!$D$7)^AD$2)),((INT(AD$2/$L92)-INT((AD$2-1)/$L92))*$U92*((1+Inputs!$D$7)^AD$2))),(_xlfn.WEIBULL.DIST(AD$2,$M92,$L92,FALSE)*$U92*((1+Inputs!$D$7)^AD$2))),IF($N92=Lists!$K$3,IF($L92&lt;1,((($T92*(1-$F92)+$S92*(1-$G92))/$L92)*((1+Inputs!$D$7)^AD$2)),((INT(AD$2/$L92)-INT((AD$2-1)/$L92))*($T92*(1-$F92)+$S92*(1-$G92))*((1+Inputs!$D$7)^AD$2))),((_xlfn.WEIBULL.DIST(AD$2,$M92,$L92,FALSE)*($T92*(1-$F92)+$S92*(1-$G92))*((1+Inputs!$D$7)^AD$2))))))</f>
        <v>12.416849915399998</v>
      </c>
      <c r="AE92" s="88">
        <f>$E92*IF(AE$2&gt;Inputs!$D$5,0,IF(AE$2&gt;VLOOKUP($H92,Lists!$P$3:$Q$7,2),IF($N92=Lists!$K$3,IF($L92&lt;1,(($U92/$L92)*((1+Inputs!$D$7)^AE$2)),((INT(AE$2/$L92)-INT((AE$2-1)/$L92))*$U92*((1+Inputs!$D$7)^AE$2))),(_xlfn.WEIBULL.DIST(AE$2,$M92,$L92,FALSE)*$U92*((1+Inputs!$D$7)^AE$2))),IF($N92=Lists!$K$3,IF($L92&lt;1,((($T92*(1-$F92)+$S92*(1-$G92))/$L92)*((1+Inputs!$D$7)^AE$2)),((INT(AE$2/$L92)-INT((AE$2-1)/$L92))*($T92*(1-$F92)+$S92*(1-$G92))*((1+Inputs!$D$7)^AE$2))),((_xlfn.WEIBULL.DIST(AE$2,$M92,$L92,FALSE)*($T92*(1-$F92)+$S92*(1-$G92))*((1+Inputs!$D$7)^AE$2))))))</f>
        <v>12.665186913708</v>
      </c>
      <c r="AF92" s="88">
        <f>$E92*IF(AF$2&gt;Inputs!$D$5,0,IF(AF$2&gt;VLOOKUP($H92,Lists!$P$3:$Q$7,2),IF($N92=Lists!$K$3,IF($L92&lt;1,(($U92/$L92)*((1+Inputs!$D$7)^AF$2)),((INT(AF$2/$L92)-INT((AF$2-1)/$L92))*$U92*((1+Inputs!$D$7)^AF$2))),(_xlfn.WEIBULL.DIST(AF$2,$M92,$L92,FALSE)*$U92*((1+Inputs!$D$7)^AF$2))),IF($N92=Lists!$K$3,IF($L92&lt;1,((($T92*(1-$F92)+$S92*(1-$G92))/$L92)*((1+Inputs!$D$7)^AF$2)),((INT(AF$2/$L92)-INT((AF$2-1)/$L92))*($T92*(1-$F92)+$S92*(1-$G92))*((1+Inputs!$D$7)^AF$2))),((_xlfn.WEIBULL.DIST(AF$2,$M92,$L92,FALSE)*($T92*(1-$F92)+$S92*(1-$G92))*((1+Inputs!$D$7)^AF$2))))))</f>
        <v>12.918490651982161</v>
      </c>
      <c r="AG92" s="88">
        <f>$E92*IF(AG$2&gt;Inputs!$D$5,0,IF(AG$2&gt;VLOOKUP($H92,Lists!$P$3:$Q$7,2),IF($N92=Lists!$K$3,IF($L92&lt;1,(($U92/$L92)*((1+Inputs!$D$7)^AG$2)),((INT(AG$2/$L92)-INT((AG$2-1)/$L92))*$U92*((1+Inputs!$D$7)^AG$2))),(_xlfn.WEIBULL.DIST(AG$2,$M92,$L92,FALSE)*$U92*((1+Inputs!$D$7)^AG$2))),IF($N92=Lists!$K$3,IF($L92&lt;1,((($T92*(1-$F92)+$S92*(1-$G92))/$L92)*((1+Inputs!$D$7)^AG$2)),((INT(AG$2/$L92)-INT((AG$2-1)/$L92))*($T92*(1-$F92)+$S92*(1-$G92))*((1+Inputs!$D$7)^AG$2))),((_xlfn.WEIBULL.DIST(AG$2,$M92,$L92,FALSE)*($T92*(1-$F92)+$S92*(1-$G92))*((1+Inputs!$D$7)^AG$2))))))</f>
        <v>13.1768604650218</v>
      </c>
      <c r="AH92" s="88">
        <f>$E92*IF(AH$2&gt;Inputs!$D$5,0,IF(AH$2&gt;VLOOKUP($H92,Lists!$P$3:$Q$7,2),IF($N92=Lists!$K$3,IF($L92&lt;1,(($U92/$L92)*((1+Inputs!$D$7)^AH$2)),((INT(AH$2/$L92)-INT((AH$2-1)/$L92))*$U92*((1+Inputs!$D$7)^AH$2))),(_xlfn.WEIBULL.DIST(AH$2,$M92,$L92,FALSE)*$U92*((1+Inputs!$D$7)^AH$2))),IF($N92=Lists!$K$3,IF($L92&lt;1,((($T92*(1-$F92)+$S92*(1-$G92))/$L92)*((1+Inputs!$D$7)^AH$2)),((INT(AH$2/$L92)-INT((AH$2-1)/$L92))*($T92*(1-$F92)+$S92*(1-$G92))*((1+Inputs!$D$7)^AH$2))),((_xlfn.WEIBULL.DIST(AH$2,$M92,$L92,FALSE)*($T92*(1-$F92)+$S92*(1-$G92))*((1+Inputs!$D$7)^AH$2))))))</f>
        <v>13.440397674322238</v>
      </c>
      <c r="AI92" s="88">
        <f>$E92*IF(AI$2&gt;Inputs!$D$5,0,IF(AI$2&gt;VLOOKUP($H92,Lists!$P$3:$Q$7,2),IF($N92=Lists!$K$3,IF($L92&lt;1,(($U92/$L92)*((1+Inputs!$D$7)^AI$2)),((INT(AI$2/$L92)-INT((AI$2-1)/$L92))*$U92*((1+Inputs!$D$7)^AI$2))),(_xlfn.WEIBULL.DIST(AI$2,$M92,$L92,FALSE)*$U92*((1+Inputs!$D$7)^AI$2))),IF($N92=Lists!$K$3,IF($L92&lt;1,((($T92*(1-$F92)+$S92*(1-$G92))/$L92)*((1+Inputs!$D$7)^AI$2)),((INT(AI$2/$L92)-INT((AI$2-1)/$L92))*($T92*(1-$F92)+$S92*(1-$G92))*((1+Inputs!$D$7)^AI$2))),((_xlfn.WEIBULL.DIST(AI$2,$M92,$L92,FALSE)*($T92*(1-$F92)+$S92*(1-$G92))*((1+Inputs!$D$7)^AI$2))))))</f>
        <v>13.709205627808682</v>
      </c>
      <c r="AJ92" s="88">
        <f>$E92*IF(AJ$2&gt;Inputs!$D$5,0,IF(AJ$2&gt;VLOOKUP($H92,Lists!$P$3:$Q$7,2),IF($N92=Lists!$K$3,IF($L92&lt;1,(($U92/$L92)*((1+Inputs!$D$7)^AJ$2)),((INT(AJ$2/$L92)-INT((AJ$2-1)/$L92))*$U92*((1+Inputs!$D$7)^AJ$2))),(_xlfn.WEIBULL.DIST(AJ$2,$M92,$L92,FALSE)*$U92*((1+Inputs!$D$7)^AJ$2))),IF($N92=Lists!$K$3,IF($L92&lt;1,((($T92*(1-$F92)+$S92*(1-$G92))/$L92)*((1+Inputs!$D$7)^AJ$2)),((INT(AJ$2/$L92)-INT((AJ$2-1)/$L92))*($T92*(1-$F92)+$S92*(1-$G92))*((1+Inputs!$D$7)^AJ$2))),((_xlfn.WEIBULL.DIST(AJ$2,$M92,$L92,FALSE)*($T92*(1-$F92)+$S92*(1-$G92))*((1+Inputs!$D$7)^AJ$2))))))</f>
        <v>13.983389740364856</v>
      </c>
      <c r="AK92" s="88">
        <f>$E92*IF(AK$2&gt;Inputs!$D$5,0,IF(AK$2&gt;VLOOKUP($H92,Lists!$P$3:$Q$7,2),IF($N92=Lists!$K$3,IF($L92&lt;1,(($U92/$L92)*((1+Inputs!$D$7)^AK$2)),((INT(AK$2/$L92)-INT((AK$2-1)/$L92))*$U92*((1+Inputs!$D$7)^AK$2))),(_xlfn.WEIBULL.DIST(AK$2,$M92,$L92,FALSE)*$U92*((1+Inputs!$D$7)^AK$2))),IF($N92=Lists!$K$3,IF($L92&lt;1,((($T92*(1-$F92)+$S92*(1-$G92))/$L92)*((1+Inputs!$D$7)^AK$2)),((INT(AK$2/$L92)-INT((AK$2-1)/$L92))*($T92*(1-$F92)+$S92*(1-$G92))*((1+Inputs!$D$7)^AK$2))),((_xlfn.WEIBULL.DIST(AK$2,$M92,$L92,FALSE)*($T92*(1-$F92)+$S92*(1-$G92))*((1+Inputs!$D$7)^AK$2))))))</f>
        <v>14.263057535172152</v>
      </c>
      <c r="AL92" s="88">
        <f>$E92*IF(AL$2&gt;Inputs!$D$5,0,IF(AL$2&gt;VLOOKUP($H92,Lists!$P$3:$Q$7,2),IF($N92=Lists!$K$3,IF($L92&lt;1,(($U92/$L92)*((1+Inputs!$D$7)^AL$2)),((INT(AL$2/$L92)-INT((AL$2-1)/$L92))*$U92*((1+Inputs!$D$7)^AL$2))),(_xlfn.WEIBULL.DIST(AL$2,$M92,$L92,FALSE)*$U92*((1+Inputs!$D$7)^AL$2))),IF($N92=Lists!$K$3,IF($L92&lt;1,((($T92*(1-$F92)+$S92*(1-$G92))/$L92)*((1+Inputs!$D$7)^AL$2)),((INT(AL$2/$L92)-INT((AL$2-1)/$L92))*($T92*(1-$F92)+$S92*(1-$G92))*((1+Inputs!$D$7)^AL$2))),((_xlfn.WEIBULL.DIST(AL$2,$M92,$L92,FALSE)*($T92*(1-$F92)+$S92*(1-$G92))*((1+Inputs!$D$7)^AL$2))))))</f>
        <v>14.548318685875596</v>
      </c>
      <c r="AM92" s="88">
        <f>$E92*IF(AM$2&gt;Inputs!$D$5,0,IF(AM$2&gt;VLOOKUP($H92,Lists!$P$3:$Q$7,2),IF($N92=Lists!$K$3,IF($L92&lt;1,(($U92/$L92)*((1+Inputs!$D$7)^AM$2)),((INT(AM$2/$L92)-INT((AM$2-1)/$L92))*$U92*((1+Inputs!$D$7)^AM$2))),(_xlfn.WEIBULL.DIST(AM$2,$M92,$L92,FALSE)*$U92*((1+Inputs!$D$7)^AM$2))),IF($N92=Lists!$K$3,IF($L92&lt;1,((($T92*(1-$F92)+$S92*(1-$G92))/$L92)*((1+Inputs!$D$7)^AM$2)),((INT(AM$2/$L92)-INT((AM$2-1)/$L92))*($T92*(1-$F92)+$S92*(1-$G92))*((1+Inputs!$D$7)^AM$2))),((_xlfn.WEIBULL.DIST(AM$2,$M92,$L92,FALSE)*($T92*(1-$F92)+$S92*(1-$G92))*((1+Inputs!$D$7)^AM$2))))))</f>
        <v>14.839285059593108</v>
      </c>
      <c r="AN92" s="88">
        <f>$E92*IF(AN$2&gt;Inputs!$D$5,0,IF(AN$2&gt;VLOOKUP($H92,Lists!$P$3:$Q$7,2),IF($N92=Lists!$K$3,IF($L92&lt;1,(($U92/$L92)*((1+Inputs!$D$7)^AN$2)),((INT(AN$2/$L92)-INT((AN$2-1)/$L92))*$U92*((1+Inputs!$D$7)^AN$2))),(_xlfn.WEIBULL.DIST(AN$2,$M92,$L92,FALSE)*$U92*((1+Inputs!$D$7)^AN$2))),IF($N92=Lists!$K$3,IF($L92&lt;1,((($T92*(1-$F92)+$S92*(1-$G92))/$L92)*((1+Inputs!$D$7)^AN$2)),((INT(AN$2/$L92)-INT((AN$2-1)/$L92))*($T92*(1-$F92)+$S92*(1-$G92))*((1+Inputs!$D$7)^AN$2))),((_xlfn.WEIBULL.DIST(AN$2,$M92,$L92,FALSE)*($T92*(1-$F92)+$S92*(1-$G92))*((1+Inputs!$D$7)^AN$2))))))</f>
        <v>15.136070760784971</v>
      </c>
      <c r="AO92" s="88">
        <f>$E92*IF(AO$2&gt;Inputs!$D$5,0,IF(AO$2&gt;VLOOKUP($H92,Lists!$P$3:$Q$7,2),IF($N92=Lists!$K$3,IF($L92&lt;1,(($U92/$L92)*((1+Inputs!$D$7)^AO$2)),((INT(AO$2/$L92)-INT((AO$2-1)/$L92))*$U92*((1+Inputs!$D$7)^AO$2))),(_xlfn.WEIBULL.DIST(AO$2,$M92,$L92,FALSE)*$U92*((1+Inputs!$D$7)^AO$2))),IF($N92=Lists!$K$3,IF($L92&lt;1,((($T92*(1-$F92)+$S92*(1-$G92))/$L92)*((1+Inputs!$D$7)^AO$2)),((INT(AO$2/$L92)-INT((AO$2-1)/$L92))*($T92*(1-$F92)+$S92*(1-$G92))*((1+Inputs!$D$7)^AO$2))),((_xlfn.WEIBULL.DIST(AO$2,$M92,$L92,FALSE)*($T92*(1-$F92)+$S92*(1-$G92))*((1+Inputs!$D$7)^AO$2))))))</f>
        <v>15.438792176000666</v>
      </c>
      <c r="AP92" s="88">
        <f>$E92*IF(AP$2&gt;Inputs!$D$5,0,IF(AP$2&gt;VLOOKUP($H92,Lists!$P$3:$Q$7,2),IF($N92=Lists!$K$3,IF($L92&lt;1,(($U92/$L92)*((1+Inputs!$D$7)^AP$2)),((INT(AP$2/$L92)-INT((AP$2-1)/$L92))*$U92*((1+Inputs!$D$7)^AP$2))),(_xlfn.WEIBULL.DIST(AP$2,$M92,$L92,FALSE)*$U92*((1+Inputs!$D$7)^AP$2))),IF($N92=Lists!$K$3,IF($L92&lt;1,((($T92*(1-$F92)+$S92*(1-$G92))/$L92)*((1+Inputs!$D$7)^AP$2)),((INT(AP$2/$L92)-INT((AP$2-1)/$L92))*($T92*(1-$F92)+$S92*(1-$G92))*((1+Inputs!$D$7)^AP$2))),((_xlfn.WEIBULL.DIST(AP$2,$M92,$L92,FALSE)*($T92*(1-$F92)+$S92*(1-$G92))*((1+Inputs!$D$7)^AP$2))))))</f>
        <v>15.747568019520683</v>
      </c>
      <c r="AQ92" s="88">
        <f>$E92*IF(AQ$2&gt;Inputs!$D$5,0,IF(AQ$2&gt;VLOOKUP($H92,Lists!$P$3:$Q$7,2),IF($N92=Lists!$K$3,IF($L92&lt;1,(($U92/$L92)*((1+Inputs!$D$7)^AQ$2)),((INT(AQ$2/$L92)-INT((AQ$2-1)/$L92))*$U92*((1+Inputs!$D$7)^AQ$2))),(_xlfn.WEIBULL.DIST(AQ$2,$M92,$L92,FALSE)*$U92*((1+Inputs!$D$7)^AQ$2))),IF($N92=Lists!$K$3,IF($L92&lt;1,((($T92*(1-$F92)+$S92*(1-$G92))/$L92)*((1+Inputs!$D$7)^AQ$2)),((INT(AQ$2/$L92)-INT((AQ$2-1)/$L92))*($T92*(1-$F92)+$S92*(1-$G92))*((1+Inputs!$D$7)^AQ$2))),((_xlfn.WEIBULL.DIST(AQ$2,$M92,$L92,FALSE)*($T92*(1-$F92)+$S92*(1-$G92))*((1+Inputs!$D$7)^AQ$2))))))</f>
        <v>16.062519379911098</v>
      </c>
      <c r="AR92" s="88">
        <f>$E92*IF(AR$2&gt;Inputs!$D$5,0,IF(AR$2&gt;VLOOKUP($H92,Lists!$P$3:$Q$7,2),IF($N92=Lists!$K$3,IF($L92&lt;1,(($U92/$L92)*((1+Inputs!$D$7)^AR$2)),((INT(AR$2/$L92)-INT((AR$2-1)/$L92))*$U92*((1+Inputs!$D$7)^AR$2))),(_xlfn.WEIBULL.DIST(AR$2,$M92,$L92,FALSE)*$U92*((1+Inputs!$D$7)^AR$2))),IF($N92=Lists!$K$3,IF($L92&lt;1,((($T92*(1-$F92)+$S92*(1-$G92))/$L92)*((1+Inputs!$D$7)^AR$2)),((INT(AR$2/$L92)-INT((AR$2-1)/$L92))*($T92*(1-$F92)+$S92*(1-$G92))*((1+Inputs!$D$7)^AR$2))),((_xlfn.WEIBULL.DIST(AR$2,$M92,$L92,FALSE)*($T92*(1-$F92)+$S92*(1-$G92))*((1+Inputs!$D$7)^AR$2))))))</f>
        <v>16.383769767509317</v>
      </c>
      <c r="AS92" s="88">
        <f>$E92*IF(AS$2&gt;Inputs!$D$5,0,IF(AS$2&gt;VLOOKUP($H92,Lists!$P$3:$Q$7,2),IF($N92=Lists!$K$3,IF($L92&lt;1,(($U92/$L92)*((1+Inputs!$D$7)^AS$2)),((INT(AS$2/$L92)-INT((AS$2-1)/$L92))*$U92*((1+Inputs!$D$7)^AS$2))),(_xlfn.WEIBULL.DIST(AS$2,$M92,$L92,FALSE)*$U92*((1+Inputs!$D$7)^AS$2))),IF($N92=Lists!$K$3,IF($L92&lt;1,((($T92*(1-$F92)+$S92*(1-$G92))/$L92)*((1+Inputs!$D$7)^AS$2)),((INT(AS$2/$L92)-INT((AS$2-1)/$L92))*($T92*(1-$F92)+$S92*(1-$G92))*((1+Inputs!$D$7)^AS$2))),((_xlfn.WEIBULL.DIST(AS$2,$M92,$L92,FALSE)*($T92*(1-$F92)+$S92*(1-$G92))*((1+Inputs!$D$7)^AS$2))))))</f>
        <v>16.711445162859505</v>
      </c>
      <c r="AT92" s="88">
        <f>$E92*IF(AT$2&gt;Inputs!$D$5,0,IF(AT$2&gt;VLOOKUP($H92,Lists!$P$3:$Q$7,2),IF($N92=Lists!$K$3,IF($L92&lt;1,(($U92/$L92)*((1+Inputs!$D$7)^AT$2)),((INT(AT$2/$L92)-INT((AT$2-1)/$L92))*$U92*((1+Inputs!$D$7)^AT$2))),(_xlfn.WEIBULL.DIST(AT$2,$M92,$L92,FALSE)*$U92*((1+Inputs!$D$7)^AT$2))),IF($N92=Lists!$K$3,IF($L92&lt;1,((($T92*(1-$F92)+$S92*(1-$G92))/$L92)*((1+Inputs!$D$7)^AT$2)),((INT(AT$2/$L92)-INT((AT$2-1)/$L92))*($T92*(1-$F92)+$S92*(1-$G92))*((1+Inputs!$D$7)^AT$2))),((_xlfn.WEIBULL.DIST(AT$2,$M92,$L92,FALSE)*($T92*(1-$F92)+$S92*(1-$G92))*((1+Inputs!$D$7)^AT$2))))))</f>
        <v>17.045674066116696</v>
      </c>
      <c r="AU92" s="88">
        <f>$E92*IF(AU$2&gt;Inputs!$D$5,0,IF(AU$2&gt;VLOOKUP($H92,Lists!$P$3:$Q$7,2),IF($N92=Lists!$K$3,IF($L92&lt;1,(($U92/$L92)*((1+Inputs!$D$7)^AU$2)),((INT(AU$2/$L92)-INT((AU$2-1)/$L92))*$U92*((1+Inputs!$D$7)^AU$2))),(_xlfn.WEIBULL.DIST(AU$2,$M92,$L92,FALSE)*$U92*((1+Inputs!$D$7)^AU$2))),IF($N92=Lists!$K$3,IF($L92&lt;1,((($T92*(1-$F92)+$S92*(1-$G92))/$L92)*((1+Inputs!$D$7)^AU$2)),((INT(AU$2/$L92)-INT((AU$2-1)/$L92))*($T92*(1-$F92)+$S92*(1-$G92))*((1+Inputs!$D$7)^AU$2))),((_xlfn.WEIBULL.DIST(AU$2,$M92,$L92,FALSE)*($T92*(1-$F92)+$S92*(1-$G92))*((1+Inputs!$D$7)^AU$2))))))</f>
        <v>17.386587547439028</v>
      </c>
      <c r="AV92" s="88">
        <f>$E92*IF(AV$2&gt;Inputs!$D$5,0,IF(AV$2&gt;VLOOKUP($H92,Lists!$P$3:$Q$7,2),IF($N92=Lists!$K$3,IF($L92&lt;1,(($U92/$L92)*((1+Inputs!$D$7)^AV$2)),((INT(AV$2/$L92)-INT((AV$2-1)/$L92))*$U92*((1+Inputs!$D$7)^AV$2))),(_xlfn.WEIBULL.DIST(AV$2,$M92,$L92,FALSE)*$U92*((1+Inputs!$D$7)^AV$2))),IF($N92=Lists!$K$3,IF($L92&lt;1,((($T92*(1-$F92)+$S92*(1-$G92))/$L92)*((1+Inputs!$D$7)^AV$2)),((INT(AV$2/$L92)-INT((AV$2-1)/$L92))*($T92*(1-$F92)+$S92*(1-$G92))*((1+Inputs!$D$7)^AV$2))),((_xlfn.WEIBULL.DIST(AV$2,$M92,$L92,FALSE)*($T92*(1-$F92)+$S92*(1-$G92))*((1+Inputs!$D$7)^AV$2))))))</f>
        <v>17.73431929838781</v>
      </c>
      <c r="AW92" s="88">
        <f>$E92*IF(AW$2&gt;Inputs!$D$5,0,IF(AW$2&gt;VLOOKUP($H92,Lists!$P$3:$Q$7,2),IF($N92=Lists!$K$3,IF($L92&lt;1,(($U92/$L92)*((1+Inputs!$D$7)^AW$2)),((INT(AW$2/$L92)-INT((AW$2-1)/$L92))*$U92*((1+Inputs!$D$7)^AW$2))),(_xlfn.WEIBULL.DIST(AW$2,$M92,$L92,FALSE)*$U92*((1+Inputs!$D$7)^AW$2))),IF($N92=Lists!$K$3,IF($L92&lt;1,((($T92*(1-$F92)+$S92*(1-$G92))/$L92)*((1+Inputs!$D$7)^AW$2)),((INT(AW$2/$L92)-INT((AW$2-1)/$L92))*($T92*(1-$F92)+$S92*(1-$G92))*((1+Inputs!$D$7)^AW$2))),((_xlfn.WEIBULL.DIST(AW$2,$M92,$L92,FALSE)*($T92*(1-$F92)+$S92*(1-$G92))*((1+Inputs!$D$7)^AW$2))))))</f>
        <v>18.089005684355563</v>
      </c>
      <c r="AX92" s="88">
        <f>$E92*IF(AX$2&gt;Inputs!$D$5,0,IF(AX$2&gt;VLOOKUP($H92,Lists!$P$3:$Q$7,2),IF($N92=Lists!$K$3,IF($L92&lt;1,(($U92/$L92)*((1+Inputs!$D$7)^AX$2)),((INT(AX$2/$L92)-INT((AX$2-1)/$L92))*$U92*((1+Inputs!$D$7)^AX$2))),(_xlfn.WEIBULL.DIST(AX$2,$M92,$L92,FALSE)*$U92*((1+Inputs!$D$7)^AX$2))),IF($N92=Lists!$K$3,IF($L92&lt;1,((($T92*(1-$F92)+$S92*(1-$G92))/$L92)*((1+Inputs!$D$7)^AX$2)),((INT(AX$2/$L92)-INT((AX$2-1)/$L92))*($T92*(1-$F92)+$S92*(1-$G92))*((1+Inputs!$D$7)^AX$2))),((_xlfn.WEIBULL.DIST(AX$2,$M92,$L92,FALSE)*($T92*(1-$F92)+$S92*(1-$G92))*((1+Inputs!$D$7)^AX$2))))))</f>
        <v>18.450785798042673</v>
      </c>
      <c r="AY92" s="88">
        <f>$E92*IF(AY$2&gt;Inputs!$D$5,0,IF(AY$2&gt;VLOOKUP($H92,Lists!$P$3:$Q$7,2),IF($N92=Lists!$K$3,IF($L92&lt;1,(($U92/$L92)*((1+Inputs!$D$7)^AY$2)),((INT(AY$2/$L92)-INT((AY$2-1)/$L92))*$U92*((1+Inputs!$D$7)^AY$2))),(_xlfn.WEIBULL.DIST(AY$2,$M92,$L92,FALSE)*$U92*((1+Inputs!$D$7)^AY$2))),IF($N92=Lists!$K$3,IF($L92&lt;1,((($T92*(1-$F92)+$S92*(1-$G92))/$L92)*((1+Inputs!$D$7)^AY$2)),((INT(AY$2/$L92)-INT((AY$2-1)/$L92))*($T92*(1-$F92)+$S92*(1-$G92))*((1+Inputs!$D$7)^AY$2))),((_xlfn.WEIBULL.DIST(AY$2,$M92,$L92,FALSE)*($T92*(1-$F92)+$S92*(1-$G92))*((1+Inputs!$D$7)^AY$2))))))</f>
        <v>18.81980151400353</v>
      </c>
      <c r="AZ92" s="88">
        <f>$E92*IF(AZ$2&gt;Inputs!$D$5,0,IF(AZ$2&gt;VLOOKUP($H92,Lists!$P$3:$Q$7,2),IF($N92=Lists!$K$3,IF($L92&lt;1,(($U92/$L92)*((1+Inputs!$D$7)^AZ$2)),((INT(AZ$2/$L92)-INT((AZ$2-1)/$L92))*$U92*((1+Inputs!$D$7)^AZ$2))),(_xlfn.WEIBULL.DIST(AZ$2,$M92,$L92,FALSE)*$U92*((1+Inputs!$D$7)^AZ$2))),IF($N92=Lists!$K$3,IF($L92&lt;1,((($T92*(1-$F92)+$S92*(1-$G92))/$L92)*((1+Inputs!$D$7)^AZ$2)),((INT(AZ$2/$L92)-INT((AZ$2-1)/$L92))*($T92*(1-$F92)+$S92*(1-$G92))*((1+Inputs!$D$7)^AZ$2))),((_xlfn.WEIBULL.DIST(AZ$2,$M92,$L92,FALSE)*($T92*(1-$F92)+$S92*(1-$G92))*((1+Inputs!$D$7)^AZ$2))))))</f>
        <v>0</v>
      </c>
      <c r="BA92" s="88">
        <f>$E92*IF(BA$2&gt;Inputs!$D$5,0,IF(BA$2&gt;VLOOKUP($H92,Lists!$P$3:$Q$7,2),IF($N92=Lists!$K$3,IF($L92&lt;1,(($U92/$L92)*((1+Inputs!$D$7)^BA$2)),((INT(BA$2/$L92)-INT((BA$2-1)/$L92))*$U92*((1+Inputs!$D$7)^BA$2))),(_xlfn.WEIBULL.DIST(BA$2,$M92,$L92,FALSE)*$U92*((1+Inputs!$D$7)^BA$2))),IF($N92=Lists!$K$3,IF($L92&lt;1,((($T92*(1-$F92)+$S92*(1-$G92))/$L92)*((1+Inputs!$D$7)^BA$2)),((INT(BA$2/$L92)-INT((BA$2-1)/$L92))*($T92*(1-$F92)+$S92*(1-$G92))*((1+Inputs!$D$7)^BA$2))),((_xlfn.WEIBULL.DIST(BA$2,$M92,$L92,FALSE)*($T92*(1-$F92)+$S92*(1-$G92))*((1+Inputs!$D$7)^BA$2))))))</f>
        <v>0</v>
      </c>
      <c r="BB92" s="88">
        <f>$E92*IF(BB$2&gt;Inputs!$D$5,0,IF(BB$2&gt;VLOOKUP($H92,Lists!$P$3:$Q$7,2),IF($N92=Lists!$K$3,IF($L92&lt;1,(($U92/$L92)*((1+Inputs!$D$7)^BB$2)),((INT(BB$2/$L92)-INT((BB$2-1)/$L92))*$U92*((1+Inputs!$D$7)^BB$2))),(_xlfn.WEIBULL.DIST(BB$2,$M92,$L92,FALSE)*$U92*((1+Inputs!$D$7)^BB$2))),IF($N92=Lists!$K$3,IF($L92&lt;1,((($T92*(1-$F92)+$S92*(1-$G92))/$L92)*((1+Inputs!$D$7)^BB$2)),((INT(BB$2/$L92)-INT((BB$2-1)/$L92))*($T92*(1-$F92)+$S92*(1-$G92))*((1+Inputs!$D$7)^BB$2))),((_xlfn.WEIBULL.DIST(BB$2,$M92,$L92,FALSE)*($T92*(1-$F92)+$S92*(1-$G92))*((1+Inputs!$D$7)^BB$2))))))</f>
        <v>0</v>
      </c>
      <c r="BC92" s="88">
        <f>$E92*IF(BC$2&gt;Inputs!$D$5,0,IF(BC$2&gt;VLOOKUP($H92,Lists!$P$3:$Q$7,2),IF($N92=Lists!$K$3,IF($L92&lt;1,(($U92/$L92)*((1+Inputs!$D$7)^BC$2)),((INT(BC$2/$L92)-INT((BC$2-1)/$L92))*$U92*((1+Inputs!$D$7)^BC$2))),(_xlfn.WEIBULL.DIST(BC$2,$M92,$L92,FALSE)*$U92*((1+Inputs!$D$7)^BC$2))),IF($N92=Lists!$K$3,IF($L92&lt;1,((($T92*(1-$F92)+$S92*(1-$G92))/$L92)*((1+Inputs!$D$7)^BC$2)),((INT(BC$2/$L92)-INT((BC$2-1)/$L92))*($T92*(1-$F92)+$S92*(1-$G92))*((1+Inputs!$D$7)^BC$2))),((_xlfn.WEIBULL.DIST(BC$2,$M92,$L92,FALSE)*($T92*(1-$F92)+$S92*(1-$G92))*((1+Inputs!$D$7)^BC$2))))))</f>
        <v>0</v>
      </c>
      <c r="BD92" s="88">
        <f>$E92*IF(BD$2&gt;Inputs!$D$5,0,IF(BD$2&gt;VLOOKUP($H92,Lists!$P$3:$Q$7,2),IF($N92=Lists!$K$3,IF($L92&lt;1,(($U92/$L92)*((1+Inputs!$D$7)^BD$2)),((INT(BD$2/$L92)-INT((BD$2-1)/$L92))*$U92*((1+Inputs!$D$7)^BD$2))),(_xlfn.WEIBULL.DIST(BD$2,$M92,$L92,FALSE)*$U92*((1+Inputs!$D$7)^BD$2))),IF($N92=Lists!$K$3,IF($L92&lt;1,((($T92*(1-$F92)+$S92*(1-$G92))/$L92)*((1+Inputs!$D$7)^BD$2)),((INT(BD$2/$L92)-INT((BD$2-1)/$L92))*($T92*(1-$F92)+$S92*(1-$G92))*((1+Inputs!$D$7)^BD$2))),((_xlfn.WEIBULL.DIST(BD$2,$M92,$L92,FALSE)*($T92*(1-$F92)+$S92*(1-$G92))*((1+Inputs!$D$7)^BD$2))))))</f>
        <v>0</v>
      </c>
      <c r="BE92" s="88">
        <f>$E92*IF(BE$2&gt;Inputs!$D$5,0,IF(BE$2&gt;VLOOKUP($H92,Lists!$P$3:$Q$7,2),IF($N92=Lists!$K$3,IF($L92&lt;1,(($U92/$L92)*((1+Inputs!$D$7)^BE$2)),((INT(BE$2/$L92)-INT((BE$2-1)/$L92))*$U92*((1+Inputs!$D$7)^BE$2))),(_xlfn.WEIBULL.DIST(BE$2,$M92,$L92,FALSE)*$U92*((1+Inputs!$D$7)^BE$2))),IF($N92=Lists!$K$3,IF($L92&lt;1,((($T92*(1-$F92)+$S92*(1-$G92))/$L92)*((1+Inputs!$D$7)^BE$2)),((INT(BE$2/$L92)-INT((BE$2-1)/$L92))*($T92*(1-$F92)+$S92*(1-$G92))*((1+Inputs!$D$7)^BE$2))),((_xlfn.WEIBULL.DIST(BE$2,$M92,$L92,FALSE)*($T92*(1-$F92)+$S92*(1-$G92))*((1+Inputs!$D$7)^BE$2))))))</f>
        <v>0</v>
      </c>
      <c r="BF92" s="88">
        <f>$E92*IF(BF$2&gt;Inputs!$D$5,0,IF(BF$2&gt;VLOOKUP($H92,Lists!$P$3:$Q$7,2),IF($N92=Lists!$K$3,IF($L92&lt;1,(($U92/$L92)*((1+Inputs!$D$7)^BF$2)),((INT(BF$2/$L92)-INT((BF$2-1)/$L92))*$U92*((1+Inputs!$D$7)^BF$2))),(_xlfn.WEIBULL.DIST(BF$2,$M92,$L92,FALSE)*$U92*((1+Inputs!$D$7)^BF$2))),IF($N92=Lists!$K$3,IF($L92&lt;1,((($T92*(1-$F92)+$S92*(1-$G92))/$L92)*((1+Inputs!$D$7)^BF$2)),((INT(BF$2/$L92)-INT((BF$2-1)/$L92))*($T92*(1-$F92)+$S92*(1-$G92))*((1+Inputs!$D$7)^BF$2))),((_xlfn.WEIBULL.DIST(BF$2,$M92,$L92,FALSE)*($T92*(1-$F92)+$S92*(1-$G92))*((1+Inputs!$D$7)^BF$2))))))</f>
        <v>0</v>
      </c>
      <c r="BG92" s="88">
        <f>$E92*IF(BG$2&gt;Inputs!$D$5,0,IF(BG$2&gt;VLOOKUP($H92,Lists!$P$3:$Q$7,2),IF($N92=Lists!$K$3,IF($L92&lt;1,(($U92/$L92)*((1+Inputs!$D$7)^BG$2)),((INT(BG$2/$L92)-INT((BG$2-1)/$L92))*$U92*((1+Inputs!$D$7)^BG$2))),(_xlfn.WEIBULL.DIST(BG$2,$M92,$L92,FALSE)*$U92*((1+Inputs!$D$7)^BG$2))),IF($N92=Lists!$K$3,IF($L92&lt;1,((($T92*(1-$F92)+$S92*(1-$G92))/$L92)*((1+Inputs!$D$7)^BG$2)),((INT(BG$2/$L92)-INT((BG$2-1)/$L92))*($T92*(1-$F92)+$S92*(1-$G92))*((1+Inputs!$D$7)^BG$2))),((_xlfn.WEIBULL.DIST(BG$2,$M92,$L92,FALSE)*($T92*(1-$F92)+$S92*(1-$G92))*((1+Inputs!$D$7)^BG$2))))))</f>
        <v>0</v>
      </c>
      <c r="BH92" s="88">
        <f>$E92*IF(BH$2&gt;Inputs!$D$5,0,IF(BH$2&gt;VLOOKUP($H92,Lists!$P$3:$Q$7,2),IF($N92=Lists!$K$3,IF($L92&lt;1,(($U92/$L92)*((1+Inputs!$D$7)^BH$2)),((INT(BH$2/$L92)-INT((BH$2-1)/$L92))*$U92*((1+Inputs!$D$7)^BH$2))),(_xlfn.WEIBULL.DIST(BH$2,$M92,$L92,FALSE)*$U92*((1+Inputs!$D$7)^BH$2))),IF($N92=Lists!$K$3,IF($L92&lt;1,((($T92*(1-$F92)+$S92*(1-$G92))/$L92)*((1+Inputs!$D$7)^BH$2)),((INT(BH$2/$L92)-INT((BH$2-1)/$L92))*($T92*(1-$F92)+$S92*(1-$G92))*((1+Inputs!$D$7)^BH$2))),((_xlfn.WEIBULL.DIST(BH$2,$M92,$L92,FALSE)*($T92*(1-$F92)+$S92*(1-$G92))*((1+Inputs!$D$7)^BH$2))))))</f>
        <v>0</v>
      </c>
      <c r="BI92" s="88">
        <f>$E92*IF(BI$2&gt;Inputs!$D$5,0,IF(BI$2&gt;VLOOKUP($H92,Lists!$P$3:$Q$7,2),IF($N92=Lists!$K$3,IF($L92&lt;1,(($U92/$L92)*((1+Inputs!$D$7)^BI$2)),((INT(BI$2/$L92)-INT((BI$2-1)/$L92))*$U92*((1+Inputs!$D$7)^BI$2))),(_xlfn.WEIBULL.DIST(BI$2,$M92,$L92,FALSE)*$U92*((1+Inputs!$D$7)^BI$2))),IF($N92=Lists!$K$3,IF($L92&lt;1,((($T92*(1-$F92)+$S92*(1-$G92))/$L92)*((1+Inputs!$D$7)^BI$2)),((INT(BI$2/$L92)-INT((BI$2-1)/$L92))*($T92*(1-$F92)+$S92*(1-$G92))*((1+Inputs!$D$7)^BI$2))),((_xlfn.WEIBULL.DIST(BI$2,$M92,$L92,FALSE)*($T92*(1-$F92)+$S92*(1-$G92))*((1+Inputs!$D$7)^BI$2))))))</f>
        <v>0</v>
      </c>
      <c r="BJ92" s="88">
        <f>$E92*IF(BJ$2&gt;Inputs!$D$5,0,IF(BJ$2&gt;VLOOKUP($H92,Lists!$P$3:$Q$7,2),IF($N92=Lists!$K$3,IF($L92&lt;1,(($U92/$L92)*((1+Inputs!$D$7)^BJ$2)),((INT(BJ$2/$L92)-INT((BJ$2-1)/$L92))*$U92*((1+Inputs!$D$7)^BJ$2))),(_xlfn.WEIBULL.DIST(BJ$2,$M92,$L92,FALSE)*$U92*((1+Inputs!$D$7)^BJ$2))),IF($N92=Lists!$K$3,IF($L92&lt;1,((($T92*(1-$F92)+$S92*(1-$G92))/$L92)*((1+Inputs!$D$7)^BJ$2)),((INT(BJ$2/$L92)-INT((BJ$2-1)/$L92))*($T92*(1-$F92)+$S92*(1-$G92))*((1+Inputs!$D$7)^BJ$2))),((_xlfn.WEIBULL.DIST(BJ$2,$M92,$L92,FALSE)*($T92*(1-$F92)+$S92*(1-$G92))*((1+Inputs!$D$7)^BJ$2))))))</f>
        <v>0</v>
      </c>
      <c r="BK92" s="88">
        <f>$E92*IF(BK$2&gt;Inputs!$D$5,0,IF(BK$2&gt;VLOOKUP($H92,Lists!$P$3:$Q$7,2),IF($N92=Lists!$K$3,IF($L92&lt;1,(($U92/$L92)*((1+Inputs!$D$7)^BK$2)),((INT(BK$2/$L92)-INT((BK$2-1)/$L92))*$U92*((1+Inputs!$D$7)^BK$2))),(_xlfn.WEIBULL.DIST(BK$2,$M92,$L92,FALSE)*$U92*((1+Inputs!$D$7)^BK$2))),IF($N92=Lists!$K$3,IF($L92&lt;1,((($T92*(1-$F92)+$S92*(1-$G92))/$L92)*((1+Inputs!$D$7)^BK$2)),((INT(BK$2/$L92)-INT((BK$2-1)/$L92))*($T92*(1-$F92)+$S92*(1-$G92))*((1+Inputs!$D$7)^BK$2))),((_xlfn.WEIBULL.DIST(BK$2,$M92,$L92,FALSE)*($T92*(1-$F92)+$S92*(1-$G92))*((1+Inputs!$D$7)^BK$2))))))</f>
        <v>0</v>
      </c>
      <c r="BL92" s="88">
        <f>$E92*IF(BL$2&gt;Inputs!$D$5,0,IF(BL$2&gt;VLOOKUP($H92,Lists!$P$3:$Q$7,2),IF($N92=Lists!$K$3,IF($L92&lt;1,(($U92/$L92)*((1+Inputs!$D$7)^BL$2)),((INT(BL$2/$L92)-INT((BL$2-1)/$L92))*$U92*((1+Inputs!$D$7)^BL$2))),(_xlfn.WEIBULL.DIST(BL$2,$M92,$L92,FALSE)*$U92*((1+Inputs!$D$7)^BL$2))),IF($N92=Lists!$K$3,IF($L92&lt;1,((($T92*(1-$F92)+$S92*(1-$G92))/$L92)*((1+Inputs!$D$7)^BL$2)),((INT(BL$2/$L92)-INT((BL$2-1)/$L92))*($T92*(1-$F92)+$S92*(1-$G92))*((1+Inputs!$D$7)^BL$2))),((_xlfn.WEIBULL.DIST(BL$2,$M92,$L92,FALSE)*($T92*(1-$F92)+$S92*(1-$G92))*((1+Inputs!$D$7)^BL$2))))))</f>
        <v>0</v>
      </c>
      <c r="BM92" s="88">
        <f>$E92*IF(BM$2&gt;Inputs!$D$5,0,IF(BM$2&gt;VLOOKUP($H92,Lists!$P$3:$Q$7,2),IF($N92=Lists!$K$3,IF($L92&lt;1,(($U92/$L92)*((1+Inputs!$D$7)^BM$2)),((INT(BM$2/$L92)-INT((BM$2-1)/$L92))*$U92*((1+Inputs!$D$7)^BM$2))),(_xlfn.WEIBULL.DIST(BM$2,$M92,$L92,FALSE)*$U92*((1+Inputs!$D$7)^BM$2))),IF($N92=Lists!$K$3,IF($L92&lt;1,((($T92*(1-$F92)+$S92*(1-$G92))/$L92)*((1+Inputs!$D$7)^BM$2)),((INT(BM$2/$L92)-INT((BM$2-1)/$L92))*($T92*(1-$F92)+$S92*(1-$G92))*((1+Inputs!$D$7)^BM$2))),((_xlfn.WEIBULL.DIST(BM$2,$M92,$L92,FALSE)*($T92*(1-$F92)+$S92*(1-$G92))*((1+Inputs!$D$7)^BM$2))))))</f>
        <v>0</v>
      </c>
      <c r="BN92" s="88">
        <f>$E92*IF(BN$2&gt;Inputs!$D$5,0,IF(BN$2&gt;VLOOKUP($H92,Lists!$P$3:$Q$7,2),IF($N92=Lists!$K$3,IF($L92&lt;1,(($U92/$L92)*((1+Inputs!$D$7)^BN$2)),((INT(BN$2/$L92)-INT((BN$2-1)/$L92))*$U92*((1+Inputs!$D$7)^BN$2))),(_xlfn.WEIBULL.DIST(BN$2,$M92,$L92,FALSE)*$U92*((1+Inputs!$D$7)^BN$2))),IF($N92=Lists!$K$3,IF($L92&lt;1,((($T92*(1-$F92)+$S92*(1-$G92))/$L92)*((1+Inputs!$D$7)^BN$2)),((INT(BN$2/$L92)-INT((BN$2-1)/$L92))*($T92*(1-$F92)+$S92*(1-$G92))*((1+Inputs!$D$7)^BN$2))),((_xlfn.WEIBULL.DIST(BN$2,$M92,$L92,FALSE)*($T92*(1-$F92)+$S92*(1-$G92))*((1+Inputs!$D$7)^BN$2))))))</f>
        <v>0</v>
      </c>
      <c r="BO92" s="64">
        <f>NPV(Inputs!$D$6,BQ92:DD92)</f>
        <v>163.27582781822608</v>
      </c>
      <c r="BP92" s="67">
        <f t="shared" si="20"/>
        <v>7.700885164057629E-5</v>
      </c>
      <c r="BQ92" s="88">
        <f>MAX(AA92,($E92*IF(BQ$2&gt;Inputs!$D$5,0,IF(BQ$2&gt;VLOOKUP($H92,Lists!$P$3:$Q$7,2),IF($N92=Lists!$K$3,IF($L92&lt;1,(($U92/$L92)*((1+Inputs!$D$7)^BQ$2)),((INT(BQ$2/$L92)-INT((BQ$2-1)/$L92))*$U92*((1+Inputs!$D$7)^BQ$2))),(Inputs!$D$8^((1-_xlfn.WEIBULL.DIST(BQ$2,$M92,$L92,FALSE))/_xlfn.WEIBULL.DIST(BQ$2,$M92,$L92,FALSE))*$U92*((1+Inputs!$D$7)^BQ$2))),IF($N92=Lists!$K$3,IF($L92&lt;1,((($T92*(1-$F92)+$S92*(1-$G92))/$L92)*((1+Inputs!$D$7)^BQ$2)),((INT(BQ$2/$L92)-INT((BQ$2-1)/$L92))*($T92*(1-$F92)+$S92*(1-$G92))*((1+Inputs!$D$7)^BQ$2))),((Inputs!$D$8^((1-_xlfn.WEIBULL.DIST(BQ$2,$M92,$L92,FALSE))/_xlfn.WEIBULL.DIST(BQ$2,$M92,$L92,FALSE))*($T92*(1-$F92)+$S92*(1-$G92))*((1+Inputs!$D$7)^BQ$2))))))))</f>
        <v>11.700675</v>
      </c>
      <c r="BR92" s="88">
        <f>MAX(AB92,($E92*IF(BR$2&gt;Inputs!$D$5,0,IF(BR$2&gt;VLOOKUP($H92,Lists!$P$3:$Q$7,2),IF($N92=Lists!$K$3,IF($L92&lt;1,(($U92/$L92)*((1+Inputs!$D$7)^BR$2)),((INT(BR$2/$L92)-INT((BR$2-1)/$L92))*$U92*((1+Inputs!$D$7)^BR$2))),(Inputs!$D$8^((1-_xlfn.WEIBULL.DIST(BR$2,$M92,$L92,FALSE))/_xlfn.WEIBULL.DIST(BR$2,$M92,$L92,FALSE))*$U92*((1+Inputs!$D$7)^BR$2))),IF($N92=Lists!$K$3,IF($L92&lt;1,((($T92*(1-$F92)+$S92*(1-$G92))/$L92)*((1+Inputs!$D$7)^BR$2)),((INT(BR$2/$L92)-INT((BR$2-1)/$L92))*($T92*(1-$F92)+$S92*(1-$G92))*((1+Inputs!$D$7)^BR$2))),((Inputs!$D$8^((1-_xlfn.WEIBULL.DIST(BR$2,$M92,$L92,FALSE))/_xlfn.WEIBULL.DIST(BR$2,$M92,$L92,FALSE))*($T92*(1-$F92)+$S92*(1-$G92))*((1+Inputs!$D$7)^BR$2))))))))</f>
        <v>11.9346885</v>
      </c>
      <c r="BS92" s="88">
        <f>MAX(AC92,($E92*IF(BS$2&gt;Inputs!$D$5,0,IF(BS$2&gt;VLOOKUP($H92,Lists!$P$3:$Q$7,2),IF($N92=Lists!$K$3,IF($L92&lt;1,(($U92/$L92)*((1+Inputs!$D$7)^BS$2)),((INT(BS$2/$L92)-INT((BS$2-1)/$L92))*$U92*((1+Inputs!$D$7)^BS$2))),(Inputs!$D$8^((1-_xlfn.WEIBULL.DIST(BS$2,$M92,$L92,FALSE))/_xlfn.WEIBULL.DIST(BS$2,$M92,$L92,FALSE))*$U92*((1+Inputs!$D$7)^BS$2))),IF($N92=Lists!$K$3,IF($L92&lt;1,((($T92*(1-$F92)+$S92*(1-$G92))/$L92)*((1+Inputs!$D$7)^BS$2)),((INT(BS$2/$L92)-INT((BS$2-1)/$L92))*($T92*(1-$F92)+$S92*(1-$G92))*((1+Inputs!$D$7)^BS$2))),((Inputs!$D$8^((1-_xlfn.WEIBULL.DIST(BS$2,$M92,$L92,FALSE))/_xlfn.WEIBULL.DIST(BS$2,$M92,$L92,FALSE))*($T92*(1-$F92)+$S92*(1-$G92))*((1+Inputs!$D$7)^BS$2))))))))</f>
        <v>12.173382269999999</v>
      </c>
      <c r="BT92" s="88">
        <f>MAX(AD92,($E92*IF(BT$2&gt;Inputs!$D$5,0,IF(BT$2&gt;VLOOKUP($H92,Lists!$P$3:$Q$7,2),IF($N92=Lists!$K$3,IF($L92&lt;1,(($U92/$L92)*((1+Inputs!$D$7)^BT$2)),((INT(BT$2/$L92)-INT((BT$2-1)/$L92))*$U92*((1+Inputs!$D$7)^BT$2))),(Inputs!$D$8^((1-_xlfn.WEIBULL.DIST(BT$2,$M92,$L92,FALSE))/_xlfn.WEIBULL.DIST(BT$2,$M92,$L92,FALSE))*$U92*((1+Inputs!$D$7)^BT$2))),IF($N92=Lists!$K$3,IF($L92&lt;1,((($T92*(1-$F92)+$S92*(1-$G92))/$L92)*((1+Inputs!$D$7)^BT$2)),((INT(BT$2/$L92)-INT((BT$2-1)/$L92))*($T92*(1-$F92)+$S92*(1-$G92))*((1+Inputs!$D$7)^BT$2))),((Inputs!$D$8^((1-_xlfn.WEIBULL.DIST(BT$2,$M92,$L92,FALSE))/_xlfn.WEIBULL.DIST(BT$2,$M92,$L92,FALSE))*($T92*(1-$F92)+$S92*(1-$G92))*((1+Inputs!$D$7)^BT$2))))))))</f>
        <v>12.416849915399998</v>
      </c>
      <c r="BU92" s="88">
        <f>MAX(AE92,($E92*IF(BU$2&gt;Inputs!$D$5,0,IF(BU$2&gt;VLOOKUP($H92,Lists!$P$3:$Q$7,2),IF($N92=Lists!$K$3,IF($L92&lt;1,(($U92/$L92)*((1+Inputs!$D$7)^BU$2)),((INT(BU$2/$L92)-INT((BU$2-1)/$L92))*$U92*((1+Inputs!$D$7)^BU$2))),(Inputs!$D$8^((1-_xlfn.WEIBULL.DIST(BU$2,$M92,$L92,FALSE))/_xlfn.WEIBULL.DIST(BU$2,$M92,$L92,FALSE))*$U92*((1+Inputs!$D$7)^BU$2))),IF($N92=Lists!$K$3,IF($L92&lt;1,((($T92*(1-$F92)+$S92*(1-$G92))/$L92)*((1+Inputs!$D$7)^BU$2)),((INT(BU$2/$L92)-INT((BU$2-1)/$L92))*($T92*(1-$F92)+$S92*(1-$G92))*((1+Inputs!$D$7)^BU$2))),((Inputs!$D$8^((1-_xlfn.WEIBULL.DIST(BU$2,$M92,$L92,FALSE))/_xlfn.WEIBULL.DIST(BU$2,$M92,$L92,FALSE))*($T92*(1-$F92)+$S92*(1-$G92))*((1+Inputs!$D$7)^BU$2))))))))</f>
        <v>12.665186913708</v>
      </c>
      <c r="BV92" s="88">
        <f>MAX(AF92,($E92*IF(BV$2&gt;Inputs!$D$5,0,IF(BV$2&gt;VLOOKUP($H92,Lists!$P$3:$Q$7,2),IF($N92=Lists!$K$3,IF($L92&lt;1,(($U92/$L92)*((1+Inputs!$D$7)^BV$2)),((INT(BV$2/$L92)-INT((BV$2-1)/$L92))*$U92*((1+Inputs!$D$7)^BV$2))),(Inputs!$D$8^((1-_xlfn.WEIBULL.DIST(BV$2,$M92,$L92,FALSE))/_xlfn.WEIBULL.DIST(BV$2,$M92,$L92,FALSE))*$U92*((1+Inputs!$D$7)^BV$2))),IF($N92=Lists!$K$3,IF($L92&lt;1,((($T92*(1-$F92)+$S92*(1-$G92))/$L92)*((1+Inputs!$D$7)^BV$2)),((INT(BV$2/$L92)-INT((BV$2-1)/$L92))*($T92*(1-$F92)+$S92*(1-$G92))*((1+Inputs!$D$7)^BV$2))),((Inputs!$D$8^((1-_xlfn.WEIBULL.DIST(BV$2,$M92,$L92,FALSE))/_xlfn.WEIBULL.DIST(BV$2,$M92,$L92,FALSE))*($T92*(1-$F92)+$S92*(1-$G92))*((1+Inputs!$D$7)^BV$2))))))))</f>
        <v>12.918490651982161</v>
      </c>
      <c r="BW92" s="88">
        <f>MAX(AG92,($E92*IF(BW$2&gt;Inputs!$D$5,0,IF(BW$2&gt;VLOOKUP($H92,Lists!$P$3:$Q$7,2),IF($N92=Lists!$K$3,IF($L92&lt;1,(($U92/$L92)*((1+Inputs!$D$7)^BW$2)),((INT(BW$2/$L92)-INT((BW$2-1)/$L92))*$U92*((1+Inputs!$D$7)^BW$2))),(Inputs!$D$8^((1-_xlfn.WEIBULL.DIST(BW$2,$M92,$L92,FALSE))/_xlfn.WEIBULL.DIST(BW$2,$M92,$L92,FALSE))*$U92*((1+Inputs!$D$7)^BW$2))),IF($N92=Lists!$K$3,IF($L92&lt;1,((($T92*(1-$F92)+$S92*(1-$G92))/$L92)*((1+Inputs!$D$7)^BW$2)),((INT(BW$2/$L92)-INT((BW$2-1)/$L92))*($T92*(1-$F92)+$S92*(1-$G92))*((1+Inputs!$D$7)^BW$2))),((Inputs!$D$8^((1-_xlfn.WEIBULL.DIST(BW$2,$M92,$L92,FALSE))/_xlfn.WEIBULL.DIST(BW$2,$M92,$L92,FALSE))*($T92*(1-$F92)+$S92*(1-$G92))*((1+Inputs!$D$7)^BW$2))))))))</f>
        <v>13.1768604650218</v>
      </c>
      <c r="BX92" s="88">
        <f>MAX(AH92,($E92*IF(BX$2&gt;Inputs!$D$5,0,IF(BX$2&gt;VLOOKUP($H92,Lists!$P$3:$Q$7,2),IF($N92=Lists!$K$3,IF($L92&lt;1,(($U92/$L92)*((1+Inputs!$D$7)^BX$2)),((INT(BX$2/$L92)-INT((BX$2-1)/$L92))*$U92*((1+Inputs!$D$7)^BX$2))),(Inputs!$D$8^((1-_xlfn.WEIBULL.DIST(BX$2,$M92,$L92,FALSE))/_xlfn.WEIBULL.DIST(BX$2,$M92,$L92,FALSE))*$U92*((1+Inputs!$D$7)^BX$2))),IF($N92=Lists!$K$3,IF($L92&lt;1,((($T92*(1-$F92)+$S92*(1-$G92))/$L92)*((1+Inputs!$D$7)^BX$2)),((INT(BX$2/$L92)-INT((BX$2-1)/$L92))*($T92*(1-$F92)+$S92*(1-$G92))*((1+Inputs!$D$7)^BX$2))),((Inputs!$D$8^((1-_xlfn.WEIBULL.DIST(BX$2,$M92,$L92,FALSE))/_xlfn.WEIBULL.DIST(BX$2,$M92,$L92,FALSE))*($T92*(1-$F92)+$S92*(1-$G92))*((1+Inputs!$D$7)^BX$2))))))))</f>
        <v>13.440397674322238</v>
      </c>
      <c r="BY92" s="88">
        <f>MAX(AI92,($E92*IF(BY$2&gt;Inputs!$D$5,0,IF(BY$2&gt;VLOOKUP($H92,Lists!$P$3:$Q$7,2),IF($N92=Lists!$K$3,IF($L92&lt;1,(($U92/$L92)*((1+Inputs!$D$7)^BY$2)),((INT(BY$2/$L92)-INT((BY$2-1)/$L92))*$U92*((1+Inputs!$D$7)^BY$2))),(Inputs!$D$8^((1-_xlfn.WEIBULL.DIST(BY$2,$M92,$L92,FALSE))/_xlfn.WEIBULL.DIST(BY$2,$M92,$L92,FALSE))*$U92*((1+Inputs!$D$7)^BY$2))),IF($N92=Lists!$K$3,IF($L92&lt;1,((($T92*(1-$F92)+$S92*(1-$G92))/$L92)*((1+Inputs!$D$7)^BY$2)),((INT(BY$2/$L92)-INT((BY$2-1)/$L92))*($T92*(1-$F92)+$S92*(1-$G92))*((1+Inputs!$D$7)^BY$2))),((Inputs!$D$8^((1-_xlfn.WEIBULL.DIST(BY$2,$M92,$L92,FALSE))/_xlfn.WEIBULL.DIST(BY$2,$M92,$L92,FALSE))*($T92*(1-$F92)+$S92*(1-$G92))*((1+Inputs!$D$7)^BY$2))))))))</f>
        <v>13.709205627808682</v>
      </c>
      <c r="BZ92" s="88">
        <f>MAX(AJ92,($E92*IF(BZ$2&gt;Inputs!$D$5,0,IF(BZ$2&gt;VLOOKUP($H92,Lists!$P$3:$Q$7,2),IF($N92=Lists!$K$3,IF($L92&lt;1,(($U92/$L92)*((1+Inputs!$D$7)^BZ$2)),((INT(BZ$2/$L92)-INT((BZ$2-1)/$L92))*$U92*((1+Inputs!$D$7)^BZ$2))),(Inputs!$D$8^((1-_xlfn.WEIBULL.DIST(BZ$2,$M92,$L92,FALSE))/_xlfn.WEIBULL.DIST(BZ$2,$M92,$L92,FALSE))*$U92*((1+Inputs!$D$7)^BZ$2))),IF($N92=Lists!$K$3,IF($L92&lt;1,((($T92*(1-$F92)+$S92*(1-$G92))/$L92)*((1+Inputs!$D$7)^BZ$2)),((INT(BZ$2/$L92)-INT((BZ$2-1)/$L92))*($T92*(1-$F92)+$S92*(1-$G92))*((1+Inputs!$D$7)^BZ$2))),((Inputs!$D$8^((1-_xlfn.WEIBULL.DIST(BZ$2,$M92,$L92,FALSE))/_xlfn.WEIBULL.DIST(BZ$2,$M92,$L92,FALSE))*($T92*(1-$F92)+$S92*(1-$G92))*((1+Inputs!$D$7)^BZ$2))))))))</f>
        <v>13.983389740364856</v>
      </c>
      <c r="CA92" s="88">
        <f>MAX(AK92,($E92*IF(CA$2&gt;Inputs!$D$5,0,IF(CA$2&gt;VLOOKUP($H92,Lists!$P$3:$Q$7,2),IF($N92=Lists!$K$3,IF($L92&lt;1,(($U92/$L92)*((1+Inputs!$D$7)^CA$2)),((INT(CA$2/$L92)-INT((CA$2-1)/$L92))*$U92*((1+Inputs!$D$7)^CA$2))),(Inputs!$D$8^((1-_xlfn.WEIBULL.DIST(CA$2,$M92,$L92,FALSE))/_xlfn.WEIBULL.DIST(CA$2,$M92,$L92,FALSE))*$U92*((1+Inputs!$D$7)^CA$2))),IF($N92=Lists!$K$3,IF($L92&lt;1,((($T92*(1-$F92)+$S92*(1-$G92))/$L92)*((1+Inputs!$D$7)^CA$2)),((INT(CA$2/$L92)-INT((CA$2-1)/$L92))*($T92*(1-$F92)+$S92*(1-$G92))*((1+Inputs!$D$7)^CA$2))),((Inputs!$D$8^((1-_xlfn.WEIBULL.DIST(CA$2,$M92,$L92,FALSE))/_xlfn.WEIBULL.DIST(CA$2,$M92,$L92,FALSE))*($T92*(1-$F92)+$S92*(1-$G92))*((1+Inputs!$D$7)^CA$2))))))))</f>
        <v>14.263057535172152</v>
      </c>
      <c r="CB92" s="88">
        <f>MAX(AL92,($E92*IF(CB$2&gt;Inputs!$D$5,0,IF(CB$2&gt;VLOOKUP($H92,Lists!$P$3:$Q$7,2),IF($N92=Lists!$K$3,IF($L92&lt;1,(($U92/$L92)*((1+Inputs!$D$7)^CB$2)),((INT(CB$2/$L92)-INT((CB$2-1)/$L92))*$U92*((1+Inputs!$D$7)^CB$2))),(Inputs!$D$8^((1-_xlfn.WEIBULL.DIST(CB$2,$M92,$L92,FALSE))/_xlfn.WEIBULL.DIST(CB$2,$M92,$L92,FALSE))*$U92*((1+Inputs!$D$7)^CB$2))),IF($N92=Lists!$K$3,IF($L92&lt;1,((($T92*(1-$F92)+$S92*(1-$G92))/$L92)*((1+Inputs!$D$7)^CB$2)),((INT(CB$2/$L92)-INT((CB$2-1)/$L92))*($T92*(1-$F92)+$S92*(1-$G92))*((1+Inputs!$D$7)^CB$2))),((Inputs!$D$8^((1-_xlfn.WEIBULL.DIST(CB$2,$M92,$L92,FALSE))/_xlfn.WEIBULL.DIST(CB$2,$M92,$L92,FALSE))*($T92*(1-$F92)+$S92*(1-$G92))*((1+Inputs!$D$7)^CB$2))))))))</f>
        <v>14.548318685875596</v>
      </c>
      <c r="CC92" s="88">
        <f>MAX(AM92,($E92*IF(CC$2&gt;Inputs!$D$5,0,IF(CC$2&gt;VLOOKUP($H92,Lists!$P$3:$Q$7,2),IF($N92=Lists!$K$3,IF($L92&lt;1,(($U92/$L92)*((1+Inputs!$D$7)^CC$2)),((INT(CC$2/$L92)-INT((CC$2-1)/$L92))*$U92*((1+Inputs!$D$7)^CC$2))),(Inputs!$D$8^((1-_xlfn.WEIBULL.DIST(CC$2,$M92,$L92,FALSE))/_xlfn.WEIBULL.DIST(CC$2,$M92,$L92,FALSE))*$U92*((1+Inputs!$D$7)^CC$2))),IF($N92=Lists!$K$3,IF($L92&lt;1,((($T92*(1-$F92)+$S92*(1-$G92))/$L92)*((1+Inputs!$D$7)^CC$2)),((INT(CC$2/$L92)-INT((CC$2-1)/$L92))*($T92*(1-$F92)+$S92*(1-$G92))*((1+Inputs!$D$7)^CC$2))),((Inputs!$D$8^((1-_xlfn.WEIBULL.DIST(CC$2,$M92,$L92,FALSE))/_xlfn.WEIBULL.DIST(CC$2,$M92,$L92,FALSE))*($T92*(1-$F92)+$S92*(1-$G92))*((1+Inputs!$D$7)^CC$2))))))))</f>
        <v>14.839285059593108</v>
      </c>
      <c r="CD92" s="88">
        <f>MAX(AN92,($E92*IF(CD$2&gt;Inputs!$D$5,0,IF(CD$2&gt;VLOOKUP($H92,Lists!$P$3:$Q$7,2),IF($N92=Lists!$K$3,IF($L92&lt;1,(($U92/$L92)*((1+Inputs!$D$7)^CD$2)),((INT(CD$2/$L92)-INT((CD$2-1)/$L92))*$U92*((1+Inputs!$D$7)^CD$2))),(Inputs!$D$8^((1-_xlfn.WEIBULL.DIST(CD$2,$M92,$L92,FALSE))/_xlfn.WEIBULL.DIST(CD$2,$M92,$L92,FALSE))*$U92*((1+Inputs!$D$7)^CD$2))),IF($N92=Lists!$K$3,IF($L92&lt;1,((($T92*(1-$F92)+$S92*(1-$G92))/$L92)*((1+Inputs!$D$7)^CD$2)),((INT(CD$2/$L92)-INT((CD$2-1)/$L92))*($T92*(1-$F92)+$S92*(1-$G92))*((1+Inputs!$D$7)^CD$2))),((Inputs!$D$8^((1-_xlfn.WEIBULL.DIST(CD$2,$M92,$L92,FALSE))/_xlfn.WEIBULL.DIST(CD$2,$M92,$L92,FALSE))*($T92*(1-$F92)+$S92*(1-$G92))*((1+Inputs!$D$7)^CD$2))))))))</f>
        <v>15.136070760784971</v>
      </c>
      <c r="CE92" s="88">
        <f>MAX(AO92,($E92*IF(CE$2&gt;Inputs!$D$5,0,IF(CE$2&gt;VLOOKUP($H92,Lists!$P$3:$Q$7,2),IF($N92=Lists!$K$3,IF($L92&lt;1,(($U92/$L92)*((1+Inputs!$D$7)^CE$2)),((INT(CE$2/$L92)-INT((CE$2-1)/$L92))*$U92*((1+Inputs!$D$7)^CE$2))),(Inputs!$D$8^((1-_xlfn.WEIBULL.DIST(CE$2,$M92,$L92,FALSE))/_xlfn.WEIBULL.DIST(CE$2,$M92,$L92,FALSE))*$U92*((1+Inputs!$D$7)^CE$2))),IF($N92=Lists!$K$3,IF($L92&lt;1,((($T92*(1-$F92)+$S92*(1-$G92))/$L92)*((1+Inputs!$D$7)^CE$2)),((INT(CE$2/$L92)-INT((CE$2-1)/$L92))*($T92*(1-$F92)+$S92*(1-$G92))*((1+Inputs!$D$7)^CE$2))),((Inputs!$D$8^((1-_xlfn.WEIBULL.DIST(CE$2,$M92,$L92,FALSE))/_xlfn.WEIBULL.DIST(CE$2,$M92,$L92,FALSE))*($T92*(1-$F92)+$S92*(1-$G92))*((1+Inputs!$D$7)^CE$2))))))))</f>
        <v>15.438792176000666</v>
      </c>
      <c r="CF92" s="88">
        <f>MAX(AP92,($E92*IF(CF$2&gt;Inputs!$D$5,0,IF(CF$2&gt;VLOOKUP($H92,Lists!$P$3:$Q$7,2),IF($N92=Lists!$K$3,IF($L92&lt;1,(($U92/$L92)*((1+Inputs!$D$7)^CF$2)),((INT(CF$2/$L92)-INT((CF$2-1)/$L92))*$U92*((1+Inputs!$D$7)^CF$2))),(Inputs!$D$8^((1-_xlfn.WEIBULL.DIST(CF$2,$M92,$L92,FALSE))/_xlfn.WEIBULL.DIST(CF$2,$M92,$L92,FALSE))*$U92*((1+Inputs!$D$7)^CF$2))),IF($N92=Lists!$K$3,IF($L92&lt;1,((($T92*(1-$F92)+$S92*(1-$G92))/$L92)*((1+Inputs!$D$7)^CF$2)),((INT(CF$2/$L92)-INT((CF$2-1)/$L92))*($T92*(1-$F92)+$S92*(1-$G92))*((1+Inputs!$D$7)^CF$2))),((Inputs!$D$8^((1-_xlfn.WEIBULL.DIST(CF$2,$M92,$L92,FALSE))/_xlfn.WEIBULL.DIST(CF$2,$M92,$L92,FALSE))*($T92*(1-$F92)+$S92*(1-$G92))*((1+Inputs!$D$7)^CF$2))))))))</f>
        <v>15.747568019520683</v>
      </c>
      <c r="CG92" s="88">
        <f>MAX(AQ92,($E92*IF(CG$2&gt;Inputs!$D$5,0,IF(CG$2&gt;VLOOKUP($H92,Lists!$P$3:$Q$7,2),IF($N92=Lists!$K$3,IF($L92&lt;1,(($U92/$L92)*((1+Inputs!$D$7)^CG$2)),((INT(CG$2/$L92)-INT((CG$2-1)/$L92))*$U92*((1+Inputs!$D$7)^CG$2))),(Inputs!$D$8^((1-_xlfn.WEIBULL.DIST(CG$2,$M92,$L92,FALSE))/_xlfn.WEIBULL.DIST(CG$2,$M92,$L92,FALSE))*$U92*((1+Inputs!$D$7)^CG$2))),IF($N92=Lists!$K$3,IF($L92&lt;1,((($T92*(1-$F92)+$S92*(1-$G92))/$L92)*((1+Inputs!$D$7)^CG$2)),((INT(CG$2/$L92)-INT((CG$2-1)/$L92))*($T92*(1-$F92)+$S92*(1-$G92))*((1+Inputs!$D$7)^CG$2))),((Inputs!$D$8^((1-_xlfn.WEIBULL.DIST(CG$2,$M92,$L92,FALSE))/_xlfn.WEIBULL.DIST(CG$2,$M92,$L92,FALSE))*($T92*(1-$F92)+$S92*(1-$G92))*((1+Inputs!$D$7)^CG$2))))))))</f>
        <v>16.062519379911098</v>
      </c>
      <c r="CH92" s="88">
        <f>MAX(AR92,($E92*IF(CH$2&gt;Inputs!$D$5,0,IF(CH$2&gt;VLOOKUP($H92,Lists!$P$3:$Q$7,2),IF($N92=Lists!$K$3,IF($L92&lt;1,(($U92/$L92)*((1+Inputs!$D$7)^CH$2)),((INT(CH$2/$L92)-INT((CH$2-1)/$L92))*$U92*((1+Inputs!$D$7)^CH$2))),(Inputs!$D$8^((1-_xlfn.WEIBULL.DIST(CH$2,$M92,$L92,FALSE))/_xlfn.WEIBULL.DIST(CH$2,$M92,$L92,FALSE))*$U92*((1+Inputs!$D$7)^CH$2))),IF($N92=Lists!$K$3,IF($L92&lt;1,((($T92*(1-$F92)+$S92*(1-$G92))/$L92)*((1+Inputs!$D$7)^CH$2)),((INT(CH$2/$L92)-INT((CH$2-1)/$L92))*($T92*(1-$F92)+$S92*(1-$G92))*((1+Inputs!$D$7)^CH$2))),((Inputs!$D$8^((1-_xlfn.WEIBULL.DIST(CH$2,$M92,$L92,FALSE))/_xlfn.WEIBULL.DIST(CH$2,$M92,$L92,FALSE))*($T92*(1-$F92)+$S92*(1-$G92))*((1+Inputs!$D$7)^CH$2))))))))</f>
        <v>16.383769767509317</v>
      </c>
      <c r="CI92" s="88">
        <f>MAX(AS92,($E92*IF(CI$2&gt;Inputs!$D$5,0,IF(CI$2&gt;VLOOKUP($H92,Lists!$P$3:$Q$7,2),IF($N92=Lists!$K$3,IF($L92&lt;1,(($U92/$L92)*((1+Inputs!$D$7)^CI$2)),((INT(CI$2/$L92)-INT((CI$2-1)/$L92))*$U92*((1+Inputs!$D$7)^CI$2))),(Inputs!$D$8^((1-_xlfn.WEIBULL.DIST(CI$2,$M92,$L92,FALSE))/_xlfn.WEIBULL.DIST(CI$2,$M92,$L92,FALSE))*$U92*((1+Inputs!$D$7)^CI$2))),IF($N92=Lists!$K$3,IF($L92&lt;1,((($T92*(1-$F92)+$S92*(1-$G92))/$L92)*((1+Inputs!$D$7)^CI$2)),((INT(CI$2/$L92)-INT((CI$2-1)/$L92))*($T92*(1-$F92)+$S92*(1-$G92))*((1+Inputs!$D$7)^CI$2))),((Inputs!$D$8^((1-_xlfn.WEIBULL.DIST(CI$2,$M92,$L92,FALSE))/_xlfn.WEIBULL.DIST(CI$2,$M92,$L92,FALSE))*($T92*(1-$F92)+$S92*(1-$G92))*((1+Inputs!$D$7)^CI$2))))))))</f>
        <v>16.711445162859505</v>
      </c>
      <c r="CJ92" s="88">
        <f>MAX(AT92,($E92*IF(CJ$2&gt;Inputs!$D$5,0,IF(CJ$2&gt;VLOOKUP($H92,Lists!$P$3:$Q$7,2),IF($N92=Lists!$K$3,IF($L92&lt;1,(($U92/$L92)*((1+Inputs!$D$7)^CJ$2)),((INT(CJ$2/$L92)-INT((CJ$2-1)/$L92))*$U92*((1+Inputs!$D$7)^CJ$2))),(Inputs!$D$8^((1-_xlfn.WEIBULL.DIST(CJ$2,$M92,$L92,FALSE))/_xlfn.WEIBULL.DIST(CJ$2,$M92,$L92,FALSE))*$U92*((1+Inputs!$D$7)^CJ$2))),IF($N92=Lists!$K$3,IF($L92&lt;1,((($T92*(1-$F92)+$S92*(1-$G92))/$L92)*((1+Inputs!$D$7)^CJ$2)),((INT(CJ$2/$L92)-INT((CJ$2-1)/$L92))*($T92*(1-$F92)+$S92*(1-$G92))*((1+Inputs!$D$7)^CJ$2))),((Inputs!$D$8^((1-_xlfn.WEIBULL.DIST(CJ$2,$M92,$L92,FALSE))/_xlfn.WEIBULL.DIST(CJ$2,$M92,$L92,FALSE))*($T92*(1-$F92)+$S92*(1-$G92))*((1+Inputs!$D$7)^CJ$2))))))))</f>
        <v>17.045674066116696</v>
      </c>
      <c r="CK92" s="88">
        <f>MAX(AU92,($E92*IF(CK$2&gt;Inputs!$D$5,0,IF(CK$2&gt;VLOOKUP($H92,Lists!$P$3:$Q$7,2),IF($N92=Lists!$K$3,IF($L92&lt;1,(($U92/$L92)*((1+Inputs!$D$7)^CK$2)),((INT(CK$2/$L92)-INT((CK$2-1)/$L92))*$U92*((1+Inputs!$D$7)^CK$2))),(Inputs!$D$8^((1-_xlfn.WEIBULL.DIST(CK$2,$M92,$L92,FALSE))/_xlfn.WEIBULL.DIST(CK$2,$M92,$L92,FALSE))*$U92*((1+Inputs!$D$7)^CK$2))),IF($N92=Lists!$K$3,IF($L92&lt;1,((($T92*(1-$F92)+$S92*(1-$G92))/$L92)*((1+Inputs!$D$7)^CK$2)),((INT(CK$2/$L92)-INT((CK$2-1)/$L92))*($T92*(1-$F92)+$S92*(1-$G92))*((1+Inputs!$D$7)^CK$2))),((Inputs!$D$8^((1-_xlfn.WEIBULL.DIST(CK$2,$M92,$L92,FALSE))/_xlfn.WEIBULL.DIST(CK$2,$M92,$L92,FALSE))*($T92*(1-$F92)+$S92*(1-$G92))*((1+Inputs!$D$7)^CK$2))))))))</f>
        <v>17.386587547439028</v>
      </c>
      <c r="CL92" s="88">
        <f>MAX(AV92,($E92*IF(CL$2&gt;Inputs!$D$5,0,IF(CL$2&gt;VLOOKUP($H92,Lists!$P$3:$Q$7,2),IF($N92=Lists!$K$3,IF($L92&lt;1,(($U92/$L92)*((1+Inputs!$D$7)^CL$2)),((INT(CL$2/$L92)-INT((CL$2-1)/$L92))*$U92*((1+Inputs!$D$7)^CL$2))),(Inputs!$D$8^((1-_xlfn.WEIBULL.DIST(CL$2,$M92,$L92,FALSE))/_xlfn.WEIBULL.DIST(CL$2,$M92,$L92,FALSE))*$U92*((1+Inputs!$D$7)^CL$2))),IF($N92=Lists!$K$3,IF($L92&lt;1,((($T92*(1-$F92)+$S92*(1-$G92))/$L92)*((1+Inputs!$D$7)^CL$2)),((INT(CL$2/$L92)-INT((CL$2-1)/$L92))*($T92*(1-$F92)+$S92*(1-$G92))*((1+Inputs!$D$7)^CL$2))),((Inputs!$D$8^((1-_xlfn.WEIBULL.DIST(CL$2,$M92,$L92,FALSE))/_xlfn.WEIBULL.DIST(CL$2,$M92,$L92,FALSE))*($T92*(1-$F92)+$S92*(1-$G92))*((1+Inputs!$D$7)^CL$2))))))))</f>
        <v>17.73431929838781</v>
      </c>
      <c r="CM92" s="88">
        <f>MAX(AW92,($E92*IF(CM$2&gt;Inputs!$D$5,0,IF(CM$2&gt;VLOOKUP($H92,Lists!$P$3:$Q$7,2),IF($N92=Lists!$K$3,IF($L92&lt;1,(($U92/$L92)*((1+Inputs!$D$7)^CM$2)),((INT(CM$2/$L92)-INT((CM$2-1)/$L92))*$U92*((1+Inputs!$D$7)^CM$2))),(Inputs!$D$8^((1-_xlfn.WEIBULL.DIST(CM$2,$M92,$L92,FALSE))/_xlfn.WEIBULL.DIST(CM$2,$M92,$L92,FALSE))*$U92*((1+Inputs!$D$7)^CM$2))),IF($N92=Lists!$K$3,IF($L92&lt;1,((($T92*(1-$F92)+$S92*(1-$G92))/$L92)*((1+Inputs!$D$7)^CM$2)),((INT(CM$2/$L92)-INT((CM$2-1)/$L92))*($T92*(1-$F92)+$S92*(1-$G92))*((1+Inputs!$D$7)^CM$2))),((Inputs!$D$8^((1-_xlfn.WEIBULL.DIST(CM$2,$M92,$L92,FALSE))/_xlfn.WEIBULL.DIST(CM$2,$M92,$L92,FALSE))*($T92*(1-$F92)+$S92*(1-$G92))*((1+Inputs!$D$7)^CM$2))))))))</f>
        <v>18.089005684355563</v>
      </c>
      <c r="CN92" s="88">
        <f>MAX(AX92,($E92*IF(CN$2&gt;Inputs!$D$5,0,IF(CN$2&gt;VLOOKUP($H92,Lists!$P$3:$Q$7,2),IF($N92=Lists!$K$3,IF($L92&lt;1,(($U92/$L92)*((1+Inputs!$D$7)^CN$2)),((INT(CN$2/$L92)-INT((CN$2-1)/$L92))*$U92*((1+Inputs!$D$7)^CN$2))),(Inputs!$D$8^((1-_xlfn.WEIBULL.DIST(CN$2,$M92,$L92,FALSE))/_xlfn.WEIBULL.DIST(CN$2,$M92,$L92,FALSE))*$U92*((1+Inputs!$D$7)^CN$2))),IF($N92=Lists!$K$3,IF($L92&lt;1,((($T92*(1-$F92)+$S92*(1-$G92))/$L92)*((1+Inputs!$D$7)^CN$2)),((INT(CN$2/$L92)-INT((CN$2-1)/$L92))*($T92*(1-$F92)+$S92*(1-$G92))*((1+Inputs!$D$7)^CN$2))),((Inputs!$D$8^((1-_xlfn.WEIBULL.DIST(CN$2,$M92,$L92,FALSE))/_xlfn.WEIBULL.DIST(CN$2,$M92,$L92,FALSE))*($T92*(1-$F92)+$S92*(1-$G92))*((1+Inputs!$D$7)^CN$2))))))))</f>
        <v>18.450785798042673</v>
      </c>
      <c r="CO92" s="88">
        <f>MAX(AY92,($E92*IF(CO$2&gt;Inputs!$D$5,0,IF(CO$2&gt;VLOOKUP($H92,Lists!$P$3:$Q$7,2),IF($N92=Lists!$K$3,IF($L92&lt;1,(($U92/$L92)*((1+Inputs!$D$7)^CO$2)),((INT(CO$2/$L92)-INT((CO$2-1)/$L92))*$U92*((1+Inputs!$D$7)^CO$2))),(Inputs!$D$8^((1-_xlfn.WEIBULL.DIST(CO$2,$M92,$L92,FALSE))/_xlfn.WEIBULL.DIST(CO$2,$M92,$L92,FALSE))*$U92*((1+Inputs!$D$7)^CO$2))),IF($N92=Lists!$K$3,IF($L92&lt;1,((($T92*(1-$F92)+$S92*(1-$G92))/$L92)*((1+Inputs!$D$7)^CO$2)),((INT(CO$2/$L92)-INT((CO$2-1)/$L92))*($T92*(1-$F92)+$S92*(1-$G92))*((1+Inputs!$D$7)^CO$2))),((Inputs!$D$8^((1-_xlfn.WEIBULL.DIST(CO$2,$M92,$L92,FALSE))/_xlfn.WEIBULL.DIST(CO$2,$M92,$L92,FALSE))*($T92*(1-$F92)+$S92*(1-$G92))*((1+Inputs!$D$7)^CO$2))))))))</f>
        <v>18.81980151400353</v>
      </c>
      <c r="CP92" s="88">
        <f>MAX(AZ92,($E92*IF(CP$2&gt;Inputs!$D$5,0,IF(CP$2&gt;VLOOKUP($H92,Lists!$P$3:$Q$7,2),IF($N92=Lists!$K$3,IF($L92&lt;1,(($U92/$L92)*((1+Inputs!$D$7)^CP$2)),((INT(CP$2/$L92)-INT((CP$2-1)/$L92))*$U92*((1+Inputs!$D$7)^CP$2))),(Inputs!$D$8^((1-_xlfn.WEIBULL.DIST(CP$2,$M92,$L92,FALSE))/_xlfn.WEIBULL.DIST(CP$2,$M92,$L92,FALSE))*$U92*((1+Inputs!$D$7)^CP$2))),IF($N92=Lists!$K$3,IF($L92&lt;1,((($T92*(1-$F92)+$S92*(1-$G92))/$L92)*((1+Inputs!$D$7)^CP$2)),((INT(CP$2/$L92)-INT((CP$2-1)/$L92))*($T92*(1-$F92)+$S92*(1-$G92))*((1+Inputs!$D$7)^CP$2))),((Inputs!$D$8^((1-_xlfn.WEIBULL.DIST(CP$2,$M92,$L92,FALSE))/_xlfn.WEIBULL.DIST(CP$2,$M92,$L92,FALSE))*($T92*(1-$F92)+$S92*(1-$G92))*((1+Inputs!$D$7)^CP$2))))))))</f>
        <v>0</v>
      </c>
      <c r="CQ92" s="88">
        <f>MAX(BA92,($E92*IF(CQ$2&gt;Inputs!$D$5,0,IF(CQ$2&gt;VLOOKUP($H92,Lists!$P$3:$Q$7,2),IF($N92=Lists!$K$3,IF($L92&lt;1,(($U92/$L92)*((1+Inputs!$D$7)^CQ$2)),((INT(CQ$2/$L92)-INT((CQ$2-1)/$L92))*$U92*((1+Inputs!$D$7)^CQ$2))),(Inputs!$D$8^((1-_xlfn.WEIBULL.DIST(CQ$2,$M92,$L92,FALSE))/_xlfn.WEIBULL.DIST(CQ$2,$M92,$L92,FALSE))*$U92*((1+Inputs!$D$7)^CQ$2))),IF($N92=Lists!$K$3,IF($L92&lt;1,((($T92*(1-$F92)+$S92*(1-$G92))/$L92)*((1+Inputs!$D$7)^CQ$2)),((INT(CQ$2/$L92)-INT((CQ$2-1)/$L92))*($T92*(1-$F92)+$S92*(1-$G92))*((1+Inputs!$D$7)^CQ$2))),((Inputs!$D$8^((1-_xlfn.WEIBULL.DIST(CQ$2,$M92,$L92,FALSE))/_xlfn.WEIBULL.DIST(CQ$2,$M92,$L92,FALSE))*($T92*(1-$F92)+$S92*(1-$G92))*((1+Inputs!$D$7)^CQ$2))))))))</f>
        <v>0</v>
      </c>
      <c r="CR92" s="88">
        <f>MAX(BB92,($E92*IF(CR$2&gt;Inputs!$D$5,0,IF(CR$2&gt;VLOOKUP($H92,Lists!$P$3:$Q$7,2),IF($N92=Lists!$K$3,IF($L92&lt;1,(($U92/$L92)*((1+Inputs!$D$7)^CR$2)),((INT(CR$2/$L92)-INT((CR$2-1)/$L92))*$U92*((1+Inputs!$D$7)^CR$2))),(Inputs!$D$8^((1-_xlfn.WEIBULL.DIST(CR$2,$M92,$L92,FALSE))/_xlfn.WEIBULL.DIST(CR$2,$M92,$L92,FALSE))*$U92*((1+Inputs!$D$7)^CR$2))),IF($N92=Lists!$K$3,IF($L92&lt;1,((($T92*(1-$F92)+$S92*(1-$G92))/$L92)*((1+Inputs!$D$7)^CR$2)),((INT(CR$2/$L92)-INT((CR$2-1)/$L92))*($T92*(1-$F92)+$S92*(1-$G92))*((1+Inputs!$D$7)^CR$2))),((Inputs!$D$8^((1-_xlfn.WEIBULL.DIST(CR$2,$M92,$L92,FALSE))/_xlfn.WEIBULL.DIST(CR$2,$M92,$L92,FALSE))*($T92*(1-$F92)+$S92*(1-$G92))*((1+Inputs!$D$7)^CR$2))))))))</f>
        <v>0</v>
      </c>
      <c r="CS92" s="88">
        <f>MAX(BC92,($E92*IF(CS$2&gt;Inputs!$D$5,0,IF(CS$2&gt;VLOOKUP($H92,Lists!$P$3:$Q$7,2),IF($N92=Lists!$K$3,IF($L92&lt;1,(($U92/$L92)*((1+Inputs!$D$7)^CS$2)),((INT(CS$2/$L92)-INT((CS$2-1)/$L92))*$U92*((1+Inputs!$D$7)^CS$2))),(Inputs!$D$8^((1-_xlfn.WEIBULL.DIST(CS$2,$M92,$L92,FALSE))/_xlfn.WEIBULL.DIST(CS$2,$M92,$L92,FALSE))*$U92*((1+Inputs!$D$7)^CS$2))),IF($N92=Lists!$K$3,IF($L92&lt;1,((($T92*(1-$F92)+$S92*(1-$G92))/$L92)*((1+Inputs!$D$7)^CS$2)),((INT(CS$2/$L92)-INT((CS$2-1)/$L92))*($T92*(1-$F92)+$S92*(1-$G92))*((1+Inputs!$D$7)^CS$2))),((Inputs!$D$8^((1-_xlfn.WEIBULL.DIST(CS$2,$M92,$L92,FALSE))/_xlfn.WEIBULL.DIST(CS$2,$M92,$L92,FALSE))*($T92*(1-$F92)+$S92*(1-$G92))*((1+Inputs!$D$7)^CS$2))))))))</f>
        <v>0</v>
      </c>
      <c r="CT92" s="88">
        <f>MAX(BD92,($E92*IF(CT$2&gt;Inputs!$D$5,0,IF(CT$2&gt;VLOOKUP($H92,Lists!$P$3:$Q$7,2),IF($N92=Lists!$K$3,IF($L92&lt;1,(($U92/$L92)*((1+Inputs!$D$7)^CT$2)),((INT(CT$2/$L92)-INT((CT$2-1)/$L92))*$U92*((1+Inputs!$D$7)^CT$2))),(Inputs!$D$8^((1-_xlfn.WEIBULL.DIST(CT$2,$M92,$L92,FALSE))/_xlfn.WEIBULL.DIST(CT$2,$M92,$L92,FALSE))*$U92*((1+Inputs!$D$7)^CT$2))),IF($N92=Lists!$K$3,IF($L92&lt;1,((($T92*(1-$F92)+$S92*(1-$G92))/$L92)*((1+Inputs!$D$7)^CT$2)),((INT(CT$2/$L92)-INT((CT$2-1)/$L92))*($T92*(1-$F92)+$S92*(1-$G92))*((1+Inputs!$D$7)^CT$2))),((Inputs!$D$8^((1-_xlfn.WEIBULL.DIST(CT$2,$M92,$L92,FALSE))/_xlfn.WEIBULL.DIST(CT$2,$M92,$L92,FALSE))*($T92*(1-$F92)+$S92*(1-$G92))*((1+Inputs!$D$7)^CT$2))))))))</f>
        <v>0</v>
      </c>
      <c r="CU92" s="88">
        <f>MAX(BE92,($E92*IF(CU$2&gt;Inputs!$D$5,0,IF(CU$2&gt;VLOOKUP($H92,Lists!$P$3:$Q$7,2),IF($N92=Lists!$K$3,IF($L92&lt;1,(($U92/$L92)*((1+Inputs!$D$7)^CU$2)),((INT(CU$2/$L92)-INT((CU$2-1)/$L92))*$U92*((1+Inputs!$D$7)^CU$2))),(Inputs!$D$8^((1-_xlfn.WEIBULL.DIST(CU$2,$M92,$L92,FALSE))/_xlfn.WEIBULL.DIST(CU$2,$M92,$L92,FALSE))*$U92*((1+Inputs!$D$7)^CU$2))),IF($N92=Lists!$K$3,IF($L92&lt;1,((($T92*(1-$F92)+$S92*(1-$G92))/$L92)*((1+Inputs!$D$7)^CU$2)),((INT(CU$2/$L92)-INT((CU$2-1)/$L92))*($T92*(1-$F92)+$S92*(1-$G92))*((1+Inputs!$D$7)^CU$2))),((Inputs!$D$8^((1-_xlfn.WEIBULL.DIST(CU$2,$M92,$L92,FALSE))/_xlfn.WEIBULL.DIST(CU$2,$M92,$L92,FALSE))*($T92*(1-$F92)+$S92*(1-$G92))*((1+Inputs!$D$7)^CU$2))))))))</f>
        <v>0</v>
      </c>
      <c r="CV92" s="88">
        <f>MAX(BF92,($E92*IF(CV$2&gt;Inputs!$D$5,0,IF(CV$2&gt;VLOOKUP($H92,Lists!$P$3:$Q$7,2),IF($N92=Lists!$K$3,IF($L92&lt;1,(($U92/$L92)*((1+Inputs!$D$7)^CV$2)),((INT(CV$2/$L92)-INT((CV$2-1)/$L92))*$U92*((1+Inputs!$D$7)^CV$2))),(Inputs!$D$8^((1-_xlfn.WEIBULL.DIST(CV$2,$M92,$L92,FALSE))/_xlfn.WEIBULL.DIST(CV$2,$M92,$L92,FALSE))*$U92*((1+Inputs!$D$7)^CV$2))),IF($N92=Lists!$K$3,IF($L92&lt;1,((($T92*(1-$F92)+$S92*(1-$G92))/$L92)*((1+Inputs!$D$7)^CV$2)),((INT(CV$2/$L92)-INT((CV$2-1)/$L92))*($T92*(1-$F92)+$S92*(1-$G92))*((1+Inputs!$D$7)^CV$2))),((Inputs!$D$8^((1-_xlfn.WEIBULL.DIST(CV$2,$M92,$L92,FALSE))/_xlfn.WEIBULL.DIST(CV$2,$M92,$L92,FALSE))*($T92*(1-$F92)+$S92*(1-$G92))*((1+Inputs!$D$7)^CV$2))))))))</f>
        <v>0</v>
      </c>
      <c r="CW92" s="88">
        <f>MAX(BG92,($E92*IF(CW$2&gt;Inputs!$D$5,0,IF(CW$2&gt;VLOOKUP($H92,Lists!$P$3:$Q$7,2),IF($N92=Lists!$K$3,IF($L92&lt;1,(($U92/$L92)*((1+Inputs!$D$7)^CW$2)),((INT(CW$2/$L92)-INT((CW$2-1)/$L92))*$U92*((1+Inputs!$D$7)^CW$2))),(Inputs!$D$8^((1-_xlfn.WEIBULL.DIST(CW$2,$M92,$L92,FALSE))/_xlfn.WEIBULL.DIST(CW$2,$M92,$L92,FALSE))*$U92*((1+Inputs!$D$7)^CW$2))),IF($N92=Lists!$K$3,IF($L92&lt;1,((($T92*(1-$F92)+$S92*(1-$G92))/$L92)*((1+Inputs!$D$7)^CW$2)),((INT(CW$2/$L92)-INT((CW$2-1)/$L92))*($T92*(1-$F92)+$S92*(1-$G92))*((1+Inputs!$D$7)^CW$2))),((Inputs!$D$8^((1-_xlfn.WEIBULL.DIST(CW$2,$M92,$L92,FALSE))/_xlfn.WEIBULL.DIST(CW$2,$M92,$L92,FALSE))*($T92*(1-$F92)+$S92*(1-$G92))*((1+Inputs!$D$7)^CW$2))))))))</f>
        <v>0</v>
      </c>
      <c r="CX92" s="88">
        <f>MAX(BH92,($E92*IF(CX$2&gt;Inputs!$D$5,0,IF(CX$2&gt;VLOOKUP($H92,Lists!$P$3:$Q$7,2),IF($N92=Lists!$K$3,IF($L92&lt;1,(($U92/$L92)*((1+Inputs!$D$7)^CX$2)),((INT(CX$2/$L92)-INT((CX$2-1)/$L92))*$U92*((1+Inputs!$D$7)^CX$2))),(Inputs!$D$8^((1-_xlfn.WEIBULL.DIST(CX$2,$M92,$L92,FALSE))/_xlfn.WEIBULL.DIST(CX$2,$M92,$L92,FALSE))*$U92*((1+Inputs!$D$7)^CX$2))),IF($N92=Lists!$K$3,IF($L92&lt;1,((($T92*(1-$F92)+$S92*(1-$G92))/$L92)*((1+Inputs!$D$7)^CX$2)),((INT(CX$2/$L92)-INT((CX$2-1)/$L92))*($T92*(1-$F92)+$S92*(1-$G92))*((1+Inputs!$D$7)^CX$2))),((Inputs!$D$8^((1-_xlfn.WEIBULL.DIST(CX$2,$M92,$L92,FALSE))/_xlfn.WEIBULL.DIST(CX$2,$M92,$L92,FALSE))*($T92*(1-$F92)+$S92*(1-$G92))*((1+Inputs!$D$7)^CX$2))))))))</f>
        <v>0</v>
      </c>
      <c r="CY92" s="88">
        <f>MAX(BI92,($E92*IF(CY$2&gt;Inputs!$D$5,0,IF(CY$2&gt;VLOOKUP($H92,Lists!$P$3:$Q$7,2),IF($N92=Lists!$K$3,IF($L92&lt;1,(($U92/$L92)*((1+Inputs!$D$7)^CY$2)),((INT(CY$2/$L92)-INT((CY$2-1)/$L92))*$U92*((1+Inputs!$D$7)^CY$2))),(Inputs!$D$8^((1-_xlfn.WEIBULL.DIST(CY$2,$M92,$L92,FALSE))/_xlfn.WEIBULL.DIST(CY$2,$M92,$L92,FALSE))*$U92*((1+Inputs!$D$7)^CY$2))),IF($N92=Lists!$K$3,IF($L92&lt;1,((($T92*(1-$F92)+$S92*(1-$G92))/$L92)*((1+Inputs!$D$7)^CY$2)),((INT(CY$2/$L92)-INT((CY$2-1)/$L92))*($T92*(1-$F92)+$S92*(1-$G92))*((1+Inputs!$D$7)^CY$2))),((Inputs!$D$8^((1-_xlfn.WEIBULL.DIST(CY$2,$M92,$L92,FALSE))/_xlfn.WEIBULL.DIST(CY$2,$M92,$L92,FALSE))*($T92*(1-$F92)+$S92*(1-$G92))*((1+Inputs!$D$7)^CY$2))))))))</f>
        <v>0</v>
      </c>
      <c r="CZ92" s="88">
        <f>MAX(BJ92,($E92*IF(CZ$2&gt;Inputs!$D$5,0,IF(CZ$2&gt;VLOOKUP($H92,Lists!$P$3:$Q$7,2),IF($N92=Lists!$K$3,IF($L92&lt;1,(($U92/$L92)*((1+Inputs!$D$7)^CZ$2)),((INT(CZ$2/$L92)-INT((CZ$2-1)/$L92))*$U92*((1+Inputs!$D$7)^CZ$2))),(Inputs!$D$8^((1-_xlfn.WEIBULL.DIST(CZ$2,$M92,$L92,FALSE))/_xlfn.WEIBULL.DIST(CZ$2,$M92,$L92,FALSE))*$U92*((1+Inputs!$D$7)^CZ$2))),IF($N92=Lists!$K$3,IF($L92&lt;1,((($T92*(1-$F92)+$S92*(1-$G92))/$L92)*((1+Inputs!$D$7)^CZ$2)),((INT(CZ$2/$L92)-INT((CZ$2-1)/$L92))*($T92*(1-$F92)+$S92*(1-$G92))*((1+Inputs!$D$7)^CZ$2))),((Inputs!$D$8^((1-_xlfn.WEIBULL.DIST(CZ$2,$M92,$L92,FALSE))/_xlfn.WEIBULL.DIST(CZ$2,$M92,$L92,FALSE))*($T92*(1-$F92)+$S92*(1-$G92))*((1+Inputs!$D$7)^CZ$2))))))))</f>
        <v>0</v>
      </c>
      <c r="DA92" s="88">
        <f>MAX(BK92,($E92*IF(DA$2&gt;Inputs!$D$5,0,IF(DA$2&gt;VLOOKUP($H92,Lists!$P$3:$Q$7,2),IF($N92=Lists!$K$3,IF($L92&lt;1,(($U92/$L92)*((1+Inputs!$D$7)^DA$2)),((INT(DA$2/$L92)-INT((DA$2-1)/$L92))*$U92*((1+Inputs!$D$7)^DA$2))),(Inputs!$D$8^((1-_xlfn.WEIBULL.DIST(DA$2,$M92,$L92,FALSE))/_xlfn.WEIBULL.DIST(DA$2,$M92,$L92,FALSE))*$U92*((1+Inputs!$D$7)^DA$2))),IF($N92=Lists!$K$3,IF($L92&lt;1,((($T92*(1-$F92)+$S92*(1-$G92))/$L92)*((1+Inputs!$D$7)^DA$2)),((INT(DA$2/$L92)-INT((DA$2-1)/$L92))*($T92*(1-$F92)+$S92*(1-$G92))*((1+Inputs!$D$7)^DA$2))),((Inputs!$D$8^((1-_xlfn.WEIBULL.DIST(DA$2,$M92,$L92,FALSE))/_xlfn.WEIBULL.DIST(DA$2,$M92,$L92,FALSE))*($T92*(1-$F92)+$S92*(1-$G92))*((1+Inputs!$D$7)^DA$2))))))))</f>
        <v>0</v>
      </c>
      <c r="DB92" s="88">
        <f>MAX(BL92,($E92*IF(DB$2&gt;Inputs!$D$5,0,IF(DB$2&gt;VLOOKUP($H92,Lists!$P$3:$Q$7,2),IF($N92=Lists!$K$3,IF($L92&lt;1,(($U92/$L92)*((1+Inputs!$D$7)^DB$2)),((INT(DB$2/$L92)-INT((DB$2-1)/$L92))*$U92*((1+Inputs!$D$7)^DB$2))),(Inputs!$D$8^((1-_xlfn.WEIBULL.DIST(DB$2,$M92,$L92,FALSE))/_xlfn.WEIBULL.DIST(DB$2,$M92,$L92,FALSE))*$U92*((1+Inputs!$D$7)^DB$2))),IF($N92=Lists!$K$3,IF($L92&lt;1,((($T92*(1-$F92)+$S92*(1-$G92))/$L92)*((1+Inputs!$D$7)^DB$2)),((INT(DB$2/$L92)-INT((DB$2-1)/$L92))*($T92*(1-$F92)+$S92*(1-$G92))*((1+Inputs!$D$7)^DB$2))),((Inputs!$D$8^((1-_xlfn.WEIBULL.DIST(DB$2,$M92,$L92,FALSE))/_xlfn.WEIBULL.DIST(DB$2,$M92,$L92,FALSE))*($T92*(1-$F92)+$S92*(1-$G92))*((1+Inputs!$D$7)^DB$2))))))))</f>
        <v>0</v>
      </c>
      <c r="DC92" s="88">
        <f>MAX(BM92,($E92*IF(DC$2&gt;Inputs!$D$5,0,IF(DC$2&gt;VLOOKUP($H92,Lists!$P$3:$Q$7,2),IF($N92=Lists!$K$3,IF($L92&lt;1,(($U92/$L92)*((1+Inputs!$D$7)^DC$2)),((INT(DC$2/$L92)-INT((DC$2-1)/$L92))*$U92*((1+Inputs!$D$7)^DC$2))),(Inputs!$D$8^((1-_xlfn.WEIBULL.DIST(DC$2,$M92,$L92,FALSE))/_xlfn.WEIBULL.DIST(DC$2,$M92,$L92,FALSE))*$U92*((1+Inputs!$D$7)^DC$2))),IF($N92=Lists!$K$3,IF($L92&lt;1,((($T92*(1-$F92)+$S92*(1-$G92))/$L92)*((1+Inputs!$D$7)^DC$2)),((INT(DC$2/$L92)-INT((DC$2-1)/$L92))*($T92*(1-$F92)+$S92*(1-$G92))*((1+Inputs!$D$7)^DC$2))),((Inputs!$D$8^((1-_xlfn.WEIBULL.DIST(DC$2,$M92,$L92,FALSE))/_xlfn.WEIBULL.DIST(DC$2,$M92,$L92,FALSE))*($T92*(1-$F92)+$S92*(1-$G92))*((1+Inputs!$D$7)^DC$2))))))))</f>
        <v>0</v>
      </c>
      <c r="DD92" s="88">
        <f>MAX(BN92,($E92*IF(DD$2&gt;Inputs!$D$5,0,IF(DD$2&gt;VLOOKUP($H92,Lists!$P$3:$Q$7,2),IF($N92=Lists!$K$3,IF($L92&lt;1,(($U92/$L92)*((1+Inputs!$D$7)^DD$2)),((INT(DD$2/$L92)-INT((DD$2-1)/$L92))*$U92*((1+Inputs!$D$7)^DD$2))),(Inputs!$D$8^((1-_xlfn.WEIBULL.DIST(DD$2,$M92,$L92,FALSE))/_xlfn.WEIBULL.DIST(DD$2,$M92,$L92,FALSE))*$U92*((1+Inputs!$D$7)^DD$2))),IF($N92=Lists!$K$3,IF($L92&lt;1,((($T92*(1-$F92)+$S92*(1-$G92))/$L92)*((1+Inputs!$D$7)^DD$2)),((INT(DD$2/$L92)-INT((DD$2-1)/$L92))*($T92*(1-$F92)+$S92*(1-$G92))*((1+Inputs!$D$7)^DD$2))),((Inputs!$D$8^((1-_xlfn.WEIBULL.DIST(DD$2,$M92,$L92,FALSE))/_xlfn.WEIBULL.DIST(DD$2,$M92,$L92,FALSE))*($T92*(1-$F92)+$S92*(1-$G92))*((1+Inputs!$D$7)^DD$2))))))))</f>
        <v>0</v>
      </c>
    </row>
    <row r="93" spans="1:108" s="1" customFormat="1" ht="16">
      <c r="A93" s="57" t="s">
        <v>53</v>
      </c>
      <c r="B93" s="13" t="s">
        <v>279</v>
      </c>
      <c r="C93" s="13" t="s">
        <v>90</v>
      </c>
      <c r="D93" s="13" t="s">
        <v>34</v>
      </c>
      <c r="E93" s="48">
        <v>1</v>
      </c>
      <c r="F93" s="48">
        <v>0</v>
      </c>
      <c r="G93" s="48">
        <v>0</v>
      </c>
      <c r="H93" s="105" t="s">
        <v>350</v>
      </c>
      <c r="I93" s="14" t="s">
        <v>22</v>
      </c>
      <c r="J93" s="14" t="s">
        <v>246</v>
      </c>
      <c r="K93" s="13">
        <f>VLOOKUP(J93,'Labor Rates'!$A$1:$F$16,2)</f>
        <v>33.119999999999997</v>
      </c>
      <c r="L93" s="15">
        <v>5</v>
      </c>
      <c r="M93" s="15">
        <v>1</v>
      </c>
      <c r="N93" s="13" t="s">
        <v>236</v>
      </c>
      <c r="O93" s="61">
        <v>1</v>
      </c>
      <c r="P93" s="15">
        <v>0.25</v>
      </c>
      <c r="Q93" s="15">
        <f t="shared" si="14"/>
        <v>0.05</v>
      </c>
      <c r="R93" s="4">
        <v>0</v>
      </c>
      <c r="S93" s="53">
        <f t="shared" si="15"/>
        <v>8.2799999999999994</v>
      </c>
      <c r="T93" s="53">
        <f t="shared" si="16"/>
        <v>0</v>
      </c>
      <c r="U93" s="54">
        <f t="shared" si="17"/>
        <v>8.2799999999999994</v>
      </c>
      <c r="V93" s="65"/>
      <c r="W93" s="58"/>
      <c r="X93" s="64">
        <f t="shared" si="18"/>
        <v>2.1341248564038571</v>
      </c>
      <c r="Y93" s="64">
        <f>NPV(Inputs!$D$6,AA93:BN93)</f>
        <v>21.370276563991325</v>
      </c>
      <c r="Z93" s="67">
        <f t="shared" si="19"/>
        <v>1.0079265739608683E-5</v>
      </c>
      <c r="AA93" s="88">
        <f>$E93*IF(AA$2&gt;Inputs!$D$5,0,IF(AA$2&gt;VLOOKUP($H93,Lists!$P$3:$Q$7,2),IF($N93=Lists!$K$3,IF($L93&lt;1,(($U93/$L93)*((1+Inputs!$D$7)^AA$2)),((INT(AA$2/$L93)-INT((AA$2-1)/$L93))*$U93*((1+Inputs!$D$7)^AA$2))),(_xlfn.WEIBULL.DIST(AA$2,$M93,$L93,FALSE)*$U93*((1+Inputs!$D$7)^AA$2))),IF($N93=Lists!$K$3,IF($L93&lt;1,((($T93*(1-$F93)+$S93*(1-$G93))/$L93)*((1+Inputs!$D$7)^AA$2)),((INT(AA$2/$L93)-INT((AA$2-1)/$L93))*($T93*(1-$F93)+$S93*(1-$G93))*((1+Inputs!$D$7)^AA$2))),((_xlfn.WEIBULL.DIST(AA$2,$M93,$L93,FALSE)*($T93*(1-$F93)+$S93*(1-$G93))*((1+Inputs!$D$7)^AA$2))))))</f>
        <v>0</v>
      </c>
      <c r="AB93" s="88">
        <f>$E93*IF(AB$2&gt;Inputs!$D$5,0,IF(AB$2&gt;VLOOKUP($H93,Lists!$P$3:$Q$7,2),IF($N93=Lists!$K$3,IF($L93&lt;1,(($U93/$L93)*((1+Inputs!$D$7)^AB$2)),((INT(AB$2/$L93)-INT((AB$2-1)/$L93))*$U93*((1+Inputs!$D$7)^AB$2))),(_xlfn.WEIBULL.DIST(AB$2,$M93,$L93,FALSE)*$U93*((1+Inputs!$D$7)^AB$2))),IF($N93=Lists!$K$3,IF($L93&lt;1,((($T93*(1-$F93)+$S93*(1-$G93))/$L93)*((1+Inputs!$D$7)^AB$2)),((INT(AB$2/$L93)-INT((AB$2-1)/$L93))*($T93*(1-$F93)+$S93*(1-$G93))*((1+Inputs!$D$7)^AB$2))),((_xlfn.WEIBULL.DIST(AB$2,$M93,$L93,FALSE)*($T93*(1-$F93)+$S93*(1-$G93))*((1+Inputs!$D$7)^AB$2))))))</f>
        <v>0</v>
      </c>
      <c r="AC93" s="88">
        <f>$E93*IF(AC$2&gt;Inputs!$D$5,0,IF(AC$2&gt;VLOOKUP($H93,Lists!$P$3:$Q$7,2),IF($N93=Lists!$K$3,IF($L93&lt;1,(($U93/$L93)*((1+Inputs!$D$7)^AC$2)),((INT(AC$2/$L93)-INT((AC$2-1)/$L93))*$U93*((1+Inputs!$D$7)^AC$2))),(_xlfn.WEIBULL.DIST(AC$2,$M93,$L93,FALSE)*$U93*((1+Inputs!$D$7)^AC$2))),IF($N93=Lists!$K$3,IF($L93&lt;1,((($T93*(1-$F93)+$S93*(1-$G93))/$L93)*((1+Inputs!$D$7)^AC$2)),((INT(AC$2/$L93)-INT((AC$2-1)/$L93))*($T93*(1-$F93)+$S93*(1-$G93))*((1+Inputs!$D$7)^AC$2))),((_xlfn.WEIBULL.DIST(AC$2,$M93,$L93,FALSE)*($T93*(1-$F93)+$S93*(1-$G93))*((1+Inputs!$D$7)^AC$2))))))</f>
        <v>0</v>
      </c>
      <c r="AD93" s="88">
        <f>$E93*IF(AD$2&gt;Inputs!$D$5,0,IF(AD$2&gt;VLOOKUP($H93,Lists!$P$3:$Q$7,2),IF($N93=Lists!$K$3,IF($L93&lt;1,(($U93/$L93)*((1+Inputs!$D$7)^AD$2)),((INT(AD$2/$L93)-INT((AD$2-1)/$L93))*$U93*((1+Inputs!$D$7)^AD$2))),(_xlfn.WEIBULL.DIST(AD$2,$M93,$L93,FALSE)*$U93*((1+Inputs!$D$7)^AD$2))),IF($N93=Lists!$K$3,IF($L93&lt;1,((($T93*(1-$F93)+$S93*(1-$G93))/$L93)*((1+Inputs!$D$7)^AD$2)),((INT(AD$2/$L93)-INT((AD$2-1)/$L93))*($T93*(1-$F93)+$S93*(1-$G93))*((1+Inputs!$D$7)^AD$2))),((_xlfn.WEIBULL.DIST(AD$2,$M93,$L93,FALSE)*($T93*(1-$F93)+$S93*(1-$G93))*((1+Inputs!$D$7)^AD$2))))))</f>
        <v>0</v>
      </c>
      <c r="AE93" s="88">
        <f>$E93*IF(AE$2&gt;Inputs!$D$5,0,IF(AE$2&gt;VLOOKUP($H93,Lists!$P$3:$Q$7,2),IF($N93=Lists!$K$3,IF($L93&lt;1,(($U93/$L93)*((1+Inputs!$D$7)^AE$2)),((INT(AE$2/$L93)-INT((AE$2-1)/$L93))*$U93*((1+Inputs!$D$7)^AE$2))),(_xlfn.WEIBULL.DIST(AE$2,$M93,$L93,FALSE)*$U93*((1+Inputs!$D$7)^AE$2))),IF($N93=Lists!$K$3,IF($L93&lt;1,((($T93*(1-$F93)+$S93*(1-$G93))/$L93)*((1+Inputs!$D$7)^AE$2)),((INT(AE$2/$L93)-INT((AE$2-1)/$L93))*($T93*(1-$F93)+$S93*(1-$G93))*((1+Inputs!$D$7)^AE$2))),((_xlfn.WEIBULL.DIST(AE$2,$M93,$L93,FALSE)*($T93*(1-$F93)+$S93*(1-$G93))*((1+Inputs!$D$7)^AE$2))))))</f>
        <v>9.1417890504959995</v>
      </c>
      <c r="AF93" s="88">
        <f>$E93*IF(AF$2&gt;Inputs!$D$5,0,IF(AF$2&gt;VLOOKUP($H93,Lists!$P$3:$Q$7,2),IF($N93=Lists!$K$3,IF($L93&lt;1,(($U93/$L93)*((1+Inputs!$D$7)^AF$2)),((INT(AF$2/$L93)-INT((AF$2-1)/$L93))*$U93*((1+Inputs!$D$7)^AF$2))),(_xlfn.WEIBULL.DIST(AF$2,$M93,$L93,FALSE)*$U93*((1+Inputs!$D$7)^AF$2))),IF($N93=Lists!$K$3,IF($L93&lt;1,((($T93*(1-$F93)+$S93*(1-$G93))/$L93)*((1+Inputs!$D$7)^AF$2)),((INT(AF$2/$L93)-INT((AF$2-1)/$L93))*($T93*(1-$F93)+$S93*(1-$G93))*((1+Inputs!$D$7)^AF$2))),((_xlfn.WEIBULL.DIST(AF$2,$M93,$L93,FALSE)*($T93*(1-$F93)+$S93*(1-$G93))*((1+Inputs!$D$7)^AF$2))))))</f>
        <v>0</v>
      </c>
      <c r="AG93" s="88">
        <f>$E93*IF(AG$2&gt;Inputs!$D$5,0,IF(AG$2&gt;VLOOKUP($H93,Lists!$P$3:$Q$7,2),IF($N93=Lists!$K$3,IF($L93&lt;1,(($U93/$L93)*((1+Inputs!$D$7)^AG$2)),((INT(AG$2/$L93)-INT((AG$2-1)/$L93))*$U93*((1+Inputs!$D$7)^AG$2))),(_xlfn.WEIBULL.DIST(AG$2,$M93,$L93,FALSE)*$U93*((1+Inputs!$D$7)^AG$2))),IF($N93=Lists!$K$3,IF($L93&lt;1,((($T93*(1-$F93)+$S93*(1-$G93))/$L93)*((1+Inputs!$D$7)^AG$2)),((INT(AG$2/$L93)-INT((AG$2-1)/$L93))*($T93*(1-$F93)+$S93*(1-$G93))*((1+Inputs!$D$7)^AG$2))),((_xlfn.WEIBULL.DIST(AG$2,$M93,$L93,FALSE)*($T93*(1-$F93)+$S93*(1-$G93))*((1+Inputs!$D$7)^AG$2))))))</f>
        <v>0</v>
      </c>
      <c r="AH93" s="88">
        <f>$E93*IF(AH$2&gt;Inputs!$D$5,0,IF(AH$2&gt;VLOOKUP($H93,Lists!$P$3:$Q$7,2),IF($N93=Lists!$K$3,IF($L93&lt;1,(($U93/$L93)*((1+Inputs!$D$7)^AH$2)),((INT(AH$2/$L93)-INT((AH$2-1)/$L93))*$U93*((1+Inputs!$D$7)^AH$2))),(_xlfn.WEIBULL.DIST(AH$2,$M93,$L93,FALSE)*$U93*((1+Inputs!$D$7)^AH$2))),IF($N93=Lists!$K$3,IF($L93&lt;1,((($T93*(1-$F93)+$S93*(1-$G93))/$L93)*((1+Inputs!$D$7)^AH$2)),((INT(AH$2/$L93)-INT((AH$2-1)/$L93))*($T93*(1-$F93)+$S93*(1-$G93))*((1+Inputs!$D$7)^AH$2))),((_xlfn.WEIBULL.DIST(AH$2,$M93,$L93,FALSE)*($T93*(1-$F93)+$S93*(1-$G93))*((1+Inputs!$D$7)^AH$2))))))</f>
        <v>0</v>
      </c>
      <c r="AI93" s="88">
        <f>$E93*IF(AI$2&gt;Inputs!$D$5,0,IF(AI$2&gt;VLOOKUP($H93,Lists!$P$3:$Q$7,2),IF($N93=Lists!$K$3,IF($L93&lt;1,(($U93/$L93)*((1+Inputs!$D$7)^AI$2)),((INT(AI$2/$L93)-INT((AI$2-1)/$L93))*$U93*((1+Inputs!$D$7)^AI$2))),(_xlfn.WEIBULL.DIST(AI$2,$M93,$L93,FALSE)*$U93*((1+Inputs!$D$7)^AI$2))),IF($N93=Lists!$K$3,IF($L93&lt;1,((($T93*(1-$F93)+$S93*(1-$G93))/$L93)*((1+Inputs!$D$7)^AI$2)),((INT(AI$2/$L93)-INT((AI$2-1)/$L93))*($T93*(1-$F93)+$S93*(1-$G93))*((1+Inputs!$D$7)^AI$2))),((_xlfn.WEIBULL.DIST(AI$2,$M93,$L93,FALSE)*($T93*(1-$F93)+$S93*(1-$G93))*((1+Inputs!$D$7)^AI$2))))))</f>
        <v>0</v>
      </c>
      <c r="AJ93" s="88">
        <f>$E93*IF(AJ$2&gt;Inputs!$D$5,0,IF(AJ$2&gt;VLOOKUP($H93,Lists!$P$3:$Q$7,2),IF($N93=Lists!$K$3,IF($L93&lt;1,(($U93/$L93)*((1+Inputs!$D$7)^AJ$2)),((INT(AJ$2/$L93)-INT((AJ$2-1)/$L93))*$U93*((1+Inputs!$D$7)^AJ$2))),(_xlfn.WEIBULL.DIST(AJ$2,$M93,$L93,FALSE)*$U93*((1+Inputs!$D$7)^AJ$2))),IF($N93=Lists!$K$3,IF($L93&lt;1,((($T93*(1-$F93)+$S93*(1-$G93))/$L93)*((1+Inputs!$D$7)^AJ$2)),((INT(AJ$2/$L93)-INT((AJ$2-1)/$L93))*($T93*(1-$F93)+$S93*(1-$G93))*((1+Inputs!$D$7)^AJ$2))),((_xlfn.WEIBULL.DIST(AJ$2,$M93,$L93,FALSE)*($T93*(1-$F93)+$S93*(1-$G93))*((1+Inputs!$D$7)^AJ$2))))))</f>
        <v>10.093273797556588</v>
      </c>
      <c r="AK93" s="88">
        <f>$E93*IF(AK$2&gt;Inputs!$D$5,0,IF(AK$2&gt;VLOOKUP($H93,Lists!$P$3:$Q$7,2),IF($N93=Lists!$K$3,IF($L93&lt;1,(($U93/$L93)*((1+Inputs!$D$7)^AK$2)),((INT(AK$2/$L93)-INT((AK$2-1)/$L93))*$U93*((1+Inputs!$D$7)^AK$2))),(_xlfn.WEIBULL.DIST(AK$2,$M93,$L93,FALSE)*$U93*((1+Inputs!$D$7)^AK$2))),IF($N93=Lists!$K$3,IF($L93&lt;1,((($T93*(1-$F93)+$S93*(1-$G93))/$L93)*((1+Inputs!$D$7)^AK$2)),((INT(AK$2/$L93)-INT((AK$2-1)/$L93))*($T93*(1-$F93)+$S93*(1-$G93))*((1+Inputs!$D$7)^AK$2))),((_xlfn.WEIBULL.DIST(AK$2,$M93,$L93,FALSE)*($T93*(1-$F93)+$S93*(1-$G93))*((1+Inputs!$D$7)^AK$2))))))</f>
        <v>0</v>
      </c>
      <c r="AL93" s="88">
        <f>$E93*IF(AL$2&gt;Inputs!$D$5,0,IF(AL$2&gt;VLOOKUP($H93,Lists!$P$3:$Q$7,2),IF($N93=Lists!$K$3,IF($L93&lt;1,(($U93/$L93)*((1+Inputs!$D$7)^AL$2)),((INT(AL$2/$L93)-INT((AL$2-1)/$L93))*$U93*((1+Inputs!$D$7)^AL$2))),(_xlfn.WEIBULL.DIST(AL$2,$M93,$L93,FALSE)*$U93*((1+Inputs!$D$7)^AL$2))),IF($N93=Lists!$K$3,IF($L93&lt;1,((($T93*(1-$F93)+$S93*(1-$G93))/$L93)*((1+Inputs!$D$7)^AL$2)),((INT(AL$2/$L93)-INT((AL$2-1)/$L93))*($T93*(1-$F93)+$S93*(1-$G93))*((1+Inputs!$D$7)^AL$2))),((_xlfn.WEIBULL.DIST(AL$2,$M93,$L93,FALSE)*($T93*(1-$F93)+$S93*(1-$G93))*((1+Inputs!$D$7)^AL$2))))))</f>
        <v>0</v>
      </c>
      <c r="AM93" s="88">
        <f>$E93*IF(AM$2&gt;Inputs!$D$5,0,IF(AM$2&gt;VLOOKUP($H93,Lists!$P$3:$Q$7,2),IF($N93=Lists!$K$3,IF($L93&lt;1,(($U93/$L93)*((1+Inputs!$D$7)^AM$2)),((INT(AM$2/$L93)-INT((AM$2-1)/$L93))*$U93*((1+Inputs!$D$7)^AM$2))),(_xlfn.WEIBULL.DIST(AM$2,$M93,$L93,FALSE)*$U93*((1+Inputs!$D$7)^AM$2))),IF($N93=Lists!$K$3,IF($L93&lt;1,((($T93*(1-$F93)+$S93*(1-$G93))/$L93)*((1+Inputs!$D$7)^AM$2)),((INT(AM$2/$L93)-INT((AM$2-1)/$L93))*($T93*(1-$F93)+$S93*(1-$G93))*((1+Inputs!$D$7)^AM$2))),((_xlfn.WEIBULL.DIST(AM$2,$M93,$L93,FALSE)*($T93*(1-$F93)+$S93*(1-$G93))*((1+Inputs!$D$7)^AM$2))))))</f>
        <v>0</v>
      </c>
      <c r="AN93" s="88">
        <f>$E93*IF(AN$2&gt;Inputs!$D$5,0,IF(AN$2&gt;VLOOKUP($H93,Lists!$P$3:$Q$7,2),IF($N93=Lists!$K$3,IF($L93&lt;1,(($U93/$L93)*((1+Inputs!$D$7)^AN$2)),((INT(AN$2/$L93)-INT((AN$2-1)/$L93))*$U93*((1+Inputs!$D$7)^AN$2))),(_xlfn.WEIBULL.DIST(AN$2,$M93,$L93,FALSE)*$U93*((1+Inputs!$D$7)^AN$2))),IF($N93=Lists!$K$3,IF($L93&lt;1,((($T93*(1-$F93)+$S93*(1-$G93))/$L93)*((1+Inputs!$D$7)^AN$2)),((INT(AN$2/$L93)-INT((AN$2-1)/$L93))*($T93*(1-$F93)+$S93*(1-$G93))*((1+Inputs!$D$7)^AN$2))),((_xlfn.WEIBULL.DIST(AN$2,$M93,$L93,FALSE)*($T93*(1-$F93)+$S93*(1-$G93))*((1+Inputs!$D$7)^AN$2))))))</f>
        <v>0</v>
      </c>
      <c r="AO93" s="88">
        <f>$E93*IF(AO$2&gt;Inputs!$D$5,0,IF(AO$2&gt;VLOOKUP($H93,Lists!$P$3:$Q$7,2),IF($N93=Lists!$K$3,IF($L93&lt;1,(($U93/$L93)*((1+Inputs!$D$7)^AO$2)),((INT(AO$2/$L93)-INT((AO$2-1)/$L93))*$U93*((1+Inputs!$D$7)^AO$2))),(_xlfn.WEIBULL.DIST(AO$2,$M93,$L93,FALSE)*$U93*((1+Inputs!$D$7)^AO$2))),IF($N93=Lists!$K$3,IF($L93&lt;1,((($T93*(1-$F93)+$S93*(1-$G93))/$L93)*((1+Inputs!$D$7)^AO$2)),((INT(AO$2/$L93)-INT((AO$2-1)/$L93))*($T93*(1-$F93)+$S93*(1-$G93))*((1+Inputs!$D$7)^AO$2))),((_xlfn.WEIBULL.DIST(AO$2,$M93,$L93,FALSE)*($T93*(1-$F93)+$S93*(1-$G93))*((1+Inputs!$D$7)^AO$2))))))</f>
        <v>11.143789841323789</v>
      </c>
      <c r="AP93" s="88">
        <f>$E93*IF(AP$2&gt;Inputs!$D$5,0,IF(AP$2&gt;VLOOKUP($H93,Lists!$P$3:$Q$7,2),IF($N93=Lists!$K$3,IF($L93&lt;1,(($U93/$L93)*((1+Inputs!$D$7)^AP$2)),((INT(AP$2/$L93)-INT((AP$2-1)/$L93))*$U93*((1+Inputs!$D$7)^AP$2))),(_xlfn.WEIBULL.DIST(AP$2,$M93,$L93,FALSE)*$U93*((1+Inputs!$D$7)^AP$2))),IF($N93=Lists!$K$3,IF($L93&lt;1,((($T93*(1-$F93)+$S93*(1-$G93))/$L93)*((1+Inputs!$D$7)^AP$2)),((INT(AP$2/$L93)-INT((AP$2-1)/$L93))*($T93*(1-$F93)+$S93*(1-$G93))*((1+Inputs!$D$7)^AP$2))),((_xlfn.WEIBULL.DIST(AP$2,$M93,$L93,FALSE)*($T93*(1-$F93)+$S93*(1-$G93))*((1+Inputs!$D$7)^AP$2))))))</f>
        <v>0</v>
      </c>
      <c r="AQ93" s="88">
        <f>$E93*IF(AQ$2&gt;Inputs!$D$5,0,IF(AQ$2&gt;VLOOKUP($H93,Lists!$P$3:$Q$7,2),IF($N93=Lists!$K$3,IF($L93&lt;1,(($U93/$L93)*((1+Inputs!$D$7)^AQ$2)),((INT(AQ$2/$L93)-INT((AQ$2-1)/$L93))*$U93*((1+Inputs!$D$7)^AQ$2))),(_xlfn.WEIBULL.DIST(AQ$2,$M93,$L93,FALSE)*$U93*((1+Inputs!$D$7)^AQ$2))),IF($N93=Lists!$K$3,IF($L93&lt;1,((($T93*(1-$F93)+$S93*(1-$G93))/$L93)*((1+Inputs!$D$7)^AQ$2)),((INT(AQ$2/$L93)-INT((AQ$2-1)/$L93))*($T93*(1-$F93)+$S93*(1-$G93))*((1+Inputs!$D$7)^AQ$2))),((_xlfn.WEIBULL.DIST(AQ$2,$M93,$L93,FALSE)*($T93*(1-$F93)+$S93*(1-$G93))*((1+Inputs!$D$7)^AQ$2))))))</f>
        <v>0</v>
      </c>
      <c r="AR93" s="88">
        <f>$E93*IF(AR$2&gt;Inputs!$D$5,0,IF(AR$2&gt;VLOOKUP($H93,Lists!$P$3:$Q$7,2),IF($N93=Lists!$K$3,IF($L93&lt;1,(($U93/$L93)*((1+Inputs!$D$7)^AR$2)),((INT(AR$2/$L93)-INT((AR$2-1)/$L93))*$U93*((1+Inputs!$D$7)^AR$2))),(_xlfn.WEIBULL.DIST(AR$2,$M93,$L93,FALSE)*$U93*((1+Inputs!$D$7)^AR$2))),IF($N93=Lists!$K$3,IF($L93&lt;1,((($T93*(1-$F93)+$S93*(1-$G93))/$L93)*((1+Inputs!$D$7)^AR$2)),((INT(AR$2/$L93)-INT((AR$2-1)/$L93))*($T93*(1-$F93)+$S93*(1-$G93))*((1+Inputs!$D$7)^AR$2))),((_xlfn.WEIBULL.DIST(AR$2,$M93,$L93,FALSE)*($T93*(1-$F93)+$S93*(1-$G93))*((1+Inputs!$D$7)^AR$2))))))</f>
        <v>0</v>
      </c>
      <c r="AS93" s="88">
        <f>$E93*IF(AS$2&gt;Inputs!$D$5,0,IF(AS$2&gt;VLOOKUP($H93,Lists!$P$3:$Q$7,2),IF($N93=Lists!$K$3,IF($L93&lt;1,(($U93/$L93)*((1+Inputs!$D$7)^AS$2)),((INT(AS$2/$L93)-INT((AS$2-1)/$L93))*$U93*((1+Inputs!$D$7)^AS$2))),(_xlfn.WEIBULL.DIST(AS$2,$M93,$L93,FALSE)*$U93*((1+Inputs!$D$7)^AS$2))),IF($N93=Lists!$K$3,IF($L93&lt;1,((($T93*(1-$F93)+$S93*(1-$G93))/$L93)*((1+Inputs!$D$7)^AS$2)),((INT(AS$2/$L93)-INT((AS$2-1)/$L93))*($T93*(1-$F93)+$S93*(1-$G93))*((1+Inputs!$D$7)^AS$2))),((_xlfn.WEIBULL.DIST(AS$2,$M93,$L93,FALSE)*($T93*(1-$F93)+$S93*(1-$G93))*((1+Inputs!$D$7)^AS$2))))))</f>
        <v>0</v>
      </c>
      <c r="AT93" s="88">
        <f>$E93*IF(AT$2&gt;Inputs!$D$5,0,IF(AT$2&gt;VLOOKUP($H93,Lists!$P$3:$Q$7,2),IF($N93=Lists!$K$3,IF($L93&lt;1,(($U93/$L93)*((1+Inputs!$D$7)^AT$2)),((INT(AT$2/$L93)-INT((AT$2-1)/$L93))*$U93*((1+Inputs!$D$7)^AT$2))),(_xlfn.WEIBULL.DIST(AT$2,$M93,$L93,FALSE)*$U93*((1+Inputs!$D$7)^AT$2))),IF($N93=Lists!$K$3,IF($L93&lt;1,((($T93*(1-$F93)+$S93*(1-$G93))/$L93)*((1+Inputs!$D$7)^AT$2)),((INT(AT$2/$L93)-INT((AT$2-1)/$L93))*($T93*(1-$F93)+$S93*(1-$G93))*((1+Inputs!$D$7)^AT$2))),((_xlfn.WEIBULL.DIST(AT$2,$M93,$L93,FALSE)*($T93*(1-$F93)+$S93*(1-$G93))*((1+Inputs!$D$7)^AT$2))))))</f>
        <v>12.303644438700772</v>
      </c>
      <c r="AU93" s="88">
        <f>$E93*IF(AU$2&gt;Inputs!$D$5,0,IF(AU$2&gt;VLOOKUP($H93,Lists!$P$3:$Q$7,2),IF($N93=Lists!$K$3,IF($L93&lt;1,(($U93/$L93)*((1+Inputs!$D$7)^AU$2)),((INT(AU$2/$L93)-INT((AU$2-1)/$L93))*$U93*((1+Inputs!$D$7)^AU$2))),(_xlfn.WEIBULL.DIST(AU$2,$M93,$L93,FALSE)*$U93*((1+Inputs!$D$7)^AU$2))),IF($N93=Lists!$K$3,IF($L93&lt;1,((($T93*(1-$F93)+$S93*(1-$G93))/$L93)*((1+Inputs!$D$7)^AU$2)),((INT(AU$2/$L93)-INT((AU$2-1)/$L93))*($T93*(1-$F93)+$S93*(1-$G93))*((1+Inputs!$D$7)^AU$2))),((_xlfn.WEIBULL.DIST(AU$2,$M93,$L93,FALSE)*($T93*(1-$F93)+$S93*(1-$G93))*((1+Inputs!$D$7)^AU$2))))))</f>
        <v>0</v>
      </c>
      <c r="AV93" s="88">
        <f>$E93*IF(AV$2&gt;Inputs!$D$5,0,IF(AV$2&gt;VLOOKUP($H93,Lists!$P$3:$Q$7,2),IF($N93=Lists!$K$3,IF($L93&lt;1,(($U93/$L93)*((1+Inputs!$D$7)^AV$2)),((INT(AV$2/$L93)-INT((AV$2-1)/$L93))*$U93*((1+Inputs!$D$7)^AV$2))),(_xlfn.WEIBULL.DIST(AV$2,$M93,$L93,FALSE)*$U93*((1+Inputs!$D$7)^AV$2))),IF($N93=Lists!$K$3,IF($L93&lt;1,((($T93*(1-$F93)+$S93*(1-$G93))/$L93)*((1+Inputs!$D$7)^AV$2)),((INT(AV$2/$L93)-INT((AV$2-1)/$L93))*($T93*(1-$F93)+$S93*(1-$G93))*((1+Inputs!$D$7)^AV$2))),((_xlfn.WEIBULL.DIST(AV$2,$M93,$L93,FALSE)*($T93*(1-$F93)+$S93*(1-$G93))*((1+Inputs!$D$7)^AV$2))))))</f>
        <v>0</v>
      </c>
      <c r="AW93" s="88">
        <f>$E93*IF(AW$2&gt;Inputs!$D$5,0,IF(AW$2&gt;VLOOKUP($H93,Lists!$P$3:$Q$7,2),IF($N93=Lists!$K$3,IF($L93&lt;1,(($U93/$L93)*((1+Inputs!$D$7)^AW$2)),((INT(AW$2/$L93)-INT((AW$2-1)/$L93))*$U93*((1+Inputs!$D$7)^AW$2))),(_xlfn.WEIBULL.DIST(AW$2,$M93,$L93,FALSE)*$U93*((1+Inputs!$D$7)^AW$2))),IF($N93=Lists!$K$3,IF($L93&lt;1,((($T93*(1-$F93)+$S93*(1-$G93))/$L93)*((1+Inputs!$D$7)^AW$2)),((INT(AW$2/$L93)-INT((AW$2-1)/$L93))*($T93*(1-$F93)+$S93*(1-$G93))*((1+Inputs!$D$7)^AW$2))),((_xlfn.WEIBULL.DIST(AW$2,$M93,$L93,FALSE)*($T93*(1-$F93)+$S93*(1-$G93))*((1+Inputs!$D$7)^AW$2))))))</f>
        <v>0</v>
      </c>
      <c r="AX93" s="88">
        <f>$E93*IF(AX$2&gt;Inputs!$D$5,0,IF(AX$2&gt;VLOOKUP($H93,Lists!$P$3:$Q$7,2),IF($N93=Lists!$K$3,IF($L93&lt;1,(($U93/$L93)*((1+Inputs!$D$7)^AX$2)),((INT(AX$2/$L93)-INT((AX$2-1)/$L93))*$U93*((1+Inputs!$D$7)^AX$2))),(_xlfn.WEIBULL.DIST(AX$2,$M93,$L93,FALSE)*$U93*((1+Inputs!$D$7)^AX$2))),IF($N93=Lists!$K$3,IF($L93&lt;1,((($T93*(1-$F93)+$S93*(1-$G93))/$L93)*((1+Inputs!$D$7)^AX$2)),((INT(AX$2/$L93)-INT((AX$2-1)/$L93))*($T93*(1-$F93)+$S93*(1-$G93))*((1+Inputs!$D$7)^AX$2))),((_xlfn.WEIBULL.DIST(AX$2,$M93,$L93,FALSE)*($T93*(1-$F93)+$S93*(1-$G93))*((1+Inputs!$D$7)^AX$2))))))</f>
        <v>0</v>
      </c>
      <c r="AY93" s="88">
        <f>$E93*IF(AY$2&gt;Inputs!$D$5,0,IF(AY$2&gt;VLOOKUP($H93,Lists!$P$3:$Q$7,2),IF($N93=Lists!$K$3,IF($L93&lt;1,(($U93/$L93)*((1+Inputs!$D$7)^AY$2)),((INT(AY$2/$L93)-INT((AY$2-1)/$L93))*$U93*((1+Inputs!$D$7)^AY$2))),(_xlfn.WEIBULL.DIST(AY$2,$M93,$L93,FALSE)*$U93*((1+Inputs!$D$7)^AY$2))),IF($N93=Lists!$K$3,IF($L93&lt;1,((($T93*(1-$F93)+$S93*(1-$G93))/$L93)*((1+Inputs!$D$7)^AY$2)),((INT(AY$2/$L93)-INT((AY$2-1)/$L93))*($T93*(1-$F93)+$S93*(1-$G93))*((1+Inputs!$D$7)^AY$2))),((_xlfn.WEIBULL.DIST(AY$2,$M93,$L93,FALSE)*($T93*(1-$F93)+$S93*(1-$G93))*((1+Inputs!$D$7)^AY$2))))))</f>
        <v>13.58421763416796</v>
      </c>
      <c r="AZ93" s="88">
        <f>$E93*IF(AZ$2&gt;Inputs!$D$5,0,IF(AZ$2&gt;VLOOKUP($H93,Lists!$P$3:$Q$7,2),IF($N93=Lists!$K$3,IF($L93&lt;1,(($U93/$L93)*((1+Inputs!$D$7)^AZ$2)),((INT(AZ$2/$L93)-INT((AZ$2-1)/$L93))*$U93*((1+Inputs!$D$7)^AZ$2))),(_xlfn.WEIBULL.DIST(AZ$2,$M93,$L93,FALSE)*$U93*((1+Inputs!$D$7)^AZ$2))),IF($N93=Lists!$K$3,IF($L93&lt;1,((($T93*(1-$F93)+$S93*(1-$G93))/$L93)*((1+Inputs!$D$7)^AZ$2)),((INT(AZ$2/$L93)-INT((AZ$2-1)/$L93))*($T93*(1-$F93)+$S93*(1-$G93))*((1+Inputs!$D$7)^AZ$2))),((_xlfn.WEIBULL.DIST(AZ$2,$M93,$L93,FALSE)*($T93*(1-$F93)+$S93*(1-$G93))*((1+Inputs!$D$7)^AZ$2))))))</f>
        <v>0</v>
      </c>
      <c r="BA93" s="88">
        <f>$E93*IF(BA$2&gt;Inputs!$D$5,0,IF(BA$2&gt;VLOOKUP($H93,Lists!$P$3:$Q$7,2),IF($N93=Lists!$K$3,IF($L93&lt;1,(($U93/$L93)*((1+Inputs!$D$7)^BA$2)),((INT(BA$2/$L93)-INT((BA$2-1)/$L93))*$U93*((1+Inputs!$D$7)^BA$2))),(_xlfn.WEIBULL.DIST(BA$2,$M93,$L93,FALSE)*$U93*((1+Inputs!$D$7)^BA$2))),IF($N93=Lists!$K$3,IF($L93&lt;1,((($T93*(1-$F93)+$S93*(1-$G93))/$L93)*((1+Inputs!$D$7)^BA$2)),((INT(BA$2/$L93)-INT((BA$2-1)/$L93))*($T93*(1-$F93)+$S93*(1-$G93))*((1+Inputs!$D$7)^BA$2))),((_xlfn.WEIBULL.DIST(BA$2,$M93,$L93,FALSE)*($T93*(1-$F93)+$S93*(1-$G93))*((1+Inputs!$D$7)^BA$2))))))</f>
        <v>0</v>
      </c>
      <c r="BB93" s="88">
        <f>$E93*IF(BB$2&gt;Inputs!$D$5,0,IF(BB$2&gt;VLOOKUP($H93,Lists!$P$3:$Q$7,2),IF($N93=Lists!$K$3,IF($L93&lt;1,(($U93/$L93)*((1+Inputs!$D$7)^BB$2)),((INT(BB$2/$L93)-INT((BB$2-1)/$L93))*$U93*((1+Inputs!$D$7)^BB$2))),(_xlfn.WEIBULL.DIST(BB$2,$M93,$L93,FALSE)*$U93*((1+Inputs!$D$7)^BB$2))),IF($N93=Lists!$K$3,IF($L93&lt;1,((($T93*(1-$F93)+$S93*(1-$G93))/$L93)*((1+Inputs!$D$7)^BB$2)),((INT(BB$2/$L93)-INT((BB$2-1)/$L93))*($T93*(1-$F93)+$S93*(1-$G93))*((1+Inputs!$D$7)^BB$2))),((_xlfn.WEIBULL.DIST(BB$2,$M93,$L93,FALSE)*($T93*(1-$F93)+$S93*(1-$G93))*((1+Inputs!$D$7)^BB$2))))))</f>
        <v>0</v>
      </c>
      <c r="BC93" s="88">
        <f>$E93*IF(BC$2&gt;Inputs!$D$5,0,IF(BC$2&gt;VLOOKUP($H93,Lists!$P$3:$Q$7,2),IF($N93=Lists!$K$3,IF($L93&lt;1,(($U93/$L93)*((1+Inputs!$D$7)^BC$2)),((INT(BC$2/$L93)-INT((BC$2-1)/$L93))*$U93*((1+Inputs!$D$7)^BC$2))),(_xlfn.WEIBULL.DIST(BC$2,$M93,$L93,FALSE)*$U93*((1+Inputs!$D$7)^BC$2))),IF($N93=Lists!$K$3,IF($L93&lt;1,((($T93*(1-$F93)+$S93*(1-$G93))/$L93)*((1+Inputs!$D$7)^BC$2)),((INT(BC$2/$L93)-INT((BC$2-1)/$L93))*($T93*(1-$F93)+$S93*(1-$G93))*((1+Inputs!$D$7)^BC$2))),((_xlfn.WEIBULL.DIST(BC$2,$M93,$L93,FALSE)*($T93*(1-$F93)+$S93*(1-$G93))*((1+Inputs!$D$7)^BC$2))))))</f>
        <v>0</v>
      </c>
      <c r="BD93" s="88">
        <f>$E93*IF(BD$2&gt;Inputs!$D$5,0,IF(BD$2&gt;VLOOKUP($H93,Lists!$P$3:$Q$7,2),IF($N93=Lists!$K$3,IF($L93&lt;1,(($U93/$L93)*((1+Inputs!$D$7)^BD$2)),((INT(BD$2/$L93)-INT((BD$2-1)/$L93))*$U93*((1+Inputs!$D$7)^BD$2))),(_xlfn.WEIBULL.DIST(BD$2,$M93,$L93,FALSE)*$U93*((1+Inputs!$D$7)^BD$2))),IF($N93=Lists!$K$3,IF($L93&lt;1,((($T93*(1-$F93)+$S93*(1-$G93))/$L93)*((1+Inputs!$D$7)^BD$2)),((INT(BD$2/$L93)-INT((BD$2-1)/$L93))*($T93*(1-$F93)+$S93*(1-$G93))*((1+Inputs!$D$7)^BD$2))),((_xlfn.WEIBULL.DIST(BD$2,$M93,$L93,FALSE)*($T93*(1-$F93)+$S93*(1-$G93))*((1+Inputs!$D$7)^BD$2))))))</f>
        <v>0</v>
      </c>
      <c r="BE93" s="88">
        <f>$E93*IF(BE$2&gt;Inputs!$D$5,0,IF(BE$2&gt;VLOOKUP($H93,Lists!$P$3:$Q$7,2),IF($N93=Lists!$K$3,IF($L93&lt;1,(($U93/$L93)*((1+Inputs!$D$7)^BE$2)),((INT(BE$2/$L93)-INT((BE$2-1)/$L93))*$U93*((1+Inputs!$D$7)^BE$2))),(_xlfn.WEIBULL.DIST(BE$2,$M93,$L93,FALSE)*$U93*((1+Inputs!$D$7)^BE$2))),IF($N93=Lists!$K$3,IF($L93&lt;1,((($T93*(1-$F93)+$S93*(1-$G93))/$L93)*((1+Inputs!$D$7)^BE$2)),((INT(BE$2/$L93)-INT((BE$2-1)/$L93))*($T93*(1-$F93)+$S93*(1-$G93))*((1+Inputs!$D$7)^BE$2))),((_xlfn.WEIBULL.DIST(BE$2,$M93,$L93,FALSE)*($T93*(1-$F93)+$S93*(1-$G93))*((1+Inputs!$D$7)^BE$2))))))</f>
        <v>0</v>
      </c>
      <c r="BF93" s="88">
        <f>$E93*IF(BF$2&gt;Inputs!$D$5,0,IF(BF$2&gt;VLOOKUP($H93,Lists!$P$3:$Q$7,2),IF($N93=Lists!$K$3,IF($L93&lt;1,(($U93/$L93)*((1+Inputs!$D$7)^BF$2)),((INT(BF$2/$L93)-INT((BF$2-1)/$L93))*$U93*((1+Inputs!$D$7)^BF$2))),(_xlfn.WEIBULL.DIST(BF$2,$M93,$L93,FALSE)*$U93*((1+Inputs!$D$7)^BF$2))),IF($N93=Lists!$K$3,IF($L93&lt;1,((($T93*(1-$F93)+$S93*(1-$G93))/$L93)*((1+Inputs!$D$7)^BF$2)),((INT(BF$2/$L93)-INT((BF$2-1)/$L93))*($T93*(1-$F93)+$S93*(1-$G93))*((1+Inputs!$D$7)^BF$2))),((_xlfn.WEIBULL.DIST(BF$2,$M93,$L93,FALSE)*($T93*(1-$F93)+$S93*(1-$G93))*((1+Inputs!$D$7)^BF$2))))))</f>
        <v>0</v>
      </c>
      <c r="BG93" s="88">
        <f>$E93*IF(BG$2&gt;Inputs!$D$5,0,IF(BG$2&gt;VLOOKUP($H93,Lists!$P$3:$Q$7,2),IF($N93=Lists!$K$3,IF($L93&lt;1,(($U93/$L93)*((1+Inputs!$D$7)^BG$2)),((INT(BG$2/$L93)-INT((BG$2-1)/$L93))*$U93*((1+Inputs!$D$7)^BG$2))),(_xlfn.WEIBULL.DIST(BG$2,$M93,$L93,FALSE)*$U93*((1+Inputs!$D$7)^BG$2))),IF($N93=Lists!$K$3,IF($L93&lt;1,((($T93*(1-$F93)+$S93*(1-$G93))/$L93)*((1+Inputs!$D$7)^BG$2)),((INT(BG$2/$L93)-INT((BG$2-1)/$L93))*($T93*(1-$F93)+$S93*(1-$G93))*((1+Inputs!$D$7)^BG$2))),((_xlfn.WEIBULL.DIST(BG$2,$M93,$L93,FALSE)*($T93*(1-$F93)+$S93*(1-$G93))*((1+Inputs!$D$7)^BG$2))))))</f>
        <v>0</v>
      </c>
      <c r="BH93" s="88">
        <f>$E93*IF(BH$2&gt;Inputs!$D$5,0,IF(BH$2&gt;VLOOKUP($H93,Lists!$P$3:$Q$7,2),IF($N93=Lists!$K$3,IF($L93&lt;1,(($U93/$L93)*((1+Inputs!$D$7)^BH$2)),((INT(BH$2/$L93)-INT((BH$2-1)/$L93))*$U93*((1+Inputs!$D$7)^BH$2))),(_xlfn.WEIBULL.DIST(BH$2,$M93,$L93,FALSE)*$U93*((1+Inputs!$D$7)^BH$2))),IF($N93=Lists!$K$3,IF($L93&lt;1,((($T93*(1-$F93)+$S93*(1-$G93))/$L93)*((1+Inputs!$D$7)^BH$2)),((INT(BH$2/$L93)-INT((BH$2-1)/$L93))*($T93*(1-$F93)+$S93*(1-$G93))*((1+Inputs!$D$7)^BH$2))),((_xlfn.WEIBULL.DIST(BH$2,$M93,$L93,FALSE)*($T93*(1-$F93)+$S93*(1-$G93))*((1+Inputs!$D$7)^BH$2))))))</f>
        <v>0</v>
      </c>
      <c r="BI93" s="88">
        <f>$E93*IF(BI$2&gt;Inputs!$D$5,0,IF(BI$2&gt;VLOOKUP($H93,Lists!$P$3:$Q$7,2),IF($N93=Lists!$K$3,IF($L93&lt;1,(($U93/$L93)*((1+Inputs!$D$7)^BI$2)),((INT(BI$2/$L93)-INT((BI$2-1)/$L93))*$U93*((1+Inputs!$D$7)^BI$2))),(_xlfn.WEIBULL.DIST(BI$2,$M93,$L93,FALSE)*$U93*((1+Inputs!$D$7)^BI$2))),IF($N93=Lists!$K$3,IF($L93&lt;1,((($T93*(1-$F93)+$S93*(1-$G93))/$L93)*((1+Inputs!$D$7)^BI$2)),((INT(BI$2/$L93)-INT((BI$2-1)/$L93))*($T93*(1-$F93)+$S93*(1-$G93))*((1+Inputs!$D$7)^BI$2))),((_xlfn.WEIBULL.DIST(BI$2,$M93,$L93,FALSE)*($T93*(1-$F93)+$S93*(1-$G93))*((1+Inputs!$D$7)^BI$2))))))</f>
        <v>0</v>
      </c>
      <c r="BJ93" s="88">
        <f>$E93*IF(BJ$2&gt;Inputs!$D$5,0,IF(BJ$2&gt;VLOOKUP($H93,Lists!$P$3:$Q$7,2),IF($N93=Lists!$K$3,IF($L93&lt;1,(($U93/$L93)*((1+Inputs!$D$7)^BJ$2)),((INT(BJ$2/$L93)-INT((BJ$2-1)/$L93))*$U93*((1+Inputs!$D$7)^BJ$2))),(_xlfn.WEIBULL.DIST(BJ$2,$M93,$L93,FALSE)*$U93*((1+Inputs!$D$7)^BJ$2))),IF($N93=Lists!$K$3,IF($L93&lt;1,((($T93*(1-$F93)+$S93*(1-$G93))/$L93)*((1+Inputs!$D$7)^BJ$2)),((INT(BJ$2/$L93)-INT((BJ$2-1)/$L93))*($T93*(1-$F93)+$S93*(1-$G93))*((1+Inputs!$D$7)^BJ$2))),((_xlfn.WEIBULL.DIST(BJ$2,$M93,$L93,FALSE)*($T93*(1-$F93)+$S93*(1-$G93))*((1+Inputs!$D$7)^BJ$2))))))</f>
        <v>0</v>
      </c>
      <c r="BK93" s="88">
        <f>$E93*IF(BK$2&gt;Inputs!$D$5,0,IF(BK$2&gt;VLOOKUP($H93,Lists!$P$3:$Q$7,2),IF($N93=Lists!$K$3,IF($L93&lt;1,(($U93/$L93)*((1+Inputs!$D$7)^BK$2)),((INT(BK$2/$L93)-INT((BK$2-1)/$L93))*$U93*((1+Inputs!$D$7)^BK$2))),(_xlfn.WEIBULL.DIST(BK$2,$M93,$L93,FALSE)*$U93*((1+Inputs!$D$7)^BK$2))),IF($N93=Lists!$K$3,IF($L93&lt;1,((($T93*(1-$F93)+$S93*(1-$G93))/$L93)*((1+Inputs!$D$7)^BK$2)),((INT(BK$2/$L93)-INT((BK$2-1)/$L93))*($T93*(1-$F93)+$S93*(1-$G93))*((1+Inputs!$D$7)^BK$2))),((_xlfn.WEIBULL.DIST(BK$2,$M93,$L93,FALSE)*($T93*(1-$F93)+$S93*(1-$G93))*((1+Inputs!$D$7)^BK$2))))))</f>
        <v>0</v>
      </c>
      <c r="BL93" s="88">
        <f>$E93*IF(BL$2&gt;Inputs!$D$5,0,IF(BL$2&gt;VLOOKUP($H93,Lists!$P$3:$Q$7,2),IF($N93=Lists!$K$3,IF($L93&lt;1,(($U93/$L93)*((1+Inputs!$D$7)^BL$2)),((INT(BL$2/$L93)-INT((BL$2-1)/$L93))*$U93*((1+Inputs!$D$7)^BL$2))),(_xlfn.WEIBULL.DIST(BL$2,$M93,$L93,FALSE)*$U93*((1+Inputs!$D$7)^BL$2))),IF($N93=Lists!$K$3,IF($L93&lt;1,((($T93*(1-$F93)+$S93*(1-$G93))/$L93)*((1+Inputs!$D$7)^BL$2)),((INT(BL$2/$L93)-INT((BL$2-1)/$L93))*($T93*(1-$F93)+$S93*(1-$G93))*((1+Inputs!$D$7)^BL$2))),((_xlfn.WEIBULL.DIST(BL$2,$M93,$L93,FALSE)*($T93*(1-$F93)+$S93*(1-$G93))*((1+Inputs!$D$7)^BL$2))))))</f>
        <v>0</v>
      </c>
      <c r="BM93" s="88">
        <f>$E93*IF(BM$2&gt;Inputs!$D$5,0,IF(BM$2&gt;VLOOKUP($H93,Lists!$P$3:$Q$7,2),IF($N93=Lists!$K$3,IF($L93&lt;1,(($U93/$L93)*((1+Inputs!$D$7)^BM$2)),((INT(BM$2/$L93)-INT((BM$2-1)/$L93))*$U93*((1+Inputs!$D$7)^BM$2))),(_xlfn.WEIBULL.DIST(BM$2,$M93,$L93,FALSE)*$U93*((1+Inputs!$D$7)^BM$2))),IF($N93=Lists!$K$3,IF($L93&lt;1,((($T93*(1-$F93)+$S93*(1-$G93))/$L93)*((1+Inputs!$D$7)^BM$2)),((INT(BM$2/$L93)-INT((BM$2-1)/$L93))*($T93*(1-$F93)+$S93*(1-$G93))*((1+Inputs!$D$7)^BM$2))),((_xlfn.WEIBULL.DIST(BM$2,$M93,$L93,FALSE)*($T93*(1-$F93)+$S93*(1-$G93))*((1+Inputs!$D$7)^BM$2))))))</f>
        <v>0</v>
      </c>
      <c r="BN93" s="88">
        <f>$E93*IF(BN$2&gt;Inputs!$D$5,0,IF(BN$2&gt;VLOOKUP($H93,Lists!$P$3:$Q$7,2),IF($N93=Lists!$K$3,IF($L93&lt;1,(($U93/$L93)*((1+Inputs!$D$7)^BN$2)),((INT(BN$2/$L93)-INT((BN$2-1)/$L93))*$U93*((1+Inputs!$D$7)^BN$2))),(_xlfn.WEIBULL.DIST(BN$2,$M93,$L93,FALSE)*$U93*((1+Inputs!$D$7)^BN$2))),IF($N93=Lists!$K$3,IF($L93&lt;1,((($T93*(1-$F93)+$S93*(1-$G93))/$L93)*((1+Inputs!$D$7)^BN$2)),((INT(BN$2/$L93)-INT((BN$2-1)/$L93))*($T93*(1-$F93)+$S93*(1-$G93))*((1+Inputs!$D$7)^BN$2))),((_xlfn.WEIBULL.DIST(BN$2,$M93,$L93,FALSE)*($T93*(1-$F93)+$S93*(1-$G93))*((1+Inputs!$D$7)^BN$2))))))</f>
        <v>0</v>
      </c>
      <c r="BO93" s="64">
        <f>NPV(Inputs!$D$6,BQ93:DD93)</f>
        <v>21.370276563991325</v>
      </c>
      <c r="BP93" s="67">
        <f t="shared" si="20"/>
        <v>1.0079265739608683E-5</v>
      </c>
      <c r="BQ93" s="88">
        <f>MAX(AA93,($E93*IF(BQ$2&gt;Inputs!$D$5,0,IF(BQ$2&gt;VLOOKUP($H93,Lists!$P$3:$Q$7,2),IF($N93=Lists!$K$3,IF($L93&lt;1,(($U93/$L93)*((1+Inputs!$D$7)^BQ$2)),((INT(BQ$2/$L93)-INT((BQ$2-1)/$L93))*$U93*((1+Inputs!$D$7)^BQ$2))),(Inputs!$D$8^((1-_xlfn.WEIBULL.DIST(BQ$2,$M93,$L93,FALSE))/_xlfn.WEIBULL.DIST(BQ$2,$M93,$L93,FALSE))*$U93*((1+Inputs!$D$7)^BQ$2))),IF($N93=Lists!$K$3,IF($L93&lt;1,((($T93*(1-$F93)+$S93*(1-$G93))/$L93)*((1+Inputs!$D$7)^BQ$2)),((INT(BQ$2/$L93)-INT((BQ$2-1)/$L93))*($T93*(1-$F93)+$S93*(1-$G93))*((1+Inputs!$D$7)^BQ$2))),((Inputs!$D$8^((1-_xlfn.WEIBULL.DIST(BQ$2,$M93,$L93,FALSE))/_xlfn.WEIBULL.DIST(BQ$2,$M93,$L93,FALSE))*($T93*(1-$F93)+$S93*(1-$G93))*((1+Inputs!$D$7)^BQ$2))))))))</f>
        <v>0</v>
      </c>
      <c r="BR93" s="88">
        <f>MAX(AB93,($E93*IF(BR$2&gt;Inputs!$D$5,0,IF(BR$2&gt;VLOOKUP($H93,Lists!$P$3:$Q$7,2),IF($N93=Lists!$K$3,IF($L93&lt;1,(($U93/$L93)*((1+Inputs!$D$7)^BR$2)),((INT(BR$2/$L93)-INT((BR$2-1)/$L93))*$U93*((1+Inputs!$D$7)^BR$2))),(Inputs!$D$8^((1-_xlfn.WEIBULL.DIST(BR$2,$M93,$L93,FALSE))/_xlfn.WEIBULL.DIST(BR$2,$M93,$L93,FALSE))*$U93*((1+Inputs!$D$7)^BR$2))),IF($N93=Lists!$K$3,IF($L93&lt;1,((($T93*(1-$F93)+$S93*(1-$G93))/$L93)*((1+Inputs!$D$7)^BR$2)),((INT(BR$2/$L93)-INT((BR$2-1)/$L93))*($T93*(1-$F93)+$S93*(1-$G93))*((1+Inputs!$D$7)^BR$2))),((Inputs!$D$8^((1-_xlfn.WEIBULL.DIST(BR$2,$M93,$L93,FALSE))/_xlfn.WEIBULL.DIST(BR$2,$M93,$L93,FALSE))*($T93*(1-$F93)+$S93*(1-$G93))*((1+Inputs!$D$7)^BR$2))))))))</f>
        <v>0</v>
      </c>
      <c r="BS93" s="88">
        <f>MAX(AC93,($E93*IF(BS$2&gt;Inputs!$D$5,0,IF(BS$2&gt;VLOOKUP($H93,Lists!$P$3:$Q$7,2),IF($N93=Lists!$K$3,IF($L93&lt;1,(($U93/$L93)*((1+Inputs!$D$7)^BS$2)),((INT(BS$2/$L93)-INT((BS$2-1)/$L93))*$U93*((1+Inputs!$D$7)^BS$2))),(Inputs!$D$8^((1-_xlfn.WEIBULL.DIST(BS$2,$M93,$L93,FALSE))/_xlfn.WEIBULL.DIST(BS$2,$M93,$L93,FALSE))*$U93*((1+Inputs!$D$7)^BS$2))),IF($N93=Lists!$K$3,IF($L93&lt;1,((($T93*(1-$F93)+$S93*(1-$G93))/$L93)*((1+Inputs!$D$7)^BS$2)),((INT(BS$2/$L93)-INT((BS$2-1)/$L93))*($T93*(1-$F93)+$S93*(1-$G93))*((1+Inputs!$D$7)^BS$2))),((Inputs!$D$8^((1-_xlfn.WEIBULL.DIST(BS$2,$M93,$L93,FALSE))/_xlfn.WEIBULL.DIST(BS$2,$M93,$L93,FALSE))*($T93*(1-$F93)+$S93*(1-$G93))*((1+Inputs!$D$7)^BS$2))))))))</f>
        <v>0</v>
      </c>
      <c r="BT93" s="88">
        <f>MAX(AD93,($E93*IF(BT$2&gt;Inputs!$D$5,0,IF(BT$2&gt;VLOOKUP($H93,Lists!$P$3:$Q$7,2),IF($N93=Lists!$K$3,IF($L93&lt;1,(($U93/$L93)*((1+Inputs!$D$7)^BT$2)),((INT(BT$2/$L93)-INT((BT$2-1)/$L93))*$U93*((1+Inputs!$D$7)^BT$2))),(Inputs!$D$8^((1-_xlfn.WEIBULL.DIST(BT$2,$M93,$L93,FALSE))/_xlfn.WEIBULL.DIST(BT$2,$M93,$L93,FALSE))*$U93*((1+Inputs!$D$7)^BT$2))),IF($N93=Lists!$K$3,IF($L93&lt;1,((($T93*(1-$F93)+$S93*(1-$G93))/$L93)*((1+Inputs!$D$7)^BT$2)),((INT(BT$2/$L93)-INT((BT$2-1)/$L93))*($T93*(1-$F93)+$S93*(1-$G93))*((1+Inputs!$D$7)^BT$2))),((Inputs!$D$8^((1-_xlfn.WEIBULL.DIST(BT$2,$M93,$L93,FALSE))/_xlfn.WEIBULL.DIST(BT$2,$M93,$L93,FALSE))*($T93*(1-$F93)+$S93*(1-$G93))*((1+Inputs!$D$7)^BT$2))))))))</f>
        <v>0</v>
      </c>
      <c r="BU93" s="88">
        <f>MAX(AE93,($E93*IF(BU$2&gt;Inputs!$D$5,0,IF(BU$2&gt;VLOOKUP($H93,Lists!$P$3:$Q$7,2),IF($N93=Lists!$K$3,IF($L93&lt;1,(($U93/$L93)*((1+Inputs!$D$7)^BU$2)),((INT(BU$2/$L93)-INT((BU$2-1)/$L93))*$U93*((1+Inputs!$D$7)^BU$2))),(Inputs!$D$8^((1-_xlfn.WEIBULL.DIST(BU$2,$M93,$L93,FALSE))/_xlfn.WEIBULL.DIST(BU$2,$M93,$L93,FALSE))*$U93*((1+Inputs!$D$7)^BU$2))),IF($N93=Lists!$K$3,IF($L93&lt;1,((($T93*(1-$F93)+$S93*(1-$G93))/$L93)*((1+Inputs!$D$7)^BU$2)),((INT(BU$2/$L93)-INT((BU$2-1)/$L93))*($T93*(1-$F93)+$S93*(1-$G93))*((1+Inputs!$D$7)^BU$2))),((Inputs!$D$8^((1-_xlfn.WEIBULL.DIST(BU$2,$M93,$L93,FALSE))/_xlfn.WEIBULL.DIST(BU$2,$M93,$L93,FALSE))*($T93*(1-$F93)+$S93*(1-$G93))*((1+Inputs!$D$7)^BU$2))))))))</f>
        <v>9.1417890504959995</v>
      </c>
      <c r="BV93" s="88">
        <f>MAX(AF93,($E93*IF(BV$2&gt;Inputs!$D$5,0,IF(BV$2&gt;VLOOKUP($H93,Lists!$P$3:$Q$7,2),IF($N93=Lists!$K$3,IF($L93&lt;1,(($U93/$L93)*((1+Inputs!$D$7)^BV$2)),((INT(BV$2/$L93)-INT((BV$2-1)/$L93))*$U93*((1+Inputs!$D$7)^BV$2))),(Inputs!$D$8^((1-_xlfn.WEIBULL.DIST(BV$2,$M93,$L93,FALSE))/_xlfn.WEIBULL.DIST(BV$2,$M93,$L93,FALSE))*$U93*((1+Inputs!$D$7)^BV$2))),IF($N93=Lists!$K$3,IF($L93&lt;1,((($T93*(1-$F93)+$S93*(1-$G93))/$L93)*((1+Inputs!$D$7)^BV$2)),((INT(BV$2/$L93)-INT((BV$2-1)/$L93))*($T93*(1-$F93)+$S93*(1-$G93))*((1+Inputs!$D$7)^BV$2))),((Inputs!$D$8^((1-_xlfn.WEIBULL.DIST(BV$2,$M93,$L93,FALSE))/_xlfn.WEIBULL.DIST(BV$2,$M93,$L93,FALSE))*($T93*(1-$F93)+$S93*(1-$G93))*((1+Inputs!$D$7)^BV$2))))))))</f>
        <v>0</v>
      </c>
      <c r="BW93" s="88">
        <f>MAX(AG93,($E93*IF(BW$2&gt;Inputs!$D$5,0,IF(BW$2&gt;VLOOKUP($H93,Lists!$P$3:$Q$7,2),IF($N93=Lists!$K$3,IF($L93&lt;1,(($U93/$L93)*((1+Inputs!$D$7)^BW$2)),((INT(BW$2/$L93)-INT((BW$2-1)/$L93))*$U93*((1+Inputs!$D$7)^BW$2))),(Inputs!$D$8^((1-_xlfn.WEIBULL.DIST(BW$2,$M93,$L93,FALSE))/_xlfn.WEIBULL.DIST(BW$2,$M93,$L93,FALSE))*$U93*((1+Inputs!$D$7)^BW$2))),IF($N93=Lists!$K$3,IF($L93&lt;1,((($T93*(1-$F93)+$S93*(1-$G93))/$L93)*((1+Inputs!$D$7)^BW$2)),((INT(BW$2/$L93)-INT((BW$2-1)/$L93))*($T93*(1-$F93)+$S93*(1-$G93))*((1+Inputs!$D$7)^BW$2))),((Inputs!$D$8^((1-_xlfn.WEIBULL.DIST(BW$2,$M93,$L93,FALSE))/_xlfn.WEIBULL.DIST(BW$2,$M93,$L93,FALSE))*($T93*(1-$F93)+$S93*(1-$G93))*((1+Inputs!$D$7)^BW$2))))))))</f>
        <v>0</v>
      </c>
      <c r="BX93" s="88">
        <f>MAX(AH93,($E93*IF(BX$2&gt;Inputs!$D$5,0,IF(BX$2&gt;VLOOKUP($H93,Lists!$P$3:$Q$7,2),IF($N93=Lists!$K$3,IF($L93&lt;1,(($U93/$L93)*((1+Inputs!$D$7)^BX$2)),((INT(BX$2/$L93)-INT((BX$2-1)/$L93))*$U93*((1+Inputs!$D$7)^BX$2))),(Inputs!$D$8^((1-_xlfn.WEIBULL.DIST(BX$2,$M93,$L93,FALSE))/_xlfn.WEIBULL.DIST(BX$2,$M93,$L93,FALSE))*$U93*((1+Inputs!$D$7)^BX$2))),IF($N93=Lists!$K$3,IF($L93&lt;1,((($T93*(1-$F93)+$S93*(1-$G93))/$L93)*((1+Inputs!$D$7)^BX$2)),((INT(BX$2/$L93)-INT((BX$2-1)/$L93))*($T93*(1-$F93)+$S93*(1-$G93))*((1+Inputs!$D$7)^BX$2))),((Inputs!$D$8^((1-_xlfn.WEIBULL.DIST(BX$2,$M93,$L93,FALSE))/_xlfn.WEIBULL.DIST(BX$2,$M93,$L93,FALSE))*($T93*(1-$F93)+$S93*(1-$G93))*((1+Inputs!$D$7)^BX$2))))))))</f>
        <v>0</v>
      </c>
      <c r="BY93" s="88">
        <f>MAX(AI93,($E93*IF(BY$2&gt;Inputs!$D$5,0,IF(BY$2&gt;VLOOKUP($H93,Lists!$P$3:$Q$7,2),IF($N93=Lists!$K$3,IF($L93&lt;1,(($U93/$L93)*((1+Inputs!$D$7)^BY$2)),((INT(BY$2/$L93)-INT((BY$2-1)/$L93))*$U93*((1+Inputs!$D$7)^BY$2))),(Inputs!$D$8^((1-_xlfn.WEIBULL.DIST(BY$2,$M93,$L93,FALSE))/_xlfn.WEIBULL.DIST(BY$2,$M93,$L93,FALSE))*$U93*((1+Inputs!$D$7)^BY$2))),IF($N93=Lists!$K$3,IF($L93&lt;1,((($T93*(1-$F93)+$S93*(1-$G93))/$L93)*((1+Inputs!$D$7)^BY$2)),((INT(BY$2/$L93)-INT((BY$2-1)/$L93))*($T93*(1-$F93)+$S93*(1-$G93))*((1+Inputs!$D$7)^BY$2))),((Inputs!$D$8^((1-_xlfn.WEIBULL.DIST(BY$2,$M93,$L93,FALSE))/_xlfn.WEIBULL.DIST(BY$2,$M93,$L93,FALSE))*($T93*(1-$F93)+$S93*(1-$G93))*((1+Inputs!$D$7)^BY$2))))))))</f>
        <v>0</v>
      </c>
      <c r="BZ93" s="88">
        <f>MAX(AJ93,($E93*IF(BZ$2&gt;Inputs!$D$5,0,IF(BZ$2&gt;VLOOKUP($H93,Lists!$P$3:$Q$7,2),IF($N93=Lists!$K$3,IF($L93&lt;1,(($U93/$L93)*((1+Inputs!$D$7)^BZ$2)),((INT(BZ$2/$L93)-INT((BZ$2-1)/$L93))*$U93*((1+Inputs!$D$7)^BZ$2))),(Inputs!$D$8^((1-_xlfn.WEIBULL.DIST(BZ$2,$M93,$L93,FALSE))/_xlfn.WEIBULL.DIST(BZ$2,$M93,$L93,FALSE))*$U93*((1+Inputs!$D$7)^BZ$2))),IF($N93=Lists!$K$3,IF($L93&lt;1,((($T93*(1-$F93)+$S93*(1-$G93))/$L93)*((1+Inputs!$D$7)^BZ$2)),((INT(BZ$2/$L93)-INT((BZ$2-1)/$L93))*($T93*(1-$F93)+$S93*(1-$G93))*((1+Inputs!$D$7)^BZ$2))),((Inputs!$D$8^((1-_xlfn.WEIBULL.DIST(BZ$2,$M93,$L93,FALSE))/_xlfn.WEIBULL.DIST(BZ$2,$M93,$L93,FALSE))*($T93*(1-$F93)+$S93*(1-$G93))*((1+Inputs!$D$7)^BZ$2))))))))</f>
        <v>10.093273797556588</v>
      </c>
      <c r="CA93" s="88">
        <f>MAX(AK93,($E93*IF(CA$2&gt;Inputs!$D$5,0,IF(CA$2&gt;VLOOKUP($H93,Lists!$P$3:$Q$7,2),IF($N93=Lists!$K$3,IF($L93&lt;1,(($U93/$L93)*((1+Inputs!$D$7)^CA$2)),((INT(CA$2/$L93)-INT((CA$2-1)/$L93))*$U93*((1+Inputs!$D$7)^CA$2))),(Inputs!$D$8^((1-_xlfn.WEIBULL.DIST(CA$2,$M93,$L93,FALSE))/_xlfn.WEIBULL.DIST(CA$2,$M93,$L93,FALSE))*$U93*((1+Inputs!$D$7)^CA$2))),IF($N93=Lists!$K$3,IF($L93&lt;1,((($T93*(1-$F93)+$S93*(1-$G93))/$L93)*((1+Inputs!$D$7)^CA$2)),((INT(CA$2/$L93)-INT((CA$2-1)/$L93))*($T93*(1-$F93)+$S93*(1-$G93))*((1+Inputs!$D$7)^CA$2))),((Inputs!$D$8^((1-_xlfn.WEIBULL.DIST(CA$2,$M93,$L93,FALSE))/_xlfn.WEIBULL.DIST(CA$2,$M93,$L93,FALSE))*($T93*(1-$F93)+$S93*(1-$G93))*((1+Inputs!$D$7)^CA$2))))))))</f>
        <v>0</v>
      </c>
      <c r="CB93" s="88">
        <f>MAX(AL93,($E93*IF(CB$2&gt;Inputs!$D$5,0,IF(CB$2&gt;VLOOKUP($H93,Lists!$P$3:$Q$7,2),IF($N93=Lists!$K$3,IF($L93&lt;1,(($U93/$L93)*((1+Inputs!$D$7)^CB$2)),((INT(CB$2/$L93)-INT((CB$2-1)/$L93))*$U93*((1+Inputs!$D$7)^CB$2))),(Inputs!$D$8^((1-_xlfn.WEIBULL.DIST(CB$2,$M93,$L93,FALSE))/_xlfn.WEIBULL.DIST(CB$2,$M93,$L93,FALSE))*$U93*((1+Inputs!$D$7)^CB$2))),IF($N93=Lists!$K$3,IF($L93&lt;1,((($T93*(1-$F93)+$S93*(1-$G93))/$L93)*((1+Inputs!$D$7)^CB$2)),((INT(CB$2/$L93)-INT((CB$2-1)/$L93))*($T93*(1-$F93)+$S93*(1-$G93))*((1+Inputs!$D$7)^CB$2))),((Inputs!$D$8^((1-_xlfn.WEIBULL.DIST(CB$2,$M93,$L93,FALSE))/_xlfn.WEIBULL.DIST(CB$2,$M93,$L93,FALSE))*($T93*(1-$F93)+$S93*(1-$G93))*((1+Inputs!$D$7)^CB$2))))))))</f>
        <v>0</v>
      </c>
      <c r="CC93" s="88">
        <f>MAX(AM93,($E93*IF(CC$2&gt;Inputs!$D$5,0,IF(CC$2&gt;VLOOKUP($H93,Lists!$P$3:$Q$7,2),IF($N93=Lists!$K$3,IF($L93&lt;1,(($U93/$L93)*((1+Inputs!$D$7)^CC$2)),((INT(CC$2/$L93)-INT((CC$2-1)/$L93))*$U93*((1+Inputs!$D$7)^CC$2))),(Inputs!$D$8^((1-_xlfn.WEIBULL.DIST(CC$2,$M93,$L93,FALSE))/_xlfn.WEIBULL.DIST(CC$2,$M93,$L93,FALSE))*$U93*((1+Inputs!$D$7)^CC$2))),IF($N93=Lists!$K$3,IF($L93&lt;1,((($T93*(1-$F93)+$S93*(1-$G93))/$L93)*((1+Inputs!$D$7)^CC$2)),((INT(CC$2/$L93)-INT((CC$2-1)/$L93))*($T93*(1-$F93)+$S93*(1-$G93))*((1+Inputs!$D$7)^CC$2))),((Inputs!$D$8^((1-_xlfn.WEIBULL.DIST(CC$2,$M93,$L93,FALSE))/_xlfn.WEIBULL.DIST(CC$2,$M93,$L93,FALSE))*($T93*(1-$F93)+$S93*(1-$G93))*((1+Inputs!$D$7)^CC$2))))))))</f>
        <v>0</v>
      </c>
      <c r="CD93" s="88">
        <f>MAX(AN93,($E93*IF(CD$2&gt;Inputs!$D$5,0,IF(CD$2&gt;VLOOKUP($H93,Lists!$P$3:$Q$7,2),IF($N93=Lists!$K$3,IF($L93&lt;1,(($U93/$L93)*((1+Inputs!$D$7)^CD$2)),((INT(CD$2/$L93)-INT((CD$2-1)/$L93))*$U93*((1+Inputs!$D$7)^CD$2))),(Inputs!$D$8^((1-_xlfn.WEIBULL.DIST(CD$2,$M93,$L93,FALSE))/_xlfn.WEIBULL.DIST(CD$2,$M93,$L93,FALSE))*$U93*((1+Inputs!$D$7)^CD$2))),IF($N93=Lists!$K$3,IF($L93&lt;1,((($T93*(1-$F93)+$S93*(1-$G93))/$L93)*((1+Inputs!$D$7)^CD$2)),((INT(CD$2/$L93)-INT((CD$2-1)/$L93))*($T93*(1-$F93)+$S93*(1-$G93))*((1+Inputs!$D$7)^CD$2))),((Inputs!$D$8^((1-_xlfn.WEIBULL.DIST(CD$2,$M93,$L93,FALSE))/_xlfn.WEIBULL.DIST(CD$2,$M93,$L93,FALSE))*($T93*(1-$F93)+$S93*(1-$G93))*((1+Inputs!$D$7)^CD$2))))))))</f>
        <v>0</v>
      </c>
      <c r="CE93" s="88">
        <f>MAX(AO93,($E93*IF(CE$2&gt;Inputs!$D$5,0,IF(CE$2&gt;VLOOKUP($H93,Lists!$P$3:$Q$7,2),IF($N93=Lists!$K$3,IF($L93&lt;1,(($U93/$L93)*((1+Inputs!$D$7)^CE$2)),((INT(CE$2/$L93)-INT((CE$2-1)/$L93))*$U93*((1+Inputs!$D$7)^CE$2))),(Inputs!$D$8^((1-_xlfn.WEIBULL.DIST(CE$2,$M93,$L93,FALSE))/_xlfn.WEIBULL.DIST(CE$2,$M93,$L93,FALSE))*$U93*((1+Inputs!$D$7)^CE$2))),IF($N93=Lists!$K$3,IF($L93&lt;1,((($T93*(1-$F93)+$S93*(1-$G93))/$L93)*((1+Inputs!$D$7)^CE$2)),((INT(CE$2/$L93)-INT((CE$2-1)/$L93))*($T93*(1-$F93)+$S93*(1-$G93))*((1+Inputs!$D$7)^CE$2))),((Inputs!$D$8^((1-_xlfn.WEIBULL.DIST(CE$2,$M93,$L93,FALSE))/_xlfn.WEIBULL.DIST(CE$2,$M93,$L93,FALSE))*($T93*(1-$F93)+$S93*(1-$G93))*((1+Inputs!$D$7)^CE$2))))))))</f>
        <v>11.143789841323789</v>
      </c>
      <c r="CF93" s="88">
        <f>MAX(AP93,($E93*IF(CF$2&gt;Inputs!$D$5,0,IF(CF$2&gt;VLOOKUP($H93,Lists!$P$3:$Q$7,2),IF($N93=Lists!$K$3,IF($L93&lt;1,(($U93/$L93)*((1+Inputs!$D$7)^CF$2)),((INT(CF$2/$L93)-INT((CF$2-1)/$L93))*$U93*((1+Inputs!$D$7)^CF$2))),(Inputs!$D$8^((1-_xlfn.WEIBULL.DIST(CF$2,$M93,$L93,FALSE))/_xlfn.WEIBULL.DIST(CF$2,$M93,$L93,FALSE))*$U93*((1+Inputs!$D$7)^CF$2))),IF($N93=Lists!$K$3,IF($L93&lt;1,((($T93*(1-$F93)+$S93*(1-$G93))/$L93)*((1+Inputs!$D$7)^CF$2)),((INT(CF$2/$L93)-INT((CF$2-1)/$L93))*($T93*(1-$F93)+$S93*(1-$G93))*((1+Inputs!$D$7)^CF$2))),((Inputs!$D$8^((1-_xlfn.WEIBULL.DIST(CF$2,$M93,$L93,FALSE))/_xlfn.WEIBULL.DIST(CF$2,$M93,$L93,FALSE))*($T93*(1-$F93)+$S93*(1-$G93))*((1+Inputs!$D$7)^CF$2))))))))</f>
        <v>0</v>
      </c>
      <c r="CG93" s="88">
        <f>MAX(AQ93,($E93*IF(CG$2&gt;Inputs!$D$5,0,IF(CG$2&gt;VLOOKUP($H93,Lists!$P$3:$Q$7,2),IF($N93=Lists!$K$3,IF($L93&lt;1,(($U93/$L93)*((1+Inputs!$D$7)^CG$2)),((INT(CG$2/$L93)-INT((CG$2-1)/$L93))*$U93*((1+Inputs!$D$7)^CG$2))),(Inputs!$D$8^((1-_xlfn.WEIBULL.DIST(CG$2,$M93,$L93,FALSE))/_xlfn.WEIBULL.DIST(CG$2,$M93,$L93,FALSE))*$U93*((1+Inputs!$D$7)^CG$2))),IF($N93=Lists!$K$3,IF($L93&lt;1,((($T93*(1-$F93)+$S93*(1-$G93))/$L93)*((1+Inputs!$D$7)^CG$2)),((INT(CG$2/$L93)-INT((CG$2-1)/$L93))*($T93*(1-$F93)+$S93*(1-$G93))*((1+Inputs!$D$7)^CG$2))),((Inputs!$D$8^((1-_xlfn.WEIBULL.DIST(CG$2,$M93,$L93,FALSE))/_xlfn.WEIBULL.DIST(CG$2,$M93,$L93,FALSE))*($T93*(1-$F93)+$S93*(1-$G93))*((1+Inputs!$D$7)^CG$2))))))))</f>
        <v>0</v>
      </c>
      <c r="CH93" s="88">
        <f>MAX(AR93,($E93*IF(CH$2&gt;Inputs!$D$5,0,IF(CH$2&gt;VLOOKUP($H93,Lists!$P$3:$Q$7,2),IF($N93=Lists!$K$3,IF($L93&lt;1,(($U93/$L93)*((1+Inputs!$D$7)^CH$2)),((INT(CH$2/$L93)-INT((CH$2-1)/$L93))*$U93*((1+Inputs!$D$7)^CH$2))),(Inputs!$D$8^((1-_xlfn.WEIBULL.DIST(CH$2,$M93,$L93,FALSE))/_xlfn.WEIBULL.DIST(CH$2,$M93,$L93,FALSE))*$U93*((1+Inputs!$D$7)^CH$2))),IF($N93=Lists!$K$3,IF($L93&lt;1,((($T93*(1-$F93)+$S93*(1-$G93))/$L93)*((1+Inputs!$D$7)^CH$2)),((INT(CH$2/$L93)-INT((CH$2-1)/$L93))*($T93*(1-$F93)+$S93*(1-$G93))*((1+Inputs!$D$7)^CH$2))),((Inputs!$D$8^((1-_xlfn.WEIBULL.DIST(CH$2,$M93,$L93,FALSE))/_xlfn.WEIBULL.DIST(CH$2,$M93,$L93,FALSE))*($T93*(1-$F93)+$S93*(1-$G93))*((1+Inputs!$D$7)^CH$2))))))))</f>
        <v>0</v>
      </c>
      <c r="CI93" s="88">
        <f>MAX(AS93,($E93*IF(CI$2&gt;Inputs!$D$5,0,IF(CI$2&gt;VLOOKUP($H93,Lists!$P$3:$Q$7,2),IF($N93=Lists!$K$3,IF($L93&lt;1,(($U93/$L93)*((1+Inputs!$D$7)^CI$2)),((INT(CI$2/$L93)-INT((CI$2-1)/$L93))*$U93*((1+Inputs!$D$7)^CI$2))),(Inputs!$D$8^((1-_xlfn.WEIBULL.DIST(CI$2,$M93,$L93,FALSE))/_xlfn.WEIBULL.DIST(CI$2,$M93,$L93,FALSE))*$U93*((1+Inputs!$D$7)^CI$2))),IF($N93=Lists!$K$3,IF($L93&lt;1,((($T93*(1-$F93)+$S93*(1-$G93))/$L93)*((1+Inputs!$D$7)^CI$2)),((INT(CI$2/$L93)-INT((CI$2-1)/$L93))*($T93*(1-$F93)+$S93*(1-$G93))*((1+Inputs!$D$7)^CI$2))),((Inputs!$D$8^((1-_xlfn.WEIBULL.DIST(CI$2,$M93,$L93,FALSE))/_xlfn.WEIBULL.DIST(CI$2,$M93,$L93,FALSE))*($T93*(1-$F93)+$S93*(1-$G93))*((1+Inputs!$D$7)^CI$2))))))))</f>
        <v>0</v>
      </c>
      <c r="CJ93" s="88">
        <f>MAX(AT93,($E93*IF(CJ$2&gt;Inputs!$D$5,0,IF(CJ$2&gt;VLOOKUP($H93,Lists!$P$3:$Q$7,2),IF($N93=Lists!$K$3,IF($L93&lt;1,(($U93/$L93)*((1+Inputs!$D$7)^CJ$2)),((INT(CJ$2/$L93)-INT((CJ$2-1)/$L93))*$U93*((1+Inputs!$D$7)^CJ$2))),(Inputs!$D$8^((1-_xlfn.WEIBULL.DIST(CJ$2,$M93,$L93,FALSE))/_xlfn.WEIBULL.DIST(CJ$2,$M93,$L93,FALSE))*$U93*((1+Inputs!$D$7)^CJ$2))),IF($N93=Lists!$K$3,IF($L93&lt;1,((($T93*(1-$F93)+$S93*(1-$G93))/$L93)*((1+Inputs!$D$7)^CJ$2)),((INT(CJ$2/$L93)-INT((CJ$2-1)/$L93))*($T93*(1-$F93)+$S93*(1-$G93))*((1+Inputs!$D$7)^CJ$2))),((Inputs!$D$8^((1-_xlfn.WEIBULL.DIST(CJ$2,$M93,$L93,FALSE))/_xlfn.WEIBULL.DIST(CJ$2,$M93,$L93,FALSE))*($T93*(1-$F93)+$S93*(1-$G93))*((1+Inputs!$D$7)^CJ$2))))))))</f>
        <v>12.303644438700772</v>
      </c>
      <c r="CK93" s="88">
        <f>MAX(AU93,($E93*IF(CK$2&gt;Inputs!$D$5,0,IF(CK$2&gt;VLOOKUP($H93,Lists!$P$3:$Q$7,2),IF($N93=Lists!$K$3,IF($L93&lt;1,(($U93/$L93)*((1+Inputs!$D$7)^CK$2)),((INT(CK$2/$L93)-INT((CK$2-1)/$L93))*$U93*((1+Inputs!$D$7)^CK$2))),(Inputs!$D$8^((1-_xlfn.WEIBULL.DIST(CK$2,$M93,$L93,FALSE))/_xlfn.WEIBULL.DIST(CK$2,$M93,$L93,FALSE))*$U93*((1+Inputs!$D$7)^CK$2))),IF($N93=Lists!$K$3,IF($L93&lt;1,((($T93*(1-$F93)+$S93*(1-$G93))/$L93)*((1+Inputs!$D$7)^CK$2)),((INT(CK$2/$L93)-INT((CK$2-1)/$L93))*($T93*(1-$F93)+$S93*(1-$G93))*((1+Inputs!$D$7)^CK$2))),((Inputs!$D$8^((1-_xlfn.WEIBULL.DIST(CK$2,$M93,$L93,FALSE))/_xlfn.WEIBULL.DIST(CK$2,$M93,$L93,FALSE))*($T93*(1-$F93)+$S93*(1-$G93))*((1+Inputs!$D$7)^CK$2))))))))</f>
        <v>0</v>
      </c>
      <c r="CL93" s="88">
        <f>MAX(AV93,($E93*IF(CL$2&gt;Inputs!$D$5,0,IF(CL$2&gt;VLOOKUP($H93,Lists!$P$3:$Q$7,2),IF($N93=Lists!$K$3,IF($L93&lt;1,(($U93/$L93)*((1+Inputs!$D$7)^CL$2)),((INT(CL$2/$L93)-INT((CL$2-1)/$L93))*$U93*((1+Inputs!$D$7)^CL$2))),(Inputs!$D$8^((1-_xlfn.WEIBULL.DIST(CL$2,$M93,$L93,FALSE))/_xlfn.WEIBULL.DIST(CL$2,$M93,$L93,FALSE))*$U93*((1+Inputs!$D$7)^CL$2))),IF($N93=Lists!$K$3,IF($L93&lt;1,((($T93*(1-$F93)+$S93*(1-$G93))/$L93)*((1+Inputs!$D$7)^CL$2)),((INT(CL$2/$L93)-INT((CL$2-1)/$L93))*($T93*(1-$F93)+$S93*(1-$G93))*((1+Inputs!$D$7)^CL$2))),((Inputs!$D$8^((1-_xlfn.WEIBULL.DIST(CL$2,$M93,$L93,FALSE))/_xlfn.WEIBULL.DIST(CL$2,$M93,$L93,FALSE))*($T93*(1-$F93)+$S93*(1-$G93))*((1+Inputs!$D$7)^CL$2))))))))</f>
        <v>0</v>
      </c>
      <c r="CM93" s="88">
        <f>MAX(AW93,($E93*IF(CM$2&gt;Inputs!$D$5,0,IF(CM$2&gt;VLOOKUP($H93,Lists!$P$3:$Q$7,2),IF($N93=Lists!$K$3,IF($L93&lt;1,(($U93/$L93)*((1+Inputs!$D$7)^CM$2)),((INT(CM$2/$L93)-INT((CM$2-1)/$L93))*$U93*((1+Inputs!$D$7)^CM$2))),(Inputs!$D$8^((1-_xlfn.WEIBULL.DIST(CM$2,$M93,$L93,FALSE))/_xlfn.WEIBULL.DIST(CM$2,$M93,$L93,FALSE))*$U93*((1+Inputs!$D$7)^CM$2))),IF($N93=Lists!$K$3,IF($L93&lt;1,((($T93*(1-$F93)+$S93*(1-$G93))/$L93)*((1+Inputs!$D$7)^CM$2)),((INT(CM$2/$L93)-INT((CM$2-1)/$L93))*($T93*(1-$F93)+$S93*(1-$G93))*((1+Inputs!$D$7)^CM$2))),((Inputs!$D$8^((1-_xlfn.WEIBULL.DIST(CM$2,$M93,$L93,FALSE))/_xlfn.WEIBULL.DIST(CM$2,$M93,$L93,FALSE))*($T93*(1-$F93)+$S93*(1-$G93))*((1+Inputs!$D$7)^CM$2))))))))</f>
        <v>0</v>
      </c>
      <c r="CN93" s="88">
        <f>MAX(AX93,($E93*IF(CN$2&gt;Inputs!$D$5,0,IF(CN$2&gt;VLOOKUP($H93,Lists!$P$3:$Q$7,2),IF($N93=Lists!$K$3,IF($L93&lt;1,(($U93/$L93)*((1+Inputs!$D$7)^CN$2)),((INT(CN$2/$L93)-INT((CN$2-1)/$L93))*$U93*((1+Inputs!$D$7)^CN$2))),(Inputs!$D$8^((1-_xlfn.WEIBULL.DIST(CN$2,$M93,$L93,FALSE))/_xlfn.WEIBULL.DIST(CN$2,$M93,$L93,FALSE))*$U93*((1+Inputs!$D$7)^CN$2))),IF($N93=Lists!$K$3,IF($L93&lt;1,((($T93*(1-$F93)+$S93*(1-$G93))/$L93)*((1+Inputs!$D$7)^CN$2)),((INT(CN$2/$L93)-INT((CN$2-1)/$L93))*($T93*(1-$F93)+$S93*(1-$G93))*((1+Inputs!$D$7)^CN$2))),((Inputs!$D$8^((1-_xlfn.WEIBULL.DIST(CN$2,$M93,$L93,FALSE))/_xlfn.WEIBULL.DIST(CN$2,$M93,$L93,FALSE))*($T93*(1-$F93)+$S93*(1-$G93))*((1+Inputs!$D$7)^CN$2))))))))</f>
        <v>0</v>
      </c>
      <c r="CO93" s="88">
        <f>MAX(AY93,($E93*IF(CO$2&gt;Inputs!$D$5,0,IF(CO$2&gt;VLOOKUP($H93,Lists!$P$3:$Q$7,2),IF($N93=Lists!$K$3,IF($L93&lt;1,(($U93/$L93)*((1+Inputs!$D$7)^CO$2)),((INT(CO$2/$L93)-INT((CO$2-1)/$L93))*$U93*((1+Inputs!$D$7)^CO$2))),(Inputs!$D$8^((1-_xlfn.WEIBULL.DIST(CO$2,$M93,$L93,FALSE))/_xlfn.WEIBULL.DIST(CO$2,$M93,$L93,FALSE))*$U93*((1+Inputs!$D$7)^CO$2))),IF($N93=Lists!$K$3,IF($L93&lt;1,((($T93*(1-$F93)+$S93*(1-$G93))/$L93)*((1+Inputs!$D$7)^CO$2)),((INT(CO$2/$L93)-INT((CO$2-1)/$L93))*($T93*(1-$F93)+$S93*(1-$G93))*((1+Inputs!$D$7)^CO$2))),((Inputs!$D$8^((1-_xlfn.WEIBULL.DIST(CO$2,$M93,$L93,FALSE))/_xlfn.WEIBULL.DIST(CO$2,$M93,$L93,FALSE))*($T93*(1-$F93)+$S93*(1-$G93))*((1+Inputs!$D$7)^CO$2))))))))</f>
        <v>13.58421763416796</v>
      </c>
      <c r="CP93" s="88">
        <f>MAX(AZ93,($E93*IF(CP$2&gt;Inputs!$D$5,0,IF(CP$2&gt;VLOOKUP($H93,Lists!$P$3:$Q$7,2),IF($N93=Lists!$K$3,IF($L93&lt;1,(($U93/$L93)*((1+Inputs!$D$7)^CP$2)),((INT(CP$2/$L93)-INT((CP$2-1)/$L93))*$U93*((1+Inputs!$D$7)^CP$2))),(Inputs!$D$8^((1-_xlfn.WEIBULL.DIST(CP$2,$M93,$L93,FALSE))/_xlfn.WEIBULL.DIST(CP$2,$M93,$L93,FALSE))*$U93*((1+Inputs!$D$7)^CP$2))),IF($N93=Lists!$K$3,IF($L93&lt;1,((($T93*(1-$F93)+$S93*(1-$G93))/$L93)*((1+Inputs!$D$7)^CP$2)),((INT(CP$2/$L93)-INT((CP$2-1)/$L93))*($T93*(1-$F93)+$S93*(1-$G93))*((1+Inputs!$D$7)^CP$2))),((Inputs!$D$8^((1-_xlfn.WEIBULL.DIST(CP$2,$M93,$L93,FALSE))/_xlfn.WEIBULL.DIST(CP$2,$M93,$L93,FALSE))*($T93*(1-$F93)+$S93*(1-$G93))*((1+Inputs!$D$7)^CP$2))))))))</f>
        <v>0</v>
      </c>
      <c r="CQ93" s="88">
        <f>MAX(BA93,($E93*IF(CQ$2&gt;Inputs!$D$5,0,IF(CQ$2&gt;VLOOKUP($H93,Lists!$P$3:$Q$7,2),IF($N93=Lists!$K$3,IF($L93&lt;1,(($U93/$L93)*((1+Inputs!$D$7)^CQ$2)),((INT(CQ$2/$L93)-INT((CQ$2-1)/$L93))*$U93*((1+Inputs!$D$7)^CQ$2))),(Inputs!$D$8^((1-_xlfn.WEIBULL.DIST(CQ$2,$M93,$L93,FALSE))/_xlfn.WEIBULL.DIST(CQ$2,$M93,$L93,FALSE))*$U93*((1+Inputs!$D$7)^CQ$2))),IF($N93=Lists!$K$3,IF($L93&lt;1,((($T93*(1-$F93)+$S93*(1-$G93))/$L93)*((1+Inputs!$D$7)^CQ$2)),((INT(CQ$2/$L93)-INT((CQ$2-1)/$L93))*($T93*(1-$F93)+$S93*(1-$G93))*((1+Inputs!$D$7)^CQ$2))),((Inputs!$D$8^((1-_xlfn.WEIBULL.DIST(CQ$2,$M93,$L93,FALSE))/_xlfn.WEIBULL.DIST(CQ$2,$M93,$L93,FALSE))*($T93*(1-$F93)+$S93*(1-$G93))*((1+Inputs!$D$7)^CQ$2))))))))</f>
        <v>0</v>
      </c>
      <c r="CR93" s="88">
        <f>MAX(BB93,($E93*IF(CR$2&gt;Inputs!$D$5,0,IF(CR$2&gt;VLOOKUP($H93,Lists!$P$3:$Q$7,2),IF($N93=Lists!$K$3,IF($L93&lt;1,(($U93/$L93)*((1+Inputs!$D$7)^CR$2)),((INT(CR$2/$L93)-INT((CR$2-1)/$L93))*$U93*((1+Inputs!$D$7)^CR$2))),(Inputs!$D$8^((1-_xlfn.WEIBULL.DIST(CR$2,$M93,$L93,FALSE))/_xlfn.WEIBULL.DIST(CR$2,$M93,$L93,FALSE))*$U93*((1+Inputs!$D$7)^CR$2))),IF($N93=Lists!$K$3,IF($L93&lt;1,((($T93*(1-$F93)+$S93*(1-$G93))/$L93)*((1+Inputs!$D$7)^CR$2)),((INT(CR$2/$L93)-INT((CR$2-1)/$L93))*($T93*(1-$F93)+$S93*(1-$G93))*((1+Inputs!$D$7)^CR$2))),((Inputs!$D$8^((1-_xlfn.WEIBULL.DIST(CR$2,$M93,$L93,FALSE))/_xlfn.WEIBULL.DIST(CR$2,$M93,$L93,FALSE))*($T93*(1-$F93)+$S93*(1-$G93))*((1+Inputs!$D$7)^CR$2))))))))</f>
        <v>0</v>
      </c>
      <c r="CS93" s="88">
        <f>MAX(BC93,($E93*IF(CS$2&gt;Inputs!$D$5,0,IF(CS$2&gt;VLOOKUP($H93,Lists!$P$3:$Q$7,2),IF($N93=Lists!$K$3,IF($L93&lt;1,(($U93/$L93)*((1+Inputs!$D$7)^CS$2)),((INT(CS$2/$L93)-INT((CS$2-1)/$L93))*$U93*((1+Inputs!$D$7)^CS$2))),(Inputs!$D$8^((1-_xlfn.WEIBULL.DIST(CS$2,$M93,$L93,FALSE))/_xlfn.WEIBULL.DIST(CS$2,$M93,$L93,FALSE))*$U93*((1+Inputs!$D$7)^CS$2))),IF($N93=Lists!$K$3,IF($L93&lt;1,((($T93*(1-$F93)+$S93*(1-$G93))/$L93)*((1+Inputs!$D$7)^CS$2)),((INT(CS$2/$L93)-INT((CS$2-1)/$L93))*($T93*(1-$F93)+$S93*(1-$G93))*((1+Inputs!$D$7)^CS$2))),((Inputs!$D$8^((1-_xlfn.WEIBULL.DIST(CS$2,$M93,$L93,FALSE))/_xlfn.WEIBULL.DIST(CS$2,$M93,$L93,FALSE))*($T93*(1-$F93)+$S93*(1-$G93))*((1+Inputs!$D$7)^CS$2))))))))</f>
        <v>0</v>
      </c>
      <c r="CT93" s="88">
        <f>MAX(BD93,($E93*IF(CT$2&gt;Inputs!$D$5,0,IF(CT$2&gt;VLOOKUP($H93,Lists!$P$3:$Q$7,2),IF($N93=Lists!$K$3,IF($L93&lt;1,(($U93/$L93)*((1+Inputs!$D$7)^CT$2)),((INT(CT$2/$L93)-INT((CT$2-1)/$L93))*$U93*((1+Inputs!$D$7)^CT$2))),(Inputs!$D$8^((1-_xlfn.WEIBULL.DIST(CT$2,$M93,$L93,FALSE))/_xlfn.WEIBULL.DIST(CT$2,$M93,$L93,FALSE))*$U93*((1+Inputs!$D$7)^CT$2))),IF($N93=Lists!$K$3,IF($L93&lt;1,((($T93*(1-$F93)+$S93*(1-$G93))/$L93)*((1+Inputs!$D$7)^CT$2)),((INT(CT$2/$L93)-INT((CT$2-1)/$L93))*($T93*(1-$F93)+$S93*(1-$G93))*((1+Inputs!$D$7)^CT$2))),((Inputs!$D$8^((1-_xlfn.WEIBULL.DIST(CT$2,$M93,$L93,FALSE))/_xlfn.WEIBULL.DIST(CT$2,$M93,$L93,FALSE))*($T93*(1-$F93)+$S93*(1-$G93))*((1+Inputs!$D$7)^CT$2))))))))</f>
        <v>0</v>
      </c>
      <c r="CU93" s="88">
        <f>MAX(BE93,($E93*IF(CU$2&gt;Inputs!$D$5,0,IF(CU$2&gt;VLOOKUP($H93,Lists!$P$3:$Q$7,2),IF($N93=Lists!$K$3,IF($L93&lt;1,(($U93/$L93)*((1+Inputs!$D$7)^CU$2)),((INT(CU$2/$L93)-INT((CU$2-1)/$L93))*$U93*((1+Inputs!$D$7)^CU$2))),(Inputs!$D$8^((1-_xlfn.WEIBULL.DIST(CU$2,$M93,$L93,FALSE))/_xlfn.WEIBULL.DIST(CU$2,$M93,$L93,FALSE))*$U93*((1+Inputs!$D$7)^CU$2))),IF($N93=Lists!$K$3,IF($L93&lt;1,((($T93*(1-$F93)+$S93*(1-$G93))/$L93)*((1+Inputs!$D$7)^CU$2)),((INT(CU$2/$L93)-INT((CU$2-1)/$L93))*($T93*(1-$F93)+$S93*(1-$G93))*((1+Inputs!$D$7)^CU$2))),((Inputs!$D$8^((1-_xlfn.WEIBULL.DIST(CU$2,$M93,$L93,FALSE))/_xlfn.WEIBULL.DIST(CU$2,$M93,$L93,FALSE))*($T93*(1-$F93)+$S93*(1-$G93))*((1+Inputs!$D$7)^CU$2))))))))</f>
        <v>0</v>
      </c>
      <c r="CV93" s="88">
        <f>MAX(BF93,($E93*IF(CV$2&gt;Inputs!$D$5,0,IF(CV$2&gt;VLOOKUP($H93,Lists!$P$3:$Q$7,2),IF($N93=Lists!$K$3,IF($L93&lt;1,(($U93/$L93)*((1+Inputs!$D$7)^CV$2)),((INT(CV$2/$L93)-INT((CV$2-1)/$L93))*$U93*((1+Inputs!$D$7)^CV$2))),(Inputs!$D$8^((1-_xlfn.WEIBULL.DIST(CV$2,$M93,$L93,FALSE))/_xlfn.WEIBULL.DIST(CV$2,$M93,$L93,FALSE))*$U93*((1+Inputs!$D$7)^CV$2))),IF($N93=Lists!$K$3,IF($L93&lt;1,((($T93*(1-$F93)+$S93*(1-$G93))/$L93)*((1+Inputs!$D$7)^CV$2)),((INT(CV$2/$L93)-INT((CV$2-1)/$L93))*($T93*(1-$F93)+$S93*(1-$G93))*((1+Inputs!$D$7)^CV$2))),((Inputs!$D$8^((1-_xlfn.WEIBULL.DIST(CV$2,$M93,$L93,FALSE))/_xlfn.WEIBULL.DIST(CV$2,$M93,$L93,FALSE))*($T93*(1-$F93)+$S93*(1-$G93))*((1+Inputs!$D$7)^CV$2))))))))</f>
        <v>0</v>
      </c>
      <c r="CW93" s="88">
        <f>MAX(BG93,($E93*IF(CW$2&gt;Inputs!$D$5,0,IF(CW$2&gt;VLOOKUP($H93,Lists!$P$3:$Q$7,2),IF($N93=Lists!$K$3,IF($L93&lt;1,(($U93/$L93)*((1+Inputs!$D$7)^CW$2)),((INT(CW$2/$L93)-INT((CW$2-1)/$L93))*$U93*((1+Inputs!$D$7)^CW$2))),(Inputs!$D$8^((1-_xlfn.WEIBULL.DIST(CW$2,$M93,$L93,FALSE))/_xlfn.WEIBULL.DIST(CW$2,$M93,$L93,FALSE))*$U93*((1+Inputs!$D$7)^CW$2))),IF($N93=Lists!$K$3,IF($L93&lt;1,((($T93*(1-$F93)+$S93*(1-$G93))/$L93)*((1+Inputs!$D$7)^CW$2)),((INT(CW$2/$L93)-INT((CW$2-1)/$L93))*($T93*(1-$F93)+$S93*(1-$G93))*((1+Inputs!$D$7)^CW$2))),((Inputs!$D$8^((1-_xlfn.WEIBULL.DIST(CW$2,$M93,$L93,FALSE))/_xlfn.WEIBULL.DIST(CW$2,$M93,$L93,FALSE))*($T93*(1-$F93)+$S93*(1-$G93))*((1+Inputs!$D$7)^CW$2))))))))</f>
        <v>0</v>
      </c>
      <c r="CX93" s="88">
        <f>MAX(BH93,($E93*IF(CX$2&gt;Inputs!$D$5,0,IF(CX$2&gt;VLOOKUP($H93,Lists!$P$3:$Q$7,2),IF($N93=Lists!$K$3,IF($L93&lt;1,(($U93/$L93)*((1+Inputs!$D$7)^CX$2)),((INT(CX$2/$L93)-INT((CX$2-1)/$L93))*$U93*((1+Inputs!$D$7)^CX$2))),(Inputs!$D$8^((1-_xlfn.WEIBULL.DIST(CX$2,$M93,$L93,FALSE))/_xlfn.WEIBULL.DIST(CX$2,$M93,$L93,FALSE))*$U93*((1+Inputs!$D$7)^CX$2))),IF($N93=Lists!$K$3,IF($L93&lt;1,((($T93*(1-$F93)+$S93*(1-$G93))/$L93)*((1+Inputs!$D$7)^CX$2)),((INT(CX$2/$L93)-INT((CX$2-1)/$L93))*($T93*(1-$F93)+$S93*(1-$G93))*((1+Inputs!$D$7)^CX$2))),((Inputs!$D$8^((1-_xlfn.WEIBULL.DIST(CX$2,$M93,$L93,FALSE))/_xlfn.WEIBULL.DIST(CX$2,$M93,$L93,FALSE))*($T93*(1-$F93)+$S93*(1-$G93))*((1+Inputs!$D$7)^CX$2))))))))</f>
        <v>0</v>
      </c>
      <c r="CY93" s="88">
        <f>MAX(BI93,($E93*IF(CY$2&gt;Inputs!$D$5,0,IF(CY$2&gt;VLOOKUP($H93,Lists!$P$3:$Q$7,2),IF($N93=Lists!$K$3,IF($L93&lt;1,(($U93/$L93)*((1+Inputs!$D$7)^CY$2)),((INT(CY$2/$L93)-INT((CY$2-1)/$L93))*$U93*((1+Inputs!$D$7)^CY$2))),(Inputs!$D$8^((1-_xlfn.WEIBULL.DIST(CY$2,$M93,$L93,FALSE))/_xlfn.WEIBULL.DIST(CY$2,$M93,$L93,FALSE))*$U93*((1+Inputs!$D$7)^CY$2))),IF($N93=Lists!$K$3,IF($L93&lt;1,((($T93*(1-$F93)+$S93*(1-$G93))/$L93)*((1+Inputs!$D$7)^CY$2)),((INT(CY$2/$L93)-INT((CY$2-1)/$L93))*($T93*(1-$F93)+$S93*(1-$G93))*((1+Inputs!$D$7)^CY$2))),((Inputs!$D$8^((1-_xlfn.WEIBULL.DIST(CY$2,$M93,$L93,FALSE))/_xlfn.WEIBULL.DIST(CY$2,$M93,$L93,FALSE))*($T93*(1-$F93)+$S93*(1-$G93))*((1+Inputs!$D$7)^CY$2))))))))</f>
        <v>0</v>
      </c>
      <c r="CZ93" s="88">
        <f>MAX(BJ93,($E93*IF(CZ$2&gt;Inputs!$D$5,0,IF(CZ$2&gt;VLOOKUP($H93,Lists!$P$3:$Q$7,2),IF($N93=Lists!$K$3,IF($L93&lt;1,(($U93/$L93)*((1+Inputs!$D$7)^CZ$2)),((INT(CZ$2/$L93)-INT((CZ$2-1)/$L93))*$U93*((1+Inputs!$D$7)^CZ$2))),(Inputs!$D$8^((1-_xlfn.WEIBULL.DIST(CZ$2,$M93,$L93,FALSE))/_xlfn.WEIBULL.DIST(CZ$2,$M93,$L93,FALSE))*$U93*((1+Inputs!$D$7)^CZ$2))),IF($N93=Lists!$K$3,IF($L93&lt;1,((($T93*(1-$F93)+$S93*(1-$G93))/$L93)*((1+Inputs!$D$7)^CZ$2)),((INT(CZ$2/$L93)-INT((CZ$2-1)/$L93))*($T93*(1-$F93)+$S93*(1-$G93))*((1+Inputs!$D$7)^CZ$2))),((Inputs!$D$8^((1-_xlfn.WEIBULL.DIST(CZ$2,$M93,$L93,FALSE))/_xlfn.WEIBULL.DIST(CZ$2,$M93,$L93,FALSE))*($T93*(1-$F93)+$S93*(1-$G93))*((1+Inputs!$D$7)^CZ$2))))))))</f>
        <v>0</v>
      </c>
      <c r="DA93" s="88">
        <f>MAX(BK93,($E93*IF(DA$2&gt;Inputs!$D$5,0,IF(DA$2&gt;VLOOKUP($H93,Lists!$P$3:$Q$7,2),IF($N93=Lists!$K$3,IF($L93&lt;1,(($U93/$L93)*((1+Inputs!$D$7)^DA$2)),((INT(DA$2/$L93)-INT((DA$2-1)/$L93))*$U93*((1+Inputs!$D$7)^DA$2))),(Inputs!$D$8^((1-_xlfn.WEIBULL.DIST(DA$2,$M93,$L93,FALSE))/_xlfn.WEIBULL.DIST(DA$2,$M93,$L93,FALSE))*$U93*((1+Inputs!$D$7)^DA$2))),IF($N93=Lists!$K$3,IF($L93&lt;1,((($T93*(1-$F93)+$S93*(1-$G93))/$L93)*((1+Inputs!$D$7)^DA$2)),((INT(DA$2/$L93)-INT((DA$2-1)/$L93))*($T93*(1-$F93)+$S93*(1-$G93))*((1+Inputs!$D$7)^DA$2))),((Inputs!$D$8^((1-_xlfn.WEIBULL.DIST(DA$2,$M93,$L93,FALSE))/_xlfn.WEIBULL.DIST(DA$2,$M93,$L93,FALSE))*($T93*(1-$F93)+$S93*(1-$G93))*((1+Inputs!$D$7)^DA$2))))))))</f>
        <v>0</v>
      </c>
      <c r="DB93" s="88">
        <f>MAX(BL93,($E93*IF(DB$2&gt;Inputs!$D$5,0,IF(DB$2&gt;VLOOKUP($H93,Lists!$P$3:$Q$7,2),IF($N93=Lists!$K$3,IF($L93&lt;1,(($U93/$L93)*((1+Inputs!$D$7)^DB$2)),((INT(DB$2/$L93)-INT((DB$2-1)/$L93))*$U93*((1+Inputs!$D$7)^DB$2))),(Inputs!$D$8^((1-_xlfn.WEIBULL.DIST(DB$2,$M93,$L93,FALSE))/_xlfn.WEIBULL.DIST(DB$2,$M93,$L93,FALSE))*$U93*((1+Inputs!$D$7)^DB$2))),IF($N93=Lists!$K$3,IF($L93&lt;1,((($T93*(1-$F93)+$S93*(1-$G93))/$L93)*((1+Inputs!$D$7)^DB$2)),((INT(DB$2/$L93)-INT((DB$2-1)/$L93))*($T93*(1-$F93)+$S93*(1-$G93))*((1+Inputs!$D$7)^DB$2))),((Inputs!$D$8^((1-_xlfn.WEIBULL.DIST(DB$2,$M93,$L93,FALSE))/_xlfn.WEIBULL.DIST(DB$2,$M93,$L93,FALSE))*($T93*(1-$F93)+$S93*(1-$G93))*((1+Inputs!$D$7)^DB$2))))))))</f>
        <v>0</v>
      </c>
      <c r="DC93" s="88">
        <f>MAX(BM93,($E93*IF(DC$2&gt;Inputs!$D$5,0,IF(DC$2&gt;VLOOKUP($H93,Lists!$P$3:$Q$7,2),IF($N93=Lists!$K$3,IF($L93&lt;1,(($U93/$L93)*((1+Inputs!$D$7)^DC$2)),((INT(DC$2/$L93)-INT((DC$2-1)/$L93))*$U93*((1+Inputs!$D$7)^DC$2))),(Inputs!$D$8^((1-_xlfn.WEIBULL.DIST(DC$2,$M93,$L93,FALSE))/_xlfn.WEIBULL.DIST(DC$2,$M93,$L93,FALSE))*$U93*((1+Inputs!$D$7)^DC$2))),IF($N93=Lists!$K$3,IF($L93&lt;1,((($T93*(1-$F93)+$S93*(1-$G93))/$L93)*((1+Inputs!$D$7)^DC$2)),((INT(DC$2/$L93)-INT((DC$2-1)/$L93))*($T93*(1-$F93)+$S93*(1-$G93))*((1+Inputs!$D$7)^DC$2))),((Inputs!$D$8^((1-_xlfn.WEIBULL.DIST(DC$2,$M93,$L93,FALSE))/_xlfn.WEIBULL.DIST(DC$2,$M93,$L93,FALSE))*($T93*(1-$F93)+$S93*(1-$G93))*((1+Inputs!$D$7)^DC$2))))))))</f>
        <v>0</v>
      </c>
      <c r="DD93" s="88">
        <f>MAX(BN93,($E93*IF(DD$2&gt;Inputs!$D$5,0,IF(DD$2&gt;VLOOKUP($H93,Lists!$P$3:$Q$7,2),IF($N93=Lists!$K$3,IF($L93&lt;1,(($U93/$L93)*((1+Inputs!$D$7)^DD$2)),((INT(DD$2/$L93)-INT((DD$2-1)/$L93))*$U93*((1+Inputs!$D$7)^DD$2))),(Inputs!$D$8^((1-_xlfn.WEIBULL.DIST(DD$2,$M93,$L93,FALSE))/_xlfn.WEIBULL.DIST(DD$2,$M93,$L93,FALSE))*$U93*((1+Inputs!$D$7)^DD$2))),IF($N93=Lists!$K$3,IF($L93&lt;1,((($T93*(1-$F93)+$S93*(1-$G93))/$L93)*((1+Inputs!$D$7)^DD$2)),((INT(DD$2/$L93)-INT((DD$2-1)/$L93))*($T93*(1-$F93)+$S93*(1-$G93))*((1+Inputs!$D$7)^DD$2))),((Inputs!$D$8^((1-_xlfn.WEIBULL.DIST(DD$2,$M93,$L93,FALSE))/_xlfn.WEIBULL.DIST(DD$2,$M93,$L93,FALSE))*($T93*(1-$F93)+$S93*(1-$G93))*((1+Inputs!$D$7)^DD$2))))))))</f>
        <v>0</v>
      </c>
    </row>
    <row r="94" spans="1:108" s="1" customFormat="1" ht="16">
      <c r="A94" s="57" t="s">
        <v>250</v>
      </c>
      <c r="B94" s="13" t="s">
        <v>279</v>
      </c>
      <c r="C94" s="13" t="s">
        <v>472</v>
      </c>
      <c r="D94" s="13" t="s">
        <v>34</v>
      </c>
      <c r="E94" s="48">
        <f>IF(Inputs!$D$41=Lists!$I$4,0,1)</f>
        <v>1</v>
      </c>
      <c r="F94" s="48">
        <v>0</v>
      </c>
      <c r="G94" s="48">
        <v>0</v>
      </c>
      <c r="H94" s="105" t="s">
        <v>350</v>
      </c>
      <c r="I94" s="14" t="s">
        <v>18</v>
      </c>
      <c r="J94" s="14" t="s">
        <v>89</v>
      </c>
      <c r="K94" s="13">
        <f>VLOOKUP(J94,'Labor Rates'!$A$1:$F$16,2)</f>
        <v>45.884999999999998</v>
      </c>
      <c r="L94" s="15">
        <v>5</v>
      </c>
      <c r="M94" s="15">
        <v>1</v>
      </c>
      <c r="N94" s="13" t="s">
        <v>236</v>
      </c>
      <c r="O94" s="61">
        <v>1</v>
      </c>
      <c r="P94" s="15">
        <v>0.5</v>
      </c>
      <c r="Q94" s="15">
        <f t="shared" si="14"/>
        <v>0.1</v>
      </c>
      <c r="R94" s="4">
        <v>500</v>
      </c>
      <c r="S94" s="53">
        <f t="shared" si="15"/>
        <v>22.942499999999999</v>
      </c>
      <c r="T94" s="53">
        <f t="shared" si="16"/>
        <v>500</v>
      </c>
      <c r="U94" s="54">
        <f t="shared" si="17"/>
        <v>522.9425</v>
      </c>
      <c r="V94" s="55"/>
      <c r="W94" s="58"/>
      <c r="X94" s="64">
        <f t="shared" si="18"/>
        <v>134.78557822705005</v>
      </c>
      <c r="Y94" s="64">
        <f>NPV(Inputs!$D$6,AA94:BN94)</f>
        <v>1349.6891125682405</v>
      </c>
      <c r="Z94" s="67">
        <f t="shared" si="19"/>
        <v>6.3657927826513431E-4</v>
      </c>
      <c r="AA94" s="88">
        <f>$E94*IF(AA$2&gt;Inputs!$D$5,0,IF(AA$2&gt;VLOOKUP($H94,Lists!$P$3:$Q$7,2),IF($N94=Lists!$K$3,IF($L94&lt;1,(($U94/$L94)*((1+Inputs!$D$7)^AA$2)),((INT(AA$2/$L94)-INT((AA$2-1)/$L94))*$U94*((1+Inputs!$D$7)^AA$2))),(_xlfn.WEIBULL.DIST(AA$2,$M94,$L94,FALSE)*$U94*((1+Inputs!$D$7)^AA$2))),IF($N94=Lists!$K$3,IF($L94&lt;1,((($T94*(1-$F94)+$S94*(1-$G94))/$L94)*((1+Inputs!$D$7)^AA$2)),((INT(AA$2/$L94)-INT((AA$2-1)/$L94))*($T94*(1-$F94)+$S94*(1-$G94))*((1+Inputs!$D$7)^AA$2))),((_xlfn.WEIBULL.DIST(AA$2,$M94,$L94,FALSE)*($T94*(1-$F94)+$S94*(1-$G94))*((1+Inputs!$D$7)^AA$2))))))</f>
        <v>0</v>
      </c>
      <c r="AB94" s="88">
        <f>$E94*IF(AB$2&gt;Inputs!$D$5,0,IF(AB$2&gt;VLOOKUP($H94,Lists!$P$3:$Q$7,2),IF($N94=Lists!$K$3,IF($L94&lt;1,(($U94/$L94)*((1+Inputs!$D$7)^AB$2)),((INT(AB$2/$L94)-INT((AB$2-1)/$L94))*$U94*((1+Inputs!$D$7)^AB$2))),(_xlfn.WEIBULL.DIST(AB$2,$M94,$L94,FALSE)*$U94*((1+Inputs!$D$7)^AB$2))),IF($N94=Lists!$K$3,IF($L94&lt;1,((($T94*(1-$F94)+$S94*(1-$G94))/$L94)*((1+Inputs!$D$7)^AB$2)),((INT(AB$2/$L94)-INT((AB$2-1)/$L94))*($T94*(1-$F94)+$S94*(1-$G94))*((1+Inputs!$D$7)^AB$2))),((_xlfn.WEIBULL.DIST(AB$2,$M94,$L94,FALSE)*($T94*(1-$F94)+$S94*(1-$G94))*((1+Inputs!$D$7)^AB$2))))))</f>
        <v>0</v>
      </c>
      <c r="AC94" s="88">
        <f>$E94*IF(AC$2&gt;Inputs!$D$5,0,IF(AC$2&gt;VLOOKUP($H94,Lists!$P$3:$Q$7,2),IF($N94=Lists!$K$3,IF($L94&lt;1,(($U94/$L94)*((1+Inputs!$D$7)^AC$2)),((INT(AC$2/$L94)-INT((AC$2-1)/$L94))*$U94*((1+Inputs!$D$7)^AC$2))),(_xlfn.WEIBULL.DIST(AC$2,$M94,$L94,FALSE)*$U94*((1+Inputs!$D$7)^AC$2))),IF($N94=Lists!$K$3,IF($L94&lt;1,((($T94*(1-$F94)+$S94*(1-$G94))/$L94)*((1+Inputs!$D$7)^AC$2)),((INT(AC$2/$L94)-INT((AC$2-1)/$L94))*($T94*(1-$F94)+$S94*(1-$G94))*((1+Inputs!$D$7)^AC$2))),((_xlfn.WEIBULL.DIST(AC$2,$M94,$L94,FALSE)*($T94*(1-$F94)+$S94*(1-$G94))*((1+Inputs!$D$7)^AC$2))))))</f>
        <v>0</v>
      </c>
      <c r="AD94" s="88">
        <f>$E94*IF(AD$2&gt;Inputs!$D$5,0,IF(AD$2&gt;VLOOKUP($H94,Lists!$P$3:$Q$7,2),IF($N94=Lists!$K$3,IF($L94&lt;1,(($U94/$L94)*((1+Inputs!$D$7)^AD$2)),((INT(AD$2/$L94)-INT((AD$2-1)/$L94))*$U94*((1+Inputs!$D$7)^AD$2))),(_xlfn.WEIBULL.DIST(AD$2,$M94,$L94,FALSE)*$U94*((1+Inputs!$D$7)^AD$2))),IF($N94=Lists!$K$3,IF($L94&lt;1,((($T94*(1-$F94)+$S94*(1-$G94))/$L94)*((1+Inputs!$D$7)^AD$2)),((INT(AD$2/$L94)-INT((AD$2-1)/$L94))*($T94*(1-$F94)+$S94*(1-$G94))*((1+Inputs!$D$7)^AD$2))),((_xlfn.WEIBULL.DIST(AD$2,$M94,$L94,FALSE)*($T94*(1-$F94)+$S94*(1-$G94))*((1+Inputs!$D$7)^AD$2))))))</f>
        <v>0</v>
      </c>
      <c r="AE94" s="88">
        <f>$E94*IF(AE$2&gt;Inputs!$D$5,0,IF(AE$2&gt;VLOOKUP($H94,Lists!$P$3:$Q$7,2),IF($N94=Lists!$K$3,IF($L94&lt;1,(($U94/$L94)*((1+Inputs!$D$7)^AE$2)),((INT(AE$2/$L94)-INT((AE$2-1)/$L94))*$U94*((1+Inputs!$D$7)^AE$2))),(_xlfn.WEIBULL.DIST(AE$2,$M94,$L94,FALSE)*$U94*((1+Inputs!$D$7)^AE$2))),IF($N94=Lists!$K$3,IF($L94&lt;1,((($T94*(1-$F94)+$S94*(1-$G94))/$L94)*((1+Inputs!$D$7)^AE$2)),((INT(AE$2/$L94)-INT((AE$2-1)/$L94))*($T94*(1-$F94)+$S94*(1-$G94))*((1+Inputs!$D$7)^AE$2))),((_xlfn.WEIBULL.DIST(AE$2,$M94,$L94,FALSE)*($T94*(1-$F94)+$S94*(1-$G94))*((1+Inputs!$D$7)^AE$2))))))</f>
        <v>577.37077542741599</v>
      </c>
      <c r="AF94" s="88">
        <f>$E94*IF(AF$2&gt;Inputs!$D$5,0,IF(AF$2&gt;VLOOKUP($H94,Lists!$P$3:$Q$7,2),IF($N94=Lists!$K$3,IF($L94&lt;1,(($U94/$L94)*((1+Inputs!$D$7)^AF$2)),((INT(AF$2/$L94)-INT((AF$2-1)/$L94))*$U94*((1+Inputs!$D$7)^AF$2))),(_xlfn.WEIBULL.DIST(AF$2,$M94,$L94,FALSE)*$U94*((1+Inputs!$D$7)^AF$2))),IF($N94=Lists!$K$3,IF($L94&lt;1,((($T94*(1-$F94)+$S94*(1-$G94))/$L94)*((1+Inputs!$D$7)^AF$2)),((INT(AF$2/$L94)-INT((AF$2-1)/$L94))*($T94*(1-$F94)+$S94*(1-$G94))*((1+Inputs!$D$7)^AF$2))),((_xlfn.WEIBULL.DIST(AF$2,$M94,$L94,FALSE)*($T94*(1-$F94)+$S94*(1-$G94))*((1+Inputs!$D$7)^AF$2))))))</f>
        <v>0</v>
      </c>
      <c r="AG94" s="88">
        <f>$E94*IF(AG$2&gt;Inputs!$D$5,0,IF(AG$2&gt;VLOOKUP($H94,Lists!$P$3:$Q$7,2),IF($N94=Lists!$K$3,IF($L94&lt;1,(($U94/$L94)*((1+Inputs!$D$7)^AG$2)),((INT(AG$2/$L94)-INT((AG$2-1)/$L94))*$U94*((1+Inputs!$D$7)^AG$2))),(_xlfn.WEIBULL.DIST(AG$2,$M94,$L94,FALSE)*$U94*((1+Inputs!$D$7)^AG$2))),IF($N94=Lists!$K$3,IF($L94&lt;1,((($T94*(1-$F94)+$S94*(1-$G94))/$L94)*((1+Inputs!$D$7)^AG$2)),((INT(AG$2/$L94)-INT((AG$2-1)/$L94))*($T94*(1-$F94)+$S94*(1-$G94))*((1+Inputs!$D$7)^AG$2))),((_xlfn.WEIBULL.DIST(AG$2,$M94,$L94,FALSE)*($T94*(1-$F94)+$S94*(1-$G94))*((1+Inputs!$D$7)^AG$2))))))</f>
        <v>0</v>
      </c>
      <c r="AH94" s="88">
        <f>$E94*IF(AH$2&gt;Inputs!$D$5,0,IF(AH$2&gt;VLOOKUP($H94,Lists!$P$3:$Q$7,2),IF($N94=Lists!$K$3,IF($L94&lt;1,(($U94/$L94)*((1+Inputs!$D$7)^AH$2)),((INT(AH$2/$L94)-INT((AH$2-1)/$L94))*$U94*((1+Inputs!$D$7)^AH$2))),(_xlfn.WEIBULL.DIST(AH$2,$M94,$L94,FALSE)*$U94*((1+Inputs!$D$7)^AH$2))),IF($N94=Lists!$K$3,IF($L94&lt;1,((($T94*(1-$F94)+$S94*(1-$G94))/$L94)*((1+Inputs!$D$7)^AH$2)),((INT(AH$2/$L94)-INT((AH$2-1)/$L94))*($T94*(1-$F94)+$S94*(1-$G94))*((1+Inputs!$D$7)^AH$2))),((_xlfn.WEIBULL.DIST(AH$2,$M94,$L94,FALSE)*($T94*(1-$F94)+$S94*(1-$G94))*((1+Inputs!$D$7)^AH$2))))))</f>
        <v>0</v>
      </c>
      <c r="AI94" s="88">
        <f>$E94*IF(AI$2&gt;Inputs!$D$5,0,IF(AI$2&gt;VLOOKUP($H94,Lists!$P$3:$Q$7,2),IF($N94=Lists!$K$3,IF($L94&lt;1,(($U94/$L94)*((1+Inputs!$D$7)^AI$2)),((INT(AI$2/$L94)-INT((AI$2-1)/$L94))*$U94*((1+Inputs!$D$7)^AI$2))),(_xlfn.WEIBULL.DIST(AI$2,$M94,$L94,FALSE)*$U94*((1+Inputs!$D$7)^AI$2))),IF($N94=Lists!$K$3,IF($L94&lt;1,((($T94*(1-$F94)+$S94*(1-$G94))/$L94)*((1+Inputs!$D$7)^AI$2)),((INT(AI$2/$L94)-INT((AI$2-1)/$L94))*($T94*(1-$F94)+$S94*(1-$G94))*((1+Inputs!$D$7)^AI$2))),((_xlfn.WEIBULL.DIST(AI$2,$M94,$L94,FALSE)*($T94*(1-$F94)+$S94*(1-$G94))*((1+Inputs!$D$7)^AI$2))))))</f>
        <v>0</v>
      </c>
      <c r="AJ94" s="88">
        <f>$E94*IF(AJ$2&gt;Inputs!$D$5,0,IF(AJ$2&gt;VLOOKUP($H94,Lists!$P$3:$Q$7,2),IF($N94=Lists!$K$3,IF($L94&lt;1,(($U94/$L94)*((1+Inputs!$D$7)^AJ$2)),((INT(AJ$2/$L94)-INT((AJ$2-1)/$L94))*$U94*((1+Inputs!$D$7)^AJ$2))),(_xlfn.WEIBULL.DIST(AJ$2,$M94,$L94,FALSE)*$U94*((1+Inputs!$D$7)^AJ$2))),IF($N94=Lists!$K$3,IF($L94&lt;1,((($T94*(1-$F94)+$S94*(1-$G94))/$L94)*((1+Inputs!$D$7)^AJ$2)),((INT(AJ$2/$L94)-INT((AJ$2-1)/$L94))*($T94*(1-$F94)+$S94*(1-$G94))*((1+Inputs!$D$7)^AJ$2))),((_xlfn.WEIBULL.DIST(AJ$2,$M94,$L94,FALSE)*($T94*(1-$F94)+$S94*(1-$G94))*((1+Inputs!$D$7)^AJ$2))))))</f>
        <v>637.46398947810826</v>
      </c>
      <c r="AK94" s="88">
        <f>$E94*IF(AK$2&gt;Inputs!$D$5,0,IF(AK$2&gt;VLOOKUP($H94,Lists!$P$3:$Q$7,2),IF($N94=Lists!$K$3,IF($L94&lt;1,(($U94/$L94)*((1+Inputs!$D$7)^AK$2)),((INT(AK$2/$L94)-INT((AK$2-1)/$L94))*$U94*((1+Inputs!$D$7)^AK$2))),(_xlfn.WEIBULL.DIST(AK$2,$M94,$L94,FALSE)*$U94*((1+Inputs!$D$7)^AK$2))),IF($N94=Lists!$K$3,IF($L94&lt;1,((($T94*(1-$F94)+$S94*(1-$G94))/$L94)*((1+Inputs!$D$7)^AK$2)),((INT(AK$2/$L94)-INT((AK$2-1)/$L94))*($T94*(1-$F94)+$S94*(1-$G94))*((1+Inputs!$D$7)^AK$2))),((_xlfn.WEIBULL.DIST(AK$2,$M94,$L94,FALSE)*($T94*(1-$F94)+$S94*(1-$G94))*((1+Inputs!$D$7)^AK$2))))))</f>
        <v>0</v>
      </c>
      <c r="AL94" s="88">
        <f>$E94*IF(AL$2&gt;Inputs!$D$5,0,IF(AL$2&gt;VLOOKUP($H94,Lists!$P$3:$Q$7,2),IF($N94=Lists!$K$3,IF($L94&lt;1,(($U94/$L94)*((1+Inputs!$D$7)^AL$2)),((INT(AL$2/$L94)-INT((AL$2-1)/$L94))*$U94*((1+Inputs!$D$7)^AL$2))),(_xlfn.WEIBULL.DIST(AL$2,$M94,$L94,FALSE)*$U94*((1+Inputs!$D$7)^AL$2))),IF($N94=Lists!$K$3,IF($L94&lt;1,((($T94*(1-$F94)+$S94*(1-$G94))/$L94)*((1+Inputs!$D$7)^AL$2)),((INT(AL$2/$L94)-INT((AL$2-1)/$L94))*($T94*(1-$F94)+$S94*(1-$G94))*((1+Inputs!$D$7)^AL$2))),((_xlfn.WEIBULL.DIST(AL$2,$M94,$L94,FALSE)*($T94*(1-$F94)+$S94*(1-$G94))*((1+Inputs!$D$7)^AL$2))))))</f>
        <v>0</v>
      </c>
      <c r="AM94" s="88">
        <f>$E94*IF(AM$2&gt;Inputs!$D$5,0,IF(AM$2&gt;VLOOKUP($H94,Lists!$P$3:$Q$7,2),IF($N94=Lists!$K$3,IF($L94&lt;1,(($U94/$L94)*((1+Inputs!$D$7)^AM$2)),((INT(AM$2/$L94)-INT((AM$2-1)/$L94))*$U94*((1+Inputs!$D$7)^AM$2))),(_xlfn.WEIBULL.DIST(AM$2,$M94,$L94,FALSE)*$U94*((1+Inputs!$D$7)^AM$2))),IF($N94=Lists!$K$3,IF($L94&lt;1,((($T94*(1-$F94)+$S94*(1-$G94))/$L94)*((1+Inputs!$D$7)^AM$2)),((INT(AM$2/$L94)-INT((AM$2-1)/$L94))*($T94*(1-$F94)+$S94*(1-$G94))*((1+Inputs!$D$7)^AM$2))),((_xlfn.WEIBULL.DIST(AM$2,$M94,$L94,FALSE)*($T94*(1-$F94)+$S94*(1-$G94))*((1+Inputs!$D$7)^AM$2))))))</f>
        <v>0</v>
      </c>
      <c r="AN94" s="88">
        <f>$E94*IF(AN$2&gt;Inputs!$D$5,0,IF(AN$2&gt;VLOOKUP($H94,Lists!$P$3:$Q$7,2),IF($N94=Lists!$K$3,IF($L94&lt;1,(($U94/$L94)*((1+Inputs!$D$7)^AN$2)),((INT(AN$2/$L94)-INT((AN$2-1)/$L94))*$U94*((1+Inputs!$D$7)^AN$2))),(_xlfn.WEIBULL.DIST(AN$2,$M94,$L94,FALSE)*$U94*((1+Inputs!$D$7)^AN$2))),IF($N94=Lists!$K$3,IF($L94&lt;1,((($T94*(1-$F94)+$S94*(1-$G94))/$L94)*((1+Inputs!$D$7)^AN$2)),((INT(AN$2/$L94)-INT((AN$2-1)/$L94))*($T94*(1-$F94)+$S94*(1-$G94))*((1+Inputs!$D$7)^AN$2))),((_xlfn.WEIBULL.DIST(AN$2,$M94,$L94,FALSE)*($T94*(1-$F94)+$S94*(1-$G94))*((1+Inputs!$D$7)^AN$2))))))</f>
        <v>0</v>
      </c>
      <c r="AO94" s="88">
        <f>$E94*IF(AO$2&gt;Inputs!$D$5,0,IF(AO$2&gt;VLOOKUP($H94,Lists!$P$3:$Q$7,2),IF($N94=Lists!$K$3,IF($L94&lt;1,(($U94/$L94)*((1+Inputs!$D$7)^AO$2)),((INT(AO$2/$L94)-INT((AO$2-1)/$L94))*$U94*((1+Inputs!$D$7)^AO$2))),(_xlfn.WEIBULL.DIST(AO$2,$M94,$L94,FALSE)*$U94*((1+Inputs!$D$7)^AO$2))),IF($N94=Lists!$K$3,IF($L94&lt;1,((($T94*(1-$F94)+$S94*(1-$G94))/$L94)*((1+Inputs!$D$7)^AO$2)),((INT(AO$2/$L94)-INT((AO$2-1)/$L94))*($T94*(1-$F94)+$S94*(1-$G94))*((1+Inputs!$D$7)^AO$2))),((_xlfn.WEIBULL.DIST(AO$2,$M94,$L94,FALSE)*($T94*(1-$F94)+$S94*(1-$G94))*((1+Inputs!$D$7)^AO$2))))))</f>
        <v>703.81175351406591</v>
      </c>
      <c r="AP94" s="88">
        <f>$E94*IF(AP$2&gt;Inputs!$D$5,0,IF(AP$2&gt;VLOOKUP($H94,Lists!$P$3:$Q$7,2),IF($N94=Lists!$K$3,IF($L94&lt;1,(($U94/$L94)*((1+Inputs!$D$7)^AP$2)),((INT(AP$2/$L94)-INT((AP$2-1)/$L94))*$U94*((1+Inputs!$D$7)^AP$2))),(_xlfn.WEIBULL.DIST(AP$2,$M94,$L94,FALSE)*$U94*((1+Inputs!$D$7)^AP$2))),IF($N94=Lists!$K$3,IF($L94&lt;1,((($T94*(1-$F94)+$S94*(1-$G94))/$L94)*((1+Inputs!$D$7)^AP$2)),((INT(AP$2/$L94)-INT((AP$2-1)/$L94))*($T94*(1-$F94)+$S94*(1-$G94))*((1+Inputs!$D$7)^AP$2))),((_xlfn.WEIBULL.DIST(AP$2,$M94,$L94,FALSE)*($T94*(1-$F94)+$S94*(1-$G94))*((1+Inputs!$D$7)^AP$2))))))</f>
        <v>0</v>
      </c>
      <c r="AQ94" s="88">
        <f>$E94*IF(AQ$2&gt;Inputs!$D$5,0,IF(AQ$2&gt;VLOOKUP($H94,Lists!$P$3:$Q$7,2),IF($N94=Lists!$K$3,IF($L94&lt;1,(($U94/$L94)*((1+Inputs!$D$7)^AQ$2)),((INT(AQ$2/$L94)-INT((AQ$2-1)/$L94))*$U94*((1+Inputs!$D$7)^AQ$2))),(_xlfn.WEIBULL.DIST(AQ$2,$M94,$L94,FALSE)*$U94*((1+Inputs!$D$7)^AQ$2))),IF($N94=Lists!$K$3,IF($L94&lt;1,((($T94*(1-$F94)+$S94*(1-$G94))/$L94)*((1+Inputs!$D$7)^AQ$2)),((INT(AQ$2/$L94)-INT((AQ$2-1)/$L94))*($T94*(1-$F94)+$S94*(1-$G94))*((1+Inputs!$D$7)^AQ$2))),((_xlfn.WEIBULL.DIST(AQ$2,$M94,$L94,FALSE)*($T94*(1-$F94)+$S94*(1-$G94))*((1+Inputs!$D$7)^AQ$2))))))</f>
        <v>0</v>
      </c>
      <c r="AR94" s="88">
        <f>$E94*IF(AR$2&gt;Inputs!$D$5,0,IF(AR$2&gt;VLOOKUP($H94,Lists!$P$3:$Q$7,2),IF($N94=Lists!$K$3,IF($L94&lt;1,(($U94/$L94)*((1+Inputs!$D$7)^AR$2)),((INT(AR$2/$L94)-INT((AR$2-1)/$L94))*$U94*((1+Inputs!$D$7)^AR$2))),(_xlfn.WEIBULL.DIST(AR$2,$M94,$L94,FALSE)*$U94*((1+Inputs!$D$7)^AR$2))),IF($N94=Lists!$K$3,IF($L94&lt;1,((($T94*(1-$F94)+$S94*(1-$G94))/$L94)*((1+Inputs!$D$7)^AR$2)),((INT(AR$2/$L94)-INT((AR$2-1)/$L94))*($T94*(1-$F94)+$S94*(1-$G94))*((1+Inputs!$D$7)^AR$2))),((_xlfn.WEIBULL.DIST(AR$2,$M94,$L94,FALSE)*($T94*(1-$F94)+$S94*(1-$G94))*((1+Inputs!$D$7)^AR$2))))))</f>
        <v>0</v>
      </c>
      <c r="AS94" s="88">
        <f>$E94*IF(AS$2&gt;Inputs!$D$5,0,IF(AS$2&gt;VLOOKUP($H94,Lists!$P$3:$Q$7,2),IF($N94=Lists!$K$3,IF($L94&lt;1,(($U94/$L94)*((1+Inputs!$D$7)^AS$2)),((INT(AS$2/$L94)-INT((AS$2-1)/$L94))*$U94*((1+Inputs!$D$7)^AS$2))),(_xlfn.WEIBULL.DIST(AS$2,$M94,$L94,FALSE)*$U94*((1+Inputs!$D$7)^AS$2))),IF($N94=Lists!$K$3,IF($L94&lt;1,((($T94*(1-$F94)+$S94*(1-$G94))/$L94)*((1+Inputs!$D$7)^AS$2)),((INT(AS$2/$L94)-INT((AS$2-1)/$L94))*($T94*(1-$F94)+$S94*(1-$G94))*((1+Inputs!$D$7)^AS$2))),((_xlfn.WEIBULL.DIST(AS$2,$M94,$L94,FALSE)*($T94*(1-$F94)+$S94*(1-$G94))*((1+Inputs!$D$7)^AS$2))))))</f>
        <v>0</v>
      </c>
      <c r="AT94" s="88">
        <f>$E94*IF(AT$2&gt;Inputs!$D$5,0,IF(AT$2&gt;VLOOKUP($H94,Lists!$P$3:$Q$7,2),IF($N94=Lists!$K$3,IF($L94&lt;1,(($U94/$L94)*((1+Inputs!$D$7)^AT$2)),((INT(AT$2/$L94)-INT((AT$2-1)/$L94))*$U94*((1+Inputs!$D$7)^AT$2))),(_xlfn.WEIBULL.DIST(AT$2,$M94,$L94,FALSE)*$U94*((1+Inputs!$D$7)^AT$2))),IF($N94=Lists!$K$3,IF($L94&lt;1,((($T94*(1-$F94)+$S94*(1-$G94))/$L94)*((1+Inputs!$D$7)^AT$2)),((INT(AT$2/$L94)-INT((AT$2-1)/$L94))*($T94*(1-$F94)+$S94*(1-$G94))*((1+Inputs!$D$7)^AT$2))),((_xlfn.WEIBULL.DIST(AT$2,$M94,$L94,FALSE)*($T94*(1-$F94)+$S94*(1-$G94))*((1+Inputs!$D$7)^AT$2))))))</f>
        <v>777.06504612141055</v>
      </c>
      <c r="AU94" s="88">
        <f>$E94*IF(AU$2&gt;Inputs!$D$5,0,IF(AU$2&gt;VLOOKUP($H94,Lists!$P$3:$Q$7,2),IF($N94=Lists!$K$3,IF($L94&lt;1,(($U94/$L94)*((1+Inputs!$D$7)^AU$2)),((INT(AU$2/$L94)-INT((AU$2-1)/$L94))*$U94*((1+Inputs!$D$7)^AU$2))),(_xlfn.WEIBULL.DIST(AU$2,$M94,$L94,FALSE)*$U94*((1+Inputs!$D$7)^AU$2))),IF($N94=Lists!$K$3,IF($L94&lt;1,((($T94*(1-$F94)+$S94*(1-$G94))/$L94)*((1+Inputs!$D$7)^AU$2)),((INT(AU$2/$L94)-INT((AU$2-1)/$L94))*($T94*(1-$F94)+$S94*(1-$G94))*((1+Inputs!$D$7)^AU$2))),((_xlfn.WEIBULL.DIST(AU$2,$M94,$L94,FALSE)*($T94*(1-$F94)+$S94*(1-$G94))*((1+Inputs!$D$7)^AU$2))))))</f>
        <v>0</v>
      </c>
      <c r="AV94" s="88">
        <f>$E94*IF(AV$2&gt;Inputs!$D$5,0,IF(AV$2&gt;VLOOKUP($H94,Lists!$P$3:$Q$7,2),IF($N94=Lists!$K$3,IF($L94&lt;1,(($U94/$L94)*((1+Inputs!$D$7)^AV$2)),((INT(AV$2/$L94)-INT((AV$2-1)/$L94))*$U94*((1+Inputs!$D$7)^AV$2))),(_xlfn.WEIBULL.DIST(AV$2,$M94,$L94,FALSE)*$U94*((1+Inputs!$D$7)^AV$2))),IF($N94=Lists!$K$3,IF($L94&lt;1,((($T94*(1-$F94)+$S94*(1-$G94))/$L94)*((1+Inputs!$D$7)^AV$2)),((INT(AV$2/$L94)-INT((AV$2-1)/$L94))*($T94*(1-$F94)+$S94*(1-$G94))*((1+Inputs!$D$7)^AV$2))),((_xlfn.WEIBULL.DIST(AV$2,$M94,$L94,FALSE)*($T94*(1-$F94)+$S94*(1-$G94))*((1+Inputs!$D$7)^AV$2))))))</f>
        <v>0</v>
      </c>
      <c r="AW94" s="88">
        <f>$E94*IF(AW$2&gt;Inputs!$D$5,0,IF(AW$2&gt;VLOOKUP($H94,Lists!$P$3:$Q$7,2),IF($N94=Lists!$K$3,IF($L94&lt;1,(($U94/$L94)*((1+Inputs!$D$7)^AW$2)),((INT(AW$2/$L94)-INT((AW$2-1)/$L94))*$U94*((1+Inputs!$D$7)^AW$2))),(_xlfn.WEIBULL.DIST(AW$2,$M94,$L94,FALSE)*$U94*((1+Inputs!$D$7)^AW$2))),IF($N94=Lists!$K$3,IF($L94&lt;1,((($T94*(1-$F94)+$S94*(1-$G94))/$L94)*((1+Inputs!$D$7)^AW$2)),((INT(AW$2/$L94)-INT((AW$2-1)/$L94))*($T94*(1-$F94)+$S94*(1-$G94))*((1+Inputs!$D$7)^AW$2))),((_xlfn.WEIBULL.DIST(AW$2,$M94,$L94,FALSE)*($T94*(1-$F94)+$S94*(1-$G94))*((1+Inputs!$D$7)^AW$2))))))</f>
        <v>0</v>
      </c>
      <c r="AX94" s="88">
        <f>$E94*IF(AX$2&gt;Inputs!$D$5,0,IF(AX$2&gt;VLOOKUP($H94,Lists!$P$3:$Q$7,2),IF($N94=Lists!$K$3,IF($L94&lt;1,(($U94/$L94)*((1+Inputs!$D$7)^AX$2)),((INT(AX$2/$L94)-INT((AX$2-1)/$L94))*$U94*((1+Inputs!$D$7)^AX$2))),(_xlfn.WEIBULL.DIST(AX$2,$M94,$L94,FALSE)*$U94*((1+Inputs!$D$7)^AX$2))),IF($N94=Lists!$K$3,IF($L94&lt;1,((($T94*(1-$F94)+$S94*(1-$G94))/$L94)*((1+Inputs!$D$7)^AX$2)),((INT(AX$2/$L94)-INT((AX$2-1)/$L94))*($T94*(1-$F94)+$S94*(1-$G94))*((1+Inputs!$D$7)^AX$2))),((_xlfn.WEIBULL.DIST(AX$2,$M94,$L94,FALSE)*($T94*(1-$F94)+$S94*(1-$G94))*((1+Inputs!$D$7)^AX$2))))))</f>
        <v>0</v>
      </c>
      <c r="AY94" s="88">
        <f>$E94*IF(AY$2&gt;Inputs!$D$5,0,IF(AY$2&gt;VLOOKUP($H94,Lists!$P$3:$Q$7,2),IF($N94=Lists!$K$3,IF($L94&lt;1,(($U94/$L94)*((1+Inputs!$D$7)^AY$2)),((INT(AY$2/$L94)-INT((AY$2-1)/$L94))*$U94*((1+Inputs!$D$7)^AY$2))),(_xlfn.WEIBULL.DIST(AY$2,$M94,$L94,FALSE)*$U94*((1+Inputs!$D$7)^AY$2))),IF($N94=Lists!$K$3,IF($L94&lt;1,((($T94*(1-$F94)+$S94*(1-$G94))/$L94)*((1+Inputs!$D$7)^AY$2)),((INT(AY$2/$L94)-INT((AY$2-1)/$L94))*($T94*(1-$F94)+$S94*(1-$G94))*((1+Inputs!$D$7)^AY$2))),((_xlfn.WEIBULL.DIST(AY$2,$M94,$L94,FALSE)*($T94*(1-$F94)+$S94*(1-$G94))*((1+Inputs!$D$7)^AY$2))))))</f>
        <v>857.94260026037182</v>
      </c>
      <c r="AZ94" s="88">
        <f>$E94*IF(AZ$2&gt;Inputs!$D$5,0,IF(AZ$2&gt;VLOOKUP($H94,Lists!$P$3:$Q$7,2),IF($N94=Lists!$K$3,IF($L94&lt;1,(($U94/$L94)*((1+Inputs!$D$7)^AZ$2)),((INT(AZ$2/$L94)-INT((AZ$2-1)/$L94))*$U94*((1+Inputs!$D$7)^AZ$2))),(_xlfn.WEIBULL.DIST(AZ$2,$M94,$L94,FALSE)*$U94*((1+Inputs!$D$7)^AZ$2))),IF($N94=Lists!$K$3,IF($L94&lt;1,((($T94*(1-$F94)+$S94*(1-$G94))/$L94)*((1+Inputs!$D$7)^AZ$2)),((INT(AZ$2/$L94)-INT((AZ$2-1)/$L94))*($T94*(1-$F94)+$S94*(1-$G94))*((1+Inputs!$D$7)^AZ$2))),((_xlfn.WEIBULL.DIST(AZ$2,$M94,$L94,FALSE)*($T94*(1-$F94)+$S94*(1-$G94))*((1+Inputs!$D$7)^AZ$2))))))</f>
        <v>0</v>
      </c>
      <c r="BA94" s="88">
        <f>$E94*IF(BA$2&gt;Inputs!$D$5,0,IF(BA$2&gt;VLOOKUP($H94,Lists!$P$3:$Q$7,2),IF($N94=Lists!$K$3,IF($L94&lt;1,(($U94/$L94)*((1+Inputs!$D$7)^BA$2)),((INT(BA$2/$L94)-INT((BA$2-1)/$L94))*$U94*((1+Inputs!$D$7)^BA$2))),(_xlfn.WEIBULL.DIST(BA$2,$M94,$L94,FALSE)*$U94*((1+Inputs!$D$7)^BA$2))),IF($N94=Lists!$K$3,IF($L94&lt;1,((($T94*(1-$F94)+$S94*(1-$G94))/$L94)*((1+Inputs!$D$7)^BA$2)),((INT(BA$2/$L94)-INT((BA$2-1)/$L94))*($T94*(1-$F94)+$S94*(1-$G94))*((1+Inputs!$D$7)^BA$2))),((_xlfn.WEIBULL.DIST(BA$2,$M94,$L94,FALSE)*($T94*(1-$F94)+$S94*(1-$G94))*((1+Inputs!$D$7)^BA$2))))))</f>
        <v>0</v>
      </c>
      <c r="BB94" s="88">
        <f>$E94*IF(BB$2&gt;Inputs!$D$5,0,IF(BB$2&gt;VLOOKUP($H94,Lists!$P$3:$Q$7,2),IF($N94=Lists!$K$3,IF($L94&lt;1,(($U94/$L94)*((1+Inputs!$D$7)^BB$2)),((INT(BB$2/$L94)-INT((BB$2-1)/$L94))*$U94*((1+Inputs!$D$7)^BB$2))),(_xlfn.WEIBULL.DIST(BB$2,$M94,$L94,FALSE)*$U94*((1+Inputs!$D$7)^BB$2))),IF($N94=Lists!$K$3,IF($L94&lt;1,((($T94*(1-$F94)+$S94*(1-$G94))/$L94)*((1+Inputs!$D$7)^BB$2)),((INT(BB$2/$L94)-INT((BB$2-1)/$L94))*($T94*(1-$F94)+$S94*(1-$G94))*((1+Inputs!$D$7)^BB$2))),((_xlfn.WEIBULL.DIST(BB$2,$M94,$L94,FALSE)*($T94*(1-$F94)+$S94*(1-$G94))*((1+Inputs!$D$7)^BB$2))))))</f>
        <v>0</v>
      </c>
      <c r="BC94" s="88">
        <f>$E94*IF(BC$2&gt;Inputs!$D$5,0,IF(BC$2&gt;VLOOKUP($H94,Lists!$P$3:$Q$7,2),IF($N94=Lists!$K$3,IF($L94&lt;1,(($U94/$L94)*((1+Inputs!$D$7)^BC$2)),((INT(BC$2/$L94)-INT((BC$2-1)/$L94))*$U94*((1+Inputs!$D$7)^BC$2))),(_xlfn.WEIBULL.DIST(BC$2,$M94,$L94,FALSE)*$U94*((1+Inputs!$D$7)^BC$2))),IF($N94=Lists!$K$3,IF($L94&lt;1,((($T94*(1-$F94)+$S94*(1-$G94))/$L94)*((1+Inputs!$D$7)^BC$2)),((INT(BC$2/$L94)-INT((BC$2-1)/$L94))*($T94*(1-$F94)+$S94*(1-$G94))*((1+Inputs!$D$7)^BC$2))),((_xlfn.WEIBULL.DIST(BC$2,$M94,$L94,FALSE)*($T94*(1-$F94)+$S94*(1-$G94))*((1+Inputs!$D$7)^BC$2))))))</f>
        <v>0</v>
      </c>
      <c r="BD94" s="88">
        <f>$E94*IF(BD$2&gt;Inputs!$D$5,0,IF(BD$2&gt;VLOOKUP($H94,Lists!$P$3:$Q$7,2),IF($N94=Lists!$K$3,IF($L94&lt;1,(($U94/$L94)*((1+Inputs!$D$7)^BD$2)),((INT(BD$2/$L94)-INT((BD$2-1)/$L94))*$U94*((1+Inputs!$D$7)^BD$2))),(_xlfn.WEIBULL.DIST(BD$2,$M94,$L94,FALSE)*$U94*((1+Inputs!$D$7)^BD$2))),IF($N94=Lists!$K$3,IF($L94&lt;1,((($T94*(1-$F94)+$S94*(1-$G94))/$L94)*((1+Inputs!$D$7)^BD$2)),((INT(BD$2/$L94)-INT((BD$2-1)/$L94))*($T94*(1-$F94)+$S94*(1-$G94))*((1+Inputs!$D$7)^BD$2))),((_xlfn.WEIBULL.DIST(BD$2,$M94,$L94,FALSE)*($T94*(1-$F94)+$S94*(1-$G94))*((1+Inputs!$D$7)^BD$2))))))</f>
        <v>0</v>
      </c>
      <c r="BE94" s="88">
        <f>$E94*IF(BE$2&gt;Inputs!$D$5,0,IF(BE$2&gt;VLOOKUP($H94,Lists!$P$3:$Q$7,2),IF($N94=Lists!$K$3,IF($L94&lt;1,(($U94/$L94)*((1+Inputs!$D$7)^BE$2)),((INT(BE$2/$L94)-INT((BE$2-1)/$L94))*$U94*((1+Inputs!$D$7)^BE$2))),(_xlfn.WEIBULL.DIST(BE$2,$M94,$L94,FALSE)*$U94*((1+Inputs!$D$7)^BE$2))),IF($N94=Lists!$K$3,IF($L94&lt;1,((($T94*(1-$F94)+$S94*(1-$G94))/$L94)*((1+Inputs!$D$7)^BE$2)),((INT(BE$2/$L94)-INT((BE$2-1)/$L94))*($T94*(1-$F94)+$S94*(1-$G94))*((1+Inputs!$D$7)^BE$2))),((_xlfn.WEIBULL.DIST(BE$2,$M94,$L94,FALSE)*($T94*(1-$F94)+$S94*(1-$G94))*((1+Inputs!$D$7)^BE$2))))))</f>
        <v>0</v>
      </c>
      <c r="BF94" s="88">
        <f>$E94*IF(BF$2&gt;Inputs!$D$5,0,IF(BF$2&gt;VLOOKUP($H94,Lists!$P$3:$Q$7,2),IF($N94=Lists!$K$3,IF($L94&lt;1,(($U94/$L94)*((1+Inputs!$D$7)^BF$2)),((INT(BF$2/$L94)-INT((BF$2-1)/$L94))*$U94*((1+Inputs!$D$7)^BF$2))),(_xlfn.WEIBULL.DIST(BF$2,$M94,$L94,FALSE)*$U94*((1+Inputs!$D$7)^BF$2))),IF($N94=Lists!$K$3,IF($L94&lt;1,((($T94*(1-$F94)+$S94*(1-$G94))/$L94)*((1+Inputs!$D$7)^BF$2)),((INT(BF$2/$L94)-INT((BF$2-1)/$L94))*($T94*(1-$F94)+$S94*(1-$G94))*((1+Inputs!$D$7)^BF$2))),((_xlfn.WEIBULL.DIST(BF$2,$M94,$L94,FALSE)*($T94*(1-$F94)+$S94*(1-$G94))*((1+Inputs!$D$7)^BF$2))))))</f>
        <v>0</v>
      </c>
      <c r="BG94" s="88">
        <f>$E94*IF(BG$2&gt;Inputs!$D$5,0,IF(BG$2&gt;VLOOKUP($H94,Lists!$P$3:$Q$7,2),IF($N94=Lists!$K$3,IF($L94&lt;1,(($U94/$L94)*((1+Inputs!$D$7)^BG$2)),((INT(BG$2/$L94)-INT((BG$2-1)/$L94))*$U94*((1+Inputs!$D$7)^BG$2))),(_xlfn.WEIBULL.DIST(BG$2,$M94,$L94,FALSE)*$U94*((1+Inputs!$D$7)^BG$2))),IF($N94=Lists!$K$3,IF($L94&lt;1,((($T94*(1-$F94)+$S94*(1-$G94))/$L94)*((1+Inputs!$D$7)^BG$2)),((INT(BG$2/$L94)-INT((BG$2-1)/$L94))*($T94*(1-$F94)+$S94*(1-$G94))*((1+Inputs!$D$7)^BG$2))),((_xlfn.WEIBULL.DIST(BG$2,$M94,$L94,FALSE)*($T94*(1-$F94)+$S94*(1-$G94))*((1+Inputs!$D$7)^BG$2))))))</f>
        <v>0</v>
      </c>
      <c r="BH94" s="88">
        <f>$E94*IF(BH$2&gt;Inputs!$D$5,0,IF(BH$2&gt;VLOOKUP($H94,Lists!$P$3:$Q$7,2),IF($N94=Lists!$K$3,IF($L94&lt;1,(($U94/$L94)*((1+Inputs!$D$7)^BH$2)),((INT(BH$2/$L94)-INT((BH$2-1)/$L94))*$U94*((1+Inputs!$D$7)^BH$2))),(_xlfn.WEIBULL.DIST(BH$2,$M94,$L94,FALSE)*$U94*((1+Inputs!$D$7)^BH$2))),IF($N94=Lists!$K$3,IF($L94&lt;1,((($T94*(1-$F94)+$S94*(1-$G94))/$L94)*((1+Inputs!$D$7)^BH$2)),((INT(BH$2/$L94)-INT((BH$2-1)/$L94))*($T94*(1-$F94)+$S94*(1-$G94))*((1+Inputs!$D$7)^BH$2))),((_xlfn.WEIBULL.DIST(BH$2,$M94,$L94,FALSE)*($T94*(1-$F94)+$S94*(1-$G94))*((1+Inputs!$D$7)^BH$2))))))</f>
        <v>0</v>
      </c>
      <c r="BI94" s="88">
        <f>$E94*IF(BI$2&gt;Inputs!$D$5,0,IF(BI$2&gt;VLOOKUP($H94,Lists!$P$3:$Q$7,2),IF($N94=Lists!$K$3,IF($L94&lt;1,(($U94/$L94)*((1+Inputs!$D$7)^BI$2)),((INT(BI$2/$L94)-INT((BI$2-1)/$L94))*$U94*((1+Inputs!$D$7)^BI$2))),(_xlfn.WEIBULL.DIST(BI$2,$M94,$L94,FALSE)*$U94*((1+Inputs!$D$7)^BI$2))),IF($N94=Lists!$K$3,IF($L94&lt;1,((($T94*(1-$F94)+$S94*(1-$G94))/$L94)*((1+Inputs!$D$7)^BI$2)),((INT(BI$2/$L94)-INT((BI$2-1)/$L94))*($T94*(1-$F94)+$S94*(1-$G94))*((1+Inputs!$D$7)^BI$2))),((_xlfn.WEIBULL.DIST(BI$2,$M94,$L94,FALSE)*($T94*(1-$F94)+$S94*(1-$G94))*((1+Inputs!$D$7)^BI$2))))))</f>
        <v>0</v>
      </c>
      <c r="BJ94" s="88">
        <f>$E94*IF(BJ$2&gt;Inputs!$D$5,0,IF(BJ$2&gt;VLOOKUP($H94,Lists!$P$3:$Q$7,2),IF($N94=Lists!$K$3,IF($L94&lt;1,(($U94/$L94)*((1+Inputs!$D$7)^BJ$2)),((INT(BJ$2/$L94)-INT((BJ$2-1)/$L94))*$U94*((1+Inputs!$D$7)^BJ$2))),(_xlfn.WEIBULL.DIST(BJ$2,$M94,$L94,FALSE)*$U94*((1+Inputs!$D$7)^BJ$2))),IF($N94=Lists!$K$3,IF($L94&lt;1,((($T94*(1-$F94)+$S94*(1-$G94))/$L94)*((1+Inputs!$D$7)^BJ$2)),((INT(BJ$2/$L94)-INT((BJ$2-1)/$L94))*($T94*(1-$F94)+$S94*(1-$G94))*((1+Inputs!$D$7)^BJ$2))),((_xlfn.WEIBULL.DIST(BJ$2,$M94,$L94,FALSE)*($T94*(1-$F94)+$S94*(1-$G94))*((1+Inputs!$D$7)^BJ$2))))))</f>
        <v>0</v>
      </c>
      <c r="BK94" s="88">
        <f>$E94*IF(BK$2&gt;Inputs!$D$5,0,IF(BK$2&gt;VLOOKUP($H94,Lists!$P$3:$Q$7,2),IF($N94=Lists!$K$3,IF($L94&lt;1,(($U94/$L94)*((1+Inputs!$D$7)^BK$2)),((INT(BK$2/$L94)-INT((BK$2-1)/$L94))*$U94*((1+Inputs!$D$7)^BK$2))),(_xlfn.WEIBULL.DIST(BK$2,$M94,$L94,FALSE)*$U94*((1+Inputs!$D$7)^BK$2))),IF($N94=Lists!$K$3,IF($L94&lt;1,((($T94*(1-$F94)+$S94*(1-$G94))/$L94)*((1+Inputs!$D$7)^BK$2)),((INT(BK$2/$L94)-INT((BK$2-1)/$L94))*($T94*(1-$F94)+$S94*(1-$G94))*((1+Inputs!$D$7)^BK$2))),((_xlfn.WEIBULL.DIST(BK$2,$M94,$L94,FALSE)*($T94*(1-$F94)+$S94*(1-$G94))*((1+Inputs!$D$7)^BK$2))))))</f>
        <v>0</v>
      </c>
      <c r="BL94" s="88">
        <f>$E94*IF(BL$2&gt;Inputs!$D$5,0,IF(BL$2&gt;VLOOKUP($H94,Lists!$P$3:$Q$7,2),IF($N94=Lists!$K$3,IF($L94&lt;1,(($U94/$L94)*((1+Inputs!$D$7)^BL$2)),((INT(BL$2/$L94)-INT((BL$2-1)/$L94))*$U94*((1+Inputs!$D$7)^BL$2))),(_xlfn.WEIBULL.DIST(BL$2,$M94,$L94,FALSE)*$U94*((1+Inputs!$D$7)^BL$2))),IF($N94=Lists!$K$3,IF($L94&lt;1,((($T94*(1-$F94)+$S94*(1-$G94))/$L94)*((1+Inputs!$D$7)^BL$2)),((INT(BL$2/$L94)-INT((BL$2-1)/$L94))*($T94*(1-$F94)+$S94*(1-$G94))*((1+Inputs!$D$7)^BL$2))),((_xlfn.WEIBULL.DIST(BL$2,$M94,$L94,FALSE)*($T94*(1-$F94)+$S94*(1-$G94))*((1+Inputs!$D$7)^BL$2))))))</f>
        <v>0</v>
      </c>
      <c r="BM94" s="88">
        <f>$E94*IF(BM$2&gt;Inputs!$D$5,0,IF(BM$2&gt;VLOOKUP($H94,Lists!$P$3:$Q$7,2),IF($N94=Lists!$K$3,IF($L94&lt;1,(($U94/$L94)*((1+Inputs!$D$7)^BM$2)),((INT(BM$2/$L94)-INT((BM$2-1)/$L94))*$U94*((1+Inputs!$D$7)^BM$2))),(_xlfn.WEIBULL.DIST(BM$2,$M94,$L94,FALSE)*$U94*((1+Inputs!$D$7)^BM$2))),IF($N94=Lists!$K$3,IF($L94&lt;1,((($T94*(1-$F94)+$S94*(1-$G94))/$L94)*((1+Inputs!$D$7)^BM$2)),((INT(BM$2/$L94)-INT((BM$2-1)/$L94))*($T94*(1-$F94)+$S94*(1-$G94))*((1+Inputs!$D$7)^BM$2))),((_xlfn.WEIBULL.DIST(BM$2,$M94,$L94,FALSE)*($T94*(1-$F94)+$S94*(1-$G94))*((1+Inputs!$D$7)^BM$2))))))</f>
        <v>0</v>
      </c>
      <c r="BN94" s="88">
        <f>$E94*IF(BN$2&gt;Inputs!$D$5,0,IF(BN$2&gt;VLOOKUP($H94,Lists!$P$3:$Q$7,2),IF($N94=Lists!$K$3,IF($L94&lt;1,(($U94/$L94)*((1+Inputs!$D$7)^BN$2)),((INT(BN$2/$L94)-INT((BN$2-1)/$L94))*$U94*((1+Inputs!$D$7)^BN$2))),(_xlfn.WEIBULL.DIST(BN$2,$M94,$L94,FALSE)*$U94*((1+Inputs!$D$7)^BN$2))),IF($N94=Lists!$K$3,IF($L94&lt;1,((($T94*(1-$F94)+$S94*(1-$G94))/$L94)*((1+Inputs!$D$7)^BN$2)),((INT(BN$2/$L94)-INT((BN$2-1)/$L94))*($T94*(1-$F94)+$S94*(1-$G94))*((1+Inputs!$D$7)^BN$2))),((_xlfn.WEIBULL.DIST(BN$2,$M94,$L94,FALSE)*($T94*(1-$F94)+$S94*(1-$G94))*((1+Inputs!$D$7)^BN$2))))))</f>
        <v>0</v>
      </c>
      <c r="BO94" s="64">
        <f>NPV(Inputs!$D$6,BQ94:DD94)</f>
        <v>1349.6891125682405</v>
      </c>
      <c r="BP94" s="67">
        <f t="shared" si="20"/>
        <v>6.3657927826513431E-4</v>
      </c>
      <c r="BQ94" s="88">
        <f>MAX(AA94,($E94*IF(BQ$2&gt;Inputs!$D$5,0,IF(BQ$2&gt;VLOOKUP($H94,Lists!$P$3:$Q$7,2),IF($N94=Lists!$K$3,IF($L94&lt;1,(($U94/$L94)*((1+Inputs!$D$7)^BQ$2)),((INT(BQ$2/$L94)-INT((BQ$2-1)/$L94))*$U94*((1+Inputs!$D$7)^BQ$2))),(Inputs!$D$8^((1-_xlfn.WEIBULL.DIST(BQ$2,$M94,$L94,FALSE))/_xlfn.WEIBULL.DIST(BQ$2,$M94,$L94,FALSE))*$U94*((1+Inputs!$D$7)^BQ$2))),IF($N94=Lists!$K$3,IF($L94&lt;1,((($T94*(1-$F94)+$S94*(1-$G94))/$L94)*((1+Inputs!$D$7)^BQ$2)),((INT(BQ$2/$L94)-INT((BQ$2-1)/$L94))*($T94*(1-$F94)+$S94*(1-$G94))*((1+Inputs!$D$7)^BQ$2))),((Inputs!$D$8^((1-_xlfn.WEIBULL.DIST(BQ$2,$M94,$L94,FALSE))/_xlfn.WEIBULL.DIST(BQ$2,$M94,$L94,FALSE))*($T94*(1-$F94)+$S94*(1-$G94))*((1+Inputs!$D$7)^BQ$2))))))))</f>
        <v>0</v>
      </c>
      <c r="BR94" s="88">
        <f>MAX(AB94,($E94*IF(BR$2&gt;Inputs!$D$5,0,IF(BR$2&gt;VLOOKUP($H94,Lists!$P$3:$Q$7,2),IF($N94=Lists!$K$3,IF($L94&lt;1,(($U94/$L94)*((1+Inputs!$D$7)^BR$2)),((INT(BR$2/$L94)-INT((BR$2-1)/$L94))*$U94*((1+Inputs!$D$7)^BR$2))),(Inputs!$D$8^((1-_xlfn.WEIBULL.DIST(BR$2,$M94,$L94,FALSE))/_xlfn.WEIBULL.DIST(BR$2,$M94,$L94,FALSE))*$U94*((1+Inputs!$D$7)^BR$2))),IF($N94=Lists!$K$3,IF($L94&lt;1,((($T94*(1-$F94)+$S94*(1-$G94))/$L94)*((1+Inputs!$D$7)^BR$2)),((INT(BR$2/$L94)-INT((BR$2-1)/$L94))*($T94*(1-$F94)+$S94*(1-$G94))*((1+Inputs!$D$7)^BR$2))),((Inputs!$D$8^((1-_xlfn.WEIBULL.DIST(BR$2,$M94,$L94,FALSE))/_xlfn.WEIBULL.DIST(BR$2,$M94,$L94,FALSE))*($T94*(1-$F94)+$S94*(1-$G94))*((1+Inputs!$D$7)^BR$2))))))))</f>
        <v>0</v>
      </c>
      <c r="BS94" s="88">
        <f>MAX(AC94,($E94*IF(BS$2&gt;Inputs!$D$5,0,IF(BS$2&gt;VLOOKUP($H94,Lists!$P$3:$Q$7,2),IF($N94=Lists!$K$3,IF($L94&lt;1,(($U94/$L94)*((1+Inputs!$D$7)^BS$2)),((INT(BS$2/$L94)-INT((BS$2-1)/$L94))*$U94*((1+Inputs!$D$7)^BS$2))),(Inputs!$D$8^((1-_xlfn.WEIBULL.DIST(BS$2,$M94,$L94,FALSE))/_xlfn.WEIBULL.DIST(BS$2,$M94,$L94,FALSE))*$U94*((1+Inputs!$D$7)^BS$2))),IF($N94=Lists!$K$3,IF($L94&lt;1,((($T94*(1-$F94)+$S94*(1-$G94))/$L94)*((1+Inputs!$D$7)^BS$2)),((INT(BS$2/$L94)-INT((BS$2-1)/$L94))*($T94*(1-$F94)+$S94*(1-$G94))*((1+Inputs!$D$7)^BS$2))),((Inputs!$D$8^((1-_xlfn.WEIBULL.DIST(BS$2,$M94,$L94,FALSE))/_xlfn.WEIBULL.DIST(BS$2,$M94,$L94,FALSE))*($T94*(1-$F94)+$S94*(1-$G94))*((1+Inputs!$D$7)^BS$2))))))))</f>
        <v>0</v>
      </c>
      <c r="BT94" s="88">
        <f>MAX(AD94,($E94*IF(BT$2&gt;Inputs!$D$5,0,IF(BT$2&gt;VLOOKUP($H94,Lists!$P$3:$Q$7,2),IF($N94=Lists!$K$3,IF($L94&lt;1,(($U94/$L94)*((1+Inputs!$D$7)^BT$2)),((INT(BT$2/$L94)-INT((BT$2-1)/$L94))*$U94*((1+Inputs!$D$7)^BT$2))),(Inputs!$D$8^((1-_xlfn.WEIBULL.DIST(BT$2,$M94,$L94,FALSE))/_xlfn.WEIBULL.DIST(BT$2,$M94,$L94,FALSE))*$U94*((1+Inputs!$D$7)^BT$2))),IF($N94=Lists!$K$3,IF($L94&lt;1,((($T94*(1-$F94)+$S94*(1-$G94))/$L94)*((1+Inputs!$D$7)^BT$2)),((INT(BT$2/$L94)-INT((BT$2-1)/$L94))*($T94*(1-$F94)+$S94*(1-$G94))*((1+Inputs!$D$7)^BT$2))),((Inputs!$D$8^((1-_xlfn.WEIBULL.DIST(BT$2,$M94,$L94,FALSE))/_xlfn.WEIBULL.DIST(BT$2,$M94,$L94,FALSE))*($T94*(1-$F94)+$S94*(1-$G94))*((1+Inputs!$D$7)^BT$2))))))))</f>
        <v>0</v>
      </c>
      <c r="BU94" s="88">
        <f>MAX(AE94,($E94*IF(BU$2&gt;Inputs!$D$5,0,IF(BU$2&gt;VLOOKUP($H94,Lists!$P$3:$Q$7,2),IF($N94=Lists!$K$3,IF($L94&lt;1,(($U94/$L94)*((1+Inputs!$D$7)^BU$2)),((INT(BU$2/$L94)-INT((BU$2-1)/$L94))*$U94*((1+Inputs!$D$7)^BU$2))),(Inputs!$D$8^((1-_xlfn.WEIBULL.DIST(BU$2,$M94,$L94,FALSE))/_xlfn.WEIBULL.DIST(BU$2,$M94,$L94,FALSE))*$U94*((1+Inputs!$D$7)^BU$2))),IF($N94=Lists!$K$3,IF($L94&lt;1,((($T94*(1-$F94)+$S94*(1-$G94))/$L94)*((1+Inputs!$D$7)^BU$2)),((INT(BU$2/$L94)-INT((BU$2-1)/$L94))*($T94*(1-$F94)+$S94*(1-$G94))*((1+Inputs!$D$7)^BU$2))),((Inputs!$D$8^((1-_xlfn.WEIBULL.DIST(BU$2,$M94,$L94,FALSE))/_xlfn.WEIBULL.DIST(BU$2,$M94,$L94,FALSE))*($T94*(1-$F94)+$S94*(1-$G94))*((1+Inputs!$D$7)^BU$2))))))))</f>
        <v>577.37077542741599</v>
      </c>
      <c r="BV94" s="88">
        <f>MAX(AF94,($E94*IF(BV$2&gt;Inputs!$D$5,0,IF(BV$2&gt;VLOOKUP($H94,Lists!$P$3:$Q$7,2),IF($N94=Lists!$K$3,IF($L94&lt;1,(($U94/$L94)*((1+Inputs!$D$7)^BV$2)),((INT(BV$2/$L94)-INT((BV$2-1)/$L94))*$U94*((1+Inputs!$D$7)^BV$2))),(Inputs!$D$8^((1-_xlfn.WEIBULL.DIST(BV$2,$M94,$L94,FALSE))/_xlfn.WEIBULL.DIST(BV$2,$M94,$L94,FALSE))*$U94*((1+Inputs!$D$7)^BV$2))),IF($N94=Lists!$K$3,IF($L94&lt;1,((($T94*(1-$F94)+$S94*(1-$G94))/$L94)*((1+Inputs!$D$7)^BV$2)),((INT(BV$2/$L94)-INT((BV$2-1)/$L94))*($T94*(1-$F94)+$S94*(1-$G94))*((1+Inputs!$D$7)^BV$2))),((Inputs!$D$8^((1-_xlfn.WEIBULL.DIST(BV$2,$M94,$L94,FALSE))/_xlfn.WEIBULL.DIST(BV$2,$M94,$L94,FALSE))*($T94*(1-$F94)+$S94*(1-$G94))*((1+Inputs!$D$7)^BV$2))))))))</f>
        <v>0</v>
      </c>
      <c r="BW94" s="88">
        <f>MAX(AG94,($E94*IF(BW$2&gt;Inputs!$D$5,0,IF(BW$2&gt;VLOOKUP($H94,Lists!$P$3:$Q$7,2),IF($N94=Lists!$K$3,IF($L94&lt;1,(($U94/$L94)*((1+Inputs!$D$7)^BW$2)),((INT(BW$2/$L94)-INT((BW$2-1)/$L94))*$U94*((1+Inputs!$D$7)^BW$2))),(Inputs!$D$8^((1-_xlfn.WEIBULL.DIST(BW$2,$M94,$L94,FALSE))/_xlfn.WEIBULL.DIST(BW$2,$M94,$L94,FALSE))*$U94*((1+Inputs!$D$7)^BW$2))),IF($N94=Lists!$K$3,IF($L94&lt;1,((($T94*(1-$F94)+$S94*(1-$G94))/$L94)*((1+Inputs!$D$7)^BW$2)),((INT(BW$2/$L94)-INT((BW$2-1)/$L94))*($T94*(1-$F94)+$S94*(1-$G94))*((1+Inputs!$D$7)^BW$2))),((Inputs!$D$8^((1-_xlfn.WEIBULL.DIST(BW$2,$M94,$L94,FALSE))/_xlfn.WEIBULL.DIST(BW$2,$M94,$L94,FALSE))*($T94*(1-$F94)+$S94*(1-$G94))*((1+Inputs!$D$7)^BW$2))))))))</f>
        <v>0</v>
      </c>
      <c r="BX94" s="88">
        <f>MAX(AH94,($E94*IF(BX$2&gt;Inputs!$D$5,0,IF(BX$2&gt;VLOOKUP($H94,Lists!$P$3:$Q$7,2),IF($N94=Lists!$K$3,IF($L94&lt;1,(($U94/$L94)*((1+Inputs!$D$7)^BX$2)),((INT(BX$2/$L94)-INT((BX$2-1)/$L94))*$U94*((1+Inputs!$D$7)^BX$2))),(Inputs!$D$8^((1-_xlfn.WEIBULL.DIST(BX$2,$M94,$L94,FALSE))/_xlfn.WEIBULL.DIST(BX$2,$M94,$L94,FALSE))*$U94*((1+Inputs!$D$7)^BX$2))),IF($N94=Lists!$K$3,IF($L94&lt;1,((($T94*(1-$F94)+$S94*(1-$G94))/$L94)*((1+Inputs!$D$7)^BX$2)),((INT(BX$2/$L94)-INT((BX$2-1)/$L94))*($T94*(1-$F94)+$S94*(1-$G94))*((1+Inputs!$D$7)^BX$2))),((Inputs!$D$8^((1-_xlfn.WEIBULL.DIST(BX$2,$M94,$L94,FALSE))/_xlfn.WEIBULL.DIST(BX$2,$M94,$L94,FALSE))*($T94*(1-$F94)+$S94*(1-$G94))*((1+Inputs!$D$7)^BX$2))))))))</f>
        <v>0</v>
      </c>
      <c r="BY94" s="88">
        <f>MAX(AI94,($E94*IF(BY$2&gt;Inputs!$D$5,0,IF(BY$2&gt;VLOOKUP($H94,Lists!$P$3:$Q$7,2),IF($N94=Lists!$K$3,IF($L94&lt;1,(($U94/$L94)*((1+Inputs!$D$7)^BY$2)),((INT(BY$2/$L94)-INT((BY$2-1)/$L94))*$U94*((1+Inputs!$D$7)^BY$2))),(Inputs!$D$8^((1-_xlfn.WEIBULL.DIST(BY$2,$M94,$L94,FALSE))/_xlfn.WEIBULL.DIST(BY$2,$M94,$L94,FALSE))*$U94*((1+Inputs!$D$7)^BY$2))),IF($N94=Lists!$K$3,IF($L94&lt;1,((($T94*(1-$F94)+$S94*(1-$G94))/$L94)*((1+Inputs!$D$7)^BY$2)),((INT(BY$2/$L94)-INT((BY$2-1)/$L94))*($T94*(1-$F94)+$S94*(1-$G94))*((1+Inputs!$D$7)^BY$2))),((Inputs!$D$8^((1-_xlfn.WEIBULL.DIST(BY$2,$M94,$L94,FALSE))/_xlfn.WEIBULL.DIST(BY$2,$M94,$L94,FALSE))*($T94*(1-$F94)+$S94*(1-$G94))*((1+Inputs!$D$7)^BY$2))))))))</f>
        <v>0</v>
      </c>
      <c r="BZ94" s="88">
        <f>MAX(AJ94,($E94*IF(BZ$2&gt;Inputs!$D$5,0,IF(BZ$2&gt;VLOOKUP($H94,Lists!$P$3:$Q$7,2),IF($N94=Lists!$K$3,IF($L94&lt;1,(($U94/$L94)*((1+Inputs!$D$7)^BZ$2)),((INT(BZ$2/$L94)-INT((BZ$2-1)/$L94))*$U94*((1+Inputs!$D$7)^BZ$2))),(Inputs!$D$8^((1-_xlfn.WEIBULL.DIST(BZ$2,$M94,$L94,FALSE))/_xlfn.WEIBULL.DIST(BZ$2,$M94,$L94,FALSE))*$U94*((1+Inputs!$D$7)^BZ$2))),IF($N94=Lists!$K$3,IF($L94&lt;1,((($T94*(1-$F94)+$S94*(1-$G94))/$L94)*((1+Inputs!$D$7)^BZ$2)),((INT(BZ$2/$L94)-INT((BZ$2-1)/$L94))*($T94*(1-$F94)+$S94*(1-$G94))*((1+Inputs!$D$7)^BZ$2))),((Inputs!$D$8^((1-_xlfn.WEIBULL.DIST(BZ$2,$M94,$L94,FALSE))/_xlfn.WEIBULL.DIST(BZ$2,$M94,$L94,FALSE))*($T94*(1-$F94)+$S94*(1-$G94))*((1+Inputs!$D$7)^BZ$2))))))))</f>
        <v>637.46398947810826</v>
      </c>
      <c r="CA94" s="88">
        <f>MAX(AK94,($E94*IF(CA$2&gt;Inputs!$D$5,0,IF(CA$2&gt;VLOOKUP($H94,Lists!$P$3:$Q$7,2),IF($N94=Lists!$K$3,IF($L94&lt;1,(($U94/$L94)*((1+Inputs!$D$7)^CA$2)),((INT(CA$2/$L94)-INT((CA$2-1)/$L94))*$U94*((1+Inputs!$D$7)^CA$2))),(Inputs!$D$8^((1-_xlfn.WEIBULL.DIST(CA$2,$M94,$L94,FALSE))/_xlfn.WEIBULL.DIST(CA$2,$M94,$L94,FALSE))*$U94*((1+Inputs!$D$7)^CA$2))),IF($N94=Lists!$K$3,IF($L94&lt;1,((($T94*(1-$F94)+$S94*(1-$G94))/$L94)*((1+Inputs!$D$7)^CA$2)),((INT(CA$2/$L94)-INT((CA$2-1)/$L94))*($T94*(1-$F94)+$S94*(1-$G94))*((1+Inputs!$D$7)^CA$2))),((Inputs!$D$8^((1-_xlfn.WEIBULL.DIST(CA$2,$M94,$L94,FALSE))/_xlfn.WEIBULL.DIST(CA$2,$M94,$L94,FALSE))*($T94*(1-$F94)+$S94*(1-$G94))*((1+Inputs!$D$7)^CA$2))))))))</f>
        <v>0</v>
      </c>
      <c r="CB94" s="88">
        <f>MAX(AL94,($E94*IF(CB$2&gt;Inputs!$D$5,0,IF(CB$2&gt;VLOOKUP($H94,Lists!$P$3:$Q$7,2),IF($N94=Lists!$K$3,IF($L94&lt;1,(($U94/$L94)*((1+Inputs!$D$7)^CB$2)),((INT(CB$2/$L94)-INT((CB$2-1)/$L94))*$U94*((1+Inputs!$D$7)^CB$2))),(Inputs!$D$8^((1-_xlfn.WEIBULL.DIST(CB$2,$M94,$L94,FALSE))/_xlfn.WEIBULL.DIST(CB$2,$M94,$L94,FALSE))*$U94*((1+Inputs!$D$7)^CB$2))),IF($N94=Lists!$K$3,IF($L94&lt;1,((($T94*(1-$F94)+$S94*(1-$G94))/$L94)*((1+Inputs!$D$7)^CB$2)),((INT(CB$2/$L94)-INT((CB$2-1)/$L94))*($T94*(1-$F94)+$S94*(1-$G94))*((1+Inputs!$D$7)^CB$2))),((Inputs!$D$8^((1-_xlfn.WEIBULL.DIST(CB$2,$M94,$L94,FALSE))/_xlfn.WEIBULL.DIST(CB$2,$M94,$L94,FALSE))*($T94*(1-$F94)+$S94*(1-$G94))*((1+Inputs!$D$7)^CB$2))))))))</f>
        <v>0</v>
      </c>
      <c r="CC94" s="88">
        <f>MAX(AM94,($E94*IF(CC$2&gt;Inputs!$D$5,0,IF(CC$2&gt;VLOOKUP($H94,Lists!$P$3:$Q$7,2),IF($N94=Lists!$K$3,IF($L94&lt;1,(($U94/$L94)*((1+Inputs!$D$7)^CC$2)),((INT(CC$2/$L94)-INT((CC$2-1)/$L94))*$U94*((1+Inputs!$D$7)^CC$2))),(Inputs!$D$8^((1-_xlfn.WEIBULL.DIST(CC$2,$M94,$L94,FALSE))/_xlfn.WEIBULL.DIST(CC$2,$M94,$L94,FALSE))*$U94*((1+Inputs!$D$7)^CC$2))),IF($N94=Lists!$K$3,IF($L94&lt;1,((($T94*(1-$F94)+$S94*(1-$G94))/$L94)*((1+Inputs!$D$7)^CC$2)),((INT(CC$2/$L94)-INT((CC$2-1)/$L94))*($T94*(1-$F94)+$S94*(1-$G94))*((1+Inputs!$D$7)^CC$2))),((Inputs!$D$8^((1-_xlfn.WEIBULL.DIST(CC$2,$M94,$L94,FALSE))/_xlfn.WEIBULL.DIST(CC$2,$M94,$L94,FALSE))*($T94*(1-$F94)+$S94*(1-$G94))*((1+Inputs!$D$7)^CC$2))))))))</f>
        <v>0</v>
      </c>
      <c r="CD94" s="88">
        <f>MAX(AN94,($E94*IF(CD$2&gt;Inputs!$D$5,0,IF(CD$2&gt;VLOOKUP($H94,Lists!$P$3:$Q$7,2),IF($N94=Lists!$K$3,IF($L94&lt;1,(($U94/$L94)*((1+Inputs!$D$7)^CD$2)),((INT(CD$2/$L94)-INT((CD$2-1)/$L94))*$U94*((1+Inputs!$D$7)^CD$2))),(Inputs!$D$8^((1-_xlfn.WEIBULL.DIST(CD$2,$M94,$L94,FALSE))/_xlfn.WEIBULL.DIST(CD$2,$M94,$L94,FALSE))*$U94*((1+Inputs!$D$7)^CD$2))),IF($N94=Lists!$K$3,IF($L94&lt;1,((($T94*(1-$F94)+$S94*(1-$G94))/$L94)*((1+Inputs!$D$7)^CD$2)),((INT(CD$2/$L94)-INT((CD$2-1)/$L94))*($T94*(1-$F94)+$S94*(1-$G94))*((1+Inputs!$D$7)^CD$2))),((Inputs!$D$8^((1-_xlfn.WEIBULL.DIST(CD$2,$M94,$L94,FALSE))/_xlfn.WEIBULL.DIST(CD$2,$M94,$L94,FALSE))*($T94*(1-$F94)+$S94*(1-$G94))*((1+Inputs!$D$7)^CD$2))))))))</f>
        <v>0</v>
      </c>
      <c r="CE94" s="88">
        <f>MAX(AO94,($E94*IF(CE$2&gt;Inputs!$D$5,0,IF(CE$2&gt;VLOOKUP($H94,Lists!$P$3:$Q$7,2),IF($N94=Lists!$K$3,IF($L94&lt;1,(($U94/$L94)*((1+Inputs!$D$7)^CE$2)),((INT(CE$2/$L94)-INT((CE$2-1)/$L94))*$U94*((1+Inputs!$D$7)^CE$2))),(Inputs!$D$8^((1-_xlfn.WEIBULL.DIST(CE$2,$M94,$L94,FALSE))/_xlfn.WEIBULL.DIST(CE$2,$M94,$L94,FALSE))*$U94*((1+Inputs!$D$7)^CE$2))),IF($N94=Lists!$K$3,IF($L94&lt;1,((($T94*(1-$F94)+$S94*(1-$G94))/$L94)*((1+Inputs!$D$7)^CE$2)),((INT(CE$2/$L94)-INT((CE$2-1)/$L94))*($T94*(1-$F94)+$S94*(1-$G94))*((1+Inputs!$D$7)^CE$2))),((Inputs!$D$8^((1-_xlfn.WEIBULL.DIST(CE$2,$M94,$L94,FALSE))/_xlfn.WEIBULL.DIST(CE$2,$M94,$L94,FALSE))*($T94*(1-$F94)+$S94*(1-$G94))*((1+Inputs!$D$7)^CE$2))))))))</f>
        <v>703.81175351406591</v>
      </c>
      <c r="CF94" s="88">
        <f>MAX(AP94,($E94*IF(CF$2&gt;Inputs!$D$5,0,IF(CF$2&gt;VLOOKUP($H94,Lists!$P$3:$Q$7,2),IF($N94=Lists!$K$3,IF($L94&lt;1,(($U94/$L94)*((1+Inputs!$D$7)^CF$2)),((INT(CF$2/$L94)-INT((CF$2-1)/$L94))*$U94*((1+Inputs!$D$7)^CF$2))),(Inputs!$D$8^((1-_xlfn.WEIBULL.DIST(CF$2,$M94,$L94,FALSE))/_xlfn.WEIBULL.DIST(CF$2,$M94,$L94,FALSE))*$U94*((1+Inputs!$D$7)^CF$2))),IF($N94=Lists!$K$3,IF($L94&lt;1,((($T94*(1-$F94)+$S94*(1-$G94))/$L94)*((1+Inputs!$D$7)^CF$2)),((INT(CF$2/$L94)-INT((CF$2-1)/$L94))*($T94*(1-$F94)+$S94*(1-$G94))*((1+Inputs!$D$7)^CF$2))),((Inputs!$D$8^((1-_xlfn.WEIBULL.DIST(CF$2,$M94,$L94,FALSE))/_xlfn.WEIBULL.DIST(CF$2,$M94,$L94,FALSE))*($T94*(1-$F94)+$S94*(1-$G94))*((1+Inputs!$D$7)^CF$2))))))))</f>
        <v>0</v>
      </c>
      <c r="CG94" s="88">
        <f>MAX(AQ94,($E94*IF(CG$2&gt;Inputs!$D$5,0,IF(CG$2&gt;VLOOKUP($H94,Lists!$P$3:$Q$7,2),IF($N94=Lists!$K$3,IF($L94&lt;1,(($U94/$L94)*((1+Inputs!$D$7)^CG$2)),((INT(CG$2/$L94)-INT((CG$2-1)/$L94))*$U94*((1+Inputs!$D$7)^CG$2))),(Inputs!$D$8^((1-_xlfn.WEIBULL.DIST(CG$2,$M94,$L94,FALSE))/_xlfn.WEIBULL.DIST(CG$2,$M94,$L94,FALSE))*$U94*((1+Inputs!$D$7)^CG$2))),IF($N94=Lists!$K$3,IF($L94&lt;1,((($T94*(1-$F94)+$S94*(1-$G94))/$L94)*((1+Inputs!$D$7)^CG$2)),((INT(CG$2/$L94)-INT((CG$2-1)/$L94))*($T94*(1-$F94)+$S94*(1-$G94))*((1+Inputs!$D$7)^CG$2))),((Inputs!$D$8^((1-_xlfn.WEIBULL.DIST(CG$2,$M94,$L94,FALSE))/_xlfn.WEIBULL.DIST(CG$2,$M94,$L94,FALSE))*($T94*(1-$F94)+$S94*(1-$G94))*((1+Inputs!$D$7)^CG$2))))))))</f>
        <v>0</v>
      </c>
      <c r="CH94" s="88">
        <f>MAX(AR94,($E94*IF(CH$2&gt;Inputs!$D$5,0,IF(CH$2&gt;VLOOKUP($H94,Lists!$P$3:$Q$7,2),IF($N94=Lists!$K$3,IF($L94&lt;1,(($U94/$L94)*((1+Inputs!$D$7)^CH$2)),((INT(CH$2/$L94)-INT((CH$2-1)/$L94))*$U94*((1+Inputs!$D$7)^CH$2))),(Inputs!$D$8^((1-_xlfn.WEIBULL.DIST(CH$2,$M94,$L94,FALSE))/_xlfn.WEIBULL.DIST(CH$2,$M94,$L94,FALSE))*$U94*((1+Inputs!$D$7)^CH$2))),IF($N94=Lists!$K$3,IF($L94&lt;1,((($T94*(1-$F94)+$S94*(1-$G94))/$L94)*((1+Inputs!$D$7)^CH$2)),((INT(CH$2/$L94)-INT((CH$2-1)/$L94))*($T94*(1-$F94)+$S94*(1-$G94))*((1+Inputs!$D$7)^CH$2))),((Inputs!$D$8^((1-_xlfn.WEIBULL.DIST(CH$2,$M94,$L94,FALSE))/_xlfn.WEIBULL.DIST(CH$2,$M94,$L94,FALSE))*($T94*(1-$F94)+$S94*(1-$G94))*((1+Inputs!$D$7)^CH$2))))))))</f>
        <v>0</v>
      </c>
      <c r="CI94" s="88">
        <f>MAX(AS94,($E94*IF(CI$2&gt;Inputs!$D$5,0,IF(CI$2&gt;VLOOKUP($H94,Lists!$P$3:$Q$7,2),IF($N94=Lists!$K$3,IF($L94&lt;1,(($U94/$L94)*((1+Inputs!$D$7)^CI$2)),((INT(CI$2/$L94)-INT((CI$2-1)/$L94))*$U94*((1+Inputs!$D$7)^CI$2))),(Inputs!$D$8^((1-_xlfn.WEIBULL.DIST(CI$2,$M94,$L94,FALSE))/_xlfn.WEIBULL.DIST(CI$2,$M94,$L94,FALSE))*$U94*((1+Inputs!$D$7)^CI$2))),IF($N94=Lists!$K$3,IF($L94&lt;1,((($T94*(1-$F94)+$S94*(1-$G94))/$L94)*((1+Inputs!$D$7)^CI$2)),((INT(CI$2/$L94)-INT((CI$2-1)/$L94))*($T94*(1-$F94)+$S94*(1-$G94))*((1+Inputs!$D$7)^CI$2))),((Inputs!$D$8^((1-_xlfn.WEIBULL.DIST(CI$2,$M94,$L94,FALSE))/_xlfn.WEIBULL.DIST(CI$2,$M94,$L94,FALSE))*($T94*(1-$F94)+$S94*(1-$G94))*((1+Inputs!$D$7)^CI$2))))))))</f>
        <v>0</v>
      </c>
      <c r="CJ94" s="88">
        <f>MAX(AT94,($E94*IF(CJ$2&gt;Inputs!$D$5,0,IF(CJ$2&gt;VLOOKUP($H94,Lists!$P$3:$Q$7,2),IF($N94=Lists!$K$3,IF($L94&lt;1,(($U94/$L94)*((1+Inputs!$D$7)^CJ$2)),((INT(CJ$2/$L94)-INT((CJ$2-1)/$L94))*$U94*((1+Inputs!$D$7)^CJ$2))),(Inputs!$D$8^((1-_xlfn.WEIBULL.DIST(CJ$2,$M94,$L94,FALSE))/_xlfn.WEIBULL.DIST(CJ$2,$M94,$L94,FALSE))*$U94*((1+Inputs!$D$7)^CJ$2))),IF($N94=Lists!$K$3,IF($L94&lt;1,((($T94*(1-$F94)+$S94*(1-$G94))/$L94)*((1+Inputs!$D$7)^CJ$2)),((INT(CJ$2/$L94)-INT((CJ$2-1)/$L94))*($T94*(1-$F94)+$S94*(1-$G94))*((1+Inputs!$D$7)^CJ$2))),((Inputs!$D$8^((1-_xlfn.WEIBULL.DIST(CJ$2,$M94,$L94,FALSE))/_xlfn.WEIBULL.DIST(CJ$2,$M94,$L94,FALSE))*($T94*(1-$F94)+$S94*(1-$G94))*((1+Inputs!$D$7)^CJ$2))))))))</f>
        <v>777.06504612141055</v>
      </c>
      <c r="CK94" s="88">
        <f>MAX(AU94,($E94*IF(CK$2&gt;Inputs!$D$5,0,IF(CK$2&gt;VLOOKUP($H94,Lists!$P$3:$Q$7,2),IF($N94=Lists!$K$3,IF($L94&lt;1,(($U94/$L94)*((1+Inputs!$D$7)^CK$2)),((INT(CK$2/$L94)-INT((CK$2-1)/$L94))*$U94*((1+Inputs!$D$7)^CK$2))),(Inputs!$D$8^((1-_xlfn.WEIBULL.DIST(CK$2,$M94,$L94,FALSE))/_xlfn.WEIBULL.DIST(CK$2,$M94,$L94,FALSE))*$U94*((1+Inputs!$D$7)^CK$2))),IF($N94=Lists!$K$3,IF($L94&lt;1,((($T94*(1-$F94)+$S94*(1-$G94))/$L94)*((1+Inputs!$D$7)^CK$2)),((INT(CK$2/$L94)-INT((CK$2-1)/$L94))*($T94*(1-$F94)+$S94*(1-$G94))*((1+Inputs!$D$7)^CK$2))),((Inputs!$D$8^((1-_xlfn.WEIBULL.DIST(CK$2,$M94,$L94,FALSE))/_xlfn.WEIBULL.DIST(CK$2,$M94,$L94,FALSE))*($T94*(1-$F94)+$S94*(1-$G94))*((1+Inputs!$D$7)^CK$2))))))))</f>
        <v>0</v>
      </c>
      <c r="CL94" s="88">
        <f>MAX(AV94,($E94*IF(CL$2&gt;Inputs!$D$5,0,IF(CL$2&gt;VLOOKUP($H94,Lists!$P$3:$Q$7,2),IF($N94=Lists!$K$3,IF($L94&lt;1,(($U94/$L94)*((1+Inputs!$D$7)^CL$2)),((INT(CL$2/$L94)-INT((CL$2-1)/$L94))*$U94*((1+Inputs!$D$7)^CL$2))),(Inputs!$D$8^((1-_xlfn.WEIBULL.DIST(CL$2,$M94,$L94,FALSE))/_xlfn.WEIBULL.DIST(CL$2,$M94,$L94,FALSE))*$U94*((1+Inputs!$D$7)^CL$2))),IF($N94=Lists!$K$3,IF($L94&lt;1,((($T94*(1-$F94)+$S94*(1-$G94))/$L94)*((1+Inputs!$D$7)^CL$2)),((INT(CL$2/$L94)-INT((CL$2-1)/$L94))*($T94*(1-$F94)+$S94*(1-$G94))*((1+Inputs!$D$7)^CL$2))),((Inputs!$D$8^((1-_xlfn.WEIBULL.DIST(CL$2,$M94,$L94,FALSE))/_xlfn.WEIBULL.DIST(CL$2,$M94,$L94,FALSE))*($T94*(1-$F94)+$S94*(1-$G94))*((1+Inputs!$D$7)^CL$2))))))))</f>
        <v>0</v>
      </c>
      <c r="CM94" s="88">
        <f>MAX(AW94,($E94*IF(CM$2&gt;Inputs!$D$5,0,IF(CM$2&gt;VLOOKUP($H94,Lists!$P$3:$Q$7,2),IF($N94=Lists!$K$3,IF($L94&lt;1,(($U94/$L94)*((1+Inputs!$D$7)^CM$2)),((INT(CM$2/$L94)-INT((CM$2-1)/$L94))*$U94*((1+Inputs!$D$7)^CM$2))),(Inputs!$D$8^((1-_xlfn.WEIBULL.DIST(CM$2,$M94,$L94,FALSE))/_xlfn.WEIBULL.DIST(CM$2,$M94,$L94,FALSE))*$U94*((1+Inputs!$D$7)^CM$2))),IF($N94=Lists!$K$3,IF($L94&lt;1,((($T94*(1-$F94)+$S94*(1-$G94))/$L94)*((1+Inputs!$D$7)^CM$2)),((INT(CM$2/$L94)-INT((CM$2-1)/$L94))*($T94*(1-$F94)+$S94*(1-$G94))*((1+Inputs!$D$7)^CM$2))),((Inputs!$D$8^((1-_xlfn.WEIBULL.DIST(CM$2,$M94,$L94,FALSE))/_xlfn.WEIBULL.DIST(CM$2,$M94,$L94,FALSE))*($T94*(1-$F94)+$S94*(1-$G94))*((1+Inputs!$D$7)^CM$2))))))))</f>
        <v>0</v>
      </c>
      <c r="CN94" s="88">
        <f>MAX(AX94,($E94*IF(CN$2&gt;Inputs!$D$5,0,IF(CN$2&gt;VLOOKUP($H94,Lists!$P$3:$Q$7,2),IF($N94=Lists!$K$3,IF($L94&lt;1,(($U94/$L94)*((1+Inputs!$D$7)^CN$2)),((INT(CN$2/$L94)-INT((CN$2-1)/$L94))*$U94*((1+Inputs!$D$7)^CN$2))),(Inputs!$D$8^((1-_xlfn.WEIBULL.DIST(CN$2,$M94,$L94,FALSE))/_xlfn.WEIBULL.DIST(CN$2,$M94,$L94,FALSE))*$U94*((1+Inputs!$D$7)^CN$2))),IF($N94=Lists!$K$3,IF($L94&lt;1,((($T94*(1-$F94)+$S94*(1-$G94))/$L94)*((1+Inputs!$D$7)^CN$2)),((INT(CN$2/$L94)-INT((CN$2-1)/$L94))*($T94*(1-$F94)+$S94*(1-$G94))*((1+Inputs!$D$7)^CN$2))),((Inputs!$D$8^((1-_xlfn.WEIBULL.DIST(CN$2,$M94,$L94,FALSE))/_xlfn.WEIBULL.DIST(CN$2,$M94,$L94,FALSE))*($T94*(1-$F94)+$S94*(1-$G94))*((1+Inputs!$D$7)^CN$2))))))))</f>
        <v>0</v>
      </c>
      <c r="CO94" s="88">
        <f>MAX(AY94,($E94*IF(CO$2&gt;Inputs!$D$5,0,IF(CO$2&gt;VLOOKUP($H94,Lists!$P$3:$Q$7,2),IF($N94=Lists!$K$3,IF($L94&lt;1,(($U94/$L94)*((1+Inputs!$D$7)^CO$2)),((INT(CO$2/$L94)-INT((CO$2-1)/$L94))*$U94*((1+Inputs!$D$7)^CO$2))),(Inputs!$D$8^((1-_xlfn.WEIBULL.DIST(CO$2,$M94,$L94,FALSE))/_xlfn.WEIBULL.DIST(CO$2,$M94,$L94,FALSE))*$U94*((1+Inputs!$D$7)^CO$2))),IF($N94=Lists!$K$3,IF($L94&lt;1,((($T94*(1-$F94)+$S94*(1-$G94))/$L94)*((1+Inputs!$D$7)^CO$2)),((INT(CO$2/$L94)-INT((CO$2-1)/$L94))*($T94*(1-$F94)+$S94*(1-$G94))*((1+Inputs!$D$7)^CO$2))),((Inputs!$D$8^((1-_xlfn.WEIBULL.DIST(CO$2,$M94,$L94,FALSE))/_xlfn.WEIBULL.DIST(CO$2,$M94,$L94,FALSE))*($T94*(1-$F94)+$S94*(1-$G94))*((1+Inputs!$D$7)^CO$2))))))))</f>
        <v>857.94260026037182</v>
      </c>
      <c r="CP94" s="88">
        <f>MAX(AZ94,($E94*IF(CP$2&gt;Inputs!$D$5,0,IF(CP$2&gt;VLOOKUP($H94,Lists!$P$3:$Q$7,2),IF($N94=Lists!$K$3,IF($L94&lt;1,(($U94/$L94)*((1+Inputs!$D$7)^CP$2)),((INT(CP$2/$L94)-INT((CP$2-1)/$L94))*$U94*((1+Inputs!$D$7)^CP$2))),(Inputs!$D$8^((1-_xlfn.WEIBULL.DIST(CP$2,$M94,$L94,FALSE))/_xlfn.WEIBULL.DIST(CP$2,$M94,$L94,FALSE))*$U94*((1+Inputs!$D$7)^CP$2))),IF($N94=Lists!$K$3,IF($L94&lt;1,((($T94*(1-$F94)+$S94*(1-$G94))/$L94)*((1+Inputs!$D$7)^CP$2)),((INT(CP$2/$L94)-INT((CP$2-1)/$L94))*($T94*(1-$F94)+$S94*(1-$G94))*((1+Inputs!$D$7)^CP$2))),((Inputs!$D$8^((1-_xlfn.WEIBULL.DIST(CP$2,$M94,$L94,FALSE))/_xlfn.WEIBULL.DIST(CP$2,$M94,$L94,FALSE))*($T94*(1-$F94)+$S94*(1-$G94))*((1+Inputs!$D$7)^CP$2))))))))</f>
        <v>0</v>
      </c>
      <c r="CQ94" s="88">
        <f>MAX(BA94,($E94*IF(CQ$2&gt;Inputs!$D$5,0,IF(CQ$2&gt;VLOOKUP($H94,Lists!$P$3:$Q$7,2),IF($N94=Lists!$K$3,IF($L94&lt;1,(($U94/$L94)*((1+Inputs!$D$7)^CQ$2)),((INT(CQ$2/$L94)-INT((CQ$2-1)/$L94))*$U94*((1+Inputs!$D$7)^CQ$2))),(Inputs!$D$8^((1-_xlfn.WEIBULL.DIST(CQ$2,$M94,$L94,FALSE))/_xlfn.WEIBULL.DIST(CQ$2,$M94,$L94,FALSE))*$U94*((1+Inputs!$D$7)^CQ$2))),IF($N94=Lists!$K$3,IF($L94&lt;1,((($T94*(1-$F94)+$S94*(1-$G94))/$L94)*((1+Inputs!$D$7)^CQ$2)),((INT(CQ$2/$L94)-INT((CQ$2-1)/$L94))*($T94*(1-$F94)+$S94*(1-$G94))*((1+Inputs!$D$7)^CQ$2))),((Inputs!$D$8^((1-_xlfn.WEIBULL.DIST(CQ$2,$M94,$L94,FALSE))/_xlfn.WEIBULL.DIST(CQ$2,$M94,$L94,FALSE))*($T94*(1-$F94)+$S94*(1-$G94))*((1+Inputs!$D$7)^CQ$2))))))))</f>
        <v>0</v>
      </c>
      <c r="CR94" s="88">
        <f>MAX(BB94,($E94*IF(CR$2&gt;Inputs!$D$5,0,IF(CR$2&gt;VLOOKUP($H94,Lists!$P$3:$Q$7,2),IF($N94=Lists!$K$3,IF($L94&lt;1,(($U94/$L94)*((1+Inputs!$D$7)^CR$2)),((INT(CR$2/$L94)-INT((CR$2-1)/$L94))*$U94*((1+Inputs!$D$7)^CR$2))),(Inputs!$D$8^((1-_xlfn.WEIBULL.DIST(CR$2,$M94,$L94,FALSE))/_xlfn.WEIBULL.DIST(CR$2,$M94,$L94,FALSE))*$U94*((1+Inputs!$D$7)^CR$2))),IF($N94=Lists!$K$3,IF($L94&lt;1,((($T94*(1-$F94)+$S94*(1-$G94))/$L94)*((1+Inputs!$D$7)^CR$2)),((INT(CR$2/$L94)-INT((CR$2-1)/$L94))*($T94*(1-$F94)+$S94*(1-$G94))*((1+Inputs!$D$7)^CR$2))),((Inputs!$D$8^((1-_xlfn.WEIBULL.DIST(CR$2,$M94,$L94,FALSE))/_xlfn.WEIBULL.DIST(CR$2,$M94,$L94,FALSE))*($T94*(1-$F94)+$S94*(1-$G94))*((1+Inputs!$D$7)^CR$2))))))))</f>
        <v>0</v>
      </c>
      <c r="CS94" s="88">
        <f>MAX(BC94,($E94*IF(CS$2&gt;Inputs!$D$5,0,IF(CS$2&gt;VLOOKUP($H94,Lists!$P$3:$Q$7,2),IF($N94=Lists!$K$3,IF($L94&lt;1,(($U94/$L94)*((1+Inputs!$D$7)^CS$2)),((INT(CS$2/$L94)-INT((CS$2-1)/$L94))*$U94*((1+Inputs!$D$7)^CS$2))),(Inputs!$D$8^((1-_xlfn.WEIBULL.DIST(CS$2,$M94,$L94,FALSE))/_xlfn.WEIBULL.DIST(CS$2,$M94,$L94,FALSE))*$U94*((1+Inputs!$D$7)^CS$2))),IF($N94=Lists!$K$3,IF($L94&lt;1,((($T94*(1-$F94)+$S94*(1-$G94))/$L94)*((1+Inputs!$D$7)^CS$2)),((INT(CS$2/$L94)-INT((CS$2-1)/$L94))*($T94*(1-$F94)+$S94*(1-$G94))*((1+Inputs!$D$7)^CS$2))),((Inputs!$D$8^((1-_xlfn.WEIBULL.DIST(CS$2,$M94,$L94,FALSE))/_xlfn.WEIBULL.DIST(CS$2,$M94,$L94,FALSE))*($T94*(1-$F94)+$S94*(1-$G94))*((1+Inputs!$D$7)^CS$2))))))))</f>
        <v>0</v>
      </c>
      <c r="CT94" s="88">
        <f>MAX(BD94,($E94*IF(CT$2&gt;Inputs!$D$5,0,IF(CT$2&gt;VLOOKUP($H94,Lists!$P$3:$Q$7,2),IF($N94=Lists!$K$3,IF($L94&lt;1,(($U94/$L94)*((1+Inputs!$D$7)^CT$2)),((INT(CT$2/$L94)-INT((CT$2-1)/$L94))*$U94*((1+Inputs!$D$7)^CT$2))),(Inputs!$D$8^((1-_xlfn.WEIBULL.DIST(CT$2,$M94,$L94,FALSE))/_xlfn.WEIBULL.DIST(CT$2,$M94,$L94,FALSE))*$U94*((1+Inputs!$D$7)^CT$2))),IF($N94=Lists!$K$3,IF($L94&lt;1,((($T94*(1-$F94)+$S94*(1-$G94))/$L94)*((1+Inputs!$D$7)^CT$2)),((INT(CT$2/$L94)-INT((CT$2-1)/$L94))*($T94*(1-$F94)+$S94*(1-$G94))*((1+Inputs!$D$7)^CT$2))),((Inputs!$D$8^((1-_xlfn.WEIBULL.DIST(CT$2,$M94,$L94,FALSE))/_xlfn.WEIBULL.DIST(CT$2,$M94,$L94,FALSE))*($T94*(1-$F94)+$S94*(1-$G94))*((1+Inputs!$D$7)^CT$2))))))))</f>
        <v>0</v>
      </c>
      <c r="CU94" s="88">
        <f>MAX(BE94,($E94*IF(CU$2&gt;Inputs!$D$5,0,IF(CU$2&gt;VLOOKUP($H94,Lists!$P$3:$Q$7,2),IF($N94=Lists!$K$3,IF($L94&lt;1,(($U94/$L94)*((1+Inputs!$D$7)^CU$2)),((INT(CU$2/$L94)-INT((CU$2-1)/$L94))*$U94*((1+Inputs!$D$7)^CU$2))),(Inputs!$D$8^((1-_xlfn.WEIBULL.DIST(CU$2,$M94,$L94,FALSE))/_xlfn.WEIBULL.DIST(CU$2,$M94,$L94,FALSE))*$U94*((1+Inputs!$D$7)^CU$2))),IF($N94=Lists!$K$3,IF($L94&lt;1,((($T94*(1-$F94)+$S94*(1-$G94))/$L94)*((1+Inputs!$D$7)^CU$2)),((INT(CU$2/$L94)-INT((CU$2-1)/$L94))*($T94*(1-$F94)+$S94*(1-$G94))*((1+Inputs!$D$7)^CU$2))),((Inputs!$D$8^((1-_xlfn.WEIBULL.DIST(CU$2,$M94,$L94,FALSE))/_xlfn.WEIBULL.DIST(CU$2,$M94,$L94,FALSE))*($T94*(1-$F94)+$S94*(1-$G94))*((1+Inputs!$D$7)^CU$2))))))))</f>
        <v>0</v>
      </c>
      <c r="CV94" s="88">
        <f>MAX(BF94,($E94*IF(CV$2&gt;Inputs!$D$5,0,IF(CV$2&gt;VLOOKUP($H94,Lists!$P$3:$Q$7,2),IF($N94=Lists!$K$3,IF($L94&lt;1,(($U94/$L94)*((1+Inputs!$D$7)^CV$2)),((INT(CV$2/$L94)-INT((CV$2-1)/$L94))*$U94*((1+Inputs!$D$7)^CV$2))),(Inputs!$D$8^((1-_xlfn.WEIBULL.DIST(CV$2,$M94,$L94,FALSE))/_xlfn.WEIBULL.DIST(CV$2,$M94,$L94,FALSE))*$U94*((1+Inputs!$D$7)^CV$2))),IF($N94=Lists!$K$3,IF($L94&lt;1,((($T94*(1-$F94)+$S94*(1-$G94))/$L94)*((1+Inputs!$D$7)^CV$2)),((INT(CV$2/$L94)-INT((CV$2-1)/$L94))*($T94*(1-$F94)+$S94*(1-$G94))*((1+Inputs!$D$7)^CV$2))),((Inputs!$D$8^((1-_xlfn.WEIBULL.DIST(CV$2,$M94,$L94,FALSE))/_xlfn.WEIBULL.DIST(CV$2,$M94,$L94,FALSE))*($T94*(1-$F94)+$S94*(1-$G94))*((1+Inputs!$D$7)^CV$2))))))))</f>
        <v>0</v>
      </c>
      <c r="CW94" s="88">
        <f>MAX(BG94,($E94*IF(CW$2&gt;Inputs!$D$5,0,IF(CW$2&gt;VLOOKUP($H94,Lists!$P$3:$Q$7,2),IF($N94=Lists!$K$3,IF($L94&lt;1,(($U94/$L94)*((1+Inputs!$D$7)^CW$2)),((INT(CW$2/$L94)-INT((CW$2-1)/$L94))*$U94*((1+Inputs!$D$7)^CW$2))),(Inputs!$D$8^((1-_xlfn.WEIBULL.DIST(CW$2,$M94,$L94,FALSE))/_xlfn.WEIBULL.DIST(CW$2,$M94,$L94,FALSE))*$U94*((1+Inputs!$D$7)^CW$2))),IF($N94=Lists!$K$3,IF($L94&lt;1,((($T94*(1-$F94)+$S94*(1-$G94))/$L94)*((1+Inputs!$D$7)^CW$2)),((INT(CW$2/$L94)-INT((CW$2-1)/$L94))*($T94*(1-$F94)+$S94*(1-$G94))*((1+Inputs!$D$7)^CW$2))),((Inputs!$D$8^((1-_xlfn.WEIBULL.DIST(CW$2,$M94,$L94,FALSE))/_xlfn.WEIBULL.DIST(CW$2,$M94,$L94,FALSE))*($T94*(1-$F94)+$S94*(1-$G94))*((1+Inputs!$D$7)^CW$2))))))))</f>
        <v>0</v>
      </c>
      <c r="CX94" s="88">
        <f>MAX(BH94,($E94*IF(CX$2&gt;Inputs!$D$5,0,IF(CX$2&gt;VLOOKUP($H94,Lists!$P$3:$Q$7,2),IF($N94=Lists!$K$3,IF($L94&lt;1,(($U94/$L94)*((1+Inputs!$D$7)^CX$2)),((INT(CX$2/$L94)-INT((CX$2-1)/$L94))*$U94*((1+Inputs!$D$7)^CX$2))),(Inputs!$D$8^((1-_xlfn.WEIBULL.DIST(CX$2,$M94,$L94,FALSE))/_xlfn.WEIBULL.DIST(CX$2,$M94,$L94,FALSE))*$U94*((1+Inputs!$D$7)^CX$2))),IF($N94=Lists!$K$3,IF($L94&lt;1,((($T94*(1-$F94)+$S94*(1-$G94))/$L94)*((1+Inputs!$D$7)^CX$2)),((INT(CX$2/$L94)-INT((CX$2-1)/$L94))*($T94*(1-$F94)+$S94*(1-$G94))*((1+Inputs!$D$7)^CX$2))),((Inputs!$D$8^((1-_xlfn.WEIBULL.DIST(CX$2,$M94,$L94,FALSE))/_xlfn.WEIBULL.DIST(CX$2,$M94,$L94,FALSE))*($T94*(1-$F94)+$S94*(1-$G94))*((1+Inputs!$D$7)^CX$2))))))))</f>
        <v>0</v>
      </c>
      <c r="CY94" s="88">
        <f>MAX(BI94,($E94*IF(CY$2&gt;Inputs!$D$5,0,IF(CY$2&gt;VLOOKUP($H94,Lists!$P$3:$Q$7,2),IF($N94=Lists!$K$3,IF($L94&lt;1,(($U94/$L94)*((1+Inputs!$D$7)^CY$2)),((INT(CY$2/$L94)-INT((CY$2-1)/$L94))*$U94*((1+Inputs!$D$7)^CY$2))),(Inputs!$D$8^((1-_xlfn.WEIBULL.DIST(CY$2,$M94,$L94,FALSE))/_xlfn.WEIBULL.DIST(CY$2,$M94,$L94,FALSE))*$U94*((1+Inputs!$D$7)^CY$2))),IF($N94=Lists!$K$3,IF($L94&lt;1,((($T94*(1-$F94)+$S94*(1-$G94))/$L94)*((1+Inputs!$D$7)^CY$2)),((INT(CY$2/$L94)-INT((CY$2-1)/$L94))*($T94*(1-$F94)+$S94*(1-$G94))*((1+Inputs!$D$7)^CY$2))),((Inputs!$D$8^((1-_xlfn.WEIBULL.DIST(CY$2,$M94,$L94,FALSE))/_xlfn.WEIBULL.DIST(CY$2,$M94,$L94,FALSE))*($T94*(1-$F94)+$S94*(1-$G94))*((1+Inputs!$D$7)^CY$2))))))))</f>
        <v>0</v>
      </c>
      <c r="CZ94" s="88">
        <f>MAX(BJ94,($E94*IF(CZ$2&gt;Inputs!$D$5,0,IF(CZ$2&gt;VLOOKUP($H94,Lists!$P$3:$Q$7,2),IF($N94=Lists!$K$3,IF($L94&lt;1,(($U94/$L94)*((1+Inputs!$D$7)^CZ$2)),((INT(CZ$2/$L94)-INT((CZ$2-1)/$L94))*$U94*((1+Inputs!$D$7)^CZ$2))),(Inputs!$D$8^((1-_xlfn.WEIBULL.DIST(CZ$2,$M94,$L94,FALSE))/_xlfn.WEIBULL.DIST(CZ$2,$M94,$L94,FALSE))*$U94*((1+Inputs!$D$7)^CZ$2))),IF($N94=Lists!$K$3,IF($L94&lt;1,((($T94*(1-$F94)+$S94*(1-$G94))/$L94)*((1+Inputs!$D$7)^CZ$2)),((INT(CZ$2/$L94)-INT((CZ$2-1)/$L94))*($T94*(1-$F94)+$S94*(1-$G94))*((1+Inputs!$D$7)^CZ$2))),((Inputs!$D$8^((1-_xlfn.WEIBULL.DIST(CZ$2,$M94,$L94,FALSE))/_xlfn.WEIBULL.DIST(CZ$2,$M94,$L94,FALSE))*($T94*(1-$F94)+$S94*(1-$G94))*((1+Inputs!$D$7)^CZ$2))))))))</f>
        <v>0</v>
      </c>
      <c r="DA94" s="88">
        <f>MAX(BK94,($E94*IF(DA$2&gt;Inputs!$D$5,0,IF(DA$2&gt;VLOOKUP($H94,Lists!$P$3:$Q$7,2),IF($N94=Lists!$K$3,IF($L94&lt;1,(($U94/$L94)*((1+Inputs!$D$7)^DA$2)),((INT(DA$2/$L94)-INT((DA$2-1)/$L94))*$U94*((1+Inputs!$D$7)^DA$2))),(Inputs!$D$8^((1-_xlfn.WEIBULL.DIST(DA$2,$M94,$L94,FALSE))/_xlfn.WEIBULL.DIST(DA$2,$M94,$L94,FALSE))*$U94*((1+Inputs!$D$7)^DA$2))),IF($N94=Lists!$K$3,IF($L94&lt;1,((($T94*(1-$F94)+$S94*(1-$G94))/$L94)*((1+Inputs!$D$7)^DA$2)),((INT(DA$2/$L94)-INT((DA$2-1)/$L94))*($T94*(1-$F94)+$S94*(1-$G94))*((1+Inputs!$D$7)^DA$2))),((Inputs!$D$8^((1-_xlfn.WEIBULL.DIST(DA$2,$M94,$L94,FALSE))/_xlfn.WEIBULL.DIST(DA$2,$M94,$L94,FALSE))*($T94*(1-$F94)+$S94*(1-$G94))*((1+Inputs!$D$7)^DA$2))))))))</f>
        <v>0</v>
      </c>
      <c r="DB94" s="88">
        <f>MAX(BL94,($E94*IF(DB$2&gt;Inputs!$D$5,0,IF(DB$2&gt;VLOOKUP($H94,Lists!$P$3:$Q$7,2),IF($N94=Lists!$K$3,IF($L94&lt;1,(($U94/$L94)*((1+Inputs!$D$7)^DB$2)),((INT(DB$2/$L94)-INT((DB$2-1)/$L94))*$U94*((1+Inputs!$D$7)^DB$2))),(Inputs!$D$8^((1-_xlfn.WEIBULL.DIST(DB$2,$M94,$L94,FALSE))/_xlfn.WEIBULL.DIST(DB$2,$M94,$L94,FALSE))*$U94*((1+Inputs!$D$7)^DB$2))),IF($N94=Lists!$K$3,IF($L94&lt;1,((($T94*(1-$F94)+$S94*(1-$G94))/$L94)*((1+Inputs!$D$7)^DB$2)),((INT(DB$2/$L94)-INT((DB$2-1)/$L94))*($T94*(1-$F94)+$S94*(1-$G94))*((1+Inputs!$D$7)^DB$2))),((Inputs!$D$8^((1-_xlfn.WEIBULL.DIST(DB$2,$M94,$L94,FALSE))/_xlfn.WEIBULL.DIST(DB$2,$M94,$L94,FALSE))*($T94*(1-$F94)+$S94*(1-$G94))*((1+Inputs!$D$7)^DB$2))))))))</f>
        <v>0</v>
      </c>
      <c r="DC94" s="88">
        <f>MAX(BM94,($E94*IF(DC$2&gt;Inputs!$D$5,0,IF(DC$2&gt;VLOOKUP($H94,Lists!$P$3:$Q$7,2),IF($N94=Lists!$K$3,IF($L94&lt;1,(($U94/$L94)*((1+Inputs!$D$7)^DC$2)),((INT(DC$2/$L94)-INT((DC$2-1)/$L94))*$U94*((1+Inputs!$D$7)^DC$2))),(Inputs!$D$8^((1-_xlfn.WEIBULL.DIST(DC$2,$M94,$L94,FALSE))/_xlfn.WEIBULL.DIST(DC$2,$M94,$L94,FALSE))*$U94*((1+Inputs!$D$7)^DC$2))),IF($N94=Lists!$K$3,IF($L94&lt;1,((($T94*(1-$F94)+$S94*(1-$G94))/$L94)*((1+Inputs!$D$7)^DC$2)),((INT(DC$2/$L94)-INT((DC$2-1)/$L94))*($T94*(1-$F94)+$S94*(1-$G94))*((1+Inputs!$D$7)^DC$2))),((Inputs!$D$8^((1-_xlfn.WEIBULL.DIST(DC$2,$M94,$L94,FALSE))/_xlfn.WEIBULL.DIST(DC$2,$M94,$L94,FALSE))*($T94*(1-$F94)+$S94*(1-$G94))*((1+Inputs!$D$7)^DC$2))))))))</f>
        <v>0</v>
      </c>
      <c r="DD94" s="88">
        <f>MAX(BN94,($E94*IF(DD$2&gt;Inputs!$D$5,0,IF(DD$2&gt;VLOOKUP($H94,Lists!$P$3:$Q$7,2),IF($N94=Lists!$K$3,IF($L94&lt;1,(($U94/$L94)*((1+Inputs!$D$7)^DD$2)),((INT(DD$2/$L94)-INT((DD$2-1)/$L94))*$U94*((1+Inputs!$D$7)^DD$2))),(Inputs!$D$8^((1-_xlfn.WEIBULL.DIST(DD$2,$M94,$L94,FALSE))/_xlfn.WEIBULL.DIST(DD$2,$M94,$L94,FALSE))*$U94*((1+Inputs!$D$7)^DD$2))),IF($N94=Lists!$K$3,IF($L94&lt;1,((($T94*(1-$F94)+$S94*(1-$G94))/$L94)*((1+Inputs!$D$7)^DD$2)),((INT(DD$2/$L94)-INT((DD$2-1)/$L94))*($T94*(1-$F94)+$S94*(1-$G94))*((1+Inputs!$D$7)^DD$2))),((Inputs!$D$8^((1-_xlfn.WEIBULL.DIST(DD$2,$M94,$L94,FALSE))/_xlfn.WEIBULL.DIST(DD$2,$M94,$L94,FALSE))*($T94*(1-$F94)+$S94*(1-$G94))*((1+Inputs!$D$7)^DD$2))))))))</f>
        <v>0</v>
      </c>
    </row>
    <row r="95" spans="1:108" s="1" customFormat="1" ht="16">
      <c r="A95" s="57" t="s">
        <v>8</v>
      </c>
      <c r="B95" s="13" t="s">
        <v>279</v>
      </c>
      <c r="C95" s="13" t="s">
        <v>90</v>
      </c>
      <c r="D95" s="13" t="s">
        <v>34</v>
      </c>
      <c r="E95" s="48">
        <f>IF(Inputs!$D$41=Lists!$I$4,0,1)</f>
        <v>1</v>
      </c>
      <c r="F95" s="48">
        <v>0</v>
      </c>
      <c r="G95" s="48">
        <v>0</v>
      </c>
      <c r="H95" s="105" t="s">
        <v>350</v>
      </c>
      <c r="I95" s="14" t="s">
        <v>17</v>
      </c>
      <c r="J95" s="14" t="s">
        <v>246</v>
      </c>
      <c r="K95" s="13">
        <f>VLOOKUP(J95,'Labor Rates'!$A$1:$F$16,2)</f>
        <v>33.119999999999997</v>
      </c>
      <c r="L95" s="15">
        <v>1</v>
      </c>
      <c r="M95" s="15">
        <v>1</v>
      </c>
      <c r="N95" s="13" t="s">
        <v>236</v>
      </c>
      <c r="O95" s="61">
        <f>Inputs!$D$34</f>
        <v>10</v>
      </c>
      <c r="P95" s="15">
        <v>2</v>
      </c>
      <c r="Q95" s="15">
        <f t="shared" si="14"/>
        <v>20</v>
      </c>
      <c r="R95" s="4">
        <v>0</v>
      </c>
      <c r="S95" s="53">
        <f t="shared" si="15"/>
        <v>662.4</v>
      </c>
      <c r="T95" s="53">
        <f t="shared" si="16"/>
        <v>0</v>
      </c>
      <c r="U95" s="54">
        <f t="shared" si="17"/>
        <v>662.4</v>
      </c>
      <c r="V95" s="55"/>
      <c r="W95" s="58"/>
      <c r="X95" s="64">
        <f t="shared" si="18"/>
        <v>820.82346549495776</v>
      </c>
      <c r="Y95" s="64">
        <f>NPV(Inputs!$D$6,AA95:BN95)</f>
        <v>9428.2583281501993</v>
      </c>
      <c r="Z95" s="67">
        <f t="shared" si="19"/>
        <v>4.4468269218016993E-3</v>
      </c>
      <c r="AA95" s="88">
        <f>$E95*IF(AA$2&gt;Inputs!$D$5,0,IF(AA$2&gt;VLOOKUP($H95,Lists!$P$3:$Q$7,2),IF($N95=Lists!$K$3,IF($L95&lt;1,(($U95/$L95)*((1+Inputs!$D$7)^AA$2)),((INT(AA$2/$L95)-INT((AA$2-1)/$L95))*$U95*((1+Inputs!$D$7)^AA$2))),(_xlfn.WEIBULL.DIST(AA$2,$M95,$L95,FALSE)*$U95*((1+Inputs!$D$7)^AA$2))),IF($N95=Lists!$K$3,IF($L95&lt;1,((($T95*(1-$F95)+$S95*(1-$G95))/$L95)*((1+Inputs!$D$7)^AA$2)),((INT(AA$2/$L95)-INT((AA$2-1)/$L95))*($T95*(1-$F95)+$S95*(1-$G95))*((1+Inputs!$D$7)^AA$2))),((_xlfn.WEIBULL.DIST(AA$2,$M95,$L95,FALSE)*($T95*(1-$F95)+$S95*(1-$G95))*((1+Inputs!$D$7)^AA$2))))))</f>
        <v>675.64800000000002</v>
      </c>
      <c r="AB95" s="88">
        <f>$E95*IF(AB$2&gt;Inputs!$D$5,0,IF(AB$2&gt;VLOOKUP($H95,Lists!$P$3:$Q$7,2),IF($N95=Lists!$K$3,IF($L95&lt;1,(($U95/$L95)*((1+Inputs!$D$7)^AB$2)),((INT(AB$2/$L95)-INT((AB$2-1)/$L95))*$U95*((1+Inputs!$D$7)^AB$2))),(_xlfn.WEIBULL.DIST(AB$2,$M95,$L95,FALSE)*$U95*((1+Inputs!$D$7)^AB$2))),IF($N95=Lists!$K$3,IF($L95&lt;1,((($T95*(1-$F95)+$S95*(1-$G95))/$L95)*((1+Inputs!$D$7)^AB$2)),((INT(AB$2/$L95)-INT((AB$2-1)/$L95))*($T95*(1-$F95)+$S95*(1-$G95))*((1+Inputs!$D$7)^AB$2))),((_xlfn.WEIBULL.DIST(AB$2,$M95,$L95,FALSE)*($T95*(1-$F95)+$S95*(1-$G95))*((1+Inputs!$D$7)^AB$2))))))</f>
        <v>689.16095999999993</v>
      </c>
      <c r="AC95" s="88">
        <f>$E95*IF(AC$2&gt;Inputs!$D$5,0,IF(AC$2&gt;VLOOKUP($H95,Lists!$P$3:$Q$7,2),IF($N95=Lists!$K$3,IF($L95&lt;1,(($U95/$L95)*((1+Inputs!$D$7)^AC$2)),((INT(AC$2/$L95)-INT((AC$2-1)/$L95))*$U95*((1+Inputs!$D$7)^AC$2))),(_xlfn.WEIBULL.DIST(AC$2,$M95,$L95,FALSE)*$U95*((1+Inputs!$D$7)^AC$2))),IF($N95=Lists!$K$3,IF($L95&lt;1,((($T95*(1-$F95)+$S95*(1-$G95))/$L95)*((1+Inputs!$D$7)^AC$2)),((INT(AC$2/$L95)-INT((AC$2-1)/$L95))*($T95*(1-$F95)+$S95*(1-$G95))*((1+Inputs!$D$7)^AC$2))),((_xlfn.WEIBULL.DIST(AC$2,$M95,$L95,FALSE)*($T95*(1-$F95)+$S95*(1-$G95))*((1+Inputs!$D$7)^AC$2))))))</f>
        <v>702.94417919999989</v>
      </c>
      <c r="AD95" s="88">
        <f>$E95*IF(AD$2&gt;Inputs!$D$5,0,IF(AD$2&gt;VLOOKUP($H95,Lists!$P$3:$Q$7,2),IF($N95=Lists!$K$3,IF($L95&lt;1,(($U95/$L95)*((1+Inputs!$D$7)^AD$2)),((INT(AD$2/$L95)-INT((AD$2-1)/$L95))*$U95*((1+Inputs!$D$7)^AD$2))),(_xlfn.WEIBULL.DIST(AD$2,$M95,$L95,FALSE)*$U95*((1+Inputs!$D$7)^AD$2))),IF($N95=Lists!$K$3,IF($L95&lt;1,((($T95*(1-$F95)+$S95*(1-$G95))/$L95)*((1+Inputs!$D$7)^AD$2)),((INT(AD$2/$L95)-INT((AD$2-1)/$L95))*($T95*(1-$F95)+$S95*(1-$G95))*((1+Inputs!$D$7)^AD$2))),((_xlfn.WEIBULL.DIST(AD$2,$M95,$L95,FALSE)*($T95*(1-$F95)+$S95*(1-$G95))*((1+Inputs!$D$7)^AD$2))))))</f>
        <v>717.00306278400001</v>
      </c>
      <c r="AE95" s="88">
        <f>$E95*IF(AE$2&gt;Inputs!$D$5,0,IF(AE$2&gt;VLOOKUP($H95,Lists!$P$3:$Q$7,2),IF($N95=Lists!$K$3,IF($L95&lt;1,(($U95/$L95)*((1+Inputs!$D$7)^AE$2)),((INT(AE$2/$L95)-INT((AE$2-1)/$L95))*$U95*((1+Inputs!$D$7)^AE$2))),(_xlfn.WEIBULL.DIST(AE$2,$M95,$L95,FALSE)*$U95*((1+Inputs!$D$7)^AE$2))),IF($N95=Lists!$K$3,IF($L95&lt;1,((($T95*(1-$F95)+$S95*(1-$G95))/$L95)*((1+Inputs!$D$7)^AE$2)),((INT(AE$2/$L95)-INT((AE$2-1)/$L95))*($T95*(1-$F95)+$S95*(1-$G95))*((1+Inputs!$D$7)^AE$2))),((_xlfn.WEIBULL.DIST(AE$2,$M95,$L95,FALSE)*($T95*(1-$F95)+$S95*(1-$G95))*((1+Inputs!$D$7)^AE$2))))))</f>
        <v>731.34312403967999</v>
      </c>
      <c r="AF95" s="88">
        <f>$E95*IF(AF$2&gt;Inputs!$D$5,0,IF(AF$2&gt;VLOOKUP($H95,Lists!$P$3:$Q$7,2),IF($N95=Lists!$K$3,IF($L95&lt;1,(($U95/$L95)*((1+Inputs!$D$7)^AF$2)),((INT(AF$2/$L95)-INT((AF$2-1)/$L95))*$U95*((1+Inputs!$D$7)^AF$2))),(_xlfn.WEIBULL.DIST(AF$2,$M95,$L95,FALSE)*$U95*((1+Inputs!$D$7)^AF$2))),IF($N95=Lists!$K$3,IF($L95&lt;1,((($T95*(1-$F95)+$S95*(1-$G95))/$L95)*((1+Inputs!$D$7)^AF$2)),((INT(AF$2/$L95)-INT((AF$2-1)/$L95))*($T95*(1-$F95)+$S95*(1-$G95))*((1+Inputs!$D$7)^AF$2))),((_xlfn.WEIBULL.DIST(AF$2,$M95,$L95,FALSE)*($T95*(1-$F95)+$S95*(1-$G95))*((1+Inputs!$D$7)^AF$2))))))</f>
        <v>745.96998652047364</v>
      </c>
      <c r="AG95" s="88">
        <f>$E95*IF(AG$2&gt;Inputs!$D$5,0,IF(AG$2&gt;VLOOKUP($H95,Lists!$P$3:$Q$7,2),IF($N95=Lists!$K$3,IF($L95&lt;1,(($U95/$L95)*((1+Inputs!$D$7)^AG$2)),((INT(AG$2/$L95)-INT((AG$2-1)/$L95))*$U95*((1+Inputs!$D$7)^AG$2))),(_xlfn.WEIBULL.DIST(AG$2,$M95,$L95,FALSE)*$U95*((1+Inputs!$D$7)^AG$2))),IF($N95=Lists!$K$3,IF($L95&lt;1,((($T95*(1-$F95)+$S95*(1-$G95))/$L95)*((1+Inputs!$D$7)^AG$2)),((INT(AG$2/$L95)-INT((AG$2-1)/$L95))*($T95*(1-$F95)+$S95*(1-$G95))*((1+Inputs!$D$7)^AG$2))),((_xlfn.WEIBULL.DIST(AG$2,$M95,$L95,FALSE)*($T95*(1-$F95)+$S95*(1-$G95))*((1+Inputs!$D$7)^AG$2))))))</f>
        <v>760.88938625088292</v>
      </c>
      <c r="AH95" s="88">
        <f>$E95*IF(AH$2&gt;Inputs!$D$5,0,IF(AH$2&gt;VLOOKUP($H95,Lists!$P$3:$Q$7,2),IF($N95=Lists!$K$3,IF($L95&lt;1,(($U95/$L95)*((1+Inputs!$D$7)^AH$2)),((INT(AH$2/$L95)-INT((AH$2-1)/$L95))*$U95*((1+Inputs!$D$7)^AH$2))),(_xlfn.WEIBULL.DIST(AH$2,$M95,$L95,FALSE)*$U95*((1+Inputs!$D$7)^AH$2))),IF($N95=Lists!$K$3,IF($L95&lt;1,((($T95*(1-$F95)+$S95*(1-$G95))/$L95)*((1+Inputs!$D$7)^AH$2)),((INT(AH$2/$L95)-INT((AH$2-1)/$L95))*($T95*(1-$F95)+$S95*(1-$G95))*((1+Inputs!$D$7)^AH$2))),((_xlfn.WEIBULL.DIST(AH$2,$M95,$L95,FALSE)*($T95*(1-$F95)+$S95*(1-$G95))*((1+Inputs!$D$7)^AH$2))))))</f>
        <v>776.10717397590065</v>
      </c>
      <c r="AI95" s="88">
        <f>$E95*IF(AI$2&gt;Inputs!$D$5,0,IF(AI$2&gt;VLOOKUP($H95,Lists!$P$3:$Q$7,2),IF($N95=Lists!$K$3,IF($L95&lt;1,(($U95/$L95)*((1+Inputs!$D$7)^AI$2)),((INT(AI$2/$L95)-INT((AI$2-1)/$L95))*$U95*((1+Inputs!$D$7)^AI$2))),(_xlfn.WEIBULL.DIST(AI$2,$M95,$L95,FALSE)*$U95*((1+Inputs!$D$7)^AI$2))),IF($N95=Lists!$K$3,IF($L95&lt;1,((($T95*(1-$F95)+$S95*(1-$G95))/$L95)*((1+Inputs!$D$7)^AI$2)),((INT(AI$2/$L95)-INT((AI$2-1)/$L95))*($T95*(1-$F95)+$S95*(1-$G95))*((1+Inputs!$D$7)^AI$2))),((_xlfn.WEIBULL.DIST(AI$2,$M95,$L95,FALSE)*($T95*(1-$F95)+$S95*(1-$G95))*((1+Inputs!$D$7)^AI$2))))))</f>
        <v>791.62931745541869</v>
      </c>
      <c r="AJ95" s="88">
        <f>$E95*IF(AJ$2&gt;Inputs!$D$5,0,IF(AJ$2&gt;VLOOKUP($H95,Lists!$P$3:$Q$7,2),IF($N95=Lists!$K$3,IF($L95&lt;1,(($U95/$L95)*((1+Inputs!$D$7)^AJ$2)),((INT(AJ$2/$L95)-INT((AJ$2-1)/$L95))*$U95*((1+Inputs!$D$7)^AJ$2))),(_xlfn.WEIBULL.DIST(AJ$2,$M95,$L95,FALSE)*$U95*((1+Inputs!$D$7)^AJ$2))),IF($N95=Lists!$K$3,IF($L95&lt;1,((($T95*(1-$F95)+$S95*(1-$G95))/$L95)*((1+Inputs!$D$7)^AJ$2)),((INT(AJ$2/$L95)-INT((AJ$2-1)/$L95))*($T95*(1-$F95)+$S95*(1-$G95))*((1+Inputs!$D$7)^AJ$2))),((_xlfn.WEIBULL.DIST(AJ$2,$M95,$L95,FALSE)*($T95*(1-$F95)+$S95*(1-$G95))*((1+Inputs!$D$7)^AJ$2))))))</f>
        <v>807.46190380452708</v>
      </c>
      <c r="AK95" s="88">
        <f>$E95*IF(AK$2&gt;Inputs!$D$5,0,IF(AK$2&gt;VLOOKUP($H95,Lists!$P$3:$Q$7,2),IF($N95=Lists!$K$3,IF($L95&lt;1,(($U95/$L95)*((1+Inputs!$D$7)^AK$2)),((INT(AK$2/$L95)-INT((AK$2-1)/$L95))*$U95*((1+Inputs!$D$7)^AK$2))),(_xlfn.WEIBULL.DIST(AK$2,$M95,$L95,FALSE)*$U95*((1+Inputs!$D$7)^AK$2))),IF($N95=Lists!$K$3,IF($L95&lt;1,((($T95*(1-$F95)+$S95*(1-$G95))/$L95)*((1+Inputs!$D$7)^AK$2)),((INT(AK$2/$L95)-INT((AK$2-1)/$L95))*($T95*(1-$F95)+$S95*(1-$G95))*((1+Inputs!$D$7)^AK$2))),((_xlfn.WEIBULL.DIST(AK$2,$M95,$L95,FALSE)*($T95*(1-$F95)+$S95*(1-$G95))*((1+Inputs!$D$7)^AK$2))))))</f>
        <v>823.61114188061742</v>
      </c>
      <c r="AL95" s="88">
        <f>$E95*IF(AL$2&gt;Inputs!$D$5,0,IF(AL$2&gt;VLOOKUP($H95,Lists!$P$3:$Q$7,2),IF($N95=Lists!$K$3,IF($L95&lt;1,(($U95/$L95)*((1+Inputs!$D$7)^AL$2)),((INT(AL$2/$L95)-INT((AL$2-1)/$L95))*$U95*((1+Inputs!$D$7)^AL$2))),(_xlfn.WEIBULL.DIST(AL$2,$M95,$L95,FALSE)*$U95*((1+Inputs!$D$7)^AL$2))),IF($N95=Lists!$K$3,IF($L95&lt;1,((($T95*(1-$F95)+$S95*(1-$G95))/$L95)*((1+Inputs!$D$7)^AL$2)),((INT(AL$2/$L95)-INT((AL$2-1)/$L95))*($T95*(1-$F95)+$S95*(1-$G95))*((1+Inputs!$D$7)^AL$2))),((_xlfn.WEIBULL.DIST(AL$2,$M95,$L95,FALSE)*($T95*(1-$F95)+$S95*(1-$G95))*((1+Inputs!$D$7)^AL$2))))))</f>
        <v>840.08336471822997</v>
      </c>
      <c r="AM95" s="88">
        <f>$E95*IF(AM$2&gt;Inputs!$D$5,0,IF(AM$2&gt;VLOOKUP($H95,Lists!$P$3:$Q$7,2),IF($N95=Lists!$K$3,IF($L95&lt;1,(($U95/$L95)*((1+Inputs!$D$7)^AM$2)),((INT(AM$2/$L95)-INT((AM$2-1)/$L95))*$U95*((1+Inputs!$D$7)^AM$2))),(_xlfn.WEIBULL.DIST(AM$2,$M95,$L95,FALSE)*$U95*((1+Inputs!$D$7)^AM$2))),IF($N95=Lists!$K$3,IF($L95&lt;1,((($T95*(1-$F95)+$S95*(1-$G95))/$L95)*((1+Inputs!$D$7)^AM$2)),((INT(AM$2/$L95)-INT((AM$2-1)/$L95))*($T95*(1-$F95)+$S95*(1-$G95))*((1+Inputs!$D$7)^AM$2))),((_xlfn.WEIBULL.DIST(AM$2,$M95,$L95,FALSE)*($T95*(1-$F95)+$S95*(1-$G95))*((1+Inputs!$D$7)^AM$2))))))</f>
        <v>856.88503201259448</v>
      </c>
      <c r="AN95" s="88">
        <f>$E95*IF(AN$2&gt;Inputs!$D$5,0,IF(AN$2&gt;VLOOKUP($H95,Lists!$P$3:$Q$7,2),IF($N95=Lists!$K$3,IF($L95&lt;1,(($U95/$L95)*((1+Inputs!$D$7)^AN$2)),((INT(AN$2/$L95)-INT((AN$2-1)/$L95))*$U95*((1+Inputs!$D$7)^AN$2))),(_xlfn.WEIBULL.DIST(AN$2,$M95,$L95,FALSE)*$U95*((1+Inputs!$D$7)^AN$2))),IF($N95=Lists!$K$3,IF($L95&lt;1,((($T95*(1-$F95)+$S95*(1-$G95))/$L95)*((1+Inputs!$D$7)^AN$2)),((INT(AN$2/$L95)-INT((AN$2-1)/$L95))*($T95*(1-$F95)+$S95*(1-$G95))*((1+Inputs!$D$7)^AN$2))),((_xlfn.WEIBULL.DIST(AN$2,$M95,$L95,FALSE)*($T95*(1-$F95)+$S95*(1-$G95))*((1+Inputs!$D$7)^AN$2))))))</f>
        <v>874.02273265284646</v>
      </c>
      <c r="AO95" s="88">
        <f>$E95*IF(AO$2&gt;Inputs!$D$5,0,IF(AO$2&gt;VLOOKUP($H95,Lists!$P$3:$Q$7,2),IF($N95=Lists!$K$3,IF($L95&lt;1,(($U95/$L95)*((1+Inputs!$D$7)^AO$2)),((INT(AO$2/$L95)-INT((AO$2-1)/$L95))*$U95*((1+Inputs!$D$7)^AO$2))),(_xlfn.WEIBULL.DIST(AO$2,$M95,$L95,FALSE)*$U95*((1+Inputs!$D$7)^AO$2))),IF($N95=Lists!$K$3,IF($L95&lt;1,((($T95*(1-$F95)+$S95*(1-$G95))/$L95)*((1+Inputs!$D$7)^AO$2)),((INT(AO$2/$L95)-INT((AO$2-1)/$L95))*($T95*(1-$F95)+$S95*(1-$G95))*((1+Inputs!$D$7)^AO$2))),((_xlfn.WEIBULL.DIST(AO$2,$M95,$L95,FALSE)*($T95*(1-$F95)+$S95*(1-$G95))*((1+Inputs!$D$7)^AO$2))))))</f>
        <v>891.50318730590311</v>
      </c>
      <c r="AP95" s="88">
        <f>$E95*IF(AP$2&gt;Inputs!$D$5,0,IF(AP$2&gt;VLOOKUP($H95,Lists!$P$3:$Q$7,2),IF($N95=Lists!$K$3,IF($L95&lt;1,(($U95/$L95)*((1+Inputs!$D$7)^AP$2)),((INT(AP$2/$L95)-INT((AP$2-1)/$L95))*$U95*((1+Inputs!$D$7)^AP$2))),(_xlfn.WEIBULL.DIST(AP$2,$M95,$L95,FALSE)*$U95*((1+Inputs!$D$7)^AP$2))),IF($N95=Lists!$K$3,IF($L95&lt;1,((($T95*(1-$F95)+$S95*(1-$G95))/$L95)*((1+Inputs!$D$7)^AP$2)),((INT(AP$2/$L95)-INT((AP$2-1)/$L95))*($T95*(1-$F95)+$S95*(1-$G95))*((1+Inputs!$D$7)^AP$2))),((_xlfn.WEIBULL.DIST(AP$2,$M95,$L95,FALSE)*($T95*(1-$F95)+$S95*(1-$G95))*((1+Inputs!$D$7)^AP$2))))))</f>
        <v>909.33325105202141</v>
      </c>
      <c r="AQ95" s="88">
        <f>$E95*IF(AQ$2&gt;Inputs!$D$5,0,IF(AQ$2&gt;VLOOKUP($H95,Lists!$P$3:$Q$7,2),IF($N95=Lists!$K$3,IF($L95&lt;1,(($U95/$L95)*((1+Inputs!$D$7)^AQ$2)),((INT(AQ$2/$L95)-INT((AQ$2-1)/$L95))*$U95*((1+Inputs!$D$7)^AQ$2))),(_xlfn.WEIBULL.DIST(AQ$2,$M95,$L95,FALSE)*$U95*((1+Inputs!$D$7)^AQ$2))),IF($N95=Lists!$K$3,IF($L95&lt;1,((($T95*(1-$F95)+$S95*(1-$G95))/$L95)*((1+Inputs!$D$7)^AQ$2)),((INT(AQ$2/$L95)-INT((AQ$2-1)/$L95))*($T95*(1-$F95)+$S95*(1-$G95))*((1+Inputs!$D$7)^AQ$2))),((_xlfn.WEIBULL.DIST(AQ$2,$M95,$L95,FALSE)*($T95*(1-$F95)+$S95*(1-$G95))*((1+Inputs!$D$7)^AQ$2))))))</f>
        <v>927.51991607306184</v>
      </c>
      <c r="AR95" s="88">
        <f>$E95*IF(AR$2&gt;Inputs!$D$5,0,IF(AR$2&gt;VLOOKUP($H95,Lists!$P$3:$Q$7,2),IF($N95=Lists!$K$3,IF($L95&lt;1,(($U95/$L95)*((1+Inputs!$D$7)^AR$2)),((INT(AR$2/$L95)-INT((AR$2-1)/$L95))*$U95*((1+Inputs!$D$7)^AR$2))),(_xlfn.WEIBULL.DIST(AR$2,$M95,$L95,FALSE)*$U95*((1+Inputs!$D$7)^AR$2))),IF($N95=Lists!$K$3,IF($L95&lt;1,((($T95*(1-$F95)+$S95*(1-$G95))/$L95)*((1+Inputs!$D$7)^AR$2)),((INT(AR$2/$L95)-INT((AR$2-1)/$L95))*($T95*(1-$F95)+$S95*(1-$G95))*((1+Inputs!$D$7)^AR$2))),((_xlfn.WEIBULL.DIST(AR$2,$M95,$L95,FALSE)*($T95*(1-$F95)+$S95*(1-$G95))*((1+Inputs!$D$7)^AR$2))))))</f>
        <v>946.07031439452305</v>
      </c>
      <c r="AS95" s="88">
        <f>$E95*IF(AS$2&gt;Inputs!$D$5,0,IF(AS$2&gt;VLOOKUP($H95,Lists!$P$3:$Q$7,2),IF($N95=Lists!$K$3,IF($L95&lt;1,(($U95/$L95)*((1+Inputs!$D$7)^AS$2)),((INT(AS$2/$L95)-INT((AS$2-1)/$L95))*$U95*((1+Inputs!$D$7)^AS$2))),(_xlfn.WEIBULL.DIST(AS$2,$M95,$L95,FALSE)*$U95*((1+Inputs!$D$7)^AS$2))),IF($N95=Lists!$K$3,IF($L95&lt;1,((($T95*(1-$F95)+$S95*(1-$G95))/$L95)*((1+Inputs!$D$7)^AS$2)),((INT(AS$2/$L95)-INT((AS$2-1)/$L95))*($T95*(1-$F95)+$S95*(1-$G95))*((1+Inputs!$D$7)^AS$2))),((_xlfn.WEIBULL.DIST(AS$2,$M95,$L95,FALSE)*($T95*(1-$F95)+$S95*(1-$G95))*((1+Inputs!$D$7)^AS$2))))))</f>
        <v>964.99172068241342</v>
      </c>
      <c r="AT95" s="88">
        <f>$E95*IF(AT$2&gt;Inputs!$D$5,0,IF(AT$2&gt;VLOOKUP($H95,Lists!$P$3:$Q$7,2),IF($N95=Lists!$K$3,IF($L95&lt;1,(($U95/$L95)*((1+Inputs!$D$7)^AT$2)),((INT(AT$2/$L95)-INT((AT$2-1)/$L95))*$U95*((1+Inputs!$D$7)^AT$2))),(_xlfn.WEIBULL.DIST(AT$2,$M95,$L95,FALSE)*$U95*((1+Inputs!$D$7)^AT$2))),IF($N95=Lists!$K$3,IF($L95&lt;1,((($T95*(1-$F95)+$S95*(1-$G95))/$L95)*((1+Inputs!$D$7)^AT$2)),((INT(AT$2/$L95)-INT((AT$2-1)/$L95))*($T95*(1-$F95)+$S95*(1-$G95))*((1+Inputs!$D$7)^AT$2))),((_xlfn.WEIBULL.DIST(AT$2,$M95,$L95,FALSE)*($T95*(1-$F95)+$S95*(1-$G95))*((1+Inputs!$D$7)^AT$2))))))</f>
        <v>984.29155509606176</v>
      </c>
      <c r="AU95" s="88">
        <f>$E95*IF(AU$2&gt;Inputs!$D$5,0,IF(AU$2&gt;VLOOKUP($H95,Lists!$P$3:$Q$7,2),IF($N95=Lists!$K$3,IF($L95&lt;1,(($U95/$L95)*((1+Inputs!$D$7)^AU$2)),((INT(AU$2/$L95)-INT((AU$2-1)/$L95))*$U95*((1+Inputs!$D$7)^AU$2))),(_xlfn.WEIBULL.DIST(AU$2,$M95,$L95,FALSE)*$U95*((1+Inputs!$D$7)^AU$2))),IF($N95=Lists!$K$3,IF($L95&lt;1,((($T95*(1-$F95)+$S95*(1-$G95))/$L95)*((1+Inputs!$D$7)^AU$2)),((INT(AU$2/$L95)-INT((AU$2-1)/$L95))*($T95*(1-$F95)+$S95*(1-$G95))*((1+Inputs!$D$7)^AU$2))),((_xlfn.WEIBULL.DIST(AU$2,$M95,$L95,FALSE)*($T95*(1-$F95)+$S95*(1-$G95))*((1+Inputs!$D$7)^AU$2))))))</f>
        <v>1003.9773861979829</v>
      </c>
      <c r="AV95" s="88">
        <f>$E95*IF(AV$2&gt;Inputs!$D$5,0,IF(AV$2&gt;VLOOKUP($H95,Lists!$P$3:$Q$7,2),IF($N95=Lists!$K$3,IF($L95&lt;1,(($U95/$L95)*((1+Inputs!$D$7)^AV$2)),((INT(AV$2/$L95)-INT((AV$2-1)/$L95))*$U95*((1+Inputs!$D$7)^AV$2))),(_xlfn.WEIBULL.DIST(AV$2,$M95,$L95,FALSE)*$U95*((1+Inputs!$D$7)^AV$2))),IF($N95=Lists!$K$3,IF($L95&lt;1,((($T95*(1-$F95)+$S95*(1-$G95))/$L95)*((1+Inputs!$D$7)^AV$2)),((INT(AV$2/$L95)-INT((AV$2-1)/$L95))*($T95*(1-$F95)+$S95*(1-$G95))*((1+Inputs!$D$7)^AV$2))),((_xlfn.WEIBULL.DIST(AV$2,$M95,$L95,FALSE)*($T95*(1-$F95)+$S95*(1-$G95))*((1+Inputs!$D$7)^AV$2))))))</f>
        <v>1024.0569339219428</v>
      </c>
      <c r="AW95" s="88">
        <f>$E95*IF(AW$2&gt;Inputs!$D$5,0,IF(AW$2&gt;VLOOKUP($H95,Lists!$P$3:$Q$7,2),IF($N95=Lists!$K$3,IF($L95&lt;1,(($U95/$L95)*((1+Inputs!$D$7)^AW$2)),((INT(AW$2/$L95)-INT((AW$2-1)/$L95))*$U95*((1+Inputs!$D$7)^AW$2))),(_xlfn.WEIBULL.DIST(AW$2,$M95,$L95,FALSE)*$U95*((1+Inputs!$D$7)^AW$2))),IF($N95=Lists!$K$3,IF($L95&lt;1,((($T95*(1-$F95)+$S95*(1-$G95))/$L95)*((1+Inputs!$D$7)^AW$2)),((INT(AW$2/$L95)-INT((AW$2-1)/$L95))*($T95*(1-$F95)+$S95*(1-$G95))*((1+Inputs!$D$7)^AW$2))),((_xlfn.WEIBULL.DIST(AW$2,$M95,$L95,FALSE)*($T95*(1-$F95)+$S95*(1-$G95))*((1+Inputs!$D$7)^AW$2))))))</f>
        <v>1044.5380726003814</v>
      </c>
      <c r="AX95" s="88">
        <f>$E95*IF(AX$2&gt;Inputs!$D$5,0,IF(AX$2&gt;VLOOKUP($H95,Lists!$P$3:$Q$7,2),IF($N95=Lists!$K$3,IF($L95&lt;1,(($U95/$L95)*((1+Inputs!$D$7)^AX$2)),((INT(AX$2/$L95)-INT((AX$2-1)/$L95))*$U95*((1+Inputs!$D$7)^AX$2))),(_xlfn.WEIBULL.DIST(AX$2,$M95,$L95,FALSE)*$U95*((1+Inputs!$D$7)^AX$2))),IF($N95=Lists!$K$3,IF($L95&lt;1,((($T95*(1-$F95)+$S95*(1-$G95))/$L95)*((1+Inputs!$D$7)^AX$2)),((INT(AX$2/$L95)-INT((AX$2-1)/$L95))*($T95*(1-$F95)+$S95*(1-$G95))*((1+Inputs!$D$7)^AX$2))),((_xlfn.WEIBULL.DIST(AX$2,$M95,$L95,FALSE)*($T95*(1-$F95)+$S95*(1-$G95))*((1+Inputs!$D$7)^AX$2))))))</f>
        <v>1065.428834052389</v>
      </c>
      <c r="AY95" s="88">
        <f>$E95*IF(AY$2&gt;Inputs!$D$5,0,IF(AY$2&gt;VLOOKUP($H95,Lists!$P$3:$Q$7,2),IF($N95=Lists!$K$3,IF($L95&lt;1,(($U95/$L95)*((1+Inputs!$D$7)^AY$2)),((INT(AY$2/$L95)-INT((AY$2-1)/$L95))*$U95*((1+Inputs!$D$7)^AY$2))),(_xlfn.WEIBULL.DIST(AY$2,$M95,$L95,FALSE)*$U95*((1+Inputs!$D$7)^AY$2))),IF($N95=Lists!$K$3,IF($L95&lt;1,((($T95*(1-$F95)+$S95*(1-$G95))/$L95)*((1+Inputs!$D$7)^AY$2)),((INT(AY$2/$L95)-INT((AY$2-1)/$L95))*($T95*(1-$F95)+$S95*(1-$G95))*((1+Inputs!$D$7)^AY$2))),((_xlfn.WEIBULL.DIST(AY$2,$M95,$L95,FALSE)*($T95*(1-$F95)+$S95*(1-$G95))*((1+Inputs!$D$7)^AY$2))))))</f>
        <v>1086.7374107334367</v>
      </c>
      <c r="AZ95" s="88">
        <f>$E95*IF(AZ$2&gt;Inputs!$D$5,0,IF(AZ$2&gt;VLOOKUP($H95,Lists!$P$3:$Q$7,2),IF($N95=Lists!$K$3,IF($L95&lt;1,(($U95/$L95)*((1+Inputs!$D$7)^AZ$2)),((INT(AZ$2/$L95)-INT((AZ$2-1)/$L95))*$U95*((1+Inputs!$D$7)^AZ$2))),(_xlfn.WEIBULL.DIST(AZ$2,$M95,$L95,FALSE)*$U95*((1+Inputs!$D$7)^AZ$2))),IF($N95=Lists!$K$3,IF($L95&lt;1,((($T95*(1-$F95)+$S95*(1-$G95))/$L95)*((1+Inputs!$D$7)^AZ$2)),((INT(AZ$2/$L95)-INT((AZ$2-1)/$L95))*($T95*(1-$F95)+$S95*(1-$G95))*((1+Inputs!$D$7)^AZ$2))),((_xlfn.WEIBULL.DIST(AZ$2,$M95,$L95,FALSE)*($T95*(1-$F95)+$S95*(1-$G95))*((1+Inputs!$D$7)^AZ$2))))))</f>
        <v>0</v>
      </c>
      <c r="BA95" s="88">
        <f>$E95*IF(BA$2&gt;Inputs!$D$5,0,IF(BA$2&gt;VLOOKUP($H95,Lists!$P$3:$Q$7,2),IF($N95=Lists!$K$3,IF($L95&lt;1,(($U95/$L95)*((1+Inputs!$D$7)^BA$2)),((INT(BA$2/$L95)-INT((BA$2-1)/$L95))*$U95*((1+Inputs!$D$7)^BA$2))),(_xlfn.WEIBULL.DIST(BA$2,$M95,$L95,FALSE)*$U95*((1+Inputs!$D$7)^BA$2))),IF($N95=Lists!$K$3,IF($L95&lt;1,((($T95*(1-$F95)+$S95*(1-$G95))/$L95)*((1+Inputs!$D$7)^BA$2)),((INT(BA$2/$L95)-INT((BA$2-1)/$L95))*($T95*(1-$F95)+$S95*(1-$G95))*((1+Inputs!$D$7)^BA$2))),((_xlfn.WEIBULL.DIST(BA$2,$M95,$L95,FALSE)*($T95*(1-$F95)+$S95*(1-$G95))*((1+Inputs!$D$7)^BA$2))))))</f>
        <v>0</v>
      </c>
      <c r="BB95" s="88">
        <f>$E95*IF(BB$2&gt;Inputs!$D$5,0,IF(BB$2&gt;VLOOKUP($H95,Lists!$P$3:$Q$7,2),IF($N95=Lists!$K$3,IF($L95&lt;1,(($U95/$L95)*((1+Inputs!$D$7)^BB$2)),((INT(BB$2/$L95)-INT((BB$2-1)/$L95))*$U95*((1+Inputs!$D$7)^BB$2))),(_xlfn.WEIBULL.DIST(BB$2,$M95,$L95,FALSE)*$U95*((1+Inputs!$D$7)^BB$2))),IF($N95=Lists!$K$3,IF($L95&lt;1,((($T95*(1-$F95)+$S95*(1-$G95))/$L95)*((1+Inputs!$D$7)^BB$2)),((INT(BB$2/$L95)-INT((BB$2-1)/$L95))*($T95*(1-$F95)+$S95*(1-$G95))*((1+Inputs!$D$7)^BB$2))),((_xlfn.WEIBULL.DIST(BB$2,$M95,$L95,FALSE)*($T95*(1-$F95)+$S95*(1-$G95))*((1+Inputs!$D$7)^BB$2))))))</f>
        <v>0</v>
      </c>
      <c r="BC95" s="88">
        <f>$E95*IF(BC$2&gt;Inputs!$D$5,0,IF(BC$2&gt;VLOOKUP($H95,Lists!$P$3:$Q$7,2),IF($N95=Lists!$K$3,IF($L95&lt;1,(($U95/$L95)*((1+Inputs!$D$7)^BC$2)),((INT(BC$2/$L95)-INT((BC$2-1)/$L95))*$U95*((1+Inputs!$D$7)^BC$2))),(_xlfn.WEIBULL.DIST(BC$2,$M95,$L95,FALSE)*$U95*((1+Inputs!$D$7)^BC$2))),IF($N95=Lists!$K$3,IF($L95&lt;1,((($T95*(1-$F95)+$S95*(1-$G95))/$L95)*((1+Inputs!$D$7)^BC$2)),((INT(BC$2/$L95)-INT((BC$2-1)/$L95))*($T95*(1-$F95)+$S95*(1-$G95))*((1+Inputs!$D$7)^BC$2))),((_xlfn.WEIBULL.DIST(BC$2,$M95,$L95,FALSE)*($T95*(1-$F95)+$S95*(1-$G95))*((1+Inputs!$D$7)^BC$2))))))</f>
        <v>0</v>
      </c>
      <c r="BD95" s="88">
        <f>$E95*IF(BD$2&gt;Inputs!$D$5,0,IF(BD$2&gt;VLOOKUP($H95,Lists!$P$3:$Q$7,2),IF($N95=Lists!$K$3,IF($L95&lt;1,(($U95/$L95)*((1+Inputs!$D$7)^BD$2)),((INT(BD$2/$L95)-INT((BD$2-1)/$L95))*$U95*((1+Inputs!$D$7)^BD$2))),(_xlfn.WEIBULL.DIST(BD$2,$M95,$L95,FALSE)*$U95*((1+Inputs!$D$7)^BD$2))),IF($N95=Lists!$K$3,IF($L95&lt;1,((($T95*(1-$F95)+$S95*(1-$G95))/$L95)*((1+Inputs!$D$7)^BD$2)),((INT(BD$2/$L95)-INT((BD$2-1)/$L95))*($T95*(1-$F95)+$S95*(1-$G95))*((1+Inputs!$D$7)^BD$2))),((_xlfn.WEIBULL.DIST(BD$2,$M95,$L95,FALSE)*($T95*(1-$F95)+$S95*(1-$G95))*((1+Inputs!$D$7)^BD$2))))))</f>
        <v>0</v>
      </c>
      <c r="BE95" s="88">
        <f>$E95*IF(BE$2&gt;Inputs!$D$5,0,IF(BE$2&gt;VLOOKUP($H95,Lists!$P$3:$Q$7,2),IF($N95=Lists!$K$3,IF($L95&lt;1,(($U95/$L95)*((1+Inputs!$D$7)^BE$2)),((INT(BE$2/$L95)-INT((BE$2-1)/$L95))*$U95*((1+Inputs!$D$7)^BE$2))),(_xlfn.WEIBULL.DIST(BE$2,$M95,$L95,FALSE)*$U95*((1+Inputs!$D$7)^BE$2))),IF($N95=Lists!$K$3,IF($L95&lt;1,((($T95*(1-$F95)+$S95*(1-$G95))/$L95)*((1+Inputs!$D$7)^BE$2)),((INT(BE$2/$L95)-INT((BE$2-1)/$L95))*($T95*(1-$F95)+$S95*(1-$G95))*((1+Inputs!$D$7)^BE$2))),((_xlfn.WEIBULL.DIST(BE$2,$M95,$L95,FALSE)*($T95*(1-$F95)+$S95*(1-$G95))*((1+Inputs!$D$7)^BE$2))))))</f>
        <v>0</v>
      </c>
      <c r="BF95" s="88">
        <f>$E95*IF(BF$2&gt;Inputs!$D$5,0,IF(BF$2&gt;VLOOKUP($H95,Lists!$P$3:$Q$7,2),IF($N95=Lists!$K$3,IF($L95&lt;1,(($U95/$L95)*((1+Inputs!$D$7)^BF$2)),((INT(BF$2/$L95)-INT((BF$2-1)/$L95))*$U95*((1+Inputs!$D$7)^BF$2))),(_xlfn.WEIBULL.DIST(BF$2,$M95,$L95,FALSE)*$U95*((1+Inputs!$D$7)^BF$2))),IF($N95=Lists!$K$3,IF($L95&lt;1,((($T95*(1-$F95)+$S95*(1-$G95))/$L95)*((1+Inputs!$D$7)^BF$2)),((INT(BF$2/$L95)-INT((BF$2-1)/$L95))*($T95*(1-$F95)+$S95*(1-$G95))*((1+Inputs!$D$7)^BF$2))),((_xlfn.WEIBULL.DIST(BF$2,$M95,$L95,FALSE)*($T95*(1-$F95)+$S95*(1-$G95))*((1+Inputs!$D$7)^BF$2))))))</f>
        <v>0</v>
      </c>
      <c r="BG95" s="88">
        <f>$E95*IF(BG$2&gt;Inputs!$D$5,0,IF(BG$2&gt;VLOOKUP($H95,Lists!$P$3:$Q$7,2),IF($N95=Lists!$K$3,IF($L95&lt;1,(($U95/$L95)*((1+Inputs!$D$7)^BG$2)),((INT(BG$2/$L95)-INT((BG$2-1)/$L95))*$U95*((1+Inputs!$D$7)^BG$2))),(_xlfn.WEIBULL.DIST(BG$2,$M95,$L95,FALSE)*$U95*((1+Inputs!$D$7)^BG$2))),IF($N95=Lists!$K$3,IF($L95&lt;1,((($T95*(1-$F95)+$S95*(1-$G95))/$L95)*((1+Inputs!$D$7)^BG$2)),((INT(BG$2/$L95)-INT((BG$2-1)/$L95))*($T95*(1-$F95)+$S95*(1-$G95))*((1+Inputs!$D$7)^BG$2))),((_xlfn.WEIBULL.DIST(BG$2,$M95,$L95,FALSE)*($T95*(1-$F95)+$S95*(1-$G95))*((1+Inputs!$D$7)^BG$2))))))</f>
        <v>0</v>
      </c>
      <c r="BH95" s="88">
        <f>$E95*IF(BH$2&gt;Inputs!$D$5,0,IF(BH$2&gt;VLOOKUP($H95,Lists!$P$3:$Q$7,2),IF($N95=Lists!$K$3,IF($L95&lt;1,(($U95/$L95)*((1+Inputs!$D$7)^BH$2)),((INT(BH$2/$L95)-INT((BH$2-1)/$L95))*$U95*((1+Inputs!$D$7)^BH$2))),(_xlfn.WEIBULL.DIST(BH$2,$M95,$L95,FALSE)*$U95*((1+Inputs!$D$7)^BH$2))),IF($N95=Lists!$K$3,IF($L95&lt;1,((($T95*(1-$F95)+$S95*(1-$G95))/$L95)*((1+Inputs!$D$7)^BH$2)),((INT(BH$2/$L95)-INT((BH$2-1)/$L95))*($T95*(1-$F95)+$S95*(1-$G95))*((1+Inputs!$D$7)^BH$2))),((_xlfn.WEIBULL.DIST(BH$2,$M95,$L95,FALSE)*($T95*(1-$F95)+$S95*(1-$G95))*((1+Inputs!$D$7)^BH$2))))))</f>
        <v>0</v>
      </c>
      <c r="BI95" s="88">
        <f>$E95*IF(BI$2&gt;Inputs!$D$5,0,IF(BI$2&gt;VLOOKUP($H95,Lists!$P$3:$Q$7,2),IF($N95=Lists!$K$3,IF($L95&lt;1,(($U95/$L95)*((1+Inputs!$D$7)^BI$2)),((INT(BI$2/$L95)-INT((BI$2-1)/$L95))*$U95*((1+Inputs!$D$7)^BI$2))),(_xlfn.WEIBULL.DIST(BI$2,$M95,$L95,FALSE)*$U95*((1+Inputs!$D$7)^BI$2))),IF($N95=Lists!$K$3,IF($L95&lt;1,((($T95*(1-$F95)+$S95*(1-$G95))/$L95)*((1+Inputs!$D$7)^BI$2)),((INT(BI$2/$L95)-INT((BI$2-1)/$L95))*($T95*(1-$F95)+$S95*(1-$G95))*((1+Inputs!$D$7)^BI$2))),((_xlfn.WEIBULL.DIST(BI$2,$M95,$L95,FALSE)*($T95*(1-$F95)+$S95*(1-$G95))*((1+Inputs!$D$7)^BI$2))))))</f>
        <v>0</v>
      </c>
      <c r="BJ95" s="88">
        <f>$E95*IF(BJ$2&gt;Inputs!$D$5,0,IF(BJ$2&gt;VLOOKUP($H95,Lists!$P$3:$Q$7,2),IF($N95=Lists!$K$3,IF($L95&lt;1,(($U95/$L95)*((1+Inputs!$D$7)^BJ$2)),((INT(BJ$2/$L95)-INT((BJ$2-1)/$L95))*$U95*((1+Inputs!$D$7)^BJ$2))),(_xlfn.WEIBULL.DIST(BJ$2,$M95,$L95,FALSE)*$U95*((1+Inputs!$D$7)^BJ$2))),IF($N95=Lists!$K$3,IF($L95&lt;1,((($T95*(1-$F95)+$S95*(1-$G95))/$L95)*((1+Inputs!$D$7)^BJ$2)),((INT(BJ$2/$L95)-INT((BJ$2-1)/$L95))*($T95*(1-$F95)+$S95*(1-$G95))*((1+Inputs!$D$7)^BJ$2))),((_xlfn.WEIBULL.DIST(BJ$2,$M95,$L95,FALSE)*($T95*(1-$F95)+$S95*(1-$G95))*((1+Inputs!$D$7)^BJ$2))))))</f>
        <v>0</v>
      </c>
      <c r="BK95" s="88">
        <f>$E95*IF(BK$2&gt;Inputs!$D$5,0,IF(BK$2&gt;VLOOKUP($H95,Lists!$P$3:$Q$7,2),IF($N95=Lists!$K$3,IF($L95&lt;1,(($U95/$L95)*((1+Inputs!$D$7)^BK$2)),((INT(BK$2/$L95)-INT((BK$2-1)/$L95))*$U95*((1+Inputs!$D$7)^BK$2))),(_xlfn.WEIBULL.DIST(BK$2,$M95,$L95,FALSE)*$U95*((1+Inputs!$D$7)^BK$2))),IF($N95=Lists!$K$3,IF($L95&lt;1,((($T95*(1-$F95)+$S95*(1-$G95))/$L95)*((1+Inputs!$D$7)^BK$2)),((INT(BK$2/$L95)-INT((BK$2-1)/$L95))*($T95*(1-$F95)+$S95*(1-$G95))*((1+Inputs!$D$7)^BK$2))),((_xlfn.WEIBULL.DIST(BK$2,$M95,$L95,FALSE)*($T95*(1-$F95)+$S95*(1-$G95))*((1+Inputs!$D$7)^BK$2))))))</f>
        <v>0</v>
      </c>
      <c r="BL95" s="88">
        <f>$E95*IF(BL$2&gt;Inputs!$D$5,0,IF(BL$2&gt;VLOOKUP($H95,Lists!$P$3:$Q$7,2),IF($N95=Lists!$K$3,IF($L95&lt;1,(($U95/$L95)*((1+Inputs!$D$7)^BL$2)),((INT(BL$2/$L95)-INT((BL$2-1)/$L95))*$U95*((1+Inputs!$D$7)^BL$2))),(_xlfn.WEIBULL.DIST(BL$2,$M95,$L95,FALSE)*$U95*((1+Inputs!$D$7)^BL$2))),IF($N95=Lists!$K$3,IF($L95&lt;1,((($T95*(1-$F95)+$S95*(1-$G95))/$L95)*((1+Inputs!$D$7)^BL$2)),((INT(BL$2/$L95)-INT((BL$2-1)/$L95))*($T95*(1-$F95)+$S95*(1-$G95))*((1+Inputs!$D$7)^BL$2))),((_xlfn.WEIBULL.DIST(BL$2,$M95,$L95,FALSE)*($T95*(1-$F95)+$S95*(1-$G95))*((1+Inputs!$D$7)^BL$2))))))</f>
        <v>0</v>
      </c>
      <c r="BM95" s="88">
        <f>$E95*IF(BM$2&gt;Inputs!$D$5,0,IF(BM$2&gt;VLOOKUP($H95,Lists!$P$3:$Q$7,2),IF($N95=Lists!$K$3,IF($L95&lt;1,(($U95/$L95)*((1+Inputs!$D$7)^BM$2)),((INT(BM$2/$L95)-INT((BM$2-1)/$L95))*$U95*((1+Inputs!$D$7)^BM$2))),(_xlfn.WEIBULL.DIST(BM$2,$M95,$L95,FALSE)*$U95*((1+Inputs!$D$7)^BM$2))),IF($N95=Lists!$K$3,IF($L95&lt;1,((($T95*(1-$F95)+$S95*(1-$G95))/$L95)*((1+Inputs!$D$7)^BM$2)),((INT(BM$2/$L95)-INT((BM$2-1)/$L95))*($T95*(1-$F95)+$S95*(1-$G95))*((1+Inputs!$D$7)^BM$2))),((_xlfn.WEIBULL.DIST(BM$2,$M95,$L95,FALSE)*($T95*(1-$F95)+$S95*(1-$G95))*((1+Inputs!$D$7)^BM$2))))))</f>
        <v>0</v>
      </c>
      <c r="BN95" s="88">
        <f>$E95*IF(BN$2&gt;Inputs!$D$5,0,IF(BN$2&gt;VLOOKUP($H95,Lists!$P$3:$Q$7,2),IF($N95=Lists!$K$3,IF($L95&lt;1,(($U95/$L95)*((1+Inputs!$D$7)^BN$2)),((INT(BN$2/$L95)-INT((BN$2-1)/$L95))*$U95*((1+Inputs!$D$7)^BN$2))),(_xlfn.WEIBULL.DIST(BN$2,$M95,$L95,FALSE)*$U95*((1+Inputs!$D$7)^BN$2))),IF($N95=Lists!$K$3,IF($L95&lt;1,((($T95*(1-$F95)+$S95*(1-$G95))/$L95)*((1+Inputs!$D$7)^BN$2)),((INT(BN$2/$L95)-INT((BN$2-1)/$L95))*($T95*(1-$F95)+$S95*(1-$G95))*((1+Inputs!$D$7)^BN$2))),((_xlfn.WEIBULL.DIST(BN$2,$M95,$L95,FALSE)*($T95*(1-$F95)+$S95*(1-$G95))*((1+Inputs!$D$7)^BN$2))))))</f>
        <v>0</v>
      </c>
      <c r="BO95" s="64">
        <f>NPV(Inputs!$D$6,BQ95:DD95)</f>
        <v>9428.2583281501993</v>
      </c>
      <c r="BP95" s="67">
        <f t="shared" si="20"/>
        <v>4.4468269218016993E-3</v>
      </c>
      <c r="BQ95" s="88">
        <f>MAX(AA95,($E95*IF(BQ$2&gt;Inputs!$D$5,0,IF(BQ$2&gt;VLOOKUP($H95,Lists!$P$3:$Q$7,2),IF($N95=Lists!$K$3,IF($L95&lt;1,(($U95/$L95)*((1+Inputs!$D$7)^BQ$2)),((INT(BQ$2/$L95)-INT((BQ$2-1)/$L95))*$U95*((1+Inputs!$D$7)^BQ$2))),(Inputs!$D$8^((1-_xlfn.WEIBULL.DIST(BQ$2,$M95,$L95,FALSE))/_xlfn.WEIBULL.DIST(BQ$2,$M95,$L95,FALSE))*$U95*((1+Inputs!$D$7)^BQ$2))),IF($N95=Lists!$K$3,IF($L95&lt;1,((($T95*(1-$F95)+$S95*(1-$G95))/$L95)*((1+Inputs!$D$7)^BQ$2)),((INT(BQ$2/$L95)-INT((BQ$2-1)/$L95))*($T95*(1-$F95)+$S95*(1-$G95))*((1+Inputs!$D$7)^BQ$2))),((Inputs!$D$8^((1-_xlfn.WEIBULL.DIST(BQ$2,$M95,$L95,FALSE))/_xlfn.WEIBULL.DIST(BQ$2,$M95,$L95,FALSE))*($T95*(1-$F95)+$S95*(1-$G95))*((1+Inputs!$D$7)^BQ$2))))))))</f>
        <v>675.64800000000002</v>
      </c>
      <c r="BR95" s="88">
        <f>MAX(AB95,($E95*IF(BR$2&gt;Inputs!$D$5,0,IF(BR$2&gt;VLOOKUP($H95,Lists!$P$3:$Q$7,2),IF($N95=Lists!$K$3,IF($L95&lt;1,(($U95/$L95)*((1+Inputs!$D$7)^BR$2)),((INT(BR$2/$L95)-INT((BR$2-1)/$L95))*$U95*((1+Inputs!$D$7)^BR$2))),(Inputs!$D$8^((1-_xlfn.WEIBULL.DIST(BR$2,$M95,$L95,FALSE))/_xlfn.WEIBULL.DIST(BR$2,$M95,$L95,FALSE))*$U95*((1+Inputs!$D$7)^BR$2))),IF($N95=Lists!$K$3,IF($L95&lt;1,((($T95*(1-$F95)+$S95*(1-$G95))/$L95)*((1+Inputs!$D$7)^BR$2)),((INT(BR$2/$L95)-INT((BR$2-1)/$L95))*($T95*(1-$F95)+$S95*(1-$G95))*((1+Inputs!$D$7)^BR$2))),((Inputs!$D$8^((1-_xlfn.WEIBULL.DIST(BR$2,$M95,$L95,FALSE))/_xlfn.WEIBULL.DIST(BR$2,$M95,$L95,FALSE))*($T95*(1-$F95)+$S95*(1-$G95))*((1+Inputs!$D$7)^BR$2))))))))</f>
        <v>689.16095999999993</v>
      </c>
      <c r="BS95" s="88">
        <f>MAX(AC95,($E95*IF(BS$2&gt;Inputs!$D$5,0,IF(BS$2&gt;VLOOKUP($H95,Lists!$P$3:$Q$7,2),IF($N95=Lists!$K$3,IF($L95&lt;1,(($U95/$L95)*((1+Inputs!$D$7)^BS$2)),((INT(BS$2/$L95)-INT((BS$2-1)/$L95))*$U95*((1+Inputs!$D$7)^BS$2))),(Inputs!$D$8^((1-_xlfn.WEIBULL.DIST(BS$2,$M95,$L95,FALSE))/_xlfn.WEIBULL.DIST(BS$2,$M95,$L95,FALSE))*$U95*((1+Inputs!$D$7)^BS$2))),IF($N95=Lists!$K$3,IF($L95&lt;1,((($T95*(1-$F95)+$S95*(1-$G95))/$L95)*((1+Inputs!$D$7)^BS$2)),((INT(BS$2/$L95)-INT((BS$2-1)/$L95))*($T95*(1-$F95)+$S95*(1-$G95))*((1+Inputs!$D$7)^BS$2))),((Inputs!$D$8^((1-_xlfn.WEIBULL.DIST(BS$2,$M95,$L95,FALSE))/_xlfn.WEIBULL.DIST(BS$2,$M95,$L95,FALSE))*($T95*(1-$F95)+$S95*(1-$G95))*((1+Inputs!$D$7)^BS$2))))))))</f>
        <v>702.94417919999989</v>
      </c>
      <c r="BT95" s="88">
        <f>MAX(AD95,($E95*IF(BT$2&gt;Inputs!$D$5,0,IF(BT$2&gt;VLOOKUP($H95,Lists!$P$3:$Q$7,2),IF($N95=Lists!$K$3,IF($L95&lt;1,(($U95/$L95)*((1+Inputs!$D$7)^BT$2)),((INT(BT$2/$L95)-INT((BT$2-1)/$L95))*$U95*((1+Inputs!$D$7)^BT$2))),(Inputs!$D$8^((1-_xlfn.WEIBULL.DIST(BT$2,$M95,$L95,FALSE))/_xlfn.WEIBULL.DIST(BT$2,$M95,$L95,FALSE))*$U95*((1+Inputs!$D$7)^BT$2))),IF($N95=Lists!$K$3,IF($L95&lt;1,((($T95*(1-$F95)+$S95*(1-$G95))/$L95)*((1+Inputs!$D$7)^BT$2)),((INT(BT$2/$L95)-INT((BT$2-1)/$L95))*($T95*(1-$F95)+$S95*(1-$G95))*((1+Inputs!$D$7)^BT$2))),((Inputs!$D$8^((1-_xlfn.WEIBULL.DIST(BT$2,$M95,$L95,FALSE))/_xlfn.WEIBULL.DIST(BT$2,$M95,$L95,FALSE))*($T95*(1-$F95)+$S95*(1-$G95))*((1+Inputs!$D$7)^BT$2))))))))</f>
        <v>717.00306278400001</v>
      </c>
      <c r="BU95" s="88">
        <f>MAX(AE95,($E95*IF(BU$2&gt;Inputs!$D$5,0,IF(BU$2&gt;VLOOKUP($H95,Lists!$P$3:$Q$7,2),IF($N95=Lists!$K$3,IF($L95&lt;1,(($U95/$L95)*((1+Inputs!$D$7)^BU$2)),((INT(BU$2/$L95)-INT((BU$2-1)/$L95))*$U95*((1+Inputs!$D$7)^BU$2))),(Inputs!$D$8^((1-_xlfn.WEIBULL.DIST(BU$2,$M95,$L95,FALSE))/_xlfn.WEIBULL.DIST(BU$2,$M95,$L95,FALSE))*$U95*((1+Inputs!$D$7)^BU$2))),IF($N95=Lists!$K$3,IF($L95&lt;1,((($T95*(1-$F95)+$S95*(1-$G95))/$L95)*((1+Inputs!$D$7)^BU$2)),((INT(BU$2/$L95)-INT((BU$2-1)/$L95))*($T95*(1-$F95)+$S95*(1-$G95))*((1+Inputs!$D$7)^BU$2))),((Inputs!$D$8^((1-_xlfn.WEIBULL.DIST(BU$2,$M95,$L95,FALSE))/_xlfn.WEIBULL.DIST(BU$2,$M95,$L95,FALSE))*($T95*(1-$F95)+$S95*(1-$G95))*((1+Inputs!$D$7)^BU$2))))))))</f>
        <v>731.34312403967999</v>
      </c>
      <c r="BV95" s="88">
        <f>MAX(AF95,($E95*IF(BV$2&gt;Inputs!$D$5,0,IF(BV$2&gt;VLOOKUP($H95,Lists!$P$3:$Q$7,2),IF($N95=Lists!$K$3,IF($L95&lt;1,(($U95/$L95)*((1+Inputs!$D$7)^BV$2)),((INT(BV$2/$L95)-INT((BV$2-1)/$L95))*$U95*((1+Inputs!$D$7)^BV$2))),(Inputs!$D$8^((1-_xlfn.WEIBULL.DIST(BV$2,$M95,$L95,FALSE))/_xlfn.WEIBULL.DIST(BV$2,$M95,$L95,FALSE))*$U95*((1+Inputs!$D$7)^BV$2))),IF($N95=Lists!$K$3,IF($L95&lt;1,((($T95*(1-$F95)+$S95*(1-$G95))/$L95)*((1+Inputs!$D$7)^BV$2)),((INT(BV$2/$L95)-INT((BV$2-1)/$L95))*($T95*(1-$F95)+$S95*(1-$G95))*((1+Inputs!$D$7)^BV$2))),((Inputs!$D$8^((1-_xlfn.WEIBULL.DIST(BV$2,$M95,$L95,FALSE))/_xlfn.WEIBULL.DIST(BV$2,$M95,$L95,FALSE))*($T95*(1-$F95)+$S95*(1-$G95))*((1+Inputs!$D$7)^BV$2))))))))</f>
        <v>745.96998652047364</v>
      </c>
      <c r="BW95" s="88">
        <f>MAX(AG95,($E95*IF(BW$2&gt;Inputs!$D$5,0,IF(BW$2&gt;VLOOKUP($H95,Lists!$P$3:$Q$7,2),IF($N95=Lists!$K$3,IF($L95&lt;1,(($U95/$L95)*((1+Inputs!$D$7)^BW$2)),((INT(BW$2/$L95)-INT((BW$2-1)/$L95))*$U95*((1+Inputs!$D$7)^BW$2))),(Inputs!$D$8^((1-_xlfn.WEIBULL.DIST(BW$2,$M95,$L95,FALSE))/_xlfn.WEIBULL.DIST(BW$2,$M95,$L95,FALSE))*$U95*((1+Inputs!$D$7)^BW$2))),IF($N95=Lists!$K$3,IF($L95&lt;1,((($T95*(1-$F95)+$S95*(1-$G95))/$L95)*((1+Inputs!$D$7)^BW$2)),((INT(BW$2/$L95)-INT((BW$2-1)/$L95))*($T95*(1-$F95)+$S95*(1-$G95))*((1+Inputs!$D$7)^BW$2))),((Inputs!$D$8^((1-_xlfn.WEIBULL.DIST(BW$2,$M95,$L95,FALSE))/_xlfn.WEIBULL.DIST(BW$2,$M95,$L95,FALSE))*($T95*(1-$F95)+$S95*(1-$G95))*((1+Inputs!$D$7)^BW$2))))))))</f>
        <v>760.88938625088292</v>
      </c>
      <c r="BX95" s="88">
        <f>MAX(AH95,($E95*IF(BX$2&gt;Inputs!$D$5,0,IF(BX$2&gt;VLOOKUP($H95,Lists!$P$3:$Q$7,2),IF($N95=Lists!$K$3,IF($L95&lt;1,(($U95/$L95)*((1+Inputs!$D$7)^BX$2)),((INT(BX$2/$L95)-INT((BX$2-1)/$L95))*$U95*((1+Inputs!$D$7)^BX$2))),(Inputs!$D$8^((1-_xlfn.WEIBULL.DIST(BX$2,$M95,$L95,FALSE))/_xlfn.WEIBULL.DIST(BX$2,$M95,$L95,FALSE))*$U95*((1+Inputs!$D$7)^BX$2))),IF($N95=Lists!$K$3,IF($L95&lt;1,((($T95*(1-$F95)+$S95*(1-$G95))/$L95)*((1+Inputs!$D$7)^BX$2)),((INT(BX$2/$L95)-INT((BX$2-1)/$L95))*($T95*(1-$F95)+$S95*(1-$G95))*((1+Inputs!$D$7)^BX$2))),((Inputs!$D$8^((1-_xlfn.WEIBULL.DIST(BX$2,$M95,$L95,FALSE))/_xlfn.WEIBULL.DIST(BX$2,$M95,$L95,FALSE))*($T95*(1-$F95)+$S95*(1-$G95))*((1+Inputs!$D$7)^BX$2))))))))</f>
        <v>776.10717397590065</v>
      </c>
      <c r="BY95" s="88">
        <f>MAX(AI95,($E95*IF(BY$2&gt;Inputs!$D$5,0,IF(BY$2&gt;VLOOKUP($H95,Lists!$P$3:$Q$7,2),IF($N95=Lists!$K$3,IF($L95&lt;1,(($U95/$L95)*((1+Inputs!$D$7)^BY$2)),((INT(BY$2/$L95)-INT((BY$2-1)/$L95))*$U95*((1+Inputs!$D$7)^BY$2))),(Inputs!$D$8^((1-_xlfn.WEIBULL.DIST(BY$2,$M95,$L95,FALSE))/_xlfn.WEIBULL.DIST(BY$2,$M95,$L95,FALSE))*$U95*((1+Inputs!$D$7)^BY$2))),IF($N95=Lists!$K$3,IF($L95&lt;1,((($T95*(1-$F95)+$S95*(1-$G95))/$L95)*((1+Inputs!$D$7)^BY$2)),((INT(BY$2/$L95)-INT((BY$2-1)/$L95))*($T95*(1-$F95)+$S95*(1-$G95))*((1+Inputs!$D$7)^BY$2))),((Inputs!$D$8^((1-_xlfn.WEIBULL.DIST(BY$2,$M95,$L95,FALSE))/_xlfn.WEIBULL.DIST(BY$2,$M95,$L95,FALSE))*($T95*(1-$F95)+$S95*(1-$G95))*((1+Inputs!$D$7)^BY$2))))))))</f>
        <v>791.62931745541869</v>
      </c>
      <c r="BZ95" s="88">
        <f>MAX(AJ95,($E95*IF(BZ$2&gt;Inputs!$D$5,0,IF(BZ$2&gt;VLOOKUP($H95,Lists!$P$3:$Q$7,2),IF($N95=Lists!$K$3,IF($L95&lt;1,(($U95/$L95)*((1+Inputs!$D$7)^BZ$2)),((INT(BZ$2/$L95)-INT((BZ$2-1)/$L95))*$U95*((1+Inputs!$D$7)^BZ$2))),(Inputs!$D$8^((1-_xlfn.WEIBULL.DIST(BZ$2,$M95,$L95,FALSE))/_xlfn.WEIBULL.DIST(BZ$2,$M95,$L95,FALSE))*$U95*((1+Inputs!$D$7)^BZ$2))),IF($N95=Lists!$K$3,IF($L95&lt;1,((($T95*(1-$F95)+$S95*(1-$G95))/$L95)*((1+Inputs!$D$7)^BZ$2)),((INT(BZ$2/$L95)-INT((BZ$2-1)/$L95))*($T95*(1-$F95)+$S95*(1-$G95))*((1+Inputs!$D$7)^BZ$2))),((Inputs!$D$8^((1-_xlfn.WEIBULL.DIST(BZ$2,$M95,$L95,FALSE))/_xlfn.WEIBULL.DIST(BZ$2,$M95,$L95,FALSE))*($T95*(1-$F95)+$S95*(1-$G95))*((1+Inputs!$D$7)^BZ$2))))))))</f>
        <v>807.46190380452708</v>
      </c>
      <c r="CA95" s="88">
        <f>MAX(AK95,($E95*IF(CA$2&gt;Inputs!$D$5,0,IF(CA$2&gt;VLOOKUP($H95,Lists!$P$3:$Q$7,2),IF($N95=Lists!$K$3,IF($L95&lt;1,(($U95/$L95)*((1+Inputs!$D$7)^CA$2)),((INT(CA$2/$L95)-INT((CA$2-1)/$L95))*$U95*((1+Inputs!$D$7)^CA$2))),(Inputs!$D$8^((1-_xlfn.WEIBULL.DIST(CA$2,$M95,$L95,FALSE))/_xlfn.WEIBULL.DIST(CA$2,$M95,$L95,FALSE))*$U95*((1+Inputs!$D$7)^CA$2))),IF($N95=Lists!$K$3,IF($L95&lt;1,((($T95*(1-$F95)+$S95*(1-$G95))/$L95)*((1+Inputs!$D$7)^CA$2)),((INT(CA$2/$L95)-INT((CA$2-1)/$L95))*($T95*(1-$F95)+$S95*(1-$G95))*((1+Inputs!$D$7)^CA$2))),((Inputs!$D$8^((1-_xlfn.WEIBULL.DIST(CA$2,$M95,$L95,FALSE))/_xlfn.WEIBULL.DIST(CA$2,$M95,$L95,FALSE))*($T95*(1-$F95)+$S95*(1-$G95))*((1+Inputs!$D$7)^CA$2))))))))</f>
        <v>823.61114188061742</v>
      </c>
      <c r="CB95" s="88">
        <f>MAX(AL95,($E95*IF(CB$2&gt;Inputs!$D$5,0,IF(CB$2&gt;VLOOKUP($H95,Lists!$P$3:$Q$7,2),IF($N95=Lists!$K$3,IF($L95&lt;1,(($U95/$L95)*((1+Inputs!$D$7)^CB$2)),((INT(CB$2/$L95)-INT((CB$2-1)/$L95))*$U95*((1+Inputs!$D$7)^CB$2))),(Inputs!$D$8^((1-_xlfn.WEIBULL.DIST(CB$2,$M95,$L95,FALSE))/_xlfn.WEIBULL.DIST(CB$2,$M95,$L95,FALSE))*$U95*((1+Inputs!$D$7)^CB$2))),IF($N95=Lists!$K$3,IF($L95&lt;1,((($T95*(1-$F95)+$S95*(1-$G95))/$L95)*((1+Inputs!$D$7)^CB$2)),((INT(CB$2/$L95)-INT((CB$2-1)/$L95))*($T95*(1-$F95)+$S95*(1-$G95))*((1+Inputs!$D$7)^CB$2))),((Inputs!$D$8^((1-_xlfn.WEIBULL.DIST(CB$2,$M95,$L95,FALSE))/_xlfn.WEIBULL.DIST(CB$2,$M95,$L95,FALSE))*($T95*(1-$F95)+$S95*(1-$G95))*((1+Inputs!$D$7)^CB$2))))))))</f>
        <v>840.08336471822997</v>
      </c>
      <c r="CC95" s="88">
        <f>MAX(AM95,($E95*IF(CC$2&gt;Inputs!$D$5,0,IF(CC$2&gt;VLOOKUP($H95,Lists!$P$3:$Q$7,2),IF($N95=Lists!$K$3,IF($L95&lt;1,(($U95/$L95)*((1+Inputs!$D$7)^CC$2)),((INT(CC$2/$L95)-INT((CC$2-1)/$L95))*$U95*((1+Inputs!$D$7)^CC$2))),(Inputs!$D$8^((1-_xlfn.WEIBULL.DIST(CC$2,$M95,$L95,FALSE))/_xlfn.WEIBULL.DIST(CC$2,$M95,$L95,FALSE))*$U95*((1+Inputs!$D$7)^CC$2))),IF($N95=Lists!$K$3,IF($L95&lt;1,((($T95*(1-$F95)+$S95*(1-$G95))/$L95)*((1+Inputs!$D$7)^CC$2)),((INT(CC$2/$L95)-INT((CC$2-1)/$L95))*($T95*(1-$F95)+$S95*(1-$G95))*((1+Inputs!$D$7)^CC$2))),((Inputs!$D$8^((1-_xlfn.WEIBULL.DIST(CC$2,$M95,$L95,FALSE))/_xlfn.WEIBULL.DIST(CC$2,$M95,$L95,FALSE))*($T95*(1-$F95)+$S95*(1-$G95))*((1+Inputs!$D$7)^CC$2))))))))</f>
        <v>856.88503201259448</v>
      </c>
      <c r="CD95" s="88">
        <f>MAX(AN95,($E95*IF(CD$2&gt;Inputs!$D$5,0,IF(CD$2&gt;VLOOKUP($H95,Lists!$P$3:$Q$7,2),IF($N95=Lists!$K$3,IF($L95&lt;1,(($U95/$L95)*((1+Inputs!$D$7)^CD$2)),((INT(CD$2/$L95)-INT((CD$2-1)/$L95))*$U95*((1+Inputs!$D$7)^CD$2))),(Inputs!$D$8^((1-_xlfn.WEIBULL.DIST(CD$2,$M95,$L95,FALSE))/_xlfn.WEIBULL.DIST(CD$2,$M95,$L95,FALSE))*$U95*((1+Inputs!$D$7)^CD$2))),IF($N95=Lists!$K$3,IF($L95&lt;1,((($T95*(1-$F95)+$S95*(1-$G95))/$L95)*((1+Inputs!$D$7)^CD$2)),((INT(CD$2/$L95)-INT((CD$2-1)/$L95))*($T95*(1-$F95)+$S95*(1-$G95))*((1+Inputs!$D$7)^CD$2))),((Inputs!$D$8^((1-_xlfn.WEIBULL.DIST(CD$2,$M95,$L95,FALSE))/_xlfn.WEIBULL.DIST(CD$2,$M95,$L95,FALSE))*($T95*(1-$F95)+$S95*(1-$G95))*((1+Inputs!$D$7)^CD$2))))))))</f>
        <v>874.02273265284646</v>
      </c>
      <c r="CE95" s="88">
        <f>MAX(AO95,($E95*IF(CE$2&gt;Inputs!$D$5,0,IF(CE$2&gt;VLOOKUP($H95,Lists!$P$3:$Q$7,2),IF($N95=Lists!$K$3,IF($L95&lt;1,(($U95/$L95)*((1+Inputs!$D$7)^CE$2)),((INT(CE$2/$L95)-INT((CE$2-1)/$L95))*$U95*((1+Inputs!$D$7)^CE$2))),(Inputs!$D$8^((1-_xlfn.WEIBULL.DIST(CE$2,$M95,$L95,FALSE))/_xlfn.WEIBULL.DIST(CE$2,$M95,$L95,FALSE))*$U95*((1+Inputs!$D$7)^CE$2))),IF($N95=Lists!$K$3,IF($L95&lt;1,((($T95*(1-$F95)+$S95*(1-$G95))/$L95)*((1+Inputs!$D$7)^CE$2)),((INT(CE$2/$L95)-INT((CE$2-1)/$L95))*($T95*(1-$F95)+$S95*(1-$G95))*((1+Inputs!$D$7)^CE$2))),((Inputs!$D$8^((1-_xlfn.WEIBULL.DIST(CE$2,$M95,$L95,FALSE))/_xlfn.WEIBULL.DIST(CE$2,$M95,$L95,FALSE))*($T95*(1-$F95)+$S95*(1-$G95))*((1+Inputs!$D$7)^CE$2))))))))</f>
        <v>891.50318730590311</v>
      </c>
      <c r="CF95" s="88">
        <f>MAX(AP95,($E95*IF(CF$2&gt;Inputs!$D$5,0,IF(CF$2&gt;VLOOKUP($H95,Lists!$P$3:$Q$7,2),IF($N95=Lists!$K$3,IF($L95&lt;1,(($U95/$L95)*((1+Inputs!$D$7)^CF$2)),((INT(CF$2/$L95)-INT((CF$2-1)/$L95))*$U95*((1+Inputs!$D$7)^CF$2))),(Inputs!$D$8^((1-_xlfn.WEIBULL.DIST(CF$2,$M95,$L95,FALSE))/_xlfn.WEIBULL.DIST(CF$2,$M95,$L95,FALSE))*$U95*((1+Inputs!$D$7)^CF$2))),IF($N95=Lists!$K$3,IF($L95&lt;1,((($T95*(1-$F95)+$S95*(1-$G95))/$L95)*((1+Inputs!$D$7)^CF$2)),((INT(CF$2/$L95)-INT((CF$2-1)/$L95))*($T95*(1-$F95)+$S95*(1-$G95))*((1+Inputs!$D$7)^CF$2))),((Inputs!$D$8^((1-_xlfn.WEIBULL.DIST(CF$2,$M95,$L95,FALSE))/_xlfn.WEIBULL.DIST(CF$2,$M95,$L95,FALSE))*($T95*(1-$F95)+$S95*(1-$G95))*((1+Inputs!$D$7)^CF$2))))))))</f>
        <v>909.33325105202141</v>
      </c>
      <c r="CG95" s="88">
        <f>MAX(AQ95,($E95*IF(CG$2&gt;Inputs!$D$5,0,IF(CG$2&gt;VLOOKUP($H95,Lists!$P$3:$Q$7,2),IF($N95=Lists!$K$3,IF($L95&lt;1,(($U95/$L95)*((1+Inputs!$D$7)^CG$2)),((INT(CG$2/$L95)-INT((CG$2-1)/$L95))*$U95*((1+Inputs!$D$7)^CG$2))),(Inputs!$D$8^((1-_xlfn.WEIBULL.DIST(CG$2,$M95,$L95,FALSE))/_xlfn.WEIBULL.DIST(CG$2,$M95,$L95,FALSE))*$U95*((1+Inputs!$D$7)^CG$2))),IF($N95=Lists!$K$3,IF($L95&lt;1,((($T95*(1-$F95)+$S95*(1-$G95))/$L95)*((1+Inputs!$D$7)^CG$2)),((INT(CG$2/$L95)-INT((CG$2-1)/$L95))*($T95*(1-$F95)+$S95*(1-$G95))*((1+Inputs!$D$7)^CG$2))),((Inputs!$D$8^((1-_xlfn.WEIBULL.DIST(CG$2,$M95,$L95,FALSE))/_xlfn.WEIBULL.DIST(CG$2,$M95,$L95,FALSE))*($T95*(1-$F95)+$S95*(1-$G95))*((1+Inputs!$D$7)^CG$2))))))))</f>
        <v>927.51991607306184</v>
      </c>
      <c r="CH95" s="88">
        <f>MAX(AR95,($E95*IF(CH$2&gt;Inputs!$D$5,0,IF(CH$2&gt;VLOOKUP($H95,Lists!$P$3:$Q$7,2),IF($N95=Lists!$K$3,IF($L95&lt;1,(($U95/$L95)*((1+Inputs!$D$7)^CH$2)),((INT(CH$2/$L95)-INT((CH$2-1)/$L95))*$U95*((1+Inputs!$D$7)^CH$2))),(Inputs!$D$8^((1-_xlfn.WEIBULL.DIST(CH$2,$M95,$L95,FALSE))/_xlfn.WEIBULL.DIST(CH$2,$M95,$L95,FALSE))*$U95*((1+Inputs!$D$7)^CH$2))),IF($N95=Lists!$K$3,IF($L95&lt;1,((($T95*(1-$F95)+$S95*(1-$G95))/$L95)*((1+Inputs!$D$7)^CH$2)),((INT(CH$2/$L95)-INT((CH$2-1)/$L95))*($T95*(1-$F95)+$S95*(1-$G95))*((1+Inputs!$D$7)^CH$2))),((Inputs!$D$8^((1-_xlfn.WEIBULL.DIST(CH$2,$M95,$L95,FALSE))/_xlfn.WEIBULL.DIST(CH$2,$M95,$L95,FALSE))*($T95*(1-$F95)+$S95*(1-$G95))*((1+Inputs!$D$7)^CH$2))))))))</f>
        <v>946.07031439452305</v>
      </c>
      <c r="CI95" s="88">
        <f>MAX(AS95,($E95*IF(CI$2&gt;Inputs!$D$5,0,IF(CI$2&gt;VLOOKUP($H95,Lists!$P$3:$Q$7,2),IF($N95=Lists!$K$3,IF($L95&lt;1,(($U95/$L95)*((1+Inputs!$D$7)^CI$2)),((INT(CI$2/$L95)-INT((CI$2-1)/$L95))*$U95*((1+Inputs!$D$7)^CI$2))),(Inputs!$D$8^((1-_xlfn.WEIBULL.DIST(CI$2,$M95,$L95,FALSE))/_xlfn.WEIBULL.DIST(CI$2,$M95,$L95,FALSE))*$U95*((1+Inputs!$D$7)^CI$2))),IF($N95=Lists!$K$3,IF($L95&lt;1,((($T95*(1-$F95)+$S95*(1-$G95))/$L95)*((1+Inputs!$D$7)^CI$2)),((INT(CI$2/$L95)-INT((CI$2-1)/$L95))*($T95*(1-$F95)+$S95*(1-$G95))*((1+Inputs!$D$7)^CI$2))),((Inputs!$D$8^((1-_xlfn.WEIBULL.DIST(CI$2,$M95,$L95,FALSE))/_xlfn.WEIBULL.DIST(CI$2,$M95,$L95,FALSE))*($T95*(1-$F95)+$S95*(1-$G95))*((1+Inputs!$D$7)^CI$2))))))))</f>
        <v>964.99172068241342</v>
      </c>
      <c r="CJ95" s="88">
        <f>MAX(AT95,($E95*IF(CJ$2&gt;Inputs!$D$5,0,IF(CJ$2&gt;VLOOKUP($H95,Lists!$P$3:$Q$7,2),IF($N95=Lists!$K$3,IF($L95&lt;1,(($U95/$L95)*((1+Inputs!$D$7)^CJ$2)),((INT(CJ$2/$L95)-INT((CJ$2-1)/$L95))*$U95*((1+Inputs!$D$7)^CJ$2))),(Inputs!$D$8^((1-_xlfn.WEIBULL.DIST(CJ$2,$M95,$L95,FALSE))/_xlfn.WEIBULL.DIST(CJ$2,$M95,$L95,FALSE))*$U95*((1+Inputs!$D$7)^CJ$2))),IF($N95=Lists!$K$3,IF($L95&lt;1,((($T95*(1-$F95)+$S95*(1-$G95))/$L95)*((1+Inputs!$D$7)^CJ$2)),((INT(CJ$2/$L95)-INT((CJ$2-1)/$L95))*($T95*(1-$F95)+$S95*(1-$G95))*((1+Inputs!$D$7)^CJ$2))),((Inputs!$D$8^((1-_xlfn.WEIBULL.DIST(CJ$2,$M95,$L95,FALSE))/_xlfn.WEIBULL.DIST(CJ$2,$M95,$L95,FALSE))*($T95*(1-$F95)+$S95*(1-$G95))*((1+Inputs!$D$7)^CJ$2))))))))</f>
        <v>984.29155509606176</v>
      </c>
      <c r="CK95" s="88">
        <f>MAX(AU95,($E95*IF(CK$2&gt;Inputs!$D$5,0,IF(CK$2&gt;VLOOKUP($H95,Lists!$P$3:$Q$7,2),IF($N95=Lists!$K$3,IF($L95&lt;1,(($U95/$L95)*((1+Inputs!$D$7)^CK$2)),((INT(CK$2/$L95)-INT((CK$2-1)/$L95))*$U95*((1+Inputs!$D$7)^CK$2))),(Inputs!$D$8^((1-_xlfn.WEIBULL.DIST(CK$2,$M95,$L95,FALSE))/_xlfn.WEIBULL.DIST(CK$2,$M95,$L95,FALSE))*$U95*((1+Inputs!$D$7)^CK$2))),IF($N95=Lists!$K$3,IF($L95&lt;1,((($T95*(1-$F95)+$S95*(1-$G95))/$L95)*((1+Inputs!$D$7)^CK$2)),((INT(CK$2/$L95)-INT((CK$2-1)/$L95))*($T95*(1-$F95)+$S95*(1-$G95))*((1+Inputs!$D$7)^CK$2))),((Inputs!$D$8^((1-_xlfn.WEIBULL.DIST(CK$2,$M95,$L95,FALSE))/_xlfn.WEIBULL.DIST(CK$2,$M95,$L95,FALSE))*($T95*(1-$F95)+$S95*(1-$G95))*((1+Inputs!$D$7)^CK$2))))))))</f>
        <v>1003.9773861979829</v>
      </c>
      <c r="CL95" s="88">
        <f>MAX(AV95,($E95*IF(CL$2&gt;Inputs!$D$5,0,IF(CL$2&gt;VLOOKUP($H95,Lists!$P$3:$Q$7,2),IF($N95=Lists!$K$3,IF($L95&lt;1,(($U95/$L95)*((1+Inputs!$D$7)^CL$2)),((INT(CL$2/$L95)-INT((CL$2-1)/$L95))*$U95*((1+Inputs!$D$7)^CL$2))),(Inputs!$D$8^((1-_xlfn.WEIBULL.DIST(CL$2,$M95,$L95,FALSE))/_xlfn.WEIBULL.DIST(CL$2,$M95,$L95,FALSE))*$U95*((1+Inputs!$D$7)^CL$2))),IF($N95=Lists!$K$3,IF($L95&lt;1,((($T95*(1-$F95)+$S95*(1-$G95))/$L95)*((1+Inputs!$D$7)^CL$2)),((INT(CL$2/$L95)-INT((CL$2-1)/$L95))*($T95*(1-$F95)+$S95*(1-$G95))*((1+Inputs!$D$7)^CL$2))),((Inputs!$D$8^((1-_xlfn.WEIBULL.DIST(CL$2,$M95,$L95,FALSE))/_xlfn.WEIBULL.DIST(CL$2,$M95,$L95,FALSE))*($T95*(1-$F95)+$S95*(1-$G95))*((1+Inputs!$D$7)^CL$2))))))))</f>
        <v>1024.0569339219428</v>
      </c>
      <c r="CM95" s="88">
        <f>MAX(AW95,($E95*IF(CM$2&gt;Inputs!$D$5,0,IF(CM$2&gt;VLOOKUP($H95,Lists!$P$3:$Q$7,2),IF($N95=Lists!$K$3,IF($L95&lt;1,(($U95/$L95)*((1+Inputs!$D$7)^CM$2)),((INT(CM$2/$L95)-INT((CM$2-1)/$L95))*$U95*((1+Inputs!$D$7)^CM$2))),(Inputs!$D$8^((1-_xlfn.WEIBULL.DIST(CM$2,$M95,$L95,FALSE))/_xlfn.WEIBULL.DIST(CM$2,$M95,$L95,FALSE))*$U95*((1+Inputs!$D$7)^CM$2))),IF($N95=Lists!$K$3,IF($L95&lt;1,((($T95*(1-$F95)+$S95*(1-$G95))/$L95)*((1+Inputs!$D$7)^CM$2)),((INT(CM$2/$L95)-INT((CM$2-1)/$L95))*($T95*(1-$F95)+$S95*(1-$G95))*((1+Inputs!$D$7)^CM$2))),((Inputs!$D$8^((1-_xlfn.WEIBULL.DIST(CM$2,$M95,$L95,FALSE))/_xlfn.WEIBULL.DIST(CM$2,$M95,$L95,FALSE))*($T95*(1-$F95)+$S95*(1-$G95))*((1+Inputs!$D$7)^CM$2))))))))</f>
        <v>1044.5380726003814</v>
      </c>
      <c r="CN95" s="88">
        <f>MAX(AX95,($E95*IF(CN$2&gt;Inputs!$D$5,0,IF(CN$2&gt;VLOOKUP($H95,Lists!$P$3:$Q$7,2),IF($N95=Lists!$K$3,IF($L95&lt;1,(($U95/$L95)*((1+Inputs!$D$7)^CN$2)),((INT(CN$2/$L95)-INT((CN$2-1)/$L95))*$U95*((1+Inputs!$D$7)^CN$2))),(Inputs!$D$8^((1-_xlfn.WEIBULL.DIST(CN$2,$M95,$L95,FALSE))/_xlfn.WEIBULL.DIST(CN$2,$M95,$L95,FALSE))*$U95*((1+Inputs!$D$7)^CN$2))),IF($N95=Lists!$K$3,IF($L95&lt;1,((($T95*(1-$F95)+$S95*(1-$G95))/$L95)*((1+Inputs!$D$7)^CN$2)),((INT(CN$2/$L95)-INT((CN$2-1)/$L95))*($T95*(1-$F95)+$S95*(1-$G95))*((1+Inputs!$D$7)^CN$2))),((Inputs!$D$8^((1-_xlfn.WEIBULL.DIST(CN$2,$M95,$L95,FALSE))/_xlfn.WEIBULL.DIST(CN$2,$M95,$L95,FALSE))*($T95*(1-$F95)+$S95*(1-$G95))*((1+Inputs!$D$7)^CN$2))))))))</f>
        <v>1065.428834052389</v>
      </c>
      <c r="CO95" s="88">
        <f>MAX(AY95,($E95*IF(CO$2&gt;Inputs!$D$5,0,IF(CO$2&gt;VLOOKUP($H95,Lists!$P$3:$Q$7,2),IF($N95=Lists!$K$3,IF($L95&lt;1,(($U95/$L95)*((1+Inputs!$D$7)^CO$2)),((INT(CO$2/$L95)-INT((CO$2-1)/$L95))*$U95*((1+Inputs!$D$7)^CO$2))),(Inputs!$D$8^((1-_xlfn.WEIBULL.DIST(CO$2,$M95,$L95,FALSE))/_xlfn.WEIBULL.DIST(CO$2,$M95,$L95,FALSE))*$U95*((1+Inputs!$D$7)^CO$2))),IF($N95=Lists!$K$3,IF($L95&lt;1,((($T95*(1-$F95)+$S95*(1-$G95))/$L95)*((1+Inputs!$D$7)^CO$2)),((INT(CO$2/$L95)-INT((CO$2-1)/$L95))*($T95*(1-$F95)+$S95*(1-$G95))*((1+Inputs!$D$7)^CO$2))),((Inputs!$D$8^((1-_xlfn.WEIBULL.DIST(CO$2,$M95,$L95,FALSE))/_xlfn.WEIBULL.DIST(CO$2,$M95,$L95,FALSE))*($T95*(1-$F95)+$S95*(1-$G95))*((1+Inputs!$D$7)^CO$2))))))))</f>
        <v>1086.7374107334367</v>
      </c>
      <c r="CP95" s="88">
        <f>MAX(AZ95,($E95*IF(CP$2&gt;Inputs!$D$5,0,IF(CP$2&gt;VLOOKUP($H95,Lists!$P$3:$Q$7,2),IF($N95=Lists!$K$3,IF($L95&lt;1,(($U95/$L95)*((1+Inputs!$D$7)^CP$2)),((INT(CP$2/$L95)-INT((CP$2-1)/$L95))*$U95*((1+Inputs!$D$7)^CP$2))),(Inputs!$D$8^((1-_xlfn.WEIBULL.DIST(CP$2,$M95,$L95,FALSE))/_xlfn.WEIBULL.DIST(CP$2,$M95,$L95,FALSE))*$U95*((1+Inputs!$D$7)^CP$2))),IF($N95=Lists!$K$3,IF($L95&lt;1,((($T95*(1-$F95)+$S95*(1-$G95))/$L95)*((1+Inputs!$D$7)^CP$2)),((INT(CP$2/$L95)-INT((CP$2-1)/$L95))*($T95*(1-$F95)+$S95*(1-$G95))*((1+Inputs!$D$7)^CP$2))),((Inputs!$D$8^((1-_xlfn.WEIBULL.DIST(CP$2,$M95,$L95,FALSE))/_xlfn.WEIBULL.DIST(CP$2,$M95,$L95,FALSE))*($T95*(1-$F95)+$S95*(1-$G95))*((1+Inputs!$D$7)^CP$2))))))))</f>
        <v>0</v>
      </c>
      <c r="CQ95" s="88">
        <f>MAX(BA95,($E95*IF(CQ$2&gt;Inputs!$D$5,0,IF(CQ$2&gt;VLOOKUP($H95,Lists!$P$3:$Q$7,2),IF($N95=Lists!$K$3,IF($L95&lt;1,(($U95/$L95)*((1+Inputs!$D$7)^CQ$2)),((INT(CQ$2/$L95)-INT((CQ$2-1)/$L95))*$U95*((1+Inputs!$D$7)^CQ$2))),(Inputs!$D$8^((1-_xlfn.WEIBULL.DIST(CQ$2,$M95,$L95,FALSE))/_xlfn.WEIBULL.DIST(CQ$2,$M95,$L95,FALSE))*$U95*((1+Inputs!$D$7)^CQ$2))),IF($N95=Lists!$K$3,IF($L95&lt;1,((($T95*(1-$F95)+$S95*(1-$G95))/$L95)*((1+Inputs!$D$7)^CQ$2)),((INT(CQ$2/$L95)-INT((CQ$2-1)/$L95))*($T95*(1-$F95)+$S95*(1-$G95))*((1+Inputs!$D$7)^CQ$2))),((Inputs!$D$8^((1-_xlfn.WEIBULL.DIST(CQ$2,$M95,$L95,FALSE))/_xlfn.WEIBULL.DIST(CQ$2,$M95,$L95,FALSE))*($T95*(1-$F95)+$S95*(1-$G95))*((1+Inputs!$D$7)^CQ$2))))))))</f>
        <v>0</v>
      </c>
      <c r="CR95" s="88">
        <f>MAX(BB95,($E95*IF(CR$2&gt;Inputs!$D$5,0,IF(CR$2&gt;VLOOKUP($H95,Lists!$P$3:$Q$7,2),IF($N95=Lists!$K$3,IF($L95&lt;1,(($U95/$L95)*((1+Inputs!$D$7)^CR$2)),((INT(CR$2/$L95)-INT((CR$2-1)/$L95))*$U95*((1+Inputs!$D$7)^CR$2))),(Inputs!$D$8^((1-_xlfn.WEIBULL.DIST(CR$2,$M95,$L95,FALSE))/_xlfn.WEIBULL.DIST(CR$2,$M95,$L95,FALSE))*$U95*((1+Inputs!$D$7)^CR$2))),IF($N95=Lists!$K$3,IF($L95&lt;1,((($T95*(1-$F95)+$S95*(1-$G95))/$L95)*((1+Inputs!$D$7)^CR$2)),((INT(CR$2/$L95)-INT((CR$2-1)/$L95))*($T95*(1-$F95)+$S95*(1-$G95))*((1+Inputs!$D$7)^CR$2))),((Inputs!$D$8^((1-_xlfn.WEIBULL.DIST(CR$2,$M95,$L95,FALSE))/_xlfn.WEIBULL.DIST(CR$2,$M95,$L95,FALSE))*($T95*(1-$F95)+$S95*(1-$G95))*((1+Inputs!$D$7)^CR$2))))))))</f>
        <v>0</v>
      </c>
      <c r="CS95" s="88">
        <f>MAX(BC95,($E95*IF(CS$2&gt;Inputs!$D$5,0,IF(CS$2&gt;VLOOKUP($H95,Lists!$P$3:$Q$7,2),IF($N95=Lists!$K$3,IF($L95&lt;1,(($U95/$L95)*((1+Inputs!$D$7)^CS$2)),((INT(CS$2/$L95)-INT((CS$2-1)/$L95))*$U95*((1+Inputs!$D$7)^CS$2))),(Inputs!$D$8^((1-_xlfn.WEIBULL.DIST(CS$2,$M95,$L95,FALSE))/_xlfn.WEIBULL.DIST(CS$2,$M95,$L95,FALSE))*$U95*((1+Inputs!$D$7)^CS$2))),IF($N95=Lists!$K$3,IF($L95&lt;1,((($T95*(1-$F95)+$S95*(1-$G95))/$L95)*((1+Inputs!$D$7)^CS$2)),((INT(CS$2/$L95)-INT((CS$2-1)/$L95))*($T95*(1-$F95)+$S95*(1-$G95))*((1+Inputs!$D$7)^CS$2))),((Inputs!$D$8^((1-_xlfn.WEIBULL.DIST(CS$2,$M95,$L95,FALSE))/_xlfn.WEIBULL.DIST(CS$2,$M95,$L95,FALSE))*($T95*(1-$F95)+$S95*(1-$G95))*((1+Inputs!$D$7)^CS$2))))))))</f>
        <v>0</v>
      </c>
      <c r="CT95" s="88">
        <f>MAX(BD95,($E95*IF(CT$2&gt;Inputs!$D$5,0,IF(CT$2&gt;VLOOKUP($H95,Lists!$P$3:$Q$7,2),IF($N95=Lists!$K$3,IF($L95&lt;1,(($U95/$L95)*((1+Inputs!$D$7)^CT$2)),((INT(CT$2/$L95)-INT((CT$2-1)/$L95))*$U95*((1+Inputs!$D$7)^CT$2))),(Inputs!$D$8^((1-_xlfn.WEIBULL.DIST(CT$2,$M95,$L95,FALSE))/_xlfn.WEIBULL.DIST(CT$2,$M95,$L95,FALSE))*$U95*((1+Inputs!$D$7)^CT$2))),IF($N95=Lists!$K$3,IF($L95&lt;1,((($T95*(1-$F95)+$S95*(1-$G95))/$L95)*((1+Inputs!$D$7)^CT$2)),((INT(CT$2/$L95)-INT((CT$2-1)/$L95))*($T95*(1-$F95)+$S95*(1-$G95))*((1+Inputs!$D$7)^CT$2))),((Inputs!$D$8^((1-_xlfn.WEIBULL.DIST(CT$2,$M95,$L95,FALSE))/_xlfn.WEIBULL.DIST(CT$2,$M95,$L95,FALSE))*($T95*(1-$F95)+$S95*(1-$G95))*((1+Inputs!$D$7)^CT$2))))))))</f>
        <v>0</v>
      </c>
      <c r="CU95" s="88">
        <f>MAX(BE95,($E95*IF(CU$2&gt;Inputs!$D$5,0,IF(CU$2&gt;VLOOKUP($H95,Lists!$P$3:$Q$7,2),IF($N95=Lists!$K$3,IF($L95&lt;1,(($U95/$L95)*((1+Inputs!$D$7)^CU$2)),((INT(CU$2/$L95)-INT((CU$2-1)/$L95))*$U95*((1+Inputs!$D$7)^CU$2))),(Inputs!$D$8^((1-_xlfn.WEIBULL.DIST(CU$2,$M95,$L95,FALSE))/_xlfn.WEIBULL.DIST(CU$2,$M95,$L95,FALSE))*$U95*((1+Inputs!$D$7)^CU$2))),IF($N95=Lists!$K$3,IF($L95&lt;1,((($T95*(1-$F95)+$S95*(1-$G95))/$L95)*((1+Inputs!$D$7)^CU$2)),((INT(CU$2/$L95)-INT((CU$2-1)/$L95))*($T95*(1-$F95)+$S95*(1-$G95))*((1+Inputs!$D$7)^CU$2))),((Inputs!$D$8^((1-_xlfn.WEIBULL.DIST(CU$2,$M95,$L95,FALSE))/_xlfn.WEIBULL.DIST(CU$2,$M95,$L95,FALSE))*($T95*(1-$F95)+$S95*(1-$G95))*((1+Inputs!$D$7)^CU$2))))))))</f>
        <v>0</v>
      </c>
      <c r="CV95" s="88">
        <f>MAX(BF95,($E95*IF(CV$2&gt;Inputs!$D$5,0,IF(CV$2&gt;VLOOKUP($H95,Lists!$P$3:$Q$7,2),IF($N95=Lists!$K$3,IF($L95&lt;1,(($U95/$L95)*((1+Inputs!$D$7)^CV$2)),((INT(CV$2/$L95)-INT((CV$2-1)/$L95))*$U95*((1+Inputs!$D$7)^CV$2))),(Inputs!$D$8^((1-_xlfn.WEIBULL.DIST(CV$2,$M95,$L95,FALSE))/_xlfn.WEIBULL.DIST(CV$2,$M95,$L95,FALSE))*$U95*((1+Inputs!$D$7)^CV$2))),IF($N95=Lists!$K$3,IF($L95&lt;1,((($T95*(1-$F95)+$S95*(1-$G95))/$L95)*((1+Inputs!$D$7)^CV$2)),((INT(CV$2/$L95)-INT((CV$2-1)/$L95))*($T95*(1-$F95)+$S95*(1-$G95))*((1+Inputs!$D$7)^CV$2))),((Inputs!$D$8^((1-_xlfn.WEIBULL.DIST(CV$2,$M95,$L95,FALSE))/_xlfn.WEIBULL.DIST(CV$2,$M95,$L95,FALSE))*($T95*(1-$F95)+$S95*(1-$G95))*((1+Inputs!$D$7)^CV$2))))))))</f>
        <v>0</v>
      </c>
      <c r="CW95" s="88">
        <f>MAX(BG95,($E95*IF(CW$2&gt;Inputs!$D$5,0,IF(CW$2&gt;VLOOKUP($H95,Lists!$P$3:$Q$7,2),IF($N95=Lists!$K$3,IF($L95&lt;1,(($U95/$L95)*((1+Inputs!$D$7)^CW$2)),((INT(CW$2/$L95)-INT((CW$2-1)/$L95))*$U95*((1+Inputs!$D$7)^CW$2))),(Inputs!$D$8^((1-_xlfn.WEIBULL.DIST(CW$2,$M95,$L95,FALSE))/_xlfn.WEIBULL.DIST(CW$2,$M95,$L95,FALSE))*$U95*((1+Inputs!$D$7)^CW$2))),IF($N95=Lists!$K$3,IF($L95&lt;1,((($T95*(1-$F95)+$S95*(1-$G95))/$L95)*((1+Inputs!$D$7)^CW$2)),((INT(CW$2/$L95)-INT((CW$2-1)/$L95))*($T95*(1-$F95)+$S95*(1-$G95))*((1+Inputs!$D$7)^CW$2))),((Inputs!$D$8^((1-_xlfn.WEIBULL.DIST(CW$2,$M95,$L95,FALSE))/_xlfn.WEIBULL.DIST(CW$2,$M95,$L95,FALSE))*($T95*(1-$F95)+$S95*(1-$G95))*((1+Inputs!$D$7)^CW$2))))))))</f>
        <v>0</v>
      </c>
      <c r="CX95" s="88">
        <f>MAX(BH95,($E95*IF(CX$2&gt;Inputs!$D$5,0,IF(CX$2&gt;VLOOKUP($H95,Lists!$P$3:$Q$7,2),IF($N95=Lists!$K$3,IF($L95&lt;1,(($U95/$L95)*((1+Inputs!$D$7)^CX$2)),((INT(CX$2/$L95)-INT((CX$2-1)/$L95))*$U95*((1+Inputs!$D$7)^CX$2))),(Inputs!$D$8^((1-_xlfn.WEIBULL.DIST(CX$2,$M95,$L95,FALSE))/_xlfn.WEIBULL.DIST(CX$2,$M95,$L95,FALSE))*$U95*((1+Inputs!$D$7)^CX$2))),IF($N95=Lists!$K$3,IF($L95&lt;1,((($T95*(1-$F95)+$S95*(1-$G95))/$L95)*((1+Inputs!$D$7)^CX$2)),((INT(CX$2/$L95)-INT((CX$2-1)/$L95))*($T95*(1-$F95)+$S95*(1-$G95))*((1+Inputs!$D$7)^CX$2))),((Inputs!$D$8^((1-_xlfn.WEIBULL.DIST(CX$2,$M95,$L95,FALSE))/_xlfn.WEIBULL.DIST(CX$2,$M95,$L95,FALSE))*($T95*(1-$F95)+$S95*(1-$G95))*((1+Inputs!$D$7)^CX$2))))))))</f>
        <v>0</v>
      </c>
      <c r="CY95" s="88">
        <f>MAX(BI95,($E95*IF(CY$2&gt;Inputs!$D$5,0,IF(CY$2&gt;VLOOKUP($H95,Lists!$P$3:$Q$7,2),IF($N95=Lists!$K$3,IF($L95&lt;1,(($U95/$L95)*((1+Inputs!$D$7)^CY$2)),((INT(CY$2/$L95)-INT((CY$2-1)/$L95))*$U95*((1+Inputs!$D$7)^CY$2))),(Inputs!$D$8^((1-_xlfn.WEIBULL.DIST(CY$2,$M95,$L95,FALSE))/_xlfn.WEIBULL.DIST(CY$2,$M95,$L95,FALSE))*$U95*((1+Inputs!$D$7)^CY$2))),IF($N95=Lists!$K$3,IF($L95&lt;1,((($T95*(1-$F95)+$S95*(1-$G95))/$L95)*((1+Inputs!$D$7)^CY$2)),((INT(CY$2/$L95)-INT((CY$2-1)/$L95))*($T95*(1-$F95)+$S95*(1-$G95))*((1+Inputs!$D$7)^CY$2))),((Inputs!$D$8^((1-_xlfn.WEIBULL.DIST(CY$2,$M95,$L95,FALSE))/_xlfn.WEIBULL.DIST(CY$2,$M95,$L95,FALSE))*($T95*(1-$F95)+$S95*(1-$G95))*((1+Inputs!$D$7)^CY$2))))))))</f>
        <v>0</v>
      </c>
      <c r="CZ95" s="88">
        <f>MAX(BJ95,($E95*IF(CZ$2&gt;Inputs!$D$5,0,IF(CZ$2&gt;VLOOKUP($H95,Lists!$P$3:$Q$7,2),IF($N95=Lists!$K$3,IF($L95&lt;1,(($U95/$L95)*((1+Inputs!$D$7)^CZ$2)),((INT(CZ$2/$L95)-INT((CZ$2-1)/$L95))*$U95*((1+Inputs!$D$7)^CZ$2))),(Inputs!$D$8^((1-_xlfn.WEIBULL.DIST(CZ$2,$M95,$L95,FALSE))/_xlfn.WEIBULL.DIST(CZ$2,$M95,$L95,FALSE))*$U95*((1+Inputs!$D$7)^CZ$2))),IF($N95=Lists!$K$3,IF($L95&lt;1,((($T95*(1-$F95)+$S95*(1-$G95))/$L95)*((1+Inputs!$D$7)^CZ$2)),((INT(CZ$2/$L95)-INT((CZ$2-1)/$L95))*($T95*(1-$F95)+$S95*(1-$G95))*((1+Inputs!$D$7)^CZ$2))),((Inputs!$D$8^((1-_xlfn.WEIBULL.DIST(CZ$2,$M95,$L95,FALSE))/_xlfn.WEIBULL.DIST(CZ$2,$M95,$L95,FALSE))*($T95*(1-$F95)+$S95*(1-$G95))*((1+Inputs!$D$7)^CZ$2))))))))</f>
        <v>0</v>
      </c>
      <c r="DA95" s="88">
        <f>MAX(BK95,($E95*IF(DA$2&gt;Inputs!$D$5,0,IF(DA$2&gt;VLOOKUP($H95,Lists!$P$3:$Q$7,2),IF($N95=Lists!$K$3,IF($L95&lt;1,(($U95/$L95)*((1+Inputs!$D$7)^DA$2)),((INT(DA$2/$L95)-INT((DA$2-1)/$L95))*$U95*((1+Inputs!$D$7)^DA$2))),(Inputs!$D$8^((1-_xlfn.WEIBULL.DIST(DA$2,$M95,$L95,FALSE))/_xlfn.WEIBULL.DIST(DA$2,$M95,$L95,FALSE))*$U95*((1+Inputs!$D$7)^DA$2))),IF($N95=Lists!$K$3,IF($L95&lt;1,((($T95*(1-$F95)+$S95*(1-$G95))/$L95)*((1+Inputs!$D$7)^DA$2)),((INT(DA$2/$L95)-INT((DA$2-1)/$L95))*($T95*(1-$F95)+$S95*(1-$G95))*((1+Inputs!$D$7)^DA$2))),((Inputs!$D$8^((1-_xlfn.WEIBULL.DIST(DA$2,$M95,$L95,FALSE))/_xlfn.WEIBULL.DIST(DA$2,$M95,$L95,FALSE))*($T95*(1-$F95)+$S95*(1-$G95))*((1+Inputs!$D$7)^DA$2))))))))</f>
        <v>0</v>
      </c>
      <c r="DB95" s="88">
        <f>MAX(BL95,($E95*IF(DB$2&gt;Inputs!$D$5,0,IF(DB$2&gt;VLOOKUP($H95,Lists!$P$3:$Q$7,2),IF($N95=Lists!$K$3,IF($L95&lt;1,(($U95/$L95)*((1+Inputs!$D$7)^DB$2)),((INT(DB$2/$L95)-INT((DB$2-1)/$L95))*$U95*((1+Inputs!$D$7)^DB$2))),(Inputs!$D$8^((1-_xlfn.WEIBULL.DIST(DB$2,$M95,$L95,FALSE))/_xlfn.WEIBULL.DIST(DB$2,$M95,$L95,FALSE))*$U95*((1+Inputs!$D$7)^DB$2))),IF($N95=Lists!$K$3,IF($L95&lt;1,((($T95*(1-$F95)+$S95*(1-$G95))/$L95)*((1+Inputs!$D$7)^DB$2)),((INT(DB$2/$L95)-INT((DB$2-1)/$L95))*($T95*(1-$F95)+$S95*(1-$G95))*((1+Inputs!$D$7)^DB$2))),((Inputs!$D$8^((1-_xlfn.WEIBULL.DIST(DB$2,$M95,$L95,FALSE))/_xlfn.WEIBULL.DIST(DB$2,$M95,$L95,FALSE))*($T95*(1-$F95)+$S95*(1-$G95))*((1+Inputs!$D$7)^DB$2))))))))</f>
        <v>0</v>
      </c>
      <c r="DC95" s="88">
        <f>MAX(BM95,($E95*IF(DC$2&gt;Inputs!$D$5,0,IF(DC$2&gt;VLOOKUP($H95,Lists!$P$3:$Q$7,2),IF($N95=Lists!$K$3,IF($L95&lt;1,(($U95/$L95)*((1+Inputs!$D$7)^DC$2)),((INT(DC$2/$L95)-INT((DC$2-1)/$L95))*$U95*((1+Inputs!$D$7)^DC$2))),(Inputs!$D$8^((1-_xlfn.WEIBULL.DIST(DC$2,$M95,$L95,FALSE))/_xlfn.WEIBULL.DIST(DC$2,$M95,$L95,FALSE))*$U95*((1+Inputs!$D$7)^DC$2))),IF($N95=Lists!$K$3,IF($L95&lt;1,((($T95*(1-$F95)+$S95*(1-$G95))/$L95)*((1+Inputs!$D$7)^DC$2)),((INT(DC$2/$L95)-INT((DC$2-1)/$L95))*($T95*(1-$F95)+$S95*(1-$G95))*((1+Inputs!$D$7)^DC$2))),((Inputs!$D$8^((1-_xlfn.WEIBULL.DIST(DC$2,$M95,$L95,FALSE))/_xlfn.WEIBULL.DIST(DC$2,$M95,$L95,FALSE))*($T95*(1-$F95)+$S95*(1-$G95))*((1+Inputs!$D$7)^DC$2))))))))</f>
        <v>0</v>
      </c>
      <c r="DD95" s="88">
        <f>MAX(BN95,($E95*IF(DD$2&gt;Inputs!$D$5,0,IF(DD$2&gt;VLOOKUP($H95,Lists!$P$3:$Q$7,2),IF($N95=Lists!$K$3,IF($L95&lt;1,(($U95/$L95)*((1+Inputs!$D$7)^DD$2)),((INT(DD$2/$L95)-INT((DD$2-1)/$L95))*$U95*((1+Inputs!$D$7)^DD$2))),(Inputs!$D$8^((1-_xlfn.WEIBULL.DIST(DD$2,$M95,$L95,FALSE))/_xlfn.WEIBULL.DIST(DD$2,$M95,$L95,FALSE))*$U95*((1+Inputs!$D$7)^DD$2))),IF($N95=Lists!$K$3,IF($L95&lt;1,((($T95*(1-$F95)+$S95*(1-$G95))/$L95)*((1+Inputs!$D$7)^DD$2)),((INT(DD$2/$L95)-INT((DD$2-1)/$L95))*($T95*(1-$F95)+$S95*(1-$G95))*((1+Inputs!$D$7)^DD$2))),((Inputs!$D$8^((1-_xlfn.WEIBULL.DIST(DD$2,$M95,$L95,FALSE))/_xlfn.WEIBULL.DIST(DD$2,$M95,$L95,FALSE))*($T95*(1-$F95)+$S95*(1-$G95))*((1+Inputs!$D$7)^DD$2))))))))</f>
        <v>0</v>
      </c>
    </row>
    <row r="96" spans="1:108" s="1" customFormat="1" ht="16">
      <c r="A96" s="57" t="s">
        <v>157</v>
      </c>
      <c r="B96" s="13" t="s">
        <v>279</v>
      </c>
      <c r="C96" s="13" t="s">
        <v>472</v>
      </c>
      <c r="D96" s="13" t="s">
        <v>16</v>
      </c>
      <c r="E96" s="48">
        <f>IF(Inputs!$D$30=Lists!$M$4,1,0)</f>
        <v>1</v>
      </c>
      <c r="F96" s="48">
        <v>0</v>
      </c>
      <c r="G96" s="48">
        <v>0</v>
      </c>
      <c r="H96" s="105" t="s">
        <v>350</v>
      </c>
      <c r="I96" s="14" t="s">
        <v>264</v>
      </c>
      <c r="J96" s="14" t="s">
        <v>216</v>
      </c>
      <c r="K96" s="13">
        <f>VLOOKUP(J96,'Labor Rates'!$A$1:$F$16,2)</f>
        <v>14.735480769230767</v>
      </c>
      <c r="L96" s="15">
        <v>1</v>
      </c>
      <c r="M96" s="15">
        <v>1</v>
      </c>
      <c r="N96" s="13" t="s">
        <v>236</v>
      </c>
      <c r="O96" s="61">
        <f>Inputs!$D$32</f>
        <v>10</v>
      </c>
      <c r="P96" s="15">
        <v>0.1</v>
      </c>
      <c r="Q96" s="15">
        <f t="shared" si="14"/>
        <v>1</v>
      </c>
      <c r="R96" s="4">
        <v>0</v>
      </c>
      <c r="S96" s="53">
        <f t="shared" si="15"/>
        <v>14.735480769230767</v>
      </c>
      <c r="T96" s="53">
        <f t="shared" si="16"/>
        <v>0</v>
      </c>
      <c r="U96" s="54">
        <f t="shared" si="17"/>
        <v>14.735480769230767</v>
      </c>
      <c r="V96" s="65"/>
      <c r="W96" s="58"/>
      <c r="X96" s="64">
        <f t="shared" si="18"/>
        <v>18.259704696156859</v>
      </c>
      <c r="Y96" s="64">
        <f>NPV(Inputs!$D$6,AA96:BN96)</f>
        <v>209.73719698338923</v>
      </c>
      <c r="Z96" s="67">
        <f t="shared" si="19"/>
        <v>9.8922301615800965E-5</v>
      </c>
      <c r="AA96" s="88">
        <f>$E96*IF(AA$2&gt;Inputs!$D$5,0,IF(AA$2&gt;VLOOKUP($H96,Lists!$P$3:$Q$7,2),IF($N96=Lists!$K$3,IF($L96&lt;1,(($U96/$L96)*((1+Inputs!$D$7)^AA$2)),((INT(AA$2/$L96)-INT((AA$2-1)/$L96))*$U96*((1+Inputs!$D$7)^AA$2))),(_xlfn.WEIBULL.DIST(AA$2,$M96,$L96,FALSE)*$U96*((1+Inputs!$D$7)^AA$2))),IF($N96=Lists!$K$3,IF($L96&lt;1,((($T96*(1-$F96)+$S96*(1-$G96))/$L96)*((1+Inputs!$D$7)^AA$2)),((INT(AA$2/$L96)-INT((AA$2-1)/$L96))*($T96*(1-$F96)+$S96*(1-$G96))*((1+Inputs!$D$7)^AA$2))),((_xlfn.WEIBULL.DIST(AA$2,$M96,$L96,FALSE)*($T96*(1-$F96)+$S96*(1-$G96))*((1+Inputs!$D$7)^AA$2))))))</f>
        <v>15.030190384615382</v>
      </c>
      <c r="AB96" s="88">
        <f>$E96*IF(AB$2&gt;Inputs!$D$5,0,IF(AB$2&gt;VLOOKUP($H96,Lists!$P$3:$Q$7,2),IF($N96=Lists!$K$3,IF($L96&lt;1,(($U96/$L96)*((1+Inputs!$D$7)^AB$2)),((INT(AB$2/$L96)-INT((AB$2-1)/$L96))*$U96*((1+Inputs!$D$7)^AB$2))),(_xlfn.WEIBULL.DIST(AB$2,$M96,$L96,FALSE)*$U96*((1+Inputs!$D$7)^AB$2))),IF($N96=Lists!$K$3,IF($L96&lt;1,((($T96*(1-$F96)+$S96*(1-$G96))/$L96)*((1+Inputs!$D$7)^AB$2)),((INT(AB$2/$L96)-INT((AB$2-1)/$L96))*($T96*(1-$F96)+$S96*(1-$G96))*((1+Inputs!$D$7)^AB$2))),((_xlfn.WEIBULL.DIST(AB$2,$M96,$L96,FALSE)*($T96*(1-$F96)+$S96*(1-$G96))*((1+Inputs!$D$7)^AB$2))))))</f>
        <v>15.330794192307691</v>
      </c>
      <c r="AC96" s="88">
        <f>$E96*IF(AC$2&gt;Inputs!$D$5,0,IF(AC$2&gt;VLOOKUP($H96,Lists!$P$3:$Q$7,2),IF($N96=Lists!$K$3,IF($L96&lt;1,(($U96/$L96)*((1+Inputs!$D$7)^AC$2)),((INT(AC$2/$L96)-INT((AC$2-1)/$L96))*$U96*((1+Inputs!$D$7)^AC$2))),(_xlfn.WEIBULL.DIST(AC$2,$M96,$L96,FALSE)*$U96*((1+Inputs!$D$7)^AC$2))),IF($N96=Lists!$K$3,IF($L96&lt;1,((($T96*(1-$F96)+$S96*(1-$G96))/$L96)*((1+Inputs!$D$7)^AC$2)),((INT(AC$2/$L96)-INT((AC$2-1)/$L96))*($T96*(1-$F96)+$S96*(1-$G96))*((1+Inputs!$D$7)^AC$2))),((_xlfn.WEIBULL.DIST(AC$2,$M96,$L96,FALSE)*($T96*(1-$F96)+$S96*(1-$G96))*((1+Inputs!$D$7)^AC$2))))))</f>
        <v>15.637410076153843</v>
      </c>
      <c r="AD96" s="88">
        <f>$E96*IF(AD$2&gt;Inputs!$D$5,0,IF(AD$2&gt;VLOOKUP($H96,Lists!$P$3:$Q$7,2),IF($N96=Lists!$K$3,IF($L96&lt;1,(($U96/$L96)*((1+Inputs!$D$7)^AD$2)),((INT(AD$2/$L96)-INT((AD$2-1)/$L96))*$U96*((1+Inputs!$D$7)^AD$2))),(_xlfn.WEIBULL.DIST(AD$2,$M96,$L96,FALSE)*$U96*((1+Inputs!$D$7)^AD$2))),IF($N96=Lists!$K$3,IF($L96&lt;1,((($T96*(1-$F96)+$S96*(1-$G96))/$L96)*((1+Inputs!$D$7)^AD$2)),((INT(AD$2/$L96)-INT((AD$2-1)/$L96))*($T96*(1-$F96)+$S96*(1-$G96))*((1+Inputs!$D$7)^AD$2))),((_xlfn.WEIBULL.DIST(AD$2,$M96,$L96,FALSE)*($T96*(1-$F96)+$S96*(1-$G96))*((1+Inputs!$D$7)^AD$2))))))</f>
        <v>15.95015827767692</v>
      </c>
      <c r="AE96" s="88">
        <f>$E96*IF(AE$2&gt;Inputs!$D$5,0,IF(AE$2&gt;VLOOKUP($H96,Lists!$P$3:$Q$7,2),IF($N96=Lists!$K$3,IF($L96&lt;1,(($U96/$L96)*((1+Inputs!$D$7)^AE$2)),((INT(AE$2/$L96)-INT((AE$2-1)/$L96))*$U96*((1+Inputs!$D$7)^AE$2))),(_xlfn.WEIBULL.DIST(AE$2,$M96,$L96,FALSE)*$U96*((1+Inputs!$D$7)^AE$2))),IF($N96=Lists!$K$3,IF($L96&lt;1,((($T96*(1-$F96)+$S96*(1-$G96))/$L96)*((1+Inputs!$D$7)^AE$2)),((INT(AE$2/$L96)-INT((AE$2-1)/$L96))*($T96*(1-$F96)+$S96*(1-$G96))*((1+Inputs!$D$7)^AE$2))),((_xlfn.WEIBULL.DIST(AE$2,$M96,$L96,FALSE)*($T96*(1-$F96)+$S96*(1-$G96))*((1+Inputs!$D$7)^AE$2))))))</f>
        <v>16.269161443230459</v>
      </c>
      <c r="AF96" s="88">
        <f>$E96*IF(AF$2&gt;Inputs!$D$5,0,IF(AF$2&gt;VLOOKUP($H96,Lists!$P$3:$Q$7,2),IF($N96=Lists!$K$3,IF($L96&lt;1,(($U96/$L96)*((1+Inputs!$D$7)^AF$2)),((INT(AF$2/$L96)-INT((AF$2-1)/$L96))*$U96*((1+Inputs!$D$7)^AF$2))),(_xlfn.WEIBULL.DIST(AF$2,$M96,$L96,FALSE)*$U96*((1+Inputs!$D$7)^AF$2))),IF($N96=Lists!$K$3,IF($L96&lt;1,((($T96*(1-$F96)+$S96*(1-$G96))/$L96)*((1+Inputs!$D$7)^AF$2)),((INT(AF$2/$L96)-INT((AF$2-1)/$L96))*($T96*(1-$F96)+$S96*(1-$G96))*((1+Inputs!$D$7)^AF$2))),((_xlfn.WEIBULL.DIST(AF$2,$M96,$L96,FALSE)*($T96*(1-$F96)+$S96*(1-$G96))*((1+Inputs!$D$7)^AF$2))))))</f>
        <v>16.594544672095068</v>
      </c>
      <c r="AG96" s="88">
        <f>$E96*IF(AG$2&gt;Inputs!$D$5,0,IF(AG$2&gt;VLOOKUP($H96,Lists!$P$3:$Q$7,2),IF($N96=Lists!$K$3,IF($L96&lt;1,(($U96/$L96)*((1+Inputs!$D$7)^AG$2)),((INT(AG$2/$L96)-INT((AG$2-1)/$L96))*$U96*((1+Inputs!$D$7)^AG$2))),(_xlfn.WEIBULL.DIST(AG$2,$M96,$L96,FALSE)*$U96*((1+Inputs!$D$7)^AG$2))),IF($N96=Lists!$K$3,IF($L96&lt;1,((($T96*(1-$F96)+$S96*(1-$G96))/$L96)*((1+Inputs!$D$7)^AG$2)),((INT(AG$2/$L96)-INT((AG$2-1)/$L96))*($T96*(1-$F96)+$S96*(1-$G96))*((1+Inputs!$D$7)^AG$2))),((_xlfn.WEIBULL.DIST(AG$2,$M96,$L96,FALSE)*($T96*(1-$F96)+$S96*(1-$G96))*((1+Inputs!$D$7)^AG$2))))))</f>
        <v>16.926435565536966</v>
      </c>
      <c r="AH96" s="88">
        <f>$E96*IF(AH$2&gt;Inputs!$D$5,0,IF(AH$2&gt;VLOOKUP($H96,Lists!$P$3:$Q$7,2),IF($N96=Lists!$K$3,IF($L96&lt;1,(($U96/$L96)*((1+Inputs!$D$7)^AH$2)),((INT(AH$2/$L96)-INT((AH$2-1)/$L96))*$U96*((1+Inputs!$D$7)^AH$2))),(_xlfn.WEIBULL.DIST(AH$2,$M96,$L96,FALSE)*$U96*((1+Inputs!$D$7)^AH$2))),IF($N96=Lists!$K$3,IF($L96&lt;1,((($T96*(1-$F96)+$S96*(1-$G96))/$L96)*((1+Inputs!$D$7)^AH$2)),((INT(AH$2/$L96)-INT((AH$2-1)/$L96))*($T96*(1-$F96)+$S96*(1-$G96))*((1+Inputs!$D$7)^AH$2))),((_xlfn.WEIBULL.DIST(AH$2,$M96,$L96,FALSE)*($T96*(1-$F96)+$S96*(1-$G96))*((1+Inputs!$D$7)^AH$2))))))</f>
        <v>17.264964276847707</v>
      </c>
      <c r="AI96" s="88">
        <f>$E96*IF(AI$2&gt;Inputs!$D$5,0,IF(AI$2&gt;VLOOKUP($H96,Lists!$P$3:$Q$7,2),IF($N96=Lists!$K$3,IF($L96&lt;1,(($U96/$L96)*((1+Inputs!$D$7)^AI$2)),((INT(AI$2/$L96)-INT((AI$2-1)/$L96))*$U96*((1+Inputs!$D$7)^AI$2))),(_xlfn.WEIBULL.DIST(AI$2,$M96,$L96,FALSE)*$U96*((1+Inputs!$D$7)^AI$2))),IF($N96=Lists!$K$3,IF($L96&lt;1,((($T96*(1-$F96)+$S96*(1-$G96))/$L96)*((1+Inputs!$D$7)^AI$2)),((INT(AI$2/$L96)-INT((AI$2-1)/$L96))*($T96*(1-$F96)+$S96*(1-$G96))*((1+Inputs!$D$7)^AI$2))),((_xlfn.WEIBULL.DIST(AI$2,$M96,$L96,FALSE)*($T96*(1-$F96)+$S96*(1-$G96))*((1+Inputs!$D$7)^AI$2))))))</f>
        <v>17.610263562384663</v>
      </c>
      <c r="AJ96" s="88">
        <f>$E96*IF(AJ$2&gt;Inputs!$D$5,0,IF(AJ$2&gt;VLOOKUP($H96,Lists!$P$3:$Q$7,2),IF($N96=Lists!$K$3,IF($L96&lt;1,(($U96/$L96)*((1+Inputs!$D$7)^AJ$2)),((INT(AJ$2/$L96)-INT((AJ$2-1)/$L96))*$U96*((1+Inputs!$D$7)^AJ$2))),(_xlfn.WEIBULL.DIST(AJ$2,$M96,$L96,FALSE)*$U96*((1+Inputs!$D$7)^AJ$2))),IF($N96=Lists!$K$3,IF($L96&lt;1,((($T96*(1-$F96)+$S96*(1-$G96))/$L96)*((1+Inputs!$D$7)^AJ$2)),((INT(AJ$2/$L96)-INT((AJ$2-1)/$L96))*($T96*(1-$F96)+$S96*(1-$G96))*((1+Inputs!$D$7)^AJ$2))),((_xlfn.WEIBULL.DIST(AJ$2,$M96,$L96,FALSE)*($T96*(1-$F96)+$S96*(1-$G96))*((1+Inputs!$D$7)^AJ$2))))))</f>
        <v>17.962468833632357</v>
      </c>
      <c r="AK96" s="88">
        <f>$E96*IF(AK$2&gt;Inputs!$D$5,0,IF(AK$2&gt;VLOOKUP($H96,Lists!$P$3:$Q$7,2),IF($N96=Lists!$K$3,IF($L96&lt;1,(($U96/$L96)*((1+Inputs!$D$7)^AK$2)),((INT(AK$2/$L96)-INT((AK$2-1)/$L96))*$U96*((1+Inputs!$D$7)^AK$2))),(_xlfn.WEIBULL.DIST(AK$2,$M96,$L96,FALSE)*$U96*((1+Inputs!$D$7)^AK$2))),IF($N96=Lists!$K$3,IF($L96&lt;1,((($T96*(1-$F96)+$S96*(1-$G96))/$L96)*((1+Inputs!$D$7)^AK$2)),((INT(AK$2/$L96)-INT((AK$2-1)/$L96))*($T96*(1-$F96)+$S96*(1-$G96))*((1+Inputs!$D$7)^AK$2))),((_xlfn.WEIBULL.DIST(AK$2,$M96,$L96,FALSE)*($T96*(1-$F96)+$S96*(1-$G96))*((1+Inputs!$D$7)^AK$2))))))</f>
        <v>18.321718210305001</v>
      </c>
      <c r="AL96" s="88">
        <f>$E96*IF(AL$2&gt;Inputs!$D$5,0,IF(AL$2&gt;VLOOKUP($H96,Lists!$P$3:$Q$7,2),IF($N96=Lists!$K$3,IF($L96&lt;1,(($U96/$L96)*((1+Inputs!$D$7)^AL$2)),((INT(AL$2/$L96)-INT((AL$2-1)/$L96))*$U96*((1+Inputs!$D$7)^AL$2))),(_xlfn.WEIBULL.DIST(AL$2,$M96,$L96,FALSE)*$U96*((1+Inputs!$D$7)^AL$2))),IF($N96=Lists!$K$3,IF($L96&lt;1,((($T96*(1-$F96)+$S96*(1-$G96))/$L96)*((1+Inputs!$D$7)^AL$2)),((INT(AL$2/$L96)-INT((AL$2-1)/$L96))*($T96*(1-$F96)+$S96*(1-$G96))*((1+Inputs!$D$7)^AL$2))),((_xlfn.WEIBULL.DIST(AL$2,$M96,$L96,FALSE)*($T96*(1-$F96)+$S96*(1-$G96))*((1+Inputs!$D$7)^AL$2))))))</f>
        <v>18.688152574511104</v>
      </c>
      <c r="AM96" s="88">
        <f>$E96*IF(AM$2&gt;Inputs!$D$5,0,IF(AM$2&gt;VLOOKUP($H96,Lists!$P$3:$Q$7,2),IF($N96=Lists!$K$3,IF($L96&lt;1,(($U96/$L96)*((1+Inputs!$D$7)^AM$2)),((INT(AM$2/$L96)-INT((AM$2-1)/$L96))*$U96*((1+Inputs!$D$7)^AM$2))),(_xlfn.WEIBULL.DIST(AM$2,$M96,$L96,FALSE)*$U96*((1+Inputs!$D$7)^AM$2))),IF($N96=Lists!$K$3,IF($L96&lt;1,((($T96*(1-$F96)+$S96*(1-$G96))/$L96)*((1+Inputs!$D$7)^AM$2)),((INT(AM$2/$L96)-INT((AM$2-1)/$L96))*($T96*(1-$F96)+$S96*(1-$G96))*((1+Inputs!$D$7)^AM$2))),((_xlfn.WEIBULL.DIST(AM$2,$M96,$L96,FALSE)*($T96*(1-$F96)+$S96*(1-$G96))*((1+Inputs!$D$7)^AM$2))))))</f>
        <v>19.061915626001323</v>
      </c>
      <c r="AN96" s="88">
        <f>$E96*IF(AN$2&gt;Inputs!$D$5,0,IF(AN$2&gt;VLOOKUP($H96,Lists!$P$3:$Q$7,2),IF($N96=Lists!$K$3,IF($L96&lt;1,(($U96/$L96)*((1+Inputs!$D$7)^AN$2)),((INT(AN$2/$L96)-INT((AN$2-1)/$L96))*$U96*((1+Inputs!$D$7)^AN$2))),(_xlfn.WEIBULL.DIST(AN$2,$M96,$L96,FALSE)*$U96*((1+Inputs!$D$7)^AN$2))),IF($N96=Lists!$K$3,IF($L96&lt;1,((($T96*(1-$F96)+$S96*(1-$G96))/$L96)*((1+Inputs!$D$7)^AN$2)),((INT(AN$2/$L96)-INT((AN$2-1)/$L96))*($T96*(1-$F96)+$S96*(1-$G96))*((1+Inputs!$D$7)^AN$2))),((_xlfn.WEIBULL.DIST(AN$2,$M96,$L96,FALSE)*($T96*(1-$F96)+$S96*(1-$G96))*((1+Inputs!$D$7)^AN$2))))))</f>
        <v>19.443153938521352</v>
      </c>
      <c r="AO96" s="88">
        <f>$E96*IF(AO$2&gt;Inputs!$D$5,0,IF(AO$2&gt;VLOOKUP($H96,Lists!$P$3:$Q$7,2),IF($N96=Lists!$K$3,IF($L96&lt;1,(($U96/$L96)*((1+Inputs!$D$7)^AO$2)),((INT(AO$2/$L96)-INT((AO$2-1)/$L96))*$U96*((1+Inputs!$D$7)^AO$2))),(_xlfn.WEIBULL.DIST(AO$2,$M96,$L96,FALSE)*$U96*((1+Inputs!$D$7)^AO$2))),IF($N96=Lists!$K$3,IF($L96&lt;1,((($T96*(1-$F96)+$S96*(1-$G96))/$L96)*((1+Inputs!$D$7)^AO$2)),((INT(AO$2/$L96)-INT((AO$2-1)/$L96))*($T96*(1-$F96)+$S96*(1-$G96))*((1+Inputs!$D$7)^AO$2))),((_xlfn.WEIBULL.DIST(AO$2,$M96,$L96,FALSE)*($T96*(1-$F96)+$S96*(1-$G96))*((1+Inputs!$D$7)^AO$2))))))</f>
        <v>19.832017017291776</v>
      </c>
      <c r="AP96" s="88">
        <f>$E96*IF(AP$2&gt;Inputs!$D$5,0,IF(AP$2&gt;VLOOKUP($H96,Lists!$P$3:$Q$7,2),IF($N96=Lists!$K$3,IF($L96&lt;1,(($U96/$L96)*((1+Inputs!$D$7)^AP$2)),((INT(AP$2/$L96)-INT((AP$2-1)/$L96))*$U96*((1+Inputs!$D$7)^AP$2))),(_xlfn.WEIBULL.DIST(AP$2,$M96,$L96,FALSE)*$U96*((1+Inputs!$D$7)^AP$2))),IF($N96=Lists!$K$3,IF($L96&lt;1,((($T96*(1-$F96)+$S96*(1-$G96))/$L96)*((1+Inputs!$D$7)^AP$2)),((INT(AP$2/$L96)-INT((AP$2-1)/$L96))*($T96*(1-$F96)+$S96*(1-$G96))*((1+Inputs!$D$7)^AP$2))),((_xlfn.WEIBULL.DIST(AP$2,$M96,$L96,FALSE)*($T96*(1-$F96)+$S96*(1-$G96))*((1+Inputs!$D$7)^AP$2))))))</f>
        <v>20.228657357637612</v>
      </c>
      <c r="AQ96" s="88">
        <f>$E96*IF(AQ$2&gt;Inputs!$D$5,0,IF(AQ$2&gt;VLOOKUP($H96,Lists!$P$3:$Q$7,2),IF($N96=Lists!$K$3,IF($L96&lt;1,(($U96/$L96)*((1+Inputs!$D$7)^AQ$2)),((INT(AQ$2/$L96)-INT((AQ$2-1)/$L96))*$U96*((1+Inputs!$D$7)^AQ$2))),(_xlfn.WEIBULL.DIST(AQ$2,$M96,$L96,FALSE)*$U96*((1+Inputs!$D$7)^AQ$2))),IF($N96=Lists!$K$3,IF($L96&lt;1,((($T96*(1-$F96)+$S96*(1-$G96))/$L96)*((1+Inputs!$D$7)^AQ$2)),((INT(AQ$2/$L96)-INT((AQ$2-1)/$L96))*($T96*(1-$F96)+$S96*(1-$G96))*((1+Inputs!$D$7)^AQ$2))),((_xlfn.WEIBULL.DIST(AQ$2,$M96,$L96,FALSE)*($T96*(1-$F96)+$S96*(1-$G96))*((1+Inputs!$D$7)^AQ$2))))))</f>
        <v>20.633230504790365</v>
      </c>
      <c r="AR96" s="88">
        <f>$E96*IF(AR$2&gt;Inputs!$D$5,0,IF(AR$2&gt;VLOOKUP($H96,Lists!$P$3:$Q$7,2),IF($N96=Lists!$K$3,IF($L96&lt;1,(($U96/$L96)*((1+Inputs!$D$7)^AR$2)),((INT(AR$2/$L96)-INT((AR$2-1)/$L96))*$U96*((1+Inputs!$D$7)^AR$2))),(_xlfn.WEIBULL.DIST(AR$2,$M96,$L96,FALSE)*$U96*((1+Inputs!$D$7)^AR$2))),IF($N96=Lists!$K$3,IF($L96&lt;1,((($T96*(1-$F96)+$S96*(1-$G96))/$L96)*((1+Inputs!$D$7)^AR$2)),((INT(AR$2/$L96)-INT((AR$2-1)/$L96))*($T96*(1-$F96)+$S96*(1-$G96))*((1+Inputs!$D$7)^AR$2))),((_xlfn.WEIBULL.DIST(AR$2,$M96,$L96,FALSE)*($T96*(1-$F96)+$S96*(1-$G96))*((1+Inputs!$D$7)^AR$2))))))</f>
        <v>21.045895114886171</v>
      </c>
      <c r="AS96" s="88">
        <f>$E96*IF(AS$2&gt;Inputs!$D$5,0,IF(AS$2&gt;VLOOKUP($H96,Lists!$P$3:$Q$7,2),IF($N96=Lists!$K$3,IF($L96&lt;1,(($U96/$L96)*((1+Inputs!$D$7)^AS$2)),((INT(AS$2/$L96)-INT((AS$2-1)/$L96))*$U96*((1+Inputs!$D$7)^AS$2))),(_xlfn.WEIBULL.DIST(AS$2,$M96,$L96,FALSE)*$U96*((1+Inputs!$D$7)^AS$2))),IF($N96=Lists!$K$3,IF($L96&lt;1,((($T96*(1-$F96)+$S96*(1-$G96))/$L96)*((1+Inputs!$D$7)^AS$2)),((INT(AS$2/$L96)-INT((AS$2-1)/$L96))*($T96*(1-$F96)+$S96*(1-$G96))*((1+Inputs!$D$7)^AS$2))),((_xlfn.WEIBULL.DIST(AS$2,$M96,$L96,FALSE)*($T96*(1-$F96)+$S96*(1-$G96))*((1+Inputs!$D$7)^AS$2))))))</f>
        <v>21.466813017183895</v>
      </c>
      <c r="AT96" s="88">
        <f>$E96*IF(AT$2&gt;Inputs!$D$5,0,IF(AT$2&gt;VLOOKUP($H96,Lists!$P$3:$Q$7,2),IF($N96=Lists!$K$3,IF($L96&lt;1,(($U96/$L96)*((1+Inputs!$D$7)^AT$2)),((INT(AT$2/$L96)-INT((AT$2-1)/$L96))*$U96*((1+Inputs!$D$7)^AT$2))),(_xlfn.WEIBULL.DIST(AT$2,$M96,$L96,FALSE)*$U96*((1+Inputs!$D$7)^AT$2))),IF($N96=Lists!$K$3,IF($L96&lt;1,((($T96*(1-$F96)+$S96*(1-$G96))/$L96)*((1+Inputs!$D$7)^AT$2)),((INT(AT$2/$L96)-INT((AT$2-1)/$L96))*($T96*(1-$F96)+$S96*(1-$G96))*((1+Inputs!$D$7)^AT$2))),((_xlfn.WEIBULL.DIST(AT$2,$M96,$L96,FALSE)*($T96*(1-$F96)+$S96*(1-$G96))*((1+Inputs!$D$7)^AT$2))))))</f>
        <v>21.896149277527574</v>
      </c>
      <c r="AU96" s="88">
        <f>$E96*IF(AU$2&gt;Inputs!$D$5,0,IF(AU$2&gt;VLOOKUP($H96,Lists!$P$3:$Q$7,2),IF($N96=Lists!$K$3,IF($L96&lt;1,(($U96/$L96)*((1+Inputs!$D$7)^AU$2)),((INT(AU$2/$L96)-INT((AU$2-1)/$L96))*$U96*((1+Inputs!$D$7)^AU$2))),(_xlfn.WEIBULL.DIST(AU$2,$M96,$L96,FALSE)*$U96*((1+Inputs!$D$7)^AU$2))),IF($N96=Lists!$K$3,IF($L96&lt;1,((($T96*(1-$F96)+$S96*(1-$G96))/$L96)*((1+Inputs!$D$7)^AU$2)),((INT(AU$2/$L96)-INT((AU$2-1)/$L96))*($T96*(1-$F96)+$S96*(1-$G96))*((1+Inputs!$D$7)^AU$2))),((_xlfn.WEIBULL.DIST(AU$2,$M96,$L96,FALSE)*($T96*(1-$F96)+$S96*(1-$G96))*((1+Inputs!$D$7)^AU$2))))))</f>
        <v>22.334072263078124</v>
      </c>
      <c r="AV96" s="88">
        <f>$E96*IF(AV$2&gt;Inputs!$D$5,0,IF(AV$2&gt;VLOOKUP($H96,Lists!$P$3:$Q$7,2),IF($N96=Lists!$K$3,IF($L96&lt;1,(($U96/$L96)*((1+Inputs!$D$7)^AV$2)),((INT(AV$2/$L96)-INT((AV$2-1)/$L96))*$U96*((1+Inputs!$D$7)^AV$2))),(_xlfn.WEIBULL.DIST(AV$2,$M96,$L96,FALSE)*$U96*((1+Inputs!$D$7)^AV$2))),IF($N96=Lists!$K$3,IF($L96&lt;1,((($T96*(1-$F96)+$S96*(1-$G96))/$L96)*((1+Inputs!$D$7)^AV$2)),((INT(AV$2/$L96)-INT((AV$2-1)/$L96))*($T96*(1-$F96)+$S96*(1-$G96))*((1+Inputs!$D$7)^AV$2))),((_xlfn.WEIBULL.DIST(AV$2,$M96,$L96,FALSE)*($T96*(1-$F96)+$S96*(1-$G96))*((1+Inputs!$D$7)^AV$2))))))</f>
        <v>22.780753708339688</v>
      </c>
      <c r="AW96" s="88">
        <f>$E96*IF(AW$2&gt;Inputs!$D$5,0,IF(AW$2&gt;VLOOKUP($H96,Lists!$P$3:$Q$7,2),IF($N96=Lists!$K$3,IF($L96&lt;1,(($U96/$L96)*((1+Inputs!$D$7)^AW$2)),((INT(AW$2/$L96)-INT((AW$2-1)/$L96))*$U96*((1+Inputs!$D$7)^AW$2))),(_xlfn.WEIBULL.DIST(AW$2,$M96,$L96,FALSE)*$U96*((1+Inputs!$D$7)^AW$2))),IF($N96=Lists!$K$3,IF($L96&lt;1,((($T96*(1-$F96)+$S96*(1-$G96))/$L96)*((1+Inputs!$D$7)^AW$2)),((INT(AW$2/$L96)-INT((AW$2-1)/$L96))*($T96*(1-$F96)+$S96*(1-$G96))*((1+Inputs!$D$7)^AW$2))),((_xlfn.WEIBULL.DIST(AW$2,$M96,$L96,FALSE)*($T96*(1-$F96)+$S96*(1-$G96))*((1+Inputs!$D$7)^AW$2))))))</f>
        <v>23.236368782506478</v>
      </c>
      <c r="AX96" s="88">
        <f>$E96*IF(AX$2&gt;Inputs!$D$5,0,IF(AX$2&gt;VLOOKUP($H96,Lists!$P$3:$Q$7,2),IF($N96=Lists!$K$3,IF($L96&lt;1,(($U96/$L96)*((1+Inputs!$D$7)^AX$2)),((INT(AX$2/$L96)-INT((AX$2-1)/$L96))*$U96*((1+Inputs!$D$7)^AX$2))),(_xlfn.WEIBULL.DIST(AX$2,$M96,$L96,FALSE)*$U96*((1+Inputs!$D$7)^AX$2))),IF($N96=Lists!$K$3,IF($L96&lt;1,((($T96*(1-$F96)+$S96*(1-$G96))/$L96)*((1+Inputs!$D$7)^AX$2)),((INT(AX$2/$L96)-INT((AX$2-1)/$L96))*($T96*(1-$F96)+$S96*(1-$G96))*((1+Inputs!$D$7)^AX$2))),((_xlfn.WEIBULL.DIST(AX$2,$M96,$L96,FALSE)*($T96*(1-$F96)+$S96*(1-$G96))*((1+Inputs!$D$7)^AX$2))))))</f>
        <v>23.701096158156609</v>
      </c>
      <c r="AY96" s="88">
        <f>$E96*IF(AY$2&gt;Inputs!$D$5,0,IF(AY$2&gt;VLOOKUP($H96,Lists!$P$3:$Q$7,2),IF($N96=Lists!$K$3,IF($L96&lt;1,(($U96/$L96)*((1+Inputs!$D$7)^AY$2)),((INT(AY$2/$L96)-INT((AY$2-1)/$L96))*$U96*((1+Inputs!$D$7)^AY$2))),(_xlfn.WEIBULL.DIST(AY$2,$M96,$L96,FALSE)*$U96*((1+Inputs!$D$7)^AY$2))),IF($N96=Lists!$K$3,IF($L96&lt;1,((($T96*(1-$F96)+$S96*(1-$G96))/$L96)*((1+Inputs!$D$7)^AY$2)),((INT(AY$2/$L96)-INT((AY$2-1)/$L96))*($T96*(1-$F96)+$S96*(1-$G96))*((1+Inputs!$D$7)^AY$2))),((_xlfn.WEIBULL.DIST(AY$2,$M96,$L96,FALSE)*($T96*(1-$F96)+$S96*(1-$G96))*((1+Inputs!$D$7)^AY$2))))))</f>
        <v>24.175118081319741</v>
      </c>
      <c r="AZ96" s="88">
        <f>$E96*IF(AZ$2&gt;Inputs!$D$5,0,IF(AZ$2&gt;VLOOKUP($H96,Lists!$P$3:$Q$7,2),IF($N96=Lists!$K$3,IF($L96&lt;1,(($U96/$L96)*((1+Inputs!$D$7)^AZ$2)),((INT(AZ$2/$L96)-INT((AZ$2-1)/$L96))*$U96*((1+Inputs!$D$7)^AZ$2))),(_xlfn.WEIBULL.DIST(AZ$2,$M96,$L96,FALSE)*$U96*((1+Inputs!$D$7)^AZ$2))),IF($N96=Lists!$K$3,IF($L96&lt;1,((($T96*(1-$F96)+$S96*(1-$G96))/$L96)*((1+Inputs!$D$7)^AZ$2)),((INT(AZ$2/$L96)-INT((AZ$2-1)/$L96))*($T96*(1-$F96)+$S96*(1-$G96))*((1+Inputs!$D$7)^AZ$2))),((_xlfn.WEIBULL.DIST(AZ$2,$M96,$L96,FALSE)*($T96*(1-$F96)+$S96*(1-$G96))*((1+Inputs!$D$7)^AZ$2))))))</f>
        <v>0</v>
      </c>
      <c r="BA96" s="88">
        <f>$E96*IF(BA$2&gt;Inputs!$D$5,0,IF(BA$2&gt;VLOOKUP($H96,Lists!$P$3:$Q$7,2),IF($N96=Lists!$K$3,IF($L96&lt;1,(($U96/$L96)*((1+Inputs!$D$7)^BA$2)),((INT(BA$2/$L96)-INT((BA$2-1)/$L96))*$U96*((1+Inputs!$D$7)^BA$2))),(_xlfn.WEIBULL.DIST(BA$2,$M96,$L96,FALSE)*$U96*((1+Inputs!$D$7)^BA$2))),IF($N96=Lists!$K$3,IF($L96&lt;1,((($T96*(1-$F96)+$S96*(1-$G96))/$L96)*((1+Inputs!$D$7)^BA$2)),((INT(BA$2/$L96)-INT((BA$2-1)/$L96))*($T96*(1-$F96)+$S96*(1-$G96))*((1+Inputs!$D$7)^BA$2))),((_xlfn.WEIBULL.DIST(BA$2,$M96,$L96,FALSE)*($T96*(1-$F96)+$S96*(1-$G96))*((1+Inputs!$D$7)^BA$2))))))</f>
        <v>0</v>
      </c>
      <c r="BB96" s="88">
        <f>$E96*IF(BB$2&gt;Inputs!$D$5,0,IF(BB$2&gt;VLOOKUP($H96,Lists!$P$3:$Q$7,2),IF($N96=Lists!$K$3,IF($L96&lt;1,(($U96/$L96)*((1+Inputs!$D$7)^BB$2)),((INT(BB$2/$L96)-INT((BB$2-1)/$L96))*$U96*((1+Inputs!$D$7)^BB$2))),(_xlfn.WEIBULL.DIST(BB$2,$M96,$L96,FALSE)*$U96*((1+Inputs!$D$7)^BB$2))),IF($N96=Lists!$K$3,IF($L96&lt;1,((($T96*(1-$F96)+$S96*(1-$G96))/$L96)*((1+Inputs!$D$7)^BB$2)),((INT(BB$2/$L96)-INT((BB$2-1)/$L96))*($T96*(1-$F96)+$S96*(1-$G96))*((1+Inputs!$D$7)^BB$2))),((_xlfn.WEIBULL.DIST(BB$2,$M96,$L96,FALSE)*($T96*(1-$F96)+$S96*(1-$G96))*((1+Inputs!$D$7)^BB$2))))))</f>
        <v>0</v>
      </c>
      <c r="BC96" s="88">
        <f>$E96*IF(BC$2&gt;Inputs!$D$5,0,IF(BC$2&gt;VLOOKUP($H96,Lists!$P$3:$Q$7,2),IF($N96=Lists!$K$3,IF($L96&lt;1,(($U96/$L96)*((1+Inputs!$D$7)^BC$2)),((INT(BC$2/$L96)-INT((BC$2-1)/$L96))*$U96*((1+Inputs!$D$7)^BC$2))),(_xlfn.WEIBULL.DIST(BC$2,$M96,$L96,FALSE)*$U96*((1+Inputs!$D$7)^BC$2))),IF($N96=Lists!$K$3,IF($L96&lt;1,((($T96*(1-$F96)+$S96*(1-$G96))/$L96)*((1+Inputs!$D$7)^BC$2)),((INT(BC$2/$L96)-INT((BC$2-1)/$L96))*($T96*(1-$F96)+$S96*(1-$G96))*((1+Inputs!$D$7)^BC$2))),((_xlfn.WEIBULL.DIST(BC$2,$M96,$L96,FALSE)*($T96*(1-$F96)+$S96*(1-$G96))*((1+Inputs!$D$7)^BC$2))))))</f>
        <v>0</v>
      </c>
      <c r="BD96" s="88">
        <f>$E96*IF(BD$2&gt;Inputs!$D$5,0,IF(BD$2&gt;VLOOKUP($H96,Lists!$P$3:$Q$7,2),IF($N96=Lists!$K$3,IF($L96&lt;1,(($U96/$L96)*((1+Inputs!$D$7)^BD$2)),((INT(BD$2/$L96)-INT((BD$2-1)/$L96))*$U96*((1+Inputs!$D$7)^BD$2))),(_xlfn.WEIBULL.DIST(BD$2,$M96,$L96,FALSE)*$U96*((1+Inputs!$D$7)^BD$2))),IF($N96=Lists!$K$3,IF($L96&lt;1,((($T96*(1-$F96)+$S96*(1-$G96))/$L96)*((1+Inputs!$D$7)^BD$2)),((INT(BD$2/$L96)-INT((BD$2-1)/$L96))*($T96*(1-$F96)+$S96*(1-$G96))*((1+Inputs!$D$7)^BD$2))),((_xlfn.WEIBULL.DIST(BD$2,$M96,$L96,FALSE)*($T96*(1-$F96)+$S96*(1-$G96))*((1+Inputs!$D$7)^BD$2))))))</f>
        <v>0</v>
      </c>
      <c r="BE96" s="88">
        <f>$E96*IF(BE$2&gt;Inputs!$D$5,0,IF(BE$2&gt;VLOOKUP($H96,Lists!$P$3:$Q$7,2),IF($N96=Lists!$K$3,IF($L96&lt;1,(($U96/$L96)*((1+Inputs!$D$7)^BE$2)),((INT(BE$2/$L96)-INT((BE$2-1)/$L96))*$U96*((1+Inputs!$D$7)^BE$2))),(_xlfn.WEIBULL.DIST(BE$2,$M96,$L96,FALSE)*$U96*((1+Inputs!$D$7)^BE$2))),IF($N96=Lists!$K$3,IF($L96&lt;1,((($T96*(1-$F96)+$S96*(1-$G96))/$L96)*((1+Inputs!$D$7)^BE$2)),((INT(BE$2/$L96)-INT((BE$2-1)/$L96))*($T96*(1-$F96)+$S96*(1-$G96))*((1+Inputs!$D$7)^BE$2))),((_xlfn.WEIBULL.DIST(BE$2,$M96,$L96,FALSE)*($T96*(1-$F96)+$S96*(1-$G96))*((1+Inputs!$D$7)^BE$2))))))</f>
        <v>0</v>
      </c>
      <c r="BF96" s="88">
        <f>$E96*IF(BF$2&gt;Inputs!$D$5,0,IF(BF$2&gt;VLOOKUP($H96,Lists!$P$3:$Q$7,2),IF($N96=Lists!$K$3,IF($L96&lt;1,(($U96/$L96)*((1+Inputs!$D$7)^BF$2)),((INT(BF$2/$L96)-INT((BF$2-1)/$L96))*$U96*((1+Inputs!$D$7)^BF$2))),(_xlfn.WEIBULL.DIST(BF$2,$M96,$L96,FALSE)*$U96*((1+Inputs!$D$7)^BF$2))),IF($N96=Lists!$K$3,IF($L96&lt;1,((($T96*(1-$F96)+$S96*(1-$G96))/$L96)*((1+Inputs!$D$7)^BF$2)),((INT(BF$2/$L96)-INT((BF$2-1)/$L96))*($T96*(1-$F96)+$S96*(1-$G96))*((1+Inputs!$D$7)^BF$2))),((_xlfn.WEIBULL.DIST(BF$2,$M96,$L96,FALSE)*($T96*(1-$F96)+$S96*(1-$G96))*((1+Inputs!$D$7)^BF$2))))))</f>
        <v>0</v>
      </c>
      <c r="BG96" s="88">
        <f>$E96*IF(BG$2&gt;Inputs!$D$5,0,IF(BG$2&gt;VLOOKUP($H96,Lists!$P$3:$Q$7,2),IF($N96=Lists!$K$3,IF($L96&lt;1,(($U96/$L96)*((1+Inputs!$D$7)^BG$2)),((INT(BG$2/$L96)-INT((BG$2-1)/$L96))*$U96*((1+Inputs!$D$7)^BG$2))),(_xlfn.WEIBULL.DIST(BG$2,$M96,$L96,FALSE)*$U96*((1+Inputs!$D$7)^BG$2))),IF($N96=Lists!$K$3,IF($L96&lt;1,((($T96*(1-$F96)+$S96*(1-$G96))/$L96)*((1+Inputs!$D$7)^BG$2)),((INT(BG$2/$L96)-INT((BG$2-1)/$L96))*($T96*(1-$F96)+$S96*(1-$G96))*((1+Inputs!$D$7)^BG$2))),((_xlfn.WEIBULL.DIST(BG$2,$M96,$L96,FALSE)*($T96*(1-$F96)+$S96*(1-$G96))*((1+Inputs!$D$7)^BG$2))))))</f>
        <v>0</v>
      </c>
      <c r="BH96" s="88">
        <f>$E96*IF(BH$2&gt;Inputs!$D$5,0,IF(BH$2&gt;VLOOKUP($H96,Lists!$P$3:$Q$7,2),IF($N96=Lists!$K$3,IF($L96&lt;1,(($U96/$L96)*((1+Inputs!$D$7)^BH$2)),((INT(BH$2/$L96)-INT((BH$2-1)/$L96))*$U96*((1+Inputs!$D$7)^BH$2))),(_xlfn.WEIBULL.DIST(BH$2,$M96,$L96,FALSE)*$U96*((1+Inputs!$D$7)^BH$2))),IF($N96=Lists!$K$3,IF($L96&lt;1,((($T96*(1-$F96)+$S96*(1-$G96))/$L96)*((1+Inputs!$D$7)^BH$2)),((INT(BH$2/$L96)-INT((BH$2-1)/$L96))*($T96*(1-$F96)+$S96*(1-$G96))*((1+Inputs!$D$7)^BH$2))),((_xlfn.WEIBULL.DIST(BH$2,$M96,$L96,FALSE)*($T96*(1-$F96)+$S96*(1-$G96))*((1+Inputs!$D$7)^BH$2))))))</f>
        <v>0</v>
      </c>
      <c r="BI96" s="88">
        <f>$E96*IF(BI$2&gt;Inputs!$D$5,0,IF(BI$2&gt;VLOOKUP($H96,Lists!$P$3:$Q$7,2),IF($N96=Lists!$K$3,IF($L96&lt;1,(($U96/$L96)*((1+Inputs!$D$7)^BI$2)),((INT(BI$2/$L96)-INT((BI$2-1)/$L96))*$U96*((1+Inputs!$D$7)^BI$2))),(_xlfn.WEIBULL.DIST(BI$2,$M96,$L96,FALSE)*$U96*((1+Inputs!$D$7)^BI$2))),IF($N96=Lists!$K$3,IF($L96&lt;1,((($T96*(1-$F96)+$S96*(1-$G96))/$L96)*((1+Inputs!$D$7)^BI$2)),((INT(BI$2/$L96)-INT((BI$2-1)/$L96))*($T96*(1-$F96)+$S96*(1-$G96))*((1+Inputs!$D$7)^BI$2))),((_xlfn.WEIBULL.DIST(BI$2,$M96,$L96,FALSE)*($T96*(1-$F96)+$S96*(1-$G96))*((1+Inputs!$D$7)^BI$2))))))</f>
        <v>0</v>
      </c>
      <c r="BJ96" s="88">
        <f>$E96*IF(BJ$2&gt;Inputs!$D$5,0,IF(BJ$2&gt;VLOOKUP($H96,Lists!$P$3:$Q$7,2),IF($N96=Lists!$K$3,IF($L96&lt;1,(($U96/$L96)*((1+Inputs!$D$7)^BJ$2)),((INT(BJ$2/$L96)-INT((BJ$2-1)/$L96))*$U96*((1+Inputs!$D$7)^BJ$2))),(_xlfn.WEIBULL.DIST(BJ$2,$M96,$L96,FALSE)*$U96*((1+Inputs!$D$7)^BJ$2))),IF($N96=Lists!$K$3,IF($L96&lt;1,((($T96*(1-$F96)+$S96*(1-$G96))/$L96)*((1+Inputs!$D$7)^BJ$2)),((INT(BJ$2/$L96)-INT((BJ$2-1)/$L96))*($T96*(1-$F96)+$S96*(1-$G96))*((1+Inputs!$D$7)^BJ$2))),((_xlfn.WEIBULL.DIST(BJ$2,$M96,$L96,FALSE)*($T96*(1-$F96)+$S96*(1-$G96))*((1+Inputs!$D$7)^BJ$2))))))</f>
        <v>0</v>
      </c>
      <c r="BK96" s="88">
        <f>$E96*IF(BK$2&gt;Inputs!$D$5,0,IF(BK$2&gt;VLOOKUP($H96,Lists!$P$3:$Q$7,2),IF($N96=Lists!$K$3,IF($L96&lt;1,(($U96/$L96)*((1+Inputs!$D$7)^BK$2)),((INT(BK$2/$L96)-INT((BK$2-1)/$L96))*$U96*((1+Inputs!$D$7)^BK$2))),(_xlfn.WEIBULL.DIST(BK$2,$M96,$L96,FALSE)*$U96*((1+Inputs!$D$7)^BK$2))),IF($N96=Lists!$K$3,IF($L96&lt;1,((($T96*(1-$F96)+$S96*(1-$G96))/$L96)*((1+Inputs!$D$7)^BK$2)),((INT(BK$2/$L96)-INT((BK$2-1)/$L96))*($T96*(1-$F96)+$S96*(1-$G96))*((1+Inputs!$D$7)^BK$2))),((_xlfn.WEIBULL.DIST(BK$2,$M96,$L96,FALSE)*($T96*(1-$F96)+$S96*(1-$G96))*((1+Inputs!$D$7)^BK$2))))))</f>
        <v>0</v>
      </c>
      <c r="BL96" s="88">
        <f>$E96*IF(BL$2&gt;Inputs!$D$5,0,IF(BL$2&gt;VLOOKUP($H96,Lists!$P$3:$Q$7,2),IF($N96=Lists!$K$3,IF($L96&lt;1,(($U96/$L96)*((1+Inputs!$D$7)^BL$2)),((INT(BL$2/$L96)-INT((BL$2-1)/$L96))*$U96*((1+Inputs!$D$7)^BL$2))),(_xlfn.WEIBULL.DIST(BL$2,$M96,$L96,FALSE)*$U96*((1+Inputs!$D$7)^BL$2))),IF($N96=Lists!$K$3,IF($L96&lt;1,((($T96*(1-$F96)+$S96*(1-$G96))/$L96)*((1+Inputs!$D$7)^BL$2)),((INT(BL$2/$L96)-INT((BL$2-1)/$L96))*($T96*(1-$F96)+$S96*(1-$G96))*((1+Inputs!$D$7)^BL$2))),((_xlfn.WEIBULL.DIST(BL$2,$M96,$L96,FALSE)*($T96*(1-$F96)+$S96*(1-$G96))*((1+Inputs!$D$7)^BL$2))))))</f>
        <v>0</v>
      </c>
      <c r="BM96" s="88">
        <f>$E96*IF(BM$2&gt;Inputs!$D$5,0,IF(BM$2&gt;VLOOKUP($H96,Lists!$P$3:$Q$7,2),IF($N96=Lists!$K$3,IF($L96&lt;1,(($U96/$L96)*((1+Inputs!$D$7)^BM$2)),((INT(BM$2/$L96)-INT((BM$2-1)/$L96))*$U96*((1+Inputs!$D$7)^BM$2))),(_xlfn.WEIBULL.DIST(BM$2,$M96,$L96,FALSE)*$U96*((1+Inputs!$D$7)^BM$2))),IF($N96=Lists!$K$3,IF($L96&lt;1,((($T96*(1-$F96)+$S96*(1-$G96))/$L96)*((1+Inputs!$D$7)^BM$2)),((INT(BM$2/$L96)-INT((BM$2-1)/$L96))*($T96*(1-$F96)+$S96*(1-$G96))*((1+Inputs!$D$7)^BM$2))),((_xlfn.WEIBULL.DIST(BM$2,$M96,$L96,FALSE)*($T96*(1-$F96)+$S96*(1-$G96))*((1+Inputs!$D$7)^BM$2))))))</f>
        <v>0</v>
      </c>
      <c r="BN96" s="88">
        <f>$E96*IF(BN$2&gt;Inputs!$D$5,0,IF(BN$2&gt;VLOOKUP($H96,Lists!$P$3:$Q$7,2),IF($N96=Lists!$K$3,IF($L96&lt;1,(($U96/$L96)*((1+Inputs!$D$7)^BN$2)),((INT(BN$2/$L96)-INT((BN$2-1)/$L96))*$U96*((1+Inputs!$D$7)^BN$2))),(_xlfn.WEIBULL.DIST(BN$2,$M96,$L96,FALSE)*$U96*((1+Inputs!$D$7)^BN$2))),IF($N96=Lists!$K$3,IF($L96&lt;1,((($T96*(1-$F96)+$S96*(1-$G96))/$L96)*((1+Inputs!$D$7)^BN$2)),((INT(BN$2/$L96)-INT((BN$2-1)/$L96))*($T96*(1-$F96)+$S96*(1-$G96))*((1+Inputs!$D$7)^BN$2))),((_xlfn.WEIBULL.DIST(BN$2,$M96,$L96,FALSE)*($T96*(1-$F96)+$S96*(1-$G96))*((1+Inputs!$D$7)^BN$2))))))</f>
        <v>0</v>
      </c>
      <c r="BO96" s="64">
        <f>NPV(Inputs!$D$6,BQ96:DD96)</f>
        <v>209.73719698338923</v>
      </c>
      <c r="BP96" s="67">
        <f t="shared" si="20"/>
        <v>9.8922301615800965E-5</v>
      </c>
      <c r="BQ96" s="88">
        <f>MAX(AA96,($E96*IF(BQ$2&gt;Inputs!$D$5,0,IF(BQ$2&gt;VLOOKUP($H96,Lists!$P$3:$Q$7,2),IF($N96=Lists!$K$3,IF($L96&lt;1,(($U96/$L96)*((1+Inputs!$D$7)^BQ$2)),((INT(BQ$2/$L96)-INT((BQ$2-1)/$L96))*$U96*((1+Inputs!$D$7)^BQ$2))),(Inputs!$D$8^((1-_xlfn.WEIBULL.DIST(BQ$2,$M96,$L96,FALSE))/_xlfn.WEIBULL.DIST(BQ$2,$M96,$L96,FALSE))*$U96*((1+Inputs!$D$7)^BQ$2))),IF($N96=Lists!$K$3,IF($L96&lt;1,((($T96*(1-$F96)+$S96*(1-$G96))/$L96)*((1+Inputs!$D$7)^BQ$2)),((INT(BQ$2/$L96)-INT((BQ$2-1)/$L96))*($T96*(1-$F96)+$S96*(1-$G96))*((1+Inputs!$D$7)^BQ$2))),((Inputs!$D$8^((1-_xlfn.WEIBULL.DIST(BQ$2,$M96,$L96,FALSE))/_xlfn.WEIBULL.DIST(BQ$2,$M96,$L96,FALSE))*($T96*(1-$F96)+$S96*(1-$G96))*((1+Inputs!$D$7)^BQ$2))))))))</f>
        <v>15.030190384615382</v>
      </c>
      <c r="BR96" s="88">
        <f>MAX(AB96,($E96*IF(BR$2&gt;Inputs!$D$5,0,IF(BR$2&gt;VLOOKUP($H96,Lists!$P$3:$Q$7,2),IF($N96=Lists!$K$3,IF($L96&lt;1,(($U96/$L96)*((1+Inputs!$D$7)^BR$2)),((INT(BR$2/$L96)-INT((BR$2-1)/$L96))*$U96*((1+Inputs!$D$7)^BR$2))),(Inputs!$D$8^((1-_xlfn.WEIBULL.DIST(BR$2,$M96,$L96,FALSE))/_xlfn.WEIBULL.DIST(BR$2,$M96,$L96,FALSE))*$U96*((1+Inputs!$D$7)^BR$2))),IF($N96=Lists!$K$3,IF($L96&lt;1,((($T96*(1-$F96)+$S96*(1-$G96))/$L96)*((1+Inputs!$D$7)^BR$2)),((INT(BR$2/$L96)-INT((BR$2-1)/$L96))*($T96*(1-$F96)+$S96*(1-$G96))*((1+Inputs!$D$7)^BR$2))),((Inputs!$D$8^((1-_xlfn.WEIBULL.DIST(BR$2,$M96,$L96,FALSE))/_xlfn.WEIBULL.DIST(BR$2,$M96,$L96,FALSE))*($T96*(1-$F96)+$S96*(1-$G96))*((1+Inputs!$D$7)^BR$2))))))))</f>
        <v>15.330794192307691</v>
      </c>
      <c r="BS96" s="88">
        <f>MAX(AC96,($E96*IF(BS$2&gt;Inputs!$D$5,0,IF(BS$2&gt;VLOOKUP($H96,Lists!$P$3:$Q$7,2),IF($N96=Lists!$K$3,IF($L96&lt;1,(($U96/$L96)*((1+Inputs!$D$7)^BS$2)),((INT(BS$2/$L96)-INT((BS$2-1)/$L96))*$U96*((1+Inputs!$D$7)^BS$2))),(Inputs!$D$8^((1-_xlfn.WEIBULL.DIST(BS$2,$M96,$L96,FALSE))/_xlfn.WEIBULL.DIST(BS$2,$M96,$L96,FALSE))*$U96*((1+Inputs!$D$7)^BS$2))),IF($N96=Lists!$K$3,IF($L96&lt;1,((($T96*(1-$F96)+$S96*(1-$G96))/$L96)*((1+Inputs!$D$7)^BS$2)),((INT(BS$2/$L96)-INT((BS$2-1)/$L96))*($T96*(1-$F96)+$S96*(1-$G96))*((1+Inputs!$D$7)^BS$2))),((Inputs!$D$8^((1-_xlfn.WEIBULL.DIST(BS$2,$M96,$L96,FALSE))/_xlfn.WEIBULL.DIST(BS$2,$M96,$L96,FALSE))*($T96*(1-$F96)+$S96*(1-$G96))*((1+Inputs!$D$7)^BS$2))))))))</f>
        <v>15.637410076153843</v>
      </c>
      <c r="BT96" s="88">
        <f>MAX(AD96,($E96*IF(BT$2&gt;Inputs!$D$5,0,IF(BT$2&gt;VLOOKUP($H96,Lists!$P$3:$Q$7,2),IF($N96=Lists!$K$3,IF($L96&lt;1,(($U96/$L96)*((1+Inputs!$D$7)^BT$2)),((INT(BT$2/$L96)-INT((BT$2-1)/$L96))*$U96*((1+Inputs!$D$7)^BT$2))),(Inputs!$D$8^((1-_xlfn.WEIBULL.DIST(BT$2,$M96,$L96,FALSE))/_xlfn.WEIBULL.DIST(BT$2,$M96,$L96,FALSE))*$U96*((1+Inputs!$D$7)^BT$2))),IF($N96=Lists!$K$3,IF($L96&lt;1,((($T96*(1-$F96)+$S96*(1-$G96))/$L96)*((1+Inputs!$D$7)^BT$2)),((INT(BT$2/$L96)-INT((BT$2-1)/$L96))*($T96*(1-$F96)+$S96*(1-$G96))*((1+Inputs!$D$7)^BT$2))),((Inputs!$D$8^((1-_xlfn.WEIBULL.DIST(BT$2,$M96,$L96,FALSE))/_xlfn.WEIBULL.DIST(BT$2,$M96,$L96,FALSE))*($T96*(1-$F96)+$S96*(1-$G96))*((1+Inputs!$D$7)^BT$2))))))))</f>
        <v>15.95015827767692</v>
      </c>
      <c r="BU96" s="88">
        <f>MAX(AE96,($E96*IF(BU$2&gt;Inputs!$D$5,0,IF(BU$2&gt;VLOOKUP($H96,Lists!$P$3:$Q$7,2),IF($N96=Lists!$K$3,IF($L96&lt;1,(($U96/$L96)*((1+Inputs!$D$7)^BU$2)),((INT(BU$2/$L96)-INT((BU$2-1)/$L96))*$U96*((1+Inputs!$D$7)^BU$2))),(Inputs!$D$8^((1-_xlfn.WEIBULL.DIST(BU$2,$M96,$L96,FALSE))/_xlfn.WEIBULL.DIST(BU$2,$M96,$L96,FALSE))*$U96*((1+Inputs!$D$7)^BU$2))),IF($N96=Lists!$K$3,IF($L96&lt;1,((($T96*(1-$F96)+$S96*(1-$G96))/$L96)*((1+Inputs!$D$7)^BU$2)),((INT(BU$2/$L96)-INT((BU$2-1)/$L96))*($T96*(1-$F96)+$S96*(1-$G96))*((1+Inputs!$D$7)^BU$2))),((Inputs!$D$8^((1-_xlfn.WEIBULL.DIST(BU$2,$M96,$L96,FALSE))/_xlfn.WEIBULL.DIST(BU$2,$M96,$L96,FALSE))*($T96*(1-$F96)+$S96*(1-$G96))*((1+Inputs!$D$7)^BU$2))))))))</f>
        <v>16.269161443230459</v>
      </c>
      <c r="BV96" s="88">
        <f>MAX(AF96,($E96*IF(BV$2&gt;Inputs!$D$5,0,IF(BV$2&gt;VLOOKUP($H96,Lists!$P$3:$Q$7,2),IF($N96=Lists!$K$3,IF($L96&lt;1,(($U96/$L96)*((1+Inputs!$D$7)^BV$2)),((INT(BV$2/$L96)-INT((BV$2-1)/$L96))*$U96*((1+Inputs!$D$7)^BV$2))),(Inputs!$D$8^((1-_xlfn.WEIBULL.DIST(BV$2,$M96,$L96,FALSE))/_xlfn.WEIBULL.DIST(BV$2,$M96,$L96,FALSE))*$U96*((1+Inputs!$D$7)^BV$2))),IF($N96=Lists!$K$3,IF($L96&lt;1,((($T96*(1-$F96)+$S96*(1-$G96))/$L96)*((1+Inputs!$D$7)^BV$2)),((INT(BV$2/$L96)-INT((BV$2-1)/$L96))*($T96*(1-$F96)+$S96*(1-$G96))*((1+Inputs!$D$7)^BV$2))),((Inputs!$D$8^((1-_xlfn.WEIBULL.DIST(BV$2,$M96,$L96,FALSE))/_xlfn.WEIBULL.DIST(BV$2,$M96,$L96,FALSE))*($T96*(1-$F96)+$S96*(1-$G96))*((1+Inputs!$D$7)^BV$2))))))))</f>
        <v>16.594544672095068</v>
      </c>
      <c r="BW96" s="88">
        <f>MAX(AG96,($E96*IF(BW$2&gt;Inputs!$D$5,0,IF(BW$2&gt;VLOOKUP($H96,Lists!$P$3:$Q$7,2),IF($N96=Lists!$K$3,IF($L96&lt;1,(($U96/$L96)*((1+Inputs!$D$7)^BW$2)),((INT(BW$2/$L96)-INT((BW$2-1)/$L96))*$U96*((1+Inputs!$D$7)^BW$2))),(Inputs!$D$8^((1-_xlfn.WEIBULL.DIST(BW$2,$M96,$L96,FALSE))/_xlfn.WEIBULL.DIST(BW$2,$M96,$L96,FALSE))*$U96*((1+Inputs!$D$7)^BW$2))),IF($N96=Lists!$K$3,IF($L96&lt;1,((($T96*(1-$F96)+$S96*(1-$G96))/$L96)*((1+Inputs!$D$7)^BW$2)),((INT(BW$2/$L96)-INT((BW$2-1)/$L96))*($T96*(1-$F96)+$S96*(1-$G96))*((1+Inputs!$D$7)^BW$2))),((Inputs!$D$8^((1-_xlfn.WEIBULL.DIST(BW$2,$M96,$L96,FALSE))/_xlfn.WEIBULL.DIST(BW$2,$M96,$L96,FALSE))*($T96*(1-$F96)+$S96*(1-$G96))*((1+Inputs!$D$7)^BW$2))))))))</f>
        <v>16.926435565536966</v>
      </c>
      <c r="BX96" s="88">
        <f>MAX(AH96,($E96*IF(BX$2&gt;Inputs!$D$5,0,IF(BX$2&gt;VLOOKUP($H96,Lists!$P$3:$Q$7,2),IF($N96=Lists!$K$3,IF($L96&lt;1,(($U96/$L96)*((1+Inputs!$D$7)^BX$2)),((INT(BX$2/$L96)-INT((BX$2-1)/$L96))*$U96*((1+Inputs!$D$7)^BX$2))),(Inputs!$D$8^((1-_xlfn.WEIBULL.DIST(BX$2,$M96,$L96,FALSE))/_xlfn.WEIBULL.DIST(BX$2,$M96,$L96,FALSE))*$U96*((1+Inputs!$D$7)^BX$2))),IF($N96=Lists!$K$3,IF($L96&lt;1,((($T96*(1-$F96)+$S96*(1-$G96))/$L96)*((1+Inputs!$D$7)^BX$2)),((INT(BX$2/$L96)-INT((BX$2-1)/$L96))*($T96*(1-$F96)+$S96*(1-$G96))*((1+Inputs!$D$7)^BX$2))),((Inputs!$D$8^((1-_xlfn.WEIBULL.DIST(BX$2,$M96,$L96,FALSE))/_xlfn.WEIBULL.DIST(BX$2,$M96,$L96,FALSE))*($T96*(1-$F96)+$S96*(1-$G96))*((1+Inputs!$D$7)^BX$2))))))))</f>
        <v>17.264964276847707</v>
      </c>
      <c r="BY96" s="88">
        <f>MAX(AI96,($E96*IF(BY$2&gt;Inputs!$D$5,0,IF(BY$2&gt;VLOOKUP($H96,Lists!$P$3:$Q$7,2),IF($N96=Lists!$K$3,IF($L96&lt;1,(($U96/$L96)*((1+Inputs!$D$7)^BY$2)),((INT(BY$2/$L96)-INT((BY$2-1)/$L96))*$U96*((1+Inputs!$D$7)^BY$2))),(Inputs!$D$8^((1-_xlfn.WEIBULL.DIST(BY$2,$M96,$L96,FALSE))/_xlfn.WEIBULL.DIST(BY$2,$M96,$L96,FALSE))*$U96*((1+Inputs!$D$7)^BY$2))),IF($N96=Lists!$K$3,IF($L96&lt;1,((($T96*(1-$F96)+$S96*(1-$G96))/$L96)*((1+Inputs!$D$7)^BY$2)),((INT(BY$2/$L96)-INT((BY$2-1)/$L96))*($T96*(1-$F96)+$S96*(1-$G96))*((1+Inputs!$D$7)^BY$2))),((Inputs!$D$8^((1-_xlfn.WEIBULL.DIST(BY$2,$M96,$L96,FALSE))/_xlfn.WEIBULL.DIST(BY$2,$M96,$L96,FALSE))*($T96*(1-$F96)+$S96*(1-$G96))*((1+Inputs!$D$7)^BY$2))))))))</f>
        <v>17.610263562384663</v>
      </c>
      <c r="BZ96" s="88">
        <f>MAX(AJ96,($E96*IF(BZ$2&gt;Inputs!$D$5,0,IF(BZ$2&gt;VLOOKUP($H96,Lists!$P$3:$Q$7,2),IF($N96=Lists!$K$3,IF($L96&lt;1,(($U96/$L96)*((1+Inputs!$D$7)^BZ$2)),((INT(BZ$2/$L96)-INT((BZ$2-1)/$L96))*$U96*((1+Inputs!$D$7)^BZ$2))),(Inputs!$D$8^((1-_xlfn.WEIBULL.DIST(BZ$2,$M96,$L96,FALSE))/_xlfn.WEIBULL.DIST(BZ$2,$M96,$L96,FALSE))*$U96*((1+Inputs!$D$7)^BZ$2))),IF($N96=Lists!$K$3,IF($L96&lt;1,((($T96*(1-$F96)+$S96*(1-$G96))/$L96)*((1+Inputs!$D$7)^BZ$2)),((INT(BZ$2/$L96)-INT((BZ$2-1)/$L96))*($T96*(1-$F96)+$S96*(1-$G96))*((1+Inputs!$D$7)^BZ$2))),((Inputs!$D$8^((1-_xlfn.WEIBULL.DIST(BZ$2,$M96,$L96,FALSE))/_xlfn.WEIBULL.DIST(BZ$2,$M96,$L96,FALSE))*($T96*(1-$F96)+$S96*(1-$G96))*((1+Inputs!$D$7)^BZ$2))))))))</f>
        <v>17.962468833632357</v>
      </c>
      <c r="CA96" s="88">
        <f>MAX(AK96,($E96*IF(CA$2&gt;Inputs!$D$5,0,IF(CA$2&gt;VLOOKUP($H96,Lists!$P$3:$Q$7,2),IF($N96=Lists!$K$3,IF($L96&lt;1,(($U96/$L96)*((1+Inputs!$D$7)^CA$2)),((INT(CA$2/$L96)-INT((CA$2-1)/$L96))*$U96*((1+Inputs!$D$7)^CA$2))),(Inputs!$D$8^((1-_xlfn.WEIBULL.DIST(CA$2,$M96,$L96,FALSE))/_xlfn.WEIBULL.DIST(CA$2,$M96,$L96,FALSE))*$U96*((1+Inputs!$D$7)^CA$2))),IF($N96=Lists!$K$3,IF($L96&lt;1,((($T96*(1-$F96)+$S96*(1-$G96))/$L96)*((1+Inputs!$D$7)^CA$2)),((INT(CA$2/$L96)-INT((CA$2-1)/$L96))*($T96*(1-$F96)+$S96*(1-$G96))*((1+Inputs!$D$7)^CA$2))),((Inputs!$D$8^((1-_xlfn.WEIBULL.DIST(CA$2,$M96,$L96,FALSE))/_xlfn.WEIBULL.DIST(CA$2,$M96,$L96,FALSE))*($T96*(1-$F96)+$S96*(1-$G96))*((1+Inputs!$D$7)^CA$2))))))))</f>
        <v>18.321718210305001</v>
      </c>
      <c r="CB96" s="88">
        <f>MAX(AL96,($E96*IF(CB$2&gt;Inputs!$D$5,0,IF(CB$2&gt;VLOOKUP($H96,Lists!$P$3:$Q$7,2),IF($N96=Lists!$K$3,IF($L96&lt;1,(($U96/$L96)*((1+Inputs!$D$7)^CB$2)),((INT(CB$2/$L96)-INT((CB$2-1)/$L96))*$U96*((1+Inputs!$D$7)^CB$2))),(Inputs!$D$8^((1-_xlfn.WEIBULL.DIST(CB$2,$M96,$L96,FALSE))/_xlfn.WEIBULL.DIST(CB$2,$M96,$L96,FALSE))*$U96*((1+Inputs!$D$7)^CB$2))),IF($N96=Lists!$K$3,IF($L96&lt;1,((($T96*(1-$F96)+$S96*(1-$G96))/$L96)*((1+Inputs!$D$7)^CB$2)),((INT(CB$2/$L96)-INT((CB$2-1)/$L96))*($T96*(1-$F96)+$S96*(1-$G96))*((1+Inputs!$D$7)^CB$2))),((Inputs!$D$8^((1-_xlfn.WEIBULL.DIST(CB$2,$M96,$L96,FALSE))/_xlfn.WEIBULL.DIST(CB$2,$M96,$L96,FALSE))*($T96*(1-$F96)+$S96*(1-$G96))*((1+Inputs!$D$7)^CB$2))))))))</f>
        <v>18.688152574511104</v>
      </c>
      <c r="CC96" s="88">
        <f>MAX(AM96,($E96*IF(CC$2&gt;Inputs!$D$5,0,IF(CC$2&gt;VLOOKUP($H96,Lists!$P$3:$Q$7,2),IF($N96=Lists!$K$3,IF($L96&lt;1,(($U96/$L96)*((1+Inputs!$D$7)^CC$2)),((INT(CC$2/$L96)-INT((CC$2-1)/$L96))*$U96*((1+Inputs!$D$7)^CC$2))),(Inputs!$D$8^((1-_xlfn.WEIBULL.DIST(CC$2,$M96,$L96,FALSE))/_xlfn.WEIBULL.DIST(CC$2,$M96,$L96,FALSE))*$U96*((1+Inputs!$D$7)^CC$2))),IF($N96=Lists!$K$3,IF($L96&lt;1,((($T96*(1-$F96)+$S96*(1-$G96))/$L96)*((1+Inputs!$D$7)^CC$2)),((INT(CC$2/$L96)-INT((CC$2-1)/$L96))*($T96*(1-$F96)+$S96*(1-$G96))*((1+Inputs!$D$7)^CC$2))),((Inputs!$D$8^((1-_xlfn.WEIBULL.DIST(CC$2,$M96,$L96,FALSE))/_xlfn.WEIBULL.DIST(CC$2,$M96,$L96,FALSE))*($T96*(1-$F96)+$S96*(1-$G96))*((1+Inputs!$D$7)^CC$2))))))))</f>
        <v>19.061915626001323</v>
      </c>
      <c r="CD96" s="88">
        <f>MAX(AN96,($E96*IF(CD$2&gt;Inputs!$D$5,0,IF(CD$2&gt;VLOOKUP($H96,Lists!$P$3:$Q$7,2),IF($N96=Lists!$K$3,IF($L96&lt;1,(($U96/$L96)*((1+Inputs!$D$7)^CD$2)),((INT(CD$2/$L96)-INT((CD$2-1)/$L96))*$U96*((1+Inputs!$D$7)^CD$2))),(Inputs!$D$8^((1-_xlfn.WEIBULL.DIST(CD$2,$M96,$L96,FALSE))/_xlfn.WEIBULL.DIST(CD$2,$M96,$L96,FALSE))*$U96*((1+Inputs!$D$7)^CD$2))),IF($N96=Lists!$K$3,IF($L96&lt;1,((($T96*(1-$F96)+$S96*(1-$G96))/$L96)*((1+Inputs!$D$7)^CD$2)),((INT(CD$2/$L96)-INT((CD$2-1)/$L96))*($T96*(1-$F96)+$S96*(1-$G96))*((1+Inputs!$D$7)^CD$2))),((Inputs!$D$8^((1-_xlfn.WEIBULL.DIST(CD$2,$M96,$L96,FALSE))/_xlfn.WEIBULL.DIST(CD$2,$M96,$L96,FALSE))*($T96*(1-$F96)+$S96*(1-$G96))*((1+Inputs!$D$7)^CD$2))))))))</f>
        <v>19.443153938521352</v>
      </c>
      <c r="CE96" s="88">
        <f>MAX(AO96,($E96*IF(CE$2&gt;Inputs!$D$5,0,IF(CE$2&gt;VLOOKUP($H96,Lists!$P$3:$Q$7,2),IF($N96=Lists!$K$3,IF($L96&lt;1,(($U96/$L96)*((1+Inputs!$D$7)^CE$2)),((INT(CE$2/$L96)-INT((CE$2-1)/$L96))*$U96*((1+Inputs!$D$7)^CE$2))),(Inputs!$D$8^((1-_xlfn.WEIBULL.DIST(CE$2,$M96,$L96,FALSE))/_xlfn.WEIBULL.DIST(CE$2,$M96,$L96,FALSE))*$U96*((1+Inputs!$D$7)^CE$2))),IF($N96=Lists!$K$3,IF($L96&lt;1,((($T96*(1-$F96)+$S96*(1-$G96))/$L96)*((1+Inputs!$D$7)^CE$2)),((INT(CE$2/$L96)-INT((CE$2-1)/$L96))*($T96*(1-$F96)+$S96*(1-$G96))*((1+Inputs!$D$7)^CE$2))),((Inputs!$D$8^((1-_xlfn.WEIBULL.DIST(CE$2,$M96,$L96,FALSE))/_xlfn.WEIBULL.DIST(CE$2,$M96,$L96,FALSE))*($T96*(1-$F96)+$S96*(1-$G96))*((1+Inputs!$D$7)^CE$2))))))))</f>
        <v>19.832017017291776</v>
      </c>
      <c r="CF96" s="88">
        <f>MAX(AP96,($E96*IF(CF$2&gt;Inputs!$D$5,0,IF(CF$2&gt;VLOOKUP($H96,Lists!$P$3:$Q$7,2),IF($N96=Lists!$K$3,IF($L96&lt;1,(($U96/$L96)*((1+Inputs!$D$7)^CF$2)),((INT(CF$2/$L96)-INT((CF$2-1)/$L96))*$U96*((1+Inputs!$D$7)^CF$2))),(Inputs!$D$8^((1-_xlfn.WEIBULL.DIST(CF$2,$M96,$L96,FALSE))/_xlfn.WEIBULL.DIST(CF$2,$M96,$L96,FALSE))*$U96*((1+Inputs!$D$7)^CF$2))),IF($N96=Lists!$K$3,IF($L96&lt;1,((($T96*(1-$F96)+$S96*(1-$G96))/$L96)*((1+Inputs!$D$7)^CF$2)),((INT(CF$2/$L96)-INT((CF$2-1)/$L96))*($T96*(1-$F96)+$S96*(1-$G96))*((1+Inputs!$D$7)^CF$2))),((Inputs!$D$8^((1-_xlfn.WEIBULL.DIST(CF$2,$M96,$L96,FALSE))/_xlfn.WEIBULL.DIST(CF$2,$M96,$L96,FALSE))*($T96*(1-$F96)+$S96*(1-$G96))*((1+Inputs!$D$7)^CF$2))))))))</f>
        <v>20.228657357637612</v>
      </c>
      <c r="CG96" s="88">
        <f>MAX(AQ96,($E96*IF(CG$2&gt;Inputs!$D$5,0,IF(CG$2&gt;VLOOKUP($H96,Lists!$P$3:$Q$7,2),IF($N96=Lists!$K$3,IF($L96&lt;1,(($U96/$L96)*((1+Inputs!$D$7)^CG$2)),((INT(CG$2/$L96)-INT((CG$2-1)/$L96))*$U96*((1+Inputs!$D$7)^CG$2))),(Inputs!$D$8^((1-_xlfn.WEIBULL.DIST(CG$2,$M96,$L96,FALSE))/_xlfn.WEIBULL.DIST(CG$2,$M96,$L96,FALSE))*$U96*((1+Inputs!$D$7)^CG$2))),IF($N96=Lists!$K$3,IF($L96&lt;1,((($T96*(1-$F96)+$S96*(1-$G96))/$L96)*((1+Inputs!$D$7)^CG$2)),((INT(CG$2/$L96)-INT((CG$2-1)/$L96))*($T96*(1-$F96)+$S96*(1-$G96))*((1+Inputs!$D$7)^CG$2))),((Inputs!$D$8^((1-_xlfn.WEIBULL.DIST(CG$2,$M96,$L96,FALSE))/_xlfn.WEIBULL.DIST(CG$2,$M96,$L96,FALSE))*($T96*(1-$F96)+$S96*(1-$G96))*((1+Inputs!$D$7)^CG$2))))))))</f>
        <v>20.633230504790365</v>
      </c>
      <c r="CH96" s="88">
        <f>MAX(AR96,($E96*IF(CH$2&gt;Inputs!$D$5,0,IF(CH$2&gt;VLOOKUP($H96,Lists!$P$3:$Q$7,2),IF($N96=Lists!$K$3,IF($L96&lt;1,(($U96/$L96)*((1+Inputs!$D$7)^CH$2)),((INT(CH$2/$L96)-INT((CH$2-1)/$L96))*$U96*((1+Inputs!$D$7)^CH$2))),(Inputs!$D$8^((1-_xlfn.WEIBULL.DIST(CH$2,$M96,$L96,FALSE))/_xlfn.WEIBULL.DIST(CH$2,$M96,$L96,FALSE))*$U96*((1+Inputs!$D$7)^CH$2))),IF($N96=Lists!$K$3,IF($L96&lt;1,((($T96*(1-$F96)+$S96*(1-$G96))/$L96)*((1+Inputs!$D$7)^CH$2)),((INT(CH$2/$L96)-INT((CH$2-1)/$L96))*($T96*(1-$F96)+$S96*(1-$G96))*((1+Inputs!$D$7)^CH$2))),((Inputs!$D$8^((1-_xlfn.WEIBULL.DIST(CH$2,$M96,$L96,FALSE))/_xlfn.WEIBULL.DIST(CH$2,$M96,$L96,FALSE))*($T96*(1-$F96)+$S96*(1-$G96))*((1+Inputs!$D$7)^CH$2))))))))</f>
        <v>21.045895114886171</v>
      </c>
      <c r="CI96" s="88">
        <f>MAX(AS96,($E96*IF(CI$2&gt;Inputs!$D$5,0,IF(CI$2&gt;VLOOKUP($H96,Lists!$P$3:$Q$7,2),IF($N96=Lists!$K$3,IF($L96&lt;1,(($U96/$L96)*((1+Inputs!$D$7)^CI$2)),((INT(CI$2/$L96)-INT((CI$2-1)/$L96))*$U96*((1+Inputs!$D$7)^CI$2))),(Inputs!$D$8^((1-_xlfn.WEIBULL.DIST(CI$2,$M96,$L96,FALSE))/_xlfn.WEIBULL.DIST(CI$2,$M96,$L96,FALSE))*$U96*((1+Inputs!$D$7)^CI$2))),IF($N96=Lists!$K$3,IF($L96&lt;1,((($T96*(1-$F96)+$S96*(1-$G96))/$L96)*((1+Inputs!$D$7)^CI$2)),((INT(CI$2/$L96)-INT((CI$2-1)/$L96))*($T96*(1-$F96)+$S96*(1-$G96))*((1+Inputs!$D$7)^CI$2))),((Inputs!$D$8^((1-_xlfn.WEIBULL.DIST(CI$2,$M96,$L96,FALSE))/_xlfn.WEIBULL.DIST(CI$2,$M96,$L96,FALSE))*($T96*(1-$F96)+$S96*(1-$G96))*((1+Inputs!$D$7)^CI$2))))))))</f>
        <v>21.466813017183895</v>
      </c>
      <c r="CJ96" s="88">
        <f>MAX(AT96,($E96*IF(CJ$2&gt;Inputs!$D$5,0,IF(CJ$2&gt;VLOOKUP($H96,Lists!$P$3:$Q$7,2),IF($N96=Lists!$K$3,IF($L96&lt;1,(($U96/$L96)*((1+Inputs!$D$7)^CJ$2)),((INT(CJ$2/$L96)-INT((CJ$2-1)/$L96))*$U96*((1+Inputs!$D$7)^CJ$2))),(Inputs!$D$8^((1-_xlfn.WEIBULL.DIST(CJ$2,$M96,$L96,FALSE))/_xlfn.WEIBULL.DIST(CJ$2,$M96,$L96,FALSE))*$U96*((1+Inputs!$D$7)^CJ$2))),IF($N96=Lists!$K$3,IF($L96&lt;1,((($T96*(1-$F96)+$S96*(1-$G96))/$L96)*((1+Inputs!$D$7)^CJ$2)),((INT(CJ$2/$L96)-INT((CJ$2-1)/$L96))*($T96*(1-$F96)+$S96*(1-$G96))*((1+Inputs!$D$7)^CJ$2))),((Inputs!$D$8^((1-_xlfn.WEIBULL.DIST(CJ$2,$M96,$L96,FALSE))/_xlfn.WEIBULL.DIST(CJ$2,$M96,$L96,FALSE))*($T96*(1-$F96)+$S96*(1-$G96))*((1+Inputs!$D$7)^CJ$2))))))))</f>
        <v>21.896149277527574</v>
      </c>
      <c r="CK96" s="88">
        <f>MAX(AU96,($E96*IF(CK$2&gt;Inputs!$D$5,0,IF(CK$2&gt;VLOOKUP($H96,Lists!$P$3:$Q$7,2),IF($N96=Lists!$K$3,IF($L96&lt;1,(($U96/$L96)*((1+Inputs!$D$7)^CK$2)),((INT(CK$2/$L96)-INT((CK$2-1)/$L96))*$U96*((1+Inputs!$D$7)^CK$2))),(Inputs!$D$8^((1-_xlfn.WEIBULL.DIST(CK$2,$M96,$L96,FALSE))/_xlfn.WEIBULL.DIST(CK$2,$M96,$L96,FALSE))*$U96*((1+Inputs!$D$7)^CK$2))),IF($N96=Lists!$K$3,IF($L96&lt;1,((($T96*(1-$F96)+$S96*(1-$G96))/$L96)*((1+Inputs!$D$7)^CK$2)),((INT(CK$2/$L96)-INT((CK$2-1)/$L96))*($T96*(1-$F96)+$S96*(1-$G96))*((1+Inputs!$D$7)^CK$2))),((Inputs!$D$8^((1-_xlfn.WEIBULL.DIST(CK$2,$M96,$L96,FALSE))/_xlfn.WEIBULL.DIST(CK$2,$M96,$L96,FALSE))*($T96*(1-$F96)+$S96*(1-$G96))*((1+Inputs!$D$7)^CK$2))))))))</f>
        <v>22.334072263078124</v>
      </c>
      <c r="CL96" s="88">
        <f>MAX(AV96,($E96*IF(CL$2&gt;Inputs!$D$5,0,IF(CL$2&gt;VLOOKUP($H96,Lists!$P$3:$Q$7,2),IF($N96=Lists!$K$3,IF($L96&lt;1,(($U96/$L96)*((1+Inputs!$D$7)^CL$2)),((INT(CL$2/$L96)-INT((CL$2-1)/$L96))*$U96*((1+Inputs!$D$7)^CL$2))),(Inputs!$D$8^((1-_xlfn.WEIBULL.DIST(CL$2,$M96,$L96,FALSE))/_xlfn.WEIBULL.DIST(CL$2,$M96,$L96,FALSE))*$U96*((1+Inputs!$D$7)^CL$2))),IF($N96=Lists!$K$3,IF($L96&lt;1,((($T96*(1-$F96)+$S96*(1-$G96))/$L96)*((1+Inputs!$D$7)^CL$2)),((INT(CL$2/$L96)-INT((CL$2-1)/$L96))*($T96*(1-$F96)+$S96*(1-$G96))*((1+Inputs!$D$7)^CL$2))),((Inputs!$D$8^((1-_xlfn.WEIBULL.DIST(CL$2,$M96,$L96,FALSE))/_xlfn.WEIBULL.DIST(CL$2,$M96,$L96,FALSE))*($T96*(1-$F96)+$S96*(1-$G96))*((1+Inputs!$D$7)^CL$2))))))))</f>
        <v>22.780753708339688</v>
      </c>
      <c r="CM96" s="88">
        <f>MAX(AW96,($E96*IF(CM$2&gt;Inputs!$D$5,0,IF(CM$2&gt;VLOOKUP($H96,Lists!$P$3:$Q$7,2),IF($N96=Lists!$K$3,IF($L96&lt;1,(($U96/$L96)*((1+Inputs!$D$7)^CM$2)),((INT(CM$2/$L96)-INT((CM$2-1)/$L96))*$U96*((1+Inputs!$D$7)^CM$2))),(Inputs!$D$8^((1-_xlfn.WEIBULL.DIST(CM$2,$M96,$L96,FALSE))/_xlfn.WEIBULL.DIST(CM$2,$M96,$L96,FALSE))*$U96*((1+Inputs!$D$7)^CM$2))),IF($N96=Lists!$K$3,IF($L96&lt;1,((($T96*(1-$F96)+$S96*(1-$G96))/$L96)*((1+Inputs!$D$7)^CM$2)),((INT(CM$2/$L96)-INT((CM$2-1)/$L96))*($T96*(1-$F96)+$S96*(1-$G96))*((1+Inputs!$D$7)^CM$2))),((Inputs!$D$8^((1-_xlfn.WEIBULL.DIST(CM$2,$M96,$L96,FALSE))/_xlfn.WEIBULL.DIST(CM$2,$M96,$L96,FALSE))*($T96*(1-$F96)+$S96*(1-$G96))*((1+Inputs!$D$7)^CM$2))))))))</f>
        <v>23.236368782506478</v>
      </c>
      <c r="CN96" s="88">
        <f>MAX(AX96,($E96*IF(CN$2&gt;Inputs!$D$5,0,IF(CN$2&gt;VLOOKUP($H96,Lists!$P$3:$Q$7,2),IF($N96=Lists!$K$3,IF($L96&lt;1,(($U96/$L96)*((1+Inputs!$D$7)^CN$2)),((INT(CN$2/$L96)-INT((CN$2-1)/$L96))*$U96*((1+Inputs!$D$7)^CN$2))),(Inputs!$D$8^((1-_xlfn.WEIBULL.DIST(CN$2,$M96,$L96,FALSE))/_xlfn.WEIBULL.DIST(CN$2,$M96,$L96,FALSE))*$U96*((1+Inputs!$D$7)^CN$2))),IF($N96=Lists!$K$3,IF($L96&lt;1,((($T96*(1-$F96)+$S96*(1-$G96))/$L96)*((1+Inputs!$D$7)^CN$2)),((INT(CN$2/$L96)-INT((CN$2-1)/$L96))*($T96*(1-$F96)+$S96*(1-$G96))*((1+Inputs!$D$7)^CN$2))),((Inputs!$D$8^((1-_xlfn.WEIBULL.DIST(CN$2,$M96,$L96,FALSE))/_xlfn.WEIBULL.DIST(CN$2,$M96,$L96,FALSE))*($T96*(1-$F96)+$S96*(1-$G96))*((1+Inputs!$D$7)^CN$2))))))))</f>
        <v>23.701096158156609</v>
      </c>
      <c r="CO96" s="88">
        <f>MAX(AY96,($E96*IF(CO$2&gt;Inputs!$D$5,0,IF(CO$2&gt;VLOOKUP($H96,Lists!$P$3:$Q$7,2),IF($N96=Lists!$K$3,IF($L96&lt;1,(($U96/$L96)*((1+Inputs!$D$7)^CO$2)),((INT(CO$2/$L96)-INT((CO$2-1)/$L96))*$U96*((1+Inputs!$D$7)^CO$2))),(Inputs!$D$8^((1-_xlfn.WEIBULL.DIST(CO$2,$M96,$L96,FALSE))/_xlfn.WEIBULL.DIST(CO$2,$M96,$L96,FALSE))*$U96*((1+Inputs!$D$7)^CO$2))),IF($N96=Lists!$K$3,IF($L96&lt;1,((($T96*(1-$F96)+$S96*(1-$G96))/$L96)*((1+Inputs!$D$7)^CO$2)),((INT(CO$2/$L96)-INT((CO$2-1)/$L96))*($T96*(1-$F96)+$S96*(1-$G96))*((1+Inputs!$D$7)^CO$2))),((Inputs!$D$8^((1-_xlfn.WEIBULL.DIST(CO$2,$M96,$L96,FALSE))/_xlfn.WEIBULL.DIST(CO$2,$M96,$L96,FALSE))*($T96*(1-$F96)+$S96*(1-$G96))*((1+Inputs!$D$7)^CO$2))))))))</f>
        <v>24.175118081319741</v>
      </c>
      <c r="CP96" s="88">
        <f>MAX(AZ96,($E96*IF(CP$2&gt;Inputs!$D$5,0,IF(CP$2&gt;VLOOKUP($H96,Lists!$P$3:$Q$7,2),IF($N96=Lists!$K$3,IF($L96&lt;1,(($U96/$L96)*((1+Inputs!$D$7)^CP$2)),((INT(CP$2/$L96)-INT((CP$2-1)/$L96))*$U96*((1+Inputs!$D$7)^CP$2))),(Inputs!$D$8^((1-_xlfn.WEIBULL.DIST(CP$2,$M96,$L96,FALSE))/_xlfn.WEIBULL.DIST(CP$2,$M96,$L96,FALSE))*$U96*((1+Inputs!$D$7)^CP$2))),IF($N96=Lists!$K$3,IF($L96&lt;1,((($T96*(1-$F96)+$S96*(1-$G96))/$L96)*((1+Inputs!$D$7)^CP$2)),((INT(CP$2/$L96)-INT((CP$2-1)/$L96))*($T96*(1-$F96)+$S96*(1-$G96))*((1+Inputs!$D$7)^CP$2))),((Inputs!$D$8^((1-_xlfn.WEIBULL.DIST(CP$2,$M96,$L96,FALSE))/_xlfn.WEIBULL.DIST(CP$2,$M96,$L96,FALSE))*($T96*(1-$F96)+$S96*(1-$G96))*((1+Inputs!$D$7)^CP$2))))))))</f>
        <v>0</v>
      </c>
      <c r="CQ96" s="88">
        <f>MAX(BA96,($E96*IF(CQ$2&gt;Inputs!$D$5,0,IF(CQ$2&gt;VLOOKUP($H96,Lists!$P$3:$Q$7,2),IF($N96=Lists!$K$3,IF($L96&lt;1,(($U96/$L96)*((1+Inputs!$D$7)^CQ$2)),((INT(CQ$2/$L96)-INT((CQ$2-1)/$L96))*$U96*((1+Inputs!$D$7)^CQ$2))),(Inputs!$D$8^((1-_xlfn.WEIBULL.DIST(CQ$2,$M96,$L96,FALSE))/_xlfn.WEIBULL.DIST(CQ$2,$M96,$L96,FALSE))*$U96*((1+Inputs!$D$7)^CQ$2))),IF($N96=Lists!$K$3,IF($L96&lt;1,((($T96*(1-$F96)+$S96*(1-$G96))/$L96)*((1+Inputs!$D$7)^CQ$2)),((INT(CQ$2/$L96)-INT((CQ$2-1)/$L96))*($T96*(1-$F96)+$S96*(1-$G96))*((1+Inputs!$D$7)^CQ$2))),((Inputs!$D$8^((1-_xlfn.WEIBULL.DIST(CQ$2,$M96,$L96,FALSE))/_xlfn.WEIBULL.DIST(CQ$2,$M96,$L96,FALSE))*($T96*(1-$F96)+$S96*(1-$G96))*((1+Inputs!$D$7)^CQ$2))))))))</f>
        <v>0</v>
      </c>
      <c r="CR96" s="88">
        <f>MAX(BB96,($E96*IF(CR$2&gt;Inputs!$D$5,0,IF(CR$2&gt;VLOOKUP($H96,Lists!$P$3:$Q$7,2),IF($N96=Lists!$K$3,IF($L96&lt;1,(($U96/$L96)*((1+Inputs!$D$7)^CR$2)),((INT(CR$2/$L96)-INT((CR$2-1)/$L96))*$U96*((1+Inputs!$D$7)^CR$2))),(Inputs!$D$8^((1-_xlfn.WEIBULL.DIST(CR$2,$M96,$L96,FALSE))/_xlfn.WEIBULL.DIST(CR$2,$M96,$L96,FALSE))*$U96*((1+Inputs!$D$7)^CR$2))),IF($N96=Lists!$K$3,IF($L96&lt;1,((($T96*(1-$F96)+$S96*(1-$G96))/$L96)*((1+Inputs!$D$7)^CR$2)),((INT(CR$2/$L96)-INT((CR$2-1)/$L96))*($T96*(1-$F96)+$S96*(1-$G96))*((1+Inputs!$D$7)^CR$2))),((Inputs!$D$8^((1-_xlfn.WEIBULL.DIST(CR$2,$M96,$L96,FALSE))/_xlfn.WEIBULL.DIST(CR$2,$M96,$L96,FALSE))*($T96*(1-$F96)+$S96*(1-$G96))*((1+Inputs!$D$7)^CR$2))))))))</f>
        <v>0</v>
      </c>
      <c r="CS96" s="88">
        <f>MAX(BC96,($E96*IF(CS$2&gt;Inputs!$D$5,0,IF(CS$2&gt;VLOOKUP($H96,Lists!$P$3:$Q$7,2),IF($N96=Lists!$K$3,IF($L96&lt;1,(($U96/$L96)*((1+Inputs!$D$7)^CS$2)),((INT(CS$2/$L96)-INT((CS$2-1)/$L96))*$U96*((1+Inputs!$D$7)^CS$2))),(Inputs!$D$8^((1-_xlfn.WEIBULL.DIST(CS$2,$M96,$L96,FALSE))/_xlfn.WEIBULL.DIST(CS$2,$M96,$L96,FALSE))*$U96*((1+Inputs!$D$7)^CS$2))),IF($N96=Lists!$K$3,IF($L96&lt;1,((($T96*(1-$F96)+$S96*(1-$G96))/$L96)*((1+Inputs!$D$7)^CS$2)),((INT(CS$2/$L96)-INT((CS$2-1)/$L96))*($T96*(1-$F96)+$S96*(1-$G96))*((1+Inputs!$D$7)^CS$2))),((Inputs!$D$8^((1-_xlfn.WEIBULL.DIST(CS$2,$M96,$L96,FALSE))/_xlfn.WEIBULL.DIST(CS$2,$M96,$L96,FALSE))*($T96*(1-$F96)+$S96*(1-$G96))*((1+Inputs!$D$7)^CS$2))))))))</f>
        <v>0</v>
      </c>
      <c r="CT96" s="88">
        <f>MAX(BD96,($E96*IF(CT$2&gt;Inputs!$D$5,0,IF(CT$2&gt;VLOOKUP($H96,Lists!$P$3:$Q$7,2),IF($N96=Lists!$K$3,IF($L96&lt;1,(($U96/$L96)*((1+Inputs!$D$7)^CT$2)),((INT(CT$2/$L96)-INT((CT$2-1)/$L96))*$U96*((1+Inputs!$D$7)^CT$2))),(Inputs!$D$8^((1-_xlfn.WEIBULL.DIST(CT$2,$M96,$L96,FALSE))/_xlfn.WEIBULL.DIST(CT$2,$M96,$L96,FALSE))*$U96*((1+Inputs!$D$7)^CT$2))),IF($N96=Lists!$K$3,IF($L96&lt;1,((($T96*(1-$F96)+$S96*(1-$G96))/$L96)*((1+Inputs!$D$7)^CT$2)),((INT(CT$2/$L96)-INT((CT$2-1)/$L96))*($T96*(1-$F96)+$S96*(1-$G96))*((1+Inputs!$D$7)^CT$2))),((Inputs!$D$8^((1-_xlfn.WEIBULL.DIST(CT$2,$M96,$L96,FALSE))/_xlfn.WEIBULL.DIST(CT$2,$M96,$L96,FALSE))*($T96*(1-$F96)+$S96*(1-$G96))*((1+Inputs!$D$7)^CT$2))))))))</f>
        <v>0</v>
      </c>
      <c r="CU96" s="88">
        <f>MAX(BE96,($E96*IF(CU$2&gt;Inputs!$D$5,0,IF(CU$2&gt;VLOOKUP($H96,Lists!$P$3:$Q$7,2),IF($N96=Lists!$K$3,IF($L96&lt;1,(($U96/$L96)*((1+Inputs!$D$7)^CU$2)),((INT(CU$2/$L96)-INT((CU$2-1)/$L96))*$U96*((1+Inputs!$D$7)^CU$2))),(Inputs!$D$8^((1-_xlfn.WEIBULL.DIST(CU$2,$M96,$L96,FALSE))/_xlfn.WEIBULL.DIST(CU$2,$M96,$L96,FALSE))*$U96*((1+Inputs!$D$7)^CU$2))),IF($N96=Lists!$K$3,IF($L96&lt;1,((($T96*(1-$F96)+$S96*(1-$G96))/$L96)*((1+Inputs!$D$7)^CU$2)),((INT(CU$2/$L96)-INT((CU$2-1)/$L96))*($T96*(1-$F96)+$S96*(1-$G96))*((1+Inputs!$D$7)^CU$2))),((Inputs!$D$8^((1-_xlfn.WEIBULL.DIST(CU$2,$M96,$L96,FALSE))/_xlfn.WEIBULL.DIST(CU$2,$M96,$L96,FALSE))*($T96*(1-$F96)+$S96*(1-$G96))*((1+Inputs!$D$7)^CU$2))))))))</f>
        <v>0</v>
      </c>
      <c r="CV96" s="88">
        <f>MAX(BF96,($E96*IF(CV$2&gt;Inputs!$D$5,0,IF(CV$2&gt;VLOOKUP($H96,Lists!$P$3:$Q$7,2),IF($N96=Lists!$K$3,IF($L96&lt;1,(($U96/$L96)*((1+Inputs!$D$7)^CV$2)),((INT(CV$2/$L96)-INT((CV$2-1)/$L96))*$U96*((1+Inputs!$D$7)^CV$2))),(Inputs!$D$8^((1-_xlfn.WEIBULL.DIST(CV$2,$M96,$L96,FALSE))/_xlfn.WEIBULL.DIST(CV$2,$M96,$L96,FALSE))*$U96*((1+Inputs!$D$7)^CV$2))),IF($N96=Lists!$K$3,IF($L96&lt;1,((($T96*(1-$F96)+$S96*(1-$G96))/$L96)*((1+Inputs!$D$7)^CV$2)),((INT(CV$2/$L96)-INT((CV$2-1)/$L96))*($T96*(1-$F96)+$S96*(1-$G96))*((1+Inputs!$D$7)^CV$2))),((Inputs!$D$8^((1-_xlfn.WEIBULL.DIST(CV$2,$M96,$L96,FALSE))/_xlfn.WEIBULL.DIST(CV$2,$M96,$L96,FALSE))*($T96*(1-$F96)+$S96*(1-$G96))*((1+Inputs!$D$7)^CV$2))))))))</f>
        <v>0</v>
      </c>
      <c r="CW96" s="88">
        <f>MAX(BG96,($E96*IF(CW$2&gt;Inputs!$D$5,0,IF(CW$2&gt;VLOOKUP($H96,Lists!$P$3:$Q$7,2),IF($N96=Lists!$K$3,IF($L96&lt;1,(($U96/$L96)*((1+Inputs!$D$7)^CW$2)),((INT(CW$2/$L96)-INT((CW$2-1)/$L96))*$U96*((1+Inputs!$D$7)^CW$2))),(Inputs!$D$8^((1-_xlfn.WEIBULL.DIST(CW$2,$M96,$L96,FALSE))/_xlfn.WEIBULL.DIST(CW$2,$M96,$L96,FALSE))*$U96*((1+Inputs!$D$7)^CW$2))),IF($N96=Lists!$K$3,IF($L96&lt;1,((($T96*(1-$F96)+$S96*(1-$G96))/$L96)*((1+Inputs!$D$7)^CW$2)),((INT(CW$2/$L96)-INT((CW$2-1)/$L96))*($T96*(1-$F96)+$S96*(1-$G96))*((1+Inputs!$D$7)^CW$2))),((Inputs!$D$8^((1-_xlfn.WEIBULL.DIST(CW$2,$M96,$L96,FALSE))/_xlfn.WEIBULL.DIST(CW$2,$M96,$L96,FALSE))*($T96*(1-$F96)+$S96*(1-$G96))*((1+Inputs!$D$7)^CW$2))))))))</f>
        <v>0</v>
      </c>
      <c r="CX96" s="88">
        <f>MAX(BH96,($E96*IF(CX$2&gt;Inputs!$D$5,0,IF(CX$2&gt;VLOOKUP($H96,Lists!$P$3:$Q$7,2),IF($N96=Lists!$K$3,IF($L96&lt;1,(($U96/$L96)*((1+Inputs!$D$7)^CX$2)),((INT(CX$2/$L96)-INT((CX$2-1)/$L96))*$U96*((1+Inputs!$D$7)^CX$2))),(Inputs!$D$8^((1-_xlfn.WEIBULL.DIST(CX$2,$M96,$L96,FALSE))/_xlfn.WEIBULL.DIST(CX$2,$M96,$L96,FALSE))*$U96*((1+Inputs!$D$7)^CX$2))),IF($N96=Lists!$K$3,IF($L96&lt;1,((($T96*(1-$F96)+$S96*(1-$G96))/$L96)*((1+Inputs!$D$7)^CX$2)),((INT(CX$2/$L96)-INT((CX$2-1)/$L96))*($T96*(1-$F96)+$S96*(1-$G96))*((1+Inputs!$D$7)^CX$2))),((Inputs!$D$8^((1-_xlfn.WEIBULL.DIST(CX$2,$M96,$L96,FALSE))/_xlfn.WEIBULL.DIST(CX$2,$M96,$L96,FALSE))*($T96*(1-$F96)+$S96*(1-$G96))*((1+Inputs!$D$7)^CX$2))))))))</f>
        <v>0</v>
      </c>
      <c r="CY96" s="88">
        <f>MAX(BI96,($E96*IF(CY$2&gt;Inputs!$D$5,0,IF(CY$2&gt;VLOOKUP($H96,Lists!$P$3:$Q$7,2),IF($N96=Lists!$K$3,IF($L96&lt;1,(($U96/$L96)*((1+Inputs!$D$7)^CY$2)),((INT(CY$2/$L96)-INT((CY$2-1)/$L96))*$U96*((1+Inputs!$D$7)^CY$2))),(Inputs!$D$8^((1-_xlfn.WEIBULL.DIST(CY$2,$M96,$L96,FALSE))/_xlfn.WEIBULL.DIST(CY$2,$M96,$L96,FALSE))*$U96*((1+Inputs!$D$7)^CY$2))),IF($N96=Lists!$K$3,IF($L96&lt;1,((($T96*(1-$F96)+$S96*(1-$G96))/$L96)*((1+Inputs!$D$7)^CY$2)),((INT(CY$2/$L96)-INT((CY$2-1)/$L96))*($T96*(1-$F96)+$S96*(1-$G96))*((1+Inputs!$D$7)^CY$2))),((Inputs!$D$8^((1-_xlfn.WEIBULL.DIST(CY$2,$M96,$L96,FALSE))/_xlfn.WEIBULL.DIST(CY$2,$M96,$L96,FALSE))*($T96*(1-$F96)+$S96*(1-$G96))*((1+Inputs!$D$7)^CY$2))))))))</f>
        <v>0</v>
      </c>
      <c r="CZ96" s="88">
        <f>MAX(BJ96,($E96*IF(CZ$2&gt;Inputs!$D$5,0,IF(CZ$2&gt;VLOOKUP($H96,Lists!$P$3:$Q$7,2),IF($N96=Lists!$K$3,IF($L96&lt;1,(($U96/$L96)*((1+Inputs!$D$7)^CZ$2)),((INT(CZ$2/$L96)-INT((CZ$2-1)/$L96))*$U96*((1+Inputs!$D$7)^CZ$2))),(Inputs!$D$8^((1-_xlfn.WEIBULL.DIST(CZ$2,$M96,$L96,FALSE))/_xlfn.WEIBULL.DIST(CZ$2,$M96,$L96,FALSE))*$U96*((1+Inputs!$D$7)^CZ$2))),IF($N96=Lists!$K$3,IF($L96&lt;1,((($T96*(1-$F96)+$S96*(1-$G96))/$L96)*((1+Inputs!$D$7)^CZ$2)),((INT(CZ$2/$L96)-INT((CZ$2-1)/$L96))*($T96*(1-$F96)+$S96*(1-$G96))*((1+Inputs!$D$7)^CZ$2))),((Inputs!$D$8^((1-_xlfn.WEIBULL.DIST(CZ$2,$M96,$L96,FALSE))/_xlfn.WEIBULL.DIST(CZ$2,$M96,$L96,FALSE))*($T96*(1-$F96)+$S96*(1-$G96))*((1+Inputs!$D$7)^CZ$2))))))))</f>
        <v>0</v>
      </c>
      <c r="DA96" s="88">
        <f>MAX(BK96,($E96*IF(DA$2&gt;Inputs!$D$5,0,IF(DA$2&gt;VLOOKUP($H96,Lists!$P$3:$Q$7,2),IF($N96=Lists!$K$3,IF($L96&lt;1,(($U96/$L96)*((1+Inputs!$D$7)^DA$2)),((INT(DA$2/$L96)-INT((DA$2-1)/$L96))*$U96*((1+Inputs!$D$7)^DA$2))),(Inputs!$D$8^((1-_xlfn.WEIBULL.DIST(DA$2,$M96,$L96,FALSE))/_xlfn.WEIBULL.DIST(DA$2,$M96,$L96,FALSE))*$U96*((1+Inputs!$D$7)^DA$2))),IF($N96=Lists!$K$3,IF($L96&lt;1,((($T96*(1-$F96)+$S96*(1-$G96))/$L96)*((1+Inputs!$D$7)^DA$2)),((INT(DA$2/$L96)-INT((DA$2-1)/$L96))*($T96*(1-$F96)+$S96*(1-$G96))*((1+Inputs!$D$7)^DA$2))),((Inputs!$D$8^((1-_xlfn.WEIBULL.DIST(DA$2,$M96,$L96,FALSE))/_xlfn.WEIBULL.DIST(DA$2,$M96,$L96,FALSE))*($T96*(1-$F96)+$S96*(1-$G96))*((1+Inputs!$D$7)^DA$2))))))))</f>
        <v>0</v>
      </c>
      <c r="DB96" s="88">
        <f>MAX(BL96,($E96*IF(DB$2&gt;Inputs!$D$5,0,IF(DB$2&gt;VLOOKUP($H96,Lists!$P$3:$Q$7,2),IF($N96=Lists!$K$3,IF($L96&lt;1,(($U96/$L96)*((1+Inputs!$D$7)^DB$2)),((INT(DB$2/$L96)-INT((DB$2-1)/$L96))*$U96*((1+Inputs!$D$7)^DB$2))),(Inputs!$D$8^((1-_xlfn.WEIBULL.DIST(DB$2,$M96,$L96,FALSE))/_xlfn.WEIBULL.DIST(DB$2,$M96,$L96,FALSE))*$U96*((1+Inputs!$D$7)^DB$2))),IF($N96=Lists!$K$3,IF($L96&lt;1,((($T96*(1-$F96)+$S96*(1-$G96))/$L96)*((1+Inputs!$D$7)^DB$2)),((INT(DB$2/$L96)-INT((DB$2-1)/$L96))*($T96*(1-$F96)+$S96*(1-$G96))*((1+Inputs!$D$7)^DB$2))),((Inputs!$D$8^((1-_xlfn.WEIBULL.DIST(DB$2,$M96,$L96,FALSE))/_xlfn.WEIBULL.DIST(DB$2,$M96,$L96,FALSE))*($T96*(1-$F96)+$S96*(1-$G96))*((1+Inputs!$D$7)^DB$2))))))))</f>
        <v>0</v>
      </c>
      <c r="DC96" s="88">
        <f>MAX(BM96,($E96*IF(DC$2&gt;Inputs!$D$5,0,IF(DC$2&gt;VLOOKUP($H96,Lists!$P$3:$Q$7,2),IF($N96=Lists!$K$3,IF($L96&lt;1,(($U96/$L96)*((1+Inputs!$D$7)^DC$2)),((INT(DC$2/$L96)-INT((DC$2-1)/$L96))*$U96*((1+Inputs!$D$7)^DC$2))),(Inputs!$D$8^((1-_xlfn.WEIBULL.DIST(DC$2,$M96,$L96,FALSE))/_xlfn.WEIBULL.DIST(DC$2,$M96,$L96,FALSE))*$U96*((1+Inputs!$D$7)^DC$2))),IF($N96=Lists!$K$3,IF($L96&lt;1,((($T96*(1-$F96)+$S96*(1-$G96))/$L96)*((1+Inputs!$D$7)^DC$2)),((INT(DC$2/$L96)-INT((DC$2-1)/$L96))*($T96*(1-$F96)+$S96*(1-$G96))*((1+Inputs!$D$7)^DC$2))),((Inputs!$D$8^((1-_xlfn.WEIBULL.DIST(DC$2,$M96,$L96,FALSE))/_xlfn.WEIBULL.DIST(DC$2,$M96,$L96,FALSE))*($T96*(1-$F96)+$S96*(1-$G96))*((1+Inputs!$D$7)^DC$2))))))))</f>
        <v>0</v>
      </c>
      <c r="DD96" s="88">
        <f>MAX(BN96,($E96*IF(DD$2&gt;Inputs!$D$5,0,IF(DD$2&gt;VLOOKUP($H96,Lists!$P$3:$Q$7,2),IF($N96=Lists!$K$3,IF($L96&lt;1,(($U96/$L96)*((1+Inputs!$D$7)^DD$2)),((INT(DD$2/$L96)-INT((DD$2-1)/$L96))*$U96*((1+Inputs!$D$7)^DD$2))),(Inputs!$D$8^((1-_xlfn.WEIBULL.DIST(DD$2,$M96,$L96,FALSE))/_xlfn.WEIBULL.DIST(DD$2,$M96,$L96,FALSE))*$U96*((1+Inputs!$D$7)^DD$2))),IF($N96=Lists!$K$3,IF($L96&lt;1,((($T96*(1-$F96)+$S96*(1-$G96))/$L96)*((1+Inputs!$D$7)^DD$2)),((INT(DD$2/$L96)-INT((DD$2-1)/$L96))*($T96*(1-$F96)+$S96*(1-$G96))*((1+Inputs!$D$7)^DD$2))),((Inputs!$D$8^((1-_xlfn.WEIBULL.DIST(DD$2,$M96,$L96,FALSE))/_xlfn.WEIBULL.DIST(DD$2,$M96,$L96,FALSE))*($T96*(1-$F96)+$S96*(1-$G96))*((1+Inputs!$D$7)^DD$2))))))))</f>
        <v>0</v>
      </c>
    </row>
    <row r="97" spans="1:108" ht="80">
      <c r="A97" s="57" t="s">
        <v>304</v>
      </c>
      <c r="B97" s="13" t="s">
        <v>279</v>
      </c>
      <c r="C97" s="13" t="s">
        <v>473</v>
      </c>
      <c r="D97" s="13" t="s">
        <v>16</v>
      </c>
      <c r="E97" s="48">
        <f>IF(Inputs!$D$41=Lists!$I$4,0,1)</f>
        <v>1</v>
      </c>
      <c r="F97" s="48">
        <v>0</v>
      </c>
      <c r="G97" s="48"/>
      <c r="H97" s="105" t="s">
        <v>350</v>
      </c>
      <c r="I97" s="14"/>
      <c r="J97" s="14" t="s">
        <v>246</v>
      </c>
      <c r="K97" s="13">
        <f>VLOOKUP(J97,'Labor Rates'!$A$1:$F$16,2)</f>
        <v>33.119999999999997</v>
      </c>
      <c r="L97" s="15">
        <v>1</v>
      </c>
      <c r="M97" s="15">
        <v>1</v>
      </c>
      <c r="N97" s="13" t="s">
        <v>236</v>
      </c>
      <c r="O97" s="61">
        <v>1</v>
      </c>
      <c r="P97" s="15">
        <v>1</v>
      </c>
      <c r="Q97" s="15">
        <f t="shared" si="14"/>
        <v>1</v>
      </c>
      <c r="R97" s="4">
        <v>0</v>
      </c>
      <c r="S97" s="53">
        <f t="shared" si="15"/>
        <v>33.119999999999997</v>
      </c>
      <c r="T97" s="53">
        <f t="shared" si="16"/>
        <v>0</v>
      </c>
      <c r="U97" s="54">
        <f t="shared" si="17"/>
        <v>33.119999999999997</v>
      </c>
      <c r="V97" s="65"/>
      <c r="W97" s="58"/>
      <c r="X97" s="64">
        <f t="shared" si="18"/>
        <v>41.041173274747884</v>
      </c>
      <c r="Y97" s="64">
        <f>NPV(Inputs!$D$6,AA97:BN97)</f>
        <v>471.41291640750995</v>
      </c>
      <c r="Z97" s="67">
        <f t="shared" si="19"/>
        <v>2.2234134609008495E-4</v>
      </c>
      <c r="AA97" s="88">
        <f>$E97*IF(AA$2&gt;Inputs!$D$5,0,IF(AA$2&gt;VLOOKUP($H97,Lists!$P$3:$Q$7,2),IF($N97=Lists!$K$3,IF($L97&lt;1,(($U97/$L97)*((1+Inputs!$D$7)^AA$2)),((INT(AA$2/$L97)-INT((AA$2-1)/$L97))*$U97*((1+Inputs!$D$7)^AA$2))),(_xlfn.WEIBULL.DIST(AA$2,$M97,$L97,FALSE)*$U97*((1+Inputs!$D$7)^AA$2))),IF($N97=Lists!$K$3,IF($L97&lt;1,((($T97*(1-$F97)+$S97*(1-$G97))/$L97)*((1+Inputs!$D$7)^AA$2)),((INT(AA$2/$L97)-INT((AA$2-1)/$L97))*($T97*(1-$F97)+$S97*(1-$G97))*((1+Inputs!$D$7)^AA$2))),((_xlfn.WEIBULL.DIST(AA$2,$M97,$L97,FALSE)*($T97*(1-$F97)+$S97*(1-$G97))*((1+Inputs!$D$7)^AA$2))))))</f>
        <v>33.782399999999996</v>
      </c>
      <c r="AB97" s="88">
        <f>$E97*IF(AB$2&gt;Inputs!$D$5,0,IF(AB$2&gt;VLOOKUP($H97,Lists!$P$3:$Q$7,2),IF($N97=Lists!$K$3,IF($L97&lt;1,(($U97/$L97)*((1+Inputs!$D$7)^AB$2)),((INT(AB$2/$L97)-INT((AB$2-1)/$L97))*$U97*((1+Inputs!$D$7)^AB$2))),(_xlfn.WEIBULL.DIST(AB$2,$M97,$L97,FALSE)*$U97*((1+Inputs!$D$7)^AB$2))),IF($N97=Lists!$K$3,IF($L97&lt;1,((($T97*(1-$F97)+$S97*(1-$G97))/$L97)*((1+Inputs!$D$7)^AB$2)),((INT(AB$2/$L97)-INT((AB$2-1)/$L97))*($T97*(1-$F97)+$S97*(1-$G97))*((1+Inputs!$D$7)^AB$2))),((_xlfn.WEIBULL.DIST(AB$2,$M97,$L97,FALSE)*($T97*(1-$F97)+$S97*(1-$G97))*((1+Inputs!$D$7)^AB$2))))))</f>
        <v>34.458047999999998</v>
      </c>
      <c r="AC97" s="88">
        <f>$E97*IF(AC$2&gt;Inputs!$D$5,0,IF(AC$2&gt;VLOOKUP($H97,Lists!$P$3:$Q$7,2),IF($N97=Lists!$K$3,IF($L97&lt;1,(($U97/$L97)*((1+Inputs!$D$7)^AC$2)),((INT(AC$2/$L97)-INT((AC$2-1)/$L97))*$U97*((1+Inputs!$D$7)^AC$2))),(_xlfn.WEIBULL.DIST(AC$2,$M97,$L97,FALSE)*$U97*((1+Inputs!$D$7)^AC$2))),IF($N97=Lists!$K$3,IF($L97&lt;1,((($T97*(1-$F97)+$S97*(1-$G97))/$L97)*((1+Inputs!$D$7)^AC$2)),((INT(AC$2/$L97)-INT((AC$2-1)/$L97))*($T97*(1-$F97)+$S97*(1-$G97))*((1+Inputs!$D$7)^AC$2))),((_xlfn.WEIBULL.DIST(AC$2,$M97,$L97,FALSE)*($T97*(1-$F97)+$S97*(1-$G97))*((1+Inputs!$D$7)^AC$2))))))</f>
        <v>35.147208959999993</v>
      </c>
      <c r="AD97" s="88">
        <f>$E97*IF(AD$2&gt;Inputs!$D$5,0,IF(AD$2&gt;VLOOKUP($H97,Lists!$P$3:$Q$7,2),IF($N97=Lists!$K$3,IF($L97&lt;1,(($U97/$L97)*((1+Inputs!$D$7)^AD$2)),((INT(AD$2/$L97)-INT((AD$2-1)/$L97))*$U97*((1+Inputs!$D$7)^AD$2))),(_xlfn.WEIBULL.DIST(AD$2,$M97,$L97,FALSE)*$U97*((1+Inputs!$D$7)^AD$2))),IF($N97=Lists!$K$3,IF($L97&lt;1,((($T97*(1-$F97)+$S97*(1-$G97))/$L97)*((1+Inputs!$D$7)^AD$2)),((INT(AD$2/$L97)-INT((AD$2-1)/$L97))*($T97*(1-$F97)+$S97*(1-$G97))*((1+Inputs!$D$7)^AD$2))),((_xlfn.WEIBULL.DIST(AD$2,$M97,$L97,FALSE)*($T97*(1-$F97)+$S97*(1-$G97))*((1+Inputs!$D$7)^AD$2))))))</f>
        <v>35.850153139199996</v>
      </c>
      <c r="AE97" s="88">
        <f>$E97*IF(AE$2&gt;Inputs!$D$5,0,IF(AE$2&gt;VLOOKUP($H97,Lists!$P$3:$Q$7,2),IF($N97=Lists!$K$3,IF($L97&lt;1,(($U97/$L97)*((1+Inputs!$D$7)^AE$2)),((INT(AE$2/$L97)-INT((AE$2-1)/$L97))*$U97*((1+Inputs!$D$7)^AE$2))),(_xlfn.WEIBULL.DIST(AE$2,$M97,$L97,FALSE)*$U97*((1+Inputs!$D$7)^AE$2))),IF($N97=Lists!$K$3,IF($L97&lt;1,((($T97*(1-$F97)+$S97*(1-$G97))/$L97)*((1+Inputs!$D$7)^AE$2)),((INT(AE$2/$L97)-INT((AE$2-1)/$L97))*($T97*(1-$F97)+$S97*(1-$G97))*((1+Inputs!$D$7)^AE$2))),((_xlfn.WEIBULL.DIST(AE$2,$M97,$L97,FALSE)*($T97*(1-$F97)+$S97*(1-$G97))*((1+Inputs!$D$7)^AE$2))))))</f>
        <v>36.567156201983998</v>
      </c>
      <c r="AF97" s="88">
        <f>$E97*IF(AF$2&gt;Inputs!$D$5,0,IF(AF$2&gt;VLOOKUP($H97,Lists!$P$3:$Q$7,2),IF($N97=Lists!$K$3,IF($L97&lt;1,(($U97/$L97)*((1+Inputs!$D$7)^AF$2)),((INT(AF$2/$L97)-INT((AF$2-1)/$L97))*$U97*((1+Inputs!$D$7)^AF$2))),(_xlfn.WEIBULL.DIST(AF$2,$M97,$L97,FALSE)*$U97*((1+Inputs!$D$7)^AF$2))),IF($N97=Lists!$K$3,IF($L97&lt;1,((($T97*(1-$F97)+$S97*(1-$G97))/$L97)*((1+Inputs!$D$7)^AF$2)),((INT(AF$2/$L97)-INT((AF$2-1)/$L97))*($T97*(1-$F97)+$S97*(1-$G97))*((1+Inputs!$D$7)^AF$2))),((_xlfn.WEIBULL.DIST(AF$2,$M97,$L97,FALSE)*($T97*(1-$F97)+$S97*(1-$G97))*((1+Inputs!$D$7)^AF$2))))))</f>
        <v>37.298499326023681</v>
      </c>
      <c r="AG97" s="88">
        <f>$E97*IF(AG$2&gt;Inputs!$D$5,0,IF(AG$2&gt;VLOOKUP($H97,Lists!$P$3:$Q$7,2),IF($N97=Lists!$K$3,IF($L97&lt;1,(($U97/$L97)*((1+Inputs!$D$7)^AG$2)),((INT(AG$2/$L97)-INT((AG$2-1)/$L97))*$U97*((1+Inputs!$D$7)^AG$2))),(_xlfn.WEIBULL.DIST(AG$2,$M97,$L97,FALSE)*$U97*((1+Inputs!$D$7)^AG$2))),IF($N97=Lists!$K$3,IF($L97&lt;1,((($T97*(1-$F97)+$S97*(1-$G97))/$L97)*((1+Inputs!$D$7)^AG$2)),((INT(AG$2/$L97)-INT((AG$2-1)/$L97))*($T97*(1-$F97)+$S97*(1-$G97))*((1+Inputs!$D$7)^AG$2))),((_xlfn.WEIBULL.DIST(AG$2,$M97,$L97,FALSE)*($T97*(1-$F97)+$S97*(1-$G97))*((1+Inputs!$D$7)^AG$2))))))</f>
        <v>38.044469312544145</v>
      </c>
      <c r="AH97" s="88">
        <f>$E97*IF(AH$2&gt;Inputs!$D$5,0,IF(AH$2&gt;VLOOKUP($H97,Lists!$P$3:$Q$7,2),IF($N97=Lists!$K$3,IF($L97&lt;1,(($U97/$L97)*((1+Inputs!$D$7)^AH$2)),((INT(AH$2/$L97)-INT((AH$2-1)/$L97))*$U97*((1+Inputs!$D$7)^AH$2))),(_xlfn.WEIBULL.DIST(AH$2,$M97,$L97,FALSE)*$U97*((1+Inputs!$D$7)^AH$2))),IF($N97=Lists!$K$3,IF($L97&lt;1,((($T97*(1-$F97)+$S97*(1-$G97))/$L97)*((1+Inputs!$D$7)^AH$2)),((INT(AH$2/$L97)-INT((AH$2-1)/$L97))*($T97*(1-$F97)+$S97*(1-$G97))*((1+Inputs!$D$7)^AH$2))),((_xlfn.WEIBULL.DIST(AH$2,$M97,$L97,FALSE)*($T97*(1-$F97)+$S97*(1-$G97))*((1+Inputs!$D$7)^AH$2))))))</f>
        <v>38.805358698795033</v>
      </c>
      <c r="AI97" s="88">
        <f>$E97*IF(AI$2&gt;Inputs!$D$5,0,IF(AI$2&gt;VLOOKUP($H97,Lists!$P$3:$Q$7,2),IF($N97=Lists!$K$3,IF($L97&lt;1,(($U97/$L97)*((1+Inputs!$D$7)^AI$2)),((INT(AI$2/$L97)-INT((AI$2-1)/$L97))*$U97*((1+Inputs!$D$7)^AI$2))),(_xlfn.WEIBULL.DIST(AI$2,$M97,$L97,FALSE)*$U97*((1+Inputs!$D$7)^AI$2))),IF($N97=Lists!$K$3,IF($L97&lt;1,((($T97*(1-$F97)+$S97*(1-$G97))/$L97)*((1+Inputs!$D$7)^AI$2)),((INT(AI$2/$L97)-INT((AI$2-1)/$L97))*($T97*(1-$F97)+$S97*(1-$G97))*((1+Inputs!$D$7)^AI$2))),((_xlfn.WEIBULL.DIST(AI$2,$M97,$L97,FALSE)*($T97*(1-$F97)+$S97*(1-$G97))*((1+Inputs!$D$7)^AI$2))))))</f>
        <v>39.581465872770934</v>
      </c>
      <c r="AJ97" s="88">
        <f>$E97*IF(AJ$2&gt;Inputs!$D$5,0,IF(AJ$2&gt;VLOOKUP($H97,Lists!$P$3:$Q$7,2),IF($N97=Lists!$K$3,IF($L97&lt;1,(($U97/$L97)*((1+Inputs!$D$7)^AJ$2)),((INT(AJ$2/$L97)-INT((AJ$2-1)/$L97))*$U97*((1+Inputs!$D$7)^AJ$2))),(_xlfn.WEIBULL.DIST(AJ$2,$M97,$L97,FALSE)*$U97*((1+Inputs!$D$7)^AJ$2))),IF($N97=Lists!$K$3,IF($L97&lt;1,((($T97*(1-$F97)+$S97*(1-$G97))/$L97)*((1+Inputs!$D$7)^AJ$2)),((INT(AJ$2/$L97)-INT((AJ$2-1)/$L97))*($T97*(1-$F97)+$S97*(1-$G97))*((1+Inputs!$D$7)^AJ$2))),((_xlfn.WEIBULL.DIST(AJ$2,$M97,$L97,FALSE)*($T97*(1-$F97)+$S97*(1-$G97))*((1+Inputs!$D$7)^AJ$2))))))</f>
        <v>40.373095190226351</v>
      </c>
      <c r="AK97" s="88">
        <f>$E97*IF(AK$2&gt;Inputs!$D$5,0,IF(AK$2&gt;VLOOKUP($H97,Lists!$P$3:$Q$7,2),IF($N97=Lists!$K$3,IF($L97&lt;1,(($U97/$L97)*((1+Inputs!$D$7)^AK$2)),((INT(AK$2/$L97)-INT((AK$2-1)/$L97))*$U97*((1+Inputs!$D$7)^AK$2))),(_xlfn.WEIBULL.DIST(AK$2,$M97,$L97,FALSE)*$U97*((1+Inputs!$D$7)^AK$2))),IF($N97=Lists!$K$3,IF($L97&lt;1,((($T97*(1-$F97)+$S97*(1-$G97))/$L97)*((1+Inputs!$D$7)^AK$2)),((INT(AK$2/$L97)-INT((AK$2-1)/$L97))*($T97*(1-$F97)+$S97*(1-$G97))*((1+Inputs!$D$7)^AK$2))),((_xlfn.WEIBULL.DIST(AK$2,$M97,$L97,FALSE)*($T97*(1-$F97)+$S97*(1-$G97))*((1+Inputs!$D$7)^AK$2))))))</f>
        <v>41.180557094030874</v>
      </c>
      <c r="AL97" s="88">
        <f>$E97*IF(AL$2&gt;Inputs!$D$5,0,IF(AL$2&gt;VLOOKUP($H97,Lists!$P$3:$Q$7,2),IF($N97=Lists!$K$3,IF($L97&lt;1,(($U97/$L97)*((1+Inputs!$D$7)^AL$2)),((INT(AL$2/$L97)-INT((AL$2-1)/$L97))*$U97*((1+Inputs!$D$7)^AL$2))),(_xlfn.WEIBULL.DIST(AL$2,$M97,$L97,FALSE)*$U97*((1+Inputs!$D$7)^AL$2))),IF($N97=Lists!$K$3,IF($L97&lt;1,((($T97*(1-$F97)+$S97*(1-$G97))/$L97)*((1+Inputs!$D$7)^AL$2)),((INT(AL$2/$L97)-INT((AL$2-1)/$L97))*($T97*(1-$F97)+$S97*(1-$G97))*((1+Inputs!$D$7)^AL$2))),((_xlfn.WEIBULL.DIST(AL$2,$M97,$L97,FALSE)*($T97*(1-$F97)+$S97*(1-$G97))*((1+Inputs!$D$7)^AL$2))))))</f>
        <v>42.004168235911493</v>
      </c>
      <c r="AM97" s="88">
        <f>$E97*IF(AM$2&gt;Inputs!$D$5,0,IF(AM$2&gt;VLOOKUP($H97,Lists!$P$3:$Q$7,2),IF($N97=Lists!$K$3,IF($L97&lt;1,(($U97/$L97)*((1+Inputs!$D$7)^AM$2)),((INT(AM$2/$L97)-INT((AM$2-1)/$L97))*$U97*((1+Inputs!$D$7)^AM$2))),(_xlfn.WEIBULL.DIST(AM$2,$M97,$L97,FALSE)*$U97*((1+Inputs!$D$7)^AM$2))),IF($N97=Lists!$K$3,IF($L97&lt;1,((($T97*(1-$F97)+$S97*(1-$G97))/$L97)*((1+Inputs!$D$7)^AM$2)),((INT(AM$2/$L97)-INT((AM$2-1)/$L97))*($T97*(1-$F97)+$S97*(1-$G97))*((1+Inputs!$D$7)^AM$2))),((_xlfn.WEIBULL.DIST(AM$2,$M97,$L97,FALSE)*($T97*(1-$F97)+$S97*(1-$G97))*((1+Inputs!$D$7)^AM$2))))))</f>
        <v>42.844251600629725</v>
      </c>
      <c r="AN97" s="88">
        <f>$E97*IF(AN$2&gt;Inputs!$D$5,0,IF(AN$2&gt;VLOOKUP($H97,Lists!$P$3:$Q$7,2),IF($N97=Lists!$K$3,IF($L97&lt;1,(($U97/$L97)*((1+Inputs!$D$7)^AN$2)),((INT(AN$2/$L97)-INT((AN$2-1)/$L97))*$U97*((1+Inputs!$D$7)^AN$2))),(_xlfn.WEIBULL.DIST(AN$2,$M97,$L97,FALSE)*$U97*((1+Inputs!$D$7)^AN$2))),IF($N97=Lists!$K$3,IF($L97&lt;1,((($T97*(1-$F97)+$S97*(1-$G97))/$L97)*((1+Inputs!$D$7)^AN$2)),((INT(AN$2/$L97)-INT((AN$2-1)/$L97))*($T97*(1-$F97)+$S97*(1-$G97))*((1+Inputs!$D$7)^AN$2))),((_xlfn.WEIBULL.DIST(AN$2,$M97,$L97,FALSE)*($T97*(1-$F97)+$S97*(1-$G97))*((1+Inputs!$D$7)^AN$2))))))</f>
        <v>43.701136632642324</v>
      </c>
      <c r="AO97" s="88">
        <f>$E97*IF(AO$2&gt;Inputs!$D$5,0,IF(AO$2&gt;VLOOKUP($H97,Lists!$P$3:$Q$7,2),IF($N97=Lists!$K$3,IF($L97&lt;1,(($U97/$L97)*((1+Inputs!$D$7)^AO$2)),((INT(AO$2/$L97)-INT((AO$2-1)/$L97))*$U97*((1+Inputs!$D$7)^AO$2))),(_xlfn.WEIBULL.DIST(AO$2,$M97,$L97,FALSE)*$U97*((1+Inputs!$D$7)^AO$2))),IF($N97=Lists!$K$3,IF($L97&lt;1,((($T97*(1-$F97)+$S97*(1-$G97))/$L97)*((1+Inputs!$D$7)^AO$2)),((INT(AO$2/$L97)-INT((AO$2-1)/$L97))*($T97*(1-$F97)+$S97*(1-$G97))*((1+Inputs!$D$7)^AO$2))),((_xlfn.WEIBULL.DIST(AO$2,$M97,$L97,FALSE)*($T97*(1-$F97)+$S97*(1-$G97))*((1+Inputs!$D$7)^AO$2))))))</f>
        <v>44.575159365295157</v>
      </c>
      <c r="AP97" s="88">
        <f>$E97*IF(AP$2&gt;Inputs!$D$5,0,IF(AP$2&gt;VLOOKUP($H97,Lists!$P$3:$Q$7,2),IF($N97=Lists!$K$3,IF($L97&lt;1,(($U97/$L97)*((1+Inputs!$D$7)^AP$2)),((INT(AP$2/$L97)-INT((AP$2-1)/$L97))*$U97*((1+Inputs!$D$7)^AP$2))),(_xlfn.WEIBULL.DIST(AP$2,$M97,$L97,FALSE)*$U97*((1+Inputs!$D$7)^AP$2))),IF($N97=Lists!$K$3,IF($L97&lt;1,((($T97*(1-$F97)+$S97*(1-$G97))/$L97)*((1+Inputs!$D$7)^AP$2)),((INT(AP$2/$L97)-INT((AP$2-1)/$L97))*($T97*(1-$F97)+$S97*(1-$G97))*((1+Inputs!$D$7)^AP$2))),((_xlfn.WEIBULL.DIST(AP$2,$M97,$L97,FALSE)*($T97*(1-$F97)+$S97*(1-$G97))*((1+Inputs!$D$7)^AP$2))))))</f>
        <v>45.466662552601065</v>
      </c>
      <c r="AQ97" s="88">
        <f>$E97*IF(AQ$2&gt;Inputs!$D$5,0,IF(AQ$2&gt;VLOOKUP($H97,Lists!$P$3:$Q$7,2),IF($N97=Lists!$K$3,IF($L97&lt;1,(($U97/$L97)*((1+Inputs!$D$7)^AQ$2)),((INT(AQ$2/$L97)-INT((AQ$2-1)/$L97))*$U97*((1+Inputs!$D$7)^AQ$2))),(_xlfn.WEIBULL.DIST(AQ$2,$M97,$L97,FALSE)*$U97*((1+Inputs!$D$7)^AQ$2))),IF($N97=Lists!$K$3,IF($L97&lt;1,((($T97*(1-$F97)+$S97*(1-$G97))/$L97)*((1+Inputs!$D$7)^AQ$2)),((INT(AQ$2/$L97)-INT((AQ$2-1)/$L97))*($T97*(1-$F97)+$S97*(1-$G97))*((1+Inputs!$D$7)^AQ$2))),((_xlfn.WEIBULL.DIST(AQ$2,$M97,$L97,FALSE)*($T97*(1-$F97)+$S97*(1-$G97))*((1+Inputs!$D$7)^AQ$2))))))</f>
        <v>46.37599580365309</v>
      </c>
      <c r="AR97" s="88">
        <f>$E97*IF(AR$2&gt;Inputs!$D$5,0,IF(AR$2&gt;VLOOKUP($H97,Lists!$P$3:$Q$7,2),IF($N97=Lists!$K$3,IF($L97&lt;1,(($U97/$L97)*((1+Inputs!$D$7)^AR$2)),((INT(AR$2/$L97)-INT((AR$2-1)/$L97))*$U97*((1+Inputs!$D$7)^AR$2))),(_xlfn.WEIBULL.DIST(AR$2,$M97,$L97,FALSE)*$U97*((1+Inputs!$D$7)^AR$2))),IF($N97=Lists!$K$3,IF($L97&lt;1,((($T97*(1-$F97)+$S97*(1-$G97))/$L97)*((1+Inputs!$D$7)^AR$2)),((INT(AR$2/$L97)-INT((AR$2-1)/$L97))*($T97*(1-$F97)+$S97*(1-$G97))*((1+Inputs!$D$7)^AR$2))),((_xlfn.WEIBULL.DIST(AR$2,$M97,$L97,FALSE)*($T97*(1-$F97)+$S97*(1-$G97))*((1+Inputs!$D$7)^AR$2))))))</f>
        <v>47.30351571972615</v>
      </c>
      <c r="AS97" s="88">
        <f>$E97*IF(AS$2&gt;Inputs!$D$5,0,IF(AS$2&gt;VLOOKUP($H97,Lists!$P$3:$Q$7,2),IF($N97=Lists!$K$3,IF($L97&lt;1,(($U97/$L97)*((1+Inputs!$D$7)^AS$2)),((INT(AS$2/$L97)-INT((AS$2-1)/$L97))*$U97*((1+Inputs!$D$7)^AS$2))),(_xlfn.WEIBULL.DIST(AS$2,$M97,$L97,FALSE)*$U97*((1+Inputs!$D$7)^AS$2))),IF($N97=Lists!$K$3,IF($L97&lt;1,((($T97*(1-$F97)+$S97*(1-$G97))/$L97)*((1+Inputs!$D$7)^AS$2)),((INT(AS$2/$L97)-INT((AS$2-1)/$L97))*($T97*(1-$F97)+$S97*(1-$G97))*((1+Inputs!$D$7)^AS$2))),((_xlfn.WEIBULL.DIST(AS$2,$M97,$L97,FALSE)*($T97*(1-$F97)+$S97*(1-$G97))*((1+Inputs!$D$7)^AS$2))))))</f>
        <v>48.249586034120668</v>
      </c>
      <c r="AT97" s="88">
        <f>$E97*IF(AT$2&gt;Inputs!$D$5,0,IF(AT$2&gt;VLOOKUP($H97,Lists!$P$3:$Q$7,2),IF($N97=Lists!$K$3,IF($L97&lt;1,(($U97/$L97)*((1+Inputs!$D$7)^AT$2)),((INT(AT$2/$L97)-INT((AT$2-1)/$L97))*$U97*((1+Inputs!$D$7)^AT$2))),(_xlfn.WEIBULL.DIST(AT$2,$M97,$L97,FALSE)*$U97*((1+Inputs!$D$7)^AT$2))),IF($N97=Lists!$K$3,IF($L97&lt;1,((($T97*(1-$F97)+$S97*(1-$G97))/$L97)*((1+Inputs!$D$7)^AT$2)),((INT(AT$2/$L97)-INT((AT$2-1)/$L97))*($T97*(1-$F97)+$S97*(1-$G97))*((1+Inputs!$D$7)^AT$2))),((_xlfn.WEIBULL.DIST(AT$2,$M97,$L97,FALSE)*($T97*(1-$F97)+$S97*(1-$G97))*((1+Inputs!$D$7)^AT$2))))))</f>
        <v>49.214577754803088</v>
      </c>
      <c r="AU97" s="88">
        <f>$E97*IF(AU$2&gt;Inputs!$D$5,0,IF(AU$2&gt;VLOOKUP($H97,Lists!$P$3:$Q$7,2),IF($N97=Lists!$K$3,IF($L97&lt;1,(($U97/$L97)*((1+Inputs!$D$7)^AU$2)),((INT(AU$2/$L97)-INT((AU$2-1)/$L97))*$U97*((1+Inputs!$D$7)^AU$2))),(_xlfn.WEIBULL.DIST(AU$2,$M97,$L97,FALSE)*$U97*((1+Inputs!$D$7)^AU$2))),IF($N97=Lists!$K$3,IF($L97&lt;1,((($T97*(1-$F97)+$S97*(1-$G97))/$L97)*((1+Inputs!$D$7)^AU$2)),((INT(AU$2/$L97)-INT((AU$2-1)/$L97))*($T97*(1-$F97)+$S97*(1-$G97))*((1+Inputs!$D$7)^AU$2))),((_xlfn.WEIBULL.DIST(AU$2,$M97,$L97,FALSE)*($T97*(1-$F97)+$S97*(1-$G97))*((1+Inputs!$D$7)^AU$2))))))</f>
        <v>50.198869309899145</v>
      </c>
      <c r="AV97" s="88">
        <f>$E97*IF(AV$2&gt;Inputs!$D$5,0,IF(AV$2&gt;VLOOKUP($H97,Lists!$P$3:$Q$7,2),IF($N97=Lists!$K$3,IF($L97&lt;1,(($U97/$L97)*((1+Inputs!$D$7)^AV$2)),((INT(AV$2/$L97)-INT((AV$2-1)/$L97))*$U97*((1+Inputs!$D$7)^AV$2))),(_xlfn.WEIBULL.DIST(AV$2,$M97,$L97,FALSE)*$U97*((1+Inputs!$D$7)^AV$2))),IF($N97=Lists!$K$3,IF($L97&lt;1,((($T97*(1-$F97)+$S97*(1-$G97))/$L97)*((1+Inputs!$D$7)^AV$2)),((INT(AV$2/$L97)-INT((AV$2-1)/$L97))*($T97*(1-$F97)+$S97*(1-$G97))*((1+Inputs!$D$7)^AV$2))),((_xlfn.WEIBULL.DIST(AV$2,$M97,$L97,FALSE)*($T97*(1-$F97)+$S97*(1-$G97))*((1+Inputs!$D$7)^AV$2))))))</f>
        <v>51.202846696097133</v>
      </c>
      <c r="AW97" s="88">
        <f>$E97*IF(AW$2&gt;Inputs!$D$5,0,IF(AW$2&gt;VLOOKUP($H97,Lists!$P$3:$Q$7,2),IF($N97=Lists!$K$3,IF($L97&lt;1,(($U97/$L97)*((1+Inputs!$D$7)^AW$2)),((INT(AW$2/$L97)-INT((AW$2-1)/$L97))*$U97*((1+Inputs!$D$7)^AW$2))),(_xlfn.WEIBULL.DIST(AW$2,$M97,$L97,FALSE)*$U97*((1+Inputs!$D$7)^AW$2))),IF($N97=Lists!$K$3,IF($L97&lt;1,((($T97*(1-$F97)+$S97*(1-$G97))/$L97)*((1+Inputs!$D$7)^AW$2)),((INT(AW$2/$L97)-INT((AW$2-1)/$L97))*($T97*(1-$F97)+$S97*(1-$G97))*((1+Inputs!$D$7)^AW$2))),((_xlfn.WEIBULL.DIST(AW$2,$M97,$L97,FALSE)*($T97*(1-$F97)+$S97*(1-$G97))*((1+Inputs!$D$7)^AW$2))))))</f>
        <v>52.226903630019066</v>
      </c>
      <c r="AX97" s="88">
        <f>$E97*IF(AX$2&gt;Inputs!$D$5,0,IF(AX$2&gt;VLOOKUP($H97,Lists!$P$3:$Q$7,2),IF($N97=Lists!$K$3,IF($L97&lt;1,(($U97/$L97)*((1+Inputs!$D$7)^AX$2)),((INT(AX$2/$L97)-INT((AX$2-1)/$L97))*$U97*((1+Inputs!$D$7)^AX$2))),(_xlfn.WEIBULL.DIST(AX$2,$M97,$L97,FALSE)*$U97*((1+Inputs!$D$7)^AX$2))),IF($N97=Lists!$K$3,IF($L97&lt;1,((($T97*(1-$F97)+$S97*(1-$G97))/$L97)*((1+Inputs!$D$7)^AX$2)),((INT(AX$2/$L97)-INT((AX$2-1)/$L97))*($T97*(1-$F97)+$S97*(1-$G97))*((1+Inputs!$D$7)^AX$2))),((_xlfn.WEIBULL.DIST(AX$2,$M97,$L97,FALSE)*($T97*(1-$F97)+$S97*(1-$G97))*((1+Inputs!$D$7)^AX$2))))))</f>
        <v>53.271441702619448</v>
      </c>
      <c r="AY97" s="88">
        <f>$E97*IF(AY$2&gt;Inputs!$D$5,0,IF(AY$2&gt;VLOOKUP($H97,Lists!$P$3:$Q$7,2),IF($N97=Lists!$K$3,IF($L97&lt;1,(($U97/$L97)*((1+Inputs!$D$7)^AY$2)),((INT(AY$2/$L97)-INT((AY$2-1)/$L97))*$U97*((1+Inputs!$D$7)^AY$2))),(_xlfn.WEIBULL.DIST(AY$2,$M97,$L97,FALSE)*$U97*((1+Inputs!$D$7)^AY$2))),IF($N97=Lists!$K$3,IF($L97&lt;1,((($T97*(1-$F97)+$S97*(1-$G97))/$L97)*((1+Inputs!$D$7)^AY$2)),((INT(AY$2/$L97)-INT((AY$2-1)/$L97))*($T97*(1-$F97)+$S97*(1-$G97))*((1+Inputs!$D$7)^AY$2))),((_xlfn.WEIBULL.DIST(AY$2,$M97,$L97,FALSE)*($T97*(1-$F97)+$S97*(1-$G97))*((1+Inputs!$D$7)^AY$2))))))</f>
        <v>54.336870536671839</v>
      </c>
      <c r="AZ97" s="88">
        <f>$E97*IF(AZ$2&gt;Inputs!$D$5,0,IF(AZ$2&gt;VLOOKUP($H97,Lists!$P$3:$Q$7,2),IF($N97=Lists!$K$3,IF($L97&lt;1,(($U97/$L97)*((1+Inputs!$D$7)^AZ$2)),((INT(AZ$2/$L97)-INT((AZ$2-1)/$L97))*$U97*((1+Inputs!$D$7)^AZ$2))),(_xlfn.WEIBULL.DIST(AZ$2,$M97,$L97,FALSE)*$U97*((1+Inputs!$D$7)^AZ$2))),IF($N97=Lists!$K$3,IF($L97&lt;1,((($T97*(1-$F97)+$S97*(1-$G97))/$L97)*((1+Inputs!$D$7)^AZ$2)),((INT(AZ$2/$L97)-INT((AZ$2-1)/$L97))*($T97*(1-$F97)+$S97*(1-$G97))*((1+Inputs!$D$7)^AZ$2))),((_xlfn.WEIBULL.DIST(AZ$2,$M97,$L97,FALSE)*($T97*(1-$F97)+$S97*(1-$G97))*((1+Inputs!$D$7)^AZ$2))))))</f>
        <v>0</v>
      </c>
      <c r="BA97" s="88">
        <f>$E97*IF(BA$2&gt;Inputs!$D$5,0,IF(BA$2&gt;VLOOKUP($H97,Lists!$P$3:$Q$7,2),IF($N97=Lists!$K$3,IF($L97&lt;1,(($U97/$L97)*((1+Inputs!$D$7)^BA$2)),((INT(BA$2/$L97)-INT((BA$2-1)/$L97))*$U97*((1+Inputs!$D$7)^BA$2))),(_xlfn.WEIBULL.DIST(BA$2,$M97,$L97,FALSE)*$U97*((1+Inputs!$D$7)^BA$2))),IF($N97=Lists!$K$3,IF($L97&lt;1,((($T97*(1-$F97)+$S97*(1-$G97))/$L97)*((1+Inputs!$D$7)^BA$2)),((INT(BA$2/$L97)-INT((BA$2-1)/$L97))*($T97*(1-$F97)+$S97*(1-$G97))*((1+Inputs!$D$7)^BA$2))),((_xlfn.WEIBULL.DIST(BA$2,$M97,$L97,FALSE)*($T97*(1-$F97)+$S97*(1-$G97))*((1+Inputs!$D$7)^BA$2))))))</f>
        <v>0</v>
      </c>
      <c r="BB97" s="88">
        <f>$E97*IF(BB$2&gt;Inputs!$D$5,0,IF(BB$2&gt;VLOOKUP($H97,Lists!$P$3:$Q$7,2),IF($N97=Lists!$K$3,IF($L97&lt;1,(($U97/$L97)*((1+Inputs!$D$7)^BB$2)),((INT(BB$2/$L97)-INT((BB$2-1)/$L97))*$U97*((1+Inputs!$D$7)^BB$2))),(_xlfn.WEIBULL.DIST(BB$2,$M97,$L97,FALSE)*$U97*((1+Inputs!$D$7)^BB$2))),IF($N97=Lists!$K$3,IF($L97&lt;1,((($T97*(1-$F97)+$S97*(1-$G97))/$L97)*((1+Inputs!$D$7)^BB$2)),((INT(BB$2/$L97)-INT((BB$2-1)/$L97))*($T97*(1-$F97)+$S97*(1-$G97))*((1+Inputs!$D$7)^BB$2))),((_xlfn.WEIBULL.DIST(BB$2,$M97,$L97,FALSE)*($T97*(1-$F97)+$S97*(1-$G97))*((1+Inputs!$D$7)^BB$2))))))</f>
        <v>0</v>
      </c>
      <c r="BC97" s="88">
        <f>$E97*IF(BC$2&gt;Inputs!$D$5,0,IF(BC$2&gt;VLOOKUP($H97,Lists!$P$3:$Q$7,2),IF($N97=Lists!$K$3,IF($L97&lt;1,(($U97/$L97)*((1+Inputs!$D$7)^BC$2)),((INT(BC$2/$L97)-INT((BC$2-1)/$L97))*$U97*((1+Inputs!$D$7)^BC$2))),(_xlfn.WEIBULL.DIST(BC$2,$M97,$L97,FALSE)*$U97*((1+Inputs!$D$7)^BC$2))),IF($N97=Lists!$K$3,IF($L97&lt;1,((($T97*(1-$F97)+$S97*(1-$G97))/$L97)*((1+Inputs!$D$7)^BC$2)),((INT(BC$2/$L97)-INT((BC$2-1)/$L97))*($T97*(1-$F97)+$S97*(1-$G97))*((1+Inputs!$D$7)^BC$2))),((_xlfn.WEIBULL.DIST(BC$2,$M97,$L97,FALSE)*($T97*(1-$F97)+$S97*(1-$G97))*((1+Inputs!$D$7)^BC$2))))))</f>
        <v>0</v>
      </c>
      <c r="BD97" s="88">
        <f>$E97*IF(BD$2&gt;Inputs!$D$5,0,IF(BD$2&gt;VLOOKUP($H97,Lists!$P$3:$Q$7,2),IF($N97=Lists!$K$3,IF($L97&lt;1,(($U97/$L97)*((1+Inputs!$D$7)^BD$2)),((INT(BD$2/$L97)-INT((BD$2-1)/$L97))*$U97*((1+Inputs!$D$7)^BD$2))),(_xlfn.WEIBULL.DIST(BD$2,$M97,$L97,FALSE)*$U97*((1+Inputs!$D$7)^BD$2))),IF($N97=Lists!$K$3,IF($L97&lt;1,((($T97*(1-$F97)+$S97*(1-$G97))/$L97)*((1+Inputs!$D$7)^BD$2)),((INT(BD$2/$L97)-INT((BD$2-1)/$L97))*($T97*(1-$F97)+$S97*(1-$G97))*((1+Inputs!$D$7)^BD$2))),((_xlfn.WEIBULL.DIST(BD$2,$M97,$L97,FALSE)*($T97*(1-$F97)+$S97*(1-$G97))*((1+Inputs!$D$7)^BD$2))))))</f>
        <v>0</v>
      </c>
      <c r="BE97" s="88">
        <f>$E97*IF(BE$2&gt;Inputs!$D$5,0,IF(BE$2&gt;VLOOKUP($H97,Lists!$P$3:$Q$7,2),IF($N97=Lists!$K$3,IF($L97&lt;1,(($U97/$L97)*((1+Inputs!$D$7)^BE$2)),((INT(BE$2/$L97)-INT((BE$2-1)/$L97))*$U97*((1+Inputs!$D$7)^BE$2))),(_xlfn.WEIBULL.DIST(BE$2,$M97,$L97,FALSE)*$U97*((1+Inputs!$D$7)^BE$2))),IF($N97=Lists!$K$3,IF($L97&lt;1,((($T97*(1-$F97)+$S97*(1-$G97))/$L97)*((1+Inputs!$D$7)^BE$2)),((INT(BE$2/$L97)-INT((BE$2-1)/$L97))*($T97*(1-$F97)+$S97*(1-$G97))*((1+Inputs!$D$7)^BE$2))),((_xlfn.WEIBULL.DIST(BE$2,$M97,$L97,FALSE)*($T97*(1-$F97)+$S97*(1-$G97))*((1+Inputs!$D$7)^BE$2))))))</f>
        <v>0</v>
      </c>
      <c r="BF97" s="88">
        <f>$E97*IF(BF$2&gt;Inputs!$D$5,0,IF(BF$2&gt;VLOOKUP($H97,Lists!$P$3:$Q$7,2),IF($N97=Lists!$K$3,IF($L97&lt;1,(($U97/$L97)*((1+Inputs!$D$7)^BF$2)),((INT(BF$2/$L97)-INT((BF$2-1)/$L97))*$U97*((1+Inputs!$D$7)^BF$2))),(_xlfn.WEIBULL.DIST(BF$2,$M97,$L97,FALSE)*$U97*((1+Inputs!$D$7)^BF$2))),IF($N97=Lists!$K$3,IF($L97&lt;1,((($T97*(1-$F97)+$S97*(1-$G97))/$L97)*((1+Inputs!$D$7)^BF$2)),((INT(BF$2/$L97)-INT((BF$2-1)/$L97))*($T97*(1-$F97)+$S97*(1-$G97))*((1+Inputs!$D$7)^BF$2))),((_xlfn.WEIBULL.DIST(BF$2,$M97,$L97,FALSE)*($T97*(1-$F97)+$S97*(1-$G97))*((1+Inputs!$D$7)^BF$2))))))</f>
        <v>0</v>
      </c>
      <c r="BG97" s="88">
        <f>$E97*IF(BG$2&gt;Inputs!$D$5,0,IF(BG$2&gt;VLOOKUP($H97,Lists!$P$3:$Q$7,2),IF($N97=Lists!$K$3,IF($L97&lt;1,(($U97/$L97)*((1+Inputs!$D$7)^BG$2)),((INT(BG$2/$L97)-INT((BG$2-1)/$L97))*$U97*((1+Inputs!$D$7)^BG$2))),(_xlfn.WEIBULL.DIST(BG$2,$M97,$L97,FALSE)*$U97*((1+Inputs!$D$7)^BG$2))),IF($N97=Lists!$K$3,IF($L97&lt;1,((($T97*(1-$F97)+$S97*(1-$G97))/$L97)*((1+Inputs!$D$7)^BG$2)),((INT(BG$2/$L97)-INT((BG$2-1)/$L97))*($T97*(1-$F97)+$S97*(1-$G97))*((1+Inputs!$D$7)^BG$2))),((_xlfn.WEIBULL.DIST(BG$2,$M97,$L97,FALSE)*($T97*(1-$F97)+$S97*(1-$G97))*((1+Inputs!$D$7)^BG$2))))))</f>
        <v>0</v>
      </c>
      <c r="BH97" s="88">
        <f>$E97*IF(BH$2&gt;Inputs!$D$5,0,IF(BH$2&gt;VLOOKUP($H97,Lists!$P$3:$Q$7,2),IF($N97=Lists!$K$3,IF($L97&lt;1,(($U97/$L97)*((1+Inputs!$D$7)^BH$2)),((INT(BH$2/$L97)-INT((BH$2-1)/$L97))*$U97*((1+Inputs!$D$7)^BH$2))),(_xlfn.WEIBULL.DIST(BH$2,$M97,$L97,FALSE)*$U97*((1+Inputs!$D$7)^BH$2))),IF($N97=Lists!$K$3,IF($L97&lt;1,((($T97*(1-$F97)+$S97*(1-$G97))/$L97)*((1+Inputs!$D$7)^BH$2)),((INT(BH$2/$L97)-INT((BH$2-1)/$L97))*($T97*(1-$F97)+$S97*(1-$G97))*((1+Inputs!$D$7)^BH$2))),((_xlfn.WEIBULL.DIST(BH$2,$M97,$L97,FALSE)*($T97*(1-$F97)+$S97*(1-$G97))*((1+Inputs!$D$7)^BH$2))))))</f>
        <v>0</v>
      </c>
      <c r="BI97" s="88">
        <f>$E97*IF(BI$2&gt;Inputs!$D$5,0,IF(BI$2&gt;VLOOKUP($H97,Lists!$P$3:$Q$7,2),IF($N97=Lists!$K$3,IF($L97&lt;1,(($U97/$L97)*((1+Inputs!$D$7)^BI$2)),((INT(BI$2/$L97)-INT((BI$2-1)/$L97))*$U97*((1+Inputs!$D$7)^BI$2))),(_xlfn.WEIBULL.DIST(BI$2,$M97,$L97,FALSE)*$U97*((1+Inputs!$D$7)^BI$2))),IF($N97=Lists!$K$3,IF($L97&lt;1,((($T97*(1-$F97)+$S97*(1-$G97))/$L97)*((1+Inputs!$D$7)^BI$2)),((INT(BI$2/$L97)-INT((BI$2-1)/$L97))*($T97*(1-$F97)+$S97*(1-$G97))*((1+Inputs!$D$7)^BI$2))),((_xlfn.WEIBULL.DIST(BI$2,$M97,$L97,FALSE)*($T97*(1-$F97)+$S97*(1-$G97))*((1+Inputs!$D$7)^BI$2))))))</f>
        <v>0</v>
      </c>
      <c r="BJ97" s="88">
        <f>$E97*IF(BJ$2&gt;Inputs!$D$5,0,IF(BJ$2&gt;VLOOKUP($H97,Lists!$P$3:$Q$7,2),IF($N97=Lists!$K$3,IF($L97&lt;1,(($U97/$L97)*((1+Inputs!$D$7)^BJ$2)),((INT(BJ$2/$L97)-INT((BJ$2-1)/$L97))*$U97*((1+Inputs!$D$7)^BJ$2))),(_xlfn.WEIBULL.DIST(BJ$2,$M97,$L97,FALSE)*$U97*((1+Inputs!$D$7)^BJ$2))),IF($N97=Lists!$K$3,IF($L97&lt;1,((($T97*(1-$F97)+$S97*(1-$G97))/$L97)*((1+Inputs!$D$7)^BJ$2)),((INT(BJ$2/$L97)-INT((BJ$2-1)/$L97))*($T97*(1-$F97)+$S97*(1-$G97))*((1+Inputs!$D$7)^BJ$2))),((_xlfn.WEIBULL.DIST(BJ$2,$M97,$L97,FALSE)*($T97*(1-$F97)+$S97*(1-$G97))*((1+Inputs!$D$7)^BJ$2))))))</f>
        <v>0</v>
      </c>
      <c r="BK97" s="88">
        <f>$E97*IF(BK$2&gt;Inputs!$D$5,0,IF(BK$2&gt;VLOOKUP($H97,Lists!$P$3:$Q$7,2),IF($N97=Lists!$K$3,IF($L97&lt;1,(($U97/$L97)*((1+Inputs!$D$7)^BK$2)),((INT(BK$2/$L97)-INT((BK$2-1)/$L97))*$U97*((1+Inputs!$D$7)^BK$2))),(_xlfn.WEIBULL.DIST(BK$2,$M97,$L97,FALSE)*$U97*((1+Inputs!$D$7)^BK$2))),IF($N97=Lists!$K$3,IF($L97&lt;1,((($T97*(1-$F97)+$S97*(1-$G97))/$L97)*((1+Inputs!$D$7)^BK$2)),((INT(BK$2/$L97)-INT((BK$2-1)/$L97))*($T97*(1-$F97)+$S97*(1-$G97))*((1+Inputs!$D$7)^BK$2))),((_xlfn.WEIBULL.DIST(BK$2,$M97,$L97,FALSE)*($T97*(1-$F97)+$S97*(1-$G97))*((1+Inputs!$D$7)^BK$2))))))</f>
        <v>0</v>
      </c>
      <c r="BL97" s="88">
        <f>$E97*IF(BL$2&gt;Inputs!$D$5,0,IF(BL$2&gt;VLOOKUP($H97,Lists!$P$3:$Q$7,2),IF($N97=Lists!$K$3,IF($L97&lt;1,(($U97/$L97)*((1+Inputs!$D$7)^BL$2)),((INT(BL$2/$L97)-INT((BL$2-1)/$L97))*$U97*((1+Inputs!$D$7)^BL$2))),(_xlfn.WEIBULL.DIST(BL$2,$M97,$L97,FALSE)*$U97*((1+Inputs!$D$7)^BL$2))),IF($N97=Lists!$K$3,IF($L97&lt;1,((($T97*(1-$F97)+$S97*(1-$G97))/$L97)*((1+Inputs!$D$7)^BL$2)),((INT(BL$2/$L97)-INT((BL$2-1)/$L97))*($T97*(1-$F97)+$S97*(1-$G97))*((1+Inputs!$D$7)^BL$2))),((_xlfn.WEIBULL.DIST(BL$2,$M97,$L97,FALSE)*($T97*(1-$F97)+$S97*(1-$G97))*((1+Inputs!$D$7)^BL$2))))))</f>
        <v>0</v>
      </c>
      <c r="BM97" s="88">
        <f>$E97*IF(BM$2&gt;Inputs!$D$5,0,IF(BM$2&gt;VLOOKUP($H97,Lists!$P$3:$Q$7,2),IF($N97=Lists!$K$3,IF($L97&lt;1,(($U97/$L97)*((1+Inputs!$D$7)^BM$2)),((INT(BM$2/$L97)-INT((BM$2-1)/$L97))*$U97*((1+Inputs!$D$7)^BM$2))),(_xlfn.WEIBULL.DIST(BM$2,$M97,$L97,FALSE)*$U97*((1+Inputs!$D$7)^BM$2))),IF($N97=Lists!$K$3,IF($L97&lt;1,((($T97*(1-$F97)+$S97*(1-$G97))/$L97)*((1+Inputs!$D$7)^BM$2)),((INT(BM$2/$L97)-INT((BM$2-1)/$L97))*($T97*(1-$F97)+$S97*(1-$G97))*((1+Inputs!$D$7)^BM$2))),((_xlfn.WEIBULL.DIST(BM$2,$M97,$L97,FALSE)*($T97*(1-$F97)+$S97*(1-$G97))*((1+Inputs!$D$7)^BM$2))))))</f>
        <v>0</v>
      </c>
      <c r="BN97" s="88">
        <f>$E97*IF(BN$2&gt;Inputs!$D$5,0,IF(BN$2&gt;VLOOKUP($H97,Lists!$P$3:$Q$7,2),IF($N97=Lists!$K$3,IF($L97&lt;1,(($U97/$L97)*((1+Inputs!$D$7)^BN$2)),((INT(BN$2/$L97)-INT((BN$2-1)/$L97))*$U97*((1+Inputs!$D$7)^BN$2))),(_xlfn.WEIBULL.DIST(BN$2,$M97,$L97,FALSE)*$U97*((1+Inputs!$D$7)^BN$2))),IF($N97=Lists!$K$3,IF($L97&lt;1,((($T97*(1-$F97)+$S97*(1-$G97))/$L97)*((1+Inputs!$D$7)^BN$2)),((INT(BN$2/$L97)-INT((BN$2-1)/$L97))*($T97*(1-$F97)+$S97*(1-$G97))*((1+Inputs!$D$7)^BN$2))),((_xlfn.WEIBULL.DIST(BN$2,$M97,$L97,FALSE)*($T97*(1-$F97)+$S97*(1-$G97))*((1+Inputs!$D$7)^BN$2))))))</f>
        <v>0</v>
      </c>
      <c r="BO97" s="64">
        <f>NPV(Inputs!$D$6,BQ97:DD97)</f>
        <v>471.41291640750995</v>
      </c>
      <c r="BP97" s="67">
        <f t="shared" si="20"/>
        <v>2.2234134609008495E-4</v>
      </c>
      <c r="BQ97" s="88">
        <f>MAX(AA97,($E97*IF(BQ$2&gt;Inputs!$D$5,0,IF(BQ$2&gt;VLOOKUP($H97,Lists!$P$3:$Q$7,2),IF($N97=Lists!$K$3,IF($L97&lt;1,(($U97/$L97)*((1+Inputs!$D$7)^BQ$2)),((INT(BQ$2/$L97)-INT((BQ$2-1)/$L97))*$U97*((1+Inputs!$D$7)^BQ$2))),(Inputs!$D$8^((1-_xlfn.WEIBULL.DIST(BQ$2,$M97,$L97,FALSE))/_xlfn.WEIBULL.DIST(BQ$2,$M97,$L97,FALSE))*$U97*((1+Inputs!$D$7)^BQ$2))),IF($N97=Lists!$K$3,IF($L97&lt;1,((($T97*(1-$F97)+$S97*(1-$G97))/$L97)*((1+Inputs!$D$7)^BQ$2)),((INT(BQ$2/$L97)-INT((BQ$2-1)/$L97))*($T97*(1-$F97)+$S97*(1-$G97))*((1+Inputs!$D$7)^BQ$2))),((Inputs!$D$8^((1-_xlfn.WEIBULL.DIST(BQ$2,$M97,$L97,FALSE))/_xlfn.WEIBULL.DIST(BQ$2,$M97,$L97,FALSE))*($T97*(1-$F97)+$S97*(1-$G97))*((1+Inputs!$D$7)^BQ$2))))))))</f>
        <v>33.782399999999996</v>
      </c>
      <c r="BR97" s="88">
        <f>MAX(AB97,($E97*IF(BR$2&gt;Inputs!$D$5,0,IF(BR$2&gt;VLOOKUP($H97,Lists!$P$3:$Q$7,2),IF($N97=Lists!$K$3,IF($L97&lt;1,(($U97/$L97)*((1+Inputs!$D$7)^BR$2)),((INT(BR$2/$L97)-INT((BR$2-1)/$L97))*$U97*((1+Inputs!$D$7)^BR$2))),(Inputs!$D$8^((1-_xlfn.WEIBULL.DIST(BR$2,$M97,$L97,FALSE))/_xlfn.WEIBULL.DIST(BR$2,$M97,$L97,FALSE))*$U97*((1+Inputs!$D$7)^BR$2))),IF($N97=Lists!$K$3,IF($L97&lt;1,((($T97*(1-$F97)+$S97*(1-$G97))/$L97)*((1+Inputs!$D$7)^BR$2)),((INT(BR$2/$L97)-INT((BR$2-1)/$L97))*($T97*(1-$F97)+$S97*(1-$G97))*((1+Inputs!$D$7)^BR$2))),((Inputs!$D$8^((1-_xlfn.WEIBULL.DIST(BR$2,$M97,$L97,FALSE))/_xlfn.WEIBULL.DIST(BR$2,$M97,$L97,FALSE))*($T97*(1-$F97)+$S97*(1-$G97))*((1+Inputs!$D$7)^BR$2))))))))</f>
        <v>34.458047999999998</v>
      </c>
      <c r="BS97" s="88">
        <f>MAX(AC97,($E97*IF(BS$2&gt;Inputs!$D$5,0,IF(BS$2&gt;VLOOKUP($H97,Lists!$P$3:$Q$7,2),IF($N97=Lists!$K$3,IF($L97&lt;1,(($U97/$L97)*((1+Inputs!$D$7)^BS$2)),((INT(BS$2/$L97)-INT((BS$2-1)/$L97))*$U97*((1+Inputs!$D$7)^BS$2))),(Inputs!$D$8^((1-_xlfn.WEIBULL.DIST(BS$2,$M97,$L97,FALSE))/_xlfn.WEIBULL.DIST(BS$2,$M97,$L97,FALSE))*$U97*((1+Inputs!$D$7)^BS$2))),IF($N97=Lists!$K$3,IF($L97&lt;1,((($T97*(1-$F97)+$S97*(1-$G97))/$L97)*((1+Inputs!$D$7)^BS$2)),((INT(BS$2/$L97)-INT((BS$2-1)/$L97))*($T97*(1-$F97)+$S97*(1-$G97))*((1+Inputs!$D$7)^BS$2))),((Inputs!$D$8^((1-_xlfn.WEIBULL.DIST(BS$2,$M97,$L97,FALSE))/_xlfn.WEIBULL.DIST(BS$2,$M97,$L97,FALSE))*($T97*(1-$F97)+$S97*(1-$G97))*((1+Inputs!$D$7)^BS$2))))))))</f>
        <v>35.147208959999993</v>
      </c>
      <c r="BT97" s="88">
        <f>MAX(AD97,($E97*IF(BT$2&gt;Inputs!$D$5,0,IF(BT$2&gt;VLOOKUP($H97,Lists!$P$3:$Q$7,2),IF($N97=Lists!$K$3,IF($L97&lt;1,(($U97/$L97)*((1+Inputs!$D$7)^BT$2)),((INT(BT$2/$L97)-INT((BT$2-1)/$L97))*$U97*((1+Inputs!$D$7)^BT$2))),(Inputs!$D$8^((1-_xlfn.WEIBULL.DIST(BT$2,$M97,$L97,FALSE))/_xlfn.WEIBULL.DIST(BT$2,$M97,$L97,FALSE))*$U97*((1+Inputs!$D$7)^BT$2))),IF($N97=Lists!$K$3,IF($L97&lt;1,((($T97*(1-$F97)+$S97*(1-$G97))/$L97)*((1+Inputs!$D$7)^BT$2)),((INT(BT$2/$L97)-INT((BT$2-1)/$L97))*($T97*(1-$F97)+$S97*(1-$G97))*((1+Inputs!$D$7)^BT$2))),((Inputs!$D$8^((1-_xlfn.WEIBULL.DIST(BT$2,$M97,$L97,FALSE))/_xlfn.WEIBULL.DIST(BT$2,$M97,$L97,FALSE))*($T97*(1-$F97)+$S97*(1-$G97))*((1+Inputs!$D$7)^BT$2))))))))</f>
        <v>35.850153139199996</v>
      </c>
      <c r="BU97" s="88">
        <f>MAX(AE97,($E97*IF(BU$2&gt;Inputs!$D$5,0,IF(BU$2&gt;VLOOKUP($H97,Lists!$P$3:$Q$7,2),IF($N97=Lists!$K$3,IF($L97&lt;1,(($U97/$L97)*((1+Inputs!$D$7)^BU$2)),((INT(BU$2/$L97)-INT((BU$2-1)/$L97))*$U97*((1+Inputs!$D$7)^BU$2))),(Inputs!$D$8^((1-_xlfn.WEIBULL.DIST(BU$2,$M97,$L97,FALSE))/_xlfn.WEIBULL.DIST(BU$2,$M97,$L97,FALSE))*$U97*((1+Inputs!$D$7)^BU$2))),IF($N97=Lists!$K$3,IF($L97&lt;1,((($T97*(1-$F97)+$S97*(1-$G97))/$L97)*((1+Inputs!$D$7)^BU$2)),((INT(BU$2/$L97)-INT((BU$2-1)/$L97))*($T97*(1-$F97)+$S97*(1-$G97))*((1+Inputs!$D$7)^BU$2))),((Inputs!$D$8^((1-_xlfn.WEIBULL.DIST(BU$2,$M97,$L97,FALSE))/_xlfn.WEIBULL.DIST(BU$2,$M97,$L97,FALSE))*($T97*(1-$F97)+$S97*(1-$G97))*((1+Inputs!$D$7)^BU$2))))))))</f>
        <v>36.567156201983998</v>
      </c>
      <c r="BV97" s="88">
        <f>MAX(AF97,($E97*IF(BV$2&gt;Inputs!$D$5,0,IF(BV$2&gt;VLOOKUP($H97,Lists!$P$3:$Q$7,2),IF($N97=Lists!$K$3,IF($L97&lt;1,(($U97/$L97)*((1+Inputs!$D$7)^BV$2)),((INT(BV$2/$L97)-INT((BV$2-1)/$L97))*$U97*((1+Inputs!$D$7)^BV$2))),(Inputs!$D$8^((1-_xlfn.WEIBULL.DIST(BV$2,$M97,$L97,FALSE))/_xlfn.WEIBULL.DIST(BV$2,$M97,$L97,FALSE))*$U97*((1+Inputs!$D$7)^BV$2))),IF($N97=Lists!$K$3,IF($L97&lt;1,((($T97*(1-$F97)+$S97*(1-$G97))/$L97)*((1+Inputs!$D$7)^BV$2)),((INT(BV$2/$L97)-INT((BV$2-1)/$L97))*($T97*(1-$F97)+$S97*(1-$G97))*((1+Inputs!$D$7)^BV$2))),((Inputs!$D$8^((1-_xlfn.WEIBULL.DIST(BV$2,$M97,$L97,FALSE))/_xlfn.WEIBULL.DIST(BV$2,$M97,$L97,FALSE))*($T97*(1-$F97)+$S97*(1-$G97))*((1+Inputs!$D$7)^BV$2))))))))</f>
        <v>37.298499326023681</v>
      </c>
      <c r="BW97" s="88">
        <f>MAX(AG97,($E97*IF(BW$2&gt;Inputs!$D$5,0,IF(BW$2&gt;VLOOKUP($H97,Lists!$P$3:$Q$7,2),IF($N97=Lists!$K$3,IF($L97&lt;1,(($U97/$L97)*((1+Inputs!$D$7)^BW$2)),((INT(BW$2/$L97)-INT((BW$2-1)/$L97))*$U97*((1+Inputs!$D$7)^BW$2))),(Inputs!$D$8^((1-_xlfn.WEIBULL.DIST(BW$2,$M97,$L97,FALSE))/_xlfn.WEIBULL.DIST(BW$2,$M97,$L97,FALSE))*$U97*((1+Inputs!$D$7)^BW$2))),IF($N97=Lists!$K$3,IF($L97&lt;1,((($T97*(1-$F97)+$S97*(1-$G97))/$L97)*((1+Inputs!$D$7)^BW$2)),((INT(BW$2/$L97)-INT((BW$2-1)/$L97))*($T97*(1-$F97)+$S97*(1-$G97))*((1+Inputs!$D$7)^BW$2))),((Inputs!$D$8^((1-_xlfn.WEIBULL.DIST(BW$2,$M97,$L97,FALSE))/_xlfn.WEIBULL.DIST(BW$2,$M97,$L97,FALSE))*($T97*(1-$F97)+$S97*(1-$G97))*((1+Inputs!$D$7)^BW$2))))))))</f>
        <v>38.044469312544145</v>
      </c>
      <c r="BX97" s="88">
        <f>MAX(AH97,($E97*IF(BX$2&gt;Inputs!$D$5,0,IF(BX$2&gt;VLOOKUP($H97,Lists!$P$3:$Q$7,2),IF($N97=Lists!$K$3,IF($L97&lt;1,(($U97/$L97)*((1+Inputs!$D$7)^BX$2)),((INT(BX$2/$L97)-INT((BX$2-1)/$L97))*$U97*((1+Inputs!$D$7)^BX$2))),(Inputs!$D$8^((1-_xlfn.WEIBULL.DIST(BX$2,$M97,$L97,FALSE))/_xlfn.WEIBULL.DIST(BX$2,$M97,$L97,FALSE))*$U97*((1+Inputs!$D$7)^BX$2))),IF($N97=Lists!$K$3,IF($L97&lt;1,((($T97*(1-$F97)+$S97*(1-$G97))/$L97)*((1+Inputs!$D$7)^BX$2)),((INT(BX$2/$L97)-INT((BX$2-1)/$L97))*($T97*(1-$F97)+$S97*(1-$G97))*((1+Inputs!$D$7)^BX$2))),((Inputs!$D$8^((1-_xlfn.WEIBULL.DIST(BX$2,$M97,$L97,FALSE))/_xlfn.WEIBULL.DIST(BX$2,$M97,$L97,FALSE))*($T97*(1-$F97)+$S97*(1-$G97))*((1+Inputs!$D$7)^BX$2))))))))</f>
        <v>38.805358698795033</v>
      </c>
      <c r="BY97" s="88">
        <f>MAX(AI97,($E97*IF(BY$2&gt;Inputs!$D$5,0,IF(BY$2&gt;VLOOKUP($H97,Lists!$P$3:$Q$7,2),IF($N97=Lists!$K$3,IF($L97&lt;1,(($U97/$L97)*((1+Inputs!$D$7)^BY$2)),((INT(BY$2/$L97)-INT((BY$2-1)/$L97))*$U97*((1+Inputs!$D$7)^BY$2))),(Inputs!$D$8^((1-_xlfn.WEIBULL.DIST(BY$2,$M97,$L97,FALSE))/_xlfn.WEIBULL.DIST(BY$2,$M97,$L97,FALSE))*$U97*((1+Inputs!$D$7)^BY$2))),IF($N97=Lists!$K$3,IF($L97&lt;1,((($T97*(1-$F97)+$S97*(1-$G97))/$L97)*((1+Inputs!$D$7)^BY$2)),((INT(BY$2/$L97)-INT((BY$2-1)/$L97))*($T97*(1-$F97)+$S97*(1-$G97))*((1+Inputs!$D$7)^BY$2))),((Inputs!$D$8^((1-_xlfn.WEIBULL.DIST(BY$2,$M97,$L97,FALSE))/_xlfn.WEIBULL.DIST(BY$2,$M97,$L97,FALSE))*($T97*(1-$F97)+$S97*(1-$G97))*((1+Inputs!$D$7)^BY$2))))))))</f>
        <v>39.581465872770934</v>
      </c>
      <c r="BZ97" s="88">
        <f>MAX(AJ97,($E97*IF(BZ$2&gt;Inputs!$D$5,0,IF(BZ$2&gt;VLOOKUP($H97,Lists!$P$3:$Q$7,2),IF($N97=Lists!$K$3,IF($L97&lt;1,(($U97/$L97)*((1+Inputs!$D$7)^BZ$2)),((INT(BZ$2/$L97)-INT((BZ$2-1)/$L97))*$U97*((1+Inputs!$D$7)^BZ$2))),(Inputs!$D$8^((1-_xlfn.WEIBULL.DIST(BZ$2,$M97,$L97,FALSE))/_xlfn.WEIBULL.DIST(BZ$2,$M97,$L97,FALSE))*$U97*((1+Inputs!$D$7)^BZ$2))),IF($N97=Lists!$K$3,IF($L97&lt;1,((($T97*(1-$F97)+$S97*(1-$G97))/$L97)*((1+Inputs!$D$7)^BZ$2)),((INT(BZ$2/$L97)-INT((BZ$2-1)/$L97))*($T97*(1-$F97)+$S97*(1-$G97))*((1+Inputs!$D$7)^BZ$2))),((Inputs!$D$8^((1-_xlfn.WEIBULL.DIST(BZ$2,$M97,$L97,FALSE))/_xlfn.WEIBULL.DIST(BZ$2,$M97,$L97,FALSE))*($T97*(1-$F97)+$S97*(1-$G97))*((1+Inputs!$D$7)^BZ$2))))))))</f>
        <v>40.373095190226351</v>
      </c>
      <c r="CA97" s="88">
        <f>MAX(AK97,($E97*IF(CA$2&gt;Inputs!$D$5,0,IF(CA$2&gt;VLOOKUP($H97,Lists!$P$3:$Q$7,2),IF($N97=Lists!$K$3,IF($L97&lt;1,(($U97/$L97)*((1+Inputs!$D$7)^CA$2)),((INT(CA$2/$L97)-INT((CA$2-1)/$L97))*$U97*((1+Inputs!$D$7)^CA$2))),(Inputs!$D$8^((1-_xlfn.WEIBULL.DIST(CA$2,$M97,$L97,FALSE))/_xlfn.WEIBULL.DIST(CA$2,$M97,$L97,FALSE))*$U97*((1+Inputs!$D$7)^CA$2))),IF($N97=Lists!$K$3,IF($L97&lt;1,((($T97*(1-$F97)+$S97*(1-$G97))/$L97)*((1+Inputs!$D$7)^CA$2)),((INT(CA$2/$L97)-INT((CA$2-1)/$L97))*($T97*(1-$F97)+$S97*(1-$G97))*((1+Inputs!$D$7)^CA$2))),((Inputs!$D$8^((1-_xlfn.WEIBULL.DIST(CA$2,$M97,$L97,FALSE))/_xlfn.WEIBULL.DIST(CA$2,$M97,$L97,FALSE))*($T97*(1-$F97)+$S97*(1-$G97))*((1+Inputs!$D$7)^CA$2))))))))</f>
        <v>41.180557094030874</v>
      </c>
      <c r="CB97" s="88">
        <f>MAX(AL97,($E97*IF(CB$2&gt;Inputs!$D$5,0,IF(CB$2&gt;VLOOKUP($H97,Lists!$P$3:$Q$7,2),IF($N97=Lists!$K$3,IF($L97&lt;1,(($U97/$L97)*((1+Inputs!$D$7)^CB$2)),((INT(CB$2/$L97)-INT((CB$2-1)/$L97))*$U97*((1+Inputs!$D$7)^CB$2))),(Inputs!$D$8^((1-_xlfn.WEIBULL.DIST(CB$2,$M97,$L97,FALSE))/_xlfn.WEIBULL.DIST(CB$2,$M97,$L97,FALSE))*$U97*((1+Inputs!$D$7)^CB$2))),IF($N97=Lists!$K$3,IF($L97&lt;1,((($T97*(1-$F97)+$S97*(1-$G97))/$L97)*((1+Inputs!$D$7)^CB$2)),((INT(CB$2/$L97)-INT((CB$2-1)/$L97))*($T97*(1-$F97)+$S97*(1-$G97))*((1+Inputs!$D$7)^CB$2))),((Inputs!$D$8^((1-_xlfn.WEIBULL.DIST(CB$2,$M97,$L97,FALSE))/_xlfn.WEIBULL.DIST(CB$2,$M97,$L97,FALSE))*($T97*(1-$F97)+$S97*(1-$G97))*((1+Inputs!$D$7)^CB$2))))))))</f>
        <v>42.004168235911493</v>
      </c>
      <c r="CC97" s="88">
        <f>MAX(AM97,($E97*IF(CC$2&gt;Inputs!$D$5,0,IF(CC$2&gt;VLOOKUP($H97,Lists!$P$3:$Q$7,2),IF($N97=Lists!$K$3,IF($L97&lt;1,(($U97/$L97)*((1+Inputs!$D$7)^CC$2)),((INT(CC$2/$L97)-INT((CC$2-1)/$L97))*$U97*((1+Inputs!$D$7)^CC$2))),(Inputs!$D$8^((1-_xlfn.WEIBULL.DIST(CC$2,$M97,$L97,FALSE))/_xlfn.WEIBULL.DIST(CC$2,$M97,$L97,FALSE))*$U97*((1+Inputs!$D$7)^CC$2))),IF($N97=Lists!$K$3,IF($L97&lt;1,((($T97*(1-$F97)+$S97*(1-$G97))/$L97)*((1+Inputs!$D$7)^CC$2)),((INT(CC$2/$L97)-INT((CC$2-1)/$L97))*($T97*(1-$F97)+$S97*(1-$G97))*((1+Inputs!$D$7)^CC$2))),((Inputs!$D$8^((1-_xlfn.WEIBULL.DIST(CC$2,$M97,$L97,FALSE))/_xlfn.WEIBULL.DIST(CC$2,$M97,$L97,FALSE))*($T97*(1-$F97)+$S97*(1-$G97))*((1+Inputs!$D$7)^CC$2))))))))</f>
        <v>42.844251600629725</v>
      </c>
      <c r="CD97" s="88">
        <f>MAX(AN97,($E97*IF(CD$2&gt;Inputs!$D$5,0,IF(CD$2&gt;VLOOKUP($H97,Lists!$P$3:$Q$7,2),IF($N97=Lists!$K$3,IF($L97&lt;1,(($U97/$L97)*((1+Inputs!$D$7)^CD$2)),((INT(CD$2/$L97)-INT((CD$2-1)/$L97))*$U97*((1+Inputs!$D$7)^CD$2))),(Inputs!$D$8^((1-_xlfn.WEIBULL.DIST(CD$2,$M97,$L97,FALSE))/_xlfn.WEIBULL.DIST(CD$2,$M97,$L97,FALSE))*$U97*((1+Inputs!$D$7)^CD$2))),IF($N97=Lists!$K$3,IF($L97&lt;1,((($T97*(1-$F97)+$S97*(1-$G97))/$L97)*((1+Inputs!$D$7)^CD$2)),((INT(CD$2/$L97)-INT((CD$2-1)/$L97))*($T97*(1-$F97)+$S97*(1-$G97))*((1+Inputs!$D$7)^CD$2))),((Inputs!$D$8^((1-_xlfn.WEIBULL.DIST(CD$2,$M97,$L97,FALSE))/_xlfn.WEIBULL.DIST(CD$2,$M97,$L97,FALSE))*($T97*(1-$F97)+$S97*(1-$G97))*((1+Inputs!$D$7)^CD$2))))))))</f>
        <v>43.701136632642324</v>
      </c>
      <c r="CE97" s="88">
        <f>MAX(AO97,($E97*IF(CE$2&gt;Inputs!$D$5,0,IF(CE$2&gt;VLOOKUP($H97,Lists!$P$3:$Q$7,2),IF($N97=Lists!$K$3,IF($L97&lt;1,(($U97/$L97)*((1+Inputs!$D$7)^CE$2)),((INT(CE$2/$L97)-INT((CE$2-1)/$L97))*$U97*((1+Inputs!$D$7)^CE$2))),(Inputs!$D$8^((1-_xlfn.WEIBULL.DIST(CE$2,$M97,$L97,FALSE))/_xlfn.WEIBULL.DIST(CE$2,$M97,$L97,FALSE))*$U97*((1+Inputs!$D$7)^CE$2))),IF($N97=Lists!$K$3,IF($L97&lt;1,((($T97*(1-$F97)+$S97*(1-$G97))/$L97)*((1+Inputs!$D$7)^CE$2)),((INT(CE$2/$L97)-INT((CE$2-1)/$L97))*($T97*(1-$F97)+$S97*(1-$G97))*((1+Inputs!$D$7)^CE$2))),((Inputs!$D$8^((1-_xlfn.WEIBULL.DIST(CE$2,$M97,$L97,FALSE))/_xlfn.WEIBULL.DIST(CE$2,$M97,$L97,FALSE))*($T97*(1-$F97)+$S97*(1-$G97))*((1+Inputs!$D$7)^CE$2))))))))</f>
        <v>44.575159365295157</v>
      </c>
      <c r="CF97" s="88">
        <f>MAX(AP97,($E97*IF(CF$2&gt;Inputs!$D$5,0,IF(CF$2&gt;VLOOKUP($H97,Lists!$P$3:$Q$7,2),IF($N97=Lists!$K$3,IF($L97&lt;1,(($U97/$L97)*((1+Inputs!$D$7)^CF$2)),((INT(CF$2/$L97)-INT((CF$2-1)/$L97))*$U97*((1+Inputs!$D$7)^CF$2))),(Inputs!$D$8^((1-_xlfn.WEIBULL.DIST(CF$2,$M97,$L97,FALSE))/_xlfn.WEIBULL.DIST(CF$2,$M97,$L97,FALSE))*$U97*((1+Inputs!$D$7)^CF$2))),IF($N97=Lists!$K$3,IF($L97&lt;1,((($T97*(1-$F97)+$S97*(1-$G97))/$L97)*((1+Inputs!$D$7)^CF$2)),((INT(CF$2/$L97)-INT((CF$2-1)/$L97))*($T97*(1-$F97)+$S97*(1-$G97))*((1+Inputs!$D$7)^CF$2))),((Inputs!$D$8^((1-_xlfn.WEIBULL.DIST(CF$2,$M97,$L97,FALSE))/_xlfn.WEIBULL.DIST(CF$2,$M97,$L97,FALSE))*($T97*(1-$F97)+$S97*(1-$G97))*((1+Inputs!$D$7)^CF$2))))))))</f>
        <v>45.466662552601065</v>
      </c>
      <c r="CG97" s="88">
        <f>MAX(AQ97,($E97*IF(CG$2&gt;Inputs!$D$5,0,IF(CG$2&gt;VLOOKUP($H97,Lists!$P$3:$Q$7,2),IF($N97=Lists!$K$3,IF($L97&lt;1,(($U97/$L97)*((1+Inputs!$D$7)^CG$2)),((INT(CG$2/$L97)-INT((CG$2-1)/$L97))*$U97*((1+Inputs!$D$7)^CG$2))),(Inputs!$D$8^((1-_xlfn.WEIBULL.DIST(CG$2,$M97,$L97,FALSE))/_xlfn.WEIBULL.DIST(CG$2,$M97,$L97,FALSE))*$U97*((1+Inputs!$D$7)^CG$2))),IF($N97=Lists!$K$3,IF($L97&lt;1,((($T97*(1-$F97)+$S97*(1-$G97))/$L97)*((1+Inputs!$D$7)^CG$2)),((INT(CG$2/$L97)-INT((CG$2-1)/$L97))*($T97*(1-$F97)+$S97*(1-$G97))*((1+Inputs!$D$7)^CG$2))),((Inputs!$D$8^((1-_xlfn.WEIBULL.DIST(CG$2,$M97,$L97,FALSE))/_xlfn.WEIBULL.DIST(CG$2,$M97,$L97,FALSE))*($T97*(1-$F97)+$S97*(1-$G97))*((1+Inputs!$D$7)^CG$2))))))))</f>
        <v>46.37599580365309</v>
      </c>
      <c r="CH97" s="88">
        <f>MAX(AR97,($E97*IF(CH$2&gt;Inputs!$D$5,0,IF(CH$2&gt;VLOOKUP($H97,Lists!$P$3:$Q$7,2),IF($N97=Lists!$K$3,IF($L97&lt;1,(($U97/$L97)*((1+Inputs!$D$7)^CH$2)),((INT(CH$2/$L97)-INT((CH$2-1)/$L97))*$U97*((1+Inputs!$D$7)^CH$2))),(Inputs!$D$8^((1-_xlfn.WEIBULL.DIST(CH$2,$M97,$L97,FALSE))/_xlfn.WEIBULL.DIST(CH$2,$M97,$L97,FALSE))*$U97*((1+Inputs!$D$7)^CH$2))),IF($N97=Lists!$K$3,IF($L97&lt;1,((($T97*(1-$F97)+$S97*(1-$G97))/$L97)*((1+Inputs!$D$7)^CH$2)),((INT(CH$2/$L97)-INT((CH$2-1)/$L97))*($T97*(1-$F97)+$S97*(1-$G97))*((1+Inputs!$D$7)^CH$2))),((Inputs!$D$8^((1-_xlfn.WEIBULL.DIST(CH$2,$M97,$L97,FALSE))/_xlfn.WEIBULL.DIST(CH$2,$M97,$L97,FALSE))*($T97*(1-$F97)+$S97*(1-$G97))*((1+Inputs!$D$7)^CH$2))))))))</f>
        <v>47.30351571972615</v>
      </c>
      <c r="CI97" s="88">
        <f>MAX(AS97,($E97*IF(CI$2&gt;Inputs!$D$5,0,IF(CI$2&gt;VLOOKUP($H97,Lists!$P$3:$Q$7,2),IF($N97=Lists!$K$3,IF($L97&lt;1,(($U97/$L97)*((1+Inputs!$D$7)^CI$2)),((INT(CI$2/$L97)-INT((CI$2-1)/$L97))*$U97*((1+Inputs!$D$7)^CI$2))),(Inputs!$D$8^((1-_xlfn.WEIBULL.DIST(CI$2,$M97,$L97,FALSE))/_xlfn.WEIBULL.DIST(CI$2,$M97,$L97,FALSE))*$U97*((1+Inputs!$D$7)^CI$2))),IF($N97=Lists!$K$3,IF($L97&lt;1,((($T97*(1-$F97)+$S97*(1-$G97))/$L97)*((1+Inputs!$D$7)^CI$2)),((INT(CI$2/$L97)-INT((CI$2-1)/$L97))*($T97*(1-$F97)+$S97*(1-$G97))*((1+Inputs!$D$7)^CI$2))),((Inputs!$D$8^((1-_xlfn.WEIBULL.DIST(CI$2,$M97,$L97,FALSE))/_xlfn.WEIBULL.DIST(CI$2,$M97,$L97,FALSE))*($T97*(1-$F97)+$S97*(1-$G97))*((1+Inputs!$D$7)^CI$2))))))))</f>
        <v>48.249586034120668</v>
      </c>
      <c r="CJ97" s="88">
        <f>MAX(AT97,($E97*IF(CJ$2&gt;Inputs!$D$5,0,IF(CJ$2&gt;VLOOKUP($H97,Lists!$P$3:$Q$7,2),IF($N97=Lists!$K$3,IF($L97&lt;1,(($U97/$L97)*((1+Inputs!$D$7)^CJ$2)),((INT(CJ$2/$L97)-INT((CJ$2-1)/$L97))*$U97*((1+Inputs!$D$7)^CJ$2))),(Inputs!$D$8^((1-_xlfn.WEIBULL.DIST(CJ$2,$M97,$L97,FALSE))/_xlfn.WEIBULL.DIST(CJ$2,$M97,$L97,FALSE))*$U97*((1+Inputs!$D$7)^CJ$2))),IF($N97=Lists!$K$3,IF($L97&lt;1,((($T97*(1-$F97)+$S97*(1-$G97))/$L97)*((1+Inputs!$D$7)^CJ$2)),((INT(CJ$2/$L97)-INT((CJ$2-1)/$L97))*($T97*(1-$F97)+$S97*(1-$G97))*((1+Inputs!$D$7)^CJ$2))),((Inputs!$D$8^((1-_xlfn.WEIBULL.DIST(CJ$2,$M97,$L97,FALSE))/_xlfn.WEIBULL.DIST(CJ$2,$M97,$L97,FALSE))*($T97*(1-$F97)+$S97*(1-$G97))*((1+Inputs!$D$7)^CJ$2))))))))</f>
        <v>49.214577754803088</v>
      </c>
      <c r="CK97" s="88">
        <f>MAX(AU97,($E97*IF(CK$2&gt;Inputs!$D$5,0,IF(CK$2&gt;VLOOKUP($H97,Lists!$P$3:$Q$7,2),IF($N97=Lists!$K$3,IF($L97&lt;1,(($U97/$L97)*((1+Inputs!$D$7)^CK$2)),((INT(CK$2/$L97)-INT((CK$2-1)/$L97))*$U97*((1+Inputs!$D$7)^CK$2))),(Inputs!$D$8^((1-_xlfn.WEIBULL.DIST(CK$2,$M97,$L97,FALSE))/_xlfn.WEIBULL.DIST(CK$2,$M97,$L97,FALSE))*$U97*((1+Inputs!$D$7)^CK$2))),IF($N97=Lists!$K$3,IF($L97&lt;1,((($T97*(1-$F97)+$S97*(1-$G97))/$L97)*((1+Inputs!$D$7)^CK$2)),((INT(CK$2/$L97)-INT((CK$2-1)/$L97))*($T97*(1-$F97)+$S97*(1-$G97))*((1+Inputs!$D$7)^CK$2))),((Inputs!$D$8^((1-_xlfn.WEIBULL.DIST(CK$2,$M97,$L97,FALSE))/_xlfn.WEIBULL.DIST(CK$2,$M97,$L97,FALSE))*($T97*(1-$F97)+$S97*(1-$G97))*((1+Inputs!$D$7)^CK$2))))))))</f>
        <v>50.198869309899145</v>
      </c>
      <c r="CL97" s="88">
        <f>MAX(AV97,($E97*IF(CL$2&gt;Inputs!$D$5,0,IF(CL$2&gt;VLOOKUP($H97,Lists!$P$3:$Q$7,2),IF($N97=Lists!$K$3,IF($L97&lt;1,(($U97/$L97)*((1+Inputs!$D$7)^CL$2)),((INT(CL$2/$L97)-INT((CL$2-1)/$L97))*$U97*((1+Inputs!$D$7)^CL$2))),(Inputs!$D$8^((1-_xlfn.WEIBULL.DIST(CL$2,$M97,$L97,FALSE))/_xlfn.WEIBULL.DIST(CL$2,$M97,$L97,FALSE))*$U97*((1+Inputs!$D$7)^CL$2))),IF($N97=Lists!$K$3,IF($L97&lt;1,((($T97*(1-$F97)+$S97*(1-$G97))/$L97)*((1+Inputs!$D$7)^CL$2)),((INT(CL$2/$L97)-INT((CL$2-1)/$L97))*($T97*(1-$F97)+$S97*(1-$G97))*((1+Inputs!$D$7)^CL$2))),((Inputs!$D$8^((1-_xlfn.WEIBULL.DIST(CL$2,$M97,$L97,FALSE))/_xlfn.WEIBULL.DIST(CL$2,$M97,$L97,FALSE))*($T97*(1-$F97)+$S97*(1-$G97))*((1+Inputs!$D$7)^CL$2))))))))</f>
        <v>51.202846696097133</v>
      </c>
      <c r="CM97" s="88">
        <f>MAX(AW97,($E97*IF(CM$2&gt;Inputs!$D$5,0,IF(CM$2&gt;VLOOKUP($H97,Lists!$P$3:$Q$7,2),IF($N97=Lists!$K$3,IF($L97&lt;1,(($U97/$L97)*((1+Inputs!$D$7)^CM$2)),((INT(CM$2/$L97)-INT((CM$2-1)/$L97))*$U97*((1+Inputs!$D$7)^CM$2))),(Inputs!$D$8^((1-_xlfn.WEIBULL.DIST(CM$2,$M97,$L97,FALSE))/_xlfn.WEIBULL.DIST(CM$2,$M97,$L97,FALSE))*$U97*((1+Inputs!$D$7)^CM$2))),IF($N97=Lists!$K$3,IF($L97&lt;1,((($T97*(1-$F97)+$S97*(1-$G97))/$L97)*((1+Inputs!$D$7)^CM$2)),((INT(CM$2/$L97)-INT((CM$2-1)/$L97))*($T97*(1-$F97)+$S97*(1-$G97))*((1+Inputs!$D$7)^CM$2))),((Inputs!$D$8^((1-_xlfn.WEIBULL.DIST(CM$2,$M97,$L97,FALSE))/_xlfn.WEIBULL.DIST(CM$2,$M97,$L97,FALSE))*($T97*(1-$F97)+$S97*(1-$G97))*((1+Inputs!$D$7)^CM$2))))))))</f>
        <v>52.226903630019066</v>
      </c>
      <c r="CN97" s="88">
        <f>MAX(AX97,($E97*IF(CN$2&gt;Inputs!$D$5,0,IF(CN$2&gt;VLOOKUP($H97,Lists!$P$3:$Q$7,2),IF($N97=Lists!$K$3,IF($L97&lt;1,(($U97/$L97)*((1+Inputs!$D$7)^CN$2)),((INT(CN$2/$L97)-INT((CN$2-1)/$L97))*$U97*((1+Inputs!$D$7)^CN$2))),(Inputs!$D$8^((1-_xlfn.WEIBULL.DIST(CN$2,$M97,$L97,FALSE))/_xlfn.WEIBULL.DIST(CN$2,$M97,$L97,FALSE))*$U97*((1+Inputs!$D$7)^CN$2))),IF($N97=Lists!$K$3,IF($L97&lt;1,((($T97*(1-$F97)+$S97*(1-$G97))/$L97)*((1+Inputs!$D$7)^CN$2)),((INT(CN$2/$L97)-INT((CN$2-1)/$L97))*($T97*(1-$F97)+$S97*(1-$G97))*((1+Inputs!$D$7)^CN$2))),((Inputs!$D$8^((1-_xlfn.WEIBULL.DIST(CN$2,$M97,$L97,FALSE))/_xlfn.WEIBULL.DIST(CN$2,$M97,$L97,FALSE))*($T97*(1-$F97)+$S97*(1-$G97))*((1+Inputs!$D$7)^CN$2))))))))</f>
        <v>53.271441702619448</v>
      </c>
      <c r="CO97" s="88">
        <f>MAX(AY97,($E97*IF(CO$2&gt;Inputs!$D$5,0,IF(CO$2&gt;VLOOKUP($H97,Lists!$P$3:$Q$7,2),IF($N97=Lists!$K$3,IF($L97&lt;1,(($U97/$L97)*((1+Inputs!$D$7)^CO$2)),((INT(CO$2/$L97)-INT((CO$2-1)/$L97))*$U97*((1+Inputs!$D$7)^CO$2))),(Inputs!$D$8^((1-_xlfn.WEIBULL.DIST(CO$2,$M97,$L97,FALSE))/_xlfn.WEIBULL.DIST(CO$2,$M97,$L97,FALSE))*$U97*((1+Inputs!$D$7)^CO$2))),IF($N97=Lists!$K$3,IF($L97&lt;1,((($T97*(1-$F97)+$S97*(1-$G97))/$L97)*((1+Inputs!$D$7)^CO$2)),((INT(CO$2/$L97)-INT((CO$2-1)/$L97))*($T97*(1-$F97)+$S97*(1-$G97))*((1+Inputs!$D$7)^CO$2))),((Inputs!$D$8^((1-_xlfn.WEIBULL.DIST(CO$2,$M97,$L97,FALSE))/_xlfn.WEIBULL.DIST(CO$2,$M97,$L97,FALSE))*($T97*(1-$F97)+$S97*(1-$G97))*((1+Inputs!$D$7)^CO$2))))))))</f>
        <v>54.336870536671839</v>
      </c>
      <c r="CP97" s="88">
        <f>MAX(AZ97,($E97*IF(CP$2&gt;Inputs!$D$5,0,IF(CP$2&gt;VLOOKUP($H97,Lists!$P$3:$Q$7,2),IF($N97=Lists!$K$3,IF($L97&lt;1,(($U97/$L97)*((1+Inputs!$D$7)^CP$2)),((INT(CP$2/$L97)-INT((CP$2-1)/$L97))*$U97*((1+Inputs!$D$7)^CP$2))),(Inputs!$D$8^((1-_xlfn.WEIBULL.DIST(CP$2,$M97,$L97,FALSE))/_xlfn.WEIBULL.DIST(CP$2,$M97,$L97,FALSE))*$U97*((1+Inputs!$D$7)^CP$2))),IF($N97=Lists!$K$3,IF($L97&lt;1,((($T97*(1-$F97)+$S97*(1-$G97))/$L97)*((1+Inputs!$D$7)^CP$2)),((INT(CP$2/$L97)-INT((CP$2-1)/$L97))*($T97*(1-$F97)+$S97*(1-$G97))*((1+Inputs!$D$7)^CP$2))),((Inputs!$D$8^((1-_xlfn.WEIBULL.DIST(CP$2,$M97,$L97,FALSE))/_xlfn.WEIBULL.DIST(CP$2,$M97,$L97,FALSE))*($T97*(1-$F97)+$S97*(1-$G97))*((1+Inputs!$D$7)^CP$2))))))))</f>
        <v>0</v>
      </c>
      <c r="CQ97" s="88">
        <f>MAX(BA97,($E97*IF(CQ$2&gt;Inputs!$D$5,0,IF(CQ$2&gt;VLOOKUP($H97,Lists!$P$3:$Q$7,2),IF($N97=Lists!$K$3,IF($L97&lt;1,(($U97/$L97)*((1+Inputs!$D$7)^CQ$2)),((INT(CQ$2/$L97)-INT((CQ$2-1)/$L97))*$U97*((1+Inputs!$D$7)^CQ$2))),(Inputs!$D$8^((1-_xlfn.WEIBULL.DIST(CQ$2,$M97,$L97,FALSE))/_xlfn.WEIBULL.DIST(CQ$2,$M97,$L97,FALSE))*$U97*((1+Inputs!$D$7)^CQ$2))),IF($N97=Lists!$K$3,IF($L97&lt;1,((($T97*(1-$F97)+$S97*(1-$G97))/$L97)*((1+Inputs!$D$7)^CQ$2)),((INT(CQ$2/$L97)-INT((CQ$2-1)/$L97))*($T97*(1-$F97)+$S97*(1-$G97))*((1+Inputs!$D$7)^CQ$2))),((Inputs!$D$8^((1-_xlfn.WEIBULL.DIST(CQ$2,$M97,$L97,FALSE))/_xlfn.WEIBULL.DIST(CQ$2,$M97,$L97,FALSE))*($T97*(1-$F97)+$S97*(1-$G97))*((1+Inputs!$D$7)^CQ$2))))))))</f>
        <v>0</v>
      </c>
      <c r="CR97" s="88">
        <f>MAX(BB97,($E97*IF(CR$2&gt;Inputs!$D$5,0,IF(CR$2&gt;VLOOKUP($H97,Lists!$P$3:$Q$7,2),IF($N97=Lists!$K$3,IF($L97&lt;1,(($U97/$L97)*((1+Inputs!$D$7)^CR$2)),((INT(CR$2/$L97)-INT((CR$2-1)/$L97))*$U97*((1+Inputs!$D$7)^CR$2))),(Inputs!$D$8^((1-_xlfn.WEIBULL.DIST(CR$2,$M97,$L97,FALSE))/_xlfn.WEIBULL.DIST(CR$2,$M97,$L97,FALSE))*$U97*((1+Inputs!$D$7)^CR$2))),IF($N97=Lists!$K$3,IF($L97&lt;1,((($T97*(1-$F97)+$S97*(1-$G97))/$L97)*((1+Inputs!$D$7)^CR$2)),((INT(CR$2/$L97)-INT((CR$2-1)/$L97))*($T97*(1-$F97)+$S97*(1-$G97))*((1+Inputs!$D$7)^CR$2))),((Inputs!$D$8^((1-_xlfn.WEIBULL.DIST(CR$2,$M97,$L97,FALSE))/_xlfn.WEIBULL.DIST(CR$2,$M97,$L97,FALSE))*($T97*(1-$F97)+$S97*(1-$G97))*((1+Inputs!$D$7)^CR$2))))))))</f>
        <v>0</v>
      </c>
      <c r="CS97" s="88">
        <f>MAX(BC97,($E97*IF(CS$2&gt;Inputs!$D$5,0,IF(CS$2&gt;VLOOKUP($H97,Lists!$P$3:$Q$7,2),IF($N97=Lists!$K$3,IF($L97&lt;1,(($U97/$L97)*((1+Inputs!$D$7)^CS$2)),((INT(CS$2/$L97)-INT((CS$2-1)/$L97))*$U97*((1+Inputs!$D$7)^CS$2))),(Inputs!$D$8^((1-_xlfn.WEIBULL.DIST(CS$2,$M97,$L97,FALSE))/_xlfn.WEIBULL.DIST(CS$2,$M97,$L97,FALSE))*$U97*((1+Inputs!$D$7)^CS$2))),IF($N97=Lists!$K$3,IF($L97&lt;1,((($T97*(1-$F97)+$S97*(1-$G97))/$L97)*((1+Inputs!$D$7)^CS$2)),((INT(CS$2/$L97)-INT((CS$2-1)/$L97))*($T97*(1-$F97)+$S97*(1-$G97))*((1+Inputs!$D$7)^CS$2))),((Inputs!$D$8^((1-_xlfn.WEIBULL.DIST(CS$2,$M97,$L97,FALSE))/_xlfn.WEIBULL.DIST(CS$2,$M97,$L97,FALSE))*($T97*(1-$F97)+$S97*(1-$G97))*((1+Inputs!$D$7)^CS$2))))))))</f>
        <v>0</v>
      </c>
      <c r="CT97" s="88">
        <f>MAX(BD97,($E97*IF(CT$2&gt;Inputs!$D$5,0,IF(CT$2&gt;VLOOKUP($H97,Lists!$P$3:$Q$7,2),IF($N97=Lists!$K$3,IF($L97&lt;1,(($U97/$L97)*((1+Inputs!$D$7)^CT$2)),((INT(CT$2/$L97)-INT((CT$2-1)/$L97))*$U97*((1+Inputs!$D$7)^CT$2))),(Inputs!$D$8^((1-_xlfn.WEIBULL.DIST(CT$2,$M97,$L97,FALSE))/_xlfn.WEIBULL.DIST(CT$2,$M97,$L97,FALSE))*$U97*((1+Inputs!$D$7)^CT$2))),IF($N97=Lists!$K$3,IF($L97&lt;1,((($T97*(1-$F97)+$S97*(1-$G97))/$L97)*((1+Inputs!$D$7)^CT$2)),((INT(CT$2/$L97)-INT((CT$2-1)/$L97))*($T97*(1-$F97)+$S97*(1-$G97))*((1+Inputs!$D$7)^CT$2))),((Inputs!$D$8^((1-_xlfn.WEIBULL.DIST(CT$2,$M97,$L97,FALSE))/_xlfn.WEIBULL.DIST(CT$2,$M97,$L97,FALSE))*($T97*(1-$F97)+$S97*(1-$G97))*((1+Inputs!$D$7)^CT$2))))))))</f>
        <v>0</v>
      </c>
      <c r="CU97" s="88">
        <f>MAX(BE97,($E97*IF(CU$2&gt;Inputs!$D$5,0,IF(CU$2&gt;VLOOKUP($H97,Lists!$P$3:$Q$7,2),IF($N97=Lists!$K$3,IF($L97&lt;1,(($U97/$L97)*((1+Inputs!$D$7)^CU$2)),((INT(CU$2/$L97)-INT((CU$2-1)/$L97))*$U97*((1+Inputs!$D$7)^CU$2))),(Inputs!$D$8^((1-_xlfn.WEIBULL.DIST(CU$2,$M97,$L97,FALSE))/_xlfn.WEIBULL.DIST(CU$2,$M97,$L97,FALSE))*$U97*((1+Inputs!$D$7)^CU$2))),IF($N97=Lists!$K$3,IF($L97&lt;1,((($T97*(1-$F97)+$S97*(1-$G97))/$L97)*((1+Inputs!$D$7)^CU$2)),((INT(CU$2/$L97)-INT((CU$2-1)/$L97))*($T97*(1-$F97)+$S97*(1-$G97))*((1+Inputs!$D$7)^CU$2))),((Inputs!$D$8^((1-_xlfn.WEIBULL.DIST(CU$2,$M97,$L97,FALSE))/_xlfn.WEIBULL.DIST(CU$2,$M97,$L97,FALSE))*($T97*(1-$F97)+$S97*(1-$G97))*((1+Inputs!$D$7)^CU$2))))))))</f>
        <v>0</v>
      </c>
      <c r="CV97" s="88">
        <f>MAX(BF97,($E97*IF(CV$2&gt;Inputs!$D$5,0,IF(CV$2&gt;VLOOKUP($H97,Lists!$P$3:$Q$7,2),IF($N97=Lists!$K$3,IF($L97&lt;1,(($U97/$L97)*((1+Inputs!$D$7)^CV$2)),((INT(CV$2/$L97)-INT((CV$2-1)/$L97))*$U97*((1+Inputs!$D$7)^CV$2))),(Inputs!$D$8^((1-_xlfn.WEIBULL.DIST(CV$2,$M97,$L97,FALSE))/_xlfn.WEIBULL.DIST(CV$2,$M97,$L97,FALSE))*$U97*((1+Inputs!$D$7)^CV$2))),IF($N97=Lists!$K$3,IF($L97&lt;1,((($T97*(1-$F97)+$S97*(1-$G97))/$L97)*((1+Inputs!$D$7)^CV$2)),((INT(CV$2/$L97)-INT((CV$2-1)/$L97))*($T97*(1-$F97)+$S97*(1-$G97))*((1+Inputs!$D$7)^CV$2))),((Inputs!$D$8^((1-_xlfn.WEIBULL.DIST(CV$2,$M97,$L97,FALSE))/_xlfn.WEIBULL.DIST(CV$2,$M97,$L97,FALSE))*($T97*(1-$F97)+$S97*(1-$G97))*((1+Inputs!$D$7)^CV$2))))))))</f>
        <v>0</v>
      </c>
      <c r="CW97" s="88">
        <f>MAX(BG97,($E97*IF(CW$2&gt;Inputs!$D$5,0,IF(CW$2&gt;VLOOKUP($H97,Lists!$P$3:$Q$7,2),IF($N97=Lists!$K$3,IF($L97&lt;1,(($U97/$L97)*((1+Inputs!$D$7)^CW$2)),((INT(CW$2/$L97)-INT((CW$2-1)/$L97))*$U97*((1+Inputs!$D$7)^CW$2))),(Inputs!$D$8^((1-_xlfn.WEIBULL.DIST(CW$2,$M97,$L97,FALSE))/_xlfn.WEIBULL.DIST(CW$2,$M97,$L97,FALSE))*$U97*((1+Inputs!$D$7)^CW$2))),IF($N97=Lists!$K$3,IF($L97&lt;1,((($T97*(1-$F97)+$S97*(1-$G97))/$L97)*((1+Inputs!$D$7)^CW$2)),((INT(CW$2/$L97)-INT((CW$2-1)/$L97))*($T97*(1-$F97)+$S97*(1-$G97))*((1+Inputs!$D$7)^CW$2))),((Inputs!$D$8^((1-_xlfn.WEIBULL.DIST(CW$2,$M97,$L97,FALSE))/_xlfn.WEIBULL.DIST(CW$2,$M97,$L97,FALSE))*($T97*(1-$F97)+$S97*(1-$G97))*((1+Inputs!$D$7)^CW$2))))))))</f>
        <v>0</v>
      </c>
      <c r="CX97" s="88">
        <f>MAX(BH97,($E97*IF(CX$2&gt;Inputs!$D$5,0,IF(CX$2&gt;VLOOKUP($H97,Lists!$P$3:$Q$7,2),IF($N97=Lists!$K$3,IF($L97&lt;1,(($U97/$L97)*((1+Inputs!$D$7)^CX$2)),((INT(CX$2/$L97)-INT((CX$2-1)/$L97))*$U97*((1+Inputs!$D$7)^CX$2))),(Inputs!$D$8^((1-_xlfn.WEIBULL.DIST(CX$2,$M97,$L97,FALSE))/_xlfn.WEIBULL.DIST(CX$2,$M97,$L97,FALSE))*$U97*((1+Inputs!$D$7)^CX$2))),IF($N97=Lists!$K$3,IF($L97&lt;1,((($T97*(1-$F97)+$S97*(1-$G97))/$L97)*((1+Inputs!$D$7)^CX$2)),((INT(CX$2/$L97)-INT((CX$2-1)/$L97))*($T97*(1-$F97)+$S97*(1-$G97))*((1+Inputs!$D$7)^CX$2))),((Inputs!$D$8^((1-_xlfn.WEIBULL.DIST(CX$2,$M97,$L97,FALSE))/_xlfn.WEIBULL.DIST(CX$2,$M97,$L97,FALSE))*($T97*(1-$F97)+$S97*(1-$G97))*((1+Inputs!$D$7)^CX$2))))))))</f>
        <v>0</v>
      </c>
      <c r="CY97" s="88">
        <f>MAX(BI97,($E97*IF(CY$2&gt;Inputs!$D$5,0,IF(CY$2&gt;VLOOKUP($H97,Lists!$P$3:$Q$7,2),IF($N97=Lists!$K$3,IF($L97&lt;1,(($U97/$L97)*((1+Inputs!$D$7)^CY$2)),((INT(CY$2/$L97)-INT((CY$2-1)/$L97))*$U97*((1+Inputs!$D$7)^CY$2))),(Inputs!$D$8^((1-_xlfn.WEIBULL.DIST(CY$2,$M97,$L97,FALSE))/_xlfn.WEIBULL.DIST(CY$2,$M97,$L97,FALSE))*$U97*((1+Inputs!$D$7)^CY$2))),IF($N97=Lists!$K$3,IF($L97&lt;1,((($T97*(1-$F97)+$S97*(1-$G97))/$L97)*((1+Inputs!$D$7)^CY$2)),((INT(CY$2/$L97)-INT((CY$2-1)/$L97))*($T97*(1-$F97)+$S97*(1-$G97))*((1+Inputs!$D$7)^CY$2))),((Inputs!$D$8^((1-_xlfn.WEIBULL.DIST(CY$2,$M97,$L97,FALSE))/_xlfn.WEIBULL.DIST(CY$2,$M97,$L97,FALSE))*($T97*(1-$F97)+$S97*(1-$G97))*((1+Inputs!$D$7)^CY$2))))))))</f>
        <v>0</v>
      </c>
      <c r="CZ97" s="88">
        <f>MAX(BJ97,($E97*IF(CZ$2&gt;Inputs!$D$5,0,IF(CZ$2&gt;VLOOKUP($H97,Lists!$P$3:$Q$7,2),IF($N97=Lists!$K$3,IF($L97&lt;1,(($U97/$L97)*((1+Inputs!$D$7)^CZ$2)),((INT(CZ$2/$L97)-INT((CZ$2-1)/$L97))*$U97*((1+Inputs!$D$7)^CZ$2))),(Inputs!$D$8^((1-_xlfn.WEIBULL.DIST(CZ$2,$M97,$L97,FALSE))/_xlfn.WEIBULL.DIST(CZ$2,$M97,$L97,FALSE))*$U97*((1+Inputs!$D$7)^CZ$2))),IF($N97=Lists!$K$3,IF($L97&lt;1,((($T97*(1-$F97)+$S97*(1-$G97))/$L97)*((1+Inputs!$D$7)^CZ$2)),((INT(CZ$2/$L97)-INT((CZ$2-1)/$L97))*($T97*(1-$F97)+$S97*(1-$G97))*((1+Inputs!$D$7)^CZ$2))),((Inputs!$D$8^((1-_xlfn.WEIBULL.DIST(CZ$2,$M97,$L97,FALSE))/_xlfn.WEIBULL.DIST(CZ$2,$M97,$L97,FALSE))*($T97*(1-$F97)+$S97*(1-$G97))*((1+Inputs!$D$7)^CZ$2))))))))</f>
        <v>0</v>
      </c>
      <c r="DA97" s="88">
        <f>MAX(BK97,($E97*IF(DA$2&gt;Inputs!$D$5,0,IF(DA$2&gt;VLOOKUP($H97,Lists!$P$3:$Q$7,2),IF($N97=Lists!$K$3,IF($L97&lt;1,(($U97/$L97)*((1+Inputs!$D$7)^DA$2)),((INT(DA$2/$L97)-INT((DA$2-1)/$L97))*$U97*((1+Inputs!$D$7)^DA$2))),(Inputs!$D$8^((1-_xlfn.WEIBULL.DIST(DA$2,$M97,$L97,FALSE))/_xlfn.WEIBULL.DIST(DA$2,$M97,$L97,FALSE))*$U97*((1+Inputs!$D$7)^DA$2))),IF($N97=Lists!$K$3,IF($L97&lt;1,((($T97*(1-$F97)+$S97*(1-$G97))/$L97)*((1+Inputs!$D$7)^DA$2)),((INT(DA$2/$L97)-INT((DA$2-1)/$L97))*($T97*(1-$F97)+$S97*(1-$G97))*((1+Inputs!$D$7)^DA$2))),((Inputs!$D$8^((1-_xlfn.WEIBULL.DIST(DA$2,$M97,$L97,FALSE))/_xlfn.WEIBULL.DIST(DA$2,$M97,$L97,FALSE))*($T97*(1-$F97)+$S97*(1-$G97))*((1+Inputs!$D$7)^DA$2))))))))</f>
        <v>0</v>
      </c>
      <c r="DB97" s="88">
        <f>MAX(BL97,($E97*IF(DB$2&gt;Inputs!$D$5,0,IF(DB$2&gt;VLOOKUP($H97,Lists!$P$3:$Q$7,2),IF($N97=Lists!$K$3,IF($L97&lt;1,(($U97/$L97)*((1+Inputs!$D$7)^DB$2)),((INT(DB$2/$L97)-INT((DB$2-1)/$L97))*$U97*((1+Inputs!$D$7)^DB$2))),(Inputs!$D$8^((1-_xlfn.WEIBULL.DIST(DB$2,$M97,$L97,FALSE))/_xlfn.WEIBULL.DIST(DB$2,$M97,$L97,FALSE))*$U97*((1+Inputs!$D$7)^DB$2))),IF($N97=Lists!$K$3,IF($L97&lt;1,((($T97*(1-$F97)+$S97*(1-$G97))/$L97)*((1+Inputs!$D$7)^DB$2)),((INT(DB$2/$L97)-INT((DB$2-1)/$L97))*($T97*(1-$F97)+$S97*(1-$G97))*((1+Inputs!$D$7)^DB$2))),((Inputs!$D$8^((1-_xlfn.WEIBULL.DIST(DB$2,$M97,$L97,FALSE))/_xlfn.WEIBULL.DIST(DB$2,$M97,$L97,FALSE))*($T97*(1-$F97)+$S97*(1-$G97))*((1+Inputs!$D$7)^DB$2))))))))</f>
        <v>0</v>
      </c>
      <c r="DC97" s="88">
        <f>MAX(BM97,($E97*IF(DC$2&gt;Inputs!$D$5,0,IF(DC$2&gt;VLOOKUP($H97,Lists!$P$3:$Q$7,2),IF($N97=Lists!$K$3,IF($L97&lt;1,(($U97/$L97)*((1+Inputs!$D$7)^DC$2)),((INT(DC$2/$L97)-INT((DC$2-1)/$L97))*$U97*((1+Inputs!$D$7)^DC$2))),(Inputs!$D$8^((1-_xlfn.WEIBULL.DIST(DC$2,$M97,$L97,FALSE))/_xlfn.WEIBULL.DIST(DC$2,$M97,$L97,FALSE))*$U97*((1+Inputs!$D$7)^DC$2))),IF($N97=Lists!$K$3,IF($L97&lt;1,((($T97*(1-$F97)+$S97*(1-$G97))/$L97)*((1+Inputs!$D$7)^DC$2)),((INT(DC$2/$L97)-INT((DC$2-1)/$L97))*($T97*(1-$F97)+$S97*(1-$G97))*((1+Inputs!$D$7)^DC$2))),((Inputs!$D$8^((1-_xlfn.WEIBULL.DIST(DC$2,$M97,$L97,FALSE))/_xlfn.WEIBULL.DIST(DC$2,$M97,$L97,FALSE))*($T97*(1-$F97)+$S97*(1-$G97))*((1+Inputs!$D$7)^DC$2))))))))</f>
        <v>0</v>
      </c>
      <c r="DD97" s="88">
        <f>MAX(BN97,($E97*IF(DD$2&gt;Inputs!$D$5,0,IF(DD$2&gt;VLOOKUP($H97,Lists!$P$3:$Q$7,2),IF($N97=Lists!$K$3,IF($L97&lt;1,(($U97/$L97)*((1+Inputs!$D$7)^DD$2)),((INT(DD$2/$L97)-INT((DD$2-1)/$L97))*$U97*((1+Inputs!$D$7)^DD$2))),(Inputs!$D$8^((1-_xlfn.WEIBULL.DIST(DD$2,$M97,$L97,FALSE))/_xlfn.WEIBULL.DIST(DD$2,$M97,$L97,FALSE))*$U97*((1+Inputs!$D$7)^DD$2))),IF($N97=Lists!$K$3,IF($L97&lt;1,((($T97*(1-$F97)+$S97*(1-$G97))/$L97)*((1+Inputs!$D$7)^DD$2)),((INT(DD$2/$L97)-INT((DD$2-1)/$L97))*($T97*(1-$F97)+$S97*(1-$G97))*((1+Inputs!$D$7)^DD$2))),((Inputs!$D$8^((1-_xlfn.WEIBULL.DIST(DD$2,$M97,$L97,FALSE))/_xlfn.WEIBULL.DIST(DD$2,$M97,$L97,FALSE))*($T97*(1-$F97)+$S97*(1-$G97))*((1+Inputs!$D$7)^DD$2))))))))</f>
        <v>0</v>
      </c>
    </row>
    <row r="98" spans="1:108" ht="32">
      <c r="A98" s="57" t="s">
        <v>158</v>
      </c>
      <c r="B98" s="13" t="s">
        <v>279</v>
      </c>
      <c r="C98" s="13" t="s">
        <v>472</v>
      </c>
      <c r="D98" s="13" t="s">
        <v>16</v>
      </c>
      <c r="E98" s="48">
        <f>IF(Inputs!$D$30=Lists!$M$4,1,0)</f>
        <v>1</v>
      </c>
      <c r="F98" s="48">
        <v>0</v>
      </c>
      <c r="G98" s="48">
        <v>0</v>
      </c>
      <c r="H98" s="105" t="s">
        <v>350</v>
      </c>
      <c r="I98" s="14" t="s">
        <v>264</v>
      </c>
      <c r="J98" s="14" t="s">
        <v>91</v>
      </c>
      <c r="K98" s="13">
        <f>VLOOKUP(J98,'Labor Rates'!$A$1:$F$16,2)</f>
        <v>33.17307692307692</v>
      </c>
      <c r="L98" s="15">
        <v>1</v>
      </c>
      <c r="M98" s="15">
        <v>1</v>
      </c>
      <c r="N98" s="13" t="s">
        <v>236</v>
      </c>
      <c r="O98" s="61">
        <f>Inputs!$D$32</f>
        <v>10</v>
      </c>
      <c r="P98" s="15">
        <v>0.25</v>
      </c>
      <c r="Q98" s="15">
        <f t="shared" si="14"/>
        <v>2.5</v>
      </c>
      <c r="R98" s="4">
        <v>25</v>
      </c>
      <c r="S98" s="53">
        <f t="shared" si="15"/>
        <v>82.932692307692292</v>
      </c>
      <c r="T98" s="53">
        <f t="shared" si="16"/>
        <v>250</v>
      </c>
      <c r="U98" s="54">
        <f t="shared" si="17"/>
        <v>332.93269230769226</v>
      </c>
      <c r="V98" s="65"/>
      <c r="W98" s="58"/>
      <c r="X98" s="64">
        <f t="shared" si="18"/>
        <v>412.55882590061367</v>
      </c>
      <c r="Y98" s="64">
        <f>NPV(Inputs!$D$6,AA98:BN98)</f>
        <v>4738.7914084593385</v>
      </c>
      <c r="Z98" s="67">
        <f t="shared" si="19"/>
        <v>2.2350453793806863E-3</v>
      </c>
      <c r="AA98" s="88">
        <f>$E98*IF(AA$2&gt;Inputs!$D$5,0,IF(AA$2&gt;VLOOKUP($H98,Lists!$P$3:$Q$7,2),IF($N98=Lists!$K$3,IF($L98&lt;1,(($U98/$L98)*((1+Inputs!$D$7)^AA$2)),((INT(AA$2/$L98)-INT((AA$2-1)/$L98))*$U98*((1+Inputs!$D$7)^AA$2))),(_xlfn.WEIBULL.DIST(AA$2,$M98,$L98,FALSE)*$U98*((1+Inputs!$D$7)^AA$2))),IF($N98=Lists!$K$3,IF($L98&lt;1,((($T98*(1-$F98)+$S98*(1-$G98))/$L98)*((1+Inputs!$D$7)^AA$2)),((INT(AA$2/$L98)-INT((AA$2-1)/$L98))*($T98*(1-$F98)+$S98*(1-$G98))*((1+Inputs!$D$7)^AA$2))),((_xlfn.WEIBULL.DIST(AA$2,$M98,$L98,FALSE)*($T98*(1-$F98)+$S98*(1-$G98))*((1+Inputs!$D$7)^AA$2))))))</f>
        <v>339.59134615384613</v>
      </c>
      <c r="AB98" s="88">
        <f>$E98*IF(AB$2&gt;Inputs!$D$5,0,IF(AB$2&gt;VLOOKUP($H98,Lists!$P$3:$Q$7,2),IF($N98=Lists!$K$3,IF($L98&lt;1,(($U98/$L98)*((1+Inputs!$D$7)^AB$2)),((INT(AB$2/$L98)-INT((AB$2-1)/$L98))*$U98*((1+Inputs!$D$7)^AB$2))),(_xlfn.WEIBULL.DIST(AB$2,$M98,$L98,FALSE)*$U98*((1+Inputs!$D$7)^AB$2))),IF($N98=Lists!$K$3,IF($L98&lt;1,((($T98*(1-$F98)+$S98*(1-$G98))/$L98)*((1+Inputs!$D$7)^AB$2)),((INT(AB$2/$L98)-INT((AB$2-1)/$L98))*($T98*(1-$F98)+$S98*(1-$G98))*((1+Inputs!$D$7)^AB$2))),((_xlfn.WEIBULL.DIST(AB$2,$M98,$L98,FALSE)*($T98*(1-$F98)+$S98*(1-$G98))*((1+Inputs!$D$7)^AB$2))))))</f>
        <v>346.38317307692301</v>
      </c>
      <c r="AC98" s="88">
        <f>$E98*IF(AC$2&gt;Inputs!$D$5,0,IF(AC$2&gt;VLOOKUP($H98,Lists!$P$3:$Q$7,2),IF($N98=Lists!$K$3,IF($L98&lt;1,(($U98/$L98)*((1+Inputs!$D$7)^AC$2)),((INT(AC$2/$L98)-INT((AC$2-1)/$L98))*$U98*((1+Inputs!$D$7)^AC$2))),(_xlfn.WEIBULL.DIST(AC$2,$M98,$L98,FALSE)*$U98*((1+Inputs!$D$7)^AC$2))),IF($N98=Lists!$K$3,IF($L98&lt;1,((($T98*(1-$F98)+$S98*(1-$G98))/$L98)*((1+Inputs!$D$7)^AC$2)),((INT(AC$2/$L98)-INT((AC$2-1)/$L98))*($T98*(1-$F98)+$S98*(1-$G98))*((1+Inputs!$D$7)^AC$2))),((_xlfn.WEIBULL.DIST(AC$2,$M98,$L98,FALSE)*($T98*(1-$F98)+$S98*(1-$G98))*((1+Inputs!$D$7)^AC$2))))))</f>
        <v>353.31083653846144</v>
      </c>
      <c r="AD98" s="88">
        <f>$E98*IF(AD$2&gt;Inputs!$D$5,0,IF(AD$2&gt;VLOOKUP($H98,Lists!$P$3:$Q$7,2),IF($N98=Lists!$K$3,IF($L98&lt;1,(($U98/$L98)*((1+Inputs!$D$7)^AD$2)),((INT(AD$2/$L98)-INT((AD$2-1)/$L98))*$U98*((1+Inputs!$D$7)^AD$2))),(_xlfn.WEIBULL.DIST(AD$2,$M98,$L98,FALSE)*$U98*((1+Inputs!$D$7)^AD$2))),IF($N98=Lists!$K$3,IF($L98&lt;1,((($T98*(1-$F98)+$S98*(1-$G98))/$L98)*((1+Inputs!$D$7)^AD$2)),((INT(AD$2/$L98)-INT((AD$2-1)/$L98))*($T98*(1-$F98)+$S98*(1-$G98))*((1+Inputs!$D$7)^AD$2))),((_xlfn.WEIBULL.DIST(AD$2,$M98,$L98,FALSE)*($T98*(1-$F98)+$S98*(1-$G98))*((1+Inputs!$D$7)^AD$2))))))</f>
        <v>360.37705326923071</v>
      </c>
      <c r="AE98" s="88">
        <f>$E98*IF(AE$2&gt;Inputs!$D$5,0,IF(AE$2&gt;VLOOKUP($H98,Lists!$P$3:$Q$7,2),IF($N98=Lists!$K$3,IF($L98&lt;1,(($U98/$L98)*((1+Inputs!$D$7)^AE$2)),((INT(AE$2/$L98)-INT((AE$2-1)/$L98))*$U98*((1+Inputs!$D$7)^AE$2))),(_xlfn.WEIBULL.DIST(AE$2,$M98,$L98,FALSE)*$U98*((1+Inputs!$D$7)^AE$2))),IF($N98=Lists!$K$3,IF($L98&lt;1,((($T98*(1-$F98)+$S98*(1-$G98))/$L98)*((1+Inputs!$D$7)^AE$2)),((INT(AE$2/$L98)-INT((AE$2-1)/$L98))*($T98*(1-$F98)+$S98*(1-$G98))*((1+Inputs!$D$7)^AE$2))),((_xlfn.WEIBULL.DIST(AE$2,$M98,$L98,FALSE)*($T98*(1-$F98)+$S98*(1-$G98))*((1+Inputs!$D$7)^AE$2))))))</f>
        <v>367.58459433461536</v>
      </c>
      <c r="AF98" s="88">
        <f>$E98*IF(AF$2&gt;Inputs!$D$5,0,IF(AF$2&gt;VLOOKUP($H98,Lists!$P$3:$Q$7,2),IF($N98=Lists!$K$3,IF($L98&lt;1,(($U98/$L98)*((1+Inputs!$D$7)^AF$2)),((INT(AF$2/$L98)-INT((AF$2-1)/$L98))*$U98*((1+Inputs!$D$7)^AF$2))),(_xlfn.WEIBULL.DIST(AF$2,$M98,$L98,FALSE)*$U98*((1+Inputs!$D$7)^AF$2))),IF($N98=Lists!$K$3,IF($L98&lt;1,((($T98*(1-$F98)+$S98*(1-$G98))/$L98)*((1+Inputs!$D$7)^AF$2)),((INT(AF$2/$L98)-INT((AF$2-1)/$L98))*($T98*(1-$F98)+$S98*(1-$G98))*((1+Inputs!$D$7)^AF$2))),((_xlfn.WEIBULL.DIST(AF$2,$M98,$L98,FALSE)*($T98*(1-$F98)+$S98*(1-$G98))*((1+Inputs!$D$7)^AF$2))))))</f>
        <v>374.93628622130768</v>
      </c>
      <c r="AG98" s="88">
        <f>$E98*IF(AG$2&gt;Inputs!$D$5,0,IF(AG$2&gt;VLOOKUP($H98,Lists!$P$3:$Q$7,2),IF($N98=Lists!$K$3,IF($L98&lt;1,(($U98/$L98)*((1+Inputs!$D$7)^AG$2)),((INT(AG$2/$L98)-INT((AG$2-1)/$L98))*$U98*((1+Inputs!$D$7)^AG$2))),(_xlfn.WEIBULL.DIST(AG$2,$M98,$L98,FALSE)*$U98*((1+Inputs!$D$7)^AG$2))),IF($N98=Lists!$K$3,IF($L98&lt;1,((($T98*(1-$F98)+$S98*(1-$G98))/$L98)*((1+Inputs!$D$7)^AG$2)),((INT(AG$2/$L98)-INT((AG$2-1)/$L98))*($T98*(1-$F98)+$S98*(1-$G98))*((1+Inputs!$D$7)^AG$2))),((_xlfn.WEIBULL.DIST(AG$2,$M98,$L98,FALSE)*($T98*(1-$F98)+$S98*(1-$G98))*((1+Inputs!$D$7)^AG$2))))))</f>
        <v>382.43501194573372</v>
      </c>
      <c r="AH98" s="88">
        <f>$E98*IF(AH$2&gt;Inputs!$D$5,0,IF(AH$2&gt;VLOOKUP($H98,Lists!$P$3:$Q$7,2),IF($N98=Lists!$K$3,IF($L98&lt;1,(($U98/$L98)*((1+Inputs!$D$7)^AH$2)),((INT(AH$2/$L98)-INT((AH$2-1)/$L98))*$U98*((1+Inputs!$D$7)^AH$2))),(_xlfn.WEIBULL.DIST(AH$2,$M98,$L98,FALSE)*$U98*((1+Inputs!$D$7)^AH$2))),IF($N98=Lists!$K$3,IF($L98&lt;1,((($T98*(1-$F98)+$S98*(1-$G98))/$L98)*((1+Inputs!$D$7)^AH$2)),((INT(AH$2/$L98)-INT((AH$2-1)/$L98))*($T98*(1-$F98)+$S98*(1-$G98))*((1+Inputs!$D$7)^AH$2))),((_xlfn.WEIBULL.DIST(AH$2,$M98,$L98,FALSE)*($T98*(1-$F98)+$S98*(1-$G98))*((1+Inputs!$D$7)^AH$2))))))</f>
        <v>390.08371218464845</v>
      </c>
      <c r="AI98" s="88">
        <f>$E98*IF(AI$2&gt;Inputs!$D$5,0,IF(AI$2&gt;VLOOKUP($H98,Lists!$P$3:$Q$7,2),IF($N98=Lists!$K$3,IF($L98&lt;1,(($U98/$L98)*((1+Inputs!$D$7)^AI$2)),((INT(AI$2/$L98)-INT((AI$2-1)/$L98))*$U98*((1+Inputs!$D$7)^AI$2))),(_xlfn.WEIBULL.DIST(AI$2,$M98,$L98,FALSE)*$U98*((1+Inputs!$D$7)^AI$2))),IF($N98=Lists!$K$3,IF($L98&lt;1,((($T98*(1-$F98)+$S98*(1-$G98))/$L98)*((1+Inputs!$D$7)^AI$2)),((INT(AI$2/$L98)-INT((AI$2-1)/$L98))*($T98*(1-$F98)+$S98*(1-$G98))*((1+Inputs!$D$7)^AI$2))),((_xlfn.WEIBULL.DIST(AI$2,$M98,$L98,FALSE)*($T98*(1-$F98)+$S98*(1-$G98))*((1+Inputs!$D$7)^AI$2))))))</f>
        <v>397.88538642834141</v>
      </c>
      <c r="AJ98" s="88">
        <f>$E98*IF(AJ$2&gt;Inputs!$D$5,0,IF(AJ$2&gt;VLOOKUP($H98,Lists!$P$3:$Q$7,2),IF($N98=Lists!$K$3,IF($L98&lt;1,(($U98/$L98)*((1+Inputs!$D$7)^AJ$2)),((INT(AJ$2/$L98)-INT((AJ$2-1)/$L98))*$U98*((1+Inputs!$D$7)^AJ$2))),(_xlfn.WEIBULL.DIST(AJ$2,$M98,$L98,FALSE)*$U98*((1+Inputs!$D$7)^AJ$2))),IF($N98=Lists!$K$3,IF($L98&lt;1,((($T98*(1-$F98)+$S98*(1-$G98))/$L98)*((1+Inputs!$D$7)^AJ$2)),((INT(AJ$2/$L98)-INT((AJ$2-1)/$L98))*($T98*(1-$F98)+$S98*(1-$G98))*((1+Inputs!$D$7)^AJ$2))),((_xlfn.WEIBULL.DIST(AJ$2,$M98,$L98,FALSE)*($T98*(1-$F98)+$S98*(1-$G98))*((1+Inputs!$D$7)^AJ$2))))))</f>
        <v>405.84309415690825</v>
      </c>
      <c r="AK98" s="88">
        <f>$E98*IF(AK$2&gt;Inputs!$D$5,0,IF(AK$2&gt;VLOOKUP($H98,Lists!$P$3:$Q$7,2),IF($N98=Lists!$K$3,IF($L98&lt;1,(($U98/$L98)*((1+Inputs!$D$7)^AK$2)),((INT(AK$2/$L98)-INT((AK$2-1)/$L98))*$U98*((1+Inputs!$D$7)^AK$2))),(_xlfn.WEIBULL.DIST(AK$2,$M98,$L98,FALSE)*$U98*((1+Inputs!$D$7)^AK$2))),IF($N98=Lists!$K$3,IF($L98&lt;1,((($T98*(1-$F98)+$S98*(1-$G98))/$L98)*((1+Inputs!$D$7)^AK$2)),((INT(AK$2/$L98)-INT((AK$2-1)/$L98))*($T98*(1-$F98)+$S98*(1-$G98))*((1+Inputs!$D$7)^AK$2))),((_xlfn.WEIBULL.DIST(AK$2,$M98,$L98,FALSE)*($T98*(1-$F98)+$S98*(1-$G98))*((1+Inputs!$D$7)^AK$2))))))</f>
        <v>413.95995604004634</v>
      </c>
      <c r="AL98" s="88">
        <f>$E98*IF(AL$2&gt;Inputs!$D$5,0,IF(AL$2&gt;VLOOKUP($H98,Lists!$P$3:$Q$7,2),IF($N98=Lists!$K$3,IF($L98&lt;1,(($U98/$L98)*((1+Inputs!$D$7)^AL$2)),((INT(AL$2/$L98)-INT((AL$2-1)/$L98))*$U98*((1+Inputs!$D$7)^AL$2))),(_xlfn.WEIBULL.DIST(AL$2,$M98,$L98,FALSE)*$U98*((1+Inputs!$D$7)^AL$2))),IF($N98=Lists!$K$3,IF($L98&lt;1,((($T98*(1-$F98)+$S98*(1-$G98))/$L98)*((1+Inputs!$D$7)^AL$2)),((INT(AL$2/$L98)-INT((AL$2-1)/$L98))*($T98*(1-$F98)+$S98*(1-$G98))*((1+Inputs!$D$7)^AL$2))),((_xlfn.WEIBULL.DIST(AL$2,$M98,$L98,FALSE)*($T98*(1-$F98)+$S98*(1-$G98))*((1+Inputs!$D$7)^AL$2))))))</f>
        <v>422.23915516084736</v>
      </c>
      <c r="AM98" s="88">
        <f>$E98*IF(AM$2&gt;Inputs!$D$5,0,IF(AM$2&gt;VLOOKUP($H98,Lists!$P$3:$Q$7,2),IF($N98=Lists!$K$3,IF($L98&lt;1,(($U98/$L98)*((1+Inputs!$D$7)^AM$2)),((INT(AM$2/$L98)-INT((AM$2-1)/$L98))*$U98*((1+Inputs!$D$7)^AM$2))),(_xlfn.WEIBULL.DIST(AM$2,$M98,$L98,FALSE)*$U98*((1+Inputs!$D$7)^AM$2))),IF($N98=Lists!$K$3,IF($L98&lt;1,((($T98*(1-$F98)+$S98*(1-$G98))/$L98)*((1+Inputs!$D$7)^AM$2)),((INT(AM$2/$L98)-INT((AM$2-1)/$L98))*($T98*(1-$F98)+$S98*(1-$G98))*((1+Inputs!$D$7)^AM$2))),((_xlfn.WEIBULL.DIST(AM$2,$M98,$L98,FALSE)*($T98*(1-$F98)+$S98*(1-$G98))*((1+Inputs!$D$7)^AM$2))))))</f>
        <v>430.6839382640643</v>
      </c>
      <c r="AN98" s="88">
        <f>$E98*IF(AN$2&gt;Inputs!$D$5,0,IF(AN$2&gt;VLOOKUP($H98,Lists!$P$3:$Q$7,2),IF($N98=Lists!$K$3,IF($L98&lt;1,(($U98/$L98)*((1+Inputs!$D$7)^AN$2)),((INT(AN$2/$L98)-INT((AN$2-1)/$L98))*$U98*((1+Inputs!$D$7)^AN$2))),(_xlfn.WEIBULL.DIST(AN$2,$M98,$L98,FALSE)*$U98*((1+Inputs!$D$7)^AN$2))),IF($N98=Lists!$K$3,IF($L98&lt;1,((($T98*(1-$F98)+$S98*(1-$G98))/$L98)*((1+Inputs!$D$7)^AN$2)),((INT(AN$2/$L98)-INT((AN$2-1)/$L98))*($T98*(1-$F98)+$S98*(1-$G98))*((1+Inputs!$D$7)^AN$2))),((_xlfn.WEIBULL.DIST(AN$2,$M98,$L98,FALSE)*($T98*(1-$F98)+$S98*(1-$G98))*((1+Inputs!$D$7)^AN$2))))))</f>
        <v>439.29761702934559</v>
      </c>
      <c r="AO98" s="88">
        <f>$E98*IF(AO$2&gt;Inputs!$D$5,0,IF(AO$2&gt;VLOOKUP($H98,Lists!$P$3:$Q$7,2),IF($N98=Lists!$K$3,IF($L98&lt;1,(($U98/$L98)*((1+Inputs!$D$7)^AO$2)),((INT(AO$2/$L98)-INT((AO$2-1)/$L98))*$U98*((1+Inputs!$D$7)^AO$2))),(_xlfn.WEIBULL.DIST(AO$2,$M98,$L98,FALSE)*$U98*((1+Inputs!$D$7)^AO$2))),IF($N98=Lists!$K$3,IF($L98&lt;1,((($T98*(1-$F98)+$S98*(1-$G98))/$L98)*((1+Inputs!$D$7)^AO$2)),((INT(AO$2/$L98)-INT((AO$2-1)/$L98))*($T98*(1-$F98)+$S98*(1-$G98))*((1+Inputs!$D$7)^AO$2))),((_xlfn.WEIBULL.DIST(AO$2,$M98,$L98,FALSE)*($T98*(1-$F98)+$S98*(1-$G98))*((1+Inputs!$D$7)^AO$2))))))</f>
        <v>448.08356936993238</v>
      </c>
      <c r="AP98" s="88">
        <f>$E98*IF(AP$2&gt;Inputs!$D$5,0,IF(AP$2&gt;VLOOKUP($H98,Lists!$P$3:$Q$7,2),IF($N98=Lists!$K$3,IF($L98&lt;1,(($U98/$L98)*((1+Inputs!$D$7)^AP$2)),((INT(AP$2/$L98)-INT((AP$2-1)/$L98))*$U98*((1+Inputs!$D$7)^AP$2))),(_xlfn.WEIBULL.DIST(AP$2,$M98,$L98,FALSE)*$U98*((1+Inputs!$D$7)^AP$2))),IF($N98=Lists!$K$3,IF($L98&lt;1,((($T98*(1-$F98)+$S98*(1-$G98))/$L98)*((1+Inputs!$D$7)^AP$2)),((INT(AP$2/$L98)-INT((AP$2-1)/$L98))*($T98*(1-$F98)+$S98*(1-$G98))*((1+Inputs!$D$7)^AP$2))),((_xlfn.WEIBULL.DIST(AP$2,$M98,$L98,FALSE)*($T98*(1-$F98)+$S98*(1-$G98))*((1+Inputs!$D$7)^AP$2))))))</f>
        <v>457.0452407573311</v>
      </c>
      <c r="AQ98" s="88">
        <f>$E98*IF(AQ$2&gt;Inputs!$D$5,0,IF(AQ$2&gt;VLOOKUP($H98,Lists!$P$3:$Q$7,2),IF($N98=Lists!$K$3,IF($L98&lt;1,(($U98/$L98)*((1+Inputs!$D$7)^AQ$2)),((INT(AQ$2/$L98)-INT((AQ$2-1)/$L98))*$U98*((1+Inputs!$D$7)^AQ$2))),(_xlfn.WEIBULL.DIST(AQ$2,$M98,$L98,FALSE)*$U98*((1+Inputs!$D$7)^AQ$2))),IF($N98=Lists!$K$3,IF($L98&lt;1,((($T98*(1-$F98)+$S98*(1-$G98))/$L98)*((1+Inputs!$D$7)^AQ$2)),((INT(AQ$2/$L98)-INT((AQ$2-1)/$L98))*($T98*(1-$F98)+$S98*(1-$G98))*((1+Inputs!$D$7)^AQ$2))),((_xlfn.WEIBULL.DIST(AQ$2,$M98,$L98,FALSE)*($T98*(1-$F98)+$S98*(1-$G98))*((1+Inputs!$D$7)^AQ$2))))))</f>
        <v>466.18614557247776</v>
      </c>
      <c r="AR98" s="88">
        <f>$E98*IF(AR$2&gt;Inputs!$D$5,0,IF(AR$2&gt;VLOOKUP($H98,Lists!$P$3:$Q$7,2),IF($N98=Lists!$K$3,IF($L98&lt;1,(($U98/$L98)*((1+Inputs!$D$7)^AR$2)),((INT(AR$2/$L98)-INT((AR$2-1)/$L98))*$U98*((1+Inputs!$D$7)^AR$2))),(_xlfn.WEIBULL.DIST(AR$2,$M98,$L98,FALSE)*$U98*((1+Inputs!$D$7)^AR$2))),IF($N98=Lists!$K$3,IF($L98&lt;1,((($T98*(1-$F98)+$S98*(1-$G98))/$L98)*((1+Inputs!$D$7)^AR$2)),((INT(AR$2/$L98)-INT((AR$2-1)/$L98))*($T98*(1-$F98)+$S98*(1-$G98))*((1+Inputs!$D$7)^AR$2))),((_xlfn.WEIBULL.DIST(AR$2,$M98,$L98,FALSE)*($T98*(1-$F98)+$S98*(1-$G98))*((1+Inputs!$D$7)^AR$2))))))</f>
        <v>475.50986848392728</v>
      </c>
      <c r="AS98" s="88">
        <f>$E98*IF(AS$2&gt;Inputs!$D$5,0,IF(AS$2&gt;VLOOKUP($H98,Lists!$P$3:$Q$7,2),IF($N98=Lists!$K$3,IF($L98&lt;1,(($U98/$L98)*((1+Inputs!$D$7)^AS$2)),((INT(AS$2/$L98)-INT((AS$2-1)/$L98))*$U98*((1+Inputs!$D$7)^AS$2))),(_xlfn.WEIBULL.DIST(AS$2,$M98,$L98,FALSE)*$U98*((1+Inputs!$D$7)^AS$2))),IF($N98=Lists!$K$3,IF($L98&lt;1,((($T98*(1-$F98)+$S98*(1-$G98))/$L98)*((1+Inputs!$D$7)^AS$2)),((INT(AS$2/$L98)-INT((AS$2-1)/$L98))*($T98*(1-$F98)+$S98*(1-$G98))*((1+Inputs!$D$7)^AS$2))),((_xlfn.WEIBULL.DIST(AS$2,$M98,$L98,FALSE)*($T98*(1-$F98)+$S98*(1-$G98))*((1+Inputs!$D$7)^AS$2))))))</f>
        <v>485.02006585360579</v>
      </c>
      <c r="AT98" s="88">
        <f>$E98*IF(AT$2&gt;Inputs!$D$5,0,IF(AT$2&gt;VLOOKUP($H98,Lists!$P$3:$Q$7,2),IF($N98=Lists!$K$3,IF($L98&lt;1,(($U98/$L98)*((1+Inputs!$D$7)^AT$2)),((INT(AT$2/$L98)-INT((AT$2-1)/$L98))*$U98*((1+Inputs!$D$7)^AT$2))),(_xlfn.WEIBULL.DIST(AT$2,$M98,$L98,FALSE)*$U98*((1+Inputs!$D$7)^AT$2))),IF($N98=Lists!$K$3,IF($L98&lt;1,((($T98*(1-$F98)+$S98*(1-$G98))/$L98)*((1+Inputs!$D$7)^AT$2)),((INT(AT$2/$L98)-INT((AT$2-1)/$L98))*($T98*(1-$F98)+$S98*(1-$G98))*((1+Inputs!$D$7)^AT$2))),((_xlfn.WEIBULL.DIST(AT$2,$M98,$L98,FALSE)*($T98*(1-$F98)+$S98*(1-$G98))*((1+Inputs!$D$7)^AT$2))))))</f>
        <v>494.72046717067798</v>
      </c>
      <c r="AU98" s="88">
        <f>$E98*IF(AU$2&gt;Inputs!$D$5,0,IF(AU$2&gt;VLOOKUP($H98,Lists!$P$3:$Q$7,2),IF($N98=Lists!$K$3,IF($L98&lt;1,(($U98/$L98)*((1+Inputs!$D$7)^AU$2)),((INT(AU$2/$L98)-INT((AU$2-1)/$L98))*$U98*((1+Inputs!$D$7)^AU$2))),(_xlfn.WEIBULL.DIST(AU$2,$M98,$L98,FALSE)*$U98*((1+Inputs!$D$7)^AU$2))),IF($N98=Lists!$K$3,IF($L98&lt;1,((($T98*(1-$F98)+$S98*(1-$G98))/$L98)*((1+Inputs!$D$7)^AU$2)),((INT(AU$2/$L98)-INT((AU$2-1)/$L98))*($T98*(1-$F98)+$S98*(1-$G98))*((1+Inputs!$D$7)^AU$2))),((_xlfn.WEIBULL.DIST(AU$2,$M98,$L98,FALSE)*($T98*(1-$F98)+$S98*(1-$G98))*((1+Inputs!$D$7)^AU$2))))))</f>
        <v>504.61487651409146</v>
      </c>
      <c r="AV98" s="88">
        <f>$E98*IF(AV$2&gt;Inputs!$D$5,0,IF(AV$2&gt;VLOOKUP($H98,Lists!$P$3:$Q$7,2),IF($N98=Lists!$K$3,IF($L98&lt;1,(($U98/$L98)*((1+Inputs!$D$7)^AV$2)),((INT(AV$2/$L98)-INT((AV$2-1)/$L98))*$U98*((1+Inputs!$D$7)^AV$2))),(_xlfn.WEIBULL.DIST(AV$2,$M98,$L98,FALSE)*$U98*((1+Inputs!$D$7)^AV$2))),IF($N98=Lists!$K$3,IF($L98&lt;1,((($T98*(1-$F98)+$S98*(1-$G98))/$L98)*((1+Inputs!$D$7)^AV$2)),((INT(AV$2/$L98)-INT((AV$2-1)/$L98))*($T98*(1-$F98)+$S98*(1-$G98))*((1+Inputs!$D$7)^AV$2))),((_xlfn.WEIBULL.DIST(AV$2,$M98,$L98,FALSE)*($T98*(1-$F98)+$S98*(1-$G98))*((1+Inputs!$D$7)^AV$2))))))</f>
        <v>514.70717404437335</v>
      </c>
      <c r="AW98" s="88">
        <f>$E98*IF(AW$2&gt;Inputs!$D$5,0,IF(AW$2&gt;VLOOKUP($H98,Lists!$P$3:$Q$7,2),IF($N98=Lists!$K$3,IF($L98&lt;1,(($U98/$L98)*((1+Inputs!$D$7)^AW$2)),((INT(AW$2/$L98)-INT((AW$2-1)/$L98))*$U98*((1+Inputs!$D$7)^AW$2))),(_xlfn.WEIBULL.DIST(AW$2,$M98,$L98,FALSE)*$U98*((1+Inputs!$D$7)^AW$2))),IF($N98=Lists!$K$3,IF($L98&lt;1,((($T98*(1-$F98)+$S98*(1-$G98))/$L98)*((1+Inputs!$D$7)^AW$2)),((INT(AW$2/$L98)-INT((AW$2-1)/$L98))*($T98*(1-$F98)+$S98*(1-$G98))*((1+Inputs!$D$7)^AW$2))),((_xlfn.WEIBULL.DIST(AW$2,$M98,$L98,FALSE)*($T98*(1-$F98)+$S98*(1-$G98))*((1+Inputs!$D$7)^AW$2))))))</f>
        <v>525.00131752526067</v>
      </c>
      <c r="AX98" s="88">
        <f>$E98*IF(AX$2&gt;Inputs!$D$5,0,IF(AX$2&gt;VLOOKUP($H98,Lists!$P$3:$Q$7,2),IF($N98=Lists!$K$3,IF($L98&lt;1,(($U98/$L98)*((1+Inputs!$D$7)^AX$2)),((INT(AX$2/$L98)-INT((AX$2-1)/$L98))*$U98*((1+Inputs!$D$7)^AX$2))),(_xlfn.WEIBULL.DIST(AX$2,$M98,$L98,FALSE)*$U98*((1+Inputs!$D$7)^AX$2))),IF($N98=Lists!$K$3,IF($L98&lt;1,((($T98*(1-$F98)+$S98*(1-$G98))/$L98)*((1+Inputs!$D$7)^AX$2)),((INT(AX$2/$L98)-INT((AX$2-1)/$L98))*($T98*(1-$F98)+$S98*(1-$G98))*((1+Inputs!$D$7)^AX$2))),((_xlfn.WEIBULL.DIST(AX$2,$M98,$L98,FALSE)*($T98*(1-$F98)+$S98*(1-$G98))*((1+Inputs!$D$7)^AX$2))))))</f>
        <v>535.501343875766</v>
      </c>
      <c r="AY98" s="88">
        <f>$E98*IF(AY$2&gt;Inputs!$D$5,0,IF(AY$2&gt;VLOOKUP($H98,Lists!$P$3:$Q$7,2),IF($N98=Lists!$K$3,IF($L98&lt;1,(($U98/$L98)*((1+Inputs!$D$7)^AY$2)),((INT(AY$2/$L98)-INT((AY$2-1)/$L98))*$U98*((1+Inputs!$D$7)^AY$2))),(_xlfn.WEIBULL.DIST(AY$2,$M98,$L98,FALSE)*$U98*((1+Inputs!$D$7)^AY$2))),IF($N98=Lists!$K$3,IF($L98&lt;1,((($T98*(1-$F98)+$S98*(1-$G98))/$L98)*((1+Inputs!$D$7)^AY$2)),((INT(AY$2/$L98)-INT((AY$2-1)/$L98))*($T98*(1-$F98)+$S98*(1-$G98))*((1+Inputs!$D$7)^AY$2))),((_xlfn.WEIBULL.DIST(AY$2,$M98,$L98,FALSE)*($T98*(1-$F98)+$S98*(1-$G98))*((1+Inputs!$D$7)^AY$2))))))</f>
        <v>546.21137075328124</v>
      </c>
      <c r="AZ98" s="88">
        <f>$E98*IF(AZ$2&gt;Inputs!$D$5,0,IF(AZ$2&gt;VLOOKUP($H98,Lists!$P$3:$Q$7,2),IF($N98=Lists!$K$3,IF($L98&lt;1,(($U98/$L98)*((1+Inputs!$D$7)^AZ$2)),((INT(AZ$2/$L98)-INT((AZ$2-1)/$L98))*$U98*((1+Inputs!$D$7)^AZ$2))),(_xlfn.WEIBULL.DIST(AZ$2,$M98,$L98,FALSE)*$U98*((1+Inputs!$D$7)^AZ$2))),IF($N98=Lists!$K$3,IF($L98&lt;1,((($T98*(1-$F98)+$S98*(1-$G98))/$L98)*((1+Inputs!$D$7)^AZ$2)),((INT(AZ$2/$L98)-INT((AZ$2-1)/$L98))*($T98*(1-$F98)+$S98*(1-$G98))*((1+Inputs!$D$7)^AZ$2))),((_xlfn.WEIBULL.DIST(AZ$2,$M98,$L98,FALSE)*($T98*(1-$F98)+$S98*(1-$G98))*((1+Inputs!$D$7)^AZ$2))))))</f>
        <v>0</v>
      </c>
      <c r="BA98" s="88">
        <f>$E98*IF(BA$2&gt;Inputs!$D$5,0,IF(BA$2&gt;VLOOKUP($H98,Lists!$P$3:$Q$7,2),IF($N98=Lists!$K$3,IF($L98&lt;1,(($U98/$L98)*((1+Inputs!$D$7)^BA$2)),((INT(BA$2/$L98)-INT((BA$2-1)/$L98))*$U98*((1+Inputs!$D$7)^BA$2))),(_xlfn.WEIBULL.DIST(BA$2,$M98,$L98,FALSE)*$U98*((1+Inputs!$D$7)^BA$2))),IF($N98=Lists!$K$3,IF($L98&lt;1,((($T98*(1-$F98)+$S98*(1-$G98))/$L98)*((1+Inputs!$D$7)^BA$2)),((INT(BA$2/$L98)-INT((BA$2-1)/$L98))*($T98*(1-$F98)+$S98*(1-$G98))*((1+Inputs!$D$7)^BA$2))),((_xlfn.WEIBULL.DIST(BA$2,$M98,$L98,FALSE)*($T98*(1-$F98)+$S98*(1-$G98))*((1+Inputs!$D$7)^BA$2))))))</f>
        <v>0</v>
      </c>
      <c r="BB98" s="88">
        <f>$E98*IF(BB$2&gt;Inputs!$D$5,0,IF(BB$2&gt;VLOOKUP($H98,Lists!$P$3:$Q$7,2),IF($N98=Lists!$K$3,IF($L98&lt;1,(($U98/$L98)*((1+Inputs!$D$7)^BB$2)),((INT(BB$2/$L98)-INT((BB$2-1)/$L98))*$U98*((1+Inputs!$D$7)^BB$2))),(_xlfn.WEIBULL.DIST(BB$2,$M98,$L98,FALSE)*$U98*((1+Inputs!$D$7)^BB$2))),IF($N98=Lists!$K$3,IF($L98&lt;1,((($T98*(1-$F98)+$S98*(1-$G98))/$L98)*((1+Inputs!$D$7)^BB$2)),((INT(BB$2/$L98)-INT((BB$2-1)/$L98))*($T98*(1-$F98)+$S98*(1-$G98))*((1+Inputs!$D$7)^BB$2))),((_xlfn.WEIBULL.DIST(BB$2,$M98,$L98,FALSE)*($T98*(1-$F98)+$S98*(1-$G98))*((1+Inputs!$D$7)^BB$2))))))</f>
        <v>0</v>
      </c>
      <c r="BC98" s="88">
        <f>$E98*IF(BC$2&gt;Inputs!$D$5,0,IF(BC$2&gt;VLOOKUP($H98,Lists!$P$3:$Q$7,2),IF($N98=Lists!$K$3,IF($L98&lt;1,(($U98/$L98)*((1+Inputs!$D$7)^BC$2)),((INT(BC$2/$L98)-INT((BC$2-1)/$L98))*$U98*((1+Inputs!$D$7)^BC$2))),(_xlfn.WEIBULL.DIST(BC$2,$M98,$L98,FALSE)*$U98*((1+Inputs!$D$7)^BC$2))),IF($N98=Lists!$K$3,IF($L98&lt;1,((($T98*(1-$F98)+$S98*(1-$G98))/$L98)*((1+Inputs!$D$7)^BC$2)),((INT(BC$2/$L98)-INT((BC$2-1)/$L98))*($T98*(1-$F98)+$S98*(1-$G98))*((1+Inputs!$D$7)^BC$2))),((_xlfn.WEIBULL.DIST(BC$2,$M98,$L98,FALSE)*($T98*(1-$F98)+$S98*(1-$G98))*((1+Inputs!$D$7)^BC$2))))))</f>
        <v>0</v>
      </c>
      <c r="BD98" s="88">
        <f>$E98*IF(BD$2&gt;Inputs!$D$5,0,IF(BD$2&gt;VLOOKUP($H98,Lists!$P$3:$Q$7,2),IF($N98=Lists!$K$3,IF($L98&lt;1,(($U98/$L98)*((1+Inputs!$D$7)^BD$2)),((INT(BD$2/$L98)-INT((BD$2-1)/$L98))*$U98*((1+Inputs!$D$7)^BD$2))),(_xlfn.WEIBULL.DIST(BD$2,$M98,$L98,FALSE)*$U98*((1+Inputs!$D$7)^BD$2))),IF($N98=Lists!$K$3,IF($L98&lt;1,((($T98*(1-$F98)+$S98*(1-$G98))/$L98)*((1+Inputs!$D$7)^BD$2)),((INT(BD$2/$L98)-INT((BD$2-1)/$L98))*($T98*(1-$F98)+$S98*(1-$G98))*((1+Inputs!$D$7)^BD$2))),((_xlfn.WEIBULL.DIST(BD$2,$M98,$L98,FALSE)*($T98*(1-$F98)+$S98*(1-$G98))*((1+Inputs!$D$7)^BD$2))))))</f>
        <v>0</v>
      </c>
      <c r="BE98" s="88">
        <f>$E98*IF(BE$2&gt;Inputs!$D$5,0,IF(BE$2&gt;VLOOKUP($H98,Lists!$P$3:$Q$7,2),IF($N98=Lists!$K$3,IF($L98&lt;1,(($U98/$L98)*((1+Inputs!$D$7)^BE$2)),((INT(BE$2/$L98)-INT((BE$2-1)/$L98))*$U98*((1+Inputs!$D$7)^BE$2))),(_xlfn.WEIBULL.DIST(BE$2,$M98,$L98,FALSE)*$U98*((1+Inputs!$D$7)^BE$2))),IF($N98=Lists!$K$3,IF($L98&lt;1,((($T98*(1-$F98)+$S98*(1-$G98))/$L98)*((1+Inputs!$D$7)^BE$2)),((INT(BE$2/$L98)-INT((BE$2-1)/$L98))*($T98*(1-$F98)+$S98*(1-$G98))*((1+Inputs!$D$7)^BE$2))),((_xlfn.WEIBULL.DIST(BE$2,$M98,$L98,FALSE)*($T98*(1-$F98)+$S98*(1-$G98))*((1+Inputs!$D$7)^BE$2))))))</f>
        <v>0</v>
      </c>
      <c r="BF98" s="88">
        <f>$E98*IF(BF$2&gt;Inputs!$D$5,0,IF(BF$2&gt;VLOOKUP($H98,Lists!$P$3:$Q$7,2),IF($N98=Lists!$K$3,IF($L98&lt;1,(($U98/$L98)*((1+Inputs!$D$7)^BF$2)),((INT(BF$2/$L98)-INT((BF$2-1)/$L98))*$U98*((1+Inputs!$D$7)^BF$2))),(_xlfn.WEIBULL.DIST(BF$2,$M98,$L98,FALSE)*$U98*((1+Inputs!$D$7)^BF$2))),IF($N98=Lists!$K$3,IF($L98&lt;1,((($T98*(1-$F98)+$S98*(1-$G98))/$L98)*((1+Inputs!$D$7)^BF$2)),((INT(BF$2/$L98)-INT((BF$2-1)/$L98))*($T98*(1-$F98)+$S98*(1-$G98))*((1+Inputs!$D$7)^BF$2))),((_xlfn.WEIBULL.DIST(BF$2,$M98,$L98,FALSE)*($T98*(1-$F98)+$S98*(1-$G98))*((1+Inputs!$D$7)^BF$2))))))</f>
        <v>0</v>
      </c>
      <c r="BG98" s="88">
        <f>$E98*IF(BG$2&gt;Inputs!$D$5,0,IF(BG$2&gt;VLOOKUP($H98,Lists!$P$3:$Q$7,2),IF($N98=Lists!$K$3,IF($L98&lt;1,(($U98/$L98)*((1+Inputs!$D$7)^BG$2)),((INT(BG$2/$L98)-INT((BG$2-1)/$L98))*$U98*((1+Inputs!$D$7)^BG$2))),(_xlfn.WEIBULL.DIST(BG$2,$M98,$L98,FALSE)*$U98*((1+Inputs!$D$7)^BG$2))),IF($N98=Lists!$K$3,IF($L98&lt;1,((($T98*(1-$F98)+$S98*(1-$G98))/$L98)*((1+Inputs!$D$7)^BG$2)),((INT(BG$2/$L98)-INT((BG$2-1)/$L98))*($T98*(1-$F98)+$S98*(1-$G98))*((1+Inputs!$D$7)^BG$2))),((_xlfn.WEIBULL.DIST(BG$2,$M98,$L98,FALSE)*($T98*(1-$F98)+$S98*(1-$G98))*((1+Inputs!$D$7)^BG$2))))))</f>
        <v>0</v>
      </c>
      <c r="BH98" s="88">
        <f>$E98*IF(BH$2&gt;Inputs!$D$5,0,IF(BH$2&gt;VLOOKUP($H98,Lists!$P$3:$Q$7,2),IF($N98=Lists!$K$3,IF($L98&lt;1,(($U98/$L98)*((1+Inputs!$D$7)^BH$2)),((INT(BH$2/$L98)-INT((BH$2-1)/$L98))*$U98*((1+Inputs!$D$7)^BH$2))),(_xlfn.WEIBULL.DIST(BH$2,$M98,$L98,FALSE)*$U98*((1+Inputs!$D$7)^BH$2))),IF($N98=Lists!$K$3,IF($L98&lt;1,((($T98*(1-$F98)+$S98*(1-$G98))/$L98)*((1+Inputs!$D$7)^BH$2)),((INT(BH$2/$L98)-INT((BH$2-1)/$L98))*($T98*(1-$F98)+$S98*(1-$G98))*((1+Inputs!$D$7)^BH$2))),((_xlfn.WEIBULL.DIST(BH$2,$M98,$L98,FALSE)*($T98*(1-$F98)+$S98*(1-$G98))*((1+Inputs!$D$7)^BH$2))))))</f>
        <v>0</v>
      </c>
      <c r="BI98" s="88">
        <f>$E98*IF(BI$2&gt;Inputs!$D$5,0,IF(BI$2&gt;VLOOKUP($H98,Lists!$P$3:$Q$7,2),IF($N98=Lists!$K$3,IF($L98&lt;1,(($U98/$L98)*((1+Inputs!$D$7)^BI$2)),((INT(BI$2/$L98)-INT((BI$2-1)/$L98))*$U98*((1+Inputs!$D$7)^BI$2))),(_xlfn.WEIBULL.DIST(BI$2,$M98,$L98,FALSE)*$U98*((1+Inputs!$D$7)^BI$2))),IF($N98=Lists!$K$3,IF($L98&lt;1,((($T98*(1-$F98)+$S98*(1-$G98))/$L98)*((1+Inputs!$D$7)^BI$2)),((INT(BI$2/$L98)-INT((BI$2-1)/$L98))*($T98*(1-$F98)+$S98*(1-$G98))*((1+Inputs!$D$7)^BI$2))),((_xlfn.WEIBULL.DIST(BI$2,$M98,$L98,FALSE)*($T98*(1-$F98)+$S98*(1-$G98))*((1+Inputs!$D$7)^BI$2))))))</f>
        <v>0</v>
      </c>
      <c r="BJ98" s="88">
        <f>$E98*IF(BJ$2&gt;Inputs!$D$5,0,IF(BJ$2&gt;VLOOKUP($H98,Lists!$P$3:$Q$7,2),IF($N98=Lists!$K$3,IF($L98&lt;1,(($U98/$L98)*((1+Inputs!$D$7)^BJ$2)),((INT(BJ$2/$L98)-INT((BJ$2-1)/$L98))*$U98*((1+Inputs!$D$7)^BJ$2))),(_xlfn.WEIBULL.DIST(BJ$2,$M98,$L98,FALSE)*$U98*((1+Inputs!$D$7)^BJ$2))),IF($N98=Lists!$K$3,IF($L98&lt;1,((($T98*(1-$F98)+$S98*(1-$G98))/$L98)*((1+Inputs!$D$7)^BJ$2)),((INT(BJ$2/$L98)-INT((BJ$2-1)/$L98))*($T98*(1-$F98)+$S98*(1-$G98))*((1+Inputs!$D$7)^BJ$2))),((_xlfn.WEIBULL.DIST(BJ$2,$M98,$L98,FALSE)*($T98*(1-$F98)+$S98*(1-$G98))*((1+Inputs!$D$7)^BJ$2))))))</f>
        <v>0</v>
      </c>
      <c r="BK98" s="88">
        <f>$E98*IF(BK$2&gt;Inputs!$D$5,0,IF(BK$2&gt;VLOOKUP($H98,Lists!$P$3:$Q$7,2),IF($N98=Lists!$K$3,IF($L98&lt;1,(($U98/$L98)*((1+Inputs!$D$7)^BK$2)),((INT(BK$2/$L98)-INT((BK$2-1)/$L98))*$U98*((1+Inputs!$D$7)^BK$2))),(_xlfn.WEIBULL.DIST(BK$2,$M98,$L98,FALSE)*$U98*((1+Inputs!$D$7)^BK$2))),IF($N98=Lists!$K$3,IF($L98&lt;1,((($T98*(1-$F98)+$S98*(1-$G98))/$L98)*((1+Inputs!$D$7)^BK$2)),((INT(BK$2/$L98)-INT((BK$2-1)/$L98))*($T98*(1-$F98)+$S98*(1-$G98))*((1+Inputs!$D$7)^BK$2))),((_xlfn.WEIBULL.DIST(BK$2,$M98,$L98,FALSE)*($T98*(1-$F98)+$S98*(1-$G98))*((1+Inputs!$D$7)^BK$2))))))</f>
        <v>0</v>
      </c>
      <c r="BL98" s="88">
        <f>$E98*IF(BL$2&gt;Inputs!$D$5,0,IF(BL$2&gt;VLOOKUP($H98,Lists!$P$3:$Q$7,2),IF($N98=Lists!$K$3,IF($L98&lt;1,(($U98/$L98)*((1+Inputs!$D$7)^BL$2)),((INT(BL$2/$L98)-INT((BL$2-1)/$L98))*$U98*((1+Inputs!$D$7)^BL$2))),(_xlfn.WEIBULL.DIST(BL$2,$M98,$L98,FALSE)*$U98*((1+Inputs!$D$7)^BL$2))),IF($N98=Lists!$K$3,IF($L98&lt;1,((($T98*(1-$F98)+$S98*(1-$G98))/$L98)*((1+Inputs!$D$7)^BL$2)),((INT(BL$2/$L98)-INT((BL$2-1)/$L98))*($T98*(1-$F98)+$S98*(1-$G98))*((1+Inputs!$D$7)^BL$2))),((_xlfn.WEIBULL.DIST(BL$2,$M98,$L98,FALSE)*($T98*(1-$F98)+$S98*(1-$G98))*((1+Inputs!$D$7)^BL$2))))))</f>
        <v>0</v>
      </c>
      <c r="BM98" s="88">
        <f>$E98*IF(BM$2&gt;Inputs!$D$5,0,IF(BM$2&gt;VLOOKUP($H98,Lists!$P$3:$Q$7,2),IF($N98=Lists!$K$3,IF($L98&lt;1,(($U98/$L98)*((1+Inputs!$D$7)^BM$2)),((INT(BM$2/$L98)-INT((BM$2-1)/$L98))*$U98*((1+Inputs!$D$7)^BM$2))),(_xlfn.WEIBULL.DIST(BM$2,$M98,$L98,FALSE)*$U98*((1+Inputs!$D$7)^BM$2))),IF($N98=Lists!$K$3,IF($L98&lt;1,((($T98*(1-$F98)+$S98*(1-$G98))/$L98)*((1+Inputs!$D$7)^BM$2)),((INT(BM$2/$L98)-INT((BM$2-1)/$L98))*($T98*(1-$F98)+$S98*(1-$G98))*((1+Inputs!$D$7)^BM$2))),((_xlfn.WEIBULL.DIST(BM$2,$M98,$L98,FALSE)*($T98*(1-$F98)+$S98*(1-$G98))*((1+Inputs!$D$7)^BM$2))))))</f>
        <v>0</v>
      </c>
      <c r="BN98" s="88">
        <f>$E98*IF(BN$2&gt;Inputs!$D$5,0,IF(BN$2&gt;VLOOKUP($H98,Lists!$P$3:$Q$7,2),IF($N98=Lists!$K$3,IF($L98&lt;1,(($U98/$L98)*((1+Inputs!$D$7)^BN$2)),((INT(BN$2/$L98)-INT((BN$2-1)/$L98))*$U98*((1+Inputs!$D$7)^BN$2))),(_xlfn.WEIBULL.DIST(BN$2,$M98,$L98,FALSE)*$U98*((1+Inputs!$D$7)^BN$2))),IF($N98=Lists!$K$3,IF($L98&lt;1,((($T98*(1-$F98)+$S98*(1-$G98))/$L98)*((1+Inputs!$D$7)^BN$2)),((INT(BN$2/$L98)-INT((BN$2-1)/$L98))*($T98*(1-$F98)+$S98*(1-$G98))*((1+Inputs!$D$7)^BN$2))),((_xlfn.WEIBULL.DIST(BN$2,$M98,$L98,FALSE)*($T98*(1-$F98)+$S98*(1-$G98))*((1+Inputs!$D$7)^BN$2))))))</f>
        <v>0</v>
      </c>
      <c r="BO98" s="64">
        <f>NPV(Inputs!$D$6,BQ98:DD98)</f>
        <v>4738.7914084593385</v>
      </c>
      <c r="BP98" s="67">
        <f t="shared" si="20"/>
        <v>2.2350453793806863E-3</v>
      </c>
      <c r="BQ98" s="88">
        <f>MAX(AA98,($E98*IF(BQ$2&gt;Inputs!$D$5,0,IF(BQ$2&gt;VLOOKUP($H98,Lists!$P$3:$Q$7,2),IF($N98=Lists!$K$3,IF($L98&lt;1,(($U98/$L98)*((1+Inputs!$D$7)^BQ$2)),((INT(BQ$2/$L98)-INT((BQ$2-1)/$L98))*$U98*((1+Inputs!$D$7)^BQ$2))),(Inputs!$D$8^((1-_xlfn.WEIBULL.DIST(BQ$2,$M98,$L98,FALSE))/_xlfn.WEIBULL.DIST(BQ$2,$M98,$L98,FALSE))*$U98*((1+Inputs!$D$7)^BQ$2))),IF($N98=Lists!$K$3,IF($L98&lt;1,((($T98*(1-$F98)+$S98*(1-$G98))/$L98)*((1+Inputs!$D$7)^BQ$2)),((INT(BQ$2/$L98)-INT((BQ$2-1)/$L98))*($T98*(1-$F98)+$S98*(1-$G98))*((1+Inputs!$D$7)^BQ$2))),((Inputs!$D$8^((1-_xlfn.WEIBULL.DIST(BQ$2,$M98,$L98,FALSE))/_xlfn.WEIBULL.DIST(BQ$2,$M98,$L98,FALSE))*($T98*(1-$F98)+$S98*(1-$G98))*((1+Inputs!$D$7)^BQ$2))))))))</f>
        <v>339.59134615384613</v>
      </c>
      <c r="BR98" s="88">
        <f>MAX(AB98,($E98*IF(BR$2&gt;Inputs!$D$5,0,IF(BR$2&gt;VLOOKUP($H98,Lists!$P$3:$Q$7,2),IF($N98=Lists!$K$3,IF($L98&lt;1,(($U98/$L98)*((1+Inputs!$D$7)^BR$2)),((INT(BR$2/$L98)-INT((BR$2-1)/$L98))*$U98*((1+Inputs!$D$7)^BR$2))),(Inputs!$D$8^((1-_xlfn.WEIBULL.DIST(BR$2,$M98,$L98,FALSE))/_xlfn.WEIBULL.DIST(BR$2,$M98,$L98,FALSE))*$U98*((1+Inputs!$D$7)^BR$2))),IF($N98=Lists!$K$3,IF($L98&lt;1,((($T98*(1-$F98)+$S98*(1-$G98))/$L98)*((1+Inputs!$D$7)^BR$2)),((INT(BR$2/$L98)-INT((BR$2-1)/$L98))*($T98*(1-$F98)+$S98*(1-$G98))*((1+Inputs!$D$7)^BR$2))),((Inputs!$D$8^((1-_xlfn.WEIBULL.DIST(BR$2,$M98,$L98,FALSE))/_xlfn.WEIBULL.DIST(BR$2,$M98,$L98,FALSE))*($T98*(1-$F98)+$S98*(1-$G98))*((1+Inputs!$D$7)^BR$2))))))))</f>
        <v>346.38317307692301</v>
      </c>
      <c r="BS98" s="88">
        <f>MAX(AC98,($E98*IF(BS$2&gt;Inputs!$D$5,0,IF(BS$2&gt;VLOOKUP($H98,Lists!$P$3:$Q$7,2),IF($N98=Lists!$K$3,IF($L98&lt;1,(($U98/$L98)*((1+Inputs!$D$7)^BS$2)),((INT(BS$2/$L98)-INT((BS$2-1)/$L98))*$U98*((1+Inputs!$D$7)^BS$2))),(Inputs!$D$8^((1-_xlfn.WEIBULL.DIST(BS$2,$M98,$L98,FALSE))/_xlfn.WEIBULL.DIST(BS$2,$M98,$L98,FALSE))*$U98*((1+Inputs!$D$7)^BS$2))),IF($N98=Lists!$K$3,IF($L98&lt;1,((($T98*(1-$F98)+$S98*(1-$G98))/$L98)*((1+Inputs!$D$7)^BS$2)),((INT(BS$2/$L98)-INT((BS$2-1)/$L98))*($T98*(1-$F98)+$S98*(1-$G98))*((1+Inputs!$D$7)^BS$2))),((Inputs!$D$8^((1-_xlfn.WEIBULL.DIST(BS$2,$M98,$L98,FALSE))/_xlfn.WEIBULL.DIST(BS$2,$M98,$L98,FALSE))*($T98*(1-$F98)+$S98*(1-$G98))*((1+Inputs!$D$7)^BS$2))))))))</f>
        <v>353.31083653846144</v>
      </c>
      <c r="BT98" s="88">
        <f>MAX(AD98,($E98*IF(BT$2&gt;Inputs!$D$5,0,IF(BT$2&gt;VLOOKUP($H98,Lists!$P$3:$Q$7,2),IF($N98=Lists!$K$3,IF($L98&lt;1,(($U98/$L98)*((1+Inputs!$D$7)^BT$2)),((INT(BT$2/$L98)-INT((BT$2-1)/$L98))*$U98*((1+Inputs!$D$7)^BT$2))),(Inputs!$D$8^((1-_xlfn.WEIBULL.DIST(BT$2,$M98,$L98,FALSE))/_xlfn.WEIBULL.DIST(BT$2,$M98,$L98,FALSE))*$U98*((1+Inputs!$D$7)^BT$2))),IF($N98=Lists!$K$3,IF($L98&lt;1,((($T98*(1-$F98)+$S98*(1-$G98))/$L98)*((1+Inputs!$D$7)^BT$2)),((INT(BT$2/$L98)-INT((BT$2-1)/$L98))*($T98*(1-$F98)+$S98*(1-$G98))*((1+Inputs!$D$7)^BT$2))),((Inputs!$D$8^((1-_xlfn.WEIBULL.DIST(BT$2,$M98,$L98,FALSE))/_xlfn.WEIBULL.DIST(BT$2,$M98,$L98,FALSE))*($T98*(1-$F98)+$S98*(1-$G98))*((1+Inputs!$D$7)^BT$2))))))))</f>
        <v>360.37705326923071</v>
      </c>
      <c r="BU98" s="88">
        <f>MAX(AE98,($E98*IF(BU$2&gt;Inputs!$D$5,0,IF(BU$2&gt;VLOOKUP($H98,Lists!$P$3:$Q$7,2),IF($N98=Lists!$K$3,IF($L98&lt;1,(($U98/$L98)*((1+Inputs!$D$7)^BU$2)),((INT(BU$2/$L98)-INT((BU$2-1)/$L98))*$U98*((1+Inputs!$D$7)^BU$2))),(Inputs!$D$8^((1-_xlfn.WEIBULL.DIST(BU$2,$M98,$L98,FALSE))/_xlfn.WEIBULL.DIST(BU$2,$M98,$L98,FALSE))*$U98*((1+Inputs!$D$7)^BU$2))),IF($N98=Lists!$K$3,IF($L98&lt;1,((($T98*(1-$F98)+$S98*(1-$G98))/$L98)*((1+Inputs!$D$7)^BU$2)),((INT(BU$2/$L98)-INT((BU$2-1)/$L98))*($T98*(1-$F98)+$S98*(1-$G98))*((1+Inputs!$D$7)^BU$2))),((Inputs!$D$8^((1-_xlfn.WEIBULL.DIST(BU$2,$M98,$L98,FALSE))/_xlfn.WEIBULL.DIST(BU$2,$M98,$L98,FALSE))*($T98*(1-$F98)+$S98*(1-$G98))*((1+Inputs!$D$7)^BU$2))))))))</f>
        <v>367.58459433461536</v>
      </c>
      <c r="BV98" s="88">
        <f>MAX(AF98,($E98*IF(BV$2&gt;Inputs!$D$5,0,IF(BV$2&gt;VLOOKUP($H98,Lists!$P$3:$Q$7,2),IF($N98=Lists!$K$3,IF($L98&lt;1,(($U98/$L98)*((1+Inputs!$D$7)^BV$2)),((INT(BV$2/$L98)-INT((BV$2-1)/$L98))*$U98*((1+Inputs!$D$7)^BV$2))),(Inputs!$D$8^((1-_xlfn.WEIBULL.DIST(BV$2,$M98,$L98,FALSE))/_xlfn.WEIBULL.DIST(BV$2,$M98,$L98,FALSE))*$U98*((1+Inputs!$D$7)^BV$2))),IF($N98=Lists!$K$3,IF($L98&lt;1,((($T98*(1-$F98)+$S98*(1-$G98))/$L98)*((1+Inputs!$D$7)^BV$2)),((INT(BV$2/$L98)-INT((BV$2-1)/$L98))*($T98*(1-$F98)+$S98*(1-$G98))*((1+Inputs!$D$7)^BV$2))),((Inputs!$D$8^((1-_xlfn.WEIBULL.DIST(BV$2,$M98,$L98,FALSE))/_xlfn.WEIBULL.DIST(BV$2,$M98,$L98,FALSE))*($T98*(1-$F98)+$S98*(1-$G98))*((1+Inputs!$D$7)^BV$2))))))))</f>
        <v>374.93628622130768</v>
      </c>
      <c r="BW98" s="88">
        <f>MAX(AG98,($E98*IF(BW$2&gt;Inputs!$D$5,0,IF(BW$2&gt;VLOOKUP($H98,Lists!$P$3:$Q$7,2),IF($N98=Lists!$K$3,IF($L98&lt;1,(($U98/$L98)*((1+Inputs!$D$7)^BW$2)),((INT(BW$2/$L98)-INT((BW$2-1)/$L98))*$U98*((1+Inputs!$D$7)^BW$2))),(Inputs!$D$8^((1-_xlfn.WEIBULL.DIST(BW$2,$M98,$L98,FALSE))/_xlfn.WEIBULL.DIST(BW$2,$M98,$L98,FALSE))*$U98*((1+Inputs!$D$7)^BW$2))),IF($N98=Lists!$K$3,IF($L98&lt;1,((($T98*(1-$F98)+$S98*(1-$G98))/$L98)*((1+Inputs!$D$7)^BW$2)),((INT(BW$2/$L98)-INT((BW$2-1)/$L98))*($T98*(1-$F98)+$S98*(1-$G98))*((1+Inputs!$D$7)^BW$2))),((Inputs!$D$8^((1-_xlfn.WEIBULL.DIST(BW$2,$M98,$L98,FALSE))/_xlfn.WEIBULL.DIST(BW$2,$M98,$L98,FALSE))*($T98*(1-$F98)+$S98*(1-$G98))*((1+Inputs!$D$7)^BW$2))))))))</f>
        <v>382.43501194573372</v>
      </c>
      <c r="BX98" s="88">
        <f>MAX(AH98,($E98*IF(BX$2&gt;Inputs!$D$5,0,IF(BX$2&gt;VLOOKUP($H98,Lists!$P$3:$Q$7,2),IF($N98=Lists!$K$3,IF($L98&lt;1,(($U98/$L98)*((1+Inputs!$D$7)^BX$2)),((INT(BX$2/$L98)-INT((BX$2-1)/$L98))*$U98*((1+Inputs!$D$7)^BX$2))),(Inputs!$D$8^((1-_xlfn.WEIBULL.DIST(BX$2,$M98,$L98,FALSE))/_xlfn.WEIBULL.DIST(BX$2,$M98,$L98,FALSE))*$U98*((1+Inputs!$D$7)^BX$2))),IF($N98=Lists!$K$3,IF($L98&lt;1,((($T98*(1-$F98)+$S98*(1-$G98))/$L98)*((1+Inputs!$D$7)^BX$2)),((INT(BX$2/$L98)-INT((BX$2-1)/$L98))*($T98*(1-$F98)+$S98*(1-$G98))*((1+Inputs!$D$7)^BX$2))),((Inputs!$D$8^((1-_xlfn.WEIBULL.DIST(BX$2,$M98,$L98,FALSE))/_xlfn.WEIBULL.DIST(BX$2,$M98,$L98,FALSE))*($T98*(1-$F98)+$S98*(1-$G98))*((1+Inputs!$D$7)^BX$2))))))))</f>
        <v>390.08371218464845</v>
      </c>
      <c r="BY98" s="88">
        <f>MAX(AI98,($E98*IF(BY$2&gt;Inputs!$D$5,0,IF(BY$2&gt;VLOOKUP($H98,Lists!$P$3:$Q$7,2),IF($N98=Lists!$K$3,IF($L98&lt;1,(($U98/$L98)*((1+Inputs!$D$7)^BY$2)),((INT(BY$2/$L98)-INT((BY$2-1)/$L98))*$U98*((1+Inputs!$D$7)^BY$2))),(Inputs!$D$8^((1-_xlfn.WEIBULL.DIST(BY$2,$M98,$L98,FALSE))/_xlfn.WEIBULL.DIST(BY$2,$M98,$L98,FALSE))*$U98*((1+Inputs!$D$7)^BY$2))),IF($N98=Lists!$K$3,IF($L98&lt;1,((($T98*(1-$F98)+$S98*(1-$G98))/$L98)*((1+Inputs!$D$7)^BY$2)),((INT(BY$2/$L98)-INT((BY$2-1)/$L98))*($T98*(1-$F98)+$S98*(1-$G98))*((1+Inputs!$D$7)^BY$2))),((Inputs!$D$8^((1-_xlfn.WEIBULL.DIST(BY$2,$M98,$L98,FALSE))/_xlfn.WEIBULL.DIST(BY$2,$M98,$L98,FALSE))*($T98*(1-$F98)+$S98*(1-$G98))*((1+Inputs!$D$7)^BY$2))))))))</f>
        <v>397.88538642834141</v>
      </c>
      <c r="BZ98" s="88">
        <f>MAX(AJ98,($E98*IF(BZ$2&gt;Inputs!$D$5,0,IF(BZ$2&gt;VLOOKUP($H98,Lists!$P$3:$Q$7,2),IF($N98=Lists!$K$3,IF($L98&lt;1,(($U98/$L98)*((1+Inputs!$D$7)^BZ$2)),((INT(BZ$2/$L98)-INT((BZ$2-1)/$L98))*$U98*((1+Inputs!$D$7)^BZ$2))),(Inputs!$D$8^((1-_xlfn.WEIBULL.DIST(BZ$2,$M98,$L98,FALSE))/_xlfn.WEIBULL.DIST(BZ$2,$M98,$L98,FALSE))*$U98*((1+Inputs!$D$7)^BZ$2))),IF($N98=Lists!$K$3,IF($L98&lt;1,((($T98*(1-$F98)+$S98*(1-$G98))/$L98)*((1+Inputs!$D$7)^BZ$2)),((INT(BZ$2/$L98)-INT((BZ$2-1)/$L98))*($T98*(1-$F98)+$S98*(1-$G98))*((1+Inputs!$D$7)^BZ$2))),((Inputs!$D$8^((1-_xlfn.WEIBULL.DIST(BZ$2,$M98,$L98,FALSE))/_xlfn.WEIBULL.DIST(BZ$2,$M98,$L98,FALSE))*($T98*(1-$F98)+$S98*(1-$G98))*((1+Inputs!$D$7)^BZ$2))))))))</f>
        <v>405.84309415690825</v>
      </c>
      <c r="CA98" s="88">
        <f>MAX(AK98,($E98*IF(CA$2&gt;Inputs!$D$5,0,IF(CA$2&gt;VLOOKUP($H98,Lists!$P$3:$Q$7,2),IF($N98=Lists!$K$3,IF($L98&lt;1,(($U98/$L98)*((1+Inputs!$D$7)^CA$2)),((INT(CA$2/$L98)-INT((CA$2-1)/$L98))*$U98*((1+Inputs!$D$7)^CA$2))),(Inputs!$D$8^((1-_xlfn.WEIBULL.DIST(CA$2,$M98,$L98,FALSE))/_xlfn.WEIBULL.DIST(CA$2,$M98,$L98,FALSE))*$U98*((1+Inputs!$D$7)^CA$2))),IF($N98=Lists!$K$3,IF($L98&lt;1,((($T98*(1-$F98)+$S98*(1-$G98))/$L98)*((1+Inputs!$D$7)^CA$2)),((INT(CA$2/$L98)-INT((CA$2-1)/$L98))*($T98*(1-$F98)+$S98*(1-$G98))*((1+Inputs!$D$7)^CA$2))),((Inputs!$D$8^((1-_xlfn.WEIBULL.DIST(CA$2,$M98,$L98,FALSE))/_xlfn.WEIBULL.DIST(CA$2,$M98,$L98,FALSE))*($T98*(1-$F98)+$S98*(1-$G98))*((1+Inputs!$D$7)^CA$2))))))))</f>
        <v>413.95995604004634</v>
      </c>
      <c r="CB98" s="88">
        <f>MAX(AL98,($E98*IF(CB$2&gt;Inputs!$D$5,0,IF(CB$2&gt;VLOOKUP($H98,Lists!$P$3:$Q$7,2),IF($N98=Lists!$K$3,IF($L98&lt;1,(($U98/$L98)*((1+Inputs!$D$7)^CB$2)),((INT(CB$2/$L98)-INT((CB$2-1)/$L98))*$U98*((1+Inputs!$D$7)^CB$2))),(Inputs!$D$8^((1-_xlfn.WEIBULL.DIST(CB$2,$M98,$L98,FALSE))/_xlfn.WEIBULL.DIST(CB$2,$M98,$L98,FALSE))*$U98*((1+Inputs!$D$7)^CB$2))),IF($N98=Lists!$K$3,IF($L98&lt;1,((($T98*(1-$F98)+$S98*(1-$G98))/$L98)*((1+Inputs!$D$7)^CB$2)),((INT(CB$2/$L98)-INT((CB$2-1)/$L98))*($T98*(1-$F98)+$S98*(1-$G98))*((1+Inputs!$D$7)^CB$2))),((Inputs!$D$8^((1-_xlfn.WEIBULL.DIST(CB$2,$M98,$L98,FALSE))/_xlfn.WEIBULL.DIST(CB$2,$M98,$L98,FALSE))*($T98*(1-$F98)+$S98*(1-$G98))*((1+Inputs!$D$7)^CB$2))))))))</f>
        <v>422.23915516084736</v>
      </c>
      <c r="CC98" s="88">
        <f>MAX(AM98,($E98*IF(CC$2&gt;Inputs!$D$5,0,IF(CC$2&gt;VLOOKUP($H98,Lists!$P$3:$Q$7,2),IF($N98=Lists!$K$3,IF($L98&lt;1,(($U98/$L98)*((1+Inputs!$D$7)^CC$2)),((INT(CC$2/$L98)-INT((CC$2-1)/$L98))*$U98*((1+Inputs!$D$7)^CC$2))),(Inputs!$D$8^((1-_xlfn.WEIBULL.DIST(CC$2,$M98,$L98,FALSE))/_xlfn.WEIBULL.DIST(CC$2,$M98,$L98,FALSE))*$U98*((1+Inputs!$D$7)^CC$2))),IF($N98=Lists!$K$3,IF($L98&lt;1,((($T98*(1-$F98)+$S98*(1-$G98))/$L98)*((1+Inputs!$D$7)^CC$2)),((INT(CC$2/$L98)-INT((CC$2-1)/$L98))*($T98*(1-$F98)+$S98*(1-$G98))*((1+Inputs!$D$7)^CC$2))),((Inputs!$D$8^((1-_xlfn.WEIBULL.DIST(CC$2,$M98,$L98,FALSE))/_xlfn.WEIBULL.DIST(CC$2,$M98,$L98,FALSE))*($T98*(1-$F98)+$S98*(1-$G98))*((1+Inputs!$D$7)^CC$2))))))))</f>
        <v>430.6839382640643</v>
      </c>
      <c r="CD98" s="88">
        <f>MAX(AN98,($E98*IF(CD$2&gt;Inputs!$D$5,0,IF(CD$2&gt;VLOOKUP($H98,Lists!$P$3:$Q$7,2),IF($N98=Lists!$K$3,IF($L98&lt;1,(($U98/$L98)*((1+Inputs!$D$7)^CD$2)),((INT(CD$2/$L98)-INT((CD$2-1)/$L98))*$U98*((1+Inputs!$D$7)^CD$2))),(Inputs!$D$8^((1-_xlfn.WEIBULL.DIST(CD$2,$M98,$L98,FALSE))/_xlfn.WEIBULL.DIST(CD$2,$M98,$L98,FALSE))*$U98*((1+Inputs!$D$7)^CD$2))),IF($N98=Lists!$K$3,IF($L98&lt;1,((($T98*(1-$F98)+$S98*(1-$G98))/$L98)*((1+Inputs!$D$7)^CD$2)),((INT(CD$2/$L98)-INT((CD$2-1)/$L98))*($T98*(1-$F98)+$S98*(1-$G98))*((1+Inputs!$D$7)^CD$2))),((Inputs!$D$8^((1-_xlfn.WEIBULL.DIST(CD$2,$M98,$L98,FALSE))/_xlfn.WEIBULL.DIST(CD$2,$M98,$L98,FALSE))*($T98*(1-$F98)+$S98*(1-$G98))*((1+Inputs!$D$7)^CD$2))))))))</f>
        <v>439.29761702934559</v>
      </c>
      <c r="CE98" s="88">
        <f>MAX(AO98,($E98*IF(CE$2&gt;Inputs!$D$5,0,IF(CE$2&gt;VLOOKUP($H98,Lists!$P$3:$Q$7,2),IF($N98=Lists!$K$3,IF($L98&lt;1,(($U98/$L98)*((1+Inputs!$D$7)^CE$2)),((INT(CE$2/$L98)-INT((CE$2-1)/$L98))*$U98*((1+Inputs!$D$7)^CE$2))),(Inputs!$D$8^((1-_xlfn.WEIBULL.DIST(CE$2,$M98,$L98,FALSE))/_xlfn.WEIBULL.DIST(CE$2,$M98,$L98,FALSE))*$U98*((1+Inputs!$D$7)^CE$2))),IF($N98=Lists!$K$3,IF($L98&lt;1,((($T98*(1-$F98)+$S98*(1-$G98))/$L98)*((1+Inputs!$D$7)^CE$2)),((INT(CE$2/$L98)-INT((CE$2-1)/$L98))*($T98*(1-$F98)+$S98*(1-$G98))*((1+Inputs!$D$7)^CE$2))),((Inputs!$D$8^((1-_xlfn.WEIBULL.DIST(CE$2,$M98,$L98,FALSE))/_xlfn.WEIBULL.DIST(CE$2,$M98,$L98,FALSE))*($T98*(1-$F98)+$S98*(1-$G98))*((1+Inputs!$D$7)^CE$2))))))))</f>
        <v>448.08356936993238</v>
      </c>
      <c r="CF98" s="88">
        <f>MAX(AP98,($E98*IF(CF$2&gt;Inputs!$D$5,0,IF(CF$2&gt;VLOOKUP($H98,Lists!$P$3:$Q$7,2),IF($N98=Lists!$K$3,IF($L98&lt;1,(($U98/$L98)*((1+Inputs!$D$7)^CF$2)),((INT(CF$2/$L98)-INT((CF$2-1)/$L98))*$U98*((1+Inputs!$D$7)^CF$2))),(Inputs!$D$8^((1-_xlfn.WEIBULL.DIST(CF$2,$M98,$L98,FALSE))/_xlfn.WEIBULL.DIST(CF$2,$M98,$L98,FALSE))*$U98*((1+Inputs!$D$7)^CF$2))),IF($N98=Lists!$K$3,IF($L98&lt;1,((($T98*(1-$F98)+$S98*(1-$G98))/$L98)*((1+Inputs!$D$7)^CF$2)),((INT(CF$2/$L98)-INT((CF$2-1)/$L98))*($T98*(1-$F98)+$S98*(1-$G98))*((1+Inputs!$D$7)^CF$2))),((Inputs!$D$8^((1-_xlfn.WEIBULL.DIST(CF$2,$M98,$L98,FALSE))/_xlfn.WEIBULL.DIST(CF$2,$M98,$L98,FALSE))*($T98*(1-$F98)+$S98*(1-$G98))*((1+Inputs!$D$7)^CF$2))))))))</f>
        <v>457.0452407573311</v>
      </c>
      <c r="CG98" s="88">
        <f>MAX(AQ98,($E98*IF(CG$2&gt;Inputs!$D$5,0,IF(CG$2&gt;VLOOKUP($H98,Lists!$P$3:$Q$7,2),IF($N98=Lists!$K$3,IF($L98&lt;1,(($U98/$L98)*((1+Inputs!$D$7)^CG$2)),((INT(CG$2/$L98)-INT((CG$2-1)/$L98))*$U98*((1+Inputs!$D$7)^CG$2))),(Inputs!$D$8^((1-_xlfn.WEIBULL.DIST(CG$2,$M98,$L98,FALSE))/_xlfn.WEIBULL.DIST(CG$2,$M98,$L98,FALSE))*$U98*((1+Inputs!$D$7)^CG$2))),IF($N98=Lists!$K$3,IF($L98&lt;1,((($T98*(1-$F98)+$S98*(1-$G98))/$L98)*((1+Inputs!$D$7)^CG$2)),((INT(CG$2/$L98)-INT((CG$2-1)/$L98))*($T98*(1-$F98)+$S98*(1-$G98))*((1+Inputs!$D$7)^CG$2))),((Inputs!$D$8^((1-_xlfn.WEIBULL.DIST(CG$2,$M98,$L98,FALSE))/_xlfn.WEIBULL.DIST(CG$2,$M98,$L98,FALSE))*($T98*(1-$F98)+$S98*(1-$G98))*((1+Inputs!$D$7)^CG$2))))))))</f>
        <v>466.18614557247776</v>
      </c>
      <c r="CH98" s="88">
        <f>MAX(AR98,($E98*IF(CH$2&gt;Inputs!$D$5,0,IF(CH$2&gt;VLOOKUP($H98,Lists!$P$3:$Q$7,2),IF($N98=Lists!$K$3,IF($L98&lt;1,(($U98/$L98)*((1+Inputs!$D$7)^CH$2)),((INT(CH$2/$L98)-INT((CH$2-1)/$L98))*$U98*((1+Inputs!$D$7)^CH$2))),(Inputs!$D$8^((1-_xlfn.WEIBULL.DIST(CH$2,$M98,$L98,FALSE))/_xlfn.WEIBULL.DIST(CH$2,$M98,$L98,FALSE))*$U98*((1+Inputs!$D$7)^CH$2))),IF($N98=Lists!$K$3,IF($L98&lt;1,((($T98*(1-$F98)+$S98*(1-$G98))/$L98)*((1+Inputs!$D$7)^CH$2)),((INT(CH$2/$L98)-INT((CH$2-1)/$L98))*($T98*(1-$F98)+$S98*(1-$G98))*((1+Inputs!$D$7)^CH$2))),((Inputs!$D$8^((1-_xlfn.WEIBULL.DIST(CH$2,$M98,$L98,FALSE))/_xlfn.WEIBULL.DIST(CH$2,$M98,$L98,FALSE))*($T98*(1-$F98)+$S98*(1-$G98))*((1+Inputs!$D$7)^CH$2))))))))</f>
        <v>475.50986848392728</v>
      </c>
      <c r="CI98" s="88">
        <f>MAX(AS98,($E98*IF(CI$2&gt;Inputs!$D$5,0,IF(CI$2&gt;VLOOKUP($H98,Lists!$P$3:$Q$7,2),IF($N98=Lists!$K$3,IF($L98&lt;1,(($U98/$L98)*((1+Inputs!$D$7)^CI$2)),((INT(CI$2/$L98)-INT((CI$2-1)/$L98))*$U98*((1+Inputs!$D$7)^CI$2))),(Inputs!$D$8^((1-_xlfn.WEIBULL.DIST(CI$2,$M98,$L98,FALSE))/_xlfn.WEIBULL.DIST(CI$2,$M98,$L98,FALSE))*$U98*((1+Inputs!$D$7)^CI$2))),IF($N98=Lists!$K$3,IF($L98&lt;1,((($T98*(1-$F98)+$S98*(1-$G98))/$L98)*((1+Inputs!$D$7)^CI$2)),((INT(CI$2/$L98)-INT((CI$2-1)/$L98))*($T98*(1-$F98)+$S98*(1-$G98))*((1+Inputs!$D$7)^CI$2))),((Inputs!$D$8^((1-_xlfn.WEIBULL.DIST(CI$2,$M98,$L98,FALSE))/_xlfn.WEIBULL.DIST(CI$2,$M98,$L98,FALSE))*($T98*(1-$F98)+$S98*(1-$G98))*((1+Inputs!$D$7)^CI$2))))))))</f>
        <v>485.02006585360579</v>
      </c>
      <c r="CJ98" s="88">
        <f>MAX(AT98,($E98*IF(CJ$2&gt;Inputs!$D$5,0,IF(CJ$2&gt;VLOOKUP($H98,Lists!$P$3:$Q$7,2),IF($N98=Lists!$K$3,IF($L98&lt;1,(($U98/$L98)*((1+Inputs!$D$7)^CJ$2)),((INT(CJ$2/$L98)-INT((CJ$2-1)/$L98))*$U98*((1+Inputs!$D$7)^CJ$2))),(Inputs!$D$8^((1-_xlfn.WEIBULL.DIST(CJ$2,$M98,$L98,FALSE))/_xlfn.WEIBULL.DIST(CJ$2,$M98,$L98,FALSE))*$U98*((1+Inputs!$D$7)^CJ$2))),IF($N98=Lists!$K$3,IF($L98&lt;1,((($T98*(1-$F98)+$S98*(1-$G98))/$L98)*((1+Inputs!$D$7)^CJ$2)),((INT(CJ$2/$L98)-INT((CJ$2-1)/$L98))*($T98*(1-$F98)+$S98*(1-$G98))*((1+Inputs!$D$7)^CJ$2))),((Inputs!$D$8^((1-_xlfn.WEIBULL.DIST(CJ$2,$M98,$L98,FALSE))/_xlfn.WEIBULL.DIST(CJ$2,$M98,$L98,FALSE))*($T98*(1-$F98)+$S98*(1-$G98))*((1+Inputs!$D$7)^CJ$2))))))))</f>
        <v>494.72046717067798</v>
      </c>
      <c r="CK98" s="88">
        <f>MAX(AU98,($E98*IF(CK$2&gt;Inputs!$D$5,0,IF(CK$2&gt;VLOOKUP($H98,Lists!$P$3:$Q$7,2),IF($N98=Lists!$K$3,IF($L98&lt;1,(($U98/$L98)*((1+Inputs!$D$7)^CK$2)),((INT(CK$2/$L98)-INT((CK$2-1)/$L98))*$U98*((1+Inputs!$D$7)^CK$2))),(Inputs!$D$8^((1-_xlfn.WEIBULL.DIST(CK$2,$M98,$L98,FALSE))/_xlfn.WEIBULL.DIST(CK$2,$M98,$L98,FALSE))*$U98*((1+Inputs!$D$7)^CK$2))),IF($N98=Lists!$K$3,IF($L98&lt;1,((($T98*(1-$F98)+$S98*(1-$G98))/$L98)*((1+Inputs!$D$7)^CK$2)),((INT(CK$2/$L98)-INT((CK$2-1)/$L98))*($T98*(1-$F98)+$S98*(1-$G98))*((1+Inputs!$D$7)^CK$2))),((Inputs!$D$8^((1-_xlfn.WEIBULL.DIST(CK$2,$M98,$L98,FALSE))/_xlfn.WEIBULL.DIST(CK$2,$M98,$L98,FALSE))*($T98*(1-$F98)+$S98*(1-$G98))*((1+Inputs!$D$7)^CK$2))))))))</f>
        <v>504.61487651409146</v>
      </c>
      <c r="CL98" s="88">
        <f>MAX(AV98,($E98*IF(CL$2&gt;Inputs!$D$5,0,IF(CL$2&gt;VLOOKUP($H98,Lists!$P$3:$Q$7,2),IF($N98=Lists!$K$3,IF($L98&lt;1,(($U98/$L98)*((1+Inputs!$D$7)^CL$2)),((INT(CL$2/$L98)-INT((CL$2-1)/$L98))*$U98*((1+Inputs!$D$7)^CL$2))),(Inputs!$D$8^((1-_xlfn.WEIBULL.DIST(CL$2,$M98,$L98,FALSE))/_xlfn.WEIBULL.DIST(CL$2,$M98,$L98,FALSE))*$U98*((1+Inputs!$D$7)^CL$2))),IF($N98=Lists!$K$3,IF($L98&lt;1,((($T98*(1-$F98)+$S98*(1-$G98))/$L98)*((1+Inputs!$D$7)^CL$2)),((INT(CL$2/$L98)-INT((CL$2-1)/$L98))*($T98*(1-$F98)+$S98*(1-$G98))*((1+Inputs!$D$7)^CL$2))),((Inputs!$D$8^((1-_xlfn.WEIBULL.DIST(CL$2,$M98,$L98,FALSE))/_xlfn.WEIBULL.DIST(CL$2,$M98,$L98,FALSE))*($T98*(1-$F98)+$S98*(1-$G98))*((1+Inputs!$D$7)^CL$2))))))))</f>
        <v>514.70717404437335</v>
      </c>
      <c r="CM98" s="88">
        <f>MAX(AW98,($E98*IF(CM$2&gt;Inputs!$D$5,0,IF(CM$2&gt;VLOOKUP($H98,Lists!$P$3:$Q$7,2),IF($N98=Lists!$K$3,IF($L98&lt;1,(($U98/$L98)*((1+Inputs!$D$7)^CM$2)),((INT(CM$2/$L98)-INT((CM$2-1)/$L98))*$U98*((1+Inputs!$D$7)^CM$2))),(Inputs!$D$8^((1-_xlfn.WEIBULL.DIST(CM$2,$M98,$L98,FALSE))/_xlfn.WEIBULL.DIST(CM$2,$M98,$L98,FALSE))*$U98*((1+Inputs!$D$7)^CM$2))),IF($N98=Lists!$K$3,IF($L98&lt;1,((($T98*(1-$F98)+$S98*(1-$G98))/$L98)*((1+Inputs!$D$7)^CM$2)),((INT(CM$2/$L98)-INT((CM$2-1)/$L98))*($T98*(1-$F98)+$S98*(1-$G98))*((1+Inputs!$D$7)^CM$2))),((Inputs!$D$8^((1-_xlfn.WEIBULL.DIST(CM$2,$M98,$L98,FALSE))/_xlfn.WEIBULL.DIST(CM$2,$M98,$L98,FALSE))*($T98*(1-$F98)+$S98*(1-$G98))*((1+Inputs!$D$7)^CM$2))))))))</f>
        <v>525.00131752526067</v>
      </c>
      <c r="CN98" s="88">
        <f>MAX(AX98,($E98*IF(CN$2&gt;Inputs!$D$5,0,IF(CN$2&gt;VLOOKUP($H98,Lists!$P$3:$Q$7,2),IF($N98=Lists!$K$3,IF($L98&lt;1,(($U98/$L98)*((1+Inputs!$D$7)^CN$2)),((INT(CN$2/$L98)-INT((CN$2-1)/$L98))*$U98*((1+Inputs!$D$7)^CN$2))),(Inputs!$D$8^((1-_xlfn.WEIBULL.DIST(CN$2,$M98,$L98,FALSE))/_xlfn.WEIBULL.DIST(CN$2,$M98,$L98,FALSE))*$U98*((1+Inputs!$D$7)^CN$2))),IF($N98=Lists!$K$3,IF($L98&lt;1,((($T98*(1-$F98)+$S98*(1-$G98))/$L98)*((1+Inputs!$D$7)^CN$2)),((INT(CN$2/$L98)-INT((CN$2-1)/$L98))*($T98*(1-$F98)+$S98*(1-$G98))*((1+Inputs!$D$7)^CN$2))),((Inputs!$D$8^((1-_xlfn.WEIBULL.DIST(CN$2,$M98,$L98,FALSE))/_xlfn.WEIBULL.DIST(CN$2,$M98,$L98,FALSE))*($T98*(1-$F98)+$S98*(1-$G98))*((1+Inputs!$D$7)^CN$2))))))))</f>
        <v>535.501343875766</v>
      </c>
      <c r="CO98" s="88">
        <f>MAX(AY98,($E98*IF(CO$2&gt;Inputs!$D$5,0,IF(CO$2&gt;VLOOKUP($H98,Lists!$P$3:$Q$7,2),IF($N98=Lists!$K$3,IF($L98&lt;1,(($U98/$L98)*((1+Inputs!$D$7)^CO$2)),((INT(CO$2/$L98)-INT((CO$2-1)/$L98))*$U98*((1+Inputs!$D$7)^CO$2))),(Inputs!$D$8^((1-_xlfn.WEIBULL.DIST(CO$2,$M98,$L98,FALSE))/_xlfn.WEIBULL.DIST(CO$2,$M98,$L98,FALSE))*$U98*((1+Inputs!$D$7)^CO$2))),IF($N98=Lists!$K$3,IF($L98&lt;1,((($T98*(1-$F98)+$S98*(1-$G98))/$L98)*((1+Inputs!$D$7)^CO$2)),((INT(CO$2/$L98)-INT((CO$2-1)/$L98))*($T98*(1-$F98)+$S98*(1-$G98))*((1+Inputs!$D$7)^CO$2))),((Inputs!$D$8^((1-_xlfn.WEIBULL.DIST(CO$2,$M98,$L98,FALSE))/_xlfn.WEIBULL.DIST(CO$2,$M98,$L98,FALSE))*($T98*(1-$F98)+$S98*(1-$G98))*((1+Inputs!$D$7)^CO$2))))))))</f>
        <v>546.21137075328124</v>
      </c>
      <c r="CP98" s="88">
        <f>MAX(AZ98,($E98*IF(CP$2&gt;Inputs!$D$5,0,IF(CP$2&gt;VLOOKUP($H98,Lists!$P$3:$Q$7,2),IF($N98=Lists!$K$3,IF($L98&lt;1,(($U98/$L98)*((1+Inputs!$D$7)^CP$2)),((INT(CP$2/$L98)-INT((CP$2-1)/$L98))*$U98*((1+Inputs!$D$7)^CP$2))),(Inputs!$D$8^((1-_xlfn.WEIBULL.DIST(CP$2,$M98,$L98,FALSE))/_xlfn.WEIBULL.DIST(CP$2,$M98,$L98,FALSE))*$U98*((1+Inputs!$D$7)^CP$2))),IF($N98=Lists!$K$3,IF($L98&lt;1,((($T98*(1-$F98)+$S98*(1-$G98))/$L98)*((1+Inputs!$D$7)^CP$2)),((INT(CP$2/$L98)-INT((CP$2-1)/$L98))*($T98*(1-$F98)+$S98*(1-$G98))*((1+Inputs!$D$7)^CP$2))),((Inputs!$D$8^((1-_xlfn.WEIBULL.DIST(CP$2,$M98,$L98,FALSE))/_xlfn.WEIBULL.DIST(CP$2,$M98,$L98,FALSE))*($T98*(1-$F98)+$S98*(1-$G98))*((1+Inputs!$D$7)^CP$2))))))))</f>
        <v>0</v>
      </c>
      <c r="CQ98" s="88">
        <f>MAX(BA98,($E98*IF(CQ$2&gt;Inputs!$D$5,0,IF(CQ$2&gt;VLOOKUP($H98,Lists!$P$3:$Q$7,2),IF($N98=Lists!$K$3,IF($L98&lt;1,(($U98/$L98)*((1+Inputs!$D$7)^CQ$2)),((INT(CQ$2/$L98)-INT((CQ$2-1)/$L98))*$U98*((1+Inputs!$D$7)^CQ$2))),(Inputs!$D$8^((1-_xlfn.WEIBULL.DIST(CQ$2,$M98,$L98,FALSE))/_xlfn.WEIBULL.DIST(CQ$2,$M98,$L98,FALSE))*$U98*((1+Inputs!$D$7)^CQ$2))),IF($N98=Lists!$K$3,IF($L98&lt;1,((($T98*(1-$F98)+$S98*(1-$G98))/$L98)*((1+Inputs!$D$7)^CQ$2)),((INT(CQ$2/$L98)-INT((CQ$2-1)/$L98))*($T98*(1-$F98)+$S98*(1-$G98))*((1+Inputs!$D$7)^CQ$2))),((Inputs!$D$8^((1-_xlfn.WEIBULL.DIST(CQ$2,$M98,$L98,FALSE))/_xlfn.WEIBULL.DIST(CQ$2,$M98,$L98,FALSE))*($T98*(1-$F98)+$S98*(1-$G98))*((1+Inputs!$D$7)^CQ$2))))))))</f>
        <v>0</v>
      </c>
      <c r="CR98" s="88">
        <f>MAX(BB98,($E98*IF(CR$2&gt;Inputs!$D$5,0,IF(CR$2&gt;VLOOKUP($H98,Lists!$P$3:$Q$7,2),IF($N98=Lists!$K$3,IF($L98&lt;1,(($U98/$L98)*((1+Inputs!$D$7)^CR$2)),((INT(CR$2/$L98)-INT((CR$2-1)/$L98))*$U98*((1+Inputs!$D$7)^CR$2))),(Inputs!$D$8^((1-_xlfn.WEIBULL.DIST(CR$2,$M98,$L98,FALSE))/_xlfn.WEIBULL.DIST(CR$2,$M98,$L98,FALSE))*$U98*((1+Inputs!$D$7)^CR$2))),IF($N98=Lists!$K$3,IF($L98&lt;1,((($T98*(1-$F98)+$S98*(1-$G98))/$L98)*((1+Inputs!$D$7)^CR$2)),((INT(CR$2/$L98)-INT((CR$2-1)/$L98))*($T98*(1-$F98)+$S98*(1-$G98))*((1+Inputs!$D$7)^CR$2))),((Inputs!$D$8^((1-_xlfn.WEIBULL.DIST(CR$2,$M98,$L98,FALSE))/_xlfn.WEIBULL.DIST(CR$2,$M98,$L98,FALSE))*($T98*(1-$F98)+$S98*(1-$G98))*((1+Inputs!$D$7)^CR$2))))))))</f>
        <v>0</v>
      </c>
      <c r="CS98" s="88">
        <f>MAX(BC98,($E98*IF(CS$2&gt;Inputs!$D$5,0,IF(CS$2&gt;VLOOKUP($H98,Lists!$P$3:$Q$7,2),IF($N98=Lists!$K$3,IF($L98&lt;1,(($U98/$L98)*((1+Inputs!$D$7)^CS$2)),((INT(CS$2/$L98)-INT((CS$2-1)/$L98))*$U98*((1+Inputs!$D$7)^CS$2))),(Inputs!$D$8^((1-_xlfn.WEIBULL.DIST(CS$2,$M98,$L98,FALSE))/_xlfn.WEIBULL.DIST(CS$2,$M98,$L98,FALSE))*$U98*((1+Inputs!$D$7)^CS$2))),IF($N98=Lists!$K$3,IF($L98&lt;1,((($T98*(1-$F98)+$S98*(1-$G98))/$L98)*((1+Inputs!$D$7)^CS$2)),((INT(CS$2/$L98)-INT((CS$2-1)/$L98))*($T98*(1-$F98)+$S98*(1-$G98))*((1+Inputs!$D$7)^CS$2))),((Inputs!$D$8^((1-_xlfn.WEIBULL.DIST(CS$2,$M98,$L98,FALSE))/_xlfn.WEIBULL.DIST(CS$2,$M98,$L98,FALSE))*($T98*(1-$F98)+$S98*(1-$G98))*((1+Inputs!$D$7)^CS$2))))))))</f>
        <v>0</v>
      </c>
      <c r="CT98" s="88">
        <f>MAX(BD98,($E98*IF(CT$2&gt;Inputs!$D$5,0,IF(CT$2&gt;VLOOKUP($H98,Lists!$P$3:$Q$7,2),IF($N98=Lists!$K$3,IF($L98&lt;1,(($U98/$L98)*((1+Inputs!$D$7)^CT$2)),((INT(CT$2/$L98)-INT((CT$2-1)/$L98))*$U98*((1+Inputs!$D$7)^CT$2))),(Inputs!$D$8^((1-_xlfn.WEIBULL.DIST(CT$2,$M98,$L98,FALSE))/_xlfn.WEIBULL.DIST(CT$2,$M98,$L98,FALSE))*$U98*((1+Inputs!$D$7)^CT$2))),IF($N98=Lists!$K$3,IF($L98&lt;1,((($T98*(1-$F98)+$S98*(1-$G98))/$L98)*((1+Inputs!$D$7)^CT$2)),((INT(CT$2/$L98)-INT((CT$2-1)/$L98))*($T98*(1-$F98)+$S98*(1-$G98))*((1+Inputs!$D$7)^CT$2))),((Inputs!$D$8^((1-_xlfn.WEIBULL.DIST(CT$2,$M98,$L98,FALSE))/_xlfn.WEIBULL.DIST(CT$2,$M98,$L98,FALSE))*($T98*(1-$F98)+$S98*(1-$G98))*((1+Inputs!$D$7)^CT$2))))))))</f>
        <v>0</v>
      </c>
      <c r="CU98" s="88">
        <f>MAX(BE98,($E98*IF(CU$2&gt;Inputs!$D$5,0,IF(CU$2&gt;VLOOKUP($H98,Lists!$P$3:$Q$7,2),IF($N98=Lists!$K$3,IF($L98&lt;1,(($U98/$L98)*((1+Inputs!$D$7)^CU$2)),((INT(CU$2/$L98)-INT((CU$2-1)/$L98))*$U98*((1+Inputs!$D$7)^CU$2))),(Inputs!$D$8^((1-_xlfn.WEIBULL.DIST(CU$2,$M98,$L98,FALSE))/_xlfn.WEIBULL.DIST(CU$2,$M98,$L98,FALSE))*$U98*((1+Inputs!$D$7)^CU$2))),IF($N98=Lists!$K$3,IF($L98&lt;1,((($T98*(1-$F98)+$S98*(1-$G98))/$L98)*((1+Inputs!$D$7)^CU$2)),((INT(CU$2/$L98)-INT((CU$2-1)/$L98))*($T98*(1-$F98)+$S98*(1-$G98))*((1+Inputs!$D$7)^CU$2))),((Inputs!$D$8^((1-_xlfn.WEIBULL.DIST(CU$2,$M98,$L98,FALSE))/_xlfn.WEIBULL.DIST(CU$2,$M98,$L98,FALSE))*($T98*(1-$F98)+$S98*(1-$G98))*((1+Inputs!$D$7)^CU$2))))))))</f>
        <v>0</v>
      </c>
      <c r="CV98" s="88">
        <f>MAX(BF98,($E98*IF(CV$2&gt;Inputs!$D$5,0,IF(CV$2&gt;VLOOKUP($H98,Lists!$P$3:$Q$7,2),IF($N98=Lists!$K$3,IF($L98&lt;1,(($U98/$L98)*((1+Inputs!$D$7)^CV$2)),((INT(CV$2/$L98)-INT((CV$2-1)/$L98))*$U98*((1+Inputs!$D$7)^CV$2))),(Inputs!$D$8^((1-_xlfn.WEIBULL.DIST(CV$2,$M98,$L98,FALSE))/_xlfn.WEIBULL.DIST(CV$2,$M98,$L98,FALSE))*$U98*((1+Inputs!$D$7)^CV$2))),IF($N98=Lists!$K$3,IF($L98&lt;1,((($T98*(1-$F98)+$S98*(1-$G98))/$L98)*((1+Inputs!$D$7)^CV$2)),((INT(CV$2/$L98)-INT((CV$2-1)/$L98))*($T98*(1-$F98)+$S98*(1-$G98))*((1+Inputs!$D$7)^CV$2))),((Inputs!$D$8^((1-_xlfn.WEIBULL.DIST(CV$2,$M98,$L98,FALSE))/_xlfn.WEIBULL.DIST(CV$2,$M98,$L98,FALSE))*($T98*(1-$F98)+$S98*(1-$G98))*((1+Inputs!$D$7)^CV$2))))))))</f>
        <v>0</v>
      </c>
      <c r="CW98" s="88">
        <f>MAX(BG98,($E98*IF(CW$2&gt;Inputs!$D$5,0,IF(CW$2&gt;VLOOKUP($H98,Lists!$P$3:$Q$7,2),IF($N98=Lists!$K$3,IF($L98&lt;1,(($U98/$L98)*((1+Inputs!$D$7)^CW$2)),((INT(CW$2/$L98)-INT((CW$2-1)/$L98))*$U98*((1+Inputs!$D$7)^CW$2))),(Inputs!$D$8^((1-_xlfn.WEIBULL.DIST(CW$2,$M98,$L98,FALSE))/_xlfn.WEIBULL.DIST(CW$2,$M98,$L98,FALSE))*$U98*((1+Inputs!$D$7)^CW$2))),IF($N98=Lists!$K$3,IF($L98&lt;1,((($T98*(1-$F98)+$S98*(1-$G98))/$L98)*((1+Inputs!$D$7)^CW$2)),((INT(CW$2/$L98)-INT((CW$2-1)/$L98))*($T98*(1-$F98)+$S98*(1-$G98))*((1+Inputs!$D$7)^CW$2))),((Inputs!$D$8^((1-_xlfn.WEIBULL.DIST(CW$2,$M98,$L98,FALSE))/_xlfn.WEIBULL.DIST(CW$2,$M98,$L98,FALSE))*($T98*(1-$F98)+$S98*(1-$G98))*((1+Inputs!$D$7)^CW$2))))))))</f>
        <v>0</v>
      </c>
      <c r="CX98" s="88">
        <f>MAX(BH98,($E98*IF(CX$2&gt;Inputs!$D$5,0,IF(CX$2&gt;VLOOKUP($H98,Lists!$P$3:$Q$7,2),IF($N98=Lists!$K$3,IF($L98&lt;1,(($U98/$L98)*((1+Inputs!$D$7)^CX$2)),((INT(CX$2/$L98)-INT((CX$2-1)/$L98))*$U98*((1+Inputs!$D$7)^CX$2))),(Inputs!$D$8^((1-_xlfn.WEIBULL.DIST(CX$2,$M98,$L98,FALSE))/_xlfn.WEIBULL.DIST(CX$2,$M98,$L98,FALSE))*$U98*((1+Inputs!$D$7)^CX$2))),IF($N98=Lists!$K$3,IF($L98&lt;1,((($T98*(1-$F98)+$S98*(1-$G98))/$L98)*((1+Inputs!$D$7)^CX$2)),((INT(CX$2/$L98)-INT((CX$2-1)/$L98))*($T98*(1-$F98)+$S98*(1-$G98))*((1+Inputs!$D$7)^CX$2))),((Inputs!$D$8^((1-_xlfn.WEIBULL.DIST(CX$2,$M98,$L98,FALSE))/_xlfn.WEIBULL.DIST(CX$2,$M98,$L98,FALSE))*($T98*(1-$F98)+$S98*(1-$G98))*((1+Inputs!$D$7)^CX$2))))))))</f>
        <v>0</v>
      </c>
      <c r="CY98" s="88">
        <f>MAX(BI98,($E98*IF(CY$2&gt;Inputs!$D$5,0,IF(CY$2&gt;VLOOKUP($H98,Lists!$P$3:$Q$7,2),IF($N98=Lists!$K$3,IF($L98&lt;1,(($U98/$L98)*((1+Inputs!$D$7)^CY$2)),((INT(CY$2/$L98)-INT((CY$2-1)/$L98))*$U98*((1+Inputs!$D$7)^CY$2))),(Inputs!$D$8^((1-_xlfn.WEIBULL.DIST(CY$2,$M98,$L98,FALSE))/_xlfn.WEIBULL.DIST(CY$2,$M98,$L98,FALSE))*$U98*((1+Inputs!$D$7)^CY$2))),IF($N98=Lists!$K$3,IF($L98&lt;1,((($T98*(1-$F98)+$S98*(1-$G98))/$L98)*((1+Inputs!$D$7)^CY$2)),((INT(CY$2/$L98)-INT((CY$2-1)/$L98))*($T98*(1-$F98)+$S98*(1-$G98))*((1+Inputs!$D$7)^CY$2))),((Inputs!$D$8^((1-_xlfn.WEIBULL.DIST(CY$2,$M98,$L98,FALSE))/_xlfn.WEIBULL.DIST(CY$2,$M98,$L98,FALSE))*($T98*(1-$F98)+$S98*(1-$G98))*((1+Inputs!$D$7)^CY$2))))))))</f>
        <v>0</v>
      </c>
      <c r="CZ98" s="88">
        <f>MAX(BJ98,($E98*IF(CZ$2&gt;Inputs!$D$5,0,IF(CZ$2&gt;VLOOKUP($H98,Lists!$P$3:$Q$7,2),IF($N98=Lists!$K$3,IF($L98&lt;1,(($U98/$L98)*((1+Inputs!$D$7)^CZ$2)),((INT(CZ$2/$L98)-INT((CZ$2-1)/$L98))*$U98*((1+Inputs!$D$7)^CZ$2))),(Inputs!$D$8^((1-_xlfn.WEIBULL.DIST(CZ$2,$M98,$L98,FALSE))/_xlfn.WEIBULL.DIST(CZ$2,$M98,$L98,FALSE))*$U98*((1+Inputs!$D$7)^CZ$2))),IF($N98=Lists!$K$3,IF($L98&lt;1,((($T98*(1-$F98)+$S98*(1-$G98))/$L98)*((1+Inputs!$D$7)^CZ$2)),((INT(CZ$2/$L98)-INT((CZ$2-1)/$L98))*($T98*(1-$F98)+$S98*(1-$G98))*((1+Inputs!$D$7)^CZ$2))),((Inputs!$D$8^((1-_xlfn.WEIBULL.DIST(CZ$2,$M98,$L98,FALSE))/_xlfn.WEIBULL.DIST(CZ$2,$M98,$L98,FALSE))*($T98*(1-$F98)+$S98*(1-$G98))*((1+Inputs!$D$7)^CZ$2))))))))</f>
        <v>0</v>
      </c>
      <c r="DA98" s="88">
        <f>MAX(BK98,($E98*IF(DA$2&gt;Inputs!$D$5,0,IF(DA$2&gt;VLOOKUP($H98,Lists!$P$3:$Q$7,2),IF($N98=Lists!$K$3,IF($L98&lt;1,(($U98/$L98)*((1+Inputs!$D$7)^DA$2)),((INT(DA$2/$L98)-INT((DA$2-1)/$L98))*$U98*((1+Inputs!$D$7)^DA$2))),(Inputs!$D$8^((1-_xlfn.WEIBULL.DIST(DA$2,$M98,$L98,FALSE))/_xlfn.WEIBULL.DIST(DA$2,$M98,$L98,FALSE))*$U98*((1+Inputs!$D$7)^DA$2))),IF($N98=Lists!$K$3,IF($L98&lt;1,((($T98*(1-$F98)+$S98*(1-$G98))/$L98)*((1+Inputs!$D$7)^DA$2)),((INT(DA$2/$L98)-INT((DA$2-1)/$L98))*($T98*(1-$F98)+$S98*(1-$G98))*((1+Inputs!$D$7)^DA$2))),((Inputs!$D$8^((1-_xlfn.WEIBULL.DIST(DA$2,$M98,$L98,FALSE))/_xlfn.WEIBULL.DIST(DA$2,$M98,$L98,FALSE))*($T98*(1-$F98)+$S98*(1-$G98))*((1+Inputs!$D$7)^DA$2))))))))</f>
        <v>0</v>
      </c>
      <c r="DB98" s="88">
        <f>MAX(BL98,($E98*IF(DB$2&gt;Inputs!$D$5,0,IF(DB$2&gt;VLOOKUP($H98,Lists!$P$3:$Q$7,2),IF($N98=Lists!$K$3,IF($L98&lt;1,(($U98/$L98)*((1+Inputs!$D$7)^DB$2)),((INT(DB$2/$L98)-INT((DB$2-1)/$L98))*$U98*((1+Inputs!$D$7)^DB$2))),(Inputs!$D$8^((1-_xlfn.WEIBULL.DIST(DB$2,$M98,$L98,FALSE))/_xlfn.WEIBULL.DIST(DB$2,$M98,$L98,FALSE))*$U98*((1+Inputs!$D$7)^DB$2))),IF($N98=Lists!$K$3,IF($L98&lt;1,((($T98*(1-$F98)+$S98*(1-$G98))/$L98)*((1+Inputs!$D$7)^DB$2)),((INT(DB$2/$L98)-INT((DB$2-1)/$L98))*($T98*(1-$F98)+$S98*(1-$G98))*((1+Inputs!$D$7)^DB$2))),((Inputs!$D$8^((1-_xlfn.WEIBULL.DIST(DB$2,$M98,$L98,FALSE))/_xlfn.WEIBULL.DIST(DB$2,$M98,$L98,FALSE))*($T98*(1-$F98)+$S98*(1-$G98))*((1+Inputs!$D$7)^DB$2))))))))</f>
        <v>0</v>
      </c>
      <c r="DC98" s="88">
        <f>MAX(BM98,($E98*IF(DC$2&gt;Inputs!$D$5,0,IF(DC$2&gt;VLOOKUP($H98,Lists!$P$3:$Q$7,2),IF($N98=Lists!$K$3,IF($L98&lt;1,(($U98/$L98)*((1+Inputs!$D$7)^DC$2)),((INT(DC$2/$L98)-INT((DC$2-1)/$L98))*$U98*((1+Inputs!$D$7)^DC$2))),(Inputs!$D$8^((1-_xlfn.WEIBULL.DIST(DC$2,$M98,$L98,FALSE))/_xlfn.WEIBULL.DIST(DC$2,$M98,$L98,FALSE))*$U98*((1+Inputs!$D$7)^DC$2))),IF($N98=Lists!$K$3,IF($L98&lt;1,((($T98*(1-$F98)+$S98*(1-$G98))/$L98)*((1+Inputs!$D$7)^DC$2)),((INT(DC$2/$L98)-INT((DC$2-1)/$L98))*($T98*(1-$F98)+$S98*(1-$G98))*((1+Inputs!$D$7)^DC$2))),((Inputs!$D$8^((1-_xlfn.WEIBULL.DIST(DC$2,$M98,$L98,FALSE))/_xlfn.WEIBULL.DIST(DC$2,$M98,$L98,FALSE))*($T98*(1-$F98)+$S98*(1-$G98))*((1+Inputs!$D$7)^DC$2))))))))</f>
        <v>0</v>
      </c>
      <c r="DD98" s="88">
        <f>MAX(BN98,($E98*IF(DD$2&gt;Inputs!$D$5,0,IF(DD$2&gt;VLOOKUP($H98,Lists!$P$3:$Q$7,2),IF($N98=Lists!$K$3,IF($L98&lt;1,(($U98/$L98)*((1+Inputs!$D$7)^DD$2)),((INT(DD$2/$L98)-INT((DD$2-1)/$L98))*$U98*((1+Inputs!$D$7)^DD$2))),(Inputs!$D$8^((1-_xlfn.WEIBULL.DIST(DD$2,$M98,$L98,FALSE))/_xlfn.WEIBULL.DIST(DD$2,$M98,$L98,FALSE))*$U98*((1+Inputs!$D$7)^DD$2))),IF($N98=Lists!$K$3,IF($L98&lt;1,((($T98*(1-$F98)+$S98*(1-$G98))/$L98)*((1+Inputs!$D$7)^DD$2)),((INT(DD$2/$L98)-INT((DD$2-1)/$L98))*($T98*(1-$F98)+$S98*(1-$G98))*((1+Inputs!$D$7)^DD$2))),((Inputs!$D$8^((1-_xlfn.WEIBULL.DIST(DD$2,$M98,$L98,FALSE))/_xlfn.WEIBULL.DIST(DD$2,$M98,$L98,FALSE))*($T98*(1-$F98)+$S98*(1-$G98))*((1+Inputs!$D$7)^DD$2))))))))</f>
        <v>0</v>
      </c>
    </row>
    <row r="99" spans="1:108" ht="16">
      <c r="A99" s="57" t="s">
        <v>156</v>
      </c>
      <c r="B99" s="13" t="s">
        <v>279</v>
      </c>
      <c r="C99" s="13" t="s">
        <v>472</v>
      </c>
      <c r="D99" s="13" t="s">
        <v>16</v>
      </c>
      <c r="E99" s="48">
        <f>IF(Inputs!D30=Lists!M4,1,0)</f>
        <v>1</v>
      </c>
      <c r="F99" s="48">
        <v>0</v>
      </c>
      <c r="G99" s="48">
        <v>0</v>
      </c>
      <c r="H99" s="105" t="s">
        <v>16</v>
      </c>
      <c r="I99" s="14"/>
      <c r="J99" s="14" t="s">
        <v>87</v>
      </c>
      <c r="K99" s="13">
        <f>VLOOKUP(J99,'Labor Rates'!$A$1:$F$16,2)</f>
        <v>32.012019230769226</v>
      </c>
      <c r="L99" s="15">
        <v>5</v>
      </c>
      <c r="M99" s="15">
        <v>1</v>
      </c>
      <c r="N99" s="13" t="s">
        <v>236</v>
      </c>
      <c r="O99" s="61">
        <f>Inputs!$D$32</f>
        <v>10</v>
      </c>
      <c r="P99" s="15">
        <v>0.5</v>
      </c>
      <c r="Q99" s="15">
        <f t="shared" ref="Q99:Q130" si="21">O99*P99/L99</f>
        <v>1</v>
      </c>
      <c r="R99" s="4">
        <v>105</v>
      </c>
      <c r="S99" s="53">
        <f t="shared" ref="S99:S130" si="22">P99*O99*K99</f>
        <v>160.06009615384613</v>
      </c>
      <c r="T99" s="53">
        <f t="shared" ref="T99:T130" si="23">R99*O99</f>
        <v>1050</v>
      </c>
      <c r="U99" s="54">
        <f t="shared" ref="U99:U130" si="24">E99*(T99+S99)</f>
        <v>1210.0600961538462</v>
      </c>
      <c r="V99" s="65"/>
      <c r="W99" s="58"/>
      <c r="X99" s="64">
        <f t="shared" ref="X99:X130" si="25">AVERAGE(AA99:AT99)</f>
        <v>311.88639238458512</v>
      </c>
      <c r="Y99" s="64">
        <f>NPV(Inputs!$D$6,AA99:BN99)</f>
        <v>3123.1061490166217</v>
      </c>
      <c r="Z99" s="67">
        <f t="shared" ref="Z99:Z130" si="26">Y99/SUM($Y$3:$Y$136)</f>
        <v>1.4730093321293537E-3</v>
      </c>
      <c r="AA99" s="88">
        <f>$E99*IF(AA$2&gt;Inputs!$D$5,0,IF(AA$2&gt;VLOOKUP($H99,Lists!$P$3:$Q$7,2),IF($N99=Lists!$K$3,IF($L99&lt;1,(($U99/$L99)*((1+Inputs!$D$7)^AA$2)),((INT(AA$2/$L99)-INT((AA$2-1)/$L99))*$U99*((1+Inputs!$D$7)^AA$2))),(_xlfn.WEIBULL.DIST(AA$2,$M99,$L99,FALSE)*$U99*((1+Inputs!$D$7)^AA$2))),IF($N99=Lists!$K$3,IF($L99&lt;1,((($T99*(1-$F99)+$S99*(1-$G99))/$L99)*((1+Inputs!$D$7)^AA$2)),((INT(AA$2/$L99)-INT((AA$2-1)/$L99))*($T99*(1-$F99)+$S99*(1-$G99))*((1+Inputs!$D$7)^AA$2))),((_xlfn.WEIBULL.DIST(AA$2,$M99,$L99,FALSE)*($T99*(1-$F99)+$S99*(1-$G99))*((1+Inputs!$D$7)^AA$2))))))</f>
        <v>0</v>
      </c>
      <c r="AB99" s="88">
        <f>$E99*IF(AB$2&gt;Inputs!$D$5,0,IF(AB$2&gt;VLOOKUP($H99,Lists!$P$3:$Q$7,2),IF($N99=Lists!$K$3,IF($L99&lt;1,(($U99/$L99)*((1+Inputs!$D$7)^AB$2)),((INT(AB$2/$L99)-INT((AB$2-1)/$L99))*$U99*((1+Inputs!$D$7)^AB$2))),(_xlfn.WEIBULL.DIST(AB$2,$M99,$L99,FALSE)*$U99*((1+Inputs!$D$7)^AB$2))),IF($N99=Lists!$K$3,IF($L99&lt;1,((($T99*(1-$F99)+$S99*(1-$G99))/$L99)*((1+Inputs!$D$7)^AB$2)),((INT(AB$2/$L99)-INT((AB$2-1)/$L99))*($T99*(1-$F99)+$S99*(1-$G99))*((1+Inputs!$D$7)^AB$2))),((_xlfn.WEIBULL.DIST(AB$2,$M99,$L99,FALSE)*($T99*(1-$F99)+$S99*(1-$G99))*((1+Inputs!$D$7)^AB$2))))))</f>
        <v>0</v>
      </c>
      <c r="AC99" s="88">
        <f>$E99*IF(AC$2&gt;Inputs!$D$5,0,IF(AC$2&gt;VLOOKUP($H99,Lists!$P$3:$Q$7,2),IF($N99=Lists!$K$3,IF($L99&lt;1,(($U99/$L99)*((1+Inputs!$D$7)^AC$2)),((INT(AC$2/$L99)-INT((AC$2-1)/$L99))*$U99*((1+Inputs!$D$7)^AC$2))),(_xlfn.WEIBULL.DIST(AC$2,$M99,$L99,FALSE)*$U99*((1+Inputs!$D$7)^AC$2))),IF($N99=Lists!$K$3,IF($L99&lt;1,((($T99*(1-$F99)+$S99*(1-$G99))/$L99)*((1+Inputs!$D$7)^AC$2)),((INT(AC$2/$L99)-INT((AC$2-1)/$L99))*($T99*(1-$F99)+$S99*(1-$G99))*((1+Inputs!$D$7)^AC$2))),((_xlfn.WEIBULL.DIST(AC$2,$M99,$L99,FALSE)*($T99*(1-$F99)+$S99*(1-$G99))*((1+Inputs!$D$7)^AC$2))))))</f>
        <v>0</v>
      </c>
      <c r="AD99" s="88">
        <f>$E99*IF(AD$2&gt;Inputs!$D$5,0,IF(AD$2&gt;VLOOKUP($H99,Lists!$P$3:$Q$7,2),IF($N99=Lists!$K$3,IF($L99&lt;1,(($U99/$L99)*((1+Inputs!$D$7)^AD$2)),((INT(AD$2/$L99)-INT((AD$2-1)/$L99))*$U99*((1+Inputs!$D$7)^AD$2))),(_xlfn.WEIBULL.DIST(AD$2,$M99,$L99,FALSE)*$U99*((1+Inputs!$D$7)^AD$2))),IF($N99=Lists!$K$3,IF($L99&lt;1,((($T99*(1-$F99)+$S99*(1-$G99))/$L99)*((1+Inputs!$D$7)^AD$2)),((INT(AD$2/$L99)-INT((AD$2-1)/$L99))*($T99*(1-$F99)+$S99*(1-$G99))*((1+Inputs!$D$7)^AD$2))),((_xlfn.WEIBULL.DIST(AD$2,$M99,$L99,FALSE)*($T99*(1-$F99)+$S99*(1-$G99))*((1+Inputs!$D$7)^AD$2))))))</f>
        <v>0</v>
      </c>
      <c r="AE99" s="88">
        <f>$E99*IF(AE$2&gt;Inputs!$D$5,0,IF(AE$2&gt;VLOOKUP($H99,Lists!$P$3:$Q$7,2),IF($N99=Lists!$K$3,IF($L99&lt;1,(($U99/$L99)*((1+Inputs!$D$7)^AE$2)),((INT(AE$2/$L99)-INT((AE$2-1)/$L99))*$U99*((1+Inputs!$D$7)^AE$2))),(_xlfn.WEIBULL.DIST(AE$2,$M99,$L99,FALSE)*$U99*((1+Inputs!$D$7)^AE$2))),IF($N99=Lists!$K$3,IF($L99&lt;1,((($T99*(1-$F99)+$S99*(1-$G99))/$L99)*((1+Inputs!$D$7)^AE$2)),((INT(AE$2/$L99)-INT((AE$2-1)/$L99))*($T99*(1-$F99)+$S99*(1-$G99))*((1+Inputs!$D$7)^AE$2))),((_xlfn.WEIBULL.DIST(AE$2,$M99,$L99,FALSE)*($T99*(1-$F99)+$S99*(1-$G99))*((1+Inputs!$D$7)^AE$2))))))</f>
        <v>1336.0041228818077</v>
      </c>
      <c r="AF99" s="88">
        <f>$E99*IF(AF$2&gt;Inputs!$D$5,0,IF(AF$2&gt;VLOOKUP($H99,Lists!$P$3:$Q$7,2),IF($N99=Lists!$K$3,IF($L99&lt;1,(($U99/$L99)*((1+Inputs!$D$7)^AF$2)),((INT(AF$2/$L99)-INT((AF$2-1)/$L99))*$U99*((1+Inputs!$D$7)^AF$2))),(_xlfn.WEIBULL.DIST(AF$2,$M99,$L99,FALSE)*$U99*((1+Inputs!$D$7)^AF$2))),IF($N99=Lists!$K$3,IF($L99&lt;1,((($T99*(1-$F99)+$S99*(1-$G99))/$L99)*((1+Inputs!$D$7)^AF$2)),((INT(AF$2/$L99)-INT((AF$2-1)/$L99))*($T99*(1-$F99)+$S99*(1-$G99))*((1+Inputs!$D$7)^AF$2))),((_xlfn.WEIBULL.DIST(AF$2,$M99,$L99,FALSE)*($T99*(1-$F99)+$S99*(1-$G99))*((1+Inputs!$D$7)^AF$2))))))</f>
        <v>0</v>
      </c>
      <c r="AG99" s="88">
        <f>$E99*IF(AG$2&gt;Inputs!$D$5,0,IF(AG$2&gt;VLOOKUP($H99,Lists!$P$3:$Q$7,2),IF($N99=Lists!$K$3,IF($L99&lt;1,(($U99/$L99)*((1+Inputs!$D$7)^AG$2)),((INT(AG$2/$L99)-INT((AG$2-1)/$L99))*$U99*((1+Inputs!$D$7)^AG$2))),(_xlfn.WEIBULL.DIST(AG$2,$M99,$L99,FALSE)*$U99*((1+Inputs!$D$7)^AG$2))),IF($N99=Lists!$K$3,IF($L99&lt;1,((($T99*(1-$F99)+$S99*(1-$G99))/$L99)*((1+Inputs!$D$7)^AG$2)),((INT(AG$2/$L99)-INT((AG$2-1)/$L99))*($T99*(1-$F99)+$S99*(1-$G99))*((1+Inputs!$D$7)^AG$2))),((_xlfn.WEIBULL.DIST(AG$2,$M99,$L99,FALSE)*($T99*(1-$F99)+$S99*(1-$G99))*((1+Inputs!$D$7)^AG$2))))))</f>
        <v>0</v>
      </c>
      <c r="AH99" s="88">
        <f>$E99*IF(AH$2&gt;Inputs!$D$5,0,IF(AH$2&gt;VLOOKUP($H99,Lists!$P$3:$Q$7,2),IF($N99=Lists!$K$3,IF($L99&lt;1,(($U99/$L99)*((1+Inputs!$D$7)^AH$2)),((INT(AH$2/$L99)-INT((AH$2-1)/$L99))*$U99*((1+Inputs!$D$7)^AH$2))),(_xlfn.WEIBULL.DIST(AH$2,$M99,$L99,FALSE)*$U99*((1+Inputs!$D$7)^AH$2))),IF($N99=Lists!$K$3,IF($L99&lt;1,((($T99*(1-$F99)+$S99*(1-$G99))/$L99)*((1+Inputs!$D$7)^AH$2)),((INT(AH$2/$L99)-INT((AH$2-1)/$L99))*($T99*(1-$F99)+$S99*(1-$G99))*((1+Inputs!$D$7)^AH$2))),((_xlfn.WEIBULL.DIST(AH$2,$M99,$L99,FALSE)*($T99*(1-$F99)+$S99*(1-$G99))*((1+Inputs!$D$7)^AH$2))))))</f>
        <v>0</v>
      </c>
      <c r="AI99" s="88">
        <f>$E99*IF(AI$2&gt;Inputs!$D$5,0,IF(AI$2&gt;VLOOKUP($H99,Lists!$P$3:$Q$7,2),IF($N99=Lists!$K$3,IF($L99&lt;1,(($U99/$L99)*((1+Inputs!$D$7)^AI$2)),((INT(AI$2/$L99)-INT((AI$2-1)/$L99))*$U99*((1+Inputs!$D$7)^AI$2))),(_xlfn.WEIBULL.DIST(AI$2,$M99,$L99,FALSE)*$U99*((1+Inputs!$D$7)^AI$2))),IF($N99=Lists!$K$3,IF($L99&lt;1,((($T99*(1-$F99)+$S99*(1-$G99))/$L99)*((1+Inputs!$D$7)^AI$2)),((INT(AI$2/$L99)-INT((AI$2-1)/$L99))*($T99*(1-$F99)+$S99*(1-$G99))*((1+Inputs!$D$7)^AI$2))),((_xlfn.WEIBULL.DIST(AI$2,$M99,$L99,FALSE)*($T99*(1-$F99)+$S99*(1-$G99))*((1+Inputs!$D$7)^AI$2))))))</f>
        <v>0</v>
      </c>
      <c r="AJ99" s="88">
        <f>$E99*IF(AJ$2&gt;Inputs!$D$5,0,IF(AJ$2&gt;VLOOKUP($H99,Lists!$P$3:$Q$7,2),IF($N99=Lists!$K$3,IF($L99&lt;1,(($U99/$L99)*((1+Inputs!$D$7)^AJ$2)),((INT(AJ$2/$L99)-INT((AJ$2-1)/$L99))*$U99*((1+Inputs!$D$7)^AJ$2))),(_xlfn.WEIBULL.DIST(AJ$2,$M99,$L99,FALSE)*$U99*((1+Inputs!$D$7)^AJ$2))),IF($N99=Lists!$K$3,IF($L99&lt;1,((($T99*(1-$F99)+$S99*(1-$G99))/$L99)*((1+Inputs!$D$7)^AJ$2)),((INT(AJ$2/$L99)-INT((AJ$2-1)/$L99))*($T99*(1-$F99)+$S99*(1-$G99))*((1+Inputs!$D$7)^AJ$2))),((_xlfn.WEIBULL.DIST(AJ$2,$M99,$L99,FALSE)*($T99*(1-$F99)+$S99*(1-$G99))*((1+Inputs!$D$7)^AJ$2))))))</f>
        <v>1475.0565050698578</v>
      </c>
      <c r="AK99" s="88">
        <f>$E99*IF(AK$2&gt;Inputs!$D$5,0,IF(AK$2&gt;VLOOKUP($H99,Lists!$P$3:$Q$7,2),IF($N99=Lists!$K$3,IF($L99&lt;1,(($U99/$L99)*((1+Inputs!$D$7)^AK$2)),((INT(AK$2/$L99)-INT((AK$2-1)/$L99))*$U99*((1+Inputs!$D$7)^AK$2))),(_xlfn.WEIBULL.DIST(AK$2,$M99,$L99,FALSE)*$U99*((1+Inputs!$D$7)^AK$2))),IF($N99=Lists!$K$3,IF($L99&lt;1,((($T99*(1-$F99)+$S99*(1-$G99))/$L99)*((1+Inputs!$D$7)^AK$2)),((INT(AK$2/$L99)-INT((AK$2-1)/$L99))*($T99*(1-$F99)+$S99*(1-$G99))*((1+Inputs!$D$7)^AK$2))),((_xlfn.WEIBULL.DIST(AK$2,$M99,$L99,FALSE)*($T99*(1-$F99)+$S99*(1-$G99))*((1+Inputs!$D$7)^AK$2))))))</f>
        <v>0</v>
      </c>
      <c r="AL99" s="88">
        <f>$E99*IF(AL$2&gt;Inputs!$D$5,0,IF(AL$2&gt;VLOOKUP($H99,Lists!$P$3:$Q$7,2),IF($N99=Lists!$K$3,IF($L99&lt;1,(($U99/$L99)*((1+Inputs!$D$7)^AL$2)),((INT(AL$2/$L99)-INT((AL$2-1)/$L99))*$U99*((1+Inputs!$D$7)^AL$2))),(_xlfn.WEIBULL.DIST(AL$2,$M99,$L99,FALSE)*$U99*((1+Inputs!$D$7)^AL$2))),IF($N99=Lists!$K$3,IF($L99&lt;1,((($T99*(1-$F99)+$S99*(1-$G99))/$L99)*((1+Inputs!$D$7)^AL$2)),((INT(AL$2/$L99)-INT((AL$2-1)/$L99))*($T99*(1-$F99)+$S99*(1-$G99))*((1+Inputs!$D$7)^AL$2))),((_xlfn.WEIBULL.DIST(AL$2,$M99,$L99,FALSE)*($T99*(1-$F99)+$S99*(1-$G99))*((1+Inputs!$D$7)^AL$2))))))</f>
        <v>0</v>
      </c>
      <c r="AM99" s="88">
        <f>$E99*IF(AM$2&gt;Inputs!$D$5,0,IF(AM$2&gt;VLOOKUP($H99,Lists!$P$3:$Q$7,2),IF($N99=Lists!$K$3,IF($L99&lt;1,(($U99/$L99)*((1+Inputs!$D$7)^AM$2)),((INT(AM$2/$L99)-INT((AM$2-1)/$L99))*$U99*((1+Inputs!$D$7)^AM$2))),(_xlfn.WEIBULL.DIST(AM$2,$M99,$L99,FALSE)*$U99*((1+Inputs!$D$7)^AM$2))),IF($N99=Lists!$K$3,IF($L99&lt;1,((($T99*(1-$F99)+$S99*(1-$G99))/$L99)*((1+Inputs!$D$7)^AM$2)),((INT(AM$2/$L99)-INT((AM$2-1)/$L99))*($T99*(1-$F99)+$S99*(1-$G99))*((1+Inputs!$D$7)^AM$2))),((_xlfn.WEIBULL.DIST(AM$2,$M99,$L99,FALSE)*($T99*(1-$F99)+$S99*(1-$G99))*((1+Inputs!$D$7)^AM$2))))))</f>
        <v>0</v>
      </c>
      <c r="AN99" s="88">
        <f>$E99*IF(AN$2&gt;Inputs!$D$5,0,IF(AN$2&gt;VLOOKUP($H99,Lists!$P$3:$Q$7,2),IF($N99=Lists!$K$3,IF($L99&lt;1,(($U99/$L99)*((1+Inputs!$D$7)^AN$2)),((INT(AN$2/$L99)-INT((AN$2-1)/$L99))*$U99*((1+Inputs!$D$7)^AN$2))),(_xlfn.WEIBULL.DIST(AN$2,$M99,$L99,FALSE)*$U99*((1+Inputs!$D$7)^AN$2))),IF($N99=Lists!$K$3,IF($L99&lt;1,((($T99*(1-$F99)+$S99*(1-$G99))/$L99)*((1+Inputs!$D$7)^AN$2)),((INT(AN$2/$L99)-INT((AN$2-1)/$L99))*($T99*(1-$F99)+$S99*(1-$G99))*((1+Inputs!$D$7)^AN$2))),((_xlfn.WEIBULL.DIST(AN$2,$M99,$L99,FALSE)*($T99*(1-$F99)+$S99*(1-$G99))*((1+Inputs!$D$7)^AN$2))))))</f>
        <v>0</v>
      </c>
      <c r="AO99" s="88">
        <f>$E99*IF(AO$2&gt;Inputs!$D$5,0,IF(AO$2&gt;VLOOKUP($H99,Lists!$P$3:$Q$7,2),IF($N99=Lists!$K$3,IF($L99&lt;1,(($U99/$L99)*((1+Inputs!$D$7)^AO$2)),((INT(AO$2/$L99)-INT((AO$2-1)/$L99))*$U99*((1+Inputs!$D$7)^AO$2))),(_xlfn.WEIBULL.DIST(AO$2,$M99,$L99,FALSE)*$U99*((1+Inputs!$D$7)^AO$2))),IF($N99=Lists!$K$3,IF($L99&lt;1,((($T99*(1-$F99)+$S99*(1-$G99))/$L99)*((1+Inputs!$D$7)^AO$2)),((INT(AO$2/$L99)-INT((AO$2-1)/$L99))*($T99*(1-$F99)+$S99*(1-$G99))*((1+Inputs!$D$7)^AO$2))),((_xlfn.WEIBULL.DIST(AO$2,$M99,$L99,FALSE)*($T99*(1-$F99)+$S99*(1-$G99))*((1+Inputs!$D$7)^AO$2))))))</f>
        <v>1628.581570882913</v>
      </c>
      <c r="AP99" s="88">
        <f>$E99*IF(AP$2&gt;Inputs!$D$5,0,IF(AP$2&gt;VLOOKUP($H99,Lists!$P$3:$Q$7,2),IF($N99=Lists!$K$3,IF($L99&lt;1,(($U99/$L99)*((1+Inputs!$D$7)^AP$2)),((INT(AP$2/$L99)-INT((AP$2-1)/$L99))*$U99*((1+Inputs!$D$7)^AP$2))),(_xlfn.WEIBULL.DIST(AP$2,$M99,$L99,FALSE)*$U99*((1+Inputs!$D$7)^AP$2))),IF($N99=Lists!$K$3,IF($L99&lt;1,((($T99*(1-$F99)+$S99*(1-$G99))/$L99)*((1+Inputs!$D$7)^AP$2)),((INT(AP$2/$L99)-INT((AP$2-1)/$L99))*($T99*(1-$F99)+$S99*(1-$G99))*((1+Inputs!$D$7)^AP$2))),((_xlfn.WEIBULL.DIST(AP$2,$M99,$L99,FALSE)*($T99*(1-$F99)+$S99*(1-$G99))*((1+Inputs!$D$7)^AP$2))))))</f>
        <v>0</v>
      </c>
      <c r="AQ99" s="88">
        <f>$E99*IF(AQ$2&gt;Inputs!$D$5,0,IF(AQ$2&gt;VLOOKUP($H99,Lists!$P$3:$Q$7,2),IF($N99=Lists!$K$3,IF($L99&lt;1,(($U99/$L99)*((1+Inputs!$D$7)^AQ$2)),((INT(AQ$2/$L99)-INT((AQ$2-1)/$L99))*$U99*((1+Inputs!$D$7)^AQ$2))),(_xlfn.WEIBULL.DIST(AQ$2,$M99,$L99,FALSE)*$U99*((1+Inputs!$D$7)^AQ$2))),IF($N99=Lists!$K$3,IF($L99&lt;1,((($T99*(1-$F99)+$S99*(1-$G99))/$L99)*((1+Inputs!$D$7)^AQ$2)),((INT(AQ$2/$L99)-INT((AQ$2-1)/$L99))*($T99*(1-$F99)+$S99*(1-$G99))*((1+Inputs!$D$7)^AQ$2))),((_xlfn.WEIBULL.DIST(AQ$2,$M99,$L99,FALSE)*($T99*(1-$F99)+$S99*(1-$G99))*((1+Inputs!$D$7)^AQ$2))))))</f>
        <v>0</v>
      </c>
      <c r="AR99" s="88">
        <f>$E99*IF(AR$2&gt;Inputs!$D$5,0,IF(AR$2&gt;VLOOKUP($H99,Lists!$P$3:$Q$7,2),IF($N99=Lists!$K$3,IF($L99&lt;1,(($U99/$L99)*((1+Inputs!$D$7)^AR$2)),((INT(AR$2/$L99)-INT((AR$2-1)/$L99))*$U99*((1+Inputs!$D$7)^AR$2))),(_xlfn.WEIBULL.DIST(AR$2,$M99,$L99,FALSE)*$U99*((1+Inputs!$D$7)^AR$2))),IF($N99=Lists!$K$3,IF($L99&lt;1,((($T99*(1-$F99)+$S99*(1-$G99))/$L99)*((1+Inputs!$D$7)^AR$2)),((INT(AR$2/$L99)-INT((AR$2-1)/$L99))*($T99*(1-$F99)+$S99*(1-$G99))*((1+Inputs!$D$7)^AR$2))),((_xlfn.WEIBULL.DIST(AR$2,$M99,$L99,FALSE)*($T99*(1-$F99)+$S99*(1-$G99))*((1+Inputs!$D$7)^AR$2))))))</f>
        <v>0</v>
      </c>
      <c r="AS99" s="88">
        <f>$E99*IF(AS$2&gt;Inputs!$D$5,0,IF(AS$2&gt;VLOOKUP($H99,Lists!$P$3:$Q$7,2),IF($N99=Lists!$K$3,IF($L99&lt;1,(($U99/$L99)*((1+Inputs!$D$7)^AS$2)),((INT(AS$2/$L99)-INT((AS$2-1)/$L99))*$U99*((1+Inputs!$D$7)^AS$2))),(_xlfn.WEIBULL.DIST(AS$2,$M99,$L99,FALSE)*$U99*((1+Inputs!$D$7)^AS$2))),IF($N99=Lists!$K$3,IF($L99&lt;1,((($T99*(1-$F99)+$S99*(1-$G99))/$L99)*((1+Inputs!$D$7)^AS$2)),((INT(AS$2/$L99)-INT((AS$2-1)/$L99))*($T99*(1-$F99)+$S99*(1-$G99))*((1+Inputs!$D$7)^AS$2))),((_xlfn.WEIBULL.DIST(AS$2,$M99,$L99,FALSE)*($T99*(1-$F99)+$S99*(1-$G99))*((1+Inputs!$D$7)^AS$2))))))</f>
        <v>0</v>
      </c>
      <c r="AT99" s="88">
        <f>$E99*IF(AT$2&gt;Inputs!$D$5,0,IF(AT$2&gt;VLOOKUP($H99,Lists!$P$3:$Q$7,2),IF($N99=Lists!$K$3,IF($L99&lt;1,(($U99/$L99)*((1+Inputs!$D$7)^AT$2)),((INT(AT$2/$L99)-INT((AT$2-1)/$L99))*$U99*((1+Inputs!$D$7)^AT$2))),(_xlfn.WEIBULL.DIST(AT$2,$M99,$L99,FALSE)*$U99*((1+Inputs!$D$7)^AT$2))),IF($N99=Lists!$K$3,IF($L99&lt;1,((($T99*(1-$F99)+$S99*(1-$G99))/$L99)*((1+Inputs!$D$7)^AT$2)),((INT(AT$2/$L99)-INT((AT$2-1)/$L99))*($T99*(1-$F99)+$S99*(1-$G99))*((1+Inputs!$D$7)^AT$2))),((_xlfn.WEIBULL.DIST(AT$2,$M99,$L99,FALSE)*($T99*(1-$F99)+$S99*(1-$G99))*((1+Inputs!$D$7)^AT$2))))))</f>
        <v>1798.0856488571246</v>
      </c>
      <c r="AU99" s="88">
        <f>$E99*IF(AU$2&gt;Inputs!$D$5,0,IF(AU$2&gt;VLOOKUP($H99,Lists!$P$3:$Q$7,2),IF($N99=Lists!$K$3,IF($L99&lt;1,(($U99/$L99)*((1+Inputs!$D$7)^AU$2)),((INT(AU$2/$L99)-INT((AU$2-1)/$L99))*$U99*((1+Inputs!$D$7)^AU$2))),(_xlfn.WEIBULL.DIST(AU$2,$M99,$L99,FALSE)*$U99*((1+Inputs!$D$7)^AU$2))),IF($N99=Lists!$K$3,IF($L99&lt;1,((($T99*(1-$F99)+$S99*(1-$G99))/$L99)*((1+Inputs!$D$7)^AU$2)),((INT(AU$2/$L99)-INT((AU$2-1)/$L99))*($T99*(1-$F99)+$S99*(1-$G99))*((1+Inputs!$D$7)^AU$2))),((_xlfn.WEIBULL.DIST(AU$2,$M99,$L99,FALSE)*($T99*(1-$F99)+$S99*(1-$G99))*((1+Inputs!$D$7)^AU$2))))))</f>
        <v>0</v>
      </c>
      <c r="AV99" s="88">
        <f>$E99*IF(AV$2&gt;Inputs!$D$5,0,IF(AV$2&gt;VLOOKUP($H99,Lists!$P$3:$Q$7,2),IF($N99=Lists!$K$3,IF($L99&lt;1,(($U99/$L99)*((1+Inputs!$D$7)^AV$2)),((INT(AV$2/$L99)-INT((AV$2-1)/$L99))*$U99*((1+Inputs!$D$7)^AV$2))),(_xlfn.WEIBULL.DIST(AV$2,$M99,$L99,FALSE)*$U99*((1+Inputs!$D$7)^AV$2))),IF($N99=Lists!$K$3,IF($L99&lt;1,((($T99*(1-$F99)+$S99*(1-$G99))/$L99)*((1+Inputs!$D$7)^AV$2)),((INT(AV$2/$L99)-INT((AV$2-1)/$L99))*($T99*(1-$F99)+$S99*(1-$G99))*((1+Inputs!$D$7)^AV$2))),((_xlfn.WEIBULL.DIST(AV$2,$M99,$L99,FALSE)*($T99*(1-$F99)+$S99*(1-$G99))*((1+Inputs!$D$7)^AV$2))))))</f>
        <v>0</v>
      </c>
      <c r="AW99" s="88">
        <f>$E99*IF(AW$2&gt;Inputs!$D$5,0,IF(AW$2&gt;VLOOKUP($H99,Lists!$P$3:$Q$7,2),IF($N99=Lists!$K$3,IF($L99&lt;1,(($U99/$L99)*((1+Inputs!$D$7)^AW$2)),((INT(AW$2/$L99)-INT((AW$2-1)/$L99))*$U99*((1+Inputs!$D$7)^AW$2))),(_xlfn.WEIBULL.DIST(AW$2,$M99,$L99,FALSE)*$U99*((1+Inputs!$D$7)^AW$2))),IF($N99=Lists!$K$3,IF($L99&lt;1,((($T99*(1-$F99)+$S99*(1-$G99))/$L99)*((1+Inputs!$D$7)^AW$2)),((INT(AW$2/$L99)-INT((AW$2-1)/$L99))*($T99*(1-$F99)+$S99*(1-$G99))*((1+Inputs!$D$7)^AW$2))),((_xlfn.WEIBULL.DIST(AW$2,$M99,$L99,FALSE)*($T99*(1-$F99)+$S99*(1-$G99))*((1+Inputs!$D$7)^AW$2))))))</f>
        <v>0</v>
      </c>
      <c r="AX99" s="88">
        <f>$E99*IF(AX$2&gt;Inputs!$D$5,0,IF(AX$2&gt;VLOOKUP($H99,Lists!$P$3:$Q$7,2),IF($N99=Lists!$K$3,IF($L99&lt;1,(($U99/$L99)*((1+Inputs!$D$7)^AX$2)),((INT(AX$2/$L99)-INT((AX$2-1)/$L99))*$U99*((1+Inputs!$D$7)^AX$2))),(_xlfn.WEIBULL.DIST(AX$2,$M99,$L99,FALSE)*$U99*((1+Inputs!$D$7)^AX$2))),IF($N99=Lists!$K$3,IF($L99&lt;1,((($T99*(1-$F99)+$S99*(1-$G99))/$L99)*((1+Inputs!$D$7)^AX$2)),((INT(AX$2/$L99)-INT((AX$2-1)/$L99))*($T99*(1-$F99)+$S99*(1-$G99))*((1+Inputs!$D$7)^AX$2))),((_xlfn.WEIBULL.DIST(AX$2,$M99,$L99,FALSE)*($T99*(1-$F99)+$S99*(1-$G99))*((1+Inputs!$D$7)^AX$2))))))</f>
        <v>0</v>
      </c>
      <c r="AY99" s="88">
        <f>$E99*IF(AY$2&gt;Inputs!$D$5,0,IF(AY$2&gt;VLOOKUP($H99,Lists!$P$3:$Q$7,2),IF($N99=Lists!$K$3,IF($L99&lt;1,(($U99/$L99)*((1+Inputs!$D$7)^AY$2)),((INT(AY$2/$L99)-INT((AY$2-1)/$L99))*$U99*((1+Inputs!$D$7)^AY$2))),(_xlfn.WEIBULL.DIST(AY$2,$M99,$L99,FALSE)*$U99*((1+Inputs!$D$7)^AY$2))),IF($N99=Lists!$K$3,IF($L99&lt;1,((($T99*(1-$F99)+$S99*(1-$G99))/$L99)*((1+Inputs!$D$7)^AY$2)),((INT(AY$2/$L99)-INT((AY$2-1)/$L99))*($T99*(1-$F99)+$S99*(1-$G99))*((1+Inputs!$D$7)^AY$2))),((_xlfn.WEIBULL.DIST(AY$2,$M99,$L99,FALSE)*($T99*(1-$F99)+$S99*(1-$G99))*((1+Inputs!$D$7)^AY$2))))))</f>
        <v>1985.231847412567</v>
      </c>
      <c r="AZ99" s="88">
        <f>$E99*IF(AZ$2&gt;Inputs!$D$5,0,IF(AZ$2&gt;VLOOKUP($H99,Lists!$P$3:$Q$7,2),IF($N99=Lists!$K$3,IF($L99&lt;1,(($U99/$L99)*((1+Inputs!$D$7)^AZ$2)),((INT(AZ$2/$L99)-INT((AZ$2-1)/$L99))*$U99*((1+Inputs!$D$7)^AZ$2))),(_xlfn.WEIBULL.DIST(AZ$2,$M99,$L99,FALSE)*$U99*((1+Inputs!$D$7)^AZ$2))),IF($N99=Lists!$K$3,IF($L99&lt;1,((($T99*(1-$F99)+$S99*(1-$G99))/$L99)*((1+Inputs!$D$7)^AZ$2)),((INT(AZ$2/$L99)-INT((AZ$2-1)/$L99))*($T99*(1-$F99)+$S99*(1-$G99))*((1+Inputs!$D$7)^AZ$2))),((_xlfn.WEIBULL.DIST(AZ$2,$M99,$L99,FALSE)*($T99*(1-$F99)+$S99*(1-$G99))*((1+Inputs!$D$7)^AZ$2))))))</f>
        <v>0</v>
      </c>
      <c r="BA99" s="88">
        <f>$E99*IF(BA$2&gt;Inputs!$D$5,0,IF(BA$2&gt;VLOOKUP($H99,Lists!$P$3:$Q$7,2),IF($N99=Lists!$K$3,IF($L99&lt;1,(($U99/$L99)*((1+Inputs!$D$7)^BA$2)),((INT(BA$2/$L99)-INT((BA$2-1)/$L99))*$U99*((1+Inputs!$D$7)^BA$2))),(_xlfn.WEIBULL.DIST(BA$2,$M99,$L99,FALSE)*$U99*((1+Inputs!$D$7)^BA$2))),IF($N99=Lists!$K$3,IF($L99&lt;1,((($T99*(1-$F99)+$S99*(1-$G99))/$L99)*((1+Inputs!$D$7)^BA$2)),((INT(BA$2/$L99)-INT((BA$2-1)/$L99))*($T99*(1-$F99)+$S99*(1-$G99))*((1+Inputs!$D$7)^BA$2))),((_xlfn.WEIBULL.DIST(BA$2,$M99,$L99,FALSE)*($T99*(1-$F99)+$S99*(1-$G99))*((1+Inputs!$D$7)^BA$2))))))</f>
        <v>0</v>
      </c>
      <c r="BB99" s="88">
        <f>$E99*IF(BB$2&gt;Inputs!$D$5,0,IF(BB$2&gt;VLOOKUP($H99,Lists!$P$3:$Q$7,2),IF($N99=Lists!$K$3,IF($L99&lt;1,(($U99/$L99)*((1+Inputs!$D$7)^BB$2)),((INT(BB$2/$L99)-INT((BB$2-1)/$L99))*$U99*((1+Inputs!$D$7)^BB$2))),(_xlfn.WEIBULL.DIST(BB$2,$M99,$L99,FALSE)*$U99*((1+Inputs!$D$7)^BB$2))),IF($N99=Lists!$K$3,IF($L99&lt;1,((($T99*(1-$F99)+$S99*(1-$G99))/$L99)*((1+Inputs!$D$7)^BB$2)),((INT(BB$2/$L99)-INT((BB$2-1)/$L99))*($T99*(1-$F99)+$S99*(1-$G99))*((1+Inputs!$D$7)^BB$2))),((_xlfn.WEIBULL.DIST(BB$2,$M99,$L99,FALSE)*($T99*(1-$F99)+$S99*(1-$G99))*((1+Inputs!$D$7)^BB$2))))))</f>
        <v>0</v>
      </c>
      <c r="BC99" s="88">
        <f>$E99*IF(BC$2&gt;Inputs!$D$5,0,IF(BC$2&gt;VLOOKUP($H99,Lists!$P$3:$Q$7,2),IF($N99=Lists!$K$3,IF($L99&lt;1,(($U99/$L99)*((1+Inputs!$D$7)^BC$2)),((INT(BC$2/$L99)-INT((BC$2-1)/$L99))*$U99*((1+Inputs!$D$7)^BC$2))),(_xlfn.WEIBULL.DIST(BC$2,$M99,$L99,FALSE)*$U99*((1+Inputs!$D$7)^BC$2))),IF($N99=Lists!$K$3,IF($L99&lt;1,((($T99*(1-$F99)+$S99*(1-$G99))/$L99)*((1+Inputs!$D$7)^BC$2)),((INT(BC$2/$L99)-INT((BC$2-1)/$L99))*($T99*(1-$F99)+$S99*(1-$G99))*((1+Inputs!$D$7)^BC$2))),((_xlfn.WEIBULL.DIST(BC$2,$M99,$L99,FALSE)*($T99*(1-$F99)+$S99*(1-$G99))*((1+Inputs!$D$7)^BC$2))))))</f>
        <v>0</v>
      </c>
      <c r="BD99" s="88">
        <f>$E99*IF(BD$2&gt;Inputs!$D$5,0,IF(BD$2&gt;VLOOKUP($H99,Lists!$P$3:$Q$7,2),IF($N99=Lists!$K$3,IF($L99&lt;1,(($U99/$L99)*((1+Inputs!$D$7)^BD$2)),((INT(BD$2/$L99)-INT((BD$2-1)/$L99))*$U99*((1+Inputs!$D$7)^BD$2))),(_xlfn.WEIBULL.DIST(BD$2,$M99,$L99,FALSE)*$U99*((1+Inputs!$D$7)^BD$2))),IF($N99=Lists!$K$3,IF($L99&lt;1,((($T99*(1-$F99)+$S99*(1-$G99))/$L99)*((1+Inputs!$D$7)^BD$2)),((INT(BD$2/$L99)-INT((BD$2-1)/$L99))*($T99*(1-$F99)+$S99*(1-$G99))*((1+Inputs!$D$7)^BD$2))),((_xlfn.WEIBULL.DIST(BD$2,$M99,$L99,FALSE)*($T99*(1-$F99)+$S99*(1-$G99))*((1+Inputs!$D$7)^BD$2))))))</f>
        <v>0</v>
      </c>
      <c r="BE99" s="88">
        <f>$E99*IF(BE$2&gt;Inputs!$D$5,0,IF(BE$2&gt;VLOOKUP($H99,Lists!$P$3:$Q$7,2),IF($N99=Lists!$K$3,IF($L99&lt;1,(($U99/$L99)*((1+Inputs!$D$7)^BE$2)),((INT(BE$2/$L99)-INT((BE$2-1)/$L99))*$U99*((1+Inputs!$D$7)^BE$2))),(_xlfn.WEIBULL.DIST(BE$2,$M99,$L99,FALSE)*$U99*((1+Inputs!$D$7)^BE$2))),IF($N99=Lists!$K$3,IF($L99&lt;1,((($T99*(1-$F99)+$S99*(1-$G99))/$L99)*((1+Inputs!$D$7)^BE$2)),((INT(BE$2/$L99)-INT((BE$2-1)/$L99))*($T99*(1-$F99)+$S99*(1-$G99))*((1+Inputs!$D$7)^BE$2))),((_xlfn.WEIBULL.DIST(BE$2,$M99,$L99,FALSE)*($T99*(1-$F99)+$S99*(1-$G99))*((1+Inputs!$D$7)^BE$2))))))</f>
        <v>0</v>
      </c>
      <c r="BF99" s="88">
        <f>$E99*IF(BF$2&gt;Inputs!$D$5,0,IF(BF$2&gt;VLOOKUP($H99,Lists!$P$3:$Q$7,2),IF($N99=Lists!$K$3,IF($L99&lt;1,(($U99/$L99)*((1+Inputs!$D$7)^BF$2)),((INT(BF$2/$L99)-INT((BF$2-1)/$L99))*$U99*((1+Inputs!$D$7)^BF$2))),(_xlfn.WEIBULL.DIST(BF$2,$M99,$L99,FALSE)*$U99*((1+Inputs!$D$7)^BF$2))),IF($N99=Lists!$K$3,IF($L99&lt;1,((($T99*(1-$F99)+$S99*(1-$G99))/$L99)*((1+Inputs!$D$7)^BF$2)),((INT(BF$2/$L99)-INT((BF$2-1)/$L99))*($T99*(1-$F99)+$S99*(1-$G99))*((1+Inputs!$D$7)^BF$2))),((_xlfn.WEIBULL.DIST(BF$2,$M99,$L99,FALSE)*($T99*(1-$F99)+$S99*(1-$G99))*((1+Inputs!$D$7)^BF$2))))))</f>
        <v>0</v>
      </c>
      <c r="BG99" s="88">
        <f>$E99*IF(BG$2&gt;Inputs!$D$5,0,IF(BG$2&gt;VLOOKUP($H99,Lists!$P$3:$Q$7,2),IF($N99=Lists!$K$3,IF($L99&lt;1,(($U99/$L99)*((1+Inputs!$D$7)^BG$2)),((INT(BG$2/$L99)-INT((BG$2-1)/$L99))*$U99*((1+Inputs!$D$7)^BG$2))),(_xlfn.WEIBULL.DIST(BG$2,$M99,$L99,FALSE)*$U99*((1+Inputs!$D$7)^BG$2))),IF($N99=Lists!$K$3,IF($L99&lt;1,((($T99*(1-$F99)+$S99*(1-$G99))/$L99)*((1+Inputs!$D$7)^BG$2)),((INT(BG$2/$L99)-INT((BG$2-1)/$L99))*($T99*(1-$F99)+$S99*(1-$G99))*((1+Inputs!$D$7)^BG$2))),((_xlfn.WEIBULL.DIST(BG$2,$M99,$L99,FALSE)*($T99*(1-$F99)+$S99*(1-$G99))*((1+Inputs!$D$7)^BG$2))))))</f>
        <v>0</v>
      </c>
      <c r="BH99" s="88">
        <f>$E99*IF(BH$2&gt;Inputs!$D$5,0,IF(BH$2&gt;VLOOKUP($H99,Lists!$P$3:$Q$7,2),IF($N99=Lists!$K$3,IF($L99&lt;1,(($U99/$L99)*((1+Inputs!$D$7)^BH$2)),((INT(BH$2/$L99)-INT((BH$2-1)/$L99))*$U99*((1+Inputs!$D$7)^BH$2))),(_xlfn.WEIBULL.DIST(BH$2,$M99,$L99,FALSE)*$U99*((1+Inputs!$D$7)^BH$2))),IF($N99=Lists!$K$3,IF($L99&lt;1,((($T99*(1-$F99)+$S99*(1-$G99))/$L99)*((1+Inputs!$D$7)^BH$2)),((INT(BH$2/$L99)-INT((BH$2-1)/$L99))*($T99*(1-$F99)+$S99*(1-$G99))*((1+Inputs!$D$7)^BH$2))),((_xlfn.WEIBULL.DIST(BH$2,$M99,$L99,FALSE)*($T99*(1-$F99)+$S99*(1-$G99))*((1+Inputs!$D$7)^BH$2))))))</f>
        <v>0</v>
      </c>
      <c r="BI99" s="88">
        <f>$E99*IF(BI$2&gt;Inputs!$D$5,0,IF(BI$2&gt;VLOOKUP($H99,Lists!$P$3:$Q$7,2),IF($N99=Lists!$K$3,IF($L99&lt;1,(($U99/$L99)*((1+Inputs!$D$7)^BI$2)),((INT(BI$2/$L99)-INT((BI$2-1)/$L99))*$U99*((1+Inputs!$D$7)^BI$2))),(_xlfn.WEIBULL.DIST(BI$2,$M99,$L99,FALSE)*$U99*((1+Inputs!$D$7)^BI$2))),IF($N99=Lists!$K$3,IF($L99&lt;1,((($T99*(1-$F99)+$S99*(1-$G99))/$L99)*((1+Inputs!$D$7)^BI$2)),((INT(BI$2/$L99)-INT((BI$2-1)/$L99))*($T99*(1-$F99)+$S99*(1-$G99))*((1+Inputs!$D$7)^BI$2))),((_xlfn.WEIBULL.DIST(BI$2,$M99,$L99,FALSE)*($T99*(1-$F99)+$S99*(1-$G99))*((1+Inputs!$D$7)^BI$2))))))</f>
        <v>0</v>
      </c>
      <c r="BJ99" s="88">
        <f>$E99*IF(BJ$2&gt;Inputs!$D$5,0,IF(BJ$2&gt;VLOOKUP($H99,Lists!$P$3:$Q$7,2),IF($N99=Lists!$K$3,IF($L99&lt;1,(($U99/$L99)*((1+Inputs!$D$7)^BJ$2)),((INT(BJ$2/$L99)-INT((BJ$2-1)/$L99))*$U99*((1+Inputs!$D$7)^BJ$2))),(_xlfn.WEIBULL.DIST(BJ$2,$M99,$L99,FALSE)*$U99*((1+Inputs!$D$7)^BJ$2))),IF($N99=Lists!$K$3,IF($L99&lt;1,((($T99*(1-$F99)+$S99*(1-$G99))/$L99)*((1+Inputs!$D$7)^BJ$2)),((INT(BJ$2/$L99)-INT((BJ$2-1)/$L99))*($T99*(1-$F99)+$S99*(1-$G99))*((1+Inputs!$D$7)^BJ$2))),((_xlfn.WEIBULL.DIST(BJ$2,$M99,$L99,FALSE)*($T99*(1-$F99)+$S99*(1-$G99))*((1+Inputs!$D$7)^BJ$2))))))</f>
        <v>0</v>
      </c>
      <c r="BK99" s="88">
        <f>$E99*IF(BK$2&gt;Inputs!$D$5,0,IF(BK$2&gt;VLOOKUP($H99,Lists!$P$3:$Q$7,2),IF($N99=Lists!$K$3,IF($L99&lt;1,(($U99/$L99)*((1+Inputs!$D$7)^BK$2)),((INT(BK$2/$L99)-INT((BK$2-1)/$L99))*$U99*((1+Inputs!$D$7)^BK$2))),(_xlfn.WEIBULL.DIST(BK$2,$M99,$L99,FALSE)*$U99*((1+Inputs!$D$7)^BK$2))),IF($N99=Lists!$K$3,IF($L99&lt;1,((($T99*(1-$F99)+$S99*(1-$G99))/$L99)*((1+Inputs!$D$7)^BK$2)),((INT(BK$2/$L99)-INT((BK$2-1)/$L99))*($T99*(1-$F99)+$S99*(1-$G99))*((1+Inputs!$D$7)^BK$2))),((_xlfn.WEIBULL.DIST(BK$2,$M99,$L99,FALSE)*($T99*(1-$F99)+$S99*(1-$G99))*((1+Inputs!$D$7)^BK$2))))))</f>
        <v>0</v>
      </c>
      <c r="BL99" s="88">
        <f>$E99*IF(BL$2&gt;Inputs!$D$5,0,IF(BL$2&gt;VLOOKUP($H99,Lists!$P$3:$Q$7,2),IF($N99=Lists!$K$3,IF($L99&lt;1,(($U99/$L99)*((1+Inputs!$D$7)^BL$2)),((INT(BL$2/$L99)-INT((BL$2-1)/$L99))*$U99*((1+Inputs!$D$7)^BL$2))),(_xlfn.WEIBULL.DIST(BL$2,$M99,$L99,FALSE)*$U99*((1+Inputs!$D$7)^BL$2))),IF($N99=Lists!$K$3,IF($L99&lt;1,((($T99*(1-$F99)+$S99*(1-$G99))/$L99)*((1+Inputs!$D$7)^BL$2)),((INT(BL$2/$L99)-INT((BL$2-1)/$L99))*($T99*(1-$F99)+$S99*(1-$G99))*((1+Inputs!$D$7)^BL$2))),((_xlfn.WEIBULL.DIST(BL$2,$M99,$L99,FALSE)*($T99*(1-$F99)+$S99*(1-$G99))*((1+Inputs!$D$7)^BL$2))))))</f>
        <v>0</v>
      </c>
      <c r="BM99" s="88">
        <f>$E99*IF(BM$2&gt;Inputs!$D$5,0,IF(BM$2&gt;VLOOKUP($H99,Lists!$P$3:$Q$7,2),IF($N99=Lists!$K$3,IF($L99&lt;1,(($U99/$L99)*((1+Inputs!$D$7)^BM$2)),((INT(BM$2/$L99)-INT((BM$2-1)/$L99))*$U99*((1+Inputs!$D$7)^BM$2))),(_xlfn.WEIBULL.DIST(BM$2,$M99,$L99,FALSE)*$U99*((1+Inputs!$D$7)^BM$2))),IF($N99=Lists!$K$3,IF($L99&lt;1,((($T99*(1-$F99)+$S99*(1-$G99))/$L99)*((1+Inputs!$D$7)^BM$2)),((INT(BM$2/$L99)-INT((BM$2-1)/$L99))*($T99*(1-$F99)+$S99*(1-$G99))*((1+Inputs!$D$7)^BM$2))),((_xlfn.WEIBULL.DIST(BM$2,$M99,$L99,FALSE)*($T99*(1-$F99)+$S99*(1-$G99))*((1+Inputs!$D$7)^BM$2))))))</f>
        <v>0</v>
      </c>
      <c r="BN99" s="88">
        <f>$E99*IF(BN$2&gt;Inputs!$D$5,0,IF(BN$2&gt;VLOOKUP($H99,Lists!$P$3:$Q$7,2),IF($N99=Lists!$K$3,IF($L99&lt;1,(($U99/$L99)*((1+Inputs!$D$7)^BN$2)),((INT(BN$2/$L99)-INT((BN$2-1)/$L99))*$U99*((1+Inputs!$D$7)^BN$2))),(_xlfn.WEIBULL.DIST(BN$2,$M99,$L99,FALSE)*$U99*((1+Inputs!$D$7)^BN$2))),IF($N99=Lists!$K$3,IF($L99&lt;1,((($T99*(1-$F99)+$S99*(1-$G99))/$L99)*((1+Inputs!$D$7)^BN$2)),((INT(BN$2/$L99)-INT((BN$2-1)/$L99))*($T99*(1-$F99)+$S99*(1-$G99))*((1+Inputs!$D$7)^BN$2))),((_xlfn.WEIBULL.DIST(BN$2,$M99,$L99,FALSE)*($T99*(1-$F99)+$S99*(1-$G99))*((1+Inputs!$D$7)^BN$2))))))</f>
        <v>0</v>
      </c>
      <c r="BO99" s="64">
        <f>NPV(Inputs!$D$6,BQ99:DD99)</f>
        <v>3123.1061490166217</v>
      </c>
      <c r="BP99" s="67">
        <f t="shared" ref="BP99:BP130" si="27">BO99/SUM($Y$3:$Y$136)</f>
        <v>1.4730093321293537E-3</v>
      </c>
      <c r="BQ99" s="88">
        <f>MAX(AA99,($E99*IF(BQ$2&gt;Inputs!$D$5,0,IF(BQ$2&gt;VLOOKUP($H99,Lists!$P$3:$Q$7,2),IF($N99=Lists!$K$3,IF($L99&lt;1,(($U99/$L99)*((1+Inputs!$D$7)^BQ$2)),((INT(BQ$2/$L99)-INT((BQ$2-1)/$L99))*$U99*((1+Inputs!$D$7)^BQ$2))),(Inputs!$D$8^((1-_xlfn.WEIBULL.DIST(BQ$2,$M99,$L99,FALSE))/_xlfn.WEIBULL.DIST(BQ$2,$M99,$L99,FALSE))*$U99*((1+Inputs!$D$7)^BQ$2))),IF($N99=Lists!$K$3,IF($L99&lt;1,((($T99*(1-$F99)+$S99*(1-$G99))/$L99)*((1+Inputs!$D$7)^BQ$2)),((INT(BQ$2/$L99)-INT((BQ$2-1)/$L99))*($T99*(1-$F99)+$S99*(1-$G99))*((1+Inputs!$D$7)^BQ$2))),((Inputs!$D$8^((1-_xlfn.WEIBULL.DIST(BQ$2,$M99,$L99,FALSE))/_xlfn.WEIBULL.DIST(BQ$2,$M99,$L99,FALSE))*($T99*(1-$F99)+$S99*(1-$G99))*((1+Inputs!$D$7)^BQ$2))))))))</f>
        <v>0</v>
      </c>
      <c r="BR99" s="88">
        <f>MAX(AB99,($E99*IF(BR$2&gt;Inputs!$D$5,0,IF(BR$2&gt;VLOOKUP($H99,Lists!$P$3:$Q$7,2),IF($N99=Lists!$K$3,IF($L99&lt;1,(($U99/$L99)*((1+Inputs!$D$7)^BR$2)),((INT(BR$2/$L99)-INT((BR$2-1)/$L99))*$U99*((1+Inputs!$D$7)^BR$2))),(Inputs!$D$8^((1-_xlfn.WEIBULL.DIST(BR$2,$M99,$L99,FALSE))/_xlfn.WEIBULL.DIST(BR$2,$M99,$L99,FALSE))*$U99*((1+Inputs!$D$7)^BR$2))),IF($N99=Lists!$K$3,IF($L99&lt;1,((($T99*(1-$F99)+$S99*(1-$G99))/$L99)*((1+Inputs!$D$7)^BR$2)),((INT(BR$2/$L99)-INT((BR$2-1)/$L99))*($T99*(1-$F99)+$S99*(1-$G99))*((1+Inputs!$D$7)^BR$2))),((Inputs!$D$8^((1-_xlfn.WEIBULL.DIST(BR$2,$M99,$L99,FALSE))/_xlfn.WEIBULL.DIST(BR$2,$M99,$L99,FALSE))*($T99*(1-$F99)+$S99*(1-$G99))*((1+Inputs!$D$7)^BR$2))))))))</f>
        <v>0</v>
      </c>
      <c r="BS99" s="88">
        <f>MAX(AC99,($E99*IF(BS$2&gt;Inputs!$D$5,0,IF(BS$2&gt;VLOOKUP($H99,Lists!$P$3:$Q$7,2),IF($N99=Lists!$K$3,IF($L99&lt;1,(($U99/$L99)*((1+Inputs!$D$7)^BS$2)),((INT(BS$2/$L99)-INT((BS$2-1)/$L99))*$U99*((1+Inputs!$D$7)^BS$2))),(Inputs!$D$8^((1-_xlfn.WEIBULL.DIST(BS$2,$M99,$L99,FALSE))/_xlfn.WEIBULL.DIST(BS$2,$M99,$L99,FALSE))*$U99*((1+Inputs!$D$7)^BS$2))),IF($N99=Lists!$K$3,IF($L99&lt;1,((($T99*(1-$F99)+$S99*(1-$G99))/$L99)*((1+Inputs!$D$7)^BS$2)),((INT(BS$2/$L99)-INT((BS$2-1)/$L99))*($T99*(1-$F99)+$S99*(1-$G99))*((1+Inputs!$D$7)^BS$2))),((Inputs!$D$8^((1-_xlfn.WEIBULL.DIST(BS$2,$M99,$L99,FALSE))/_xlfn.WEIBULL.DIST(BS$2,$M99,$L99,FALSE))*($T99*(1-$F99)+$S99*(1-$G99))*((1+Inputs!$D$7)^BS$2))))))))</f>
        <v>0</v>
      </c>
      <c r="BT99" s="88">
        <f>MAX(AD99,($E99*IF(BT$2&gt;Inputs!$D$5,0,IF(BT$2&gt;VLOOKUP($H99,Lists!$P$3:$Q$7,2),IF($N99=Lists!$K$3,IF($L99&lt;1,(($U99/$L99)*((1+Inputs!$D$7)^BT$2)),((INT(BT$2/$L99)-INT((BT$2-1)/$L99))*$U99*((1+Inputs!$D$7)^BT$2))),(Inputs!$D$8^((1-_xlfn.WEIBULL.DIST(BT$2,$M99,$L99,FALSE))/_xlfn.WEIBULL.DIST(BT$2,$M99,$L99,FALSE))*$U99*((1+Inputs!$D$7)^BT$2))),IF($N99=Lists!$K$3,IF($L99&lt;1,((($T99*(1-$F99)+$S99*(1-$G99))/$L99)*((1+Inputs!$D$7)^BT$2)),((INT(BT$2/$L99)-INT((BT$2-1)/$L99))*($T99*(1-$F99)+$S99*(1-$G99))*((1+Inputs!$D$7)^BT$2))),((Inputs!$D$8^((1-_xlfn.WEIBULL.DIST(BT$2,$M99,$L99,FALSE))/_xlfn.WEIBULL.DIST(BT$2,$M99,$L99,FALSE))*($T99*(1-$F99)+$S99*(1-$G99))*((1+Inputs!$D$7)^BT$2))))))))</f>
        <v>0</v>
      </c>
      <c r="BU99" s="88">
        <f>MAX(AE99,($E99*IF(BU$2&gt;Inputs!$D$5,0,IF(BU$2&gt;VLOOKUP($H99,Lists!$P$3:$Q$7,2),IF($N99=Lists!$K$3,IF($L99&lt;1,(($U99/$L99)*((1+Inputs!$D$7)^BU$2)),((INT(BU$2/$L99)-INT((BU$2-1)/$L99))*$U99*((1+Inputs!$D$7)^BU$2))),(Inputs!$D$8^((1-_xlfn.WEIBULL.DIST(BU$2,$M99,$L99,FALSE))/_xlfn.WEIBULL.DIST(BU$2,$M99,$L99,FALSE))*$U99*((1+Inputs!$D$7)^BU$2))),IF($N99=Lists!$K$3,IF($L99&lt;1,((($T99*(1-$F99)+$S99*(1-$G99))/$L99)*((1+Inputs!$D$7)^BU$2)),((INT(BU$2/$L99)-INT((BU$2-1)/$L99))*($T99*(1-$F99)+$S99*(1-$G99))*((1+Inputs!$D$7)^BU$2))),((Inputs!$D$8^((1-_xlfn.WEIBULL.DIST(BU$2,$M99,$L99,FALSE))/_xlfn.WEIBULL.DIST(BU$2,$M99,$L99,FALSE))*($T99*(1-$F99)+$S99*(1-$G99))*((1+Inputs!$D$7)^BU$2))))))))</f>
        <v>1336.0041228818077</v>
      </c>
      <c r="BV99" s="88">
        <f>MAX(AF99,($E99*IF(BV$2&gt;Inputs!$D$5,0,IF(BV$2&gt;VLOOKUP($H99,Lists!$P$3:$Q$7,2),IF($N99=Lists!$K$3,IF($L99&lt;1,(($U99/$L99)*((1+Inputs!$D$7)^BV$2)),((INT(BV$2/$L99)-INT((BV$2-1)/$L99))*$U99*((1+Inputs!$D$7)^BV$2))),(Inputs!$D$8^((1-_xlfn.WEIBULL.DIST(BV$2,$M99,$L99,FALSE))/_xlfn.WEIBULL.DIST(BV$2,$M99,$L99,FALSE))*$U99*((1+Inputs!$D$7)^BV$2))),IF($N99=Lists!$K$3,IF($L99&lt;1,((($T99*(1-$F99)+$S99*(1-$G99))/$L99)*((1+Inputs!$D$7)^BV$2)),((INT(BV$2/$L99)-INT((BV$2-1)/$L99))*($T99*(1-$F99)+$S99*(1-$G99))*((1+Inputs!$D$7)^BV$2))),((Inputs!$D$8^((1-_xlfn.WEIBULL.DIST(BV$2,$M99,$L99,FALSE))/_xlfn.WEIBULL.DIST(BV$2,$M99,$L99,FALSE))*($T99*(1-$F99)+$S99*(1-$G99))*((1+Inputs!$D$7)^BV$2))))))))</f>
        <v>0</v>
      </c>
      <c r="BW99" s="88">
        <f>MAX(AG99,($E99*IF(BW$2&gt;Inputs!$D$5,0,IF(BW$2&gt;VLOOKUP($H99,Lists!$P$3:$Q$7,2),IF($N99=Lists!$K$3,IF($L99&lt;1,(($U99/$L99)*((1+Inputs!$D$7)^BW$2)),((INT(BW$2/$L99)-INT((BW$2-1)/$L99))*$U99*((1+Inputs!$D$7)^BW$2))),(Inputs!$D$8^((1-_xlfn.WEIBULL.DIST(BW$2,$M99,$L99,FALSE))/_xlfn.WEIBULL.DIST(BW$2,$M99,$L99,FALSE))*$U99*((1+Inputs!$D$7)^BW$2))),IF($N99=Lists!$K$3,IF($L99&lt;1,((($T99*(1-$F99)+$S99*(1-$G99))/$L99)*((1+Inputs!$D$7)^BW$2)),((INT(BW$2/$L99)-INT((BW$2-1)/$L99))*($T99*(1-$F99)+$S99*(1-$G99))*((1+Inputs!$D$7)^BW$2))),((Inputs!$D$8^((1-_xlfn.WEIBULL.DIST(BW$2,$M99,$L99,FALSE))/_xlfn.WEIBULL.DIST(BW$2,$M99,$L99,FALSE))*($T99*(1-$F99)+$S99*(1-$G99))*((1+Inputs!$D$7)^BW$2))))))))</f>
        <v>0</v>
      </c>
      <c r="BX99" s="88">
        <f>MAX(AH99,($E99*IF(BX$2&gt;Inputs!$D$5,0,IF(BX$2&gt;VLOOKUP($H99,Lists!$P$3:$Q$7,2),IF($N99=Lists!$K$3,IF($L99&lt;1,(($U99/$L99)*((1+Inputs!$D$7)^BX$2)),((INT(BX$2/$L99)-INT((BX$2-1)/$L99))*$U99*((1+Inputs!$D$7)^BX$2))),(Inputs!$D$8^((1-_xlfn.WEIBULL.DIST(BX$2,$M99,$L99,FALSE))/_xlfn.WEIBULL.DIST(BX$2,$M99,$L99,FALSE))*$U99*((1+Inputs!$D$7)^BX$2))),IF($N99=Lists!$K$3,IF($L99&lt;1,((($T99*(1-$F99)+$S99*(1-$G99))/$L99)*((1+Inputs!$D$7)^BX$2)),((INT(BX$2/$L99)-INT((BX$2-1)/$L99))*($T99*(1-$F99)+$S99*(1-$G99))*((1+Inputs!$D$7)^BX$2))),((Inputs!$D$8^((1-_xlfn.WEIBULL.DIST(BX$2,$M99,$L99,FALSE))/_xlfn.WEIBULL.DIST(BX$2,$M99,$L99,FALSE))*($T99*(1-$F99)+$S99*(1-$G99))*((1+Inputs!$D$7)^BX$2))))))))</f>
        <v>0</v>
      </c>
      <c r="BY99" s="88">
        <f>MAX(AI99,($E99*IF(BY$2&gt;Inputs!$D$5,0,IF(BY$2&gt;VLOOKUP($H99,Lists!$P$3:$Q$7,2),IF($N99=Lists!$K$3,IF($L99&lt;1,(($U99/$L99)*((1+Inputs!$D$7)^BY$2)),((INT(BY$2/$L99)-INT((BY$2-1)/$L99))*$U99*((1+Inputs!$D$7)^BY$2))),(Inputs!$D$8^((1-_xlfn.WEIBULL.DIST(BY$2,$M99,$L99,FALSE))/_xlfn.WEIBULL.DIST(BY$2,$M99,$L99,FALSE))*$U99*((1+Inputs!$D$7)^BY$2))),IF($N99=Lists!$K$3,IF($L99&lt;1,((($T99*(1-$F99)+$S99*(1-$G99))/$L99)*((1+Inputs!$D$7)^BY$2)),((INT(BY$2/$L99)-INT((BY$2-1)/$L99))*($T99*(1-$F99)+$S99*(1-$G99))*((1+Inputs!$D$7)^BY$2))),((Inputs!$D$8^((1-_xlfn.WEIBULL.DIST(BY$2,$M99,$L99,FALSE))/_xlfn.WEIBULL.DIST(BY$2,$M99,$L99,FALSE))*($T99*(1-$F99)+$S99*(1-$G99))*((1+Inputs!$D$7)^BY$2))))))))</f>
        <v>0</v>
      </c>
      <c r="BZ99" s="88">
        <f>MAX(AJ99,($E99*IF(BZ$2&gt;Inputs!$D$5,0,IF(BZ$2&gt;VLOOKUP($H99,Lists!$P$3:$Q$7,2),IF($N99=Lists!$K$3,IF($L99&lt;1,(($U99/$L99)*((1+Inputs!$D$7)^BZ$2)),((INT(BZ$2/$L99)-INT((BZ$2-1)/$L99))*$U99*((1+Inputs!$D$7)^BZ$2))),(Inputs!$D$8^((1-_xlfn.WEIBULL.DIST(BZ$2,$M99,$L99,FALSE))/_xlfn.WEIBULL.DIST(BZ$2,$M99,$L99,FALSE))*$U99*((1+Inputs!$D$7)^BZ$2))),IF($N99=Lists!$K$3,IF($L99&lt;1,((($T99*(1-$F99)+$S99*(1-$G99))/$L99)*((1+Inputs!$D$7)^BZ$2)),((INT(BZ$2/$L99)-INT((BZ$2-1)/$L99))*($T99*(1-$F99)+$S99*(1-$G99))*((1+Inputs!$D$7)^BZ$2))),((Inputs!$D$8^((1-_xlfn.WEIBULL.DIST(BZ$2,$M99,$L99,FALSE))/_xlfn.WEIBULL.DIST(BZ$2,$M99,$L99,FALSE))*($T99*(1-$F99)+$S99*(1-$G99))*((1+Inputs!$D$7)^BZ$2))))))))</f>
        <v>1475.0565050698578</v>
      </c>
      <c r="CA99" s="88">
        <f>MAX(AK99,($E99*IF(CA$2&gt;Inputs!$D$5,0,IF(CA$2&gt;VLOOKUP($H99,Lists!$P$3:$Q$7,2),IF($N99=Lists!$K$3,IF($L99&lt;1,(($U99/$L99)*((1+Inputs!$D$7)^CA$2)),((INT(CA$2/$L99)-INT((CA$2-1)/$L99))*$U99*((1+Inputs!$D$7)^CA$2))),(Inputs!$D$8^((1-_xlfn.WEIBULL.DIST(CA$2,$M99,$L99,FALSE))/_xlfn.WEIBULL.DIST(CA$2,$M99,$L99,FALSE))*$U99*((1+Inputs!$D$7)^CA$2))),IF($N99=Lists!$K$3,IF($L99&lt;1,((($T99*(1-$F99)+$S99*(1-$G99))/$L99)*((1+Inputs!$D$7)^CA$2)),((INT(CA$2/$L99)-INT((CA$2-1)/$L99))*($T99*(1-$F99)+$S99*(1-$G99))*((1+Inputs!$D$7)^CA$2))),((Inputs!$D$8^((1-_xlfn.WEIBULL.DIST(CA$2,$M99,$L99,FALSE))/_xlfn.WEIBULL.DIST(CA$2,$M99,$L99,FALSE))*($T99*(1-$F99)+$S99*(1-$G99))*((1+Inputs!$D$7)^CA$2))))))))</f>
        <v>0</v>
      </c>
      <c r="CB99" s="88">
        <f>MAX(AL99,($E99*IF(CB$2&gt;Inputs!$D$5,0,IF(CB$2&gt;VLOOKUP($H99,Lists!$P$3:$Q$7,2),IF($N99=Lists!$K$3,IF($L99&lt;1,(($U99/$L99)*((1+Inputs!$D$7)^CB$2)),((INT(CB$2/$L99)-INT((CB$2-1)/$L99))*$U99*((1+Inputs!$D$7)^CB$2))),(Inputs!$D$8^((1-_xlfn.WEIBULL.DIST(CB$2,$M99,$L99,FALSE))/_xlfn.WEIBULL.DIST(CB$2,$M99,$L99,FALSE))*$U99*((1+Inputs!$D$7)^CB$2))),IF($N99=Lists!$K$3,IF($L99&lt;1,((($T99*(1-$F99)+$S99*(1-$G99))/$L99)*((1+Inputs!$D$7)^CB$2)),((INT(CB$2/$L99)-INT((CB$2-1)/$L99))*($T99*(1-$F99)+$S99*(1-$G99))*((1+Inputs!$D$7)^CB$2))),((Inputs!$D$8^((1-_xlfn.WEIBULL.DIST(CB$2,$M99,$L99,FALSE))/_xlfn.WEIBULL.DIST(CB$2,$M99,$L99,FALSE))*($T99*(1-$F99)+$S99*(1-$G99))*((1+Inputs!$D$7)^CB$2))))))))</f>
        <v>0</v>
      </c>
      <c r="CC99" s="88">
        <f>MAX(AM99,($E99*IF(CC$2&gt;Inputs!$D$5,0,IF(CC$2&gt;VLOOKUP($H99,Lists!$P$3:$Q$7,2),IF($N99=Lists!$K$3,IF($L99&lt;1,(($U99/$L99)*((1+Inputs!$D$7)^CC$2)),((INT(CC$2/$L99)-INT((CC$2-1)/$L99))*$U99*((1+Inputs!$D$7)^CC$2))),(Inputs!$D$8^((1-_xlfn.WEIBULL.DIST(CC$2,$M99,$L99,FALSE))/_xlfn.WEIBULL.DIST(CC$2,$M99,$L99,FALSE))*$U99*((1+Inputs!$D$7)^CC$2))),IF($N99=Lists!$K$3,IF($L99&lt;1,((($T99*(1-$F99)+$S99*(1-$G99))/$L99)*((1+Inputs!$D$7)^CC$2)),((INT(CC$2/$L99)-INT((CC$2-1)/$L99))*($T99*(1-$F99)+$S99*(1-$G99))*((1+Inputs!$D$7)^CC$2))),((Inputs!$D$8^((1-_xlfn.WEIBULL.DIST(CC$2,$M99,$L99,FALSE))/_xlfn.WEIBULL.DIST(CC$2,$M99,$L99,FALSE))*($T99*(1-$F99)+$S99*(1-$G99))*((1+Inputs!$D$7)^CC$2))))))))</f>
        <v>0</v>
      </c>
      <c r="CD99" s="88">
        <f>MAX(AN99,($E99*IF(CD$2&gt;Inputs!$D$5,0,IF(CD$2&gt;VLOOKUP($H99,Lists!$P$3:$Q$7,2),IF($N99=Lists!$K$3,IF($L99&lt;1,(($U99/$L99)*((1+Inputs!$D$7)^CD$2)),((INT(CD$2/$L99)-INT((CD$2-1)/$L99))*$U99*((1+Inputs!$D$7)^CD$2))),(Inputs!$D$8^((1-_xlfn.WEIBULL.DIST(CD$2,$M99,$L99,FALSE))/_xlfn.WEIBULL.DIST(CD$2,$M99,$L99,FALSE))*$U99*((1+Inputs!$D$7)^CD$2))),IF($N99=Lists!$K$3,IF($L99&lt;1,((($T99*(1-$F99)+$S99*(1-$G99))/$L99)*((1+Inputs!$D$7)^CD$2)),((INT(CD$2/$L99)-INT((CD$2-1)/$L99))*($T99*(1-$F99)+$S99*(1-$G99))*((1+Inputs!$D$7)^CD$2))),((Inputs!$D$8^((1-_xlfn.WEIBULL.DIST(CD$2,$M99,$L99,FALSE))/_xlfn.WEIBULL.DIST(CD$2,$M99,$L99,FALSE))*($T99*(1-$F99)+$S99*(1-$G99))*((1+Inputs!$D$7)^CD$2))))))))</f>
        <v>0</v>
      </c>
      <c r="CE99" s="88">
        <f>MAX(AO99,($E99*IF(CE$2&gt;Inputs!$D$5,0,IF(CE$2&gt;VLOOKUP($H99,Lists!$P$3:$Q$7,2),IF($N99=Lists!$K$3,IF($L99&lt;1,(($U99/$L99)*((1+Inputs!$D$7)^CE$2)),((INT(CE$2/$L99)-INT((CE$2-1)/$L99))*$U99*((1+Inputs!$D$7)^CE$2))),(Inputs!$D$8^((1-_xlfn.WEIBULL.DIST(CE$2,$M99,$L99,FALSE))/_xlfn.WEIBULL.DIST(CE$2,$M99,$L99,FALSE))*$U99*((1+Inputs!$D$7)^CE$2))),IF($N99=Lists!$K$3,IF($L99&lt;1,((($T99*(1-$F99)+$S99*(1-$G99))/$L99)*((1+Inputs!$D$7)^CE$2)),((INT(CE$2/$L99)-INT((CE$2-1)/$L99))*($T99*(1-$F99)+$S99*(1-$G99))*((1+Inputs!$D$7)^CE$2))),((Inputs!$D$8^((1-_xlfn.WEIBULL.DIST(CE$2,$M99,$L99,FALSE))/_xlfn.WEIBULL.DIST(CE$2,$M99,$L99,FALSE))*($T99*(1-$F99)+$S99*(1-$G99))*((1+Inputs!$D$7)^CE$2))))))))</f>
        <v>1628.581570882913</v>
      </c>
      <c r="CF99" s="88">
        <f>MAX(AP99,($E99*IF(CF$2&gt;Inputs!$D$5,0,IF(CF$2&gt;VLOOKUP($H99,Lists!$P$3:$Q$7,2),IF($N99=Lists!$K$3,IF($L99&lt;1,(($U99/$L99)*((1+Inputs!$D$7)^CF$2)),((INT(CF$2/$L99)-INT((CF$2-1)/$L99))*$U99*((1+Inputs!$D$7)^CF$2))),(Inputs!$D$8^((1-_xlfn.WEIBULL.DIST(CF$2,$M99,$L99,FALSE))/_xlfn.WEIBULL.DIST(CF$2,$M99,$L99,FALSE))*$U99*((1+Inputs!$D$7)^CF$2))),IF($N99=Lists!$K$3,IF($L99&lt;1,((($T99*(1-$F99)+$S99*(1-$G99))/$L99)*((1+Inputs!$D$7)^CF$2)),((INT(CF$2/$L99)-INT((CF$2-1)/$L99))*($T99*(1-$F99)+$S99*(1-$G99))*((1+Inputs!$D$7)^CF$2))),((Inputs!$D$8^((1-_xlfn.WEIBULL.DIST(CF$2,$M99,$L99,FALSE))/_xlfn.WEIBULL.DIST(CF$2,$M99,$L99,FALSE))*($T99*(1-$F99)+$S99*(1-$G99))*((1+Inputs!$D$7)^CF$2))))))))</f>
        <v>0</v>
      </c>
      <c r="CG99" s="88">
        <f>MAX(AQ99,($E99*IF(CG$2&gt;Inputs!$D$5,0,IF(CG$2&gt;VLOOKUP($H99,Lists!$P$3:$Q$7,2),IF($N99=Lists!$K$3,IF($L99&lt;1,(($U99/$L99)*((1+Inputs!$D$7)^CG$2)),((INT(CG$2/$L99)-INT((CG$2-1)/$L99))*$U99*((1+Inputs!$D$7)^CG$2))),(Inputs!$D$8^((1-_xlfn.WEIBULL.DIST(CG$2,$M99,$L99,FALSE))/_xlfn.WEIBULL.DIST(CG$2,$M99,$L99,FALSE))*$U99*((1+Inputs!$D$7)^CG$2))),IF($N99=Lists!$K$3,IF($L99&lt;1,((($T99*(1-$F99)+$S99*(1-$G99))/$L99)*((1+Inputs!$D$7)^CG$2)),((INT(CG$2/$L99)-INT((CG$2-1)/$L99))*($T99*(1-$F99)+$S99*(1-$G99))*((1+Inputs!$D$7)^CG$2))),((Inputs!$D$8^((1-_xlfn.WEIBULL.DIST(CG$2,$M99,$L99,FALSE))/_xlfn.WEIBULL.DIST(CG$2,$M99,$L99,FALSE))*($T99*(1-$F99)+$S99*(1-$G99))*((1+Inputs!$D$7)^CG$2))))))))</f>
        <v>0</v>
      </c>
      <c r="CH99" s="88">
        <f>MAX(AR99,($E99*IF(CH$2&gt;Inputs!$D$5,0,IF(CH$2&gt;VLOOKUP($H99,Lists!$P$3:$Q$7,2),IF($N99=Lists!$K$3,IF($L99&lt;1,(($U99/$L99)*((1+Inputs!$D$7)^CH$2)),((INT(CH$2/$L99)-INT((CH$2-1)/$L99))*$U99*((1+Inputs!$D$7)^CH$2))),(Inputs!$D$8^((1-_xlfn.WEIBULL.DIST(CH$2,$M99,$L99,FALSE))/_xlfn.WEIBULL.DIST(CH$2,$M99,$L99,FALSE))*$U99*((1+Inputs!$D$7)^CH$2))),IF($N99=Lists!$K$3,IF($L99&lt;1,((($T99*(1-$F99)+$S99*(1-$G99))/$L99)*((1+Inputs!$D$7)^CH$2)),((INT(CH$2/$L99)-INT((CH$2-1)/$L99))*($T99*(1-$F99)+$S99*(1-$G99))*((1+Inputs!$D$7)^CH$2))),((Inputs!$D$8^((1-_xlfn.WEIBULL.DIST(CH$2,$M99,$L99,FALSE))/_xlfn.WEIBULL.DIST(CH$2,$M99,$L99,FALSE))*($T99*(1-$F99)+$S99*(1-$G99))*((1+Inputs!$D$7)^CH$2))))))))</f>
        <v>0</v>
      </c>
      <c r="CI99" s="88">
        <f>MAX(AS99,($E99*IF(CI$2&gt;Inputs!$D$5,0,IF(CI$2&gt;VLOOKUP($H99,Lists!$P$3:$Q$7,2),IF($N99=Lists!$K$3,IF($L99&lt;1,(($U99/$L99)*((1+Inputs!$D$7)^CI$2)),((INT(CI$2/$L99)-INT((CI$2-1)/$L99))*$U99*((1+Inputs!$D$7)^CI$2))),(Inputs!$D$8^((1-_xlfn.WEIBULL.DIST(CI$2,$M99,$L99,FALSE))/_xlfn.WEIBULL.DIST(CI$2,$M99,$L99,FALSE))*$U99*((1+Inputs!$D$7)^CI$2))),IF($N99=Lists!$K$3,IF($L99&lt;1,((($T99*(1-$F99)+$S99*(1-$G99))/$L99)*((1+Inputs!$D$7)^CI$2)),((INT(CI$2/$L99)-INT((CI$2-1)/$L99))*($T99*(1-$F99)+$S99*(1-$G99))*((1+Inputs!$D$7)^CI$2))),((Inputs!$D$8^((1-_xlfn.WEIBULL.DIST(CI$2,$M99,$L99,FALSE))/_xlfn.WEIBULL.DIST(CI$2,$M99,$L99,FALSE))*($T99*(1-$F99)+$S99*(1-$G99))*((1+Inputs!$D$7)^CI$2))))))))</f>
        <v>0</v>
      </c>
      <c r="CJ99" s="88">
        <f>MAX(AT99,($E99*IF(CJ$2&gt;Inputs!$D$5,0,IF(CJ$2&gt;VLOOKUP($H99,Lists!$P$3:$Q$7,2),IF($N99=Lists!$K$3,IF($L99&lt;1,(($U99/$L99)*((1+Inputs!$D$7)^CJ$2)),((INT(CJ$2/$L99)-INT((CJ$2-1)/$L99))*$U99*((1+Inputs!$D$7)^CJ$2))),(Inputs!$D$8^((1-_xlfn.WEIBULL.DIST(CJ$2,$M99,$L99,FALSE))/_xlfn.WEIBULL.DIST(CJ$2,$M99,$L99,FALSE))*$U99*((1+Inputs!$D$7)^CJ$2))),IF($N99=Lists!$K$3,IF($L99&lt;1,((($T99*(1-$F99)+$S99*(1-$G99))/$L99)*((1+Inputs!$D$7)^CJ$2)),((INT(CJ$2/$L99)-INT((CJ$2-1)/$L99))*($T99*(1-$F99)+$S99*(1-$G99))*((1+Inputs!$D$7)^CJ$2))),((Inputs!$D$8^((1-_xlfn.WEIBULL.DIST(CJ$2,$M99,$L99,FALSE))/_xlfn.WEIBULL.DIST(CJ$2,$M99,$L99,FALSE))*($T99*(1-$F99)+$S99*(1-$G99))*((1+Inputs!$D$7)^CJ$2))))))))</f>
        <v>1798.0856488571246</v>
      </c>
      <c r="CK99" s="88">
        <f>MAX(AU99,($E99*IF(CK$2&gt;Inputs!$D$5,0,IF(CK$2&gt;VLOOKUP($H99,Lists!$P$3:$Q$7,2),IF($N99=Lists!$K$3,IF($L99&lt;1,(($U99/$L99)*((1+Inputs!$D$7)^CK$2)),((INT(CK$2/$L99)-INT((CK$2-1)/$L99))*$U99*((1+Inputs!$D$7)^CK$2))),(Inputs!$D$8^((1-_xlfn.WEIBULL.DIST(CK$2,$M99,$L99,FALSE))/_xlfn.WEIBULL.DIST(CK$2,$M99,$L99,FALSE))*$U99*((1+Inputs!$D$7)^CK$2))),IF($N99=Lists!$K$3,IF($L99&lt;1,((($T99*(1-$F99)+$S99*(1-$G99))/$L99)*((1+Inputs!$D$7)^CK$2)),((INT(CK$2/$L99)-INT((CK$2-1)/$L99))*($T99*(1-$F99)+$S99*(1-$G99))*((1+Inputs!$D$7)^CK$2))),((Inputs!$D$8^((1-_xlfn.WEIBULL.DIST(CK$2,$M99,$L99,FALSE))/_xlfn.WEIBULL.DIST(CK$2,$M99,$L99,FALSE))*($T99*(1-$F99)+$S99*(1-$G99))*((1+Inputs!$D$7)^CK$2))))))))</f>
        <v>0</v>
      </c>
      <c r="CL99" s="88">
        <f>MAX(AV99,($E99*IF(CL$2&gt;Inputs!$D$5,0,IF(CL$2&gt;VLOOKUP($H99,Lists!$P$3:$Q$7,2),IF($N99=Lists!$K$3,IF($L99&lt;1,(($U99/$L99)*((1+Inputs!$D$7)^CL$2)),((INT(CL$2/$L99)-INT((CL$2-1)/$L99))*$U99*((1+Inputs!$D$7)^CL$2))),(Inputs!$D$8^((1-_xlfn.WEIBULL.DIST(CL$2,$M99,$L99,FALSE))/_xlfn.WEIBULL.DIST(CL$2,$M99,$L99,FALSE))*$U99*((1+Inputs!$D$7)^CL$2))),IF($N99=Lists!$K$3,IF($L99&lt;1,((($T99*(1-$F99)+$S99*(1-$G99))/$L99)*((1+Inputs!$D$7)^CL$2)),((INT(CL$2/$L99)-INT((CL$2-1)/$L99))*($T99*(1-$F99)+$S99*(1-$G99))*((1+Inputs!$D$7)^CL$2))),((Inputs!$D$8^((1-_xlfn.WEIBULL.DIST(CL$2,$M99,$L99,FALSE))/_xlfn.WEIBULL.DIST(CL$2,$M99,$L99,FALSE))*($T99*(1-$F99)+$S99*(1-$G99))*((1+Inputs!$D$7)^CL$2))))))))</f>
        <v>0</v>
      </c>
      <c r="CM99" s="88">
        <f>MAX(AW99,($E99*IF(CM$2&gt;Inputs!$D$5,0,IF(CM$2&gt;VLOOKUP($H99,Lists!$P$3:$Q$7,2),IF($N99=Lists!$K$3,IF($L99&lt;1,(($U99/$L99)*((1+Inputs!$D$7)^CM$2)),((INT(CM$2/$L99)-INT((CM$2-1)/$L99))*$U99*((1+Inputs!$D$7)^CM$2))),(Inputs!$D$8^((1-_xlfn.WEIBULL.DIST(CM$2,$M99,$L99,FALSE))/_xlfn.WEIBULL.DIST(CM$2,$M99,$L99,FALSE))*$U99*((1+Inputs!$D$7)^CM$2))),IF($N99=Lists!$K$3,IF($L99&lt;1,((($T99*(1-$F99)+$S99*(1-$G99))/$L99)*((1+Inputs!$D$7)^CM$2)),((INT(CM$2/$L99)-INT((CM$2-1)/$L99))*($T99*(1-$F99)+$S99*(1-$G99))*((1+Inputs!$D$7)^CM$2))),((Inputs!$D$8^((1-_xlfn.WEIBULL.DIST(CM$2,$M99,$L99,FALSE))/_xlfn.WEIBULL.DIST(CM$2,$M99,$L99,FALSE))*($T99*(1-$F99)+$S99*(1-$G99))*((1+Inputs!$D$7)^CM$2))))))))</f>
        <v>0</v>
      </c>
      <c r="CN99" s="88">
        <f>MAX(AX99,($E99*IF(CN$2&gt;Inputs!$D$5,0,IF(CN$2&gt;VLOOKUP($H99,Lists!$P$3:$Q$7,2),IF($N99=Lists!$K$3,IF($L99&lt;1,(($U99/$L99)*((1+Inputs!$D$7)^CN$2)),((INT(CN$2/$L99)-INT((CN$2-1)/$L99))*$U99*((1+Inputs!$D$7)^CN$2))),(Inputs!$D$8^((1-_xlfn.WEIBULL.DIST(CN$2,$M99,$L99,FALSE))/_xlfn.WEIBULL.DIST(CN$2,$M99,$L99,FALSE))*$U99*((1+Inputs!$D$7)^CN$2))),IF($N99=Lists!$K$3,IF($L99&lt;1,((($T99*(1-$F99)+$S99*(1-$G99))/$L99)*((1+Inputs!$D$7)^CN$2)),((INT(CN$2/$L99)-INT((CN$2-1)/$L99))*($T99*(1-$F99)+$S99*(1-$G99))*((1+Inputs!$D$7)^CN$2))),((Inputs!$D$8^((1-_xlfn.WEIBULL.DIST(CN$2,$M99,$L99,FALSE))/_xlfn.WEIBULL.DIST(CN$2,$M99,$L99,FALSE))*($T99*(1-$F99)+$S99*(1-$G99))*((1+Inputs!$D$7)^CN$2))))))))</f>
        <v>0</v>
      </c>
      <c r="CO99" s="88">
        <f>MAX(AY99,($E99*IF(CO$2&gt;Inputs!$D$5,0,IF(CO$2&gt;VLOOKUP($H99,Lists!$P$3:$Q$7,2),IF($N99=Lists!$K$3,IF($L99&lt;1,(($U99/$L99)*((1+Inputs!$D$7)^CO$2)),((INT(CO$2/$L99)-INT((CO$2-1)/$L99))*$U99*((1+Inputs!$D$7)^CO$2))),(Inputs!$D$8^((1-_xlfn.WEIBULL.DIST(CO$2,$M99,$L99,FALSE))/_xlfn.WEIBULL.DIST(CO$2,$M99,$L99,FALSE))*$U99*((1+Inputs!$D$7)^CO$2))),IF($N99=Lists!$K$3,IF($L99&lt;1,((($T99*(1-$F99)+$S99*(1-$G99))/$L99)*((1+Inputs!$D$7)^CO$2)),((INT(CO$2/$L99)-INT((CO$2-1)/$L99))*($T99*(1-$F99)+$S99*(1-$G99))*((1+Inputs!$D$7)^CO$2))),((Inputs!$D$8^((1-_xlfn.WEIBULL.DIST(CO$2,$M99,$L99,FALSE))/_xlfn.WEIBULL.DIST(CO$2,$M99,$L99,FALSE))*($T99*(1-$F99)+$S99*(1-$G99))*((1+Inputs!$D$7)^CO$2))))))))</f>
        <v>1985.231847412567</v>
      </c>
      <c r="CP99" s="88">
        <f>MAX(AZ99,($E99*IF(CP$2&gt;Inputs!$D$5,0,IF(CP$2&gt;VLOOKUP($H99,Lists!$P$3:$Q$7,2),IF($N99=Lists!$K$3,IF($L99&lt;1,(($U99/$L99)*((1+Inputs!$D$7)^CP$2)),((INT(CP$2/$L99)-INT((CP$2-1)/$L99))*$U99*((1+Inputs!$D$7)^CP$2))),(Inputs!$D$8^((1-_xlfn.WEIBULL.DIST(CP$2,$M99,$L99,FALSE))/_xlfn.WEIBULL.DIST(CP$2,$M99,$L99,FALSE))*$U99*((1+Inputs!$D$7)^CP$2))),IF($N99=Lists!$K$3,IF($L99&lt;1,((($T99*(1-$F99)+$S99*(1-$G99))/$L99)*((1+Inputs!$D$7)^CP$2)),((INT(CP$2/$L99)-INT((CP$2-1)/$L99))*($T99*(1-$F99)+$S99*(1-$G99))*((1+Inputs!$D$7)^CP$2))),((Inputs!$D$8^((1-_xlfn.WEIBULL.DIST(CP$2,$M99,$L99,FALSE))/_xlfn.WEIBULL.DIST(CP$2,$M99,$L99,FALSE))*($T99*(1-$F99)+$S99*(1-$G99))*((1+Inputs!$D$7)^CP$2))))))))</f>
        <v>0</v>
      </c>
      <c r="CQ99" s="88">
        <f>MAX(BA99,($E99*IF(CQ$2&gt;Inputs!$D$5,0,IF(CQ$2&gt;VLOOKUP($H99,Lists!$P$3:$Q$7,2),IF($N99=Lists!$K$3,IF($L99&lt;1,(($U99/$L99)*((1+Inputs!$D$7)^CQ$2)),((INT(CQ$2/$L99)-INT((CQ$2-1)/$L99))*$U99*((1+Inputs!$D$7)^CQ$2))),(Inputs!$D$8^((1-_xlfn.WEIBULL.DIST(CQ$2,$M99,$L99,FALSE))/_xlfn.WEIBULL.DIST(CQ$2,$M99,$L99,FALSE))*$U99*((1+Inputs!$D$7)^CQ$2))),IF($N99=Lists!$K$3,IF($L99&lt;1,((($T99*(1-$F99)+$S99*(1-$G99))/$L99)*((1+Inputs!$D$7)^CQ$2)),((INT(CQ$2/$L99)-INT((CQ$2-1)/$L99))*($T99*(1-$F99)+$S99*(1-$G99))*((1+Inputs!$D$7)^CQ$2))),((Inputs!$D$8^((1-_xlfn.WEIBULL.DIST(CQ$2,$M99,$L99,FALSE))/_xlfn.WEIBULL.DIST(CQ$2,$M99,$L99,FALSE))*($T99*(1-$F99)+$S99*(1-$G99))*((1+Inputs!$D$7)^CQ$2))))))))</f>
        <v>0</v>
      </c>
      <c r="CR99" s="88">
        <f>MAX(BB99,($E99*IF(CR$2&gt;Inputs!$D$5,0,IF(CR$2&gt;VLOOKUP($H99,Lists!$P$3:$Q$7,2),IF($N99=Lists!$K$3,IF($L99&lt;1,(($U99/$L99)*((1+Inputs!$D$7)^CR$2)),((INT(CR$2/$L99)-INT((CR$2-1)/$L99))*$U99*((1+Inputs!$D$7)^CR$2))),(Inputs!$D$8^((1-_xlfn.WEIBULL.DIST(CR$2,$M99,$L99,FALSE))/_xlfn.WEIBULL.DIST(CR$2,$M99,$L99,FALSE))*$U99*((1+Inputs!$D$7)^CR$2))),IF($N99=Lists!$K$3,IF($L99&lt;1,((($T99*(1-$F99)+$S99*(1-$G99))/$L99)*((1+Inputs!$D$7)^CR$2)),((INT(CR$2/$L99)-INT((CR$2-1)/$L99))*($T99*(1-$F99)+$S99*(1-$G99))*((1+Inputs!$D$7)^CR$2))),((Inputs!$D$8^((1-_xlfn.WEIBULL.DIST(CR$2,$M99,$L99,FALSE))/_xlfn.WEIBULL.DIST(CR$2,$M99,$L99,FALSE))*($T99*(1-$F99)+$S99*(1-$G99))*((1+Inputs!$D$7)^CR$2))))))))</f>
        <v>0</v>
      </c>
      <c r="CS99" s="88">
        <f>MAX(BC99,($E99*IF(CS$2&gt;Inputs!$D$5,0,IF(CS$2&gt;VLOOKUP($H99,Lists!$P$3:$Q$7,2),IF($N99=Lists!$K$3,IF($L99&lt;1,(($U99/$L99)*((1+Inputs!$D$7)^CS$2)),((INT(CS$2/$L99)-INT((CS$2-1)/$L99))*$U99*((1+Inputs!$D$7)^CS$2))),(Inputs!$D$8^((1-_xlfn.WEIBULL.DIST(CS$2,$M99,$L99,FALSE))/_xlfn.WEIBULL.DIST(CS$2,$M99,$L99,FALSE))*$U99*((1+Inputs!$D$7)^CS$2))),IF($N99=Lists!$K$3,IF($L99&lt;1,((($T99*(1-$F99)+$S99*(1-$G99))/$L99)*((1+Inputs!$D$7)^CS$2)),((INT(CS$2/$L99)-INT((CS$2-1)/$L99))*($T99*(1-$F99)+$S99*(1-$G99))*((1+Inputs!$D$7)^CS$2))),((Inputs!$D$8^((1-_xlfn.WEIBULL.DIST(CS$2,$M99,$L99,FALSE))/_xlfn.WEIBULL.DIST(CS$2,$M99,$L99,FALSE))*($T99*(1-$F99)+$S99*(1-$G99))*((1+Inputs!$D$7)^CS$2))))))))</f>
        <v>0</v>
      </c>
      <c r="CT99" s="88">
        <f>MAX(BD99,($E99*IF(CT$2&gt;Inputs!$D$5,0,IF(CT$2&gt;VLOOKUP($H99,Lists!$P$3:$Q$7,2),IF($N99=Lists!$K$3,IF($L99&lt;1,(($U99/$L99)*((1+Inputs!$D$7)^CT$2)),((INT(CT$2/$L99)-INT((CT$2-1)/$L99))*$U99*((1+Inputs!$D$7)^CT$2))),(Inputs!$D$8^((1-_xlfn.WEIBULL.DIST(CT$2,$M99,$L99,FALSE))/_xlfn.WEIBULL.DIST(CT$2,$M99,$L99,FALSE))*$U99*((1+Inputs!$D$7)^CT$2))),IF($N99=Lists!$K$3,IF($L99&lt;1,((($T99*(1-$F99)+$S99*(1-$G99))/$L99)*((1+Inputs!$D$7)^CT$2)),((INT(CT$2/$L99)-INT((CT$2-1)/$L99))*($T99*(1-$F99)+$S99*(1-$G99))*((1+Inputs!$D$7)^CT$2))),((Inputs!$D$8^((1-_xlfn.WEIBULL.DIST(CT$2,$M99,$L99,FALSE))/_xlfn.WEIBULL.DIST(CT$2,$M99,$L99,FALSE))*($T99*(1-$F99)+$S99*(1-$G99))*((1+Inputs!$D$7)^CT$2))))))))</f>
        <v>0</v>
      </c>
      <c r="CU99" s="88">
        <f>MAX(BE99,($E99*IF(CU$2&gt;Inputs!$D$5,0,IF(CU$2&gt;VLOOKUP($H99,Lists!$P$3:$Q$7,2),IF($N99=Lists!$K$3,IF($L99&lt;1,(($U99/$L99)*((1+Inputs!$D$7)^CU$2)),((INT(CU$2/$L99)-INT((CU$2-1)/$L99))*$U99*((1+Inputs!$D$7)^CU$2))),(Inputs!$D$8^((1-_xlfn.WEIBULL.DIST(CU$2,$M99,$L99,FALSE))/_xlfn.WEIBULL.DIST(CU$2,$M99,$L99,FALSE))*$U99*((1+Inputs!$D$7)^CU$2))),IF($N99=Lists!$K$3,IF($L99&lt;1,((($T99*(1-$F99)+$S99*(1-$G99))/$L99)*((1+Inputs!$D$7)^CU$2)),((INT(CU$2/$L99)-INT((CU$2-1)/$L99))*($T99*(1-$F99)+$S99*(1-$G99))*((1+Inputs!$D$7)^CU$2))),((Inputs!$D$8^((1-_xlfn.WEIBULL.DIST(CU$2,$M99,$L99,FALSE))/_xlfn.WEIBULL.DIST(CU$2,$M99,$L99,FALSE))*($T99*(1-$F99)+$S99*(1-$G99))*((1+Inputs!$D$7)^CU$2))))))))</f>
        <v>0</v>
      </c>
      <c r="CV99" s="88">
        <f>MAX(BF99,($E99*IF(CV$2&gt;Inputs!$D$5,0,IF(CV$2&gt;VLOOKUP($H99,Lists!$P$3:$Q$7,2),IF($N99=Lists!$K$3,IF($L99&lt;1,(($U99/$L99)*((1+Inputs!$D$7)^CV$2)),((INT(CV$2/$L99)-INT((CV$2-1)/$L99))*$U99*((1+Inputs!$D$7)^CV$2))),(Inputs!$D$8^((1-_xlfn.WEIBULL.DIST(CV$2,$M99,$L99,FALSE))/_xlfn.WEIBULL.DIST(CV$2,$M99,$L99,FALSE))*$U99*((1+Inputs!$D$7)^CV$2))),IF($N99=Lists!$K$3,IF($L99&lt;1,((($T99*(1-$F99)+$S99*(1-$G99))/$L99)*((1+Inputs!$D$7)^CV$2)),((INT(CV$2/$L99)-INT((CV$2-1)/$L99))*($T99*(1-$F99)+$S99*(1-$G99))*((1+Inputs!$D$7)^CV$2))),((Inputs!$D$8^((1-_xlfn.WEIBULL.DIST(CV$2,$M99,$L99,FALSE))/_xlfn.WEIBULL.DIST(CV$2,$M99,$L99,FALSE))*($T99*(1-$F99)+$S99*(1-$G99))*((1+Inputs!$D$7)^CV$2))))))))</f>
        <v>0</v>
      </c>
      <c r="CW99" s="88">
        <f>MAX(BG99,($E99*IF(CW$2&gt;Inputs!$D$5,0,IF(CW$2&gt;VLOOKUP($H99,Lists!$P$3:$Q$7,2),IF($N99=Lists!$K$3,IF($L99&lt;1,(($U99/$L99)*((1+Inputs!$D$7)^CW$2)),((INT(CW$2/$L99)-INT((CW$2-1)/$L99))*$U99*((1+Inputs!$D$7)^CW$2))),(Inputs!$D$8^((1-_xlfn.WEIBULL.DIST(CW$2,$M99,$L99,FALSE))/_xlfn.WEIBULL.DIST(CW$2,$M99,$L99,FALSE))*$U99*((1+Inputs!$D$7)^CW$2))),IF($N99=Lists!$K$3,IF($L99&lt;1,((($T99*(1-$F99)+$S99*(1-$G99))/$L99)*((1+Inputs!$D$7)^CW$2)),((INT(CW$2/$L99)-INT((CW$2-1)/$L99))*($T99*(1-$F99)+$S99*(1-$G99))*((1+Inputs!$D$7)^CW$2))),((Inputs!$D$8^((1-_xlfn.WEIBULL.DIST(CW$2,$M99,$L99,FALSE))/_xlfn.WEIBULL.DIST(CW$2,$M99,$L99,FALSE))*($T99*(1-$F99)+$S99*(1-$G99))*((1+Inputs!$D$7)^CW$2))))))))</f>
        <v>0</v>
      </c>
      <c r="CX99" s="88">
        <f>MAX(BH99,($E99*IF(CX$2&gt;Inputs!$D$5,0,IF(CX$2&gt;VLOOKUP($H99,Lists!$P$3:$Q$7,2),IF($N99=Lists!$K$3,IF($L99&lt;1,(($U99/$L99)*((1+Inputs!$D$7)^CX$2)),((INT(CX$2/$L99)-INT((CX$2-1)/$L99))*$U99*((1+Inputs!$D$7)^CX$2))),(Inputs!$D$8^((1-_xlfn.WEIBULL.DIST(CX$2,$M99,$L99,FALSE))/_xlfn.WEIBULL.DIST(CX$2,$M99,$L99,FALSE))*$U99*((1+Inputs!$D$7)^CX$2))),IF($N99=Lists!$K$3,IF($L99&lt;1,((($T99*(1-$F99)+$S99*(1-$G99))/$L99)*((1+Inputs!$D$7)^CX$2)),((INT(CX$2/$L99)-INT((CX$2-1)/$L99))*($T99*(1-$F99)+$S99*(1-$G99))*((1+Inputs!$D$7)^CX$2))),((Inputs!$D$8^((1-_xlfn.WEIBULL.DIST(CX$2,$M99,$L99,FALSE))/_xlfn.WEIBULL.DIST(CX$2,$M99,$L99,FALSE))*($T99*(1-$F99)+$S99*(1-$G99))*((1+Inputs!$D$7)^CX$2))))))))</f>
        <v>0</v>
      </c>
      <c r="CY99" s="88">
        <f>MAX(BI99,($E99*IF(CY$2&gt;Inputs!$D$5,0,IF(CY$2&gt;VLOOKUP($H99,Lists!$P$3:$Q$7,2),IF($N99=Lists!$K$3,IF($L99&lt;1,(($U99/$L99)*((1+Inputs!$D$7)^CY$2)),((INT(CY$2/$L99)-INT((CY$2-1)/$L99))*$U99*((1+Inputs!$D$7)^CY$2))),(Inputs!$D$8^((1-_xlfn.WEIBULL.DIST(CY$2,$M99,$L99,FALSE))/_xlfn.WEIBULL.DIST(CY$2,$M99,$L99,FALSE))*$U99*((1+Inputs!$D$7)^CY$2))),IF($N99=Lists!$K$3,IF($L99&lt;1,((($T99*(1-$F99)+$S99*(1-$G99))/$L99)*((1+Inputs!$D$7)^CY$2)),((INT(CY$2/$L99)-INT((CY$2-1)/$L99))*($T99*(1-$F99)+$S99*(1-$G99))*((1+Inputs!$D$7)^CY$2))),((Inputs!$D$8^((1-_xlfn.WEIBULL.DIST(CY$2,$M99,$L99,FALSE))/_xlfn.WEIBULL.DIST(CY$2,$M99,$L99,FALSE))*($T99*(1-$F99)+$S99*(1-$G99))*((1+Inputs!$D$7)^CY$2))))))))</f>
        <v>0</v>
      </c>
      <c r="CZ99" s="88">
        <f>MAX(BJ99,($E99*IF(CZ$2&gt;Inputs!$D$5,0,IF(CZ$2&gt;VLOOKUP($H99,Lists!$P$3:$Q$7,2),IF($N99=Lists!$K$3,IF($L99&lt;1,(($U99/$L99)*((1+Inputs!$D$7)^CZ$2)),((INT(CZ$2/$L99)-INT((CZ$2-1)/$L99))*$U99*((1+Inputs!$D$7)^CZ$2))),(Inputs!$D$8^((1-_xlfn.WEIBULL.DIST(CZ$2,$M99,$L99,FALSE))/_xlfn.WEIBULL.DIST(CZ$2,$M99,$L99,FALSE))*$U99*((1+Inputs!$D$7)^CZ$2))),IF($N99=Lists!$K$3,IF($L99&lt;1,((($T99*(1-$F99)+$S99*(1-$G99))/$L99)*((1+Inputs!$D$7)^CZ$2)),((INT(CZ$2/$L99)-INT((CZ$2-1)/$L99))*($T99*(1-$F99)+$S99*(1-$G99))*((1+Inputs!$D$7)^CZ$2))),((Inputs!$D$8^((1-_xlfn.WEIBULL.DIST(CZ$2,$M99,$L99,FALSE))/_xlfn.WEIBULL.DIST(CZ$2,$M99,$L99,FALSE))*($T99*(1-$F99)+$S99*(1-$G99))*((1+Inputs!$D$7)^CZ$2))))))))</f>
        <v>0</v>
      </c>
      <c r="DA99" s="88">
        <f>MAX(BK99,($E99*IF(DA$2&gt;Inputs!$D$5,0,IF(DA$2&gt;VLOOKUP($H99,Lists!$P$3:$Q$7,2),IF($N99=Lists!$K$3,IF($L99&lt;1,(($U99/$L99)*((1+Inputs!$D$7)^DA$2)),((INT(DA$2/$L99)-INT((DA$2-1)/$L99))*$U99*((1+Inputs!$D$7)^DA$2))),(Inputs!$D$8^((1-_xlfn.WEIBULL.DIST(DA$2,$M99,$L99,FALSE))/_xlfn.WEIBULL.DIST(DA$2,$M99,$L99,FALSE))*$U99*((1+Inputs!$D$7)^DA$2))),IF($N99=Lists!$K$3,IF($L99&lt;1,((($T99*(1-$F99)+$S99*(1-$G99))/$L99)*((1+Inputs!$D$7)^DA$2)),((INT(DA$2/$L99)-INT((DA$2-1)/$L99))*($T99*(1-$F99)+$S99*(1-$G99))*((1+Inputs!$D$7)^DA$2))),((Inputs!$D$8^((1-_xlfn.WEIBULL.DIST(DA$2,$M99,$L99,FALSE))/_xlfn.WEIBULL.DIST(DA$2,$M99,$L99,FALSE))*($T99*(1-$F99)+$S99*(1-$G99))*((1+Inputs!$D$7)^DA$2))))))))</f>
        <v>0</v>
      </c>
      <c r="DB99" s="88">
        <f>MAX(BL99,($E99*IF(DB$2&gt;Inputs!$D$5,0,IF(DB$2&gt;VLOOKUP($H99,Lists!$P$3:$Q$7,2),IF($N99=Lists!$K$3,IF($L99&lt;1,(($U99/$L99)*((1+Inputs!$D$7)^DB$2)),((INT(DB$2/$L99)-INT((DB$2-1)/$L99))*$U99*((1+Inputs!$D$7)^DB$2))),(Inputs!$D$8^((1-_xlfn.WEIBULL.DIST(DB$2,$M99,$L99,FALSE))/_xlfn.WEIBULL.DIST(DB$2,$M99,$L99,FALSE))*$U99*((1+Inputs!$D$7)^DB$2))),IF($N99=Lists!$K$3,IF($L99&lt;1,((($T99*(1-$F99)+$S99*(1-$G99))/$L99)*((1+Inputs!$D$7)^DB$2)),((INT(DB$2/$L99)-INT((DB$2-1)/$L99))*($T99*(1-$F99)+$S99*(1-$G99))*((1+Inputs!$D$7)^DB$2))),((Inputs!$D$8^((1-_xlfn.WEIBULL.DIST(DB$2,$M99,$L99,FALSE))/_xlfn.WEIBULL.DIST(DB$2,$M99,$L99,FALSE))*($T99*(1-$F99)+$S99*(1-$G99))*((1+Inputs!$D$7)^DB$2))))))))</f>
        <v>0</v>
      </c>
      <c r="DC99" s="88">
        <f>MAX(BM99,($E99*IF(DC$2&gt;Inputs!$D$5,0,IF(DC$2&gt;VLOOKUP($H99,Lists!$P$3:$Q$7,2),IF($N99=Lists!$K$3,IF($L99&lt;1,(($U99/$L99)*((1+Inputs!$D$7)^DC$2)),((INT(DC$2/$L99)-INT((DC$2-1)/$L99))*$U99*((1+Inputs!$D$7)^DC$2))),(Inputs!$D$8^((1-_xlfn.WEIBULL.DIST(DC$2,$M99,$L99,FALSE))/_xlfn.WEIBULL.DIST(DC$2,$M99,$L99,FALSE))*$U99*((1+Inputs!$D$7)^DC$2))),IF($N99=Lists!$K$3,IF($L99&lt;1,((($T99*(1-$F99)+$S99*(1-$G99))/$L99)*((1+Inputs!$D$7)^DC$2)),((INT(DC$2/$L99)-INT((DC$2-1)/$L99))*($T99*(1-$F99)+$S99*(1-$G99))*((1+Inputs!$D$7)^DC$2))),((Inputs!$D$8^((1-_xlfn.WEIBULL.DIST(DC$2,$M99,$L99,FALSE))/_xlfn.WEIBULL.DIST(DC$2,$M99,$L99,FALSE))*($T99*(1-$F99)+$S99*(1-$G99))*((1+Inputs!$D$7)^DC$2))))))))</f>
        <v>0</v>
      </c>
      <c r="DD99" s="88">
        <f>MAX(BN99,($E99*IF(DD$2&gt;Inputs!$D$5,0,IF(DD$2&gt;VLOOKUP($H99,Lists!$P$3:$Q$7,2),IF($N99=Lists!$K$3,IF($L99&lt;1,(($U99/$L99)*((1+Inputs!$D$7)^DD$2)),((INT(DD$2/$L99)-INT((DD$2-1)/$L99))*$U99*((1+Inputs!$D$7)^DD$2))),(Inputs!$D$8^((1-_xlfn.WEIBULL.DIST(DD$2,$M99,$L99,FALSE))/_xlfn.WEIBULL.DIST(DD$2,$M99,$L99,FALSE))*$U99*((1+Inputs!$D$7)^DD$2))),IF($N99=Lists!$K$3,IF($L99&lt;1,((($T99*(1-$F99)+$S99*(1-$G99))/$L99)*((1+Inputs!$D$7)^DD$2)),((INT(DD$2/$L99)-INT((DD$2-1)/$L99))*($T99*(1-$F99)+$S99*(1-$G99))*((1+Inputs!$D$7)^DD$2))),((Inputs!$D$8^((1-_xlfn.WEIBULL.DIST(DD$2,$M99,$L99,FALSE))/_xlfn.WEIBULL.DIST(DD$2,$M99,$L99,FALSE))*($T99*(1-$F99)+$S99*(1-$G99))*((1+Inputs!$D$7)^DD$2))))))))</f>
        <v>0</v>
      </c>
    </row>
    <row r="100" spans="1:108" ht="16">
      <c r="A100" s="57" t="s">
        <v>161</v>
      </c>
      <c r="B100" s="13" t="s">
        <v>279</v>
      </c>
      <c r="C100" s="13" t="s">
        <v>473</v>
      </c>
      <c r="D100" s="13" t="s">
        <v>16</v>
      </c>
      <c r="E100" s="48">
        <f>IF(Inputs!D31=Lists!M5,1,0)</f>
        <v>0</v>
      </c>
      <c r="F100" s="48">
        <v>0</v>
      </c>
      <c r="G100" s="48">
        <v>0</v>
      </c>
      <c r="H100" s="105" t="s">
        <v>16</v>
      </c>
      <c r="I100" s="14" t="s">
        <v>264</v>
      </c>
      <c r="J100" s="14" t="s">
        <v>91</v>
      </c>
      <c r="K100" s="13">
        <f>VLOOKUP(J100,'Labor Rates'!$A$1:$F$16,2)</f>
        <v>33.17307692307692</v>
      </c>
      <c r="L100" s="15">
        <v>5</v>
      </c>
      <c r="M100" s="15">
        <v>1</v>
      </c>
      <c r="N100" s="13" t="s">
        <v>236</v>
      </c>
      <c r="O100" s="61">
        <f>Inputs!$D$32</f>
        <v>10</v>
      </c>
      <c r="P100" s="15">
        <v>0.1</v>
      </c>
      <c r="Q100" s="15">
        <f t="shared" si="21"/>
        <v>0.2</v>
      </c>
      <c r="R100" s="4">
        <v>0</v>
      </c>
      <c r="S100" s="53">
        <f t="shared" si="22"/>
        <v>33.17307692307692</v>
      </c>
      <c r="T100" s="53">
        <f t="shared" si="23"/>
        <v>0</v>
      </c>
      <c r="U100" s="54">
        <f t="shared" si="24"/>
        <v>0</v>
      </c>
      <c r="V100" s="65"/>
      <c r="W100" s="58"/>
      <c r="X100" s="64">
        <f t="shared" si="25"/>
        <v>0</v>
      </c>
      <c r="Y100" s="64">
        <f>NPV(Inputs!$D$6,AA100:BN100)</f>
        <v>0</v>
      </c>
      <c r="Z100" s="67">
        <f t="shared" si="26"/>
        <v>0</v>
      </c>
      <c r="AA100" s="88">
        <f>$E100*IF(AA$2&gt;Inputs!$D$5,0,IF(AA$2&gt;VLOOKUP($H100,Lists!$P$3:$Q$7,2),IF($N100=Lists!$K$3,IF($L100&lt;1,(($U100/$L100)*((1+Inputs!$D$7)^AA$2)),((INT(AA$2/$L100)-INT((AA$2-1)/$L100))*$U100*((1+Inputs!$D$7)^AA$2))),(_xlfn.WEIBULL.DIST(AA$2,$M100,$L100,FALSE)*$U100*((1+Inputs!$D$7)^AA$2))),IF($N100=Lists!$K$3,IF($L100&lt;1,((($T100*(1-$F100)+$S100*(1-$G100))/$L100)*((1+Inputs!$D$7)^AA$2)),((INT(AA$2/$L100)-INT((AA$2-1)/$L100))*($T100*(1-$F100)+$S100*(1-$G100))*((1+Inputs!$D$7)^AA$2))),((_xlfn.WEIBULL.DIST(AA$2,$M100,$L100,FALSE)*($T100*(1-$F100)+$S100*(1-$G100))*((1+Inputs!$D$7)^AA$2))))))</f>
        <v>0</v>
      </c>
      <c r="AB100" s="88">
        <f>$E100*IF(AB$2&gt;Inputs!$D$5,0,IF(AB$2&gt;VLOOKUP($H100,Lists!$P$3:$Q$7,2),IF($N100=Lists!$K$3,IF($L100&lt;1,(($U100/$L100)*((1+Inputs!$D$7)^AB$2)),((INT(AB$2/$L100)-INT((AB$2-1)/$L100))*$U100*((1+Inputs!$D$7)^AB$2))),(_xlfn.WEIBULL.DIST(AB$2,$M100,$L100,FALSE)*$U100*((1+Inputs!$D$7)^AB$2))),IF($N100=Lists!$K$3,IF($L100&lt;1,((($T100*(1-$F100)+$S100*(1-$G100))/$L100)*((1+Inputs!$D$7)^AB$2)),((INT(AB$2/$L100)-INT((AB$2-1)/$L100))*($T100*(1-$F100)+$S100*(1-$G100))*((1+Inputs!$D$7)^AB$2))),((_xlfn.WEIBULL.DIST(AB$2,$M100,$L100,FALSE)*($T100*(1-$F100)+$S100*(1-$G100))*((1+Inputs!$D$7)^AB$2))))))</f>
        <v>0</v>
      </c>
      <c r="AC100" s="88">
        <f>$E100*IF(AC$2&gt;Inputs!$D$5,0,IF(AC$2&gt;VLOOKUP($H100,Lists!$P$3:$Q$7,2),IF($N100=Lists!$K$3,IF($L100&lt;1,(($U100/$L100)*((1+Inputs!$D$7)^AC$2)),((INT(AC$2/$L100)-INT((AC$2-1)/$L100))*$U100*((1+Inputs!$D$7)^AC$2))),(_xlfn.WEIBULL.DIST(AC$2,$M100,$L100,FALSE)*$U100*((1+Inputs!$D$7)^AC$2))),IF($N100=Lists!$K$3,IF($L100&lt;1,((($T100*(1-$F100)+$S100*(1-$G100))/$L100)*((1+Inputs!$D$7)^AC$2)),((INT(AC$2/$L100)-INT((AC$2-1)/$L100))*($T100*(1-$F100)+$S100*(1-$G100))*((1+Inputs!$D$7)^AC$2))),((_xlfn.WEIBULL.DIST(AC$2,$M100,$L100,FALSE)*($T100*(1-$F100)+$S100*(1-$G100))*((1+Inputs!$D$7)^AC$2))))))</f>
        <v>0</v>
      </c>
      <c r="AD100" s="88">
        <f>$E100*IF(AD$2&gt;Inputs!$D$5,0,IF(AD$2&gt;VLOOKUP($H100,Lists!$P$3:$Q$7,2),IF($N100=Lists!$K$3,IF($L100&lt;1,(($U100/$L100)*((1+Inputs!$D$7)^AD$2)),((INT(AD$2/$L100)-INT((AD$2-1)/$L100))*$U100*((1+Inputs!$D$7)^AD$2))),(_xlfn.WEIBULL.DIST(AD$2,$M100,$L100,FALSE)*$U100*((1+Inputs!$D$7)^AD$2))),IF($N100=Lists!$K$3,IF($L100&lt;1,((($T100*(1-$F100)+$S100*(1-$G100))/$L100)*((1+Inputs!$D$7)^AD$2)),((INT(AD$2/$L100)-INT((AD$2-1)/$L100))*($T100*(1-$F100)+$S100*(1-$G100))*((1+Inputs!$D$7)^AD$2))),((_xlfn.WEIBULL.DIST(AD$2,$M100,$L100,FALSE)*($T100*(1-$F100)+$S100*(1-$G100))*((1+Inputs!$D$7)^AD$2))))))</f>
        <v>0</v>
      </c>
      <c r="AE100" s="88">
        <f>$E100*IF(AE$2&gt;Inputs!$D$5,0,IF(AE$2&gt;VLOOKUP($H100,Lists!$P$3:$Q$7,2),IF($N100=Lists!$K$3,IF($L100&lt;1,(($U100/$L100)*((1+Inputs!$D$7)^AE$2)),((INT(AE$2/$L100)-INT((AE$2-1)/$L100))*$U100*((1+Inputs!$D$7)^AE$2))),(_xlfn.WEIBULL.DIST(AE$2,$M100,$L100,FALSE)*$U100*((1+Inputs!$D$7)^AE$2))),IF($N100=Lists!$K$3,IF($L100&lt;1,((($T100*(1-$F100)+$S100*(1-$G100))/$L100)*((1+Inputs!$D$7)^AE$2)),((INT(AE$2/$L100)-INT((AE$2-1)/$L100))*($T100*(1-$F100)+$S100*(1-$G100))*((1+Inputs!$D$7)^AE$2))),((_xlfn.WEIBULL.DIST(AE$2,$M100,$L100,FALSE)*($T100*(1-$F100)+$S100*(1-$G100))*((1+Inputs!$D$7)^AE$2))))))</f>
        <v>0</v>
      </c>
      <c r="AF100" s="88">
        <f>$E100*IF(AF$2&gt;Inputs!$D$5,0,IF(AF$2&gt;VLOOKUP($H100,Lists!$P$3:$Q$7,2),IF($N100=Lists!$K$3,IF($L100&lt;1,(($U100/$L100)*((1+Inputs!$D$7)^AF$2)),((INT(AF$2/$L100)-INT((AF$2-1)/$L100))*$U100*((1+Inputs!$D$7)^AF$2))),(_xlfn.WEIBULL.DIST(AF$2,$M100,$L100,FALSE)*$U100*((1+Inputs!$D$7)^AF$2))),IF($N100=Lists!$K$3,IF($L100&lt;1,((($T100*(1-$F100)+$S100*(1-$G100))/$L100)*((1+Inputs!$D$7)^AF$2)),((INT(AF$2/$L100)-INT((AF$2-1)/$L100))*($T100*(1-$F100)+$S100*(1-$G100))*((1+Inputs!$D$7)^AF$2))),((_xlfn.WEIBULL.DIST(AF$2,$M100,$L100,FALSE)*($T100*(1-$F100)+$S100*(1-$G100))*((1+Inputs!$D$7)^AF$2))))))</f>
        <v>0</v>
      </c>
      <c r="AG100" s="88">
        <f>$E100*IF(AG$2&gt;Inputs!$D$5,0,IF(AG$2&gt;VLOOKUP($H100,Lists!$P$3:$Q$7,2),IF($N100=Lists!$K$3,IF($L100&lt;1,(($U100/$L100)*((1+Inputs!$D$7)^AG$2)),((INT(AG$2/$L100)-INT((AG$2-1)/$L100))*$U100*((1+Inputs!$D$7)^AG$2))),(_xlfn.WEIBULL.DIST(AG$2,$M100,$L100,FALSE)*$U100*((1+Inputs!$D$7)^AG$2))),IF($N100=Lists!$K$3,IF($L100&lt;1,((($T100*(1-$F100)+$S100*(1-$G100))/$L100)*((1+Inputs!$D$7)^AG$2)),((INT(AG$2/$L100)-INT((AG$2-1)/$L100))*($T100*(1-$F100)+$S100*(1-$G100))*((1+Inputs!$D$7)^AG$2))),((_xlfn.WEIBULL.DIST(AG$2,$M100,$L100,FALSE)*($T100*(1-$F100)+$S100*(1-$G100))*((1+Inputs!$D$7)^AG$2))))))</f>
        <v>0</v>
      </c>
      <c r="AH100" s="88">
        <f>$E100*IF(AH$2&gt;Inputs!$D$5,0,IF(AH$2&gt;VLOOKUP($H100,Lists!$P$3:$Q$7,2),IF($N100=Lists!$K$3,IF($L100&lt;1,(($U100/$L100)*((1+Inputs!$D$7)^AH$2)),((INT(AH$2/$L100)-INT((AH$2-1)/$L100))*$U100*((1+Inputs!$D$7)^AH$2))),(_xlfn.WEIBULL.DIST(AH$2,$M100,$L100,FALSE)*$U100*((1+Inputs!$D$7)^AH$2))),IF($N100=Lists!$K$3,IF($L100&lt;1,((($T100*(1-$F100)+$S100*(1-$G100))/$L100)*((1+Inputs!$D$7)^AH$2)),((INT(AH$2/$L100)-INT((AH$2-1)/$L100))*($T100*(1-$F100)+$S100*(1-$G100))*((1+Inputs!$D$7)^AH$2))),((_xlfn.WEIBULL.DIST(AH$2,$M100,$L100,FALSE)*($T100*(1-$F100)+$S100*(1-$G100))*((1+Inputs!$D$7)^AH$2))))))</f>
        <v>0</v>
      </c>
      <c r="AI100" s="88">
        <f>$E100*IF(AI$2&gt;Inputs!$D$5,0,IF(AI$2&gt;VLOOKUP($H100,Lists!$P$3:$Q$7,2),IF($N100=Lists!$K$3,IF($L100&lt;1,(($U100/$L100)*((1+Inputs!$D$7)^AI$2)),((INT(AI$2/$L100)-INT((AI$2-1)/$L100))*$U100*((1+Inputs!$D$7)^AI$2))),(_xlfn.WEIBULL.DIST(AI$2,$M100,$L100,FALSE)*$U100*((1+Inputs!$D$7)^AI$2))),IF($N100=Lists!$K$3,IF($L100&lt;1,((($T100*(1-$F100)+$S100*(1-$G100))/$L100)*((1+Inputs!$D$7)^AI$2)),((INT(AI$2/$L100)-INT((AI$2-1)/$L100))*($T100*(1-$F100)+$S100*(1-$G100))*((1+Inputs!$D$7)^AI$2))),((_xlfn.WEIBULL.DIST(AI$2,$M100,$L100,FALSE)*($T100*(1-$F100)+$S100*(1-$G100))*((1+Inputs!$D$7)^AI$2))))))</f>
        <v>0</v>
      </c>
      <c r="AJ100" s="88">
        <f>$E100*IF(AJ$2&gt;Inputs!$D$5,0,IF(AJ$2&gt;VLOOKUP($H100,Lists!$P$3:$Q$7,2),IF($N100=Lists!$K$3,IF($L100&lt;1,(($U100/$L100)*((1+Inputs!$D$7)^AJ$2)),((INT(AJ$2/$L100)-INT((AJ$2-1)/$L100))*$U100*((1+Inputs!$D$7)^AJ$2))),(_xlfn.WEIBULL.DIST(AJ$2,$M100,$L100,FALSE)*$U100*((1+Inputs!$D$7)^AJ$2))),IF($N100=Lists!$K$3,IF($L100&lt;1,((($T100*(1-$F100)+$S100*(1-$G100))/$L100)*((1+Inputs!$D$7)^AJ$2)),((INT(AJ$2/$L100)-INT((AJ$2-1)/$L100))*($T100*(1-$F100)+$S100*(1-$G100))*((1+Inputs!$D$7)^AJ$2))),((_xlfn.WEIBULL.DIST(AJ$2,$M100,$L100,FALSE)*($T100*(1-$F100)+$S100*(1-$G100))*((1+Inputs!$D$7)^AJ$2))))))</f>
        <v>0</v>
      </c>
      <c r="AK100" s="88">
        <f>$E100*IF(AK$2&gt;Inputs!$D$5,0,IF(AK$2&gt;VLOOKUP($H100,Lists!$P$3:$Q$7,2),IF($N100=Lists!$K$3,IF($L100&lt;1,(($U100/$L100)*((1+Inputs!$D$7)^AK$2)),((INT(AK$2/$L100)-INT((AK$2-1)/$L100))*$U100*((1+Inputs!$D$7)^AK$2))),(_xlfn.WEIBULL.DIST(AK$2,$M100,$L100,FALSE)*$U100*((1+Inputs!$D$7)^AK$2))),IF($N100=Lists!$K$3,IF($L100&lt;1,((($T100*(1-$F100)+$S100*(1-$G100))/$L100)*((1+Inputs!$D$7)^AK$2)),((INT(AK$2/$L100)-INT((AK$2-1)/$L100))*($T100*(1-$F100)+$S100*(1-$G100))*((1+Inputs!$D$7)^AK$2))),((_xlfn.WEIBULL.DIST(AK$2,$M100,$L100,FALSE)*($T100*(1-$F100)+$S100*(1-$G100))*((1+Inputs!$D$7)^AK$2))))))</f>
        <v>0</v>
      </c>
      <c r="AL100" s="88">
        <f>$E100*IF(AL$2&gt;Inputs!$D$5,0,IF(AL$2&gt;VLOOKUP($H100,Lists!$P$3:$Q$7,2),IF($N100=Lists!$K$3,IF($L100&lt;1,(($U100/$L100)*((1+Inputs!$D$7)^AL$2)),((INT(AL$2/$L100)-INT((AL$2-1)/$L100))*$U100*((1+Inputs!$D$7)^AL$2))),(_xlfn.WEIBULL.DIST(AL$2,$M100,$L100,FALSE)*$U100*((1+Inputs!$D$7)^AL$2))),IF($N100=Lists!$K$3,IF($L100&lt;1,((($T100*(1-$F100)+$S100*(1-$G100))/$L100)*((1+Inputs!$D$7)^AL$2)),((INT(AL$2/$L100)-INT((AL$2-1)/$L100))*($T100*(1-$F100)+$S100*(1-$G100))*((1+Inputs!$D$7)^AL$2))),((_xlfn.WEIBULL.DIST(AL$2,$M100,$L100,FALSE)*($T100*(1-$F100)+$S100*(1-$G100))*((1+Inputs!$D$7)^AL$2))))))</f>
        <v>0</v>
      </c>
      <c r="AM100" s="88">
        <f>$E100*IF(AM$2&gt;Inputs!$D$5,0,IF(AM$2&gt;VLOOKUP($H100,Lists!$P$3:$Q$7,2),IF($N100=Lists!$K$3,IF($L100&lt;1,(($U100/$L100)*((1+Inputs!$D$7)^AM$2)),((INT(AM$2/$L100)-INT((AM$2-1)/$L100))*$U100*((1+Inputs!$D$7)^AM$2))),(_xlfn.WEIBULL.DIST(AM$2,$M100,$L100,FALSE)*$U100*((1+Inputs!$D$7)^AM$2))),IF($N100=Lists!$K$3,IF($L100&lt;1,((($T100*(1-$F100)+$S100*(1-$G100))/$L100)*((1+Inputs!$D$7)^AM$2)),((INT(AM$2/$L100)-INT((AM$2-1)/$L100))*($T100*(1-$F100)+$S100*(1-$G100))*((1+Inputs!$D$7)^AM$2))),((_xlfn.WEIBULL.DIST(AM$2,$M100,$L100,FALSE)*($T100*(1-$F100)+$S100*(1-$G100))*((1+Inputs!$D$7)^AM$2))))))</f>
        <v>0</v>
      </c>
      <c r="AN100" s="88">
        <f>$E100*IF(AN$2&gt;Inputs!$D$5,0,IF(AN$2&gt;VLOOKUP($H100,Lists!$P$3:$Q$7,2),IF($N100=Lists!$K$3,IF($L100&lt;1,(($U100/$L100)*((1+Inputs!$D$7)^AN$2)),((INT(AN$2/$L100)-INT((AN$2-1)/$L100))*$U100*((1+Inputs!$D$7)^AN$2))),(_xlfn.WEIBULL.DIST(AN$2,$M100,$L100,FALSE)*$U100*((1+Inputs!$D$7)^AN$2))),IF($N100=Lists!$K$3,IF($L100&lt;1,((($T100*(1-$F100)+$S100*(1-$G100))/$L100)*((1+Inputs!$D$7)^AN$2)),((INT(AN$2/$L100)-INT((AN$2-1)/$L100))*($T100*(1-$F100)+$S100*(1-$G100))*((1+Inputs!$D$7)^AN$2))),((_xlfn.WEIBULL.DIST(AN$2,$M100,$L100,FALSE)*($T100*(1-$F100)+$S100*(1-$G100))*((1+Inputs!$D$7)^AN$2))))))</f>
        <v>0</v>
      </c>
      <c r="AO100" s="88">
        <f>$E100*IF(AO$2&gt;Inputs!$D$5,0,IF(AO$2&gt;VLOOKUP($H100,Lists!$P$3:$Q$7,2),IF($N100=Lists!$K$3,IF($L100&lt;1,(($U100/$L100)*((1+Inputs!$D$7)^AO$2)),((INT(AO$2/$L100)-INT((AO$2-1)/$L100))*$U100*((1+Inputs!$D$7)^AO$2))),(_xlfn.WEIBULL.DIST(AO$2,$M100,$L100,FALSE)*$U100*((1+Inputs!$D$7)^AO$2))),IF($N100=Lists!$K$3,IF($L100&lt;1,((($T100*(1-$F100)+$S100*(1-$G100))/$L100)*((1+Inputs!$D$7)^AO$2)),((INT(AO$2/$L100)-INT((AO$2-1)/$L100))*($T100*(1-$F100)+$S100*(1-$G100))*((1+Inputs!$D$7)^AO$2))),((_xlfn.WEIBULL.DIST(AO$2,$M100,$L100,FALSE)*($T100*(1-$F100)+$S100*(1-$G100))*((1+Inputs!$D$7)^AO$2))))))</f>
        <v>0</v>
      </c>
      <c r="AP100" s="88">
        <f>$E100*IF(AP$2&gt;Inputs!$D$5,0,IF(AP$2&gt;VLOOKUP($H100,Lists!$P$3:$Q$7,2),IF($N100=Lists!$K$3,IF($L100&lt;1,(($U100/$L100)*((1+Inputs!$D$7)^AP$2)),((INT(AP$2/$L100)-INT((AP$2-1)/$L100))*$U100*((1+Inputs!$D$7)^AP$2))),(_xlfn.WEIBULL.DIST(AP$2,$M100,$L100,FALSE)*$U100*((1+Inputs!$D$7)^AP$2))),IF($N100=Lists!$K$3,IF($L100&lt;1,((($T100*(1-$F100)+$S100*(1-$G100))/$L100)*((1+Inputs!$D$7)^AP$2)),((INT(AP$2/$L100)-INT((AP$2-1)/$L100))*($T100*(1-$F100)+$S100*(1-$G100))*((1+Inputs!$D$7)^AP$2))),((_xlfn.WEIBULL.DIST(AP$2,$M100,$L100,FALSE)*($T100*(1-$F100)+$S100*(1-$G100))*((1+Inputs!$D$7)^AP$2))))))</f>
        <v>0</v>
      </c>
      <c r="AQ100" s="88">
        <f>$E100*IF(AQ$2&gt;Inputs!$D$5,0,IF(AQ$2&gt;VLOOKUP($H100,Lists!$P$3:$Q$7,2),IF($N100=Lists!$K$3,IF($L100&lt;1,(($U100/$L100)*((1+Inputs!$D$7)^AQ$2)),((INT(AQ$2/$L100)-INT((AQ$2-1)/$L100))*$U100*((1+Inputs!$D$7)^AQ$2))),(_xlfn.WEIBULL.DIST(AQ$2,$M100,$L100,FALSE)*$U100*((1+Inputs!$D$7)^AQ$2))),IF($N100=Lists!$K$3,IF($L100&lt;1,((($T100*(1-$F100)+$S100*(1-$G100))/$L100)*((1+Inputs!$D$7)^AQ$2)),((INT(AQ$2/$L100)-INT((AQ$2-1)/$L100))*($T100*(1-$F100)+$S100*(1-$G100))*((1+Inputs!$D$7)^AQ$2))),((_xlfn.WEIBULL.DIST(AQ$2,$M100,$L100,FALSE)*($T100*(1-$F100)+$S100*(1-$G100))*((1+Inputs!$D$7)^AQ$2))))))</f>
        <v>0</v>
      </c>
      <c r="AR100" s="88">
        <f>$E100*IF(AR$2&gt;Inputs!$D$5,0,IF(AR$2&gt;VLOOKUP($H100,Lists!$P$3:$Q$7,2),IF($N100=Lists!$K$3,IF($L100&lt;1,(($U100/$L100)*((1+Inputs!$D$7)^AR$2)),((INT(AR$2/$L100)-INT((AR$2-1)/$L100))*$U100*((1+Inputs!$D$7)^AR$2))),(_xlfn.WEIBULL.DIST(AR$2,$M100,$L100,FALSE)*$U100*((1+Inputs!$D$7)^AR$2))),IF($N100=Lists!$K$3,IF($L100&lt;1,((($T100*(1-$F100)+$S100*(1-$G100))/$L100)*((1+Inputs!$D$7)^AR$2)),((INT(AR$2/$L100)-INT((AR$2-1)/$L100))*($T100*(1-$F100)+$S100*(1-$G100))*((1+Inputs!$D$7)^AR$2))),((_xlfn.WEIBULL.DIST(AR$2,$M100,$L100,FALSE)*($T100*(1-$F100)+$S100*(1-$G100))*((1+Inputs!$D$7)^AR$2))))))</f>
        <v>0</v>
      </c>
      <c r="AS100" s="88">
        <f>$E100*IF(AS$2&gt;Inputs!$D$5,0,IF(AS$2&gt;VLOOKUP($H100,Lists!$P$3:$Q$7,2),IF($N100=Lists!$K$3,IF($L100&lt;1,(($U100/$L100)*((1+Inputs!$D$7)^AS$2)),((INT(AS$2/$L100)-INT((AS$2-1)/$L100))*$U100*((1+Inputs!$D$7)^AS$2))),(_xlfn.WEIBULL.DIST(AS$2,$M100,$L100,FALSE)*$U100*((1+Inputs!$D$7)^AS$2))),IF($N100=Lists!$K$3,IF($L100&lt;1,((($T100*(1-$F100)+$S100*(1-$G100))/$L100)*((1+Inputs!$D$7)^AS$2)),((INT(AS$2/$L100)-INT((AS$2-1)/$L100))*($T100*(1-$F100)+$S100*(1-$G100))*((1+Inputs!$D$7)^AS$2))),((_xlfn.WEIBULL.DIST(AS$2,$M100,$L100,FALSE)*($T100*(1-$F100)+$S100*(1-$G100))*((1+Inputs!$D$7)^AS$2))))))</f>
        <v>0</v>
      </c>
      <c r="AT100" s="88">
        <f>$E100*IF(AT$2&gt;Inputs!$D$5,0,IF(AT$2&gt;VLOOKUP($H100,Lists!$P$3:$Q$7,2),IF($N100=Lists!$K$3,IF($L100&lt;1,(($U100/$L100)*((1+Inputs!$D$7)^AT$2)),((INT(AT$2/$L100)-INT((AT$2-1)/$L100))*$U100*((1+Inputs!$D$7)^AT$2))),(_xlfn.WEIBULL.DIST(AT$2,$M100,$L100,FALSE)*$U100*((1+Inputs!$D$7)^AT$2))),IF($N100=Lists!$K$3,IF($L100&lt;1,((($T100*(1-$F100)+$S100*(1-$G100))/$L100)*((1+Inputs!$D$7)^AT$2)),((INT(AT$2/$L100)-INT((AT$2-1)/$L100))*($T100*(1-$F100)+$S100*(1-$G100))*((1+Inputs!$D$7)^AT$2))),((_xlfn.WEIBULL.DIST(AT$2,$M100,$L100,FALSE)*($T100*(1-$F100)+$S100*(1-$G100))*((1+Inputs!$D$7)^AT$2))))))</f>
        <v>0</v>
      </c>
      <c r="AU100" s="88">
        <f>$E100*IF(AU$2&gt;Inputs!$D$5,0,IF(AU$2&gt;VLOOKUP($H100,Lists!$P$3:$Q$7,2),IF($N100=Lists!$K$3,IF($L100&lt;1,(($U100/$L100)*((1+Inputs!$D$7)^AU$2)),((INT(AU$2/$L100)-INT((AU$2-1)/$L100))*$U100*((1+Inputs!$D$7)^AU$2))),(_xlfn.WEIBULL.DIST(AU$2,$M100,$L100,FALSE)*$U100*((1+Inputs!$D$7)^AU$2))),IF($N100=Lists!$K$3,IF($L100&lt;1,((($T100*(1-$F100)+$S100*(1-$G100))/$L100)*((1+Inputs!$D$7)^AU$2)),((INT(AU$2/$L100)-INT((AU$2-1)/$L100))*($T100*(1-$F100)+$S100*(1-$G100))*((1+Inputs!$D$7)^AU$2))),((_xlfn.WEIBULL.DIST(AU$2,$M100,$L100,FALSE)*($T100*(1-$F100)+$S100*(1-$G100))*((1+Inputs!$D$7)^AU$2))))))</f>
        <v>0</v>
      </c>
      <c r="AV100" s="88">
        <f>$E100*IF(AV$2&gt;Inputs!$D$5,0,IF(AV$2&gt;VLOOKUP($H100,Lists!$P$3:$Q$7,2),IF($N100=Lists!$K$3,IF($L100&lt;1,(($U100/$L100)*((1+Inputs!$D$7)^AV$2)),((INT(AV$2/$L100)-INT((AV$2-1)/$L100))*$U100*((1+Inputs!$D$7)^AV$2))),(_xlfn.WEIBULL.DIST(AV$2,$M100,$L100,FALSE)*$U100*((1+Inputs!$D$7)^AV$2))),IF($N100=Lists!$K$3,IF($L100&lt;1,((($T100*(1-$F100)+$S100*(1-$G100))/$L100)*((1+Inputs!$D$7)^AV$2)),((INT(AV$2/$L100)-INT((AV$2-1)/$L100))*($T100*(1-$F100)+$S100*(1-$G100))*((1+Inputs!$D$7)^AV$2))),((_xlfn.WEIBULL.DIST(AV$2,$M100,$L100,FALSE)*($T100*(1-$F100)+$S100*(1-$G100))*((1+Inputs!$D$7)^AV$2))))))</f>
        <v>0</v>
      </c>
      <c r="AW100" s="88">
        <f>$E100*IF(AW$2&gt;Inputs!$D$5,0,IF(AW$2&gt;VLOOKUP($H100,Lists!$P$3:$Q$7,2),IF($N100=Lists!$K$3,IF($L100&lt;1,(($U100/$L100)*((1+Inputs!$D$7)^AW$2)),((INT(AW$2/$L100)-INT((AW$2-1)/$L100))*$U100*((1+Inputs!$D$7)^AW$2))),(_xlfn.WEIBULL.DIST(AW$2,$M100,$L100,FALSE)*$U100*((1+Inputs!$D$7)^AW$2))),IF($N100=Lists!$K$3,IF($L100&lt;1,((($T100*(1-$F100)+$S100*(1-$G100))/$L100)*((1+Inputs!$D$7)^AW$2)),((INT(AW$2/$L100)-INT((AW$2-1)/$L100))*($T100*(1-$F100)+$S100*(1-$G100))*((1+Inputs!$D$7)^AW$2))),((_xlfn.WEIBULL.DIST(AW$2,$M100,$L100,FALSE)*($T100*(1-$F100)+$S100*(1-$G100))*((1+Inputs!$D$7)^AW$2))))))</f>
        <v>0</v>
      </c>
      <c r="AX100" s="88">
        <f>$E100*IF(AX$2&gt;Inputs!$D$5,0,IF(AX$2&gt;VLOOKUP($H100,Lists!$P$3:$Q$7,2),IF($N100=Lists!$K$3,IF($L100&lt;1,(($U100/$L100)*((1+Inputs!$D$7)^AX$2)),((INT(AX$2/$L100)-INT((AX$2-1)/$L100))*$U100*((1+Inputs!$D$7)^AX$2))),(_xlfn.WEIBULL.DIST(AX$2,$M100,$L100,FALSE)*$U100*((1+Inputs!$D$7)^AX$2))),IF($N100=Lists!$K$3,IF($L100&lt;1,((($T100*(1-$F100)+$S100*(1-$G100))/$L100)*((1+Inputs!$D$7)^AX$2)),((INT(AX$2/$L100)-INT((AX$2-1)/$L100))*($T100*(1-$F100)+$S100*(1-$G100))*((1+Inputs!$D$7)^AX$2))),((_xlfn.WEIBULL.DIST(AX$2,$M100,$L100,FALSE)*($T100*(1-$F100)+$S100*(1-$G100))*((1+Inputs!$D$7)^AX$2))))))</f>
        <v>0</v>
      </c>
      <c r="AY100" s="88">
        <f>$E100*IF(AY$2&gt;Inputs!$D$5,0,IF(AY$2&gt;VLOOKUP($H100,Lists!$P$3:$Q$7,2),IF($N100=Lists!$K$3,IF($L100&lt;1,(($U100/$L100)*((1+Inputs!$D$7)^AY$2)),((INT(AY$2/$L100)-INT((AY$2-1)/$L100))*$U100*((1+Inputs!$D$7)^AY$2))),(_xlfn.WEIBULL.DIST(AY$2,$M100,$L100,FALSE)*$U100*((1+Inputs!$D$7)^AY$2))),IF($N100=Lists!$K$3,IF($L100&lt;1,((($T100*(1-$F100)+$S100*(1-$G100))/$L100)*((1+Inputs!$D$7)^AY$2)),((INT(AY$2/$L100)-INT((AY$2-1)/$L100))*($T100*(1-$F100)+$S100*(1-$G100))*((1+Inputs!$D$7)^AY$2))),((_xlfn.WEIBULL.DIST(AY$2,$M100,$L100,FALSE)*($T100*(1-$F100)+$S100*(1-$G100))*((1+Inputs!$D$7)^AY$2))))))</f>
        <v>0</v>
      </c>
      <c r="AZ100" s="88">
        <f>$E100*IF(AZ$2&gt;Inputs!$D$5,0,IF(AZ$2&gt;VLOOKUP($H100,Lists!$P$3:$Q$7,2),IF($N100=Lists!$K$3,IF($L100&lt;1,(($U100/$L100)*((1+Inputs!$D$7)^AZ$2)),((INT(AZ$2/$L100)-INT((AZ$2-1)/$L100))*$U100*((1+Inputs!$D$7)^AZ$2))),(_xlfn.WEIBULL.DIST(AZ$2,$M100,$L100,FALSE)*$U100*((1+Inputs!$D$7)^AZ$2))),IF($N100=Lists!$K$3,IF($L100&lt;1,((($T100*(1-$F100)+$S100*(1-$G100))/$L100)*((1+Inputs!$D$7)^AZ$2)),((INT(AZ$2/$L100)-INT((AZ$2-1)/$L100))*($T100*(1-$F100)+$S100*(1-$G100))*((1+Inputs!$D$7)^AZ$2))),((_xlfn.WEIBULL.DIST(AZ$2,$M100,$L100,FALSE)*($T100*(1-$F100)+$S100*(1-$G100))*((1+Inputs!$D$7)^AZ$2))))))</f>
        <v>0</v>
      </c>
      <c r="BA100" s="88">
        <f>$E100*IF(BA$2&gt;Inputs!$D$5,0,IF(BA$2&gt;VLOOKUP($H100,Lists!$P$3:$Q$7,2),IF($N100=Lists!$K$3,IF($L100&lt;1,(($U100/$L100)*((1+Inputs!$D$7)^BA$2)),((INT(BA$2/$L100)-INT((BA$2-1)/$L100))*$U100*((1+Inputs!$D$7)^BA$2))),(_xlfn.WEIBULL.DIST(BA$2,$M100,$L100,FALSE)*$U100*((1+Inputs!$D$7)^BA$2))),IF($N100=Lists!$K$3,IF($L100&lt;1,((($T100*(1-$F100)+$S100*(1-$G100))/$L100)*((1+Inputs!$D$7)^BA$2)),((INT(BA$2/$L100)-INT((BA$2-1)/$L100))*($T100*(1-$F100)+$S100*(1-$G100))*((1+Inputs!$D$7)^BA$2))),((_xlfn.WEIBULL.DIST(BA$2,$M100,$L100,FALSE)*($T100*(1-$F100)+$S100*(1-$G100))*((1+Inputs!$D$7)^BA$2))))))</f>
        <v>0</v>
      </c>
      <c r="BB100" s="88">
        <f>$E100*IF(BB$2&gt;Inputs!$D$5,0,IF(BB$2&gt;VLOOKUP($H100,Lists!$P$3:$Q$7,2),IF($N100=Lists!$K$3,IF($L100&lt;1,(($U100/$L100)*((1+Inputs!$D$7)^BB$2)),((INT(BB$2/$L100)-INT((BB$2-1)/$L100))*$U100*((1+Inputs!$D$7)^BB$2))),(_xlfn.WEIBULL.DIST(BB$2,$M100,$L100,FALSE)*$U100*((1+Inputs!$D$7)^BB$2))),IF($N100=Lists!$K$3,IF($L100&lt;1,((($T100*(1-$F100)+$S100*(1-$G100))/$L100)*((1+Inputs!$D$7)^BB$2)),((INT(BB$2/$L100)-INT((BB$2-1)/$L100))*($T100*(1-$F100)+$S100*(1-$G100))*((1+Inputs!$D$7)^BB$2))),((_xlfn.WEIBULL.DIST(BB$2,$M100,$L100,FALSE)*($T100*(1-$F100)+$S100*(1-$G100))*((1+Inputs!$D$7)^BB$2))))))</f>
        <v>0</v>
      </c>
      <c r="BC100" s="88">
        <f>$E100*IF(BC$2&gt;Inputs!$D$5,0,IF(BC$2&gt;VLOOKUP($H100,Lists!$P$3:$Q$7,2),IF($N100=Lists!$K$3,IF($L100&lt;1,(($U100/$L100)*((1+Inputs!$D$7)^BC$2)),((INT(BC$2/$L100)-INT((BC$2-1)/$L100))*$U100*((1+Inputs!$D$7)^BC$2))),(_xlfn.WEIBULL.DIST(BC$2,$M100,$L100,FALSE)*$U100*((1+Inputs!$D$7)^BC$2))),IF($N100=Lists!$K$3,IF($L100&lt;1,((($T100*(1-$F100)+$S100*(1-$G100))/$L100)*((1+Inputs!$D$7)^BC$2)),((INT(BC$2/$L100)-INT((BC$2-1)/$L100))*($T100*(1-$F100)+$S100*(1-$G100))*((1+Inputs!$D$7)^BC$2))),((_xlfn.WEIBULL.DIST(BC$2,$M100,$L100,FALSE)*($T100*(1-$F100)+$S100*(1-$G100))*((1+Inputs!$D$7)^BC$2))))))</f>
        <v>0</v>
      </c>
      <c r="BD100" s="88">
        <f>$E100*IF(BD$2&gt;Inputs!$D$5,0,IF(BD$2&gt;VLOOKUP($H100,Lists!$P$3:$Q$7,2),IF($N100=Lists!$K$3,IF($L100&lt;1,(($U100/$L100)*((1+Inputs!$D$7)^BD$2)),((INT(BD$2/$L100)-INT((BD$2-1)/$L100))*$U100*((1+Inputs!$D$7)^BD$2))),(_xlfn.WEIBULL.DIST(BD$2,$M100,$L100,FALSE)*$U100*((1+Inputs!$D$7)^BD$2))),IF($N100=Lists!$K$3,IF($L100&lt;1,((($T100*(1-$F100)+$S100*(1-$G100))/$L100)*((1+Inputs!$D$7)^BD$2)),((INT(BD$2/$L100)-INT((BD$2-1)/$L100))*($T100*(1-$F100)+$S100*(1-$G100))*((1+Inputs!$D$7)^BD$2))),((_xlfn.WEIBULL.DIST(BD$2,$M100,$L100,FALSE)*($T100*(1-$F100)+$S100*(1-$G100))*((1+Inputs!$D$7)^BD$2))))))</f>
        <v>0</v>
      </c>
      <c r="BE100" s="88">
        <f>$E100*IF(BE$2&gt;Inputs!$D$5,0,IF(BE$2&gt;VLOOKUP($H100,Lists!$P$3:$Q$7,2),IF($N100=Lists!$K$3,IF($L100&lt;1,(($U100/$L100)*((1+Inputs!$D$7)^BE$2)),((INT(BE$2/$L100)-INT((BE$2-1)/$L100))*$U100*((1+Inputs!$D$7)^BE$2))),(_xlfn.WEIBULL.DIST(BE$2,$M100,$L100,FALSE)*$U100*((1+Inputs!$D$7)^BE$2))),IF($N100=Lists!$K$3,IF($L100&lt;1,((($T100*(1-$F100)+$S100*(1-$G100))/$L100)*((1+Inputs!$D$7)^BE$2)),((INT(BE$2/$L100)-INT((BE$2-1)/$L100))*($T100*(1-$F100)+$S100*(1-$G100))*((1+Inputs!$D$7)^BE$2))),((_xlfn.WEIBULL.DIST(BE$2,$M100,$L100,FALSE)*($T100*(1-$F100)+$S100*(1-$G100))*((1+Inputs!$D$7)^BE$2))))))</f>
        <v>0</v>
      </c>
      <c r="BF100" s="88">
        <f>$E100*IF(BF$2&gt;Inputs!$D$5,0,IF(BF$2&gt;VLOOKUP($H100,Lists!$P$3:$Q$7,2),IF($N100=Lists!$K$3,IF($L100&lt;1,(($U100/$L100)*((1+Inputs!$D$7)^BF$2)),((INT(BF$2/$L100)-INT((BF$2-1)/$L100))*$U100*((1+Inputs!$D$7)^BF$2))),(_xlfn.WEIBULL.DIST(BF$2,$M100,$L100,FALSE)*$U100*((1+Inputs!$D$7)^BF$2))),IF($N100=Lists!$K$3,IF($L100&lt;1,((($T100*(1-$F100)+$S100*(1-$G100))/$L100)*((1+Inputs!$D$7)^BF$2)),((INT(BF$2/$L100)-INT((BF$2-1)/$L100))*($T100*(1-$F100)+$S100*(1-$G100))*((1+Inputs!$D$7)^BF$2))),((_xlfn.WEIBULL.DIST(BF$2,$M100,$L100,FALSE)*($T100*(1-$F100)+$S100*(1-$G100))*((1+Inputs!$D$7)^BF$2))))))</f>
        <v>0</v>
      </c>
      <c r="BG100" s="88">
        <f>$E100*IF(BG$2&gt;Inputs!$D$5,0,IF(BG$2&gt;VLOOKUP($H100,Lists!$P$3:$Q$7,2),IF($N100=Lists!$K$3,IF($L100&lt;1,(($U100/$L100)*((1+Inputs!$D$7)^BG$2)),((INT(BG$2/$L100)-INT((BG$2-1)/$L100))*$U100*((1+Inputs!$D$7)^BG$2))),(_xlfn.WEIBULL.DIST(BG$2,$M100,$L100,FALSE)*$U100*((1+Inputs!$D$7)^BG$2))),IF($N100=Lists!$K$3,IF($L100&lt;1,((($T100*(1-$F100)+$S100*(1-$G100))/$L100)*((1+Inputs!$D$7)^BG$2)),((INT(BG$2/$L100)-INT((BG$2-1)/$L100))*($T100*(1-$F100)+$S100*(1-$G100))*((1+Inputs!$D$7)^BG$2))),((_xlfn.WEIBULL.DIST(BG$2,$M100,$L100,FALSE)*($T100*(1-$F100)+$S100*(1-$G100))*((1+Inputs!$D$7)^BG$2))))))</f>
        <v>0</v>
      </c>
      <c r="BH100" s="88">
        <f>$E100*IF(BH$2&gt;Inputs!$D$5,0,IF(BH$2&gt;VLOOKUP($H100,Lists!$P$3:$Q$7,2),IF($N100=Lists!$K$3,IF($L100&lt;1,(($U100/$L100)*((1+Inputs!$D$7)^BH$2)),((INT(BH$2/$L100)-INT((BH$2-1)/$L100))*$U100*((1+Inputs!$D$7)^BH$2))),(_xlfn.WEIBULL.DIST(BH$2,$M100,$L100,FALSE)*$U100*((1+Inputs!$D$7)^BH$2))),IF($N100=Lists!$K$3,IF($L100&lt;1,((($T100*(1-$F100)+$S100*(1-$G100))/$L100)*((1+Inputs!$D$7)^BH$2)),((INT(BH$2/$L100)-INT((BH$2-1)/$L100))*($T100*(1-$F100)+$S100*(1-$G100))*((1+Inputs!$D$7)^BH$2))),((_xlfn.WEIBULL.DIST(BH$2,$M100,$L100,FALSE)*($T100*(1-$F100)+$S100*(1-$G100))*((1+Inputs!$D$7)^BH$2))))))</f>
        <v>0</v>
      </c>
      <c r="BI100" s="88">
        <f>$E100*IF(BI$2&gt;Inputs!$D$5,0,IF(BI$2&gt;VLOOKUP($H100,Lists!$P$3:$Q$7,2),IF($N100=Lists!$K$3,IF($L100&lt;1,(($U100/$L100)*((1+Inputs!$D$7)^BI$2)),((INT(BI$2/$L100)-INT((BI$2-1)/$L100))*$U100*((1+Inputs!$D$7)^BI$2))),(_xlfn.WEIBULL.DIST(BI$2,$M100,$L100,FALSE)*$U100*((1+Inputs!$D$7)^BI$2))),IF($N100=Lists!$K$3,IF($L100&lt;1,((($T100*(1-$F100)+$S100*(1-$G100))/$L100)*((1+Inputs!$D$7)^BI$2)),((INT(BI$2/$L100)-INT((BI$2-1)/$L100))*($T100*(1-$F100)+$S100*(1-$G100))*((1+Inputs!$D$7)^BI$2))),((_xlfn.WEIBULL.DIST(BI$2,$M100,$L100,FALSE)*($T100*(1-$F100)+$S100*(1-$G100))*((1+Inputs!$D$7)^BI$2))))))</f>
        <v>0</v>
      </c>
      <c r="BJ100" s="88">
        <f>$E100*IF(BJ$2&gt;Inputs!$D$5,0,IF(BJ$2&gt;VLOOKUP($H100,Lists!$P$3:$Q$7,2),IF($N100=Lists!$K$3,IF($L100&lt;1,(($U100/$L100)*((1+Inputs!$D$7)^BJ$2)),((INT(BJ$2/$L100)-INT((BJ$2-1)/$L100))*$U100*((1+Inputs!$D$7)^BJ$2))),(_xlfn.WEIBULL.DIST(BJ$2,$M100,$L100,FALSE)*$U100*((1+Inputs!$D$7)^BJ$2))),IF($N100=Lists!$K$3,IF($L100&lt;1,((($T100*(1-$F100)+$S100*(1-$G100))/$L100)*((1+Inputs!$D$7)^BJ$2)),((INT(BJ$2/$L100)-INT((BJ$2-1)/$L100))*($T100*(1-$F100)+$S100*(1-$G100))*((1+Inputs!$D$7)^BJ$2))),((_xlfn.WEIBULL.DIST(BJ$2,$M100,$L100,FALSE)*($T100*(1-$F100)+$S100*(1-$G100))*((1+Inputs!$D$7)^BJ$2))))))</f>
        <v>0</v>
      </c>
      <c r="BK100" s="88">
        <f>$E100*IF(BK$2&gt;Inputs!$D$5,0,IF(BK$2&gt;VLOOKUP($H100,Lists!$P$3:$Q$7,2),IF($N100=Lists!$K$3,IF($L100&lt;1,(($U100/$L100)*((1+Inputs!$D$7)^BK$2)),((INT(BK$2/$L100)-INT((BK$2-1)/$L100))*$U100*((1+Inputs!$D$7)^BK$2))),(_xlfn.WEIBULL.DIST(BK$2,$M100,$L100,FALSE)*$U100*((1+Inputs!$D$7)^BK$2))),IF($N100=Lists!$K$3,IF($L100&lt;1,((($T100*(1-$F100)+$S100*(1-$G100))/$L100)*((1+Inputs!$D$7)^BK$2)),((INT(BK$2/$L100)-INT((BK$2-1)/$L100))*($T100*(1-$F100)+$S100*(1-$G100))*((1+Inputs!$D$7)^BK$2))),((_xlfn.WEIBULL.DIST(BK$2,$M100,$L100,FALSE)*($T100*(1-$F100)+$S100*(1-$G100))*((1+Inputs!$D$7)^BK$2))))))</f>
        <v>0</v>
      </c>
      <c r="BL100" s="88">
        <f>$E100*IF(BL$2&gt;Inputs!$D$5,0,IF(BL$2&gt;VLOOKUP($H100,Lists!$P$3:$Q$7,2),IF($N100=Lists!$K$3,IF($L100&lt;1,(($U100/$L100)*((1+Inputs!$D$7)^BL$2)),((INT(BL$2/$L100)-INT((BL$2-1)/$L100))*$U100*((1+Inputs!$D$7)^BL$2))),(_xlfn.WEIBULL.DIST(BL$2,$M100,$L100,FALSE)*$U100*((1+Inputs!$D$7)^BL$2))),IF($N100=Lists!$K$3,IF($L100&lt;1,((($T100*(1-$F100)+$S100*(1-$G100))/$L100)*((1+Inputs!$D$7)^BL$2)),((INT(BL$2/$L100)-INT((BL$2-1)/$L100))*($T100*(1-$F100)+$S100*(1-$G100))*((1+Inputs!$D$7)^BL$2))),((_xlfn.WEIBULL.DIST(BL$2,$M100,$L100,FALSE)*($T100*(1-$F100)+$S100*(1-$G100))*((1+Inputs!$D$7)^BL$2))))))</f>
        <v>0</v>
      </c>
      <c r="BM100" s="88">
        <f>$E100*IF(BM$2&gt;Inputs!$D$5,0,IF(BM$2&gt;VLOOKUP($H100,Lists!$P$3:$Q$7,2),IF($N100=Lists!$K$3,IF($L100&lt;1,(($U100/$L100)*((1+Inputs!$D$7)^BM$2)),((INT(BM$2/$L100)-INT((BM$2-1)/$L100))*$U100*((1+Inputs!$D$7)^BM$2))),(_xlfn.WEIBULL.DIST(BM$2,$M100,$L100,FALSE)*$U100*((1+Inputs!$D$7)^BM$2))),IF($N100=Lists!$K$3,IF($L100&lt;1,((($T100*(1-$F100)+$S100*(1-$G100))/$L100)*((1+Inputs!$D$7)^BM$2)),((INT(BM$2/$L100)-INT((BM$2-1)/$L100))*($T100*(1-$F100)+$S100*(1-$G100))*((1+Inputs!$D$7)^BM$2))),((_xlfn.WEIBULL.DIST(BM$2,$M100,$L100,FALSE)*($T100*(1-$F100)+$S100*(1-$G100))*((1+Inputs!$D$7)^BM$2))))))</f>
        <v>0</v>
      </c>
      <c r="BN100" s="88">
        <f>$E100*IF(BN$2&gt;Inputs!$D$5,0,IF(BN$2&gt;VLOOKUP($H100,Lists!$P$3:$Q$7,2),IF($N100=Lists!$K$3,IF($L100&lt;1,(($U100/$L100)*((1+Inputs!$D$7)^BN$2)),((INT(BN$2/$L100)-INT((BN$2-1)/$L100))*$U100*((1+Inputs!$D$7)^BN$2))),(_xlfn.WEIBULL.DIST(BN$2,$M100,$L100,FALSE)*$U100*((1+Inputs!$D$7)^BN$2))),IF($N100=Lists!$K$3,IF($L100&lt;1,((($T100*(1-$F100)+$S100*(1-$G100))/$L100)*((1+Inputs!$D$7)^BN$2)),((INT(BN$2/$L100)-INT((BN$2-1)/$L100))*($T100*(1-$F100)+$S100*(1-$G100))*((1+Inputs!$D$7)^BN$2))),((_xlfn.WEIBULL.DIST(BN$2,$M100,$L100,FALSE)*($T100*(1-$F100)+$S100*(1-$G100))*((1+Inputs!$D$7)^BN$2))))))</f>
        <v>0</v>
      </c>
      <c r="BO100" s="64">
        <f>NPV(Inputs!$D$6,BQ100:DD100)</f>
        <v>0</v>
      </c>
      <c r="BP100" s="67">
        <f t="shared" si="27"/>
        <v>0</v>
      </c>
      <c r="BQ100" s="88">
        <f>MAX(AA100,($E100*IF(BQ$2&gt;Inputs!$D$5,0,IF(BQ$2&gt;VLOOKUP($H100,Lists!$P$3:$Q$7,2),IF($N100=Lists!$K$3,IF($L100&lt;1,(($U100/$L100)*((1+Inputs!$D$7)^BQ$2)),((INT(BQ$2/$L100)-INT((BQ$2-1)/$L100))*$U100*((1+Inputs!$D$7)^BQ$2))),(Inputs!$D$8^((1-_xlfn.WEIBULL.DIST(BQ$2,$M100,$L100,FALSE))/_xlfn.WEIBULL.DIST(BQ$2,$M100,$L100,FALSE))*$U100*((1+Inputs!$D$7)^BQ$2))),IF($N100=Lists!$K$3,IF($L100&lt;1,((($T100*(1-$F100)+$S100*(1-$G100))/$L100)*((1+Inputs!$D$7)^BQ$2)),((INT(BQ$2/$L100)-INT((BQ$2-1)/$L100))*($T100*(1-$F100)+$S100*(1-$G100))*((1+Inputs!$D$7)^BQ$2))),((Inputs!$D$8^((1-_xlfn.WEIBULL.DIST(BQ$2,$M100,$L100,FALSE))/_xlfn.WEIBULL.DIST(BQ$2,$M100,$L100,FALSE))*($T100*(1-$F100)+$S100*(1-$G100))*((1+Inputs!$D$7)^BQ$2))))))))</f>
        <v>0</v>
      </c>
      <c r="BR100" s="88">
        <f>MAX(AB100,($E100*IF(BR$2&gt;Inputs!$D$5,0,IF(BR$2&gt;VLOOKUP($H100,Lists!$P$3:$Q$7,2),IF($N100=Lists!$K$3,IF($L100&lt;1,(($U100/$L100)*((1+Inputs!$D$7)^BR$2)),((INT(BR$2/$L100)-INT((BR$2-1)/$L100))*$U100*((1+Inputs!$D$7)^BR$2))),(Inputs!$D$8^((1-_xlfn.WEIBULL.DIST(BR$2,$M100,$L100,FALSE))/_xlfn.WEIBULL.DIST(BR$2,$M100,$L100,FALSE))*$U100*((1+Inputs!$D$7)^BR$2))),IF($N100=Lists!$K$3,IF($L100&lt;1,((($T100*(1-$F100)+$S100*(1-$G100))/$L100)*((1+Inputs!$D$7)^BR$2)),((INT(BR$2/$L100)-INT((BR$2-1)/$L100))*($T100*(1-$F100)+$S100*(1-$G100))*((1+Inputs!$D$7)^BR$2))),((Inputs!$D$8^((1-_xlfn.WEIBULL.DIST(BR$2,$M100,$L100,FALSE))/_xlfn.WEIBULL.DIST(BR$2,$M100,$L100,FALSE))*($T100*(1-$F100)+$S100*(1-$G100))*((1+Inputs!$D$7)^BR$2))))))))</f>
        <v>0</v>
      </c>
      <c r="BS100" s="88">
        <f>MAX(AC100,($E100*IF(BS$2&gt;Inputs!$D$5,0,IF(BS$2&gt;VLOOKUP($H100,Lists!$P$3:$Q$7,2),IF($N100=Lists!$K$3,IF($L100&lt;1,(($U100/$L100)*((1+Inputs!$D$7)^BS$2)),((INT(BS$2/$L100)-INT((BS$2-1)/$L100))*$U100*((1+Inputs!$D$7)^BS$2))),(Inputs!$D$8^((1-_xlfn.WEIBULL.DIST(BS$2,$M100,$L100,FALSE))/_xlfn.WEIBULL.DIST(BS$2,$M100,$L100,FALSE))*$U100*((1+Inputs!$D$7)^BS$2))),IF($N100=Lists!$K$3,IF($L100&lt;1,((($T100*(1-$F100)+$S100*(1-$G100))/$L100)*((1+Inputs!$D$7)^BS$2)),((INT(BS$2/$L100)-INT((BS$2-1)/$L100))*($T100*(1-$F100)+$S100*(1-$G100))*((1+Inputs!$D$7)^BS$2))),((Inputs!$D$8^((1-_xlfn.WEIBULL.DIST(BS$2,$M100,$L100,FALSE))/_xlfn.WEIBULL.DIST(BS$2,$M100,$L100,FALSE))*($T100*(1-$F100)+$S100*(1-$G100))*((1+Inputs!$D$7)^BS$2))))))))</f>
        <v>0</v>
      </c>
      <c r="BT100" s="88">
        <f>MAX(AD100,($E100*IF(BT$2&gt;Inputs!$D$5,0,IF(BT$2&gt;VLOOKUP($H100,Lists!$P$3:$Q$7,2),IF($N100=Lists!$K$3,IF($L100&lt;1,(($U100/$L100)*((1+Inputs!$D$7)^BT$2)),((INT(BT$2/$L100)-INT((BT$2-1)/$L100))*$U100*((1+Inputs!$D$7)^BT$2))),(Inputs!$D$8^((1-_xlfn.WEIBULL.DIST(BT$2,$M100,$L100,FALSE))/_xlfn.WEIBULL.DIST(BT$2,$M100,$L100,FALSE))*$U100*((1+Inputs!$D$7)^BT$2))),IF($N100=Lists!$K$3,IF($L100&lt;1,((($T100*(1-$F100)+$S100*(1-$G100))/$L100)*((1+Inputs!$D$7)^BT$2)),((INT(BT$2/$L100)-INT((BT$2-1)/$L100))*($T100*(1-$F100)+$S100*(1-$G100))*((1+Inputs!$D$7)^BT$2))),((Inputs!$D$8^((1-_xlfn.WEIBULL.DIST(BT$2,$M100,$L100,FALSE))/_xlfn.WEIBULL.DIST(BT$2,$M100,$L100,FALSE))*($T100*(1-$F100)+$S100*(1-$G100))*((1+Inputs!$D$7)^BT$2))))))))</f>
        <v>0</v>
      </c>
      <c r="BU100" s="88">
        <f>MAX(AE100,($E100*IF(BU$2&gt;Inputs!$D$5,0,IF(BU$2&gt;VLOOKUP($H100,Lists!$P$3:$Q$7,2),IF($N100=Lists!$K$3,IF($L100&lt;1,(($U100/$L100)*((1+Inputs!$D$7)^BU$2)),((INT(BU$2/$L100)-INT((BU$2-1)/$L100))*$U100*((1+Inputs!$D$7)^BU$2))),(Inputs!$D$8^((1-_xlfn.WEIBULL.DIST(BU$2,$M100,$L100,FALSE))/_xlfn.WEIBULL.DIST(BU$2,$M100,$L100,FALSE))*$U100*((1+Inputs!$D$7)^BU$2))),IF($N100=Lists!$K$3,IF($L100&lt;1,((($T100*(1-$F100)+$S100*(1-$G100))/$L100)*((1+Inputs!$D$7)^BU$2)),((INT(BU$2/$L100)-INT((BU$2-1)/$L100))*($T100*(1-$F100)+$S100*(1-$G100))*((1+Inputs!$D$7)^BU$2))),((Inputs!$D$8^((1-_xlfn.WEIBULL.DIST(BU$2,$M100,$L100,FALSE))/_xlfn.WEIBULL.DIST(BU$2,$M100,$L100,FALSE))*($T100*(1-$F100)+$S100*(1-$G100))*((1+Inputs!$D$7)^BU$2))))))))</f>
        <v>0</v>
      </c>
      <c r="BV100" s="88">
        <f>MAX(AF100,($E100*IF(BV$2&gt;Inputs!$D$5,0,IF(BV$2&gt;VLOOKUP($H100,Lists!$P$3:$Q$7,2),IF($N100=Lists!$K$3,IF($L100&lt;1,(($U100/$L100)*((1+Inputs!$D$7)^BV$2)),((INT(BV$2/$L100)-INT((BV$2-1)/$L100))*$U100*((1+Inputs!$D$7)^BV$2))),(Inputs!$D$8^((1-_xlfn.WEIBULL.DIST(BV$2,$M100,$L100,FALSE))/_xlfn.WEIBULL.DIST(BV$2,$M100,$L100,FALSE))*$U100*((1+Inputs!$D$7)^BV$2))),IF($N100=Lists!$K$3,IF($L100&lt;1,((($T100*(1-$F100)+$S100*(1-$G100))/$L100)*((1+Inputs!$D$7)^BV$2)),((INT(BV$2/$L100)-INT((BV$2-1)/$L100))*($T100*(1-$F100)+$S100*(1-$G100))*((1+Inputs!$D$7)^BV$2))),((Inputs!$D$8^((1-_xlfn.WEIBULL.DIST(BV$2,$M100,$L100,FALSE))/_xlfn.WEIBULL.DIST(BV$2,$M100,$L100,FALSE))*($T100*(1-$F100)+$S100*(1-$G100))*((1+Inputs!$D$7)^BV$2))))))))</f>
        <v>0</v>
      </c>
      <c r="BW100" s="88">
        <f>MAX(AG100,($E100*IF(BW$2&gt;Inputs!$D$5,0,IF(BW$2&gt;VLOOKUP($H100,Lists!$P$3:$Q$7,2),IF($N100=Lists!$K$3,IF($L100&lt;1,(($U100/$L100)*((1+Inputs!$D$7)^BW$2)),((INT(BW$2/$L100)-INT((BW$2-1)/$L100))*$U100*((1+Inputs!$D$7)^BW$2))),(Inputs!$D$8^((1-_xlfn.WEIBULL.DIST(BW$2,$M100,$L100,FALSE))/_xlfn.WEIBULL.DIST(BW$2,$M100,$L100,FALSE))*$U100*((1+Inputs!$D$7)^BW$2))),IF($N100=Lists!$K$3,IF($L100&lt;1,((($T100*(1-$F100)+$S100*(1-$G100))/$L100)*((1+Inputs!$D$7)^BW$2)),((INT(BW$2/$L100)-INT((BW$2-1)/$L100))*($T100*(1-$F100)+$S100*(1-$G100))*((1+Inputs!$D$7)^BW$2))),((Inputs!$D$8^((1-_xlfn.WEIBULL.DIST(BW$2,$M100,$L100,FALSE))/_xlfn.WEIBULL.DIST(BW$2,$M100,$L100,FALSE))*($T100*(1-$F100)+$S100*(1-$G100))*((1+Inputs!$D$7)^BW$2))))))))</f>
        <v>0</v>
      </c>
      <c r="BX100" s="88">
        <f>MAX(AH100,($E100*IF(BX$2&gt;Inputs!$D$5,0,IF(BX$2&gt;VLOOKUP($H100,Lists!$P$3:$Q$7,2),IF($N100=Lists!$K$3,IF($L100&lt;1,(($U100/$L100)*((1+Inputs!$D$7)^BX$2)),((INT(BX$2/$L100)-INT((BX$2-1)/$L100))*$U100*((1+Inputs!$D$7)^BX$2))),(Inputs!$D$8^((1-_xlfn.WEIBULL.DIST(BX$2,$M100,$L100,FALSE))/_xlfn.WEIBULL.DIST(BX$2,$M100,$L100,FALSE))*$U100*((1+Inputs!$D$7)^BX$2))),IF($N100=Lists!$K$3,IF($L100&lt;1,((($T100*(1-$F100)+$S100*(1-$G100))/$L100)*((1+Inputs!$D$7)^BX$2)),((INT(BX$2/$L100)-INT((BX$2-1)/$L100))*($T100*(1-$F100)+$S100*(1-$G100))*((1+Inputs!$D$7)^BX$2))),((Inputs!$D$8^((1-_xlfn.WEIBULL.DIST(BX$2,$M100,$L100,FALSE))/_xlfn.WEIBULL.DIST(BX$2,$M100,$L100,FALSE))*($T100*(1-$F100)+$S100*(1-$G100))*((1+Inputs!$D$7)^BX$2))))))))</f>
        <v>0</v>
      </c>
      <c r="BY100" s="88">
        <f>MAX(AI100,($E100*IF(BY$2&gt;Inputs!$D$5,0,IF(BY$2&gt;VLOOKUP($H100,Lists!$P$3:$Q$7,2),IF($N100=Lists!$K$3,IF($L100&lt;1,(($U100/$L100)*((1+Inputs!$D$7)^BY$2)),((INT(BY$2/$L100)-INT((BY$2-1)/$L100))*$U100*((1+Inputs!$D$7)^BY$2))),(Inputs!$D$8^((1-_xlfn.WEIBULL.DIST(BY$2,$M100,$L100,FALSE))/_xlfn.WEIBULL.DIST(BY$2,$M100,$L100,FALSE))*$U100*((1+Inputs!$D$7)^BY$2))),IF($N100=Lists!$K$3,IF($L100&lt;1,((($T100*(1-$F100)+$S100*(1-$G100))/$L100)*((1+Inputs!$D$7)^BY$2)),((INT(BY$2/$L100)-INT((BY$2-1)/$L100))*($T100*(1-$F100)+$S100*(1-$G100))*((1+Inputs!$D$7)^BY$2))),((Inputs!$D$8^((1-_xlfn.WEIBULL.DIST(BY$2,$M100,$L100,FALSE))/_xlfn.WEIBULL.DIST(BY$2,$M100,$L100,FALSE))*($T100*(1-$F100)+$S100*(1-$G100))*((1+Inputs!$D$7)^BY$2))))))))</f>
        <v>0</v>
      </c>
      <c r="BZ100" s="88">
        <f>MAX(AJ100,($E100*IF(BZ$2&gt;Inputs!$D$5,0,IF(BZ$2&gt;VLOOKUP($H100,Lists!$P$3:$Q$7,2),IF($N100=Lists!$K$3,IF($L100&lt;1,(($U100/$L100)*((1+Inputs!$D$7)^BZ$2)),((INT(BZ$2/$L100)-INT((BZ$2-1)/$L100))*$U100*((1+Inputs!$D$7)^BZ$2))),(Inputs!$D$8^((1-_xlfn.WEIBULL.DIST(BZ$2,$M100,$L100,FALSE))/_xlfn.WEIBULL.DIST(BZ$2,$M100,$L100,FALSE))*$U100*((1+Inputs!$D$7)^BZ$2))),IF($N100=Lists!$K$3,IF($L100&lt;1,((($T100*(1-$F100)+$S100*(1-$G100))/$L100)*((1+Inputs!$D$7)^BZ$2)),((INT(BZ$2/$L100)-INT((BZ$2-1)/$L100))*($T100*(1-$F100)+$S100*(1-$G100))*((1+Inputs!$D$7)^BZ$2))),((Inputs!$D$8^((1-_xlfn.WEIBULL.DIST(BZ$2,$M100,$L100,FALSE))/_xlfn.WEIBULL.DIST(BZ$2,$M100,$L100,FALSE))*($T100*(1-$F100)+$S100*(1-$G100))*((1+Inputs!$D$7)^BZ$2))))))))</f>
        <v>0</v>
      </c>
      <c r="CA100" s="88">
        <f>MAX(AK100,($E100*IF(CA$2&gt;Inputs!$D$5,0,IF(CA$2&gt;VLOOKUP($H100,Lists!$P$3:$Q$7,2),IF($N100=Lists!$K$3,IF($L100&lt;1,(($U100/$L100)*((1+Inputs!$D$7)^CA$2)),((INT(CA$2/$L100)-INT((CA$2-1)/$L100))*$U100*((1+Inputs!$D$7)^CA$2))),(Inputs!$D$8^((1-_xlfn.WEIBULL.DIST(CA$2,$M100,$L100,FALSE))/_xlfn.WEIBULL.DIST(CA$2,$M100,$L100,FALSE))*$U100*((1+Inputs!$D$7)^CA$2))),IF($N100=Lists!$K$3,IF($L100&lt;1,((($T100*(1-$F100)+$S100*(1-$G100))/$L100)*((1+Inputs!$D$7)^CA$2)),((INT(CA$2/$L100)-INT((CA$2-1)/$L100))*($T100*(1-$F100)+$S100*(1-$G100))*((1+Inputs!$D$7)^CA$2))),((Inputs!$D$8^((1-_xlfn.WEIBULL.DIST(CA$2,$M100,$L100,FALSE))/_xlfn.WEIBULL.DIST(CA$2,$M100,$L100,FALSE))*($T100*(1-$F100)+$S100*(1-$G100))*((1+Inputs!$D$7)^CA$2))))))))</f>
        <v>0</v>
      </c>
      <c r="CB100" s="88">
        <f>MAX(AL100,($E100*IF(CB$2&gt;Inputs!$D$5,0,IF(CB$2&gt;VLOOKUP($H100,Lists!$P$3:$Q$7,2),IF($N100=Lists!$K$3,IF($L100&lt;1,(($U100/$L100)*((1+Inputs!$D$7)^CB$2)),((INT(CB$2/$L100)-INT((CB$2-1)/$L100))*$U100*((1+Inputs!$D$7)^CB$2))),(Inputs!$D$8^((1-_xlfn.WEIBULL.DIST(CB$2,$M100,$L100,FALSE))/_xlfn.WEIBULL.DIST(CB$2,$M100,$L100,FALSE))*$U100*((1+Inputs!$D$7)^CB$2))),IF($N100=Lists!$K$3,IF($L100&lt;1,((($T100*(1-$F100)+$S100*(1-$G100))/$L100)*((1+Inputs!$D$7)^CB$2)),((INT(CB$2/$L100)-INT((CB$2-1)/$L100))*($T100*(1-$F100)+$S100*(1-$G100))*((1+Inputs!$D$7)^CB$2))),((Inputs!$D$8^((1-_xlfn.WEIBULL.DIST(CB$2,$M100,$L100,FALSE))/_xlfn.WEIBULL.DIST(CB$2,$M100,$L100,FALSE))*($T100*(1-$F100)+$S100*(1-$G100))*((1+Inputs!$D$7)^CB$2))))))))</f>
        <v>0</v>
      </c>
      <c r="CC100" s="88">
        <f>MAX(AM100,($E100*IF(CC$2&gt;Inputs!$D$5,0,IF(CC$2&gt;VLOOKUP($H100,Lists!$P$3:$Q$7,2),IF($N100=Lists!$K$3,IF($L100&lt;1,(($U100/$L100)*((1+Inputs!$D$7)^CC$2)),((INT(CC$2/$L100)-INT((CC$2-1)/$L100))*$U100*((1+Inputs!$D$7)^CC$2))),(Inputs!$D$8^((1-_xlfn.WEIBULL.DIST(CC$2,$M100,$L100,FALSE))/_xlfn.WEIBULL.DIST(CC$2,$M100,$L100,FALSE))*$U100*((1+Inputs!$D$7)^CC$2))),IF($N100=Lists!$K$3,IF($L100&lt;1,((($T100*(1-$F100)+$S100*(1-$G100))/$L100)*((1+Inputs!$D$7)^CC$2)),((INT(CC$2/$L100)-INT((CC$2-1)/$L100))*($T100*(1-$F100)+$S100*(1-$G100))*((1+Inputs!$D$7)^CC$2))),((Inputs!$D$8^((1-_xlfn.WEIBULL.DIST(CC$2,$M100,$L100,FALSE))/_xlfn.WEIBULL.DIST(CC$2,$M100,$L100,FALSE))*($T100*(1-$F100)+$S100*(1-$G100))*((1+Inputs!$D$7)^CC$2))))))))</f>
        <v>0</v>
      </c>
      <c r="CD100" s="88">
        <f>MAX(AN100,($E100*IF(CD$2&gt;Inputs!$D$5,0,IF(CD$2&gt;VLOOKUP($H100,Lists!$P$3:$Q$7,2),IF($N100=Lists!$K$3,IF($L100&lt;1,(($U100/$L100)*((1+Inputs!$D$7)^CD$2)),((INT(CD$2/$L100)-INT((CD$2-1)/$L100))*$U100*((1+Inputs!$D$7)^CD$2))),(Inputs!$D$8^((1-_xlfn.WEIBULL.DIST(CD$2,$M100,$L100,FALSE))/_xlfn.WEIBULL.DIST(CD$2,$M100,$L100,FALSE))*$U100*((1+Inputs!$D$7)^CD$2))),IF($N100=Lists!$K$3,IF($L100&lt;1,((($T100*(1-$F100)+$S100*(1-$G100))/$L100)*((1+Inputs!$D$7)^CD$2)),((INT(CD$2/$L100)-INT((CD$2-1)/$L100))*($T100*(1-$F100)+$S100*(1-$G100))*((1+Inputs!$D$7)^CD$2))),((Inputs!$D$8^((1-_xlfn.WEIBULL.DIST(CD$2,$M100,$L100,FALSE))/_xlfn.WEIBULL.DIST(CD$2,$M100,$L100,FALSE))*($T100*(1-$F100)+$S100*(1-$G100))*((1+Inputs!$D$7)^CD$2))))))))</f>
        <v>0</v>
      </c>
      <c r="CE100" s="88">
        <f>MAX(AO100,($E100*IF(CE$2&gt;Inputs!$D$5,0,IF(CE$2&gt;VLOOKUP($H100,Lists!$P$3:$Q$7,2),IF($N100=Lists!$K$3,IF($L100&lt;1,(($U100/$L100)*((1+Inputs!$D$7)^CE$2)),((INT(CE$2/$L100)-INT((CE$2-1)/$L100))*$U100*((1+Inputs!$D$7)^CE$2))),(Inputs!$D$8^((1-_xlfn.WEIBULL.DIST(CE$2,$M100,$L100,FALSE))/_xlfn.WEIBULL.DIST(CE$2,$M100,$L100,FALSE))*$U100*((1+Inputs!$D$7)^CE$2))),IF($N100=Lists!$K$3,IF($L100&lt;1,((($T100*(1-$F100)+$S100*(1-$G100))/$L100)*((1+Inputs!$D$7)^CE$2)),((INT(CE$2/$L100)-INT((CE$2-1)/$L100))*($T100*(1-$F100)+$S100*(1-$G100))*((1+Inputs!$D$7)^CE$2))),((Inputs!$D$8^((1-_xlfn.WEIBULL.DIST(CE$2,$M100,$L100,FALSE))/_xlfn.WEIBULL.DIST(CE$2,$M100,$L100,FALSE))*($T100*(1-$F100)+$S100*(1-$G100))*((1+Inputs!$D$7)^CE$2))))))))</f>
        <v>0</v>
      </c>
      <c r="CF100" s="88">
        <f>MAX(AP100,($E100*IF(CF$2&gt;Inputs!$D$5,0,IF(CF$2&gt;VLOOKUP($H100,Lists!$P$3:$Q$7,2),IF($N100=Lists!$K$3,IF($L100&lt;1,(($U100/$L100)*((1+Inputs!$D$7)^CF$2)),((INT(CF$2/$L100)-INT((CF$2-1)/$L100))*$U100*((1+Inputs!$D$7)^CF$2))),(Inputs!$D$8^((1-_xlfn.WEIBULL.DIST(CF$2,$M100,$L100,FALSE))/_xlfn.WEIBULL.DIST(CF$2,$M100,$L100,FALSE))*$U100*((1+Inputs!$D$7)^CF$2))),IF($N100=Lists!$K$3,IF($L100&lt;1,((($T100*(1-$F100)+$S100*(1-$G100))/$L100)*((1+Inputs!$D$7)^CF$2)),((INT(CF$2/$L100)-INT((CF$2-1)/$L100))*($T100*(1-$F100)+$S100*(1-$G100))*((1+Inputs!$D$7)^CF$2))),((Inputs!$D$8^((1-_xlfn.WEIBULL.DIST(CF$2,$M100,$L100,FALSE))/_xlfn.WEIBULL.DIST(CF$2,$M100,$L100,FALSE))*($T100*(1-$F100)+$S100*(1-$G100))*((1+Inputs!$D$7)^CF$2))))))))</f>
        <v>0</v>
      </c>
      <c r="CG100" s="88">
        <f>MAX(AQ100,($E100*IF(CG$2&gt;Inputs!$D$5,0,IF(CG$2&gt;VLOOKUP($H100,Lists!$P$3:$Q$7,2),IF($N100=Lists!$K$3,IF($L100&lt;1,(($U100/$L100)*((1+Inputs!$D$7)^CG$2)),((INT(CG$2/$L100)-INT((CG$2-1)/$L100))*$U100*((1+Inputs!$D$7)^CG$2))),(Inputs!$D$8^((1-_xlfn.WEIBULL.DIST(CG$2,$M100,$L100,FALSE))/_xlfn.WEIBULL.DIST(CG$2,$M100,$L100,FALSE))*$U100*((1+Inputs!$D$7)^CG$2))),IF($N100=Lists!$K$3,IF($L100&lt;1,((($T100*(1-$F100)+$S100*(1-$G100))/$L100)*((1+Inputs!$D$7)^CG$2)),((INT(CG$2/$L100)-INT((CG$2-1)/$L100))*($T100*(1-$F100)+$S100*(1-$G100))*((1+Inputs!$D$7)^CG$2))),((Inputs!$D$8^((1-_xlfn.WEIBULL.DIST(CG$2,$M100,$L100,FALSE))/_xlfn.WEIBULL.DIST(CG$2,$M100,$L100,FALSE))*($T100*(1-$F100)+$S100*(1-$G100))*((1+Inputs!$D$7)^CG$2))))))))</f>
        <v>0</v>
      </c>
      <c r="CH100" s="88">
        <f>MAX(AR100,($E100*IF(CH$2&gt;Inputs!$D$5,0,IF(CH$2&gt;VLOOKUP($H100,Lists!$P$3:$Q$7,2),IF($N100=Lists!$K$3,IF($L100&lt;1,(($U100/$L100)*((1+Inputs!$D$7)^CH$2)),((INT(CH$2/$L100)-INT((CH$2-1)/$L100))*$U100*((1+Inputs!$D$7)^CH$2))),(Inputs!$D$8^((1-_xlfn.WEIBULL.DIST(CH$2,$M100,$L100,FALSE))/_xlfn.WEIBULL.DIST(CH$2,$M100,$L100,FALSE))*$U100*((1+Inputs!$D$7)^CH$2))),IF($N100=Lists!$K$3,IF($L100&lt;1,((($T100*(1-$F100)+$S100*(1-$G100))/$L100)*((1+Inputs!$D$7)^CH$2)),((INT(CH$2/$L100)-INT((CH$2-1)/$L100))*($T100*(1-$F100)+$S100*(1-$G100))*((1+Inputs!$D$7)^CH$2))),((Inputs!$D$8^((1-_xlfn.WEIBULL.DIST(CH$2,$M100,$L100,FALSE))/_xlfn.WEIBULL.DIST(CH$2,$M100,$L100,FALSE))*($T100*(1-$F100)+$S100*(1-$G100))*((1+Inputs!$D$7)^CH$2))))))))</f>
        <v>0</v>
      </c>
      <c r="CI100" s="88">
        <f>MAX(AS100,($E100*IF(CI$2&gt;Inputs!$D$5,0,IF(CI$2&gt;VLOOKUP($H100,Lists!$P$3:$Q$7,2),IF($N100=Lists!$K$3,IF($L100&lt;1,(($U100/$L100)*((1+Inputs!$D$7)^CI$2)),((INT(CI$2/$L100)-INT((CI$2-1)/$L100))*$U100*((1+Inputs!$D$7)^CI$2))),(Inputs!$D$8^((1-_xlfn.WEIBULL.DIST(CI$2,$M100,$L100,FALSE))/_xlfn.WEIBULL.DIST(CI$2,$M100,$L100,FALSE))*$U100*((1+Inputs!$D$7)^CI$2))),IF($N100=Lists!$K$3,IF($L100&lt;1,((($T100*(1-$F100)+$S100*(1-$G100))/$L100)*((1+Inputs!$D$7)^CI$2)),((INT(CI$2/$L100)-INT((CI$2-1)/$L100))*($T100*(1-$F100)+$S100*(1-$G100))*((1+Inputs!$D$7)^CI$2))),((Inputs!$D$8^((1-_xlfn.WEIBULL.DIST(CI$2,$M100,$L100,FALSE))/_xlfn.WEIBULL.DIST(CI$2,$M100,$L100,FALSE))*($T100*(1-$F100)+$S100*(1-$G100))*((1+Inputs!$D$7)^CI$2))))))))</f>
        <v>0</v>
      </c>
      <c r="CJ100" s="88">
        <f>MAX(AT100,($E100*IF(CJ$2&gt;Inputs!$D$5,0,IF(CJ$2&gt;VLOOKUP($H100,Lists!$P$3:$Q$7,2),IF($N100=Lists!$K$3,IF($L100&lt;1,(($U100/$L100)*((1+Inputs!$D$7)^CJ$2)),((INT(CJ$2/$L100)-INT((CJ$2-1)/$L100))*$U100*((1+Inputs!$D$7)^CJ$2))),(Inputs!$D$8^((1-_xlfn.WEIBULL.DIST(CJ$2,$M100,$L100,FALSE))/_xlfn.WEIBULL.DIST(CJ$2,$M100,$L100,FALSE))*$U100*((1+Inputs!$D$7)^CJ$2))),IF($N100=Lists!$K$3,IF($L100&lt;1,((($T100*(1-$F100)+$S100*(1-$G100))/$L100)*((1+Inputs!$D$7)^CJ$2)),((INT(CJ$2/$L100)-INT((CJ$2-1)/$L100))*($T100*(1-$F100)+$S100*(1-$G100))*((1+Inputs!$D$7)^CJ$2))),((Inputs!$D$8^((1-_xlfn.WEIBULL.DIST(CJ$2,$M100,$L100,FALSE))/_xlfn.WEIBULL.DIST(CJ$2,$M100,$L100,FALSE))*($T100*(1-$F100)+$S100*(1-$G100))*((1+Inputs!$D$7)^CJ$2))))))))</f>
        <v>0</v>
      </c>
      <c r="CK100" s="88">
        <f>MAX(AU100,($E100*IF(CK$2&gt;Inputs!$D$5,0,IF(CK$2&gt;VLOOKUP($H100,Lists!$P$3:$Q$7,2),IF($N100=Lists!$K$3,IF($L100&lt;1,(($U100/$L100)*((1+Inputs!$D$7)^CK$2)),((INT(CK$2/$L100)-INT((CK$2-1)/$L100))*$U100*((1+Inputs!$D$7)^CK$2))),(Inputs!$D$8^((1-_xlfn.WEIBULL.DIST(CK$2,$M100,$L100,FALSE))/_xlfn.WEIBULL.DIST(CK$2,$M100,$L100,FALSE))*$U100*((1+Inputs!$D$7)^CK$2))),IF($N100=Lists!$K$3,IF($L100&lt;1,((($T100*(1-$F100)+$S100*(1-$G100))/$L100)*((1+Inputs!$D$7)^CK$2)),((INT(CK$2/$L100)-INT((CK$2-1)/$L100))*($T100*(1-$F100)+$S100*(1-$G100))*((1+Inputs!$D$7)^CK$2))),((Inputs!$D$8^((1-_xlfn.WEIBULL.DIST(CK$2,$M100,$L100,FALSE))/_xlfn.WEIBULL.DIST(CK$2,$M100,$L100,FALSE))*($T100*(1-$F100)+$S100*(1-$G100))*((1+Inputs!$D$7)^CK$2))))))))</f>
        <v>0</v>
      </c>
      <c r="CL100" s="88">
        <f>MAX(AV100,($E100*IF(CL$2&gt;Inputs!$D$5,0,IF(CL$2&gt;VLOOKUP($H100,Lists!$P$3:$Q$7,2),IF($N100=Lists!$K$3,IF($L100&lt;1,(($U100/$L100)*((1+Inputs!$D$7)^CL$2)),((INT(CL$2/$L100)-INT((CL$2-1)/$L100))*$U100*((1+Inputs!$D$7)^CL$2))),(Inputs!$D$8^((1-_xlfn.WEIBULL.DIST(CL$2,$M100,$L100,FALSE))/_xlfn.WEIBULL.DIST(CL$2,$M100,$L100,FALSE))*$U100*((1+Inputs!$D$7)^CL$2))),IF($N100=Lists!$K$3,IF($L100&lt;1,((($T100*(1-$F100)+$S100*(1-$G100))/$L100)*((1+Inputs!$D$7)^CL$2)),((INT(CL$2/$L100)-INT((CL$2-1)/$L100))*($T100*(1-$F100)+$S100*(1-$G100))*((1+Inputs!$D$7)^CL$2))),((Inputs!$D$8^((1-_xlfn.WEIBULL.DIST(CL$2,$M100,$L100,FALSE))/_xlfn.WEIBULL.DIST(CL$2,$M100,$L100,FALSE))*($T100*(1-$F100)+$S100*(1-$G100))*((1+Inputs!$D$7)^CL$2))))))))</f>
        <v>0</v>
      </c>
      <c r="CM100" s="88">
        <f>MAX(AW100,($E100*IF(CM$2&gt;Inputs!$D$5,0,IF(CM$2&gt;VLOOKUP($H100,Lists!$P$3:$Q$7,2),IF($N100=Lists!$K$3,IF($L100&lt;1,(($U100/$L100)*((1+Inputs!$D$7)^CM$2)),((INT(CM$2/$L100)-INT((CM$2-1)/$L100))*$U100*((1+Inputs!$D$7)^CM$2))),(Inputs!$D$8^((1-_xlfn.WEIBULL.DIST(CM$2,$M100,$L100,FALSE))/_xlfn.WEIBULL.DIST(CM$2,$M100,$L100,FALSE))*$U100*((1+Inputs!$D$7)^CM$2))),IF($N100=Lists!$K$3,IF($L100&lt;1,((($T100*(1-$F100)+$S100*(1-$G100))/$L100)*((1+Inputs!$D$7)^CM$2)),((INT(CM$2/$L100)-INT((CM$2-1)/$L100))*($T100*(1-$F100)+$S100*(1-$G100))*((1+Inputs!$D$7)^CM$2))),((Inputs!$D$8^((1-_xlfn.WEIBULL.DIST(CM$2,$M100,$L100,FALSE))/_xlfn.WEIBULL.DIST(CM$2,$M100,$L100,FALSE))*($T100*(1-$F100)+$S100*(1-$G100))*((1+Inputs!$D$7)^CM$2))))))))</f>
        <v>0</v>
      </c>
      <c r="CN100" s="88">
        <f>MAX(AX100,($E100*IF(CN$2&gt;Inputs!$D$5,0,IF(CN$2&gt;VLOOKUP($H100,Lists!$P$3:$Q$7,2),IF($N100=Lists!$K$3,IF($L100&lt;1,(($U100/$L100)*((1+Inputs!$D$7)^CN$2)),((INT(CN$2/$L100)-INT((CN$2-1)/$L100))*$U100*((1+Inputs!$D$7)^CN$2))),(Inputs!$D$8^((1-_xlfn.WEIBULL.DIST(CN$2,$M100,$L100,FALSE))/_xlfn.WEIBULL.DIST(CN$2,$M100,$L100,FALSE))*$U100*((1+Inputs!$D$7)^CN$2))),IF($N100=Lists!$K$3,IF($L100&lt;1,((($T100*(1-$F100)+$S100*(1-$G100))/$L100)*((1+Inputs!$D$7)^CN$2)),((INT(CN$2/$L100)-INT((CN$2-1)/$L100))*($T100*(1-$F100)+$S100*(1-$G100))*((1+Inputs!$D$7)^CN$2))),((Inputs!$D$8^((1-_xlfn.WEIBULL.DIST(CN$2,$M100,$L100,FALSE))/_xlfn.WEIBULL.DIST(CN$2,$M100,$L100,FALSE))*($T100*(1-$F100)+$S100*(1-$G100))*((1+Inputs!$D$7)^CN$2))))))))</f>
        <v>0</v>
      </c>
      <c r="CO100" s="88">
        <f>MAX(AY100,($E100*IF(CO$2&gt;Inputs!$D$5,0,IF(CO$2&gt;VLOOKUP($H100,Lists!$P$3:$Q$7,2),IF($N100=Lists!$K$3,IF($L100&lt;1,(($U100/$L100)*((1+Inputs!$D$7)^CO$2)),((INT(CO$2/$L100)-INT((CO$2-1)/$L100))*$U100*((1+Inputs!$D$7)^CO$2))),(Inputs!$D$8^((1-_xlfn.WEIBULL.DIST(CO$2,$M100,$L100,FALSE))/_xlfn.WEIBULL.DIST(CO$2,$M100,$L100,FALSE))*$U100*((1+Inputs!$D$7)^CO$2))),IF($N100=Lists!$K$3,IF($L100&lt;1,((($T100*(1-$F100)+$S100*(1-$G100))/$L100)*((1+Inputs!$D$7)^CO$2)),((INT(CO$2/$L100)-INT((CO$2-1)/$L100))*($T100*(1-$F100)+$S100*(1-$G100))*((1+Inputs!$D$7)^CO$2))),((Inputs!$D$8^((1-_xlfn.WEIBULL.DIST(CO$2,$M100,$L100,FALSE))/_xlfn.WEIBULL.DIST(CO$2,$M100,$L100,FALSE))*($T100*(1-$F100)+$S100*(1-$G100))*((1+Inputs!$D$7)^CO$2))))))))</f>
        <v>0</v>
      </c>
      <c r="CP100" s="88">
        <f>MAX(AZ100,($E100*IF(CP$2&gt;Inputs!$D$5,0,IF(CP$2&gt;VLOOKUP($H100,Lists!$P$3:$Q$7,2),IF($N100=Lists!$K$3,IF($L100&lt;1,(($U100/$L100)*((1+Inputs!$D$7)^CP$2)),((INT(CP$2/$L100)-INT((CP$2-1)/$L100))*$U100*((1+Inputs!$D$7)^CP$2))),(Inputs!$D$8^((1-_xlfn.WEIBULL.DIST(CP$2,$M100,$L100,FALSE))/_xlfn.WEIBULL.DIST(CP$2,$M100,$L100,FALSE))*$U100*((1+Inputs!$D$7)^CP$2))),IF($N100=Lists!$K$3,IF($L100&lt;1,((($T100*(1-$F100)+$S100*(1-$G100))/$L100)*((1+Inputs!$D$7)^CP$2)),((INT(CP$2/$L100)-INT((CP$2-1)/$L100))*($T100*(1-$F100)+$S100*(1-$G100))*((1+Inputs!$D$7)^CP$2))),((Inputs!$D$8^((1-_xlfn.WEIBULL.DIST(CP$2,$M100,$L100,FALSE))/_xlfn.WEIBULL.DIST(CP$2,$M100,$L100,FALSE))*($T100*(1-$F100)+$S100*(1-$G100))*((1+Inputs!$D$7)^CP$2))))))))</f>
        <v>0</v>
      </c>
      <c r="CQ100" s="88">
        <f>MAX(BA100,($E100*IF(CQ$2&gt;Inputs!$D$5,0,IF(CQ$2&gt;VLOOKUP($H100,Lists!$P$3:$Q$7,2),IF($N100=Lists!$K$3,IF($L100&lt;1,(($U100/$L100)*((1+Inputs!$D$7)^CQ$2)),((INT(CQ$2/$L100)-INT((CQ$2-1)/$L100))*$U100*((1+Inputs!$D$7)^CQ$2))),(Inputs!$D$8^((1-_xlfn.WEIBULL.DIST(CQ$2,$M100,$L100,FALSE))/_xlfn.WEIBULL.DIST(CQ$2,$M100,$L100,FALSE))*$U100*((1+Inputs!$D$7)^CQ$2))),IF($N100=Lists!$K$3,IF($L100&lt;1,((($T100*(1-$F100)+$S100*(1-$G100))/$L100)*((1+Inputs!$D$7)^CQ$2)),((INT(CQ$2/$L100)-INT((CQ$2-1)/$L100))*($T100*(1-$F100)+$S100*(1-$G100))*((1+Inputs!$D$7)^CQ$2))),((Inputs!$D$8^((1-_xlfn.WEIBULL.DIST(CQ$2,$M100,$L100,FALSE))/_xlfn.WEIBULL.DIST(CQ$2,$M100,$L100,FALSE))*($T100*(1-$F100)+$S100*(1-$G100))*((1+Inputs!$D$7)^CQ$2))))))))</f>
        <v>0</v>
      </c>
      <c r="CR100" s="88">
        <f>MAX(BB100,($E100*IF(CR$2&gt;Inputs!$D$5,0,IF(CR$2&gt;VLOOKUP($H100,Lists!$P$3:$Q$7,2),IF($N100=Lists!$K$3,IF($L100&lt;1,(($U100/$L100)*((1+Inputs!$D$7)^CR$2)),((INT(CR$2/$L100)-INT((CR$2-1)/$L100))*$U100*((1+Inputs!$D$7)^CR$2))),(Inputs!$D$8^((1-_xlfn.WEIBULL.DIST(CR$2,$M100,$L100,FALSE))/_xlfn.WEIBULL.DIST(CR$2,$M100,$L100,FALSE))*$U100*((1+Inputs!$D$7)^CR$2))),IF($N100=Lists!$K$3,IF($L100&lt;1,((($T100*(1-$F100)+$S100*(1-$G100))/$L100)*((1+Inputs!$D$7)^CR$2)),((INT(CR$2/$L100)-INT((CR$2-1)/$L100))*($T100*(1-$F100)+$S100*(1-$G100))*((1+Inputs!$D$7)^CR$2))),((Inputs!$D$8^((1-_xlfn.WEIBULL.DIST(CR$2,$M100,$L100,FALSE))/_xlfn.WEIBULL.DIST(CR$2,$M100,$L100,FALSE))*($T100*(1-$F100)+$S100*(1-$G100))*((1+Inputs!$D$7)^CR$2))))))))</f>
        <v>0</v>
      </c>
      <c r="CS100" s="88">
        <f>MAX(BC100,($E100*IF(CS$2&gt;Inputs!$D$5,0,IF(CS$2&gt;VLOOKUP($H100,Lists!$P$3:$Q$7,2),IF($N100=Lists!$K$3,IF($L100&lt;1,(($U100/$L100)*((1+Inputs!$D$7)^CS$2)),((INT(CS$2/$L100)-INT((CS$2-1)/$L100))*$U100*((1+Inputs!$D$7)^CS$2))),(Inputs!$D$8^((1-_xlfn.WEIBULL.DIST(CS$2,$M100,$L100,FALSE))/_xlfn.WEIBULL.DIST(CS$2,$M100,$L100,FALSE))*$U100*((1+Inputs!$D$7)^CS$2))),IF($N100=Lists!$K$3,IF($L100&lt;1,((($T100*(1-$F100)+$S100*(1-$G100))/$L100)*((1+Inputs!$D$7)^CS$2)),((INT(CS$2/$L100)-INT((CS$2-1)/$L100))*($T100*(1-$F100)+$S100*(1-$G100))*((1+Inputs!$D$7)^CS$2))),((Inputs!$D$8^((1-_xlfn.WEIBULL.DIST(CS$2,$M100,$L100,FALSE))/_xlfn.WEIBULL.DIST(CS$2,$M100,$L100,FALSE))*($T100*(1-$F100)+$S100*(1-$G100))*((1+Inputs!$D$7)^CS$2))))))))</f>
        <v>0</v>
      </c>
      <c r="CT100" s="88">
        <f>MAX(BD100,($E100*IF(CT$2&gt;Inputs!$D$5,0,IF(CT$2&gt;VLOOKUP($H100,Lists!$P$3:$Q$7,2),IF($N100=Lists!$K$3,IF($L100&lt;1,(($U100/$L100)*((1+Inputs!$D$7)^CT$2)),((INT(CT$2/$L100)-INT((CT$2-1)/$L100))*$U100*((1+Inputs!$D$7)^CT$2))),(Inputs!$D$8^((1-_xlfn.WEIBULL.DIST(CT$2,$M100,$L100,FALSE))/_xlfn.WEIBULL.DIST(CT$2,$M100,$L100,FALSE))*$U100*((1+Inputs!$D$7)^CT$2))),IF($N100=Lists!$K$3,IF($L100&lt;1,((($T100*(1-$F100)+$S100*(1-$G100))/$L100)*((1+Inputs!$D$7)^CT$2)),((INT(CT$2/$L100)-INT((CT$2-1)/$L100))*($T100*(1-$F100)+$S100*(1-$G100))*((1+Inputs!$D$7)^CT$2))),((Inputs!$D$8^((1-_xlfn.WEIBULL.DIST(CT$2,$M100,$L100,FALSE))/_xlfn.WEIBULL.DIST(CT$2,$M100,$L100,FALSE))*($T100*(1-$F100)+$S100*(1-$G100))*((1+Inputs!$D$7)^CT$2))))))))</f>
        <v>0</v>
      </c>
      <c r="CU100" s="88">
        <f>MAX(BE100,($E100*IF(CU$2&gt;Inputs!$D$5,0,IF(CU$2&gt;VLOOKUP($H100,Lists!$P$3:$Q$7,2),IF($N100=Lists!$K$3,IF($L100&lt;1,(($U100/$L100)*((1+Inputs!$D$7)^CU$2)),((INT(CU$2/$L100)-INT((CU$2-1)/$L100))*$U100*((1+Inputs!$D$7)^CU$2))),(Inputs!$D$8^((1-_xlfn.WEIBULL.DIST(CU$2,$M100,$L100,FALSE))/_xlfn.WEIBULL.DIST(CU$2,$M100,$L100,FALSE))*$U100*((1+Inputs!$D$7)^CU$2))),IF($N100=Lists!$K$3,IF($L100&lt;1,((($T100*(1-$F100)+$S100*(1-$G100))/$L100)*((1+Inputs!$D$7)^CU$2)),((INT(CU$2/$L100)-INT((CU$2-1)/$L100))*($T100*(1-$F100)+$S100*(1-$G100))*((1+Inputs!$D$7)^CU$2))),((Inputs!$D$8^((1-_xlfn.WEIBULL.DIST(CU$2,$M100,$L100,FALSE))/_xlfn.WEIBULL.DIST(CU$2,$M100,$L100,FALSE))*($T100*(1-$F100)+$S100*(1-$G100))*((1+Inputs!$D$7)^CU$2))))))))</f>
        <v>0</v>
      </c>
      <c r="CV100" s="88">
        <f>MAX(BF100,($E100*IF(CV$2&gt;Inputs!$D$5,0,IF(CV$2&gt;VLOOKUP($H100,Lists!$P$3:$Q$7,2),IF($N100=Lists!$K$3,IF($L100&lt;1,(($U100/$L100)*((1+Inputs!$D$7)^CV$2)),((INT(CV$2/$L100)-INT((CV$2-1)/$L100))*$U100*((1+Inputs!$D$7)^CV$2))),(Inputs!$D$8^((1-_xlfn.WEIBULL.DIST(CV$2,$M100,$L100,FALSE))/_xlfn.WEIBULL.DIST(CV$2,$M100,$L100,FALSE))*$U100*((1+Inputs!$D$7)^CV$2))),IF($N100=Lists!$K$3,IF($L100&lt;1,((($T100*(1-$F100)+$S100*(1-$G100))/$L100)*((1+Inputs!$D$7)^CV$2)),((INT(CV$2/$L100)-INT((CV$2-1)/$L100))*($T100*(1-$F100)+$S100*(1-$G100))*((1+Inputs!$D$7)^CV$2))),((Inputs!$D$8^((1-_xlfn.WEIBULL.DIST(CV$2,$M100,$L100,FALSE))/_xlfn.WEIBULL.DIST(CV$2,$M100,$L100,FALSE))*($T100*(1-$F100)+$S100*(1-$G100))*((1+Inputs!$D$7)^CV$2))))))))</f>
        <v>0</v>
      </c>
      <c r="CW100" s="88">
        <f>MAX(BG100,($E100*IF(CW$2&gt;Inputs!$D$5,0,IF(CW$2&gt;VLOOKUP($H100,Lists!$P$3:$Q$7,2),IF($N100=Lists!$K$3,IF($L100&lt;1,(($U100/$L100)*((1+Inputs!$D$7)^CW$2)),((INT(CW$2/$L100)-INT((CW$2-1)/$L100))*$U100*((1+Inputs!$D$7)^CW$2))),(Inputs!$D$8^((1-_xlfn.WEIBULL.DIST(CW$2,$M100,$L100,FALSE))/_xlfn.WEIBULL.DIST(CW$2,$M100,$L100,FALSE))*$U100*((1+Inputs!$D$7)^CW$2))),IF($N100=Lists!$K$3,IF($L100&lt;1,((($T100*(1-$F100)+$S100*(1-$G100))/$L100)*((1+Inputs!$D$7)^CW$2)),((INT(CW$2/$L100)-INT((CW$2-1)/$L100))*($T100*(1-$F100)+$S100*(1-$G100))*((1+Inputs!$D$7)^CW$2))),((Inputs!$D$8^((1-_xlfn.WEIBULL.DIST(CW$2,$M100,$L100,FALSE))/_xlfn.WEIBULL.DIST(CW$2,$M100,$L100,FALSE))*($T100*(1-$F100)+$S100*(1-$G100))*((1+Inputs!$D$7)^CW$2))))))))</f>
        <v>0</v>
      </c>
      <c r="CX100" s="88">
        <f>MAX(BH100,($E100*IF(CX$2&gt;Inputs!$D$5,0,IF(CX$2&gt;VLOOKUP($H100,Lists!$P$3:$Q$7,2),IF($N100=Lists!$K$3,IF($L100&lt;1,(($U100/$L100)*((1+Inputs!$D$7)^CX$2)),((INT(CX$2/$L100)-INT((CX$2-1)/$L100))*$U100*((1+Inputs!$D$7)^CX$2))),(Inputs!$D$8^((1-_xlfn.WEIBULL.DIST(CX$2,$M100,$L100,FALSE))/_xlfn.WEIBULL.DIST(CX$2,$M100,$L100,FALSE))*$U100*((1+Inputs!$D$7)^CX$2))),IF($N100=Lists!$K$3,IF($L100&lt;1,((($T100*(1-$F100)+$S100*(1-$G100))/$L100)*((1+Inputs!$D$7)^CX$2)),((INT(CX$2/$L100)-INT((CX$2-1)/$L100))*($T100*(1-$F100)+$S100*(1-$G100))*((1+Inputs!$D$7)^CX$2))),((Inputs!$D$8^((1-_xlfn.WEIBULL.DIST(CX$2,$M100,$L100,FALSE))/_xlfn.WEIBULL.DIST(CX$2,$M100,$L100,FALSE))*($T100*(1-$F100)+$S100*(1-$G100))*((1+Inputs!$D$7)^CX$2))))))))</f>
        <v>0</v>
      </c>
      <c r="CY100" s="88">
        <f>MAX(BI100,($E100*IF(CY$2&gt;Inputs!$D$5,0,IF(CY$2&gt;VLOOKUP($H100,Lists!$P$3:$Q$7,2),IF($N100=Lists!$K$3,IF($L100&lt;1,(($U100/$L100)*((1+Inputs!$D$7)^CY$2)),((INT(CY$2/$L100)-INT((CY$2-1)/$L100))*$U100*((1+Inputs!$D$7)^CY$2))),(Inputs!$D$8^((1-_xlfn.WEIBULL.DIST(CY$2,$M100,$L100,FALSE))/_xlfn.WEIBULL.DIST(CY$2,$M100,$L100,FALSE))*$U100*((1+Inputs!$D$7)^CY$2))),IF($N100=Lists!$K$3,IF($L100&lt;1,((($T100*(1-$F100)+$S100*(1-$G100))/$L100)*((1+Inputs!$D$7)^CY$2)),((INT(CY$2/$L100)-INT((CY$2-1)/$L100))*($T100*(1-$F100)+$S100*(1-$G100))*((1+Inputs!$D$7)^CY$2))),((Inputs!$D$8^((1-_xlfn.WEIBULL.DIST(CY$2,$M100,$L100,FALSE))/_xlfn.WEIBULL.DIST(CY$2,$M100,$L100,FALSE))*($T100*(1-$F100)+$S100*(1-$G100))*((1+Inputs!$D$7)^CY$2))))))))</f>
        <v>0</v>
      </c>
      <c r="CZ100" s="88">
        <f>MAX(BJ100,($E100*IF(CZ$2&gt;Inputs!$D$5,0,IF(CZ$2&gt;VLOOKUP($H100,Lists!$P$3:$Q$7,2),IF($N100=Lists!$K$3,IF($L100&lt;1,(($U100/$L100)*((1+Inputs!$D$7)^CZ$2)),((INT(CZ$2/$L100)-INT((CZ$2-1)/$L100))*$U100*((1+Inputs!$D$7)^CZ$2))),(Inputs!$D$8^((1-_xlfn.WEIBULL.DIST(CZ$2,$M100,$L100,FALSE))/_xlfn.WEIBULL.DIST(CZ$2,$M100,$L100,FALSE))*$U100*((1+Inputs!$D$7)^CZ$2))),IF($N100=Lists!$K$3,IF($L100&lt;1,((($T100*(1-$F100)+$S100*(1-$G100))/$L100)*((1+Inputs!$D$7)^CZ$2)),((INT(CZ$2/$L100)-INT((CZ$2-1)/$L100))*($T100*(1-$F100)+$S100*(1-$G100))*((1+Inputs!$D$7)^CZ$2))),((Inputs!$D$8^((1-_xlfn.WEIBULL.DIST(CZ$2,$M100,$L100,FALSE))/_xlfn.WEIBULL.DIST(CZ$2,$M100,$L100,FALSE))*($T100*(1-$F100)+$S100*(1-$G100))*((1+Inputs!$D$7)^CZ$2))))))))</f>
        <v>0</v>
      </c>
      <c r="DA100" s="88">
        <f>MAX(BK100,($E100*IF(DA$2&gt;Inputs!$D$5,0,IF(DA$2&gt;VLOOKUP($H100,Lists!$P$3:$Q$7,2),IF($N100=Lists!$K$3,IF($L100&lt;1,(($U100/$L100)*((1+Inputs!$D$7)^DA$2)),((INT(DA$2/$L100)-INT((DA$2-1)/$L100))*$U100*((1+Inputs!$D$7)^DA$2))),(Inputs!$D$8^((1-_xlfn.WEIBULL.DIST(DA$2,$M100,$L100,FALSE))/_xlfn.WEIBULL.DIST(DA$2,$M100,$L100,FALSE))*$U100*((1+Inputs!$D$7)^DA$2))),IF($N100=Lists!$K$3,IF($L100&lt;1,((($T100*(1-$F100)+$S100*(1-$G100))/$L100)*((1+Inputs!$D$7)^DA$2)),((INT(DA$2/$L100)-INT((DA$2-1)/$L100))*($T100*(1-$F100)+$S100*(1-$G100))*((1+Inputs!$D$7)^DA$2))),((Inputs!$D$8^((1-_xlfn.WEIBULL.DIST(DA$2,$M100,$L100,FALSE))/_xlfn.WEIBULL.DIST(DA$2,$M100,$L100,FALSE))*($T100*(1-$F100)+$S100*(1-$G100))*((1+Inputs!$D$7)^DA$2))))))))</f>
        <v>0</v>
      </c>
      <c r="DB100" s="88">
        <f>MAX(BL100,($E100*IF(DB$2&gt;Inputs!$D$5,0,IF(DB$2&gt;VLOOKUP($H100,Lists!$P$3:$Q$7,2),IF($N100=Lists!$K$3,IF($L100&lt;1,(($U100/$L100)*((1+Inputs!$D$7)^DB$2)),((INT(DB$2/$L100)-INT((DB$2-1)/$L100))*$U100*((1+Inputs!$D$7)^DB$2))),(Inputs!$D$8^((1-_xlfn.WEIBULL.DIST(DB$2,$M100,$L100,FALSE))/_xlfn.WEIBULL.DIST(DB$2,$M100,$L100,FALSE))*$U100*((1+Inputs!$D$7)^DB$2))),IF($N100=Lists!$K$3,IF($L100&lt;1,((($T100*(1-$F100)+$S100*(1-$G100))/$L100)*((1+Inputs!$D$7)^DB$2)),((INT(DB$2/$L100)-INT((DB$2-1)/$L100))*($T100*(1-$F100)+$S100*(1-$G100))*((1+Inputs!$D$7)^DB$2))),((Inputs!$D$8^((1-_xlfn.WEIBULL.DIST(DB$2,$M100,$L100,FALSE))/_xlfn.WEIBULL.DIST(DB$2,$M100,$L100,FALSE))*($T100*(1-$F100)+$S100*(1-$G100))*((1+Inputs!$D$7)^DB$2))))))))</f>
        <v>0</v>
      </c>
      <c r="DC100" s="88">
        <f>MAX(BM100,($E100*IF(DC$2&gt;Inputs!$D$5,0,IF(DC$2&gt;VLOOKUP($H100,Lists!$P$3:$Q$7,2),IF($N100=Lists!$K$3,IF($L100&lt;1,(($U100/$L100)*((1+Inputs!$D$7)^DC$2)),((INT(DC$2/$L100)-INT((DC$2-1)/$L100))*$U100*((1+Inputs!$D$7)^DC$2))),(Inputs!$D$8^((1-_xlfn.WEIBULL.DIST(DC$2,$M100,$L100,FALSE))/_xlfn.WEIBULL.DIST(DC$2,$M100,$L100,FALSE))*$U100*((1+Inputs!$D$7)^DC$2))),IF($N100=Lists!$K$3,IF($L100&lt;1,((($T100*(1-$F100)+$S100*(1-$G100))/$L100)*((1+Inputs!$D$7)^DC$2)),((INT(DC$2/$L100)-INT((DC$2-1)/$L100))*($T100*(1-$F100)+$S100*(1-$G100))*((1+Inputs!$D$7)^DC$2))),((Inputs!$D$8^((1-_xlfn.WEIBULL.DIST(DC$2,$M100,$L100,FALSE))/_xlfn.WEIBULL.DIST(DC$2,$M100,$L100,FALSE))*($T100*(1-$F100)+$S100*(1-$G100))*((1+Inputs!$D$7)^DC$2))))))))</f>
        <v>0</v>
      </c>
      <c r="DD100" s="88">
        <f>MAX(BN100,($E100*IF(DD$2&gt;Inputs!$D$5,0,IF(DD$2&gt;VLOOKUP($H100,Lists!$P$3:$Q$7,2),IF($N100=Lists!$K$3,IF($L100&lt;1,(($U100/$L100)*((1+Inputs!$D$7)^DD$2)),((INT(DD$2/$L100)-INT((DD$2-1)/$L100))*$U100*((1+Inputs!$D$7)^DD$2))),(Inputs!$D$8^((1-_xlfn.WEIBULL.DIST(DD$2,$M100,$L100,FALSE))/_xlfn.WEIBULL.DIST(DD$2,$M100,$L100,FALSE))*$U100*((1+Inputs!$D$7)^DD$2))),IF($N100=Lists!$K$3,IF($L100&lt;1,((($T100*(1-$F100)+$S100*(1-$G100))/$L100)*((1+Inputs!$D$7)^DD$2)),((INT(DD$2/$L100)-INT((DD$2-1)/$L100))*($T100*(1-$F100)+$S100*(1-$G100))*((1+Inputs!$D$7)^DD$2))),((Inputs!$D$8^((1-_xlfn.WEIBULL.DIST(DD$2,$M100,$L100,FALSE))/_xlfn.WEIBULL.DIST(DD$2,$M100,$L100,FALSE))*($T100*(1-$F100)+$S100*(1-$G100))*((1+Inputs!$D$7)^DD$2))))))))</f>
        <v>0</v>
      </c>
    </row>
    <row r="101" spans="1:108" ht="16">
      <c r="A101" s="57" t="s">
        <v>11</v>
      </c>
      <c r="B101" s="13" t="s">
        <v>279</v>
      </c>
      <c r="C101" s="13" t="s">
        <v>90</v>
      </c>
      <c r="D101" s="13" t="s">
        <v>35</v>
      </c>
      <c r="E101" s="48">
        <f>IF(Inputs!$D$41=Lists!$I$4,0,1)</f>
        <v>1</v>
      </c>
      <c r="F101" s="48">
        <v>0</v>
      </c>
      <c r="G101" s="48">
        <v>0</v>
      </c>
      <c r="H101" s="105" t="s">
        <v>350</v>
      </c>
      <c r="I101" s="14" t="s">
        <v>49</v>
      </c>
      <c r="J101" s="14" t="s">
        <v>92</v>
      </c>
      <c r="K101" s="13">
        <f>VLOOKUP(J101,'Labor Rates'!$A$1:$F$16,2)</f>
        <v>33.17307692307692</v>
      </c>
      <c r="L101" s="15">
        <v>5</v>
      </c>
      <c r="M101" s="15">
        <v>1</v>
      </c>
      <c r="N101" s="13" t="s">
        <v>236</v>
      </c>
      <c r="O101" s="61">
        <f>(Inputs!$D$52+2)*Inputs!$D$53</f>
        <v>33114.75409836066</v>
      </c>
      <c r="P101" s="15">
        <f>0.5/60</f>
        <v>8.3333333333333332E-3</v>
      </c>
      <c r="Q101" s="15">
        <f t="shared" si="21"/>
        <v>55.191256830601091</v>
      </c>
      <c r="R101" s="4">
        <v>0</v>
      </c>
      <c r="S101" s="53">
        <f t="shared" si="22"/>
        <v>9154.3190416141224</v>
      </c>
      <c r="T101" s="53">
        <f t="shared" si="23"/>
        <v>0</v>
      </c>
      <c r="U101" s="54">
        <f t="shared" si="24"/>
        <v>9154.3190416141224</v>
      </c>
      <c r="V101" s="65"/>
      <c r="W101" s="58"/>
      <c r="X101" s="64">
        <f t="shared" si="25"/>
        <v>2359.4758224830721</v>
      </c>
      <c r="Y101" s="64">
        <f>NPV(Inputs!$D$6,AA101:BN101)</f>
        <v>23626.851409940315</v>
      </c>
      <c r="Z101" s="67">
        <f t="shared" si="26"/>
        <v>1.1143576604539686E-2</v>
      </c>
      <c r="AA101" s="88">
        <f>$E101*IF(AA$2&gt;Inputs!$D$5,0,IF(AA$2&gt;VLOOKUP($H101,Lists!$P$3:$Q$7,2),IF($N101=Lists!$K$3,IF($L101&lt;1,(($U101/$L101)*((1+Inputs!$D$7)^AA$2)),((INT(AA$2/$L101)-INT((AA$2-1)/$L101))*$U101*((1+Inputs!$D$7)^AA$2))),(_xlfn.WEIBULL.DIST(AA$2,$M101,$L101,FALSE)*$U101*((1+Inputs!$D$7)^AA$2))),IF($N101=Lists!$K$3,IF($L101&lt;1,((($T101*(1-$F101)+$S101*(1-$G101))/$L101)*((1+Inputs!$D$7)^AA$2)),((INT(AA$2/$L101)-INT((AA$2-1)/$L101))*($T101*(1-$F101)+$S101*(1-$G101))*((1+Inputs!$D$7)^AA$2))),((_xlfn.WEIBULL.DIST(AA$2,$M101,$L101,FALSE)*($T101*(1-$F101)+$S101*(1-$G101))*((1+Inputs!$D$7)^AA$2))))))</f>
        <v>0</v>
      </c>
      <c r="AB101" s="88">
        <f>$E101*IF(AB$2&gt;Inputs!$D$5,0,IF(AB$2&gt;VLOOKUP($H101,Lists!$P$3:$Q$7,2),IF($N101=Lists!$K$3,IF($L101&lt;1,(($U101/$L101)*((1+Inputs!$D$7)^AB$2)),((INT(AB$2/$L101)-INT((AB$2-1)/$L101))*$U101*((1+Inputs!$D$7)^AB$2))),(_xlfn.WEIBULL.DIST(AB$2,$M101,$L101,FALSE)*$U101*((1+Inputs!$D$7)^AB$2))),IF($N101=Lists!$K$3,IF($L101&lt;1,((($T101*(1-$F101)+$S101*(1-$G101))/$L101)*((1+Inputs!$D$7)^AB$2)),((INT(AB$2/$L101)-INT((AB$2-1)/$L101))*($T101*(1-$F101)+$S101*(1-$G101))*((1+Inputs!$D$7)^AB$2))),((_xlfn.WEIBULL.DIST(AB$2,$M101,$L101,FALSE)*($T101*(1-$F101)+$S101*(1-$G101))*((1+Inputs!$D$7)^AB$2))))))</f>
        <v>0</v>
      </c>
      <c r="AC101" s="88">
        <f>$E101*IF(AC$2&gt;Inputs!$D$5,0,IF(AC$2&gt;VLOOKUP($H101,Lists!$P$3:$Q$7,2),IF($N101=Lists!$K$3,IF($L101&lt;1,(($U101/$L101)*((1+Inputs!$D$7)^AC$2)),((INT(AC$2/$L101)-INT((AC$2-1)/$L101))*$U101*((1+Inputs!$D$7)^AC$2))),(_xlfn.WEIBULL.DIST(AC$2,$M101,$L101,FALSE)*$U101*((1+Inputs!$D$7)^AC$2))),IF($N101=Lists!$K$3,IF($L101&lt;1,((($T101*(1-$F101)+$S101*(1-$G101))/$L101)*((1+Inputs!$D$7)^AC$2)),((INT(AC$2/$L101)-INT((AC$2-1)/$L101))*($T101*(1-$F101)+$S101*(1-$G101))*((1+Inputs!$D$7)^AC$2))),((_xlfn.WEIBULL.DIST(AC$2,$M101,$L101,FALSE)*($T101*(1-$F101)+$S101*(1-$G101))*((1+Inputs!$D$7)^AC$2))))))</f>
        <v>0</v>
      </c>
      <c r="AD101" s="88">
        <f>$E101*IF(AD$2&gt;Inputs!$D$5,0,IF(AD$2&gt;VLOOKUP($H101,Lists!$P$3:$Q$7,2),IF($N101=Lists!$K$3,IF($L101&lt;1,(($U101/$L101)*((1+Inputs!$D$7)^AD$2)),((INT(AD$2/$L101)-INT((AD$2-1)/$L101))*$U101*((1+Inputs!$D$7)^AD$2))),(_xlfn.WEIBULL.DIST(AD$2,$M101,$L101,FALSE)*$U101*((1+Inputs!$D$7)^AD$2))),IF($N101=Lists!$K$3,IF($L101&lt;1,((($T101*(1-$F101)+$S101*(1-$G101))/$L101)*((1+Inputs!$D$7)^AD$2)),((INT(AD$2/$L101)-INT((AD$2-1)/$L101))*($T101*(1-$F101)+$S101*(1-$G101))*((1+Inputs!$D$7)^AD$2))),((_xlfn.WEIBULL.DIST(AD$2,$M101,$L101,FALSE)*($T101*(1-$F101)+$S101*(1-$G101))*((1+Inputs!$D$7)^AD$2))))))</f>
        <v>0</v>
      </c>
      <c r="AE101" s="88">
        <f>$E101*IF(AE$2&gt;Inputs!$D$5,0,IF(AE$2&gt;VLOOKUP($H101,Lists!$P$3:$Q$7,2),IF($N101=Lists!$K$3,IF($L101&lt;1,(($U101/$L101)*((1+Inputs!$D$7)^AE$2)),((INT(AE$2/$L101)-INT((AE$2-1)/$L101))*$U101*((1+Inputs!$D$7)^AE$2))),(_xlfn.WEIBULL.DIST(AE$2,$M101,$L101,FALSE)*$U101*((1+Inputs!$D$7)^AE$2))),IF($N101=Lists!$K$3,IF($L101&lt;1,((($T101*(1-$F101)+$S101*(1-$G101))/$L101)*((1+Inputs!$D$7)^AE$2)),((INT(AE$2/$L101)-INT((AE$2-1)/$L101))*($T101*(1-$F101)+$S101*(1-$G101))*((1+Inputs!$D$7)^AE$2))),((_xlfn.WEIBULL.DIST(AE$2,$M101,$L101,FALSE)*($T101*(1-$F101)+$S101*(1-$G101))*((1+Inputs!$D$7)^AE$2))))))</f>
        <v>10107.107920214374</v>
      </c>
      <c r="AF101" s="88">
        <f>$E101*IF(AF$2&gt;Inputs!$D$5,0,IF(AF$2&gt;VLOOKUP($H101,Lists!$P$3:$Q$7,2),IF($N101=Lists!$K$3,IF($L101&lt;1,(($U101/$L101)*((1+Inputs!$D$7)^AF$2)),((INT(AF$2/$L101)-INT((AF$2-1)/$L101))*$U101*((1+Inputs!$D$7)^AF$2))),(_xlfn.WEIBULL.DIST(AF$2,$M101,$L101,FALSE)*$U101*((1+Inputs!$D$7)^AF$2))),IF($N101=Lists!$K$3,IF($L101&lt;1,((($T101*(1-$F101)+$S101*(1-$G101))/$L101)*((1+Inputs!$D$7)^AF$2)),((INT(AF$2/$L101)-INT((AF$2-1)/$L101))*($T101*(1-$F101)+$S101*(1-$G101))*((1+Inputs!$D$7)^AF$2))),((_xlfn.WEIBULL.DIST(AF$2,$M101,$L101,FALSE)*($T101*(1-$F101)+$S101*(1-$G101))*((1+Inputs!$D$7)^AF$2))))))</f>
        <v>0</v>
      </c>
      <c r="AG101" s="88">
        <f>$E101*IF(AG$2&gt;Inputs!$D$5,0,IF(AG$2&gt;VLOOKUP($H101,Lists!$P$3:$Q$7,2),IF($N101=Lists!$K$3,IF($L101&lt;1,(($U101/$L101)*((1+Inputs!$D$7)^AG$2)),((INT(AG$2/$L101)-INT((AG$2-1)/$L101))*$U101*((1+Inputs!$D$7)^AG$2))),(_xlfn.WEIBULL.DIST(AG$2,$M101,$L101,FALSE)*$U101*((1+Inputs!$D$7)^AG$2))),IF($N101=Lists!$K$3,IF($L101&lt;1,((($T101*(1-$F101)+$S101*(1-$G101))/$L101)*((1+Inputs!$D$7)^AG$2)),((INT(AG$2/$L101)-INT((AG$2-1)/$L101))*($T101*(1-$F101)+$S101*(1-$G101))*((1+Inputs!$D$7)^AG$2))),((_xlfn.WEIBULL.DIST(AG$2,$M101,$L101,FALSE)*($T101*(1-$F101)+$S101*(1-$G101))*((1+Inputs!$D$7)^AG$2))))))</f>
        <v>0</v>
      </c>
      <c r="AH101" s="88">
        <f>$E101*IF(AH$2&gt;Inputs!$D$5,0,IF(AH$2&gt;VLOOKUP($H101,Lists!$P$3:$Q$7,2),IF($N101=Lists!$K$3,IF($L101&lt;1,(($U101/$L101)*((1+Inputs!$D$7)^AH$2)),((INT(AH$2/$L101)-INT((AH$2-1)/$L101))*$U101*((1+Inputs!$D$7)^AH$2))),(_xlfn.WEIBULL.DIST(AH$2,$M101,$L101,FALSE)*$U101*((1+Inputs!$D$7)^AH$2))),IF($N101=Lists!$K$3,IF($L101&lt;1,((($T101*(1-$F101)+$S101*(1-$G101))/$L101)*((1+Inputs!$D$7)^AH$2)),((INT(AH$2/$L101)-INT((AH$2-1)/$L101))*($T101*(1-$F101)+$S101*(1-$G101))*((1+Inputs!$D$7)^AH$2))),((_xlfn.WEIBULL.DIST(AH$2,$M101,$L101,FALSE)*($T101*(1-$F101)+$S101*(1-$G101))*((1+Inputs!$D$7)^AH$2))))))</f>
        <v>0</v>
      </c>
      <c r="AI101" s="88">
        <f>$E101*IF(AI$2&gt;Inputs!$D$5,0,IF(AI$2&gt;VLOOKUP($H101,Lists!$P$3:$Q$7,2),IF($N101=Lists!$K$3,IF($L101&lt;1,(($U101/$L101)*((1+Inputs!$D$7)^AI$2)),((INT(AI$2/$L101)-INT((AI$2-1)/$L101))*$U101*((1+Inputs!$D$7)^AI$2))),(_xlfn.WEIBULL.DIST(AI$2,$M101,$L101,FALSE)*$U101*((1+Inputs!$D$7)^AI$2))),IF($N101=Lists!$K$3,IF($L101&lt;1,((($T101*(1-$F101)+$S101*(1-$G101))/$L101)*((1+Inputs!$D$7)^AI$2)),((INT(AI$2/$L101)-INT((AI$2-1)/$L101))*($T101*(1-$F101)+$S101*(1-$G101))*((1+Inputs!$D$7)^AI$2))),((_xlfn.WEIBULL.DIST(AI$2,$M101,$L101,FALSE)*($T101*(1-$F101)+$S101*(1-$G101))*((1+Inputs!$D$7)^AI$2))))))</f>
        <v>0</v>
      </c>
      <c r="AJ101" s="88">
        <f>$E101*IF(AJ$2&gt;Inputs!$D$5,0,IF(AJ$2&gt;VLOOKUP($H101,Lists!$P$3:$Q$7,2),IF($N101=Lists!$K$3,IF($L101&lt;1,(($U101/$L101)*((1+Inputs!$D$7)^AJ$2)),((INT(AJ$2/$L101)-INT((AJ$2-1)/$L101))*$U101*((1+Inputs!$D$7)^AJ$2))),(_xlfn.WEIBULL.DIST(AJ$2,$M101,$L101,FALSE)*$U101*((1+Inputs!$D$7)^AJ$2))),IF($N101=Lists!$K$3,IF($L101&lt;1,((($T101*(1-$F101)+$S101*(1-$G101))/$L101)*((1+Inputs!$D$7)^AJ$2)),((INT(AJ$2/$L101)-INT((AJ$2-1)/$L101))*($T101*(1-$F101)+$S101*(1-$G101))*((1+Inputs!$D$7)^AJ$2))),((_xlfn.WEIBULL.DIST(AJ$2,$M101,$L101,FALSE)*($T101*(1-$F101)+$S101*(1-$G101))*((1+Inputs!$D$7)^AJ$2))))))</f>
        <v>11159.063830579367</v>
      </c>
      <c r="AK101" s="88">
        <f>$E101*IF(AK$2&gt;Inputs!$D$5,0,IF(AK$2&gt;VLOOKUP($H101,Lists!$P$3:$Q$7,2),IF($N101=Lists!$K$3,IF($L101&lt;1,(($U101/$L101)*((1+Inputs!$D$7)^AK$2)),((INT(AK$2/$L101)-INT((AK$2-1)/$L101))*$U101*((1+Inputs!$D$7)^AK$2))),(_xlfn.WEIBULL.DIST(AK$2,$M101,$L101,FALSE)*$U101*((1+Inputs!$D$7)^AK$2))),IF($N101=Lists!$K$3,IF($L101&lt;1,((($T101*(1-$F101)+$S101*(1-$G101))/$L101)*((1+Inputs!$D$7)^AK$2)),((INT(AK$2/$L101)-INT((AK$2-1)/$L101))*($T101*(1-$F101)+$S101*(1-$G101))*((1+Inputs!$D$7)^AK$2))),((_xlfn.WEIBULL.DIST(AK$2,$M101,$L101,FALSE)*($T101*(1-$F101)+$S101*(1-$G101))*((1+Inputs!$D$7)^AK$2))))))</f>
        <v>0</v>
      </c>
      <c r="AL101" s="88">
        <f>$E101*IF(AL$2&gt;Inputs!$D$5,0,IF(AL$2&gt;VLOOKUP($H101,Lists!$P$3:$Q$7,2),IF($N101=Lists!$K$3,IF($L101&lt;1,(($U101/$L101)*((1+Inputs!$D$7)^AL$2)),((INT(AL$2/$L101)-INT((AL$2-1)/$L101))*$U101*((1+Inputs!$D$7)^AL$2))),(_xlfn.WEIBULL.DIST(AL$2,$M101,$L101,FALSE)*$U101*((1+Inputs!$D$7)^AL$2))),IF($N101=Lists!$K$3,IF($L101&lt;1,((($T101*(1-$F101)+$S101*(1-$G101))/$L101)*((1+Inputs!$D$7)^AL$2)),((INT(AL$2/$L101)-INT((AL$2-1)/$L101))*($T101*(1-$F101)+$S101*(1-$G101))*((1+Inputs!$D$7)^AL$2))),((_xlfn.WEIBULL.DIST(AL$2,$M101,$L101,FALSE)*($T101*(1-$F101)+$S101*(1-$G101))*((1+Inputs!$D$7)^AL$2))))))</f>
        <v>0</v>
      </c>
      <c r="AM101" s="88">
        <f>$E101*IF(AM$2&gt;Inputs!$D$5,0,IF(AM$2&gt;VLOOKUP($H101,Lists!$P$3:$Q$7,2),IF($N101=Lists!$K$3,IF($L101&lt;1,(($U101/$L101)*((1+Inputs!$D$7)^AM$2)),((INT(AM$2/$L101)-INT((AM$2-1)/$L101))*$U101*((1+Inputs!$D$7)^AM$2))),(_xlfn.WEIBULL.DIST(AM$2,$M101,$L101,FALSE)*$U101*((1+Inputs!$D$7)^AM$2))),IF($N101=Lists!$K$3,IF($L101&lt;1,((($T101*(1-$F101)+$S101*(1-$G101))/$L101)*((1+Inputs!$D$7)^AM$2)),((INT(AM$2/$L101)-INT((AM$2-1)/$L101))*($T101*(1-$F101)+$S101*(1-$G101))*((1+Inputs!$D$7)^AM$2))),((_xlfn.WEIBULL.DIST(AM$2,$M101,$L101,FALSE)*($T101*(1-$F101)+$S101*(1-$G101))*((1+Inputs!$D$7)^AM$2))))))</f>
        <v>0</v>
      </c>
      <c r="AN101" s="88">
        <f>$E101*IF(AN$2&gt;Inputs!$D$5,0,IF(AN$2&gt;VLOOKUP($H101,Lists!$P$3:$Q$7,2),IF($N101=Lists!$K$3,IF($L101&lt;1,(($U101/$L101)*((1+Inputs!$D$7)^AN$2)),((INT(AN$2/$L101)-INT((AN$2-1)/$L101))*$U101*((1+Inputs!$D$7)^AN$2))),(_xlfn.WEIBULL.DIST(AN$2,$M101,$L101,FALSE)*$U101*((1+Inputs!$D$7)^AN$2))),IF($N101=Lists!$K$3,IF($L101&lt;1,((($T101*(1-$F101)+$S101*(1-$G101))/$L101)*((1+Inputs!$D$7)^AN$2)),((INT(AN$2/$L101)-INT((AN$2-1)/$L101))*($T101*(1-$F101)+$S101*(1-$G101))*((1+Inputs!$D$7)^AN$2))),((_xlfn.WEIBULL.DIST(AN$2,$M101,$L101,FALSE)*($T101*(1-$F101)+$S101*(1-$G101))*((1+Inputs!$D$7)^AN$2))))))</f>
        <v>0</v>
      </c>
      <c r="AO101" s="88">
        <f>$E101*IF(AO$2&gt;Inputs!$D$5,0,IF(AO$2&gt;VLOOKUP($H101,Lists!$P$3:$Q$7,2),IF($N101=Lists!$K$3,IF($L101&lt;1,(($U101/$L101)*((1+Inputs!$D$7)^AO$2)),((INT(AO$2/$L101)-INT((AO$2-1)/$L101))*$U101*((1+Inputs!$D$7)^AO$2))),(_xlfn.WEIBULL.DIST(AO$2,$M101,$L101,FALSE)*$U101*((1+Inputs!$D$7)^AO$2))),IF($N101=Lists!$K$3,IF($L101&lt;1,((($T101*(1-$F101)+$S101*(1-$G101))/$L101)*((1+Inputs!$D$7)^AO$2)),((INT(AO$2/$L101)-INT((AO$2-1)/$L101))*($T101*(1-$F101)+$S101*(1-$G101))*((1+Inputs!$D$7)^AO$2))),((_xlfn.WEIBULL.DIST(AO$2,$M101,$L101,FALSE)*($T101*(1-$F101)+$S101*(1-$G101))*((1+Inputs!$D$7)^AO$2))))))</f>
        <v>12320.508157026134</v>
      </c>
      <c r="AP101" s="88">
        <f>$E101*IF(AP$2&gt;Inputs!$D$5,0,IF(AP$2&gt;VLOOKUP($H101,Lists!$P$3:$Q$7,2),IF($N101=Lists!$K$3,IF($L101&lt;1,(($U101/$L101)*((1+Inputs!$D$7)^AP$2)),((INT(AP$2/$L101)-INT((AP$2-1)/$L101))*$U101*((1+Inputs!$D$7)^AP$2))),(_xlfn.WEIBULL.DIST(AP$2,$M101,$L101,FALSE)*$U101*((1+Inputs!$D$7)^AP$2))),IF($N101=Lists!$K$3,IF($L101&lt;1,((($T101*(1-$F101)+$S101*(1-$G101))/$L101)*((1+Inputs!$D$7)^AP$2)),((INT(AP$2/$L101)-INT((AP$2-1)/$L101))*($T101*(1-$F101)+$S101*(1-$G101))*((1+Inputs!$D$7)^AP$2))),((_xlfn.WEIBULL.DIST(AP$2,$M101,$L101,FALSE)*($T101*(1-$F101)+$S101*(1-$G101))*((1+Inputs!$D$7)^AP$2))))))</f>
        <v>0</v>
      </c>
      <c r="AQ101" s="88">
        <f>$E101*IF(AQ$2&gt;Inputs!$D$5,0,IF(AQ$2&gt;VLOOKUP($H101,Lists!$P$3:$Q$7,2),IF($N101=Lists!$K$3,IF($L101&lt;1,(($U101/$L101)*((1+Inputs!$D$7)^AQ$2)),((INT(AQ$2/$L101)-INT((AQ$2-1)/$L101))*$U101*((1+Inputs!$D$7)^AQ$2))),(_xlfn.WEIBULL.DIST(AQ$2,$M101,$L101,FALSE)*$U101*((1+Inputs!$D$7)^AQ$2))),IF($N101=Lists!$K$3,IF($L101&lt;1,((($T101*(1-$F101)+$S101*(1-$G101))/$L101)*((1+Inputs!$D$7)^AQ$2)),((INT(AQ$2/$L101)-INT((AQ$2-1)/$L101))*($T101*(1-$F101)+$S101*(1-$G101))*((1+Inputs!$D$7)^AQ$2))),((_xlfn.WEIBULL.DIST(AQ$2,$M101,$L101,FALSE)*($T101*(1-$F101)+$S101*(1-$G101))*((1+Inputs!$D$7)^AQ$2))))))</f>
        <v>0</v>
      </c>
      <c r="AR101" s="88">
        <f>$E101*IF(AR$2&gt;Inputs!$D$5,0,IF(AR$2&gt;VLOOKUP($H101,Lists!$P$3:$Q$7,2),IF($N101=Lists!$K$3,IF($L101&lt;1,(($U101/$L101)*((1+Inputs!$D$7)^AR$2)),((INT(AR$2/$L101)-INT((AR$2-1)/$L101))*$U101*((1+Inputs!$D$7)^AR$2))),(_xlfn.WEIBULL.DIST(AR$2,$M101,$L101,FALSE)*$U101*((1+Inputs!$D$7)^AR$2))),IF($N101=Lists!$K$3,IF($L101&lt;1,((($T101*(1-$F101)+$S101*(1-$G101))/$L101)*((1+Inputs!$D$7)^AR$2)),((INT(AR$2/$L101)-INT((AR$2-1)/$L101))*($T101*(1-$F101)+$S101*(1-$G101))*((1+Inputs!$D$7)^AR$2))),((_xlfn.WEIBULL.DIST(AR$2,$M101,$L101,FALSE)*($T101*(1-$F101)+$S101*(1-$G101))*((1+Inputs!$D$7)^AR$2))))))</f>
        <v>0</v>
      </c>
      <c r="AS101" s="88">
        <f>$E101*IF(AS$2&gt;Inputs!$D$5,0,IF(AS$2&gt;VLOOKUP($H101,Lists!$P$3:$Q$7,2),IF($N101=Lists!$K$3,IF($L101&lt;1,(($U101/$L101)*((1+Inputs!$D$7)^AS$2)),((INT(AS$2/$L101)-INT((AS$2-1)/$L101))*$U101*((1+Inputs!$D$7)^AS$2))),(_xlfn.WEIBULL.DIST(AS$2,$M101,$L101,FALSE)*$U101*((1+Inputs!$D$7)^AS$2))),IF($N101=Lists!$K$3,IF($L101&lt;1,((($T101*(1-$F101)+$S101*(1-$G101))/$L101)*((1+Inputs!$D$7)^AS$2)),((INT(AS$2/$L101)-INT((AS$2-1)/$L101))*($T101*(1-$F101)+$S101*(1-$G101))*((1+Inputs!$D$7)^AS$2))),((_xlfn.WEIBULL.DIST(AS$2,$M101,$L101,FALSE)*($T101*(1-$F101)+$S101*(1-$G101))*((1+Inputs!$D$7)^AS$2))))))</f>
        <v>0</v>
      </c>
      <c r="AT101" s="88">
        <f>$E101*IF(AT$2&gt;Inputs!$D$5,0,IF(AT$2&gt;VLOOKUP($H101,Lists!$P$3:$Q$7,2),IF($N101=Lists!$K$3,IF($L101&lt;1,(($U101/$L101)*((1+Inputs!$D$7)^AT$2)),((INT(AT$2/$L101)-INT((AT$2-1)/$L101))*$U101*((1+Inputs!$D$7)^AT$2))),(_xlfn.WEIBULL.DIST(AT$2,$M101,$L101,FALSE)*$U101*((1+Inputs!$D$7)^AT$2))),IF($N101=Lists!$K$3,IF($L101&lt;1,((($T101*(1-$F101)+$S101*(1-$G101))/$L101)*((1+Inputs!$D$7)^AT$2)),((INT(AT$2/$L101)-INT((AT$2-1)/$L101))*($T101*(1-$F101)+$S101*(1-$G101))*((1+Inputs!$D$7)^AT$2))),((_xlfn.WEIBULL.DIST(AT$2,$M101,$L101,FALSE)*($T101*(1-$F101)+$S101*(1-$G101))*((1+Inputs!$D$7)^AT$2))))))</f>
        <v>13602.836541841569</v>
      </c>
      <c r="AU101" s="88">
        <f>$E101*IF(AU$2&gt;Inputs!$D$5,0,IF(AU$2&gt;VLOOKUP($H101,Lists!$P$3:$Q$7,2),IF($N101=Lists!$K$3,IF($L101&lt;1,(($U101/$L101)*((1+Inputs!$D$7)^AU$2)),((INT(AU$2/$L101)-INT((AU$2-1)/$L101))*$U101*((1+Inputs!$D$7)^AU$2))),(_xlfn.WEIBULL.DIST(AU$2,$M101,$L101,FALSE)*$U101*((1+Inputs!$D$7)^AU$2))),IF($N101=Lists!$K$3,IF($L101&lt;1,((($T101*(1-$F101)+$S101*(1-$G101))/$L101)*((1+Inputs!$D$7)^AU$2)),((INT(AU$2/$L101)-INT((AU$2-1)/$L101))*($T101*(1-$F101)+$S101*(1-$G101))*((1+Inputs!$D$7)^AU$2))),((_xlfn.WEIBULL.DIST(AU$2,$M101,$L101,FALSE)*($T101*(1-$F101)+$S101*(1-$G101))*((1+Inputs!$D$7)^AU$2))))))</f>
        <v>0</v>
      </c>
      <c r="AV101" s="88">
        <f>$E101*IF(AV$2&gt;Inputs!$D$5,0,IF(AV$2&gt;VLOOKUP($H101,Lists!$P$3:$Q$7,2),IF($N101=Lists!$K$3,IF($L101&lt;1,(($U101/$L101)*((1+Inputs!$D$7)^AV$2)),((INT(AV$2/$L101)-INT((AV$2-1)/$L101))*$U101*((1+Inputs!$D$7)^AV$2))),(_xlfn.WEIBULL.DIST(AV$2,$M101,$L101,FALSE)*$U101*((1+Inputs!$D$7)^AV$2))),IF($N101=Lists!$K$3,IF($L101&lt;1,((($T101*(1-$F101)+$S101*(1-$G101))/$L101)*((1+Inputs!$D$7)^AV$2)),((INT(AV$2/$L101)-INT((AV$2-1)/$L101))*($T101*(1-$F101)+$S101*(1-$G101))*((1+Inputs!$D$7)^AV$2))),((_xlfn.WEIBULL.DIST(AV$2,$M101,$L101,FALSE)*($T101*(1-$F101)+$S101*(1-$G101))*((1+Inputs!$D$7)^AV$2))))))</f>
        <v>0</v>
      </c>
      <c r="AW101" s="88">
        <f>$E101*IF(AW$2&gt;Inputs!$D$5,0,IF(AW$2&gt;VLOOKUP($H101,Lists!$P$3:$Q$7,2),IF($N101=Lists!$K$3,IF($L101&lt;1,(($U101/$L101)*((1+Inputs!$D$7)^AW$2)),((INT(AW$2/$L101)-INT((AW$2-1)/$L101))*$U101*((1+Inputs!$D$7)^AW$2))),(_xlfn.WEIBULL.DIST(AW$2,$M101,$L101,FALSE)*$U101*((1+Inputs!$D$7)^AW$2))),IF($N101=Lists!$K$3,IF($L101&lt;1,((($T101*(1-$F101)+$S101*(1-$G101))/$L101)*((1+Inputs!$D$7)^AW$2)),((INT(AW$2/$L101)-INT((AW$2-1)/$L101))*($T101*(1-$F101)+$S101*(1-$G101))*((1+Inputs!$D$7)^AW$2))),((_xlfn.WEIBULL.DIST(AW$2,$M101,$L101,FALSE)*($T101*(1-$F101)+$S101*(1-$G101))*((1+Inputs!$D$7)^AW$2))))))</f>
        <v>0</v>
      </c>
      <c r="AX101" s="88">
        <f>$E101*IF(AX$2&gt;Inputs!$D$5,0,IF(AX$2&gt;VLOOKUP($H101,Lists!$P$3:$Q$7,2),IF($N101=Lists!$K$3,IF($L101&lt;1,(($U101/$L101)*((1+Inputs!$D$7)^AX$2)),((INT(AX$2/$L101)-INT((AX$2-1)/$L101))*$U101*((1+Inputs!$D$7)^AX$2))),(_xlfn.WEIBULL.DIST(AX$2,$M101,$L101,FALSE)*$U101*((1+Inputs!$D$7)^AX$2))),IF($N101=Lists!$K$3,IF($L101&lt;1,((($T101*(1-$F101)+$S101*(1-$G101))/$L101)*((1+Inputs!$D$7)^AX$2)),((INT(AX$2/$L101)-INT((AX$2-1)/$L101))*($T101*(1-$F101)+$S101*(1-$G101))*((1+Inputs!$D$7)^AX$2))),((_xlfn.WEIBULL.DIST(AX$2,$M101,$L101,FALSE)*($T101*(1-$F101)+$S101*(1-$G101))*((1+Inputs!$D$7)^AX$2))))))</f>
        <v>0</v>
      </c>
      <c r="AY101" s="88">
        <f>$E101*IF(AY$2&gt;Inputs!$D$5,0,IF(AY$2&gt;VLOOKUP($H101,Lists!$P$3:$Q$7,2),IF($N101=Lists!$K$3,IF($L101&lt;1,(($U101/$L101)*((1+Inputs!$D$7)^AY$2)),((INT(AY$2/$L101)-INT((AY$2-1)/$L101))*$U101*((1+Inputs!$D$7)^AY$2))),(_xlfn.WEIBULL.DIST(AY$2,$M101,$L101,FALSE)*$U101*((1+Inputs!$D$7)^AY$2))),IF($N101=Lists!$K$3,IF($L101&lt;1,((($T101*(1-$F101)+$S101*(1-$G101))/$L101)*((1+Inputs!$D$7)^AY$2)),((INT(AY$2/$L101)-INT((AY$2-1)/$L101))*($T101*(1-$F101)+$S101*(1-$G101))*((1+Inputs!$D$7)^AY$2))),((_xlfn.WEIBULL.DIST(AY$2,$M101,$L101,FALSE)*($T101*(1-$F101)+$S101*(1-$G101))*((1+Inputs!$D$7)^AY$2))))))</f>
        <v>15018.630694914747</v>
      </c>
      <c r="AZ101" s="88">
        <f>$E101*IF(AZ$2&gt;Inputs!$D$5,0,IF(AZ$2&gt;VLOOKUP($H101,Lists!$P$3:$Q$7,2),IF($N101=Lists!$K$3,IF($L101&lt;1,(($U101/$L101)*((1+Inputs!$D$7)^AZ$2)),((INT(AZ$2/$L101)-INT((AZ$2-1)/$L101))*$U101*((1+Inputs!$D$7)^AZ$2))),(_xlfn.WEIBULL.DIST(AZ$2,$M101,$L101,FALSE)*$U101*((1+Inputs!$D$7)^AZ$2))),IF($N101=Lists!$K$3,IF($L101&lt;1,((($T101*(1-$F101)+$S101*(1-$G101))/$L101)*((1+Inputs!$D$7)^AZ$2)),((INT(AZ$2/$L101)-INT((AZ$2-1)/$L101))*($T101*(1-$F101)+$S101*(1-$G101))*((1+Inputs!$D$7)^AZ$2))),((_xlfn.WEIBULL.DIST(AZ$2,$M101,$L101,FALSE)*($T101*(1-$F101)+$S101*(1-$G101))*((1+Inputs!$D$7)^AZ$2))))))</f>
        <v>0</v>
      </c>
      <c r="BA101" s="88">
        <f>$E101*IF(BA$2&gt;Inputs!$D$5,0,IF(BA$2&gt;VLOOKUP($H101,Lists!$P$3:$Q$7,2),IF($N101=Lists!$K$3,IF($L101&lt;1,(($U101/$L101)*((1+Inputs!$D$7)^BA$2)),((INT(BA$2/$L101)-INT((BA$2-1)/$L101))*$U101*((1+Inputs!$D$7)^BA$2))),(_xlfn.WEIBULL.DIST(BA$2,$M101,$L101,FALSE)*$U101*((1+Inputs!$D$7)^BA$2))),IF($N101=Lists!$K$3,IF($L101&lt;1,((($T101*(1-$F101)+$S101*(1-$G101))/$L101)*((1+Inputs!$D$7)^BA$2)),((INT(BA$2/$L101)-INT((BA$2-1)/$L101))*($T101*(1-$F101)+$S101*(1-$G101))*((1+Inputs!$D$7)^BA$2))),((_xlfn.WEIBULL.DIST(BA$2,$M101,$L101,FALSE)*($T101*(1-$F101)+$S101*(1-$G101))*((1+Inputs!$D$7)^BA$2))))))</f>
        <v>0</v>
      </c>
      <c r="BB101" s="88">
        <f>$E101*IF(BB$2&gt;Inputs!$D$5,0,IF(BB$2&gt;VLOOKUP($H101,Lists!$P$3:$Q$7,2),IF($N101=Lists!$K$3,IF($L101&lt;1,(($U101/$L101)*((1+Inputs!$D$7)^BB$2)),((INT(BB$2/$L101)-INT((BB$2-1)/$L101))*$U101*((1+Inputs!$D$7)^BB$2))),(_xlfn.WEIBULL.DIST(BB$2,$M101,$L101,FALSE)*$U101*((1+Inputs!$D$7)^BB$2))),IF($N101=Lists!$K$3,IF($L101&lt;1,((($T101*(1-$F101)+$S101*(1-$G101))/$L101)*((1+Inputs!$D$7)^BB$2)),((INT(BB$2/$L101)-INT((BB$2-1)/$L101))*($T101*(1-$F101)+$S101*(1-$G101))*((1+Inputs!$D$7)^BB$2))),((_xlfn.WEIBULL.DIST(BB$2,$M101,$L101,FALSE)*($T101*(1-$F101)+$S101*(1-$G101))*((1+Inputs!$D$7)^BB$2))))))</f>
        <v>0</v>
      </c>
      <c r="BC101" s="88">
        <f>$E101*IF(BC$2&gt;Inputs!$D$5,0,IF(BC$2&gt;VLOOKUP($H101,Lists!$P$3:$Q$7,2),IF($N101=Lists!$K$3,IF($L101&lt;1,(($U101/$L101)*((1+Inputs!$D$7)^BC$2)),((INT(BC$2/$L101)-INT((BC$2-1)/$L101))*$U101*((1+Inputs!$D$7)^BC$2))),(_xlfn.WEIBULL.DIST(BC$2,$M101,$L101,FALSE)*$U101*((1+Inputs!$D$7)^BC$2))),IF($N101=Lists!$K$3,IF($L101&lt;1,((($T101*(1-$F101)+$S101*(1-$G101))/$L101)*((1+Inputs!$D$7)^BC$2)),((INT(BC$2/$L101)-INT((BC$2-1)/$L101))*($T101*(1-$F101)+$S101*(1-$G101))*((1+Inputs!$D$7)^BC$2))),((_xlfn.WEIBULL.DIST(BC$2,$M101,$L101,FALSE)*($T101*(1-$F101)+$S101*(1-$G101))*((1+Inputs!$D$7)^BC$2))))))</f>
        <v>0</v>
      </c>
      <c r="BD101" s="88">
        <f>$E101*IF(BD$2&gt;Inputs!$D$5,0,IF(BD$2&gt;VLOOKUP($H101,Lists!$P$3:$Q$7,2),IF($N101=Lists!$K$3,IF($L101&lt;1,(($U101/$L101)*((1+Inputs!$D$7)^BD$2)),((INT(BD$2/$L101)-INT((BD$2-1)/$L101))*$U101*((1+Inputs!$D$7)^BD$2))),(_xlfn.WEIBULL.DIST(BD$2,$M101,$L101,FALSE)*$U101*((1+Inputs!$D$7)^BD$2))),IF($N101=Lists!$K$3,IF($L101&lt;1,((($T101*(1-$F101)+$S101*(1-$G101))/$L101)*((1+Inputs!$D$7)^BD$2)),((INT(BD$2/$L101)-INT((BD$2-1)/$L101))*($T101*(1-$F101)+$S101*(1-$G101))*((1+Inputs!$D$7)^BD$2))),((_xlfn.WEIBULL.DIST(BD$2,$M101,$L101,FALSE)*($T101*(1-$F101)+$S101*(1-$G101))*((1+Inputs!$D$7)^BD$2))))))</f>
        <v>0</v>
      </c>
      <c r="BE101" s="88">
        <f>$E101*IF(BE$2&gt;Inputs!$D$5,0,IF(BE$2&gt;VLOOKUP($H101,Lists!$P$3:$Q$7,2),IF($N101=Lists!$K$3,IF($L101&lt;1,(($U101/$L101)*((1+Inputs!$D$7)^BE$2)),((INT(BE$2/$L101)-INT((BE$2-1)/$L101))*$U101*((1+Inputs!$D$7)^BE$2))),(_xlfn.WEIBULL.DIST(BE$2,$M101,$L101,FALSE)*$U101*((1+Inputs!$D$7)^BE$2))),IF($N101=Lists!$K$3,IF($L101&lt;1,((($T101*(1-$F101)+$S101*(1-$G101))/$L101)*((1+Inputs!$D$7)^BE$2)),((INT(BE$2/$L101)-INT((BE$2-1)/$L101))*($T101*(1-$F101)+$S101*(1-$G101))*((1+Inputs!$D$7)^BE$2))),((_xlfn.WEIBULL.DIST(BE$2,$M101,$L101,FALSE)*($T101*(1-$F101)+$S101*(1-$G101))*((1+Inputs!$D$7)^BE$2))))))</f>
        <v>0</v>
      </c>
      <c r="BF101" s="88">
        <f>$E101*IF(BF$2&gt;Inputs!$D$5,0,IF(BF$2&gt;VLOOKUP($H101,Lists!$P$3:$Q$7,2),IF($N101=Lists!$K$3,IF($L101&lt;1,(($U101/$L101)*((1+Inputs!$D$7)^BF$2)),((INT(BF$2/$L101)-INT((BF$2-1)/$L101))*$U101*((1+Inputs!$D$7)^BF$2))),(_xlfn.WEIBULL.DIST(BF$2,$M101,$L101,FALSE)*$U101*((1+Inputs!$D$7)^BF$2))),IF($N101=Lists!$K$3,IF($L101&lt;1,((($T101*(1-$F101)+$S101*(1-$G101))/$L101)*((1+Inputs!$D$7)^BF$2)),((INT(BF$2/$L101)-INT((BF$2-1)/$L101))*($T101*(1-$F101)+$S101*(1-$G101))*((1+Inputs!$D$7)^BF$2))),((_xlfn.WEIBULL.DIST(BF$2,$M101,$L101,FALSE)*($T101*(1-$F101)+$S101*(1-$G101))*((1+Inputs!$D$7)^BF$2))))))</f>
        <v>0</v>
      </c>
      <c r="BG101" s="88">
        <f>$E101*IF(BG$2&gt;Inputs!$D$5,0,IF(BG$2&gt;VLOOKUP($H101,Lists!$P$3:$Q$7,2),IF($N101=Lists!$K$3,IF($L101&lt;1,(($U101/$L101)*((1+Inputs!$D$7)^BG$2)),((INT(BG$2/$L101)-INT((BG$2-1)/$L101))*$U101*((1+Inputs!$D$7)^BG$2))),(_xlfn.WEIBULL.DIST(BG$2,$M101,$L101,FALSE)*$U101*((1+Inputs!$D$7)^BG$2))),IF($N101=Lists!$K$3,IF($L101&lt;1,((($T101*(1-$F101)+$S101*(1-$G101))/$L101)*((1+Inputs!$D$7)^BG$2)),((INT(BG$2/$L101)-INT((BG$2-1)/$L101))*($T101*(1-$F101)+$S101*(1-$G101))*((1+Inputs!$D$7)^BG$2))),((_xlfn.WEIBULL.DIST(BG$2,$M101,$L101,FALSE)*($T101*(1-$F101)+$S101*(1-$G101))*((1+Inputs!$D$7)^BG$2))))))</f>
        <v>0</v>
      </c>
      <c r="BH101" s="88">
        <f>$E101*IF(BH$2&gt;Inputs!$D$5,0,IF(BH$2&gt;VLOOKUP($H101,Lists!$P$3:$Q$7,2),IF($N101=Lists!$K$3,IF($L101&lt;1,(($U101/$L101)*((1+Inputs!$D$7)^BH$2)),((INT(BH$2/$L101)-INT((BH$2-1)/$L101))*$U101*((1+Inputs!$D$7)^BH$2))),(_xlfn.WEIBULL.DIST(BH$2,$M101,$L101,FALSE)*$U101*((1+Inputs!$D$7)^BH$2))),IF($N101=Lists!$K$3,IF($L101&lt;1,((($T101*(1-$F101)+$S101*(1-$G101))/$L101)*((1+Inputs!$D$7)^BH$2)),((INT(BH$2/$L101)-INT((BH$2-1)/$L101))*($T101*(1-$F101)+$S101*(1-$G101))*((1+Inputs!$D$7)^BH$2))),((_xlfn.WEIBULL.DIST(BH$2,$M101,$L101,FALSE)*($T101*(1-$F101)+$S101*(1-$G101))*((1+Inputs!$D$7)^BH$2))))))</f>
        <v>0</v>
      </c>
      <c r="BI101" s="88">
        <f>$E101*IF(BI$2&gt;Inputs!$D$5,0,IF(BI$2&gt;VLOOKUP($H101,Lists!$P$3:$Q$7,2),IF($N101=Lists!$K$3,IF($L101&lt;1,(($U101/$L101)*((1+Inputs!$D$7)^BI$2)),((INT(BI$2/$L101)-INT((BI$2-1)/$L101))*$U101*((1+Inputs!$D$7)^BI$2))),(_xlfn.WEIBULL.DIST(BI$2,$M101,$L101,FALSE)*$U101*((1+Inputs!$D$7)^BI$2))),IF($N101=Lists!$K$3,IF($L101&lt;1,((($T101*(1-$F101)+$S101*(1-$G101))/$L101)*((1+Inputs!$D$7)^BI$2)),((INT(BI$2/$L101)-INT((BI$2-1)/$L101))*($T101*(1-$F101)+$S101*(1-$G101))*((1+Inputs!$D$7)^BI$2))),((_xlfn.WEIBULL.DIST(BI$2,$M101,$L101,FALSE)*($T101*(1-$F101)+$S101*(1-$G101))*((1+Inputs!$D$7)^BI$2))))))</f>
        <v>0</v>
      </c>
      <c r="BJ101" s="88">
        <f>$E101*IF(BJ$2&gt;Inputs!$D$5,0,IF(BJ$2&gt;VLOOKUP($H101,Lists!$P$3:$Q$7,2),IF($N101=Lists!$K$3,IF($L101&lt;1,(($U101/$L101)*((1+Inputs!$D$7)^BJ$2)),((INT(BJ$2/$L101)-INT((BJ$2-1)/$L101))*$U101*((1+Inputs!$D$7)^BJ$2))),(_xlfn.WEIBULL.DIST(BJ$2,$M101,$L101,FALSE)*$U101*((1+Inputs!$D$7)^BJ$2))),IF($N101=Lists!$K$3,IF($L101&lt;1,((($T101*(1-$F101)+$S101*(1-$G101))/$L101)*((1+Inputs!$D$7)^BJ$2)),((INT(BJ$2/$L101)-INT((BJ$2-1)/$L101))*($T101*(1-$F101)+$S101*(1-$G101))*((1+Inputs!$D$7)^BJ$2))),((_xlfn.WEIBULL.DIST(BJ$2,$M101,$L101,FALSE)*($T101*(1-$F101)+$S101*(1-$G101))*((1+Inputs!$D$7)^BJ$2))))))</f>
        <v>0</v>
      </c>
      <c r="BK101" s="88">
        <f>$E101*IF(BK$2&gt;Inputs!$D$5,0,IF(BK$2&gt;VLOOKUP($H101,Lists!$P$3:$Q$7,2),IF($N101=Lists!$K$3,IF($L101&lt;1,(($U101/$L101)*((1+Inputs!$D$7)^BK$2)),((INT(BK$2/$L101)-INT((BK$2-1)/$L101))*$U101*((1+Inputs!$D$7)^BK$2))),(_xlfn.WEIBULL.DIST(BK$2,$M101,$L101,FALSE)*$U101*((1+Inputs!$D$7)^BK$2))),IF($N101=Lists!$K$3,IF($L101&lt;1,((($T101*(1-$F101)+$S101*(1-$G101))/$L101)*((1+Inputs!$D$7)^BK$2)),((INT(BK$2/$L101)-INT((BK$2-1)/$L101))*($T101*(1-$F101)+$S101*(1-$G101))*((1+Inputs!$D$7)^BK$2))),((_xlfn.WEIBULL.DIST(BK$2,$M101,$L101,FALSE)*($T101*(1-$F101)+$S101*(1-$G101))*((1+Inputs!$D$7)^BK$2))))))</f>
        <v>0</v>
      </c>
      <c r="BL101" s="88">
        <f>$E101*IF(BL$2&gt;Inputs!$D$5,0,IF(BL$2&gt;VLOOKUP($H101,Lists!$P$3:$Q$7,2),IF($N101=Lists!$K$3,IF($L101&lt;1,(($U101/$L101)*((1+Inputs!$D$7)^BL$2)),((INT(BL$2/$L101)-INT((BL$2-1)/$L101))*$U101*((1+Inputs!$D$7)^BL$2))),(_xlfn.WEIBULL.DIST(BL$2,$M101,$L101,FALSE)*$U101*((1+Inputs!$D$7)^BL$2))),IF($N101=Lists!$K$3,IF($L101&lt;1,((($T101*(1-$F101)+$S101*(1-$G101))/$L101)*((1+Inputs!$D$7)^BL$2)),((INT(BL$2/$L101)-INT((BL$2-1)/$L101))*($T101*(1-$F101)+$S101*(1-$G101))*((1+Inputs!$D$7)^BL$2))),((_xlfn.WEIBULL.DIST(BL$2,$M101,$L101,FALSE)*($T101*(1-$F101)+$S101*(1-$G101))*((1+Inputs!$D$7)^BL$2))))))</f>
        <v>0</v>
      </c>
      <c r="BM101" s="88">
        <f>$E101*IF(BM$2&gt;Inputs!$D$5,0,IF(BM$2&gt;VLOOKUP($H101,Lists!$P$3:$Q$7,2),IF($N101=Lists!$K$3,IF($L101&lt;1,(($U101/$L101)*((1+Inputs!$D$7)^BM$2)),((INT(BM$2/$L101)-INT((BM$2-1)/$L101))*$U101*((1+Inputs!$D$7)^BM$2))),(_xlfn.WEIBULL.DIST(BM$2,$M101,$L101,FALSE)*$U101*((1+Inputs!$D$7)^BM$2))),IF($N101=Lists!$K$3,IF($L101&lt;1,((($T101*(1-$F101)+$S101*(1-$G101))/$L101)*((1+Inputs!$D$7)^BM$2)),((INT(BM$2/$L101)-INT((BM$2-1)/$L101))*($T101*(1-$F101)+$S101*(1-$G101))*((1+Inputs!$D$7)^BM$2))),((_xlfn.WEIBULL.DIST(BM$2,$M101,$L101,FALSE)*($T101*(1-$F101)+$S101*(1-$G101))*((1+Inputs!$D$7)^BM$2))))))</f>
        <v>0</v>
      </c>
      <c r="BN101" s="88">
        <f>$E101*IF(BN$2&gt;Inputs!$D$5,0,IF(BN$2&gt;VLOOKUP($H101,Lists!$P$3:$Q$7,2),IF($N101=Lists!$K$3,IF($L101&lt;1,(($U101/$L101)*((1+Inputs!$D$7)^BN$2)),((INT(BN$2/$L101)-INT((BN$2-1)/$L101))*$U101*((1+Inputs!$D$7)^BN$2))),(_xlfn.WEIBULL.DIST(BN$2,$M101,$L101,FALSE)*$U101*((1+Inputs!$D$7)^BN$2))),IF($N101=Lists!$K$3,IF($L101&lt;1,((($T101*(1-$F101)+$S101*(1-$G101))/$L101)*((1+Inputs!$D$7)^BN$2)),((INT(BN$2/$L101)-INT((BN$2-1)/$L101))*($T101*(1-$F101)+$S101*(1-$G101))*((1+Inputs!$D$7)^BN$2))),((_xlfn.WEIBULL.DIST(BN$2,$M101,$L101,FALSE)*($T101*(1-$F101)+$S101*(1-$G101))*((1+Inputs!$D$7)^BN$2))))))</f>
        <v>0</v>
      </c>
      <c r="BO101" s="64">
        <f>NPV(Inputs!$D$6,BQ101:DD101)</f>
        <v>23626.851409940315</v>
      </c>
      <c r="BP101" s="67">
        <f t="shared" si="27"/>
        <v>1.1143576604539686E-2</v>
      </c>
      <c r="BQ101" s="88">
        <f>MAX(AA101,($E101*IF(BQ$2&gt;Inputs!$D$5,0,IF(BQ$2&gt;VLOOKUP($H101,Lists!$P$3:$Q$7,2),IF($N101=Lists!$K$3,IF($L101&lt;1,(($U101/$L101)*((1+Inputs!$D$7)^BQ$2)),((INT(BQ$2/$L101)-INT((BQ$2-1)/$L101))*$U101*((1+Inputs!$D$7)^BQ$2))),(Inputs!$D$8^((1-_xlfn.WEIBULL.DIST(BQ$2,$M101,$L101,FALSE))/_xlfn.WEIBULL.DIST(BQ$2,$M101,$L101,FALSE))*$U101*((1+Inputs!$D$7)^BQ$2))),IF($N101=Lists!$K$3,IF($L101&lt;1,((($T101*(1-$F101)+$S101*(1-$G101))/$L101)*((1+Inputs!$D$7)^BQ$2)),((INT(BQ$2/$L101)-INT((BQ$2-1)/$L101))*($T101*(1-$F101)+$S101*(1-$G101))*((1+Inputs!$D$7)^BQ$2))),((Inputs!$D$8^((1-_xlfn.WEIBULL.DIST(BQ$2,$M101,$L101,FALSE))/_xlfn.WEIBULL.DIST(BQ$2,$M101,$L101,FALSE))*($T101*(1-$F101)+$S101*(1-$G101))*((1+Inputs!$D$7)^BQ$2))))))))</f>
        <v>0</v>
      </c>
      <c r="BR101" s="88">
        <f>MAX(AB101,($E101*IF(BR$2&gt;Inputs!$D$5,0,IF(BR$2&gt;VLOOKUP($H101,Lists!$P$3:$Q$7,2),IF($N101=Lists!$K$3,IF($L101&lt;1,(($U101/$L101)*((1+Inputs!$D$7)^BR$2)),((INT(BR$2/$L101)-INT((BR$2-1)/$L101))*$U101*((1+Inputs!$D$7)^BR$2))),(Inputs!$D$8^((1-_xlfn.WEIBULL.DIST(BR$2,$M101,$L101,FALSE))/_xlfn.WEIBULL.DIST(BR$2,$M101,$L101,FALSE))*$U101*((1+Inputs!$D$7)^BR$2))),IF($N101=Lists!$K$3,IF($L101&lt;1,((($T101*(1-$F101)+$S101*(1-$G101))/$L101)*((1+Inputs!$D$7)^BR$2)),((INT(BR$2/$L101)-INT((BR$2-1)/$L101))*($T101*(1-$F101)+$S101*(1-$G101))*((1+Inputs!$D$7)^BR$2))),((Inputs!$D$8^((1-_xlfn.WEIBULL.DIST(BR$2,$M101,$L101,FALSE))/_xlfn.WEIBULL.DIST(BR$2,$M101,$L101,FALSE))*($T101*(1-$F101)+$S101*(1-$G101))*((1+Inputs!$D$7)^BR$2))))))))</f>
        <v>0</v>
      </c>
      <c r="BS101" s="88">
        <f>MAX(AC101,($E101*IF(BS$2&gt;Inputs!$D$5,0,IF(BS$2&gt;VLOOKUP($H101,Lists!$P$3:$Q$7,2),IF($N101=Lists!$K$3,IF($L101&lt;1,(($U101/$L101)*((1+Inputs!$D$7)^BS$2)),((INT(BS$2/$L101)-INT((BS$2-1)/$L101))*$U101*((1+Inputs!$D$7)^BS$2))),(Inputs!$D$8^((1-_xlfn.WEIBULL.DIST(BS$2,$M101,$L101,FALSE))/_xlfn.WEIBULL.DIST(BS$2,$M101,$L101,FALSE))*$U101*((1+Inputs!$D$7)^BS$2))),IF($N101=Lists!$K$3,IF($L101&lt;1,((($T101*(1-$F101)+$S101*(1-$G101))/$L101)*((1+Inputs!$D$7)^BS$2)),((INT(BS$2/$L101)-INT((BS$2-1)/$L101))*($T101*(1-$F101)+$S101*(1-$G101))*((1+Inputs!$D$7)^BS$2))),((Inputs!$D$8^((1-_xlfn.WEIBULL.DIST(BS$2,$M101,$L101,FALSE))/_xlfn.WEIBULL.DIST(BS$2,$M101,$L101,FALSE))*($T101*(1-$F101)+$S101*(1-$G101))*((1+Inputs!$D$7)^BS$2))))))))</f>
        <v>0</v>
      </c>
      <c r="BT101" s="88">
        <f>MAX(AD101,($E101*IF(BT$2&gt;Inputs!$D$5,0,IF(BT$2&gt;VLOOKUP($H101,Lists!$P$3:$Q$7,2),IF($N101=Lists!$K$3,IF($L101&lt;1,(($U101/$L101)*((1+Inputs!$D$7)^BT$2)),((INT(BT$2/$L101)-INT((BT$2-1)/$L101))*$U101*((1+Inputs!$D$7)^BT$2))),(Inputs!$D$8^((1-_xlfn.WEIBULL.DIST(BT$2,$M101,$L101,FALSE))/_xlfn.WEIBULL.DIST(BT$2,$M101,$L101,FALSE))*$U101*((1+Inputs!$D$7)^BT$2))),IF($N101=Lists!$K$3,IF($L101&lt;1,((($T101*(1-$F101)+$S101*(1-$G101))/$L101)*((1+Inputs!$D$7)^BT$2)),((INT(BT$2/$L101)-INT((BT$2-1)/$L101))*($T101*(1-$F101)+$S101*(1-$G101))*((1+Inputs!$D$7)^BT$2))),((Inputs!$D$8^((1-_xlfn.WEIBULL.DIST(BT$2,$M101,$L101,FALSE))/_xlfn.WEIBULL.DIST(BT$2,$M101,$L101,FALSE))*($T101*(1-$F101)+$S101*(1-$G101))*((1+Inputs!$D$7)^BT$2))))))))</f>
        <v>0</v>
      </c>
      <c r="BU101" s="88">
        <f>MAX(AE101,($E101*IF(BU$2&gt;Inputs!$D$5,0,IF(BU$2&gt;VLOOKUP($H101,Lists!$P$3:$Q$7,2),IF($N101=Lists!$K$3,IF($L101&lt;1,(($U101/$L101)*((1+Inputs!$D$7)^BU$2)),((INT(BU$2/$L101)-INT((BU$2-1)/$L101))*$U101*((1+Inputs!$D$7)^BU$2))),(Inputs!$D$8^((1-_xlfn.WEIBULL.DIST(BU$2,$M101,$L101,FALSE))/_xlfn.WEIBULL.DIST(BU$2,$M101,$L101,FALSE))*$U101*((1+Inputs!$D$7)^BU$2))),IF($N101=Lists!$K$3,IF($L101&lt;1,((($T101*(1-$F101)+$S101*(1-$G101))/$L101)*((1+Inputs!$D$7)^BU$2)),((INT(BU$2/$L101)-INT((BU$2-1)/$L101))*($T101*(1-$F101)+$S101*(1-$G101))*((1+Inputs!$D$7)^BU$2))),((Inputs!$D$8^((1-_xlfn.WEIBULL.DIST(BU$2,$M101,$L101,FALSE))/_xlfn.WEIBULL.DIST(BU$2,$M101,$L101,FALSE))*($T101*(1-$F101)+$S101*(1-$G101))*((1+Inputs!$D$7)^BU$2))))))))</f>
        <v>10107.107920214374</v>
      </c>
      <c r="BV101" s="88">
        <f>MAX(AF101,($E101*IF(BV$2&gt;Inputs!$D$5,0,IF(BV$2&gt;VLOOKUP($H101,Lists!$P$3:$Q$7,2),IF($N101=Lists!$K$3,IF($L101&lt;1,(($U101/$L101)*((1+Inputs!$D$7)^BV$2)),((INT(BV$2/$L101)-INT((BV$2-1)/$L101))*$U101*((1+Inputs!$D$7)^BV$2))),(Inputs!$D$8^((1-_xlfn.WEIBULL.DIST(BV$2,$M101,$L101,FALSE))/_xlfn.WEIBULL.DIST(BV$2,$M101,$L101,FALSE))*$U101*((1+Inputs!$D$7)^BV$2))),IF($N101=Lists!$K$3,IF($L101&lt;1,((($T101*(1-$F101)+$S101*(1-$G101))/$L101)*((1+Inputs!$D$7)^BV$2)),((INT(BV$2/$L101)-INT((BV$2-1)/$L101))*($T101*(1-$F101)+$S101*(1-$G101))*((1+Inputs!$D$7)^BV$2))),((Inputs!$D$8^((1-_xlfn.WEIBULL.DIST(BV$2,$M101,$L101,FALSE))/_xlfn.WEIBULL.DIST(BV$2,$M101,$L101,FALSE))*($T101*(1-$F101)+$S101*(1-$G101))*((1+Inputs!$D$7)^BV$2))))))))</f>
        <v>0</v>
      </c>
      <c r="BW101" s="88">
        <f>MAX(AG101,($E101*IF(BW$2&gt;Inputs!$D$5,0,IF(BW$2&gt;VLOOKUP($H101,Lists!$P$3:$Q$7,2),IF($N101=Lists!$K$3,IF($L101&lt;1,(($U101/$L101)*((1+Inputs!$D$7)^BW$2)),((INT(BW$2/$L101)-INT((BW$2-1)/$L101))*$U101*((1+Inputs!$D$7)^BW$2))),(Inputs!$D$8^((1-_xlfn.WEIBULL.DIST(BW$2,$M101,$L101,FALSE))/_xlfn.WEIBULL.DIST(BW$2,$M101,$L101,FALSE))*$U101*((1+Inputs!$D$7)^BW$2))),IF($N101=Lists!$K$3,IF($L101&lt;1,((($T101*(1-$F101)+$S101*(1-$G101))/$L101)*((1+Inputs!$D$7)^BW$2)),((INT(BW$2/$L101)-INT((BW$2-1)/$L101))*($T101*(1-$F101)+$S101*(1-$G101))*((1+Inputs!$D$7)^BW$2))),((Inputs!$D$8^((1-_xlfn.WEIBULL.DIST(BW$2,$M101,$L101,FALSE))/_xlfn.WEIBULL.DIST(BW$2,$M101,$L101,FALSE))*($T101*(1-$F101)+$S101*(1-$G101))*((1+Inputs!$D$7)^BW$2))))))))</f>
        <v>0</v>
      </c>
      <c r="BX101" s="88">
        <f>MAX(AH101,($E101*IF(BX$2&gt;Inputs!$D$5,0,IF(BX$2&gt;VLOOKUP($H101,Lists!$P$3:$Q$7,2),IF($N101=Lists!$K$3,IF($L101&lt;1,(($U101/$L101)*((1+Inputs!$D$7)^BX$2)),((INT(BX$2/$L101)-INT((BX$2-1)/$L101))*$U101*((1+Inputs!$D$7)^BX$2))),(Inputs!$D$8^((1-_xlfn.WEIBULL.DIST(BX$2,$M101,$L101,FALSE))/_xlfn.WEIBULL.DIST(BX$2,$M101,$L101,FALSE))*$U101*((1+Inputs!$D$7)^BX$2))),IF($N101=Lists!$K$3,IF($L101&lt;1,((($T101*(1-$F101)+$S101*(1-$G101))/$L101)*((1+Inputs!$D$7)^BX$2)),((INT(BX$2/$L101)-INT((BX$2-1)/$L101))*($T101*(1-$F101)+$S101*(1-$G101))*((1+Inputs!$D$7)^BX$2))),((Inputs!$D$8^((1-_xlfn.WEIBULL.DIST(BX$2,$M101,$L101,FALSE))/_xlfn.WEIBULL.DIST(BX$2,$M101,$L101,FALSE))*($T101*(1-$F101)+$S101*(1-$G101))*((1+Inputs!$D$7)^BX$2))))))))</f>
        <v>0</v>
      </c>
      <c r="BY101" s="88">
        <f>MAX(AI101,($E101*IF(BY$2&gt;Inputs!$D$5,0,IF(BY$2&gt;VLOOKUP($H101,Lists!$P$3:$Q$7,2),IF($N101=Lists!$K$3,IF($L101&lt;1,(($U101/$L101)*((1+Inputs!$D$7)^BY$2)),((INT(BY$2/$L101)-INT((BY$2-1)/$L101))*$U101*((1+Inputs!$D$7)^BY$2))),(Inputs!$D$8^((1-_xlfn.WEIBULL.DIST(BY$2,$M101,$L101,FALSE))/_xlfn.WEIBULL.DIST(BY$2,$M101,$L101,FALSE))*$U101*((1+Inputs!$D$7)^BY$2))),IF($N101=Lists!$K$3,IF($L101&lt;1,((($T101*(1-$F101)+$S101*(1-$G101))/$L101)*((1+Inputs!$D$7)^BY$2)),((INT(BY$2/$L101)-INT((BY$2-1)/$L101))*($T101*(1-$F101)+$S101*(1-$G101))*((1+Inputs!$D$7)^BY$2))),((Inputs!$D$8^((1-_xlfn.WEIBULL.DIST(BY$2,$M101,$L101,FALSE))/_xlfn.WEIBULL.DIST(BY$2,$M101,$L101,FALSE))*($T101*(1-$F101)+$S101*(1-$G101))*((1+Inputs!$D$7)^BY$2))))))))</f>
        <v>0</v>
      </c>
      <c r="BZ101" s="88">
        <f>MAX(AJ101,($E101*IF(BZ$2&gt;Inputs!$D$5,0,IF(BZ$2&gt;VLOOKUP($H101,Lists!$P$3:$Q$7,2),IF($N101=Lists!$K$3,IF($L101&lt;1,(($U101/$L101)*((1+Inputs!$D$7)^BZ$2)),((INT(BZ$2/$L101)-INT((BZ$2-1)/$L101))*$U101*((1+Inputs!$D$7)^BZ$2))),(Inputs!$D$8^((1-_xlfn.WEIBULL.DIST(BZ$2,$M101,$L101,FALSE))/_xlfn.WEIBULL.DIST(BZ$2,$M101,$L101,FALSE))*$U101*((1+Inputs!$D$7)^BZ$2))),IF($N101=Lists!$K$3,IF($L101&lt;1,((($T101*(1-$F101)+$S101*(1-$G101))/$L101)*((1+Inputs!$D$7)^BZ$2)),((INT(BZ$2/$L101)-INT((BZ$2-1)/$L101))*($T101*(1-$F101)+$S101*(1-$G101))*((1+Inputs!$D$7)^BZ$2))),((Inputs!$D$8^((1-_xlfn.WEIBULL.DIST(BZ$2,$M101,$L101,FALSE))/_xlfn.WEIBULL.DIST(BZ$2,$M101,$L101,FALSE))*($T101*(1-$F101)+$S101*(1-$G101))*((1+Inputs!$D$7)^BZ$2))))))))</f>
        <v>11159.063830579367</v>
      </c>
      <c r="CA101" s="88">
        <f>MAX(AK101,($E101*IF(CA$2&gt;Inputs!$D$5,0,IF(CA$2&gt;VLOOKUP($H101,Lists!$P$3:$Q$7,2),IF($N101=Lists!$K$3,IF($L101&lt;1,(($U101/$L101)*((1+Inputs!$D$7)^CA$2)),((INT(CA$2/$L101)-INT((CA$2-1)/$L101))*$U101*((1+Inputs!$D$7)^CA$2))),(Inputs!$D$8^((1-_xlfn.WEIBULL.DIST(CA$2,$M101,$L101,FALSE))/_xlfn.WEIBULL.DIST(CA$2,$M101,$L101,FALSE))*$U101*((1+Inputs!$D$7)^CA$2))),IF($N101=Lists!$K$3,IF($L101&lt;1,((($T101*(1-$F101)+$S101*(1-$G101))/$L101)*((1+Inputs!$D$7)^CA$2)),((INT(CA$2/$L101)-INT((CA$2-1)/$L101))*($T101*(1-$F101)+$S101*(1-$G101))*((1+Inputs!$D$7)^CA$2))),((Inputs!$D$8^((1-_xlfn.WEIBULL.DIST(CA$2,$M101,$L101,FALSE))/_xlfn.WEIBULL.DIST(CA$2,$M101,$L101,FALSE))*($T101*(1-$F101)+$S101*(1-$G101))*((1+Inputs!$D$7)^CA$2))))))))</f>
        <v>0</v>
      </c>
      <c r="CB101" s="88">
        <f>MAX(AL101,($E101*IF(CB$2&gt;Inputs!$D$5,0,IF(CB$2&gt;VLOOKUP($H101,Lists!$P$3:$Q$7,2),IF($N101=Lists!$K$3,IF($L101&lt;1,(($U101/$L101)*((1+Inputs!$D$7)^CB$2)),((INT(CB$2/$L101)-INT((CB$2-1)/$L101))*$U101*((1+Inputs!$D$7)^CB$2))),(Inputs!$D$8^((1-_xlfn.WEIBULL.DIST(CB$2,$M101,$L101,FALSE))/_xlfn.WEIBULL.DIST(CB$2,$M101,$L101,FALSE))*$U101*((1+Inputs!$D$7)^CB$2))),IF($N101=Lists!$K$3,IF($L101&lt;1,((($T101*(1-$F101)+$S101*(1-$G101))/$L101)*((1+Inputs!$D$7)^CB$2)),((INT(CB$2/$L101)-INT((CB$2-1)/$L101))*($T101*(1-$F101)+$S101*(1-$G101))*((1+Inputs!$D$7)^CB$2))),((Inputs!$D$8^((1-_xlfn.WEIBULL.DIST(CB$2,$M101,$L101,FALSE))/_xlfn.WEIBULL.DIST(CB$2,$M101,$L101,FALSE))*($T101*(1-$F101)+$S101*(1-$G101))*((1+Inputs!$D$7)^CB$2))))))))</f>
        <v>0</v>
      </c>
      <c r="CC101" s="88">
        <f>MAX(AM101,($E101*IF(CC$2&gt;Inputs!$D$5,0,IF(CC$2&gt;VLOOKUP($H101,Lists!$P$3:$Q$7,2),IF($N101=Lists!$K$3,IF($L101&lt;1,(($U101/$L101)*((1+Inputs!$D$7)^CC$2)),((INT(CC$2/$L101)-INT((CC$2-1)/$L101))*$U101*((1+Inputs!$D$7)^CC$2))),(Inputs!$D$8^((1-_xlfn.WEIBULL.DIST(CC$2,$M101,$L101,FALSE))/_xlfn.WEIBULL.DIST(CC$2,$M101,$L101,FALSE))*$U101*((1+Inputs!$D$7)^CC$2))),IF($N101=Lists!$K$3,IF($L101&lt;1,((($T101*(1-$F101)+$S101*(1-$G101))/$L101)*((1+Inputs!$D$7)^CC$2)),((INT(CC$2/$L101)-INT((CC$2-1)/$L101))*($T101*(1-$F101)+$S101*(1-$G101))*((1+Inputs!$D$7)^CC$2))),((Inputs!$D$8^((1-_xlfn.WEIBULL.DIST(CC$2,$M101,$L101,FALSE))/_xlfn.WEIBULL.DIST(CC$2,$M101,$L101,FALSE))*($T101*(1-$F101)+$S101*(1-$G101))*((1+Inputs!$D$7)^CC$2))))))))</f>
        <v>0</v>
      </c>
      <c r="CD101" s="88">
        <f>MAX(AN101,($E101*IF(CD$2&gt;Inputs!$D$5,0,IF(CD$2&gt;VLOOKUP($H101,Lists!$P$3:$Q$7,2),IF($N101=Lists!$K$3,IF($L101&lt;1,(($U101/$L101)*((1+Inputs!$D$7)^CD$2)),((INT(CD$2/$L101)-INT((CD$2-1)/$L101))*$U101*((1+Inputs!$D$7)^CD$2))),(Inputs!$D$8^((1-_xlfn.WEIBULL.DIST(CD$2,$M101,$L101,FALSE))/_xlfn.WEIBULL.DIST(CD$2,$M101,$L101,FALSE))*$U101*((1+Inputs!$D$7)^CD$2))),IF($N101=Lists!$K$3,IF($L101&lt;1,((($T101*(1-$F101)+$S101*(1-$G101))/$L101)*((1+Inputs!$D$7)^CD$2)),((INT(CD$2/$L101)-INT((CD$2-1)/$L101))*($T101*(1-$F101)+$S101*(1-$G101))*((1+Inputs!$D$7)^CD$2))),((Inputs!$D$8^((1-_xlfn.WEIBULL.DIST(CD$2,$M101,$L101,FALSE))/_xlfn.WEIBULL.DIST(CD$2,$M101,$L101,FALSE))*($T101*(1-$F101)+$S101*(1-$G101))*((1+Inputs!$D$7)^CD$2))))))))</f>
        <v>0</v>
      </c>
      <c r="CE101" s="88">
        <f>MAX(AO101,($E101*IF(CE$2&gt;Inputs!$D$5,0,IF(CE$2&gt;VLOOKUP($H101,Lists!$P$3:$Q$7,2),IF($N101=Lists!$K$3,IF($L101&lt;1,(($U101/$L101)*((1+Inputs!$D$7)^CE$2)),((INT(CE$2/$L101)-INT((CE$2-1)/$L101))*$U101*((1+Inputs!$D$7)^CE$2))),(Inputs!$D$8^((1-_xlfn.WEIBULL.DIST(CE$2,$M101,$L101,FALSE))/_xlfn.WEIBULL.DIST(CE$2,$M101,$L101,FALSE))*$U101*((1+Inputs!$D$7)^CE$2))),IF($N101=Lists!$K$3,IF($L101&lt;1,((($T101*(1-$F101)+$S101*(1-$G101))/$L101)*((1+Inputs!$D$7)^CE$2)),((INT(CE$2/$L101)-INT((CE$2-1)/$L101))*($T101*(1-$F101)+$S101*(1-$G101))*((1+Inputs!$D$7)^CE$2))),((Inputs!$D$8^((1-_xlfn.WEIBULL.DIST(CE$2,$M101,$L101,FALSE))/_xlfn.WEIBULL.DIST(CE$2,$M101,$L101,FALSE))*($T101*(1-$F101)+$S101*(1-$G101))*((1+Inputs!$D$7)^CE$2))))))))</f>
        <v>12320.508157026134</v>
      </c>
      <c r="CF101" s="88">
        <f>MAX(AP101,($E101*IF(CF$2&gt;Inputs!$D$5,0,IF(CF$2&gt;VLOOKUP($H101,Lists!$P$3:$Q$7,2),IF($N101=Lists!$K$3,IF($L101&lt;1,(($U101/$L101)*((1+Inputs!$D$7)^CF$2)),((INT(CF$2/$L101)-INT((CF$2-1)/$L101))*$U101*((1+Inputs!$D$7)^CF$2))),(Inputs!$D$8^((1-_xlfn.WEIBULL.DIST(CF$2,$M101,$L101,FALSE))/_xlfn.WEIBULL.DIST(CF$2,$M101,$L101,FALSE))*$U101*((1+Inputs!$D$7)^CF$2))),IF($N101=Lists!$K$3,IF($L101&lt;1,((($T101*(1-$F101)+$S101*(1-$G101))/$L101)*((1+Inputs!$D$7)^CF$2)),((INT(CF$2/$L101)-INT((CF$2-1)/$L101))*($T101*(1-$F101)+$S101*(1-$G101))*((1+Inputs!$D$7)^CF$2))),((Inputs!$D$8^((1-_xlfn.WEIBULL.DIST(CF$2,$M101,$L101,FALSE))/_xlfn.WEIBULL.DIST(CF$2,$M101,$L101,FALSE))*($T101*(1-$F101)+$S101*(1-$G101))*((1+Inputs!$D$7)^CF$2))))))))</f>
        <v>0</v>
      </c>
      <c r="CG101" s="88">
        <f>MAX(AQ101,($E101*IF(CG$2&gt;Inputs!$D$5,0,IF(CG$2&gt;VLOOKUP($H101,Lists!$P$3:$Q$7,2),IF($N101=Lists!$K$3,IF($L101&lt;1,(($U101/$L101)*((1+Inputs!$D$7)^CG$2)),((INT(CG$2/$L101)-INT((CG$2-1)/$L101))*$U101*((1+Inputs!$D$7)^CG$2))),(Inputs!$D$8^((1-_xlfn.WEIBULL.DIST(CG$2,$M101,$L101,FALSE))/_xlfn.WEIBULL.DIST(CG$2,$M101,$L101,FALSE))*$U101*((1+Inputs!$D$7)^CG$2))),IF($N101=Lists!$K$3,IF($L101&lt;1,((($T101*(1-$F101)+$S101*(1-$G101))/$L101)*((1+Inputs!$D$7)^CG$2)),((INT(CG$2/$L101)-INT((CG$2-1)/$L101))*($T101*(1-$F101)+$S101*(1-$G101))*((1+Inputs!$D$7)^CG$2))),((Inputs!$D$8^((1-_xlfn.WEIBULL.DIST(CG$2,$M101,$L101,FALSE))/_xlfn.WEIBULL.DIST(CG$2,$M101,$L101,FALSE))*($T101*(1-$F101)+$S101*(1-$G101))*((1+Inputs!$D$7)^CG$2))))))))</f>
        <v>0</v>
      </c>
      <c r="CH101" s="88">
        <f>MAX(AR101,($E101*IF(CH$2&gt;Inputs!$D$5,0,IF(CH$2&gt;VLOOKUP($H101,Lists!$P$3:$Q$7,2),IF($N101=Lists!$K$3,IF($L101&lt;1,(($U101/$L101)*((1+Inputs!$D$7)^CH$2)),((INT(CH$2/$L101)-INT((CH$2-1)/$L101))*$U101*((1+Inputs!$D$7)^CH$2))),(Inputs!$D$8^((1-_xlfn.WEIBULL.DIST(CH$2,$M101,$L101,FALSE))/_xlfn.WEIBULL.DIST(CH$2,$M101,$L101,FALSE))*$U101*((1+Inputs!$D$7)^CH$2))),IF($N101=Lists!$K$3,IF($L101&lt;1,((($T101*(1-$F101)+$S101*(1-$G101))/$L101)*((1+Inputs!$D$7)^CH$2)),((INT(CH$2/$L101)-INT((CH$2-1)/$L101))*($T101*(1-$F101)+$S101*(1-$G101))*((1+Inputs!$D$7)^CH$2))),((Inputs!$D$8^((1-_xlfn.WEIBULL.DIST(CH$2,$M101,$L101,FALSE))/_xlfn.WEIBULL.DIST(CH$2,$M101,$L101,FALSE))*($T101*(1-$F101)+$S101*(1-$G101))*((1+Inputs!$D$7)^CH$2))))))))</f>
        <v>0</v>
      </c>
      <c r="CI101" s="88">
        <f>MAX(AS101,($E101*IF(CI$2&gt;Inputs!$D$5,0,IF(CI$2&gt;VLOOKUP($H101,Lists!$P$3:$Q$7,2),IF($N101=Lists!$K$3,IF($L101&lt;1,(($U101/$L101)*((1+Inputs!$D$7)^CI$2)),((INT(CI$2/$L101)-INT((CI$2-1)/$L101))*$U101*((1+Inputs!$D$7)^CI$2))),(Inputs!$D$8^((1-_xlfn.WEIBULL.DIST(CI$2,$M101,$L101,FALSE))/_xlfn.WEIBULL.DIST(CI$2,$M101,$L101,FALSE))*$U101*((1+Inputs!$D$7)^CI$2))),IF($N101=Lists!$K$3,IF($L101&lt;1,((($T101*(1-$F101)+$S101*(1-$G101))/$L101)*((1+Inputs!$D$7)^CI$2)),((INT(CI$2/$L101)-INT((CI$2-1)/$L101))*($T101*(1-$F101)+$S101*(1-$G101))*((1+Inputs!$D$7)^CI$2))),((Inputs!$D$8^((1-_xlfn.WEIBULL.DIST(CI$2,$M101,$L101,FALSE))/_xlfn.WEIBULL.DIST(CI$2,$M101,$L101,FALSE))*($T101*(1-$F101)+$S101*(1-$G101))*((1+Inputs!$D$7)^CI$2))))))))</f>
        <v>0</v>
      </c>
      <c r="CJ101" s="88">
        <f>MAX(AT101,($E101*IF(CJ$2&gt;Inputs!$D$5,0,IF(CJ$2&gt;VLOOKUP($H101,Lists!$P$3:$Q$7,2),IF($N101=Lists!$K$3,IF($L101&lt;1,(($U101/$L101)*((1+Inputs!$D$7)^CJ$2)),((INT(CJ$2/$L101)-INT((CJ$2-1)/$L101))*$U101*((1+Inputs!$D$7)^CJ$2))),(Inputs!$D$8^((1-_xlfn.WEIBULL.DIST(CJ$2,$M101,$L101,FALSE))/_xlfn.WEIBULL.DIST(CJ$2,$M101,$L101,FALSE))*$U101*((1+Inputs!$D$7)^CJ$2))),IF($N101=Lists!$K$3,IF($L101&lt;1,((($T101*(1-$F101)+$S101*(1-$G101))/$L101)*((1+Inputs!$D$7)^CJ$2)),((INT(CJ$2/$L101)-INT((CJ$2-1)/$L101))*($T101*(1-$F101)+$S101*(1-$G101))*((1+Inputs!$D$7)^CJ$2))),((Inputs!$D$8^((1-_xlfn.WEIBULL.DIST(CJ$2,$M101,$L101,FALSE))/_xlfn.WEIBULL.DIST(CJ$2,$M101,$L101,FALSE))*($T101*(1-$F101)+$S101*(1-$G101))*((1+Inputs!$D$7)^CJ$2))))))))</f>
        <v>13602.836541841569</v>
      </c>
      <c r="CK101" s="88">
        <f>MAX(AU101,($E101*IF(CK$2&gt;Inputs!$D$5,0,IF(CK$2&gt;VLOOKUP($H101,Lists!$P$3:$Q$7,2),IF($N101=Lists!$K$3,IF($L101&lt;1,(($U101/$L101)*((1+Inputs!$D$7)^CK$2)),((INT(CK$2/$L101)-INT((CK$2-1)/$L101))*$U101*((1+Inputs!$D$7)^CK$2))),(Inputs!$D$8^((1-_xlfn.WEIBULL.DIST(CK$2,$M101,$L101,FALSE))/_xlfn.WEIBULL.DIST(CK$2,$M101,$L101,FALSE))*$U101*((1+Inputs!$D$7)^CK$2))),IF($N101=Lists!$K$3,IF($L101&lt;1,((($T101*(1-$F101)+$S101*(1-$G101))/$L101)*((1+Inputs!$D$7)^CK$2)),((INT(CK$2/$L101)-INT((CK$2-1)/$L101))*($T101*(1-$F101)+$S101*(1-$G101))*((1+Inputs!$D$7)^CK$2))),((Inputs!$D$8^((1-_xlfn.WEIBULL.DIST(CK$2,$M101,$L101,FALSE))/_xlfn.WEIBULL.DIST(CK$2,$M101,$L101,FALSE))*($T101*(1-$F101)+$S101*(1-$G101))*((1+Inputs!$D$7)^CK$2))))))))</f>
        <v>0</v>
      </c>
      <c r="CL101" s="88">
        <f>MAX(AV101,($E101*IF(CL$2&gt;Inputs!$D$5,0,IF(CL$2&gt;VLOOKUP($H101,Lists!$P$3:$Q$7,2),IF($N101=Lists!$K$3,IF($L101&lt;1,(($U101/$L101)*((1+Inputs!$D$7)^CL$2)),((INT(CL$2/$L101)-INT((CL$2-1)/$L101))*$U101*((1+Inputs!$D$7)^CL$2))),(Inputs!$D$8^((1-_xlfn.WEIBULL.DIST(CL$2,$M101,$L101,FALSE))/_xlfn.WEIBULL.DIST(CL$2,$M101,$L101,FALSE))*$U101*((1+Inputs!$D$7)^CL$2))),IF($N101=Lists!$K$3,IF($L101&lt;1,((($T101*(1-$F101)+$S101*(1-$G101))/$L101)*((1+Inputs!$D$7)^CL$2)),((INT(CL$2/$L101)-INT((CL$2-1)/$L101))*($T101*(1-$F101)+$S101*(1-$G101))*((1+Inputs!$D$7)^CL$2))),((Inputs!$D$8^((1-_xlfn.WEIBULL.DIST(CL$2,$M101,$L101,FALSE))/_xlfn.WEIBULL.DIST(CL$2,$M101,$L101,FALSE))*($T101*(1-$F101)+$S101*(1-$G101))*((1+Inputs!$D$7)^CL$2))))))))</f>
        <v>0</v>
      </c>
      <c r="CM101" s="88">
        <f>MAX(AW101,($E101*IF(CM$2&gt;Inputs!$D$5,0,IF(CM$2&gt;VLOOKUP($H101,Lists!$P$3:$Q$7,2),IF($N101=Lists!$K$3,IF($L101&lt;1,(($U101/$L101)*((1+Inputs!$D$7)^CM$2)),((INT(CM$2/$L101)-INT((CM$2-1)/$L101))*$U101*((1+Inputs!$D$7)^CM$2))),(Inputs!$D$8^((1-_xlfn.WEIBULL.DIST(CM$2,$M101,$L101,FALSE))/_xlfn.WEIBULL.DIST(CM$2,$M101,$L101,FALSE))*$U101*((1+Inputs!$D$7)^CM$2))),IF($N101=Lists!$K$3,IF($L101&lt;1,((($T101*(1-$F101)+$S101*(1-$G101))/$L101)*((1+Inputs!$D$7)^CM$2)),((INT(CM$2/$L101)-INT((CM$2-1)/$L101))*($T101*(1-$F101)+$S101*(1-$G101))*((1+Inputs!$D$7)^CM$2))),((Inputs!$D$8^((1-_xlfn.WEIBULL.DIST(CM$2,$M101,$L101,FALSE))/_xlfn.WEIBULL.DIST(CM$2,$M101,$L101,FALSE))*($T101*(1-$F101)+$S101*(1-$G101))*((1+Inputs!$D$7)^CM$2))))))))</f>
        <v>0</v>
      </c>
      <c r="CN101" s="88">
        <f>MAX(AX101,($E101*IF(CN$2&gt;Inputs!$D$5,0,IF(CN$2&gt;VLOOKUP($H101,Lists!$P$3:$Q$7,2),IF($N101=Lists!$K$3,IF($L101&lt;1,(($U101/$L101)*((1+Inputs!$D$7)^CN$2)),((INT(CN$2/$L101)-INT((CN$2-1)/$L101))*$U101*((1+Inputs!$D$7)^CN$2))),(Inputs!$D$8^((1-_xlfn.WEIBULL.DIST(CN$2,$M101,$L101,FALSE))/_xlfn.WEIBULL.DIST(CN$2,$M101,$L101,FALSE))*$U101*((1+Inputs!$D$7)^CN$2))),IF($N101=Lists!$K$3,IF($L101&lt;1,((($T101*(1-$F101)+$S101*(1-$G101))/$L101)*((1+Inputs!$D$7)^CN$2)),((INT(CN$2/$L101)-INT((CN$2-1)/$L101))*($T101*(1-$F101)+$S101*(1-$G101))*((1+Inputs!$D$7)^CN$2))),((Inputs!$D$8^((1-_xlfn.WEIBULL.DIST(CN$2,$M101,$L101,FALSE))/_xlfn.WEIBULL.DIST(CN$2,$M101,$L101,FALSE))*($T101*(1-$F101)+$S101*(1-$G101))*((1+Inputs!$D$7)^CN$2))))))))</f>
        <v>0</v>
      </c>
      <c r="CO101" s="88">
        <f>MAX(AY101,($E101*IF(CO$2&gt;Inputs!$D$5,0,IF(CO$2&gt;VLOOKUP($H101,Lists!$P$3:$Q$7,2),IF($N101=Lists!$K$3,IF($L101&lt;1,(($U101/$L101)*((1+Inputs!$D$7)^CO$2)),((INT(CO$2/$L101)-INT((CO$2-1)/$L101))*$U101*((1+Inputs!$D$7)^CO$2))),(Inputs!$D$8^((1-_xlfn.WEIBULL.DIST(CO$2,$M101,$L101,FALSE))/_xlfn.WEIBULL.DIST(CO$2,$M101,$L101,FALSE))*$U101*((1+Inputs!$D$7)^CO$2))),IF($N101=Lists!$K$3,IF($L101&lt;1,((($T101*(1-$F101)+$S101*(1-$G101))/$L101)*((1+Inputs!$D$7)^CO$2)),((INT(CO$2/$L101)-INT((CO$2-1)/$L101))*($T101*(1-$F101)+$S101*(1-$G101))*((1+Inputs!$D$7)^CO$2))),((Inputs!$D$8^((1-_xlfn.WEIBULL.DIST(CO$2,$M101,$L101,FALSE))/_xlfn.WEIBULL.DIST(CO$2,$M101,$L101,FALSE))*($T101*(1-$F101)+$S101*(1-$G101))*((1+Inputs!$D$7)^CO$2))))))))</f>
        <v>15018.630694914747</v>
      </c>
      <c r="CP101" s="88">
        <f>MAX(AZ101,($E101*IF(CP$2&gt;Inputs!$D$5,0,IF(CP$2&gt;VLOOKUP($H101,Lists!$P$3:$Q$7,2),IF($N101=Lists!$K$3,IF($L101&lt;1,(($U101/$L101)*((1+Inputs!$D$7)^CP$2)),((INT(CP$2/$L101)-INT((CP$2-1)/$L101))*$U101*((1+Inputs!$D$7)^CP$2))),(Inputs!$D$8^((1-_xlfn.WEIBULL.DIST(CP$2,$M101,$L101,FALSE))/_xlfn.WEIBULL.DIST(CP$2,$M101,$L101,FALSE))*$U101*((1+Inputs!$D$7)^CP$2))),IF($N101=Lists!$K$3,IF($L101&lt;1,((($T101*(1-$F101)+$S101*(1-$G101))/$L101)*((1+Inputs!$D$7)^CP$2)),((INT(CP$2/$L101)-INT((CP$2-1)/$L101))*($T101*(1-$F101)+$S101*(1-$G101))*((1+Inputs!$D$7)^CP$2))),((Inputs!$D$8^((1-_xlfn.WEIBULL.DIST(CP$2,$M101,$L101,FALSE))/_xlfn.WEIBULL.DIST(CP$2,$M101,$L101,FALSE))*($T101*(1-$F101)+$S101*(1-$G101))*((1+Inputs!$D$7)^CP$2))))))))</f>
        <v>0</v>
      </c>
      <c r="CQ101" s="88">
        <f>MAX(BA101,($E101*IF(CQ$2&gt;Inputs!$D$5,0,IF(CQ$2&gt;VLOOKUP($H101,Lists!$P$3:$Q$7,2),IF($N101=Lists!$K$3,IF($L101&lt;1,(($U101/$L101)*((1+Inputs!$D$7)^CQ$2)),((INT(CQ$2/$L101)-INT((CQ$2-1)/$L101))*$U101*((1+Inputs!$D$7)^CQ$2))),(Inputs!$D$8^((1-_xlfn.WEIBULL.DIST(CQ$2,$M101,$L101,FALSE))/_xlfn.WEIBULL.DIST(CQ$2,$M101,$L101,FALSE))*$U101*((1+Inputs!$D$7)^CQ$2))),IF($N101=Lists!$K$3,IF($L101&lt;1,((($T101*(1-$F101)+$S101*(1-$G101))/$L101)*((1+Inputs!$D$7)^CQ$2)),((INT(CQ$2/$L101)-INT((CQ$2-1)/$L101))*($T101*(1-$F101)+$S101*(1-$G101))*((1+Inputs!$D$7)^CQ$2))),((Inputs!$D$8^((1-_xlfn.WEIBULL.DIST(CQ$2,$M101,$L101,FALSE))/_xlfn.WEIBULL.DIST(CQ$2,$M101,$L101,FALSE))*($T101*(1-$F101)+$S101*(1-$G101))*((1+Inputs!$D$7)^CQ$2))))))))</f>
        <v>0</v>
      </c>
      <c r="CR101" s="88">
        <f>MAX(BB101,($E101*IF(CR$2&gt;Inputs!$D$5,0,IF(CR$2&gt;VLOOKUP($H101,Lists!$P$3:$Q$7,2),IF($N101=Lists!$K$3,IF($L101&lt;1,(($U101/$L101)*((1+Inputs!$D$7)^CR$2)),((INT(CR$2/$L101)-INT((CR$2-1)/$L101))*$U101*((1+Inputs!$D$7)^CR$2))),(Inputs!$D$8^((1-_xlfn.WEIBULL.DIST(CR$2,$M101,$L101,FALSE))/_xlfn.WEIBULL.DIST(CR$2,$M101,$L101,FALSE))*$U101*((1+Inputs!$D$7)^CR$2))),IF($N101=Lists!$K$3,IF($L101&lt;1,((($T101*(1-$F101)+$S101*(1-$G101))/$L101)*((1+Inputs!$D$7)^CR$2)),((INT(CR$2/$L101)-INT((CR$2-1)/$L101))*($T101*(1-$F101)+$S101*(1-$G101))*((1+Inputs!$D$7)^CR$2))),((Inputs!$D$8^((1-_xlfn.WEIBULL.DIST(CR$2,$M101,$L101,FALSE))/_xlfn.WEIBULL.DIST(CR$2,$M101,$L101,FALSE))*($T101*(1-$F101)+$S101*(1-$G101))*((1+Inputs!$D$7)^CR$2))))))))</f>
        <v>0</v>
      </c>
      <c r="CS101" s="88">
        <f>MAX(BC101,($E101*IF(CS$2&gt;Inputs!$D$5,0,IF(CS$2&gt;VLOOKUP($H101,Lists!$P$3:$Q$7,2),IF($N101=Lists!$K$3,IF($L101&lt;1,(($U101/$L101)*((1+Inputs!$D$7)^CS$2)),((INT(CS$2/$L101)-INT((CS$2-1)/$L101))*$U101*((1+Inputs!$D$7)^CS$2))),(Inputs!$D$8^((1-_xlfn.WEIBULL.DIST(CS$2,$M101,$L101,FALSE))/_xlfn.WEIBULL.DIST(CS$2,$M101,$L101,FALSE))*$U101*((1+Inputs!$D$7)^CS$2))),IF($N101=Lists!$K$3,IF($L101&lt;1,((($T101*(1-$F101)+$S101*(1-$G101))/$L101)*((1+Inputs!$D$7)^CS$2)),((INT(CS$2/$L101)-INT((CS$2-1)/$L101))*($T101*(1-$F101)+$S101*(1-$G101))*((1+Inputs!$D$7)^CS$2))),((Inputs!$D$8^((1-_xlfn.WEIBULL.DIST(CS$2,$M101,$L101,FALSE))/_xlfn.WEIBULL.DIST(CS$2,$M101,$L101,FALSE))*($T101*(1-$F101)+$S101*(1-$G101))*((1+Inputs!$D$7)^CS$2))))))))</f>
        <v>0</v>
      </c>
      <c r="CT101" s="88">
        <f>MAX(BD101,($E101*IF(CT$2&gt;Inputs!$D$5,0,IF(CT$2&gt;VLOOKUP($H101,Lists!$P$3:$Q$7,2),IF($N101=Lists!$K$3,IF($L101&lt;1,(($U101/$L101)*((1+Inputs!$D$7)^CT$2)),((INT(CT$2/$L101)-INT((CT$2-1)/$L101))*$U101*((1+Inputs!$D$7)^CT$2))),(Inputs!$D$8^((1-_xlfn.WEIBULL.DIST(CT$2,$M101,$L101,FALSE))/_xlfn.WEIBULL.DIST(CT$2,$M101,$L101,FALSE))*$U101*((1+Inputs!$D$7)^CT$2))),IF($N101=Lists!$K$3,IF($L101&lt;1,((($T101*(1-$F101)+$S101*(1-$G101))/$L101)*((1+Inputs!$D$7)^CT$2)),((INT(CT$2/$L101)-INT((CT$2-1)/$L101))*($T101*(1-$F101)+$S101*(1-$G101))*((1+Inputs!$D$7)^CT$2))),((Inputs!$D$8^((1-_xlfn.WEIBULL.DIST(CT$2,$M101,$L101,FALSE))/_xlfn.WEIBULL.DIST(CT$2,$M101,$L101,FALSE))*($T101*(1-$F101)+$S101*(1-$G101))*((1+Inputs!$D$7)^CT$2))))))))</f>
        <v>0</v>
      </c>
      <c r="CU101" s="88">
        <f>MAX(BE101,($E101*IF(CU$2&gt;Inputs!$D$5,0,IF(CU$2&gt;VLOOKUP($H101,Lists!$P$3:$Q$7,2),IF($N101=Lists!$K$3,IF($L101&lt;1,(($U101/$L101)*((1+Inputs!$D$7)^CU$2)),((INT(CU$2/$L101)-INT((CU$2-1)/$L101))*$U101*((1+Inputs!$D$7)^CU$2))),(Inputs!$D$8^((1-_xlfn.WEIBULL.DIST(CU$2,$M101,$L101,FALSE))/_xlfn.WEIBULL.DIST(CU$2,$M101,$L101,FALSE))*$U101*((1+Inputs!$D$7)^CU$2))),IF($N101=Lists!$K$3,IF($L101&lt;1,((($T101*(1-$F101)+$S101*(1-$G101))/$L101)*((1+Inputs!$D$7)^CU$2)),((INT(CU$2/$L101)-INT((CU$2-1)/$L101))*($T101*(1-$F101)+$S101*(1-$G101))*((1+Inputs!$D$7)^CU$2))),((Inputs!$D$8^((1-_xlfn.WEIBULL.DIST(CU$2,$M101,$L101,FALSE))/_xlfn.WEIBULL.DIST(CU$2,$M101,$L101,FALSE))*($T101*(1-$F101)+$S101*(1-$G101))*((1+Inputs!$D$7)^CU$2))))))))</f>
        <v>0</v>
      </c>
      <c r="CV101" s="88">
        <f>MAX(BF101,($E101*IF(CV$2&gt;Inputs!$D$5,0,IF(CV$2&gt;VLOOKUP($H101,Lists!$P$3:$Q$7,2),IF($N101=Lists!$K$3,IF($L101&lt;1,(($U101/$L101)*((1+Inputs!$D$7)^CV$2)),((INT(CV$2/$L101)-INT((CV$2-1)/$L101))*$U101*((1+Inputs!$D$7)^CV$2))),(Inputs!$D$8^((1-_xlfn.WEIBULL.DIST(CV$2,$M101,$L101,FALSE))/_xlfn.WEIBULL.DIST(CV$2,$M101,$L101,FALSE))*$U101*((1+Inputs!$D$7)^CV$2))),IF($N101=Lists!$K$3,IF($L101&lt;1,((($T101*(1-$F101)+$S101*(1-$G101))/$L101)*((1+Inputs!$D$7)^CV$2)),((INT(CV$2/$L101)-INT((CV$2-1)/$L101))*($T101*(1-$F101)+$S101*(1-$G101))*((1+Inputs!$D$7)^CV$2))),((Inputs!$D$8^((1-_xlfn.WEIBULL.DIST(CV$2,$M101,$L101,FALSE))/_xlfn.WEIBULL.DIST(CV$2,$M101,$L101,FALSE))*($T101*(1-$F101)+$S101*(1-$G101))*((1+Inputs!$D$7)^CV$2))))))))</f>
        <v>0</v>
      </c>
      <c r="CW101" s="88">
        <f>MAX(BG101,($E101*IF(CW$2&gt;Inputs!$D$5,0,IF(CW$2&gt;VLOOKUP($H101,Lists!$P$3:$Q$7,2),IF($N101=Lists!$K$3,IF($L101&lt;1,(($U101/$L101)*((1+Inputs!$D$7)^CW$2)),((INT(CW$2/$L101)-INT((CW$2-1)/$L101))*$U101*((1+Inputs!$D$7)^CW$2))),(Inputs!$D$8^((1-_xlfn.WEIBULL.DIST(CW$2,$M101,$L101,FALSE))/_xlfn.WEIBULL.DIST(CW$2,$M101,$L101,FALSE))*$U101*((1+Inputs!$D$7)^CW$2))),IF($N101=Lists!$K$3,IF($L101&lt;1,((($T101*(1-$F101)+$S101*(1-$G101))/$L101)*((1+Inputs!$D$7)^CW$2)),((INT(CW$2/$L101)-INT((CW$2-1)/$L101))*($T101*(1-$F101)+$S101*(1-$G101))*((1+Inputs!$D$7)^CW$2))),((Inputs!$D$8^((1-_xlfn.WEIBULL.DIST(CW$2,$M101,$L101,FALSE))/_xlfn.WEIBULL.DIST(CW$2,$M101,$L101,FALSE))*($T101*(1-$F101)+$S101*(1-$G101))*((1+Inputs!$D$7)^CW$2))))))))</f>
        <v>0</v>
      </c>
      <c r="CX101" s="88">
        <f>MAX(BH101,($E101*IF(CX$2&gt;Inputs!$D$5,0,IF(CX$2&gt;VLOOKUP($H101,Lists!$P$3:$Q$7,2),IF($N101=Lists!$K$3,IF($L101&lt;1,(($U101/$L101)*((1+Inputs!$D$7)^CX$2)),((INT(CX$2/$L101)-INT((CX$2-1)/$L101))*$U101*((1+Inputs!$D$7)^CX$2))),(Inputs!$D$8^((1-_xlfn.WEIBULL.DIST(CX$2,$M101,$L101,FALSE))/_xlfn.WEIBULL.DIST(CX$2,$M101,$L101,FALSE))*$U101*((1+Inputs!$D$7)^CX$2))),IF($N101=Lists!$K$3,IF($L101&lt;1,((($T101*(1-$F101)+$S101*(1-$G101))/$L101)*((1+Inputs!$D$7)^CX$2)),((INT(CX$2/$L101)-INT((CX$2-1)/$L101))*($T101*(1-$F101)+$S101*(1-$G101))*((1+Inputs!$D$7)^CX$2))),((Inputs!$D$8^((1-_xlfn.WEIBULL.DIST(CX$2,$M101,$L101,FALSE))/_xlfn.WEIBULL.DIST(CX$2,$M101,$L101,FALSE))*($T101*(1-$F101)+$S101*(1-$G101))*((1+Inputs!$D$7)^CX$2))))))))</f>
        <v>0</v>
      </c>
      <c r="CY101" s="88">
        <f>MAX(BI101,($E101*IF(CY$2&gt;Inputs!$D$5,0,IF(CY$2&gt;VLOOKUP($H101,Lists!$P$3:$Q$7,2),IF($N101=Lists!$K$3,IF($L101&lt;1,(($U101/$L101)*((1+Inputs!$D$7)^CY$2)),((INT(CY$2/$L101)-INT((CY$2-1)/$L101))*$U101*((1+Inputs!$D$7)^CY$2))),(Inputs!$D$8^((1-_xlfn.WEIBULL.DIST(CY$2,$M101,$L101,FALSE))/_xlfn.WEIBULL.DIST(CY$2,$M101,$L101,FALSE))*$U101*((1+Inputs!$D$7)^CY$2))),IF($N101=Lists!$K$3,IF($L101&lt;1,((($T101*(1-$F101)+$S101*(1-$G101))/$L101)*((1+Inputs!$D$7)^CY$2)),((INT(CY$2/$L101)-INT((CY$2-1)/$L101))*($T101*(1-$F101)+$S101*(1-$G101))*((1+Inputs!$D$7)^CY$2))),((Inputs!$D$8^((1-_xlfn.WEIBULL.DIST(CY$2,$M101,$L101,FALSE))/_xlfn.WEIBULL.DIST(CY$2,$M101,$L101,FALSE))*($T101*(1-$F101)+$S101*(1-$G101))*((1+Inputs!$D$7)^CY$2))))))))</f>
        <v>0</v>
      </c>
      <c r="CZ101" s="88">
        <f>MAX(BJ101,($E101*IF(CZ$2&gt;Inputs!$D$5,0,IF(CZ$2&gt;VLOOKUP($H101,Lists!$P$3:$Q$7,2),IF($N101=Lists!$K$3,IF($L101&lt;1,(($U101/$L101)*((1+Inputs!$D$7)^CZ$2)),((INT(CZ$2/$L101)-INT((CZ$2-1)/$L101))*$U101*((1+Inputs!$D$7)^CZ$2))),(Inputs!$D$8^((1-_xlfn.WEIBULL.DIST(CZ$2,$M101,$L101,FALSE))/_xlfn.WEIBULL.DIST(CZ$2,$M101,$L101,FALSE))*$U101*((1+Inputs!$D$7)^CZ$2))),IF($N101=Lists!$K$3,IF($L101&lt;1,((($T101*(1-$F101)+$S101*(1-$G101))/$L101)*((1+Inputs!$D$7)^CZ$2)),((INT(CZ$2/$L101)-INT((CZ$2-1)/$L101))*($T101*(1-$F101)+$S101*(1-$G101))*((1+Inputs!$D$7)^CZ$2))),((Inputs!$D$8^((1-_xlfn.WEIBULL.DIST(CZ$2,$M101,$L101,FALSE))/_xlfn.WEIBULL.DIST(CZ$2,$M101,$L101,FALSE))*($T101*(1-$F101)+$S101*(1-$G101))*((1+Inputs!$D$7)^CZ$2))))))))</f>
        <v>0</v>
      </c>
      <c r="DA101" s="88">
        <f>MAX(BK101,($E101*IF(DA$2&gt;Inputs!$D$5,0,IF(DA$2&gt;VLOOKUP($H101,Lists!$P$3:$Q$7,2),IF($N101=Lists!$K$3,IF($L101&lt;1,(($U101/$L101)*((1+Inputs!$D$7)^DA$2)),((INT(DA$2/$L101)-INT((DA$2-1)/$L101))*$U101*((1+Inputs!$D$7)^DA$2))),(Inputs!$D$8^((1-_xlfn.WEIBULL.DIST(DA$2,$M101,$L101,FALSE))/_xlfn.WEIBULL.DIST(DA$2,$M101,$L101,FALSE))*$U101*((1+Inputs!$D$7)^DA$2))),IF($N101=Lists!$K$3,IF($L101&lt;1,((($T101*(1-$F101)+$S101*(1-$G101))/$L101)*((1+Inputs!$D$7)^DA$2)),((INT(DA$2/$L101)-INT((DA$2-1)/$L101))*($T101*(1-$F101)+$S101*(1-$G101))*((1+Inputs!$D$7)^DA$2))),((Inputs!$D$8^((1-_xlfn.WEIBULL.DIST(DA$2,$M101,$L101,FALSE))/_xlfn.WEIBULL.DIST(DA$2,$M101,$L101,FALSE))*($T101*(1-$F101)+$S101*(1-$G101))*((1+Inputs!$D$7)^DA$2))))))))</f>
        <v>0</v>
      </c>
      <c r="DB101" s="88">
        <f>MAX(BL101,($E101*IF(DB$2&gt;Inputs!$D$5,0,IF(DB$2&gt;VLOOKUP($H101,Lists!$P$3:$Q$7,2),IF($N101=Lists!$K$3,IF($L101&lt;1,(($U101/$L101)*((1+Inputs!$D$7)^DB$2)),((INT(DB$2/$L101)-INT((DB$2-1)/$L101))*$U101*((1+Inputs!$D$7)^DB$2))),(Inputs!$D$8^((1-_xlfn.WEIBULL.DIST(DB$2,$M101,$L101,FALSE))/_xlfn.WEIBULL.DIST(DB$2,$M101,$L101,FALSE))*$U101*((1+Inputs!$D$7)^DB$2))),IF($N101=Lists!$K$3,IF($L101&lt;1,((($T101*(1-$F101)+$S101*(1-$G101))/$L101)*((1+Inputs!$D$7)^DB$2)),((INT(DB$2/$L101)-INT((DB$2-1)/$L101))*($T101*(1-$F101)+$S101*(1-$G101))*((1+Inputs!$D$7)^DB$2))),((Inputs!$D$8^((1-_xlfn.WEIBULL.DIST(DB$2,$M101,$L101,FALSE))/_xlfn.WEIBULL.DIST(DB$2,$M101,$L101,FALSE))*($T101*(1-$F101)+$S101*(1-$G101))*((1+Inputs!$D$7)^DB$2))))))))</f>
        <v>0</v>
      </c>
      <c r="DC101" s="88">
        <f>MAX(BM101,($E101*IF(DC$2&gt;Inputs!$D$5,0,IF(DC$2&gt;VLOOKUP($H101,Lists!$P$3:$Q$7,2),IF($N101=Lists!$K$3,IF($L101&lt;1,(($U101/$L101)*((1+Inputs!$D$7)^DC$2)),((INT(DC$2/$L101)-INT((DC$2-1)/$L101))*$U101*((1+Inputs!$D$7)^DC$2))),(Inputs!$D$8^((1-_xlfn.WEIBULL.DIST(DC$2,$M101,$L101,FALSE))/_xlfn.WEIBULL.DIST(DC$2,$M101,$L101,FALSE))*$U101*((1+Inputs!$D$7)^DC$2))),IF($N101=Lists!$K$3,IF($L101&lt;1,((($T101*(1-$F101)+$S101*(1-$G101))/$L101)*((1+Inputs!$D$7)^DC$2)),((INT(DC$2/$L101)-INT((DC$2-1)/$L101))*($T101*(1-$F101)+$S101*(1-$G101))*((1+Inputs!$D$7)^DC$2))),((Inputs!$D$8^((1-_xlfn.WEIBULL.DIST(DC$2,$M101,$L101,FALSE))/_xlfn.WEIBULL.DIST(DC$2,$M101,$L101,FALSE))*($T101*(1-$F101)+$S101*(1-$G101))*((1+Inputs!$D$7)^DC$2))))))))</f>
        <v>0</v>
      </c>
      <c r="DD101" s="88">
        <f>MAX(BN101,($E101*IF(DD$2&gt;Inputs!$D$5,0,IF(DD$2&gt;VLOOKUP($H101,Lists!$P$3:$Q$7,2),IF($N101=Lists!$K$3,IF($L101&lt;1,(($U101/$L101)*((1+Inputs!$D$7)^DD$2)),((INT(DD$2/$L101)-INT((DD$2-1)/$L101))*$U101*((1+Inputs!$D$7)^DD$2))),(Inputs!$D$8^((1-_xlfn.WEIBULL.DIST(DD$2,$M101,$L101,FALSE))/_xlfn.WEIBULL.DIST(DD$2,$M101,$L101,FALSE))*$U101*((1+Inputs!$D$7)^DD$2))),IF($N101=Lists!$K$3,IF($L101&lt;1,((($T101*(1-$F101)+$S101*(1-$G101))/$L101)*((1+Inputs!$D$7)^DD$2)),((INT(DD$2/$L101)-INT((DD$2-1)/$L101))*($T101*(1-$F101)+$S101*(1-$G101))*((1+Inputs!$D$7)^DD$2))),((Inputs!$D$8^((1-_xlfn.WEIBULL.DIST(DD$2,$M101,$L101,FALSE))/_xlfn.WEIBULL.DIST(DD$2,$M101,$L101,FALSE))*($T101*(1-$F101)+$S101*(1-$G101))*((1+Inputs!$D$7)^DD$2))))))))</f>
        <v>0</v>
      </c>
    </row>
    <row r="102" spans="1:108" ht="16">
      <c r="A102" s="57" t="s">
        <v>57</v>
      </c>
      <c r="B102" s="13" t="s">
        <v>279</v>
      </c>
      <c r="C102" s="13" t="s">
        <v>90</v>
      </c>
      <c r="D102" s="13" t="s">
        <v>35</v>
      </c>
      <c r="E102" s="48">
        <f>IF(Inputs!$D$41=Lists!$I$4,0,1)</f>
        <v>1</v>
      </c>
      <c r="F102" s="48">
        <v>0</v>
      </c>
      <c r="G102" s="48">
        <v>0</v>
      </c>
      <c r="H102" s="105" t="s">
        <v>350</v>
      </c>
      <c r="I102" s="14" t="s">
        <v>47</v>
      </c>
      <c r="J102" s="14" t="s">
        <v>246</v>
      </c>
      <c r="K102" s="13">
        <f>VLOOKUP(J102,'Labor Rates'!$A$1:$F$16,2)</f>
        <v>33.119999999999997</v>
      </c>
      <c r="L102" s="15">
        <v>5</v>
      </c>
      <c r="M102" s="15">
        <v>1</v>
      </c>
      <c r="N102" s="13" t="s">
        <v>236</v>
      </c>
      <c r="O102" s="61">
        <f>Inputs!$D$53*Inputs!$D$57</f>
        <v>1639.344262295082</v>
      </c>
      <c r="P102" s="15">
        <f>0.5/60</f>
        <v>8.3333333333333332E-3</v>
      </c>
      <c r="Q102" s="15">
        <f t="shared" si="21"/>
        <v>2.7322404371584699</v>
      </c>
      <c r="R102" s="4">
        <v>0</v>
      </c>
      <c r="S102" s="53">
        <f t="shared" si="22"/>
        <v>452.4590163934426</v>
      </c>
      <c r="T102" s="53">
        <f t="shared" si="23"/>
        <v>0</v>
      </c>
      <c r="U102" s="54">
        <f t="shared" si="24"/>
        <v>452.4590163934426</v>
      </c>
      <c r="V102" s="65"/>
      <c r="W102" s="58"/>
      <c r="X102" s="64">
        <f t="shared" si="25"/>
        <v>116.61884461223265</v>
      </c>
      <c r="Y102" s="64">
        <f>NPV(Inputs!$D$6,AA102:BN102)</f>
        <v>1167.7746756279414</v>
      </c>
      <c r="Z102" s="67">
        <f t="shared" si="26"/>
        <v>5.5077954861249641E-4</v>
      </c>
      <c r="AA102" s="88">
        <f>$E102*IF(AA$2&gt;Inputs!$D$5,0,IF(AA$2&gt;VLOOKUP($H102,Lists!$P$3:$Q$7,2),IF($N102=Lists!$K$3,IF($L102&lt;1,(($U102/$L102)*((1+Inputs!$D$7)^AA$2)),((INT(AA$2/$L102)-INT((AA$2-1)/$L102))*$U102*((1+Inputs!$D$7)^AA$2))),(_xlfn.WEIBULL.DIST(AA$2,$M102,$L102,FALSE)*$U102*((1+Inputs!$D$7)^AA$2))),IF($N102=Lists!$K$3,IF($L102&lt;1,((($T102*(1-$F102)+$S102*(1-$G102))/$L102)*((1+Inputs!$D$7)^AA$2)),((INT(AA$2/$L102)-INT((AA$2-1)/$L102))*($T102*(1-$F102)+$S102*(1-$G102))*((1+Inputs!$D$7)^AA$2))),((_xlfn.WEIBULL.DIST(AA$2,$M102,$L102,FALSE)*($T102*(1-$F102)+$S102*(1-$G102))*((1+Inputs!$D$7)^AA$2))))))</f>
        <v>0</v>
      </c>
      <c r="AB102" s="88">
        <f>$E102*IF(AB$2&gt;Inputs!$D$5,0,IF(AB$2&gt;VLOOKUP($H102,Lists!$P$3:$Q$7,2),IF($N102=Lists!$K$3,IF($L102&lt;1,(($U102/$L102)*((1+Inputs!$D$7)^AB$2)),((INT(AB$2/$L102)-INT((AB$2-1)/$L102))*$U102*((1+Inputs!$D$7)^AB$2))),(_xlfn.WEIBULL.DIST(AB$2,$M102,$L102,FALSE)*$U102*((1+Inputs!$D$7)^AB$2))),IF($N102=Lists!$K$3,IF($L102&lt;1,((($T102*(1-$F102)+$S102*(1-$G102))/$L102)*((1+Inputs!$D$7)^AB$2)),((INT(AB$2/$L102)-INT((AB$2-1)/$L102))*($T102*(1-$F102)+$S102*(1-$G102))*((1+Inputs!$D$7)^AB$2))),((_xlfn.WEIBULL.DIST(AB$2,$M102,$L102,FALSE)*($T102*(1-$F102)+$S102*(1-$G102))*((1+Inputs!$D$7)^AB$2))))))</f>
        <v>0</v>
      </c>
      <c r="AC102" s="88">
        <f>$E102*IF(AC$2&gt;Inputs!$D$5,0,IF(AC$2&gt;VLOOKUP($H102,Lists!$P$3:$Q$7,2),IF($N102=Lists!$K$3,IF($L102&lt;1,(($U102/$L102)*((1+Inputs!$D$7)^AC$2)),((INT(AC$2/$L102)-INT((AC$2-1)/$L102))*$U102*((1+Inputs!$D$7)^AC$2))),(_xlfn.WEIBULL.DIST(AC$2,$M102,$L102,FALSE)*$U102*((1+Inputs!$D$7)^AC$2))),IF($N102=Lists!$K$3,IF($L102&lt;1,((($T102*(1-$F102)+$S102*(1-$G102))/$L102)*((1+Inputs!$D$7)^AC$2)),((INT(AC$2/$L102)-INT((AC$2-1)/$L102))*($T102*(1-$F102)+$S102*(1-$G102))*((1+Inputs!$D$7)^AC$2))),((_xlfn.WEIBULL.DIST(AC$2,$M102,$L102,FALSE)*($T102*(1-$F102)+$S102*(1-$G102))*((1+Inputs!$D$7)^AC$2))))))</f>
        <v>0</v>
      </c>
      <c r="AD102" s="88">
        <f>$E102*IF(AD$2&gt;Inputs!$D$5,0,IF(AD$2&gt;VLOOKUP($H102,Lists!$P$3:$Q$7,2),IF($N102=Lists!$K$3,IF($L102&lt;1,(($U102/$L102)*((1+Inputs!$D$7)^AD$2)),((INT(AD$2/$L102)-INT((AD$2-1)/$L102))*$U102*((1+Inputs!$D$7)^AD$2))),(_xlfn.WEIBULL.DIST(AD$2,$M102,$L102,FALSE)*$U102*((1+Inputs!$D$7)^AD$2))),IF($N102=Lists!$K$3,IF($L102&lt;1,((($T102*(1-$F102)+$S102*(1-$G102))/$L102)*((1+Inputs!$D$7)^AD$2)),((INT(AD$2/$L102)-INT((AD$2-1)/$L102))*($T102*(1-$F102)+$S102*(1-$G102))*((1+Inputs!$D$7)^AD$2))),((_xlfn.WEIBULL.DIST(AD$2,$M102,$L102,FALSE)*($T102*(1-$F102)+$S102*(1-$G102))*((1+Inputs!$D$7)^AD$2))))))</f>
        <v>0</v>
      </c>
      <c r="AE102" s="88">
        <f>$E102*IF(AE$2&gt;Inputs!$D$5,0,IF(AE$2&gt;VLOOKUP($H102,Lists!$P$3:$Q$7,2),IF($N102=Lists!$K$3,IF($L102&lt;1,(($U102/$L102)*((1+Inputs!$D$7)^AE$2)),((INT(AE$2/$L102)-INT((AE$2-1)/$L102))*$U102*((1+Inputs!$D$7)^AE$2))),(_xlfn.WEIBULL.DIST(AE$2,$M102,$L102,FALSE)*$U102*((1+Inputs!$D$7)^AE$2))),IF($N102=Lists!$K$3,IF($L102&lt;1,((($T102*(1-$F102)+$S102*(1-$G102))/$L102)*((1+Inputs!$D$7)^AE$2)),((INT(AE$2/$L102)-INT((AE$2-1)/$L102))*($T102*(1-$F102)+$S102*(1-$G102))*((1+Inputs!$D$7)^AE$2))),((_xlfn.WEIBULL.DIST(AE$2,$M102,$L102,FALSE)*($T102*(1-$F102)+$S102*(1-$G102))*((1+Inputs!$D$7)^AE$2))))))</f>
        <v>499.5513142347541</v>
      </c>
      <c r="AF102" s="88">
        <f>$E102*IF(AF$2&gt;Inputs!$D$5,0,IF(AF$2&gt;VLOOKUP($H102,Lists!$P$3:$Q$7,2),IF($N102=Lists!$K$3,IF($L102&lt;1,(($U102/$L102)*((1+Inputs!$D$7)^AF$2)),((INT(AF$2/$L102)-INT((AF$2-1)/$L102))*$U102*((1+Inputs!$D$7)^AF$2))),(_xlfn.WEIBULL.DIST(AF$2,$M102,$L102,FALSE)*$U102*((1+Inputs!$D$7)^AF$2))),IF($N102=Lists!$K$3,IF($L102&lt;1,((($T102*(1-$F102)+$S102*(1-$G102))/$L102)*((1+Inputs!$D$7)^AF$2)),((INT(AF$2/$L102)-INT((AF$2-1)/$L102))*($T102*(1-$F102)+$S102*(1-$G102))*((1+Inputs!$D$7)^AF$2))),((_xlfn.WEIBULL.DIST(AF$2,$M102,$L102,FALSE)*($T102*(1-$F102)+$S102*(1-$G102))*((1+Inputs!$D$7)^AF$2))))))</f>
        <v>0</v>
      </c>
      <c r="AG102" s="88">
        <f>$E102*IF(AG$2&gt;Inputs!$D$5,0,IF(AG$2&gt;VLOOKUP($H102,Lists!$P$3:$Q$7,2),IF($N102=Lists!$K$3,IF($L102&lt;1,(($U102/$L102)*((1+Inputs!$D$7)^AG$2)),((INT(AG$2/$L102)-INT((AG$2-1)/$L102))*$U102*((1+Inputs!$D$7)^AG$2))),(_xlfn.WEIBULL.DIST(AG$2,$M102,$L102,FALSE)*$U102*((1+Inputs!$D$7)^AG$2))),IF($N102=Lists!$K$3,IF($L102&lt;1,((($T102*(1-$F102)+$S102*(1-$G102))/$L102)*((1+Inputs!$D$7)^AG$2)),((INT(AG$2/$L102)-INT((AG$2-1)/$L102))*($T102*(1-$F102)+$S102*(1-$G102))*((1+Inputs!$D$7)^AG$2))),((_xlfn.WEIBULL.DIST(AG$2,$M102,$L102,FALSE)*($T102*(1-$F102)+$S102*(1-$G102))*((1+Inputs!$D$7)^AG$2))))))</f>
        <v>0</v>
      </c>
      <c r="AH102" s="88">
        <f>$E102*IF(AH$2&gt;Inputs!$D$5,0,IF(AH$2&gt;VLOOKUP($H102,Lists!$P$3:$Q$7,2),IF($N102=Lists!$K$3,IF($L102&lt;1,(($U102/$L102)*((1+Inputs!$D$7)^AH$2)),((INT(AH$2/$L102)-INT((AH$2-1)/$L102))*$U102*((1+Inputs!$D$7)^AH$2))),(_xlfn.WEIBULL.DIST(AH$2,$M102,$L102,FALSE)*$U102*((1+Inputs!$D$7)^AH$2))),IF($N102=Lists!$K$3,IF($L102&lt;1,((($T102*(1-$F102)+$S102*(1-$G102))/$L102)*((1+Inputs!$D$7)^AH$2)),((INT(AH$2/$L102)-INT((AH$2-1)/$L102))*($T102*(1-$F102)+$S102*(1-$G102))*((1+Inputs!$D$7)^AH$2))),((_xlfn.WEIBULL.DIST(AH$2,$M102,$L102,FALSE)*($T102*(1-$F102)+$S102*(1-$G102))*((1+Inputs!$D$7)^AH$2))))))</f>
        <v>0</v>
      </c>
      <c r="AI102" s="88">
        <f>$E102*IF(AI$2&gt;Inputs!$D$5,0,IF(AI$2&gt;VLOOKUP($H102,Lists!$P$3:$Q$7,2),IF($N102=Lists!$K$3,IF($L102&lt;1,(($U102/$L102)*((1+Inputs!$D$7)^AI$2)),((INT(AI$2/$L102)-INT((AI$2-1)/$L102))*$U102*((1+Inputs!$D$7)^AI$2))),(_xlfn.WEIBULL.DIST(AI$2,$M102,$L102,FALSE)*$U102*((1+Inputs!$D$7)^AI$2))),IF($N102=Lists!$K$3,IF($L102&lt;1,((($T102*(1-$F102)+$S102*(1-$G102))/$L102)*((1+Inputs!$D$7)^AI$2)),((INT(AI$2/$L102)-INT((AI$2-1)/$L102))*($T102*(1-$F102)+$S102*(1-$G102))*((1+Inputs!$D$7)^AI$2))),((_xlfn.WEIBULL.DIST(AI$2,$M102,$L102,FALSE)*($T102*(1-$F102)+$S102*(1-$G102))*((1+Inputs!$D$7)^AI$2))))))</f>
        <v>0</v>
      </c>
      <c r="AJ102" s="88">
        <f>$E102*IF(AJ$2&gt;Inputs!$D$5,0,IF(AJ$2&gt;VLOOKUP($H102,Lists!$P$3:$Q$7,2),IF($N102=Lists!$K$3,IF($L102&lt;1,(($U102/$L102)*((1+Inputs!$D$7)^AJ$2)),((INT(AJ$2/$L102)-INT((AJ$2-1)/$L102))*$U102*((1+Inputs!$D$7)^AJ$2))),(_xlfn.WEIBULL.DIST(AJ$2,$M102,$L102,FALSE)*$U102*((1+Inputs!$D$7)^AJ$2))),IF($N102=Lists!$K$3,IF($L102&lt;1,((($T102*(1-$F102)+$S102*(1-$G102))/$L102)*((1+Inputs!$D$7)^AJ$2)),((INT(AJ$2/$L102)-INT((AJ$2-1)/$L102))*($T102*(1-$F102)+$S102*(1-$G102))*((1+Inputs!$D$7)^AJ$2))),((_xlfn.WEIBULL.DIST(AJ$2,$M102,$L102,FALSE)*($T102*(1-$F102)+$S102*(1-$G102))*((1+Inputs!$D$7)^AJ$2))))))</f>
        <v>551.54501625992282</v>
      </c>
      <c r="AK102" s="88">
        <f>$E102*IF(AK$2&gt;Inputs!$D$5,0,IF(AK$2&gt;VLOOKUP($H102,Lists!$P$3:$Q$7,2),IF($N102=Lists!$K$3,IF($L102&lt;1,(($U102/$L102)*((1+Inputs!$D$7)^AK$2)),((INT(AK$2/$L102)-INT((AK$2-1)/$L102))*$U102*((1+Inputs!$D$7)^AK$2))),(_xlfn.WEIBULL.DIST(AK$2,$M102,$L102,FALSE)*$U102*((1+Inputs!$D$7)^AK$2))),IF($N102=Lists!$K$3,IF($L102&lt;1,((($T102*(1-$F102)+$S102*(1-$G102))/$L102)*((1+Inputs!$D$7)^AK$2)),((INT(AK$2/$L102)-INT((AK$2-1)/$L102))*($T102*(1-$F102)+$S102*(1-$G102))*((1+Inputs!$D$7)^AK$2))),((_xlfn.WEIBULL.DIST(AK$2,$M102,$L102,FALSE)*($T102*(1-$F102)+$S102*(1-$G102))*((1+Inputs!$D$7)^AK$2))))))</f>
        <v>0</v>
      </c>
      <c r="AL102" s="88">
        <f>$E102*IF(AL$2&gt;Inputs!$D$5,0,IF(AL$2&gt;VLOOKUP($H102,Lists!$P$3:$Q$7,2),IF($N102=Lists!$K$3,IF($L102&lt;1,(($U102/$L102)*((1+Inputs!$D$7)^AL$2)),((INT(AL$2/$L102)-INT((AL$2-1)/$L102))*$U102*((1+Inputs!$D$7)^AL$2))),(_xlfn.WEIBULL.DIST(AL$2,$M102,$L102,FALSE)*$U102*((1+Inputs!$D$7)^AL$2))),IF($N102=Lists!$K$3,IF($L102&lt;1,((($T102*(1-$F102)+$S102*(1-$G102))/$L102)*((1+Inputs!$D$7)^AL$2)),((INT(AL$2/$L102)-INT((AL$2-1)/$L102))*($T102*(1-$F102)+$S102*(1-$G102))*((1+Inputs!$D$7)^AL$2))),((_xlfn.WEIBULL.DIST(AL$2,$M102,$L102,FALSE)*($T102*(1-$F102)+$S102*(1-$G102))*((1+Inputs!$D$7)^AL$2))))))</f>
        <v>0</v>
      </c>
      <c r="AM102" s="88">
        <f>$E102*IF(AM$2&gt;Inputs!$D$5,0,IF(AM$2&gt;VLOOKUP($H102,Lists!$P$3:$Q$7,2),IF($N102=Lists!$K$3,IF($L102&lt;1,(($U102/$L102)*((1+Inputs!$D$7)^AM$2)),((INT(AM$2/$L102)-INT((AM$2-1)/$L102))*$U102*((1+Inputs!$D$7)^AM$2))),(_xlfn.WEIBULL.DIST(AM$2,$M102,$L102,FALSE)*$U102*((1+Inputs!$D$7)^AM$2))),IF($N102=Lists!$K$3,IF($L102&lt;1,((($T102*(1-$F102)+$S102*(1-$G102))/$L102)*((1+Inputs!$D$7)^AM$2)),((INT(AM$2/$L102)-INT((AM$2-1)/$L102))*($T102*(1-$F102)+$S102*(1-$G102))*((1+Inputs!$D$7)^AM$2))),((_xlfn.WEIBULL.DIST(AM$2,$M102,$L102,FALSE)*($T102*(1-$F102)+$S102*(1-$G102))*((1+Inputs!$D$7)^AM$2))))))</f>
        <v>0</v>
      </c>
      <c r="AN102" s="88">
        <f>$E102*IF(AN$2&gt;Inputs!$D$5,0,IF(AN$2&gt;VLOOKUP($H102,Lists!$P$3:$Q$7,2),IF($N102=Lists!$K$3,IF($L102&lt;1,(($U102/$L102)*((1+Inputs!$D$7)^AN$2)),((INT(AN$2/$L102)-INT((AN$2-1)/$L102))*$U102*((1+Inputs!$D$7)^AN$2))),(_xlfn.WEIBULL.DIST(AN$2,$M102,$L102,FALSE)*$U102*((1+Inputs!$D$7)^AN$2))),IF($N102=Lists!$K$3,IF($L102&lt;1,((($T102*(1-$F102)+$S102*(1-$G102))/$L102)*((1+Inputs!$D$7)^AN$2)),((INT(AN$2/$L102)-INT((AN$2-1)/$L102))*($T102*(1-$F102)+$S102*(1-$G102))*((1+Inputs!$D$7)^AN$2))),((_xlfn.WEIBULL.DIST(AN$2,$M102,$L102,FALSE)*($T102*(1-$F102)+$S102*(1-$G102))*((1+Inputs!$D$7)^AN$2))))))</f>
        <v>0</v>
      </c>
      <c r="AO102" s="88">
        <f>$E102*IF(AO$2&gt;Inputs!$D$5,0,IF(AO$2&gt;VLOOKUP($H102,Lists!$P$3:$Q$7,2),IF($N102=Lists!$K$3,IF($L102&lt;1,(($U102/$L102)*((1+Inputs!$D$7)^AO$2)),((INT(AO$2/$L102)-INT((AO$2-1)/$L102))*$U102*((1+Inputs!$D$7)^AO$2))),(_xlfn.WEIBULL.DIST(AO$2,$M102,$L102,FALSE)*$U102*((1+Inputs!$D$7)^AO$2))),IF($N102=Lists!$K$3,IF($L102&lt;1,((($T102*(1-$F102)+$S102*(1-$G102))/$L102)*((1+Inputs!$D$7)^AO$2)),((INT(AO$2/$L102)-INT((AO$2-1)/$L102))*($T102*(1-$F102)+$S102*(1-$G102))*((1+Inputs!$D$7)^AO$2))),((_xlfn.WEIBULL.DIST(AO$2,$M102,$L102,FALSE)*($T102*(1-$F102)+$S102*(1-$G102))*((1+Inputs!$D$7)^AO$2))))))</f>
        <v>608.95026455321249</v>
      </c>
      <c r="AP102" s="88">
        <f>$E102*IF(AP$2&gt;Inputs!$D$5,0,IF(AP$2&gt;VLOOKUP($H102,Lists!$P$3:$Q$7,2),IF($N102=Lists!$K$3,IF($L102&lt;1,(($U102/$L102)*((1+Inputs!$D$7)^AP$2)),((INT(AP$2/$L102)-INT((AP$2-1)/$L102))*$U102*((1+Inputs!$D$7)^AP$2))),(_xlfn.WEIBULL.DIST(AP$2,$M102,$L102,FALSE)*$U102*((1+Inputs!$D$7)^AP$2))),IF($N102=Lists!$K$3,IF($L102&lt;1,((($T102*(1-$F102)+$S102*(1-$G102))/$L102)*((1+Inputs!$D$7)^AP$2)),((INT(AP$2/$L102)-INT((AP$2-1)/$L102))*($T102*(1-$F102)+$S102*(1-$G102))*((1+Inputs!$D$7)^AP$2))),((_xlfn.WEIBULL.DIST(AP$2,$M102,$L102,FALSE)*($T102*(1-$F102)+$S102*(1-$G102))*((1+Inputs!$D$7)^AP$2))))))</f>
        <v>0</v>
      </c>
      <c r="AQ102" s="88">
        <f>$E102*IF(AQ$2&gt;Inputs!$D$5,0,IF(AQ$2&gt;VLOOKUP($H102,Lists!$P$3:$Q$7,2),IF($N102=Lists!$K$3,IF($L102&lt;1,(($U102/$L102)*((1+Inputs!$D$7)^AQ$2)),((INT(AQ$2/$L102)-INT((AQ$2-1)/$L102))*$U102*((1+Inputs!$D$7)^AQ$2))),(_xlfn.WEIBULL.DIST(AQ$2,$M102,$L102,FALSE)*$U102*((1+Inputs!$D$7)^AQ$2))),IF($N102=Lists!$K$3,IF($L102&lt;1,((($T102*(1-$F102)+$S102*(1-$G102))/$L102)*((1+Inputs!$D$7)^AQ$2)),((INT(AQ$2/$L102)-INT((AQ$2-1)/$L102))*($T102*(1-$F102)+$S102*(1-$G102))*((1+Inputs!$D$7)^AQ$2))),((_xlfn.WEIBULL.DIST(AQ$2,$M102,$L102,FALSE)*($T102*(1-$F102)+$S102*(1-$G102))*((1+Inputs!$D$7)^AQ$2))))))</f>
        <v>0</v>
      </c>
      <c r="AR102" s="88">
        <f>$E102*IF(AR$2&gt;Inputs!$D$5,0,IF(AR$2&gt;VLOOKUP($H102,Lists!$P$3:$Q$7,2),IF($N102=Lists!$K$3,IF($L102&lt;1,(($U102/$L102)*((1+Inputs!$D$7)^AR$2)),((INT(AR$2/$L102)-INT((AR$2-1)/$L102))*$U102*((1+Inputs!$D$7)^AR$2))),(_xlfn.WEIBULL.DIST(AR$2,$M102,$L102,FALSE)*$U102*((1+Inputs!$D$7)^AR$2))),IF($N102=Lists!$K$3,IF($L102&lt;1,((($T102*(1-$F102)+$S102*(1-$G102))/$L102)*((1+Inputs!$D$7)^AR$2)),((INT(AR$2/$L102)-INT((AR$2-1)/$L102))*($T102*(1-$F102)+$S102*(1-$G102))*((1+Inputs!$D$7)^AR$2))),((_xlfn.WEIBULL.DIST(AR$2,$M102,$L102,FALSE)*($T102*(1-$F102)+$S102*(1-$G102))*((1+Inputs!$D$7)^AR$2))))))</f>
        <v>0</v>
      </c>
      <c r="AS102" s="88">
        <f>$E102*IF(AS$2&gt;Inputs!$D$5,0,IF(AS$2&gt;VLOOKUP($H102,Lists!$P$3:$Q$7,2),IF($N102=Lists!$K$3,IF($L102&lt;1,(($U102/$L102)*((1+Inputs!$D$7)^AS$2)),((INT(AS$2/$L102)-INT((AS$2-1)/$L102))*$U102*((1+Inputs!$D$7)^AS$2))),(_xlfn.WEIBULL.DIST(AS$2,$M102,$L102,FALSE)*$U102*((1+Inputs!$D$7)^AS$2))),IF($N102=Lists!$K$3,IF($L102&lt;1,((($T102*(1-$F102)+$S102*(1-$G102))/$L102)*((1+Inputs!$D$7)^AS$2)),((INT(AS$2/$L102)-INT((AS$2-1)/$L102))*($T102*(1-$F102)+$S102*(1-$G102))*((1+Inputs!$D$7)^AS$2))),((_xlfn.WEIBULL.DIST(AS$2,$M102,$L102,FALSE)*($T102*(1-$F102)+$S102*(1-$G102))*((1+Inputs!$D$7)^AS$2))))))</f>
        <v>0</v>
      </c>
      <c r="AT102" s="88">
        <f>$E102*IF(AT$2&gt;Inputs!$D$5,0,IF(AT$2&gt;VLOOKUP($H102,Lists!$P$3:$Q$7,2),IF($N102=Lists!$K$3,IF($L102&lt;1,(($U102/$L102)*((1+Inputs!$D$7)^AT$2)),((INT(AT$2/$L102)-INT((AT$2-1)/$L102))*$U102*((1+Inputs!$D$7)^AT$2))),(_xlfn.WEIBULL.DIST(AT$2,$M102,$L102,FALSE)*$U102*((1+Inputs!$D$7)^AT$2))),IF($N102=Lists!$K$3,IF($L102&lt;1,((($T102*(1-$F102)+$S102*(1-$G102))/$L102)*((1+Inputs!$D$7)^AT$2)),((INT(AT$2/$L102)-INT((AT$2-1)/$L102))*($T102*(1-$F102)+$S102*(1-$G102))*((1+Inputs!$D$7)^AT$2))),((_xlfn.WEIBULL.DIST(AT$2,$M102,$L102,FALSE)*($T102*(1-$F102)+$S102*(1-$G102))*((1+Inputs!$D$7)^AT$2))))))</f>
        <v>672.33029719676347</v>
      </c>
      <c r="AU102" s="88">
        <f>$E102*IF(AU$2&gt;Inputs!$D$5,0,IF(AU$2&gt;VLOOKUP($H102,Lists!$P$3:$Q$7,2),IF($N102=Lists!$K$3,IF($L102&lt;1,(($U102/$L102)*((1+Inputs!$D$7)^AU$2)),((INT(AU$2/$L102)-INT((AU$2-1)/$L102))*$U102*((1+Inputs!$D$7)^AU$2))),(_xlfn.WEIBULL.DIST(AU$2,$M102,$L102,FALSE)*$U102*((1+Inputs!$D$7)^AU$2))),IF($N102=Lists!$K$3,IF($L102&lt;1,((($T102*(1-$F102)+$S102*(1-$G102))/$L102)*((1+Inputs!$D$7)^AU$2)),((INT(AU$2/$L102)-INT((AU$2-1)/$L102))*($T102*(1-$F102)+$S102*(1-$G102))*((1+Inputs!$D$7)^AU$2))),((_xlfn.WEIBULL.DIST(AU$2,$M102,$L102,FALSE)*($T102*(1-$F102)+$S102*(1-$G102))*((1+Inputs!$D$7)^AU$2))))))</f>
        <v>0</v>
      </c>
      <c r="AV102" s="88">
        <f>$E102*IF(AV$2&gt;Inputs!$D$5,0,IF(AV$2&gt;VLOOKUP($H102,Lists!$P$3:$Q$7,2),IF($N102=Lists!$K$3,IF($L102&lt;1,(($U102/$L102)*((1+Inputs!$D$7)^AV$2)),((INT(AV$2/$L102)-INT((AV$2-1)/$L102))*$U102*((1+Inputs!$D$7)^AV$2))),(_xlfn.WEIBULL.DIST(AV$2,$M102,$L102,FALSE)*$U102*((1+Inputs!$D$7)^AV$2))),IF($N102=Lists!$K$3,IF($L102&lt;1,((($T102*(1-$F102)+$S102*(1-$G102))/$L102)*((1+Inputs!$D$7)^AV$2)),((INT(AV$2/$L102)-INT((AV$2-1)/$L102))*($T102*(1-$F102)+$S102*(1-$G102))*((1+Inputs!$D$7)^AV$2))),((_xlfn.WEIBULL.DIST(AV$2,$M102,$L102,FALSE)*($T102*(1-$F102)+$S102*(1-$G102))*((1+Inputs!$D$7)^AV$2))))))</f>
        <v>0</v>
      </c>
      <c r="AW102" s="88">
        <f>$E102*IF(AW$2&gt;Inputs!$D$5,0,IF(AW$2&gt;VLOOKUP($H102,Lists!$P$3:$Q$7,2),IF($N102=Lists!$K$3,IF($L102&lt;1,(($U102/$L102)*((1+Inputs!$D$7)^AW$2)),((INT(AW$2/$L102)-INT((AW$2-1)/$L102))*$U102*((1+Inputs!$D$7)^AW$2))),(_xlfn.WEIBULL.DIST(AW$2,$M102,$L102,FALSE)*$U102*((1+Inputs!$D$7)^AW$2))),IF($N102=Lists!$K$3,IF($L102&lt;1,((($T102*(1-$F102)+$S102*(1-$G102))/$L102)*((1+Inputs!$D$7)^AW$2)),((INT(AW$2/$L102)-INT((AW$2-1)/$L102))*($T102*(1-$F102)+$S102*(1-$G102))*((1+Inputs!$D$7)^AW$2))),((_xlfn.WEIBULL.DIST(AW$2,$M102,$L102,FALSE)*($T102*(1-$F102)+$S102*(1-$G102))*((1+Inputs!$D$7)^AW$2))))))</f>
        <v>0</v>
      </c>
      <c r="AX102" s="88">
        <f>$E102*IF(AX$2&gt;Inputs!$D$5,0,IF(AX$2&gt;VLOOKUP($H102,Lists!$P$3:$Q$7,2),IF($N102=Lists!$K$3,IF($L102&lt;1,(($U102/$L102)*((1+Inputs!$D$7)^AX$2)),((INT(AX$2/$L102)-INT((AX$2-1)/$L102))*$U102*((1+Inputs!$D$7)^AX$2))),(_xlfn.WEIBULL.DIST(AX$2,$M102,$L102,FALSE)*$U102*((1+Inputs!$D$7)^AX$2))),IF($N102=Lists!$K$3,IF($L102&lt;1,((($T102*(1-$F102)+$S102*(1-$G102))/$L102)*((1+Inputs!$D$7)^AX$2)),((INT(AX$2/$L102)-INT((AX$2-1)/$L102))*($T102*(1-$F102)+$S102*(1-$G102))*((1+Inputs!$D$7)^AX$2))),((_xlfn.WEIBULL.DIST(AX$2,$M102,$L102,FALSE)*($T102*(1-$F102)+$S102*(1-$G102))*((1+Inputs!$D$7)^AX$2))))))</f>
        <v>0</v>
      </c>
      <c r="AY102" s="88">
        <f>$E102*IF(AY$2&gt;Inputs!$D$5,0,IF(AY$2&gt;VLOOKUP($H102,Lists!$P$3:$Q$7,2),IF($N102=Lists!$K$3,IF($L102&lt;1,(($U102/$L102)*((1+Inputs!$D$7)^AY$2)),((INT(AY$2/$L102)-INT((AY$2-1)/$L102))*$U102*((1+Inputs!$D$7)^AY$2))),(_xlfn.WEIBULL.DIST(AY$2,$M102,$L102,FALSE)*$U102*((1+Inputs!$D$7)^AY$2))),IF($N102=Lists!$K$3,IF($L102&lt;1,((($T102*(1-$F102)+$S102*(1-$G102))/$L102)*((1+Inputs!$D$7)^AY$2)),((INT(AY$2/$L102)-INT((AY$2-1)/$L102))*($T102*(1-$F102)+$S102*(1-$G102))*((1+Inputs!$D$7)^AY$2))),((_xlfn.WEIBULL.DIST(AY$2,$M102,$L102,FALSE)*($T102*(1-$F102)+$S102*(1-$G102))*((1+Inputs!$D$7)^AY$2))))))</f>
        <v>742.30697454469725</v>
      </c>
      <c r="AZ102" s="88">
        <f>$E102*IF(AZ$2&gt;Inputs!$D$5,0,IF(AZ$2&gt;VLOOKUP($H102,Lists!$P$3:$Q$7,2),IF($N102=Lists!$K$3,IF($L102&lt;1,(($U102/$L102)*((1+Inputs!$D$7)^AZ$2)),((INT(AZ$2/$L102)-INT((AZ$2-1)/$L102))*$U102*((1+Inputs!$D$7)^AZ$2))),(_xlfn.WEIBULL.DIST(AZ$2,$M102,$L102,FALSE)*$U102*((1+Inputs!$D$7)^AZ$2))),IF($N102=Lists!$K$3,IF($L102&lt;1,((($T102*(1-$F102)+$S102*(1-$G102))/$L102)*((1+Inputs!$D$7)^AZ$2)),((INT(AZ$2/$L102)-INT((AZ$2-1)/$L102))*($T102*(1-$F102)+$S102*(1-$G102))*((1+Inputs!$D$7)^AZ$2))),((_xlfn.WEIBULL.DIST(AZ$2,$M102,$L102,FALSE)*($T102*(1-$F102)+$S102*(1-$G102))*((1+Inputs!$D$7)^AZ$2))))))</f>
        <v>0</v>
      </c>
      <c r="BA102" s="88">
        <f>$E102*IF(BA$2&gt;Inputs!$D$5,0,IF(BA$2&gt;VLOOKUP($H102,Lists!$P$3:$Q$7,2),IF($N102=Lists!$K$3,IF($L102&lt;1,(($U102/$L102)*((1+Inputs!$D$7)^BA$2)),((INT(BA$2/$L102)-INT((BA$2-1)/$L102))*$U102*((1+Inputs!$D$7)^BA$2))),(_xlfn.WEIBULL.DIST(BA$2,$M102,$L102,FALSE)*$U102*((1+Inputs!$D$7)^BA$2))),IF($N102=Lists!$K$3,IF($L102&lt;1,((($T102*(1-$F102)+$S102*(1-$G102))/$L102)*((1+Inputs!$D$7)^BA$2)),((INT(BA$2/$L102)-INT((BA$2-1)/$L102))*($T102*(1-$F102)+$S102*(1-$G102))*((1+Inputs!$D$7)^BA$2))),((_xlfn.WEIBULL.DIST(BA$2,$M102,$L102,FALSE)*($T102*(1-$F102)+$S102*(1-$G102))*((1+Inputs!$D$7)^BA$2))))))</f>
        <v>0</v>
      </c>
      <c r="BB102" s="88">
        <f>$E102*IF(BB$2&gt;Inputs!$D$5,0,IF(BB$2&gt;VLOOKUP($H102,Lists!$P$3:$Q$7,2),IF($N102=Lists!$K$3,IF($L102&lt;1,(($U102/$L102)*((1+Inputs!$D$7)^BB$2)),((INT(BB$2/$L102)-INT((BB$2-1)/$L102))*$U102*((1+Inputs!$D$7)^BB$2))),(_xlfn.WEIBULL.DIST(BB$2,$M102,$L102,FALSE)*$U102*((1+Inputs!$D$7)^BB$2))),IF($N102=Lists!$K$3,IF($L102&lt;1,((($T102*(1-$F102)+$S102*(1-$G102))/$L102)*((1+Inputs!$D$7)^BB$2)),((INT(BB$2/$L102)-INT((BB$2-1)/$L102))*($T102*(1-$F102)+$S102*(1-$G102))*((1+Inputs!$D$7)^BB$2))),((_xlfn.WEIBULL.DIST(BB$2,$M102,$L102,FALSE)*($T102*(1-$F102)+$S102*(1-$G102))*((1+Inputs!$D$7)^BB$2))))))</f>
        <v>0</v>
      </c>
      <c r="BC102" s="88">
        <f>$E102*IF(BC$2&gt;Inputs!$D$5,0,IF(BC$2&gt;VLOOKUP($H102,Lists!$P$3:$Q$7,2),IF($N102=Lists!$K$3,IF($L102&lt;1,(($U102/$L102)*((1+Inputs!$D$7)^BC$2)),((INT(BC$2/$L102)-INT((BC$2-1)/$L102))*$U102*((1+Inputs!$D$7)^BC$2))),(_xlfn.WEIBULL.DIST(BC$2,$M102,$L102,FALSE)*$U102*((1+Inputs!$D$7)^BC$2))),IF($N102=Lists!$K$3,IF($L102&lt;1,((($T102*(1-$F102)+$S102*(1-$G102))/$L102)*((1+Inputs!$D$7)^BC$2)),((INT(BC$2/$L102)-INT((BC$2-1)/$L102))*($T102*(1-$F102)+$S102*(1-$G102))*((1+Inputs!$D$7)^BC$2))),((_xlfn.WEIBULL.DIST(BC$2,$M102,$L102,FALSE)*($T102*(1-$F102)+$S102*(1-$G102))*((1+Inputs!$D$7)^BC$2))))))</f>
        <v>0</v>
      </c>
      <c r="BD102" s="88">
        <f>$E102*IF(BD$2&gt;Inputs!$D$5,0,IF(BD$2&gt;VLOOKUP($H102,Lists!$P$3:$Q$7,2),IF($N102=Lists!$K$3,IF($L102&lt;1,(($U102/$L102)*((1+Inputs!$D$7)^BD$2)),((INT(BD$2/$L102)-INT((BD$2-1)/$L102))*$U102*((1+Inputs!$D$7)^BD$2))),(_xlfn.WEIBULL.DIST(BD$2,$M102,$L102,FALSE)*$U102*((1+Inputs!$D$7)^BD$2))),IF($N102=Lists!$K$3,IF($L102&lt;1,((($T102*(1-$F102)+$S102*(1-$G102))/$L102)*((1+Inputs!$D$7)^BD$2)),((INT(BD$2/$L102)-INT((BD$2-1)/$L102))*($T102*(1-$F102)+$S102*(1-$G102))*((1+Inputs!$D$7)^BD$2))),((_xlfn.WEIBULL.DIST(BD$2,$M102,$L102,FALSE)*($T102*(1-$F102)+$S102*(1-$G102))*((1+Inputs!$D$7)^BD$2))))))</f>
        <v>0</v>
      </c>
      <c r="BE102" s="88">
        <f>$E102*IF(BE$2&gt;Inputs!$D$5,0,IF(BE$2&gt;VLOOKUP($H102,Lists!$P$3:$Q$7,2),IF($N102=Lists!$K$3,IF($L102&lt;1,(($U102/$L102)*((1+Inputs!$D$7)^BE$2)),((INT(BE$2/$L102)-INT((BE$2-1)/$L102))*$U102*((1+Inputs!$D$7)^BE$2))),(_xlfn.WEIBULL.DIST(BE$2,$M102,$L102,FALSE)*$U102*((1+Inputs!$D$7)^BE$2))),IF($N102=Lists!$K$3,IF($L102&lt;1,((($T102*(1-$F102)+$S102*(1-$G102))/$L102)*((1+Inputs!$D$7)^BE$2)),((INT(BE$2/$L102)-INT((BE$2-1)/$L102))*($T102*(1-$F102)+$S102*(1-$G102))*((1+Inputs!$D$7)^BE$2))),((_xlfn.WEIBULL.DIST(BE$2,$M102,$L102,FALSE)*($T102*(1-$F102)+$S102*(1-$G102))*((1+Inputs!$D$7)^BE$2))))))</f>
        <v>0</v>
      </c>
      <c r="BF102" s="88">
        <f>$E102*IF(BF$2&gt;Inputs!$D$5,0,IF(BF$2&gt;VLOOKUP($H102,Lists!$P$3:$Q$7,2),IF($N102=Lists!$K$3,IF($L102&lt;1,(($U102/$L102)*((1+Inputs!$D$7)^BF$2)),((INT(BF$2/$L102)-INT((BF$2-1)/$L102))*$U102*((1+Inputs!$D$7)^BF$2))),(_xlfn.WEIBULL.DIST(BF$2,$M102,$L102,FALSE)*$U102*((1+Inputs!$D$7)^BF$2))),IF($N102=Lists!$K$3,IF($L102&lt;1,((($T102*(1-$F102)+$S102*(1-$G102))/$L102)*((1+Inputs!$D$7)^BF$2)),((INT(BF$2/$L102)-INT((BF$2-1)/$L102))*($T102*(1-$F102)+$S102*(1-$G102))*((1+Inputs!$D$7)^BF$2))),((_xlfn.WEIBULL.DIST(BF$2,$M102,$L102,FALSE)*($T102*(1-$F102)+$S102*(1-$G102))*((1+Inputs!$D$7)^BF$2))))))</f>
        <v>0</v>
      </c>
      <c r="BG102" s="88">
        <f>$E102*IF(BG$2&gt;Inputs!$D$5,0,IF(BG$2&gt;VLOOKUP($H102,Lists!$P$3:$Q$7,2),IF($N102=Lists!$K$3,IF($L102&lt;1,(($U102/$L102)*((1+Inputs!$D$7)^BG$2)),((INT(BG$2/$L102)-INT((BG$2-1)/$L102))*$U102*((1+Inputs!$D$7)^BG$2))),(_xlfn.WEIBULL.DIST(BG$2,$M102,$L102,FALSE)*$U102*((1+Inputs!$D$7)^BG$2))),IF($N102=Lists!$K$3,IF($L102&lt;1,((($T102*(1-$F102)+$S102*(1-$G102))/$L102)*((1+Inputs!$D$7)^BG$2)),((INT(BG$2/$L102)-INT((BG$2-1)/$L102))*($T102*(1-$F102)+$S102*(1-$G102))*((1+Inputs!$D$7)^BG$2))),((_xlfn.WEIBULL.DIST(BG$2,$M102,$L102,FALSE)*($T102*(1-$F102)+$S102*(1-$G102))*((1+Inputs!$D$7)^BG$2))))))</f>
        <v>0</v>
      </c>
      <c r="BH102" s="88">
        <f>$E102*IF(BH$2&gt;Inputs!$D$5,0,IF(BH$2&gt;VLOOKUP($H102,Lists!$P$3:$Q$7,2),IF($N102=Lists!$K$3,IF($L102&lt;1,(($U102/$L102)*((1+Inputs!$D$7)^BH$2)),((INT(BH$2/$L102)-INT((BH$2-1)/$L102))*$U102*((1+Inputs!$D$7)^BH$2))),(_xlfn.WEIBULL.DIST(BH$2,$M102,$L102,FALSE)*$U102*((1+Inputs!$D$7)^BH$2))),IF($N102=Lists!$K$3,IF($L102&lt;1,((($T102*(1-$F102)+$S102*(1-$G102))/$L102)*((1+Inputs!$D$7)^BH$2)),((INT(BH$2/$L102)-INT((BH$2-1)/$L102))*($T102*(1-$F102)+$S102*(1-$G102))*((1+Inputs!$D$7)^BH$2))),((_xlfn.WEIBULL.DIST(BH$2,$M102,$L102,FALSE)*($T102*(1-$F102)+$S102*(1-$G102))*((1+Inputs!$D$7)^BH$2))))))</f>
        <v>0</v>
      </c>
      <c r="BI102" s="88">
        <f>$E102*IF(BI$2&gt;Inputs!$D$5,0,IF(BI$2&gt;VLOOKUP($H102,Lists!$P$3:$Q$7,2),IF($N102=Lists!$K$3,IF($L102&lt;1,(($U102/$L102)*((1+Inputs!$D$7)^BI$2)),((INT(BI$2/$L102)-INT((BI$2-1)/$L102))*$U102*((1+Inputs!$D$7)^BI$2))),(_xlfn.WEIBULL.DIST(BI$2,$M102,$L102,FALSE)*$U102*((1+Inputs!$D$7)^BI$2))),IF($N102=Lists!$K$3,IF($L102&lt;1,((($T102*(1-$F102)+$S102*(1-$G102))/$L102)*((1+Inputs!$D$7)^BI$2)),((INT(BI$2/$L102)-INT((BI$2-1)/$L102))*($T102*(1-$F102)+$S102*(1-$G102))*((1+Inputs!$D$7)^BI$2))),((_xlfn.WEIBULL.DIST(BI$2,$M102,$L102,FALSE)*($T102*(1-$F102)+$S102*(1-$G102))*((1+Inputs!$D$7)^BI$2))))))</f>
        <v>0</v>
      </c>
      <c r="BJ102" s="88">
        <f>$E102*IF(BJ$2&gt;Inputs!$D$5,0,IF(BJ$2&gt;VLOOKUP($H102,Lists!$P$3:$Q$7,2),IF($N102=Lists!$K$3,IF($L102&lt;1,(($U102/$L102)*((1+Inputs!$D$7)^BJ$2)),((INT(BJ$2/$L102)-INT((BJ$2-1)/$L102))*$U102*((1+Inputs!$D$7)^BJ$2))),(_xlfn.WEIBULL.DIST(BJ$2,$M102,$L102,FALSE)*$U102*((1+Inputs!$D$7)^BJ$2))),IF($N102=Lists!$K$3,IF($L102&lt;1,((($T102*(1-$F102)+$S102*(1-$G102))/$L102)*((1+Inputs!$D$7)^BJ$2)),((INT(BJ$2/$L102)-INT((BJ$2-1)/$L102))*($T102*(1-$F102)+$S102*(1-$G102))*((1+Inputs!$D$7)^BJ$2))),((_xlfn.WEIBULL.DIST(BJ$2,$M102,$L102,FALSE)*($T102*(1-$F102)+$S102*(1-$G102))*((1+Inputs!$D$7)^BJ$2))))))</f>
        <v>0</v>
      </c>
      <c r="BK102" s="88">
        <f>$E102*IF(BK$2&gt;Inputs!$D$5,0,IF(BK$2&gt;VLOOKUP($H102,Lists!$P$3:$Q$7,2),IF($N102=Lists!$K$3,IF($L102&lt;1,(($U102/$L102)*((1+Inputs!$D$7)^BK$2)),((INT(BK$2/$L102)-INT((BK$2-1)/$L102))*$U102*((1+Inputs!$D$7)^BK$2))),(_xlfn.WEIBULL.DIST(BK$2,$M102,$L102,FALSE)*$U102*((1+Inputs!$D$7)^BK$2))),IF($N102=Lists!$K$3,IF($L102&lt;1,((($T102*(1-$F102)+$S102*(1-$G102))/$L102)*((1+Inputs!$D$7)^BK$2)),((INT(BK$2/$L102)-INT((BK$2-1)/$L102))*($T102*(1-$F102)+$S102*(1-$G102))*((1+Inputs!$D$7)^BK$2))),((_xlfn.WEIBULL.DIST(BK$2,$M102,$L102,FALSE)*($T102*(1-$F102)+$S102*(1-$G102))*((1+Inputs!$D$7)^BK$2))))))</f>
        <v>0</v>
      </c>
      <c r="BL102" s="88">
        <f>$E102*IF(BL$2&gt;Inputs!$D$5,0,IF(BL$2&gt;VLOOKUP($H102,Lists!$P$3:$Q$7,2),IF($N102=Lists!$K$3,IF($L102&lt;1,(($U102/$L102)*((1+Inputs!$D$7)^BL$2)),((INT(BL$2/$L102)-INT((BL$2-1)/$L102))*$U102*((1+Inputs!$D$7)^BL$2))),(_xlfn.WEIBULL.DIST(BL$2,$M102,$L102,FALSE)*$U102*((1+Inputs!$D$7)^BL$2))),IF($N102=Lists!$K$3,IF($L102&lt;1,((($T102*(1-$F102)+$S102*(1-$G102))/$L102)*((1+Inputs!$D$7)^BL$2)),((INT(BL$2/$L102)-INT((BL$2-1)/$L102))*($T102*(1-$F102)+$S102*(1-$G102))*((1+Inputs!$D$7)^BL$2))),((_xlfn.WEIBULL.DIST(BL$2,$M102,$L102,FALSE)*($T102*(1-$F102)+$S102*(1-$G102))*((1+Inputs!$D$7)^BL$2))))))</f>
        <v>0</v>
      </c>
      <c r="BM102" s="88">
        <f>$E102*IF(BM$2&gt;Inputs!$D$5,0,IF(BM$2&gt;VLOOKUP($H102,Lists!$P$3:$Q$7,2),IF($N102=Lists!$K$3,IF($L102&lt;1,(($U102/$L102)*((1+Inputs!$D$7)^BM$2)),((INT(BM$2/$L102)-INT((BM$2-1)/$L102))*$U102*((1+Inputs!$D$7)^BM$2))),(_xlfn.WEIBULL.DIST(BM$2,$M102,$L102,FALSE)*$U102*((1+Inputs!$D$7)^BM$2))),IF($N102=Lists!$K$3,IF($L102&lt;1,((($T102*(1-$F102)+$S102*(1-$G102))/$L102)*((1+Inputs!$D$7)^BM$2)),((INT(BM$2/$L102)-INT((BM$2-1)/$L102))*($T102*(1-$F102)+$S102*(1-$G102))*((1+Inputs!$D$7)^BM$2))),((_xlfn.WEIBULL.DIST(BM$2,$M102,$L102,FALSE)*($T102*(1-$F102)+$S102*(1-$G102))*((1+Inputs!$D$7)^BM$2))))))</f>
        <v>0</v>
      </c>
      <c r="BN102" s="88">
        <f>$E102*IF(BN$2&gt;Inputs!$D$5,0,IF(BN$2&gt;VLOOKUP($H102,Lists!$P$3:$Q$7,2),IF($N102=Lists!$K$3,IF($L102&lt;1,(($U102/$L102)*((1+Inputs!$D$7)^BN$2)),((INT(BN$2/$L102)-INT((BN$2-1)/$L102))*$U102*((1+Inputs!$D$7)^BN$2))),(_xlfn.WEIBULL.DIST(BN$2,$M102,$L102,FALSE)*$U102*((1+Inputs!$D$7)^BN$2))),IF($N102=Lists!$K$3,IF($L102&lt;1,((($T102*(1-$F102)+$S102*(1-$G102))/$L102)*((1+Inputs!$D$7)^BN$2)),((INT(BN$2/$L102)-INT((BN$2-1)/$L102))*($T102*(1-$F102)+$S102*(1-$G102))*((1+Inputs!$D$7)^BN$2))),((_xlfn.WEIBULL.DIST(BN$2,$M102,$L102,FALSE)*($T102*(1-$F102)+$S102*(1-$G102))*((1+Inputs!$D$7)^BN$2))))))</f>
        <v>0</v>
      </c>
      <c r="BO102" s="64">
        <f>NPV(Inputs!$D$6,BQ102:DD102)</f>
        <v>1167.7746756279414</v>
      </c>
      <c r="BP102" s="67">
        <f t="shared" si="27"/>
        <v>5.5077954861249641E-4</v>
      </c>
      <c r="BQ102" s="88">
        <f>MAX(AA102,($E102*IF(BQ$2&gt;Inputs!$D$5,0,IF(BQ$2&gt;VLOOKUP($H102,Lists!$P$3:$Q$7,2),IF($N102=Lists!$K$3,IF($L102&lt;1,(($U102/$L102)*((1+Inputs!$D$7)^BQ$2)),((INT(BQ$2/$L102)-INT((BQ$2-1)/$L102))*$U102*((1+Inputs!$D$7)^BQ$2))),(Inputs!$D$8^((1-_xlfn.WEIBULL.DIST(BQ$2,$M102,$L102,FALSE))/_xlfn.WEIBULL.DIST(BQ$2,$M102,$L102,FALSE))*$U102*((1+Inputs!$D$7)^BQ$2))),IF($N102=Lists!$K$3,IF($L102&lt;1,((($T102*(1-$F102)+$S102*(1-$G102))/$L102)*((1+Inputs!$D$7)^BQ$2)),((INT(BQ$2/$L102)-INT((BQ$2-1)/$L102))*($T102*(1-$F102)+$S102*(1-$G102))*((1+Inputs!$D$7)^BQ$2))),((Inputs!$D$8^((1-_xlfn.WEIBULL.DIST(BQ$2,$M102,$L102,FALSE))/_xlfn.WEIBULL.DIST(BQ$2,$M102,$L102,FALSE))*($T102*(1-$F102)+$S102*(1-$G102))*((1+Inputs!$D$7)^BQ$2))))))))</f>
        <v>0</v>
      </c>
      <c r="BR102" s="88">
        <f>MAX(AB102,($E102*IF(BR$2&gt;Inputs!$D$5,0,IF(BR$2&gt;VLOOKUP($H102,Lists!$P$3:$Q$7,2),IF($N102=Lists!$K$3,IF($L102&lt;1,(($U102/$L102)*((1+Inputs!$D$7)^BR$2)),((INT(BR$2/$L102)-INT((BR$2-1)/$L102))*$U102*((1+Inputs!$D$7)^BR$2))),(Inputs!$D$8^((1-_xlfn.WEIBULL.DIST(BR$2,$M102,$L102,FALSE))/_xlfn.WEIBULL.DIST(BR$2,$M102,$L102,FALSE))*$U102*((1+Inputs!$D$7)^BR$2))),IF($N102=Lists!$K$3,IF($L102&lt;1,((($T102*(1-$F102)+$S102*(1-$G102))/$L102)*((1+Inputs!$D$7)^BR$2)),((INT(BR$2/$L102)-INT((BR$2-1)/$L102))*($T102*(1-$F102)+$S102*(1-$G102))*((1+Inputs!$D$7)^BR$2))),((Inputs!$D$8^((1-_xlfn.WEIBULL.DIST(BR$2,$M102,$L102,FALSE))/_xlfn.WEIBULL.DIST(BR$2,$M102,$L102,FALSE))*($T102*(1-$F102)+$S102*(1-$G102))*((1+Inputs!$D$7)^BR$2))))))))</f>
        <v>0</v>
      </c>
      <c r="BS102" s="88">
        <f>MAX(AC102,($E102*IF(BS$2&gt;Inputs!$D$5,0,IF(BS$2&gt;VLOOKUP($H102,Lists!$P$3:$Q$7,2),IF($N102=Lists!$K$3,IF($L102&lt;1,(($U102/$L102)*((1+Inputs!$D$7)^BS$2)),((INT(BS$2/$L102)-INT((BS$2-1)/$L102))*$U102*((1+Inputs!$D$7)^BS$2))),(Inputs!$D$8^((1-_xlfn.WEIBULL.DIST(BS$2,$M102,$L102,FALSE))/_xlfn.WEIBULL.DIST(BS$2,$M102,$L102,FALSE))*$U102*((1+Inputs!$D$7)^BS$2))),IF($N102=Lists!$K$3,IF($L102&lt;1,((($T102*(1-$F102)+$S102*(1-$G102))/$L102)*((1+Inputs!$D$7)^BS$2)),((INT(BS$2/$L102)-INT((BS$2-1)/$L102))*($T102*(1-$F102)+$S102*(1-$G102))*((1+Inputs!$D$7)^BS$2))),((Inputs!$D$8^((1-_xlfn.WEIBULL.DIST(BS$2,$M102,$L102,FALSE))/_xlfn.WEIBULL.DIST(BS$2,$M102,$L102,FALSE))*($T102*(1-$F102)+$S102*(1-$G102))*((1+Inputs!$D$7)^BS$2))))))))</f>
        <v>0</v>
      </c>
      <c r="BT102" s="88">
        <f>MAX(AD102,($E102*IF(BT$2&gt;Inputs!$D$5,0,IF(BT$2&gt;VLOOKUP($H102,Lists!$P$3:$Q$7,2),IF($N102=Lists!$K$3,IF($L102&lt;1,(($U102/$L102)*((1+Inputs!$D$7)^BT$2)),((INT(BT$2/$L102)-INT((BT$2-1)/$L102))*$U102*((1+Inputs!$D$7)^BT$2))),(Inputs!$D$8^((1-_xlfn.WEIBULL.DIST(BT$2,$M102,$L102,FALSE))/_xlfn.WEIBULL.DIST(BT$2,$M102,$L102,FALSE))*$U102*((1+Inputs!$D$7)^BT$2))),IF($N102=Lists!$K$3,IF($L102&lt;1,((($T102*(1-$F102)+$S102*(1-$G102))/$L102)*((1+Inputs!$D$7)^BT$2)),((INT(BT$2/$L102)-INT((BT$2-1)/$L102))*($T102*(1-$F102)+$S102*(1-$G102))*((1+Inputs!$D$7)^BT$2))),((Inputs!$D$8^((1-_xlfn.WEIBULL.DIST(BT$2,$M102,$L102,FALSE))/_xlfn.WEIBULL.DIST(BT$2,$M102,$L102,FALSE))*($T102*(1-$F102)+$S102*(1-$G102))*((1+Inputs!$D$7)^BT$2))))))))</f>
        <v>0</v>
      </c>
      <c r="BU102" s="88">
        <f>MAX(AE102,($E102*IF(BU$2&gt;Inputs!$D$5,0,IF(BU$2&gt;VLOOKUP($H102,Lists!$P$3:$Q$7,2),IF($N102=Lists!$K$3,IF($L102&lt;1,(($U102/$L102)*((1+Inputs!$D$7)^BU$2)),((INT(BU$2/$L102)-INT((BU$2-1)/$L102))*$U102*((1+Inputs!$D$7)^BU$2))),(Inputs!$D$8^((1-_xlfn.WEIBULL.DIST(BU$2,$M102,$L102,FALSE))/_xlfn.WEIBULL.DIST(BU$2,$M102,$L102,FALSE))*$U102*((1+Inputs!$D$7)^BU$2))),IF($N102=Lists!$K$3,IF($L102&lt;1,((($T102*(1-$F102)+$S102*(1-$G102))/$L102)*((1+Inputs!$D$7)^BU$2)),((INT(BU$2/$L102)-INT((BU$2-1)/$L102))*($T102*(1-$F102)+$S102*(1-$G102))*((1+Inputs!$D$7)^BU$2))),((Inputs!$D$8^((1-_xlfn.WEIBULL.DIST(BU$2,$M102,$L102,FALSE))/_xlfn.WEIBULL.DIST(BU$2,$M102,$L102,FALSE))*($T102*(1-$F102)+$S102*(1-$G102))*((1+Inputs!$D$7)^BU$2))))))))</f>
        <v>499.5513142347541</v>
      </c>
      <c r="BV102" s="88">
        <f>MAX(AF102,($E102*IF(BV$2&gt;Inputs!$D$5,0,IF(BV$2&gt;VLOOKUP($H102,Lists!$P$3:$Q$7,2),IF($N102=Lists!$K$3,IF($L102&lt;1,(($U102/$L102)*((1+Inputs!$D$7)^BV$2)),((INT(BV$2/$L102)-INT((BV$2-1)/$L102))*$U102*((1+Inputs!$D$7)^BV$2))),(Inputs!$D$8^((1-_xlfn.WEIBULL.DIST(BV$2,$M102,$L102,FALSE))/_xlfn.WEIBULL.DIST(BV$2,$M102,$L102,FALSE))*$U102*((1+Inputs!$D$7)^BV$2))),IF($N102=Lists!$K$3,IF($L102&lt;1,((($T102*(1-$F102)+$S102*(1-$G102))/$L102)*((1+Inputs!$D$7)^BV$2)),((INT(BV$2/$L102)-INT((BV$2-1)/$L102))*($T102*(1-$F102)+$S102*(1-$G102))*((1+Inputs!$D$7)^BV$2))),((Inputs!$D$8^((1-_xlfn.WEIBULL.DIST(BV$2,$M102,$L102,FALSE))/_xlfn.WEIBULL.DIST(BV$2,$M102,$L102,FALSE))*($T102*(1-$F102)+$S102*(1-$G102))*((1+Inputs!$D$7)^BV$2))))))))</f>
        <v>0</v>
      </c>
      <c r="BW102" s="88">
        <f>MAX(AG102,($E102*IF(BW$2&gt;Inputs!$D$5,0,IF(BW$2&gt;VLOOKUP($H102,Lists!$P$3:$Q$7,2),IF($N102=Lists!$K$3,IF($L102&lt;1,(($U102/$L102)*((1+Inputs!$D$7)^BW$2)),((INT(BW$2/$L102)-INT((BW$2-1)/$L102))*$U102*((1+Inputs!$D$7)^BW$2))),(Inputs!$D$8^((1-_xlfn.WEIBULL.DIST(BW$2,$M102,$L102,FALSE))/_xlfn.WEIBULL.DIST(BW$2,$M102,$L102,FALSE))*$U102*((1+Inputs!$D$7)^BW$2))),IF($N102=Lists!$K$3,IF($L102&lt;1,((($T102*(1-$F102)+$S102*(1-$G102))/$L102)*((1+Inputs!$D$7)^BW$2)),((INT(BW$2/$L102)-INT((BW$2-1)/$L102))*($T102*(1-$F102)+$S102*(1-$G102))*((1+Inputs!$D$7)^BW$2))),((Inputs!$D$8^((1-_xlfn.WEIBULL.DIST(BW$2,$M102,$L102,FALSE))/_xlfn.WEIBULL.DIST(BW$2,$M102,$L102,FALSE))*($T102*(1-$F102)+$S102*(1-$G102))*((1+Inputs!$D$7)^BW$2))))))))</f>
        <v>0</v>
      </c>
      <c r="BX102" s="88">
        <f>MAX(AH102,($E102*IF(BX$2&gt;Inputs!$D$5,0,IF(BX$2&gt;VLOOKUP($H102,Lists!$P$3:$Q$7,2),IF($N102=Lists!$K$3,IF($L102&lt;1,(($U102/$L102)*((1+Inputs!$D$7)^BX$2)),((INT(BX$2/$L102)-INT((BX$2-1)/$L102))*$U102*((1+Inputs!$D$7)^BX$2))),(Inputs!$D$8^((1-_xlfn.WEIBULL.DIST(BX$2,$M102,$L102,FALSE))/_xlfn.WEIBULL.DIST(BX$2,$M102,$L102,FALSE))*$U102*((1+Inputs!$D$7)^BX$2))),IF($N102=Lists!$K$3,IF($L102&lt;1,((($T102*(1-$F102)+$S102*(1-$G102))/$L102)*((1+Inputs!$D$7)^BX$2)),((INT(BX$2/$L102)-INT((BX$2-1)/$L102))*($T102*(1-$F102)+$S102*(1-$G102))*((1+Inputs!$D$7)^BX$2))),((Inputs!$D$8^((1-_xlfn.WEIBULL.DIST(BX$2,$M102,$L102,FALSE))/_xlfn.WEIBULL.DIST(BX$2,$M102,$L102,FALSE))*($T102*(1-$F102)+$S102*(1-$G102))*((1+Inputs!$D$7)^BX$2))))))))</f>
        <v>0</v>
      </c>
      <c r="BY102" s="88">
        <f>MAX(AI102,($E102*IF(BY$2&gt;Inputs!$D$5,0,IF(BY$2&gt;VLOOKUP($H102,Lists!$P$3:$Q$7,2),IF($N102=Lists!$K$3,IF($L102&lt;1,(($U102/$L102)*((1+Inputs!$D$7)^BY$2)),((INT(BY$2/$L102)-INT((BY$2-1)/$L102))*$U102*((1+Inputs!$D$7)^BY$2))),(Inputs!$D$8^((1-_xlfn.WEIBULL.DIST(BY$2,$M102,$L102,FALSE))/_xlfn.WEIBULL.DIST(BY$2,$M102,$L102,FALSE))*$U102*((1+Inputs!$D$7)^BY$2))),IF($N102=Lists!$K$3,IF($L102&lt;1,((($T102*(1-$F102)+$S102*(1-$G102))/$L102)*((1+Inputs!$D$7)^BY$2)),((INT(BY$2/$L102)-INT((BY$2-1)/$L102))*($T102*(1-$F102)+$S102*(1-$G102))*((1+Inputs!$D$7)^BY$2))),((Inputs!$D$8^((1-_xlfn.WEIBULL.DIST(BY$2,$M102,$L102,FALSE))/_xlfn.WEIBULL.DIST(BY$2,$M102,$L102,FALSE))*($T102*(1-$F102)+$S102*(1-$G102))*((1+Inputs!$D$7)^BY$2))))))))</f>
        <v>0</v>
      </c>
      <c r="BZ102" s="88">
        <f>MAX(AJ102,($E102*IF(BZ$2&gt;Inputs!$D$5,0,IF(BZ$2&gt;VLOOKUP($H102,Lists!$P$3:$Q$7,2),IF($N102=Lists!$K$3,IF($L102&lt;1,(($U102/$L102)*((1+Inputs!$D$7)^BZ$2)),((INT(BZ$2/$L102)-INT((BZ$2-1)/$L102))*$U102*((1+Inputs!$D$7)^BZ$2))),(Inputs!$D$8^((1-_xlfn.WEIBULL.DIST(BZ$2,$M102,$L102,FALSE))/_xlfn.WEIBULL.DIST(BZ$2,$M102,$L102,FALSE))*$U102*((1+Inputs!$D$7)^BZ$2))),IF($N102=Lists!$K$3,IF($L102&lt;1,((($T102*(1-$F102)+$S102*(1-$G102))/$L102)*((1+Inputs!$D$7)^BZ$2)),((INT(BZ$2/$L102)-INT((BZ$2-1)/$L102))*($T102*(1-$F102)+$S102*(1-$G102))*((1+Inputs!$D$7)^BZ$2))),((Inputs!$D$8^((1-_xlfn.WEIBULL.DIST(BZ$2,$M102,$L102,FALSE))/_xlfn.WEIBULL.DIST(BZ$2,$M102,$L102,FALSE))*($T102*(1-$F102)+$S102*(1-$G102))*((1+Inputs!$D$7)^BZ$2))))))))</f>
        <v>551.54501625992282</v>
      </c>
      <c r="CA102" s="88">
        <f>MAX(AK102,($E102*IF(CA$2&gt;Inputs!$D$5,0,IF(CA$2&gt;VLOOKUP($H102,Lists!$P$3:$Q$7,2),IF($N102=Lists!$K$3,IF($L102&lt;1,(($U102/$L102)*((1+Inputs!$D$7)^CA$2)),((INT(CA$2/$L102)-INT((CA$2-1)/$L102))*$U102*((1+Inputs!$D$7)^CA$2))),(Inputs!$D$8^((1-_xlfn.WEIBULL.DIST(CA$2,$M102,$L102,FALSE))/_xlfn.WEIBULL.DIST(CA$2,$M102,$L102,FALSE))*$U102*((1+Inputs!$D$7)^CA$2))),IF($N102=Lists!$K$3,IF($L102&lt;1,((($T102*(1-$F102)+$S102*(1-$G102))/$L102)*((1+Inputs!$D$7)^CA$2)),((INT(CA$2/$L102)-INT((CA$2-1)/$L102))*($T102*(1-$F102)+$S102*(1-$G102))*((1+Inputs!$D$7)^CA$2))),((Inputs!$D$8^((1-_xlfn.WEIBULL.DIST(CA$2,$M102,$L102,FALSE))/_xlfn.WEIBULL.DIST(CA$2,$M102,$L102,FALSE))*($T102*(1-$F102)+$S102*(1-$G102))*((1+Inputs!$D$7)^CA$2))))))))</f>
        <v>0</v>
      </c>
      <c r="CB102" s="88">
        <f>MAX(AL102,($E102*IF(CB$2&gt;Inputs!$D$5,0,IF(CB$2&gt;VLOOKUP($H102,Lists!$P$3:$Q$7,2),IF($N102=Lists!$K$3,IF($L102&lt;1,(($U102/$L102)*((1+Inputs!$D$7)^CB$2)),((INT(CB$2/$L102)-INT((CB$2-1)/$L102))*$U102*((1+Inputs!$D$7)^CB$2))),(Inputs!$D$8^((1-_xlfn.WEIBULL.DIST(CB$2,$M102,$L102,FALSE))/_xlfn.WEIBULL.DIST(CB$2,$M102,$L102,FALSE))*$U102*((1+Inputs!$D$7)^CB$2))),IF($N102=Lists!$K$3,IF($L102&lt;1,((($T102*(1-$F102)+$S102*(1-$G102))/$L102)*((1+Inputs!$D$7)^CB$2)),((INT(CB$2/$L102)-INT((CB$2-1)/$L102))*($T102*(1-$F102)+$S102*(1-$G102))*((1+Inputs!$D$7)^CB$2))),((Inputs!$D$8^((1-_xlfn.WEIBULL.DIST(CB$2,$M102,$L102,FALSE))/_xlfn.WEIBULL.DIST(CB$2,$M102,$L102,FALSE))*($T102*(1-$F102)+$S102*(1-$G102))*((1+Inputs!$D$7)^CB$2))))))))</f>
        <v>0</v>
      </c>
      <c r="CC102" s="88">
        <f>MAX(AM102,($E102*IF(CC$2&gt;Inputs!$D$5,0,IF(CC$2&gt;VLOOKUP($H102,Lists!$P$3:$Q$7,2),IF($N102=Lists!$K$3,IF($L102&lt;1,(($U102/$L102)*((1+Inputs!$D$7)^CC$2)),((INT(CC$2/$L102)-INT((CC$2-1)/$L102))*$U102*((1+Inputs!$D$7)^CC$2))),(Inputs!$D$8^((1-_xlfn.WEIBULL.DIST(CC$2,$M102,$L102,FALSE))/_xlfn.WEIBULL.DIST(CC$2,$M102,$L102,FALSE))*$U102*((1+Inputs!$D$7)^CC$2))),IF($N102=Lists!$K$3,IF($L102&lt;1,((($T102*(1-$F102)+$S102*(1-$G102))/$L102)*((1+Inputs!$D$7)^CC$2)),((INT(CC$2/$L102)-INT((CC$2-1)/$L102))*($T102*(1-$F102)+$S102*(1-$G102))*((1+Inputs!$D$7)^CC$2))),((Inputs!$D$8^((1-_xlfn.WEIBULL.DIST(CC$2,$M102,$L102,FALSE))/_xlfn.WEIBULL.DIST(CC$2,$M102,$L102,FALSE))*($T102*(1-$F102)+$S102*(1-$G102))*((1+Inputs!$D$7)^CC$2))))))))</f>
        <v>0</v>
      </c>
      <c r="CD102" s="88">
        <f>MAX(AN102,($E102*IF(CD$2&gt;Inputs!$D$5,0,IF(CD$2&gt;VLOOKUP($H102,Lists!$P$3:$Q$7,2),IF($N102=Lists!$K$3,IF($L102&lt;1,(($U102/$L102)*((1+Inputs!$D$7)^CD$2)),((INT(CD$2/$L102)-INT((CD$2-1)/$L102))*$U102*((1+Inputs!$D$7)^CD$2))),(Inputs!$D$8^((1-_xlfn.WEIBULL.DIST(CD$2,$M102,$L102,FALSE))/_xlfn.WEIBULL.DIST(CD$2,$M102,$L102,FALSE))*$U102*((1+Inputs!$D$7)^CD$2))),IF($N102=Lists!$K$3,IF($L102&lt;1,((($T102*(1-$F102)+$S102*(1-$G102))/$L102)*((1+Inputs!$D$7)^CD$2)),((INT(CD$2/$L102)-INT((CD$2-1)/$L102))*($T102*(1-$F102)+$S102*(1-$G102))*((1+Inputs!$D$7)^CD$2))),((Inputs!$D$8^((1-_xlfn.WEIBULL.DIST(CD$2,$M102,$L102,FALSE))/_xlfn.WEIBULL.DIST(CD$2,$M102,$L102,FALSE))*($T102*(1-$F102)+$S102*(1-$G102))*((1+Inputs!$D$7)^CD$2))))))))</f>
        <v>0</v>
      </c>
      <c r="CE102" s="88">
        <f>MAX(AO102,($E102*IF(CE$2&gt;Inputs!$D$5,0,IF(CE$2&gt;VLOOKUP($H102,Lists!$P$3:$Q$7,2),IF($N102=Lists!$K$3,IF($L102&lt;1,(($U102/$L102)*((1+Inputs!$D$7)^CE$2)),((INT(CE$2/$L102)-INT((CE$2-1)/$L102))*$U102*((1+Inputs!$D$7)^CE$2))),(Inputs!$D$8^((1-_xlfn.WEIBULL.DIST(CE$2,$M102,$L102,FALSE))/_xlfn.WEIBULL.DIST(CE$2,$M102,$L102,FALSE))*$U102*((1+Inputs!$D$7)^CE$2))),IF($N102=Lists!$K$3,IF($L102&lt;1,((($T102*(1-$F102)+$S102*(1-$G102))/$L102)*((1+Inputs!$D$7)^CE$2)),((INT(CE$2/$L102)-INT((CE$2-1)/$L102))*($T102*(1-$F102)+$S102*(1-$G102))*((1+Inputs!$D$7)^CE$2))),((Inputs!$D$8^((1-_xlfn.WEIBULL.DIST(CE$2,$M102,$L102,FALSE))/_xlfn.WEIBULL.DIST(CE$2,$M102,$L102,FALSE))*($T102*(1-$F102)+$S102*(1-$G102))*((1+Inputs!$D$7)^CE$2))))))))</f>
        <v>608.95026455321249</v>
      </c>
      <c r="CF102" s="88">
        <f>MAX(AP102,($E102*IF(CF$2&gt;Inputs!$D$5,0,IF(CF$2&gt;VLOOKUP($H102,Lists!$P$3:$Q$7,2),IF($N102=Lists!$K$3,IF($L102&lt;1,(($U102/$L102)*((1+Inputs!$D$7)^CF$2)),((INT(CF$2/$L102)-INT((CF$2-1)/$L102))*$U102*((1+Inputs!$D$7)^CF$2))),(Inputs!$D$8^((1-_xlfn.WEIBULL.DIST(CF$2,$M102,$L102,FALSE))/_xlfn.WEIBULL.DIST(CF$2,$M102,$L102,FALSE))*$U102*((1+Inputs!$D$7)^CF$2))),IF($N102=Lists!$K$3,IF($L102&lt;1,((($T102*(1-$F102)+$S102*(1-$G102))/$L102)*((1+Inputs!$D$7)^CF$2)),((INT(CF$2/$L102)-INT((CF$2-1)/$L102))*($T102*(1-$F102)+$S102*(1-$G102))*((1+Inputs!$D$7)^CF$2))),((Inputs!$D$8^((1-_xlfn.WEIBULL.DIST(CF$2,$M102,$L102,FALSE))/_xlfn.WEIBULL.DIST(CF$2,$M102,$L102,FALSE))*($T102*(1-$F102)+$S102*(1-$G102))*((1+Inputs!$D$7)^CF$2))))))))</f>
        <v>0</v>
      </c>
      <c r="CG102" s="88">
        <f>MAX(AQ102,($E102*IF(CG$2&gt;Inputs!$D$5,0,IF(CG$2&gt;VLOOKUP($H102,Lists!$P$3:$Q$7,2),IF($N102=Lists!$K$3,IF($L102&lt;1,(($U102/$L102)*((1+Inputs!$D$7)^CG$2)),((INT(CG$2/$L102)-INT((CG$2-1)/$L102))*$U102*((1+Inputs!$D$7)^CG$2))),(Inputs!$D$8^((1-_xlfn.WEIBULL.DIST(CG$2,$M102,$L102,FALSE))/_xlfn.WEIBULL.DIST(CG$2,$M102,$L102,FALSE))*$U102*((1+Inputs!$D$7)^CG$2))),IF($N102=Lists!$K$3,IF($L102&lt;1,((($T102*(1-$F102)+$S102*(1-$G102))/$L102)*((1+Inputs!$D$7)^CG$2)),((INT(CG$2/$L102)-INT((CG$2-1)/$L102))*($T102*(1-$F102)+$S102*(1-$G102))*((1+Inputs!$D$7)^CG$2))),((Inputs!$D$8^((1-_xlfn.WEIBULL.DIST(CG$2,$M102,$L102,FALSE))/_xlfn.WEIBULL.DIST(CG$2,$M102,$L102,FALSE))*($T102*(1-$F102)+$S102*(1-$G102))*((1+Inputs!$D$7)^CG$2))))))))</f>
        <v>0</v>
      </c>
      <c r="CH102" s="88">
        <f>MAX(AR102,($E102*IF(CH$2&gt;Inputs!$D$5,0,IF(CH$2&gt;VLOOKUP($H102,Lists!$P$3:$Q$7,2),IF($N102=Lists!$K$3,IF($L102&lt;1,(($U102/$L102)*((1+Inputs!$D$7)^CH$2)),((INT(CH$2/$L102)-INT((CH$2-1)/$L102))*$U102*((1+Inputs!$D$7)^CH$2))),(Inputs!$D$8^((1-_xlfn.WEIBULL.DIST(CH$2,$M102,$L102,FALSE))/_xlfn.WEIBULL.DIST(CH$2,$M102,$L102,FALSE))*$U102*((1+Inputs!$D$7)^CH$2))),IF($N102=Lists!$K$3,IF($L102&lt;1,((($T102*(1-$F102)+$S102*(1-$G102))/$L102)*((1+Inputs!$D$7)^CH$2)),((INT(CH$2/$L102)-INT((CH$2-1)/$L102))*($T102*(1-$F102)+$S102*(1-$G102))*((1+Inputs!$D$7)^CH$2))),((Inputs!$D$8^((1-_xlfn.WEIBULL.DIST(CH$2,$M102,$L102,FALSE))/_xlfn.WEIBULL.DIST(CH$2,$M102,$L102,FALSE))*($T102*(1-$F102)+$S102*(1-$G102))*((1+Inputs!$D$7)^CH$2))))))))</f>
        <v>0</v>
      </c>
      <c r="CI102" s="88">
        <f>MAX(AS102,($E102*IF(CI$2&gt;Inputs!$D$5,0,IF(CI$2&gt;VLOOKUP($H102,Lists!$P$3:$Q$7,2),IF($N102=Lists!$K$3,IF($L102&lt;1,(($U102/$L102)*((1+Inputs!$D$7)^CI$2)),((INT(CI$2/$L102)-INT((CI$2-1)/$L102))*$U102*((1+Inputs!$D$7)^CI$2))),(Inputs!$D$8^((1-_xlfn.WEIBULL.DIST(CI$2,$M102,$L102,FALSE))/_xlfn.WEIBULL.DIST(CI$2,$M102,$L102,FALSE))*$U102*((1+Inputs!$D$7)^CI$2))),IF($N102=Lists!$K$3,IF($L102&lt;1,((($T102*(1-$F102)+$S102*(1-$G102))/$L102)*((1+Inputs!$D$7)^CI$2)),((INT(CI$2/$L102)-INT((CI$2-1)/$L102))*($T102*(1-$F102)+$S102*(1-$G102))*((1+Inputs!$D$7)^CI$2))),((Inputs!$D$8^((1-_xlfn.WEIBULL.DIST(CI$2,$M102,$L102,FALSE))/_xlfn.WEIBULL.DIST(CI$2,$M102,$L102,FALSE))*($T102*(1-$F102)+$S102*(1-$G102))*((1+Inputs!$D$7)^CI$2))))))))</f>
        <v>0</v>
      </c>
      <c r="CJ102" s="88">
        <f>MAX(AT102,($E102*IF(CJ$2&gt;Inputs!$D$5,0,IF(CJ$2&gt;VLOOKUP($H102,Lists!$P$3:$Q$7,2),IF($N102=Lists!$K$3,IF($L102&lt;1,(($U102/$L102)*((1+Inputs!$D$7)^CJ$2)),((INT(CJ$2/$L102)-INT((CJ$2-1)/$L102))*$U102*((1+Inputs!$D$7)^CJ$2))),(Inputs!$D$8^((1-_xlfn.WEIBULL.DIST(CJ$2,$M102,$L102,FALSE))/_xlfn.WEIBULL.DIST(CJ$2,$M102,$L102,FALSE))*$U102*((1+Inputs!$D$7)^CJ$2))),IF($N102=Lists!$K$3,IF($L102&lt;1,((($T102*(1-$F102)+$S102*(1-$G102))/$L102)*((1+Inputs!$D$7)^CJ$2)),((INT(CJ$2/$L102)-INT((CJ$2-1)/$L102))*($T102*(1-$F102)+$S102*(1-$G102))*((1+Inputs!$D$7)^CJ$2))),((Inputs!$D$8^((1-_xlfn.WEIBULL.DIST(CJ$2,$M102,$L102,FALSE))/_xlfn.WEIBULL.DIST(CJ$2,$M102,$L102,FALSE))*($T102*(1-$F102)+$S102*(1-$G102))*((1+Inputs!$D$7)^CJ$2))))))))</f>
        <v>672.33029719676347</v>
      </c>
      <c r="CK102" s="88">
        <f>MAX(AU102,($E102*IF(CK$2&gt;Inputs!$D$5,0,IF(CK$2&gt;VLOOKUP($H102,Lists!$P$3:$Q$7,2),IF($N102=Lists!$K$3,IF($L102&lt;1,(($U102/$L102)*((1+Inputs!$D$7)^CK$2)),((INT(CK$2/$L102)-INT((CK$2-1)/$L102))*$U102*((1+Inputs!$D$7)^CK$2))),(Inputs!$D$8^((1-_xlfn.WEIBULL.DIST(CK$2,$M102,$L102,FALSE))/_xlfn.WEIBULL.DIST(CK$2,$M102,$L102,FALSE))*$U102*((1+Inputs!$D$7)^CK$2))),IF($N102=Lists!$K$3,IF($L102&lt;1,((($T102*(1-$F102)+$S102*(1-$G102))/$L102)*((1+Inputs!$D$7)^CK$2)),((INT(CK$2/$L102)-INT((CK$2-1)/$L102))*($T102*(1-$F102)+$S102*(1-$G102))*((1+Inputs!$D$7)^CK$2))),((Inputs!$D$8^((1-_xlfn.WEIBULL.DIST(CK$2,$M102,$L102,FALSE))/_xlfn.WEIBULL.DIST(CK$2,$M102,$L102,FALSE))*($T102*(1-$F102)+$S102*(1-$G102))*((1+Inputs!$D$7)^CK$2))))))))</f>
        <v>0</v>
      </c>
      <c r="CL102" s="88">
        <f>MAX(AV102,($E102*IF(CL$2&gt;Inputs!$D$5,0,IF(CL$2&gt;VLOOKUP($H102,Lists!$P$3:$Q$7,2),IF($N102=Lists!$K$3,IF($L102&lt;1,(($U102/$L102)*((1+Inputs!$D$7)^CL$2)),((INT(CL$2/$L102)-INT((CL$2-1)/$L102))*$U102*((1+Inputs!$D$7)^CL$2))),(Inputs!$D$8^((1-_xlfn.WEIBULL.DIST(CL$2,$M102,$L102,FALSE))/_xlfn.WEIBULL.DIST(CL$2,$M102,$L102,FALSE))*$U102*((1+Inputs!$D$7)^CL$2))),IF($N102=Lists!$K$3,IF($L102&lt;1,((($T102*(1-$F102)+$S102*(1-$G102))/$L102)*((1+Inputs!$D$7)^CL$2)),((INT(CL$2/$L102)-INT((CL$2-1)/$L102))*($T102*(1-$F102)+$S102*(1-$G102))*((1+Inputs!$D$7)^CL$2))),((Inputs!$D$8^((1-_xlfn.WEIBULL.DIST(CL$2,$M102,$L102,FALSE))/_xlfn.WEIBULL.DIST(CL$2,$M102,$L102,FALSE))*($T102*(1-$F102)+$S102*(1-$G102))*((1+Inputs!$D$7)^CL$2))))))))</f>
        <v>0</v>
      </c>
      <c r="CM102" s="88">
        <f>MAX(AW102,($E102*IF(CM$2&gt;Inputs!$D$5,0,IF(CM$2&gt;VLOOKUP($H102,Lists!$P$3:$Q$7,2),IF($N102=Lists!$K$3,IF($L102&lt;1,(($U102/$L102)*((1+Inputs!$D$7)^CM$2)),((INT(CM$2/$L102)-INT((CM$2-1)/$L102))*$U102*((1+Inputs!$D$7)^CM$2))),(Inputs!$D$8^((1-_xlfn.WEIBULL.DIST(CM$2,$M102,$L102,FALSE))/_xlfn.WEIBULL.DIST(CM$2,$M102,$L102,FALSE))*$U102*((1+Inputs!$D$7)^CM$2))),IF($N102=Lists!$K$3,IF($L102&lt;1,((($T102*(1-$F102)+$S102*(1-$G102))/$L102)*((1+Inputs!$D$7)^CM$2)),((INT(CM$2/$L102)-INT((CM$2-1)/$L102))*($T102*(1-$F102)+$S102*(1-$G102))*((1+Inputs!$D$7)^CM$2))),((Inputs!$D$8^((1-_xlfn.WEIBULL.DIST(CM$2,$M102,$L102,FALSE))/_xlfn.WEIBULL.DIST(CM$2,$M102,$L102,FALSE))*($T102*(1-$F102)+$S102*(1-$G102))*((1+Inputs!$D$7)^CM$2))))))))</f>
        <v>0</v>
      </c>
      <c r="CN102" s="88">
        <f>MAX(AX102,($E102*IF(CN$2&gt;Inputs!$D$5,0,IF(CN$2&gt;VLOOKUP($H102,Lists!$P$3:$Q$7,2),IF($N102=Lists!$K$3,IF($L102&lt;1,(($U102/$L102)*((1+Inputs!$D$7)^CN$2)),((INT(CN$2/$L102)-INT((CN$2-1)/$L102))*$U102*((1+Inputs!$D$7)^CN$2))),(Inputs!$D$8^((1-_xlfn.WEIBULL.DIST(CN$2,$M102,$L102,FALSE))/_xlfn.WEIBULL.DIST(CN$2,$M102,$L102,FALSE))*$U102*((1+Inputs!$D$7)^CN$2))),IF($N102=Lists!$K$3,IF($L102&lt;1,((($T102*(1-$F102)+$S102*(1-$G102))/$L102)*((1+Inputs!$D$7)^CN$2)),((INT(CN$2/$L102)-INT((CN$2-1)/$L102))*($T102*(1-$F102)+$S102*(1-$G102))*((1+Inputs!$D$7)^CN$2))),((Inputs!$D$8^((1-_xlfn.WEIBULL.DIST(CN$2,$M102,$L102,FALSE))/_xlfn.WEIBULL.DIST(CN$2,$M102,$L102,FALSE))*($T102*(1-$F102)+$S102*(1-$G102))*((1+Inputs!$D$7)^CN$2))))))))</f>
        <v>0</v>
      </c>
      <c r="CO102" s="88">
        <f>MAX(AY102,($E102*IF(CO$2&gt;Inputs!$D$5,0,IF(CO$2&gt;VLOOKUP($H102,Lists!$P$3:$Q$7,2),IF($N102=Lists!$K$3,IF($L102&lt;1,(($U102/$L102)*((1+Inputs!$D$7)^CO$2)),((INT(CO$2/$L102)-INT((CO$2-1)/$L102))*$U102*((1+Inputs!$D$7)^CO$2))),(Inputs!$D$8^((1-_xlfn.WEIBULL.DIST(CO$2,$M102,$L102,FALSE))/_xlfn.WEIBULL.DIST(CO$2,$M102,$L102,FALSE))*$U102*((1+Inputs!$D$7)^CO$2))),IF($N102=Lists!$K$3,IF($L102&lt;1,((($T102*(1-$F102)+$S102*(1-$G102))/$L102)*((1+Inputs!$D$7)^CO$2)),((INT(CO$2/$L102)-INT((CO$2-1)/$L102))*($T102*(1-$F102)+$S102*(1-$G102))*((1+Inputs!$D$7)^CO$2))),((Inputs!$D$8^((1-_xlfn.WEIBULL.DIST(CO$2,$M102,$L102,FALSE))/_xlfn.WEIBULL.DIST(CO$2,$M102,$L102,FALSE))*($T102*(1-$F102)+$S102*(1-$G102))*((1+Inputs!$D$7)^CO$2))))))))</f>
        <v>742.30697454469725</v>
      </c>
      <c r="CP102" s="88">
        <f>MAX(AZ102,($E102*IF(CP$2&gt;Inputs!$D$5,0,IF(CP$2&gt;VLOOKUP($H102,Lists!$P$3:$Q$7,2),IF($N102=Lists!$K$3,IF($L102&lt;1,(($U102/$L102)*((1+Inputs!$D$7)^CP$2)),((INT(CP$2/$L102)-INT((CP$2-1)/$L102))*$U102*((1+Inputs!$D$7)^CP$2))),(Inputs!$D$8^((1-_xlfn.WEIBULL.DIST(CP$2,$M102,$L102,FALSE))/_xlfn.WEIBULL.DIST(CP$2,$M102,$L102,FALSE))*$U102*((1+Inputs!$D$7)^CP$2))),IF($N102=Lists!$K$3,IF($L102&lt;1,((($T102*(1-$F102)+$S102*(1-$G102))/$L102)*((1+Inputs!$D$7)^CP$2)),((INT(CP$2/$L102)-INT((CP$2-1)/$L102))*($T102*(1-$F102)+$S102*(1-$G102))*((1+Inputs!$D$7)^CP$2))),((Inputs!$D$8^((1-_xlfn.WEIBULL.DIST(CP$2,$M102,$L102,FALSE))/_xlfn.WEIBULL.DIST(CP$2,$M102,$L102,FALSE))*($T102*(1-$F102)+$S102*(1-$G102))*((1+Inputs!$D$7)^CP$2))))))))</f>
        <v>0</v>
      </c>
      <c r="CQ102" s="88">
        <f>MAX(BA102,($E102*IF(CQ$2&gt;Inputs!$D$5,0,IF(CQ$2&gt;VLOOKUP($H102,Lists!$P$3:$Q$7,2),IF($N102=Lists!$K$3,IF($L102&lt;1,(($U102/$L102)*((1+Inputs!$D$7)^CQ$2)),((INT(CQ$2/$L102)-INT((CQ$2-1)/$L102))*$U102*((1+Inputs!$D$7)^CQ$2))),(Inputs!$D$8^((1-_xlfn.WEIBULL.DIST(CQ$2,$M102,$L102,FALSE))/_xlfn.WEIBULL.DIST(CQ$2,$M102,$L102,FALSE))*$U102*((1+Inputs!$D$7)^CQ$2))),IF($N102=Lists!$K$3,IF($L102&lt;1,((($T102*(1-$F102)+$S102*(1-$G102))/$L102)*((1+Inputs!$D$7)^CQ$2)),((INT(CQ$2/$L102)-INT((CQ$2-1)/$L102))*($T102*(1-$F102)+$S102*(1-$G102))*((1+Inputs!$D$7)^CQ$2))),((Inputs!$D$8^((1-_xlfn.WEIBULL.DIST(CQ$2,$M102,$L102,FALSE))/_xlfn.WEIBULL.DIST(CQ$2,$M102,$L102,FALSE))*($T102*(1-$F102)+$S102*(1-$G102))*((1+Inputs!$D$7)^CQ$2))))))))</f>
        <v>0</v>
      </c>
      <c r="CR102" s="88">
        <f>MAX(BB102,($E102*IF(CR$2&gt;Inputs!$D$5,0,IF(CR$2&gt;VLOOKUP($H102,Lists!$P$3:$Q$7,2),IF($N102=Lists!$K$3,IF($L102&lt;1,(($U102/$L102)*((1+Inputs!$D$7)^CR$2)),((INT(CR$2/$L102)-INT((CR$2-1)/$L102))*$U102*((1+Inputs!$D$7)^CR$2))),(Inputs!$D$8^((1-_xlfn.WEIBULL.DIST(CR$2,$M102,$L102,FALSE))/_xlfn.WEIBULL.DIST(CR$2,$M102,$L102,FALSE))*$U102*((1+Inputs!$D$7)^CR$2))),IF($N102=Lists!$K$3,IF($L102&lt;1,((($T102*(1-$F102)+$S102*(1-$G102))/$L102)*((1+Inputs!$D$7)^CR$2)),((INT(CR$2/$L102)-INT((CR$2-1)/$L102))*($T102*(1-$F102)+$S102*(1-$G102))*((1+Inputs!$D$7)^CR$2))),((Inputs!$D$8^((1-_xlfn.WEIBULL.DIST(CR$2,$M102,$L102,FALSE))/_xlfn.WEIBULL.DIST(CR$2,$M102,$L102,FALSE))*($T102*(1-$F102)+$S102*(1-$G102))*((1+Inputs!$D$7)^CR$2))))))))</f>
        <v>0</v>
      </c>
      <c r="CS102" s="88">
        <f>MAX(BC102,($E102*IF(CS$2&gt;Inputs!$D$5,0,IF(CS$2&gt;VLOOKUP($H102,Lists!$P$3:$Q$7,2),IF($N102=Lists!$K$3,IF($L102&lt;1,(($U102/$L102)*((1+Inputs!$D$7)^CS$2)),((INT(CS$2/$L102)-INT((CS$2-1)/$L102))*$U102*((1+Inputs!$D$7)^CS$2))),(Inputs!$D$8^((1-_xlfn.WEIBULL.DIST(CS$2,$M102,$L102,FALSE))/_xlfn.WEIBULL.DIST(CS$2,$M102,$L102,FALSE))*$U102*((1+Inputs!$D$7)^CS$2))),IF($N102=Lists!$K$3,IF($L102&lt;1,((($T102*(1-$F102)+$S102*(1-$G102))/$L102)*((1+Inputs!$D$7)^CS$2)),((INT(CS$2/$L102)-INT((CS$2-1)/$L102))*($T102*(1-$F102)+$S102*(1-$G102))*((1+Inputs!$D$7)^CS$2))),((Inputs!$D$8^((1-_xlfn.WEIBULL.DIST(CS$2,$M102,$L102,FALSE))/_xlfn.WEIBULL.DIST(CS$2,$M102,$L102,FALSE))*($T102*(1-$F102)+$S102*(1-$G102))*((1+Inputs!$D$7)^CS$2))))))))</f>
        <v>0</v>
      </c>
      <c r="CT102" s="88">
        <f>MAX(BD102,($E102*IF(CT$2&gt;Inputs!$D$5,0,IF(CT$2&gt;VLOOKUP($H102,Lists!$P$3:$Q$7,2),IF($N102=Lists!$K$3,IF($L102&lt;1,(($U102/$L102)*((1+Inputs!$D$7)^CT$2)),((INT(CT$2/$L102)-INT((CT$2-1)/$L102))*$U102*((1+Inputs!$D$7)^CT$2))),(Inputs!$D$8^((1-_xlfn.WEIBULL.DIST(CT$2,$M102,$L102,FALSE))/_xlfn.WEIBULL.DIST(CT$2,$M102,$L102,FALSE))*$U102*((1+Inputs!$D$7)^CT$2))),IF($N102=Lists!$K$3,IF($L102&lt;1,((($T102*(1-$F102)+$S102*(1-$G102))/$L102)*((1+Inputs!$D$7)^CT$2)),((INT(CT$2/$L102)-INT((CT$2-1)/$L102))*($T102*(1-$F102)+$S102*(1-$G102))*((1+Inputs!$D$7)^CT$2))),((Inputs!$D$8^((1-_xlfn.WEIBULL.DIST(CT$2,$M102,$L102,FALSE))/_xlfn.WEIBULL.DIST(CT$2,$M102,$L102,FALSE))*($T102*(1-$F102)+$S102*(1-$G102))*((1+Inputs!$D$7)^CT$2))))))))</f>
        <v>0</v>
      </c>
      <c r="CU102" s="88">
        <f>MAX(BE102,($E102*IF(CU$2&gt;Inputs!$D$5,0,IF(CU$2&gt;VLOOKUP($H102,Lists!$P$3:$Q$7,2),IF($N102=Lists!$K$3,IF($L102&lt;1,(($U102/$L102)*((1+Inputs!$D$7)^CU$2)),((INT(CU$2/$L102)-INT((CU$2-1)/$L102))*$U102*((1+Inputs!$D$7)^CU$2))),(Inputs!$D$8^((1-_xlfn.WEIBULL.DIST(CU$2,$M102,$L102,FALSE))/_xlfn.WEIBULL.DIST(CU$2,$M102,$L102,FALSE))*$U102*((1+Inputs!$D$7)^CU$2))),IF($N102=Lists!$K$3,IF($L102&lt;1,((($T102*(1-$F102)+$S102*(1-$G102))/$L102)*((1+Inputs!$D$7)^CU$2)),((INT(CU$2/$L102)-INT((CU$2-1)/$L102))*($T102*(1-$F102)+$S102*(1-$G102))*((1+Inputs!$D$7)^CU$2))),((Inputs!$D$8^((1-_xlfn.WEIBULL.DIST(CU$2,$M102,$L102,FALSE))/_xlfn.WEIBULL.DIST(CU$2,$M102,$L102,FALSE))*($T102*(1-$F102)+$S102*(1-$G102))*((1+Inputs!$D$7)^CU$2))))))))</f>
        <v>0</v>
      </c>
      <c r="CV102" s="88">
        <f>MAX(BF102,($E102*IF(CV$2&gt;Inputs!$D$5,0,IF(CV$2&gt;VLOOKUP($H102,Lists!$P$3:$Q$7,2),IF($N102=Lists!$K$3,IF($L102&lt;1,(($U102/$L102)*((1+Inputs!$D$7)^CV$2)),((INT(CV$2/$L102)-INT((CV$2-1)/$L102))*$U102*((1+Inputs!$D$7)^CV$2))),(Inputs!$D$8^((1-_xlfn.WEIBULL.DIST(CV$2,$M102,$L102,FALSE))/_xlfn.WEIBULL.DIST(CV$2,$M102,$L102,FALSE))*$U102*((1+Inputs!$D$7)^CV$2))),IF($N102=Lists!$K$3,IF($L102&lt;1,((($T102*(1-$F102)+$S102*(1-$G102))/$L102)*((1+Inputs!$D$7)^CV$2)),((INT(CV$2/$L102)-INT((CV$2-1)/$L102))*($T102*(1-$F102)+$S102*(1-$G102))*((1+Inputs!$D$7)^CV$2))),((Inputs!$D$8^((1-_xlfn.WEIBULL.DIST(CV$2,$M102,$L102,FALSE))/_xlfn.WEIBULL.DIST(CV$2,$M102,$L102,FALSE))*($T102*(1-$F102)+$S102*(1-$G102))*((1+Inputs!$D$7)^CV$2))))))))</f>
        <v>0</v>
      </c>
      <c r="CW102" s="88">
        <f>MAX(BG102,($E102*IF(CW$2&gt;Inputs!$D$5,0,IF(CW$2&gt;VLOOKUP($H102,Lists!$P$3:$Q$7,2),IF($N102=Lists!$K$3,IF($L102&lt;1,(($U102/$L102)*((1+Inputs!$D$7)^CW$2)),((INT(CW$2/$L102)-INT((CW$2-1)/$L102))*$U102*((1+Inputs!$D$7)^CW$2))),(Inputs!$D$8^((1-_xlfn.WEIBULL.DIST(CW$2,$M102,$L102,FALSE))/_xlfn.WEIBULL.DIST(CW$2,$M102,$L102,FALSE))*$U102*((1+Inputs!$D$7)^CW$2))),IF($N102=Lists!$K$3,IF($L102&lt;1,((($T102*(1-$F102)+$S102*(1-$G102))/$L102)*((1+Inputs!$D$7)^CW$2)),((INT(CW$2/$L102)-INT((CW$2-1)/$L102))*($T102*(1-$F102)+$S102*(1-$G102))*((1+Inputs!$D$7)^CW$2))),((Inputs!$D$8^((1-_xlfn.WEIBULL.DIST(CW$2,$M102,$L102,FALSE))/_xlfn.WEIBULL.DIST(CW$2,$M102,$L102,FALSE))*($T102*(1-$F102)+$S102*(1-$G102))*((1+Inputs!$D$7)^CW$2))))))))</f>
        <v>0</v>
      </c>
      <c r="CX102" s="88">
        <f>MAX(BH102,($E102*IF(CX$2&gt;Inputs!$D$5,0,IF(CX$2&gt;VLOOKUP($H102,Lists!$P$3:$Q$7,2),IF($N102=Lists!$K$3,IF($L102&lt;1,(($U102/$L102)*((1+Inputs!$D$7)^CX$2)),((INT(CX$2/$L102)-INT((CX$2-1)/$L102))*$U102*((1+Inputs!$D$7)^CX$2))),(Inputs!$D$8^((1-_xlfn.WEIBULL.DIST(CX$2,$M102,$L102,FALSE))/_xlfn.WEIBULL.DIST(CX$2,$M102,$L102,FALSE))*$U102*((1+Inputs!$D$7)^CX$2))),IF($N102=Lists!$K$3,IF($L102&lt;1,((($T102*(1-$F102)+$S102*(1-$G102))/$L102)*((1+Inputs!$D$7)^CX$2)),((INT(CX$2/$L102)-INT((CX$2-1)/$L102))*($T102*(1-$F102)+$S102*(1-$G102))*((1+Inputs!$D$7)^CX$2))),((Inputs!$D$8^((1-_xlfn.WEIBULL.DIST(CX$2,$M102,$L102,FALSE))/_xlfn.WEIBULL.DIST(CX$2,$M102,$L102,FALSE))*($T102*(1-$F102)+$S102*(1-$G102))*((1+Inputs!$D$7)^CX$2))))))))</f>
        <v>0</v>
      </c>
      <c r="CY102" s="88">
        <f>MAX(BI102,($E102*IF(CY$2&gt;Inputs!$D$5,0,IF(CY$2&gt;VLOOKUP($H102,Lists!$P$3:$Q$7,2),IF($N102=Lists!$K$3,IF($L102&lt;1,(($U102/$L102)*((1+Inputs!$D$7)^CY$2)),((INT(CY$2/$L102)-INT((CY$2-1)/$L102))*$U102*((1+Inputs!$D$7)^CY$2))),(Inputs!$D$8^((1-_xlfn.WEIBULL.DIST(CY$2,$M102,$L102,FALSE))/_xlfn.WEIBULL.DIST(CY$2,$M102,$L102,FALSE))*$U102*((1+Inputs!$D$7)^CY$2))),IF($N102=Lists!$K$3,IF($L102&lt;1,((($T102*(1-$F102)+$S102*(1-$G102))/$L102)*((1+Inputs!$D$7)^CY$2)),((INT(CY$2/$L102)-INT((CY$2-1)/$L102))*($T102*(1-$F102)+$S102*(1-$G102))*((1+Inputs!$D$7)^CY$2))),((Inputs!$D$8^((1-_xlfn.WEIBULL.DIST(CY$2,$M102,$L102,FALSE))/_xlfn.WEIBULL.DIST(CY$2,$M102,$L102,FALSE))*($T102*(1-$F102)+$S102*(1-$G102))*((1+Inputs!$D$7)^CY$2))))))))</f>
        <v>0</v>
      </c>
      <c r="CZ102" s="88">
        <f>MAX(BJ102,($E102*IF(CZ$2&gt;Inputs!$D$5,0,IF(CZ$2&gt;VLOOKUP($H102,Lists!$P$3:$Q$7,2),IF($N102=Lists!$K$3,IF($L102&lt;1,(($U102/$L102)*((1+Inputs!$D$7)^CZ$2)),((INT(CZ$2/$L102)-INT((CZ$2-1)/$L102))*$U102*((1+Inputs!$D$7)^CZ$2))),(Inputs!$D$8^((1-_xlfn.WEIBULL.DIST(CZ$2,$M102,$L102,FALSE))/_xlfn.WEIBULL.DIST(CZ$2,$M102,$L102,FALSE))*$U102*((1+Inputs!$D$7)^CZ$2))),IF($N102=Lists!$K$3,IF($L102&lt;1,((($T102*(1-$F102)+$S102*(1-$G102))/$L102)*((1+Inputs!$D$7)^CZ$2)),((INT(CZ$2/$L102)-INT((CZ$2-1)/$L102))*($T102*(1-$F102)+$S102*(1-$G102))*((1+Inputs!$D$7)^CZ$2))),((Inputs!$D$8^((1-_xlfn.WEIBULL.DIST(CZ$2,$M102,$L102,FALSE))/_xlfn.WEIBULL.DIST(CZ$2,$M102,$L102,FALSE))*($T102*(1-$F102)+$S102*(1-$G102))*((1+Inputs!$D$7)^CZ$2))))))))</f>
        <v>0</v>
      </c>
      <c r="DA102" s="88">
        <f>MAX(BK102,($E102*IF(DA$2&gt;Inputs!$D$5,0,IF(DA$2&gt;VLOOKUP($H102,Lists!$P$3:$Q$7,2),IF($N102=Lists!$K$3,IF($L102&lt;1,(($U102/$L102)*((1+Inputs!$D$7)^DA$2)),((INT(DA$2/$L102)-INT((DA$2-1)/$L102))*$U102*((1+Inputs!$D$7)^DA$2))),(Inputs!$D$8^((1-_xlfn.WEIBULL.DIST(DA$2,$M102,$L102,FALSE))/_xlfn.WEIBULL.DIST(DA$2,$M102,$L102,FALSE))*$U102*((1+Inputs!$D$7)^DA$2))),IF($N102=Lists!$K$3,IF($L102&lt;1,((($T102*(1-$F102)+$S102*(1-$G102))/$L102)*((1+Inputs!$D$7)^DA$2)),((INT(DA$2/$L102)-INT((DA$2-1)/$L102))*($T102*(1-$F102)+$S102*(1-$G102))*((1+Inputs!$D$7)^DA$2))),((Inputs!$D$8^((1-_xlfn.WEIBULL.DIST(DA$2,$M102,$L102,FALSE))/_xlfn.WEIBULL.DIST(DA$2,$M102,$L102,FALSE))*($T102*(1-$F102)+$S102*(1-$G102))*((1+Inputs!$D$7)^DA$2))))))))</f>
        <v>0</v>
      </c>
      <c r="DB102" s="88">
        <f>MAX(BL102,($E102*IF(DB$2&gt;Inputs!$D$5,0,IF(DB$2&gt;VLOOKUP($H102,Lists!$P$3:$Q$7,2),IF($N102=Lists!$K$3,IF($L102&lt;1,(($U102/$L102)*((1+Inputs!$D$7)^DB$2)),((INT(DB$2/$L102)-INT((DB$2-1)/$L102))*$U102*((1+Inputs!$D$7)^DB$2))),(Inputs!$D$8^((1-_xlfn.WEIBULL.DIST(DB$2,$M102,$L102,FALSE))/_xlfn.WEIBULL.DIST(DB$2,$M102,$L102,FALSE))*$U102*((1+Inputs!$D$7)^DB$2))),IF($N102=Lists!$K$3,IF($L102&lt;1,((($T102*(1-$F102)+$S102*(1-$G102))/$L102)*((1+Inputs!$D$7)^DB$2)),((INT(DB$2/$L102)-INT((DB$2-1)/$L102))*($T102*(1-$F102)+$S102*(1-$G102))*((1+Inputs!$D$7)^DB$2))),((Inputs!$D$8^((1-_xlfn.WEIBULL.DIST(DB$2,$M102,$L102,FALSE))/_xlfn.WEIBULL.DIST(DB$2,$M102,$L102,FALSE))*($T102*(1-$F102)+$S102*(1-$G102))*((1+Inputs!$D$7)^DB$2))))))))</f>
        <v>0</v>
      </c>
      <c r="DC102" s="88">
        <f>MAX(BM102,($E102*IF(DC$2&gt;Inputs!$D$5,0,IF(DC$2&gt;VLOOKUP($H102,Lists!$P$3:$Q$7,2),IF($N102=Lists!$K$3,IF($L102&lt;1,(($U102/$L102)*((1+Inputs!$D$7)^DC$2)),((INT(DC$2/$L102)-INT((DC$2-1)/$L102))*$U102*((1+Inputs!$D$7)^DC$2))),(Inputs!$D$8^((1-_xlfn.WEIBULL.DIST(DC$2,$M102,$L102,FALSE))/_xlfn.WEIBULL.DIST(DC$2,$M102,$L102,FALSE))*$U102*((1+Inputs!$D$7)^DC$2))),IF($N102=Lists!$K$3,IF($L102&lt;1,((($T102*(1-$F102)+$S102*(1-$G102))/$L102)*((1+Inputs!$D$7)^DC$2)),((INT(DC$2/$L102)-INT((DC$2-1)/$L102))*($T102*(1-$F102)+$S102*(1-$G102))*((1+Inputs!$D$7)^DC$2))),((Inputs!$D$8^((1-_xlfn.WEIBULL.DIST(DC$2,$M102,$L102,FALSE))/_xlfn.WEIBULL.DIST(DC$2,$M102,$L102,FALSE))*($T102*(1-$F102)+$S102*(1-$G102))*((1+Inputs!$D$7)^DC$2))))))))</f>
        <v>0</v>
      </c>
      <c r="DD102" s="88">
        <f>MAX(BN102,($E102*IF(DD$2&gt;Inputs!$D$5,0,IF(DD$2&gt;VLOOKUP($H102,Lists!$P$3:$Q$7,2),IF($N102=Lists!$K$3,IF($L102&lt;1,(($U102/$L102)*((1+Inputs!$D$7)^DD$2)),((INT(DD$2/$L102)-INT((DD$2-1)/$L102))*$U102*((1+Inputs!$D$7)^DD$2))),(Inputs!$D$8^((1-_xlfn.WEIBULL.DIST(DD$2,$M102,$L102,FALSE))/_xlfn.WEIBULL.DIST(DD$2,$M102,$L102,FALSE))*$U102*((1+Inputs!$D$7)^DD$2))),IF($N102=Lists!$K$3,IF($L102&lt;1,((($T102*(1-$F102)+$S102*(1-$G102))/$L102)*((1+Inputs!$D$7)^DD$2)),((INT(DD$2/$L102)-INT((DD$2-1)/$L102))*($T102*(1-$F102)+$S102*(1-$G102))*((1+Inputs!$D$7)^DD$2))),((Inputs!$D$8^((1-_xlfn.WEIBULL.DIST(DD$2,$M102,$L102,FALSE))/_xlfn.WEIBULL.DIST(DD$2,$M102,$L102,FALSE))*($T102*(1-$F102)+$S102*(1-$G102))*((1+Inputs!$D$7)^DD$2))))))))</f>
        <v>0</v>
      </c>
    </row>
    <row r="103" spans="1:108" ht="16">
      <c r="A103" s="57" t="s">
        <v>441</v>
      </c>
      <c r="B103" s="13" t="s">
        <v>279</v>
      </c>
      <c r="C103" s="13" t="s">
        <v>90</v>
      </c>
      <c r="D103" s="13" t="s">
        <v>35</v>
      </c>
      <c r="E103" s="48">
        <v>1</v>
      </c>
      <c r="F103" s="48">
        <v>0</v>
      </c>
      <c r="G103" s="48">
        <v>0</v>
      </c>
      <c r="H103" s="105" t="s">
        <v>350</v>
      </c>
      <c r="I103" s="14" t="s">
        <v>269</v>
      </c>
      <c r="J103" s="14" t="s">
        <v>246</v>
      </c>
      <c r="K103" s="13">
        <f>VLOOKUP(J103,'Labor Rates'!$A$1:$F$16,2)</f>
        <v>33.119999999999997</v>
      </c>
      <c r="L103" s="15">
        <v>5</v>
      </c>
      <c r="M103" s="15">
        <v>1</v>
      </c>
      <c r="N103" s="13" t="s">
        <v>236</v>
      </c>
      <c r="O103" s="61">
        <f>Inputs!$D$57*Inputs!$D$53</f>
        <v>1639.344262295082</v>
      </c>
      <c r="P103" s="15">
        <v>0.1</v>
      </c>
      <c r="Q103" s="15">
        <f t="shared" si="21"/>
        <v>32.786885245901644</v>
      </c>
      <c r="R103" s="4">
        <v>0</v>
      </c>
      <c r="S103" s="53">
        <f t="shared" si="22"/>
        <v>5429.5081967213109</v>
      </c>
      <c r="T103" s="53">
        <f t="shared" si="23"/>
        <v>0</v>
      </c>
      <c r="U103" s="54">
        <f t="shared" si="24"/>
        <v>5429.5081967213109</v>
      </c>
      <c r="V103" s="65"/>
      <c r="W103" s="58"/>
      <c r="X103" s="64">
        <f t="shared" si="25"/>
        <v>1399.4261353467919</v>
      </c>
      <c r="Y103" s="64">
        <f>NPV(Inputs!$D$6,AA103:BN103)</f>
        <v>14013.296107535291</v>
      </c>
      <c r="Z103" s="67">
        <f t="shared" si="26"/>
        <v>6.609354583349953E-3</v>
      </c>
      <c r="AA103" s="88">
        <f>$E103*IF(AA$2&gt;Inputs!$D$5,0,IF(AA$2&gt;VLOOKUP($H103,Lists!$P$3:$Q$7,2),IF($N103=Lists!$K$3,IF($L103&lt;1,(($U103/$L103)*((1+Inputs!$D$7)^AA$2)),((INT(AA$2/$L103)-INT((AA$2-1)/$L103))*$U103*((1+Inputs!$D$7)^AA$2))),(_xlfn.WEIBULL.DIST(AA$2,$M103,$L103,FALSE)*$U103*((1+Inputs!$D$7)^AA$2))),IF($N103=Lists!$K$3,IF($L103&lt;1,((($T103*(1-$F103)+$S103*(1-$G103))/$L103)*((1+Inputs!$D$7)^AA$2)),((INT(AA$2/$L103)-INT((AA$2-1)/$L103))*($T103*(1-$F103)+$S103*(1-$G103))*((1+Inputs!$D$7)^AA$2))),((_xlfn.WEIBULL.DIST(AA$2,$M103,$L103,FALSE)*($T103*(1-$F103)+$S103*(1-$G103))*((1+Inputs!$D$7)^AA$2))))))</f>
        <v>0</v>
      </c>
      <c r="AB103" s="88">
        <f>$E103*IF(AB$2&gt;Inputs!$D$5,0,IF(AB$2&gt;VLOOKUP($H103,Lists!$P$3:$Q$7,2),IF($N103=Lists!$K$3,IF($L103&lt;1,(($U103/$L103)*((1+Inputs!$D$7)^AB$2)),((INT(AB$2/$L103)-INT((AB$2-1)/$L103))*$U103*((1+Inputs!$D$7)^AB$2))),(_xlfn.WEIBULL.DIST(AB$2,$M103,$L103,FALSE)*$U103*((1+Inputs!$D$7)^AB$2))),IF($N103=Lists!$K$3,IF($L103&lt;1,((($T103*(1-$F103)+$S103*(1-$G103))/$L103)*((1+Inputs!$D$7)^AB$2)),((INT(AB$2/$L103)-INT((AB$2-1)/$L103))*($T103*(1-$F103)+$S103*(1-$G103))*((1+Inputs!$D$7)^AB$2))),((_xlfn.WEIBULL.DIST(AB$2,$M103,$L103,FALSE)*($T103*(1-$F103)+$S103*(1-$G103))*((1+Inputs!$D$7)^AB$2))))))</f>
        <v>0</v>
      </c>
      <c r="AC103" s="88">
        <f>$E103*IF(AC$2&gt;Inputs!$D$5,0,IF(AC$2&gt;VLOOKUP($H103,Lists!$P$3:$Q$7,2),IF($N103=Lists!$K$3,IF($L103&lt;1,(($U103/$L103)*((1+Inputs!$D$7)^AC$2)),((INT(AC$2/$L103)-INT((AC$2-1)/$L103))*$U103*((1+Inputs!$D$7)^AC$2))),(_xlfn.WEIBULL.DIST(AC$2,$M103,$L103,FALSE)*$U103*((1+Inputs!$D$7)^AC$2))),IF($N103=Lists!$K$3,IF($L103&lt;1,((($T103*(1-$F103)+$S103*(1-$G103))/$L103)*((1+Inputs!$D$7)^AC$2)),((INT(AC$2/$L103)-INT((AC$2-1)/$L103))*($T103*(1-$F103)+$S103*(1-$G103))*((1+Inputs!$D$7)^AC$2))),((_xlfn.WEIBULL.DIST(AC$2,$M103,$L103,FALSE)*($T103*(1-$F103)+$S103*(1-$G103))*((1+Inputs!$D$7)^AC$2))))))</f>
        <v>0</v>
      </c>
      <c r="AD103" s="88">
        <f>$E103*IF(AD$2&gt;Inputs!$D$5,0,IF(AD$2&gt;VLOOKUP($H103,Lists!$P$3:$Q$7,2),IF($N103=Lists!$K$3,IF($L103&lt;1,(($U103/$L103)*((1+Inputs!$D$7)^AD$2)),((INT(AD$2/$L103)-INT((AD$2-1)/$L103))*$U103*((1+Inputs!$D$7)^AD$2))),(_xlfn.WEIBULL.DIST(AD$2,$M103,$L103,FALSE)*$U103*((1+Inputs!$D$7)^AD$2))),IF($N103=Lists!$K$3,IF($L103&lt;1,((($T103*(1-$F103)+$S103*(1-$G103))/$L103)*((1+Inputs!$D$7)^AD$2)),((INT(AD$2/$L103)-INT((AD$2-1)/$L103))*($T103*(1-$F103)+$S103*(1-$G103))*((1+Inputs!$D$7)^AD$2))),((_xlfn.WEIBULL.DIST(AD$2,$M103,$L103,FALSE)*($T103*(1-$F103)+$S103*(1-$G103))*((1+Inputs!$D$7)^AD$2))))))</f>
        <v>0</v>
      </c>
      <c r="AE103" s="88">
        <f>$E103*IF(AE$2&gt;Inputs!$D$5,0,IF(AE$2&gt;VLOOKUP($H103,Lists!$P$3:$Q$7,2),IF($N103=Lists!$K$3,IF($L103&lt;1,(($U103/$L103)*((1+Inputs!$D$7)^AE$2)),((INT(AE$2/$L103)-INT((AE$2-1)/$L103))*$U103*((1+Inputs!$D$7)^AE$2))),(_xlfn.WEIBULL.DIST(AE$2,$M103,$L103,FALSE)*$U103*((1+Inputs!$D$7)^AE$2))),IF($N103=Lists!$K$3,IF($L103&lt;1,((($T103*(1-$F103)+$S103*(1-$G103))/$L103)*((1+Inputs!$D$7)^AE$2)),((INT(AE$2/$L103)-INT((AE$2-1)/$L103))*($T103*(1-$F103)+$S103*(1-$G103))*((1+Inputs!$D$7)^AE$2))),((_xlfn.WEIBULL.DIST(AE$2,$M103,$L103,FALSE)*($T103*(1-$F103)+$S103*(1-$G103))*((1+Inputs!$D$7)^AE$2))))))</f>
        <v>5994.6157708170485</v>
      </c>
      <c r="AF103" s="88">
        <f>$E103*IF(AF$2&gt;Inputs!$D$5,0,IF(AF$2&gt;VLOOKUP($H103,Lists!$P$3:$Q$7,2),IF($N103=Lists!$K$3,IF($L103&lt;1,(($U103/$L103)*((1+Inputs!$D$7)^AF$2)),((INT(AF$2/$L103)-INT((AF$2-1)/$L103))*$U103*((1+Inputs!$D$7)^AF$2))),(_xlfn.WEIBULL.DIST(AF$2,$M103,$L103,FALSE)*$U103*((1+Inputs!$D$7)^AF$2))),IF($N103=Lists!$K$3,IF($L103&lt;1,((($T103*(1-$F103)+$S103*(1-$G103))/$L103)*((1+Inputs!$D$7)^AF$2)),((INT(AF$2/$L103)-INT((AF$2-1)/$L103))*($T103*(1-$F103)+$S103*(1-$G103))*((1+Inputs!$D$7)^AF$2))),((_xlfn.WEIBULL.DIST(AF$2,$M103,$L103,FALSE)*($T103*(1-$F103)+$S103*(1-$G103))*((1+Inputs!$D$7)^AF$2))))))</f>
        <v>0</v>
      </c>
      <c r="AG103" s="88">
        <f>$E103*IF(AG$2&gt;Inputs!$D$5,0,IF(AG$2&gt;VLOOKUP($H103,Lists!$P$3:$Q$7,2),IF($N103=Lists!$K$3,IF($L103&lt;1,(($U103/$L103)*((1+Inputs!$D$7)^AG$2)),((INT(AG$2/$L103)-INT((AG$2-1)/$L103))*$U103*((1+Inputs!$D$7)^AG$2))),(_xlfn.WEIBULL.DIST(AG$2,$M103,$L103,FALSE)*$U103*((1+Inputs!$D$7)^AG$2))),IF($N103=Lists!$K$3,IF($L103&lt;1,((($T103*(1-$F103)+$S103*(1-$G103))/$L103)*((1+Inputs!$D$7)^AG$2)),((INT(AG$2/$L103)-INT((AG$2-1)/$L103))*($T103*(1-$F103)+$S103*(1-$G103))*((1+Inputs!$D$7)^AG$2))),((_xlfn.WEIBULL.DIST(AG$2,$M103,$L103,FALSE)*($T103*(1-$F103)+$S103*(1-$G103))*((1+Inputs!$D$7)^AG$2))))))</f>
        <v>0</v>
      </c>
      <c r="AH103" s="88">
        <f>$E103*IF(AH$2&gt;Inputs!$D$5,0,IF(AH$2&gt;VLOOKUP($H103,Lists!$P$3:$Q$7,2),IF($N103=Lists!$K$3,IF($L103&lt;1,(($U103/$L103)*((1+Inputs!$D$7)^AH$2)),((INT(AH$2/$L103)-INT((AH$2-1)/$L103))*$U103*((1+Inputs!$D$7)^AH$2))),(_xlfn.WEIBULL.DIST(AH$2,$M103,$L103,FALSE)*$U103*((1+Inputs!$D$7)^AH$2))),IF($N103=Lists!$K$3,IF($L103&lt;1,((($T103*(1-$F103)+$S103*(1-$G103))/$L103)*((1+Inputs!$D$7)^AH$2)),((INT(AH$2/$L103)-INT((AH$2-1)/$L103))*($T103*(1-$F103)+$S103*(1-$G103))*((1+Inputs!$D$7)^AH$2))),((_xlfn.WEIBULL.DIST(AH$2,$M103,$L103,FALSE)*($T103*(1-$F103)+$S103*(1-$G103))*((1+Inputs!$D$7)^AH$2))))))</f>
        <v>0</v>
      </c>
      <c r="AI103" s="88">
        <f>$E103*IF(AI$2&gt;Inputs!$D$5,0,IF(AI$2&gt;VLOOKUP($H103,Lists!$P$3:$Q$7,2),IF($N103=Lists!$K$3,IF($L103&lt;1,(($U103/$L103)*((1+Inputs!$D$7)^AI$2)),((INT(AI$2/$L103)-INT((AI$2-1)/$L103))*$U103*((1+Inputs!$D$7)^AI$2))),(_xlfn.WEIBULL.DIST(AI$2,$M103,$L103,FALSE)*$U103*((1+Inputs!$D$7)^AI$2))),IF($N103=Lists!$K$3,IF($L103&lt;1,((($T103*(1-$F103)+$S103*(1-$G103))/$L103)*((1+Inputs!$D$7)^AI$2)),((INT(AI$2/$L103)-INT((AI$2-1)/$L103))*($T103*(1-$F103)+$S103*(1-$G103))*((1+Inputs!$D$7)^AI$2))),((_xlfn.WEIBULL.DIST(AI$2,$M103,$L103,FALSE)*($T103*(1-$F103)+$S103*(1-$G103))*((1+Inputs!$D$7)^AI$2))))))</f>
        <v>0</v>
      </c>
      <c r="AJ103" s="88">
        <f>$E103*IF(AJ$2&gt;Inputs!$D$5,0,IF(AJ$2&gt;VLOOKUP($H103,Lists!$P$3:$Q$7,2),IF($N103=Lists!$K$3,IF($L103&lt;1,(($U103/$L103)*((1+Inputs!$D$7)^AJ$2)),((INT(AJ$2/$L103)-INT((AJ$2-1)/$L103))*$U103*((1+Inputs!$D$7)^AJ$2))),(_xlfn.WEIBULL.DIST(AJ$2,$M103,$L103,FALSE)*$U103*((1+Inputs!$D$7)^AJ$2))),IF($N103=Lists!$K$3,IF($L103&lt;1,((($T103*(1-$F103)+$S103*(1-$G103))/$L103)*((1+Inputs!$D$7)^AJ$2)),((INT(AJ$2/$L103)-INT((AJ$2-1)/$L103))*($T103*(1-$F103)+$S103*(1-$G103))*((1+Inputs!$D$7)^AJ$2))),((_xlfn.WEIBULL.DIST(AJ$2,$M103,$L103,FALSE)*($T103*(1-$F103)+$S103*(1-$G103))*((1+Inputs!$D$7)^AJ$2))))))</f>
        <v>6618.5401951190743</v>
      </c>
      <c r="AK103" s="88">
        <f>$E103*IF(AK$2&gt;Inputs!$D$5,0,IF(AK$2&gt;VLOOKUP($H103,Lists!$P$3:$Q$7,2),IF($N103=Lists!$K$3,IF($L103&lt;1,(($U103/$L103)*((1+Inputs!$D$7)^AK$2)),((INT(AK$2/$L103)-INT((AK$2-1)/$L103))*$U103*((1+Inputs!$D$7)^AK$2))),(_xlfn.WEIBULL.DIST(AK$2,$M103,$L103,FALSE)*$U103*((1+Inputs!$D$7)^AK$2))),IF($N103=Lists!$K$3,IF($L103&lt;1,((($T103*(1-$F103)+$S103*(1-$G103))/$L103)*((1+Inputs!$D$7)^AK$2)),((INT(AK$2/$L103)-INT((AK$2-1)/$L103))*($T103*(1-$F103)+$S103*(1-$G103))*((1+Inputs!$D$7)^AK$2))),((_xlfn.WEIBULL.DIST(AK$2,$M103,$L103,FALSE)*($T103*(1-$F103)+$S103*(1-$G103))*((1+Inputs!$D$7)^AK$2))))))</f>
        <v>0</v>
      </c>
      <c r="AL103" s="88">
        <f>$E103*IF(AL$2&gt;Inputs!$D$5,0,IF(AL$2&gt;VLOOKUP($H103,Lists!$P$3:$Q$7,2),IF($N103=Lists!$K$3,IF($L103&lt;1,(($U103/$L103)*((1+Inputs!$D$7)^AL$2)),((INT(AL$2/$L103)-INT((AL$2-1)/$L103))*$U103*((1+Inputs!$D$7)^AL$2))),(_xlfn.WEIBULL.DIST(AL$2,$M103,$L103,FALSE)*$U103*((1+Inputs!$D$7)^AL$2))),IF($N103=Lists!$K$3,IF($L103&lt;1,((($T103*(1-$F103)+$S103*(1-$G103))/$L103)*((1+Inputs!$D$7)^AL$2)),((INT(AL$2/$L103)-INT((AL$2-1)/$L103))*($T103*(1-$F103)+$S103*(1-$G103))*((1+Inputs!$D$7)^AL$2))),((_xlfn.WEIBULL.DIST(AL$2,$M103,$L103,FALSE)*($T103*(1-$F103)+$S103*(1-$G103))*((1+Inputs!$D$7)^AL$2))))))</f>
        <v>0</v>
      </c>
      <c r="AM103" s="88">
        <f>$E103*IF(AM$2&gt;Inputs!$D$5,0,IF(AM$2&gt;VLOOKUP($H103,Lists!$P$3:$Q$7,2),IF($N103=Lists!$K$3,IF($L103&lt;1,(($U103/$L103)*((1+Inputs!$D$7)^AM$2)),((INT(AM$2/$L103)-INT((AM$2-1)/$L103))*$U103*((1+Inputs!$D$7)^AM$2))),(_xlfn.WEIBULL.DIST(AM$2,$M103,$L103,FALSE)*$U103*((1+Inputs!$D$7)^AM$2))),IF($N103=Lists!$K$3,IF($L103&lt;1,((($T103*(1-$F103)+$S103*(1-$G103))/$L103)*((1+Inputs!$D$7)^AM$2)),((INT(AM$2/$L103)-INT((AM$2-1)/$L103))*($T103*(1-$F103)+$S103*(1-$G103))*((1+Inputs!$D$7)^AM$2))),((_xlfn.WEIBULL.DIST(AM$2,$M103,$L103,FALSE)*($T103*(1-$F103)+$S103*(1-$G103))*((1+Inputs!$D$7)^AM$2))))))</f>
        <v>0</v>
      </c>
      <c r="AN103" s="88">
        <f>$E103*IF(AN$2&gt;Inputs!$D$5,0,IF(AN$2&gt;VLOOKUP($H103,Lists!$P$3:$Q$7,2),IF($N103=Lists!$K$3,IF($L103&lt;1,(($U103/$L103)*((1+Inputs!$D$7)^AN$2)),((INT(AN$2/$L103)-INT((AN$2-1)/$L103))*$U103*((1+Inputs!$D$7)^AN$2))),(_xlfn.WEIBULL.DIST(AN$2,$M103,$L103,FALSE)*$U103*((1+Inputs!$D$7)^AN$2))),IF($N103=Lists!$K$3,IF($L103&lt;1,((($T103*(1-$F103)+$S103*(1-$G103))/$L103)*((1+Inputs!$D$7)^AN$2)),((INT(AN$2/$L103)-INT((AN$2-1)/$L103))*($T103*(1-$F103)+$S103*(1-$G103))*((1+Inputs!$D$7)^AN$2))),((_xlfn.WEIBULL.DIST(AN$2,$M103,$L103,FALSE)*($T103*(1-$F103)+$S103*(1-$G103))*((1+Inputs!$D$7)^AN$2))))))</f>
        <v>0</v>
      </c>
      <c r="AO103" s="88">
        <f>$E103*IF(AO$2&gt;Inputs!$D$5,0,IF(AO$2&gt;VLOOKUP($H103,Lists!$P$3:$Q$7,2),IF($N103=Lists!$K$3,IF($L103&lt;1,(($U103/$L103)*((1+Inputs!$D$7)^AO$2)),((INT(AO$2/$L103)-INT((AO$2-1)/$L103))*$U103*((1+Inputs!$D$7)^AO$2))),(_xlfn.WEIBULL.DIST(AO$2,$M103,$L103,FALSE)*$U103*((1+Inputs!$D$7)^AO$2))),IF($N103=Lists!$K$3,IF($L103&lt;1,((($T103*(1-$F103)+$S103*(1-$G103))/$L103)*((1+Inputs!$D$7)^AO$2)),((INT(AO$2/$L103)-INT((AO$2-1)/$L103))*($T103*(1-$F103)+$S103*(1-$G103))*((1+Inputs!$D$7)^AO$2))),((_xlfn.WEIBULL.DIST(AO$2,$M103,$L103,FALSE)*($T103*(1-$F103)+$S103*(1-$G103))*((1+Inputs!$D$7)^AO$2))))))</f>
        <v>7307.4031746385499</v>
      </c>
      <c r="AP103" s="88">
        <f>$E103*IF(AP$2&gt;Inputs!$D$5,0,IF(AP$2&gt;VLOOKUP($H103,Lists!$P$3:$Q$7,2),IF($N103=Lists!$K$3,IF($L103&lt;1,(($U103/$L103)*((1+Inputs!$D$7)^AP$2)),((INT(AP$2/$L103)-INT((AP$2-1)/$L103))*$U103*((1+Inputs!$D$7)^AP$2))),(_xlfn.WEIBULL.DIST(AP$2,$M103,$L103,FALSE)*$U103*((1+Inputs!$D$7)^AP$2))),IF($N103=Lists!$K$3,IF($L103&lt;1,((($T103*(1-$F103)+$S103*(1-$G103))/$L103)*((1+Inputs!$D$7)^AP$2)),((INT(AP$2/$L103)-INT((AP$2-1)/$L103))*($T103*(1-$F103)+$S103*(1-$G103))*((1+Inputs!$D$7)^AP$2))),((_xlfn.WEIBULL.DIST(AP$2,$M103,$L103,FALSE)*($T103*(1-$F103)+$S103*(1-$G103))*((1+Inputs!$D$7)^AP$2))))))</f>
        <v>0</v>
      </c>
      <c r="AQ103" s="88">
        <f>$E103*IF(AQ$2&gt;Inputs!$D$5,0,IF(AQ$2&gt;VLOOKUP($H103,Lists!$P$3:$Q$7,2),IF($N103=Lists!$K$3,IF($L103&lt;1,(($U103/$L103)*((1+Inputs!$D$7)^AQ$2)),((INT(AQ$2/$L103)-INT((AQ$2-1)/$L103))*$U103*((1+Inputs!$D$7)^AQ$2))),(_xlfn.WEIBULL.DIST(AQ$2,$M103,$L103,FALSE)*$U103*((1+Inputs!$D$7)^AQ$2))),IF($N103=Lists!$K$3,IF($L103&lt;1,((($T103*(1-$F103)+$S103*(1-$G103))/$L103)*((1+Inputs!$D$7)^AQ$2)),((INT(AQ$2/$L103)-INT((AQ$2-1)/$L103))*($T103*(1-$F103)+$S103*(1-$G103))*((1+Inputs!$D$7)^AQ$2))),((_xlfn.WEIBULL.DIST(AQ$2,$M103,$L103,FALSE)*($T103*(1-$F103)+$S103*(1-$G103))*((1+Inputs!$D$7)^AQ$2))))))</f>
        <v>0</v>
      </c>
      <c r="AR103" s="88">
        <f>$E103*IF(AR$2&gt;Inputs!$D$5,0,IF(AR$2&gt;VLOOKUP($H103,Lists!$P$3:$Q$7,2),IF($N103=Lists!$K$3,IF($L103&lt;1,(($U103/$L103)*((1+Inputs!$D$7)^AR$2)),((INT(AR$2/$L103)-INT((AR$2-1)/$L103))*$U103*((1+Inputs!$D$7)^AR$2))),(_xlfn.WEIBULL.DIST(AR$2,$M103,$L103,FALSE)*$U103*((1+Inputs!$D$7)^AR$2))),IF($N103=Lists!$K$3,IF($L103&lt;1,((($T103*(1-$F103)+$S103*(1-$G103))/$L103)*((1+Inputs!$D$7)^AR$2)),((INT(AR$2/$L103)-INT((AR$2-1)/$L103))*($T103*(1-$F103)+$S103*(1-$G103))*((1+Inputs!$D$7)^AR$2))),((_xlfn.WEIBULL.DIST(AR$2,$M103,$L103,FALSE)*($T103*(1-$F103)+$S103*(1-$G103))*((1+Inputs!$D$7)^AR$2))))))</f>
        <v>0</v>
      </c>
      <c r="AS103" s="88">
        <f>$E103*IF(AS$2&gt;Inputs!$D$5,0,IF(AS$2&gt;VLOOKUP($H103,Lists!$P$3:$Q$7,2),IF($N103=Lists!$K$3,IF($L103&lt;1,(($U103/$L103)*((1+Inputs!$D$7)^AS$2)),((INT(AS$2/$L103)-INT((AS$2-1)/$L103))*$U103*((1+Inputs!$D$7)^AS$2))),(_xlfn.WEIBULL.DIST(AS$2,$M103,$L103,FALSE)*$U103*((1+Inputs!$D$7)^AS$2))),IF($N103=Lists!$K$3,IF($L103&lt;1,((($T103*(1-$F103)+$S103*(1-$G103))/$L103)*((1+Inputs!$D$7)^AS$2)),((INT(AS$2/$L103)-INT((AS$2-1)/$L103))*($T103*(1-$F103)+$S103*(1-$G103))*((1+Inputs!$D$7)^AS$2))),((_xlfn.WEIBULL.DIST(AS$2,$M103,$L103,FALSE)*($T103*(1-$F103)+$S103*(1-$G103))*((1+Inputs!$D$7)^AS$2))))))</f>
        <v>0</v>
      </c>
      <c r="AT103" s="88">
        <f>$E103*IF(AT$2&gt;Inputs!$D$5,0,IF(AT$2&gt;VLOOKUP($H103,Lists!$P$3:$Q$7,2),IF($N103=Lists!$K$3,IF($L103&lt;1,(($U103/$L103)*((1+Inputs!$D$7)^AT$2)),((INT(AT$2/$L103)-INT((AT$2-1)/$L103))*$U103*((1+Inputs!$D$7)^AT$2))),(_xlfn.WEIBULL.DIST(AT$2,$M103,$L103,FALSE)*$U103*((1+Inputs!$D$7)^AT$2))),IF($N103=Lists!$K$3,IF($L103&lt;1,((($T103*(1-$F103)+$S103*(1-$G103))/$L103)*((1+Inputs!$D$7)^AT$2)),((INT(AT$2/$L103)-INT((AT$2-1)/$L103))*($T103*(1-$F103)+$S103*(1-$G103))*((1+Inputs!$D$7)^AT$2))),((_xlfn.WEIBULL.DIST(AT$2,$M103,$L103,FALSE)*($T103*(1-$F103)+$S103*(1-$G103))*((1+Inputs!$D$7)^AT$2))))))</f>
        <v>8067.9635663611616</v>
      </c>
      <c r="AU103" s="88">
        <f>$E103*IF(AU$2&gt;Inputs!$D$5,0,IF(AU$2&gt;VLOOKUP($H103,Lists!$P$3:$Q$7,2),IF($N103=Lists!$K$3,IF($L103&lt;1,(($U103/$L103)*((1+Inputs!$D$7)^AU$2)),((INT(AU$2/$L103)-INT((AU$2-1)/$L103))*$U103*((1+Inputs!$D$7)^AU$2))),(_xlfn.WEIBULL.DIST(AU$2,$M103,$L103,FALSE)*$U103*((1+Inputs!$D$7)^AU$2))),IF($N103=Lists!$K$3,IF($L103&lt;1,((($T103*(1-$F103)+$S103*(1-$G103))/$L103)*((1+Inputs!$D$7)^AU$2)),((INT(AU$2/$L103)-INT((AU$2-1)/$L103))*($T103*(1-$F103)+$S103*(1-$G103))*((1+Inputs!$D$7)^AU$2))),((_xlfn.WEIBULL.DIST(AU$2,$M103,$L103,FALSE)*($T103*(1-$F103)+$S103*(1-$G103))*((1+Inputs!$D$7)^AU$2))))))</f>
        <v>0</v>
      </c>
      <c r="AV103" s="88">
        <f>$E103*IF(AV$2&gt;Inputs!$D$5,0,IF(AV$2&gt;VLOOKUP($H103,Lists!$P$3:$Q$7,2),IF($N103=Lists!$K$3,IF($L103&lt;1,(($U103/$L103)*((1+Inputs!$D$7)^AV$2)),((INT(AV$2/$L103)-INT((AV$2-1)/$L103))*$U103*((1+Inputs!$D$7)^AV$2))),(_xlfn.WEIBULL.DIST(AV$2,$M103,$L103,FALSE)*$U103*((1+Inputs!$D$7)^AV$2))),IF($N103=Lists!$K$3,IF($L103&lt;1,((($T103*(1-$F103)+$S103*(1-$G103))/$L103)*((1+Inputs!$D$7)^AV$2)),((INT(AV$2/$L103)-INT((AV$2-1)/$L103))*($T103*(1-$F103)+$S103*(1-$G103))*((1+Inputs!$D$7)^AV$2))),((_xlfn.WEIBULL.DIST(AV$2,$M103,$L103,FALSE)*($T103*(1-$F103)+$S103*(1-$G103))*((1+Inputs!$D$7)^AV$2))))))</f>
        <v>0</v>
      </c>
      <c r="AW103" s="88">
        <f>$E103*IF(AW$2&gt;Inputs!$D$5,0,IF(AW$2&gt;VLOOKUP($H103,Lists!$P$3:$Q$7,2),IF($N103=Lists!$K$3,IF($L103&lt;1,(($U103/$L103)*((1+Inputs!$D$7)^AW$2)),((INT(AW$2/$L103)-INT((AW$2-1)/$L103))*$U103*((1+Inputs!$D$7)^AW$2))),(_xlfn.WEIBULL.DIST(AW$2,$M103,$L103,FALSE)*$U103*((1+Inputs!$D$7)^AW$2))),IF($N103=Lists!$K$3,IF($L103&lt;1,((($T103*(1-$F103)+$S103*(1-$G103))/$L103)*((1+Inputs!$D$7)^AW$2)),((INT(AW$2/$L103)-INT((AW$2-1)/$L103))*($T103*(1-$F103)+$S103*(1-$G103))*((1+Inputs!$D$7)^AW$2))),((_xlfn.WEIBULL.DIST(AW$2,$M103,$L103,FALSE)*($T103*(1-$F103)+$S103*(1-$G103))*((1+Inputs!$D$7)^AW$2))))))</f>
        <v>0</v>
      </c>
      <c r="AX103" s="88">
        <f>$E103*IF(AX$2&gt;Inputs!$D$5,0,IF(AX$2&gt;VLOOKUP($H103,Lists!$P$3:$Q$7,2),IF($N103=Lists!$K$3,IF($L103&lt;1,(($U103/$L103)*((1+Inputs!$D$7)^AX$2)),((INT(AX$2/$L103)-INT((AX$2-1)/$L103))*$U103*((1+Inputs!$D$7)^AX$2))),(_xlfn.WEIBULL.DIST(AX$2,$M103,$L103,FALSE)*$U103*((1+Inputs!$D$7)^AX$2))),IF($N103=Lists!$K$3,IF($L103&lt;1,((($T103*(1-$F103)+$S103*(1-$G103))/$L103)*((1+Inputs!$D$7)^AX$2)),((INT(AX$2/$L103)-INT((AX$2-1)/$L103))*($T103*(1-$F103)+$S103*(1-$G103))*((1+Inputs!$D$7)^AX$2))),((_xlfn.WEIBULL.DIST(AX$2,$M103,$L103,FALSE)*($T103*(1-$F103)+$S103*(1-$G103))*((1+Inputs!$D$7)^AX$2))))))</f>
        <v>0</v>
      </c>
      <c r="AY103" s="88">
        <f>$E103*IF(AY$2&gt;Inputs!$D$5,0,IF(AY$2&gt;VLOOKUP($H103,Lists!$P$3:$Q$7,2),IF($N103=Lists!$K$3,IF($L103&lt;1,(($U103/$L103)*((1+Inputs!$D$7)^AY$2)),((INT(AY$2/$L103)-INT((AY$2-1)/$L103))*$U103*((1+Inputs!$D$7)^AY$2))),(_xlfn.WEIBULL.DIST(AY$2,$M103,$L103,FALSE)*$U103*((1+Inputs!$D$7)^AY$2))),IF($N103=Lists!$K$3,IF($L103&lt;1,((($T103*(1-$F103)+$S103*(1-$G103))/$L103)*((1+Inputs!$D$7)^AY$2)),((INT(AY$2/$L103)-INT((AY$2-1)/$L103))*($T103*(1-$F103)+$S103*(1-$G103))*((1+Inputs!$D$7)^AY$2))),((_xlfn.WEIBULL.DIST(AY$2,$M103,$L103,FALSE)*($T103*(1-$F103)+$S103*(1-$G103))*((1+Inputs!$D$7)^AY$2))))))</f>
        <v>8907.6836945363666</v>
      </c>
      <c r="AZ103" s="88">
        <f>$E103*IF(AZ$2&gt;Inputs!$D$5,0,IF(AZ$2&gt;VLOOKUP($H103,Lists!$P$3:$Q$7,2),IF($N103=Lists!$K$3,IF($L103&lt;1,(($U103/$L103)*((1+Inputs!$D$7)^AZ$2)),((INT(AZ$2/$L103)-INT((AZ$2-1)/$L103))*$U103*((1+Inputs!$D$7)^AZ$2))),(_xlfn.WEIBULL.DIST(AZ$2,$M103,$L103,FALSE)*$U103*((1+Inputs!$D$7)^AZ$2))),IF($N103=Lists!$K$3,IF($L103&lt;1,((($T103*(1-$F103)+$S103*(1-$G103))/$L103)*((1+Inputs!$D$7)^AZ$2)),((INT(AZ$2/$L103)-INT((AZ$2-1)/$L103))*($T103*(1-$F103)+$S103*(1-$G103))*((1+Inputs!$D$7)^AZ$2))),((_xlfn.WEIBULL.DIST(AZ$2,$M103,$L103,FALSE)*($T103*(1-$F103)+$S103*(1-$G103))*((1+Inputs!$D$7)^AZ$2))))))</f>
        <v>0</v>
      </c>
      <c r="BA103" s="88">
        <f>$E103*IF(BA$2&gt;Inputs!$D$5,0,IF(BA$2&gt;VLOOKUP($H103,Lists!$P$3:$Q$7,2),IF($N103=Lists!$K$3,IF($L103&lt;1,(($U103/$L103)*((1+Inputs!$D$7)^BA$2)),((INT(BA$2/$L103)-INT((BA$2-1)/$L103))*$U103*((1+Inputs!$D$7)^BA$2))),(_xlfn.WEIBULL.DIST(BA$2,$M103,$L103,FALSE)*$U103*((1+Inputs!$D$7)^BA$2))),IF($N103=Lists!$K$3,IF($L103&lt;1,((($T103*(1-$F103)+$S103*(1-$G103))/$L103)*((1+Inputs!$D$7)^BA$2)),((INT(BA$2/$L103)-INT((BA$2-1)/$L103))*($T103*(1-$F103)+$S103*(1-$G103))*((1+Inputs!$D$7)^BA$2))),((_xlfn.WEIBULL.DIST(BA$2,$M103,$L103,FALSE)*($T103*(1-$F103)+$S103*(1-$G103))*((1+Inputs!$D$7)^BA$2))))))</f>
        <v>0</v>
      </c>
      <c r="BB103" s="88">
        <f>$E103*IF(BB$2&gt;Inputs!$D$5,0,IF(BB$2&gt;VLOOKUP($H103,Lists!$P$3:$Q$7,2),IF($N103=Lists!$K$3,IF($L103&lt;1,(($U103/$L103)*((1+Inputs!$D$7)^BB$2)),((INT(BB$2/$L103)-INT((BB$2-1)/$L103))*$U103*((1+Inputs!$D$7)^BB$2))),(_xlfn.WEIBULL.DIST(BB$2,$M103,$L103,FALSE)*$U103*((1+Inputs!$D$7)^BB$2))),IF($N103=Lists!$K$3,IF($L103&lt;1,((($T103*(1-$F103)+$S103*(1-$G103))/$L103)*((1+Inputs!$D$7)^BB$2)),((INT(BB$2/$L103)-INT((BB$2-1)/$L103))*($T103*(1-$F103)+$S103*(1-$G103))*((1+Inputs!$D$7)^BB$2))),((_xlfn.WEIBULL.DIST(BB$2,$M103,$L103,FALSE)*($T103*(1-$F103)+$S103*(1-$G103))*((1+Inputs!$D$7)^BB$2))))))</f>
        <v>0</v>
      </c>
      <c r="BC103" s="88">
        <f>$E103*IF(BC$2&gt;Inputs!$D$5,0,IF(BC$2&gt;VLOOKUP($H103,Lists!$P$3:$Q$7,2),IF($N103=Lists!$K$3,IF($L103&lt;1,(($U103/$L103)*((1+Inputs!$D$7)^BC$2)),((INT(BC$2/$L103)-INT((BC$2-1)/$L103))*$U103*((1+Inputs!$D$7)^BC$2))),(_xlfn.WEIBULL.DIST(BC$2,$M103,$L103,FALSE)*$U103*((1+Inputs!$D$7)^BC$2))),IF($N103=Lists!$K$3,IF($L103&lt;1,((($T103*(1-$F103)+$S103*(1-$G103))/$L103)*((1+Inputs!$D$7)^BC$2)),((INT(BC$2/$L103)-INT((BC$2-1)/$L103))*($T103*(1-$F103)+$S103*(1-$G103))*((1+Inputs!$D$7)^BC$2))),((_xlfn.WEIBULL.DIST(BC$2,$M103,$L103,FALSE)*($T103*(1-$F103)+$S103*(1-$G103))*((1+Inputs!$D$7)^BC$2))))))</f>
        <v>0</v>
      </c>
      <c r="BD103" s="88">
        <f>$E103*IF(BD$2&gt;Inputs!$D$5,0,IF(BD$2&gt;VLOOKUP($H103,Lists!$P$3:$Q$7,2),IF($N103=Lists!$K$3,IF($L103&lt;1,(($U103/$L103)*((1+Inputs!$D$7)^BD$2)),((INT(BD$2/$L103)-INT((BD$2-1)/$L103))*$U103*((1+Inputs!$D$7)^BD$2))),(_xlfn.WEIBULL.DIST(BD$2,$M103,$L103,FALSE)*$U103*((1+Inputs!$D$7)^BD$2))),IF($N103=Lists!$K$3,IF($L103&lt;1,((($T103*(1-$F103)+$S103*(1-$G103))/$L103)*((1+Inputs!$D$7)^BD$2)),((INT(BD$2/$L103)-INT((BD$2-1)/$L103))*($T103*(1-$F103)+$S103*(1-$G103))*((1+Inputs!$D$7)^BD$2))),((_xlfn.WEIBULL.DIST(BD$2,$M103,$L103,FALSE)*($T103*(1-$F103)+$S103*(1-$G103))*((1+Inputs!$D$7)^BD$2))))))</f>
        <v>0</v>
      </c>
      <c r="BE103" s="88">
        <f>$E103*IF(BE$2&gt;Inputs!$D$5,0,IF(BE$2&gt;VLOOKUP($H103,Lists!$P$3:$Q$7,2),IF($N103=Lists!$K$3,IF($L103&lt;1,(($U103/$L103)*((1+Inputs!$D$7)^BE$2)),((INT(BE$2/$L103)-INT((BE$2-1)/$L103))*$U103*((1+Inputs!$D$7)^BE$2))),(_xlfn.WEIBULL.DIST(BE$2,$M103,$L103,FALSE)*$U103*((1+Inputs!$D$7)^BE$2))),IF($N103=Lists!$K$3,IF($L103&lt;1,((($T103*(1-$F103)+$S103*(1-$G103))/$L103)*((1+Inputs!$D$7)^BE$2)),((INT(BE$2/$L103)-INT((BE$2-1)/$L103))*($T103*(1-$F103)+$S103*(1-$G103))*((1+Inputs!$D$7)^BE$2))),((_xlfn.WEIBULL.DIST(BE$2,$M103,$L103,FALSE)*($T103*(1-$F103)+$S103*(1-$G103))*((1+Inputs!$D$7)^BE$2))))))</f>
        <v>0</v>
      </c>
      <c r="BF103" s="88">
        <f>$E103*IF(BF$2&gt;Inputs!$D$5,0,IF(BF$2&gt;VLOOKUP($H103,Lists!$P$3:$Q$7,2),IF($N103=Lists!$K$3,IF($L103&lt;1,(($U103/$L103)*((1+Inputs!$D$7)^BF$2)),((INT(BF$2/$L103)-INT((BF$2-1)/$L103))*$U103*((1+Inputs!$D$7)^BF$2))),(_xlfn.WEIBULL.DIST(BF$2,$M103,$L103,FALSE)*$U103*((1+Inputs!$D$7)^BF$2))),IF($N103=Lists!$K$3,IF($L103&lt;1,((($T103*(1-$F103)+$S103*(1-$G103))/$L103)*((1+Inputs!$D$7)^BF$2)),((INT(BF$2/$L103)-INT((BF$2-1)/$L103))*($T103*(1-$F103)+$S103*(1-$G103))*((1+Inputs!$D$7)^BF$2))),((_xlfn.WEIBULL.DIST(BF$2,$M103,$L103,FALSE)*($T103*(1-$F103)+$S103*(1-$G103))*((1+Inputs!$D$7)^BF$2))))))</f>
        <v>0</v>
      </c>
      <c r="BG103" s="88">
        <f>$E103*IF(BG$2&gt;Inputs!$D$5,0,IF(BG$2&gt;VLOOKUP($H103,Lists!$P$3:$Q$7,2),IF($N103=Lists!$K$3,IF($L103&lt;1,(($U103/$L103)*((1+Inputs!$D$7)^BG$2)),((INT(BG$2/$L103)-INT((BG$2-1)/$L103))*$U103*((1+Inputs!$D$7)^BG$2))),(_xlfn.WEIBULL.DIST(BG$2,$M103,$L103,FALSE)*$U103*((1+Inputs!$D$7)^BG$2))),IF($N103=Lists!$K$3,IF($L103&lt;1,((($T103*(1-$F103)+$S103*(1-$G103))/$L103)*((1+Inputs!$D$7)^BG$2)),((INT(BG$2/$L103)-INT((BG$2-1)/$L103))*($T103*(1-$F103)+$S103*(1-$G103))*((1+Inputs!$D$7)^BG$2))),((_xlfn.WEIBULL.DIST(BG$2,$M103,$L103,FALSE)*($T103*(1-$F103)+$S103*(1-$G103))*((1+Inputs!$D$7)^BG$2))))))</f>
        <v>0</v>
      </c>
      <c r="BH103" s="88">
        <f>$E103*IF(BH$2&gt;Inputs!$D$5,0,IF(BH$2&gt;VLOOKUP($H103,Lists!$P$3:$Q$7,2),IF($N103=Lists!$K$3,IF($L103&lt;1,(($U103/$L103)*((1+Inputs!$D$7)^BH$2)),((INT(BH$2/$L103)-INT((BH$2-1)/$L103))*$U103*((1+Inputs!$D$7)^BH$2))),(_xlfn.WEIBULL.DIST(BH$2,$M103,$L103,FALSE)*$U103*((1+Inputs!$D$7)^BH$2))),IF($N103=Lists!$K$3,IF($L103&lt;1,((($T103*(1-$F103)+$S103*(1-$G103))/$L103)*((1+Inputs!$D$7)^BH$2)),((INT(BH$2/$L103)-INT((BH$2-1)/$L103))*($T103*(1-$F103)+$S103*(1-$G103))*((1+Inputs!$D$7)^BH$2))),((_xlfn.WEIBULL.DIST(BH$2,$M103,$L103,FALSE)*($T103*(1-$F103)+$S103*(1-$G103))*((1+Inputs!$D$7)^BH$2))))))</f>
        <v>0</v>
      </c>
      <c r="BI103" s="88">
        <f>$E103*IF(BI$2&gt;Inputs!$D$5,0,IF(BI$2&gt;VLOOKUP($H103,Lists!$P$3:$Q$7,2),IF($N103=Lists!$K$3,IF($L103&lt;1,(($U103/$L103)*((1+Inputs!$D$7)^BI$2)),((INT(BI$2/$L103)-INT((BI$2-1)/$L103))*$U103*((1+Inputs!$D$7)^BI$2))),(_xlfn.WEIBULL.DIST(BI$2,$M103,$L103,FALSE)*$U103*((1+Inputs!$D$7)^BI$2))),IF($N103=Lists!$K$3,IF($L103&lt;1,((($T103*(1-$F103)+$S103*(1-$G103))/$L103)*((1+Inputs!$D$7)^BI$2)),((INT(BI$2/$L103)-INT((BI$2-1)/$L103))*($T103*(1-$F103)+$S103*(1-$G103))*((1+Inputs!$D$7)^BI$2))),((_xlfn.WEIBULL.DIST(BI$2,$M103,$L103,FALSE)*($T103*(1-$F103)+$S103*(1-$G103))*((1+Inputs!$D$7)^BI$2))))))</f>
        <v>0</v>
      </c>
      <c r="BJ103" s="88">
        <f>$E103*IF(BJ$2&gt;Inputs!$D$5,0,IF(BJ$2&gt;VLOOKUP($H103,Lists!$P$3:$Q$7,2),IF($N103=Lists!$K$3,IF($L103&lt;1,(($U103/$L103)*((1+Inputs!$D$7)^BJ$2)),((INT(BJ$2/$L103)-INT((BJ$2-1)/$L103))*$U103*((1+Inputs!$D$7)^BJ$2))),(_xlfn.WEIBULL.DIST(BJ$2,$M103,$L103,FALSE)*$U103*((1+Inputs!$D$7)^BJ$2))),IF($N103=Lists!$K$3,IF($L103&lt;1,((($T103*(1-$F103)+$S103*(1-$G103))/$L103)*((1+Inputs!$D$7)^BJ$2)),((INT(BJ$2/$L103)-INT((BJ$2-1)/$L103))*($T103*(1-$F103)+$S103*(1-$G103))*((1+Inputs!$D$7)^BJ$2))),((_xlfn.WEIBULL.DIST(BJ$2,$M103,$L103,FALSE)*($T103*(1-$F103)+$S103*(1-$G103))*((1+Inputs!$D$7)^BJ$2))))))</f>
        <v>0</v>
      </c>
      <c r="BK103" s="88">
        <f>$E103*IF(BK$2&gt;Inputs!$D$5,0,IF(BK$2&gt;VLOOKUP($H103,Lists!$P$3:$Q$7,2),IF($N103=Lists!$K$3,IF($L103&lt;1,(($U103/$L103)*((1+Inputs!$D$7)^BK$2)),((INT(BK$2/$L103)-INT((BK$2-1)/$L103))*$U103*((1+Inputs!$D$7)^BK$2))),(_xlfn.WEIBULL.DIST(BK$2,$M103,$L103,FALSE)*$U103*((1+Inputs!$D$7)^BK$2))),IF($N103=Lists!$K$3,IF($L103&lt;1,((($T103*(1-$F103)+$S103*(1-$G103))/$L103)*((1+Inputs!$D$7)^BK$2)),((INT(BK$2/$L103)-INT((BK$2-1)/$L103))*($T103*(1-$F103)+$S103*(1-$G103))*((1+Inputs!$D$7)^BK$2))),((_xlfn.WEIBULL.DIST(BK$2,$M103,$L103,FALSE)*($T103*(1-$F103)+$S103*(1-$G103))*((1+Inputs!$D$7)^BK$2))))))</f>
        <v>0</v>
      </c>
      <c r="BL103" s="88">
        <f>$E103*IF(BL$2&gt;Inputs!$D$5,0,IF(BL$2&gt;VLOOKUP($H103,Lists!$P$3:$Q$7,2),IF($N103=Lists!$K$3,IF($L103&lt;1,(($U103/$L103)*((1+Inputs!$D$7)^BL$2)),((INT(BL$2/$L103)-INT((BL$2-1)/$L103))*$U103*((1+Inputs!$D$7)^BL$2))),(_xlfn.WEIBULL.DIST(BL$2,$M103,$L103,FALSE)*$U103*((1+Inputs!$D$7)^BL$2))),IF($N103=Lists!$K$3,IF($L103&lt;1,((($T103*(1-$F103)+$S103*(1-$G103))/$L103)*((1+Inputs!$D$7)^BL$2)),((INT(BL$2/$L103)-INT((BL$2-1)/$L103))*($T103*(1-$F103)+$S103*(1-$G103))*((1+Inputs!$D$7)^BL$2))),((_xlfn.WEIBULL.DIST(BL$2,$M103,$L103,FALSE)*($T103*(1-$F103)+$S103*(1-$G103))*((1+Inputs!$D$7)^BL$2))))))</f>
        <v>0</v>
      </c>
      <c r="BM103" s="88">
        <f>$E103*IF(BM$2&gt;Inputs!$D$5,0,IF(BM$2&gt;VLOOKUP($H103,Lists!$P$3:$Q$7,2),IF($N103=Lists!$K$3,IF($L103&lt;1,(($U103/$L103)*((1+Inputs!$D$7)^BM$2)),((INT(BM$2/$L103)-INT((BM$2-1)/$L103))*$U103*((1+Inputs!$D$7)^BM$2))),(_xlfn.WEIBULL.DIST(BM$2,$M103,$L103,FALSE)*$U103*((1+Inputs!$D$7)^BM$2))),IF($N103=Lists!$K$3,IF($L103&lt;1,((($T103*(1-$F103)+$S103*(1-$G103))/$L103)*((1+Inputs!$D$7)^BM$2)),((INT(BM$2/$L103)-INT((BM$2-1)/$L103))*($T103*(1-$F103)+$S103*(1-$G103))*((1+Inputs!$D$7)^BM$2))),((_xlfn.WEIBULL.DIST(BM$2,$M103,$L103,FALSE)*($T103*(1-$F103)+$S103*(1-$G103))*((1+Inputs!$D$7)^BM$2))))))</f>
        <v>0</v>
      </c>
      <c r="BN103" s="88">
        <f>$E103*IF(BN$2&gt;Inputs!$D$5,0,IF(BN$2&gt;VLOOKUP($H103,Lists!$P$3:$Q$7,2),IF($N103=Lists!$K$3,IF($L103&lt;1,(($U103/$L103)*((1+Inputs!$D$7)^BN$2)),((INT(BN$2/$L103)-INT((BN$2-1)/$L103))*$U103*((1+Inputs!$D$7)^BN$2))),(_xlfn.WEIBULL.DIST(BN$2,$M103,$L103,FALSE)*$U103*((1+Inputs!$D$7)^BN$2))),IF($N103=Lists!$K$3,IF($L103&lt;1,((($T103*(1-$F103)+$S103*(1-$G103))/$L103)*((1+Inputs!$D$7)^BN$2)),((INT(BN$2/$L103)-INT((BN$2-1)/$L103))*($T103*(1-$F103)+$S103*(1-$G103))*((1+Inputs!$D$7)^BN$2))),((_xlfn.WEIBULL.DIST(BN$2,$M103,$L103,FALSE)*($T103*(1-$F103)+$S103*(1-$G103))*((1+Inputs!$D$7)^BN$2))))))</f>
        <v>0</v>
      </c>
      <c r="BO103" s="64">
        <f>NPV(Inputs!$D$6,BQ103:DD103)</f>
        <v>14013.296107535291</v>
      </c>
      <c r="BP103" s="67">
        <f t="shared" si="27"/>
        <v>6.609354583349953E-3</v>
      </c>
      <c r="BQ103" s="88">
        <f>MAX(AA103,($E103*IF(BQ$2&gt;Inputs!$D$5,0,IF(BQ$2&gt;VLOOKUP($H103,Lists!$P$3:$Q$7,2),IF($N103=Lists!$K$3,IF($L103&lt;1,(($U103/$L103)*((1+Inputs!$D$7)^BQ$2)),((INT(BQ$2/$L103)-INT((BQ$2-1)/$L103))*$U103*((1+Inputs!$D$7)^BQ$2))),(Inputs!$D$8^((1-_xlfn.WEIBULL.DIST(BQ$2,$M103,$L103,FALSE))/_xlfn.WEIBULL.DIST(BQ$2,$M103,$L103,FALSE))*$U103*((1+Inputs!$D$7)^BQ$2))),IF($N103=Lists!$K$3,IF($L103&lt;1,((($T103*(1-$F103)+$S103*(1-$G103))/$L103)*((1+Inputs!$D$7)^BQ$2)),((INT(BQ$2/$L103)-INT((BQ$2-1)/$L103))*($T103*(1-$F103)+$S103*(1-$G103))*((1+Inputs!$D$7)^BQ$2))),((Inputs!$D$8^((1-_xlfn.WEIBULL.DIST(BQ$2,$M103,$L103,FALSE))/_xlfn.WEIBULL.DIST(BQ$2,$M103,$L103,FALSE))*($T103*(1-$F103)+$S103*(1-$G103))*((1+Inputs!$D$7)^BQ$2))))))))</f>
        <v>0</v>
      </c>
      <c r="BR103" s="88">
        <f>MAX(AB103,($E103*IF(BR$2&gt;Inputs!$D$5,0,IF(BR$2&gt;VLOOKUP($H103,Lists!$P$3:$Q$7,2),IF($N103=Lists!$K$3,IF($L103&lt;1,(($U103/$L103)*((1+Inputs!$D$7)^BR$2)),((INT(BR$2/$L103)-INT((BR$2-1)/$L103))*$U103*((1+Inputs!$D$7)^BR$2))),(Inputs!$D$8^((1-_xlfn.WEIBULL.DIST(BR$2,$M103,$L103,FALSE))/_xlfn.WEIBULL.DIST(BR$2,$M103,$L103,FALSE))*$U103*((1+Inputs!$D$7)^BR$2))),IF($N103=Lists!$K$3,IF($L103&lt;1,((($T103*(1-$F103)+$S103*(1-$G103))/$L103)*((1+Inputs!$D$7)^BR$2)),((INT(BR$2/$L103)-INT((BR$2-1)/$L103))*($T103*(1-$F103)+$S103*(1-$G103))*((1+Inputs!$D$7)^BR$2))),((Inputs!$D$8^((1-_xlfn.WEIBULL.DIST(BR$2,$M103,$L103,FALSE))/_xlfn.WEIBULL.DIST(BR$2,$M103,$L103,FALSE))*($T103*(1-$F103)+$S103*(1-$G103))*((1+Inputs!$D$7)^BR$2))))))))</f>
        <v>0</v>
      </c>
      <c r="BS103" s="88">
        <f>MAX(AC103,($E103*IF(BS$2&gt;Inputs!$D$5,0,IF(BS$2&gt;VLOOKUP($H103,Lists!$P$3:$Q$7,2),IF($N103=Lists!$K$3,IF($L103&lt;1,(($U103/$L103)*((1+Inputs!$D$7)^BS$2)),((INT(BS$2/$L103)-INT((BS$2-1)/$L103))*$U103*((1+Inputs!$D$7)^BS$2))),(Inputs!$D$8^((1-_xlfn.WEIBULL.DIST(BS$2,$M103,$L103,FALSE))/_xlfn.WEIBULL.DIST(BS$2,$M103,$L103,FALSE))*$U103*((1+Inputs!$D$7)^BS$2))),IF($N103=Lists!$K$3,IF($L103&lt;1,((($T103*(1-$F103)+$S103*(1-$G103))/$L103)*((1+Inputs!$D$7)^BS$2)),((INT(BS$2/$L103)-INT((BS$2-1)/$L103))*($T103*(1-$F103)+$S103*(1-$G103))*((1+Inputs!$D$7)^BS$2))),((Inputs!$D$8^((1-_xlfn.WEIBULL.DIST(BS$2,$M103,$L103,FALSE))/_xlfn.WEIBULL.DIST(BS$2,$M103,$L103,FALSE))*($T103*(1-$F103)+$S103*(1-$G103))*((1+Inputs!$D$7)^BS$2))))))))</f>
        <v>0</v>
      </c>
      <c r="BT103" s="88">
        <f>MAX(AD103,($E103*IF(BT$2&gt;Inputs!$D$5,0,IF(BT$2&gt;VLOOKUP($H103,Lists!$P$3:$Q$7,2),IF($N103=Lists!$K$3,IF($L103&lt;1,(($U103/$L103)*((1+Inputs!$D$7)^BT$2)),((INT(BT$2/$L103)-INT((BT$2-1)/$L103))*$U103*((1+Inputs!$D$7)^BT$2))),(Inputs!$D$8^((1-_xlfn.WEIBULL.DIST(BT$2,$M103,$L103,FALSE))/_xlfn.WEIBULL.DIST(BT$2,$M103,$L103,FALSE))*$U103*((1+Inputs!$D$7)^BT$2))),IF($N103=Lists!$K$3,IF($L103&lt;1,((($T103*(1-$F103)+$S103*(1-$G103))/$L103)*((1+Inputs!$D$7)^BT$2)),((INT(BT$2/$L103)-INT((BT$2-1)/$L103))*($T103*(1-$F103)+$S103*(1-$G103))*((1+Inputs!$D$7)^BT$2))),((Inputs!$D$8^((1-_xlfn.WEIBULL.DIST(BT$2,$M103,$L103,FALSE))/_xlfn.WEIBULL.DIST(BT$2,$M103,$L103,FALSE))*($T103*(1-$F103)+$S103*(1-$G103))*((1+Inputs!$D$7)^BT$2))))))))</f>
        <v>0</v>
      </c>
      <c r="BU103" s="88">
        <f>MAX(AE103,($E103*IF(BU$2&gt;Inputs!$D$5,0,IF(BU$2&gt;VLOOKUP($H103,Lists!$P$3:$Q$7,2),IF($N103=Lists!$K$3,IF($L103&lt;1,(($U103/$L103)*((1+Inputs!$D$7)^BU$2)),((INT(BU$2/$L103)-INT((BU$2-1)/$L103))*$U103*((1+Inputs!$D$7)^BU$2))),(Inputs!$D$8^((1-_xlfn.WEIBULL.DIST(BU$2,$M103,$L103,FALSE))/_xlfn.WEIBULL.DIST(BU$2,$M103,$L103,FALSE))*$U103*((1+Inputs!$D$7)^BU$2))),IF($N103=Lists!$K$3,IF($L103&lt;1,((($T103*(1-$F103)+$S103*(1-$G103))/$L103)*((1+Inputs!$D$7)^BU$2)),((INT(BU$2/$L103)-INT((BU$2-1)/$L103))*($T103*(1-$F103)+$S103*(1-$G103))*((1+Inputs!$D$7)^BU$2))),((Inputs!$D$8^((1-_xlfn.WEIBULL.DIST(BU$2,$M103,$L103,FALSE))/_xlfn.WEIBULL.DIST(BU$2,$M103,$L103,FALSE))*($T103*(1-$F103)+$S103*(1-$G103))*((1+Inputs!$D$7)^BU$2))))))))</f>
        <v>5994.6157708170485</v>
      </c>
      <c r="BV103" s="88">
        <f>MAX(AF103,($E103*IF(BV$2&gt;Inputs!$D$5,0,IF(BV$2&gt;VLOOKUP($H103,Lists!$P$3:$Q$7,2),IF($N103=Lists!$K$3,IF($L103&lt;1,(($U103/$L103)*((1+Inputs!$D$7)^BV$2)),((INT(BV$2/$L103)-INT((BV$2-1)/$L103))*$U103*((1+Inputs!$D$7)^BV$2))),(Inputs!$D$8^((1-_xlfn.WEIBULL.DIST(BV$2,$M103,$L103,FALSE))/_xlfn.WEIBULL.DIST(BV$2,$M103,$L103,FALSE))*$U103*((1+Inputs!$D$7)^BV$2))),IF($N103=Lists!$K$3,IF($L103&lt;1,((($T103*(1-$F103)+$S103*(1-$G103))/$L103)*((1+Inputs!$D$7)^BV$2)),((INT(BV$2/$L103)-INT((BV$2-1)/$L103))*($T103*(1-$F103)+$S103*(1-$G103))*((1+Inputs!$D$7)^BV$2))),((Inputs!$D$8^((1-_xlfn.WEIBULL.DIST(BV$2,$M103,$L103,FALSE))/_xlfn.WEIBULL.DIST(BV$2,$M103,$L103,FALSE))*($T103*(1-$F103)+$S103*(1-$G103))*((1+Inputs!$D$7)^BV$2))))))))</f>
        <v>0</v>
      </c>
      <c r="BW103" s="88">
        <f>MAX(AG103,($E103*IF(BW$2&gt;Inputs!$D$5,0,IF(BW$2&gt;VLOOKUP($H103,Lists!$P$3:$Q$7,2),IF($N103=Lists!$K$3,IF($L103&lt;1,(($U103/$L103)*((1+Inputs!$D$7)^BW$2)),((INT(BW$2/$L103)-INT((BW$2-1)/$L103))*$U103*((1+Inputs!$D$7)^BW$2))),(Inputs!$D$8^((1-_xlfn.WEIBULL.DIST(BW$2,$M103,$L103,FALSE))/_xlfn.WEIBULL.DIST(BW$2,$M103,$L103,FALSE))*$U103*((1+Inputs!$D$7)^BW$2))),IF($N103=Lists!$K$3,IF($L103&lt;1,((($T103*(1-$F103)+$S103*(1-$G103))/$L103)*((1+Inputs!$D$7)^BW$2)),((INT(BW$2/$L103)-INT((BW$2-1)/$L103))*($T103*(1-$F103)+$S103*(1-$G103))*((1+Inputs!$D$7)^BW$2))),((Inputs!$D$8^((1-_xlfn.WEIBULL.DIST(BW$2,$M103,$L103,FALSE))/_xlfn.WEIBULL.DIST(BW$2,$M103,$L103,FALSE))*($T103*(1-$F103)+$S103*(1-$G103))*((1+Inputs!$D$7)^BW$2))))))))</f>
        <v>0</v>
      </c>
      <c r="BX103" s="88">
        <f>MAX(AH103,($E103*IF(BX$2&gt;Inputs!$D$5,0,IF(BX$2&gt;VLOOKUP($H103,Lists!$P$3:$Q$7,2),IF($N103=Lists!$K$3,IF($L103&lt;1,(($U103/$L103)*((1+Inputs!$D$7)^BX$2)),((INT(BX$2/$L103)-INT((BX$2-1)/$L103))*$U103*((1+Inputs!$D$7)^BX$2))),(Inputs!$D$8^((1-_xlfn.WEIBULL.DIST(BX$2,$M103,$L103,FALSE))/_xlfn.WEIBULL.DIST(BX$2,$M103,$L103,FALSE))*$U103*((1+Inputs!$D$7)^BX$2))),IF($N103=Lists!$K$3,IF($L103&lt;1,((($T103*(1-$F103)+$S103*(1-$G103))/$L103)*((1+Inputs!$D$7)^BX$2)),((INT(BX$2/$L103)-INT((BX$2-1)/$L103))*($T103*(1-$F103)+$S103*(1-$G103))*((1+Inputs!$D$7)^BX$2))),((Inputs!$D$8^((1-_xlfn.WEIBULL.DIST(BX$2,$M103,$L103,FALSE))/_xlfn.WEIBULL.DIST(BX$2,$M103,$L103,FALSE))*($T103*(1-$F103)+$S103*(1-$G103))*((1+Inputs!$D$7)^BX$2))))))))</f>
        <v>0</v>
      </c>
      <c r="BY103" s="88">
        <f>MAX(AI103,($E103*IF(BY$2&gt;Inputs!$D$5,0,IF(BY$2&gt;VLOOKUP($H103,Lists!$P$3:$Q$7,2),IF($N103=Lists!$K$3,IF($L103&lt;1,(($U103/$L103)*((1+Inputs!$D$7)^BY$2)),((INT(BY$2/$L103)-INT((BY$2-1)/$L103))*$U103*((1+Inputs!$D$7)^BY$2))),(Inputs!$D$8^((1-_xlfn.WEIBULL.DIST(BY$2,$M103,$L103,FALSE))/_xlfn.WEIBULL.DIST(BY$2,$M103,$L103,FALSE))*$U103*((1+Inputs!$D$7)^BY$2))),IF($N103=Lists!$K$3,IF($L103&lt;1,((($T103*(1-$F103)+$S103*(1-$G103))/$L103)*((1+Inputs!$D$7)^BY$2)),((INT(BY$2/$L103)-INT((BY$2-1)/$L103))*($T103*(1-$F103)+$S103*(1-$G103))*((1+Inputs!$D$7)^BY$2))),((Inputs!$D$8^((1-_xlfn.WEIBULL.DIST(BY$2,$M103,$L103,FALSE))/_xlfn.WEIBULL.DIST(BY$2,$M103,$L103,FALSE))*($T103*(1-$F103)+$S103*(1-$G103))*((1+Inputs!$D$7)^BY$2))))))))</f>
        <v>0</v>
      </c>
      <c r="BZ103" s="88">
        <f>MAX(AJ103,($E103*IF(BZ$2&gt;Inputs!$D$5,0,IF(BZ$2&gt;VLOOKUP($H103,Lists!$P$3:$Q$7,2),IF($N103=Lists!$K$3,IF($L103&lt;1,(($U103/$L103)*((1+Inputs!$D$7)^BZ$2)),((INT(BZ$2/$L103)-INT((BZ$2-1)/$L103))*$U103*((1+Inputs!$D$7)^BZ$2))),(Inputs!$D$8^((1-_xlfn.WEIBULL.DIST(BZ$2,$M103,$L103,FALSE))/_xlfn.WEIBULL.DIST(BZ$2,$M103,$L103,FALSE))*$U103*((1+Inputs!$D$7)^BZ$2))),IF($N103=Lists!$K$3,IF($L103&lt;1,((($T103*(1-$F103)+$S103*(1-$G103))/$L103)*((1+Inputs!$D$7)^BZ$2)),((INT(BZ$2/$L103)-INT((BZ$2-1)/$L103))*($T103*(1-$F103)+$S103*(1-$G103))*((1+Inputs!$D$7)^BZ$2))),((Inputs!$D$8^((1-_xlfn.WEIBULL.DIST(BZ$2,$M103,$L103,FALSE))/_xlfn.WEIBULL.DIST(BZ$2,$M103,$L103,FALSE))*($T103*(1-$F103)+$S103*(1-$G103))*((1+Inputs!$D$7)^BZ$2))))))))</f>
        <v>6618.5401951190743</v>
      </c>
      <c r="CA103" s="88">
        <f>MAX(AK103,($E103*IF(CA$2&gt;Inputs!$D$5,0,IF(CA$2&gt;VLOOKUP($H103,Lists!$P$3:$Q$7,2),IF($N103=Lists!$K$3,IF($L103&lt;1,(($U103/$L103)*((1+Inputs!$D$7)^CA$2)),((INT(CA$2/$L103)-INT((CA$2-1)/$L103))*$U103*((1+Inputs!$D$7)^CA$2))),(Inputs!$D$8^((1-_xlfn.WEIBULL.DIST(CA$2,$M103,$L103,FALSE))/_xlfn.WEIBULL.DIST(CA$2,$M103,$L103,FALSE))*$U103*((1+Inputs!$D$7)^CA$2))),IF($N103=Lists!$K$3,IF($L103&lt;1,((($T103*(1-$F103)+$S103*(1-$G103))/$L103)*((1+Inputs!$D$7)^CA$2)),((INT(CA$2/$L103)-INT((CA$2-1)/$L103))*($T103*(1-$F103)+$S103*(1-$G103))*((1+Inputs!$D$7)^CA$2))),((Inputs!$D$8^((1-_xlfn.WEIBULL.DIST(CA$2,$M103,$L103,FALSE))/_xlfn.WEIBULL.DIST(CA$2,$M103,$L103,FALSE))*($T103*(1-$F103)+$S103*(1-$G103))*((1+Inputs!$D$7)^CA$2))))))))</f>
        <v>0</v>
      </c>
      <c r="CB103" s="88">
        <f>MAX(AL103,($E103*IF(CB$2&gt;Inputs!$D$5,0,IF(CB$2&gt;VLOOKUP($H103,Lists!$P$3:$Q$7,2),IF($N103=Lists!$K$3,IF($L103&lt;1,(($U103/$L103)*((1+Inputs!$D$7)^CB$2)),((INT(CB$2/$L103)-INT((CB$2-1)/$L103))*$U103*((1+Inputs!$D$7)^CB$2))),(Inputs!$D$8^((1-_xlfn.WEIBULL.DIST(CB$2,$M103,$L103,FALSE))/_xlfn.WEIBULL.DIST(CB$2,$M103,$L103,FALSE))*$U103*((1+Inputs!$D$7)^CB$2))),IF($N103=Lists!$K$3,IF($L103&lt;1,((($T103*(1-$F103)+$S103*(1-$G103))/$L103)*((1+Inputs!$D$7)^CB$2)),((INT(CB$2/$L103)-INT((CB$2-1)/$L103))*($T103*(1-$F103)+$S103*(1-$G103))*((1+Inputs!$D$7)^CB$2))),((Inputs!$D$8^((1-_xlfn.WEIBULL.DIST(CB$2,$M103,$L103,FALSE))/_xlfn.WEIBULL.DIST(CB$2,$M103,$L103,FALSE))*($T103*(1-$F103)+$S103*(1-$G103))*((1+Inputs!$D$7)^CB$2))))))))</f>
        <v>0</v>
      </c>
      <c r="CC103" s="88">
        <f>MAX(AM103,($E103*IF(CC$2&gt;Inputs!$D$5,0,IF(CC$2&gt;VLOOKUP($H103,Lists!$P$3:$Q$7,2),IF($N103=Lists!$K$3,IF($L103&lt;1,(($U103/$L103)*((1+Inputs!$D$7)^CC$2)),((INT(CC$2/$L103)-INT((CC$2-1)/$L103))*$U103*((1+Inputs!$D$7)^CC$2))),(Inputs!$D$8^((1-_xlfn.WEIBULL.DIST(CC$2,$M103,$L103,FALSE))/_xlfn.WEIBULL.DIST(CC$2,$M103,$L103,FALSE))*$U103*((1+Inputs!$D$7)^CC$2))),IF($N103=Lists!$K$3,IF($L103&lt;1,((($T103*(1-$F103)+$S103*(1-$G103))/$L103)*((1+Inputs!$D$7)^CC$2)),((INT(CC$2/$L103)-INT((CC$2-1)/$L103))*($T103*(1-$F103)+$S103*(1-$G103))*((1+Inputs!$D$7)^CC$2))),((Inputs!$D$8^((1-_xlfn.WEIBULL.DIST(CC$2,$M103,$L103,FALSE))/_xlfn.WEIBULL.DIST(CC$2,$M103,$L103,FALSE))*($T103*(1-$F103)+$S103*(1-$G103))*((1+Inputs!$D$7)^CC$2))))))))</f>
        <v>0</v>
      </c>
      <c r="CD103" s="88">
        <f>MAX(AN103,($E103*IF(CD$2&gt;Inputs!$D$5,0,IF(CD$2&gt;VLOOKUP($H103,Lists!$P$3:$Q$7,2),IF($N103=Lists!$K$3,IF($L103&lt;1,(($U103/$L103)*((1+Inputs!$D$7)^CD$2)),((INT(CD$2/$L103)-INT((CD$2-1)/$L103))*$U103*((1+Inputs!$D$7)^CD$2))),(Inputs!$D$8^((1-_xlfn.WEIBULL.DIST(CD$2,$M103,$L103,FALSE))/_xlfn.WEIBULL.DIST(CD$2,$M103,$L103,FALSE))*$U103*((1+Inputs!$D$7)^CD$2))),IF($N103=Lists!$K$3,IF($L103&lt;1,((($T103*(1-$F103)+$S103*(1-$G103))/$L103)*((1+Inputs!$D$7)^CD$2)),((INT(CD$2/$L103)-INT((CD$2-1)/$L103))*($T103*(1-$F103)+$S103*(1-$G103))*((1+Inputs!$D$7)^CD$2))),((Inputs!$D$8^((1-_xlfn.WEIBULL.DIST(CD$2,$M103,$L103,FALSE))/_xlfn.WEIBULL.DIST(CD$2,$M103,$L103,FALSE))*($T103*(1-$F103)+$S103*(1-$G103))*((1+Inputs!$D$7)^CD$2))))))))</f>
        <v>0</v>
      </c>
      <c r="CE103" s="88">
        <f>MAX(AO103,($E103*IF(CE$2&gt;Inputs!$D$5,0,IF(CE$2&gt;VLOOKUP($H103,Lists!$P$3:$Q$7,2),IF($N103=Lists!$K$3,IF($L103&lt;1,(($U103/$L103)*((1+Inputs!$D$7)^CE$2)),((INT(CE$2/$L103)-INT((CE$2-1)/$L103))*$U103*((1+Inputs!$D$7)^CE$2))),(Inputs!$D$8^((1-_xlfn.WEIBULL.DIST(CE$2,$M103,$L103,FALSE))/_xlfn.WEIBULL.DIST(CE$2,$M103,$L103,FALSE))*$U103*((1+Inputs!$D$7)^CE$2))),IF($N103=Lists!$K$3,IF($L103&lt;1,((($T103*(1-$F103)+$S103*(1-$G103))/$L103)*((1+Inputs!$D$7)^CE$2)),((INT(CE$2/$L103)-INT((CE$2-1)/$L103))*($T103*(1-$F103)+$S103*(1-$G103))*((1+Inputs!$D$7)^CE$2))),((Inputs!$D$8^((1-_xlfn.WEIBULL.DIST(CE$2,$M103,$L103,FALSE))/_xlfn.WEIBULL.DIST(CE$2,$M103,$L103,FALSE))*($T103*(1-$F103)+$S103*(1-$G103))*((1+Inputs!$D$7)^CE$2))))))))</f>
        <v>7307.4031746385499</v>
      </c>
      <c r="CF103" s="88">
        <f>MAX(AP103,($E103*IF(CF$2&gt;Inputs!$D$5,0,IF(CF$2&gt;VLOOKUP($H103,Lists!$P$3:$Q$7,2),IF($N103=Lists!$K$3,IF($L103&lt;1,(($U103/$L103)*((1+Inputs!$D$7)^CF$2)),((INT(CF$2/$L103)-INT((CF$2-1)/$L103))*$U103*((1+Inputs!$D$7)^CF$2))),(Inputs!$D$8^((1-_xlfn.WEIBULL.DIST(CF$2,$M103,$L103,FALSE))/_xlfn.WEIBULL.DIST(CF$2,$M103,$L103,FALSE))*$U103*((1+Inputs!$D$7)^CF$2))),IF($N103=Lists!$K$3,IF($L103&lt;1,((($T103*(1-$F103)+$S103*(1-$G103))/$L103)*((1+Inputs!$D$7)^CF$2)),((INT(CF$2/$L103)-INT((CF$2-1)/$L103))*($T103*(1-$F103)+$S103*(1-$G103))*((1+Inputs!$D$7)^CF$2))),((Inputs!$D$8^((1-_xlfn.WEIBULL.DIST(CF$2,$M103,$L103,FALSE))/_xlfn.WEIBULL.DIST(CF$2,$M103,$L103,FALSE))*($T103*(1-$F103)+$S103*(1-$G103))*((1+Inputs!$D$7)^CF$2))))))))</f>
        <v>0</v>
      </c>
      <c r="CG103" s="88">
        <f>MAX(AQ103,($E103*IF(CG$2&gt;Inputs!$D$5,0,IF(CG$2&gt;VLOOKUP($H103,Lists!$P$3:$Q$7,2),IF($N103=Lists!$K$3,IF($L103&lt;1,(($U103/$L103)*((1+Inputs!$D$7)^CG$2)),((INT(CG$2/$L103)-INT((CG$2-1)/$L103))*$U103*((1+Inputs!$D$7)^CG$2))),(Inputs!$D$8^((1-_xlfn.WEIBULL.DIST(CG$2,$M103,$L103,FALSE))/_xlfn.WEIBULL.DIST(CG$2,$M103,$L103,FALSE))*$U103*((1+Inputs!$D$7)^CG$2))),IF($N103=Lists!$K$3,IF($L103&lt;1,((($T103*(1-$F103)+$S103*(1-$G103))/$L103)*((1+Inputs!$D$7)^CG$2)),((INT(CG$2/$L103)-INT((CG$2-1)/$L103))*($T103*(1-$F103)+$S103*(1-$G103))*((1+Inputs!$D$7)^CG$2))),((Inputs!$D$8^((1-_xlfn.WEIBULL.DIST(CG$2,$M103,$L103,FALSE))/_xlfn.WEIBULL.DIST(CG$2,$M103,$L103,FALSE))*($T103*(1-$F103)+$S103*(1-$G103))*((1+Inputs!$D$7)^CG$2))))))))</f>
        <v>0</v>
      </c>
      <c r="CH103" s="88">
        <f>MAX(AR103,($E103*IF(CH$2&gt;Inputs!$D$5,0,IF(CH$2&gt;VLOOKUP($H103,Lists!$P$3:$Q$7,2),IF($N103=Lists!$K$3,IF($L103&lt;1,(($U103/$L103)*((1+Inputs!$D$7)^CH$2)),((INT(CH$2/$L103)-INT((CH$2-1)/$L103))*$U103*((1+Inputs!$D$7)^CH$2))),(Inputs!$D$8^((1-_xlfn.WEIBULL.DIST(CH$2,$M103,$L103,FALSE))/_xlfn.WEIBULL.DIST(CH$2,$M103,$L103,FALSE))*$U103*((1+Inputs!$D$7)^CH$2))),IF($N103=Lists!$K$3,IF($L103&lt;1,((($T103*(1-$F103)+$S103*(1-$G103))/$L103)*((1+Inputs!$D$7)^CH$2)),((INT(CH$2/$L103)-INT((CH$2-1)/$L103))*($T103*(1-$F103)+$S103*(1-$G103))*((1+Inputs!$D$7)^CH$2))),((Inputs!$D$8^((1-_xlfn.WEIBULL.DIST(CH$2,$M103,$L103,FALSE))/_xlfn.WEIBULL.DIST(CH$2,$M103,$L103,FALSE))*($T103*(1-$F103)+$S103*(1-$G103))*((1+Inputs!$D$7)^CH$2))))))))</f>
        <v>0</v>
      </c>
      <c r="CI103" s="88">
        <f>MAX(AS103,($E103*IF(CI$2&gt;Inputs!$D$5,0,IF(CI$2&gt;VLOOKUP($H103,Lists!$P$3:$Q$7,2),IF($N103=Lists!$K$3,IF($L103&lt;1,(($U103/$L103)*((1+Inputs!$D$7)^CI$2)),((INT(CI$2/$L103)-INT((CI$2-1)/$L103))*$U103*((1+Inputs!$D$7)^CI$2))),(Inputs!$D$8^((1-_xlfn.WEIBULL.DIST(CI$2,$M103,$L103,FALSE))/_xlfn.WEIBULL.DIST(CI$2,$M103,$L103,FALSE))*$U103*((1+Inputs!$D$7)^CI$2))),IF($N103=Lists!$K$3,IF($L103&lt;1,((($T103*(1-$F103)+$S103*(1-$G103))/$L103)*((1+Inputs!$D$7)^CI$2)),((INT(CI$2/$L103)-INT((CI$2-1)/$L103))*($T103*(1-$F103)+$S103*(1-$G103))*((1+Inputs!$D$7)^CI$2))),((Inputs!$D$8^((1-_xlfn.WEIBULL.DIST(CI$2,$M103,$L103,FALSE))/_xlfn.WEIBULL.DIST(CI$2,$M103,$L103,FALSE))*($T103*(1-$F103)+$S103*(1-$G103))*((1+Inputs!$D$7)^CI$2))))))))</f>
        <v>0</v>
      </c>
      <c r="CJ103" s="88">
        <f>MAX(AT103,($E103*IF(CJ$2&gt;Inputs!$D$5,0,IF(CJ$2&gt;VLOOKUP($H103,Lists!$P$3:$Q$7,2),IF($N103=Lists!$K$3,IF($L103&lt;1,(($U103/$L103)*((1+Inputs!$D$7)^CJ$2)),((INT(CJ$2/$L103)-INT((CJ$2-1)/$L103))*$U103*((1+Inputs!$D$7)^CJ$2))),(Inputs!$D$8^((1-_xlfn.WEIBULL.DIST(CJ$2,$M103,$L103,FALSE))/_xlfn.WEIBULL.DIST(CJ$2,$M103,$L103,FALSE))*$U103*((1+Inputs!$D$7)^CJ$2))),IF($N103=Lists!$K$3,IF($L103&lt;1,((($T103*(1-$F103)+$S103*(1-$G103))/$L103)*((1+Inputs!$D$7)^CJ$2)),((INT(CJ$2/$L103)-INT((CJ$2-1)/$L103))*($T103*(1-$F103)+$S103*(1-$G103))*((1+Inputs!$D$7)^CJ$2))),((Inputs!$D$8^((1-_xlfn.WEIBULL.DIST(CJ$2,$M103,$L103,FALSE))/_xlfn.WEIBULL.DIST(CJ$2,$M103,$L103,FALSE))*($T103*(1-$F103)+$S103*(1-$G103))*((1+Inputs!$D$7)^CJ$2))))))))</f>
        <v>8067.9635663611616</v>
      </c>
      <c r="CK103" s="88">
        <f>MAX(AU103,($E103*IF(CK$2&gt;Inputs!$D$5,0,IF(CK$2&gt;VLOOKUP($H103,Lists!$P$3:$Q$7,2),IF($N103=Lists!$K$3,IF($L103&lt;1,(($U103/$L103)*((1+Inputs!$D$7)^CK$2)),((INT(CK$2/$L103)-INT((CK$2-1)/$L103))*$U103*((1+Inputs!$D$7)^CK$2))),(Inputs!$D$8^((1-_xlfn.WEIBULL.DIST(CK$2,$M103,$L103,FALSE))/_xlfn.WEIBULL.DIST(CK$2,$M103,$L103,FALSE))*$U103*((1+Inputs!$D$7)^CK$2))),IF($N103=Lists!$K$3,IF($L103&lt;1,((($T103*(1-$F103)+$S103*(1-$G103))/$L103)*((1+Inputs!$D$7)^CK$2)),((INT(CK$2/$L103)-INT((CK$2-1)/$L103))*($T103*(1-$F103)+$S103*(1-$G103))*((1+Inputs!$D$7)^CK$2))),((Inputs!$D$8^((1-_xlfn.WEIBULL.DIST(CK$2,$M103,$L103,FALSE))/_xlfn.WEIBULL.DIST(CK$2,$M103,$L103,FALSE))*($T103*(1-$F103)+$S103*(1-$G103))*((1+Inputs!$D$7)^CK$2))))))))</f>
        <v>0</v>
      </c>
      <c r="CL103" s="88">
        <f>MAX(AV103,($E103*IF(CL$2&gt;Inputs!$D$5,0,IF(CL$2&gt;VLOOKUP($H103,Lists!$P$3:$Q$7,2),IF($N103=Lists!$K$3,IF($L103&lt;1,(($U103/$L103)*((1+Inputs!$D$7)^CL$2)),((INT(CL$2/$L103)-INT((CL$2-1)/$L103))*$U103*((1+Inputs!$D$7)^CL$2))),(Inputs!$D$8^((1-_xlfn.WEIBULL.DIST(CL$2,$M103,$L103,FALSE))/_xlfn.WEIBULL.DIST(CL$2,$M103,$L103,FALSE))*$U103*((1+Inputs!$D$7)^CL$2))),IF($N103=Lists!$K$3,IF($L103&lt;1,((($T103*(1-$F103)+$S103*(1-$G103))/$L103)*((1+Inputs!$D$7)^CL$2)),((INT(CL$2/$L103)-INT((CL$2-1)/$L103))*($T103*(1-$F103)+$S103*(1-$G103))*((1+Inputs!$D$7)^CL$2))),((Inputs!$D$8^((1-_xlfn.WEIBULL.DIST(CL$2,$M103,$L103,FALSE))/_xlfn.WEIBULL.DIST(CL$2,$M103,$L103,FALSE))*($T103*(1-$F103)+$S103*(1-$G103))*((1+Inputs!$D$7)^CL$2))))))))</f>
        <v>0</v>
      </c>
      <c r="CM103" s="88">
        <f>MAX(AW103,($E103*IF(CM$2&gt;Inputs!$D$5,0,IF(CM$2&gt;VLOOKUP($H103,Lists!$P$3:$Q$7,2),IF($N103=Lists!$K$3,IF($L103&lt;1,(($U103/$L103)*((1+Inputs!$D$7)^CM$2)),((INT(CM$2/$L103)-INT((CM$2-1)/$L103))*$U103*((1+Inputs!$D$7)^CM$2))),(Inputs!$D$8^((1-_xlfn.WEIBULL.DIST(CM$2,$M103,$L103,FALSE))/_xlfn.WEIBULL.DIST(CM$2,$M103,$L103,FALSE))*$U103*((1+Inputs!$D$7)^CM$2))),IF($N103=Lists!$K$3,IF($L103&lt;1,((($T103*(1-$F103)+$S103*(1-$G103))/$L103)*((1+Inputs!$D$7)^CM$2)),((INT(CM$2/$L103)-INT((CM$2-1)/$L103))*($T103*(1-$F103)+$S103*(1-$G103))*((1+Inputs!$D$7)^CM$2))),((Inputs!$D$8^((1-_xlfn.WEIBULL.DIST(CM$2,$M103,$L103,FALSE))/_xlfn.WEIBULL.DIST(CM$2,$M103,$L103,FALSE))*($T103*(1-$F103)+$S103*(1-$G103))*((1+Inputs!$D$7)^CM$2))))))))</f>
        <v>0</v>
      </c>
      <c r="CN103" s="88">
        <f>MAX(AX103,($E103*IF(CN$2&gt;Inputs!$D$5,0,IF(CN$2&gt;VLOOKUP($H103,Lists!$P$3:$Q$7,2),IF($N103=Lists!$K$3,IF($L103&lt;1,(($U103/$L103)*((1+Inputs!$D$7)^CN$2)),((INT(CN$2/$L103)-INT((CN$2-1)/$L103))*$U103*((1+Inputs!$D$7)^CN$2))),(Inputs!$D$8^((1-_xlfn.WEIBULL.DIST(CN$2,$M103,$L103,FALSE))/_xlfn.WEIBULL.DIST(CN$2,$M103,$L103,FALSE))*$U103*((1+Inputs!$D$7)^CN$2))),IF($N103=Lists!$K$3,IF($L103&lt;1,((($T103*(1-$F103)+$S103*(1-$G103))/$L103)*((1+Inputs!$D$7)^CN$2)),((INT(CN$2/$L103)-INT((CN$2-1)/$L103))*($T103*(1-$F103)+$S103*(1-$G103))*((1+Inputs!$D$7)^CN$2))),((Inputs!$D$8^((1-_xlfn.WEIBULL.DIST(CN$2,$M103,$L103,FALSE))/_xlfn.WEIBULL.DIST(CN$2,$M103,$L103,FALSE))*($T103*(1-$F103)+$S103*(1-$G103))*((1+Inputs!$D$7)^CN$2))))))))</f>
        <v>0</v>
      </c>
      <c r="CO103" s="88">
        <f>MAX(AY103,($E103*IF(CO$2&gt;Inputs!$D$5,0,IF(CO$2&gt;VLOOKUP($H103,Lists!$P$3:$Q$7,2),IF($N103=Lists!$K$3,IF($L103&lt;1,(($U103/$L103)*((1+Inputs!$D$7)^CO$2)),((INT(CO$2/$L103)-INT((CO$2-1)/$L103))*$U103*((1+Inputs!$D$7)^CO$2))),(Inputs!$D$8^((1-_xlfn.WEIBULL.DIST(CO$2,$M103,$L103,FALSE))/_xlfn.WEIBULL.DIST(CO$2,$M103,$L103,FALSE))*$U103*((1+Inputs!$D$7)^CO$2))),IF($N103=Lists!$K$3,IF($L103&lt;1,((($T103*(1-$F103)+$S103*(1-$G103))/$L103)*((1+Inputs!$D$7)^CO$2)),((INT(CO$2/$L103)-INT((CO$2-1)/$L103))*($T103*(1-$F103)+$S103*(1-$G103))*((1+Inputs!$D$7)^CO$2))),((Inputs!$D$8^((1-_xlfn.WEIBULL.DIST(CO$2,$M103,$L103,FALSE))/_xlfn.WEIBULL.DIST(CO$2,$M103,$L103,FALSE))*($T103*(1-$F103)+$S103*(1-$G103))*((1+Inputs!$D$7)^CO$2))))))))</f>
        <v>8907.6836945363666</v>
      </c>
      <c r="CP103" s="88">
        <f>MAX(AZ103,($E103*IF(CP$2&gt;Inputs!$D$5,0,IF(CP$2&gt;VLOOKUP($H103,Lists!$P$3:$Q$7,2),IF($N103=Lists!$K$3,IF($L103&lt;1,(($U103/$L103)*((1+Inputs!$D$7)^CP$2)),((INT(CP$2/$L103)-INT((CP$2-1)/$L103))*$U103*((1+Inputs!$D$7)^CP$2))),(Inputs!$D$8^((1-_xlfn.WEIBULL.DIST(CP$2,$M103,$L103,FALSE))/_xlfn.WEIBULL.DIST(CP$2,$M103,$L103,FALSE))*$U103*((1+Inputs!$D$7)^CP$2))),IF($N103=Lists!$K$3,IF($L103&lt;1,((($T103*(1-$F103)+$S103*(1-$G103))/$L103)*((1+Inputs!$D$7)^CP$2)),((INT(CP$2/$L103)-INT((CP$2-1)/$L103))*($T103*(1-$F103)+$S103*(1-$G103))*((1+Inputs!$D$7)^CP$2))),((Inputs!$D$8^((1-_xlfn.WEIBULL.DIST(CP$2,$M103,$L103,FALSE))/_xlfn.WEIBULL.DIST(CP$2,$M103,$L103,FALSE))*($T103*(1-$F103)+$S103*(1-$G103))*((1+Inputs!$D$7)^CP$2))))))))</f>
        <v>0</v>
      </c>
      <c r="CQ103" s="88">
        <f>MAX(BA103,($E103*IF(CQ$2&gt;Inputs!$D$5,0,IF(CQ$2&gt;VLOOKUP($H103,Lists!$P$3:$Q$7,2),IF($N103=Lists!$K$3,IF($L103&lt;1,(($U103/$L103)*((1+Inputs!$D$7)^CQ$2)),((INT(CQ$2/$L103)-INT((CQ$2-1)/$L103))*$U103*((1+Inputs!$D$7)^CQ$2))),(Inputs!$D$8^((1-_xlfn.WEIBULL.DIST(CQ$2,$M103,$L103,FALSE))/_xlfn.WEIBULL.DIST(CQ$2,$M103,$L103,FALSE))*$U103*((1+Inputs!$D$7)^CQ$2))),IF($N103=Lists!$K$3,IF($L103&lt;1,((($T103*(1-$F103)+$S103*(1-$G103))/$L103)*((1+Inputs!$D$7)^CQ$2)),((INT(CQ$2/$L103)-INT((CQ$2-1)/$L103))*($T103*(1-$F103)+$S103*(1-$G103))*((1+Inputs!$D$7)^CQ$2))),((Inputs!$D$8^((1-_xlfn.WEIBULL.DIST(CQ$2,$M103,$L103,FALSE))/_xlfn.WEIBULL.DIST(CQ$2,$M103,$L103,FALSE))*($T103*(1-$F103)+$S103*(1-$G103))*((1+Inputs!$D$7)^CQ$2))))))))</f>
        <v>0</v>
      </c>
      <c r="CR103" s="88">
        <f>MAX(BB103,($E103*IF(CR$2&gt;Inputs!$D$5,0,IF(CR$2&gt;VLOOKUP($H103,Lists!$P$3:$Q$7,2),IF($N103=Lists!$K$3,IF($L103&lt;1,(($U103/$L103)*((1+Inputs!$D$7)^CR$2)),((INT(CR$2/$L103)-INT((CR$2-1)/$L103))*$U103*((1+Inputs!$D$7)^CR$2))),(Inputs!$D$8^((1-_xlfn.WEIBULL.DIST(CR$2,$M103,$L103,FALSE))/_xlfn.WEIBULL.DIST(CR$2,$M103,$L103,FALSE))*$U103*((1+Inputs!$D$7)^CR$2))),IF($N103=Lists!$K$3,IF($L103&lt;1,((($T103*(1-$F103)+$S103*(1-$G103))/$L103)*((1+Inputs!$D$7)^CR$2)),((INT(CR$2/$L103)-INT((CR$2-1)/$L103))*($T103*(1-$F103)+$S103*(1-$G103))*((1+Inputs!$D$7)^CR$2))),((Inputs!$D$8^((1-_xlfn.WEIBULL.DIST(CR$2,$M103,$L103,FALSE))/_xlfn.WEIBULL.DIST(CR$2,$M103,$L103,FALSE))*($T103*(1-$F103)+$S103*(1-$G103))*((1+Inputs!$D$7)^CR$2))))))))</f>
        <v>0</v>
      </c>
      <c r="CS103" s="88">
        <f>MAX(BC103,($E103*IF(CS$2&gt;Inputs!$D$5,0,IF(CS$2&gt;VLOOKUP($H103,Lists!$P$3:$Q$7,2),IF($N103=Lists!$K$3,IF($L103&lt;1,(($U103/$L103)*((1+Inputs!$D$7)^CS$2)),((INT(CS$2/$L103)-INT((CS$2-1)/$L103))*$U103*((1+Inputs!$D$7)^CS$2))),(Inputs!$D$8^((1-_xlfn.WEIBULL.DIST(CS$2,$M103,$L103,FALSE))/_xlfn.WEIBULL.DIST(CS$2,$M103,$L103,FALSE))*$U103*((1+Inputs!$D$7)^CS$2))),IF($N103=Lists!$K$3,IF($L103&lt;1,((($T103*(1-$F103)+$S103*(1-$G103))/$L103)*((1+Inputs!$D$7)^CS$2)),((INT(CS$2/$L103)-INT((CS$2-1)/$L103))*($T103*(1-$F103)+$S103*(1-$G103))*((1+Inputs!$D$7)^CS$2))),((Inputs!$D$8^((1-_xlfn.WEIBULL.DIST(CS$2,$M103,$L103,FALSE))/_xlfn.WEIBULL.DIST(CS$2,$M103,$L103,FALSE))*($T103*(1-$F103)+$S103*(1-$G103))*((1+Inputs!$D$7)^CS$2))))))))</f>
        <v>0</v>
      </c>
      <c r="CT103" s="88">
        <f>MAX(BD103,($E103*IF(CT$2&gt;Inputs!$D$5,0,IF(CT$2&gt;VLOOKUP($H103,Lists!$P$3:$Q$7,2),IF($N103=Lists!$K$3,IF($L103&lt;1,(($U103/$L103)*((1+Inputs!$D$7)^CT$2)),((INT(CT$2/$L103)-INT((CT$2-1)/$L103))*$U103*((1+Inputs!$D$7)^CT$2))),(Inputs!$D$8^((1-_xlfn.WEIBULL.DIST(CT$2,$M103,$L103,FALSE))/_xlfn.WEIBULL.DIST(CT$2,$M103,$L103,FALSE))*$U103*((1+Inputs!$D$7)^CT$2))),IF($N103=Lists!$K$3,IF($L103&lt;1,((($T103*(1-$F103)+$S103*(1-$G103))/$L103)*((1+Inputs!$D$7)^CT$2)),((INT(CT$2/$L103)-INT((CT$2-1)/$L103))*($T103*(1-$F103)+$S103*(1-$G103))*((1+Inputs!$D$7)^CT$2))),((Inputs!$D$8^((1-_xlfn.WEIBULL.DIST(CT$2,$M103,$L103,FALSE))/_xlfn.WEIBULL.DIST(CT$2,$M103,$L103,FALSE))*($T103*(1-$F103)+$S103*(1-$G103))*((1+Inputs!$D$7)^CT$2))))))))</f>
        <v>0</v>
      </c>
      <c r="CU103" s="88">
        <f>MAX(BE103,($E103*IF(CU$2&gt;Inputs!$D$5,0,IF(CU$2&gt;VLOOKUP($H103,Lists!$P$3:$Q$7,2),IF($N103=Lists!$K$3,IF($L103&lt;1,(($U103/$L103)*((1+Inputs!$D$7)^CU$2)),((INT(CU$2/$L103)-INT((CU$2-1)/$L103))*$U103*((1+Inputs!$D$7)^CU$2))),(Inputs!$D$8^((1-_xlfn.WEIBULL.DIST(CU$2,$M103,$L103,FALSE))/_xlfn.WEIBULL.DIST(CU$2,$M103,$L103,FALSE))*$U103*((1+Inputs!$D$7)^CU$2))),IF($N103=Lists!$K$3,IF($L103&lt;1,((($T103*(1-$F103)+$S103*(1-$G103))/$L103)*((1+Inputs!$D$7)^CU$2)),((INT(CU$2/$L103)-INT((CU$2-1)/$L103))*($T103*(1-$F103)+$S103*(1-$G103))*((1+Inputs!$D$7)^CU$2))),((Inputs!$D$8^((1-_xlfn.WEIBULL.DIST(CU$2,$M103,$L103,FALSE))/_xlfn.WEIBULL.DIST(CU$2,$M103,$L103,FALSE))*($T103*(1-$F103)+$S103*(1-$G103))*((1+Inputs!$D$7)^CU$2))))))))</f>
        <v>0</v>
      </c>
      <c r="CV103" s="88">
        <f>MAX(BF103,($E103*IF(CV$2&gt;Inputs!$D$5,0,IF(CV$2&gt;VLOOKUP($H103,Lists!$P$3:$Q$7,2),IF($N103=Lists!$K$3,IF($L103&lt;1,(($U103/$L103)*((1+Inputs!$D$7)^CV$2)),((INT(CV$2/$L103)-INT((CV$2-1)/$L103))*$U103*((1+Inputs!$D$7)^CV$2))),(Inputs!$D$8^((1-_xlfn.WEIBULL.DIST(CV$2,$M103,$L103,FALSE))/_xlfn.WEIBULL.DIST(CV$2,$M103,$L103,FALSE))*$U103*((1+Inputs!$D$7)^CV$2))),IF($N103=Lists!$K$3,IF($L103&lt;1,((($T103*(1-$F103)+$S103*(1-$G103))/$L103)*((1+Inputs!$D$7)^CV$2)),((INT(CV$2/$L103)-INT((CV$2-1)/$L103))*($T103*(1-$F103)+$S103*(1-$G103))*((1+Inputs!$D$7)^CV$2))),((Inputs!$D$8^((1-_xlfn.WEIBULL.DIST(CV$2,$M103,$L103,FALSE))/_xlfn.WEIBULL.DIST(CV$2,$M103,$L103,FALSE))*($T103*(1-$F103)+$S103*(1-$G103))*((1+Inputs!$D$7)^CV$2))))))))</f>
        <v>0</v>
      </c>
      <c r="CW103" s="88">
        <f>MAX(BG103,($E103*IF(CW$2&gt;Inputs!$D$5,0,IF(CW$2&gt;VLOOKUP($H103,Lists!$P$3:$Q$7,2),IF($N103=Lists!$K$3,IF($L103&lt;1,(($U103/$L103)*((1+Inputs!$D$7)^CW$2)),((INT(CW$2/$L103)-INT((CW$2-1)/$L103))*$U103*((1+Inputs!$D$7)^CW$2))),(Inputs!$D$8^((1-_xlfn.WEIBULL.DIST(CW$2,$M103,$L103,FALSE))/_xlfn.WEIBULL.DIST(CW$2,$M103,$L103,FALSE))*$U103*((1+Inputs!$D$7)^CW$2))),IF($N103=Lists!$K$3,IF($L103&lt;1,((($T103*(1-$F103)+$S103*(1-$G103))/$L103)*((1+Inputs!$D$7)^CW$2)),((INT(CW$2/$L103)-INT((CW$2-1)/$L103))*($T103*(1-$F103)+$S103*(1-$G103))*((1+Inputs!$D$7)^CW$2))),((Inputs!$D$8^((1-_xlfn.WEIBULL.DIST(CW$2,$M103,$L103,FALSE))/_xlfn.WEIBULL.DIST(CW$2,$M103,$L103,FALSE))*($T103*(1-$F103)+$S103*(1-$G103))*((1+Inputs!$D$7)^CW$2))))))))</f>
        <v>0</v>
      </c>
      <c r="CX103" s="88">
        <f>MAX(BH103,($E103*IF(CX$2&gt;Inputs!$D$5,0,IF(CX$2&gt;VLOOKUP($H103,Lists!$P$3:$Q$7,2),IF($N103=Lists!$K$3,IF($L103&lt;1,(($U103/$L103)*((1+Inputs!$D$7)^CX$2)),((INT(CX$2/$L103)-INT((CX$2-1)/$L103))*$U103*((1+Inputs!$D$7)^CX$2))),(Inputs!$D$8^((1-_xlfn.WEIBULL.DIST(CX$2,$M103,$L103,FALSE))/_xlfn.WEIBULL.DIST(CX$2,$M103,$L103,FALSE))*$U103*((1+Inputs!$D$7)^CX$2))),IF($N103=Lists!$K$3,IF($L103&lt;1,((($T103*(1-$F103)+$S103*(1-$G103))/$L103)*((1+Inputs!$D$7)^CX$2)),((INT(CX$2/$L103)-INT((CX$2-1)/$L103))*($T103*(1-$F103)+$S103*(1-$G103))*((1+Inputs!$D$7)^CX$2))),((Inputs!$D$8^((1-_xlfn.WEIBULL.DIST(CX$2,$M103,$L103,FALSE))/_xlfn.WEIBULL.DIST(CX$2,$M103,$L103,FALSE))*($T103*(1-$F103)+$S103*(1-$G103))*((1+Inputs!$D$7)^CX$2))))))))</f>
        <v>0</v>
      </c>
      <c r="CY103" s="88">
        <f>MAX(BI103,($E103*IF(CY$2&gt;Inputs!$D$5,0,IF(CY$2&gt;VLOOKUP($H103,Lists!$P$3:$Q$7,2),IF($N103=Lists!$K$3,IF($L103&lt;1,(($U103/$L103)*((1+Inputs!$D$7)^CY$2)),((INT(CY$2/$L103)-INT((CY$2-1)/$L103))*$U103*((1+Inputs!$D$7)^CY$2))),(Inputs!$D$8^((1-_xlfn.WEIBULL.DIST(CY$2,$M103,$L103,FALSE))/_xlfn.WEIBULL.DIST(CY$2,$M103,$L103,FALSE))*$U103*((1+Inputs!$D$7)^CY$2))),IF($N103=Lists!$K$3,IF($L103&lt;1,((($T103*(1-$F103)+$S103*(1-$G103))/$L103)*((1+Inputs!$D$7)^CY$2)),((INT(CY$2/$L103)-INT((CY$2-1)/$L103))*($T103*(1-$F103)+$S103*(1-$G103))*((1+Inputs!$D$7)^CY$2))),((Inputs!$D$8^((1-_xlfn.WEIBULL.DIST(CY$2,$M103,$L103,FALSE))/_xlfn.WEIBULL.DIST(CY$2,$M103,$L103,FALSE))*($T103*(1-$F103)+$S103*(1-$G103))*((1+Inputs!$D$7)^CY$2))))))))</f>
        <v>0</v>
      </c>
      <c r="CZ103" s="88">
        <f>MAX(BJ103,($E103*IF(CZ$2&gt;Inputs!$D$5,0,IF(CZ$2&gt;VLOOKUP($H103,Lists!$P$3:$Q$7,2),IF($N103=Lists!$K$3,IF($L103&lt;1,(($U103/$L103)*((1+Inputs!$D$7)^CZ$2)),((INT(CZ$2/$L103)-INT((CZ$2-1)/$L103))*$U103*((1+Inputs!$D$7)^CZ$2))),(Inputs!$D$8^((1-_xlfn.WEIBULL.DIST(CZ$2,$M103,$L103,FALSE))/_xlfn.WEIBULL.DIST(CZ$2,$M103,$L103,FALSE))*$U103*((1+Inputs!$D$7)^CZ$2))),IF($N103=Lists!$K$3,IF($L103&lt;1,((($T103*(1-$F103)+$S103*(1-$G103))/$L103)*((1+Inputs!$D$7)^CZ$2)),((INT(CZ$2/$L103)-INT((CZ$2-1)/$L103))*($T103*(1-$F103)+$S103*(1-$G103))*((1+Inputs!$D$7)^CZ$2))),((Inputs!$D$8^((1-_xlfn.WEIBULL.DIST(CZ$2,$M103,$L103,FALSE))/_xlfn.WEIBULL.DIST(CZ$2,$M103,$L103,FALSE))*($T103*(1-$F103)+$S103*(1-$G103))*((1+Inputs!$D$7)^CZ$2))))))))</f>
        <v>0</v>
      </c>
      <c r="DA103" s="88">
        <f>MAX(BK103,($E103*IF(DA$2&gt;Inputs!$D$5,0,IF(DA$2&gt;VLOOKUP($H103,Lists!$P$3:$Q$7,2),IF($N103=Lists!$K$3,IF($L103&lt;1,(($U103/$L103)*((1+Inputs!$D$7)^DA$2)),((INT(DA$2/$L103)-INT((DA$2-1)/$L103))*$U103*((1+Inputs!$D$7)^DA$2))),(Inputs!$D$8^((1-_xlfn.WEIBULL.DIST(DA$2,$M103,$L103,FALSE))/_xlfn.WEIBULL.DIST(DA$2,$M103,$L103,FALSE))*$U103*((1+Inputs!$D$7)^DA$2))),IF($N103=Lists!$K$3,IF($L103&lt;1,((($T103*(1-$F103)+$S103*(1-$G103))/$L103)*((1+Inputs!$D$7)^DA$2)),((INT(DA$2/$L103)-INT((DA$2-1)/$L103))*($T103*(1-$F103)+$S103*(1-$G103))*((1+Inputs!$D$7)^DA$2))),((Inputs!$D$8^((1-_xlfn.WEIBULL.DIST(DA$2,$M103,$L103,FALSE))/_xlfn.WEIBULL.DIST(DA$2,$M103,$L103,FALSE))*($T103*(1-$F103)+$S103*(1-$G103))*((1+Inputs!$D$7)^DA$2))))))))</f>
        <v>0</v>
      </c>
      <c r="DB103" s="88">
        <f>MAX(BL103,($E103*IF(DB$2&gt;Inputs!$D$5,0,IF(DB$2&gt;VLOOKUP($H103,Lists!$P$3:$Q$7,2),IF($N103=Lists!$K$3,IF($L103&lt;1,(($U103/$L103)*((1+Inputs!$D$7)^DB$2)),((INT(DB$2/$L103)-INT((DB$2-1)/$L103))*$U103*((1+Inputs!$D$7)^DB$2))),(Inputs!$D$8^((1-_xlfn.WEIBULL.DIST(DB$2,$M103,$L103,FALSE))/_xlfn.WEIBULL.DIST(DB$2,$M103,$L103,FALSE))*$U103*((1+Inputs!$D$7)^DB$2))),IF($N103=Lists!$K$3,IF($L103&lt;1,((($T103*(1-$F103)+$S103*(1-$G103))/$L103)*((1+Inputs!$D$7)^DB$2)),((INT(DB$2/$L103)-INT((DB$2-1)/$L103))*($T103*(1-$F103)+$S103*(1-$G103))*((1+Inputs!$D$7)^DB$2))),((Inputs!$D$8^((1-_xlfn.WEIBULL.DIST(DB$2,$M103,$L103,FALSE))/_xlfn.WEIBULL.DIST(DB$2,$M103,$L103,FALSE))*($T103*(1-$F103)+$S103*(1-$G103))*((1+Inputs!$D$7)^DB$2))))))))</f>
        <v>0</v>
      </c>
      <c r="DC103" s="88">
        <f>MAX(BM103,($E103*IF(DC$2&gt;Inputs!$D$5,0,IF(DC$2&gt;VLOOKUP($H103,Lists!$P$3:$Q$7,2),IF($N103=Lists!$K$3,IF($L103&lt;1,(($U103/$L103)*((1+Inputs!$D$7)^DC$2)),((INT(DC$2/$L103)-INT((DC$2-1)/$L103))*$U103*((1+Inputs!$D$7)^DC$2))),(Inputs!$D$8^((1-_xlfn.WEIBULL.DIST(DC$2,$M103,$L103,FALSE))/_xlfn.WEIBULL.DIST(DC$2,$M103,$L103,FALSE))*$U103*((1+Inputs!$D$7)^DC$2))),IF($N103=Lists!$K$3,IF($L103&lt;1,((($T103*(1-$F103)+$S103*(1-$G103))/$L103)*((1+Inputs!$D$7)^DC$2)),((INT(DC$2/$L103)-INT((DC$2-1)/$L103))*($T103*(1-$F103)+$S103*(1-$G103))*((1+Inputs!$D$7)^DC$2))),((Inputs!$D$8^((1-_xlfn.WEIBULL.DIST(DC$2,$M103,$L103,FALSE))/_xlfn.WEIBULL.DIST(DC$2,$M103,$L103,FALSE))*($T103*(1-$F103)+$S103*(1-$G103))*((1+Inputs!$D$7)^DC$2))))))))</f>
        <v>0</v>
      </c>
      <c r="DD103" s="88">
        <f>MAX(BN103,($E103*IF(DD$2&gt;Inputs!$D$5,0,IF(DD$2&gt;VLOOKUP($H103,Lists!$P$3:$Q$7,2),IF($N103=Lists!$K$3,IF($L103&lt;1,(($U103/$L103)*((1+Inputs!$D$7)^DD$2)),((INT(DD$2/$L103)-INT((DD$2-1)/$L103))*$U103*((1+Inputs!$D$7)^DD$2))),(Inputs!$D$8^((1-_xlfn.WEIBULL.DIST(DD$2,$M103,$L103,FALSE))/_xlfn.WEIBULL.DIST(DD$2,$M103,$L103,FALSE))*$U103*((1+Inputs!$D$7)^DD$2))),IF($N103=Lists!$K$3,IF($L103&lt;1,((($T103*(1-$F103)+$S103*(1-$G103))/$L103)*((1+Inputs!$D$7)^DD$2)),((INT(DD$2/$L103)-INT((DD$2-1)/$L103))*($T103*(1-$F103)+$S103*(1-$G103))*((1+Inputs!$D$7)^DD$2))),((Inputs!$D$8^((1-_xlfn.WEIBULL.DIST(DD$2,$M103,$L103,FALSE))/_xlfn.WEIBULL.DIST(DD$2,$M103,$L103,FALSE))*($T103*(1-$F103)+$S103*(1-$G103))*((1+Inputs!$D$7)^DD$2))))))))</f>
        <v>0</v>
      </c>
    </row>
    <row r="104" spans="1:108" ht="16">
      <c r="A104" s="57" t="s">
        <v>44</v>
      </c>
      <c r="B104" s="13" t="s">
        <v>279</v>
      </c>
      <c r="C104" s="13" t="s">
        <v>90</v>
      </c>
      <c r="D104" s="13" t="s">
        <v>35</v>
      </c>
      <c r="E104" s="48">
        <v>1</v>
      </c>
      <c r="F104" s="48">
        <v>0</v>
      </c>
      <c r="G104" s="48">
        <v>0</v>
      </c>
      <c r="H104" s="105" t="s">
        <v>350</v>
      </c>
      <c r="I104" s="14" t="s">
        <v>269</v>
      </c>
      <c r="J104" s="14" t="s">
        <v>246</v>
      </c>
      <c r="K104" s="13">
        <f>VLOOKUP(J104,'Labor Rates'!$A$1:$F$16,2)</f>
        <v>33.119999999999997</v>
      </c>
      <c r="L104" s="15">
        <v>5</v>
      </c>
      <c r="M104" s="15">
        <v>1</v>
      </c>
      <c r="N104" s="13" t="s">
        <v>236</v>
      </c>
      <c r="O104" s="61">
        <f>Inputs!$D$57*Inputs!$D$53</f>
        <v>1639.344262295082</v>
      </c>
      <c r="P104" s="15">
        <v>0.1</v>
      </c>
      <c r="Q104" s="15">
        <f t="shared" si="21"/>
        <v>32.786885245901644</v>
      </c>
      <c r="R104" s="4">
        <v>0</v>
      </c>
      <c r="S104" s="53">
        <f t="shared" si="22"/>
        <v>5429.5081967213109</v>
      </c>
      <c r="T104" s="53">
        <f t="shared" si="23"/>
        <v>0</v>
      </c>
      <c r="U104" s="54">
        <f t="shared" si="24"/>
        <v>5429.5081967213109</v>
      </c>
      <c r="V104" s="65"/>
      <c r="W104" s="58"/>
      <c r="X104" s="64">
        <f t="shared" si="25"/>
        <v>1399.4261353467919</v>
      </c>
      <c r="Y104" s="64">
        <f>NPV(Inputs!$D$6,AA104:BN104)</f>
        <v>14013.296107535291</v>
      </c>
      <c r="Z104" s="67">
        <f t="shared" si="26"/>
        <v>6.609354583349953E-3</v>
      </c>
      <c r="AA104" s="88">
        <f>$E104*IF(AA$2&gt;Inputs!$D$5,0,IF(AA$2&gt;VLOOKUP($H104,Lists!$P$3:$Q$7,2),IF($N104=Lists!$K$3,IF($L104&lt;1,(($U104/$L104)*((1+Inputs!$D$7)^AA$2)),((INT(AA$2/$L104)-INT((AA$2-1)/$L104))*$U104*((1+Inputs!$D$7)^AA$2))),(_xlfn.WEIBULL.DIST(AA$2,$M104,$L104,FALSE)*$U104*((1+Inputs!$D$7)^AA$2))),IF($N104=Lists!$K$3,IF($L104&lt;1,((($T104*(1-$F104)+$S104*(1-$G104))/$L104)*((1+Inputs!$D$7)^AA$2)),((INT(AA$2/$L104)-INT((AA$2-1)/$L104))*($T104*(1-$F104)+$S104*(1-$G104))*((1+Inputs!$D$7)^AA$2))),((_xlfn.WEIBULL.DIST(AA$2,$M104,$L104,FALSE)*($T104*(1-$F104)+$S104*(1-$G104))*((1+Inputs!$D$7)^AA$2))))))</f>
        <v>0</v>
      </c>
      <c r="AB104" s="88">
        <f>$E104*IF(AB$2&gt;Inputs!$D$5,0,IF(AB$2&gt;VLOOKUP($H104,Lists!$P$3:$Q$7,2),IF($N104=Lists!$K$3,IF($L104&lt;1,(($U104/$L104)*((1+Inputs!$D$7)^AB$2)),((INT(AB$2/$L104)-INT((AB$2-1)/$L104))*$U104*((1+Inputs!$D$7)^AB$2))),(_xlfn.WEIBULL.DIST(AB$2,$M104,$L104,FALSE)*$U104*((1+Inputs!$D$7)^AB$2))),IF($N104=Lists!$K$3,IF($L104&lt;1,((($T104*(1-$F104)+$S104*(1-$G104))/$L104)*((1+Inputs!$D$7)^AB$2)),((INT(AB$2/$L104)-INT((AB$2-1)/$L104))*($T104*(1-$F104)+$S104*(1-$G104))*((1+Inputs!$D$7)^AB$2))),((_xlfn.WEIBULL.DIST(AB$2,$M104,$L104,FALSE)*($T104*(1-$F104)+$S104*(1-$G104))*((1+Inputs!$D$7)^AB$2))))))</f>
        <v>0</v>
      </c>
      <c r="AC104" s="88">
        <f>$E104*IF(AC$2&gt;Inputs!$D$5,0,IF(AC$2&gt;VLOOKUP($H104,Lists!$P$3:$Q$7,2),IF($N104=Lists!$K$3,IF($L104&lt;1,(($U104/$L104)*((1+Inputs!$D$7)^AC$2)),((INT(AC$2/$L104)-INT((AC$2-1)/$L104))*$U104*((1+Inputs!$D$7)^AC$2))),(_xlfn.WEIBULL.DIST(AC$2,$M104,$L104,FALSE)*$U104*((1+Inputs!$D$7)^AC$2))),IF($N104=Lists!$K$3,IF($L104&lt;1,((($T104*(1-$F104)+$S104*(1-$G104))/$L104)*((1+Inputs!$D$7)^AC$2)),((INT(AC$2/$L104)-INT((AC$2-1)/$L104))*($T104*(1-$F104)+$S104*(1-$G104))*((1+Inputs!$D$7)^AC$2))),((_xlfn.WEIBULL.DIST(AC$2,$M104,$L104,FALSE)*($T104*(1-$F104)+$S104*(1-$G104))*((1+Inputs!$D$7)^AC$2))))))</f>
        <v>0</v>
      </c>
      <c r="AD104" s="88">
        <f>$E104*IF(AD$2&gt;Inputs!$D$5,0,IF(AD$2&gt;VLOOKUP($H104,Lists!$P$3:$Q$7,2),IF($N104=Lists!$K$3,IF($L104&lt;1,(($U104/$L104)*((1+Inputs!$D$7)^AD$2)),((INT(AD$2/$L104)-INT((AD$2-1)/$L104))*$U104*((1+Inputs!$D$7)^AD$2))),(_xlfn.WEIBULL.DIST(AD$2,$M104,$L104,FALSE)*$U104*((1+Inputs!$D$7)^AD$2))),IF($N104=Lists!$K$3,IF($L104&lt;1,((($T104*(1-$F104)+$S104*(1-$G104))/$L104)*((1+Inputs!$D$7)^AD$2)),((INT(AD$2/$L104)-INT((AD$2-1)/$L104))*($T104*(1-$F104)+$S104*(1-$G104))*((1+Inputs!$D$7)^AD$2))),((_xlfn.WEIBULL.DIST(AD$2,$M104,$L104,FALSE)*($T104*(1-$F104)+$S104*(1-$G104))*((1+Inputs!$D$7)^AD$2))))))</f>
        <v>0</v>
      </c>
      <c r="AE104" s="88">
        <f>$E104*IF(AE$2&gt;Inputs!$D$5,0,IF(AE$2&gt;VLOOKUP($H104,Lists!$P$3:$Q$7,2),IF($N104=Lists!$K$3,IF($L104&lt;1,(($U104/$L104)*((1+Inputs!$D$7)^AE$2)),((INT(AE$2/$L104)-INT((AE$2-1)/$L104))*$U104*((1+Inputs!$D$7)^AE$2))),(_xlfn.WEIBULL.DIST(AE$2,$M104,$L104,FALSE)*$U104*((1+Inputs!$D$7)^AE$2))),IF($N104=Lists!$K$3,IF($L104&lt;1,((($T104*(1-$F104)+$S104*(1-$G104))/$L104)*((1+Inputs!$D$7)^AE$2)),((INT(AE$2/$L104)-INT((AE$2-1)/$L104))*($T104*(1-$F104)+$S104*(1-$G104))*((1+Inputs!$D$7)^AE$2))),((_xlfn.WEIBULL.DIST(AE$2,$M104,$L104,FALSE)*($T104*(1-$F104)+$S104*(1-$G104))*((1+Inputs!$D$7)^AE$2))))))</f>
        <v>5994.6157708170485</v>
      </c>
      <c r="AF104" s="88">
        <f>$E104*IF(AF$2&gt;Inputs!$D$5,0,IF(AF$2&gt;VLOOKUP($H104,Lists!$P$3:$Q$7,2),IF($N104=Lists!$K$3,IF($L104&lt;1,(($U104/$L104)*((1+Inputs!$D$7)^AF$2)),((INT(AF$2/$L104)-INT((AF$2-1)/$L104))*$U104*((1+Inputs!$D$7)^AF$2))),(_xlfn.WEIBULL.DIST(AF$2,$M104,$L104,FALSE)*$U104*((1+Inputs!$D$7)^AF$2))),IF($N104=Lists!$K$3,IF($L104&lt;1,((($T104*(1-$F104)+$S104*(1-$G104))/$L104)*((1+Inputs!$D$7)^AF$2)),((INT(AF$2/$L104)-INT((AF$2-1)/$L104))*($T104*(1-$F104)+$S104*(1-$G104))*((1+Inputs!$D$7)^AF$2))),((_xlfn.WEIBULL.DIST(AF$2,$M104,$L104,FALSE)*($T104*(1-$F104)+$S104*(1-$G104))*((1+Inputs!$D$7)^AF$2))))))</f>
        <v>0</v>
      </c>
      <c r="AG104" s="88">
        <f>$E104*IF(AG$2&gt;Inputs!$D$5,0,IF(AG$2&gt;VLOOKUP($H104,Lists!$P$3:$Q$7,2),IF($N104=Lists!$K$3,IF($L104&lt;1,(($U104/$L104)*((1+Inputs!$D$7)^AG$2)),((INT(AG$2/$L104)-INT((AG$2-1)/$L104))*$U104*((1+Inputs!$D$7)^AG$2))),(_xlfn.WEIBULL.DIST(AG$2,$M104,$L104,FALSE)*$U104*((1+Inputs!$D$7)^AG$2))),IF($N104=Lists!$K$3,IF($L104&lt;1,((($T104*(1-$F104)+$S104*(1-$G104))/$L104)*((1+Inputs!$D$7)^AG$2)),((INT(AG$2/$L104)-INT((AG$2-1)/$L104))*($T104*(1-$F104)+$S104*(1-$G104))*((1+Inputs!$D$7)^AG$2))),((_xlfn.WEIBULL.DIST(AG$2,$M104,$L104,FALSE)*($T104*(1-$F104)+$S104*(1-$G104))*((1+Inputs!$D$7)^AG$2))))))</f>
        <v>0</v>
      </c>
      <c r="AH104" s="88">
        <f>$E104*IF(AH$2&gt;Inputs!$D$5,0,IF(AH$2&gt;VLOOKUP($H104,Lists!$P$3:$Q$7,2),IF($N104=Lists!$K$3,IF($L104&lt;1,(($U104/$L104)*((1+Inputs!$D$7)^AH$2)),((INT(AH$2/$L104)-INT((AH$2-1)/$L104))*$U104*((1+Inputs!$D$7)^AH$2))),(_xlfn.WEIBULL.DIST(AH$2,$M104,$L104,FALSE)*$U104*((1+Inputs!$D$7)^AH$2))),IF($N104=Lists!$K$3,IF($L104&lt;1,((($T104*(1-$F104)+$S104*(1-$G104))/$L104)*((1+Inputs!$D$7)^AH$2)),((INT(AH$2/$L104)-INT((AH$2-1)/$L104))*($T104*(1-$F104)+$S104*(1-$G104))*((1+Inputs!$D$7)^AH$2))),((_xlfn.WEIBULL.DIST(AH$2,$M104,$L104,FALSE)*($T104*(1-$F104)+$S104*(1-$G104))*((1+Inputs!$D$7)^AH$2))))))</f>
        <v>0</v>
      </c>
      <c r="AI104" s="88">
        <f>$E104*IF(AI$2&gt;Inputs!$D$5,0,IF(AI$2&gt;VLOOKUP($H104,Lists!$P$3:$Q$7,2),IF($N104=Lists!$K$3,IF($L104&lt;1,(($U104/$L104)*((1+Inputs!$D$7)^AI$2)),((INT(AI$2/$L104)-INT((AI$2-1)/$L104))*$U104*((1+Inputs!$D$7)^AI$2))),(_xlfn.WEIBULL.DIST(AI$2,$M104,$L104,FALSE)*$U104*((1+Inputs!$D$7)^AI$2))),IF($N104=Lists!$K$3,IF($L104&lt;1,((($T104*(1-$F104)+$S104*(1-$G104))/$L104)*((1+Inputs!$D$7)^AI$2)),((INT(AI$2/$L104)-INT((AI$2-1)/$L104))*($T104*(1-$F104)+$S104*(1-$G104))*((1+Inputs!$D$7)^AI$2))),((_xlfn.WEIBULL.DIST(AI$2,$M104,$L104,FALSE)*($T104*(1-$F104)+$S104*(1-$G104))*((1+Inputs!$D$7)^AI$2))))))</f>
        <v>0</v>
      </c>
      <c r="AJ104" s="88">
        <f>$E104*IF(AJ$2&gt;Inputs!$D$5,0,IF(AJ$2&gt;VLOOKUP($H104,Lists!$P$3:$Q$7,2),IF($N104=Lists!$K$3,IF($L104&lt;1,(($U104/$L104)*((1+Inputs!$D$7)^AJ$2)),((INT(AJ$2/$L104)-INT((AJ$2-1)/$L104))*$U104*((1+Inputs!$D$7)^AJ$2))),(_xlfn.WEIBULL.DIST(AJ$2,$M104,$L104,FALSE)*$U104*((1+Inputs!$D$7)^AJ$2))),IF($N104=Lists!$K$3,IF($L104&lt;1,((($T104*(1-$F104)+$S104*(1-$G104))/$L104)*((1+Inputs!$D$7)^AJ$2)),((INT(AJ$2/$L104)-INT((AJ$2-1)/$L104))*($T104*(1-$F104)+$S104*(1-$G104))*((1+Inputs!$D$7)^AJ$2))),((_xlfn.WEIBULL.DIST(AJ$2,$M104,$L104,FALSE)*($T104*(1-$F104)+$S104*(1-$G104))*((1+Inputs!$D$7)^AJ$2))))))</f>
        <v>6618.5401951190743</v>
      </c>
      <c r="AK104" s="88">
        <f>$E104*IF(AK$2&gt;Inputs!$D$5,0,IF(AK$2&gt;VLOOKUP($H104,Lists!$P$3:$Q$7,2),IF($N104=Lists!$K$3,IF($L104&lt;1,(($U104/$L104)*((1+Inputs!$D$7)^AK$2)),((INT(AK$2/$L104)-INT((AK$2-1)/$L104))*$U104*((1+Inputs!$D$7)^AK$2))),(_xlfn.WEIBULL.DIST(AK$2,$M104,$L104,FALSE)*$U104*((1+Inputs!$D$7)^AK$2))),IF($N104=Lists!$K$3,IF($L104&lt;1,((($T104*(1-$F104)+$S104*(1-$G104))/$L104)*((1+Inputs!$D$7)^AK$2)),((INT(AK$2/$L104)-INT((AK$2-1)/$L104))*($T104*(1-$F104)+$S104*(1-$G104))*((1+Inputs!$D$7)^AK$2))),((_xlfn.WEIBULL.DIST(AK$2,$M104,$L104,FALSE)*($T104*(1-$F104)+$S104*(1-$G104))*((1+Inputs!$D$7)^AK$2))))))</f>
        <v>0</v>
      </c>
      <c r="AL104" s="88">
        <f>$E104*IF(AL$2&gt;Inputs!$D$5,0,IF(AL$2&gt;VLOOKUP($H104,Lists!$P$3:$Q$7,2),IF($N104=Lists!$K$3,IF($L104&lt;1,(($U104/$L104)*((1+Inputs!$D$7)^AL$2)),((INT(AL$2/$L104)-INT((AL$2-1)/$L104))*$U104*((1+Inputs!$D$7)^AL$2))),(_xlfn.WEIBULL.DIST(AL$2,$M104,$L104,FALSE)*$U104*((1+Inputs!$D$7)^AL$2))),IF($N104=Lists!$K$3,IF($L104&lt;1,((($T104*(1-$F104)+$S104*(1-$G104))/$L104)*((1+Inputs!$D$7)^AL$2)),((INT(AL$2/$L104)-INT((AL$2-1)/$L104))*($T104*(1-$F104)+$S104*(1-$G104))*((1+Inputs!$D$7)^AL$2))),((_xlfn.WEIBULL.DIST(AL$2,$M104,$L104,FALSE)*($T104*(1-$F104)+$S104*(1-$G104))*((1+Inputs!$D$7)^AL$2))))))</f>
        <v>0</v>
      </c>
      <c r="AM104" s="88">
        <f>$E104*IF(AM$2&gt;Inputs!$D$5,0,IF(AM$2&gt;VLOOKUP($H104,Lists!$P$3:$Q$7,2),IF($N104=Lists!$K$3,IF($L104&lt;1,(($U104/$L104)*((1+Inputs!$D$7)^AM$2)),((INT(AM$2/$L104)-INT((AM$2-1)/$L104))*$U104*((1+Inputs!$D$7)^AM$2))),(_xlfn.WEIBULL.DIST(AM$2,$M104,$L104,FALSE)*$U104*((1+Inputs!$D$7)^AM$2))),IF($N104=Lists!$K$3,IF($L104&lt;1,((($T104*(1-$F104)+$S104*(1-$G104))/$L104)*((1+Inputs!$D$7)^AM$2)),((INT(AM$2/$L104)-INT((AM$2-1)/$L104))*($T104*(1-$F104)+$S104*(1-$G104))*((1+Inputs!$D$7)^AM$2))),((_xlfn.WEIBULL.DIST(AM$2,$M104,$L104,FALSE)*($T104*(1-$F104)+$S104*(1-$G104))*((1+Inputs!$D$7)^AM$2))))))</f>
        <v>0</v>
      </c>
      <c r="AN104" s="88">
        <f>$E104*IF(AN$2&gt;Inputs!$D$5,0,IF(AN$2&gt;VLOOKUP($H104,Lists!$P$3:$Q$7,2),IF($N104=Lists!$K$3,IF($L104&lt;1,(($U104/$L104)*((1+Inputs!$D$7)^AN$2)),((INT(AN$2/$L104)-INT((AN$2-1)/$L104))*$U104*((1+Inputs!$D$7)^AN$2))),(_xlfn.WEIBULL.DIST(AN$2,$M104,$L104,FALSE)*$U104*((1+Inputs!$D$7)^AN$2))),IF($N104=Lists!$K$3,IF($L104&lt;1,((($T104*(1-$F104)+$S104*(1-$G104))/$L104)*((1+Inputs!$D$7)^AN$2)),((INT(AN$2/$L104)-INT((AN$2-1)/$L104))*($T104*(1-$F104)+$S104*(1-$G104))*((1+Inputs!$D$7)^AN$2))),((_xlfn.WEIBULL.DIST(AN$2,$M104,$L104,FALSE)*($T104*(1-$F104)+$S104*(1-$G104))*((1+Inputs!$D$7)^AN$2))))))</f>
        <v>0</v>
      </c>
      <c r="AO104" s="88">
        <f>$E104*IF(AO$2&gt;Inputs!$D$5,0,IF(AO$2&gt;VLOOKUP($H104,Lists!$P$3:$Q$7,2),IF($N104=Lists!$K$3,IF($L104&lt;1,(($U104/$L104)*((1+Inputs!$D$7)^AO$2)),((INT(AO$2/$L104)-INT((AO$2-1)/$L104))*$U104*((1+Inputs!$D$7)^AO$2))),(_xlfn.WEIBULL.DIST(AO$2,$M104,$L104,FALSE)*$U104*((1+Inputs!$D$7)^AO$2))),IF($N104=Lists!$K$3,IF($L104&lt;1,((($T104*(1-$F104)+$S104*(1-$G104))/$L104)*((1+Inputs!$D$7)^AO$2)),((INT(AO$2/$L104)-INT((AO$2-1)/$L104))*($T104*(1-$F104)+$S104*(1-$G104))*((1+Inputs!$D$7)^AO$2))),((_xlfn.WEIBULL.DIST(AO$2,$M104,$L104,FALSE)*($T104*(1-$F104)+$S104*(1-$G104))*((1+Inputs!$D$7)^AO$2))))))</f>
        <v>7307.4031746385499</v>
      </c>
      <c r="AP104" s="88">
        <f>$E104*IF(AP$2&gt;Inputs!$D$5,0,IF(AP$2&gt;VLOOKUP($H104,Lists!$P$3:$Q$7,2),IF($N104=Lists!$K$3,IF($L104&lt;1,(($U104/$L104)*((1+Inputs!$D$7)^AP$2)),((INT(AP$2/$L104)-INT((AP$2-1)/$L104))*$U104*((1+Inputs!$D$7)^AP$2))),(_xlfn.WEIBULL.DIST(AP$2,$M104,$L104,FALSE)*$U104*((1+Inputs!$D$7)^AP$2))),IF($N104=Lists!$K$3,IF($L104&lt;1,((($T104*(1-$F104)+$S104*(1-$G104))/$L104)*((1+Inputs!$D$7)^AP$2)),((INT(AP$2/$L104)-INT((AP$2-1)/$L104))*($T104*(1-$F104)+$S104*(1-$G104))*((1+Inputs!$D$7)^AP$2))),((_xlfn.WEIBULL.DIST(AP$2,$M104,$L104,FALSE)*($T104*(1-$F104)+$S104*(1-$G104))*((1+Inputs!$D$7)^AP$2))))))</f>
        <v>0</v>
      </c>
      <c r="AQ104" s="88">
        <f>$E104*IF(AQ$2&gt;Inputs!$D$5,0,IF(AQ$2&gt;VLOOKUP($H104,Lists!$P$3:$Q$7,2),IF($N104=Lists!$K$3,IF($L104&lt;1,(($U104/$L104)*((1+Inputs!$D$7)^AQ$2)),((INT(AQ$2/$L104)-INT((AQ$2-1)/$L104))*$U104*((1+Inputs!$D$7)^AQ$2))),(_xlfn.WEIBULL.DIST(AQ$2,$M104,$L104,FALSE)*$U104*((1+Inputs!$D$7)^AQ$2))),IF($N104=Lists!$K$3,IF($L104&lt;1,((($T104*(1-$F104)+$S104*(1-$G104))/$L104)*((1+Inputs!$D$7)^AQ$2)),((INT(AQ$2/$L104)-INT((AQ$2-1)/$L104))*($T104*(1-$F104)+$S104*(1-$G104))*((1+Inputs!$D$7)^AQ$2))),((_xlfn.WEIBULL.DIST(AQ$2,$M104,$L104,FALSE)*($T104*(1-$F104)+$S104*(1-$G104))*((1+Inputs!$D$7)^AQ$2))))))</f>
        <v>0</v>
      </c>
      <c r="AR104" s="88">
        <f>$E104*IF(AR$2&gt;Inputs!$D$5,0,IF(AR$2&gt;VLOOKUP($H104,Lists!$P$3:$Q$7,2),IF($N104=Lists!$K$3,IF($L104&lt;1,(($U104/$L104)*((1+Inputs!$D$7)^AR$2)),((INT(AR$2/$L104)-INT((AR$2-1)/$L104))*$U104*((1+Inputs!$D$7)^AR$2))),(_xlfn.WEIBULL.DIST(AR$2,$M104,$L104,FALSE)*$U104*((1+Inputs!$D$7)^AR$2))),IF($N104=Lists!$K$3,IF($L104&lt;1,((($T104*(1-$F104)+$S104*(1-$G104))/$L104)*((1+Inputs!$D$7)^AR$2)),((INT(AR$2/$L104)-INT((AR$2-1)/$L104))*($T104*(1-$F104)+$S104*(1-$G104))*((1+Inputs!$D$7)^AR$2))),((_xlfn.WEIBULL.DIST(AR$2,$M104,$L104,FALSE)*($T104*(1-$F104)+$S104*(1-$G104))*((1+Inputs!$D$7)^AR$2))))))</f>
        <v>0</v>
      </c>
      <c r="AS104" s="88">
        <f>$E104*IF(AS$2&gt;Inputs!$D$5,0,IF(AS$2&gt;VLOOKUP($H104,Lists!$P$3:$Q$7,2),IF($N104=Lists!$K$3,IF($L104&lt;1,(($U104/$L104)*((1+Inputs!$D$7)^AS$2)),((INT(AS$2/$L104)-INT((AS$2-1)/$L104))*$U104*((1+Inputs!$D$7)^AS$2))),(_xlfn.WEIBULL.DIST(AS$2,$M104,$L104,FALSE)*$U104*((1+Inputs!$D$7)^AS$2))),IF($N104=Lists!$K$3,IF($L104&lt;1,((($T104*(1-$F104)+$S104*(1-$G104))/$L104)*((1+Inputs!$D$7)^AS$2)),((INT(AS$2/$L104)-INT((AS$2-1)/$L104))*($T104*(1-$F104)+$S104*(1-$G104))*((1+Inputs!$D$7)^AS$2))),((_xlfn.WEIBULL.DIST(AS$2,$M104,$L104,FALSE)*($T104*(1-$F104)+$S104*(1-$G104))*((1+Inputs!$D$7)^AS$2))))))</f>
        <v>0</v>
      </c>
      <c r="AT104" s="88">
        <f>$E104*IF(AT$2&gt;Inputs!$D$5,0,IF(AT$2&gt;VLOOKUP($H104,Lists!$P$3:$Q$7,2),IF($N104=Lists!$K$3,IF($L104&lt;1,(($U104/$L104)*((1+Inputs!$D$7)^AT$2)),((INT(AT$2/$L104)-INT((AT$2-1)/$L104))*$U104*((1+Inputs!$D$7)^AT$2))),(_xlfn.WEIBULL.DIST(AT$2,$M104,$L104,FALSE)*$U104*((1+Inputs!$D$7)^AT$2))),IF($N104=Lists!$K$3,IF($L104&lt;1,((($T104*(1-$F104)+$S104*(1-$G104))/$L104)*((1+Inputs!$D$7)^AT$2)),((INT(AT$2/$L104)-INT((AT$2-1)/$L104))*($T104*(1-$F104)+$S104*(1-$G104))*((1+Inputs!$D$7)^AT$2))),((_xlfn.WEIBULL.DIST(AT$2,$M104,$L104,FALSE)*($T104*(1-$F104)+$S104*(1-$G104))*((1+Inputs!$D$7)^AT$2))))))</f>
        <v>8067.9635663611616</v>
      </c>
      <c r="AU104" s="88">
        <f>$E104*IF(AU$2&gt;Inputs!$D$5,0,IF(AU$2&gt;VLOOKUP($H104,Lists!$P$3:$Q$7,2),IF($N104=Lists!$K$3,IF($L104&lt;1,(($U104/$L104)*((1+Inputs!$D$7)^AU$2)),((INT(AU$2/$L104)-INT((AU$2-1)/$L104))*$U104*((1+Inputs!$D$7)^AU$2))),(_xlfn.WEIBULL.DIST(AU$2,$M104,$L104,FALSE)*$U104*((1+Inputs!$D$7)^AU$2))),IF($N104=Lists!$K$3,IF($L104&lt;1,((($T104*(1-$F104)+$S104*(1-$G104))/$L104)*((1+Inputs!$D$7)^AU$2)),((INT(AU$2/$L104)-INT((AU$2-1)/$L104))*($T104*(1-$F104)+$S104*(1-$G104))*((1+Inputs!$D$7)^AU$2))),((_xlfn.WEIBULL.DIST(AU$2,$M104,$L104,FALSE)*($T104*(1-$F104)+$S104*(1-$G104))*((1+Inputs!$D$7)^AU$2))))))</f>
        <v>0</v>
      </c>
      <c r="AV104" s="88">
        <f>$E104*IF(AV$2&gt;Inputs!$D$5,0,IF(AV$2&gt;VLOOKUP($H104,Lists!$P$3:$Q$7,2),IF($N104=Lists!$K$3,IF($L104&lt;1,(($U104/$L104)*((1+Inputs!$D$7)^AV$2)),((INT(AV$2/$L104)-INT((AV$2-1)/$L104))*$U104*((1+Inputs!$D$7)^AV$2))),(_xlfn.WEIBULL.DIST(AV$2,$M104,$L104,FALSE)*$U104*((1+Inputs!$D$7)^AV$2))),IF($N104=Lists!$K$3,IF($L104&lt;1,((($T104*(1-$F104)+$S104*(1-$G104))/$L104)*((1+Inputs!$D$7)^AV$2)),((INT(AV$2/$L104)-INT((AV$2-1)/$L104))*($T104*(1-$F104)+$S104*(1-$G104))*((1+Inputs!$D$7)^AV$2))),((_xlfn.WEIBULL.DIST(AV$2,$M104,$L104,FALSE)*($T104*(1-$F104)+$S104*(1-$G104))*((1+Inputs!$D$7)^AV$2))))))</f>
        <v>0</v>
      </c>
      <c r="AW104" s="88">
        <f>$E104*IF(AW$2&gt;Inputs!$D$5,0,IF(AW$2&gt;VLOOKUP($H104,Lists!$P$3:$Q$7,2),IF($N104=Lists!$K$3,IF($L104&lt;1,(($U104/$L104)*((1+Inputs!$D$7)^AW$2)),((INT(AW$2/$L104)-INT((AW$2-1)/$L104))*$U104*((1+Inputs!$D$7)^AW$2))),(_xlfn.WEIBULL.DIST(AW$2,$M104,$L104,FALSE)*$U104*((1+Inputs!$D$7)^AW$2))),IF($N104=Lists!$K$3,IF($L104&lt;1,((($T104*(1-$F104)+$S104*(1-$G104))/$L104)*((1+Inputs!$D$7)^AW$2)),((INT(AW$2/$L104)-INT((AW$2-1)/$L104))*($T104*(1-$F104)+$S104*(1-$G104))*((1+Inputs!$D$7)^AW$2))),((_xlfn.WEIBULL.DIST(AW$2,$M104,$L104,FALSE)*($T104*(1-$F104)+$S104*(1-$G104))*((1+Inputs!$D$7)^AW$2))))))</f>
        <v>0</v>
      </c>
      <c r="AX104" s="88">
        <f>$E104*IF(AX$2&gt;Inputs!$D$5,0,IF(AX$2&gt;VLOOKUP($H104,Lists!$P$3:$Q$7,2),IF($N104=Lists!$K$3,IF($L104&lt;1,(($U104/$L104)*((1+Inputs!$D$7)^AX$2)),((INT(AX$2/$L104)-INT((AX$2-1)/$L104))*$U104*((1+Inputs!$D$7)^AX$2))),(_xlfn.WEIBULL.DIST(AX$2,$M104,$L104,FALSE)*$U104*((1+Inputs!$D$7)^AX$2))),IF($N104=Lists!$K$3,IF($L104&lt;1,((($T104*(1-$F104)+$S104*(1-$G104))/$L104)*((1+Inputs!$D$7)^AX$2)),((INT(AX$2/$L104)-INT((AX$2-1)/$L104))*($T104*(1-$F104)+$S104*(1-$G104))*((1+Inputs!$D$7)^AX$2))),((_xlfn.WEIBULL.DIST(AX$2,$M104,$L104,FALSE)*($T104*(1-$F104)+$S104*(1-$G104))*((1+Inputs!$D$7)^AX$2))))))</f>
        <v>0</v>
      </c>
      <c r="AY104" s="88">
        <f>$E104*IF(AY$2&gt;Inputs!$D$5,0,IF(AY$2&gt;VLOOKUP($H104,Lists!$P$3:$Q$7,2),IF($N104=Lists!$K$3,IF($L104&lt;1,(($U104/$L104)*((1+Inputs!$D$7)^AY$2)),((INT(AY$2/$L104)-INT((AY$2-1)/$L104))*$U104*((1+Inputs!$D$7)^AY$2))),(_xlfn.WEIBULL.DIST(AY$2,$M104,$L104,FALSE)*$U104*((1+Inputs!$D$7)^AY$2))),IF($N104=Lists!$K$3,IF($L104&lt;1,((($T104*(1-$F104)+$S104*(1-$G104))/$L104)*((1+Inputs!$D$7)^AY$2)),((INT(AY$2/$L104)-INT((AY$2-1)/$L104))*($T104*(1-$F104)+$S104*(1-$G104))*((1+Inputs!$D$7)^AY$2))),((_xlfn.WEIBULL.DIST(AY$2,$M104,$L104,FALSE)*($T104*(1-$F104)+$S104*(1-$G104))*((1+Inputs!$D$7)^AY$2))))))</f>
        <v>8907.6836945363666</v>
      </c>
      <c r="AZ104" s="88">
        <f>$E104*IF(AZ$2&gt;Inputs!$D$5,0,IF(AZ$2&gt;VLOOKUP($H104,Lists!$P$3:$Q$7,2),IF($N104=Lists!$K$3,IF($L104&lt;1,(($U104/$L104)*((1+Inputs!$D$7)^AZ$2)),((INT(AZ$2/$L104)-INT((AZ$2-1)/$L104))*$U104*((1+Inputs!$D$7)^AZ$2))),(_xlfn.WEIBULL.DIST(AZ$2,$M104,$L104,FALSE)*$U104*((1+Inputs!$D$7)^AZ$2))),IF($N104=Lists!$K$3,IF($L104&lt;1,((($T104*(1-$F104)+$S104*(1-$G104))/$L104)*((1+Inputs!$D$7)^AZ$2)),((INT(AZ$2/$L104)-INT((AZ$2-1)/$L104))*($T104*(1-$F104)+$S104*(1-$G104))*((1+Inputs!$D$7)^AZ$2))),((_xlfn.WEIBULL.DIST(AZ$2,$M104,$L104,FALSE)*($T104*(1-$F104)+$S104*(1-$G104))*((1+Inputs!$D$7)^AZ$2))))))</f>
        <v>0</v>
      </c>
      <c r="BA104" s="88">
        <f>$E104*IF(BA$2&gt;Inputs!$D$5,0,IF(BA$2&gt;VLOOKUP($H104,Lists!$P$3:$Q$7,2),IF($N104=Lists!$K$3,IF($L104&lt;1,(($U104/$L104)*((1+Inputs!$D$7)^BA$2)),((INT(BA$2/$L104)-INT((BA$2-1)/$L104))*$U104*((1+Inputs!$D$7)^BA$2))),(_xlfn.WEIBULL.DIST(BA$2,$M104,$L104,FALSE)*$U104*((1+Inputs!$D$7)^BA$2))),IF($N104=Lists!$K$3,IF($L104&lt;1,((($T104*(1-$F104)+$S104*(1-$G104))/$L104)*((1+Inputs!$D$7)^BA$2)),((INT(BA$2/$L104)-INT((BA$2-1)/$L104))*($T104*(1-$F104)+$S104*(1-$G104))*((1+Inputs!$D$7)^BA$2))),((_xlfn.WEIBULL.DIST(BA$2,$M104,$L104,FALSE)*($T104*(1-$F104)+$S104*(1-$G104))*((1+Inputs!$D$7)^BA$2))))))</f>
        <v>0</v>
      </c>
      <c r="BB104" s="88">
        <f>$E104*IF(BB$2&gt;Inputs!$D$5,0,IF(BB$2&gt;VLOOKUP($H104,Lists!$P$3:$Q$7,2),IF($N104=Lists!$K$3,IF($L104&lt;1,(($U104/$L104)*((1+Inputs!$D$7)^BB$2)),((INT(BB$2/$L104)-INT((BB$2-1)/$L104))*$U104*((1+Inputs!$D$7)^BB$2))),(_xlfn.WEIBULL.DIST(BB$2,$M104,$L104,FALSE)*$U104*((1+Inputs!$D$7)^BB$2))),IF($N104=Lists!$K$3,IF($L104&lt;1,((($T104*(1-$F104)+$S104*(1-$G104))/$L104)*((1+Inputs!$D$7)^BB$2)),((INT(BB$2/$L104)-INT((BB$2-1)/$L104))*($T104*(1-$F104)+$S104*(1-$G104))*((1+Inputs!$D$7)^BB$2))),((_xlfn.WEIBULL.DIST(BB$2,$M104,$L104,FALSE)*($T104*(1-$F104)+$S104*(1-$G104))*((1+Inputs!$D$7)^BB$2))))))</f>
        <v>0</v>
      </c>
      <c r="BC104" s="88">
        <f>$E104*IF(BC$2&gt;Inputs!$D$5,0,IF(BC$2&gt;VLOOKUP($H104,Lists!$P$3:$Q$7,2),IF($N104=Lists!$K$3,IF($L104&lt;1,(($U104/$L104)*((1+Inputs!$D$7)^BC$2)),((INT(BC$2/$L104)-INT((BC$2-1)/$L104))*$U104*((1+Inputs!$D$7)^BC$2))),(_xlfn.WEIBULL.DIST(BC$2,$M104,$L104,FALSE)*$U104*((1+Inputs!$D$7)^BC$2))),IF($N104=Lists!$K$3,IF($L104&lt;1,((($T104*(1-$F104)+$S104*(1-$G104))/$L104)*((1+Inputs!$D$7)^BC$2)),((INT(BC$2/$L104)-INT((BC$2-1)/$L104))*($T104*(1-$F104)+$S104*(1-$G104))*((1+Inputs!$D$7)^BC$2))),((_xlfn.WEIBULL.DIST(BC$2,$M104,$L104,FALSE)*($T104*(1-$F104)+$S104*(1-$G104))*((1+Inputs!$D$7)^BC$2))))))</f>
        <v>0</v>
      </c>
      <c r="BD104" s="88">
        <f>$E104*IF(BD$2&gt;Inputs!$D$5,0,IF(BD$2&gt;VLOOKUP($H104,Lists!$P$3:$Q$7,2),IF($N104=Lists!$K$3,IF($L104&lt;1,(($U104/$L104)*((1+Inputs!$D$7)^BD$2)),((INT(BD$2/$L104)-INT((BD$2-1)/$L104))*$U104*((1+Inputs!$D$7)^BD$2))),(_xlfn.WEIBULL.DIST(BD$2,$M104,$L104,FALSE)*$U104*((1+Inputs!$D$7)^BD$2))),IF($N104=Lists!$K$3,IF($L104&lt;1,((($T104*(1-$F104)+$S104*(1-$G104))/$L104)*((1+Inputs!$D$7)^BD$2)),((INT(BD$2/$L104)-INT((BD$2-1)/$L104))*($T104*(1-$F104)+$S104*(1-$G104))*((1+Inputs!$D$7)^BD$2))),((_xlfn.WEIBULL.DIST(BD$2,$M104,$L104,FALSE)*($T104*(1-$F104)+$S104*(1-$G104))*((1+Inputs!$D$7)^BD$2))))))</f>
        <v>0</v>
      </c>
      <c r="BE104" s="88">
        <f>$E104*IF(BE$2&gt;Inputs!$D$5,0,IF(BE$2&gt;VLOOKUP($H104,Lists!$P$3:$Q$7,2),IF($N104=Lists!$K$3,IF($L104&lt;1,(($U104/$L104)*((1+Inputs!$D$7)^BE$2)),((INT(BE$2/$L104)-INT((BE$2-1)/$L104))*$U104*((1+Inputs!$D$7)^BE$2))),(_xlfn.WEIBULL.DIST(BE$2,$M104,$L104,FALSE)*$U104*((1+Inputs!$D$7)^BE$2))),IF($N104=Lists!$K$3,IF($L104&lt;1,((($T104*(1-$F104)+$S104*(1-$G104))/$L104)*((1+Inputs!$D$7)^BE$2)),((INT(BE$2/$L104)-INT((BE$2-1)/$L104))*($T104*(1-$F104)+$S104*(1-$G104))*((1+Inputs!$D$7)^BE$2))),((_xlfn.WEIBULL.DIST(BE$2,$M104,$L104,FALSE)*($T104*(1-$F104)+$S104*(1-$G104))*((1+Inputs!$D$7)^BE$2))))))</f>
        <v>0</v>
      </c>
      <c r="BF104" s="88">
        <f>$E104*IF(BF$2&gt;Inputs!$D$5,0,IF(BF$2&gt;VLOOKUP($H104,Lists!$P$3:$Q$7,2),IF($N104=Lists!$K$3,IF($L104&lt;1,(($U104/$L104)*((1+Inputs!$D$7)^BF$2)),((INT(BF$2/$L104)-INT((BF$2-1)/$L104))*$U104*((1+Inputs!$D$7)^BF$2))),(_xlfn.WEIBULL.DIST(BF$2,$M104,$L104,FALSE)*$U104*((1+Inputs!$D$7)^BF$2))),IF($N104=Lists!$K$3,IF($L104&lt;1,((($T104*(1-$F104)+$S104*(1-$G104))/$L104)*((1+Inputs!$D$7)^BF$2)),((INT(BF$2/$L104)-INT((BF$2-1)/$L104))*($T104*(1-$F104)+$S104*(1-$G104))*((1+Inputs!$D$7)^BF$2))),((_xlfn.WEIBULL.DIST(BF$2,$M104,$L104,FALSE)*($T104*(1-$F104)+$S104*(1-$G104))*((1+Inputs!$D$7)^BF$2))))))</f>
        <v>0</v>
      </c>
      <c r="BG104" s="88">
        <f>$E104*IF(BG$2&gt;Inputs!$D$5,0,IF(BG$2&gt;VLOOKUP($H104,Lists!$P$3:$Q$7,2),IF($N104=Lists!$K$3,IF($L104&lt;1,(($U104/$L104)*((1+Inputs!$D$7)^BG$2)),((INT(BG$2/$L104)-INT((BG$2-1)/$L104))*$U104*((1+Inputs!$D$7)^BG$2))),(_xlfn.WEIBULL.DIST(BG$2,$M104,$L104,FALSE)*$U104*((1+Inputs!$D$7)^BG$2))),IF($N104=Lists!$K$3,IF($L104&lt;1,((($T104*(1-$F104)+$S104*(1-$G104))/$L104)*((1+Inputs!$D$7)^BG$2)),((INT(BG$2/$L104)-INT((BG$2-1)/$L104))*($T104*(1-$F104)+$S104*(1-$G104))*((1+Inputs!$D$7)^BG$2))),((_xlfn.WEIBULL.DIST(BG$2,$M104,$L104,FALSE)*($T104*(1-$F104)+$S104*(1-$G104))*((1+Inputs!$D$7)^BG$2))))))</f>
        <v>0</v>
      </c>
      <c r="BH104" s="88">
        <f>$E104*IF(BH$2&gt;Inputs!$D$5,0,IF(BH$2&gt;VLOOKUP($H104,Lists!$P$3:$Q$7,2),IF($N104=Lists!$K$3,IF($L104&lt;1,(($U104/$L104)*((1+Inputs!$D$7)^BH$2)),((INT(BH$2/$L104)-INT((BH$2-1)/$L104))*$U104*((1+Inputs!$D$7)^BH$2))),(_xlfn.WEIBULL.DIST(BH$2,$M104,$L104,FALSE)*$U104*((1+Inputs!$D$7)^BH$2))),IF($N104=Lists!$K$3,IF($L104&lt;1,((($T104*(1-$F104)+$S104*(1-$G104))/$L104)*((1+Inputs!$D$7)^BH$2)),((INT(BH$2/$L104)-INT((BH$2-1)/$L104))*($T104*(1-$F104)+$S104*(1-$G104))*((1+Inputs!$D$7)^BH$2))),((_xlfn.WEIBULL.DIST(BH$2,$M104,$L104,FALSE)*($T104*(1-$F104)+$S104*(1-$G104))*((1+Inputs!$D$7)^BH$2))))))</f>
        <v>0</v>
      </c>
      <c r="BI104" s="88">
        <f>$E104*IF(BI$2&gt;Inputs!$D$5,0,IF(BI$2&gt;VLOOKUP($H104,Lists!$P$3:$Q$7,2),IF($N104=Lists!$K$3,IF($L104&lt;1,(($U104/$L104)*((1+Inputs!$D$7)^BI$2)),((INT(BI$2/$L104)-INT((BI$2-1)/$L104))*$U104*((1+Inputs!$D$7)^BI$2))),(_xlfn.WEIBULL.DIST(BI$2,$M104,$L104,FALSE)*$U104*((1+Inputs!$D$7)^BI$2))),IF($N104=Lists!$K$3,IF($L104&lt;1,((($T104*(1-$F104)+$S104*(1-$G104))/$L104)*((1+Inputs!$D$7)^BI$2)),((INT(BI$2/$L104)-INT((BI$2-1)/$L104))*($T104*(1-$F104)+$S104*(1-$G104))*((1+Inputs!$D$7)^BI$2))),((_xlfn.WEIBULL.DIST(BI$2,$M104,$L104,FALSE)*($T104*(1-$F104)+$S104*(1-$G104))*((1+Inputs!$D$7)^BI$2))))))</f>
        <v>0</v>
      </c>
      <c r="BJ104" s="88">
        <f>$E104*IF(BJ$2&gt;Inputs!$D$5,0,IF(BJ$2&gt;VLOOKUP($H104,Lists!$P$3:$Q$7,2),IF($N104=Lists!$K$3,IF($L104&lt;1,(($U104/$L104)*((1+Inputs!$D$7)^BJ$2)),((INT(BJ$2/$L104)-INT((BJ$2-1)/$L104))*$U104*((1+Inputs!$D$7)^BJ$2))),(_xlfn.WEIBULL.DIST(BJ$2,$M104,$L104,FALSE)*$U104*((1+Inputs!$D$7)^BJ$2))),IF($N104=Lists!$K$3,IF($L104&lt;1,((($T104*(1-$F104)+$S104*(1-$G104))/$L104)*((1+Inputs!$D$7)^BJ$2)),((INT(BJ$2/$L104)-INT((BJ$2-1)/$L104))*($T104*(1-$F104)+$S104*(1-$G104))*((1+Inputs!$D$7)^BJ$2))),((_xlfn.WEIBULL.DIST(BJ$2,$M104,$L104,FALSE)*($T104*(1-$F104)+$S104*(1-$G104))*((1+Inputs!$D$7)^BJ$2))))))</f>
        <v>0</v>
      </c>
      <c r="BK104" s="88">
        <f>$E104*IF(BK$2&gt;Inputs!$D$5,0,IF(BK$2&gt;VLOOKUP($H104,Lists!$P$3:$Q$7,2),IF($N104=Lists!$K$3,IF($L104&lt;1,(($U104/$L104)*((1+Inputs!$D$7)^BK$2)),((INT(BK$2/$L104)-INT((BK$2-1)/$L104))*$U104*((1+Inputs!$D$7)^BK$2))),(_xlfn.WEIBULL.DIST(BK$2,$M104,$L104,FALSE)*$U104*((1+Inputs!$D$7)^BK$2))),IF($N104=Lists!$K$3,IF($L104&lt;1,((($T104*(1-$F104)+$S104*(1-$G104))/$L104)*((1+Inputs!$D$7)^BK$2)),((INT(BK$2/$L104)-INT((BK$2-1)/$L104))*($T104*(1-$F104)+$S104*(1-$G104))*((1+Inputs!$D$7)^BK$2))),((_xlfn.WEIBULL.DIST(BK$2,$M104,$L104,FALSE)*($T104*(1-$F104)+$S104*(1-$G104))*((1+Inputs!$D$7)^BK$2))))))</f>
        <v>0</v>
      </c>
      <c r="BL104" s="88">
        <f>$E104*IF(BL$2&gt;Inputs!$D$5,0,IF(BL$2&gt;VLOOKUP($H104,Lists!$P$3:$Q$7,2),IF($N104=Lists!$K$3,IF($L104&lt;1,(($U104/$L104)*((1+Inputs!$D$7)^BL$2)),((INT(BL$2/$L104)-INT((BL$2-1)/$L104))*$U104*((1+Inputs!$D$7)^BL$2))),(_xlfn.WEIBULL.DIST(BL$2,$M104,$L104,FALSE)*$U104*((1+Inputs!$D$7)^BL$2))),IF($N104=Lists!$K$3,IF($L104&lt;1,((($T104*(1-$F104)+$S104*(1-$G104))/$L104)*((1+Inputs!$D$7)^BL$2)),((INT(BL$2/$L104)-INT((BL$2-1)/$L104))*($T104*(1-$F104)+$S104*(1-$G104))*((1+Inputs!$D$7)^BL$2))),((_xlfn.WEIBULL.DIST(BL$2,$M104,$L104,FALSE)*($T104*(1-$F104)+$S104*(1-$G104))*((1+Inputs!$D$7)^BL$2))))))</f>
        <v>0</v>
      </c>
      <c r="BM104" s="88">
        <f>$E104*IF(BM$2&gt;Inputs!$D$5,0,IF(BM$2&gt;VLOOKUP($H104,Lists!$P$3:$Q$7,2),IF($N104=Lists!$K$3,IF($L104&lt;1,(($U104/$L104)*((1+Inputs!$D$7)^BM$2)),((INT(BM$2/$L104)-INT((BM$2-1)/$L104))*$U104*((1+Inputs!$D$7)^BM$2))),(_xlfn.WEIBULL.DIST(BM$2,$M104,$L104,FALSE)*$U104*((1+Inputs!$D$7)^BM$2))),IF($N104=Lists!$K$3,IF($L104&lt;1,((($T104*(1-$F104)+$S104*(1-$G104))/$L104)*((1+Inputs!$D$7)^BM$2)),((INT(BM$2/$L104)-INT((BM$2-1)/$L104))*($T104*(1-$F104)+$S104*(1-$G104))*((1+Inputs!$D$7)^BM$2))),((_xlfn.WEIBULL.DIST(BM$2,$M104,$L104,FALSE)*($T104*(1-$F104)+$S104*(1-$G104))*((1+Inputs!$D$7)^BM$2))))))</f>
        <v>0</v>
      </c>
      <c r="BN104" s="88">
        <f>$E104*IF(BN$2&gt;Inputs!$D$5,0,IF(BN$2&gt;VLOOKUP($H104,Lists!$P$3:$Q$7,2),IF($N104=Lists!$K$3,IF($L104&lt;1,(($U104/$L104)*((1+Inputs!$D$7)^BN$2)),((INT(BN$2/$L104)-INT((BN$2-1)/$L104))*$U104*((1+Inputs!$D$7)^BN$2))),(_xlfn.WEIBULL.DIST(BN$2,$M104,$L104,FALSE)*$U104*((1+Inputs!$D$7)^BN$2))),IF($N104=Lists!$K$3,IF($L104&lt;1,((($T104*(1-$F104)+$S104*(1-$G104))/$L104)*((1+Inputs!$D$7)^BN$2)),((INT(BN$2/$L104)-INT((BN$2-1)/$L104))*($T104*(1-$F104)+$S104*(1-$G104))*((1+Inputs!$D$7)^BN$2))),((_xlfn.WEIBULL.DIST(BN$2,$M104,$L104,FALSE)*($T104*(1-$F104)+$S104*(1-$G104))*((1+Inputs!$D$7)^BN$2))))))</f>
        <v>0</v>
      </c>
      <c r="BO104" s="64">
        <f>NPV(Inputs!$D$6,BQ104:DD104)</f>
        <v>14013.296107535291</v>
      </c>
      <c r="BP104" s="67">
        <f t="shared" si="27"/>
        <v>6.609354583349953E-3</v>
      </c>
      <c r="BQ104" s="88">
        <f>MAX(AA104,($E104*IF(BQ$2&gt;Inputs!$D$5,0,IF(BQ$2&gt;VLOOKUP($H104,Lists!$P$3:$Q$7,2),IF($N104=Lists!$K$3,IF($L104&lt;1,(($U104/$L104)*((1+Inputs!$D$7)^BQ$2)),((INT(BQ$2/$L104)-INT((BQ$2-1)/$L104))*$U104*((1+Inputs!$D$7)^BQ$2))),(Inputs!$D$8^((1-_xlfn.WEIBULL.DIST(BQ$2,$M104,$L104,FALSE))/_xlfn.WEIBULL.DIST(BQ$2,$M104,$L104,FALSE))*$U104*((1+Inputs!$D$7)^BQ$2))),IF($N104=Lists!$K$3,IF($L104&lt;1,((($T104*(1-$F104)+$S104*(1-$G104))/$L104)*((1+Inputs!$D$7)^BQ$2)),((INT(BQ$2/$L104)-INT((BQ$2-1)/$L104))*($T104*(1-$F104)+$S104*(1-$G104))*((1+Inputs!$D$7)^BQ$2))),((Inputs!$D$8^((1-_xlfn.WEIBULL.DIST(BQ$2,$M104,$L104,FALSE))/_xlfn.WEIBULL.DIST(BQ$2,$M104,$L104,FALSE))*($T104*(1-$F104)+$S104*(1-$G104))*((1+Inputs!$D$7)^BQ$2))))))))</f>
        <v>0</v>
      </c>
      <c r="BR104" s="88">
        <f>MAX(AB104,($E104*IF(BR$2&gt;Inputs!$D$5,0,IF(BR$2&gt;VLOOKUP($H104,Lists!$P$3:$Q$7,2),IF($N104=Lists!$K$3,IF($L104&lt;1,(($U104/$L104)*((1+Inputs!$D$7)^BR$2)),((INT(BR$2/$L104)-INT((BR$2-1)/$L104))*$U104*((1+Inputs!$D$7)^BR$2))),(Inputs!$D$8^((1-_xlfn.WEIBULL.DIST(BR$2,$M104,$L104,FALSE))/_xlfn.WEIBULL.DIST(BR$2,$M104,$L104,FALSE))*$U104*((1+Inputs!$D$7)^BR$2))),IF($N104=Lists!$K$3,IF($L104&lt;1,((($T104*(1-$F104)+$S104*(1-$G104))/$L104)*((1+Inputs!$D$7)^BR$2)),((INT(BR$2/$L104)-INT((BR$2-1)/$L104))*($T104*(1-$F104)+$S104*(1-$G104))*((1+Inputs!$D$7)^BR$2))),((Inputs!$D$8^((1-_xlfn.WEIBULL.DIST(BR$2,$M104,$L104,FALSE))/_xlfn.WEIBULL.DIST(BR$2,$M104,$L104,FALSE))*($T104*(1-$F104)+$S104*(1-$G104))*((1+Inputs!$D$7)^BR$2))))))))</f>
        <v>0</v>
      </c>
      <c r="BS104" s="88">
        <f>MAX(AC104,($E104*IF(BS$2&gt;Inputs!$D$5,0,IF(BS$2&gt;VLOOKUP($H104,Lists!$P$3:$Q$7,2),IF($N104=Lists!$K$3,IF($L104&lt;1,(($U104/$L104)*((1+Inputs!$D$7)^BS$2)),((INT(BS$2/$L104)-INT((BS$2-1)/$L104))*$U104*((1+Inputs!$D$7)^BS$2))),(Inputs!$D$8^((1-_xlfn.WEIBULL.DIST(BS$2,$M104,$L104,FALSE))/_xlfn.WEIBULL.DIST(BS$2,$M104,$L104,FALSE))*$U104*((1+Inputs!$D$7)^BS$2))),IF($N104=Lists!$K$3,IF($L104&lt;1,((($T104*(1-$F104)+$S104*(1-$G104))/$L104)*((1+Inputs!$D$7)^BS$2)),((INT(BS$2/$L104)-INT((BS$2-1)/$L104))*($T104*(1-$F104)+$S104*(1-$G104))*((1+Inputs!$D$7)^BS$2))),((Inputs!$D$8^((1-_xlfn.WEIBULL.DIST(BS$2,$M104,$L104,FALSE))/_xlfn.WEIBULL.DIST(BS$2,$M104,$L104,FALSE))*($T104*(1-$F104)+$S104*(1-$G104))*((1+Inputs!$D$7)^BS$2))))))))</f>
        <v>0</v>
      </c>
      <c r="BT104" s="88">
        <f>MAX(AD104,($E104*IF(BT$2&gt;Inputs!$D$5,0,IF(BT$2&gt;VLOOKUP($H104,Lists!$P$3:$Q$7,2),IF($N104=Lists!$K$3,IF($L104&lt;1,(($U104/$L104)*((1+Inputs!$D$7)^BT$2)),((INT(BT$2/$L104)-INT((BT$2-1)/$L104))*$U104*((1+Inputs!$D$7)^BT$2))),(Inputs!$D$8^((1-_xlfn.WEIBULL.DIST(BT$2,$M104,$L104,FALSE))/_xlfn.WEIBULL.DIST(BT$2,$M104,$L104,FALSE))*$U104*((1+Inputs!$D$7)^BT$2))),IF($N104=Lists!$K$3,IF($L104&lt;1,((($T104*(1-$F104)+$S104*(1-$G104))/$L104)*((1+Inputs!$D$7)^BT$2)),((INT(BT$2/$L104)-INT((BT$2-1)/$L104))*($T104*(1-$F104)+$S104*(1-$G104))*((1+Inputs!$D$7)^BT$2))),((Inputs!$D$8^((1-_xlfn.WEIBULL.DIST(BT$2,$M104,$L104,FALSE))/_xlfn.WEIBULL.DIST(BT$2,$M104,$L104,FALSE))*($T104*(1-$F104)+$S104*(1-$G104))*((1+Inputs!$D$7)^BT$2))))))))</f>
        <v>0</v>
      </c>
      <c r="BU104" s="88">
        <f>MAX(AE104,($E104*IF(BU$2&gt;Inputs!$D$5,0,IF(BU$2&gt;VLOOKUP($H104,Lists!$P$3:$Q$7,2),IF($N104=Lists!$K$3,IF($L104&lt;1,(($U104/$L104)*((1+Inputs!$D$7)^BU$2)),((INT(BU$2/$L104)-INT((BU$2-1)/$L104))*$U104*((1+Inputs!$D$7)^BU$2))),(Inputs!$D$8^((1-_xlfn.WEIBULL.DIST(BU$2,$M104,$L104,FALSE))/_xlfn.WEIBULL.DIST(BU$2,$M104,$L104,FALSE))*$U104*((1+Inputs!$D$7)^BU$2))),IF($N104=Lists!$K$3,IF($L104&lt;1,((($T104*(1-$F104)+$S104*(1-$G104))/$L104)*((1+Inputs!$D$7)^BU$2)),((INT(BU$2/$L104)-INT((BU$2-1)/$L104))*($T104*(1-$F104)+$S104*(1-$G104))*((1+Inputs!$D$7)^BU$2))),((Inputs!$D$8^((1-_xlfn.WEIBULL.DIST(BU$2,$M104,$L104,FALSE))/_xlfn.WEIBULL.DIST(BU$2,$M104,$L104,FALSE))*($T104*(1-$F104)+$S104*(1-$G104))*((1+Inputs!$D$7)^BU$2))))))))</f>
        <v>5994.6157708170485</v>
      </c>
      <c r="BV104" s="88">
        <f>MAX(AF104,($E104*IF(BV$2&gt;Inputs!$D$5,0,IF(BV$2&gt;VLOOKUP($H104,Lists!$P$3:$Q$7,2),IF($N104=Lists!$K$3,IF($L104&lt;1,(($U104/$L104)*((1+Inputs!$D$7)^BV$2)),((INT(BV$2/$L104)-INT((BV$2-1)/$L104))*$U104*((1+Inputs!$D$7)^BV$2))),(Inputs!$D$8^((1-_xlfn.WEIBULL.DIST(BV$2,$M104,$L104,FALSE))/_xlfn.WEIBULL.DIST(BV$2,$M104,$L104,FALSE))*$U104*((1+Inputs!$D$7)^BV$2))),IF($N104=Lists!$K$3,IF($L104&lt;1,((($T104*(1-$F104)+$S104*(1-$G104))/$L104)*((1+Inputs!$D$7)^BV$2)),((INT(BV$2/$L104)-INT((BV$2-1)/$L104))*($T104*(1-$F104)+$S104*(1-$G104))*((1+Inputs!$D$7)^BV$2))),((Inputs!$D$8^((1-_xlfn.WEIBULL.DIST(BV$2,$M104,$L104,FALSE))/_xlfn.WEIBULL.DIST(BV$2,$M104,$L104,FALSE))*($T104*(1-$F104)+$S104*(1-$G104))*((1+Inputs!$D$7)^BV$2))))))))</f>
        <v>0</v>
      </c>
      <c r="BW104" s="88">
        <f>MAX(AG104,($E104*IF(BW$2&gt;Inputs!$D$5,0,IF(BW$2&gt;VLOOKUP($H104,Lists!$P$3:$Q$7,2),IF($N104=Lists!$K$3,IF($L104&lt;1,(($U104/$L104)*((1+Inputs!$D$7)^BW$2)),((INT(BW$2/$L104)-INT((BW$2-1)/$L104))*$U104*((1+Inputs!$D$7)^BW$2))),(Inputs!$D$8^((1-_xlfn.WEIBULL.DIST(BW$2,$M104,$L104,FALSE))/_xlfn.WEIBULL.DIST(BW$2,$M104,$L104,FALSE))*$U104*((1+Inputs!$D$7)^BW$2))),IF($N104=Lists!$K$3,IF($L104&lt;1,((($T104*(1-$F104)+$S104*(1-$G104))/$L104)*((1+Inputs!$D$7)^BW$2)),((INT(BW$2/$L104)-INT((BW$2-1)/$L104))*($T104*(1-$F104)+$S104*(1-$G104))*((1+Inputs!$D$7)^BW$2))),((Inputs!$D$8^((1-_xlfn.WEIBULL.DIST(BW$2,$M104,$L104,FALSE))/_xlfn.WEIBULL.DIST(BW$2,$M104,$L104,FALSE))*($T104*(1-$F104)+$S104*(1-$G104))*((1+Inputs!$D$7)^BW$2))))))))</f>
        <v>0</v>
      </c>
      <c r="BX104" s="88">
        <f>MAX(AH104,($E104*IF(BX$2&gt;Inputs!$D$5,0,IF(BX$2&gt;VLOOKUP($H104,Lists!$P$3:$Q$7,2),IF($N104=Lists!$K$3,IF($L104&lt;1,(($U104/$L104)*((1+Inputs!$D$7)^BX$2)),((INT(BX$2/$L104)-INT((BX$2-1)/$L104))*$U104*((1+Inputs!$D$7)^BX$2))),(Inputs!$D$8^((1-_xlfn.WEIBULL.DIST(BX$2,$M104,$L104,FALSE))/_xlfn.WEIBULL.DIST(BX$2,$M104,$L104,FALSE))*$U104*((1+Inputs!$D$7)^BX$2))),IF($N104=Lists!$K$3,IF($L104&lt;1,((($T104*(1-$F104)+$S104*(1-$G104))/$L104)*((1+Inputs!$D$7)^BX$2)),((INT(BX$2/$L104)-INT((BX$2-1)/$L104))*($T104*(1-$F104)+$S104*(1-$G104))*((1+Inputs!$D$7)^BX$2))),((Inputs!$D$8^((1-_xlfn.WEIBULL.DIST(BX$2,$M104,$L104,FALSE))/_xlfn.WEIBULL.DIST(BX$2,$M104,$L104,FALSE))*($T104*(1-$F104)+$S104*(1-$G104))*((1+Inputs!$D$7)^BX$2))))))))</f>
        <v>0</v>
      </c>
      <c r="BY104" s="88">
        <f>MAX(AI104,($E104*IF(BY$2&gt;Inputs!$D$5,0,IF(BY$2&gt;VLOOKUP($H104,Lists!$P$3:$Q$7,2),IF($N104=Lists!$K$3,IF($L104&lt;1,(($U104/$L104)*((1+Inputs!$D$7)^BY$2)),((INT(BY$2/$L104)-INT((BY$2-1)/$L104))*$U104*((1+Inputs!$D$7)^BY$2))),(Inputs!$D$8^((1-_xlfn.WEIBULL.DIST(BY$2,$M104,$L104,FALSE))/_xlfn.WEIBULL.DIST(BY$2,$M104,$L104,FALSE))*$U104*((1+Inputs!$D$7)^BY$2))),IF($N104=Lists!$K$3,IF($L104&lt;1,((($T104*(1-$F104)+$S104*(1-$G104))/$L104)*((1+Inputs!$D$7)^BY$2)),((INT(BY$2/$L104)-INT((BY$2-1)/$L104))*($T104*(1-$F104)+$S104*(1-$G104))*((1+Inputs!$D$7)^BY$2))),((Inputs!$D$8^((1-_xlfn.WEIBULL.DIST(BY$2,$M104,$L104,FALSE))/_xlfn.WEIBULL.DIST(BY$2,$M104,$L104,FALSE))*($T104*(1-$F104)+$S104*(1-$G104))*((1+Inputs!$D$7)^BY$2))))))))</f>
        <v>0</v>
      </c>
      <c r="BZ104" s="88">
        <f>MAX(AJ104,($E104*IF(BZ$2&gt;Inputs!$D$5,0,IF(BZ$2&gt;VLOOKUP($H104,Lists!$P$3:$Q$7,2),IF($N104=Lists!$K$3,IF($L104&lt;1,(($U104/$L104)*((1+Inputs!$D$7)^BZ$2)),((INT(BZ$2/$L104)-INT((BZ$2-1)/$L104))*$U104*((1+Inputs!$D$7)^BZ$2))),(Inputs!$D$8^((1-_xlfn.WEIBULL.DIST(BZ$2,$M104,$L104,FALSE))/_xlfn.WEIBULL.DIST(BZ$2,$M104,$L104,FALSE))*$U104*((1+Inputs!$D$7)^BZ$2))),IF($N104=Lists!$K$3,IF($L104&lt;1,((($T104*(1-$F104)+$S104*(1-$G104))/$L104)*((1+Inputs!$D$7)^BZ$2)),((INT(BZ$2/$L104)-INT((BZ$2-1)/$L104))*($T104*(1-$F104)+$S104*(1-$G104))*((1+Inputs!$D$7)^BZ$2))),((Inputs!$D$8^((1-_xlfn.WEIBULL.DIST(BZ$2,$M104,$L104,FALSE))/_xlfn.WEIBULL.DIST(BZ$2,$M104,$L104,FALSE))*($T104*(1-$F104)+$S104*(1-$G104))*((1+Inputs!$D$7)^BZ$2))))))))</f>
        <v>6618.5401951190743</v>
      </c>
      <c r="CA104" s="88">
        <f>MAX(AK104,($E104*IF(CA$2&gt;Inputs!$D$5,0,IF(CA$2&gt;VLOOKUP($H104,Lists!$P$3:$Q$7,2),IF($N104=Lists!$K$3,IF($L104&lt;1,(($U104/$L104)*((1+Inputs!$D$7)^CA$2)),((INT(CA$2/$L104)-INT((CA$2-1)/$L104))*$U104*((1+Inputs!$D$7)^CA$2))),(Inputs!$D$8^((1-_xlfn.WEIBULL.DIST(CA$2,$M104,$L104,FALSE))/_xlfn.WEIBULL.DIST(CA$2,$M104,$L104,FALSE))*$U104*((1+Inputs!$D$7)^CA$2))),IF($N104=Lists!$K$3,IF($L104&lt;1,((($T104*(1-$F104)+$S104*(1-$G104))/$L104)*((1+Inputs!$D$7)^CA$2)),((INT(CA$2/$L104)-INT((CA$2-1)/$L104))*($T104*(1-$F104)+$S104*(1-$G104))*((1+Inputs!$D$7)^CA$2))),((Inputs!$D$8^((1-_xlfn.WEIBULL.DIST(CA$2,$M104,$L104,FALSE))/_xlfn.WEIBULL.DIST(CA$2,$M104,$L104,FALSE))*($T104*(1-$F104)+$S104*(1-$G104))*((1+Inputs!$D$7)^CA$2))))))))</f>
        <v>0</v>
      </c>
      <c r="CB104" s="88">
        <f>MAX(AL104,($E104*IF(CB$2&gt;Inputs!$D$5,0,IF(CB$2&gt;VLOOKUP($H104,Lists!$P$3:$Q$7,2),IF($N104=Lists!$K$3,IF($L104&lt;1,(($U104/$L104)*((1+Inputs!$D$7)^CB$2)),((INT(CB$2/$L104)-INT((CB$2-1)/$L104))*$U104*((1+Inputs!$D$7)^CB$2))),(Inputs!$D$8^((1-_xlfn.WEIBULL.DIST(CB$2,$M104,$L104,FALSE))/_xlfn.WEIBULL.DIST(CB$2,$M104,$L104,FALSE))*$U104*((1+Inputs!$D$7)^CB$2))),IF($N104=Lists!$K$3,IF($L104&lt;1,((($T104*(1-$F104)+$S104*(1-$G104))/$L104)*((1+Inputs!$D$7)^CB$2)),((INT(CB$2/$L104)-INT((CB$2-1)/$L104))*($T104*(1-$F104)+$S104*(1-$G104))*((1+Inputs!$D$7)^CB$2))),((Inputs!$D$8^((1-_xlfn.WEIBULL.DIST(CB$2,$M104,$L104,FALSE))/_xlfn.WEIBULL.DIST(CB$2,$M104,$L104,FALSE))*($T104*(1-$F104)+$S104*(1-$G104))*((1+Inputs!$D$7)^CB$2))))))))</f>
        <v>0</v>
      </c>
      <c r="CC104" s="88">
        <f>MAX(AM104,($E104*IF(CC$2&gt;Inputs!$D$5,0,IF(CC$2&gt;VLOOKUP($H104,Lists!$P$3:$Q$7,2),IF($N104=Lists!$K$3,IF($L104&lt;1,(($U104/$L104)*((1+Inputs!$D$7)^CC$2)),((INT(CC$2/$L104)-INT((CC$2-1)/$L104))*$U104*((1+Inputs!$D$7)^CC$2))),(Inputs!$D$8^((1-_xlfn.WEIBULL.DIST(CC$2,$M104,$L104,FALSE))/_xlfn.WEIBULL.DIST(CC$2,$M104,$L104,FALSE))*$U104*((1+Inputs!$D$7)^CC$2))),IF($N104=Lists!$K$3,IF($L104&lt;1,((($T104*(1-$F104)+$S104*(1-$G104))/$L104)*((1+Inputs!$D$7)^CC$2)),((INT(CC$2/$L104)-INT((CC$2-1)/$L104))*($T104*(1-$F104)+$S104*(1-$G104))*((1+Inputs!$D$7)^CC$2))),((Inputs!$D$8^((1-_xlfn.WEIBULL.DIST(CC$2,$M104,$L104,FALSE))/_xlfn.WEIBULL.DIST(CC$2,$M104,$L104,FALSE))*($T104*(1-$F104)+$S104*(1-$G104))*((1+Inputs!$D$7)^CC$2))))))))</f>
        <v>0</v>
      </c>
      <c r="CD104" s="88">
        <f>MAX(AN104,($E104*IF(CD$2&gt;Inputs!$D$5,0,IF(CD$2&gt;VLOOKUP($H104,Lists!$P$3:$Q$7,2),IF($N104=Lists!$K$3,IF($L104&lt;1,(($U104/$L104)*((1+Inputs!$D$7)^CD$2)),((INT(CD$2/$L104)-INT((CD$2-1)/$L104))*$U104*((1+Inputs!$D$7)^CD$2))),(Inputs!$D$8^((1-_xlfn.WEIBULL.DIST(CD$2,$M104,$L104,FALSE))/_xlfn.WEIBULL.DIST(CD$2,$M104,$L104,FALSE))*$U104*((1+Inputs!$D$7)^CD$2))),IF($N104=Lists!$K$3,IF($L104&lt;1,((($T104*(1-$F104)+$S104*(1-$G104))/$L104)*((1+Inputs!$D$7)^CD$2)),((INT(CD$2/$L104)-INT((CD$2-1)/$L104))*($T104*(1-$F104)+$S104*(1-$G104))*((1+Inputs!$D$7)^CD$2))),((Inputs!$D$8^((1-_xlfn.WEIBULL.DIST(CD$2,$M104,$L104,FALSE))/_xlfn.WEIBULL.DIST(CD$2,$M104,$L104,FALSE))*($T104*(1-$F104)+$S104*(1-$G104))*((1+Inputs!$D$7)^CD$2))))))))</f>
        <v>0</v>
      </c>
      <c r="CE104" s="88">
        <f>MAX(AO104,($E104*IF(CE$2&gt;Inputs!$D$5,0,IF(CE$2&gt;VLOOKUP($H104,Lists!$P$3:$Q$7,2),IF($N104=Lists!$K$3,IF($L104&lt;1,(($U104/$L104)*((1+Inputs!$D$7)^CE$2)),((INT(CE$2/$L104)-INT((CE$2-1)/$L104))*$U104*((1+Inputs!$D$7)^CE$2))),(Inputs!$D$8^((1-_xlfn.WEIBULL.DIST(CE$2,$M104,$L104,FALSE))/_xlfn.WEIBULL.DIST(CE$2,$M104,$L104,FALSE))*$U104*((1+Inputs!$D$7)^CE$2))),IF($N104=Lists!$K$3,IF($L104&lt;1,((($T104*(1-$F104)+$S104*(1-$G104))/$L104)*((1+Inputs!$D$7)^CE$2)),((INT(CE$2/$L104)-INT((CE$2-1)/$L104))*($T104*(1-$F104)+$S104*(1-$G104))*((1+Inputs!$D$7)^CE$2))),((Inputs!$D$8^((1-_xlfn.WEIBULL.DIST(CE$2,$M104,$L104,FALSE))/_xlfn.WEIBULL.DIST(CE$2,$M104,$L104,FALSE))*($T104*(1-$F104)+$S104*(1-$G104))*((1+Inputs!$D$7)^CE$2))))))))</f>
        <v>7307.4031746385499</v>
      </c>
      <c r="CF104" s="88">
        <f>MAX(AP104,($E104*IF(CF$2&gt;Inputs!$D$5,0,IF(CF$2&gt;VLOOKUP($H104,Lists!$P$3:$Q$7,2),IF($N104=Lists!$K$3,IF($L104&lt;1,(($U104/$L104)*((1+Inputs!$D$7)^CF$2)),((INT(CF$2/$L104)-INT((CF$2-1)/$L104))*$U104*((1+Inputs!$D$7)^CF$2))),(Inputs!$D$8^((1-_xlfn.WEIBULL.DIST(CF$2,$M104,$L104,FALSE))/_xlfn.WEIBULL.DIST(CF$2,$M104,$L104,FALSE))*$U104*((1+Inputs!$D$7)^CF$2))),IF($N104=Lists!$K$3,IF($L104&lt;1,((($T104*(1-$F104)+$S104*(1-$G104))/$L104)*((1+Inputs!$D$7)^CF$2)),((INT(CF$2/$L104)-INT((CF$2-1)/$L104))*($T104*(1-$F104)+$S104*(1-$G104))*((1+Inputs!$D$7)^CF$2))),((Inputs!$D$8^((1-_xlfn.WEIBULL.DIST(CF$2,$M104,$L104,FALSE))/_xlfn.WEIBULL.DIST(CF$2,$M104,$L104,FALSE))*($T104*(1-$F104)+$S104*(1-$G104))*((1+Inputs!$D$7)^CF$2))))))))</f>
        <v>0</v>
      </c>
      <c r="CG104" s="88">
        <f>MAX(AQ104,($E104*IF(CG$2&gt;Inputs!$D$5,0,IF(CG$2&gt;VLOOKUP($H104,Lists!$P$3:$Q$7,2),IF($N104=Lists!$K$3,IF($L104&lt;1,(($U104/$L104)*((1+Inputs!$D$7)^CG$2)),((INT(CG$2/$L104)-INT((CG$2-1)/$L104))*$U104*((1+Inputs!$D$7)^CG$2))),(Inputs!$D$8^((1-_xlfn.WEIBULL.DIST(CG$2,$M104,$L104,FALSE))/_xlfn.WEIBULL.DIST(CG$2,$M104,$L104,FALSE))*$U104*((1+Inputs!$D$7)^CG$2))),IF($N104=Lists!$K$3,IF($L104&lt;1,((($T104*(1-$F104)+$S104*(1-$G104))/$L104)*((1+Inputs!$D$7)^CG$2)),((INT(CG$2/$L104)-INT((CG$2-1)/$L104))*($T104*(1-$F104)+$S104*(1-$G104))*((1+Inputs!$D$7)^CG$2))),((Inputs!$D$8^((1-_xlfn.WEIBULL.DIST(CG$2,$M104,$L104,FALSE))/_xlfn.WEIBULL.DIST(CG$2,$M104,$L104,FALSE))*($T104*(1-$F104)+$S104*(1-$G104))*((1+Inputs!$D$7)^CG$2))))))))</f>
        <v>0</v>
      </c>
      <c r="CH104" s="88">
        <f>MAX(AR104,($E104*IF(CH$2&gt;Inputs!$D$5,0,IF(CH$2&gt;VLOOKUP($H104,Lists!$P$3:$Q$7,2),IF($N104=Lists!$K$3,IF($L104&lt;1,(($U104/$L104)*((1+Inputs!$D$7)^CH$2)),((INT(CH$2/$L104)-INT((CH$2-1)/$L104))*$U104*((1+Inputs!$D$7)^CH$2))),(Inputs!$D$8^((1-_xlfn.WEIBULL.DIST(CH$2,$M104,$L104,FALSE))/_xlfn.WEIBULL.DIST(CH$2,$M104,$L104,FALSE))*$U104*((1+Inputs!$D$7)^CH$2))),IF($N104=Lists!$K$3,IF($L104&lt;1,((($T104*(1-$F104)+$S104*(1-$G104))/$L104)*((1+Inputs!$D$7)^CH$2)),((INT(CH$2/$L104)-INT((CH$2-1)/$L104))*($T104*(1-$F104)+$S104*(1-$G104))*((1+Inputs!$D$7)^CH$2))),((Inputs!$D$8^((1-_xlfn.WEIBULL.DIST(CH$2,$M104,$L104,FALSE))/_xlfn.WEIBULL.DIST(CH$2,$M104,$L104,FALSE))*($T104*(1-$F104)+$S104*(1-$G104))*((1+Inputs!$D$7)^CH$2))))))))</f>
        <v>0</v>
      </c>
      <c r="CI104" s="88">
        <f>MAX(AS104,($E104*IF(CI$2&gt;Inputs!$D$5,0,IF(CI$2&gt;VLOOKUP($H104,Lists!$P$3:$Q$7,2),IF($N104=Lists!$K$3,IF($L104&lt;1,(($U104/$L104)*((1+Inputs!$D$7)^CI$2)),((INT(CI$2/$L104)-INT((CI$2-1)/$L104))*$U104*((1+Inputs!$D$7)^CI$2))),(Inputs!$D$8^((1-_xlfn.WEIBULL.DIST(CI$2,$M104,$L104,FALSE))/_xlfn.WEIBULL.DIST(CI$2,$M104,$L104,FALSE))*$U104*((1+Inputs!$D$7)^CI$2))),IF($N104=Lists!$K$3,IF($L104&lt;1,((($T104*(1-$F104)+$S104*(1-$G104))/$L104)*((1+Inputs!$D$7)^CI$2)),((INT(CI$2/$L104)-INT((CI$2-1)/$L104))*($T104*(1-$F104)+$S104*(1-$G104))*((1+Inputs!$D$7)^CI$2))),((Inputs!$D$8^((1-_xlfn.WEIBULL.DIST(CI$2,$M104,$L104,FALSE))/_xlfn.WEIBULL.DIST(CI$2,$M104,$L104,FALSE))*($T104*(1-$F104)+$S104*(1-$G104))*((1+Inputs!$D$7)^CI$2))))))))</f>
        <v>0</v>
      </c>
      <c r="CJ104" s="88">
        <f>MAX(AT104,($E104*IF(CJ$2&gt;Inputs!$D$5,0,IF(CJ$2&gt;VLOOKUP($H104,Lists!$P$3:$Q$7,2),IF($N104=Lists!$K$3,IF($L104&lt;1,(($U104/$L104)*((1+Inputs!$D$7)^CJ$2)),((INT(CJ$2/$L104)-INT((CJ$2-1)/$L104))*$U104*((1+Inputs!$D$7)^CJ$2))),(Inputs!$D$8^((1-_xlfn.WEIBULL.DIST(CJ$2,$M104,$L104,FALSE))/_xlfn.WEIBULL.DIST(CJ$2,$M104,$L104,FALSE))*$U104*((1+Inputs!$D$7)^CJ$2))),IF($N104=Lists!$K$3,IF($L104&lt;1,((($T104*(1-$F104)+$S104*(1-$G104))/$L104)*((1+Inputs!$D$7)^CJ$2)),((INT(CJ$2/$L104)-INT((CJ$2-1)/$L104))*($T104*(1-$F104)+$S104*(1-$G104))*((1+Inputs!$D$7)^CJ$2))),((Inputs!$D$8^((1-_xlfn.WEIBULL.DIST(CJ$2,$M104,$L104,FALSE))/_xlfn.WEIBULL.DIST(CJ$2,$M104,$L104,FALSE))*($T104*(1-$F104)+$S104*(1-$G104))*((1+Inputs!$D$7)^CJ$2))))))))</f>
        <v>8067.9635663611616</v>
      </c>
      <c r="CK104" s="88">
        <f>MAX(AU104,($E104*IF(CK$2&gt;Inputs!$D$5,0,IF(CK$2&gt;VLOOKUP($H104,Lists!$P$3:$Q$7,2),IF($N104=Lists!$K$3,IF($L104&lt;1,(($U104/$L104)*((1+Inputs!$D$7)^CK$2)),((INT(CK$2/$L104)-INT((CK$2-1)/$L104))*$U104*((1+Inputs!$D$7)^CK$2))),(Inputs!$D$8^((1-_xlfn.WEIBULL.DIST(CK$2,$M104,$L104,FALSE))/_xlfn.WEIBULL.DIST(CK$2,$M104,$L104,FALSE))*$U104*((1+Inputs!$D$7)^CK$2))),IF($N104=Lists!$K$3,IF($L104&lt;1,((($T104*(1-$F104)+$S104*(1-$G104))/$L104)*((1+Inputs!$D$7)^CK$2)),((INT(CK$2/$L104)-INT((CK$2-1)/$L104))*($T104*(1-$F104)+$S104*(1-$G104))*((1+Inputs!$D$7)^CK$2))),((Inputs!$D$8^((1-_xlfn.WEIBULL.DIST(CK$2,$M104,$L104,FALSE))/_xlfn.WEIBULL.DIST(CK$2,$M104,$L104,FALSE))*($T104*(1-$F104)+$S104*(1-$G104))*((1+Inputs!$D$7)^CK$2))))))))</f>
        <v>0</v>
      </c>
      <c r="CL104" s="88">
        <f>MAX(AV104,($E104*IF(CL$2&gt;Inputs!$D$5,0,IF(CL$2&gt;VLOOKUP($H104,Lists!$P$3:$Q$7,2),IF($N104=Lists!$K$3,IF($L104&lt;1,(($U104/$L104)*((1+Inputs!$D$7)^CL$2)),((INT(CL$2/$L104)-INT((CL$2-1)/$L104))*$U104*((1+Inputs!$D$7)^CL$2))),(Inputs!$D$8^((1-_xlfn.WEIBULL.DIST(CL$2,$M104,$L104,FALSE))/_xlfn.WEIBULL.DIST(CL$2,$M104,$L104,FALSE))*$U104*((1+Inputs!$D$7)^CL$2))),IF($N104=Lists!$K$3,IF($L104&lt;1,((($T104*(1-$F104)+$S104*(1-$G104))/$L104)*((1+Inputs!$D$7)^CL$2)),((INT(CL$2/$L104)-INT((CL$2-1)/$L104))*($T104*(1-$F104)+$S104*(1-$G104))*((1+Inputs!$D$7)^CL$2))),((Inputs!$D$8^((1-_xlfn.WEIBULL.DIST(CL$2,$M104,$L104,FALSE))/_xlfn.WEIBULL.DIST(CL$2,$M104,$L104,FALSE))*($T104*(1-$F104)+$S104*(1-$G104))*((1+Inputs!$D$7)^CL$2))))))))</f>
        <v>0</v>
      </c>
      <c r="CM104" s="88">
        <f>MAX(AW104,($E104*IF(CM$2&gt;Inputs!$D$5,0,IF(CM$2&gt;VLOOKUP($H104,Lists!$P$3:$Q$7,2),IF($N104=Lists!$K$3,IF($L104&lt;1,(($U104/$L104)*((1+Inputs!$D$7)^CM$2)),((INT(CM$2/$L104)-INT((CM$2-1)/$L104))*$U104*((1+Inputs!$D$7)^CM$2))),(Inputs!$D$8^((1-_xlfn.WEIBULL.DIST(CM$2,$M104,$L104,FALSE))/_xlfn.WEIBULL.DIST(CM$2,$M104,$L104,FALSE))*$U104*((1+Inputs!$D$7)^CM$2))),IF($N104=Lists!$K$3,IF($L104&lt;1,((($T104*(1-$F104)+$S104*(1-$G104))/$L104)*((1+Inputs!$D$7)^CM$2)),((INT(CM$2/$L104)-INT((CM$2-1)/$L104))*($T104*(1-$F104)+$S104*(1-$G104))*((1+Inputs!$D$7)^CM$2))),((Inputs!$D$8^((1-_xlfn.WEIBULL.DIST(CM$2,$M104,$L104,FALSE))/_xlfn.WEIBULL.DIST(CM$2,$M104,$L104,FALSE))*($T104*(1-$F104)+$S104*(1-$G104))*((1+Inputs!$D$7)^CM$2))))))))</f>
        <v>0</v>
      </c>
      <c r="CN104" s="88">
        <f>MAX(AX104,($E104*IF(CN$2&gt;Inputs!$D$5,0,IF(CN$2&gt;VLOOKUP($H104,Lists!$P$3:$Q$7,2),IF($N104=Lists!$K$3,IF($L104&lt;1,(($U104/$L104)*((1+Inputs!$D$7)^CN$2)),((INT(CN$2/$L104)-INT((CN$2-1)/$L104))*$U104*((1+Inputs!$D$7)^CN$2))),(Inputs!$D$8^((1-_xlfn.WEIBULL.DIST(CN$2,$M104,$L104,FALSE))/_xlfn.WEIBULL.DIST(CN$2,$M104,$L104,FALSE))*$U104*((1+Inputs!$D$7)^CN$2))),IF($N104=Lists!$K$3,IF($L104&lt;1,((($T104*(1-$F104)+$S104*(1-$G104))/$L104)*((1+Inputs!$D$7)^CN$2)),((INT(CN$2/$L104)-INT((CN$2-1)/$L104))*($T104*(1-$F104)+$S104*(1-$G104))*((1+Inputs!$D$7)^CN$2))),((Inputs!$D$8^((1-_xlfn.WEIBULL.DIST(CN$2,$M104,$L104,FALSE))/_xlfn.WEIBULL.DIST(CN$2,$M104,$L104,FALSE))*($T104*(1-$F104)+$S104*(1-$G104))*((1+Inputs!$D$7)^CN$2))))))))</f>
        <v>0</v>
      </c>
      <c r="CO104" s="88">
        <f>MAX(AY104,($E104*IF(CO$2&gt;Inputs!$D$5,0,IF(CO$2&gt;VLOOKUP($H104,Lists!$P$3:$Q$7,2),IF($N104=Lists!$K$3,IF($L104&lt;1,(($U104/$L104)*((1+Inputs!$D$7)^CO$2)),((INT(CO$2/$L104)-INT((CO$2-1)/$L104))*$U104*((1+Inputs!$D$7)^CO$2))),(Inputs!$D$8^((1-_xlfn.WEIBULL.DIST(CO$2,$M104,$L104,FALSE))/_xlfn.WEIBULL.DIST(CO$2,$M104,$L104,FALSE))*$U104*((1+Inputs!$D$7)^CO$2))),IF($N104=Lists!$K$3,IF($L104&lt;1,((($T104*(1-$F104)+$S104*(1-$G104))/$L104)*((1+Inputs!$D$7)^CO$2)),((INT(CO$2/$L104)-INT((CO$2-1)/$L104))*($T104*(1-$F104)+$S104*(1-$G104))*((1+Inputs!$D$7)^CO$2))),((Inputs!$D$8^((1-_xlfn.WEIBULL.DIST(CO$2,$M104,$L104,FALSE))/_xlfn.WEIBULL.DIST(CO$2,$M104,$L104,FALSE))*($T104*(1-$F104)+$S104*(1-$G104))*((1+Inputs!$D$7)^CO$2))))))))</f>
        <v>8907.6836945363666</v>
      </c>
      <c r="CP104" s="88">
        <f>MAX(AZ104,($E104*IF(CP$2&gt;Inputs!$D$5,0,IF(CP$2&gt;VLOOKUP($H104,Lists!$P$3:$Q$7,2),IF($N104=Lists!$K$3,IF($L104&lt;1,(($U104/$L104)*((1+Inputs!$D$7)^CP$2)),((INT(CP$2/$L104)-INT((CP$2-1)/$L104))*$U104*((1+Inputs!$D$7)^CP$2))),(Inputs!$D$8^((1-_xlfn.WEIBULL.DIST(CP$2,$M104,$L104,FALSE))/_xlfn.WEIBULL.DIST(CP$2,$M104,$L104,FALSE))*$U104*((1+Inputs!$D$7)^CP$2))),IF($N104=Lists!$K$3,IF($L104&lt;1,((($T104*(1-$F104)+$S104*(1-$G104))/$L104)*((1+Inputs!$D$7)^CP$2)),((INT(CP$2/$L104)-INT((CP$2-1)/$L104))*($T104*(1-$F104)+$S104*(1-$G104))*((1+Inputs!$D$7)^CP$2))),((Inputs!$D$8^((1-_xlfn.WEIBULL.DIST(CP$2,$M104,$L104,FALSE))/_xlfn.WEIBULL.DIST(CP$2,$M104,$L104,FALSE))*($T104*(1-$F104)+$S104*(1-$G104))*((1+Inputs!$D$7)^CP$2))))))))</f>
        <v>0</v>
      </c>
      <c r="CQ104" s="88">
        <f>MAX(BA104,($E104*IF(CQ$2&gt;Inputs!$D$5,0,IF(CQ$2&gt;VLOOKUP($H104,Lists!$P$3:$Q$7,2),IF($N104=Lists!$K$3,IF($L104&lt;1,(($U104/$L104)*((1+Inputs!$D$7)^CQ$2)),((INT(CQ$2/$L104)-INT((CQ$2-1)/$L104))*$U104*((1+Inputs!$D$7)^CQ$2))),(Inputs!$D$8^((1-_xlfn.WEIBULL.DIST(CQ$2,$M104,$L104,FALSE))/_xlfn.WEIBULL.DIST(CQ$2,$M104,$L104,FALSE))*$U104*((1+Inputs!$D$7)^CQ$2))),IF($N104=Lists!$K$3,IF($L104&lt;1,((($T104*(1-$F104)+$S104*(1-$G104))/$L104)*((1+Inputs!$D$7)^CQ$2)),((INT(CQ$2/$L104)-INT((CQ$2-1)/$L104))*($T104*(1-$F104)+$S104*(1-$G104))*((1+Inputs!$D$7)^CQ$2))),((Inputs!$D$8^((1-_xlfn.WEIBULL.DIST(CQ$2,$M104,$L104,FALSE))/_xlfn.WEIBULL.DIST(CQ$2,$M104,$L104,FALSE))*($T104*(1-$F104)+$S104*(1-$G104))*((1+Inputs!$D$7)^CQ$2))))))))</f>
        <v>0</v>
      </c>
      <c r="CR104" s="88">
        <f>MAX(BB104,($E104*IF(CR$2&gt;Inputs!$D$5,0,IF(CR$2&gt;VLOOKUP($H104,Lists!$P$3:$Q$7,2),IF($N104=Lists!$K$3,IF($L104&lt;1,(($U104/$L104)*((1+Inputs!$D$7)^CR$2)),((INT(CR$2/$L104)-INT((CR$2-1)/$L104))*$U104*((1+Inputs!$D$7)^CR$2))),(Inputs!$D$8^((1-_xlfn.WEIBULL.DIST(CR$2,$M104,$L104,FALSE))/_xlfn.WEIBULL.DIST(CR$2,$M104,$L104,FALSE))*$U104*((1+Inputs!$D$7)^CR$2))),IF($N104=Lists!$K$3,IF($L104&lt;1,((($T104*(1-$F104)+$S104*(1-$G104))/$L104)*((1+Inputs!$D$7)^CR$2)),((INT(CR$2/$L104)-INT((CR$2-1)/$L104))*($T104*(1-$F104)+$S104*(1-$G104))*((1+Inputs!$D$7)^CR$2))),((Inputs!$D$8^((1-_xlfn.WEIBULL.DIST(CR$2,$M104,$L104,FALSE))/_xlfn.WEIBULL.DIST(CR$2,$M104,$L104,FALSE))*($T104*(1-$F104)+$S104*(1-$G104))*((1+Inputs!$D$7)^CR$2))))))))</f>
        <v>0</v>
      </c>
      <c r="CS104" s="88">
        <f>MAX(BC104,($E104*IF(CS$2&gt;Inputs!$D$5,0,IF(CS$2&gt;VLOOKUP($H104,Lists!$P$3:$Q$7,2),IF($N104=Lists!$K$3,IF($L104&lt;1,(($U104/$L104)*((1+Inputs!$D$7)^CS$2)),((INT(CS$2/$L104)-INT((CS$2-1)/$L104))*$U104*((1+Inputs!$D$7)^CS$2))),(Inputs!$D$8^((1-_xlfn.WEIBULL.DIST(CS$2,$M104,$L104,FALSE))/_xlfn.WEIBULL.DIST(CS$2,$M104,$L104,FALSE))*$U104*((1+Inputs!$D$7)^CS$2))),IF($N104=Lists!$K$3,IF($L104&lt;1,((($T104*(1-$F104)+$S104*(1-$G104))/$L104)*((1+Inputs!$D$7)^CS$2)),((INT(CS$2/$L104)-INT((CS$2-1)/$L104))*($T104*(1-$F104)+$S104*(1-$G104))*((1+Inputs!$D$7)^CS$2))),((Inputs!$D$8^((1-_xlfn.WEIBULL.DIST(CS$2,$M104,$L104,FALSE))/_xlfn.WEIBULL.DIST(CS$2,$M104,$L104,FALSE))*($T104*(1-$F104)+$S104*(1-$G104))*((1+Inputs!$D$7)^CS$2))))))))</f>
        <v>0</v>
      </c>
      <c r="CT104" s="88">
        <f>MAX(BD104,($E104*IF(CT$2&gt;Inputs!$D$5,0,IF(CT$2&gt;VLOOKUP($H104,Lists!$P$3:$Q$7,2),IF($N104=Lists!$K$3,IF($L104&lt;1,(($U104/$L104)*((1+Inputs!$D$7)^CT$2)),((INT(CT$2/$L104)-INT((CT$2-1)/$L104))*$U104*((1+Inputs!$D$7)^CT$2))),(Inputs!$D$8^((1-_xlfn.WEIBULL.DIST(CT$2,$M104,$L104,FALSE))/_xlfn.WEIBULL.DIST(CT$2,$M104,$L104,FALSE))*$U104*((1+Inputs!$D$7)^CT$2))),IF($N104=Lists!$K$3,IF($L104&lt;1,((($T104*(1-$F104)+$S104*(1-$G104))/$L104)*((1+Inputs!$D$7)^CT$2)),((INT(CT$2/$L104)-INT((CT$2-1)/$L104))*($T104*(1-$F104)+$S104*(1-$G104))*((1+Inputs!$D$7)^CT$2))),((Inputs!$D$8^((1-_xlfn.WEIBULL.DIST(CT$2,$M104,$L104,FALSE))/_xlfn.WEIBULL.DIST(CT$2,$M104,$L104,FALSE))*($T104*(1-$F104)+$S104*(1-$G104))*((1+Inputs!$D$7)^CT$2))))))))</f>
        <v>0</v>
      </c>
      <c r="CU104" s="88">
        <f>MAX(BE104,($E104*IF(CU$2&gt;Inputs!$D$5,0,IF(CU$2&gt;VLOOKUP($H104,Lists!$P$3:$Q$7,2),IF($N104=Lists!$K$3,IF($L104&lt;1,(($U104/$L104)*((1+Inputs!$D$7)^CU$2)),((INT(CU$2/$L104)-INT((CU$2-1)/$L104))*$U104*((1+Inputs!$D$7)^CU$2))),(Inputs!$D$8^((1-_xlfn.WEIBULL.DIST(CU$2,$M104,$L104,FALSE))/_xlfn.WEIBULL.DIST(CU$2,$M104,$L104,FALSE))*$U104*((1+Inputs!$D$7)^CU$2))),IF($N104=Lists!$K$3,IF($L104&lt;1,((($T104*(1-$F104)+$S104*(1-$G104))/$L104)*((1+Inputs!$D$7)^CU$2)),((INT(CU$2/$L104)-INT((CU$2-1)/$L104))*($T104*(1-$F104)+$S104*(1-$G104))*((1+Inputs!$D$7)^CU$2))),((Inputs!$D$8^((1-_xlfn.WEIBULL.DIST(CU$2,$M104,$L104,FALSE))/_xlfn.WEIBULL.DIST(CU$2,$M104,$L104,FALSE))*($T104*(1-$F104)+$S104*(1-$G104))*((1+Inputs!$D$7)^CU$2))))))))</f>
        <v>0</v>
      </c>
      <c r="CV104" s="88">
        <f>MAX(BF104,($E104*IF(CV$2&gt;Inputs!$D$5,0,IF(CV$2&gt;VLOOKUP($H104,Lists!$P$3:$Q$7,2),IF($N104=Lists!$K$3,IF($L104&lt;1,(($U104/$L104)*((1+Inputs!$D$7)^CV$2)),((INT(CV$2/$L104)-INT((CV$2-1)/$L104))*$U104*((1+Inputs!$D$7)^CV$2))),(Inputs!$D$8^((1-_xlfn.WEIBULL.DIST(CV$2,$M104,$L104,FALSE))/_xlfn.WEIBULL.DIST(CV$2,$M104,$L104,FALSE))*$U104*((1+Inputs!$D$7)^CV$2))),IF($N104=Lists!$K$3,IF($L104&lt;1,((($T104*(1-$F104)+$S104*(1-$G104))/$L104)*((1+Inputs!$D$7)^CV$2)),((INT(CV$2/$L104)-INT((CV$2-1)/$L104))*($T104*(1-$F104)+$S104*(1-$G104))*((1+Inputs!$D$7)^CV$2))),((Inputs!$D$8^((1-_xlfn.WEIBULL.DIST(CV$2,$M104,$L104,FALSE))/_xlfn.WEIBULL.DIST(CV$2,$M104,$L104,FALSE))*($T104*(1-$F104)+$S104*(1-$G104))*((1+Inputs!$D$7)^CV$2))))))))</f>
        <v>0</v>
      </c>
      <c r="CW104" s="88">
        <f>MAX(BG104,($E104*IF(CW$2&gt;Inputs!$D$5,0,IF(CW$2&gt;VLOOKUP($H104,Lists!$P$3:$Q$7,2),IF($N104=Lists!$K$3,IF($L104&lt;1,(($U104/$L104)*((1+Inputs!$D$7)^CW$2)),((INT(CW$2/$L104)-INT((CW$2-1)/$L104))*$U104*((1+Inputs!$D$7)^CW$2))),(Inputs!$D$8^((1-_xlfn.WEIBULL.DIST(CW$2,$M104,$L104,FALSE))/_xlfn.WEIBULL.DIST(CW$2,$M104,$L104,FALSE))*$U104*((1+Inputs!$D$7)^CW$2))),IF($N104=Lists!$K$3,IF($L104&lt;1,((($T104*(1-$F104)+$S104*(1-$G104))/$L104)*((1+Inputs!$D$7)^CW$2)),((INT(CW$2/$L104)-INT((CW$2-1)/$L104))*($T104*(1-$F104)+$S104*(1-$G104))*((1+Inputs!$D$7)^CW$2))),((Inputs!$D$8^((1-_xlfn.WEIBULL.DIST(CW$2,$M104,$L104,FALSE))/_xlfn.WEIBULL.DIST(CW$2,$M104,$L104,FALSE))*($T104*(1-$F104)+$S104*(1-$G104))*((1+Inputs!$D$7)^CW$2))))))))</f>
        <v>0</v>
      </c>
      <c r="CX104" s="88">
        <f>MAX(BH104,($E104*IF(CX$2&gt;Inputs!$D$5,0,IF(CX$2&gt;VLOOKUP($H104,Lists!$P$3:$Q$7,2),IF($N104=Lists!$K$3,IF($L104&lt;1,(($U104/$L104)*((1+Inputs!$D$7)^CX$2)),((INT(CX$2/$L104)-INT((CX$2-1)/$L104))*$U104*((1+Inputs!$D$7)^CX$2))),(Inputs!$D$8^((1-_xlfn.WEIBULL.DIST(CX$2,$M104,$L104,FALSE))/_xlfn.WEIBULL.DIST(CX$2,$M104,$L104,FALSE))*$U104*((1+Inputs!$D$7)^CX$2))),IF($N104=Lists!$K$3,IF($L104&lt;1,((($T104*(1-$F104)+$S104*(1-$G104))/$L104)*((1+Inputs!$D$7)^CX$2)),((INT(CX$2/$L104)-INT((CX$2-1)/$L104))*($T104*(1-$F104)+$S104*(1-$G104))*((1+Inputs!$D$7)^CX$2))),((Inputs!$D$8^((1-_xlfn.WEIBULL.DIST(CX$2,$M104,$L104,FALSE))/_xlfn.WEIBULL.DIST(CX$2,$M104,$L104,FALSE))*($T104*(1-$F104)+$S104*(1-$G104))*((1+Inputs!$D$7)^CX$2))))))))</f>
        <v>0</v>
      </c>
      <c r="CY104" s="88">
        <f>MAX(BI104,($E104*IF(CY$2&gt;Inputs!$D$5,0,IF(CY$2&gt;VLOOKUP($H104,Lists!$P$3:$Q$7,2),IF($N104=Lists!$K$3,IF($L104&lt;1,(($U104/$L104)*((1+Inputs!$D$7)^CY$2)),((INT(CY$2/$L104)-INT((CY$2-1)/$L104))*$U104*((1+Inputs!$D$7)^CY$2))),(Inputs!$D$8^((1-_xlfn.WEIBULL.DIST(CY$2,$M104,$L104,FALSE))/_xlfn.WEIBULL.DIST(CY$2,$M104,$L104,FALSE))*$U104*((1+Inputs!$D$7)^CY$2))),IF($N104=Lists!$K$3,IF($L104&lt;1,((($T104*(1-$F104)+$S104*(1-$G104))/$L104)*((1+Inputs!$D$7)^CY$2)),((INT(CY$2/$L104)-INT((CY$2-1)/$L104))*($T104*(1-$F104)+$S104*(1-$G104))*((1+Inputs!$D$7)^CY$2))),((Inputs!$D$8^((1-_xlfn.WEIBULL.DIST(CY$2,$M104,$L104,FALSE))/_xlfn.WEIBULL.DIST(CY$2,$M104,$L104,FALSE))*($T104*(1-$F104)+$S104*(1-$G104))*((1+Inputs!$D$7)^CY$2))))))))</f>
        <v>0</v>
      </c>
      <c r="CZ104" s="88">
        <f>MAX(BJ104,($E104*IF(CZ$2&gt;Inputs!$D$5,0,IF(CZ$2&gt;VLOOKUP($H104,Lists!$P$3:$Q$7,2),IF($N104=Lists!$K$3,IF($L104&lt;1,(($U104/$L104)*((1+Inputs!$D$7)^CZ$2)),((INT(CZ$2/$L104)-INT((CZ$2-1)/$L104))*$U104*((1+Inputs!$D$7)^CZ$2))),(Inputs!$D$8^((1-_xlfn.WEIBULL.DIST(CZ$2,$M104,$L104,FALSE))/_xlfn.WEIBULL.DIST(CZ$2,$M104,$L104,FALSE))*$U104*((1+Inputs!$D$7)^CZ$2))),IF($N104=Lists!$K$3,IF($L104&lt;1,((($T104*(1-$F104)+$S104*(1-$G104))/$L104)*((1+Inputs!$D$7)^CZ$2)),((INT(CZ$2/$L104)-INT((CZ$2-1)/$L104))*($T104*(1-$F104)+$S104*(1-$G104))*((1+Inputs!$D$7)^CZ$2))),((Inputs!$D$8^((1-_xlfn.WEIBULL.DIST(CZ$2,$M104,$L104,FALSE))/_xlfn.WEIBULL.DIST(CZ$2,$M104,$L104,FALSE))*($T104*(1-$F104)+$S104*(1-$G104))*((1+Inputs!$D$7)^CZ$2))))))))</f>
        <v>0</v>
      </c>
      <c r="DA104" s="88">
        <f>MAX(BK104,($E104*IF(DA$2&gt;Inputs!$D$5,0,IF(DA$2&gt;VLOOKUP($H104,Lists!$P$3:$Q$7,2),IF($N104=Lists!$K$3,IF($L104&lt;1,(($U104/$L104)*((1+Inputs!$D$7)^DA$2)),((INT(DA$2/$L104)-INT((DA$2-1)/$L104))*$U104*((1+Inputs!$D$7)^DA$2))),(Inputs!$D$8^((1-_xlfn.WEIBULL.DIST(DA$2,$M104,$L104,FALSE))/_xlfn.WEIBULL.DIST(DA$2,$M104,$L104,FALSE))*$U104*((1+Inputs!$D$7)^DA$2))),IF($N104=Lists!$K$3,IF($L104&lt;1,((($T104*(1-$F104)+$S104*(1-$G104))/$L104)*((1+Inputs!$D$7)^DA$2)),((INT(DA$2/$L104)-INT((DA$2-1)/$L104))*($T104*(1-$F104)+$S104*(1-$G104))*((1+Inputs!$D$7)^DA$2))),((Inputs!$D$8^((1-_xlfn.WEIBULL.DIST(DA$2,$M104,$L104,FALSE))/_xlfn.WEIBULL.DIST(DA$2,$M104,$L104,FALSE))*($T104*(1-$F104)+$S104*(1-$G104))*((1+Inputs!$D$7)^DA$2))))))))</f>
        <v>0</v>
      </c>
      <c r="DB104" s="88">
        <f>MAX(BL104,($E104*IF(DB$2&gt;Inputs!$D$5,0,IF(DB$2&gt;VLOOKUP($H104,Lists!$P$3:$Q$7,2),IF($N104=Lists!$K$3,IF($L104&lt;1,(($U104/$L104)*((1+Inputs!$D$7)^DB$2)),((INT(DB$2/$L104)-INT((DB$2-1)/$L104))*$U104*((1+Inputs!$D$7)^DB$2))),(Inputs!$D$8^((1-_xlfn.WEIBULL.DIST(DB$2,$M104,$L104,FALSE))/_xlfn.WEIBULL.DIST(DB$2,$M104,$L104,FALSE))*$U104*((1+Inputs!$D$7)^DB$2))),IF($N104=Lists!$K$3,IF($L104&lt;1,((($T104*(1-$F104)+$S104*(1-$G104))/$L104)*((1+Inputs!$D$7)^DB$2)),((INT(DB$2/$L104)-INT((DB$2-1)/$L104))*($T104*(1-$F104)+$S104*(1-$G104))*((1+Inputs!$D$7)^DB$2))),((Inputs!$D$8^((1-_xlfn.WEIBULL.DIST(DB$2,$M104,$L104,FALSE))/_xlfn.WEIBULL.DIST(DB$2,$M104,$L104,FALSE))*($T104*(1-$F104)+$S104*(1-$G104))*((1+Inputs!$D$7)^DB$2))))))))</f>
        <v>0</v>
      </c>
      <c r="DC104" s="88">
        <f>MAX(BM104,($E104*IF(DC$2&gt;Inputs!$D$5,0,IF(DC$2&gt;VLOOKUP($H104,Lists!$P$3:$Q$7,2),IF($N104=Lists!$K$3,IF($L104&lt;1,(($U104/$L104)*((1+Inputs!$D$7)^DC$2)),((INT(DC$2/$L104)-INT((DC$2-1)/$L104))*$U104*((1+Inputs!$D$7)^DC$2))),(Inputs!$D$8^((1-_xlfn.WEIBULL.DIST(DC$2,$M104,$L104,FALSE))/_xlfn.WEIBULL.DIST(DC$2,$M104,$L104,FALSE))*$U104*((1+Inputs!$D$7)^DC$2))),IF($N104=Lists!$K$3,IF($L104&lt;1,((($T104*(1-$F104)+$S104*(1-$G104))/$L104)*((1+Inputs!$D$7)^DC$2)),((INT(DC$2/$L104)-INT((DC$2-1)/$L104))*($T104*(1-$F104)+$S104*(1-$G104))*((1+Inputs!$D$7)^DC$2))),((Inputs!$D$8^((1-_xlfn.WEIBULL.DIST(DC$2,$M104,$L104,FALSE))/_xlfn.WEIBULL.DIST(DC$2,$M104,$L104,FALSE))*($T104*(1-$F104)+$S104*(1-$G104))*((1+Inputs!$D$7)^DC$2))))))))</f>
        <v>0</v>
      </c>
      <c r="DD104" s="88">
        <f>MAX(BN104,($E104*IF(DD$2&gt;Inputs!$D$5,0,IF(DD$2&gt;VLOOKUP($H104,Lists!$P$3:$Q$7,2),IF($N104=Lists!$K$3,IF($L104&lt;1,(($U104/$L104)*((1+Inputs!$D$7)^DD$2)),((INT(DD$2/$L104)-INT((DD$2-1)/$L104))*$U104*((1+Inputs!$D$7)^DD$2))),(Inputs!$D$8^((1-_xlfn.WEIBULL.DIST(DD$2,$M104,$L104,FALSE))/_xlfn.WEIBULL.DIST(DD$2,$M104,$L104,FALSE))*$U104*((1+Inputs!$D$7)^DD$2))),IF($N104=Lists!$K$3,IF($L104&lt;1,((($T104*(1-$F104)+$S104*(1-$G104))/$L104)*((1+Inputs!$D$7)^DD$2)),((INT(DD$2/$L104)-INT((DD$2-1)/$L104))*($T104*(1-$F104)+$S104*(1-$G104))*((1+Inputs!$D$7)^DD$2))),((Inputs!$D$8^((1-_xlfn.WEIBULL.DIST(DD$2,$M104,$L104,FALSE))/_xlfn.WEIBULL.DIST(DD$2,$M104,$L104,FALSE))*($T104*(1-$F104)+$S104*(1-$G104))*((1+Inputs!$D$7)^DD$2))))))))</f>
        <v>0</v>
      </c>
    </row>
    <row r="105" spans="1:108" ht="16">
      <c r="A105" s="57" t="s">
        <v>58</v>
      </c>
      <c r="B105" s="13" t="s">
        <v>279</v>
      </c>
      <c r="C105" s="13" t="s">
        <v>471</v>
      </c>
      <c r="D105" s="13" t="s">
        <v>35</v>
      </c>
      <c r="E105" s="48">
        <f>IF(Inputs!$D$54=Lists!$AA$3,0,1)</f>
        <v>1</v>
      </c>
      <c r="F105" s="48">
        <v>0</v>
      </c>
      <c r="G105" s="48">
        <v>0</v>
      </c>
      <c r="H105" s="105" t="s">
        <v>349</v>
      </c>
      <c r="I105" s="14" t="s">
        <v>24</v>
      </c>
      <c r="J105" s="14" t="s">
        <v>86</v>
      </c>
      <c r="K105" s="13">
        <f>VLOOKUP(J105,'Labor Rates'!$A$1:$F$16,2)</f>
        <v>29.298461538461535</v>
      </c>
      <c r="L105" s="15">
        <v>1</v>
      </c>
      <c r="M105" s="15">
        <v>1</v>
      </c>
      <c r="N105" s="13" t="s">
        <v>236</v>
      </c>
      <c r="O105" s="61">
        <v>1</v>
      </c>
      <c r="P105" s="15">
        <v>0</v>
      </c>
      <c r="Q105" s="15">
        <f t="shared" si="21"/>
        <v>0</v>
      </c>
      <c r="R105" s="4">
        <v>0</v>
      </c>
      <c r="S105" s="53">
        <f t="shared" si="22"/>
        <v>0</v>
      </c>
      <c r="T105" s="53">
        <f t="shared" si="23"/>
        <v>0</v>
      </c>
      <c r="U105" s="54">
        <f t="shared" si="24"/>
        <v>0</v>
      </c>
      <c r="V105" s="65"/>
      <c r="W105" s="58"/>
      <c r="X105" s="64">
        <f t="shared" si="25"/>
        <v>0</v>
      </c>
      <c r="Y105" s="64">
        <f>NPV(Inputs!$D$6,AA105:BN105)</f>
        <v>0</v>
      </c>
      <c r="Z105" s="67">
        <f t="shared" si="26"/>
        <v>0</v>
      </c>
      <c r="AA105" s="88">
        <f>$E105*IF(AA$2&gt;Inputs!$D$5,0,IF(AA$2&gt;VLOOKUP($H105,Lists!$P$3:$Q$7,2),IF($N105=Lists!$K$3,IF($L105&lt;1,(($U105/$L105)*((1+Inputs!$D$7)^AA$2)),((INT(AA$2/$L105)-INT((AA$2-1)/$L105))*$U105*((1+Inputs!$D$7)^AA$2))),(_xlfn.WEIBULL.DIST(AA$2,$M105,$L105,FALSE)*$U105*((1+Inputs!$D$7)^AA$2))),IF($N105=Lists!$K$3,IF($L105&lt;1,((($T105*(1-$F105)+$S105*(1-$G105))/$L105)*((1+Inputs!$D$7)^AA$2)),((INT(AA$2/$L105)-INT((AA$2-1)/$L105))*($T105*(1-$F105)+$S105*(1-$G105))*((1+Inputs!$D$7)^AA$2))),((_xlfn.WEIBULL.DIST(AA$2,$M105,$L105,FALSE)*($T105*(1-$F105)+$S105*(1-$G105))*((1+Inputs!$D$7)^AA$2))))))</f>
        <v>0</v>
      </c>
      <c r="AB105" s="88">
        <f>$E105*IF(AB$2&gt;Inputs!$D$5,0,IF(AB$2&gt;VLOOKUP($H105,Lists!$P$3:$Q$7,2),IF($N105=Lists!$K$3,IF($L105&lt;1,(($U105/$L105)*((1+Inputs!$D$7)^AB$2)),((INT(AB$2/$L105)-INT((AB$2-1)/$L105))*$U105*((1+Inputs!$D$7)^AB$2))),(_xlfn.WEIBULL.DIST(AB$2,$M105,$L105,FALSE)*$U105*((1+Inputs!$D$7)^AB$2))),IF($N105=Lists!$K$3,IF($L105&lt;1,((($T105*(1-$F105)+$S105*(1-$G105))/$L105)*((1+Inputs!$D$7)^AB$2)),((INT(AB$2/$L105)-INT((AB$2-1)/$L105))*($T105*(1-$F105)+$S105*(1-$G105))*((1+Inputs!$D$7)^AB$2))),((_xlfn.WEIBULL.DIST(AB$2,$M105,$L105,FALSE)*($T105*(1-$F105)+$S105*(1-$G105))*((1+Inputs!$D$7)^AB$2))))))</f>
        <v>0</v>
      </c>
      <c r="AC105" s="88">
        <f>$E105*IF(AC$2&gt;Inputs!$D$5,0,IF(AC$2&gt;VLOOKUP($H105,Lists!$P$3:$Q$7,2),IF($N105=Lists!$K$3,IF($L105&lt;1,(($U105/$L105)*((1+Inputs!$D$7)^AC$2)),((INT(AC$2/$L105)-INT((AC$2-1)/$L105))*$U105*((1+Inputs!$D$7)^AC$2))),(_xlfn.WEIBULL.DIST(AC$2,$M105,$L105,FALSE)*$U105*((1+Inputs!$D$7)^AC$2))),IF($N105=Lists!$K$3,IF($L105&lt;1,((($T105*(1-$F105)+$S105*(1-$G105))/$L105)*((1+Inputs!$D$7)^AC$2)),((INT(AC$2/$L105)-INT((AC$2-1)/$L105))*($T105*(1-$F105)+$S105*(1-$G105))*((1+Inputs!$D$7)^AC$2))),((_xlfn.WEIBULL.DIST(AC$2,$M105,$L105,FALSE)*($T105*(1-$F105)+$S105*(1-$G105))*((1+Inputs!$D$7)^AC$2))))))</f>
        <v>0</v>
      </c>
      <c r="AD105" s="88">
        <f>$E105*IF(AD$2&gt;Inputs!$D$5,0,IF(AD$2&gt;VLOOKUP($H105,Lists!$P$3:$Q$7,2),IF($N105=Lists!$K$3,IF($L105&lt;1,(($U105/$L105)*((1+Inputs!$D$7)^AD$2)),((INT(AD$2/$L105)-INT((AD$2-1)/$L105))*$U105*((1+Inputs!$D$7)^AD$2))),(_xlfn.WEIBULL.DIST(AD$2,$M105,$L105,FALSE)*$U105*((1+Inputs!$D$7)^AD$2))),IF($N105=Lists!$K$3,IF($L105&lt;1,((($T105*(1-$F105)+$S105*(1-$G105))/$L105)*((1+Inputs!$D$7)^AD$2)),((INT(AD$2/$L105)-INT((AD$2-1)/$L105))*($T105*(1-$F105)+$S105*(1-$G105))*((1+Inputs!$D$7)^AD$2))),((_xlfn.WEIBULL.DIST(AD$2,$M105,$L105,FALSE)*($T105*(1-$F105)+$S105*(1-$G105))*((1+Inputs!$D$7)^AD$2))))))</f>
        <v>0</v>
      </c>
      <c r="AE105" s="88">
        <f>$E105*IF(AE$2&gt;Inputs!$D$5,0,IF(AE$2&gt;VLOOKUP($H105,Lists!$P$3:$Q$7,2),IF($N105=Lists!$K$3,IF($L105&lt;1,(($U105/$L105)*((1+Inputs!$D$7)^AE$2)),((INT(AE$2/$L105)-INT((AE$2-1)/$L105))*$U105*((1+Inputs!$D$7)^AE$2))),(_xlfn.WEIBULL.DIST(AE$2,$M105,$L105,FALSE)*$U105*((1+Inputs!$D$7)^AE$2))),IF($N105=Lists!$K$3,IF($L105&lt;1,((($T105*(1-$F105)+$S105*(1-$G105))/$L105)*((1+Inputs!$D$7)^AE$2)),((INT(AE$2/$L105)-INT((AE$2-1)/$L105))*($T105*(1-$F105)+$S105*(1-$G105))*((1+Inputs!$D$7)^AE$2))),((_xlfn.WEIBULL.DIST(AE$2,$M105,$L105,FALSE)*($T105*(1-$F105)+$S105*(1-$G105))*((1+Inputs!$D$7)^AE$2))))))</f>
        <v>0</v>
      </c>
      <c r="AF105" s="88">
        <f>$E105*IF(AF$2&gt;Inputs!$D$5,0,IF(AF$2&gt;VLOOKUP($H105,Lists!$P$3:$Q$7,2),IF($N105=Lists!$K$3,IF($L105&lt;1,(($U105/$L105)*((1+Inputs!$D$7)^AF$2)),((INT(AF$2/$L105)-INT((AF$2-1)/$L105))*$U105*((1+Inputs!$D$7)^AF$2))),(_xlfn.WEIBULL.DIST(AF$2,$M105,$L105,FALSE)*$U105*((1+Inputs!$D$7)^AF$2))),IF($N105=Lists!$K$3,IF($L105&lt;1,((($T105*(1-$F105)+$S105*(1-$G105))/$L105)*((1+Inputs!$D$7)^AF$2)),((INT(AF$2/$L105)-INT((AF$2-1)/$L105))*($T105*(1-$F105)+$S105*(1-$G105))*((1+Inputs!$D$7)^AF$2))),((_xlfn.WEIBULL.DIST(AF$2,$M105,$L105,FALSE)*($T105*(1-$F105)+$S105*(1-$G105))*((1+Inputs!$D$7)^AF$2))))))</f>
        <v>0</v>
      </c>
      <c r="AG105" s="88">
        <f>$E105*IF(AG$2&gt;Inputs!$D$5,0,IF(AG$2&gt;VLOOKUP($H105,Lists!$P$3:$Q$7,2),IF($N105=Lists!$K$3,IF($L105&lt;1,(($U105/$L105)*((1+Inputs!$D$7)^AG$2)),((INT(AG$2/$L105)-INT((AG$2-1)/$L105))*$U105*((1+Inputs!$D$7)^AG$2))),(_xlfn.WEIBULL.DIST(AG$2,$M105,$L105,FALSE)*$U105*((1+Inputs!$D$7)^AG$2))),IF($N105=Lists!$K$3,IF($L105&lt;1,((($T105*(1-$F105)+$S105*(1-$G105))/$L105)*((1+Inputs!$D$7)^AG$2)),((INT(AG$2/$L105)-INT((AG$2-1)/$L105))*($T105*(1-$F105)+$S105*(1-$G105))*((1+Inputs!$D$7)^AG$2))),((_xlfn.WEIBULL.DIST(AG$2,$M105,$L105,FALSE)*($T105*(1-$F105)+$S105*(1-$G105))*((1+Inputs!$D$7)^AG$2))))))</f>
        <v>0</v>
      </c>
      <c r="AH105" s="88">
        <f>$E105*IF(AH$2&gt;Inputs!$D$5,0,IF(AH$2&gt;VLOOKUP($H105,Lists!$P$3:$Q$7,2),IF($N105=Lists!$K$3,IF($L105&lt;1,(($U105/$L105)*((1+Inputs!$D$7)^AH$2)),((INT(AH$2/$L105)-INT((AH$2-1)/$L105))*$U105*((1+Inputs!$D$7)^AH$2))),(_xlfn.WEIBULL.DIST(AH$2,$M105,$L105,FALSE)*$U105*((1+Inputs!$D$7)^AH$2))),IF($N105=Lists!$K$3,IF($L105&lt;1,((($T105*(1-$F105)+$S105*(1-$G105))/$L105)*((1+Inputs!$D$7)^AH$2)),((INT(AH$2/$L105)-INT((AH$2-1)/$L105))*($T105*(1-$F105)+$S105*(1-$G105))*((1+Inputs!$D$7)^AH$2))),((_xlfn.WEIBULL.DIST(AH$2,$M105,$L105,FALSE)*($T105*(1-$F105)+$S105*(1-$G105))*((1+Inputs!$D$7)^AH$2))))))</f>
        <v>0</v>
      </c>
      <c r="AI105" s="88">
        <f>$E105*IF(AI$2&gt;Inputs!$D$5,0,IF(AI$2&gt;VLOOKUP($H105,Lists!$P$3:$Q$7,2),IF($N105=Lists!$K$3,IF($L105&lt;1,(($U105/$L105)*((1+Inputs!$D$7)^AI$2)),((INT(AI$2/$L105)-INT((AI$2-1)/$L105))*$U105*((1+Inputs!$D$7)^AI$2))),(_xlfn.WEIBULL.DIST(AI$2,$M105,$L105,FALSE)*$U105*((1+Inputs!$D$7)^AI$2))),IF($N105=Lists!$K$3,IF($L105&lt;1,((($T105*(1-$F105)+$S105*(1-$G105))/$L105)*((1+Inputs!$D$7)^AI$2)),((INT(AI$2/$L105)-INT((AI$2-1)/$L105))*($T105*(1-$F105)+$S105*(1-$G105))*((1+Inputs!$D$7)^AI$2))),((_xlfn.WEIBULL.DIST(AI$2,$M105,$L105,FALSE)*($T105*(1-$F105)+$S105*(1-$G105))*((1+Inputs!$D$7)^AI$2))))))</f>
        <v>0</v>
      </c>
      <c r="AJ105" s="88">
        <f>$E105*IF(AJ$2&gt;Inputs!$D$5,0,IF(AJ$2&gt;VLOOKUP($H105,Lists!$P$3:$Q$7,2),IF($N105=Lists!$K$3,IF($L105&lt;1,(($U105/$L105)*((1+Inputs!$D$7)^AJ$2)),((INT(AJ$2/$L105)-INT((AJ$2-1)/$L105))*$U105*((1+Inputs!$D$7)^AJ$2))),(_xlfn.WEIBULL.DIST(AJ$2,$M105,$L105,FALSE)*$U105*((1+Inputs!$D$7)^AJ$2))),IF($N105=Lists!$K$3,IF($L105&lt;1,((($T105*(1-$F105)+$S105*(1-$G105))/$L105)*((1+Inputs!$D$7)^AJ$2)),((INT(AJ$2/$L105)-INT((AJ$2-1)/$L105))*($T105*(1-$F105)+$S105*(1-$G105))*((1+Inputs!$D$7)^AJ$2))),((_xlfn.WEIBULL.DIST(AJ$2,$M105,$L105,FALSE)*($T105*(1-$F105)+$S105*(1-$G105))*((1+Inputs!$D$7)^AJ$2))))))</f>
        <v>0</v>
      </c>
      <c r="AK105" s="88">
        <f>$E105*IF(AK$2&gt;Inputs!$D$5,0,IF(AK$2&gt;VLOOKUP($H105,Lists!$P$3:$Q$7,2),IF($N105=Lists!$K$3,IF($L105&lt;1,(($U105/$L105)*((1+Inputs!$D$7)^AK$2)),((INT(AK$2/$L105)-INT((AK$2-1)/$L105))*$U105*((1+Inputs!$D$7)^AK$2))),(_xlfn.WEIBULL.DIST(AK$2,$M105,$L105,FALSE)*$U105*((1+Inputs!$D$7)^AK$2))),IF($N105=Lists!$K$3,IF($L105&lt;1,((($T105*(1-$F105)+$S105*(1-$G105))/$L105)*((1+Inputs!$D$7)^AK$2)),((INT(AK$2/$L105)-INT((AK$2-1)/$L105))*($T105*(1-$F105)+$S105*(1-$G105))*((1+Inputs!$D$7)^AK$2))),((_xlfn.WEIBULL.DIST(AK$2,$M105,$L105,FALSE)*($T105*(1-$F105)+$S105*(1-$G105))*((1+Inputs!$D$7)^AK$2))))))</f>
        <v>0</v>
      </c>
      <c r="AL105" s="88">
        <f>$E105*IF(AL$2&gt;Inputs!$D$5,0,IF(AL$2&gt;VLOOKUP($H105,Lists!$P$3:$Q$7,2),IF($N105=Lists!$K$3,IF($L105&lt;1,(($U105/$L105)*((1+Inputs!$D$7)^AL$2)),((INT(AL$2/$L105)-INT((AL$2-1)/$L105))*$U105*((1+Inputs!$D$7)^AL$2))),(_xlfn.WEIBULL.DIST(AL$2,$M105,$L105,FALSE)*$U105*((1+Inputs!$D$7)^AL$2))),IF($N105=Lists!$K$3,IF($L105&lt;1,((($T105*(1-$F105)+$S105*(1-$G105))/$L105)*((1+Inputs!$D$7)^AL$2)),((INT(AL$2/$L105)-INT((AL$2-1)/$L105))*($T105*(1-$F105)+$S105*(1-$G105))*((1+Inputs!$D$7)^AL$2))),((_xlfn.WEIBULL.DIST(AL$2,$M105,$L105,FALSE)*($T105*(1-$F105)+$S105*(1-$G105))*((1+Inputs!$D$7)^AL$2))))))</f>
        <v>0</v>
      </c>
      <c r="AM105" s="88">
        <f>$E105*IF(AM$2&gt;Inputs!$D$5,0,IF(AM$2&gt;VLOOKUP($H105,Lists!$P$3:$Q$7,2),IF($N105=Lists!$K$3,IF($L105&lt;1,(($U105/$L105)*((1+Inputs!$D$7)^AM$2)),((INT(AM$2/$L105)-INT((AM$2-1)/$L105))*$U105*((1+Inputs!$D$7)^AM$2))),(_xlfn.WEIBULL.DIST(AM$2,$M105,$L105,FALSE)*$U105*((1+Inputs!$D$7)^AM$2))),IF($N105=Lists!$K$3,IF($L105&lt;1,((($T105*(1-$F105)+$S105*(1-$G105))/$L105)*((1+Inputs!$D$7)^AM$2)),((INT(AM$2/$L105)-INT((AM$2-1)/$L105))*($T105*(1-$F105)+$S105*(1-$G105))*((1+Inputs!$D$7)^AM$2))),((_xlfn.WEIBULL.DIST(AM$2,$M105,$L105,FALSE)*($T105*(1-$F105)+$S105*(1-$G105))*((1+Inputs!$D$7)^AM$2))))))</f>
        <v>0</v>
      </c>
      <c r="AN105" s="88">
        <f>$E105*IF(AN$2&gt;Inputs!$D$5,0,IF(AN$2&gt;VLOOKUP($H105,Lists!$P$3:$Q$7,2),IF($N105=Lists!$K$3,IF($L105&lt;1,(($U105/$L105)*((1+Inputs!$D$7)^AN$2)),((INT(AN$2/$L105)-INT((AN$2-1)/$L105))*$U105*((1+Inputs!$D$7)^AN$2))),(_xlfn.WEIBULL.DIST(AN$2,$M105,$L105,FALSE)*$U105*((1+Inputs!$D$7)^AN$2))),IF($N105=Lists!$K$3,IF($L105&lt;1,((($T105*(1-$F105)+$S105*(1-$G105))/$L105)*((1+Inputs!$D$7)^AN$2)),((INT(AN$2/$L105)-INT((AN$2-1)/$L105))*($T105*(1-$F105)+$S105*(1-$G105))*((1+Inputs!$D$7)^AN$2))),((_xlfn.WEIBULL.DIST(AN$2,$M105,$L105,FALSE)*($T105*(1-$F105)+$S105*(1-$G105))*((1+Inputs!$D$7)^AN$2))))))</f>
        <v>0</v>
      </c>
      <c r="AO105" s="88">
        <f>$E105*IF(AO$2&gt;Inputs!$D$5,0,IF(AO$2&gt;VLOOKUP($H105,Lists!$P$3:$Q$7,2),IF($N105=Lists!$K$3,IF($L105&lt;1,(($U105/$L105)*((1+Inputs!$D$7)^AO$2)),((INT(AO$2/$L105)-INT((AO$2-1)/$L105))*$U105*((1+Inputs!$D$7)^AO$2))),(_xlfn.WEIBULL.DIST(AO$2,$M105,$L105,FALSE)*$U105*((1+Inputs!$D$7)^AO$2))),IF($N105=Lists!$K$3,IF($L105&lt;1,((($T105*(1-$F105)+$S105*(1-$G105))/$L105)*((1+Inputs!$D$7)^AO$2)),((INT(AO$2/$L105)-INT((AO$2-1)/$L105))*($T105*(1-$F105)+$S105*(1-$G105))*((1+Inputs!$D$7)^AO$2))),((_xlfn.WEIBULL.DIST(AO$2,$M105,$L105,FALSE)*($T105*(1-$F105)+$S105*(1-$G105))*((1+Inputs!$D$7)^AO$2))))))</f>
        <v>0</v>
      </c>
      <c r="AP105" s="88">
        <f>$E105*IF(AP$2&gt;Inputs!$D$5,0,IF(AP$2&gt;VLOOKUP($H105,Lists!$P$3:$Q$7,2),IF($N105=Lists!$K$3,IF($L105&lt;1,(($U105/$L105)*((1+Inputs!$D$7)^AP$2)),((INT(AP$2/$L105)-INT((AP$2-1)/$L105))*$U105*((1+Inputs!$D$7)^AP$2))),(_xlfn.WEIBULL.DIST(AP$2,$M105,$L105,FALSE)*$U105*((1+Inputs!$D$7)^AP$2))),IF($N105=Lists!$K$3,IF($L105&lt;1,((($T105*(1-$F105)+$S105*(1-$G105))/$L105)*((1+Inputs!$D$7)^AP$2)),((INT(AP$2/$L105)-INT((AP$2-1)/$L105))*($T105*(1-$F105)+$S105*(1-$G105))*((1+Inputs!$D$7)^AP$2))),((_xlfn.WEIBULL.DIST(AP$2,$M105,$L105,FALSE)*($T105*(1-$F105)+$S105*(1-$G105))*((1+Inputs!$D$7)^AP$2))))))</f>
        <v>0</v>
      </c>
      <c r="AQ105" s="88">
        <f>$E105*IF(AQ$2&gt;Inputs!$D$5,0,IF(AQ$2&gt;VLOOKUP($H105,Lists!$P$3:$Q$7,2),IF($N105=Lists!$K$3,IF($L105&lt;1,(($U105/$L105)*((1+Inputs!$D$7)^AQ$2)),((INT(AQ$2/$L105)-INT((AQ$2-1)/$L105))*$U105*((1+Inputs!$D$7)^AQ$2))),(_xlfn.WEIBULL.DIST(AQ$2,$M105,$L105,FALSE)*$U105*((1+Inputs!$D$7)^AQ$2))),IF($N105=Lists!$K$3,IF($L105&lt;1,((($T105*(1-$F105)+$S105*(1-$G105))/$L105)*((1+Inputs!$D$7)^AQ$2)),((INT(AQ$2/$L105)-INT((AQ$2-1)/$L105))*($T105*(1-$F105)+$S105*(1-$G105))*((1+Inputs!$D$7)^AQ$2))),((_xlfn.WEIBULL.DIST(AQ$2,$M105,$L105,FALSE)*($T105*(1-$F105)+$S105*(1-$G105))*((1+Inputs!$D$7)^AQ$2))))))</f>
        <v>0</v>
      </c>
      <c r="AR105" s="88">
        <f>$E105*IF(AR$2&gt;Inputs!$D$5,0,IF(AR$2&gt;VLOOKUP($H105,Lists!$P$3:$Q$7,2),IF($N105=Lists!$K$3,IF($L105&lt;1,(($U105/$L105)*((1+Inputs!$D$7)^AR$2)),((INT(AR$2/$L105)-INT((AR$2-1)/$L105))*$U105*((1+Inputs!$D$7)^AR$2))),(_xlfn.WEIBULL.DIST(AR$2,$M105,$L105,FALSE)*$U105*((1+Inputs!$D$7)^AR$2))),IF($N105=Lists!$K$3,IF($L105&lt;1,((($T105*(1-$F105)+$S105*(1-$G105))/$L105)*((1+Inputs!$D$7)^AR$2)),((INT(AR$2/$L105)-INT((AR$2-1)/$L105))*($T105*(1-$F105)+$S105*(1-$G105))*((1+Inputs!$D$7)^AR$2))),((_xlfn.WEIBULL.DIST(AR$2,$M105,$L105,FALSE)*($T105*(1-$F105)+$S105*(1-$G105))*((1+Inputs!$D$7)^AR$2))))))</f>
        <v>0</v>
      </c>
      <c r="AS105" s="88">
        <f>$E105*IF(AS$2&gt;Inputs!$D$5,0,IF(AS$2&gt;VLOOKUP($H105,Lists!$P$3:$Q$7,2),IF($N105=Lists!$K$3,IF($L105&lt;1,(($U105/$L105)*((1+Inputs!$D$7)^AS$2)),((INT(AS$2/$L105)-INT((AS$2-1)/$L105))*$U105*((1+Inputs!$D$7)^AS$2))),(_xlfn.WEIBULL.DIST(AS$2,$M105,$L105,FALSE)*$U105*((1+Inputs!$D$7)^AS$2))),IF($N105=Lists!$K$3,IF($L105&lt;1,((($T105*(1-$F105)+$S105*(1-$G105))/$L105)*((1+Inputs!$D$7)^AS$2)),((INT(AS$2/$L105)-INT((AS$2-1)/$L105))*($T105*(1-$F105)+$S105*(1-$G105))*((1+Inputs!$D$7)^AS$2))),((_xlfn.WEIBULL.DIST(AS$2,$M105,$L105,FALSE)*($T105*(1-$F105)+$S105*(1-$G105))*((1+Inputs!$D$7)^AS$2))))))</f>
        <v>0</v>
      </c>
      <c r="AT105" s="88">
        <f>$E105*IF(AT$2&gt;Inputs!$D$5,0,IF(AT$2&gt;VLOOKUP($H105,Lists!$P$3:$Q$7,2),IF($N105=Lists!$K$3,IF($L105&lt;1,(($U105/$L105)*((1+Inputs!$D$7)^AT$2)),((INT(AT$2/$L105)-INT((AT$2-1)/$L105))*$U105*((1+Inputs!$D$7)^AT$2))),(_xlfn.WEIBULL.DIST(AT$2,$M105,$L105,FALSE)*$U105*((1+Inputs!$D$7)^AT$2))),IF($N105=Lists!$K$3,IF($L105&lt;1,((($T105*(1-$F105)+$S105*(1-$G105))/$L105)*((1+Inputs!$D$7)^AT$2)),((INT(AT$2/$L105)-INT((AT$2-1)/$L105))*($T105*(1-$F105)+$S105*(1-$G105))*((1+Inputs!$D$7)^AT$2))),((_xlfn.WEIBULL.DIST(AT$2,$M105,$L105,FALSE)*($T105*(1-$F105)+$S105*(1-$G105))*((1+Inputs!$D$7)^AT$2))))))</f>
        <v>0</v>
      </c>
      <c r="AU105" s="88">
        <f>$E105*IF(AU$2&gt;Inputs!$D$5,0,IF(AU$2&gt;VLOOKUP($H105,Lists!$P$3:$Q$7,2),IF($N105=Lists!$K$3,IF($L105&lt;1,(($U105/$L105)*((1+Inputs!$D$7)^AU$2)),((INT(AU$2/$L105)-INT((AU$2-1)/$L105))*$U105*((1+Inputs!$D$7)^AU$2))),(_xlfn.WEIBULL.DIST(AU$2,$M105,$L105,FALSE)*$U105*((1+Inputs!$D$7)^AU$2))),IF($N105=Lists!$K$3,IF($L105&lt;1,((($T105*(1-$F105)+$S105*(1-$G105))/$L105)*((1+Inputs!$D$7)^AU$2)),((INT(AU$2/$L105)-INT((AU$2-1)/$L105))*($T105*(1-$F105)+$S105*(1-$G105))*((1+Inputs!$D$7)^AU$2))),((_xlfn.WEIBULL.DIST(AU$2,$M105,$L105,FALSE)*($T105*(1-$F105)+$S105*(1-$G105))*((1+Inputs!$D$7)^AU$2))))))</f>
        <v>0</v>
      </c>
      <c r="AV105" s="88">
        <f>$E105*IF(AV$2&gt;Inputs!$D$5,0,IF(AV$2&gt;VLOOKUP($H105,Lists!$P$3:$Q$7,2),IF($N105=Lists!$K$3,IF($L105&lt;1,(($U105/$L105)*((1+Inputs!$D$7)^AV$2)),((INT(AV$2/$L105)-INT((AV$2-1)/$L105))*$U105*((1+Inputs!$D$7)^AV$2))),(_xlfn.WEIBULL.DIST(AV$2,$M105,$L105,FALSE)*$U105*((1+Inputs!$D$7)^AV$2))),IF($N105=Lists!$K$3,IF($L105&lt;1,((($T105*(1-$F105)+$S105*(1-$G105))/$L105)*((1+Inputs!$D$7)^AV$2)),((INT(AV$2/$L105)-INT((AV$2-1)/$L105))*($T105*(1-$F105)+$S105*(1-$G105))*((1+Inputs!$D$7)^AV$2))),((_xlfn.WEIBULL.DIST(AV$2,$M105,$L105,FALSE)*($T105*(1-$F105)+$S105*(1-$G105))*((1+Inputs!$D$7)^AV$2))))))</f>
        <v>0</v>
      </c>
      <c r="AW105" s="88">
        <f>$E105*IF(AW$2&gt;Inputs!$D$5,0,IF(AW$2&gt;VLOOKUP($H105,Lists!$P$3:$Q$7,2),IF($N105=Lists!$K$3,IF($L105&lt;1,(($U105/$L105)*((1+Inputs!$D$7)^AW$2)),((INT(AW$2/$L105)-INT((AW$2-1)/$L105))*$U105*((1+Inputs!$D$7)^AW$2))),(_xlfn.WEIBULL.DIST(AW$2,$M105,$L105,FALSE)*$U105*((1+Inputs!$D$7)^AW$2))),IF($N105=Lists!$K$3,IF($L105&lt;1,((($T105*(1-$F105)+$S105*(1-$G105))/$L105)*((1+Inputs!$D$7)^AW$2)),((INT(AW$2/$L105)-INT((AW$2-1)/$L105))*($T105*(1-$F105)+$S105*(1-$G105))*((1+Inputs!$D$7)^AW$2))),((_xlfn.WEIBULL.DIST(AW$2,$M105,$L105,FALSE)*($T105*(1-$F105)+$S105*(1-$G105))*((1+Inputs!$D$7)^AW$2))))))</f>
        <v>0</v>
      </c>
      <c r="AX105" s="88">
        <f>$E105*IF(AX$2&gt;Inputs!$D$5,0,IF(AX$2&gt;VLOOKUP($H105,Lists!$P$3:$Q$7,2),IF($N105=Lists!$K$3,IF($L105&lt;1,(($U105/$L105)*((1+Inputs!$D$7)^AX$2)),((INT(AX$2/$L105)-INT((AX$2-1)/$L105))*$U105*((1+Inputs!$D$7)^AX$2))),(_xlfn.WEIBULL.DIST(AX$2,$M105,$L105,FALSE)*$U105*((1+Inputs!$D$7)^AX$2))),IF($N105=Lists!$K$3,IF($L105&lt;1,((($T105*(1-$F105)+$S105*(1-$G105))/$L105)*((1+Inputs!$D$7)^AX$2)),((INT(AX$2/$L105)-INT((AX$2-1)/$L105))*($T105*(1-$F105)+$S105*(1-$G105))*((1+Inputs!$D$7)^AX$2))),((_xlfn.WEIBULL.DIST(AX$2,$M105,$L105,FALSE)*($T105*(1-$F105)+$S105*(1-$G105))*((1+Inputs!$D$7)^AX$2))))))</f>
        <v>0</v>
      </c>
      <c r="AY105" s="88">
        <f>$E105*IF(AY$2&gt;Inputs!$D$5,0,IF(AY$2&gt;VLOOKUP($H105,Lists!$P$3:$Q$7,2),IF($N105=Lists!$K$3,IF($L105&lt;1,(($U105/$L105)*((1+Inputs!$D$7)^AY$2)),((INT(AY$2/$L105)-INT((AY$2-1)/$L105))*$U105*((1+Inputs!$D$7)^AY$2))),(_xlfn.WEIBULL.DIST(AY$2,$M105,$L105,FALSE)*$U105*((1+Inputs!$D$7)^AY$2))),IF($N105=Lists!$K$3,IF($L105&lt;1,((($T105*(1-$F105)+$S105*(1-$G105))/$L105)*((1+Inputs!$D$7)^AY$2)),((INT(AY$2/$L105)-INT((AY$2-1)/$L105))*($T105*(1-$F105)+$S105*(1-$G105))*((1+Inputs!$D$7)^AY$2))),((_xlfn.WEIBULL.DIST(AY$2,$M105,$L105,FALSE)*($T105*(1-$F105)+$S105*(1-$G105))*((1+Inputs!$D$7)^AY$2))))))</f>
        <v>0</v>
      </c>
      <c r="AZ105" s="88">
        <f>$E105*IF(AZ$2&gt;Inputs!$D$5,0,IF(AZ$2&gt;VLOOKUP($H105,Lists!$P$3:$Q$7,2),IF($N105=Lists!$K$3,IF($L105&lt;1,(($U105/$L105)*((1+Inputs!$D$7)^AZ$2)),((INT(AZ$2/$L105)-INT((AZ$2-1)/$L105))*$U105*((1+Inputs!$D$7)^AZ$2))),(_xlfn.WEIBULL.DIST(AZ$2,$M105,$L105,FALSE)*$U105*((1+Inputs!$D$7)^AZ$2))),IF($N105=Lists!$K$3,IF($L105&lt;1,((($T105*(1-$F105)+$S105*(1-$G105))/$L105)*((1+Inputs!$D$7)^AZ$2)),((INT(AZ$2/$L105)-INT((AZ$2-1)/$L105))*($T105*(1-$F105)+$S105*(1-$G105))*((1+Inputs!$D$7)^AZ$2))),((_xlfn.WEIBULL.DIST(AZ$2,$M105,$L105,FALSE)*($T105*(1-$F105)+$S105*(1-$G105))*((1+Inputs!$D$7)^AZ$2))))))</f>
        <v>0</v>
      </c>
      <c r="BA105" s="88">
        <f>$E105*IF(BA$2&gt;Inputs!$D$5,0,IF(BA$2&gt;VLOOKUP($H105,Lists!$P$3:$Q$7,2),IF($N105=Lists!$K$3,IF($L105&lt;1,(($U105/$L105)*((1+Inputs!$D$7)^BA$2)),((INT(BA$2/$L105)-INT((BA$2-1)/$L105))*$U105*((1+Inputs!$D$7)^BA$2))),(_xlfn.WEIBULL.DIST(BA$2,$M105,$L105,FALSE)*$U105*((1+Inputs!$D$7)^BA$2))),IF($N105=Lists!$K$3,IF($L105&lt;1,((($T105*(1-$F105)+$S105*(1-$G105))/$L105)*((1+Inputs!$D$7)^BA$2)),((INT(BA$2/$L105)-INT((BA$2-1)/$L105))*($T105*(1-$F105)+$S105*(1-$G105))*((1+Inputs!$D$7)^BA$2))),((_xlfn.WEIBULL.DIST(BA$2,$M105,$L105,FALSE)*($T105*(1-$F105)+$S105*(1-$G105))*((1+Inputs!$D$7)^BA$2))))))</f>
        <v>0</v>
      </c>
      <c r="BB105" s="88">
        <f>$E105*IF(BB$2&gt;Inputs!$D$5,0,IF(BB$2&gt;VLOOKUP($H105,Lists!$P$3:$Q$7,2),IF($N105=Lists!$K$3,IF($L105&lt;1,(($U105/$L105)*((1+Inputs!$D$7)^BB$2)),((INT(BB$2/$L105)-INT((BB$2-1)/$L105))*$U105*((1+Inputs!$D$7)^BB$2))),(_xlfn.WEIBULL.DIST(BB$2,$M105,$L105,FALSE)*$U105*((1+Inputs!$D$7)^BB$2))),IF($N105=Lists!$K$3,IF($L105&lt;1,((($T105*(1-$F105)+$S105*(1-$G105))/$L105)*((1+Inputs!$D$7)^BB$2)),((INT(BB$2/$L105)-INT((BB$2-1)/$L105))*($T105*(1-$F105)+$S105*(1-$G105))*((1+Inputs!$D$7)^BB$2))),((_xlfn.WEIBULL.DIST(BB$2,$M105,$L105,FALSE)*($T105*(1-$F105)+$S105*(1-$G105))*((1+Inputs!$D$7)^BB$2))))))</f>
        <v>0</v>
      </c>
      <c r="BC105" s="88">
        <f>$E105*IF(BC$2&gt;Inputs!$D$5,0,IF(BC$2&gt;VLOOKUP($H105,Lists!$P$3:$Q$7,2),IF($N105=Lists!$K$3,IF($L105&lt;1,(($U105/$L105)*((1+Inputs!$D$7)^BC$2)),((INT(BC$2/$L105)-INT((BC$2-1)/$L105))*$U105*((1+Inputs!$D$7)^BC$2))),(_xlfn.WEIBULL.DIST(BC$2,$M105,$L105,FALSE)*$U105*((1+Inputs!$D$7)^BC$2))),IF($N105=Lists!$K$3,IF($L105&lt;1,((($T105*(1-$F105)+$S105*(1-$G105))/$L105)*((1+Inputs!$D$7)^BC$2)),((INT(BC$2/$L105)-INT((BC$2-1)/$L105))*($T105*(1-$F105)+$S105*(1-$G105))*((1+Inputs!$D$7)^BC$2))),((_xlfn.WEIBULL.DIST(BC$2,$M105,$L105,FALSE)*($T105*(1-$F105)+$S105*(1-$G105))*((1+Inputs!$D$7)^BC$2))))))</f>
        <v>0</v>
      </c>
      <c r="BD105" s="88">
        <f>$E105*IF(BD$2&gt;Inputs!$D$5,0,IF(BD$2&gt;VLOOKUP($H105,Lists!$P$3:$Q$7,2),IF($N105=Lists!$K$3,IF($L105&lt;1,(($U105/$L105)*((1+Inputs!$D$7)^BD$2)),((INT(BD$2/$L105)-INT((BD$2-1)/$L105))*$U105*((1+Inputs!$D$7)^BD$2))),(_xlfn.WEIBULL.DIST(BD$2,$M105,$L105,FALSE)*$U105*((1+Inputs!$D$7)^BD$2))),IF($N105=Lists!$K$3,IF($L105&lt;1,((($T105*(1-$F105)+$S105*(1-$G105))/$L105)*((1+Inputs!$D$7)^BD$2)),((INT(BD$2/$L105)-INT((BD$2-1)/$L105))*($T105*(1-$F105)+$S105*(1-$G105))*((1+Inputs!$D$7)^BD$2))),((_xlfn.WEIBULL.DIST(BD$2,$M105,$L105,FALSE)*($T105*(1-$F105)+$S105*(1-$G105))*((1+Inputs!$D$7)^BD$2))))))</f>
        <v>0</v>
      </c>
      <c r="BE105" s="88">
        <f>$E105*IF(BE$2&gt;Inputs!$D$5,0,IF(BE$2&gt;VLOOKUP($H105,Lists!$P$3:$Q$7,2),IF($N105=Lists!$K$3,IF($L105&lt;1,(($U105/$L105)*((1+Inputs!$D$7)^BE$2)),((INT(BE$2/$L105)-INT((BE$2-1)/$L105))*$U105*((1+Inputs!$D$7)^BE$2))),(_xlfn.WEIBULL.DIST(BE$2,$M105,$L105,FALSE)*$U105*((1+Inputs!$D$7)^BE$2))),IF($N105=Lists!$K$3,IF($L105&lt;1,((($T105*(1-$F105)+$S105*(1-$G105))/$L105)*((1+Inputs!$D$7)^BE$2)),((INT(BE$2/$L105)-INT((BE$2-1)/$L105))*($T105*(1-$F105)+$S105*(1-$G105))*((1+Inputs!$D$7)^BE$2))),((_xlfn.WEIBULL.DIST(BE$2,$M105,$L105,FALSE)*($T105*(1-$F105)+$S105*(1-$G105))*((1+Inputs!$D$7)^BE$2))))))</f>
        <v>0</v>
      </c>
      <c r="BF105" s="88">
        <f>$E105*IF(BF$2&gt;Inputs!$D$5,0,IF(BF$2&gt;VLOOKUP($H105,Lists!$P$3:$Q$7,2),IF($N105=Lists!$K$3,IF($L105&lt;1,(($U105/$L105)*((1+Inputs!$D$7)^BF$2)),((INT(BF$2/$L105)-INT((BF$2-1)/$L105))*$U105*((1+Inputs!$D$7)^BF$2))),(_xlfn.WEIBULL.DIST(BF$2,$M105,$L105,FALSE)*$U105*((1+Inputs!$D$7)^BF$2))),IF($N105=Lists!$K$3,IF($L105&lt;1,((($T105*(1-$F105)+$S105*(1-$G105))/$L105)*((1+Inputs!$D$7)^BF$2)),((INT(BF$2/$L105)-INT((BF$2-1)/$L105))*($T105*(1-$F105)+$S105*(1-$G105))*((1+Inputs!$D$7)^BF$2))),((_xlfn.WEIBULL.DIST(BF$2,$M105,$L105,FALSE)*($T105*(1-$F105)+$S105*(1-$G105))*((1+Inputs!$D$7)^BF$2))))))</f>
        <v>0</v>
      </c>
      <c r="BG105" s="88">
        <f>$E105*IF(BG$2&gt;Inputs!$D$5,0,IF(BG$2&gt;VLOOKUP($H105,Lists!$P$3:$Q$7,2),IF($N105=Lists!$K$3,IF($L105&lt;1,(($U105/$L105)*((1+Inputs!$D$7)^BG$2)),((INT(BG$2/$L105)-INT((BG$2-1)/$L105))*$U105*((1+Inputs!$D$7)^BG$2))),(_xlfn.WEIBULL.DIST(BG$2,$M105,$L105,FALSE)*$U105*((1+Inputs!$D$7)^BG$2))),IF($N105=Lists!$K$3,IF($L105&lt;1,((($T105*(1-$F105)+$S105*(1-$G105))/$L105)*((1+Inputs!$D$7)^BG$2)),((INT(BG$2/$L105)-INT((BG$2-1)/$L105))*($T105*(1-$F105)+$S105*(1-$G105))*((1+Inputs!$D$7)^BG$2))),((_xlfn.WEIBULL.DIST(BG$2,$M105,$L105,FALSE)*($T105*(1-$F105)+$S105*(1-$G105))*((1+Inputs!$D$7)^BG$2))))))</f>
        <v>0</v>
      </c>
      <c r="BH105" s="88">
        <f>$E105*IF(BH$2&gt;Inputs!$D$5,0,IF(BH$2&gt;VLOOKUP($H105,Lists!$P$3:$Q$7,2),IF($N105=Lists!$K$3,IF($L105&lt;1,(($U105/$L105)*((1+Inputs!$D$7)^BH$2)),((INT(BH$2/$L105)-INT((BH$2-1)/$L105))*$U105*((1+Inputs!$D$7)^BH$2))),(_xlfn.WEIBULL.DIST(BH$2,$M105,$L105,FALSE)*$U105*((1+Inputs!$D$7)^BH$2))),IF($N105=Lists!$K$3,IF($L105&lt;1,((($T105*(1-$F105)+$S105*(1-$G105))/$L105)*((1+Inputs!$D$7)^BH$2)),((INT(BH$2/$L105)-INT((BH$2-1)/$L105))*($T105*(1-$F105)+$S105*(1-$G105))*((1+Inputs!$D$7)^BH$2))),((_xlfn.WEIBULL.DIST(BH$2,$M105,$L105,FALSE)*($T105*(1-$F105)+$S105*(1-$G105))*((1+Inputs!$D$7)^BH$2))))))</f>
        <v>0</v>
      </c>
      <c r="BI105" s="88">
        <f>$E105*IF(BI$2&gt;Inputs!$D$5,0,IF(BI$2&gt;VLOOKUP($H105,Lists!$P$3:$Q$7,2),IF($N105=Lists!$K$3,IF($L105&lt;1,(($U105/$L105)*((1+Inputs!$D$7)^BI$2)),((INT(BI$2/$L105)-INT((BI$2-1)/$L105))*$U105*((1+Inputs!$D$7)^BI$2))),(_xlfn.WEIBULL.DIST(BI$2,$M105,$L105,FALSE)*$U105*((1+Inputs!$D$7)^BI$2))),IF($N105=Lists!$K$3,IF($L105&lt;1,((($T105*(1-$F105)+$S105*(1-$G105))/$L105)*((1+Inputs!$D$7)^BI$2)),((INT(BI$2/$L105)-INT((BI$2-1)/$L105))*($T105*(1-$F105)+$S105*(1-$G105))*((1+Inputs!$D$7)^BI$2))),((_xlfn.WEIBULL.DIST(BI$2,$M105,$L105,FALSE)*($T105*(1-$F105)+$S105*(1-$G105))*((1+Inputs!$D$7)^BI$2))))))</f>
        <v>0</v>
      </c>
      <c r="BJ105" s="88">
        <f>$E105*IF(BJ$2&gt;Inputs!$D$5,0,IF(BJ$2&gt;VLOOKUP($H105,Lists!$P$3:$Q$7,2),IF($N105=Lists!$K$3,IF($L105&lt;1,(($U105/$L105)*((1+Inputs!$D$7)^BJ$2)),((INT(BJ$2/$L105)-INT((BJ$2-1)/$L105))*$U105*((1+Inputs!$D$7)^BJ$2))),(_xlfn.WEIBULL.DIST(BJ$2,$M105,$L105,FALSE)*$U105*((1+Inputs!$D$7)^BJ$2))),IF($N105=Lists!$K$3,IF($L105&lt;1,((($T105*(1-$F105)+$S105*(1-$G105))/$L105)*((1+Inputs!$D$7)^BJ$2)),((INT(BJ$2/$L105)-INT((BJ$2-1)/$L105))*($T105*(1-$F105)+$S105*(1-$G105))*((1+Inputs!$D$7)^BJ$2))),((_xlfn.WEIBULL.DIST(BJ$2,$M105,$L105,FALSE)*($T105*(1-$F105)+$S105*(1-$G105))*((1+Inputs!$D$7)^BJ$2))))))</f>
        <v>0</v>
      </c>
      <c r="BK105" s="88">
        <f>$E105*IF(BK$2&gt;Inputs!$D$5,0,IF(BK$2&gt;VLOOKUP($H105,Lists!$P$3:$Q$7,2),IF($N105=Lists!$K$3,IF($L105&lt;1,(($U105/$L105)*((1+Inputs!$D$7)^BK$2)),((INT(BK$2/$L105)-INT((BK$2-1)/$L105))*$U105*((1+Inputs!$D$7)^BK$2))),(_xlfn.WEIBULL.DIST(BK$2,$M105,$L105,FALSE)*$U105*((1+Inputs!$D$7)^BK$2))),IF($N105=Lists!$K$3,IF($L105&lt;1,((($T105*(1-$F105)+$S105*(1-$G105))/$L105)*((1+Inputs!$D$7)^BK$2)),((INT(BK$2/$L105)-INT((BK$2-1)/$L105))*($T105*(1-$F105)+$S105*(1-$G105))*((1+Inputs!$D$7)^BK$2))),((_xlfn.WEIBULL.DIST(BK$2,$M105,$L105,FALSE)*($T105*(1-$F105)+$S105*(1-$G105))*((1+Inputs!$D$7)^BK$2))))))</f>
        <v>0</v>
      </c>
      <c r="BL105" s="88">
        <f>$E105*IF(BL$2&gt;Inputs!$D$5,0,IF(BL$2&gt;VLOOKUP($H105,Lists!$P$3:$Q$7,2),IF($N105=Lists!$K$3,IF($L105&lt;1,(($U105/$L105)*((1+Inputs!$D$7)^BL$2)),((INT(BL$2/$L105)-INT((BL$2-1)/$L105))*$U105*((1+Inputs!$D$7)^BL$2))),(_xlfn.WEIBULL.DIST(BL$2,$M105,$L105,FALSE)*$U105*((1+Inputs!$D$7)^BL$2))),IF($N105=Lists!$K$3,IF($L105&lt;1,((($T105*(1-$F105)+$S105*(1-$G105))/$L105)*((1+Inputs!$D$7)^BL$2)),((INT(BL$2/$L105)-INT((BL$2-1)/$L105))*($T105*(1-$F105)+$S105*(1-$G105))*((1+Inputs!$D$7)^BL$2))),((_xlfn.WEIBULL.DIST(BL$2,$M105,$L105,FALSE)*($T105*(1-$F105)+$S105*(1-$G105))*((1+Inputs!$D$7)^BL$2))))))</f>
        <v>0</v>
      </c>
      <c r="BM105" s="88">
        <f>$E105*IF(BM$2&gt;Inputs!$D$5,0,IF(BM$2&gt;VLOOKUP($H105,Lists!$P$3:$Q$7,2),IF($N105=Lists!$K$3,IF($L105&lt;1,(($U105/$L105)*((1+Inputs!$D$7)^BM$2)),((INT(BM$2/$L105)-INT((BM$2-1)/$L105))*$U105*((1+Inputs!$D$7)^BM$2))),(_xlfn.WEIBULL.DIST(BM$2,$M105,$L105,FALSE)*$U105*((1+Inputs!$D$7)^BM$2))),IF($N105=Lists!$K$3,IF($L105&lt;1,((($T105*(1-$F105)+$S105*(1-$G105))/$L105)*((1+Inputs!$D$7)^BM$2)),((INT(BM$2/$L105)-INT((BM$2-1)/$L105))*($T105*(1-$F105)+$S105*(1-$G105))*((1+Inputs!$D$7)^BM$2))),((_xlfn.WEIBULL.DIST(BM$2,$M105,$L105,FALSE)*($T105*(1-$F105)+$S105*(1-$G105))*((1+Inputs!$D$7)^BM$2))))))</f>
        <v>0</v>
      </c>
      <c r="BN105" s="88">
        <f>$E105*IF(BN$2&gt;Inputs!$D$5,0,IF(BN$2&gt;VLOOKUP($H105,Lists!$P$3:$Q$7,2),IF($N105=Lists!$K$3,IF($L105&lt;1,(($U105/$L105)*((1+Inputs!$D$7)^BN$2)),((INT(BN$2/$L105)-INT((BN$2-1)/$L105))*$U105*((1+Inputs!$D$7)^BN$2))),(_xlfn.WEIBULL.DIST(BN$2,$M105,$L105,FALSE)*$U105*((1+Inputs!$D$7)^BN$2))),IF($N105=Lists!$K$3,IF($L105&lt;1,((($T105*(1-$F105)+$S105*(1-$G105))/$L105)*((1+Inputs!$D$7)^BN$2)),((INT(BN$2/$L105)-INT((BN$2-1)/$L105))*($T105*(1-$F105)+$S105*(1-$G105))*((1+Inputs!$D$7)^BN$2))),((_xlfn.WEIBULL.DIST(BN$2,$M105,$L105,FALSE)*($T105*(1-$F105)+$S105*(1-$G105))*((1+Inputs!$D$7)^BN$2))))))</f>
        <v>0</v>
      </c>
      <c r="BO105" s="64">
        <f>NPV(Inputs!$D$6,BQ105:DD105)</f>
        <v>0</v>
      </c>
      <c r="BP105" s="67">
        <f t="shared" si="27"/>
        <v>0</v>
      </c>
      <c r="BQ105" s="88">
        <f>MAX(AA105,($E105*IF(BQ$2&gt;Inputs!$D$5,0,IF(BQ$2&gt;VLOOKUP($H105,Lists!$P$3:$Q$7,2),IF($N105=Lists!$K$3,IF($L105&lt;1,(($U105/$L105)*((1+Inputs!$D$7)^BQ$2)),((INT(BQ$2/$L105)-INT((BQ$2-1)/$L105))*$U105*((1+Inputs!$D$7)^BQ$2))),(Inputs!$D$8^((1-_xlfn.WEIBULL.DIST(BQ$2,$M105,$L105,FALSE))/_xlfn.WEIBULL.DIST(BQ$2,$M105,$L105,FALSE))*$U105*((1+Inputs!$D$7)^BQ$2))),IF($N105=Lists!$K$3,IF($L105&lt;1,((($T105*(1-$F105)+$S105*(1-$G105))/$L105)*((1+Inputs!$D$7)^BQ$2)),((INT(BQ$2/$L105)-INT((BQ$2-1)/$L105))*($T105*(1-$F105)+$S105*(1-$G105))*((1+Inputs!$D$7)^BQ$2))),((Inputs!$D$8^((1-_xlfn.WEIBULL.DIST(BQ$2,$M105,$L105,FALSE))/_xlfn.WEIBULL.DIST(BQ$2,$M105,$L105,FALSE))*($T105*(1-$F105)+$S105*(1-$G105))*((1+Inputs!$D$7)^BQ$2))))))))</f>
        <v>0</v>
      </c>
      <c r="BR105" s="88">
        <f>MAX(AB105,($E105*IF(BR$2&gt;Inputs!$D$5,0,IF(BR$2&gt;VLOOKUP($H105,Lists!$P$3:$Q$7,2),IF($N105=Lists!$K$3,IF($L105&lt;1,(($U105/$L105)*((1+Inputs!$D$7)^BR$2)),((INT(BR$2/$L105)-INT((BR$2-1)/$L105))*$U105*((1+Inputs!$D$7)^BR$2))),(Inputs!$D$8^((1-_xlfn.WEIBULL.DIST(BR$2,$M105,$L105,FALSE))/_xlfn.WEIBULL.DIST(BR$2,$M105,$L105,FALSE))*$U105*((1+Inputs!$D$7)^BR$2))),IF($N105=Lists!$K$3,IF($L105&lt;1,((($T105*(1-$F105)+$S105*(1-$G105))/$L105)*((1+Inputs!$D$7)^BR$2)),((INT(BR$2/$L105)-INT((BR$2-1)/$L105))*($T105*(1-$F105)+$S105*(1-$G105))*((1+Inputs!$D$7)^BR$2))),((Inputs!$D$8^((1-_xlfn.WEIBULL.DIST(BR$2,$M105,$L105,FALSE))/_xlfn.WEIBULL.DIST(BR$2,$M105,$L105,FALSE))*($T105*(1-$F105)+$S105*(1-$G105))*((1+Inputs!$D$7)^BR$2))))))))</f>
        <v>0</v>
      </c>
      <c r="BS105" s="88">
        <f>MAX(AC105,($E105*IF(BS$2&gt;Inputs!$D$5,0,IF(BS$2&gt;VLOOKUP($H105,Lists!$P$3:$Q$7,2),IF($N105=Lists!$K$3,IF($L105&lt;1,(($U105/$L105)*((1+Inputs!$D$7)^BS$2)),((INT(BS$2/$L105)-INT((BS$2-1)/$L105))*$U105*((1+Inputs!$D$7)^BS$2))),(Inputs!$D$8^((1-_xlfn.WEIBULL.DIST(BS$2,$M105,$L105,FALSE))/_xlfn.WEIBULL.DIST(BS$2,$M105,$L105,FALSE))*$U105*((1+Inputs!$D$7)^BS$2))),IF($N105=Lists!$K$3,IF($L105&lt;1,((($T105*(1-$F105)+$S105*(1-$G105))/$L105)*((1+Inputs!$D$7)^BS$2)),((INT(BS$2/$L105)-INT((BS$2-1)/$L105))*($T105*(1-$F105)+$S105*(1-$G105))*((1+Inputs!$D$7)^BS$2))),((Inputs!$D$8^((1-_xlfn.WEIBULL.DIST(BS$2,$M105,$L105,FALSE))/_xlfn.WEIBULL.DIST(BS$2,$M105,$L105,FALSE))*($T105*(1-$F105)+$S105*(1-$G105))*((1+Inputs!$D$7)^BS$2))))))))</f>
        <v>0</v>
      </c>
      <c r="BT105" s="88">
        <f>MAX(AD105,($E105*IF(BT$2&gt;Inputs!$D$5,0,IF(BT$2&gt;VLOOKUP($H105,Lists!$P$3:$Q$7,2),IF($N105=Lists!$K$3,IF($L105&lt;1,(($U105/$L105)*((1+Inputs!$D$7)^BT$2)),((INT(BT$2/$L105)-INT((BT$2-1)/$L105))*$U105*((1+Inputs!$D$7)^BT$2))),(Inputs!$D$8^((1-_xlfn.WEIBULL.DIST(BT$2,$M105,$L105,FALSE))/_xlfn.WEIBULL.DIST(BT$2,$M105,$L105,FALSE))*$U105*((1+Inputs!$D$7)^BT$2))),IF($N105=Lists!$K$3,IF($L105&lt;1,((($T105*(1-$F105)+$S105*(1-$G105))/$L105)*((1+Inputs!$D$7)^BT$2)),((INT(BT$2/$L105)-INT((BT$2-1)/$L105))*($T105*(1-$F105)+$S105*(1-$G105))*((1+Inputs!$D$7)^BT$2))),((Inputs!$D$8^((1-_xlfn.WEIBULL.DIST(BT$2,$M105,$L105,FALSE))/_xlfn.WEIBULL.DIST(BT$2,$M105,$L105,FALSE))*($T105*(1-$F105)+$S105*(1-$G105))*((1+Inputs!$D$7)^BT$2))))))))</f>
        <v>0</v>
      </c>
      <c r="BU105" s="88">
        <f>MAX(AE105,($E105*IF(BU$2&gt;Inputs!$D$5,0,IF(BU$2&gt;VLOOKUP($H105,Lists!$P$3:$Q$7,2),IF($N105=Lists!$K$3,IF($L105&lt;1,(($U105/$L105)*((1+Inputs!$D$7)^BU$2)),((INT(BU$2/$L105)-INT((BU$2-1)/$L105))*$U105*((1+Inputs!$D$7)^BU$2))),(Inputs!$D$8^((1-_xlfn.WEIBULL.DIST(BU$2,$M105,$L105,FALSE))/_xlfn.WEIBULL.DIST(BU$2,$M105,$L105,FALSE))*$U105*((1+Inputs!$D$7)^BU$2))),IF($N105=Lists!$K$3,IF($L105&lt;1,((($T105*(1-$F105)+$S105*(1-$G105))/$L105)*((1+Inputs!$D$7)^BU$2)),((INT(BU$2/$L105)-INT((BU$2-1)/$L105))*($T105*(1-$F105)+$S105*(1-$G105))*((1+Inputs!$D$7)^BU$2))),((Inputs!$D$8^((1-_xlfn.WEIBULL.DIST(BU$2,$M105,$L105,FALSE))/_xlfn.WEIBULL.DIST(BU$2,$M105,$L105,FALSE))*($T105*(1-$F105)+$S105*(1-$G105))*((1+Inputs!$D$7)^BU$2))))))))</f>
        <v>0</v>
      </c>
      <c r="BV105" s="88">
        <f>MAX(AF105,($E105*IF(BV$2&gt;Inputs!$D$5,0,IF(BV$2&gt;VLOOKUP($H105,Lists!$P$3:$Q$7,2),IF($N105=Lists!$K$3,IF($L105&lt;1,(($U105/$L105)*((1+Inputs!$D$7)^BV$2)),((INT(BV$2/$L105)-INT((BV$2-1)/$L105))*$U105*((1+Inputs!$D$7)^BV$2))),(Inputs!$D$8^((1-_xlfn.WEIBULL.DIST(BV$2,$M105,$L105,FALSE))/_xlfn.WEIBULL.DIST(BV$2,$M105,$L105,FALSE))*$U105*((1+Inputs!$D$7)^BV$2))),IF($N105=Lists!$K$3,IF($L105&lt;1,((($T105*(1-$F105)+$S105*(1-$G105))/$L105)*((1+Inputs!$D$7)^BV$2)),((INT(BV$2/$L105)-INT((BV$2-1)/$L105))*($T105*(1-$F105)+$S105*(1-$G105))*((1+Inputs!$D$7)^BV$2))),((Inputs!$D$8^((1-_xlfn.WEIBULL.DIST(BV$2,$M105,$L105,FALSE))/_xlfn.WEIBULL.DIST(BV$2,$M105,$L105,FALSE))*($T105*(1-$F105)+$S105*(1-$G105))*((1+Inputs!$D$7)^BV$2))))))))</f>
        <v>0</v>
      </c>
      <c r="BW105" s="88">
        <f>MAX(AG105,($E105*IF(BW$2&gt;Inputs!$D$5,0,IF(BW$2&gt;VLOOKUP($H105,Lists!$P$3:$Q$7,2),IF($N105=Lists!$K$3,IF($L105&lt;1,(($U105/$L105)*((1+Inputs!$D$7)^BW$2)),((INT(BW$2/$L105)-INT((BW$2-1)/$L105))*$U105*((1+Inputs!$D$7)^BW$2))),(Inputs!$D$8^((1-_xlfn.WEIBULL.DIST(BW$2,$M105,$L105,FALSE))/_xlfn.WEIBULL.DIST(BW$2,$M105,$L105,FALSE))*$U105*((1+Inputs!$D$7)^BW$2))),IF($N105=Lists!$K$3,IF($L105&lt;1,((($T105*(1-$F105)+$S105*(1-$G105))/$L105)*((1+Inputs!$D$7)^BW$2)),((INT(BW$2/$L105)-INT((BW$2-1)/$L105))*($T105*(1-$F105)+$S105*(1-$G105))*((1+Inputs!$D$7)^BW$2))),((Inputs!$D$8^((1-_xlfn.WEIBULL.DIST(BW$2,$M105,$L105,FALSE))/_xlfn.WEIBULL.DIST(BW$2,$M105,$L105,FALSE))*($T105*(1-$F105)+$S105*(1-$G105))*((1+Inputs!$D$7)^BW$2))))))))</f>
        <v>0</v>
      </c>
      <c r="BX105" s="88">
        <f>MAX(AH105,($E105*IF(BX$2&gt;Inputs!$D$5,0,IF(BX$2&gt;VLOOKUP($H105,Lists!$P$3:$Q$7,2),IF($N105=Lists!$K$3,IF($L105&lt;1,(($U105/$L105)*((1+Inputs!$D$7)^BX$2)),((INT(BX$2/$L105)-INT((BX$2-1)/$L105))*$U105*((1+Inputs!$D$7)^BX$2))),(Inputs!$D$8^((1-_xlfn.WEIBULL.DIST(BX$2,$M105,$L105,FALSE))/_xlfn.WEIBULL.DIST(BX$2,$M105,$L105,FALSE))*$U105*((1+Inputs!$D$7)^BX$2))),IF($N105=Lists!$K$3,IF($L105&lt;1,((($T105*(1-$F105)+$S105*(1-$G105))/$L105)*((1+Inputs!$D$7)^BX$2)),((INT(BX$2/$L105)-INT((BX$2-1)/$L105))*($T105*(1-$F105)+$S105*(1-$G105))*((1+Inputs!$D$7)^BX$2))),((Inputs!$D$8^((1-_xlfn.WEIBULL.DIST(BX$2,$M105,$L105,FALSE))/_xlfn.WEIBULL.DIST(BX$2,$M105,$L105,FALSE))*($T105*(1-$F105)+$S105*(1-$G105))*((1+Inputs!$D$7)^BX$2))))))))</f>
        <v>0</v>
      </c>
      <c r="BY105" s="88">
        <f>MAX(AI105,($E105*IF(BY$2&gt;Inputs!$D$5,0,IF(BY$2&gt;VLOOKUP($H105,Lists!$P$3:$Q$7,2),IF($N105=Lists!$K$3,IF($L105&lt;1,(($U105/$L105)*((1+Inputs!$D$7)^BY$2)),((INT(BY$2/$L105)-INT((BY$2-1)/$L105))*$U105*((1+Inputs!$D$7)^BY$2))),(Inputs!$D$8^((1-_xlfn.WEIBULL.DIST(BY$2,$M105,$L105,FALSE))/_xlfn.WEIBULL.DIST(BY$2,$M105,$L105,FALSE))*$U105*((1+Inputs!$D$7)^BY$2))),IF($N105=Lists!$K$3,IF($L105&lt;1,((($T105*(1-$F105)+$S105*(1-$G105))/$L105)*((1+Inputs!$D$7)^BY$2)),((INT(BY$2/$L105)-INT((BY$2-1)/$L105))*($T105*(1-$F105)+$S105*(1-$G105))*((1+Inputs!$D$7)^BY$2))),((Inputs!$D$8^((1-_xlfn.WEIBULL.DIST(BY$2,$M105,$L105,FALSE))/_xlfn.WEIBULL.DIST(BY$2,$M105,$L105,FALSE))*($T105*(1-$F105)+$S105*(1-$G105))*((1+Inputs!$D$7)^BY$2))))))))</f>
        <v>0</v>
      </c>
      <c r="BZ105" s="88">
        <f>MAX(AJ105,($E105*IF(BZ$2&gt;Inputs!$D$5,0,IF(BZ$2&gt;VLOOKUP($H105,Lists!$P$3:$Q$7,2),IF($N105=Lists!$K$3,IF($L105&lt;1,(($U105/$L105)*((1+Inputs!$D$7)^BZ$2)),((INT(BZ$2/$L105)-INT((BZ$2-1)/$L105))*$U105*((1+Inputs!$D$7)^BZ$2))),(Inputs!$D$8^((1-_xlfn.WEIBULL.DIST(BZ$2,$M105,$L105,FALSE))/_xlfn.WEIBULL.DIST(BZ$2,$M105,$L105,FALSE))*$U105*((1+Inputs!$D$7)^BZ$2))),IF($N105=Lists!$K$3,IF($L105&lt;1,((($T105*(1-$F105)+$S105*(1-$G105))/$L105)*((1+Inputs!$D$7)^BZ$2)),((INT(BZ$2/$L105)-INT((BZ$2-1)/$L105))*($T105*(1-$F105)+$S105*(1-$G105))*((1+Inputs!$D$7)^BZ$2))),((Inputs!$D$8^((1-_xlfn.WEIBULL.DIST(BZ$2,$M105,$L105,FALSE))/_xlfn.WEIBULL.DIST(BZ$2,$M105,$L105,FALSE))*($T105*(1-$F105)+$S105*(1-$G105))*((1+Inputs!$D$7)^BZ$2))))))))</f>
        <v>0</v>
      </c>
      <c r="CA105" s="88">
        <f>MAX(AK105,($E105*IF(CA$2&gt;Inputs!$D$5,0,IF(CA$2&gt;VLOOKUP($H105,Lists!$P$3:$Q$7,2),IF($N105=Lists!$K$3,IF($L105&lt;1,(($U105/$L105)*((1+Inputs!$D$7)^CA$2)),((INT(CA$2/$L105)-INT((CA$2-1)/$L105))*$U105*((1+Inputs!$D$7)^CA$2))),(Inputs!$D$8^((1-_xlfn.WEIBULL.DIST(CA$2,$M105,$L105,FALSE))/_xlfn.WEIBULL.DIST(CA$2,$M105,$L105,FALSE))*$U105*((1+Inputs!$D$7)^CA$2))),IF($N105=Lists!$K$3,IF($L105&lt;1,((($T105*(1-$F105)+$S105*(1-$G105))/$L105)*((1+Inputs!$D$7)^CA$2)),((INT(CA$2/$L105)-INT((CA$2-1)/$L105))*($T105*(1-$F105)+$S105*(1-$G105))*((1+Inputs!$D$7)^CA$2))),((Inputs!$D$8^((1-_xlfn.WEIBULL.DIST(CA$2,$M105,$L105,FALSE))/_xlfn.WEIBULL.DIST(CA$2,$M105,$L105,FALSE))*($T105*(1-$F105)+$S105*(1-$G105))*((1+Inputs!$D$7)^CA$2))))))))</f>
        <v>0</v>
      </c>
      <c r="CB105" s="88">
        <f>MAX(AL105,($E105*IF(CB$2&gt;Inputs!$D$5,0,IF(CB$2&gt;VLOOKUP($H105,Lists!$P$3:$Q$7,2),IF($N105=Lists!$K$3,IF($L105&lt;1,(($U105/$L105)*((1+Inputs!$D$7)^CB$2)),((INT(CB$2/$L105)-INT((CB$2-1)/$L105))*$U105*((1+Inputs!$D$7)^CB$2))),(Inputs!$D$8^((1-_xlfn.WEIBULL.DIST(CB$2,$M105,$L105,FALSE))/_xlfn.WEIBULL.DIST(CB$2,$M105,$L105,FALSE))*$U105*((1+Inputs!$D$7)^CB$2))),IF($N105=Lists!$K$3,IF($L105&lt;1,((($T105*(1-$F105)+$S105*(1-$G105))/$L105)*((1+Inputs!$D$7)^CB$2)),((INT(CB$2/$L105)-INT((CB$2-1)/$L105))*($T105*(1-$F105)+$S105*(1-$G105))*((1+Inputs!$D$7)^CB$2))),((Inputs!$D$8^((1-_xlfn.WEIBULL.DIST(CB$2,$M105,$L105,FALSE))/_xlfn.WEIBULL.DIST(CB$2,$M105,$L105,FALSE))*($T105*(1-$F105)+$S105*(1-$G105))*((1+Inputs!$D$7)^CB$2))))))))</f>
        <v>0</v>
      </c>
      <c r="CC105" s="88">
        <f>MAX(AM105,($E105*IF(CC$2&gt;Inputs!$D$5,0,IF(CC$2&gt;VLOOKUP($H105,Lists!$P$3:$Q$7,2),IF($N105=Lists!$K$3,IF($L105&lt;1,(($U105/$L105)*((1+Inputs!$D$7)^CC$2)),((INT(CC$2/$L105)-INT((CC$2-1)/$L105))*$U105*((1+Inputs!$D$7)^CC$2))),(Inputs!$D$8^((1-_xlfn.WEIBULL.DIST(CC$2,$M105,$L105,FALSE))/_xlfn.WEIBULL.DIST(CC$2,$M105,$L105,FALSE))*$U105*((1+Inputs!$D$7)^CC$2))),IF($N105=Lists!$K$3,IF($L105&lt;1,((($T105*(1-$F105)+$S105*(1-$G105))/$L105)*((1+Inputs!$D$7)^CC$2)),((INT(CC$2/$L105)-INT((CC$2-1)/$L105))*($T105*(1-$F105)+$S105*(1-$G105))*((1+Inputs!$D$7)^CC$2))),((Inputs!$D$8^((1-_xlfn.WEIBULL.DIST(CC$2,$M105,$L105,FALSE))/_xlfn.WEIBULL.DIST(CC$2,$M105,$L105,FALSE))*($T105*(1-$F105)+$S105*(1-$G105))*((1+Inputs!$D$7)^CC$2))))))))</f>
        <v>0</v>
      </c>
      <c r="CD105" s="88">
        <f>MAX(AN105,($E105*IF(CD$2&gt;Inputs!$D$5,0,IF(CD$2&gt;VLOOKUP($H105,Lists!$P$3:$Q$7,2),IF($N105=Lists!$K$3,IF($L105&lt;1,(($U105/$L105)*((1+Inputs!$D$7)^CD$2)),((INT(CD$2/$L105)-INT((CD$2-1)/$L105))*$U105*((1+Inputs!$D$7)^CD$2))),(Inputs!$D$8^((1-_xlfn.WEIBULL.DIST(CD$2,$M105,$L105,FALSE))/_xlfn.WEIBULL.DIST(CD$2,$M105,$L105,FALSE))*$U105*((1+Inputs!$D$7)^CD$2))),IF($N105=Lists!$K$3,IF($L105&lt;1,((($T105*(1-$F105)+$S105*(1-$G105))/$L105)*((1+Inputs!$D$7)^CD$2)),((INT(CD$2/$L105)-INT((CD$2-1)/$L105))*($T105*(1-$F105)+$S105*(1-$G105))*((1+Inputs!$D$7)^CD$2))),((Inputs!$D$8^((1-_xlfn.WEIBULL.DIST(CD$2,$M105,$L105,FALSE))/_xlfn.WEIBULL.DIST(CD$2,$M105,$L105,FALSE))*($T105*(1-$F105)+$S105*(1-$G105))*((1+Inputs!$D$7)^CD$2))))))))</f>
        <v>0</v>
      </c>
      <c r="CE105" s="88">
        <f>MAX(AO105,($E105*IF(CE$2&gt;Inputs!$D$5,0,IF(CE$2&gt;VLOOKUP($H105,Lists!$P$3:$Q$7,2),IF($N105=Lists!$K$3,IF($L105&lt;1,(($U105/$L105)*((1+Inputs!$D$7)^CE$2)),((INT(CE$2/$L105)-INT((CE$2-1)/$L105))*$U105*((1+Inputs!$D$7)^CE$2))),(Inputs!$D$8^((1-_xlfn.WEIBULL.DIST(CE$2,$M105,$L105,FALSE))/_xlfn.WEIBULL.DIST(CE$2,$M105,$L105,FALSE))*$U105*((1+Inputs!$D$7)^CE$2))),IF($N105=Lists!$K$3,IF($L105&lt;1,((($T105*(1-$F105)+$S105*(1-$G105))/$L105)*((1+Inputs!$D$7)^CE$2)),((INT(CE$2/$L105)-INT((CE$2-1)/$L105))*($T105*(1-$F105)+$S105*(1-$G105))*((1+Inputs!$D$7)^CE$2))),((Inputs!$D$8^((1-_xlfn.WEIBULL.DIST(CE$2,$M105,$L105,FALSE))/_xlfn.WEIBULL.DIST(CE$2,$M105,$L105,FALSE))*($T105*(1-$F105)+$S105*(1-$G105))*((1+Inputs!$D$7)^CE$2))))))))</f>
        <v>0</v>
      </c>
      <c r="CF105" s="88">
        <f>MAX(AP105,($E105*IF(CF$2&gt;Inputs!$D$5,0,IF(CF$2&gt;VLOOKUP($H105,Lists!$P$3:$Q$7,2),IF($N105=Lists!$K$3,IF($L105&lt;1,(($U105/$L105)*((1+Inputs!$D$7)^CF$2)),((INT(CF$2/$L105)-INT((CF$2-1)/$L105))*$U105*((1+Inputs!$D$7)^CF$2))),(Inputs!$D$8^((1-_xlfn.WEIBULL.DIST(CF$2,$M105,$L105,FALSE))/_xlfn.WEIBULL.DIST(CF$2,$M105,$L105,FALSE))*$U105*((1+Inputs!$D$7)^CF$2))),IF($N105=Lists!$K$3,IF($L105&lt;1,((($T105*(1-$F105)+$S105*(1-$G105))/$L105)*((1+Inputs!$D$7)^CF$2)),((INT(CF$2/$L105)-INT((CF$2-1)/$L105))*($T105*(1-$F105)+$S105*(1-$G105))*((1+Inputs!$D$7)^CF$2))),((Inputs!$D$8^((1-_xlfn.WEIBULL.DIST(CF$2,$M105,$L105,FALSE))/_xlfn.WEIBULL.DIST(CF$2,$M105,$L105,FALSE))*($T105*(1-$F105)+$S105*(1-$G105))*((1+Inputs!$D$7)^CF$2))))))))</f>
        <v>0</v>
      </c>
      <c r="CG105" s="88">
        <f>MAX(AQ105,($E105*IF(CG$2&gt;Inputs!$D$5,0,IF(CG$2&gt;VLOOKUP($H105,Lists!$P$3:$Q$7,2),IF($N105=Lists!$K$3,IF($L105&lt;1,(($U105/$L105)*((1+Inputs!$D$7)^CG$2)),((INT(CG$2/$L105)-INT((CG$2-1)/$L105))*$U105*((1+Inputs!$D$7)^CG$2))),(Inputs!$D$8^((1-_xlfn.WEIBULL.DIST(CG$2,$M105,$L105,FALSE))/_xlfn.WEIBULL.DIST(CG$2,$M105,$L105,FALSE))*$U105*((1+Inputs!$D$7)^CG$2))),IF($N105=Lists!$K$3,IF($L105&lt;1,((($T105*(1-$F105)+$S105*(1-$G105))/$L105)*((1+Inputs!$D$7)^CG$2)),((INT(CG$2/$L105)-INT((CG$2-1)/$L105))*($T105*(1-$F105)+$S105*(1-$G105))*((1+Inputs!$D$7)^CG$2))),((Inputs!$D$8^((1-_xlfn.WEIBULL.DIST(CG$2,$M105,$L105,FALSE))/_xlfn.WEIBULL.DIST(CG$2,$M105,$L105,FALSE))*($T105*(1-$F105)+$S105*(1-$G105))*((1+Inputs!$D$7)^CG$2))))))))</f>
        <v>0</v>
      </c>
      <c r="CH105" s="88">
        <f>MAX(AR105,($E105*IF(CH$2&gt;Inputs!$D$5,0,IF(CH$2&gt;VLOOKUP($H105,Lists!$P$3:$Q$7,2),IF($N105=Lists!$K$3,IF($L105&lt;1,(($U105/$L105)*((1+Inputs!$D$7)^CH$2)),((INT(CH$2/$L105)-INT((CH$2-1)/$L105))*$U105*((1+Inputs!$D$7)^CH$2))),(Inputs!$D$8^((1-_xlfn.WEIBULL.DIST(CH$2,$M105,$L105,FALSE))/_xlfn.WEIBULL.DIST(CH$2,$M105,$L105,FALSE))*$U105*((1+Inputs!$D$7)^CH$2))),IF($N105=Lists!$K$3,IF($L105&lt;1,((($T105*(1-$F105)+$S105*(1-$G105))/$L105)*((1+Inputs!$D$7)^CH$2)),((INT(CH$2/$L105)-INT((CH$2-1)/$L105))*($T105*(1-$F105)+$S105*(1-$G105))*((1+Inputs!$D$7)^CH$2))),((Inputs!$D$8^((1-_xlfn.WEIBULL.DIST(CH$2,$M105,$L105,FALSE))/_xlfn.WEIBULL.DIST(CH$2,$M105,$L105,FALSE))*($T105*(1-$F105)+$S105*(1-$G105))*((1+Inputs!$D$7)^CH$2))))))))</f>
        <v>0</v>
      </c>
      <c r="CI105" s="88">
        <f>MAX(AS105,($E105*IF(CI$2&gt;Inputs!$D$5,0,IF(CI$2&gt;VLOOKUP($H105,Lists!$P$3:$Q$7,2),IF($N105=Lists!$K$3,IF($L105&lt;1,(($U105/$L105)*((1+Inputs!$D$7)^CI$2)),((INT(CI$2/$L105)-INT((CI$2-1)/$L105))*$U105*((1+Inputs!$D$7)^CI$2))),(Inputs!$D$8^((1-_xlfn.WEIBULL.DIST(CI$2,$M105,$L105,FALSE))/_xlfn.WEIBULL.DIST(CI$2,$M105,$L105,FALSE))*$U105*((1+Inputs!$D$7)^CI$2))),IF($N105=Lists!$K$3,IF($L105&lt;1,((($T105*(1-$F105)+$S105*(1-$G105))/$L105)*((1+Inputs!$D$7)^CI$2)),((INT(CI$2/$L105)-INT((CI$2-1)/$L105))*($T105*(1-$F105)+$S105*(1-$G105))*((1+Inputs!$D$7)^CI$2))),((Inputs!$D$8^((1-_xlfn.WEIBULL.DIST(CI$2,$M105,$L105,FALSE))/_xlfn.WEIBULL.DIST(CI$2,$M105,$L105,FALSE))*($T105*(1-$F105)+$S105*(1-$G105))*((1+Inputs!$D$7)^CI$2))))))))</f>
        <v>0</v>
      </c>
      <c r="CJ105" s="88">
        <f>MAX(AT105,($E105*IF(CJ$2&gt;Inputs!$D$5,0,IF(CJ$2&gt;VLOOKUP($H105,Lists!$P$3:$Q$7,2),IF($N105=Lists!$K$3,IF($L105&lt;1,(($U105/$L105)*((1+Inputs!$D$7)^CJ$2)),((INT(CJ$2/$L105)-INT((CJ$2-1)/$L105))*$U105*((1+Inputs!$D$7)^CJ$2))),(Inputs!$D$8^((1-_xlfn.WEIBULL.DIST(CJ$2,$M105,$L105,FALSE))/_xlfn.WEIBULL.DIST(CJ$2,$M105,$L105,FALSE))*$U105*((1+Inputs!$D$7)^CJ$2))),IF($N105=Lists!$K$3,IF($L105&lt;1,((($T105*(1-$F105)+$S105*(1-$G105))/$L105)*((1+Inputs!$D$7)^CJ$2)),((INT(CJ$2/$L105)-INT((CJ$2-1)/$L105))*($T105*(1-$F105)+$S105*(1-$G105))*((1+Inputs!$D$7)^CJ$2))),((Inputs!$D$8^((1-_xlfn.WEIBULL.DIST(CJ$2,$M105,$L105,FALSE))/_xlfn.WEIBULL.DIST(CJ$2,$M105,$L105,FALSE))*($T105*(1-$F105)+$S105*(1-$G105))*((1+Inputs!$D$7)^CJ$2))))))))</f>
        <v>0</v>
      </c>
      <c r="CK105" s="88">
        <f>MAX(AU105,($E105*IF(CK$2&gt;Inputs!$D$5,0,IF(CK$2&gt;VLOOKUP($H105,Lists!$P$3:$Q$7,2),IF($N105=Lists!$K$3,IF($L105&lt;1,(($U105/$L105)*((1+Inputs!$D$7)^CK$2)),((INT(CK$2/$L105)-INT((CK$2-1)/$L105))*$U105*((1+Inputs!$D$7)^CK$2))),(Inputs!$D$8^((1-_xlfn.WEIBULL.DIST(CK$2,$M105,$L105,FALSE))/_xlfn.WEIBULL.DIST(CK$2,$M105,$L105,FALSE))*$U105*((1+Inputs!$D$7)^CK$2))),IF($N105=Lists!$K$3,IF($L105&lt;1,((($T105*(1-$F105)+$S105*(1-$G105))/$L105)*((1+Inputs!$D$7)^CK$2)),((INT(CK$2/$L105)-INT((CK$2-1)/$L105))*($T105*(1-$F105)+$S105*(1-$G105))*((1+Inputs!$D$7)^CK$2))),((Inputs!$D$8^((1-_xlfn.WEIBULL.DIST(CK$2,$M105,$L105,FALSE))/_xlfn.WEIBULL.DIST(CK$2,$M105,$L105,FALSE))*($T105*(1-$F105)+$S105*(1-$G105))*((1+Inputs!$D$7)^CK$2))))))))</f>
        <v>0</v>
      </c>
      <c r="CL105" s="88">
        <f>MAX(AV105,($E105*IF(CL$2&gt;Inputs!$D$5,0,IF(CL$2&gt;VLOOKUP($H105,Lists!$P$3:$Q$7,2),IF($N105=Lists!$K$3,IF($L105&lt;1,(($U105/$L105)*((1+Inputs!$D$7)^CL$2)),((INT(CL$2/$L105)-INT((CL$2-1)/$L105))*$U105*((1+Inputs!$D$7)^CL$2))),(Inputs!$D$8^((1-_xlfn.WEIBULL.DIST(CL$2,$M105,$L105,FALSE))/_xlfn.WEIBULL.DIST(CL$2,$M105,$L105,FALSE))*$U105*((1+Inputs!$D$7)^CL$2))),IF($N105=Lists!$K$3,IF($L105&lt;1,((($T105*(1-$F105)+$S105*(1-$G105))/$L105)*((1+Inputs!$D$7)^CL$2)),((INT(CL$2/$L105)-INT((CL$2-1)/$L105))*($T105*(1-$F105)+$S105*(1-$G105))*((1+Inputs!$D$7)^CL$2))),((Inputs!$D$8^((1-_xlfn.WEIBULL.DIST(CL$2,$M105,$L105,FALSE))/_xlfn.WEIBULL.DIST(CL$2,$M105,$L105,FALSE))*($T105*(1-$F105)+$S105*(1-$G105))*((1+Inputs!$D$7)^CL$2))))))))</f>
        <v>0</v>
      </c>
      <c r="CM105" s="88">
        <f>MAX(AW105,($E105*IF(CM$2&gt;Inputs!$D$5,0,IF(CM$2&gt;VLOOKUP($H105,Lists!$P$3:$Q$7,2),IF($N105=Lists!$K$3,IF($L105&lt;1,(($U105/$L105)*((1+Inputs!$D$7)^CM$2)),((INT(CM$2/$L105)-INT((CM$2-1)/$L105))*$U105*((1+Inputs!$D$7)^CM$2))),(Inputs!$D$8^((1-_xlfn.WEIBULL.DIST(CM$2,$M105,$L105,FALSE))/_xlfn.WEIBULL.DIST(CM$2,$M105,$L105,FALSE))*$U105*((1+Inputs!$D$7)^CM$2))),IF($N105=Lists!$K$3,IF($L105&lt;1,((($T105*(1-$F105)+$S105*(1-$G105))/$L105)*((1+Inputs!$D$7)^CM$2)),((INT(CM$2/$L105)-INT((CM$2-1)/$L105))*($T105*(1-$F105)+$S105*(1-$G105))*((1+Inputs!$D$7)^CM$2))),((Inputs!$D$8^((1-_xlfn.WEIBULL.DIST(CM$2,$M105,$L105,FALSE))/_xlfn.WEIBULL.DIST(CM$2,$M105,$L105,FALSE))*($T105*(1-$F105)+$S105*(1-$G105))*((1+Inputs!$D$7)^CM$2))))))))</f>
        <v>0</v>
      </c>
      <c r="CN105" s="88">
        <f>MAX(AX105,($E105*IF(CN$2&gt;Inputs!$D$5,0,IF(CN$2&gt;VLOOKUP($H105,Lists!$P$3:$Q$7,2),IF($N105=Lists!$K$3,IF($L105&lt;1,(($U105/$L105)*((1+Inputs!$D$7)^CN$2)),((INT(CN$2/$L105)-INT((CN$2-1)/$L105))*$U105*((1+Inputs!$D$7)^CN$2))),(Inputs!$D$8^((1-_xlfn.WEIBULL.DIST(CN$2,$M105,$L105,FALSE))/_xlfn.WEIBULL.DIST(CN$2,$M105,$L105,FALSE))*$U105*((1+Inputs!$D$7)^CN$2))),IF($N105=Lists!$K$3,IF($L105&lt;1,((($T105*(1-$F105)+$S105*(1-$G105))/$L105)*((1+Inputs!$D$7)^CN$2)),((INT(CN$2/$L105)-INT((CN$2-1)/$L105))*($T105*(1-$F105)+$S105*(1-$G105))*((1+Inputs!$D$7)^CN$2))),((Inputs!$D$8^((1-_xlfn.WEIBULL.DIST(CN$2,$M105,$L105,FALSE))/_xlfn.WEIBULL.DIST(CN$2,$M105,$L105,FALSE))*($T105*(1-$F105)+$S105*(1-$G105))*((1+Inputs!$D$7)^CN$2))))))))</f>
        <v>0</v>
      </c>
      <c r="CO105" s="88">
        <f>MAX(AY105,($E105*IF(CO$2&gt;Inputs!$D$5,0,IF(CO$2&gt;VLOOKUP($H105,Lists!$P$3:$Q$7,2),IF($N105=Lists!$K$3,IF($L105&lt;1,(($U105/$L105)*((1+Inputs!$D$7)^CO$2)),((INT(CO$2/$L105)-INT((CO$2-1)/$L105))*$U105*((1+Inputs!$D$7)^CO$2))),(Inputs!$D$8^((1-_xlfn.WEIBULL.DIST(CO$2,$M105,$L105,FALSE))/_xlfn.WEIBULL.DIST(CO$2,$M105,$L105,FALSE))*$U105*((1+Inputs!$D$7)^CO$2))),IF($N105=Lists!$K$3,IF($L105&lt;1,((($T105*(1-$F105)+$S105*(1-$G105))/$L105)*((1+Inputs!$D$7)^CO$2)),((INT(CO$2/$L105)-INT((CO$2-1)/$L105))*($T105*(1-$F105)+$S105*(1-$G105))*((1+Inputs!$D$7)^CO$2))),((Inputs!$D$8^((1-_xlfn.WEIBULL.DIST(CO$2,$M105,$L105,FALSE))/_xlfn.WEIBULL.DIST(CO$2,$M105,$L105,FALSE))*($T105*(1-$F105)+$S105*(1-$G105))*((1+Inputs!$D$7)^CO$2))))))))</f>
        <v>0</v>
      </c>
      <c r="CP105" s="88">
        <f>MAX(AZ105,($E105*IF(CP$2&gt;Inputs!$D$5,0,IF(CP$2&gt;VLOOKUP($H105,Lists!$P$3:$Q$7,2),IF($N105=Lists!$K$3,IF($L105&lt;1,(($U105/$L105)*((1+Inputs!$D$7)^CP$2)),((INT(CP$2/$L105)-INT((CP$2-1)/$L105))*$U105*((1+Inputs!$D$7)^CP$2))),(Inputs!$D$8^((1-_xlfn.WEIBULL.DIST(CP$2,$M105,$L105,FALSE))/_xlfn.WEIBULL.DIST(CP$2,$M105,$L105,FALSE))*$U105*((1+Inputs!$D$7)^CP$2))),IF($N105=Lists!$K$3,IF($L105&lt;1,((($T105*(1-$F105)+$S105*(1-$G105))/$L105)*((1+Inputs!$D$7)^CP$2)),((INT(CP$2/$L105)-INT((CP$2-1)/$L105))*($T105*(1-$F105)+$S105*(1-$G105))*((1+Inputs!$D$7)^CP$2))),((Inputs!$D$8^((1-_xlfn.WEIBULL.DIST(CP$2,$M105,$L105,FALSE))/_xlfn.WEIBULL.DIST(CP$2,$M105,$L105,FALSE))*($T105*(1-$F105)+$S105*(1-$G105))*((1+Inputs!$D$7)^CP$2))))))))</f>
        <v>0</v>
      </c>
      <c r="CQ105" s="88">
        <f>MAX(BA105,($E105*IF(CQ$2&gt;Inputs!$D$5,0,IF(CQ$2&gt;VLOOKUP($H105,Lists!$P$3:$Q$7,2),IF($N105=Lists!$K$3,IF($L105&lt;1,(($U105/$L105)*((1+Inputs!$D$7)^CQ$2)),((INT(CQ$2/$L105)-INT((CQ$2-1)/$L105))*$U105*((1+Inputs!$D$7)^CQ$2))),(Inputs!$D$8^((1-_xlfn.WEIBULL.DIST(CQ$2,$M105,$L105,FALSE))/_xlfn.WEIBULL.DIST(CQ$2,$M105,$L105,FALSE))*$U105*((1+Inputs!$D$7)^CQ$2))),IF($N105=Lists!$K$3,IF($L105&lt;1,((($T105*(1-$F105)+$S105*(1-$G105))/$L105)*((1+Inputs!$D$7)^CQ$2)),((INT(CQ$2/$L105)-INT((CQ$2-1)/$L105))*($T105*(1-$F105)+$S105*(1-$G105))*((1+Inputs!$D$7)^CQ$2))),((Inputs!$D$8^((1-_xlfn.WEIBULL.DIST(CQ$2,$M105,$L105,FALSE))/_xlfn.WEIBULL.DIST(CQ$2,$M105,$L105,FALSE))*($T105*(1-$F105)+$S105*(1-$G105))*((1+Inputs!$D$7)^CQ$2))))))))</f>
        <v>0</v>
      </c>
      <c r="CR105" s="88">
        <f>MAX(BB105,($E105*IF(CR$2&gt;Inputs!$D$5,0,IF(CR$2&gt;VLOOKUP($H105,Lists!$P$3:$Q$7,2),IF($N105=Lists!$K$3,IF($L105&lt;1,(($U105/$L105)*((1+Inputs!$D$7)^CR$2)),((INT(CR$2/$L105)-INT((CR$2-1)/$L105))*$U105*((1+Inputs!$D$7)^CR$2))),(Inputs!$D$8^((1-_xlfn.WEIBULL.DIST(CR$2,$M105,$L105,FALSE))/_xlfn.WEIBULL.DIST(CR$2,$M105,$L105,FALSE))*$U105*((1+Inputs!$D$7)^CR$2))),IF($N105=Lists!$K$3,IF($L105&lt;1,((($T105*(1-$F105)+$S105*(1-$G105))/$L105)*((1+Inputs!$D$7)^CR$2)),((INT(CR$2/$L105)-INT((CR$2-1)/$L105))*($T105*(1-$F105)+$S105*(1-$G105))*((1+Inputs!$D$7)^CR$2))),((Inputs!$D$8^((1-_xlfn.WEIBULL.DIST(CR$2,$M105,$L105,FALSE))/_xlfn.WEIBULL.DIST(CR$2,$M105,$L105,FALSE))*($T105*(1-$F105)+$S105*(1-$G105))*((1+Inputs!$D$7)^CR$2))))))))</f>
        <v>0</v>
      </c>
      <c r="CS105" s="88">
        <f>MAX(BC105,($E105*IF(CS$2&gt;Inputs!$D$5,0,IF(CS$2&gt;VLOOKUP($H105,Lists!$P$3:$Q$7,2),IF($N105=Lists!$K$3,IF($L105&lt;1,(($U105/$L105)*((1+Inputs!$D$7)^CS$2)),((INT(CS$2/$L105)-INT((CS$2-1)/$L105))*$U105*((1+Inputs!$D$7)^CS$2))),(Inputs!$D$8^((1-_xlfn.WEIBULL.DIST(CS$2,$M105,$L105,FALSE))/_xlfn.WEIBULL.DIST(CS$2,$M105,$L105,FALSE))*$U105*((1+Inputs!$D$7)^CS$2))),IF($N105=Lists!$K$3,IF($L105&lt;1,((($T105*(1-$F105)+$S105*(1-$G105))/$L105)*((1+Inputs!$D$7)^CS$2)),((INT(CS$2/$L105)-INT((CS$2-1)/$L105))*($T105*(1-$F105)+$S105*(1-$G105))*((1+Inputs!$D$7)^CS$2))),((Inputs!$D$8^((1-_xlfn.WEIBULL.DIST(CS$2,$M105,$L105,FALSE))/_xlfn.WEIBULL.DIST(CS$2,$M105,$L105,FALSE))*($T105*(1-$F105)+$S105*(1-$G105))*((1+Inputs!$D$7)^CS$2))))))))</f>
        <v>0</v>
      </c>
      <c r="CT105" s="88">
        <f>MAX(BD105,($E105*IF(CT$2&gt;Inputs!$D$5,0,IF(CT$2&gt;VLOOKUP($H105,Lists!$P$3:$Q$7,2),IF($N105=Lists!$K$3,IF($L105&lt;1,(($U105/$L105)*((1+Inputs!$D$7)^CT$2)),((INT(CT$2/$L105)-INT((CT$2-1)/$L105))*$U105*((1+Inputs!$D$7)^CT$2))),(Inputs!$D$8^((1-_xlfn.WEIBULL.DIST(CT$2,$M105,$L105,FALSE))/_xlfn.WEIBULL.DIST(CT$2,$M105,$L105,FALSE))*$U105*((1+Inputs!$D$7)^CT$2))),IF($N105=Lists!$K$3,IF($L105&lt;1,((($T105*(1-$F105)+$S105*(1-$G105))/$L105)*((1+Inputs!$D$7)^CT$2)),((INT(CT$2/$L105)-INT((CT$2-1)/$L105))*($T105*(1-$F105)+$S105*(1-$G105))*((1+Inputs!$D$7)^CT$2))),((Inputs!$D$8^((1-_xlfn.WEIBULL.DIST(CT$2,$M105,$L105,FALSE))/_xlfn.WEIBULL.DIST(CT$2,$M105,$L105,FALSE))*($T105*(1-$F105)+$S105*(1-$G105))*((1+Inputs!$D$7)^CT$2))))))))</f>
        <v>0</v>
      </c>
      <c r="CU105" s="88">
        <f>MAX(BE105,($E105*IF(CU$2&gt;Inputs!$D$5,0,IF(CU$2&gt;VLOOKUP($H105,Lists!$P$3:$Q$7,2),IF($N105=Lists!$K$3,IF($L105&lt;1,(($U105/$L105)*((1+Inputs!$D$7)^CU$2)),((INT(CU$2/$L105)-INT((CU$2-1)/$L105))*$U105*((1+Inputs!$D$7)^CU$2))),(Inputs!$D$8^((1-_xlfn.WEIBULL.DIST(CU$2,$M105,$L105,FALSE))/_xlfn.WEIBULL.DIST(CU$2,$M105,$L105,FALSE))*$U105*((1+Inputs!$D$7)^CU$2))),IF($N105=Lists!$K$3,IF($L105&lt;1,((($T105*(1-$F105)+$S105*(1-$G105))/$L105)*((1+Inputs!$D$7)^CU$2)),((INT(CU$2/$L105)-INT((CU$2-1)/$L105))*($T105*(1-$F105)+$S105*(1-$G105))*((1+Inputs!$D$7)^CU$2))),((Inputs!$D$8^((1-_xlfn.WEIBULL.DIST(CU$2,$M105,$L105,FALSE))/_xlfn.WEIBULL.DIST(CU$2,$M105,$L105,FALSE))*($T105*(1-$F105)+$S105*(1-$G105))*((1+Inputs!$D$7)^CU$2))))))))</f>
        <v>0</v>
      </c>
      <c r="CV105" s="88">
        <f>MAX(BF105,($E105*IF(CV$2&gt;Inputs!$D$5,0,IF(CV$2&gt;VLOOKUP($H105,Lists!$P$3:$Q$7,2),IF($N105=Lists!$K$3,IF($L105&lt;1,(($U105/$L105)*((1+Inputs!$D$7)^CV$2)),((INT(CV$2/$L105)-INT((CV$2-1)/$L105))*$U105*((1+Inputs!$D$7)^CV$2))),(Inputs!$D$8^((1-_xlfn.WEIBULL.DIST(CV$2,$M105,$L105,FALSE))/_xlfn.WEIBULL.DIST(CV$2,$M105,$L105,FALSE))*$U105*((1+Inputs!$D$7)^CV$2))),IF($N105=Lists!$K$3,IF($L105&lt;1,((($T105*(1-$F105)+$S105*(1-$G105))/$L105)*((1+Inputs!$D$7)^CV$2)),((INT(CV$2/$L105)-INT((CV$2-1)/$L105))*($T105*(1-$F105)+$S105*(1-$G105))*((1+Inputs!$D$7)^CV$2))),((Inputs!$D$8^((1-_xlfn.WEIBULL.DIST(CV$2,$M105,$L105,FALSE))/_xlfn.WEIBULL.DIST(CV$2,$M105,$L105,FALSE))*($T105*(1-$F105)+$S105*(1-$G105))*((1+Inputs!$D$7)^CV$2))))))))</f>
        <v>0</v>
      </c>
      <c r="CW105" s="88">
        <f>MAX(BG105,($E105*IF(CW$2&gt;Inputs!$D$5,0,IF(CW$2&gt;VLOOKUP($H105,Lists!$P$3:$Q$7,2),IF($N105=Lists!$K$3,IF($L105&lt;1,(($U105/$L105)*((1+Inputs!$D$7)^CW$2)),((INT(CW$2/$L105)-INT((CW$2-1)/$L105))*$U105*((1+Inputs!$D$7)^CW$2))),(Inputs!$D$8^((1-_xlfn.WEIBULL.DIST(CW$2,$M105,$L105,FALSE))/_xlfn.WEIBULL.DIST(CW$2,$M105,$L105,FALSE))*$U105*((1+Inputs!$D$7)^CW$2))),IF($N105=Lists!$K$3,IF($L105&lt;1,((($T105*(1-$F105)+$S105*(1-$G105))/$L105)*((1+Inputs!$D$7)^CW$2)),((INT(CW$2/$L105)-INT((CW$2-1)/$L105))*($T105*(1-$F105)+$S105*(1-$G105))*((1+Inputs!$D$7)^CW$2))),((Inputs!$D$8^((1-_xlfn.WEIBULL.DIST(CW$2,$M105,$L105,FALSE))/_xlfn.WEIBULL.DIST(CW$2,$M105,$L105,FALSE))*($T105*(1-$F105)+$S105*(1-$G105))*((1+Inputs!$D$7)^CW$2))))))))</f>
        <v>0</v>
      </c>
      <c r="CX105" s="88">
        <f>MAX(BH105,($E105*IF(CX$2&gt;Inputs!$D$5,0,IF(CX$2&gt;VLOOKUP($H105,Lists!$P$3:$Q$7,2),IF($N105=Lists!$K$3,IF($L105&lt;1,(($U105/$L105)*((1+Inputs!$D$7)^CX$2)),((INT(CX$2/$L105)-INT((CX$2-1)/$L105))*$U105*((1+Inputs!$D$7)^CX$2))),(Inputs!$D$8^((1-_xlfn.WEIBULL.DIST(CX$2,$M105,$L105,FALSE))/_xlfn.WEIBULL.DIST(CX$2,$M105,$L105,FALSE))*$U105*((1+Inputs!$D$7)^CX$2))),IF($N105=Lists!$K$3,IF($L105&lt;1,((($T105*(1-$F105)+$S105*(1-$G105))/$L105)*((1+Inputs!$D$7)^CX$2)),((INT(CX$2/$L105)-INT((CX$2-1)/$L105))*($T105*(1-$F105)+$S105*(1-$G105))*((1+Inputs!$D$7)^CX$2))),((Inputs!$D$8^((1-_xlfn.WEIBULL.DIST(CX$2,$M105,$L105,FALSE))/_xlfn.WEIBULL.DIST(CX$2,$M105,$L105,FALSE))*($T105*(1-$F105)+$S105*(1-$G105))*((1+Inputs!$D$7)^CX$2))))))))</f>
        <v>0</v>
      </c>
      <c r="CY105" s="88">
        <f>MAX(BI105,($E105*IF(CY$2&gt;Inputs!$D$5,0,IF(CY$2&gt;VLOOKUP($H105,Lists!$P$3:$Q$7,2),IF($N105=Lists!$K$3,IF($L105&lt;1,(($U105/$L105)*((1+Inputs!$D$7)^CY$2)),((INT(CY$2/$L105)-INT((CY$2-1)/$L105))*$U105*((1+Inputs!$D$7)^CY$2))),(Inputs!$D$8^((1-_xlfn.WEIBULL.DIST(CY$2,$M105,$L105,FALSE))/_xlfn.WEIBULL.DIST(CY$2,$M105,$L105,FALSE))*$U105*((1+Inputs!$D$7)^CY$2))),IF($N105=Lists!$K$3,IF($L105&lt;1,((($T105*(1-$F105)+$S105*(1-$G105))/$L105)*((1+Inputs!$D$7)^CY$2)),((INT(CY$2/$L105)-INT((CY$2-1)/$L105))*($T105*(1-$F105)+$S105*(1-$G105))*((1+Inputs!$D$7)^CY$2))),((Inputs!$D$8^((1-_xlfn.WEIBULL.DIST(CY$2,$M105,$L105,FALSE))/_xlfn.WEIBULL.DIST(CY$2,$M105,$L105,FALSE))*($T105*(1-$F105)+$S105*(1-$G105))*((1+Inputs!$D$7)^CY$2))))))))</f>
        <v>0</v>
      </c>
      <c r="CZ105" s="88">
        <f>MAX(BJ105,($E105*IF(CZ$2&gt;Inputs!$D$5,0,IF(CZ$2&gt;VLOOKUP($H105,Lists!$P$3:$Q$7,2),IF($N105=Lists!$K$3,IF($L105&lt;1,(($U105/$L105)*((1+Inputs!$D$7)^CZ$2)),((INT(CZ$2/$L105)-INT((CZ$2-1)/$L105))*$U105*((1+Inputs!$D$7)^CZ$2))),(Inputs!$D$8^((1-_xlfn.WEIBULL.DIST(CZ$2,$M105,$L105,FALSE))/_xlfn.WEIBULL.DIST(CZ$2,$M105,$L105,FALSE))*$U105*((1+Inputs!$D$7)^CZ$2))),IF($N105=Lists!$K$3,IF($L105&lt;1,((($T105*(1-$F105)+$S105*(1-$G105))/$L105)*((1+Inputs!$D$7)^CZ$2)),((INT(CZ$2/$L105)-INT((CZ$2-1)/$L105))*($T105*(1-$F105)+$S105*(1-$G105))*((1+Inputs!$D$7)^CZ$2))),((Inputs!$D$8^((1-_xlfn.WEIBULL.DIST(CZ$2,$M105,$L105,FALSE))/_xlfn.WEIBULL.DIST(CZ$2,$M105,$L105,FALSE))*($T105*(1-$F105)+$S105*(1-$G105))*((1+Inputs!$D$7)^CZ$2))))))))</f>
        <v>0</v>
      </c>
      <c r="DA105" s="88">
        <f>MAX(BK105,($E105*IF(DA$2&gt;Inputs!$D$5,0,IF(DA$2&gt;VLOOKUP($H105,Lists!$P$3:$Q$7,2),IF($N105=Lists!$K$3,IF($L105&lt;1,(($U105/$L105)*((1+Inputs!$D$7)^DA$2)),((INT(DA$2/$L105)-INT((DA$2-1)/$L105))*$U105*((1+Inputs!$D$7)^DA$2))),(Inputs!$D$8^((1-_xlfn.WEIBULL.DIST(DA$2,$M105,$L105,FALSE))/_xlfn.WEIBULL.DIST(DA$2,$M105,$L105,FALSE))*$U105*((1+Inputs!$D$7)^DA$2))),IF($N105=Lists!$K$3,IF($L105&lt;1,((($T105*(1-$F105)+$S105*(1-$G105))/$L105)*((1+Inputs!$D$7)^DA$2)),((INT(DA$2/$L105)-INT((DA$2-1)/$L105))*($T105*(1-$F105)+$S105*(1-$G105))*((1+Inputs!$D$7)^DA$2))),((Inputs!$D$8^((1-_xlfn.WEIBULL.DIST(DA$2,$M105,$L105,FALSE))/_xlfn.WEIBULL.DIST(DA$2,$M105,$L105,FALSE))*($T105*(1-$F105)+$S105*(1-$G105))*((1+Inputs!$D$7)^DA$2))))))))</f>
        <v>0</v>
      </c>
      <c r="DB105" s="88">
        <f>MAX(BL105,($E105*IF(DB$2&gt;Inputs!$D$5,0,IF(DB$2&gt;VLOOKUP($H105,Lists!$P$3:$Q$7,2),IF($N105=Lists!$K$3,IF($L105&lt;1,(($U105/$L105)*((1+Inputs!$D$7)^DB$2)),((INT(DB$2/$L105)-INT((DB$2-1)/$L105))*$U105*((1+Inputs!$D$7)^DB$2))),(Inputs!$D$8^((1-_xlfn.WEIBULL.DIST(DB$2,$M105,$L105,FALSE))/_xlfn.WEIBULL.DIST(DB$2,$M105,$L105,FALSE))*$U105*((1+Inputs!$D$7)^DB$2))),IF($N105=Lists!$K$3,IF($L105&lt;1,((($T105*(1-$F105)+$S105*(1-$G105))/$L105)*((1+Inputs!$D$7)^DB$2)),((INT(DB$2/$L105)-INT((DB$2-1)/$L105))*($T105*(1-$F105)+$S105*(1-$G105))*((1+Inputs!$D$7)^DB$2))),((Inputs!$D$8^((1-_xlfn.WEIBULL.DIST(DB$2,$M105,$L105,FALSE))/_xlfn.WEIBULL.DIST(DB$2,$M105,$L105,FALSE))*($T105*(1-$F105)+$S105*(1-$G105))*((1+Inputs!$D$7)^DB$2))))))))</f>
        <v>0</v>
      </c>
      <c r="DC105" s="88">
        <f>MAX(BM105,($E105*IF(DC$2&gt;Inputs!$D$5,0,IF(DC$2&gt;VLOOKUP($H105,Lists!$P$3:$Q$7,2),IF($N105=Lists!$K$3,IF($L105&lt;1,(($U105/$L105)*((1+Inputs!$D$7)^DC$2)),((INT(DC$2/$L105)-INT((DC$2-1)/$L105))*$U105*((1+Inputs!$D$7)^DC$2))),(Inputs!$D$8^((1-_xlfn.WEIBULL.DIST(DC$2,$M105,$L105,FALSE))/_xlfn.WEIBULL.DIST(DC$2,$M105,$L105,FALSE))*$U105*((1+Inputs!$D$7)^DC$2))),IF($N105=Lists!$K$3,IF($L105&lt;1,((($T105*(1-$F105)+$S105*(1-$G105))/$L105)*((1+Inputs!$D$7)^DC$2)),((INT(DC$2/$L105)-INT((DC$2-1)/$L105))*($T105*(1-$F105)+$S105*(1-$G105))*((1+Inputs!$D$7)^DC$2))),((Inputs!$D$8^((1-_xlfn.WEIBULL.DIST(DC$2,$M105,$L105,FALSE))/_xlfn.WEIBULL.DIST(DC$2,$M105,$L105,FALSE))*($T105*(1-$F105)+$S105*(1-$G105))*((1+Inputs!$D$7)^DC$2))))))))</f>
        <v>0</v>
      </c>
      <c r="DD105" s="88">
        <f>MAX(BN105,($E105*IF(DD$2&gt;Inputs!$D$5,0,IF(DD$2&gt;VLOOKUP($H105,Lists!$P$3:$Q$7,2),IF($N105=Lists!$K$3,IF($L105&lt;1,(($U105/$L105)*((1+Inputs!$D$7)^DD$2)),((INT(DD$2/$L105)-INT((DD$2-1)/$L105))*$U105*((1+Inputs!$D$7)^DD$2))),(Inputs!$D$8^((1-_xlfn.WEIBULL.DIST(DD$2,$M105,$L105,FALSE))/_xlfn.WEIBULL.DIST(DD$2,$M105,$L105,FALSE))*$U105*((1+Inputs!$D$7)^DD$2))),IF($N105=Lists!$K$3,IF($L105&lt;1,((($T105*(1-$F105)+$S105*(1-$G105))/$L105)*((1+Inputs!$D$7)^DD$2)),((INT(DD$2/$L105)-INT((DD$2-1)/$L105))*($T105*(1-$F105)+$S105*(1-$G105))*((1+Inputs!$D$7)^DD$2))),((Inputs!$D$8^((1-_xlfn.WEIBULL.DIST(DD$2,$M105,$L105,FALSE))/_xlfn.WEIBULL.DIST(DD$2,$M105,$L105,FALSE))*($T105*(1-$F105)+$S105*(1-$G105))*((1+Inputs!$D$7)^DD$2))))))))</f>
        <v>0</v>
      </c>
    </row>
    <row r="106" spans="1:108" ht="16">
      <c r="A106" s="57" t="s">
        <v>43</v>
      </c>
      <c r="B106" s="13" t="s">
        <v>279</v>
      </c>
      <c r="C106" s="13" t="s">
        <v>90</v>
      </c>
      <c r="D106" s="13" t="s">
        <v>35</v>
      </c>
      <c r="E106" s="89">
        <f>IF(Inputs!$D$54=Lists!$AA$3,0,1)</f>
        <v>1</v>
      </c>
      <c r="F106" s="48">
        <v>0</v>
      </c>
      <c r="G106" s="48">
        <v>0</v>
      </c>
      <c r="H106" s="105" t="s">
        <v>350</v>
      </c>
      <c r="I106" s="14" t="s">
        <v>270</v>
      </c>
      <c r="J106" s="14" t="s">
        <v>246</v>
      </c>
      <c r="K106" s="13">
        <f>VLOOKUP(J106,'Labor Rates'!$A$1:$F$16,2)</f>
        <v>33.119999999999997</v>
      </c>
      <c r="L106" s="15">
        <v>1</v>
      </c>
      <c r="M106" s="15">
        <v>1</v>
      </c>
      <c r="N106" s="13" t="s">
        <v>236</v>
      </c>
      <c r="O106" s="61">
        <f>Inputs!$D$56*E106</f>
        <v>10.245901639344263</v>
      </c>
      <c r="P106" s="15">
        <v>0.1</v>
      </c>
      <c r="Q106" s="15">
        <f t="shared" si="21"/>
        <v>1.0245901639344264</v>
      </c>
      <c r="R106" s="4">
        <v>0</v>
      </c>
      <c r="S106" s="53">
        <f t="shared" si="22"/>
        <v>33.934426229508198</v>
      </c>
      <c r="T106" s="53">
        <f t="shared" si="23"/>
        <v>0</v>
      </c>
      <c r="U106" s="54">
        <f t="shared" si="24"/>
        <v>33.934426229508198</v>
      </c>
      <c r="V106" s="65"/>
      <c r="W106" s="58"/>
      <c r="X106" s="64">
        <f t="shared" si="25"/>
        <v>42.05038245363513</v>
      </c>
      <c r="Y106" s="64">
        <f>NPV(Inputs!$D$6,AA106:BN106)</f>
        <v>483.0050373027766</v>
      </c>
      <c r="Z106" s="67">
        <f t="shared" si="26"/>
        <v>2.2780875623984115E-4</v>
      </c>
      <c r="AA106" s="88">
        <f>$E106*IF(AA$2&gt;Inputs!$D$5,0,IF(AA$2&gt;VLOOKUP($H106,Lists!$P$3:$Q$7,2),IF($N106=Lists!$K$3,IF($L106&lt;1,(($U106/$L106)*((1+Inputs!$D$7)^AA$2)),((INT(AA$2/$L106)-INT((AA$2-1)/$L106))*$U106*((1+Inputs!$D$7)^AA$2))),(_xlfn.WEIBULL.DIST(AA$2,$M106,$L106,FALSE)*$U106*((1+Inputs!$D$7)^AA$2))),IF($N106=Lists!$K$3,IF($L106&lt;1,((($T106*(1-$F106)+$S106*(1-$G106))/$L106)*((1+Inputs!$D$7)^AA$2)),((INT(AA$2/$L106)-INT((AA$2-1)/$L106))*($T106*(1-$F106)+$S106*(1-$G106))*((1+Inputs!$D$7)^AA$2))),((_xlfn.WEIBULL.DIST(AA$2,$M106,$L106,FALSE)*($T106*(1-$F106)+$S106*(1-$G106))*((1+Inputs!$D$7)^AA$2))))))</f>
        <v>34.613114754098362</v>
      </c>
      <c r="AB106" s="88">
        <f>$E106*IF(AB$2&gt;Inputs!$D$5,0,IF(AB$2&gt;VLOOKUP($H106,Lists!$P$3:$Q$7,2),IF($N106=Lists!$K$3,IF($L106&lt;1,(($U106/$L106)*((1+Inputs!$D$7)^AB$2)),((INT(AB$2/$L106)-INT((AB$2-1)/$L106))*$U106*((1+Inputs!$D$7)^AB$2))),(_xlfn.WEIBULL.DIST(AB$2,$M106,$L106,FALSE)*$U106*((1+Inputs!$D$7)^AB$2))),IF($N106=Lists!$K$3,IF($L106&lt;1,((($T106*(1-$F106)+$S106*(1-$G106))/$L106)*((1+Inputs!$D$7)^AB$2)),((INT(AB$2/$L106)-INT((AB$2-1)/$L106))*($T106*(1-$F106)+$S106*(1-$G106))*((1+Inputs!$D$7)^AB$2))),((_xlfn.WEIBULL.DIST(AB$2,$M106,$L106,FALSE)*($T106*(1-$F106)+$S106*(1-$G106))*((1+Inputs!$D$7)^AB$2))))))</f>
        <v>35.305377049180329</v>
      </c>
      <c r="AC106" s="88">
        <f>$E106*IF(AC$2&gt;Inputs!$D$5,0,IF(AC$2&gt;VLOOKUP($H106,Lists!$P$3:$Q$7,2),IF($N106=Lists!$K$3,IF($L106&lt;1,(($U106/$L106)*((1+Inputs!$D$7)^AC$2)),((INT(AC$2/$L106)-INT((AC$2-1)/$L106))*$U106*((1+Inputs!$D$7)^AC$2))),(_xlfn.WEIBULL.DIST(AC$2,$M106,$L106,FALSE)*$U106*((1+Inputs!$D$7)^AC$2))),IF($N106=Lists!$K$3,IF($L106&lt;1,((($T106*(1-$F106)+$S106*(1-$G106))/$L106)*((1+Inputs!$D$7)^AC$2)),((INT(AC$2/$L106)-INT((AC$2-1)/$L106))*($T106*(1-$F106)+$S106*(1-$G106))*((1+Inputs!$D$7)^AC$2))),((_xlfn.WEIBULL.DIST(AC$2,$M106,$L106,FALSE)*($T106*(1-$F106)+$S106*(1-$G106))*((1+Inputs!$D$7)^AC$2))))))</f>
        <v>36.011484590163931</v>
      </c>
      <c r="AD106" s="88">
        <f>$E106*IF(AD$2&gt;Inputs!$D$5,0,IF(AD$2&gt;VLOOKUP($H106,Lists!$P$3:$Q$7,2),IF($N106=Lists!$K$3,IF($L106&lt;1,(($U106/$L106)*((1+Inputs!$D$7)^AD$2)),((INT(AD$2/$L106)-INT((AD$2-1)/$L106))*$U106*((1+Inputs!$D$7)^AD$2))),(_xlfn.WEIBULL.DIST(AD$2,$M106,$L106,FALSE)*$U106*((1+Inputs!$D$7)^AD$2))),IF($N106=Lists!$K$3,IF($L106&lt;1,((($T106*(1-$F106)+$S106*(1-$G106))/$L106)*((1+Inputs!$D$7)^AD$2)),((INT(AD$2/$L106)-INT((AD$2-1)/$L106))*($T106*(1-$F106)+$S106*(1-$G106))*((1+Inputs!$D$7)^AD$2))),((_xlfn.WEIBULL.DIST(AD$2,$M106,$L106,FALSE)*($T106*(1-$F106)+$S106*(1-$G106))*((1+Inputs!$D$7)^AD$2))))))</f>
        <v>36.731714281967214</v>
      </c>
      <c r="AE106" s="88">
        <f>$E106*IF(AE$2&gt;Inputs!$D$5,0,IF(AE$2&gt;VLOOKUP($H106,Lists!$P$3:$Q$7,2),IF($N106=Lists!$K$3,IF($L106&lt;1,(($U106/$L106)*((1+Inputs!$D$7)^AE$2)),((INT(AE$2/$L106)-INT((AE$2-1)/$L106))*$U106*((1+Inputs!$D$7)^AE$2))),(_xlfn.WEIBULL.DIST(AE$2,$M106,$L106,FALSE)*$U106*((1+Inputs!$D$7)^AE$2))),IF($N106=Lists!$K$3,IF($L106&lt;1,((($T106*(1-$F106)+$S106*(1-$G106))/$L106)*((1+Inputs!$D$7)^AE$2)),((INT(AE$2/$L106)-INT((AE$2-1)/$L106))*($T106*(1-$F106)+$S106*(1-$G106))*((1+Inputs!$D$7)^AE$2))),((_xlfn.WEIBULL.DIST(AE$2,$M106,$L106,FALSE)*($T106*(1-$F106)+$S106*(1-$G106))*((1+Inputs!$D$7)^AE$2))))))</f>
        <v>37.466348567606559</v>
      </c>
      <c r="AF106" s="88">
        <f>$E106*IF(AF$2&gt;Inputs!$D$5,0,IF(AF$2&gt;VLOOKUP($H106,Lists!$P$3:$Q$7,2),IF($N106=Lists!$K$3,IF($L106&lt;1,(($U106/$L106)*((1+Inputs!$D$7)^AF$2)),((INT(AF$2/$L106)-INT((AF$2-1)/$L106))*$U106*((1+Inputs!$D$7)^AF$2))),(_xlfn.WEIBULL.DIST(AF$2,$M106,$L106,FALSE)*$U106*((1+Inputs!$D$7)^AF$2))),IF($N106=Lists!$K$3,IF($L106&lt;1,((($T106*(1-$F106)+$S106*(1-$G106))/$L106)*((1+Inputs!$D$7)^AF$2)),((INT(AF$2/$L106)-INT((AF$2-1)/$L106))*($T106*(1-$F106)+$S106*(1-$G106))*((1+Inputs!$D$7)^AF$2))),((_xlfn.WEIBULL.DIST(AF$2,$M106,$L106,FALSE)*($T106*(1-$F106)+$S106*(1-$G106))*((1+Inputs!$D$7)^AF$2))))))</f>
        <v>38.215675538958692</v>
      </c>
      <c r="AG106" s="88">
        <f>$E106*IF(AG$2&gt;Inputs!$D$5,0,IF(AG$2&gt;VLOOKUP($H106,Lists!$P$3:$Q$7,2),IF($N106=Lists!$K$3,IF($L106&lt;1,(($U106/$L106)*((1+Inputs!$D$7)^AG$2)),((INT(AG$2/$L106)-INT((AG$2-1)/$L106))*$U106*((1+Inputs!$D$7)^AG$2))),(_xlfn.WEIBULL.DIST(AG$2,$M106,$L106,FALSE)*$U106*((1+Inputs!$D$7)^AG$2))),IF($N106=Lists!$K$3,IF($L106&lt;1,((($T106*(1-$F106)+$S106*(1-$G106))/$L106)*((1+Inputs!$D$7)^AG$2)),((INT(AG$2/$L106)-INT((AG$2-1)/$L106))*($T106*(1-$F106)+$S106*(1-$G106))*((1+Inputs!$D$7)^AG$2))),((_xlfn.WEIBULL.DIST(AG$2,$M106,$L106,FALSE)*($T106*(1-$F106)+$S106*(1-$G106))*((1+Inputs!$D$7)^AG$2))))))</f>
        <v>38.97998904973786</v>
      </c>
      <c r="AH106" s="88">
        <f>$E106*IF(AH$2&gt;Inputs!$D$5,0,IF(AH$2&gt;VLOOKUP($H106,Lists!$P$3:$Q$7,2),IF($N106=Lists!$K$3,IF($L106&lt;1,(($U106/$L106)*((1+Inputs!$D$7)^AH$2)),((INT(AH$2/$L106)-INT((AH$2-1)/$L106))*$U106*((1+Inputs!$D$7)^AH$2))),(_xlfn.WEIBULL.DIST(AH$2,$M106,$L106,FALSE)*$U106*((1+Inputs!$D$7)^AH$2))),IF($N106=Lists!$K$3,IF($L106&lt;1,((($T106*(1-$F106)+$S106*(1-$G106))/$L106)*((1+Inputs!$D$7)^AH$2)),((INT(AH$2/$L106)-INT((AH$2-1)/$L106))*($T106*(1-$F106)+$S106*(1-$G106))*((1+Inputs!$D$7)^AH$2))),((_xlfn.WEIBULL.DIST(AH$2,$M106,$L106,FALSE)*($T106*(1-$F106)+$S106*(1-$G106))*((1+Inputs!$D$7)^AH$2))))))</f>
        <v>39.759588830732618</v>
      </c>
      <c r="AI106" s="88">
        <f>$E106*IF(AI$2&gt;Inputs!$D$5,0,IF(AI$2&gt;VLOOKUP($H106,Lists!$P$3:$Q$7,2),IF($N106=Lists!$K$3,IF($L106&lt;1,(($U106/$L106)*((1+Inputs!$D$7)^AI$2)),((INT(AI$2/$L106)-INT((AI$2-1)/$L106))*$U106*((1+Inputs!$D$7)^AI$2))),(_xlfn.WEIBULL.DIST(AI$2,$M106,$L106,FALSE)*$U106*((1+Inputs!$D$7)^AI$2))),IF($N106=Lists!$K$3,IF($L106&lt;1,((($T106*(1-$F106)+$S106*(1-$G106))/$L106)*((1+Inputs!$D$7)^AI$2)),((INT(AI$2/$L106)-INT((AI$2-1)/$L106))*($T106*(1-$F106)+$S106*(1-$G106))*((1+Inputs!$D$7)^AI$2))),((_xlfn.WEIBULL.DIST(AI$2,$M106,$L106,FALSE)*($T106*(1-$F106)+$S106*(1-$G106))*((1+Inputs!$D$7)^AI$2))))))</f>
        <v>40.554780607347269</v>
      </c>
      <c r="AJ106" s="88">
        <f>$E106*IF(AJ$2&gt;Inputs!$D$5,0,IF(AJ$2&gt;VLOOKUP($H106,Lists!$P$3:$Q$7,2),IF($N106=Lists!$K$3,IF($L106&lt;1,(($U106/$L106)*((1+Inputs!$D$7)^AJ$2)),((INT(AJ$2/$L106)-INT((AJ$2-1)/$L106))*$U106*((1+Inputs!$D$7)^AJ$2))),(_xlfn.WEIBULL.DIST(AJ$2,$M106,$L106,FALSE)*$U106*((1+Inputs!$D$7)^AJ$2))),IF($N106=Lists!$K$3,IF($L106&lt;1,((($T106*(1-$F106)+$S106*(1-$G106))/$L106)*((1+Inputs!$D$7)^AJ$2)),((INT(AJ$2/$L106)-INT((AJ$2-1)/$L106))*($T106*(1-$F106)+$S106*(1-$G106))*((1+Inputs!$D$7)^AJ$2))),((_xlfn.WEIBULL.DIST(AJ$2,$M106,$L106,FALSE)*($T106*(1-$F106)+$S106*(1-$G106))*((1+Inputs!$D$7)^AJ$2))))))</f>
        <v>41.365876219494218</v>
      </c>
      <c r="AK106" s="88">
        <f>$E106*IF(AK$2&gt;Inputs!$D$5,0,IF(AK$2&gt;VLOOKUP($H106,Lists!$P$3:$Q$7,2),IF($N106=Lists!$K$3,IF($L106&lt;1,(($U106/$L106)*((1+Inputs!$D$7)^AK$2)),((INT(AK$2/$L106)-INT((AK$2-1)/$L106))*$U106*((1+Inputs!$D$7)^AK$2))),(_xlfn.WEIBULL.DIST(AK$2,$M106,$L106,FALSE)*$U106*((1+Inputs!$D$7)^AK$2))),IF($N106=Lists!$K$3,IF($L106&lt;1,((($T106*(1-$F106)+$S106*(1-$G106))/$L106)*((1+Inputs!$D$7)^AK$2)),((INT(AK$2/$L106)-INT((AK$2-1)/$L106))*($T106*(1-$F106)+$S106*(1-$G106))*((1+Inputs!$D$7)^AK$2))),((_xlfn.WEIBULL.DIST(AK$2,$M106,$L106,FALSE)*($T106*(1-$F106)+$S106*(1-$G106))*((1+Inputs!$D$7)^AK$2))))))</f>
        <v>42.193193743884095</v>
      </c>
      <c r="AL106" s="88">
        <f>$E106*IF(AL$2&gt;Inputs!$D$5,0,IF(AL$2&gt;VLOOKUP($H106,Lists!$P$3:$Q$7,2),IF($N106=Lists!$K$3,IF($L106&lt;1,(($U106/$L106)*((1+Inputs!$D$7)^AL$2)),((INT(AL$2/$L106)-INT((AL$2-1)/$L106))*$U106*((1+Inputs!$D$7)^AL$2))),(_xlfn.WEIBULL.DIST(AL$2,$M106,$L106,FALSE)*$U106*((1+Inputs!$D$7)^AL$2))),IF($N106=Lists!$K$3,IF($L106&lt;1,((($T106*(1-$F106)+$S106*(1-$G106))/$L106)*((1+Inputs!$D$7)^AL$2)),((INT(AL$2/$L106)-INT((AL$2-1)/$L106))*($T106*(1-$F106)+$S106*(1-$G106))*((1+Inputs!$D$7)^AL$2))),((_xlfn.WEIBULL.DIST(AL$2,$M106,$L106,FALSE)*($T106*(1-$F106)+$S106*(1-$G106))*((1+Inputs!$D$7)^AL$2))))))</f>
        <v>43.037057618761786</v>
      </c>
      <c r="AM106" s="88">
        <f>$E106*IF(AM$2&gt;Inputs!$D$5,0,IF(AM$2&gt;VLOOKUP($H106,Lists!$P$3:$Q$7,2),IF($N106=Lists!$K$3,IF($L106&lt;1,(($U106/$L106)*((1+Inputs!$D$7)^AM$2)),((INT(AM$2/$L106)-INT((AM$2-1)/$L106))*$U106*((1+Inputs!$D$7)^AM$2))),(_xlfn.WEIBULL.DIST(AM$2,$M106,$L106,FALSE)*$U106*((1+Inputs!$D$7)^AM$2))),IF($N106=Lists!$K$3,IF($L106&lt;1,((($T106*(1-$F106)+$S106*(1-$G106))/$L106)*((1+Inputs!$D$7)^AM$2)),((INT(AM$2/$L106)-INT((AM$2-1)/$L106))*($T106*(1-$F106)+$S106*(1-$G106))*((1+Inputs!$D$7)^AM$2))),((_xlfn.WEIBULL.DIST(AM$2,$M106,$L106,FALSE)*($T106*(1-$F106)+$S106*(1-$G106))*((1+Inputs!$D$7)^AM$2))))))</f>
        <v>43.897798771137019</v>
      </c>
      <c r="AN106" s="88">
        <f>$E106*IF(AN$2&gt;Inputs!$D$5,0,IF(AN$2&gt;VLOOKUP($H106,Lists!$P$3:$Q$7,2),IF($N106=Lists!$K$3,IF($L106&lt;1,(($U106/$L106)*((1+Inputs!$D$7)^AN$2)),((INT(AN$2/$L106)-INT((AN$2-1)/$L106))*$U106*((1+Inputs!$D$7)^AN$2))),(_xlfn.WEIBULL.DIST(AN$2,$M106,$L106,FALSE)*$U106*((1+Inputs!$D$7)^AN$2))),IF($N106=Lists!$K$3,IF($L106&lt;1,((($T106*(1-$F106)+$S106*(1-$G106))/$L106)*((1+Inputs!$D$7)^AN$2)),((INT(AN$2/$L106)-INT((AN$2-1)/$L106))*($T106*(1-$F106)+$S106*(1-$G106))*((1+Inputs!$D$7)^AN$2))),((_xlfn.WEIBULL.DIST(AN$2,$M106,$L106,FALSE)*($T106*(1-$F106)+$S106*(1-$G106))*((1+Inputs!$D$7)^AN$2))))))</f>
        <v>44.775754746559763</v>
      </c>
      <c r="AO106" s="88">
        <f>$E106*IF(AO$2&gt;Inputs!$D$5,0,IF(AO$2&gt;VLOOKUP($H106,Lists!$P$3:$Q$7,2),IF($N106=Lists!$K$3,IF($L106&lt;1,(($U106/$L106)*((1+Inputs!$D$7)^AO$2)),((INT(AO$2/$L106)-INT((AO$2-1)/$L106))*$U106*((1+Inputs!$D$7)^AO$2))),(_xlfn.WEIBULL.DIST(AO$2,$M106,$L106,FALSE)*$U106*((1+Inputs!$D$7)^AO$2))),IF($N106=Lists!$K$3,IF($L106&lt;1,((($T106*(1-$F106)+$S106*(1-$G106))/$L106)*((1+Inputs!$D$7)^AO$2)),((INT(AO$2/$L106)-INT((AO$2-1)/$L106))*($T106*(1-$F106)+$S106*(1-$G106))*((1+Inputs!$D$7)^AO$2))),((_xlfn.WEIBULL.DIST(AO$2,$M106,$L106,FALSE)*($T106*(1-$F106)+$S106*(1-$G106))*((1+Inputs!$D$7)^AO$2))))))</f>
        <v>45.671269841490947</v>
      </c>
      <c r="AP106" s="88">
        <f>$E106*IF(AP$2&gt;Inputs!$D$5,0,IF(AP$2&gt;VLOOKUP($H106,Lists!$P$3:$Q$7,2),IF($N106=Lists!$K$3,IF($L106&lt;1,(($U106/$L106)*((1+Inputs!$D$7)^AP$2)),((INT(AP$2/$L106)-INT((AP$2-1)/$L106))*$U106*((1+Inputs!$D$7)^AP$2))),(_xlfn.WEIBULL.DIST(AP$2,$M106,$L106,FALSE)*$U106*((1+Inputs!$D$7)^AP$2))),IF($N106=Lists!$K$3,IF($L106&lt;1,((($T106*(1-$F106)+$S106*(1-$G106))/$L106)*((1+Inputs!$D$7)^AP$2)),((INT(AP$2/$L106)-INT((AP$2-1)/$L106))*($T106*(1-$F106)+$S106*(1-$G106))*((1+Inputs!$D$7)^AP$2))),((_xlfn.WEIBULL.DIST(AP$2,$M106,$L106,FALSE)*($T106*(1-$F106)+$S106*(1-$G106))*((1+Inputs!$D$7)^AP$2))))))</f>
        <v>46.584695238320769</v>
      </c>
      <c r="AQ106" s="88">
        <f>$E106*IF(AQ$2&gt;Inputs!$D$5,0,IF(AQ$2&gt;VLOOKUP($H106,Lists!$P$3:$Q$7,2),IF($N106=Lists!$K$3,IF($L106&lt;1,(($U106/$L106)*((1+Inputs!$D$7)^AQ$2)),((INT(AQ$2/$L106)-INT((AQ$2-1)/$L106))*$U106*((1+Inputs!$D$7)^AQ$2))),(_xlfn.WEIBULL.DIST(AQ$2,$M106,$L106,FALSE)*$U106*((1+Inputs!$D$7)^AQ$2))),IF($N106=Lists!$K$3,IF($L106&lt;1,((($T106*(1-$F106)+$S106*(1-$G106))/$L106)*((1+Inputs!$D$7)^AQ$2)),((INT(AQ$2/$L106)-INT((AQ$2-1)/$L106))*($T106*(1-$F106)+$S106*(1-$G106))*((1+Inputs!$D$7)^AQ$2))),((_xlfn.WEIBULL.DIST(AQ$2,$M106,$L106,FALSE)*($T106*(1-$F106)+$S106*(1-$G106))*((1+Inputs!$D$7)^AQ$2))))))</f>
        <v>47.516389143087189</v>
      </c>
      <c r="AR106" s="88">
        <f>$E106*IF(AR$2&gt;Inputs!$D$5,0,IF(AR$2&gt;VLOOKUP($H106,Lists!$P$3:$Q$7,2),IF($N106=Lists!$K$3,IF($L106&lt;1,(($U106/$L106)*((1+Inputs!$D$7)^AR$2)),((INT(AR$2/$L106)-INT((AR$2-1)/$L106))*$U106*((1+Inputs!$D$7)^AR$2))),(_xlfn.WEIBULL.DIST(AR$2,$M106,$L106,FALSE)*$U106*((1+Inputs!$D$7)^AR$2))),IF($N106=Lists!$K$3,IF($L106&lt;1,((($T106*(1-$F106)+$S106*(1-$G106))/$L106)*((1+Inputs!$D$7)^AR$2)),((INT(AR$2/$L106)-INT((AR$2-1)/$L106))*($T106*(1-$F106)+$S106*(1-$G106))*((1+Inputs!$D$7)^AR$2))),((_xlfn.WEIBULL.DIST(AR$2,$M106,$L106,FALSE)*($T106*(1-$F106)+$S106*(1-$G106))*((1+Inputs!$D$7)^AR$2))))))</f>
        <v>48.46671692594893</v>
      </c>
      <c r="AS106" s="88">
        <f>$E106*IF(AS$2&gt;Inputs!$D$5,0,IF(AS$2&gt;VLOOKUP($H106,Lists!$P$3:$Q$7,2),IF($N106=Lists!$K$3,IF($L106&lt;1,(($U106/$L106)*((1+Inputs!$D$7)^AS$2)),((INT(AS$2/$L106)-INT((AS$2-1)/$L106))*$U106*((1+Inputs!$D$7)^AS$2))),(_xlfn.WEIBULL.DIST(AS$2,$M106,$L106,FALSE)*$U106*((1+Inputs!$D$7)^AS$2))),IF($N106=Lists!$K$3,IF($L106&lt;1,((($T106*(1-$F106)+$S106*(1-$G106))/$L106)*((1+Inputs!$D$7)^AS$2)),((INT(AS$2/$L106)-INT((AS$2-1)/$L106))*($T106*(1-$F106)+$S106*(1-$G106))*((1+Inputs!$D$7)^AS$2))),((_xlfn.WEIBULL.DIST(AS$2,$M106,$L106,FALSE)*($T106*(1-$F106)+$S106*(1-$G106))*((1+Inputs!$D$7)^AS$2))))))</f>
        <v>49.436051264467906</v>
      </c>
      <c r="AT106" s="88">
        <f>$E106*IF(AT$2&gt;Inputs!$D$5,0,IF(AT$2&gt;VLOOKUP($H106,Lists!$P$3:$Q$7,2),IF($N106=Lists!$K$3,IF($L106&lt;1,(($U106/$L106)*((1+Inputs!$D$7)^AT$2)),((INT(AT$2/$L106)-INT((AT$2-1)/$L106))*$U106*((1+Inputs!$D$7)^AT$2))),(_xlfn.WEIBULL.DIST(AT$2,$M106,$L106,FALSE)*$U106*((1+Inputs!$D$7)^AT$2))),IF($N106=Lists!$K$3,IF($L106&lt;1,((($T106*(1-$F106)+$S106*(1-$G106))/$L106)*((1+Inputs!$D$7)^AT$2)),((INT(AT$2/$L106)-INT((AT$2-1)/$L106))*($T106*(1-$F106)+$S106*(1-$G106))*((1+Inputs!$D$7)^AT$2))),((_xlfn.WEIBULL.DIST(AT$2,$M106,$L106,FALSE)*($T106*(1-$F106)+$S106*(1-$G106))*((1+Inputs!$D$7)^AT$2))))))</f>
        <v>50.424772289757264</v>
      </c>
      <c r="AU106" s="88">
        <f>$E106*IF(AU$2&gt;Inputs!$D$5,0,IF(AU$2&gt;VLOOKUP($H106,Lists!$P$3:$Q$7,2),IF($N106=Lists!$K$3,IF($L106&lt;1,(($U106/$L106)*((1+Inputs!$D$7)^AU$2)),((INT(AU$2/$L106)-INT((AU$2-1)/$L106))*$U106*((1+Inputs!$D$7)^AU$2))),(_xlfn.WEIBULL.DIST(AU$2,$M106,$L106,FALSE)*$U106*((1+Inputs!$D$7)^AU$2))),IF($N106=Lists!$K$3,IF($L106&lt;1,((($T106*(1-$F106)+$S106*(1-$G106))/$L106)*((1+Inputs!$D$7)^AU$2)),((INT(AU$2/$L106)-INT((AU$2-1)/$L106))*($T106*(1-$F106)+$S106*(1-$G106))*((1+Inputs!$D$7)^AU$2))),((_xlfn.WEIBULL.DIST(AU$2,$M106,$L106,FALSE)*($T106*(1-$F106)+$S106*(1-$G106))*((1+Inputs!$D$7)^AU$2))))))</f>
        <v>51.433267735552413</v>
      </c>
      <c r="AV106" s="88">
        <f>$E106*IF(AV$2&gt;Inputs!$D$5,0,IF(AV$2&gt;VLOOKUP($H106,Lists!$P$3:$Q$7,2),IF($N106=Lists!$K$3,IF($L106&lt;1,(($U106/$L106)*((1+Inputs!$D$7)^AV$2)),((INT(AV$2/$L106)-INT((AV$2-1)/$L106))*$U106*((1+Inputs!$D$7)^AV$2))),(_xlfn.WEIBULL.DIST(AV$2,$M106,$L106,FALSE)*$U106*((1+Inputs!$D$7)^AV$2))),IF($N106=Lists!$K$3,IF($L106&lt;1,((($T106*(1-$F106)+$S106*(1-$G106))/$L106)*((1+Inputs!$D$7)^AV$2)),((INT(AV$2/$L106)-INT((AV$2-1)/$L106))*($T106*(1-$F106)+$S106*(1-$G106))*((1+Inputs!$D$7)^AV$2))),((_xlfn.WEIBULL.DIST(AV$2,$M106,$L106,FALSE)*($T106*(1-$F106)+$S106*(1-$G106))*((1+Inputs!$D$7)^AV$2))))))</f>
        <v>52.461933090263457</v>
      </c>
      <c r="AW106" s="88">
        <f>$E106*IF(AW$2&gt;Inputs!$D$5,0,IF(AW$2&gt;VLOOKUP($H106,Lists!$P$3:$Q$7,2),IF($N106=Lists!$K$3,IF($L106&lt;1,(($U106/$L106)*((1+Inputs!$D$7)^AW$2)),((INT(AW$2/$L106)-INT((AW$2-1)/$L106))*$U106*((1+Inputs!$D$7)^AW$2))),(_xlfn.WEIBULL.DIST(AW$2,$M106,$L106,FALSE)*$U106*((1+Inputs!$D$7)^AW$2))),IF($N106=Lists!$K$3,IF($L106&lt;1,((($T106*(1-$F106)+$S106*(1-$G106))/$L106)*((1+Inputs!$D$7)^AW$2)),((INT(AW$2/$L106)-INT((AW$2-1)/$L106))*($T106*(1-$F106)+$S106*(1-$G106))*((1+Inputs!$D$7)^AW$2))),((_xlfn.WEIBULL.DIST(AW$2,$M106,$L106,FALSE)*($T106*(1-$F106)+$S106*(1-$G106))*((1+Inputs!$D$7)^AW$2))))))</f>
        <v>53.511171752068719</v>
      </c>
      <c r="AX106" s="88">
        <f>$E106*IF(AX$2&gt;Inputs!$D$5,0,IF(AX$2&gt;VLOOKUP($H106,Lists!$P$3:$Q$7,2),IF($N106=Lists!$K$3,IF($L106&lt;1,(($U106/$L106)*((1+Inputs!$D$7)^AX$2)),((INT(AX$2/$L106)-INT((AX$2-1)/$L106))*$U106*((1+Inputs!$D$7)^AX$2))),(_xlfn.WEIBULL.DIST(AX$2,$M106,$L106,FALSE)*$U106*((1+Inputs!$D$7)^AX$2))),IF($N106=Lists!$K$3,IF($L106&lt;1,((($T106*(1-$F106)+$S106*(1-$G106))/$L106)*((1+Inputs!$D$7)^AX$2)),((INT(AX$2/$L106)-INT((AX$2-1)/$L106))*($T106*(1-$F106)+$S106*(1-$G106))*((1+Inputs!$D$7)^AX$2))),((_xlfn.WEIBULL.DIST(AX$2,$M106,$L106,FALSE)*($T106*(1-$F106)+$S106*(1-$G106))*((1+Inputs!$D$7)^AX$2))))))</f>
        <v>54.581395187110097</v>
      </c>
      <c r="AY106" s="88">
        <f>$E106*IF(AY$2&gt;Inputs!$D$5,0,IF(AY$2&gt;VLOOKUP($H106,Lists!$P$3:$Q$7,2),IF($N106=Lists!$K$3,IF($L106&lt;1,(($U106/$L106)*((1+Inputs!$D$7)^AY$2)),((INT(AY$2/$L106)-INT((AY$2-1)/$L106))*$U106*((1+Inputs!$D$7)^AY$2))),(_xlfn.WEIBULL.DIST(AY$2,$M106,$L106,FALSE)*$U106*((1+Inputs!$D$7)^AY$2))),IF($N106=Lists!$K$3,IF($L106&lt;1,((($T106*(1-$F106)+$S106*(1-$G106))/$L106)*((1+Inputs!$D$7)^AY$2)),((INT(AY$2/$L106)-INT((AY$2-1)/$L106))*($T106*(1-$F106)+$S106*(1-$G106))*((1+Inputs!$D$7)^AY$2))),((_xlfn.WEIBULL.DIST(AY$2,$M106,$L106,FALSE)*($T106*(1-$F106)+$S106*(1-$G106))*((1+Inputs!$D$7)^AY$2))))))</f>
        <v>55.673023090852297</v>
      </c>
      <c r="AZ106" s="88">
        <f>$E106*IF(AZ$2&gt;Inputs!$D$5,0,IF(AZ$2&gt;VLOOKUP($H106,Lists!$P$3:$Q$7,2),IF($N106=Lists!$K$3,IF($L106&lt;1,(($U106/$L106)*((1+Inputs!$D$7)^AZ$2)),((INT(AZ$2/$L106)-INT((AZ$2-1)/$L106))*$U106*((1+Inputs!$D$7)^AZ$2))),(_xlfn.WEIBULL.DIST(AZ$2,$M106,$L106,FALSE)*$U106*((1+Inputs!$D$7)^AZ$2))),IF($N106=Lists!$K$3,IF($L106&lt;1,((($T106*(1-$F106)+$S106*(1-$G106))/$L106)*((1+Inputs!$D$7)^AZ$2)),((INT(AZ$2/$L106)-INT((AZ$2-1)/$L106))*($T106*(1-$F106)+$S106*(1-$G106))*((1+Inputs!$D$7)^AZ$2))),((_xlfn.WEIBULL.DIST(AZ$2,$M106,$L106,FALSE)*($T106*(1-$F106)+$S106*(1-$G106))*((1+Inputs!$D$7)^AZ$2))))))</f>
        <v>0</v>
      </c>
      <c r="BA106" s="88">
        <f>$E106*IF(BA$2&gt;Inputs!$D$5,0,IF(BA$2&gt;VLOOKUP($H106,Lists!$P$3:$Q$7,2),IF($N106=Lists!$K$3,IF($L106&lt;1,(($U106/$L106)*((1+Inputs!$D$7)^BA$2)),((INT(BA$2/$L106)-INT((BA$2-1)/$L106))*$U106*((1+Inputs!$D$7)^BA$2))),(_xlfn.WEIBULL.DIST(BA$2,$M106,$L106,FALSE)*$U106*((1+Inputs!$D$7)^BA$2))),IF($N106=Lists!$K$3,IF($L106&lt;1,((($T106*(1-$F106)+$S106*(1-$G106))/$L106)*((1+Inputs!$D$7)^BA$2)),((INT(BA$2/$L106)-INT((BA$2-1)/$L106))*($T106*(1-$F106)+$S106*(1-$G106))*((1+Inputs!$D$7)^BA$2))),((_xlfn.WEIBULL.DIST(BA$2,$M106,$L106,FALSE)*($T106*(1-$F106)+$S106*(1-$G106))*((1+Inputs!$D$7)^BA$2))))))</f>
        <v>0</v>
      </c>
      <c r="BB106" s="88">
        <f>$E106*IF(BB$2&gt;Inputs!$D$5,0,IF(BB$2&gt;VLOOKUP($H106,Lists!$P$3:$Q$7,2),IF($N106=Lists!$K$3,IF($L106&lt;1,(($U106/$L106)*((1+Inputs!$D$7)^BB$2)),((INT(BB$2/$L106)-INT((BB$2-1)/$L106))*$U106*((1+Inputs!$D$7)^BB$2))),(_xlfn.WEIBULL.DIST(BB$2,$M106,$L106,FALSE)*$U106*((1+Inputs!$D$7)^BB$2))),IF($N106=Lists!$K$3,IF($L106&lt;1,((($T106*(1-$F106)+$S106*(1-$G106))/$L106)*((1+Inputs!$D$7)^BB$2)),((INT(BB$2/$L106)-INT((BB$2-1)/$L106))*($T106*(1-$F106)+$S106*(1-$G106))*((1+Inputs!$D$7)^BB$2))),((_xlfn.WEIBULL.DIST(BB$2,$M106,$L106,FALSE)*($T106*(1-$F106)+$S106*(1-$G106))*((1+Inputs!$D$7)^BB$2))))))</f>
        <v>0</v>
      </c>
      <c r="BC106" s="88">
        <f>$E106*IF(BC$2&gt;Inputs!$D$5,0,IF(BC$2&gt;VLOOKUP($H106,Lists!$P$3:$Q$7,2),IF($N106=Lists!$K$3,IF($L106&lt;1,(($U106/$L106)*((1+Inputs!$D$7)^BC$2)),((INT(BC$2/$L106)-INT((BC$2-1)/$L106))*$U106*((1+Inputs!$D$7)^BC$2))),(_xlfn.WEIBULL.DIST(BC$2,$M106,$L106,FALSE)*$U106*((1+Inputs!$D$7)^BC$2))),IF($N106=Lists!$K$3,IF($L106&lt;1,((($T106*(1-$F106)+$S106*(1-$G106))/$L106)*((1+Inputs!$D$7)^BC$2)),((INT(BC$2/$L106)-INT((BC$2-1)/$L106))*($T106*(1-$F106)+$S106*(1-$G106))*((1+Inputs!$D$7)^BC$2))),((_xlfn.WEIBULL.DIST(BC$2,$M106,$L106,FALSE)*($T106*(1-$F106)+$S106*(1-$G106))*((1+Inputs!$D$7)^BC$2))))))</f>
        <v>0</v>
      </c>
      <c r="BD106" s="88">
        <f>$E106*IF(BD$2&gt;Inputs!$D$5,0,IF(BD$2&gt;VLOOKUP($H106,Lists!$P$3:$Q$7,2),IF($N106=Lists!$K$3,IF($L106&lt;1,(($U106/$L106)*((1+Inputs!$D$7)^BD$2)),((INT(BD$2/$L106)-INT((BD$2-1)/$L106))*$U106*((1+Inputs!$D$7)^BD$2))),(_xlfn.WEIBULL.DIST(BD$2,$M106,$L106,FALSE)*$U106*((1+Inputs!$D$7)^BD$2))),IF($N106=Lists!$K$3,IF($L106&lt;1,((($T106*(1-$F106)+$S106*(1-$G106))/$L106)*((1+Inputs!$D$7)^BD$2)),((INT(BD$2/$L106)-INT((BD$2-1)/$L106))*($T106*(1-$F106)+$S106*(1-$G106))*((1+Inputs!$D$7)^BD$2))),((_xlfn.WEIBULL.DIST(BD$2,$M106,$L106,FALSE)*($T106*(1-$F106)+$S106*(1-$G106))*((1+Inputs!$D$7)^BD$2))))))</f>
        <v>0</v>
      </c>
      <c r="BE106" s="88">
        <f>$E106*IF(BE$2&gt;Inputs!$D$5,0,IF(BE$2&gt;VLOOKUP($H106,Lists!$P$3:$Q$7,2),IF($N106=Lists!$K$3,IF($L106&lt;1,(($U106/$L106)*((1+Inputs!$D$7)^BE$2)),((INT(BE$2/$L106)-INT((BE$2-1)/$L106))*$U106*((1+Inputs!$D$7)^BE$2))),(_xlfn.WEIBULL.DIST(BE$2,$M106,$L106,FALSE)*$U106*((1+Inputs!$D$7)^BE$2))),IF($N106=Lists!$K$3,IF($L106&lt;1,((($T106*(1-$F106)+$S106*(1-$G106))/$L106)*((1+Inputs!$D$7)^BE$2)),((INT(BE$2/$L106)-INT((BE$2-1)/$L106))*($T106*(1-$F106)+$S106*(1-$G106))*((1+Inputs!$D$7)^BE$2))),((_xlfn.WEIBULL.DIST(BE$2,$M106,$L106,FALSE)*($T106*(1-$F106)+$S106*(1-$G106))*((1+Inputs!$D$7)^BE$2))))))</f>
        <v>0</v>
      </c>
      <c r="BF106" s="88">
        <f>$E106*IF(BF$2&gt;Inputs!$D$5,0,IF(BF$2&gt;VLOOKUP($H106,Lists!$P$3:$Q$7,2),IF($N106=Lists!$K$3,IF($L106&lt;1,(($U106/$L106)*((1+Inputs!$D$7)^BF$2)),((INT(BF$2/$L106)-INT((BF$2-1)/$L106))*$U106*((1+Inputs!$D$7)^BF$2))),(_xlfn.WEIBULL.DIST(BF$2,$M106,$L106,FALSE)*$U106*((1+Inputs!$D$7)^BF$2))),IF($N106=Lists!$K$3,IF($L106&lt;1,((($T106*(1-$F106)+$S106*(1-$G106))/$L106)*((1+Inputs!$D$7)^BF$2)),((INT(BF$2/$L106)-INT((BF$2-1)/$L106))*($T106*(1-$F106)+$S106*(1-$G106))*((1+Inputs!$D$7)^BF$2))),((_xlfn.WEIBULL.DIST(BF$2,$M106,$L106,FALSE)*($T106*(1-$F106)+$S106*(1-$G106))*((1+Inputs!$D$7)^BF$2))))))</f>
        <v>0</v>
      </c>
      <c r="BG106" s="88">
        <f>$E106*IF(BG$2&gt;Inputs!$D$5,0,IF(BG$2&gt;VLOOKUP($H106,Lists!$P$3:$Q$7,2),IF($N106=Lists!$K$3,IF($L106&lt;1,(($U106/$L106)*((1+Inputs!$D$7)^BG$2)),((INT(BG$2/$L106)-INT((BG$2-1)/$L106))*$U106*((1+Inputs!$D$7)^BG$2))),(_xlfn.WEIBULL.DIST(BG$2,$M106,$L106,FALSE)*$U106*((1+Inputs!$D$7)^BG$2))),IF($N106=Lists!$K$3,IF($L106&lt;1,((($T106*(1-$F106)+$S106*(1-$G106))/$L106)*((1+Inputs!$D$7)^BG$2)),((INT(BG$2/$L106)-INT((BG$2-1)/$L106))*($T106*(1-$F106)+$S106*(1-$G106))*((1+Inputs!$D$7)^BG$2))),((_xlfn.WEIBULL.DIST(BG$2,$M106,$L106,FALSE)*($T106*(1-$F106)+$S106*(1-$G106))*((1+Inputs!$D$7)^BG$2))))))</f>
        <v>0</v>
      </c>
      <c r="BH106" s="88">
        <f>$E106*IF(BH$2&gt;Inputs!$D$5,0,IF(BH$2&gt;VLOOKUP($H106,Lists!$P$3:$Q$7,2),IF($N106=Lists!$K$3,IF($L106&lt;1,(($U106/$L106)*((1+Inputs!$D$7)^BH$2)),((INT(BH$2/$L106)-INT((BH$2-1)/$L106))*$U106*((1+Inputs!$D$7)^BH$2))),(_xlfn.WEIBULL.DIST(BH$2,$M106,$L106,FALSE)*$U106*((1+Inputs!$D$7)^BH$2))),IF($N106=Lists!$K$3,IF($L106&lt;1,((($T106*(1-$F106)+$S106*(1-$G106))/$L106)*((1+Inputs!$D$7)^BH$2)),((INT(BH$2/$L106)-INT((BH$2-1)/$L106))*($T106*(1-$F106)+$S106*(1-$G106))*((1+Inputs!$D$7)^BH$2))),((_xlfn.WEIBULL.DIST(BH$2,$M106,$L106,FALSE)*($T106*(1-$F106)+$S106*(1-$G106))*((1+Inputs!$D$7)^BH$2))))))</f>
        <v>0</v>
      </c>
      <c r="BI106" s="88">
        <f>$E106*IF(BI$2&gt;Inputs!$D$5,0,IF(BI$2&gt;VLOOKUP($H106,Lists!$P$3:$Q$7,2),IF($N106=Lists!$K$3,IF($L106&lt;1,(($U106/$L106)*((1+Inputs!$D$7)^BI$2)),((INT(BI$2/$L106)-INT((BI$2-1)/$L106))*$U106*((1+Inputs!$D$7)^BI$2))),(_xlfn.WEIBULL.DIST(BI$2,$M106,$L106,FALSE)*$U106*((1+Inputs!$D$7)^BI$2))),IF($N106=Lists!$K$3,IF($L106&lt;1,((($T106*(1-$F106)+$S106*(1-$G106))/$L106)*((1+Inputs!$D$7)^BI$2)),((INT(BI$2/$L106)-INT((BI$2-1)/$L106))*($T106*(1-$F106)+$S106*(1-$G106))*((1+Inputs!$D$7)^BI$2))),((_xlfn.WEIBULL.DIST(BI$2,$M106,$L106,FALSE)*($T106*(1-$F106)+$S106*(1-$G106))*((1+Inputs!$D$7)^BI$2))))))</f>
        <v>0</v>
      </c>
      <c r="BJ106" s="88">
        <f>$E106*IF(BJ$2&gt;Inputs!$D$5,0,IF(BJ$2&gt;VLOOKUP($H106,Lists!$P$3:$Q$7,2),IF($N106=Lists!$K$3,IF($L106&lt;1,(($U106/$L106)*((1+Inputs!$D$7)^BJ$2)),((INT(BJ$2/$L106)-INT((BJ$2-1)/$L106))*$U106*((1+Inputs!$D$7)^BJ$2))),(_xlfn.WEIBULL.DIST(BJ$2,$M106,$L106,FALSE)*$U106*((1+Inputs!$D$7)^BJ$2))),IF($N106=Lists!$K$3,IF($L106&lt;1,((($T106*(1-$F106)+$S106*(1-$G106))/$L106)*((1+Inputs!$D$7)^BJ$2)),((INT(BJ$2/$L106)-INT((BJ$2-1)/$L106))*($T106*(1-$F106)+$S106*(1-$G106))*((1+Inputs!$D$7)^BJ$2))),((_xlfn.WEIBULL.DIST(BJ$2,$M106,$L106,FALSE)*($T106*(1-$F106)+$S106*(1-$G106))*((1+Inputs!$D$7)^BJ$2))))))</f>
        <v>0</v>
      </c>
      <c r="BK106" s="88">
        <f>$E106*IF(BK$2&gt;Inputs!$D$5,0,IF(BK$2&gt;VLOOKUP($H106,Lists!$P$3:$Q$7,2),IF($N106=Lists!$K$3,IF($L106&lt;1,(($U106/$L106)*((1+Inputs!$D$7)^BK$2)),((INT(BK$2/$L106)-INT((BK$2-1)/$L106))*$U106*((1+Inputs!$D$7)^BK$2))),(_xlfn.WEIBULL.DIST(BK$2,$M106,$L106,FALSE)*$U106*((1+Inputs!$D$7)^BK$2))),IF($N106=Lists!$K$3,IF($L106&lt;1,((($T106*(1-$F106)+$S106*(1-$G106))/$L106)*((1+Inputs!$D$7)^BK$2)),((INT(BK$2/$L106)-INT((BK$2-1)/$L106))*($T106*(1-$F106)+$S106*(1-$G106))*((1+Inputs!$D$7)^BK$2))),((_xlfn.WEIBULL.DIST(BK$2,$M106,$L106,FALSE)*($T106*(1-$F106)+$S106*(1-$G106))*((1+Inputs!$D$7)^BK$2))))))</f>
        <v>0</v>
      </c>
      <c r="BL106" s="88">
        <f>$E106*IF(BL$2&gt;Inputs!$D$5,0,IF(BL$2&gt;VLOOKUP($H106,Lists!$P$3:$Q$7,2),IF($N106=Lists!$K$3,IF($L106&lt;1,(($U106/$L106)*((1+Inputs!$D$7)^BL$2)),((INT(BL$2/$L106)-INT((BL$2-1)/$L106))*$U106*((1+Inputs!$D$7)^BL$2))),(_xlfn.WEIBULL.DIST(BL$2,$M106,$L106,FALSE)*$U106*((1+Inputs!$D$7)^BL$2))),IF($N106=Lists!$K$3,IF($L106&lt;1,((($T106*(1-$F106)+$S106*(1-$G106))/$L106)*((1+Inputs!$D$7)^BL$2)),((INT(BL$2/$L106)-INT((BL$2-1)/$L106))*($T106*(1-$F106)+$S106*(1-$G106))*((1+Inputs!$D$7)^BL$2))),((_xlfn.WEIBULL.DIST(BL$2,$M106,$L106,FALSE)*($T106*(1-$F106)+$S106*(1-$G106))*((1+Inputs!$D$7)^BL$2))))))</f>
        <v>0</v>
      </c>
      <c r="BM106" s="88">
        <f>$E106*IF(BM$2&gt;Inputs!$D$5,0,IF(BM$2&gt;VLOOKUP($H106,Lists!$P$3:$Q$7,2),IF($N106=Lists!$K$3,IF($L106&lt;1,(($U106/$L106)*((1+Inputs!$D$7)^BM$2)),((INT(BM$2/$L106)-INT((BM$2-1)/$L106))*$U106*((1+Inputs!$D$7)^BM$2))),(_xlfn.WEIBULL.DIST(BM$2,$M106,$L106,FALSE)*$U106*((1+Inputs!$D$7)^BM$2))),IF($N106=Lists!$K$3,IF($L106&lt;1,((($T106*(1-$F106)+$S106*(1-$G106))/$L106)*((1+Inputs!$D$7)^BM$2)),((INT(BM$2/$L106)-INT((BM$2-1)/$L106))*($T106*(1-$F106)+$S106*(1-$G106))*((1+Inputs!$D$7)^BM$2))),((_xlfn.WEIBULL.DIST(BM$2,$M106,$L106,FALSE)*($T106*(1-$F106)+$S106*(1-$G106))*((1+Inputs!$D$7)^BM$2))))))</f>
        <v>0</v>
      </c>
      <c r="BN106" s="88">
        <f>$E106*IF(BN$2&gt;Inputs!$D$5,0,IF(BN$2&gt;VLOOKUP($H106,Lists!$P$3:$Q$7,2),IF($N106=Lists!$K$3,IF($L106&lt;1,(($U106/$L106)*((1+Inputs!$D$7)^BN$2)),((INT(BN$2/$L106)-INT((BN$2-1)/$L106))*$U106*((1+Inputs!$D$7)^BN$2))),(_xlfn.WEIBULL.DIST(BN$2,$M106,$L106,FALSE)*$U106*((1+Inputs!$D$7)^BN$2))),IF($N106=Lists!$K$3,IF($L106&lt;1,((($T106*(1-$F106)+$S106*(1-$G106))/$L106)*((1+Inputs!$D$7)^BN$2)),((INT(BN$2/$L106)-INT((BN$2-1)/$L106))*($T106*(1-$F106)+$S106*(1-$G106))*((1+Inputs!$D$7)^BN$2))),((_xlfn.WEIBULL.DIST(BN$2,$M106,$L106,FALSE)*($T106*(1-$F106)+$S106*(1-$G106))*((1+Inputs!$D$7)^BN$2))))))</f>
        <v>0</v>
      </c>
      <c r="BO106" s="64">
        <f>NPV(Inputs!$D$6,BQ106:DD106)</f>
        <v>483.0050373027766</v>
      </c>
      <c r="BP106" s="67">
        <f t="shared" si="27"/>
        <v>2.2780875623984115E-4</v>
      </c>
      <c r="BQ106" s="88">
        <f>MAX(AA106,($E106*IF(BQ$2&gt;Inputs!$D$5,0,IF(BQ$2&gt;VLOOKUP($H106,Lists!$P$3:$Q$7,2),IF($N106=Lists!$K$3,IF($L106&lt;1,(($U106/$L106)*((1+Inputs!$D$7)^BQ$2)),((INT(BQ$2/$L106)-INT((BQ$2-1)/$L106))*$U106*((1+Inputs!$D$7)^BQ$2))),(Inputs!$D$8^((1-_xlfn.WEIBULL.DIST(BQ$2,$M106,$L106,FALSE))/_xlfn.WEIBULL.DIST(BQ$2,$M106,$L106,FALSE))*$U106*((1+Inputs!$D$7)^BQ$2))),IF($N106=Lists!$K$3,IF($L106&lt;1,((($T106*(1-$F106)+$S106*(1-$G106))/$L106)*((1+Inputs!$D$7)^BQ$2)),((INT(BQ$2/$L106)-INT((BQ$2-1)/$L106))*($T106*(1-$F106)+$S106*(1-$G106))*((1+Inputs!$D$7)^BQ$2))),((Inputs!$D$8^((1-_xlfn.WEIBULL.DIST(BQ$2,$M106,$L106,FALSE))/_xlfn.WEIBULL.DIST(BQ$2,$M106,$L106,FALSE))*($T106*(1-$F106)+$S106*(1-$G106))*((1+Inputs!$D$7)^BQ$2))))))))</f>
        <v>34.613114754098362</v>
      </c>
      <c r="BR106" s="88">
        <f>MAX(AB106,($E106*IF(BR$2&gt;Inputs!$D$5,0,IF(BR$2&gt;VLOOKUP($H106,Lists!$P$3:$Q$7,2),IF($N106=Lists!$K$3,IF($L106&lt;1,(($U106/$L106)*((1+Inputs!$D$7)^BR$2)),((INT(BR$2/$L106)-INT((BR$2-1)/$L106))*$U106*((1+Inputs!$D$7)^BR$2))),(Inputs!$D$8^((1-_xlfn.WEIBULL.DIST(BR$2,$M106,$L106,FALSE))/_xlfn.WEIBULL.DIST(BR$2,$M106,$L106,FALSE))*$U106*((1+Inputs!$D$7)^BR$2))),IF($N106=Lists!$K$3,IF($L106&lt;1,((($T106*(1-$F106)+$S106*(1-$G106))/$L106)*((1+Inputs!$D$7)^BR$2)),((INT(BR$2/$L106)-INT((BR$2-1)/$L106))*($T106*(1-$F106)+$S106*(1-$G106))*((1+Inputs!$D$7)^BR$2))),((Inputs!$D$8^((1-_xlfn.WEIBULL.DIST(BR$2,$M106,$L106,FALSE))/_xlfn.WEIBULL.DIST(BR$2,$M106,$L106,FALSE))*($T106*(1-$F106)+$S106*(1-$G106))*((1+Inputs!$D$7)^BR$2))))))))</f>
        <v>35.305377049180329</v>
      </c>
      <c r="BS106" s="88">
        <f>MAX(AC106,($E106*IF(BS$2&gt;Inputs!$D$5,0,IF(BS$2&gt;VLOOKUP($H106,Lists!$P$3:$Q$7,2),IF($N106=Lists!$K$3,IF($L106&lt;1,(($U106/$L106)*((1+Inputs!$D$7)^BS$2)),((INT(BS$2/$L106)-INT((BS$2-1)/$L106))*$U106*((1+Inputs!$D$7)^BS$2))),(Inputs!$D$8^((1-_xlfn.WEIBULL.DIST(BS$2,$M106,$L106,FALSE))/_xlfn.WEIBULL.DIST(BS$2,$M106,$L106,FALSE))*$U106*((1+Inputs!$D$7)^BS$2))),IF($N106=Lists!$K$3,IF($L106&lt;1,((($T106*(1-$F106)+$S106*(1-$G106))/$L106)*((1+Inputs!$D$7)^BS$2)),((INT(BS$2/$L106)-INT((BS$2-1)/$L106))*($T106*(1-$F106)+$S106*(1-$G106))*((1+Inputs!$D$7)^BS$2))),((Inputs!$D$8^((1-_xlfn.WEIBULL.DIST(BS$2,$M106,$L106,FALSE))/_xlfn.WEIBULL.DIST(BS$2,$M106,$L106,FALSE))*($T106*(1-$F106)+$S106*(1-$G106))*((1+Inputs!$D$7)^BS$2))))))))</f>
        <v>36.011484590163931</v>
      </c>
      <c r="BT106" s="88">
        <f>MAX(AD106,($E106*IF(BT$2&gt;Inputs!$D$5,0,IF(BT$2&gt;VLOOKUP($H106,Lists!$P$3:$Q$7,2),IF($N106=Lists!$K$3,IF($L106&lt;1,(($U106/$L106)*((1+Inputs!$D$7)^BT$2)),((INT(BT$2/$L106)-INT((BT$2-1)/$L106))*$U106*((1+Inputs!$D$7)^BT$2))),(Inputs!$D$8^((1-_xlfn.WEIBULL.DIST(BT$2,$M106,$L106,FALSE))/_xlfn.WEIBULL.DIST(BT$2,$M106,$L106,FALSE))*$U106*((1+Inputs!$D$7)^BT$2))),IF($N106=Lists!$K$3,IF($L106&lt;1,((($T106*(1-$F106)+$S106*(1-$G106))/$L106)*((1+Inputs!$D$7)^BT$2)),((INT(BT$2/$L106)-INT((BT$2-1)/$L106))*($T106*(1-$F106)+$S106*(1-$G106))*((1+Inputs!$D$7)^BT$2))),((Inputs!$D$8^((1-_xlfn.WEIBULL.DIST(BT$2,$M106,$L106,FALSE))/_xlfn.WEIBULL.DIST(BT$2,$M106,$L106,FALSE))*($T106*(1-$F106)+$S106*(1-$G106))*((1+Inputs!$D$7)^BT$2))))))))</f>
        <v>36.731714281967214</v>
      </c>
      <c r="BU106" s="88">
        <f>MAX(AE106,($E106*IF(BU$2&gt;Inputs!$D$5,0,IF(BU$2&gt;VLOOKUP($H106,Lists!$P$3:$Q$7,2),IF($N106=Lists!$K$3,IF($L106&lt;1,(($U106/$L106)*((1+Inputs!$D$7)^BU$2)),((INT(BU$2/$L106)-INT((BU$2-1)/$L106))*$U106*((1+Inputs!$D$7)^BU$2))),(Inputs!$D$8^((1-_xlfn.WEIBULL.DIST(BU$2,$M106,$L106,FALSE))/_xlfn.WEIBULL.DIST(BU$2,$M106,$L106,FALSE))*$U106*((1+Inputs!$D$7)^BU$2))),IF($N106=Lists!$K$3,IF($L106&lt;1,((($T106*(1-$F106)+$S106*(1-$G106))/$L106)*((1+Inputs!$D$7)^BU$2)),((INT(BU$2/$L106)-INT((BU$2-1)/$L106))*($T106*(1-$F106)+$S106*(1-$G106))*((1+Inputs!$D$7)^BU$2))),((Inputs!$D$8^((1-_xlfn.WEIBULL.DIST(BU$2,$M106,$L106,FALSE))/_xlfn.WEIBULL.DIST(BU$2,$M106,$L106,FALSE))*($T106*(1-$F106)+$S106*(1-$G106))*((1+Inputs!$D$7)^BU$2))))))))</f>
        <v>37.466348567606559</v>
      </c>
      <c r="BV106" s="88">
        <f>MAX(AF106,($E106*IF(BV$2&gt;Inputs!$D$5,0,IF(BV$2&gt;VLOOKUP($H106,Lists!$P$3:$Q$7,2),IF($N106=Lists!$K$3,IF($L106&lt;1,(($U106/$L106)*((1+Inputs!$D$7)^BV$2)),((INT(BV$2/$L106)-INT((BV$2-1)/$L106))*$U106*((1+Inputs!$D$7)^BV$2))),(Inputs!$D$8^((1-_xlfn.WEIBULL.DIST(BV$2,$M106,$L106,FALSE))/_xlfn.WEIBULL.DIST(BV$2,$M106,$L106,FALSE))*$U106*((1+Inputs!$D$7)^BV$2))),IF($N106=Lists!$K$3,IF($L106&lt;1,((($T106*(1-$F106)+$S106*(1-$G106))/$L106)*((1+Inputs!$D$7)^BV$2)),((INT(BV$2/$L106)-INT((BV$2-1)/$L106))*($T106*(1-$F106)+$S106*(1-$G106))*((1+Inputs!$D$7)^BV$2))),((Inputs!$D$8^((1-_xlfn.WEIBULL.DIST(BV$2,$M106,$L106,FALSE))/_xlfn.WEIBULL.DIST(BV$2,$M106,$L106,FALSE))*($T106*(1-$F106)+$S106*(1-$G106))*((1+Inputs!$D$7)^BV$2))))))))</f>
        <v>38.215675538958692</v>
      </c>
      <c r="BW106" s="88">
        <f>MAX(AG106,($E106*IF(BW$2&gt;Inputs!$D$5,0,IF(BW$2&gt;VLOOKUP($H106,Lists!$P$3:$Q$7,2),IF($N106=Lists!$K$3,IF($L106&lt;1,(($U106/$L106)*((1+Inputs!$D$7)^BW$2)),((INT(BW$2/$L106)-INT((BW$2-1)/$L106))*$U106*((1+Inputs!$D$7)^BW$2))),(Inputs!$D$8^((1-_xlfn.WEIBULL.DIST(BW$2,$M106,$L106,FALSE))/_xlfn.WEIBULL.DIST(BW$2,$M106,$L106,FALSE))*$U106*((1+Inputs!$D$7)^BW$2))),IF($N106=Lists!$K$3,IF($L106&lt;1,((($T106*(1-$F106)+$S106*(1-$G106))/$L106)*((1+Inputs!$D$7)^BW$2)),((INT(BW$2/$L106)-INT((BW$2-1)/$L106))*($T106*(1-$F106)+$S106*(1-$G106))*((1+Inputs!$D$7)^BW$2))),((Inputs!$D$8^((1-_xlfn.WEIBULL.DIST(BW$2,$M106,$L106,FALSE))/_xlfn.WEIBULL.DIST(BW$2,$M106,$L106,FALSE))*($T106*(1-$F106)+$S106*(1-$G106))*((1+Inputs!$D$7)^BW$2))))))))</f>
        <v>38.97998904973786</v>
      </c>
      <c r="BX106" s="88">
        <f>MAX(AH106,($E106*IF(BX$2&gt;Inputs!$D$5,0,IF(BX$2&gt;VLOOKUP($H106,Lists!$P$3:$Q$7,2),IF($N106=Lists!$K$3,IF($L106&lt;1,(($U106/$L106)*((1+Inputs!$D$7)^BX$2)),((INT(BX$2/$L106)-INT((BX$2-1)/$L106))*$U106*((1+Inputs!$D$7)^BX$2))),(Inputs!$D$8^((1-_xlfn.WEIBULL.DIST(BX$2,$M106,$L106,FALSE))/_xlfn.WEIBULL.DIST(BX$2,$M106,$L106,FALSE))*$U106*((1+Inputs!$D$7)^BX$2))),IF($N106=Lists!$K$3,IF($L106&lt;1,((($T106*(1-$F106)+$S106*(1-$G106))/$L106)*((1+Inputs!$D$7)^BX$2)),((INT(BX$2/$L106)-INT((BX$2-1)/$L106))*($T106*(1-$F106)+$S106*(1-$G106))*((1+Inputs!$D$7)^BX$2))),((Inputs!$D$8^((1-_xlfn.WEIBULL.DIST(BX$2,$M106,$L106,FALSE))/_xlfn.WEIBULL.DIST(BX$2,$M106,$L106,FALSE))*($T106*(1-$F106)+$S106*(1-$G106))*((1+Inputs!$D$7)^BX$2))))))))</f>
        <v>39.759588830732618</v>
      </c>
      <c r="BY106" s="88">
        <f>MAX(AI106,($E106*IF(BY$2&gt;Inputs!$D$5,0,IF(BY$2&gt;VLOOKUP($H106,Lists!$P$3:$Q$7,2),IF($N106=Lists!$K$3,IF($L106&lt;1,(($U106/$L106)*((1+Inputs!$D$7)^BY$2)),((INT(BY$2/$L106)-INT((BY$2-1)/$L106))*$U106*((1+Inputs!$D$7)^BY$2))),(Inputs!$D$8^((1-_xlfn.WEIBULL.DIST(BY$2,$M106,$L106,FALSE))/_xlfn.WEIBULL.DIST(BY$2,$M106,$L106,FALSE))*$U106*((1+Inputs!$D$7)^BY$2))),IF($N106=Lists!$K$3,IF($L106&lt;1,((($T106*(1-$F106)+$S106*(1-$G106))/$L106)*((1+Inputs!$D$7)^BY$2)),((INT(BY$2/$L106)-INT((BY$2-1)/$L106))*($T106*(1-$F106)+$S106*(1-$G106))*((1+Inputs!$D$7)^BY$2))),((Inputs!$D$8^((1-_xlfn.WEIBULL.DIST(BY$2,$M106,$L106,FALSE))/_xlfn.WEIBULL.DIST(BY$2,$M106,$L106,FALSE))*($T106*(1-$F106)+$S106*(1-$G106))*((1+Inputs!$D$7)^BY$2))))))))</f>
        <v>40.554780607347269</v>
      </c>
      <c r="BZ106" s="88">
        <f>MAX(AJ106,($E106*IF(BZ$2&gt;Inputs!$D$5,0,IF(BZ$2&gt;VLOOKUP($H106,Lists!$P$3:$Q$7,2),IF($N106=Lists!$K$3,IF($L106&lt;1,(($U106/$L106)*((1+Inputs!$D$7)^BZ$2)),((INT(BZ$2/$L106)-INT((BZ$2-1)/$L106))*$U106*((1+Inputs!$D$7)^BZ$2))),(Inputs!$D$8^((1-_xlfn.WEIBULL.DIST(BZ$2,$M106,$L106,FALSE))/_xlfn.WEIBULL.DIST(BZ$2,$M106,$L106,FALSE))*$U106*((1+Inputs!$D$7)^BZ$2))),IF($N106=Lists!$K$3,IF($L106&lt;1,((($T106*(1-$F106)+$S106*(1-$G106))/$L106)*((1+Inputs!$D$7)^BZ$2)),((INT(BZ$2/$L106)-INT((BZ$2-1)/$L106))*($T106*(1-$F106)+$S106*(1-$G106))*((1+Inputs!$D$7)^BZ$2))),((Inputs!$D$8^((1-_xlfn.WEIBULL.DIST(BZ$2,$M106,$L106,FALSE))/_xlfn.WEIBULL.DIST(BZ$2,$M106,$L106,FALSE))*($T106*(1-$F106)+$S106*(1-$G106))*((1+Inputs!$D$7)^BZ$2))))))))</f>
        <v>41.365876219494218</v>
      </c>
      <c r="CA106" s="88">
        <f>MAX(AK106,($E106*IF(CA$2&gt;Inputs!$D$5,0,IF(CA$2&gt;VLOOKUP($H106,Lists!$P$3:$Q$7,2),IF($N106=Lists!$K$3,IF($L106&lt;1,(($U106/$L106)*((1+Inputs!$D$7)^CA$2)),((INT(CA$2/$L106)-INT((CA$2-1)/$L106))*$U106*((1+Inputs!$D$7)^CA$2))),(Inputs!$D$8^((1-_xlfn.WEIBULL.DIST(CA$2,$M106,$L106,FALSE))/_xlfn.WEIBULL.DIST(CA$2,$M106,$L106,FALSE))*$U106*((1+Inputs!$D$7)^CA$2))),IF($N106=Lists!$K$3,IF($L106&lt;1,((($T106*(1-$F106)+$S106*(1-$G106))/$L106)*((1+Inputs!$D$7)^CA$2)),((INT(CA$2/$L106)-INT((CA$2-1)/$L106))*($T106*(1-$F106)+$S106*(1-$G106))*((1+Inputs!$D$7)^CA$2))),((Inputs!$D$8^((1-_xlfn.WEIBULL.DIST(CA$2,$M106,$L106,FALSE))/_xlfn.WEIBULL.DIST(CA$2,$M106,$L106,FALSE))*($T106*(1-$F106)+$S106*(1-$G106))*((1+Inputs!$D$7)^CA$2))))))))</f>
        <v>42.193193743884095</v>
      </c>
      <c r="CB106" s="88">
        <f>MAX(AL106,($E106*IF(CB$2&gt;Inputs!$D$5,0,IF(CB$2&gt;VLOOKUP($H106,Lists!$P$3:$Q$7,2),IF($N106=Lists!$K$3,IF($L106&lt;1,(($U106/$L106)*((1+Inputs!$D$7)^CB$2)),((INT(CB$2/$L106)-INT((CB$2-1)/$L106))*$U106*((1+Inputs!$D$7)^CB$2))),(Inputs!$D$8^((1-_xlfn.WEIBULL.DIST(CB$2,$M106,$L106,FALSE))/_xlfn.WEIBULL.DIST(CB$2,$M106,$L106,FALSE))*$U106*((1+Inputs!$D$7)^CB$2))),IF($N106=Lists!$K$3,IF($L106&lt;1,((($T106*(1-$F106)+$S106*(1-$G106))/$L106)*((1+Inputs!$D$7)^CB$2)),((INT(CB$2/$L106)-INT((CB$2-1)/$L106))*($T106*(1-$F106)+$S106*(1-$G106))*((1+Inputs!$D$7)^CB$2))),((Inputs!$D$8^((1-_xlfn.WEIBULL.DIST(CB$2,$M106,$L106,FALSE))/_xlfn.WEIBULL.DIST(CB$2,$M106,$L106,FALSE))*($T106*(1-$F106)+$S106*(1-$G106))*((1+Inputs!$D$7)^CB$2))))))))</f>
        <v>43.037057618761786</v>
      </c>
      <c r="CC106" s="88">
        <f>MAX(AM106,($E106*IF(CC$2&gt;Inputs!$D$5,0,IF(CC$2&gt;VLOOKUP($H106,Lists!$P$3:$Q$7,2),IF($N106=Lists!$K$3,IF($L106&lt;1,(($U106/$L106)*((1+Inputs!$D$7)^CC$2)),((INT(CC$2/$L106)-INT((CC$2-1)/$L106))*$U106*((1+Inputs!$D$7)^CC$2))),(Inputs!$D$8^((1-_xlfn.WEIBULL.DIST(CC$2,$M106,$L106,FALSE))/_xlfn.WEIBULL.DIST(CC$2,$M106,$L106,FALSE))*$U106*((1+Inputs!$D$7)^CC$2))),IF($N106=Lists!$K$3,IF($L106&lt;1,((($T106*(1-$F106)+$S106*(1-$G106))/$L106)*((1+Inputs!$D$7)^CC$2)),((INT(CC$2/$L106)-INT((CC$2-1)/$L106))*($T106*(1-$F106)+$S106*(1-$G106))*((1+Inputs!$D$7)^CC$2))),((Inputs!$D$8^((1-_xlfn.WEIBULL.DIST(CC$2,$M106,$L106,FALSE))/_xlfn.WEIBULL.DIST(CC$2,$M106,$L106,FALSE))*($T106*(1-$F106)+$S106*(1-$G106))*((1+Inputs!$D$7)^CC$2))))))))</f>
        <v>43.897798771137019</v>
      </c>
      <c r="CD106" s="88">
        <f>MAX(AN106,($E106*IF(CD$2&gt;Inputs!$D$5,0,IF(CD$2&gt;VLOOKUP($H106,Lists!$P$3:$Q$7,2),IF($N106=Lists!$K$3,IF($L106&lt;1,(($U106/$L106)*((1+Inputs!$D$7)^CD$2)),((INT(CD$2/$L106)-INT((CD$2-1)/$L106))*$U106*((1+Inputs!$D$7)^CD$2))),(Inputs!$D$8^((1-_xlfn.WEIBULL.DIST(CD$2,$M106,$L106,FALSE))/_xlfn.WEIBULL.DIST(CD$2,$M106,$L106,FALSE))*$U106*((1+Inputs!$D$7)^CD$2))),IF($N106=Lists!$K$3,IF($L106&lt;1,((($T106*(1-$F106)+$S106*(1-$G106))/$L106)*((1+Inputs!$D$7)^CD$2)),((INT(CD$2/$L106)-INT((CD$2-1)/$L106))*($T106*(1-$F106)+$S106*(1-$G106))*((1+Inputs!$D$7)^CD$2))),((Inputs!$D$8^((1-_xlfn.WEIBULL.DIST(CD$2,$M106,$L106,FALSE))/_xlfn.WEIBULL.DIST(CD$2,$M106,$L106,FALSE))*($T106*(1-$F106)+$S106*(1-$G106))*((1+Inputs!$D$7)^CD$2))))))))</f>
        <v>44.775754746559763</v>
      </c>
      <c r="CE106" s="88">
        <f>MAX(AO106,($E106*IF(CE$2&gt;Inputs!$D$5,0,IF(CE$2&gt;VLOOKUP($H106,Lists!$P$3:$Q$7,2),IF($N106=Lists!$K$3,IF($L106&lt;1,(($U106/$L106)*((1+Inputs!$D$7)^CE$2)),((INT(CE$2/$L106)-INT((CE$2-1)/$L106))*$U106*((1+Inputs!$D$7)^CE$2))),(Inputs!$D$8^((1-_xlfn.WEIBULL.DIST(CE$2,$M106,$L106,FALSE))/_xlfn.WEIBULL.DIST(CE$2,$M106,$L106,FALSE))*$U106*((1+Inputs!$D$7)^CE$2))),IF($N106=Lists!$K$3,IF($L106&lt;1,((($T106*(1-$F106)+$S106*(1-$G106))/$L106)*((1+Inputs!$D$7)^CE$2)),((INT(CE$2/$L106)-INT((CE$2-1)/$L106))*($T106*(1-$F106)+$S106*(1-$G106))*((1+Inputs!$D$7)^CE$2))),((Inputs!$D$8^((1-_xlfn.WEIBULL.DIST(CE$2,$M106,$L106,FALSE))/_xlfn.WEIBULL.DIST(CE$2,$M106,$L106,FALSE))*($T106*(1-$F106)+$S106*(1-$G106))*((1+Inputs!$D$7)^CE$2))))))))</f>
        <v>45.671269841490947</v>
      </c>
      <c r="CF106" s="88">
        <f>MAX(AP106,($E106*IF(CF$2&gt;Inputs!$D$5,0,IF(CF$2&gt;VLOOKUP($H106,Lists!$P$3:$Q$7,2),IF($N106=Lists!$K$3,IF($L106&lt;1,(($U106/$L106)*((1+Inputs!$D$7)^CF$2)),((INT(CF$2/$L106)-INT((CF$2-1)/$L106))*$U106*((1+Inputs!$D$7)^CF$2))),(Inputs!$D$8^((1-_xlfn.WEIBULL.DIST(CF$2,$M106,$L106,FALSE))/_xlfn.WEIBULL.DIST(CF$2,$M106,$L106,FALSE))*$U106*((1+Inputs!$D$7)^CF$2))),IF($N106=Lists!$K$3,IF($L106&lt;1,((($T106*(1-$F106)+$S106*(1-$G106))/$L106)*((1+Inputs!$D$7)^CF$2)),((INT(CF$2/$L106)-INT((CF$2-1)/$L106))*($T106*(1-$F106)+$S106*(1-$G106))*((1+Inputs!$D$7)^CF$2))),((Inputs!$D$8^((1-_xlfn.WEIBULL.DIST(CF$2,$M106,$L106,FALSE))/_xlfn.WEIBULL.DIST(CF$2,$M106,$L106,FALSE))*($T106*(1-$F106)+$S106*(1-$G106))*((1+Inputs!$D$7)^CF$2))))))))</f>
        <v>46.584695238320769</v>
      </c>
      <c r="CG106" s="88">
        <f>MAX(AQ106,($E106*IF(CG$2&gt;Inputs!$D$5,0,IF(CG$2&gt;VLOOKUP($H106,Lists!$P$3:$Q$7,2),IF($N106=Lists!$K$3,IF($L106&lt;1,(($U106/$L106)*((1+Inputs!$D$7)^CG$2)),((INT(CG$2/$L106)-INT((CG$2-1)/$L106))*$U106*((1+Inputs!$D$7)^CG$2))),(Inputs!$D$8^((1-_xlfn.WEIBULL.DIST(CG$2,$M106,$L106,FALSE))/_xlfn.WEIBULL.DIST(CG$2,$M106,$L106,FALSE))*$U106*((1+Inputs!$D$7)^CG$2))),IF($N106=Lists!$K$3,IF($L106&lt;1,((($T106*(1-$F106)+$S106*(1-$G106))/$L106)*((1+Inputs!$D$7)^CG$2)),((INT(CG$2/$L106)-INT((CG$2-1)/$L106))*($T106*(1-$F106)+$S106*(1-$G106))*((1+Inputs!$D$7)^CG$2))),((Inputs!$D$8^((1-_xlfn.WEIBULL.DIST(CG$2,$M106,$L106,FALSE))/_xlfn.WEIBULL.DIST(CG$2,$M106,$L106,FALSE))*($T106*(1-$F106)+$S106*(1-$G106))*((1+Inputs!$D$7)^CG$2))))))))</f>
        <v>47.516389143087189</v>
      </c>
      <c r="CH106" s="88">
        <f>MAX(AR106,($E106*IF(CH$2&gt;Inputs!$D$5,0,IF(CH$2&gt;VLOOKUP($H106,Lists!$P$3:$Q$7,2),IF($N106=Lists!$K$3,IF($L106&lt;1,(($U106/$L106)*((1+Inputs!$D$7)^CH$2)),((INT(CH$2/$L106)-INT((CH$2-1)/$L106))*$U106*((1+Inputs!$D$7)^CH$2))),(Inputs!$D$8^((1-_xlfn.WEIBULL.DIST(CH$2,$M106,$L106,FALSE))/_xlfn.WEIBULL.DIST(CH$2,$M106,$L106,FALSE))*$U106*((1+Inputs!$D$7)^CH$2))),IF($N106=Lists!$K$3,IF($L106&lt;1,((($T106*(1-$F106)+$S106*(1-$G106))/$L106)*((1+Inputs!$D$7)^CH$2)),((INT(CH$2/$L106)-INT((CH$2-1)/$L106))*($T106*(1-$F106)+$S106*(1-$G106))*((1+Inputs!$D$7)^CH$2))),((Inputs!$D$8^((1-_xlfn.WEIBULL.DIST(CH$2,$M106,$L106,FALSE))/_xlfn.WEIBULL.DIST(CH$2,$M106,$L106,FALSE))*($T106*(1-$F106)+$S106*(1-$G106))*((1+Inputs!$D$7)^CH$2))))))))</f>
        <v>48.46671692594893</v>
      </c>
      <c r="CI106" s="88">
        <f>MAX(AS106,($E106*IF(CI$2&gt;Inputs!$D$5,0,IF(CI$2&gt;VLOOKUP($H106,Lists!$P$3:$Q$7,2),IF($N106=Lists!$K$3,IF($L106&lt;1,(($U106/$L106)*((1+Inputs!$D$7)^CI$2)),((INT(CI$2/$L106)-INT((CI$2-1)/$L106))*$U106*((1+Inputs!$D$7)^CI$2))),(Inputs!$D$8^((1-_xlfn.WEIBULL.DIST(CI$2,$M106,$L106,FALSE))/_xlfn.WEIBULL.DIST(CI$2,$M106,$L106,FALSE))*$U106*((1+Inputs!$D$7)^CI$2))),IF($N106=Lists!$K$3,IF($L106&lt;1,((($T106*(1-$F106)+$S106*(1-$G106))/$L106)*((1+Inputs!$D$7)^CI$2)),((INT(CI$2/$L106)-INT((CI$2-1)/$L106))*($T106*(1-$F106)+$S106*(1-$G106))*((1+Inputs!$D$7)^CI$2))),((Inputs!$D$8^((1-_xlfn.WEIBULL.DIST(CI$2,$M106,$L106,FALSE))/_xlfn.WEIBULL.DIST(CI$2,$M106,$L106,FALSE))*($T106*(1-$F106)+$S106*(1-$G106))*((1+Inputs!$D$7)^CI$2))))))))</f>
        <v>49.436051264467906</v>
      </c>
      <c r="CJ106" s="88">
        <f>MAX(AT106,($E106*IF(CJ$2&gt;Inputs!$D$5,0,IF(CJ$2&gt;VLOOKUP($H106,Lists!$P$3:$Q$7,2),IF($N106=Lists!$K$3,IF($L106&lt;1,(($U106/$L106)*((1+Inputs!$D$7)^CJ$2)),((INT(CJ$2/$L106)-INT((CJ$2-1)/$L106))*$U106*((1+Inputs!$D$7)^CJ$2))),(Inputs!$D$8^((1-_xlfn.WEIBULL.DIST(CJ$2,$M106,$L106,FALSE))/_xlfn.WEIBULL.DIST(CJ$2,$M106,$L106,FALSE))*$U106*((1+Inputs!$D$7)^CJ$2))),IF($N106=Lists!$K$3,IF($L106&lt;1,((($T106*(1-$F106)+$S106*(1-$G106))/$L106)*((1+Inputs!$D$7)^CJ$2)),((INT(CJ$2/$L106)-INT((CJ$2-1)/$L106))*($T106*(1-$F106)+$S106*(1-$G106))*((1+Inputs!$D$7)^CJ$2))),((Inputs!$D$8^((1-_xlfn.WEIBULL.DIST(CJ$2,$M106,$L106,FALSE))/_xlfn.WEIBULL.DIST(CJ$2,$M106,$L106,FALSE))*($T106*(1-$F106)+$S106*(1-$G106))*((1+Inputs!$D$7)^CJ$2))))))))</f>
        <v>50.424772289757264</v>
      </c>
      <c r="CK106" s="88">
        <f>MAX(AU106,($E106*IF(CK$2&gt;Inputs!$D$5,0,IF(CK$2&gt;VLOOKUP($H106,Lists!$P$3:$Q$7,2),IF($N106=Lists!$K$3,IF($L106&lt;1,(($U106/$L106)*((1+Inputs!$D$7)^CK$2)),((INT(CK$2/$L106)-INT((CK$2-1)/$L106))*$U106*((1+Inputs!$D$7)^CK$2))),(Inputs!$D$8^((1-_xlfn.WEIBULL.DIST(CK$2,$M106,$L106,FALSE))/_xlfn.WEIBULL.DIST(CK$2,$M106,$L106,FALSE))*$U106*((1+Inputs!$D$7)^CK$2))),IF($N106=Lists!$K$3,IF($L106&lt;1,((($T106*(1-$F106)+$S106*(1-$G106))/$L106)*((1+Inputs!$D$7)^CK$2)),((INT(CK$2/$L106)-INT((CK$2-1)/$L106))*($T106*(1-$F106)+$S106*(1-$G106))*((1+Inputs!$D$7)^CK$2))),((Inputs!$D$8^((1-_xlfn.WEIBULL.DIST(CK$2,$M106,$L106,FALSE))/_xlfn.WEIBULL.DIST(CK$2,$M106,$L106,FALSE))*($T106*(1-$F106)+$S106*(1-$G106))*((1+Inputs!$D$7)^CK$2))))))))</f>
        <v>51.433267735552413</v>
      </c>
      <c r="CL106" s="88">
        <f>MAX(AV106,($E106*IF(CL$2&gt;Inputs!$D$5,0,IF(CL$2&gt;VLOOKUP($H106,Lists!$P$3:$Q$7,2),IF($N106=Lists!$K$3,IF($L106&lt;1,(($U106/$L106)*((1+Inputs!$D$7)^CL$2)),((INT(CL$2/$L106)-INT((CL$2-1)/$L106))*$U106*((1+Inputs!$D$7)^CL$2))),(Inputs!$D$8^((1-_xlfn.WEIBULL.DIST(CL$2,$M106,$L106,FALSE))/_xlfn.WEIBULL.DIST(CL$2,$M106,$L106,FALSE))*$U106*((1+Inputs!$D$7)^CL$2))),IF($N106=Lists!$K$3,IF($L106&lt;1,((($T106*(1-$F106)+$S106*(1-$G106))/$L106)*((1+Inputs!$D$7)^CL$2)),((INT(CL$2/$L106)-INT((CL$2-1)/$L106))*($T106*(1-$F106)+$S106*(1-$G106))*((1+Inputs!$D$7)^CL$2))),((Inputs!$D$8^((1-_xlfn.WEIBULL.DIST(CL$2,$M106,$L106,FALSE))/_xlfn.WEIBULL.DIST(CL$2,$M106,$L106,FALSE))*($T106*(1-$F106)+$S106*(1-$G106))*((1+Inputs!$D$7)^CL$2))))))))</f>
        <v>52.461933090263457</v>
      </c>
      <c r="CM106" s="88">
        <f>MAX(AW106,($E106*IF(CM$2&gt;Inputs!$D$5,0,IF(CM$2&gt;VLOOKUP($H106,Lists!$P$3:$Q$7,2),IF($N106=Lists!$K$3,IF($L106&lt;1,(($U106/$L106)*((1+Inputs!$D$7)^CM$2)),((INT(CM$2/$L106)-INT((CM$2-1)/$L106))*$U106*((1+Inputs!$D$7)^CM$2))),(Inputs!$D$8^((1-_xlfn.WEIBULL.DIST(CM$2,$M106,$L106,FALSE))/_xlfn.WEIBULL.DIST(CM$2,$M106,$L106,FALSE))*$U106*((1+Inputs!$D$7)^CM$2))),IF($N106=Lists!$K$3,IF($L106&lt;1,((($T106*(1-$F106)+$S106*(1-$G106))/$L106)*((1+Inputs!$D$7)^CM$2)),((INT(CM$2/$L106)-INT((CM$2-1)/$L106))*($T106*(1-$F106)+$S106*(1-$G106))*((1+Inputs!$D$7)^CM$2))),((Inputs!$D$8^((1-_xlfn.WEIBULL.DIST(CM$2,$M106,$L106,FALSE))/_xlfn.WEIBULL.DIST(CM$2,$M106,$L106,FALSE))*($T106*(1-$F106)+$S106*(1-$G106))*((1+Inputs!$D$7)^CM$2))))))))</f>
        <v>53.511171752068719</v>
      </c>
      <c r="CN106" s="88">
        <f>MAX(AX106,($E106*IF(CN$2&gt;Inputs!$D$5,0,IF(CN$2&gt;VLOOKUP($H106,Lists!$P$3:$Q$7,2),IF($N106=Lists!$K$3,IF($L106&lt;1,(($U106/$L106)*((1+Inputs!$D$7)^CN$2)),((INT(CN$2/$L106)-INT((CN$2-1)/$L106))*$U106*((1+Inputs!$D$7)^CN$2))),(Inputs!$D$8^((1-_xlfn.WEIBULL.DIST(CN$2,$M106,$L106,FALSE))/_xlfn.WEIBULL.DIST(CN$2,$M106,$L106,FALSE))*$U106*((1+Inputs!$D$7)^CN$2))),IF($N106=Lists!$K$3,IF($L106&lt;1,((($T106*(1-$F106)+$S106*(1-$G106))/$L106)*((1+Inputs!$D$7)^CN$2)),((INT(CN$2/$L106)-INT((CN$2-1)/$L106))*($T106*(1-$F106)+$S106*(1-$G106))*((1+Inputs!$D$7)^CN$2))),((Inputs!$D$8^((1-_xlfn.WEIBULL.DIST(CN$2,$M106,$L106,FALSE))/_xlfn.WEIBULL.DIST(CN$2,$M106,$L106,FALSE))*($T106*(1-$F106)+$S106*(1-$G106))*((1+Inputs!$D$7)^CN$2))))))))</f>
        <v>54.581395187110097</v>
      </c>
      <c r="CO106" s="88">
        <f>MAX(AY106,($E106*IF(CO$2&gt;Inputs!$D$5,0,IF(CO$2&gt;VLOOKUP($H106,Lists!$P$3:$Q$7,2),IF($N106=Lists!$K$3,IF($L106&lt;1,(($U106/$L106)*((1+Inputs!$D$7)^CO$2)),((INT(CO$2/$L106)-INT((CO$2-1)/$L106))*$U106*((1+Inputs!$D$7)^CO$2))),(Inputs!$D$8^((1-_xlfn.WEIBULL.DIST(CO$2,$M106,$L106,FALSE))/_xlfn.WEIBULL.DIST(CO$2,$M106,$L106,FALSE))*$U106*((1+Inputs!$D$7)^CO$2))),IF($N106=Lists!$K$3,IF($L106&lt;1,((($T106*(1-$F106)+$S106*(1-$G106))/$L106)*((1+Inputs!$D$7)^CO$2)),((INT(CO$2/$L106)-INT((CO$2-1)/$L106))*($T106*(1-$F106)+$S106*(1-$G106))*((1+Inputs!$D$7)^CO$2))),((Inputs!$D$8^((1-_xlfn.WEIBULL.DIST(CO$2,$M106,$L106,FALSE))/_xlfn.WEIBULL.DIST(CO$2,$M106,$L106,FALSE))*($T106*(1-$F106)+$S106*(1-$G106))*((1+Inputs!$D$7)^CO$2))))))))</f>
        <v>55.673023090852297</v>
      </c>
      <c r="CP106" s="88">
        <f>MAX(AZ106,($E106*IF(CP$2&gt;Inputs!$D$5,0,IF(CP$2&gt;VLOOKUP($H106,Lists!$P$3:$Q$7,2),IF($N106=Lists!$K$3,IF($L106&lt;1,(($U106/$L106)*((1+Inputs!$D$7)^CP$2)),((INT(CP$2/$L106)-INT((CP$2-1)/$L106))*$U106*((1+Inputs!$D$7)^CP$2))),(Inputs!$D$8^((1-_xlfn.WEIBULL.DIST(CP$2,$M106,$L106,FALSE))/_xlfn.WEIBULL.DIST(CP$2,$M106,$L106,FALSE))*$U106*((1+Inputs!$D$7)^CP$2))),IF($N106=Lists!$K$3,IF($L106&lt;1,((($T106*(1-$F106)+$S106*(1-$G106))/$L106)*((1+Inputs!$D$7)^CP$2)),((INT(CP$2/$L106)-INT((CP$2-1)/$L106))*($T106*(1-$F106)+$S106*(1-$G106))*((1+Inputs!$D$7)^CP$2))),((Inputs!$D$8^((1-_xlfn.WEIBULL.DIST(CP$2,$M106,$L106,FALSE))/_xlfn.WEIBULL.DIST(CP$2,$M106,$L106,FALSE))*($T106*(1-$F106)+$S106*(1-$G106))*((1+Inputs!$D$7)^CP$2))))))))</f>
        <v>0</v>
      </c>
      <c r="CQ106" s="88">
        <f>MAX(BA106,($E106*IF(CQ$2&gt;Inputs!$D$5,0,IF(CQ$2&gt;VLOOKUP($H106,Lists!$P$3:$Q$7,2),IF($N106=Lists!$K$3,IF($L106&lt;1,(($U106/$L106)*((1+Inputs!$D$7)^CQ$2)),((INT(CQ$2/$L106)-INT((CQ$2-1)/$L106))*$U106*((1+Inputs!$D$7)^CQ$2))),(Inputs!$D$8^((1-_xlfn.WEIBULL.DIST(CQ$2,$M106,$L106,FALSE))/_xlfn.WEIBULL.DIST(CQ$2,$M106,$L106,FALSE))*$U106*((1+Inputs!$D$7)^CQ$2))),IF($N106=Lists!$K$3,IF($L106&lt;1,((($T106*(1-$F106)+$S106*(1-$G106))/$L106)*((1+Inputs!$D$7)^CQ$2)),((INT(CQ$2/$L106)-INT((CQ$2-1)/$L106))*($T106*(1-$F106)+$S106*(1-$G106))*((1+Inputs!$D$7)^CQ$2))),((Inputs!$D$8^((1-_xlfn.WEIBULL.DIST(CQ$2,$M106,$L106,FALSE))/_xlfn.WEIBULL.DIST(CQ$2,$M106,$L106,FALSE))*($T106*(1-$F106)+$S106*(1-$G106))*((1+Inputs!$D$7)^CQ$2))))))))</f>
        <v>0</v>
      </c>
      <c r="CR106" s="88">
        <f>MAX(BB106,($E106*IF(CR$2&gt;Inputs!$D$5,0,IF(CR$2&gt;VLOOKUP($H106,Lists!$P$3:$Q$7,2),IF($N106=Lists!$K$3,IF($L106&lt;1,(($U106/$L106)*((1+Inputs!$D$7)^CR$2)),((INT(CR$2/$L106)-INT((CR$2-1)/$L106))*$U106*((1+Inputs!$D$7)^CR$2))),(Inputs!$D$8^((1-_xlfn.WEIBULL.DIST(CR$2,$M106,$L106,FALSE))/_xlfn.WEIBULL.DIST(CR$2,$M106,$L106,FALSE))*$U106*((1+Inputs!$D$7)^CR$2))),IF($N106=Lists!$K$3,IF($L106&lt;1,((($T106*(1-$F106)+$S106*(1-$G106))/$L106)*((1+Inputs!$D$7)^CR$2)),((INT(CR$2/$L106)-INT((CR$2-1)/$L106))*($T106*(1-$F106)+$S106*(1-$G106))*((1+Inputs!$D$7)^CR$2))),((Inputs!$D$8^((1-_xlfn.WEIBULL.DIST(CR$2,$M106,$L106,FALSE))/_xlfn.WEIBULL.DIST(CR$2,$M106,$L106,FALSE))*($T106*(1-$F106)+$S106*(1-$G106))*((1+Inputs!$D$7)^CR$2))))))))</f>
        <v>0</v>
      </c>
      <c r="CS106" s="88">
        <f>MAX(BC106,($E106*IF(CS$2&gt;Inputs!$D$5,0,IF(CS$2&gt;VLOOKUP($H106,Lists!$P$3:$Q$7,2),IF($N106=Lists!$K$3,IF($L106&lt;1,(($U106/$L106)*((1+Inputs!$D$7)^CS$2)),((INT(CS$2/$L106)-INT((CS$2-1)/$L106))*$U106*((1+Inputs!$D$7)^CS$2))),(Inputs!$D$8^((1-_xlfn.WEIBULL.DIST(CS$2,$M106,$L106,FALSE))/_xlfn.WEIBULL.DIST(CS$2,$M106,$L106,FALSE))*$U106*((1+Inputs!$D$7)^CS$2))),IF($N106=Lists!$K$3,IF($L106&lt;1,((($T106*(1-$F106)+$S106*(1-$G106))/$L106)*((1+Inputs!$D$7)^CS$2)),((INT(CS$2/$L106)-INT((CS$2-1)/$L106))*($T106*(1-$F106)+$S106*(1-$G106))*((1+Inputs!$D$7)^CS$2))),((Inputs!$D$8^((1-_xlfn.WEIBULL.DIST(CS$2,$M106,$L106,FALSE))/_xlfn.WEIBULL.DIST(CS$2,$M106,$L106,FALSE))*($T106*(1-$F106)+$S106*(1-$G106))*((1+Inputs!$D$7)^CS$2))))))))</f>
        <v>0</v>
      </c>
      <c r="CT106" s="88">
        <f>MAX(BD106,($E106*IF(CT$2&gt;Inputs!$D$5,0,IF(CT$2&gt;VLOOKUP($H106,Lists!$P$3:$Q$7,2),IF($N106=Lists!$K$3,IF($L106&lt;1,(($U106/$L106)*((1+Inputs!$D$7)^CT$2)),((INT(CT$2/$L106)-INT((CT$2-1)/$L106))*$U106*((1+Inputs!$D$7)^CT$2))),(Inputs!$D$8^((1-_xlfn.WEIBULL.DIST(CT$2,$M106,$L106,FALSE))/_xlfn.WEIBULL.DIST(CT$2,$M106,$L106,FALSE))*$U106*((1+Inputs!$D$7)^CT$2))),IF($N106=Lists!$K$3,IF($L106&lt;1,((($T106*(1-$F106)+$S106*(1-$G106))/$L106)*((1+Inputs!$D$7)^CT$2)),((INT(CT$2/$L106)-INT((CT$2-1)/$L106))*($T106*(1-$F106)+$S106*(1-$G106))*((1+Inputs!$D$7)^CT$2))),((Inputs!$D$8^((1-_xlfn.WEIBULL.DIST(CT$2,$M106,$L106,FALSE))/_xlfn.WEIBULL.DIST(CT$2,$M106,$L106,FALSE))*($T106*(1-$F106)+$S106*(1-$G106))*((1+Inputs!$D$7)^CT$2))))))))</f>
        <v>0</v>
      </c>
      <c r="CU106" s="88">
        <f>MAX(BE106,($E106*IF(CU$2&gt;Inputs!$D$5,0,IF(CU$2&gt;VLOOKUP($H106,Lists!$P$3:$Q$7,2),IF($N106=Lists!$K$3,IF($L106&lt;1,(($U106/$L106)*((1+Inputs!$D$7)^CU$2)),((INT(CU$2/$L106)-INT((CU$2-1)/$L106))*$U106*((1+Inputs!$D$7)^CU$2))),(Inputs!$D$8^((1-_xlfn.WEIBULL.DIST(CU$2,$M106,$L106,FALSE))/_xlfn.WEIBULL.DIST(CU$2,$M106,$L106,FALSE))*$U106*((1+Inputs!$D$7)^CU$2))),IF($N106=Lists!$K$3,IF($L106&lt;1,((($T106*(1-$F106)+$S106*(1-$G106))/$L106)*((1+Inputs!$D$7)^CU$2)),((INT(CU$2/$L106)-INT((CU$2-1)/$L106))*($T106*(1-$F106)+$S106*(1-$G106))*((1+Inputs!$D$7)^CU$2))),((Inputs!$D$8^((1-_xlfn.WEIBULL.DIST(CU$2,$M106,$L106,FALSE))/_xlfn.WEIBULL.DIST(CU$2,$M106,$L106,FALSE))*($T106*(1-$F106)+$S106*(1-$G106))*((1+Inputs!$D$7)^CU$2))))))))</f>
        <v>0</v>
      </c>
      <c r="CV106" s="88">
        <f>MAX(BF106,($E106*IF(CV$2&gt;Inputs!$D$5,0,IF(CV$2&gt;VLOOKUP($H106,Lists!$P$3:$Q$7,2),IF($N106=Lists!$K$3,IF($L106&lt;1,(($U106/$L106)*((1+Inputs!$D$7)^CV$2)),((INT(CV$2/$L106)-INT((CV$2-1)/$L106))*$U106*((1+Inputs!$D$7)^CV$2))),(Inputs!$D$8^((1-_xlfn.WEIBULL.DIST(CV$2,$M106,$L106,FALSE))/_xlfn.WEIBULL.DIST(CV$2,$M106,$L106,FALSE))*$U106*((1+Inputs!$D$7)^CV$2))),IF($N106=Lists!$K$3,IF($L106&lt;1,((($T106*(1-$F106)+$S106*(1-$G106))/$L106)*((1+Inputs!$D$7)^CV$2)),((INT(CV$2/$L106)-INT((CV$2-1)/$L106))*($T106*(1-$F106)+$S106*(1-$G106))*((1+Inputs!$D$7)^CV$2))),((Inputs!$D$8^((1-_xlfn.WEIBULL.DIST(CV$2,$M106,$L106,FALSE))/_xlfn.WEIBULL.DIST(CV$2,$M106,$L106,FALSE))*($T106*(1-$F106)+$S106*(1-$G106))*((1+Inputs!$D$7)^CV$2))))))))</f>
        <v>0</v>
      </c>
      <c r="CW106" s="88">
        <f>MAX(BG106,($E106*IF(CW$2&gt;Inputs!$D$5,0,IF(CW$2&gt;VLOOKUP($H106,Lists!$P$3:$Q$7,2),IF($N106=Lists!$K$3,IF($L106&lt;1,(($U106/$L106)*((1+Inputs!$D$7)^CW$2)),((INT(CW$2/$L106)-INT((CW$2-1)/$L106))*$U106*((1+Inputs!$D$7)^CW$2))),(Inputs!$D$8^((1-_xlfn.WEIBULL.DIST(CW$2,$M106,$L106,FALSE))/_xlfn.WEIBULL.DIST(CW$2,$M106,$L106,FALSE))*$U106*((1+Inputs!$D$7)^CW$2))),IF($N106=Lists!$K$3,IF($L106&lt;1,((($T106*(1-$F106)+$S106*(1-$G106))/$L106)*((1+Inputs!$D$7)^CW$2)),((INT(CW$2/$L106)-INT((CW$2-1)/$L106))*($T106*(1-$F106)+$S106*(1-$G106))*((1+Inputs!$D$7)^CW$2))),((Inputs!$D$8^((1-_xlfn.WEIBULL.DIST(CW$2,$M106,$L106,FALSE))/_xlfn.WEIBULL.DIST(CW$2,$M106,$L106,FALSE))*($T106*(1-$F106)+$S106*(1-$G106))*((1+Inputs!$D$7)^CW$2))))))))</f>
        <v>0</v>
      </c>
      <c r="CX106" s="88">
        <f>MAX(BH106,($E106*IF(CX$2&gt;Inputs!$D$5,0,IF(CX$2&gt;VLOOKUP($H106,Lists!$P$3:$Q$7,2),IF($N106=Lists!$K$3,IF($L106&lt;1,(($U106/$L106)*((1+Inputs!$D$7)^CX$2)),((INT(CX$2/$L106)-INT((CX$2-1)/$L106))*$U106*((1+Inputs!$D$7)^CX$2))),(Inputs!$D$8^((1-_xlfn.WEIBULL.DIST(CX$2,$M106,$L106,FALSE))/_xlfn.WEIBULL.DIST(CX$2,$M106,$L106,FALSE))*$U106*((1+Inputs!$D$7)^CX$2))),IF($N106=Lists!$K$3,IF($L106&lt;1,((($T106*(1-$F106)+$S106*(1-$G106))/$L106)*((1+Inputs!$D$7)^CX$2)),((INT(CX$2/$L106)-INT((CX$2-1)/$L106))*($T106*(1-$F106)+$S106*(1-$G106))*((1+Inputs!$D$7)^CX$2))),((Inputs!$D$8^((1-_xlfn.WEIBULL.DIST(CX$2,$M106,$L106,FALSE))/_xlfn.WEIBULL.DIST(CX$2,$M106,$L106,FALSE))*($T106*(1-$F106)+$S106*(1-$G106))*((1+Inputs!$D$7)^CX$2))))))))</f>
        <v>0</v>
      </c>
      <c r="CY106" s="88">
        <f>MAX(BI106,($E106*IF(CY$2&gt;Inputs!$D$5,0,IF(CY$2&gt;VLOOKUP($H106,Lists!$P$3:$Q$7,2),IF($N106=Lists!$K$3,IF($L106&lt;1,(($U106/$L106)*((1+Inputs!$D$7)^CY$2)),((INT(CY$2/$L106)-INT((CY$2-1)/$L106))*$U106*((1+Inputs!$D$7)^CY$2))),(Inputs!$D$8^((1-_xlfn.WEIBULL.DIST(CY$2,$M106,$L106,FALSE))/_xlfn.WEIBULL.DIST(CY$2,$M106,$L106,FALSE))*$U106*((1+Inputs!$D$7)^CY$2))),IF($N106=Lists!$K$3,IF($L106&lt;1,((($T106*(1-$F106)+$S106*(1-$G106))/$L106)*((1+Inputs!$D$7)^CY$2)),((INT(CY$2/$L106)-INT((CY$2-1)/$L106))*($T106*(1-$F106)+$S106*(1-$G106))*((1+Inputs!$D$7)^CY$2))),((Inputs!$D$8^((1-_xlfn.WEIBULL.DIST(CY$2,$M106,$L106,FALSE))/_xlfn.WEIBULL.DIST(CY$2,$M106,$L106,FALSE))*($T106*(1-$F106)+$S106*(1-$G106))*((1+Inputs!$D$7)^CY$2))))))))</f>
        <v>0</v>
      </c>
      <c r="CZ106" s="88">
        <f>MAX(BJ106,($E106*IF(CZ$2&gt;Inputs!$D$5,0,IF(CZ$2&gt;VLOOKUP($H106,Lists!$P$3:$Q$7,2),IF($N106=Lists!$K$3,IF($L106&lt;1,(($U106/$L106)*((1+Inputs!$D$7)^CZ$2)),((INT(CZ$2/$L106)-INT((CZ$2-1)/$L106))*$U106*((1+Inputs!$D$7)^CZ$2))),(Inputs!$D$8^((1-_xlfn.WEIBULL.DIST(CZ$2,$M106,$L106,FALSE))/_xlfn.WEIBULL.DIST(CZ$2,$M106,$L106,FALSE))*$U106*((1+Inputs!$D$7)^CZ$2))),IF($N106=Lists!$K$3,IF($L106&lt;1,((($T106*(1-$F106)+$S106*(1-$G106))/$L106)*((1+Inputs!$D$7)^CZ$2)),((INT(CZ$2/$L106)-INT((CZ$2-1)/$L106))*($T106*(1-$F106)+$S106*(1-$G106))*((1+Inputs!$D$7)^CZ$2))),((Inputs!$D$8^((1-_xlfn.WEIBULL.DIST(CZ$2,$M106,$L106,FALSE))/_xlfn.WEIBULL.DIST(CZ$2,$M106,$L106,FALSE))*($T106*(1-$F106)+$S106*(1-$G106))*((1+Inputs!$D$7)^CZ$2))))))))</f>
        <v>0</v>
      </c>
      <c r="DA106" s="88">
        <f>MAX(BK106,($E106*IF(DA$2&gt;Inputs!$D$5,0,IF(DA$2&gt;VLOOKUP($H106,Lists!$P$3:$Q$7,2),IF($N106=Lists!$K$3,IF($L106&lt;1,(($U106/$L106)*((1+Inputs!$D$7)^DA$2)),((INT(DA$2/$L106)-INT((DA$2-1)/$L106))*$U106*((1+Inputs!$D$7)^DA$2))),(Inputs!$D$8^((1-_xlfn.WEIBULL.DIST(DA$2,$M106,$L106,FALSE))/_xlfn.WEIBULL.DIST(DA$2,$M106,$L106,FALSE))*$U106*((1+Inputs!$D$7)^DA$2))),IF($N106=Lists!$K$3,IF($L106&lt;1,((($T106*(1-$F106)+$S106*(1-$G106))/$L106)*((1+Inputs!$D$7)^DA$2)),((INT(DA$2/$L106)-INT((DA$2-1)/$L106))*($T106*(1-$F106)+$S106*(1-$G106))*((1+Inputs!$D$7)^DA$2))),((Inputs!$D$8^((1-_xlfn.WEIBULL.DIST(DA$2,$M106,$L106,FALSE))/_xlfn.WEIBULL.DIST(DA$2,$M106,$L106,FALSE))*($T106*(1-$F106)+$S106*(1-$G106))*((1+Inputs!$D$7)^DA$2))))))))</f>
        <v>0</v>
      </c>
      <c r="DB106" s="88">
        <f>MAX(BL106,($E106*IF(DB$2&gt;Inputs!$D$5,0,IF(DB$2&gt;VLOOKUP($H106,Lists!$P$3:$Q$7,2),IF($N106=Lists!$K$3,IF($L106&lt;1,(($U106/$L106)*((1+Inputs!$D$7)^DB$2)),((INT(DB$2/$L106)-INT((DB$2-1)/$L106))*$U106*((1+Inputs!$D$7)^DB$2))),(Inputs!$D$8^((1-_xlfn.WEIBULL.DIST(DB$2,$M106,$L106,FALSE))/_xlfn.WEIBULL.DIST(DB$2,$M106,$L106,FALSE))*$U106*((1+Inputs!$D$7)^DB$2))),IF($N106=Lists!$K$3,IF($L106&lt;1,((($T106*(1-$F106)+$S106*(1-$G106))/$L106)*((1+Inputs!$D$7)^DB$2)),((INT(DB$2/$L106)-INT((DB$2-1)/$L106))*($T106*(1-$F106)+$S106*(1-$G106))*((1+Inputs!$D$7)^DB$2))),((Inputs!$D$8^((1-_xlfn.WEIBULL.DIST(DB$2,$M106,$L106,FALSE))/_xlfn.WEIBULL.DIST(DB$2,$M106,$L106,FALSE))*($T106*(1-$F106)+$S106*(1-$G106))*((1+Inputs!$D$7)^DB$2))))))))</f>
        <v>0</v>
      </c>
      <c r="DC106" s="88">
        <f>MAX(BM106,($E106*IF(DC$2&gt;Inputs!$D$5,0,IF(DC$2&gt;VLOOKUP($H106,Lists!$P$3:$Q$7,2),IF($N106=Lists!$K$3,IF($L106&lt;1,(($U106/$L106)*((1+Inputs!$D$7)^DC$2)),((INT(DC$2/$L106)-INT((DC$2-1)/$L106))*$U106*((1+Inputs!$D$7)^DC$2))),(Inputs!$D$8^((1-_xlfn.WEIBULL.DIST(DC$2,$M106,$L106,FALSE))/_xlfn.WEIBULL.DIST(DC$2,$M106,$L106,FALSE))*$U106*((1+Inputs!$D$7)^DC$2))),IF($N106=Lists!$K$3,IF($L106&lt;1,((($T106*(1-$F106)+$S106*(1-$G106))/$L106)*((1+Inputs!$D$7)^DC$2)),((INT(DC$2/$L106)-INT((DC$2-1)/$L106))*($T106*(1-$F106)+$S106*(1-$G106))*((1+Inputs!$D$7)^DC$2))),((Inputs!$D$8^((1-_xlfn.WEIBULL.DIST(DC$2,$M106,$L106,FALSE))/_xlfn.WEIBULL.DIST(DC$2,$M106,$L106,FALSE))*($T106*(1-$F106)+$S106*(1-$G106))*((1+Inputs!$D$7)^DC$2))))))))</f>
        <v>0</v>
      </c>
      <c r="DD106" s="88">
        <f>MAX(BN106,($E106*IF(DD$2&gt;Inputs!$D$5,0,IF(DD$2&gt;VLOOKUP($H106,Lists!$P$3:$Q$7,2),IF($N106=Lists!$K$3,IF($L106&lt;1,(($U106/$L106)*((1+Inputs!$D$7)^DD$2)),((INT(DD$2/$L106)-INT((DD$2-1)/$L106))*$U106*((1+Inputs!$D$7)^DD$2))),(Inputs!$D$8^((1-_xlfn.WEIBULL.DIST(DD$2,$M106,$L106,FALSE))/_xlfn.WEIBULL.DIST(DD$2,$M106,$L106,FALSE))*$U106*((1+Inputs!$D$7)^DD$2))),IF($N106=Lists!$K$3,IF($L106&lt;1,((($T106*(1-$F106)+$S106*(1-$G106))/$L106)*((1+Inputs!$D$7)^DD$2)),((INT(DD$2/$L106)-INT((DD$2-1)/$L106))*($T106*(1-$F106)+$S106*(1-$G106))*((1+Inputs!$D$7)^DD$2))),((Inputs!$D$8^((1-_xlfn.WEIBULL.DIST(DD$2,$M106,$L106,FALSE))/_xlfn.WEIBULL.DIST(DD$2,$M106,$L106,FALSE))*($T106*(1-$F106)+$S106*(1-$G106))*((1+Inputs!$D$7)^DD$2))))))))</f>
        <v>0</v>
      </c>
    </row>
    <row r="107" spans="1:108" ht="48">
      <c r="A107" s="57" t="s">
        <v>140</v>
      </c>
      <c r="B107" s="13" t="s">
        <v>279</v>
      </c>
      <c r="C107" s="13" t="s">
        <v>90</v>
      </c>
      <c r="D107" s="13" t="s">
        <v>165</v>
      </c>
      <c r="E107" s="48">
        <v>0</v>
      </c>
      <c r="F107" s="48">
        <v>0</v>
      </c>
      <c r="G107" s="48">
        <v>0</v>
      </c>
      <c r="H107" s="105" t="s">
        <v>350</v>
      </c>
      <c r="I107" s="14"/>
      <c r="J107" s="14" t="s">
        <v>246</v>
      </c>
      <c r="K107" s="13">
        <f>VLOOKUP(J107,'Labor Rates'!$A$1:$F$16,2)</f>
        <v>33.119999999999997</v>
      </c>
      <c r="L107" s="15">
        <v>1</v>
      </c>
      <c r="M107" s="15">
        <v>1</v>
      </c>
      <c r="N107" s="13" t="s">
        <v>236</v>
      </c>
      <c r="O107" s="61">
        <v>1</v>
      </c>
      <c r="P107" s="15">
        <v>1</v>
      </c>
      <c r="Q107" s="15">
        <f t="shared" si="21"/>
        <v>1</v>
      </c>
      <c r="R107" s="4">
        <v>0</v>
      </c>
      <c r="S107" s="53">
        <f t="shared" si="22"/>
        <v>33.119999999999997</v>
      </c>
      <c r="T107" s="53">
        <f t="shared" si="23"/>
        <v>0</v>
      </c>
      <c r="U107" s="54">
        <f t="shared" si="24"/>
        <v>0</v>
      </c>
      <c r="V107" s="65"/>
      <c r="W107" s="58"/>
      <c r="X107" s="64">
        <f t="shared" si="25"/>
        <v>0</v>
      </c>
      <c r="Y107" s="64">
        <f>NPV(Inputs!$D$6,AA107:BN107)</f>
        <v>0</v>
      </c>
      <c r="Z107" s="67">
        <f t="shared" si="26"/>
        <v>0</v>
      </c>
      <c r="AA107" s="88">
        <f>$E107*IF(AA$2&gt;Inputs!$D$5,0,IF(AA$2&gt;VLOOKUP($H107,Lists!$P$3:$Q$7,2),IF($N107=Lists!$K$3,IF($L107&lt;1,(($U107/$L107)*((1+Inputs!$D$7)^AA$2)),((INT(AA$2/$L107)-INT((AA$2-1)/$L107))*$U107*((1+Inputs!$D$7)^AA$2))),(_xlfn.WEIBULL.DIST(AA$2,$M107,$L107,FALSE)*$U107*((1+Inputs!$D$7)^AA$2))),IF($N107=Lists!$K$3,IF($L107&lt;1,((($T107*(1-$F107)+$S107*(1-$G107))/$L107)*((1+Inputs!$D$7)^AA$2)),((INT(AA$2/$L107)-INT((AA$2-1)/$L107))*($T107*(1-$F107)+$S107*(1-$G107))*((1+Inputs!$D$7)^AA$2))),((_xlfn.WEIBULL.DIST(AA$2,$M107,$L107,FALSE)*($T107*(1-$F107)+$S107*(1-$G107))*((1+Inputs!$D$7)^AA$2))))))</f>
        <v>0</v>
      </c>
      <c r="AB107" s="88">
        <f>$E107*IF(AB$2&gt;Inputs!$D$5,0,IF(AB$2&gt;VLOOKUP($H107,Lists!$P$3:$Q$7,2),IF($N107=Lists!$K$3,IF($L107&lt;1,(($U107/$L107)*((1+Inputs!$D$7)^AB$2)),((INT(AB$2/$L107)-INT((AB$2-1)/$L107))*$U107*((1+Inputs!$D$7)^AB$2))),(_xlfn.WEIBULL.DIST(AB$2,$M107,$L107,FALSE)*$U107*((1+Inputs!$D$7)^AB$2))),IF($N107=Lists!$K$3,IF($L107&lt;1,((($T107*(1-$F107)+$S107*(1-$G107))/$L107)*((1+Inputs!$D$7)^AB$2)),((INT(AB$2/$L107)-INT((AB$2-1)/$L107))*($T107*(1-$F107)+$S107*(1-$G107))*((1+Inputs!$D$7)^AB$2))),((_xlfn.WEIBULL.DIST(AB$2,$M107,$L107,FALSE)*($T107*(1-$F107)+$S107*(1-$G107))*((1+Inputs!$D$7)^AB$2))))))</f>
        <v>0</v>
      </c>
      <c r="AC107" s="88">
        <f>$E107*IF(AC$2&gt;Inputs!$D$5,0,IF(AC$2&gt;VLOOKUP($H107,Lists!$P$3:$Q$7,2),IF($N107=Lists!$K$3,IF($L107&lt;1,(($U107/$L107)*((1+Inputs!$D$7)^AC$2)),((INT(AC$2/$L107)-INT((AC$2-1)/$L107))*$U107*((1+Inputs!$D$7)^AC$2))),(_xlfn.WEIBULL.DIST(AC$2,$M107,$L107,FALSE)*$U107*((1+Inputs!$D$7)^AC$2))),IF($N107=Lists!$K$3,IF($L107&lt;1,((($T107*(1-$F107)+$S107*(1-$G107))/$L107)*((1+Inputs!$D$7)^AC$2)),((INT(AC$2/$L107)-INT((AC$2-1)/$L107))*($T107*(1-$F107)+$S107*(1-$G107))*((1+Inputs!$D$7)^AC$2))),((_xlfn.WEIBULL.DIST(AC$2,$M107,$L107,FALSE)*($T107*(1-$F107)+$S107*(1-$G107))*((1+Inputs!$D$7)^AC$2))))))</f>
        <v>0</v>
      </c>
      <c r="AD107" s="88">
        <f>$E107*IF(AD$2&gt;Inputs!$D$5,0,IF(AD$2&gt;VLOOKUP($H107,Lists!$P$3:$Q$7,2),IF($N107=Lists!$K$3,IF($L107&lt;1,(($U107/$L107)*((1+Inputs!$D$7)^AD$2)),((INT(AD$2/$L107)-INT((AD$2-1)/$L107))*$U107*((1+Inputs!$D$7)^AD$2))),(_xlfn.WEIBULL.DIST(AD$2,$M107,$L107,FALSE)*$U107*((1+Inputs!$D$7)^AD$2))),IF($N107=Lists!$K$3,IF($L107&lt;1,((($T107*(1-$F107)+$S107*(1-$G107))/$L107)*((1+Inputs!$D$7)^AD$2)),((INT(AD$2/$L107)-INT((AD$2-1)/$L107))*($T107*(1-$F107)+$S107*(1-$G107))*((1+Inputs!$D$7)^AD$2))),((_xlfn.WEIBULL.DIST(AD$2,$M107,$L107,FALSE)*($T107*(1-$F107)+$S107*(1-$G107))*((1+Inputs!$D$7)^AD$2))))))</f>
        <v>0</v>
      </c>
      <c r="AE107" s="88">
        <f>$E107*IF(AE$2&gt;Inputs!$D$5,0,IF(AE$2&gt;VLOOKUP($H107,Lists!$P$3:$Q$7,2),IF($N107=Lists!$K$3,IF($L107&lt;1,(($U107/$L107)*((1+Inputs!$D$7)^AE$2)),((INT(AE$2/$L107)-INT((AE$2-1)/$L107))*$U107*((1+Inputs!$D$7)^AE$2))),(_xlfn.WEIBULL.DIST(AE$2,$M107,$L107,FALSE)*$U107*((1+Inputs!$D$7)^AE$2))),IF($N107=Lists!$K$3,IF($L107&lt;1,((($T107*(1-$F107)+$S107*(1-$G107))/$L107)*((1+Inputs!$D$7)^AE$2)),((INT(AE$2/$L107)-INT((AE$2-1)/$L107))*($T107*(1-$F107)+$S107*(1-$G107))*((1+Inputs!$D$7)^AE$2))),((_xlfn.WEIBULL.DIST(AE$2,$M107,$L107,FALSE)*($T107*(1-$F107)+$S107*(1-$G107))*((1+Inputs!$D$7)^AE$2))))))</f>
        <v>0</v>
      </c>
      <c r="AF107" s="88">
        <f>$E107*IF(AF$2&gt;Inputs!$D$5,0,IF(AF$2&gt;VLOOKUP($H107,Lists!$P$3:$Q$7,2),IF($N107=Lists!$K$3,IF($L107&lt;1,(($U107/$L107)*((1+Inputs!$D$7)^AF$2)),((INT(AF$2/$L107)-INT((AF$2-1)/$L107))*$U107*((1+Inputs!$D$7)^AF$2))),(_xlfn.WEIBULL.DIST(AF$2,$M107,$L107,FALSE)*$U107*((1+Inputs!$D$7)^AF$2))),IF($N107=Lists!$K$3,IF($L107&lt;1,((($T107*(1-$F107)+$S107*(1-$G107))/$L107)*((1+Inputs!$D$7)^AF$2)),((INT(AF$2/$L107)-INT((AF$2-1)/$L107))*($T107*(1-$F107)+$S107*(1-$G107))*((1+Inputs!$D$7)^AF$2))),((_xlfn.WEIBULL.DIST(AF$2,$M107,$L107,FALSE)*($T107*(1-$F107)+$S107*(1-$G107))*((1+Inputs!$D$7)^AF$2))))))</f>
        <v>0</v>
      </c>
      <c r="AG107" s="88">
        <f>$E107*IF(AG$2&gt;Inputs!$D$5,0,IF(AG$2&gt;VLOOKUP($H107,Lists!$P$3:$Q$7,2),IF($N107=Lists!$K$3,IF($L107&lt;1,(($U107/$L107)*((1+Inputs!$D$7)^AG$2)),((INT(AG$2/$L107)-INT((AG$2-1)/$L107))*$U107*((1+Inputs!$D$7)^AG$2))),(_xlfn.WEIBULL.DIST(AG$2,$M107,$L107,FALSE)*$U107*((1+Inputs!$D$7)^AG$2))),IF($N107=Lists!$K$3,IF($L107&lt;1,((($T107*(1-$F107)+$S107*(1-$G107))/$L107)*((1+Inputs!$D$7)^AG$2)),((INT(AG$2/$L107)-INT((AG$2-1)/$L107))*($T107*(1-$F107)+$S107*(1-$G107))*((1+Inputs!$D$7)^AG$2))),((_xlfn.WEIBULL.DIST(AG$2,$M107,$L107,FALSE)*($T107*(1-$F107)+$S107*(1-$G107))*((1+Inputs!$D$7)^AG$2))))))</f>
        <v>0</v>
      </c>
      <c r="AH107" s="88">
        <f>$E107*IF(AH$2&gt;Inputs!$D$5,0,IF(AH$2&gt;VLOOKUP($H107,Lists!$P$3:$Q$7,2),IF($N107=Lists!$K$3,IF($L107&lt;1,(($U107/$L107)*((1+Inputs!$D$7)^AH$2)),((INT(AH$2/$L107)-INT((AH$2-1)/$L107))*$U107*((1+Inputs!$D$7)^AH$2))),(_xlfn.WEIBULL.DIST(AH$2,$M107,$L107,FALSE)*$U107*((1+Inputs!$D$7)^AH$2))),IF($N107=Lists!$K$3,IF($L107&lt;1,((($T107*(1-$F107)+$S107*(1-$G107))/$L107)*((1+Inputs!$D$7)^AH$2)),((INT(AH$2/$L107)-INT((AH$2-1)/$L107))*($T107*(1-$F107)+$S107*(1-$G107))*((1+Inputs!$D$7)^AH$2))),((_xlfn.WEIBULL.DIST(AH$2,$M107,$L107,FALSE)*($T107*(1-$F107)+$S107*(1-$G107))*((1+Inputs!$D$7)^AH$2))))))</f>
        <v>0</v>
      </c>
      <c r="AI107" s="88">
        <f>$E107*IF(AI$2&gt;Inputs!$D$5,0,IF(AI$2&gt;VLOOKUP($H107,Lists!$P$3:$Q$7,2),IF($N107=Lists!$K$3,IF($L107&lt;1,(($U107/$L107)*((1+Inputs!$D$7)^AI$2)),((INT(AI$2/$L107)-INT((AI$2-1)/$L107))*$U107*((1+Inputs!$D$7)^AI$2))),(_xlfn.WEIBULL.DIST(AI$2,$M107,$L107,FALSE)*$U107*((1+Inputs!$D$7)^AI$2))),IF($N107=Lists!$K$3,IF($L107&lt;1,((($T107*(1-$F107)+$S107*(1-$G107))/$L107)*((1+Inputs!$D$7)^AI$2)),((INT(AI$2/$L107)-INT((AI$2-1)/$L107))*($T107*(1-$F107)+$S107*(1-$G107))*((1+Inputs!$D$7)^AI$2))),((_xlfn.WEIBULL.DIST(AI$2,$M107,$L107,FALSE)*($T107*(1-$F107)+$S107*(1-$G107))*((1+Inputs!$D$7)^AI$2))))))</f>
        <v>0</v>
      </c>
      <c r="AJ107" s="88">
        <f>$E107*IF(AJ$2&gt;Inputs!$D$5,0,IF(AJ$2&gt;VLOOKUP($H107,Lists!$P$3:$Q$7,2),IF($N107=Lists!$K$3,IF($L107&lt;1,(($U107/$L107)*((1+Inputs!$D$7)^AJ$2)),((INT(AJ$2/$L107)-INT((AJ$2-1)/$L107))*$U107*((1+Inputs!$D$7)^AJ$2))),(_xlfn.WEIBULL.DIST(AJ$2,$M107,$L107,FALSE)*$U107*((1+Inputs!$D$7)^AJ$2))),IF($N107=Lists!$K$3,IF($L107&lt;1,((($T107*(1-$F107)+$S107*(1-$G107))/$L107)*((1+Inputs!$D$7)^AJ$2)),((INT(AJ$2/$L107)-INT((AJ$2-1)/$L107))*($T107*(1-$F107)+$S107*(1-$G107))*((1+Inputs!$D$7)^AJ$2))),((_xlfn.WEIBULL.DIST(AJ$2,$M107,$L107,FALSE)*($T107*(1-$F107)+$S107*(1-$G107))*((1+Inputs!$D$7)^AJ$2))))))</f>
        <v>0</v>
      </c>
      <c r="AK107" s="88">
        <f>$E107*IF(AK$2&gt;Inputs!$D$5,0,IF(AK$2&gt;VLOOKUP($H107,Lists!$P$3:$Q$7,2),IF($N107=Lists!$K$3,IF($L107&lt;1,(($U107/$L107)*((1+Inputs!$D$7)^AK$2)),((INT(AK$2/$L107)-INT((AK$2-1)/$L107))*$U107*((1+Inputs!$D$7)^AK$2))),(_xlfn.WEIBULL.DIST(AK$2,$M107,$L107,FALSE)*$U107*((1+Inputs!$D$7)^AK$2))),IF($N107=Lists!$K$3,IF($L107&lt;1,((($T107*(1-$F107)+$S107*(1-$G107))/$L107)*((1+Inputs!$D$7)^AK$2)),((INT(AK$2/$L107)-INT((AK$2-1)/$L107))*($T107*(1-$F107)+$S107*(1-$G107))*((1+Inputs!$D$7)^AK$2))),((_xlfn.WEIBULL.DIST(AK$2,$M107,$L107,FALSE)*($T107*(1-$F107)+$S107*(1-$G107))*((1+Inputs!$D$7)^AK$2))))))</f>
        <v>0</v>
      </c>
      <c r="AL107" s="88">
        <f>$E107*IF(AL$2&gt;Inputs!$D$5,0,IF(AL$2&gt;VLOOKUP($H107,Lists!$P$3:$Q$7,2),IF($N107=Lists!$K$3,IF($L107&lt;1,(($U107/$L107)*((1+Inputs!$D$7)^AL$2)),((INT(AL$2/$L107)-INT((AL$2-1)/$L107))*$U107*((1+Inputs!$D$7)^AL$2))),(_xlfn.WEIBULL.DIST(AL$2,$M107,$L107,FALSE)*$U107*((1+Inputs!$D$7)^AL$2))),IF($N107=Lists!$K$3,IF($L107&lt;1,((($T107*(1-$F107)+$S107*(1-$G107))/$L107)*((1+Inputs!$D$7)^AL$2)),((INT(AL$2/$L107)-INT((AL$2-1)/$L107))*($T107*(1-$F107)+$S107*(1-$G107))*((1+Inputs!$D$7)^AL$2))),((_xlfn.WEIBULL.DIST(AL$2,$M107,$L107,FALSE)*($T107*(1-$F107)+$S107*(1-$G107))*((1+Inputs!$D$7)^AL$2))))))</f>
        <v>0</v>
      </c>
      <c r="AM107" s="88">
        <f>$E107*IF(AM$2&gt;Inputs!$D$5,0,IF(AM$2&gt;VLOOKUP($H107,Lists!$P$3:$Q$7,2),IF($N107=Lists!$K$3,IF($L107&lt;1,(($U107/$L107)*((1+Inputs!$D$7)^AM$2)),((INT(AM$2/$L107)-INT((AM$2-1)/$L107))*$U107*((1+Inputs!$D$7)^AM$2))),(_xlfn.WEIBULL.DIST(AM$2,$M107,$L107,FALSE)*$U107*((1+Inputs!$D$7)^AM$2))),IF($N107=Lists!$K$3,IF($L107&lt;1,((($T107*(1-$F107)+$S107*(1-$G107))/$L107)*((1+Inputs!$D$7)^AM$2)),((INT(AM$2/$L107)-INT((AM$2-1)/$L107))*($T107*(1-$F107)+$S107*(1-$G107))*((1+Inputs!$D$7)^AM$2))),((_xlfn.WEIBULL.DIST(AM$2,$M107,$L107,FALSE)*($T107*(1-$F107)+$S107*(1-$G107))*((1+Inputs!$D$7)^AM$2))))))</f>
        <v>0</v>
      </c>
      <c r="AN107" s="88">
        <f>$E107*IF(AN$2&gt;Inputs!$D$5,0,IF(AN$2&gt;VLOOKUP($H107,Lists!$P$3:$Q$7,2),IF($N107=Lists!$K$3,IF($L107&lt;1,(($U107/$L107)*((1+Inputs!$D$7)^AN$2)),((INT(AN$2/$L107)-INT((AN$2-1)/$L107))*$U107*((1+Inputs!$D$7)^AN$2))),(_xlfn.WEIBULL.DIST(AN$2,$M107,$L107,FALSE)*$U107*((1+Inputs!$D$7)^AN$2))),IF($N107=Lists!$K$3,IF($L107&lt;1,((($T107*(1-$F107)+$S107*(1-$G107))/$L107)*((1+Inputs!$D$7)^AN$2)),((INT(AN$2/$L107)-INT((AN$2-1)/$L107))*($T107*(1-$F107)+$S107*(1-$G107))*((1+Inputs!$D$7)^AN$2))),((_xlfn.WEIBULL.DIST(AN$2,$M107,$L107,FALSE)*($T107*(1-$F107)+$S107*(1-$G107))*((1+Inputs!$D$7)^AN$2))))))</f>
        <v>0</v>
      </c>
      <c r="AO107" s="88">
        <f>$E107*IF(AO$2&gt;Inputs!$D$5,0,IF(AO$2&gt;VLOOKUP($H107,Lists!$P$3:$Q$7,2),IF($N107=Lists!$K$3,IF($L107&lt;1,(($U107/$L107)*((1+Inputs!$D$7)^AO$2)),((INT(AO$2/$L107)-INT((AO$2-1)/$L107))*$U107*((1+Inputs!$D$7)^AO$2))),(_xlfn.WEIBULL.DIST(AO$2,$M107,$L107,FALSE)*$U107*((1+Inputs!$D$7)^AO$2))),IF($N107=Lists!$K$3,IF($L107&lt;1,((($T107*(1-$F107)+$S107*(1-$G107))/$L107)*((1+Inputs!$D$7)^AO$2)),((INT(AO$2/$L107)-INT((AO$2-1)/$L107))*($T107*(1-$F107)+$S107*(1-$G107))*((1+Inputs!$D$7)^AO$2))),((_xlfn.WEIBULL.DIST(AO$2,$M107,$L107,FALSE)*($T107*(1-$F107)+$S107*(1-$G107))*((1+Inputs!$D$7)^AO$2))))))</f>
        <v>0</v>
      </c>
      <c r="AP107" s="88">
        <f>$E107*IF(AP$2&gt;Inputs!$D$5,0,IF(AP$2&gt;VLOOKUP($H107,Lists!$P$3:$Q$7,2),IF($N107=Lists!$K$3,IF($L107&lt;1,(($U107/$L107)*((1+Inputs!$D$7)^AP$2)),((INT(AP$2/$L107)-INT((AP$2-1)/$L107))*$U107*((1+Inputs!$D$7)^AP$2))),(_xlfn.WEIBULL.DIST(AP$2,$M107,$L107,FALSE)*$U107*((1+Inputs!$D$7)^AP$2))),IF($N107=Lists!$K$3,IF($L107&lt;1,((($T107*(1-$F107)+$S107*(1-$G107))/$L107)*((1+Inputs!$D$7)^AP$2)),((INT(AP$2/$L107)-INT((AP$2-1)/$L107))*($T107*(1-$F107)+$S107*(1-$G107))*((1+Inputs!$D$7)^AP$2))),((_xlfn.WEIBULL.DIST(AP$2,$M107,$L107,FALSE)*($T107*(1-$F107)+$S107*(1-$G107))*((1+Inputs!$D$7)^AP$2))))))</f>
        <v>0</v>
      </c>
      <c r="AQ107" s="88">
        <f>$E107*IF(AQ$2&gt;Inputs!$D$5,0,IF(AQ$2&gt;VLOOKUP($H107,Lists!$P$3:$Q$7,2),IF($N107=Lists!$K$3,IF($L107&lt;1,(($U107/$L107)*((1+Inputs!$D$7)^AQ$2)),((INT(AQ$2/$L107)-INT((AQ$2-1)/$L107))*$U107*((1+Inputs!$D$7)^AQ$2))),(_xlfn.WEIBULL.DIST(AQ$2,$M107,$L107,FALSE)*$U107*((1+Inputs!$D$7)^AQ$2))),IF($N107=Lists!$K$3,IF($L107&lt;1,((($T107*(1-$F107)+$S107*(1-$G107))/$L107)*((1+Inputs!$D$7)^AQ$2)),((INT(AQ$2/$L107)-INT((AQ$2-1)/$L107))*($T107*(1-$F107)+$S107*(1-$G107))*((1+Inputs!$D$7)^AQ$2))),((_xlfn.WEIBULL.DIST(AQ$2,$M107,$L107,FALSE)*($T107*(1-$F107)+$S107*(1-$G107))*((1+Inputs!$D$7)^AQ$2))))))</f>
        <v>0</v>
      </c>
      <c r="AR107" s="88">
        <f>$E107*IF(AR$2&gt;Inputs!$D$5,0,IF(AR$2&gt;VLOOKUP($H107,Lists!$P$3:$Q$7,2),IF($N107=Lists!$K$3,IF($L107&lt;1,(($U107/$L107)*((1+Inputs!$D$7)^AR$2)),((INT(AR$2/$L107)-INT((AR$2-1)/$L107))*$U107*((1+Inputs!$D$7)^AR$2))),(_xlfn.WEIBULL.DIST(AR$2,$M107,$L107,FALSE)*$U107*((1+Inputs!$D$7)^AR$2))),IF($N107=Lists!$K$3,IF($L107&lt;1,((($T107*(1-$F107)+$S107*(1-$G107))/$L107)*((1+Inputs!$D$7)^AR$2)),((INT(AR$2/$L107)-INT((AR$2-1)/$L107))*($T107*(1-$F107)+$S107*(1-$G107))*((1+Inputs!$D$7)^AR$2))),((_xlfn.WEIBULL.DIST(AR$2,$M107,$L107,FALSE)*($T107*(1-$F107)+$S107*(1-$G107))*((1+Inputs!$D$7)^AR$2))))))</f>
        <v>0</v>
      </c>
      <c r="AS107" s="88">
        <f>$E107*IF(AS$2&gt;Inputs!$D$5,0,IF(AS$2&gt;VLOOKUP($H107,Lists!$P$3:$Q$7,2),IF($N107=Lists!$K$3,IF($L107&lt;1,(($U107/$L107)*((1+Inputs!$D$7)^AS$2)),((INT(AS$2/$L107)-INT((AS$2-1)/$L107))*$U107*((1+Inputs!$D$7)^AS$2))),(_xlfn.WEIBULL.DIST(AS$2,$M107,$L107,FALSE)*$U107*((1+Inputs!$D$7)^AS$2))),IF($N107=Lists!$K$3,IF($L107&lt;1,((($T107*(1-$F107)+$S107*(1-$G107))/$L107)*((1+Inputs!$D$7)^AS$2)),((INT(AS$2/$L107)-INT((AS$2-1)/$L107))*($T107*(1-$F107)+$S107*(1-$G107))*((1+Inputs!$D$7)^AS$2))),((_xlfn.WEIBULL.DIST(AS$2,$M107,$L107,FALSE)*($T107*(1-$F107)+$S107*(1-$G107))*((1+Inputs!$D$7)^AS$2))))))</f>
        <v>0</v>
      </c>
      <c r="AT107" s="88">
        <f>$E107*IF(AT$2&gt;Inputs!$D$5,0,IF(AT$2&gt;VLOOKUP($H107,Lists!$P$3:$Q$7,2),IF($N107=Lists!$K$3,IF($L107&lt;1,(($U107/$L107)*((1+Inputs!$D$7)^AT$2)),((INT(AT$2/$L107)-INT((AT$2-1)/$L107))*$U107*((1+Inputs!$D$7)^AT$2))),(_xlfn.WEIBULL.DIST(AT$2,$M107,$L107,FALSE)*$U107*((1+Inputs!$D$7)^AT$2))),IF($N107=Lists!$K$3,IF($L107&lt;1,((($T107*(1-$F107)+$S107*(1-$G107))/$L107)*((1+Inputs!$D$7)^AT$2)),((INT(AT$2/$L107)-INT((AT$2-1)/$L107))*($T107*(1-$F107)+$S107*(1-$G107))*((1+Inputs!$D$7)^AT$2))),((_xlfn.WEIBULL.DIST(AT$2,$M107,$L107,FALSE)*($T107*(1-$F107)+$S107*(1-$G107))*((1+Inputs!$D$7)^AT$2))))))</f>
        <v>0</v>
      </c>
      <c r="AU107" s="88">
        <f>$E107*IF(AU$2&gt;Inputs!$D$5,0,IF(AU$2&gt;VLOOKUP($H107,Lists!$P$3:$Q$7,2),IF($N107=Lists!$K$3,IF($L107&lt;1,(($U107/$L107)*((1+Inputs!$D$7)^AU$2)),((INT(AU$2/$L107)-INT((AU$2-1)/$L107))*$U107*((1+Inputs!$D$7)^AU$2))),(_xlfn.WEIBULL.DIST(AU$2,$M107,$L107,FALSE)*$U107*((1+Inputs!$D$7)^AU$2))),IF($N107=Lists!$K$3,IF($L107&lt;1,((($T107*(1-$F107)+$S107*(1-$G107))/$L107)*((1+Inputs!$D$7)^AU$2)),((INT(AU$2/$L107)-INT((AU$2-1)/$L107))*($T107*(1-$F107)+$S107*(1-$G107))*((1+Inputs!$D$7)^AU$2))),((_xlfn.WEIBULL.DIST(AU$2,$M107,$L107,FALSE)*($T107*(1-$F107)+$S107*(1-$G107))*((1+Inputs!$D$7)^AU$2))))))</f>
        <v>0</v>
      </c>
      <c r="AV107" s="88">
        <f>$E107*IF(AV$2&gt;Inputs!$D$5,0,IF(AV$2&gt;VLOOKUP($H107,Lists!$P$3:$Q$7,2),IF($N107=Lists!$K$3,IF($L107&lt;1,(($U107/$L107)*((1+Inputs!$D$7)^AV$2)),((INT(AV$2/$L107)-INT((AV$2-1)/$L107))*$U107*((1+Inputs!$D$7)^AV$2))),(_xlfn.WEIBULL.DIST(AV$2,$M107,$L107,FALSE)*$U107*((1+Inputs!$D$7)^AV$2))),IF($N107=Lists!$K$3,IF($L107&lt;1,((($T107*(1-$F107)+$S107*(1-$G107))/$L107)*((1+Inputs!$D$7)^AV$2)),((INT(AV$2/$L107)-INT((AV$2-1)/$L107))*($T107*(1-$F107)+$S107*(1-$G107))*((1+Inputs!$D$7)^AV$2))),((_xlfn.WEIBULL.DIST(AV$2,$M107,$L107,FALSE)*($T107*(1-$F107)+$S107*(1-$G107))*((1+Inputs!$D$7)^AV$2))))))</f>
        <v>0</v>
      </c>
      <c r="AW107" s="88">
        <f>$E107*IF(AW$2&gt;Inputs!$D$5,0,IF(AW$2&gt;VLOOKUP($H107,Lists!$P$3:$Q$7,2),IF($N107=Lists!$K$3,IF($L107&lt;1,(($U107/$L107)*((1+Inputs!$D$7)^AW$2)),((INT(AW$2/$L107)-INT((AW$2-1)/$L107))*$U107*((1+Inputs!$D$7)^AW$2))),(_xlfn.WEIBULL.DIST(AW$2,$M107,$L107,FALSE)*$U107*((1+Inputs!$D$7)^AW$2))),IF($N107=Lists!$K$3,IF($L107&lt;1,((($T107*(1-$F107)+$S107*(1-$G107))/$L107)*((1+Inputs!$D$7)^AW$2)),((INT(AW$2/$L107)-INT((AW$2-1)/$L107))*($T107*(1-$F107)+$S107*(1-$G107))*((1+Inputs!$D$7)^AW$2))),((_xlfn.WEIBULL.DIST(AW$2,$M107,$L107,FALSE)*($T107*(1-$F107)+$S107*(1-$G107))*((1+Inputs!$D$7)^AW$2))))))</f>
        <v>0</v>
      </c>
      <c r="AX107" s="88">
        <f>$E107*IF(AX$2&gt;Inputs!$D$5,0,IF(AX$2&gt;VLOOKUP($H107,Lists!$P$3:$Q$7,2),IF($N107=Lists!$K$3,IF($L107&lt;1,(($U107/$L107)*((1+Inputs!$D$7)^AX$2)),((INT(AX$2/$L107)-INT((AX$2-1)/$L107))*$U107*((1+Inputs!$D$7)^AX$2))),(_xlfn.WEIBULL.DIST(AX$2,$M107,$L107,FALSE)*$U107*((1+Inputs!$D$7)^AX$2))),IF($N107=Lists!$K$3,IF($L107&lt;1,((($T107*(1-$F107)+$S107*(1-$G107))/$L107)*((1+Inputs!$D$7)^AX$2)),((INT(AX$2/$L107)-INT((AX$2-1)/$L107))*($T107*(1-$F107)+$S107*(1-$G107))*((1+Inputs!$D$7)^AX$2))),((_xlfn.WEIBULL.DIST(AX$2,$M107,$L107,FALSE)*($T107*(1-$F107)+$S107*(1-$G107))*((1+Inputs!$D$7)^AX$2))))))</f>
        <v>0</v>
      </c>
      <c r="AY107" s="88">
        <f>$E107*IF(AY$2&gt;Inputs!$D$5,0,IF(AY$2&gt;VLOOKUP($H107,Lists!$P$3:$Q$7,2),IF($N107=Lists!$K$3,IF($L107&lt;1,(($U107/$L107)*((1+Inputs!$D$7)^AY$2)),((INT(AY$2/$L107)-INT((AY$2-1)/$L107))*$U107*((1+Inputs!$D$7)^AY$2))),(_xlfn.WEIBULL.DIST(AY$2,$M107,$L107,FALSE)*$U107*((1+Inputs!$D$7)^AY$2))),IF($N107=Lists!$K$3,IF($L107&lt;1,((($T107*(1-$F107)+$S107*(1-$G107))/$L107)*((1+Inputs!$D$7)^AY$2)),((INT(AY$2/$L107)-INT((AY$2-1)/$L107))*($T107*(1-$F107)+$S107*(1-$G107))*((1+Inputs!$D$7)^AY$2))),((_xlfn.WEIBULL.DIST(AY$2,$M107,$L107,FALSE)*($T107*(1-$F107)+$S107*(1-$G107))*((1+Inputs!$D$7)^AY$2))))))</f>
        <v>0</v>
      </c>
      <c r="AZ107" s="88">
        <f>$E107*IF(AZ$2&gt;Inputs!$D$5,0,IF(AZ$2&gt;VLOOKUP($H107,Lists!$P$3:$Q$7,2),IF($N107=Lists!$K$3,IF($L107&lt;1,(($U107/$L107)*((1+Inputs!$D$7)^AZ$2)),((INT(AZ$2/$L107)-INT((AZ$2-1)/$L107))*$U107*((1+Inputs!$D$7)^AZ$2))),(_xlfn.WEIBULL.DIST(AZ$2,$M107,$L107,FALSE)*$U107*((1+Inputs!$D$7)^AZ$2))),IF($N107=Lists!$K$3,IF($L107&lt;1,((($T107*(1-$F107)+$S107*(1-$G107))/$L107)*((1+Inputs!$D$7)^AZ$2)),((INT(AZ$2/$L107)-INT((AZ$2-1)/$L107))*($T107*(1-$F107)+$S107*(1-$G107))*((1+Inputs!$D$7)^AZ$2))),((_xlfn.WEIBULL.DIST(AZ$2,$M107,$L107,FALSE)*($T107*(1-$F107)+$S107*(1-$G107))*((1+Inputs!$D$7)^AZ$2))))))</f>
        <v>0</v>
      </c>
      <c r="BA107" s="88">
        <f>$E107*IF(BA$2&gt;Inputs!$D$5,0,IF(BA$2&gt;VLOOKUP($H107,Lists!$P$3:$Q$7,2),IF($N107=Lists!$K$3,IF($L107&lt;1,(($U107/$L107)*((1+Inputs!$D$7)^BA$2)),((INT(BA$2/$L107)-INT((BA$2-1)/$L107))*$U107*((1+Inputs!$D$7)^BA$2))),(_xlfn.WEIBULL.DIST(BA$2,$M107,$L107,FALSE)*$U107*((1+Inputs!$D$7)^BA$2))),IF($N107=Lists!$K$3,IF($L107&lt;1,((($T107*(1-$F107)+$S107*(1-$G107))/$L107)*((1+Inputs!$D$7)^BA$2)),((INT(BA$2/$L107)-INT((BA$2-1)/$L107))*($T107*(1-$F107)+$S107*(1-$G107))*((1+Inputs!$D$7)^BA$2))),((_xlfn.WEIBULL.DIST(BA$2,$M107,$L107,FALSE)*($T107*(1-$F107)+$S107*(1-$G107))*((1+Inputs!$D$7)^BA$2))))))</f>
        <v>0</v>
      </c>
      <c r="BB107" s="88">
        <f>$E107*IF(BB$2&gt;Inputs!$D$5,0,IF(BB$2&gt;VLOOKUP($H107,Lists!$P$3:$Q$7,2),IF($N107=Lists!$K$3,IF($L107&lt;1,(($U107/$L107)*((1+Inputs!$D$7)^BB$2)),((INT(BB$2/$L107)-INT((BB$2-1)/$L107))*$U107*((1+Inputs!$D$7)^BB$2))),(_xlfn.WEIBULL.DIST(BB$2,$M107,$L107,FALSE)*$U107*((1+Inputs!$D$7)^BB$2))),IF($N107=Lists!$K$3,IF($L107&lt;1,((($T107*(1-$F107)+$S107*(1-$G107))/$L107)*((1+Inputs!$D$7)^BB$2)),((INT(BB$2/$L107)-INT((BB$2-1)/$L107))*($T107*(1-$F107)+$S107*(1-$G107))*((1+Inputs!$D$7)^BB$2))),((_xlfn.WEIBULL.DIST(BB$2,$M107,$L107,FALSE)*($T107*(1-$F107)+$S107*(1-$G107))*((1+Inputs!$D$7)^BB$2))))))</f>
        <v>0</v>
      </c>
      <c r="BC107" s="88">
        <f>$E107*IF(BC$2&gt;Inputs!$D$5,0,IF(BC$2&gt;VLOOKUP($H107,Lists!$P$3:$Q$7,2),IF($N107=Lists!$K$3,IF($L107&lt;1,(($U107/$L107)*((1+Inputs!$D$7)^BC$2)),((INT(BC$2/$L107)-INT((BC$2-1)/$L107))*$U107*((1+Inputs!$D$7)^BC$2))),(_xlfn.WEIBULL.DIST(BC$2,$M107,$L107,FALSE)*$U107*((1+Inputs!$D$7)^BC$2))),IF($N107=Lists!$K$3,IF($L107&lt;1,((($T107*(1-$F107)+$S107*(1-$G107))/$L107)*((1+Inputs!$D$7)^BC$2)),((INT(BC$2/$L107)-INT((BC$2-1)/$L107))*($T107*(1-$F107)+$S107*(1-$G107))*((1+Inputs!$D$7)^BC$2))),((_xlfn.WEIBULL.DIST(BC$2,$M107,$L107,FALSE)*($T107*(1-$F107)+$S107*(1-$G107))*((1+Inputs!$D$7)^BC$2))))))</f>
        <v>0</v>
      </c>
      <c r="BD107" s="88">
        <f>$E107*IF(BD$2&gt;Inputs!$D$5,0,IF(BD$2&gt;VLOOKUP($H107,Lists!$P$3:$Q$7,2),IF($N107=Lists!$K$3,IF($L107&lt;1,(($U107/$L107)*((1+Inputs!$D$7)^BD$2)),((INT(BD$2/$L107)-INT((BD$2-1)/$L107))*$U107*((1+Inputs!$D$7)^BD$2))),(_xlfn.WEIBULL.DIST(BD$2,$M107,$L107,FALSE)*$U107*((1+Inputs!$D$7)^BD$2))),IF($N107=Lists!$K$3,IF($L107&lt;1,((($T107*(1-$F107)+$S107*(1-$G107))/$L107)*((1+Inputs!$D$7)^BD$2)),((INT(BD$2/$L107)-INT((BD$2-1)/$L107))*($T107*(1-$F107)+$S107*(1-$G107))*((1+Inputs!$D$7)^BD$2))),((_xlfn.WEIBULL.DIST(BD$2,$M107,$L107,FALSE)*($T107*(1-$F107)+$S107*(1-$G107))*((1+Inputs!$D$7)^BD$2))))))</f>
        <v>0</v>
      </c>
      <c r="BE107" s="88">
        <f>$E107*IF(BE$2&gt;Inputs!$D$5,0,IF(BE$2&gt;VLOOKUP($H107,Lists!$P$3:$Q$7,2),IF($N107=Lists!$K$3,IF($L107&lt;1,(($U107/$L107)*((1+Inputs!$D$7)^BE$2)),((INT(BE$2/$L107)-INT((BE$2-1)/$L107))*$U107*((1+Inputs!$D$7)^BE$2))),(_xlfn.WEIBULL.DIST(BE$2,$M107,$L107,FALSE)*$U107*((1+Inputs!$D$7)^BE$2))),IF($N107=Lists!$K$3,IF($L107&lt;1,((($T107*(1-$F107)+$S107*(1-$G107))/$L107)*((1+Inputs!$D$7)^BE$2)),((INT(BE$2/$L107)-INT((BE$2-1)/$L107))*($T107*(1-$F107)+$S107*(1-$G107))*((1+Inputs!$D$7)^BE$2))),((_xlfn.WEIBULL.DIST(BE$2,$M107,$L107,FALSE)*($T107*(1-$F107)+$S107*(1-$G107))*((1+Inputs!$D$7)^BE$2))))))</f>
        <v>0</v>
      </c>
      <c r="BF107" s="88">
        <f>$E107*IF(BF$2&gt;Inputs!$D$5,0,IF(BF$2&gt;VLOOKUP($H107,Lists!$P$3:$Q$7,2),IF($N107=Lists!$K$3,IF($L107&lt;1,(($U107/$L107)*((1+Inputs!$D$7)^BF$2)),((INT(BF$2/$L107)-INT((BF$2-1)/$L107))*$U107*((1+Inputs!$D$7)^BF$2))),(_xlfn.WEIBULL.DIST(BF$2,$M107,$L107,FALSE)*$U107*((1+Inputs!$D$7)^BF$2))),IF($N107=Lists!$K$3,IF($L107&lt;1,((($T107*(1-$F107)+$S107*(1-$G107))/$L107)*((1+Inputs!$D$7)^BF$2)),((INT(BF$2/$L107)-INT((BF$2-1)/$L107))*($T107*(1-$F107)+$S107*(1-$G107))*((1+Inputs!$D$7)^BF$2))),((_xlfn.WEIBULL.DIST(BF$2,$M107,$L107,FALSE)*($T107*(1-$F107)+$S107*(1-$G107))*((1+Inputs!$D$7)^BF$2))))))</f>
        <v>0</v>
      </c>
      <c r="BG107" s="88">
        <f>$E107*IF(BG$2&gt;Inputs!$D$5,0,IF(BG$2&gt;VLOOKUP($H107,Lists!$P$3:$Q$7,2),IF($N107=Lists!$K$3,IF($L107&lt;1,(($U107/$L107)*((1+Inputs!$D$7)^BG$2)),((INT(BG$2/$L107)-INT((BG$2-1)/$L107))*$U107*((1+Inputs!$D$7)^BG$2))),(_xlfn.WEIBULL.DIST(BG$2,$M107,$L107,FALSE)*$U107*((1+Inputs!$D$7)^BG$2))),IF($N107=Lists!$K$3,IF($L107&lt;1,((($T107*(1-$F107)+$S107*(1-$G107))/$L107)*((1+Inputs!$D$7)^BG$2)),((INT(BG$2/$L107)-INT((BG$2-1)/$L107))*($T107*(1-$F107)+$S107*(1-$G107))*((1+Inputs!$D$7)^BG$2))),((_xlfn.WEIBULL.DIST(BG$2,$M107,$L107,FALSE)*($T107*(1-$F107)+$S107*(1-$G107))*((1+Inputs!$D$7)^BG$2))))))</f>
        <v>0</v>
      </c>
      <c r="BH107" s="88">
        <f>$E107*IF(BH$2&gt;Inputs!$D$5,0,IF(BH$2&gt;VLOOKUP($H107,Lists!$P$3:$Q$7,2),IF($N107=Lists!$K$3,IF($L107&lt;1,(($U107/$L107)*((1+Inputs!$D$7)^BH$2)),((INT(BH$2/$L107)-INT((BH$2-1)/$L107))*$U107*((1+Inputs!$D$7)^BH$2))),(_xlfn.WEIBULL.DIST(BH$2,$M107,$L107,FALSE)*$U107*((1+Inputs!$D$7)^BH$2))),IF($N107=Lists!$K$3,IF($L107&lt;1,((($T107*(1-$F107)+$S107*(1-$G107))/$L107)*((1+Inputs!$D$7)^BH$2)),((INT(BH$2/$L107)-INT((BH$2-1)/$L107))*($T107*(1-$F107)+$S107*(1-$G107))*((1+Inputs!$D$7)^BH$2))),((_xlfn.WEIBULL.DIST(BH$2,$M107,$L107,FALSE)*($T107*(1-$F107)+$S107*(1-$G107))*((1+Inputs!$D$7)^BH$2))))))</f>
        <v>0</v>
      </c>
      <c r="BI107" s="88">
        <f>$E107*IF(BI$2&gt;Inputs!$D$5,0,IF(BI$2&gt;VLOOKUP($H107,Lists!$P$3:$Q$7,2),IF($N107=Lists!$K$3,IF($L107&lt;1,(($U107/$L107)*((1+Inputs!$D$7)^BI$2)),((INT(BI$2/$L107)-INT((BI$2-1)/$L107))*$U107*((1+Inputs!$D$7)^BI$2))),(_xlfn.WEIBULL.DIST(BI$2,$M107,$L107,FALSE)*$U107*((1+Inputs!$D$7)^BI$2))),IF($N107=Lists!$K$3,IF($L107&lt;1,((($T107*(1-$F107)+$S107*(1-$G107))/$L107)*((1+Inputs!$D$7)^BI$2)),((INT(BI$2/$L107)-INT((BI$2-1)/$L107))*($T107*(1-$F107)+$S107*(1-$G107))*((1+Inputs!$D$7)^BI$2))),((_xlfn.WEIBULL.DIST(BI$2,$M107,$L107,FALSE)*($T107*(1-$F107)+$S107*(1-$G107))*((1+Inputs!$D$7)^BI$2))))))</f>
        <v>0</v>
      </c>
      <c r="BJ107" s="88">
        <f>$E107*IF(BJ$2&gt;Inputs!$D$5,0,IF(BJ$2&gt;VLOOKUP($H107,Lists!$P$3:$Q$7,2),IF($N107=Lists!$K$3,IF($L107&lt;1,(($U107/$L107)*((1+Inputs!$D$7)^BJ$2)),((INT(BJ$2/$L107)-INT((BJ$2-1)/$L107))*$U107*((1+Inputs!$D$7)^BJ$2))),(_xlfn.WEIBULL.DIST(BJ$2,$M107,$L107,FALSE)*$U107*((1+Inputs!$D$7)^BJ$2))),IF($N107=Lists!$K$3,IF($L107&lt;1,((($T107*(1-$F107)+$S107*(1-$G107))/$L107)*((1+Inputs!$D$7)^BJ$2)),((INT(BJ$2/$L107)-INT((BJ$2-1)/$L107))*($T107*(1-$F107)+$S107*(1-$G107))*((1+Inputs!$D$7)^BJ$2))),((_xlfn.WEIBULL.DIST(BJ$2,$M107,$L107,FALSE)*($T107*(1-$F107)+$S107*(1-$G107))*((1+Inputs!$D$7)^BJ$2))))))</f>
        <v>0</v>
      </c>
      <c r="BK107" s="88">
        <f>$E107*IF(BK$2&gt;Inputs!$D$5,0,IF(BK$2&gt;VLOOKUP($H107,Lists!$P$3:$Q$7,2),IF($N107=Lists!$K$3,IF($L107&lt;1,(($U107/$L107)*((1+Inputs!$D$7)^BK$2)),((INT(BK$2/$L107)-INT((BK$2-1)/$L107))*$U107*((1+Inputs!$D$7)^BK$2))),(_xlfn.WEIBULL.DIST(BK$2,$M107,$L107,FALSE)*$U107*((1+Inputs!$D$7)^BK$2))),IF($N107=Lists!$K$3,IF($L107&lt;1,((($T107*(1-$F107)+$S107*(1-$G107))/$L107)*((1+Inputs!$D$7)^BK$2)),((INT(BK$2/$L107)-INT((BK$2-1)/$L107))*($T107*(1-$F107)+$S107*(1-$G107))*((1+Inputs!$D$7)^BK$2))),((_xlfn.WEIBULL.DIST(BK$2,$M107,$L107,FALSE)*($T107*(1-$F107)+$S107*(1-$G107))*((1+Inputs!$D$7)^BK$2))))))</f>
        <v>0</v>
      </c>
      <c r="BL107" s="88">
        <f>$E107*IF(BL$2&gt;Inputs!$D$5,0,IF(BL$2&gt;VLOOKUP($H107,Lists!$P$3:$Q$7,2),IF($N107=Lists!$K$3,IF($L107&lt;1,(($U107/$L107)*((1+Inputs!$D$7)^BL$2)),((INT(BL$2/$L107)-INT((BL$2-1)/$L107))*$U107*((1+Inputs!$D$7)^BL$2))),(_xlfn.WEIBULL.DIST(BL$2,$M107,$L107,FALSE)*$U107*((1+Inputs!$D$7)^BL$2))),IF($N107=Lists!$K$3,IF($L107&lt;1,((($T107*(1-$F107)+$S107*(1-$G107))/$L107)*((1+Inputs!$D$7)^BL$2)),((INT(BL$2/$L107)-INT((BL$2-1)/$L107))*($T107*(1-$F107)+$S107*(1-$G107))*((1+Inputs!$D$7)^BL$2))),((_xlfn.WEIBULL.DIST(BL$2,$M107,$L107,FALSE)*($T107*(1-$F107)+$S107*(1-$G107))*((1+Inputs!$D$7)^BL$2))))))</f>
        <v>0</v>
      </c>
      <c r="BM107" s="88">
        <f>$E107*IF(BM$2&gt;Inputs!$D$5,0,IF(BM$2&gt;VLOOKUP($H107,Lists!$P$3:$Q$7,2),IF($N107=Lists!$K$3,IF($L107&lt;1,(($U107/$L107)*((1+Inputs!$D$7)^BM$2)),((INT(BM$2/$L107)-INT((BM$2-1)/$L107))*$U107*((1+Inputs!$D$7)^BM$2))),(_xlfn.WEIBULL.DIST(BM$2,$M107,$L107,FALSE)*$U107*((1+Inputs!$D$7)^BM$2))),IF($N107=Lists!$K$3,IF($L107&lt;1,((($T107*(1-$F107)+$S107*(1-$G107))/$L107)*((1+Inputs!$D$7)^BM$2)),((INT(BM$2/$L107)-INT((BM$2-1)/$L107))*($T107*(1-$F107)+$S107*(1-$G107))*((1+Inputs!$D$7)^BM$2))),((_xlfn.WEIBULL.DIST(BM$2,$M107,$L107,FALSE)*($T107*(1-$F107)+$S107*(1-$G107))*((1+Inputs!$D$7)^BM$2))))))</f>
        <v>0</v>
      </c>
      <c r="BN107" s="88">
        <f>$E107*IF(BN$2&gt;Inputs!$D$5,0,IF(BN$2&gt;VLOOKUP($H107,Lists!$P$3:$Q$7,2),IF($N107=Lists!$K$3,IF($L107&lt;1,(($U107/$L107)*((1+Inputs!$D$7)^BN$2)),((INT(BN$2/$L107)-INT((BN$2-1)/$L107))*$U107*((1+Inputs!$D$7)^BN$2))),(_xlfn.WEIBULL.DIST(BN$2,$M107,$L107,FALSE)*$U107*((1+Inputs!$D$7)^BN$2))),IF($N107=Lists!$K$3,IF($L107&lt;1,((($T107*(1-$F107)+$S107*(1-$G107))/$L107)*((1+Inputs!$D$7)^BN$2)),((INT(BN$2/$L107)-INT((BN$2-1)/$L107))*($T107*(1-$F107)+$S107*(1-$G107))*((1+Inputs!$D$7)^BN$2))),((_xlfn.WEIBULL.DIST(BN$2,$M107,$L107,FALSE)*($T107*(1-$F107)+$S107*(1-$G107))*((1+Inputs!$D$7)^BN$2))))))</f>
        <v>0</v>
      </c>
      <c r="BO107" s="64">
        <f>NPV(Inputs!$D$6,BQ107:DD107)</f>
        <v>0</v>
      </c>
      <c r="BP107" s="67">
        <f t="shared" si="27"/>
        <v>0</v>
      </c>
      <c r="BQ107" s="88">
        <f>MAX(AA107,($E107*IF(BQ$2&gt;Inputs!$D$5,0,IF(BQ$2&gt;VLOOKUP($H107,Lists!$P$3:$Q$7,2),IF($N107=Lists!$K$3,IF($L107&lt;1,(($U107/$L107)*((1+Inputs!$D$7)^BQ$2)),((INT(BQ$2/$L107)-INT((BQ$2-1)/$L107))*$U107*((1+Inputs!$D$7)^BQ$2))),(Inputs!$D$8^((1-_xlfn.WEIBULL.DIST(BQ$2,$M107,$L107,FALSE))/_xlfn.WEIBULL.DIST(BQ$2,$M107,$L107,FALSE))*$U107*((1+Inputs!$D$7)^BQ$2))),IF($N107=Lists!$K$3,IF($L107&lt;1,((($T107*(1-$F107)+$S107*(1-$G107))/$L107)*((1+Inputs!$D$7)^BQ$2)),((INT(BQ$2/$L107)-INT((BQ$2-1)/$L107))*($T107*(1-$F107)+$S107*(1-$G107))*((1+Inputs!$D$7)^BQ$2))),((Inputs!$D$8^((1-_xlfn.WEIBULL.DIST(BQ$2,$M107,$L107,FALSE))/_xlfn.WEIBULL.DIST(BQ$2,$M107,$L107,FALSE))*($T107*(1-$F107)+$S107*(1-$G107))*((1+Inputs!$D$7)^BQ$2))))))))</f>
        <v>0</v>
      </c>
      <c r="BR107" s="88">
        <f>MAX(AB107,($E107*IF(BR$2&gt;Inputs!$D$5,0,IF(BR$2&gt;VLOOKUP($H107,Lists!$P$3:$Q$7,2),IF($N107=Lists!$K$3,IF($L107&lt;1,(($U107/$L107)*((1+Inputs!$D$7)^BR$2)),((INT(BR$2/$L107)-INT((BR$2-1)/$L107))*$U107*((1+Inputs!$D$7)^BR$2))),(Inputs!$D$8^((1-_xlfn.WEIBULL.DIST(BR$2,$M107,$L107,FALSE))/_xlfn.WEIBULL.DIST(BR$2,$M107,$L107,FALSE))*$U107*((1+Inputs!$D$7)^BR$2))),IF($N107=Lists!$K$3,IF($L107&lt;1,((($T107*(1-$F107)+$S107*(1-$G107))/$L107)*((1+Inputs!$D$7)^BR$2)),((INT(BR$2/$L107)-INT((BR$2-1)/$L107))*($T107*(1-$F107)+$S107*(1-$G107))*((1+Inputs!$D$7)^BR$2))),((Inputs!$D$8^((1-_xlfn.WEIBULL.DIST(BR$2,$M107,$L107,FALSE))/_xlfn.WEIBULL.DIST(BR$2,$M107,$L107,FALSE))*($T107*(1-$F107)+$S107*(1-$G107))*((1+Inputs!$D$7)^BR$2))))))))</f>
        <v>0</v>
      </c>
      <c r="BS107" s="88">
        <f>MAX(AC107,($E107*IF(BS$2&gt;Inputs!$D$5,0,IF(BS$2&gt;VLOOKUP($H107,Lists!$P$3:$Q$7,2),IF($N107=Lists!$K$3,IF($L107&lt;1,(($U107/$L107)*((1+Inputs!$D$7)^BS$2)),((INT(BS$2/$L107)-INT((BS$2-1)/$L107))*$U107*((1+Inputs!$D$7)^BS$2))),(Inputs!$D$8^((1-_xlfn.WEIBULL.DIST(BS$2,$M107,$L107,FALSE))/_xlfn.WEIBULL.DIST(BS$2,$M107,$L107,FALSE))*$U107*((1+Inputs!$D$7)^BS$2))),IF($N107=Lists!$K$3,IF($L107&lt;1,((($T107*(1-$F107)+$S107*(1-$G107))/$L107)*((1+Inputs!$D$7)^BS$2)),((INT(BS$2/$L107)-INT((BS$2-1)/$L107))*($T107*(1-$F107)+$S107*(1-$G107))*((1+Inputs!$D$7)^BS$2))),((Inputs!$D$8^((1-_xlfn.WEIBULL.DIST(BS$2,$M107,$L107,FALSE))/_xlfn.WEIBULL.DIST(BS$2,$M107,$L107,FALSE))*($T107*(1-$F107)+$S107*(1-$G107))*((1+Inputs!$D$7)^BS$2))))))))</f>
        <v>0</v>
      </c>
      <c r="BT107" s="88">
        <f>MAX(AD107,($E107*IF(BT$2&gt;Inputs!$D$5,0,IF(BT$2&gt;VLOOKUP($H107,Lists!$P$3:$Q$7,2),IF($N107=Lists!$K$3,IF($L107&lt;1,(($U107/$L107)*((1+Inputs!$D$7)^BT$2)),((INT(BT$2/$L107)-INT((BT$2-1)/$L107))*$U107*((1+Inputs!$D$7)^BT$2))),(Inputs!$D$8^((1-_xlfn.WEIBULL.DIST(BT$2,$M107,$L107,FALSE))/_xlfn.WEIBULL.DIST(BT$2,$M107,$L107,FALSE))*$U107*((1+Inputs!$D$7)^BT$2))),IF($N107=Lists!$K$3,IF($L107&lt;1,((($T107*(1-$F107)+$S107*(1-$G107))/$L107)*((1+Inputs!$D$7)^BT$2)),((INT(BT$2/$L107)-INT((BT$2-1)/$L107))*($T107*(1-$F107)+$S107*(1-$G107))*((1+Inputs!$D$7)^BT$2))),((Inputs!$D$8^((1-_xlfn.WEIBULL.DIST(BT$2,$M107,$L107,FALSE))/_xlfn.WEIBULL.DIST(BT$2,$M107,$L107,FALSE))*($T107*(1-$F107)+$S107*(1-$G107))*((1+Inputs!$D$7)^BT$2))))))))</f>
        <v>0</v>
      </c>
      <c r="BU107" s="88">
        <f>MAX(AE107,($E107*IF(BU$2&gt;Inputs!$D$5,0,IF(BU$2&gt;VLOOKUP($H107,Lists!$P$3:$Q$7,2),IF($N107=Lists!$K$3,IF($L107&lt;1,(($U107/$L107)*((1+Inputs!$D$7)^BU$2)),((INT(BU$2/$L107)-INT((BU$2-1)/$L107))*$U107*((1+Inputs!$D$7)^BU$2))),(Inputs!$D$8^((1-_xlfn.WEIBULL.DIST(BU$2,$M107,$L107,FALSE))/_xlfn.WEIBULL.DIST(BU$2,$M107,$L107,FALSE))*$U107*((1+Inputs!$D$7)^BU$2))),IF($N107=Lists!$K$3,IF($L107&lt;1,((($T107*(1-$F107)+$S107*(1-$G107))/$L107)*((1+Inputs!$D$7)^BU$2)),((INT(BU$2/$L107)-INT((BU$2-1)/$L107))*($T107*(1-$F107)+$S107*(1-$G107))*((1+Inputs!$D$7)^BU$2))),((Inputs!$D$8^((1-_xlfn.WEIBULL.DIST(BU$2,$M107,$L107,FALSE))/_xlfn.WEIBULL.DIST(BU$2,$M107,$L107,FALSE))*($T107*(1-$F107)+$S107*(1-$G107))*((1+Inputs!$D$7)^BU$2))))))))</f>
        <v>0</v>
      </c>
      <c r="BV107" s="88">
        <f>MAX(AF107,($E107*IF(BV$2&gt;Inputs!$D$5,0,IF(BV$2&gt;VLOOKUP($H107,Lists!$P$3:$Q$7,2),IF($N107=Lists!$K$3,IF($L107&lt;1,(($U107/$L107)*((1+Inputs!$D$7)^BV$2)),((INT(BV$2/$L107)-INT((BV$2-1)/$L107))*$U107*((1+Inputs!$D$7)^BV$2))),(Inputs!$D$8^((1-_xlfn.WEIBULL.DIST(BV$2,$M107,$L107,FALSE))/_xlfn.WEIBULL.DIST(BV$2,$M107,$L107,FALSE))*$U107*((1+Inputs!$D$7)^BV$2))),IF($N107=Lists!$K$3,IF($L107&lt;1,((($T107*(1-$F107)+$S107*(1-$G107))/$L107)*((1+Inputs!$D$7)^BV$2)),((INT(BV$2/$L107)-INT((BV$2-1)/$L107))*($T107*(1-$F107)+$S107*(1-$G107))*((1+Inputs!$D$7)^BV$2))),((Inputs!$D$8^((1-_xlfn.WEIBULL.DIST(BV$2,$M107,$L107,FALSE))/_xlfn.WEIBULL.DIST(BV$2,$M107,$L107,FALSE))*($T107*(1-$F107)+$S107*(1-$G107))*((1+Inputs!$D$7)^BV$2))))))))</f>
        <v>0</v>
      </c>
      <c r="BW107" s="88">
        <f>MAX(AG107,($E107*IF(BW$2&gt;Inputs!$D$5,0,IF(BW$2&gt;VLOOKUP($H107,Lists!$P$3:$Q$7,2),IF($N107=Lists!$K$3,IF($L107&lt;1,(($U107/$L107)*((1+Inputs!$D$7)^BW$2)),((INT(BW$2/$L107)-INT((BW$2-1)/$L107))*$U107*((1+Inputs!$D$7)^BW$2))),(Inputs!$D$8^((1-_xlfn.WEIBULL.DIST(BW$2,$M107,$L107,FALSE))/_xlfn.WEIBULL.DIST(BW$2,$M107,$L107,FALSE))*$U107*((1+Inputs!$D$7)^BW$2))),IF($N107=Lists!$K$3,IF($L107&lt;1,((($T107*(1-$F107)+$S107*(1-$G107))/$L107)*((1+Inputs!$D$7)^BW$2)),((INT(BW$2/$L107)-INT((BW$2-1)/$L107))*($T107*(1-$F107)+$S107*(1-$G107))*((1+Inputs!$D$7)^BW$2))),((Inputs!$D$8^((1-_xlfn.WEIBULL.DIST(BW$2,$M107,$L107,FALSE))/_xlfn.WEIBULL.DIST(BW$2,$M107,$L107,FALSE))*($T107*(1-$F107)+$S107*(1-$G107))*((1+Inputs!$D$7)^BW$2))))))))</f>
        <v>0</v>
      </c>
      <c r="BX107" s="88">
        <f>MAX(AH107,($E107*IF(BX$2&gt;Inputs!$D$5,0,IF(BX$2&gt;VLOOKUP($H107,Lists!$P$3:$Q$7,2),IF($N107=Lists!$K$3,IF($L107&lt;1,(($U107/$L107)*((1+Inputs!$D$7)^BX$2)),((INT(BX$2/$L107)-INT((BX$2-1)/$L107))*$U107*((1+Inputs!$D$7)^BX$2))),(Inputs!$D$8^((1-_xlfn.WEIBULL.DIST(BX$2,$M107,$L107,FALSE))/_xlfn.WEIBULL.DIST(BX$2,$M107,$L107,FALSE))*$U107*((1+Inputs!$D$7)^BX$2))),IF($N107=Lists!$K$3,IF($L107&lt;1,((($T107*(1-$F107)+$S107*(1-$G107))/$L107)*((1+Inputs!$D$7)^BX$2)),((INT(BX$2/$L107)-INT((BX$2-1)/$L107))*($T107*(1-$F107)+$S107*(1-$G107))*((1+Inputs!$D$7)^BX$2))),((Inputs!$D$8^((1-_xlfn.WEIBULL.DIST(BX$2,$M107,$L107,FALSE))/_xlfn.WEIBULL.DIST(BX$2,$M107,$L107,FALSE))*($T107*(1-$F107)+$S107*(1-$G107))*((1+Inputs!$D$7)^BX$2))))))))</f>
        <v>0</v>
      </c>
      <c r="BY107" s="88">
        <f>MAX(AI107,($E107*IF(BY$2&gt;Inputs!$D$5,0,IF(BY$2&gt;VLOOKUP($H107,Lists!$P$3:$Q$7,2),IF($N107=Lists!$K$3,IF($L107&lt;1,(($U107/$L107)*((1+Inputs!$D$7)^BY$2)),((INT(BY$2/$L107)-INT((BY$2-1)/$L107))*$U107*((1+Inputs!$D$7)^BY$2))),(Inputs!$D$8^((1-_xlfn.WEIBULL.DIST(BY$2,$M107,$L107,FALSE))/_xlfn.WEIBULL.DIST(BY$2,$M107,$L107,FALSE))*$U107*((1+Inputs!$D$7)^BY$2))),IF($N107=Lists!$K$3,IF($L107&lt;1,((($T107*(1-$F107)+$S107*(1-$G107))/$L107)*((1+Inputs!$D$7)^BY$2)),((INT(BY$2/$L107)-INT((BY$2-1)/$L107))*($T107*(1-$F107)+$S107*(1-$G107))*((1+Inputs!$D$7)^BY$2))),((Inputs!$D$8^((1-_xlfn.WEIBULL.DIST(BY$2,$M107,$L107,FALSE))/_xlfn.WEIBULL.DIST(BY$2,$M107,$L107,FALSE))*($T107*(1-$F107)+$S107*(1-$G107))*((1+Inputs!$D$7)^BY$2))))))))</f>
        <v>0</v>
      </c>
      <c r="BZ107" s="88">
        <f>MAX(AJ107,($E107*IF(BZ$2&gt;Inputs!$D$5,0,IF(BZ$2&gt;VLOOKUP($H107,Lists!$P$3:$Q$7,2),IF($N107=Lists!$K$3,IF($L107&lt;1,(($U107/$L107)*((1+Inputs!$D$7)^BZ$2)),((INT(BZ$2/$L107)-INT((BZ$2-1)/$L107))*$U107*((1+Inputs!$D$7)^BZ$2))),(Inputs!$D$8^((1-_xlfn.WEIBULL.DIST(BZ$2,$M107,$L107,FALSE))/_xlfn.WEIBULL.DIST(BZ$2,$M107,$L107,FALSE))*$U107*((1+Inputs!$D$7)^BZ$2))),IF($N107=Lists!$K$3,IF($L107&lt;1,((($T107*(1-$F107)+$S107*(1-$G107))/$L107)*((1+Inputs!$D$7)^BZ$2)),((INT(BZ$2/$L107)-INT((BZ$2-1)/$L107))*($T107*(1-$F107)+$S107*(1-$G107))*((1+Inputs!$D$7)^BZ$2))),((Inputs!$D$8^((1-_xlfn.WEIBULL.DIST(BZ$2,$M107,$L107,FALSE))/_xlfn.WEIBULL.DIST(BZ$2,$M107,$L107,FALSE))*($T107*(1-$F107)+$S107*(1-$G107))*((1+Inputs!$D$7)^BZ$2))))))))</f>
        <v>0</v>
      </c>
      <c r="CA107" s="88">
        <f>MAX(AK107,($E107*IF(CA$2&gt;Inputs!$D$5,0,IF(CA$2&gt;VLOOKUP($H107,Lists!$P$3:$Q$7,2),IF($N107=Lists!$K$3,IF($L107&lt;1,(($U107/$L107)*((1+Inputs!$D$7)^CA$2)),((INT(CA$2/$L107)-INT((CA$2-1)/$L107))*$U107*((1+Inputs!$D$7)^CA$2))),(Inputs!$D$8^((1-_xlfn.WEIBULL.DIST(CA$2,$M107,$L107,FALSE))/_xlfn.WEIBULL.DIST(CA$2,$M107,$L107,FALSE))*$U107*((1+Inputs!$D$7)^CA$2))),IF($N107=Lists!$K$3,IF($L107&lt;1,((($T107*(1-$F107)+$S107*(1-$G107))/$L107)*((1+Inputs!$D$7)^CA$2)),((INT(CA$2/$L107)-INT((CA$2-1)/$L107))*($T107*(1-$F107)+$S107*(1-$G107))*((1+Inputs!$D$7)^CA$2))),((Inputs!$D$8^((1-_xlfn.WEIBULL.DIST(CA$2,$M107,$L107,FALSE))/_xlfn.WEIBULL.DIST(CA$2,$M107,$L107,FALSE))*($T107*(1-$F107)+$S107*(1-$G107))*((1+Inputs!$D$7)^CA$2))))))))</f>
        <v>0</v>
      </c>
      <c r="CB107" s="88">
        <f>MAX(AL107,($E107*IF(CB$2&gt;Inputs!$D$5,0,IF(CB$2&gt;VLOOKUP($H107,Lists!$P$3:$Q$7,2),IF($N107=Lists!$K$3,IF($L107&lt;1,(($U107/$L107)*((1+Inputs!$D$7)^CB$2)),((INT(CB$2/$L107)-INT((CB$2-1)/$L107))*$U107*((1+Inputs!$D$7)^CB$2))),(Inputs!$D$8^((1-_xlfn.WEIBULL.DIST(CB$2,$M107,$L107,FALSE))/_xlfn.WEIBULL.DIST(CB$2,$M107,$L107,FALSE))*$U107*((1+Inputs!$D$7)^CB$2))),IF($N107=Lists!$K$3,IF($L107&lt;1,((($T107*(1-$F107)+$S107*(1-$G107))/$L107)*((1+Inputs!$D$7)^CB$2)),((INT(CB$2/$L107)-INT((CB$2-1)/$L107))*($T107*(1-$F107)+$S107*(1-$G107))*((1+Inputs!$D$7)^CB$2))),((Inputs!$D$8^((1-_xlfn.WEIBULL.DIST(CB$2,$M107,$L107,FALSE))/_xlfn.WEIBULL.DIST(CB$2,$M107,$L107,FALSE))*($T107*(1-$F107)+$S107*(1-$G107))*((1+Inputs!$D$7)^CB$2))))))))</f>
        <v>0</v>
      </c>
      <c r="CC107" s="88">
        <f>MAX(AM107,($E107*IF(CC$2&gt;Inputs!$D$5,0,IF(CC$2&gt;VLOOKUP($H107,Lists!$P$3:$Q$7,2),IF($N107=Lists!$K$3,IF($L107&lt;1,(($U107/$L107)*((1+Inputs!$D$7)^CC$2)),((INT(CC$2/$L107)-INT((CC$2-1)/$L107))*$U107*((1+Inputs!$D$7)^CC$2))),(Inputs!$D$8^((1-_xlfn.WEIBULL.DIST(CC$2,$M107,$L107,FALSE))/_xlfn.WEIBULL.DIST(CC$2,$M107,$L107,FALSE))*$U107*((1+Inputs!$D$7)^CC$2))),IF($N107=Lists!$K$3,IF($L107&lt;1,((($T107*(1-$F107)+$S107*(1-$G107))/$L107)*((1+Inputs!$D$7)^CC$2)),((INT(CC$2/$L107)-INT((CC$2-1)/$L107))*($T107*(1-$F107)+$S107*(1-$G107))*((1+Inputs!$D$7)^CC$2))),((Inputs!$D$8^((1-_xlfn.WEIBULL.DIST(CC$2,$M107,$L107,FALSE))/_xlfn.WEIBULL.DIST(CC$2,$M107,$L107,FALSE))*($T107*(1-$F107)+$S107*(1-$G107))*((1+Inputs!$D$7)^CC$2))))))))</f>
        <v>0</v>
      </c>
      <c r="CD107" s="88">
        <f>MAX(AN107,($E107*IF(CD$2&gt;Inputs!$D$5,0,IF(CD$2&gt;VLOOKUP($H107,Lists!$P$3:$Q$7,2),IF($N107=Lists!$K$3,IF($L107&lt;1,(($U107/$L107)*((1+Inputs!$D$7)^CD$2)),((INT(CD$2/$L107)-INT((CD$2-1)/$L107))*$U107*((1+Inputs!$D$7)^CD$2))),(Inputs!$D$8^((1-_xlfn.WEIBULL.DIST(CD$2,$M107,$L107,FALSE))/_xlfn.WEIBULL.DIST(CD$2,$M107,$L107,FALSE))*$U107*((1+Inputs!$D$7)^CD$2))),IF($N107=Lists!$K$3,IF($L107&lt;1,((($T107*(1-$F107)+$S107*(1-$G107))/$L107)*((1+Inputs!$D$7)^CD$2)),((INT(CD$2/$L107)-INT((CD$2-1)/$L107))*($T107*(1-$F107)+$S107*(1-$G107))*((1+Inputs!$D$7)^CD$2))),((Inputs!$D$8^((1-_xlfn.WEIBULL.DIST(CD$2,$M107,$L107,FALSE))/_xlfn.WEIBULL.DIST(CD$2,$M107,$L107,FALSE))*($T107*(1-$F107)+$S107*(1-$G107))*((1+Inputs!$D$7)^CD$2))))))))</f>
        <v>0</v>
      </c>
      <c r="CE107" s="88">
        <f>MAX(AO107,($E107*IF(CE$2&gt;Inputs!$D$5,0,IF(CE$2&gt;VLOOKUP($H107,Lists!$P$3:$Q$7,2),IF($N107=Lists!$K$3,IF($L107&lt;1,(($U107/$L107)*((1+Inputs!$D$7)^CE$2)),((INT(CE$2/$L107)-INT((CE$2-1)/$L107))*$U107*((1+Inputs!$D$7)^CE$2))),(Inputs!$D$8^((1-_xlfn.WEIBULL.DIST(CE$2,$M107,$L107,FALSE))/_xlfn.WEIBULL.DIST(CE$2,$M107,$L107,FALSE))*$U107*((1+Inputs!$D$7)^CE$2))),IF($N107=Lists!$K$3,IF($L107&lt;1,((($T107*(1-$F107)+$S107*(1-$G107))/$L107)*((1+Inputs!$D$7)^CE$2)),((INT(CE$2/$L107)-INT((CE$2-1)/$L107))*($T107*(1-$F107)+$S107*(1-$G107))*((1+Inputs!$D$7)^CE$2))),((Inputs!$D$8^((1-_xlfn.WEIBULL.DIST(CE$2,$M107,$L107,FALSE))/_xlfn.WEIBULL.DIST(CE$2,$M107,$L107,FALSE))*($T107*(1-$F107)+$S107*(1-$G107))*((1+Inputs!$D$7)^CE$2))))))))</f>
        <v>0</v>
      </c>
      <c r="CF107" s="88">
        <f>MAX(AP107,($E107*IF(CF$2&gt;Inputs!$D$5,0,IF(CF$2&gt;VLOOKUP($H107,Lists!$P$3:$Q$7,2),IF($N107=Lists!$K$3,IF($L107&lt;1,(($U107/$L107)*((1+Inputs!$D$7)^CF$2)),((INT(CF$2/$L107)-INT((CF$2-1)/$L107))*$U107*((1+Inputs!$D$7)^CF$2))),(Inputs!$D$8^((1-_xlfn.WEIBULL.DIST(CF$2,$M107,$L107,FALSE))/_xlfn.WEIBULL.DIST(CF$2,$M107,$L107,FALSE))*$U107*((1+Inputs!$D$7)^CF$2))),IF($N107=Lists!$K$3,IF($L107&lt;1,((($T107*(1-$F107)+$S107*(1-$G107))/$L107)*((1+Inputs!$D$7)^CF$2)),((INT(CF$2/$L107)-INT((CF$2-1)/$L107))*($T107*(1-$F107)+$S107*(1-$G107))*((1+Inputs!$D$7)^CF$2))),((Inputs!$D$8^((1-_xlfn.WEIBULL.DIST(CF$2,$M107,$L107,FALSE))/_xlfn.WEIBULL.DIST(CF$2,$M107,$L107,FALSE))*($T107*(1-$F107)+$S107*(1-$G107))*((1+Inputs!$D$7)^CF$2))))))))</f>
        <v>0</v>
      </c>
      <c r="CG107" s="88">
        <f>MAX(AQ107,($E107*IF(CG$2&gt;Inputs!$D$5,0,IF(CG$2&gt;VLOOKUP($H107,Lists!$P$3:$Q$7,2),IF($N107=Lists!$K$3,IF($L107&lt;1,(($U107/$L107)*((1+Inputs!$D$7)^CG$2)),((INT(CG$2/$L107)-INT((CG$2-1)/$L107))*$U107*((1+Inputs!$D$7)^CG$2))),(Inputs!$D$8^((1-_xlfn.WEIBULL.DIST(CG$2,$M107,$L107,FALSE))/_xlfn.WEIBULL.DIST(CG$2,$M107,$L107,FALSE))*$U107*((1+Inputs!$D$7)^CG$2))),IF($N107=Lists!$K$3,IF($L107&lt;1,((($T107*(1-$F107)+$S107*(1-$G107))/$L107)*((1+Inputs!$D$7)^CG$2)),((INT(CG$2/$L107)-INT((CG$2-1)/$L107))*($T107*(1-$F107)+$S107*(1-$G107))*((1+Inputs!$D$7)^CG$2))),((Inputs!$D$8^((1-_xlfn.WEIBULL.DIST(CG$2,$M107,$L107,FALSE))/_xlfn.WEIBULL.DIST(CG$2,$M107,$L107,FALSE))*($T107*(1-$F107)+$S107*(1-$G107))*((1+Inputs!$D$7)^CG$2))))))))</f>
        <v>0</v>
      </c>
      <c r="CH107" s="88">
        <f>MAX(AR107,($E107*IF(CH$2&gt;Inputs!$D$5,0,IF(CH$2&gt;VLOOKUP($H107,Lists!$P$3:$Q$7,2),IF($N107=Lists!$K$3,IF($L107&lt;1,(($U107/$L107)*((1+Inputs!$D$7)^CH$2)),((INT(CH$2/$L107)-INT((CH$2-1)/$L107))*$U107*((1+Inputs!$D$7)^CH$2))),(Inputs!$D$8^((1-_xlfn.WEIBULL.DIST(CH$2,$M107,$L107,FALSE))/_xlfn.WEIBULL.DIST(CH$2,$M107,$L107,FALSE))*$U107*((1+Inputs!$D$7)^CH$2))),IF($N107=Lists!$K$3,IF($L107&lt;1,((($T107*(1-$F107)+$S107*(1-$G107))/$L107)*((1+Inputs!$D$7)^CH$2)),((INT(CH$2/$L107)-INT((CH$2-1)/$L107))*($T107*(1-$F107)+$S107*(1-$G107))*((1+Inputs!$D$7)^CH$2))),((Inputs!$D$8^((1-_xlfn.WEIBULL.DIST(CH$2,$M107,$L107,FALSE))/_xlfn.WEIBULL.DIST(CH$2,$M107,$L107,FALSE))*($T107*(1-$F107)+$S107*(1-$G107))*((1+Inputs!$D$7)^CH$2))))))))</f>
        <v>0</v>
      </c>
      <c r="CI107" s="88">
        <f>MAX(AS107,($E107*IF(CI$2&gt;Inputs!$D$5,0,IF(CI$2&gt;VLOOKUP($H107,Lists!$P$3:$Q$7,2),IF($N107=Lists!$K$3,IF($L107&lt;1,(($U107/$L107)*((1+Inputs!$D$7)^CI$2)),((INT(CI$2/$L107)-INT((CI$2-1)/$L107))*$U107*((1+Inputs!$D$7)^CI$2))),(Inputs!$D$8^((1-_xlfn.WEIBULL.DIST(CI$2,$M107,$L107,FALSE))/_xlfn.WEIBULL.DIST(CI$2,$M107,$L107,FALSE))*$U107*((1+Inputs!$D$7)^CI$2))),IF($N107=Lists!$K$3,IF($L107&lt;1,((($T107*(1-$F107)+$S107*(1-$G107))/$L107)*((1+Inputs!$D$7)^CI$2)),((INT(CI$2/$L107)-INT((CI$2-1)/$L107))*($T107*(1-$F107)+$S107*(1-$G107))*((1+Inputs!$D$7)^CI$2))),((Inputs!$D$8^((1-_xlfn.WEIBULL.DIST(CI$2,$M107,$L107,FALSE))/_xlfn.WEIBULL.DIST(CI$2,$M107,$L107,FALSE))*($T107*(1-$F107)+$S107*(1-$G107))*((1+Inputs!$D$7)^CI$2))))))))</f>
        <v>0</v>
      </c>
      <c r="CJ107" s="88">
        <f>MAX(AT107,($E107*IF(CJ$2&gt;Inputs!$D$5,0,IF(CJ$2&gt;VLOOKUP($H107,Lists!$P$3:$Q$7,2),IF($N107=Lists!$K$3,IF($L107&lt;1,(($U107/$L107)*((1+Inputs!$D$7)^CJ$2)),((INT(CJ$2/$L107)-INT((CJ$2-1)/$L107))*$U107*((1+Inputs!$D$7)^CJ$2))),(Inputs!$D$8^((1-_xlfn.WEIBULL.DIST(CJ$2,$M107,$L107,FALSE))/_xlfn.WEIBULL.DIST(CJ$2,$M107,$L107,FALSE))*$U107*((1+Inputs!$D$7)^CJ$2))),IF($N107=Lists!$K$3,IF($L107&lt;1,((($T107*(1-$F107)+$S107*(1-$G107))/$L107)*((1+Inputs!$D$7)^CJ$2)),((INT(CJ$2/$L107)-INT((CJ$2-1)/$L107))*($T107*(1-$F107)+$S107*(1-$G107))*((1+Inputs!$D$7)^CJ$2))),((Inputs!$D$8^((1-_xlfn.WEIBULL.DIST(CJ$2,$M107,$L107,FALSE))/_xlfn.WEIBULL.DIST(CJ$2,$M107,$L107,FALSE))*($T107*(1-$F107)+$S107*(1-$G107))*((1+Inputs!$D$7)^CJ$2))))))))</f>
        <v>0</v>
      </c>
      <c r="CK107" s="88">
        <f>MAX(AU107,($E107*IF(CK$2&gt;Inputs!$D$5,0,IF(CK$2&gt;VLOOKUP($H107,Lists!$P$3:$Q$7,2),IF($N107=Lists!$K$3,IF($L107&lt;1,(($U107/$L107)*((1+Inputs!$D$7)^CK$2)),((INT(CK$2/$L107)-INT((CK$2-1)/$L107))*$U107*((1+Inputs!$D$7)^CK$2))),(Inputs!$D$8^((1-_xlfn.WEIBULL.DIST(CK$2,$M107,$L107,FALSE))/_xlfn.WEIBULL.DIST(CK$2,$M107,$L107,FALSE))*$U107*((1+Inputs!$D$7)^CK$2))),IF($N107=Lists!$K$3,IF($L107&lt;1,((($T107*(1-$F107)+$S107*(1-$G107))/$L107)*((1+Inputs!$D$7)^CK$2)),((INT(CK$2/$L107)-INT((CK$2-1)/$L107))*($T107*(1-$F107)+$S107*(1-$G107))*((1+Inputs!$D$7)^CK$2))),((Inputs!$D$8^((1-_xlfn.WEIBULL.DIST(CK$2,$M107,$L107,FALSE))/_xlfn.WEIBULL.DIST(CK$2,$M107,$L107,FALSE))*($T107*(1-$F107)+$S107*(1-$G107))*((1+Inputs!$D$7)^CK$2))))))))</f>
        <v>0</v>
      </c>
      <c r="CL107" s="88">
        <f>MAX(AV107,($E107*IF(CL$2&gt;Inputs!$D$5,0,IF(CL$2&gt;VLOOKUP($H107,Lists!$P$3:$Q$7,2),IF($N107=Lists!$K$3,IF($L107&lt;1,(($U107/$L107)*((1+Inputs!$D$7)^CL$2)),((INT(CL$2/$L107)-INT((CL$2-1)/$L107))*$U107*((1+Inputs!$D$7)^CL$2))),(Inputs!$D$8^((1-_xlfn.WEIBULL.DIST(CL$2,$M107,$L107,FALSE))/_xlfn.WEIBULL.DIST(CL$2,$M107,$L107,FALSE))*$U107*((1+Inputs!$D$7)^CL$2))),IF($N107=Lists!$K$3,IF($L107&lt;1,((($T107*(1-$F107)+$S107*(1-$G107))/$L107)*((1+Inputs!$D$7)^CL$2)),((INT(CL$2/$L107)-INT((CL$2-1)/$L107))*($T107*(1-$F107)+$S107*(1-$G107))*((1+Inputs!$D$7)^CL$2))),((Inputs!$D$8^((1-_xlfn.WEIBULL.DIST(CL$2,$M107,$L107,FALSE))/_xlfn.WEIBULL.DIST(CL$2,$M107,$L107,FALSE))*($T107*(1-$F107)+$S107*(1-$G107))*((1+Inputs!$D$7)^CL$2))))))))</f>
        <v>0</v>
      </c>
      <c r="CM107" s="88">
        <f>MAX(AW107,($E107*IF(CM$2&gt;Inputs!$D$5,0,IF(CM$2&gt;VLOOKUP($H107,Lists!$P$3:$Q$7,2),IF($N107=Lists!$K$3,IF($L107&lt;1,(($U107/$L107)*((1+Inputs!$D$7)^CM$2)),((INT(CM$2/$L107)-INT((CM$2-1)/$L107))*$U107*((1+Inputs!$D$7)^CM$2))),(Inputs!$D$8^((1-_xlfn.WEIBULL.DIST(CM$2,$M107,$L107,FALSE))/_xlfn.WEIBULL.DIST(CM$2,$M107,$L107,FALSE))*$U107*((1+Inputs!$D$7)^CM$2))),IF($N107=Lists!$K$3,IF($L107&lt;1,((($T107*(1-$F107)+$S107*(1-$G107))/$L107)*((1+Inputs!$D$7)^CM$2)),((INT(CM$2/$L107)-INT((CM$2-1)/$L107))*($T107*(1-$F107)+$S107*(1-$G107))*((1+Inputs!$D$7)^CM$2))),((Inputs!$D$8^((1-_xlfn.WEIBULL.DIST(CM$2,$M107,$L107,FALSE))/_xlfn.WEIBULL.DIST(CM$2,$M107,$L107,FALSE))*($T107*(1-$F107)+$S107*(1-$G107))*((1+Inputs!$D$7)^CM$2))))))))</f>
        <v>0</v>
      </c>
      <c r="CN107" s="88">
        <f>MAX(AX107,($E107*IF(CN$2&gt;Inputs!$D$5,0,IF(CN$2&gt;VLOOKUP($H107,Lists!$P$3:$Q$7,2),IF($N107=Lists!$K$3,IF($L107&lt;1,(($U107/$L107)*((1+Inputs!$D$7)^CN$2)),((INT(CN$2/$L107)-INT((CN$2-1)/$L107))*$U107*((1+Inputs!$D$7)^CN$2))),(Inputs!$D$8^((1-_xlfn.WEIBULL.DIST(CN$2,$M107,$L107,FALSE))/_xlfn.WEIBULL.DIST(CN$2,$M107,$L107,FALSE))*$U107*((1+Inputs!$D$7)^CN$2))),IF($N107=Lists!$K$3,IF($L107&lt;1,((($T107*(1-$F107)+$S107*(1-$G107))/$L107)*((1+Inputs!$D$7)^CN$2)),((INT(CN$2/$L107)-INT((CN$2-1)/$L107))*($T107*(1-$F107)+$S107*(1-$G107))*((1+Inputs!$D$7)^CN$2))),((Inputs!$D$8^((1-_xlfn.WEIBULL.DIST(CN$2,$M107,$L107,FALSE))/_xlfn.WEIBULL.DIST(CN$2,$M107,$L107,FALSE))*($T107*(1-$F107)+$S107*(1-$G107))*((1+Inputs!$D$7)^CN$2))))))))</f>
        <v>0</v>
      </c>
      <c r="CO107" s="88">
        <f>MAX(AY107,($E107*IF(CO$2&gt;Inputs!$D$5,0,IF(CO$2&gt;VLOOKUP($H107,Lists!$P$3:$Q$7,2),IF($N107=Lists!$K$3,IF($L107&lt;1,(($U107/$L107)*((1+Inputs!$D$7)^CO$2)),((INT(CO$2/$L107)-INT((CO$2-1)/$L107))*$U107*((1+Inputs!$D$7)^CO$2))),(Inputs!$D$8^((1-_xlfn.WEIBULL.DIST(CO$2,$M107,$L107,FALSE))/_xlfn.WEIBULL.DIST(CO$2,$M107,$L107,FALSE))*$U107*((1+Inputs!$D$7)^CO$2))),IF($N107=Lists!$K$3,IF($L107&lt;1,((($T107*(1-$F107)+$S107*(1-$G107))/$L107)*((1+Inputs!$D$7)^CO$2)),((INT(CO$2/$L107)-INT((CO$2-1)/$L107))*($T107*(1-$F107)+$S107*(1-$G107))*((1+Inputs!$D$7)^CO$2))),((Inputs!$D$8^((1-_xlfn.WEIBULL.DIST(CO$2,$M107,$L107,FALSE))/_xlfn.WEIBULL.DIST(CO$2,$M107,$L107,FALSE))*($T107*(1-$F107)+$S107*(1-$G107))*((1+Inputs!$D$7)^CO$2))))))))</f>
        <v>0</v>
      </c>
      <c r="CP107" s="88">
        <f>MAX(AZ107,($E107*IF(CP$2&gt;Inputs!$D$5,0,IF(CP$2&gt;VLOOKUP($H107,Lists!$P$3:$Q$7,2),IF($N107=Lists!$K$3,IF($L107&lt;1,(($U107/$L107)*((1+Inputs!$D$7)^CP$2)),((INT(CP$2/$L107)-INT((CP$2-1)/$L107))*$U107*((1+Inputs!$D$7)^CP$2))),(Inputs!$D$8^((1-_xlfn.WEIBULL.DIST(CP$2,$M107,$L107,FALSE))/_xlfn.WEIBULL.DIST(CP$2,$M107,$L107,FALSE))*$U107*((1+Inputs!$D$7)^CP$2))),IF($N107=Lists!$K$3,IF($L107&lt;1,((($T107*(1-$F107)+$S107*(1-$G107))/$L107)*((1+Inputs!$D$7)^CP$2)),((INT(CP$2/$L107)-INT((CP$2-1)/$L107))*($T107*(1-$F107)+$S107*(1-$G107))*((1+Inputs!$D$7)^CP$2))),((Inputs!$D$8^((1-_xlfn.WEIBULL.DIST(CP$2,$M107,$L107,FALSE))/_xlfn.WEIBULL.DIST(CP$2,$M107,$L107,FALSE))*($T107*(1-$F107)+$S107*(1-$G107))*((1+Inputs!$D$7)^CP$2))))))))</f>
        <v>0</v>
      </c>
      <c r="CQ107" s="88">
        <f>MAX(BA107,($E107*IF(CQ$2&gt;Inputs!$D$5,0,IF(CQ$2&gt;VLOOKUP($H107,Lists!$P$3:$Q$7,2),IF($N107=Lists!$K$3,IF($L107&lt;1,(($U107/$L107)*((1+Inputs!$D$7)^CQ$2)),((INT(CQ$2/$L107)-INT((CQ$2-1)/$L107))*$U107*((1+Inputs!$D$7)^CQ$2))),(Inputs!$D$8^((1-_xlfn.WEIBULL.DIST(CQ$2,$M107,$L107,FALSE))/_xlfn.WEIBULL.DIST(CQ$2,$M107,$L107,FALSE))*$U107*((1+Inputs!$D$7)^CQ$2))),IF($N107=Lists!$K$3,IF($L107&lt;1,((($T107*(1-$F107)+$S107*(1-$G107))/$L107)*((1+Inputs!$D$7)^CQ$2)),((INT(CQ$2/$L107)-INT((CQ$2-1)/$L107))*($T107*(1-$F107)+$S107*(1-$G107))*((1+Inputs!$D$7)^CQ$2))),((Inputs!$D$8^((1-_xlfn.WEIBULL.DIST(CQ$2,$M107,$L107,FALSE))/_xlfn.WEIBULL.DIST(CQ$2,$M107,$L107,FALSE))*($T107*(1-$F107)+$S107*(1-$G107))*((1+Inputs!$D$7)^CQ$2))))))))</f>
        <v>0</v>
      </c>
      <c r="CR107" s="88">
        <f>MAX(BB107,($E107*IF(CR$2&gt;Inputs!$D$5,0,IF(CR$2&gt;VLOOKUP($H107,Lists!$P$3:$Q$7,2),IF($N107=Lists!$K$3,IF($L107&lt;1,(($U107/$L107)*((1+Inputs!$D$7)^CR$2)),((INT(CR$2/$L107)-INT((CR$2-1)/$L107))*$U107*((1+Inputs!$D$7)^CR$2))),(Inputs!$D$8^((1-_xlfn.WEIBULL.DIST(CR$2,$M107,$L107,FALSE))/_xlfn.WEIBULL.DIST(CR$2,$M107,$L107,FALSE))*$U107*((1+Inputs!$D$7)^CR$2))),IF($N107=Lists!$K$3,IF($L107&lt;1,((($T107*(1-$F107)+$S107*(1-$G107))/$L107)*((1+Inputs!$D$7)^CR$2)),((INT(CR$2/$L107)-INT((CR$2-1)/$L107))*($T107*(1-$F107)+$S107*(1-$G107))*((1+Inputs!$D$7)^CR$2))),((Inputs!$D$8^((1-_xlfn.WEIBULL.DIST(CR$2,$M107,$L107,FALSE))/_xlfn.WEIBULL.DIST(CR$2,$M107,$L107,FALSE))*($T107*(1-$F107)+$S107*(1-$G107))*((1+Inputs!$D$7)^CR$2))))))))</f>
        <v>0</v>
      </c>
      <c r="CS107" s="88">
        <f>MAX(BC107,($E107*IF(CS$2&gt;Inputs!$D$5,0,IF(CS$2&gt;VLOOKUP($H107,Lists!$P$3:$Q$7,2),IF($N107=Lists!$K$3,IF($L107&lt;1,(($U107/$L107)*((1+Inputs!$D$7)^CS$2)),((INT(CS$2/$L107)-INT((CS$2-1)/$L107))*$U107*((1+Inputs!$D$7)^CS$2))),(Inputs!$D$8^((1-_xlfn.WEIBULL.DIST(CS$2,$M107,$L107,FALSE))/_xlfn.WEIBULL.DIST(CS$2,$M107,$L107,FALSE))*$U107*((1+Inputs!$D$7)^CS$2))),IF($N107=Lists!$K$3,IF($L107&lt;1,((($T107*(1-$F107)+$S107*(1-$G107))/$L107)*((1+Inputs!$D$7)^CS$2)),((INT(CS$2/$L107)-INT((CS$2-1)/$L107))*($T107*(1-$F107)+$S107*(1-$G107))*((1+Inputs!$D$7)^CS$2))),((Inputs!$D$8^((1-_xlfn.WEIBULL.DIST(CS$2,$M107,$L107,FALSE))/_xlfn.WEIBULL.DIST(CS$2,$M107,$L107,FALSE))*($T107*(1-$F107)+$S107*(1-$G107))*((1+Inputs!$D$7)^CS$2))))))))</f>
        <v>0</v>
      </c>
      <c r="CT107" s="88">
        <f>MAX(BD107,($E107*IF(CT$2&gt;Inputs!$D$5,0,IF(CT$2&gt;VLOOKUP($H107,Lists!$P$3:$Q$7,2),IF($N107=Lists!$K$3,IF($L107&lt;1,(($U107/$L107)*((1+Inputs!$D$7)^CT$2)),((INT(CT$2/$L107)-INT((CT$2-1)/$L107))*$U107*((1+Inputs!$D$7)^CT$2))),(Inputs!$D$8^((1-_xlfn.WEIBULL.DIST(CT$2,$M107,$L107,FALSE))/_xlfn.WEIBULL.DIST(CT$2,$M107,$L107,FALSE))*$U107*((1+Inputs!$D$7)^CT$2))),IF($N107=Lists!$K$3,IF($L107&lt;1,((($T107*(1-$F107)+$S107*(1-$G107))/$L107)*((1+Inputs!$D$7)^CT$2)),((INT(CT$2/$L107)-INT((CT$2-1)/$L107))*($T107*(1-$F107)+$S107*(1-$G107))*((1+Inputs!$D$7)^CT$2))),((Inputs!$D$8^((1-_xlfn.WEIBULL.DIST(CT$2,$M107,$L107,FALSE))/_xlfn.WEIBULL.DIST(CT$2,$M107,$L107,FALSE))*($T107*(1-$F107)+$S107*(1-$G107))*((1+Inputs!$D$7)^CT$2))))))))</f>
        <v>0</v>
      </c>
      <c r="CU107" s="88">
        <f>MAX(BE107,($E107*IF(CU$2&gt;Inputs!$D$5,0,IF(CU$2&gt;VLOOKUP($H107,Lists!$P$3:$Q$7,2),IF($N107=Lists!$K$3,IF($L107&lt;1,(($U107/$L107)*((1+Inputs!$D$7)^CU$2)),((INT(CU$2/$L107)-INT((CU$2-1)/$L107))*$U107*((1+Inputs!$D$7)^CU$2))),(Inputs!$D$8^((1-_xlfn.WEIBULL.DIST(CU$2,$M107,$L107,FALSE))/_xlfn.WEIBULL.DIST(CU$2,$M107,$L107,FALSE))*$U107*((1+Inputs!$D$7)^CU$2))),IF($N107=Lists!$K$3,IF($L107&lt;1,((($T107*(1-$F107)+$S107*(1-$G107))/$L107)*((1+Inputs!$D$7)^CU$2)),((INT(CU$2/$L107)-INT((CU$2-1)/$L107))*($T107*(1-$F107)+$S107*(1-$G107))*((1+Inputs!$D$7)^CU$2))),((Inputs!$D$8^((1-_xlfn.WEIBULL.DIST(CU$2,$M107,$L107,FALSE))/_xlfn.WEIBULL.DIST(CU$2,$M107,$L107,FALSE))*($T107*(1-$F107)+$S107*(1-$G107))*((1+Inputs!$D$7)^CU$2))))))))</f>
        <v>0</v>
      </c>
      <c r="CV107" s="88">
        <f>MAX(BF107,($E107*IF(CV$2&gt;Inputs!$D$5,0,IF(CV$2&gt;VLOOKUP($H107,Lists!$P$3:$Q$7,2),IF($N107=Lists!$K$3,IF($L107&lt;1,(($U107/$L107)*((1+Inputs!$D$7)^CV$2)),((INT(CV$2/$L107)-INT((CV$2-1)/$L107))*$U107*((1+Inputs!$D$7)^CV$2))),(Inputs!$D$8^((1-_xlfn.WEIBULL.DIST(CV$2,$M107,$L107,FALSE))/_xlfn.WEIBULL.DIST(CV$2,$M107,$L107,FALSE))*$U107*((1+Inputs!$D$7)^CV$2))),IF($N107=Lists!$K$3,IF($L107&lt;1,((($T107*(1-$F107)+$S107*(1-$G107))/$L107)*((1+Inputs!$D$7)^CV$2)),((INT(CV$2/$L107)-INT((CV$2-1)/$L107))*($T107*(1-$F107)+$S107*(1-$G107))*((1+Inputs!$D$7)^CV$2))),((Inputs!$D$8^((1-_xlfn.WEIBULL.DIST(CV$2,$M107,$L107,FALSE))/_xlfn.WEIBULL.DIST(CV$2,$M107,$L107,FALSE))*($T107*(1-$F107)+$S107*(1-$G107))*((1+Inputs!$D$7)^CV$2))))))))</f>
        <v>0</v>
      </c>
      <c r="CW107" s="88">
        <f>MAX(BG107,($E107*IF(CW$2&gt;Inputs!$D$5,0,IF(CW$2&gt;VLOOKUP($H107,Lists!$P$3:$Q$7,2),IF($N107=Lists!$K$3,IF($L107&lt;1,(($U107/$L107)*((1+Inputs!$D$7)^CW$2)),((INT(CW$2/$L107)-INT((CW$2-1)/$L107))*$U107*((1+Inputs!$D$7)^CW$2))),(Inputs!$D$8^((1-_xlfn.WEIBULL.DIST(CW$2,$M107,$L107,FALSE))/_xlfn.WEIBULL.DIST(CW$2,$M107,$L107,FALSE))*$U107*((1+Inputs!$D$7)^CW$2))),IF($N107=Lists!$K$3,IF($L107&lt;1,((($T107*(1-$F107)+$S107*(1-$G107))/$L107)*((1+Inputs!$D$7)^CW$2)),((INT(CW$2/$L107)-INT((CW$2-1)/$L107))*($T107*(1-$F107)+$S107*(1-$G107))*((1+Inputs!$D$7)^CW$2))),((Inputs!$D$8^((1-_xlfn.WEIBULL.DIST(CW$2,$M107,$L107,FALSE))/_xlfn.WEIBULL.DIST(CW$2,$M107,$L107,FALSE))*($T107*(1-$F107)+$S107*(1-$G107))*((1+Inputs!$D$7)^CW$2))))))))</f>
        <v>0</v>
      </c>
      <c r="CX107" s="88">
        <f>MAX(BH107,($E107*IF(CX$2&gt;Inputs!$D$5,0,IF(CX$2&gt;VLOOKUP($H107,Lists!$P$3:$Q$7,2),IF($N107=Lists!$K$3,IF($L107&lt;1,(($U107/$L107)*((1+Inputs!$D$7)^CX$2)),((INT(CX$2/$L107)-INT((CX$2-1)/$L107))*$U107*((1+Inputs!$D$7)^CX$2))),(Inputs!$D$8^((1-_xlfn.WEIBULL.DIST(CX$2,$M107,$L107,FALSE))/_xlfn.WEIBULL.DIST(CX$2,$M107,$L107,FALSE))*$U107*((1+Inputs!$D$7)^CX$2))),IF($N107=Lists!$K$3,IF($L107&lt;1,((($T107*(1-$F107)+$S107*(1-$G107))/$L107)*((1+Inputs!$D$7)^CX$2)),((INT(CX$2/$L107)-INT((CX$2-1)/$L107))*($T107*(1-$F107)+$S107*(1-$G107))*((1+Inputs!$D$7)^CX$2))),((Inputs!$D$8^((1-_xlfn.WEIBULL.DIST(CX$2,$M107,$L107,FALSE))/_xlfn.WEIBULL.DIST(CX$2,$M107,$L107,FALSE))*($T107*(1-$F107)+$S107*(1-$G107))*((1+Inputs!$D$7)^CX$2))))))))</f>
        <v>0</v>
      </c>
      <c r="CY107" s="88">
        <f>MAX(BI107,($E107*IF(CY$2&gt;Inputs!$D$5,0,IF(CY$2&gt;VLOOKUP($H107,Lists!$P$3:$Q$7,2),IF($N107=Lists!$K$3,IF($L107&lt;1,(($U107/$L107)*((1+Inputs!$D$7)^CY$2)),((INT(CY$2/$L107)-INT((CY$2-1)/$L107))*$U107*((1+Inputs!$D$7)^CY$2))),(Inputs!$D$8^((1-_xlfn.WEIBULL.DIST(CY$2,$M107,$L107,FALSE))/_xlfn.WEIBULL.DIST(CY$2,$M107,$L107,FALSE))*$U107*((1+Inputs!$D$7)^CY$2))),IF($N107=Lists!$K$3,IF($L107&lt;1,((($T107*(1-$F107)+$S107*(1-$G107))/$L107)*((1+Inputs!$D$7)^CY$2)),((INT(CY$2/$L107)-INT((CY$2-1)/$L107))*($T107*(1-$F107)+$S107*(1-$G107))*((1+Inputs!$D$7)^CY$2))),((Inputs!$D$8^((1-_xlfn.WEIBULL.DIST(CY$2,$M107,$L107,FALSE))/_xlfn.WEIBULL.DIST(CY$2,$M107,$L107,FALSE))*($T107*(1-$F107)+$S107*(1-$G107))*((1+Inputs!$D$7)^CY$2))))))))</f>
        <v>0</v>
      </c>
      <c r="CZ107" s="88">
        <f>MAX(BJ107,($E107*IF(CZ$2&gt;Inputs!$D$5,0,IF(CZ$2&gt;VLOOKUP($H107,Lists!$P$3:$Q$7,2),IF($N107=Lists!$K$3,IF($L107&lt;1,(($U107/$L107)*((1+Inputs!$D$7)^CZ$2)),((INT(CZ$2/$L107)-INT((CZ$2-1)/$L107))*$U107*((1+Inputs!$D$7)^CZ$2))),(Inputs!$D$8^((1-_xlfn.WEIBULL.DIST(CZ$2,$M107,$L107,FALSE))/_xlfn.WEIBULL.DIST(CZ$2,$M107,$L107,FALSE))*$U107*((1+Inputs!$D$7)^CZ$2))),IF($N107=Lists!$K$3,IF($L107&lt;1,((($T107*(1-$F107)+$S107*(1-$G107))/$L107)*((1+Inputs!$D$7)^CZ$2)),((INT(CZ$2/$L107)-INT((CZ$2-1)/$L107))*($T107*(1-$F107)+$S107*(1-$G107))*((1+Inputs!$D$7)^CZ$2))),((Inputs!$D$8^((1-_xlfn.WEIBULL.DIST(CZ$2,$M107,$L107,FALSE))/_xlfn.WEIBULL.DIST(CZ$2,$M107,$L107,FALSE))*($T107*(1-$F107)+$S107*(1-$G107))*((1+Inputs!$D$7)^CZ$2))))))))</f>
        <v>0</v>
      </c>
      <c r="DA107" s="88">
        <f>MAX(BK107,($E107*IF(DA$2&gt;Inputs!$D$5,0,IF(DA$2&gt;VLOOKUP($H107,Lists!$P$3:$Q$7,2),IF($N107=Lists!$K$3,IF($L107&lt;1,(($U107/$L107)*((1+Inputs!$D$7)^DA$2)),((INT(DA$2/$L107)-INT((DA$2-1)/$L107))*$U107*((1+Inputs!$D$7)^DA$2))),(Inputs!$D$8^((1-_xlfn.WEIBULL.DIST(DA$2,$M107,$L107,FALSE))/_xlfn.WEIBULL.DIST(DA$2,$M107,$L107,FALSE))*$U107*((1+Inputs!$D$7)^DA$2))),IF($N107=Lists!$K$3,IF($L107&lt;1,((($T107*(1-$F107)+$S107*(1-$G107))/$L107)*((1+Inputs!$D$7)^DA$2)),((INT(DA$2/$L107)-INT((DA$2-1)/$L107))*($T107*(1-$F107)+$S107*(1-$G107))*((1+Inputs!$D$7)^DA$2))),((Inputs!$D$8^((1-_xlfn.WEIBULL.DIST(DA$2,$M107,$L107,FALSE))/_xlfn.WEIBULL.DIST(DA$2,$M107,$L107,FALSE))*($T107*(1-$F107)+$S107*(1-$G107))*((1+Inputs!$D$7)^DA$2))))))))</f>
        <v>0</v>
      </c>
      <c r="DB107" s="88">
        <f>MAX(BL107,($E107*IF(DB$2&gt;Inputs!$D$5,0,IF(DB$2&gt;VLOOKUP($H107,Lists!$P$3:$Q$7,2),IF($N107=Lists!$K$3,IF($L107&lt;1,(($U107/$L107)*((1+Inputs!$D$7)^DB$2)),((INT(DB$2/$L107)-INT((DB$2-1)/$L107))*$U107*((1+Inputs!$D$7)^DB$2))),(Inputs!$D$8^((1-_xlfn.WEIBULL.DIST(DB$2,$M107,$L107,FALSE))/_xlfn.WEIBULL.DIST(DB$2,$M107,$L107,FALSE))*$U107*((1+Inputs!$D$7)^DB$2))),IF($N107=Lists!$K$3,IF($L107&lt;1,((($T107*(1-$F107)+$S107*(1-$G107))/$L107)*((1+Inputs!$D$7)^DB$2)),((INT(DB$2/$L107)-INT((DB$2-1)/$L107))*($T107*(1-$F107)+$S107*(1-$G107))*((1+Inputs!$D$7)^DB$2))),((Inputs!$D$8^((1-_xlfn.WEIBULL.DIST(DB$2,$M107,$L107,FALSE))/_xlfn.WEIBULL.DIST(DB$2,$M107,$L107,FALSE))*($T107*(1-$F107)+$S107*(1-$G107))*((1+Inputs!$D$7)^DB$2))))))))</f>
        <v>0</v>
      </c>
      <c r="DC107" s="88">
        <f>MAX(BM107,($E107*IF(DC$2&gt;Inputs!$D$5,0,IF(DC$2&gt;VLOOKUP($H107,Lists!$P$3:$Q$7,2),IF($N107=Lists!$K$3,IF($L107&lt;1,(($U107/$L107)*((1+Inputs!$D$7)^DC$2)),((INT(DC$2/$L107)-INT((DC$2-1)/$L107))*$U107*((1+Inputs!$D$7)^DC$2))),(Inputs!$D$8^((1-_xlfn.WEIBULL.DIST(DC$2,$M107,$L107,FALSE))/_xlfn.WEIBULL.DIST(DC$2,$M107,$L107,FALSE))*$U107*((1+Inputs!$D$7)^DC$2))),IF($N107=Lists!$K$3,IF($L107&lt;1,((($T107*(1-$F107)+$S107*(1-$G107))/$L107)*((1+Inputs!$D$7)^DC$2)),((INT(DC$2/$L107)-INT((DC$2-1)/$L107))*($T107*(1-$F107)+$S107*(1-$G107))*((1+Inputs!$D$7)^DC$2))),((Inputs!$D$8^((1-_xlfn.WEIBULL.DIST(DC$2,$M107,$L107,FALSE))/_xlfn.WEIBULL.DIST(DC$2,$M107,$L107,FALSE))*($T107*(1-$F107)+$S107*(1-$G107))*((1+Inputs!$D$7)^DC$2))))))))</f>
        <v>0</v>
      </c>
      <c r="DD107" s="88">
        <f>MAX(BN107,($E107*IF(DD$2&gt;Inputs!$D$5,0,IF(DD$2&gt;VLOOKUP($H107,Lists!$P$3:$Q$7,2),IF($N107=Lists!$K$3,IF($L107&lt;1,(($U107/$L107)*((1+Inputs!$D$7)^DD$2)),((INT(DD$2/$L107)-INT((DD$2-1)/$L107))*$U107*((1+Inputs!$D$7)^DD$2))),(Inputs!$D$8^((1-_xlfn.WEIBULL.DIST(DD$2,$M107,$L107,FALSE))/_xlfn.WEIBULL.DIST(DD$2,$M107,$L107,FALSE))*$U107*((1+Inputs!$D$7)^DD$2))),IF($N107=Lists!$K$3,IF($L107&lt;1,((($T107*(1-$F107)+$S107*(1-$G107))/$L107)*((1+Inputs!$D$7)^DD$2)),((INT(DD$2/$L107)-INT((DD$2-1)/$L107))*($T107*(1-$F107)+$S107*(1-$G107))*((1+Inputs!$D$7)^DD$2))),((Inputs!$D$8^((1-_xlfn.WEIBULL.DIST(DD$2,$M107,$L107,FALSE))/_xlfn.WEIBULL.DIST(DD$2,$M107,$L107,FALSE))*($T107*(1-$F107)+$S107*(1-$G107))*((1+Inputs!$D$7)^DD$2))))))))</f>
        <v>0</v>
      </c>
    </row>
    <row r="108" spans="1:108" ht="32">
      <c r="A108" s="57" t="s">
        <v>132</v>
      </c>
      <c r="B108" s="13" t="s">
        <v>279</v>
      </c>
      <c r="C108" s="13" t="s">
        <v>470</v>
      </c>
      <c r="D108" s="13" t="s">
        <v>476</v>
      </c>
      <c r="E108" s="48">
        <f>IF(Inputs!$D$41=Lists!$I$4,0,1)</f>
        <v>1</v>
      </c>
      <c r="F108" s="48">
        <v>0</v>
      </c>
      <c r="G108" s="48">
        <v>0</v>
      </c>
      <c r="H108" s="105" t="s">
        <v>350</v>
      </c>
      <c r="I108" s="14"/>
      <c r="J108" s="14" t="s">
        <v>248</v>
      </c>
      <c r="K108" s="13">
        <f>VLOOKUP(J108,'Labor Rates'!$A$1:$F$16,2)</f>
        <v>22.995576923076925</v>
      </c>
      <c r="L108" s="15">
        <v>1</v>
      </c>
      <c r="M108" s="15">
        <v>1</v>
      </c>
      <c r="N108" s="13" t="s">
        <v>236</v>
      </c>
      <c r="O108" s="61">
        <v>1</v>
      </c>
      <c r="P108" s="15">
        <v>1</v>
      </c>
      <c r="Q108" s="15">
        <f t="shared" si="21"/>
        <v>1</v>
      </c>
      <c r="R108" s="4">
        <v>0</v>
      </c>
      <c r="S108" s="53">
        <f t="shared" si="22"/>
        <v>22.995576923076925</v>
      </c>
      <c r="T108" s="53">
        <f t="shared" si="23"/>
        <v>0</v>
      </c>
      <c r="U108" s="54">
        <f t="shared" si="24"/>
        <v>22.995576923076925</v>
      </c>
      <c r="V108" s="65"/>
      <c r="W108" s="58"/>
      <c r="X108" s="64">
        <f t="shared" si="25"/>
        <v>28.495333848212379</v>
      </c>
      <c r="Y108" s="64">
        <f>NPV(Inputs!$D$6,AA108:BN108)</f>
        <v>327.30712505377187</v>
      </c>
      <c r="Z108" s="67">
        <f t="shared" si="26"/>
        <v>1.5437401954091233E-4</v>
      </c>
      <c r="AA108" s="88">
        <f>$E108*IF(AA$2&gt;Inputs!$D$5,0,IF(AA$2&gt;VLOOKUP($H108,Lists!$P$3:$Q$7,2),IF($N108=Lists!$K$3,IF($L108&lt;1,(($U108/$L108)*((1+Inputs!$D$7)^AA$2)),((INT(AA$2/$L108)-INT((AA$2-1)/$L108))*$U108*((1+Inputs!$D$7)^AA$2))),(_xlfn.WEIBULL.DIST(AA$2,$M108,$L108,FALSE)*$U108*((1+Inputs!$D$7)^AA$2))),IF($N108=Lists!$K$3,IF($L108&lt;1,((($T108*(1-$F108)+$S108*(1-$G108))/$L108)*((1+Inputs!$D$7)^AA$2)),((INT(AA$2/$L108)-INT((AA$2-1)/$L108))*($T108*(1-$F108)+$S108*(1-$G108))*((1+Inputs!$D$7)^AA$2))),((_xlfn.WEIBULL.DIST(AA$2,$M108,$L108,FALSE)*($T108*(1-$F108)+$S108*(1-$G108))*((1+Inputs!$D$7)^AA$2))))))</f>
        <v>23.455488461538465</v>
      </c>
      <c r="AB108" s="88">
        <f>$E108*IF(AB$2&gt;Inputs!$D$5,0,IF(AB$2&gt;VLOOKUP($H108,Lists!$P$3:$Q$7,2),IF($N108=Lists!$K$3,IF($L108&lt;1,(($U108/$L108)*((1+Inputs!$D$7)^AB$2)),((INT(AB$2/$L108)-INT((AB$2-1)/$L108))*$U108*((1+Inputs!$D$7)^AB$2))),(_xlfn.WEIBULL.DIST(AB$2,$M108,$L108,FALSE)*$U108*((1+Inputs!$D$7)^AB$2))),IF($N108=Lists!$K$3,IF($L108&lt;1,((($T108*(1-$F108)+$S108*(1-$G108))/$L108)*((1+Inputs!$D$7)^AB$2)),((INT(AB$2/$L108)-INT((AB$2-1)/$L108))*($T108*(1-$F108)+$S108*(1-$G108))*((1+Inputs!$D$7)^AB$2))),((_xlfn.WEIBULL.DIST(AB$2,$M108,$L108,FALSE)*($T108*(1-$F108)+$S108*(1-$G108))*((1+Inputs!$D$7)^AB$2))))))</f>
        <v>23.924598230769231</v>
      </c>
      <c r="AC108" s="88">
        <f>$E108*IF(AC$2&gt;Inputs!$D$5,0,IF(AC$2&gt;VLOOKUP($H108,Lists!$P$3:$Q$7,2),IF($N108=Lists!$K$3,IF($L108&lt;1,(($U108/$L108)*((1+Inputs!$D$7)^AC$2)),((INT(AC$2/$L108)-INT((AC$2-1)/$L108))*$U108*((1+Inputs!$D$7)^AC$2))),(_xlfn.WEIBULL.DIST(AC$2,$M108,$L108,FALSE)*$U108*((1+Inputs!$D$7)^AC$2))),IF($N108=Lists!$K$3,IF($L108&lt;1,((($T108*(1-$F108)+$S108*(1-$G108))/$L108)*((1+Inputs!$D$7)^AC$2)),((INT(AC$2/$L108)-INT((AC$2-1)/$L108))*($T108*(1-$F108)+$S108*(1-$G108))*((1+Inputs!$D$7)^AC$2))),((_xlfn.WEIBULL.DIST(AC$2,$M108,$L108,FALSE)*($T108*(1-$F108)+$S108*(1-$G108))*((1+Inputs!$D$7)^AC$2))))))</f>
        <v>24.403090195384614</v>
      </c>
      <c r="AD108" s="88">
        <f>$E108*IF(AD$2&gt;Inputs!$D$5,0,IF(AD$2&gt;VLOOKUP($H108,Lists!$P$3:$Q$7,2),IF($N108=Lists!$K$3,IF($L108&lt;1,(($U108/$L108)*((1+Inputs!$D$7)^AD$2)),((INT(AD$2/$L108)-INT((AD$2-1)/$L108))*$U108*((1+Inputs!$D$7)^AD$2))),(_xlfn.WEIBULL.DIST(AD$2,$M108,$L108,FALSE)*$U108*((1+Inputs!$D$7)^AD$2))),IF($N108=Lists!$K$3,IF($L108&lt;1,((($T108*(1-$F108)+$S108*(1-$G108))/$L108)*((1+Inputs!$D$7)^AD$2)),((INT(AD$2/$L108)-INT((AD$2-1)/$L108))*($T108*(1-$F108)+$S108*(1-$G108))*((1+Inputs!$D$7)^AD$2))),((_xlfn.WEIBULL.DIST(AD$2,$M108,$L108,FALSE)*($T108*(1-$F108)+$S108*(1-$G108))*((1+Inputs!$D$7)^AD$2))))))</f>
        <v>24.891151999292308</v>
      </c>
      <c r="AE108" s="88">
        <f>$E108*IF(AE$2&gt;Inputs!$D$5,0,IF(AE$2&gt;VLOOKUP($H108,Lists!$P$3:$Q$7,2),IF($N108=Lists!$K$3,IF($L108&lt;1,(($U108/$L108)*((1+Inputs!$D$7)^AE$2)),((INT(AE$2/$L108)-INT((AE$2-1)/$L108))*$U108*((1+Inputs!$D$7)^AE$2))),(_xlfn.WEIBULL.DIST(AE$2,$M108,$L108,FALSE)*$U108*((1+Inputs!$D$7)^AE$2))),IF($N108=Lists!$K$3,IF($L108&lt;1,((($T108*(1-$F108)+$S108*(1-$G108))/$L108)*((1+Inputs!$D$7)^AE$2)),((INT(AE$2/$L108)-INT((AE$2-1)/$L108))*($T108*(1-$F108)+$S108*(1-$G108))*((1+Inputs!$D$7)^AE$2))),((_xlfn.WEIBULL.DIST(AE$2,$M108,$L108,FALSE)*($T108*(1-$F108)+$S108*(1-$G108))*((1+Inputs!$D$7)^AE$2))))))</f>
        <v>25.388975039278158</v>
      </c>
      <c r="AF108" s="88">
        <f>$E108*IF(AF$2&gt;Inputs!$D$5,0,IF(AF$2&gt;VLOOKUP($H108,Lists!$P$3:$Q$7,2),IF($N108=Lists!$K$3,IF($L108&lt;1,(($U108/$L108)*((1+Inputs!$D$7)^AF$2)),((INT(AF$2/$L108)-INT((AF$2-1)/$L108))*$U108*((1+Inputs!$D$7)^AF$2))),(_xlfn.WEIBULL.DIST(AF$2,$M108,$L108,FALSE)*$U108*((1+Inputs!$D$7)^AF$2))),IF($N108=Lists!$K$3,IF($L108&lt;1,((($T108*(1-$F108)+$S108*(1-$G108))/$L108)*((1+Inputs!$D$7)^AF$2)),((INT(AF$2/$L108)-INT((AF$2-1)/$L108))*($T108*(1-$F108)+$S108*(1-$G108))*((1+Inputs!$D$7)^AF$2))),((_xlfn.WEIBULL.DIST(AF$2,$M108,$L108,FALSE)*($T108*(1-$F108)+$S108*(1-$G108))*((1+Inputs!$D$7)^AF$2))))))</f>
        <v>25.896754540063721</v>
      </c>
      <c r="AG108" s="88">
        <f>$E108*IF(AG$2&gt;Inputs!$D$5,0,IF(AG$2&gt;VLOOKUP($H108,Lists!$P$3:$Q$7,2),IF($N108=Lists!$K$3,IF($L108&lt;1,(($U108/$L108)*((1+Inputs!$D$7)^AG$2)),((INT(AG$2/$L108)-INT((AG$2-1)/$L108))*$U108*((1+Inputs!$D$7)^AG$2))),(_xlfn.WEIBULL.DIST(AG$2,$M108,$L108,FALSE)*$U108*((1+Inputs!$D$7)^AG$2))),IF($N108=Lists!$K$3,IF($L108&lt;1,((($T108*(1-$F108)+$S108*(1-$G108))/$L108)*((1+Inputs!$D$7)^AG$2)),((INT(AG$2/$L108)-INT((AG$2-1)/$L108))*($T108*(1-$F108)+$S108*(1-$G108))*((1+Inputs!$D$7)^AG$2))),((_xlfn.WEIBULL.DIST(AG$2,$M108,$L108,FALSE)*($T108*(1-$F108)+$S108*(1-$G108))*((1+Inputs!$D$7)^AG$2))))))</f>
        <v>26.414689630864988</v>
      </c>
      <c r="AH108" s="88">
        <f>$E108*IF(AH$2&gt;Inputs!$D$5,0,IF(AH$2&gt;VLOOKUP($H108,Lists!$P$3:$Q$7,2),IF($N108=Lists!$K$3,IF($L108&lt;1,(($U108/$L108)*((1+Inputs!$D$7)^AH$2)),((INT(AH$2/$L108)-INT((AH$2-1)/$L108))*$U108*((1+Inputs!$D$7)^AH$2))),(_xlfn.WEIBULL.DIST(AH$2,$M108,$L108,FALSE)*$U108*((1+Inputs!$D$7)^AH$2))),IF($N108=Lists!$K$3,IF($L108&lt;1,((($T108*(1-$F108)+$S108*(1-$G108))/$L108)*((1+Inputs!$D$7)^AH$2)),((INT(AH$2/$L108)-INT((AH$2-1)/$L108))*($T108*(1-$F108)+$S108*(1-$G108))*((1+Inputs!$D$7)^AH$2))),((_xlfn.WEIBULL.DIST(AH$2,$M108,$L108,FALSE)*($T108*(1-$F108)+$S108*(1-$G108))*((1+Inputs!$D$7)^AH$2))))))</f>
        <v>26.942983423482293</v>
      </c>
      <c r="AI108" s="88">
        <f>$E108*IF(AI$2&gt;Inputs!$D$5,0,IF(AI$2&gt;VLOOKUP($H108,Lists!$P$3:$Q$7,2),IF($N108=Lists!$K$3,IF($L108&lt;1,(($U108/$L108)*((1+Inputs!$D$7)^AI$2)),((INT(AI$2/$L108)-INT((AI$2-1)/$L108))*$U108*((1+Inputs!$D$7)^AI$2))),(_xlfn.WEIBULL.DIST(AI$2,$M108,$L108,FALSE)*$U108*((1+Inputs!$D$7)^AI$2))),IF($N108=Lists!$K$3,IF($L108&lt;1,((($T108*(1-$F108)+$S108*(1-$G108))/$L108)*((1+Inputs!$D$7)^AI$2)),((INT(AI$2/$L108)-INT((AI$2-1)/$L108))*($T108*(1-$F108)+$S108*(1-$G108))*((1+Inputs!$D$7)^AI$2))),((_xlfn.WEIBULL.DIST(AI$2,$M108,$L108,FALSE)*($T108*(1-$F108)+$S108*(1-$G108))*((1+Inputs!$D$7)^AI$2))))))</f>
        <v>27.481843091951937</v>
      </c>
      <c r="AJ108" s="88">
        <f>$E108*IF(AJ$2&gt;Inputs!$D$5,0,IF(AJ$2&gt;VLOOKUP($H108,Lists!$P$3:$Q$7,2),IF($N108=Lists!$K$3,IF($L108&lt;1,(($U108/$L108)*((1+Inputs!$D$7)^AJ$2)),((INT(AJ$2/$L108)-INT((AJ$2-1)/$L108))*$U108*((1+Inputs!$D$7)^AJ$2))),(_xlfn.WEIBULL.DIST(AJ$2,$M108,$L108,FALSE)*$U108*((1+Inputs!$D$7)^AJ$2))),IF($N108=Lists!$K$3,IF($L108&lt;1,((($T108*(1-$F108)+$S108*(1-$G108))/$L108)*((1+Inputs!$D$7)^AJ$2)),((INT(AJ$2/$L108)-INT((AJ$2-1)/$L108))*($T108*(1-$F108)+$S108*(1-$G108))*((1+Inputs!$D$7)^AJ$2))),((_xlfn.WEIBULL.DIST(AJ$2,$M108,$L108,FALSE)*($T108*(1-$F108)+$S108*(1-$G108))*((1+Inputs!$D$7)^AJ$2))))))</f>
        <v>28.031479953790978</v>
      </c>
      <c r="AK108" s="88">
        <f>$E108*IF(AK$2&gt;Inputs!$D$5,0,IF(AK$2&gt;VLOOKUP($H108,Lists!$P$3:$Q$7,2),IF($N108=Lists!$K$3,IF($L108&lt;1,(($U108/$L108)*((1+Inputs!$D$7)^AK$2)),((INT(AK$2/$L108)-INT((AK$2-1)/$L108))*$U108*((1+Inputs!$D$7)^AK$2))),(_xlfn.WEIBULL.DIST(AK$2,$M108,$L108,FALSE)*$U108*((1+Inputs!$D$7)^AK$2))),IF($N108=Lists!$K$3,IF($L108&lt;1,((($T108*(1-$F108)+$S108*(1-$G108))/$L108)*((1+Inputs!$D$7)^AK$2)),((INT(AK$2/$L108)-INT((AK$2-1)/$L108))*($T108*(1-$F108)+$S108*(1-$G108))*((1+Inputs!$D$7)^AK$2))),((_xlfn.WEIBULL.DIST(AK$2,$M108,$L108,FALSE)*($T108*(1-$F108)+$S108*(1-$G108))*((1+Inputs!$D$7)^AK$2))))))</f>
        <v>28.592109552866791</v>
      </c>
      <c r="AL108" s="88">
        <f>$E108*IF(AL$2&gt;Inputs!$D$5,0,IF(AL$2&gt;VLOOKUP($H108,Lists!$P$3:$Q$7,2),IF($N108=Lists!$K$3,IF($L108&lt;1,(($U108/$L108)*((1+Inputs!$D$7)^AL$2)),((INT(AL$2/$L108)-INT((AL$2-1)/$L108))*$U108*((1+Inputs!$D$7)^AL$2))),(_xlfn.WEIBULL.DIST(AL$2,$M108,$L108,FALSE)*$U108*((1+Inputs!$D$7)^AL$2))),IF($N108=Lists!$K$3,IF($L108&lt;1,((($T108*(1-$F108)+$S108*(1-$G108))/$L108)*((1+Inputs!$D$7)^AL$2)),((INT(AL$2/$L108)-INT((AL$2-1)/$L108))*($T108*(1-$F108)+$S108*(1-$G108))*((1+Inputs!$D$7)^AL$2))),((_xlfn.WEIBULL.DIST(AL$2,$M108,$L108,FALSE)*($T108*(1-$F108)+$S108*(1-$G108))*((1+Inputs!$D$7)^AL$2))))))</f>
        <v>29.163951743924134</v>
      </c>
      <c r="AM108" s="88">
        <f>$E108*IF(AM$2&gt;Inputs!$D$5,0,IF(AM$2&gt;VLOOKUP($H108,Lists!$P$3:$Q$7,2),IF($N108=Lists!$K$3,IF($L108&lt;1,(($U108/$L108)*((1+Inputs!$D$7)^AM$2)),((INT(AM$2/$L108)-INT((AM$2-1)/$L108))*$U108*((1+Inputs!$D$7)^AM$2))),(_xlfn.WEIBULL.DIST(AM$2,$M108,$L108,FALSE)*$U108*((1+Inputs!$D$7)^AM$2))),IF($N108=Lists!$K$3,IF($L108&lt;1,((($T108*(1-$F108)+$S108*(1-$G108))/$L108)*((1+Inputs!$D$7)^AM$2)),((INT(AM$2/$L108)-INT((AM$2-1)/$L108))*($T108*(1-$F108)+$S108*(1-$G108))*((1+Inputs!$D$7)^AM$2))),((_xlfn.WEIBULL.DIST(AM$2,$M108,$L108,FALSE)*($T108*(1-$F108)+$S108*(1-$G108))*((1+Inputs!$D$7)^AM$2))))))</f>
        <v>29.747230778802614</v>
      </c>
      <c r="AN108" s="88">
        <f>$E108*IF(AN$2&gt;Inputs!$D$5,0,IF(AN$2&gt;VLOOKUP($H108,Lists!$P$3:$Q$7,2),IF($N108=Lists!$K$3,IF($L108&lt;1,(($U108/$L108)*((1+Inputs!$D$7)^AN$2)),((INT(AN$2/$L108)-INT((AN$2-1)/$L108))*$U108*((1+Inputs!$D$7)^AN$2))),(_xlfn.WEIBULL.DIST(AN$2,$M108,$L108,FALSE)*$U108*((1+Inputs!$D$7)^AN$2))),IF($N108=Lists!$K$3,IF($L108&lt;1,((($T108*(1-$F108)+$S108*(1-$G108))/$L108)*((1+Inputs!$D$7)^AN$2)),((INT(AN$2/$L108)-INT((AN$2-1)/$L108))*($T108*(1-$F108)+$S108*(1-$G108))*((1+Inputs!$D$7)^AN$2))),((_xlfn.WEIBULL.DIST(AN$2,$M108,$L108,FALSE)*($T108*(1-$F108)+$S108*(1-$G108))*((1+Inputs!$D$7)^AN$2))))))</f>
        <v>30.342175394378668</v>
      </c>
      <c r="AO108" s="88">
        <f>$E108*IF(AO$2&gt;Inputs!$D$5,0,IF(AO$2&gt;VLOOKUP($H108,Lists!$P$3:$Q$7,2),IF($N108=Lists!$K$3,IF($L108&lt;1,(($U108/$L108)*((1+Inputs!$D$7)^AO$2)),((INT(AO$2/$L108)-INT((AO$2-1)/$L108))*$U108*((1+Inputs!$D$7)^AO$2))),(_xlfn.WEIBULL.DIST(AO$2,$M108,$L108,FALSE)*$U108*((1+Inputs!$D$7)^AO$2))),IF($N108=Lists!$K$3,IF($L108&lt;1,((($T108*(1-$F108)+$S108*(1-$G108))/$L108)*((1+Inputs!$D$7)^AO$2)),((INT(AO$2/$L108)-INT((AO$2-1)/$L108))*($T108*(1-$F108)+$S108*(1-$G108))*((1+Inputs!$D$7)^AO$2))),((_xlfn.WEIBULL.DIST(AO$2,$M108,$L108,FALSE)*($T108*(1-$F108)+$S108*(1-$G108))*((1+Inputs!$D$7)^AO$2))))))</f>
        <v>30.949018902266232</v>
      </c>
      <c r="AP108" s="88">
        <f>$E108*IF(AP$2&gt;Inputs!$D$5,0,IF(AP$2&gt;VLOOKUP($H108,Lists!$P$3:$Q$7,2),IF($N108=Lists!$K$3,IF($L108&lt;1,(($U108/$L108)*((1+Inputs!$D$7)^AP$2)),((INT(AP$2/$L108)-INT((AP$2-1)/$L108))*$U108*((1+Inputs!$D$7)^AP$2))),(_xlfn.WEIBULL.DIST(AP$2,$M108,$L108,FALSE)*$U108*((1+Inputs!$D$7)^AP$2))),IF($N108=Lists!$K$3,IF($L108&lt;1,((($T108*(1-$F108)+$S108*(1-$G108))/$L108)*((1+Inputs!$D$7)^AP$2)),((INT(AP$2/$L108)-INT((AP$2-1)/$L108))*($T108*(1-$F108)+$S108*(1-$G108))*((1+Inputs!$D$7)^AP$2))),((_xlfn.WEIBULL.DIST(AP$2,$M108,$L108,FALSE)*($T108*(1-$F108)+$S108*(1-$G108))*((1+Inputs!$D$7)^AP$2))))))</f>
        <v>31.567999280311565</v>
      </c>
      <c r="AQ108" s="88">
        <f>$E108*IF(AQ$2&gt;Inputs!$D$5,0,IF(AQ$2&gt;VLOOKUP($H108,Lists!$P$3:$Q$7,2),IF($N108=Lists!$K$3,IF($L108&lt;1,(($U108/$L108)*((1+Inputs!$D$7)^AQ$2)),((INT(AQ$2/$L108)-INT((AQ$2-1)/$L108))*$U108*((1+Inputs!$D$7)^AQ$2))),(_xlfn.WEIBULL.DIST(AQ$2,$M108,$L108,FALSE)*$U108*((1+Inputs!$D$7)^AQ$2))),IF($N108=Lists!$K$3,IF($L108&lt;1,((($T108*(1-$F108)+$S108*(1-$G108))/$L108)*((1+Inputs!$D$7)^AQ$2)),((INT(AQ$2/$L108)-INT((AQ$2-1)/$L108))*($T108*(1-$F108)+$S108*(1-$G108))*((1+Inputs!$D$7)^AQ$2))),((_xlfn.WEIBULL.DIST(AQ$2,$M108,$L108,FALSE)*($T108*(1-$F108)+$S108*(1-$G108))*((1+Inputs!$D$7)^AQ$2))))))</f>
        <v>32.199359265917799</v>
      </c>
      <c r="AR108" s="88">
        <f>$E108*IF(AR$2&gt;Inputs!$D$5,0,IF(AR$2&gt;VLOOKUP($H108,Lists!$P$3:$Q$7,2),IF($N108=Lists!$K$3,IF($L108&lt;1,(($U108/$L108)*((1+Inputs!$D$7)^AR$2)),((INT(AR$2/$L108)-INT((AR$2-1)/$L108))*$U108*((1+Inputs!$D$7)^AR$2))),(_xlfn.WEIBULL.DIST(AR$2,$M108,$L108,FALSE)*$U108*((1+Inputs!$D$7)^AR$2))),IF($N108=Lists!$K$3,IF($L108&lt;1,((($T108*(1-$F108)+$S108*(1-$G108))/$L108)*((1+Inputs!$D$7)^AR$2)),((INT(AR$2/$L108)-INT((AR$2-1)/$L108))*($T108*(1-$F108)+$S108*(1-$G108))*((1+Inputs!$D$7)^AR$2))),((_xlfn.WEIBULL.DIST(AR$2,$M108,$L108,FALSE)*($T108*(1-$F108)+$S108*(1-$G108))*((1+Inputs!$D$7)^AR$2))))))</f>
        <v>32.843346451236151</v>
      </c>
      <c r="AS108" s="88">
        <f>$E108*IF(AS$2&gt;Inputs!$D$5,0,IF(AS$2&gt;VLOOKUP($H108,Lists!$P$3:$Q$7,2),IF($N108=Lists!$K$3,IF($L108&lt;1,(($U108/$L108)*((1+Inputs!$D$7)^AS$2)),((INT(AS$2/$L108)-INT((AS$2-1)/$L108))*$U108*((1+Inputs!$D$7)^AS$2))),(_xlfn.WEIBULL.DIST(AS$2,$M108,$L108,FALSE)*$U108*((1+Inputs!$D$7)^AS$2))),IF($N108=Lists!$K$3,IF($L108&lt;1,((($T108*(1-$F108)+$S108*(1-$G108))/$L108)*((1+Inputs!$D$7)^AS$2)),((INT(AS$2/$L108)-INT((AS$2-1)/$L108))*($T108*(1-$F108)+$S108*(1-$G108))*((1+Inputs!$D$7)^AS$2))),((_xlfn.WEIBULL.DIST(AS$2,$M108,$L108,FALSE)*($T108*(1-$F108)+$S108*(1-$G108))*((1+Inputs!$D$7)^AS$2))))))</f>
        <v>33.500213380260874</v>
      </c>
      <c r="AT108" s="88">
        <f>$E108*IF(AT$2&gt;Inputs!$D$5,0,IF(AT$2&gt;VLOOKUP($H108,Lists!$P$3:$Q$7,2),IF($N108=Lists!$K$3,IF($L108&lt;1,(($U108/$L108)*((1+Inputs!$D$7)^AT$2)),((INT(AT$2/$L108)-INT((AT$2-1)/$L108))*$U108*((1+Inputs!$D$7)^AT$2))),(_xlfn.WEIBULL.DIST(AT$2,$M108,$L108,FALSE)*$U108*((1+Inputs!$D$7)^AT$2))),IF($N108=Lists!$K$3,IF($L108&lt;1,((($T108*(1-$F108)+$S108*(1-$G108))/$L108)*((1+Inputs!$D$7)^AT$2)),((INT(AT$2/$L108)-INT((AT$2-1)/$L108))*($T108*(1-$F108)+$S108*(1-$G108))*((1+Inputs!$D$7)^AT$2))),((_xlfn.WEIBULL.DIST(AT$2,$M108,$L108,FALSE)*($T108*(1-$F108)+$S108*(1-$G108))*((1+Inputs!$D$7)^AT$2))))))</f>
        <v>34.170217647866089</v>
      </c>
      <c r="AU108" s="88">
        <f>$E108*IF(AU$2&gt;Inputs!$D$5,0,IF(AU$2&gt;VLOOKUP($H108,Lists!$P$3:$Q$7,2),IF($N108=Lists!$K$3,IF($L108&lt;1,(($U108/$L108)*((1+Inputs!$D$7)^AU$2)),((INT(AU$2/$L108)-INT((AU$2-1)/$L108))*$U108*((1+Inputs!$D$7)^AU$2))),(_xlfn.WEIBULL.DIST(AU$2,$M108,$L108,FALSE)*$U108*((1+Inputs!$D$7)^AU$2))),IF($N108=Lists!$K$3,IF($L108&lt;1,((($T108*(1-$F108)+$S108*(1-$G108))/$L108)*((1+Inputs!$D$7)^AU$2)),((INT(AU$2/$L108)-INT((AU$2-1)/$L108))*($T108*(1-$F108)+$S108*(1-$G108))*((1+Inputs!$D$7)^AU$2))),((_xlfn.WEIBULL.DIST(AU$2,$M108,$L108,FALSE)*($T108*(1-$F108)+$S108*(1-$G108))*((1+Inputs!$D$7)^AU$2))))))</f>
        <v>34.853622000823414</v>
      </c>
      <c r="AV108" s="88">
        <f>$E108*IF(AV$2&gt;Inputs!$D$5,0,IF(AV$2&gt;VLOOKUP($H108,Lists!$P$3:$Q$7,2),IF($N108=Lists!$K$3,IF($L108&lt;1,(($U108/$L108)*((1+Inputs!$D$7)^AV$2)),((INT(AV$2/$L108)-INT((AV$2-1)/$L108))*$U108*((1+Inputs!$D$7)^AV$2))),(_xlfn.WEIBULL.DIST(AV$2,$M108,$L108,FALSE)*$U108*((1+Inputs!$D$7)^AV$2))),IF($N108=Lists!$K$3,IF($L108&lt;1,((($T108*(1-$F108)+$S108*(1-$G108))/$L108)*((1+Inputs!$D$7)^AV$2)),((INT(AV$2/$L108)-INT((AV$2-1)/$L108))*($T108*(1-$F108)+$S108*(1-$G108))*((1+Inputs!$D$7)^AV$2))),((_xlfn.WEIBULL.DIST(AV$2,$M108,$L108,FALSE)*($T108*(1-$F108)+$S108*(1-$G108))*((1+Inputs!$D$7)^AV$2))))))</f>
        <v>35.550694440839884</v>
      </c>
      <c r="AW108" s="88">
        <f>$E108*IF(AW$2&gt;Inputs!$D$5,0,IF(AW$2&gt;VLOOKUP($H108,Lists!$P$3:$Q$7,2),IF($N108=Lists!$K$3,IF($L108&lt;1,(($U108/$L108)*((1+Inputs!$D$7)^AW$2)),((INT(AW$2/$L108)-INT((AW$2-1)/$L108))*$U108*((1+Inputs!$D$7)^AW$2))),(_xlfn.WEIBULL.DIST(AW$2,$M108,$L108,FALSE)*$U108*((1+Inputs!$D$7)^AW$2))),IF($N108=Lists!$K$3,IF($L108&lt;1,((($T108*(1-$F108)+$S108*(1-$G108))/$L108)*((1+Inputs!$D$7)^AW$2)),((INT(AW$2/$L108)-INT((AW$2-1)/$L108))*($T108*(1-$F108)+$S108*(1-$G108))*((1+Inputs!$D$7)^AW$2))),((_xlfn.WEIBULL.DIST(AW$2,$M108,$L108,FALSE)*($T108*(1-$F108)+$S108*(1-$G108))*((1+Inputs!$D$7)^AW$2))))))</f>
        <v>36.26170832965667</v>
      </c>
      <c r="AX108" s="88">
        <f>$E108*IF(AX$2&gt;Inputs!$D$5,0,IF(AX$2&gt;VLOOKUP($H108,Lists!$P$3:$Q$7,2),IF($N108=Lists!$K$3,IF($L108&lt;1,(($U108/$L108)*((1+Inputs!$D$7)^AX$2)),((INT(AX$2/$L108)-INT((AX$2-1)/$L108))*$U108*((1+Inputs!$D$7)^AX$2))),(_xlfn.WEIBULL.DIST(AX$2,$M108,$L108,FALSE)*$U108*((1+Inputs!$D$7)^AX$2))),IF($N108=Lists!$K$3,IF($L108&lt;1,((($T108*(1-$F108)+$S108*(1-$G108))/$L108)*((1+Inputs!$D$7)^AX$2)),((INT(AX$2/$L108)-INT((AX$2-1)/$L108))*($T108*(1-$F108)+$S108*(1-$G108))*((1+Inputs!$D$7)^AX$2))),((_xlfn.WEIBULL.DIST(AX$2,$M108,$L108,FALSE)*($T108*(1-$F108)+$S108*(1-$G108))*((1+Inputs!$D$7)^AX$2))))))</f>
        <v>36.98694249624981</v>
      </c>
      <c r="AY108" s="88">
        <f>$E108*IF(AY$2&gt;Inputs!$D$5,0,IF(AY$2&gt;VLOOKUP($H108,Lists!$P$3:$Q$7,2),IF($N108=Lists!$K$3,IF($L108&lt;1,(($U108/$L108)*((1+Inputs!$D$7)^AY$2)),((INT(AY$2/$L108)-INT((AY$2-1)/$L108))*$U108*((1+Inputs!$D$7)^AY$2))),(_xlfn.WEIBULL.DIST(AY$2,$M108,$L108,FALSE)*$U108*((1+Inputs!$D$7)^AY$2))),IF($N108=Lists!$K$3,IF($L108&lt;1,((($T108*(1-$F108)+$S108*(1-$G108))/$L108)*((1+Inputs!$D$7)^AY$2)),((INT(AY$2/$L108)-INT((AY$2-1)/$L108))*($T108*(1-$F108)+$S108*(1-$G108))*((1+Inputs!$D$7)^AY$2))),((_xlfn.WEIBULL.DIST(AY$2,$M108,$L108,FALSE)*($T108*(1-$F108)+$S108*(1-$G108))*((1+Inputs!$D$7)^AY$2))))))</f>
        <v>37.726681346174807</v>
      </c>
      <c r="AZ108" s="88">
        <f>$E108*IF(AZ$2&gt;Inputs!$D$5,0,IF(AZ$2&gt;VLOOKUP($H108,Lists!$P$3:$Q$7,2),IF($N108=Lists!$K$3,IF($L108&lt;1,(($U108/$L108)*((1+Inputs!$D$7)^AZ$2)),((INT(AZ$2/$L108)-INT((AZ$2-1)/$L108))*$U108*((1+Inputs!$D$7)^AZ$2))),(_xlfn.WEIBULL.DIST(AZ$2,$M108,$L108,FALSE)*$U108*((1+Inputs!$D$7)^AZ$2))),IF($N108=Lists!$K$3,IF($L108&lt;1,((($T108*(1-$F108)+$S108*(1-$G108))/$L108)*((1+Inputs!$D$7)^AZ$2)),((INT(AZ$2/$L108)-INT((AZ$2-1)/$L108))*($T108*(1-$F108)+$S108*(1-$G108))*((1+Inputs!$D$7)^AZ$2))),((_xlfn.WEIBULL.DIST(AZ$2,$M108,$L108,FALSE)*($T108*(1-$F108)+$S108*(1-$G108))*((1+Inputs!$D$7)^AZ$2))))))</f>
        <v>0</v>
      </c>
      <c r="BA108" s="88">
        <f>$E108*IF(BA$2&gt;Inputs!$D$5,0,IF(BA$2&gt;VLOOKUP($H108,Lists!$P$3:$Q$7,2),IF($N108=Lists!$K$3,IF($L108&lt;1,(($U108/$L108)*((1+Inputs!$D$7)^BA$2)),((INT(BA$2/$L108)-INT((BA$2-1)/$L108))*$U108*((1+Inputs!$D$7)^BA$2))),(_xlfn.WEIBULL.DIST(BA$2,$M108,$L108,FALSE)*$U108*((1+Inputs!$D$7)^BA$2))),IF($N108=Lists!$K$3,IF($L108&lt;1,((($T108*(1-$F108)+$S108*(1-$G108))/$L108)*((1+Inputs!$D$7)^BA$2)),((INT(BA$2/$L108)-INT((BA$2-1)/$L108))*($T108*(1-$F108)+$S108*(1-$G108))*((1+Inputs!$D$7)^BA$2))),((_xlfn.WEIBULL.DIST(BA$2,$M108,$L108,FALSE)*($T108*(1-$F108)+$S108*(1-$G108))*((1+Inputs!$D$7)^BA$2))))))</f>
        <v>0</v>
      </c>
      <c r="BB108" s="88">
        <f>$E108*IF(BB$2&gt;Inputs!$D$5,0,IF(BB$2&gt;VLOOKUP($H108,Lists!$P$3:$Q$7,2),IF($N108=Lists!$K$3,IF($L108&lt;1,(($U108/$L108)*((1+Inputs!$D$7)^BB$2)),((INT(BB$2/$L108)-INT((BB$2-1)/$L108))*$U108*((1+Inputs!$D$7)^BB$2))),(_xlfn.WEIBULL.DIST(BB$2,$M108,$L108,FALSE)*$U108*((1+Inputs!$D$7)^BB$2))),IF($N108=Lists!$K$3,IF($L108&lt;1,((($T108*(1-$F108)+$S108*(1-$G108))/$L108)*((1+Inputs!$D$7)^BB$2)),((INT(BB$2/$L108)-INT((BB$2-1)/$L108))*($T108*(1-$F108)+$S108*(1-$G108))*((1+Inputs!$D$7)^BB$2))),((_xlfn.WEIBULL.DIST(BB$2,$M108,$L108,FALSE)*($T108*(1-$F108)+$S108*(1-$G108))*((1+Inputs!$D$7)^BB$2))))))</f>
        <v>0</v>
      </c>
      <c r="BC108" s="88">
        <f>$E108*IF(BC$2&gt;Inputs!$D$5,0,IF(BC$2&gt;VLOOKUP($H108,Lists!$P$3:$Q$7,2),IF($N108=Lists!$K$3,IF($L108&lt;1,(($U108/$L108)*((1+Inputs!$D$7)^BC$2)),((INT(BC$2/$L108)-INT((BC$2-1)/$L108))*$U108*((1+Inputs!$D$7)^BC$2))),(_xlfn.WEIBULL.DIST(BC$2,$M108,$L108,FALSE)*$U108*((1+Inputs!$D$7)^BC$2))),IF($N108=Lists!$K$3,IF($L108&lt;1,((($T108*(1-$F108)+$S108*(1-$G108))/$L108)*((1+Inputs!$D$7)^BC$2)),((INT(BC$2/$L108)-INT((BC$2-1)/$L108))*($T108*(1-$F108)+$S108*(1-$G108))*((1+Inputs!$D$7)^BC$2))),((_xlfn.WEIBULL.DIST(BC$2,$M108,$L108,FALSE)*($T108*(1-$F108)+$S108*(1-$G108))*((1+Inputs!$D$7)^BC$2))))))</f>
        <v>0</v>
      </c>
      <c r="BD108" s="88">
        <f>$E108*IF(BD$2&gt;Inputs!$D$5,0,IF(BD$2&gt;VLOOKUP($H108,Lists!$P$3:$Q$7,2),IF($N108=Lists!$K$3,IF($L108&lt;1,(($U108/$L108)*((1+Inputs!$D$7)^BD$2)),((INT(BD$2/$L108)-INT((BD$2-1)/$L108))*$U108*((1+Inputs!$D$7)^BD$2))),(_xlfn.WEIBULL.DIST(BD$2,$M108,$L108,FALSE)*$U108*((1+Inputs!$D$7)^BD$2))),IF($N108=Lists!$K$3,IF($L108&lt;1,((($T108*(1-$F108)+$S108*(1-$G108))/$L108)*((1+Inputs!$D$7)^BD$2)),((INT(BD$2/$L108)-INT((BD$2-1)/$L108))*($T108*(1-$F108)+$S108*(1-$G108))*((1+Inputs!$D$7)^BD$2))),((_xlfn.WEIBULL.DIST(BD$2,$M108,$L108,FALSE)*($T108*(1-$F108)+$S108*(1-$G108))*((1+Inputs!$D$7)^BD$2))))))</f>
        <v>0</v>
      </c>
      <c r="BE108" s="88">
        <f>$E108*IF(BE$2&gt;Inputs!$D$5,0,IF(BE$2&gt;VLOOKUP($H108,Lists!$P$3:$Q$7,2),IF($N108=Lists!$K$3,IF($L108&lt;1,(($U108/$L108)*((1+Inputs!$D$7)^BE$2)),((INT(BE$2/$L108)-INT((BE$2-1)/$L108))*$U108*((1+Inputs!$D$7)^BE$2))),(_xlfn.WEIBULL.DIST(BE$2,$M108,$L108,FALSE)*$U108*((1+Inputs!$D$7)^BE$2))),IF($N108=Lists!$K$3,IF($L108&lt;1,((($T108*(1-$F108)+$S108*(1-$G108))/$L108)*((1+Inputs!$D$7)^BE$2)),((INT(BE$2/$L108)-INT((BE$2-1)/$L108))*($T108*(1-$F108)+$S108*(1-$G108))*((1+Inputs!$D$7)^BE$2))),((_xlfn.WEIBULL.DIST(BE$2,$M108,$L108,FALSE)*($T108*(1-$F108)+$S108*(1-$G108))*((1+Inputs!$D$7)^BE$2))))))</f>
        <v>0</v>
      </c>
      <c r="BF108" s="88">
        <f>$E108*IF(BF$2&gt;Inputs!$D$5,0,IF(BF$2&gt;VLOOKUP($H108,Lists!$P$3:$Q$7,2),IF($N108=Lists!$K$3,IF($L108&lt;1,(($U108/$L108)*((1+Inputs!$D$7)^BF$2)),((INT(BF$2/$L108)-INT((BF$2-1)/$L108))*$U108*((1+Inputs!$D$7)^BF$2))),(_xlfn.WEIBULL.DIST(BF$2,$M108,$L108,FALSE)*$U108*((1+Inputs!$D$7)^BF$2))),IF($N108=Lists!$K$3,IF($L108&lt;1,((($T108*(1-$F108)+$S108*(1-$G108))/$L108)*((1+Inputs!$D$7)^BF$2)),((INT(BF$2/$L108)-INT((BF$2-1)/$L108))*($T108*(1-$F108)+$S108*(1-$G108))*((1+Inputs!$D$7)^BF$2))),((_xlfn.WEIBULL.DIST(BF$2,$M108,$L108,FALSE)*($T108*(1-$F108)+$S108*(1-$G108))*((1+Inputs!$D$7)^BF$2))))))</f>
        <v>0</v>
      </c>
      <c r="BG108" s="88">
        <f>$E108*IF(BG$2&gt;Inputs!$D$5,0,IF(BG$2&gt;VLOOKUP($H108,Lists!$P$3:$Q$7,2),IF($N108=Lists!$K$3,IF($L108&lt;1,(($U108/$L108)*((1+Inputs!$D$7)^BG$2)),((INT(BG$2/$L108)-INT((BG$2-1)/$L108))*$U108*((1+Inputs!$D$7)^BG$2))),(_xlfn.WEIBULL.DIST(BG$2,$M108,$L108,FALSE)*$U108*((1+Inputs!$D$7)^BG$2))),IF($N108=Lists!$K$3,IF($L108&lt;1,((($T108*(1-$F108)+$S108*(1-$G108))/$L108)*((1+Inputs!$D$7)^BG$2)),((INT(BG$2/$L108)-INT((BG$2-1)/$L108))*($T108*(1-$F108)+$S108*(1-$G108))*((1+Inputs!$D$7)^BG$2))),((_xlfn.WEIBULL.DIST(BG$2,$M108,$L108,FALSE)*($T108*(1-$F108)+$S108*(1-$G108))*((1+Inputs!$D$7)^BG$2))))))</f>
        <v>0</v>
      </c>
      <c r="BH108" s="88">
        <f>$E108*IF(BH$2&gt;Inputs!$D$5,0,IF(BH$2&gt;VLOOKUP($H108,Lists!$P$3:$Q$7,2),IF($N108=Lists!$K$3,IF($L108&lt;1,(($U108/$L108)*((1+Inputs!$D$7)^BH$2)),((INT(BH$2/$L108)-INT((BH$2-1)/$L108))*$U108*((1+Inputs!$D$7)^BH$2))),(_xlfn.WEIBULL.DIST(BH$2,$M108,$L108,FALSE)*$U108*((1+Inputs!$D$7)^BH$2))),IF($N108=Lists!$K$3,IF($L108&lt;1,((($T108*(1-$F108)+$S108*(1-$G108))/$L108)*((1+Inputs!$D$7)^BH$2)),((INT(BH$2/$L108)-INT((BH$2-1)/$L108))*($T108*(1-$F108)+$S108*(1-$G108))*((1+Inputs!$D$7)^BH$2))),((_xlfn.WEIBULL.DIST(BH$2,$M108,$L108,FALSE)*($T108*(1-$F108)+$S108*(1-$G108))*((1+Inputs!$D$7)^BH$2))))))</f>
        <v>0</v>
      </c>
      <c r="BI108" s="88">
        <f>$E108*IF(BI$2&gt;Inputs!$D$5,0,IF(BI$2&gt;VLOOKUP($H108,Lists!$P$3:$Q$7,2),IF($N108=Lists!$K$3,IF($L108&lt;1,(($U108/$L108)*((1+Inputs!$D$7)^BI$2)),((INT(BI$2/$L108)-INT((BI$2-1)/$L108))*$U108*((1+Inputs!$D$7)^BI$2))),(_xlfn.WEIBULL.DIST(BI$2,$M108,$L108,FALSE)*$U108*((1+Inputs!$D$7)^BI$2))),IF($N108=Lists!$K$3,IF($L108&lt;1,((($T108*(1-$F108)+$S108*(1-$G108))/$L108)*((1+Inputs!$D$7)^BI$2)),((INT(BI$2/$L108)-INT((BI$2-1)/$L108))*($T108*(1-$F108)+$S108*(1-$G108))*((1+Inputs!$D$7)^BI$2))),((_xlfn.WEIBULL.DIST(BI$2,$M108,$L108,FALSE)*($T108*(1-$F108)+$S108*(1-$G108))*((1+Inputs!$D$7)^BI$2))))))</f>
        <v>0</v>
      </c>
      <c r="BJ108" s="88">
        <f>$E108*IF(BJ$2&gt;Inputs!$D$5,0,IF(BJ$2&gt;VLOOKUP($H108,Lists!$P$3:$Q$7,2),IF($N108=Lists!$K$3,IF($L108&lt;1,(($U108/$L108)*((1+Inputs!$D$7)^BJ$2)),((INT(BJ$2/$L108)-INT((BJ$2-1)/$L108))*$U108*((1+Inputs!$D$7)^BJ$2))),(_xlfn.WEIBULL.DIST(BJ$2,$M108,$L108,FALSE)*$U108*((1+Inputs!$D$7)^BJ$2))),IF($N108=Lists!$K$3,IF($L108&lt;1,((($T108*(1-$F108)+$S108*(1-$G108))/$L108)*((1+Inputs!$D$7)^BJ$2)),((INT(BJ$2/$L108)-INT((BJ$2-1)/$L108))*($T108*(1-$F108)+$S108*(1-$G108))*((1+Inputs!$D$7)^BJ$2))),((_xlfn.WEIBULL.DIST(BJ$2,$M108,$L108,FALSE)*($T108*(1-$F108)+$S108*(1-$G108))*((1+Inputs!$D$7)^BJ$2))))))</f>
        <v>0</v>
      </c>
      <c r="BK108" s="88">
        <f>$E108*IF(BK$2&gt;Inputs!$D$5,0,IF(BK$2&gt;VLOOKUP($H108,Lists!$P$3:$Q$7,2),IF($N108=Lists!$K$3,IF($L108&lt;1,(($U108/$L108)*((1+Inputs!$D$7)^BK$2)),((INT(BK$2/$L108)-INT((BK$2-1)/$L108))*$U108*((1+Inputs!$D$7)^BK$2))),(_xlfn.WEIBULL.DIST(BK$2,$M108,$L108,FALSE)*$U108*((1+Inputs!$D$7)^BK$2))),IF($N108=Lists!$K$3,IF($L108&lt;1,((($T108*(1-$F108)+$S108*(1-$G108))/$L108)*((1+Inputs!$D$7)^BK$2)),((INT(BK$2/$L108)-INT((BK$2-1)/$L108))*($T108*(1-$F108)+$S108*(1-$G108))*((1+Inputs!$D$7)^BK$2))),((_xlfn.WEIBULL.DIST(BK$2,$M108,$L108,FALSE)*($T108*(1-$F108)+$S108*(1-$G108))*((1+Inputs!$D$7)^BK$2))))))</f>
        <v>0</v>
      </c>
      <c r="BL108" s="88">
        <f>$E108*IF(BL$2&gt;Inputs!$D$5,0,IF(BL$2&gt;VLOOKUP($H108,Lists!$P$3:$Q$7,2),IF($N108=Lists!$K$3,IF($L108&lt;1,(($U108/$L108)*((1+Inputs!$D$7)^BL$2)),((INT(BL$2/$L108)-INT((BL$2-1)/$L108))*$U108*((1+Inputs!$D$7)^BL$2))),(_xlfn.WEIBULL.DIST(BL$2,$M108,$L108,FALSE)*$U108*((1+Inputs!$D$7)^BL$2))),IF($N108=Lists!$K$3,IF($L108&lt;1,((($T108*(1-$F108)+$S108*(1-$G108))/$L108)*((1+Inputs!$D$7)^BL$2)),((INT(BL$2/$L108)-INT((BL$2-1)/$L108))*($T108*(1-$F108)+$S108*(1-$G108))*((1+Inputs!$D$7)^BL$2))),((_xlfn.WEIBULL.DIST(BL$2,$M108,$L108,FALSE)*($T108*(1-$F108)+$S108*(1-$G108))*((1+Inputs!$D$7)^BL$2))))))</f>
        <v>0</v>
      </c>
      <c r="BM108" s="88">
        <f>$E108*IF(BM$2&gt;Inputs!$D$5,0,IF(BM$2&gt;VLOOKUP($H108,Lists!$P$3:$Q$7,2),IF($N108=Lists!$K$3,IF($L108&lt;1,(($U108/$L108)*((1+Inputs!$D$7)^BM$2)),((INT(BM$2/$L108)-INT((BM$2-1)/$L108))*$U108*((1+Inputs!$D$7)^BM$2))),(_xlfn.WEIBULL.DIST(BM$2,$M108,$L108,FALSE)*$U108*((1+Inputs!$D$7)^BM$2))),IF($N108=Lists!$K$3,IF($L108&lt;1,((($T108*(1-$F108)+$S108*(1-$G108))/$L108)*((1+Inputs!$D$7)^BM$2)),((INT(BM$2/$L108)-INT((BM$2-1)/$L108))*($T108*(1-$F108)+$S108*(1-$G108))*((1+Inputs!$D$7)^BM$2))),((_xlfn.WEIBULL.DIST(BM$2,$M108,$L108,FALSE)*($T108*(1-$F108)+$S108*(1-$G108))*((1+Inputs!$D$7)^BM$2))))))</f>
        <v>0</v>
      </c>
      <c r="BN108" s="88">
        <f>$E108*IF(BN$2&gt;Inputs!$D$5,0,IF(BN$2&gt;VLOOKUP($H108,Lists!$P$3:$Q$7,2),IF($N108=Lists!$K$3,IF($L108&lt;1,(($U108/$L108)*((1+Inputs!$D$7)^BN$2)),((INT(BN$2/$L108)-INT((BN$2-1)/$L108))*$U108*((1+Inputs!$D$7)^BN$2))),(_xlfn.WEIBULL.DIST(BN$2,$M108,$L108,FALSE)*$U108*((1+Inputs!$D$7)^BN$2))),IF($N108=Lists!$K$3,IF($L108&lt;1,((($T108*(1-$F108)+$S108*(1-$G108))/$L108)*((1+Inputs!$D$7)^BN$2)),((INT(BN$2/$L108)-INT((BN$2-1)/$L108))*($T108*(1-$F108)+$S108*(1-$G108))*((1+Inputs!$D$7)^BN$2))),((_xlfn.WEIBULL.DIST(BN$2,$M108,$L108,FALSE)*($T108*(1-$F108)+$S108*(1-$G108))*((1+Inputs!$D$7)^BN$2))))))</f>
        <v>0</v>
      </c>
      <c r="BO108" s="64">
        <f>NPV(Inputs!$D$6,BQ108:DD108)</f>
        <v>327.30712505377187</v>
      </c>
      <c r="BP108" s="67">
        <f t="shared" si="27"/>
        <v>1.5437401954091233E-4</v>
      </c>
      <c r="BQ108" s="88">
        <f>MAX(AA108,($E108*IF(BQ$2&gt;Inputs!$D$5,0,IF(BQ$2&gt;VLOOKUP($H108,Lists!$P$3:$Q$7,2),IF($N108=Lists!$K$3,IF($L108&lt;1,(($U108/$L108)*((1+Inputs!$D$7)^BQ$2)),((INT(BQ$2/$L108)-INT((BQ$2-1)/$L108))*$U108*((1+Inputs!$D$7)^BQ$2))),(Inputs!$D$8^((1-_xlfn.WEIBULL.DIST(BQ$2,$M108,$L108,FALSE))/_xlfn.WEIBULL.DIST(BQ$2,$M108,$L108,FALSE))*$U108*((1+Inputs!$D$7)^BQ$2))),IF($N108=Lists!$K$3,IF($L108&lt;1,((($T108*(1-$F108)+$S108*(1-$G108))/$L108)*((1+Inputs!$D$7)^BQ$2)),((INT(BQ$2/$L108)-INT((BQ$2-1)/$L108))*($T108*(1-$F108)+$S108*(1-$G108))*((1+Inputs!$D$7)^BQ$2))),((Inputs!$D$8^((1-_xlfn.WEIBULL.DIST(BQ$2,$M108,$L108,FALSE))/_xlfn.WEIBULL.DIST(BQ$2,$M108,$L108,FALSE))*($T108*(1-$F108)+$S108*(1-$G108))*((1+Inputs!$D$7)^BQ$2))))))))</f>
        <v>23.455488461538465</v>
      </c>
      <c r="BR108" s="88">
        <f>MAX(AB108,($E108*IF(BR$2&gt;Inputs!$D$5,0,IF(BR$2&gt;VLOOKUP($H108,Lists!$P$3:$Q$7,2),IF($N108=Lists!$K$3,IF($L108&lt;1,(($U108/$L108)*((1+Inputs!$D$7)^BR$2)),((INT(BR$2/$L108)-INT((BR$2-1)/$L108))*$U108*((1+Inputs!$D$7)^BR$2))),(Inputs!$D$8^((1-_xlfn.WEIBULL.DIST(BR$2,$M108,$L108,FALSE))/_xlfn.WEIBULL.DIST(BR$2,$M108,$L108,FALSE))*$U108*((1+Inputs!$D$7)^BR$2))),IF($N108=Lists!$K$3,IF($L108&lt;1,((($T108*(1-$F108)+$S108*(1-$G108))/$L108)*((1+Inputs!$D$7)^BR$2)),((INT(BR$2/$L108)-INT((BR$2-1)/$L108))*($T108*(1-$F108)+$S108*(1-$G108))*((1+Inputs!$D$7)^BR$2))),((Inputs!$D$8^((1-_xlfn.WEIBULL.DIST(BR$2,$M108,$L108,FALSE))/_xlfn.WEIBULL.DIST(BR$2,$M108,$L108,FALSE))*($T108*(1-$F108)+$S108*(1-$G108))*((1+Inputs!$D$7)^BR$2))))))))</f>
        <v>23.924598230769231</v>
      </c>
      <c r="BS108" s="88">
        <f>MAX(AC108,($E108*IF(BS$2&gt;Inputs!$D$5,0,IF(BS$2&gt;VLOOKUP($H108,Lists!$P$3:$Q$7,2),IF($N108=Lists!$K$3,IF($L108&lt;1,(($U108/$L108)*((1+Inputs!$D$7)^BS$2)),((INT(BS$2/$L108)-INT((BS$2-1)/$L108))*$U108*((1+Inputs!$D$7)^BS$2))),(Inputs!$D$8^((1-_xlfn.WEIBULL.DIST(BS$2,$M108,$L108,FALSE))/_xlfn.WEIBULL.DIST(BS$2,$M108,$L108,FALSE))*$U108*((1+Inputs!$D$7)^BS$2))),IF($N108=Lists!$K$3,IF($L108&lt;1,((($T108*(1-$F108)+$S108*(1-$G108))/$L108)*((1+Inputs!$D$7)^BS$2)),((INT(BS$2/$L108)-INT((BS$2-1)/$L108))*($T108*(1-$F108)+$S108*(1-$G108))*((1+Inputs!$D$7)^BS$2))),((Inputs!$D$8^((1-_xlfn.WEIBULL.DIST(BS$2,$M108,$L108,FALSE))/_xlfn.WEIBULL.DIST(BS$2,$M108,$L108,FALSE))*($T108*(1-$F108)+$S108*(1-$G108))*((1+Inputs!$D$7)^BS$2))))))))</f>
        <v>24.403090195384614</v>
      </c>
      <c r="BT108" s="88">
        <f>MAX(AD108,($E108*IF(BT$2&gt;Inputs!$D$5,0,IF(BT$2&gt;VLOOKUP($H108,Lists!$P$3:$Q$7,2),IF($N108=Lists!$K$3,IF($L108&lt;1,(($U108/$L108)*((1+Inputs!$D$7)^BT$2)),((INT(BT$2/$L108)-INT((BT$2-1)/$L108))*$U108*((1+Inputs!$D$7)^BT$2))),(Inputs!$D$8^((1-_xlfn.WEIBULL.DIST(BT$2,$M108,$L108,FALSE))/_xlfn.WEIBULL.DIST(BT$2,$M108,$L108,FALSE))*$U108*((1+Inputs!$D$7)^BT$2))),IF($N108=Lists!$K$3,IF($L108&lt;1,((($T108*(1-$F108)+$S108*(1-$G108))/$L108)*((1+Inputs!$D$7)^BT$2)),((INT(BT$2/$L108)-INT((BT$2-1)/$L108))*($T108*(1-$F108)+$S108*(1-$G108))*((1+Inputs!$D$7)^BT$2))),((Inputs!$D$8^((1-_xlfn.WEIBULL.DIST(BT$2,$M108,$L108,FALSE))/_xlfn.WEIBULL.DIST(BT$2,$M108,$L108,FALSE))*($T108*(1-$F108)+$S108*(1-$G108))*((1+Inputs!$D$7)^BT$2))))))))</f>
        <v>24.891151999292308</v>
      </c>
      <c r="BU108" s="88">
        <f>MAX(AE108,($E108*IF(BU$2&gt;Inputs!$D$5,0,IF(BU$2&gt;VLOOKUP($H108,Lists!$P$3:$Q$7,2),IF($N108=Lists!$K$3,IF($L108&lt;1,(($U108/$L108)*((1+Inputs!$D$7)^BU$2)),((INT(BU$2/$L108)-INT((BU$2-1)/$L108))*$U108*((1+Inputs!$D$7)^BU$2))),(Inputs!$D$8^((1-_xlfn.WEIBULL.DIST(BU$2,$M108,$L108,FALSE))/_xlfn.WEIBULL.DIST(BU$2,$M108,$L108,FALSE))*$U108*((1+Inputs!$D$7)^BU$2))),IF($N108=Lists!$K$3,IF($L108&lt;1,((($T108*(1-$F108)+$S108*(1-$G108))/$L108)*((1+Inputs!$D$7)^BU$2)),((INT(BU$2/$L108)-INT((BU$2-1)/$L108))*($T108*(1-$F108)+$S108*(1-$G108))*((1+Inputs!$D$7)^BU$2))),((Inputs!$D$8^((1-_xlfn.WEIBULL.DIST(BU$2,$M108,$L108,FALSE))/_xlfn.WEIBULL.DIST(BU$2,$M108,$L108,FALSE))*($T108*(1-$F108)+$S108*(1-$G108))*((1+Inputs!$D$7)^BU$2))))))))</f>
        <v>25.388975039278158</v>
      </c>
      <c r="BV108" s="88">
        <f>MAX(AF108,($E108*IF(BV$2&gt;Inputs!$D$5,0,IF(BV$2&gt;VLOOKUP($H108,Lists!$P$3:$Q$7,2),IF($N108=Lists!$K$3,IF($L108&lt;1,(($U108/$L108)*((1+Inputs!$D$7)^BV$2)),((INT(BV$2/$L108)-INT((BV$2-1)/$L108))*$U108*((1+Inputs!$D$7)^BV$2))),(Inputs!$D$8^((1-_xlfn.WEIBULL.DIST(BV$2,$M108,$L108,FALSE))/_xlfn.WEIBULL.DIST(BV$2,$M108,$L108,FALSE))*$U108*((1+Inputs!$D$7)^BV$2))),IF($N108=Lists!$K$3,IF($L108&lt;1,((($T108*(1-$F108)+$S108*(1-$G108))/$L108)*((1+Inputs!$D$7)^BV$2)),((INT(BV$2/$L108)-INT((BV$2-1)/$L108))*($T108*(1-$F108)+$S108*(1-$G108))*((1+Inputs!$D$7)^BV$2))),((Inputs!$D$8^((1-_xlfn.WEIBULL.DIST(BV$2,$M108,$L108,FALSE))/_xlfn.WEIBULL.DIST(BV$2,$M108,$L108,FALSE))*($T108*(1-$F108)+$S108*(1-$G108))*((1+Inputs!$D$7)^BV$2))))))))</f>
        <v>25.896754540063721</v>
      </c>
      <c r="BW108" s="88">
        <f>MAX(AG108,($E108*IF(BW$2&gt;Inputs!$D$5,0,IF(BW$2&gt;VLOOKUP($H108,Lists!$P$3:$Q$7,2),IF($N108=Lists!$K$3,IF($L108&lt;1,(($U108/$L108)*((1+Inputs!$D$7)^BW$2)),((INT(BW$2/$L108)-INT((BW$2-1)/$L108))*$U108*((1+Inputs!$D$7)^BW$2))),(Inputs!$D$8^((1-_xlfn.WEIBULL.DIST(BW$2,$M108,$L108,FALSE))/_xlfn.WEIBULL.DIST(BW$2,$M108,$L108,FALSE))*$U108*((1+Inputs!$D$7)^BW$2))),IF($N108=Lists!$K$3,IF($L108&lt;1,((($T108*(1-$F108)+$S108*(1-$G108))/$L108)*((1+Inputs!$D$7)^BW$2)),((INT(BW$2/$L108)-INT((BW$2-1)/$L108))*($T108*(1-$F108)+$S108*(1-$G108))*((1+Inputs!$D$7)^BW$2))),((Inputs!$D$8^((1-_xlfn.WEIBULL.DIST(BW$2,$M108,$L108,FALSE))/_xlfn.WEIBULL.DIST(BW$2,$M108,$L108,FALSE))*($T108*(1-$F108)+$S108*(1-$G108))*((1+Inputs!$D$7)^BW$2))))))))</f>
        <v>26.414689630864988</v>
      </c>
      <c r="BX108" s="88">
        <f>MAX(AH108,($E108*IF(BX$2&gt;Inputs!$D$5,0,IF(BX$2&gt;VLOOKUP($H108,Lists!$P$3:$Q$7,2),IF($N108=Lists!$K$3,IF($L108&lt;1,(($U108/$L108)*((1+Inputs!$D$7)^BX$2)),((INT(BX$2/$L108)-INT((BX$2-1)/$L108))*$U108*((1+Inputs!$D$7)^BX$2))),(Inputs!$D$8^((1-_xlfn.WEIBULL.DIST(BX$2,$M108,$L108,FALSE))/_xlfn.WEIBULL.DIST(BX$2,$M108,$L108,FALSE))*$U108*((1+Inputs!$D$7)^BX$2))),IF($N108=Lists!$K$3,IF($L108&lt;1,((($T108*(1-$F108)+$S108*(1-$G108))/$L108)*((1+Inputs!$D$7)^BX$2)),((INT(BX$2/$L108)-INT((BX$2-1)/$L108))*($T108*(1-$F108)+$S108*(1-$G108))*((1+Inputs!$D$7)^BX$2))),((Inputs!$D$8^((1-_xlfn.WEIBULL.DIST(BX$2,$M108,$L108,FALSE))/_xlfn.WEIBULL.DIST(BX$2,$M108,$L108,FALSE))*($T108*(1-$F108)+$S108*(1-$G108))*((1+Inputs!$D$7)^BX$2))))))))</f>
        <v>26.942983423482293</v>
      </c>
      <c r="BY108" s="88">
        <f>MAX(AI108,($E108*IF(BY$2&gt;Inputs!$D$5,0,IF(BY$2&gt;VLOOKUP($H108,Lists!$P$3:$Q$7,2),IF($N108=Lists!$K$3,IF($L108&lt;1,(($U108/$L108)*((1+Inputs!$D$7)^BY$2)),((INT(BY$2/$L108)-INT((BY$2-1)/$L108))*$U108*((1+Inputs!$D$7)^BY$2))),(Inputs!$D$8^((1-_xlfn.WEIBULL.DIST(BY$2,$M108,$L108,FALSE))/_xlfn.WEIBULL.DIST(BY$2,$M108,$L108,FALSE))*$U108*((1+Inputs!$D$7)^BY$2))),IF($N108=Lists!$K$3,IF($L108&lt;1,((($T108*(1-$F108)+$S108*(1-$G108))/$L108)*((1+Inputs!$D$7)^BY$2)),((INT(BY$2/$L108)-INT((BY$2-1)/$L108))*($T108*(1-$F108)+$S108*(1-$G108))*((1+Inputs!$D$7)^BY$2))),((Inputs!$D$8^((1-_xlfn.WEIBULL.DIST(BY$2,$M108,$L108,FALSE))/_xlfn.WEIBULL.DIST(BY$2,$M108,$L108,FALSE))*($T108*(1-$F108)+$S108*(1-$G108))*((1+Inputs!$D$7)^BY$2))))))))</f>
        <v>27.481843091951937</v>
      </c>
      <c r="BZ108" s="88">
        <f>MAX(AJ108,($E108*IF(BZ$2&gt;Inputs!$D$5,0,IF(BZ$2&gt;VLOOKUP($H108,Lists!$P$3:$Q$7,2),IF($N108=Lists!$K$3,IF($L108&lt;1,(($U108/$L108)*((1+Inputs!$D$7)^BZ$2)),((INT(BZ$2/$L108)-INT((BZ$2-1)/$L108))*$U108*((1+Inputs!$D$7)^BZ$2))),(Inputs!$D$8^((1-_xlfn.WEIBULL.DIST(BZ$2,$M108,$L108,FALSE))/_xlfn.WEIBULL.DIST(BZ$2,$M108,$L108,FALSE))*$U108*((1+Inputs!$D$7)^BZ$2))),IF($N108=Lists!$K$3,IF($L108&lt;1,((($T108*(1-$F108)+$S108*(1-$G108))/$L108)*((1+Inputs!$D$7)^BZ$2)),((INT(BZ$2/$L108)-INT((BZ$2-1)/$L108))*($T108*(1-$F108)+$S108*(1-$G108))*((1+Inputs!$D$7)^BZ$2))),((Inputs!$D$8^((1-_xlfn.WEIBULL.DIST(BZ$2,$M108,$L108,FALSE))/_xlfn.WEIBULL.DIST(BZ$2,$M108,$L108,FALSE))*($T108*(1-$F108)+$S108*(1-$G108))*((1+Inputs!$D$7)^BZ$2))))))))</f>
        <v>28.031479953790978</v>
      </c>
      <c r="CA108" s="88">
        <f>MAX(AK108,($E108*IF(CA$2&gt;Inputs!$D$5,0,IF(CA$2&gt;VLOOKUP($H108,Lists!$P$3:$Q$7,2),IF($N108=Lists!$K$3,IF($L108&lt;1,(($U108/$L108)*((1+Inputs!$D$7)^CA$2)),((INT(CA$2/$L108)-INT((CA$2-1)/$L108))*$U108*((1+Inputs!$D$7)^CA$2))),(Inputs!$D$8^((1-_xlfn.WEIBULL.DIST(CA$2,$M108,$L108,FALSE))/_xlfn.WEIBULL.DIST(CA$2,$M108,$L108,FALSE))*$U108*((1+Inputs!$D$7)^CA$2))),IF($N108=Lists!$K$3,IF($L108&lt;1,((($T108*(1-$F108)+$S108*(1-$G108))/$L108)*((1+Inputs!$D$7)^CA$2)),((INT(CA$2/$L108)-INT((CA$2-1)/$L108))*($T108*(1-$F108)+$S108*(1-$G108))*((1+Inputs!$D$7)^CA$2))),((Inputs!$D$8^((1-_xlfn.WEIBULL.DIST(CA$2,$M108,$L108,FALSE))/_xlfn.WEIBULL.DIST(CA$2,$M108,$L108,FALSE))*($T108*(1-$F108)+$S108*(1-$G108))*((1+Inputs!$D$7)^CA$2))))))))</f>
        <v>28.592109552866791</v>
      </c>
      <c r="CB108" s="88">
        <f>MAX(AL108,($E108*IF(CB$2&gt;Inputs!$D$5,0,IF(CB$2&gt;VLOOKUP($H108,Lists!$P$3:$Q$7,2),IF($N108=Lists!$K$3,IF($L108&lt;1,(($U108/$L108)*((1+Inputs!$D$7)^CB$2)),((INT(CB$2/$L108)-INT((CB$2-1)/$L108))*$U108*((1+Inputs!$D$7)^CB$2))),(Inputs!$D$8^((1-_xlfn.WEIBULL.DIST(CB$2,$M108,$L108,FALSE))/_xlfn.WEIBULL.DIST(CB$2,$M108,$L108,FALSE))*$U108*((1+Inputs!$D$7)^CB$2))),IF($N108=Lists!$K$3,IF($L108&lt;1,((($T108*(1-$F108)+$S108*(1-$G108))/$L108)*((1+Inputs!$D$7)^CB$2)),((INT(CB$2/$L108)-INT((CB$2-1)/$L108))*($T108*(1-$F108)+$S108*(1-$G108))*((1+Inputs!$D$7)^CB$2))),((Inputs!$D$8^((1-_xlfn.WEIBULL.DIST(CB$2,$M108,$L108,FALSE))/_xlfn.WEIBULL.DIST(CB$2,$M108,$L108,FALSE))*($T108*(1-$F108)+$S108*(1-$G108))*((1+Inputs!$D$7)^CB$2))))))))</f>
        <v>29.163951743924134</v>
      </c>
      <c r="CC108" s="88">
        <f>MAX(AM108,($E108*IF(CC$2&gt;Inputs!$D$5,0,IF(CC$2&gt;VLOOKUP($H108,Lists!$P$3:$Q$7,2),IF($N108=Lists!$K$3,IF($L108&lt;1,(($U108/$L108)*((1+Inputs!$D$7)^CC$2)),((INT(CC$2/$L108)-INT((CC$2-1)/$L108))*$U108*((1+Inputs!$D$7)^CC$2))),(Inputs!$D$8^((1-_xlfn.WEIBULL.DIST(CC$2,$M108,$L108,FALSE))/_xlfn.WEIBULL.DIST(CC$2,$M108,$L108,FALSE))*$U108*((1+Inputs!$D$7)^CC$2))),IF($N108=Lists!$K$3,IF($L108&lt;1,((($T108*(1-$F108)+$S108*(1-$G108))/$L108)*((1+Inputs!$D$7)^CC$2)),((INT(CC$2/$L108)-INT((CC$2-1)/$L108))*($T108*(1-$F108)+$S108*(1-$G108))*((1+Inputs!$D$7)^CC$2))),((Inputs!$D$8^((1-_xlfn.WEIBULL.DIST(CC$2,$M108,$L108,FALSE))/_xlfn.WEIBULL.DIST(CC$2,$M108,$L108,FALSE))*($T108*(1-$F108)+$S108*(1-$G108))*((1+Inputs!$D$7)^CC$2))))))))</f>
        <v>29.747230778802614</v>
      </c>
      <c r="CD108" s="88">
        <f>MAX(AN108,($E108*IF(CD$2&gt;Inputs!$D$5,0,IF(CD$2&gt;VLOOKUP($H108,Lists!$P$3:$Q$7,2),IF($N108=Lists!$K$3,IF($L108&lt;1,(($U108/$L108)*((1+Inputs!$D$7)^CD$2)),((INT(CD$2/$L108)-INT((CD$2-1)/$L108))*$U108*((1+Inputs!$D$7)^CD$2))),(Inputs!$D$8^((1-_xlfn.WEIBULL.DIST(CD$2,$M108,$L108,FALSE))/_xlfn.WEIBULL.DIST(CD$2,$M108,$L108,FALSE))*$U108*((1+Inputs!$D$7)^CD$2))),IF($N108=Lists!$K$3,IF($L108&lt;1,((($T108*(1-$F108)+$S108*(1-$G108))/$L108)*((1+Inputs!$D$7)^CD$2)),((INT(CD$2/$L108)-INT((CD$2-1)/$L108))*($T108*(1-$F108)+$S108*(1-$G108))*((1+Inputs!$D$7)^CD$2))),((Inputs!$D$8^((1-_xlfn.WEIBULL.DIST(CD$2,$M108,$L108,FALSE))/_xlfn.WEIBULL.DIST(CD$2,$M108,$L108,FALSE))*($T108*(1-$F108)+$S108*(1-$G108))*((1+Inputs!$D$7)^CD$2))))))))</f>
        <v>30.342175394378668</v>
      </c>
      <c r="CE108" s="88">
        <f>MAX(AO108,($E108*IF(CE$2&gt;Inputs!$D$5,0,IF(CE$2&gt;VLOOKUP($H108,Lists!$P$3:$Q$7,2),IF($N108=Lists!$K$3,IF($L108&lt;1,(($U108/$L108)*((1+Inputs!$D$7)^CE$2)),((INT(CE$2/$L108)-INT((CE$2-1)/$L108))*$U108*((1+Inputs!$D$7)^CE$2))),(Inputs!$D$8^((1-_xlfn.WEIBULL.DIST(CE$2,$M108,$L108,FALSE))/_xlfn.WEIBULL.DIST(CE$2,$M108,$L108,FALSE))*$U108*((1+Inputs!$D$7)^CE$2))),IF($N108=Lists!$K$3,IF($L108&lt;1,((($T108*(1-$F108)+$S108*(1-$G108))/$L108)*((1+Inputs!$D$7)^CE$2)),((INT(CE$2/$L108)-INT((CE$2-1)/$L108))*($T108*(1-$F108)+$S108*(1-$G108))*((1+Inputs!$D$7)^CE$2))),((Inputs!$D$8^((1-_xlfn.WEIBULL.DIST(CE$2,$M108,$L108,FALSE))/_xlfn.WEIBULL.DIST(CE$2,$M108,$L108,FALSE))*($T108*(1-$F108)+$S108*(1-$G108))*((1+Inputs!$D$7)^CE$2))))))))</f>
        <v>30.949018902266232</v>
      </c>
      <c r="CF108" s="88">
        <f>MAX(AP108,($E108*IF(CF$2&gt;Inputs!$D$5,0,IF(CF$2&gt;VLOOKUP($H108,Lists!$P$3:$Q$7,2),IF($N108=Lists!$K$3,IF($L108&lt;1,(($U108/$L108)*((1+Inputs!$D$7)^CF$2)),((INT(CF$2/$L108)-INT((CF$2-1)/$L108))*$U108*((1+Inputs!$D$7)^CF$2))),(Inputs!$D$8^((1-_xlfn.WEIBULL.DIST(CF$2,$M108,$L108,FALSE))/_xlfn.WEIBULL.DIST(CF$2,$M108,$L108,FALSE))*$U108*((1+Inputs!$D$7)^CF$2))),IF($N108=Lists!$K$3,IF($L108&lt;1,((($T108*(1-$F108)+$S108*(1-$G108))/$L108)*((1+Inputs!$D$7)^CF$2)),((INT(CF$2/$L108)-INT((CF$2-1)/$L108))*($T108*(1-$F108)+$S108*(1-$G108))*((1+Inputs!$D$7)^CF$2))),((Inputs!$D$8^((1-_xlfn.WEIBULL.DIST(CF$2,$M108,$L108,FALSE))/_xlfn.WEIBULL.DIST(CF$2,$M108,$L108,FALSE))*($T108*(1-$F108)+$S108*(1-$G108))*((1+Inputs!$D$7)^CF$2))))))))</f>
        <v>31.567999280311565</v>
      </c>
      <c r="CG108" s="88">
        <f>MAX(AQ108,($E108*IF(CG$2&gt;Inputs!$D$5,0,IF(CG$2&gt;VLOOKUP($H108,Lists!$P$3:$Q$7,2),IF($N108=Lists!$K$3,IF($L108&lt;1,(($U108/$L108)*((1+Inputs!$D$7)^CG$2)),((INT(CG$2/$L108)-INT((CG$2-1)/$L108))*$U108*((1+Inputs!$D$7)^CG$2))),(Inputs!$D$8^((1-_xlfn.WEIBULL.DIST(CG$2,$M108,$L108,FALSE))/_xlfn.WEIBULL.DIST(CG$2,$M108,$L108,FALSE))*$U108*((1+Inputs!$D$7)^CG$2))),IF($N108=Lists!$K$3,IF($L108&lt;1,((($T108*(1-$F108)+$S108*(1-$G108))/$L108)*((1+Inputs!$D$7)^CG$2)),((INT(CG$2/$L108)-INT((CG$2-1)/$L108))*($T108*(1-$F108)+$S108*(1-$G108))*((1+Inputs!$D$7)^CG$2))),((Inputs!$D$8^((1-_xlfn.WEIBULL.DIST(CG$2,$M108,$L108,FALSE))/_xlfn.WEIBULL.DIST(CG$2,$M108,$L108,FALSE))*($T108*(1-$F108)+$S108*(1-$G108))*((1+Inputs!$D$7)^CG$2))))))))</f>
        <v>32.199359265917799</v>
      </c>
      <c r="CH108" s="88">
        <f>MAX(AR108,($E108*IF(CH$2&gt;Inputs!$D$5,0,IF(CH$2&gt;VLOOKUP($H108,Lists!$P$3:$Q$7,2),IF($N108=Lists!$K$3,IF($L108&lt;1,(($U108/$L108)*((1+Inputs!$D$7)^CH$2)),((INT(CH$2/$L108)-INT((CH$2-1)/$L108))*$U108*((1+Inputs!$D$7)^CH$2))),(Inputs!$D$8^((1-_xlfn.WEIBULL.DIST(CH$2,$M108,$L108,FALSE))/_xlfn.WEIBULL.DIST(CH$2,$M108,$L108,FALSE))*$U108*((1+Inputs!$D$7)^CH$2))),IF($N108=Lists!$K$3,IF($L108&lt;1,((($T108*(1-$F108)+$S108*(1-$G108))/$L108)*((1+Inputs!$D$7)^CH$2)),((INT(CH$2/$L108)-INT((CH$2-1)/$L108))*($T108*(1-$F108)+$S108*(1-$G108))*((1+Inputs!$D$7)^CH$2))),((Inputs!$D$8^((1-_xlfn.WEIBULL.DIST(CH$2,$M108,$L108,FALSE))/_xlfn.WEIBULL.DIST(CH$2,$M108,$L108,FALSE))*($T108*(1-$F108)+$S108*(1-$G108))*((1+Inputs!$D$7)^CH$2))))))))</f>
        <v>32.843346451236151</v>
      </c>
      <c r="CI108" s="88">
        <f>MAX(AS108,($E108*IF(CI$2&gt;Inputs!$D$5,0,IF(CI$2&gt;VLOOKUP($H108,Lists!$P$3:$Q$7,2),IF($N108=Lists!$K$3,IF($L108&lt;1,(($U108/$L108)*((1+Inputs!$D$7)^CI$2)),((INT(CI$2/$L108)-INT((CI$2-1)/$L108))*$U108*((1+Inputs!$D$7)^CI$2))),(Inputs!$D$8^((1-_xlfn.WEIBULL.DIST(CI$2,$M108,$L108,FALSE))/_xlfn.WEIBULL.DIST(CI$2,$M108,$L108,FALSE))*$U108*((1+Inputs!$D$7)^CI$2))),IF($N108=Lists!$K$3,IF($L108&lt;1,((($T108*(1-$F108)+$S108*(1-$G108))/$L108)*((1+Inputs!$D$7)^CI$2)),((INT(CI$2/$L108)-INT((CI$2-1)/$L108))*($T108*(1-$F108)+$S108*(1-$G108))*((1+Inputs!$D$7)^CI$2))),((Inputs!$D$8^((1-_xlfn.WEIBULL.DIST(CI$2,$M108,$L108,FALSE))/_xlfn.WEIBULL.DIST(CI$2,$M108,$L108,FALSE))*($T108*(1-$F108)+$S108*(1-$G108))*((1+Inputs!$D$7)^CI$2))))))))</f>
        <v>33.500213380260874</v>
      </c>
      <c r="CJ108" s="88">
        <f>MAX(AT108,($E108*IF(CJ$2&gt;Inputs!$D$5,0,IF(CJ$2&gt;VLOOKUP($H108,Lists!$P$3:$Q$7,2),IF($N108=Lists!$K$3,IF($L108&lt;1,(($U108/$L108)*((1+Inputs!$D$7)^CJ$2)),((INT(CJ$2/$L108)-INT((CJ$2-1)/$L108))*$U108*((1+Inputs!$D$7)^CJ$2))),(Inputs!$D$8^((1-_xlfn.WEIBULL.DIST(CJ$2,$M108,$L108,FALSE))/_xlfn.WEIBULL.DIST(CJ$2,$M108,$L108,FALSE))*$U108*((1+Inputs!$D$7)^CJ$2))),IF($N108=Lists!$K$3,IF($L108&lt;1,((($T108*(1-$F108)+$S108*(1-$G108))/$L108)*((1+Inputs!$D$7)^CJ$2)),((INT(CJ$2/$L108)-INT((CJ$2-1)/$L108))*($T108*(1-$F108)+$S108*(1-$G108))*((1+Inputs!$D$7)^CJ$2))),((Inputs!$D$8^((1-_xlfn.WEIBULL.DIST(CJ$2,$M108,$L108,FALSE))/_xlfn.WEIBULL.DIST(CJ$2,$M108,$L108,FALSE))*($T108*(1-$F108)+$S108*(1-$G108))*((1+Inputs!$D$7)^CJ$2))))))))</f>
        <v>34.170217647866089</v>
      </c>
      <c r="CK108" s="88">
        <f>MAX(AU108,($E108*IF(CK$2&gt;Inputs!$D$5,0,IF(CK$2&gt;VLOOKUP($H108,Lists!$P$3:$Q$7,2),IF($N108=Lists!$K$3,IF($L108&lt;1,(($U108/$L108)*((1+Inputs!$D$7)^CK$2)),((INT(CK$2/$L108)-INT((CK$2-1)/$L108))*$U108*((1+Inputs!$D$7)^CK$2))),(Inputs!$D$8^((1-_xlfn.WEIBULL.DIST(CK$2,$M108,$L108,FALSE))/_xlfn.WEIBULL.DIST(CK$2,$M108,$L108,FALSE))*$U108*((1+Inputs!$D$7)^CK$2))),IF($N108=Lists!$K$3,IF($L108&lt;1,((($T108*(1-$F108)+$S108*(1-$G108))/$L108)*((1+Inputs!$D$7)^CK$2)),((INT(CK$2/$L108)-INT((CK$2-1)/$L108))*($T108*(1-$F108)+$S108*(1-$G108))*((1+Inputs!$D$7)^CK$2))),((Inputs!$D$8^((1-_xlfn.WEIBULL.DIST(CK$2,$M108,$L108,FALSE))/_xlfn.WEIBULL.DIST(CK$2,$M108,$L108,FALSE))*($T108*(1-$F108)+$S108*(1-$G108))*((1+Inputs!$D$7)^CK$2))))))))</f>
        <v>34.853622000823414</v>
      </c>
      <c r="CL108" s="88">
        <f>MAX(AV108,($E108*IF(CL$2&gt;Inputs!$D$5,0,IF(CL$2&gt;VLOOKUP($H108,Lists!$P$3:$Q$7,2),IF($N108=Lists!$K$3,IF($L108&lt;1,(($U108/$L108)*((1+Inputs!$D$7)^CL$2)),((INT(CL$2/$L108)-INT((CL$2-1)/$L108))*$U108*((1+Inputs!$D$7)^CL$2))),(Inputs!$D$8^((1-_xlfn.WEIBULL.DIST(CL$2,$M108,$L108,FALSE))/_xlfn.WEIBULL.DIST(CL$2,$M108,$L108,FALSE))*$U108*((1+Inputs!$D$7)^CL$2))),IF($N108=Lists!$K$3,IF($L108&lt;1,((($T108*(1-$F108)+$S108*(1-$G108))/$L108)*((1+Inputs!$D$7)^CL$2)),((INT(CL$2/$L108)-INT((CL$2-1)/$L108))*($T108*(1-$F108)+$S108*(1-$G108))*((1+Inputs!$D$7)^CL$2))),((Inputs!$D$8^((1-_xlfn.WEIBULL.DIST(CL$2,$M108,$L108,FALSE))/_xlfn.WEIBULL.DIST(CL$2,$M108,$L108,FALSE))*($T108*(1-$F108)+$S108*(1-$G108))*((1+Inputs!$D$7)^CL$2))))))))</f>
        <v>35.550694440839884</v>
      </c>
      <c r="CM108" s="88">
        <f>MAX(AW108,($E108*IF(CM$2&gt;Inputs!$D$5,0,IF(CM$2&gt;VLOOKUP($H108,Lists!$P$3:$Q$7,2),IF($N108=Lists!$K$3,IF($L108&lt;1,(($U108/$L108)*((1+Inputs!$D$7)^CM$2)),((INT(CM$2/$L108)-INT((CM$2-1)/$L108))*$U108*((1+Inputs!$D$7)^CM$2))),(Inputs!$D$8^((1-_xlfn.WEIBULL.DIST(CM$2,$M108,$L108,FALSE))/_xlfn.WEIBULL.DIST(CM$2,$M108,$L108,FALSE))*$U108*((1+Inputs!$D$7)^CM$2))),IF($N108=Lists!$K$3,IF($L108&lt;1,((($T108*(1-$F108)+$S108*(1-$G108))/$L108)*((1+Inputs!$D$7)^CM$2)),((INT(CM$2/$L108)-INT((CM$2-1)/$L108))*($T108*(1-$F108)+$S108*(1-$G108))*((1+Inputs!$D$7)^CM$2))),((Inputs!$D$8^((1-_xlfn.WEIBULL.DIST(CM$2,$M108,$L108,FALSE))/_xlfn.WEIBULL.DIST(CM$2,$M108,$L108,FALSE))*($T108*(1-$F108)+$S108*(1-$G108))*((1+Inputs!$D$7)^CM$2))))))))</f>
        <v>36.26170832965667</v>
      </c>
      <c r="CN108" s="88">
        <f>MAX(AX108,($E108*IF(CN$2&gt;Inputs!$D$5,0,IF(CN$2&gt;VLOOKUP($H108,Lists!$P$3:$Q$7,2),IF($N108=Lists!$K$3,IF($L108&lt;1,(($U108/$L108)*((1+Inputs!$D$7)^CN$2)),((INT(CN$2/$L108)-INT((CN$2-1)/$L108))*$U108*((1+Inputs!$D$7)^CN$2))),(Inputs!$D$8^((1-_xlfn.WEIBULL.DIST(CN$2,$M108,$L108,FALSE))/_xlfn.WEIBULL.DIST(CN$2,$M108,$L108,FALSE))*$U108*((1+Inputs!$D$7)^CN$2))),IF($N108=Lists!$K$3,IF($L108&lt;1,((($T108*(1-$F108)+$S108*(1-$G108))/$L108)*((1+Inputs!$D$7)^CN$2)),((INT(CN$2/$L108)-INT((CN$2-1)/$L108))*($T108*(1-$F108)+$S108*(1-$G108))*((1+Inputs!$D$7)^CN$2))),((Inputs!$D$8^((1-_xlfn.WEIBULL.DIST(CN$2,$M108,$L108,FALSE))/_xlfn.WEIBULL.DIST(CN$2,$M108,$L108,FALSE))*($T108*(1-$F108)+$S108*(1-$G108))*((1+Inputs!$D$7)^CN$2))))))))</f>
        <v>36.98694249624981</v>
      </c>
      <c r="CO108" s="88">
        <f>MAX(AY108,($E108*IF(CO$2&gt;Inputs!$D$5,0,IF(CO$2&gt;VLOOKUP($H108,Lists!$P$3:$Q$7,2),IF($N108=Lists!$K$3,IF($L108&lt;1,(($U108/$L108)*((1+Inputs!$D$7)^CO$2)),((INT(CO$2/$L108)-INT((CO$2-1)/$L108))*$U108*((1+Inputs!$D$7)^CO$2))),(Inputs!$D$8^((1-_xlfn.WEIBULL.DIST(CO$2,$M108,$L108,FALSE))/_xlfn.WEIBULL.DIST(CO$2,$M108,$L108,FALSE))*$U108*((1+Inputs!$D$7)^CO$2))),IF($N108=Lists!$K$3,IF($L108&lt;1,((($T108*(1-$F108)+$S108*(1-$G108))/$L108)*((1+Inputs!$D$7)^CO$2)),((INT(CO$2/$L108)-INT((CO$2-1)/$L108))*($T108*(1-$F108)+$S108*(1-$G108))*((1+Inputs!$D$7)^CO$2))),((Inputs!$D$8^((1-_xlfn.WEIBULL.DIST(CO$2,$M108,$L108,FALSE))/_xlfn.WEIBULL.DIST(CO$2,$M108,$L108,FALSE))*($T108*(1-$F108)+$S108*(1-$G108))*((1+Inputs!$D$7)^CO$2))))))))</f>
        <v>37.726681346174807</v>
      </c>
      <c r="CP108" s="88">
        <f>MAX(AZ108,($E108*IF(CP$2&gt;Inputs!$D$5,0,IF(CP$2&gt;VLOOKUP($H108,Lists!$P$3:$Q$7,2),IF($N108=Lists!$K$3,IF($L108&lt;1,(($U108/$L108)*((1+Inputs!$D$7)^CP$2)),((INT(CP$2/$L108)-INT((CP$2-1)/$L108))*$U108*((1+Inputs!$D$7)^CP$2))),(Inputs!$D$8^((1-_xlfn.WEIBULL.DIST(CP$2,$M108,$L108,FALSE))/_xlfn.WEIBULL.DIST(CP$2,$M108,$L108,FALSE))*$U108*((1+Inputs!$D$7)^CP$2))),IF($N108=Lists!$K$3,IF($L108&lt;1,((($T108*(1-$F108)+$S108*(1-$G108))/$L108)*((1+Inputs!$D$7)^CP$2)),((INT(CP$2/$L108)-INT((CP$2-1)/$L108))*($T108*(1-$F108)+$S108*(1-$G108))*((1+Inputs!$D$7)^CP$2))),((Inputs!$D$8^((1-_xlfn.WEIBULL.DIST(CP$2,$M108,$L108,FALSE))/_xlfn.WEIBULL.DIST(CP$2,$M108,$L108,FALSE))*($T108*(1-$F108)+$S108*(1-$G108))*((1+Inputs!$D$7)^CP$2))))))))</f>
        <v>0</v>
      </c>
      <c r="CQ108" s="88">
        <f>MAX(BA108,($E108*IF(CQ$2&gt;Inputs!$D$5,0,IF(CQ$2&gt;VLOOKUP($H108,Lists!$P$3:$Q$7,2),IF($N108=Lists!$K$3,IF($L108&lt;1,(($U108/$L108)*((1+Inputs!$D$7)^CQ$2)),((INT(CQ$2/$L108)-INT((CQ$2-1)/$L108))*$U108*((1+Inputs!$D$7)^CQ$2))),(Inputs!$D$8^((1-_xlfn.WEIBULL.DIST(CQ$2,$M108,$L108,FALSE))/_xlfn.WEIBULL.DIST(CQ$2,$M108,$L108,FALSE))*$U108*((1+Inputs!$D$7)^CQ$2))),IF($N108=Lists!$K$3,IF($L108&lt;1,((($T108*(1-$F108)+$S108*(1-$G108))/$L108)*((1+Inputs!$D$7)^CQ$2)),((INT(CQ$2/$L108)-INT((CQ$2-1)/$L108))*($T108*(1-$F108)+$S108*(1-$G108))*((1+Inputs!$D$7)^CQ$2))),((Inputs!$D$8^((1-_xlfn.WEIBULL.DIST(CQ$2,$M108,$L108,FALSE))/_xlfn.WEIBULL.DIST(CQ$2,$M108,$L108,FALSE))*($T108*(1-$F108)+$S108*(1-$G108))*((1+Inputs!$D$7)^CQ$2))))))))</f>
        <v>0</v>
      </c>
      <c r="CR108" s="88">
        <f>MAX(BB108,($E108*IF(CR$2&gt;Inputs!$D$5,0,IF(CR$2&gt;VLOOKUP($H108,Lists!$P$3:$Q$7,2),IF($N108=Lists!$K$3,IF($L108&lt;1,(($U108/$L108)*((1+Inputs!$D$7)^CR$2)),((INT(CR$2/$L108)-INT((CR$2-1)/$L108))*$U108*((1+Inputs!$D$7)^CR$2))),(Inputs!$D$8^((1-_xlfn.WEIBULL.DIST(CR$2,$M108,$L108,FALSE))/_xlfn.WEIBULL.DIST(CR$2,$M108,$L108,FALSE))*$U108*((1+Inputs!$D$7)^CR$2))),IF($N108=Lists!$K$3,IF($L108&lt;1,((($T108*(1-$F108)+$S108*(1-$G108))/$L108)*((1+Inputs!$D$7)^CR$2)),((INT(CR$2/$L108)-INT((CR$2-1)/$L108))*($T108*(1-$F108)+$S108*(1-$G108))*((1+Inputs!$D$7)^CR$2))),((Inputs!$D$8^((1-_xlfn.WEIBULL.DIST(CR$2,$M108,$L108,FALSE))/_xlfn.WEIBULL.DIST(CR$2,$M108,$L108,FALSE))*($T108*(1-$F108)+$S108*(1-$G108))*((1+Inputs!$D$7)^CR$2))))))))</f>
        <v>0</v>
      </c>
      <c r="CS108" s="88">
        <f>MAX(BC108,($E108*IF(CS$2&gt;Inputs!$D$5,0,IF(CS$2&gt;VLOOKUP($H108,Lists!$P$3:$Q$7,2),IF($N108=Lists!$K$3,IF($L108&lt;1,(($U108/$L108)*((1+Inputs!$D$7)^CS$2)),((INT(CS$2/$L108)-INT((CS$2-1)/$L108))*$U108*((1+Inputs!$D$7)^CS$2))),(Inputs!$D$8^((1-_xlfn.WEIBULL.DIST(CS$2,$M108,$L108,FALSE))/_xlfn.WEIBULL.DIST(CS$2,$M108,$L108,FALSE))*$U108*((1+Inputs!$D$7)^CS$2))),IF($N108=Lists!$K$3,IF($L108&lt;1,((($T108*(1-$F108)+$S108*(1-$G108))/$L108)*((1+Inputs!$D$7)^CS$2)),((INT(CS$2/$L108)-INT((CS$2-1)/$L108))*($T108*(1-$F108)+$S108*(1-$G108))*((1+Inputs!$D$7)^CS$2))),((Inputs!$D$8^((1-_xlfn.WEIBULL.DIST(CS$2,$M108,$L108,FALSE))/_xlfn.WEIBULL.DIST(CS$2,$M108,$L108,FALSE))*($T108*(1-$F108)+$S108*(1-$G108))*((1+Inputs!$D$7)^CS$2))))))))</f>
        <v>0</v>
      </c>
      <c r="CT108" s="88">
        <f>MAX(BD108,($E108*IF(CT$2&gt;Inputs!$D$5,0,IF(CT$2&gt;VLOOKUP($H108,Lists!$P$3:$Q$7,2),IF($N108=Lists!$K$3,IF($L108&lt;1,(($U108/$L108)*((1+Inputs!$D$7)^CT$2)),((INT(CT$2/$L108)-INT((CT$2-1)/$L108))*$U108*((1+Inputs!$D$7)^CT$2))),(Inputs!$D$8^((1-_xlfn.WEIBULL.DIST(CT$2,$M108,$L108,FALSE))/_xlfn.WEIBULL.DIST(CT$2,$M108,$L108,FALSE))*$U108*((1+Inputs!$D$7)^CT$2))),IF($N108=Lists!$K$3,IF($L108&lt;1,((($T108*(1-$F108)+$S108*(1-$G108))/$L108)*((1+Inputs!$D$7)^CT$2)),((INT(CT$2/$L108)-INT((CT$2-1)/$L108))*($T108*(1-$F108)+$S108*(1-$G108))*((1+Inputs!$D$7)^CT$2))),((Inputs!$D$8^((1-_xlfn.WEIBULL.DIST(CT$2,$M108,$L108,FALSE))/_xlfn.WEIBULL.DIST(CT$2,$M108,$L108,FALSE))*($T108*(1-$F108)+$S108*(1-$G108))*((1+Inputs!$D$7)^CT$2))))))))</f>
        <v>0</v>
      </c>
      <c r="CU108" s="88">
        <f>MAX(BE108,($E108*IF(CU$2&gt;Inputs!$D$5,0,IF(CU$2&gt;VLOOKUP($H108,Lists!$P$3:$Q$7,2),IF($N108=Lists!$K$3,IF($L108&lt;1,(($U108/$L108)*((1+Inputs!$D$7)^CU$2)),((INT(CU$2/$L108)-INT((CU$2-1)/$L108))*$U108*((1+Inputs!$D$7)^CU$2))),(Inputs!$D$8^((1-_xlfn.WEIBULL.DIST(CU$2,$M108,$L108,FALSE))/_xlfn.WEIBULL.DIST(CU$2,$M108,$L108,FALSE))*$U108*((1+Inputs!$D$7)^CU$2))),IF($N108=Lists!$K$3,IF($L108&lt;1,((($T108*(1-$F108)+$S108*(1-$G108))/$L108)*((1+Inputs!$D$7)^CU$2)),((INT(CU$2/$L108)-INT((CU$2-1)/$L108))*($T108*(1-$F108)+$S108*(1-$G108))*((1+Inputs!$D$7)^CU$2))),((Inputs!$D$8^((1-_xlfn.WEIBULL.DIST(CU$2,$M108,$L108,FALSE))/_xlfn.WEIBULL.DIST(CU$2,$M108,$L108,FALSE))*($T108*(1-$F108)+$S108*(1-$G108))*((1+Inputs!$D$7)^CU$2))))))))</f>
        <v>0</v>
      </c>
      <c r="CV108" s="88">
        <f>MAX(BF108,($E108*IF(CV$2&gt;Inputs!$D$5,0,IF(CV$2&gt;VLOOKUP($H108,Lists!$P$3:$Q$7,2),IF($N108=Lists!$K$3,IF($L108&lt;1,(($U108/$L108)*((1+Inputs!$D$7)^CV$2)),((INT(CV$2/$L108)-INT((CV$2-1)/$L108))*$U108*((1+Inputs!$D$7)^CV$2))),(Inputs!$D$8^((1-_xlfn.WEIBULL.DIST(CV$2,$M108,$L108,FALSE))/_xlfn.WEIBULL.DIST(CV$2,$M108,$L108,FALSE))*$U108*((1+Inputs!$D$7)^CV$2))),IF($N108=Lists!$K$3,IF($L108&lt;1,((($T108*(1-$F108)+$S108*(1-$G108))/$L108)*((1+Inputs!$D$7)^CV$2)),((INT(CV$2/$L108)-INT((CV$2-1)/$L108))*($T108*(1-$F108)+$S108*(1-$G108))*((1+Inputs!$D$7)^CV$2))),((Inputs!$D$8^((1-_xlfn.WEIBULL.DIST(CV$2,$M108,$L108,FALSE))/_xlfn.WEIBULL.DIST(CV$2,$M108,$L108,FALSE))*($T108*(1-$F108)+$S108*(1-$G108))*((1+Inputs!$D$7)^CV$2))))))))</f>
        <v>0</v>
      </c>
      <c r="CW108" s="88">
        <f>MAX(BG108,($E108*IF(CW$2&gt;Inputs!$D$5,0,IF(CW$2&gt;VLOOKUP($H108,Lists!$P$3:$Q$7,2),IF($N108=Lists!$K$3,IF($L108&lt;1,(($U108/$L108)*((1+Inputs!$D$7)^CW$2)),((INT(CW$2/$L108)-INT((CW$2-1)/$L108))*$U108*((1+Inputs!$D$7)^CW$2))),(Inputs!$D$8^((1-_xlfn.WEIBULL.DIST(CW$2,$M108,$L108,FALSE))/_xlfn.WEIBULL.DIST(CW$2,$M108,$L108,FALSE))*$U108*((1+Inputs!$D$7)^CW$2))),IF($N108=Lists!$K$3,IF($L108&lt;1,((($T108*(1-$F108)+$S108*(1-$G108))/$L108)*((1+Inputs!$D$7)^CW$2)),((INT(CW$2/$L108)-INT((CW$2-1)/$L108))*($T108*(1-$F108)+$S108*(1-$G108))*((1+Inputs!$D$7)^CW$2))),((Inputs!$D$8^((1-_xlfn.WEIBULL.DIST(CW$2,$M108,$L108,FALSE))/_xlfn.WEIBULL.DIST(CW$2,$M108,$L108,FALSE))*($T108*(1-$F108)+$S108*(1-$G108))*((1+Inputs!$D$7)^CW$2))))))))</f>
        <v>0</v>
      </c>
      <c r="CX108" s="88">
        <f>MAX(BH108,($E108*IF(CX$2&gt;Inputs!$D$5,0,IF(CX$2&gt;VLOOKUP($H108,Lists!$P$3:$Q$7,2),IF($N108=Lists!$K$3,IF($L108&lt;1,(($U108/$L108)*((1+Inputs!$D$7)^CX$2)),((INT(CX$2/$L108)-INT((CX$2-1)/$L108))*$U108*((1+Inputs!$D$7)^CX$2))),(Inputs!$D$8^((1-_xlfn.WEIBULL.DIST(CX$2,$M108,$L108,FALSE))/_xlfn.WEIBULL.DIST(CX$2,$M108,$L108,FALSE))*$U108*((1+Inputs!$D$7)^CX$2))),IF($N108=Lists!$K$3,IF($L108&lt;1,((($T108*(1-$F108)+$S108*(1-$G108))/$L108)*((1+Inputs!$D$7)^CX$2)),((INT(CX$2/$L108)-INT((CX$2-1)/$L108))*($T108*(1-$F108)+$S108*(1-$G108))*((1+Inputs!$D$7)^CX$2))),((Inputs!$D$8^((1-_xlfn.WEIBULL.DIST(CX$2,$M108,$L108,FALSE))/_xlfn.WEIBULL.DIST(CX$2,$M108,$L108,FALSE))*($T108*(1-$F108)+$S108*(1-$G108))*((1+Inputs!$D$7)^CX$2))))))))</f>
        <v>0</v>
      </c>
      <c r="CY108" s="88">
        <f>MAX(BI108,($E108*IF(CY$2&gt;Inputs!$D$5,0,IF(CY$2&gt;VLOOKUP($H108,Lists!$P$3:$Q$7,2),IF($N108=Lists!$K$3,IF($L108&lt;1,(($U108/$L108)*((1+Inputs!$D$7)^CY$2)),((INT(CY$2/$L108)-INT((CY$2-1)/$L108))*$U108*((1+Inputs!$D$7)^CY$2))),(Inputs!$D$8^((1-_xlfn.WEIBULL.DIST(CY$2,$M108,$L108,FALSE))/_xlfn.WEIBULL.DIST(CY$2,$M108,$L108,FALSE))*$U108*((1+Inputs!$D$7)^CY$2))),IF($N108=Lists!$K$3,IF($L108&lt;1,((($T108*(1-$F108)+$S108*(1-$G108))/$L108)*((1+Inputs!$D$7)^CY$2)),((INT(CY$2/$L108)-INT((CY$2-1)/$L108))*($T108*(1-$F108)+$S108*(1-$G108))*((1+Inputs!$D$7)^CY$2))),((Inputs!$D$8^((1-_xlfn.WEIBULL.DIST(CY$2,$M108,$L108,FALSE))/_xlfn.WEIBULL.DIST(CY$2,$M108,$L108,FALSE))*($T108*(1-$F108)+$S108*(1-$G108))*((1+Inputs!$D$7)^CY$2))))))))</f>
        <v>0</v>
      </c>
      <c r="CZ108" s="88">
        <f>MAX(BJ108,($E108*IF(CZ$2&gt;Inputs!$D$5,0,IF(CZ$2&gt;VLOOKUP($H108,Lists!$P$3:$Q$7,2),IF($N108=Lists!$K$3,IF($L108&lt;1,(($U108/$L108)*((1+Inputs!$D$7)^CZ$2)),((INT(CZ$2/$L108)-INT((CZ$2-1)/$L108))*$U108*((1+Inputs!$D$7)^CZ$2))),(Inputs!$D$8^((1-_xlfn.WEIBULL.DIST(CZ$2,$M108,$L108,FALSE))/_xlfn.WEIBULL.DIST(CZ$2,$M108,$L108,FALSE))*$U108*((1+Inputs!$D$7)^CZ$2))),IF($N108=Lists!$K$3,IF($L108&lt;1,((($T108*(1-$F108)+$S108*(1-$G108))/$L108)*((1+Inputs!$D$7)^CZ$2)),((INT(CZ$2/$L108)-INT((CZ$2-1)/$L108))*($T108*(1-$F108)+$S108*(1-$G108))*((1+Inputs!$D$7)^CZ$2))),((Inputs!$D$8^((1-_xlfn.WEIBULL.DIST(CZ$2,$M108,$L108,FALSE))/_xlfn.WEIBULL.DIST(CZ$2,$M108,$L108,FALSE))*($T108*(1-$F108)+$S108*(1-$G108))*((1+Inputs!$D$7)^CZ$2))))))))</f>
        <v>0</v>
      </c>
      <c r="DA108" s="88">
        <f>MAX(BK108,($E108*IF(DA$2&gt;Inputs!$D$5,0,IF(DA$2&gt;VLOOKUP($H108,Lists!$P$3:$Q$7,2),IF($N108=Lists!$K$3,IF($L108&lt;1,(($U108/$L108)*((1+Inputs!$D$7)^DA$2)),((INT(DA$2/$L108)-INT((DA$2-1)/$L108))*$U108*((1+Inputs!$D$7)^DA$2))),(Inputs!$D$8^((1-_xlfn.WEIBULL.DIST(DA$2,$M108,$L108,FALSE))/_xlfn.WEIBULL.DIST(DA$2,$M108,$L108,FALSE))*$U108*((1+Inputs!$D$7)^DA$2))),IF($N108=Lists!$K$3,IF($L108&lt;1,((($T108*(1-$F108)+$S108*(1-$G108))/$L108)*((1+Inputs!$D$7)^DA$2)),((INT(DA$2/$L108)-INT((DA$2-1)/$L108))*($T108*(1-$F108)+$S108*(1-$G108))*((1+Inputs!$D$7)^DA$2))),((Inputs!$D$8^((1-_xlfn.WEIBULL.DIST(DA$2,$M108,$L108,FALSE))/_xlfn.WEIBULL.DIST(DA$2,$M108,$L108,FALSE))*($T108*(1-$F108)+$S108*(1-$G108))*((1+Inputs!$D$7)^DA$2))))))))</f>
        <v>0</v>
      </c>
      <c r="DB108" s="88">
        <f>MAX(BL108,($E108*IF(DB$2&gt;Inputs!$D$5,0,IF(DB$2&gt;VLOOKUP($H108,Lists!$P$3:$Q$7,2),IF($N108=Lists!$K$3,IF($L108&lt;1,(($U108/$L108)*((1+Inputs!$D$7)^DB$2)),((INT(DB$2/$L108)-INT((DB$2-1)/$L108))*$U108*((1+Inputs!$D$7)^DB$2))),(Inputs!$D$8^((1-_xlfn.WEIBULL.DIST(DB$2,$M108,$L108,FALSE))/_xlfn.WEIBULL.DIST(DB$2,$M108,$L108,FALSE))*$U108*((1+Inputs!$D$7)^DB$2))),IF($N108=Lists!$K$3,IF($L108&lt;1,((($T108*(1-$F108)+$S108*(1-$G108))/$L108)*((1+Inputs!$D$7)^DB$2)),((INT(DB$2/$L108)-INT((DB$2-1)/$L108))*($T108*(1-$F108)+$S108*(1-$G108))*((1+Inputs!$D$7)^DB$2))),((Inputs!$D$8^((1-_xlfn.WEIBULL.DIST(DB$2,$M108,$L108,FALSE))/_xlfn.WEIBULL.DIST(DB$2,$M108,$L108,FALSE))*($T108*(1-$F108)+$S108*(1-$G108))*((1+Inputs!$D$7)^DB$2))))))))</f>
        <v>0</v>
      </c>
      <c r="DC108" s="88">
        <f>MAX(BM108,($E108*IF(DC$2&gt;Inputs!$D$5,0,IF(DC$2&gt;VLOOKUP($H108,Lists!$P$3:$Q$7,2),IF($N108=Lists!$K$3,IF($L108&lt;1,(($U108/$L108)*((1+Inputs!$D$7)^DC$2)),((INT(DC$2/$L108)-INT((DC$2-1)/$L108))*$U108*((1+Inputs!$D$7)^DC$2))),(Inputs!$D$8^((1-_xlfn.WEIBULL.DIST(DC$2,$M108,$L108,FALSE))/_xlfn.WEIBULL.DIST(DC$2,$M108,$L108,FALSE))*$U108*((1+Inputs!$D$7)^DC$2))),IF($N108=Lists!$K$3,IF($L108&lt;1,((($T108*(1-$F108)+$S108*(1-$G108))/$L108)*((1+Inputs!$D$7)^DC$2)),((INT(DC$2/$L108)-INT((DC$2-1)/$L108))*($T108*(1-$F108)+$S108*(1-$G108))*((1+Inputs!$D$7)^DC$2))),((Inputs!$D$8^((1-_xlfn.WEIBULL.DIST(DC$2,$M108,$L108,FALSE))/_xlfn.WEIBULL.DIST(DC$2,$M108,$L108,FALSE))*($T108*(1-$F108)+$S108*(1-$G108))*((1+Inputs!$D$7)^DC$2))))))))</f>
        <v>0</v>
      </c>
      <c r="DD108" s="88">
        <f>MAX(BN108,($E108*IF(DD$2&gt;Inputs!$D$5,0,IF(DD$2&gt;VLOOKUP($H108,Lists!$P$3:$Q$7,2),IF($N108=Lists!$K$3,IF($L108&lt;1,(($U108/$L108)*((1+Inputs!$D$7)^DD$2)),((INT(DD$2/$L108)-INT((DD$2-1)/$L108))*$U108*((1+Inputs!$D$7)^DD$2))),(Inputs!$D$8^((1-_xlfn.WEIBULL.DIST(DD$2,$M108,$L108,FALSE))/_xlfn.WEIBULL.DIST(DD$2,$M108,$L108,FALSE))*$U108*((1+Inputs!$D$7)^DD$2))),IF($N108=Lists!$K$3,IF($L108&lt;1,((($T108*(1-$F108)+$S108*(1-$G108))/$L108)*((1+Inputs!$D$7)^DD$2)),((INT(DD$2/$L108)-INT((DD$2-1)/$L108))*($T108*(1-$F108)+$S108*(1-$G108))*((1+Inputs!$D$7)^DD$2))),((Inputs!$D$8^((1-_xlfn.WEIBULL.DIST(DD$2,$M108,$L108,FALSE))/_xlfn.WEIBULL.DIST(DD$2,$M108,$L108,FALSE))*($T108*(1-$F108)+$S108*(1-$G108))*((1+Inputs!$D$7)^DD$2))))))))</f>
        <v>0</v>
      </c>
    </row>
    <row r="109" spans="1:108" ht="32">
      <c r="A109" s="57" t="s">
        <v>273</v>
      </c>
      <c r="B109" s="13" t="s">
        <v>279</v>
      </c>
      <c r="C109" s="13" t="s">
        <v>90</v>
      </c>
      <c r="D109" s="13" t="s">
        <v>123</v>
      </c>
      <c r="E109" s="48">
        <f>IF(Inputs!$D$46=Lists!$AC$3,0,1)</f>
        <v>0</v>
      </c>
      <c r="F109" s="48">
        <v>0</v>
      </c>
      <c r="G109" s="48">
        <v>0</v>
      </c>
      <c r="H109" s="105" t="s">
        <v>350</v>
      </c>
      <c r="I109" s="14" t="s">
        <v>263</v>
      </c>
      <c r="J109" s="14" t="s">
        <v>92</v>
      </c>
      <c r="K109" s="13">
        <f>VLOOKUP(J109,'Labor Rates'!$A$1:$F$16,2)</f>
        <v>33.17307692307692</v>
      </c>
      <c r="L109" s="15">
        <v>5</v>
      </c>
      <c r="M109" s="15">
        <v>1</v>
      </c>
      <c r="N109" s="13" t="s">
        <v>236</v>
      </c>
      <c r="O109" s="61">
        <f>Inputs!$D$25</f>
        <v>2341.9203747072602</v>
      </c>
      <c r="P109" s="15">
        <v>0.15</v>
      </c>
      <c r="Q109" s="15">
        <f t="shared" si="21"/>
        <v>70.257611241217802</v>
      </c>
      <c r="R109" s="4">
        <v>0</v>
      </c>
      <c r="S109" s="53">
        <f t="shared" si="22"/>
        <v>11653.30571068276</v>
      </c>
      <c r="T109" s="53">
        <f t="shared" si="23"/>
        <v>0</v>
      </c>
      <c r="U109" s="54">
        <f t="shared" si="24"/>
        <v>0</v>
      </c>
      <c r="V109" s="65"/>
      <c r="W109" s="58"/>
      <c r="X109" s="64">
        <f t="shared" si="25"/>
        <v>0</v>
      </c>
      <c r="Y109" s="64">
        <f>NPV(Inputs!$D$6,AA109:BN109)</f>
        <v>0</v>
      </c>
      <c r="Z109" s="67">
        <f t="shared" si="26"/>
        <v>0</v>
      </c>
      <c r="AA109" s="88">
        <f>$E109*IF(AA$2&gt;Inputs!$D$5,0,IF(AA$2&gt;VLOOKUP($H109,Lists!$P$3:$Q$7,2),IF($N109=Lists!$K$3,IF($L109&lt;1,(($U109/$L109)*((1+Inputs!$D$7)^AA$2)),((INT(AA$2/$L109)-INT((AA$2-1)/$L109))*$U109*((1+Inputs!$D$7)^AA$2))),(_xlfn.WEIBULL.DIST(AA$2,$M109,$L109,FALSE)*$U109*((1+Inputs!$D$7)^AA$2))),IF($N109=Lists!$K$3,IF($L109&lt;1,((($T109*(1-$F109)+$S109*(1-$G109))/$L109)*((1+Inputs!$D$7)^AA$2)),((INT(AA$2/$L109)-INT((AA$2-1)/$L109))*($T109*(1-$F109)+$S109*(1-$G109))*((1+Inputs!$D$7)^AA$2))),((_xlfn.WEIBULL.DIST(AA$2,$M109,$L109,FALSE)*($T109*(1-$F109)+$S109*(1-$G109))*((1+Inputs!$D$7)^AA$2))))))</f>
        <v>0</v>
      </c>
      <c r="AB109" s="88">
        <f>$E109*IF(AB$2&gt;Inputs!$D$5,0,IF(AB$2&gt;VLOOKUP($H109,Lists!$P$3:$Q$7,2),IF($N109=Lists!$K$3,IF($L109&lt;1,(($U109/$L109)*((1+Inputs!$D$7)^AB$2)),((INT(AB$2/$L109)-INT((AB$2-1)/$L109))*$U109*((1+Inputs!$D$7)^AB$2))),(_xlfn.WEIBULL.DIST(AB$2,$M109,$L109,FALSE)*$U109*((1+Inputs!$D$7)^AB$2))),IF($N109=Lists!$K$3,IF($L109&lt;1,((($T109*(1-$F109)+$S109*(1-$G109))/$L109)*((1+Inputs!$D$7)^AB$2)),((INT(AB$2/$L109)-INT((AB$2-1)/$L109))*($T109*(1-$F109)+$S109*(1-$G109))*((1+Inputs!$D$7)^AB$2))),((_xlfn.WEIBULL.DIST(AB$2,$M109,$L109,FALSE)*($T109*(1-$F109)+$S109*(1-$G109))*((1+Inputs!$D$7)^AB$2))))))</f>
        <v>0</v>
      </c>
      <c r="AC109" s="88">
        <f>$E109*IF(AC$2&gt;Inputs!$D$5,0,IF(AC$2&gt;VLOOKUP($H109,Lists!$P$3:$Q$7,2),IF($N109=Lists!$K$3,IF($L109&lt;1,(($U109/$L109)*((1+Inputs!$D$7)^AC$2)),((INT(AC$2/$L109)-INT((AC$2-1)/$L109))*$U109*((1+Inputs!$D$7)^AC$2))),(_xlfn.WEIBULL.DIST(AC$2,$M109,$L109,FALSE)*$U109*((1+Inputs!$D$7)^AC$2))),IF($N109=Lists!$K$3,IF($L109&lt;1,((($T109*(1-$F109)+$S109*(1-$G109))/$L109)*((1+Inputs!$D$7)^AC$2)),((INT(AC$2/$L109)-INT((AC$2-1)/$L109))*($T109*(1-$F109)+$S109*(1-$G109))*((1+Inputs!$D$7)^AC$2))),((_xlfn.WEIBULL.DIST(AC$2,$M109,$L109,FALSE)*($T109*(1-$F109)+$S109*(1-$G109))*((1+Inputs!$D$7)^AC$2))))))</f>
        <v>0</v>
      </c>
      <c r="AD109" s="88">
        <f>$E109*IF(AD$2&gt;Inputs!$D$5,0,IF(AD$2&gt;VLOOKUP($H109,Lists!$P$3:$Q$7,2),IF($N109=Lists!$K$3,IF($L109&lt;1,(($U109/$L109)*((1+Inputs!$D$7)^AD$2)),((INT(AD$2/$L109)-INT((AD$2-1)/$L109))*$U109*((1+Inputs!$D$7)^AD$2))),(_xlfn.WEIBULL.DIST(AD$2,$M109,$L109,FALSE)*$U109*((1+Inputs!$D$7)^AD$2))),IF($N109=Lists!$K$3,IF($L109&lt;1,((($T109*(1-$F109)+$S109*(1-$G109))/$L109)*((1+Inputs!$D$7)^AD$2)),((INT(AD$2/$L109)-INT((AD$2-1)/$L109))*($T109*(1-$F109)+$S109*(1-$G109))*((1+Inputs!$D$7)^AD$2))),((_xlfn.WEIBULL.DIST(AD$2,$M109,$L109,FALSE)*($T109*(1-$F109)+$S109*(1-$G109))*((1+Inputs!$D$7)^AD$2))))))</f>
        <v>0</v>
      </c>
      <c r="AE109" s="88">
        <f>$E109*IF(AE$2&gt;Inputs!$D$5,0,IF(AE$2&gt;VLOOKUP($H109,Lists!$P$3:$Q$7,2),IF($N109=Lists!$K$3,IF($L109&lt;1,(($U109/$L109)*((1+Inputs!$D$7)^AE$2)),((INT(AE$2/$L109)-INT((AE$2-1)/$L109))*$U109*((1+Inputs!$D$7)^AE$2))),(_xlfn.WEIBULL.DIST(AE$2,$M109,$L109,FALSE)*$U109*((1+Inputs!$D$7)^AE$2))),IF($N109=Lists!$K$3,IF($L109&lt;1,((($T109*(1-$F109)+$S109*(1-$G109))/$L109)*((1+Inputs!$D$7)^AE$2)),((INT(AE$2/$L109)-INT((AE$2-1)/$L109))*($T109*(1-$F109)+$S109*(1-$G109))*((1+Inputs!$D$7)^AE$2))),((_xlfn.WEIBULL.DIST(AE$2,$M109,$L109,FALSE)*($T109*(1-$F109)+$S109*(1-$G109))*((1+Inputs!$D$7)^AE$2))))))</f>
        <v>0</v>
      </c>
      <c r="AF109" s="88">
        <f>$E109*IF(AF$2&gt;Inputs!$D$5,0,IF(AF$2&gt;VLOOKUP($H109,Lists!$P$3:$Q$7,2),IF($N109=Lists!$K$3,IF($L109&lt;1,(($U109/$L109)*((1+Inputs!$D$7)^AF$2)),((INT(AF$2/$L109)-INT((AF$2-1)/$L109))*$U109*((1+Inputs!$D$7)^AF$2))),(_xlfn.WEIBULL.DIST(AF$2,$M109,$L109,FALSE)*$U109*((1+Inputs!$D$7)^AF$2))),IF($N109=Lists!$K$3,IF($L109&lt;1,((($T109*(1-$F109)+$S109*(1-$G109))/$L109)*((1+Inputs!$D$7)^AF$2)),((INT(AF$2/$L109)-INT((AF$2-1)/$L109))*($T109*(1-$F109)+$S109*(1-$G109))*((1+Inputs!$D$7)^AF$2))),((_xlfn.WEIBULL.DIST(AF$2,$M109,$L109,FALSE)*($T109*(1-$F109)+$S109*(1-$G109))*((1+Inputs!$D$7)^AF$2))))))</f>
        <v>0</v>
      </c>
      <c r="AG109" s="88">
        <f>$E109*IF(AG$2&gt;Inputs!$D$5,0,IF(AG$2&gt;VLOOKUP($H109,Lists!$P$3:$Q$7,2),IF($N109=Lists!$K$3,IF($L109&lt;1,(($U109/$L109)*((1+Inputs!$D$7)^AG$2)),((INT(AG$2/$L109)-INT((AG$2-1)/$L109))*$U109*((1+Inputs!$D$7)^AG$2))),(_xlfn.WEIBULL.DIST(AG$2,$M109,$L109,FALSE)*$U109*((1+Inputs!$D$7)^AG$2))),IF($N109=Lists!$K$3,IF($L109&lt;1,((($T109*(1-$F109)+$S109*(1-$G109))/$L109)*((1+Inputs!$D$7)^AG$2)),((INT(AG$2/$L109)-INT((AG$2-1)/$L109))*($T109*(1-$F109)+$S109*(1-$G109))*((1+Inputs!$D$7)^AG$2))),((_xlfn.WEIBULL.DIST(AG$2,$M109,$L109,FALSE)*($T109*(1-$F109)+$S109*(1-$G109))*((1+Inputs!$D$7)^AG$2))))))</f>
        <v>0</v>
      </c>
      <c r="AH109" s="88">
        <f>$E109*IF(AH$2&gt;Inputs!$D$5,0,IF(AH$2&gt;VLOOKUP($H109,Lists!$P$3:$Q$7,2),IF($N109=Lists!$K$3,IF($L109&lt;1,(($U109/$L109)*((1+Inputs!$D$7)^AH$2)),((INT(AH$2/$L109)-INT((AH$2-1)/$L109))*$U109*((1+Inputs!$D$7)^AH$2))),(_xlfn.WEIBULL.DIST(AH$2,$M109,$L109,FALSE)*$U109*((1+Inputs!$D$7)^AH$2))),IF($N109=Lists!$K$3,IF($L109&lt;1,((($T109*(1-$F109)+$S109*(1-$G109))/$L109)*((1+Inputs!$D$7)^AH$2)),((INT(AH$2/$L109)-INT((AH$2-1)/$L109))*($T109*(1-$F109)+$S109*(1-$G109))*((1+Inputs!$D$7)^AH$2))),((_xlfn.WEIBULL.DIST(AH$2,$M109,$L109,FALSE)*($T109*(1-$F109)+$S109*(1-$G109))*((1+Inputs!$D$7)^AH$2))))))</f>
        <v>0</v>
      </c>
      <c r="AI109" s="88">
        <f>$E109*IF(AI$2&gt;Inputs!$D$5,0,IF(AI$2&gt;VLOOKUP($H109,Lists!$P$3:$Q$7,2),IF($N109=Lists!$K$3,IF($L109&lt;1,(($U109/$L109)*((1+Inputs!$D$7)^AI$2)),((INT(AI$2/$L109)-INT((AI$2-1)/$L109))*$U109*((1+Inputs!$D$7)^AI$2))),(_xlfn.WEIBULL.DIST(AI$2,$M109,$L109,FALSE)*$U109*((1+Inputs!$D$7)^AI$2))),IF($N109=Lists!$K$3,IF($L109&lt;1,((($T109*(1-$F109)+$S109*(1-$G109))/$L109)*((1+Inputs!$D$7)^AI$2)),((INT(AI$2/$L109)-INT((AI$2-1)/$L109))*($T109*(1-$F109)+$S109*(1-$G109))*((1+Inputs!$D$7)^AI$2))),((_xlfn.WEIBULL.DIST(AI$2,$M109,$L109,FALSE)*($T109*(1-$F109)+$S109*(1-$G109))*((1+Inputs!$D$7)^AI$2))))))</f>
        <v>0</v>
      </c>
      <c r="AJ109" s="88">
        <f>$E109*IF(AJ$2&gt;Inputs!$D$5,0,IF(AJ$2&gt;VLOOKUP($H109,Lists!$P$3:$Q$7,2),IF($N109=Lists!$K$3,IF($L109&lt;1,(($U109/$L109)*((1+Inputs!$D$7)^AJ$2)),((INT(AJ$2/$L109)-INT((AJ$2-1)/$L109))*$U109*((1+Inputs!$D$7)^AJ$2))),(_xlfn.WEIBULL.DIST(AJ$2,$M109,$L109,FALSE)*$U109*((1+Inputs!$D$7)^AJ$2))),IF($N109=Lists!$K$3,IF($L109&lt;1,((($T109*(1-$F109)+$S109*(1-$G109))/$L109)*((1+Inputs!$D$7)^AJ$2)),((INT(AJ$2/$L109)-INT((AJ$2-1)/$L109))*($T109*(1-$F109)+$S109*(1-$G109))*((1+Inputs!$D$7)^AJ$2))),((_xlfn.WEIBULL.DIST(AJ$2,$M109,$L109,FALSE)*($T109*(1-$F109)+$S109*(1-$G109))*((1+Inputs!$D$7)^AJ$2))))))</f>
        <v>0</v>
      </c>
      <c r="AK109" s="88">
        <f>$E109*IF(AK$2&gt;Inputs!$D$5,0,IF(AK$2&gt;VLOOKUP($H109,Lists!$P$3:$Q$7,2),IF($N109=Lists!$K$3,IF($L109&lt;1,(($U109/$L109)*((1+Inputs!$D$7)^AK$2)),((INT(AK$2/$L109)-INT((AK$2-1)/$L109))*$U109*((1+Inputs!$D$7)^AK$2))),(_xlfn.WEIBULL.DIST(AK$2,$M109,$L109,FALSE)*$U109*((1+Inputs!$D$7)^AK$2))),IF($N109=Lists!$K$3,IF($L109&lt;1,((($T109*(1-$F109)+$S109*(1-$G109))/$L109)*((1+Inputs!$D$7)^AK$2)),((INT(AK$2/$L109)-INT((AK$2-1)/$L109))*($T109*(1-$F109)+$S109*(1-$G109))*((1+Inputs!$D$7)^AK$2))),((_xlfn.WEIBULL.DIST(AK$2,$M109,$L109,FALSE)*($T109*(1-$F109)+$S109*(1-$G109))*((1+Inputs!$D$7)^AK$2))))))</f>
        <v>0</v>
      </c>
      <c r="AL109" s="88">
        <f>$E109*IF(AL$2&gt;Inputs!$D$5,0,IF(AL$2&gt;VLOOKUP($H109,Lists!$P$3:$Q$7,2),IF($N109=Lists!$K$3,IF($L109&lt;1,(($U109/$L109)*((1+Inputs!$D$7)^AL$2)),((INT(AL$2/$L109)-INT((AL$2-1)/$L109))*$U109*((1+Inputs!$D$7)^AL$2))),(_xlfn.WEIBULL.DIST(AL$2,$M109,$L109,FALSE)*$U109*((1+Inputs!$D$7)^AL$2))),IF($N109=Lists!$K$3,IF($L109&lt;1,((($T109*(1-$F109)+$S109*(1-$G109))/$L109)*((1+Inputs!$D$7)^AL$2)),((INT(AL$2/$L109)-INT((AL$2-1)/$L109))*($T109*(1-$F109)+$S109*(1-$G109))*((1+Inputs!$D$7)^AL$2))),((_xlfn.WEIBULL.DIST(AL$2,$M109,$L109,FALSE)*($T109*(1-$F109)+$S109*(1-$G109))*((1+Inputs!$D$7)^AL$2))))))</f>
        <v>0</v>
      </c>
      <c r="AM109" s="88">
        <f>$E109*IF(AM$2&gt;Inputs!$D$5,0,IF(AM$2&gt;VLOOKUP($H109,Lists!$P$3:$Q$7,2),IF($N109=Lists!$K$3,IF($L109&lt;1,(($U109/$L109)*((1+Inputs!$D$7)^AM$2)),((INT(AM$2/$L109)-INT((AM$2-1)/$L109))*$U109*((1+Inputs!$D$7)^AM$2))),(_xlfn.WEIBULL.DIST(AM$2,$M109,$L109,FALSE)*$U109*((1+Inputs!$D$7)^AM$2))),IF($N109=Lists!$K$3,IF($L109&lt;1,((($T109*(1-$F109)+$S109*(1-$G109))/$L109)*((1+Inputs!$D$7)^AM$2)),((INT(AM$2/$L109)-INT((AM$2-1)/$L109))*($T109*(1-$F109)+$S109*(1-$G109))*((1+Inputs!$D$7)^AM$2))),((_xlfn.WEIBULL.DIST(AM$2,$M109,$L109,FALSE)*($T109*(1-$F109)+$S109*(1-$G109))*((1+Inputs!$D$7)^AM$2))))))</f>
        <v>0</v>
      </c>
      <c r="AN109" s="88">
        <f>$E109*IF(AN$2&gt;Inputs!$D$5,0,IF(AN$2&gt;VLOOKUP($H109,Lists!$P$3:$Q$7,2),IF($N109=Lists!$K$3,IF($L109&lt;1,(($U109/$L109)*((1+Inputs!$D$7)^AN$2)),((INT(AN$2/$L109)-INT((AN$2-1)/$L109))*$U109*((1+Inputs!$D$7)^AN$2))),(_xlfn.WEIBULL.DIST(AN$2,$M109,$L109,FALSE)*$U109*((1+Inputs!$D$7)^AN$2))),IF($N109=Lists!$K$3,IF($L109&lt;1,((($T109*(1-$F109)+$S109*(1-$G109))/$L109)*((1+Inputs!$D$7)^AN$2)),((INT(AN$2/$L109)-INT((AN$2-1)/$L109))*($T109*(1-$F109)+$S109*(1-$G109))*((1+Inputs!$D$7)^AN$2))),((_xlfn.WEIBULL.DIST(AN$2,$M109,$L109,FALSE)*($T109*(1-$F109)+$S109*(1-$G109))*((1+Inputs!$D$7)^AN$2))))))</f>
        <v>0</v>
      </c>
      <c r="AO109" s="88">
        <f>$E109*IF(AO$2&gt;Inputs!$D$5,0,IF(AO$2&gt;VLOOKUP($H109,Lists!$P$3:$Q$7,2),IF($N109=Lists!$K$3,IF($L109&lt;1,(($U109/$L109)*((1+Inputs!$D$7)^AO$2)),((INT(AO$2/$L109)-INT((AO$2-1)/$L109))*$U109*((1+Inputs!$D$7)^AO$2))),(_xlfn.WEIBULL.DIST(AO$2,$M109,$L109,FALSE)*$U109*((1+Inputs!$D$7)^AO$2))),IF($N109=Lists!$K$3,IF($L109&lt;1,((($T109*(1-$F109)+$S109*(1-$G109))/$L109)*((1+Inputs!$D$7)^AO$2)),((INT(AO$2/$L109)-INT((AO$2-1)/$L109))*($T109*(1-$F109)+$S109*(1-$G109))*((1+Inputs!$D$7)^AO$2))),((_xlfn.WEIBULL.DIST(AO$2,$M109,$L109,FALSE)*($T109*(1-$F109)+$S109*(1-$G109))*((1+Inputs!$D$7)^AO$2))))))</f>
        <v>0</v>
      </c>
      <c r="AP109" s="88">
        <f>$E109*IF(AP$2&gt;Inputs!$D$5,0,IF(AP$2&gt;VLOOKUP($H109,Lists!$P$3:$Q$7,2),IF($N109=Lists!$K$3,IF($L109&lt;1,(($U109/$L109)*((1+Inputs!$D$7)^AP$2)),((INT(AP$2/$L109)-INT((AP$2-1)/$L109))*$U109*((1+Inputs!$D$7)^AP$2))),(_xlfn.WEIBULL.DIST(AP$2,$M109,$L109,FALSE)*$U109*((1+Inputs!$D$7)^AP$2))),IF($N109=Lists!$K$3,IF($L109&lt;1,((($T109*(1-$F109)+$S109*(1-$G109))/$L109)*((1+Inputs!$D$7)^AP$2)),((INT(AP$2/$L109)-INT((AP$2-1)/$L109))*($T109*(1-$F109)+$S109*(1-$G109))*((1+Inputs!$D$7)^AP$2))),((_xlfn.WEIBULL.DIST(AP$2,$M109,$L109,FALSE)*($T109*(1-$F109)+$S109*(1-$G109))*((1+Inputs!$D$7)^AP$2))))))</f>
        <v>0</v>
      </c>
      <c r="AQ109" s="88">
        <f>$E109*IF(AQ$2&gt;Inputs!$D$5,0,IF(AQ$2&gt;VLOOKUP($H109,Lists!$P$3:$Q$7,2),IF($N109=Lists!$K$3,IF($L109&lt;1,(($U109/$L109)*((1+Inputs!$D$7)^AQ$2)),((INT(AQ$2/$L109)-INT((AQ$2-1)/$L109))*$U109*((1+Inputs!$D$7)^AQ$2))),(_xlfn.WEIBULL.DIST(AQ$2,$M109,$L109,FALSE)*$U109*((1+Inputs!$D$7)^AQ$2))),IF($N109=Lists!$K$3,IF($L109&lt;1,((($T109*(1-$F109)+$S109*(1-$G109))/$L109)*((1+Inputs!$D$7)^AQ$2)),((INT(AQ$2/$L109)-INT((AQ$2-1)/$L109))*($T109*(1-$F109)+$S109*(1-$G109))*((1+Inputs!$D$7)^AQ$2))),((_xlfn.WEIBULL.DIST(AQ$2,$M109,$L109,FALSE)*($T109*(1-$F109)+$S109*(1-$G109))*((1+Inputs!$D$7)^AQ$2))))))</f>
        <v>0</v>
      </c>
      <c r="AR109" s="88">
        <f>$E109*IF(AR$2&gt;Inputs!$D$5,0,IF(AR$2&gt;VLOOKUP($H109,Lists!$P$3:$Q$7,2),IF($N109=Lists!$K$3,IF($L109&lt;1,(($U109/$L109)*((1+Inputs!$D$7)^AR$2)),((INT(AR$2/$L109)-INT((AR$2-1)/$L109))*$U109*((1+Inputs!$D$7)^AR$2))),(_xlfn.WEIBULL.DIST(AR$2,$M109,$L109,FALSE)*$U109*((1+Inputs!$D$7)^AR$2))),IF($N109=Lists!$K$3,IF($L109&lt;1,((($T109*(1-$F109)+$S109*(1-$G109))/$L109)*((1+Inputs!$D$7)^AR$2)),((INT(AR$2/$L109)-INT((AR$2-1)/$L109))*($T109*(1-$F109)+$S109*(1-$G109))*((1+Inputs!$D$7)^AR$2))),((_xlfn.WEIBULL.DIST(AR$2,$M109,$L109,FALSE)*($T109*(1-$F109)+$S109*(1-$G109))*((1+Inputs!$D$7)^AR$2))))))</f>
        <v>0</v>
      </c>
      <c r="AS109" s="88">
        <f>$E109*IF(AS$2&gt;Inputs!$D$5,0,IF(AS$2&gt;VLOOKUP($H109,Lists!$P$3:$Q$7,2),IF($N109=Lists!$K$3,IF($L109&lt;1,(($U109/$L109)*((1+Inputs!$D$7)^AS$2)),((INT(AS$2/$L109)-INT((AS$2-1)/$L109))*$U109*((1+Inputs!$D$7)^AS$2))),(_xlfn.WEIBULL.DIST(AS$2,$M109,$L109,FALSE)*$U109*((1+Inputs!$D$7)^AS$2))),IF($N109=Lists!$K$3,IF($L109&lt;1,((($T109*(1-$F109)+$S109*(1-$G109))/$L109)*((1+Inputs!$D$7)^AS$2)),((INT(AS$2/$L109)-INT((AS$2-1)/$L109))*($T109*(1-$F109)+$S109*(1-$G109))*((1+Inputs!$D$7)^AS$2))),((_xlfn.WEIBULL.DIST(AS$2,$M109,$L109,FALSE)*($T109*(1-$F109)+$S109*(1-$G109))*((1+Inputs!$D$7)^AS$2))))))</f>
        <v>0</v>
      </c>
      <c r="AT109" s="88">
        <f>$E109*IF(AT$2&gt;Inputs!$D$5,0,IF(AT$2&gt;VLOOKUP($H109,Lists!$P$3:$Q$7,2),IF($N109=Lists!$K$3,IF($L109&lt;1,(($U109/$L109)*((1+Inputs!$D$7)^AT$2)),((INT(AT$2/$L109)-INT((AT$2-1)/$L109))*$U109*((1+Inputs!$D$7)^AT$2))),(_xlfn.WEIBULL.DIST(AT$2,$M109,$L109,FALSE)*$U109*((1+Inputs!$D$7)^AT$2))),IF($N109=Lists!$K$3,IF($L109&lt;1,((($T109*(1-$F109)+$S109*(1-$G109))/$L109)*((1+Inputs!$D$7)^AT$2)),((INT(AT$2/$L109)-INT((AT$2-1)/$L109))*($T109*(1-$F109)+$S109*(1-$G109))*((1+Inputs!$D$7)^AT$2))),((_xlfn.WEIBULL.DIST(AT$2,$M109,$L109,FALSE)*($T109*(1-$F109)+$S109*(1-$G109))*((1+Inputs!$D$7)^AT$2))))))</f>
        <v>0</v>
      </c>
      <c r="AU109" s="88">
        <f>$E109*IF(AU$2&gt;Inputs!$D$5,0,IF(AU$2&gt;VLOOKUP($H109,Lists!$P$3:$Q$7,2),IF($N109=Lists!$K$3,IF($L109&lt;1,(($U109/$L109)*((1+Inputs!$D$7)^AU$2)),((INT(AU$2/$L109)-INT((AU$2-1)/$L109))*$U109*((1+Inputs!$D$7)^AU$2))),(_xlfn.WEIBULL.DIST(AU$2,$M109,$L109,FALSE)*$U109*((1+Inputs!$D$7)^AU$2))),IF($N109=Lists!$K$3,IF($L109&lt;1,((($T109*(1-$F109)+$S109*(1-$G109))/$L109)*((1+Inputs!$D$7)^AU$2)),((INT(AU$2/$L109)-INT((AU$2-1)/$L109))*($T109*(1-$F109)+$S109*(1-$G109))*((1+Inputs!$D$7)^AU$2))),((_xlfn.WEIBULL.DIST(AU$2,$M109,$L109,FALSE)*($T109*(1-$F109)+$S109*(1-$G109))*((1+Inputs!$D$7)^AU$2))))))</f>
        <v>0</v>
      </c>
      <c r="AV109" s="88">
        <f>$E109*IF(AV$2&gt;Inputs!$D$5,0,IF(AV$2&gt;VLOOKUP($H109,Lists!$P$3:$Q$7,2),IF($N109=Lists!$K$3,IF($L109&lt;1,(($U109/$L109)*((1+Inputs!$D$7)^AV$2)),((INT(AV$2/$L109)-INT((AV$2-1)/$L109))*$U109*((1+Inputs!$D$7)^AV$2))),(_xlfn.WEIBULL.DIST(AV$2,$M109,$L109,FALSE)*$U109*((1+Inputs!$D$7)^AV$2))),IF($N109=Lists!$K$3,IF($L109&lt;1,((($T109*(1-$F109)+$S109*(1-$G109))/$L109)*((1+Inputs!$D$7)^AV$2)),((INT(AV$2/$L109)-INT((AV$2-1)/$L109))*($T109*(1-$F109)+$S109*(1-$G109))*((1+Inputs!$D$7)^AV$2))),((_xlfn.WEIBULL.DIST(AV$2,$M109,$L109,FALSE)*($T109*(1-$F109)+$S109*(1-$G109))*((1+Inputs!$D$7)^AV$2))))))</f>
        <v>0</v>
      </c>
      <c r="AW109" s="88">
        <f>$E109*IF(AW$2&gt;Inputs!$D$5,0,IF(AW$2&gt;VLOOKUP($H109,Lists!$P$3:$Q$7,2),IF($N109=Lists!$K$3,IF($L109&lt;1,(($U109/$L109)*((1+Inputs!$D$7)^AW$2)),((INT(AW$2/$L109)-INT((AW$2-1)/$L109))*$U109*((1+Inputs!$D$7)^AW$2))),(_xlfn.WEIBULL.DIST(AW$2,$M109,$L109,FALSE)*$U109*((1+Inputs!$D$7)^AW$2))),IF($N109=Lists!$K$3,IF($L109&lt;1,((($T109*(1-$F109)+$S109*(1-$G109))/$L109)*((1+Inputs!$D$7)^AW$2)),((INT(AW$2/$L109)-INT((AW$2-1)/$L109))*($T109*(1-$F109)+$S109*(1-$G109))*((1+Inputs!$D$7)^AW$2))),((_xlfn.WEIBULL.DIST(AW$2,$M109,$L109,FALSE)*($T109*(1-$F109)+$S109*(1-$G109))*((1+Inputs!$D$7)^AW$2))))))</f>
        <v>0</v>
      </c>
      <c r="AX109" s="88">
        <f>$E109*IF(AX$2&gt;Inputs!$D$5,0,IF(AX$2&gt;VLOOKUP($H109,Lists!$P$3:$Q$7,2),IF($N109=Lists!$K$3,IF($L109&lt;1,(($U109/$L109)*((1+Inputs!$D$7)^AX$2)),((INT(AX$2/$L109)-INT((AX$2-1)/$L109))*$U109*((1+Inputs!$D$7)^AX$2))),(_xlfn.WEIBULL.DIST(AX$2,$M109,$L109,FALSE)*$U109*((1+Inputs!$D$7)^AX$2))),IF($N109=Lists!$K$3,IF($L109&lt;1,((($T109*(1-$F109)+$S109*(1-$G109))/$L109)*((1+Inputs!$D$7)^AX$2)),((INT(AX$2/$L109)-INT((AX$2-1)/$L109))*($T109*(1-$F109)+$S109*(1-$G109))*((1+Inputs!$D$7)^AX$2))),((_xlfn.WEIBULL.DIST(AX$2,$M109,$L109,FALSE)*($T109*(1-$F109)+$S109*(1-$G109))*((1+Inputs!$D$7)^AX$2))))))</f>
        <v>0</v>
      </c>
      <c r="AY109" s="88">
        <f>$E109*IF(AY$2&gt;Inputs!$D$5,0,IF(AY$2&gt;VLOOKUP($H109,Lists!$P$3:$Q$7,2),IF($N109=Lists!$K$3,IF($L109&lt;1,(($U109/$L109)*((1+Inputs!$D$7)^AY$2)),((INT(AY$2/$L109)-INT((AY$2-1)/$L109))*$U109*((1+Inputs!$D$7)^AY$2))),(_xlfn.WEIBULL.DIST(AY$2,$M109,$L109,FALSE)*$U109*((1+Inputs!$D$7)^AY$2))),IF($N109=Lists!$K$3,IF($L109&lt;1,((($T109*(1-$F109)+$S109*(1-$G109))/$L109)*((1+Inputs!$D$7)^AY$2)),((INT(AY$2/$L109)-INT((AY$2-1)/$L109))*($T109*(1-$F109)+$S109*(1-$G109))*((1+Inputs!$D$7)^AY$2))),((_xlfn.WEIBULL.DIST(AY$2,$M109,$L109,FALSE)*($T109*(1-$F109)+$S109*(1-$G109))*((1+Inputs!$D$7)^AY$2))))))</f>
        <v>0</v>
      </c>
      <c r="AZ109" s="88">
        <f>$E109*IF(AZ$2&gt;Inputs!$D$5,0,IF(AZ$2&gt;VLOOKUP($H109,Lists!$P$3:$Q$7,2),IF($N109=Lists!$K$3,IF($L109&lt;1,(($U109/$L109)*((1+Inputs!$D$7)^AZ$2)),((INT(AZ$2/$L109)-INT((AZ$2-1)/$L109))*$U109*((1+Inputs!$D$7)^AZ$2))),(_xlfn.WEIBULL.DIST(AZ$2,$M109,$L109,FALSE)*$U109*((1+Inputs!$D$7)^AZ$2))),IF($N109=Lists!$K$3,IF($L109&lt;1,((($T109*(1-$F109)+$S109*(1-$G109))/$L109)*((1+Inputs!$D$7)^AZ$2)),((INT(AZ$2/$L109)-INT((AZ$2-1)/$L109))*($T109*(1-$F109)+$S109*(1-$G109))*((1+Inputs!$D$7)^AZ$2))),((_xlfn.WEIBULL.DIST(AZ$2,$M109,$L109,FALSE)*($T109*(1-$F109)+$S109*(1-$G109))*((1+Inputs!$D$7)^AZ$2))))))</f>
        <v>0</v>
      </c>
      <c r="BA109" s="88">
        <f>$E109*IF(BA$2&gt;Inputs!$D$5,0,IF(BA$2&gt;VLOOKUP($H109,Lists!$P$3:$Q$7,2),IF($N109=Lists!$K$3,IF($L109&lt;1,(($U109/$L109)*((1+Inputs!$D$7)^BA$2)),((INT(BA$2/$L109)-INT((BA$2-1)/$L109))*$U109*((1+Inputs!$D$7)^BA$2))),(_xlfn.WEIBULL.DIST(BA$2,$M109,$L109,FALSE)*$U109*((1+Inputs!$D$7)^BA$2))),IF($N109=Lists!$K$3,IF($L109&lt;1,((($T109*(1-$F109)+$S109*(1-$G109))/$L109)*((1+Inputs!$D$7)^BA$2)),((INT(BA$2/$L109)-INT((BA$2-1)/$L109))*($T109*(1-$F109)+$S109*(1-$G109))*((1+Inputs!$D$7)^BA$2))),((_xlfn.WEIBULL.DIST(BA$2,$M109,$L109,FALSE)*($T109*(1-$F109)+$S109*(1-$G109))*((1+Inputs!$D$7)^BA$2))))))</f>
        <v>0</v>
      </c>
      <c r="BB109" s="88">
        <f>$E109*IF(BB$2&gt;Inputs!$D$5,0,IF(BB$2&gt;VLOOKUP($H109,Lists!$P$3:$Q$7,2),IF($N109=Lists!$K$3,IF($L109&lt;1,(($U109/$L109)*((1+Inputs!$D$7)^BB$2)),((INT(BB$2/$L109)-INT((BB$2-1)/$L109))*$U109*((1+Inputs!$D$7)^BB$2))),(_xlfn.WEIBULL.DIST(BB$2,$M109,$L109,FALSE)*$U109*((1+Inputs!$D$7)^BB$2))),IF($N109=Lists!$K$3,IF($L109&lt;1,((($T109*(1-$F109)+$S109*(1-$G109))/$L109)*((1+Inputs!$D$7)^BB$2)),((INT(BB$2/$L109)-INT((BB$2-1)/$L109))*($T109*(1-$F109)+$S109*(1-$G109))*((1+Inputs!$D$7)^BB$2))),((_xlfn.WEIBULL.DIST(BB$2,$M109,$L109,FALSE)*($T109*(1-$F109)+$S109*(1-$G109))*((1+Inputs!$D$7)^BB$2))))))</f>
        <v>0</v>
      </c>
      <c r="BC109" s="88">
        <f>$E109*IF(BC$2&gt;Inputs!$D$5,0,IF(BC$2&gt;VLOOKUP($H109,Lists!$P$3:$Q$7,2),IF($N109=Lists!$K$3,IF($L109&lt;1,(($U109/$L109)*((1+Inputs!$D$7)^BC$2)),((INT(BC$2/$L109)-INT((BC$2-1)/$L109))*$U109*((1+Inputs!$D$7)^BC$2))),(_xlfn.WEIBULL.DIST(BC$2,$M109,$L109,FALSE)*$U109*((1+Inputs!$D$7)^BC$2))),IF($N109=Lists!$K$3,IF($L109&lt;1,((($T109*(1-$F109)+$S109*(1-$G109))/$L109)*((1+Inputs!$D$7)^BC$2)),((INT(BC$2/$L109)-INT((BC$2-1)/$L109))*($T109*(1-$F109)+$S109*(1-$G109))*((1+Inputs!$D$7)^BC$2))),((_xlfn.WEIBULL.DIST(BC$2,$M109,$L109,FALSE)*($T109*(1-$F109)+$S109*(1-$G109))*((1+Inputs!$D$7)^BC$2))))))</f>
        <v>0</v>
      </c>
      <c r="BD109" s="88">
        <f>$E109*IF(BD$2&gt;Inputs!$D$5,0,IF(BD$2&gt;VLOOKUP($H109,Lists!$P$3:$Q$7,2),IF($N109=Lists!$K$3,IF($L109&lt;1,(($U109/$L109)*((1+Inputs!$D$7)^BD$2)),((INT(BD$2/$L109)-INT((BD$2-1)/$L109))*$U109*((1+Inputs!$D$7)^BD$2))),(_xlfn.WEIBULL.DIST(BD$2,$M109,$L109,FALSE)*$U109*((1+Inputs!$D$7)^BD$2))),IF($N109=Lists!$K$3,IF($L109&lt;1,((($T109*(1-$F109)+$S109*(1-$G109))/$L109)*((1+Inputs!$D$7)^BD$2)),((INT(BD$2/$L109)-INT((BD$2-1)/$L109))*($T109*(1-$F109)+$S109*(1-$G109))*((1+Inputs!$D$7)^BD$2))),((_xlfn.WEIBULL.DIST(BD$2,$M109,$L109,FALSE)*($T109*(1-$F109)+$S109*(1-$G109))*((1+Inputs!$D$7)^BD$2))))))</f>
        <v>0</v>
      </c>
      <c r="BE109" s="88">
        <f>$E109*IF(BE$2&gt;Inputs!$D$5,0,IF(BE$2&gt;VLOOKUP($H109,Lists!$P$3:$Q$7,2),IF($N109=Lists!$K$3,IF($L109&lt;1,(($U109/$L109)*((1+Inputs!$D$7)^BE$2)),((INT(BE$2/$L109)-INT((BE$2-1)/$L109))*$U109*((1+Inputs!$D$7)^BE$2))),(_xlfn.WEIBULL.DIST(BE$2,$M109,$L109,FALSE)*$U109*((1+Inputs!$D$7)^BE$2))),IF($N109=Lists!$K$3,IF($L109&lt;1,((($T109*(1-$F109)+$S109*(1-$G109))/$L109)*((1+Inputs!$D$7)^BE$2)),((INT(BE$2/$L109)-INT((BE$2-1)/$L109))*($T109*(1-$F109)+$S109*(1-$G109))*((1+Inputs!$D$7)^BE$2))),((_xlfn.WEIBULL.DIST(BE$2,$M109,$L109,FALSE)*($T109*(1-$F109)+$S109*(1-$G109))*((1+Inputs!$D$7)^BE$2))))))</f>
        <v>0</v>
      </c>
      <c r="BF109" s="88">
        <f>$E109*IF(BF$2&gt;Inputs!$D$5,0,IF(BF$2&gt;VLOOKUP($H109,Lists!$P$3:$Q$7,2),IF($N109=Lists!$K$3,IF($L109&lt;1,(($U109/$L109)*((1+Inputs!$D$7)^BF$2)),((INT(BF$2/$L109)-INT((BF$2-1)/$L109))*$U109*((1+Inputs!$D$7)^BF$2))),(_xlfn.WEIBULL.DIST(BF$2,$M109,$L109,FALSE)*$U109*((1+Inputs!$D$7)^BF$2))),IF($N109=Lists!$K$3,IF($L109&lt;1,((($T109*(1-$F109)+$S109*(1-$G109))/$L109)*((1+Inputs!$D$7)^BF$2)),((INT(BF$2/$L109)-INT((BF$2-1)/$L109))*($T109*(1-$F109)+$S109*(1-$G109))*((1+Inputs!$D$7)^BF$2))),((_xlfn.WEIBULL.DIST(BF$2,$M109,$L109,FALSE)*($T109*(1-$F109)+$S109*(1-$G109))*((1+Inputs!$D$7)^BF$2))))))</f>
        <v>0</v>
      </c>
      <c r="BG109" s="88">
        <f>$E109*IF(BG$2&gt;Inputs!$D$5,0,IF(BG$2&gt;VLOOKUP($H109,Lists!$P$3:$Q$7,2),IF($N109=Lists!$K$3,IF($L109&lt;1,(($U109/$L109)*((1+Inputs!$D$7)^BG$2)),((INT(BG$2/$L109)-INT((BG$2-1)/$L109))*$U109*((1+Inputs!$D$7)^BG$2))),(_xlfn.WEIBULL.DIST(BG$2,$M109,$L109,FALSE)*$U109*((1+Inputs!$D$7)^BG$2))),IF($N109=Lists!$K$3,IF($L109&lt;1,((($T109*(1-$F109)+$S109*(1-$G109))/$L109)*((1+Inputs!$D$7)^BG$2)),((INT(BG$2/$L109)-INT((BG$2-1)/$L109))*($T109*(1-$F109)+$S109*(1-$G109))*((1+Inputs!$D$7)^BG$2))),((_xlfn.WEIBULL.DIST(BG$2,$M109,$L109,FALSE)*($T109*(1-$F109)+$S109*(1-$G109))*((1+Inputs!$D$7)^BG$2))))))</f>
        <v>0</v>
      </c>
      <c r="BH109" s="88">
        <f>$E109*IF(BH$2&gt;Inputs!$D$5,0,IF(BH$2&gt;VLOOKUP($H109,Lists!$P$3:$Q$7,2),IF($N109=Lists!$K$3,IF($L109&lt;1,(($U109/$L109)*((1+Inputs!$D$7)^BH$2)),((INT(BH$2/$L109)-INT((BH$2-1)/$L109))*$U109*((1+Inputs!$D$7)^BH$2))),(_xlfn.WEIBULL.DIST(BH$2,$M109,$L109,FALSE)*$U109*((1+Inputs!$D$7)^BH$2))),IF($N109=Lists!$K$3,IF($L109&lt;1,((($T109*(1-$F109)+$S109*(1-$G109))/$L109)*((1+Inputs!$D$7)^BH$2)),((INT(BH$2/$L109)-INT((BH$2-1)/$L109))*($T109*(1-$F109)+$S109*(1-$G109))*((1+Inputs!$D$7)^BH$2))),((_xlfn.WEIBULL.DIST(BH$2,$M109,$L109,FALSE)*($T109*(1-$F109)+$S109*(1-$G109))*((1+Inputs!$D$7)^BH$2))))))</f>
        <v>0</v>
      </c>
      <c r="BI109" s="88">
        <f>$E109*IF(BI$2&gt;Inputs!$D$5,0,IF(BI$2&gt;VLOOKUP($H109,Lists!$P$3:$Q$7,2),IF($N109=Lists!$K$3,IF($L109&lt;1,(($U109/$L109)*((1+Inputs!$D$7)^BI$2)),((INT(BI$2/$L109)-INT((BI$2-1)/$L109))*$U109*((1+Inputs!$D$7)^BI$2))),(_xlfn.WEIBULL.DIST(BI$2,$M109,$L109,FALSE)*$U109*((1+Inputs!$D$7)^BI$2))),IF($N109=Lists!$K$3,IF($L109&lt;1,((($T109*(1-$F109)+$S109*(1-$G109))/$L109)*((1+Inputs!$D$7)^BI$2)),((INT(BI$2/$L109)-INT((BI$2-1)/$L109))*($T109*(1-$F109)+$S109*(1-$G109))*((1+Inputs!$D$7)^BI$2))),((_xlfn.WEIBULL.DIST(BI$2,$M109,$L109,FALSE)*($T109*(1-$F109)+$S109*(1-$G109))*((1+Inputs!$D$7)^BI$2))))))</f>
        <v>0</v>
      </c>
      <c r="BJ109" s="88">
        <f>$E109*IF(BJ$2&gt;Inputs!$D$5,0,IF(BJ$2&gt;VLOOKUP($H109,Lists!$P$3:$Q$7,2),IF($N109=Lists!$K$3,IF($L109&lt;1,(($U109/$L109)*((1+Inputs!$D$7)^BJ$2)),((INT(BJ$2/$L109)-INT((BJ$2-1)/$L109))*$U109*((1+Inputs!$D$7)^BJ$2))),(_xlfn.WEIBULL.DIST(BJ$2,$M109,$L109,FALSE)*$U109*((1+Inputs!$D$7)^BJ$2))),IF($N109=Lists!$K$3,IF($L109&lt;1,((($T109*(1-$F109)+$S109*(1-$G109))/$L109)*((1+Inputs!$D$7)^BJ$2)),((INT(BJ$2/$L109)-INT((BJ$2-1)/$L109))*($T109*(1-$F109)+$S109*(1-$G109))*((1+Inputs!$D$7)^BJ$2))),((_xlfn.WEIBULL.DIST(BJ$2,$M109,$L109,FALSE)*($T109*(1-$F109)+$S109*(1-$G109))*((1+Inputs!$D$7)^BJ$2))))))</f>
        <v>0</v>
      </c>
      <c r="BK109" s="88">
        <f>$E109*IF(BK$2&gt;Inputs!$D$5,0,IF(BK$2&gt;VLOOKUP($H109,Lists!$P$3:$Q$7,2),IF($N109=Lists!$K$3,IF($L109&lt;1,(($U109/$L109)*((1+Inputs!$D$7)^BK$2)),((INT(BK$2/$L109)-INT((BK$2-1)/$L109))*$U109*((1+Inputs!$D$7)^BK$2))),(_xlfn.WEIBULL.DIST(BK$2,$M109,$L109,FALSE)*$U109*((1+Inputs!$D$7)^BK$2))),IF($N109=Lists!$K$3,IF($L109&lt;1,((($T109*(1-$F109)+$S109*(1-$G109))/$L109)*((1+Inputs!$D$7)^BK$2)),((INT(BK$2/$L109)-INT((BK$2-1)/$L109))*($T109*(1-$F109)+$S109*(1-$G109))*((1+Inputs!$D$7)^BK$2))),((_xlfn.WEIBULL.DIST(BK$2,$M109,$L109,FALSE)*($T109*(1-$F109)+$S109*(1-$G109))*((1+Inputs!$D$7)^BK$2))))))</f>
        <v>0</v>
      </c>
      <c r="BL109" s="88">
        <f>$E109*IF(BL$2&gt;Inputs!$D$5,0,IF(BL$2&gt;VLOOKUP($H109,Lists!$P$3:$Q$7,2),IF($N109=Lists!$K$3,IF($L109&lt;1,(($U109/$L109)*((1+Inputs!$D$7)^BL$2)),((INT(BL$2/$L109)-INT((BL$2-1)/$L109))*$U109*((1+Inputs!$D$7)^BL$2))),(_xlfn.WEIBULL.DIST(BL$2,$M109,$L109,FALSE)*$U109*((1+Inputs!$D$7)^BL$2))),IF($N109=Lists!$K$3,IF($L109&lt;1,((($T109*(1-$F109)+$S109*(1-$G109))/$L109)*((1+Inputs!$D$7)^BL$2)),((INT(BL$2/$L109)-INT((BL$2-1)/$L109))*($T109*(1-$F109)+$S109*(1-$G109))*((1+Inputs!$D$7)^BL$2))),((_xlfn.WEIBULL.DIST(BL$2,$M109,$L109,FALSE)*($T109*(1-$F109)+$S109*(1-$G109))*((1+Inputs!$D$7)^BL$2))))))</f>
        <v>0</v>
      </c>
      <c r="BM109" s="88">
        <f>$E109*IF(BM$2&gt;Inputs!$D$5,0,IF(BM$2&gt;VLOOKUP($H109,Lists!$P$3:$Q$7,2),IF($N109=Lists!$K$3,IF($L109&lt;1,(($U109/$L109)*((1+Inputs!$D$7)^BM$2)),((INT(BM$2/$L109)-INT((BM$2-1)/$L109))*$U109*((1+Inputs!$D$7)^BM$2))),(_xlfn.WEIBULL.DIST(BM$2,$M109,$L109,FALSE)*$U109*((1+Inputs!$D$7)^BM$2))),IF($N109=Lists!$K$3,IF($L109&lt;1,((($T109*(1-$F109)+$S109*(1-$G109))/$L109)*((1+Inputs!$D$7)^BM$2)),((INT(BM$2/$L109)-INT((BM$2-1)/$L109))*($T109*(1-$F109)+$S109*(1-$G109))*((1+Inputs!$D$7)^BM$2))),((_xlfn.WEIBULL.DIST(BM$2,$M109,$L109,FALSE)*($T109*(1-$F109)+$S109*(1-$G109))*((1+Inputs!$D$7)^BM$2))))))</f>
        <v>0</v>
      </c>
      <c r="BN109" s="88">
        <f>$E109*IF(BN$2&gt;Inputs!$D$5,0,IF(BN$2&gt;VLOOKUP($H109,Lists!$P$3:$Q$7,2),IF($N109=Lists!$K$3,IF($L109&lt;1,(($U109/$L109)*((1+Inputs!$D$7)^BN$2)),((INT(BN$2/$L109)-INT((BN$2-1)/$L109))*$U109*((1+Inputs!$D$7)^BN$2))),(_xlfn.WEIBULL.DIST(BN$2,$M109,$L109,FALSE)*$U109*((1+Inputs!$D$7)^BN$2))),IF($N109=Lists!$K$3,IF($L109&lt;1,((($T109*(1-$F109)+$S109*(1-$G109))/$L109)*((1+Inputs!$D$7)^BN$2)),((INT(BN$2/$L109)-INT((BN$2-1)/$L109))*($T109*(1-$F109)+$S109*(1-$G109))*((1+Inputs!$D$7)^BN$2))),((_xlfn.WEIBULL.DIST(BN$2,$M109,$L109,FALSE)*($T109*(1-$F109)+$S109*(1-$G109))*((1+Inputs!$D$7)^BN$2))))))</f>
        <v>0</v>
      </c>
      <c r="BO109" s="64">
        <f>NPV(Inputs!$D$6,BQ109:DD109)</f>
        <v>0</v>
      </c>
      <c r="BP109" s="67">
        <f t="shared" si="27"/>
        <v>0</v>
      </c>
      <c r="BQ109" s="88">
        <f>MAX(AA109,($E109*IF(BQ$2&gt;Inputs!$D$5,0,IF(BQ$2&gt;VLOOKUP($H109,Lists!$P$3:$Q$7,2),IF($N109=Lists!$K$3,IF($L109&lt;1,(($U109/$L109)*((1+Inputs!$D$7)^BQ$2)),((INT(BQ$2/$L109)-INT((BQ$2-1)/$L109))*$U109*((1+Inputs!$D$7)^BQ$2))),(Inputs!$D$8^((1-_xlfn.WEIBULL.DIST(BQ$2,$M109,$L109,FALSE))/_xlfn.WEIBULL.DIST(BQ$2,$M109,$L109,FALSE))*$U109*((1+Inputs!$D$7)^BQ$2))),IF($N109=Lists!$K$3,IF($L109&lt;1,((($T109*(1-$F109)+$S109*(1-$G109))/$L109)*((1+Inputs!$D$7)^BQ$2)),((INT(BQ$2/$L109)-INT((BQ$2-1)/$L109))*($T109*(1-$F109)+$S109*(1-$G109))*((1+Inputs!$D$7)^BQ$2))),((Inputs!$D$8^((1-_xlfn.WEIBULL.DIST(BQ$2,$M109,$L109,FALSE))/_xlfn.WEIBULL.DIST(BQ$2,$M109,$L109,FALSE))*($T109*(1-$F109)+$S109*(1-$G109))*((1+Inputs!$D$7)^BQ$2))))))))</f>
        <v>0</v>
      </c>
      <c r="BR109" s="88">
        <f>MAX(AB109,($E109*IF(BR$2&gt;Inputs!$D$5,0,IF(BR$2&gt;VLOOKUP($H109,Lists!$P$3:$Q$7,2),IF($N109=Lists!$K$3,IF($L109&lt;1,(($U109/$L109)*((1+Inputs!$D$7)^BR$2)),((INT(BR$2/$L109)-INT((BR$2-1)/$L109))*$U109*((1+Inputs!$D$7)^BR$2))),(Inputs!$D$8^((1-_xlfn.WEIBULL.DIST(BR$2,$M109,$L109,FALSE))/_xlfn.WEIBULL.DIST(BR$2,$M109,$L109,FALSE))*$U109*((1+Inputs!$D$7)^BR$2))),IF($N109=Lists!$K$3,IF($L109&lt;1,((($T109*(1-$F109)+$S109*(1-$G109))/$L109)*((1+Inputs!$D$7)^BR$2)),((INT(BR$2/$L109)-INT((BR$2-1)/$L109))*($T109*(1-$F109)+$S109*(1-$G109))*((1+Inputs!$D$7)^BR$2))),((Inputs!$D$8^((1-_xlfn.WEIBULL.DIST(BR$2,$M109,$L109,FALSE))/_xlfn.WEIBULL.DIST(BR$2,$M109,$L109,FALSE))*($T109*(1-$F109)+$S109*(1-$G109))*((1+Inputs!$D$7)^BR$2))))))))</f>
        <v>0</v>
      </c>
      <c r="BS109" s="88">
        <f>MAX(AC109,($E109*IF(BS$2&gt;Inputs!$D$5,0,IF(BS$2&gt;VLOOKUP($H109,Lists!$P$3:$Q$7,2),IF($N109=Lists!$K$3,IF($L109&lt;1,(($U109/$L109)*((1+Inputs!$D$7)^BS$2)),((INT(BS$2/$L109)-INT((BS$2-1)/$L109))*$U109*((1+Inputs!$D$7)^BS$2))),(Inputs!$D$8^((1-_xlfn.WEIBULL.DIST(BS$2,$M109,$L109,FALSE))/_xlfn.WEIBULL.DIST(BS$2,$M109,$L109,FALSE))*$U109*((1+Inputs!$D$7)^BS$2))),IF($N109=Lists!$K$3,IF($L109&lt;1,((($T109*(1-$F109)+$S109*(1-$G109))/$L109)*((1+Inputs!$D$7)^BS$2)),((INT(BS$2/$L109)-INT((BS$2-1)/$L109))*($T109*(1-$F109)+$S109*(1-$G109))*((1+Inputs!$D$7)^BS$2))),((Inputs!$D$8^((1-_xlfn.WEIBULL.DIST(BS$2,$M109,$L109,FALSE))/_xlfn.WEIBULL.DIST(BS$2,$M109,$L109,FALSE))*($T109*(1-$F109)+$S109*(1-$G109))*((1+Inputs!$D$7)^BS$2))))))))</f>
        <v>0</v>
      </c>
      <c r="BT109" s="88">
        <f>MAX(AD109,($E109*IF(BT$2&gt;Inputs!$D$5,0,IF(BT$2&gt;VLOOKUP($H109,Lists!$P$3:$Q$7,2),IF($N109=Lists!$K$3,IF($L109&lt;1,(($U109/$L109)*((1+Inputs!$D$7)^BT$2)),((INT(BT$2/$L109)-INT((BT$2-1)/$L109))*$U109*((1+Inputs!$D$7)^BT$2))),(Inputs!$D$8^((1-_xlfn.WEIBULL.DIST(BT$2,$M109,$L109,FALSE))/_xlfn.WEIBULL.DIST(BT$2,$M109,$L109,FALSE))*$U109*((1+Inputs!$D$7)^BT$2))),IF($N109=Lists!$K$3,IF($L109&lt;1,((($T109*(1-$F109)+$S109*(1-$G109))/$L109)*((1+Inputs!$D$7)^BT$2)),((INT(BT$2/$L109)-INT((BT$2-1)/$L109))*($T109*(1-$F109)+$S109*(1-$G109))*((1+Inputs!$D$7)^BT$2))),((Inputs!$D$8^((1-_xlfn.WEIBULL.DIST(BT$2,$M109,$L109,FALSE))/_xlfn.WEIBULL.DIST(BT$2,$M109,$L109,FALSE))*($T109*(1-$F109)+$S109*(1-$G109))*((1+Inputs!$D$7)^BT$2))))))))</f>
        <v>0</v>
      </c>
      <c r="BU109" s="88">
        <f>MAX(AE109,($E109*IF(BU$2&gt;Inputs!$D$5,0,IF(BU$2&gt;VLOOKUP($H109,Lists!$P$3:$Q$7,2),IF($N109=Lists!$K$3,IF($L109&lt;1,(($U109/$L109)*((1+Inputs!$D$7)^BU$2)),((INT(BU$2/$L109)-INT((BU$2-1)/$L109))*$U109*((1+Inputs!$D$7)^BU$2))),(Inputs!$D$8^((1-_xlfn.WEIBULL.DIST(BU$2,$M109,$L109,FALSE))/_xlfn.WEIBULL.DIST(BU$2,$M109,$L109,FALSE))*$U109*((1+Inputs!$D$7)^BU$2))),IF($N109=Lists!$K$3,IF($L109&lt;1,((($T109*(1-$F109)+$S109*(1-$G109))/$L109)*((1+Inputs!$D$7)^BU$2)),((INT(BU$2/$L109)-INT((BU$2-1)/$L109))*($T109*(1-$F109)+$S109*(1-$G109))*((1+Inputs!$D$7)^BU$2))),((Inputs!$D$8^((1-_xlfn.WEIBULL.DIST(BU$2,$M109,$L109,FALSE))/_xlfn.WEIBULL.DIST(BU$2,$M109,$L109,FALSE))*($T109*(1-$F109)+$S109*(1-$G109))*((1+Inputs!$D$7)^BU$2))))))))</f>
        <v>0</v>
      </c>
      <c r="BV109" s="88">
        <f>MAX(AF109,($E109*IF(BV$2&gt;Inputs!$D$5,0,IF(BV$2&gt;VLOOKUP($H109,Lists!$P$3:$Q$7,2),IF($N109=Lists!$K$3,IF($L109&lt;1,(($U109/$L109)*((1+Inputs!$D$7)^BV$2)),((INT(BV$2/$L109)-INT((BV$2-1)/$L109))*$U109*((1+Inputs!$D$7)^BV$2))),(Inputs!$D$8^((1-_xlfn.WEIBULL.DIST(BV$2,$M109,$L109,FALSE))/_xlfn.WEIBULL.DIST(BV$2,$M109,$L109,FALSE))*$U109*((1+Inputs!$D$7)^BV$2))),IF($N109=Lists!$K$3,IF($L109&lt;1,((($T109*(1-$F109)+$S109*(1-$G109))/$L109)*((1+Inputs!$D$7)^BV$2)),((INT(BV$2/$L109)-INT((BV$2-1)/$L109))*($T109*(1-$F109)+$S109*(1-$G109))*((1+Inputs!$D$7)^BV$2))),((Inputs!$D$8^((1-_xlfn.WEIBULL.DIST(BV$2,$M109,$L109,FALSE))/_xlfn.WEIBULL.DIST(BV$2,$M109,$L109,FALSE))*($T109*(1-$F109)+$S109*(1-$G109))*((1+Inputs!$D$7)^BV$2))))))))</f>
        <v>0</v>
      </c>
      <c r="BW109" s="88">
        <f>MAX(AG109,($E109*IF(BW$2&gt;Inputs!$D$5,0,IF(BW$2&gt;VLOOKUP($H109,Lists!$P$3:$Q$7,2),IF($N109=Lists!$K$3,IF($L109&lt;1,(($U109/$L109)*((1+Inputs!$D$7)^BW$2)),((INT(BW$2/$L109)-INT((BW$2-1)/$L109))*$U109*((1+Inputs!$D$7)^BW$2))),(Inputs!$D$8^((1-_xlfn.WEIBULL.DIST(BW$2,$M109,$L109,FALSE))/_xlfn.WEIBULL.DIST(BW$2,$M109,$L109,FALSE))*$U109*((1+Inputs!$D$7)^BW$2))),IF($N109=Lists!$K$3,IF($L109&lt;1,((($T109*(1-$F109)+$S109*(1-$G109))/$L109)*((1+Inputs!$D$7)^BW$2)),((INT(BW$2/$L109)-INT((BW$2-1)/$L109))*($T109*(1-$F109)+$S109*(1-$G109))*((1+Inputs!$D$7)^BW$2))),((Inputs!$D$8^((1-_xlfn.WEIBULL.DIST(BW$2,$M109,$L109,FALSE))/_xlfn.WEIBULL.DIST(BW$2,$M109,$L109,FALSE))*($T109*(1-$F109)+$S109*(1-$G109))*((1+Inputs!$D$7)^BW$2))))))))</f>
        <v>0</v>
      </c>
      <c r="BX109" s="88">
        <f>MAX(AH109,($E109*IF(BX$2&gt;Inputs!$D$5,0,IF(BX$2&gt;VLOOKUP($H109,Lists!$P$3:$Q$7,2),IF($N109=Lists!$K$3,IF($L109&lt;1,(($U109/$L109)*((1+Inputs!$D$7)^BX$2)),((INT(BX$2/$L109)-INT((BX$2-1)/$L109))*$U109*((1+Inputs!$D$7)^BX$2))),(Inputs!$D$8^((1-_xlfn.WEIBULL.DIST(BX$2,$M109,$L109,FALSE))/_xlfn.WEIBULL.DIST(BX$2,$M109,$L109,FALSE))*$U109*((1+Inputs!$D$7)^BX$2))),IF($N109=Lists!$K$3,IF($L109&lt;1,((($T109*(1-$F109)+$S109*(1-$G109))/$L109)*((1+Inputs!$D$7)^BX$2)),((INT(BX$2/$L109)-INT((BX$2-1)/$L109))*($T109*(1-$F109)+$S109*(1-$G109))*((1+Inputs!$D$7)^BX$2))),((Inputs!$D$8^((1-_xlfn.WEIBULL.DIST(BX$2,$M109,$L109,FALSE))/_xlfn.WEIBULL.DIST(BX$2,$M109,$L109,FALSE))*($T109*(1-$F109)+$S109*(1-$G109))*((1+Inputs!$D$7)^BX$2))))))))</f>
        <v>0</v>
      </c>
      <c r="BY109" s="88">
        <f>MAX(AI109,($E109*IF(BY$2&gt;Inputs!$D$5,0,IF(BY$2&gt;VLOOKUP($H109,Lists!$P$3:$Q$7,2),IF($N109=Lists!$K$3,IF($L109&lt;1,(($U109/$L109)*((1+Inputs!$D$7)^BY$2)),((INT(BY$2/$L109)-INT((BY$2-1)/$L109))*$U109*((1+Inputs!$D$7)^BY$2))),(Inputs!$D$8^((1-_xlfn.WEIBULL.DIST(BY$2,$M109,$L109,FALSE))/_xlfn.WEIBULL.DIST(BY$2,$M109,$L109,FALSE))*$U109*((1+Inputs!$D$7)^BY$2))),IF($N109=Lists!$K$3,IF($L109&lt;1,((($T109*(1-$F109)+$S109*(1-$G109))/$L109)*((1+Inputs!$D$7)^BY$2)),((INT(BY$2/$L109)-INT((BY$2-1)/$L109))*($T109*(1-$F109)+$S109*(1-$G109))*((1+Inputs!$D$7)^BY$2))),((Inputs!$D$8^((1-_xlfn.WEIBULL.DIST(BY$2,$M109,$L109,FALSE))/_xlfn.WEIBULL.DIST(BY$2,$M109,$L109,FALSE))*($T109*(1-$F109)+$S109*(1-$G109))*((1+Inputs!$D$7)^BY$2))))))))</f>
        <v>0</v>
      </c>
      <c r="BZ109" s="88">
        <f>MAX(AJ109,($E109*IF(BZ$2&gt;Inputs!$D$5,0,IF(BZ$2&gt;VLOOKUP($H109,Lists!$P$3:$Q$7,2),IF($N109=Lists!$K$3,IF($L109&lt;1,(($U109/$L109)*((1+Inputs!$D$7)^BZ$2)),((INT(BZ$2/$L109)-INT((BZ$2-1)/$L109))*$U109*((1+Inputs!$D$7)^BZ$2))),(Inputs!$D$8^((1-_xlfn.WEIBULL.DIST(BZ$2,$M109,$L109,FALSE))/_xlfn.WEIBULL.DIST(BZ$2,$M109,$L109,FALSE))*$U109*((1+Inputs!$D$7)^BZ$2))),IF($N109=Lists!$K$3,IF($L109&lt;1,((($T109*(1-$F109)+$S109*(1-$G109))/$L109)*((1+Inputs!$D$7)^BZ$2)),((INT(BZ$2/$L109)-INT((BZ$2-1)/$L109))*($T109*(1-$F109)+$S109*(1-$G109))*((1+Inputs!$D$7)^BZ$2))),((Inputs!$D$8^((1-_xlfn.WEIBULL.DIST(BZ$2,$M109,$L109,FALSE))/_xlfn.WEIBULL.DIST(BZ$2,$M109,$L109,FALSE))*($T109*(1-$F109)+$S109*(1-$G109))*((1+Inputs!$D$7)^BZ$2))))))))</f>
        <v>0</v>
      </c>
      <c r="CA109" s="88">
        <f>MAX(AK109,($E109*IF(CA$2&gt;Inputs!$D$5,0,IF(CA$2&gt;VLOOKUP($H109,Lists!$P$3:$Q$7,2),IF($N109=Lists!$K$3,IF($L109&lt;1,(($U109/$L109)*((1+Inputs!$D$7)^CA$2)),((INT(CA$2/$L109)-INT((CA$2-1)/$L109))*$U109*((1+Inputs!$D$7)^CA$2))),(Inputs!$D$8^((1-_xlfn.WEIBULL.DIST(CA$2,$M109,$L109,FALSE))/_xlfn.WEIBULL.DIST(CA$2,$M109,$L109,FALSE))*$U109*((1+Inputs!$D$7)^CA$2))),IF($N109=Lists!$K$3,IF($L109&lt;1,((($T109*(1-$F109)+$S109*(1-$G109))/$L109)*((1+Inputs!$D$7)^CA$2)),((INT(CA$2/$L109)-INT((CA$2-1)/$L109))*($T109*(1-$F109)+$S109*(1-$G109))*((1+Inputs!$D$7)^CA$2))),((Inputs!$D$8^((1-_xlfn.WEIBULL.DIST(CA$2,$M109,$L109,FALSE))/_xlfn.WEIBULL.DIST(CA$2,$M109,$L109,FALSE))*($T109*(1-$F109)+$S109*(1-$G109))*((1+Inputs!$D$7)^CA$2))))))))</f>
        <v>0</v>
      </c>
      <c r="CB109" s="88">
        <f>MAX(AL109,($E109*IF(CB$2&gt;Inputs!$D$5,0,IF(CB$2&gt;VLOOKUP($H109,Lists!$P$3:$Q$7,2),IF($N109=Lists!$K$3,IF($L109&lt;1,(($U109/$L109)*((1+Inputs!$D$7)^CB$2)),((INT(CB$2/$L109)-INT((CB$2-1)/$L109))*$U109*((1+Inputs!$D$7)^CB$2))),(Inputs!$D$8^((1-_xlfn.WEIBULL.DIST(CB$2,$M109,$L109,FALSE))/_xlfn.WEIBULL.DIST(CB$2,$M109,$L109,FALSE))*$U109*((1+Inputs!$D$7)^CB$2))),IF($N109=Lists!$K$3,IF($L109&lt;1,((($T109*(1-$F109)+$S109*(1-$G109))/$L109)*((1+Inputs!$D$7)^CB$2)),((INT(CB$2/$L109)-INT((CB$2-1)/$L109))*($T109*(1-$F109)+$S109*(1-$G109))*((1+Inputs!$D$7)^CB$2))),((Inputs!$D$8^((1-_xlfn.WEIBULL.DIST(CB$2,$M109,$L109,FALSE))/_xlfn.WEIBULL.DIST(CB$2,$M109,$L109,FALSE))*($T109*(1-$F109)+$S109*(1-$G109))*((1+Inputs!$D$7)^CB$2))))))))</f>
        <v>0</v>
      </c>
      <c r="CC109" s="88">
        <f>MAX(AM109,($E109*IF(CC$2&gt;Inputs!$D$5,0,IF(CC$2&gt;VLOOKUP($H109,Lists!$P$3:$Q$7,2),IF($N109=Lists!$K$3,IF($L109&lt;1,(($U109/$L109)*((1+Inputs!$D$7)^CC$2)),((INT(CC$2/$L109)-INT((CC$2-1)/$L109))*$U109*((1+Inputs!$D$7)^CC$2))),(Inputs!$D$8^((1-_xlfn.WEIBULL.DIST(CC$2,$M109,$L109,FALSE))/_xlfn.WEIBULL.DIST(CC$2,$M109,$L109,FALSE))*$U109*((1+Inputs!$D$7)^CC$2))),IF($N109=Lists!$K$3,IF($L109&lt;1,((($T109*(1-$F109)+$S109*(1-$G109))/$L109)*((1+Inputs!$D$7)^CC$2)),((INT(CC$2/$L109)-INT((CC$2-1)/$L109))*($T109*(1-$F109)+$S109*(1-$G109))*((1+Inputs!$D$7)^CC$2))),((Inputs!$D$8^((1-_xlfn.WEIBULL.DIST(CC$2,$M109,$L109,FALSE))/_xlfn.WEIBULL.DIST(CC$2,$M109,$L109,FALSE))*($T109*(1-$F109)+$S109*(1-$G109))*((1+Inputs!$D$7)^CC$2))))))))</f>
        <v>0</v>
      </c>
      <c r="CD109" s="88">
        <f>MAX(AN109,($E109*IF(CD$2&gt;Inputs!$D$5,0,IF(CD$2&gt;VLOOKUP($H109,Lists!$P$3:$Q$7,2),IF($N109=Lists!$K$3,IF($L109&lt;1,(($U109/$L109)*((1+Inputs!$D$7)^CD$2)),((INT(CD$2/$L109)-INT((CD$2-1)/$L109))*$U109*((1+Inputs!$D$7)^CD$2))),(Inputs!$D$8^((1-_xlfn.WEIBULL.DIST(CD$2,$M109,$L109,FALSE))/_xlfn.WEIBULL.DIST(CD$2,$M109,$L109,FALSE))*$U109*((1+Inputs!$D$7)^CD$2))),IF($N109=Lists!$K$3,IF($L109&lt;1,((($T109*(1-$F109)+$S109*(1-$G109))/$L109)*((1+Inputs!$D$7)^CD$2)),((INT(CD$2/$L109)-INT((CD$2-1)/$L109))*($T109*(1-$F109)+$S109*(1-$G109))*((1+Inputs!$D$7)^CD$2))),((Inputs!$D$8^((1-_xlfn.WEIBULL.DIST(CD$2,$M109,$L109,FALSE))/_xlfn.WEIBULL.DIST(CD$2,$M109,$L109,FALSE))*($T109*(1-$F109)+$S109*(1-$G109))*((1+Inputs!$D$7)^CD$2))))))))</f>
        <v>0</v>
      </c>
      <c r="CE109" s="88">
        <f>MAX(AO109,($E109*IF(CE$2&gt;Inputs!$D$5,0,IF(CE$2&gt;VLOOKUP($H109,Lists!$P$3:$Q$7,2),IF($N109=Lists!$K$3,IF($L109&lt;1,(($U109/$L109)*((1+Inputs!$D$7)^CE$2)),((INT(CE$2/$L109)-INT((CE$2-1)/$L109))*$U109*((1+Inputs!$D$7)^CE$2))),(Inputs!$D$8^((1-_xlfn.WEIBULL.DIST(CE$2,$M109,$L109,FALSE))/_xlfn.WEIBULL.DIST(CE$2,$M109,$L109,FALSE))*$U109*((1+Inputs!$D$7)^CE$2))),IF($N109=Lists!$K$3,IF($L109&lt;1,((($T109*(1-$F109)+$S109*(1-$G109))/$L109)*((1+Inputs!$D$7)^CE$2)),((INT(CE$2/$L109)-INT((CE$2-1)/$L109))*($T109*(1-$F109)+$S109*(1-$G109))*((1+Inputs!$D$7)^CE$2))),((Inputs!$D$8^((1-_xlfn.WEIBULL.DIST(CE$2,$M109,$L109,FALSE))/_xlfn.WEIBULL.DIST(CE$2,$M109,$L109,FALSE))*($T109*(1-$F109)+$S109*(1-$G109))*((1+Inputs!$D$7)^CE$2))))))))</f>
        <v>0</v>
      </c>
      <c r="CF109" s="88">
        <f>MAX(AP109,($E109*IF(CF$2&gt;Inputs!$D$5,0,IF(CF$2&gt;VLOOKUP($H109,Lists!$P$3:$Q$7,2),IF($N109=Lists!$K$3,IF($L109&lt;1,(($U109/$L109)*((1+Inputs!$D$7)^CF$2)),((INT(CF$2/$L109)-INT((CF$2-1)/$L109))*$U109*((1+Inputs!$D$7)^CF$2))),(Inputs!$D$8^((1-_xlfn.WEIBULL.DIST(CF$2,$M109,$L109,FALSE))/_xlfn.WEIBULL.DIST(CF$2,$M109,$L109,FALSE))*$U109*((1+Inputs!$D$7)^CF$2))),IF($N109=Lists!$K$3,IF($L109&lt;1,((($T109*(1-$F109)+$S109*(1-$G109))/$L109)*((1+Inputs!$D$7)^CF$2)),((INT(CF$2/$L109)-INT((CF$2-1)/$L109))*($T109*(1-$F109)+$S109*(1-$G109))*((1+Inputs!$D$7)^CF$2))),((Inputs!$D$8^((1-_xlfn.WEIBULL.DIST(CF$2,$M109,$L109,FALSE))/_xlfn.WEIBULL.DIST(CF$2,$M109,$L109,FALSE))*($T109*(1-$F109)+$S109*(1-$G109))*((1+Inputs!$D$7)^CF$2))))))))</f>
        <v>0</v>
      </c>
      <c r="CG109" s="88">
        <f>MAX(AQ109,($E109*IF(CG$2&gt;Inputs!$D$5,0,IF(CG$2&gt;VLOOKUP($H109,Lists!$P$3:$Q$7,2),IF($N109=Lists!$K$3,IF($L109&lt;1,(($U109/$L109)*((1+Inputs!$D$7)^CG$2)),((INT(CG$2/$L109)-INT((CG$2-1)/$L109))*$U109*((1+Inputs!$D$7)^CG$2))),(Inputs!$D$8^((1-_xlfn.WEIBULL.DIST(CG$2,$M109,$L109,FALSE))/_xlfn.WEIBULL.DIST(CG$2,$M109,$L109,FALSE))*$U109*((1+Inputs!$D$7)^CG$2))),IF($N109=Lists!$K$3,IF($L109&lt;1,((($T109*(1-$F109)+$S109*(1-$G109))/$L109)*((1+Inputs!$D$7)^CG$2)),((INT(CG$2/$L109)-INT((CG$2-1)/$L109))*($T109*(1-$F109)+$S109*(1-$G109))*((1+Inputs!$D$7)^CG$2))),((Inputs!$D$8^((1-_xlfn.WEIBULL.DIST(CG$2,$M109,$L109,FALSE))/_xlfn.WEIBULL.DIST(CG$2,$M109,$L109,FALSE))*($T109*(1-$F109)+$S109*(1-$G109))*((1+Inputs!$D$7)^CG$2))))))))</f>
        <v>0</v>
      </c>
      <c r="CH109" s="88">
        <f>MAX(AR109,($E109*IF(CH$2&gt;Inputs!$D$5,0,IF(CH$2&gt;VLOOKUP($H109,Lists!$P$3:$Q$7,2),IF($N109=Lists!$K$3,IF($L109&lt;1,(($U109/$L109)*((1+Inputs!$D$7)^CH$2)),((INT(CH$2/$L109)-INT((CH$2-1)/$L109))*$U109*((1+Inputs!$D$7)^CH$2))),(Inputs!$D$8^((1-_xlfn.WEIBULL.DIST(CH$2,$M109,$L109,FALSE))/_xlfn.WEIBULL.DIST(CH$2,$M109,$L109,FALSE))*$U109*((1+Inputs!$D$7)^CH$2))),IF($N109=Lists!$K$3,IF($L109&lt;1,((($T109*(1-$F109)+$S109*(1-$G109))/$L109)*((1+Inputs!$D$7)^CH$2)),((INT(CH$2/$L109)-INT((CH$2-1)/$L109))*($T109*(1-$F109)+$S109*(1-$G109))*((1+Inputs!$D$7)^CH$2))),((Inputs!$D$8^((1-_xlfn.WEIBULL.DIST(CH$2,$M109,$L109,FALSE))/_xlfn.WEIBULL.DIST(CH$2,$M109,$L109,FALSE))*($T109*(1-$F109)+$S109*(1-$G109))*((1+Inputs!$D$7)^CH$2))))))))</f>
        <v>0</v>
      </c>
      <c r="CI109" s="88">
        <f>MAX(AS109,($E109*IF(CI$2&gt;Inputs!$D$5,0,IF(CI$2&gt;VLOOKUP($H109,Lists!$P$3:$Q$7,2),IF($N109=Lists!$K$3,IF($L109&lt;1,(($U109/$L109)*((1+Inputs!$D$7)^CI$2)),((INT(CI$2/$L109)-INT((CI$2-1)/$L109))*$U109*((1+Inputs!$D$7)^CI$2))),(Inputs!$D$8^((1-_xlfn.WEIBULL.DIST(CI$2,$M109,$L109,FALSE))/_xlfn.WEIBULL.DIST(CI$2,$M109,$L109,FALSE))*$U109*((1+Inputs!$D$7)^CI$2))),IF($N109=Lists!$K$3,IF($L109&lt;1,((($T109*(1-$F109)+$S109*(1-$G109))/$L109)*((1+Inputs!$D$7)^CI$2)),((INT(CI$2/$L109)-INT((CI$2-1)/$L109))*($T109*(1-$F109)+$S109*(1-$G109))*((1+Inputs!$D$7)^CI$2))),((Inputs!$D$8^((1-_xlfn.WEIBULL.DIST(CI$2,$M109,$L109,FALSE))/_xlfn.WEIBULL.DIST(CI$2,$M109,$L109,FALSE))*($T109*(1-$F109)+$S109*(1-$G109))*((1+Inputs!$D$7)^CI$2))))))))</f>
        <v>0</v>
      </c>
      <c r="CJ109" s="88">
        <f>MAX(AT109,($E109*IF(CJ$2&gt;Inputs!$D$5,0,IF(CJ$2&gt;VLOOKUP($H109,Lists!$P$3:$Q$7,2),IF($N109=Lists!$K$3,IF($L109&lt;1,(($U109/$L109)*((1+Inputs!$D$7)^CJ$2)),((INT(CJ$2/$L109)-INT((CJ$2-1)/$L109))*$U109*((1+Inputs!$D$7)^CJ$2))),(Inputs!$D$8^((1-_xlfn.WEIBULL.DIST(CJ$2,$M109,$L109,FALSE))/_xlfn.WEIBULL.DIST(CJ$2,$M109,$L109,FALSE))*$U109*((1+Inputs!$D$7)^CJ$2))),IF($N109=Lists!$K$3,IF($L109&lt;1,((($T109*(1-$F109)+$S109*(1-$G109))/$L109)*((1+Inputs!$D$7)^CJ$2)),((INT(CJ$2/$L109)-INT((CJ$2-1)/$L109))*($T109*(1-$F109)+$S109*(1-$G109))*((1+Inputs!$D$7)^CJ$2))),((Inputs!$D$8^((1-_xlfn.WEIBULL.DIST(CJ$2,$M109,$L109,FALSE))/_xlfn.WEIBULL.DIST(CJ$2,$M109,$L109,FALSE))*($T109*(1-$F109)+$S109*(1-$G109))*((1+Inputs!$D$7)^CJ$2))))))))</f>
        <v>0</v>
      </c>
      <c r="CK109" s="88">
        <f>MAX(AU109,($E109*IF(CK$2&gt;Inputs!$D$5,0,IF(CK$2&gt;VLOOKUP($H109,Lists!$P$3:$Q$7,2),IF($N109=Lists!$K$3,IF($L109&lt;1,(($U109/$L109)*((1+Inputs!$D$7)^CK$2)),((INT(CK$2/$L109)-INT((CK$2-1)/$L109))*$U109*((1+Inputs!$D$7)^CK$2))),(Inputs!$D$8^((1-_xlfn.WEIBULL.DIST(CK$2,$M109,$L109,FALSE))/_xlfn.WEIBULL.DIST(CK$2,$M109,$L109,FALSE))*$U109*((1+Inputs!$D$7)^CK$2))),IF($N109=Lists!$K$3,IF($L109&lt;1,((($T109*(1-$F109)+$S109*(1-$G109))/$L109)*((1+Inputs!$D$7)^CK$2)),((INT(CK$2/$L109)-INT((CK$2-1)/$L109))*($T109*(1-$F109)+$S109*(1-$G109))*((1+Inputs!$D$7)^CK$2))),((Inputs!$D$8^((1-_xlfn.WEIBULL.DIST(CK$2,$M109,$L109,FALSE))/_xlfn.WEIBULL.DIST(CK$2,$M109,$L109,FALSE))*($T109*(1-$F109)+$S109*(1-$G109))*((1+Inputs!$D$7)^CK$2))))))))</f>
        <v>0</v>
      </c>
      <c r="CL109" s="88">
        <f>MAX(AV109,($E109*IF(CL$2&gt;Inputs!$D$5,0,IF(CL$2&gt;VLOOKUP($H109,Lists!$P$3:$Q$7,2),IF($N109=Lists!$K$3,IF($L109&lt;1,(($U109/$L109)*((1+Inputs!$D$7)^CL$2)),((INT(CL$2/$L109)-INT((CL$2-1)/$L109))*$U109*((1+Inputs!$D$7)^CL$2))),(Inputs!$D$8^((1-_xlfn.WEIBULL.DIST(CL$2,$M109,$L109,FALSE))/_xlfn.WEIBULL.DIST(CL$2,$M109,$L109,FALSE))*$U109*((1+Inputs!$D$7)^CL$2))),IF($N109=Lists!$K$3,IF($L109&lt;1,((($T109*(1-$F109)+$S109*(1-$G109))/$L109)*((1+Inputs!$D$7)^CL$2)),((INT(CL$2/$L109)-INT((CL$2-1)/$L109))*($T109*(1-$F109)+$S109*(1-$G109))*((1+Inputs!$D$7)^CL$2))),((Inputs!$D$8^((1-_xlfn.WEIBULL.DIST(CL$2,$M109,$L109,FALSE))/_xlfn.WEIBULL.DIST(CL$2,$M109,$L109,FALSE))*($T109*(1-$F109)+$S109*(1-$G109))*((1+Inputs!$D$7)^CL$2))))))))</f>
        <v>0</v>
      </c>
      <c r="CM109" s="88">
        <f>MAX(AW109,($E109*IF(CM$2&gt;Inputs!$D$5,0,IF(CM$2&gt;VLOOKUP($H109,Lists!$P$3:$Q$7,2),IF($N109=Lists!$K$3,IF($L109&lt;1,(($U109/$L109)*((1+Inputs!$D$7)^CM$2)),((INT(CM$2/$L109)-INT((CM$2-1)/$L109))*$U109*((1+Inputs!$D$7)^CM$2))),(Inputs!$D$8^((1-_xlfn.WEIBULL.DIST(CM$2,$M109,$L109,FALSE))/_xlfn.WEIBULL.DIST(CM$2,$M109,$L109,FALSE))*$U109*((1+Inputs!$D$7)^CM$2))),IF($N109=Lists!$K$3,IF($L109&lt;1,((($T109*(1-$F109)+$S109*(1-$G109))/$L109)*((1+Inputs!$D$7)^CM$2)),((INT(CM$2/$L109)-INT((CM$2-1)/$L109))*($T109*(1-$F109)+$S109*(1-$G109))*((1+Inputs!$D$7)^CM$2))),((Inputs!$D$8^((1-_xlfn.WEIBULL.DIST(CM$2,$M109,$L109,FALSE))/_xlfn.WEIBULL.DIST(CM$2,$M109,$L109,FALSE))*($T109*(1-$F109)+$S109*(1-$G109))*((1+Inputs!$D$7)^CM$2))))))))</f>
        <v>0</v>
      </c>
      <c r="CN109" s="88">
        <f>MAX(AX109,($E109*IF(CN$2&gt;Inputs!$D$5,0,IF(CN$2&gt;VLOOKUP($H109,Lists!$P$3:$Q$7,2),IF($N109=Lists!$K$3,IF($L109&lt;1,(($U109/$L109)*((1+Inputs!$D$7)^CN$2)),((INT(CN$2/$L109)-INT((CN$2-1)/$L109))*$U109*((1+Inputs!$D$7)^CN$2))),(Inputs!$D$8^((1-_xlfn.WEIBULL.DIST(CN$2,$M109,$L109,FALSE))/_xlfn.WEIBULL.DIST(CN$2,$M109,$L109,FALSE))*$U109*((1+Inputs!$D$7)^CN$2))),IF($N109=Lists!$K$3,IF($L109&lt;1,((($T109*(1-$F109)+$S109*(1-$G109))/$L109)*((1+Inputs!$D$7)^CN$2)),((INT(CN$2/$L109)-INT((CN$2-1)/$L109))*($T109*(1-$F109)+$S109*(1-$G109))*((1+Inputs!$D$7)^CN$2))),((Inputs!$D$8^((1-_xlfn.WEIBULL.DIST(CN$2,$M109,$L109,FALSE))/_xlfn.WEIBULL.DIST(CN$2,$M109,$L109,FALSE))*($T109*(1-$F109)+$S109*(1-$G109))*((1+Inputs!$D$7)^CN$2))))))))</f>
        <v>0</v>
      </c>
      <c r="CO109" s="88">
        <f>MAX(AY109,($E109*IF(CO$2&gt;Inputs!$D$5,0,IF(CO$2&gt;VLOOKUP($H109,Lists!$P$3:$Q$7,2),IF($N109=Lists!$K$3,IF($L109&lt;1,(($U109/$L109)*((1+Inputs!$D$7)^CO$2)),((INT(CO$2/$L109)-INT((CO$2-1)/$L109))*$U109*((1+Inputs!$D$7)^CO$2))),(Inputs!$D$8^((1-_xlfn.WEIBULL.DIST(CO$2,$M109,$L109,FALSE))/_xlfn.WEIBULL.DIST(CO$2,$M109,$L109,FALSE))*$U109*((1+Inputs!$D$7)^CO$2))),IF($N109=Lists!$K$3,IF($L109&lt;1,((($T109*(1-$F109)+$S109*(1-$G109))/$L109)*((1+Inputs!$D$7)^CO$2)),((INT(CO$2/$L109)-INT((CO$2-1)/$L109))*($T109*(1-$F109)+$S109*(1-$G109))*((1+Inputs!$D$7)^CO$2))),((Inputs!$D$8^((1-_xlfn.WEIBULL.DIST(CO$2,$M109,$L109,FALSE))/_xlfn.WEIBULL.DIST(CO$2,$M109,$L109,FALSE))*($T109*(1-$F109)+$S109*(1-$G109))*((1+Inputs!$D$7)^CO$2))))))))</f>
        <v>0</v>
      </c>
      <c r="CP109" s="88">
        <f>MAX(AZ109,($E109*IF(CP$2&gt;Inputs!$D$5,0,IF(CP$2&gt;VLOOKUP($H109,Lists!$P$3:$Q$7,2),IF($N109=Lists!$K$3,IF($L109&lt;1,(($U109/$L109)*((1+Inputs!$D$7)^CP$2)),((INT(CP$2/$L109)-INT((CP$2-1)/$L109))*$U109*((1+Inputs!$D$7)^CP$2))),(Inputs!$D$8^((1-_xlfn.WEIBULL.DIST(CP$2,$M109,$L109,FALSE))/_xlfn.WEIBULL.DIST(CP$2,$M109,$L109,FALSE))*$U109*((1+Inputs!$D$7)^CP$2))),IF($N109=Lists!$K$3,IF($L109&lt;1,((($T109*(1-$F109)+$S109*(1-$G109))/$L109)*((1+Inputs!$D$7)^CP$2)),((INT(CP$2/$L109)-INT((CP$2-1)/$L109))*($T109*(1-$F109)+$S109*(1-$G109))*((1+Inputs!$D$7)^CP$2))),((Inputs!$D$8^((1-_xlfn.WEIBULL.DIST(CP$2,$M109,$L109,FALSE))/_xlfn.WEIBULL.DIST(CP$2,$M109,$L109,FALSE))*($T109*(1-$F109)+$S109*(1-$G109))*((1+Inputs!$D$7)^CP$2))))))))</f>
        <v>0</v>
      </c>
      <c r="CQ109" s="88">
        <f>MAX(BA109,($E109*IF(CQ$2&gt;Inputs!$D$5,0,IF(CQ$2&gt;VLOOKUP($H109,Lists!$P$3:$Q$7,2),IF($N109=Lists!$K$3,IF($L109&lt;1,(($U109/$L109)*((1+Inputs!$D$7)^CQ$2)),((INT(CQ$2/$L109)-INT((CQ$2-1)/$L109))*$U109*((1+Inputs!$D$7)^CQ$2))),(Inputs!$D$8^((1-_xlfn.WEIBULL.DIST(CQ$2,$M109,$L109,FALSE))/_xlfn.WEIBULL.DIST(CQ$2,$M109,$L109,FALSE))*$U109*((1+Inputs!$D$7)^CQ$2))),IF($N109=Lists!$K$3,IF($L109&lt;1,((($T109*(1-$F109)+$S109*(1-$G109))/$L109)*((1+Inputs!$D$7)^CQ$2)),((INT(CQ$2/$L109)-INT((CQ$2-1)/$L109))*($T109*(1-$F109)+$S109*(1-$G109))*((1+Inputs!$D$7)^CQ$2))),((Inputs!$D$8^((1-_xlfn.WEIBULL.DIST(CQ$2,$M109,$L109,FALSE))/_xlfn.WEIBULL.DIST(CQ$2,$M109,$L109,FALSE))*($T109*(1-$F109)+$S109*(1-$G109))*((1+Inputs!$D$7)^CQ$2))))))))</f>
        <v>0</v>
      </c>
      <c r="CR109" s="88">
        <f>MAX(BB109,($E109*IF(CR$2&gt;Inputs!$D$5,0,IF(CR$2&gt;VLOOKUP($H109,Lists!$P$3:$Q$7,2),IF($N109=Lists!$K$3,IF($L109&lt;1,(($U109/$L109)*((1+Inputs!$D$7)^CR$2)),((INT(CR$2/$L109)-INT((CR$2-1)/$L109))*$U109*((1+Inputs!$D$7)^CR$2))),(Inputs!$D$8^((1-_xlfn.WEIBULL.DIST(CR$2,$M109,$L109,FALSE))/_xlfn.WEIBULL.DIST(CR$2,$M109,$L109,FALSE))*$U109*((1+Inputs!$D$7)^CR$2))),IF($N109=Lists!$K$3,IF($L109&lt;1,((($T109*(1-$F109)+$S109*(1-$G109))/$L109)*((1+Inputs!$D$7)^CR$2)),((INT(CR$2/$L109)-INT((CR$2-1)/$L109))*($T109*(1-$F109)+$S109*(1-$G109))*((1+Inputs!$D$7)^CR$2))),((Inputs!$D$8^((1-_xlfn.WEIBULL.DIST(CR$2,$M109,$L109,FALSE))/_xlfn.WEIBULL.DIST(CR$2,$M109,$L109,FALSE))*($T109*(1-$F109)+$S109*(1-$G109))*((1+Inputs!$D$7)^CR$2))))))))</f>
        <v>0</v>
      </c>
      <c r="CS109" s="88">
        <f>MAX(BC109,($E109*IF(CS$2&gt;Inputs!$D$5,0,IF(CS$2&gt;VLOOKUP($H109,Lists!$P$3:$Q$7,2),IF($N109=Lists!$K$3,IF($L109&lt;1,(($U109/$L109)*((1+Inputs!$D$7)^CS$2)),((INT(CS$2/$L109)-INT((CS$2-1)/$L109))*$U109*((1+Inputs!$D$7)^CS$2))),(Inputs!$D$8^((1-_xlfn.WEIBULL.DIST(CS$2,$M109,$L109,FALSE))/_xlfn.WEIBULL.DIST(CS$2,$M109,$L109,FALSE))*$U109*((1+Inputs!$D$7)^CS$2))),IF($N109=Lists!$K$3,IF($L109&lt;1,((($T109*(1-$F109)+$S109*(1-$G109))/$L109)*((1+Inputs!$D$7)^CS$2)),((INT(CS$2/$L109)-INT((CS$2-1)/$L109))*($T109*(1-$F109)+$S109*(1-$G109))*((1+Inputs!$D$7)^CS$2))),((Inputs!$D$8^((1-_xlfn.WEIBULL.DIST(CS$2,$M109,$L109,FALSE))/_xlfn.WEIBULL.DIST(CS$2,$M109,$L109,FALSE))*($T109*(1-$F109)+$S109*(1-$G109))*((1+Inputs!$D$7)^CS$2))))))))</f>
        <v>0</v>
      </c>
      <c r="CT109" s="88">
        <f>MAX(BD109,($E109*IF(CT$2&gt;Inputs!$D$5,0,IF(CT$2&gt;VLOOKUP($H109,Lists!$P$3:$Q$7,2),IF($N109=Lists!$K$3,IF($L109&lt;1,(($U109/$L109)*((1+Inputs!$D$7)^CT$2)),((INT(CT$2/$L109)-INT((CT$2-1)/$L109))*$U109*((1+Inputs!$D$7)^CT$2))),(Inputs!$D$8^((1-_xlfn.WEIBULL.DIST(CT$2,$M109,$L109,FALSE))/_xlfn.WEIBULL.DIST(CT$2,$M109,$L109,FALSE))*$U109*((1+Inputs!$D$7)^CT$2))),IF($N109=Lists!$K$3,IF($L109&lt;1,((($T109*(1-$F109)+$S109*(1-$G109))/$L109)*((1+Inputs!$D$7)^CT$2)),((INT(CT$2/$L109)-INT((CT$2-1)/$L109))*($T109*(1-$F109)+$S109*(1-$G109))*((1+Inputs!$D$7)^CT$2))),((Inputs!$D$8^((1-_xlfn.WEIBULL.DIST(CT$2,$M109,$L109,FALSE))/_xlfn.WEIBULL.DIST(CT$2,$M109,$L109,FALSE))*($T109*(1-$F109)+$S109*(1-$G109))*((1+Inputs!$D$7)^CT$2))))))))</f>
        <v>0</v>
      </c>
      <c r="CU109" s="88">
        <f>MAX(BE109,($E109*IF(CU$2&gt;Inputs!$D$5,0,IF(CU$2&gt;VLOOKUP($H109,Lists!$P$3:$Q$7,2),IF($N109=Lists!$K$3,IF($L109&lt;1,(($U109/$L109)*((1+Inputs!$D$7)^CU$2)),((INT(CU$2/$L109)-INT((CU$2-1)/$L109))*$U109*((1+Inputs!$D$7)^CU$2))),(Inputs!$D$8^((1-_xlfn.WEIBULL.DIST(CU$2,$M109,$L109,FALSE))/_xlfn.WEIBULL.DIST(CU$2,$M109,$L109,FALSE))*$U109*((1+Inputs!$D$7)^CU$2))),IF($N109=Lists!$K$3,IF($L109&lt;1,((($T109*(1-$F109)+$S109*(1-$G109))/$L109)*((1+Inputs!$D$7)^CU$2)),((INT(CU$2/$L109)-INT((CU$2-1)/$L109))*($T109*(1-$F109)+$S109*(1-$G109))*((1+Inputs!$D$7)^CU$2))),((Inputs!$D$8^((1-_xlfn.WEIBULL.DIST(CU$2,$M109,$L109,FALSE))/_xlfn.WEIBULL.DIST(CU$2,$M109,$L109,FALSE))*($T109*(1-$F109)+$S109*(1-$G109))*((1+Inputs!$D$7)^CU$2))))))))</f>
        <v>0</v>
      </c>
      <c r="CV109" s="88">
        <f>MAX(BF109,($E109*IF(CV$2&gt;Inputs!$D$5,0,IF(CV$2&gt;VLOOKUP($H109,Lists!$P$3:$Q$7,2),IF($N109=Lists!$K$3,IF($L109&lt;1,(($U109/$L109)*((1+Inputs!$D$7)^CV$2)),((INT(CV$2/$L109)-INT((CV$2-1)/$L109))*$U109*((1+Inputs!$D$7)^CV$2))),(Inputs!$D$8^((1-_xlfn.WEIBULL.DIST(CV$2,$M109,$L109,FALSE))/_xlfn.WEIBULL.DIST(CV$2,$M109,$L109,FALSE))*$U109*((1+Inputs!$D$7)^CV$2))),IF($N109=Lists!$K$3,IF($L109&lt;1,((($T109*(1-$F109)+$S109*(1-$G109))/$L109)*((1+Inputs!$D$7)^CV$2)),((INT(CV$2/$L109)-INT((CV$2-1)/$L109))*($T109*(1-$F109)+$S109*(1-$G109))*((1+Inputs!$D$7)^CV$2))),((Inputs!$D$8^((1-_xlfn.WEIBULL.DIST(CV$2,$M109,$L109,FALSE))/_xlfn.WEIBULL.DIST(CV$2,$M109,$L109,FALSE))*($T109*(1-$F109)+$S109*(1-$G109))*((1+Inputs!$D$7)^CV$2))))))))</f>
        <v>0</v>
      </c>
      <c r="CW109" s="88">
        <f>MAX(BG109,($E109*IF(CW$2&gt;Inputs!$D$5,0,IF(CW$2&gt;VLOOKUP($H109,Lists!$P$3:$Q$7,2),IF($N109=Lists!$K$3,IF($L109&lt;1,(($U109/$L109)*((1+Inputs!$D$7)^CW$2)),((INT(CW$2/$L109)-INT((CW$2-1)/$L109))*$U109*((1+Inputs!$D$7)^CW$2))),(Inputs!$D$8^((1-_xlfn.WEIBULL.DIST(CW$2,$M109,$L109,FALSE))/_xlfn.WEIBULL.DIST(CW$2,$M109,$L109,FALSE))*$U109*((1+Inputs!$D$7)^CW$2))),IF($N109=Lists!$K$3,IF($L109&lt;1,((($T109*(1-$F109)+$S109*(1-$G109))/$L109)*((1+Inputs!$D$7)^CW$2)),((INT(CW$2/$L109)-INT((CW$2-1)/$L109))*($T109*(1-$F109)+$S109*(1-$G109))*((1+Inputs!$D$7)^CW$2))),((Inputs!$D$8^((1-_xlfn.WEIBULL.DIST(CW$2,$M109,$L109,FALSE))/_xlfn.WEIBULL.DIST(CW$2,$M109,$L109,FALSE))*($T109*(1-$F109)+$S109*(1-$G109))*((1+Inputs!$D$7)^CW$2))))))))</f>
        <v>0</v>
      </c>
      <c r="CX109" s="88">
        <f>MAX(BH109,($E109*IF(CX$2&gt;Inputs!$D$5,0,IF(CX$2&gt;VLOOKUP($H109,Lists!$P$3:$Q$7,2),IF($N109=Lists!$K$3,IF($L109&lt;1,(($U109/$L109)*((1+Inputs!$D$7)^CX$2)),((INT(CX$2/$L109)-INT((CX$2-1)/$L109))*$U109*((1+Inputs!$D$7)^CX$2))),(Inputs!$D$8^((1-_xlfn.WEIBULL.DIST(CX$2,$M109,$L109,FALSE))/_xlfn.WEIBULL.DIST(CX$2,$M109,$L109,FALSE))*$U109*((1+Inputs!$D$7)^CX$2))),IF($N109=Lists!$K$3,IF($L109&lt;1,((($T109*(1-$F109)+$S109*(1-$G109))/$L109)*((1+Inputs!$D$7)^CX$2)),((INT(CX$2/$L109)-INT((CX$2-1)/$L109))*($T109*(1-$F109)+$S109*(1-$G109))*((1+Inputs!$D$7)^CX$2))),((Inputs!$D$8^((1-_xlfn.WEIBULL.DIST(CX$2,$M109,$L109,FALSE))/_xlfn.WEIBULL.DIST(CX$2,$M109,$L109,FALSE))*($T109*(1-$F109)+$S109*(1-$G109))*((1+Inputs!$D$7)^CX$2))))))))</f>
        <v>0</v>
      </c>
      <c r="CY109" s="88">
        <f>MAX(BI109,($E109*IF(CY$2&gt;Inputs!$D$5,0,IF(CY$2&gt;VLOOKUP($H109,Lists!$P$3:$Q$7,2),IF($N109=Lists!$K$3,IF($L109&lt;1,(($U109/$L109)*((1+Inputs!$D$7)^CY$2)),((INT(CY$2/$L109)-INT((CY$2-1)/$L109))*$U109*((1+Inputs!$D$7)^CY$2))),(Inputs!$D$8^((1-_xlfn.WEIBULL.DIST(CY$2,$M109,$L109,FALSE))/_xlfn.WEIBULL.DIST(CY$2,$M109,$L109,FALSE))*$U109*((1+Inputs!$D$7)^CY$2))),IF($N109=Lists!$K$3,IF($L109&lt;1,((($T109*(1-$F109)+$S109*(1-$G109))/$L109)*((1+Inputs!$D$7)^CY$2)),((INT(CY$2/$L109)-INT((CY$2-1)/$L109))*($T109*(1-$F109)+$S109*(1-$G109))*((1+Inputs!$D$7)^CY$2))),((Inputs!$D$8^((1-_xlfn.WEIBULL.DIST(CY$2,$M109,$L109,FALSE))/_xlfn.WEIBULL.DIST(CY$2,$M109,$L109,FALSE))*($T109*(1-$F109)+$S109*(1-$G109))*((1+Inputs!$D$7)^CY$2))))))))</f>
        <v>0</v>
      </c>
      <c r="CZ109" s="88">
        <f>MAX(BJ109,($E109*IF(CZ$2&gt;Inputs!$D$5,0,IF(CZ$2&gt;VLOOKUP($H109,Lists!$P$3:$Q$7,2),IF($N109=Lists!$K$3,IF($L109&lt;1,(($U109/$L109)*((1+Inputs!$D$7)^CZ$2)),((INT(CZ$2/$L109)-INT((CZ$2-1)/$L109))*$U109*((1+Inputs!$D$7)^CZ$2))),(Inputs!$D$8^((1-_xlfn.WEIBULL.DIST(CZ$2,$M109,$L109,FALSE))/_xlfn.WEIBULL.DIST(CZ$2,$M109,$L109,FALSE))*$U109*((1+Inputs!$D$7)^CZ$2))),IF($N109=Lists!$K$3,IF($L109&lt;1,((($T109*(1-$F109)+$S109*(1-$G109))/$L109)*((1+Inputs!$D$7)^CZ$2)),((INT(CZ$2/$L109)-INT((CZ$2-1)/$L109))*($T109*(1-$F109)+$S109*(1-$G109))*((1+Inputs!$D$7)^CZ$2))),((Inputs!$D$8^((1-_xlfn.WEIBULL.DIST(CZ$2,$M109,$L109,FALSE))/_xlfn.WEIBULL.DIST(CZ$2,$M109,$L109,FALSE))*($T109*(1-$F109)+$S109*(1-$G109))*((1+Inputs!$D$7)^CZ$2))))))))</f>
        <v>0</v>
      </c>
      <c r="DA109" s="88">
        <f>MAX(BK109,($E109*IF(DA$2&gt;Inputs!$D$5,0,IF(DA$2&gt;VLOOKUP($H109,Lists!$P$3:$Q$7,2),IF($N109=Lists!$K$3,IF($L109&lt;1,(($U109/$L109)*((1+Inputs!$D$7)^DA$2)),((INT(DA$2/$L109)-INT((DA$2-1)/$L109))*$U109*((1+Inputs!$D$7)^DA$2))),(Inputs!$D$8^((1-_xlfn.WEIBULL.DIST(DA$2,$M109,$L109,FALSE))/_xlfn.WEIBULL.DIST(DA$2,$M109,$L109,FALSE))*$U109*((1+Inputs!$D$7)^DA$2))),IF($N109=Lists!$K$3,IF($L109&lt;1,((($T109*(1-$F109)+$S109*(1-$G109))/$L109)*((1+Inputs!$D$7)^DA$2)),((INT(DA$2/$L109)-INT((DA$2-1)/$L109))*($T109*(1-$F109)+$S109*(1-$G109))*((1+Inputs!$D$7)^DA$2))),((Inputs!$D$8^((1-_xlfn.WEIBULL.DIST(DA$2,$M109,$L109,FALSE))/_xlfn.WEIBULL.DIST(DA$2,$M109,$L109,FALSE))*($T109*(1-$F109)+$S109*(1-$G109))*((1+Inputs!$D$7)^DA$2))))))))</f>
        <v>0</v>
      </c>
      <c r="DB109" s="88">
        <f>MAX(BL109,($E109*IF(DB$2&gt;Inputs!$D$5,0,IF(DB$2&gt;VLOOKUP($H109,Lists!$P$3:$Q$7,2),IF($N109=Lists!$K$3,IF($L109&lt;1,(($U109/$L109)*((1+Inputs!$D$7)^DB$2)),((INT(DB$2/$L109)-INT((DB$2-1)/$L109))*$U109*((1+Inputs!$D$7)^DB$2))),(Inputs!$D$8^((1-_xlfn.WEIBULL.DIST(DB$2,$M109,$L109,FALSE))/_xlfn.WEIBULL.DIST(DB$2,$M109,$L109,FALSE))*$U109*((1+Inputs!$D$7)^DB$2))),IF($N109=Lists!$K$3,IF($L109&lt;1,((($T109*(1-$F109)+$S109*(1-$G109))/$L109)*((1+Inputs!$D$7)^DB$2)),((INT(DB$2/$L109)-INT((DB$2-1)/$L109))*($T109*(1-$F109)+$S109*(1-$G109))*((1+Inputs!$D$7)^DB$2))),((Inputs!$D$8^((1-_xlfn.WEIBULL.DIST(DB$2,$M109,$L109,FALSE))/_xlfn.WEIBULL.DIST(DB$2,$M109,$L109,FALSE))*($T109*(1-$F109)+$S109*(1-$G109))*((1+Inputs!$D$7)^DB$2))))))))</f>
        <v>0</v>
      </c>
      <c r="DC109" s="88">
        <f>MAX(BM109,($E109*IF(DC$2&gt;Inputs!$D$5,0,IF(DC$2&gt;VLOOKUP($H109,Lists!$P$3:$Q$7,2),IF($N109=Lists!$K$3,IF($L109&lt;1,(($U109/$L109)*((1+Inputs!$D$7)^DC$2)),((INT(DC$2/$L109)-INT((DC$2-1)/$L109))*$U109*((1+Inputs!$D$7)^DC$2))),(Inputs!$D$8^((1-_xlfn.WEIBULL.DIST(DC$2,$M109,$L109,FALSE))/_xlfn.WEIBULL.DIST(DC$2,$M109,$L109,FALSE))*$U109*((1+Inputs!$D$7)^DC$2))),IF($N109=Lists!$K$3,IF($L109&lt;1,((($T109*(1-$F109)+$S109*(1-$G109))/$L109)*((1+Inputs!$D$7)^DC$2)),((INT(DC$2/$L109)-INT((DC$2-1)/$L109))*($T109*(1-$F109)+$S109*(1-$G109))*((1+Inputs!$D$7)^DC$2))),((Inputs!$D$8^((1-_xlfn.WEIBULL.DIST(DC$2,$M109,$L109,FALSE))/_xlfn.WEIBULL.DIST(DC$2,$M109,$L109,FALSE))*($T109*(1-$F109)+$S109*(1-$G109))*((1+Inputs!$D$7)^DC$2))))))))</f>
        <v>0</v>
      </c>
      <c r="DD109" s="88">
        <f>MAX(BN109,($E109*IF(DD$2&gt;Inputs!$D$5,0,IF(DD$2&gt;VLOOKUP($H109,Lists!$P$3:$Q$7,2),IF($N109=Lists!$K$3,IF($L109&lt;1,(($U109/$L109)*((1+Inputs!$D$7)^DD$2)),((INT(DD$2/$L109)-INT((DD$2-1)/$L109))*$U109*((1+Inputs!$D$7)^DD$2))),(Inputs!$D$8^((1-_xlfn.WEIBULL.DIST(DD$2,$M109,$L109,FALSE))/_xlfn.WEIBULL.DIST(DD$2,$M109,$L109,FALSE))*$U109*((1+Inputs!$D$7)^DD$2))),IF($N109=Lists!$K$3,IF($L109&lt;1,((($T109*(1-$F109)+$S109*(1-$G109))/$L109)*((1+Inputs!$D$7)^DD$2)),((INT(DD$2/$L109)-INT((DD$2-1)/$L109))*($T109*(1-$F109)+$S109*(1-$G109))*((1+Inputs!$D$7)^DD$2))),((Inputs!$D$8^((1-_xlfn.WEIBULL.DIST(DD$2,$M109,$L109,FALSE))/_xlfn.WEIBULL.DIST(DD$2,$M109,$L109,FALSE))*($T109*(1-$F109)+$S109*(1-$G109))*((1+Inputs!$D$7)^DD$2))))))))</f>
        <v>0</v>
      </c>
    </row>
    <row r="110" spans="1:108" ht="32">
      <c r="A110" s="57" t="s">
        <v>142</v>
      </c>
      <c r="B110" s="13" t="s">
        <v>279</v>
      </c>
      <c r="C110" s="13" t="s">
        <v>90</v>
      </c>
      <c r="D110" s="13" t="s">
        <v>475</v>
      </c>
      <c r="E110" s="48">
        <f>IF(Inputs!D45=Lists!Y3,1,0)</f>
        <v>0</v>
      </c>
      <c r="F110" s="48">
        <v>0</v>
      </c>
      <c r="G110" s="48">
        <v>0</v>
      </c>
      <c r="H110" s="105" t="s">
        <v>350</v>
      </c>
      <c r="I110" s="14" t="s">
        <v>268</v>
      </c>
      <c r="J110" s="14" t="s">
        <v>246</v>
      </c>
      <c r="K110" s="13">
        <f>VLOOKUP(J110,'Labor Rates'!$A$1:$F$16,2)</f>
        <v>33.119999999999997</v>
      </c>
      <c r="L110" s="15">
        <v>1</v>
      </c>
      <c r="M110" s="15">
        <v>1</v>
      </c>
      <c r="N110" s="13" t="s">
        <v>236</v>
      </c>
      <c r="O110" s="61">
        <f>Inputs!$D$53*E110</f>
        <v>0</v>
      </c>
      <c r="P110" s="15">
        <v>0.08</v>
      </c>
      <c r="Q110" s="15">
        <f t="shared" si="21"/>
        <v>0</v>
      </c>
      <c r="R110" s="4">
        <v>0</v>
      </c>
      <c r="S110" s="53">
        <f t="shared" si="22"/>
        <v>0</v>
      </c>
      <c r="T110" s="53">
        <f t="shared" si="23"/>
        <v>0</v>
      </c>
      <c r="U110" s="54">
        <f t="shared" si="24"/>
        <v>0</v>
      </c>
      <c r="V110" s="65"/>
      <c r="W110" s="58"/>
      <c r="X110" s="64">
        <f t="shared" si="25"/>
        <v>0</v>
      </c>
      <c r="Y110" s="64">
        <f>NPV(Inputs!$D$6,AA110:BN110)</f>
        <v>0</v>
      </c>
      <c r="Z110" s="67">
        <f t="shared" si="26"/>
        <v>0</v>
      </c>
      <c r="AA110" s="88">
        <f>$E110*IF(AA$2&gt;Inputs!$D$5,0,IF(AA$2&gt;VLOOKUP($H110,Lists!$P$3:$Q$7,2),IF($N110=Lists!$K$3,IF($L110&lt;1,(($U110/$L110)*((1+Inputs!$D$7)^AA$2)),((INT(AA$2/$L110)-INT((AA$2-1)/$L110))*$U110*((1+Inputs!$D$7)^AA$2))),(_xlfn.WEIBULL.DIST(AA$2,$M110,$L110,FALSE)*$U110*((1+Inputs!$D$7)^AA$2))),IF($N110=Lists!$K$3,IF($L110&lt;1,((($T110*(1-$F110)+$S110*(1-$G110))/$L110)*((1+Inputs!$D$7)^AA$2)),((INT(AA$2/$L110)-INT((AA$2-1)/$L110))*($T110*(1-$F110)+$S110*(1-$G110))*((1+Inputs!$D$7)^AA$2))),((_xlfn.WEIBULL.DIST(AA$2,$M110,$L110,FALSE)*($T110*(1-$F110)+$S110*(1-$G110))*((1+Inputs!$D$7)^AA$2))))))</f>
        <v>0</v>
      </c>
      <c r="AB110" s="88">
        <f>$E110*IF(AB$2&gt;Inputs!$D$5,0,IF(AB$2&gt;VLOOKUP($H110,Lists!$P$3:$Q$7,2),IF($N110=Lists!$K$3,IF($L110&lt;1,(($U110/$L110)*((1+Inputs!$D$7)^AB$2)),((INT(AB$2/$L110)-INT((AB$2-1)/$L110))*$U110*((1+Inputs!$D$7)^AB$2))),(_xlfn.WEIBULL.DIST(AB$2,$M110,$L110,FALSE)*$U110*((1+Inputs!$D$7)^AB$2))),IF($N110=Lists!$K$3,IF($L110&lt;1,((($T110*(1-$F110)+$S110*(1-$G110))/$L110)*((1+Inputs!$D$7)^AB$2)),((INT(AB$2/$L110)-INT((AB$2-1)/$L110))*($T110*(1-$F110)+$S110*(1-$G110))*((1+Inputs!$D$7)^AB$2))),((_xlfn.WEIBULL.DIST(AB$2,$M110,$L110,FALSE)*($T110*(1-$F110)+$S110*(1-$G110))*((1+Inputs!$D$7)^AB$2))))))</f>
        <v>0</v>
      </c>
      <c r="AC110" s="88">
        <f>$E110*IF(AC$2&gt;Inputs!$D$5,0,IF(AC$2&gt;VLOOKUP($H110,Lists!$P$3:$Q$7,2),IF($N110=Lists!$K$3,IF($L110&lt;1,(($U110/$L110)*((1+Inputs!$D$7)^AC$2)),((INT(AC$2/$L110)-INT((AC$2-1)/$L110))*$U110*((1+Inputs!$D$7)^AC$2))),(_xlfn.WEIBULL.DIST(AC$2,$M110,$L110,FALSE)*$U110*((1+Inputs!$D$7)^AC$2))),IF($N110=Lists!$K$3,IF($L110&lt;1,((($T110*(1-$F110)+$S110*(1-$G110))/$L110)*((1+Inputs!$D$7)^AC$2)),((INT(AC$2/$L110)-INT((AC$2-1)/$L110))*($T110*(1-$F110)+$S110*(1-$G110))*((1+Inputs!$D$7)^AC$2))),((_xlfn.WEIBULL.DIST(AC$2,$M110,$L110,FALSE)*($T110*(1-$F110)+$S110*(1-$G110))*((1+Inputs!$D$7)^AC$2))))))</f>
        <v>0</v>
      </c>
      <c r="AD110" s="88">
        <f>$E110*IF(AD$2&gt;Inputs!$D$5,0,IF(AD$2&gt;VLOOKUP($H110,Lists!$P$3:$Q$7,2),IF($N110=Lists!$K$3,IF($L110&lt;1,(($U110/$L110)*((1+Inputs!$D$7)^AD$2)),((INT(AD$2/$L110)-INT((AD$2-1)/$L110))*$U110*((1+Inputs!$D$7)^AD$2))),(_xlfn.WEIBULL.DIST(AD$2,$M110,$L110,FALSE)*$U110*((1+Inputs!$D$7)^AD$2))),IF($N110=Lists!$K$3,IF($L110&lt;1,((($T110*(1-$F110)+$S110*(1-$G110))/$L110)*((1+Inputs!$D$7)^AD$2)),((INT(AD$2/$L110)-INT((AD$2-1)/$L110))*($T110*(1-$F110)+$S110*(1-$G110))*((1+Inputs!$D$7)^AD$2))),((_xlfn.WEIBULL.DIST(AD$2,$M110,$L110,FALSE)*($T110*(1-$F110)+$S110*(1-$G110))*((1+Inputs!$D$7)^AD$2))))))</f>
        <v>0</v>
      </c>
      <c r="AE110" s="88">
        <f>$E110*IF(AE$2&gt;Inputs!$D$5,0,IF(AE$2&gt;VLOOKUP($H110,Lists!$P$3:$Q$7,2),IF($N110=Lists!$K$3,IF($L110&lt;1,(($U110/$L110)*((1+Inputs!$D$7)^AE$2)),((INT(AE$2/$L110)-INT((AE$2-1)/$L110))*$U110*((1+Inputs!$D$7)^AE$2))),(_xlfn.WEIBULL.DIST(AE$2,$M110,$L110,FALSE)*$U110*((1+Inputs!$D$7)^AE$2))),IF($N110=Lists!$K$3,IF($L110&lt;1,((($T110*(1-$F110)+$S110*(1-$G110))/$L110)*((1+Inputs!$D$7)^AE$2)),((INT(AE$2/$L110)-INT((AE$2-1)/$L110))*($T110*(1-$F110)+$S110*(1-$G110))*((1+Inputs!$D$7)^AE$2))),((_xlfn.WEIBULL.DIST(AE$2,$M110,$L110,FALSE)*($T110*(1-$F110)+$S110*(1-$G110))*((1+Inputs!$D$7)^AE$2))))))</f>
        <v>0</v>
      </c>
      <c r="AF110" s="88">
        <f>$E110*IF(AF$2&gt;Inputs!$D$5,0,IF(AF$2&gt;VLOOKUP($H110,Lists!$P$3:$Q$7,2),IF($N110=Lists!$K$3,IF($L110&lt;1,(($U110/$L110)*((1+Inputs!$D$7)^AF$2)),((INT(AF$2/$L110)-INT((AF$2-1)/$L110))*$U110*((1+Inputs!$D$7)^AF$2))),(_xlfn.WEIBULL.DIST(AF$2,$M110,$L110,FALSE)*$U110*((1+Inputs!$D$7)^AF$2))),IF($N110=Lists!$K$3,IF($L110&lt;1,((($T110*(1-$F110)+$S110*(1-$G110))/$L110)*((1+Inputs!$D$7)^AF$2)),((INT(AF$2/$L110)-INT((AF$2-1)/$L110))*($T110*(1-$F110)+$S110*(1-$G110))*((1+Inputs!$D$7)^AF$2))),((_xlfn.WEIBULL.DIST(AF$2,$M110,$L110,FALSE)*($T110*(1-$F110)+$S110*(1-$G110))*((1+Inputs!$D$7)^AF$2))))))</f>
        <v>0</v>
      </c>
      <c r="AG110" s="88">
        <f>$E110*IF(AG$2&gt;Inputs!$D$5,0,IF(AG$2&gt;VLOOKUP($H110,Lists!$P$3:$Q$7,2),IF($N110=Lists!$K$3,IF($L110&lt;1,(($U110/$L110)*((1+Inputs!$D$7)^AG$2)),((INT(AG$2/$L110)-INT((AG$2-1)/$L110))*$U110*((1+Inputs!$D$7)^AG$2))),(_xlfn.WEIBULL.DIST(AG$2,$M110,$L110,FALSE)*$U110*((1+Inputs!$D$7)^AG$2))),IF($N110=Lists!$K$3,IF($L110&lt;1,((($T110*(1-$F110)+$S110*(1-$G110))/$L110)*((1+Inputs!$D$7)^AG$2)),((INT(AG$2/$L110)-INT((AG$2-1)/$L110))*($T110*(1-$F110)+$S110*(1-$G110))*((1+Inputs!$D$7)^AG$2))),((_xlfn.WEIBULL.DIST(AG$2,$M110,$L110,FALSE)*($T110*(1-$F110)+$S110*(1-$G110))*((1+Inputs!$D$7)^AG$2))))))</f>
        <v>0</v>
      </c>
      <c r="AH110" s="88">
        <f>$E110*IF(AH$2&gt;Inputs!$D$5,0,IF(AH$2&gt;VLOOKUP($H110,Lists!$P$3:$Q$7,2),IF($N110=Lists!$K$3,IF($L110&lt;1,(($U110/$L110)*((1+Inputs!$D$7)^AH$2)),((INT(AH$2/$L110)-INT((AH$2-1)/$L110))*$U110*((1+Inputs!$D$7)^AH$2))),(_xlfn.WEIBULL.DIST(AH$2,$M110,$L110,FALSE)*$U110*((1+Inputs!$D$7)^AH$2))),IF($N110=Lists!$K$3,IF($L110&lt;1,((($T110*(1-$F110)+$S110*(1-$G110))/$L110)*((1+Inputs!$D$7)^AH$2)),((INT(AH$2/$L110)-INT((AH$2-1)/$L110))*($T110*(1-$F110)+$S110*(1-$G110))*((1+Inputs!$D$7)^AH$2))),((_xlfn.WEIBULL.DIST(AH$2,$M110,$L110,FALSE)*($T110*(1-$F110)+$S110*(1-$G110))*((1+Inputs!$D$7)^AH$2))))))</f>
        <v>0</v>
      </c>
      <c r="AI110" s="88">
        <f>$E110*IF(AI$2&gt;Inputs!$D$5,0,IF(AI$2&gt;VLOOKUP($H110,Lists!$P$3:$Q$7,2),IF($N110=Lists!$K$3,IF($L110&lt;1,(($U110/$L110)*((1+Inputs!$D$7)^AI$2)),((INT(AI$2/$L110)-INT((AI$2-1)/$L110))*$U110*((1+Inputs!$D$7)^AI$2))),(_xlfn.WEIBULL.DIST(AI$2,$M110,$L110,FALSE)*$U110*((1+Inputs!$D$7)^AI$2))),IF($N110=Lists!$K$3,IF($L110&lt;1,((($T110*(1-$F110)+$S110*(1-$G110))/$L110)*((1+Inputs!$D$7)^AI$2)),((INT(AI$2/$L110)-INT((AI$2-1)/$L110))*($T110*(1-$F110)+$S110*(1-$G110))*((1+Inputs!$D$7)^AI$2))),((_xlfn.WEIBULL.DIST(AI$2,$M110,$L110,FALSE)*($T110*(1-$F110)+$S110*(1-$G110))*((1+Inputs!$D$7)^AI$2))))))</f>
        <v>0</v>
      </c>
      <c r="AJ110" s="88">
        <f>$E110*IF(AJ$2&gt;Inputs!$D$5,0,IF(AJ$2&gt;VLOOKUP($H110,Lists!$P$3:$Q$7,2),IF($N110=Lists!$K$3,IF($L110&lt;1,(($U110/$L110)*((1+Inputs!$D$7)^AJ$2)),((INT(AJ$2/$L110)-INT((AJ$2-1)/$L110))*$U110*((1+Inputs!$D$7)^AJ$2))),(_xlfn.WEIBULL.DIST(AJ$2,$M110,$L110,FALSE)*$U110*((1+Inputs!$D$7)^AJ$2))),IF($N110=Lists!$K$3,IF($L110&lt;1,((($T110*(1-$F110)+$S110*(1-$G110))/$L110)*((1+Inputs!$D$7)^AJ$2)),((INT(AJ$2/$L110)-INT((AJ$2-1)/$L110))*($T110*(1-$F110)+$S110*(1-$G110))*((1+Inputs!$D$7)^AJ$2))),((_xlfn.WEIBULL.DIST(AJ$2,$M110,$L110,FALSE)*($T110*(1-$F110)+$S110*(1-$G110))*((1+Inputs!$D$7)^AJ$2))))))</f>
        <v>0</v>
      </c>
      <c r="AK110" s="88">
        <f>$E110*IF(AK$2&gt;Inputs!$D$5,0,IF(AK$2&gt;VLOOKUP($H110,Lists!$P$3:$Q$7,2),IF($N110=Lists!$K$3,IF($L110&lt;1,(($U110/$L110)*((1+Inputs!$D$7)^AK$2)),((INT(AK$2/$L110)-INT((AK$2-1)/$L110))*$U110*((1+Inputs!$D$7)^AK$2))),(_xlfn.WEIBULL.DIST(AK$2,$M110,$L110,FALSE)*$U110*((1+Inputs!$D$7)^AK$2))),IF($N110=Lists!$K$3,IF($L110&lt;1,((($T110*(1-$F110)+$S110*(1-$G110))/$L110)*((1+Inputs!$D$7)^AK$2)),((INT(AK$2/$L110)-INT((AK$2-1)/$L110))*($T110*(1-$F110)+$S110*(1-$G110))*((1+Inputs!$D$7)^AK$2))),((_xlfn.WEIBULL.DIST(AK$2,$M110,$L110,FALSE)*($T110*(1-$F110)+$S110*(1-$G110))*((1+Inputs!$D$7)^AK$2))))))</f>
        <v>0</v>
      </c>
      <c r="AL110" s="88">
        <f>$E110*IF(AL$2&gt;Inputs!$D$5,0,IF(AL$2&gt;VLOOKUP($H110,Lists!$P$3:$Q$7,2),IF($N110=Lists!$K$3,IF($L110&lt;1,(($U110/$L110)*((1+Inputs!$D$7)^AL$2)),((INT(AL$2/$L110)-INT((AL$2-1)/$L110))*$U110*((1+Inputs!$D$7)^AL$2))),(_xlfn.WEIBULL.DIST(AL$2,$M110,$L110,FALSE)*$U110*((1+Inputs!$D$7)^AL$2))),IF($N110=Lists!$K$3,IF($L110&lt;1,((($T110*(1-$F110)+$S110*(1-$G110))/$L110)*((1+Inputs!$D$7)^AL$2)),((INT(AL$2/$L110)-INT((AL$2-1)/$L110))*($T110*(1-$F110)+$S110*(1-$G110))*((1+Inputs!$D$7)^AL$2))),((_xlfn.WEIBULL.DIST(AL$2,$M110,$L110,FALSE)*($T110*(1-$F110)+$S110*(1-$G110))*((1+Inputs!$D$7)^AL$2))))))</f>
        <v>0</v>
      </c>
      <c r="AM110" s="88">
        <f>$E110*IF(AM$2&gt;Inputs!$D$5,0,IF(AM$2&gt;VLOOKUP($H110,Lists!$P$3:$Q$7,2),IF($N110=Lists!$K$3,IF($L110&lt;1,(($U110/$L110)*((1+Inputs!$D$7)^AM$2)),((INT(AM$2/$L110)-INT((AM$2-1)/$L110))*$U110*((1+Inputs!$D$7)^AM$2))),(_xlfn.WEIBULL.DIST(AM$2,$M110,$L110,FALSE)*$U110*((1+Inputs!$D$7)^AM$2))),IF($N110=Lists!$K$3,IF($L110&lt;1,((($T110*(1-$F110)+$S110*(1-$G110))/$L110)*((1+Inputs!$D$7)^AM$2)),((INT(AM$2/$L110)-INT((AM$2-1)/$L110))*($T110*(1-$F110)+$S110*(1-$G110))*((1+Inputs!$D$7)^AM$2))),((_xlfn.WEIBULL.DIST(AM$2,$M110,$L110,FALSE)*($T110*(1-$F110)+$S110*(1-$G110))*((1+Inputs!$D$7)^AM$2))))))</f>
        <v>0</v>
      </c>
      <c r="AN110" s="88">
        <f>$E110*IF(AN$2&gt;Inputs!$D$5,0,IF(AN$2&gt;VLOOKUP($H110,Lists!$P$3:$Q$7,2),IF($N110=Lists!$K$3,IF($L110&lt;1,(($U110/$L110)*((1+Inputs!$D$7)^AN$2)),((INT(AN$2/$L110)-INT((AN$2-1)/$L110))*$U110*((1+Inputs!$D$7)^AN$2))),(_xlfn.WEIBULL.DIST(AN$2,$M110,$L110,FALSE)*$U110*((1+Inputs!$D$7)^AN$2))),IF($N110=Lists!$K$3,IF($L110&lt;1,((($T110*(1-$F110)+$S110*(1-$G110))/$L110)*((1+Inputs!$D$7)^AN$2)),((INT(AN$2/$L110)-INT((AN$2-1)/$L110))*($T110*(1-$F110)+$S110*(1-$G110))*((1+Inputs!$D$7)^AN$2))),((_xlfn.WEIBULL.DIST(AN$2,$M110,$L110,FALSE)*($T110*(1-$F110)+$S110*(1-$G110))*((1+Inputs!$D$7)^AN$2))))))</f>
        <v>0</v>
      </c>
      <c r="AO110" s="88">
        <f>$E110*IF(AO$2&gt;Inputs!$D$5,0,IF(AO$2&gt;VLOOKUP($H110,Lists!$P$3:$Q$7,2),IF($N110=Lists!$K$3,IF($L110&lt;1,(($U110/$L110)*((1+Inputs!$D$7)^AO$2)),((INT(AO$2/$L110)-INT((AO$2-1)/$L110))*$U110*((1+Inputs!$D$7)^AO$2))),(_xlfn.WEIBULL.DIST(AO$2,$M110,$L110,FALSE)*$U110*((1+Inputs!$D$7)^AO$2))),IF($N110=Lists!$K$3,IF($L110&lt;1,((($T110*(1-$F110)+$S110*(1-$G110))/$L110)*((1+Inputs!$D$7)^AO$2)),((INT(AO$2/$L110)-INT((AO$2-1)/$L110))*($T110*(1-$F110)+$S110*(1-$G110))*((1+Inputs!$D$7)^AO$2))),((_xlfn.WEIBULL.DIST(AO$2,$M110,$L110,FALSE)*($T110*(1-$F110)+$S110*(1-$G110))*((1+Inputs!$D$7)^AO$2))))))</f>
        <v>0</v>
      </c>
      <c r="AP110" s="88">
        <f>$E110*IF(AP$2&gt;Inputs!$D$5,0,IF(AP$2&gt;VLOOKUP($H110,Lists!$P$3:$Q$7,2),IF($N110=Lists!$K$3,IF($L110&lt;1,(($U110/$L110)*((1+Inputs!$D$7)^AP$2)),((INT(AP$2/$L110)-INT((AP$2-1)/$L110))*$U110*((1+Inputs!$D$7)^AP$2))),(_xlfn.WEIBULL.DIST(AP$2,$M110,$L110,FALSE)*$U110*((1+Inputs!$D$7)^AP$2))),IF($N110=Lists!$K$3,IF($L110&lt;1,((($T110*(1-$F110)+$S110*(1-$G110))/$L110)*((1+Inputs!$D$7)^AP$2)),((INT(AP$2/$L110)-INT((AP$2-1)/$L110))*($T110*(1-$F110)+$S110*(1-$G110))*((1+Inputs!$D$7)^AP$2))),((_xlfn.WEIBULL.DIST(AP$2,$M110,$L110,FALSE)*($T110*(1-$F110)+$S110*(1-$G110))*((1+Inputs!$D$7)^AP$2))))))</f>
        <v>0</v>
      </c>
      <c r="AQ110" s="88">
        <f>$E110*IF(AQ$2&gt;Inputs!$D$5,0,IF(AQ$2&gt;VLOOKUP($H110,Lists!$P$3:$Q$7,2),IF($N110=Lists!$K$3,IF($L110&lt;1,(($U110/$L110)*((1+Inputs!$D$7)^AQ$2)),((INT(AQ$2/$L110)-INT((AQ$2-1)/$L110))*$U110*((1+Inputs!$D$7)^AQ$2))),(_xlfn.WEIBULL.DIST(AQ$2,$M110,$L110,FALSE)*$U110*((1+Inputs!$D$7)^AQ$2))),IF($N110=Lists!$K$3,IF($L110&lt;1,((($T110*(1-$F110)+$S110*(1-$G110))/$L110)*((1+Inputs!$D$7)^AQ$2)),((INT(AQ$2/$L110)-INT((AQ$2-1)/$L110))*($T110*(1-$F110)+$S110*(1-$G110))*((1+Inputs!$D$7)^AQ$2))),((_xlfn.WEIBULL.DIST(AQ$2,$M110,$L110,FALSE)*($T110*(1-$F110)+$S110*(1-$G110))*((1+Inputs!$D$7)^AQ$2))))))</f>
        <v>0</v>
      </c>
      <c r="AR110" s="88">
        <f>$E110*IF(AR$2&gt;Inputs!$D$5,0,IF(AR$2&gt;VLOOKUP($H110,Lists!$P$3:$Q$7,2),IF($N110=Lists!$K$3,IF($L110&lt;1,(($U110/$L110)*((1+Inputs!$D$7)^AR$2)),((INT(AR$2/$L110)-INT((AR$2-1)/$L110))*$U110*((1+Inputs!$D$7)^AR$2))),(_xlfn.WEIBULL.DIST(AR$2,$M110,$L110,FALSE)*$U110*((1+Inputs!$D$7)^AR$2))),IF($N110=Lists!$K$3,IF($L110&lt;1,((($T110*(1-$F110)+$S110*(1-$G110))/$L110)*((1+Inputs!$D$7)^AR$2)),((INT(AR$2/$L110)-INT((AR$2-1)/$L110))*($T110*(1-$F110)+$S110*(1-$G110))*((1+Inputs!$D$7)^AR$2))),((_xlfn.WEIBULL.DIST(AR$2,$M110,$L110,FALSE)*($T110*(1-$F110)+$S110*(1-$G110))*((1+Inputs!$D$7)^AR$2))))))</f>
        <v>0</v>
      </c>
      <c r="AS110" s="88">
        <f>$E110*IF(AS$2&gt;Inputs!$D$5,0,IF(AS$2&gt;VLOOKUP($H110,Lists!$P$3:$Q$7,2),IF($N110=Lists!$K$3,IF($L110&lt;1,(($U110/$L110)*((1+Inputs!$D$7)^AS$2)),((INT(AS$2/$L110)-INT((AS$2-1)/$L110))*$U110*((1+Inputs!$D$7)^AS$2))),(_xlfn.WEIBULL.DIST(AS$2,$M110,$L110,FALSE)*$U110*((1+Inputs!$D$7)^AS$2))),IF($N110=Lists!$K$3,IF($L110&lt;1,((($T110*(1-$F110)+$S110*(1-$G110))/$L110)*((1+Inputs!$D$7)^AS$2)),((INT(AS$2/$L110)-INT((AS$2-1)/$L110))*($T110*(1-$F110)+$S110*(1-$G110))*((1+Inputs!$D$7)^AS$2))),((_xlfn.WEIBULL.DIST(AS$2,$M110,$L110,FALSE)*($T110*(1-$F110)+$S110*(1-$G110))*((1+Inputs!$D$7)^AS$2))))))</f>
        <v>0</v>
      </c>
      <c r="AT110" s="88">
        <f>$E110*IF(AT$2&gt;Inputs!$D$5,0,IF(AT$2&gt;VLOOKUP($H110,Lists!$P$3:$Q$7,2),IF($N110=Lists!$K$3,IF($L110&lt;1,(($U110/$L110)*((1+Inputs!$D$7)^AT$2)),((INT(AT$2/$L110)-INT((AT$2-1)/$L110))*$U110*((1+Inputs!$D$7)^AT$2))),(_xlfn.WEIBULL.DIST(AT$2,$M110,$L110,FALSE)*$U110*((1+Inputs!$D$7)^AT$2))),IF($N110=Lists!$K$3,IF($L110&lt;1,((($T110*(1-$F110)+$S110*(1-$G110))/$L110)*((1+Inputs!$D$7)^AT$2)),((INT(AT$2/$L110)-INT((AT$2-1)/$L110))*($T110*(1-$F110)+$S110*(1-$G110))*((1+Inputs!$D$7)^AT$2))),((_xlfn.WEIBULL.DIST(AT$2,$M110,$L110,FALSE)*($T110*(1-$F110)+$S110*(1-$G110))*((1+Inputs!$D$7)^AT$2))))))</f>
        <v>0</v>
      </c>
      <c r="AU110" s="88">
        <f>$E110*IF(AU$2&gt;Inputs!$D$5,0,IF(AU$2&gt;VLOOKUP($H110,Lists!$P$3:$Q$7,2),IF($N110=Lists!$K$3,IF($L110&lt;1,(($U110/$L110)*((1+Inputs!$D$7)^AU$2)),((INT(AU$2/$L110)-INT((AU$2-1)/$L110))*$U110*((1+Inputs!$D$7)^AU$2))),(_xlfn.WEIBULL.DIST(AU$2,$M110,$L110,FALSE)*$U110*((1+Inputs!$D$7)^AU$2))),IF($N110=Lists!$K$3,IF($L110&lt;1,((($T110*(1-$F110)+$S110*(1-$G110))/$L110)*((1+Inputs!$D$7)^AU$2)),((INT(AU$2/$L110)-INT((AU$2-1)/$L110))*($T110*(1-$F110)+$S110*(1-$G110))*((1+Inputs!$D$7)^AU$2))),((_xlfn.WEIBULL.DIST(AU$2,$M110,$L110,FALSE)*($T110*(1-$F110)+$S110*(1-$G110))*((1+Inputs!$D$7)^AU$2))))))</f>
        <v>0</v>
      </c>
      <c r="AV110" s="88">
        <f>$E110*IF(AV$2&gt;Inputs!$D$5,0,IF(AV$2&gt;VLOOKUP($H110,Lists!$P$3:$Q$7,2),IF($N110=Lists!$K$3,IF($L110&lt;1,(($U110/$L110)*((1+Inputs!$D$7)^AV$2)),((INT(AV$2/$L110)-INT((AV$2-1)/$L110))*$U110*((1+Inputs!$D$7)^AV$2))),(_xlfn.WEIBULL.DIST(AV$2,$M110,$L110,FALSE)*$U110*((1+Inputs!$D$7)^AV$2))),IF($N110=Lists!$K$3,IF($L110&lt;1,((($T110*(1-$F110)+$S110*(1-$G110))/$L110)*((1+Inputs!$D$7)^AV$2)),((INT(AV$2/$L110)-INT((AV$2-1)/$L110))*($T110*(1-$F110)+$S110*(1-$G110))*((1+Inputs!$D$7)^AV$2))),((_xlfn.WEIBULL.DIST(AV$2,$M110,$L110,FALSE)*($T110*(1-$F110)+$S110*(1-$G110))*((1+Inputs!$D$7)^AV$2))))))</f>
        <v>0</v>
      </c>
      <c r="AW110" s="88">
        <f>$E110*IF(AW$2&gt;Inputs!$D$5,0,IF(AW$2&gt;VLOOKUP($H110,Lists!$P$3:$Q$7,2),IF($N110=Lists!$K$3,IF($L110&lt;1,(($U110/$L110)*((1+Inputs!$D$7)^AW$2)),((INT(AW$2/$L110)-INT((AW$2-1)/$L110))*$U110*((1+Inputs!$D$7)^AW$2))),(_xlfn.WEIBULL.DIST(AW$2,$M110,$L110,FALSE)*$U110*((1+Inputs!$D$7)^AW$2))),IF($N110=Lists!$K$3,IF($L110&lt;1,((($T110*(1-$F110)+$S110*(1-$G110))/$L110)*((1+Inputs!$D$7)^AW$2)),((INT(AW$2/$L110)-INT((AW$2-1)/$L110))*($T110*(1-$F110)+$S110*(1-$G110))*((1+Inputs!$D$7)^AW$2))),((_xlfn.WEIBULL.DIST(AW$2,$M110,$L110,FALSE)*($T110*(1-$F110)+$S110*(1-$G110))*((1+Inputs!$D$7)^AW$2))))))</f>
        <v>0</v>
      </c>
      <c r="AX110" s="88">
        <f>$E110*IF(AX$2&gt;Inputs!$D$5,0,IF(AX$2&gt;VLOOKUP($H110,Lists!$P$3:$Q$7,2),IF($N110=Lists!$K$3,IF($L110&lt;1,(($U110/$L110)*((1+Inputs!$D$7)^AX$2)),((INT(AX$2/$L110)-INT((AX$2-1)/$L110))*$U110*((1+Inputs!$D$7)^AX$2))),(_xlfn.WEIBULL.DIST(AX$2,$M110,$L110,FALSE)*$U110*((1+Inputs!$D$7)^AX$2))),IF($N110=Lists!$K$3,IF($L110&lt;1,((($T110*(1-$F110)+$S110*(1-$G110))/$L110)*((1+Inputs!$D$7)^AX$2)),((INT(AX$2/$L110)-INT((AX$2-1)/$L110))*($T110*(1-$F110)+$S110*(1-$G110))*((1+Inputs!$D$7)^AX$2))),((_xlfn.WEIBULL.DIST(AX$2,$M110,$L110,FALSE)*($T110*(1-$F110)+$S110*(1-$G110))*((1+Inputs!$D$7)^AX$2))))))</f>
        <v>0</v>
      </c>
      <c r="AY110" s="88">
        <f>$E110*IF(AY$2&gt;Inputs!$D$5,0,IF(AY$2&gt;VLOOKUP($H110,Lists!$P$3:$Q$7,2),IF($N110=Lists!$K$3,IF($L110&lt;1,(($U110/$L110)*((1+Inputs!$D$7)^AY$2)),((INT(AY$2/$L110)-INT((AY$2-1)/$L110))*$U110*((1+Inputs!$D$7)^AY$2))),(_xlfn.WEIBULL.DIST(AY$2,$M110,$L110,FALSE)*$U110*((1+Inputs!$D$7)^AY$2))),IF($N110=Lists!$K$3,IF($L110&lt;1,((($T110*(1-$F110)+$S110*(1-$G110))/$L110)*((1+Inputs!$D$7)^AY$2)),((INT(AY$2/$L110)-INT((AY$2-1)/$L110))*($T110*(1-$F110)+$S110*(1-$G110))*((1+Inputs!$D$7)^AY$2))),((_xlfn.WEIBULL.DIST(AY$2,$M110,$L110,FALSE)*($T110*(1-$F110)+$S110*(1-$G110))*((1+Inputs!$D$7)^AY$2))))))</f>
        <v>0</v>
      </c>
      <c r="AZ110" s="88">
        <f>$E110*IF(AZ$2&gt;Inputs!$D$5,0,IF(AZ$2&gt;VLOOKUP($H110,Lists!$P$3:$Q$7,2),IF($N110=Lists!$K$3,IF($L110&lt;1,(($U110/$L110)*((1+Inputs!$D$7)^AZ$2)),((INT(AZ$2/$L110)-INT((AZ$2-1)/$L110))*$U110*((1+Inputs!$D$7)^AZ$2))),(_xlfn.WEIBULL.DIST(AZ$2,$M110,$L110,FALSE)*$U110*((1+Inputs!$D$7)^AZ$2))),IF($N110=Lists!$K$3,IF($L110&lt;1,((($T110*(1-$F110)+$S110*(1-$G110))/$L110)*((1+Inputs!$D$7)^AZ$2)),((INT(AZ$2/$L110)-INT((AZ$2-1)/$L110))*($T110*(1-$F110)+$S110*(1-$G110))*((1+Inputs!$D$7)^AZ$2))),((_xlfn.WEIBULL.DIST(AZ$2,$M110,$L110,FALSE)*($T110*(1-$F110)+$S110*(1-$G110))*((1+Inputs!$D$7)^AZ$2))))))</f>
        <v>0</v>
      </c>
      <c r="BA110" s="88">
        <f>$E110*IF(BA$2&gt;Inputs!$D$5,0,IF(BA$2&gt;VLOOKUP($H110,Lists!$P$3:$Q$7,2),IF($N110=Lists!$K$3,IF($L110&lt;1,(($U110/$L110)*((1+Inputs!$D$7)^BA$2)),((INT(BA$2/$L110)-INT((BA$2-1)/$L110))*$U110*((1+Inputs!$D$7)^BA$2))),(_xlfn.WEIBULL.DIST(BA$2,$M110,$L110,FALSE)*$U110*((1+Inputs!$D$7)^BA$2))),IF($N110=Lists!$K$3,IF($L110&lt;1,((($T110*(1-$F110)+$S110*(1-$G110))/$L110)*((1+Inputs!$D$7)^BA$2)),((INT(BA$2/$L110)-INT((BA$2-1)/$L110))*($T110*(1-$F110)+$S110*(1-$G110))*((1+Inputs!$D$7)^BA$2))),((_xlfn.WEIBULL.DIST(BA$2,$M110,$L110,FALSE)*($T110*(1-$F110)+$S110*(1-$G110))*((1+Inputs!$D$7)^BA$2))))))</f>
        <v>0</v>
      </c>
      <c r="BB110" s="88">
        <f>$E110*IF(BB$2&gt;Inputs!$D$5,0,IF(BB$2&gt;VLOOKUP($H110,Lists!$P$3:$Q$7,2),IF($N110=Lists!$K$3,IF($L110&lt;1,(($U110/$L110)*((1+Inputs!$D$7)^BB$2)),((INT(BB$2/$L110)-INT((BB$2-1)/$L110))*$U110*((1+Inputs!$D$7)^BB$2))),(_xlfn.WEIBULL.DIST(BB$2,$M110,$L110,FALSE)*$U110*((1+Inputs!$D$7)^BB$2))),IF($N110=Lists!$K$3,IF($L110&lt;1,((($T110*(1-$F110)+$S110*(1-$G110))/$L110)*((1+Inputs!$D$7)^BB$2)),((INT(BB$2/$L110)-INT((BB$2-1)/$L110))*($T110*(1-$F110)+$S110*(1-$G110))*((1+Inputs!$D$7)^BB$2))),((_xlfn.WEIBULL.DIST(BB$2,$M110,$L110,FALSE)*($T110*(1-$F110)+$S110*(1-$G110))*((1+Inputs!$D$7)^BB$2))))))</f>
        <v>0</v>
      </c>
      <c r="BC110" s="88">
        <f>$E110*IF(BC$2&gt;Inputs!$D$5,0,IF(BC$2&gt;VLOOKUP($H110,Lists!$P$3:$Q$7,2),IF($N110=Lists!$K$3,IF($L110&lt;1,(($U110/$L110)*((1+Inputs!$D$7)^BC$2)),((INT(BC$2/$L110)-INT((BC$2-1)/$L110))*$U110*((1+Inputs!$D$7)^BC$2))),(_xlfn.WEIBULL.DIST(BC$2,$M110,$L110,FALSE)*$U110*((1+Inputs!$D$7)^BC$2))),IF($N110=Lists!$K$3,IF($L110&lt;1,((($T110*(1-$F110)+$S110*(1-$G110))/$L110)*((1+Inputs!$D$7)^BC$2)),((INT(BC$2/$L110)-INT((BC$2-1)/$L110))*($T110*(1-$F110)+$S110*(1-$G110))*((1+Inputs!$D$7)^BC$2))),((_xlfn.WEIBULL.DIST(BC$2,$M110,$L110,FALSE)*($T110*(1-$F110)+$S110*(1-$G110))*((1+Inputs!$D$7)^BC$2))))))</f>
        <v>0</v>
      </c>
      <c r="BD110" s="88">
        <f>$E110*IF(BD$2&gt;Inputs!$D$5,0,IF(BD$2&gt;VLOOKUP($H110,Lists!$P$3:$Q$7,2),IF($N110=Lists!$K$3,IF($L110&lt;1,(($U110/$L110)*((1+Inputs!$D$7)^BD$2)),((INT(BD$2/$L110)-INT((BD$2-1)/$L110))*$U110*((1+Inputs!$D$7)^BD$2))),(_xlfn.WEIBULL.DIST(BD$2,$M110,$L110,FALSE)*$U110*((1+Inputs!$D$7)^BD$2))),IF($N110=Lists!$K$3,IF($L110&lt;1,((($T110*(1-$F110)+$S110*(1-$G110))/$L110)*((1+Inputs!$D$7)^BD$2)),((INT(BD$2/$L110)-INT((BD$2-1)/$L110))*($T110*(1-$F110)+$S110*(1-$G110))*((1+Inputs!$D$7)^BD$2))),((_xlfn.WEIBULL.DIST(BD$2,$M110,$L110,FALSE)*($T110*(1-$F110)+$S110*(1-$G110))*((1+Inputs!$D$7)^BD$2))))))</f>
        <v>0</v>
      </c>
      <c r="BE110" s="88">
        <f>$E110*IF(BE$2&gt;Inputs!$D$5,0,IF(BE$2&gt;VLOOKUP($H110,Lists!$P$3:$Q$7,2),IF($N110=Lists!$K$3,IF($L110&lt;1,(($U110/$L110)*((1+Inputs!$D$7)^BE$2)),((INT(BE$2/$L110)-INT((BE$2-1)/$L110))*$U110*((1+Inputs!$D$7)^BE$2))),(_xlfn.WEIBULL.DIST(BE$2,$M110,$L110,FALSE)*$U110*((1+Inputs!$D$7)^BE$2))),IF($N110=Lists!$K$3,IF($L110&lt;1,((($T110*(1-$F110)+$S110*(1-$G110))/$L110)*((1+Inputs!$D$7)^BE$2)),((INT(BE$2/$L110)-INT((BE$2-1)/$L110))*($T110*(1-$F110)+$S110*(1-$G110))*((1+Inputs!$D$7)^BE$2))),((_xlfn.WEIBULL.DIST(BE$2,$M110,$L110,FALSE)*($T110*(1-$F110)+$S110*(1-$G110))*((1+Inputs!$D$7)^BE$2))))))</f>
        <v>0</v>
      </c>
      <c r="BF110" s="88">
        <f>$E110*IF(BF$2&gt;Inputs!$D$5,0,IF(BF$2&gt;VLOOKUP($H110,Lists!$P$3:$Q$7,2),IF($N110=Lists!$K$3,IF($L110&lt;1,(($U110/$L110)*((1+Inputs!$D$7)^BF$2)),((INT(BF$2/$L110)-INT((BF$2-1)/$L110))*$U110*((1+Inputs!$D$7)^BF$2))),(_xlfn.WEIBULL.DIST(BF$2,$M110,$L110,FALSE)*$U110*((1+Inputs!$D$7)^BF$2))),IF($N110=Lists!$K$3,IF($L110&lt;1,((($T110*(1-$F110)+$S110*(1-$G110))/$L110)*((1+Inputs!$D$7)^BF$2)),((INT(BF$2/$L110)-INT((BF$2-1)/$L110))*($T110*(1-$F110)+$S110*(1-$G110))*((1+Inputs!$D$7)^BF$2))),((_xlfn.WEIBULL.DIST(BF$2,$M110,$L110,FALSE)*($T110*(1-$F110)+$S110*(1-$G110))*((1+Inputs!$D$7)^BF$2))))))</f>
        <v>0</v>
      </c>
      <c r="BG110" s="88">
        <f>$E110*IF(BG$2&gt;Inputs!$D$5,0,IF(BG$2&gt;VLOOKUP($H110,Lists!$P$3:$Q$7,2),IF($N110=Lists!$K$3,IF($L110&lt;1,(($U110/$L110)*((1+Inputs!$D$7)^BG$2)),((INT(BG$2/$L110)-INT((BG$2-1)/$L110))*$U110*((1+Inputs!$D$7)^BG$2))),(_xlfn.WEIBULL.DIST(BG$2,$M110,$L110,FALSE)*$U110*((1+Inputs!$D$7)^BG$2))),IF($N110=Lists!$K$3,IF($L110&lt;1,((($T110*(1-$F110)+$S110*(1-$G110))/$L110)*((1+Inputs!$D$7)^BG$2)),((INT(BG$2/$L110)-INT((BG$2-1)/$L110))*($T110*(1-$F110)+$S110*(1-$G110))*((1+Inputs!$D$7)^BG$2))),((_xlfn.WEIBULL.DIST(BG$2,$M110,$L110,FALSE)*($T110*(1-$F110)+$S110*(1-$G110))*((1+Inputs!$D$7)^BG$2))))))</f>
        <v>0</v>
      </c>
      <c r="BH110" s="88">
        <f>$E110*IF(BH$2&gt;Inputs!$D$5,0,IF(BH$2&gt;VLOOKUP($H110,Lists!$P$3:$Q$7,2),IF($N110=Lists!$K$3,IF($L110&lt;1,(($U110/$L110)*((1+Inputs!$D$7)^BH$2)),((INT(BH$2/$L110)-INT((BH$2-1)/$L110))*$U110*((1+Inputs!$D$7)^BH$2))),(_xlfn.WEIBULL.DIST(BH$2,$M110,$L110,FALSE)*$U110*((1+Inputs!$D$7)^BH$2))),IF($N110=Lists!$K$3,IF($L110&lt;1,((($T110*(1-$F110)+$S110*(1-$G110))/$L110)*((1+Inputs!$D$7)^BH$2)),((INT(BH$2/$L110)-INT((BH$2-1)/$L110))*($T110*(1-$F110)+$S110*(1-$G110))*((1+Inputs!$D$7)^BH$2))),((_xlfn.WEIBULL.DIST(BH$2,$M110,$L110,FALSE)*($T110*(1-$F110)+$S110*(1-$G110))*((1+Inputs!$D$7)^BH$2))))))</f>
        <v>0</v>
      </c>
      <c r="BI110" s="88">
        <f>$E110*IF(BI$2&gt;Inputs!$D$5,0,IF(BI$2&gt;VLOOKUP($H110,Lists!$P$3:$Q$7,2),IF($N110=Lists!$K$3,IF($L110&lt;1,(($U110/$L110)*((1+Inputs!$D$7)^BI$2)),((INT(BI$2/$L110)-INT((BI$2-1)/$L110))*$U110*((1+Inputs!$D$7)^BI$2))),(_xlfn.WEIBULL.DIST(BI$2,$M110,$L110,FALSE)*$U110*((1+Inputs!$D$7)^BI$2))),IF($N110=Lists!$K$3,IF($L110&lt;1,((($T110*(1-$F110)+$S110*(1-$G110))/$L110)*((1+Inputs!$D$7)^BI$2)),((INT(BI$2/$L110)-INT((BI$2-1)/$L110))*($T110*(1-$F110)+$S110*(1-$G110))*((1+Inputs!$D$7)^BI$2))),((_xlfn.WEIBULL.DIST(BI$2,$M110,$L110,FALSE)*($T110*(1-$F110)+$S110*(1-$G110))*((1+Inputs!$D$7)^BI$2))))))</f>
        <v>0</v>
      </c>
      <c r="BJ110" s="88">
        <f>$E110*IF(BJ$2&gt;Inputs!$D$5,0,IF(BJ$2&gt;VLOOKUP($H110,Lists!$P$3:$Q$7,2),IF($N110=Lists!$K$3,IF($L110&lt;1,(($U110/$L110)*((1+Inputs!$D$7)^BJ$2)),((INT(BJ$2/$L110)-INT((BJ$2-1)/$L110))*$U110*((1+Inputs!$D$7)^BJ$2))),(_xlfn.WEIBULL.DIST(BJ$2,$M110,$L110,FALSE)*$U110*((1+Inputs!$D$7)^BJ$2))),IF($N110=Lists!$K$3,IF($L110&lt;1,((($T110*(1-$F110)+$S110*(1-$G110))/$L110)*((1+Inputs!$D$7)^BJ$2)),((INT(BJ$2/$L110)-INT((BJ$2-1)/$L110))*($T110*(1-$F110)+$S110*(1-$G110))*((1+Inputs!$D$7)^BJ$2))),((_xlfn.WEIBULL.DIST(BJ$2,$M110,$L110,FALSE)*($T110*(1-$F110)+$S110*(1-$G110))*((1+Inputs!$D$7)^BJ$2))))))</f>
        <v>0</v>
      </c>
      <c r="BK110" s="88">
        <f>$E110*IF(BK$2&gt;Inputs!$D$5,0,IF(BK$2&gt;VLOOKUP($H110,Lists!$P$3:$Q$7,2),IF($N110=Lists!$K$3,IF($L110&lt;1,(($U110/$L110)*((1+Inputs!$D$7)^BK$2)),((INT(BK$2/$L110)-INT((BK$2-1)/$L110))*$U110*((1+Inputs!$D$7)^BK$2))),(_xlfn.WEIBULL.DIST(BK$2,$M110,$L110,FALSE)*$U110*((1+Inputs!$D$7)^BK$2))),IF($N110=Lists!$K$3,IF($L110&lt;1,((($T110*(1-$F110)+$S110*(1-$G110))/$L110)*((1+Inputs!$D$7)^BK$2)),((INT(BK$2/$L110)-INT((BK$2-1)/$L110))*($T110*(1-$F110)+$S110*(1-$G110))*((1+Inputs!$D$7)^BK$2))),((_xlfn.WEIBULL.DIST(BK$2,$M110,$L110,FALSE)*($T110*(1-$F110)+$S110*(1-$G110))*((1+Inputs!$D$7)^BK$2))))))</f>
        <v>0</v>
      </c>
      <c r="BL110" s="88">
        <f>$E110*IF(BL$2&gt;Inputs!$D$5,0,IF(BL$2&gt;VLOOKUP($H110,Lists!$P$3:$Q$7,2),IF($N110=Lists!$K$3,IF($L110&lt;1,(($U110/$L110)*((1+Inputs!$D$7)^BL$2)),((INT(BL$2/$L110)-INT((BL$2-1)/$L110))*$U110*((1+Inputs!$D$7)^BL$2))),(_xlfn.WEIBULL.DIST(BL$2,$M110,$L110,FALSE)*$U110*((1+Inputs!$D$7)^BL$2))),IF($N110=Lists!$K$3,IF($L110&lt;1,((($T110*(1-$F110)+$S110*(1-$G110))/$L110)*((1+Inputs!$D$7)^BL$2)),((INT(BL$2/$L110)-INT((BL$2-1)/$L110))*($T110*(1-$F110)+$S110*(1-$G110))*((1+Inputs!$D$7)^BL$2))),((_xlfn.WEIBULL.DIST(BL$2,$M110,$L110,FALSE)*($T110*(1-$F110)+$S110*(1-$G110))*((1+Inputs!$D$7)^BL$2))))))</f>
        <v>0</v>
      </c>
      <c r="BM110" s="88">
        <f>$E110*IF(BM$2&gt;Inputs!$D$5,0,IF(BM$2&gt;VLOOKUP($H110,Lists!$P$3:$Q$7,2),IF($N110=Lists!$K$3,IF($L110&lt;1,(($U110/$L110)*((1+Inputs!$D$7)^BM$2)),((INT(BM$2/$L110)-INT((BM$2-1)/$L110))*$U110*((1+Inputs!$D$7)^BM$2))),(_xlfn.WEIBULL.DIST(BM$2,$M110,$L110,FALSE)*$U110*((1+Inputs!$D$7)^BM$2))),IF($N110=Lists!$K$3,IF($L110&lt;1,((($T110*(1-$F110)+$S110*(1-$G110))/$L110)*((1+Inputs!$D$7)^BM$2)),((INT(BM$2/$L110)-INT((BM$2-1)/$L110))*($T110*(1-$F110)+$S110*(1-$G110))*((1+Inputs!$D$7)^BM$2))),((_xlfn.WEIBULL.DIST(BM$2,$M110,$L110,FALSE)*($T110*(1-$F110)+$S110*(1-$G110))*((1+Inputs!$D$7)^BM$2))))))</f>
        <v>0</v>
      </c>
      <c r="BN110" s="88">
        <f>$E110*IF(BN$2&gt;Inputs!$D$5,0,IF(BN$2&gt;VLOOKUP($H110,Lists!$P$3:$Q$7,2),IF($N110=Lists!$K$3,IF($L110&lt;1,(($U110/$L110)*((1+Inputs!$D$7)^BN$2)),((INT(BN$2/$L110)-INT((BN$2-1)/$L110))*$U110*((1+Inputs!$D$7)^BN$2))),(_xlfn.WEIBULL.DIST(BN$2,$M110,$L110,FALSE)*$U110*((1+Inputs!$D$7)^BN$2))),IF($N110=Lists!$K$3,IF($L110&lt;1,((($T110*(1-$F110)+$S110*(1-$G110))/$L110)*((1+Inputs!$D$7)^BN$2)),((INT(BN$2/$L110)-INT((BN$2-1)/$L110))*($T110*(1-$F110)+$S110*(1-$G110))*((1+Inputs!$D$7)^BN$2))),((_xlfn.WEIBULL.DIST(BN$2,$M110,$L110,FALSE)*($T110*(1-$F110)+$S110*(1-$G110))*((1+Inputs!$D$7)^BN$2))))))</f>
        <v>0</v>
      </c>
      <c r="BO110" s="64">
        <f>NPV(Inputs!$D$6,BQ110:DD110)</f>
        <v>0</v>
      </c>
      <c r="BP110" s="67">
        <f t="shared" si="27"/>
        <v>0</v>
      </c>
      <c r="BQ110" s="88">
        <f>MAX(AA110,($E110*IF(BQ$2&gt;Inputs!$D$5,0,IF(BQ$2&gt;VLOOKUP($H110,Lists!$P$3:$Q$7,2),IF($N110=Lists!$K$3,IF($L110&lt;1,(($U110/$L110)*((1+Inputs!$D$7)^BQ$2)),((INT(BQ$2/$L110)-INT((BQ$2-1)/$L110))*$U110*((1+Inputs!$D$7)^BQ$2))),(Inputs!$D$8^((1-_xlfn.WEIBULL.DIST(BQ$2,$M110,$L110,FALSE))/_xlfn.WEIBULL.DIST(BQ$2,$M110,$L110,FALSE))*$U110*((1+Inputs!$D$7)^BQ$2))),IF($N110=Lists!$K$3,IF($L110&lt;1,((($T110*(1-$F110)+$S110*(1-$G110))/$L110)*((1+Inputs!$D$7)^BQ$2)),((INT(BQ$2/$L110)-INT((BQ$2-1)/$L110))*($T110*(1-$F110)+$S110*(1-$G110))*((1+Inputs!$D$7)^BQ$2))),((Inputs!$D$8^((1-_xlfn.WEIBULL.DIST(BQ$2,$M110,$L110,FALSE))/_xlfn.WEIBULL.DIST(BQ$2,$M110,$L110,FALSE))*($T110*(1-$F110)+$S110*(1-$G110))*((1+Inputs!$D$7)^BQ$2))))))))</f>
        <v>0</v>
      </c>
      <c r="BR110" s="88">
        <f>MAX(AB110,($E110*IF(BR$2&gt;Inputs!$D$5,0,IF(BR$2&gt;VLOOKUP($H110,Lists!$P$3:$Q$7,2),IF($N110=Lists!$K$3,IF($L110&lt;1,(($U110/$L110)*((1+Inputs!$D$7)^BR$2)),((INT(BR$2/$L110)-INT((BR$2-1)/$L110))*$U110*((1+Inputs!$D$7)^BR$2))),(Inputs!$D$8^((1-_xlfn.WEIBULL.DIST(BR$2,$M110,$L110,FALSE))/_xlfn.WEIBULL.DIST(BR$2,$M110,$L110,FALSE))*$U110*((1+Inputs!$D$7)^BR$2))),IF($N110=Lists!$K$3,IF($L110&lt;1,((($T110*(1-$F110)+$S110*(1-$G110))/$L110)*((1+Inputs!$D$7)^BR$2)),((INT(BR$2/$L110)-INT((BR$2-1)/$L110))*($T110*(1-$F110)+$S110*(1-$G110))*((1+Inputs!$D$7)^BR$2))),((Inputs!$D$8^((1-_xlfn.WEIBULL.DIST(BR$2,$M110,$L110,FALSE))/_xlfn.WEIBULL.DIST(BR$2,$M110,$L110,FALSE))*($T110*(1-$F110)+$S110*(1-$G110))*((1+Inputs!$D$7)^BR$2))))))))</f>
        <v>0</v>
      </c>
      <c r="BS110" s="88">
        <f>MAX(AC110,($E110*IF(BS$2&gt;Inputs!$D$5,0,IF(BS$2&gt;VLOOKUP($H110,Lists!$P$3:$Q$7,2),IF($N110=Lists!$K$3,IF($L110&lt;1,(($U110/$L110)*((1+Inputs!$D$7)^BS$2)),((INT(BS$2/$L110)-INT((BS$2-1)/$L110))*$U110*((1+Inputs!$D$7)^BS$2))),(Inputs!$D$8^((1-_xlfn.WEIBULL.DIST(BS$2,$M110,$L110,FALSE))/_xlfn.WEIBULL.DIST(BS$2,$M110,$L110,FALSE))*$U110*((1+Inputs!$D$7)^BS$2))),IF($N110=Lists!$K$3,IF($L110&lt;1,((($T110*(1-$F110)+$S110*(1-$G110))/$L110)*((1+Inputs!$D$7)^BS$2)),((INT(BS$2/$L110)-INT((BS$2-1)/$L110))*($T110*(1-$F110)+$S110*(1-$G110))*((1+Inputs!$D$7)^BS$2))),((Inputs!$D$8^((1-_xlfn.WEIBULL.DIST(BS$2,$M110,$L110,FALSE))/_xlfn.WEIBULL.DIST(BS$2,$M110,$L110,FALSE))*($T110*(1-$F110)+$S110*(1-$G110))*((1+Inputs!$D$7)^BS$2))))))))</f>
        <v>0</v>
      </c>
      <c r="BT110" s="88">
        <f>MAX(AD110,($E110*IF(BT$2&gt;Inputs!$D$5,0,IF(BT$2&gt;VLOOKUP($H110,Lists!$P$3:$Q$7,2),IF($N110=Lists!$K$3,IF($L110&lt;1,(($U110/$L110)*((1+Inputs!$D$7)^BT$2)),((INT(BT$2/$L110)-INT((BT$2-1)/$L110))*$U110*((1+Inputs!$D$7)^BT$2))),(Inputs!$D$8^((1-_xlfn.WEIBULL.DIST(BT$2,$M110,$L110,FALSE))/_xlfn.WEIBULL.DIST(BT$2,$M110,$L110,FALSE))*$U110*((1+Inputs!$D$7)^BT$2))),IF($N110=Lists!$K$3,IF($L110&lt;1,((($T110*(1-$F110)+$S110*(1-$G110))/$L110)*((1+Inputs!$D$7)^BT$2)),((INT(BT$2/$L110)-INT((BT$2-1)/$L110))*($T110*(1-$F110)+$S110*(1-$G110))*((1+Inputs!$D$7)^BT$2))),((Inputs!$D$8^((1-_xlfn.WEIBULL.DIST(BT$2,$M110,$L110,FALSE))/_xlfn.WEIBULL.DIST(BT$2,$M110,$L110,FALSE))*($T110*(1-$F110)+$S110*(1-$G110))*((1+Inputs!$D$7)^BT$2))))))))</f>
        <v>0</v>
      </c>
      <c r="BU110" s="88">
        <f>MAX(AE110,($E110*IF(BU$2&gt;Inputs!$D$5,0,IF(BU$2&gt;VLOOKUP($H110,Lists!$P$3:$Q$7,2),IF($N110=Lists!$K$3,IF($L110&lt;1,(($U110/$L110)*((1+Inputs!$D$7)^BU$2)),((INT(BU$2/$L110)-INT((BU$2-1)/$L110))*$U110*((1+Inputs!$D$7)^BU$2))),(Inputs!$D$8^((1-_xlfn.WEIBULL.DIST(BU$2,$M110,$L110,FALSE))/_xlfn.WEIBULL.DIST(BU$2,$M110,$L110,FALSE))*$U110*((1+Inputs!$D$7)^BU$2))),IF($N110=Lists!$K$3,IF($L110&lt;1,((($T110*(1-$F110)+$S110*(1-$G110))/$L110)*((1+Inputs!$D$7)^BU$2)),((INT(BU$2/$L110)-INT((BU$2-1)/$L110))*($T110*(1-$F110)+$S110*(1-$G110))*((1+Inputs!$D$7)^BU$2))),((Inputs!$D$8^((1-_xlfn.WEIBULL.DIST(BU$2,$M110,$L110,FALSE))/_xlfn.WEIBULL.DIST(BU$2,$M110,$L110,FALSE))*($T110*(1-$F110)+$S110*(1-$G110))*((1+Inputs!$D$7)^BU$2))))))))</f>
        <v>0</v>
      </c>
      <c r="BV110" s="88">
        <f>MAX(AF110,($E110*IF(BV$2&gt;Inputs!$D$5,0,IF(BV$2&gt;VLOOKUP($H110,Lists!$P$3:$Q$7,2),IF($N110=Lists!$K$3,IF($L110&lt;1,(($U110/$L110)*((1+Inputs!$D$7)^BV$2)),((INT(BV$2/$L110)-INT((BV$2-1)/$L110))*$U110*((1+Inputs!$D$7)^BV$2))),(Inputs!$D$8^((1-_xlfn.WEIBULL.DIST(BV$2,$M110,$L110,FALSE))/_xlfn.WEIBULL.DIST(BV$2,$M110,$L110,FALSE))*$U110*((1+Inputs!$D$7)^BV$2))),IF($N110=Lists!$K$3,IF($L110&lt;1,((($T110*(1-$F110)+$S110*(1-$G110))/$L110)*((1+Inputs!$D$7)^BV$2)),((INT(BV$2/$L110)-INT((BV$2-1)/$L110))*($T110*(1-$F110)+$S110*(1-$G110))*((1+Inputs!$D$7)^BV$2))),((Inputs!$D$8^((1-_xlfn.WEIBULL.DIST(BV$2,$M110,$L110,FALSE))/_xlfn.WEIBULL.DIST(BV$2,$M110,$L110,FALSE))*($T110*(1-$F110)+$S110*(1-$G110))*((1+Inputs!$D$7)^BV$2))))))))</f>
        <v>0</v>
      </c>
      <c r="BW110" s="88">
        <f>MAX(AG110,($E110*IF(BW$2&gt;Inputs!$D$5,0,IF(BW$2&gt;VLOOKUP($H110,Lists!$P$3:$Q$7,2),IF($N110=Lists!$K$3,IF($L110&lt;1,(($U110/$L110)*((1+Inputs!$D$7)^BW$2)),((INT(BW$2/$L110)-INT((BW$2-1)/$L110))*$U110*((1+Inputs!$D$7)^BW$2))),(Inputs!$D$8^((1-_xlfn.WEIBULL.DIST(BW$2,$M110,$L110,FALSE))/_xlfn.WEIBULL.DIST(BW$2,$M110,$L110,FALSE))*$U110*((1+Inputs!$D$7)^BW$2))),IF($N110=Lists!$K$3,IF($L110&lt;1,((($T110*(1-$F110)+$S110*(1-$G110))/$L110)*((1+Inputs!$D$7)^BW$2)),((INT(BW$2/$L110)-INT((BW$2-1)/$L110))*($T110*(1-$F110)+$S110*(1-$G110))*((1+Inputs!$D$7)^BW$2))),((Inputs!$D$8^((1-_xlfn.WEIBULL.DIST(BW$2,$M110,$L110,FALSE))/_xlfn.WEIBULL.DIST(BW$2,$M110,$L110,FALSE))*($T110*(1-$F110)+$S110*(1-$G110))*((1+Inputs!$D$7)^BW$2))))))))</f>
        <v>0</v>
      </c>
      <c r="BX110" s="88">
        <f>MAX(AH110,($E110*IF(BX$2&gt;Inputs!$D$5,0,IF(BX$2&gt;VLOOKUP($H110,Lists!$P$3:$Q$7,2),IF($N110=Lists!$K$3,IF($L110&lt;1,(($U110/$L110)*((1+Inputs!$D$7)^BX$2)),((INT(BX$2/$L110)-INT((BX$2-1)/$L110))*$U110*((1+Inputs!$D$7)^BX$2))),(Inputs!$D$8^((1-_xlfn.WEIBULL.DIST(BX$2,$M110,$L110,FALSE))/_xlfn.WEIBULL.DIST(BX$2,$M110,$L110,FALSE))*$U110*((1+Inputs!$D$7)^BX$2))),IF($N110=Lists!$K$3,IF($L110&lt;1,((($T110*(1-$F110)+$S110*(1-$G110))/$L110)*((1+Inputs!$D$7)^BX$2)),((INT(BX$2/$L110)-INT((BX$2-1)/$L110))*($T110*(1-$F110)+$S110*(1-$G110))*((1+Inputs!$D$7)^BX$2))),((Inputs!$D$8^((1-_xlfn.WEIBULL.DIST(BX$2,$M110,$L110,FALSE))/_xlfn.WEIBULL.DIST(BX$2,$M110,$L110,FALSE))*($T110*(1-$F110)+$S110*(1-$G110))*((1+Inputs!$D$7)^BX$2))))))))</f>
        <v>0</v>
      </c>
      <c r="BY110" s="88">
        <f>MAX(AI110,($E110*IF(BY$2&gt;Inputs!$D$5,0,IF(BY$2&gt;VLOOKUP($H110,Lists!$P$3:$Q$7,2),IF($N110=Lists!$K$3,IF($L110&lt;1,(($U110/$L110)*((1+Inputs!$D$7)^BY$2)),((INT(BY$2/$L110)-INT((BY$2-1)/$L110))*$U110*((1+Inputs!$D$7)^BY$2))),(Inputs!$D$8^((1-_xlfn.WEIBULL.DIST(BY$2,$M110,$L110,FALSE))/_xlfn.WEIBULL.DIST(BY$2,$M110,$L110,FALSE))*$U110*((1+Inputs!$D$7)^BY$2))),IF($N110=Lists!$K$3,IF($L110&lt;1,((($T110*(1-$F110)+$S110*(1-$G110))/$L110)*((1+Inputs!$D$7)^BY$2)),((INT(BY$2/$L110)-INT((BY$2-1)/$L110))*($T110*(1-$F110)+$S110*(1-$G110))*((1+Inputs!$D$7)^BY$2))),((Inputs!$D$8^((1-_xlfn.WEIBULL.DIST(BY$2,$M110,$L110,FALSE))/_xlfn.WEIBULL.DIST(BY$2,$M110,$L110,FALSE))*($T110*(1-$F110)+$S110*(1-$G110))*((1+Inputs!$D$7)^BY$2))))))))</f>
        <v>0</v>
      </c>
      <c r="BZ110" s="88">
        <f>MAX(AJ110,($E110*IF(BZ$2&gt;Inputs!$D$5,0,IF(BZ$2&gt;VLOOKUP($H110,Lists!$P$3:$Q$7,2),IF($N110=Lists!$K$3,IF($L110&lt;1,(($U110/$L110)*((1+Inputs!$D$7)^BZ$2)),((INT(BZ$2/$L110)-INT((BZ$2-1)/$L110))*$U110*((1+Inputs!$D$7)^BZ$2))),(Inputs!$D$8^((1-_xlfn.WEIBULL.DIST(BZ$2,$M110,$L110,FALSE))/_xlfn.WEIBULL.DIST(BZ$2,$M110,$L110,FALSE))*$U110*((1+Inputs!$D$7)^BZ$2))),IF($N110=Lists!$K$3,IF($L110&lt;1,((($T110*(1-$F110)+$S110*(1-$G110))/$L110)*((1+Inputs!$D$7)^BZ$2)),((INT(BZ$2/$L110)-INT((BZ$2-1)/$L110))*($T110*(1-$F110)+$S110*(1-$G110))*((1+Inputs!$D$7)^BZ$2))),((Inputs!$D$8^((1-_xlfn.WEIBULL.DIST(BZ$2,$M110,$L110,FALSE))/_xlfn.WEIBULL.DIST(BZ$2,$M110,$L110,FALSE))*($T110*(1-$F110)+$S110*(1-$G110))*((1+Inputs!$D$7)^BZ$2))))))))</f>
        <v>0</v>
      </c>
      <c r="CA110" s="88">
        <f>MAX(AK110,($E110*IF(CA$2&gt;Inputs!$D$5,0,IF(CA$2&gt;VLOOKUP($H110,Lists!$P$3:$Q$7,2),IF($N110=Lists!$K$3,IF($L110&lt;1,(($U110/$L110)*((1+Inputs!$D$7)^CA$2)),((INT(CA$2/$L110)-INT((CA$2-1)/$L110))*$U110*((1+Inputs!$D$7)^CA$2))),(Inputs!$D$8^((1-_xlfn.WEIBULL.DIST(CA$2,$M110,$L110,FALSE))/_xlfn.WEIBULL.DIST(CA$2,$M110,$L110,FALSE))*$U110*((1+Inputs!$D$7)^CA$2))),IF($N110=Lists!$K$3,IF($L110&lt;1,((($T110*(1-$F110)+$S110*(1-$G110))/$L110)*((1+Inputs!$D$7)^CA$2)),((INT(CA$2/$L110)-INT((CA$2-1)/$L110))*($T110*(1-$F110)+$S110*(1-$G110))*((1+Inputs!$D$7)^CA$2))),((Inputs!$D$8^((1-_xlfn.WEIBULL.DIST(CA$2,$M110,$L110,FALSE))/_xlfn.WEIBULL.DIST(CA$2,$M110,$L110,FALSE))*($T110*(1-$F110)+$S110*(1-$G110))*((1+Inputs!$D$7)^CA$2))))))))</f>
        <v>0</v>
      </c>
      <c r="CB110" s="88">
        <f>MAX(AL110,($E110*IF(CB$2&gt;Inputs!$D$5,0,IF(CB$2&gt;VLOOKUP($H110,Lists!$P$3:$Q$7,2),IF($N110=Lists!$K$3,IF($L110&lt;1,(($U110/$L110)*((1+Inputs!$D$7)^CB$2)),((INT(CB$2/$L110)-INT((CB$2-1)/$L110))*$U110*((1+Inputs!$D$7)^CB$2))),(Inputs!$D$8^((1-_xlfn.WEIBULL.DIST(CB$2,$M110,$L110,FALSE))/_xlfn.WEIBULL.DIST(CB$2,$M110,$L110,FALSE))*$U110*((1+Inputs!$D$7)^CB$2))),IF($N110=Lists!$K$3,IF($L110&lt;1,((($T110*(1-$F110)+$S110*(1-$G110))/$L110)*((1+Inputs!$D$7)^CB$2)),((INT(CB$2/$L110)-INT((CB$2-1)/$L110))*($T110*(1-$F110)+$S110*(1-$G110))*((1+Inputs!$D$7)^CB$2))),((Inputs!$D$8^((1-_xlfn.WEIBULL.DIST(CB$2,$M110,$L110,FALSE))/_xlfn.WEIBULL.DIST(CB$2,$M110,$L110,FALSE))*($T110*(1-$F110)+$S110*(1-$G110))*((1+Inputs!$D$7)^CB$2))))))))</f>
        <v>0</v>
      </c>
      <c r="CC110" s="88">
        <f>MAX(AM110,($E110*IF(CC$2&gt;Inputs!$D$5,0,IF(CC$2&gt;VLOOKUP($H110,Lists!$P$3:$Q$7,2),IF($N110=Lists!$K$3,IF($L110&lt;1,(($U110/$L110)*((1+Inputs!$D$7)^CC$2)),((INT(CC$2/$L110)-INT((CC$2-1)/$L110))*$U110*((1+Inputs!$D$7)^CC$2))),(Inputs!$D$8^((1-_xlfn.WEIBULL.DIST(CC$2,$M110,$L110,FALSE))/_xlfn.WEIBULL.DIST(CC$2,$M110,$L110,FALSE))*$U110*((1+Inputs!$D$7)^CC$2))),IF($N110=Lists!$K$3,IF($L110&lt;1,((($T110*(1-$F110)+$S110*(1-$G110))/$L110)*((1+Inputs!$D$7)^CC$2)),((INT(CC$2/$L110)-INT((CC$2-1)/$L110))*($T110*(1-$F110)+$S110*(1-$G110))*((1+Inputs!$D$7)^CC$2))),((Inputs!$D$8^((1-_xlfn.WEIBULL.DIST(CC$2,$M110,$L110,FALSE))/_xlfn.WEIBULL.DIST(CC$2,$M110,$L110,FALSE))*($T110*(1-$F110)+$S110*(1-$G110))*((1+Inputs!$D$7)^CC$2))))))))</f>
        <v>0</v>
      </c>
      <c r="CD110" s="88">
        <f>MAX(AN110,($E110*IF(CD$2&gt;Inputs!$D$5,0,IF(CD$2&gt;VLOOKUP($H110,Lists!$P$3:$Q$7,2),IF($N110=Lists!$K$3,IF($L110&lt;1,(($U110/$L110)*((1+Inputs!$D$7)^CD$2)),((INT(CD$2/$L110)-INT((CD$2-1)/$L110))*$U110*((1+Inputs!$D$7)^CD$2))),(Inputs!$D$8^((1-_xlfn.WEIBULL.DIST(CD$2,$M110,$L110,FALSE))/_xlfn.WEIBULL.DIST(CD$2,$M110,$L110,FALSE))*$U110*((1+Inputs!$D$7)^CD$2))),IF($N110=Lists!$K$3,IF($L110&lt;1,((($T110*(1-$F110)+$S110*(1-$G110))/$L110)*((1+Inputs!$D$7)^CD$2)),((INT(CD$2/$L110)-INT((CD$2-1)/$L110))*($T110*(1-$F110)+$S110*(1-$G110))*((1+Inputs!$D$7)^CD$2))),((Inputs!$D$8^((1-_xlfn.WEIBULL.DIST(CD$2,$M110,$L110,FALSE))/_xlfn.WEIBULL.DIST(CD$2,$M110,$L110,FALSE))*($T110*(1-$F110)+$S110*(1-$G110))*((1+Inputs!$D$7)^CD$2))))))))</f>
        <v>0</v>
      </c>
      <c r="CE110" s="88">
        <f>MAX(AO110,($E110*IF(CE$2&gt;Inputs!$D$5,0,IF(CE$2&gt;VLOOKUP($H110,Lists!$P$3:$Q$7,2),IF($N110=Lists!$K$3,IF($L110&lt;1,(($U110/$L110)*((1+Inputs!$D$7)^CE$2)),((INT(CE$2/$L110)-INT((CE$2-1)/$L110))*$U110*((1+Inputs!$D$7)^CE$2))),(Inputs!$D$8^((1-_xlfn.WEIBULL.DIST(CE$2,$M110,$L110,FALSE))/_xlfn.WEIBULL.DIST(CE$2,$M110,$L110,FALSE))*$U110*((1+Inputs!$D$7)^CE$2))),IF($N110=Lists!$K$3,IF($L110&lt;1,((($T110*(1-$F110)+$S110*(1-$G110))/$L110)*((1+Inputs!$D$7)^CE$2)),((INT(CE$2/$L110)-INT((CE$2-1)/$L110))*($T110*(1-$F110)+$S110*(1-$G110))*((1+Inputs!$D$7)^CE$2))),((Inputs!$D$8^((1-_xlfn.WEIBULL.DIST(CE$2,$M110,$L110,FALSE))/_xlfn.WEIBULL.DIST(CE$2,$M110,$L110,FALSE))*($T110*(1-$F110)+$S110*(1-$G110))*((1+Inputs!$D$7)^CE$2))))))))</f>
        <v>0</v>
      </c>
      <c r="CF110" s="88">
        <f>MAX(AP110,($E110*IF(CF$2&gt;Inputs!$D$5,0,IF(CF$2&gt;VLOOKUP($H110,Lists!$P$3:$Q$7,2),IF($N110=Lists!$K$3,IF($L110&lt;1,(($U110/$L110)*((1+Inputs!$D$7)^CF$2)),((INT(CF$2/$L110)-INT((CF$2-1)/$L110))*$U110*((1+Inputs!$D$7)^CF$2))),(Inputs!$D$8^((1-_xlfn.WEIBULL.DIST(CF$2,$M110,$L110,FALSE))/_xlfn.WEIBULL.DIST(CF$2,$M110,$L110,FALSE))*$U110*((1+Inputs!$D$7)^CF$2))),IF($N110=Lists!$K$3,IF($L110&lt;1,((($T110*(1-$F110)+$S110*(1-$G110))/$L110)*((1+Inputs!$D$7)^CF$2)),((INT(CF$2/$L110)-INT((CF$2-1)/$L110))*($T110*(1-$F110)+$S110*(1-$G110))*((1+Inputs!$D$7)^CF$2))),((Inputs!$D$8^((1-_xlfn.WEIBULL.DIST(CF$2,$M110,$L110,FALSE))/_xlfn.WEIBULL.DIST(CF$2,$M110,$L110,FALSE))*($T110*(1-$F110)+$S110*(1-$G110))*((1+Inputs!$D$7)^CF$2))))))))</f>
        <v>0</v>
      </c>
      <c r="CG110" s="88">
        <f>MAX(AQ110,($E110*IF(CG$2&gt;Inputs!$D$5,0,IF(CG$2&gt;VLOOKUP($H110,Lists!$P$3:$Q$7,2),IF($N110=Lists!$K$3,IF($L110&lt;1,(($U110/$L110)*((1+Inputs!$D$7)^CG$2)),((INT(CG$2/$L110)-INT((CG$2-1)/$L110))*$U110*((1+Inputs!$D$7)^CG$2))),(Inputs!$D$8^((1-_xlfn.WEIBULL.DIST(CG$2,$M110,$L110,FALSE))/_xlfn.WEIBULL.DIST(CG$2,$M110,$L110,FALSE))*$U110*((1+Inputs!$D$7)^CG$2))),IF($N110=Lists!$K$3,IF($L110&lt;1,((($T110*(1-$F110)+$S110*(1-$G110))/$L110)*((1+Inputs!$D$7)^CG$2)),((INT(CG$2/$L110)-INT((CG$2-1)/$L110))*($T110*(1-$F110)+$S110*(1-$G110))*((1+Inputs!$D$7)^CG$2))),((Inputs!$D$8^((1-_xlfn.WEIBULL.DIST(CG$2,$M110,$L110,FALSE))/_xlfn.WEIBULL.DIST(CG$2,$M110,$L110,FALSE))*($T110*(1-$F110)+$S110*(1-$G110))*((1+Inputs!$D$7)^CG$2))))))))</f>
        <v>0</v>
      </c>
      <c r="CH110" s="88">
        <f>MAX(AR110,($E110*IF(CH$2&gt;Inputs!$D$5,0,IF(CH$2&gt;VLOOKUP($H110,Lists!$P$3:$Q$7,2),IF($N110=Lists!$K$3,IF($L110&lt;1,(($U110/$L110)*((1+Inputs!$D$7)^CH$2)),((INT(CH$2/$L110)-INT((CH$2-1)/$L110))*$U110*((1+Inputs!$D$7)^CH$2))),(Inputs!$D$8^((1-_xlfn.WEIBULL.DIST(CH$2,$M110,$L110,FALSE))/_xlfn.WEIBULL.DIST(CH$2,$M110,$L110,FALSE))*$U110*((1+Inputs!$D$7)^CH$2))),IF($N110=Lists!$K$3,IF($L110&lt;1,((($T110*(1-$F110)+$S110*(1-$G110))/$L110)*((1+Inputs!$D$7)^CH$2)),((INT(CH$2/$L110)-INT((CH$2-1)/$L110))*($T110*(1-$F110)+$S110*(1-$G110))*((1+Inputs!$D$7)^CH$2))),((Inputs!$D$8^((1-_xlfn.WEIBULL.DIST(CH$2,$M110,$L110,FALSE))/_xlfn.WEIBULL.DIST(CH$2,$M110,$L110,FALSE))*($T110*(1-$F110)+$S110*(1-$G110))*((1+Inputs!$D$7)^CH$2))))))))</f>
        <v>0</v>
      </c>
      <c r="CI110" s="88">
        <f>MAX(AS110,($E110*IF(CI$2&gt;Inputs!$D$5,0,IF(CI$2&gt;VLOOKUP($H110,Lists!$P$3:$Q$7,2),IF($N110=Lists!$K$3,IF($L110&lt;1,(($U110/$L110)*((1+Inputs!$D$7)^CI$2)),((INT(CI$2/$L110)-INT((CI$2-1)/$L110))*$U110*((1+Inputs!$D$7)^CI$2))),(Inputs!$D$8^((1-_xlfn.WEIBULL.DIST(CI$2,$M110,$L110,FALSE))/_xlfn.WEIBULL.DIST(CI$2,$M110,$L110,FALSE))*$U110*((1+Inputs!$D$7)^CI$2))),IF($N110=Lists!$K$3,IF($L110&lt;1,((($T110*(1-$F110)+$S110*(1-$G110))/$L110)*((1+Inputs!$D$7)^CI$2)),((INT(CI$2/$L110)-INT((CI$2-1)/$L110))*($T110*(1-$F110)+$S110*(1-$G110))*((1+Inputs!$D$7)^CI$2))),((Inputs!$D$8^((1-_xlfn.WEIBULL.DIST(CI$2,$M110,$L110,FALSE))/_xlfn.WEIBULL.DIST(CI$2,$M110,$L110,FALSE))*($T110*(1-$F110)+$S110*(1-$G110))*((1+Inputs!$D$7)^CI$2))))))))</f>
        <v>0</v>
      </c>
      <c r="CJ110" s="88">
        <f>MAX(AT110,($E110*IF(CJ$2&gt;Inputs!$D$5,0,IF(CJ$2&gt;VLOOKUP($H110,Lists!$P$3:$Q$7,2),IF($N110=Lists!$K$3,IF($L110&lt;1,(($U110/$L110)*((1+Inputs!$D$7)^CJ$2)),((INT(CJ$2/$L110)-INT((CJ$2-1)/$L110))*$U110*((1+Inputs!$D$7)^CJ$2))),(Inputs!$D$8^((1-_xlfn.WEIBULL.DIST(CJ$2,$M110,$L110,FALSE))/_xlfn.WEIBULL.DIST(CJ$2,$M110,$L110,FALSE))*$U110*((1+Inputs!$D$7)^CJ$2))),IF($N110=Lists!$K$3,IF($L110&lt;1,((($T110*(1-$F110)+$S110*(1-$G110))/$L110)*((1+Inputs!$D$7)^CJ$2)),((INT(CJ$2/$L110)-INT((CJ$2-1)/$L110))*($T110*(1-$F110)+$S110*(1-$G110))*((1+Inputs!$D$7)^CJ$2))),((Inputs!$D$8^((1-_xlfn.WEIBULL.DIST(CJ$2,$M110,$L110,FALSE))/_xlfn.WEIBULL.DIST(CJ$2,$M110,$L110,FALSE))*($T110*(1-$F110)+$S110*(1-$G110))*((1+Inputs!$D$7)^CJ$2))))))))</f>
        <v>0</v>
      </c>
      <c r="CK110" s="88">
        <f>MAX(AU110,($E110*IF(CK$2&gt;Inputs!$D$5,0,IF(CK$2&gt;VLOOKUP($H110,Lists!$P$3:$Q$7,2),IF($N110=Lists!$K$3,IF($L110&lt;1,(($U110/$L110)*((1+Inputs!$D$7)^CK$2)),((INT(CK$2/$L110)-INT((CK$2-1)/$L110))*$U110*((1+Inputs!$D$7)^CK$2))),(Inputs!$D$8^((1-_xlfn.WEIBULL.DIST(CK$2,$M110,$L110,FALSE))/_xlfn.WEIBULL.DIST(CK$2,$M110,$L110,FALSE))*$U110*((1+Inputs!$D$7)^CK$2))),IF($N110=Lists!$K$3,IF($L110&lt;1,((($T110*(1-$F110)+$S110*(1-$G110))/$L110)*((1+Inputs!$D$7)^CK$2)),((INT(CK$2/$L110)-INT((CK$2-1)/$L110))*($T110*(1-$F110)+$S110*(1-$G110))*((1+Inputs!$D$7)^CK$2))),((Inputs!$D$8^((1-_xlfn.WEIBULL.DIST(CK$2,$M110,$L110,FALSE))/_xlfn.WEIBULL.DIST(CK$2,$M110,$L110,FALSE))*($T110*(1-$F110)+$S110*(1-$G110))*((1+Inputs!$D$7)^CK$2))))))))</f>
        <v>0</v>
      </c>
      <c r="CL110" s="88">
        <f>MAX(AV110,($E110*IF(CL$2&gt;Inputs!$D$5,0,IF(CL$2&gt;VLOOKUP($H110,Lists!$P$3:$Q$7,2),IF($N110=Lists!$K$3,IF($L110&lt;1,(($U110/$L110)*((1+Inputs!$D$7)^CL$2)),((INT(CL$2/$L110)-INT((CL$2-1)/$L110))*$U110*((1+Inputs!$D$7)^CL$2))),(Inputs!$D$8^((1-_xlfn.WEIBULL.DIST(CL$2,$M110,$L110,FALSE))/_xlfn.WEIBULL.DIST(CL$2,$M110,$L110,FALSE))*$U110*((1+Inputs!$D$7)^CL$2))),IF($N110=Lists!$K$3,IF($L110&lt;1,((($T110*(1-$F110)+$S110*(1-$G110))/$L110)*((1+Inputs!$D$7)^CL$2)),((INT(CL$2/$L110)-INT((CL$2-1)/$L110))*($T110*(1-$F110)+$S110*(1-$G110))*((1+Inputs!$D$7)^CL$2))),((Inputs!$D$8^((1-_xlfn.WEIBULL.DIST(CL$2,$M110,$L110,FALSE))/_xlfn.WEIBULL.DIST(CL$2,$M110,$L110,FALSE))*($T110*(1-$F110)+$S110*(1-$G110))*((1+Inputs!$D$7)^CL$2))))))))</f>
        <v>0</v>
      </c>
      <c r="CM110" s="88">
        <f>MAX(AW110,($E110*IF(CM$2&gt;Inputs!$D$5,0,IF(CM$2&gt;VLOOKUP($H110,Lists!$P$3:$Q$7,2),IF($N110=Lists!$K$3,IF($L110&lt;1,(($U110/$L110)*((1+Inputs!$D$7)^CM$2)),((INT(CM$2/$L110)-INT((CM$2-1)/$L110))*$U110*((1+Inputs!$D$7)^CM$2))),(Inputs!$D$8^((1-_xlfn.WEIBULL.DIST(CM$2,$M110,$L110,FALSE))/_xlfn.WEIBULL.DIST(CM$2,$M110,$L110,FALSE))*$U110*((1+Inputs!$D$7)^CM$2))),IF($N110=Lists!$K$3,IF($L110&lt;1,((($T110*(1-$F110)+$S110*(1-$G110))/$L110)*((1+Inputs!$D$7)^CM$2)),((INT(CM$2/$L110)-INT((CM$2-1)/$L110))*($T110*(1-$F110)+$S110*(1-$G110))*((1+Inputs!$D$7)^CM$2))),((Inputs!$D$8^((1-_xlfn.WEIBULL.DIST(CM$2,$M110,$L110,FALSE))/_xlfn.WEIBULL.DIST(CM$2,$M110,$L110,FALSE))*($T110*(1-$F110)+$S110*(1-$G110))*((1+Inputs!$D$7)^CM$2))))))))</f>
        <v>0</v>
      </c>
      <c r="CN110" s="88">
        <f>MAX(AX110,($E110*IF(CN$2&gt;Inputs!$D$5,0,IF(CN$2&gt;VLOOKUP($H110,Lists!$P$3:$Q$7,2),IF($N110=Lists!$K$3,IF($L110&lt;1,(($U110/$L110)*((1+Inputs!$D$7)^CN$2)),((INT(CN$2/$L110)-INT((CN$2-1)/$L110))*$U110*((1+Inputs!$D$7)^CN$2))),(Inputs!$D$8^((1-_xlfn.WEIBULL.DIST(CN$2,$M110,$L110,FALSE))/_xlfn.WEIBULL.DIST(CN$2,$M110,$L110,FALSE))*$U110*((1+Inputs!$D$7)^CN$2))),IF($N110=Lists!$K$3,IF($L110&lt;1,((($T110*(1-$F110)+$S110*(1-$G110))/$L110)*((1+Inputs!$D$7)^CN$2)),((INT(CN$2/$L110)-INT((CN$2-1)/$L110))*($T110*(1-$F110)+$S110*(1-$G110))*((1+Inputs!$D$7)^CN$2))),((Inputs!$D$8^((1-_xlfn.WEIBULL.DIST(CN$2,$M110,$L110,FALSE))/_xlfn.WEIBULL.DIST(CN$2,$M110,$L110,FALSE))*($T110*(1-$F110)+$S110*(1-$G110))*((1+Inputs!$D$7)^CN$2))))))))</f>
        <v>0</v>
      </c>
      <c r="CO110" s="88">
        <f>MAX(AY110,($E110*IF(CO$2&gt;Inputs!$D$5,0,IF(CO$2&gt;VLOOKUP($H110,Lists!$P$3:$Q$7,2),IF($N110=Lists!$K$3,IF($L110&lt;1,(($U110/$L110)*((1+Inputs!$D$7)^CO$2)),((INT(CO$2/$L110)-INT((CO$2-1)/$L110))*$U110*((1+Inputs!$D$7)^CO$2))),(Inputs!$D$8^((1-_xlfn.WEIBULL.DIST(CO$2,$M110,$L110,FALSE))/_xlfn.WEIBULL.DIST(CO$2,$M110,$L110,FALSE))*$U110*((1+Inputs!$D$7)^CO$2))),IF($N110=Lists!$K$3,IF($L110&lt;1,((($T110*(1-$F110)+$S110*(1-$G110))/$L110)*((1+Inputs!$D$7)^CO$2)),((INT(CO$2/$L110)-INT((CO$2-1)/$L110))*($T110*(1-$F110)+$S110*(1-$G110))*((1+Inputs!$D$7)^CO$2))),((Inputs!$D$8^((1-_xlfn.WEIBULL.DIST(CO$2,$M110,$L110,FALSE))/_xlfn.WEIBULL.DIST(CO$2,$M110,$L110,FALSE))*($T110*(1-$F110)+$S110*(1-$G110))*((1+Inputs!$D$7)^CO$2))))))))</f>
        <v>0</v>
      </c>
      <c r="CP110" s="88">
        <f>MAX(AZ110,($E110*IF(CP$2&gt;Inputs!$D$5,0,IF(CP$2&gt;VLOOKUP($H110,Lists!$P$3:$Q$7,2),IF($N110=Lists!$K$3,IF($L110&lt;1,(($U110/$L110)*((1+Inputs!$D$7)^CP$2)),((INT(CP$2/$L110)-INT((CP$2-1)/$L110))*$U110*((1+Inputs!$D$7)^CP$2))),(Inputs!$D$8^((1-_xlfn.WEIBULL.DIST(CP$2,$M110,$L110,FALSE))/_xlfn.WEIBULL.DIST(CP$2,$M110,$L110,FALSE))*$U110*((1+Inputs!$D$7)^CP$2))),IF($N110=Lists!$K$3,IF($L110&lt;1,((($T110*(1-$F110)+$S110*(1-$G110))/$L110)*((1+Inputs!$D$7)^CP$2)),((INT(CP$2/$L110)-INT((CP$2-1)/$L110))*($T110*(1-$F110)+$S110*(1-$G110))*((1+Inputs!$D$7)^CP$2))),((Inputs!$D$8^((1-_xlfn.WEIBULL.DIST(CP$2,$M110,$L110,FALSE))/_xlfn.WEIBULL.DIST(CP$2,$M110,$L110,FALSE))*($T110*(1-$F110)+$S110*(1-$G110))*((1+Inputs!$D$7)^CP$2))))))))</f>
        <v>0</v>
      </c>
      <c r="CQ110" s="88">
        <f>MAX(BA110,($E110*IF(CQ$2&gt;Inputs!$D$5,0,IF(CQ$2&gt;VLOOKUP($H110,Lists!$P$3:$Q$7,2),IF($N110=Lists!$K$3,IF($L110&lt;1,(($U110/$L110)*((1+Inputs!$D$7)^CQ$2)),((INT(CQ$2/$L110)-INT((CQ$2-1)/$L110))*$U110*((1+Inputs!$D$7)^CQ$2))),(Inputs!$D$8^((1-_xlfn.WEIBULL.DIST(CQ$2,$M110,$L110,FALSE))/_xlfn.WEIBULL.DIST(CQ$2,$M110,$L110,FALSE))*$U110*((1+Inputs!$D$7)^CQ$2))),IF($N110=Lists!$K$3,IF($L110&lt;1,((($T110*(1-$F110)+$S110*(1-$G110))/$L110)*((1+Inputs!$D$7)^CQ$2)),((INT(CQ$2/$L110)-INT((CQ$2-1)/$L110))*($T110*(1-$F110)+$S110*(1-$G110))*((1+Inputs!$D$7)^CQ$2))),((Inputs!$D$8^((1-_xlfn.WEIBULL.DIST(CQ$2,$M110,$L110,FALSE))/_xlfn.WEIBULL.DIST(CQ$2,$M110,$L110,FALSE))*($T110*(1-$F110)+$S110*(1-$G110))*((1+Inputs!$D$7)^CQ$2))))))))</f>
        <v>0</v>
      </c>
      <c r="CR110" s="88">
        <f>MAX(BB110,($E110*IF(CR$2&gt;Inputs!$D$5,0,IF(CR$2&gt;VLOOKUP($H110,Lists!$P$3:$Q$7,2),IF($N110=Lists!$K$3,IF($L110&lt;1,(($U110/$L110)*((1+Inputs!$D$7)^CR$2)),((INT(CR$2/$L110)-INT((CR$2-1)/$L110))*$U110*((1+Inputs!$D$7)^CR$2))),(Inputs!$D$8^((1-_xlfn.WEIBULL.DIST(CR$2,$M110,$L110,FALSE))/_xlfn.WEIBULL.DIST(CR$2,$M110,$L110,FALSE))*$U110*((1+Inputs!$D$7)^CR$2))),IF($N110=Lists!$K$3,IF($L110&lt;1,((($T110*(1-$F110)+$S110*(1-$G110))/$L110)*((1+Inputs!$D$7)^CR$2)),((INT(CR$2/$L110)-INT((CR$2-1)/$L110))*($T110*(1-$F110)+$S110*(1-$G110))*((1+Inputs!$D$7)^CR$2))),((Inputs!$D$8^((1-_xlfn.WEIBULL.DIST(CR$2,$M110,$L110,FALSE))/_xlfn.WEIBULL.DIST(CR$2,$M110,$L110,FALSE))*($T110*(1-$F110)+$S110*(1-$G110))*((1+Inputs!$D$7)^CR$2))))))))</f>
        <v>0</v>
      </c>
      <c r="CS110" s="88">
        <f>MAX(BC110,($E110*IF(CS$2&gt;Inputs!$D$5,0,IF(CS$2&gt;VLOOKUP($H110,Lists!$P$3:$Q$7,2),IF($N110=Lists!$K$3,IF($L110&lt;1,(($U110/$L110)*((1+Inputs!$D$7)^CS$2)),((INT(CS$2/$L110)-INT((CS$2-1)/$L110))*$U110*((1+Inputs!$D$7)^CS$2))),(Inputs!$D$8^((1-_xlfn.WEIBULL.DIST(CS$2,$M110,$L110,FALSE))/_xlfn.WEIBULL.DIST(CS$2,$M110,$L110,FALSE))*$U110*((1+Inputs!$D$7)^CS$2))),IF($N110=Lists!$K$3,IF($L110&lt;1,((($T110*(1-$F110)+$S110*(1-$G110))/$L110)*((1+Inputs!$D$7)^CS$2)),((INT(CS$2/$L110)-INT((CS$2-1)/$L110))*($T110*(1-$F110)+$S110*(1-$G110))*((1+Inputs!$D$7)^CS$2))),((Inputs!$D$8^((1-_xlfn.WEIBULL.DIST(CS$2,$M110,$L110,FALSE))/_xlfn.WEIBULL.DIST(CS$2,$M110,$L110,FALSE))*($T110*(1-$F110)+$S110*(1-$G110))*((1+Inputs!$D$7)^CS$2))))))))</f>
        <v>0</v>
      </c>
      <c r="CT110" s="88">
        <f>MAX(BD110,($E110*IF(CT$2&gt;Inputs!$D$5,0,IF(CT$2&gt;VLOOKUP($H110,Lists!$P$3:$Q$7,2),IF($N110=Lists!$K$3,IF($L110&lt;1,(($U110/$L110)*((1+Inputs!$D$7)^CT$2)),((INT(CT$2/$L110)-INT((CT$2-1)/$L110))*$U110*((1+Inputs!$D$7)^CT$2))),(Inputs!$D$8^((1-_xlfn.WEIBULL.DIST(CT$2,$M110,$L110,FALSE))/_xlfn.WEIBULL.DIST(CT$2,$M110,$L110,FALSE))*$U110*((1+Inputs!$D$7)^CT$2))),IF($N110=Lists!$K$3,IF($L110&lt;1,((($T110*(1-$F110)+$S110*(1-$G110))/$L110)*((1+Inputs!$D$7)^CT$2)),((INT(CT$2/$L110)-INT((CT$2-1)/$L110))*($T110*(1-$F110)+$S110*(1-$G110))*((1+Inputs!$D$7)^CT$2))),((Inputs!$D$8^((1-_xlfn.WEIBULL.DIST(CT$2,$M110,$L110,FALSE))/_xlfn.WEIBULL.DIST(CT$2,$M110,$L110,FALSE))*($T110*(1-$F110)+$S110*(1-$G110))*((1+Inputs!$D$7)^CT$2))))))))</f>
        <v>0</v>
      </c>
      <c r="CU110" s="88">
        <f>MAX(BE110,($E110*IF(CU$2&gt;Inputs!$D$5,0,IF(CU$2&gt;VLOOKUP($H110,Lists!$P$3:$Q$7,2),IF($N110=Lists!$K$3,IF($L110&lt;1,(($U110/$L110)*((1+Inputs!$D$7)^CU$2)),((INT(CU$2/$L110)-INT((CU$2-1)/$L110))*$U110*((1+Inputs!$D$7)^CU$2))),(Inputs!$D$8^((1-_xlfn.WEIBULL.DIST(CU$2,$M110,$L110,FALSE))/_xlfn.WEIBULL.DIST(CU$2,$M110,$L110,FALSE))*$U110*((1+Inputs!$D$7)^CU$2))),IF($N110=Lists!$K$3,IF($L110&lt;1,((($T110*(1-$F110)+$S110*(1-$G110))/$L110)*((1+Inputs!$D$7)^CU$2)),((INT(CU$2/$L110)-INT((CU$2-1)/$L110))*($T110*(1-$F110)+$S110*(1-$G110))*((1+Inputs!$D$7)^CU$2))),((Inputs!$D$8^((1-_xlfn.WEIBULL.DIST(CU$2,$M110,$L110,FALSE))/_xlfn.WEIBULL.DIST(CU$2,$M110,$L110,FALSE))*($T110*(1-$F110)+$S110*(1-$G110))*((1+Inputs!$D$7)^CU$2))))))))</f>
        <v>0</v>
      </c>
      <c r="CV110" s="88">
        <f>MAX(BF110,($E110*IF(CV$2&gt;Inputs!$D$5,0,IF(CV$2&gt;VLOOKUP($H110,Lists!$P$3:$Q$7,2),IF($N110=Lists!$K$3,IF($L110&lt;1,(($U110/$L110)*((1+Inputs!$D$7)^CV$2)),((INT(CV$2/$L110)-INT((CV$2-1)/$L110))*$U110*((1+Inputs!$D$7)^CV$2))),(Inputs!$D$8^((1-_xlfn.WEIBULL.DIST(CV$2,$M110,$L110,FALSE))/_xlfn.WEIBULL.DIST(CV$2,$M110,$L110,FALSE))*$U110*((1+Inputs!$D$7)^CV$2))),IF($N110=Lists!$K$3,IF($L110&lt;1,((($T110*(1-$F110)+$S110*(1-$G110))/$L110)*((1+Inputs!$D$7)^CV$2)),((INT(CV$2/$L110)-INT((CV$2-1)/$L110))*($T110*(1-$F110)+$S110*(1-$G110))*((1+Inputs!$D$7)^CV$2))),((Inputs!$D$8^((1-_xlfn.WEIBULL.DIST(CV$2,$M110,$L110,FALSE))/_xlfn.WEIBULL.DIST(CV$2,$M110,$L110,FALSE))*($T110*(1-$F110)+$S110*(1-$G110))*((1+Inputs!$D$7)^CV$2))))))))</f>
        <v>0</v>
      </c>
      <c r="CW110" s="88">
        <f>MAX(BG110,($E110*IF(CW$2&gt;Inputs!$D$5,0,IF(CW$2&gt;VLOOKUP($H110,Lists!$P$3:$Q$7,2),IF($N110=Lists!$K$3,IF($L110&lt;1,(($U110/$L110)*((1+Inputs!$D$7)^CW$2)),((INT(CW$2/$L110)-INT((CW$2-1)/$L110))*$U110*((1+Inputs!$D$7)^CW$2))),(Inputs!$D$8^((1-_xlfn.WEIBULL.DIST(CW$2,$M110,$L110,FALSE))/_xlfn.WEIBULL.DIST(CW$2,$M110,$L110,FALSE))*$U110*((1+Inputs!$D$7)^CW$2))),IF($N110=Lists!$K$3,IF($L110&lt;1,((($T110*(1-$F110)+$S110*(1-$G110))/$L110)*((1+Inputs!$D$7)^CW$2)),((INT(CW$2/$L110)-INT((CW$2-1)/$L110))*($T110*(1-$F110)+$S110*(1-$G110))*((1+Inputs!$D$7)^CW$2))),((Inputs!$D$8^((1-_xlfn.WEIBULL.DIST(CW$2,$M110,$L110,FALSE))/_xlfn.WEIBULL.DIST(CW$2,$M110,$L110,FALSE))*($T110*(1-$F110)+$S110*(1-$G110))*((1+Inputs!$D$7)^CW$2))))))))</f>
        <v>0</v>
      </c>
      <c r="CX110" s="88">
        <f>MAX(BH110,($E110*IF(CX$2&gt;Inputs!$D$5,0,IF(CX$2&gt;VLOOKUP($H110,Lists!$P$3:$Q$7,2),IF($N110=Lists!$K$3,IF($L110&lt;1,(($U110/$L110)*((1+Inputs!$D$7)^CX$2)),((INT(CX$2/$L110)-INT((CX$2-1)/$L110))*$U110*((1+Inputs!$D$7)^CX$2))),(Inputs!$D$8^((1-_xlfn.WEIBULL.DIST(CX$2,$M110,$L110,FALSE))/_xlfn.WEIBULL.DIST(CX$2,$M110,$L110,FALSE))*$U110*((1+Inputs!$D$7)^CX$2))),IF($N110=Lists!$K$3,IF($L110&lt;1,((($T110*(1-$F110)+$S110*(1-$G110))/$L110)*((1+Inputs!$D$7)^CX$2)),((INT(CX$2/$L110)-INT((CX$2-1)/$L110))*($T110*(1-$F110)+$S110*(1-$G110))*((1+Inputs!$D$7)^CX$2))),((Inputs!$D$8^((1-_xlfn.WEIBULL.DIST(CX$2,$M110,$L110,FALSE))/_xlfn.WEIBULL.DIST(CX$2,$M110,$L110,FALSE))*($T110*(1-$F110)+$S110*(1-$G110))*((1+Inputs!$D$7)^CX$2))))))))</f>
        <v>0</v>
      </c>
      <c r="CY110" s="88">
        <f>MAX(BI110,($E110*IF(CY$2&gt;Inputs!$D$5,0,IF(CY$2&gt;VLOOKUP($H110,Lists!$P$3:$Q$7,2),IF($N110=Lists!$K$3,IF($L110&lt;1,(($U110/$L110)*((1+Inputs!$D$7)^CY$2)),((INT(CY$2/$L110)-INT((CY$2-1)/$L110))*$U110*((1+Inputs!$D$7)^CY$2))),(Inputs!$D$8^((1-_xlfn.WEIBULL.DIST(CY$2,$M110,$L110,FALSE))/_xlfn.WEIBULL.DIST(CY$2,$M110,$L110,FALSE))*$U110*((1+Inputs!$D$7)^CY$2))),IF($N110=Lists!$K$3,IF($L110&lt;1,((($T110*(1-$F110)+$S110*(1-$G110))/$L110)*((1+Inputs!$D$7)^CY$2)),((INT(CY$2/$L110)-INT((CY$2-1)/$L110))*($T110*(1-$F110)+$S110*(1-$G110))*((1+Inputs!$D$7)^CY$2))),((Inputs!$D$8^((1-_xlfn.WEIBULL.DIST(CY$2,$M110,$L110,FALSE))/_xlfn.WEIBULL.DIST(CY$2,$M110,$L110,FALSE))*($T110*(1-$F110)+$S110*(1-$G110))*((1+Inputs!$D$7)^CY$2))))))))</f>
        <v>0</v>
      </c>
      <c r="CZ110" s="88">
        <f>MAX(BJ110,($E110*IF(CZ$2&gt;Inputs!$D$5,0,IF(CZ$2&gt;VLOOKUP($H110,Lists!$P$3:$Q$7,2),IF($N110=Lists!$K$3,IF($L110&lt;1,(($U110/$L110)*((1+Inputs!$D$7)^CZ$2)),((INT(CZ$2/$L110)-INT((CZ$2-1)/$L110))*$U110*((1+Inputs!$D$7)^CZ$2))),(Inputs!$D$8^((1-_xlfn.WEIBULL.DIST(CZ$2,$M110,$L110,FALSE))/_xlfn.WEIBULL.DIST(CZ$2,$M110,$L110,FALSE))*$U110*((1+Inputs!$D$7)^CZ$2))),IF($N110=Lists!$K$3,IF($L110&lt;1,((($T110*(1-$F110)+$S110*(1-$G110))/$L110)*((1+Inputs!$D$7)^CZ$2)),((INT(CZ$2/$L110)-INT((CZ$2-1)/$L110))*($T110*(1-$F110)+$S110*(1-$G110))*((1+Inputs!$D$7)^CZ$2))),((Inputs!$D$8^((1-_xlfn.WEIBULL.DIST(CZ$2,$M110,$L110,FALSE))/_xlfn.WEIBULL.DIST(CZ$2,$M110,$L110,FALSE))*($T110*(1-$F110)+$S110*(1-$G110))*((1+Inputs!$D$7)^CZ$2))))))))</f>
        <v>0</v>
      </c>
      <c r="DA110" s="88">
        <f>MAX(BK110,($E110*IF(DA$2&gt;Inputs!$D$5,0,IF(DA$2&gt;VLOOKUP($H110,Lists!$P$3:$Q$7,2),IF($N110=Lists!$K$3,IF($L110&lt;1,(($U110/$L110)*((1+Inputs!$D$7)^DA$2)),((INT(DA$2/$L110)-INT((DA$2-1)/$L110))*$U110*((1+Inputs!$D$7)^DA$2))),(Inputs!$D$8^((1-_xlfn.WEIBULL.DIST(DA$2,$M110,$L110,FALSE))/_xlfn.WEIBULL.DIST(DA$2,$M110,$L110,FALSE))*$U110*((1+Inputs!$D$7)^DA$2))),IF($N110=Lists!$K$3,IF($L110&lt;1,((($T110*(1-$F110)+$S110*(1-$G110))/$L110)*((1+Inputs!$D$7)^DA$2)),((INT(DA$2/$L110)-INT((DA$2-1)/$L110))*($T110*(1-$F110)+$S110*(1-$G110))*((1+Inputs!$D$7)^DA$2))),((Inputs!$D$8^((1-_xlfn.WEIBULL.DIST(DA$2,$M110,$L110,FALSE))/_xlfn.WEIBULL.DIST(DA$2,$M110,$L110,FALSE))*($T110*(1-$F110)+$S110*(1-$G110))*((1+Inputs!$D$7)^DA$2))))))))</f>
        <v>0</v>
      </c>
      <c r="DB110" s="88">
        <f>MAX(BL110,($E110*IF(DB$2&gt;Inputs!$D$5,0,IF(DB$2&gt;VLOOKUP($H110,Lists!$P$3:$Q$7,2),IF($N110=Lists!$K$3,IF($L110&lt;1,(($U110/$L110)*((1+Inputs!$D$7)^DB$2)),((INT(DB$2/$L110)-INT((DB$2-1)/$L110))*$U110*((1+Inputs!$D$7)^DB$2))),(Inputs!$D$8^((1-_xlfn.WEIBULL.DIST(DB$2,$M110,$L110,FALSE))/_xlfn.WEIBULL.DIST(DB$2,$M110,$L110,FALSE))*$U110*((1+Inputs!$D$7)^DB$2))),IF($N110=Lists!$K$3,IF($L110&lt;1,((($T110*(1-$F110)+$S110*(1-$G110))/$L110)*((1+Inputs!$D$7)^DB$2)),((INT(DB$2/$L110)-INT((DB$2-1)/$L110))*($T110*(1-$F110)+$S110*(1-$G110))*((1+Inputs!$D$7)^DB$2))),((Inputs!$D$8^((1-_xlfn.WEIBULL.DIST(DB$2,$M110,$L110,FALSE))/_xlfn.WEIBULL.DIST(DB$2,$M110,$L110,FALSE))*($T110*(1-$F110)+$S110*(1-$G110))*((1+Inputs!$D$7)^DB$2))))))))</f>
        <v>0</v>
      </c>
      <c r="DC110" s="88">
        <f>MAX(BM110,($E110*IF(DC$2&gt;Inputs!$D$5,0,IF(DC$2&gt;VLOOKUP($H110,Lists!$P$3:$Q$7,2),IF($N110=Lists!$K$3,IF($L110&lt;1,(($U110/$L110)*((1+Inputs!$D$7)^DC$2)),((INT(DC$2/$L110)-INT((DC$2-1)/$L110))*$U110*((1+Inputs!$D$7)^DC$2))),(Inputs!$D$8^((1-_xlfn.WEIBULL.DIST(DC$2,$M110,$L110,FALSE))/_xlfn.WEIBULL.DIST(DC$2,$M110,$L110,FALSE))*$U110*((1+Inputs!$D$7)^DC$2))),IF($N110=Lists!$K$3,IF($L110&lt;1,((($T110*(1-$F110)+$S110*(1-$G110))/$L110)*((1+Inputs!$D$7)^DC$2)),((INT(DC$2/$L110)-INT((DC$2-1)/$L110))*($T110*(1-$F110)+$S110*(1-$G110))*((1+Inputs!$D$7)^DC$2))),((Inputs!$D$8^((1-_xlfn.WEIBULL.DIST(DC$2,$M110,$L110,FALSE))/_xlfn.WEIBULL.DIST(DC$2,$M110,$L110,FALSE))*($T110*(1-$F110)+$S110*(1-$G110))*((1+Inputs!$D$7)^DC$2))))))))</f>
        <v>0</v>
      </c>
      <c r="DD110" s="88">
        <f>MAX(BN110,($E110*IF(DD$2&gt;Inputs!$D$5,0,IF(DD$2&gt;VLOOKUP($H110,Lists!$P$3:$Q$7,2),IF($N110=Lists!$K$3,IF($L110&lt;1,(($U110/$L110)*((1+Inputs!$D$7)^DD$2)),((INT(DD$2/$L110)-INT((DD$2-1)/$L110))*$U110*((1+Inputs!$D$7)^DD$2))),(Inputs!$D$8^((1-_xlfn.WEIBULL.DIST(DD$2,$M110,$L110,FALSE))/_xlfn.WEIBULL.DIST(DD$2,$M110,$L110,FALSE))*$U110*((1+Inputs!$D$7)^DD$2))),IF($N110=Lists!$K$3,IF($L110&lt;1,((($T110*(1-$F110)+$S110*(1-$G110))/$L110)*((1+Inputs!$D$7)^DD$2)),((INT(DD$2/$L110)-INT((DD$2-1)/$L110))*($T110*(1-$F110)+$S110*(1-$G110))*((1+Inputs!$D$7)^DD$2))),((Inputs!$D$8^((1-_xlfn.WEIBULL.DIST(DD$2,$M110,$L110,FALSE))/_xlfn.WEIBULL.DIST(DD$2,$M110,$L110,FALSE))*($T110*(1-$F110)+$S110*(1-$G110))*((1+Inputs!$D$7)^DD$2))))))))</f>
        <v>0</v>
      </c>
    </row>
    <row r="111" spans="1:108" ht="16">
      <c r="A111" s="57" t="s">
        <v>159</v>
      </c>
      <c r="B111" s="13" t="s">
        <v>279</v>
      </c>
      <c r="C111" s="13" t="s">
        <v>472</v>
      </c>
      <c r="D111" s="13" t="s">
        <v>475</v>
      </c>
      <c r="E111" s="48">
        <f>IF(Inputs!$D$64=1,1,0)</f>
        <v>0</v>
      </c>
      <c r="F111" s="48">
        <v>0</v>
      </c>
      <c r="G111" s="48">
        <v>0</v>
      </c>
      <c r="H111" s="105" t="s">
        <v>350</v>
      </c>
      <c r="I111" s="14" t="s">
        <v>262</v>
      </c>
      <c r="J111" s="14" t="s">
        <v>83</v>
      </c>
      <c r="K111" s="13">
        <f>VLOOKUP(J111,'Labor Rates'!$A$1:$F$16,2)</f>
        <v>20.129423076923075</v>
      </c>
      <c r="L111" s="15">
        <v>1</v>
      </c>
      <c r="M111" s="15">
        <v>1</v>
      </c>
      <c r="N111" s="13" t="s">
        <v>236</v>
      </c>
      <c r="O111" s="61">
        <f>Inputs!$D$50</f>
        <v>52.619970193740691</v>
      </c>
      <c r="P111" s="15">
        <v>4</v>
      </c>
      <c r="Q111" s="15">
        <f t="shared" si="21"/>
        <v>210.47988077496277</v>
      </c>
      <c r="R111" s="4">
        <v>0</v>
      </c>
      <c r="S111" s="53">
        <f t="shared" si="22"/>
        <v>4236.8385692995525</v>
      </c>
      <c r="T111" s="53">
        <f t="shared" si="23"/>
        <v>0</v>
      </c>
      <c r="U111" s="54">
        <f t="shared" si="24"/>
        <v>0</v>
      </c>
      <c r="V111" s="65"/>
      <c r="W111" s="58"/>
      <c r="X111" s="64">
        <f t="shared" si="25"/>
        <v>0</v>
      </c>
      <c r="Y111" s="64">
        <f>NPV(Inputs!$D$6,AA111:BN111)</f>
        <v>0</v>
      </c>
      <c r="Z111" s="67">
        <f t="shared" si="26"/>
        <v>0</v>
      </c>
      <c r="AA111" s="88">
        <f>$E111*IF(AA$2&gt;Inputs!$D$5,0,IF(AA$2&gt;VLOOKUP($H111,Lists!$P$3:$Q$7,2),IF($N111=Lists!$K$3,IF($L111&lt;1,(($U111/$L111)*((1+Inputs!$D$7)^AA$2)),((INT(AA$2/$L111)-INT((AA$2-1)/$L111))*$U111*((1+Inputs!$D$7)^AA$2))),(_xlfn.WEIBULL.DIST(AA$2,$M111,$L111,FALSE)*$U111*((1+Inputs!$D$7)^AA$2))),IF($N111=Lists!$K$3,IF($L111&lt;1,((($T111*(1-$F111)+$S111*(1-$G111))/$L111)*((1+Inputs!$D$7)^AA$2)),((INT(AA$2/$L111)-INT((AA$2-1)/$L111))*($T111*(1-$F111)+$S111*(1-$G111))*((1+Inputs!$D$7)^AA$2))),((_xlfn.WEIBULL.DIST(AA$2,$M111,$L111,FALSE)*($T111*(1-$F111)+$S111*(1-$G111))*((1+Inputs!$D$7)^AA$2))))))</f>
        <v>0</v>
      </c>
      <c r="AB111" s="88">
        <f>$E111*IF(AB$2&gt;Inputs!$D$5,0,IF(AB$2&gt;VLOOKUP($H111,Lists!$P$3:$Q$7,2),IF($N111=Lists!$K$3,IF($L111&lt;1,(($U111/$L111)*((1+Inputs!$D$7)^AB$2)),((INT(AB$2/$L111)-INT((AB$2-1)/$L111))*$U111*((1+Inputs!$D$7)^AB$2))),(_xlfn.WEIBULL.DIST(AB$2,$M111,$L111,FALSE)*$U111*((1+Inputs!$D$7)^AB$2))),IF($N111=Lists!$K$3,IF($L111&lt;1,((($T111*(1-$F111)+$S111*(1-$G111))/$L111)*((1+Inputs!$D$7)^AB$2)),((INT(AB$2/$L111)-INT((AB$2-1)/$L111))*($T111*(1-$F111)+$S111*(1-$G111))*((1+Inputs!$D$7)^AB$2))),((_xlfn.WEIBULL.DIST(AB$2,$M111,$L111,FALSE)*($T111*(1-$F111)+$S111*(1-$G111))*((1+Inputs!$D$7)^AB$2))))))</f>
        <v>0</v>
      </c>
      <c r="AC111" s="88">
        <f>$E111*IF(AC$2&gt;Inputs!$D$5,0,IF(AC$2&gt;VLOOKUP($H111,Lists!$P$3:$Q$7,2),IF($N111=Lists!$K$3,IF($L111&lt;1,(($U111/$L111)*((1+Inputs!$D$7)^AC$2)),((INT(AC$2/$L111)-INT((AC$2-1)/$L111))*$U111*((1+Inputs!$D$7)^AC$2))),(_xlfn.WEIBULL.DIST(AC$2,$M111,$L111,FALSE)*$U111*((1+Inputs!$D$7)^AC$2))),IF($N111=Lists!$K$3,IF($L111&lt;1,((($T111*(1-$F111)+$S111*(1-$G111))/$L111)*((1+Inputs!$D$7)^AC$2)),((INT(AC$2/$L111)-INT((AC$2-1)/$L111))*($T111*(1-$F111)+$S111*(1-$G111))*((1+Inputs!$D$7)^AC$2))),((_xlfn.WEIBULL.DIST(AC$2,$M111,$L111,FALSE)*($T111*(1-$F111)+$S111*(1-$G111))*((1+Inputs!$D$7)^AC$2))))))</f>
        <v>0</v>
      </c>
      <c r="AD111" s="88">
        <f>$E111*IF(AD$2&gt;Inputs!$D$5,0,IF(AD$2&gt;VLOOKUP($H111,Lists!$P$3:$Q$7,2),IF($N111=Lists!$K$3,IF($L111&lt;1,(($U111/$L111)*((1+Inputs!$D$7)^AD$2)),((INT(AD$2/$L111)-INT((AD$2-1)/$L111))*$U111*((1+Inputs!$D$7)^AD$2))),(_xlfn.WEIBULL.DIST(AD$2,$M111,$L111,FALSE)*$U111*((1+Inputs!$D$7)^AD$2))),IF($N111=Lists!$K$3,IF($L111&lt;1,((($T111*(1-$F111)+$S111*(1-$G111))/$L111)*((1+Inputs!$D$7)^AD$2)),((INT(AD$2/$L111)-INT((AD$2-1)/$L111))*($T111*(1-$F111)+$S111*(1-$G111))*((1+Inputs!$D$7)^AD$2))),((_xlfn.WEIBULL.DIST(AD$2,$M111,$L111,FALSE)*($T111*(1-$F111)+$S111*(1-$G111))*((1+Inputs!$D$7)^AD$2))))))</f>
        <v>0</v>
      </c>
      <c r="AE111" s="88">
        <f>$E111*IF(AE$2&gt;Inputs!$D$5,0,IF(AE$2&gt;VLOOKUP($H111,Lists!$P$3:$Q$7,2),IF($N111=Lists!$K$3,IF($L111&lt;1,(($U111/$L111)*((1+Inputs!$D$7)^AE$2)),((INT(AE$2/$L111)-INT((AE$2-1)/$L111))*$U111*((1+Inputs!$D$7)^AE$2))),(_xlfn.WEIBULL.DIST(AE$2,$M111,$L111,FALSE)*$U111*((1+Inputs!$D$7)^AE$2))),IF($N111=Lists!$K$3,IF($L111&lt;1,((($T111*(1-$F111)+$S111*(1-$G111))/$L111)*((1+Inputs!$D$7)^AE$2)),((INT(AE$2/$L111)-INT((AE$2-1)/$L111))*($T111*(1-$F111)+$S111*(1-$G111))*((1+Inputs!$D$7)^AE$2))),((_xlfn.WEIBULL.DIST(AE$2,$M111,$L111,FALSE)*($T111*(1-$F111)+$S111*(1-$G111))*((1+Inputs!$D$7)^AE$2))))))</f>
        <v>0</v>
      </c>
      <c r="AF111" s="88">
        <f>$E111*IF(AF$2&gt;Inputs!$D$5,0,IF(AF$2&gt;VLOOKUP($H111,Lists!$P$3:$Q$7,2),IF($N111=Lists!$K$3,IF($L111&lt;1,(($U111/$L111)*((1+Inputs!$D$7)^AF$2)),((INT(AF$2/$L111)-INT((AF$2-1)/$L111))*$U111*((1+Inputs!$D$7)^AF$2))),(_xlfn.WEIBULL.DIST(AF$2,$M111,$L111,FALSE)*$U111*((1+Inputs!$D$7)^AF$2))),IF($N111=Lists!$K$3,IF($L111&lt;1,((($T111*(1-$F111)+$S111*(1-$G111))/$L111)*((1+Inputs!$D$7)^AF$2)),((INT(AF$2/$L111)-INT((AF$2-1)/$L111))*($T111*(1-$F111)+$S111*(1-$G111))*((1+Inputs!$D$7)^AF$2))),((_xlfn.WEIBULL.DIST(AF$2,$M111,$L111,FALSE)*($T111*(1-$F111)+$S111*(1-$G111))*((1+Inputs!$D$7)^AF$2))))))</f>
        <v>0</v>
      </c>
      <c r="AG111" s="88">
        <f>$E111*IF(AG$2&gt;Inputs!$D$5,0,IF(AG$2&gt;VLOOKUP($H111,Lists!$P$3:$Q$7,2),IF($N111=Lists!$K$3,IF($L111&lt;1,(($U111/$L111)*((1+Inputs!$D$7)^AG$2)),((INT(AG$2/$L111)-INT((AG$2-1)/$L111))*$U111*((1+Inputs!$D$7)^AG$2))),(_xlfn.WEIBULL.DIST(AG$2,$M111,$L111,FALSE)*$U111*((1+Inputs!$D$7)^AG$2))),IF($N111=Lists!$K$3,IF($L111&lt;1,((($T111*(1-$F111)+$S111*(1-$G111))/$L111)*((1+Inputs!$D$7)^AG$2)),((INT(AG$2/$L111)-INT((AG$2-1)/$L111))*($T111*(1-$F111)+$S111*(1-$G111))*((1+Inputs!$D$7)^AG$2))),((_xlfn.WEIBULL.DIST(AG$2,$M111,$L111,FALSE)*($T111*(1-$F111)+$S111*(1-$G111))*((1+Inputs!$D$7)^AG$2))))))</f>
        <v>0</v>
      </c>
      <c r="AH111" s="88">
        <f>$E111*IF(AH$2&gt;Inputs!$D$5,0,IF(AH$2&gt;VLOOKUP($H111,Lists!$P$3:$Q$7,2),IF($N111=Lists!$K$3,IF($L111&lt;1,(($U111/$L111)*((1+Inputs!$D$7)^AH$2)),((INT(AH$2/$L111)-INT((AH$2-1)/$L111))*$U111*((1+Inputs!$D$7)^AH$2))),(_xlfn.WEIBULL.DIST(AH$2,$M111,$L111,FALSE)*$U111*((1+Inputs!$D$7)^AH$2))),IF($N111=Lists!$K$3,IF($L111&lt;1,((($T111*(1-$F111)+$S111*(1-$G111))/$L111)*((1+Inputs!$D$7)^AH$2)),((INT(AH$2/$L111)-INT((AH$2-1)/$L111))*($T111*(1-$F111)+$S111*(1-$G111))*((1+Inputs!$D$7)^AH$2))),((_xlfn.WEIBULL.DIST(AH$2,$M111,$L111,FALSE)*($T111*(1-$F111)+$S111*(1-$G111))*((1+Inputs!$D$7)^AH$2))))))</f>
        <v>0</v>
      </c>
      <c r="AI111" s="88">
        <f>$E111*IF(AI$2&gt;Inputs!$D$5,0,IF(AI$2&gt;VLOOKUP($H111,Lists!$P$3:$Q$7,2),IF($N111=Lists!$K$3,IF($L111&lt;1,(($U111/$L111)*((1+Inputs!$D$7)^AI$2)),((INT(AI$2/$L111)-INT((AI$2-1)/$L111))*$U111*((1+Inputs!$D$7)^AI$2))),(_xlfn.WEIBULL.DIST(AI$2,$M111,$L111,FALSE)*$U111*((1+Inputs!$D$7)^AI$2))),IF($N111=Lists!$K$3,IF($L111&lt;1,((($T111*(1-$F111)+$S111*(1-$G111))/$L111)*((1+Inputs!$D$7)^AI$2)),((INT(AI$2/$L111)-INT((AI$2-1)/$L111))*($T111*(1-$F111)+$S111*(1-$G111))*((1+Inputs!$D$7)^AI$2))),((_xlfn.WEIBULL.DIST(AI$2,$M111,$L111,FALSE)*($T111*(1-$F111)+$S111*(1-$G111))*((1+Inputs!$D$7)^AI$2))))))</f>
        <v>0</v>
      </c>
      <c r="AJ111" s="88">
        <f>$E111*IF(AJ$2&gt;Inputs!$D$5,0,IF(AJ$2&gt;VLOOKUP($H111,Lists!$P$3:$Q$7,2),IF($N111=Lists!$K$3,IF($L111&lt;1,(($U111/$L111)*((1+Inputs!$D$7)^AJ$2)),((INT(AJ$2/$L111)-INT((AJ$2-1)/$L111))*$U111*((1+Inputs!$D$7)^AJ$2))),(_xlfn.WEIBULL.DIST(AJ$2,$M111,$L111,FALSE)*$U111*((1+Inputs!$D$7)^AJ$2))),IF($N111=Lists!$K$3,IF($L111&lt;1,((($T111*(1-$F111)+$S111*(1-$G111))/$L111)*((1+Inputs!$D$7)^AJ$2)),((INT(AJ$2/$L111)-INT((AJ$2-1)/$L111))*($T111*(1-$F111)+$S111*(1-$G111))*((1+Inputs!$D$7)^AJ$2))),((_xlfn.WEIBULL.DIST(AJ$2,$M111,$L111,FALSE)*($T111*(1-$F111)+$S111*(1-$G111))*((1+Inputs!$D$7)^AJ$2))))))</f>
        <v>0</v>
      </c>
      <c r="AK111" s="88">
        <f>$E111*IF(AK$2&gt;Inputs!$D$5,0,IF(AK$2&gt;VLOOKUP($H111,Lists!$P$3:$Q$7,2),IF($N111=Lists!$K$3,IF($L111&lt;1,(($U111/$L111)*((1+Inputs!$D$7)^AK$2)),((INT(AK$2/$L111)-INT((AK$2-1)/$L111))*$U111*((1+Inputs!$D$7)^AK$2))),(_xlfn.WEIBULL.DIST(AK$2,$M111,$L111,FALSE)*$U111*((1+Inputs!$D$7)^AK$2))),IF($N111=Lists!$K$3,IF($L111&lt;1,((($T111*(1-$F111)+$S111*(1-$G111))/$L111)*((1+Inputs!$D$7)^AK$2)),((INT(AK$2/$L111)-INT((AK$2-1)/$L111))*($T111*(1-$F111)+$S111*(1-$G111))*((1+Inputs!$D$7)^AK$2))),((_xlfn.WEIBULL.DIST(AK$2,$M111,$L111,FALSE)*($T111*(1-$F111)+$S111*(1-$G111))*((1+Inputs!$D$7)^AK$2))))))</f>
        <v>0</v>
      </c>
      <c r="AL111" s="88">
        <f>$E111*IF(AL$2&gt;Inputs!$D$5,0,IF(AL$2&gt;VLOOKUP($H111,Lists!$P$3:$Q$7,2),IF($N111=Lists!$K$3,IF($L111&lt;1,(($U111/$L111)*((1+Inputs!$D$7)^AL$2)),((INT(AL$2/$L111)-INT((AL$2-1)/$L111))*$U111*((1+Inputs!$D$7)^AL$2))),(_xlfn.WEIBULL.DIST(AL$2,$M111,$L111,FALSE)*$U111*((1+Inputs!$D$7)^AL$2))),IF($N111=Lists!$K$3,IF($L111&lt;1,((($T111*(1-$F111)+$S111*(1-$G111))/$L111)*((1+Inputs!$D$7)^AL$2)),((INT(AL$2/$L111)-INT((AL$2-1)/$L111))*($T111*(1-$F111)+$S111*(1-$G111))*((1+Inputs!$D$7)^AL$2))),((_xlfn.WEIBULL.DIST(AL$2,$M111,$L111,FALSE)*($T111*(1-$F111)+$S111*(1-$G111))*((1+Inputs!$D$7)^AL$2))))))</f>
        <v>0</v>
      </c>
      <c r="AM111" s="88">
        <f>$E111*IF(AM$2&gt;Inputs!$D$5,0,IF(AM$2&gt;VLOOKUP($H111,Lists!$P$3:$Q$7,2),IF($N111=Lists!$K$3,IF($L111&lt;1,(($U111/$L111)*((1+Inputs!$D$7)^AM$2)),((INT(AM$2/$L111)-INT((AM$2-1)/$L111))*$U111*((1+Inputs!$D$7)^AM$2))),(_xlfn.WEIBULL.DIST(AM$2,$M111,$L111,FALSE)*$U111*((1+Inputs!$D$7)^AM$2))),IF($N111=Lists!$K$3,IF($L111&lt;1,((($T111*(1-$F111)+$S111*(1-$G111))/$L111)*((1+Inputs!$D$7)^AM$2)),((INT(AM$2/$L111)-INT((AM$2-1)/$L111))*($T111*(1-$F111)+$S111*(1-$G111))*((1+Inputs!$D$7)^AM$2))),((_xlfn.WEIBULL.DIST(AM$2,$M111,$L111,FALSE)*($T111*(1-$F111)+$S111*(1-$G111))*((1+Inputs!$D$7)^AM$2))))))</f>
        <v>0</v>
      </c>
      <c r="AN111" s="88">
        <f>$E111*IF(AN$2&gt;Inputs!$D$5,0,IF(AN$2&gt;VLOOKUP($H111,Lists!$P$3:$Q$7,2),IF($N111=Lists!$K$3,IF($L111&lt;1,(($U111/$L111)*((1+Inputs!$D$7)^AN$2)),((INT(AN$2/$L111)-INT((AN$2-1)/$L111))*$U111*((1+Inputs!$D$7)^AN$2))),(_xlfn.WEIBULL.DIST(AN$2,$M111,$L111,FALSE)*$U111*((1+Inputs!$D$7)^AN$2))),IF($N111=Lists!$K$3,IF($L111&lt;1,((($T111*(1-$F111)+$S111*(1-$G111))/$L111)*((1+Inputs!$D$7)^AN$2)),((INT(AN$2/$L111)-INT((AN$2-1)/$L111))*($T111*(1-$F111)+$S111*(1-$G111))*((1+Inputs!$D$7)^AN$2))),((_xlfn.WEIBULL.DIST(AN$2,$M111,$L111,FALSE)*($T111*(1-$F111)+$S111*(1-$G111))*((1+Inputs!$D$7)^AN$2))))))</f>
        <v>0</v>
      </c>
      <c r="AO111" s="88">
        <f>$E111*IF(AO$2&gt;Inputs!$D$5,0,IF(AO$2&gt;VLOOKUP($H111,Lists!$P$3:$Q$7,2),IF($N111=Lists!$K$3,IF($L111&lt;1,(($U111/$L111)*((1+Inputs!$D$7)^AO$2)),((INT(AO$2/$L111)-INT((AO$2-1)/$L111))*$U111*((1+Inputs!$D$7)^AO$2))),(_xlfn.WEIBULL.DIST(AO$2,$M111,$L111,FALSE)*$U111*((1+Inputs!$D$7)^AO$2))),IF($N111=Lists!$K$3,IF($L111&lt;1,((($T111*(1-$F111)+$S111*(1-$G111))/$L111)*((1+Inputs!$D$7)^AO$2)),((INT(AO$2/$L111)-INT((AO$2-1)/$L111))*($T111*(1-$F111)+$S111*(1-$G111))*((1+Inputs!$D$7)^AO$2))),((_xlfn.WEIBULL.DIST(AO$2,$M111,$L111,FALSE)*($T111*(1-$F111)+$S111*(1-$G111))*((1+Inputs!$D$7)^AO$2))))))</f>
        <v>0</v>
      </c>
      <c r="AP111" s="88">
        <f>$E111*IF(AP$2&gt;Inputs!$D$5,0,IF(AP$2&gt;VLOOKUP($H111,Lists!$P$3:$Q$7,2),IF($N111=Lists!$K$3,IF($L111&lt;1,(($U111/$L111)*((1+Inputs!$D$7)^AP$2)),((INT(AP$2/$L111)-INT((AP$2-1)/$L111))*$U111*((1+Inputs!$D$7)^AP$2))),(_xlfn.WEIBULL.DIST(AP$2,$M111,$L111,FALSE)*$U111*((1+Inputs!$D$7)^AP$2))),IF($N111=Lists!$K$3,IF($L111&lt;1,((($T111*(1-$F111)+$S111*(1-$G111))/$L111)*((1+Inputs!$D$7)^AP$2)),((INT(AP$2/$L111)-INT((AP$2-1)/$L111))*($T111*(1-$F111)+$S111*(1-$G111))*((1+Inputs!$D$7)^AP$2))),((_xlfn.WEIBULL.DIST(AP$2,$M111,$L111,FALSE)*($T111*(1-$F111)+$S111*(1-$G111))*((1+Inputs!$D$7)^AP$2))))))</f>
        <v>0</v>
      </c>
      <c r="AQ111" s="88">
        <f>$E111*IF(AQ$2&gt;Inputs!$D$5,0,IF(AQ$2&gt;VLOOKUP($H111,Lists!$P$3:$Q$7,2),IF($N111=Lists!$K$3,IF($L111&lt;1,(($U111/$L111)*((1+Inputs!$D$7)^AQ$2)),((INT(AQ$2/$L111)-INT((AQ$2-1)/$L111))*$U111*((1+Inputs!$D$7)^AQ$2))),(_xlfn.WEIBULL.DIST(AQ$2,$M111,$L111,FALSE)*$U111*((1+Inputs!$D$7)^AQ$2))),IF($N111=Lists!$K$3,IF($L111&lt;1,((($T111*(1-$F111)+$S111*(1-$G111))/$L111)*((1+Inputs!$D$7)^AQ$2)),((INT(AQ$2/$L111)-INT((AQ$2-1)/$L111))*($T111*(1-$F111)+$S111*(1-$G111))*((1+Inputs!$D$7)^AQ$2))),((_xlfn.WEIBULL.DIST(AQ$2,$M111,$L111,FALSE)*($T111*(1-$F111)+$S111*(1-$G111))*((1+Inputs!$D$7)^AQ$2))))))</f>
        <v>0</v>
      </c>
      <c r="AR111" s="88">
        <f>$E111*IF(AR$2&gt;Inputs!$D$5,0,IF(AR$2&gt;VLOOKUP($H111,Lists!$P$3:$Q$7,2),IF($N111=Lists!$K$3,IF($L111&lt;1,(($U111/$L111)*((1+Inputs!$D$7)^AR$2)),((INT(AR$2/$L111)-INT((AR$2-1)/$L111))*$U111*((1+Inputs!$D$7)^AR$2))),(_xlfn.WEIBULL.DIST(AR$2,$M111,$L111,FALSE)*$U111*((1+Inputs!$D$7)^AR$2))),IF($N111=Lists!$K$3,IF($L111&lt;1,((($T111*(1-$F111)+$S111*(1-$G111))/$L111)*((1+Inputs!$D$7)^AR$2)),((INT(AR$2/$L111)-INT((AR$2-1)/$L111))*($T111*(1-$F111)+$S111*(1-$G111))*((1+Inputs!$D$7)^AR$2))),((_xlfn.WEIBULL.DIST(AR$2,$M111,$L111,FALSE)*($T111*(1-$F111)+$S111*(1-$G111))*((1+Inputs!$D$7)^AR$2))))))</f>
        <v>0</v>
      </c>
      <c r="AS111" s="88">
        <f>$E111*IF(AS$2&gt;Inputs!$D$5,0,IF(AS$2&gt;VLOOKUP($H111,Lists!$P$3:$Q$7,2),IF($N111=Lists!$K$3,IF($L111&lt;1,(($U111/$L111)*((1+Inputs!$D$7)^AS$2)),((INT(AS$2/$L111)-INT((AS$2-1)/$L111))*$U111*((1+Inputs!$D$7)^AS$2))),(_xlfn.WEIBULL.DIST(AS$2,$M111,$L111,FALSE)*$U111*((1+Inputs!$D$7)^AS$2))),IF($N111=Lists!$K$3,IF($L111&lt;1,((($T111*(1-$F111)+$S111*(1-$G111))/$L111)*((1+Inputs!$D$7)^AS$2)),((INT(AS$2/$L111)-INT((AS$2-1)/$L111))*($T111*(1-$F111)+$S111*(1-$G111))*((1+Inputs!$D$7)^AS$2))),((_xlfn.WEIBULL.DIST(AS$2,$M111,$L111,FALSE)*($T111*(1-$F111)+$S111*(1-$G111))*((1+Inputs!$D$7)^AS$2))))))</f>
        <v>0</v>
      </c>
      <c r="AT111" s="88">
        <f>$E111*IF(AT$2&gt;Inputs!$D$5,0,IF(AT$2&gt;VLOOKUP($H111,Lists!$P$3:$Q$7,2),IF($N111=Lists!$K$3,IF($L111&lt;1,(($U111/$L111)*((1+Inputs!$D$7)^AT$2)),((INT(AT$2/$L111)-INT((AT$2-1)/$L111))*$U111*((1+Inputs!$D$7)^AT$2))),(_xlfn.WEIBULL.DIST(AT$2,$M111,$L111,FALSE)*$U111*((1+Inputs!$D$7)^AT$2))),IF($N111=Lists!$K$3,IF($L111&lt;1,((($T111*(1-$F111)+$S111*(1-$G111))/$L111)*((1+Inputs!$D$7)^AT$2)),((INT(AT$2/$L111)-INT((AT$2-1)/$L111))*($T111*(1-$F111)+$S111*(1-$G111))*((1+Inputs!$D$7)^AT$2))),((_xlfn.WEIBULL.DIST(AT$2,$M111,$L111,FALSE)*($T111*(1-$F111)+$S111*(1-$G111))*((1+Inputs!$D$7)^AT$2))))))</f>
        <v>0</v>
      </c>
      <c r="AU111" s="88">
        <f>$E111*IF(AU$2&gt;Inputs!$D$5,0,IF(AU$2&gt;VLOOKUP($H111,Lists!$P$3:$Q$7,2),IF($N111=Lists!$K$3,IF($L111&lt;1,(($U111/$L111)*((1+Inputs!$D$7)^AU$2)),((INT(AU$2/$L111)-INT((AU$2-1)/$L111))*$U111*((1+Inputs!$D$7)^AU$2))),(_xlfn.WEIBULL.DIST(AU$2,$M111,$L111,FALSE)*$U111*((1+Inputs!$D$7)^AU$2))),IF($N111=Lists!$K$3,IF($L111&lt;1,((($T111*(1-$F111)+$S111*(1-$G111))/$L111)*((1+Inputs!$D$7)^AU$2)),((INT(AU$2/$L111)-INT((AU$2-1)/$L111))*($T111*(1-$F111)+$S111*(1-$G111))*((1+Inputs!$D$7)^AU$2))),((_xlfn.WEIBULL.DIST(AU$2,$M111,$L111,FALSE)*($T111*(1-$F111)+$S111*(1-$G111))*((1+Inputs!$D$7)^AU$2))))))</f>
        <v>0</v>
      </c>
      <c r="AV111" s="88">
        <f>$E111*IF(AV$2&gt;Inputs!$D$5,0,IF(AV$2&gt;VLOOKUP($H111,Lists!$P$3:$Q$7,2),IF($N111=Lists!$K$3,IF($L111&lt;1,(($U111/$L111)*((1+Inputs!$D$7)^AV$2)),((INT(AV$2/$L111)-INT((AV$2-1)/$L111))*$U111*((1+Inputs!$D$7)^AV$2))),(_xlfn.WEIBULL.DIST(AV$2,$M111,$L111,FALSE)*$U111*((1+Inputs!$D$7)^AV$2))),IF($N111=Lists!$K$3,IF($L111&lt;1,((($T111*(1-$F111)+$S111*(1-$G111))/$L111)*((1+Inputs!$D$7)^AV$2)),((INT(AV$2/$L111)-INT((AV$2-1)/$L111))*($T111*(1-$F111)+$S111*(1-$G111))*((1+Inputs!$D$7)^AV$2))),((_xlfn.WEIBULL.DIST(AV$2,$M111,$L111,FALSE)*($T111*(1-$F111)+$S111*(1-$G111))*((1+Inputs!$D$7)^AV$2))))))</f>
        <v>0</v>
      </c>
      <c r="AW111" s="88">
        <f>$E111*IF(AW$2&gt;Inputs!$D$5,0,IF(AW$2&gt;VLOOKUP($H111,Lists!$P$3:$Q$7,2),IF($N111=Lists!$K$3,IF($L111&lt;1,(($U111/$L111)*((1+Inputs!$D$7)^AW$2)),((INT(AW$2/$L111)-INT((AW$2-1)/$L111))*$U111*((1+Inputs!$D$7)^AW$2))),(_xlfn.WEIBULL.DIST(AW$2,$M111,$L111,FALSE)*$U111*((1+Inputs!$D$7)^AW$2))),IF($N111=Lists!$K$3,IF($L111&lt;1,((($T111*(1-$F111)+$S111*(1-$G111))/$L111)*((1+Inputs!$D$7)^AW$2)),((INT(AW$2/$L111)-INT((AW$2-1)/$L111))*($T111*(1-$F111)+$S111*(1-$G111))*((1+Inputs!$D$7)^AW$2))),((_xlfn.WEIBULL.DIST(AW$2,$M111,$L111,FALSE)*($T111*(1-$F111)+$S111*(1-$G111))*((1+Inputs!$D$7)^AW$2))))))</f>
        <v>0</v>
      </c>
      <c r="AX111" s="88">
        <f>$E111*IF(AX$2&gt;Inputs!$D$5,0,IF(AX$2&gt;VLOOKUP($H111,Lists!$P$3:$Q$7,2),IF($N111=Lists!$K$3,IF($L111&lt;1,(($U111/$L111)*((1+Inputs!$D$7)^AX$2)),((INT(AX$2/$L111)-INT((AX$2-1)/$L111))*$U111*((1+Inputs!$D$7)^AX$2))),(_xlfn.WEIBULL.DIST(AX$2,$M111,$L111,FALSE)*$U111*((1+Inputs!$D$7)^AX$2))),IF($N111=Lists!$K$3,IF($L111&lt;1,((($T111*(1-$F111)+$S111*(1-$G111))/$L111)*((1+Inputs!$D$7)^AX$2)),((INT(AX$2/$L111)-INT((AX$2-1)/$L111))*($T111*(1-$F111)+$S111*(1-$G111))*((1+Inputs!$D$7)^AX$2))),((_xlfn.WEIBULL.DIST(AX$2,$M111,$L111,FALSE)*($T111*(1-$F111)+$S111*(1-$G111))*((1+Inputs!$D$7)^AX$2))))))</f>
        <v>0</v>
      </c>
      <c r="AY111" s="88">
        <f>$E111*IF(AY$2&gt;Inputs!$D$5,0,IF(AY$2&gt;VLOOKUP($H111,Lists!$P$3:$Q$7,2),IF($N111=Lists!$K$3,IF($L111&lt;1,(($U111/$L111)*((1+Inputs!$D$7)^AY$2)),((INT(AY$2/$L111)-INT((AY$2-1)/$L111))*$U111*((1+Inputs!$D$7)^AY$2))),(_xlfn.WEIBULL.DIST(AY$2,$M111,$L111,FALSE)*$U111*((1+Inputs!$D$7)^AY$2))),IF($N111=Lists!$K$3,IF($L111&lt;1,((($T111*(1-$F111)+$S111*(1-$G111))/$L111)*((1+Inputs!$D$7)^AY$2)),((INT(AY$2/$L111)-INT((AY$2-1)/$L111))*($T111*(1-$F111)+$S111*(1-$G111))*((1+Inputs!$D$7)^AY$2))),((_xlfn.WEIBULL.DIST(AY$2,$M111,$L111,FALSE)*($T111*(1-$F111)+$S111*(1-$G111))*((1+Inputs!$D$7)^AY$2))))))</f>
        <v>0</v>
      </c>
      <c r="AZ111" s="88">
        <f>$E111*IF(AZ$2&gt;Inputs!$D$5,0,IF(AZ$2&gt;VLOOKUP($H111,Lists!$P$3:$Q$7,2),IF($N111=Lists!$K$3,IF($L111&lt;1,(($U111/$L111)*((1+Inputs!$D$7)^AZ$2)),((INT(AZ$2/$L111)-INT((AZ$2-1)/$L111))*$U111*((1+Inputs!$D$7)^AZ$2))),(_xlfn.WEIBULL.DIST(AZ$2,$M111,$L111,FALSE)*$U111*((1+Inputs!$D$7)^AZ$2))),IF($N111=Lists!$K$3,IF($L111&lt;1,((($T111*(1-$F111)+$S111*(1-$G111))/$L111)*((1+Inputs!$D$7)^AZ$2)),((INT(AZ$2/$L111)-INT((AZ$2-1)/$L111))*($T111*(1-$F111)+$S111*(1-$G111))*((1+Inputs!$D$7)^AZ$2))),((_xlfn.WEIBULL.DIST(AZ$2,$M111,$L111,FALSE)*($T111*(1-$F111)+$S111*(1-$G111))*((1+Inputs!$D$7)^AZ$2))))))</f>
        <v>0</v>
      </c>
      <c r="BA111" s="88">
        <f>$E111*IF(BA$2&gt;Inputs!$D$5,0,IF(BA$2&gt;VLOOKUP($H111,Lists!$P$3:$Q$7,2),IF($N111=Lists!$K$3,IF($L111&lt;1,(($U111/$L111)*((1+Inputs!$D$7)^BA$2)),((INT(BA$2/$L111)-INT((BA$2-1)/$L111))*$U111*((1+Inputs!$D$7)^BA$2))),(_xlfn.WEIBULL.DIST(BA$2,$M111,$L111,FALSE)*$U111*((1+Inputs!$D$7)^BA$2))),IF($N111=Lists!$K$3,IF($L111&lt;1,((($T111*(1-$F111)+$S111*(1-$G111))/$L111)*((1+Inputs!$D$7)^BA$2)),((INT(BA$2/$L111)-INT((BA$2-1)/$L111))*($T111*(1-$F111)+$S111*(1-$G111))*((1+Inputs!$D$7)^BA$2))),((_xlfn.WEIBULL.DIST(BA$2,$M111,$L111,FALSE)*($T111*(1-$F111)+$S111*(1-$G111))*((1+Inputs!$D$7)^BA$2))))))</f>
        <v>0</v>
      </c>
      <c r="BB111" s="88">
        <f>$E111*IF(BB$2&gt;Inputs!$D$5,0,IF(BB$2&gt;VLOOKUP($H111,Lists!$P$3:$Q$7,2),IF($N111=Lists!$K$3,IF($L111&lt;1,(($U111/$L111)*((1+Inputs!$D$7)^BB$2)),((INT(BB$2/$L111)-INT((BB$2-1)/$L111))*$U111*((1+Inputs!$D$7)^BB$2))),(_xlfn.WEIBULL.DIST(BB$2,$M111,$L111,FALSE)*$U111*((1+Inputs!$D$7)^BB$2))),IF($N111=Lists!$K$3,IF($L111&lt;1,((($T111*(1-$F111)+$S111*(1-$G111))/$L111)*((1+Inputs!$D$7)^BB$2)),((INT(BB$2/$L111)-INT((BB$2-1)/$L111))*($T111*(1-$F111)+$S111*(1-$G111))*((1+Inputs!$D$7)^BB$2))),((_xlfn.WEIBULL.DIST(BB$2,$M111,$L111,FALSE)*($T111*(1-$F111)+$S111*(1-$G111))*((1+Inputs!$D$7)^BB$2))))))</f>
        <v>0</v>
      </c>
      <c r="BC111" s="88">
        <f>$E111*IF(BC$2&gt;Inputs!$D$5,0,IF(BC$2&gt;VLOOKUP($H111,Lists!$P$3:$Q$7,2),IF($N111=Lists!$K$3,IF($L111&lt;1,(($U111/$L111)*((1+Inputs!$D$7)^BC$2)),((INT(BC$2/$L111)-INT((BC$2-1)/$L111))*$U111*((1+Inputs!$D$7)^BC$2))),(_xlfn.WEIBULL.DIST(BC$2,$M111,$L111,FALSE)*$U111*((1+Inputs!$D$7)^BC$2))),IF($N111=Lists!$K$3,IF($L111&lt;1,((($T111*(1-$F111)+$S111*(1-$G111))/$L111)*((1+Inputs!$D$7)^BC$2)),((INT(BC$2/$L111)-INT((BC$2-1)/$L111))*($T111*(1-$F111)+$S111*(1-$G111))*((1+Inputs!$D$7)^BC$2))),((_xlfn.WEIBULL.DIST(BC$2,$M111,$L111,FALSE)*($T111*(1-$F111)+$S111*(1-$G111))*((1+Inputs!$D$7)^BC$2))))))</f>
        <v>0</v>
      </c>
      <c r="BD111" s="88">
        <f>$E111*IF(BD$2&gt;Inputs!$D$5,0,IF(BD$2&gt;VLOOKUP($H111,Lists!$P$3:$Q$7,2),IF($N111=Lists!$K$3,IF($L111&lt;1,(($U111/$L111)*((1+Inputs!$D$7)^BD$2)),((INT(BD$2/$L111)-INT((BD$2-1)/$L111))*$U111*((1+Inputs!$D$7)^BD$2))),(_xlfn.WEIBULL.DIST(BD$2,$M111,$L111,FALSE)*$U111*((1+Inputs!$D$7)^BD$2))),IF($N111=Lists!$K$3,IF($L111&lt;1,((($T111*(1-$F111)+$S111*(1-$G111))/$L111)*((1+Inputs!$D$7)^BD$2)),((INT(BD$2/$L111)-INT((BD$2-1)/$L111))*($T111*(1-$F111)+$S111*(1-$G111))*((1+Inputs!$D$7)^BD$2))),((_xlfn.WEIBULL.DIST(BD$2,$M111,$L111,FALSE)*($T111*(1-$F111)+$S111*(1-$G111))*((1+Inputs!$D$7)^BD$2))))))</f>
        <v>0</v>
      </c>
      <c r="BE111" s="88">
        <f>$E111*IF(BE$2&gt;Inputs!$D$5,0,IF(BE$2&gt;VLOOKUP($H111,Lists!$P$3:$Q$7,2),IF($N111=Lists!$K$3,IF($L111&lt;1,(($U111/$L111)*((1+Inputs!$D$7)^BE$2)),((INT(BE$2/$L111)-INT((BE$2-1)/$L111))*$U111*((1+Inputs!$D$7)^BE$2))),(_xlfn.WEIBULL.DIST(BE$2,$M111,$L111,FALSE)*$U111*((1+Inputs!$D$7)^BE$2))),IF($N111=Lists!$K$3,IF($L111&lt;1,((($T111*(1-$F111)+$S111*(1-$G111))/$L111)*((1+Inputs!$D$7)^BE$2)),((INT(BE$2/$L111)-INT((BE$2-1)/$L111))*($T111*(1-$F111)+$S111*(1-$G111))*((1+Inputs!$D$7)^BE$2))),((_xlfn.WEIBULL.DIST(BE$2,$M111,$L111,FALSE)*($T111*(1-$F111)+$S111*(1-$G111))*((1+Inputs!$D$7)^BE$2))))))</f>
        <v>0</v>
      </c>
      <c r="BF111" s="88">
        <f>$E111*IF(BF$2&gt;Inputs!$D$5,0,IF(BF$2&gt;VLOOKUP($H111,Lists!$P$3:$Q$7,2),IF($N111=Lists!$K$3,IF($L111&lt;1,(($U111/$L111)*((1+Inputs!$D$7)^BF$2)),((INT(BF$2/$L111)-INT((BF$2-1)/$L111))*$U111*((1+Inputs!$D$7)^BF$2))),(_xlfn.WEIBULL.DIST(BF$2,$M111,$L111,FALSE)*$U111*((1+Inputs!$D$7)^BF$2))),IF($N111=Lists!$K$3,IF($L111&lt;1,((($T111*(1-$F111)+$S111*(1-$G111))/$L111)*((1+Inputs!$D$7)^BF$2)),((INT(BF$2/$L111)-INT((BF$2-1)/$L111))*($T111*(1-$F111)+$S111*(1-$G111))*((1+Inputs!$D$7)^BF$2))),((_xlfn.WEIBULL.DIST(BF$2,$M111,$L111,FALSE)*($T111*(1-$F111)+$S111*(1-$G111))*((1+Inputs!$D$7)^BF$2))))))</f>
        <v>0</v>
      </c>
      <c r="BG111" s="88">
        <f>$E111*IF(BG$2&gt;Inputs!$D$5,0,IF(BG$2&gt;VLOOKUP($H111,Lists!$P$3:$Q$7,2),IF($N111=Lists!$K$3,IF($L111&lt;1,(($U111/$L111)*((1+Inputs!$D$7)^BG$2)),((INT(BG$2/$L111)-INT((BG$2-1)/$L111))*$U111*((1+Inputs!$D$7)^BG$2))),(_xlfn.WEIBULL.DIST(BG$2,$M111,$L111,FALSE)*$U111*((1+Inputs!$D$7)^BG$2))),IF($N111=Lists!$K$3,IF($L111&lt;1,((($T111*(1-$F111)+$S111*(1-$G111))/$L111)*((1+Inputs!$D$7)^BG$2)),((INT(BG$2/$L111)-INT((BG$2-1)/$L111))*($T111*(1-$F111)+$S111*(1-$G111))*((1+Inputs!$D$7)^BG$2))),((_xlfn.WEIBULL.DIST(BG$2,$M111,$L111,FALSE)*($T111*(1-$F111)+$S111*(1-$G111))*((1+Inputs!$D$7)^BG$2))))))</f>
        <v>0</v>
      </c>
      <c r="BH111" s="88">
        <f>$E111*IF(BH$2&gt;Inputs!$D$5,0,IF(BH$2&gt;VLOOKUP($H111,Lists!$P$3:$Q$7,2),IF($N111=Lists!$K$3,IF($L111&lt;1,(($U111/$L111)*((1+Inputs!$D$7)^BH$2)),((INT(BH$2/$L111)-INT((BH$2-1)/$L111))*$U111*((1+Inputs!$D$7)^BH$2))),(_xlfn.WEIBULL.DIST(BH$2,$M111,$L111,FALSE)*$U111*((1+Inputs!$D$7)^BH$2))),IF($N111=Lists!$K$3,IF($L111&lt;1,((($T111*(1-$F111)+$S111*(1-$G111))/$L111)*((1+Inputs!$D$7)^BH$2)),((INT(BH$2/$L111)-INT((BH$2-1)/$L111))*($T111*(1-$F111)+$S111*(1-$G111))*((1+Inputs!$D$7)^BH$2))),((_xlfn.WEIBULL.DIST(BH$2,$M111,$L111,FALSE)*($T111*(1-$F111)+$S111*(1-$G111))*((1+Inputs!$D$7)^BH$2))))))</f>
        <v>0</v>
      </c>
      <c r="BI111" s="88">
        <f>$E111*IF(BI$2&gt;Inputs!$D$5,0,IF(BI$2&gt;VLOOKUP($H111,Lists!$P$3:$Q$7,2),IF($N111=Lists!$K$3,IF($L111&lt;1,(($U111/$L111)*((1+Inputs!$D$7)^BI$2)),((INT(BI$2/$L111)-INT((BI$2-1)/$L111))*$U111*((1+Inputs!$D$7)^BI$2))),(_xlfn.WEIBULL.DIST(BI$2,$M111,$L111,FALSE)*$U111*((1+Inputs!$D$7)^BI$2))),IF($N111=Lists!$K$3,IF($L111&lt;1,((($T111*(1-$F111)+$S111*(1-$G111))/$L111)*((1+Inputs!$D$7)^BI$2)),((INT(BI$2/$L111)-INT((BI$2-1)/$L111))*($T111*(1-$F111)+$S111*(1-$G111))*((1+Inputs!$D$7)^BI$2))),((_xlfn.WEIBULL.DIST(BI$2,$M111,$L111,FALSE)*($T111*(1-$F111)+$S111*(1-$G111))*((1+Inputs!$D$7)^BI$2))))))</f>
        <v>0</v>
      </c>
      <c r="BJ111" s="88">
        <f>$E111*IF(BJ$2&gt;Inputs!$D$5,0,IF(BJ$2&gt;VLOOKUP($H111,Lists!$P$3:$Q$7,2),IF($N111=Lists!$K$3,IF($L111&lt;1,(($U111/$L111)*((1+Inputs!$D$7)^BJ$2)),((INT(BJ$2/$L111)-INT((BJ$2-1)/$L111))*$U111*((1+Inputs!$D$7)^BJ$2))),(_xlfn.WEIBULL.DIST(BJ$2,$M111,$L111,FALSE)*$U111*((1+Inputs!$D$7)^BJ$2))),IF($N111=Lists!$K$3,IF($L111&lt;1,((($T111*(1-$F111)+$S111*(1-$G111))/$L111)*((1+Inputs!$D$7)^BJ$2)),((INT(BJ$2/$L111)-INT((BJ$2-1)/$L111))*($T111*(1-$F111)+$S111*(1-$G111))*((1+Inputs!$D$7)^BJ$2))),((_xlfn.WEIBULL.DIST(BJ$2,$M111,$L111,FALSE)*($T111*(1-$F111)+$S111*(1-$G111))*((1+Inputs!$D$7)^BJ$2))))))</f>
        <v>0</v>
      </c>
      <c r="BK111" s="88">
        <f>$E111*IF(BK$2&gt;Inputs!$D$5,0,IF(BK$2&gt;VLOOKUP($H111,Lists!$P$3:$Q$7,2),IF($N111=Lists!$K$3,IF($L111&lt;1,(($U111/$L111)*((1+Inputs!$D$7)^BK$2)),((INT(BK$2/$L111)-INT((BK$2-1)/$L111))*$U111*((1+Inputs!$D$7)^BK$2))),(_xlfn.WEIBULL.DIST(BK$2,$M111,$L111,FALSE)*$U111*((1+Inputs!$D$7)^BK$2))),IF($N111=Lists!$K$3,IF($L111&lt;1,((($T111*(1-$F111)+$S111*(1-$G111))/$L111)*((1+Inputs!$D$7)^BK$2)),((INT(BK$2/$L111)-INT((BK$2-1)/$L111))*($T111*(1-$F111)+$S111*(1-$G111))*((1+Inputs!$D$7)^BK$2))),((_xlfn.WEIBULL.DIST(BK$2,$M111,$L111,FALSE)*($T111*(1-$F111)+$S111*(1-$G111))*((1+Inputs!$D$7)^BK$2))))))</f>
        <v>0</v>
      </c>
      <c r="BL111" s="88">
        <f>$E111*IF(BL$2&gt;Inputs!$D$5,0,IF(BL$2&gt;VLOOKUP($H111,Lists!$P$3:$Q$7,2),IF($N111=Lists!$K$3,IF($L111&lt;1,(($U111/$L111)*((1+Inputs!$D$7)^BL$2)),((INT(BL$2/$L111)-INT((BL$2-1)/$L111))*$U111*((1+Inputs!$D$7)^BL$2))),(_xlfn.WEIBULL.DIST(BL$2,$M111,$L111,FALSE)*$U111*((1+Inputs!$D$7)^BL$2))),IF($N111=Lists!$K$3,IF($L111&lt;1,((($T111*(1-$F111)+$S111*(1-$G111))/$L111)*((1+Inputs!$D$7)^BL$2)),((INT(BL$2/$L111)-INT((BL$2-1)/$L111))*($T111*(1-$F111)+$S111*(1-$G111))*((1+Inputs!$D$7)^BL$2))),((_xlfn.WEIBULL.DIST(BL$2,$M111,$L111,FALSE)*($T111*(1-$F111)+$S111*(1-$G111))*((1+Inputs!$D$7)^BL$2))))))</f>
        <v>0</v>
      </c>
      <c r="BM111" s="88">
        <f>$E111*IF(BM$2&gt;Inputs!$D$5,0,IF(BM$2&gt;VLOOKUP($H111,Lists!$P$3:$Q$7,2),IF($N111=Lists!$K$3,IF($L111&lt;1,(($U111/$L111)*((1+Inputs!$D$7)^BM$2)),((INT(BM$2/$L111)-INT((BM$2-1)/$L111))*$U111*((1+Inputs!$D$7)^BM$2))),(_xlfn.WEIBULL.DIST(BM$2,$M111,$L111,FALSE)*$U111*((1+Inputs!$D$7)^BM$2))),IF($N111=Lists!$K$3,IF($L111&lt;1,((($T111*(1-$F111)+$S111*(1-$G111))/$L111)*((1+Inputs!$D$7)^BM$2)),((INT(BM$2/$L111)-INT((BM$2-1)/$L111))*($T111*(1-$F111)+$S111*(1-$G111))*((1+Inputs!$D$7)^BM$2))),((_xlfn.WEIBULL.DIST(BM$2,$M111,$L111,FALSE)*($T111*(1-$F111)+$S111*(1-$G111))*((1+Inputs!$D$7)^BM$2))))))</f>
        <v>0</v>
      </c>
      <c r="BN111" s="88">
        <f>$E111*IF(BN$2&gt;Inputs!$D$5,0,IF(BN$2&gt;VLOOKUP($H111,Lists!$P$3:$Q$7,2),IF($N111=Lists!$K$3,IF($L111&lt;1,(($U111/$L111)*((1+Inputs!$D$7)^BN$2)),((INT(BN$2/$L111)-INT((BN$2-1)/$L111))*$U111*((1+Inputs!$D$7)^BN$2))),(_xlfn.WEIBULL.DIST(BN$2,$M111,$L111,FALSE)*$U111*((1+Inputs!$D$7)^BN$2))),IF($N111=Lists!$K$3,IF($L111&lt;1,((($T111*(1-$F111)+$S111*(1-$G111))/$L111)*((1+Inputs!$D$7)^BN$2)),((INT(BN$2/$L111)-INT((BN$2-1)/$L111))*($T111*(1-$F111)+$S111*(1-$G111))*((1+Inputs!$D$7)^BN$2))),((_xlfn.WEIBULL.DIST(BN$2,$M111,$L111,FALSE)*($T111*(1-$F111)+$S111*(1-$G111))*((1+Inputs!$D$7)^BN$2))))))</f>
        <v>0</v>
      </c>
      <c r="BO111" s="64">
        <f>NPV(Inputs!$D$6,BQ111:DD111)</f>
        <v>0</v>
      </c>
      <c r="BP111" s="67">
        <f t="shared" si="27"/>
        <v>0</v>
      </c>
      <c r="BQ111" s="88">
        <f>MAX(AA111,($E111*IF(BQ$2&gt;Inputs!$D$5,0,IF(BQ$2&gt;VLOOKUP($H111,Lists!$P$3:$Q$7,2),IF($N111=Lists!$K$3,IF($L111&lt;1,(($U111/$L111)*((1+Inputs!$D$7)^BQ$2)),((INT(BQ$2/$L111)-INT((BQ$2-1)/$L111))*$U111*((1+Inputs!$D$7)^BQ$2))),(Inputs!$D$8^((1-_xlfn.WEIBULL.DIST(BQ$2,$M111,$L111,FALSE))/_xlfn.WEIBULL.DIST(BQ$2,$M111,$L111,FALSE))*$U111*((1+Inputs!$D$7)^BQ$2))),IF($N111=Lists!$K$3,IF($L111&lt;1,((($T111*(1-$F111)+$S111*(1-$G111))/$L111)*((1+Inputs!$D$7)^BQ$2)),((INT(BQ$2/$L111)-INT((BQ$2-1)/$L111))*($T111*(1-$F111)+$S111*(1-$G111))*((1+Inputs!$D$7)^BQ$2))),((Inputs!$D$8^((1-_xlfn.WEIBULL.DIST(BQ$2,$M111,$L111,FALSE))/_xlfn.WEIBULL.DIST(BQ$2,$M111,$L111,FALSE))*($T111*(1-$F111)+$S111*(1-$G111))*((1+Inputs!$D$7)^BQ$2))))))))</f>
        <v>0</v>
      </c>
      <c r="BR111" s="88">
        <f>MAX(AB111,($E111*IF(BR$2&gt;Inputs!$D$5,0,IF(BR$2&gt;VLOOKUP($H111,Lists!$P$3:$Q$7,2),IF($N111=Lists!$K$3,IF($L111&lt;1,(($U111/$L111)*((1+Inputs!$D$7)^BR$2)),((INT(BR$2/$L111)-INT((BR$2-1)/$L111))*$U111*((1+Inputs!$D$7)^BR$2))),(Inputs!$D$8^((1-_xlfn.WEIBULL.DIST(BR$2,$M111,$L111,FALSE))/_xlfn.WEIBULL.DIST(BR$2,$M111,$L111,FALSE))*$U111*((1+Inputs!$D$7)^BR$2))),IF($N111=Lists!$K$3,IF($L111&lt;1,((($T111*(1-$F111)+$S111*(1-$G111))/$L111)*((1+Inputs!$D$7)^BR$2)),((INT(BR$2/$L111)-INT((BR$2-1)/$L111))*($T111*(1-$F111)+$S111*(1-$G111))*((1+Inputs!$D$7)^BR$2))),((Inputs!$D$8^((1-_xlfn.WEIBULL.DIST(BR$2,$M111,$L111,FALSE))/_xlfn.WEIBULL.DIST(BR$2,$M111,$L111,FALSE))*($T111*(1-$F111)+$S111*(1-$G111))*((1+Inputs!$D$7)^BR$2))))))))</f>
        <v>0</v>
      </c>
      <c r="BS111" s="88">
        <f>MAX(AC111,($E111*IF(BS$2&gt;Inputs!$D$5,0,IF(BS$2&gt;VLOOKUP($H111,Lists!$P$3:$Q$7,2),IF($N111=Lists!$K$3,IF($L111&lt;1,(($U111/$L111)*((1+Inputs!$D$7)^BS$2)),((INT(BS$2/$L111)-INT((BS$2-1)/$L111))*$U111*((1+Inputs!$D$7)^BS$2))),(Inputs!$D$8^((1-_xlfn.WEIBULL.DIST(BS$2,$M111,$L111,FALSE))/_xlfn.WEIBULL.DIST(BS$2,$M111,$L111,FALSE))*$U111*((1+Inputs!$D$7)^BS$2))),IF($N111=Lists!$K$3,IF($L111&lt;1,((($T111*(1-$F111)+$S111*(1-$G111))/$L111)*((1+Inputs!$D$7)^BS$2)),((INT(BS$2/$L111)-INT((BS$2-1)/$L111))*($T111*(1-$F111)+$S111*(1-$G111))*((1+Inputs!$D$7)^BS$2))),((Inputs!$D$8^((1-_xlfn.WEIBULL.DIST(BS$2,$M111,$L111,FALSE))/_xlfn.WEIBULL.DIST(BS$2,$M111,$L111,FALSE))*($T111*(1-$F111)+$S111*(1-$G111))*((1+Inputs!$D$7)^BS$2))))))))</f>
        <v>0</v>
      </c>
      <c r="BT111" s="88">
        <f>MAX(AD111,($E111*IF(BT$2&gt;Inputs!$D$5,0,IF(BT$2&gt;VLOOKUP($H111,Lists!$P$3:$Q$7,2),IF($N111=Lists!$K$3,IF($L111&lt;1,(($U111/$L111)*((1+Inputs!$D$7)^BT$2)),((INT(BT$2/$L111)-INT((BT$2-1)/$L111))*$U111*((1+Inputs!$D$7)^BT$2))),(Inputs!$D$8^((1-_xlfn.WEIBULL.DIST(BT$2,$M111,$L111,FALSE))/_xlfn.WEIBULL.DIST(BT$2,$M111,$L111,FALSE))*$U111*((1+Inputs!$D$7)^BT$2))),IF($N111=Lists!$K$3,IF($L111&lt;1,((($T111*(1-$F111)+$S111*(1-$G111))/$L111)*((1+Inputs!$D$7)^BT$2)),((INT(BT$2/$L111)-INT((BT$2-1)/$L111))*($T111*(1-$F111)+$S111*(1-$G111))*((1+Inputs!$D$7)^BT$2))),((Inputs!$D$8^((1-_xlfn.WEIBULL.DIST(BT$2,$M111,$L111,FALSE))/_xlfn.WEIBULL.DIST(BT$2,$M111,$L111,FALSE))*($T111*(1-$F111)+$S111*(1-$G111))*((1+Inputs!$D$7)^BT$2))))))))</f>
        <v>0</v>
      </c>
      <c r="BU111" s="88">
        <f>MAX(AE111,($E111*IF(BU$2&gt;Inputs!$D$5,0,IF(BU$2&gt;VLOOKUP($H111,Lists!$P$3:$Q$7,2),IF($N111=Lists!$K$3,IF($L111&lt;1,(($U111/$L111)*((1+Inputs!$D$7)^BU$2)),((INT(BU$2/$L111)-INT((BU$2-1)/$L111))*$U111*((1+Inputs!$D$7)^BU$2))),(Inputs!$D$8^((1-_xlfn.WEIBULL.DIST(BU$2,$M111,$L111,FALSE))/_xlfn.WEIBULL.DIST(BU$2,$M111,$L111,FALSE))*$U111*((1+Inputs!$D$7)^BU$2))),IF($N111=Lists!$K$3,IF($L111&lt;1,((($T111*(1-$F111)+$S111*(1-$G111))/$L111)*((1+Inputs!$D$7)^BU$2)),((INT(BU$2/$L111)-INT((BU$2-1)/$L111))*($T111*(1-$F111)+$S111*(1-$G111))*((1+Inputs!$D$7)^BU$2))),((Inputs!$D$8^((1-_xlfn.WEIBULL.DIST(BU$2,$M111,$L111,FALSE))/_xlfn.WEIBULL.DIST(BU$2,$M111,$L111,FALSE))*($T111*(1-$F111)+$S111*(1-$G111))*((1+Inputs!$D$7)^BU$2))))))))</f>
        <v>0</v>
      </c>
      <c r="BV111" s="88">
        <f>MAX(AF111,($E111*IF(BV$2&gt;Inputs!$D$5,0,IF(BV$2&gt;VLOOKUP($H111,Lists!$P$3:$Q$7,2),IF($N111=Lists!$K$3,IF($L111&lt;1,(($U111/$L111)*((1+Inputs!$D$7)^BV$2)),((INT(BV$2/$L111)-INT((BV$2-1)/$L111))*$U111*((1+Inputs!$D$7)^BV$2))),(Inputs!$D$8^((1-_xlfn.WEIBULL.DIST(BV$2,$M111,$L111,FALSE))/_xlfn.WEIBULL.DIST(BV$2,$M111,$L111,FALSE))*$U111*((1+Inputs!$D$7)^BV$2))),IF($N111=Lists!$K$3,IF($L111&lt;1,((($T111*(1-$F111)+$S111*(1-$G111))/$L111)*((1+Inputs!$D$7)^BV$2)),((INT(BV$2/$L111)-INT((BV$2-1)/$L111))*($T111*(1-$F111)+$S111*(1-$G111))*((1+Inputs!$D$7)^BV$2))),((Inputs!$D$8^((1-_xlfn.WEIBULL.DIST(BV$2,$M111,$L111,FALSE))/_xlfn.WEIBULL.DIST(BV$2,$M111,$L111,FALSE))*($T111*(1-$F111)+$S111*(1-$G111))*((1+Inputs!$D$7)^BV$2))))))))</f>
        <v>0</v>
      </c>
      <c r="BW111" s="88">
        <f>MAX(AG111,($E111*IF(BW$2&gt;Inputs!$D$5,0,IF(BW$2&gt;VLOOKUP($H111,Lists!$P$3:$Q$7,2),IF($N111=Lists!$K$3,IF($L111&lt;1,(($U111/$L111)*((1+Inputs!$D$7)^BW$2)),((INT(BW$2/$L111)-INT((BW$2-1)/$L111))*$U111*((1+Inputs!$D$7)^BW$2))),(Inputs!$D$8^((1-_xlfn.WEIBULL.DIST(BW$2,$M111,$L111,FALSE))/_xlfn.WEIBULL.DIST(BW$2,$M111,$L111,FALSE))*$U111*((1+Inputs!$D$7)^BW$2))),IF($N111=Lists!$K$3,IF($L111&lt;1,((($T111*(1-$F111)+$S111*(1-$G111))/$L111)*((1+Inputs!$D$7)^BW$2)),((INT(BW$2/$L111)-INT((BW$2-1)/$L111))*($T111*(1-$F111)+$S111*(1-$G111))*((1+Inputs!$D$7)^BW$2))),((Inputs!$D$8^((1-_xlfn.WEIBULL.DIST(BW$2,$M111,$L111,FALSE))/_xlfn.WEIBULL.DIST(BW$2,$M111,$L111,FALSE))*($T111*(1-$F111)+$S111*(1-$G111))*((1+Inputs!$D$7)^BW$2))))))))</f>
        <v>0</v>
      </c>
      <c r="BX111" s="88">
        <f>MAX(AH111,($E111*IF(BX$2&gt;Inputs!$D$5,0,IF(BX$2&gt;VLOOKUP($H111,Lists!$P$3:$Q$7,2),IF($N111=Lists!$K$3,IF($L111&lt;1,(($U111/$L111)*((1+Inputs!$D$7)^BX$2)),((INT(BX$2/$L111)-INT((BX$2-1)/$L111))*$U111*((1+Inputs!$D$7)^BX$2))),(Inputs!$D$8^((1-_xlfn.WEIBULL.DIST(BX$2,$M111,$L111,FALSE))/_xlfn.WEIBULL.DIST(BX$2,$M111,$L111,FALSE))*$U111*((1+Inputs!$D$7)^BX$2))),IF($N111=Lists!$K$3,IF($L111&lt;1,((($T111*(1-$F111)+$S111*(1-$G111))/$L111)*((1+Inputs!$D$7)^BX$2)),((INT(BX$2/$L111)-INT((BX$2-1)/$L111))*($T111*(1-$F111)+$S111*(1-$G111))*((1+Inputs!$D$7)^BX$2))),((Inputs!$D$8^((1-_xlfn.WEIBULL.DIST(BX$2,$M111,$L111,FALSE))/_xlfn.WEIBULL.DIST(BX$2,$M111,$L111,FALSE))*($T111*(1-$F111)+$S111*(1-$G111))*((1+Inputs!$D$7)^BX$2))))))))</f>
        <v>0</v>
      </c>
      <c r="BY111" s="88">
        <f>MAX(AI111,($E111*IF(BY$2&gt;Inputs!$D$5,0,IF(BY$2&gt;VLOOKUP($H111,Lists!$P$3:$Q$7,2),IF($N111=Lists!$K$3,IF($L111&lt;1,(($U111/$L111)*((1+Inputs!$D$7)^BY$2)),((INT(BY$2/$L111)-INT((BY$2-1)/$L111))*$U111*((1+Inputs!$D$7)^BY$2))),(Inputs!$D$8^((1-_xlfn.WEIBULL.DIST(BY$2,$M111,$L111,FALSE))/_xlfn.WEIBULL.DIST(BY$2,$M111,$L111,FALSE))*$U111*((1+Inputs!$D$7)^BY$2))),IF($N111=Lists!$K$3,IF($L111&lt;1,((($T111*(1-$F111)+$S111*(1-$G111))/$L111)*((1+Inputs!$D$7)^BY$2)),((INT(BY$2/$L111)-INT((BY$2-1)/$L111))*($T111*(1-$F111)+$S111*(1-$G111))*((1+Inputs!$D$7)^BY$2))),((Inputs!$D$8^((1-_xlfn.WEIBULL.DIST(BY$2,$M111,$L111,FALSE))/_xlfn.WEIBULL.DIST(BY$2,$M111,$L111,FALSE))*($T111*(1-$F111)+$S111*(1-$G111))*((1+Inputs!$D$7)^BY$2))))))))</f>
        <v>0</v>
      </c>
      <c r="BZ111" s="88">
        <f>MAX(AJ111,($E111*IF(BZ$2&gt;Inputs!$D$5,0,IF(BZ$2&gt;VLOOKUP($H111,Lists!$P$3:$Q$7,2),IF($N111=Lists!$K$3,IF($L111&lt;1,(($U111/$L111)*((1+Inputs!$D$7)^BZ$2)),((INT(BZ$2/$L111)-INT((BZ$2-1)/$L111))*$U111*((1+Inputs!$D$7)^BZ$2))),(Inputs!$D$8^((1-_xlfn.WEIBULL.DIST(BZ$2,$M111,$L111,FALSE))/_xlfn.WEIBULL.DIST(BZ$2,$M111,$L111,FALSE))*$U111*((1+Inputs!$D$7)^BZ$2))),IF($N111=Lists!$K$3,IF($L111&lt;1,((($T111*(1-$F111)+$S111*(1-$G111))/$L111)*((1+Inputs!$D$7)^BZ$2)),((INT(BZ$2/$L111)-INT((BZ$2-1)/$L111))*($T111*(1-$F111)+$S111*(1-$G111))*((1+Inputs!$D$7)^BZ$2))),((Inputs!$D$8^((1-_xlfn.WEIBULL.DIST(BZ$2,$M111,$L111,FALSE))/_xlfn.WEIBULL.DIST(BZ$2,$M111,$L111,FALSE))*($T111*(1-$F111)+$S111*(1-$G111))*((1+Inputs!$D$7)^BZ$2))))))))</f>
        <v>0</v>
      </c>
      <c r="CA111" s="88">
        <f>MAX(AK111,($E111*IF(CA$2&gt;Inputs!$D$5,0,IF(CA$2&gt;VLOOKUP($H111,Lists!$P$3:$Q$7,2),IF($N111=Lists!$K$3,IF($L111&lt;1,(($U111/$L111)*((1+Inputs!$D$7)^CA$2)),((INT(CA$2/$L111)-INT((CA$2-1)/$L111))*$U111*((1+Inputs!$D$7)^CA$2))),(Inputs!$D$8^((1-_xlfn.WEIBULL.DIST(CA$2,$M111,$L111,FALSE))/_xlfn.WEIBULL.DIST(CA$2,$M111,$L111,FALSE))*$U111*((1+Inputs!$D$7)^CA$2))),IF($N111=Lists!$K$3,IF($L111&lt;1,((($T111*(1-$F111)+$S111*(1-$G111))/$L111)*((1+Inputs!$D$7)^CA$2)),((INT(CA$2/$L111)-INT((CA$2-1)/$L111))*($T111*(1-$F111)+$S111*(1-$G111))*((1+Inputs!$D$7)^CA$2))),((Inputs!$D$8^((1-_xlfn.WEIBULL.DIST(CA$2,$M111,$L111,FALSE))/_xlfn.WEIBULL.DIST(CA$2,$M111,$L111,FALSE))*($T111*(1-$F111)+$S111*(1-$G111))*((1+Inputs!$D$7)^CA$2))))))))</f>
        <v>0</v>
      </c>
      <c r="CB111" s="88">
        <f>MAX(AL111,($E111*IF(CB$2&gt;Inputs!$D$5,0,IF(CB$2&gt;VLOOKUP($H111,Lists!$P$3:$Q$7,2),IF($N111=Lists!$K$3,IF($L111&lt;1,(($U111/$L111)*((1+Inputs!$D$7)^CB$2)),((INT(CB$2/$L111)-INT((CB$2-1)/$L111))*$U111*((1+Inputs!$D$7)^CB$2))),(Inputs!$D$8^((1-_xlfn.WEIBULL.DIST(CB$2,$M111,$L111,FALSE))/_xlfn.WEIBULL.DIST(CB$2,$M111,$L111,FALSE))*$U111*((1+Inputs!$D$7)^CB$2))),IF($N111=Lists!$K$3,IF($L111&lt;1,((($T111*(1-$F111)+$S111*(1-$G111))/$L111)*((1+Inputs!$D$7)^CB$2)),((INT(CB$2/$L111)-INT((CB$2-1)/$L111))*($T111*(1-$F111)+$S111*(1-$G111))*((1+Inputs!$D$7)^CB$2))),((Inputs!$D$8^((1-_xlfn.WEIBULL.DIST(CB$2,$M111,$L111,FALSE))/_xlfn.WEIBULL.DIST(CB$2,$M111,$L111,FALSE))*($T111*(1-$F111)+$S111*(1-$G111))*((1+Inputs!$D$7)^CB$2))))))))</f>
        <v>0</v>
      </c>
      <c r="CC111" s="88">
        <f>MAX(AM111,($E111*IF(CC$2&gt;Inputs!$D$5,0,IF(CC$2&gt;VLOOKUP($H111,Lists!$P$3:$Q$7,2),IF($N111=Lists!$K$3,IF($L111&lt;1,(($U111/$L111)*((1+Inputs!$D$7)^CC$2)),((INT(CC$2/$L111)-INT((CC$2-1)/$L111))*$U111*((1+Inputs!$D$7)^CC$2))),(Inputs!$D$8^((1-_xlfn.WEIBULL.DIST(CC$2,$M111,$L111,FALSE))/_xlfn.WEIBULL.DIST(CC$2,$M111,$L111,FALSE))*$U111*((1+Inputs!$D$7)^CC$2))),IF($N111=Lists!$K$3,IF($L111&lt;1,((($T111*(1-$F111)+$S111*(1-$G111))/$L111)*((1+Inputs!$D$7)^CC$2)),((INT(CC$2/$L111)-INT((CC$2-1)/$L111))*($T111*(1-$F111)+$S111*(1-$G111))*((1+Inputs!$D$7)^CC$2))),((Inputs!$D$8^((1-_xlfn.WEIBULL.DIST(CC$2,$M111,$L111,FALSE))/_xlfn.WEIBULL.DIST(CC$2,$M111,$L111,FALSE))*($T111*(1-$F111)+$S111*(1-$G111))*((1+Inputs!$D$7)^CC$2))))))))</f>
        <v>0</v>
      </c>
      <c r="CD111" s="88">
        <f>MAX(AN111,($E111*IF(CD$2&gt;Inputs!$D$5,0,IF(CD$2&gt;VLOOKUP($H111,Lists!$P$3:$Q$7,2),IF($N111=Lists!$K$3,IF($L111&lt;1,(($U111/$L111)*((1+Inputs!$D$7)^CD$2)),((INT(CD$2/$L111)-INT((CD$2-1)/$L111))*$U111*((1+Inputs!$D$7)^CD$2))),(Inputs!$D$8^((1-_xlfn.WEIBULL.DIST(CD$2,$M111,$L111,FALSE))/_xlfn.WEIBULL.DIST(CD$2,$M111,$L111,FALSE))*$U111*((1+Inputs!$D$7)^CD$2))),IF($N111=Lists!$K$3,IF($L111&lt;1,((($T111*(1-$F111)+$S111*(1-$G111))/$L111)*((1+Inputs!$D$7)^CD$2)),((INT(CD$2/$L111)-INT((CD$2-1)/$L111))*($T111*(1-$F111)+$S111*(1-$G111))*((1+Inputs!$D$7)^CD$2))),((Inputs!$D$8^((1-_xlfn.WEIBULL.DIST(CD$2,$M111,$L111,FALSE))/_xlfn.WEIBULL.DIST(CD$2,$M111,$L111,FALSE))*($T111*(1-$F111)+$S111*(1-$G111))*((1+Inputs!$D$7)^CD$2))))))))</f>
        <v>0</v>
      </c>
      <c r="CE111" s="88">
        <f>MAX(AO111,($E111*IF(CE$2&gt;Inputs!$D$5,0,IF(CE$2&gt;VLOOKUP($H111,Lists!$P$3:$Q$7,2),IF($N111=Lists!$K$3,IF($L111&lt;1,(($U111/$L111)*((1+Inputs!$D$7)^CE$2)),((INT(CE$2/$L111)-INT((CE$2-1)/$L111))*$U111*((1+Inputs!$D$7)^CE$2))),(Inputs!$D$8^((1-_xlfn.WEIBULL.DIST(CE$2,$M111,$L111,FALSE))/_xlfn.WEIBULL.DIST(CE$2,$M111,$L111,FALSE))*$U111*((1+Inputs!$D$7)^CE$2))),IF($N111=Lists!$K$3,IF($L111&lt;1,((($T111*(1-$F111)+$S111*(1-$G111))/$L111)*((1+Inputs!$D$7)^CE$2)),((INT(CE$2/$L111)-INT((CE$2-1)/$L111))*($T111*(1-$F111)+$S111*(1-$G111))*((1+Inputs!$D$7)^CE$2))),((Inputs!$D$8^((1-_xlfn.WEIBULL.DIST(CE$2,$M111,$L111,FALSE))/_xlfn.WEIBULL.DIST(CE$2,$M111,$L111,FALSE))*($T111*(1-$F111)+$S111*(1-$G111))*((1+Inputs!$D$7)^CE$2))))))))</f>
        <v>0</v>
      </c>
      <c r="CF111" s="88">
        <f>MAX(AP111,($E111*IF(CF$2&gt;Inputs!$D$5,0,IF(CF$2&gt;VLOOKUP($H111,Lists!$P$3:$Q$7,2),IF($N111=Lists!$K$3,IF($L111&lt;1,(($U111/$L111)*((1+Inputs!$D$7)^CF$2)),((INT(CF$2/$L111)-INT((CF$2-1)/$L111))*$U111*((1+Inputs!$D$7)^CF$2))),(Inputs!$D$8^((1-_xlfn.WEIBULL.DIST(CF$2,$M111,$L111,FALSE))/_xlfn.WEIBULL.DIST(CF$2,$M111,$L111,FALSE))*$U111*((1+Inputs!$D$7)^CF$2))),IF($N111=Lists!$K$3,IF($L111&lt;1,((($T111*(1-$F111)+$S111*(1-$G111))/$L111)*((1+Inputs!$D$7)^CF$2)),((INT(CF$2/$L111)-INT((CF$2-1)/$L111))*($T111*(1-$F111)+$S111*(1-$G111))*((1+Inputs!$D$7)^CF$2))),((Inputs!$D$8^((1-_xlfn.WEIBULL.DIST(CF$2,$M111,$L111,FALSE))/_xlfn.WEIBULL.DIST(CF$2,$M111,$L111,FALSE))*($T111*(1-$F111)+$S111*(1-$G111))*((1+Inputs!$D$7)^CF$2))))))))</f>
        <v>0</v>
      </c>
      <c r="CG111" s="88">
        <f>MAX(AQ111,($E111*IF(CG$2&gt;Inputs!$D$5,0,IF(CG$2&gt;VLOOKUP($H111,Lists!$P$3:$Q$7,2),IF($N111=Lists!$K$3,IF($L111&lt;1,(($U111/$L111)*((1+Inputs!$D$7)^CG$2)),((INT(CG$2/$L111)-INT((CG$2-1)/$L111))*$U111*((1+Inputs!$D$7)^CG$2))),(Inputs!$D$8^((1-_xlfn.WEIBULL.DIST(CG$2,$M111,$L111,FALSE))/_xlfn.WEIBULL.DIST(CG$2,$M111,$L111,FALSE))*$U111*((1+Inputs!$D$7)^CG$2))),IF($N111=Lists!$K$3,IF($L111&lt;1,((($T111*(1-$F111)+$S111*(1-$G111))/$L111)*((1+Inputs!$D$7)^CG$2)),((INT(CG$2/$L111)-INT((CG$2-1)/$L111))*($T111*(1-$F111)+$S111*(1-$G111))*((1+Inputs!$D$7)^CG$2))),((Inputs!$D$8^((1-_xlfn.WEIBULL.DIST(CG$2,$M111,$L111,FALSE))/_xlfn.WEIBULL.DIST(CG$2,$M111,$L111,FALSE))*($T111*(1-$F111)+$S111*(1-$G111))*((1+Inputs!$D$7)^CG$2))))))))</f>
        <v>0</v>
      </c>
      <c r="CH111" s="88">
        <f>MAX(AR111,($E111*IF(CH$2&gt;Inputs!$D$5,0,IF(CH$2&gt;VLOOKUP($H111,Lists!$P$3:$Q$7,2),IF($N111=Lists!$K$3,IF($L111&lt;1,(($U111/$L111)*((1+Inputs!$D$7)^CH$2)),((INT(CH$2/$L111)-INT((CH$2-1)/$L111))*$U111*((1+Inputs!$D$7)^CH$2))),(Inputs!$D$8^((1-_xlfn.WEIBULL.DIST(CH$2,$M111,$L111,FALSE))/_xlfn.WEIBULL.DIST(CH$2,$M111,$L111,FALSE))*$U111*((1+Inputs!$D$7)^CH$2))),IF($N111=Lists!$K$3,IF($L111&lt;1,((($T111*(1-$F111)+$S111*(1-$G111))/$L111)*((1+Inputs!$D$7)^CH$2)),((INT(CH$2/$L111)-INT((CH$2-1)/$L111))*($T111*(1-$F111)+$S111*(1-$G111))*((1+Inputs!$D$7)^CH$2))),((Inputs!$D$8^((1-_xlfn.WEIBULL.DIST(CH$2,$M111,$L111,FALSE))/_xlfn.WEIBULL.DIST(CH$2,$M111,$L111,FALSE))*($T111*(1-$F111)+$S111*(1-$G111))*((1+Inputs!$D$7)^CH$2))))))))</f>
        <v>0</v>
      </c>
      <c r="CI111" s="88">
        <f>MAX(AS111,($E111*IF(CI$2&gt;Inputs!$D$5,0,IF(CI$2&gt;VLOOKUP($H111,Lists!$P$3:$Q$7,2),IF($N111=Lists!$K$3,IF($L111&lt;1,(($U111/$L111)*((1+Inputs!$D$7)^CI$2)),((INT(CI$2/$L111)-INT((CI$2-1)/$L111))*$U111*((1+Inputs!$D$7)^CI$2))),(Inputs!$D$8^((1-_xlfn.WEIBULL.DIST(CI$2,$M111,$L111,FALSE))/_xlfn.WEIBULL.DIST(CI$2,$M111,$L111,FALSE))*$U111*((1+Inputs!$D$7)^CI$2))),IF($N111=Lists!$K$3,IF($L111&lt;1,((($T111*(1-$F111)+$S111*(1-$G111))/$L111)*((1+Inputs!$D$7)^CI$2)),((INT(CI$2/$L111)-INT((CI$2-1)/$L111))*($T111*(1-$F111)+$S111*(1-$G111))*((1+Inputs!$D$7)^CI$2))),((Inputs!$D$8^((1-_xlfn.WEIBULL.DIST(CI$2,$M111,$L111,FALSE))/_xlfn.WEIBULL.DIST(CI$2,$M111,$L111,FALSE))*($T111*(1-$F111)+$S111*(1-$G111))*((1+Inputs!$D$7)^CI$2))))))))</f>
        <v>0</v>
      </c>
      <c r="CJ111" s="88">
        <f>MAX(AT111,($E111*IF(CJ$2&gt;Inputs!$D$5,0,IF(CJ$2&gt;VLOOKUP($H111,Lists!$P$3:$Q$7,2),IF($N111=Lists!$K$3,IF($L111&lt;1,(($U111/$L111)*((1+Inputs!$D$7)^CJ$2)),((INT(CJ$2/$L111)-INT((CJ$2-1)/$L111))*$U111*((1+Inputs!$D$7)^CJ$2))),(Inputs!$D$8^((1-_xlfn.WEIBULL.DIST(CJ$2,$M111,$L111,FALSE))/_xlfn.WEIBULL.DIST(CJ$2,$M111,$L111,FALSE))*$U111*((1+Inputs!$D$7)^CJ$2))),IF($N111=Lists!$K$3,IF($L111&lt;1,((($T111*(1-$F111)+$S111*(1-$G111))/$L111)*((1+Inputs!$D$7)^CJ$2)),((INT(CJ$2/$L111)-INT((CJ$2-1)/$L111))*($T111*(1-$F111)+$S111*(1-$G111))*((1+Inputs!$D$7)^CJ$2))),((Inputs!$D$8^((1-_xlfn.WEIBULL.DIST(CJ$2,$M111,$L111,FALSE))/_xlfn.WEIBULL.DIST(CJ$2,$M111,$L111,FALSE))*($T111*(1-$F111)+$S111*(1-$G111))*((1+Inputs!$D$7)^CJ$2))))))))</f>
        <v>0</v>
      </c>
      <c r="CK111" s="88">
        <f>MAX(AU111,($E111*IF(CK$2&gt;Inputs!$D$5,0,IF(CK$2&gt;VLOOKUP($H111,Lists!$P$3:$Q$7,2),IF($N111=Lists!$K$3,IF($L111&lt;1,(($U111/$L111)*((1+Inputs!$D$7)^CK$2)),((INT(CK$2/$L111)-INT((CK$2-1)/$L111))*$U111*((1+Inputs!$D$7)^CK$2))),(Inputs!$D$8^((1-_xlfn.WEIBULL.DIST(CK$2,$M111,$L111,FALSE))/_xlfn.WEIBULL.DIST(CK$2,$M111,$L111,FALSE))*$U111*((1+Inputs!$D$7)^CK$2))),IF($N111=Lists!$K$3,IF($L111&lt;1,((($T111*(1-$F111)+$S111*(1-$G111))/$L111)*((1+Inputs!$D$7)^CK$2)),((INT(CK$2/$L111)-INT((CK$2-1)/$L111))*($T111*(1-$F111)+$S111*(1-$G111))*((1+Inputs!$D$7)^CK$2))),((Inputs!$D$8^((1-_xlfn.WEIBULL.DIST(CK$2,$M111,$L111,FALSE))/_xlfn.WEIBULL.DIST(CK$2,$M111,$L111,FALSE))*($T111*(1-$F111)+$S111*(1-$G111))*((1+Inputs!$D$7)^CK$2))))))))</f>
        <v>0</v>
      </c>
      <c r="CL111" s="88">
        <f>MAX(AV111,($E111*IF(CL$2&gt;Inputs!$D$5,0,IF(CL$2&gt;VLOOKUP($H111,Lists!$P$3:$Q$7,2),IF($N111=Lists!$K$3,IF($L111&lt;1,(($U111/$L111)*((1+Inputs!$D$7)^CL$2)),((INT(CL$2/$L111)-INT((CL$2-1)/$L111))*$U111*((1+Inputs!$D$7)^CL$2))),(Inputs!$D$8^((1-_xlfn.WEIBULL.DIST(CL$2,$M111,$L111,FALSE))/_xlfn.WEIBULL.DIST(CL$2,$M111,$L111,FALSE))*$U111*((1+Inputs!$D$7)^CL$2))),IF($N111=Lists!$K$3,IF($L111&lt;1,((($T111*(1-$F111)+$S111*(1-$G111))/$L111)*((1+Inputs!$D$7)^CL$2)),((INT(CL$2/$L111)-INT((CL$2-1)/$L111))*($T111*(1-$F111)+$S111*(1-$G111))*((1+Inputs!$D$7)^CL$2))),((Inputs!$D$8^((1-_xlfn.WEIBULL.DIST(CL$2,$M111,$L111,FALSE))/_xlfn.WEIBULL.DIST(CL$2,$M111,$L111,FALSE))*($T111*(1-$F111)+$S111*(1-$G111))*((1+Inputs!$D$7)^CL$2))))))))</f>
        <v>0</v>
      </c>
      <c r="CM111" s="88">
        <f>MAX(AW111,($E111*IF(CM$2&gt;Inputs!$D$5,0,IF(CM$2&gt;VLOOKUP($H111,Lists!$P$3:$Q$7,2),IF($N111=Lists!$K$3,IF($L111&lt;1,(($U111/$L111)*((1+Inputs!$D$7)^CM$2)),((INT(CM$2/$L111)-INT((CM$2-1)/$L111))*$U111*((1+Inputs!$D$7)^CM$2))),(Inputs!$D$8^((1-_xlfn.WEIBULL.DIST(CM$2,$M111,$L111,FALSE))/_xlfn.WEIBULL.DIST(CM$2,$M111,$L111,FALSE))*$U111*((1+Inputs!$D$7)^CM$2))),IF($N111=Lists!$K$3,IF($L111&lt;1,((($T111*(1-$F111)+$S111*(1-$G111))/$L111)*((1+Inputs!$D$7)^CM$2)),((INT(CM$2/$L111)-INT((CM$2-1)/$L111))*($T111*(1-$F111)+$S111*(1-$G111))*((1+Inputs!$D$7)^CM$2))),((Inputs!$D$8^((1-_xlfn.WEIBULL.DIST(CM$2,$M111,$L111,FALSE))/_xlfn.WEIBULL.DIST(CM$2,$M111,$L111,FALSE))*($T111*(1-$F111)+$S111*(1-$G111))*((1+Inputs!$D$7)^CM$2))))))))</f>
        <v>0</v>
      </c>
      <c r="CN111" s="88">
        <f>MAX(AX111,($E111*IF(CN$2&gt;Inputs!$D$5,0,IF(CN$2&gt;VLOOKUP($H111,Lists!$P$3:$Q$7,2),IF($N111=Lists!$K$3,IF($L111&lt;1,(($U111/$L111)*((1+Inputs!$D$7)^CN$2)),((INT(CN$2/$L111)-INT((CN$2-1)/$L111))*$U111*((1+Inputs!$D$7)^CN$2))),(Inputs!$D$8^((1-_xlfn.WEIBULL.DIST(CN$2,$M111,$L111,FALSE))/_xlfn.WEIBULL.DIST(CN$2,$M111,$L111,FALSE))*$U111*((1+Inputs!$D$7)^CN$2))),IF($N111=Lists!$K$3,IF($L111&lt;1,((($T111*(1-$F111)+$S111*(1-$G111))/$L111)*((1+Inputs!$D$7)^CN$2)),((INT(CN$2/$L111)-INT((CN$2-1)/$L111))*($T111*(1-$F111)+$S111*(1-$G111))*((1+Inputs!$D$7)^CN$2))),((Inputs!$D$8^((1-_xlfn.WEIBULL.DIST(CN$2,$M111,$L111,FALSE))/_xlfn.WEIBULL.DIST(CN$2,$M111,$L111,FALSE))*($T111*(1-$F111)+$S111*(1-$G111))*((1+Inputs!$D$7)^CN$2))))))))</f>
        <v>0</v>
      </c>
      <c r="CO111" s="88">
        <f>MAX(AY111,($E111*IF(CO$2&gt;Inputs!$D$5,0,IF(CO$2&gt;VLOOKUP($H111,Lists!$P$3:$Q$7,2),IF($N111=Lists!$K$3,IF($L111&lt;1,(($U111/$L111)*((1+Inputs!$D$7)^CO$2)),((INT(CO$2/$L111)-INT((CO$2-1)/$L111))*$U111*((1+Inputs!$D$7)^CO$2))),(Inputs!$D$8^((1-_xlfn.WEIBULL.DIST(CO$2,$M111,$L111,FALSE))/_xlfn.WEIBULL.DIST(CO$2,$M111,$L111,FALSE))*$U111*((1+Inputs!$D$7)^CO$2))),IF($N111=Lists!$K$3,IF($L111&lt;1,((($T111*(1-$F111)+$S111*(1-$G111))/$L111)*((1+Inputs!$D$7)^CO$2)),((INT(CO$2/$L111)-INT((CO$2-1)/$L111))*($T111*(1-$F111)+$S111*(1-$G111))*((1+Inputs!$D$7)^CO$2))),((Inputs!$D$8^((1-_xlfn.WEIBULL.DIST(CO$2,$M111,$L111,FALSE))/_xlfn.WEIBULL.DIST(CO$2,$M111,$L111,FALSE))*($T111*(1-$F111)+$S111*(1-$G111))*((1+Inputs!$D$7)^CO$2))))))))</f>
        <v>0</v>
      </c>
      <c r="CP111" s="88">
        <f>MAX(AZ111,($E111*IF(CP$2&gt;Inputs!$D$5,0,IF(CP$2&gt;VLOOKUP($H111,Lists!$P$3:$Q$7,2),IF($N111=Lists!$K$3,IF($L111&lt;1,(($U111/$L111)*((1+Inputs!$D$7)^CP$2)),((INT(CP$2/$L111)-INT((CP$2-1)/$L111))*$U111*((1+Inputs!$D$7)^CP$2))),(Inputs!$D$8^((1-_xlfn.WEIBULL.DIST(CP$2,$M111,$L111,FALSE))/_xlfn.WEIBULL.DIST(CP$2,$M111,$L111,FALSE))*$U111*((1+Inputs!$D$7)^CP$2))),IF($N111=Lists!$K$3,IF($L111&lt;1,((($T111*(1-$F111)+$S111*(1-$G111))/$L111)*((1+Inputs!$D$7)^CP$2)),((INT(CP$2/$L111)-INT((CP$2-1)/$L111))*($T111*(1-$F111)+$S111*(1-$G111))*((1+Inputs!$D$7)^CP$2))),((Inputs!$D$8^((1-_xlfn.WEIBULL.DIST(CP$2,$M111,$L111,FALSE))/_xlfn.WEIBULL.DIST(CP$2,$M111,$L111,FALSE))*($T111*(1-$F111)+$S111*(1-$G111))*((1+Inputs!$D$7)^CP$2))))))))</f>
        <v>0</v>
      </c>
      <c r="CQ111" s="88">
        <f>MAX(BA111,($E111*IF(CQ$2&gt;Inputs!$D$5,0,IF(CQ$2&gt;VLOOKUP($H111,Lists!$P$3:$Q$7,2),IF($N111=Lists!$K$3,IF($L111&lt;1,(($U111/$L111)*((1+Inputs!$D$7)^CQ$2)),((INT(CQ$2/$L111)-INT((CQ$2-1)/$L111))*$U111*((1+Inputs!$D$7)^CQ$2))),(Inputs!$D$8^((1-_xlfn.WEIBULL.DIST(CQ$2,$M111,$L111,FALSE))/_xlfn.WEIBULL.DIST(CQ$2,$M111,$L111,FALSE))*$U111*((1+Inputs!$D$7)^CQ$2))),IF($N111=Lists!$K$3,IF($L111&lt;1,((($T111*(1-$F111)+$S111*(1-$G111))/$L111)*((1+Inputs!$D$7)^CQ$2)),((INT(CQ$2/$L111)-INT((CQ$2-1)/$L111))*($T111*(1-$F111)+$S111*(1-$G111))*((1+Inputs!$D$7)^CQ$2))),((Inputs!$D$8^((1-_xlfn.WEIBULL.DIST(CQ$2,$M111,$L111,FALSE))/_xlfn.WEIBULL.DIST(CQ$2,$M111,$L111,FALSE))*($T111*(1-$F111)+$S111*(1-$G111))*((1+Inputs!$D$7)^CQ$2))))))))</f>
        <v>0</v>
      </c>
      <c r="CR111" s="88">
        <f>MAX(BB111,($E111*IF(CR$2&gt;Inputs!$D$5,0,IF(CR$2&gt;VLOOKUP($H111,Lists!$P$3:$Q$7,2),IF($N111=Lists!$K$3,IF($L111&lt;1,(($U111/$L111)*((1+Inputs!$D$7)^CR$2)),((INT(CR$2/$L111)-INT((CR$2-1)/$L111))*$U111*((1+Inputs!$D$7)^CR$2))),(Inputs!$D$8^((1-_xlfn.WEIBULL.DIST(CR$2,$M111,$L111,FALSE))/_xlfn.WEIBULL.DIST(CR$2,$M111,$L111,FALSE))*$U111*((1+Inputs!$D$7)^CR$2))),IF($N111=Lists!$K$3,IF($L111&lt;1,((($T111*(1-$F111)+$S111*(1-$G111))/$L111)*((1+Inputs!$D$7)^CR$2)),((INT(CR$2/$L111)-INT((CR$2-1)/$L111))*($T111*(1-$F111)+$S111*(1-$G111))*((1+Inputs!$D$7)^CR$2))),((Inputs!$D$8^((1-_xlfn.WEIBULL.DIST(CR$2,$M111,$L111,FALSE))/_xlfn.WEIBULL.DIST(CR$2,$M111,$L111,FALSE))*($T111*(1-$F111)+$S111*(1-$G111))*((1+Inputs!$D$7)^CR$2))))))))</f>
        <v>0</v>
      </c>
      <c r="CS111" s="88">
        <f>MAX(BC111,($E111*IF(CS$2&gt;Inputs!$D$5,0,IF(CS$2&gt;VLOOKUP($H111,Lists!$P$3:$Q$7,2),IF($N111=Lists!$K$3,IF($L111&lt;1,(($U111/$L111)*((1+Inputs!$D$7)^CS$2)),((INT(CS$2/$L111)-INT((CS$2-1)/$L111))*$U111*((1+Inputs!$D$7)^CS$2))),(Inputs!$D$8^((1-_xlfn.WEIBULL.DIST(CS$2,$M111,$L111,FALSE))/_xlfn.WEIBULL.DIST(CS$2,$M111,$L111,FALSE))*$U111*((1+Inputs!$D$7)^CS$2))),IF($N111=Lists!$K$3,IF($L111&lt;1,((($T111*(1-$F111)+$S111*(1-$G111))/$L111)*((1+Inputs!$D$7)^CS$2)),((INT(CS$2/$L111)-INT((CS$2-1)/$L111))*($T111*(1-$F111)+$S111*(1-$G111))*((1+Inputs!$D$7)^CS$2))),((Inputs!$D$8^((1-_xlfn.WEIBULL.DIST(CS$2,$M111,$L111,FALSE))/_xlfn.WEIBULL.DIST(CS$2,$M111,$L111,FALSE))*($T111*(1-$F111)+$S111*(1-$G111))*((1+Inputs!$D$7)^CS$2))))))))</f>
        <v>0</v>
      </c>
      <c r="CT111" s="88">
        <f>MAX(BD111,($E111*IF(CT$2&gt;Inputs!$D$5,0,IF(CT$2&gt;VLOOKUP($H111,Lists!$P$3:$Q$7,2),IF($N111=Lists!$K$3,IF($L111&lt;1,(($U111/$L111)*((1+Inputs!$D$7)^CT$2)),((INT(CT$2/$L111)-INT((CT$2-1)/$L111))*$U111*((1+Inputs!$D$7)^CT$2))),(Inputs!$D$8^((1-_xlfn.WEIBULL.DIST(CT$2,$M111,$L111,FALSE))/_xlfn.WEIBULL.DIST(CT$2,$M111,$L111,FALSE))*$U111*((1+Inputs!$D$7)^CT$2))),IF($N111=Lists!$K$3,IF($L111&lt;1,((($T111*(1-$F111)+$S111*(1-$G111))/$L111)*((1+Inputs!$D$7)^CT$2)),((INT(CT$2/$L111)-INT((CT$2-1)/$L111))*($T111*(1-$F111)+$S111*(1-$G111))*((1+Inputs!$D$7)^CT$2))),((Inputs!$D$8^((1-_xlfn.WEIBULL.DIST(CT$2,$M111,$L111,FALSE))/_xlfn.WEIBULL.DIST(CT$2,$M111,$L111,FALSE))*($T111*(1-$F111)+$S111*(1-$G111))*((1+Inputs!$D$7)^CT$2))))))))</f>
        <v>0</v>
      </c>
      <c r="CU111" s="88">
        <f>MAX(BE111,($E111*IF(CU$2&gt;Inputs!$D$5,0,IF(CU$2&gt;VLOOKUP($H111,Lists!$P$3:$Q$7,2),IF($N111=Lists!$K$3,IF($L111&lt;1,(($U111/$L111)*((1+Inputs!$D$7)^CU$2)),((INT(CU$2/$L111)-INT((CU$2-1)/$L111))*$U111*((1+Inputs!$D$7)^CU$2))),(Inputs!$D$8^((1-_xlfn.WEIBULL.DIST(CU$2,$M111,$L111,FALSE))/_xlfn.WEIBULL.DIST(CU$2,$M111,$L111,FALSE))*$U111*((1+Inputs!$D$7)^CU$2))),IF($N111=Lists!$K$3,IF($L111&lt;1,((($T111*(1-$F111)+$S111*(1-$G111))/$L111)*((1+Inputs!$D$7)^CU$2)),((INT(CU$2/$L111)-INT((CU$2-1)/$L111))*($T111*(1-$F111)+$S111*(1-$G111))*((1+Inputs!$D$7)^CU$2))),((Inputs!$D$8^((1-_xlfn.WEIBULL.DIST(CU$2,$M111,$L111,FALSE))/_xlfn.WEIBULL.DIST(CU$2,$M111,$L111,FALSE))*($T111*(1-$F111)+$S111*(1-$G111))*((1+Inputs!$D$7)^CU$2))))))))</f>
        <v>0</v>
      </c>
      <c r="CV111" s="88">
        <f>MAX(BF111,($E111*IF(CV$2&gt;Inputs!$D$5,0,IF(CV$2&gt;VLOOKUP($H111,Lists!$P$3:$Q$7,2),IF($N111=Lists!$K$3,IF($L111&lt;1,(($U111/$L111)*((1+Inputs!$D$7)^CV$2)),((INT(CV$2/$L111)-INT((CV$2-1)/$L111))*$U111*((1+Inputs!$D$7)^CV$2))),(Inputs!$D$8^((1-_xlfn.WEIBULL.DIST(CV$2,$M111,$L111,FALSE))/_xlfn.WEIBULL.DIST(CV$2,$M111,$L111,FALSE))*$U111*((1+Inputs!$D$7)^CV$2))),IF($N111=Lists!$K$3,IF($L111&lt;1,((($T111*(1-$F111)+$S111*(1-$G111))/$L111)*((1+Inputs!$D$7)^CV$2)),((INT(CV$2/$L111)-INT((CV$2-1)/$L111))*($T111*(1-$F111)+$S111*(1-$G111))*((1+Inputs!$D$7)^CV$2))),((Inputs!$D$8^((1-_xlfn.WEIBULL.DIST(CV$2,$M111,$L111,FALSE))/_xlfn.WEIBULL.DIST(CV$2,$M111,$L111,FALSE))*($T111*(1-$F111)+$S111*(1-$G111))*((1+Inputs!$D$7)^CV$2))))))))</f>
        <v>0</v>
      </c>
      <c r="CW111" s="88">
        <f>MAX(BG111,($E111*IF(CW$2&gt;Inputs!$D$5,0,IF(CW$2&gt;VLOOKUP($H111,Lists!$P$3:$Q$7,2),IF($N111=Lists!$K$3,IF($L111&lt;1,(($U111/$L111)*((1+Inputs!$D$7)^CW$2)),((INT(CW$2/$L111)-INT((CW$2-1)/$L111))*$U111*((1+Inputs!$D$7)^CW$2))),(Inputs!$D$8^((1-_xlfn.WEIBULL.DIST(CW$2,$M111,$L111,FALSE))/_xlfn.WEIBULL.DIST(CW$2,$M111,$L111,FALSE))*$U111*((1+Inputs!$D$7)^CW$2))),IF($N111=Lists!$K$3,IF($L111&lt;1,((($T111*(1-$F111)+$S111*(1-$G111))/$L111)*((1+Inputs!$D$7)^CW$2)),((INT(CW$2/$L111)-INT((CW$2-1)/$L111))*($T111*(1-$F111)+$S111*(1-$G111))*((1+Inputs!$D$7)^CW$2))),((Inputs!$D$8^((1-_xlfn.WEIBULL.DIST(CW$2,$M111,$L111,FALSE))/_xlfn.WEIBULL.DIST(CW$2,$M111,$L111,FALSE))*($T111*(1-$F111)+$S111*(1-$G111))*((1+Inputs!$D$7)^CW$2))))))))</f>
        <v>0</v>
      </c>
      <c r="CX111" s="88">
        <f>MAX(BH111,($E111*IF(CX$2&gt;Inputs!$D$5,0,IF(CX$2&gt;VLOOKUP($H111,Lists!$P$3:$Q$7,2),IF($N111=Lists!$K$3,IF($L111&lt;1,(($U111/$L111)*((1+Inputs!$D$7)^CX$2)),((INT(CX$2/$L111)-INT((CX$2-1)/$L111))*$U111*((1+Inputs!$D$7)^CX$2))),(Inputs!$D$8^((1-_xlfn.WEIBULL.DIST(CX$2,$M111,$L111,FALSE))/_xlfn.WEIBULL.DIST(CX$2,$M111,$L111,FALSE))*$U111*((1+Inputs!$D$7)^CX$2))),IF($N111=Lists!$K$3,IF($L111&lt;1,((($T111*(1-$F111)+$S111*(1-$G111))/$L111)*((1+Inputs!$D$7)^CX$2)),((INT(CX$2/$L111)-INT((CX$2-1)/$L111))*($T111*(1-$F111)+$S111*(1-$G111))*((1+Inputs!$D$7)^CX$2))),((Inputs!$D$8^((1-_xlfn.WEIBULL.DIST(CX$2,$M111,$L111,FALSE))/_xlfn.WEIBULL.DIST(CX$2,$M111,$L111,FALSE))*($T111*(1-$F111)+$S111*(1-$G111))*((1+Inputs!$D$7)^CX$2))))))))</f>
        <v>0</v>
      </c>
      <c r="CY111" s="88">
        <f>MAX(BI111,($E111*IF(CY$2&gt;Inputs!$D$5,0,IF(CY$2&gt;VLOOKUP($H111,Lists!$P$3:$Q$7,2),IF($N111=Lists!$K$3,IF($L111&lt;1,(($U111/$L111)*((1+Inputs!$D$7)^CY$2)),((INT(CY$2/$L111)-INT((CY$2-1)/$L111))*$U111*((1+Inputs!$D$7)^CY$2))),(Inputs!$D$8^((1-_xlfn.WEIBULL.DIST(CY$2,$M111,$L111,FALSE))/_xlfn.WEIBULL.DIST(CY$2,$M111,$L111,FALSE))*$U111*((1+Inputs!$D$7)^CY$2))),IF($N111=Lists!$K$3,IF($L111&lt;1,((($T111*(1-$F111)+$S111*(1-$G111))/$L111)*((1+Inputs!$D$7)^CY$2)),((INT(CY$2/$L111)-INT((CY$2-1)/$L111))*($T111*(1-$F111)+$S111*(1-$G111))*((1+Inputs!$D$7)^CY$2))),((Inputs!$D$8^((1-_xlfn.WEIBULL.DIST(CY$2,$M111,$L111,FALSE))/_xlfn.WEIBULL.DIST(CY$2,$M111,$L111,FALSE))*($T111*(1-$F111)+$S111*(1-$G111))*((1+Inputs!$D$7)^CY$2))))))))</f>
        <v>0</v>
      </c>
      <c r="CZ111" s="88">
        <f>MAX(BJ111,($E111*IF(CZ$2&gt;Inputs!$D$5,0,IF(CZ$2&gt;VLOOKUP($H111,Lists!$P$3:$Q$7,2),IF($N111=Lists!$K$3,IF($L111&lt;1,(($U111/$L111)*((1+Inputs!$D$7)^CZ$2)),((INT(CZ$2/$L111)-INT((CZ$2-1)/$L111))*$U111*((1+Inputs!$D$7)^CZ$2))),(Inputs!$D$8^((1-_xlfn.WEIBULL.DIST(CZ$2,$M111,$L111,FALSE))/_xlfn.WEIBULL.DIST(CZ$2,$M111,$L111,FALSE))*$U111*((1+Inputs!$D$7)^CZ$2))),IF($N111=Lists!$K$3,IF($L111&lt;1,((($T111*(1-$F111)+$S111*(1-$G111))/$L111)*((1+Inputs!$D$7)^CZ$2)),((INT(CZ$2/$L111)-INT((CZ$2-1)/$L111))*($T111*(1-$F111)+$S111*(1-$G111))*((1+Inputs!$D$7)^CZ$2))),((Inputs!$D$8^((1-_xlfn.WEIBULL.DIST(CZ$2,$M111,$L111,FALSE))/_xlfn.WEIBULL.DIST(CZ$2,$M111,$L111,FALSE))*($T111*(1-$F111)+$S111*(1-$G111))*((1+Inputs!$D$7)^CZ$2))))))))</f>
        <v>0</v>
      </c>
      <c r="DA111" s="88">
        <f>MAX(BK111,($E111*IF(DA$2&gt;Inputs!$D$5,0,IF(DA$2&gt;VLOOKUP($H111,Lists!$P$3:$Q$7,2),IF($N111=Lists!$K$3,IF($L111&lt;1,(($U111/$L111)*((1+Inputs!$D$7)^DA$2)),((INT(DA$2/$L111)-INT((DA$2-1)/$L111))*$U111*((1+Inputs!$D$7)^DA$2))),(Inputs!$D$8^((1-_xlfn.WEIBULL.DIST(DA$2,$M111,$L111,FALSE))/_xlfn.WEIBULL.DIST(DA$2,$M111,$L111,FALSE))*$U111*((1+Inputs!$D$7)^DA$2))),IF($N111=Lists!$K$3,IF($L111&lt;1,((($T111*(1-$F111)+$S111*(1-$G111))/$L111)*((1+Inputs!$D$7)^DA$2)),((INT(DA$2/$L111)-INT((DA$2-1)/$L111))*($T111*(1-$F111)+$S111*(1-$G111))*((1+Inputs!$D$7)^DA$2))),((Inputs!$D$8^((1-_xlfn.WEIBULL.DIST(DA$2,$M111,$L111,FALSE))/_xlfn.WEIBULL.DIST(DA$2,$M111,$L111,FALSE))*($T111*(1-$F111)+$S111*(1-$G111))*((1+Inputs!$D$7)^DA$2))))))))</f>
        <v>0</v>
      </c>
      <c r="DB111" s="88">
        <f>MAX(BL111,($E111*IF(DB$2&gt;Inputs!$D$5,0,IF(DB$2&gt;VLOOKUP($H111,Lists!$P$3:$Q$7,2),IF($N111=Lists!$K$3,IF($L111&lt;1,(($U111/$L111)*((1+Inputs!$D$7)^DB$2)),((INT(DB$2/$L111)-INT((DB$2-1)/$L111))*$U111*((1+Inputs!$D$7)^DB$2))),(Inputs!$D$8^((1-_xlfn.WEIBULL.DIST(DB$2,$M111,$L111,FALSE))/_xlfn.WEIBULL.DIST(DB$2,$M111,$L111,FALSE))*$U111*((1+Inputs!$D$7)^DB$2))),IF($N111=Lists!$K$3,IF($L111&lt;1,((($T111*(1-$F111)+$S111*(1-$G111))/$L111)*((1+Inputs!$D$7)^DB$2)),((INT(DB$2/$L111)-INT((DB$2-1)/$L111))*($T111*(1-$F111)+$S111*(1-$G111))*((1+Inputs!$D$7)^DB$2))),((Inputs!$D$8^((1-_xlfn.WEIBULL.DIST(DB$2,$M111,$L111,FALSE))/_xlfn.WEIBULL.DIST(DB$2,$M111,$L111,FALSE))*($T111*(1-$F111)+$S111*(1-$G111))*((1+Inputs!$D$7)^DB$2))))))))</f>
        <v>0</v>
      </c>
      <c r="DC111" s="88">
        <f>MAX(BM111,($E111*IF(DC$2&gt;Inputs!$D$5,0,IF(DC$2&gt;VLOOKUP($H111,Lists!$P$3:$Q$7,2),IF($N111=Lists!$K$3,IF($L111&lt;1,(($U111/$L111)*((1+Inputs!$D$7)^DC$2)),((INT(DC$2/$L111)-INT((DC$2-1)/$L111))*$U111*((1+Inputs!$D$7)^DC$2))),(Inputs!$D$8^((1-_xlfn.WEIBULL.DIST(DC$2,$M111,$L111,FALSE))/_xlfn.WEIBULL.DIST(DC$2,$M111,$L111,FALSE))*$U111*((1+Inputs!$D$7)^DC$2))),IF($N111=Lists!$K$3,IF($L111&lt;1,((($T111*(1-$F111)+$S111*(1-$G111))/$L111)*((1+Inputs!$D$7)^DC$2)),((INT(DC$2/$L111)-INT((DC$2-1)/$L111))*($T111*(1-$F111)+$S111*(1-$G111))*((1+Inputs!$D$7)^DC$2))),((Inputs!$D$8^((1-_xlfn.WEIBULL.DIST(DC$2,$M111,$L111,FALSE))/_xlfn.WEIBULL.DIST(DC$2,$M111,$L111,FALSE))*($T111*(1-$F111)+$S111*(1-$G111))*((1+Inputs!$D$7)^DC$2))))))))</f>
        <v>0</v>
      </c>
      <c r="DD111" s="88">
        <f>MAX(BN111,($E111*IF(DD$2&gt;Inputs!$D$5,0,IF(DD$2&gt;VLOOKUP($H111,Lists!$P$3:$Q$7,2),IF($N111=Lists!$K$3,IF($L111&lt;1,(($U111/$L111)*((1+Inputs!$D$7)^DD$2)),((INT(DD$2/$L111)-INT((DD$2-1)/$L111))*$U111*((1+Inputs!$D$7)^DD$2))),(Inputs!$D$8^((1-_xlfn.WEIBULL.DIST(DD$2,$M111,$L111,FALSE))/_xlfn.WEIBULL.DIST(DD$2,$M111,$L111,FALSE))*$U111*((1+Inputs!$D$7)^DD$2))),IF($N111=Lists!$K$3,IF($L111&lt;1,((($T111*(1-$F111)+$S111*(1-$G111))/$L111)*((1+Inputs!$D$7)^DD$2)),((INT(DD$2/$L111)-INT((DD$2-1)/$L111))*($T111*(1-$F111)+$S111*(1-$G111))*((1+Inputs!$D$7)^DD$2))),((Inputs!$D$8^((1-_xlfn.WEIBULL.DIST(DD$2,$M111,$L111,FALSE))/_xlfn.WEIBULL.DIST(DD$2,$M111,$L111,FALSE))*($T111*(1-$F111)+$S111*(1-$G111))*((1+Inputs!$D$7)^DD$2))))))))</f>
        <v>0</v>
      </c>
    </row>
    <row r="112" spans="1:108" ht="80">
      <c r="A112" s="57" t="s">
        <v>141</v>
      </c>
      <c r="B112" s="13" t="s">
        <v>279</v>
      </c>
      <c r="C112" s="13" t="s">
        <v>90</v>
      </c>
      <c r="D112" s="13" t="s">
        <v>30</v>
      </c>
      <c r="E112" s="48">
        <v>1</v>
      </c>
      <c r="F112" s="48">
        <v>0</v>
      </c>
      <c r="G112" s="48">
        <v>0</v>
      </c>
      <c r="H112" s="105" t="s">
        <v>350</v>
      </c>
      <c r="I112" s="14" t="s">
        <v>262</v>
      </c>
      <c r="J112" s="14" t="s">
        <v>246</v>
      </c>
      <c r="K112" s="13">
        <f>VLOOKUP(J112,'Labor Rates'!$A$1:$F$16,2)</f>
        <v>33.119999999999997</v>
      </c>
      <c r="L112" s="15">
        <v>2</v>
      </c>
      <c r="M112" s="15">
        <v>1</v>
      </c>
      <c r="N112" s="13" t="s">
        <v>236</v>
      </c>
      <c r="O112" s="61">
        <f>Inputs!$D$50</f>
        <v>52.619970193740691</v>
      </c>
      <c r="P112" s="15">
        <v>0.5</v>
      </c>
      <c r="Q112" s="15">
        <f t="shared" si="21"/>
        <v>13.154992548435173</v>
      </c>
      <c r="R112" s="4">
        <v>0</v>
      </c>
      <c r="S112" s="53">
        <f t="shared" si="22"/>
        <v>871.38670640834573</v>
      </c>
      <c r="T112" s="53">
        <f t="shared" si="23"/>
        <v>0</v>
      </c>
      <c r="U112" s="54">
        <f t="shared" si="24"/>
        <v>871.38670640834573</v>
      </c>
      <c r="V112" s="65"/>
      <c r="W112" s="58"/>
      <c r="X112" s="64">
        <f t="shared" si="25"/>
        <v>545.24183681238821</v>
      </c>
      <c r="Y112" s="64">
        <f>NPV(Inputs!$D$6,AA112:BN112)</f>
        <v>5924.5229861138841</v>
      </c>
      <c r="Z112" s="67">
        <f t="shared" si="26"/>
        <v>2.7942942796575984E-3</v>
      </c>
      <c r="AA112" s="88">
        <f>$E112*IF(AA$2&gt;Inputs!$D$5,0,IF(AA$2&gt;VLOOKUP($H112,Lists!$P$3:$Q$7,2),IF($N112=Lists!$K$3,IF($L112&lt;1,(($U112/$L112)*((1+Inputs!$D$7)^AA$2)),((INT(AA$2/$L112)-INT((AA$2-1)/$L112))*$U112*((1+Inputs!$D$7)^AA$2))),(_xlfn.WEIBULL.DIST(AA$2,$M112,$L112,FALSE)*$U112*((1+Inputs!$D$7)^AA$2))),IF($N112=Lists!$K$3,IF($L112&lt;1,((($T112*(1-$F112)+$S112*(1-$G112))/$L112)*((1+Inputs!$D$7)^AA$2)),((INT(AA$2/$L112)-INT((AA$2-1)/$L112))*($T112*(1-$F112)+$S112*(1-$G112))*((1+Inputs!$D$7)^AA$2))),((_xlfn.WEIBULL.DIST(AA$2,$M112,$L112,FALSE)*($T112*(1-$F112)+$S112*(1-$G112))*((1+Inputs!$D$7)^AA$2))))))</f>
        <v>0</v>
      </c>
      <c r="AB112" s="88">
        <f>$E112*IF(AB$2&gt;Inputs!$D$5,0,IF(AB$2&gt;VLOOKUP($H112,Lists!$P$3:$Q$7,2),IF($N112=Lists!$K$3,IF($L112&lt;1,(($U112/$L112)*((1+Inputs!$D$7)^AB$2)),((INT(AB$2/$L112)-INT((AB$2-1)/$L112))*$U112*((1+Inputs!$D$7)^AB$2))),(_xlfn.WEIBULL.DIST(AB$2,$M112,$L112,FALSE)*$U112*((1+Inputs!$D$7)^AB$2))),IF($N112=Lists!$K$3,IF($L112&lt;1,((($T112*(1-$F112)+$S112*(1-$G112))/$L112)*((1+Inputs!$D$7)^AB$2)),((INT(AB$2/$L112)-INT((AB$2-1)/$L112))*($T112*(1-$F112)+$S112*(1-$G112))*((1+Inputs!$D$7)^AB$2))),((_xlfn.WEIBULL.DIST(AB$2,$M112,$L112,FALSE)*($T112*(1-$F112)+$S112*(1-$G112))*((1+Inputs!$D$7)^AB$2))))))</f>
        <v>906.59072934724293</v>
      </c>
      <c r="AC112" s="88">
        <f>$E112*IF(AC$2&gt;Inputs!$D$5,0,IF(AC$2&gt;VLOOKUP($H112,Lists!$P$3:$Q$7,2),IF($N112=Lists!$K$3,IF($L112&lt;1,(($U112/$L112)*((1+Inputs!$D$7)^AC$2)),((INT(AC$2/$L112)-INT((AC$2-1)/$L112))*$U112*((1+Inputs!$D$7)^AC$2))),(_xlfn.WEIBULL.DIST(AC$2,$M112,$L112,FALSE)*$U112*((1+Inputs!$D$7)^AC$2))),IF($N112=Lists!$K$3,IF($L112&lt;1,((($T112*(1-$F112)+$S112*(1-$G112))/$L112)*((1+Inputs!$D$7)^AC$2)),((INT(AC$2/$L112)-INT((AC$2-1)/$L112))*($T112*(1-$F112)+$S112*(1-$G112))*((1+Inputs!$D$7)^AC$2))),((_xlfn.WEIBULL.DIST(AC$2,$M112,$L112,FALSE)*($T112*(1-$F112)+$S112*(1-$G112))*((1+Inputs!$D$7)^AC$2))))))</f>
        <v>0</v>
      </c>
      <c r="AD112" s="88">
        <f>$E112*IF(AD$2&gt;Inputs!$D$5,0,IF(AD$2&gt;VLOOKUP($H112,Lists!$P$3:$Q$7,2),IF($N112=Lists!$K$3,IF($L112&lt;1,(($U112/$L112)*((1+Inputs!$D$7)^AD$2)),((INT(AD$2/$L112)-INT((AD$2-1)/$L112))*$U112*((1+Inputs!$D$7)^AD$2))),(_xlfn.WEIBULL.DIST(AD$2,$M112,$L112,FALSE)*$U112*((1+Inputs!$D$7)^AD$2))),IF($N112=Lists!$K$3,IF($L112&lt;1,((($T112*(1-$F112)+$S112*(1-$G112))/$L112)*((1+Inputs!$D$7)^AD$2)),((INT(AD$2/$L112)-INT((AD$2-1)/$L112))*($T112*(1-$F112)+$S112*(1-$G112))*((1+Inputs!$D$7)^AD$2))),((_xlfn.WEIBULL.DIST(AD$2,$M112,$L112,FALSE)*($T112*(1-$F112)+$S112*(1-$G112))*((1+Inputs!$D$7)^AD$2))))))</f>
        <v>943.21699481287146</v>
      </c>
      <c r="AE112" s="88">
        <f>$E112*IF(AE$2&gt;Inputs!$D$5,0,IF(AE$2&gt;VLOOKUP($H112,Lists!$P$3:$Q$7,2),IF($N112=Lists!$K$3,IF($L112&lt;1,(($U112/$L112)*((1+Inputs!$D$7)^AE$2)),((INT(AE$2/$L112)-INT((AE$2-1)/$L112))*$U112*((1+Inputs!$D$7)^AE$2))),(_xlfn.WEIBULL.DIST(AE$2,$M112,$L112,FALSE)*$U112*((1+Inputs!$D$7)^AE$2))),IF($N112=Lists!$K$3,IF($L112&lt;1,((($T112*(1-$F112)+$S112*(1-$G112))/$L112)*((1+Inputs!$D$7)^AE$2)),((INT(AE$2/$L112)-INT((AE$2-1)/$L112))*($T112*(1-$F112)+$S112*(1-$G112))*((1+Inputs!$D$7)^AE$2))),((_xlfn.WEIBULL.DIST(AE$2,$M112,$L112,FALSE)*($T112*(1-$F112)+$S112*(1-$G112))*((1+Inputs!$D$7)^AE$2))))))</f>
        <v>0</v>
      </c>
      <c r="AF112" s="88">
        <f>$E112*IF(AF$2&gt;Inputs!$D$5,0,IF(AF$2&gt;VLOOKUP($H112,Lists!$P$3:$Q$7,2),IF($N112=Lists!$K$3,IF($L112&lt;1,(($U112/$L112)*((1+Inputs!$D$7)^AF$2)),((INT(AF$2/$L112)-INT((AF$2-1)/$L112))*$U112*((1+Inputs!$D$7)^AF$2))),(_xlfn.WEIBULL.DIST(AF$2,$M112,$L112,FALSE)*$U112*((1+Inputs!$D$7)^AF$2))),IF($N112=Lists!$K$3,IF($L112&lt;1,((($T112*(1-$F112)+$S112*(1-$G112))/$L112)*((1+Inputs!$D$7)^AF$2)),((INT(AF$2/$L112)-INT((AF$2-1)/$L112))*($T112*(1-$F112)+$S112*(1-$G112))*((1+Inputs!$D$7)^AF$2))),((_xlfn.WEIBULL.DIST(AF$2,$M112,$L112,FALSE)*($T112*(1-$F112)+$S112*(1-$G112))*((1+Inputs!$D$7)^AF$2))))))</f>
        <v>981.32296140331164</v>
      </c>
      <c r="AG112" s="88">
        <f>$E112*IF(AG$2&gt;Inputs!$D$5,0,IF(AG$2&gt;VLOOKUP($H112,Lists!$P$3:$Q$7,2),IF($N112=Lists!$K$3,IF($L112&lt;1,(($U112/$L112)*((1+Inputs!$D$7)^AG$2)),((INT(AG$2/$L112)-INT((AG$2-1)/$L112))*$U112*((1+Inputs!$D$7)^AG$2))),(_xlfn.WEIBULL.DIST(AG$2,$M112,$L112,FALSE)*$U112*((1+Inputs!$D$7)^AG$2))),IF($N112=Lists!$K$3,IF($L112&lt;1,((($T112*(1-$F112)+$S112*(1-$G112))/$L112)*((1+Inputs!$D$7)^AG$2)),((INT(AG$2/$L112)-INT((AG$2-1)/$L112))*($T112*(1-$F112)+$S112*(1-$G112))*((1+Inputs!$D$7)^AG$2))),((_xlfn.WEIBULL.DIST(AG$2,$M112,$L112,FALSE)*($T112*(1-$F112)+$S112*(1-$G112))*((1+Inputs!$D$7)^AG$2))))))</f>
        <v>0</v>
      </c>
      <c r="AH112" s="88">
        <f>$E112*IF(AH$2&gt;Inputs!$D$5,0,IF(AH$2&gt;VLOOKUP($H112,Lists!$P$3:$Q$7,2),IF($N112=Lists!$K$3,IF($L112&lt;1,(($U112/$L112)*((1+Inputs!$D$7)^AH$2)),((INT(AH$2/$L112)-INT((AH$2-1)/$L112))*$U112*((1+Inputs!$D$7)^AH$2))),(_xlfn.WEIBULL.DIST(AH$2,$M112,$L112,FALSE)*$U112*((1+Inputs!$D$7)^AH$2))),IF($N112=Lists!$K$3,IF($L112&lt;1,((($T112*(1-$F112)+$S112*(1-$G112))/$L112)*((1+Inputs!$D$7)^AH$2)),((INT(AH$2/$L112)-INT((AH$2-1)/$L112))*($T112*(1-$F112)+$S112*(1-$G112))*((1+Inputs!$D$7)^AH$2))),((_xlfn.WEIBULL.DIST(AH$2,$M112,$L112,FALSE)*($T112*(1-$F112)+$S112*(1-$G112))*((1+Inputs!$D$7)^AH$2))))))</f>
        <v>1020.9684090440053</v>
      </c>
      <c r="AI112" s="88">
        <f>$E112*IF(AI$2&gt;Inputs!$D$5,0,IF(AI$2&gt;VLOOKUP($H112,Lists!$P$3:$Q$7,2),IF($N112=Lists!$K$3,IF($L112&lt;1,(($U112/$L112)*((1+Inputs!$D$7)^AI$2)),((INT(AI$2/$L112)-INT((AI$2-1)/$L112))*$U112*((1+Inputs!$D$7)^AI$2))),(_xlfn.WEIBULL.DIST(AI$2,$M112,$L112,FALSE)*$U112*((1+Inputs!$D$7)^AI$2))),IF($N112=Lists!$K$3,IF($L112&lt;1,((($T112*(1-$F112)+$S112*(1-$G112))/$L112)*((1+Inputs!$D$7)^AI$2)),((INT(AI$2/$L112)-INT((AI$2-1)/$L112))*($T112*(1-$F112)+$S112*(1-$G112))*((1+Inputs!$D$7)^AI$2))),((_xlfn.WEIBULL.DIST(AI$2,$M112,$L112,FALSE)*($T112*(1-$F112)+$S112*(1-$G112))*((1+Inputs!$D$7)^AI$2))))))</f>
        <v>0</v>
      </c>
      <c r="AJ112" s="88">
        <f>$E112*IF(AJ$2&gt;Inputs!$D$5,0,IF(AJ$2&gt;VLOOKUP($H112,Lists!$P$3:$Q$7,2),IF($N112=Lists!$K$3,IF($L112&lt;1,(($U112/$L112)*((1+Inputs!$D$7)^AJ$2)),((INT(AJ$2/$L112)-INT((AJ$2-1)/$L112))*$U112*((1+Inputs!$D$7)^AJ$2))),(_xlfn.WEIBULL.DIST(AJ$2,$M112,$L112,FALSE)*$U112*((1+Inputs!$D$7)^AJ$2))),IF($N112=Lists!$K$3,IF($L112&lt;1,((($T112*(1-$F112)+$S112*(1-$G112))/$L112)*((1+Inputs!$D$7)^AJ$2)),((INT(AJ$2/$L112)-INT((AJ$2-1)/$L112))*($T112*(1-$F112)+$S112*(1-$G112))*((1+Inputs!$D$7)^AJ$2))),((_xlfn.WEIBULL.DIST(AJ$2,$M112,$L112,FALSE)*($T112*(1-$F112)+$S112*(1-$G112))*((1+Inputs!$D$7)^AJ$2))))))</f>
        <v>1062.2155327693831</v>
      </c>
      <c r="AK112" s="88">
        <f>$E112*IF(AK$2&gt;Inputs!$D$5,0,IF(AK$2&gt;VLOOKUP($H112,Lists!$P$3:$Q$7,2),IF($N112=Lists!$K$3,IF($L112&lt;1,(($U112/$L112)*((1+Inputs!$D$7)^AK$2)),((INT(AK$2/$L112)-INT((AK$2-1)/$L112))*$U112*((1+Inputs!$D$7)^AK$2))),(_xlfn.WEIBULL.DIST(AK$2,$M112,$L112,FALSE)*$U112*((1+Inputs!$D$7)^AK$2))),IF($N112=Lists!$K$3,IF($L112&lt;1,((($T112*(1-$F112)+$S112*(1-$G112))/$L112)*((1+Inputs!$D$7)^AK$2)),((INT(AK$2/$L112)-INT((AK$2-1)/$L112))*($T112*(1-$F112)+$S112*(1-$G112))*((1+Inputs!$D$7)^AK$2))),((_xlfn.WEIBULL.DIST(AK$2,$M112,$L112,FALSE)*($T112*(1-$F112)+$S112*(1-$G112))*((1+Inputs!$D$7)^AK$2))))))</f>
        <v>0</v>
      </c>
      <c r="AL112" s="88">
        <f>$E112*IF(AL$2&gt;Inputs!$D$5,0,IF(AL$2&gt;VLOOKUP($H112,Lists!$P$3:$Q$7,2),IF($N112=Lists!$K$3,IF($L112&lt;1,(($U112/$L112)*((1+Inputs!$D$7)^AL$2)),((INT(AL$2/$L112)-INT((AL$2-1)/$L112))*$U112*((1+Inputs!$D$7)^AL$2))),(_xlfn.WEIBULL.DIST(AL$2,$M112,$L112,FALSE)*$U112*((1+Inputs!$D$7)^AL$2))),IF($N112=Lists!$K$3,IF($L112&lt;1,((($T112*(1-$F112)+$S112*(1-$G112))/$L112)*((1+Inputs!$D$7)^AL$2)),((INT(AL$2/$L112)-INT((AL$2-1)/$L112))*($T112*(1-$F112)+$S112*(1-$G112))*((1+Inputs!$D$7)^AL$2))),((_xlfn.WEIBULL.DIST(AL$2,$M112,$L112,FALSE)*($T112*(1-$F112)+$S112*(1-$G112))*((1+Inputs!$D$7)^AL$2))))))</f>
        <v>1105.1290402932661</v>
      </c>
      <c r="AM112" s="88">
        <f>$E112*IF(AM$2&gt;Inputs!$D$5,0,IF(AM$2&gt;VLOOKUP($H112,Lists!$P$3:$Q$7,2),IF($N112=Lists!$K$3,IF($L112&lt;1,(($U112/$L112)*((1+Inputs!$D$7)^AM$2)),((INT(AM$2/$L112)-INT((AM$2-1)/$L112))*$U112*((1+Inputs!$D$7)^AM$2))),(_xlfn.WEIBULL.DIST(AM$2,$M112,$L112,FALSE)*$U112*((1+Inputs!$D$7)^AM$2))),IF($N112=Lists!$K$3,IF($L112&lt;1,((($T112*(1-$F112)+$S112*(1-$G112))/$L112)*((1+Inputs!$D$7)^AM$2)),((INT(AM$2/$L112)-INT((AM$2-1)/$L112))*($T112*(1-$F112)+$S112*(1-$G112))*((1+Inputs!$D$7)^AM$2))),((_xlfn.WEIBULL.DIST(AM$2,$M112,$L112,FALSE)*($T112*(1-$F112)+$S112*(1-$G112))*((1+Inputs!$D$7)^AM$2))))))</f>
        <v>0</v>
      </c>
      <c r="AN112" s="88">
        <f>$E112*IF(AN$2&gt;Inputs!$D$5,0,IF(AN$2&gt;VLOOKUP($H112,Lists!$P$3:$Q$7,2),IF($N112=Lists!$K$3,IF($L112&lt;1,(($U112/$L112)*((1+Inputs!$D$7)^AN$2)),((INT(AN$2/$L112)-INT((AN$2-1)/$L112))*$U112*((1+Inputs!$D$7)^AN$2))),(_xlfn.WEIBULL.DIST(AN$2,$M112,$L112,FALSE)*$U112*((1+Inputs!$D$7)^AN$2))),IF($N112=Lists!$K$3,IF($L112&lt;1,((($T112*(1-$F112)+$S112*(1-$G112))/$L112)*((1+Inputs!$D$7)^AN$2)),((INT(AN$2/$L112)-INT((AN$2-1)/$L112))*($T112*(1-$F112)+$S112*(1-$G112))*((1+Inputs!$D$7)^AN$2))),((_xlfn.WEIBULL.DIST(AN$2,$M112,$L112,FALSE)*($T112*(1-$F112)+$S112*(1-$G112))*((1+Inputs!$D$7)^AN$2))))))</f>
        <v>1149.7762535211141</v>
      </c>
      <c r="AO112" s="88">
        <f>$E112*IF(AO$2&gt;Inputs!$D$5,0,IF(AO$2&gt;VLOOKUP($H112,Lists!$P$3:$Q$7,2),IF($N112=Lists!$K$3,IF($L112&lt;1,(($U112/$L112)*((1+Inputs!$D$7)^AO$2)),((INT(AO$2/$L112)-INT((AO$2-1)/$L112))*$U112*((1+Inputs!$D$7)^AO$2))),(_xlfn.WEIBULL.DIST(AO$2,$M112,$L112,FALSE)*$U112*((1+Inputs!$D$7)^AO$2))),IF($N112=Lists!$K$3,IF($L112&lt;1,((($T112*(1-$F112)+$S112*(1-$G112))/$L112)*((1+Inputs!$D$7)^AO$2)),((INT(AO$2/$L112)-INT((AO$2-1)/$L112))*($T112*(1-$F112)+$S112*(1-$G112))*((1+Inputs!$D$7)^AO$2))),((_xlfn.WEIBULL.DIST(AO$2,$M112,$L112,FALSE)*($T112*(1-$F112)+$S112*(1-$G112))*((1+Inputs!$D$7)^AO$2))))))</f>
        <v>0</v>
      </c>
      <c r="AP112" s="88">
        <f>$E112*IF(AP$2&gt;Inputs!$D$5,0,IF(AP$2&gt;VLOOKUP($H112,Lists!$P$3:$Q$7,2),IF($N112=Lists!$K$3,IF($L112&lt;1,(($U112/$L112)*((1+Inputs!$D$7)^AP$2)),((INT(AP$2/$L112)-INT((AP$2-1)/$L112))*$U112*((1+Inputs!$D$7)^AP$2))),(_xlfn.WEIBULL.DIST(AP$2,$M112,$L112,FALSE)*$U112*((1+Inputs!$D$7)^AP$2))),IF($N112=Lists!$K$3,IF($L112&lt;1,((($T112*(1-$F112)+$S112*(1-$G112))/$L112)*((1+Inputs!$D$7)^AP$2)),((INT(AP$2/$L112)-INT((AP$2-1)/$L112))*($T112*(1-$F112)+$S112*(1-$G112))*((1+Inputs!$D$7)^AP$2))),((_xlfn.WEIBULL.DIST(AP$2,$M112,$L112,FALSE)*($T112*(1-$F112)+$S112*(1-$G112))*((1+Inputs!$D$7)^AP$2))))))</f>
        <v>1196.2272141633671</v>
      </c>
      <c r="AQ112" s="88">
        <f>$E112*IF(AQ$2&gt;Inputs!$D$5,0,IF(AQ$2&gt;VLOOKUP($H112,Lists!$P$3:$Q$7,2),IF($N112=Lists!$K$3,IF($L112&lt;1,(($U112/$L112)*((1+Inputs!$D$7)^AQ$2)),((INT(AQ$2/$L112)-INT((AQ$2-1)/$L112))*$U112*((1+Inputs!$D$7)^AQ$2))),(_xlfn.WEIBULL.DIST(AQ$2,$M112,$L112,FALSE)*$U112*((1+Inputs!$D$7)^AQ$2))),IF($N112=Lists!$K$3,IF($L112&lt;1,((($T112*(1-$F112)+$S112*(1-$G112))/$L112)*((1+Inputs!$D$7)^AQ$2)),((INT(AQ$2/$L112)-INT((AQ$2-1)/$L112))*($T112*(1-$F112)+$S112*(1-$G112))*((1+Inputs!$D$7)^AQ$2))),((_xlfn.WEIBULL.DIST(AQ$2,$M112,$L112,FALSE)*($T112*(1-$F112)+$S112*(1-$G112))*((1+Inputs!$D$7)^AQ$2))))))</f>
        <v>0</v>
      </c>
      <c r="AR112" s="88">
        <f>$E112*IF(AR$2&gt;Inputs!$D$5,0,IF(AR$2&gt;VLOOKUP($H112,Lists!$P$3:$Q$7,2),IF($N112=Lists!$K$3,IF($L112&lt;1,(($U112/$L112)*((1+Inputs!$D$7)^AR$2)),((INT(AR$2/$L112)-INT((AR$2-1)/$L112))*$U112*((1+Inputs!$D$7)^AR$2))),(_xlfn.WEIBULL.DIST(AR$2,$M112,$L112,FALSE)*$U112*((1+Inputs!$D$7)^AR$2))),IF($N112=Lists!$K$3,IF($L112&lt;1,((($T112*(1-$F112)+$S112*(1-$G112))/$L112)*((1+Inputs!$D$7)^AR$2)),((INT(AR$2/$L112)-INT((AR$2-1)/$L112))*($T112*(1-$F112)+$S112*(1-$G112))*((1+Inputs!$D$7)^AR$2))),((_xlfn.WEIBULL.DIST(AR$2,$M112,$L112,FALSE)*($T112*(1-$F112)+$S112*(1-$G112))*((1+Inputs!$D$7)^AR$2))))))</f>
        <v>1244.554793615567</v>
      </c>
      <c r="AS112" s="88">
        <f>$E112*IF(AS$2&gt;Inputs!$D$5,0,IF(AS$2&gt;VLOOKUP($H112,Lists!$P$3:$Q$7,2),IF($N112=Lists!$K$3,IF($L112&lt;1,(($U112/$L112)*((1+Inputs!$D$7)^AS$2)),((INT(AS$2/$L112)-INT((AS$2-1)/$L112))*$U112*((1+Inputs!$D$7)^AS$2))),(_xlfn.WEIBULL.DIST(AS$2,$M112,$L112,FALSE)*$U112*((1+Inputs!$D$7)^AS$2))),IF($N112=Lists!$K$3,IF($L112&lt;1,((($T112*(1-$F112)+$S112*(1-$G112))/$L112)*((1+Inputs!$D$7)^AS$2)),((INT(AS$2/$L112)-INT((AS$2-1)/$L112))*($T112*(1-$F112)+$S112*(1-$G112))*((1+Inputs!$D$7)^AS$2))),((_xlfn.WEIBULL.DIST(AS$2,$M112,$L112,FALSE)*($T112*(1-$F112)+$S112*(1-$G112))*((1+Inputs!$D$7)^AS$2))))))</f>
        <v>0</v>
      </c>
      <c r="AT112" s="88">
        <f>$E112*IF(AT$2&gt;Inputs!$D$5,0,IF(AT$2&gt;VLOOKUP($H112,Lists!$P$3:$Q$7,2),IF($N112=Lists!$K$3,IF($L112&lt;1,(($U112/$L112)*((1+Inputs!$D$7)^AT$2)),((INT(AT$2/$L112)-INT((AT$2-1)/$L112))*$U112*((1+Inputs!$D$7)^AT$2))),(_xlfn.WEIBULL.DIST(AT$2,$M112,$L112,FALSE)*$U112*((1+Inputs!$D$7)^AT$2))),IF($N112=Lists!$K$3,IF($L112&lt;1,((($T112*(1-$F112)+$S112*(1-$G112))/$L112)*((1+Inputs!$D$7)^AT$2)),((INT(AT$2/$L112)-INT((AT$2-1)/$L112))*($T112*(1-$F112)+$S112*(1-$G112))*((1+Inputs!$D$7)^AT$2))),((_xlfn.WEIBULL.DIST(AT$2,$M112,$L112,FALSE)*($T112*(1-$F112)+$S112*(1-$G112))*((1+Inputs!$D$7)^AT$2))))))</f>
        <v>1294.8348072776359</v>
      </c>
      <c r="AU112" s="88">
        <f>$E112*IF(AU$2&gt;Inputs!$D$5,0,IF(AU$2&gt;VLOOKUP($H112,Lists!$P$3:$Q$7,2),IF($N112=Lists!$K$3,IF($L112&lt;1,(($U112/$L112)*((1+Inputs!$D$7)^AU$2)),((INT(AU$2/$L112)-INT((AU$2-1)/$L112))*$U112*((1+Inputs!$D$7)^AU$2))),(_xlfn.WEIBULL.DIST(AU$2,$M112,$L112,FALSE)*$U112*((1+Inputs!$D$7)^AU$2))),IF($N112=Lists!$K$3,IF($L112&lt;1,((($T112*(1-$F112)+$S112*(1-$G112))/$L112)*((1+Inputs!$D$7)^AU$2)),((INT(AU$2/$L112)-INT((AU$2-1)/$L112))*($T112*(1-$F112)+$S112*(1-$G112))*((1+Inputs!$D$7)^AU$2))),((_xlfn.WEIBULL.DIST(AU$2,$M112,$L112,FALSE)*($T112*(1-$F112)+$S112*(1-$G112))*((1+Inputs!$D$7)^AU$2))))))</f>
        <v>0</v>
      </c>
      <c r="AV112" s="88">
        <f>$E112*IF(AV$2&gt;Inputs!$D$5,0,IF(AV$2&gt;VLOOKUP($H112,Lists!$P$3:$Q$7,2),IF($N112=Lists!$K$3,IF($L112&lt;1,(($U112/$L112)*((1+Inputs!$D$7)^AV$2)),((INT(AV$2/$L112)-INT((AV$2-1)/$L112))*$U112*((1+Inputs!$D$7)^AV$2))),(_xlfn.WEIBULL.DIST(AV$2,$M112,$L112,FALSE)*$U112*((1+Inputs!$D$7)^AV$2))),IF($N112=Lists!$K$3,IF($L112&lt;1,((($T112*(1-$F112)+$S112*(1-$G112))/$L112)*((1+Inputs!$D$7)^AV$2)),((INT(AV$2/$L112)-INT((AV$2-1)/$L112))*($T112*(1-$F112)+$S112*(1-$G112))*((1+Inputs!$D$7)^AV$2))),((_xlfn.WEIBULL.DIST(AV$2,$M112,$L112,FALSE)*($T112*(1-$F112)+$S112*(1-$G112))*((1+Inputs!$D$7)^AV$2))))))</f>
        <v>1347.1461334916526</v>
      </c>
      <c r="AW112" s="88">
        <f>$E112*IF(AW$2&gt;Inputs!$D$5,0,IF(AW$2&gt;VLOOKUP($H112,Lists!$P$3:$Q$7,2),IF($N112=Lists!$K$3,IF($L112&lt;1,(($U112/$L112)*((1+Inputs!$D$7)^AW$2)),((INT(AW$2/$L112)-INT((AW$2-1)/$L112))*$U112*((1+Inputs!$D$7)^AW$2))),(_xlfn.WEIBULL.DIST(AW$2,$M112,$L112,FALSE)*$U112*((1+Inputs!$D$7)^AW$2))),IF($N112=Lists!$K$3,IF($L112&lt;1,((($T112*(1-$F112)+$S112*(1-$G112))/$L112)*((1+Inputs!$D$7)^AW$2)),((INT(AW$2/$L112)-INT((AW$2-1)/$L112))*($T112*(1-$F112)+$S112*(1-$G112))*((1+Inputs!$D$7)^AW$2))),((_xlfn.WEIBULL.DIST(AW$2,$M112,$L112,FALSE)*($T112*(1-$F112)+$S112*(1-$G112))*((1+Inputs!$D$7)^AW$2))))))</f>
        <v>0</v>
      </c>
      <c r="AX112" s="88">
        <f>$E112*IF(AX$2&gt;Inputs!$D$5,0,IF(AX$2&gt;VLOOKUP($H112,Lists!$P$3:$Q$7,2),IF($N112=Lists!$K$3,IF($L112&lt;1,(($U112/$L112)*((1+Inputs!$D$7)^AX$2)),((INT(AX$2/$L112)-INT((AX$2-1)/$L112))*$U112*((1+Inputs!$D$7)^AX$2))),(_xlfn.WEIBULL.DIST(AX$2,$M112,$L112,FALSE)*$U112*((1+Inputs!$D$7)^AX$2))),IF($N112=Lists!$K$3,IF($L112&lt;1,((($T112*(1-$F112)+$S112*(1-$G112))/$L112)*((1+Inputs!$D$7)^AX$2)),((INT(AX$2/$L112)-INT((AX$2-1)/$L112))*($T112*(1-$F112)+$S112*(1-$G112))*((1+Inputs!$D$7)^AX$2))),((_xlfn.WEIBULL.DIST(AX$2,$M112,$L112,FALSE)*($T112*(1-$F112)+$S112*(1-$G112))*((1+Inputs!$D$7)^AX$2))))))</f>
        <v>1401.570837284715</v>
      </c>
      <c r="AY112" s="88">
        <f>$E112*IF(AY$2&gt;Inputs!$D$5,0,IF(AY$2&gt;VLOOKUP($H112,Lists!$P$3:$Q$7,2),IF($N112=Lists!$K$3,IF($L112&lt;1,(($U112/$L112)*((1+Inputs!$D$7)^AY$2)),((INT(AY$2/$L112)-INT((AY$2-1)/$L112))*$U112*((1+Inputs!$D$7)^AY$2))),(_xlfn.WEIBULL.DIST(AY$2,$M112,$L112,FALSE)*$U112*((1+Inputs!$D$7)^AY$2))),IF($N112=Lists!$K$3,IF($L112&lt;1,((($T112*(1-$F112)+$S112*(1-$G112))/$L112)*((1+Inputs!$D$7)^AY$2)),((INT(AY$2/$L112)-INT((AY$2-1)/$L112))*($T112*(1-$F112)+$S112*(1-$G112))*((1+Inputs!$D$7)^AY$2))),((_xlfn.WEIBULL.DIST(AY$2,$M112,$L112,FALSE)*($T112*(1-$F112)+$S112*(1-$G112))*((1+Inputs!$D$7)^AY$2))))))</f>
        <v>0</v>
      </c>
      <c r="AZ112" s="88">
        <f>$E112*IF(AZ$2&gt;Inputs!$D$5,0,IF(AZ$2&gt;VLOOKUP($H112,Lists!$P$3:$Q$7,2),IF($N112=Lists!$K$3,IF($L112&lt;1,(($U112/$L112)*((1+Inputs!$D$7)^AZ$2)),((INT(AZ$2/$L112)-INT((AZ$2-1)/$L112))*$U112*((1+Inputs!$D$7)^AZ$2))),(_xlfn.WEIBULL.DIST(AZ$2,$M112,$L112,FALSE)*$U112*((1+Inputs!$D$7)^AZ$2))),IF($N112=Lists!$K$3,IF($L112&lt;1,((($T112*(1-$F112)+$S112*(1-$G112))/$L112)*((1+Inputs!$D$7)^AZ$2)),((INT(AZ$2/$L112)-INT((AZ$2-1)/$L112))*($T112*(1-$F112)+$S112*(1-$G112))*((1+Inputs!$D$7)^AZ$2))),((_xlfn.WEIBULL.DIST(AZ$2,$M112,$L112,FALSE)*($T112*(1-$F112)+$S112*(1-$G112))*((1+Inputs!$D$7)^AZ$2))))))</f>
        <v>0</v>
      </c>
      <c r="BA112" s="88">
        <f>$E112*IF(BA$2&gt;Inputs!$D$5,0,IF(BA$2&gt;VLOOKUP($H112,Lists!$P$3:$Q$7,2),IF($N112=Lists!$K$3,IF($L112&lt;1,(($U112/$L112)*((1+Inputs!$D$7)^BA$2)),((INT(BA$2/$L112)-INT((BA$2-1)/$L112))*$U112*((1+Inputs!$D$7)^BA$2))),(_xlfn.WEIBULL.DIST(BA$2,$M112,$L112,FALSE)*$U112*((1+Inputs!$D$7)^BA$2))),IF($N112=Lists!$K$3,IF($L112&lt;1,((($T112*(1-$F112)+$S112*(1-$G112))/$L112)*((1+Inputs!$D$7)^BA$2)),((INT(BA$2/$L112)-INT((BA$2-1)/$L112))*($T112*(1-$F112)+$S112*(1-$G112))*((1+Inputs!$D$7)^BA$2))),((_xlfn.WEIBULL.DIST(BA$2,$M112,$L112,FALSE)*($T112*(1-$F112)+$S112*(1-$G112))*((1+Inputs!$D$7)^BA$2))))))</f>
        <v>0</v>
      </c>
      <c r="BB112" s="88">
        <f>$E112*IF(BB$2&gt;Inputs!$D$5,0,IF(BB$2&gt;VLOOKUP($H112,Lists!$P$3:$Q$7,2),IF($N112=Lists!$K$3,IF($L112&lt;1,(($U112/$L112)*((1+Inputs!$D$7)^BB$2)),((INT(BB$2/$L112)-INT((BB$2-1)/$L112))*$U112*((1+Inputs!$D$7)^BB$2))),(_xlfn.WEIBULL.DIST(BB$2,$M112,$L112,FALSE)*$U112*((1+Inputs!$D$7)^BB$2))),IF($N112=Lists!$K$3,IF($L112&lt;1,((($T112*(1-$F112)+$S112*(1-$G112))/$L112)*((1+Inputs!$D$7)^BB$2)),((INT(BB$2/$L112)-INT((BB$2-1)/$L112))*($T112*(1-$F112)+$S112*(1-$G112))*((1+Inputs!$D$7)^BB$2))),((_xlfn.WEIBULL.DIST(BB$2,$M112,$L112,FALSE)*($T112*(1-$F112)+$S112*(1-$G112))*((1+Inputs!$D$7)^BB$2))))))</f>
        <v>0</v>
      </c>
      <c r="BC112" s="88">
        <f>$E112*IF(BC$2&gt;Inputs!$D$5,0,IF(BC$2&gt;VLOOKUP($H112,Lists!$P$3:$Q$7,2),IF($N112=Lists!$K$3,IF($L112&lt;1,(($U112/$L112)*((1+Inputs!$D$7)^BC$2)),((INT(BC$2/$L112)-INT((BC$2-1)/$L112))*$U112*((1+Inputs!$D$7)^BC$2))),(_xlfn.WEIBULL.DIST(BC$2,$M112,$L112,FALSE)*$U112*((1+Inputs!$D$7)^BC$2))),IF($N112=Lists!$K$3,IF($L112&lt;1,((($T112*(1-$F112)+$S112*(1-$G112))/$L112)*((1+Inputs!$D$7)^BC$2)),((INT(BC$2/$L112)-INT((BC$2-1)/$L112))*($T112*(1-$F112)+$S112*(1-$G112))*((1+Inputs!$D$7)^BC$2))),((_xlfn.WEIBULL.DIST(BC$2,$M112,$L112,FALSE)*($T112*(1-$F112)+$S112*(1-$G112))*((1+Inputs!$D$7)^BC$2))))))</f>
        <v>0</v>
      </c>
      <c r="BD112" s="88">
        <f>$E112*IF(BD$2&gt;Inputs!$D$5,0,IF(BD$2&gt;VLOOKUP($H112,Lists!$P$3:$Q$7,2),IF($N112=Lists!$K$3,IF($L112&lt;1,(($U112/$L112)*((1+Inputs!$D$7)^BD$2)),((INT(BD$2/$L112)-INT((BD$2-1)/$L112))*$U112*((1+Inputs!$D$7)^BD$2))),(_xlfn.WEIBULL.DIST(BD$2,$M112,$L112,FALSE)*$U112*((1+Inputs!$D$7)^BD$2))),IF($N112=Lists!$K$3,IF($L112&lt;1,((($T112*(1-$F112)+$S112*(1-$G112))/$L112)*((1+Inputs!$D$7)^BD$2)),((INT(BD$2/$L112)-INT((BD$2-1)/$L112))*($T112*(1-$F112)+$S112*(1-$G112))*((1+Inputs!$D$7)^BD$2))),((_xlfn.WEIBULL.DIST(BD$2,$M112,$L112,FALSE)*($T112*(1-$F112)+$S112*(1-$G112))*((1+Inputs!$D$7)^BD$2))))))</f>
        <v>0</v>
      </c>
      <c r="BE112" s="88">
        <f>$E112*IF(BE$2&gt;Inputs!$D$5,0,IF(BE$2&gt;VLOOKUP($H112,Lists!$P$3:$Q$7,2),IF($N112=Lists!$K$3,IF($L112&lt;1,(($U112/$L112)*((1+Inputs!$D$7)^BE$2)),((INT(BE$2/$L112)-INT((BE$2-1)/$L112))*$U112*((1+Inputs!$D$7)^BE$2))),(_xlfn.WEIBULL.DIST(BE$2,$M112,$L112,FALSE)*$U112*((1+Inputs!$D$7)^BE$2))),IF($N112=Lists!$K$3,IF($L112&lt;1,((($T112*(1-$F112)+$S112*(1-$G112))/$L112)*((1+Inputs!$D$7)^BE$2)),((INT(BE$2/$L112)-INT((BE$2-1)/$L112))*($T112*(1-$F112)+$S112*(1-$G112))*((1+Inputs!$D$7)^BE$2))),((_xlfn.WEIBULL.DIST(BE$2,$M112,$L112,FALSE)*($T112*(1-$F112)+$S112*(1-$G112))*((1+Inputs!$D$7)^BE$2))))))</f>
        <v>0</v>
      </c>
      <c r="BF112" s="88">
        <f>$E112*IF(BF$2&gt;Inputs!$D$5,0,IF(BF$2&gt;VLOOKUP($H112,Lists!$P$3:$Q$7,2),IF($N112=Lists!$K$3,IF($L112&lt;1,(($U112/$L112)*((1+Inputs!$D$7)^BF$2)),((INT(BF$2/$L112)-INT((BF$2-1)/$L112))*$U112*((1+Inputs!$D$7)^BF$2))),(_xlfn.WEIBULL.DIST(BF$2,$M112,$L112,FALSE)*$U112*((1+Inputs!$D$7)^BF$2))),IF($N112=Lists!$K$3,IF($L112&lt;1,((($T112*(1-$F112)+$S112*(1-$G112))/$L112)*((1+Inputs!$D$7)^BF$2)),((INT(BF$2/$L112)-INT((BF$2-1)/$L112))*($T112*(1-$F112)+$S112*(1-$G112))*((1+Inputs!$D$7)^BF$2))),((_xlfn.WEIBULL.DIST(BF$2,$M112,$L112,FALSE)*($T112*(1-$F112)+$S112*(1-$G112))*((1+Inputs!$D$7)^BF$2))))))</f>
        <v>0</v>
      </c>
      <c r="BG112" s="88">
        <f>$E112*IF(BG$2&gt;Inputs!$D$5,0,IF(BG$2&gt;VLOOKUP($H112,Lists!$P$3:$Q$7,2),IF($N112=Lists!$K$3,IF($L112&lt;1,(($U112/$L112)*((1+Inputs!$D$7)^BG$2)),((INT(BG$2/$L112)-INT((BG$2-1)/$L112))*$U112*((1+Inputs!$D$7)^BG$2))),(_xlfn.WEIBULL.DIST(BG$2,$M112,$L112,FALSE)*$U112*((1+Inputs!$D$7)^BG$2))),IF($N112=Lists!$K$3,IF($L112&lt;1,((($T112*(1-$F112)+$S112*(1-$G112))/$L112)*((1+Inputs!$D$7)^BG$2)),((INT(BG$2/$L112)-INT((BG$2-1)/$L112))*($T112*(1-$F112)+$S112*(1-$G112))*((1+Inputs!$D$7)^BG$2))),((_xlfn.WEIBULL.DIST(BG$2,$M112,$L112,FALSE)*($T112*(1-$F112)+$S112*(1-$G112))*((1+Inputs!$D$7)^BG$2))))))</f>
        <v>0</v>
      </c>
      <c r="BH112" s="88">
        <f>$E112*IF(BH$2&gt;Inputs!$D$5,0,IF(BH$2&gt;VLOOKUP($H112,Lists!$P$3:$Q$7,2),IF($N112=Lists!$K$3,IF($L112&lt;1,(($U112/$L112)*((1+Inputs!$D$7)^BH$2)),((INT(BH$2/$L112)-INT((BH$2-1)/$L112))*$U112*((1+Inputs!$D$7)^BH$2))),(_xlfn.WEIBULL.DIST(BH$2,$M112,$L112,FALSE)*$U112*((1+Inputs!$D$7)^BH$2))),IF($N112=Lists!$K$3,IF($L112&lt;1,((($T112*(1-$F112)+$S112*(1-$G112))/$L112)*((1+Inputs!$D$7)^BH$2)),((INT(BH$2/$L112)-INT((BH$2-1)/$L112))*($T112*(1-$F112)+$S112*(1-$G112))*((1+Inputs!$D$7)^BH$2))),((_xlfn.WEIBULL.DIST(BH$2,$M112,$L112,FALSE)*($T112*(1-$F112)+$S112*(1-$G112))*((1+Inputs!$D$7)^BH$2))))))</f>
        <v>0</v>
      </c>
      <c r="BI112" s="88">
        <f>$E112*IF(BI$2&gt;Inputs!$D$5,0,IF(BI$2&gt;VLOOKUP($H112,Lists!$P$3:$Q$7,2),IF($N112=Lists!$K$3,IF($L112&lt;1,(($U112/$L112)*((1+Inputs!$D$7)^BI$2)),((INT(BI$2/$L112)-INT((BI$2-1)/$L112))*$U112*((1+Inputs!$D$7)^BI$2))),(_xlfn.WEIBULL.DIST(BI$2,$M112,$L112,FALSE)*$U112*((1+Inputs!$D$7)^BI$2))),IF($N112=Lists!$K$3,IF($L112&lt;1,((($T112*(1-$F112)+$S112*(1-$G112))/$L112)*((1+Inputs!$D$7)^BI$2)),((INT(BI$2/$L112)-INT((BI$2-1)/$L112))*($T112*(1-$F112)+$S112*(1-$G112))*((1+Inputs!$D$7)^BI$2))),((_xlfn.WEIBULL.DIST(BI$2,$M112,$L112,FALSE)*($T112*(1-$F112)+$S112*(1-$G112))*((1+Inputs!$D$7)^BI$2))))))</f>
        <v>0</v>
      </c>
      <c r="BJ112" s="88">
        <f>$E112*IF(BJ$2&gt;Inputs!$D$5,0,IF(BJ$2&gt;VLOOKUP($H112,Lists!$P$3:$Q$7,2),IF($N112=Lists!$K$3,IF($L112&lt;1,(($U112/$L112)*((1+Inputs!$D$7)^BJ$2)),((INT(BJ$2/$L112)-INT((BJ$2-1)/$L112))*$U112*((1+Inputs!$D$7)^BJ$2))),(_xlfn.WEIBULL.DIST(BJ$2,$M112,$L112,FALSE)*$U112*((1+Inputs!$D$7)^BJ$2))),IF($N112=Lists!$K$3,IF($L112&lt;1,((($T112*(1-$F112)+$S112*(1-$G112))/$L112)*((1+Inputs!$D$7)^BJ$2)),((INT(BJ$2/$L112)-INT((BJ$2-1)/$L112))*($T112*(1-$F112)+$S112*(1-$G112))*((1+Inputs!$D$7)^BJ$2))),((_xlfn.WEIBULL.DIST(BJ$2,$M112,$L112,FALSE)*($T112*(1-$F112)+$S112*(1-$G112))*((1+Inputs!$D$7)^BJ$2))))))</f>
        <v>0</v>
      </c>
      <c r="BK112" s="88">
        <f>$E112*IF(BK$2&gt;Inputs!$D$5,0,IF(BK$2&gt;VLOOKUP($H112,Lists!$P$3:$Q$7,2),IF($N112=Lists!$K$3,IF($L112&lt;1,(($U112/$L112)*((1+Inputs!$D$7)^BK$2)),((INT(BK$2/$L112)-INT((BK$2-1)/$L112))*$U112*((1+Inputs!$D$7)^BK$2))),(_xlfn.WEIBULL.DIST(BK$2,$M112,$L112,FALSE)*$U112*((1+Inputs!$D$7)^BK$2))),IF($N112=Lists!$K$3,IF($L112&lt;1,((($T112*(1-$F112)+$S112*(1-$G112))/$L112)*((1+Inputs!$D$7)^BK$2)),((INT(BK$2/$L112)-INT((BK$2-1)/$L112))*($T112*(1-$F112)+$S112*(1-$G112))*((1+Inputs!$D$7)^BK$2))),((_xlfn.WEIBULL.DIST(BK$2,$M112,$L112,FALSE)*($T112*(1-$F112)+$S112*(1-$G112))*((1+Inputs!$D$7)^BK$2))))))</f>
        <v>0</v>
      </c>
      <c r="BL112" s="88">
        <f>$E112*IF(BL$2&gt;Inputs!$D$5,0,IF(BL$2&gt;VLOOKUP($H112,Lists!$P$3:$Q$7,2),IF($N112=Lists!$K$3,IF($L112&lt;1,(($U112/$L112)*((1+Inputs!$D$7)^BL$2)),((INT(BL$2/$L112)-INT((BL$2-1)/$L112))*$U112*((1+Inputs!$D$7)^BL$2))),(_xlfn.WEIBULL.DIST(BL$2,$M112,$L112,FALSE)*$U112*((1+Inputs!$D$7)^BL$2))),IF($N112=Lists!$K$3,IF($L112&lt;1,((($T112*(1-$F112)+$S112*(1-$G112))/$L112)*((1+Inputs!$D$7)^BL$2)),((INT(BL$2/$L112)-INT((BL$2-1)/$L112))*($T112*(1-$F112)+$S112*(1-$G112))*((1+Inputs!$D$7)^BL$2))),((_xlfn.WEIBULL.DIST(BL$2,$M112,$L112,FALSE)*($T112*(1-$F112)+$S112*(1-$G112))*((1+Inputs!$D$7)^BL$2))))))</f>
        <v>0</v>
      </c>
      <c r="BM112" s="88">
        <f>$E112*IF(BM$2&gt;Inputs!$D$5,0,IF(BM$2&gt;VLOOKUP($H112,Lists!$P$3:$Q$7,2),IF($N112=Lists!$K$3,IF($L112&lt;1,(($U112/$L112)*((1+Inputs!$D$7)^BM$2)),((INT(BM$2/$L112)-INT((BM$2-1)/$L112))*$U112*((1+Inputs!$D$7)^BM$2))),(_xlfn.WEIBULL.DIST(BM$2,$M112,$L112,FALSE)*$U112*((1+Inputs!$D$7)^BM$2))),IF($N112=Lists!$K$3,IF($L112&lt;1,((($T112*(1-$F112)+$S112*(1-$G112))/$L112)*((1+Inputs!$D$7)^BM$2)),((INT(BM$2/$L112)-INT((BM$2-1)/$L112))*($T112*(1-$F112)+$S112*(1-$G112))*((1+Inputs!$D$7)^BM$2))),((_xlfn.WEIBULL.DIST(BM$2,$M112,$L112,FALSE)*($T112*(1-$F112)+$S112*(1-$G112))*((1+Inputs!$D$7)^BM$2))))))</f>
        <v>0</v>
      </c>
      <c r="BN112" s="88">
        <f>$E112*IF(BN$2&gt;Inputs!$D$5,0,IF(BN$2&gt;VLOOKUP($H112,Lists!$P$3:$Q$7,2),IF($N112=Lists!$K$3,IF($L112&lt;1,(($U112/$L112)*((1+Inputs!$D$7)^BN$2)),((INT(BN$2/$L112)-INT((BN$2-1)/$L112))*$U112*((1+Inputs!$D$7)^BN$2))),(_xlfn.WEIBULL.DIST(BN$2,$M112,$L112,FALSE)*$U112*((1+Inputs!$D$7)^BN$2))),IF($N112=Lists!$K$3,IF($L112&lt;1,((($T112*(1-$F112)+$S112*(1-$G112))/$L112)*((1+Inputs!$D$7)^BN$2)),((INT(BN$2/$L112)-INT((BN$2-1)/$L112))*($T112*(1-$F112)+$S112*(1-$G112))*((1+Inputs!$D$7)^BN$2))),((_xlfn.WEIBULL.DIST(BN$2,$M112,$L112,FALSE)*($T112*(1-$F112)+$S112*(1-$G112))*((1+Inputs!$D$7)^BN$2))))))</f>
        <v>0</v>
      </c>
      <c r="BO112" s="64">
        <f>NPV(Inputs!$D$6,BQ112:DD112)</f>
        <v>5924.5229861138841</v>
      </c>
      <c r="BP112" s="67">
        <f t="shared" si="27"/>
        <v>2.7942942796575984E-3</v>
      </c>
      <c r="BQ112" s="88">
        <f>MAX(AA112,($E112*IF(BQ$2&gt;Inputs!$D$5,0,IF(BQ$2&gt;VLOOKUP($H112,Lists!$P$3:$Q$7,2),IF($N112=Lists!$K$3,IF($L112&lt;1,(($U112/$L112)*((1+Inputs!$D$7)^BQ$2)),((INT(BQ$2/$L112)-INT((BQ$2-1)/$L112))*$U112*((1+Inputs!$D$7)^BQ$2))),(Inputs!$D$8^((1-_xlfn.WEIBULL.DIST(BQ$2,$M112,$L112,FALSE))/_xlfn.WEIBULL.DIST(BQ$2,$M112,$L112,FALSE))*$U112*((1+Inputs!$D$7)^BQ$2))),IF($N112=Lists!$K$3,IF($L112&lt;1,((($T112*(1-$F112)+$S112*(1-$G112))/$L112)*((1+Inputs!$D$7)^BQ$2)),((INT(BQ$2/$L112)-INT((BQ$2-1)/$L112))*($T112*(1-$F112)+$S112*(1-$G112))*((1+Inputs!$D$7)^BQ$2))),((Inputs!$D$8^((1-_xlfn.WEIBULL.DIST(BQ$2,$M112,$L112,FALSE))/_xlfn.WEIBULL.DIST(BQ$2,$M112,$L112,FALSE))*($T112*(1-$F112)+$S112*(1-$G112))*((1+Inputs!$D$7)^BQ$2))))))))</f>
        <v>0</v>
      </c>
      <c r="BR112" s="88">
        <f>MAX(AB112,($E112*IF(BR$2&gt;Inputs!$D$5,0,IF(BR$2&gt;VLOOKUP($H112,Lists!$P$3:$Q$7,2),IF($N112=Lists!$K$3,IF($L112&lt;1,(($U112/$L112)*((1+Inputs!$D$7)^BR$2)),((INT(BR$2/$L112)-INT((BR$2-1)/$L112))*$U112*((1+Inputs!$D$7)^BR$2))),(Inputs!$D$8^((1-_xlfn.WEIBULL.DIST(BR$2,$M112,$L112,FALSE))/_xlfn.WEIBULL.DIST(BR$2,$M112,$L112,FALSE))*$U112*((1+Inputs!$D$7)^BR$2))),IF($N112=Lists!$K$3,IF($L112&lt;1,((($T112*(1-$F112)+$S112*(1-$G112))/$L112)*((1+Inputs!$D$7)^BR$2)),((INT(BR$2/$L112)-INT((BR$2-1)/$L112))*($T112*(1-$F112)+$S112*(1-$G112))*((1+Inputs!$D$7)^BR$2))),((Inputs!$D$8^((1-_xlfn.WEIBULL.DIST(BR$2,$M112,$L112,FALSE))/_xlfn.WEIBULL.DIST(BR$2,$M112,$L112,FALSE))*($T112*(1-$F112)+$S112*(1-$G112))*((1+Inputs!$D$7)^BR$2))))))))</f>
        <v>906.59072934724293</v>
      </c>
      <c r="BS112" s="88">
        <f>MAX(AC112,($E112*IF(BS$2&gt;Inputs!$D$5,0,IF(BS$2&gt;VLOOKUP($H112,Lists!$P$3:$Q$7,2),IF($N112=Lists!$K$3,IF($L112&lt;1,(($U112/$L112)*((1+Inputs!$D$7)^BS$2)),((INT(BS$2/$L112)-INT((BS$2-1)/$L112))*$U112*((1+Inputs!$D$7)^BS$2))),(Inputs!$D$8^((1-_xlfn.WEIBULL.DIST(BS$2,$M112,$L112,FALSE))/_xlfn.WEIBULL.DIST(BS$2,$M112,$L112,FALSE))*$U112*((1+Inputs!$D$7)^BS$2))),IF($N112=Lists!$K$3,IF($L112&lt;1,((($T112*(1-$F112)+$S112*(1-$G112))/$L112)*((1+Inputs!$D$7)^BS$2)),((INT(BS$2/$L112)-INT((BS$2-1)/$L112))*($T112*(1-$F112)+$S112*(1-$G112))*((1+Inputs!$D$7)^BS$2))),((Inputs!$D$8^((1-_xlfn.WEIBULL.DIST(BS$2,$M112,$L112,FALSE))/_xlfn.WEIBULL.DIST(BS$2,$M112,$L112,FALSE))*($T112*(1-$F112)+$S112*(1-$G112))*((1+Inputs!$D$7)^BS$2))))))))</f>
        <v>0</v>
      </c>
      <c r="BT112" s="88">
        <f>MAX(AD112,($E112*IF(BT$2&gt;Inputs!$D$5,0,IF(BT$2&gt;VLOOKUP($H112,Lists!$P$3:$Q$7,2),IF($N112=Lists!$K$3,IF($L112&lt;1,(($U112/$L112)*((1+Inputs!$D$7)^BT$2)),((INT(BT$2/$L112)-INT((BT$2-1)/$L112))*$U112*((1+Inputs!$D$7)^BT$2))),(Inputs!$D$8^((1-_xlfn.WEIBULL.DIST(BT$2,$M112,$L112,FALSE))/_xlfn.WEIBULL.DIST(BT$2,$M112,$L112,FALSE))*$U112*((1+Inputs!$D$7)^BT$2))),IF($N112=Lists!$K$3,IF($L112&lt;1,((($T112*(1-$F112)+$S112*(1-$G112))/$L112)*((1+Inputs!$D$7)^BT$2)),((INT(BT$2/$L112)-INT((BT$2-1)/$L112))*($T112*(1-$F112)+$S112*(1-$G112))*((1+Inputs!$D$7)^BT$2))),((Inputs!$D$8^((1-_xlfn.WEIBULL.DIST(BT$2,$M112,$L112,FALSE))/_xlfn.WEIBULL.DIST(BT$2,$M112,$L112,FALSE))*($T112*(1-$F112)+$S112*(1-$G112))*((1+Inputs!$D$7)^BT$2))))))))</f>
        <v>943.21699481287146</v>
      </c>
      <c r="BU112" s="88">
        <f>MAX(AE112,($E112*IF(BU$2&gt;Inputs!$D$5,0,IF(BU$2&gt;VLOOKUP($H112,Lists!$P$3:$Q$7,2),IF($N112=Lists!$K$3,IF($L112&lt;1,(($U112/$L112)*((1+Inputs!$D$7)^BU$2)),((INT(BU$2/$L112)-INT((BU$2-1)/$L112))*$U112*((1+Inputs!$D$7)^BU$2))),(Inputs!$D$8^((1-_xlfn.WEIBULL.DIST(BU$2,$M112,$L112,FALSE))/_xlfn.WEIBULL.DIST(BU$2,$M112,$L112,FALSE))*$U112*((1+Inputs!$D$7)^BU$2))),IF($N112=Lists!$K$3,IF($L112&lt;1,((($T112*(1-$F112)+$S112*(1-$G112))/$L112)*((1+Inputs!$D$7)^BU$2)),((INT(BU$2/$L112)-INT((BU$2-1)/$L112))*($T112*(1-$F112)+$S112*(1-$G112))*((1+Inputs!$D$7)^BU$2))),((Inputs!$D$8^((1-_xlfn.WEIBULL.DIST(BU$2,$M112,$L112,FALSE))/_xlfn.WEIBULL.DIST(BU$2,$M112,$L112,FALSE))*($T112*(1-$F112)+$S112*(1-$G112))*((1+Inputs!$D$7)^BU$2))))))))</f>
        <v>0</v>
      </c>
      <c r="BV112" s="88">
        <f>MAX(AF112,($E112*IF(BV$2&gt;Inputs!$D$5,0,IF(BV$2&gt;VLOOKUP($H112,Lists!$P$3:$Q$7,2),IF($N112=Lists!$K$3,IF($L112&lt;1,(($U112/$L112)*((1+Inputs!$D$7)^BV$2)),((INT(BV$2/$L112)-INT((BV$2-1)/$L112))*$U112*((1+Inputs!$D$7)^BV$2))),(Inputs!$D$8^((1-_xlfn.WEIBULL.DIST(BV$2,$M112,$L112,FALSE))/_xlfn.WEIBULL.DIST(BV$2,$M112,$L112,FALSE))*$U112*((1+Inputs!$D$7)^BV$2))),IF($N112=Lists!$K$3,IF($L112&lt;1,((($T112*(1-$F112)+$S112*(1-$G112))/$L112)*((1+Inputs!$D$7)^BV$2)),((INT(BV$2/$L112)-INT((BV$2-1)/$L112))*($T112*(1-$F112)+$S112*(1-$G112))*((1+Inputs!$D$7)^BV$2))),((Inputs!$D$8^((1-_xlfn.WEIBULL.DIST(BV$2,$M112,$L112,FALSE))/_xlfn.WEIBULL.DIST(BV$2,$M112,$L112,FALSE))*($T112*(1-$F112)+$S112*(1-$G112))*((1+Inputs!$D$7)^BV$2))))))))</f>
        <v>981.32296140331164</v>
      </c>
      <c r="BW112" s="88">
        <f>MAX(AG112,($E112*IF(BW$2&gt;Inputs!$D$5,0,IF(BW$2&gt;VLOOKUP($H112,Lists!$P$3:$Q$7,2),IF($N112=Lists!$K$3,IF($L112&lt;1,(($U112/$L112)*((1+Inputs!$D$7)^BW$2)),((INT(BW$2/$L112)-INT((BW$2-1)/$L112))*$U112*((1+Inputs!$D$7)^BW$2))),(Inputs!$D$8^((1-_xlfn.WEIBULL.DIST(BW$2,$M112,$L112,FALSE))/_xlfn.WEIBULL.DIST(BW$2,$M112,$L112,FALSE))*$U112*((1+Inputs!$D$7)^BW$2))),IF($N112=Lists!$K$3,IF($L112&lt;1,((($T112*(1-$F112)+$S112*(1-$G112))/$L112)*((1+Inputs!$D$7)^BW$2)),((INT(BW$2/$L112)-INT((BW$2-1)/$L112))*($T112*(1-$F112)+$S112*(1-$G112))*((1+Inputs!$D$7)^BW$2))),((Inputs!$D$8^((1-_xlfn.WEIBULL.DIST(BW$2,$M112,$L112,FALSE))/_xlfn.WEIBULL.DIST(BW$2,$M112,$L112,FALSE))*($T112*(1-$F112)+$S112*(1-$G112))*((1+Inputs!$D$7)^BW$2))))))))</f>
        <v>0</v>
      </c>
      <c r="BX112" s="88">
        <f>MAX(AH112,($E112*IF(BX$2&gt;Inputs!$D$5,0,IF(BX$2&gt;VLOOKUP($H112,Lists!$P$3:$Q$7,2),IF($N112=Lists!$K$3,IF($L112&lt;1,(($U112/$L112)*((1+Inputs!$D$7)^BX$2)),((INT(BX$2/$L112)-INT((BX$2-1)/$L112))*$U112*((1+Inputs!$D$7)^BX$2))),(Inputs!$D$8^((1-_xlfn.WEIBULL.DIST(BX$2,$M112,$L112,FALSE))/_xlfn.WEIBULL.DIST(BX$2,$M112,$L112,FALSE))*$U112*((1+Inputs!$D$7)^BX$2))),IF($N112=Lists!$K$3,IF($L112&lt;1,((($T112*(1-$F112)+$S112*(1-$G112))/$L112)*((1+Inputs!$D$7)^BX$2)),((INT(BX$2/$L112)-INT((BX$2-1)/$L112))*($T112*(1-$F112)+$S112*(1-$G112))*((1+Inputs!$D$7)^BX$2))),((Inputs!$D$8^((1-_xlfn.WEIBULL.DIST(BX$2,$M112,$L112,FALSE))/_xlfn.WEIBULL.DIST(BX$2,$M112,$L112,FALSE))*($T112*(1-$F112)+$S112*(1-$G112))*((1+Inputs!$D$7)^BX$2))))))))</f>
        <v>1020.9684090440053</v>
      </c>
      <c r="BY112" s="88">
        <f>MAX(AI112,($E112*IF(BY$2&gt;Inputs!$D$5,0,IF(BY$2&gt;VLOOKUP($H112,Lists!$P$3:$Q$7,2),IF($N112=Lists!$K$3,IF($L112&lt;1,(($U112/$L112)*((1+Inputs!$D$7)^BY$2)),((INT(BY$2/$L112)-INT((BY$2-1)/$L112))*$U112*((1+Inputs!$D$7)^BY$2))),(Inputs!$D$8^((1-_xlfn.WEIBULL.DIST(BY$2,$M112,$L112,FALSE))/_xlfn.WEIBULL.DIST(BY$2,$M112,$L112,FALSE))*$U112*((1+Inputs!$D$7)^BY$2))),IF($N112=Lists!$K$3,IF($L112&lt;1,((($T112*(1-$F112)+$S112*(1-$G112))/$L112)*((1+Inputs!$D$7)^BY$2)),((INT(BY$2/$L112)-INT((BY$2-1)/$L112))*($T112*(1-$F112)+$S112*(1-$G112))*((1+Inputs!$D$7)^BY$2))),((Inputs!$D$8^((1-_xlfn.WEIBULL.DIST(BY$2,$M112,$L112,FALSE))/_xlfn.WEIBULL.DIST(BY$2,$M112,$L112,FALSE))*($T112*(1-$F112)+$S112*(1-$G112))*((1+Inputs!$D$7)^BY$2))))))))</f>
        <v>0</v>
      </c>
      <c r="BZ112" s="88">
        <f>MAX(AJ112,($E112*IF(BZ$2&gt;Inputs!$D$5,0,IF(BZ$2&gt;VLOOKUP($H112,Lists!$P$3:$Q$7,2),IF($N112=Lists!$K$3,IF($L112&lt;1,(($U112/$L112)*((1+Inputs!$D$7)^BZ$2)),((INT(BZ$2/$L112)-INT((BZ$2-1)/$L112))*$U112*((1+Inputs!$D$7)^BZ$2))),(Inputs!$D$8^((1-_xlfn.WEIBULL.DIST(BZ$2,$M112,$L112,FALSE))/_xlfn.WEIBULL.DIST(BZ$2,$M112,$L112,FALSE))*$U112*((1+Inputs!$D$7)^BZ$2))),IF($N112=Lists!$K$3,IF($L112&lt;1,((($T112*(1-$F112)+$S112*(1-$G112))/$L112)*((1+Inputs!$D$7)^BZ$2)),((INT(BZ$2/$L112)-INT((BZ$2-1)/$L112))*($T112*(1-$F112)+$S112*(1-$G112))*((1+Inputs!$D$7)^BZ$2))),((Inputs!$D$8^((1-_xlfn.WEIBULL.DIST(BZ$2,$M112,$L112,FALSE))/_xlfn.WEIBULL.DIST(BZ$2,$M112,$L112,FALSE))*($T112*(1-$F112)+$S112*(1-$G112))*((1+Inputs!$D$7)^BZ$2))))))))</f>
        <v>1062.2155327693831</v>
      </c>
      <c r="CA112" s="88">
        <f>MAX(AK112,($E112*IF(CA$2&gt;Inputs!$D$5,0,IF(CA$2&gt;VLOOKUP($H112,Lists!$P$3:$Q$7,2),IF($N112=Lists!$K$3,IF($L112&lt;1,(($U112/$L112)*((1+Inputs!$D$7)^CA$2)),((INT(CA$2/$L112)-INT((CA$2-1)/$L112))*$U112*((1+Inputs!$D$7)^CA$2))),(Inputs!$D$8^((1-_xlfn.WEIBULL.DIST(CA$2,$M112,$L112,FALSE))/_xlfn.WEIBULL.DIST(CA$2,$M112,$L112,FALSE))*$U112*((1+Inputs!$D$7)^CA$2))),IF($N112=Lists!$K$3,IF($L112&lt;1,((($T112*(1-$F112)+$S112*(1-$G112))/$L112)*((1+Inputs!$D$7)^CA$2)),((INT(CA$2/$L112)-INT((CA$2-1)/$L112))*($T112*(1-$F112)+$S112*(1-$G112))*((1+Inputs!$D$7)^CA$2))),((Inputs!$D$8^((1-_xlfn.WEIBULL.DIST(CA$2,$M112,$L112,FALSE))/_xlfn.WEIBULL.DIST(CA$2,$M112,$L112,FALSE))*($T112*(1-$F112)+$S112*(1-$G112))*((1+Inputs!$D$7)^CA$2))))))))</f>
        <v>0</v>
      </c>
      <c r="CB112" s="88">
        <f>MAX(AL112,($E112*IF(CB$2&gt;Inputs!$D$5,0,IF(CB$2&gt;VLOOKUP($H112,Lists!$P$3:$Q$7,2),IF($N112=Lists!$K$3,IF($L112&lt;1,(($U112/$L112)*((1+Inputs!$D$7)^CB$2)),((INT(CB$2/$L112)-INT((CB$2-1)/$L112))*$U112*((1+Inputs!$D$7)^CB$2))),(Inputs!$D$8^((1-_xlfn.WEIBULL.DIST(CB$2,$M112,$L112,FALSE))/_xlfn.WEIBULL.DIST(CB$2,$M112,$L112,FALSE))*$U112*((1+Inputs!$D$7)^CB$2))),IF($N112=Lists!$K$3,IF($L112&lt;1,((($T112*(1-$F112)+$S112*(1-$G112))/$L112)*((1+Inputs!$D$7)^CB$2)),((INT(CB$2/$L112)-INT((CB$2-1)/$L112))*($T112*(1-$F112)+$S112*(1-$G112))*((1+Inputs!$D$7)^CB$2))),((Inputs!$D$8^((1-_xlfn.WEIBULL.DIST(CB$2,$M112,$L112,FALSE))/_xlfn.WEIBULL.DIST(CB$2,$M112,$L112,FALSE))*($T112*(1-$F112)+$S112*(1-$G112))*((1+Inputs!$D$7)^CB$2))))))))</f>
        <v>1105.1290402932661</v>
      </c>
      <c r="CC112" s="88">
        <f>MAX(AM112,($E112*IF(CC$2&gt;Inputs!$D$5,0,IF(CC$2&gt;VLOOKUP($H112,Lists!$P$3:$Q$7,2),IF($N112=Lists!$K$3,IF($L112&lt;1,(($U112/$L112)*((1+Inputs!$D$7)^CC$2)),((INT(CC$2/$L112)-INT((CC$2-1)/$L112))*$U112*((1+Inputs!$D$7)^CC$2))),(Inputs!$D$8^((1-_xlfn.WEIBULL.DIST(CC$2,$M112,$L112,FALSE))/_xlfn.WEIBULL.DIST(CC$2,$M112,$L112,FALSE))*$U112*((1+Inputs!$D$7)^CC$2))),IF($N112=Lists!$K$3,IF($L112&lt;1,((($T112*(1-$F112)+$S112*(1-$G112))/$L112)*((1+Inputs!$D$7)^CC$2)),((INT(CC$2/$L112)-INT((CC$2-1)/$L112))*($T112*(1-$F112)+$S112*(1-$G112))*((1+Inputs!$D$7)^CC$2))),((Inputs!$D$8^((1-_xlfn.WEIBULL.DIST(CC$2,$M112,$L112,FALSE))/_xlfn.WEIBULL.DIST(CC$2,$M112,$L112,FALSE))*($T112*(1-$F112)+$S112*(1-$G112))*((1+Inputs!$D$7)^CC$2))))))))</f>
        <v>0</v>
      </c>
      <c r="CD112" s="88">
        <f>MAX(AN112,($E112*IF(CD$2&gt;Inputs!$D$5,0,IF(CD$2&gt;VLOOKUP($H112,Lists!$P$3:$Q$7,2),IF($N112=Lists!$K$3,IF($L112&lt;1,(($U112/$L112)*((1+Inputs!$D$7)^CD$2)),((INT(CD$2/$L112)-INT((CD$2-1)/$L112))*$U112*((1+Inputs!$D$7)^CD$2))),(Inputs!$D$8^((1-_xlfn.WEIBULL.DIST(CD$2,$M112,$L112,FALSE))/_xlfn.WEIBULL.DIST(CD$2,$M112,$L112,FALSE))*$U112*((1+Inputs!$D$7)^CD$2))),IF($N112=Lists!$K$3,IF($L112&lt;1,((($T112*(1-$F112)+$S112*(1-$G112))/$L112)*((1+Inputs!$D$7)^CD$2)),((INT(CD$2/$L112)-INT((CD$2-1)/$L112))*($T112*(1-$F112)+$S112*(1-$G112))*((1+Inputs!$D$7)^CD$2))),((Inputs!$D$8^((1-_xlfn.WEIBULL.DIST(CD$2,$M112,$L112,FALSE))/_xlfn.WEIBULL.DIST(CD$2,$M112,$L112,FALSE))*($T112*(1-$F112)+$S112*(1-$G112))*((1+Inputs!$D$7)^CD$2))))))))</f>
        <v>1149.7762535211141</v>
      </c>
      <c r="CE112" s="88">
        <f>MAX(AO112,($E112*IF(CE$2&gt;Inputs!$D$5,0,IF(CE$2&gt;VLOOKUP($H112,Lists!$P$3:$Q$7,2),IF($N112=Lists!$K$3,IF($L112&lt;1,(($U112/$L112)*((1+Inputs!$D$7)^CE$2)),((INT(CE$2/$L112)-INT((CE$2-1)/$L112))*$U112*((1+Inputs!$D$7)^CE$2))),(Inputs!$D$8^((1-_xlfn.WEIBULL.DIST(CE$2,$M112,$L112,FALSE))/_xlfn.WEIBULL.DIST(CE$2,$M112,$L112,FALSE))*$U112*((1+Inputs!$D$7)^CE$2))),IF($N112=Lists!$K$3,IF($L112&lt;1,((($T112*(1-$F112)+$S112*(1-$G112))/$L112)*((1+Inputs!$D$7)^CE$2)),((INT(CE$2/$L112)-INT((CE$2-1)/$L112))*($T112*(1-$F112)+$S112*(1-$G112))*((1+Inputs!$D$7)^CE$2))),((Inputs!$D$8^((1-_xlfn.WEIBULL.DIST(CE$2,$M112,$L112,FALSE))/_xlfn.WEIBULL.DIST(CE$2,$M112,$L112,FALSE))*($T112*(1-$F112)+$S112*(1-$G112))*((1+Inputs!$D$7)^CE$2))))))))</f>
        <v>0</v>
      </c>
      <c r="CF112" s="88">
        <f>MAX(AP112,($E112*IF(CF$2&gt;Inputs!$D$5,0,IF(CF$2&gt;VLOOKUP($H112,Lists!$P$3:$Q$7,2),IF($N112=Lists!$K$3,IF($L112&lt;1,(($U112/$L112)*((1+Inputs!$D$7)^CF$2)),((INT(CF$2/$L112)-INT((CF$2-1)/$L112))*$U112*((1+Inputs!$D$7)^CF$2))),(Inputs!$D$8^((1-_xlfn.WEIBULL.DIST(CF$2,$M112,$L112,FALSE))/_xlfn.WEIBULL.DIST(CF$2,$M112,$L112,FALSE))*$U112*((1+Inputs!$D$7)^CF$2))),IF($N112=Lists!$K$3,IF($L112&lt;1,((($T112*(1-$F112)+$S112*(1-$G112))/$L112)*((1+Inputs!$D$7)^CF$2)),((INT(CF$2/$L112)-INT((CF$2-1)/$L112))*($T112*(1-$F112)+$S112*(1-$G112))*((1+Inputs!$D$7)^CF$2))),((Inputs!$D$8^((1-_xlfn.WEIBULL.DIST(CF$2,$M112,$L112,FALSE))/_xlfn.WEIBULL.DIST(CF$2,$M112,$L112,FALSE))*($T112*(1-$F112)+$S112*(1-$G112))*((1+Inputs!$D$7)^CF$2))))))))</f>
        <v>1196.2272141633671</v>
      </c>
      <c r="CG112" s="88">
        <f>MAX(AQ112,($E112*IF(CG$2&gt;Inputs!$D$5,0,IF(CG$2&gt;VLOOKUP($H112,Lists!$P$3:$Q$7,2),IF($N112=Lists!$K$3,IF($L112&lt;1,(($U112/$L112)*((1+Inputs!$D$7)^CG$2)),((INT(CG$2/$L112)-INT((CG$2-1)/$L112))*$U112*((1+Inputs!$D$7)^CG$2))),(Inputs!$D$8^((1-_xlfn.WEIBULL.DIST(CG$2,$M112,$L112,FALSE))/_xlfn.WEIBULL.DIST(CG$2,$M112,$L112,FALSE))*$U112*((1+Inputs!$D$7)^CG$2))),IF($N112=Lists!$K$3,IF($L112&lt;1,((($T112*(1-$F112)+$S112*(1-$G112))/$L112)*((1+Inputs!$D$7)^CG$2)),((INT(CG$2/$L112)-INT((CG$2-1)/$L112))*($T112*(1-$F112)+$S112*(1-$G112))*((1+Inputs!$D$7)^CG$2))),((Inputs!$D$8^((1-_xlfn.WEIBULL.DIST(CG$2,$M112,$L112,FALSE))/_xlfn.WEIBULL.DIST(CG$2,$M112,$L112,FALSE))*($T112*(1-$F112)+$S112*(1-$G112))*((1+Inputs!$D$7)^CG$2))))))))</f>
        <v>0</v>
      </c>
      <c r="CH112" s="88">
        <f>MAX(AR112,($E112*IF(CH$2&gt;Inputs!$D$5,0,IF(CH$2&gt;VLOOKUP($H112,Lists!$P$3:$Q$7,2),IF($N112=Lists!$K$3,IF($L112&lt;1,(($U112/$L112)*((1+Inputs!$D$7)^CH$2)),((INT(CH$2/$L112)-INT((CH$2-1)/$L112))*$U112*((1+Inputs!$D$7)^CH$2))),(Inputs!$D$8^((1-_xlfn.WEIBULL.DIST(CH$2,$M112,$L112,FALSE))/_xlfn.WEIBULL.DIST(CH$2,$M112,$L112,FALSE))*$U112*((1+Inputs!$D$7)^CH$2))),IF($N112=Lists!$K$3,IF($L112&lt;1,((($T112*(1-$F112)+$S112*(1-$G112))/$L112)*((1+Inputs!$D$7)^CH$2)),((INT(CH$2/$L112)-INT((CH$2-1)/$L112))*($T112*(1-$F112)+$S112*(1-$G112))*((1+Inputs!$D$7)^CH$2))),((Inputs!$D$8^((1-_xlfn.WEIBULL.DIST(CH$2,$M112,$L112,FALSE))/_xlfn.WEIBULL.DIST(CH$2,$M112,$L112,FALSE))*($T112*(1-$F112)+$S112*(1-$G112))*((1+Inputs!$D$7)^CH$2))))))))</f>
        <v>1244.554793615567</v>
      </c>
      <c r="CI112" s="88">
        <f>MAX(AS112,($E112*IF(CI$2&gt;Inputs!$D$5,0,IF(CI$2&gt;VLOOKUP($H112,Lists!$P$3:$Q$7,2),IF($N112=Lists!$K$3,IF($L112&lt;1,(($U112/$L112)*((1+Inputs!$D$7)^CI$2)),((INT(CI$2/$L112)-INT((CI$2-1)/$L112))*$U112*((1+Inputs!$D$7)^CI$2))),(Inputs!$D$8^((1-_xlfn.WEIBULL.DIST(CI$2,$M112,$L112,FALSE))/_xlfn.WEIBULL.DIST(CI$2,$M112,$L112,FALSE))*$U112*((1+Inputs!$D$7)^CI$2))),IF($N112=Lists!$K$3,IF($L112&lt;1,((($T112*(1-$F112)+$S112*(1-$G112))/$L112)*((1+Inputs!$D$7)^CI$2)),((INT(CI$2/$L112)-INT((CI$2-1)/$L112))*($T112*(1-$F112)+$S112*(1-$G112))*((1+Inputs!$D$7)^CI$2))),((Inputs!$D$8^((1-_xlfn.WEIBULL.DIST(CI$2,$M112,$L112,FALSE))/_xlfn.WEIBULL.DIST(CI$2,$M112,$L112,FALSE))*($T112*(1-$F112)+$S112*(1-$G112))*((1+Inputs!$D$7)^CI$2))))))))</f>
        <v>0</v>
      </c>
      <c r="CJ112" s="88">
        <f>MAX(AT112,($E112*IF(CJ$2&gt;Inputs!$D$5,0,IF(CJ$2&gt;VLOOKUP($H112,Lists!$P$3:$Q$7,2),IF($N112=Lists!$K$3,IF($L112&lt;1,(($U112/$L112)*((1+Inputs!$D$7)^CJ$2)),((INT(CJ$2/$L112)-INT((CJ$2-1)/$L112))*$U112*((1+Inputs!$D$7)^CJ$2))),(Inputs!$D$8^((1-_xlfn.WEIBULL.DIST(CJ$2,$M112,$L112,FALSE))/_xlfn.WEIBULL.DIST(CJ$2,$M112,$L112,FALSE))*$U112*((1+Inputs!$D$7)^CJ$2))),IF($N112=Lists!$K$3,IF($L112&lt;1,((($T112*(1-$F112)+$S112*(1-$G112))/$L112)*((1+Inputs!$D$7)^CJ$2)),((INT(CJ$2/$L112)-INT((CJ$2-1)/$L112))*($T112*(1-$F112)+$S112*(1-$G112))*((1+Inputs!$D$7)^CJ$2))),((Inputs!$D$8^((1-_xlfn.WEIBULL.DIST(CJ$2,$M112,$L112,FALSE))/_xlfn.WEIBULL.DIST(CJ$2,$M112,$L112,FALSE))*($T112*(1-$F112)+$S112*(1-$G112))*((1+Inputs!$D$7)^CJ$2))))))))</f>
        <v>1294.8348072776359</v>
      </c>
      <c r="CK112" s="88">
        <f>MAX(AU112,($E112*IF(CK$2&gt;Inputs!$D$5,0,IF(CK$2&gt;VLOOKUP($H112,Lists!$P$3:$Q$7,2),IF($N112=Lists!$K$3,IF($L112&lt;1,(($U112/$L112)*((1+Inputs!$D$7)^CK$2)),((INT(CK$2/$L112)-INT((CK$2-1)/$L112))*$U112*((1+Inputs!$D$7)^CK$2))),(Inputs!$D$8^((1-_xlfn.WEIBULL.DIST(CK$2,$M112,$L112,FALSE))/_xlfn.WEIBULL.DIST(CK$2,$M112,$L112,FALSE))*$U112*((1+Inputs!$D$7)^CK$2))),IF($N112=Lists!$K$3,IF($L112&lt;1,((($T112*(1-$F112)+$S112*(1-$G112))/$L112)*((1+Inputs!$D$7)^CK$2)),((INT(CK$2/$L112)-INT((CK$2-1)/$L112))*($T112*(1-$F112)+$S112*(1-$G112))*((1+Inputs!$D$7)^CK$2))),((Inputs!$D$8^((1-_xlfn.WEIBULL.DIST(CK$2,$M112,$L112,FALSE))/_xlfn.WEIBULL.DIST(CK$2,$M112,$L112,FALSE))*($T112*(1-$F112)+$S112*(1-$G112))*((1+Inputs!$D$7)^CK$2))))))))</f>
        <v>0</v>
      </c>
      <c r="CL112" s="88">
        <f>MAX(AV112,($E112*IF(CL$2&gt;Inputs!$D$5,0,IF(CL$2&gt;VLOOKUP($H112,Lists!$P$3:$Q$7,2),IF($N112=Lists!$K$3,IF($L112&lt;1,(($U112/$L112)*((1+Inputs!$D$7)^CL$2)),((INT(CL$2/$L112)-INT((CL$2-1)/$L112))*$U112*((1+Inputs!$D$7)^CL$2))),(Inputs!$D$8^((1-_xlfn.WEIBULL.DIST(CL$2,$M112,$L112,FALSE))/_xlfn.WEIBULL.DIST(CL$2,$M112,$L112,FALSE))*$U112*((1+Inputs!$D$7)^CL$2))),IF($N112=Lists!$K$3,IF($L112&lt;1,((($T112*(1-$F112)+$S112*(1-$G112))/$L112)*((1+Inputs!$D$7)^CL$2)),((INT(CL$2/$L112)-INT((CL$2-1)/$L112))*($T112*(1-$F112)+$S112*(1-$G112))*((1+Inputs!$D$7)^CL$2))),((Inputs!$D$8^((1-_xlfn.WEIBULL.DIST(CL$2,$M112,$L112,FALSE))/_xlfn.WEIBULL.DIST(CL$2,$M112,$L112,FALSE))*($T112*(1-$F112)+$S112*(1-$G112))*((1+Inputs!$D$7)^CL$2))))))))</f>
        <v>1347.1461334916526</v>
      </c>
      <c r="CM112" s="88">
        <f>MAX(AW112,($E112*IF(CM$2&gt;Inputs!$D$5,0,IF(CM$2&gt;VLOOKUP($H112,Lists!$P$3:$Q$7,2),IF($N112=Lists!$K$3,IF($L112&lt;1,(($U112/$L112)*((1+Inputs!$D$7)^CM$2)),((INT(CM$2/$L112)-INT((CM$2-1)/$L112))*$U112*((1+Inputs!$D$7)^CM$2))),(Inputs!$D$8^((1-_xlfn.WEIBULL.DIST(CM$2,$M112,$L112,FALSE))/_xlfn.WEIBULL.DIST(CM$2,$M112,$L112,FALSE))*$U112*((1+Inputs!$D$7)^CM$2))),IF($N112=Lists!$K$3,IF($L112&lt;1,((($T112*(1-$F112)+$S112*(1-$G112))/$L112)*((1+Inputs!$D$7)^CM$2)),((INT(CM$2/$L112)-INT((CM$2-1)/$L112))*($T112*(1-$F112)+$S112*(1-$G112))*((1+Inputs!$D$7)^CM$2))),((Inputs!$D$8^((1-_xlfn.WEIBULL.DIST(CM$2,$M112,$L112,FALSE))/_xlfn.WEIBULL.DIST(CM$2,$M112,$L112,FALSE))*($T112*(1-$F112)+$S112*(1-$G112))*((1+Inputs!$D$7)^CM$2))))))))</f>
        <v>0</v>
      </c>
      <c r="CN112" s="88">
        <f>MAX(AX112,($E112*IF(CN$2&gt;Inputs!$D$5,0,IF(CN$2&gt;VLOOKUP($H112,Lists!$P$3:$Q$7,2),IF($N112=Lists!$K$3,IF($L112&lt;1,(($U112/$L112)*((1+Inputs!$D$7)^CN$2)),((INT(CN$2/$L112)-INT((CN$2-1)/$L112))*$U112*((1+Inputs!$D$7)^CN$2))),(Inputs!$D$8^((1-_xlfn.WEIBULL.DIST(CN$2,$M112,$L112,FALSE))/_xlfn.WEIBULL.DIST(CN$2,$M112,$L112,FALSE))*$U112*((1+Inputs!$D$7)^CN$2))),IF($N112=Lists!$K$3,IF($L112&lt;1,((($T112*(1-$F112)+$S112*(1-$G112))/$L112)*((1+Inputs!$D$7)^CN$2)),((INT(CN$2/$L112)-INT((CN$2-1)/$L112))*($T112*(1-$F112)+$S112*(1-$G112))*((1+Inputs!$D$7)^CN$2))),((Inputs!$D$8^((1-_xlfn.WEIBULL.DIST(CN$2,$M112,$L112,FALSE))/_xlfn.WEIBULL.DIST(CN$2,$M112,$L112,FALSE))*($T112*(1-$F112)+$S112*(1-$G112))*((1+Inputs!$D$7)^CN$2))))))))</f>
        <v>1401.570837284715</v>
      </c>
      <c r="CO112" s="88">
        <f>MAX(AY112,($E112*IF(CO$2&gt;Inputs!$D$5,0,IF(CO$2&gt;VLOOKUP($H112,Lists!$P$3:$Q$7,2),IF($N112=Lists!$K$3,IF($L112&lt;1,(($U112/$L112)*((1+Inputs!$D$7)^CO$2)),((INT(CO$2/$L112)-INT((CO$2-1)/$L112))*$U112*((1+Inputs!$D$7)^CO$2))),(Inputs!$D$8^((1-_xlfn.WEIBULL.DIST(CO$2,$M112,$L112,FALSE))/_xlfn.WEIBULL.DIST(CO$2,$M112,$L112,FALSE))*$U112*((1+Inputs!$D$7)^CO$2))),IF($N112=Lists!$K$3,IF($L112&lt;1,((($T112*(1-$F112)+$S112*(1-$G112))/$L112)*((1+Inputs!$D$7)^CO$2)),((INT(CO$2/$L112)-INT((CO$2-1)/$L112))*($T112*(1-$F112)+$S112*(1-$G112))*((1+Inputs!$D$7)^CO$2))),((Inputs!$D$8^((1-_xlfn.WEIBULL.DIST(CO$2,$M112,$L112,FALSE))/_xlfn.WEIBULL.DIST(CO$2,$M112,$L112,FALSE))*($T112*(1-$F112)+$S112*(1-$G112))*((1+Inputs!$D$7)^CO$2))))))))</f>
        <v>0</v>
      </c>
      <c r="CP112" s="88">
        <f>MAX(AZ112,($E112*IF(CP$2&gt;Inputs!$D$5,0,IF(CP$2&gt;VLOOKUP($H112,Lists!$P$3:$Q$7,2),IF($N112=Lists!$K$3,IF($L112&lt;1,(($U112/$L112)*((1+Inputs!$D$7)^CP$2)),((INT(CP$2/$L112)-INT((CP$2-1)/$L112))*$U112*((1+Inputs!$D$7)^CP$2))),(Inputs!$D$8^((1-_xlfn.WEIBULL.DIST(CP$2,$M112,$L112,FALSE))/_xlfn.WEIBULL.DIST(CP$2,$M112,$L112,FALSE))*$U112*((1+Inputs!$D$7)^CP$2))),IF($N112=Lists!$K$3,IF($L112&lt;1,((($T112*(1-$F112)+$S112*(1-$G112))/$L112)*((1+Inputs!$D$7)^CP$2)),((INT(CP$2/$L112)-INT((CP$2-1)/$L112))*($T112*(1-$F112)+$S112*(1-$G112))*((1+Inputs!$D$7)^CP$2))),((Inputs!$D$8^((1-_xlfn.WEIBULL.DIST(CP$2,$M112,$L112,FALSE))/_xlfn.WEIBULL.DIST(CP$2,$M112,$L112,FALSE))*($T112*(1-$F112)+$S112*(1-$G112))*((1+Inputs!$D$7)^CP$2))))))))</f>
        <v>0</v>
      </c>
      <c r="CQ112" s="88">
        <f>MAX(BA112,($E112*IF(CQ$2&gt;Inputs!$D$5,0,IF(CQ$2&gt;VLOOKUP($H112,Lists!$P$3:$Q$7,2),IF($N112=Lists!$K$3,IF($L112&lt;1,(($U112/$L112)*((1+Inputs!$D$7)^CQ$2)),((INT(CQ$2/$L112)-INT((CQ$2-1)/$L112))*$U112*((1+Inputs!$D$7)^CQ$2))),(Inputs!$D$8^((1-_xlfn.WEIBULL.DIST(CQ$2,$M112,$L112,FALSE))/_xlfn.WEIBULL.DIST(CQ$2,$M112,$L112,FALSE))*$U112*((1+Inputs!$D$7)^CQ$2))),IF($N112=Lists!$K$3,IF($L112&lt;1,((($T112*(1-$F112)+$S112*(1-$G112))/$L112)*((1+Inputs!$D$7)^CQ$2)),((INT(CQ$2/$L112)-INT((CQ$2-1)/$L112))*($T112*(1-$F112)+$S112*(1-$G112))*((1+Inputs!$D$7)^CQ$2))),((Inputs!$D$8^((1-_xlfn.WEIBULL.DIST(CQ$2,$M112,$L112,FALSE))/_xlfn.WEIBULL.DIST(CQ$2,$M112,$L112,FALSE))*($T112*(1-$F112)+$S112*(1-$G112))*((1+Inputs!$D$7)^CQ$2))))))))</f>
        <v>0</v>
      </c>
      <c r="CR112" s="88">
        <f>MAX(BB112,($E112*IF(CR$2&gt;Inputs!$D$5,0,IF(CR$2&gt;VLOOKUP($H112,Lists!$P$3:$Q$7,2),IF($N112=Lists!$K$3,IF($L112&lt;1,(($U112/$L112)*((1+Inputs!$D$7)^CR$2)),((INT(CR$2/$L112)-INT((CR$2-1)/$L112))*$U112*((1+Inputs!$D$7)^CR$2))),(Inputs!$D$8^((1-_xlfn.WEIBULL.DIST(CR$2,$M112,$L112,FALSE))/_xlfn.WEIBULL.DIST(CR$2,$M112,$L112,FALSE))*$U112*((1+Inputs!$D$7)^CR$2))),IF($N112=Lists!$K$3,IF($L112&lt;1,((($T112*(1-$F112)+$S112*(1-$G112))/$L112)*((1+Inputs!$D$7)^CR$2)),((INT(CR$2/$L112)-INT((CR$2-1)/$L112))*($T112*(1-$F112)+$S112*(1-$G112))*((1+Inputs!$D$7)^CR$2))),((Inputs!$D$8^((1-_xlfn.WEIBULL.DIST(CR$2,$M112,$L112,FALSE))/_xlfn.WEIBULL.DIST(CR$2,$M112,$L112,FALSE))*($T112*(1-$F112)+$S112*(1-$G112))*((1+Inputs!$D$7)^CR$2))))))))</f>
        <v>0</v>
      </c>
      <c r="CS112" s="88">
        <f>MAX(BC112,($E112*IF(CS$2&gt;Inputs!$D$5,0,IF(CS$2&gt;VLOOKUP($H112,Lists!$P$3:$Q$7,2),IF($N112=Lists!$K$3,IF($L112&lt;1,(($U112/$L112)*((1+Inputs!$D$7)^CS$2)),((INT(CS$2/$L112)-INT((CS$2-1)/$L112))*$U112*((1+Inputs!$D$7)^CS$2))),(Inputs!$D$8^((1-_xlfn.WEIBULL.DIST(CS$2,$M112,$L112,FALSE))/_xlfn.WEIBULL.DIST(CS$2,$M112,$L112,FALSE))*$U112*((1+Inputs!$D$7)^CS$2))),IF($N112=Lists!$K$3,IF($L112&lt;1,((($T112*(1-$F112)+$S112*(1-$G112))/$L112)*((1+Inputs!$D$7)^CS$2)),((INT(CS$2/$L112)-INT((CS$2-1)/$L112))*($T112*(1-$F112)+$S112*(1-$G112))*((1+Inputs!$D$7)^CS$2))),((Inputs!$D$8^((1-_xlfn.WEIBULL.DIST(CS$2,$M112,$L112,FALSE))/_xlfn.WEIBULL.DIST(CS$2,$M112,$L112,FALSE))*($T112*(1-$F112)+$S112*(1-$G112))*((1+Inputs!$D$7)^CS$2))))))))</f>
        <v>0</v>
      </c>
      <c r="CT112" s="88">
        <f>MAX(BD112,($E112*IF(CT$2&gt;Inputs!$D$5,0,IF(CT$2&gt;VLOOKUP($H112,Lists!$P$3:$Q$7,2),IF($N112=Lists!$K$3,IF($L112&lt;1,(($U112/$L112)*((1+Inputs!$D$7)^CT$2)),((INT(CT$2/$L112)-INT((CT$2-1)/$L112))*$U112*((1+Inputs!$D$7)^CT$2))),(Inputs!$D$8^((1-_xlfn.WEIBULL.DIST(CT$2,$M112,$L112,FALSE))/_xlfn.WEIBULL.DIST(CT$2,$M112,$L112,FALSE))*$U112*((1+Inputs!$D$7)^CT$2))),IF($N112=Lists!$K$3,IF($L112&lt;1,((($T112*(1-$F112)+$S112*(1-$G112))/$L112)*((1+Inputs!$D$7)^CT$2)),((INT(CT$2/$L112)-INT((CT$2-1)/$L112))*($T112*(1-$F112)+$S112*(1-$G112))*((1+Inputs!$D$7)^CT$2))),((Inputs!$D$8^((1-_xlfn.WEIBULL.DIST(CT$2,$M112,$L112,FALSE))/_xlfn.WEIBULL.DIST(CT$2,$M112,$L112,FALSE))*($T112*(1-$F112)+$S112*(1-$G112))*((1+Inputs!$D$7)^CT$2))))))))</f>
        <v>0</v>
      </c>
      <c r="CU112" s="88">
        <f>MAX(BE112,($E112*IF(CU$2&gt;Inputs!$D$5,0,IF(CU$2&gt;VLOOKUP($H112,Lists!$P$3:$Q$7,2),IF($N112=Lists!$K$3,IF($L112&lt;1,(($U112/$L112)*((1+Inputs!$D$7)^CU$2)),((INT(CU$2/$L112)-INT((CU$2-1)/$L112))*$U112*((1+Inputs!$D$7)^CU$2))),(Inputs!$D$8^((1-_xlfn.WEIBULL.DIST(CU$2,$M112,$L112,FALSE))/_xlfn.WEIBULL.DIST(CU$2,$M112,$L112,FALSE))*$U112*((1+Inputs!$D$7)^CU$2))),IF($N112=Lists!$K$3,IF($L112&lt;1,((($T112*(1-$F112)+$S112*(1-$G112))/$L112)*((1+Inputs!$D$7)^CU$2)),((INT(CU$2/$L112)-INT((CU$2-1)/$L112))*($T112*(1-$F112)+$S112*(1-$G112))*((1+Inputs!$D$7)^CU$2))),((Inputs!$D$8^((1-_xlfn.WEIBULL.DIST(CU$2,$M112,$L112,FALSE))/_xlfn.WEIBULL.DIST(CU$2,$M112,$L112,FALSE))*($T112*(1-$F112)+$S112*(1-$G112))*((1+Inputs!$D$7)^CU$2))))))))</f>
        <v>0</v>
      </c>
      <c r="CV112" s="88">
        <f>MAX(BF112,($E112*IF(CV$2&gt;Inputs!$D$5,0,IF(CV$2&gt;VLOOKUP($H112,Lists!$P$3:$Q$7,2),IF($N112=Lists!$K$3,IF($L112&lt;1,(($U112/$L112)*((1+Inputs!$D$7)^CV$2)),((INT(CV$2/$L112)-INT((CV$2-1)/$L112))*$U112*((1+Inputs!$D$7)^CV$2))),(Inputs!$D$8^((1-_xlfn.WEIBULL.DIST(CV$2,$M112,$L112,FALSE))/_xlfn.WEIBULL.DIST(CV$2,$M112,$L112,FALSE))*$U112*((1+Inputs!$D$7)^CV$2))),IF($N112=Lists!$K$3,IF($L112&lt;1,((($T112*(1-$F112)+$S112*(1-$G112))/$L112)*((1+Inputs!$D$7)^CV$2)),((INT(CV$2/$L112)-INT((CV$2-1)/$L112))*($T112*(1-$F112)+$S112*(1-$G112))*((1+Inputs!$D$7)^CV$2))),((Inputs!$D$8^((1-_xlfn.WEIBULL.DIST(CV$2,$M112,$L112,FALSE))/_xlfn.WEIBULL.DIST(CV$2,$M112,$L112,FALSE))*($T112*(1-$F112)+$S112*(1-$G112))*((1+Inputs!$D$7)^CV$2))))))))</f>
        <v>0</v>
      </c>
      <c r="CW112" s="88">
        <f>MAX(BG112,($E112*IF(CW$2&gt;Inputs!$D$5,0,IF(CW$2&gt;VLOOKUP($H112,Lists!$P$3:$Q$7,2),IF($N112=Lists!$K$3,IF($L112&lt;1,(($U112/$L112)*((1+Inputs!$D$7)^CW$2)),((INT(CW$2/$L112)-INT((CW$2-1)/$L112))*$U112*((1+Inputs!$D$7)^CW$2))),(Inputs!$D$8^((1-_xlfn.WEIBULL.DIST(CW$2,$M112,$L112,FALSE))/_xlfn.WEIBULL.DIST(CW$2,$M112,$L112,FALSE))*$U112*((1+Inputs!$D$7)^CW$2))),IF($N112=Lists!$K$3,IF($L112&lt;1,((($T112*(1-$F112)+$S112*(1-$G112))/$L112)*((1+Inputs!$D$7)^CW$2)),((INT(CW$2/$L112)-INT((CW$2-1)/$L112))*($T112*(1-$F112)+$S112*(1-$G112))*((1+Inputs!$D$7)^CW$2))),((Inputs!$D$8^((1-_xlfn.WEIBULL.DIST(CW$2,$M112,$L112,FALSE))/_xlfn.WEIBULL.DIST(CW$2,$M112,$L112,FALSE))*($T112*(1-$F112)+$S112*(1-$G112))*((1+Inputs!$D$7)^CW$2))))))))</f>
        <v>0</v>
      </c>
      <c r="CX112" s="88">
        <f>MAX(BH112,($E112*IF(CX$2&gt;Inputs!$D$5,0,IF(CX$2&gt;VLOOKUP($H112,Lists!$P$3:$Q$7,2),IF($N112=Lists!$K$3,IF($L112&lt;1,(($U112/$L112)*((1+Inputs!$D$7)^CX$2)),((INT(CX$2/$L112)-INT((CX$2-1)/$L112))*$U112*((1+Inputs!$D$7)^CX$2))),(Inputs!$D$8^((1-_xlfn.WEIBULL.DIST(CX$2,$M112,$L112,FALSE))/_xlfn.WEIBULL.DIST(CX$2,$M112,$L112,FALSE))*$U112*((1+Inputs!$D$7)^CX$2))),IF($N112=Lists!$K$3,IF($L112&lt;1,((($T112*(1-$F112)+$S112*(1-$G112))/$L112)*((1+Inputs!$D$7)^CX$2)),((INT(CX$2/$L112)-INT((CX$2-1)/$L112))*($T112*(1-$F112)+$S112*(1-$G112))*((1+Inputs!$D$7)^CX$2))),((Inputs!$D$8^((1-_xlfn.WEIBULL.DIST(CX$2,$M112,$L112,FALSE))/_xlfn.WEIBULL.DIST(CX$2,$M112,$L112,FALSE))*($T112*(1-$F112)+$S112*(1-$G112))*((1+Inputs!$D$7)^CX$2))))))))</f>
        <v>0</v>
      </c>
      <c r="CY112" s="88">
        <f>MAX(BI112,($E112*IF(CY$2&gt;Inputs!$D$5,0,IF(CY$2&gt;VLOOKUP($H112,Lists!$P$3:$Q$7,2),IF($N112=Lists!$K$3,IF($L112&lt;1,(($U112/$L112)*((1+Inputs!$D$7)^CY$2)),((INT(CY$2/$L112)-INT((CY$2-1)/$L112))*$U112*((1+Inputs!$D$7)^CY$2))),(Inputs!$D$8^((1-_xlfn.WEIBULL.DIST(CY$2,$M112,$L112,FALSE))/_xlfn.WEIBULL.DIST(CY$2,$M112,$L112,FALSE))*$U112*((1+Inputs!$D$7)^CY$2))),IF($N112=Lists!$K$3,IF($L112&lt;1,((($T112*(1-$F112)+$S112*(1-$G112))/$L112)*((1+Inputs!$D$7)^CY$2)),((INT(CY$2/$L112)-INT((CY$2-1)/$L112))*($T112*(1-$F112)+$S112*(1-$G112))*((1+Inputs!$D$7)^CY$2))),((Inputs!$D$8^((1-_xlfn.WEIBULL.DIST(CY$2,$M112,$L112,FALSE))/_xlfn.WEIBULL.DIST(CY$2,$M112,$L112,FALSE))*($T112*(1-$F112)+$S112*(1-$G112))*((1+Inputs!$D$7)^CY$2))))))))</f>
        <v>0</v>
      </c>
      <c r="CZ112" s="88">
        <f>MAX(BJ112,($E112*IF(CZ$2&gt;Inputs!$D$5,0,IF(CZ$2&gt;VLOOKUP($H112,Lists!$P$3:$Q$7,2),IF($N112=Lists!$K$3,IF($L112&lt;1,(($U112/$L112)*((1+Inputs!$D$7)^CZ$2)),((INT(CZ$2/$L112)-INT((CZ$2-1)/$L112))*$U112*((1+Inputs!$D$7)^CZ$2))),(Inputs!$D$8^((1-_xlfn.WEIBULL.DIST(CZ$2,$M112,$L112,FALSE))/_xlfn.WEIBULL.DIST(CZ$2,$M112,$L112,FALSE))*$U112*((1+Inputs!$D$7)^CZ$2))),IF($N112=Lists!$K$3,IF($L112&lt;1,((($T112*(1-$F112)+$S112*(1-$G112))/$L112)*((1+Inputs!$D$7)^CZ$2)),((INT(CZ$2/$L112)-INT((CZ$2-1)/$L112))*($T112*(1-$F112)+$S112*(1-$G112))*((1+Inputs!$D$7)^CZ$2))),((Inputs!$D$8^((1-_xlfn.WEIBULL.DIST(CZ$2,$M112,$L112,FALSE))/_xlfn.WEIBULL.DIST(CZ$2,$M112,$L112,FALSE))*($T112*(1-$F112)+$S112*(1-$G112))*((1+Inputs!$D$7)^CZ$2))))))))</f>
        <v>0</v>
      </c>
      <c r="DA112" s="88">
        <f>MAX(BK112,($E112*IF(DA$2&gt;Inputs!$D$5,0,IF(DA$2&gt;VLOOKUP($H112,Lists!$P$3:$Q$7,2),IF($N112=Lists!$K$3,IF($L112&lt;1,(($U112/$L112)*((1+Inputs!$D$7)^DA$2)),((INT(DA$2/$L112)-INT((DA$2-1)/$L112))*$U112*((1+Inputs!$D$7)^DA$2))),(Inputs!$D$8^((1-_xlfn.WEIBULL.DIST(DA$2,$M112,$L112,FALSE))/_xlfn.WEIBULL.DIST(DA$2,$M112,$L112,FALSE))*$U112*((1+Inputs!$D$7)^DA$2))),IF($N112=Lists!$K$3,IF($L112&lt;1,((($T112*(1-$F112)+$S112*(1-$G112))/$L112)*((1+Inputs!$D$7)^DA$2)),((INT(DA$2/$L112)-INT((DA$2-1)/$L112))*($T112*(1-$F112)+$S112*(1-$G112))*((1+Inputs!$D$7)^DA$2))),((Inputs!$D$8^((1-_xlfn.WEIBULL.DIST(DA$2,$M112,$L112,FALSE))/_xlfn.WEIBULL.DIST(DA$2,$M112,$L112,FALSE))*($T112*(1-$F112)+$S112*(1-$G112))*((1+Inputs!$D$7)^DA$2))))))))</f>
        <v>0</v>
      </c>
      <c r="DB112" s="88">
        <f>MAX(BL112,($E112*IF(DB$2&gt;Inputs!$D$5,0,IF(DB$2&gt;VLOOKUP($H112,Lists!$P$3:$Q$7,2),IF($N112=Lists!$K$3,IF($L112&lt;1,(($U112/$L112)*((1+Inputs!$D$7)^DB$2)),((INT(DB$2/$L112)-INT((DB$2-1)/$L112))*$U112*((1+Inputs!$D$7)^DB$2))),(Inputs!$D$8^((1-_xlfn.WEIBULL.DIST(DB$2,$M112,$L112,FALSE))/_xlfn.WEIBULL.DIST(DB$2,$M112,$L112,FALSE))*$U112*((1+Inputs!$D$7)^DB$2))),IF($N112=Lists!$K$3,IF($L112&lt;1,((($T112*(1-$F112)+$S112*(1-$G112))/$L112)*((1+Inputs!$D$7)^DB$2)),((INT(DB$2/$L112)-INT((DB$2-1)/$L112))*($T112*(1-$F112)+$S112*(1-$G112))*((1+Inputs!$D$7)^DB$2))),((Inputs!$D$8^((1-_xlfn.WEIBULL.DIST(DB$2,$M112,$L112,FALSE))/_xlfn.WEIBULL.DIST(DB$2,$M112,$L112,FALSE))*($T112*(1-$F112)+$S112*(1-$G112))*((1+Inputs!$D$7)^DB$2))))))))</f>
        <v>0</v>
      </c>
      <c r="DC112" s="88">
        <f>MAX(BM112,($E112*IF(DC$2&gt;Inputs!$D$5,0,IF(DC$2&gt;VLOOKUP($H112,Lists!$P$3:$Q$7,2),IF($N112=Lists!$K$3,IF($L112&lt;1,(($U112/$L112)*((1+Inputs!$D$7)^DC$2)),((INT(DC$2/$L112)-INT((DC$2-1)/$L112))*$U112*((1+Inputs!$D$7)^DC$2))),(Inputs!$D$8^((1-_xlfn.WEIBULL.DIST(DC$2,$M112,$L112,FALSE))/_xlfn.WEIBULL.DIST(DC$2,$M112,$L112,FALSE))*$U112*((1+Inputs!$D$7)^DC$2))),IF($N112=Lists!$K$3,IF($L112&lt;1,((($T112*(1-$F112)+$S112*(1-$G112))/$L112)*((1+Inputs!$D$7)^DC$2)),((INT(DC$2/$L112)-INT((DC$2-1)/$L112))*($T112*(1-$F112)+$S112*(1-$G112))*((1+Inputs!$D$7)^DC$2))),((Inputs!$D$8^((1-_xlfn.WEIBULL.DIST(DC$2,$M112,$L112,FALSE))/_xlfn.WEIBULL.DIST(DC$2,$M112,$L112,FALSE))*($T112*(1-$F112)+$S112*(1-$G112))*((1+Inputs!$D$7)^DC$2))))))))</f>
        <v>0</v>
      </c>
      <c r="DD112" s="88">
        <f>MAX(BN112,($E112*IF(DD$2&gt;Inputs!$D$5,0,IF(DD$2&gt;VLOOKUP($H112,Lists!$P$3:$Q$7,2),IF($N112=Lists!$K$3,IF($L112&lt;1,(($U112/$L112)*((1+Inputs!$D$7)^DD$2)),((INT(DD$2/$L112)-INT((DD$2-1)/$L112))*$U112*((1+Inputs!$D$7)^DD$2))),(Inputs!$D$8^((1-_xlfn.WEIBULL.DIST(DD$2,$M112,$L112,FALSE))/_xlfn.WEIBULL.DIST(DD$2,$M112,$L112,FALSE))*$U112*((1+Inputs!$D$7)^DD$2))),IF($N112=Lists!$K$3,IF($L112&lt;1,((($T112*(1-$F112)+$S112*(1-$G112))/$L112)*((1+Inputs!$D$7)^DD$2)),((INT(DD$2/$L112)-INT((DD$2-1)/$L112))*($T112*(1-$F112)+$S112*(1-$G112))*((1+Inputs!$D$7)^DD$2))),((Inputs!$D$8^((1-_xlfn.WEIBULL.DIST(DD$2,$M112,$L112,FALSE))/_xlfn.WEIBULL.DIST(DD$2,$M112,$L112,FALSE))*($T112*(1-$F112)+$S112*(1-$G112))*((1+Inputs!$D$7)^DD$2))))))))</f>
        <v>0</v>
      </c>
    </row>
    <row r="113" spans="1:108" ht="16">
      <c r="A113" s="126" t="s">
        <v>425</v>
      </c>
      <c r="B113" s="128" t="s">
        <v>279</v>
      </c>
      <c r="C113" s="128" t="s">
        <v>90</v>
      </c>
      <c r="D113" s="128" t="s">
        <v>30</v>
      </c>
      <c r="E113" s="129">
        <f>IF(Inputs!$D$46=Lists!$AC$3,1,0)</f>
        <v>1</v>
      </c>
      <c r="F113" s="129">
        <v>0</v>
      </c>
      <c r="G113" s="129">
        <v>0</v>
      </c>
      <c r="H113" s="132" t="s">
        <v>350</v>
      </c>
      <c r="I113" s="134" t="s">
        <v>426</v>
      </c>
      <c r="J113" s="14" t="s">
        <v>246</v>
      </c>
      <c r="K113" s="13">
        <f>VLOOKUP(J113,'Labor Rates'!$A$1:$F$16,2)</f>
        <v>33.119999999999997</v>
      </c>
      <c r="L113" s="132">
        <v>1</v>
      </c>
      <c r="M113" s="132">
        <v>1</v>
      </c>
      <c r="N113" s="128" t="s">
        <v>240</v>
      </c>
      <c r="O113" s="137">
        <f>Inputs!$D$15/1000000</f>
        <v>10</v>
      </c>
      <c r="P113" s="132">
        <v>0</v>
      </c>
      <c r="Q113" s="15">
        <f t="shared" si="21"/>
        <v>0</v>
      </c>
      <c r="R113" s="139">
        <v>900</v>
      </c>
      <c r="S113" s="53">
        <f t="shared" si="22"/>
        <v>0</v>
      </c>
      <c r="T113" s="53">
        <f>MAX(R113,R113*O113)</f>
        <v>9000</v>
      </c>
      <c r="U113" s="54">
        <f t="shared" si="24"/>
        <v>9000</v>
      </c>
      <c r="V113" s="65"/>
      <c r="W113" s="58"/>
      <c r="X113" s="64">
        <f t="shared" si="25"/>
        <v>11152.492737703229</v>
      </c>
      <c r="Y113" s="64">
        <f>NPV(Inputs!$D$6,AA113:BN113)</f>
        <v>128101.33598030161</v>
      </c>
      <c r="Z113" s="67">
        <f t="shared" si="26"/>
        <v>6.041884404621873E-2</v>
      </c>
      <c r="AA113" s="88">
        <f>$E113*IF(AA$2&gt;Inputs!$D$5,0,IF(AA$2&gt;VLOOKUP($H113,Lists!$P$3:$Q$7,2),IF($N113=Lists!$K$3,IF($L113&lt;1,(($U113/$L113)*((1+Inputs!$D$7)^AA$2)),((INT(AA$2/$L113)-INT((AA$2-1)/$L113))*$U113*((1+Inputs!$D$7)^AA$2))),(_xlfn.WEIBULL.DIST(AA$2,$M113,$L113,FALSE)*$U113*((1+Inputs!$D$7)^AA$2))),IF($N113=Lists!$K$3,IF($L113&lt;1,((($T113*(1-$F113)+$S113*(1-$G113))/$L113)*((1+Inputs!$D$7)^AA$2)),((INT(AA$2/$L113)-INT((AA$2-1)/$L113))*($T113*(1-$F113)+$S113*(1-$G113))*((1+Inputs!$D$7)^AA$2))),((_xlfn.WEIBULL.DIST(AA$2,$M113,$L113,FALSE)*($T113*(1-$F113)+$S113*(1-$G113))*((1+Inputs!$D$7)^AA$2))))))</f>
        <v>9180</v>
      </c>
      <c r="AB113" s="88">
        <f>$E113*IF(AB$2&gt;Inputs!$D$5,0,IF(AB$2&gt;VLOOKUP($H113,Lists!$P$3:$Q$7,2),IF($N113=Lists!$K$3,IF($L113&lt;1,(($U113/$L113)*((1+Inputs!$D$7)^AB$2)),((INT(AB$2/$L113)-INT((AB$2-1)/$L113))*$U113*((1+Inputs!$D$7)^AB$2))),(_xlfn.WEIBULL.DIST(AB$2,$M113,$L113,FALSE)*$U113*((1+Inputs!$D$7)^AB$2))),IF($N113=Lists!$K$3,IF($L113&lt;1,((($T113*(1-$F113)+$S113*(1-$G113))/$L113)*((1+Inputs!$D$7)^AB$2)),((INT(AB$2/$L113)-INT((AB$2-1)/$L113))*($T113*(1-$F113)+$S113*(1-$G113))*((1+Inputs!$D$7)^AB$2))),((_xlfn.WEIBULL.DIST(AB$2,$M113,$L113,FALSE)*($T113*(1-$F113)+$S113*(1-$G113))*((1+Inputs!$D$7)^AB$2))))))</f>
        <v>9363.6</v>
      </c>
      <c r="AC113" s="88">
        <f>$E113*IF(AC$2&gt;Inputs!$D$5,0,IF(AC$2&gt;VLOOKUP($H113,Lists!$P$3:$Q$7,2),IF($N113=Lists!$K$3,IF($L113&lt;1,(($U113/$L113)*((1+Inputs!$D$7)^AC$2)),((INT(AC$2/$L113)-INT((AC$2-1)/$L113))*$U113*((1+Inputs!$D$7)^AC$2))),(_xlfn.WEIBULL.DIST(AC$2,$M113,$L113,FALSE)*$U113*((1+Inputs!$D$7)^AC$2))),IF($N113=Lists!$K$3,IF($L113&lt;1,((($T113*(1-$F113)+$S113*(1-$G113))/$L113)*((1+Inputs!$D$7)^AC$2)),((INT(AC$2/$L113)-INT((AC$2-1)/$L113))*($T113*(1-$F113)+$S113*(1-$G113))*((1+Inputs!$D$7)^AC$2))),((_xlfn.WEIBULL.DIST(AC$2,$M113,$L113,FALSE)*($T113*(1-$F113)+$S113*(1-$G113))*((1+Inputs!$D$7)^AC$2))))))</f>
        <v>9550.8719999999994</v>
      </c>
      <c r="AD113" s="88">
        <f>$E113*IF(AD$2&gt;Inputs!$D$5,0,IF(AD$2&gt;VLOOKUP($H113,Lists!$P$3:$Q$7,2),IF($N113=Lists!$K$3,IF($L113&lt;1,(($U113/$L113)*((1+Inputs!$D$7)^AD$2)),((INT(AD$2/$L113)-INT((AD$2-1)/$L113))*$U113*((1+Inputs!$D$7)^AD$2))),(_xlfn.WEIBULL.DIST(AD$2,$M113,$L113,FALSE)*$U113*((1+Inputs!$D$7)^AD$2))),IF($N113=Lists!$K$3,IF($L113&lt;1,((($T113*(1-$F113)+$S113*(1-$G113))/$L113)*((1+Inputs!$D$7)^AD$2)),((INT(AD$2/$L113)-INT((AD$2-1)/$L113))*($T113*(1-$F113)+$S113*(1-$G113))*((1+Inputs!$D$7)^AD$2))),((_xlfn.WEIBULL.DIST(AD$2,$M113,$L113,FALSE)*($T113*(1-$F113)+$S113*(1-$G113))*((1+Inputs!$D$7)^AD$2))))))</f>
        <v>9741.889439999999</v>
      </c>
      <c r="AE113" s="88">
        <f>$E113*IF(AE$2&gt;Inputs!$D$5,0,IF(AE$2&gt;VLOOKUP($H113,Lists!$P$3:$Q$7,2),IF($N113=Lists!$K$3,IF($L113&lt;1,(($U113/$L113)*((1+Inputs!$D$7)^AE$2)),((INT(AE$2/$L113)-INT((AE$2-1)/$L113))*$U113*((1+Inputs!$D$7)^AE$2))),(_xlfn.WEIBULL.DIST(AE$2,$M113,$L113,FALSE)*$U113*((1+Inputs!$D$7)^AE$2))),IF($N113=Lists!$K$3,IF($L113&lt;1,((($T113*(1-$F113)+$S113*(1-$G113))/$L113)*((1+Inputs!$D$7)^AE$2)),((INT(AE$2/$L113)-INT((AE$2-1)/$L113))*($T113*(1-$F113)+$S113*(1-$G113))*((1+Inputs!$D$7)^AE$2))),((_xlfn.WEIBULL.DIST(AE$2,$M113,$L113,FALSE)*($T113*(1-$F113)+$S113*(1-$G113))*((1+Inputs!$D$7)^AE$2))))))</f>
        <v>9936.7272288000004</v>
      </c>
      <c r="AF113" s="88">
        <f>$E113*IF(AF$2&gt;Inputs!$D$5,0,IF(AF$2&gt;VLOOKUP($H113,Lists!$P$3:$Q$7,2),IF($N113=Lists!$K$3,IF($L113&lt;1,(($U113/$L113)*((1+Inputs!$D$7)^AF$2)),((INT(AF$2/$L113)-INT((AF$2-1)/$L113))*$U113*((1+Inputs!$D$7)^AF$2))),(_xlfn.WEIBULL.DIST(AF$2,$M113,$L113,FALSE)*$U113*((1+Inputs!$D$7)^AF$2))),IF($N113=Lists!$K$3,IF($L113&lt;1,((($T113*(1-$F113)+$S113*(1-$G113))/$L113)*((1+Inputs!$D$7)^AF$2)),((INT(AF$2/$L113)-INT((AF$2-1)/$L113))*($T113*(1-$F113)+$S113*(1-$G113))*((1+Inputs!$D$7)^AF$2))),((_xlfn.WEIBULL.DIST(AF$2,$M113,$L113,FALSE)*($T113*(1-$F113)+$S113*(1-$G113))*((1+Inputs!$D$7)^AF$2))))))</f>
        <v>10135.461773376001</v>
      </c>
      <c r="AG113" s="88">
        <f>$E113*IF(AG$2&gt;Inputs!$D$5,0,IF(AG$2&gt;VLOOKUP($H113,Lists!$P$3:$Q$7,2),IF($N113=Lists!$K$3,IF($L113&lt;1,(($U113/$L113)*((1+Inputs!$D$7)^AG$2)),((INT(AG$2/$L113)-INT((AG$2-1)/$L113))*$U113*((1+Inputs!$D$7)^AG$2))),(_xlfn.WEIBULL.DIST(AG$2,$M113,$L113,FALSE)*$U113*((1+Inputs!$D$7)^AG$2))),IF($N113=Lists!$K$3,IF($L113&lt;1,((($T113*(1-$F113)+$S113*(1-$G113))/$L113)*((1+Inputs!$D$7)^AG$2)),((INT(AG$2/$L113)-INT((AG$2-1)/$L113))*($T113*(1-$F113)+$S113*(1-$G113))*((1+Inputs!$D$7)^AG$2))),((_xlfn.WEIBULL.DIST(AG$2,$M113,$L113,FALSE)*($T113*(1-$F113)+$S113*(1-$G113))*((1+Inputs!$D$7)^AG$2))))))</f>
        <v>10338.171008843517</v>
      </c>
      <c r="AH113" s="88">
        <f>$E113*IF(AH$2&gt;Inputs!$D$5,0,IF(AH$2&gt;VLOOKUP($H113,Lists!$P$3:$Q$7,2),IF($N113=Lists!$K$3,IF($L113&lt;1,(($U113/$L113)*((1+Inputs!$D$7)^AH$2)),((INT(AH$2/$L113)-INT((AH$2-1)/$L113))*$U113*((1+Inputs!$D$7)^AH$2))),(_xlfn.WEIBULL.DIST(AH$2,$M113,$L113,FALSE)*$U113*((1+Inputs!$D$7)^AH$2))),IF($N113=Lists!$K$3,IF($L113&lt;1,((($T113*(1-$F113)+$S113*(1-$G113))/$L113)*((1+Inputs!$D$7)^AH$2)),((INT(AH$2/$L113)-INT((AH$2-1)/$L113))*($T113*(1-$F113)+$S113*(1-$G113))*((1+Inputs!$D$7)^AH$2))),((_xlfn.WEIBULL.DIST(AH$2,$M113,$L113,FALSE)*($T113*(1-$F113)+$S113*(1-$G113))*((1+Inputs!$D$7)^AH$2))))))</f>
        <v>10544.93442902039</v>
      </c>
      <c r="AI113" s="88">
        <f>$E113*IF(AI$2&gt;Inputs!$D$5,0,IF(AI$2&gt;VLOOKUP($H113,Lists!$P$3:$Q$7,2),IF($N113=Lists!$K$3,IF($L113&lt;1,(($U113/$L113)*((1+Inputs!$D$7)^AI$2)),((INT(AI$2/$L113)-INT((AI$2-1)/$L113))*$U113*((1+Inputs!$D$7)^AI$2))),(_xlfn.WEIBULL.DIST(AI$2,$M113,$L113,FALSE)*$U113*((1+Inputs!$D$7)^AI$2))),IF($N113=Lists!$K$3,IF($L113&lt;1,((($T113*(1-$F113)+$S113*(1-$G113))/$L113)*((1+Inputs!$D$7)^AI$2)),((INT(AI$2/$L113)-INT((AI$2-1)/$L113))*($T113*(1-$F113)+$S113*(1-$G113))*((1+Inputs!$D$7)^AI$2))),((_xlfn.WEIBULL.DIST(AI$2,$M113,$L113,FALSE)*($T113*(1-$F113)+$S113*(1-$G113))*((1+Inputs!$D$7)^AI$2))))))</f>
        <v>10755.833117600798</v>
      </c>
      <c r="AJ113" s="88">
        <f>$E113*IF(AJ$2&gt;Inputs!$D$5,0,IF(AJ$2&gt;VLOOKUP($H113,Lists!$P$3:$Q$7,2),IF($N113=Lists!$K$3,IF($L113&lt;1,(($U113/$L113)*((1+Inputs!$D$7)^AJ$2)),((INT(AJ$2/$L113)-INT((AJ$2-1)/$L113))*$U113*((1+Inputs!$D$7)^AJ$2))),(_xlfn.WEIBULL.DIST(AJ$2,$M113,$L113,FALSE)*$U113*((1+Inputs!$D$7)^AJ$2))),IF($N113=Lists!$K$3,IF($L113&lt;1,((($T113*(1-$F113)+$S113*(1-$G113))/$L113)*((1+Inputs!$D$7)^AJ$2)),((INT(AJ$2/$L113)-INT((AJ$2-1)/$L113))*($T113*(1-$F113)+$S113*(1-$G113))*((1+Inputs!$D$7)^AJ$2))),((_xlfn.WEIBULL.DIST(AJ$2,$M113,$L113,FALSE)*($T113*(1-$F113)+$S113*(1-$G113))*((1+Inputs!$D$7)^AJ$2))))))</f>
        <v>10970.949779952814</v>
      </c>
      <c r="AK113" s="88">
        <f>$E113*IF(AK$2&gt;Inputs!$D$5,0,IF(AK$2&gt;VLOOKUP($H113,Lists!$P$3:$Q$7,2),IF($N113=Lists!$K$3,IF($L113&lt;1,(($U113/$L113)*((1+Inputs!$D$7)^AK$2)),((INT(AK$2/$L113)-INT((AK$2-1)/$L113))*$U113*((1+Inputs!$D$7)^AK$2))),(_xlfn.WEIBULL.DIST(AK$2,$M113,$L113,FALSE)*$U113*((1+Inputs!$D$7)^AK$2))),IF($N113=Lists!$K$3,IF($L113&lt;1,((($T113*(1-$F113)+$S113*(1-$G113))/$L113)*((1+Inputs!$D$7)^AK$2)),((INT(AK$2/$L113)-INT((AK$2-1)/$L113))*($T113*(1-$F113)+$S113*(1-$G113))*((1+Inputs!$D$7)^AK$2))),((_xlfn.WEIBULL.DIST(AK$2,$M113,$L113,FALSE)*($T113*(1-$F113)+$S113*(1-$G113))*((1+Inputs!$D$7)^AK$2))))))</f>
        <v>11190.368775551868</v>
      </c>
      <c r="AL113" s="88">
        <f>$E113*IF(AL$2&gt;Inputs!$D$5,0,IF(AL$2&gt;VLOOKUP($H113,Lists!$P$3:$Q$7,2),IF($N113=Lists!$K$3,IF($L113&lt;1,(($U113/$L113)*((1+Inputs!$D$7)^AL$2)),((INT(AL$2/$L113)-INT((AL$2-1)/$L113))*$U113*((1+Inputs!$D$7)^AL$2))),(_xlfn.WEIBULL.DIST(AL$2,$M113,$L113,FALSE)*$U113*((1+Inputs!$D$7)^AL$2))),IF($N113=Lists!$K$3,IF($L113&lt;1,((($T113*(1-$F113)+$S113*(1-$G113))/$L113)*((1+Inputs!$D$7)^AL$2)),((INT(AL$2/$L113)-INT((AL$2-1)/$L113))*($T113*(1-$F113)+$S113*(1-$G113))*((1+Inputs!$D$7)^AL$2))),((_xlfn.WEIBULL.DIST(AL$2,$M113,$L113,FALSE)*($T113*(1-$F113)+$S113*(1-$G113))*((1+Inputs!$D$7)^AL$2))))))</f>
        <v>11414.176151062908</v>
      </c>
      <c r="AM113" s="88">
        <f>$E113*IF(AM$2&gt;Inputs!$D$5,0,IF(AM$2&gt;VLOOKUP($H113,Lists!$P$3:$Q$7,2),IF($N113=Lists!$K$3,IF($L113&lt;1,(($U113/$L113)*((1+Inputs!$D$7)^AM$2)),((INT(AM$2/$L113)-INT((AM$2-1)/$L113))*$U113*((1+Inputs!$D$7)^AM$2))),(_xlfn.WEIBULL.DIST(AM$2,$M113,$L113,FALSE)*$U113*((1+Inputs!$D$7)^AM$2))),IF($N113=Lists!$K$3,IF($L113&lt;1,((($T113*(1-$F113)+$S113*(1-$G113))/$L113)*((1+Inputs!$D$7)^AM$2)),((INT(AM$2/$L113)-INT((AM$2-1)/$L113))*($T113*(1-$F113)+$S113*(1-$G113))*((1+Inputs!$D$7)^AM$2))),((_xlfn.WEIBULL.DIST(AM$2,$M113,$L113,FALSE)*($T113*(1-$F113)+$S113*(1-$G113))*((1+Inputs!$D$7)^AM$2))))))</f>
        <v>11642.459674084164</v>
      </c>
      <c r="AN113" s="88">
        <f>$E113*IF(AN$2&gt;Inputs!$D$5,0,IF(AN$2&gt;VLOOKUP($H113,Lists!$P$3:$Q$7,2),IF($N113=Lists!$K$3,IF($L113&lt;1,(($U113/$L113)*((1+Inputs!$D$7)^AN$2)),((INT(AN$2/$L113)-INT((AN$2-1)/$L113))*$U113*((1+Inputs!$D$7)^AN$2))),(_xlfn.WEIBULL.DIST(AN$2,$M113,$L113,FALSE)*$U113*((1+Inputs!$D$7)^AN$2))),IF($N113=Lists!$K$3,IF($L113&lt;1,((($T113*(1-$F113)+$S113*(1-$G113))/$L113)*((1+Inputs!$D$7)^AN$2)),((INT(AN$2/$L113)-INT((AN$2-1)/$L113))*($T113*(1-$F113)+$S113*(1-$G113))*((1+Inputs!$D$7)^AN$2))),((_xlfn.WEIBULL.DIST(AN$2,$M113,$L113,FALSE)*($T113*(1-$F113)+$S113*(1-$G113))*((1+Inputs!$D$7)^AN$2))))))</f>
        <v>11875.308867565849</v>
      </c>
      <c r="AO113" s="88">
        <f>$E113*IF(AO$2&gt;Inputs!$D$5,0,IF(AO$2&gt;VLOOKUP($H113,Lists!$P$3:$Q$7,2),IF($N113=Lists!$K$3,IF($L113&lt;1,(($U113/$L113)*((1+Inputs!$D$7)^AO$2)),((INT(AO$2/$L113)-INT((AO$2-1)/$L113))*$U113*((1+Inputs!$D$7)^AO$2))),(_xlfn.WEIBULL.DIST(AO$2,$M113,$L113,FALSE)*$U113*((1+Inputs!$D$7)^AO$2))),IF($N113=Lists!$K$3,IF($L113&lt;1,((($T113*(1-$F113)+$S113*(1-$G113))/$L113)*((1+Inputs!$D$7)^AO$2)),((INT(AO$2/$L113)-INT((AO$2-1)/$L113))*($T113*(1-$F113)+$S113*(1-$G113))*((1+Inputs!$D$7)^AO$2))),((_xlfn.WEIBULL.DIST(AO$2,$M113,$L113,FALSE)*($T113*(1-$F113)+$S113*(1-$G113))*((1+Inputs!$D$7)^AO$2))))))</f>
        <v>12112.815044917163</v>
      </c>
      <c r="AP113" s="88">
        <f>$E113*IF(AP$2&gt;Inputs!$D$5,0,IF(AP$2&gt;VLOOKUP($H113,Lists!$P$3:$Q$7,2),IF($N113=Lists!$K$3,IF($L113&lt;1,(($U113/$L113)*((1+Inputs!$D$7)^AP$2)),((INT(AP$2/$L113)-INT((AP$2-1)/$L113))*$U113*((1+Inputs!$D$7)^AP$2))),(_xlfn.WEIBULL.DIST(AP$2,$M113,$L113,FALSE)*$U113*((1+Inputs!$D$7)^AP$2))),IF($N113=Lists!$K$3,IF($L113&lt;1,((($T113*(1-$F113)+$S113*(1-$G113))/$L113)*((1+Inputs!$D$7)^AP$2)),((INT(AP$2/$L113)-INT((AP$2-1)/$L113))*($T113*(1-$F113)+$S113*(1-$G113))*((1+Inputs!$D$7)^AP$2))),((_xlfn.WEIBULL.DIST(AP$2,$M113,$L113,FALSE)*($T113*(1-$F113)+$S113*(1-$G113))*((1+Inputs!$D$7)^AP$2))))))</f>
        <v>12355.071345815508</v>
      </c>
      <c r="AQ113" s="88">
        <f>$E113*IF(AQ$2&gt;Inputs!$D$5,0,IF(AQ$2&gt;VLOOKUP($H113,Lists!$P$3:$Q$7,2),IF($N113=Lists!$K$3,IF($L113&lt;1,(($U113/$L113)*((1+Inputs!$D$7)^AQ$2)),((INT(AQ$2/$L113)-INT((AQ$2-1)/$L113))*$U113*((1+Inputs!$D$7)^AQ$2))),(_xlfn.WEIBULL.DIST(AQ$2,$M113,$L113,FALSE)*$U113*((1+Inputs!$D$7)^AQ$2))),IF($N113=Lists!$K$3,IF($L113&lt;1,((($T113*(1-$F113)+$S113*(1-$G113))/$L113)*((1+Inputs!$D$7)^AQ$2)),((INT(AQ$2/$L113)-INT((AQ$2-1)/$L113))*($T113*(1-$F113)+$S113*(1-$G113))*((1+Inputs!$D$7)^AQ$2))),((_xlfn.WEIBULL.DIST(AQ$2,$M113,$L113,FALSE)*($T113*(1-$F113)+$S113*(1-$G113))*((1+Inputs!$D$7)^AQ$2))))))</f>
        <v>12602.172772731819</v>
      </c>
      <c r="AR113" s="88">
        <f>$E113*IF(AR$2&gt;Inputs!$D$5,0,IF(AR$2&gt;VLOOKUP($H113,Lists!$P$3:$Q$7,2),IF($N113=Lists!$K$3,IF($L113&lt;1,(($U113/$L113)*((1+Inputs!$D$7)^AR$2)),((INT(AR$2/$L113)-INT((AR$2-1)/$L113))*$U113*((1+Inputs!$D$7)^AR$2))),(_xlfn.WEIBULL.DIST(AR$2,$M113,$L113,FALSE)*$U113*((1+Inputs!$D$7)^AR$2))),IF($N113=Lists!$K$3,IF($L113&lt;1,((($T113*(1-$F113)+$S113*(1-$G113))/$L113)*((1+Inputs!$D$7)^AR$2)),((INT(AR$2/$L113)-INT((AR$2-1)/$L113))*($T113*(1-$F113)+$S113*(1-$G113))*((1+Inputs!$D$7)^AR$2))),((_xlfn.WEIBULL.DIST(AR$2,$M113,$L113,FALSE)*($T113*(1-$F113)+$S113*(1-$G113))*((1+Inputs!$D$7)^AR$2))))))</f>
        <v>12854.216228186455</v>
      </c>
      <c r="AS113" s="88">
        <f>$E113*IF(AS$2&gt;Inputs!$D$5,0,IF(AS$2&gt;VLOOKUP($H113,Lists!$P$3:$Q$7,2),IF($N113=Lists!$K$3,IF($L113&lt;1,(($U113/$L113)*((1+Inputs!$D$7)^AS$2)),((INT(AS$2/$L113)-INT((AS$2-1)/$L113))*$U113*((1+Inputs!$D$7)^AS$2))),(_xlfn.WEIBULL.DIST(AS$2,$M113,$L113,FALSE)*$U113*((1+Inputs!$D$7)^AS$2))),IF($N113=Lists!$K$3,IF($L113&lt;1,((($T113*(1-$F113)+$S113*(1-$G113))/$L113)*((1+Inputs!$D$7)^AS$2)),((INT(AS$2/$L113)-INT((AS$2-1)/$L113))*($T113*(1-$F113)+$S113*(1-$G113))*((1+Inputs!$D$7)^AS$2))),((_xlfn.WEIBULL.DIST(AS$2,$M113,$L113,FALSE)*($T113*(1-$F113)+$S113*(1-$G113))*((1+Inputs!$D$7)^AS$2))))))</f>
        <v>13111.300552750183</v>
      </c>
      <c r="AT113" s="88">
        <f>$E113*IF(AT$2&gt;Inputs!$D$5,0,IF(AT$2&gt;VLOOKUP($H113,Lists!$P$3:$Q$7,2),IF($N113=Lists!$K$3,IF($L113&lt;1,(($U113/$L113)*((1+Inputs!$D$7)^AT$2)),((INT(AT$2/$L113)-INT((AT$2-1)/$L113))*$U113*((1+Inputs!$D$7)^AT$2))),(_xlfn.WEIBULL.DIST(AT$2,$M113,$L113,FALSE)*$U113*((1+Inputs!$D$7)^AT$2))),IF($N113=Lists!$K$3,IF($L113&lt;1,((($T113*(1-$F113)+$S113*(1-$G113))/$L113)*((1+Inputs!$D$7)^AT$2)),((INT(AT$2/$L113)-INT((AT$2-1)/$L113))*($T113*(1-$F113)+$S113*(1-$G113))*((1+Inputs!$D$7)^AT$2))),((_xlfn.WEIBULL.DIST(AT$2,$M113,$L113,FALSE)*($T113*(1-$F113)+$S113*(1-$G113))*((1+Inputs!$D$7)^AT$2))))))</f>
        <v>13373.526563805188</v>
      </c>
      <c r="AU113" s="88">
        <f>$E113*IF(AU$2&gt;Inputs!$D$5,0,IF(AU$2&gt;VLOOKUP($H113,Lists!$P$3:$Q$7,2),IF($N113=Lists!$K$3,IF($L113&lt;1,(($U113/$L113)*((1+Inputs!$D$7)^AU$2)),((INT(AU$2/$L113)-INT((AU$2-1)/$L113))*$U113*((1+Inputs!$D$7)^AU$2))),(_xlfn.WEIBULL.DIST(AU$2,$M113,$L113,FALSE)*$U113*((1+Inputs!$D$7)^AU$2))),IF($N113=Lists!$K$3,IF($L113&lt;1,((($T113*(1-$F113)+$S113*(1-$G113))/$L113)*((1+Inputs!$D$7)^AU$2)),((INT(AU$2/$L113)-INT((AU$2-1)/$L113))*($T113*(1-$F113)+$S113*(1-$G113))*((1+Inputs!$D$7)^AU$2))),((_xlfn.WEIBULL.DIST(AU$2,$M113,$L113,FALSE)*($T113*(1-$F113)+$S113*(1-$G113))*((1+Inputs!$D$7)^AU$2))))))</f>
        <v>13640.997095081291</v>
      </c>
      <c r="AV113" s="88">
        <f>$E113*IF(AV$2&gt;Inputs!$D$5,0,IF(AV$2&gt;VLOOKUP($H113,Lists!$P$3:$Q$7,2),IF($N113=Lists!$K$3,IF($L113&lt;1,(($U113/$L113)*((1+Inputs!$D$7)^AV$2)),((INT(AV$2/$L113)-INT((AV$2-1)/$L113))*$U113*((1+Inputs!$D$7)^AV$2))),(_xlfn.WEIBULL.DIST(AV$2,$M113,$L113,FALSE)*$U113*((1+Inputs!$D$7)^AV$2))),IF($N113=Lists!$K$3,IF($L113&lt;1,((($T113*(1-$F113)+$S113*(1-$G113))/$L113)*((1+Inputs!$D$7)^AV$2)),((INT(AV$2/$L113)-INT((AV$2-1)/$L113))*($T113*(1-$F113)+$S113*(1-$G113))*((1+Inputs!$D$7)^AV$2))),((_xlfn.WEIBULL.DIST(AV$2,$M113,$L113,FALSE)*($T113*(1-$F113)+$S113*(1-$G113))*((1+Inputs!$D$7)^AV$2))))))</f>
        <v>13913.817036982917</v>
      </c>
      <c r="AW113" s="88">
        <f>$E113*IF(AW$2&gt;Inputs!$D$5,0,IF(AW$2&gt;VLOOKUP($H113,Lists!$P$3:$Q$7,2),IF($N113=Lists!$K$3,IF($L113&lt;1,(($U113/$L113)*((1+Inputs!$D$7)^AW$2)),((INT(AW$2/$L113)-INT((AW$2-1)/$L113))*$U113*((1+Inputs!$D$7)^AW$2))),(_xlfn.WEIBULL.DIST(AW$2,$M113,$L113,FALSE)*$U113*((1+Inputs!$D$7)^AW$2))),IF($N113=Lists!$K$3,IF($L113&lt;1,((($T113*(1-$F113)+$S113*(1-$G113))/$L113)*((1+Inputs!$D$7)^AW$2)),((INT(AW$2/$L113)-INT((AW$2-1)/$L113))*($T113*(1-$F113)+$S113*(1-$G113))*((1+Inputs!$D$7)^AW$2))),((_xlfn.WEIBULL.DIST(AW$2,$M113,$L113,FALSE)*($T113*(1-$F113)+$S113*(1-$G113))*((1+Inputs!$D$7)^AW$2))))))</f>
        <v>14192.093377722573</v>
      </c>
      <c r="AX113" s="88">
        <f>$E113*IF(AX$2&gt;Inputs!$D$5,0,IF(AX$2&gt;VLOOKUP($H113,Lists!$P$3:$Q$7,2),IF($N113=Lists!$K$3,IF($L113&lt;1,(($U113/$L113)*((1+Inputs!$D$7)^AX$2)),((INT(AX$2/$L113)-INT((AX$2-1)/$L113))*$U113*((1+Inputs!$D$7)^AX$2))),(_xlfn.WEIBULL.DIST(AX$2,$M113,$L113,FALSE)*$U113*((1+Inputs!$D$7)^AX$2))),IF($N113=Lists!$K$3,IF($L113&lt;1,((($T113*(1-$F113)+$S113*(1-$G113))/$L113)*((1+Inputs!$D$7)^AX$2)),((INT(AX$2/$L113)-INT((AX$2-1)/$L113))*($T113*(1-$F113)+$S113*(1-$G113))*((1+Inputs!$D$7)^AX$2))),((_xlfn.WEIBULL.DIST(AX$2,$M113,$L113,FALSE)*($T113*(1-$F113)+$S113*(1-$G113))*((1+Inputs!$D$7)^AX$2))))))</f>
        <v>14475.935245277025</v>
      </c>
      <c r="AY113" s="88">
        <f>$E113*IF(AY$2&gt;Inputs!$D$5,0,IF(AY$2&gt;VLOOKUP($H113,Lists!$P$3:$Q$7,2),IF($N113=Lists!$K$3,IF($L113&lt;1,(($U113/$L113)*((1+Inputs!$D$7)^AY$2)),((INT(AY$2/$L113)-INT((AY$2-1)/$L113))*$U113*((1+Inputs!$D$7)^AY$2))),(_xlfn.WEIBULL.DIST(AY$2,$M113,$L113,FALSE)*$U113*((1+Inputs!$D$7)^AY$2))),IF($N113=Lists!$K$3,IF($L113&lt;1,((($T113*(1-$F113)+$S113*(1-$G113))/$L113)*((1+Inputs!$D$7)^AY$2)),((INT(AY$2/$L113)-INT((AY$2-1)/$L113))*($T113*(1-$F113)+$S113*(1-$G113))*((1+Inputs!$D$7)^AY$2))),((_xlfn.WEIBULL.DIST(AY$2,$M113,$L113,FALSE)*($T113*(1-$F113)+$S113*(1-$G113))*((1+Inputs!$D$7)^AY$2))))))</f>
        <v>14765.453950182566</v>
      </c>
      <c r="AZ113" s="88">
        <f>$E113*IF(AZ$2&gt;Inputs!$D$5,0,IF(AZ$2&gt;VLOOKUP($H113,Lists!$P$3:$Q$7,2),IF($N113=Lists!$K$3,IF($L113&lt;1,(($U113/$L113)*((1+Inputs!$D$7)^AZ$2)),((INT(AZ$2/$L113)-INT((AZ$2-1)/$L113))*$U113*((1+Inputs!$D$7)^AZ$2))),(_xlfn.WEIBULL.DIST(AZ$2,$M113,$L113,FALSE)*$U113*((1+Inputs!$D$7)^AZ$2))),IF($N113=Lists!$K$3,IF($L113&lt;1,((($T113*(1-$F113)+$S113*(1-$G113))/$L113)*((1+Inputs!$D$7)^AZ$2)),((INT(AZ$2/$L113)-INT((AZ$2-1)/$L113))*($T113*(1-$F113)+$S113*(1-$G113))*((1+Inputs!$D$7)^AZ$2))),((_xlfn.WEIBULL.DIST(AZ$2,$M113,$L113,FALSE)*($T113*(1-$F113)+$S113*(1-$G113))*((1+Inputs!$D$7)^AZ$2))))))</f>
        <v>0</v>
      </c>
      <c r="BA113" s="88">
        <f>$E113*IF(BA$2&gt;Inputs!$D$5,0,IF(BA$2&gt;VLOOKUP($H113,Lists!$P$3:$Q$7,2),IF($N113=Lists!$K$3,IF($L113&lt;1,(($U113/$L113)*((1+Inputs!$D$7)^BA$2)),((INT(BA$2/$L113)-INT((BA$2-1)/$L113))*$U113*((1+Inputs!$D$7)^BA$2))),(_xlfn.WEIBULL.DIST(BA$2,$M113,$L113,FALSE)*$U113*((1+Inputs!$D$7)^BA$2))),IF($N113=Lists!$K$3,IF($L113&lt;1,((($T113*(1-$F113)+$S113*(1-$G113))/$L113)*((1+Inputs!$D$7)^BA$2)),((INT(BA$2/$L113)-INT((BA$2-1)/$L113))*($T113*(1-$F113)+$S113*(1-$G113))*((1+Inputs!$D$7)^BA$2))),((_xlfn.WEIBULL.DIST(BA$2,$M113,$L113,FALSE)*($T113*(1-$F113)+$S113*(1-$G113))*((1+Inputs!$D$7)^BA$2))))))</f>
        <v>0</v>
      </c>
      <c r="BB113" s="88">
        <f>$E113*IF(BB$2&gt;Inputs!$D$5,0,IF(BB$2&gt;VLOOKUP($H113,Lists!$P$3:$Q$7,2),IF($N113=Lists!$K$3,IF($L113&lt;1,(($U113/$L113)*((1+Inputs!$D$7)^BB$2)),((INT(BB$2/$L113)-INT((BB$2-1)/$L113))*$U113*((1+Inputs!$D$7)^BB$2))),(_xlfn.WEIBULL.DIST(BB$2,$M113,$L113,FALSE)*$U113*((1+Inputs!$D$7)^BB$2))),IF($N113=Lists!$K$3,IF($L113&lt;1,((($T113*(1-$F113)+$S113*(1-$G113))/$L113)*((1+Inputs!$D$7)^BB$2)),((INT(BB$2/$L113)-INT((BB$2-1)/$L113))*($T113*(1-$F113)+$S113*(1-$G113))*((1+Inputs!$D$7)^BB$2))),((_xlfn.WEIBULL.DIST(BB$2,$M113,$L113,FALSE)*($T113*(1-$F113)+$S113*(1-$G113))*((1+Inputs!$D$7)^BB$2))))))</f>
        <v>0</v>
      </c>
      <c r="BC113" s="88">
        <f>$E113*IF(BC$2&gt;Inputs!$D$5,0,IF(BC$2&gt;VLOOKUP($H113,Lists!$P$3:$Q$7,2),IF($N113=Lists!$K$3,IF($L113&lt;1,(($U113/$L113)*((1+Inputs!$D$7)^BC$2)),((INT(BC$2/$L113)-INT((BC$2-1)/$L113))*$U113*((1+Inputs!$D$7)^BC$2))),(_xlfn.WEIBULL.DIST(BC$2,$M113,$L113,FALSE)*$U113*((1+Inputs!$D$7)^BC$2))),IF($N113=Lists!$K$3,IF($L113&lt;1,((($T113*(1-$F113)+$S113*(1-$G113))/$L113)*((1+Inputs!$D$7)^BC$2)),((INT(BC$2/$L113)-INT((BC$2-1)/$L113))*($T113*(1-$F113)+$S113*(1-$G113))*((1+Inputs!$D$7)^BC$2))),((_xlfn.WEIBULL.DIST(BC$2,$M113,$L113,FALSE)*($T113*(1-$F113)+$S113*(1-$G113))*((1+Inputs!$D$7)^BC$2))))))</f>
        <v>0</v>
      </c>
      <c r="BD113" s="88">
        <f>$E113*IF(BD$2&gt;Inputs!$D$5,0,IF(BD$2&gt;VLOOKUP($H113,Lists!$P$3:$Q$7,2),IF($N113=Lists!$K$3,IF($L113&lt;1,(($U113/$L113)*((1+Inputs!$D$7)^BD$2)),((INT(BD$2/$L113)-INT((BD$2-1)/$L113))*$U113*((1+Inputs!$D$7)^BD$2))),(_xlfn.WEIBULL.DIST(BD$2,$M113,$L113,FALSE)*$U113*((1+Inputs!$D$7)^BD$2))),IF($N113=Lists!$K$3,IF($L113&lt;1,((($T113*(1-$F113)+$S113*(1-$G113))/$L113)*((1+Inputs!$D$7)^BD$2)),((INT(BD$2/$L113)-INT((BD$2-1)/$L113))*($T113*(1-$F113)+$S113*(1-$G113))*((1+Inputs!$D$7)^BD$2))),((_xlfn.WEIBULL.DIST(BD$2,$M113,$L113,FALSE)*($T113*(1-$F113)+$S113*(1-$G113))*((1+Inputs!$D$7)^BD$2))))))</f>
        <v>0</v>
      </c>
      <c r="BE113" s="88">
        <f>$E113*IF(BE$2&gt;Inputs!$D$5,0,IF(BE$2&gt;VLOOKUP($H113,Lists!$P$3:$Q$7,2),IF($N113=Lists!$K$3,IF($L113&lt;1,(($U113/$L113)*((1+Inputs!$D$7)^BE$2)),((INT(BE$2/$L113)-INT((BE$2-1)/$L113))*$U113*((1+Inputs!$D$7)^BE$2))),(_xlfn.WEIBULL.DIST(BE$2,$M113,$L113,FALSE)*$U113*((1+Inputs!$D$7)^BE$2))),IF($N113=Lists!$K$3,IF($L113&lt;1,((($T113*(1-$F113)+$S113*(1-$G113))/$L113)*((1+Inputs!$D$7)^BE$2)),((INT(BE$2/$L113)-INT((BE$2-1)/$L113))*($T113*(1-$F113)+$S113*(1-$G113))*((1+Inputs!$D$7)^BE$2))),((_xlfn.WEIBULL.DIST(BE$2,$M113,$L113,FALSE)*($T113*(1-$F113)+$S113*(1-$G113))*((1+Inputs!$D$7)^BE$2))))))</f>
        <v>0</v>
      </c>
      <c r="BF113" s="88">
        <f>$E113*IF(BF$2&gt;Inputs!$D$5,0,IF(BF$2&gt;VLOOKUP($H113,Lists!$P$3:$Q$7,2),IF($N113=Lists!$K$3,IF($L113&lt;1,(($U113/$L113)*((1+Inputs!$D$7)^BF$2)),((INT(BF$2/$L113)-INT((BF$2-1)/$L113))*$U113*((1+Inputs!$D$7)^BF$2))),(_xlfn.WEIBULL.DIST(BF$2,$M113,$L113,FALSE)*$U113*((1+Inputs!$D$7)^BF$2))),IF($N113=Lists!$K$3,IF($L113&lt;1,((($T113*(1-$F113)+$S113*(1-$G113))/$L113)*((1+Inputs!$D$7)^BF$2)),((INT(BF$2/$L113)-INT((BF$2-1)/$L113))*($T113*(1-$F113)+$S113*(1-$G113))*((1+Inputs!$D$7)^BF$2))),((_xlfn.WEIBULL.DIST(BF$2,$M113,$L113,FALSE)*($T113*(1-$F113)+$S113*(1-$G113))*((1+Inputs!$D$7)^BF$2))))))</f>
        <v>0</v>
      </c>
      <c r="BG113" s="88">
        <f>$E113*IF(BG$2&gt;Inputs!$D$5,0,IF(BG$2&gt;VLOOKUP($H113,Lists!$P$3:$Q$7,2),IF($N113=Lists!$K$3,IF($L113&lt;1,(($U113/$L113)*((1+Inputs!$D$7)^BG$2)),((INT(BG$2/$L113)-INT((BG$2-1)/$L113))*$U113*((1+Inputs!$D$7)^BG$2))),(_xlfn.WEIBULL.DIST(BG$2,$M113,$L113,FALSE)*$U113*((1+Inputs!$D$7)^BG$2))),IF($N113=Lists!$K$3,IF($L113&lt;1,((($T113*(1-$F113)+$S113*(1-$G113))/$L113)*((1+Inputs!$D$7)^BG$2)),((INT(BG$2/$L113)-INT((BG$2-1)/$L113))*($T113*(1-$F113)+$S113*(1-$G113))*((1+Inputs!$D$7)^BG$2))),((_xlfn.WEIBULL.DIST(BG$2,$M113,$L113,FALSE)*($T113*(1-$F113)+$S113*(1-$G113))*((1+Inputs!$D$7)^BG$2))))))</f>
        <v>0</v>
      </c>
      <c r="BH113" s="88">
        <f>$E113*IF(BH$2&gt;Inputs!$D$5,0,IF(BH$2&gt;VLOOKUP($H113,Lists!$P$3:$Q$7,2),IF($N113=Lists!$K$3,IF($L113&lt;1,(($U113/$L113)*((1+Inputs!$D$7)^BH$2)),((INT(BH$2/$L113)-INT((BH$2-1)/$L113))*$U113*((1+Inputs!$D$7)^BH$2))),(_xlfn.WEIBULL.DIST(BH$2,$M113,$L113,FALSE)*$U113*((1+Inputs!$D$7)^BH$2))),IF($N113=Lists!$K$3,IF($L113&lt;1,((($T113*(1-$F113)+$S113*(1-$G113))/$L113)*((1+Inputs!$D$7)^BH$2)),((INT(BH$2/$L113)-INT((BH$2-1)/$L113))*($T113*(1-$F113)+$S113*(1-$G113))*((1+Inputs!$D$7)^BH$2))),((_xlfn.WEIBULL.DIST(BH$2,$M113,$L113,FALSE)*($T113*(1-$F113)+$S113*(1-$G113))*((1+Inputs!$D$7)^BH$2))))))</f>
        <v>0</v>
      </c>
      <c r="BI113" s="88">
        <f>$E113*IF(BI$2&gt;Inputs!$D$5,0,IF(BI$2&gt;VLOOKUP($H113,Lists!$P$3:$Q$7,2),IF($N113=Lists!$K$3,IF($L113&lt;1,(($U113/$L113)*((1+Inputs!$D$7)^BI$2)),((INT(BI$2/$L113)-INT((BI$2-1)/$L113))*$U113*((1+Inputs!$D$7)^BI$2))),(_xlfn.WEIBULL.DIST(BI$2,$M113,$L113,FALSE)*$U113*((1+Inputs!$D$7)^BI$2))),IF($N113=Lists!$K$3,IF($L113&lt;1,((($T113*(1-$F113)+$S113*(1-$G113))/$L113)*((1+Inputs!$D$7)^BI$2)),((INT(BI$2/$L113)-INT((BI$2-1)/$L113))*($T113*(1-$F113)+$S113*(1-$G113))*((1+Inputs!$D$7)^BI$2))),((_xlfn.WEIBULL.DIST(BI$2,$M113,$L113,FALSE)*($T113*(1-$F113)+$S113*(1-$G113))*((1+Inputs!$D$7)^BI$2))))))</f>
        <v>0</v>
      </c>
      <c r="BJ113" s="88">
        <f>$E113*IF(BJ$2&gt;Inputs!$D$5,0,IF(BJ$2&gt;VLOOKUP($H113,Lists!$P$3:$Q$7,2),IF($N113=Lists!$K$3,IF($L113&lt;1,(($U113/$L113)*((1+Inputs!$D$7)^BJ$2)),((INT(BJ$2/$L113)-INT((BJ$2-1)/$L113))*$U113*((1+Inputs!$D$7)^BJ$2))),(_xlfn.WEIBULL.DIST(BJ$2,$M113,$L113,FALSE)*$U113*((1+Inputs!$D$7)^BJ$2))),IF($N113=Lists!$K$3,IF($L113&lt;1,((($T113*(1-$F113)+$S113*(1-$G113))/$L113)*((1+Inputs!$D$7)^BJ$2)),((INT(BJ$2/$L113)-INT((BJ$2-1)/$L113))*($T113*(1-$F113)+$S113*(1-$G113))*((1+Inputs!$D$7)^BJ$2))),((_xlfn.WEIBULL.DIST(BJ$2,$M113,$L113,FALSE)*($T113*(1-$F113)+$S113*(1-$G113))*((1+Inputs!$D$7)^BJ$2))))))</f>
        <v>0</v>
      </c>
      <c r="BK113" s="88">
        <f>$E113*IF(BK$2&gt;Inputs!$D$5,0,IF(BK$2&gt;VLOOKUP($H113,Lists!$P$3:$Q$7,2),IF($N113=Lists!$K$3,IF($L113&lt;1,(($U113/$L113)*((1+Inputs!$D$7)^BK$2)),((INT(BK$2/$L113)-INT((BK$2-1)/$L113))*$U113*((1+Inputs!$D$7)^BK$2))),(_xlfn.WEIBULL.DIST(BK$2,$M113,$L113,FALSE)*$U113*((1+Inputs!$D$7)^BK$2))),IF($N113=Lists!$K$3,IF($L113&lt;1,((($T113*(1-$F113)+$S113*(1-$G113))/$L113)*((1+Inputs!$D$7)^BK$2)),((INT(BK$2/$L113)-INT((BK$2-1)/$L113))*($T113*(1-$F113)+$S113*(1-$G113))*((1+Inputs!$D$7)^BK$2))),((_xlfn.WEIBULL.DIST(BK$2,$M113,$L113,FALSE)*($T113*(1-$F113)+$S113*(1-$G113))*((1+Inputs!$D$7)^BK$2))))))</f>
        <v>0</v>
      </c>
      <c r="BL113" s="88">
        <f>$E113*IF(BL$2&gt;Inputs!$D$5,0,IF(BL$2&gt;VLOOKUP($H113,Lists!$P$3:$Q$7,2),IF($N113=Lists!$K$3,IF($L113&lt;1,(($U113/$L113)*((1+Inputs!$D$7)^BL$2)),((INT(BL$2/$L113)-INT((BL$2-1)/$L113))*$U113*((1+Inputs!$D$7)^BL$2))),(_xlfn.WEIBULL.DIST(BL$2,$M113,$L113,FALSE)*$U113*((1+Inputs!$D$7)^BL$2))),IF($N113=Lists!$K$3,IF($L113&lt;1,((($T113*(1-$F113)+$S113*(1-$G113))/$L113)*((1+Inputs!$D$7)^BL$2)),((INT(BL$2/$L113)-INT((BL$2-1)/$L113))*($T113*(1-$F113)+$S113*(1-$G113))*((1+Inputs!$D$7)^BL$2))),((_xlfn.WEIBULL.DIST(BL$2,$M113,$L113,FALSE)*($T113*(1-$F113)+$S113*(1-$G113))*((1+Inputs!$D$7)^BL$2))))))</f>
        <v>0</v>
      </c>
      <c r="BM113" s="88">
        <f>$E113*IF(BM$2&gt;Inputs!$D$5,0,IF(BM$2&gt;VLOOKUP($H113,Lists!$P$3:$Q$7,2),IF($N113=Lists!$K$3,IF($L113&lt;1,(($U113/$L113)*((1+Inputs!$D$7)^BM$2)),((INT(BM$2/$L113)-INT((BM$2-1)/$L113))*$U113*((1+Inputs!$D$7)^BM$2))),(_xlfn.WEIBULL.DIST(BM$2,$M113,$L113,FALSE)*$U113*((1+Inputs!$D$7)^BM$2))),IF($N113=Lists!$K$3,IF($L113&lt;1,((($T113*(1-$F113)+$S113*(1-$G113))/$L113)*((1+Inputs!$D$7)^BM$2)),((INT(BM$2/$L113)-INT((BM$2-1)/$L113))*($T113*(1-$F113)+$S113*(1-$G113))*((1+Inputs!$D$7)^BM$2))),((_xlfn.WEIBULL.DIST(BM$2,$M113,$L113,FALSE)*($T113*(1-$F113)+$S113*(1-$G113))*((1+Inputs!$D$7)^BM$2))))))</f>
        <v>0</v>
      </c>
      <c r="BN113" s="88">
        <f>$E113*IF(BN$2&gt;Inputs!$D$5,0,IF(BN$2&gt;VLOOKUP($H113,Lists!$P$3:$Q$7,2),IF($N113=Lists!$K$3,IF($L113&lt;1,(($U113/$L113)*((1+Inputs!$D$7)^BN$2)),((INT(BN$2/$L113)-INT((BN$2-1)/$L113))*$U113*((1+Inputs!$D$7)^BN$2))),(_xlfn.WEIBULL.DIST(BN$2,$M113,$L113,FALSE)*$U113*((1+Inputs!$D$7)^BN$2))),IF($N113=Lists!$K$3,IF($L113&lt;1,((($T113*(1-$F113)+$S113*(1-$G113))/$L113)*((1+Inputs!$D$7)^BN$2)),((INT(BN$2/$L113)-INT((BN$2-1)/$L113))*($T113*(1-$F113)+$S113*(1-$G113))*((1+Inputs!$D$7)^BN$2))),((_xlfn.WEIBULL.DIST(BN$2,$M113,$L113,FALSE)*($T113*(1-$F113)+$S113*(1-$G113))*((1+Inputs!$D$7)^BN$2))))))</f>
        <v>0</v>
      </c>
      <c r="BO113" s="64">
        <f>NPV(Inputs!$D$6,BQ113:DD113)</f>
        <v>128101.33598030161</v>
      </c>
      <c r="BP113" s="67">
        <f t="shared" si="27"/>
        <v>6.041884404621873E-2</v>
      </c>
      <c r="BQ113" s="88">
        <f>MAX(AA113,($E113*IF(BQ$2&gt;Inputs!$D$5,0,IF(BQ$2&gt;VLOOKUP($H113,Lists!$P$3:$Q$7,2),IF($N113=Lists!$K$3,IF($L113&lt;1,(($U113/$L113)*((1+Inputs!$D$7)^BQ$2)),((INT(BQ$2/$L113)-INT((BQ$2-1)/$L113))*$U113*((1+Inputs!$D$7)^BQ$2))),(Inputs!$D$8^((1-_xlfn.WEIBULL.DIST(BQ$2,$M113,$L113,FALSE))/_xlfn.WEIBULL.DIST(BQ$2,$M113,$L113,FALSE))*$U113*((1+Inputs!$D$7)^BQ$2))),IF($N113=Lists!$K$3,IF($L113&lt;1,((($T113*(1-$F113)+$S113*(1-$G113))/$L113)*((1+Inputs!$D$7)^BQ$2)),((INT(BQ$2/$L113)-INT((BQ$2-1)/$L113))*($T113*(1-$F113)+$S113*(1-$G113))*((1+Inputs!$D$7)^BQ$2))),((Inputs!$D$8^((1-_xlfn.WEIBULL.DIST(BQ$2,$M113,$L113,FALSE))/_xlfn.WEIBULL.DIST(BQ$2,$M113,$L113,FALSE))*($T113*(1-$F113)+$S113*(1-$G113))*((1+Inputs!$D$7)^BQ$2))))))))</f>
        <v>9180</v>
      </c>
      <c r="BR113" s="88">
        <f>MAX(AB113,($E113*IF(BR$2&gt;Inputs!$D$5,0,IF(BR$2&gt;VLOOKUP($H113,Lists!$P$3:$Q$7,2),IF($N113=Lists!$K$3,IF($L113&lt;1,(($U113/$L113)*((1+Inputs!$D$7)^BR$2)),((INT(BR$2/$L113)-INT((BR$2-1)/$L113))*$U113*((1+Inputs!$D$7)^BR$2))),(Inputs!$D$8^((1-_xlfn.WEIBULL.DIST(BR$2,$M113,$L113,FALSE))/_xlfn.WEIBULL.DIST(BR$2,$M113,$L113,FALSE))*$U113*((1+Inputs!$D$7)^BR$2))),IF($N113=Lists!$K$3,IF($L113&lt;1,((($T113*(1-$F113)+$S113*(1-$G113))/$L113)*((1+Inputs!$D$7)^BR$2)),((INT(BR$2/$L113)-INT((BR$2-1)/$L113))*($T113*(1-$F113)+$S113*(1-$G113))*((1+Inputs!$D$7)^BR$2))),((Inputs!$D$8^((1-_xlfn.WEIBULL.DIST(BR$2,$M113,$L113,FALSE))/_xlfn.WEIBULL.DIST(BR$2,$M113,$L113,FALSE))*($T113*(1-$F113)+$S113*(1-$G113))*((1+Inputs!$D$7)^BR$2))))))))</f>
        <v>9363.6</v>
      </c>
      <c r="BS113" s="88">
        <f>MAX(AC113,($E113*IF(BS$2&gt;Inputs!$D$5,0,IF(BS$2&gt;VLOOKUP($H113,Lists!$P$3:$Q$7,2),IF($N113=Lists!$K$3,IF($L113&lt;1,(($U113/$L113)*((1+Inputs!$D$7)^BS$2)),((INT(BS$2/$L113)-INT((BS$2-1)/$L113))*$U113*((1+Inputs!$D$7)^BS$2))),(Inputs!$D$8^((1-_xlfn.WEIBULL.DIST(BS$2,$M113,$L113,FALSE))/_xlfn.WEIBULL.DIST(BS$2,$M113,$L113,FALSE))*$U113*((1+Inputs!$D$7)^BS$2))),IF($N113=Lists!$K$3,IF($L113&lt;1,((($T113*(1-$F113)+$S113*(1-$G113))/$L113)*((1+Inputs!$D$7)^BS$2)),((INT(BS$2/$L113)-INT((BS$2-1)/$L113))*($T113*(1-$F113)+$S113*(1-$G113))*((1+Inputs!$D$7)^BS$2))),((Inputs!$D$8^((1-_xlfn.WEIBULL.DIST(BS$2,$M113,$L113,FALSE))/_xlfn.WEIBULL.DIST(BS$2,$M113,$L113,FALSE))*($T113*(1-$F113)+$S113*(1-$G113))*((1+Inputs!$D$7)^BS$2))))))))</f>
        <v>9550.8719999999994</v>
      </c>
      <c r="BT113" s="88">
        <f>MAX(AD113,($E113*IF(BT$2&gt;Inputs!$D$5,0,IF(BT$2&gt;VLOOKUP($H113,Lists!$P$3:$Q$7,2),IF($N113=Lists!$K$3,IF($L113&lt;1,(($U113/$L113)*((1+Inputs!$D$7)^BT$2)),((INT(BT$2/$L113)-INT((BT$2-1)/$L113))*$U113*((1+Inputs!$D$7)^BT$2))),(Inputs!$D$8^((1-_xlfn.WEIBULL.DIST(BT$2,$M113,$L113,FALSE))/_xlfn.WEIBULL.DIST(BT$2,$M113,$L113,FALSE))*$U113*((1+Inputs!$D$7)^BT$2))),IF($N113=Lists!$K$3,IF($L113&lt;1,((($T113*(1-$F113)+$S113*(1-$G113))/$L113)*((1+Inputs!$D$7)^BT$2)),((INT(BT$2/$L113)-INT((BT$2-1)/$L113))*($T113*(1-$F113)+$S113*(1-$G113))*((1+Inputs!$D$7)^BT$2))),((Inputs!$D$8^((1-_xlfn.WEIBULL.DIST(BT$2,$M113,$L113,FALSE))/_xlfn.WEIBULL.DIST(BT$2,$M113,$L113,FALSE))*($T113*(1-$F113)+$S113*(1-$G113))*((1+Inputs!$D$7)^BT$2))))))))</f>
        <v>9741.889439999999</v>
      </c>
      <c r="BU113" s="88">
        <f>MAX(AE113,($E113*IF(BU$2&gt;Inputs!$D$5,0,IF(BU$2&gt;VLOOKUP($H113,Lists!$P$3:$Q$7,2),IF($N113=Lists!$K$3,IF($L113&lt;1,(($U113/$L113)*((1+Inputs!$D$7)^BU$2)),((INT(BU$2/$L113)-INT((BU$2-1)/$L113))*$U113*((1+Inputs!$D$7)^BU$2))),(Inputs!$D$8^((1-_xlfn.WEIBULL.DIST(BU$2,$M113,$L113,FALSE))/_xlfn.WEIBULL.DIST(BU$2,$M113,$L113,FALSE))*$U113*((1+Inputs!$D$7)^BU$2))),IF($N113=Lists!$K$3,IF($L113&lt;1,((($T113*(1-$F113)+$S113*(1-$G113))/$L113)*((1+Inputs!$D$7)^BU$2)),((INT(BU$2/$L113)-INT((BU$2-1)/$L113))*($T113*(1-$F113)+$S113*(1-$G113))*((1+Inputs!$D$7)^BU$2))),((Inputs!$D$8^((1-_xlfn.WEIBULL.DIST(BU$2,$M113,$L113,FALSE))/_xlfn.WEIBULL.DIST(BU$2,$M113,$L113,FALSE))*($T113*(1-$F113)+$S113*(1-$G113))*((1+Inputs!$D$7)^BU$2))))))))</f>
        <v>9936.7272288000004</v>
      </c>
      <c r="BV113" s="88">
        <f>MAX(AF113,($E113*IF(BV$2&gt;Inputs!$D$5,0,IF(BV$2&gt;VLOOKUP($H113,Lists!$P$3:$Q$7,2),IF($N113=Lists!$K$3,IF($L113&lt;1,(($U113/$L113)*((1+Inputs!$D$7)^BV$2)),((INT(BV$2/$L113)-INT((BV$2-1)/$L113))*$U113*((1+Inputs!$D$7)^BV$2))),(Inputs!$D$8^((1-_xlfn.WEIBULL.DIST(BV$2,$M113,$L113,FALSE))/_xlfn.WEIBULL.DIST(BV$2,$M113,$L113,FALSE))*$U113*((1+Inputs!$D$7)^BV$2))),IF($N113=Lists!$K$3,IF($L113&lt;1,((($T113*(1-$F113)+$S113*(1-$G113))/$L113)*((1+Inputs!$D$7)^BV$2)),((INT(BV$2/$L113)-INT((BV$2-1)/$L113))*($T113*(1-$F113)+$S113*(1-$G113))*((1+Inputs!$D$7)^BV$2))),((Inputs!$D$8^((1-_xlfn.WEIBULL.DIST(BV$2,$M113,$L113,FALSE))/_xlfn.WEIBULL.DIST(BV$2,$M113,$L113,FALSE))*($T113*(1-$F113)+$S113*(1-$G113))*((1+Inputs!$D$7)^BV$2))))))))</f>
        <v>10135.461773376001</v>
      </c>
      <c r="BW113" s="88">
        <f>MAX(AG113,($E113*IF(BW$2&gt;Inputs!$D$5,0,IF(BW$2&gt;VLOOKUP($H113,Lists!$P$3:$Q$7,2),IF($N113=Lists!$K$3,IF($L113&lt;1,(($U113/$L113)*((1+Inputs!$D$7)^BW$2)),((INT(BW$2/$L113)-INT((BW$2-1)/$L113))*$U113*((1+Inputs!$D$7)^BW$2))),(Inputs!$D$8^((1-_xlfn.WEIBULL.DIST(BW$2,$M113,$L113,FALSE))/_xlfn.WEIBULL.DIST(BW$2,$M113,$L113,FALSE))*$U113*((1+Inputs!$D$7)^BW$2))),IF($N113=Lists!$K$3,IF($L113&lt;1,((($T113*(1-$F113)+$S113*(1-$G113))/$L113)*((1+Inputs!$D$7)^BW$2)),((INT(BW$2/$L113)-INT((BW$2-1)/$L113))*($T113*(1-$F113)+$S113*(1-$G113))*((1+Inputs!$D$7)^BW$2))),((Inputs!$D$8^((1-_xlfn.WEIBULL.DIST(BW$2,$M113,$L113,FALSE))/_xlfn.WEIBULL.DIST(BW$2,$M113,$L113,FALSE))*($T113*(1-$F113)+$S113*(1-$G113))*((1+Inputs!$D$7)^BW$2))))))))</f>
        <v>10338.171008843517</v>
      </c>
      <c r="BX113" s="88">
        <f>MAX(AH113,($E113*IF(BX$2&gt;Inputs!$D$5,0,IF(BX$2&gt;VLOOKUP($H113,Lists!$P$3:$Q$7,2),IF($N113=Lists!$K$3,IF($L113&lt;1,(($U113/$L113)*((1+Inputs!$D$7)^BX$2)),((INT(BX$2/$L113)-INT((BX$2-1)/$L113))*$U113*((1+Inputs!$D$7)^BX$2))),(Inputs!$D$8^((1-_xlfn.WEIBULL.DIST(BX$2,$M113,$L113,FALSE))/_xlfn.WEIBULL.DIST(BX$2,$M113,$L113,FALSE))*$U113*((1+Inputs!$D$7)^BX$2))),IF($N113=Lists!$K$3,IF($L113&lt;1,((($T113*(1-$F113)+$S113*(1-$G113))/$L113)*((1+Inputs!$D$7)^BX$2)),((INT(BX$2/$L113)-INT((BX$2-1)/$L113))*($T113*(1-$F113)+$S113*(1-$G113))*((1+Inputs!$D$7)^BX$2))),((Inputs!$D$8^((1-_xlfn.WEIBULL.DIST(BX$2,$M113,$L113,FALSE))/_xlfn.WEIBULL.DIST(BX$2,$M113,$L113,FALSE))*($T113*(1-$F113)+$S113*(1-$G113))*((1+Inputs!$D$7)^BX$2))))))))</f>
        <v>10544.93442902039</v>
      </c>
      <c r="BY113" s="88">
        <f>MAX(AI113,($E113*IF(BY$2&gt;Inputs!$D$5,0,IF(BY$2&gt;VLOOKUP($H113,Lists!$P$3:$Q$7,2),IF($N113=Lists!$K$3,IF($L113&lt;1,(($U113/$L113)*((1+Inputs!$D$7)^BY$2)),((INT(BY$2/$L113)-INT((BY$2-1)/$L113))*$U113*((1+Inputs!$D$7)^BY$2))),(Inputs!$D$8^((1-_xlfn.WEIBULL.DIST(BY$2,$M113,$L113,FALSE))/_xlfn.WEIBULL.DIST(BY$2,$M113,$L113,FALSE))*$U113*((1+Inputs!$D$7)^BY$2))),IF($N113=Lists!$K$3,IF($L113&lt;1,((($T113*(1-$F113)+$S113*(1-$G113))/$L113)*((1+Inputs!$D$7)^BY$2)),((INT(BY$2/$L113)-INT((BY$2-1)/$L113))*($T113*(1-$F113)+$S113*(1-$G113))*((1+Inputs!$D$7)^BY$2))),((Inputs!$D$8^((1-_xlfn.WEIBULL.DIST(BY$2,$M113,$L113,FALSE))/_xlfn.WEIBULL.DIST(BY$2,$M113,$L113,FALSE))*($T113*(1-$F113)+$S113*(1-$G113))*((1+Inputs!$D$7)^BY$2))))))))</f>
        <v>10755.833117600798</v>
      </c>
      <c r="BZ113" s="88">
        <f>MAX(AJ113,($E113*IF(BZ$2&gt;Inputs!$D$5,0,IF(BZ$2&gt;VLOOKUP($H113,Lists!$P$3:$Q$7,2),IF($N113=Lists!$K$3,IF($L113&lt;1,(($U113/$L113)*((1+Inputs!$D$7)^BZ$2)),((INT(BZ$2/$L113)-INT((BZ$2-1)/$L113))*$U113*((1+Inputs!$D$7)^BZ$2))),(Inputs!$D$8^((1-_xlfn.WEIBULL.DIST(BZ$2,$M113,$L113,FALSE))/_xlfn.WEIBULL.DIST(BZ$2,$M113,$L113,FALSE))*$U113*((1+Inputs!$D$7)^BZ$2))),IF($N113=Lists!$K$3,IF($L113&lt;1,((($T113*(1-$F113)+$S113*(1-$G113))/$L113)*((1+Inputs!$D$7)^BZ$2)),((INT(BZ$2/$L113)-INT((BZ$2-1)/$L113))*($T113*(1-$F113)+$S113*(1-$G113))*((1+Inputs!$D$7)^BZ$2))),((Inputs!$D$8^((1-_xlfn.WEIBULL.DIST(BZ$2,$M113,$L113,FALSE))/_xlfn.WEIBULL.DIST(BZ$2,$M113,$L113,FALSE))*($T113*(1-$F113)+$S113*(1-$G113))*((1+Inputs!$D$7)^BZ$2))))))))</f>
        <v>10970.949779952814</v>
      </c>
      <c r="CA113" s="88">
        <f>MAX(AK113,($E113*IF(CA$2&gt;Inputs!$D$5,0,IF(CA$2&gt;VLOOKUP($H113,Lists!$P$3:$Q$7,2),IF($N113=Lists!$K$3,IF($L113&lt;1,(($U113/$L113)*((1+Inputs!$D$7)^CA$2)),((INT(CA$2/$L113)-INT((CA$2-1)/$L113))*$U113*((1+Inputs!$D$7)^CA$2))),(Inputs!$D$8^((1-_xlfn.WEIBULL.DIST(CA$2,$M113,$L113,FALSE))/_xlfn.WEIBULL.DIST(CA$2,$M113,$L113,FALSE))*$U113*((1+Inputs!$D$7)^CA$2))),IF($N113=Lists!$K$3,IF($L113&lt;1,((($T113*(1-$F113)+$S113*(1-$G113))/$L113)*((1+Inputs!$D$7)^CA$2)),((INT(CA$2/$L113)-INT((CA$2-1)/$L113))*($T113*(1-$F113)+$S113*(1-$G113))*((1+Inputs!$D$7)^CA$2))),((Inputs!$D$8^((1-_xlfn.WEIBULL.DIST(CA$2,$M113,$L113,FALSE))/_xlfn.WEIBULL.DIST(CA$2,$M113,$L113,FALSE))*($T113*(1-$F113)+$S113*(1-$G113))*((1+Inputs!$D$7)^CA$2))))))))</f>
        <v>11190.368775551868</v>
      </c>
      <c r="CB113" s="88">
        <f>MAX(AL113,($E113*IF(CB$2&gt;Inputs!$D$5,0,IF(CB$2&gt;VLOOKUP($H113,Lists!$P$3:$Q$7,2),IF($N113=Lists!$K$3,IF($L113&lt;1,(($U113/$L113)*((1+Inputs!$D$7)^CB$2)),((INT(CB$2/$L113)-INT((CB$2-1)/$L113))*$U113*((1+Inputs!$D$7)^CB$2))),(Inputs!$D$8^((1-_xlfn.WEIBULL.DIST(CB$2,$M113,$L113,FALSE))/_xlfn.WEIBULL.DIST(CB$2,$M113,$L113,FALSE))*$U113*((1+Inputs!$D$7)^CB$2))),IF($N113=Lists!$K$3,IF($L113&lt;1,((($T113*(1-$F113)+$S113*(1-$G113))/$L113)*((1+Inputs!$D$7)^CB$2)),((INT(CB$2/$L113)-INT((CB$2-1)/$L113))*($T113*(1-$F113)+$S113*(1-$G113))*((1+Inputs!$D$7)^CB$2))),((Inputs!$D$8^((1-_xlfn.WEIBULL.DIST(CB$2,$M113,$L113,FALSE))/_xlfn.WEIBULL.DIST(CB$2,$M113,$L113,FALSE))*($T113*(1-$F113)+$S113*(1-$G113))*((1+Inputs!$D$7)^CB$2))))))))</f>
        <v>11414.176151062908</v>
      </c>
      <c r="CC113" s="88">
        <f>MAX(AM113,($E113*IF(CC$2&gt;Inputs!$D$5,0,IF(CC$2&gt;VLOOKUP($H113,Lists!$P$3:$Q$7,2),IF($N113=Lists!$K$3,IF($L113&lt;1,(($U113/$L113)*((1+Inputs!$D$7)^CC$2)),((INT(CC$2/$L113)-INT((CC$2-1)/$L113))*$U113*((1+Inputs!$D$7)^CC$2))),(Inputs!$D$8^((1-_xlfn.WEIBULL.DIST(CC$2,$M113,$L113,FALSE))/_xlfn.WEIBULL.DIST(CC$2,$M113,$L113,FALSE))*$U113*((1+Inputs!$D$7)^CC$2))),IF($N113=Lists!$K$3,IF($L113&lt;1,((($T113*(1-$F113)+$S113*(1-$G113))/$L113)*((1+Inputs!$D$7)^CC$2)),((INT(CC$2/$L113)-INT((CC$2-1)/$L113))*($T113*(1-$F113)+$S113*(1-$G113))*((1+Inputs!$D$7)^CC$2))),((Inputs!$D$8^((1-_xlfn.WEIBULL.DIST(CC$2,$M113,$L113,FALSE))/_xlfn.WEIBULL.DIST(CC$2,$M113,$L113,FALSE))*($T113*(1-$F113)+$S113*(1-$G113))*((1+Inputs!$D$7)^CC$2))))))))</f>
        <v>11642.459674084164</v>
      </c>
      <c r="CD113" s="88">
        <f>MAX(AN113,($E113*IF(CD$2&gt;Inputs!$D$5,0,IF(CD$2&gt;VLOOKUP($H113,Lists!$P$3:$Q$7,2),IF($N113=Lists!$K$3,IF($L113&lt;1,(($U113/$L113)*((1+Inputs!$D$7)^CD$2)),((INT(CD$2/$L113)-INT((CD$2-1)/$L113))*$U113*((1+Inputs!$D$7)^CD$2))),(Inputs!$D$8^((1-_xlfn.WEIBULL.DIST(CD$2,$M113,$L113,FALSE))/_xlfn.WEIBULL.DIST(CD$2,$M113,$L113,FALSE))*$U113*((1+Inputs!$D$7)^CD$2))),IF($N113=Lists!$K$3,IF($L113&lt;1,((($T113*(1-$F113)+$S113*(1-$G113))/$L113)*((1+Inputs!$D$7)^CD$2)),((INT(CD$2/$L113)-INT((CD$2-1)/$L113))*($T113*(1-$F113)+$S113*(1-$G113))*((1+Inputs!$D$7)^CD$2))),((Inputs!$D$8^((1-_xlfn.WEIBULL.DIST(CD$2,$M113,$L113,FALSE))/_xlfn.WEIBULL.DIST(CD$2,$M113,$L113,FALSE))*($T113*(1-$F113)+$S113*(1-$G113))*((1+Inputs!$D$7)^CD$2))))))))</f>
        <v>11875.308867565849</v>
      </c>
      <c r="CE113" s="88">
        <f>MAX(AO113,($E113*IF(CE$2&gt;Inputs!$D$5,0,IF(CE$2&gt;VLOOKUP($H113,Lists!$P$3:$Q$7,2),IF($N113=Lists!$K$3,IF($L113&lt;1,(($U113/$L113)*((1+Inputs!$D$7)^CE$2)),((INT(CE$2/$L113)-INT((CE$2-1)/$L113))*$U113*((1+Inputs!$D$7)^CE$2))),(Inputs!$D$8^((1-_xlfn.WEIBULL.DIST(CE$2,$M113,$L113,FALSE))/_xlfn.WEIBULL.DIST(CE$2,$M113,$L113,FALSE))*$U113*((1+Inputs!$D$7)^CE$2))),IF($N113=Lists!$K$3,IF($L113&lt;1,((($T113*(1-$F113)+$S113*(1-$G113))/$L113)*((1+Inputs!$D$7)^CE$2)),((INT(CE$2/$L113)-INT((CE$2-1)/$L113))*($T113*(1-$F113)+$S113*(1-$G113))*((1+Inputs!$D$7)^CE$2))),((Inputs!$D$8^((1-_xlfn.WEIBULL.DIST(CE$2,$M113,$L113,FALSE))/_xlfn.WEIBULL.DIST(CE$2,$M113,$L113,FALSE))*($T113*(1-$F113)+$S113*(1-$G113))*((1+Inputs!$D$7)^CE$2))))))))</f>
        <v>12112.815044917163</v>
      </c>
      <c r="CF113" s="88">
        <f>MAX(AP113,($E113*IF(CF$2&gt;Inputs!$D$5,0,IF(CF$2&gt;VLOOKUP($H113,Lists!$P$3:$Q$7,2),IF($N113=Lists!$K$3,IF($L113&lt;1,(($U113/$L113)*((1+Inputs!$D$7)^CF$2)),((INT(CF$2/$L113)-INT((CF$2-1)/$L113))*$U113*((1+Inputs!$D$7)^CF$2))),(Inputs!$D$8^((1-_xlfn.WEIBULL.DIST(CF$2,$M113,$L113,FALSE))/_xlfn.WEIBULL.DIST(CF$2,$M113,$L113,FALSE))*$U113*((1+Inputs!$D$7)^CF$2))),IF($N113=Lists!$K$3,IF($L113&lt;1,((($T113*(1-$F113)+$S113*(1-$G113))/$L113)*((1+Inputs!$D$7)^CF$2)),((INT(CF$2/$L113)-INT((CF$2-1)/$L113))*($T113*(1-$F113)+$S113*(1-$G113))*((1+Inputs!$D$7)^CF$2))),((Inputs!$D$8^((1-_xlfn.WEIBULL.DIST(CF$2,$M113,$L113,FALSE))/_xlfn.WEIBULL.DIST(CF$2,$M113,$L113,FALSE))*($T113*(1-$F113)+$S113*(1-$G113))*((1+Inputs!$D$7)^CF$2))))))))</f>
        <v>12355.071345815508</v>
      </c>
      <c r="CG113" s="88">
        <f>MAX(AQ113,($E113*IF(CG$2&gt;Inputs!$D$5,0,IF(CG$2&gt;VLOOKUP($H113,Lists!$P$3:$Q$7,2),IF($N113=Lists!$K$3,IF($L113&lt;1,(($U113/$L113)*((1+Inputs!$D$7)^CG$2)),((INT(CG$2/$L113)-INT((CG$2-1)/$L113))*$U113*((1+Inputs!$D$7)^CG$2))),(Inputs!$D$8^((1-_xlfn.WEIBULL.DIST(CG$2,$M113,$L113,FALSE))/_xlfn.WEIBULL.DIST(CG$2,$M113,$L113,FALSE))*$U113*((1+Inputs!$D$7)^CG$2))),IF($N113=Lists!$K$3,IF($L113&lt;1,((($T113*(1-$F113)+$S113*(1-$G113))/$L113)*((1+Inputs!$D$7)^CG$2)),((INT(CG$2/$L113)-INT((CG$2-1)/$L113))*($T113*(1-$F113)+$S113*(1-$G113))*((1+Inputs!$D$7)^CG$2))),((Inputs!$D$8^((1-_xlfn.WEIBULL.DIST(CG$2,$M113,$L113,FALSE))/_xlfn.WEIBULL.DIST(CG$2,$M113,$L113,FALSE))*($T113*(1-$F113)+$S113*(1-$G113))*((1+Inputs!$D$7)^CG$2))))))))</f>
        <v>12602.172772731819</v>
      </c>
      <c r="CH113" s="88">
        <f>MAX(AR113,($E113*IF(CH$2&gt;Inputs!$D$5,0,IF(CH$2&gt;VLOOKUP($H113,Lists!$P$3:$Q$7,2),IF($N113=Lists!$K$3,IF($L113&lt;1,(($U113/$L113)*((1+Inputs!$D$7)^CH$2)),((INT(CH$2/$L113)-INT((CH$2-1)/$L113))*$U113*((1+Inputs!$D$7)^CH$2))),(Inputs!$D$8^((1-_xlfn.WEIBULL.DIST(CH$2,$M113,$L113,FALSE))/_xlfn.WEIBULL.DIST(CH$2,$M113,$L113,FALSE))*$U113*((1+Inputs!$D$7)^CH$2))),IF($N113=Lists!$K$3,IF($L113&lt;1,((($T113*(1-$F113)+$S113*(1-$G113))/$L113)*((1+Inputs!$D$7)^CH$2)),((INT(CH$2/$L113)-INT((CH$2-1)/$L113))*($T113*(1-$F113)+$S113*(1-$G113))*((1+Inputs!$D$7)^CH$2))),((Inputs!$D$8^((1-_xlfn.WEIBULL.DIST(CH$2,$M113,$L113,FALSE))/_xlfn.WEIBULL.DIST(CH$2,$M113,$L113,FALSE))*($T113*(1-$F113)+$S113*(1-$G113))*((1+Inputs!$D$7)^CH$2))))))))</f>
        <v>12854.216228186455</v>
      </c>
      <c r="CI113" s="88">
        <f>MAX(AS113,($E113*IF(CI$2&gt;Inputs!$D$5,0,IF(CI$2&gt;VLOOKUP($H113,Lists!$P$3:$Q$7,2),IF($N113=Lists!$K$3,IF($L113&lt;1,(($U113/$L113)*((1+Inputs!$D$7)^CI$2)),((INT(CI$2/$L113)-INT((CI$2-1)/$L113))*$U113*((1+Inputs!$D$7)^CI$2))),(Inputs!$D$8^((1-_xlfn.WEIBULL.DIST(CI$2,$M113,$L113,FALSE))/_xlfn.WEIBULL.DIST(CI$2,$M113,$L113,FALSE))*$U113*((1+Inputs!$D$7)^CI$2))),IF($N113=Lists!$K$3,IF($L113&lt;1,((($T113*(1-$F113)+$S113*(1-$G113))/$L113)*((1+Inputs!$D$7)^CI$2)),((INT(CI$2/$L113)-INT((CI$2-1)/$L113))*($T113*(1-$F113)+$S113*(1-$G113))*((1+Inputs!$D$7)^CI$2))),((Inputs!$D$8^((1-_xlfn.WEIBULL.DIST(CI$2,$M113,$L113,FALSE))/_xlfn.WEIBULL.DIST(CI$2,$M113,$L113,FALSE))*($T113*(1-$F113)+$S113*(1-$G113))*((1+Inputs!$D$7)^CI$2))))))))</f>
        <v>13111.300552750183</v>
      </c>
      <c r="CJ113" s="88">
        <f>MAX(AT113,($E113*IF(CJ$2&gt;Inputs!$D$5,0,IF(CJ$2&gt;VLOOKUP($H113,Lists!$P$3:$Q$7,2),IF($N113=Lists!$K$3,IF($L113&lt;1,(($U113/$L113)*((1+Inputs!$D$7)^CJ$2)),((INT(CJ$2/$L113)-INT((CJ$2-1)/$L113))*$U113*((1+Inputs!$D$7)^CJ$2))),(Inputs!$D$8^((1-_xlfn.WEIBULL.DIST(CJ$2,$M113,$L113,FALSE))/_xlfn.WEIBULL.DIST(CJ$2,$M113,$L113,FALSE))*$U113*((1+Inputs!$D$7)^CJ$2))),IF($N113=Lists!$K$3,IF($L113&lt;1,((($T113*(1-$F113)+$S113*(1-$G113))/$L113)*((1+Inputs!$D$7)^CJ$2)),((INT(CJ$2/$L113)-INT((CJ$2-1)/$L113))*($T113*(1-$F113)+$S113*(1-$G113))*((1+Inputs!$D$7)^CJ$2))),((Inputs!$D$8^((1-_xlfn.WEIBULL.DIST(CJ$2,$M113,$L113,FALSE))/_xlfn.WEIBULL.DIST(CJ$2,$M113,$L113,FALSE))*($T113*(1-$F113)+$S113*(1-$G113))*((1+Inputs!$D$7)^CJ$2))))))))</f>
        <v>13373.526563805188</v>
      </c>
      <c r="CK113" s="88">
        <f>MAX(AU113,($E113*IF(CK$2&gt;Inputs!$D$5,0,IF(CK$2&gt;VLOOKUP($H113,Lists!$P$3:$Q$7,2),IF($N113=Lists!$K$3,IF($L113&lt;1,(($U113/$L113)*((1+Inputs!$D$7)^CK$2)),((INT(CK$2/$L113)-INT((CK$2-1)/$L113))*$U113*((1+Inputs!$D$7)^CK$2))),(Inputs!$D$8^((1-_xlfn.WEIBULL.DIST(CK$2,$M113,$L113,FALSE))/_xlfn.WEIBULL.DIST(CK$2,$M113,$L113,FALSE))*$U113*((1+Inputs!$D$7)^CK$2))),IF($N113=Lists!$K$3,IF($L113&lt;1,((($T113*(1-$F113)+$S113*(1-$G113))/$L113)*((1+Inputs!$D$7)^CK$2)),((INT(CK$2/$L113)-INT((CK$2-1)/$L113))*($T113*(1-$F113)+$S113*(1-$G113))*((1+Inputs!$D$7)^CK$2))),((Inputs!$D$8^((1-_xlfn.WEIBULL.DIST(CK$2,$M113,$L113,FALSE))/_xlfn.WEIBULL.DIST(CK$2,$M113,$L113,FALSE))*($T113*(1-$F113)+$S113*(1-$G113))*((1+Inputs!$D$7)^CK$2))))))))</f>
        <v>13640.997095081291</v>
      </c>
      <c r="CL113" s="88">
        <f>MAX(AV113,($E113*IF(CL$2&gt;Inputs!$D$5,0,IF(CL$2&gt;VLOOKUP($H113,Lists!$P$3:$Q$7,2),IF($N113=Lists!$K$3,IF($L113&lt;1,(($U113/$L113)*((1+Inputs!$D$7)^CL$2)),((INT(CL$2/$L113)-INT((CL$2-1)/$L113))*$U113*((1+Inputs!$D$7)^CL$2))),(Inputs!$D$8^((1-_xlfn.WEIBULL.DIST(CL$2,$M113,$L113,FALSE))/_xlfn.WEIBULL.DIST(CL$2,$M113,$L113,FALSE))*$U113*((1+Inputs!$D$7)^CL$2))),IF($N113=Lists!$K$3,IF($L113&lt;1,((($T113*(1-$F113)+$S113*(1-$G113))/$L113)*((1+Inputs!$D$7)^CL$2)),((INT(CL$2/$L113)-INT((CL$2-1)/$L113))*($T113*(1-$F113)+$S113*(1-$G113))*((1+Inputs!$D$7)^CL$2))),((Inputs!$D$8^((1-_xlfn.WEIBULL.DIST(CL$2,$M113,$L113,FALSE))/_xlfn.WEIBULL.DIST(CL$2,$M113,$L113,FALSE))*($T113*(1-$F113)+$S113*(1-$G113))*((1+Inputs!$D$7)^CL$2))))))))</f>
        <v>13913.817036982917</v>
      </c>
      <c r="CM113" s="88">
        <f>MAX(AW113,($E113*IF(CM$2&gt;Inputs!$D$5,0,IF(CM$2&gt;VLOOKUP($H113,Lists!$P$3:$Q$7,2),IF($N113=Lists!$K$3,IF($L113&lt;1,(($U113/$L113)*((1+Inputs!$D$7)^CM$2)),((INT(CM$2/$L113)-INT((CM$2-1)/$L113))*$U113*((1+Inputs!$D$7)^CM$2))),(Inputs!$D$8^((1-_xlfn.WEIBULL.DIST(CM$2,$M113,$L113,FALSE))/_xlfn.WEIBULL.DIST(CM$2,$M113,$L113,FALSE))*$U113*((1+Inputs!$D$7)^CM$2))),IF($N113=Lists!$K$3,IF($L113&lt;1,((($T113*(1-$F113)+$S113*(1-$G113))/$L113)*((1+Inputs!$D$7)^CM$2)),((INT(CM$2/$L113)-INT((CM$2-1)/$L113))*($T113*(1-$F113)+$S113*(1-$G113))*((1+Inputs!$D$7)^CM$2))),((Inputs!$D$8^((1-_xlfn.WEIBULL.DIST(CM$2,$M113,$L113,FALSE))/_xlfn.WEIBULL.DIST(CM$2,$M113,$L113,FALSE))*($T113*(1-$F113)+$S113*(1-$G113))*((1+Inputs!$D$7)^CM$2))))))))</f>
        <v>14192.093377722573</v>
      </c>
      <c r="CN113" s="88">
        <f>MAX(AX113,($E113*IF(CN$2&gt;Inputs!$D$5,0,IF(CN$2&gt;VLOOKUP($H113,Lists!$P$3:$Q$7,2),IF($N113=Lists!$K$3,IF($L113&lt;1,(($U113/$L113)*((1+Inputs!$D$7)^CN$2)),((INT(CN$2/$L113)-INT((CN$2-1)/$L113))*$U113*((1+Inputs!$D$7)^CN$2))),(Inputs!$D$8^((1-_xlfn.WEIBULL.DIST(CN$2,$M113,$L113,FALSE))/_xlfn.WEIBULL.DIST(CN$2,$M113,$L113,FALSE))*$U113*((1+Inputs!$D$7)^CN$2))),IF($N113=Lists!$K$3,IF($L113&lt;1,((($T113*(1-$F113)+$S113*(1-$G113))/$L113)*((1+Inputs!$D$7)^CN$2)),((INT(CN$2/$L113)-INT((CN$2-1)/$L113))*($T113*(1-$F113)+$S113*(1-$G113))*((1+Inputs!$D$7)^CN$2))),((Inputs!$D$8^((1-_xlfn.WEIBULL.DIST(CN$2,$M113,$L113,FALSE))/_xlfn.WEIBULL.DIST(CN$2,$M113,$L113,FALSE))*($T113*(1-$F113)+$S113*(1-$G113))*((1+Inputs!$D$7)^CN$2))))))))</f>
        <v>14475.935245277025</v>
      </c>
      <c r="CO113" s="88">
        <f>MAX(AY113,($E113*IF(CO$2&gt;Inputs!$D$5,0,IF(CO$2&gt;VLOOKUP($H113,Lists!$P$3:$Q$7,2),IF($N113=Lists!$K$3,IF($L113&lt;1,(($U113/$L113)*((1+Inputs!$D$7)^CO$2)),((INT(CO$2/$L113)-INT((CO$2-1)/$L113))*$U113*((1+Inputs!$D$7)^CO$2))),(Inputs!$D$8^((1-_xlfn.WEIBULL.DIST(CO$2,$M113,$L113,FALSE))/_xlfn.WEIBULL.DIST(CO$2,$M113,$L113,FALSE))*$U113*((1+Inputs!$D$7)^CO$2))),IF($N113=Lists!$K$3,IF($L113&lt;1,((($T113*(1-$F113)+$S113*(1-$G113))/$L113)*((1+Inputs!$D$7)^CO$2)),((INT(CO$2/$L113)-INT((CO$2-1)/$L113))*($T113*(1-$F113)+$S113*(1-$G113))*((1+Inputs!$D$7)^CO$2))),((Inputs!$D$8^((1-_xlfn.WEIBULL.DIST(CO$2,$M113,$L113,FALSE))/_xlfn.WEIBULL.DIST(CO$2,$M113,$L113,FALSE))*($T113*(1-$F113)+$S113*(1-$G113))*((1+Inputs!$D$7)^CO$2))))))))</f>
        <v>14765.453950182566</v>
      </c>
      <c r="CP113" s="88">
        <f>MAX(AZ113,($E113*IF(CP$2&gt;Inputs!$D$5,0,IF(CP$2&gt;VLOOKUP($H113,Lists!$P$3:$Q$7,2),IF($N113=Lists!$K$3,IF($L113&lt;1,(($U113/$L113)*((1+Inputs!$D$7)^CP$2)),((INT(CP$2/$L113)-INT((CP$2-1)/$L113))*$U113*((1+Inputs!$D$7)^CP$2))),(Inputs!$D$8^((1-_xlfn.WEIBULL.DIST(CP$2,$M113,$L113,FALSE))/_xlfn.WEIBULL.DIST(CP$2,$M113,$L113,FALSE))*$U113*((1+Inputs!$D$7)^CP$2))),IF($N113=Lists!$K$3,IF($L113&lt;1,((($T113*(1-$F113)+$S113*(1-$G113))/$L113)*((1+Inputs!$D$7)^CP$2)),((INT(CP$2/$L113)-INT((CP$2-1)/$L113))*($T113*(1-$F113)+$S113*(1-$G113))*((1+Inputs!$D$7)^CP$2))),((Inputs!$D$8^((1-_xlfn.WEIBULL.DIST(CP$2,$M113,$L113,FALSE))/_xlfn.WEIBULL.DIST(CP$2,$M113,$L113,FALSE))*($T113*(1-$F113)+$S113*(1-$G113))*((1+Inputs!$D$7)^CP$2))))))))</f>
        <v>0</v>
      </c>
      <c r="CQ113" s="88">
        <f>MAX(BA113,($E113*IF(CQ$2&gt;Inputs!$D$5,0,IF(CQ$2&gt;VLOOKUP($H113,Lists!$P$3:$Q$7,2),IF($N113=Lists!$K$3,IF($L113&lt;1,(($U113/$L113)*((1+Inputs!$D$7)^CQ$2)),((INT(CQ$2/$L113)-INT((CQ$2-1)/$L113))*$U113*((1+Inputs!$D$7)^CQ$2))),(Inputs!$D$8^((1-_xlfn.WEIBULL.DIST(CQ$2,$M113,$L113,FALSE))/_xlfn.WEIBULL.DIST(CQ$2,$M113,$L113,FALSE))*$U113*((1+Inputs!$D$7)^CQ$2))),IF($N113=Lists!$K$3,IF($L113&lt;1,((($T113*(1-$F113)+$S113*(1-$G113))/$L113)*((1+Inputs!$D$7)^CQ$2)),((INT(CQ$2/$L113)-INT((CQ$2-1)/$L113))*($T113*(1-$F113)+$S113*(1-$G113))*((1+Inputs!$D$7)^CQ$2))),((Inputs!$D$8^((1-_xlfn.WEIBULL.DIST(CQ$2,$M113,$L113,FALSE))/_xlfn.WEIBULL.DIST(CQ$2,$M113,$L113,FALSE))*($T113*(1-$F113)+$S113*(1-$G113))*((1+Inputs!$D$7)^CQ$2))))))))</f>
        <v>0</v>
      </c>
      <c r="CR113" s="88">
        <f>MAX(BB113,($E113*IF(CR$2&gt;Inputs!$D$5,0,IF(CR$2&gt;VLOOKUP($H113,Lists!$P$3:$Q$7,2),IF($N113=Lists!$K$3,IF($L113&lt;1,(($U113/$L113)*((1+Inputs!$D$7)^CR$2)),((INT(CR$2/$L113)-INT((CR$2-1)/$L113))*$U113*((1+Inputs!$D$7)^CR$2))),(Inputs!$D$8^((1-_xlfn.WEIBULL.DIST(CR$2,$M113,$L113,FALSE))/_xlfn.WEIBULL.DIST(CR$2,$M113,$L113,FALSE))*$U113*((1+Inputs!$D$7)^CR$2))),IF($N113=Lists!$K$3,IF($L113&lt;1,((($T113*(1-$F113)+$S113*(1-$G113))/$L113)*((1+Inputs!$D$7)^CR$2)),((INT(CR$2/$L113)-INT((CR$2-1)/$L113))*($T113*(1-$F113)+$S113*(1-$G113))*((1+Inputs!$D$7)^CR$2))),((Inputs!$D$8^((1-_xlfn.WEIBULL.DIST(CR$2,$M113,$L113,FALSE))/_xlfn.WEIBULL.DIST(CR$2,$M113,$L113,FALSE))*($T113*(1-$F113)+$S113*(1-$G113))*((1+Inputs!$D$7)^CR$2))))))))</f>
        <v>0</v>
      </c>
      <c r="CS113" s="88">
        <f>MAX(BC113,($E113*IF(CS$2&gt;Inputs!$D$5,0,IF(CS$2&gt;VLOOKUP($H113,Lists!$P$3:$Q$7,2),IF($N113=Lists!$K$3,IF($L113&lt;1,(($U113/$L113)*((1+Inputs!$D$7)^CS$2)),((INT(CS$2/$L113)-INT((CS$2-1)/$L113))*$U113*((1+Inputs!$D$7)^CS$2))),(Inputs!$D$8^((1-_xlfn.WEIBULL.DIST(CS$2,$M113,$L113,FALSE))/_xlfn.WEIBULL.DIST(CS$2,$M113,$L113,FALSE))*$U113*((1+Inputs!$D$7)^CS$2))),IF($N113=Lists!$K$3,IF($L113&lt;1,((($T113*(1-$F113)+$S113*(1-$G113))/$L113)*((1+Inputs!$D$7)^CS$2)),((INT(CS$2/$L113)-INT((CS$2-1)/$L113))*($T113*(1-$F113)+$S113*(1-$G113))*((1+Inputs!$D$7)^CS$2))),((Inputs!$D$8^((1-_xlfn.WEIBULL.DIST(CS$2,$M113,$L113,FALSE))/_xlfn.WEIBULL.DIST(CS$2,$M113,$L113,FALSE))*($T113*(1-$F113)+$S113*(1-$G113))*((1+Inputs!$D$7)^CS$2))))))))</f>
        <v>0</v>
      </c>
      <c r="CT113" s="88">
        <f>MAX(BD113,($E113*IF(CT$2&gt;Inputs!$D$5,0,IF(CT$2&gt;VLOOKUP($H113,Lists!$P$3:$Q$7,2),IF($N113=Lists!$K$3,IF($L113&lt;1,(($U113/$L113)*((1+Inputs!$D$7)^CT$2)),((INT(CT$2/$L113)-INT((CT$2-1)/$L113))*$U113*((1+Inputs!$D$7)^CT$2))),(Inputs!$D$8^((1-_xlfn.WEIBULL.DIST(CT$2,$M113,$L113,FALSE))/_xlfn.WEIBULL.DIST(CT$2,$M113,$L113,FALSE))*$U113*((1+Inputs!$D$7)^CT$2))),IF($N113=Lists!$K$3,IF($L113&lt;1,((($T113*(1-$F113)+$S113*(1-$G113))/$L113)*((1+Inputs!$D$7)^CT$2)),((INT(CT$2/$L113)-INT((CT$2-1)/$L113))*($T113*(1-$F113)+$S113*(1-$G113))*((1+Inputs!$D$7)^CT$2))),((Inputs!$D$8^((1-_xlfn.WEIBULL.DIST(CT$2,$M113,$L113,FALSE))/_xlfn.WEIBULL.DIST(CT$2,$M113,$L113,FALSE))*($T113*(1-$F113)+$S113*(1-$G113))*((1+Inputs!$D$7)^CT$2))))))))</f>
        <v>0</v>
      </c>
      <c r="CU113" s="88">
        <f>MAX(BE113,($E113*IF(CU$2&gt;Inputs!$D$5,0,IF(CU$2&gt;VLOOKUP($H113,Lists!$P$3:$Q$7,2),IF($N113=Lists!$K$3,IF($L113&lt;1,(($U113/$L113)*((1+Inputs!$D$7)^CU$2)),((INT(CU$2/$L113)-INT((CU$2-1)/$L113))*$U113*((1+Inputs!$D$7)^CU$2))),(Inputs!$D$8^((1-_xlfn.WEIBULL.DIST(CU$2,$M113,$L113,FALSE))/_xlfn.WEIBULL.DIST(CU$2,$M113,$L113,FALSE))*$U113*((1+Inputs!$D$7)^CU$2))),IF($N113=Lists!$K$3,IF($L113&lt;1,((($T113*(1-$F113)+$S113*(1-$G113))/$L113)*((1+Inputs!$D$7)^CU$2)),((INT(CU$2/$L113)-INT((CU$2-1)/$L113))*($T113*(1-$F113)+$S113*(1-$G113))*((1+Inputs!$D$7)^CU$2))),((Inputs!$D$8^((1-_xlfn.WEIBULL.DIST(CU$2,$M113,$L113,FALSE))/_xlfn.WEIBULL.DIST(CU$2,$M113,$L113,FALSE))*($T113*(1-$F113)+$S113*(1-$G113))*((1+Inputs!$D$7)^CU$2))))))))</f>
        <v>0</v>
      </c>
      <c r="CV113" s="88">
        <f>MAX(BF113,($E113*IF(CV$2&gt;Inputs!$D$5,0,IF(CV$2&gt;VLOOKUP($H113,Lists!$P$3:$Q$7,2),IF($N113=Lists!$K$3,IF($L113&lt;1,(($U113/$L113)*((1+Inputs!$D$7)^CV$2)),((INT(CV$2/$L113)-INT((CV$2-1)/$L113))*$U113*((1+Inputs!$D$7)^CV$2))),(Inputs!$D$8^((1-_xlfn.WEIBULL.DIST(CV$2,$M113,$L113,FALSE))/_xlfn.WEIBULL.DIST(CV$2,$M113,$L113,FALSE))*$U113*((1+Inputs!$D$7)^CV$2))),IF($N113=Lists!$K$3,IF($L113&lt;1,((($T113*(1-$F113)+$S113*(1-$G113))/$L113)*((1+Inputs!$D$7)^CV$2)),((INT(CV$2/$L113)-INT((CV$2-1)/$L113))*($T113*(1-$F113)+$S113*(1-$G113))*((1+Inputs!$D$7)^CV$2))),((Inputs!$D$8^((1-_xlfn.WEIBULL.DIST(CV$2,$M113,$L113,FALSE))/_xlfn.WEIBULL.DIST(CV$2,$M113,$L113,FALSE))*($T113*(1-$F113)+$S113*(1-$G113))*((1+Inputs!$D$7)^CV$2))))))))</f>
        <v>0</v>
      </c>
      <c r="CW113" s="88">
        <f>MAX(BG113,($E113*IF(CW$2&gt;Inputs!$D$5,0,IF(CW$2&gt;VLOOKUP($H113,Lists!$P$3:$Q$7,2),IF($N113=Lists!$K$3,IF($L113&lt;1,(($U113/$L113)*((1+Inputs!$D$7)^CW$2)),((INT(CW$2/$L113)-INT((CW$2-1)/$L113))*$U113*((1+Inputs!$D$7)^CW$2))),(Inputs!$D$8^((1-_xlfn.WEIBULL.DIST(CW$2,$M113,$L113,FALSE))/_xlfn.WEIBULL.DIST(CW$2,$M113,$L113,FALSE))*$U113*((1+Inputs!$D$7)^CW$2))),IF($N113=Lists!$K$3,IF($L113&lt;1,((($T113*(1-$F113)+$S113*(1-$G113))/$L113)*((1+Inputs!$D$7)^CW$2)),((INT(CW$2/$L113)-INT((CW$2-1)/$L113))*($T113*(1-$F113)+$S113*(1-$G113))*((1+Inputs!$D$7)^CW$2))),((Inputs!$D$8^((1-_xlfn.WEIBULL.DIST(CW$2,$M113,$L113,FALSE))/_xlfn.WEIBULL.DIST(CW$2,$M113,$L113,FALSE))*($T113*(1-$F113)+$S113*(1-$G113))*((1+Inputs!$D$7)^CW$2))))))))</f>
        <v>0</v>
      </c>
      <c r="CX113" s="88">
        <f>MAX(BH113,($E113*IF(CX$2&gt;Inputs!$D$5,0,IF(CX$2&gt;VLOOKUP($H113,Lists!$P$3:$Q$7,2),IF($N113=Lists!$K$3,IF($L113&lt;1,(($U113/$L113)*((1+Inputs!$D$7)^CX$2)),((INT(CX$2/$L113)-INT((CX$2-1)/$L113))*$U113*((1+Inputs!$D$7)^CX$2))),(Inputs!$D$8^((1-_xlfn.WEIBULL.DIST(CX$2,$M113,$L113,FALSE))/_xlfn.WEIBULL.DIST(CX$2,$M113,$L113,FALSE))*$U113*((1+Inputs!$D$7)^CX$2))),IF($N113=Lists!$K$3,IF($L113&lt;1,((($T113*(1-$F113)+$S113*(1-$G113))/$L113)*((1+Inputs!$D$7)^CX$2)),((INT(CX$2/$L113)-INT((CX$2-1)/$L113))*($T113*(1-$F113)+$S113*(1-$G113))*((1+Inputs!$D$7)^CX$2))),((Inputs!$D$8^((1-_xlfn.WEIBULL.DIST(CX$2,$M113,$L113,FALSE))/_xlfn.WEIBULL.DIST(CX$2,$M113,$L113,FALSE))*($T113*(1-$F113)+$S113*(1-$G113))*((1+Inputs!$D$7)^CX$2))))))))</f>
        <v>0</v>
      </c>
      <c r="CY113" s="88">
        <f>MAX(BI113,($E113*IF(CY$2&gt;Inputs!$D$5,0,IF(CY$2&gt;VLOOKUP($H113,Lists!$P$3:$Q$7,2),IF($N113=Lists!$K$3,IF($L113&lt;1,(($U113/$L113)*((1+Inputs!$D$7)^CY$2)),((INT(CY$2/$L113)-INT((CY$2-1)/$L113))*$U113*((1+Inputs!$D$7)^CY$2))),(Inputs!$D$8^((1-_xlfn.WEIBULL.DIST(CY$2,$M113,$L113,FALSE))/_xlfn.WEIBULL.DIST(CY$2,$M113,$L113,FALSE))*$U113*((1+Inputs!$D$7)^CY$2))),IF($N113=Lists!$K$3,IF($L113&lt;1,((($T113*(1-$F113)+$S113*(1-$G113))/$L113)*((1+Inputs!$D$7)^CY$2)),((INT(CY$2/$L113)-INT((CY$2-1)/$L113))*($T113*(1-$F113)+$S113*(1-$G113))*((1+Inputs!$D$7)^CY$2))),((Inputs!$D$8^((1-_xlfn.WEIBULL.DIST(CY$2,$M113,$L113,FALSE))/_xlfn.WEIBULL.DIST(CY$2,$M113,$L113,FALSE))*($T113*(1-$F113)+$S113*(1-$G113))*((1+Inputs!$D$7)^CY$2))))))))</f>
        <v>0</v>
      </c>
      <c r="CZ113" s="88">
        <f>MAX(BJ113,($E113*IF(CZ$2&gt;Inputs!$D$5,0,IF(CZ$2&gt;VLOOKUP($H113,Lists!$P$3:$Q$7,2),IF($N113=Lists!$K$3,IF($L113&lt;1,(($U113/$L113)*((1+Inputs!$D$7)^CZ$2)),((INT(CZ$2/$L113)-INT((CZ$2-1)/$L113))*$U113*((1+Inputs!$D$7)^CZ$2))),(Inputs!$D$8^((1-_xlfn.WEIBULL.DIST(CZ$2,$M113,$L113,FALSE))/_xlfn.WEIBULL.DIST(CZ$2,$M113,$L113,FALSE))*$U113*((1+Inputs!$D$7)^CZ$2))),IF($N113=Lists!$K$3,IF($L113&lt;1,((($T113*(1-$F113)+$S113*(1-$G113))/$L113)*((1+Inputs!$D$7)^CZ$2)),((INT(CZ$2/$L113)-INT((CZ$2-1)/$L113))*($T113*(1-$F113)+$S113*(1-$G113))*((1+Inputs!$D$7)^CZ$2))),((Inputs!$D$8^((1-_xlfn.WEIBULL.DIST(CZ$2,$M113,$L113,FALSE))/_xlfn.WEIBULL.DIST(CZ$2,$M113,$L113,FALSE))*($T113*(1-$F113)+$S113*(1-$G113))*((1+Inputs!$D$7)^CZ$2))))))))</f>
        <v>0</v>
      </c>
      <c r="DA113" s="88">
        <f>MAX(BK113,($E113*IF(DA$2&gt;Inputs!$D$5,0,IF(DA$2&gt;VLOOKUP($H113,Lists!$P$3:$Q$7,2),IF($N113=Lists!$K$3,IF($L113&lt;1,(($U113/$L113)*((1+Inputs!$D$7)^DA$2)),((INT(DA$2/$L113)-INT((DA$2-1)/$L113))*$U113*((1+Inputs!$D$7)^DA$2))),(Inputs!$D$8^((1-_xlfn.WEIBULL.DIST(DA$2,$M113,$L113,FALSE))/_xlfn.WEIBULL.DIST(DA$2,$M113,$L113,FALSE))*$U113*((1+Inputs!$D$7)^DA$2))),IF($N113=Lists!$K$3,IF($L113&lt;1,((($T113*(1-$F113)+$S113*(1-$G113))/$L113)*((1+Inputs!$D$7)^DA$2)),((INT(DA$2/$L113)-INT((DA$2-1)/$L113))*($T113*(1-$F113)+$S113*(1-$G113))*((1+Inputs!$D$7)^DA$2))),((Inputs!$D$8^((1-_xlfn.WEIBULL.DIST(DA$2,$M113,$L113,FALSE))/_xlfn.WEIBULL.DIST(DA$2,$M113,$L113,FALSE))*($T113*(1-$F113)+$S113*(1-$G113))*((1+Inputs!$D$7)^DA$2))))))))</f>
        <v>0</v>
      </c>
      <c r="DB113" s="88">
        <f>MAX(BL113,($E113*IF(DB$2&gt;Inputs!$D$5,0,IF(DB$2&gt;VLOOKUP($H113,Lists!$P$3:$Q$7,2),IF($N113=Lists!$K$3,IF($L113&lt;1,(($U113/$L113)*((1+Inputs!$D$7)^DB$2)),((INT(DB$2/$L113)-INT((DB$2-1)/$L113))*$U113*((1+Inputs!$D$7)^DB$2))),(Inputs!$D$8^((1-_xlfn.WEIBULL.DIST(DB$2,$M113,$L113,FALSE))/_xlfn.WEIBULL.DIST(DB$2,$M113,$L113,FALSE))*$U113*((1+Inputs!$D$7)^DB$2))),IF($N113=Lists!$K$3,IF($L113&lt;1,((($T113*(1-$F113)+$S113*(1-$G113))/$L113)*((1+Inputs!$D$7)^DB$2)),((INT(DB$2/$L113)-INT((DB$2-1)/$L113))*($T113*(1-$F113)+$S113*(1-$G113))*((1+Inputs!$D$7)^DB$2))),((Inputs!$D$8^((1-_xlfn.WEIBULL.DIST(DB$2,$M113,$L113,FALSE))/_xlfn.WEIBULL.DIST(DB$2,$M113,$L113,FALSE))*($T113*(1-$F113)+$S113*(1-$G113))*((1+Inputs!$D$7)^DB$2))))))))</f>
        <v>0</v>
      </c>
      <c r="DC113" s="88">
        <f>MAX(BM113,($E113*IF(DC$2&gt;Inputs!$D$5,0,IF(DC$2&gt;VLOOKUP($H113,Lists!$P$3:$Q$7,2),IF($N113=Lists!$K$3,IF($L113&lt;1,(($U113/$L113)*((1+Inputs!$D$7)^DC$2)),((INT(DC$2/$L113)-INT((DC$2-1)/$L113))*$U113*((1+Inputs!$D$7)^DC$2))),(Inputs!$D$8^((1-_xlfn.WEIBULL.DIST(DC$2,$M113,$L113,FALSE))/_xlfn.WEIBULL.DIST(DC$2,$M113,$L113,FALSE))*$U113*((1+Inputs!$D$7)^DC$2))),IF($N113=Lists!$K$3,IF($L113&lt;1,((($T113*(1-$F113)+$S113*(1-$G113))/$L113)*((1+Inputs!$D$7)^DC$2)),((INT(DC$2/$L113)-INT((DC$2-1)/$L113))*($T113*(1-$F113)+$S113*(1-$G113))*((1+Inputs!$D$7)^DC$2))),((Inputs!$D$8^((1-_xlfn.WEIBULL.DIST(DC$2,$M113,$L113,FALSE))/_xlfn.WEIBULL.DIST(DC$2,$M113,$L113,FALSE))*($T113*(1-$F113)+$S113*(1-$G113))*((1+Inputs!$D$7)^DC$2))))))))</f>
        <v>0</v>
      </c>
      <c r="DD113" s="88">
        <f>MAX(BN113,($E113*IF(DD$2&gt;Inputs!$D$5,0,IF(DD$2&gt;VLOOKUP($H113,Lists!$P$3:$Q$7,2),IF($N113=Lists!$K$3,IF($L113&lt;1,(($U113/$L113)*((1+Inputs!$D$7)^DD$2)),((INT(DD$2/$L113)-INT((DD$2-1)/$L113))*$U113*((1+Inputs!$D$7)^DD$2))),(Inputs!$D$8^((1-_xlfn.WEIBULL.DIST(DD$2,$M113,$L113,FALSE))/_xlfn.WEIBULL.DIST(DD$2,$M113,$L113,FALSE))*$U113*((1+Inputs!$D$7)^DD$2))),IF($N113=Lists!$K$3,IF($L113&lt;1,((($T113*(1-$F113)+$S113*(1-$G113))/$L113)*((1+Inputs!$D$7)^DD$2)),((INT(DD$2/$L113)-INT((DD$2-1)/$L113))*($T113*(1-$F113)+$S113*(1-$G113))*((1+Inputs!$D$7)^DD$2))),((Inputs!$D$8^((1-_xlfn.WEIBULL.DIST(DD$2,$M113,$L113,FALSE))/_xlfn.WEIBULL.DIST(DD$2,$M113,$L113,FALSE))*($T113*(1-$F113)+$S113*(1-$G113))*((1+Inputs!$D$7)^DD$2))))))))</f>
        <v>0</v>
      </c>
    </row>
    <row r="114" spans="1:108" ht="33" customHeight="1">
      <c r="A114" s="57" t="s">
        <v>143</v>
      </c>
      <c r="B114" s="13" t="s">
        <v>279</v>
      </c>
      <c r="C114" s="13" t="s">
        <v>90</v>
      </c>
      <c r="D114" s="13" t="s">
        <v>30</v>
      </c>
      <c r="E114" s="48">
        <f>IF(Inputs!$D$46=Lists!$AC$3,0,1)*IF(Inputs!D41=Lists!I4,0,1)</f>
        <v>0</v>
      </c>
      <c r="F114" s="48">
        <v>0</v>
      </c>
      <c r="G114" s="48">
        <v>0</v>
      </c>
      <c r="H114" s="105" t="s">
        <v>350</v>
      </c>
      <c r="I114" s="14" t="s">
        <v>263</v>
      </c>
      <c r="J114" s="14" t="s">
        <v>246</v>
      </c>
      <c r="K114" s="13">
        <f>VLOOKUP(J114,'Labor Rates'!$A$1:$F$16,2)</f>
        <v>33.119999999999997</v>
      </c>
      <c r="L114" s="15">
        <v>5</v>
      </c>
      <c r="M114" s="15">
        <v>1</v>
      </c>
      <c r="N114" s="13" t="s">
        <v>236</v>
      </c>
      <c r="O114" s="61">
        <f>Inputs!$D$25</f>
        <v>2341.9203747072602</v>
      </c>
      <c r="P114" s="15">
        <v>0.15</v>
      </c>
      <c r="Q114" s="15">
        <f t="shared" si="21"/>
        <v>70.257611241217802</v>
      </c>
      <c r="R114" s="4">
        <v>0</v>
      </c>
      <c r="S114" s="53">
        <f t="shared" si="22"/>
        <v>11634.660421545668</v>
      </c>
      <c r="T114" s="53">
        <f t="shared" si="23"/>
        <v>0</v>
      </c>
      <c r="U114" s="54">
        <f t="shared" si="24"/>
        <v>0</v>
      </c>
      <c r="V114" s="65"/>
      <c r="W114" s="58"/>
      <c r="X114" s="64">
        <f t="shared" si="25"/>
        <v>0</v>
      </c>
      <c r="Y114" s="64">
        <f>NPV(Inputs!$D$6,AA114:BN114)</f>
        <v>0</v>
      </c>
      <c r="Z114" s="67">
        <f t="shared" si="26"/>
        <v>0</v>
      </c>
      <c r="AA114" s="88">
        <f>$E114*IF(AA$2&gt;Inputs!$D$5,0,IF(AA$2&gt;VLOOKUP($H114,Lists!$P$3:$Q$7,2),IF($N114=Lists!$K$3,IF($L114&lt;1,(($U114/$L114)*((1+Inputs!$D$7)^AA$2)),((INT(AA$2/$L114)-INT((AA$2-1)/$L114))*$U114*((1+Inputs!$D$7)^AA$2))),(_xlfn.WEIBULL.DIST(AA$2,$M114,$L114,FALSE)*$U114*((1+Inputs!$D$7)^AA$2))),IF($N114=Lists!$K$3,IF($L114&lt;1,((($T114*(1-$F114)+$S114*(1-$G114))/$L114)*((1+Inputs!$D$7)^AA$2)),((INT(AA$2/$L114)-INT((AA$2-1)/$L114))*($T114*(1-$F114)+$S114*(1-$G114))*((1+Inputs!$D$7)^AA$2))),((_xlfn.WEIBULL.DIST(AA$2,$M114,$L114,FALSE)*($T114*(1-$F114)+$S114*(1-$G114))*((1+Inputs!$D$7)^AA$2))))))</f>
        <v>0</v>
      </c>
      <c r="AB114" s="88">
        <f>$E114*IF(AB$2&gt;Inputs!$D$5,0,IF(AB$2&gt;VLOOKUP($H114,Lists!$P$3:$Q$7,2),IF($N114=Lists!$K$3,IF($L114&lt;1,(($U114/$L114)*((1+Inputs!$D$7)^AB$2)),((INT(AB$2/$L114)-INT((AB$2-1)/$L114))*$U114*((1+Inputs!$D$7)^AB$2))),(_xlfn.WEIBULL.DIST(AB$2,$M114,$L114,FALSE)*$U114*((1+Inputs!$D$7)^AB$2))),IF($N114=Lists!$K$3,IF($L114&lt;1,((($T114*(1-$F114)+$S114*(1-$G114))/$L114)*((1+Inputs!$D$7)^AB$2)),((INT(AB$2/$L114)-INT((AB$2-1)/$L114))*($T114*(1-$F114)+$S114*(1-$G114))*((1+Inputs!$D$7)^AB$2))),((_xlfn.WEIBULL.DIST(AB$2,$M114,$L114,FALSE)*($T114*(1-$F114)+$S114*(1-$G114))*((1+Inputs!$D$7)^AB$2))))))</f>
        <v>0</v>
      </c>
      <c r="AC114" s="88">
        <f>$E114*IF(AC$2&gt;Inputs!$D$5,0,IF(AC$2&gt;VLOOKUP($H114,Lists!$P$3:$Q$7,2),IF($N114=Lists!$K$3,IF($L114&lt;1,(($U114/$L114)*((1+Inputs!$D$7)^AC$2)),((INT(AC$2/$L114)-INT((AC$2-1)/$L114))*$U114*((1+Inputs!$D$7)^AC$2))),(_xlfn.WEIBULL.DIST(AC$2,$M114,$L114,FALSE)*$U114*((1+Inputs!$D$7)^AC$2))),IF($N114=Lists!$K$3,IF($L114&lt;1,((($T114*(1-$F114)+$S114*(1-$G114))/$L114)*((1+Inputs!$D$7)^AC$2)),((INT(AC$2/$L114)-INT((AC$2-1)/$L114))*($T114*(1-$F114)+$S114*(1-$G114))*((1+Inputs!$D$7)^AC$2))),((_xlfn.WEIBULL.DIST(AC$2,$M114,$L114,FALSE)*($T114*(1-$F114)+$S114*(1-$G114))*((1+Inputs!$D$7)^AC$2))))))</f>
        <v>0</v>
      </c>
      <c r="AD114" s="88">
        <f>$E114*IF(AD$2&gt;Inputs!$D$5,0,IF(AD$2&gt;VLOOKUP($H114,Lists!$P$3:$Q$7,2),IF($N114=Lists!$K$3,IF($L114&lt;1,(($U114/$L114)*((1+Inputs!$D$7)^AD$2)),((INT(AD$2/$L114)-INT((AD$2-1)/$L114))*$U114*((1+Inputs!$D$7)^AD$2))),(_xlfn.WEIBULL.DIST(AD$2,$M114,$L114,FALSE)*$U114*((1+Inputs!$D$7)^AD$2))),IF($N114=Lists!$K$3,IF($L114&lt;1,((($T114*(1-$F114)+$S114*(1-$G114))/$L114)*((1+Inputs!$D$7)^AD$2)),((INT(AD$2/$L114)-INT((AD$2-1)/$L114))*($T114*(1-$F114)+$S114*(1-$G114))*((1+Inputs!$D$7)^AD$2))),((_xlfn.WEIBULL.DIST(AD$2,$M114,$L114,FALSE)*($T114*(1-$F114)+$S114*(1-$G114))*((1+Inputs!$D$7)^AD$2))))))</f>
        <v>0</v>
      </c>
      <c r="AE114" s="88">
        <f>$E114*IF(AE$2&gt;Inputs!$D$5,0,IF(AE$2&gt;VLOOKUP($H114,Lists!$P$3:$Q$7,2),IF($N114=Lists!$K$3,IF($L114&lt;1,(($U114/$L114)*((1+Inputs!$D$7)^AE$2)),((INT(AE$2/$L114)-INT((AE$2-1)/$L114))*$U114*((1+Inputs!$D$7)^AE$2))),(_xlfn.WEIBULL.DIST(AE$2,$M114,$L114,FALSE)*$U114*((1+Inputs!$D$7)^AE$2))),IF($N114=Lists!$K$3,IF($L114&lt;1,((($T114*(1-$F114)+$S114*(1-$G114))/$L114)*((1+Inputs!$D$7)^AE$2)),((INT(AE$2/$L114)-INT((AE$2-1)/$L114))*($T114*(1-$F114)+$S114*(1-$G114))*((1+Inputs!$D$7)^AE$2))),((_xlfn.WEIBULL.DIST(AE$2,$M114,$L114,FALSE)*($T114*(1-$F114)+$S114*(1-$G114))*((1+Inputs!$D$7)^AE$2))))))</f>
        <v>0</v>
      </c>
      <c r="AF114" s="88">
        <f>$E114*IF(AF$2&gt;Inputs!$D$5,0,IF(AF$2&gt;VLOOKUP($H114,Lists!$P$3:$Q$7,2),IF($N114=Lists!$K$3,IF($L114&lt;1,(($U114/$L114)*((1+Inputs!$D$7)^AF$2)),((INT(AF$2/$L114)-INT((AF$2-1)/$L114))*$U114*((1+Inputs!$D$7)^AF$2))),(_xlfn.WEIBULL.DIST(AF$2,$M114,$L114,FALSE)*$U114*((1+Inputs!$D$7)^AF$2))),IF($N114=Lists!$K$3,IF($L114&lt;1,((($T114*(1-$F114)+$S114*(1-$G114))/$L114)*((1+Inputs!$D$7)^AF$2)),((INT(AF$2/$L114)-INT((AF$2-1)/$L114))*($T114*(1-$F114)+$S114*(1-$G114))*((1+Inputs!$D$7)^AF$2))),((_xlfn.WEIBULL.DIST(AF$2,$M114,$L114,FALSE)*($T114*(1-$F114)+$S114*(1-$G114))*((1+Inputs!$D$7)^AF$2))))))</f>
        <v>0</v>
      </c>
      <c r="AG114" s="88">
        <f>$E114*IF(AG$2&gt;Inputs!$D$5,0,IF(AG$2&gt;VLOOKUP($H114,Lists!$P$3:$Q$7,2),IF($N114=Lists!$K$3,IF($L114&lt;1,(($U114/$L114)*((1+Inputs!$D$7)^AG$2)),((INT(AG$2/$L114)-INT((AG$2-1)/$L114))*$U114*((1+Inputs!$D$7)^AG$2))),(_xlfn.WEIBULL.DIST(AG$2,$M114,$L114,FALSE)*$U114*((1+Inputs!$D$7)^AG$2))),IF($N114=Lists!$K$3,IF($L114&lt;1,((($T114*(1-$F114)+$S114*(1-$G114))/$L114)*((1+Inputs!$D$7)^AG$2)),((INT(AG$2/$L114)-INT((AG$2-1)/$L114))*($T114*(1-$F114)+$S114*(1-$G114))*((1+Inputs!$D$7)^AG$2))),((_xlfn.WEIBULL.DIST(AG$2,$M114,$L114,FALSE)*($T114*(1-$F114)+$S114*(1-$G114))*((1+Inputs!$D$7)^AG$2))))))</f>
        <v>0</v>
      </c>
      <c r="AH114" s="88">
        <f>$E114*IF(AH$2&gt;Inputs!$D$5,0,IF(AH$2&gt;VLOOKUP($H114,Lists!$P$3:$Q$7,2),IF($N114=Lists!$K$3,IF($L114&lt;1,(($U114/$L114)*((1+Inputs!$D$7)^AH$2)),((INT(AH$2/$L114)-INT((AH$2-1)/$L114))*$U114*((1+Inputs!$D$7)^AH$2))),(_xlfn.WEIBULL.DIST(AH$2,$M114,$L114,FALSE)*$U114*((1+Inputs!$D$7)^AH$2))),IF($N114=Lists!$K$3,IF($L114&lt;1,((($T114*(1-$F114)+$S114*(1-$G114))/$L114)*((1+Inputs!$D$7)^AH$2)),((INT(AH$2/$L114)-INT((AH$2-1)/$L114))*($T114*(1-$F114)+$S114*(1-$G114))*((1+Inputs!$D$7)^AH$2))),((_xlfn.WEIBULL.DIST(AH$2,$M114,$L114,FALSE)*($T114*(1-$F114)+$S114*(1-$G114))*((1+Inputs!$D$7)^AH$2))))))</f>
        <v>0</v>
      </c>
      <c r="AI114" s="88">
        <f>$E114*IF(AI$2&gt;Inputs!$D$5,0,IF(AI$2&gt;VLOOKUP($H114,Lists!$P$3:$Q$7,2),IF($N114=Lists!$K$3,IF($L114&lt;1,(($U114/$L114)*((1+Inputs!$D$7)^AI$2)),((INT(AI$2/$L114)-INT((AI$2-1)/$L114))*$U114*((1+Inputs!$D$7)^AI$2))),(_xlfn.WEIBULL.DIST(AI$2,$M114,$L114,FALSE)*$U114*((1+Inputs!$D$7)^AI$2))),IF($N114=Lists!$K$3,IF($L114&lt;1,((($T114*(1-$F114)+$S114*(1-$G114))/$L114)*((1+Inputs!$D$7)^AI$2)),((INT(AI$2/$L114)-INT((AI$2-1)/$L114))*($T114*(1-$F114)+$S114*(1-$G114))*((1+Inputs!$D$7)^AI$2))),((_xlfn.WEIBULL.DIST(AI$2,$M114,$L114,FALSE)*($T114*(1-$F114)+$S114*(1-$G114))*((1+Inputs!$D$7)^AI$2))))))</f>
        <v>0</v>
      </c>
      <c r="AJ114" s="88">
        <f>$E114*IF(AJ$2&gt;Inputs!$D$5,0,IF(AJ$2&gt;VLOOKUP($H114,Lists!$P$3:$Q$7,2),IF($N114=Lists!$K$3,IF($L114&lt;1,(($U114/$L114)*((1+Inputs!$D$7)^AJ$2)),((INT(AJ$2/$L114)-INT((AJ$2-1)/$L114))*$U114*((1+Inputs!$D$7)^AJ$2))),(_xlfn.WEIBULL.DIST(AJ$2,$M114,$L114,FALSE)*$U114*((1+Inputs!$D$7)^AJ$2))),IF($N114=Lists!$K$3,IF($L114&lt;1,((($T114*(1-$F114)+$S114*(1-$G114))/$L114)*((1+Inputs!$D$7)^AJ$2)),((INT(AJ$2/$L114)-INT((AJ$2-1)/$L114))*($T114*(1-$F114)+$S114*(1-$G114))*((1+Inputs!$D$7)^AJ$2))),((_xlfn.WEIBULL.DIST(AJ$2,$M114,$L114,FALSE)*($T114*(1-$F114)+$S114*(1-$G114))*((1+Inputs!$D$7)^AJ$2))))))</f>
        <v>0</v>
      </c>
      <c r="AK114" s="88">
        <f>$E114*IF(AK$2&gt;Inputs!$D$5,0,IF(AK$2&gt;VLOOKUP($H114,Lists!$P$3:$Q$7,2),IF($N114=Lists!$K$3,IF($L114&lt;1,(($U114/$L114)*((1+Inputs!$D$7)^AK$2)),((INT(AK$2/$L114)-INT((AK$2-1)/$L114))*$U114*((1+Inputs!$D$7)^AK$2))),(_xlfn.WEIBULL.DIST(AK$2,$M114,$L114,FALSE)*$U114*((1+Inputs!$D$7)^AK$2))),IF($N114=Lists!$K$3,IF($L114&lt;1,((($T114*(1-$F114)+$S114*(1-$G114))/$L114)*((1+Inputs!$D$7)^AK$2)),((INT(AK$2/$L114)-INT((AK$2-1)/$L114))*($T114*(1-$F114)+$S114*(1-$G114))*((1+Inputs!$D$7)^AK$2))),((_xlfn.WEIBULL.DIST(AK$2,$M114,$L114,FALSE)*($T114*(1-$F114)+$S114*(1-$G114))*((1+Inputs!$D$7)^AK$2))))))</f>
        <v>0</v>
      </c>
      <c r="AL114" s="88">
        <f>$E114*IF(AL$2&gt;Inputs!$D$5,0,IF(AL$2&gt;VLOOKUP($H114,Lists!$P$3:$Q$7,2),IF($N114=Lists!$K$3,IF($L114&lt;1,(($U114/$L114)*((1+Inputs!$D$7)^AL$2)),((INT(AL$2/$L114)-INT((AL$2-1)/$L114))*$U114*((1+Inputs!$D$7)^AL$2))),(_xlfn.WEIBULL.DIST(AL$2,$M114,$L114,FALSE)*$U114*((1+Inputs!$D$7)^AL$2))),IF($N114=Lists!$K$3,IF($L114&lt;1,((($T114*(1-$F114)+$S114*(1-$G114))/$L114)*((1+Inputs!$D$7)^AL$2)),((INT(AL$2/$L114)-INT((AL$2-1)/$L114))*($T114*(1-$F114)+$S114*(1-$G114))*((1+Inputs!$D$7)^AL$2))),((_xlfn.WEIBULL.DIST(AL$2,$M114,$L114,FALSE)*($T114*(1-$F114)+$S114*(1-$G114))*((1+Inputs!$D$7)^AL$2))))))</f>
        <v>0</v>
      </c>
      <c r="AM114" s="88">
        <f>$E114*IF(AM$2&gt;Inputs!$D$5,0,IF(AM$2&gt;VLOOKUP($H114,Lists!$P$3:$Q$7,2),IF($N114=Lists!$K$3,IF($L114&lt;1,(($U114/$L114)*((1+Inputs!$D$7)^AM$2)),((INT(AM$2/$L114)-INT((AM$2-1)/$L114))*$U114*((1+Inputs!$D$7)^AM$2))),(_xlfn.WEIBULL.DIST(AM$2,$M114,$L114,FALSE)*$U114*((1+Inputs!$D$7)^AM$2))),IF($N114=Lists!$K$3,IF($L114&lt;1,((($T114*(1-$F114)+$S114*(1-$G114))/$L114)*((1+Inputs!$D$7)^AM$2)),((INT(AM$2/$L114)-INT((AM$2-1)/$L114))*($T114*(1-$F114)+$S114*(1-$G114))*((1+Inputs!$D$7)^AM$2))),((_xlfn.WEIBULL.DIST(AM$2,$M114,$L114,FALSE)*($T114*(1-$F114)+$S114*(1-$G114))*((1+Inputs!$D$7)^AM$2))))))</f>
        <v>0</v>
      </c>
      <c r="AN114" s="88">
        <f>$E114*IF(AN$2&gt;Inputs!$D$5,0,IF(AN$2&gt;VLOOKUP($H114,Lists!$P$3:$Q$7,2),IF($N114=Lists!$K$3,IF($L114&lt;1,(($U114/$L114)*((1+Inputs!$D$7)^AN$2)),((INT(AN$2/$L114)-INT((AN$2-1)/$L114))*$U114*((1+Inputs!$D$7)^AN$2))),(_xlfn.WEIBULL.DIST(AN$2,$M114,$L114,FALSE)*$U114*((1+Inputs!$D$7)^AN$2))),IF($N114=Lists!$K$3,IF($L114&lt;1,((($T114*(1-$F114)+$S114*(1-$G114))/$L114)*((1+Inputs!$D$7)^AN$2)),((INT(AN$2/$L114)-INT((AN$2-1)/$L114))*($T114*(1-$F114)+$S114*(1-$G114))*((1+Inputs!$D$7)^AN$2))),((_xlfn.WEIBULL.DIST(AN$2,$M114,$L114,FALSE)*($T114*(1-$F114)+$S114*(1-$G114))*((1+Inputs!$D$7)^AN$2))))))</f>
        <v>0</v>
      </c>
      <c r="AO114" s="88">
        <f>$E114*IF(AO$2&gt;Inputs!$D$5,0,IF(AO$2&gt;VLOOKUP($H114,Lists!$P$3:$Q$7,2),IF($N114=Lists!$K$3,IF($L114&lt;1,(($U114/$L114)*((1+Inputs!$D$7)^AO$2)),((INT(AO$2/$L114)-INT((AO$2-1)/$L114))*$U114*((1+Inputs!$D$7)^AO$2))),(_xlfn.WEIBULL.DIST(AO$2,$M114,$L114,FALSE)*$U114*((1+Inputs!$D$7)^AO$2))),IF($N114=Lists!$K$3,IF($L114&lt;1,((($T114*(1-$F114)+$S114*(1-$G114))/$L114)*((1+Inputs!$D$7)^AO$2)),((INT(AO$2/$L114)-INT((AO$2-1)/$L114))*($T114*(1-$F114)+$S114*(1-$G114))*((1+Inputs!$D$7)^AO$2))),((_xlfn.WEIBULL.DIST(AO$2,$M114,$L114,FALSE)*($T114*(1-$F114)+$S114*(1-$G114))*((1+Inputs!$D$7)^AO$2))))))</f>
        <v>0</v>
      </c>
      <c r="AP114" s="88">
        <f>$E114*IF(AP$2&gt;Inputs!$D$5,0,IF(AP$2&gt;VLOOKUP($H114,Lists!$P$3:$Q$7,2),IF($N114=Lists!$K$3,IF($L114&lt;1,(($U114/$L114)*((1+Inputs!$D$7)^AP$2)),((INT(AP$2/$L114)-INT((AP$2-1)/$L114))*$U114*((1+Inputs!$D$7)^AP$2))),(_xlfn.WEIBULL.DIST(AP$2,$M114,$L114,FALSE)*$U114*((1+Inputs!$D$7)^AP$2))),IF($N114=Lists!$K$3,IF($L114&lt;1,((($T114*(1-$F114)+$S114*(1-$G114))/$L114)*((1+Inputs!$D$7)^AP$2)),((INT(AP$2/$L114)-INT((AP$2-1)/$L114))*($T114*(1-$F114)+$S114*(1-$G114))*((1+Inputs!$D$7)^AP$2))),((_xlfn.WEIBULL.DIST(AP$2,$M114,$L114,FALSE)*($T114*(1-$F114)+$S114*(1-$G114))*((1+Inputs!$D$7)^AP$2))))))</f>
        <v>0</v>
      </c>
      <c r="AQ114" s="88">
        <f>$E114*IF(AQ$2&gt;Inputs!$D$5,0,IF(AQ$2&gt;VLOOKUP($H114,Lists!$P$3:$Q$7,2),IF($N114=Lists!$K$3,IF($L114&lt;1,(($U114/$L114)*((1+Inputs!$D$7)^AQ$2)),((INT(AQ$2/$L114)-INT((AQ$2-1)/$L114))*$U114*((1+Inputs!$D$7)^AQ$2))),(_xlfn.WEIBULL.DIST(AQ$2,$M114,$L114,FALSE)*$U114*((1+Inputs!$D$7)^AQ$2))),IF($N114=Lists!$K$3,IF($L114&lt;1,((($T114*(1-$F114)+$S114*(1-$G114))/$L114)*((1+Inputs!$D$7)^AQ$2)),((INT(AQ$2/$L114)-INT((AQ$2-1)/$L114))*($T114*(1-$F114)+$S114*(1-$G114))*((1+Inputs!$D$7)^AQ$2))),((_xlfn.WEIBULL.DIST(AQ$2,$M114,$L114,FALSE)*($T114*(1-$F114)+$S114*(1-$G114))*((1+Inputs!$D$7)^AQ$2))))))</f>
        <v>0</v>
      </c>
      <c r="AR114" s="88">
        <f>$E114*IF(AR$2&gt;Inputs!$D$5,0,IF(AR$2&gt;VLOOKUP($H114,Lists!$P$3:$Q$7,2),IF($N114=Lists!$K$3,IF($L114&lt;1,(($U114/$L114)*((1+Inputs!$D$7)^AR$2)),((INT(AR$2/$L114)-INT((AR$2-1)/$L114))*$U114*((1+Inputs!$D$7)^AR$2))),(_xlfn.WEIBULL.DIST(AR$2,$M114,$L114,FALSE)*$U114*((1+Inputs!$D$7)^AR$2))),IF($N114=Lists!$K$3,IF($L114&lt;1,((($T114*(1-$F114)+$S114*(1-$G114))/$L114)*((1+Inputs!$D$7)^AR$2)),((INT(AR$2/$L114)-INT((AR$2-1)/$L114))*($T114*(1-$F114)+$S114*(1-$G114))*((1+Inputs!$D$7)^AR$2))),((_xlfn.WEIBULL.DIST(AR$2,$M114,$L114,FALSE)*($T114*(1-$F114)+$S114*(1-$G114))*((1+Inputs!$D$7)^AR$2))))))</f>
        <v>0</v>
      </c>
      <c r="AS114" s="88">
        <f>$E114*IF(AS$2&gt;Inputs!$D$5,0,IF(AS$2&gt;VLOOKUP($H114,Lists!$P$3:$Q$7,2),IF($N114=Lists!$K$3,IF($L114&lt;1,(($U114/$L114)*((1+Inputs!$D$7)^AS$2)),((INT(AS$2/$L114)-INT((AS$2-1)/$L114))*$U114*((1+Inputs!$D$7)^AS$2))),(_xlfn.WEIBULL.DIST(AS$2,$M114,$L114,FALSE)*$U114*((1+Inputs!$D$7)^AS$2))),IF($N114=Lists!$K$3,IF($L114&lt;1,((($T114*(1-$F114)+$S114*(1-$G114))/$L114)*((1+Inputs!$D$7)^AS$2)),((INT(AS$2/$L114)-INT((AS$2-1)/$L114))*($T114*(1-$F114)+$S114*(1-$G114))*((1+Inputs!$D$7)^AS$2))),((_xlfn.WEIBULL.DIST(AS$2,$M114,$L114,FALSE)*($T114*(1-$F114)+$S114*(1-$G114))*((1+Inputs!$D$7)^AS$2))))))</f>
        <v>0</v>
      </c>
      <c r="AT114" s="88">
        <f>$E114*IF(AT$2&gt;Inputs!$D$5,0,IF(AT$2&gt;VLOOKUP($H114,Lists!$P$3:$Q$7,2),IF($N114=Lists!$K$3,IF($L114&lt;1,(($U114/$L114)*((1+Inputs!$D$7)^AT$2)),((INT(AT$2/$L114)-INT((AT$2-1)/$L114))*$U114*((1+Inputs!$D$7)^AT$2))),(_xlfn.WEIBULL.DIST(AT$2,$M114,$L114,FALSE)*$U114*((1+Inputs!$D$7)^AT$2))),IF($N114=Lists!$K$3,IF($L114&lt;1,((($T114*(1-$F114)+$S114*(1-$G114))/$L114)*((1+Inputs!$D$7)^AT$2)),((INT(AT$2/$L114)-INT((AT$2-1)/$L114))*($T114*(1-$F114)+$S114*(1-$G114))*((1+Inputs!$D$7)^AT$2))),((_xlfn.WEIBULL.DIST(AT$2,$M114,$L114,FALSE)*($T114*(1-$F114)+$S114*(1-$G114))*((1+Inputs!$D$7)^AT$2))))))</f>
        <v>0</v>
      </c>
      <c r="AU114" s="88">
        <f>$E114*IF(AU$2&gt;Inputs!$D$5,0,IF(AU$2&gt;VLOOKUP($H114,Lists!$P$3:$Q$7,2),IF($N114=Lists!$K$3,IF($L114&lt;1,(($U114/$L114)*((1+Inputs!$D$7)^AU$2)),((INT(AU$2/$L114)-INT((AU$2-1)/$L114))*$U114*((1+Inputs!$D$7)^AU$2))),(_xlfn.WEIBULL.DIST(AU$2,$M114,$L114,FALSE)*$U114*((1+Inputs!$D$7)^AU$2))),IF($N114=Lists!$K$3,IF($L114&lt;1,((($T114*(1-$F114)+$S114*(1-$G114))/$L114)*((1+Inputs!$D$7)^AU$2)),((INT(AU$2/$L114)-INT((AU$2-1)/$L114))*($T114*(1-$F114)+$S114*(1-$G114))*((1+Inputs!$D$7)^AU$2))),((_xlfn.WEIBULL.DIST(AU$2,$M114,$L114,FALSE)*($T114*(1-$F114)+$S114*(1-$G114))*((1+Inputs!$D$7)^AU$2))))))</f>
        <v>0</v>
      </c>
      <c r="AV114" s="88">
        <f>$E114*IF(AV$2&gt;Inputs!$D$5,0,IF(AV$2&gt;VLOOKUP($H114,Lists!$P$3:$Q$7,2),IF($N114=Lists!$K$3,IF($L114&lt;1,(($U114/$L114)*((1+Inputs!$D$7)^AV$2)),((INT(AV$2/$L114)-INT((AV$2-1)/$L114))*$U114*((1+Inputs!$D$7)^AV$2))),(_xlfn.WEIBULL.DIST(AV$2,$M114,$L114,FALSE)*$U114*((1+Inputs!$D$7)^AV$2))),IF($N114=Lists!$K$3,IF($L114&lt;1,((($T114*(1-$F114)+$S114*(1-$G114))/$L114)*((1+Inputs!$D$7)^AV$2)),((INT(AV$2/$L114)-INT((AV$2-1)/$L114))*($T114*(1-$F114)+$S114*(1-$G114))*((1+Inputs!$D$7)^AV$2))),((_xlfn.WEIBULL.DIST(AV$2,$M114,$L114,FALSE)*($T114*(1-$F114)+$S114*(1-$G114))*((1+Inputs!$D$7)^AV$2))))))</f>
        <v>0</v>
      </c>
      <c r="AW114" s="88">
        <f>$E114*IF(AW$2&gt;Inputs!$D$5,0,IF(AW$2&gt;VLOOKUP($H114,Lists!$P$3:$Q$7,2),IF($N114=Lists!$K$3,IF($L114&lt;1,(($U114/$L114)*((1+Inputs!$D$7)^AW$2)),((INT(AW$2/$L114)-INT((AW$2-1)/$L114))*$U114*((1+Inputs!$D$7)^AW$2))),(_xlfn.WEIBULL.DIST(AW$2,$M114,$L114,FALSE)*$U114*((1+Inputs!$D$7)^AW$2))),IF($N114=Lists!$K$3,IF($L114&lt;1,((($T114*(1-$F114)+$S114*(1-$G114))/$L114)*((1+Inputs!$D$7)^AW$2)),((INT(AW$2/$L114)-INT((AW$2-1)/$L114))*($T114*(1-$F114)+$S114*(1-$G114))*((1+Inputs!$D$7)^AW$2))),((_xlfn.WEIBULL.DIST(AW$2,$M114,$L114,FALSE)*($T114*(1-$F114)+$S114*(1-$G114))*((1+Inputs!$D$7)^AW$2))))))</f>
        <v>0</v>
      </c>
      <c r="AX114" s="88">
        <f>$E114*IF(AX$2&gt;Inputs!$D$5,0,IF(AX$2&gt;VLOOKUP($H114,Lists!$P$3:$Q$7,2),IF($N114=Lists!$K$3,IF($L114&lt;1,(($U114/$L114)*((1+Inputs!$D$7)^AX$2)),((INT(AX$2/$L114)-INT((AX$2-1)/$L114))*$U114*((1+Inputs!$D$7)^AX$2))),(_xlfn.WEIBULL.DIST(AX$2,$M114,$L114,FALSE)*$U114*((1+Inputs!$D$7)^AX$2))),IF($N114=Lists!$K$3,IF($L114&lt;1,((($T114*(1-$F114)+$S114*(1-$G114))/$L114)*((1+Inputs!$D$7)^AX$2)),((INT(AX$2/$L114)-INT((AX$2-1)/$L114))*($T114*(1-$F114)+$S114*(1-$G114))*((1+Inputs!$D$7)^AX$2))),((_xlfn.WEIBULL.DIST(AX$2,$M114,$L114,FALSE)*($T114*(1-$F114)+$S114*(1-$G114))*((1+Inputs!$D$7)^AX$2))))))</f>
        <v>0</v>
      </c>
      <c r="AY114" s="88">
        <f>$E114*IF(AY$2&gt;Inputs!$D$5,0,IF(AY$2&gt;VLOOKUP($H114,Lists!$P$3:$Q$7,2),IF($N114=Lists!$K$3,IF($L114&lt;1,(($U114/$L114)*((1+Inputs!$D$7)^AY$2)),((INT(AY$2/$L114)-INT((AY$2-1)/$L114))*$U114*((1+Inputs!$D$7)^AY$2))),(_xlfn.WEIBULL.DIST(AY$2,$M114,$L114,FALSE)*$U114*((1+Inputs!$D$7)^AY$2))),IF($N114=Lists!$K$3,IF($L114&lt;1,((($T114*(1-$F114)+$S114*(1-$G114))/$L114)*((1+Inputs!$D$7)^AY$2)),((INT(AY$2/$L114)-INT((AY$2-1)/$L114))*($T114*(1-$F114)+$S114*(1-$G114))*((1+Inputs!$D$7)^AY$2))),((_xlfn.WEIBULL.DIST(AY$2,$M114,$L114,FALSE)*($T114*(1-$F114)+$S114*(1-$G114))*((1+Inputs!$D$7)^AY$2))))))</f>
        <v>0</v>
      </c>
      <c r="AZ114" s="88">
        <f>$E114*IF(AZ$2&gt;Inputs!$D$5,0,IF(AZ$2&gt;VLOOKUP($H114,Lists!$P$3:$Q$7,2),IF($N114=Lists!$K$3,IF($L114&lt;1,(($U114/$L114)*((1+Inputs!$D$7)^AZ$2)),((INT(AZ$2/$L114)-INT((AZ$2-1)/$L114))*$U114*((1+Inputs!$D$7)^AZ$2))),(_xlfn.WEIBULL.DIST(AZ$2,$M114,$L114,FALSE)*$U114*((1+Inputs!$D$7)^AZ$2))),IF($N114=Lists!$K$3,IF($L114&lt;1,((($T114*(1-$F114)+$S114*(1-$G114))/$L114)*((1+Inputs!$D$7)^AZ$2)),((INT(AZ$2/$L114)-INT((AZ$2-1)/$L114))*($T114*(1-$F114)+$S114*(1-$G114))*((1+Inputs!$D$7)^AZ$2))),((_xlfn.WEIBULL.DIST(AZ$2,$M114,$L114,FALSE)*($T114*(1-$F114)+$S114*(1-$G114))*((1+Inputs!$D$7)^AZ$2))))))</f>
        <v>0</v>
      </c>
      <c r="BA114" s="88">
        <f>$E114*IF(BA$2&gt;Inputs!$D$5,0,IF(BA$2&gt;VLOOKUP($H114,Lists!$P$3:$Q$7,2),IF($N114=Lists!$K$3,IF($L114&lt;1,(($U114/$L114)*((1+Inputs!$D$7)^BA$2)),((INT(BA$2/$L114)-INT((BA$2-1)/$L114))*$U114*((1+Inputs!$D$7)^BA$2))),(_xlfn.WEIBULL.DIST(BA$2,$M114,$L114,FALSE)*$U114*((1+Inputs!$D$7)^BA$2))),IF($N114=Lists!$K$3,IF($L114&lt;1,((($T114*(1-$F114)+$S114*(1-$G114))/$L114)*((1+Inputs!$D$7)^BA$2)),((INT(BA$2/$L114)-INT((BA$2-1)/$L114))*($T114*(1-$F114)+$S114*(1-$G114))*((1+Inputs!$D$7)^BA$2))),((_xlfn.WEIBULL.DIST(BA$2,$M114,$L114,FALSE)*($T114*(1-$F114)+$S114*(1-$G114))*((1+Inputs!$D$7)^BA$2))))))</f>
        <v>0</v>
      </c>
      <c r="BB114" s="88">
        <f>$E114*IF(BB$2&gt;Inputs!$D$5,0,IF(BB$2&gt;VLOOKUP($H114,Lists!$P$3:$Q$7,2),IF($N114=Lists!$K$3,IF($L114&lt;1,(($U114/$L114)*((1+Inputs!$D$7)^BB$2)),((INT(BB$2/$L114)-INT((BB$2-1)/$L114))*$U114*((1+Inputs!$D$7)^BB$2))),(_xlfn.WEIBULL.DIST(BB$2,$M114,$L114,FALSE)*$U114*((1+Inputs!$D$7)^BB$2))),IF($N114=Lists!$K$3,IF($L114&lt;1,((($T114*(1-$F114)+$S114*(1-$G114))/$L114)*((1+Inputs!$D$7)^BB$2)),((INT(BB$2/$L114)-INT((BB$2-1)/$L114))*($T114*(1-$F114)+$S114*(1-$G114))*((1+Inputs!$D$7)^BB$2))),((_xlfn.WEIBULL.DIST(BB$2,$M114,$L114,FALSE)*($T114*(1-$F114)+$S114*(1-$G114))*((1+Inputs!$D$7)^BB$2))))))</f>
        <v>0</v>
      </c>
      <c r="BC114" s="88">
        <f>$E114*IF(BC$2&gt;Inputs!$D$5,0,IF(BC$2&gt;VLOOKUP($H114,Lists!$P$3:$Q$7,2),IF($N114=Lists!$K$3,IF($L114&lt;1,(($U114/$L114)*((1+Inputs!$D$7)^BC$2)),((INT(BC$2/$L114)-INT((BC$2-1)/$L114))*$U114*((1+Inputs!$D$7)^BC$2))),(_xlfn.WEIBULL.DIST(BC$2,$M114,$L114,FALSE)*$U114*((1+Inputs!$D$7)^BC$2))),IF($N114=Lists!$K$3,IF($L114&lt;1,((($T114*(1-$F114)+$S114*(1-$G114))/$L114)*((1+Inputs!$D$7)^BC$2)),((INT(BC$2/$L114)-INT((BC$2-1)/$L114))*($T114*(1-$F114)+$S114*(1-$G114))*((1+Inputs!$D$7)^BC$2))),((_xlfn.WEIBULL.DIST(BC$2,$M114,$L114,FALSE)*($T114*(1-$F114)+$S114*(1-$G114))*((1+Inputs!$D$7)^BC$2))))))</f>
        <v>0</v>
      </c>
      <c r="BD114" s="88">
        <f>$E114*IF(BD$2&gt;Inputs!$D$5,0,IF(BD$2&gt;VLOOKUP($H114,Lists!$P$3:$Q$7,2),IF($N114=Lists!$K$3,IF($L114&lt;1,(($U114/$L114)*((1+Inputs!$D$7)^BD$2)),((INT(BD$2/$L114)-INT((BD$2-1)/$L114))*$U114*((1+Inputs!$D$7)^BD$2))),(_xlfn.WEIBULL.DIST(BD$2,$M114,$L114,FALSE)*$U114*((1+Inputs!$D$7)^BD$2))),IF($N114=Lists!$K$3,IF($L114&lt;1,((($T114*(1-$F114)+$S114*(1-$G114))/$L114)*((1+Inputs!$D$7)^BD$2)),((INT(BD$2/$L114)-INT((BD$2-1)/$L114))*($T114*(1-$F114)+$S114*(1-$G114))*((1+Inputs!$D$7)^BD$2))),((_xlfn.WEIBULL.DIST(BD$2,$M114,$L114,FALSE)*($T114*(1-$F114)+$S114*(1-$G114))*((1+Inputs!$D$7)^BD$2))))))</f>
        <v>0</v>
      </c>
      <c r="BE114" s="88">
        <f>$E114*IF(BE$2&gt;Inputs!$D$5,0,IF(BE$2&gt;VLOOKUP($H114,Lists!$P$3:$Q$7,2),IF($N114=Lists!$K$3,IF($L114&lt;1,(($U114/$L114)*((1+Inputs!$D$7)^BE$2)),((INT(BE$2/$L114)-INT((BE$2-1)/$L114))*$U114*((1+Inputs!$D$7)^BE$2))),(_xlfn.WEIBULL.DIST(BE$2,$M114,$L114,FALSE)*$U114*((1+Inputs!$D$7)^BE$2))),IF($N114=Lists!$K$3,IF($L114&lt;1,((($T114*(1-$F114)+$S114*(1-$G114))/$L114)*((1+Inputs!$D$7)^BE$2)),((INT(BE$2/$L114)-INT((BE$2-1)/$L114))*($T114*(1-$F114)+$S114*(1-$G114))*((1+Inputs!$D$7)^BE$2))),((_xlfn.WEIBULL.DIST(BE$2,$M114,$L114,FALSE)*($T114*(1-$F114)+$S114*(1-$G114))*((1+Inputs!$D$7)^BE$2))))))</f>
        <v>0</v>
      </c>
      <c r="BF114" s="88">
        <f>$E114*IF(BF$2&gt;Inputs!$D$5,0,IF(BF$2&gt;VLOOKUP($H114,Lists!$P$3:$Q$7,2),IF($N114=Lists!$K$3,IF($L114&lt;1,(($U114/$L114)*((1+Inputs!$D$7)^BF$2)),((INT(BF$2/$L114)-INT((BF$2-1)/$L114))*$U114*((1+Inputs!$D$7)^BF$2))),(_xlfn.WEIBULL.DIST(BF$2,$M114,$L114,FALSE)*$U114*((1+Inputs!$D$7)^BF$2))),IF($N114=Lists!$K$3,IF($L114&lt;1,((($T114*(1-$F114)+$S114*(1-$G114))/$L114)*((1+Inputs!$D$7)^BF$2)),((INT(BF$2/$L114)-INT((BF$2-1)/$L114))*($T114*(1-$F114)+$S114*(1-$G114))*((1+Inputs!$D$7)^BF$2))),((_xlfn.WEIBULL.DIST(BF$2,$M114,$L114,FALSE)*($T114*(1-$F114)+$S114*(1-$G114))*((1+Inputs!$D$7)^BF$2))))))</f>
        <v>0</v>
      </c>
      <c r="BG114" s="88">
        <f>$E114*IF(BG$2&gt;Inputs!$D$5,0,IF(BG$2&gt;VLOOKUP($H114,Lists!$P$3:$Q$7,2),IF($N114=Lists!$K$3,IF($L114&lt;1,(($U114/$L114)*((1+Inputs!$D$7)^BG$2)),((INT(BG$2/$L114)-INT((BG$2-1)/$L114))*$U114*((1+Inputs!$D$7)^BG$2))),(_xlfn.WEIBULL.DIST(BG$2,$M114,$L114,FALSE)*$U114*((1+Inputs!$D$7)^BG$2))),IF($N114=Lists!$K$3,IF($L114&lt;1,((($T114*(1-$F114)+$S114*(1-$G114))/$L114)*((1+Inputs!$D$7)^BG$2)),((INT(BG$2/$L114)-INT((BG$2-1)/$L114))*($T114*(1-$F114)+$S114*(1-$G114))*((1+Inputs!$D$7)^BG$2))),((_xlfn.WEIBULL.DIST(BG$2,$M114,$L114,FALSE)*($T114*(1-$F114)+$S114*(1-$G114))*((1+Inputs!$D$7)^BG$2))))))</f>
        <v>0</v>
      </c>
      <c r="BH114" s="88">
        <f>$E114*IF(BH$2&gt;Inputs!$D$5,0,IF(BH$2&gt;VLOOKUP($H114,Lists!$P$3:$Q$7,2),IF($N114=Lists!$K$3,IF($L114&lt;1,(($U114/$L114)*((1+Inputs!$D$7)^BH$2)),((INT(BH$2/$L114)-INT((BH$2-1)/$L114))*$U114*((1+Inputs!$D$7)^BH$2))),(_xlfn.WEIBULL.DIST(BH$2,$M114,$L114,FALSE)*$U114*((1+Inputs!$D$7)^BH$2))),IF($N114=Lists!$K$3,IF($L114&lt;1,((($T114*(1-$F114)+$S114*(1-$G114))/$L114)*((1+Inputs!$D$7)^BH$2)),((INT(BH$2/$L114)-INT((BH$2-1)/$L114))*($T114*(1-$F114)+$S114*(1-$G114))*((1+Inputs!$D$7)^BH$2))),((_xlfn.WEIBULL.DIST(BH$2,$M114,$L114,FALSE)*($T114*(1-$F114)+$S114*(1-$G114))*((1+Inputs!$D$7)^BH$2))))))</f>
        <v>0</v>
      </c>
      <c r="BI114" s="88">
        <f>$E114*IF(BI$2&gt;Inputs!$D$5,0,IF(BI$2&gt;VLOOKUP($H114,Lists!$P$3:$Q$7,2),IF($N114=Lists!$K$3,IF($L114&lt;1,(($U114/$L114)*((1+Inputs!$D$7)^BI$2)),((INT(BI$2/$L114)-INT((BI$2-1)/$L114))*$U114*((1+Inputs!$D$7)^BI$2))),(_xlfn.WEIBULL.DIST(BI$2,$M114,$L114,FALSE)*$U114*((1+Inputs!$D$7)^BI$2))),IF($N114=Lists!$K$3,IF($L114&lt;1,((($T114*(1-$F114)+$S114*(1-$G114))/$L114)*((1+Inputs!$D$7)^BI$2)),((INT(BI$2/$L114)-INT((BI$2-1)/$L114))*($T114*(1-$F114)+$S114*(1-$G114))*((1+Inputs!$D$7)^BI$2))),((_xlfn.WEIBULL.DIST(BI$2,$M114,$L114,FALSE)*($T114*(1-$F114)+$S114*(1-$G114))*((1+Inputs!$D$7)^BI$2))))))</f>
        <v>0</v>
      </c>
      <c r="BJ114" s="88">
        <f>$E114*IF(BJ$2&gt;Inputs!$D$5,0,IF(BJ$2&gt;VLOOKUP($H114,Lists!$P$3:$Q$7,2),IF($N114=Lists!$K$3,IF($L114&lt;1,(($U114/$L114)*((1+Inputs!$D$7)^BJ$2)),((INT(BJ$2/$L114)-INT((BJ$2-1)/$L114))*$U114*((1+Inputs!$D$7)^BJ$2))),(_xlfn.WEIBULL.DIST(BJ$2,$M114,$L114,FALSE)*$U114*((1+Inputs!$D$7)^BJ$2))),IF($N114=Lists!$K$3,IF($L114&lt;1,((($T114*(1-$F114)+$S114*(1-$G114))/$L114)*((1+Inputs!$D$7)^BJ$2)),((INT(BJ$2/$L114)-INT((BJ$2-1)/$L114))*($T114*(1-$F114)+$S114*(1-$G114))*((1+Inputs!$D$7)^BJ$2))),((_xlfn.WEIBULL.DIST(BJ$2,$M114,$L114,FALSE)*($T114*(1-$F114)+$S114*(1-$G114))*((1+Inputs!$D$7)^BJ$2))))))</f>
        <v>0</v>
      </c>
      <c r="BK114" s="88">
        <f>$E114*IF(BK$2&gt;Inputs!$D$5,0,IF(BK$2&gt;VLOOKUP($H114,Lists!$P$3:$Q$7,2),IF($N114=Lists!$K$3,IF($L114&lt;1,(($U114/$L114)*((1+Inputs!$D$7)^BK$2)),((INT(BK$2/$L114)-INT((BK$2-1)/$L114))*$U114*((1+Inputs!$D$7)^BK$2))),(_xlfn.WEIBULL.DIST(BK$2,$M114,$L114,FALSE)*$U114*((1+Inputs!$D$7)^BK$2))),IF($N114=Lists!$K$3,IF($L114&lt;1,((($T114*(1-$F114)+$S114*(1-$G114))/$L114)*((1+Inputs!$D$7)^BK$2)),((INT(BK$2/$L114)-INT((BK$2-1)/$L114))*($T114*(1-$F114)+$S114*(1-$G114))*((1+Inputs!$D$7)^BK$2))),((_xlfn.WEIBULL.DIST(BK$2,$M114,$L114,FALSE)*($T114*(1-$F114)+$S114*(1-$G114))*((1+Inputs!$D$7)^BK$2))))))</f>
        <v>0</v>
      </c>
      <c r="BL114" s="88">
        <f>$E114*IF(BL$2&gt;Inputs!$D$5,0,IF(BL$2&gt;VLOOKUP($H114,Lists!$P$3:$Q$7,2),IF($N114=Lists!$K$3,IF($L114&lt;1,(($U114/$L114)*((1+Inputs!$D$7)^BL$2)),((INT(BL$2/$L114)-INT((BL$2-1)/$L114))*$U114*((1+Inputs!$D$7)^BL$2))),(_xlfn.WEIBULL.DIST(BL$2,$M114,$L114,FALSE)*$U114*((1+Inputs!$D$7)^BL$2))),IF($N114=Lists!$K$3,IF($L114&lt;1,((($T114*(1-$F114)+$S114*(1-$G114))/$L114)*((1+Inputs!$D$7)^BL$2)),((INT(BL$2/$L114)-INT((BL$2-1)/$L114))*($T114*(1-$F114)+$S114*(1-$G114))*((1+Inputs!$D$7)^BL$2))),((_xlfn.WEIBULL.DIST(BL$2,$M114,$L114,FALSE)*($T114*(1-$F114)+$S114*(1-$G114))*((1+Inputs!$D$7)^BL$2))))))</f>
        <v>0</v>
      </c>
      <c r="BM114" s="88">
        <f>$E114*IF(BM$2&gt;Inputs!$D$5,0,IF(BM$2&gt;VLOOKUP($H114,Lists!$P$3:$Q$7,2),IF($N114=Lists!$K$3,IF($L114&lt;1,(($U114/$L114)*((1+Inputs!$D$7)^BM$2)),((INT(BM$2/$L114)-INT((BM$2-1)/$L114))*$U114*((1+Inputs!$D$7)^BM$2))),(_xlfn.WEIBULL.DIST(BM$2,$M114,$L114,FALSE)*$U114*((1+Inputs!$D$7)^BM$2))),IF($N114=Lists!$K$3,IF($L114&lt;1,((($T114*(1-$F114)+$S114*(1-$G114))/$L114)*((1+Inputs!$D$7)^BM$2)),((INT(BM$2/$L114)-INT((BM$2-1)/$L114))*($T114*(1-$F114)+$S114*(1-$G114))*((1+Inputs!$D$7)^BM$2))),((_xlfn.WEIBULL.DIST(BM$2,$M114,$L114,FALSE)*($T114*(1-$F114)+$S114*(1-$G114))*((1+Inputs!$D$7)^BM$2))))))</f>
        <v>0</v>
      </c>
      <c r="BN114" s="88">
        <f>$E114*IF(BN$2&gt;Inputs!$D$5,0,IF(BN$2&gt;VLOOKUP($H114,Lists!$P$3:$Q$7,2),IF($N114=Lists!$K$3,IF($L114&lt;1,(($U114/$L114)*((1+Inputs!$D$7)^BN$2)),((INT(BN$2/$L114)-INT((BN$2-1)/$L114))*$U114*((1+Inputs!$D$7)^BN$2))),(_xlfn.WEIBULL.DIST(BN$2,$M114,$L114,FALSE)*$U114*((1+Inputs!$D$7)^BN$2))),IF($N114=Lists!$K$3,IF($L114&lt;1,((($T114*(1-$F114)+$S114*(1-$G114))/$L114)*((1+Inputs!$D$7)^BN$2)),((INT(BN$2/$L114)-INT((BN$2-1)/$L114))*($T114*(1-$F114)+$S114*(1-$G114))*((1+Inputs!$D$7)^BN$2))),((_xlfn.WEIBULL.DIST(BN$2,$M114,$L114,FALSE)*($T114*(1-$F114)+$S114*(1-$G114))*((1+Inputs!$D$7)^BN$2))))))</f>
        <v>0</v>
      </c>
      <c r="BO114" s="64">
        <f>NPV(Inputs!$D$6,BQ114:DD114)</f>
        <v>0</v>
      </c>
      <c r="BP114" s="67">
        <f t="shared" si="27"/>
        <v>0</v>
      </c>
      <c r="BQ114" s="88">
        <f>MAX(AA114,($E114*IF(BQ$2&gt;Inputs!$D$5,0,IF(BQ$2&gt;VLOOKUP($H114,Lists!$P$3:$Q$7,2),IF($N114=Lists!$K$3,IF($L114&lt;1,(($U114/$L114)*((1+Inputs!$D$7)^BQ$2)),((INT(BQ$2/$L114)-INT((BQ$2-1)/$L114))*$U114*((1+Inputs!$D$7)^BQ$2))),(Inputs!$D$8^((1-_xlfn.WEIBULL.DIST(BQ$2,$M114,$L114,FALSE))/_xlfn.WEIBULL.DIST(BQ$2,$M114,$L114,FALSE))*$U114*((1+Inputs!$D$7)^BQ$2))),IF($N114=Lists!$K$3,IF($L114&lt;1,((($T114*(1-$F114)+$S114*(1-$G114))/$L114)*((1+Inputs!$D$7)^BQ$2)),((INT(BQ$2/$L114)-INT((BQ$2-1)/$L114))*($T114*(1-$F114)+$S114*(1-$G114))*((1+Inputs!$D$7)^BQ$2))),((Inputs!$D$8^((1-_xlfn.WEIBULL.DIST(BQ$2,$M114,$L114,FALSE))/_xlfn.WEIBULL.DIST(BQ$2,$M114,$L114,FALSE))*($T114*(1-$F114)+$S114*(1-$G114))*((1+Inputs!$D$7)^BQ$2))))))))</f>
        <v>0</v>
      </c>
      <c r="BR114" s="88">
        <f>MAX(AB114,($E114*IF(BR$2&gt;Inputs!$D$5,0,IF(BR$2&gt;VLOOKUP($H114,Lists!$P$3:$Q$7,2),IF($N114=Lists!$K$3,IF($L114&lt;1,(($U114/$L114)*((1+Inputs!$D$7)^BR$2)),((INT(BR$2/$L114)-INT((BR$2-1)/$L114))*$U114*((1+Inputs!$D$7)^BR$2))),(Inputs!$D$8^((1-_xlfn.WEIBULL.DIST(BR$2,$M114,$L114,FALSE))/_xlfn.WEIBULL.DIST(BR$2,$M114,$L114,FALSE))*$U114*((1+Inputs!$D$7)^BR$2))),IF($N114=Lists!$K$3,IF($L114&lt;1,((($T114*(1-$F114)+$S114*(1-$G114))/$L114)*((1+Inputs!$D$7)^BR$2)),((INT(BR$2/$L114)-INT((BR$2-1)/$L114))*($T114*(1-$F114)+$S114*(1-$G114))*((1+Inputs!$D$7)^BR$2))),((Inputs!$D$8^((1-_xlfn.WEIBULL.DIST(BR$2,$M114,$L114,FALSE))/_xlfn.WEIBULL.DIST(BR$2,$M114,$L114,FALSE))*($T114*(1-$F114)+$S114*(1-$G114))*((1+Inputs!$D$7)^BR$2))))))))</f>
        <v>0</v>
      </c>
      <c r="BS114" s="88">
        <f>MAX(AC114,($E114*IF(BS$2&gt;Inputs!$D$5,0,IF(BS$2&gt;VLOOKUP($H114,Lists!$P$3:$Q$7,2),IF($N114=Lists!$K$3,IF($L114&lt;1,(($U114/$L114)*((1+Inputs!$D$7)^BS$2)),((INT(BS$2/$L114)-INT((BS$2-1)/$L114))*$U114*((1+Inputs!$D$7)^BS$2))),(Inputs!$D$8^((1-_xlfn.WEIBULL.DIST(BS$2,$M114,$L114,FALSE))/_xlfn.WEIBULL.DIST(BS$2,$M114,$L114,FALSE))*$U114*((1+Inputs!$D$7)^BS$2))),IF($N114=Lists!$K$3,IF($L114&lt;1,((($T114*(1-$F114)+$S114*(1-$G114))/$L114)*((1+Inputs!$D$7)^BS$2)),((INT(BS$2/$L114)-INT((BS$2-1)/$L114))*($T114*(1-$F114)+$S114*(1-$G114))*((1+Inputs!$D$7)^BS$2))),((Inputs!$D$8^((1-_xlfn.WEIBULL.DIST(BS$2,$M114,$L114,FALSE))/_xlfn.WEIBULL.DIST(BS$2,$M114,$L114,FALSE))*($T114*(1-$F114)+$S114*(1-$G114))*((1+Inputs!$D$7)^BS$2))))))))</f>
        <v>0</v>
      </c>
      <c r="BT114" s="88">
        <f>MAX(AD114,($E114*IF(BT$2&gt;Inputs!$D$5,0,IF(BT$2&gt;VLOOKUP($H114,Lists!$P$3:$Q$7,2),IF($N114=Lists!$K$3,IF($L114&lt;1,(($U114/$L114)*((1+Inputs!$D$7)^BT$2)),((INT(BT$2/$L114)-INT((BT$2-1)/$L114))*$U114*((1+Inputs!$D$7)^BT$2))),(Inputs!$D$8^((1-_xlfn.WEIBULL.DIST(BT$2,$M114,$L114,FALSE))/_xlfn.WEIBULL.DIST(BT$2,$M114,$L114,FALSE))*$U114*((1+Inputs!$D$7)^BT$2))),IF($N114=Lists!$K$3,IF($L114&lt;1,((($T114*(1-$F114)+$S114*(1-$G114))/$L114)*((1+Inputs!$D$7)^BT$2)),((INT(BT$2/$L114)-INT((BT$2-1)/$L114))*($T114*(1-$F114)+$S114*(1-$G114))*((1+Inputs!$D$7)^BT$2))),((Inputs!$D$8^((1-_xlfn.WEIBULL.DIST(BT$2,$M114,$L114,FALSE))/_xlfn.WEIBULL.DIST(BT$2,$M114,$L114,FALSE))*($T114*(1-$F114)+$S114*(1-$G114))*((1+Inputs!$D$7)^BT$2))))))))</f>
        <v>0</v>
      </c>
      <c r="BU114" s="88">
        <f>MAX(AE114,($E114*IF(BU$2&gt;Inputs!$D$5,0,IF(BU$2&gt;VLOOKUP($H114,Lists!$P$3:$Q$7,2),IF($N114=Lists!$K$3,IF($L114&lt;1,(($U114/$L114)*((1+Inputs!$D$7)^BU$2)),((INT(BU$2/$L114)-INT((BU$2-1)/$L114))*$U114*((1+Inputs!$D$7)^BU$2))),(Inputs!$D$8^((1-_xlfn.WEIBULL.DIST(BU$2,$M114,$L114,FALSE))/_xlfn.WEIBULL.DIST(BU$2,$M114,$L114,FALSE))*$U114*((1+Inputs!$D$7)^BU$2))),IF($N114=Lists!$K$3,IF($L114&lt;1,((($T114*(1-$F114)+$S114*(1-$G114))/$L114)*((1+Inputs!$D$7)^BU$2)),((INT(BU$2/$L114)-INT((BU$2-1)/$L114))*($T114*(1-$F114)+$S114*(1-$G114))*((1+Inputs!$D$7)^BU$2))),((Inputs!$D$8^((1-_xlfn.WEIBULL.DIST(BU$2,$M114,$L114,FALSE))/_xlfn.WEIBULL.DIST(BU$2,$M114,$L114,FALSE))*($T114*(1-$F114)+$S114*(1-$G114))*((1+Inputs!$D$7)^BU$2))))))))</f>
        <v>0</v>
      </c>
      <c r="BV114" s="88">
        <f>MAX(AF114,($E114*IF(BV$2&gt;Inputs!$D$5,0,IF(BV$2&gt;VLOOKUP($H114,Lists!$P$3:$Q$7,2),IF($N114=Lists!$K$3,IF($L114&lt;1,(($U114/$L114)*((1+Inputs!$D$7)^BV$2)),((INT(BV$2/$L114)-INT((BV$2-1)/$L114))*$U114*((1+Inputs!$D$7)^BV$2))),(Inputs!$D$8^((1-_xlfn.WEIBULL.DIST(BV$2,$M114,$L114,FALSE))/_xlfn.WEIBULL.DIST(BV$2,$M114,$L114,FALSE))*$U114*((1+Inputs!$D$7)^BV$2))),IF($N114=Lists!$K$3,IF($L114&lt;1,((($T114*(1-$F114)+$S114*(1-$G114))/$L114)*((1+Inputs!$D$7)^BV$2)),((INT(BV$2/$L114)-INT((BV$2-1)/$L114))*($T114*(1-$F114)+$S114*(1-$G114))*((1+Inputs!$D$7)^BV$2))),((Inputs!$D$8^((1-_xlfn.WEIBULL.DIST(BV$2,$M114,$L114,FALSE))/_xlfn.WEIBULL.DIST(BV$2,$M114,$L114,FALSE))*($T114*(1-$F114)+$S114*(1-$G114))*((1+Inputs!$D$7)^BV$2))))))))</f>
        <v>0</v>
      </c>
      <c r="BW114" s="88">
        <f>MAX(AG114,($E114*IF(BW$2&gt;Inputs!$D$5,0,IF(BW$2&gt;VLOOKUP($H114,Lists!$P$3:$Q$7,2),IF($N114=Lists!$K$3,IF($L114&lt;1,(($U114/$L114)*((1+Inputs!$D$7)^BW$2)),((INT(BW$2/$L114)-INT((BW$2-1)/$L114))*$U114*((1+Inputs!$D$7)^BW$2))),(Inputs!$D$8^((1-_xlfn.WEIBULL.DIST(BW$2,$M114,$L114,FALSE))/_xlfn.WEIBULL.DIST(BW$2,$M114,$L114,FALSE))*$U114*((1+Inputs!$D$7)^BW$2))),IF($N114=Lists!$K$3,IF($L114&lt;1,((($T114*(1-$F114)+$S114*(1-$G114))/$L114)*((1+Inputs!$D$7)^BW$2)),((INT(BW$2/$L114)-INT((BW$2-1)/$L114))*($T114*(1-$F114)+$S114*(1-$G114))*((1+Inputs!$D$7)^BW$2))),((Inputs!$D$8^((1-_xlfn.WEIBULL.DIST(BW$2,$M114,$L114,FALSE))/_xlfn.WEIBULL.DIST(BW$2,$M114,$L114,FALSE))*($T114*(1-$F114)+$S114*(1-$G114))*((1+Inputs!$D$7)^BW$2))))))))</f>
        <v>0</v>
      </c>
      <c r="BX114" s="88">
        <f>MAX(AH114,($E114*IF(BX$2&gt;Inputs!$D$5,0,IF(BX$2&gt;VLOOKUP($H114,Lists!$P$3:$Q$7,2),IF($N114=Lists!$K$3,IF($L114&lt;1,(($U114/$L114)*((1+Inputs!$D$7)^BX$2)),((INT(BX$2/$L114)-INT((BX$2-1)/$L114))*$U114*((1+Inputs!$D$7)^BX$2))),(Inputs!$D$8^((1-_xlfn.WEIBULL.DIST(BX$2,$M114,$L114,FALSE))/_xlfn.WEIBULL.DIST(BX$2,$M114,$L114,FALSE))*$U114*((1+Inputs!$D$7)^BX$2))),IF($N114=Lists!$K$3,IF($L114&lt;1,((($T114*(1-$F114)+$S114*(1-$G114))/$L114)*((1+Inputs!$D$7)^BX$2)),((INT(BX$2/$L114)-INT((BX$2-1)/$L114))*($T114*(1-$F114)+$S114*(1-$G114))*((1+Inputs!$D$7)^BX$2))),((Inputs!$D$8^((1-_xlfn.WEIBULL.DIST(BX$2,$M114,$L114,FALSE))/_xlfn.WEIBULL.DIST(BX$2,$M114,$L114,FALSE))*($T114*(1-$F114)+$S114*(1-$G114))*((1+Inputs!$D$7)^BX$2))))))))</f>
        <v>0</v>
      </c>
      <c r="BY114" s="88">
        <f>MAX(AI114,($E114*IF(BY$2&gt;Inputs!$D$5,0,IF(BY$2&gt;VLOOKUP($H114,Lists!$P$3:$Q$7,2),IF($N114=Lists!$K$3,IF($L114&lt;1,(($U114/$L114)*((1+Inputs!$D$7)^BY$2)),((INT(BY$2/$L114)-INT((BY$2-1)/$L114))*$U114*((1+Inputs!$D$7)^BY$2))),(Inputs!$D$8^((1-_xlfn.WEIBULL.DIST(BY$2,$M114,$L114,FALSE))/_xlfn.WEIBULL.DIST(BY$2,$M114,$L114,FALSE))*$U114*((1+Inputs!$D$7)^BY$2))),IF($N114=Lists!$K$3,IF($L114&lt;1,((($T114*(1-$F114)+$S114*(1-$G114))/$L114)*((1+Inputs!$D$7)^BY$2)),((INT(BY$2/$L114)-INT((BY$2-1)/$L114))*($T114*(1-$F114)+$S114*(1-$G114))*((1+Inputs!$D$7)^BY$2))),((Inputs!$D$8^((1-_xlfn.WEIBULL.DIST(BY$2,$M114,$L114,FALSE))/_xlfn.WEIBULL.DIST(BY$2,$M114,$L114,FALSE))*($T114*(1-$F114)+$S114*(1-$G114))*((1+Inputs!$D$7)^BY$2))))))))</f>
        <v>0</v>
      </c>
      <c r="BZ114" s="88">
        <f>MAX(AJ114,($E114*IF(BZ$2&gt;Inputs!$D$5,0,IF(BZ$2&gt;VLOOKUP($H114,Lists!$P$3:$Q$7,2),IF($N114=Lists!$K$3,IF($L114&lt;1,(($U114/$L114)*((1+Inputs!$D$7)^BZ$2)),((INT(BZ$2/$L114)-INT((BZ$2-1)/$L114))*$U114*((1+Inputs!$D$7)^BZ$2))),(Inputs!$D$8^((1-_xlfn.WEIBULL.DIST(BZ$2,$M114,$L114,FALSE))/_xlfn.WEIBULL.DIST(BZ$2,$M114,$L114,FALSE))*$U114*((1+Inputs!$D$7)^BZ$2))),IF($N114=Lists!$K$3,IF($L114&lt;1,((($T114*(1-$F114)+$S114*(1-$G114))/$L114)*((1+Inputs!$D$7)^BZ$2)),((INT(BZ$2/$L114)-INT((BZ$2-1)/$L114))*($T114*(1-$F114)+$S114*(1-$G114))*((1+Inputs!$D$7)^BZ$2))),((Inputs!$D$8^((1-_xlfn.WEIBULL.DIST(BZ$2,$M114,$L114,FALSE))/_xlfn.WEIBULL.DIST(BZ$2,$M114,$L114,FALSE))*($T114*(1-$F114)+$S114*(1-$G114))*((1+Inputs!$D$7)^BZ$2))))))))</f>
        <v>0</v>
      </c>
      <c r="CA114" s="88">
        <f>MAX(AK114,($E114*IF(CA$2&gt;Inputs!$D$5,0,IF(CA$2&gt;VLOOKUP($H114,Lists!$P$3:$Q$7,2),IF($N114=Lists!$K$3,IF($L114&lt;1,(($U114/$L114)*((1+Inputs!$D$7)^CA$2)),((INT(CA$2/$L114)-INT((CA$2-1)/$L114))*$U114*((1+Inputs!$D$7)^CA$2))),(Inputs!$D$8^((1-_xlfn.WEIBULL.DIST(CA$2,$M114,$L114,FALSE))/_xlfn.WEIBULL.DIST(CA$2,$M114,$L114,FALSE))*$U114*((1+Inputs!$D$7)^CA$2))),IF($N114=Lists!$K$3,IF($L114&lt;1,((($T114*(1-$F114)+$S114*(1-$G114))/$L114)*((1+Inputs!$D$7)^CA$2)),((INT(CA$2/$L114)-INT((CA$2-1)/$L114))*($T114*(1-$F114)+$S114*(1-$G114))*((1+Inputs!$D$7)^CA$2))),((Inputs!$D$8^((1-_xlfn.WEIBULL.DIST(CA$2,$M114,$L114,FALSE))/_xlfn.WEIBULL.DIST(CA$2,$M114,$L114,FALSE))*($T114*(1-$F114)+$S114*(1-$G114))*((1+Inputs!$D$7)^CA$2))))))))</f>
        <v>0</v>
      </c>
      <c r="CB114" s="88">
        <f>MAX(AL114,($E114*IF(CB$2&gt;Inputs!$D$5,0,IF(CB$2&gt;VLOOKUP($H114,Lists!$P$3:$Q$7,2),IF($N114=Lists!$K$3,IF($L114&lt;1,(($U114/$L114)*((1+Inputs!$D$7)^CB$2)),((INT(CB$2/$L114)-INT((CB$2-1)/$L114))*$U114*((1+Inputs!$D$7)^CB$2))),(Inputs!$D$8^((1-_xlfn.WEIBULL.DIST(CB$2,$M114,$L114,FALSE))/_xlfn.WEIBULL.DIST(CB$2,$M114,$L114,FALSE))*$U114*((1+Inputs!$D$7)^CB$2))),IF($N114=Lists!$K$3,IF($L114&lt;1,((($T114*(1-$F114)+$S114*(1-$G114))/$L114)*((1+Inputs!$D$7)^CB$2)),((INT(CB$2/$L114)-INT((CB$2-1)/$L114))*($T114*(1-$F114)+$S114*(1-$G114))*((1+Inputs!$D$7)^CB$2))),((Inputs!$D$8^((1-_xlfn.WEIBULL.DIST(CB$2,$M114,$L114,FALSE))/_xlfn.WEIBULL.DIST(CB$2,$M114,$L114,FALSE))*($T114*(1-$F114)+$S114*(1-$G114))*((1+Inputs!$D$7)^CB$2))))))))</f>
        <v>0</v>
      </c>
      <c r="CC114" s="88">
        <f>MAX(AM114,($E114*IF(CC$2&gt;Inputs!$D$5,0,IF(CC$2&gt;VLOOKUP($H114,Lists!$P$3:$Q$7,2),IF($N114=Lists!$K$3,IF($L114&lt;1,(($U114/$L114)*((1+Inputs!$D$7)^CC$2)),((INT(CC$2/$L114)-INT((CC$2-1)/$L114))*$U114*((1+Inputs!$D$7)^CC$2))),(Inputs!$D$8^((1-_xlfn.WEIBULL.DIST(CC$2,$M114,$L114,FALSE))/_xlfn.WEIBULL.DIST(CC$2,$M114,$L114,FALSE))*$U114*((1+Inputs!$D$7)^CC$2))),IF($N114=Lists!$K$3,IF($L114&lt;1,((($T114*(1-$F114)+$S114*(1-$G114))/$L114)*((1+Inputs!$D$7)^CC$2)),((INT(CC$2/$L114)-INT((CC$2-1)/$L114))*($T114*(1-$F114)+$S114*(1-$G114))*((1+Inputs!$D$7)^CC$2))),((Inputs!$D$8^((1-_xlfn.WEIBULL.DIST(CC$2,$M114,$L114,FALSE))/_xlfn.WEIBULL.DIST(CC$2,$M114,$L114,FALSE))*($T114*(1-$F114)+$S114*(1-$G114))*((1+Inputs!$D$7)^CC$2))))))))</f>
        <v>0</v>
      </c>
      <c r="CD114" s="88">
        <f>MAX(AN114,($E114*IF(CD$2&gt;Inputs!$D$5,0,IF(CD$2&gt;VLOOKUP($H114,Lists!$P$3:$Q$7,2),IF($N114=Lists!$K$3,IF($L114&lt;1,(($U114/$L114)*((1+Inputs!$D$7)^CD$2)),((INT(CD$2/$L114)-INT((CD$2-1)/$L114))*$U114*((1+Inputs!$D$7)^CD$2))),(Inputs!$D$8^((1-_xlfn.WEIBULL.DIST(CD$2,$M114,$L114,FALSE))/_xlfn.WEIBULL.DIST(CD$2,$M114,$L114,FALSE))*$U114*((1+Inputs!$D$7)^CD$2))),IF($N114=Lists!$K$3,IF($L114&lt;1,((($T114*(1-$F114)+$S114*(1-$G114))/$L114)*((1+Inputs!$D$7)^CD$2)),((INT(CD$2/$L114)-INT((CD$2-1)/$L114))*($T114*(1-$F114)+$S114*(1-$G114))*((1+Inputs!$D$7)^CD$2))),((Inputs!$D$8^((1-_xlfn.WEIBULL.DIST(CD$2,$M114,$L114,FALSE))/_xlfn.WEIBULL.DIST(CD$2,$M114,$L114,FALSE))*($T114*(1-$F114)+$S114*(1-$G114))*((1+Inputs!$D$7)^CD$2))))))))</f>
        <v>0</v>
      </c>
      <c r="CE114" s="88">
        <f>MAX(AO114,($E114*IF(CE$2&gt;Inputs!$D$5,0,IF(CE$2&gt;VLOOKUP($H114,Lists!$P$3:$Q$7,2),IF($N114=Lists!$K$3,IF($L114&lt;1,(($U114/$L114)*((1+Inputs!$D$7)^CE$2)),((INT(CE$2/$L114)-INT((CE$2-1)/$L114))*$U114*((1+Inputs!$D$7)^CE$2))),(Inputs!$D$8^((1-_xlfn.WEIBULL.DIST(CE$2,$M114,$L114,FALSE))/_xlfn.WEIBULL.DIST(CE$2,$M114,$L114,FALSE))*$U114*((1+Inputs!$D$7)^CE$2))),IF($N114=Lists!$K$3,IF($L114&lt;1,((($T114*(1-$F114)+$S114*(1-$G114))/$L114)*((1+Inputs!$D$7)^CE$2)),((INT(CE$2/$L114)-INT((CE$2-1)/$L114))*($T114*(1-$F114)+$S114*(1-$G114))*((1+Inputs!$D$7)^CE$2))),((Inputs!$D$8^((1-_xlfn.WEIBULL.DIST(CE$2,$M114,$L114,FALSE))/_xlfn.WEIBULL.DIST(CE$2,$M114,$L114,FALSE))*($T114*(1-$F114)+$S114*(1-$G114))*((1+Inputs!$D$7)^CE$2))))))))</f>
        <v>0</v>
      </c>
      <c r="CF114" s="88">
        <f>MAX(AP114,($E114*IF(CF$2&gt;Inputs!$D$5,0,IF(CF$2&gt;VLOOKUP($H114,Lists!$P$3:$Q$7,2),IF($N114=Lists!$K$3,IF($L114&lt;1,(($U114/$L114)*((1+Inputs!$D$7)^CF$2)),((INT(CF$2/$L114)-INT((CF$2-1)/$L114))*$U114*((1+Inputs!$D$7)^CF$2))),(Inputs!$D$8^((1-_xlfn.WEIBULL.DIST(CF$2,$M114,$L114,FALSE))/_xlfn.WEIBULL.DIST(CF$2,$M114,$L114,FALSE))*$U114*((1+Inputs!$D$7)^CF$2))),IF($N114=Lists!$K$3,IF($L114&lt;1,((($T114*(1-$F114)+$S114*(1-$G114))/$L114)*((1+Inputs!$D$7)^CF$2)),((INT(CF$2/$L114)-INT((CF$2-1)/$L114))*($T114*(1-$F114)+$S114*(1-$G114))*((1+Inputs!$D$7)^CF$2))),((Inputs!$D$8^((1-_xlfn.WEIBULL.DIST(CF$2,$M114,$L114,FALSE))/_xlfn.WEIBULL.DIST(CF$2,$M114,$L114,FALSE))*($T114*(1-$F114)+$S114*(1-$G114))*((1+Inputs!$D$7)^CF$2))))))))</f>
        <v>0</v>
      </c>
      <c r="CG114" s="88">
        <f>MAX(AQ114,($E114*IF(CG$2&gt;Inputs!$D$5,0,IF(CG$2&gt;VLOOKUP($H114,Lists!$P$3:$Q$7,2),IF($N114=Lists!$K$3,IF($L114&lt;1,(($U114/$L114)*((1+Inputs!$D$7)^CG$2)),((INT(CG$2/$L114)-INT((CG$2-1)/$L114))*$U114*((1+Inputs!$D$7)^CG$2))),(Inputs!$D$8^((1-_xlfn.WEIBULL.DIST(CG$2,$M114,$L114,FALSE))/_xlfn.WEIBULL.DIST(CG$2,$M114,$L114,FALSE))*$U114*((1+Inputs!$D$7)^CG$2))),IF($N114=Lists!$K$3,IF($L114&lt;1,((($T114*(1-$F114)+$S114*(1-$G114))/$L114)*((1+Inputs!$D$7)^CG$2)),((INT(CG$2/$L114)-INT((CG$2-1)/$L114))*($T114*(1-$F114)+$S114*(1-$G114))*((1+Inputs!$D$7)^CG$2))),((Inputs!$D$8^((1-_xlfn.WEIBULL.DIST(CG$2,$M114,$L114,FALSE))/_xlfn.WEIBULL.DIST(CG$2,$M114,$L114,FALSE))*($T114*(1-$F114)+$S114*(1-$G114))*((1+Inputs!$D$7)^CG$2))))))))</f>
        <v>0</v>
      </c>
      <c r="CH114" s="88">
        <f>MAX(AR114,($E114*IF(CH$2&gt;Inputs!$D$5,0,IF(CH$2&gt;VLOOKUP($H114,Lists!$P$3:$Q$7,2),IF($N114=Lists!$K$3,IF($L114&lt;1,(($U114/$L114)*((1+Inputs!$D$7)^CH$2)),((INT(CH$2/$L114)-INT((CH$2-1)/$L114))*$U114*((1+Inputs!$D$7)^CH$2))),(Inputs!$D$8^((1-_xlfn.WEIBULL.DIST(CH$2,$M114,$L114,FALSE))/_xlfn.WEIBULL.DIST(CH$2,$M114,$L114,FALSE))*$U114*((1+Inputs!$D$7)^CH$2))),IF($N114=Lists!$K$3,IF($L114&lt;1,((($T114*(1-$F114)+$S114*(1-$G114))/$L114)*((1+Inputs!$D$7)^CH$2)),((INT(CH$2/$L114)-INT((CH$2-1)/$L114))*($T114*(1-$F114)+$S114*(1-$G114))*((1+Inputs!$D$7)^CH$2))),((Inputs!$D$8^((1-_xlfn.WEIBULL.DIST(CH$2,$M114,$L114,FALSE))/_xlfn.WEIBULL.DIST(CH$2,$M114,$L114,FALSE))*($T114*(1-$F114)+$S114*(1-$G114))*((1+Inputs!$D$7)^CH$2))))))))</f>
        <v>0</v>
      </c>
      <c r="CI114" s="88">
        <f>MAX(AS114,($E114*IF(CI$2&gt;Inputs!$D$5,0,IF(CI$2&gt;VLOOKUP($H114,Lists!$P$3:$Q$7,2),IF($N114=Lists!$K$3,IF($L114&lt;1,(($U114/$L114)*((1+Inputs!$D$7)^CI$2)),((INT(CI$2/$L114)-INT((CI$2-1)/$L114))*$U114*((1+Inputs!$D$7)^CI$2))),(Inputs!$D$8^((1-_xlfn.WEIBULL.DIST(CI$2,$M114,$L114,FALSE))/_xlfn.WEIBULL.DIST(CI$2,$M114,$L114,FALSE))*$U114*((1+Inputs!$D$7)^CI$2))),IF($N114=Lists!$K$3,IF($L114&lt;1,((($T114*(1-$F114)+$S114*(1-$G114))/$L114)*((1+Inputs!$D$7)^CI$2)),((INT(CI$2/$L114)-INT((CI$2-1)/$L114))*($T114*(1-$F114)+$S114*(1-$G114))*((1+Inputs!$D$7)^CI$2))),((Inputs!$D$8^((1-_xlfn.WEIBULL.DIST(CI$2,$M114,$L114,FALSE))/_xlfn.WEIBULL.DIST(CI$2,$M114,$L114,FALSE))*($T114*(1-$F114)+$S114*(1-$G114))*((1+Inputs!$D$7)^CI$2))))))))</f>
        <v>0</v>
      </c>
      <c r="CJ114" s="88">
        <f>MAX(AT114,($E114*IF(CJ$2&gt;Inputs!$D$5,0,IF(CJ$2&gt;VLOOKUP($H114,Lists!$P$3:$Q$7,2),IF($N114=Lists!$K$3,IF($L114&lt;1,(($U114/$L114)*((1+Inputs!$D$7)^CJ$2)),((INT(CJ$2/$L114)-INT((CJ$2-1)/$L114))*$U114*((1+Inputs!$D$7)^CJ$2))),(Inputs!$D$8^((1-_xlfn.WEIBULL.DIST(CJ$2,$M114,$L114,FALSE))/_xlfn.WEIBULL.DIST(CJ$2,$M114,$L114,FALSE))*$U114*((1+Inputs!$D$7)^CJ$2))),IF($N114=Lists!$K$3,IF($L114&lt;1,((($T114*(1-$F114)+$S114*(1-$G114))/$L114)*((1+Inputs!$D$7)^CJ$2)),((INT(CJ$2/$L114)-INT((CJ$2-1)/$L114))*($T114*(1-$F114)+$S114*(1-$G114))*((1+Inputs!$D$7)^CJ$2))),((Inputs!$D$8^((1-_xlfn.WEIBULL.DIST(CJ$2,$M114,$L114,FALSE))/_xlfn.WEIBULL.DIST(CJ$2,$M114,$L114,FALSE))*($T114*(1-$F114)+$S114*(1-$G114))*((1+Inputs!$D$7)^CJ$2))))))))</f>
        <v>0</v>
      </c>
      <c r="CK114" s="88">
        <f>MAX(AU114,($E114*IF(CK$2&gt;Inputs!$D$5,0,IF(CK$2&gt;VLOOKUP($H114,Lists!$P$3:$Q$7,2),IF($N114=Lists!$K$3,IF($L114&lt;1,(($U114/$L114)*((1+Inputs!$D$7)^CK$2)),((INT(CK$2/$L114)-INT((CK$2-1)/$L114))*$U114*((1+Inputs!$D$7)^CK$2))),(Inputs!$D$8^((1-_xlfn.WEIBULL.DIST(CK$2,$M114,$L114,FALSE))/_xlfn.WEIBULL.DIST(CK$2,$M114,$L114,FALSE))*$U114*((1+Inputs!$D$7)^CK$2))),IF($N114=Lists!$K$3,IF($L114&lt;1,((($T114*(1-$F114)+$S114*(1-$G114))/$L114)*((1+Inputs!$D$7)^CK$2)),((INT(CK$2/$L114)-INT((CK$2-1)/$L114))*($T114*(1-$F114)+$S114*(1-$G114))*((1+Inputs!$D$7)^CK$2))),((Inputs!$D$8^((1-_xlfn.WEIBULL.DIST(CK$2,$M114,$L114,FALSE))/_xlfn.WEIBULL.DIST(CK$2,$M114,$L114,FALSE))*($T114*(1-$F114)+$S114*(1-$G114))*((1+Inputs!$D$7)^CK$2))))))))</f>
        <v>0</v>
      </c>
      <c r="CL114" s="88">
        <f>MAX(AV114,($E114*IF(CL$2&gt;Inputs!$D$5,0,IF(CL$2&gt;VLOOKUP($H114,Lists!$P$3:$Q$7,2),IF($N114=Lists!$K$3,IF($L114&lt;1,(($U114/$L114)*((1+Inputs!$D$7)^CL$2)),((INT(CL$2/$L114)-INT((CL$2-1)/$L114))*$U114*((1+Inputs!$D$7)^CL$2))),(Inputs!$D$8^((1-_xlfn.WEIBULL.DIST(CL$2,$M114,$L114,FALSE))/_xlfn.WEIBULL.DIST(CL$2,$M114,$L114,FALSE))*$U114*((1+Inputs!$D$7)^CL$2))),IF($N114=Lists!$K$3,IF($L114&lt;1,((($T114*(1-$F114)+$S114*(1-$G114))/$L114)*((1+Inputs!$D$7)^CL$2)),((INT(CL$2/$L114)-INT((CL$2-1)/$L114))*($T114*(1-$F114)+$S114*(1-$G114))*((1+Inputs!$D$7)^CL$2))),((Inputs!$D$8^((1-_xlfn.WEIBULL.DIST(CL$2,$M114,$L114,FALSE))/_xlfn.WEIBULL.DIST(CL$2,$M114,$L114,FALSE))*($T114*(1-$F114)+$S114*(1-$G114))*((1+Inputs!$D$7)^CL$2))))))))</f>
        <v>0</v>
      </c>
      <c r="CM114" s="88">
        <f>MAX(AW114,($E114*IF(CM$2&gt;Inputs!$D$5,0,IF(CM$2&gt;VLOOKUP($H114,Lists!$P$3:$Q$7,2),IF($N114=Lists!$K$3,IF($L114&lt;1,(($U114/$L114)*((1+Inputs!$D$7)^CM$2)),((INT(CM$2/$L114)-INT((CM$2-1)/$L114))*$U114*((1+Inputs!$D$7)^CM$2))),(Inputs!$D$8^((1-_xlfn.WEIBULL.DIST(CM$2,$M114,$L114,FALSE))/_xlfn.WEIBULL.DIST(CM$2,$M114,$L114,FALSE))*$U114*((1+Inputs!$D$7)^CM$2))),IF($N114=Lists!$K$3,IF($L114&lt;1,((($T114*(1-$F114)+$S114*(1-$G114))/$L114)*((1+Inputs!$D$7)^CM$2)),((INT(CM$2/$L114)-INT((CM$2-1)/$L114))*($T114*(1-$F114)+$S114*(1-$G114))*((1+Inputs!$D$7)^CM$2))),((Inputs!$D$8^((1-_xlfn.WEIBULL.DIST(CM$2,$M114,$L114,FALSE))/_xlfn.WEIBULL.DIST(CM$2,$M114,$L114,FALSE))*($T114*(1-$F114)+$S114*(1-$G114))*((1+Inputs!$D$7)^CM$2))))))))</f>
        <v>0</v>
      </c>
      <c r="CN114" s="88">
        <f>MAX(AX114,($E114*IF(CN$2&gt;Inputs!$D$5,0,IF(CN$2&gt;VLOOKUP($H114,Lists!$P$3:$Q$7,2),IF($N114=Lists!$K$3,IF($L114&lt;1,(($U114/$L114)*((1+Inputs!$D$7)^CN$2)),((INT(CN$2/$L114)-INT((CN$2-1)/$L114))*$U114*((1+Inputs!$D$7)^CN$2))),(Inputs!$D$8^((1-_xlfn.WEIBULL.DIST(CN$2,$M114,$L114,FALSE))/_xlfn.WEIBULL.DIST(CN$2,$M114,$L114,FALSE))*$U114*((1+Inputs!$D$7)^CN$2))),IF($N114=Lists!$K$3,IF($L114&lt;1,((($T114*(1-$F114)+$S114*(1-$G114))/$L114)*((1+Inputs!$D$7)^CN$2)),((INT(CN$2/$L114)-INT((CN$2-1)/$L114))*($T114*(1-$F114)+$S114*(1-$G114))*((1+Inputs!$D$7)^CN$2))),((Inputs!$D$8^((1-_xlfn.WEIBULL.DIST(CN$2,$M114,$L114,FALSE))/_xlfn.WEIBULL.DIST(CN$2,$M114,$L114,FALSE))*($T114*(1-$F114)+$S114*(1-$G114))*((1+Inputs!$D$7)^CN$2))))))))</f>
        <v>0</v>
      </c>
      <c r="CO114" s="88">
        <f>MAX(AY114,($E114*IF(CO$2&gt;Inputs!$D$5,0,IF(CO$2&gt;VLOOKUP($H114,Lists!$P$3:$Q$7,2),IF($N114=Lists!$K$3,IF($L114&lt;1,(($U114/$L114)*((1+Inputs!$D$7)^CO$2)),((INT(CO$2/$L114)-INT((CO$2-1)/$L114))*$U114*((1+Inputs!$D$7)^CO$2))),(Inputs!$D$8^((1-_xlfn.WEIBULL.DIST(CO$2,$M114,$L114,FALSE))/_xlfn.WEIBULL.DIST(CO$2,$M114,$L114,FALSE))*$U114*((1+Inputs!$D$7)^CO$2))),IF($N114=Lists!$K$3,IF($L114&lt;1,((($T114*(1-$F114)+$S114*(1-$G114))/$L114)*((1+Inputs!$D$7)^CO$2)),((INT(CO$2/$L114)-INT((CO$2-1)/$L114))*($T114*(1-$F114)+$S114*(1-$G114))*((1+Inputs!$D$7)^CO$2))),((Inputs!$D$8^((1-_xlfn.WEIBULL.DIST(CO$2,$M114,$L114,FALSE))/_xlfn.WEIBULL.DIST(CO$2,$M114,$L114,FALSE))*($T114*(1-$F114)+$S114*(1-$G114))*((1+Inputs!$D$7)^CO$2))))))))</f>
        <v>0</v>
      </c>
      <c r="CP114" s="88">
        <f>MAX(AZ114,($E114*IF(CP$2&gt;Inputs!$D$5,0,IF(CP$2&gt;VLOOKUP($H114,Lists!$P$3:$Q$7,2),IF($N114=Lists!$K$3,IF($L114&lt;1,(($U114/$L114)*((1+Inputs!$D$7)^CP$2)),((INT(CP$2/$L114)-INT((CP$2-1)/$L114))*$U114*((1+Inputs!$D$7)^CP$2))),(Inputs!$D$8^((1-_xlfn.WEIBULL.DIST(CP$2,$M114,$L114,FALSE))/_xlfn.WEIBULL.DIST(CP$2,$M114,$L114,FALSE))*$U114*((1+Inputs!$D$7)^CP$2))),IF($N114=Lists!$K$3,IF($L114&lt;1,((($T114*(1-$F114)+$S114*(1-$G114))/$L114)*((1+Inputs!$D$7)^CP$2)),((INT(CP$2/$L114)-INT((CP$2-1)/$L114))*($T114*(1-$F114)+$S114*(1-$G114))*((1+Inputs!$D$7)^CP$2))),((Inputs!$D$8^((1-_xlfn.WEIBULL.DIST(CP$2,$M114,$L114,FALSE))/_xlfn.WEIBULL.DIST(CP$2,$M114,$L114,FALSE))*($T114*(1-$F114)+$S114*(1-$G114))*((1+Inputs!$D$7)^CP$2))))))))</f>
        <v>0</v>
      </c>
      <c r="CQ114" s="88">
        <f>MAX(BA114,($E114*IF(CQ$2&gt;Inputs!$D$5,0,IF(CQ$2&gt;VLOOKUP($H114,Lists!$P$3:$Q$7,2),IF($N114=Lists!$K$3,IF($L114&lt;1,(($U114/$L114)*((1+Inputs!$D$7)^CQ$2)),((INT(CQ$2/$L114)-INT((CQ$2-1)/$L114))*$U114*((1+Inputs!$D$7)^CQ$2))),(Inputs!$D$8^((1-_xlfn.WEIBULL.DIST(CQ$2,$M114,$L114,FALSE))/_xlfn.WEIBULL.DIST(CQ$2,$M114,$L114,FALSE))*$U114*((1+Inputs!$D$7)^CQ$2))),IF($N114=Lists!$K$3,IF($L114&lt;1,((($T114*(1-$F114)+$S114*(1-$G114))/$L114)*((1+Inputs!$D$7)^CQ$2)),((INT(CQ$2/$L114)-INT((CQ$2-1)/$L114))*($T114*(1-$F114)+$S114*(1-$G114))*((1+Inputs!$D$7)^CQ$2))),((Inputs!$D$8^((1-_xlfn.WEIBULL.DIST(CQ$2,$M114,$L114,FALSE))/_xlfn.WEIBULL.DIST(CQ$2,$M114,$L114,FALSE))*($T114*(1-$F114)+$S114*(1-$G114))*((1+Inputs!$D$7)^CQ$2))))))))</f>
        <v>0</v>
      </c>
      <c r="CR114" s="88">
        <f>MAX(BB114,($E114*IF(CR$2&gt;Inputs!$D$5,0,IF(CR$2&gt;VLOOKUP($H114,Lists!$P$3:$Q$7,2),IF($N114=Lists!$K$3,IF($L114&lt;1,(($U114/$L114)*((1+Inputs!$D$7)^CR$2)),((INT(CR$2/$L114)-INT((CR$2-1)/$L114))*$U114*((1+Inputs!$D$7)^CR$2))),(Inputs!$D$8^((1-_xlfn.WEIBULL.DIST(CR$2,$M114,$L114,FALSE))/_xlfn.WEIBULL.DIST(CR$2,$M114,$L114,FALSE))*$U114*((1+Inputs!$D$7)^CR$2))),IF($N114=Lists!$K$3,IF($L114&lt;1,((($T114*(1-$F114)+$S114*(1-$G114))/$L114)*((1+Inputs!$D$7)^CR$2)),((INT(CR$2/$L114)-INT((CR$2-1)/$L114))*($T114*(1-$F114)+$S114*(1-$G114))*((1+Inputs!$D$7)^CR$2))),((Inputs!$D$8^((1-_xlfn.WEIBULL.DIST(CR$2,$M114,$L114,FALSE))/_xlfn.WEIBULL.DIST(CR$2,$M114,$L114,FALSE))*($T114*(1-$F114)+$S114*(1-$G114))*((1+Inputs!$D$7)^CR$2))))))))</f>
        <v>0</v>
      </c>
      <c r="CS114" s="88">
        <f>MAX(BC114,($E114*IF(CS$2&gt;Inputs!$D$5,0,IF(CS$2&gt;VLOOKUP($H114,Lists!$P$3:$Q$7,2),IF($N114=Lists!$K$3,IF($L114&lt;1,(($U114/$L114)*((1+Inputs!$D$7)^CS$2)),((INT(CS$2/$L114)-INT((CS$2-1)/$L114))*$U114*((1+Inputs!$D$7)^CS$2))),(Inputs!$D$8^((1-_xlfn.WEIBULL.DIST(CS$2,$M114,$L114,FALSE))/_xlfn.WEIBULL.DIST(CS$2,$M114,$L114,FALSE))*$U114*((1+Inputs!$D$7)^CS$2))),IF($N114=Lists!$K$3,IF($L114&lt;1,((($T114*(1-$F114)+$S114*(1-$G114))/$L114)*((1+Inputs!$D$7)^CS$2)),((INT(CS$2/$L114)-INT((CS$2-1)/$L114))*($T114*(1-$F114)+$S114*(1-$G114))*((1+Inputs!$D$7)^CS$2))),((Inputs!$D$8^((1-_xlfn.WEIBULL.DIST(CS$2,$M114,$L114,FALSE))/_xlfn.WEIBULL.DIST(CS$2,$M114,$L114,FALSE))*($T114*(1-$F114)+$S114*(1-$G114))*((1+Inputs!$D$7)^CS$2))))))))</f>
        <v>0</v>
      </c>
      <c r="CT114" s="88">
        <f>MAX(BD114,($E114*IF(CT$2&gt;Inputs!$D$5,0,IF(CT$2&gt;VLOOKUP($H114,Lists!$P$3:$Q$7,2),IF($N114=Lists!$K$3,IF($L114&lt;1,(($U114/$L114)*((1+Inputs!$D$7)^CT$2)),((INT(CT$2/$L114)-INT((CT$2-1)/$L114))*$U114*((1+Inputs!$D$7)^CT$2))),(Inputs!$D$8^((1-_xlfn.WEIBULL.DIST(CT$2,$M114,$L114,FALSE))/_xlfn.WEIBULL.DIST(CT$2,$M114,$L114,FALSE))*$U114*((1+Inputs!$D$7)^CT$2))),IF($N114=Lists!$K$3,IF($L114&lt;1,((($T114*(1-$F114)+$S114*(1-$G114))/$L114)*((1+Inputs!$D$7)^CT$2)),((INT(CT$2/$L114)-INT((CT$2-1)/$L114))*($T114*(1-$F114)+$S114*(1-$G114))*((1+Inputs!$D$7)^CT$2))),((Inputs!$D$8^((1-_xlfn.WEIBULL.DIST(CT$2,$M114,$L114,FALSE))/_xlfn.WEIBULL.DIST(CT$2,$M114,$L114,FALSE))*($T114*(1-$F114)+$S114*(1-$G114))*((1+Inputs!$D$7)^CT$2))))))))</f>
        <v>0</v>
      </c>
      <c r="CU114" s="88">
        <f>MAX(BE114,($E114*IF(CU$2&gt;Inputs!$D$5,0,IF(CU$2&gt;VLOOKUP($H114,Lists!$P$3:$Q$7,2),IF($N114=Lists!$K$3,IF($L114&lt;1,(($U114/$L114)*((1+Inputs!$D$7)^CU$2)),((INT(CU$2/$L114)-INT((CU$2-1)/$L114))*$U114*((1+Inputs!$D$7)^CU$2))),(Inputs!$D$8^((1-_xlfn.WEIBULL.DIST(CU$2,$M114,$L114,FALSE))/_xlfn.WEIBULL.DIST(CU$2,$M114,$L114,FALSE))*$U114*((1+Inputs!$D$7)^CU$2))),IF($N114=Lists!$K$3,IF($L114&lt;1,((($T114*(1-$F114)+$S114*(1-$G114))/$L114)*((1+Inputs!$D$7)^CU$2)),((INT(CU$2/$L114)-INT((CU$2-1)/$L114))*($T114*(1-$F114)+$S114*(1-$G114))*((1+Inputs!$D$7)^CU$2))),((Inputs!$D$8^((1-_xlfn.WEIBULL.DIST(CU$2,$M114,$L114,FALSE))/_xlfn.WEIBULL.DIST(CU$2,$M114,$L114,FALSE))*($T114*(1-$F114)+$S114*(1-$G114))*((1+Inputs!$D$7)^CU$2))))))))</f>
        <v>0</v>
      </c>
      <c r="CV114" s="88">
        <f>MAX(BF114,($E114*IF(CV$2&gt;Inputs!$D$5,0,IF(CV$2&gt;VLOOKUP($H114,Lists!$P$3:$Q$7,2),IF($N114=Lists!$K$3,IF($L114&lt;1,(($U114/$L114)*((1+Inputs!$D$7)^CV$2)),((INT(CV$2/$L114)-INT((CV$2-1)/$L114))*$U114*((1+Inputs!$D$7)^CV$2))),(Inputs!$D$8^((1-_xlfn.WEIBULL.DIST(CV$2,$M114,$L114,FALSE))/_xlfn.WEIBULL.DIST(CV$2,$M114,$L114,FALSE))*$U114*((1+Inputs!$D$7)^CV$2))),IF($N114=Lists!$K$3,IF($L114&lt;1,((($T114*(1-$F114)+$S114*(1-$G114))/$L114)*((1+Inputs!$D$7)^CV$2)),((INT(CV$2/$L114)-INT((CV$2-1)/$L114))*($T114*(1-$F114)+$S114*(1-$G114))*((1+Inputs!$D$7)^CV$2))),((Inputs!$D$8^((1-_xlfn.WEIBULL.DIST(CV$2,$M114,$L114,FALSE))/_xlfn.WEIBULL.DIST(CV$2,$M114,$L114,FALSE))*($T114*(1-$F114)+$S114*(1-$G114))*((1+Inputs!$D$7)^CV$2))))))))</f>
        <v>0</v>
      </c>
      <c r="CW114" s="88">
        <f>MAX(BG114,($E114*IF(CW$2&gt;Inputs!$D$5,0,IF(CW$2&gt;VLOOKUP($H114,Lists!$P$3:$Q$7,2),IF($N114=Lists!$K$3,IF($L114&lt;1,(($U114/$L114)*((1+Inputs!$D$7)^CW$2)),((INT(CW$2/$L114)-INT((CW$2-1)/$L114))*$U114*((1+Inputs!$D$7)^CW$2))),(Inputs!$D$8^((1-_xlfn.WEIBULL.DIST(CW$2,$M114,$L114,FALSE))/_xlfn.WEIBULL.DIST(CW$2,$M114,$L114,FALSE))*$U114*((1+Inputs!$D$7)^CW$2))),IF($N114=Lists!$K$3,IF($L114&lt;1,((($T114*(1-$F114)+$S114*(1-$G114))/$L114)*((1+Inputs!$D$7)^CW$2)),((INT(CW$2/$L114)-INT((CW$2-1)/$L114))*($T114*(1-$F114)+$S114*(1-$G114))*((1+Inputs!$D$7)^CW$2))),((Inputs!$D$8^((1-_xlfn.WEIBULL.DIST(CW$2,$M114,$L114,FALSE))/_xlfn.WEIBULL.DIST(CW$2,$M114,$L114,FALSE))*($T114*(1-$F114)+$S114*(1-$G114))*((1+Inputs!$D$7)^CW$2))))))))</f>
        <v>0</v>
      </c>
      <c r="CX114" s="88">
        <f>MAX(BH114,($E114*IF(CX$2&gt;Inputs!$D$5,0,IF(CX$2&gt;VLOOKUP($H114,Lists!$P$3:$Q$7,2),IF($N114=Lists!$K$3,IF($L114&lt;1,(($U114/$L114)*((1+Inputs!$D$7)^CX$2)),((INT(CX$2/$L114)-INT((CX$2-1)/$L114))*$U114*((1+Inputs!$D$7)^CX$2))),(Inputs!$D$8^((1-_xlfn.WEIBULL.DIST(CX$2,$M114,$L114,FALSE))/_xlfn.WEIBULL.DIST(CX$2,$M114,$L114,FALSE))*$U114*((1+Inputs!$D$7)^CX$2))),IF($N114=Lists!$K$3,IF($L114&lt;1,((($T114*(1-$F114)+$S114*(1-$G114))/$L114)*((1+Inputs!$D$7)^CX$2)),((INT(CX$2/$L114)-INT((CX$2-1)/$L114))*($T114*(1-$F114)+$S114*(1-$G114))*((1+Inputs!$D$7)^CX$2))),((Inputs!$D$8^((1-_xlfn.WEIBULL.DIST(CX$2,$M114,$L114,FALSE))/_xlfn.WEIBULL.DIST(CX$2,$M114,$L114,FALSE))*($T114*(1-$F114)+$S114*(1-$G114))*((1+Inputs!$D$7)^CX$2))))))))</f>
        <v>0</v>
      </c>
      <c r="CY114" s="88">
        <f>MAX(BI114,($E114*IF(CY$2&gt;Inputs!$D$5,0,IF(CY$2&gt;VLOOKUP($H114,Lists!$P$3:$Q$7,2),IF($N114=Lists!$K$3,IF($L114&lt;1,(($U114/$L114)*((1+Inputs!$D$7)^CY$2)),((INT(CY$2/$L114)-INT((CY$2-1)/$L114))*$U114*((1+Inputs!$D$7)^CY$2))),(Inputs!$D$8^((1-_xlfn.WEIBULL.DIST(CY$2,$M114,$L114,FALSE))/_xlfn.WEIBULL.DIST(CY$2,$M114,$L114,FALSE))*$U114*((1+Inputs!$D$7)^CY$2))),IF($N114=Lists!$K$3,IF($L114&lt;1,((($T114*(1-$F114)+$S114*(1-$G114))/$L114)*((1+Inputs!$D$7)^CY$2)),((INT(CY$2/$L114)-INT((CY$2-1)/$L114))*($T114*(1-$F114)+$S114*(1-$G114))*((1+Inputs!$D$7)^CY$2))),((Inputs!$D$8^((1-_xlfn.WEIBULL.DIST(CY$2,$M114,$L114,FALSE))/_xlfn.WEIBULL.DIST(CY$2,$M114,$L114,FALSE))*($T114*(1-$F114)+$S114*(1-$G114))*((1+Inputs!$D$7)^CY$2))))))))</f>
        <v>0</v>
      </c>
      <c r="CZ114" s="88">
        <f>MAX(BJ114,($E114*IF(CZ$2&gt;Inputs!$D$5,0,IF(CZ$2&gt;VLOOKUP($H114,Lists!$P$3:$Q$7,2),IF($N114=Lists!$K$3,IF($L114&lt;1,(($U114/$L114)*((1+Inputs!$D$7)^CZ$2)),((INT(CZ$2/$L114)-INT((CZ$2-1)/$L114))*$U114*((1+Inputs!$D$7)^CZ$2))),(Inputs!$D$8^((1-_xlfn.WEIBULL.DIST(CZ$2,$M114,$L114,FALSE))/_xlfn.WEIBULL.DIST(CZ$2,$M114,$L114,FALSE))*$U114*((1+Inputs!$D$7)^CZ$2))),IF($N114=Lists!$K$3,IF($L114&lt;1,((($T114*(1-$F114)+$S114*(1-$G114))/$L114)*((1+Inputs!$D$7)^CZ$2)),((INT(CZ$2/$L114)-INT((CZ$2-1)/$L114))*($T114*(1-$F114)+$S114*(1-$G114))*((1+Inputs!$D$7)^CZ$2))),((Inputs!$D$8^((1-_xlfn.WEIBULL.DIST(CZ$2,$M114,$L114,FALSE))/_xlfn.WEIBULL.DIST(CZ$2,$M114,$L114,FALSE))*($T114*(1-$F114)+$S114*(1-$G114))*((1+Inputs!$D$7)^CZ$2))))))))</f>
        <v>0</v>
      </c>
      <c r="DA114" s="88">
        <f>MAX(BK114,($E114*IF(DA$2&gt;Inputs!$D$5,0,IF(DA$2&gt;VLOOKUP($H114,Lists!$P$3:$Q$7,2),IF($N114=Lists!$K$3,IF($L114&lt;1,(($U114/$L114)*((1+Inputs!$D$7)^DA$2)),((INT(DA$2/$L114)-INT((DA$2-1)/$L114))*$U114*((1+Inputs!$D$7)^DA$2))),(Inputs!$D$8^((1-_xlfn.WEIBULL.DIST(DA$2,$M114,$L114,FALSE))/_xlfn.WEIBULL.DIST(DA$2,$M114,$L114,FALSE))*$U114*((1+Inputs!$D$7)^DA$2))),IF($N114=Lists!$K$3,IF($L114&lt;1,((($T114*(1-$F114)+$S114*(1-$G114))/$L114)*((1+Inputs!$D$7)^DA$2)),((INT(DA$2/$L114)-INT((DA$2-1)/$L114))*($T114*(1-$F114)+$S114*(1-$G114))*((1+Inputs!$D$7)^DA$2))),((Inputs!$D$8^((1-_xlfn.WEIBULL.DIST(DA$2,$M114,$L114,FALSE))/_xlfn.WEIBULL.DIST(DA$2,$M114,$L114,FALSE))*($T114*(1-$F114)+$S114*(1-$G114))*((1+Inputs!$D$7)^DA$2))))))))</f>
        <v>0</v>
      </c>
      <c r="DB114" s="88">
        <f>MAX(BL114,($E114*IF(DB$2&gt;Inputs!$D$5,0,IF(DB$2&gt;VLOOKUP($H114,Lists!$P$3:$Q$7,2),IF($N114=Lists!$K$3,IF($L114&lt;1,(($U114/$L114)*((1+Inputs!$D$7)^DB$2)),((INT(DB$2/$L114)-INT((DB$2-1)/$L114))*$U114*((1+Inputs!$D$7)^DB$2))),(Inputs!$D$8^((1-_xlfn.WEIBULL.DIST(DB$2,$M114,$L114,FALSE))/_xlfn.WEIBULL.DIST(DB$2,$M114,$L114,FALSE))*$U114*((1+Inputs!$D$7)^DB$2))),IF($N114=Lists!$K$3,IF($L114&lt;1,((($T114*(1-$F114)+$S114*(1-$G114))/$L114)*((1+Inputs!$D$7)^DB$2)),((INT(DB$2/$L114)-INT((DB$2-1)/$L114))*($T114*(1-$F114)+$S114*(1-$G114))*((1+Inputs!$D$7)^DB$2))),((Inputs!$D$8^((1-_xlfn.WEIBULL.DIST(DB$2,$M114,$L114,FALSE))/_xlfn.WEIBULL.DIST(DB$2,$M114,$L114,FALSE))*($T114*(1-$F114)+$S114*(1-$G114))*((1+Inputs!$D$7)^DB$2))))))))</f>
        <v>0</v>
      </c>
      <c r="DC114" s="88">
        <f>MAX(BM114,($E114*IF(DC$2&gt;Inputs!$D$5,0,IF(DC$2&gt;VLOOKUP($H114,Lists!$P$3:$Q$7,2),IF($N114=Lists!$K$3,IF($L114&lt;1,(($U114/$L114)*((1+Inputs!$D$7)^DC$2)),((INT(DC$2/$L114)-INT((DC$2-1)/$L114))*$U114*((1+Inputs!$D$7)^DC$2))),(Inputs!$D$8^((1-_xlfn.WEIBULL.DIST(DC$2,$M114,$L114,FALSE))/_xlfn.WEIBULL.DIST(DC$2,$M114,$L114,FALSE))*$U114*((1+Inputs!$D$7)^DC$2))),IF($N114=Lists!$K$3,IF($L114&lt;1,((($T114*(1-$F114)+$S114*(1-$G114))/$L114)*((1+Inputs!$D$7)^DC$2)),((INT(DC$2/$L114)-INT((DC$2-1)/$L114))*($T114*(1-$F114)+$S114*(1-$G114))*((1+Inputs!$D$7)^DC$2))),((Inputs!$D$8^((1-_xlfn.WEIBULL.DIST(DC$2,$M114,$L114,FALSE))/_xlfn.WEIBULL.DIST(DC$2,$M114,$L114,FALSE))*($T114*(1-$F114)+$S114*(1-$G114))*((1+Inputs!$D$7)^DC$2))))))))</f>
        <v>0</v>
      </c>
      <c r="DD114" s="88">
        <f>MAX(BN114,($E114*IF(DD$2&gt;Inputs!$D$5,0,IF(DD$2&gt;VLOOKUP($H114,Lists!$P$3:$Q$7,2),IF($N114=Lists!$K$3,IF($L114&lt;1,(($U114/$L114)*((1+Inputs!$D$7)^DD$2)),((INT(DD$2/$L114)-INT((DD$2-1)/$L114))*$U114*((1+Inputs!$D$7)^DD$2))),(Inputs!$D$8^((1-_xlfn.WEIBULL.DIST(DD$2,$M114,$L114,FALSE))/_xlfn.WEIBULL.DIST(DD$2,$M114,$L114,FALSE))*$U114*((1+Inputs!$D$7)^DD$2))),IF($N114=Lists!$K$3,IF($L114&lt;1,((($T114*(1-$F114)+$S114*(1-$G114))/$L114)*((1+Inputs!$D$7)^DD$2)),((INT(DD$2/$L114)-INT((DD$2-1)/$L114))*($T114*(1-$F114)+$S114*(1-$G114))*((1+Inputs!$D$7)^DD$2))),((Inputs!$D$8^((1-_xlfn.WEIBULL.DIST(DD$2,$M114,$L114,FALSE))/_xlfn.WEIBULL.DIST(DD$2,$M114,$L114,FALSE))*($T114*(1-$F114)+$S114*(1-$G114))*((1+Inputs!$D$7)^DD$2))))))))</f>
        <v>0</v>
      </c>
    </row>
    <row r="115" spans="1:108" ht="31.5" customHeight="1">
      <c r="A115" s="57" t="s">
        <v>163</v>
      </c>
      <c r="B115" s="13" t="s">
        <v>279</v>
      </c>
      <c r="C115" s="13" t="s">
        <v>473</v>
      </c>
      <c r="D115" s="13" t="s">
        <v>30</v>
      </c>
      <c r="E115" s="48">
        <f>IF(Inputs!$D$46=Lists!$AC$3,0,1)</f>
        <v>0</v>
      </c>
      <c r="F115" s="48">
        <v>0</v>
      </c>
      <c r="G115" s="48">
        <v>0</v>
      </c>
      <c r="H115" s="105" t="s">
        <v>350</v>
      </c>
      <c r="I115" s="14" t="s">
        <v>267</v>
      </c>
      <c r="J115" s="14" t="s">
        <v>88</v>
      </c>
      <c r="K115" s="13">
        <f>VLOOKUP(J115,'Labor Rates'!$A$1:$F$16,2)</f>
        <v>19.903846153846153</v>
      </c>
      <c r="L115" s="15">
        <v>25</v>
      </c>
      <c r="M115" s="15">
        <v>3</v>
      </c>
      <c r="N115" s="13" t="s">
        <v>226</v>
      </c>
      <c r="O115" s="61">
        <f>Inputs!$D$21</f>
        <v>32787</v>
      </c>
      <c r="P115" s="15">
        <v>0.08</v>
      </c>
      <c r="Q115" s="15">
        <f t="shared" si="21"/>
        <v>104.91840000000001</v>
      </c>
      <c r="R115" s="4">
        <v>0</v>
      </c>
      <c r="S115" s="53">
        <f t="shared" si="22"/>
        <v>52206.992307692308</v>
      </c>
      <c r="T115" s="53">
        <f t="shared" si="23"/>
        <v>0</v>
      </c>
      <c r="U115" s="54">
        <f t="shared" si="24"/>
        <v>0</v>
      </c>
      <c r="V115" s="65"/>
      <c r="W115" s="58"/>
      <c r="X115" s="64">
        <f t="shared" si="25"/>
        <v>0</v>
      </c>
      <c r="Y115" s="64">
        <f>NPV(Inputs!$D$6,AA115:BN115)</f>
        <v>0</v>
      </c>
      <c r="Z115" s="67">
        <f t="shared" si="26"/>
        <v>0</v>
      </c>
      <c r="AA115" s="88">
        <f>$E115*IF(AA$2&gt;Inputs!$D$5,0,IF(AA$2&gt;VLOOKUP($H115,Lists!$P$3:$Q$7,2),IF($N115=Lists!$K$3,IF($L115&lt;1,(($U115/$L115)*((1+Inputs!$D$7)^AA$2)),((INT(AA$2/$L115)-INT((AA$2-1)/$L115))*$U115*((1+Inputs!$D$7)^AA$2))),(_xlfn.WEIBULL.DIST(AA$2,$M115,$L115,FALSE)*$U115*((1+Inputs!$D$7)^AA$2))),IF($N115=Lists!$K$3,IF($L115&lt;1,((($T115*(1-$F115)+$S115*(1-$G115))/$L115)*((1+Inputs!$D$7)^AA$2)),((INT(AA$2/$L115)-INT((AA$2-1)/$L115))*($T115*(1-$F115)+$S115*(1-$G115))*((1+Inputs!$D$7)^AA$2))),((_xlfn.WEIBULL.DIST(AA$2,$M115,$L115,FALSE)*($T115*(1-$F115)+$S115*(1-$G115))*((1+Inputs!$D$7)^AA$2))))))</f>
        <v>0</v>
      </c>
      <c r="AB115" s="88">
        <f>$E115*IF(AB$2&gt;Inputs!$D$5,0,IF(AB$2&gt;VLOOKUP($H115,Lists!$P$3:$Q$7,2),IF($N115=Lists!$K$3,IF($L115&lt;1,(($U115/$L115)*((1+Inputs!$D$7)^AB$2)),((INT(AB$2/$L115)-INT((AB$2-1)/$L115))*$U115*((1+Inputs!$D$7)^AB$2))),(_xlfn.WEIBULL.DIST(AB$2,$M115,$L115,FALSE)*$U115*((1+Inputs!$D$7)^AB$2))),IF($N115=Lists!$K$3,IF($L115&lt;1,((($T115*(1-$F115)+$S115*(1-$G115))/$L115)*((1+Inputs!$D$7)^AB$2)),((INT(AB$2/$L115)-INT((AB$2-1)/$L115))*($T115*(1-$F115)+$S115*(1-$G115))*((1+Inputs!$D$7)^AB$2))),((_xlfn.WEIBULL.DIST(AB$2,$M115,$L115,FALSE)*($T115*(1-$F115)+$S115*(1-$G115))*((1+Inputs!$D$7)^AB$2))))))</f>
        <v>0</v>
      </c>
      <c r="AC115" s="88">
        <f>$E115*IF(AC$2&gt;Inputs!$D$5,0,IF(AC$2&gt;VLOOKUP($H115,Lists!$P$3:$Q$7,2),IF($N115=Lists!$K$3,IF($L115&lt;1,(($U115/$L115)*((1+Inputs!$D$7)^AC$2)),((INT(AC$2/$L115)-INT((AC$2-1)/$L115))*$U115*((1+Inputs!$D$7)^AC$2))),(_xlfn.WEIBULL.DIST(AC$2,$M115,$L115,FALSE)*$U115*((1+Inputs!$D$7)^AC$2))),IF($N115=Lists!$K$3,IF($L115&lt;1,((($T115*(1-$F115)+$S115*(1-$G115))/$L115)*((1+Inputs!$D$7)^AC$2)),((INT(AC$2/$L115)-INT((AC$2-1)/$L115))*($T115*(1-$F115)+$S115*(1-$G115))*((1+Inputs!$D$7)^AC$2))),((_xlfn.WEIBULL.DIST(AC$2,$M115,$L115,FALSE)*($T115*(1-$F115)+$S115*(1-$G115))*((1+Inputs!$D$7)^AC$2))))))</f>
        <v>0</v>
      </c>
      <c r="AD115" s="88">
        <f>$E115*IF(AD$2&gt;Inputs!$D$5,0,IF(AD$2&gt;VLOOKUP($H115,Lists!$P$3:$Q$7,2),IF($N115=Lists!$K$3,IF($L115&lt;1,(($U115/$L115)*((1+Inputs!$D$7)^AD$2)),((INT(AD$2/$L115)-INT((AD$2-1)/$L115))*$U115*((1+Inputs!$D$7)^AD$2))),(_xlfn.WEIBULL.DIST(AD$2,$M115,$L115,FALSE)*$U115*((1+Inputs!$D$7)^AD$2))),IF($N115=Lists!$K$3,IF($L115&lt;1,((($T115*(1-$F115)+$S115*(1-$G115))/$L115)*((1+Inputs!$D$7)^AD$2)),((INT(AD$2/$L115)-INT((AD$2-1)/$L115))*($T115*(1-$F115)+$S115*(1-$G115))*((1+Inputs!$D$7)^AD$2))),((_xlfn.WEIBULL.DIST(AD$2,$M115,$L115,FALSE)*($T115*(1-$F115)+$S115*(1-$G115))*((1+Inputs!$D$7)^AD$2))))))</f>
        <v>0</v>
      </c>
      <c r="AE115" s="88">
        <f>$E115*IF(AE$2&gt;Inputs!$D$5,0,IF(AE$2&gt;VLOOKUP($H115,Lists!$P$3:$Q$7,2),IF($N115=Lists!$K$3,IF($L115&lt;1,(($U115/$L115)*((1+Inputs!$D$7)^AE$2)),((INT(AE$2/$L115)-INT((AE$2-1)/$L115))*$U115*((1+Inputs!$D$7)^AE$2))),(_xlfn.WEIBULL.DIST(AE$2,$M115,$L115,FALSE)*$U115*((1+Inputs!$D$7)^AE$2))),IF($N115=Lists!$K$3,IF($L115&lt;1,((($T115*(1-$F115)+$S115*(1-$G115))/$L115)*((1+Inputs!$D$7)^AE$2)),((INT(AE$2/$L115)-INT((AE$2-1)/$L115))*($T115*(1-$F115)+$S115*(1-$G115))*((1+Inputs!$D$7)^AE$2))),((_xlfn.WEIBULL.DIST(AE$2,$M115,$L115,FALSE)*($T115*(1-$F115)+$S115*(1-$G115))*((1+Inputs!$D$7)^AE$2))))))</f>
        <v>0</v>
      </c>
      <c r="AF115" s="88">
        <f>$E115*IF(AF$2&gt;Inputs!$D$5,0,IF(AF$2&gt;VLOOKUP($H115,Lists!$P$3:$Q$7,2),IF($N115=Lists!$K$3,IF($L115&lt;1,(($U115/$L115)*((1+Inputs!$D$7)^AF$2)),((INT(AF$2/$L115)-INT((AF$2-1)/$L115))*$U115*((1+Inputs!$D$7)^AF$2))),(_xlfn.WEIBULL.DIST(AF$2,$M115,$L115,FALSE)*$U115*((1+Inputs!$D$7)^AF$2))),IF($N115=Lists!$K$3,IF($L115&lt;1,((($T115*(1-$F115)+$S115*(1-$G115))/$L115)*((1+Inputs!$D$7)^AF$2)),((INT(AF$2/$L115)-INT((AF$2-1)/$L115))*($T115*(1-$F115)+$S115*(1-$G115))*((1+Inputs!$D$7)^AF$2))),((_xlfn.WEIBULL.DIST(AF$2,$M115,$L115,FALSE)*($T115*(1-$F115)+$S115*(1-$G115))*((1+Inputs!$D$7)^AF$2))))))</f>
        <v>0</v>
      </c>
      <c r="AG115" s="88">
        <f>$E115*IF(AG$2&gt;Inputs!$D$5,0,IF(AG$2&gt;VLOOKUP($H115,Lists!$P$3:$Q$7,2),IF($N115=Lists!$K$3,IF($L115&lt;1,(($U115/$L115)*((1+Inputs!$D$7)^AG$2)),((INT(AG$2/$L115)-INT((AG$2-1)/$L115))*$U115*((1+Inputs!$D$7)^AG$2))),(_xlfn.WEIBULL.DIST(AG$2,$M115,$L115,FALSE)*$U115*((1+Inputs!$D$7)^AG$2))),IF($N115=Lists!$K$3,IF($L115&lt;1,((($T115*(1-$F115)+$S115*(1-$G115))/$L115)*((1+Inputs!$D$7)^AG$2)),((INT(AG$2/$L115)-INT((AG$2-1)/$L115))*($T115*(1-$F115)+$S115*(1-$G115))*((1+Inputs!$D$7)^AG$2))),((_xlfn.WEIBULL.DIST(AG$2,$M115,$L115,FALSE)*($T115*(1-$F115)+$S115*(1-$G115))*((1+Inputs!$D$7)^AG$2))))))</f>
        <v>0</v>
      </c>
      <c r="AH115" s="88">
        <f>$E115*IF(AH$2&gt;Inputs!$D$5,0,IF(AH$2&gt;VLOOKUP($H115,Lists!$P$3:$Q$7,2),IF($N115=Lists!$K$3,IF($L115&lt;1,(($U115/$L115)*((1+Inputs!$D$7)^AH$2)),((INT(AH$2/$L115)-INT((AH$2-1)/$L115))*$U115*((1+Inputs!$D$7)^AH$2))),(_xlfn.WEIBULL.DIST(AH$2,$M115,$L115,FALSE)*$U115*((1+Inputs!$D$7)^AH$2))),IF($N115=Lists!$K$3,IF($L115&lt;1,((($T115*(1-$F115)+$S115*(1-$G115))/$L115)*((1+Inputs!$D$7)^AH$2)),((INT(AH$2/$L115)-INT((AH$2-1)/$L115))*($T115*(1-$F115)+$S115*(1-$G115))*((1+Inputs!$D$7)^AH$2))),((_xlfn.WEIBULL.DIST(AH$2,$M115,$L115,FALSE)*($T115*(1-$F115)+$S115*(1-$G115))*((1+Inputs!$D$7)^AH$2))))))</f>
        <v>0</v>
      </c>
      <c r="AI115" s="88">
        <f>$E115*IF(AI$2&gt;Inputs!$D$5,0,IF(AI$2&gt;VLOOKUP($H115,Lists!$P$3:$Q$7,2),IF($N115=Lists!$K$3,IF($L115&lt;1,(($U115/$L115)*((1+Inputs!$D$7)^AI$2)),((INT(AI$2/$L115)-INT((AI$2-1)/$L115))*$U115*((1+Inputs!$D$7)^AI$2))),(_xlfn.WEIBULL.DIST(AI$2,$M115,$L115,FALSE)*$U115*((1+Inputs!$D$7)^AI$2))),IF($N115=Lists!$K$3,IF($L115&lt;1,((($T115*(1-$F115)+$S115*(1-$G115))/$L115)*((1+Inputs!$D$7)^AI$2)),((INT(AI$2/$L115)-INT((AI$2-1)/$L115))*($T115*(1-$F115)+$S115*(1-$G115))*((1+Inputs!$D$7)^AI$2))),((_xlfn.WEIBULL.DIST(AI$2,$M115,$L115,FALSE)*($T115*(1-$F115)+$S115*(1-$G115))*((1+Inputs!$D$7)^AI$2))))))</f>
        <v>0</v>
      </c>
      <c r="AJ115" s="88">
        <f>$E115*IF(AJ$2&gt;Inputs!$D$5,0,IF(AJ$2&gt;VLOOKUP($H115,Lists!$P$3:$Q$7,2),IF($N115=Lists!$K$3,IF($L115&lt;1,(($U115/$L115)*((1+Inputs!$D$7)^AJ$2)),((INT(AJ$2/$L115)-INT((AJ$2-1)/$L115))*$U115*((1+Inputs!$D$7)^AJ$2))),(_xlfn.WEIBULL.DIST(AJ$2,$M115,$L115,FALSE)*$U115*((1+Inputs!$D$7)^AJ$2))),IF($N115=Lists!$K$3,IF($L115&lt;1,((($T115*(1-$F115)+$S115*(1-$G115))/$L115)*((1+Inputs!$D$7)^AJ$2)),((INT(AJ$2/$L115)-INT((AJ$2-1)/$L115))*($T115*(1-$F115)+$S115*(1-$G115))*((1+Inputs!$D$7)^AJ$2))),((_xlfn.WEIBULL.DIST(AJ$2,$M115,$L115,FALSE)*($T115*(1-$F115)+$S115*(1-$G115))*((1+Inputs!$D$7)^AJ$2))))))</f>
        <v>0</v>
      </c>
      <c r="AK115" s="88">
        <f>$E115*IF(AK$2&gt;Inputs!$D$5,0,IF(AK$2&gt;VLOOKUP($H115,Lists!$P$3:$Q$7,2),IF($N115=Lists!$K$3,IF($L115&lt;1,(($U115/$L115)*((1+Inputs!$D$7)^AK$2)),((INT(AK$2/$L115)-INT((AK$2-1)/$L115))*$U115*((1+Inputs!$D$7)^AK$2))),(_xlfn.WEIBULL.DIST(AK$2,$M115,$L115,FALSE)*$U115*((1+Inputs!$D$7)^AK$2))),IF($N115=Lists!$K$3,IF($L115&lt;1,((($T115*(1-$F115)+$S115*(1-$G115))/$L115)*((1+Inputs!$D$7)^AK$2)),((INT(AK$2/$L115)-INT((AK$2-1)/$L115))*($T115*(1-$F115)+$S115*(1-$G115))*((1+Inputs!$D$7)^AK$2))),((_xlfn.WEIBULL.DIST(AK$2,$M115,$L115,FALSE)*($T115*(1-$F115)+$S115*(1-$G115))*((1+Inputs!$D$7)^AK$2))))))</f>
        <v>0</v>
      </c>
      <c r="AL115" s="88">
        <f>$E115*IF(AL$2&gt;Inputs!$D$5,0,IF(AL$2&gt;VLOOKUP($H115,Lists!$P$3:$Q$7,2),IF($N115=Lists!$K$3,IF($L115&lt;1,(($U115/$L115)*((1+Inputs!$D$7)^AL$2)),((INT(AL$2/$L115)-INT((AL$2-1)/$L115))*$U115*((1+Inputs!$D$7)^AL$2))),(_xlfn.WEIBULL.DIST(AL$2,$M115,$L115,FALSE)*$U115*((1+Inputs!$D$7)^AL$2))),IF($N115=Lists!$K$3,IF($L115&lt;1,((($T115*(1-$F115)+$S115*(1-$G115))/$L115)*((1+Inputs!$D$7)^AL$2)),((INT(AL$2/$L115)-INT((AL$2-1)/$L115))*($T115*(1-$F115)+$S115*(1-$G115))*((1+Inputs!$D$7)^AL$2))),((_xlfn.WEIBULL.DIST(AL$2,$M115,$L115,FALSE)*($T115*(1-$F115)+$S115*(1-$G115))*((1+Inputs!$D$7)^AL$2))))))</f>
        <v>0</v>
      </c>
      <c r="AM115" s="88">
        <f>$E115*IF(AM$2&gt;Inputs!$D$5,0,IF(AM$2&gt;VLOOKUP($H115,Lists!$P$3:$Q$7,2),IF($N115=Lists!$K$3,IF($L115&lt;1,(($U115/$L115)*((1+Inputs!$D$7)^AM$2)),((INT(AM$2/$L115)-INT((AM$2-1)/$L115))*$U115*((1+Inputs!$D$7)^AM$2))),(_xlfn.WEIBULL.DIST(AM$2,$M115,$L115,FALSE)*$U115*((1+Inputs!$D$7)^AM$2))),IF($N115=Lists!$K$3,IF($L115&lt;1,((($T115*(1-$F115)+$S115*(1-$G115))/$L115)*((1+Inputs!$D$7)^AM$2)),((INT(AM$2/$L115)-INT((AM$2-1)/$L115))*($T115*(1-$F115)+$S115*(1-$G115))*((1+Inputs!$D$7)^AM$2))),((_xlfn.WEIBULL.DIST(AM$2,$M115,$L115,FALSE)*($T115*(1-$F115)+$S115*(1-$G115))*((1+Inputs!$D$7)^AM$2))))))</f>
        <v>0</v>
      </c>
      <c r="AN115" s="88">
        <f>$E115*IF(AN$2&gt;Inputs!$D$5,0,IF(AN$2&gt;VLOOKUP($H115,Lists!$P$3:$Q$7,2),IF($N115=Lists!$K$3,IF($L115&lt;1,(($U115/$L115)*((1+Inputs!$D$7)^AN$2)),((INT(AN$2/$L115)-INT((AN$2-1)/$L115))*$U115*((1+Inputs!$D$7)^AN$2))),(_xlfn.WEIBULL.DIST(AN$2,$M115,$L115,FALSE)*$U115*((1+Inputs!$D$7)^AN$2))),IF($N115=Lists!$K$3,IF($L115&lt;1,((($T115*(1-$F115)+$S115*(1-$G115))/$L115)*((1+Inputs!$D$7)^AN$2)),((INT(AN$2/$L115)-INT((AN$2-1)/$L115))*($T115*(1-$F115)+$S115*(1-$G115))*((1+Inputs!$D$7)^AN$2))),((_xlfn.WEIBULL.DIST(AN$2,$M115,$L115,FALSE)*($T115*(1-$F115)+$S115*(1-$G115))*((1+Inputs!$D$7)^AN$2))))))</f>
        <v>0</v>
      </c>
      <c r="AO115" s="88">
        <f>$E115*IF(AO$2&gt;Inputs!$D$5,0,IF(AO$2&gt;VLOOKUP($H115,Lists!$P$3:$Q$7,2),IF($N115=Lists!$K$3,IF($L115&lt;1,(($U115/$L115)*((1+Inputs!$D$7)^AO$2)),((INT(AO$2/$L115)-INT((AO$2-1)/$L115))*$U115*((1+Inputs!$D$7)^AO$2))),(_xlfn.WEIBULL.DIST(AO$2,$M115,$L115,FALSE)*$U115*((1+Inputs!$D$7)^AO$2))),IF($N115=Lists!$K$3,IF($L115&lt;1,((($T115*(1-$F115)+$S115*(1-$G115))/$L115)*((1+Inputs!$D$7)^AO$2)),((INT(AO$2/$L115)-INT((AO$2-1)/$L115))*($T115*(1-$F115)+$S115*(1-$G115))*((1+Inputs!$D$7)^AO$2))),((_xlfn.WEIBULL.DIST(AO$2,$M115,$L115,FALSE)*($T115*(1-$F115)+$S115*(1-$G115))*((1+Inputs!$D$7)^AO$2))))))</f>
        <v>0</v>
      </c>
      <c r="AP115" s="88">
        <f>$E115*IF(AP$2&gt;Inputs!$D$5,0,IF(AP$2&gt;VLOOKUP($H115,Lists!$P$3:$Q$7,2),IF($N115=Lists!$K$3,IF($L115&lt;1,(($U115/$L115)*((1+Inputs!$D$7)^AP$2)),((INT(AP$2/$L115)-INT((AP$2-1)/$L115))*$U115*((1+Inputs!$D$7)^AP$2))),(_xlfn.WEIBULL.DIST(AP$2,$M115,$L115,FALSE)*$U115*((1+Inputs!$D$7)^AP$2))),IF($N115=Lists!$K$3,IF($L115&lt;1,((($T115*(1-$F115)+$S115*(1-$G115))/$L115)*((1+Inputs!$D$7)^AP$2)),((INT(AP$2/$L115)-INT((AP$2-1)/$L115))*($T115*(1-$F115)+$S115*(1-$G115))*((1+Inputs!$D$7)^AP$2))),((_xlfn.WEIBULL.DIST(AP$2,$M115,$L115,FALSE)*($T115*(1-$F115)+$S115*(1-$G115))*((1+Inputs!$D$7)^AP$2))))))</f>
        <v>0</v>
      </c>
      <c r="AQ115" s="88">
        <f>$E115*IF(AQ$2&gt;Inputs!$D$5,0,IF(AQ$2&gt;VLOOKUP($H115,Lists!$P$3:$Q$7,2),IF($N115=Lists!$K$3,IF($L115&lt;1,(($U115/$L115)*((1+Inputs!$D$7)^AQ$2)),((INT(AQ$2/$L115)-INT((AQ$2-1)/$L115))*$U115*((1+Inputs!$D$7)^AQ$2))),(_xlfn.WEIBULL.DIST(AQ$2,$M115,$L115,FALSE)*$U115*((1+Inputs!$D$7)^AQ$2))),IF($N115=Lists!$K$3,IF($L115&lt;1,((($T115*(1-$F115)+$S115*(1-$G115))/$L115)*((1+Inputs!$D$7)^AQ$2)),((INT(AQ$2/$L115)-INT((AQ$2-1)/$L115))*($T115*(1-$F115)+$S115*(1-$G115))*((1+Inputs!$D$7)^AQ$2))),((_xlfn.WEIBULL.DIST(AQ$2,$M115,$L115,FALSE)*($T115*(1-$F115)+$S115*(1-$G115))*((1+Inputs!$D$7)^AQ$2))))))</f>
        <v>0</v>
      </c>
      <c r="AR115" s="88">
        <f>$E115*IF(AR$2&gt;Inputs!$D$5,0,IF(AR$2&gt;VLOOKUP($H115,Lists!$P$3:$Q$7,2),IF($N115=Lists!$K$3,IF($L115&lt;1,(($U115/$L115)*((1+Inputs!$D$7)^AR$2)),((INT(AR$2/$L115)-INT((AR$2-1)/$L115))*$U115*((1+Inputs!$D$7)^AR$2))),(_xlfn.WEIBULL.DIST(AR$2,$M115,$L115,FALSE)*$U115*((1+Inputs!$D$7)^AR$2))),IF($N115=Lists!$K$3,IF($L115&lt;1,((($T115*(1-$F115)+$S115*(1-$G115))/$L115)*((1+Inputs!$D$7)^AR$2)),((INT(AR$2/$L115)-INT((AR$2-1)/$L115))*($T115*(1-$F115)+$S115*(1-$G115))*((1+Inputs!$D$7)^AR$2))),((_xlfn.WEIBULL.DIST(AR$2,$M115,$L115,FALSE)*($T115*(1-$F115)+$S115*(1-$G115))*((1+Inputs!$D$7)^AR$2))))))</f>
        <v>0</v>
      </c>
      <c r="AS115" s="88">
        <f>$E115*IF(AS$2&gt;Inputs!$D$5,0,IF(AS$2&gt;VLOOKUP($H115,Lists!$P$3:$Q$7,2),IF($N115=Lists!$K$3,IF($L115&lt;1,(($U115/$L115)*((1+Inputs!$D$7)^AS$2)),((INT(AS$2/$L115)-INT((AS$2-1)/$L115))*$U115*((1+Inputs!$D$7)^AS$2))),(_xlfn.WEIBULL.DIST(AS$2,$M115,$L115,FALSE)*$U115*((1+Inputs!$D$7)^AS$2))),IF($N115=Lists!$K$3,IF($L115&lt;1,((($T115*(1-$F115)+$S115*(1-$G115))/$L115)*((1+Inputs!$D$7)^AS$2)),((INT(AS$2/$L115)-INT((AS$2-1)/$L115))*($T115*(1-$F115)+$S115*(1-$G115))*((1+Inputs!$D$7)^AS$2))),((_xlfn.WEIBULL.DIST(AS$2,$M115,$L115,FALSE)*($T115*(1-$F115)+$S115*(1-$G115))*((1+Inputs!$D$7)^AS$2))))))</f>
        <v>0</v>
      </c>
      <c r="AT115" s="88">
        <f>$E115*IF(AT$2&gt;Inputs!$D$5,0,IF(AT$2&gt;VLOOKUP($H115,Lists!$P$3:$Q$7,2),IF($N115=Lists!$K$3,IF($L115&lt;1,(($U115/$L115)*((1+Inputs!$D$7)^AT$2)),((INT(AT$2/$L115)-INT((AT$2-1)/$L115))*$U115*((1+Inputs!$D$7)^AT$2))),(_xlfn.WEIBULL.DIST(AT$2,$M115,$L115,FALSE)*$U115*((1+Inputs!$D$7)^AT$2))),IF($N115=Lists!$K$3,IF($L115&lt;1,((($T115*(1-$F115)+$S115*(1-$G115))/$L115)*((1+Inputs!$D$7)^AT$2)),((INT(AT$2/$L115)-INT((AT$2-1)/$L115))*($T115*(1-$F115)+$S115*(1-$G115))*((1+Inputs!$D$7)^AT$2))),((_xlfn.WEIBULL.DIST(AT$2,$M115,$L115,FALSE)*($T115*(1-$F115)+$S115*(1-$G115))*((1+Inputs!$D$7)^AT$2))))))</f>
        <v>0</v>
      </c>
      <c r="AU115" s="88">
        <f>$E115*IF(AU$2&gt;Inputs!$D$5,0,IF(AU$2&gt;VLOOKUP($H115,Lists!$P$3:$Q$7,2),IF($N115=Lists!$K$3,IF($L115&lt;1,(($U115/$L115)*((1+Inputs!$D$7)^AU$2)),((INT(AU$2/$L115)-INT((AU$2-1)/$L115))*$U115*((1+Inputs!$D$7)^AU$2))),(_xlfn.WEIBULL.DIST(AU$2,$M115,$L115,FALSE)*$U115*((1+Inputs!$D$7)^AU$2))),IF($N115=Lists!$K$3,IF($L115&lt;1,((($T115*(1-$F115)+$S115*(1-$G115))/$L115)*((1+Inputs!$D$7)^AU$2)),((INT(AU$2/$L115)-INT((AU$2-1)/$L115))*($T115*(1-$F115)+$S115*(1-$G115))*((1+Inputs!$D$7)^AU$2))),((_xlfn.WEIBULL.DIST(AU$2,$M115,$L115,FALSE)*($T115*(1-$F115)+$S115*(1-$G115))*((1+Inputs!$D$7)^AU$2))))))</f>
        <v>0</v>
      </c>
      <c r="AV115" s="88">
        <f>$E115*IF(AV$2&gt;Inputs!$D$5,0,IF(AV$2&gt;VLOOKUP($H115,Lists!$P$3:$Q$7,2),IF($N115=Lists!$K$3,IF($L115&lt;1,(($U115/$L115)*((1+Inputs!$D$7)^AV$2)),((INT(AV$2/$L115)-INT((AV$2-1)/$L115))*$U115*((1+Inputs!$D$7)^AV$2))),(_xlfn.WEIBULL.DIST(AV$2,$M115,$L115,FALSE)*$U115*((1+Inputs!$D$7)^AV$2))),IF($N115=Lists!$K$3,IF($L115&lt;1,((($T115*(1-$F115)+$S115*(1-$G115))/$L115)*((1+Inputs!$D$7)^AV$2)),((INT(AV$2/$L115)-INT((AV$2-1)/$L115))*($T115*(1-$F115)+$S115*(1-$G115))*((1+Inputs!$D$7)^AV$2))),((_xlfn.WEIBULL.DIST(AV$2,$M115,$L115,FALSE)*($T115*(1-$F115)+$S115*(1-$G115))*((1+Inputs!$D$7)^AV$2))))))</f>
        <v>0</v>
      </c>
      <c r="AW115" s="88">
        <f>$E115*IF(AW$2&gt;Inputs!$D$5,0,IF(AW$2&gt;VLOOKUP($H115,Lists!$P$3:$Q$7,2),IF($N115=Lists!$K$3,IF($L115&lt;1,(($U115/$L115)*((1+Inputs!$D$7)^AW$2)),((INT(AW$2/$L115)-INT((AW$2-1)/$L115))*$U115*((1+Inputs!$D$7)^AW$2))),(_xlfn.WEIBULL.DIST(AW$2,$M115,$L115,FALSE)*$U115*((1+Inputs!$D$7)^AW$2))),IF($N115=Lists!$K$3,IF($L115&lt;1,((($T115*(1-$F115)+$S115*(1-$G115))/$L115)*((1+Inputs!$D$7)^AW$2)),((INT(AW$2/$L115)-INT((AW$2-1)/$L115))*($T115*(1-$F115)+$S115*(1-$G115))*((1+Inputs!$D$7)^AW$2))),((_xlfn.WEIBULL.DIST(AW$2,$M115,$L115,FALSE)*($T115*(1-$F115)+$S115*(1-$G115))*((1+Inputs!$D$7)^AW$2))))))</f>
        <v>0</v>
      </c>
      <c r="AX115" s="88">
        <f>$E115*IF(AX$2&gt;Inputs!$D$5,0,IF(AX$2&gt;VLOOKUP($H115,Lists!$P$3:$Q$7,2),IF($N115=Lists!$K$3,IF($L115&lt;1,(($U115/$L115)*((1+Inputs!$D$7)^AX$2)),((INT(AX$2/$L115)-INT((AX$2-1)/$L115))*$U115*((1+Inputs!$D$7)^AX$2))),(_xlfn.WEIBULL.DIST(AX$2,$M115,$L115,FALSE)*$U115*((1+Inputs!$D$7)^AX$2))),IF($N115=Lists!$K$3,IF($L115&lt;1,((($T115*(1-$F115)+$S115*(1-$G115))/$L115)*((1+Inputs!$D$7)^AX$2)),((INT(AX$2/$L115)-INT((AX$2-1)/$L115))*($T115*(1-$F115)+$S115*(1-$G115))*((1+Inputs!$D$7)^AX$2))),((_xlfn.WEIBULL.DIST(AX$2,$M115,$L115,FALSE)*($T115*(1-$F115)+$S115*(1-$G115))*((1+Inputs!$D$7)^AX$2))))))</f>
        <v>0</v>
      </c>
      <c r="AY115" s="88">
        <f>$E115*IF(AY$2&gt;Inputs!$D$5,0,IF(AY$2&gt;VLOOKUP($H115,Lists!$P$3:$Q$7,2),IF($N115=Lists!$K$3,IF($L115&lt;1,(($U115/$L115)*((1+Inputs!$D$7)^AY$2)),((INT(AY$2/$L115)-INT((AY$2-1)/$L115))*$U115*((1+Inputs!$D$7)^AY$2))),(_xlfn.WEIBULL.DIST(AY$2,$M115,$L115,FALSE)*$U115*((1+Inputs!$D$7)^AY$2))),IF($N115=Lists!$K$3,IF($L115&lt;1,((($T115*(1-$F115)+$S115*(1-$G115))/$L115)*((1+Inputs!$D$7)^AY$2)),((INT(AY$2/$L115)-INT((AY$2-1)/$L115))*($T115*(1-$F115)+$S115*(1-$G115))*((1+Inputs!$D$7)^AY$2))),((_xlfn.WEIBULL.DIST(AY$2,$M115,$L115,FALSE)*($T115*(1-$F115)+$S115*(1-$G115))*((1+Inputs!$D$7)^AY$2))))))</f>
        <v>0</v>
      </c>
      <c r="AZ115" s="88">
        <f>$E115*IF(AZ$2&gt;Inputs!$D$5,0,IF(AZ$2&gt;VLOOKUP($H115,Lists!$P$3:$Q$7,2),IF($N115=Lists!$K$3,IF($L115&lt;1,(($U115/$L115)*((1+Inputs!$D$7)^AZ$2)),((INT(AZ$2/$L115)-INT((AZ$2-1)/$L115))*$U115*((1+Inputs!$D$7)^AZ$2))),(_xlfn.WEIBULL.DIST(AZ$2,$M115,$L115,FALSE)*$U115*((1+Inputs!$D$7)^AZ$2))),IF($N115=Lists!$K$3,IF($L115&lt;1,((($T115*(1-$F115)+$S115*(1-$G115))/$L115)*((1+Inputs!$D$7)^AZ$2)),((INT(AZ$2/$L115)-INT((AZ$2-1)/$L115))*($T115*(1-$F115)+$S115*(1-$G115))*((1+Inputs!$D$7)^AZ$2))),((_xlfn.WEIBULL.DIST(AZ$2,$M115,$L115,FALSE)*($T115*(1-$F115)+$S115*(1-$G115))*((1+Inputs!$D$7)^AZ$2))))))</f>
        <v>0</v>
      </c>
      <c r="BA115" s="88">
        <f>$E115*IF(BA$2&gt;Inputs!$D$5,0,IF(BA$2&gt;VLOOKUP($H115,Lists!$P$3:$Q$7,2),IF($N115=Lists!$K$3,IF($L115&lt;1,(($U115/$L115)*((1+Inputs!$D$7)^BA$2)),((INT(BA$2/$L115)-INT((BA$2-1)/$L115))*$U115*((1+Inputs!$D$7)^BA$2))),(_xlfn.WEIBULL.DIST(BA$2,$M115,$L115,FALSE)*$U115*((1+Inputs!$D$7)^BA$2))),IF($N115=Lists!$K$3,IF($L115&lt;1,((($T115*(1-$F115)+$S115*(1-$G115))/$L115)*((1+Inputs!$D$7)^BA$2)),((INT(BA$2/$L115)-INT((BA$2-1)/$L115))*($T115*(1-$F115)+$S115*(1-$G115))*((1+Inputs!$D$7)^BA$2))),((_xlfn.WEIBULL.DIST(BA$2,$M115,$L115,FALSE)*($T115*(1-$F115)+$S115*(1-$G115))*((1+Inputs!$D$7)^BA$2))))))</f>
        <v>0</v>
      </c>
      <c r="BB115" s="88">
        <f>$E115*IF(BB$2&gt;Inputs!$D$5,0,IF(BB$2&gt;VLOOKUP($H115,Lists!$P$3:$Q$7,2),IF($N115=Lists!$K$3,IF($L115&lt;1,(($U115/$L115)*((1+Inputs!$D$7)^BB$2)),((INT(BB$2/$L115)-INT((BB$2-1)/$L115))*$U115*((1+Inputs!$D$7)^BB$2))),(_xlfn.WEIBULL.DIST(BB$2,$M115,$L115,FALSE)*$U115*((1+Inputs!$D$7)^BB$2))),IF($N115=Lists!$K$3,IF($L115&lt;1,((($T115*(1-$F115)+$S115*(1-$G115))/$L115)*((1+Inputs!$D$7)^BB$2)),((INT(BB$2/$L115)-INT((BB$2-1)/$L115))*($T115*(1-$F115)+$S115*(1-$G115))*((1+Inputs!$D$7)^BB$2))),((_xlfn.WEIBULL.DIST(BB$2,$M115,$L115,FALSE)*($T115*(1-$F115)+$S115*(1-$G115))*((1+Inputs!$D$7)^BB$2))))))</f>
        <v>0</v>
      </c>
      <c r="BC115" s="88">
        <f>$E115*IF(BC$2&gt;Inputs!$D$5,0,IF(BC$2&gt;VLOOKUP($H115,Lists!$P$3:$Q$7,2),IF($N115=Lists!$K$3,IF($L115&lt;1,(($U115/$L115)*((1+Inputs!$D$7)^BC$2)),((INT(BC$2/$L115)-INT((BC$2-1)/$L115))*$U115*((1+Inputs!$D$7)^BC$2))),(_xlfn.WEIBULL.DIST(BC$2,$M115,$L115,FALSE)*$U115*((1+Inputs!$D$7)^BC$2))),IF($N115=Lists!$K$3,IF($L115&lt;1,((($T115*(1-$F115)+$S115*(1-$G115))/$L115)*((1+Inputs!$D$7)^BC$2)),((INT(BC$2/$L115)-INT((BC$2-1)/$L115))*($T115*(1-$F115)+$S115*(1-$G115))*((1+Inputs!$D$7)^BC$2))),((_xlfn.WEIBULL.DIST(BC$2,$M115,$L115,FALSE)*($T115*(1-$F115)+$S115*(1-$G115))*((1+Inputs!$D$7)^BC$2))))))</f>
        <v>0</v>
      </c>
      <c r="BD115" s="88">
        <f>$E115*IF(BD$2&gt;Inputs!$D$5,0,IF(BD$2&gt;VLOOKUP($H115,Lists!$P$3:$Q$7,2),IF($N115=Lists!$K$3,IF($L115&lt;1,(($U115/$L115)*((1+Inputs!$D$7)^BD$2)),((INT(BD$2/$L115)-INT((BD$2-1)/$L115))*$U115*((1+Inputs!$D$7)^BD$2))),(_xlfn.WEIBULL.DIST(BD$2,$M115,$L115,FALSE)*$U115*((1+Inputs!$D$7)^BD$2))),IF($N115=Lists!$K$3,IF($L115&lt;1,((($T115*(1-$F115)+$S115*(1-$G115))/$L115)*((1+Inputs!$D$7)^BD$2)),((INT(BD$2/$L115)-INT((BD$2-1)/$L115))*($T115*(1-$F115)+$S115*(1-$G115))*((1+Inputs!$D$7)^BD$2))),((_xlfn.WEIBULL.DIST(BD$2,$M115,$L115,FALSE)*($T115*(1-$F115)+$S115*(1-$G115))*((1+Inputs!$D$7)^BD$2))))))</f>
        <v>0</v>
      </c>
      <c r="BE115" s="88">
        <f>$E115*IF(BE$2&gt;Inputs!$D$5,0,IF(BE$2&gt;VLOOKUP($H115,Lists!$P$3:$Q$7,2),IF($N115=Lists!$K$3,IF($L115&lt;1,(($U115/$L115)*((1+Inputs!$D$7)^BE$2)),((INT(BE$2/$L115)-INT((BE$2-1)/$L115))*$U115*((1+Inputs!$D$7)^BE$2))),(_xlfn.WEIBULL.DIST(BE$2,$M115,$L115,FALSE)*$U115*((1+Inputs!$D$7)^BE$2))),IF($N115=Lists!$K$3,IF($L115&lt;1,((($T115*(1-$F115)+$S115*(1-$G115))/$L115)*((1+Inputs!$D$7)^BE$2)),((INT(BE$2/$L115)-INT((BE$2-1)/$L115))*($T115*(1-$F115)+$S115*(1-$G115))*((1+Inputs!$D$7)^BE$2))),((_xlfn.WEIBULL.DIST(BE$2,$M115,$L115,FALSE)*($T115*(1-$F115)+$S115*(1-$G115))*((1+Inputs!$D$7)^BE$2))))))</f>
        <v>0</v>
      </c>
      <c r="BF115" s="88">
        <f>$E115*IF(BF$2&gt;Inputs!$D$5,0,IF(BF$2&gt;VLOOKUP($H115,Lists!$P$3:$Q$7,2),IF($N115=Lists!$K$3,IF($L115&lt;1,(($U115/$L115)*((1+Inputs!$D$7)^BF$2)),((INT(BF$2/$L115)-INT((BF$2-1)/$L115))*$U115*((1+Inputs!$D$7)^BF$2))),(_xlfn.WEIBULL.DIST(BF$2,$M115,$L115,FALSE)*$U115*((1+Inputs!$D$7)^BF$2))),IF($N115=Lists!$K$3,IF($L115&lt;1,((($T115*(1-$F115)+$S115*(1-$G115))/$L115)*((1+Inputs!$D$7)^BF$2)),((INT(BF$2/$L115)-INT((BF$2-1)/$L115))*($T115*(1-$F115)+$S115*(1-$G115))*((1+Inputs!$D$7)^BF$2))),((_xlfn.WEIBULL.DIST(BF$2,$M115,$L115,FALSE)*($T115*(1-$F115)+$S115*(1-$G115))*((1+Inputs!$D$7)^BF$2))))))</f>
        <v>0</v>
      </c>
      <c r="BG115" s="88">
        <f>$E115*IF(BG$2&gt;Inputs!$D$5,0,IF(BG$2&gt;VLOOKUP($H115,Lists!$P$3:$Q$7,2),IF($N115=Lists!$K$3,IF($L115&lt;1,(($U115/$L115)*((1+Inputs!$D$7)^BG$2)),((INT(BG$2/$L115)-INT((BG$2-1)/$L115))*$U115*((1+Inputs!$D$7)^BG$2))),(_xlfn.WEIBULL.DIST(BG$2,$M115,$L115,FALSE)*$U115*((1+Inputs!$D$7)^BG$2))),IF($N115=Lists!$K$3,IF($L115&lt;1,((($T115*(1-$F115)+$S115*(1-$G115))/$L115)*((1+Inputs!$D$7)^BG$2)),((INT(BG$2/$L115)-INT((BG$2-1)/$L115))*($T115*(1-$F115)+$S115*(1-$G115))*((1+Inputs!$D$7)^BG$2))),((_xlfn.WEIBULL.DIST(BG$2,$M115,$L115,FALSE)*($T115*(1-$F115)+$S115*(1-$G115))*((1+Inputs!$D$7)^BG$2))))))</f>
        <v>0</v>
      </c>
      <c r="BH115" s="88">
        <f>$E115*IF(BH$2&gt;Inputs!$D$5,0,IF(BH$2&gt;VLOOKUP($H115,Lists!$P$3:$Q$7,2),IF($N115=Lists!$K$3,IF($L115&lt;1,(($U115/$L115)*((1+Inputs!$D$7)^BH$2)),((INT(BH$2/$L115)-INT((BH$2-1)/$L115))*$U115*((1+Inputs!$D$7)^BH$2))),(_xlfn.WEIBULL.DIST(BH$2,$M115,$L115,FALSE)*$U115*((1+Inputs!$D$7)^BH$2))),IF($N115=Lists!$K$3,IF($L115&lt;1,((($T115*(1-$F115)+$S115*(1-$G115))/$L115)*((1+Inputs!$D$7)^BH$2)),((INT(BH$2/$L115)-INT((BH$2-1)/$L115))*($T115*(1-$F115)+$S115*(1-$G115))*((1+Inputs!$D$7)^BH$2))),((_xlfn.WEIBULL.DIST(BH$2,$M115,$L115,FALSE)*($T115*(1-$F115)+$S115*(1-$G115))*((1+Inputs!$D$7)^BH$2))))))</f>
        <v>0</v>
      </c>
      <c r="BI115" s="88">
        <f>$E115*IF(BI$2&gt;Inputs!$D$5,0,IF(BI$2&gt;VLOOKUP($H115,Lists!$P$3:$Q$7,2),IF($N115=Lists!$K$3,IF($L115&lt;1,(($U115/$L115)*((1+Inputs!$D$7)^BI$2)),((INT(BI$2/$L115)-INT((BI$2-1)/$L115))*$U115*((1+Inputs!$D$7)^BI$2))),(_xlfn.WEIBULL.DIST(BI$2,$M115,$L115,FALSE)*$U115*((1+Inputs!$D$7)^BI$2))),IF($N115=Lists!$K$3,IF($L115&lt;1,((($T115*(1-$F115)+$S115*(1-$G115))/$L115)*((1+Inputs!$D$7)^BI$2)),((INT(BI$2/$L115)-INT((BI$2-1)/$L115))*($T115*(1-$F115)+$S115*(1-$G115))*((1+Inputs!$D$7)^BI$2))),((_xlfn.WEIBULL.DIST(BI$2,$M115,$L115,FALSE)*($T115*(1-$F115)+$S115*(1-$G115))*((1+Inputs!$D$7)^BI$2))))))</f>
        <v>0</v>
      </c>
      <c r="BJ115" s="88">
        <f>$E115*IF(BJ$2&gt;Inputs!$D$5,0,IF(BJ$2&gt;VLOOKUP($H115,Lists!$P$3:$Q$7,2),IF($N115=Lists!$K$3,IF($L115&lt;1,(($U115/$L115)*((1+Inputs!$D$7)^BJ$2)),((INT(BJ$2/$L115)-INT((BJ$2-1)/$L115))*$U115*((1+Inputs!$D$7)^BJ$2))),(_xlfn.WEIBULL.DIST(BJ$2,$M115,$L115,FALSE)*$U115*((1+Inputs!$D$7)^BJ$2))),IF($N115=Lists!$K$3,IF($L115&lt;1,((($T115*(1-$F115)+$S115*(1-$G115))/$L115)*((1+Inputs!$D$7)^BJ$2)),((INT(BJ$2/$L115)-INT((BJ$2-1)/$L115))*($T115*(1-$F115)+$S115*(1-$G115))*((1+Inputs!$D$7)^BJ$2))),((_xlfn.WEIBULL.DIST(BJ$2,$M115,$L115,FALSE)*($T115*(1-$F115)+$S115*(1-$G115))*((1+Inputs!$D$7)^BJ$2))))))</f>
        <v>0</v>
      </c>
      <c r="BK115" s="88">
        <f>$E115*IF(BK$2&gt;Inputs!$D$5,0,IF(BK$2&gt;VLOOKUP($H115,Lists!$P$3:$Q$7,2),IF($N115=Lists!$K$3,IF($L115&lt;1,(($U115/$L115)*((1+Inputs!$D$7)^BK$2)),((INT(BK$2/$L115)-INT((BK$2-1)/$L115))*$U115*((1+Inputs!$D$7)^BK$2))),(_xlfn.WEIBULL.DIST(BK$2,$M115,$L115,FALSE)*$U115*((1+Inputs!$D$7)^BK$2))),IF($N115=Lists!$K$3,IF($L115&lt;1,((($T115*(1-$F115)+$S115*(1-$G115))/$L115)*((1+Inputs!$D$7)^BK$2)),((INT(BK$2/$L115)-INT((BK$2-1)/$L115))*($T115*(1-$F115)+$S115*(1-$G115))*((1+Inputs!$D$7)^BK$2))),((_xlfn.WEIBULL.DIST(BK$2,$M115,$L115,FALSE)*($T115*(1-$F115)+$S115*(1-$G115))*((1+Inputs!$D$7)^BK$2))))))</f>
        <v>0</v>
      </c>
      <c r="BL115" s="88">
        <f>$E115*IF(BL$2&gt;Inputs!$D$5,0,IF(BL$2&gt;VLOOKUP($H115,Lists!$P$3:$Q$7,2),IF($N115=Lists!$K$3,IF($L115&lt;1,(($U115/$L115)*((1+Inputs!$D$7)^BL$2)),((INT(BL$2/$L115)-INT((BL$2-1)/$L115))*$U115*((1+Inputs!$D$7)^BL$2))),(_xlfn.WEIBULL.DIST(BL$2,$M115,$L115,FALSE)*$U115*((1+Inputs!$D$7)^BL$2))),IF($N115=Lists!$K$3,IF($L115&lt;1,((($T115*(1-$F115)+$S115*(1-$G115))/$L115)*((1+Inputs!$D$7)^BL$2)),((INT(BL$2/$L115)-INT((BL$2-1)/$L115))*($T115*(1-$F115)+$S115*(1-$G115))*((1+Inputs!$D$7)^BL$2))),((_xlfn.WEIBULL.DIST(BL$2,$M115,$L115,FALSE)*($T115*(1-$F115)+$S115*(1-$G115))*((1+Inputs!$D$7)^BL$2))))))</f>
        <v>0</v>
      </c>
      <c r="BM115" s="88">
        <f>$E115*IF(BM$2&gt;Inputs!$D$5,0,IF(BM$2&gt;VLOOKUP($H115,Lists!$P$3:$Q$7,2),IF($N115=Lists!$K$3,IF($L115&lt;1,(($U115/$L115)*((1+Inputs!$D$7)^BM$2)),((INT(BM$2/$L115)-INT((BM$2-1)/$L115))*$U115*((1+Inputs!$D$7)^BM$2))),(_xlfn.WEIBULL.DIST(BM$2,$M115,$L115,FALSE)*$U115*((1+Inputs!$D$7)^BM$2))),IF($N115=Lists!$K$3,IF($L115&lt;1,((($T115*(1-$F115)+$S115*(1-$G115))/$L115)*((1+Inputs!$D$7)^BM$2)),((INT(BM$2/$L115)-INT((BM$2-1)/$L115))*($T115*(1-$F115)+$S115*(1-$G115))*((1+Inputs!$D$7)^BM$2))),((_xlfn.WEIBULL.DIST(BM$2,$M115,$L115,FALSE)*($T115*(1-$F115)+$S115*(1-$G115))*((1+Inputs!$D$7)^BM$2))))))</f>
        <v>0</v>
      </c>
      <c r="BN115" s="88">
        <f>$E115*IF(BN$2&gt;Inputs!$D$5,0,IF(BN$2&gt;VLOOKUP($H115,Lists!$P$3:$Q$7,2),IF($N115=Lists!$K$3,IF($L115&lt;1,(($U115/$L115)*((1+Inputs!$D$7)^BN$2)),((INT(BN$2/$L115)-INT((BN$2-1)/$L115))*$U115*((1+Inputs!$D$7)^BN$2))),(_xlfn.WEIBULL.DIST(BN$2,$M115,$L115,FALSE)*$U115*((1+Inputs!$D$7)^BN$2))),IF($N115=Lists!$K$3,IF($L115&lt;1,((($T115*(1-$F115)+$S115*(1-$G115))/$L115)*((1+Inputs!$D$7)^BN$2)),((INT(BN$2/$L115)-INT((BN$2-1)/$L115))*($T115*(1-$F115)+$S115*(1-$G115))*((1+Inputs!$D$7)^BN$2))),((_xlfn.WEIBULL.DIST(BN$2,$M115,$L115,FALSE)*($T115*(1-$F115)+$S115*(1-$G115))*((1+Inputs!$D$7)^BN$2))))))</f>
        <v>0</v>
      </c>
      <c r="BO115" s="64">
        <f>NPV(Inputs!$D$6,BQ115:DD115)</f>
        <v>0</v>
      </c>
      <c r="BP115" s="67">
        <f t="shared" si="27"/>
        <v>0</v>
      </c>
      <c r="BQ115" s="88">
        <f>MAX(AA115,($E115*IF(BQ$2&gt;Inputs!$D$5,0,IF(BQ$2&gt;VLOOKUP($H115,Lists!$P$3:$Q$7,2),IF($N115=Lists!$K$3,IF($L115&lt;1,(($U115/$L115)*((1+Inputs!$D$7)^BQ$2)),((INT(BQ$2/$L115)-INT((BQ$2-1)/$L115))*$U115*((1+Inputs!$D$7)^BQ$2))),(Inputs!$D$8^((1-_xlfn.WEIBULL.DIST(BQ$2,$M115,$L115,FALSE))/_xlfn.WEIBULL.DIST(BQ$2,$M115,$L115,FALSE))*$U115*((1+Inputs!$D$7)^BQ$2))),IF($N115=Lists!$K$3,IF($L115&lt;1,((($T115*(1-$F115)+$S115*(1-$G115))/$L115)*((1+Inputs!$D$7)^BQ$2)),((INT(BQ$2/$L115)-INT((BQ$2-1)/$L115))*($T115*(1-$F115)+$S115*(1-$G115))*((1+Inputs!$D$7)^BQ$2))),((Inputs!$D$8^((1-_xlfn.WEIBULL.DIST(BQ$2,$M115,$L115,FALSE))/_xlfn.WEIBULL.DIST(BQ$2,$M115,$L115,FALSE))*($T115*(1-$F115)+$S115*(1-$G115))*((1+Inputs!$D$7)^BQ$2))))))))</f>
        <v>0</v>
      </c>
      <c r="BR115" s="88">
        <f>MAX(AB115,($E115*IF(BR$2&gt;Inputs!$D$5,0,IF(BR$2&gt;VLOOKUP($H115,Lists!$P$3:$Q$7,2),IF($N115=Lists!$K$3,IF($L115&lt;1,(($U115/$L115)*((1+Inputs!$D$7)^BR$2)),((INT(BR$2/$L115)-INT((BR$2-1)/$L115))*$U115*((1+Inputs!$D$7)^BR$2))),(Inputs!$D$8^((1-_xlfn.WEIBULL.DIST(BR$2,$M115,$L115,FALSE))/_xlfn.WEIBULL.DIST(BR$2,$M115,$L115,FALSE))*$U115*((1+Inputs!$D$7)^BR$2))),IF($N115=Lists!$K$3,IF($L115&lt;1,((($T115*(1-$F115)+$S115*(1-$G115))/$L115)*((1+Inputs!$D$7)^BR$2)),((INT(BR$2/$L115)-INT((BR$2-1)/$L115))*($T115*(1-$F115)+$S115*(1-$G115))*((1+Inputs!$D$7)^BR$2))),((Inputs!$D$8^((1-_xlfn.WEIBULL.DIST(BR$2,$M115,$L115,FALSE))/_xlfn.WEIBULL.DIST(BR$2,$M115,$L115,FALSE))*($T115*(1-$F115)+$S115*(1-$G115))*((1+Inputs!$D$7)^BR$2))))))))</f>
        <v>0</v>
      </c>
      <c r="BS115" s="88">
        <f>MAX(AC115,($E115*IF(BS$2&gt;Inputs!$D$5,0,IF(BS$2&gt;VLOOKUP($H115,Lists!$P$3:$Q$7,2),IF($N115=Lists!$K$3,IF($L115&lt;1,(($U115/$L115)*((1+Inputs!$D$7)^BS$2)),((INT(BS$2/$L115)-INT((BS$2-1)/$L115))*$U115*((1+Inputs!$D$7)^BS$2))),(Inputs!$D$8^((1-_xlfn.WEIBULL.DIST(BS$2,$M115,$L115,FALSE))/_xlfn.WEIBULL.DIST(BS$2,$M115,$L115,FALSE))*$U115*((1+Inputs!$D$7)^BS$2))),IF($N115=Lists!$K$3,IF($L115&lt;1,((($T115*(1-$F115)+$S115*(1-$G115))/$L115)*((1+Inputs!$D$7)^BS$2)),((INT(BS$2/$L115)-INT((BS$2-1)/$L115))*($T115*(1-$F115)+$S115*(1-$G115))*((1+Inputs!$D$7)^BS$2))),((Inputs!$D$8^((1-_xlfn.WEIBULL.DIST(BS$2,$M115,$L115,FALSE))/_xlfn.WEIBULL.DIST(BS$2,$M115,$L115,FALSE))*($T115*(1-$F115)+$S115*(1-$G115))*((1+Inputs!$D$7)^BS$2))))))))</f>
        <v>0</v>
      </c>
      <c r="BT115" s="88">
        <f>MAX(AD115,($E115*IF(BT$2&gt;Inputs!$D$5,0,IF(BT$2&gt;VLOOKUP($H115,Lists!$P$3:$Q$7,2),IF($N115=Lists!$K$3,IF($L115&lt;1,(($U115/$L115)*((1+Inputs!$D$7)^BT$2)),((INT(BT$2/$L115)-INT((BT$2-1)/$L115))*$U115*((1+Inputs!$D$7)^BT$2))),(Inputs!$D$8^((1-_xlfn.WEIBULL.DIST(BT$2,$M115,$L115,FALSE))/_xlfn.WEIBULL.DIST(BT$2,$M115,$L115,FALSE))*$U115*((1+Inputs!$D$7)^BT$2))),IF($N115=Lists!$K$3,IF($L115&lt;1,((($T115*(1-$F115)+$S115*(1-$G115))/$L115)*((1+Inputs!$D$7)^BT$2)),((INT(BT$2/$L115)-INT((BT$2-1)/$L115))*($T115*(1-$F115)+$S115*(1-$G115))*((1+Inputs!$D$7)^BT$2))),((Inputs!$D$8^((1-_xlfn.WEIBULL.DIST(BT$2,$M115,$L115,FALSE))/_xlfn.WEIBULL.DIST(BT$2,$M115,$L115,FALSE))*($T115*(1-$F115)+$S115*(1-$G115))*((1+Inputs!$D$7)^BT$2))))))))</f>
        <v>0</v>
      </c>
      <c r="BU115" s="88">
        <f>MAX(AE115,($E115*IF(BU$2&gt;Inputs!$D$5,0,IF(BU$2&gt;VLOOKUP($H115,Lists!$P$3:$Q$7,2),IF($N115=Lists!$K$3,IF($L115&lt;1,(($U115/$L115)*((1+Inputs!$D$7)^BU$2)),((INT(BU$2/$L115)-INT((BU$2-1)/$L115))*$U115*((1+Inputs!$D$7)^BU$2))),(Inputs!$D$8^((1-_xlfn.WEIBULL.DIST(BU$2,$M115,$L115,FALSE))/_xlfn.WEIBULL.DIST(BU$2,$M115,$L115,FALSE))*$U115*((1+Inputs!$D$7)^BU$2))),IF($N115=Lists!$K$3,IF($L115&lt;1,((($T115*(1-$F115)+$S115*(1-$G115))/$L115)*((1+Inputs!$D$7)^BU$2)),((INT(BU$2/$L115)-INT((BU$2-1)/$L115))*($T115*(1-$F115)+$S115*(1-$G115))*((1+Inputs!$D$7)^BU$2))),((Inputs!$D$8^((1-_xlfn.WEIBULL.DIST(BU$2,$M115,$L115,FALSE))/_xlfn.WEIBULL.DIST(BU$2,$M115,$L115,FALSE))*($T115*(1-$F115)+$S115*(1-$G115))*((1+Inputs!$D$7)^BU$2))))))))</f>
        <v>0</v>
      </c>
      <c r="BV115" s="88">
        <f>MAX(AF115,($E115*IF(BV$2&gt;Inputs!$D$5,0,IF(BV$2&gt;VLOOKUP($H115,Lists!$P$3:$Q$7,2),IF($N115=Lists!$K$3,IF($L115&lt;1,(($U115/$L115)*((1+Inputs!$D$7)^BV$2)),((INT(BV$2/$L115)-INT((BV$2-1)/$L115))*$U115*((1+Inputs!$D$7)^BV$2))),(Inputs!$D$8^((1-_xlfn.WEIBULL.DIST(BV$2,$M115,$L115,FALSE))/_xlfn.WEIBULL.DIST(BV$2,$M115,$L115,FALSE))*$U115*((1+Inputs!$D$7)^BV$2))),IF($N115=Lists!$K$3,IF($L115&lt;1,((($T115*(1-$F115)+$S115*(1-$G115))/$L115)*((1+Inputs!$D$7)^BV$2)),((INT(BV$2/$L115)-INT((BV$2-1)/$L115))*($T115*(1-$F115)+$S115*(1-$G115))*((1+Inputs!$D$7)^BV$2))),((Inputs!$D$8^((1-_xlfn.WEIBULL.DIST(BV$2,$M115,$L115,FALSE))/_xlfn.WEIBULL.DIST(BV$2,$M115,$L115,FALSE))*($T115*(1-$F115)+$S115*(1-$G115))*((1+Inputs!$D$7)^BV$2))))))))</f>
        <v>0</v>
      </c>
      <c r="BW115" s="88">
        <f>MAX(AG115,($E115*IF(BW$2&gt;Inputs!$D$5,0,IF(BW$2&gt;VLOOKUP($H115,Lists!$P$3:$Q$7,2),IF($N115=Lists!$K$3,IF($L115&lt;1,(($U115/$L115)*((1+Inputs!$D$7)^BW$2)),((INT(BW$2/$L115)-INT((BW$2-1)/$L115))*$U115*((1+Inputs!$D$7)^BW$2))),(Inputs!$D$8^((1-_xlfn.WEIBULL.DIST(BW$2,$M115,$L115,FALSE))/_xlfn.WEIBULL.DIST(BW$2,$M115,$L115,FALSE))*$U115*((1+Inputs!$D$7)^BW$2))),IF($N115=Lists!$K$3,IF($L115&lt;1,((($T115*(1-$F115)+$S115*(1-$G115))/$L115)*((1+Inputs!$D$7)^BW$2)),((INT(BW$2/$L115)-INT((BW$2-1)/$L115))*($T115*(1-$F115)+$S115*(1-$G115))*((1+Inputs!$D$7)^BW$2))),((Inputs!$D$8^((1-_xlfn.WEIBULL.DIST(BW$2,$M115,$L115,FALSE))/_xlfn.WEIBULL.DIST(BW$2,$M115,$L115,FALSE))*($T115*(1-$F115)+$S115*(1-$G115))*((1+Inputs!$D$7)^BW$2))))))))</f>
        <v>0</v>
      </c>
      <c r="BX115" s="88">
        <f>MAX(AH115,($E115*IF(BX$2&gt;Inputs!$D$5,0,IF(BX$2&gt;VLOOKUP($H115,Lists!$P$3:$Q$7,2),IF($N115=Lists!$K$3,IF($L115&lt;1,(($U115/$L115)*((1+Inputs!$D$7)^BX$2)),((INT(BX$2/$L115)-INT((BX$2-1)/$L115))*$U115*((1+Inputs!$D$7)^BX$2))),(Inputs!$D$8^((1-_xlfn.WEIBULL.DIST(BX$2,$M115,$L115,FALSE))/_xlfn.WEIBULL.DIST(BX$2,$M115,$L115,FALSE))*$U115*((1+Inputs!$D$7)^BX$2))),IF($N115=Lists!$K$3,IF($L115&lt;1,((($T115*(1-$F115)+$S115*(1-$G115))/$L115)*((1+Inputs!$D$7)^BX$2)),((INT(BX$2/$L115)-INT((BX$2-1)/$L115))*($T115*(1-$F115)+$S115*(1-$G115))*((1+Inputs!$D$7)^BX$2))),((Inputs!$D$8^((1-_xlfn.WEIBULL.DIST(BX$2,$M115,$L115,FALSE))/_xlfn.WEIBULL.DIST(BX$2,$M115,$L115,FALSE))*($T115*(1-$F115)+$S115*(1-$G115))*((1+Inputs!$D$7)^BX$2))))))))</f>
        <v>0</v>
      </c>
      <c r="BY115" s="88">
        <f>MAX(AI115,($E115*IF(BY$2&gt;Inputs!$D$5,0,IF(BY$2&gt;VLOOKUP($H115,Lists!$P$3:$Q$7,2),IF($N115=Lists!$K$3,IF($L115&lt;1,(($U115/$L115)*((1+Inputs!$D$7)^BY$2)),((INT(BY$2/$L115)-INT((BY$2-1)/$L115))*$U115*((1+Inputs!$D$7)^BY$2))),(Inputs!$D$8^((1-_xlfn.WEIBULL.DIST(BY$2,$M115,$L115,FALSE))/_xlfn.WEIBULL.DIST(BY$2,$M115,$L115,FALSE))*$U115*((1+Inputs!$D$7)^BY$2))),IF($N115=Lists!$K$3,IF($L115&lt;1,((($T115*(1-$F115)+$S115*(1-$G115))/$L115)*((1+Inputs!$D$7)^BY$2)),((INT(BY$2/$L115)-INT((BY$2-1)/$L115))*($T115*(1-$F115)+$S115*(1-$G115))*((1+Inputs!$D$7)^BY$2))),((Inputs!$D$8^((1-_xlfn.WEIBULL.DIST(BY$2,$M115,$L115,FALSE))/_xlfn.WEIBULL.DIST(BY$2,$M115,$L115,FALSE))*($T115*(1-$F115)+$S115*(1-$G115))*((1+Inputs!$D$7)^BY$2))))))))</f>
        <v>0</v>
      </c>
      <c r="BZ115" s="88">
        <f>MAX(AJ115,($E115*IF(BZ$2&gt;Inputs!$D$5,0,IF(BZ$2&gt;VLOOKUP($H115,Lists!$P$3:$Q$7,2),IF($N115=Lists!$K$3,IF($L115&lt;1,(($U115/$L115)*((1+Inputs!$D$7)^BZ$2)),((INT(BZ$2/$L115)-INT((BZ$2-1)/$L115))*$U115*((1+Inputs!$D$7)^BZ$2))),(Inputs!$D$8^((1-_xlfn.WEIBULL.DIST(BZ$2,$M115,$L115,FALSE))/_xlfn.WEIBULL.DIST(BZ$2,$M115,$L115,FALSE))*$U115*((1+Inputs!$D$7)^BZ$2))),IF($N115=Lists!$K$3,IF($L115&lt;1,((($T115*(1-$F115)+$S115*(1-$G115))/$L115)*((1+Inputs!$D$7)^BZ$2)),((INT(BZ$2/$L115)-INT((BZ$2-1)/$L115))*($T115*(1-$F115)+$S115*(1-$G115))*((1+Inputs!$D$7)^BZ$2))),((Inputs!$D$8^((1-_xlfn.WEIBULL.DIST(BZ$2,$M115,$L115,FALSE))/_xlfn.WEIBULL.DIST(BZ$2,$M115,$L115,FALSE))*($T115*(1-$F115)+$S115*(1-$G115))*((1+Inputs!$D$7)^BZ$2))))))))</f>
        <v>0</v>
      </c>
      <c r="CA115" s="88">
        <f>MAX(AK115,($E115*IF(CA$2&gt;Inputs!$D$5,0,IF(CA$2&gt;VLOOKUP($H115,Lists!$P$3:$Q$7,2),IF($N115=Lists!$K$3,IF($L115&lt;1,(($U115/$L115)*((1+Inputs!$D$7)^CA$2)),((INT(CA$2/$L115)-INT((CA$2-1)/$L115))*$U115*((1+Inputs!$D$7)^CA$2))),(Inputs!$D$8^((1-_xlfn.WEIBULL.DIST(CA$2,$M115,$L115,FALSE))/_xlfn.WEIBULL.DIST(CA$2,$M115,$L115,FALSE))*$U115*((1+Inputs!$D$7)^CA$2))),IF($N115=Lists!$K$3,IF($L115&lt;1,((($T115*(1-$F115)+$S115*(1-$G115))/$L115)*((1+Inputs!$D$7)^CA$2)),((INT(CA$2/$L115)-INT((CA$2-1)/$L115))*($T115*(1-$F115)+$S115*(1-$G115))*((1+Inputs!$D$7)^CA$2))),((Inputs!$D$8^((1-_xlfn.WEIBULL.DIST(CA$2,$M115,$L115,FALSE))/_xlfn.WEIBULL.DIST(CA$2,$M115,$L115,FALSE))*($T115*(1-$F115)+$S115*(1-$G115))*((1+Inputs!$D$7)^CA$2))))))))</f>
        <v>0</v>
      </c>
      <c r="CB115" s="88">
        <f>MAX(AL115,($E115*IF(CB$2&gt;Inputs!$D$5,0,IF(CB$2&gt;VLOOKUP($H115,Lists!$P$3:$Q$7,2),IF($N115=Lists!$K$3,IF($L115&lt;1,(($U115/$L115)*((1+Inputs!$D$7)^CB$2)),((INT(CB$2/$L115)-INT((CB$2-1)/$L115))*$U115*((1+Inputs!$D$7)^CB$2))),(Inputs!$D$8^((1-_xlfn.WEIBULL.DIST(CB$2,$M115,$L115,FALSE))/_xlfn.WEIBULL.DIST(CB$2,$M115,$L115,FALSE))*$U115*((1+Inputs!$D$7)^CB$2))),IF($N115=Lists!$K$3,IF($L115&lt;1,((($T115*(1-$F115)+$S115*(1-$G115))/$L115)*((1+Inputs!$D$7)^CB$2)),((INT(CB$2/$L115)-INT((CB$2-1)/$L115))*($T115*(1-$F115)+$S115*(1-$G115))*((1+Inputs!$D$7)^CB$2))),((Inputs!$D$8^((1-_xlfn.WEIBULL.DIST(CB$2,$M115,$L115,FALSE))/_xlfn.WEIBULL.DIST(CB$2,$M115,$L115,FALSE))*($T115*(1-$F115)+$S115*(1-$G115))*((1+Inputs!$D$7)^CB$2))))))))</f>
        <v>0</v>
      </c>
      <c r="CC115" s="88">
        <f>MAX(AM115,($E115*IF(CC$2&gt;Inputs!$D$5,0,IF(CC$2&gt;VLOOKUP($H115,Lists!$P$3:$Q$7,2),IF($N115=Lists!$K$3,IF($L115&lt;1,(($U115/$L115)*((1+Inputs!$D$7)^CC$2)),((INT(CC$2/$L115)-INT((CC$2-1)/$L115))*$U115*((1+Inputs!$D$7)^CC$2))),(Inputs!$D$8^((1-_xlfn.WEIBULL.DIST(CC$2,$M115,$L115,FALSE))/_xlfn.WEIBULL.DIST(CC$2,$M115,$L115,FALSE))*$U115*((1+Inputs!$D$7)^CC$2))),IF($N115=Lists!$K$3,IF($L115&lt;1,((($T115*(1-$F115)+$S115*(1-$G115))/$L115)*((1+Inputs!$D$7)^CC$2)),((INT(CC$2/$L115)-INT((CC$2-1)/$L115))*($T115*(1-$F115)+$S115*(1-$G115))*((1+Inputs!$D$7)^CC$2))),((Inputs!$D$8^((1-_xlfn.WEIBULL.DIST(CC$2,$M115,$L115,FALSE))/_xlfn.WEIBULL.DIST(CC$2,$M115,$L115,FALSE))*($T115*(1-$F115)+$S115*(1-$G115))*((1+Inputs!$D$7)^CC$2))))))))</f>
        <v>0</v>
      </c>
      <c r="CD115" s="88">
        <f>MAX(AN115,($E115*IF(CD$2&gt;Inputs!$D$5,0,IF(CD$2&gt;VLOOKUP($H115,Lists!$P$3:$Q$7,2),IF($N115=Lists!$K$3,IF($L115&lt;1,(($U115/$L115)*((1+Inputs!$D$7)^CD$2)),((INT(CD$2/$L115)-INT((CD$2-1)/$L115))*$U115*((1+Inputs!$D$7)^CD$2))),(Inputs!$D$8^((1-_xlfn.WEIBULL.DIST(CD$2,$M115,$L115,FALSE))/_xlfn.WEIBULL.DIST(CD$2,$M115,$L115,FALSE))*$U115*((1+Inputs!$D$7)^CD$2))),IF($N115=Lists!$K$3,IF($L115&lt;1,((($T115*(1-$F115)+$S115*(1-$G115))/$L115)*((1+Inputs!$D$7)^CD$2)),((INT(CD$2/$L115)-INT((CD$2-1)/$L115))*($T115*(1-$F115)+$S115*(1-$G115))*((1+Inputs!$D$7)^CD$2))),((Inputs!$D$8^((1-_xlfn.WEIBULL.DIST(CD$2,$M115,$L115,FALSE))/_xlfn.WEIBULL.DIST(CD$2,$M115,$L115,FALSE))*($T115*(1-$F115)+$S115*(1-$G115))*((1+Inputs!$D$7)^CD$2))))))))</f>
        <v>0</v>
      </c>
      <c r="CE115" s="88">
        <f>MAX(AO115,($E115*IF(CE$2&gt;Inputs!$D$5,0,IF(CE$2&gt;VLOOKUP($H115,Lists!$P$3:$Q$7,2),IF($N115=Lists!$K$3,IF($L115&lt;1,(($U115/$L115)*((1+Inputs!$D$7)^CE$2)),((INT(CE$2/$L115)-INT((CE$2-1)/$L115))*$U115*((1+Inputs!$D$7)^CE$2))),(Inputs!$D$8^((1-_xlfn.WEIBULL.DIST(CE$2,$M115,$L115,FALSE))/_xlfn.WEIBULL.DIST(CE$2,$M115,$L115,FALSE))*$U115*((1+Inputs!$D$7)^CE$2))),IF($N115=Lists!$K$3,IF($L115&lt;1,((($T115*(1-$F115)+$S115*(1-$G115))/$L115)*((1+Inputs!$D$7)^CE$2)),((INT(CE$2/$L115)-INT((CE$2-1)/$L115))*($T115*(1-$F115)+$S115*(1-$G115))*((1+Inputs!$D$7)^CE$2))),((Inputs!$D$8^((1-_xlfn.WEIBULL.DIST(CE$2,$M115,$L115,FALSE))/_xlfn.WEIBULL.DIST(CE$2,$M115,$L115,FALSE))*($T115*(1-$F115)+$S115*(1-$G115))*((1+Inputs!$D$7)^CE$2))))))))</f>
        <v>0</v>
      </c>
      <c r="CF115" s="88">
        <f>MAX(AP115,($E115*IF(CF$2&gt;Inputs!$D$5,0,IF(CF$2&gt;VLOOKUP($H115,Lists!$P$3:$Q$7,2),IF($N115=Lists!$K$3,IF($L115&lt;1,(($U115/$L115)*((1+Inputs!$D$7)^CF$2)),((INT(CF$2/$L115)-INT((CF$2-1)/$L115))*$U115*((1+Inputs!$D$7)^CF$2))),(Inputs!$D$8^((1-_xlfn.WEIBULL.DIST(CF$2,$M115,$L115,FALSE))/_xlfn.WEIBULL.DIST(CF$2,$M115,$L115,FALSE))*$U115*((1+Inputs!$D$7)^CF$2))),IF($N115=Lists!$K$3,IF($L115&lt;1,((($T115*(1-$F115)+$S115*(1-$G115))/$L115)*((1+Inputs!$D$7)^CF$2)),((INT(CF$2/$L115)-INT((CF$2-1)/$L115))*($T115*(1-$F115)+$S115*(1-$G115))*((1+Inputs!$D$7)^CF$2))),((Inputs!$D$8^((1-_xlfn.WEIBULL.DIST(CF$2,$M115,$L115,FALSE))/_xlfn.WEIBULL.DIST(CF$2,$M115,$L115,FALSE))*($T115*(1-$F115)+$S115*(1-$G115))*((1+Inputs!$D$7)^CF$2))))))))</f>
        <v>0</v>
      </c>
      <c r="CG115" s="88">
        <f>MAX(AQ115,($E115*IF(CG$2&gt;Inputs!$D$5,0,IF(CG$2&gt;VLOOKUP($H115,Lists!$P$3:$Q$7,2),IF($N115=Lists!$K$3,IF($L115&lt;1,(($U115/$L115)*((1+Inputs!$D$7)^CG$2)),((INT(CG$2/$L115)-INT((CG$2-1)/$L115))*$U115*((1+Inputs!$D$7)^CG$2))),(Inputs!$D$8^((1-_xlfn.WEIBULL.DIST(CG$2,$M115,$L115,FALSE))/_xlfn.WEIBULL.DIST(CG$2,$M115,$L115,FALSE))*$U115*((1+Inputs!$D$7)^CG$2))),IF($N115=Lists!$K$3,IF($L115&lt;1,((($T115*(1-$F115)+$S115*(1-$G115))/$L115)*((1+Inputs!$D$7)^CG$2)),((INT(CG$2/$L115)-INT((CG$2-1)/$L115))*($T115*(1-$F115)+$S115*(1-$G115))*((1+Inputs!$D$7)^CG$2))),((Inputs!$D$8^((1-_xlfn.WEIBULL.DIST(CG$2,$M115,$L115,FALSE))/_xlfn.WEIBULL.DIST(CG$2,$M115,$L115,FALSE))*($T115*(1-$F115)+$S115*(1-$G115))*((1+Inputs!$D$7)^CG$2))))))))</f>
        <v>0</v>
      </c>
      <c r="CH115" s="88">
        <f>MAX(AR115,($E115*IF(CH$2&gt;Inputs!$D$5,0,IF(CH$2&gt;VLOOKUP($H115,Lists!$P$3:$Q$7,2),IF($N115=Lists!$K$3,IF($L115&lt;1,(($U115/$L115)*((1+Inputs!$D$7)^CH$2)),((INT(CH$2/$L115)-INT((CH$2-1)/$L115))*$U115*((1+Inputs!$D$7)^CH$2))),(Inputs!$D$8^((1-_xlfn.WEIBULL.DIST(CH$2,$M115,$L115,FALSE))/_xlfn.WEIBULL.DIST(CH$2,$M115,$L115,FALSE))*$U115*((1+Inputs!$D$7)^CH$2))),IF($N115=Lists!$K$3,IF($L115&lt;1,((($T115*(1-$F115)+$S115*(1-$G115))/$L115)*((1+Inputs!$D$7)^CH$2)),((INT(CH$2/$L115)-INT((CH$2-1)/$L115))*($T115*(1-$F115)+$S115*(1-$G115))*((1+Inputs!$D$7)^CH$2))),((Inputs!$D$8^((1-_xlfn.WEIBULL.DIST(CH$2,$M115,$L115,FALSE))/_xlfn.WEIBULL.DIST(CH$2,$M115,$L115,FALSE))*($T115*(1-$F115)+$S115*(1-$G115))*((1+Inputs!$D$7)^CH$2))))))))</f>
        <v>0</v>
      </c>
      <c r="CI115" s="88">
        <f>MAX(AS115,($E115*IF(CI$2&gt;Inputs!$D$5,0,IF(CI$2&gt;VLOOKUP($H115,Lists!$P$3:$Q$7,2),IF($N115=Lists!$K$3,IF($L115&lt;1,(($U115/$L115)*((1+Inputs!$D$7)^CI$2)),((INT(CI$2/$L115)-INT((CI$2-1)/$L115))*$U115*((1+Inputs!$D$7)^CI$2))),(Inputs!$D$8^((1-_xlfn.WEIBULL.DIST(CI$2,$M115,$L115,FALSE))/_xlfn.WEIBULL.DIST(CI$2,$M115,$L115,FALSE))*$U115*((1+Inputs!$D$7)^CI$2))),IF($N115=Lists!$K$3,IF($L115&lt;1,((($T115*(1-$F115)+$S115*(1-$G115))/$L115)*((1+Inputs!$D$7)^CI$2)),((INT(CI$2/$L115)-INT((CI$2-1)/$L115))*($T115*(1-$F115)+$S115*(1-$G115))*((1+Inputs!$D$7)^CI$2))),((Inputs!$D$8^((1-_xlfn.WEIBULL.DIST(CI$2,$M115,$L115,FALSE))/_xlfn.WEIBULL.DIST(CI$2,$M115,$L115,FALSE))*($T115*(1-$F115)+$S115*(1-$G115))*((1+Inputs!$D$7)^CI$2))))))))</f>
        <v>0</v>
      </c>
      <c r="CJ115" s="88">
        <f>MAX(AT115,($E115*IF(CJ$2&gt;Inputs!$D$5,0,IF(CJ$2&gt;VLOOKUP($H115,Lists!$P$3:$Q$7,2),IF($N115=Lists!$K$3,IF($L115&lt;1,(($U115/$L115)*((1+Inputs!$D$7)^CJ$2)),((INT(CJ$2/$L115)-INT((CJ$2-1)/$L115))*$U115*((1+Inputs!$D$7)^CJ$2))),(Inputs!$D$8^((1-_xlfn.WEIBULL.DIST(CJ$2,$M115,$L115,FALSE))/_xlfn.WEIBULL.DIST(CJ$2,$M115,$L115,FALSE))*$U115*((1+Inputs!$D$7)^CJ$2))),IF($N115=Lists!$K$3,IF($L115&lt;1,((($T115*(1-$F115)+$S115*(1-$G115))/$L115)*((1+Inputs!$D$7)^CJ$2)),((INT(CJ$2/$L115)-INT((CJ$2-1)/$L115))*($T115*(1-$F115)+$S115*(1-$G115))*((1+Inputs!$D$7)^CJ$2))),((Inputs!$D$8^((1-_xlfn.WEIBULL.DIST(CJ$2,$M115,$L115,FALSE))/_xlfn.WEIBULL.DIST(CJ$2,$M115,$L115,FALSE))*($T115*(1-$F115)+$S115*(1-$G115))*((1+Inputs!$D$7)^CJ$2))))))))</f>
        <v>0</v>
      </c>
      <c r="CK115" s="88">
        <f>MAX(AU115,($E115*IF(CK$2&gt;Inputs!$D$5,0,IF(CK$2&gt;VLOOKUP($H115,Lists!$P$3:$Q$7,2),IF($N115=Lists!$K$3,IF($L115&lt;1,(($U115/$L115)*((1+Inputs!$D$7)^CK$2)),((INT(CK$2/$L115)-INT((CK$2-1)/$L115))*$U115*((1+Inputs!$D$7)^CK$2))),(Inputs!$D$8^((1-_xlfn.WEIBULL.DIST(CK$2,$M115,$L115,FALSE))/_xlfn.WEIBULL.DIST(CK$2,$M115,$L115,FALSE))*$U115*((1+Inputs!$D$7)^CK$2))),IF($N115=Lists!$K$3,IF($L115&lt;1,((($T115*(1-$F115)+$S115*(1-$G115))/$L115)*((1+Inputs!$D$7)^CK$2)),((INT(CK$2/$L115)-INT((CK$2-1)/$L115))*($T115*(1-$F115)+$S115*(1-$G115))*((1+Inputs!$D$7)^CK$2))),((Inputs!$D$8^((1-_xlfn.WEIBULL.DIST(CK$2,$M115,$L115,FALSE))/_xlfn.WEIBULL.DIST(CK$2,$M115,$L115,FALSE))*($T115*(1-$F115)+$S115*(1-$G115))*((1+Inputs!$D$7)^CK$2))))))))</f>
        <v>0</v>
      </c>
      <c r="CL115" s="88">
        <f>MAX(AV115,($E115*IF(CL$2&gt;Inputs!$D$5,0,IF(CL$2&gt;VLOOKUP($H115,Lists!$P$3:$Q$7,2),IF($N115=Lists!$K$3,IF($L115&lt;1,(($U115/$L115)*((1+Inputs!$D$7)^CL$2)),((INT(CL$2/$L115)-INT((CL$2-1)/$L115))*$U115*((1+Inputs!$D$7)^CL$2))),(Inputs!$D$8^((1-_xlfn.WEIBULL.DIST(CL$2,$M115,$L115,FALSE))/_xlfn.WEIBULL.DIST(CL$2,$M115,$L115,FALSE))*$U115*((1+Inputs!$D$7)^CL$2))),IF($N115=Lists!$K$3,IF($L115&lt;1,((($T115*(1-$F115)+$S115*(1-$G115))/$L115)*((1+Inputs!$D$7)^CL$2)),((INT(CL$2/$L115)-INT((CL$2-1)/$L115))*($T115*(1-$F115)+$S115*(1-$G115))*((1+Inputs!$D$7)^CL$2))),((Inputs!$D$8^((1-_xlfn.WEIBULL.DIST(CL$2,$M115,$L115,FALSE))/_xlfn.WEIBULL.DIST(CL$2,$M115,$L115,FALSE))*($T115*(1-$F115)+$S115*(1-$G115))*((1+Inputs!$D$7)^CL$2))))))))</f>
        <v>0</v>
      </c>
      <c r="CM115" s="88">
        <f>MAX(AW115,($E115*IF(CM$2&gt;Inputs!$D$5,0,IF(CM$2&gt;VLOOKUP($H115,Lists!$P$3:$Q$7,2),IF($N115=Lists!$K$3,IF($L115&lt;1,(($U115/$L115)*((1+Inputs!$D$7)^CM$2)),((INT(CM$2/$L115)-INT((CM$2-1)/$L115))*$U115*((1+Inputs!$D$7)^CM$2))),(Inputs!$D$8^((1-_xlfn.WEIBULL.DIST(CM$2,$M115,$L115,FALSE))/_xlfn.WEIBULL.DIST(CM$2,$M115,$L115,FALSE))*$U115*((1+Inputs!$D$7)^CM$2))),IF($N115=Lists!$K$3,IF($L115&lt;1,((($T115*(1-$F115)+$S115*(1-$G115))/$L115)*((1+Inputs!$D$7)^CM$2)),((INT(CM$2/$L115)-INT((CM$2-1)/$L115))*($T115*(1-$F115)+$S115*(1-$G115))*((1+Inputs!$D$7)^CM$2))),((Inputs!$D$8^((1-_xlfn.WEIBULL.DIST(CM$2,$M115,$L115,FALSE))/_xlfn.WEIBULL.DIST(CM$2,$M115,$L115,FALSE))*($T115*(1-$F115)+$S115*(1-$G115))*((1+Inputs!$D$7)^CM$2))))))))</f>
        <v>0</v>
      </c>
      <c r="CN115" s="88">
        <f>MAX(AX115,($E115*IF(CN$2&gt;Inputs!$D$5,0,IF(CN$2&gt;VLOOKUP($H115,Lists!$P$3:$Q$7,2),IF($N115=Lists!$K$3,IF($L115&lt;1,(($U115/$L115)*((1+Inputs!$D$7)^CN$2)),((INT(CN$2/$L115)-INT((CN$2-1)/$L115))*$U115*((1+Inputs!$D$7)^CN$2))),(Inputs!$D$8^((1-_xlfn.WEIBULL.DIST(CN$2,$M115,$L115,FALSE))/_xlfn.WEIBULL.DIST(CN$2,$M115,$L115,FALSE))*$U115*((1+Inputs!$D$7)^CN$2))),IF($N115=Lists!$K$3,IF($L115&lt;1,((($T115*(1-$F115)+$S115*(1-$G115))/$L115)*((1+Inputs!$D$7)^CN$2)),((INT(CN$2/$L115)-INT((CN$2-1)/$L115))*($T115*(1-$F115)+$S115*(1-$G115))*((1+Inputs!$D$7)^CN$2))),((Inputs!$D$8^((1-_xlfn.WEIBULL.DIST(CN$2,$M115,$L115,FALSE))/_xlfn.WEIBULL.DIST(CN$2,$M115,$L115,FALSE))*($T115*(1-$F115)+$S115*(1-$G115))*((1+Inputs!$D$7)^CN$2))))))))</f>
        <v>0</v>
      </c>
      <c r="CO115" s="88">
        <f>MAX(AY115,($E115*IF(CO$2&gt;Inputs!$D$5,0,IF(CO$2&gt;VLOOKUP($H115,Lists!$P$3:$Q$7,2),IF($N115=Lists!$K$3,IF($L115&lt;1,(($U115/$L115)*((1+Inputs!$D$7)^CO$2)),((INT(CO$2/$L115)-INT((CO$2-1)/$L115))*$U115*((1+Inputs!$D$7)^CO$2))),(Inputs!$D$8^((1-_xlfn.WEIBULL.DIST(CO$2,$M115,$L115,FALSE))/_xlfn.WEIBULL.DIST(CO$2,$M115,$L115,FALSE))*$U115*((1+Inputs!$D$7)^CO$2))),IF($N115=Lists!$K$3,IF($L115&lt;1,((($T115*(1-$F115)+$S115*(1-$G115))/$L115)*((1+Inputs!$D$7)^CO$2)),((INT(CO$2/$L115)-INT((CO$2-1)/$L115))*($T115*(1-$F115)+$S115*(1-$G115))*((1+Inputs!$D$7)^CO$2))),((Inputs!$D$8^((1-_xlfn.WEIBULL.DIST(CO$2,$M115,$L115,FALSE))/_xlfn.WEIBULL.DIST(CO$2,$M115,$L115,FALSE))*($T115*(1-$F115)+$S115*(1-$G115))*((1+Inputs!$D$7)^CO$2))))))))</f>
        <v>0</v>
      </c>
      <c r="CP115" s="88">
        <f>MAX(AZ115,($E115*IF(CP$2&gt;Inputs!$D$5,0,IF(CP$2&gt;VLOOKUP($H115,Lists!$P$3:$Q$7,2),IF($N115=Lists!$K$3,IF($L115&lt;1,(($U115/$L115)*((1+Inputs!$D$7)^CP$2)),((INT(CP$2/$L115)-INT((CP$2-1)/$L115))*$U115*((1+Inputs!$D$7)^CP$2))),(Inputs!$D$8^((1-_xlfn.WEIBULL.DIST(CP$2,$M115,$L115,FALSE))/_xlfn.WEIBULL.DIST(CP$2,$M115,$L115,FALSE))*$U115*((1+Inputs!$D$7)^CP$2))),IF($N115=Lists!$K$3,IF($L115&lt;1,((($T115*(1-$F115)+$S115*(1-$G115))/$L115)*((1+Inputs!$D$7)^CP$2)),((INT(CP$2/$L115)-INT((CP$2-1)/$L115))*($T115*(1-$F115)+$S115*(1-$G115))*((1+Inputs!$D$7)^CP$2))),((Inputs!$D$8^((1-_xlfn.WEIBULL.DIST(CP$2,$M115,$L115,FALSE))/_xlfn.WEIBULL.DIST(CP$2,$M115,$L115,FALSE))*($T115*(1-$F115)+$S115*(1-$G115))*((1+Inputs!$D$7)^CP$2))))))))</f>
        <v>0</v>
      </c>
      <c r="CQ115" s="88">
        <f>MAX(BA115,($E115*IF(CQ$2&gt;Inputs!$D$5,0,IF(CQ$2&gt;VLOOKUP($H115,Lists!$P$3:$Q$7,2),IF($N115=Lists!$K$3,IF($L115&lt;1,(($U115/$L115)*((1+Inputs!$D$7)^CQ$2)),((INT(CQ$2/$L115)-INT((CQ$2-1)/$L115))*$U115*((1+Inputs!$D$7)^CQ$2))),(Inputs!$D$8^((1-_xlfn.WEIBULL.DIST(CQ$2,$M115,$L115,FALSE))/_xlfn.WEIBULL.DIST(CQ$2,$M115,$L115,FALSE))*$U115*((1+Inputs!$D$7)^CQ$2))),IF($N115=Lists!$K$3,IF($L115&lt;1,((($T115*(1-$F115)+$S115*(1-$G115))/$L115)*((1+Inputs!$D$7)^CQ$2)),((INT(CQ$2/$L115)-INT((CQ$2-1)/$L115))*($T115*(1-$F115)+$S115*(1-$G115))*((1+Inputs!$D$7)^CQ$2))),((Inputs!$D$8^((1-_xlfn.WEIBULL.DIST(CQ$2,$M115,$L115,FALSE))/_xlfn.WEIBULL.DIST(CQ$2,$M115,$L115,FALSE))*($T115*(1-$F115)+$S115*(1-$G115))*((1+Inputs!$D$7)^CQ$2))))))))</f>
        <v>0</v>
      </c>
      <c r="CR115" s="88">
        <f>MAX(BB115,($E115*IF(CR$2&gt;Inputs!$D$5,0,IF(CR$2&gt;VLOOKUP($H115,Lists!$P$3:$Q$7,2),IF($N115=Lists!$K$3,IF($L115&lt;1,(($U115/$L115)*((1+Inputs!$D$7)^CR$2)),((INT(CR$2/$L115)-INT((CR$2-1)/$L115))*$U115*((1+Inputs!$D$7)^CR$2))),(Inputs!$D$8^((1-_xlfn.WEIBULL.DIST(CR$2,$M115,$L115,FALSE))/_xlfn.WEIBULL.DIST(CR$2,$M115,$L115,FALSE))*$U115*((1+Inputs!$D$7)^CR$2))),IF($N115=Lists!$K$3,IF($L115&lt;1,((($T115*(1-$F115)+$S115*(1-$G115))/$L115)*((1+Inputs!$D$7)^CR$2)),((INT(CR$2/$L115)-INT((CR$2-1)/$L115))*($T115*(1-$F115)+$S115*(1-$G115))*((1+Inputs!$D$7)^CR$2))),((Inputs!$D$8^((1-_xlfn.WEIBULL.DIST(CR$2,$M115,$L115,FALSE))/_xlfn.WEIBULL.DIST(CR$2,$M115,$L115,FALSE))*($T115*(1-$F115)+$S115*(1-$G115))*((1+Inputs!$D$7)^CR$2))))))))</f>
        <v>0</v>
      </c>
      <c r="CS115" s="88">
        <f>MAX(BC115,($E115*IF(CS$2&gt;Inputs!$D$5,0,IF(CS$2&gt;VLOOKUP($H115,Lists!$P$3:$Q$7,2),IF($N115=Lists!$K$3,IF($L115&lt;1,(($U115/$L115)*((1+Inputs!$D$7)^CS$2)),((INT(CS$2/$L115)-INT((CS$2-1)/$L115))*$U115*((1+Inputs!$D$7)^CS$2))),(Inputs!$D$8^((1-_xlfn.WEIBULL.DIST(CS$2,$M115,$L115,FALSE))/_xlfn.WEIBULL.DIST(CS$2,$M115,$L115,FALSE))*$U115*((1+Inputs!$D$7)^CS$2))),IF($N115=Lists!$K$3,IF($L115&lt;1,((($T115*(1-$F115)+$S115*(1-$G115))/$L115)*((1+Inputs!$D$7)^CS$2)),((INT(CS$2/$L115)-INT((CS$2-1)/$L115))*($T115*(1-$F115)+$S115*(1-$G115))*((1+Inputs!$D$7)^CS$2))),((Inputs!$D$8^((1-_xlfn.WEIBULL.DIST(CS$2,$M115,$L115,FALSE))/_xlfn.WEIBULL.DIST(CS$2,$M115,$L115,FALSE))*($T115*(1-$F115)+$S115*(1-$G115))*((1+Inputs!$D$7)^CS$2))))))))</f>
        <v>0</v>
      </c>
      <c r="CT115" s="88">
        <f>MAX(BD115,($E115*IF(CT$2&gt;Inputs!$D$5,0,IF(CT$2&gt;VLOOKUP($H115,Lists!$P$3:$Q$7,2),IF($N115=Lists!$K$3,IF($L115&lt;1,(($U115/$L115)*((1+Inputs!$D$7)^CT$2)),((INT(CT$2/$L115)-INT((CT$2-1)/$L115))*$U115*((1+Inputs!$D$7)^CT$2))),(Inputs!$D$8^((1-_xlfn.WEIBULL.DIST(CT$2,$M115,$L115,FALSE))/_xlfn.WEIBULL.DIST(CT$2,$M115,$L115,FALSE))*$U115*((1+Inputs!$D$7)^CT$2))),IF($N115=Lists!$K$3,IF($L115&lt;1,((($T115*(1-$F115)+$S115*(1-$G115))/$L115)*((1+Inputs!$D$7)^CT$2)),((INT(CT$2/$L115)-INT((CT$2-1)/$L115))*($T115*(1-$F115)+$S115*(1-$G115))*((1+Inputs!$D$7)^CT$2))),((Inputs!$D$8^((1-_xlfn.WEIBULL.DIST(CT$2,$M115,$L115,FALSE))/_xlfn.WEIBULL.DIST(CT$2,$M115,$L115,FALSE))*($T115*(1-$F115)+$S115*(1-$G115))*((1+Inputs!$D$7)^CT$2))))))))</f>
        <v>0</v>
      </c>
      <c r="CU115" s="88">
        <f>MAX(BE115,($E115*IF(CU$2&gt;Inputs!$D$5,0,IF(CU$2&gt;VLOOKUP($H115,Lists!$P$3:$Q$7,2),IF($N115=Lists!$K$3,IF($L115&lt;1,(($U115/$L115)*((1+Inputs!$D$7)^CU$2)),((INT(CU$2/$L115)-INT((CU$2-1)/$L115))*$U115*((1+Inputs!$D$7)^CU$2))),(Inputs!$D$8^((1-_xlfn.WEIBULL.DIST(CU$2,$M115,$L115,FALSE))/_xlfn.WEIBULL.DIST(CU$2,$M115,$L115,FALSE))*$U115*((1+Inputs!$D$7)^CU$2))),IF($N115=Lists!$K$3,IF($L115&lt;1,((($T115*(1-$F115)+$S115*(1-$G115))/$L115)*((1+Inputs!$D$7)^CU$2)),((INT(CU$2/$L115)-INT((CU$2-1)/$L115))*($T115*(1-$F115)+$S115*(1-$G115))*((1+Inputs!$D$7)^CU$2))),((Inputs!$D$8^((1-_xlfn.WEIBULL.DIST(CU$2,$M115,$L115,FALSE))/_xlfn.WEIBULL.DIST(CU$2,$M115,$L115,FALSE))*($T115*(1-$F115)+$S115*(1-$G115))*((1+Inputs!$D$7)^CU$2))))))))</f>
        <v>0</v>
      </c>
      <c r="CV115" s="88">
        <f>MAX(BF115,($E115*IF(CV$2&gt;Inputs!$D$5,0,IF(CV$2&gt;VLOOKUP($H115,Lists!$P$3:$Q$7,2),IF($N115=Lists!$K$3,IF($L115&lt;1,(($U115/$L115)*((1+Inputs!$D$7)^CV$2)),((INT(CV$2/$L115)-INT((CV$2-1)/$L115))*$U115*((1+Inputs!$D$7)^CV$2))),(Inputs!$D$8^((1-_xlfn.WEIBULL.DIST(CV$2,$M115,$L115,FALSE))/_xlfn.WEIBULL.DIST(CV$2,$M115,$L115,FALSE))*$U115*((1+Inputs!$D$7)^CV$2))),IF($N115=Lists!$K$3,IF($L115&lt;1,((($T115*(1-$F115)+$S115*(1-$G115))/$L115)*((1+Inputs!$D$7)^CV$2)),((INT(CV$2/$L115)-INT((CV$2-1)/$L115))*($T115*(1-$F115)+$S115*(1-$G115))*((1+Inputs!$D$7)^CV$2))),((Inputs!$D$8^((1-_xlfn.WEIBULL.DIST(CV$2,$M115,$L115,FALSE))/_xlfn.WEIBULL.DIST(CV$2,$M115,$L115,FALSE))*($T115*(1-$F115)+$S115*(1-$G115))*((1+Inputs!$D$7)^CV$2))))))))</f>
        <v>0</v>
      </c>
      <c r="CW115" s="88">
        <f>MAX(BG115,($E115*IF(CW$2&gt;Inputs!$D$5,0,IF(CW$2&gt;VLOOKUP($H115,Lists!$P$3:$Q$7,2),IF($N115=Lists!$K$3,IF($L115&lt;1,(($U115/$L115)*((1+Inputs!$D$7)^CW$2)),((INT(CW$2/$L115)-INT((CW$2-1)/$L115))*$U115*((1+Inputs!$D$7)^CW$2))),(Inputs!$D$8^((1-_xlfn.WEIBULL.DIST(CW$2,$M115,$L115,FALSE))/_xlfn.WEIBULL.DIST(CW$2,$M115,$L115,FALSE))*$U115*((1+Inputs!$D$7)^CW$2))),IF($N115=Lists!$K$3,IF($L115&lt;1,((($T115*(1-$F115)+$S115*(1-$G115))/$L115)*((1+Inputs!$D$7)^CW$2)),((INT(CW$2/$L115)-INT((CW$2-1)/$L115))*($T115*(1-$F115)+$S115*(1-$G115))*((1+Inputs!$D$7)^CW$2))),((Inputs!$D$8^((1-_xlfn.WEIBULL.DIST(CW$2,$M115,$L115,FALSE))/_xlfn.WEIBULL.DIST(CW$2,$M115,$L115,FALSE))*($T115*(1-$F115)+$S115*(1-$G115))*((1+Inputs!$D$7)^CW$2))))))))</f>
        <v>0</v>
      </c>
      <c r="CX115" s="88">
        <f>MAX(BH115,($E115*IF(CX$2&gt;Inputs!$D$5,0,IF(CX$2&gt;VLOOKUP($H115,Lists!$P$3:$Q$7,2),IF($N115=Lists!$K$3,IF($L115&lt;1,(($U115/$L115)*((1+Inputs!$D$7)^CX$2)),((INT(CX$2/$L115)-INT((CX$2-1)/$L115))*$U115*((1+Inputs!$D$7)^CX$2))),(Inputs!$D$8^((1-_xlfn.WEIBULL.DIST(CX$2,$M115,$L115,FALSE))/_xlfn.WEIBULL.DIST(CX$2,$M115,$L115,FALSE))*$U115*((1+Inputs!$D$7)^CX$2))),IF($N115=Lists!$K$3,IF($L115&lt;1,((($T115*(1-$F115)+$S115*(1-$G115))/$L115)*((1+Inputs!$D$7)^CX$2)),((INT(CX$2/$L115)-INT((CX$2-1)/$L115))*($T115*(1-$F115)+$S115*(1-$G115))*((1+Inputs!$D$7)^CX$2))),((Inputs!$D$8^((1-_xlfn.WEIBULL.DIST(CX$2,$M115,$L115,FALSE))/_xlfn.WEIBULL.DIST(CX$2,$M115,$L115,FALSE))*($T115*(1-$F115)+$S115*(1-$G115))*((1+Inputs!$D$7)^CX$2))))))))</f>
        <v>0</v>
      </c>
      <c r="CY115" s="88">
        <f>MAX(BI115,($E115*IF(CY$2&gt;Inputs!$D$5,0,IF(CY$2&gt;VLOOKUP($H115,Lists!$P$3:$Q$7,2),IF($N115=Lists!$K$3,IF($L115&lt;1,(($U115/$L115)*((1+Inputs!$D$7)^CY$2)),((INT(CY$2/$L115)-INT((CY$2-1)/$L115))*$U115*((1+Inputs!$D$7)^CY$2))),(Inputs!$D$8^((1-_xlfn.WEIBULL.DIST(CY$2,$M115,$L115,FALSE))/_xlfn.WEIBULL.DIST(CY$2,$M115,$L115,FALSE))*$U115*((1+Inputs!$D$7)^CY$2))),IF($N115=Lists!$K$3,IF($L115&lt;1,((($T115*(1-$F115)+$S115*(1-$G115))/$L115)*((1+Inputs!$D$7)^CY$2)),((INT(CY$2/$L115)-INT((CY$2-1)/$L115))*($T115*(1-$F115)+$S115*(1-$G115))*((1+Inputs!$D$7)^CY$2))),((Inputs!$D$8^((1-_xlfn.WEIBULL.DIST(CY$2,$M115,$L115,FALSE))/_xlfn.WEIBULL.DIST(CY$2,$M115,$L115,FALSE))*($T115*(1-$F115)+$S115*(1-$G115))*((1+Inputs!$D$7)^CY$2))))))))</f>
        <v>0</v>
      </c>
      <c r="CZ115" s="88">
        <f>MAX(BJ115,($E115*IF(CZ$2&gt;Inputs!$D$5,0,IF(CZ$2&gt;VLOOKUP($H115,Lists!$P$3:$Q$7,2),IF($N115=Lists!$K$3,IF($L115&lt;1,(($U115/$L115)*((1+Inputs!$D$7)^CZ$2)),((INT(CZ$2/$L115)-INT((CZ$2-1)/$L115))*$U115*((1+Inputs!$D$7)^CZ$2))),(Inputs!$D$8^((1-_xlfn.WEIBULL.DIST(CZ$2,$M115,$L115,FALSE))/_xlfn.WEIBULL.DIST(CZ$2,$M115,$L115,FALSE))*$U115*((1+Inputs!$D$7)^CZ$2))),IF($N115=Lists!$K$3,IF($L115&lt;1,((($T115*(1-$F115)+$S115*(1-$G115))/$L115)*((1+Inputs!$D$7)^CZ$2)),((INT(CZ$2/$L115)-INT((CZ$2-1)/$L115))*($T115*(1-$F115)+$S115*(1-$G115))*((1+Inputs!$D$7)^CZ$2))),((Inputs!$D$8^((1-_xlfn.WEIBULL.DIST(CZ$2,$M115,$L115,FALSE))/_xlfn.WEIBULL.DIST(CZ$2,$M115,$L115,FALSE))*($T115*(1-$F115)+$S115*(1-$G115))*((1+Inputs!$D$7)^CZ$2))))))))</f>
        <v>0</v>
      </c>
      <c r="DA115" s="88">
        <f>MAX(BK115,($E115*IF(DA$2&gt;Inputs!$D$5,0,IF(DA$2&gt;VLOOKUP($H115,Lists!$P$3:$Q$7,2),IF($N115=Lists!$K$3,IF($L115&lt;1,(($U115/$L115)*((1+Inputs!$D$7)^DA$2)),((INT(DA$2/$L115)-INT((DA$2-1)/$L115))*$U115*((1+Inputs!$D$7)^DA$2))),(Inputs!$D$8^((1-_xlfn.WEIBULL.DIST(DA$2,$M115,$L115,FALSE))/_xlfn.WEIBULL.DIST(DA$2,$M115,$L115,FALSE))*$U115*((1+Inputs!$D$7)^DA$2))),IF($N115=Lists!$K$3,IF($L115&lt;1,((($T115*(1-$F115)+$S115*(1-$G115))/$L115)*((1+Inputs!$D$7)^DA$2)),((INT(DA$2/$L115)-INT((DA$2-1)/$L115))*($T115*(1-$F115)+$S115*(1-$G115))*((1+Inputs!$D$7)^DA$2))),((Inputs!$D$8^((1-_xlfn.WEIBULL.DIST(DA$2,$M115,$L115,FALSE))/_xlfn.WEIBULL.DIST(DA$2,$M115,$L115,FALSE))*($T115*(1-$F115)+$S115*(1-$G115))*((1+Inputs!$D$7)^DA$2))))))))</f>
        <v>0</v>
      </c>
      <c r="DB115" s="88">
        <f>MAX(BL115,($E115*IF(DB$2&gt;Inputs!$D$5,0,IF(DB$2&gt;VLOOKUP($H115,Lists!$P$3:$Q$7,2),IF($N115=Lists!$K$3,IF($L115&lt;1,(($U115/$L115)*((1+Inputs!$D$7)^DB$2)),((INT(DB$2/$L115)-INT((DB$2-1)/$L115))*$U115*((1+Inputs!$D$7)^DB$2))),(Inputs!$D$8^((1-_xlfn.WEIBULL.DIST(DB$2,$M115,$L115,FALSE))/_xlfn.WEIBULL.DIST(DB$2,$M115,$L115,FALSE))*$U115*((1+Inputs!$D$7)^DB$2))),IF($N115=Lists!$K$3,IF($L115&lt;1,((($T115*(1-$F115)+$S115*(1-$G115))/$L115)*((1+Inputs!$D$7)^DB$2)),((INT(DB$2/$L115)-INT((DB$2-1)/$L115))*($T115*(1-$F115)+$S115*(1-$G115))*((1+Inputs!$D$7)^DB$2))),((Inputs!$D$8^((1-_xlfn.WEIBULL.DIST(DB$2,$M115,$L115,FALSE))/_xlfn.WEIBULL.DIST(DB$2,$M115,$L115,FALSE))*($T115*(1-$F115)+$S115*(1-$G115))*((1+Inputs!$D$7)^DB$2))))))))</f>
        <v>0</v>
      </c>
      <c r="DC115" s="88">
        <f>MAX(BM115,($E115*IF(DC$2&gt;Inputs!$D$5,0,IF(DC$2&gt;VLOOKUP($H115,Lists!$P$3:$Q$7,2),IF($N115=Lists!$K$3,IF($L115&lt;1,(($U115/$L115)*((1+Inputs!$D$7)^DC$2)),((INT(DC$2/$L115)-INT((DC$2-1)/$L115))*$U115*((1+Inputs!$D$7)^DC$2))),(Inputs!$D$8^((1-_xlfn.WEIBULL.DIST(DC$2,$M115,$L115,FALSE))/_xlfn.WEIBULL.DIST(DC$2,$M115,$L115,FALSE))*$U115*((1+Inputs!$D$7)^DC$2))),IF($N115=Lists!$K$3,IF($L115&lt;1,((($T115*(1-$F115)+$S115*(1-$G115))/$L115)*((1+Inputs!$D$7)^DC$2)),((INT(DC$2/$L115)-INT((DC$2-1)/$L115))*($T115*(1-$F115)+$S115*(1-$G115))*((1+Inputs!$D$7)^DC$2))),((Inputs!$D$8^((1-_xlfn.WEIBULL.DIST(DC$2,$M115,$L115,FALSE))/_xlfn.WEIBULL.DIST(DC$2,$M115,$L115,FALSE))*($T115*(1-$F115)+$S115*(1-$G115))*((1+Inputs!$D$7)^DC$2))))))))</f>
        <v>0</v>
      </c>
      <c r="DD115" s="88">
        <f>MAX(BN115,($E115*IF(DD$2&gt;Inputs!$D$5,0,IF(DD$2&gt;VLOOKUP($H115,Lists!$P$3:$Q$7,2),IF($N115=Lists!$K$3,IF($L115&lt;1,(($U115/$L115)*((1+Inputs!$D$7)^DD$2)),((INT(DD$2/$L115)-INT((DD$2-1)/$L115))*$U115*((1+Inputs!$D$7)^DD$2))),(Inputs!$D$8^((1-_xlfn.WEIBULL.DIST(DD$2,$M115,$L115,FALSE))/_xlfn.WEIBULL.DIST(DD$2,$M115,$L115,FALSE))*$U115*((1+Inputs!$D$7)^DD$2))),IF($N115=Lists!$K$3,IF($L115&lt;1,((($T115*(1-$F115)+$S115*(1-$G115))/$L115)*((1+Inputs!$D$7)^DD$2)),((INT(DD$2/$L115)-INT((DD$2-1)/$L115))*($T115*(1-$F115)+$S115*(1-$G115))*((1+Inputs!$D$7)^DD$2))),((Inputs!$D$8^((1-_xlfn.WEIBULL.DIST(DD$2,$M115,$L115,FALSE))/_xlfn.WEIBULL.DIST(DD$2,$M115,$L115,FALSE))*($T115*(1-$F115)+$S115*(1-$G115))*((1+Inputs!$D$7)^DD$2))))))))</f>
        <v>0</v>
      </c>
    </row>
    <row r="116" spans="1:108" ht="64">
      <c r="A116" s="57" t="s">
        <v>162</v>
      </c>
      <c r="B116" s="13" t="s">
        <v>279</v>
      </c>
      <c r="C116" s="13" t="s">
        <v>473</v>
      </c>
      <c r="D116" s="13" t="s">
        <v>30</v>
      </c>
      <c r="E116" s="48">
        <f>IF(Inputs!$D$46=Lists!$AC$3,0,1)</f>
        <v>0</v>
      </c>
      <c r="F116" s="48">
        <v>0</v>
      </c>
      <c r="G116" s="48">
        <v>0</v>
      </c>
      <c r="H116" s="105" t="s">
        <v>350</v>
      </c>
      <c r="I116" s="14" t="s">
        <v>267</v>
      </c>
      <c r="J116" s="14" t="s">
        <v>88</v>
      </c>
      <c r="K116" s="13">
        <f>VLOOKUP(J116,'Labor Rates'!$A$1:$F$16,2)</f>
        <v>19.903846153846153</v>
      </c>
      <c r="L116" s="15">
        <v>25</v>
      </c>
      <c r="M116" s="15">
        <v>3</v>
      </c>
      <c r="N116" s="13" t="s">
        <v>226</v>
      </c>
      <c r="O116" s="61">
        <f>Inputs!$D$21</f>
        <v>32787</v>
      </c>
      <c r="P116" s="15">
        <v>0.08</v>
      </c>
      <c r="Q116" s="15">
        <f t="shared" si="21"/>
        <v>104.91840000000001</v>
      </c>
      <c r="R116" s="4">
        <v>0</v>
      </c>
      <c r="S116" s="53">
        <f t="shared" si="22"/>
        <v>52206.992307692308</v>
      </c>
      <c r="T116" s="53">
        <f t="shared" si="23"/>
        <v>0</v>
      </c>
      <c r="U116" s="54">
        <f t="shared" si="24"/>
        <v>0</v>
      </c>
      <c r="V116" s="65"/>
      <c r="W116" s="58"/>
      <c r="X116" s="64">
        <f t="shared" si="25"/>
        <v>0</v>
      </c>
      <c r="Y116" s="64">
        <f>NPV(Inputs!$D$6,AA116:BN116)</f>
        <v>0</v>
      </c>
      <c r="Z116" s="67">
        <f t="shared" si="26"/>
        <v>0</v>
      </c>
      <c r="AA116" s="88">
        <f>$E116*IF(AA$2&gt;Inputs!$D$5,0,IF(AA$2&gt;VLOOKUP($H116,Lists!$P$3:$Q$7,2),IF($N116=Lists!$K$3,IF($L116&lt;1,(($U116/$L116)*((1+Inputs!$D$7)^AA$2)),((INT(AA$2/$L116)-INT((AA$2-1)/$L116))*$U116*((1+Inputs!$D$7)^AA$2))),(_xlfn.WEIBULL.DIST(AA$2,$M116,$L116,FALSE)*$U116*((1+Inputs!$D$7)^AA$2))),IF($N116=Lists!$K$3,IF($L116&lt;1,((($T116*(1-$F116)+$S116*(1-$G116))/$L116)*((1+Inputs!$D$7)^AA$2)),((INT(AA$2/$L116)-INT((AA$2-1)/$L116))*($T116*(1-$F116)+$S116*(1-$G116))*((1+Inputs!$D$7)^AA$2))),((_xlfn.WEIBULL.DIST(AA$2,$M116,$L116,FALSE)*($T116*(1-$F116)+$S116*(1-$G116))*((1+Inputs!$D$7)^AA$2))))))</f>
        <v>0</v>
      </c>
      <c r="AB116" s="88">
        <f>$E116*IF(AB$2&gt;Inputs!$D$5,0,IF(AB$2&gt;VLOOKUP($H116,Lists!$P$3:$Q$7,2),IF($N116=Lists!$K$3,IF($L116&lt;1,(($U116/$L116)*((1+Inputs!$D$7)^AB$2)),((INT(AB$2/$L116)-INT((AB$2-1)/$L116))*$U116*((1+Inputs!$D$7)^AB$2))),(_xlfn.WEIBULL.DIST(AB$2,$M116,$L116,FALSE)*$U116*((1+Inputs!$D$7)^AB$2))),IF($N116=Lists!$K$3,IF($L116&lt;1,((($T116*(1-$F116)+$S116*(1-$G116))/$L116)*((1+Inputs!$D$7)^AB$2)),((INT(AB$2/$L116)-INT((AB$2-1)/$L116))*($T116*(1-$F116)+$S116*(1-$G116))*((1+Inputs!$D$7)^AB$2))),((_xlfn.WEIBULL.DIST(AB$2,$M116,$L116,FALSE)*($T116*(1-$F116)+$S116*(1-$G116))*((1+Inputs!$D$7)^AB$2))))))</f>
        <v>0</v>
      </c>
      <c r="AC116" s="88">
        <f>$E116*IF(AC$2&gt;Inputs!$D$5,0,IF(AC$2&gt;VLOOKUP($H116,Lists!$P$3:$Q$7,2),IF($N116=Lists!$K$3,IF($L116&lt;1,(($U116/$L116)*((1+Inputs!$D$7)^AC$2)),((INT(AC$2/$L116)-INT((AC$2-1)/$L116))*$U116*((1+Inputs!$D$7)^AC$2))),(_xlfn.WEIBULL.DIST(AC$2,$M116,$L116,FALSE)*$U116*((1+Inputs!$D$7)^AC$2))),IF($N116=Lists!$K$3,IF($L116&lt;1,((($T116*(1-$F116)+$S116*(1-$G116))/$L116)*((1+Inputs!$D$7)^AC$2)),((INT(AC$2/$L116)-INT((AC$2-1)/$L116))*($T116*(1-$F116)+$S116*(1-$G116))*((1+Inputs!$D$7)^AC$2))),((_xlfn.WEIBULL.DIST(AC$2,$M116,$L116,FALSE)*($T116*(1-$F116)+$S116*(1-$G116))*((1+Inputs!$D$7)^AC$2))))))</f>
        <v>0</v>
      </c>
      <c r="AD116" s="88">
        <f>$E116*IF(AD$2&gt;Inputs!$D$5,0,IF(AD$2&gt;VLOOKUP($H116,Lists!$P$3:$Q$7,2),IF($N116=Lists!$K$3,IF($L116&lt;1,(($U116/$L116)*((1+Inputs!$D$7)^AD$2)),((INT(AD$2/$L116)-INT((AD$2-1)/$L116))*$U116*((1+Inputs!$D$7)^AD$2))),(_xlfn.WEIBULL.DIST(AD$2,$M116,$L116,FALSE)*$U116*((1+Inputs!$D$7)^AD$2))),IF($N116=Lists!$K$3,IF($L116&lt;1,((($T116*(1-$F116)+$S116*(1-$G116))/$L116)*((1+Inputs!$D$7)^AD$2)),((INT(AD$2/$L116)-INT((AD$2-1)/$L116))*($T116*(1-$F116)+$S116*(1-$G116))*((1+Inputs!$D$7)^AD$2))),((_xlfn.WEIBULL.DIST(AD$2,$M116,$L116,FALSE)*($T116*(1-$F116)+$S116*(1-$G116))*((1+Inputs!$D$7)^AD$2))))))</f>
        <v>0</v>
      </c>
      <c r="AE116" s="88">
        <f>$E116*IF(AE$2&gt;Inputs!$D$5,0,IF(AE$2&gt;VLOOKUP($H116,Lists!$P$3:$Q$7,2),IF($N116=Lists!$K$3,IF($L116&lt;1,(($U116/$L116)*((1+Inputs!$D$7)^AE$2)),((INT(AE$2/$L116)-INT((AE$2-1)/$L116))*$U116*((1+Inputs!$D$7)^AE$2))),(_xlfn.WEIBULL.DIST(AE$2,$M116,$L116,FALSE)*$U116*((1+Inputs!$D$7)^AE$2))),IF($N116=Lists!$K$3,IF($L116&lt;1,((($T116*(1-$F116)+$S116*(1-$G116))/$L116)*((1+Inputs!$D$7)^AE$2)),((INT(AE$2/$L116)-INT((AE$2-1)/$L116))*($T116*(1-$F116)+$S116*(1-$G116))*((1+Inputs!$D$7)^AE$2))),((_xlfn.WEIBULL.DIST(AE$2,$M116,$L116,FALSE)*($T116*(1-$F116)+$S116*(1-$G116))*((1+Inputs!$D$7)^AE$2))))))</f>
        <v>0</v>
      </c>
      <c r="AF116" s="88">
        <f>$E116*IF(AF$2&gt;Inputs!$D$5,0,IF(AF$2&gt;VLOOKUP($H116,Lists!$P$3:$Q$7,2),IF($N116=Lists!$K$3,IF($L116&lt;1,(($U116/$L116)*((1+Inputs!$D$7)^AF$2)),((INT(AF$2/$L116)-INT((AF$2-1)/$L116))*$U116*((1+Inputs!$D$7)^AF$2))),(_xlfn.WEIBULL.DIST(AF$2,$M116,$L116,FALSE)*$U116*((1+Inputs!$D$7)^AF$2))),IF($N116=Lists!$K$3,IF($L116&lt;1,((($T116*(1-$F116)+$S116*(1-$G116))/$L116)*((1+Inputs!$D$7)^AF$2)),((INT(AF$2/$L116)-INT((AF$2-1)/$L116))*($T116*(1-$F116)+$S116*(1-$G116))*((1+Inputs!$D$7)^AF$2))),((_xlfn.WEIBULL.DIST(AF$2,$M116,$L116,FALSE)*($T116*(1-$F116)+$S116*(1-$G116))*((1+Inputs!$D$7)^AF$2))))))</f>
        <v>0</v>
      </c>
      <c r="AG116" s="88">
        <f>$E116*IF(AG$2&gt;Inputs!$D$5,0,IF(AG$2&gt;VLOOKUP($H116,Lists!$P$3:$Q$7,2),IF($N116=Lists!$K$3,IF($L116&lt;1,(($U116/$L116)*((1+Inputs!$D$7)^AG$2)),((INT(AG$2/$L116)-INT((AG$2-1)/$L116))*$U116*((1+Inputs!$D$7)^AG$2))),(_xlfn.WEIBULL.DIST(AG$2,$M116,$L116,FALSE)*$U116*((1+Inputs!$D$7)^AG$2))),IF($N116=Lists!$K$3,IF($L116&lt;1,((($T116*(1-$F116)+$S116*(1-$G116))/$L116)*((1+Inputs!$D$7)^AG$2)),((INT(AG$2/$L116)-INT((AG$2-1)/$L116))*($T116*(1-$F116)+$S116*(1-$G116))*((1+Inputs!$D$7)^AG$2))),((_xlfn.WEIBULL.DIST(AG$2,$M116,$L116,FALSE)*($T116*(1-$F116)+$S116*(1-$G116))*((1+Inputs!$D$7)^AG$2))))))</f>
        <v>0</v>
      </c>
      <c r="AH116" s="88">
        <f>$E116*IF(AH$2&gt;Inputs!$D$5,0,IF(AH$2&gt;VLOOKUP($H116,Lists!$P$3:$Q$7,2),IF($N116=Lists!$K$3,IF($L116&lt;1,(($U116/$L116)*((1+Inputs!$D$7)^AH$2)),((INT(AH$2/$L116)-INT((AH$2-1)/$L116))*$U116*((1+Inputs!$D$7)^AH$2))),(_xlfn.WEIBULL.DIST(AH$2,$M116,$L116,FALSE)*$U116*((1+Inputs!$D$7)^AH$2))),IF($N116=Lists!$K$3,IF($L116&lt;1,((($T116*(1-$F116)+$S116*(1-$G116))/$L116)*((1+Inputs!$D$7)^AH$2)),((INT(AH$2/$L116)-INT((AH$2-1)/$L116))*($T116*(1-$F116)+$S116*(1-$G116))*((1+Inputs!$D$7)^AH$2))),((_xlfn.WEIBULL.DIST(AH$2,$M116,$L116,FALSE)*($T116*(1-$F116)+$S116*(1-$G116))*((1+Inputs!$D$7)^AH$2))))))</f>
        <v>0</v>
      </c>
      <c r="AI116" s="88">
        <f>$E116*IF(AI$2&gt;Inputs!$D$5,0,IF(AI$2&gt;VLOOKUP($H116,Lists!$P$3:$Q$7,2),IF($N116=Lists!$K$3,IF($L116&lt;1,(($U116/$L116)*((1+Inputs!$D$7)^AI$2)),((INT(AI$2/$L116)-INT((AI$2-1)/$L116))*$U116*((1+Inputs!$D$7)^AI$2))),(_xlfn.WEIBULL.DIST(AI$2,$M116,$L116,FALSE)*$U116*((1+Inputs!$D$7)^AI$2))),IF($N116=Lists!$K$3,IF($L116&lt;1,((($T116*(1-$F116)+$S116*(1-$G116))/$L116)*((1+Inputs!$D$7)^AI$2)),((INT(AI$2/$L116)-INT((AI$2-1)/$L116))*($T116*(1-$F116)+$S116*(1-$G116))*((1+Inputs!$D$7)^AI$2))),((_xlfn.WEIBULL.DIST(AI$2,$M116,$L116,FALSE)*($T116*(1-$F116)+$S116*(1-$G116))*((1+Inputs!$D$7)^AI$2))))))</f>
        <v>0</v>
      </c>
      <c r="AJ116" s="88">
        <f>$E116*IF(AJ$2&gt;Inputs!$D$5,0,IF(AJ$2&gt;VLOOKUP($H116,Lists!$P$3:$Q$7,2),IF($N116=Lists!$K$3,IF($L116&lt;1,(($U116/$L116)*((1+Inputs!$D$7)^AJ$2)),((INT(AJ$2/$L116)-INT((AJ$2-1)/$L116))*$U116*((1+Inputs!$D$7)^AJ$2))),(_xlfn.WEIBULL.DIST(AJ$2,$M116,$L116,FALSE)*$U116*((1+Inputs!$D$7)^AJ$2))),IF($N116=Lists!$K$3,IF($L116&lt;1,((($T116*(1-$F116)+$S116*(1-$G116))/$L116)*((1+Inputs!$D$7)^AJ$2)),((INT(AJ$2/$L116)-INT((AJ$2-1)/$L116))*($T116*(1-$F116)+$S116*(1-$G116))*((1+Inputs!$D$7)^AJ$2))),((_xlfn.WEIBULL.DIST(AJ$2,$M116,$L116,FALSE)*($T116*(1-$F116)+$S116*(1-$G116))*((1+Inputs!$D$7)^AJ$2))))))</f>
        <v>0</v>
      </c>
      <c r="AK116" s="88">
        <f>$E116*IF(AK$2&gt;Inputs!$D$5,0,IF(AK$2&gt;VLOOKUP($H116,Lists!$P$3:$Q$7,2),IF($N116=Lists!$K$3,IF($L116&lt;1,(($U116/$L116)*((1+Inputs!$D$7)^AK$2)),((INT(AK$2/$L116)-INT((AK$2-1)/$L116))*$U116*((1+Inputs!$D$7)^AK$2))),(_xlfn.WEIBULL.DIST(AK$2,$M116,$L116,FALSE)*$U116*((1+Inputs!$D$7)^AK$2))),IF($N116=Lists!$K$3,IF($L116&lt;1,((($T116*(1-$F116)+$S116*(1-$G116))/$L116)*((1+Inputs!$D$7)^AK$2)),((INT(AK$2/$L116)-INT((AK$2-1)/$L116))*($T116*(1-$F116)+$S116*(1-$G116))*((1+Inputs!$D$7)^AK$2))),((_xlfn.WEIBULL.DIST(AK$2,$M116,$L116,FALSE)*($T116*(1-$F116)+$S116*(1-$G116))*((1+Inputs!$D$7)^AK$2))))))</f>
        <v>0</v>
      </c>
      <c r="AL116" s="88">
        <f>$E116*IF(AL$2&gt;Inputs!$D$5,0,IF(AL$2&gt;VLOOKUP($H116,Lists!$P$3:$Q$7,2),IF($N116=Lists!$K$3,IF($L116&lt;1,(($U116/$L116)*((1+Inputs!$D$7)^AL$2)),((INT(AL$2/$L116)-INT((AL$2-1)/$L116))*$U116*((1+Inputs!$D$7)^AL$2))),(_xlfn.WEIBULL.DIST(AL$2,$M116,$L116,FALSE)*$U116*((1+Inputs!$D$7)^AL$2))),IF($N116=Lists!$K$3,IF($L116&lt;1,((($T116*(1-$F116)+$S116*(1-$G116))/$L116)*((1+Inputs!$D$7)^AL$2)),((INT(AL$2/$L116)-INT((AL$2-1)/$L116))*($T116*(1-$F116)+$S116*(1-$G116))*((1+Inputs!$D$7)^AL$2))),((_xlfn.WEIBULL.DIST(AL$2,$M116,$L116,FALSE)*($T116*(1-$F116)+$S116*(1-$G116))*((1+Inputs!$D$7)^AL$2))))))</f>
        <v>0</v>
      </c>
      <c r="AM116" s="88">
        <f>$E116*IF(AM$2&gt;Inputs!$D$5,0,IF(AM$2&gt;VLOOKUP($H116,Lists!$P$3:$Q$7,2),IF($N116=Lists!$K$3,IF($L116&lt;1,(($U116/$L116)*((1+Inputs!$D$7)^AM$2)),((INT(AM$2/$L116)-INT((AM$2-1)/$L116))*$U116*((1+Inputs!$D$7)^AM$2))),(_xlfn.WEIBULL.DIST(AM$2,$M116,$L116,FALSE)*$U116*((1+Inputs!$D$7)^AM$2))),IF($N116=Lists!$K$3,IF($L116&lt;1,((($T116*(1-$F116)+$S116*(1-$G116))/$L116)*((1+Inputs!$D$7)^AM$2)),((INT(AM$2/$L116)-INT((AM$2-1)/$L116))*($T116*(1-$F116)+$S116*(1-$G116))*((1+Inputs!$D$7)^AM$2))),((_xlfn.WEIBULL.DIST(AM$2,$M116,$L116,FALSE)*($T116*(1-$F116)+$S116*(1-$G116))*((1+Inputs!$D$7)^AM$2))))))</f>
        <v>0</v>
      </c>
      <c r="AN116" s="88">
        <f>$E116*IF(AN$2&gt;Inputs!$D$5,0,IF(AN$2&gt;VLOOKUP($H116,Lists!$P$3:$Q$7,2),IF($N116=Lists!$K$3,IF($L116&lt;1,(($U116/$L116)*((1+Inputs!$D$7)^AN$2)),((INT(AN$2/$L116)-INT((AN$2-1)/$L116))*$U116*((1+Inputs!$D$7)^AN$2))),(_xlfn.WEIBULL.DIST(AN$2,$M116,$L116,FALSE)*$U116*((1+Inputs!$D$7)^AN$2))),IF($N116=Lists!$K$3,IF($L116&lt;1,((($T116*(1-$F116)+$S116*(1-$G116))/$L116)*((1+Inputs!$D$7)^AN$2)),((INT(AN$2/$L116)-INT((AN$2-1)/$L116))*($T116*(1-$F116)+$S116*(1-$G116))*((1+Inputs!$D$7)^AN$2))),((_xlfn.WEIBULL.DIST(AN$2,$M116,$L116,FALSE)*($T116*(1-$F116)+$S116*(1-$G116))*((1+Inputs!$D$7)^AN$2))))))</f>
        <v>0</v>
      </c>
      <c r="AO116" s="88">
        <f>$E116*IF(AO$2&gt;Inputs!$D$5,0,IF(AO$2&gt;VLOOKUP($H116,Lists!$P$3:$Q$7,2),IF($N116=Lists!$K$3,IF($L116&lt;1,(($U116/$L116)*((1+Inputs!$D$7)^AO$2)),((INT(AO$2/$L116)-INT((AO$2-1)/$L116))*$U116*((1+Inputs!$D$7)^AO$2))),(_xlfn.WEIBULL.DIST(AO$2,$M116,$L116,FALSE)*$U116*((1+Inputs!$D$7)^AO$2))),IF($N116=Lists!$K$3,IF($L116&lt;1,((($T116*(1-$F116)+$S116*(1-$G116))/$L116)*((1+Inputs!$D$7)^AO$2)),((INT(AO$2/$L116)-INT((AO$2-1)/$L116))*($T116*(1-$F116)+$S116*(1-$G116))*((1+Inputs!$D$7)^AO$2))),((_xlfn.WEIBULL.DIST(AO$2,$M116,$L116,FALSE)*($T116*(1-$F116)+$S116*(1-$G116))*((1+Inputs!$D$7)^AO$2))))))</f>
        <v>0</v>
      </c>
      <c r="AP116" s="88">
        <f>$E116*IF(AP$2&gt;Inputs!$D$5,0,IF(AP$2&gt;VLOOKUP($H116,Lists!$P$3:$Q$7,2),IF($N116=Lists!$K$3,IF($L116&lt;1,(($U116/$L116)*((1+Inputs!$D$7)^AP$2)),((INT(AP$2/$L116)-INT((AP$2-1)/$L116))*$U116*((1+Inputs!$D$7)^AP$2))),(_xlfn.WEIBULL.DIST(AP$2,$M116,$L116,FALSE)*$U116*((1+Inputs!$D$7)^AP$2))),IF($N116=Lists!$K$3,IF($L116&lt;1,((($T116*(1-$F116)+$S116*(1-$G116))/$L116)*((1+Inputs!$D$7)^AP$2)),((INT(AP$2/$L116)-INT((AP$2-1)/$L116))*($T116*(1-$F116)+$S116*(1-$G116))*((1+Inputs!$D$7)^AP$2))),((_xlfn.WEIBULL.DIST(AP$2,$M116,$L116,FALSE)*($T116*(1-$F116)+$S116*(1-$G116))*((1+Inputs!$D$7)^AP$2))))))</f>
        <v>0</v>
      </c>
      <c r="AQ116" s="88">
        <f>$E116*IF(AQ$2&gt;Inputs!$D$5,0,IF(AQ$2&gt;VLOOKUP($H116,Lists!$P$3:$Q$7,2),IF($N116=Lists!$K$3,IF($L116&lt;1,(($U116/$L116)*((1+Inputs!$D$7)^AQ$2)),((INT(AQ$2/$L116)-INT((AQ$2-1)/$L116))*$U116*((1+Inputs!$D$7)^AQ$2))),(_xlfn.WEIBULL.DIST(AQ$2,$M116,$L116,FALSE)*$U116*((1+Inputs!$D$7)^AQ$2))),IF($N116=Lists!$K$3,IF($L116&lt;1,((($T116*(1-$F116)+$S116*(1-$G116))/$L116)*((1+Inputs!$D$7)^AQ$2)),((INT(AQ$2/$L116)-INT((AQ$2-1)/$L116))*($T116*(1-$F116)+$S116*(1-$G116))*((1+Inputs!$D$7)^AQ$2))),((_xlfn.WEIBULL.DIST(AQ$2,$M116,$L116,FALSE)*($T116*(1-$F116)+$S116*(1-$G116))*((1+Inputs!$D$7)^AQ$2))))))</f>
        <v>0</v>
      </c>
      <c r="AR116" s="88">
        <f>$E116*IF(AR$2&gt;Inputs!$D$5,0,IF(AR$2&gt;VLOOKUP($H116,Lists!$P$3:$Q$7,2),IF($N116=Lists!$K$3,IF($L116&lt;1,(($U116/$L116)*((1+Inputs!$D$7)^AR$2)),((INT(AR$2/$L116)-INT((AR$2-1)/$L116))*$U116*((1+Inputs!$D$7)^AR$2))),(_xlfn.WEIBULL.DIST(AR$2,$M116,$L116,FALSE)*$U116*((1+Inputs!$D$7)^AR$2))),IF($N116=Lists!$K$3,IF($L116&lt;1,((($T116*(1-$F116)+$S116*(1-$G116))/$L116)*((1+Inputs!$D$7)^AR$2)),((INT(AR$2/$L116)-INT((AR$2-1)/$L116))*($T116*(1-$F116)+$S116*(1-$G116))*((1+Inputs!$D$7)^AR$2))),((_xlfn.WEIBULL.DIST(AR$2,$M116,$L116,FALSE)*($T116*(1-$F116)+$S116*(1-$G116))*((1+Inputs!$D$7)^AR$2))))))</f>
        <v>0</v>
      </c>
      <c r="AS116" s="88">
        <f>$E116*IF(AS$2&gt;Inputs!$D$5,0,IF(AS$2&gt;VLOOKUP($H116,Lists!$P$3:$Q$7,2),IF($N116=Lists!$K$3,IF($L116&lt;1,(($U116/$L116)*((1+Inputs!$D$7)^AS$2)),((INT(AS$2/$L116)-INT((AS$2-1)/$L116))*$U116*((1+Inputs!$D$7)^AS$2))),(_xlfn.WEIBULL.DIST(AS$2,$M116,$L116,FALSE)*$U116*((1+Inputs!$D$7)^AS$2))),IF($N116=Lists!$K$3,IF($L116&lt;1,((($T116*(1-$F116)+$S116*(1-$G116))/$L116)*((1+Inputs!$D$7)^AS$2)),((INT(AS$2/$L116)-INT((AS$2-1)/$L116))*($T116*(1-$F116)+$S116*(1-$G116))*((1+Inputs!$D$7)^AS$2))),((_xlfn.WEIBULL.DIST(AS$2,$M116,$L116,FALSE)*($T116*(1-$F116)+$S116*(1-$G116))*((1+Inputs!$D$7)^AS$2))))))</f>
        <v>0</v>
      </c>
      <c r="AT116" s="88">
        <f>$E116*IF(AT$2&gt;Inputs!$D$5,0,IF(AT$2&gt;VLOOKUP($H116,Lists!$P$3:$Q$7,2),IF($N116=Lists!$K$3,IF($L116&lt;1,(($U116/$L116)*((1+Inputs!$D$7)^AT$2)),((INT(AT$2/$L116)-INT((AT$2-1)/$L116))*$U116*((1+Inputs!$D$7)^AT$2))),(_xlfn.WEIBULL.DIST(AT$2,$M116,$L116,FALSE)*$U116*((1+Inputs!$D$7)^AT$2))),IF($N116=Lists!$K$3,IF($L116&lt;1,((($T116*(1-$F116)+$S116*(1-$G116))/$L116)*((1+Inputs!$D$7)^AT$2)),((INT(AT$2/$L116)-INT((AT$2-1)/$L116))*($T116*(1-$F116)+$S116*(1-$G116))*((1+Inputs!$D$7)^AT$2))),((_xlfn.WEIBULL.DIST(AT$2,$M116,$L116,FALSE)*($T116*(1-$F116)+$S116*(1-$G116))*((1+Inputs!$D$7)^AT$2))))))</f>
        <v>0</v>
      </c>
      <c r="AU116" s="88">
        <f>$E116*IF(AU$2&gt;Inputs!$D$5,0,IF(AU$2&gt;VLOOKUP($H116,Lists!$P$3:$Q$7,2),IF($N116=Lists!$K$3,IF($L116&lt;1,(($U116/$L116)*((1+Inputs!$D$7)^AU$2)),((INT(AU$2/$L116)-INT((AU$2-1)/$L116))*$U116*((1+Inputs!$D$7)^AU$2))),(_xlfn.WEIBULL.DIST(AU$2,$M116,$L116,FALSE)*$U116*((1+Inputs!$D$7)^AU$2))),IF($N116=Lists!$K$3,IF($L116&lt;1,((($T116*(1-$F116)+$S116*(1-$G116))/$L116)*((1+Inputs!$D$7)^AU$2)),((INT(AU$2/$L116)-INT((AU$2-1)/$L116))*($T116*(1-$F116)+$S116*(1-$G116))*((1+Inputs!$D$7)^AU$2))),((_xlfn.WEIBULL.DIST(AU$2,$M116,$L116,FALSE)*($T116*(1-$F116)+$S116*(1-$G116))*((1+Inputs!$D$7)^AU$2))))))</f>
        <v>0</v>
      </c>
      <c r="AV116" s="88">
        <f>$E116*IF(AV$2&gt;Inputs!$D$5,0,IF(AV$2&gt;VLOOKUP($H116,Lists!$P$3:$Q$7,2),IF($N116=Lists!$K$3,IF($L116&lt;1,(($U116/$L116)*((1+Inputs!$D$7)^AV$2)),((INT(AV$2/$L116)-INT((AV$2-1)/$L116))*$U116*((1+Inputs!$D$7)^AV$2))),(_xlfn.WEIBULL.DIST(AV$2,$M116,$L116,FALSE)*$U116*((1+Inputs!$D$7)^AV$2))),IF($N116=Lists!$K$3,IF($L116&lt;1,((($T116*(1-$F116)+$S116*(1-$G116))/$L116)*((1+Inputs!$D$7)^AV$2)),((INT(AV$2/$L116)-INT((AV$2-1)/$L116))*($T116*(1-$F116)+$S116*(1-$G116))*((1+Inputs!$D$7)^AV$2))),((_xlfn.WEIBULL.DIST(AV$2,$M116,$L116,FALSE)*($T116*(1-$F116)+$S116*(1-$G116))*((1+Inputs!$D$7)^AV$2))))))</f>
        <v>0</v>
      </c>
      <c r="AW116" s="88">
        <f>$E116*IF(AW$2&gt;Inputs!$D$5,0,IF(AW$2&gt;VLOOKUP($H116,Lists!$P$3:$Q$7,2),IF($N116=Lists!$K$3,IF($L116&lt;1,(($U116/$L116)*((1+Inputs!$D$7)^AW$2)),((INT(AW$2/$L116)-INT((AW$2-1)/$L116))*$U116*((1+Inputs!$D$7)^AW$2))),(_xlfn.WEIBULL.DIST(AW$2,$M116,$L116,FALSE)*$U116*((1+Inputs!$D$7)^AW$2))),IF($N116=Lists!$K$3,IF($L116&lt;1,((($T116*(1-$F116)+$S116*(1-$G116))/$L116)*((1+Inputs!$D$7)^AW$2)),((INT(AW$2/$L116)-INT((AW$2-1)/$L116))*($T116*(1-$F116)+$S116*(1-$G116))*((1+Inputs!$D$7)^AW$2))),((_xlfn.WEIBULL.DIST(AW$2,$M116,$L116,FALSE)*($T116*(1-$F116)+$S116*(1-$G116))*((1+Inputs!$D$7)^AW$2))))))</f>
        <v>0</v>
      </c>
      <c r="AX116" s="88">
        <f>$E116*IF(AX$2&gt;Inputs!$D$5,0,IF(AX$2&gt;VLOOKUP($H116,Lists!$P$3:$Q$7,2),IF($N116=Lists!$K$3,IF($L116&lt;1,(($U116/$L116)*((1+Inputs!$D$7)^AX$2)),((INT(AX$2/$L116)-INT((AX$2-1)/$L116))*$U116*((1+Inputs!$D$7)^AX$2))),(_xlfn.WEIBULL.DIST(AX$2,$M116,$L116,FALSE)*$U116*((1+Inputs!$D$7)^AX$2))),IF($N116=Lists!$K$3,IF($L116&lt;1,((($T116*(1-$F116)+$S116*(1-$G116))/$L116)*((1+Inputs!$D$7)^AX$2)),((INT(AX$2/$L116)-INT((AX$2-1)/$L116))*($T116*(1-$F116)+$S116*(1-$G116))*((1+Inputs!$D$7)^AX$2))),((_xlfn.WEIBULL.DIST(AX$2,$M116,$L116,FALSE)*($T116*(1-$F116)+$S116*(1-$G116))*((1+Inputs!$D$7)^AX$2))))))</f>
        <v>0</v>
      </c>
      <c r="AY116" s="88">
        <f>$E116*IF(AY$2&gt;Inputs!$D$5,0,IF(AY$2&gt;VLOOKUP($H116,Lists!$P$3:$Q$7,2),IF($N116=Lists!$K$3,IF($L116&lt;1,(($U116/$L116)*((1+Inputs!$D$7)^AY$2)),((INT(AY$2/$L116)-INT((AY$2-1)/$L116))*$U116*((1+Inputs!$D$7)^AY$2))),(_xlfn.WEIBULL.DIST(AY$2,$M116,$L116,FALSE)*$U116*((1+Inputs!$D$7)^AY$2))),IF($N116=Lists!$K$3,IF($L116&lt;1,((($T116*(1-$F116)+$S116*(1-$G116))/$L116)*((1+Inputs!$D$7)^AY$2)),((INT(AY$2/$L116)-INT((AY$2-1)/$L116))*($T116*(1-$F116)+$S116*(1-$G116))*((1+Inputs!$D$7)^AY$2))),((_xlfn.WEIBULL.DIST(AY$2,$M116,$L116,FALSE)*($T116*(1-$F116)+$S116*(1-$G116))*((1+Inputs!$D$7)^AY$2))))))</f>
        <v>0</v>
      </c>
      <c r="AZ116" s="88">
        <f>$E116*IF(AZ$2&gt;Inputs!$D$5,0,IF(AZ$2&gt;VLOOKUP($H116,Lists!$P$3:$Q$7,2),IF($N116=Lists!$K$3,IF($L116&lt;1,(($U116/$L116)*((1+Inputs!$D$7)^AZ$2)),((INT(AZ$2/$L116)-INT((AZ$2-1)/$L116))*$U116*((1+Inputs!$D$7)^AZ$2))),(_xlfn.WEIBULL.DIST(AZ$2,$M116,$L116,FALSE)*$U116*((1+Inputs!$D$7)^AZ$2))),IF($N116=Lists!$K$3,IF($L116&lt;1,((($T116*(1-$F116)+$S116*(1-$G116))/$L116)*((1+Inputs!$D$7)^AZ$2)),((INT(AZ$2/$L116)-INT((AZ$2-1)/$L116))*($T116*(1-$F116)+$S116*(1-$G116))*((1+Inputs!$D$7)^AZ$2))),((_xlfn.WEIBULL.DIST(AZ$2,$M116,$L116,FALSE)*($T116*(1-$F116)+$S116*(1-$G116))*((1+Inputs!$D$7)^AZ$2))))))</f>
        <v>0</v>
      </c>
      <c r="BA116" s="88">
        <f>$E116*IF(BA$2&gt;Inputs!$D$5,0,IF(BA$2&gt;VLOOKUP($H116,Lists!$P$3:$Q$7,2),IF($N116=Lists!$K$3,IF($L116&lt;1,(($U116/$L116)*((1+Inputs!$D$7)^BA$2)),((INT(BA$2/$L116)-INT((BA$2-1)/$L116))*$U116*((1+Inputs!$D$7)^BA$2))),(_xlfn.WEIBULL.DIST(BA$2,$M116,$L116,FALSE)*$U116*((1+Inputs!$D$7)^BA$2))),IF($N116=Lists!$K$3,IF($L116&lt;1,((($T116*(1-$F116)+$S116*(1-$G116))/$L116)*((1+Inputs!$D$7)^BA$2)),((INT(BA$2/$L116)-INT((BA$2-1)/$L116))*($T116*(1-$F116)+$S116*(1-$G116))*((1+Inputs!$D$7)^BA$2))),((_xlfn.WEIBULL.DIST(BA$2,$M116,$L116,FALSE)*($T116*(1-$F116)+$S116*(1-$G116))*((1+Inputs!$D$7)^BA$2))))))</f>
        <v>0</v>
      </c>
      <c r="BB116" s="88">
        <f>$E116*IF(BB$2&gt;Inputs!$D$5,0,IF(BB$2&gt;VLOOKUP($H116,Lists!$P$3:$Q$7,2),IF($N116=Lists!$K$3,IF($L116&lt;1,(($U116/$L116)*((1+Inputs!$D$7)^BB$2)),((INT(BB$2/$L116)-INT((BB$2-1)/$L116))*$U116*((1+Inputs!$D$7)^BB$2))),(_xlfn.WEIBULL.DIST(BB$2,$M116,$L116,FALSE)*$U116*((1+Inputs!$D$7)^BB$2))),IF($N116=Lists!$K$3,IF($L116&lt;1,((($T116*(1-$F116)+$S116*(1-$G116))/$L116)*((1+Inputs!$D$7)^BB$2)),((INT(BB$2/$L116)-INT((BB$2-1)/$L116))*($T116*(1-$F116)+$S116*(1-$G116))*((1+Inputs!$D$7)^BB$2))),((_xlfn.WEIBULL.DIST(BB$2,$M116,$L116,FALSE)*($T116*(1-$F116)+$S116*(1-$G116))*((1+Inputs!$D$7)^BB$2))))))</f>
        <v>0</v>
      </c>
      <c r="BC116" s="88">
        <f>$E116*IF(BC$2&gt;Inputs!$D$5,0,IF(BC$2&gt;VLOOKUP($H116,Lists!$P$3:$Q$7,2),IF($N116=Lists!$K$3,IF($L116&lt;1,(($U116/$L116)*((1+Inputs!$D$7)^BC$2)),((INT(BC$2/$L116)-INT((BC$2-1)/$L116))*$U116*((1+Inputs!$D$7)^BC$2))),(_xlfn.WEIBULL.DIST(BC$2,$M116,$L116,FALSE)*$U116*((1+Inputs!$D$7)^BC$2))),IF($N116=Lists!$K$3,IF($L116&lt;1,((($T116*(1-$F116)+$S116*(1-$G116))/$L116)*((1+Inputs!$D$7)^BC$2)),((INT(BC$2/$L116)-INT((BC$2-1)/$L116))*($T116*(1-$F116)+$S116*(1-$G116))*((1+Inputs!$D$7)^BC$2))),((_xlfn.WEIBULL.DIST(BC$2,$M116,$L116,FALSE)*($T116*(1-$F116)+$S116*(1-$G116))*((1+Inputs!$D$7)^BC$2))))))</f>
        <v>0</v>
      </c>
      <c r="BD116" s="88">
        <f>$E116*IF(BD$2&gt;Inputs!$D$5,0,IF(BD$2&gt;VLOOKUP($H116,Lists!$P$3:$Q$7,2),IF($N116=Lists!$K$3,IF($L116&lt;1,(($U116/$L116)*((1+Inputs!$D$7)^BD$2)),((INT(BD$2/$L116)-INT((BD$2-1)/$L116))*$U116*((1+Inputs!$D$7)^BD$2))),(_xlfn.WEIBULL.DIST(BD$2,$M116,$L116,FALSE)*$U116*((1+Inputs!$D$7)^BD$2))),IF($N116=Lists!$K$3,IF($L116&lt;1,((($T116*(1-$F116)+$S116*(1-$G116))/$L116)*((1+Inputs!$D$7)^BD$2)),((INT(BD$2/$L116)-INT((BD$2-1)/$L116))*($T116*(1-$F116)+$S116*(1-$G116))*((1+Inputs!$D$7)^BD$2))),((_xlfn.WEIBULL.DIST(BD$2,$M116,$L116,FALSE)*($T116*(1-$F116)+$S116*(1-$G116))*((1+Inputs!$D$7)^BD$2))))))</f>
        <v>0</v>
      </c>
      <c r="BE116" s="88">
        <f>$E116*IF(BE$2&gt;Inputs!$D$5,0,IF(BE$2&gt;VLOOKUP($H116,Lists!$P$3:$Q$7,2),IF($N116=Lists!$K$3,IF($L116&lt;1,(($U116/$L116)*((1+Inputs!$D$7)^BE$2)),((INT(BE$2/$L116)-INT((BE$2-1)/$L116))*$U116*((1+Inputs!$D$7)^BE$2))),(_xlfn.WEIBULL.DIST(BE$2,$M116,$L116,FALSE)*$U116*((1+Inputs!$D$7)^BE$2))),IF($N116=Lists!$K$3,IF($L116&lt;1,((($T116*(1-$F116)+$S116*(1-$G116))/$L116)*((1+Inputs!$D$7)^BE$2)),((INT(BE$2/$L116)-INT((BE$2-1)/$L116))*($T116*(1-$F116)+$S116*(1-$G116))*((1+Inputs!$D$7)^BE$2))),((_xlfn.WEIBULL.DIST(BE$2,$M116,$L116,FALSE)*($T116*(1-$F116)+$S116*(1-$G116))*((1+Inputs!$D$7)^BE$2))))))</f>
        <v>0</v>
      </c>
      <c r="BF116" s="88">
        <f>$E116*IF(BF$2&gt;Inputs!$D$5,0,IF(BF$2&gt;VLOOKUP($H116,Lists!$P$3:$Q$7,2),IF($N116=Lists!$K$3,IF($L116&lt;1,(($U116/$L116)*((1+Inputs!$D$7)^BF$2)),((INT(BF$2/$L116)-INT((BF$2-1)/$L116))*$U116*((1+Inputs!$D$7)^BF$2))),(_xlfn.WEIBULL.DIST(BF$2,$M116,$L116,FALSE)*$U116*((1+Inputs!$D$7)^BF$2))),IF($N116=Lists!$K$3,IF($L116&lt;1,((($T116*(1-$F116)+$S116*(1-$G116))/$L116)*((1+Inputs!$D$7)^BF$2)),((INT(BF$2/$L116)-INT((BF$2-1)/$L116))*($T116*(1-$F116)+$S116*(1-$G116))*((1+Inputs!$D$7)^BF$2))),((_xlfn.WEIBULL.DIST(BF$2,$M116,$L116,FALSE)*($T116*(1-$F116)+$S116*(1-$G116))*((1+Inputs!$D$7)^BF$2))))))</f>
        <v>0</v>
      </c>
      <c r="BG116" s="88">
        <f>$E116*IF(BG$2&gt;Inputs!$D$5,0,IF(BG$2&gt;VLOOKUP($H116,Lists!$P$3:$Q$7,2),IF($N116=Lists!$K$3,IF($L116&lt;1,(($U116/$L116)*((1+Inputs!$D$7)^BG$2)),((INT(BG$2/$L116)-INT((BG$2-1)/$L116))*$U116*((1+Inputs!$D$7)^BG$2))),(_xlfn.WEIBULL.DIST(BG$2,$M116,$L116,FALSE)*$U116*((1+Inputs!$D$7)^BG$2))),IF($N116=Lists!$K$3,IF($L116&lt;1,((($T116*(1-$F116)+$S116*(1-$G116))/$L116)*((1+Inputs!$D$7)^BG$2)),((INT(BG$2/$L116)-INT((BG$2-1)/$L116))*($T116*(1-$F116)+$S116*(1-$G116))*((1+Inputs!$D$7)^BG$2))),((_xlfn.WEIBULL.DIST(BG$2,$M116,$L116,FALSE)*($T116*(1-$F116)+$S116*(1-$G116))*((1+Inputs!$D$7)^BG$2))))))</f>
        <v>0</v>
      </c>
      <c r="BH116" s="88">
        <f>$E116*IF(BH$2&gt;Inputs!$D$5,0,IF(BH$2&gt;VLOOKUP($H116,Lists!$P$3:$Q$7,2),IF($N116=Lists!$K$3,IF($L116&lt;1,(($U116/$L116)*((1+Inputs!$D$7)^BH$2)),((INT(BH$2/$L116)-INT((BH$2-1)/$L116))*$U116*((1+Inputs!$D$7)^BH$2))),(_xlfn.WEIBULL.DIST(BH$2,$M116,$L116,FALSE)*$U116*((1+Inputs!$D$7)^BH$2))),IF($N116=Lists!$K$3,IF($L116&lt;1,((($T116*(1-$F116)+$S116*(1-$G116))/$L116)*((1+Inputs!$D$7)^BH$2)),((INT(BH$2/$L116)-INT((BH$2-1)/$L116))*($T116*(1-$F116)+$S116*(1-$G116))*((1+Inputs!$D$7)^BH$2))),((_xlfn.WEIBULL.DIST(BH$2,$M116,$L116,FALSE)*($T116*(1-$F116)+$S116*(1-$G116))*((1+Inputs!$D$7)^BH$2))))))</f>
        <v>0</v>
      </c>
      <c r="BI116" s="88">
        <f>$E116*IF(BI$2&gt;Inputs!$D$5,0,IF(BI$2&gt;VLOOKUP($H116,Lists!$P$3:$Q$7,2),IF($N116=Lists!$K$3,IF($L116&lt;1,(($U116/$L116)*((1+Inputs!$D$7)^BI$2)),((INT(BI$2/$L116)-INT((BI$2-1)/$L116))*$U116*((1+Inputs!$D$7)^BI$2))),(_xlfn.WEIBULL.DIST(BI$2,$M116,$L116,FALSE)*$U116*((1+Inputs!$D$7)^BI$2))),IF($N116=Lists!$K$3,IF($L116&lt;1,((($T116*(1-$F116)+$S116*(1-$G116))/$L116)*((1+Inputs!$D$7)^BI$2)),((INT(BI$2/$L116)-INT((BI$2-1)/$L116))*($T116*(1-$F116)+$S116*(1-$G116))*((1+Inputs!$D$7)^BI$2))),((_xlfn.WEIBULL.DIST(BI$2,$M116,$L116,FALSE)*($T116*(1-$F116)+$S116*(1-$G116))*((1+Inputs!$D$7)^BI$2))))))</f>
        <v>0</v>
      </c>
      <c r="BJ116" s="88">
        <f>$E116*IF(BJ$2&gt;Inputs!$D$5,0,IF(BJ$2&gt;VLOOKUP($H116,Lists!$P$3:$Q$7,2),IF($N116=Lists!$K$3,IF($L116&lt;1,(($U116/$L116)*((1+Inputs!$D$7)^BJ$2)),((INT(BJ$2/$L116)-INT((BJ$2-1)/$L116))*$U116*((1+Inputs!$D$7)^BJ$2))),(_xlfn.WEIBULL.DIST(BJ$2,$M116,$L116,FALSE)*$U116*((1+Inputs!$D$7)^BJ$2))),IF($N116=Lists!$K$3,IF($L116&lt;1,((($T116*(1-$F116)+$S116*(1-$G116))/$L116)*((1+Inputs!$D$7)^BJ$2)),((INT(BJ$2/$L116)-INT((BJ$2-1)/$L116))*($T116*(1-$F116)+$S116*(1-$G116))*((1+Inputs!$D$7)^BJ$2))),((_xlfn.WEIBULL.DIST(BJ$2,$M116,$L116,FALSE)*($T116*(1-$F116)+$S116*(1-$G116))*((1+Inputs!$D$7)^BJ$2))))))</f>
        <v>0</v>
      </c>
      <c r="BK116" s="88">
        <f>$E116*IF(BK$2&gt;Inputs!$D$5,0,IF(BK$2&gt;VLOOKUP($H116,Lists!$P$3:$Q$7,2),IF($N116=Lists!$K$3,IF($L116&lt;1,(($U116/$L116)*((1+Inputs!$D$7)^BK$2)),((INT(BK$2/$L116)-INT((BK$2-1)/$L116))*$U116*((1+Inputs!$D$7)^BK$2))),(_xlfn.WEIBULL.DIST(BK$2,$M116,$L116,FALSE)*$U116*((1+Inputs!$D$7)^BK$2))),IF($N116=Lists!$K$3,IF($L116&lt;1,((($T116*(1-$F116)+$S116*(1-$G116))/$L116)*((1+Inputs!$D$7)^BK$2)),((INT(BK$2/$L116)-INT((BK$2-1)/$L116))*($T116*(1-$F116)+$S116*(1-$G116))*((1+Inputs!$D$7)^BK$2))),((_xlfn.WEIBULL.DIST(BK$2,$M116,$L116,FALSE)*($T116*(1-$F116)+$S116*(1-$G116))*((1+Inputs!$D$7)^BK$2))))))</f>
        <v>0</v>
      </c>
      <c r="BL116" s="88">
        <f>$E116*IF(BL$2&gt;Inputs!$D$5,0,IF(BL$2&gt;VLOOKUP($H116,Lists!$P$3:$Q$7,2),IF($N116=Lists!$K$3,IF($L116&lt;1,(($U116/$L116)*((1+Inputs!$D$7)^BL$2)),((INT(BL$2/$L116)-INT((BL$2-1)/$L116))*$U116*((1+Inputs!$D$7)^BL$2))),(_xlfn.WEIBULL.DIST(BL$2,$M116,$L116,FALSE)*$U116*((1+Inputs!$D$7)^BL$2))),IF($N116=Lists!$K$3,IF($L116&lt;1,((($T116*(1-$F116)+$S116*(1-$G116))/$L116)*((1+Inputs!$D$7)^BL$2)),((INT(BL$2/$L116)-INT((BL$2-1)/$L116))*($T116*(1-$F116)+$S116*(1-$G116))*((1+Inputs!$D$7)^BL$2))),((_xlfn.WEIBULL.DIST(BL$2,$M116,$L116,FALSE)*($T116*(1-$F116)+$S116*(1-$G116))*((1+Inputs!$D$7)^BL$2))))))</f>
        <v>0</v>
      </c>
      <c r="BM116" s="88">
        <f>$E116*IF(BM$2&gt;Inputs!$D$5,0,IF(BM$2&gt;VLOOKUP($H116,Lists!$P$3:$Q$7,2),IF($N116=Lists!$K$3,IF($L116&lt;1,(($U116/$L116)*((1+Inputs!$D$7)^BM$2)),((INT(BM$2/$L116)-INT((BM$2-1)/$L116))*$U116*((1+Inputs!$D$7)^BM$2))),(_xlfn.WEIBULL.DIST(BM$2,$M116,$L116,FALSE)*$U116*((1+Inputs!$D$7)^BM$2))),IF($N116=Lists!$K$3,IF($L116&lt;1,((($T116*(1-$F116)+$S116*(1-$G116))/$L116)*((1+Inputs!$D$7)^BM$2)),((INT(BM$2/$L116)-INT((BM$2-1)/$L116))*($T116*(1-$F116)+$S116*(1-$G116))*((1+Inputs!$D$7)^BM$2))),((_xlfn.WEIBULL.DIST(BM$2,$M116,$L116,FALSE)*($T116*(1-$F116)+$S116*(1-$G116))*((1+Inputs!$D$7)^BM$2))))))</f>
        <v>0</v>
      </c>
      <c r="BN116" s="88">
        <f>$E116*IF(BN$2&gt;Inputs!$D$5,0,IF(BN$2&gt;VLOOKUP($H116,Lists!$P$3:$Q$7,2),IF($N116=Lists!$K$3,IF($L116&lt;1,(($U116/$L116)*((1+Inputs!$D$7)^BN$2)),((INT(BN$2/$L116)-INT((BN$2-1)/$L116))*$U116*((1+Inputs!$D$7)^BN$2))),(_xlfn.WEIBULL.DIST(BN$2,$M116,$L116,FALSE)*$U116*((1+Inputs!$D$7)^BN$2))),IF($N116=Lists!$K$3,IF($L116&lt;1,((($T116*(1-$F116)+$S116*(1-$G116))/$L116)*((1+Inputs!$D$7)^BN$2)),((INT(BN$2/$L116)-INT((BN$2-1)/$L116))*($T116*(1-$F116)+$S116*(1-$G116))*((1+Inputs!$D$7)^BN$2))),((_xlfn.WEIBULL.DIST(BN$2,$M116,$L116,FALSE)*($T116*(1-$F116)+$S116*(1-$G116))*((1+Inputs!$D$7)^BN$2))))))</f>
        <v>0</v>
      </c>
      <c r="BO116" s="64">
        <f>NPV(Inputs!$D$6,BQ116:DD116)</f>
        <v>0</v>
      </c>
      <c r="BP116" s="67">
        <f t="shared" si="27"/>
        <v>0</v>
      </c>
      <c r="BQ116" s="88">
        <f>MAX(AA116,($E116*IF(BQ$2&gt;Inputs!$D$5,0,IF(BQ$2&gt;VLOOKUP($H116,Lists!$P$3:$Q$7,2),IF($N116=Lists!$K$3,IF($L116&lt;1,(($U116/$L116)*((1+Inputs!$D$7)^BQ$2)),((INT(BQ$2/$L116)-INT((BQ$2-1)/$L116))*$U116*((1+Inputs!$D$7)^BQ$2))),(Inputs!$D$8^((1-_xlfn.WEIBULL.DIST(BQ$2,$M116,$L116,FALSE))/_xlfn.WEIBULL.DIST(BQ$2,$M116,$L116,FALSE))*$U116*((1+Inputs!$D$7)^BQ$2))),IF($N116=Lists!$K$3,IF($L116&lt;1,((($T116*(1-$F116)+$S116*(1-$G116))/$L116)*((1+Inputs!$D$7)^BQ$2)),((INT(BQ$2/$L116)-INT((BQ$2-1)/$L116))*($T116*(1-$F116)+$S116*(1-$G116))*((1+Inputs!$D$7)^BQ$2))),((Inputs!$D$8^((1-_xlfn.WEIBULL.DIST(BQ$2,$M116,$L116,FALSE))/_xlfn.WEIBULL.DIST(BQ$2,$M116,$L116,FALSE))*($T116*(1-$F116)+$S116*(1-$G116))*((1+Inputs!$D$7)^BQ$2))))))))</f>
        <v>0</v>
      </c>
      <c r="BR116" s="88">
        <f>MAX(AB116,($E116*IF(BR$2&gt;Inputs!$D$5,0,IF(BR$2&gt;VLOOKUP($H116,Lists!$P$3:$Q$7,2),IF($N116=Lists!$K$3,IF($L116&lt;1,(($U116/$L116)*((1+Inputs!$D$7)^BR$2)),((INT(BR$2/$L116)-INT((BR$2-1)/$L116))*$U116*((1+Inputs!$D$7)^BR$2))),(Inputs!$D$8^((1-_xlfn.WEIBULL.DIST(BR$2,$M116,$L116,FALSE))/_xlfn.WEIBULL.DIST(BR$2,$M116,$L116,FALSE))*$U116*((1+Inputs!$D$7)^BR$2))),IF($N116=Lists!$K$3,IF($L116&lt;1,((($T116*(1-$F116)+$S116*(1-$G116))/$L116)*((1+Inputs!$D$7)^BR$2)),((INT(BR$2/$L116)-INT((BR$2-1)/$L116))*($T116*(1-$F116)+$S116*(1-$G116))*((1+Inputs!$D$7)^BR$2))),((Inputs!$D$8^((1-_xlfn.WEIBULL.DIST(BR$2,$M116,$L116,FALSE))/_xlfn.WEIBULL.DIST(BR$2,$M116,$L116,FALSE))*($T116*(1-$F116)+$S116*(1-$G116))*((1+Inputs!$D$7)^BR$2))))))))</f>
        <v>0</v>
      </c>
      <c r="BS116" s="88">
        <f>MAX(AC116,($E116*IF(BS$2&gt;Inputs!$D$5,0,IF(BS$2&gt;VLOOKUP($H116,Lists!$P$3:$Q$7,2),IF($N116=Lists!$K$3,IF($L116&lt;1,(($U116/$L116)*((1+Inputs!$D$7)^BS$2)),((INT(BS$2/$L116)-INT((BS$2-1)/$L116))*$U116*((1+Inputs!$D$7)^BS$2))),(Inputs!$D$8^((1-_xlfn.WEIBULL.DIST(BS$2,$M116,$L116,FALSE))/_xlfn.WEIBULL.DIST(BS$2,$M116,$L116,FALSE))*$U116*((1+Inputs!$D$7)^BS$2))),IF($N116=Lists!$K$3,IF($L116&lt;1,((($T116*(1-$F116)+$S116*(1-$G116))/$L116)*((1+Inputs!$D$7)^BS$2)),((INT(BS$2/$L116)-INT((BS$2-1)/$L116))*($T116*(1-$F116)+$S116*(1-$G116))*((1+Inputs!$D$7)^BS$2))),((Inputs!$D$8^((1-_xlfn.WEIBULL.DIST(BS$2,$M116,$L116,FALSE))/_xlfn.WEIBULL.DIST(BS$2,$M116,$L116,FALSE))*($T116*(1-$F116)+$S116*(1-$G116))*((1+Inputs!$D$7)^BS$2))))))))</f>
        <v>0</v>
      </c>
      <c r="BT116" s="88">
        <f>MAX(AD116,($E116*IF(BT$2&gt;Inputs!$D$5,0,IF(BT$2&gt;VLOOKUP($H116,Lists!$P$3:$Q$7,2),IF($N116=Lists!$K$3,IF($L116&lt;1,(($U116/$L116)*((1+Inputs!$D$7)^BT$2)),((INT(BT$2/$L116)-INT((BT$2-1)/$L116))*$U116*((1+Inputs!$D$7)^BT$2))),(Inputs!$D$8^((1-_xlfn.WEIBULL.DIST(BT$2,$M116,$L116,FALSE))/_xlfn.WEIBULL.DIST(BT$2,$M116,$L116,FALSE))*$U116*((1+Inputs!$D$7)^BT$2))),IF($N116=Lists!$K$3,IF($L116&lt;1,((($T116*(1-$F116)+$S116*(1-$G116))/$L116)*((1+Inputs!$D$7)^BT$2)),((INT(BT$2/$L116)-INT((BT$2-1)/$L116))*($T116*(1-$F116)+$S116*(1-$G116))*((1+Inputs!$D$7)^BT$2))),((Inputs!$D$8^((1-_xlfn.WEIBULL.DIST(BT$2,$M116,$L116,FALSE))/_xlfn.WEIBULL.DIST(BT$2,$M116,$L116,FALSE))*($T116*(1-$F116)+$S116*(1-$G116))*((1+Inputs!$D$7)^BT$2))))))))</f>
        <v>0</v>
      </c>
      <c r="BU116" s="88">
        <f>MAX(AE116,($E116*IF(BU$2&gt;Inputs!$D$5,0,IF(BU$2&gt;VLOOKUP($H116,Lists!$P$3:$Q$7,2),IF($N116=Lists!$K$3,IF($L116&lt;1,(($U116/$L116)*((1+Inputs!$D$7)^BU$2)),((INT(BU$2/$L116)-INT((BU$2-1)/$L116))*$U116*((1+Inputs!$D$7)^BU$2))),(Inputs!$D$8^((1-_xlfn.WEIBULL.DIST(BU$2,$M116,$L116,FALSE))/_xlfn.WEIBULL.DIST(BU$2,$M116,$L116,FALSE))*$U116*((1+Inputs!$D$7)^BU$2))),IF($N116=Lists!$K$3,IF($L116&lt;1,((($T116*(1-$F116)+$S116*(1-$G116))/$L116)*((1+Inputs!$D$7)^BU$2)),((INT(BU$2/$L116)-INT((BU$2-1)/$L116))*($T116*(1-$F116)+$S116*(1-$G116))*((1+Inputs!$D$7)^BU$2))),((Inputs!$D$8^((1-_xlfn.WEIBULL.DIST(BU$2,$M116,$L116,FALSE))/_xlfn.WEIBULL.DIST(BU$2,$M116,$L116,FALSE))*($T116*(1-$F116)+$S116*(1-$G116))*((1+Inputs!$D$7)^BU$2))))))))</f>
        <v>0</v>
      </c>
      <c r="BV116" s="88">
        <f>MAX(AF116,($E116*IF(BV$2&gt;Inputs!$D$5,0,IF(BV$2&gt;VLOOKUP($H116,Lists!$P$3:$Q$7,2),IF($N116=Lists!$K$3,IF($L116&lt;1,(($U116/$L116)*((1+Inputs!$D$7)^BV$2)),((INT(BV$2/$L116)-INT((BV$2-1)/$L116))*$U116*((1+Inputs!$D$7)^BV$2))),(Inputs!$D$8^((1-_xlfn.WEIBULL.DIST(BV$2,$M116,$L116,FALSE))/_xlfn.WEIBULL.DIST(BV$2,$M116,$L116,FALSE))*$U116*((1+Inputs!$D$7)^BV$2))),IF($N116=Lists!$K$3,IF($L116&lt;1,((($T116*(1-$F116)+$S116*(1-$G116))/$L116)*((1+Inputs!$D$7)^BV$2)),((INT(BV$2/$L116)-INT((BV$2-1)/$L116))*($T116*(1-$F116)+$S116*(1-$G116))*((1+Inputs!$D$7)^BV$2))),((Inputs!$D$8^((1-_xlfn.WEIBULL.DIST(BV$2,$M116,$L116,FALSE))/_xlfn.WEIBULL.DIST(BV$2,$M116,$L116,FALSE))*($T116*(1-$F116)+$S116*(1-$G116))*((1+Inputs!$D$7)^BV$2))))))))</f>
        <v>0</v>
      </c>
      <c r="BW116" s="88">
        <f>MAX(AG116,($E116*IF(BW$2&gt;Inputs!$D$5,0,IF(BW$2&gt;VLOOKUP($H116,Lists!$P$3:$Q$7,2),IF($N116=Lists!$K$3,IF($L116&lt;1,(($U116/$L116)*((1+Inputs!$D$7)^BW$2)),((INT(BW$2/$L116)-INT((BW$2-1)/$L116))*$U116*((1+Inputs!$D$7)^BW$2))),(Inputs!$D$8^((1-_xlfn.WEIBULL.DIST(BW$2,$M116,$L116,FALSE))/_xlfn.WEIBULL.DIST(BW$2,$M116,$L116,FALSE))*$U116*((1+Inputs!$D$7)^BW$2))),IF($N116=Lists!$K$3,IF($L116&lt;1,((($T116*(1-$F116)+$S116*(1-$G116))/$L116)*((1+Inputs!$D$7)^BW$2)),((INT(BW$2/$L116)-INT((BW$2-1)/$L116))*($T116*(1-$F116)+$S116*(1-$G116))*((1+Inputs!$D$7)^BW$2))),((Inputs!$D$8^((1-_xlfn.WEIBULL.DIST(BW$2,$M116,$L116,FALSE))/_xlfn.WEIBULL.DIST(BW$2,$M116,$L116,FALSE))*($T116*(1-$F116)+$S116*(1-$G116))*((1+Inputs!$D$7)^BW$2))))))))</f>
        <v>0</v>
      </c>
      <c r="BX116" s="88">
        <f>MAX(AH116,($E116*IF(BX$2&gt;Inputs!$D$5,0,IF(BX$2&gt;VLOOKUP($H116,Lists!$P$3:$Q$7,2),IF($N116=Lists!$K$3,IF($L116&lt;1,(($U116/$L116)*((1+Inputs!$D$7)^BX$2)),((INT(BX$2/$L116)-INT((BX$2-1)/$L116))*$U116*((1+Inputs!$D$7)^BX$2))),(Inputs!$D$8^((1-_xlfn.WEIBULL.DIST(BX$2,$M116,$L116,FALSE))/_xlfn.WEIBULL.DIST(BX$2,$M116,$L116,FALSE))*$U116*((1+Inputs!$D$7)^BX$2))),IF($N116=Lists!$K$3,IF($L116&lt;1,((($T116*(1-$F116)+$S116*(1-$G116))/$L116)*((1+Inputs!$D$7)^BX$2)),((INT(BX$2/$L116)-INT((BX$2-1)/$L116))*($T116*(1-$F116)+$S116*(1-$G116))*((1+Inputs!$D$7)^BX$2))),((Inputs!$D$8^((1-_xlfn.WEIBULL.DIST(BX$2,$M116,$L116,FALSE))/_xlfn.WEIBULL.DIST(BX$2,$M116,$L116,FALSE))*($T116*(1-$F116)+$S116*(1-$G116))*((1+Inputs!$D$7)^BX$2))))))))</f>
        <v>0</v>
      </c>
      <c r="BY116" s="88">
        <f>MAX(AI116,($E116*IF(BY$2&gt;Inputs!$D$5,0,IF(BY$2&gt;VLOOKUP($H116,Lists!$P$3:$Q$7,2),IF($N116=Lists!$K$3,IF($L116&lt;1,(($U116/$L116)*((1+Inputs!$D$7)^BY$2)),((INT(BY$2/$L116)-INT((BY$2-1)/$L116))*$U116*((1+Inputs!$D$7)^BY$2))),(Inputs!$D$8^((1-_xlfn.WEIBULL.DIST(BY$2,$M116,$L116,FALSE))/_xlfn.WEIBULL.DIST(BY$2,$M116,$L116,FALSE))*$U116*((1+Inputs!$D$7)^BY$2))),IF($N116=Lists!$K$3,IF($L116&lt;1,((($T116*(1-$F116)+$S116*(1-$G116))/$L116)*((1+Inputs!$D$7)^BY$2)),((INT(BY$2/$L116)-INT((BY$2-1)/$L116))*($T116*(1-$F116)+$S116*(1-$G116))*((1+Inputs!$D$7)^BY$2))),((Inputs!$D$8^((1-_xlfn.WEIBULL.DIST(BY$2,$M116,$L116,FALSE))/_xlfn.WEIBULL.DIST(BY$2,$M116,$L116,FALSE))*($T116*(1-$F116)+$S116*(1-$G116))*((1+Inputs!$D$7)^BY$2))))))))</f>
        <v>0</v>
      </c>
      <c r="BZ116" s="88">
        <f>MAX(AJ116,($E116*IF(BZ$2&gt;Inputs!$D$5,0,IF(BZ$2&gt;VLOOKUP($H116,Lists!$P$3:$Q$7,2),IF($N116=Lists!$K$3,IF($L116&lt;1,(($U116/$L116)*((1+Inputs!$D$7)^BZ$2)),((INT(BZ$2/$L116)-INT((BZ$2-1)/$L116))*$U116*((1+Inputs!$D$7)^BZ$2))),(Inputs!$D$8^((1-_xlfn.WEIBULL.DIST(BZ$2,$M116,$L116,FALSE))/_xlfn.WEIBULL.DIST(BZ$2,$M116,$L116,FALSE))*$U116*((1+Inputs!$D$7)^BZ$2))),IF($N116=Lists!$K$3,IF($L116&lt;1,((($T116*(1-$F116)+$S116*(1-$G116))/$L116)*((1+Inputs!$D$7)^BZ$2)),((INT(BZ$2/$L116)-INT((BZ$2-1)/$L116))*($T116*(1-$F116)+$S116*(1-$G116))*((1+Inputs!$D$7)^BZ$2))),((Inputs!$D$8^((1-_xlfn.WEIBULL.DIST(BZ$2,$M116,$L116,FALSE))/_xlfn.WEIBULL.DIST(BZ$2,$M116,$L116,FALSE))*($T116*(1-$F116)+$S116*(1-$G116))*((1+Inputs!$D$7)^BZ$2))))))))</f>
        <v>0</v>
      </c>
      <c r="CA116" s="88">
        <f>MAX(AK116,($E116*IF(CA$2&gt;Inputs!$D$5,0,IF(CA$2&gt;VLOOKUP($H116,Lists!$P$3:$Q$7,2),IF($N116=Lists!$K$3,IF($L116&lt;1,(($U116/$L116)*((1+Inputs!$D$7)^CA$2)),((INT(CA$2/$L116)-INT((CA$2-1)/$L116))*$U116*((1+Inputs!$D$7)^CA$2))),(Inputs!$D$8^((1-_xlfn.WEIBULL.DIST(CA$2,$M116,$L116,FALSE))/_xlfn.WEIBULL.DIST(CA$2,$M116,$L116,FALSE))*$U116*((1+Inputs!$D$7)^CA$2))),IF($N116=Lists!$K$3,IF($L116&lt;1,((($T116*(1-$F116)+$S116*(1-$G116))/$L116)*((1+Inputs!$D$7)^CA$2)),((INT(CA$2/$L116)-INT((CA$2-1)/$L116))*($T116*(1-$F116)+$S116*(1-$G116))*((1+Inputs!$D$7)^CA$2))),((Inputs!$D$8^((1-_xlfn.WEIBULL.DIST(CA$2,$M116,$L116,FALSE))/_xlfn.WEIBULL.DIST(CA$2,$M116,$L116,FALSE))*($T116*(1-$F116)+$S116*(1-$G116))*((1+Inputs!$D$7)^CA$2))))))))</f>
        <v>0</v>
      </c>
      <c r="CB116" s="88">
        <f>MAX(AL116,($E116*IF(CB$2&gt;Inputs!$D$5,0,IF(CB$2&gt;VLOOKUP($H116,Lists!$P$3:$Q$7,2),IF($N116=Lists!$K$3,IF($L116&lt;1,(($U116/$L116)*((1+Inputs!$D$7)^CB$2)),((INT(CB$2/$L116)-INT((CB$2-1)/$L116))*$U116*((1+Inputs!$D$7)^CB$2))),(Inputs!$D$8^((1-_xlfn.WEIBULL.DIST(CB$2,$M116,$L116,FALSE))/_xlfn.WEIBULL.DIST(CB$2,$M116,$L116,FALSE))*$U116*((1+Inputs!$D$7)^CB$2))),IF($N116=Lists!$K$3,IF($L116&lt;1,((($T116*(1-$F116)+$S116*(1-$G116))/$L116)*((1+Inputs!$D$7)^CB$2)),((INT(CB$2/$L116)-INT((CB$2-1)/$L116))*($T116*(1-$F116)+$S116*(1-$G116))*((1+Inputs!$D$7)^CB$2))),((Inputs!$D$8^((1-_xlfn.WEIBULL.DIST(CB$2,$M116,$L116,FALSE))/_xlfn.WEIBULL.DIST(CB$2,$M116,$L116,FALSE))*($T116*(1-$F116)+$S116*(1-$G116))*((1+Inputs!$D$7)^CB$2))))))))</f>
        <v>0</v>
      </c>
      <c r="CC116" s="88">
        <f>MAX(AM116,($E116*IF(CC$2&gt;Inputs!$D$5,0,IF(CC$2&gt;VLOOKUP($H116,Lists!$P$3:$Q$7,2),IF($N116=Lists!$K$3,IF($L116&lt;1,(($U116/$L116)*((1+Inputs!$D$7)^CC$2)),((INT(CC$2/$L116)-INT((CC$2-1)/$L116))*$U116*((1+Inputs!$D$7)^CC$2))),(Inputs!$D$8^((1-_xlfn.WEIBULL.DIST(CC$2,$M116,$L116,FALSE))/_xlfn.WEIBULL.DIST(CC$2,$M116,$L116,FALSE))*$U116*((1+Inputs!$D$7)^CC$2))),IF($N116=Lists!$K$3,IF($L116&lt;1,((($T116*(1-$F116)+$S116*(1-$G116))/$L116)*((1+Inputs!$D$7)^CC$2)),((INT(CC$2/$L116)-INT((CC$2-1)/$L116))*($T116*(1-$F116)+$S116*(1-$G116))*((1+Inputs!$D$7)^CC$2))),((Inputs!$D$8^((1-_xlfn.WEIBULL.DIST(CC$2,$M116,$L116,FALSE))/_xlfn.WEIBULL.DIST(CC$2,$M116,$L116,FALSE))*($T116*(1-$F116)+$S116*(1-$G116))*((1+Inputs!$D$7)^CC$2))))))))</f>
        <v>0</v>
      </c>
      <c r="CD116" s="88">
        <f>MAX(AN116,($E116*IF(CD$2&gt;Inputs!$D$5,0,IF(CD$2&gt;VLOOKUP($H116,Lists!$P$3:$Q$7,2),IF($N116=Lists!$K$3,IF($L116&lt;1,(($U116/$L116)*((1+Inputs!$D$7)^CD$2)),((INT(CD$2/$L116)-INT((CD$2-1)/$L116))*$U116*((1+Inputs!$D$7)^CD$2))),(Inputs!$D$8^((1-_xlfn.WEIBULL.DIST(CD$2,$M116,$L116,FALSE))/_xlfn.WEIBULL.DIST(CD$2,$M116,$L116,FALSE))*$U116*((1+Inputs!$D$7)^CD$2))),IF($N116=Lists!$K$3,IF($L116&lt;1,((($T116*(1-$F116)+$S116*(1-$G116))/$L116)*((1+Inputs!$D$7)^CD$2)),((INT(CD$2/$L116)-INT((CD$2-1)/$L116))*($T116*(1-$F116)+$S116*(1-$G116))*((1+Inputs!$D$7)^CD$2))),((Inputs!$D$8^((1-_xlfn.WEIBULL.DIST(CD$2,$M116,$L116,FALSE))/_xlfn.WEIBULL.DIST(CD$2,$M116,$L116,FALSE))*($T116*(1-$F116)+$S116*(1-$G116))*((1+Inputs!$D$7)^CD$2))))))))</f>
        <v>0</v>
      </c>
      <c r="CE116" s="88">
        <f>MAX(AO116,($E116*IF(CE$2&gt;Inputs!$D$5,0,IF(CE$2&gt;VLOOKUP($H116,Lists!$P$3:$Q$7,2),IF($N116=Lists!$K$3,IF($L116&lt;1,(($U116/$L116)*((1+Inputs!$D$7)^CE$2)),((INT(CE$2/$L116)-INT((CE$2-1)/$L116))*$U116*((1+Inputs!$D$7)^CE$2))),(Inputs!$D$8^((1-_xlfn.WEIBULL.DIST(CE$2,$M116,$L116,FALSE))/_xlfn.WEIBULL.DIST(CE$2,$M116,$L116,FALSE))*$U116*((1+Inputs!$D$7)^CE$2))),IF($N116=Lists!$K$3,IF($L116&lt;1,((($T116*(1-$F116)+$S116*(1-$G116))/$L116)*((1+Inputs!$D$7)^CE$2)),((INT(CE$2/$L116)-INT((CE$2-1)/$L116))*($T116*(1-$F116)+$S116*(1-$G116))*((1+Inputs!$D$7)^CE$2))),((Inputs!$D$8^((1-_xlfn.WEIBULL.DIST(CE$2,$M116,$L116,FALSE))/_xlfn.WEIBULL.DIST(CE$2,$M116,$L116,FALSE))*($T116*(1-$F116)+$S116*(1-$G116))*((1+Inputs!$D$7)^CE$2))))))))</f>
        <v>0</v>
      </c>
      <c r="CF116" s="88">
        <f>MAX(AP116,($E116*IF(CF$2&gt;Inputs!$D$5,0,IF(CF$2&gt;VLOOKUP($H116,Lists!$P$3:$Q$7,2),IF($N116=Lists!$K$3,IF($L116&lt;1,(($U116/$L116)*((1+Inputs!$D$7)^CF$2)),((INT(CF$2/$L116)-INT((CF$2-1)/$L116))*$U116*((1+Inputs!$D$7)^CF$2))),(Inputs!$D$8^((1-_xlfn.WEIBULL.DIST(CF$2,$M116,$L116,FALSE))/_xlfn.WEIBULL.DIST(CF$2,$M116,$L116,FALSE))*$U116*((1+Inputs!$D$7)^CF$2))),IF($N116=Lists!$K$3,IF($L116&lt;1,((($T116*(1-$F116)+$S116*(1-$G116))/$L116)*((1+Inputs!$D$7)^CF$2)),((INT(CF$2/$L116)-INT((CF$2-1)/$L116))*($T116*(1-$F116)+$S116*(1-$G116))*((1+Inputs!$D$7)^CF$2))),((Inputs!$D$8^((1-_xlfn.WEIBULL.DIST(CF$2,$M116,$L116,FALSE))/_xlfn.WEIBULL.DIST(CF$2,$M116,$L116,FALSE))*($T116*(1-$F116)+$S116*(1-$G116))*((1+Inputs!$D$7)^CF$2))))))))</f>
        <v>0</v>
      </c>
      <c r="CG116" s="88">
        <f>MAX(AQ116,($E116*IF(CG$2&gt;Inputs!$D$5,0,IF(CG$2&gt;VLOOKUP($H116,Lists!$P$3:$Q$7,2),IF($N116=Lists!$K$3,IF($L116&lt;1,(($U116/$L116)*((1+Inputs!$D$7)^CG$2)),((INT(CG$2/$L116)-INT((CG$2-1)/$L116))*$U116*((1+Inputs!$D$7)^CG$2))),(Inputs!$D$8^((1-_xlfn.WEIBULL.DIST(CG$2,$M116,$L116,FALSE))/_xlfn.WEIBULL.DIST(CG$2,$M116,$L116,FALSE))*$U116*((1+Inputs!$D$7)^CG$2))),IF($N116=Lists!$K$3,IF($L116&lt;1,((($T116*(1-$F116)+$S116*(1-$G116))/$L116)*((1+Inputs!$D$7)^CG$2)),((INT(CG$2/$L116)-INT((CG$2-1)/$L116))*($T116*(1-$F116)+$S116*(1-$G116))*((1+Inputs!$D$7)^CG$2))),((Inputs!$D$8^((1-_xlfn.WEIBULL.DIST(CG$2,$M116,$L116,FALSE))/_xlfn.WEIBULL.DIST(CG$2,$M116,$L116,FALSE))*($T116*(1-$F116)+$S116*(1-$G116))*((1+Inputs!$D$7)^CG$2))))))))</f>
        <v>0</v>
      </c>
      <c r="CH116" s="88">
        <f>MAX(AR116,($E116*IF(CH$2&gt;Inputs!$D$5,0,IF(CH$2&gt;VLOOKUP($H116,Lists!$P$3:$Q$7,2),IF($N116=Lists!$K$3,IF($L116&lt;1,(($U116/$L116)*((1+Inputs!$D$7)^CH$2)),((INT(CH$2/$L116)-INT((CH$2-1)/$L116))*$U116*((1+Inputs!$D$7)^CH$2))),(Inputs!$D$8^((1-_xlfn.WEIBULL.DIST(CH$2,$M116,$L116,FALSE))/_xlfn.WEIBULL.DIST(CH$2,$M116,$L116,FALSE))*$U116*((1+Inputs!$D$7)^CH$2))),IF($N116=Lists!$K$3,IF($L116&lt;1,((($T116*(1-$F116)+$S116*(1-$G116))/$L116)*((1+Inputs!$D$7)^CH$2)),((INT(CH$2/$L116)-INT((CH$2-1)/$L116))*($T116*(1-$F116)+$S116*(1-$G116))*((1+Inputs!$D$7)^CH$2))),((Inputs!$D$8^((1-_xlfn.WEIBULL.DIST(CH$2,$M116,$L116,FALSE))/_xlfn.WEIBULL.DIST(CH$2,$M116,$L116,FALSE))*($T116*(1-$F116)+$S116*(1-$G116))*((1+Inputs!$D$7)^CH$2))))))))</f>
        <v>0</v>
      </c>
      <c r="CI116" s="88">
        <f>MAX(AS116,($E116*IF(CI$2&gt;Inputs!$D$5,0,IF(CI$2&gt;VLOOKUP($H116,Lists!$P$3:$Q$7,2),IF($N116=Lists!$K$3,IF($L116&lt;1,(($U116/$L116)*((1+Inputs!$D$7)^CI$2)),((INT(CI$2/$L116)-INT((CI$2-1)/$L116))*$U116*((1+Inputs!$D$7)^CI$2))),(Inputs!$D$8^((1-_xlfn.WEIBULL.DIST(CI$2,$M116,$L116,FALSE))/_xlfn.WEIBULL.DIST(CI$2,$M116,$L116,FALSE))*$U116*((1+Inputs!$D$7)^CI$2))),IF($N116=Lists!$K$3,IF($L116&lt;1,((($T116*(1-$F116)+$S116*(1-$G116))/$L116)*((1+Inputs!$D$7)^CI$2)),((INT(CI$2/$L116)-INT((CI$2-1)/$L116))*($T116*(1-$F116)+$S116*(1-$G116))*((1+Inputs!$D$7)^CI$2))),((Inputs!$D$8^((1-_xlfn.WEIBULL.DIST(CI$2,$M116,$L116,FALSE))/_xlfn.WEIBULL.DIST(CI$2,$M116,$L116,FALSE))*($T116*(1-$F116)+$S116*(1-$G116))*((1+Inputs!$D$7)^CI$2))))))))</f>
        <v>0</v>
      </c>
      <c r="CJ116" s="88">
        <f>MAX(AT116,($E116*IF(CJ$2&gt;Inputs!$D$5,0,IF(CJ$2&gt;VLOOKUP($H116,Lists!$P$3:$Q$7,2),IF($N116=Lists!$K$3,IF($L116&lt;1,(($U116/$L116)*((1+Inputs!$D$7)^CJ$2)),((INT(CJ$2/$L116)-INT((CJ$2-1)/$L116))*$U116*((1+Inputs!$D$7)^CJ$2))),(Inputs!$D$8^((1-_xlfn.WEIBULL.DIST(CJ$2,$M116,$L116,FALSE))/_xlfn.WEIBULL.DIST(CJ$2,$M116,$L116,FALSE))*$U116*((1+Inputs!$D$7)^CJ$2))),IF($N116=Lists!$K$3,IF($L116&lt;1,((($T116*(1-$F116)+$S116*(1-$G116))/$L116)*((1+Inputs!$D$7)^CJ$2)),((INT(CJ$2/$L116)-INT((CJ$2-1)/$L116))*($T116*(1-$F116)+$S116*(1-$G116))*((1+Inputs!$D$7)^CJ$2))),((Inputs!$D$8^((1-_xlfn.WEIBULL.DIST(CJ$2,$M116,$L116,FALSE))/_xlfn.WEIBULL.DIST(CJ$2,$M116,$L116,FALSE))*($T116*(1-$F116)+$S116*(1-$G116))*((1+Inputs!$D$7)^CJ$2))))))))</f>
        <v>0</v>
      </c>
      <c r="CK116" s="88">
        <f>MAX(AU116,($E116*IF(CK$2&gt;Inputs!$D$5,0,IF(CK$2&gt;VLOOKUP($H116,Lists!$P$3:$Q$7,2),IF($N116=Lists!$K$3,IF($L116&lt;1,(($U116/$L116)*((1+Inputs!$D$7)^CK$2)),((INT(CK$2/$L116)-INT((CK$2-1)/$L116))*$U116*((1+Inputs!$D$7)^CK$2))),(Inputs!$D$8^((1-_xlfn.WEIBULL.DIST(CK$2,$M116,$L116,FALSE))/_xlfn.WEIBULL.DIST(CK$2,$M116,$L116,FALSE))*$U116*((1+Inputs!$D$7)^CK$2))),IF($N116=Lists!$K$3,IF($L116&lt;1,((($T116*(1-$F116)+$S116*(1-$G116))/$L116)*((1+Inputs!$D$7)^CK$2)),((INT(CK$2/$L116)-INT((CK$2-1)/$L116))*($T116*(1-$F116)+$S116*(1-$G116))*((1+Inputs!$D$7)^CK$2))),((Inputs!$D$8^((1-_xlfn.WEIBULL.DIST(CK$2,$M116,$L116,FALSE))/_xlfn.WEIBULL.DIST(CK$2,$M116,$L116,FALSE))*($T116*(1-$F116)+$S116*(1-$G116))*((1+Inputs!$D$7)^CK$2))))))))</f>
        <v>0</v>
      </c>
      <c r="CL116" s="88">
        <f>MAX(AV116,($E116*IF(CL$2&gt;Inputs!$D$5,0,IF(CL$2&gt;VLOOKUP($H116,Lists!$P$3:$Q$7,2),IF($N116=Lists!$K$3,IF($L116&lt;1,(($U116/$L116)*((1+Inputs!$D$7)^CL$2)),((INT(CL$2/$L116)-INT((CL$2-1)/$L116))*$U116*((1+Inputs!$D$7)^CL$2))),(Inputs!$D$8^((1-_xlfn.WEIBULL.DIST(CL$2,$M116,$L116,FALSE))/_xlfn.WEIBULL.DIST(CL$2,$M116,$L116,FALSE))*$U116*((1+Inputs!$D$7)^CL$2))),IF($N116=Lists!$K$3,IF($L116&lt;1,((($T116*(1-$F116)+$S116*(1-$G116))/$L116)*((1+Inputs!$D$7)^CL$2)),((INT(CL$2/$L116)-INT((CL$2-1)/$L116))*($T116*(1-$F116)+$S116*(1-$G116))*((1+Inputs!$D$7)^CL$2))),((Inputs!$D$8^((1-_xlfn.WEIBULL.DIST(CL$2,$M116,$L116,FALSE))/_xlfn.WEIBULL.DIST(CL$2,$M116,$L116,FALSE))*($T116*(1-$F116)+$S116*(1-$G116))*((1+Inputs!$D$7)^CL$2))))))))</f>
        <v>0</v>
      </c>
      <c r="CM116" s="88">
        <f>MAX(AW116,($E116*IF(CM$2&gt;Inputs!$D$5,0,IF(CM$2&gt;VLOOKUP($H116,Lists!$P$3:$Q$7,2),IF($N116=Lists!$K$3,IF($L116&lt;1,(($U116/$L116)*((1+Inputs!$D$7)^CM$2)),((INT(CM$2/$L116)-INT((CM$2-1)/$L116))*$U116*((1+Inputs!$D$7)^CM$2))),(Inputs!$D$8^((1-_xlfn.WEIBULL.DIST(CM$2,$M116,$L116,FALSE))/_xlfn.WEIBULL.DIST(CM$2,$M116,$L116,FALSE))*$U116*((1+Inputs!$D$7)^CM$2))),IF($N116=Lists!$K$3,IF($L116&lt;1,((($T116*(1-$F116)+$S116*(1-$G116))/$L116)*((1+Inputs!$D$7)^CM$2)),((INT(CM$2/$L116)-INT((CM$2-1)/$L116))*($T116*(1-$F116)+$S116*(1-$G116))*((1+Inputs!$D$7)^CM$2))),((Inputs!$D$8^((1-_xlfn.WEIBULL.DIST(CM$2,$M116,$L116,FALSE))/_xlfn.WEIBULL.DIST(CM$2,$M116,$L116,FALSE))*($T116*(1-$F116)+$S116*(1-$G116))*((1+Inputs!$D$7)^CM$2))))))))</f>
        <v>0</v>
      </c>
      <c r="CN116" s="88">
        <f>MAX(AX116,($E116*IF(CN$2&gt;Inputs!$D$5,0,IF(CN$2&gt;VLOOKUP($H116,Lists!$P$3:$Q$7,2),IF($N116=Lists!$K$3,IF($L116&lt;1,(($U116/$L116)*((1+Inputs!$D$7)^CN$2)),((INT(CN$2/$L116)-INT((CN$2-1)/$L116))*$U116*((1+Inputs!$D$7)^CN$2))),(Inputs!$D$8^((1-_xlfn.WEIBULL.DIST(CN$2,$M116,$L116,FALSE))/_xlfn.WEIBULL.DIST(CN$2,$M116,$L116,FALSE))*$U116*((1+Inputs!$D$7)^CN$2))),IF($N116=Lists!$K$3,IF($L116&lt;1,((($T116*(1-$F116)+$S116*(1-$G116))/$L116)*((1+Inputs!$D$7)^CN$2)),((INT(CN$2/$L116)-INT((CN$2-1)/$L116))*($T116*(1-$F116)+$S116*(1-$G116))*((1+Inputs!$D$7)^CN$2))),((Inputs!$D$8^((1-_xlfn.WEIBULL.DIST(CN$2,$M116,$L116,FALSE))/_xlfn.WEIBULL.DIST(CN$2,$M116,$L116,FALSE))*($T116*(1-$F116)+$S116*(1-$G116))*((1+Inputs!$D$7)^CN$2))))))))</f>
        <v>0</v>
      </c>
      <c r="CO116" s="88">
        <f>MAX(AY116,($E116*IF(CO$2&gt;Inputs!$D$5,0,IF(CO$2&gt;VLOOKUP($H116,Lists!$P$3:$Q$7,2),IF($N116=Lists!$K$3,IF($L116&lt;1,(($U116/$L116)*((1+Inputs!$D$7)^CO$2)),((INT(CO$2/$L116)-INT((CO$2-1)/$L116))*$U116*((1+Inputs!$D$7)^CO$2))),(Inputs!$D$8^((1-_xlfn.WEIBULL.DIST(CO$2,$M116,$L116,FALSE))/_xlfn.WEIBULL.DIST(CO$2,$M116,$L116,FALSE))*$U116*((1+Inputs!$D$7)^CO$2))),IF($N116=Lists!$K$3,IF($L116&lt;1,((($T116*(1-$F116)+$S116*(1-$G116))/$L116)*((1+Inputs!$D$7)^CO$2)),((INT(CO$2/$L116)-INT((CO$2-1)/$L116))*($T116*(1-$F116)+$S116*(1-$G116))*((1+Inputs!$D$7)^CO$2))),((Inputs!$D$8^((1-_xlfn.WEIBULL.DIST(CO$2,$M116,$L116,FALSE))/_xlfn.WEIBULL.DIST(CO$2,$M116,$L116,FALSE))*($T116*(1-$F116)+$S116*(1-$G116))*((1+Inputs!$D$7)^CO$2))))))))</f>
        <v>0</v>
      </c>
      <c r="CP116" s="88">
        <f>MAX(AZ116,($E116*IF(CP$2&gt;Inputs!$D$5,0,IF(CP$2&gt;VLOOKUP($H116,Lists!$P$3:$Q$7,2),IF($N116=Lists!$K$3,IF($L116&lt;1,(($U116/$L116)*((1+Inputs!$D$7)^CP$2)),((INT(CP$2/$L116)-INT((CP$2-1)/$L116))*$U116*((1+Inputs!$D$7)^CP$2))),(Inputs!$D$8^((1-_xlfn.WEIBULL.DIST(CP$2,$M116,$L116,FALSE))/_xlfn.WEIBULL.DIST(CP$2,$M116,$L116,FALSE))*$U116*((1+Inputs!$D$7)^CP$2))),IF($N116=Lists!$K$3,IF($L116&lt;1,((($T116*(1-$F116)+$S116*(1-$G116))/$L116)*((1+Inputs!$D$7)^CP$2)),((INT(CP$2/$L116)-INT((CP$2-1)/$L116))*($T116*(1-$F116)+$S116*(1-$G116))*((1+Inputs!$D$7)^CP$2))),((Inputs!$D$8^((1-_xlfn.WEIBULL.DIST(CP$2,$M116,$L116,FALSE))/_xlfn.WEIBULL.DIST(CP$2,$M116,$L116,FALSE))*($T116*(1-$F116)+$S116*(1-$G116))*((1+Inputs!$D$7)^CP$2))))))))</f>
        <v>0</v>
      </c>
      <c r="CQ116" s="88">
        <f>MAX(BA116,($E116*IF(CQ$2&gt;Inputs!$D$5,0,IF(CQ$2&gt;VLOOKUP($H116,Lists!$P$3:$Q$7,2),IF($N116=Lists!$K$3,IF($L116&lt;1,(($U116/$L116)*((1+Inputs!$D$7)^CQ$2)),((INT(CQ$2/$L116)-INT((CQ$2-1)/$L116))*$U116*((1+Inputs!$D$7)^CQ$2))),(Inputs!$D$8^((1-_xlfn.WEIBULL.DIST(CQ$2,$M116,$L116,FALSE))/_xlfn.WEIBULL.DIST(CQ$2,$M116,$L116,FALSE))*$U116*((1+Inputs!$D$7)^CQ$2))),IF($N116=Lists!$K$3,IF($L116&lt;1,((($T116*(1-$F116)+$S116*(1-$G116))/$L116)*((1+Inputs!$D$7)^CQ$2)),((INT(CQ$2/$L116)-INT((CQ$2-1)/$L116))*($T116*(1-$F116)+$S116*(1-$G116))*((1+Inputs!$D$7)^CQ$2))),((Inputs!$D$8^((1-_xlfn.WEIBULL.DIST(CQ$2,$M116,$L116,FALSE))/_xlfn.WEIBULL.DIST(CQ$2,$M116,$L116,FALSE))*($T116*(1-$F116)+$S116*(1-$G116))*((1+Inputs!$D$7)^CQ$2))))))))</f>
        <v>0</v>
      </c>
      <c r="CR116" s="88">
        <f>MAX(BB116,($E116*IF(CR$2&gt;Inputs!$D$5,0,IF(CR$2&gt;VLOOKUP($H116,Lists!$P$3:$Q$7,2),IF($N116=Lists!$K$3,IF($L116&lt;1,(($U116/$L116)*((1+Inputs!$D$7)^CR$2)),((INT(CR$2/$L116)-INT((CR$2-1)/$L116))*$U116*((1+Inputs!$D$7)^CR$2))),(Inputs!$D$8^((1-_xlfn.WEIBULL.DIST(CR$2,$M116,$L116,FALSE))/_xlfn.WEIBULL.DIST(CR$2,$M116,$L116,FALSE))*$U116*((1+Inputs!$D$7)^CR$2))),IF($N116=Lists!$K$3,IF($L116&lt;1,((($T116*(1-$F116)+$S116*(1-$G116))/$L116)*((1+Inputs!$D$7)^CR$2)),((INT(CR$2/$L116)-INT((CR$2-1)/$L116))*($T116*(1-$F116)+$S116*(1-$G116))*((1+Inputs!$D$7)^CR$2))),((Inputs!$D$8^((1-_xlfn.WEIBULL.DIST(CR$2,$M116,$L116,FALSE))/_xlfn.WEIBULL.DIST(CR$2,$M116,$L116,FALSE))*($T116*(1-$F116)+$S116*(1-$G116))*((1+Inputs!$D$7)^CR$2))))))))</f>
        <v>0</v>
      </c>
      <c r="CS116" s="88">
        <f>MAX(BC116,($E116*IF(CS$2&gt;Inputs!$D$5,0,IF(CS$2&gt;VLOOKUP($H116,Lists!$P$3:$Q$7,2),IF($N116=Lists!$K$3,IF($L116&lt;1,(($U116/$L116)*((1+Inputs!$D$7)^CS$2)),((INT(CS$2/$L116)-INT((CS$2-1)/$L116))*$U116*((1+Inputs!$D$7)^CS$2))),(Inputs!$D$8^((1-_xlfn.WEIBULL.DIST(CS$2,$M116,$L116,FALSE))/_xlfn.WEIBULL.DIST(CS$2,$M116,$L116,FALSE))*$U116*((1+Inputs!$D$7)^CS$2))),IF($N116=Lists!$K$3,IF($L116&lt;1,((($T116*(1-$F116)+$S116*(1-$G116))/$L116)*((1+Inputs!$D$7)^CS$2)),((INT(CS$2/$L116)-INT((CS$2-1)/$L116))*($T116*(1-$F116)+$S116*(1-$G116))*((1+Inputs!$D$7)^CS$2))),((Inputs!$D$8^((1-_xlfn.WEIBULL.DIST(CS$2,$M116,$L116,FALSE))/_xlfn.WEIBULL.DIST(CS$2,$M116,$L116,FALSE))*($T116*(1-$F116)+$S116*(1-$G116))*((1+Inputs!$D$7)^CS$2))))))))</f>
        <v>0</v>
      </c>
      <c r="CT116" s="88">
        <f>MAX(BD116,($E116*IF(CT$2&gt;Inputs!$D$5,0,IF(CT$2&gt;VLOOKUP($H116,Lists!$P$3:$Q$7,2),IF($N116=Lists!$K$3,IF($L116&lt;1,(($U116/$L116)*((1+Inputs!$D$7)^CT$2)),((INT(CT$2/$L116)-INT((CT$2-1)/$L116))*$U116*((1+Inputs!$D$7)^CT$2))),(Inputs!$D$8^((1-_xlfn.WEIBULL.DIST(CT$2,$M116,$L116,FALSE))/_xlfn.WEIBULL.DIST(CT$2,$M116,$L116,FALSE))*$U116*((1+Inputs!$D$7)^CT$2))),IF($N116=Lists!$K$3,IF($L116&lt;1,((($T116*(1-$F116)+$S116*(1-$G116))/$L116)*((1+Inputs!$D$7)^CT$2)),((INT(CT$2/$L116)-INT((CT$2-1)/$L116))*($T116*(1-$F116)+$S116*(1-$G116))*((1+Inputs!$D$7)^CT$2))),((Inputs!$D$8^((1-_xlfn.WEIBULL.DIST(CT$2,$M116,$L116,FALSE))/_xlfn.WEIBULL.DIST(CT$2,$M116,$L116,FALSE))*($T116*(1-$F116)+$S116*(1-$G116))*((1+Inputs!$D$7)^CT$2))))))))</f>
        <v>0</v>
      </c>
      <c r="CU116" s="88">
        <f>MAX(BE116,($E116*IF(CU$2&gt;Inputs!$D$5,0,IF(CU$2&gt;VLOOKUP($H116,Lists!$P$3:$Q$7,2),IF($N116=Lists!$K$3,IF($L116&lt;1,(($U116/$L116)*((1+Inputs!$D$7)^CU$2)),((INT(CU$2/$L116)-INT((CU$2-1)/$L116))*$U116*((1+Inputs!$D$7)^CU$2))),(Inputs!$D$8^((1-_xlfn.WEIBULL.DIST(CU$2,$M116,$L116,FALSE))/_xlfn.WEIBULL.DIST(CU$2,$M116,$L116,FALSE))*$U116*((1+Inputs!$D$7)^CU$2))),IF($N116=Lists!$K$3,IF($L116&lt;1,((($T116*(1-$F116)+$S116*(1-$G116))/$L116)*((1+Inputs!$D$7)^CU$2)),((INT(CU$2/$L116)-INT((CU$2-1)/$L116))*($T116*(1-$F116)+$S116*(1-$G116))*((1+Inputs!$D$7)^CU$2))),((Inputs!$D$8^((1-_xlfn.WEIBULL.DIST(CU$2,$M116,$L116,FALSE))/_xlfn.WEIBULL.DIST(CU$2,$M116,$L116,FALSE))*($T116*(1-$F116)+$S116*(1-$G116))*((1+Inputs!$D$7)^CU$2))))))))</f>
        <v>0</v>
      </c>
      <c r="CV116" s="88">
        <f>MAX(BF116,($E116*IF(CV$2&gt;Inputs!$D$5,0,IF(CV$2&gt;VLOOKUP($H116,Lists!$P$3:$Q$7,2),IF($N116=Lists!$K$3,IF($L116&lt;1,(($U116/$L116)*((1+Inputs!$D$7)^CV$2)),((INT(CV$2/$L116)-INT((CV$2-1)/$L116))*$U116*((1+Inputs!$D$7)^CV$2))),(Inputs!$D$8^((1-_xlfn.WEIBULL.DIST(CV$2,$M116,$L116,FALSE))/_xlfn.WEIBULL.DIST(CV$2,$M116,$L116,FALSE))*$U116*((1+Inputs!$D$7)^CV$2))),IF($N116=Lists!$K$3,IF($L116&lt;1,((($T116*(1-$F116)+$S116*(1-$G116))/$L116)*((1+Inputs!$D$7)^CV$2)),((INT(CV$2/$L116)-INT((CV$2-1)/$L116))*($T116*(1-$F116)+$S116*(1-$G116))*((1+Inputs!$D$7)^CV$2))),((Inputs!$D$8^((1-_xlfn.WEIBULL.DIST(CV$2,$M116,$L116,FALSE))/_xlfn.WEIBULL.DIST(CV$2,$M116,$L116,FALSE))*($T116*(1-$F116)+$S116*(1-$G116))*((1+Inputs!$D$7)^CV$2))))))))</f>
        <v>0</v>
      </c>
      <c r="CW116" s="88">
        <f>MAX(BG116,($E116*IF(CW$2&gt;Inputs!$D$5,0,IF(CW$2&gt;VLOOKUP($H116,Lists!$P$3:$Q$7,2),IF($N116=Lists!$K$3,IF($L116&lt;1,(($U116/$L116)*((1+Inputs!$D$7)^CW$2)),((INT(CW$2/$L116)-INT((CW$2-1)/$L116))*$U116*((1+Inputs!$D$7)^CW$2))),(Inputs!$D$8^((1-_xlfn.WEIBULL.DIST(CW$2,$M116,$L116,FALSE))/_xlfn.WEIBULL.DIST(CW$2,$M116,$L116,FALSE))*$U116*((1+Inputs!$D$7)^CW$2))),IF($N116=Lists!$K$3,IF($L116&lt;1,((($T116*(1-$F116)+$S116*(1-$G116))/$L116)*((1+Inputs!$D$7)^CW$2)),((INT(CW$2/$L116)-INT((CW$2-1)/$L116))*($T116*(1-$F116)+$S116*(1-$G116))*((1+Inputs!$D$7)^CW$2))),((Inputs!$D$8^((1-_xlfn.WEIBULL.DIST(CW$2,$M116,$L116,FALSE))/_xlfn.WEIBULL.DIST(CW$2,$M116,$L116,FALSE))*($T116*(1-$F116)+$S116*(1-$G116))*((1+Inputs!$D$7)^CW$2))))))))</f>
        <v>0</v>
      </c>
      <c r="CX116" s="88">
        <f>MAX(BH116,($E116*IF(CX$2&gt;Inputs!$D$5,0,IF(CX$2&gt;VLOOKUP($H116,Lists!$P$3:$Q$7,2),IF($N116=Lists!$K$3,IF($L116&lt;1,(($U116/$L116)*((1+Inputs!$D$7)^CX$2)),((INT(CX$2/$L116)-INT((CX$2-1)/$L116))*$U116*((1+Inputs!$D$7)^CX$2))),(Inputs!$D$8^((1-_xlfn.WEIBULL.DIST(CX$2,$M116,$L116,FALSE))/_xlfn.WEIBULL.DIST(CX$2,$M116,$L116,FALSE))*$U116*((1+Inputs!$D$7)^CX$2))),IF($N116=Lists!$K$3,IF($L116&lt;1,((($T116*(1-$F116)+$S116*(1-$G116))/$L116)*((1+Inputs!$D$7)^CX$2)),((INT(CX$2/$L116)-INT((CX$2-1)/$L116))*($T116*(1-$F116)+$S116*(1-$G116))*((1+Inputs!$D$7)^CX$2))),((Inputs!$D$8^((1-_xlfn.WEIBULL.DIST(CX$2,$M116,$L116,FALSE))/_xlfn.WEIBULL.DIST(CX$2,$M116,$L116,FALSE))*($T116*(1-$F116)+$S116*(1-$G116))*((1+Inputs!$D$7)^CX$2))))))))</f>
        <v>0</v>
      </c>
      <c r="CY116" s="88">
        <f>MAX(BI116,($E116*IF(CY$2&gt;Inputs!$D$5,0,IF(CY$2&gt;VLOOKUP($H116,Lists!$P$3:$Q$7,2),IF($N116=Lists!$K$3,IF($L116&lt;1,(($U116/$L116)*((1+Inputs!$D$7)^CY$2)),((INT(CY$2/$L116)-INT((CY$2-1)/$L116))*$U116*((1+Inputs!$D$7)^CY$2))),(Inputs!$D$8^((1-_xlfn.WEIBULL.DIST(CY$2,$M116,$L116,FALSE))/_xlfn.WEIBULL.DIST(CY$2,$M116,$L116,FALSE))*$U116*((1+Inputs!$D$7)^CY$2))),IF($N116=Lists!$K$3,IF($L116&lt;1,((($T116*(1-$F116)+$S116*(1-$G116))/$L116)*((1+Inputs!$D$7)^CY$2)),((INT(CY$2/$L116)-INT((CY$2-1)/$L116))*($T116*(1-$F116)+$S116*(1-$G116))*((1+Inputs!$D$7)^CY$2))),((Inputs!$D$8^((1-_xlfn.WEIBULL.DIST(CY$2,$M116,$L116,FALSE))/_xlfn.WEIBULL.DIST(CY$2,$M116,$L116,FALSE))*($T116*(1-$F116)+$S116*(1-$G116))*((1+Inputs!$D$7)^CY$2))))))))</f>
        <v>0</v>
      </c>
      <c r="CZ116" s="88">
        <f>MAX(BJ116,($E116*IF(CZ$2&gt;Inputs!$D$5,0,IF(CZ$2&gt;VLOOKUP($H116,Lists!$P$3:$Q$7,2),IF($N116=Lists!$K$3,IF($L116&lt;1,(($U116/$L116)*((1+Inputs!$D$7)^CZ$2)),((INT(CZ$2/$L116)-INT((CZ$2-1)/$L116))*$U116*((1+Inputs!$D$7)^CZ$2))),(Inputs!$D$8^((1-_xlfn.WEIBULL.DIST(CZ$2,$M116,$L116,FALSE))/_xlfn.WEIBULL.DIST(CZ$2,$M116,$L116,FALSE))*$U116*((1+Inputs!$D$7)^CZ$2))),IF($N116=Lists!$K$3,IF($L116&lt;1,((($T116*(1-$F116)+$S116*(1-$G116))/$L116)*((1+Inputs!$D$7)^CZ$2)),((INT(CZ$2/$L116)-INT((CZ$2-1)/$L116))*($T116*(1-$F116)+$S116*(1-$G116))*((1+Inputs!$D$7)^CZ$2))),((Inputs!$D$8^((1-_xlfn.WEIBULL.DIST(CZ$2,$M116,$L116,FALSE))/_xlfn.WEIBULL.DIST(CZ$2,$M116,$L116,FALSE))*($T116*(1-$F116)+$S116*(1-$G116))*((1+Inputs!$D$7)^CZ$2))))))))</f>
        <v>0</v>
      </c>
      <c r="DA116" s="88">
        <f>MAX(BK116,($E116*IF(DA$2&gt;Inputs!$D$5,0,IF(DA$2&gt;VLOOKUP($H116,Lists!$P$3:$Q$7,2),IF($N116=Lists!$K$3,IF($L116&lt;1,(($U116/$L116)*((1+Inputs!$D$7)^DA$2)),((INT(DA$2/$L116)-INT((DA$2-1)/$L116))*$U116*((1+Inputs!$D$7)^DA$2))),(Inputs!$D$8^((1-_xlfn.WEIBULL.DIST(DA$2,$M116,$L116,FALSE))/_xlfn.WEIBULL.DIST(DA$2,$M116,$L116,FALSE))*$U116*((1+Inputs!$D$7)^DA$2))),IF($N116=Lists!$K$3,IF($L116&lt;1,((($T116*(1-$F116)+$S116*(1-$G116))/$L116)*((1+Inputs!$D$7)^DA$2)),((INT(DA$2/$L116)-INT((DA$2-1)/$L116))*($T116*(1-$F116)+$S116*(1-$G116))*((1+Inputs!$D$7)^DA$2))),((Inputs!$D$8^((1-_xlfn.WEIBULL.DIST(DA$2,$M116,$L116,FALSE))/_xlfn.WEIBULL.DIST(DA$2,$M116,$L116,FALSE))*($T116*(1-$F116)+$S116*(1-$G116))*((1+Inputs!$D$7)^DA$2))))))))</f>
        <v>0</v>
      </c>
      <c r="DB116" s="88">
        <f>MAX(BL116,($E116*IF(DB$2&gt;Inputs!$D$5,0,IF(DB$2&gt;VLOOKUP($H116,Lists!$P$3:$Q$7,2),IF($N116=Lists!$K$3,IF($L116&lt;1,(($U116/$L116)*((1+Inputs!$D$7)^DB$2)),((INT(DB$2/$L116)-INT((DB$2-1)/$L116))*$U116*((1+Inputs!$D$7)^DB$2))),(Inputs!$D$8^((1-_xlfn.WEIBULL.DIST(DB$2,$M116,$L116,FALSE))/_xlfn.WEIBULL.DIST(DB$2,$M116,$L116,FALSE))*$U116*((1+Inputs!$D$7)^DB$2))),IF($N116=Lists!$K$3,IF($L116&lt;1,((($T116*(1-$F116)+$S116*(1-$G116))/$L116)*((1+Inputs!$D$7)^DB$2)),((INT(DB$2/$L116)-INT((DB$2-1)/$L116))*($T116*(1-$F116)+$S116*(1-$G116))*((1+Inputs!$D$7)^DB$2))),((Inputs!$D$8^((1-_xlfn.WEIBULL.DIST(DB$2,$M116,$L116,FALSE))/_xlfn.WEIBULL.DIST(DB$2,$M116,$L116,FALSE))*($T116*(1-$F116)+$S116*(1-$G116))*((1+Inputs!$D$7)^DB$2))))))))</f>
        <v>0</v>
      </c>
      <c r="DC116" s="88">
        <f>MAX(BM116,($E116*IF(DC$2&gt;Inputs!$D$5,0,IF(DC$2&gt;VLOOKUP($H116,Lists!$P$3:$Q$7,2),IF($N116=Lists!$K$3,IF($L116&lt;1,(($U116/$L116)*((1+Inputs!$D$7)^DC$2)),((INT(DC$2/$L116)-INT((DC$2-1)/$L116))*$U116*((1+Inputs!$D$7)^DC$2))),(Inputs!$D$8^((1-_xlfn.WEIBULL.DIST(DC$2,$M116,$L116,FALSE))/_xlfn.WEIBULL.DIST(DC$2,$M116,$L116,FALSE))*$U116*((1+Inputs!$D$7)^DC$2))),IF($N116=Lists!$K$3,IF($L116&lt;1,((($T116*(1-$F116)+$S116*(1-$G116))/$L116)*((1+Inputs!$D$7)^DC$2)),((INT(DC$2/$L116)-INT((DC$2-1)/$L116))*($T116*(1-$F116)+$S116*(1-$G116))*((1+Inputs!$D$7)^DC$2))),((Inputs!$D$8^((1-_xlfn.WEIBULL.DIST(DC$2,$M116,$L116,FALSE))/_xlfn.WEIBULL.DIST(DC$2,$M116,$L116,FALSE))*($T116*(1-$F116)+$S116*(1-$G116))*((1+Inputs!$D$7)^DC$2))))))))</f>
        <v>0</v>
      </c>
      <c r="DD116" s="88">
        <f>MAX(BN116,($E116*IF(DD$2&gt;Inputs!$D$5,0,IF(DD$2&gt;VLOOKUP($H116,Lists!$P$3:$Q$7,2),IF($N116=Lists!$K$3,IF($L116&lt;1,(($U116/$L116)*((1+Inputs!$D$7)^DD$2)),((INT(DD$2/$L116)-INT((DD$2-1)/$L116))*$U116*((1+Inputs!$D$7)^DD$2))),(Inputs!$D$8^((1-_xlfn.WEIBULL.DIST(DD$2,$M116,$L116,FALSE))/_xlfn.WEIBULL.DIST(DD$2,$M116,$L116,FALSE))*$U116*((1+Inputs!$D$7)^DD$2))),IF($N116=Lists!$K$3,IF($L116&lt;1,((($T116*(1-$F116)+$S116*(1-$G116))/$L116)*((1+Inputs!$D$7)^DD$2)),((INT(DD$2/$L116)-INT((DD$2-1)/$L116))*($T116*(1-$F116)+$S116*(1-$G116))*((1+Inputs!$D$7)^DD$2))),((Inputs!$D$8^((1-_xlfn.WEIBULL.DIST(DD$2,$M116,$L116,FALSE))/_xlfn.WEIBULL.DIST(DD$2,$M116,$L116,FALSE))*($T116*(1-$F116)+$S116*(1-$G116))*((1+Inputs!$D$7)^DD$2))))))))</f>
        <v>0</v>
      </c>
    </row>
    <row r="117" spans="1:108" ht="16">
      <c r="A117" s="57" t="s">
        <v>419</v>
      </c>
      <c r="B117" s="13" t="s">
        <v>279</v>
      </c>
      <c r="C117" s="13" t="s">
        <v>90</v>
      </c>
      <c r="D117" s="13" t="s">
        <v>126</v>
      </c>
      <c r="E117" s="48">
        <f>IF(Inputs!$D$42=Lists!$H$3,1,0)</f>
        <v>0</v>
      </c>
      <c r="F117" s="48">
        <v>0</v>
      </c>
      <c r="G117" s="48">
        <v>0</v>
      </c>
      <c r="H117" s="105" t="s">
        <v>350</v>
      </c>
      <c r="I117" s="14" t="s">
        <v>382</v>
      </c>
      <c r="J117" s="14" t="s">
        <v>84</v>
      </c>
      <c r="K117" s="13">
        <f>VLOOKUP(J117,'Labor Rates'!$A$1:$F$16,2)</f>
        <v>22.703653846153845</v>
      </c>
      <c r="L117" s="15">
        <v>2</v>
      </c>
      <c r="M117" s="15">
        <v>1</v>
      </c>
      <c r="N117" s="16" t="s">
        <v>240</v>
      </c>
      <c r="O117" s="61">
        <f>E117*Inputs!$D$20</f>
        <v>0</v>
      </c>
      <c r="P117" s="15">
        <v>7.4999999999999997E-3</v>
      </c>
      <c r="Q117" s="15">
        <f t="shared" si="21"/>
        <v>0</v>
      </c>
      <c r="R117" s="4">
        <v>0</v>
      </c>
      <c r="S117" s="53">
        <f t="shared" si="22"/>
        <v>0</v>
      </c>
      <c r="T117" s="53">
        <f t="shared" si="23"/>
        <v>0</v>
      </c>
      <c r="U117" s="54">
        <f t="shared" si="24"/>
        <v>0</v>
      </c>
      <c r="V117" s="65"/>
      <c r="W117" s="58"/>
      <c r="X117" s="64">
        <f t="shared" si="25"/>
        <v>0</v>
      </c>
      <c r="Y117" s="64">
        <f>NPV(Inputs!$D$6,AA117:BN117)</f>
        <v>0</v>
      </c>
      <c r="Z117" s="67">
        <f t="shared" si="26"/>
        <v>0</v>
      </c>
      <c r="AA117" s="88">
        <f>$E117*IF(AA$2&gt;Inputs!$D$5,0,IF(AA$2&gt;VLOOKUP($H117,Lists!$P$3:$Q$7,2),IF($N117=Lists!$K$3,IF($L117&lt;1,(($U117/$L117)*((1+Inputs!$D$7)^AA$2)),((INT(AA$2/$L117)-INT((AA$2-1)/$L117))*$U117*((1+Inputs!$D$7)^AA$2))),(_xlfn.WEIBULL.DIST(AA$2,$M117,$L117,FALSE)*$U117*((1+Inputs!$D$7)^AA$2))),IF($N117=Lists!$K$3,IF($L117&lt;1,((($T117*(1-$F117)+$S117*(1-$G117))/$L117)*((1+Inputs!$D$7)^AA$2)),((INT(AA$2/$L117)-INT((AA$2-1)/$L117))*($T117*(1-$F117)+$S117*(1-$G117))*((1+Inputs!$D$7)^AA$2))),((_xlfn.WEIBULL.DIST(AA$2,$M117,$L117,FALSE)*($T117*(1-$F117)+$S117*(1-$G117))*((1+Inputs!$D$7)^AA$2))))))</f>
        <v>0</v>
      </c>
      <c r="AB117" s="88">
        <f>$E117*IF(AB$2&gt;Inputs!$D$5,0,IF(AB$2&gt;VLOOKUP($H117,Lists!$P$3:$Q$7,2),IF($N117=Lists!$K$3,IF($L117&lt;1,(($U117/$L117)*((1+Inputs!$D$7)^AB$2)),((INT(AB$2/$L117)-INT((AB$2-1)/$L117))*$U117*((1+Inputs!$D$7)^AB$2))),(_xlfn.WEIBULL.DIST(AB$2,$M117,$L117,FALSE)*$U117*((1+Inputs!$D$7)^AB$2))),IF($N117=Lists!$K$3,IF($L117&lt;1,((($T117*(1-$F117)+$S117*(1-$G117))/$L117)*((1+Inputs!$D$7)^AB$2)),((INT(AB$2/$L117)-INT((AB$2-1)/$L117))*($T117*(1-$F117)+$S117*(1-$G117))*((1+Inputs!$D$7)^AB$2))),((_xlfn.WEIBULL.DIST(AB$2,$M117,$L117,FALSE)*($T117*(1-$F117)+$S117*(1-$G117))*((1+Inputs!$D$7)^AB$2))))))</f>
        <v>0</v>
      </c>
      <c r="AC117" s="88">
        <f>$E117*IF(AC$2&gt;Inputs!$D$5,0,IF(AC$2&gt;VLOOKUP($H117,Lists!$P$3:$Q$7,2),IF($N117=Lists!$K$3,IF($L117&lt;1,(($U117/$L117)*((1+Inputs!$D$7)^AC$2)),((INT(AC$2/$L117)-INT((AC$2-1)/$L117))*$U117*((1+Inputs!$D$7)^AC$2))),(_xlfn.WEIBULL.DIST(AC$2,$M117,$L117,FALSE)*$U117*((1+Inputs!$D$7)^AC$2))),IF($N117=Lists!$K$3,IF($L117&lt;1,((($T117*(1-$F117)+$S117*(1-$G117))/$L117)*((1+Inputs!$D$7)^AC$2)),((INT(AC$2/$L117)-INT((AC$2-1)/$L117))*($T117*(1-$F117)+$S117*(1-$G117))*((1+Inputs!$D$7)^AC$2))),((_xlfn.WEIBULL.DIST(AC$2,$M117,$L117,FALSE)*($T117*(1-$F117)+$S117*(1-$G117))*((1+Inputs!$D$7)^AC$2))))))</f>
        <v>0</v>
      </c>
      <c r="AD117" s="88">
        <f>$E117*IF(AD$2&gt;Inputs!$D$5,0,IF(AD$2&gt;VLOOKUP($H117,Lists!$P$3:$Q$7,2),IF($N117=Lists!$K$3,IF($L117&lt;1,(($U117/$L117)*((1+Inputs!$D$7)^AD$2)),((INT(AD$2/$L117)-INT((AD$2-1)/$L117))*$U117*((1+Inputs!$D$7)^AD$2))),(_xlfn.WEIBULL.DIST(AD$2,$M117,$L117,FALSE)*$U117*((1+Inputs!$D$7)^AD$2))),IF($N117=Lists!$K$3,IF($L117&lt;1,((($T117*(1-$F117)+$S117*(1-$G117))/$L117)*((1+Inputs!$D$7)^AD$2)),((INT(AD$2/$L117)-INT((AD$2-1)/$L117))*($T117*(1-$F117)+$S117*(1-$G117))*((1+Inputs!$D$7)^AD$2))),((_xlfn.WEIBULL.DIST(AD$2,$M117,$L117,FALSE)*($T117*(1-$F117)+$S117*(1-$G117))*((1+Inputs!$D$7)^AD$2))))))</f>
        <v>0</v>
      </c>
      <c r="AE117" s="88">
        <f>$E117*IF(AE$2&gt;Inputs!$D$5,0,IF(AE$2&gt;VLOOKUP($H117,Lists!$P$3:$Q$7,2),IF($N117=Lists!$K$3,IF($L117&lt;1,(($U117/$L117)*((1+Inputs!$D$7)^AE$2)),((INT(AE$2/$L117)-INT((AE$2-1)/$L117))*$U117*((1+Inputs!$D$7)^AE$2))),(_xlfn.WEIBULL.DIST(AE$2,$M117,$L117,FALSE)*$U117*((1+Inputs!$D$7)^AE$2))),IF($N117=Lists!$K$3,IF($L117&lt;1,((($T117*(1-$F117)+$S117*(1-$G117))/$L117)*((1+Inputs!$D$7)^AE$2)),((INT(AE$2/$L117)-INT((AE$2-1)/$L117))*($T117*(1-$F117)+$S117*(1-$G117))*((1+Inputs!$D$7)^AE$2))),((_xlfn.WEIBULL.DIST(AE$2,$M117,$L117,FALSE)*($T117*(1-$F117)+$S117*(1-$G117))*((1+Inputs!$D$7)^AE$2))))))</f>
        <v>0</v>
      </c>
      <c r="AF117" s="88">
        <f>$E117*IF(AF$2&gt;Inputs!$D$5,0,IF(AF$2&gt;VLOOKUP($H117,Lists!$P$3:$Q$7,2),IF($N117=Lists!$K$3,IF($L117&lt;1,(($U117/$L117)*((1+Inputs!$D$7)^AF$2)),((INT(AF$2/$L117)-INT((AF$2-1)/$L117))*$U117*((1+Inputs!$D$7)^AF$2))),(_xlfn.WEIBULL.DIST(AF$2,$M117,$L117,FALSE)*$U117*((1+Inputs!$D$7)^AF$2))),IF($N117=Lists!$K$3,IF($L117&lt;1,((($T117*(1-$F117)+$S117*(1-$G117))/$L117)*((1+Inputs!$D$7)^AF$2)),((INT(AF$2/$L117)-INT((AF$2-1)/$L117))*($T117*(1-$F117)+$S117*(1-$G117))*((1+Inputs!$D$7)^AF$2))),((_xlfn.WEIBULL.DIST(AF$2,$M117,$L117,FALSE)*($T117*(1-$F117)+$S117*(1-$G117))*((1+Inputs!$D$7)^AF$2))))))</f>
        <v>0</v>
      </c>
      <c r="AG117" s="88">
        <f>$E117*IF(AG$2&gt;Inputs!$D$5,0,IF(AG$2&gt;VLOOKUP($H117,Lists!$P$3:$Q$7,2),IF($N117=Lists!$K$3,IF($L117&lt;1,(($U117/$L117)*((1+Inputs!$D$7)^AG$2)),((INT(AG$2/$L117)-INT((AG$2-1)/$L117))*$U117*((1+Inputs!$D$7)^AG$2))),(_xlfn.WEIBULL.DIST(AG$2,$M117,$L117,FALSE)*$U117*((1+Inputs!$D$7)^AG$2))),IF($N117=Lists!$K$3,IF($L117&lt;1,((($T117*(1-$F117)+$S117*(1-$G117))/$L117)*((1+Inputs!$D$7)^AG$2)),((INT(AG$2/$L117)-INT((AG$2-1)/$L117))*($T117*(1-$F117)+$S117*(1-$G117))*((1+Inputs!$D$7)^AG$2))),((_xlfn.WEIBULL.DIST(AG$2,$M117,$L117,FALSE)*($T117*(1-$F117)+$S117*(1-$G117))*((1+Inputs!$D$7)^AG$2))))))</f>
        <v>0</v>
      </c>
      <c r="AH117" s="88">
        <f>$E117*IF(AH$2&gt;Inputs!$D$5,0,IF(AH$2&gt;VLOOKUP($H117,Lists!$P$3:$Q$7,2),IF($N117=Lists!$K$3,IF($L117&lt;1,(($U117/$L117)*((1+Inputs!$D$7)^AH$2)),((INT(AH$2/$L117)-INT((AH$2-1)/$L117))*$U117*((1+Inputs!$D$7)^AH$2))),(_xlfn.WEIBULL.DIST(AH$2,$M117,$L117,FALSE)*$U117*((1+Inputs!$D$7)^AH$2))),IF($N117=Lists!$K$3,IF($L117&lt;1,((($T117*(1-$F117)+$S117*(1-$G117))/$L117)*((1+Inputs!$D$7)^AH$2)),((INT(AH$2/$L117)-INT((AH$2-1)/$L117))*($T117*(1-$F117)+$S117*(1-$G117))*((1+Inputs!$D$7)^AH$2))),((_xlfn.WEIBULL.DIST(AH$2,$M117,$L117,FALSE)*($T117*(1-$F117)+$S117*(1-$G117))*((1+Inputs!$D$7)^AH$2))))))</f>
        <v>0</v>
      </c>
      <c r="AI117" s="88">
        <f>$E117*IF(AI$2&gt;Inputs!$D$5,0,IF(AI$2&gt;VLOOKUP($H117,Lists!$P$3:$Q$7,2),IF($N117=Lists!$K$3,IF($L117&lt;1,(($U117/$L117)*((1+Inputs!$D$7)^AI$2)),((INT(AI$2/$L117)-INT((AI$2-1)/$L117))*$U117*((1+Inputs!$D$7)^AI$2))),(_xlfn.WEIBULL.DIST(AI$2,$M117,$L117,FALSE)*$U117*((1+Inputs!$D$7)^AI$2))),IF($N117=Lists!$K$3,IF($L117&lt;1,((($T117*(1-$F117)+$S117*(1-$G117))/$L117)*((1+Inputs!$D$7)^AI$2)),((INT(AI$2/$L117)-INT((AI$2-1)/$L117))*($T117*(1-$F117)+$S117*(1-$G117))*((1+Inputs!$D$7)^AI$2))),((_xlfn.WEIBULL.DIST(AI$2,$M117,$L117,FALSE)*($T117*(1-$F117)+$S117*(1-$G117))*((1+Inputs!$D$7)^AI$2))))))</f>
        <v>0</v>
      </c>
      <c r="AJ117" s="88">
        <f>$E117*IF(AJ$2&gt;Inputs!$D$5,0,IF(AJ$2&gt;VLOOKUP($H117,Lists!$P$3:$Q$7,2),IF($N117=Lists!$K$3,IF($L117&lt;1,(($U117/$L117)*((1+Inputs!$D$7)^AJ$2)),((INT(AJ$2/$L117)-INT((AJ$2-1)/$L117))*$U117*((1+Inputs!$D$7)^AJ$2))),(_xlfn.WEIBULL.DIST(AJ$2,$M117,$L117,FALSE)*$U117*((1+Inputs!$D$7)^AJ$2))),IF($N117=Lists!$K$3,IF($L117&lt;1,((($T117*(1-$F117)+$S117*(1-$G117))/$L117)*((1+Inputs!$D$7)^AJ$2)),((INT(AJ$2/$L117)-INT((AJ$2-1)/$L117))*($T117*(1-$F117)+$S117*(1-$G117))*((1+Inputs!$D$7)^AJ$2))),((_xlfn.WEIBULL.DIST(AJ$2,$M117,$L117,FALSE)*($T117*(1-$F117)+$S117*(1-$G117))*((1+Inputs!$D$7)^AJ$2))))))</f>
        <v>0</v>
      </c>
      <c r="AK117" s="88">
        <f>$E117*IF(AK$2&gt;Inputs!$D$5,0,IF(AK$2&gt;VLOOKUP($H117,Lists!$P$3:$Q$7,2),IF($N117=Lists!$K$3,IF($L117&lt;1,(($U117/$L117)*((1+Inputs!$D$7)^AK$2)),((INT(AK$2/$L117)-INT((AK$2-1)/$L117))*$U117*((1+Inputs!$D$7)^AK$2))),(_xlfn.WEIBULL.DIST(AK$2,$M117,$L117,FALSE)*$U117*((1+Inputs!$D$7)^AK$2))),IF($N117=Lists!$K$3,IF($L117&lt;1,((($T117*(1-$F117)+$S117*(1-$G117))/$L117)*((1+Inputs!$D$7)^AK$2)),((INT(AK$2/$L117)-INT((AK$2-1)/$L117))*($T117*(1-$F117)+$S117*(1-$G117))*((1+Inputs!$D$7)^AK$2))),((_xlfn.WEIBULL.DIST(AK$2,$M117,$L117,FALSE)*($T117*(1-$F117)+$S117*(1-$G117))*((1+Inputs!$D$7)^AK$2))))))</f>
        <v>0</v>
      </c>
      <c r="AL117" s="88">
        <f>$E117*IF(AL$2&gt;Inputs!$D$5,0,IF(AL$2&gt;VLOOKUP($H117,Lists!$P$3:$Q$7,2),IF($N117=Lists!$K$3,IF($L117&lt;1,(($U117/$L117)*((1+Inputs!$D$7)^AL$2)),((INT(AL$2/$L117)-INT((AL$2-1)/$L117))*$U117*((1+Inputs!$D$7)^AL$2))),(_xlfn.WEIBULL.DIST(AL$2,$M117,$L117,FALSE)*$U117*((1+Inputs!$D$7)^AL$2))),IF($N117=Lists!$K$3,IF($L117&lt;1,((($T117*(1-$F117)+$S117*(1-$G117))/$L117)*((1+Inputs!$D$7)^AL$2)),((INT(AL$2/$L117)-INT((AL$2-1)/$L117))*($T117*(1-$F117)+$S117*(1-$G117))*((1+Inputs!$D$7)^AL$2))),((_xlfn.WEIBULL.DIST(AL$2,$M117,$L117,FALSE)*($T117*(1-$F117)+$S117*(1-$G117))*((1+Inputs!$D$7)^AL$2))))))</f>
        <v>0</v>
      </c>
      <c r="AM117" s="88">
        <f>$E117*IF(AM$2&gt;Inputs!$D$5,0,IF(AM$2&gt;VLOOKUP($H117,Lists!$P$3:$Q$7,2),IF($N117=Lists!$K$3,IF($L117&lt;1,(($U117/$L117)*((1+Inputs!$D$7)^AM$2)),((INT(AM$2/$L117)-INT((AM$2-1)/$L117))*$U117*((1+Inputs!$D$7)^AM$2))),(_xlfn.WEIBULL.DIST(AM$2,$M117,$L117,FALSE)*$U117*((1+Inputs!$D$7)^AM$2))),IF($N117=Lists!$K$3,IF($L117&lt;1,((($T117*(1-$F117)+$S117*(1-$G117))/$L117)*((1+Inputs!$D$7)^AM$2)),((INT(AM$2/$L117)-INT((AM$2-1)/$L117))*($T117*(1-$F117)+$S117*(1-$G117))*((1+Inputs!$D$7)^AM$2))),((_xlfn.WEIBULL.DIST(AM$2,$M117,$L117,FALSE)*($T117*(1-$F117)+$S117*(1-$G117))*((1+Inputs!$D$7)^AM$2))))))</f>
        <v>0</v>
      </c>
      <c r="AN117" s="88">
        <f>$E117*IF(AN$2&gt;Inputs!$D$5,0,IF(AN$2&gt;VLOOKUP($H117,Lists!$P$3:$Q$7,2),IF($N117=Lists!$K$3,IF($L117&lt;1,(($U117/$L117)*((1+Inputs!$D$7)^AN$2)),((INT(AN$2/$L117)-INT((AN$2-1)/$L117))*$U117*((1+Inputs!$D$7)^AN$2))),(_xlfn.WEIBULL.DIST(AN$2,$M117,$L117,FALSE)*$U117*((1+Inputs!$D$7)^AN$2))),IF($N117=Lists!$K$3,IF($L117&lt;1,((($T117*(1-$F117)+$S117*(1-$G117))/$L117)*((1+Inputs!$D$7)^AN$2)),((INT(AN$2/$L117)-INT((AN$2-1)/$L117))*($T117*(1-$F117)+$S117*(1-$G117))*((1+Inputs!$D$7)^AN$2))),((_xlfn.WEIBULL.DIST(AN$2,$M117,$L117,FALSE)*($T117*(1-$F117)+$S117*(1-$G117))*((1+Inputs!$D$7)^AN$2))))))</f>
        <v>0</v>
      </c>
      <c r="AO117" s="88">
        <f>$E117*IF(AO$2&gt;Inputs!$D$5,0,IF(AO$2&gt;VLOOKUP($H117,Lists!$P$3:$Q$7,2),IF($N117=Lists!$K$3,IF($L117&lt;1,(($U117/$L117)*((1+Inputs!$D$7)^AO$2)),((INT(AO$2/$L117)-INT((AO$2-1)/$L117))*$U117*((1+Inputs!$D$7)^AO$2))),(_xlfn.WEIBULL.DIST(AO$2,$M117,$L117,FALSE)*$U117*((1+Inputs!$D$7)^AO$2))),IF($N117=Lists!$K$3,IF($L117&lt;1,((($T117*(1-$F117)+$S117*(1-$G117))/$L117)*((1+Inputs!$D$7)^AO$2)),((INT(AO$2/$L117)-INT((AO$2-1)/$L117))*($T117*(1-$F117)+$S117*(1-$G117))*((1+Inputs!$D$7)^AO$2))),((_xlfn.WEIBULL.DIST(AO$2,$M117,$L117,FALSE)*($T117*(1-$F117)+$S117*(1-$G117))*((1+Inputs!$D$7)^AO$2))))))</f>
        <v>0</v>
      </c>
      <c r="AP117" s="88">
        <f>$E117*IF(AP$2&gt;Inputs!$D$5,0,IF(AP$2&gt;VLOOKUP($H117,Lists!$P$3:$Q$7,2),IF($N117=Lists!$K$3,IF($L117&lt;1,(($U117/$L117)*((1+Inputs!$D$7)^AP$2)),((INT(AP$2/$L117)-INT((AP$2-1)/$L117))*$U117*((1+Inputs!$D$7)^AP$2))),(_xlfn.WEIBULL.DIST(AP$2,$M117,$L117,FALSE)*$U117*((1+Inputs!$D$7)^AP$2))),IF($N117=Lists!$K$3,IF($L117&lt;1,((($T117*(1-$F117)+$S117*(1-$G117))/$L117)*((1+Inputs!$D$7)^AP$2)),((INT(AP$2/$L117)-INT((AP$2-1)/$L117))*($T117*(1-$F117)+$S117*(1-$G117))*((1+Inputs!$D$7)^AP$2))),((_xlfn.WEIBULL.DIST(AP$2,$M117,$L117,FALSE)*($T117*(1-$F117)+$S117*(1-$G117))*((1+Inputs!$D$7)^AP$2))))))</f>
        <v>0</v>
      </c>
      <c r="AQ117" s="88">
        <f>$E117*IF(AQ$2&gt;Inputs!$D$5,0,IF(AQ$2&gt;VLOOKUP($H117,Lists!$P$3:$Q$7,2),IF($N117=Lists!$K$3,IF($L117&lt;1,(($U117/$L117)*((1+Inputs!$D$7)^AQ$2)),((INT(AQ$2/$L117)-INT((AQ$2-1)/$L117))*$U117*((1+Inputs!$D$7)^AQ$2))),(_xlfn.WEIBULL.DIST(AQ$2,$M117,$L117,FALSE)*$U117*((1+Inputs!$D$7)^AQ$2))),IF($N117=Lists!$K$3,IF($L117&lt;1,((($T117*(1-$F117)+$S117*(1-$G117))/$L117)*((1+Inputs!$D$7)^AQ$2)),((INT(AQ$2/$L117)-INT((AQ$2-1)/$L117))*($T117*(1-$F117)+$S117*(1-$G117))*((1+Inputs!$D$7)^AQ$2))),((_xlfn.WEIBULL.DIST(AQ$2,$M117,$L117,FALSE)*($T117*(1-$F117)+$S117*(1-$G117))*((1+Inputs!$D$7)^AQ$2))))))</f>
        <v>0</v>
      </c>
      <c r="AR117" s="88">
        <f>$E117*IF(AR$2&gt;Inputs!$D$5,0,IF(AR$2&gt;VLOOKUP($H117,Lists!$P$3:$Q$7,2),IF($N117=Lists!$K$3,IF($L117&lt;1,(($U117/$L117)*((1+Inputs!$D$7)^AR$2)),((INT(AR$2/$L117)-INT((AR$2-1)/$L117))*$U117*((1+Inputs!$D$7)^AR$2))),(_xlfn.WEIBULL.DIST(AR$2,$M117,$L117,FALSE)*$U117*((1+Inputs!$D$7)^AR$2))),IF($N117=Lists!$K$3,IF($L117&lt;1,((($T117*(1-$F117)+$S117*(1-$G117))/$L117)*((1+Inputs!$D$7)^AR$2)),((INT(AR$2/$L117)-INT((AR$2-1)/$L117))*($T117*(1-$F117)+$S117*(1-$G117))*((1+Inputs!$D$7)^AR$2))),((_xlfn.WEIBULL.DIST(AR$2,$M117,$L117,FALSE)*($T117*(1-$F117)+$S117*(1-$G117))*((1+Inputs!$D$7)^AR$2))))))</f>
        <v>0</v>
      </c>
      <c r="AS117" s="88">
        <f>$E117*IF(AS$2&gt;Inputs!$D$5,0,IF(AS$2&gt;VLOOKUP($H117,Lists!$P$3:$Q$7,2),IF($N117=Lists!$K$3,IF($L117&lt;1,(($U117/$L117)*((1+Inputs!$D$7)^AS$2)),((INT(AS$2/$L117)-INT((AS$2-1)/$L117))*$U117*((1+Inputs!$D$7)^AS$2))),(_xlfn.WEIBULL.DIST(AS$2,$M117,$L117,FALSE)*$U117*((1+Inputs!$D$7)^AS$2))),IF($N117=Lists!$K$3,IF($L117&lt;1,((($T117*(1-$F117)+$S117*(1-$G117))/$L117)*((1+Inputs!$D$7)^AS$2)),((INT(AS$2/$L117)-INT((AS$2-1)/$L117))*($T117*(1-$F117)+$S117*(1-$G117))*((1+Inputs!$D$7)^AS$2))),((_xlfn.WEIBULL.DIST(AS$2,$M117,$L117,FALSE)*($T117*(1-$F117)+$S117*(1-$G117))*((1+Inputs!$D$7)^AS$2))))))</f>
        <v>0</v>
      </c>
      <c r="AT117" s="88">
        <f>$E117*IF(AT$2&gt;Inputs!$D$5,0,IF(AT$2&gt;VLOOKUP($H117,Lists!$P$3:$Q$7,2),IF($N117=Lists!$K$3,IF($L117&lt;1,(($U117/$L117)*((1+Inputs!$D$7)^AT$2)),((INT(AT$2/$L117)-INT((AT$2-1)/$L117))*$U117*((1+Inputs!$D$7)^AT$2))),(_xlfn.WEIBULL.DIST(AT$2,$M117,$L117,FALSE)*$U117*((1+Inputs!$D$7)^AT$2))),IF($N117=Lists!$K$3,IF($L117&lt;1,((($T117*(1-$F117)+$S117*(1-$G117))/$L117)*((1+Inputs!$D$7)^AT$2)),((INT(AT$2/$L117)-INT((AT$2-1)/$L117))*($T117*(1-$F117)+$S117*(1-$G117))*((1+Inputs!$D$7)^AT$2))),((_xlfn.WEIBULL.DIST(AT$2,$M117,$L117,FALSE)*($T117*(1-$F117)+$S117*(1-$G117))*((1+Inputs!$D$7)^AT$2))))))</f>
        <v>0</v>
      </c>
      <c r="AU117" s="88">
        <f>$E117*IF(AU$2&gt;Inputs!$D$5,0,IF(AU$2&gt;VLOOKUP($H117,Lists!$P$3:$Q$7,2),IF($N117=Lists!$K$3,IF($L117&lt;1,(($U117/$L117)*((1+Inputs!$D$7)^AU$2)),((INT(AU$2/$L117)-INT((AU$2-1)/$L117))*$U117*((1+Inputs!$D$7)^AU$2))),(_xlfn.WEIBULL.DIST(AU$2,$M117,$L117,FALSE)*$U117*((1+Inputs!$D$7)^AU$2))),IF($N117=Lists!$K$3,IF($L117&lt;1,((($T117*(1-$F117)+$S117*(1-$G117))/$L117)*((1+Inputs!$D$7)^AU$2)),((INT(AU$2/$L117)-INT((AU$2-1)/$L117))*($T117*(1-$F117)+$S117*(1-$G117))*((1+Inputs!$D$7)^AU$2))),((_xlfn.WEIBULL.DIST(AU$2,$M117,$L117,FALSE)*($T117*(1-$F117)+$S117*(1-$G117))*((1+Inputs!$D$7)^AU$2))))))</f>
        <v>0</v>
      </c>
      <c r="AV117" s="88">
        <f>$E117*IF(AV$2&gt;Inputs!$D$5,0,IF(AV$2&gt;VLOOKUP($H117,Lists!$P$3:$Q$7,2),IF($N117=Lists!$K$3,IF($L117&lt;1,(($U117/$L117)*((1+Inputs!$D$7)^AV$2)),((INT(AV$2/$L117)-INT((AV$2-1)/$L117))*$U117*((1+Inputs!$D$7)^AV$2))),(_xlfn.WEIBULL.DIST(AV$2,$M117,$L117,FALSE)*$U117*((1+Inputs!$D$7)^AV$2))),IF($N117=Lists!$K$3,IF($L117&lt;1,((($T117*(1-$F117)+$S117*(1-$G117))/$L117)*((1+Inputs!$D$7)^AV$2)),((INT(AV$2/$L117)-INT((AV$2-1)/$L117))*($T117*(1-$F117)+$S117*(1-$G117))*((1+Inputs!$D$7)^AV$2))),((_xlfn.WEIBULL.DIST(AV$2,$M117,$L117,FALSE)*($T117*(1-$F117)+$S117*(1-$G117))*((1+Inputs!$D$7)^AV$2))))))</f>
        <v>0</v>
      </c>
      <c r="AW117" s="88">
        <f>$E117*IF(AW$2&gt;Inputs!$D$5,0,IF(AW$2&gt;VLOOKUP($H117,Lists!$P$3:$Q$7,2),IF($N117=Lists!$K$3,IF($L117&lt;1,(($U117/$L117)*((1+Inputs!$D$7)^AW$2)),((INT(AW$2/$L117)-INT((AW$2-1)/$L117))*$U117*((1+Inputs!$D$7)^AW$2))),(_xlfn.WEIBULL.DIST(AW$2,$M117,$L117,FALSE)*$U117*((1+Inputs!$D$7)^AW$2))),IF($N117=Lists!$K$3,IF($L117&lt;1,((($T117*(1-$F117)+$S117*(1-$G117))/$L117)*((1+Inputs!$D$7)^AW$2)),((INT(AW$2/$L117)-INT((AW$2-1)/$L117))*($T117*(1-$F117)+$S117*(1-$G117))*((1+Inputs!$D$7)^AW$2))),((_xlfn.WEIBULL.DIST(AW$2,$M117,$L117,FALSE)*($T117*(1-$F117)+$S117*(1-$G117))*((1+Inputs!$D$7)^AW$2))))))</f>
        <v>0</v>
      </c>
      <c r="AX117" s="88">
        <f>$E117*IF(AX$2&gt;Inputs!$D$5,0,IF(AX$2&gt;VLOOKUP($H117,Lists!$P$3:$Q$7,2),IF($N117=Lists!$K$3,IF($L117&lt;1,(($U117/$L117)*((1+Inputs!$D$7)^AX$2)),((INT(AX$2/$L117)-INT((AX$2-1)/$L117))*$U117*((1+Inputs!$D$7)^AX$2))),(_xlfn.WEIBULL.DIST(AX$2,$M117,$L117,FALSE)*$U117*((1+Inputs!$D$7)^AX$2))),IF($N117=Lists!$K$3,IF($L117&lt;1,((($T117*(1-$F117)+$S117*(1-$G117))/$L117)*((1+Inputs!$D$7)^AX$2)),((INT(AX$2/$L117)-INT((AX$2-1)/$L117))*($T117*(1-$F117)+$S117*(1-$G117))*((1+Inputs!$D$7)^AX$2))),((_xlfn.WEIBULL.DIST(AX$2,$M117,$L117,FALSE)*($T117*(1-$F117)+$S117*(1-$G117))*((1+Inputs!$D$7)^AX$2))))))</f>
        <v>0</v>
      </c>
      <c r="AY117" s="88">
        <f>$E117*IF(AY$2&gt;Inputs!$D$5,0,IF(AY$2&gt;VLOOKUP($H117,Lists!$P$3:$Q$7,2),IF($N117=Lists!$K$3,IF($L117&lt;1,(($U117/$L117)*((1+Inputs!$D$7)^AY$2)),((INT(AY$2/$L117)-INT((AY$2-1)/$L117))*$U117*((1+Inputs!$D$7)^AY$2))),(_xlfn.WEIBULL.DIST(AY$2,$M117,$L117,FALSE)*$U117*((1+Inputs!$D$7)^AY$2))),IF($N117=Lists!$K$3,IF($L117&lt;1,((($T117*(1-$F117)+$S117*(1-$G117))/$L117)*((1+Inputs!$D$7)^AY$2)),((INT(AY$2/$L117)-INT((AY$2-1)/$L117))*($T117*(1-$F117)+$S117*(1-$G117))*((1+Inputs!$D$7)^AY$2))),((_xlfn.WEIBULL.DIST(AY$2,$M117,$L117,FALSE)*($T117*(1-$F117)+$S117*(1-$G117))*((1+Inputs!$D$7)^AY$2))))))</f>
        <v>0</v>
      </c>
      <c r="AZ117" s="88">
        <f>$E117*IF(AZ$2&gt;Inputs!$D$5,0,IF(AZ$2&gt;VLOOKUP($H117,Lists!$P$3:$Q$7,2),IF($N117=Lists!$K$3,IF($L117&lt;1,(($U117/$L117)*((1+Inputs!$D$7)^AZ$2)),((INT(AZ$2/$L117)-INT((AZ$2-1)/$L117))*$U117*((1+Inputs!$D$7)^AZ$2))),(_xlfn.WEIBULL.DIST(AZ$2,$M117,$L117,FALSE)*$U117*((1+Inputs!$D$7)^AZ$2))),IF($N117=Lists!$K$3,IF($L117&lt;1,((($T117*(1-$F117)+$S117*(1-$G117))/$L117)*((1+Inputs!$D$7)^AZ$2)),((INT(AZ$2/$L117)-INT((AZ$2-1)/$L117))*($T117*(1-$F117)+$S117*(1-$G117))*((1+Inputs!$D$7)^AZ$2))),((_xlfn.WEIBULL.DIST(AZ$2,$M117,$L117,FALSE)*($T117*(1-$F117)+$S117*(1-$G117))*((1+Inputs!$D$7)^AZ$2))))))</f>
        <v>0</v>
      </c>
      <c r="BA117" s="88">
        <f>$E117*IF(BA$2&gt;Inputs!$D$5,0,IF(BA$2&gt;VLOOKUP($H117,Lists!$P$3:$Q$7,2),IF($N117=Lists!$K$3,IF($L117&lt;1,(($U117/$L117)*((1+Inputs!$D$7)^BA$2)),((INT(BA$2/$L117)-INT((BA$2-1)/$L117))*$U117*((1+Inputs!$D$7)^BA$2))),(_xlfn.WEIBULL.DIST(BA$2,$M117,$L117,FALSE)*$U117*((1+Inputs!$D$7)^BA$2))),IF($N117=Lists!$K$3,IF($L117&lt;1,((($T117*(1-$F117)+$S117*(1-$G117))/$L117)*((1+Inputs!$D$7)^BA$2)),((INT(BA$2/$L117)-INT((BA$2-1)/$L117))*($T117*(1-$F117)+$S117*(1-$G117))*((1+Inputs!$D$7)^BA$2))),((_xlfn.WEIBULL.DIST(BA$2,$M117,$L117,FALSE)*($T117*(1-$F117)+$S117*(1-$G117))*((1+Inputs!$D$7)^BA$2))))))</f>
        <v>0</v>
      </c>
      <c r="BB117" s="88">
        <f>$E117*IF(BB$2&gt;Inputs!$D$5,0,IF(BB$2&gt;VLOOKUP($H117,Lists!$P$3:$Q$7,2),IF($N117=Lists!$K$3,IF($L117&lt;1,(($U117/$L117)*((1+Inputs!$D$7)^BB$2)),((INT(BB$2/$L117)-INT((BB$2-1)/$L117))*$U117*((1+Inputs!$D$7)^BB$2))),(_xlfn.WEIBULL.DIST(BB$2,$M117,$L117,FALSE)*$U117*((1+Inputs!$D$7)^BB$2))),IF($N117=Lists!$K$3,IF($L117&lt;1,((($T117*(1-$F117)+$S117*(1-$G117))/$L117)*((1+Inputs!$D$7)^BB$2)),((INT(BB$2/$L117)-INT((BB$2-1)/$L117))*($T117*(1-$F117)+$S117*(1-$G117))*((1+Inputs!$D$7)^BB$2))),((_xlfn.WEIBULL.DIST(BB$2,$M117,$L117,FALSE)*($T117*(1-$F117)+$S117*(1-$G117))*((1+Inputs!$D$7)^BB$2))))))</f>
        <v>0</v>
      </c>
      <c r="BC117" s="88">
        <f>$E117*IF(BC$2&gt;Inputs!$D$5,0,IF(BC$2&gt;VLOOKUP($H117,Lists!$P$3:$Q$7,2),IF($N117=Lists!$K$3,IF($L117&lt;1,(($U117/$L117)*((1+Inputs!$D$7)^BC$2)),((INT(BC$2/$L117)-INT((BC$2-1)/$L117))*$U117*((1+Inputs!$D$7)^BC$2))),(_xlfn.WEIBULL.DIST(BC$2,$M117,$L117,FALSE)*$U117*((1+Inputs!$D$7)^BC$2))),IF($N117=Lists!$K$3,IF($L117&lt;1,((($T117*(1-$F117)+$S117*(1-$G117))/$L117)*((1+Inputs!$D$7)^BC$2)),((INT(BC$2/$L117)-INT((BC$2-1)/$L117))*($T117*(1-$F117)+$S117*(1-$G117))*((1+Inputs!$D$7)^BC$2))),((_xlfn.WEIBULL.DIST(BC$2,$M117,$L117,FALSE)*($T117*(1-$F117)+$S117*(1-$G117))*((1+Inputs!$D$7)^BC$2))))))</f>
        <v>0</v>
      </c>
      <c r="BD117" s="88">
        <f>$E117*IF(BD$2&gt;Inputs!$D$5,0,IF(BD$2&gt;VLOOKUP($H117,Lists!$P$3:$Q$7,2),IF($N117=Lists!$K$3,IF($L117&lt;1,(($U117/$L117)*((1+Inputs!$D$7)^BD$2)),((INT(BD$2/$L117)-INT((BD$2-1)/$L117))*$U117*((1+Inputs!$D$7)^BD$2))),(_xlfn.WEIBULL.DIST(BD$2,$M117,$L117,FALSE)*$U117*((1+Inputs!$D$7)^BD$2))),IF($N117=Lists!$K$3,IF($L117&lt;1,((($T117*(1-$F117)+$S117*(1-$G117))/$L117)*((1+Inputs!$D$7)^BD$2)),((INT(BD$2/$L117)-INT((BD$2-1)/$L117))*($T117*(1-$F117)+$S117*(1-$G117))*((1+Inputs!$D$7)^BD$2))),((_xlfn.WEIBULL.DIST(BD$2,$M117,$L117,FALSE)*($T117*(1-$F117)+$S117*(1-$G117))*((1+Inputs!$D$7)^BD$2))))))</f>
        <v>0</v>
      </c>
      <c r="BE117" s="88">
        <f>$E117*IF(BE$2&gt;Inputs!$D$5,0,IF(BE$2&gt;VLOOKUP($H117,Lists!$P$3:$Q$7,2),IF($N117=Lists!$K$3,IF($L117&lt;1,(($U117/$L117)*((1+Inputs!$D$7)^BE$2)),((INT(BE$2/$L117)-INT((BE$2-1)/$L117))*$U117*((1+Inputs!$D$7)^BE$2))),(_xlfn.WEIBULL.DIST(BE$2,$M117,$L117,FALSE)*$U117*((1+Inputs!$D$7)^BE$2))),IF($N117=Lists!$K$3,IF($L117&lt;1,((($T117*(1-$F117)+$S117*(1-$G117))/$L117)*((1+Inputs!$D$7)^BE$2)),((INT(BE$2/$L117)-INT((BE$2-1)/$L117))*($T117*(1-$F117)+$S117*(1-$G117))*((1+Inputs!$D$7)^BE$2))),((_xlfn.WEIBULL.DIST(BE$2,$M117,$L117,FALSE)*($T117*(1-$F117)+$S117*(1-$G117))*((1+Inputs!$D$7)^BE$2))))))</f>
        <v>0</v>
      </c>
      <c r="BF117" s="88">
        <f>$E117*IF(BF$2&gt;Inputs!$D$5,0,IF(BF$2&gt;VLOOKUP($H117,Lists!$P$3:$Q$7,2),IF($N117=Lists!$K$3,IF($L117&lt;1,(($U117/$L117)*((1+Inputs!$D$7)^BF$2)),((INT(BF$2/$L117)-INT((BF$2-1)/$L117))*$U117*((1+Inputs!$D$7)^BF$2))),(_xlfn.WEIBULL.DIST(BF$2,$M117,$L117,FALSE)*$U117*((1+Inputs!$D$7)^BF$2))),IF($N117=Lists!$K$3,IF($L117&lt;1,((($T117*(1-$F117)+$S117*(1-$G117))/$L117)*((1+Inputs!$D$7)^BF$2)),((INT(BF$2/$L117)-INT((BF$2-1)/$L117))*($T117*(1-$F117)+$S117*(1-$G117))*((1+Inputs!$D$7)^BF$2))),((_xlfn.WEIBULL.DIST(BF$2,$M117,$L117,FALSE)*($T117*(1-$F117)+$S117*(1-$G117))*((1+Inputs!$D$7)^BF$2))))))</f>
        <v>0</v>
      </c>
      <c r="BG117" s="88">
        <f>$E117*IF(BG$2&gt;Inputs!$D$5,0,IF(BG$2&gt;VLOOKUP($H117,Lists!$P$3:$Q$7,2),IF($N117=Lists!$K$3,IF($L117&lt;1,(($U117/$L117)*((1+Inputs!$D$7)^BG$2)),((INT(BG$2/$L117)-INT((BG$2-1)/$L117))*$U117*((1+Inputs!$D$7)^BG$2))),(_xlfn.WEIBULL.DIST(BG$2,$M117,$L117,FALSE)*$U117*((1+Inputs!$D$7)^BG$2))),IF($N117=Lists!$K$3,IF($L117&lt;1,((($T117*(1-$F117)+$S117*(1-$G117))/$L117)*((1+Inputs!$D$7)^BG$2)),((INT(BG$2/$L117)-INT((BG$2-1)/$L117))*($T117*(1-$F117)+$S117*(1-$G117))*((1+Inputs!$D$7)^BG$2))),((_xlfn.WEIBULL.DIST(BG$2,$M117,$L117,FALSE)*($T117*(1-$F117)+$S117*(1-$G117))*((1+Inputs!$D$7)^BG$2))))))</f>
        <v>0</v>
      </c>
      <c r="BH117" s="88">
        <f>$E117*IF(BH$2&gt;Inputs!$D$5,0,IF(BH$2&gt;VLOOKUP($H117,Lists!$P$3:$Q$7,2),IF($N117=Lists!$K$3,IF($L117&lt;1,(($U117/$L117)*((1+Inputs!$D$7)^BH$2)),((INT(BH$2/$L117)-INT((BH$2-1)/$L117))*$U117*((1+Inputs!$D$7)^BH$2))),(_xlfn.WEIBULL.DIST(BH$2,$M117,$L117,FALSE)*$U117*((1+Inputs!$D$7)^BH$2))),IF($N117=Lists!$K$3,IF($L117&lt;1,((($T117*(1-$F117)+$S117*(1-$G117))/$L117)*((1+Inputs!$D$7)^BH$2)),((INT(BH$2/$L117)-INT((BH$2-1)/$L117))*($T117*(1-$F117)+$S117*(1-$G117))*((1+Inputs!$D$7)^BH$2))),((_xlfn.WEIBULL.DIST(BH$2,$M117,$L117,FALSE)*($T117*(1-$F117)+$S117*(1-$G117))*((1+Inputs!$D$7)^BH$2))))))</f>
        <v>0</v>
      </c>
      <c r="BI117" s="88">
        <f>$E117*IF(BI$2&gt;Inputs!$D$5,0,IF(BI$2&gt;VLOOKUP($H117,Lists!$P$3:$Q$7,2),IF($N117=Lists!$K$3,IF($L117&lt;1,(($U117/$L117)*((1+Inputs!$D$7)^BI$2)),((INT(BI$2/$L117)-INT((BI$2-1)/$L117))*$U117*((1+Inputs!$D$7)^BI$2))),(_xlfn.WEIBULL.DIST(BI$2,$M117,$L117,FALSE)*$U117*((1+Inputs!$D$7)^BI$2))),IF($N117=Lists!$K$3,IF($L117&lt;1,((($T117*(1-$F117)+$S117*(1-$G117))/$L117)*((1+Inputs!$D$7)^BI$2)),((INT(BI$2/$L117)-INT((BI$2-1)/$L117))*($T117*(1-$F117)+$S117*(1-$G117))*((1+Inputs!$D$7)^BI$2))),((_xlfn.WEIBULL.DIST(BI$2,$M117,$L117,FALSE)*($T117*(1-$F117)+$S117*(1-$G117))*((1+Inputs!$D$7)^BI$2))))))</f>
        <v>0</v>
      </c>
      <c r="BJ117" s="88">
        <f>$E117*IF(BJ$2&gt;Inputs!$D$5,0,IF(BJ$2&gt;VLOOKUP($H117,Lists!$P$3:$Q$7,2),IF($N117=Lists!$K$3,IF($L117&lt;1,(($U117/$L117)*((1+Inputs!$D$7)^BJ$2)),((INT(BJ$2/$L117)-INT((BJ$2-1)/$L117))*$U117*((1+Inputs!$D$7)^BJ$2))),(_xlfn.WEIBULL.DIST(BJ$2,$M117,$L117,FALSE)*$U117*((1+Inputs!$D$7)^BJ$2))),IF($N117=Lists!$K$3,IF($L117&lt;1,((($T117*(1-$F117)+$S117*(1-$G117))/$L117)*((1+Inputs!$D$7)^BJ$2)),((INT(BJ$2/$L117)-INT((BJ$2-1)/$L117))*($T117*(1-$F117)+$S117*(1-$G117))*((1+Inputs!$D$7)^BJ$2))),((_xlfn.WEIBULL.DIST(BJ$2,$M117,$L117,FALSE)*($T117*(1-$F117)+$S117*(1-$G117))*((1+Inputs!$D$7)^BJ$2))))))</f>
        <v>0</v>
      </c>
      <c r="BK117" s="88">
        <f>$E117*IF(BK$2&gt;Inputs!$D$5,0,IF(BK$2&gt;VLOOKUP($H117,Lists!$P$3:$Q$7,2),IF($N117=Lists!$K$3,IF($L117&lt;1,(($U117/$L117)*((1+Inputs!$D$7)^BK$2)),((INT(BK$2/$L117)-INT((BK$2-1)/$L117))*$U117*((1+Inputs!$D$7)^BK$2))),(_xlfn.WEIBULL.DIST(BK$2,$M117,$L117,FALSE)*$U117*((1+Inputs!$D$7)^BK$2))),IF($N117=Lists!$K$3,IF($L117&lt;1,((($T117*(1-$F117)+$S117*(1-$G117))/$L117)*((1+Inputs!$D$7)^BK$2)),((INT(BK$2/$L117)-INT((BK$2-1)/$L117))*($T117*(1-$F117)+$S117*(1-$G117))*((1+Inputs!$D$7)^BK$2))),((_xlfn.WEIBULL.DIST(BK$2,$M117,$L117,FALSE)*($T117*(1-$F117)+$S117*(1-$G117))*((1+Inputs!$D$7)^BK$2))))))</f>
        <v>0</v>
      </c>
      <c r="BL117" s="88">
        <f>$E117*IF(BL$2&gt;Inputs!$D$5,0,IF(BL$2&gt;VLOOKUP($H117,Lists!$P$3:$Q$7,2),IF($N117=Lists!$K$3,IF($L117&lt;1,(($U117/$L117)*((1+Inputs!$D$7)^BL$2)),((INT(BL$2/$L117)-INT((BL$2-1)/$L117))*$U117*((1+Inputs!$D$7)^BL$2))),(_xlfn.WEIBULL.DIST(BL$2,$M117,$L117,FALSE)*$U117*((1+Inputs!$D$7)^BL$2))),IF($N117=Lists!$K$3,IF($L117&lt;1,((($T117*(1-$F117)+$S117*(1-$G117))/$L117)*((1+Inputs!$D$7)^BL$2)),((INT(BL$2/$L117)-INT((BL$2-1)/$L117))*($T117*(1-$F117)+$S117*(1-$G117))*((1+Inputs!$D$7)^BL$2))),((_xlfn.WEIBULL.DIST(BL$2,$M117,$L117,FALSE)*($T117*(1-$F117)+$S117*(1-$G117))*((1+Inputs!$D$7)^BL$2))))))</f>
        <v>0</v>
      </c>
      <c r="BM117" s="88">
        <f>$E117*IF(BM$2&gt;Inputs!$D$5,0,IF(BM$2&gt;VLOOKUP($H117,Lists!$P$3:$Q$7,2),IF($N117=Lists!$K$3,IF($L117&lt;1,(($U117/$L117)*((1+Inputs!$D$7)^BM$2)),((INT(BM$2/$L117)-INT((BM$2-1)/$L117))*$U117*((1+Inputs!$D$7)^BM$2))),(_xlfn.WEIBULL.DIST(BM$2,$M117,$L117,FALSE)*$U117*((1+Inputs!$D$7)^BM$2))),IF($N117=Lists!$K$3,IF($L117&lt;1,((($T117*(1-$F117)+$S117*(1-$G117))/$L117)*((1+Inputs!$D$7)^BM$2)),((INT(BM$2/$L117)-INT((BM$2-1)/$L117))*($T117*(1-$F117)+$S117*(1-$G117))*((1+Inputs!$D$7)^BM$2))),((_xlfn.WEIBULL.DIST(BM$2,$M117,$L117,FALSE)*($T117*(1-$F117)+$S117*(1-$G117))*((1+Inputs!$D$7)^BM$2))))))</f>
        <v>0</v>
      </c>
      <c r="BN117" s="88">
        <f>$E117*IF(BN$2&gt;Inputs!$D$5,0,IF(BN$2&gt;VLOOKUP($H117,Lists!$P$3:$Q$7,2),IF($N117=Lists!$K$3,IF($L117&lt;1,(($U117/$L117)*((1+Inputs!$D$7)^BN$2)),((INT(BN$2/$L117)-INT((BN$2-1)/$L117))*$U117*((1+Inputs!$D$7)^BN$2))),(_xlfn.WEIBULL.DIST(BN$2,$M117,$L117,FALSE)*$U117*((1+Inputs!$D$7)^BN$2))),IF($N117=Lists!$K$3,IF($L117&lt;1,((($T117*(1-$F117)+$S117*(1-$G117))/$L117)*((1+Inputs!$D$7)^BN$2)),((INT(BN$2/$L117)-INT((BN$2-1)/$L117))*($T117*(1-$F117)+$S117*(1-$G117))*((1+Inputs!$D$7)^BN$2))),((_xlfn.WEIBULL.DIST(BN$2,$M117,$L117,FALSE)*($T117*(1-$F117)+$S117*(1-$G117))*((1+Inputs!$D$7)^BN$2))))))</f>
        <v>0</v>
      </c>
      <c r="BO117" s="64">
        <f>NPV(Inputs!$D$6,BQ117:DD117)</f>
        <v>0</v>
      </c>
      <c r="BP117" s="67">
        <f t="shared" si="27"/>
        <v>0</v>
      </c>
      <c r="BQ117" s="88">
        <f>MAX(AA117,($E117*IF(BQ$2&gt;Inputs!$D$5,0,IF(BQ$2&gt;VLOOKUP($H117,Lists!$P$3:$Q$7,2),IF($N117=Lists!$K$3,IF($L117&lt;1,(($U117/$L117)*((1+Inputs!$D$7)^BQ$2)),((INT(BQ$2/$L117)-INT((BQ$2-1)/$L117))*$U117*((1+Inputs!$D$7)^BQ$2))),(Inputs!$D$8^((1-_xlfn.WEIBULL.DIST(BQ$2,$M117,$L117,FALSE))/_xlfn.WEIBULL.DIST(BQ$2,$M117,$L117,FALSE))*$U117*((1+Inputs!$D$7)^BQ$2))),IF($N117=Lists!$K$3,IF($L117&lt;1,((($T117*(1-$F117)+$S117*(1-$G117))/$L117)*((1+Inputs!$D$7)^BQ$2)),((INT(BQ$2/$L117)-INT((BQ$2-1)/$L117))*($T117*(1-$F117)+$S117*(1-$G117))*((1+Inputs!$D$7)^BQ$2))),((Inputs!$D$8^((1-_xlfn.WEIBULL.DIST(BQ$2,$M117,$L117,FALSE))/_xlfn.WEIBULL.DIST(BQ$2,$M117,$L117,FALSE))*($T117*(1-$F117)+$S117*(1-$G117))*((1+Inputs!$D$7)^BQ$2))))))))</f>
        <v>0</v>
      </c>
      <c r="BR117" s="88">
        <f>MAX(AB117,($E117*IF(BR$2&gt;Inputs!$D$5,0,IF(BR$2&gt;VLOOKUP($H117,Lists!$P$3:$Q$7,2),IF($N117=Lists!$K$3,IF($L117&lt;1,(($U117/$L117)*((1+Inputs!$D$7)^BR$2)),((INT(BR$2/$L117)-INT((BR$2-1)/$L117))*$U117*((1+Inputs!$D$7)^BR$2))),(Inputs!$D$8^((1-_xlfn.WEIBULL.DIST(BR$2,$M117,$L117,FALSE))/_xlfn.WEIBULL.DIST(BR$2,$M117,$L117,FALSE))*$U117*((1+Inputs!$D$7)^BR$2))),IF($N117=Lists!$K$3,IF($L117&lt;1,((($T117*(1-$F117)+$S117*(1-$G117))/$L117)*((1+Inputs!$D$7)^BR$2)),((INT(BR$2/$L117)-INT((BR$2-1)/$L117))*($T117*(1-$F117)+$S117*(1-$G117))*((1+Inputs!$D$7)^BR$2))),((Inputs!$D$8^((1-_xlfn.WEIBULL.DIST(BR$2,$M117,$L117,FALSE))/_xlfn.WEIBULL.DIST(BR$2,$M117,$L117,FALSE))*($T117*(1-$F117)+$S117*(1-$G117))*((1+Inputs!$D$7)^BR$2))))))))</f>
        <v>0</v>
      </c>
      <c r="BS117" s="88">
        <f>MAX(AC117,($E117*IF(BS$2&gt;Inputs!$D$5,0,IF(BS$2&gt;VLOOKUP($H117,Lists!$P$3:$Q$7,2),IF($N117=Lists!$K$3,IF($L117&lt;1,(($U117/$L117)*((1+Inputs!$D$7)^BS$2)),((INT(BS$2/$L117)-INT((BS$2-1)/$L117))*$U117*((1+Inputs!$D$7)^BS$2))),(Inputs!$D$8^((1-_xlfn.WEIBULL.DIST(BS$2,$M117,$L117,FALSE))/_xlfn.WEIBULL.DIST(BS$2,$M117,$L117,FALSE))*$U117*((1+Inputs!$D$7)^BS$2))),IF($N117=Lists!$K$3,IF($L117&lt;1,((($T117*(1-$F117)+$S117*(1-$G117))/$L117)*((1+Inputs!$D$7)^BS$2)),((INT(BS$2/$L117)-INT((BS$2-1)/$L117))*($T117*(1-$F117)+$S117*(1-$G117))*((1+Inputs!$D$7)^BS$2))),((Inputs!$D$8^((1-_xlfn.WEIBULL.DIST(BS$2,$M117,$L117,FALSE))/_xlfn.WEIBULL.DIST(BS$2,$M117,$L117,FALSE))*($T117*(1-$F117)+$S117*(1-$G117))*((1+Inputs!$D$7)^BS$2))))))))</f>
        <v>0</v>
      </c>
      <c r="BT117" s="88">
        <f>MAX(AD117,($E117*IF(BT$2&gt;Inputs!$D$5,0,IF(BT$2&gt;VLOOKUP($H117,Lists!$P$3:$Q$7,2),IF($N117=Lists!$K$3,IF($L117&lt;1,(($U117/$L117)*((1+Inputs!$D$7)^BT$2)),((INT(BT$2/$L117)-INT((BT$2-1)/$L117))*$U117*((1+Inputs!$D$7)^BT$2))),(Inputs!$D$8^((1-_xlfn.WEIBULL.DIST(BT$2,$M117,$L117,FALSE))/_xlfn.WEIBULL.DIST(BT$2,$M117,$L117,FALSE))*$U117*((1+Inputs!$D$7)^BT$2))),IF($N117=Lists!$K$3,IF($L117&lt;1,((($T117*(1-$F117)+$S117*(1-$G117))/$L117)*((1+Inputs!$D$7)^BT$2)),((INT(BT$2/$L117)-INT((BT$2-1)/$L117))*($T117*(1-$F117)+$S117*(1-$G117))*((1+Inputs!$D$7)^BT$2))),((Inputs!$D$8^((1-_xlfn.WEIBULL.DIST(BT$2,$M117,$L117,FALSE))/_xlfn.WEIBULL.DIST(BT$2,$M117,$L117,FALSE))*($T117*(1-$F117)+$S117*(1-$G117))*((1+Inputs!$D$7)^BT$2))))))))</f>
        <v>0</v>
      </c>
      <c r="BU117" s="88">
        <f>MAX(AE117,($E117*IF(BU$2&gt;Inputs!$D$5,0,IF(BU$2&gt;VLOOKUP($H117,Lists!$P$3:$Q$7,2),IF($N117=Lists!$K$3,IF($L117&lt;1,(($U117/$L117)*((1+Inputs!$D$7)^BU$2)),((INT(BU$2/$L117)-INT((BU$2-1)/$L117))*$U117*((1+Inputs!$D$7)^BU$2))),(Inputs!$D$8^((1-_xlfn.WEIBULL.DIST(BU$2,$M117,$L117,FALSE))/_xlfn.WEIBULL.DIST(BU$2,$M117,$L117,FALSE))*$U117*((1+Inputs!$D$7)^BU$2))),IF($N117=Lists!$K$3,IF($L117&lt;1,((($T117*(1-$F117)+$S117*(1-$G117))/$L117)*((1+Inputs!$D$7)^BU$2)),((INT(BU$2/$L117)-INT((BU$2-1)/$L117))*($T117*(1-$F117)+$S117*(1-$G117))*((1+Inputs!$D$7)^BU$2))),((Inputs!$D$8^((1-_xlfn.WEIBULL.DIST(BU$2,$M117,$L117,FALSE))/_xlfn.WEIBULL.DIST(BU$2,$M117,$L117,FALSE))*($T117*(1-$F117)+$S117*(1-$G117))*((1+Inputs!$D$7)^BU$2))))))))</f>
        <v>0</v>
      </c>
      <c r="BV117" s="88">
        <f>MAX(AF117,($E117*IF(BV$2&gt;Inputs!$D$5,0,IF(BV$2&gt;VLOOKUP($H117,Lists!$P$3:$Q$7,2),IF($N117=Lists!$K$3,IF($L117&lt;1,(($U117/$L117)*((1+Inputs!$D$7)^BV$2)),((INT(BV$2/$L117)-INT((BV$2-1)/$L117))*$U117*((1+Inputs!$D$7)^BV$2))),(Inputs!$D$8^((1-_xlfn.WEIBULL.DIST(BV$2,$M117,$L117,FALSE))/_xlfn.WEIBULL.DIST(BV$2,$M117,$L117,FALSE))*$U117*((1+Inputs!$D$7)^BV$2))),IF($N117=Lists!$K$3,IF($L117&lt;1,((($T117*(1-$F117)+$S117*(1-$G117))/$L117)*((1+Inputs!$D$7)^BV$2)),((INT(BV$2/$L117)-INT((BV$2-1)/$L117))*($T117*(1-$F117)+$S117*(1-$G117))*((1+Inputs!$D$7)^BV$2))),((Inputs!$D$8^((1-_xlfn.WEIBULL.DIST(BV$2,$M117,$L117,FALSE))/_xlfn.WEIBULL.DIST(BV$2,$M117,$L117,FALSE))*($T117*(1-$F117)+$S117*(1-$G117))*((1+Inputs!$D$7)^BV$2))))))))</f>
        <v>0</v>
      </c>
      <c r="BW117" s="88">
        <f>MAX(AG117,($E117*IF(BW$2&gt;Inputs!$D$5,0,IF(BW$2&gt;VLOOKUP($H117,Lists!$P$3:$Q$7,2),IF($N117=Lists!$K$3,IF($L117&lt;1,(($U117/$L117)*((1+Inputs!$D$7)^BW$2)),((INT(BW$2/$L117)-INT((BW$2-1)/$L117))*$U117*((1+Inputs!$D$7)^BW$2))),(Inputs!$D$8^((1-_xlfn.WEIBULL.DIST(BW$2,$M117,$L117,FALSE))/_xlfn.WEIBULL.DIST(BW$2,$M117,$L117,FALSE))*$U117*((1+Inputs!$D$7)^BW$2))),IF($N117=Lists!$K$3,IF($L117&lt;1,((($T117*(1-$F117)+$S117*(1-$G117))/$L117)*((1+Inputs!$D$7)^BW$2)),((INT(BW$2/$L117)-INT((BW$2-1)/$L117))*($T117*(1-$F117)+$S117*(1-$G117))*((1+Inputs!$D$7)^BW$2))),((Inputs!$D$8^((1-_xlfn.WEIBULL.DIST(BW$2,$M117,$L117,FALSE))/_xlfn.WEIBULL.DIST(BW$2,$M117,$L117,FALSE))*($T117*(1-$F117)+$S117*(1-$G117))*((1+Inputs!$D$7)^BW$2))))))))</f>
        <v>0</v>
      </c>
      <c r="BX117" s="88">
        <f>MAX(AH117,($E117*IF(BX$2&gt;Inputs!$D$5,0,IF(BX$2&gt;VLOOKUP($H117,Lists!$P$3:$Q$7,2),IF($N117=Lists!$K$3,IF($L117&lt;1,(($U117/$L117)*((1+Inputs!$D$7)^BX$2)),((INT(BX$2/$L117)-INT((BX$2-1)/$L117))*$U117*((1+Inputs!$D$7)^BX$2))),(Inputs!$D$8^((1-_xlfn.WEIBULL.DIST(BX$2,$M117,$L117,FALSE))/_xlfn.WEIBULL.DIST(BX$2,$M117,$L117,FALSE))*$U117*((1+Inputs!$D$7)^BX$2))),IF($N117=Lists!$K$3,IF($L117&lt;1,((($T117*(1-$F117)+$S117*(1-$G117))/$L117)*((1+Inputs!$D$7)^BX$2)),((INT(BX$2/$L117)-INT((BX$2-1)/$L117))*($T117*(1-$F117)+$S117*(1-$G117))*((1+Inputs!$D$7)^BX$2))),((Inputs!$D$8^((1-_xlfn.WEIBULL.DIST(BX$2,$M117,$L117,FALSE))/_xlfn.WEIBULL.DIST(BX$2,$M117,$L117,FALSE))*($T117*(1-$F117)+$S117*(1-$G117))*((1+Inputs!$D$7)^BX$2))))))))</f>
        <v>0</v>
      </c>
      <c r="BY117" s="88">
        <f>MAX(AI117,($E117*IF(BY$2&gt;Inputs!$D$5,0,IF(BY$2&gt;VLOOKUP($H117,Lists!$P$3:$Q$7,2),IF($N117=Lists!$K$3,IF($L117&lt;1,(($U117/$L117)*((1+Inputs!$D$7)^BY$2)),((INT(BY$2/$L117)-INT((BY$2-1)/$L117))*$U117*((1+Inputs!$D$7)^BY$2))),(Inputs!$D$8^((1-_xlfn.WEIBULL.DIST(BY$2,$M117,$L117,FALSE))/_xlfn.WEIBULL.DIST(BY$2,$M117,$L117,FALSE))*$U117*((1+Inputs!$D$7)^BY$2))),IF($N117=Lists!$K$3,IF($L117&lt;1,((($T117*(1-$F117)+$S117*(1-$G117))/$L117)*((1+Inputs!$D$7)^BY$2)),((INT(BY$2/$L117)-INT((BY$2-1)/$L117))*($T117*(1-$F117)+$S117*(1-$G117))*((1+Inputs!$D$7)^BY$2))),((Inputs!$D$8^((1-_xlfn.WEIBULL.DIST(BY$2,$M117,$L117,FALSE))/_xlfn.WEIBULL.DIST(BY$2,$M117,$L117,FALSE))*($T117*(1-$F117)+$S117*(1-$G117))*((1+Inputs!$D$7)^BY$2))))))))</f>
        <v>0</v>
      </c>
      <c r="BZ117" s="88">
        <f>MAX(AJ117,($E117*IF(BZ$2&gt;Inputs!$D$5,0,IF(BZ$2&gt;VLOOKUP($H117,Lists!$P$3:$Q$7,2),IF($N117=Lists!$K$3,IF($L117&lt;1,(($U117/$L117)*((1+Inputs!$D$7)^BZ$2)),((INT(BZ$2/$L117)-INT((BZ$2-1)/$L117))*$U117*((1+Inputs!$D$7)^BZ$2))),(Inputs!$D$8^((1-_xlfn.WEIBULL.DIST(BZ$2,$M117,$L117,FALSE))/_xlfn.WEIBULL.DIST(BZ$2,$M117,$L117,FALSE))*$U117*((1+Inputs!$D$7)^BZ$2))),IF($N117=Lists!$K$3,IF($L117&lt;1,((($T117*(1-$F117)+$S117*(1-$G117))/$L117)*((1+Inputs!$D$7)^BZ$2)),((INT(BZ$2/$L117)-INT((BZ$2-1)/$L117))*($T117*(1-$F117)+$S117*(1-$G117))*((1+Inputs!$D$7)^BZ$2))),((Inputs!$D$8^((1-_xlfn.WEIBULL.DIST(BZ$2,$M117,$L117,FALSE))/_xlfn.WEIBULL.DIST(BZ$2,$M117,$L117,FALSE))*($T117*(1-$F117)+$S117*(1-$G117))*((1+Inputs!$D$7)^BZ$2))))))))</f>
        <v>0</v>
      </c>
      <c r="CA117" s="88">
        <f>MAX(AK117,($E117*IF(CA$2&gt;Inputs!$D$5,0,IF(CA$2&gt;VLOOKUP($H117,Lists!$P$3:$Q$7,2),IF($N117=Lists!$K$3,IF($L117&lt;1,(($U117/$L117)*((1+Inputs!$D$7)^CA$2)),((INT(CA$2/$L117)-INT((CA$2-1)/$L117))*$U117*((1+Inputs!$D$7)^CA$2))),(Inputs!$D$8^((1-_xlfn.WEIBULL.DIST(CA$2,$M117,$L117,FALSE))/_xlfn.WEIBULL.DIST(CA$2,$M117,$L117,FALSE))*$U117*((1+Inputs!$D$7)^CA$2))),IF($N117=Lists!$K$3,IF($L117&lt;1,((($T117*(1-$F117)+$S117*(1-$G117))/$L117)*((1+Inputs!$D$7)^CA$2)),((INT(CA$2/$L117)-INT((CA$2-1)/$L117))*($T117*(1-$F117)+$S117*(1-$G117))*((1+Inputs!$D$7)^CA$2))),((Inputs!$D$8^((1-_xlfn.WEIBULL.DIST(CA$2,$M117,$L117,FALSE))/_xlfn.WEIBULL.DIST(CA$2,$M117,$L117,FALSE))*($T117*(1-$F117)+$S117*(1-$G117))*((1+Inputs!$D$7)^CA$2))))))))</f>
        <v>0</v>
      </c>
      <c r="CB117" s="88">
        <f>MAX(AL117,($E117*IF(CB$2&gt;Inputs!$D$5,0,IF(CB$2&gt;VLOOKUP($H117,Lists!$P$3:$Q$7,2),IF($N117=Lists!$K$3,IF($L117&lt;1,(($U117/$L117)*((1+Inputs!$D$7)^CB$2)),((INT(CB$2/$L117)-INT((CB$2-1)/$L117))*$U117*((1+Inputs!$D$7)^CB$2))),(Inputs!$D$8^((1-_xlfn.WEIBULL.DIST(CB$2,$M117,$L117,FALSE))/_xlfn.WEIBULL.DIST(CB$2,$M117,$L117,FALSE))*$U117*((1+Inputs!$D$7)^CB$2))),IF($N117=Lists!$K$3,IF($L117&lt;1,((($T117*(1-$F117)+$S117*(1-$G117))/$L117)*((1+Inputs!$D$7)^CB$2)),((INT(CB$2/$L117)-INT((CB$2-1)/$L117))*($T117*(1-$F117)+$S117*(1-$G117))*((1+Inputs!$D$7)^CB$2))),((Inputs!$D$8^((1-_xlfn.WEIBULL.DIST(CB$2,$M117,$L117,FALSE))/_xlfn.WEIBULL.DIST(CB$2,$M117,$L117,FALSE))*($T117*(1-$F117)+$S117*(1-$G117))*((1+Inputs!$D$7)^CB$2))))))))</f>
        <v>0</v>
      </c>
      <c r="CC117" s="88">
        <f>MAX(AM117,($E117*IF(CC$2&gt;Inputs!$D$5,0,IF(CC$2&gt;VLOOKUP($H117,Lists!$P$3:$Q$7,2),IF($N117=Lists!$K$3,IF($L117&lt;1,(($U117/$L117)*((1+Inputs!$D$7)^CC$2)),((INT(CC$2/$L117)-INT((CC$2-1)/$L117))*$U117*((1+Inputs!$D$7)^CC$2))),(Inputs!$D$8^((1-_xlfn.WEIBULL.DIST(CC$2,$M117,$L117,FALSE))/_xlfn.WEIBULL.DIST(CC$2,$M117,$L117,FALSE))*$U117*((1+Inputs!$D$7)^CC$2))),IF($N117=Lists!$K$3,IF($L117&lt;1,((($T117*(1-$F117)+$S117*(1-$G117))/$L117)*((1+Inputs!$D$7)^CC$2)),((INT(CC$2/$L117)-INT((CC$2-1)/$L117))*($T117*(1-$F117)+$S117*(1-$G117))*((1+Inputs!$D$7)^CC$2))),((Inputs!$D$8^((1-_xlfn.WEIBULL.DIST(CC$2,$M117,$L117,FALSE))/_xlfn.WEIBULL.DIST(CC$2,$M117,$L117,FALSE))*($T117*(1-$F117)+$S117*(1-$G117))*((1+Inputs!$D$7)^CC$2))))))))</f>
        <v>0</v>
      </c>
      <c r="CD117" s="88">
        <f>MAX(AN117,($E117*IF(CD$2&gt;Inputs!$D$5,0,IF(CD$2&gt;VLOOKUP($H117,Lists!$P$3:$Q$7,2),IF($N117=Lists!$K$3,IF($L117&lt;1,(($U117/$L117)*((1+Inputs!$D$7)^CD$2)),((INT(CD$2/$L117)-INT((CD$2-1)/$L117))*$U117*((1+Inputs!$D$7)^CD$2))),(Inputs!$D$8^((1-_xlfn.WEIBULL.DIST(CD$2,$M117,$L117,FALSE))/_xlfn.WEIBULL.DIST(CD$2,$M117,$L117,FALSE))*$U117*((1+Inputs!$D$7)^CD$2))),IF($N117=Lists!$K$3,IF($L117&lt;1,((($T117*(1-$F117)+$S117*(1-$G117))/$L117)*((1+Inputs!$D$7)^CD$2)),((INT(CD$2/$L117)-INT((CD$2-1)/$L117))*($T117*(1-$F117)+$S117*(1-$G117))*((1+Inputs!$D$7)^CD$2))),((Inputs!$D$8^((1-_xlfn.WEIBULL.DIST(CD$2,$M117,$L117,FALSE))/_xlfn.WEIBULL.DIST(CD$2,$M117,$L117,FALSE))*($T117*(1-$F117)+$S117*(1-$G117))*((1+Inputs!$D$7)^CD$2))))))))</f>
        <v>0</v>
      </c>
      <c r="CE117" s="88">
        <f>MAX(AO117,($E117*IF(CE$2&gt;Inputs!$D$5,0,IF(CE$2&gt;VLOOKUP($H117,Lists!$P$3:$Q$7,2),IF($N117=Lists!$K$3,IF($L117&lt;1,(($U117/$L117)*((1+Inputs!$D$7)^CE$2)),((INT(CE$2/$L117)-INT((CE$2-1)/$L117))*$U117*((1+Inputs!$D$7)^CE$2))),(Inputs!$D$8^((1-_xlfn.WEIBULL.DIST(CE$2,$M117,$L117,FALSE))/_xlfn.WEIBULL.DIST(CE$2,$M117,$L117,FALSE))*$U117*((1+Inputs!$D$7)^CE$2))),IF($N117=Lists!$K$3,IF($L117&lt;1,((($T117*(1-$F117)+$S117*(1-$G117))/$L117)*((1+Inputs!$D$7)^CE$2)),((INT(CE$2/$L117)-INT((CE$2-1)/$L117))*($T117*(1-$F117)+$S117*(1-$G117))*((1+Inputs!$D$7)^CE$2))),((Inputs!$D$8^((1-_xlfn.WEIBULL.DIST(CE$2,$M117,$L117,FALSE))/_xlfn.WEIBULL.DIST(CE$2,$M117,$L117,FALSE))*($T117*(1-$F117)+$S117*(1-$G117))*((1+Inputs!$D$7)^CE$2))))))))</f>
        <v>0</v>
      </c>
      <c r="CF117" s="88">
        <f>MAX(AP117,($E117*IF(CF$2&gt;Inputs!$D$5,0,IF(CF$2&gt;VLOOKUP($H117,Lists!$P$3:$Q$7,2),IF($N117=Lists!$K$3,IF($L117&lt;1,(($U117/$L117)*((1+Inputs!$D$7)^CF$2)),((INT(CF$2/$L117)-INT((CF$2-1)/$L117))*$U117*((1+Inputs!$D$7)^CF$2))),(Inputs!$D$8^((1-_xlfn.WEIBULL.DIST(CF$2,$M117,$L117,FALSE))/_xlfn.WEIBULL.DIST(CF$2,$M117,$L117,FALSE))*$U117*((1+Inputs!$D$7)^CF$2))),IF($N117=Lists!$K$3,IF($L117&lt;1,((($T117*(1-$F117)+$S117*(1-$G117))/$L117)*((1+Inputs!$D$7)^CF$2)),((INT(CF$2/$L117)-INT((CF$2-1)/$L117))*($T117*(1-$F117)+$S117*(1-$G117))*((1+Inputs!$D$7)^CF$2))),((Inputs!$D$8^((1-_xlfn.WEIBULL.DIST(CF$2,$M117,$L117,FALSE))/_xlfn.WEIBULL.DIST(CF$2,$M117,$L117,FALSE))*($T117*(1-$F117)+$S117*(1-$G117))*((1+Inputs!$D$7)^CF$2))))))))</f>
        <v>0</v>
      </c>
      <c r="CG117" s="88">
        <f>MAX(AQ117,($E117*IF(CG$2&gt;Inputs!$D$5,0,IF(CG$2&gt;VLOOKUP($H117,Lists!$P$3:$Q$7,2),IF($N117=Lists!$K$3,IF($L117&lt;1,(($U117/$L117)*((1+Inputs!$D$7)^CG$2)),((INT(CG$2/$L117)-INT((CG$2-1)/$L117))*$U117*((1+Inputs!$D$7)^CG$2))),(Inputs!$D$8^((1-_xlfn.WEIBULL.DIST(CG$2,$M117,$L117,FALSE))/_xlfn.WEIBULL.DIST(CG$2,$M117,$L117,FALSE))*$U117*((1+Inputs!$D$7)^CG$2))),IF($N117=Lists!$K$3,IF($L117&lt;1,((($T117*(1-$F117)+$S117*(1-$G117))/$L117)*((1+Inputs!$D$7)^CG$2)),((INT(CG$2/$L117)-INT((CG$2-1)/$L117))*($T117*(1-$F117)+$S117*(1-$G117))*((1+Inputs!$D$7)^CG$2))),((Inputs!$D$8^((1-_xlfn.WEIBULL.DIST(CG$2,$M117,$L117,FALSE))/_xlfn.WEIBULL.DIST(CG$2,$M117,$L117,FALSE))*($T117*(1-$F117)+$S117*(1-$G117))*((1+Inputs!$D$7)^CG$2))))))))</f>
        <v>0</v>
      </c>
      <c r="CH117" s="88">
        <f>MAX(AR117,($E117*IF(CH$2&gt;Inputs!$D$5,0,IF(CH$2&gt;VLOOKUP($H117,Lists!$P$3:$Q$7,2),IF($N117=Lists!$K$3,IF($L117&lt;1,(($U117/$L117)*((1+Inputs!$D$7)^CH$2)),((INT(CH$2/$L117)-INT((CH$2-1)/$L117))*$U117*((1+Inputs!$D$7)^CH$2))),(Inputs!$D$8^((1-_xlfn.WEIBULL.DIST(CH$2,$M117,$L117,FALSE))/_xlfn.WEIBULL.DIST(CH$2,$M117,$L117,FALSE))*$U117*((1+Inputs!$D$7)^CH$2))),IF($N117=Lists!$K$3,IF($L117&lt;1,((($T117*(1-$F117)+$S117*(1-$G117))/$L117)*((1+Inputs!$D$7)^CH$2)),((INT(CH$2/$L117)-INT((CH$2-1)/$L117))*($T117*(1-$F117)+$S117*(1-$G117))*((1+Inputs!$D$7)^CH$2))),((Inputs!$D$8^((1-_xlfn.WEIBULL.DIST(CH$2,$M117,$L117,FALSE))/_xlfn.WEIBULL.DIST(CH$2,$M117,$L117,FALSE))*($T117*(1-$F117)+$S117*(1-$G117))*((1+Inputs!$D$7)^CH$2))))))))</f>
        <v>0</v>
      </c>
      <c r="CI117" s="88">
        <f>MAX(AS117,($E117*IF(CI$2&gt;Inputs!$D$5,0,IF(CI$2&gt;VLOOKUP($H117,Lists!$P$3:$Q$7,2),IF($N117=Lists!$K$3,IF($L117&lt;1,(($U117/$L117)*((1+Inputs!$D$7)^CI$2)),((INT(CI$2/$L117)-INT((CI$2-1)/$L117))*$U117*((1+Inputs!$D$7)^CI$2))),(Inputs!$D$8^((1-_xlfn.WEIBULL.DIST(CI$2,$M117,$L117,FALSE))/_xlfn.WEIBULL.DIST(CI$2,$M117,$L117,FALSE))*$U117*((1+Inputs!$D$7)^CI$2))),IF($N117=Lists!$K$3,IF($L117&lt;1,((($T117*(1-$F117)+$S117*(1-$G117))/$L117)*((1+Inputs!$D$7)^CI$2)),((INT(CI$2/$L117)-INT((CI$2-1)/$L117))*($T117*(1-$F117)+$S117*(1-$G117))*((1+Inputs!$D$7)^CI$2))),((Inputs!$D$8^((1-_xlfn.WEIBULL.DIST(CI$2,$M117,$L117,FALSE))/_xlfn.WEIBULL.DIST(CI$2,$M117,$L117,FALSE))*($T117*(1-$F117)+$S117*(1-$G117))*((1+Inputs!$D$7)^CI$2))))))))</f>
        <v>0</v>
      </c>
      <c r="CJ117" s="88">
        <f>MAX(AT117,($E117*IF(CJ$2&gt;Inputs!$D$5,0,IF(CJ$2&gt;VLOOKUP($H117,Lists!$P$3:$Q$7,2),IF($N117=Lists!$K$3,IF($L117&lt;1,(($U117/$L117)*((1+Inputs!$D$7)^CJ$2)),((INT(CJ$2/$L117)-INT((CJ$2-1)/$L117))*$U117*((1+Inputs!$D$7)^CJ$2))),(Inputs!$D$8^((1-_xlfn.WEIBULL.DIST(CJ$2,$M117,$L117,FALSE))/_xlfn.WEIBULL.DIST(CJ$2,$M117,$L117,FALSE))*$U117*((1+Inputs!$D$7)^CJ$2))),IF($N117=Lists!$K$3,IF($L117&lt;1,((($T117*(1-$F117)+$S117*(1-$G117))/$L117)*((1+Inputs!$D$7)^CJ$2)),((INT(CJ$2/$L117)-INT((CJ$2-1)/$L117))*($T117*(1-$F117)+$S117*(1-$G117))*((1+Inputs!$D$7)^CJ$2))),((Inputs!$D$8^((1-_xlfn.WEIBULL.DIST(CJ$2,$M117,$L117,FALSE))/_xlfn.WEIBULL.DIST(CJ$2,$M117,$L117,FALSE))*($T117*(1-$F117)+$S117*(1-$G117))*((1+Inputs!$D$7)^CJ$2))))))))</f>
        <v>0</v>
      </c>
      <c r="CK117" s="88">
        <f>MAX(AU117,($E117*IF(CK$2&gt;Inputs!$D$5,0,IF(CK$2&gt;VLOOKUP($H117,Lists!$P$3:$Q$7,2),IF($N117=Lists!$K$3,IF($L117&lt;1,(($U117/$L117)*((1+Inputs!$D$7)^CK$2)),((INT(CK$2/$L117)-INT((CK$2-1)/$L117))*$U117*((1+Inputs!$D$7)^CK$2))),(Inputs!$D$8^((1-_xlfn.WEIBULL.DIST(CK$2,$M117,$L117,FALSE))/_xlfn.WEIBULL.DIST(CK$2,$M117,$L117,FALSE))*$U117*((1+Inputs!$D$7)^CK$2))),IF($N117=Lists!$K$3,IF($L117&lt;1,((($T117*(1-$F117)+$S117*(1-$G117))/$L117)*((1+Inputs!$D$7)^CK$2)),((INT(CK$2/$L117)-INT((CK$2-1)/$L117))*($T117*(1-$F117)+$S117*(1-$G117))*((1+Inputs!$D$7)^CK$2))),((Inputs!$D$8^((1-_xlfn.WEIBULL.DIST(CK$2,$M117,$L117,FALSE))/_xlfn.WEIBULL.DIST(CK$2,$M117,$L117,FALSE))*($T117*(1-$F117)+$S117*(1-$G117))*((1+Inputs!$D$7)^CK$2))))))))</f>
        <v>0</v>
      </c>
      <c r="CL117" s="88">
        <f>MAX(AV117,($E117*IF(CL$2&gt;Inputs!$D$5,0,IF(CL$2&gt;VLOOKUP($H117,Lists!$P$3:$Q$7,2),IF($N117=Lists!$K$3,IF($L117&lt;1,(($U117/$L117)*((1+Inputs!$D$7)^CL$2)),((INT(CL$2/$L117)-INT((CL$2-1)/$L117))*$U117*((1+Inputs!$D$7)^CL$2))),(Inputs!$D$8^((1-_xlfn.WEIBULL.DIST(CL$2,$M117,$L117,FALSE))/_xlfn.WEIBULL.DIST(CL$2,$M117,$L117,FALSE))*$U117*((1+Inputs!$D$7)^CL$2))),IF($N117=Lists!$K$3,IF($L117&lt;1,((($T117*(1-$F117)+$S117*(1-$G117))/$L117)*((1+Inputs!$D$7)^CL$2)),((INT(CL$2/$L117)-INT((CL$2-1)/$L117))*($T117*(1-$F117)+$S117*(1-$G117))*((1+Inputs!$D$7)^CL$2))),((Inputs!$D$8^((1-_xlfn.WEIBULL.DIST(CL$2,$M117,$L117,FALSE))/_xlfn.WEIBULL.DIST(CL$2,$M117,$L117,FALSE))*($T117*(1-$F117)+$S117*(1-$G117))*((1+Inputs!$D$7)^CL$2))))))))</f>
        <v>0</v>
      </c>
      <c r="CM117" s="88">
        <f>MAX(AW117,($E117*IF(CM$2&gt;Inputs!$D$5,0,IF(CM$2&gt;VLOOKUP($H117,Lists!$P$3:$Q$7,2),IF($N117=Lists!$K$3,IF($L117&lt;1,(($U117/$L117)*((1+Inputs!$D$7)^CM$2)),((INT(CM$2/$L117)-INT((CM$2-1)/$L117))*$U117*((1+Inputs!$D$7)^CM$2))),(Inputs!$D$8^((1-_xlfn.WEIBULL.DIST(CM$2,$M117,$L117,FALSE))/_xlfn.WEIBULL.DIST(CM$2,$M117,$L117,FALSE))*$U117*((1+Inputs!$D$7)^CM$2))),IF($N117=Lists!$K$3,IF($L117&lt;1,((($T117*(1-$F117)+$S117*(1-$G117))/$L117)*((1+Inputs!$D$7)^CM$2)),((INT(CM$2/$L117)-INT((CM$2-1)/$L117))*($T117*(1-$F117)+$S117*(1-$G117))*((1+Inputs!$D$7)^CM$2))),((Inputs!$D$8^((1-_xlfn.WEIBULL.DIST(CM$2,$M117,$L117,FALSE))/_xlfn.WEIBULL.DIST(CM$2,$M117,$L117,FALSE))*($T117*(1-$F117)+$S117*(1-$G117))*((1+Inputs!$D$7)^CM$2))))))))</f>
        <v>0</v>
      </c>
      <c r="CN117" s="88">
        <f>MAX(AX117,($E117*IF(CN$2&gt;Inputs!$D$5,0,IF(CN$2&gt;VLOOKUP($H117,Lists!$P$3:$Q$7,2),IF($N117=Lists!$K$3,IF($L117&lt;1,(($U117/$L117)*((1+Inputs!$D$7)^CN$2)),((INT(CN$2/$L117)-INT((CN$2-1)/$L117))*$U117*((1+Inputs!$D$7)^CN$2))),(Inputs!$D$8^((1-_xlfn.WEIBULL.DIST(CN$2,$M117,$L117,FALSE))/_xlfn.WEIBULL.DIST(CN$2,$M117,$L117,FALSE))*$U117*((1+Inputs!$D$7)^CN$2))),IF($N117=Lists!$K$3,IF($L117&lt;1,((($T117*(1-$F117)+$S117*(1-$G117))/$L117)*((1+Inputs!$D$7)^CN$2)),((INT(CN$2/$L117)-INT((CN$2-1)/$L117))*($T117*(1-$F117)+$S117*(1-$G117))*((1+Inputs!$D$7)^CN$2))),((Inputs!$D$8^((1-_xlfn.WEIBULL.DIST(CN$2,$M117,$L117,FALSE))/_xlfn.WEIBULL.DIST(CN$2,$M117,$L117,FALSE))*($T117*(1-$F117)+$S117*(1-$G117))*((1+Inputs!$D$7)^CN$2))))))))</f>
        <v>0</v>
      </c>
      <c r="CO117" s="88">
        <f>MAX(AY117,($E117*IF(CO$2&gt;Inputs!$D$5,0,IF(CO$2&gt;VLOOKUP($H117,Lists!$P$3:$Q$7,2),IF($N117=Lists!$K$3,IF($L117&lt;1,(($U117/$L117)*((1+Inputs!$D$7)^CO$2)),((INT(CO$2/$L117)-INT((CO$2-1)/$L117))*$U117*((1+Inputs!$D$7)^CO$2))),(Inputs!$D$8^((1-_xlfn.WEIBULL.DIST(CO$2,$M117,$L117,FALSE))/_xlfn.WEIBULL.DIST(CO$2,$M117,$L117,FALSE))*$U117*((1+Inputs!$D$7)^CO$2))),IF($N117=Lists!$K$3,IF($L117&lt;1,((($T117*(1-$F117)+$S117*(1-$G117))/$L117)*((1+Inputs!$D$7)^CO$2)),((INT(CO$2/$L117)-INT((CO$2-1)/$L117))*($T117*(1-$F117)+$S117*(1-$G117))*((1+Inputs!$D$7)^CO$2))),((Inputs!$D$8^((1-_xlfn.WEIBULL.DIST(CO$2,$M117,$L117,FALSE))/_xlfn.WEIBULL.DIST(CO$2,$M117,$L117,FALSE))*($T117*(1-$F117)+$S117*(1-$G117))*((1+Inputs!$D$7)^CO$2))))))))</f>
        <v>0</v>
      </c>
      <c r="CP117" s="88">
        <f>MAX(AZ117,($E117*IF(CP$2&gt;Inputs!$D$5,0,IF(CP$2&gt;VLOOKUP($H117,Lists!$P$3:$Q$7,2),IF($N117=Lists!$K$3,IF($L117&lt;1,(($U117/$L117)*((1+Inputs!$D$7)^CP$2)),((INT(CP$2/$L117)-INT((CP$2-1)/$L117))*$U117*((1+Inputs!$D$7)^CP$2))),(Inputs!$D$8^((1-_xlfn.WEIBULL.DIST(CP$2,$M117,$L117,FALSE))/_xlfn.WEIBULL.DIST(CP$2,$M117,$L117,FALSE))*$U117*((1+Inputs!$D$7)^CP$2))),IF($N117=Lists!$K$3,IF($L117&lt;1,((($T117*(1-$F117)+$S117*(1-$G117))/$L117)*((1+Inputs!$D$7)^CP$2)),((INT(CP$2/$L117)-INT((CP$2-1)/$L117))*($T117*(1-$F117)+$S117*(1-$G117))*((1+Inputs!$D$7)^CP$2))),((Inputs!$D$8^((1-_xlfn.WEIBULL.DIST(CP$2,$M117,$L117,FALSE))/_xlfn.WEIBULL.DIST(CP$2,$M117,$L117,FALSE))*($T117*(1-$F117)+$S117*(1-$G117))*((1+Inputs!$D$7)^CP$2))))))))</f>
        <v>0</v>
      </c>
      <c r="CQ117" s="88">
        <f>MAX(BA117,($E117*IF(CQ$2&gt;Inputs!$D$5,0,IF(CQ$2&gt;VLOOKUP($H117,Lists!$P$3:$Q$7,2),IF($N117=Lists!$K$3,IF($L117&lt;1,(($U117/$L117)*((1+Inputs!$D$7)^CQ$2)),((INT(CQ$2/$L117)-INT((CQ$2-1)/$L117))*$U117*((1+Inputs!$D$7)^CQ$2))),(Inputs!$D$8^((1-_xlfn.WEIBULL.DIST(CQ$2,$M117,$L117,FALSE))/_xlfn.WEIBULL.DIST(CQ$2,$M117,$L117,FALSE))*$U117*((1+Inputs!$D$7)^CQ$2))),IF($N117=Lists!$K$3,IF($L117&lt;1,((($T117*(1-$F117)+$S117*(1-$G117))/$L117)*((1+Inputs!$D$7)^CQ$2)),((INT(CQ$2/$L117)-INT((CQ$2-1)/$L117))*($T117*(1-$F117)+$S117*(1-$G117))*((1+Inputs!$D$7)^CQ$2))),((Inputs!$D$8^((1-_xlfn.WEIBULL.DIST(CQ$2,$M117,$L117,FALSE))/_xlfn.WEIBULL.DIST(CQ$2,$M117,$L117,FALSE))*($T117*(1-$F117)+$S117*(1-$G117))*((1+Inputs!$D$7)^CQ$2))))))))</f>
        <v>0</v>
      </c>
      <c r="CR117" s="88">
        <f>MAX(BB117,($E117*IF(CR$2&gt;Inputs!$D$5,0,IF(CR$2&gt;VLOOKUP($H117,Lists!$P$3:$Q$7,2),IF($N117=Lists!$K$3,IF($L117&lt;1,(($U117/$L117)*((1+Inputs!$D$7)^CR$2)),((INT(CR$2/$L117)-INT((CR$2-1)/$L117))*$U117*((1+Inputs!$D$7)^CR$2))),(Inputs!$D$8^((1-_xlfn.WEIBULL.DIST(CR$2,$M117,$L117,FALSE))/_xlfn.WEIBULL.DIST(CR$2,$M117,$L117,FALSE))*$U117*((1+Inputs!$D$7)^CR$2))),IF($N117=Lists!$K$3,IF($L117&lt;1,((($T117*(1-$F117)+$S117*(1-$G117))/$L117)*((1+Inputs!$D$7)^CR$2)),((INT(CR$2/$L117)-INT((CR$2-1)/$L117))*($T117*(1-$F117)+$S117*(1-$G117))*((1+Inputs!$D$7)^CR$2))),((Inputs!$D$8^((1-_xlfn.WEIBULL.DIST(CR$2,$M117,$L117,FALSE))/_xlfn.WEIBULL.DIST(CR$2,$M117,$L117,FALSE))*($T117*(1-$F117)+$S117*(1-$G117))*((1+Inputs!$D$7)^CR$2))))))))</f>
        <v>0</v>
      </c>
      <c r="CS117" s="88">
        <f>MAX(BC117,($E117*IF(CS$2&gt;Inputs!$D$5,0,IF(CS$2&gt;VLOOKUP($H117,Lists!$P$3:$Q$7,2),IF($N117=Lists!$K$3,IF($L117&lt;1,(($U117/$L117)*((1+Inputs!$D$7)^CS$2)),((INT(CS$2/$L117)-INT((CS$2-1)/$L117))*$U117*((1+Inputs!$D$7)^CS$2))),(Inputs!$D$8^((1-_xlfn.WEIBULL.DIST(CS$2,$M117,$L117,FALSE))/_xlfn.WEIBULL.DIST(CS$2,$M117,$L117,FALSE))*$U117*((1+Inputs!$D$7)^CS$2))),IF($N117=Lists!$K$3,IF($L117&lt;1,((($T117*(1-$F117)+$S117*(1-$G117))/$L117)*((1+Inputs!$D$7)^CS$2)),((INT(CS$2/$L117)-INT((CS$2-1)/$L117))*($T117*(1-$F117)+$S117*(1-$G117))*((1+Inputs!$D$7)^CS$2))),((Inputs!$D$8^((1-_xlfn.WEIBULL.DIST(CS$2,$M117,$L117,FALSE))/_xlfn.WEIBULL.DIST(CS$2,$M117,$L117,FALSE))*($T117*(1-$F117)+$S117*(1-$G117))*((1+Inputs!$D$7)^CS$2))))))))</f>
        <v>0</v>
      </c>
      <c r="CT117" s="88">
        <f>MAX(BD117,($E117*IF(CT$2&gt;Inputs!$D$5,0,IF(CT$2&gt;VLOOKUP($H117,Lists!$P$3:$Q$7,2),IF($N117=Lists!$K$3,IF($L117&lt;1,(($U117/$L117)*((1+Inputs!$D$7)^CT$2)),((INT(CT$2/$L117)-INT((CT$2-1)/$L117))*$U117*((1+Inputs!$D$7)^CT$2))),(Inputs!$D$8^((1-_xlfn.WEIBULL.DIST(CT$2,$M117,$L117,FALSE))/_xlfn.WEIBULL.DIST(CT$2,$M117,$L117,FALSE))*$U117*((1+Inputs!$D$7)^CT$2))),IF($N117=Lists!$K$3,IF($L117&lt;1,((($T117*(1-$F117)+$S117*(1-$G117))/$L117)*((1+Inputs!$D$7)^CT$2)),((INT(CT$2/$L117)-INT((CT$2-1)/$L117))*($T117*(1-$F117)+$S117*(1-$G117))*((1+Inputs!$D$7)^CT$2))),((Inputs!$D$8^((1-_xlfn.WEIBULL.DIST(CT$2,$M117,$L117,FALSE))/_xlfn.WEIBULL.DIST(CT$2,$M117,$L117,FALSE))*($T117*(1-$F117)+$S117*(1-$G117))*((1+Inputs!$D$7)^CT$2))))))))</f>
        <v>0</v>
      </c>
      <c r="CU117" s="88">
        <f>MAX(BE117,($E117*IF(CU$2&gt;Inputs!$D$5,0,IF(CU$2&gt;VLOOKUP($H117,Lists!$P$3:$Q$7,2),IF($N117=Lists!$K$3,IF($L117&lt;1,(($U117/$L117)*((1+Inputs!$D$7)^CU$2)),((INT(CU$2/$L117)-INT((CU$2-1)/$L117))*$U117*((1+Inputs!$D$7)^CU$2))),(Inputs!$D$8^((1-_xlfn.WEIBULL.DIST(CU$2,$M117,$L117,FALSE))/_xlfn.WEIBULL.DIST(CU$2,$M117,$L117,FALSE))*$U117*((1+Inputs!$D$7)^CU$2))),IF($N117=Lists!$K$3,IF($L117&lt;1,((($T117*(1-$F117)+$S117*(1-$G117))/$L117)*((1+Inputs!$D$7)^CU$2)),((INT(CU$2/$L117)-INT((CU$2-1)/$L117))*($T117*(1-$F117)+$S117*(1-$G117))*((1+Inputs!$D$7)^CU$2))),((Inputs!$D$8^((1-_xlfn.WEIBULL.DIST(CU$2,$M117,$L117,FALSE))/_xlfn.WEIBULL.DIST(CU$2,$M117,$L117,FALSE))*($T117*(1-$F117)+$S117*(1-$G117))*((1+Inputs!$D$7)^CU$2))))))))</f>
        <v>0</v>
      </c>
      <c r="CV117" s="88">
        <f>MAX(BF117,($E117*IF(CV$2&gt;Inputs!$D$5,0,IF(CV$2&gt;VLOOKUP($H117,Lists!$P$3:$Q$7,2),IF($N117=Lists!$K$3,IF($L117&lt;1,(($U117/$L117)*((1+Inputs!$D$7)^CV$2)),((INT(CV$2/$L117)-INT((CV$2-1)/$L117))*$U117*((1+Inputs!$D$7)^CV$2))),(Inputs!$D$8^((1-_xlfn.WEIBULL.DIST(CV$2,$M117,$L117,FALSE))/_xlfn.WEIBULL.DIST(CV$2,$M117,$L117,FALSE))*$U117*((1+Inputs!$D$7)^CV$2))),IF($N117=Lists!$K$3,IF($L117&lt;1,((($T117*(1-$F117)+$S117*(1-$G117))/$L117)*((1+Inputs!$D$7)^CV$2)),((INT(CV$2/$L117)-INT((CV$2-1)/$L117))*($T117*(1-$F117)+$S117*(1-$G117))*((1+Inputs!$D$7)^CV$2))),((Inputs!$D$8^((1-_xlfn.WEIBULL.DIST(CV$2,$M117,$L117,FALSE))/_xlfn.WEIBULL.DIST(CV$2,$M117,$L117,FALSE))*($T117*(1-$F117)+$S117*(1-$G117))*((1+Inputs!$D$7)^CV$2))))))))</f>
        <v>0</v>
      </c>
      <c r="CW117" s="88">
        <f>MAX(BG117,($E117*IF(CW$2&gt;Inputs!$D$5,0,IF(CW$2&gt;VLOOKUP($H117,Lists!$P$3:$Q$7,2),IF($N117=Lists!$K$3,IF($L117&lt;1,(($U117/$L117)*((1+Inputs!$D$7)^CW$2)),((INT(CW$2/$L117)-INT((CW$2-1)/$L117))*$U117*((1+Inputs!$D$7)^CW$2))),(Inputs!$D$8^((1-_xlfn.WEIBULL.DIST(CW$2,$M117,$L117,FALSE))/_xlfn.WEIBULL.DIST(CW$2,$M117,$L117,FALSE))*$U117*((1+Inputs!$D$7)^CW$2))),IF($N117=Lists!$K$3,IF($L117&lt;1,((($T117*(1-$F117)+$S117*(1-$G117))/$L117)*((1+Inputs!$D$7)^CW$2)),((INT(CW$2/$L117)-INT((CW$2-1)/$L117))*($T117*(1-$F117)+$S117*(1-$G117))*((1+Inputs!$D$7)^CW$2))),((Inputs!$D$8^((1-_xlfn.WEIBULL.DIST(CW$2,$M117,$L117,FALSE))/_xlfn.WEIBULL.DIST(CW$2,$M117,$L117,FALSE))*($T117*(1-$F117)+$S117*(1-$G117))*((1+Inputs!$D$7)^CW$2))))))))</f>
        <v>0</v>
      </c>
      <c r="CX117" s="88">
        <f>MAX(BH117,($E117*IF(CX$2&gt;Inputs!$D$5,0,IF(CX$2&gt;VLOOKUP($H117,Lists!$P$3:$Q$7,2),IF($N117=Lists!$K$3,IF($L117&lt;1,(($U117/$L117)*((1+Inputs!$D$7)^CX$2)),((INT(CX$2/$L117)-INT((CX$2-1)/$L117))*$U117*((1+Inputs!$D$7)^CX$2))),(Inputs!$D$8^((1-_xlfn.WEIBULL.DIST(CX$2,$M117,$L117,FALSE))/_xlfn.WEIBULL.DIST(CX$2,$M117,$L117,FALSE))*$U117*((1+Inputs!$D$7)^CX$2))),IF($N117=Lists!$K$3,IF($L117&lt;1,((($T117*(1-$F117)+$S117*(1-$G117))/$L117)*((1+Inputs!$D$7)^CX$2)),((INT(CX$2/$L117)-INT((CX$2-1)/$L117))*($T117*(1-$F117)+$S117*(1-$G117))*((1+Inputs!$D$7)^CX$2))),((Inputs!$D$8^((1-_xlfn.WEIBULL.DIST(CX$2,$M117,$L117,FALSE))/_xlfn.WEIBULL.DIST(CX$2,$M117,$L117,FALSE))*($T117*(1-$F117)+$S117*(1-$G117))*((1+Inputs!$D$7)^CX$2))))))))</f>
        <v>0</v>
      </c>
      <c r="CY117" s="88">
        <f>MAX(BI117,($E117*IF(CY$2&gt;Inputs!$D$5,0,IF(CY$2&gt;VLOOKUP($H117,Lists!$P$3:$Q$7,2),IF($N117=Lists!$K$3,IF($L117&lt;1,(($U117/$L117)*((1+Inputs!$D$7)^CY$2)),((INT(CY$2/$L117)-INT((CY$2-1)/$L117))*$U117*((1+Inputs!$D$7)^CY$2))),(Inputs!$D$8^((1-_xlfn.WEIBULL.DIST(CY$2,$M117,$L117,FALSE))/_xlfn.WEIBULL.DIST(CY$2,$M117,$L117,FALSE))*$U117*((1+Inputs!$D$7)^CY$2))),IF($N117=Lists!$K$3,IF($L117&lt;1,((($T117*(1-$F117)+$S117*(1-$G117))/$L117)*((1+Inputs!$D$7)^CY$2)),((INT(CY$2/$L117)-INT((CY$2-1)/$L117))*($T117*(1-$F117)+$S117*(1-$G117))*((1+Inputs!$D$7)^CY$2))),((Inputs!$D$8^((1-_xlfn.WEIBULL.DIST(CY$2,$M117,$L117,FALSE))/_xlfn.WEIBULL.DIST(CY$2,$M117,$L117,FALSE))*($T117*(1-$F117)+$S117*(1-$G117))*((1+Inputs!$D$7)^CY$2))))))))</f>
        <v>0</v>
      </c>
      <c r="CZ117" s="88">
        <f>MAX(BJ117,($E117*IF(CZ$2&gt;Inputs!$D$5,0,IF(CZ$2&gt;VLOOKUP($H117,Lists!$P$3:$Q$7,2),IF($N117=Lists!$K$3,IF($L117&lt;1,(($U117/$L117)*((1+Inputs!$D$7)^CZ$2)),((INT(CZ$2/$L117)-INT((CZ$2-1)/$L117))*$U117*((1+Inputs!$D$7)^CZ$2))),(Inputs!$D$8^((1-_xlfn.WEIBULL.DIST(CZ$2,$M117,$L117,FALSE))/_xlfn.WEIBULL.DIST(CZ$2,$M117,$L117,FALSE))*$U117*((1+Inputs!$D$7)^CZ$2))),IF($N117=Lists!$K$3,IF($L117&lt;1,((($T117*(1-$F117)+$S117*(1-$G117))/$L117)*((1+Inputs!$D$7)^CZ$2)),((INT(CZ$2/$L117)-INT((CZ$2-1)/$L117))*($T117*(1-$F117)+$S117*(1-$G117))*((1+Inputs!$D$7)^CZ$2))),((Inputs!$D$8^((1-_xlfn.WEIBULL.DIST(CZ$2,$M117,$L117,FALSE))/_xlfn.WEIBULL.DIST(CZ$2,$M117,$L117,FALSE))*($T117*(1-$F117)+$S117*(1-$G117))*((1+Inputs!$D$7)^CZ$2))))))))</f>
        <v>0</v>
      </c>
      <c r="DA117" s="88">
        <f>MAX(BK117,($E117*IF(DA$2&gt;Inputs!$D$5,0,IF(DA$2&gt;VLOOKUP($H117,Lists!$P$3:$Q$7,2),IF($N117=Lists!$K$3,IF($L117&lt;1,(($U117/$L117)*((1+Inputs!$D$7)^DA$2)),((INT(DA$2/$L117)-INT((DA$2-1)/$L117))*$U117*((1+Inputs!$D$7)^DA$2))),(Inputs!$D$8^((1-_xlfn.WEIBULL.DIST(DA$2,$M117,$L117,FALSE))/_xlfn.WEIBULL.DIST(DA$2,$M117,$L117,FALSE))*$U117*((1+Inputs!$D$7)^DA$2))),IF($N117=Lists!$K$3,IF($L117&lt;1,((($T117*(1-$F117)+$S117*(1-$G117))/$L117)*((1+Inputs!$D$7)^DA$2)),((INT(DA$2/$L117)-INT((DA$2-1)/$L117))*($T117*(1-$F117)+$S117*(1-$G117))*((1+Inputs!$D$7)^DA$2))),((Inputs!$D$8^((1-_xlfn.WEIBULL.DIST(DA$2,$M117,$L117,FALSE))/_xlfn.WEIBULL.DIST(DA$2,$M117,$L117,FALSE))*($T117*(1-$F117)+$S117*(1-$G117))*((1+Inputs!$D$7)^DA$2))))))))</f>
        <v>0</v>
      </c>
      <c r="DB117" s="88">
        <f>MAX(BL117,($E117*IF(DB$2&gt;Inputs!$D$5,0,IF(DB$2&gt;VLOOKUP($H117,Lists!$P$3:$Q$7,2),IF($N117=Lists!$K$3,IF($L117&lt;1,(($U117/$L117)*((1+Inputs!$D$7)^DB$2)),((INT(DB$2/$L117)-INT((DB$2-1)/$L117))*$U117*((1+Inputs!$D$7)^DB$2))),(Inputs!$D$8^((1-_xlfn.WEIBULL.DIST(DB$2,$M117,$L117,FALSE))/_xlfn.WEIBULL.DIST(DB$2,$M117,$L117,FALSE))*$U117*((1+Inputs!$D$7)^DB$2))),IF($N117=Lists!$K$3,IF($L117&lt;1,((($T117*(1-$F117)+$S117*(1-$G117))/$L117)*((1+Inputs!$D$7)^DB$2)),((INT(DB$2/$L117)-INT((DB$2-1)/$L117))*($T117*(1-$F117)+$S117*(1-$G117))*((1+Inputs!$D$7)^DB$2))),((Inputs!$D$8^((1-_xlfn.WEIBULL.DIST(DB$2,$M117,$L117,FALSE))/_xlfn.WEIBULL.DIST(DB$2,$M117,$L117,FALSE))*($T117*(1-$F117)+$S117*(1-$G117))*((1+Inputs!$D$7)^DB$2))))))))</f>
        <v>0</v>
      </c>
      <c r="DC117" s="88">
        <f>MAX(BM117,($E117*IF(DC$2&gt;Inputs!$D$5,0,IF(DC$2&gt;VLOOKUP($H117,Lists!$P$3:$Q$7,2),IF($N117=Lists!$K$3,IF($L117&lt;1,(($U117/$L117)*((1+Inputs!$D$7)^DC$2)),((INT(DC$2/$L117)-INT((DC$2-1)/$L117))*$U117*((1+Inputs!$D$7)^DC$2))),(Inputs!$D$8^((1-_xlfn.WEIBULL.DIST(DC$2,$M117,$L117,FALSE))/_xlfn.WEIBULL.DIST(DC$2,$M117,$L117,FALSE))*$U117*((1+Inputs!$D$7)^DC$2))),IF($N117=Lists!$K$3,IF($L117&lt;1,((($T117*(1-$F117)+$S117*(1-$G117))/$L117)*((1+Inputs!$D$7)^DC$2)),((INT(DC$2/$L117)-INT((DC$2-1)/$L117))*($T117*(1-$F117)+$S117*(1-$G117))*((1+Inputs!$D$7)^DC$2))),((Inputs!$D$8^((1-_xlfn.WEIBULL.DIST(DC$2,$M117,$L117,FALSE))/_xlfn.WEIBULL.DIST(DC$2,$M117,$L117,FALSE))*($T117*(1-$F117)+$S117*(1-$G117))*((1+Inputs!$D$7)^DC$2))))))))</f>
        <v>0</v>
      </c>
      <c r="DD117" s="88">
        <f>MAX(BN117,($E117*IF(DD$2&gt;Inputs!$D$5,0,IF(DD$2&gt;VLOOKUP($H117,Lists!$P$3:$Q$7,2),IF($N117=Lists!$K$3,IF($L117&lt;1,(($U117/$L117)*((1+Inputs!$D$7)^DD$2)),((INT(DD$2/$L117)-INT((DD$2-1)/$L117))*$U117*((1+Inputs!$D$7)^DD$2))),(Inputs!$D$8^((1-_xlfn.WEIBULL.DIST(DD$2,$M117,$L117,FALSE))/_xlfn.WEIBULL.DIST(DD$2,$M117,$L117,FALSE))*$U117*((1+Inputs!$D$7)^DD$2))),IF($N117=Lists!$K$3,IF($L117&lt;1,((($T117*(1-$F117)+$S117*(1-$G117))/$L117)*((1+Inputs!$D$7)^DD$2)),((INT(DD$2/$L117)-INT((DD$2-1)/$L117))*($T117*(1-$F117)+$S117*(1-$G117))*((1+Inputs!$D$7)^DD$2))),((Inputs!$D$8^((1-_xlfn.WEIBULL.DIST(DD$2,$M117,$L117,FALSE))/_xlfn.WEIBULL.DIST(DD$2,$M117,$L117,FALSE))*($T117*(1-$F117)+$S117*(1-$G117))*((1+Inputs!$D$7)^DD$2))))))))</f>
        <v>0</v>
      </c>
    </row>
    <row r="118" spans="1:108" ht="16">
      <c r="A118" s="57" t="s">
        <v>420</v>
      </c>
      <c r="B118" s="13" t="s">
        <v>279</v>
      </c>
      <c r="C118" s="13" t="s">
        <v>472</v>
      </c>
      <c r="D118" s="13" t="s">
        <v>126</v>
      </c>
      <c r="E118" s="48">
        <f>IF(Inputs!$D$42=Lists!$H$3,1,0)*IF(Inputs!$D$45=Lists!$Y$4,0,1)</f>
        <v>0</v>
      </c>
      <c r="F118" s="48">
        <v>0</v>
      </c>
      <c r="G118" s="48">
        <v>0</v>
      </c>
      <c r="H118" s="105" t="s">
        <v>350</v>
      </c>
      <c r="I118" s="14" t="s">
        <v>382</v>
      </c>
      <c r="J118" s="14" t="s">
        <v>84</v>
      </c>
      <c r="K118" s="13">
        <f>VLOOKUP(J118,'Labor Rates'!$A$1:$F$16,2)</f>
        <v>22.703653846153845</v>
      </c>
      <c r="L118" s="15">
        <v>1</v>
      </c>
      <c r="M118" s="15">
        <v>1</v>
      </c>
      <c r="N118" s="16" t="s">
        <v>240</v>
      </c>
      <c r="O118" s="61">
        <f>E118*Inputs!$D$20</f>
        <v>0</v>
      </c>
      <c r="P118" s="15">
        <v>5.0000000000000001E-3</v>
      </c>
      <c r="Q118" s="15">
        <f t="shared" si="21"/>
        <v>0</v>
      </c>
      <c r="R118" s="4">
        <v>0</v>
      </c>
      <c r="S118" s="53">
        <f t="shared" si="22"/>
        <v>0</v>
      </c>
      <c r="T118" s="53">
        <f t="shared" si="23"/>
        <v>0</v>
      </c>
      <c r="U118" s="54">
        <f t="shared" si="24"/>
        <v>0</v>
      </c>
      <c r="V118" s="65"/>
      <c r="W118" s="58"/>
      <c r="X118" s="64">
        <f t="shared" si="25"/>
        <v>0</v>
      </c>
      <c r="Y118" s="64">
        <f>NPV(Inputs!$D$6,AA118:BN118)</f>
        <v>0</v>
      </c>
      <c r="Z118" s="67">
        <f t="shared" si="26"/>
        <v>0</v>
      </c>
      <c r="AA118" s="88">
        <f>$E118*IF(AA$2&gt;Inputs!$D$5,0,IF(AA$2&gt;VLOOKUP($H118,Lists!$P$3:$Q$7,2),IF($N118=Lists!$K$3,IF($L118&lt;1,(($U118/$L118)*((1+Inputs!$D$7)^AA$2)),((INT(AA$2/$L118)-INT((AA$2-1)/$L118))*$U118*((1+Inputs!$D$7)^AA$2))),(_xlfn.WEIBULL.DIST(AA$2,$M118,$L118,FALSE)*$U118*((1+Inputs!$D$7)^AA$2))),IF($N118=Lists!$K$3,IF($L118&lt;1,((($T118*(1-$F118)+$S118*(1-$G118))/$L118)*((1+Inputs!$D$7)^AA$2)),((INT(AA$2/$L118)-INT((AA$2-1)/$L118))*($T118*(1-$F118)+$S118*(1-$G118))*((1+Inputs!$D$7)^AA$2))),((_xlfn.WEIBULL.DIST(AA$2,$M118,$L118,FALSE)*($T118*(1-$F118)+$S118*(1-$G118))*((1+Inputs!$D$7)^AA$2))))))</f>
        <v>0</v>
      </c>
      <c r="AB118" s="88">
        <f>$E118*IF(AB$2&gt;Inputs!$D$5,0,IF(AB$2&gt;VLOOKUP($H118,Lists!$P$3:$Q$7,2),IF($N118=Lists!$K$3,IF($L118&lt;1,(($U118/$L118)*((1+Inputs!$D$7)^AB$2)),((INT(AB$2/$L118)-INT((AB$2-1)/$L118))*$U118*((1+Inputs!$D$7)^AB$2))),(_xlfn.WEIBULL.DIST(AB$2,$M118,$L118,FALSE)*$U118*((1+Inputs!$D$7)^AB$2))),IF($N118=Lists!$K$3,IF($L118&lt;1,((($T118*(1-$F118)+$S118*(1-$G118))/$L118)*((1+Inputs!$D$7)^AB$2)),((INT(AB$2/$L118)-INT((AB$2-1)/$L118))*($T118*(1-$F118)+$S118*(1-$G118))*((1+Inputs!$D$7)^AB$2))),((_xlfn.WEIBULL.DIST(AB$2,$M118,$L118,FALSE)*($T118*(1-$F118)+$S118*(1-$G118))*((1+Inputs!$D$7)^AB$2))))))</f>
        <v>0</v>
      </c>
      <c r="AC118" s="88">
        <f>$E118*IF(AC$2&gt;Inputs!$D$5,0,IF(AC$2&gt;VLOOKUP($H118,Lists!$P$3:$Q$7,2),IF($N118=Lists!$K$3,IF($L118&lt;1,(($U118/$L118)*((1+Inputs!$D$7)^AC$2)),((INT(AC$2/$L118)-INT((AC$2-1)/$L118))*$U118*((1+Inputs!$D$7)^AC$2))),(_xlfn.WEIBULL.DIST(AC$2,$M118,$L118,FALSE)*$U118*((1+Inputs!$D$7)^AC$2))),IF($N118=Lists!$K$3,IF($L118&lt;1,((($T118*(1-$F118)+$S118*(1-$G118))/$L118)*((1+Inputs!$D$7)^AC$2)),((INT(AC$2/$L118)-INT((AC$2-1)/$L118))*($T118*(1-$F118)+$S118*(1-$G118))*((1+Inputs!$D$7)^AC$2))),((_xlfn.WEIBULL.DIST(AC$2,$M118,$L118,FALSE)*($T118*(1-$F118)+$S118*(1-$G118))*((1+Inputs!$D$7)^AC$2))))))</f>
        <v>0</v>
      </c>
      <c r="AD118" s="88">
        <f>$E118*IF(AD$2&gt;Inputs!$D$5,0,IF(AD$2&gt;VLOOKUP($H118,Lists!$P$3:$Q$7,2),IF($N118=Lists!$K$3,IF($L118&lt;1,(($U118/$L118)*((1+Inputs!$D$7)^AD$2)),((INT(AD$2/$L118)-INT((AD$2-1)/$L118))*$U118*((1+Inputs!$D$7)^AD$2))),(_xlfn.WEIBULL.DIST(AD$2,$M118,$L118,FALSE)*$U118*((1+Inputs!$D$7)^AD$2))),IF($N118=Lists!$K$3,IF($L118&lt;1,((($T118*(1-$F118)+$S118*(1-$G118))/$L118)*((1+Inputs!$D$7)^AD$2)),((INT(AD$2/$L118)-INT((AD$2-1)/$L118))*($T118*(1-$F118)+$S118*(1-$G118))*((1+Inputs!$D$7)^AD$2))),((_xlfn.WEIBULL.DIST(AD$2,$M118,$L118,FALSE)*($T118*(1-$F118)+$S118*(1-$G118))*((1+Inputs!$D$7)^AD$2))))))</f>
        <v>0</v>
      </c>
      <c r="AE118" s="88">
        <f>$E118*IF(AE$2&gt;Inputs!$D$5,0,IF(AE$2&gt;VLOOKUP($H118,Lists!$P$3:$Q$7,2),IF($N118=Lists!$K$3,IF($L118&lt;1,(($U118/$L118)*((1+Inputs!$D$7)^AE$2)),((INT(AE$2/$L118)-INT((AE$2-1)/$L118))*$U118*((1+Inputs!$D$7)^AE$2))),(_xlfn.WEIBULL.DIST(AE$2,$M118,$L118,FALSE)*$U118*((1+Inputs!$D$7)^AE$2))),IF($N118=Lists!$K$3,IF($L118&lt;1,((($T118*(1-$F118)+$S118*(1-$G118))/$L118)*((1+Inputs!$D$7)^AE$2)),((INT(AE$2/$L118)-INT((AE$2-1)/$L118))*($T118*(1-$F118)+$S118*(1-$G118))*((1+Inputs!$D$7)^AE$2))),((_xlfn.WEIBULL.DIST(AE$2,$M118,$L118,FALSE)*($T118*(1-$F118)+$S118*(1-$G118))*((1+Inputs!$D$7)^AE$2))))))</f>
        <v>0</v>
      </c>
      <c r="AF118" s="88">
        <f>$E118*IF(AF$2&gt;Inputs!$D$5,0,IF(AF$2&gt;VLOOKUP($H118,Lists!$P$3:$Q$7,2),IF($N118=Lists!$K$3,IF($L118&lt;1,(($U118/$L118)*((1+Inputs!$D$7)^AF$2)),((INT(AF$2/$L118)-INT((AF$2-1)/$L118))*$U118*((1+Inputs!$D$7)^AF$2))),(_xlfn.WEIBULL.DIST(AF$2,$M118,$L118,FALSE)*$U118*((1+Inputs!$D$7)^AF$2))),IF($N118=Lists!$K$3,IF($L118&lt;1,((($T118*(1-$F118)+$S118*(1-$G118))/$L118)*((1+Inputs!$D$7)^AF$2)),((INT(AF$2/$L118)-INT((AF$2-1)/$L118))*($T118*(1-$F118)+$S118*(1-$G118))*((1+Inputs!$D$7)^AF$2))),((_xlfn.WEIBULL.DIST(AF$2,$M118,$L118,FALSE)*($T118*(1-$F118)+$S118*(1-$G118))*((1+Inputs!$D$7)^AF$2))))))</f>
        <v>0</v>
      </c>
      <c r="AG118" s="88">
        <f>$E118*IF(AG$2&gt;Inputs!$D$5,0,IF(AG$2&gt;VLOOKUP($H118,Lists!$P$3:$Q$7,2),IF($N118=Lists!$K$3,IF($L118&lt;1,(($U118/$L118)*((1+Inputs!$D$7)^AG$2)),((INT(AG$2/$L118)-INT((AG$2-1)/$L118))*$U118*((1+Inputs!$D$7)^AG$2))),(_xlfn.WEIBULL.DIST(AG$2,$M118,$L118,FALSE)*$U118*((1+Inputs!$D$7)^AG$2))),IF($N118=Lists!$K$3,IF($L118&lt;1,((($T118*(1-$F118)+$S118*(1-$G118))/$L118)*((1+Inputs!$D$7)^AG$2)),((INT(AG$2/$L118)-INT((AG$2-1)/$L118))*($T118*(1-$F118)+$S118*(1-$G118))*((1+Inputs!$D$7)^AG$2))),((_xlfn.WEIBULL.DIST(AG$2,$M118,$L118,FALSE)*($T118*(1-$F118)+$S118*(1-$G118))*((1+Inputs!$D$7)^AG$2))))))</f>
        <v>0</v>
      </c>
      <c r="AH118" s="88">
        <f>$E118*IF(AH$2&gt;Inputs!$D$5,0,IF(AH$2&gt;VLOOKUP($H118,Lists!$P$3:$Q$7,2),IF($N118=Lists!$K$3,IF($L118&lt;1,(($U118/$L118)*((1+Inputs!$D$7)^AH$2)),((INT(AH$2/$L118)-INT((AH$2-1)/$L118))*$U118*((1+Inputs!$D$7)^AH$2))),(_xlfn.WEIBULL.DIST(AH$2,$M118,$L118,FALSE)*$U118*((1+Inputs!$D$7)^AH$2))),IF($N118=Lists!$K$3,IF($L118&lt;1,((($T118*(1-$F118)+$S118*(1-$G118))/$L118)*((1+Inputs!$D$7)^AH$2)),((INT(AH$2/$L118)-INT((AH$2-1)/$L118))*($T118*(1-$F118)+$S118*(1-$G118))*((1+Inputs!$D$7)^AH$2))),((_xlfn.WEIBULL.DIST(AH$2,$M118,$L118,FALSE)*($T118*(1-$F118)+$S118*(1-$G118))*((1+Inputs!$D$7)^AH$2))))))</f>
        <v>0</v>
      </c>
      <c r="AI118" s="88">
        <f>$E118*IF(AI$2&gt;Inputs!$D$5,0,IF(AI$2&gt;VLOOKUP($H118,Lists!$P$3:$Q$7,2),IF($N118=Lists!$K$3,IF($L118&lt;1,(($U118/$L118)*((1+Inputs!$D$7)^AI$2)),((INT(AI$2/$L118)-INT((AI$2-1)/$L118))*$U118*((1+Inputs!$D$7)^AI$2))),(_xlfn.WEIBULL.DIST(AI$2,$M118,$L118,FALSE)*$U118*((1+Inputs!$D$7)^AI$2))),IF($N118=Lists!$K$3,IF($L118&lt;1,((($T118*(1-$F118)+$S118*(1-$G118))/$L118)*((1+Inputs!$D$7)^AI$2)),((INT(AI$2/$L118)-INT((AI$2-1)/$L118))*($T118*(1-$F118)+$S118*(1-$G118))*((1+Inputs!$D$7)^AI$2))),((_xlfn.WEIBULL.DIST(AI$2,$M118,$L118,FALSE)*($T118*(1-$F118)+$S118*(1-$G118))*((1+Inputs!$D$7)^AI$2))))))</f>
        <v>0</v>
      </c>
      <c r="AJ118" s="88">
        <f>$E118*IF(AJ$2&gt;Inputs!$D$5,0,IF(AJ$2&gt;VLOOKUP($H118,Lists!$P$3:$Q$7,2),IF($N118=Lists!$K$3,IF($L118&lt;1,(($U118/$L118)*((1+Inputs!$D$7)^AJ$2)),((INT(AJ$2/$L118)-INT((AJ$2-1)/$L118))*$U118*((1+Inputs!$D$7)^AJ$2))),(_xlfn.WEIBULL.DIST(AJ$2,$M118,$L118,FALSE)*$U118*((1+Inputs!$D$7)^AJ$2))),IF($N118=Lists!$K$3,IF($L118&lt;1,((($T118*(1-$F118)+$S118*(1-$G118))/$L118)*((1+Inputs!$D$7)^AJ$2)),((INT(AJ$2/$L118)-INT((AJ$2-1)/$L118))*($T118*(1-$F118)+$S118*(1-$G118))*((1+Inputs!$D$7)^AJ$2))),((_xlfn.WEIBULL.DIST(AJ$2,$M118,$L118,FALSE)*($T118*(1-$F118)+$S118*(1-$G118))*((1+Inputs!$D$7)^AJ$2))))))</f>
        <v>0</v>
      </c>
      <c r="AK118" s="88">
        <f>$E118*IF(AK$2&gt;Inputs!$D$5,0,IF(AK$2&gt;VLOOKUP($H118,Lists!$P$3:$Q$7,2),IF($N118=Lists!$K$3,IF($L118&lt;1,(($U118/$L118)*((1+Inputs!$D$7)^AK$2)),((INT(AK$2/$L118)-INT((AK$2-1)/$L118))*$U118*((1+Inputs!$D$7)^AK$2))),(_xlfn.WEIBULL.DIST(AK$2,$M118,$L118,FALSE)*$U118*((1+Inputs!$D$7)^AK$2))),IF($N118=Lists!$K$3,IF($L118&lt;1,((($T118*(1-$F118)+$S118*(1-$G118))/$L118)*((1+Inputs!$D$7)^AK$2)),((INT(AK$2/$L118)-INT((AK$2-1)/$L118))*($T118*(1-$F118)+$S118*(1-$G118))*((1+Inputs!$D$7)^AK$2))),((_xlfn.WEIBULL.DIST(AK$2,$M118,$L118,FALSE)*($T118*(1-$F118)+$S118*(1-$G118))*((1+Inputs!$D$7)^AK$2))))))</f>
        <v>0</v>
      </c>
      <c r="AL118" s="88">
        <f>$E118*IF(AL$2&gt;Inputs!$D$5,0,IF(AL$2&gt;VLOOKUP($H118,Lists!$P$3:$Q$7,2),IF($N118=Lists!$K$3,IF($L118&lt;1,(($U118/$L118)*((1+Inputs!$D$7)^AL$2)),((INT(AL$2/$L118)-INT((AL$2-1)/$L118))*$U118*((1+Inputs!$D$7)^AL$2))),(_xlfn.WEIBULL.DIST(AL$2,$M118,$L118,FALSE)*$U118*((1+Inputs!$D$7)^AL$2))),IF($N118=Lists!$K$3,IF($L118&lt;1,((($T118*(1-$F118)+$S118*(1-$G118))/$L118)*((1+Inputs!$D$7)^AL$2)),((INT(AL$2/$L118)-INT((AL$2-1)/$L118))*($T118*(1-$F118)+$S118*(1-$G118))*((1+Inputs!$D$7)^AL$2))),((_xlfn.WEIBULL.DIST(AL$2,$M118,$L118,FALSE)*($T118*(1-$F118)+$S118*(1-$G118))*((1+Inputs!$D$7)^AL$2))))))</f>
        <v>0</v>
      </c>
      <c r="AM118" s="88">
        <f>$E118*IF(AM$2&gt;Inputs!$D$5,0,IF(AM$2&gt;VLOOKUP($H118,Lists!$P$3:$Q$7,2),IF($N118=Lists!$K$3,IF($L118&lt;1,(($U118/$L118)*((1+Inputs!$D$7)^AM$2)),((INT(AM$2/$L118)-INT((AM$2-1)/$L118))*$U118*((1+Inputs!$D$7)^AM$2))),(_xlfn.WEIBULL.DIST(AM$2,$M118,$L118,FALSE)*$U118*((1+Inputs!$D$7)^AM$2))),IF($N118=Lists!$K$3,IF($L118&lt;1,((($T118*(1-$F118)+$S118*(1-$G118))/$L118)*((1+Inputs!$D$7)^AM$2)),((INT(AM$2/$L118)-INT((AM$2-1)/$L118))*($T118*(1-$F118)+$S118*(1-$G118))*((1+Inputs!$D$7)^AM$2))),((_xlfn.WEIBULL.DIST(AM$2,$M118,$L118,FALSE)*($T118*(1-$F118)+$S118*(1-$G118))*((1+Inputs!$D$7)^AM$2))))))</f>
        <v>0</v>
      </c>
      <c r="AN118" s="88">
        <f>$E118*IF(AN$2&gt;Inputs!$D$5,0,IF(AN$2&gt;VLOOKUP($H118,Lists!$P$3:$Q$7,2),IF($N118=Lists!$K$3,IF($L118&lt;1,(($U118/$L118)*((1+Inputs!$D$7)^AN$2)),((INT(AN$2/$L118)-INT((AN$2-1)/$L118))*$U118*((1+Inputs!$D$7)^AN$2))),(_xlfn.WEIBULL.DIST(AN$2,$M118,$L118,FALSE)*$U118*((1+Inputs!$D$7)^AN$2))),IF($N118=Lists!$K$3,IF($L118&lt;1,((($T118*(1-$F118)+$S118*(1-$G118))/$L118)*((1+Inputs!$D$7)^AN$2)),((INT(AN$2/$L118)-INT((AN$2-1)/$L118))*($T118*(1-$F118)+$S118*(1-$G118))*((1+Inputs!$D$7)^AN$2))),((_xlfn.WEIBULL.DIST(AN$2,$M118,$L118,FALSE)*($T118*(1-$F118)+$S118*(1-$G118))*((1+Inputs!$D$7)^AN$2))))))</f>
        <v>0</v>
      </c>
      <c r="AO118" s="88">
        <f>$E118*IF(AO$2&gt;Inputs!$D$5,0,IF(AO$2&gt;VLOOKUP($H118,Lists!$P$3:$Q$7,2),IF($N118=Lists!$K$3,IF($L118&lt;1,(($U118/$L118)*((1+Inputs!$D$7)^AO$2)),((INT(AO$2/$L118)-INT((AO$2-1)/$L118))*$U118*((1+Inputs!$D$7)^AO$2))),(_xlfn.WEIBULL.DIST(AO$2,$M118,$L118,FALSE)*$U118*((1+Inputs!$D$7)^AO$2))),IF($N118=Lists!$K$3,IF($L118&lt;1,((($T118*(1-$F118)+$S118*(1-$G118))/$L118)*((1+Inputs!$D$7)^AO$2)),((INT(AO$2/$L118)-INT((AO$2-1)/$L118))*($T118*(1-$F118)+$S118*(1-$G118))*((1+Inputs!$D$7)^AO$2))),((_xlfn.WEIBULL.DIST(AO$2,$M118,$L118,FALSE)*($T118*(1-$F118)+$S118*(1-$G118))*((1+Inputs!$D$7)^AO$2))))))</f>
        <v>0</v>
      </c>
      <c r="AP118" s="88">
        <f>$E118*IF(AP$2&gt;Inputs!$D$5,0,IF(AP$2&gt;VLOOKUP($H118,Lists!$P$3:$Q$7,2),IF($N118=Lists!$K$3,IF($L118&lt;1,(($U118/$L118)*((1+Inputs!$D$7)^AP$2)),((INT(AP$2/$L118)-INT((AP$2-1)/$L118))*$U118*((1+Inputs!$D$7)^AP$2))),(_xlfn.WEIBULL.DIST(AP$2,$M118,$L118,FALSE)*$U118*((1+Inputs!$D$7)^AP$2))),IF($N118=Lists!$K$3,IF($L118&lt;1,((($T118*(1-$F118)+$S118*(1-$G118))/$L118)*((1+Inputs!$D$7)^AP$2)),((INT(AP$2/$L118)-INT((AP$2-1)/$L118))*($T118*(1-$F118)+$S118*(1-$G118))*((1+Inputs!$D$7)^AP$2))),((_xlfn.WEIBULL.DIST(AP$2,$M118,$L118,FALSE)*($T118*(1-$F118)+$S118*(1-$G118))*((1+Inputs!$D$7)^AP$2))))))</f>
        <v>0</v>
      </c>
      <c r="AQ118" s="88">
        <f>$E118*IF(AQ$2&gt;Inputs!$D$5,0,IF(AQ$2&gt;VLOOKUP($H118,Lists!$P$3:$Q$7,2),IF($N118=Lists!$K$3,IF($L118&lt;1,(($U118/$L118)*((1+Inputs!$D$7)^AQ$2)),((INT(AQ$2/$L118)-INT((AQ$2-1)/$L118))*$U118*((1+Inputs!$D$7)^AQ$2))),(_xlfn.WEIBULL.DIST(AQ$2,$M118,$L118,FALSE)*$U118*((1+Inputs!$D$7)^AQ$2))),IF($N118=Lists!$K$3,IF($L118&lt;1,((($T118*(1-$F118)+$S118*(1-$G118))/$L118)*((1+Inputs!$D$7)^AQ$2)),((INT(AQ$2/$L118)-INT((AQ$2-1)/$L118))*($T118*(1-$F118)+$S118*(1-$G118))*((1+Inputs!$D$7)^AQ$2))),((_xlfn.WEIBULL.DIST(AQ$2,$M118,$L118,FALSE)*($T118*(1-$F118)+$S118*(1-$G118))*((1+Inputs!$D$7)^AQ$2))))))</f>
        <v>0</v>
      </c>
      <c r="AR118" s="88">
        <f>$E118*IF(AR$2&gt;Inputs!$D$5,0,IF(AR$2&gt;VLOOKUP($H118,Lists!$P$3:$Q$7,2),IF($N118=Lists!$K$3,IF($L118&lt;1,(($U118/$L118)*((1+Inputs!$D$7)^AR$2)),((INT(AR$2/$L118)-INT((AR$2-1)/$L118))*$U118*((1+Inputs!$D$7)^AR$2))),(_xlfn.WEIBULL.DIST(AR$2,$M118,$L118,FALSE)*$U118*((1+Inputs!$D$7)^AR$2))),IF($N118=Lists!$K$3,IF($L118&lt;1,((($T118*(1-$F118)+$S118*(1-$G118))/$L118)*((1+Inputs!$D$7)^AR$2)),((INT(AR$2/$L118)-INT((AR$2-1)/$L118))*($T118*(1-$F118)+$S118*(1-$G118))*((1+Inputs!$D$7)^AR$2))),((_xlfn.WEIBULL.DIST(AR$2,$M118,$L118,FALSE)*($T118*(1-$F118)+$S118*(1-$G118))*((1+Inputs!$D$7)^AR$2))))))</f>
        <v>0</v>
      </c>
      <c r="AS118" s="88">
        <f>$E118*IF(AS$2&gt;Inputs!$D$5,0,IF(AS$2&gt;VLOOKUP($H118,Lists!$P$3:$Q$7,2),IF($N118=Lists!$K$3,IF($L118&lt;1,(($U118/$L118)*((1+Inputs!$D$7)^AS$2)),((INT(AS$2/$L118)-INT((AS$2-1)/$L118))*$U118*((1+Inputs!$D$7)^AS$2))),(_xlfn.WEIBULL.DIST(AS$2,$M118,$L118,FALSE)*$U118*((1+Inputs!$D$7)^AS$2))),IF($N118=Lists!$K$3,IF($L118&lt;1,((($T118*(1-$F118)+$S118*(1-$G118))/$L118)*((1+Inputs!$D$7)^AS$2)),((INT(AS$2/$L118)-INT((AS$2-1)/$L118))*($T118*(1-$F118)+$S118*(1-$G118))*((1+Inputs!$D$7)^AS$2))),((_xlfn.WEIBULL.DIST(AS$2,$M118,$L118,FALSE)*($T118*(1-$F118)+$S118*(1-$G118))*((1+Inputs!$D$7)^AS$2))))))</f>
        <v>0</v>
      </c>
      <c r="AT118" s="88">
        <f>$E118*IF(AT$2&gt;Inputs!$D$5,0,IF(AT$2&gt;VLOOKUP($H118,Lists!$P$3:$Q$7,2),IF($N118=Lists!$K$3,IF($L118&lt;1,(($U118/$L118)*((1+Inputs!$D$7)^AT$2)),((INT(AT$2/$L118)-INT((AT$2-1)/$L118))*$U118*((1+Inputs!$D$7)^AT$2))),(_xlfn.WEIBULL.DIST(AT$2,$M118,$L118,FALSE)*$U118*((1+Inputs!$D$7)^AT$2))),IF($N118=Lists!$K$3,IF($L118&lt;1,((($T118*(1-$F118)+$S118*(1-$G118))/$L118)*((1+Inputs!$D$7)^AT$2)),((INT(AT$2/$L118)-INT((AT$2-1)/$L118))*($T118*(1-$F118)+$S118*(1-$G118))*((1+Inputs!$D$7)^AT$2))),((_xlfn.WEIBULL.DIST(AT$2,$M118,$L118,FALSE)*($T118*(1-$F118)+$S118*(1-$G118))*((1+Inputs!$D$7)^AT$2))))))</f>
        <v>0</v>
      </c>
      <c r="AU118" s="88">
        <f>$E118*IF(AU$2&gt;Inputs!$D$5,0,IF(AU$2&gt;VLOOKUP($H118,Lists!$P$3:$Q$7,2),IF($N118=Lists!$K$3,IF($L118&lt;1,(($U118/$L118)*((1+Inputs!$D$7)^AU$2)),((INT(AU$2/$L118)-INT((AU$2-1)/$L118))*$U118*((1+Inputs!$D$7)^AU$2))),(_xlfn.WEIBULL.DIST(AU$2,$M118,$L118,FALSE)*$U118*((1+Inputs!$D$7)^AU$2))),IF($N118=Lists!$K$3,IF($L118&lt;1,((($T118*(1-$F118)+$S118*(1-$G118))/$L118)*((1+Inputs!$D$7)^AU$2)),((INT(AU$2/$L118)-INT((AU$2-1)/$L118))*($T118*(1-$F118)+$S118*(1-$G118))*((1+Inputs!$D$7)^AU$2))),((_xlfn.WEIBULL.DIST(AU$2,$M118,$L118,FALSE)*($T118*(1-$F118)+$S118*(1-$G118))*((1+Inputs!$D$7)^AU$2))))))</f>
        <v>0</v>
      </c>
      <c r="AV118" s="88">
        <f>$E118*IF(AV$2&gt;Inputs!$D$5,0,IF(AV$2&gt;VLOOKUP($H118,Lists!$P$3:$Q$7,2),IF($N118=Lists!$K$3,IF($L118&lt;1,(($U118/$L118)*((1+Inputs!$D$7)^AV$2)),((INT(AV$2/$L118)-INT((AV$2-1)/$L118))*$U118*((1+Inputs!$D$7)^AV$2))),(_xlfn.WEIBULL.DIST(AV$2,$M118,$L118,FALSE)*$U118*((1+Inputs!$D$7)^AV$2))),IF($N118=Lists!$K$3,IF($L118&lt;1,((($T118*(1-$F118)+$S118*(1-$G118))/$L118)*((1+Inputs!$D$7)^AV$2)),((INT(AV$2/$L118)-INT((AV$2-1)/$L118))*($T118*(1-$F118)+$S118*(1-$G118))*((1+Inputs!$D$7)^AV$2))),((_xlfn.WEIBULL.DIST(AV$2,$M118,$L118,FALSE)*($T118*(1-$F118)+$S118*(1-$G118))*((1+Inputs!$D$7)^AV$2))))))</f>
        <v>0</v>
      </c>
      <c r="AW118" s="88">
        <f>$E118*IF(AW$2&gt;Inputs!$D$5,0,IF(AW$2&gt;VLOOKUP($H118,Lists!$P$3:$Q$7,2),IF($N118=Lists!$K$3,IF($L118&lt;1,(($U118/$L118)*((1+Inputs!$D$7)^AW$2)),((INT(AW$2/$L118)-INT((AW$2-1)/$L118))*$U118*((1+Inputs!$D$7)^AW$2))),(_xlfn.WEIBULL.DIST(AW$2,$M118,$L118,FALSE)*$U118*((1+Inputs!$D$7)^AW$2))),IF($N118=Lists!$K$3,IF($L118&lt;1,((($T118*(1-$F118)+$S118*(1-$G118))/$L118)*((1+Inputs!$D$7)^AW$2)),((INT(AW$2/$L118)-INT((AW$2-1)/$L118))*($T118*(1-$F118)+$S118*(1-$G118))*((1+Inputs!$D$7)^AW$2))),((_xlfn.WEIBULL.DIST(AW$2,$M118,$L118,FALSE)*($T118*(1-$F118)+$S118*(1-$G118))*((1+Inputs!$D$7)^AW$2))))))</f>
        <v>0</v>
      </c>
      <c r="AX118" s="88">
        <f>$E118*IF(AX$2&gt;Inputs!$D$5,0,IF(AX$2&gt;VLOOKUP($H118,Lists!$P$3:$Q$7,2),IF($N118=Lists!$K$3,IF($L118&lt;1,(($U118/$L118)*((1+Inputs!$D$7)^AX$2)),((INT(AX$2/$L118)-INT((AX$2-1)/$L118))*$U118*((1+Inputs!$D$7)^AX$2))),(_xlfn.WEIBULL.DIST(AX$2,$M118,$L118,FALSE)*$U118*((1+Inputs!$D$7)^AX$2))),IF($N118=Lists!$K$3,IF($L118&lt;1,((($T118*(1-$F118)+$S118*(1-$G118))/$L118)*((1+Inputs!$D$7)^AX$2)),((INT(AX$2/$L118)-INT((AX$2-1)/$L118))*($T118*(1-$F118)+$S118*(1-$G118))*((1+Inputs!$D$7)^AX$2))),((_xlfn.WEIBULL.DIST(AX$2,$M118,$L118,FALSE)*($T118*(1-$F118)+$S118*(1-$G118))*((1+Inputs!$D$7)^AX$2))))))</f>
        <v>0</v>
      </c>
      <c r="AY118" s="88">
        <f>$E118*IF(AY$2&gt;Inputs!$D$5,0,IF(AY$2&gt;VLOOKUP($H118,Lists!$P$3:$Q$7,2),IF($N118=Lists!$K$3,IF($L118&lt;1,(($U118/$L118)*((1+Inputs!$D$7)^AY$2)),((INT(AY$2/$L118)-INT((AY$2-1)/$L118))*$U118*((1+Inputs!$D$7)^AY$2))),(_xlfn.WEIBULL.DIST(AY$2,$M118,$L118,FALSE)*$U118*((1+Inputs!$D$7)^AY$2))),IF($N118=Lists!$K$3,IF($L118&lt;1,((($T118*(1-$F118)+$S118*(1-$G118))/$L118)*((1+Inputs!$D$7)^AY$2)),((INT(AY$2/$L118)-INT((AY$2-1)/$L118))*($T118*(1-$F118)+$S118*(1-$G118))*((1+Inputs!$D$7)^AY$2))),((_xlfn.WEIBULL.DIST(AY$2,$M118,$L118,FALSE)*($T118*(1-$F118)+$S118*(1-$G118))*((1+Inputs!$D$7)^AY$2))))))</f>
        <v>0</v>
      </c>
      <c r="AZ118" s="88">
        <f>$E118*IF(AZ$2&gt;Inputs!$D$5,0,IF(AZ$2&gt;VLOOKUP($H118,Lists!$P$3:$Q$7,2),IF($N118=Lists!$K$3,IF($L118&lt;1,(($U118/$L118)*((1+Inputs!$D$7)^AZ$2)),((INT(AZ$2/$L118)-INT((AZ$2-1)/$L118))*$U118*((1+Inputs!$D$7)^AZ$2))),(_xlfn.WEIBULL.DIST(AZ$2,$M118,$L118,FALSE)*$U118*((1+Inputs!$D$7)^AZ$2))),IF($N118=Lists!$K$3,IF($L118&lt;1,((($T118*(1-$F118)+$S118*(1-$G118))/$L118)*((1+Inputs!$D$7)^AZ$2)),((INT(AZ$2/$L118)-INT((AZ$2-1)/$L118))*($T118*(1-$F118)+$S118*(1-$G118))*((1+Inputs!$D$7)^AZ$2))),((_xlfn.WEIBULL.DIST(AZ$2,$M118,$L118,FALSE)*($T118*(1-$F118)+$S118*(1-$G118))*((1+Inputs!$D$7)^AZ$2))))))</f>
        <v>0</v>
      </c>
      <c r="BA118" s="88">
        <f>$E118*IF(BA$2&gt;Inputs!$D$5,0,IF(BA$2&gt;VLOOKUP($H118,Lists!$P$3:$Q$7,2),IF($N118=Lists!$K$3,IF($L118&lt;1,(($U118/$L118)*((1+Inputs!$D$7)^BA$2)),((INT(BA$2/$L118)-INT((BA$2-1)/$L118))*$U118*((1+Inputs!$D$7)^BA$2))),(_xlfn.WEIBULL.DIST(BA$2,$M118,$L118,FALSE)*$U118*((1+Inputs!$D$7)^BA$2))),IF($N118=Lists!$K$3,IF($L118&lt;1,((($T118*(1-$F118)+$S118*(1-$G118))/$L118)*((1+Inputs!$D$7)^BA$2)),((INT(BA$2/$L118)-INT((BA$2-1)/$L118))*($T118*(1-$F118)+$S118*(1-$G118))*((1+Inputs!$D$7)^BA$2))),((_xlfn.WEIBULL.DIST(BA$2,$M118,$L118,FALSE)*($T118*(1-$F118)+$S118*(1-$G118))*((1+Inputs!$D$7)^BA$2))))))</f>
        <v>0</v>
      </c>
      <c r="BB118" s="88">
        <f>$E118*IF(BB$2&gt;Inputs!$D$5,0,IF(BB$2&gt;VLOOKUP($H118,Lists!$P$3:$Q$7,2),IF($N118=Lists!$K$3,IF($L118&lt;1,(($U118/$L118)*((1+Inputs!$D$7)^BB$2)),((INT(BB$2/$L118)-INT((BB$2-1)/$L118))*$U118*((1+Inputs!$D$7)^BB$2))),(_xlfn.WEIBULL.DIST(BB$2,$M118,$L118,FALSE)*$U118*((1+Inputs!$D$7)^BB$2))),IF($N118=Lists!$K$3,IF($L118&lt;1,((($T118*(1-$F118)+$S118*(1-$G118))/$L118)*((1+Inputs!$D$7)^BB$2)),((INT(BB$2/$L118)-INT((BB$2-1)/$L118))*($T118*(1-$F118)+$S118*(1-$G118))*((1+Inputs!$D$7)^BB$2))),((_xlfn.WEIBULL.DIST(BB$2,$M118,$L118,FALSE)*($T118*(1-$F118)+$S118*(1-$G118))*((1+Inputs!$D$7)^BB$2))))))</f>
        <v>0</v>
      </c>
      <c r="BC118" s="88">
        <f>$E118*IF(BC$2&gt;Inputs!$D$5,0,IF(BC$2&gt;VLOOKUP($H118,Lists!$P$3:$Q$7,2),IF($N118=Lists!$K$3,IF($L118&lt;1,(($U118/$L118)*((1+Inputs!$D$7)^BC$2)),((INT(BC$2/$L118)-INT((BC$2-1)/$L118))*$U118*((1+Inputs!$D$7)^BC$2))),(_xlfn.WEIBULL.DIST(BC$2,$M118,$L118,FALSE)*$U118*((1+Inputs!$D$7)^BC$2))),IF($N118=Lists!$K$3,IF($L118&lt;1,((($T118*(1-$F118)+$S118*(1-$G118))/$L118)*((1+Inputs!$D$7)^BC$2)),((INT(BC$2/$L118)-INT((BC$2-1)/$L118))*($T118*(1-$F118)+$S118*(1-$G118))*((1+Inputs!$D$7)^BC$2))),((_xlfn.WEIBULL.DIST(BC$2,$M118,$L118,FALSE)*($T118*(1-$F118)+$S118*(1-$G118))*((1+Inputs!$D$7)^BC$2))))))</f>
        <v>0</v>
      </c>
      <c r="BD118" s="88">
        <f>$E118*IF(BD$2&gt;Inputs!$D$5,0,IF(BD$2&gt;VLOOKUP($H118,Lists!$P$3:$Q$7,2),IF($N118=Lists!$K$3,IF($L118&lt;1,(($U118/$L118)*((1+Inputs!$D$7)^BD$2)),((INT(BD$2/$L118)-INT((BD$2-1)/$L118))*$U118*((1+Inputs!$D$7)^BD$2))),(_xlfn.WEIBULL.DIST(BD$2,$M118,$L118,FALSE)*$U118*((1+Inputs!$D$7)^BD$2))),IF($N118=Lists!$K$3,IF($L118&lt;1,((($T118*(1-$F118)+$S118*(1-$G118))/$L118)*((1+Inputs!$D$7)^BD$2)),((INT(BD$2/$L118)-INT((BD$2-1)/$L118))*($T118*(1-$F118)+$S118*(1-$G118))*((1+Inputs!$D$7)^BD$2))),((_xlfn.WEIBULL.DIST(BD$2,$M118,$L118,FALSE)*($T118*(1-$F118)+$S118*(1-$G118))*((1+Inputs!$D$7)^BD$2))))))</f>
        <v>0</v>
      </c>
      <c r="BE118" s="88">
        <f>$E118*IF(BE$2&gt;Inputs!$D$5,0,IF(BE$2&gt;VLOOKUP($H118,Lists!$P$3:$Q$7,2),IF($N118=Lists!$K$3,IF($L118&lt;1,(($U118/$L118)*((1+Inputs!$D$7)^BE$2)),((INT(BE$2/$L118)-INT((BE$2-1)/$L118))*$U118*((1+Inputs!$D$7)^BE$2))),(_xlfn.WEIBULL.DIST(BE$2,$M118,$L118,FALSE)*$U118*((1+Inputs!$D$7)^BE$2))),IF($N118=Lists!$K$3,IF($L118&lt;1,((($T118*(1-$F118)+$S118*(1-$G118))/$L118)*((1+Inputs!$D$7)^BE$2)),((INT(BE$2/$L118)-INT((BE$2-1)/$L118))*($T118*(1-$F118)+$S118*(1-$G118))*((1+Inputs!$D$7)^BE$2))),((_xlfn.WEIBULL.DIST(BE$2,$M118,$L118,FALSE)*($T118*(1-$F118)+$S118*(1-$G118))*((1+Inputs!$D$7)^BE$2))))))</f>
        <v>0</v>
      </c>
      <c r="BF118" s="88">
        <f>$E118*IF(BF$2&gt;Inputs!$D$5,0,IF(BF$2&gt;VLOOKUP($H118,Lists!$P$3:$Q$7,2),IF($N118=Lists!$K$3,IF($L118&lt;1,(($U118/$L118)*((1+Inputs!$D$7)^BF$2)),((INT(BF$2/$L118)-INT((BF$2-1)/$L118))*$U118*((1+Inputs!$D$7)^BF$2))),(_xlfn.WEIBULL.DIST(BF$2,$M118,$L118,FALSE)*$U118*((1+Inputs!$D$7)^BF$2))),IF($N118=Lists!$K$3,IF($L118&lt;1,((($T118*(1-$F118)+$S118*(1-$G118))/$L118)*((1+Inputs!$D$7)^BF$2)),((INT(BF$2/$L118)-INT((BF$2-1)/$L118))*($T118*(1-$F118)+$S118*(1-$G118))*((1+Inputs!$D$7)^BF$2))),((_xlfn.WEIBULL.DIST(BF$2,$M118,$L118,FALSE)*($T118*(1-$F118)+$S118*(1-$G118))*((1+Inputs!$D$7)^BF$2))))))</f>
        <v>0</v>
      </c>
      <c r="BG118" s="88">
        <f>$E118*IF(BG$2&gt;Inputs!$D$5,0,IF(BG$2&gt;VLOOKUP($H118,Lists!$P$3:$Q$7,2),IF($N118=Lists!$K$3,IF($L118&lt;1,(($U118/$L118)*((1+Inputs!$D$7)^BG$2)),((INT(BG$2/$L118)-INT((BG$2-1)/$L118))*$U118*((1+Inputs!$D$7)^BG$2))),(_xlfn.WEIBULL.DIST(BG$2,$M118,$L118,FALSE)*$U118*((1+Inputs!$D$7)^BG$2))),IF($N118=Lists!$K$3,IF($L118&lt;1,((($T118*(1-$F118)+$S118*(1-$G118))/$L118)*((1+Inputs!$D$7)^BG$2)),((INT(BG$2/$L118)-INT((BG$2-1)/$L118))*($T118*(1-$F118)+$S118*(1-$G118))*((1+Inputs!$D$7)^BG$2))),((_xlfn.WEIBULL.DIST(BG$2,$M118,$L118,FALSE)*($T118*(1-$F118)+$S118*(1-$G118))*((1+Inputs!$D$7)^BG$2))))))</f>
        <v>0</v>
      </c>
      <c r="BH118" s="88">
        <f>$E118*IF(BH$2&gt;Inputs!$D$5,0,IF(BH$2&gt;VLOOKUP($H118,Lists!$P$3:$Q$7,2),IF($N118=Lists!$K$3,IF($L118&lt;1,(($U118/$L118)*((1+Inputs!$D$7)^BH$2)),((INT(BH$2/$L118)-INT((BH$2-1)/$L118))*$U118*((1+Inputs!$D$7)^BH$2))),(_xlfn.WEIBULL.DIST(BH$2,$M118,$L118,FALSE)*$U118*((1+Inputs!$D$7)^BH$2))),IF($N118=Lists!$K$3,IF($L118&lt;1,((($T118*(1-$F118)+$S118*(1-$G118))/$L118)*((1+Inputs!$D$7)^BH$2)),((INT(BH$2/$L118)-INT((BH$2-1)/$L118))*($T118*(1-$F118)+$S118*(1-$G118))*((1+Inputs!$D$7)^BH$2))),((_xlfn.WEIBULL.DIST(BH$2,$M118,$L118,FALSE)*($T118*(1-$F118)+$S118*(1-$G118))*((1+Inputs!$D$7)^BH$2))))))</f>
        <v>0</v>
      </c>
      <c r="BI118" s="88">
        <f>$E118*IF(BI$2&gt;Inputs!$D$5,0,IF(BI$2&gt;VLOOKUP($H118,Lists!$P$3:$Q$7,2),IF($N118=Lists!$K$3,IF($L118&lt;1,(($U118/$L118)*((1+Inputs!$D$7)^BI$2)),((INT(BI$2/$L118)-INT((BI$2-1)/$L118))*$U118*((1+Inputs!$D$7)^BI$2))),(_xlfn.WEIBULL.DIST(BI$2,$M118,$L118,FALSE)*$U118*((1+Inputs!$D$7)^BI$2))),IF($N118=Lists!$K$3,IF($L118&lt;1,((($T118*(1-$F118)+$S118*(1-$G118))/$L118)*((1+Inputs!$D$7)^BI$2)),((INT(BI$2/$L118)-INT((BI$2-1)/$L118))*($T118*(1-$F118)+$S118*(1-$G118))*((1+Inputs!$D$7)^BI$2))),((_xlfn.WEIBULL.DIST(BI$2,$M118,$L118,FALSE)*($T118*(1-$F118)+$S118*(1-$G118))*((1+Inputs!$D$7)^BI$2))))))</f>
        <v>0</v>
      </c>
      <c r="BJ118" s="88">
        <f>$E118*IF(BJ$2&gt;Inputs!$D$5,0,IF(BJ$2&gt;VLOOKUP($H118,Lists!$P$3:$Q$7,2),IF($N118=Lists!$K$3,IF($L118&lt;1,(($U118/$L118)*((1+Inputs!$D$7)^BJ$2)),((INT(BJ$2/$L118)-INT((BJ$2-1)/$L118))*$U118*((1+Inputs!$D$7)^BJ$2))),(_xlfn.WEIBULL.DIST(BJ$2,$M118,$L118,FALSE)*$U118*((1+Inputs!$D$7)^BJ$2))),IF($N118=Lists!$K$3,IF($L118&lt;1,((($T118*(1-$F118)+$S118*(1-$G118))/$L118)*((1+Inputs!$D$7)^BJ$2)),((INT(BJ$2/$L118)-INT((BJ$2-1)/$L118))*($T118*(1-$F118)+$S118*(1-$G118))*((1+Inputs!$D$7)^BJ$2))),((_xlfn.WEIBULL.DIST(BJ$2,$M118,$L118,FALSE)*($T118*(1-$F118)+$S118*(1-$G118))*((1+Inputs!$D$7)^BJ$2))))))</f>
        <v>0</v>
      </c>
      <c r="BK118" s="88">
        <f>$E118*IF(BK$2&gt;Inputs!$D$5,0,IF(BK$2&gt;VLOOKUP($H118,Lists!$P$3:$Q$7,2),IF($N118=Lists!$K$3,IF($L118&lt;1,(($U118/$L118)*((1+Inputs!$D$7)^BK$2)),((INT(BK$2/$L118)-INT((BK$2-1)/$L118))*$U118*((1+Inputs!$D$7)^BK$2))),(_xlfn.WEIBULL.DIST(BK$2,$M118,$L118,FALSE)*$U118*((1+Inputs!$D$7)^BK$2))),IF($N118=Lists!$K$3,IF($L118&lt;1,((($T118*(1-$F118)+$S118*(1-$G118))/$L118)*((1+Inputs!$D$7)^BK$2)),((INT(BK$2/$L118)-INT((BK$2-1)/$L118))*($T118*(1-$F118)+$S118*(1-$G118))*((1+Inputs!$D$7)^BK$2))),((_xlfn.WEIBULL.DIST(BK$2,$M118,$L118,FALSE)*($T118*(1-$F118)+$S118*(1-$G118))*((1+Inputs!$D$7)^BK$2))))))</f>
        <v>0</v>
      </c>
      <c r="BL118" s="88">
        <f>$E118*IF(BL$2&gt;Inputs!$D$5,0,IF(BL$2&gt;VLOOKUP($H118,Lists!$P$3:$Q$7,2),IF($N118=Lists!$K$3,IF($L118&lt;1,(($U118/$L118)*((1+Inputs!$D$7)^BL$2)),((INT(BL$2/$L118)-INT((BL$2-1)/$L118))*$U118*((1+Inputs!$D$7)^BL$2))),(_xlfn.WEIBULL.DIST(BL$2,$M118,$L118,FALSE)*$U118*((1+Inputs!$D$7)^BL$2))),IF($N118=Lists!$K$3,IF($L118&lt;1,((($T118*(1-$F118)+$S118*(1-$G118))/$L118)*((1+Inputs!$D$7)^BL$2)),((INT(BL$2/$L118)-INT((BL$2-1)/$L118))*($T118*(1-$F118)+$S118*(1-$G118))*((1+Inputs!$D$7)^BL$2))),((_xlfn.WEIBULL.DIST(BL$2,$M118,$L118,FALSE)*($T118*(1-$F118)+$S118*(1-$G118))*((1+Inputs!$D$7)^BL$2))))))</f>
        <v>0</v>
      </c>
      <c r="BM118" s="88">
        <f>$E118*IF(BM$2&gt;Inputs!$D$5,0,IF(BM$2&gt;VLOOKUP($H118,Lists!$P$3:$Q$7,2),IF($N118=Lists!$K$3,IF($L118&lt;1,(($U118/$L118)*((1+Inputs!$D$7)^BM$2)),((INT(BM$2/$L118)-INT((BM$2-1)/$L118))*$U118*((1+Inputs!$D$7)^BM$2))),(_xlfn.WEIBULL.DIST(BM$2,$M118,$L118,FALSE)*$U118*((1+Inputs!$D$7)^BM$2))),IF($N118=Lists!$K$3,IF($L118&lt;1,((($T118*(1-$F118)+$S118*(1-$G118))/$L118)*((1+Inputs!$D$7)^BM$2)),((INT(BM$2/$L118)-INT((BM$2-1)/$L118))*($T118*(1-$F118)+$S118*(1-$G118))*((1+Inputs!$D$7)^BM$2))),((_xlfn.WEIBULL.DIST(BM$2,$M118,$L118,FALSE)*($T118*(1-$F118)+$S118*(1-$G118))*((1+Inputs!$D$7)^BM$2))))))</f>
        <v>0</v>
      </c>
      <c r="BN118" s="88">
        <f>$E118*IF(BN$2&gt;Inputs!$D$5,0,IF(BN$2&gt;VLOOKUP($H118,Lists!$P$3:$Q$7,2),IF($N118=Lists!$K$3,IF($L118&lt;1,(($U118/$L118)*((1+Inputs!$D$7)^BN$2)),((INT(BN$2/$L118)-INT((BN$2-1)/$L118))*$U118*((1+Inputs!$D$7)^BN$2))),(_xlfn.WEIBULL.DIST(BN$2,$M118,$L118,FALSE)*$U118*((1+Inputs!$D$7)^BN$2))),IF($N118=Lists!$K$3,IF($L118&lt;1,((($T118*(1-$F118)+$S118*(1-$G118))/$L118)*((1+Inputs!$D$7)^BN$2)),((INT(BN$2/$L118)-INT((BN$2-1)/$L118))*($T118*(1-$F118)+$S118*(1-$G118))*((1+Inputs!$D$7)^BN$2))),((_xlfn.WEIBULL.DIST(BN$2,$M118,$L118,FALSE)*($T118*(1-$F118)+$S118*(1-$G118))*((1+Inputs!$D$7)^BN$2))))))</f>
        <v>0</v>
      </c>
      <c r="BO118" s="64">
        <f>NPV(Inputs!$D$6,BQ118:DD118)</f>
        <v>0</v>
      </c>
      <c r="BP118" s="67">
        <f t="shared" si="27"/>
        <v>0</v>
      </c>
      <c r="BQ118" s="88">
        <f>MAX(AA118,($E118*IF(BQ$2&gt;Inputs!$D$5,0,IF(BQ$2&gt;VLOOKUP($H118,Lists!$P$3:$Q$7,2),IF($N118=Lists!$K$3,IF($L118&lt;1,(($U118/$L118)*((1+Inputs!$D$7)^BQ$2)),((INT(BQ$2/$L118)-INT((BQ$2-1)/$L118))*$U118*((1+Inputs!$D$7)^BQ$2))),(Inputs!$D$8^((1-_xlfn.WEIBULL.DIST(BQ$2,$M118,$L118,FALSE))/_xlfn.WEIBULL.DIST(BQ$2,$M118,$L118,FALSE))*$U118*((1+Inputs!$D$7)^BQ$2))),IF($N118=Lists!$K$3,IF($L118&lt;1,((($T118*(1-$F118)+$S118*(1-$G118))/$L118)*((1+Inputs!$D$7)^BQ$2)),((INT(BQ$2/$L118)-INT((BQ$2-1)/$L118))*($T118*(1-$F118)+$S118*(1-$G118))*((1+Inputs!$D$7)^BQ$2))),((Inputs!$D$8^((1-_xlfn.WEIBULL.DIST(BQ$2,$M118,$L118,FALSE))/_xlfn.WEIBULL.DIST(BQ$2,$M118,$L118,FALSE))*($T118*(1-$F118)+$S118*(1-$G118))*((1+Inputs!$D$7)^BQ$2))))))))</f>
        <v>0</v>
      </c>
      <c r="BR118" s="88">
        <f>MAX(AB118,($E118*IF(BR$2&gt;Inputs!$D$5,0,IF(BR$2&gt;VLOOKUP($H118,Lists!$P$3:$Q$7,2),IF($N118=Lists!$K$3,IF($L118&lt;1,(($U118/$L118)*((1+Inputs!$D$7)^BR$2)),((INT(BR$2/$L118)-INT((BR$2-1)/$L118))*$U118*((1+Inputs!$D$7)^BR$2))),(Inputs!$D$8^((1-_xlfn.WEIBULL.DIST(BR$2,$M118,$L118,FALSE))/_xlfn.WEIBULL.DIST(BR$2,$M118,$L118,FALSE))*$U118*((1+Inputs!$D$7)^BR$2))),IF($N118=Lists!$K$3,IF($L118&lt;1,((($T118*(1-$F118)+$S118*(1-$G118))/$L118)*((1+Inputs!$D$7)^BR$2)),((INT(BR$2/$L118)-INT((BR$2-1)/$L118))*($T118*(1-$F118)+$S118*(1-$G118))*((1+Inputs!$D$7)^BR$2))),((Inputs!$D$8^((1-_xlfn.WEIBULL.DIST(BR$2,$M118,$L118,FALSE))/_xlfn.WEIBULL.DIST(BR$2,$M118,$L118,FALSE))*($T118*(1-$F118)+$S118*(1-$G118))*((1+Inputs!$D$7)^BR$2))))))))</f>
        <v>0</v>
      </c>
      <c r="BS118" s="88">
        <f>MAX(AC118,($E118*IF(BS$2&gt;Inputs!$D$5,0,IF(BS$2&gt;VLOOKUP($H118,Lists!$P$3:$Q$7,2),IF($N118=Lists!$K$3,IF($L118&lt;1,(($U118/$L118)*((1+Inputs!$D$7)^BS$2)),((INT(BS$2/$L118)-INT((BS$2-1)/$L118))*$U118*((1+Inputs!$D$7)^BS$2))),(Inputs!$D$8^((1-_xlfn.WEIBULL.DIST(BS$2,$M118,$L118,FALSE))/_xlfn.WEIBULL.DIST(BS$2,$M118,$L118,FALSE))*$U118*((1+Inputs!$D$7)^BS$2))),IF($N118=Lists!$K$3,IF($L118&lt;1,((($T118*(1-$F118)+$S118*(1-$G118))/$L118)*((1+Inputs!$D$7)^BS$2)),((INT(BS$2/$L118)-INT((BS$2-1)/$L118))*($T118*(1-$F118)+$S118*(1-$G118))*((1+Inputs!$D$7)^BS$2))),((Inputs!$D$8^((1-_xlfn.WEIBULL.DIST(BS$2,$M118,$L118,FALSE))/_xlfn.WEIBULL.DIST(BS$2,$M118,$L118,FALSE))*($T118*(1-$F118)+$S118*(1-$G118))*((1+Inputs!$D$7)^BS$2))))))))</f>
        <v>0</v>
      </c>
      <c r="BT118" s="88">
        <f>MAX(AD118,($E118*IF(BT$2&gt;Inputs!$D$5,0,IF(BT$2&gt;VLOOKUP($H118,Lists!$P$3:$Q$7,2),IF($N118=Lists!$K$3,IF($L118&lt;1,(($U118/$L118)*((1+Inputs!$D$7)^BT$2)),((INT(BT$2/$L118)-INT((BT$2-1)/$L118))*$U118*((1+Inputs!$D$7)^BT$2))),(Inputs!$D$8^((1-_xlfn.WEIBULL.DIST(BT$2,$M118,$L118,FALSE))/_xlfn.WEIBULL.DIST(BT$2,$M118,$L118,FALSE))*$U118*((1+Inputs!$D$7)^BT$2))),IF($N118=Lists!$K$3,IF($L118&lt;1,((($T118*(1-$F118)+$S118*(1-$G118))/$L118)*((1+Inputs!$D$7)^BT$2)),((INT(BT$2/$L118)-INT((BT$2-1)/$L118))*($T118*(1-$F118)+$S118*(1-$G118))*((1+Inputs!$D$7)^BT$2))),((Inputs!$D$8^((1-_xlfn.WEIBULL.DIST(BT$2,$M118,$L118,FALSE))/_xlfn.WEIBULL.DIST(BT$2,$M118,$L118,FALSE))*($T118*(1-$F118)+$S118*(1-$G118))*((1+Inputs!$D$7)^BT$2))))))))</f>
        <v>0</v>
      </c>
      <c r="BU118" s="88">
        <f>MAX(AE118,($E118*IF(BU$2&gt;Inputs!$D$5,0,IF(BU$2&gt;VLOOKUP($H118,Lists!$P$3:$Q$7,2),IF($N118=Lists!$K$3,IF($L118&lt;1,(($U118/$L118)*((1+Inputs!$D$7)^BU$2)),((INT(BU$2/$L118)-INT((BU$2-1)/$L118))*$U118*((1+Inputs!$D$7)^BU$2))),(Inputs!$D$8^((1-_xlfn.WEIBULL.DIST(BU$2,$M118,$L118,FALSE))/_xlfn.WEIBULL.DIST(BU$2,$M118,$L118,FALSE))*$U118*((1+Inputs!$D$7)^BU$2))),IF($N118=Lists!$K$3,IF($L118&lt;1,((($T118*(1-$F118)+$S118*(1-$G118))/$L118)*((1+Inputs!$D$7)^BU$2)),((INT(BU$2/$L118)-INT((BU$2-1)/$L118))*($T118*(1-$F118)+$S118*(1-$G118))*((1+Inputs!$D$7)^BU$2))),((Inputs!$D$8^((1-_xlfn.WEIBULL.DIST(BU$2,$M118,$L118,FALSE))/_xlfn.WEIBULL.DIST(BU$2,$M118,$L118,FALSE))*($T118*(1-$F118)+$S118*(1-$G118))*((1+Inputs!$D$7)^BU$2))))))))</f>
        <v>0</v>
      </c>
      <c r="BV118" s="88">
        <f>MAX(AF118,($E118*IF(BV$2&gt;Inputs!$D$5,0,IF(BV$2&gt;VLOOKUP($H118,Lists!$P$3:$Q$7,2),IF($N118=Lists!$K$3,IF($L118&lt;1,(($U118/$L118)*((1+Inputs!$D$7)^BV$2)),((INT(BV$2/$L118)-INT((BV$2-1)/$L118))*$U118*((1+Inputs!$D$7)^BV$2))),(Inputs!$D$8^((1-_xlfn.WEIBULL.DIST(BV$2,$M118,$L118,FALSE))/_xlfn.WEIBULL.DIST(BV$2,$M118,$L118,FALSE))*$U118*((1+Inputs!$D$7)^BV$2))),IF($N118=Lists!$K$3,IF($L118&lt;1,((($T118*(1-$F118)+$S118*(1-$G118))/$L118)*((1+Inputs!$D$7)^BV$2)),((INT(BV$2/$L118)-INT((BV$2-1)/$L118))*($T118*(1-$F118)+$S118*(1-$G118))*((1+Inputs!$D$7)^BV$2))),((Inputs!$D$8^((1-_xlfn.WEIBULL.DIST(BV$2,$M118,$L118,FALSE))/_xlfn.WEIBULL.DIST(BV$2,$M118,$L118,FALSE))*($T118*(1-$F118)+$S118*(1-$G118))*((1+Inputs!$D$7)^BV$2))))))))</f>
        <v>0</v>
      </c>
      <c r="BW118" s="88">
        <f>MAX(AG118,($E118*IF(BW$2&gt;Inputs!$D$5,0,IF(BW$2&gt;VLOOKUP($H118,Lists!$P$3:$Q$7,2),IF($N118=Lists!$K$3,IF($L118&lt;1,(($U118/$L118)*((1+Inputs!$D$7)^BW$2)),((INT(BW$2/$L118)-INT((BW$2-1)/$L118))*$U118*((1+Inputs!$D$7)^BW$2))),(Inputs!$D$8^((1-_xlfn.WEIBULL.DIST(BW$2,$M118,$L118,FALSE))/_xlfn.WEIBULL.DIST(BW$2,$M118,$L118,FALSE))*$U118*((1+Inputs!$D$7)^BW$2))),IF($N118=Lists!$K$3,IF($L118&lt;1,((($T118*(1-$F118)+$S118*(1-$G118))/$L118)*((1+Inputs!$D$7)^BW$2)),((INT(BW$2/$L118)-INT((BW$2-1)/$L118))*($T118*(1-$F118)+$S118*(1-$G118))*((1+Inputs!$D$7)^BW$2))),((Inputs!$D$8^((1-_xlfn.WEIBULL.DIST(BW$2,$M118,$L118,FALSE))/_xlfn.WEIBULL.DIST(BW$2,$M118,$L118,FALSE))*($T118*(1-$F118)+$S118*(1-$G118))*((1+Inputs!$D$7)^BW$2))))))))</f>
        <v>0</v>
      </c>
      <c r="BX118" s="88">
        <f>MAX(AH118,($E118*IF(BX$2&gt;Inputs!$D$5,0,IF(BX$2&gt;VLOOKUP($H118,Lists!$P$3:$Q$7,2),IF($N118=Lists!$K$3,IF($L118&lt;1,(($U118/$L118)*((1+Inputs!$D$7)^BX$2)),((INT(BX$2/$L118)-INT((BX$2-1)/$L118))*$U118*((1+Inputs!$D$7)^BX$2))),(Inputs!$D$8^((1-_xlfn.WEIBULL.DIST(BX$2,$M118,$L118,FALSE))/_xlfn.WEIBULL.DIST(BX$2,$M118,$L118,FALSE))*$U118*((1+Inputs!$D$7)^BX$2))),IF($N118=Lists!$K$3,IF($L118&lt;1,((($T118*(1-$F118)+$S118*(1-$G118))/$L118)*((1+Inputs!$D$7)^BX$2)),((INT(BX$2/$L118)-INT((BX$2-1)/$L118))*($T118*(1-$F118)+$S118*(1-$G118))*((1+Inputs!$D$7)^BX$2))),((Inputs!$D$8^((1-_xlfn.WEIBULL.DIST(BX$2,$M118,$L118,FALSE))/_xlfn.WEIBULL.DIST(BX$2,$M118,$L118,FALSE))*($T118*(1-$F118)+$S118*(1-$G118))*((1+Inputs!$D$7)^BX$2))))))))</f>
        <v>0</v>
      </c>
      <c r="BY118" s="88">
        <f>MAX(AI118,($E118*IF(BY$2&gt;Inputs!$D$5,0,IF(BY$2&gt;VLOOKUP($H118,Lists!$P$3:$Q$7,2),IF($N118=Lists!$K$3,IF($L118&lt;1,(($U118/$L118)*((1+Inputs!$D$7)^BY$2)),((INT(BY$2/$L118)-INT((BY$2-1)/$L118))*$U118*((1+Inputs!$D$7)^BY$2))),(Inputs!$D$8^((1-_xlfn.WEIBULL.DIST(BY$2,$M118,$L118,FALSE))/_xlfn.WEIBULL.DIST(BY$2,$M118,$L118,FALSE))*$U118*((1+Inputs!$D$7)^BY$2))),IF($N118=Lists!$K$3,IF($L118&lt;1,((($T118*(1-$F118)+$S118*(1-$G118))/$L118)*((1+Inputs!$D$7)^BY$2)),((INT(BY$2/$L118)-INT((BY$2-1)/$L118))*($T118*(1-$F118)+$S118*(1-$G118))*((1+Inputs!$D$7)^BY$2))),((Inputs!$D$8^((1-_xlfn.WEIBULL.DIST(BY$2,$M118,$L118,FALSE))/_xlfn.WEIBULL.DIST(BY$2,$M118,$L118,FALSE))*($T118*(1-$F118)+$S118*(1-$G118))*((1+Inputs!$D$7)^BY$2))))))))</f>
        <v>0</v>
      </c>
      <c r="BZ118" s="88">
        <f>MAX(AJ118,($E118*IF(BZ$2&gt;Inputs!$D$5,0,IF(BZ$2&gt;VLOOKUP($H118,Lists!$P$3:$Q$7,2),IF($N118=Lists!$K$3,IF($L118&lt;1,(($U118/$L118)*((1+Inputs!$D$7)^BZ$2)),((INT(BZ$2/$L118)-INT((BZ$2-1)/$L118))*$U118*((1+Inputs!$D$7)^BZ$2))),(Inputs!$D$8^((1-_xlfn.WEIBULL.DIST(BZ$2,$M118,$L118,FALSE))/_xlfn.WEIBULL.DIST(BZ$2,$M118,$L118,FALSE))*$U118*((1+Inputs!$D$7)^BZ$2))),IF($N118=Lists!$K$3,IF($L118&lt;1,((($T118*(1-$F118)+$S118*(1-$G118))/$L118)*((1+Inputs!$D$7)^BZ$2)),((INT(BZ$2/$L118)-INT((BZ$2-1)/$L118))*($T118*(1-$F118)+$S118*(1-$G118))*((1+Inputs!$D$7)^BZ$2))),((Inputs!$D$8^((1-_xlfn.WEIBULL.DIST(BZ$2,$M118,$L118,FALSE))/_xlfn.WEIBULL.DIST(BZ$2,$M118,$L118,FALSE))*($T118*(1-$F118)+$S118*(1-$G118))*((1+Inputs!$D$7)^BZ$2))))))))</f>
        <v>0</v>
      </c>
      <c r="CA118" s="88">
        <f>MAX(AK118,($E118*IF(CA$2&gt;Inputs!$D$5,0,IF(CA$2&gt;VLOOKUP($H118,Lists!$P$3:$Q$7,2),IF($N118=Lists!$K$3,IF($L118&lt;1,(($U118/$L118)*((1+Inputs!$D$7)^CA$2)),((INT(CA$2/$L118)-INT((CA$2-1)/$L118))*$U118*((1+Inputs!$D$7)^CA$2))),(Inputs!$D$8^((1-_xlfn.WEIBULL.DIST(CA$2,$M118,$L118,FALSE))/_xlfn.WEIBULL.DIST(CA$2,$M118,$L118,FALSE))*$U118*((1+Inputs!$D$7)^CA$2))),IF($N118=Lists!$K$3,IF($L118&lt;1,((($T118*(1-$F118)+$S118*(1-$G118))/$L118)*((1+Inputs!$D$7)^CA$2)),((INT(CA$2/$L118)-INT((CA$2-1)/$L118))*($T118*(1-$F118)+$S118*(1-$G118))*((1+Inputs!$D$7)^CA$2))),((Inputs!$D$8^((1-_xlfn.WEIBULL.DIST(CA$2,$M118,$L118,FALSE))/_xlfn.WEIBULL.DIST(CA$2,$M118,$L118,FALSE))*($T118*(1-$F118)+$S118*(1-$G118))*((1+Inputs!$D$7)^CA$2))))))))</f>
        <v>0</v>
      </c>
      <c r="CB118" s="88">
        <f>MAX(AL118,($E118*IF(CB$2&gt;Inputs!$D$5,0,IF(CB$2&gt;VLOOKUP($H118,Lists!$P$3:$Q$7,2),IF($N118=Lists!$K$3,IF($L118&lt;1,(($U118/$L118)*((1+Inputs!$D$7)^CB$2)),((INT(CB$2/$L118)-INT((CB$2-1)/$L118))*$U118*((1+Inputs!$D$7)^CB$2))),(Inputs!$D$8^((1-_xlfn.WEIBULL.DIST(CB$2,$M118,$L118,FALSE))/_xlfn.WEIBULL.DIST(CB$2,$M118,$L118,FALSE))*$U118*((1+Inputs!$D$7)^CB$2))),IF($N118=Lists!$K$3,IF($L118&lt;1,((($T118*(1-$F118)+$S118*(1-$G118))/$L118)*((1+Inputs!$D$7)^CB$2)),((INT(CB$2/$L118)-INT((CB$2-1)/$L118))*($T118*(1-$F118)+$S118*(1-$G118))*((1+Inputs!$D$7)^CB$2))),((Inputs!$D$8^((1-_xlfn.WEIBULL.DIST(CB$2,$M118,$L118,FALSE))/_xlfn.WEIBULL.DIST(CB$2,$M118,$L118,FALSE))*($T118*(1-$F118)+$S118*(1-$G118))*((1+Inputs!$D$7)^CB$2))))))))</f>
        <v>0</v>
      </c>
      <c r="CC118" s="88">
        <f>MAX(AM118,($E118*IF(CC$2&gt;Inputs!$D$5,0,IF(CC$2&gt;VLOOKUP($H118,Lists!$P$3:$Q$7,2),IF($N118=Lists!$K$3,IF($L118&lt;1,(($U118/$L118)*((1+Inputs!$D$7)^CC$2)),((INT(CC$2/$L118)-INT((CC$2-1)/$L118))*$U118*((1+Inputs!$D$7)^CC$2))),(Inputs!$D$8^((1-_xlfn.WEIBULL.DIST(CC$2,$M118,$L118,FALSE))/_xlfn.WEIBULL.DIST(CC$2,$M118,$L118,FALSE))*$U118*((1+Inputs!$D$7)^CC$2))),IF($N118=Lists!$K$3,IF($L118&lt;1,((($T118*(1-$F118)+$S118*(1-$G118))/$L118)*((1+Inputs!$D$7)^CC$2)),((INT(CC$2/$L118)-INT((CC$2-1)/$L118))*($T118*(1-$F118)+$S118*(1-$G118))*((1+Inputs!$D$7)^CC$2))),((Inputs!$D$8^((1-_xlfn.WEIBULL.DIST(CC$2,$M118,$L118,FALSE))/_xlfn.WEIBULL.DIST(CC$2,$M118,$L118,FALSE))*($T118*(1-$F118)+$S118*(1-$G118))*((1+Inputs!$D$7)^CC$2))))))))</f>
        <v>0</v>
      </c>
      <c r="CD118" s="88">
        <f>MAX(AN118,($E118*IF(CD$2&gt;Inputs!$D$5,0,IF(CD$2&gt;VLOOKUP($H118,Lists!$P$3:$Q$7,2),IF($N118=Lists!$K$3,IF($L118&lt;1,(($U118/$L118)*((1+Inputs!$D$7)^CD$2)),((INT(CD$2/$L118)-INT((CD$2-1)/$L118))*$U118*((1+Inputs!$D$7)^CD$2))),(Inputs!$D$8^((1-_xlfn.WEIBULL.DIST(CD$2,$M118,$L118,FALSE))/_xlfn.WEIBULL.DIST(CD$2,$M118,$L118,FALSE))*$U118*((1+Inputs!$D$7)^CD$2))),IF($N118=Lists!$K$3,IF($L118&lt;1,((($T118*(1-$F118)+$S118*(1-$G118))/$L118)*((1+Inputs!$D$7)^CD$2)),((INT(CD$2/$L118)-INT((CD$2-1)/$L118))*($T118*(1-$F118)+$S118*(1-$G118))*((1+Inputs!$D$7)^CD$2))),((Inputs!$D$8^((1-_xlfn.WEIBULL.DIST(CD$2,$M118,$L118,FALSE))/_xlfn.WEIBULL.DIST(CD$2,$M118,$L118,FALSE))*($T118*(1-$F118)+$S118*(1-$G118))*((1+Inputs!$D$7)^CD$2))))))))</f>
        <v>0</v>
      </c>
      <c r="CE118" s="88">
        <f>MAX(AO118,($E118*IF(CE$2&gt;Inputs!$D$5,0,IF(CE$2&gt;VLOOKUP($H118,Lists!$P$3:$Q$7,2),IF($N118=Lists!$K$3,IF($L118&lt;1,(($U118/$L118)*((1+Inputs!$D$7)^CE$2)),((INT(CE$2/$L118)-INT((CE$2-1)/$L118))*$U118*((1+Inputs!$D$7)^CE$2))),(Inputs!$D$8^((1-_xlfn.WEIBULL.DIST(CE$2,$M118,$L118,FALSE))/_xlfn.WEIBULL.DIST(CE$2,$M118,$L118,FALSE))*$U118*((1+Inputs!$D$7)^CE$2))),IF($N118=Lists!$K$3,IF($L118&lt;1,((($T118*(1-$F118)+$S118*(1-$G118))/$L118)*((1+Inputs!$D$7)^CE$2)),((INT(CE$2/$L118)-INT((CE$2-1)/$L118))*($T118*(1-$F118)+$S118*(1-$G118))*((1+Inputs!$D$7)^CE$2))),((Inputs!$D$8^((1-_xlfn.WEIBULL.DIST(CE$2,$M118,$L118,FALSE))/_xlfn.WEIBULL.DIST(CE$2,$M118,$L118,FALSE))*($T118*(1-$F118)+$S118*(1-$G118))*((1+Inputs!$D$7)^CE$2))))))))</f>
        <v>0</v>
      </c>
      <c r="CF118" s="88">
        <f>MAX(AP118,($E118*IF(CF$2&gt;Inputs!$D$5,0,IF(CF$2&gt;VLOOKUP($H118,Lists!$P$3:$Q$7,2),IF($N118=Lists!$K$3,IF($L118&lt;1,(($U118/$L118)*((1+Inputs!$D$7)^CF$2)),((INT(CF$2/$L118)-INT((CF$2-1)/$L118))*$U118*((1+Inputs!$D$7)^CF$2))),(Inputs!$D$8^((1-_xlfn.WEIBULL.DIST(CF$2,$M118,$L118,FALSE))/_xlfn.WEIBULL.DIST(CF$2,$M118,$L118,FALSE))*$U118*((1+Inputs!$D$7)^CF$2))),IF($N118=Lists!$K$3,IF($L118&lt;1,((($T118*(1-$F118)+$S118*(1-$G118))/$L118)*((1+Inputs!$D$7)^CF$2)),((INT(CF$2/$L118)-INT((CF$2-1)/$L118))*($T118*(1-$F118)+$S118*(1-$G118))*((1+Inputs!$D$7)^CF$2))),((Inputs!$D$8^((1-_xlfn.WEIBULL.DIST(CF$2,$M118,$L118,FALSE))/_xlfn.WEIBULL.DIST(CF$2,$M118,$L118,FALSE))*($T118*(1-$F118)+$S118*(1-$G118))*((1+Inputs!$D$7)^CF$2))))))))</f>
        <v>0</v>
      </c>
      <c r="CG118" s="88">
        <f>MAX(AQ118,($E118*IF(CG$2&gt;Inputs!$D$5,0,IF(CG$2&gt;VLOOKUP($H118,Lists!$P$3:$Q$7,2),IF($N118=Lists!$K$3,IF($L118&lt;1,(($U118/$L118)*((1+Inputs!$D$7)^CG$2)),((INT(CG$2/$L118)-INT((CG$2-1)/$L118))*$U118*((1+Inputs!$D$7)^CG$2))),(Inputs!$D$8^((1-_xlfn.WEIBULL.DIST(CG$2,$M118,$L118,FALSE))/_xlfn.WEIBULL.DIST(CG$2,$M118,$L118,FALSE))*$U118*((1+Inputs!$D$7)^CG$2))),IF($N118=Lists!$K$3,IF($L118&lt;1,((($T118*(1-$F118)+$S118*(1-$G118))/$L118)*((1+Inputs!$D$7)^CG$2)),((INT(CG$2/$L118)-INT((CG$2-1)/$L118))*($T118*(1-$F118)+$S118*(1-$G118))*((1+Inputs!$D$7)^CG$2))),((Inputs!$D$8^((1-_xlfn.WEIBULL.DIST(CG$2,$M118,$L118,FALSE))/_xlfn.WEIBULL.DIST(CG$2,$M118,$L118,FALSE))*($T118*(1-$F118)+$S118*(1-$G118))*((1+Inputs!$D$7)^CG$2))))))))</f>
        <v>0</v>
      </c>
      <c r="CH118" s="88">
        <f>MAX(AR118,($E118*IF(CH$2&gt;Inputs!$D$5,0,IF(CH$2&gt;VLOOKUP($H118,Lists!$P$3:$Q$7,2),IF($N118=Lists!$K$3,IF($L118&lt;1,(($U118/$L118)*((1+Inputs!$D$7)^CH$2)),((INT(CH$2/$L118)-INT((CH$2-1)/$L118))*$U118*((1+Inputs!$D$7)^CH$2))),(Inputs!$D$8^((1-_xlfn.WEIBULL.DIST(CH$2,$M118,$L118,FALSE))/_xlfn.WEIBULL.DIST(CH$2,$M118,$L118,FALSE))*$U118*((1+Inputs!$D$7)^CH$2))),IF($N118=Lists!$K$3,IF($L118&lt;1,((($T118*(1-$F118)+$S118*(1-$G118))/$L118)*((1+Inputs!$D$7)^CH$2)),((INT(CH$2/$L118)-INT((CH$2-1)/$L118))*($T118*(1-$F118)+$S118*(1-$G118))*((1+Inputs!$D$7)^CH$2))),((Inputs!$D$8^((1-_xlfn.WEIBULL.DIST(CH$2,$M118,$L118,FALSE))/_xlfn.WEIBULL.DIST(CH$2,$M118,$L118,FALSE))*($T118*(1-$F118)+$S118*(1-$G118))*((1+Inputs!$D$7)^CH$2))))))))</f>
        <v>0</v>
      </c>
      <c r="CI118" s="88">
        <f>MAX(AS118,($E118*IF(CI$2&gt;Inputs!$D$5,0,IF(CI$2&gt;VLOOKUP($H118,Lists!$P$3:$Q$7,2),IF($N118=Lists!$K$3,IF($L118&lt;1,(($U118/$L118)*((1+Inputs!$D$7)^CI$2)),((INT(CI$2/$L118)-INT((CI$2-1)/$L118))*$U118*((1+Inputs!$D$7)^CI$2))),(Inputs!$D$8^((1-_xlfn.WEIBULL.DIST(CI$2,$M118,$L118,FALSE))/_xlfn.WEIBULL.DIST(CI$2,$M118,$L118,FALSE))*$U118*((1+Inputs!$D$7)^CI$2))),IF($N118=Lists!$K$3,IF($L118&lt;1,((($T118*(1-$F118)+$S118*(1-$G118))/$L118)*((1+Inputs!$D$7)^CI$2)),((INT(CI$2/$L118)-INT((CI$2-1)/$L118))*($T118*(1-$F118)+$S118*(1-$G118))*((1+Inputs!$D$7)^CI$2))),((Inputs!$D$8^((1-_xlfn.WEIBULL.DIST(CI$2,$M118,$L118,FALSE))/_xlfn.WEIBULL.DIST(CI$2,$M118,$L118,FALSE))*($T118*(1-$F118)+$S118*(1-$G118))*((1+Inputs!$D$7)^CI$2))))))))</f>
        <v>0</v>
      </c>
      <c r="CJ118" s="88">
        <f>MAX(AT118,($E118*IF(CJ$2&gt;Inputs!$D$5,0,IF(CJ$2&gt;VLOOKUP($H118,Lists!$P$3:$Q$7,2),IF($N118=Lists!$K$3,IF($L118&lt;1,(($U118/$L118)*((1+Inputs!$D$7)^CJ$2)),((INT(CJ$2/$L118)-INT((CJ$2-1)/$L118))*$U118*((1+Inputs!$D$7)^CJ$2))),(Inputs!$D$8^((1-_xlfn.WEIBULL.DIST(CJ$2,$M118,$L118,FALSE))/_xlfn.WEIBULL.DIST(CJ$2,$M118,$L118,FALSE))*$U118*((1+Inputs!$D$7)^CJ$2))),IF($N118=Lists!$K$3,IF($L118&lt;1,((($T118*(1-$F118)+$S118*(1-$G118))/$L118)*((1+Inputs!$D$7)^CJ$2)),((INT(CJ$2/$L118)-INT((CJ$2-1)/$L118))*($T118*(1-$F118)+$S118*(1-$G118))*((1+Inputs!$D$7)^CJ$2))),((Inputs!$D$8^((1-_xlfn.WEIBULL.DIST(CJ$2,$M118,$L118,FALSE))/_xlfn.WEIBULL.DIST(CJ$2,$M118,$L118,FALSE))*($T118*(1-$F118)+$S118*(1-$G118))*((1+Inputs!$D$7)^CJ$2))))))))</f>
        <v>0</v>
      </c>
      <c r="CK118" s="88">
        <f>MAX(AU118,($E118*IF(CK$2&gt;Inputs!$D$5,0,IF(CK$2&gt;VLOOKUP($H118,Lists!$P$3:$Q$7,2),IF($N118=Lists!$K$3,IF($L118&lt;1,(($U118/$L118)*((1+Inputs!$D$7)^CK$2)),((INT(CK$2/$L118)-INT((CK$2-1)/$L118))*$U118*((1+Inputs!$D$7)^CK$2))),(Inputs!$D$8^((1-_xlfn.WEIBULL.DIST(CK$2,$M118,$L118,FALSE))/_xlfn.WEIBULL.DIST(CK$2,$M118,$L118,FALSE))*$U118*((1+Inputs!$D$7)^CK$2))),IF($N118=Lists!$K$3,IF($L118&lt;1,((($T118*(1-$F118)+$S118*(1-$G118))/$L118)*((1+Inputs!$D$7)^CK$2)),((INT(CK$2/$L118)-INT((CK$2-1)/$L118))*($T118*(1-$F118)+$S118*(1-$G118))*((1+Inputs!$D$7)^CK$2))),((Inputs!$D$8^((1-_xlfn.WEIBULL.DIST(CK$2,$M118,$L118,FALSE))/_xlfn.WEIBULL.DIST(CK$2,$M118,$L118,FALSE))*($T118*(1-$F118)+$S118*(1-$G118))*((1+Inputs!$D$7)^CK$2))))))))</f>
        <v>0</v>
      </c>
      <c r="CL118" s="88">
        <f>MAX(AV118,($E118*IF(CL$2&gt;Inputs!$D$5,0,IF(CL$2&gt;VLOOKUP($H118,Lists!$P$3:$Q$7,2),IF($N118=Lists!$K$3,IF($L118&lt;1,(($U118/$L118)*((1+Inputs!$D$7)^CL$2)),((INT(CL$2/$L118)-INT((CL$2-1)/$L118))*$U118*((1+Inputs!$D$7)^CL$2))),(Inputs!$D$8^((1-_xlfn.WEIBULL.DIST(CL$2,$M118,$L118,FALSE))/_xlfn.WEIBULL.DIST(CL$2,$M118,$L118,FALSE))*$U118*((1+Inputs!$D$7)^CL$2))),IF($N118=Lists!$K$3,IF($L118&lt;1,((($T118*(1-$F118)+$S118*(1-$G118))/$L118)*((1+Inputs!$D$7)^CL$2)),((INT(CL$2/$L118)-INT((CL$2-1)/$L118))*($T118*(1-$F118)+$S118*(1-$G118))*((1+Inputs!$D$7)^CL$2))),((Inputs!$D$8^((1-_xlfn.WEIBULL.DIST(CL$2,$M118,$L118,FALSE))/_xlfn.WEIBULL.DIST(CL$2,$M118,$L118,FALSE))*($T118*(1-$F118)+$S118*(1-$G118))*((1+Inputs!$D$7)^CL$2))))))))</f>
        <v>0</v>
      </c>
      <c r="CM118" s="88">
        <f>MAX(AW118,($E118*IF(CM$2&gt;Inputs!$D$5,0,IF(CM$2&gt;VLOOKUP($H118,Lists!$P$3:$Q$7,2),IF($N118=Lists!$K$3,IF($L118&lt;1,(($U118/$L118)*((1+Inputs!$D$7)^CM$2)),((INT(CM$2/$L118)-INT((CM$2-1)/$L118))*$U118*((1+Inputs!$D$7)^CM$2))),(Inputs!$D$8^((1-_xlfn.WEIBULL.DIST(CM$2,$M118,$L118,FALSE))/_xlfn.WEIBULL.DIST(CM$2,$M118,$L118,FALSE))*$U118*((1+Inputs!$D$7)^CM$2))),IF($N118=Lists!$K$3,IF($L118&lt;1,((($T118*(1-$F118)+$S118*(1-$G118))/$L118)*((1+Inputs!$D$7)^CM$2)),((INT(CM$2/$L118)-INT((CM$2-1)/$L118))*($T118*(1-$F118)+$S118*(1-$G118))*((1+Inputs!$D$7)^CM$2))),((Inputs!$D$8^((1-_xlfn.WEIBULL.DIST(CM$2,$M118,$L118,FALSE))/_xlfn.WEIBULL.DIST(CM$2,$M118,$L118,FALSE))*($T118*(1-$F118)+$S118*(1-$G118))*((1+Inputs!$D$7)^CM$2))))))))</f>
        <v>0</v>
      </c>
      <c r="CN118" s="88">
        <f>MAX(AX118,($E118*IF(CN$2&gt;Inputs!$D$5,0,IF(CN$2&gt;VLOOKUP($H118,Lists!$P$3:$Q$7,2),IF($N118=Lists!$K$3,IF($L118&lt;1,(($U118/$L118)*((1+Inputs!$D$7)^CN$2)),((INT(CN$2/$L118)-INT((CN$2-1)/$L118))*$U118*((1+Inputs!$D$7)^CN$2))),(Inputs!$D$8^((1-_xlfn.WEIBULL.DIST(CN$2,$M118,$L118,FALSE))/_xlfn.WEIBULL.DIST(CN$2,$M118,$L118,FALSE))*$U118*((1+Inputs!$D$7)^CN$2))),IF($N118=Lists!$K$3,IF($L118&lt;1,((($T118*(1-$F118)+$S118*(1-$G118))/$L118)*((1+Inputs!$D$7)^CN$2)),((INT(CN$2/$L118)-INT((CN$2-1)/$L118))*($T118*(1-$F118)+$S118*(1-$G118))*((1+Inputs!$D$7)^CN$2))),((Inputs!$D$8^((1-_xlfn.WEIBULL.DIST(CN$2,$M118,$L118,FALSE))/_xlfn.WEIBULL.DIST(CN$2,$M118,$L118,FALSE))*($T118*(1-$F118)+$S118*(1-$G118))*((1+Inputs!$D$7)^CN$2))))))))</f>
        <v>0</v>
      </c>
      <c r="CO118" s="88">
        <f>MAX(AY118,($E118*IF(CO$2&gt;Inputs!$D$5,0,IF(CO$2&gt;VLOOKUP($H118,Lists!$P$3:$Q$7,2),IF($N118=Lists!$K$3,IF($L118&lt;1,(($U118/$L118)*((1+Inputs!$D$7)^CO$2)),((INT(CO$2/$L118)-INT((CO$2-1)/$L118))*$U118*((1+Inputs!$D$7)^CO$2))),(Inputs!$D$8^((1-_xlfn.WEIBULL.DIST(CO$2,$M118,$L118,FALSE))/_xlfn.WEIBULL.DIST(CO$2,$M118,$L118,FALSE))*$U118*((1+Inputs!$D$7)^CO$2))),IF($N118=Lists!$K$3,IF($L118&lt;1,((($T118*(1-$F118)+$S118*(1-$G118))/$L118)*((1+Inputs!$D$7)^CO$2)),((INT(CO$2/$L118)-INT((CO$2-1)/$L118))*($T118*(1-$F118)+$S118*(1-$G118))*((1+Inputs!$D$7)^CO$2))),((Inputs!$D$8^((1-_xlfn.WEIBULL.DIST(CO$2,$M118,$L118,FALSE))/_xlfn.WEIBULL.DIST(CO$2,$M118,$L118,FALSE))*($T118*(1-$F118)+$S118*(1-$G118))*((1+Inputs!$D$7)^CO$2))))))))</f>
        <v>0</v>
      </c>
      <c r="CP118" s="88">
        <f>MAX(AZ118,($E118*IF(CP$2&gt;Inputs!$D$5,0,IF(CP$2&gt;VLOOKUP($H118,Lists!$P$3:$Q$7,2),IF($N118=Lists!$K$3,IF($L118&lt;1,(($U118/$L118)*((1+Inputs!$D$7)^CP$2)),((INT(CP$2/$L118)-INT((CP$2-1)/$L118))*$U118*((1+Inputs!$D$7)^CP$2))),(Inputs!$D$8^((1-_xlfn.WEIBULL.DIST(CP$2,$M118,$L118,FALSE))/_xlfn.WEIBULL.DIST(CP$2,$M118,$L118,FALSE))*$U118*((1+Inputs!$D$7)^CP$2))),IF($N118=Lists!$K$3,IF($L118&lt;1,((($T118*(1-$F118)+$S118*(1-$G118))/$L118)*((1+Inputs!$D$7)^CP$2)),((INT(CP$2/$L118)-INT((CP$2-1)/$L118))*($T118*(1-$F118)+$S118*(1-$G118))*((1+Inputs!$D$7)^CP$2))),((Inputs!$D$8^((1-_xlfn.WEIBULL.DIST(CP$2,$M118,$L118,FALSE))/_xlfn.WEIBULL.DIST(CP$2,$M118,$L118,FALSE))*($T118*(1-$F118)+$S118*(1-$G118))*((1+Inputs!$D$7)^CP$2))))))))</f>
        <v>0</v>
      </c>
      <c r="CQ118" s="88">
        <f>MAX(BA118,($E118*IF(CQ$2&gt;Inputs!$D$5,0,IF(CQ$2&gt;VLOOKUP($H118,Lists!$P$3:$Q$7,2),IF($N118=Lists!$K$3,IF($L118&lt;1,(($U118/$L118)*((1+Inputs!$D$7)^CQ$2)),((INT(CQ$2/$L118)-INT((CQ$2-1)/$L118))*$U118*((1+Inputs!$D$7)^CQ$2))),(Inputs!$D$8^((1-_xlfn.WEIBULL.DIST(CQ$2,$M118,$L118,FALSE))/_xlfn.WEIBULL.DIST(CQ$2,$M118,$L118,FALSE))*$U118*((1+Inputs!$D$7)^CQ$2))),IF($N118=Lists!$K$3,IF($L118&lt;1,((($T118*(1-$F118)+$S118*(1-$G118))/$L118)*((1+Inputs!$D$7)^CQ$2)),((INT(CQ$2/$L118)-INT((CQ$2-1)/$L118))*($T118*(1-$F118)+$S118*(1-$G118))*((1+Inputs!$D$7)^CQ$2))),((Inputs!$D$8^((1-_xlfn.WEIBULL.DIST(CQ$2,$M118,$L118,FALSE))/_xlfn.WEIBULL.DIST(CQ$2,$M118,$L118,FALSE))*($T118*(1-$F118)+$S118*(1-$G118))*((1+Inputs!$D$7)^CQ$2))))))))</f>
        <v>0</v>
      </c>
      <c r="CR118" s="88">
        <f>MAX(BB118,($E118*IF(CR$2&gt;Inputs!$D$5,0,IF(CR$2&gt;VLOOKUP($H118,Lists!$P$3:$Q$7,2),IF($N118=Lists!$K$3,IF($L118&lt;1,(($U118/$L118)*((1+Inputs!$D$7)^CR$2)),((INT(CR$2/$L118)-INT((CR$2-1)/$L118))*$U118*((1+Inputs!$D$7)^CR$2))),(Inputs!$D$8^((1-_xlfn.WEIBULL.DIST(CR$2,$M118,$L118,FALSE))/_xlfn.WEIBULL.DIST(CR$2,$M118,$L118,FALSE))*$U118*((1+Inputs!$D$7)^CR$2))),IF($N118=Lists!$K$3,IF($L118&lt;1,((($T118*(1-$F118)+$S118*(1-$G118))/$L118)*((1+Inputs!$D$7)^CR$2)),((INT(CR$2/$L118)-INT((CR$2-1)/$L118))*($T118*(1-$F118)+$S118*(1-$G118))*((1+Inputs!$D$7)^CR$2))),((Inputs!$D$8^((1-_xlfn.WEIBULL.DIST(CR$2,$M118,$L118,FALSE))/_xlfn.WEIBULL.DIST(CR$2,$M118,$L118,FALSE))*($T118*(1-$F118)+$S118*(1-$G118))*((1+Inputs!$D$7)^CR$2))))))))</f>
        <v>0</v>
      </c>
      <c r="CS118" s="88">
        <f>MAX(BC118,($E118*IF(CS$2&gt;Inputs!$D$5,0,IF(CS$2&gt;VLOOKUP($H118,Lists!$P$3:$Q$7,2),IF($N118=Lists!$K$3,IF($L118&lt;1,(($U118/$L118)*((1+Inputs!$D$7)^CS$2)),((INT(CS$2/$L118)-INT((CS$2-1)/$L118))*$U118*((1+Inputs!$D$7)^CS$2))),(Inputs!$D$8^((1-_xlfn.WEIBULL.DIST(CS$2,$M118,$L118,FALSE))/_xlfn.WEIBULL.DIST(CS$2,$M118,$L118,FALSE))*$U118*((1+Inputs!$D$7)^CS$2))),IF($N118=Lists!$K$3,IF($L118&lt;1,((($T118*(1-$F118)+$S118*(1-$G118))/$L118)*((1+Inputs!$D$7)^CS$2)),((INT(CS$2/$L118)-INT((CS$2-1)/$L118))*($T118*(1-$F118)+$S118*(1-$G118))*((1+Inputs!$D$7)^CS$2))),((Inputs!$D$8^((1-_xlfn.WEIBULL.DIST(CS$2,$M118,$L118,FALSE))/_xlfn.WEIBULL.DIST(CS$2,$M118,$L118,FALSE))*($T118*(1-$F118)+$S118*(1-$G118))*((1+Inputs!$D$7)^CS$2))))))))</f>
        <v>0</v>
      </c>
      <c r="CT118" s="88">
        <f>MAX(BD118,($E118*IF(CT$2&gt;Inputs!$D$5,0,IF(CT$2&gt;VLOOKUP($H118,Lists!$P$3:$Q$7,2),IF($N118=Lists!$K$3,IF($L118&lt;1,(($U118/$L118)*((1+Inputs!$D$7)^CT$2)),((INT(CT$2/$L118)-INT((CT$2-1)/$L118))*$U118*((1+Inputs!$D$7)^CT$2))),(Inputs!$D$8^((1-_xlfn.WEIBULL.DIST(CT$2,$M118,$L118,FALSE))/_xlfn.WEIBULL.DIST(CT$2,$M118,$L118,FALSE))*$U118*((1+Inputs!$D$7)^CT$2))),IF($N118=Lists!$K$3,IF($L118&lt;1,((($T118*(1-$F118)+$S118*(1-$G118))/$L118)*((1+Inputs!$D$7)^CT$2)),((INT(CT$2/$L118)-INT((CT$2-1)/$L118))*($T118*(1-$F118)+$S118*(1-$G118))*((1+Inputs!$D$7)^CT$2))),((Inputs!$D$8^((1-_xlfn.WEIBULL.DIST(CT$2,$M118,$L118,FALSE))/_xlfn.WEIBULL.DIST(CT$2,$M118,$L118,FALSE))*($T118*(1-$F118)+$S118*(1-$G118))*((1+Inputs!$D$7)^CT$2))))))))</f>
        <v>0</v>
      </c>
      <c r="CU118" s="88">
        <f>MAX(BE118,($E118*IF(CU$2&gt;Inputs!$D$5,0,IF(CU$2&gt;VLOOKUP($H118,Lists!$P$3:$Q$7,2),IF($N118=Lists!$K$3,IF($L118&lt;1,(($U118/$L118)*((1+Inputs!$D$7)^CU$2)),((INT(CU$2/$L118)-INT((CU$2-1)/$L118))*$U118*((1+Inputs!$D$7)^CU$2))),(Inputs!$D$8^((1-_xlfn.WEIBULL.DIST(CU$2,$M118,$L118,FALSE))/_xlfn.WEIBULL.DIST(CU$2,$M118,$L118,FALSE))*$U118*((1+Inputs!$D$7)^CU$2))),IF($N118=Lists!$K$3,IF($L118&lt;1,((($T118*(1-$F118)+$S118*(1-$G118))/$L118)*((1+Inputs!$D$7)^CU$2)),((INT(CU$2/$L118)-INT((CU$2-1)/$L118))*($T118*(1-$F118)+$S118*(1-$G118))*((1+Inputs!$D$7)^CU$2))),((Inputs!$D$8^((1-_xlfn.WEIBULL.DIST(CU$2,$M118,$L118,FALSE))/_xlfn.WEIBULL.DIST(CU$2,$M118,$L118,FALSE))*($T118*(1-$F118)+$S118*(1-$G118))*((1+Inputs!$D$7)^CU$2))))))))</f>
        <v>0</v>
      </c>
      <c r="CV118" s="88">
        <f>MAX(BF118,($E118*IF(CV$2&gt;Inputs!$D$5,0,IF(CV$2&gt;VLOOKUP($H118,Lists!$P$3:$Q$7,2),IF($N118=Lists!$K$3,IF($L118&lt;1,(($U118/$L118)*((1+Inputs!$D$7)^CV$2)),((INT(CV$2/$L118)-INT((CV$2-1)/$L118))*$U118*((1+Inputs!$D$7)^CV$2))),(Inputs!$D$8^((1-_xlfn.WEIBULL.DIST(CV$2,$M118,$L118,FALSE))/_xlfn.WEIBULL.DIST(CV$2,$M118,$L118,FALSE))*$U118*((1+Inputs!$D$7)^CV$2))),IF($N118=Lists!$K$3,IF($L118&lt;1,((($T118*(1-$F118)+$S118*(1-$G118))/$L118)*((1+Inputs!$D$7)^CV$2)),((INT(CV$2/$L118)-INT((CV$2-1)/$L118))*($T118*(1-$F118)+$S118*(1-$G118))*((1+Inputs!$D$7)^CV$2))),((Inputs!$D$8^((1-_xlfn.WEIBULL.DIST(CV$2,$M118,$L118,FALSE))/_xlfn.WEIBULL.DIST(CV$2,$M118,$L118,FALSE))*($T118*(1-$F118)+$S118*(1-$G118))*((1+Inputs!$D$7)^CV$2))))))))</f>
        <v>0</v>
      </c>
      <c r="CW118" s="88">
        <f>MAX(BG118,($E118*IF(CW$2&gt;Inputs!$D$5,0,IF(CW$2&gt;VLOOKUP($H118,Lists!$P$3:$Q$7,2),IF($N118=Lists!$K$3,IF($L118&lt;1,(($U118/$L118)*((1+Inputs!$D$7)^CW$2)),((INT(CW$2/$L118)-INT((CW$2-1)/$L118))*$U118*((1+Inputs!$D$7)^CW$2))),(Inputs!$D$8^((1-_xlfn.WEIBULL.DIST(CW$2,$M118,$L118,FALSE))/_xlfn.WEIBULL.DIST(CW$2,$M118,$L118,FALSE))*$U118*((1+Inputs!$D$7)^CW$2))),IF($N118=Lists!$K$3,IF($L118&lt;1,((($T118*(1-$F118)+$S118*(1-$G118))/$L118)*((1+Inputs!$D$7)^CW$2)),((INT(CW$2/$L118)-INT((CW$2-1)/$L118))*($T118*(1-$F118)+$S118*(1-$G118))*((1+Inputs!$D$7)^CW$2))),((Inputs!$D$8^((1-_xlfn.WEIBULL.DIST(CW$2,$M118,$L118,FALSE))/_xlfn.WEIBULL.DIST(CW$2,$M118,$L118,FALSE))*($T118*(1-$F118)+$S118*(1-$G118))*((1+Inputs!$D$7)^CW$2))))))))</f>
        <v>0</v>
      </c>
      <c r="CX118" s="88">
        <f>MAX(BH118,($E118*IF(CX$2&gt;Inputs!$D$5,0,IF(CX$2&gt;VLOOKUP($H118,Lists!$P$3:$Q$7,2),IF($N118=Lists!$K$3,IF($L118&lt;1,(($U118/$L118)*((1+Inputs!$D$7)^CX$2)),((INT(CX$2/$L118)-INT((CX$2-1)/$L118))*$U118*((1+Inputs!$D$7)^CX$2))),(Inputs!$D$8^((1-_xlfn.WEIBULL.DIST(CX$2,$M118,$L118,FALSE))/_xlfn.WEIBULL.DIST(CX$2,$M118,$L118,FALSE))*$U118*((1+Inputs!$D$7)^CX$2))),IF($N118=Lists!$K$3,IF($L118&lt;1,((($T118*(1-$F118)+$S118*(1-$G118))/$L118)*((1+Inputs!$D$7)^CX$2)),((INT(CX$2/$L118)-INT((CX$2-1)/$L118))*($T118*(1-$F118)+$S118*(1-$G118))*((1+Inputs!$D$7)^CX$2))),((Inputs!$D$8^((1-_xlfn.WEIBULL.DIST(CX$2,$M118,$L118,FALSE))/_xlfn.WEIBULL.DIST(CX$2,$M118,$L118,FALSE))*($T118*(1-$F118)+$S118*(1-$G118))*((1+Inputs!$D$7)^CX$2))))))))</f>
        <v>0</v>
      </c>
      <c r="CY118" s="88">
        <f>MAX(BI118,($E118*IF(CY$2&gt;Inputs!$D$5,0,IF(CY$2&gt;VLOOKUP($H118,Lists!$P$3:$Q$7,2),IF($N118=Lists!$K$3,IF($L118&lt;1,(($U118/$L118)*((1+Inputs!$D$7)^CY$2)),((INT(CY$2/$L118)-INT((CY$2-1)/$L118))*$U118*((1+Inputs!$D$7)^CY$2))),(Inputs!$D$8^((1-_xlfn.WEIBULL.DIST(CY$2,$M118,$L118,FALSE))/_xlfn.WEIBULL.DIST(CY$2,$M118,$L118,FALSE))*$U118*((1+Inputs!$D$7)^CY$2))),IF($N118=Lists!$K$3,IF($L118&lt;1,((($T118*(1-$F118)+$S118*(1-$G118))/$L118)*((1+Inputs!$D$7)^CY$2)),((INT(CY$2/$L118)-INT((CY$2-1)/$L118))*($T118*(1-$F118)+$S118*(1-$G118))*((1+Inputs!$D$7)^CY$2))),((Inputs!$D$8^((1-_xlfn.WEIBULL.DIST(CY$2,$M118,$L118,FALSE))/_xlfn.WEIBULL.DIST(CY$2,$M118,$L118,FALSE))*($T118*(1-$F118)+$S118*(1-$G118))*((1+Inputs!$D$7)^CY$2))))))))</f>
        <v>0</v>
      </c>
      <c r="CZ118" s="88">
        <f>MAX(BJ118,($E118*IF(CZ$2&gt;Inputs!$D$5,0,IF(CZ$2&gt;VLOOKUP($H118,Lists!$P$3:$Q$7,2),IF($N118=Lists!$K$3,IF($L118&lt;1,(($U118/$L118)*((1+Inputs!$D$7)^CZ$2)),((INT(CZ$2/$L118)-INT((CZ$2-1)/$L118))*$U118*((1+Inputs!$D$7)^CZ$2))),(Inputs!$D$8^((1-_xlfn.WEIBULL.DIST(CZ$2,$M118,$L118,FALSE))/_xlfn.WEIBULL.DIST(CZ$2,$M118,$L118,FALSE))*$U118*((1+Inputs!$D$7)^CZ$2))),IF($N118=Lists!$K$3,IF($L118&lt;1,((($T118*(1-$F118)+$S118*(1-$G118))/$L118)*((1+Inputs!$D$7)^CZ$2)),((INT(CZ$2/$L118)-INT((CZ$2-1)/$L118))*($T118*(1-$F118)+$S118*(1-$G118))*((1+Inputs!$D$7)^CZ$2))),((Inputs!$D$8^((1-_xlfn.WEIBULL.DIST(CZ$2,$M118,$L118,FALSE))/_xlfn.WEIBULL.DIST(CZ$2,$M118,$L118,FALSE))*($T118*(1-$F118)+$S118*(1-$G118))*((1+Inputs!$D$7)^CZ$2))))))))</f>
        <v>0</v>
      </c>
      <c r="DA118" s="88">
        <f>MAX(BK118,($E118*IF(DA$2&gt;Inputs!$D$5,0,IF(DA$2&gt;VLOOKUP($H118,Lists!$P$3:$Q$7,2),IF($N118=Lists!$K$3,IF($L118&lt;1,(($U118/$L118)*((1+Inputs!$D$7)^DA$2)),((INT(DA$2/$L118)-INT((DA$2-1)/$L118))*$U118*((1+Inputs!$D$7)^DA$2))),(Inputs!$D$8^((1-_xlfn.WEIBULL.DIST(DA$2,$M118,$L118,FALSE))/_xlfn.WEIBULL.DIST(DA$2,$M118,$L118,FALSE))*$U118*((1+Inputs!$D$7)^DA$2))),IF($N118=Lists!$K$3,IF($L118&lt;1,((($T118*(1-$F118)+$S118*(1-$G118))/$L118)*((1+Inputs!$D$7)^DA$2)),((INT(DA$2/$L118)-INT((DA$2-1)/$L118))*($T118*(1-$F118)+$S118*(1-$G118))*((1+Inputs!$D$7)^DA$2))),((Inputs!$D$8^((1-_xlfn.WEIBULL.DIST(DA$2,$M118,$L118,FALSE))/_xlfn.WEIBULL.DIST(DA$2,$M118,$L118,FALSE))*($T118*(1-$F118)+$S118*(1-$G118))*((1+Inputs!$D$7)^DA$2))))))))</f>
        <v>0</v>
      </c>
      <c r="DB118" s="88">
        <f>MAX(BL118,($E118*IF(DB$2&gt;Inputs!$D$5,0,IF(DB$2&gt;VLOOKUP($H118,Lists!$P$3:$Q$7,2),IF($N118=Lists!$K$3,IF($L118&lt;1,(($U118/$L118)*((1+Inputs!$D$7)^DB$2)),((INT(DB$2/$L118)-INT((DB$2-1)/$L118))*$U118*((1+Inputs!$D$7)^DB$2))),(Inputs!$D$8^((1-_xlfn.WEIBULL.DIST(DB$2,$M118,$L118,FALSE))/_xlfn.WEIBULL.DIST(DB$2,$M118,$L118,FALSE))*$U118*((1+Inputs!$D$7)^DB$2))),IF($N118=Lists!$K$3,IF($L118&lt;1,((($T118*(1-$F118)+$S118*(1-$G118))/$L118)*((1+Inputs!$D$7)^DB$2)),((INT(DB$2/$L118)-INT((DB$2-1)/$L118))*($T118*(1-$F118)+$S118*(1-$G118))*((1+Inputs!$D$7)^DB$2))),((Inputs!$D$8^((1-_xlfn.WEIBULL.DIST(DB$2,$M118,$L118,FALSE))/_xlfn.WEIBULL.DIST(DB$2,$M118,$L118,FALSE))*($T118*(1-$F118)+$S118*(1-$G118))*((1+Inputs!$D$7)^DB$2))))))))</f>
        <v>0</v>
      </c>
      <c r="DC118" s="88">
        <f>MAX(BM118,($E118*IF(DC$2&gt;Inputs!$D$5,0,IF(DC$2&gt;VLOOKUP($H118,Lists!$P$3:$Q$7,2),IF($N118=Lists!$K$3,IF($L118&lt;1,(($U118/$L118)*((1+Inputs!$D$7)^DC$2)),((INT(DC$2/$L118)-INT((DC$2-1)/$L118))*$U118*((1+Inputs!$D$7)^DC$2))),(Inputs!$D$8^((1-_xlfn.WEIBULL.DIST(DC$2,$M118,$L118,FALSE))/_xlfn.WEIBULL.DIST(DC$2,$M118,$L118,FALSE))*$U118*((1+Inputs!$D$7)^DC$2))),IF($N118=Lists!$K$3,IF($L118&lt;1,((($T118*(1-$F118)+$S118*(1-$G118))/$L118)*((1+Inputs!$D$7)^DC$2)),((INT(DC$2/$L118)-INT((DC$2-1)/$L118))*($T118*(1-$F118)+$S118*(1-$G118))*((1+Inputs!$D$7)^DC$2))),((Inputs!$D$8^((1-_xlfn.WEIBULL.DIST(DC$2,$M118,$L118,FALSE))/_xlfn.WEIBULL.DIST(DC$2,$M118,$L118,FALSE))*($T118*(1-$F118)+$S118*(1-$G118))*((1+Inputs!$D$7)^DC$2))))))))</f>
        <v>0</v>
      </c>
      <c r="DD118" s="88">
        <f>MAX(BN118,($E118*IF(DD$2&gt;Inputs!$D$5,0,IF(DD$2&gt;VLOOKUP($H118,Lists!$P$3:$Q$7,2),IF($N118=Lists!$K$3,IF($L118&lt;1,(($U118/$L118)*((1+Inputs!$D$7)^DD$2)),((INT(DD$2/$L118)-INT((DD$2-1)/$L118))*$U118*((1+Inputs!$D$7)^DD$2))),(Inputs!$D$8^((1-_xlfn.WEIBULL.DIST(DD$2,$M118,$L118,FALSE))/_xlfn.WEIBULL.DIST(DD$2,$M118,$L118,FALSE))*$U118*((1+Inputs!$D$7)^DD$2))),IF($N118=Lists!$K$3,IF($L118&lt;1,((($T118*(1-$F118)+$S118*(1-$G118))/$L118)*((1+Inputs!$D$7)^DD$2)),((INT(DD$2/$L118)-INT((DD$2-1)/$L118))*($T118*(1-$F118)+$S118*(1-$G118))*((1+Inputs!$D$7)^DD$2))),((Inputs!$D$8^((1-_xlfn.WEIBULL.DIST(DD$2,$M118,$L118,FALSE))/_xlfn.WEIBULL.DIST(DD$2,$M118,$L118,FALSE))*($T118*(1-$F118)+$S118*(1-$G118))*((1+Inputs!$D$7)^DD$2))))))))</f>
        <v>0</v>
      </c>
    </row>
    <row r="119" spans="1:108" ht="32">
      <c r="A119" s="57" t="s">
        <v>271</v>
      </c>
      <c r="B119" s="13" t="s">
        <v>279</v>
      </c>
      <c r="C119" s="13" t="s">
        <v>90</v>
      </c>
      <c r="D119" s="13" t="s">
        <v>37</v>
      </c>
      <c r="E119" s="89">
        <v>0</v>
      </c>
      <c r="F119" s="48">
        <v>0</v>
      </c>
      <c r="G119" s="48">
        <v>0</v>
      </c>
      <c r="H119" s="105" t="s">
        <v>350</v>
      </c>
      <c r="I119" s="14" t="s">
        <v>19</v>
      </c>
      <c r="J119" s="14" t="s">
        <v>246</v>
      </c>
      <c r="K119" s="13">
        <f>VLOOKUP(J119,'Labor Rates'!$A$1:$F$16,2)</f>
        <v>33.119999999999997</v>
      </c>
      <c r="L119" s="15">
        <v>1</v>
      </c>
      <c r="M119" s="15">
        <v>1</v>
      </c>
      <c r="N119" s="13" t="s">
        <v>236</v>
      </c>
      <c r="O119" s="61">
        <f>Inputs!$D$55</f>
        <v>16</v>
      </c>
      <c r="P119" s="15">
        <f>5/60</f>
        <v>8.3333333333333329E-2</v>
      </c>
      <c r="Q119" s="15">
        <f t="shared" si="21"/>
        <v>1.3333333333333333</v>
      </c>
      <c r="R119" s="4">
        <v>0</v>
      </c>
      <c r="S119" s="53">
        <f t="shared" si="22"/>
        <v>44.16</v>
      </c>
      <c r="T119" s="53">
        <f t="shared" si="23"/>
        <v>0</v>
      </c>
      <c r="U119" s="54">
        <f t="shared" si="24"/>
        <v>0</v>
      </c>
      <c r="V119" s="65"/>
      <c r="W119" s="58"/>
      <c r="X119" s="64">
        <f t="shared" si="25"/>
        <v>0</v>
      </c>
      <c r="Y119" s="64">
        <f>NPV(Inputs!$D$6,AA119:BN119)</f>
        <v>0</v>
      </c>
      <c r="Z119" s="67">
        <f t="shared" si="26"/>
        <v>0</v>
      </c>
      <c r="AA119" s="88">
        <f>$E119*IF(AA$2&gt;Inputs!$D$5,0,IF(AA$2&gt;VLOOKUP($H119,Lists!$P$3:$Q$7,2),IF($N119=Lists!$K$3,IF($L119&lt;1,(($U119/$L119)*((1+Inputs!$D$7)^AA$2)),((INT(AA$2/$L119)-INT((AA$2-1)/$L119))*$U119*((1+Inputs!$D$7)^AA$2))),(_xlfn.WEIBULL.DIST(AA$2,$M119,$L119,FALSE)*$U119*((1+Inputs!$D$7)^AA$2))),IF($N119=Lists!$K$3,IF($L119&lt;1,((($T119*(1-$F119)+$S119*(1-$G119))/$L119)*((1+Inputs!$D$7)^AA$2)),((INT(AA$2/$L119)-INT((AA$2-1)/$L119))*($T119*(1-$F119)+$S119*(1-$G119))*((1+Inputs!$D$7)^AA$2))),((_xlfn.WEIBULL.DIST(AA$2,$M119,$L119,FALSE)*($T119*(1-$F119)+$S119*(1-$G119))*((1+Inputs!$D$7)^AA$2))))))</f>
        <v>0</v>
      </c>
      <c r="AB119" s="88">
        <f>$E119*IF(AB$2&gt;Inputs!$D$5,0,IF(AB$2&gt;VLOOKUP($H119,Lists!$P$3:$Q$7,2),IF($N119=Lists!$K$3,IF($L119&lt;1,(($U119/$L119)*((1+Inputs!$D$7)^AB$2)),((INT(AB$2/$L119)-INT((AB$2-1)/$L119))*$U119*((1+Inputs!$D$7)^AB$2))),(_xlfn.WEIBULL.DIST(AB$2,$M119,$L119,FALSE)*$U119*((1+Inputs!$D$7)^AB$2))),IF($N119=Lists!$K$3,IF($L119&lt;1,((($T119*(1-$F119)+$S119*(1-$G119))/$L119)*((1+Inputs!$D$7)^AB$2)),((INT(AB$2/$L119)-INT((AB$2-1)/$L119))*($T119*(1-$F119)+$S119*(1-$G119))*((1+Inputs!$D$7)^AB$2))),((_xlfn.WEIBULL.DIST(AB$2,$M119,$L119,FALSE)*($T119*(1-$F119)+$S119*(1-$G119))*((1+Inputs!$D$7)^AB$2))))))</f>
        <v>0</v>
      </c>
      <c r="AC119" s="88">
        <f>$E119*IF(AC$2&gt;Inputs!$D$5,0,IF(AC$2&gt;VLOOKUP($H119,Lists!$P$3:$Q$7,2),IF($N119=Lists!$K$3,IF($L119&lt;1,(($U119/$L119)*((1+Inputs!$D$7)^AC$2)),((INT(AC$2/$L119)-INT((AC$2-1)/$L119))*$U119*((1+Inputs!$D$7)^AC$2))),(_xlfn.WEIBULL.DIST(AC$2,$M119,$L119,FALSE)*$U119*((1+Inputs!$D$7)^AC$2))),IF($N119=Lists!$K$3,IF($L119&lt;1,((($T119*(1-$F119)+$S119*(1-$G119))/$L119)*((1+Inputs!$D$7)^AC$2)),((INT(AC$2/$L119)-INT((AC$2-1)/$L119))*($T119*(1-$F119)+$S119*(1-$G119))*((1+Inputs!$D$7)^AC$2))),((_xlfn.WEIBULL.DIST(AC$2,$M119,$L119,FALSE)*($T119*(1-$F119)+$S119*(1-$G119))*((1+Inputs!$D$7)^AC$2))))))</f>
        <v>0</v>
      </c>
      <c r="AD119" s="88">
        <f>$E119*IF(AD$2&gt;Inputs!$D$5,0,IF(AD$2&gt;VLOOKUP($H119,Lists!$P$3:$Q$7,2),IF($N119=Lists!$K$3,IF($L119&lt;1,(($U119/$L119)*((1+Inputs!$D$7)^AD$2)),((INT(AD$2/$L119)-INT((AD$2-1)/$L119))*$U119*((1+Inputs!$D$7)^AD$2))),(_xlfn.WEIBULL.DIST(AD$2,$M119,$L119,FALSE)*$U119*((1+Inputs!$D$7)^AD$2))),IF($N119=Lists!$K$3,IF($L119&lt;1,((($T119*(1-$F119)+$S119*(1-$G119))/$L119)*((1+Inputs!$D$7)^AD$2)),((INT(AD$2/$L119)-INT((AD$2-1)/$L119))*($T119*(1-$F119)+$S119*(1-$G119))*((1+Inputs!$D$7)^AD$2))),((_xlfn.WEIBULL.DIST(AD$2,$M119,$L119,FALSE)*($T119*(1-$F119)+$S119*(1-$G119))*((1+Inputs!$D$7)^AD$2))))))</f>
        <v>0</v>
      </c>
      <c r="AE119" s="88">
        <f>$E119*IF(AE$2&gt;Inputs!$D$5,0,IF(AE$2&gt;VLOOKUP($H119,Lists!$P$3:$Q$7,2),IF($N119=Lists!$K$3,IF($L119&lt;1,(($U119/$L119)*((1+Inputs!$D$7)^AE$2)),((INT(AE$2/$L119)-INT((AE$2-1)/$L119))*$U119*((1+Inputs!$D$7)^AE$2))),(_xlfn.WEIBULL.DIST(AE$2,$M119,$L119,FALSE)*$U119*((1+Inputs!$D$7)^AE$2))),IF($N119=Lists!$K$3,IF($L119&lt;1,((($T119*(1-$F119)+$S119*(1-$G119))/$L119)*((1+Inputs!$D$7)^AE$2)),((INT(AE$2/$L119)-INT((AE$2-1)/$L119))*($T119*(1-$F119)+$S119*(1-$G119))*((1+Inputs!$D$7)^AE$2))),((_xlfn.WEIBULL.DIST(AE$2,$M119,$L119,FALSE)*($T119*(1-$F119)+$S119*(1-$G119))*((1+Inputs!$D$7)^AE$2))))))</f>
        <v>0</v>
      </c>
      <c r="AF119" s="88">
        <f>$E119*IF(AF$2&gt;Inputs!$D$5,0,IF(AF$2&gt;VLOOKUP($H119,Lists!$P$3:$Q$7,2),IF($N119=Lists!$K$3,IF($L119&lt;1,(($U119/$L119)*((1+Inputs!$D$7)^AF$2)),((INT(AF$2/$L119)-INT((AF$2-1)/$L119))*$U119*((1+Inputs!$D$7)^AF$2))),(_xlfn.WEIBULL.DIST(AF$2,$M119,$L119,FALSE)*$U119*((1+Inputs!$D$7)^AF$2))),IF($N119=Lists!$K$3,IF($L119&lt;1,((($T119*(1-$F119)+$S119*(1-$G119))/$L119)*((1+Inputs!$D$7)^AF$2)),((INT(AF$2/$L119)-INT((AF$2-1)/$L119))*($T119*(1-$F119)+$S119*(1-$G119))*((1+Inputs!$D$7)^AF$2))),((_xlfn.WEIBULL.DIST(AF$2,$M119,$L119,FALSE)*($T119*(1-$F119)+$S119*(1-$G119))*((1+Inputs!$D$7)^AF$2))))))</f>
        <v>0</v>
      </c>
      <c r="AG119" s="88">
        <f>$E119*IF(AG$2&gt;Inputs!$D$5,0,IF(AG$2&gt;VLOOKUP($H119,Lists!$P$3:$Q$7,2),IF($N119=Lists!$K$3,IF($L119&lt;1,(($U119/$L119)*((1+Inputs!$D$7)^AG$2)),((INT(AG$2/$L119)-INT((AG$2-1)/$L119))*$U119*((1+Inputs!$D$7)^AG$2))),(_xlfn.WEIBULL.DIST(AG$2,$M119,$L119,FALSE)*$U119*((1+Inputs!$D$7)^AG$2))),IF($N119=Lists!$K$3,IF($L119&lt;1,((($T119*(1-$F119)+$S119*(1-$G119))/$L119)*((1+Inputs!$D$7)^AG$2)),((INT(AG$2/$L119)-INT((AG$2-1)/$L119))*($T119*(1-$F119)+$S119*(1-$G119))*((1+Inputs!$D$7)^AG$2))),((_xlfn.WEIBULL.DIST(AG$2,$M119,$L119,FALSE)*($T119*(1-$F119)+$S119*(1-$G119))*((1+Inputs!$D$7)^AG$2))))))</f>
        <v>0</v>
      </c>
      <c r="AH119" s="88">
        <f>$E119*IF(AH$2&gt;Inputs!$D$5,0,IF(AH$2&gt;VLOOKUP($H119,Lists!$P$3:$Q$7,2),IF($N119=Lists!$K$3,IF($L119&lt;1,(($U119/$L119)*((1+Inputs!$D$7)^AH$2)),((INT(AH$2/$L119)-INT((AH$2-1)/$L119))*$U119*((1+Inputs!$D$7)^AH$2))),(_xlfn.WEIBULL.DIST(AH$2,$M119,$L119,FALSE)*$U119*((1+Inputs!$D$7)^AH$2))),IF($N119=Lists!$K$3,IF($L119&lt;1,((($T119*(1-$F119)+$S119*(1-$G119))/$L119)*((1+Inputs!$D$7)^AH$2)),((INT(AH$2/$L119)-INT((AH$2-1)/$L119))*($T119*(1-$F119)+$S119*(1-$G119))*((1+Inputs!$D$7)^AH$2))),((_xlfn.WEIBULL.DIST(AH$2,$M119,$L119,FALSE)*($T119*(1-$F119)+$S119*(1-$G119))*((1+Inputs!$D$7)^AH$2))))))</f>
        <v>0</v>
      </c>
      <c r="AI119" s="88">
        <f>$E119*IF(AI$2&gt;Inputs!$D$5,0,IF(AI$2&gt;VLOOKUP($H119,Lists!$P$3:$Q$7,2),IF($N119=Lists!$K$3,IF($L119&lt;1,(($U119/$L119)*((1+Inputs!$D$7)^AI$2)),((INT(AI$2/$L119)-INT((AI$2-1)/$L119))*$U119*((1+Inputs!$D$7)^AI$2))),(_xlfn.WEIBULL.DIST(AI$2,$M119,$L119,FALSE)*$U119*((1+Inputs!$D$7)^AI$2))),IF($N119=Lists!$K$3,IF($L119&lt;1,((($T119*(1-$F119)+$S119*(1-$G119))/$L119)*((1+Inputs!$D$7)^AI$2)),((INT(AI$2/$L119)-INT((AI$2-1)/$L119))*($T119*(1-$F119)+$S119*(1-$G119))*((1+Inputs!$D$7)^AI$2))),((_xlfn.WEIBULL.DIST(AI$2,$M119,$L119,FALSE)*($T119*(1-$F119)+$S119*(1-$G119))*((1+Inputs!$D$7)^AI$2))))))</f>
        <v>0</v>
      </c>
      <c r="AJ119" s="88">
        <f>$E119*IF(AJ$2&gt;Inputs!$D$5,0,IF(AJ$2&gt;VLOOKUP($H119,Lists!$P$3:$Q$7,2),IF($N119=Lists!$K$3,IF($L119&lt;1,(($U119/$L119)*((1+Inputs!$D$7)^AJ$2)),((INT(AJ$2/$L119)-INT((AJ$2-1)/$L119))*$U119*((1+Inputs!$D$7)^AJ$2))),(_xlfn.WEIBULL.DIST(AJ$2,$M119,$L119,FALSE)*$U119*((1+Inputs!$D$7)^AJ$2))),IF($N119=Lists!$K$3,IF($L119&lt;1,((($T119*(1-$F119)+$S119*(1-$G119))/$L119)*((1+Inputs!$D$7)^AJ$2)),((INT(AJ$2/$L119)-INT((AJ$2-1)/$L119))*($T119*(1-$F119)+$S119*(1-$G119))*((1+Inputs!$D$7)^AJ$2))),((_xlfn.WEIBULL.DIST(AJ$2,$M119,$L119,FALSE)*($T119*(1-$F119)+$S119*(1-$G119))*((1+Inputs!$D$7)^AJ$2))))))</f>
        <v>0</v>
      </c>
      <c r="AK119" s="88">
        <f>$E119*IF(AK$2&gt;Inputs!$D$5,0,IF(AK$2&gt;VLOOKUP($H119,Lists!$P$3:$Q$7,2),IF($N119=Lists!$K$3,IF($L119&lt;1,(($U119/$L119)*((1+Inputs!$D$7)^AK$2)),((INT(AK$2/$L119)-INT((AK$2-1)/$L119))*$U119*((1+Inputs!$D$7)^AK$2))),(_xlfn.WEIBULL.DIST(AK$2,$M119,$L119,FALSE)*$U119*((1+Inputs!$D$7)^AK$2))),IF($N119=Lists!$K$3,IF($L119&lt;1,((($T119*(1-$F119)+$S119*(1-$G119))/$L119)*((1+Inputs!$D$7)^AK$2)),((INT(AK$2/$L119)-INT((AK$2-1)/$L119))*($T119*(1-$F119)+$S119*(1-$G119))*((1+Inputs!$D$7)^AK$2))),((_xlfn.WEIBULL.DIST(AK$2,$M119,$L119,FALSE)*($T119*(1-$F119)+$S119*(1-$G119))*((1+Inputs!$D$7)^AK$2))))))</f>
        <v>0</v>
      </c>
      <c r="AL119" s="88">
        <f>$E119*IF(AL$2&gt;Inputs!$D$5,0,IF(AL$2&gt;VLOOKUP($H119,Lists!$P$3:$Q$7,2),IF($N119=Lists!$K$3,IF($L119&lt;1,(($U119/$L119)*((1+Inputs!$D$7)^AL$2)),((INT(AL$2/$L119)-INT((AL$2-1)/$L119))*$U119*((1+Inputs!$D$7)^AL$2))),(_xlfn.WEIBULL.DIST(AL$2,$M119,$L119,FALSE)*$U119*((1+Inputs!$D$7)^AL$2))),IF($N119=Lists!$K$3,IF($L119&lt;1,((($T119*(1-$F119)+$S119*(1-$G119))/$L119)*((1+Inputs!$D$7)^AL$2)),((INT(AL$2/$L119)-INT((AL$2-1)/$L119))*($T119*(1-$F119)+$S119*(1-$G119))*((1+Inputs!$D$7)^AL$2))),((_xlfn.WEIBULL.DIST(AL$2,$M119,$L119,FALSE)*($T119*(1-$F119)+$S119*(1-$G119))*((1+Inputs!$D$7)^AL$2))))))</f>
        <v>0</v>
      </c>
      <c r="AM119" s="88">
        <f>$E119*IF(AM$2&gt;Inputs!$D$5,0,IF(AM$2&gt;VLOOKUP($H119,Lists!$P$3:$Q$7,2),IF($N119=Lists!$K$3,IF($L119&lt;1,(($U119/$L119)*((1+Inputs!$D$7)^AM$2)),((INT(AM$2/$L119)-INT((AM$2-1)/$L119))*$U119*((1+Inputs!$D$7)^AM$2))),(_xlfn.WEIBULL.DIST(AM$2,$M119,$L119,FALSE)*$U119*((1+Inputs!$D$7)^AM$2))),IF($N119=Lists!$K$3,IF($L119&lt;1,((($T119*(1-$F119)+$S119*(1-$G119))/$L119)*((1+Inputs!$D$7)^AM$2)),((INT(AM$2/$L119)-INT((AM$2-1)/$L119))*($T119*(1-$F119)+$S119*(1-$G119))*((1+Inputs!$D$7)^AM$2))),((_xlfn.WEIBULL.DIST(AM$2,$M119,$L119,FALSE)*($T119*(1-$F119)+$S119*(1-$G119))*((1+Inputs!$D$7)^AM$2))))))</f>
        <v>0</v>
      </c>
      <c r="AN119" s="88">
        <f>$E119*IF(AN$2&gt;Inputs!$D$5,0,IF(AN$2&gt;VLOOKUP($H119,Lists!$P$3:$Q$7,2),IF($N119=Lists!$K$3,IF($L119&lt;1,(($U119/$L119)*((1+Inputs!$D$7)^AN$2)),((INT(AN$2/$L119)-INT((AN$2-1)/$L119))*$U119*((1+Inputs!$D$7)^AN$2))),(_xlfn.WEIBULL.DIST(AN$2,$M119,$L119,FALSE)*$U119*((1+Inputs!$D$7)^AN$2))),IF($N119=Lists!$K$3,IF($L119&lt;1,((($T119*(1-$F119)+$S119*(1-$G119))/$L119)*((1+Inputs!$D$7)^AN$2)),((INT(AN$2/$L119)-INT((AN$2-1)/$L119))*($T119*(1-$F119)+$S119*(1-$G119))*((1+Inputs!$D$7)^AN$2))),((_xlfn.WEIBULL.DIST(AN$2,$M119,$L119,FALSE)*($T119*(1-$F119)+$S119*(1-$G119))*((1+Inputs!$D$7)^AN$2))))))</f>
        <v>0</v>
      </c>
      <c r="AO119" s="88">
        <f>$E119*IF(AO$2&gt;Inputs!$D$5,0,IF(AO$2&gt;VLOOKUP($H119,Lists!$P$3:$Q$7,2),IF($N119=Lists!$K$3,IF($L119&lt;1,(($U119/$L119)*((1+Inputs!$D$7)^AO$2)),((INT(AO$2/$L119)-INT((AO$2-1)/$L119))*$U119*((1+Inputs!$D$7)^AO$2))),(_xlfn.WEIBULL.DIST(AO$2,$M119,$L119,FALSE)*$U119*((1+Inputs!$D$7)^AO$2))),IF($N119=Lists!$K$3,IF($L119&lt;1,((($T119*(1-$F119)+$S119*(1-$G119))/$L119)*((1+Inputs!$D$7)^AO$2)),((INT(AO$2/$L119)-INT((AO$2-1)/$L119))*($T119*(1-$F119)+$S119*(1-$G119))*((1+Inputs!$D$7)^AO$2))),((_xlfn.WEIBULL.DIST(AO$2,$M119,$L119,FALSE)*($T119*(1-$F119)+$S119*(1-$G119))*((1+Inputs!$D$7)^AO$2))))))</f>
        <v>0</v>
      </c>
      <c r="AP119" s="88">
        <f>$E119*IF(AP$2&gt;Inputs!$D$5,0,IF(AP$2&gt;VLOOKUP($H119,Lists!$P$3:$Q$7,2),IF($N119=Lists!$K$3,IF($L119&lt;1,(($U119/$L119)*((1+Inputs!$D$7)^AP$2)),((INT(AP$2/$L119)-INT((AP$2-1)/$L119))*$U119*((1+Inputs!$D$7)^AP$2))),(_xlfn.WEIBULL.DIST(AP$2,$M119,$L119,FALSE)*$U119*((1+Inputs!$D$7)^AP$2))),IF($N119=Lists!$K$3,IF($L119&lt;1,((($T119*(1-$F119)+$S119*(1-$G119))/$L119)*((1+Inputs!$D$7)^AP$2)),((INT(AP$2/$L119)-INT((AP$2-1)/$L119))*($T119*(1-$F119)+$S119*(1-$G119))*((1+Inputs!$D$7)^AP$2))),((_xlfn.WEIBULL.DIST(AP$2,$M119,$L119,FALSE)*($T119*(1-$F119)+$S119*(1-$G119))*((1+Inputs!$D$7)^AP$2))))))</f>
        <v>0</v>
      </c>
      <c r="AQ119" s="88">
        <f>$E119*IF(AQ$2&gt;Inputs!$D$5,0,IF(AQ$2&gt;VLOOKUP($H119,Lists!$P$3:$Q$7,2),IF($N119=Lists!$K$3,IF($L119&lt;1,(($U119/$L119)*((1+Inputs!$D$7)^AQ$2)),((INT(AQ$2/$L119)-INT((AQ$2-1)/$L119))*$U119*((1+Inputs!$D$7)^AQ$2))),(_xlfn.WEIBULL.DIST(AQ$2,$M119,$L119,FALSE)*$U119*((1+Inputs!$D$7)^AQ$2))),IF($N119=Lists!$K$3,IF($L119&lt;1,((($T119*(1-$F119)+$S119*(1-$G119))/$L119)*((1+Inputs!$D$7)^AQ$2)),((INT(AQ$2/$L119)-INT((AQ$2-1)/$L119))*($T119*(1-$F119)+$S119*(1-$G119))*((1+Inputs!$D$7)^AQ$2))),((_xlfn.WEIBULL.DIST(AQ$2,$M119,$L119,FALSE)*($T119*(1-$F119)+$S119*(1-$G119))*((1+Inputs!$D$7)^AQ$2))))))</f>
        <v>0</v>
      </c>
      <c r="AR119" s="88">
        <f>$E119*IF(AR$2&gt;Inputs!$D$5,0,IF(AR$2&gt;VLOOKUP($H119,Lists!$P$3:$Q$7,2),IF($N119=Lists!$K$3,IF($L119&lt;1,(($U119/$L119)*((1+Inputs!$D$7)^AR$2)),((INT(AR$2/$L119)-INT((AR$2-1)/$L119))*$U119*((1+Inputs!$D$7)^AR$2))),(_xlfn.WEIBULL.DIST(AR$2,$M119,$L119,FALSE)*$U119*((1+Inputs!$D$7)^AR$2))),IF($N119=Lists!$K$3,IF($L119&lt;1,((($T119*(1-$F119)+$S119*(1-$G119))/$L119)*((1+Inputs!$D$7)^AR$2)),((INT(AR$2/$L119)-INT((AR$2-1)/$L119))*($T119*(1-$F119)+$S119*(1-$G119))*((1+Inputs!$D$7)^AR$2))),((_xlfn.WEIBULL.DIST(AR$2,$M119,$L119,FALSE)*($T119*(1-$F119)+$S119*(1-$G119))*((1+Inputs!$D$7)^AR$2))))))</f>
        <v>0</v>
      </c>
      <c r="AS119" s="88">
        <f>$E119*IF(AS$2&gt;Inputs!$D$5,0,IF(AS$2&gt;VLOOKUP($H119,Lists!$P$3:$Q$7,2),IF($N119=Lists!$K$3,IF($L119&lt;1,(($U119/$L119)*((1+Inputs!$D$7)^AS$2)),((INT(AS$2/$L119)-INT((AS$2-1)/$L119))*$U119*((1+Inputs!$D$7)^AS$2))),(_xlfn.WEIBULL.DIST(AS$2,$M119,$L119,FALSE)*$U119*((1+Inputs!$D$7)^AS$2))),IF($N119=Lists!$K$3,IF($L119&lt;1,((($T119*(1-$F119)+$S119*(1-$G119))/$L119)*((1+Inputs!$D$7)^AS$2)),((INT(AS$2/$L119)-INT((AS$2-1)/$L119))*($T119*(1-$F119)+$S119*(1-$G119))*((1+Inputs!$D$7)^AS$2))),((_xlfn.WEIBULL.DIST(AS$2,$M119,$L119,FALSE)*($T119*(1-$F119)+$S119*(1-$G119))*((1+Inputs!$D$7)^AS$2))))))</f>
        <v>0</v>
      </c>
      <c r="AT119" s="88">
        <f>$E119*IF(AT$2&gt;Inputs!$D$5,0,IF(AT$2&gt;VLOOKUP($H119,Lists!$P$3:$Q$7,2),IF($N119=Lists!$K$3,IF($L119&lt;1,(($U119/$L119)*((1+Inputs!$D$7)^AT$2)),((INT(AT$2/$L119)-INT((AT$2-1)/$L119))*$U119*((1+Inputs!$D$7)^AT$2))),(_xlfn.WEIBULL.DIST(AT$2,$M119,$L119,FALSE)*$U119*((1+Inputs!$D$7)^AT$2))),IF($N119=Lists!$K$3,IF($L119&lt;1,((($T119*(1-$F119)+$S119*(1-$G119))/$L119)*((1+Inputs!$D$7)^AT$2)),((INT(AT$2/$L119)-INT((AT$2-1)/$L119))*($T119*(1-$F119)+$S119*(1-$G119))*((1+Inputs!$D$7)^AT$2))),((_xlfn.WEIBULL.DIST(AT$2,$M119,$L119,FALSE)*($T119*(1-$F119)+$S119*(1-$G119))*((1+Inputs!$D$7)^AT$2))))))</f>
        <v>0</v>
      </c>
      <c r="AU119" s="88">
        <f>$E119*IF(AU$2&gt;Inputs!$D$5,0,IF(AU$2&gt;VLOOKUP($H119,Lists!$P$3:$Q$7,2),IF($N119=Lists!$K$3,IF($L119&lt;1,(($U119/$L119)*((1+Inputs!$D$7)^AU$2)),((INT(AU$2/$L119)-INT((AU$2-1)/$L119))*$U119*((1+Inputs!$D$7)^AU$2))),(_xlfn.WEIBULL.DIST(AU$2,$M119,$L119,FALSE)*$U119*((1+Inputs!$D$7)^AU$2))),IF($N119=Lists!$K$3,IF($L119&lt;1,((($T119*(1-$F119)+$S119*(1-$G119))/$L119)*((1+Inputs!$D$7)^AU$2)),((INT(AU$2/$L119)-INT((AU$2-1)/$L119))*($T119*(1-$F119)+$S119*(1-$G119))*((1+Inputs!$D$7)^AU$2))),((_xlfn.WEIBULL.DIST(AU$2,$M119,$L119,FALSE)*($T119*(1-$F119)+$S119*(1-$G119))*((1+Inputs!$D$7)^AU$2))))))</f>
        <v>0</v>
      </c>
      <c r="AV119" s="88">
        <f>$E119*IF(AV$2&gt;Inputs!$D$5,0,IF(AV$2&gt;VLOOKUP($H119,Lists!$P$3:$Q$7,2),IF($N119=Lists!$K$3,IF($L119&lt;1,(($U119/$L119)*((1+Inputs!$D$7)^AV$2)),((INT(AV$2/$L119)-INT((AV$2-1)/$L119))*$U119*((1+Inputs!$D$7)^AV$2))),(_xlfn.WEIBULL.DIST(AV$2,$M119,$L119,FALSE)*$U119*((1+Inputs!$D$7)^AV$2))),IF($N119=Lists!$K$3,IF($L119&lt;1,((($T119*(1-$F119)+$S119*(1-$G119))/$L119)*((1+Inputs!$D$7)^AV$2)),((INT(AV$2/$L119)-INT((AV$2-1)/$L119))*($T119*(1-$F119)+$S119*(1-$G119))*((1+Inputs!$D$7)^AV$2))),((_xlfn.WEIBULL.DIST(AV$2,$M119,$L119,FALSE)*($T119*(1-$F119)+$S119*(1-$G119))*((1+Inputs!$D$7)^AV$2))))))</f>
        <v>0</v>
      </c>
      <c r="AW119" s="88">
        <f>$E119*IF(AW$2&gt;Inputs!$D$5,0,IF(AW$2&gt;VLOOKUP($H119,Lists!$P$3:$Q$7,2),IF($N119=Lists!$K$3,IF($L119&lt;1,(($U119/$L119)*((1+Inputs!$D$7)^AW$2)),((INT(AW$2/$L119)-INT((AW$2-1)/$L119))*$U119*((1+Inputs!$D$7)^AW$2))),(_xlfn.WEIBULL.DIST(AW$2,$M119,$L119,FALSE)*$U119*((1+Inputs!$D$7)^AW$2))),IF($N119=Lists!$K$3,IF($L119&lt;1,((($T119*(1-$F119)+$S119*(1-$G119))/$L119)*((1+Inputs!$D$7)^AW$2)),((INT(AW$2/$L119)-INT((AW$2-1)/$L119))*($T119*(1-$F119)+$S119*(1-$G119))*((1+Inputs!$D$7)^AW$2))),((_xlfn.WEIBULL.DIST(AW$2,$M119,$L119,FALSE)*($T119*(1-$F119)+$S119*(1-$G119))*((1+Inputs!$D$7)^AW$2))))))</f>
        <v>0</v>
      </c>
      <c r="AX119" s="88">
        <f>$E119*IF(AX$2&gt;Inputs!$D$5,0,IF(AX$2&gt;VLOOKUP($H119,Lists!$P$3:$Q$7,2),IF($N119=Lists!$K$3,IF($L119&lt;1,(($U119/$L119)*((1+Inputs!$D$7)^AX$2)),((INT(AX$2/$L119)-INT((AX$2-1)/$L119))*$U119*((1+Inputs!$D$7)^AX$2))),(_xlfn.WEIBULL.DIST(AX$2,$M119,$L119,FALSE)*$U119*((1+Inputs!$D$7)^AX$2))),IF($N119=Lists!$K$3,IF($L119&lt;1,((($T119*(1-$F119)+$S119*(1-$G119))/$L119)*((1+Inputs!$D$7)^AX$2)),((INT(AX$2/$L119)-INT((AX$2-1)/$L119))*($T119*(1-$F119)+$S119*(1-$G119))*((1+Inputs!$D$7)^AX$2))),((_xlfn.WEIBULL.DIST(AX$2,$M119,$L119,FALSE)*($T119*(1-$F119)+$S119*(1-$G119))*((1+Inputs!$D$7)^AX$2))))))</f>
        <v>0</v>
      </c>
      <c r="AY119" s="88">
        <f>$E119*IF(AY$2&gt;Inputs!$D$5,0,IF(AY$2&gt;VLOOKUP($H119,Lists!$P$3:$Q$7,2),IF($N119=Lists!$K$3,IF($L119&lt;1,(($U119/$L119)*((1+Inputs!$D$7)^AY$2)),((INT(AY$2/$L119)-INT((AY$2-1)/$L119))*$U119*((1+Inputs!$D$7)^AY$2))),(_xlfn.WEIBULL.DIST(AY$2,$M119,$L119,FALSE)*$U119*((1+Inputs!$D$7)^AY$2))),IF($N119=Lists!$K$3,IF($L119&lt;1,((($T119*(1-$F119)+$S119*(1-$G119))/$L119)*((1+Inputs!$D$7)^AY$2)),((INT(AY$2/$L119)-INT((AY$2-1)/$L119))*($T119*(1-$F119)+$S119*(1-$G119))*((1+Inputs!$D$7)^AY$2))),((_xlfn.WEIBULL.DIST(AY$2,$M119,$L119,FALSE)*($T119*(1-$F119)+$S119*(1-$G119))*((1+Inputs!$D$7)^AY$2))))))</f>
        <v>0</v>
      </c>
      <c r="AZ119" s="88">
        <f>$E119*IF(AZ$2&gt;Inputs!$D$5,0,IF(AZ$2&gt;VLOOKUP($H119,Lists!$P$3:$Q$7,2),IF($N119=Lists!$K$3,IF($L119&lt;1,(($U119/$L119)*((1+Inputs!$D$7)^AZ$2)),((INT(AZ$2/$L119)-INT((AZ$2-1)/$L119))*$U119*((1+Inputs!$D$7)^AZ$2))),(_xlfn.WEIBULL.DIST(AZ$2,$M119,$L119,FALSE)*$U119*((1+Inputs!$D$7)^AZ$2))),IF($N119=Lists!$K$3,IF($L119&lt;1,((($T119*(1-$F119)+$S119*(1-$G119))/$L119)*((1+Inputs!$D$7)^AZ$2)),((INT(AZ$2/$L119)-INT((AZ$2-1)/$L119))*($T119*(1-$F119)+$S119*(1-$G119))*((1+Inputs!$D$7)^AZ$2))),((_xlfn.WEIBULL.DIST(AZ$2,$M119,$L119,FALSE)*($T119*(1-$F119)+$S119*(1-$G119))*((1+Inputs!$D$7)^AZ$2))))))</f>
        <v>0</v>
      </c>
      <c r="BA119" s="88">
        <f>$E119*IF(BA$2&gt;Inputs!$D$5,0,IF(BA$2&gt;VLOOKUP($H119,Lists!$P$3:$Q$7,2),IF($N119=Lists!$K$3,IF($L119&lt;1,(($U119/$L119)*((1+Inputs!$D$7)^BA$2)),((INT(BA$2/$L119)-INT((BA$2-1)/$L119))*$U119*((1+Inputs!$D$7)^BA$2))),(_xlfn.WEIBULL.DIST(BA$2,$M119,$L119,FALSE)*$U119*((1+Inputs!$D$7)^BA$2))),IF($N119=Lists!$K$3,IF($L119&lt;1,((($T119*(1-$F119)+$S119*(1-$G119))/$L119)*((1+Inputs!$D$7)^BA$2)),((INT(BA$2/$L119)-INT((BA$2-1)/$L119))*($T119*(1-$F119)+$S119*(1-$G119))*((1+Inputs!$D$7)^BA$2))),((_xlfn.WEIBULL.DIST(BA$2,$M119,$L119,FALSE)*($T119*(1-$F119)+$S119*(1-$G119))*((1+Inputs!$D$7)^BA$2))))))</f>
        <v>0</v>
      </c>
      <c r="BB119" s="88">
        <f>$E119*IF(BB$2&gt;Inputs!$D$5,0,IF(BB$2&gt;VLOOKUP($H119,Lists!$P$3:$Q$7,2),IF($N119=Lists!$K$3,IF($L119&lt;1,(($U119/$L119)*((1+Inputs!$D$7)^BB$2)),((INT(BB$2/$L119)-INT((BB$2-1)/$L119))*$U119*((1+Inputs!$D$7)^BB$2))),(_xlfn.WEIBULL.DIST(BB$2,$M119,$L119,FALSE)*$U119*((1+Inputs!$D$7)^BB$2))),IF($N119=Lists!$K$3,IF($L119&lt;1,((($T119*(1-$F119)+$S119*(1-$G119))/$L119)*((1+Inputs!$D$7)^BB$2)),((INT(BB$2/$L119)-INT((BB$2-1)/$L119))*($T119*(1-$F119)+$S119*(1-$G119))*((1+Inputs!$D$7)^BB$2))),((_xlfn.WEIBULL.DIST(BB$2,$M119,$L119,FALSE)*($T119*(1-$F119)+$S119*(1-$G119))*((1+Inputs!$D$7)^BB$2))))))</f>
        <v>0</v>
      </c>
      <c r="BC119" s="88">
        <f>$E119*IF(BC$2&gt;Inputs!$D$5,0,IF(BC$2&gt;VLOOKUP($H119,Lists!$P$3:$Q$7,2),IF($N119=Lists!$K$3,IF($L119&lt;1,(($U119/$L119)*((1+Inputs!$D$7)^BC$2)),((INT(BC$2/$L119)-INT((BC$2-1)/$L119))*$U119*((1+Inputs!$D$7)^BC$2))),(_xlfn.WEIBULL.DIST(BC$2,$M119,$L119,FALSE)*$U119*((1+Inputs!$D$7)^BC$2))),IF($N119=Lists!$K$3,IF($L119&lt;1,((($T119*(1-$F119)+$S119*(1-$G119))/$L119)*((1+Inputs!$D$7)^BC$2)),((INT(BC$2/$L119)-INT((BC$2-1)/$L119))*($T119*(1-$F119)+$S119*(1-$G119))*((1+Inputs!$D$7)^BC$2))),((_xlfn.WEIBULL.DIST(BC$2,$M119,$L119,FALSE)*($T119*(1-$F119)+$S119*(1-$G119))*((1+Inputs!$D$7)^BC$2))))))</f>
        <v>0</v>
      </c>
      <c r="BD119" s="88">
        <f>$E119*IF(BD$2&gt;Inputs!$D$5,0,IF(BD$2&gt;VLOOKUP($H119,Lists!$P$3:$Q$7,2),IF($N119=Lists!$K$3,IF($L119&lt;1,(($U119/$L119)*((1+Inputs!$D$7)^BD$2)),((INT(BD$2/$L119)-INT((BD$2-1)/$L119))*$U119*((1+Inputs!$D$7)^BD$2))),(_xlfn.WEIBULL.DIST(BD$2,$M119,$L119,FALSE)*$U119*((1+Inputs!$D$7)^BD$2))),IF($N119=Lists!$K$3,IF($L119&lt;1,((($T119*(1-$F119)+$S119*(1-$G119))/$L119)*((1+Inputs!$D$7)^BD$2)),((INT(BD$2/$L119)-INT((BD$2-1)/$L119))*($T119*(1-$F119)+$S119*(1-$G119))*((1+Inputs!$D$7)^BD$2))),((_xlfn.WEIBULL.DIST(BD$2,$M119,$L119,FALSE)*($T119*(1-$F119)+$S119*(1-$G119))*((1+Inputs!$D$7)^BD$2))))))</f>
        <v>0</v>
      </c>
      <c r="BE119" s="88">
        <f>$E119*IF(BE$2&gt;Inputs!$D$5,0,IF(BE$2&gt;VLOOKUP($H119,Lists!$P$3:$Q$7,2),IF($N119=Lists!$K$3,IF($L119&lt;1,(($U119/$L119)*((1+Inputs!$D$7)^BE$2)),((INT(BE$2/$L119)-INT((BE$2-1)/$L119))*$U119*((1+Inputs!$D$7)^BE$2))),(_xlfn.WEIBULL.DIST(BE$2,$M119,$L119,FALSE)*$U119*((1+Inputs!$D$7)^BE$2))),IF($N119=Lists!$K$3,IF($L119&lt;1,((($T119*(1-$F119)+$S119*(1-$G119))/$L119)*((1+Inputs!$D$7)^BE$2)),((INT(BE$2/$L119)-INT((BE$2-1)/$L119))*($T119*(1-$F119)+$S119*(1-$G119))*((1+Inputs!$D$7)^BE$2))),((_xlfn.WEIBULL.DIST(BE$2,$M119,$L119,FALSE)*($T119*(1-$F119)+$S119*(1-$G119))*((1+Inputs!$D$7)^BE$2))))))</f>
        <v>0</v>
      </c>
      <c r="BF119" s="88">
        <f>$E119*IF(BF$2&gt;Inputs!$D$5,0,IF(BF$2&gt;VLOOKUP($H119,Lists!$P$3:$Q$7,2),IF($N119=Lists!$K$3,IF($L119&lt;1,(($U119/$L119)*((1+Inputs!$D$7)^BF$2)),((INT(BF$2/$L119)-INT((BF$2-1)/$L119))*$U119*((1+Inputs!$D$7)^BF$2))),(_xlfn.WEIBULL.DIST(BF$2,$M119,$L119,FALSE)*$U119*((1+Inputs!$D$7)^BF$2))),IF($N119=Lists!$K$3,IF($L119&lt;1,((($T119*(1-$F119)+$S119*(1-$G119))/$L119)*((1+Inputs!$D$7)^BF$2)),((INT(BF$2/$L119)-INT((BF$2-1)/$L119))*($T119*(1-$F119)+$S119*(1-$G119))*((1+Inputs!$D$7)^BF$2))),((_xlfn.WEIBULL.DIST(BF$2,$M119,$L119,FALSE)*($T119*(1-$F119)+$S119*(1-$G119))*((1+Inputs!$D$7)^BF$2))))))</f>
        <v>0</v>
      </c>
      <c r="BG119" s="88">
        <f>$E119*IF(BG$2&gt;Inputs!$D$5,0,IF(BG$2&gt;VLOOKUP($H119,Lists!$P$3:$Q$7,2),IF($N119=Lists!$K$3,IF($L119&lt;1,(($U119/$L119)*((1+Inputs!$D$7)^BG$2)),((INT(BG$2/$L119)-INT((BG$2-1)/$L119))*$U119*((1+Inputs!$D$7)^BG$2))),(_xlfn.WEIBULL.DIST(BG$2,$M119,$L119,FALSE)*$U119*((1+Inputs!$D$7)^BG$2))),IF($N119=Lists!$K$3,IF($L119&lt;1,((($T119*(1-$F119)+$S119*(1-$G119))/$L119)*((1+Inputs!$D$7)^BG$2)),((INT(BG$2/$L119)-INT((BG$2-1)/$L119))*($T119*(1-$F119)+$S119*(1-$G119))*((1+Inputs!$D$7)^BG$2))),((_xlfn.WEIBULL.DIST(BG$2,$M119,$L119,FALSE)*($T119*(1-$F119)+$S119*(1-$G119))*((1+Inputs!$D$7)^BG$2))))))</f>
        <v>0</v>
      </c>
      <c r="BH119" s="88">
        <f>$E119*IF(BH$2&gt;Inputs!$D$5,0,IF(BH$2&gt;VLOOKUP($H119,Lists!$P$3:$Q$7,2),IF($N119=Lists!$K$3,IF($L119&lt;1,(($U119/$L119)*((1+Inputs!$D$7)^BH$2)),((INT(BH$2/$L119)-INT((BH$2-1)/$L119))*$U119*((1+Inputs!$D$7)^BH$2))),(_xlfn.WEIBULL.DIST(BH$2,$M119,$L119,FALSE)*$U119*((1+Inputs!$D$7)^BH$2))),IF($N119=Lists!$K$3,IF($L119&lt;1,((($T119*(1-$F119)+$S119*(1-$G119))/$L119)*((1+Inputs!$D$7)^BH$2)),((INT(BH$2/$L119)-INT((BH$2-1)/$L119))*($T119*(1-$F119)+$S119*(1-$G119))*((1+Inputs!$D$7)^BH$2))),((_xlfn.WEIBULL.DIST(BH$2,$M119,$L119,FALSE)*($T119*(1-$F119)+$S119*(1-$G119))*((1+Inputs!$D$7)^BH$2))))))</f>
        <v>0</v>
      </c>
      <c r="BI119" s="88">
        <f>$E119*IF(BI$2&gt;Inputs!$D$5,0,IF(BI$2&gt;VLOOKUP($H119,Lists!$P$3:$Q$7,2),IF($N119=Lists!$K$3,IF($L119&lt;1,(($U119/$L119)*((1+Inputs!$D$7)^BI$2)),((INT(BI$2/$L119)-INT((BI$2-1)/$L119))*$U119*((1+Inputs!$D$7)^BI$2))),(_xlfn.WEIBULL.DIST(BI$2,$M119,$L119,FALSE)*$U119*((1+Inputs!$D$7)^BI$2))),IF($N119=Lists!$K$3,IF($L119&lt;1,((($T119*(1-$F119)+$S119*(1-$G119))/$L119)*((1+Inputs!$D$7)^BI$2)),((INT(BI$2/$L119)-INT((BI$2-1)/$L119))*($T119*(1-$F119)+$S119*(1-$G119))*((1+Inputs!$D$7)^BI$2))),((_xlfn.WEIBULL.DIST(BI$2,$M119,$L119,FALSE)*($T119*(1-$F119)+$S119*(1-$G119))*((1+Inputs!$D$7)^BI$2))))))</f>
        <v>0</v>
      </c>
      <c r="BJ119" s="88">
        <f>$E119*IF(BJ$2&gt;Inputs!$D$5,0,IF(BJ$2&gt;VLOOKUP($H119,Lists!$P$3:$Q$7,2),IF($N119=Lists!$K$3,IF($L119&lt;1,(($U119/$L119)*((1+Inputs!$D$7)^BJ$2)),((INT(BJ$2/$L119)-INT((BJ$2-1)/$L119))*$U119*((1+Inputs!$D$7)^BJ$2))),(_xlfn.WEIBULL.DIST(BJ$2,$M119,$L119,FALSE)*$U119*((1+Inputs!$D$7)^BJ$2))),IF($N119=Lists!$K$3,IF($L119&lt;1,((($T119*(1-$F119)+$S119*(1-$G119))/$L119)*((1+Inputs!$D$7)^BJ$2)),((INT(BJ$2/$L119)-INT((BJ$2-1)/$L119))*($T119*(1-$F119)+$S119*(1-$G119))*((1+Inputs!$D$7)^BJ$2))),((_xlfn.WEIBULL.DIST(BJ$2,$M119,$L119,FALSE)*($T119*(1-$F119)+$S119*(1-$G119))*((1+Inputs!$D$7)^BJ$2))))))</f>
        <v>0</v>
      </c>
      <c r="BK119" s="88">
        <f>$E119*IF(BK$2&gt;Inputs!$D$5,0,IF(BK$2&gt;VLOOKUP($H119,Lists!$P$3:$Q$7,2),IF($N119=Lists!$K$3,IF($L119&lt;1,(($U119/$L119)*((1+Inputs!$D$7)^BK$2)),((INT(BK$2/$L119)-INT((BK$2-1)/$L119))*$U119*((1+Inputs!$D$7)^BK$2))),(_xlfn.WEIBULL.DIST(BK$2,$M119,$L119,FALSE)*$U119*((1+Inputs!$D$7)^BK$2))),IF($N119=Lists!$K$3,IF($L119&lt;1,((($T119*(1-$F119)+$S119*(1-$G119))/$L119)*((1+Inputs!$D$7)^BK$2)),((INT(BK$2/$L119)-INT((BK$2-1)/$L119))*($T119*(1-$F119)+$S119*(1-$G119))*((1+Inputs!$D$7)^BK$2))),((_xlfn.WEIBULL.DIST(BK$2,$M119,$L119,FALSE)*($T119*(1-$F119)+$S119*(1-$G119))*((1+Inputs!$D$7)^BK$2))))))</f>
        <v>0</v>
      </c>
      <c r="BL119" s="88">
        <f>$E119*IF(BL$2&gt;Inputs!$D$5,0,IF(BL$2&gt;VLOOKUP($H119,Lists!$P$3:$Q$7,2),IF($N119=Lists!$K$3,IF($L119&lt;1,(($U119/$L119)*((1+Inputs!$D$7)^BL$2)),((INT(BL$2/$L119)-INT((BL$2-1)/$L119))*$U119*((1+Inputs!$D$7)^BL$2))),(_xlfn.WEIBULL.DIST(BL$2,$M119,$L119,FALSE)*$U119*((1+Inputs!$D$7)^BL$2))),IF($N119=Lists!$K$3,IF($L119&lt;1,((($T119*(1-$F119)+$S119*(1-$G119))/$L119)*((1+Inputs!$D$7)^BL$2)),((INT(BL$2/$L119)-INT((BL$2-1)/$L119))*($T119*(1-$F119)+$S119*(1-$G119))*((1+Inputs!$D$7)^BL$2))),((_xlfn.WEIBULL.DIST(BL$2,$M119,$L119,FALSE)*($T119*(1-$F119)+$S119*(1-$G119))*((1+Inputs!$D$7)^BL$2))))))</f>
        <v>0</v>
      </c>
      <c r="BM119" s="88">
        <f>$E119*IF(BM$2&gt;Inputs!$D$5,0,IF(BM$2&gt;VLOOKUP($H119,Lists!$P$3:$Q$7,2),IF($N119=Lists!$K$3,IF($L119&lt;1,(($U119/$L119)*((1+Inputs!$D$7)^BM$2)),((INT(BM$2/$L119)-INT((BM$2-1)/$L119))*$U119*((1+Inputs!$D$7)^BM$2))),(_xlfn.WEIBULL.DIST(BM$2,$M119,$L119,FALSE)*$U119*((1+Inputs!$D$7)^BM$2))),IF($N119=Lists!$K$3,IF($L119&lt;1,((($T119*(1-$F119)+$S119*(1-$G119))/$L119)*((1+Inputs!$D$7)^BM$2)),((INT(BM$2/$L119)-INT((BM$2-1)/$L119))*($T119*(1-$F119)+$S119*(1-$G119))*((1+Inputs!$D$7)^BM$2))),((_xlfn.WEIBULL.DIST(BM$2,$M119,$L119,FALSE)*($T119*(1-$F119)+$S119*(1-$G119))*((1+Inputs!$D$7)^BM$2))))))</f>
        <v>0</v>
      </c>
      <c r="BN119" s="88">
        <f>$E119*IF(BN$2&gt;Inputs!$D$5,0,IF(BN$2&gt;VLOOKUP($H119,Lists!$P$3:$Q$7,2),IF($N119=Lists!$K$3,IF($L119&lt;1,(($U119/$L119)*((1+Inputs!$D$7)^BN$2)),((INT(BN$2/$L119)-INT((BN$2-1)/$L119))*$U119*((1+Inputs!$D$7)^BN$2))),(_xlfn.WEIBULL.DIST(BN$2,$M119,$L119,FALSE)*$U119*((1+Inputs!$D$7)^BN$2))),IF($N119=Lists!$K$3,IF($L119&lt;1,((($T119*(1-$F119)+$S119*(1-$G119))/$L119)*((1+Inputs!$D$7)^BN$2)),((INT(BN$2/$L119)-INT((BN$2-1)/$L119))*($T119*(1-$F119)+$S119*(1-$G119))*((1+Inputs!$D$7)^BN$2))),((_xlfn.WEIBULL.DIST(BN$2,$M119,$L119,FALSE)*($T119*(1-$F119)+$S119*(1-$G119))*((1+Inputs!$D$7)^BN$2))))))</f>
        <v>0</v>
      </c>
      <c r="BO119" s="64">
        <f>NPV(Inputs!$D$6,BQ119:DD119)</f>
        <v>0</v>
      </c>
      <c r="BP119" s="67">
        <f t="shared" si="27"/>
        <v>0</v>
      </c>
      <c r="BQ119" s="88">
        <f>MAX(AA119,($E119*IF(BQ$2&gt;Inputs!$D$5,0,IF(BQ$2&gt;VLOOKUP($H119,Lists!$P$3:$Q$7,2),IF($N119=Lists!$K$3,IF($L119&lt;1,(($U119/$L119)*((1+Inputs!$D$7)^BQ$2)),((INT(BQ$2/$L119)-INT((BQ$2-1)/$L119))*$U119*((1+Inputs!$D$7)^BQ$2))),(Inputs!$D$8^((1-_xlfn.WEIBULL.DIST(BQ$2,$M119,$L119,FALSE))/_xlfn.WEIBULL.DIST(BQ$2,$M119,$L119,FALSE))*$U119*((1+Inputs!$D$7)^BQ$2))),IF($N119=Lists!$K$3,IF($L119&lt;1,((($T119*(1-$F119)+$S119*(1-$G119))/$L119)*((1+Inputs!$D$7)^BQ$2)),((INT(BQ$2/$L119)-INT((BQ$2-1)/$L119))*($T119*(1-$F119)+$S119*(1-$G119))*((1+Inputs!$D$7)^BQ$2))),((Inputs!$D$8^((1-_xlfn.WEIBULL.DIST(BQ$2,$M119,$L119,FALSE))/_xlfn.WEIBULL.DIST(BQ$2,$M119,$L119,FALSE))*($T119*(1-$F119)+$S119*(1-$G119))*((1+Inputs!$D$7)^BQ$2))))))))</f>
        <v>0</v>
      </c>
      <c r="BR119" s="88">
        <f>MAX(AB119,($E119*IF(BR$2&gt;Inputs!$D$5,0,IF(BR$2&gt;VLOOKUP($H119,Lists!$P$3:$Q$7,2),IF($N119=Lists!$K$3,IF($L119&lt;1,(($U119/$L119)*((1+Inputs!$D$7)^BR$2)),((INT(BR$2/$L119)-INT((BR$2-1)/$L119))*$U119*((1+Inputs!$D$7)^BR$2))),(Inputs!$D$8^((1-_xlfn.WEIBULL.DIST(BR$2,$M119,$L119,FALSE))/_xlfn.WEIBULL.DIST(BR$2,$M119,$L119,FALSE))*$U119*((1+Inputs!$D$7)^BR$2))),IF($N119=Lists!$K$3,IF($L119&lt;1,((($T119*(1-$F119)+$S119*(1-$G119))/$L119)*((1+Inputs!$D$7)^BR$2)),((INT(BR$2/$L119)-INT((BR$2-1)/$L119))*($T119*(1-$F119)+$S119*(1-$G119))*((1+Inputs!$D$7)^BR$2))),((Inputs!$D$8^((1-_xlfn.WEIBULL.DIST(BR$2,$M119,$L119,FALSE))/_xlfn.WEIBULL.DIST(BR$2,$M119,$L119,FALSE))*($T119*(1-$F119)+$S119*(1-$G119))*((1+Inputs!$D$7)^BR$2))))))))</f>
        <v>0</v>
      </c>
      <c r="BS119" s="88">
        <f>MAX(AC119,($E119*IF(BS$2&gt;Inputs!$D$5,0,IF(BS$2&gt;VLOOKUP($H119,Lists!$P$3:$Q$7,2),IF($N119=Lists!$K$3,IF($L119&lt;1,(($U119/$L119)*((1+Inputs!$D$7)^BS$2)),((INT(BS$2/$L119)-INT((BS$2-1)/$L119))*$U119*((1+Inputs!$D$7)^BS$2))),(Inputs!$D$8^((1-_xlfn.WEIBULL.DIST(BS$2,$M119,$L119,FALSE))/_xlfn.WEIBULL.DIST(BS$2,$M119,$L119,FALSE))*$U119*((1+Inputs!$D$7)^BS$2))),IF($N119=Lists!$K$3,IF($L119&lt;1,((($T119*(1-$F119)+$S119*(1-$G119))/$L119)*((1+Inputs!$D$7)^BS$2)),((INT(BS$2/$L119)-INT((BS$2-1)/$L119))*($T119*(1-$F119)+$S119*(1-$G119))*((1+Inputs!$D$7)^BS$2))),((Inputs!$D$8^((1-_xlfn.WEIBULL.DIST(BS$2,$M119,$L119,FALSE))/_xlfn.WEIBULL.DIST(BS$2,$M119,$L119,FALSE))*($T119*(1-$F119)+$S119*(1-$G119))*((1+Inputs!$D$7)^BS$2))))))))</f>
        <v>0</v>
      </c>
      <c r="BT119" s="88">
        <f>MAX(AD119,($E119*IF(BT$2&gt;Inputs!$D$5,0,IF(BT$2&gt;VLOOKUP($H119,Lists!$P$3:$Q$7,2),IF($N119=Lists!$K$3,IF($L119&lt;1,(($U119/$L119)*((1+Inputs!$D$7)^BT$2)),((INT(BT$2/$L119)-INT((BT$2-1)/$L119))*$U119*((1+Inputs!$D$7)^BT$2))),(Inputs!$D$8^((1-_xlfn.WEIBULL.DIST(BT$2,$M119,$L119,FALSE))/_xlfn.WEIBULL.DIST(BT$2,$M119,$L119,FALSE))*$U119*((1+Inputs!$D$7)^BT$2))),IF($N119=Lists!$K$3,IF($L119&lt;1,((($T119*(1-$F119)+$S119*(1-$G119))/$L119)*((1+Inputs!$D$7)^BT$2)),((INT(BT$2/$L119)-INT((BT$2-1)/$L119))*($T119*(1-$F119)+$S119*(1-$G119))*((1+Inputs!$D$7)^BT$2))),((Inputs!$D$8^((1-_xlfn.WEIBULL.DIST(BT$2,$M119,$L119,FALSE))/_xlfn.WEIBULL.DIST(BT$2,$M119,$L119,FALSE))*($T119*(1-$F119)+$S119*(1-$G119))*((1+Inputs!$D$7)^BT$2))))))))</f>
        <v>0</v>
      </c>
      <c r="BU119" s="88">
        <f>MAX(AE119,($E119*IF(BU$2&gt;Inputs!$D$5,0,IF(BU$2&gt;VLOOKUP($H119,Lists!$P$3:$Q$7,2),IF($N119=Lists!$K$3,IF($L119&lt;1,(($U119/$L119)*((1+Inputs!$D$7)^BU$2)),((INT(BU$2/$L119)-INT((BU$2-1)/$L119))*$U119*((1+Inputs!$D$7)^BU$2))),(Inputs!$D$8^((1-_xlfn.WEIBULL.DIST(BU$2,$M119,$L119,FALSE))/_xlfn.WEIBULL.DIST(BU$2,$M119,$L119,FALSE))*$U119*((1+Inputs!$D$7)^BU$2))),IF($N119=Lists!$K$3,IF($L119&lt;1,((($T119*(1-$F119)+$S119*(1-$G119))/$L119)*((1+Inputs!$D$7)^BU$2)),((INT(BU$2/$L119)-INT((BU$2-1)/$L119))*($T119*(1-$F119)+$S119*(1-$G119))*((1+Inputs!$D$7)^BU$2))),((Inputs!$D$8^((1-_xlfn.WEIBULL.DIST(BU$2,$M119,$L119,FALSE))/_xlfn.WEIBULL.DIST(BU$2,$M119,$L119,FALSE))*($T119*(1-$F119)+$S119*(1-$G119))*((1+Inputs!$D$7)^BU$2))))))))</f>
        <v>0</v>
      </c>
      <c r="BV119" s="88">
        <f>MAX(AF119,($E119*IF(BV$2&gt;Inputs!$D$5,0,IF(BV$2&gt;VLOOKUP($H119,Lists!$P$3:$Q$7,2),IF($N119=Lists!$K$3,IF($L119&lt;1,(($U119/$L119)*((1+Inputs!$D$7)^BV$2)),((INT(BV$2/$L119)-INT((BV$2-1)/$L119))*$U119*((1+Inputs!$D$7)^BV$2))),(Inputs!$D$8^((1-_xlfn.WEIBULL.DIST(BV$2,$M119,$L119,FALSE))/_xlfn.WEIBULL.DIST(BV$2,$M119,$L119,FALSE))*$U119*((1+Inputs!$D$7)^BV$2))),IF($N119=Lists!$K$3,IF($L119&lt;1,((($T119*(1-$F119)+$S119*(1-$G119))/$L119)*((1+Inputs!$D$7)^BV$2)),((INT(BV$2/$L119)-INT((BV$2-1)/$L119))*($T119*(1-$F119)+$S119*(1-$G119))*((1+Inputs!$D$7)^BV$2))),((Inputs!$D$8^((1-_xlfn.WEIBULL.DIST(BV$2,$M119,$L119,FALSE))/_xlfn.WEIBULL.DIST(BV$2,$M119,$L119,FALSE))*($T119*(1-$F119)+$S119*(1-$G119))*((1+Inputs!$D$7)^BV$2))))))))</f>
        <v>0</v>
      </c>
      <c r="BW119" s="88">
        <f>MAX(AG119,($E119*IF(BW$2&gt;Inputs!$D$5,0,IF(BW$2&gt;VLOOKUP($H119,Lists!$P$3:$Q$7,2),IF($N119=Lists!$K$3,IF($L119&lt;1,(($U119/$L119)*((1+Inputs!$D$7)^BW$2)),((INT(BW$2/$L119)-INT((BW$2-1)/$L119))*$U119*((1+Inputs!$D$7)^BW$2))),(Inputs!$D$8^((1-_xlfn.WEIBULL.DIST(BW$2,$M119,$L119,FALSE))/_xlfn.WEIBULL.DIST(BW$2,$M119,$L119,FALSE))*$U119*((1+Inputs!$D$7)^BW$2))),IF($N119=Lists!$K$3,IF($L119&lt;1,((($T119*(1-$F119)+$S119*(1-$G119))/$L119)*((1+Inputs!$D$7)^BW$2)),((INT(BW$2/$L119)-INT((BW$2-1)/$L119))*($T119*(1-$F119)+$S119*(1-$G119))*((1+Inputs!$D$7)^BW$2))),((Inputs!$D$8^((1-_xlfn.WEIBULL.DIST(BW$2,$M119,$L119,FALSE))/_xlfn.WEIBULL.DIST(BW$2,$M119,$L119,FALSE))*($T119*(1-$F119)+$S119*(1-$G119))*((1+Inputs!$D$7)^BW$2))))))))</f>
        <v>0</v>
      </c>
      <c r="BX119" s="88">
        <f>MAX(AH119,($E119*IF(BX$2&gt;Inputs!$D$5,0,IF(BX$2&gt;VLOOKUP($H119,Lists!$P$3:$Q$7,2),IF($N119=Lists!$K$3,IF($L119&lt;1,(($U119/$L119)*((1+Inputs!$D$7)^BX$2)),((INT(BX$2/$L119)-INT((BX$2-1)/$L119))*$U119*((1+Inputs!$D$7)^BX$2))),(Inputs!$D$8^((1-_xlfn.WEIBULL.DIST(BX$2,$M119,$L119,FALSE))/_xlfn.WEIBULL.DIST(BX$2,$M119,$L119,FALSE))*$U119*((1+Inputs!$D$7)^BX$2))),IF($N119=Lists!$K$3,IF($L119&lt;1,((($T119*(1-$F119)+$S119*(1-$G119))/$L119)*((1+Inputs!$D$7)^BX$2)),((INT(BX$2/$L119)-INT((BX$2-1)/$L119))*($T119*(1-$F119)+$S119*(1-$G119))*((1+Inputs!$D$7)^BX$2))),((Inputs!$D$8^((1-_xlfn.WEIBULL.DIST(BX$2,$M119,$L119,FALSE))/_xlfn.WEIBULL.DIST(BX$2,$M119,$L119,FALSE))*($T119*(1-$F119)+$S119*(1-$G119))*((1+Inputs!$D$7)^BX$2))))))))</f>
        <v>0</v>
      </c>
      <c r="BY119" s="88">
        <f>MAX(AI119,($E119*IF(BY$2&gt;Inputs!$D$5,0,IF(BY$2&gt;VLOOKUP($H119,Lists!$P$3:$Q$7,2),IF($N119=Lists!$K$3,IF($L119&lt;1,(($U119/$L119)*((1+Inputs!$D$7)^BY$2)),((INT(BY$2/$L119)-INT((BY$2-1)/$L119))*$U119*((1+Inputs!$D$7)^BY$2))),(Inputs!$D$8^((1-_xlfn.WEIBULL.DIST(BY$2,$M119,$L119,FALSE))/_xlfn.WEIBULL.DIST(BY$2,$M119,$L119,FALSE))*$U119*((1+Inputs!$D$7)^BY$2))),IF($N119=Lists!$K$3,IF($L119&lt;1,((($T119*(1-$F119)+$S119*(1-$G119))/$L119)*((1+Inputs!$D$7)^BY$2)),((INT(BY$2/$L119)-INT((BY$2-1)/$L119))*($T119*(1-$F119)+$S119*(1-$G119))*((1+Inputs!$D$7)^BY$2))),((Inputs!$D$8^((1-_xlfn.WEIBULL.DIST(BY$2,$M119,$L119,FALSE))/_xlfn.WEIBULL.DIST(BY$2,$M119,$L119,FALSE))*($T119*(1-$F119)+$S119*(1-$G119))*((1+Inputs!$D$7)^BY$2))))))))</f>
        <v>0</v>
      </c>
      <c r="BZ119" s="88">
        <f>MAX(AJ119,($E119*IF(BZ$2&gt;Inputs!$D$5,0,IF(BZ$2&gt;VLOOKUP($H119,Lists!$P$3:$Q$7,2),IF($N119=Lists!$K$3,IF($L119&lt;1,(($U119/$L119)*((1+Inputs!$D$7)^BZ$2)),((INT(BZ$2/$L119)-INT((BZ$2-1)/$L119))*$U119*((1+Inputs!$D$7)^BZ$2))),(Inputs!$D$8^((1-_xlfn.WEIBULL.DIST(BZ$2,$M119,$L119,FALSE))/_xlfn.WEIBULL.DIST(BZ$2,$M119,$L119,FALSE))*$U119*((1+Inputs!$D$7)^BZ$2))),IF($N119=Lists!$K$3,IF($L119&lt;1,((($T119*(1-$F119)+$S119*(1-$G119))/$L119)*((1+Inputs!$D$7)^BZ$2)),((INT(BZ$2/$L119)-INT((BZ$2-1)/$L119))*($T119*(1-$F119)+$S119*(1-$G119))*((1+Inputs!$D$7)^BZ$2))),((Inputs!$D$8^((1-_xlfn.WEIBULL.DIST(BZ$2,$M119,$L119,FALSE))/_xlfn.WEIBULL.DIST(BZ$2,$M119,$L119,FALSE))*($T119*(1-$F119)+$S119*(1-$G119))*((1+Inputs!$D$7)^BZ$2))))))))</f>
        <v>0</v>
      </c>
      <c r="CA119" s="88">
        <f>MAX(AK119,($E119*IF(CA$2&gt;Inputs!$D$5,0,IF(CA$2&gt;VLOOKUP($H119,Lists!$P$3:$Q$7,2),IF($N119=Lists!$K$3,IF($L119&lt;1,(($U119/$L119)*((1+Inputs!$D$7)^CA$2)),((INT(CA$2/$L119)-INT((CA$2-1)/$L119))*$U119*((1+Inputs!$D$7)^CA$2))),(Inputs!$D$8^((1-_xlfn.WEIBULL.DIST(CA$2,$M119,$L119,FALSE))/_xlfn.WEIBULL.DIST(CA$2,$M119,$L119,FALSE))*$U119*((1+Inputs!$D$7)^CA$2))),IF($N119=Lists!$K$3,IF($L119&lt;1,((($T119*(1-$F119)+$S119*(1-$G119))/$L119)*((1+Inputs!$D$7)^CA$2)),((INT(CA$2/$L119)-INT((CA$2-1)/$L119))*($T119*(1-$F119)+$S119*(1-$G119))*((1+Inputs!$D$7)^CA$2))),((Inputs!$D$8^((1-_xlfn.WEIBULL.DIST(CA$2,$M119,$L119,FALSE))/_xlfn.WEIBULL.DIST(CA$2,$M119,$L119,FALSE))*($T119*(1-$F119)+$S119*(1-$G119))*((1+Inputs!$D$7)^CA$2))))))))</f>
        <v>0</v>
      </c>
      <c r="CB119" s="88">
        <f>MAX(AL119,($E119*IF(CB$2&gt;Inputs!$D$5,0,IF(CB$2&gt;VLOOKUP($H119,Lists!$P$3:$Q$7,2),IF($N119=Lists!$K$3,IF($L119&lt;1,(($U119/$L119)*((1+Inputs!$D$7)^CB$2)),((INT(CB$2/$L119)-INT((CB$2-1)/$L119))*$U119*((1+Inputs!$D$7)^CB$2))),(Inputs!$D$8^((1-_xlfn.WEIBULL.DIST(CB$2,$M119,$L119,FALSE))/_xlfn.WEIBULL.DIST(CB$2,$M119,$L119,FALSE))*$U119*((1+Inputs!$D$7)^CB$2))),IF($N119=Lists!$K$3,IF($L119&lt;1,((($T119*(1-$F119)+$S119*(1-$G119))/$L119)*((1+Inputs!$D$7)^CB$2)),((INT(CB$2/$L119)-INT((CB$2-1)/$L119))*($T119*(1-$F119)+$S119*(1-$G119))*((1+Inputs!$D$7)^CB$2))),((Inputs!$D$8^((1-_xlfn.WEIBULL.DIST(CB$2,$M119,$L119,FALSE))/_xlfn.WEIBULL.DIST(CB$2,$M119,$L119,FALSE))*($T119*(1-$F119)+$S119*(1-$G119))*((1+Inputs!$D$7)^CB$2))))))))</f>
        <v>0</v>
      </c>
      <c r="CC119" s="88">
        <f>MAX(AM119,($E119*IF(CC$2&gt;Inputs!$D$5,0,IF(CC$2&gt;VLOOKUP($H119,Lists!$P$3:$Q$7,2),IF($N119=Lists!$K$3,IF($L119&lt;1,(($U119/$L119)*((1+Inputs!$D$7)^CC$2)),((INT(CC$2/$L119)-INT((CC$2-1)/$L119))*$U119*((1+Inputs!$D$7)^CC$2))),(Inputs!$D$8^((1-_xlfn.WEIBULL.DIST(CC$2,$M119,$L119,FALSE))/_xlfn.WEIBULL.DIST(CC$2,$M119,$L119,FALSE))*$U119*((1+Inputs!$D$7)^CC$2))),IF($N119=Lists!$K$3,IF($L119&lt;1,((($T119*(1-$F119)+$S119*(1-$G119))/$L119)*((1+Inputs!$D$7)^CC$2)),((INT(CC$2/$L119)-INT((CC$2-1)/$L119))*($T119*(1-$F119)+$S119*(1-$G119))*((1+Inputs!$D$7)^CC$2))),((Inputs!$D$8^((1-_xlfn.WEIBULL.DIST(CC$2,$M119,$L119,FALSE))/_xlfn.WEIBULL.DIST(CC$2,$M119,$L119,FALSE))*($T119*(1-$F119)+$S119*(1-$G119))*((1+Inputs!$D$7)^CC$2))))))))</f>
        <v>0</v>
      </c>
      <c r="CD119" s="88">
        <f>MAX(AN119,($E119*IF(CD$2&gt;Inputs!$D$5,0,IF(CD$2&gt;VLOOKUP($H119,Lists!$P$3:$Q$7,2),IF($N119=Lists!$K$3,IF($L119&lt;1,(($U119/$L119)*((1+Inputs!$D$7)^CD$2)),((INT(CD$2/$L119)-INT((CD$2-1)/$L119))*$U119*((1+Inputs!$D$7)^CD$2))),(Inputs!$D$8^((1-_xlfn.WEIBULL.DIST(CD$2,$M119,$L119,FALSE))/_xlfn.WEIBULL.DIST(CD$2,$M119,$L119,FALSE))*$U119*((1+Inputs!$D$7)^CD$2))),IF($N119=Lists!$K$3,IF($L119&lt;1,((($T119*(1-$F119)+$S119*(1-$G119))/$L119)*((1+Inputs!$D$7)^CD$2)),((INT(CD$2/$L119)-INT((CD$2-1)/$L119))*($T119*(1-$F119)+$S119*(1-$G119))*((1+Inputs!$D$7)^CD$2))),((Inputs!$D$8^((1-_xlfn.WEIBULL.DIST(CD$2,$M119,$L119,FALSE))/_xlfn.WEIBULL.DIST(CD$2,$M119,$L119,FALSE))*($T119*(1-$F119)+$S119*(1-$G119))*((1+Inputs!$D$7)^CD$2))))))))</f>
        <v>0</v>
      </c>
      <c r="CE119" s="88">
        <f>MAX(AO119,($E119*IF(CE$2&gt;Inputs!$D$5,0,IF(CE$2&gt;VLOOKUP($H119,Lists!$P$3:$Q$7,2),IF($N119=Lists!$K$3,IF($L119&lt;1,(($U119/$L119)*((1+Inputs!$D$7)^CE$2)),((INT(CE$2/$L119)-INT((CE$2-1)/$L119))*$U119*((1+Inputs!$D$7)^CE$2))),(Inputs!$D$8^((1-_xlfn.WEIBULL.DIST(CE$2,$M119,$L119,FALSE))/_xlfn.WEIBULL.DIST(CE$2,$M119,$L119,FALSE))*$U119*((1+Inputs!$D$7)^CE$2))),IF($N119=Lists!$K$3,IF($L119&lt;1,((($T119*(1-$F119)+$S119*(1-$G119))/$L119)*((1+Inputs!$D$7)^CE$2)),((INT(CE$2/$L119)-INT((CE$2-1)/$L119))*($T119*(1-$F119)+$S119*(1-$G119))*((1+Inputs!$D$7)^CE$2))),((Inputs!$D$8^((1-_xlfn.WEIBULL.DIST(CE$2,$M119,$L119,FALSE))/_xlfn.WEIBULL.DIST(CE$2,$M119,$L119,FALSE))*($T119*(1-$F119)+$S119*(1-$G119))*((1+Inputs!$D$7)^CE$2))))))))</f>
        <v>0</v>
      </c>
      <c r="CF119" s="88">
        <f>MAX(AP119,($E119*IF(CF$2&gt;Inputs!$D$5,0,IF(CF$2&gt;VLOOKUP($H119,Lists!$P$3:$Q$7,2),IF($N119=Lists!$K$3,IF($L119&lt;1,(($U119/$L119)*((1+Inputs!$D$7)^CF$2)),((INT(CF$2/$L119)-INT((CF$2-1)/$L119))*$U119*((1+Inputs!$D$7)^CF$2))),(Inputs!$D$8^((1-_xlfn.WEIBULL.DIST(CF$2,$M119,$L119,FALSE))/_xlfn.WEIBULL.DIST(CF$2,$M119,$L119,FALSE))*$U119*((1+Inputs!$D$7)^CF$2))),IF($N119=Lists!$K$3,IF($L119&lt;1,((($T119*(1-$F119)+$S119*(1-$G119))/$L119)*((1+Inputs!$D$7)^CF$2)),((INT(CF$2/$L119)-INT((CF$2-1)/$L119))*($T119*(1-$F119)+$S119*(1-$G119))*((1+Inputs!$D$7)^CF$2))),((Inputs!$D$8^((1-_xlfn.WEIBULL.DIST(CF$2,$M119,$L119,FALSE))/_xlfn.WEIBULL.DIST(CF$2,$M119,$L119,FALSE))*($T119*(1-$F119)+$S119*(1-$G119))*((1+Inputs!$D$7)^CF$2))))))))</f>
        <v>0</v>
      </c>
      <c r="CG119" s="88">
        <f>MAX(AQ119,($E119*IF(CG$2&gt;Inputs!$D$5,0,IF(CG$2&gt;VLOOKUP($H119,Lists!$P$3:$Q$7,2),IF($N119=Lists!$K$3,IF($L119&lt;1,(($U119/$L119)*((1+Inputs!$D$7)^CG$2)),((INT(CG$2/$L119)-INT((CG$2-1)/$L119))*$U119*((1+Inputs!$D$7)^CG$2))),(Inputs!$D$8^((1-_xlfn.WEIBULL.DIST(CG$2,$M119,$L119,FALSE))/_xlfn.WEIBULL.DIST(CG$2,$M119,$L119,FALSE))*$U119*((1+Inputs!$D$7)^CG$2))),IF($N119=Lists!$K$3,IF($L119&lt;1,((($T119*(1-$F119)+$S119*(1-$G119))/$L119)*((1+Inputs!$D$7)^CG$2)),((INT(CG$2/$L119)-INT((CG$2-1)/$L119))*($T119*(1-$F119)+$S119*(1-$G119))*((1+Inputs!$D$7)^CG$2))),((Inputs!$D$8^((1-_xlfn.WEIBULL.DIST(CG$2,$M119,$L119,FALSE))/_xlfn.WEIBULL.DIST(CG$2,$M119,$L119,FALSE))*($T119*(1-$F119)+$S119*(1-$G119))*((1+Inputs!$D$7)^CG$2))))))))</f>
        <v>0</v>
      </c>
      <c r="CH119" s="88">
        <f>MAX(AR119,($E119*IF(CH$2&gt;Inputs!$D$5,0,IF(CH$2&gt;VLOOKUP($H119,Lists!$P$3:$Q$7,2),IF($N119=Lists!$K$3,IF($L119&lt;1,(($U119/$L119)*((1+Inputs!$D$7)^CH$2)),((INT(CH$2/$L119)-INT((CH$2-1)/$L119))*$U119*((1+Inputs!$D$7)^CH$2))),(Inputs!$D$8^((1-_xlfn.WEIBULL.DIST(CH$2,$M119,$L119,FALSE))/_xlfn.WEIBULL.DIST(CH$2,$M119,$L119,FALSE))*$U119*((1+Inputs!$D$7)^CH$2))),IF($N119=Lists!$K$3,IF($L119&lt;1,((($T119*(1-$F119)+$S119*(1-$G119))/$L119)*((1+Inputs!$D$7)^CH$2)),((INT(CH$2/$L119)-INT((CH$2-1)/$L119))*($T119*(1-$F119)+$S119*(1-$G119))*((1+Inputs!$D$7)^CH$2))),((Inputs!$D$8^((1-_xlfn.WEIBULL.DIST(CH$2,$M119,$L119,FALSE))/_xlfn.WEIBULL.DIST(CH$2,$M119,$L119,FALSE))*($T119*(1-$F119)+$S119*(1-$G119))*((1+Inputs!$D$7)^CH$2))))))))</f>
        <v>0</v>
      </c>
      <c r="CI119" s="88">
        <f>MAX(AS119,($E119*IF(CI$2&gt;Inputs!$D$5,0,IF(CI$2&gt;VLOOKUP($H119,Lists!$P$3:$Q$7,2),IF($N119=Lists!$K$3,IF($L119&lt;1,(($U119/$L119)*((1+Inputs!$D$7)^CI$2)),((INT(CI$2/$L119)-INT((CI$2-1)/$L119))*$U119*((1+Inputs!$D$7)^CI$2))),(Inputs!$D$8^((1-_xlfn.WEIBULL.DIST(CI$2,$M119,$L119,FALSE))/_xlfn.WEIBULL.DIST(CI$2,$M119,$L119,FALSE))*$U119*((1+Inputs!$D$7)^CI$2))),IF($N119=Lists!$K$3,IF($L119&lt;1,((($T119*(1-$F119)+$S119*(1-$G119))/$L119)*((1+Inputs!$D$7)^CI$2)),((INT(CI$2/$L119)-INT((CI$2-1)/$L119))*($T119*(1-$F119)+$S119*(1-$G119))*((1+Inputs!$D$7)^CI$2))),((Inputs!$D$8^((1-_xlfn.WEIBULL.DIST(CI$2,$M119,$L119,FALSE))/_xlfn.WEIBULL.DIST(CI$2,$M119,$L119,FALSE))*($T119*(1-$F119)+$S119*(1-$G119))*((1+Inputs!$D$7)^CI$2))))))))</f>
        <v>0</v>
      </c>
      <c r="CJ119" s="88">
        <f>MAX(AT119,($E119*IF(CJ$2&gt;Inputs!$D$5,0,IF(CJ$2&gt;VLOOKUP($H119,Lists!$P$3:$Q$7,2),IF($N119=Lists!$K$3,IF($L119&lt;1,(($U119/$L119)*((1+Inputs!$D$7)^CJ$2)),((INT(CJ$2/$L119)-INT((CJ$2-1)/$L119))*$U119*((1+Inputs!$D$7)^CJ$2))),(Inputs!$D$8^((1-_xlfn.WEIBULL.DIST(CJ$2,$M119,$L119,FALSE))/_xlfn.WEIBULL.DIST(CJ$2,$M119,$L119,FALSE))*$U119*((1+Inputs!$D$7)^CJ$2))),IF($N119=Lists!$K$3,IF($L119&lt;1,((($T119*(1-$F119)+$S119*(1-$G119))/$L119)*((1+Inputs!$D$7)^CJ$2)),((INT(CJ$2/$L119)-INT((CJ$2-1)/$L119))*($T119*(1-$F119)+$S119*(1-$G119))*((1+Inputs!$D$7)^CJ$2))),((Inputs!$D$8^((1-_xlfn.WEIBULL.DIST(CJ$2,$M119,$L119,FALSE))/_xlfn.WEIBULL.DIST(CJ$2,$M119,$L119,FALSE))*($T119*(1-$F119)+$S119*(1-$G119))*((1+Inputs!$D$7)^CJ$2))))))))</f>
        <v>0</v>
      </c>
      <c r="CK119" s="88">
        <f>MAX(AU119,($E119*IF(CK$2&gt;Inputs!$D$5,0,IF(CK$2&gt;VLOOKUP($H119,Lists!$P$3:$Q$7,2),IF($N119=Lists!$K$3,IF($L119&lt;1,(($U119/$L119)*((1+Inputs!$D$7)^CK$2)),((INT(CK$2/$L119)-INT((CK$2-1)/$L119))*$U119*((1+Inputs!$D$7)^CK$2))),(Inputs!$D$8^((1-_xlfn.WEIBULL.DIST(CK$2,$M119,$L119,FALSE))/_xlfn.WEIBULL.DIST(CK$2,$M119,$L119,FALSE))*$U119*((1+Inputs!$D$7)^CK$2))),IF($N119=Lists!$K$3,IF($L119&lt;1,((($T119*(1-$F119)+$S119*(1-$G119))/$L119)*((1+Inputs!$D$7)^CK$2)),((INT(CK$2/$L119)-INT((CK$2-1)/$L119))*($T119*(1-$F119)+$S119*(1-$G119))*((1+Inputs!$D$7)^CK$2))),((Inputs!$D$8^((1-_xlfn.WEIBULL.DIST(CK$2,$M119,$L119,FALSE))/_xlfn.WEIBULL.DIST(CK$2,$M119,$L119,FALSE))*($T119*(1-$F119)+$S119*(1-$G119))*((1+Inputs!$D$7)^CK$2))))))))</f>
        <v>0</v>
      </c>
      <c r="CL119" s="88">
        <f>MAX(AV119,($E119*IF(CL$2&gt;Inputs!$D$5,0,IF(CL$2&gt;VLOOKUP($H119,Lists!$P$3:$Q$7,2),IF($N119=Lists!$K$3,IF($L119&lt;1,(($U119/$L119)*((1+Inputs!$D$7)^CL$2)),((INT(CL$2/$L119)-INT((CL$2-1)/$L119))*$U119*((1+Inputs!$D$7)^CL$2))),(Inputs!$D$8^((1-_xlfn.WEIBULL.DIST(CL$2,$M119,$L119,FALSE))/_xlfn.WEIBULL.DIST(CL$2,$M119,$L119,FALSE))*$U119*((1+Inputs!$D$7)^CL$2))),IF($N119=Lists!$K$3,IF($L119&lt;1,((($T119*(1-$F119)+$S119*(1-$G119))/$L119)*((1+Inputs!$D$7)^CL$2)),((INT(CL$2/$L119)-INT((CL$2-1)/$L119))*($T119*(1-$F119)+$S119*(1-$G119))*((1+Inputs!$D$7)^CL$2))),((Inputs!$D$8^((1-_xlfn.WEIBULL.DIST(CL$2,$M119,$L119,FALSE))/_xlfn.WEIBULL.DIST(CL$2,$M119,$L119,FALSE))*($T119*(1-$F119)+$S119*(1-$G119))*((1+Inputs!$D$7)^CL$2))))))))</f>
        <v>0</v>
      </c>
      <c r="CM119" s="88">
        <f>MAX(AW119,($E119*IF(CM$2&gt;Inputs!$D$5,0,IF(CM$2&gt;VLOOKUP($H119,Lists!$P$3:$Q$7,2),IF($N119=Lists!$K$3,IF($L119&lt;1,(($U119/$L119)*((1+Inputs!$D$7)^CM$2)),((INT(CM$2/$L119)-INT((CM$2-1)/$L119))*$U119*((1+Inputs!$D$7)^CM$2))),(Inputs!$D$8^((1-_xlfn.WEIBULL.DIST(CM$2,$M119,$L119,FALSE))/_xlfn.WEIBULL.DIST(CM$2,$M119,$L119,FALSE))*$U119*((1+Inputs!$D$7)^CM$2))),IF($N119=Lists!$K$3,IF($L119&lt;1,((($T119*(1-$F119)+$S119*(1-$G119))/$L119)*((1+Inputs!$D$7)^CM$2)),((INT(CM$2/$L119)-INT((CM$2-1)/$L119))*($T119*(1-$F119)+$S119*(1-$G119))*((1+Inputs!$D$7)^CM$2))),((Inputs!$D$8^((1-_xlfn.WEIBULL.DIST(CM$2,$M119,$L119,FALSE))/_xlfn.WEIBULL.DIST(CM$2,$M119,$L119,FALSE))*($T119*(1-$F119)+$S119*(1-$G119))*((1+Inputs!$D$7)^CM$2))))))))</f>
        <v>0</v>
      </c>
      <c r="CN119" s="88">
        <f>MAX(AX119,($E119*IF(CN$2&gt;Inputs!$D$5,0,IF(CN$2&gt;VLOOKUP($H119,Lists!$P$3:$Q$7,2),IF($N119=Lists!$K$3,IF($L119&lt;1,(($U119/$L119)*((1+Inputs!$D$7)^CN$2)),((INT(CN$2/$L119)-INT((CN$2-1)/$L119))*$U119*((1+Inputs!$D$7)^CN$2))),(Inputs!$D$8^((1-_xlfn.WEIBULL.DIST(CN$2,$M119,$L119,FALSE))/_xlfn.WEIBULL.DIST(CN$2,$M119,$L119,FALSE))*$U119*((1+Inputs!$D$7)^CN$2))),IF($N119=Lists!$K$3,IF($L119&lt;1,((($T119*(1-$F119)+$S119*(1-$G119))/$L119)*((1+Inputs!$D$7)^CN$2)),((INT(CN$2/$L119)-INT((CN$2-1)/$L119))*($T119*(1-$F119)+$S119*(1-$G119))*((1+Inputs!$D$7)^CN$2))),((Inputs!$D$8^((1-_xlfn.WEIBULL.DIST(CN$2,$M119,$L119,FALSE))/_xlfn.WEIBULL.DIST(CN$2,$M119,$L119,FALSE))*($T119*(1-$F119)+$S119*(1-$G119))*((1+Inputs!$D$7)^CN$2))))))))</f>
        <v>0</v>
      </c>
      <c r="CO119" s="88">
        <f>MAX(AY119,($E119*IF(CO$2&gt;Inputs!$D$5,0,IF(CO$2&gt;VLOOKUP($H119,Lists!$P$3:$Q$7,2),IF($N119=Lists!$K$3,IF($L119&lt;1,(($U119/$L119)*((1+Inputs!$D$7)^CO$2)),((INT(CO$2/$L119)-INT((CO$2-1)/$L119))*$U119*((1+Inputs!$D$7)^CO$2))),(Inputs!$D$8^((1-_xlfn.WEIBULL.DIST(CO$2,$M119,$L119,FALSE))/_xlfn.WEIBULL.DIST(CO$2,$M119,$L119,FALSE))*$U119*((1+Inputs!$D$7)^CO$2))),IF($N119=Lists!$K$3,IF($L119&lt;1,((($T119*(1-$F119)+$S119*(1-$G119))/$L119)*((1+Inputs!$D$7)^CO$2)),((INT(CO$2/$L119)-INT((CO$2-1)/$L119))*($T119*(1-$F119)+$S119*(1-$G119))*((1+Inputs!$D$7)^CO$2))),((Inputs!$D$8^((1-_xlfn.WEIBULL.DIST(CO$2,$M119,$L119,FALSE))/_xlfn.WEIBULL.DIST(CO$2,$M119,$L119,FALSE))*($T119*(1-$F119)+$S119*(1-$G119))*((1+Inputs!$D$7)^CO$2))))))))</f>
        <v>0</v>
      </c>
      <c r="CP119" s="88">
        <f>MAX(AZ119,($E119*IF(CP$2&gt;Inputs!$D$5,0,IF(CP$2&gt;VLOOKUP($H119,Lists!$P$3:$Q$7,2),IF($N119=Lists!$K$3,IF($L119&lt;1,(($U119/$L119)*((1+Inputs!$D$7)^CP$2)),((INT(CP$2/$L119)-INT((CP$2-1)/$L119))*$U119*((1+Inputs!$D$7)^CP$2))),(Inputs!$D$8^((1-_xlfn.WEIBULL.DIST(CP$2,$M119,$L119,FALSE))/_xlfn.WEIBULL.DIST(CP$2,$M119,$L119,FALSE))*$U119*((1+Inputs!$D$7)^CP$2))),IF($N119=Lists!$K$3,IF($L119&lt;1,((($T119*(1-$F119)+$S119*(1-$G119))/$L119)*((1+Inputs!$D$7)^CP$2)),((INT(CP$2/$L119)-INT((CP$2-1)/$L119))*($T119*(1-$F119)+$S119*(1-$G119))*((1+Inputs!$D$7)^CP$2))),((Inputs!$D$8^((1-_xlfn.WEIBULL.DIST(CP$2,$M119,$L119,FALSE))/_xlfn.WEIBULL.DIST(CP$2,$M119,$L119,FALSE))*($T119*(1-$F119)+$S119*(1-$G119))*((1+Inputs!$D$7)^CP$2))))))))</f>
        <v>0</v>
      </c>
      <c r="CQ119" s="88">
        <f>MAX(BA119,($E119*IF(CQ$2&gt;Inputs!$D$5,0,IF(CQ$2&gt;VLOOKUP($H119,Lists!$P$3:$Q$7,2),IF($N119=Lists!$K$3,IF($L119&lt;1,(($U119/$L119)*((1+Inputs!$D$7)^CQ$2)),((INT(CQ$2/$L119)-INT((CQ$2-1)/$L119))*$U119*((1+Inputs!$D$7)^CQ$2))),(Inputs!$D$8^((1-_xlfn.WEIBULL.DIST(CQ$2,$M119,$L119,FALSE))/_xlfn.WEIBULL.DIST(CQ$2,$M119,$L119,FALSE))*$U119*((1+Inputs!$D$7)^CQ$2))),IF($N119=Lists!$K$3,IF($L119&lt;1,((($T119*(1-$F119)+$S119*(1-$G119))/$L119)*((1+Inputs!$D$7)^CQ$2)),((INT(CQ$2/$L119)-INT((CQ$2-1)/$L119))*($T119*(1-$F119)+$S119*(1-$G119))*((1+Inputs!$D$7)^CQ$2))),((Inputs!$D$8^((1-_xlfn.WEIBULL.DIST(CQ$2,$M119,$L119,FALSE))/_xlfn.WEIBULL.DIST(CQ$2,$M119,$L119,FALSE))*($T119*(1-$F119)+$S119*(1-$G119))*((1+Inputs!$D$7)^CQ$2))))))))</f>
        <v>0</v>
      </c>
      <c r="CR119" s="88">
        <f>MAX(BB119,($E119*IF(CR$2&gt;Inputs!$D$5,0,IF(CR$2&gt;VLOOKUP($H119,Lists!$P$3:$Q$7,2),IF($N119=Lists!$K$3,IF($L119&lt;1,(($U119/$L119)*((1+Inputs!$D$7)^CR$2)),((INT(CR$2/$L119)-INT((CR$2-1)/$L119))*$U119*((1+Inputs!$D$7)^CR$2))),(Inputs!$D$8^((1-_xlfn.WEIBULL.DIST(CR$2,$M119,$L119,FALSE))/_xlfn.WEIBULL.DIST(CR$2,$M119,$L119,FALSE))*$U119*((1+Inputs!$D$7)^CR$2))),IF($N119=Lists!$K$3,IF($L119&lt;1,((($T119*(1-$F119)+$S119*(1-$G119))/$L119)*((1+Inputs!$D$7)^CR$2)),((INT(CR$2/$L119)-INT((CR$2-1)/$L119))*($T119*(1-$F119)+$S119*(1-$G119))*((1+Inputs!$D$7)^CR$2))),((Inputs!$D$8^((1-_xlfn.WEIBULL.DIST(CR$2,$M119,$L119,FALSE))/_xlfn.WEIBULL.DIST(CR$2,$M119,$L119,FALSE))*($T119*(1-$F119)+$S119*(1-$G119))*((1+Inputs!$D$7)^CR$2))))))))</f>
        <v>0</v>
      </c>
      <c r="CS119" s="88">
        <f>MAX(BC119,($E119*IF(CS$2&gt;Inputs!$D$5,0,IF(CS$2&gt;VLOOKUP($H119,Lists!$P$3:$Q$7,2),IF($N119=Lists!$K$3,IF($L119&lt;1,(($U119/$L119)*((1+Inputs!$D$7)^CS$2)),((INT(CS$2/$L119)-INT((CS$2-1)/$L119))*$U119*((1+Inputs!$D$7)^CS$2))),(Inputs!$D$8^((1-_xlfn.WEIBULL.DIST(CS$2,$M119,$L119,FALSE))/_xlfn.WEIBULL.DIST(CS$2,$M119,$L119,FALSE))*$U119*((1+Inputs!$D$7)^CS$2))),IF($N119=Lists!$K$3,IF($L119&lt;1,((($T119*(1-$F119)+$S119*(1-$G119))/$L119)*((1+Inputs!$D$7)^CS$2)),((INT(CS$2/$L119)-INT((CS$2-1)/$L119))*($T119*(1-$F119)+$S119*(1-$G119))*((1+Inputs!$D$7)^CS$2))),((Inputs!$D$8^((1-_xlfn.WEIBULL.DIST(CS$2,$M119,$L119,FALSE))/_xlfn.WEIBULL.DIST(CS$2,$M119,$L119,FALSE))*($T119*(1-$F119)+$S119*(1-$G119))*((1+Inputs!$D$7)^CS$2))))))))</f>
        <v>0</v>
      </c>
      <c r="CT119" s="88">
        <f>MAX(BD119,($E119*IF(CT$2&gt;Inputs!$D$5,0,IF(CT$2&gt;VLOOKUP($H119,Lists!$P$3:$Q$7,2),IF($N119=Lists!$K$3,IF($L119&lt;1,(($U119/$L119)*((1+Inputs!$D$7)^CT$2)),((INT(CT$2/$L119)-INT((CT$2-1)/$L119))*$U119*((1+Inputs!$D$7)^CT$2))),(Inputs!$D$8^((1-_xlfn.WEIBULL.DIST(CT$2,$M119,$L119,FALSE))/_xlfn.WEIBULL.DIST(CT$2,$M119,$L119,FALSE))*$U119*((1+Inputs!$D$7)^CT$2))),IF($N119=Lists!$K$3,IF($L119&lt;1,((($T119*(1-$F119)+$S119*(1-$G119))/$L119)*((1+Inputs!$D$7)^CT$2)),((INT(CT$2/$L119)-INT((CT$2-1)/$L119))*($T119*(1-$F119)+$S119*(1-$G119))*((1+Inputs!$D$7)^CT$2))),((Inputs!$D$8^((1-_xlfn.WEIBULL.DIST(CT$2,$M119,$L119,FALSE))/_xlfn.WEIBULL.DIST(CT$2,$M119,$L119,FALSE))*($T119*(1-$F119)+$S119*(1-$G119))*((1+Inputs!$D$7)^CT$2))))))))</f>
        <v>0</v>
      </c>
      <c r="CU119" s="88">
        <f>MAX(BE119,($E119*IF(CU$2&gt;Inputs!$D$5,0,IF(CU$2&gt;VLOOKUP($H119,Lists!$P$3:$Q$7,2),IF($N119=Lists!$K$3,IF($L119&lt;1,(($U119/$L119)*((1+Inputs!$D$7)^CU$2)),((INT(CU$2/$L119)-INT((CU$2-1)/$L119))*$U119*((1+Inputs!$D$7)^CU$2))),(Inputs!$D$8^((1-_xlfn.WEIBULL.DIST(CU$2,$M119,$L119,FALSE))/_xlfn.WEIBULL.DIST(CU$2,$M119,$L119,FALSE))*$U119*((1+Inputs!$D$7)^CU$2))),IF($N119=Lists!$K$3,IF($L119&lt;1,((($T119*(1-$F119)+$S119*(1-$G119))/$L119)*((1+Inputs!$D$7)^CU$2)),((INT(CU$2/$L119)-INT((CU$2-1)/$L119))*($T119*(1-$F119)+$S119*(1-$G119))*((1+Inputs!$D$7)^CU$2))),((Inputs!$D$8^((1-_xlfn.WEIBULL.DIST(CU$2,$M119,$L119,FALSE))/_xlfn.WEIBULL.DIST(CU$2,$M119,$L119,FALSE))*($T119*(1-$F119)+$S119*(1-$G119))*((1+Inputs!$D$7)^CU$2))))))))</f>
        <v>0</v>
      </c>
      <c r="CV119" s="88">
        <f>MAX(BF119,($E119*IF(CV$2&gt;Inputs!$D$5,0,IF(CV$2&gt;VLOOKUP($H119,Lists!$P$3:$Q$7,2),IF($N119=Lists!$K$3,IF($L119&lt;1,(($U119/$L119)*((1+Inputs!$D$7)^CV$2)),((INT(CV$2/$L119)-INT((CV$2-1)/$L119))*$U119*((1+Inputs!$D$7)^CV$2))),(Inputs!$D$8^((1-_xlfn.WEIBULL.DIST(CV$2,$M119,$L119,FALSE))/_xlfn.WEIBULL.DIST(CV$2,$M119,$L119,FALSE))*$U119*((1+Inputs!$D$7)^CV$2))),IF($N119=Lists!$K$3,IF($L119&lt;1,((($T119*(1-$F119)+$S119*(1-$G119))/$L119)*((1+Inputs!$D$7)^CV$2)),((INT(CV$2/$L119)-INT((CV$2-1)/$L119))*($T119*(1-$F119)+$S119*(1-$G119))*((1+Inputs!$D$7)^CV$2))),((Inputs!$D$8^((1-_xlfn.WEIBULL.DIST(CV$2,$M119,$L119,FALSE))/_xlfn.WEIBULL.DIST(CV$2,$M119,$L119,FALSE))*($T119*(1-$F119)+$S119*(1-$G119))*((1+Inputs!$D$7)^CV$2))))))))</f>
        <v>0</v>
      </c>
      <c r="CW119" s="88">
        <f>MAX(BG119,($E119*IF(CW$2&gt;Inputs!$D$5,0,IF(CW$2&gt;VLOOKUP($H119,Lists!$P$3:$Q$7,2),IF($N119=Lists!$K$3,IF($L119&lt;1,(($U119/$L119)*((1+Inputs!$D$7)^CW$2)),((INT(CW$2/$L119)-INT((CW$2-1)/$L119))*$U119*((1+Inputs!$D$7)^CW$2))),(Inputs!$D$8^((1-_xlfn.WEIBULL.DIST(CW$2,$M119,$L119,FALSE))/_xlfn.WEIBULL.DIST(CW$2,$M119,$L119,FALSE))*$U119*((1+Inputs!$D$7)^CW$2))),IF($N119=Lists!$K$3,IF($L119&lt;1,((($T119*(1-$F119)+$S119*(1-$G119))/$L119)*((1+Inputs!$D$7)^CW$2)),((INT(CW$2/$L119)-INT((CW$2-1)/$L119))*($T119*(1-$F119)+$S119*(1-$G119))*((1+Inputs!$D$7)^CW$2))),((Inputs!$D$8^((1-_xlfn.WEIBULL.DIST(CW$2,$M119,$L119,FALSE))/_xlfn.WEIBULL.DIST(CW$2,$M119,$L119,FALSE))*($T119*(1-$F119)+$S119*(1-$G119))*((1+Inputs!$D$7)^CW$2))))))))</f>
        <v>0</v>
      </c>
      <c r="CX119" s="88">
        <f>MAX(BH119,($E119*IF(CX$2&gt;Inputs!$D$5,0,IF(CX$2&gt;VLOOKUP($H119,Lists!$P$3:$Q$7,2),IF($N119=Lists!$K$3,IF($L119&lt;1,(($U119/$L119)*((1+Inputs!$D$7)^CX$2)),((INT(CX$2/$L119)-INT((CX$2-1)/$L119))*$U119*((1+Inputs!$D$7)^CX$2))),(Inputs!$D$8^((1-_xlfn.WEIBULL.DIST(CX$2,$M119,$L119,FALSE))/_xlfn.WEIBULL.DIST(CX$2,$M119,$L119,FALSE))*$U119*((1+Inputs!$D$7)^CX$2))),IF($N119=Lists!$K$3,IF($L119&lt;1,((($T119*(1-$F119)+$S119*(1-$G119))/$L119)*((1+Inputs!$D$7)^CX$2)),((INT(CX$2/$L119)-INT((CX$2-1)/$L119))*($T119*(1-$F119)+$S119*(1-$G119))*((1+Inputs!$D$7)^CX$2))),((Inputs!$D$8^((1-_xlfn.WEIBULL.DIST(CX$2,$M119,$L119,FALSE))/_xlfn.WEIBULL.DIST(CX$2,$M119,$L119,FALSE))*($T119*(1-$F119)+$S119*(1-$G119))*((1+Inputs!$D$7)^CX$2))))))))</f>
        <v>0</v>
      </c>
      <c r="CY119" s="88">
        <f>MAX(BI119,($E119*IF(CY$2&gt;Inputs!$D$5,0,IF(CY$2&gt;VLOOKUP($H119,Lists!$P$3:$Q$7,2),IF($N119=Lists!$K$3,IF($L119&lt;1,(($U119/$L119)*((1+Inputs!$D$7)^CY$2)),((INT(CY$2/$L119)-INT((CY$2-1)/$L119))*$U119*((1+Inputs!$D$7)^CY$2))),(Inputs!$D$8^((1-_xlfn.WEIBULL.DIST(CY$2,$M119,$L119,FALSE))/_xlfn.WEIBULL.DIST(CY$2,$M119,$L119,FALSE))*$U119*((1+Inputs!$D$7)^CY$2))),IF($N119=Lists!$K$3,IF($L119&lt;1,((($T119*(1-$F119)+$S119*(1-$G119))/$L119)*((1+Inputs!$D$7)^CY$2)),((INT(CY$2/$L119)-INT((CY$2-1)/$L119))*($T119*(1-$F119)+$S119*(1-$G119))*((1+Inputs!$D$7)^CY$2))),((Inputs!$D$8^((1-_xlfn.WEIBULL.DIST(CY$2,$M119,$L119,FALSE))/_xlfn.WEIBULL.DIST(CY$2,$M119,$L119,FALSE))*($T119*(1-$F119)+$S119*(1-$G119))*((1+Inputs!$D$7)^CY$2))))))))</f>
        <v>0</v>
      </c>
      <c r="CZ119" s="88">
        <f>MAX(BJ119,($E119*IF(CZ$2&gt;Inputs!$D$5,0,IF(CZ$2&gt;VLOOKUP($H119,Lists!$P$3:$Q$7,2),IF($N119=Lists!$K$3,IF($L119&lt;1,(($U119/$L119)*((1+Inputs!$D$7)^CZ$2)),((INT(CZ$2/$L119)-INT((CZ$2-1)/$L119))*$U119*((1+Inputs!$D$7)^CZ$2))),(Inputs!$D$8^((1-_xlfn.WEIBULL.DIST(CZ$2,$M119,$L119,FALSE))/_xlfn.WEIBULL.DIST(CZ$2,$M119,$L119,FALSE))*$U119*((1+Inputs!$D$7)^CZ$2))),IF($N119=Lists!$K$3,IF($L119&lt;1,((($T119*(1-$F119)+$S119*(1-$G119))/$L119)*((1+Inputs!$D$7)^CZ$2)),((INT(CZ$2/$L119)-INT((CZ$2-1)/$L119))*($T119*(1-$F119)+$S119*(1-$G119))*((1+Inputs!$D$7)^CZ$2))),((Inputs!$D$8^((1-_xlfn.WEIBULL.DIST(CZ$2,$M119,$L119,FALSE))/_xlfn.WEIBULL.DIST(CZ$2,$M119,$L119,FALSE))*($T119*(1-$F119)+$S119*(1-$G119))*((1+Inputs!$D$7)^CZ$2))))))))</f>
        <v>0</v>
      </c>
      <c r="DA119" s="88">
        <f>MAX(BK119,($E119*IF(DA$2&gt;Inputs!$D$5,0,IF(DA$2&gt;VLOOKUP($H119,Lists!$P$3:$Q$7,2),IF($N119=Lists!$K$3,IF($L119&lt;1,(($U119/$L119)*((1+Inputs!$D$7)^DA$2)),((INT(DA$2/$L119)-INT((DA$2-1)/$L119))*$U119*((1+Inputs!$D$7)^DA$2))),(Inputs!$D$8^((1-_xlfn.WEIBULL.DIST(DA$2,$M119,$L119,FALSE))/_xlfn.WEIBULL.DIST(DA$2,$M119,$L119,FALSE))*$U119*((1+Inputs!$D$7)^DA$2))),IF($N119=Lists!$K$3,IF($L119&lt;1,((($T119*(1-$F119)+$S119*(1-$G119))/$L119)*((1+Inputs!$D$7)^DA$2)),((INT(DA$2/$L119)-INT((DA$2-1)/$L119))*($T119*(1-$F119)+$S119*(1-$G119))*((1+Inputs!$D$7)^DA$2))),((Inputs!$D$8^((1-_xlfn.WEIBULL.DIST(DA$2,$M119,$L119,FALSE))/_xlfn.WEIBULL.DIST(DA$2,$M119,$L119,FALSE))*($T119*(1-$F119)+$S119*(1-$G119))*((1+Inputs!$D$7)^DA$2))))))))</f>
        <v>0</v>
      </c>
      <c r="DB119" s="88">
        <f>MAX(BL119,($E119*IF(DB$2&gt;Inputs!$D$5,0,IF(DB$2&gt;VLOOKUP($H119,Lists!$P$3:$Q$7,2),IF($N119=Lists!$K$3,IF($L119&lt;1,(($U119/$L119)*((1+Inputs!$D$7)^DB$2)),((INT(DB$2/$L119)-INT((DB$2-1)/$L119))*$U119*((1+Inputs!$D$7)^DB$2))),(Inputs!$D$8^((1-_xlfn.WEIBULL.DIST(DB$2,$M119,$L119,FALSE))/_xlfn.WEIBULL.DIST(DB$2,$M119,$L119,FALSE))*$U119*((1+Inputs!$D$7)^DB$2))),IF($N119=Lists!$K$3,IF($L119&lt;1,((($T119*(1-$F119)+$S119*(1-$G119))/$L119)*((1+Inputs!$D$7)^DB$2)),((INT(DB$2/$L119)-INT((DB$2-1)/$L119))*($T119*(1-$F119)+$S119*(1-$G119))*((1+Inputs!$D$7)^DB$2))),((Inputs!$D$8^((1-_xlfn.WEIBULL.DIST(DB$2,$M119,$L119,FALSE))/_xlfn.WEIBULL.DIST(DB$2,$M119,$L119,FALSE))*($T119*(1-$F119)+$S119*(1-$G119))*((1+Inputs!$D$7)^DB$2))))))))</f>
        <v>0</v>
      </c>
      <c r="DC119" s="88">
        <f>MAX(BM119,($E119*IF(DC$2&gt;Inputs!$D$5,0,IF(DC$2&gt;VLOOKUP($H119,Lists!$P$3:$Q$7,2),IF($N119=Lists!$K$3,IF($L119&lt;1,(($U119/$L119)*((1+Inputs!$D$7)^DC$2)),((INT(DC$2/$L119)-INT((DC$2-1)/$L119))*$U119*((1+Inputs!$D$7)^DC$2))),(Inputs!$D$8^((1-_xlfn.WEIBULL.DIST(DC$2,$M119,$L119,FALSE))/_xlfn.WEIBULL.DIST(DC$2,$M119,$L119,FALSE))*$U119*((1+Inputs!$D$7)^DC$2))),IF($N119=Lists!$K$3,IF($L119&lt;1,((($T119*(1-$F119)+$S119*(1-$G119))/$L119)*((1+Inputs!$D$7)^DC$2)),((INT(DC$2/$L119)-INT((DC$2-1)/$L119))*($T119*(1-$F119)+$S119*(1-$G119))*((1+Inputs!$D$7)^DC$2))),((Inputs!$D$8^((1-_xlfn.WEIBULL.DIST(DC$2,$M119,$L119,FALSE))/_xlfn.WEIBULL.DIST(DC$2,$M119,$L119,FALSE))*($T119*(1-$F119)+$S119*(1-$G119))*((1+Inputs!$D$7)^DC$2))))))))</f>
        <v>0</v>
      </c>
      <c r="DD119" s="88">
        <f>MAX(BN119,($E119*IF(DD$2&gt;Inputs!$D$5,0,IF(DD$2&gt;VLOOKUP($H119,Lists!$P$3:$Q$7,2),IF($N119=Lists!$K$3,IF($L119&lt;1,(($U119/$L119)*((1+Inputs!$D$7)^DD$2)),((INT(DD$2/$L119)-INT((DD$2-1)/$L119))*$U119*((1+Inputs!$D$7)^DD$2))),(Inputs!$D$8^((1-_xlfn.WEIBULL.DIST(DD$2,$M119,$L119,FALSE))/_xlfn.WEIBULL.DIST(DD$2,$M119,$L119,FALSE))*$U119*((1+Inputs!$D$7)^DD$2))),IF($N119=Lists!$K$3,IF($L119&lt;1,((($T119*(1-$F119)+$S119*(1-$G119))/$L119)*((1+Inputs!$D$7)^DD$2)),((INT(DD$2/$L119)-INT((DD$2-1)/$L119))*($T119*(1-$F119)+$S119*(1-$G119))*((1+Inputs!$D$7)^DD$2))),((Inputs!$D$8^((1-_xlfn.WEIBULL.DIST(DD$2,$M119,$L119,FALSE))/_xlfn.WEIBULL.DIST(DD$2,$M119,$L119,FALSE))*($T119*(1-$F119)+$S119*(1-$G119))*((1+Inputs!$D$7)^DD$2))))))))</f>
        <v>0</v>
      </c>
    </row>
    <row r="120" spans="1:108" ht="16">
      <c r="A120" s="57" t="s">
        <v>0</v>
      </c>
      <c r="B120" s="13" t="s">
        <v>279</v>
      </c>
      <c r="C120" s="13" t="s">
        <v>90</v>
      </c>
      <c r="D120" s="13" t="s">
        <v>37</v>
      </c>
      <c r="E120" s="89">
        <v>0</v>
      </c>
      <c r="F120" s="48">
        <v>0</v>
      </c>
      <c r="G120" s="48">
        <v>0</v>
      </c>
      <c r="H120" s="105" t="s">
        <v>350</v>
      </c>
      <c r="I120" s="14" t="s">
        <v>20</v>
      </c>
      <c r="J120" s="14" t="s">
        <v>246</v>
      </c>
      <c r="K120" s="13">
        <f>VLOOKUP(J120,'Labor Rates'!$A$1:$F$16,2)</f>
        <v>33.119999999999997</v>
      </c>
      <c r="L120" s="15">
        <v>1</v>
      </c>
      <c r="M120" s="15">
        <v>1</v>
      </c>
      <c r="N120" s="13" t="s">
        <v>236</v>
      </c>
      <c r="O120" s="61">
        <f>Inputs!$D$56*E120</f>
        <v>0</v>
      </c>
      <c r="P120" s="15">
        <f>5/60</f>
        <v>8.3333333333333329E-2</v>
      </c>
      <c r="Q120" s="15">
        <f t="shared" si="21"/>
        <v>0</v>
      </c>
      <c r="R120" s="4">
        <v>0</v>
      </c>
      <c r="S120" s="53">
        <f t="shared" si="22"/>
        <v>0</v>
      </c>
      <c r="T120" s="53">
        <f t="shared" si="23"/>
        <v>0</v>
      </c>
      <c r="U120" s="54">
        <f t="shared" si="24"/>
        <v>0</v>
      </c>
      <c r="V120" s="65"/>
      <c r="W120" s="58"/>
      <c r="X120" s="64">
        <f t="shared" si="25"/>
        <v>0</v>
      </c>
      <c r="Y120" s="64">
        <f>NPV(Inputs!$D$6,AA120:BN120)</f>
        <v>0</v>
      </c>
      <c r="Z120" s="67">
        <f t="shared" si="26"/>
        <v>0</v>
      </c>
      <c r="AA120" s="88">
        <f>$E120*IF(AA$2&gt;Inputs!$D$5,0,IF(AA$2&gt;VLOOKUP($H120,Lists!$P$3:$Q$7,2),IF($N120=Lists!$K$3,IF($L120&lt;1,(($U120/$L120)*((1+Inputs!$D$7)^AA$2)),((INT(AA$2/$L120)-INT((AA$2-1)/$L120))*$U120*((1+Inputs!$D$7)^AA$2))),(_xlfn.WEIBULL.DIST(AA$2,$M120,$L120,FALSE)*$U120*((1+Inputs!$D$7)^AA$2))),IF($N120=Lists!$K$3,IF($L120&lt;1,((($T120*(1-$F120)+$S120*(1-$G120))/$L120)*((1+Inputs!$D$7)^AA$2)),((INT(AA$2/$L120)-INT((AA$2-1)/$L120))*($T120*(1-$F120)+$S120*(1-$G120))*((1+Inputs!$D$7)^AA$2))),((_xlfn.WEIBULL.DIST(AA$2,$M120,$L120,FALSE)*($T120*(1-$F120)+$S120*(1-$G120))*((1+Inputs!$D$7)^AA$2))))))</f>
        <v>0</v>
      </c>
      <c r="AB120" s="88">
        <f>$E120*IF(AB$2&gt;Inputs!$D$5,0,IF(AB$2&gt;VLOOKUP($H120,Lists!$P$3:$Q$7,2),IF($N120=Lists!$K$3,IF($L120&lt;1,(($U120/$L120)*((1+Inputs!$D$7)^AB$2)),((INT(AB$2/$L120)-INT((AB$2-1)/$L120))*$U120*((1+Inputs!$D$7)^AB$2))),(_xlfn.WEIBULL.DIST(AB$2,$M120,$L120,FALSE)*$U120*((1+Inputs!$D$7)^AB$2))),IF($N120=Lists!$K$3,IF($L120&lt;1,((($T120*(1-$F120)+$S120*(1-$G120))/$L120)*((1+Inputs!$D$7)^AB$2)),((INT(AB$2/$L120)-INT((AB$2-1)/$L120))*($T120*(1-$F120)+$S120*(1-$G120))*((1+Inputs!$D$7)^AB$2))),((_xlfn.WEIBULL.DIST(AB$2,$M120,$L120,FALSE)*($T120*(1-$F120)+$S120*(1-$G120))*((1+Inputs!$D$7)^AB$2))))))</f>
        <v>0</v>
      </c>
      <c r="AC120" s="88">
        <f>$E120*IF(AC$2&gt;Inputs!$D$5,0,IF(AC$2&gt;VLOOKUP($H120,Lists!$P$3:$Q$7,2),IF($N120=Lists!$K$3,IF($L120&lt;1,(($U120/$L120)*((1+Inputs!$D$7)^AC$2)),((INT(AC$2/$L120)-INT((AC$2-1)/$L120))*$U120*((1+Inputs!$D$7)^AC$2))),(_xlfn.WEIBULL.DIST(AC$2,$M120,$L120,FALSE)*$U120*((1+Inputs!$D$7)^AC$2))),IF($N120=Lists!$K$3,IF($L120&lt;1,((($T120*(1-$F120)+$S120*(1-$G120))/$L120)*((1+Inputs!$D$7)^AC$2)),((INT(AC$2/$L120)-INT((AC$2-1)/$L120))*($T120*(1-$F120)+$S120*(1-$G120))*((1+Inputs!$D$7)^AC$2))),((_xlfn.WEIBULL.DIST(AC$2,$M120,$L120,FALSE)*($T120*(1-$F120)+$S120*(1-$G120))*((1+Inputs!$D$7)^AC$2))))))</f>
        <v>0</v>
      </c>
      <c r="AD120" s="88">
        <f>$E120*IF(AD$2&gt;Inputs!$D$5,0,IF(AD$2&gt;VLOOKUP($H120,Lists!$P$3:$Q$7,2),IF($N120=Lists!$K$3,IF($L120&lt;1,(($U120/$L120)*((1+Inputs!$D$7)^AD$2)),((INT(AD$2/$L120)-INT((AD$2-1)/$L120))*$U120*((1+Inputs!$D$7)^AD$2))),(_xlfn.WEIBULL.DIST(AD$2,$M120,$L120,FALSE)*$U120*((1+Inputs!$D$7)^AD$2))),IF($N120=Lists!$K$3,IF($L120&lt;1,((($T120*(1-$F120)+$S120*(1-$G120))/$L120)*((1+Inputs!$D$7)^AD$2)),((INT(AD$2/$L120)-INT((AD$2-1)/$L120))*($T120*(1-$F120)+$S120*(1-$G120))*((1+Inputs!$D$7)^AD$2))),((_xlfn.WEIBULL.DIST(AD$2,$M120,$L120,FALSE)*($T120*(1-$F120)+$S120*(1-$G120))*((1+Inputs!$D$7)^AD$2))))))</f>
        <v>0</v>
      </c>
      <c r="AE120" s="88">
        <f>$E120*IF(AE$2&gt;Inputs!$D$5,0,IF(AE$2&gt;VLOOKUP($H120,Lists!$P$3:$Q$7,2),IF($N120=Lists!$K$3,IF($L120&lt;1,(($U120/$L120)*((1+Inputs!$D$7)^AE$2)),((INT(AE$2/$L120)-INT((AE$2-1)/$L120))*$U120*((1+Inputs!$D$7)^AE$2))),(_xlfn.WEIBULL.DIST(AE$2,$M120,$L120,FALSE)*$U120*((1+Inputs!$D$7)^AE$2))),IF($N120=Lists!$K$3,IF($L120&lt;1,((($T120*(1-$F120)+$S120*(1-$G120))/$L120)*((1+Inputs!$D$7)^AE$2)),((INT(AE$2/$L120)-INT((AE$2-1)/$L120))*($T120*(1-$F120)+$S120*(1-$G120))*((1+Inputs!$D$7)^AE$2))),((_xlfn.WEIBULL.DIST(AE$2,$M120,$L120,FALSE)*($T120*(1-$F120)+$S120*(1-$G120))*((1+Inputs!$D$7)^AE$2))))))</f>
        <v>0</v>
      </c>
      <c r="AF120" s="88">
        <f>$E120*IF(AF$2&gt;Inputs!$D$5,0,IF(AF$2&gt;VLOOKUP($H120,Lists!$P$3:$Q$7,2),IF($N120=Lists!$K$3,IF($L120&lt;1,(($U120/$L120)*((1+Inputs!$D$7)^AF$2)),((INT(AF$2/$L120)-INT((AF$2-1)/$L120))*$U120*((1+Inputs!$D$7)^AF$2))),(_xlfn.WEIBULL.DIST(AF$2,$M120,$L120,FALSE)*$U120*((1+Inputs!$D$7)^AF$2))),IF($N120=Lists!$K$3,IF($L120&lt;1,((($T120*(1-$F120)+$S120*(1-$G120))/$L120)*((1+Inputs!$D$7)^AF$2)),((INT(AF$2/$L120)-INT((AF$2-1)/$L120))*($T120*(1-$F120)+$S120*(1-$G120))*((1+Inputs!$D$7)^AF$2))),((_xlfn.WEIBULL.DIST(AF$2,$M120,$L120,FALSE)*($T120*(1-$F120)+$S120*(1-$G120))*((1+Inputs!$D$7)^AF$2))))))</f>
        <v>0</v>
      </c>
      <c r="AG120" s="88">
        <f>$E120*IF(AG$2&gt;Inputs!$D$5,0,IF(AG$2&gt;VLOOKUP($H120,Lists!$P$3:$Q$7,2),IF($N120=Lists!$K$3,IF($L120&lt;1,(($U120/$L120)*((1+Inputs!$D$7)^AG$2)),((INT(AG$2/$L120)-INT((AG$2-1)/$L120))*$U120*((1+Inputs!$D$7)^AG$2))),(_xlfn.WEIBULL.DIST(AG$2,$M120,$L120,FALSE)*$U120*((1+Inputs!$D$7)^AG$2))),IF($N120=Lists!$K$3,IF($L120&lt;1,((($T120*(1-$F120)+$S120*(1-$G120))/$L120)*((1+Inputs!$D$7)^AG$2)),((INT(AG$2/$L120)-INT((AG$2-1)/$L120))*($T120*(1-$F120)+$S120*(1-$G120))*((1+Inputs!$D$7)^AG$2))),((_xlfn.WEIBULL.DIST(AG$2,$M120,$L120,FALSE)*($T120*(1-$F120)+$S120*(1-$G120))*((1+Inputs!$D$7)^AG$2))))))</f>
        <v>0</v>
      </c>
      <c r="AH120" s="88">
        <f>$E120*IF(AH$2&gt;Inputs!$D$5,0,IF(AH$2&gt;VLOOKUP($H120,Lists!$P$3:$Q$7,2),IF($N120=Lists!$K$3,IF($L120&lt;1,(($U120/$L120)*((1+Inputs!$D$7)^AH$2)),((INT(AH$2/$L120)-INT((AH$2-1)/$L120))*$U120*((1+Inputs!$D$7)^AH$2))),(_xlfn.WEIBULL.DIST(AH$2,$M120,$L120,FALSE)*$U120*((1+Inputs!$D$7)^AH$2))),IF($N120=Lists!$K$3,IF($L120&lt;1,((($T120*(1-$F120)+$S120*(1-$G120))/$L120)*((1+Inputs!$D$7)^AH$2)),((INT(AH$2/$L120)-INT((AH$2-1)/$L120))*($T120*(1-$F120)+$S120*(1-$G120))*((1+Inputs!$D$7)^AH$2))),((_xlfn.WEIBULL.DIST(AH$2,$M120,$L120,FALSE)*($T120*(1-$F120)+$S120*(1-$G120))*((1+Inputs!$D$7)^AH$2))))))</f>
        <v>0</v>
      </c>
      <c r="AI120" s="88">
        <f>$E120*IF(AI$2&gt;Inputs!$D$5,0,IF(AI$2&gt;VLOOKUP($H120,Lists!$P$3:$Q$7,2),IF($N120=Lists!$K$3,IF($L120&lt;1,(($U120/$L120)*((1+Inputs!$D$7)^AI$2)),((INT(AI$2/$L120)-INT((AI$2-1)/$L120))*$U120*((1+Inputs!$D$7)^AI$2))),(_xlfn.WEIBULL.DIST(AI$2,$M120,$L120,FALSE)*$U120*((1+Inputs!$D$7)^AI$2))),IF($N120=Lists!$K$3,IF($L120&lt;1,((($T120*(1-$F120)+$S120*(1-$G120))/$L120)*((1+Inputs!$D$7)^AI$2)),((INT(AI$2/$L120)-INT((AI$2-1)/$L120))*($T120*(1-$F120)+$S120*(1-$G120))*((1+Inputs!$D$7)^AI$2))),((_xlfn.WEIBULL.DIST(AI$2,$M120,$L120,FALSE)*($T120*(1-$F120)+$S120*(1-$G120))*((1+Inputs!$D$7)^AI$2))))))</f>
        <v>0</v>
      </c>
      <c r="AJ120" s="88">
        <f>$E120*IF(AJ$2&gt;Inputs!$D$5,0,IF(AJ$2&gt;VLOOKUP($H120,Lists!$P$3:$Q$7,2),IF($N120=Lists!$K$3,IF($L120&lt;1,(($U120/$L120)*((1+Inputs!$D$7)^AJ$2)),((INT(AJ$2/$L120)-INT((AJ$2-1)/$L120))*$U120*((1+Inputs!$D$7)^AJ$2))),(_xlfn.WEIBULL.DIST(AJ$2,$M120,$L120,FALSE)*$U120*((1+Inputs!$D$7)^AJ$2))),IF($N120=Lists!$K$3,IF($L120&lt;1,((($T120*(1-$F120)+$S120*(1-$G120))/$L120)*((1+Inputs!$D$7)^AJ$2)),((INT(AJ$2/$L120)-INT((AJ$2-1)/$L120))*($T120*(1-$F120)+$S120*(1-$G120))*((1+Inputs!$D$7)^AJ$2))),((_xlfn.WEIBULL.DIST(AJ$2,$M120,$L120,FALSE)*($T120*(1-$F120)+$S120*(1-$G120))*((1+Inputs!$D$7)^AJ$2))))))</f>
        <v>0</v>
      </c>
      <c r="AK120" s="88">
        <f>$E120*IF(AK$2&gt;Inputs!$D$5,0,IF(AK$2&gt;VLOOKUP($H120,Lists!$P$3:$Q$7,2),IF($N120=Lists!$K$3,IF($L120&lt;1,(($U120/$L120)*((1+Inputs!$D$7)^AK$2)),((INT(AK$2/$L120)-INT((AK$2-1)/$L120))*$U120*((1+Inputs!$D$7)^AK$2))),(_xlfn.WEIBULL.DIST(AK$2,$M120,$L120,FALSE)*$U120*((1+Inputs!$D$7)^AK$2))),IF($N120=Lists!$K$3,IF($L120&lt;1,((($T120*(1-$F120)+$S120*(1-$G120))/$L120)*((1+Inputs!$D$7)^AK$2)),((INT(AK$2/$L120)-INT((AK$2-1)/$L120))*($T120*(1-$F120)+$S120*(1-$G120))*((1+Inputs!$D$7)^AK$2))),((_xlfn.WEIBULL.DIST(AK$2,$M120,$L120,FALSE)*($T120*(1-$F120)+$S120*(1-$G120))*((1+Inputs!$D$7)^AK$2))))))</f>
        <v>0</v>
      </c>
      <c r="AL120" s="88">
        <f>$E120*IF(AL$2&gt;Inputs!$D$5,0,IF(AL$2&gt;VLOOKUP($H120,Lists!$P$3:$Q$7,2),IF($N120=Lists!$K$3,IF($L120&lt;1,(($U120/$L120)*((1+Inputs!$D$7)^AL$2)),((INT(AL$2/$L120)-INT((AL$2-1)/$L120))*$U120*((1+Inputs!$D$7)^AL$2))),(_xlfn.WEIBULL.DIST(AL$2,$M120,$L120,FALSE)*$U120*((1+Inputs!$D$7)^AL$2))),IF($N120=Lists!$K$3,IF($L120&lt;1,((($T120*(1-$F120)+$S120*(1-$G120))/$L120)*((1+Inputs!$D$7)^AL$2)),((INT(AL$2/$L120)-INT((AL$2-1)/$L120))*($T120*(1-$F120)+$S120*(1-$G120))*((1+Inputs!$D$7)^AL$2))),((_xlfn.WEIBULL.DIST(AL$2,$M120,$L120,FALSE)*($T120*(1-$F120)+$S120*(1-$G120))*((1+Inputs!$D$7)^AL$2))))))</f>
        <v>0</v>
      </c>
      <c r="AM120" s="88">
        <f>$E120*IF(AM$2&gt;Inputs!$D$5,0,IF(AM$2&gt;VLOOKUP($H120,Lists!$P$3:$Q$7,2),IF($N120=Lists!$K$3,IF($L120&lt;1,(($U120/$L120)*((1+Inputs!$D$7)^AM$2)),((INT(AM$2/$L120)-INT((AM$2-1)/$L120))*$U120*((1+Inputs!$D$7)^AM$2))),(_xlfn.WEIBULL.DIST(AM$2,$M120,$L120,FALSE)*$U120*((1+Inputs!$D$7)^AM$2))),IF($N120=Lists!$K$3,IF($L120&lt;1,((($T120*(1-$F120)+$S120*(1-$G120))/$L120)*((1+Inputs!$D$7)^AM$2)),((INT(AM$2/$L120)-INT((AM$2-1)/$L120))*($T120*(1-$F120)+$S120*(1-$G120))*((1+Inputs!$D$7)^AM$2))),((_xlfn.WEIBULL.DIST(AM$2,$M120,$L120,FALSE)*($T120*(1-$F120)+$S120*(1-$G120))*((1+Inputs!$D$7)^AM$2))))))</f>
        <v>0</v>
      </c>
      <c r="AN120" s="88">
        <f>$E120*IF(AN$2&gt;Inputs!$D$5,0,IF(AN$2&gt;VLOOKUP($H120,Lists!$P$3:$Q$7,2),IF($N120=Lists!$K$3,IF($L120&lt;1,(($U120/$L120)*((1+Inputs!$D$7)^AN$2)),((INT(AN$2/$L120)-INT((AN$2-1)/$L120))*$U120*((1+Inputs!$D$7)^AN$2))),(_xlfn.WEIBULL.DIST(AN$2,$M120,$L120,FALSE)*$U120*((1+Inputs!$D$7)^AN$2))),IF($N120=Lists!$K$3,IF($L120&lt;1,((($T120*(1-$F120)+$S120*(1-$G120))/$L120)*((1+Inputs!$D$7)^AN$2)),((INT(AN$2/$L120)-INT((AN$2-1)/$L120))*($T120*(1-$F120)+$S120*(1-$G120))*((1+Inputs!$D$7)^AN$2))),((_xlfn.WEIBULL.DIST(AN$2,$M120,$L120,FALSE)*($T120*(1-$F120)+$S120*(1-$G120))*((1+Inputs!$D$7)^AN$2))))))</f>
        <v>0</v>
      </c>
      <c r="AO120" s="88">
        <f>$E120*IF(AO$2&gt;Inputs!$D$5,0,IF(AO$2&gt;VLOOKUP($H120,Lists!$P$3:$Q$7,2),IF($N120=Lists!$K$3,IF($L120&lt;1,(($U120/$L120)*((1+Inputs!$D$7)^AO$2)),((INT(AO$2/$L120)-INT((AO$2-1)/$L120))*$U120*((1+Inputs!$D$7)^AO$2))),(_xlfn.WEIBULL.DIST(AO$2,$M120,$L120,FALSE)*$U120*((1+Inputs!$D$7)^AO$2))),IF($N120=Lists!$K$3,IF($L120&lt;1,((($T120*(1-$F120)+$S120*(1-$G120))/$L120)*((1+Inputs!$D$7)^AO$2)),((INT(AO$2/$L120)-INT((AO$2-1)/$L120))*($T120*(1-$F120)+$S120*(1-$G120))*((1+Inputs!$D$7)^AO$2))),((_xlfn.WEIBULL.DIST(AO$2,$M120,$L120,FALSE)*($T120*(1-$F120)+$S120*(1-$G120))*((1+Inputs!$D$7)^AO$2))))))</f>
        <v>0</v>
      </c>
      <c r="AP120" s="88">
        <f>$E120*IF(AP$2&gt;Inputs!$D$5,0,IF(AP$2&gt;VLOOKUP($H120,Lists!$P$3:$Q$7,2),IF($N120=Lists!$K$3,IF($L120&lt;1,(($U120/$L120)*((1+Inputs!$D$7)^AP$2)),((INT(AP$2/$L120)-INT((AP$2-1)/$L120))*$U120*((1+Inputs!$D$7)^AP$2))),(_xlfn.WEIBULL.DIST(AP$2,$M120,$L120,FALSE)*$U120*((1+Inputs!$D$7)^AP$2))),IF($N120=Lists!$K$3,IF($L120&lt;1,((($T120*(1-$F120)+$S120*(1-$G120))/$L120)*((1+Inputs!$D$7)^AP$2)),((INT(AP$2/$L120)-INT((AP$2-1)/$L120))*($T120*(1-$F120)+$S120*(1-$G120))*((1+Inputs!$D$7)^AP$2))),((_xlfn.WEIBULL.DIST(AP$2,$M120,$L120,FALSE)*($T120*(1-$F120)+$S120*(1-$G120))*((1+Inputs!$D$7)^AP$2))))))</f>
        <v>0</v>
      </c>
      <c r="AQ120" s="88">
        <f>$E120*IF(AQ$2&gt;Inputs!$D$5,0,IF(AQ$2&gt;VLOOKUP($H120,Lists!$P$3:$Q$7,2),IF($N120=Lists!$K$3,IF($L120&lt;1,(($U120/$L120)*((1+Inputs!$D$7)^AQ$2)),((INT(AQ$2/$L120)-INT((AQ$2-1)/$L120))*$U120*((1+Inputs!$D$7)^AQ$2))),(_xlfn.WEIBULL.DIST(AQ$2,$M120,$L120,FALSE)*$U120*((1+Inputs!$D$7)^AQ$2))),IF($N120=Lists!$K$3,IF($L120&lt;1,((($T120*(1-$F120)+$S120*(1-$G120))/$L120)*((1+Inputs!$D$7)^AQ$2)),((INT(AQ$2/$L120)-INT((AQ$2-1)/$L120))*($T120*(1-$F120)+$S120*(1-$G120))*((1+Inputs!$D$7)^AQ$2))),((_xlfn.WEIBULL.DIST(AQ$2,$M120,$L120,FALSE)*($T120*(1-$F120)+$S120*(1-$G120))*((1+Inputs!$D$7)^AQ$2))))))</f>
        <v>0</v>
      </c>
      <c r="AR120" s="88">
        <f>$E120*IF(AR$2&gt;Inputs!$D$5,0,IF(AR$2&gt;VLOOKUP($H120,Lists!$P$3:$Q$7,2),IF($N120=Lists!$K$3,IF($L120&lt;1,(($U120/$L120)*((1+Inputs!$D$7)^AR$2)),((INT(AR$2/$L120)-INT((AR$2-1)/$L120))*$U120*((1+Inputs!$D$7)^AR$2))),(_xlfn.WEIBULL.DIST(AR$2,$M120,$L120,FALSE)*$U120*((1+Inputs!$D$7)^AR$2))),IF($N120=Lists!$K$3,IF($L120&lt;1,((($T120*(1-$F120)+$S120*(1-$G120))/$L120)*((1+Inputs!$D$7)^AR$2)),((INT(AR$2/$L120)-INT((AR$2-1)/$L120))*($T120*(1-$F120)+$S120*(1-$G120))*((1+Inputs!$D$7)^AR$2))),((_xlfn.WEIBULL.DIST(AR$2,$M120,$L120,FALSE)*($T120*(1-$F120)+$S120*(1-$G120))*((1+Inputs!$D$7)^AR$2))))))</f>
        <v>0</v>
      </c>
      <c r="AS120" s="88">
        <f>$E120*IF(AS$2&gt;Inputs!$D$5,0,IF(AS$2&gt;VLOOKUP($H120,Lists!$P$3:$Q$7,2),IF($N120=Lists!$K$3,IF($L120&lt;1,(($U120/$L120)*((1+Inputs!$D$7)^AS$2)),((INT(AS$2/$L120)-INT((AS$2-1)/$L120))*$U120*((1+Inputs!$D$7)^AS$2))),(_xlfn.WEIBULL.DIST(AS$2,$M120,$L120,FALSE)*$U120*((1+Inputs!$D$7)^AS$2))),IF($N120=Lists!$K$3,IF($L120&lt;1,((($T120*(1-$F120)+$S120*(1-$G120))/$L120)*((1+Inputs!$D$7)^AS$2)),((INT(AS$2/$L120)-INT((AS$2-1)/$L120))*($T120*(1-$F120)+$S120*(1-$G120))*((1+Inputs!$D$7)^AS$2))),((_xlfn.WEIBULL.DIST(AS$2,$M120,$L120,FALSE)*($T120*(1-$F120)+$S120*(1-$G120))*((1+Inputs!$D$7)^AS$2))))))</f>
        <v>0</v>
      </c>
      <c r="AT120" s="88">
        <f>$E120*IF(AT$2&gt;Inputs!$D$5,0,IF(AT$2&gt;VLOOKUP($H120,Lists!$P$3:$Q$7,2),IF($N120=Lists!$K$3,IF($L120&lt;1,(($U120/$L120)*((1+Inputs!$D$7)^AT$2)),((INT(AT$2/$L120)-INT((AT$2-1)/$L120))*$U120*((1+Inputs!$D$7)^AT$2))),(_xlfn.WEIBULL.DIST(AT$2,$M120,$L120,FALSE)*$U120*((1+Inputs!$D$7)^AT$2))),IF($N120=Lists!$K$3,IF($L120&lt;1,((($T120*(1-$F120)+$S120*(1-$G120))/$L120)*((1+Inputs!$D$7)^AT$2)),((INT(AT$2/$L120)-INT((AT$2-1)/$L120))*($T120*(1-$F120)+$S120*(1-$G120))*((1+Inputs!$D$7)^AT$2))),((_xlfn.WEIBULL.DIST(AT$2,$M120,$L120,FALSE)*($T120*(1-$F120)+$S120*(1-$G120))*((1+Inputs!$D$7)^AT$2))))))</f>
        <v>0</v>
      </c>
      <c r="AU120" s="88">
        <f>$E120*IF(AU$2&gt;Inputs!$D$5,0,IF(AU$2&gt;VLOOKUP($H120,Lists!$P$3:$Q$7,2),IF($N120=Lists!$K$3,IF($L120&lt;1,(($U120/$L120)*((1+Inputs!$D$7)^AU$2)),((INT(AU$2/$L120)-INT((AU$2-1)/$L120))*$U120*((1+Inputs!$D$7)^AU$2))),(_xlfn.WEIBULL.DIST(AU$2,$M120,$L120,FALSE)*$U120*((1+Inputs!$D$7)^AU$2))),IF($N120=Lists!$K$3,IF($L120&lt;1,((($T120*(1-$F120)+$S120*(1-$G120))/$L120)*((1+Inputs!$D$7)^AU$2)),((INT(AU$2/$L120)-INT((AU$2-1)/$L120))*($T120*(1-$F120)+$S120*(1-$G120))*((1+Inputs!$D$7)^AU$2))),((_xlfn.WEIBULL.DIST(AU$2,$M120,$L120,FALSE)*($T120*(1-$F120)+$S120*(1-$G120))*((1+Inputs!$D$7)^AU$2))))))</f>
        <v>0</v>
      </c>
      <c r="AV120" s="88">
        <f>$E120*IF(AV$2&gt;Inputs!$D$5,0,IF(AV$2&gt;VLOOKUP($H120,Lists!$P$3:$Q$7,2),IF($N120=Lists!$K$3,IF($L120&lt;1,(($U120/$L120)*((1+Inputs!$D$7)^AV$2)),((INT(AV$2/$L120)-INT((AV$2-1)/$L120))*$U120*((1+Inputs!$D$7)^AV$2))),(_xlfn.WEIBULL.DIST(AV$2,$M120,$L120,FALSE)*$U120*((1+Inputs!$D$7)^AV$2))),IF($N120=Lists!$K$3,IF($L120&lt;1,((($T120*(1-$F120)+$S120*(1-$G120))/$L120)*((1+Inputs!$D$7)^AV$2)),((INT(AV$2/$L120)-INT((AV$2-1)/$L120))*($T120*(1-$F120)+$S120*(1-$G120))*((1+Inputs!$D$7)^AV$2))),((_xlfn.WEIBULL.DIST(AV$2,$M120,$L120,FALSE)*($T120*(1-$F120)+$S120*(1-$G120))*((1+Inputs!$D$7)^AV$2))))))</f>
        <v>0</v>
      </c>
      <c r="AW120" s="88">
        <f>$E120*IF(AW$2&gt;Inputs!$D$5,0,IF(AW$2&gt;VLOOKUP($H120,Lists!$P$3:$Q$7,2),IF($N120=Lists!$K$3,IF($L120&lt;1,(($U120/$L120)*((1+Inputs!$D$7)^AW$2)),((INT(AW$2/$L120)-INT((AW$2-1)/$L120))*$U120*((1+Inputs!$D$7)^AW$2))),(_xlfn.WEIBULL.DIST(AW$2,$M120,$L120,FALSE)*$U120*((1+Inputs!$D$7)^AW$2))),IF($N120=Lists!$K$3,IF($L120&lt;1,((($T120*(1-$F120)+$S120*(1-$G120))/$L120)*((1+Inputs!$D$7)^AW$2)),((INT(AW$2/$L120)-INT((AW$2-1)/$L120))*($T120*(1-$F120)+$S120*(1-$G120))*((1+Inputs!$D$7)^AW$2))),((_xlfn.WEIBULL.DIST(AW$2,$M120,$L120,FALSE)*($T120*(1-$F120)+$S120*(1-$G120))*((1+Inputs!$D$7)^AW$2))))))</f>
        <v>0</v>
      </c>
      <c r="AX120" s="88">
        <f>$E120*IF(AX$2&gt;Inputs!$D$5,0,IF(AX$2&gt;VLOOKUP($H120,Lists!$P$3:$Q$7,2),IF($N120=Lists!$K$3,IF($L120&lt;1,(($U120/$L120)*((1+Inputs!$D$7)^AX$2)),((INT(AX$2/$L120)-INT((AX$2-1)/$L120))*$U120*((1+Inputs!$D$7)^AX$2))),(_xlfn.WEIBULL.DIST(AX$2,$M120,$L120,FALSE)*$U120*((1+Inputs!$D$7)^AX$2))),IF($N120=Lists!$K$3,IF($L120&lt;1,((($T120*(1-$F120)+$S120*(1-$G120))/$L120)*((1+Inputs!$D$7)^AX$2)),((INT(AX$2/$L120)-INT((AX$2-1)/$L120))*($T120*(1-$F120)+$S120*(1-$G120))*((1+Inputs!$D$7)^AX$2))),((_xlfn.WEIBULL.DIST(AX$2,$M120,$L120,FALSE)*($T120*(1-$F120)+$S120*(1-$G120))*((1+Inputs!$D$7)^AX$2))))))</f>
        <v>0</v>
      </c>
      <c r="AY120" s="88">
        <f>$E120*IF(AY$2&gt;Inputs!$D$5,0,IF(AY$2&gt;VLOOKUP($H120,Lists!$P$3:$Q$7,2),IF($N120=Lists!$K$3,IF($L120&lt;1,(($U120/$L120)*((1+Inputs!$D$7)^AY$2)),((INT(AY$2/$L120)-INT((AY$2-1)/$L120))*$U120*((1+Inputs!$D$7)^AY$2))),(_xlfn.WEIBULL.DIST(AY$2,$M120,$L120,FALSE)*$U120*((1+Inputs!$D$7)^AY$2))),IF($N120=Lists!$K$3,IF($L120&lt;1,((($T120*(1-$F120)+$S120*(1-$G120))/$L120)*((1+Inputs!$D$7)^AY$2)),((INT(AY$2/$L120)-INT((AY$2-1)/$L120))*($T120*(1-$F120)+$S120*(1-$G120))*((1+Inputs!$D$7)^AY$2))),((_xlfn.WEIBULL.DIST(AY$2,$M120,$L120,FALSE)*($T120*(1-$F120)+$S120*(1-$G120))*((1+Inputs!$D$7)^AY$2))))))</f>
        <v>0</v>
      </c>
      <c r="AZ120" s="88">
        <f>$E120*IF(AZ$2&gt;Inputs!$D$5,0,IF(AZ$2&gt;VLOOKUP($H120,Lists!$P$3:$Q$7,2),IF($N120=Lists!$K$3,IF($L120&lt;1,(($U120/$L120)*((1+Inputs!$D$7)^AZ$2)),((INT(AZ$2/$L120)-INT((AZ$2-1)/$L120))*$U120*((1+Inputs!$D$7)^AZ$2))),(_xlfn.WEIBULL.DIST(AZ$2,$M120,$L120,FALSE)*$U120*((1+Inputs!$D$7)^AZ$2))),IF($N120=Lists!$K$3,IF($L120&lt;1,((($T120*(1-$F120)+$S120*(1-$G120))/$L120)*((1+Inputs!$D$7)^AZ$2)),((INT(AZ$2/$L120)-INT((AZ$2-1)/$L120))*($T120*(1-$F120)+$S120*(1-$G120))*((1+Inputs!$D$7)^AZ$2))),((_xlfn.WEIBULL.DIST(AZ$2,$M120,$L120,FALSE)*($T120*(1-$F120)+$S120*(1-$G120))*((1+Inputs!$D$7)^AZ$2))))))</f>
        <v>0</v>
      </c>
      <c r="BA120" s="88">
        <f>$E120*IF(BA$2&gt;Inputs!$D$5,0,IF(BA$2&gt;VLOOKUP($H120,Lists!$P$3:$Q$7,2),IF($N120=Lists!$K$3,IF($L120&lt;1,(($U120/$L120)*((1+Inputs!$D$7)^BA$2)),((INT(BA$2/$L120)-INT((BA$2-1)/$L120))*$U120*((1+Inputs!$D$7)^BA$2))),(_xlfn.WEIBULL.DIST(BA$2,$M120,$L120,FALSE)*$U120*((1+Inputs!$D$7)^BA$2))),IF($N120=Lists!$K$3,IF($L120&lt;1,((($T120*(1-$F120)+$S120*(1-$G120))/$L120)*((1+Inputs!$D$7)^BA$2)),((INT(BA$2/$L120)-INT((BA$2-1)/$L120))*($T120*(1-$F120)+$S120*(1-$G120))*((1+Inputs!$D$7)^BA$2))),((_xlfn.WEIBULL.DIST(BA$2,$M120,$L120,FALSE)*($T120*(1-$F120)+$S120*(1-$G120))*((1+Inputs!$D$7)^BA$2))))))</f>
        <v>0</v>
      </c>
      <c r="BB120" s="88">
        <f>$E120*IF(BB$2&gt;Inputs!$D$5,0,IF(BB$2&gt;VLOOKUP($H120,Lists!$P$3:$Q$7,2),IF($N120=Lists!$K$3,IF($L120&lt;1,(($U120/$L120)*((1+Inputs!$D$7)^BB$2)),((INT(BB$2/$L120)-INT((BB$2-1)/$L120))*$U120*((1+Inputs!$D$7)^BB$2))),(_xlfn.WEIBULL.DIST(BB$2,$M120,$L120,FALSE)*$U120*((1+Inputs!$D$7)^BB$2))),IF($N120=Lists!$K$3,IF($L120&lt;1,((($T120*(1-$F120)+$S120*(1-$G120))/$L120)*((1+Inputs!$D$7)^BB$2)),((INT(BB$2/$L120)-INT((BB$2-1)/$L120))*($T120*(1-$F120)+$S120*(1-$G120))*((1+Inputs!$D$7)^BB$2))),((_xlfn.WEIBULL.DIST(BB$2,$M120,$L120,FALSE)*($T120*(1-$F120)+$S120*(1-$G120))*((1+Inputs!$D$7)^BB$2))))))</f>
        <v>0</v>
      </c>
      <c r="BC120" s="88">
        <f>$E120*IF(BC$2&gt;Inputs!$D$5,0,IF(BC$2&gt;VLOOKUP($H120,Lists!$P$3:$Q$7,2),IF($N120=Lists!$K$3,IF($L120&lt;1,(($U120/$L120)*((1+Inputs!$D$7)^BC$2)),((INT(BC$2/$L120)-INT((BC$2-1)/$L120))*$U120*((1+Inputs!$D$7)^BC$2))),(_xlfn.WEIBULL.DIST(BC$2,$M120,$L120,FALSE)*$U120*((1+Inputs!$D$7)^BC$2))),IF($N120=Lists!$K$3,IF($L120&lt;1,((($T120*(1-$F120)+$S120*(1-$G120))/$L120)*((1+Inputs!$D$7)^BC$2)),((INT(BC$2/$L120)-INT((BC$2-1)/$L120))*($T120*(1-$F120)+$S120*(1-$G120))*((1+Inputs!$D$7)^BC$2))),((_xlfn.WEIBULL.DIST(BC$2,$M120,$L120,FALSE)*($T120*(1-$F120)+$S120*(1-$G120))*((1+Inputs!$D$7)^BC$2))))))</f>
        <v>0</v>
      </c>
      <c r="BD120" s="88">
        <f>$E120*IF(BD$2&gt;Inputs!$D$5,0,IF(BD$2&gt;VLOOKUP($H120,Lists!$P$3:$Q$7,2),IF($N120=Lists!$K$3,IF($L120&lt;1,(($U120/$L120)*((1+Inputs!$D$7)^BD$2)),((INT(BD$2/$L120)-INT((BD$2-1)/$L120))*$U120*((1+Inputs!$D$7)^BD$2))),(_xlfn.WEIBULL.DIST(BD$2,$M120,$L120,FALSE)*$U120*((1+Inputs!$D$7)^BD$2))),IF($N120=Lists!$K$3,IF($L120&lt;1,((($T120*(1-$F120)+$S120*(1-$G120))/$L120)*((1+Inputs!$D$7)^BD$2)),((INT(BD$2/$L120)-INT((BD$2-1)/$L120))*($T120*(1-$F120)+$S120*(1-$G120))*((1+Inputs!$D$7)^BD$2))),((_xlfn.WEIBULL.DIST(BD$2,$M120,$L120,FALSE)*($T120*(1-$F120)+$S120*(1-$G120))*((1+Inputs!$D$7)^BD$2))))))</f>
        <v>0</v>
      </c>
      <c r="BE120" s="88">
        <f>$E120*IF(BE$2&gt;Inputs!$D$5,0,IF(BE$2&gt;VLOOKUP($H120,Lists!$P$3:$Q$7,2),IF($N120=Lists!$K$3,IF($L120&lt;1,(($U120/$L120)*((1+Inputs!$D$7)^BE$2)),((INT(BE$2/$L120)-INT((BE$2-1)/$L120))*$U120*((1+Inputs!$D$7)^BE$2))),(_xlfn.WEIBULL.DIST(BE$2,$M120,$L120,FALSE)*$U120*((1+Inputs!$D$7)^BE$2))),IF($N120=Lists!$K$3,IF($L120&lt;1,((($T120*(1-$F120)+$S120*(1-$G120))/$L120)*((1+Inputs!$D$7)^BE$2)),((INT(BE$2/$L120)-INT((BE$2-1)/$L120))*($T120*(1-$F120)+$S120*(1-$G120))*((1+Inputs!$D$7)^BE$2))),((_xlfn.WEIBULL.DIST(BE$2,$M120,$L120,FALSE)*($T120*(1-$F120)+$S120*(1-$G120))*((1+Inputs!$D$7)^BE$2))))))</f>
        <v>0</v>
      </c>
      <c r="BF120" s="88">
        <f>$E120*IF(BF$2&gt;Inputs!$D$5,0,IF(BF$2&gt;VLOOKUP($H120,Lists!$P$3:$Q$7,2),IF($N120=Lists!$K$3,IF($L120&lt;1,(($U120/$L120)*((1+Inputs!$D$7)^BF$2)),((INT(BF$2/$L120)-INT((BF$2-1)/$L120))*$U120*((1+Inputs!$D$7)^BF$2))),(_xlfn.WEIBULL.DIST(BF$2,$M120,$L120,FALSE)*$U120*((1+Inputs!$D$7)^BF$2))),IF($N120=Lists!$K$3,IF($L120&lt;1,((($T120*(1-$F120)+$S120*(1-$G120))/$L120)*((1+Inputs!$D$7)^BF$2)),((INT(BF$2/$L120)-INT((BF$2-1)/$L120))*($T120*(1-$F120)+$S120*(1-$G120))*((1+Inputs!$D$7)^BF$2))),((_xlfn.WEIBULL.DIST(BF$2,$M120,$L120,FALSE)*($T120*(1-$F120)+$S120*(1-$G120))*((1+Inputs!$D$7)^BF$2))))))</f>
        <v>0</v>
      </c>
      <c r="BG120" s="88">
        <f>$E120*IF(BG$2&gt;Inputs!$D$5,0,IF(BG$2&gt;VLOOKUP($H120,Lists!$P$3:$Q$7,2),IF($N120=Lists!$K$3,IF($L120&lt;1,(($U120/$L120)*((1+Inputs!$D$7)^BG$2)),((INT(BG$2/$L120)-INT((BG$2-1)/$L120))*$U120*((1+Inputs!$D$7)^BG$2))),(_xlfn.WEIBULL.DIST(BG$2,$M120,$L120,FALSE)*$U120*((1+Inputs!$D$7)^BG$2))),IF($N120=Lists!$K$3,IF($L120&lt;1,((($T120*(1-$F120)+$S120*(1-$G120))/$L120)*((1+Inputs!$D$7)^BG$2)),((INT(BG$2/$L120)-INT((BG$2-1)/$L120))*($T120*(1-$F120)+$S120*(1-$G120))*((1+Inputs!$D$7)^BG$2))),((_xlfn.WEIBULL.DIST(BG$2,$M120,$L120,FALSE)*($T120*(1-$F120)+$S120*(1-$G120))*((1+Inputs!$D$7)^BG$2))))))</f>
        <v>0</v>
      </c>
      <c r="BH120" s="88">
        <f>$E120*IF(BH$2&gt;Inputs!$D$5,0,IF(BH$2&gt;VLOOKUP($H120,Lists!$P$3:$Q$7,2),IF($N120=Lists!$K$3,IF($L120&lt;1,(($U120/$L120)*((1+Inputs!$D$7)^BH$2)),((INT(BH$2/$L120)-INT((BH$2-1)/$L120))*$U120*((1+Inputs!$D$7)^BH$2))),(_xlfn.WEIBULL.DIST(BH$2,$M120,$L120,FALSE)*$U120*((1+Inputs!$D$7)^BH$2))),IF($N120=Lists!$K$3,IF($L120&lt;1,((($T120*(1-$F120)+$S120*(1-$G120))/$L120)*((1+Inputs!$D$7)^BH$2)),((INT(BH$2/$L120)-INT((BH$2-1)/$L120))*($T120*(1-$F120)+$S120*(1-$G120))*((1+Inputs!$D$7)^BH$2))),((_xlfn.WEIBULL.DIST(BH$2,$M120,$L120,FALSE)*($T120*(1-$F120)+$S120*(1-$G120))*((1+Inputs!$D$7)^BH$2))))))</f>
        <v>0</v>
      </c>
      <c r="BI120" s="88">
        <f>$E120*IF(BI$2&gt;Inputs!$D$5,0,IF(BI$2&gt;VLOOKUP($H120,Lists!$P$3:$Q$7,2),IF($N120=Lists!$K$3,IF($L120&lt;1,(($U120/$L120)*((1+Inputs!$D$7)^BI$2)),((INT(BI$2/$L120)-INT((BI$2-1)/$L120))*$U120*((1+Inputs!$D$7)^BI$2))),(_xlfn.WEIBULL.DIST(BI$2,$M120,$L120,FALSE)*$U120*((1+Inputs!$D$7)^BI$2))),IF($N120=Lists!$K$3,IF($L120&lt;1,((($T120*(1-$F120)+$S120*(1-$G120))/$L120)*((1+Inputs!$D$7)^BI$2)),((INT(BI$2/$L120)-INT((BI$2-1)/$L120))*($T120*(1-$F120)+$S120*(1-$G120))*((1+Inputs!$D$7)^BI$2))),((_xlfn.WEIBULL.DIST(BI$2,$M120,$L120,FALSE)*($T120*(1-$F120)+$S120*(1-$G120))*((1+Inputs!$D$7)^BI$2))))))</f>
        <v>0</v>
      </c>
      <c r="BJ120" s="88">
        <f>$E120*IF(BJ$2&gt;Inputs!$D$5,0,IF(BJ$2&gt;VLOOKUP($H120,Lists!$P$3:$Q$7,2),IF($N120=Lists!$K$3,IF($L120&lt;1,(($U120/$L120)*((1+Inputs!$D$7)^BJ$2)),((INT(BJ$2/$L120)-INT((BJ$2-1)/$L120))*$U120*((1+Inputs!$D$7)^BJ$2))),(_xlfn.WEIBULL.DIST(BJ$2,$M120,$L120,FALSE)*$U120*((1+Inputs!$D$7)^BJ$2))),IF($N120=Lists!$K$3,IF($L120&lt;1,((($T120*(1-$F120)+$S120*(1-$G120))/$L120)*((1+Inputs!$D$7)^BJ$2)),((INT(BJ$2/$L120)-INT((BJ$2-1)/$L120))*($T120*(1-$F120)+$S120*(1-$G120))*((1+Inputs!$D$7)^BJ$2))),((_xlfn.WEIBULL.DIST(BJ$2,$M120,$L120,FALSE)*($T120*(1-$F120)+$S120*(1-$G120))*((1+Inputs!$D$7)^BJ$2))))))</f>
        <v>0</v>
      </c>
      <c r="BK120" s="88">
        <f>$E120*IF(BK$2&gt;Inputs!$D$5,0,IF(BK$2&gt;VLOOKUP($H120,Lists!$P$3:$Q$7,2),IF($N120=Lists!$K$3,IF($L120&lt;1,(($U120/$L120)*((1+Inputs!$D$7)^BK$2)),((INT(BK$2/$L120)-INT((BK$2-1)/$L120))*$U120*((1+Inputs!$D$7)^BK$2))),(_xlfn.WEIBULL.DIST(BK$2,$M120,$L120,FALSE)*$U120*((1+Inputs!$D$7)^BK$2))),IF($N120=Lists!$K$3,IF($L120&lt;1,((($T120*(1-$F120)+$S120*(1-$G120))/$L120)*((1+Inputs!$D$7)^BK$2)),((INT(BK$2/$L120)-INT((BK$2-1)/$L120))*($T120*(1-$F120)+$S120*(1-$G120))*((1+Inputs!$D$7)^BK$2))),((_xlfn.WEIBULL.DIST(BK$2,$M120,$L120,FALSE)*($T120*(1-$F120)+$S120*(1-$G120))*((1+Inputs!$D$7)^BK$2))))))</f>
        <v>0</v>
      </c>
      <c r="BL120" s="88">
        <f>$E120*IF(BL$2&gt;Inputs!$D$5,0,IF(BL$2&gt;VLOOKUP($H120,Lists!$P$3:$Q$7,2),IF($N120=Lists!$K$3,IF($L120&lt;1,(($U120/$L120)*((1+Inputs!$D$7)^BL$2)),((INT(BL$2/$L120)-INT((BL$2-1)/$L120))*$U120*((1+Inputs!$D$7)^BL$2))),(_xlfn.WEIBULL.DIST(BL$2,$M120,$L120,FALSE)*$U120*((1+Inputs!$D$7)^BL$2))),IF($N120=Lists!$K$3,IF($L120&lt;1,((($T120*(1-$F120)+$S120*(1-$G120))/$L120)*((1+Inputs!$D$7)^BL$2)),((INT(BL$2/$L120)-INT((BL$2-1)/$L120))*($T120*(1-$F120)+$S120*(1-$G120))*((1+Inputs!$D$7)^BL$2))),((_xlfn.WEIBULL.DIST(BL$2,$M120,$L120,FALSE)*($T120*(1-$F120)+$S120*(1-$G120))*((1+Inputs!$D$7)^BL$2))))))</f>
        <v>0</v>
      </c>
      <c r="BM120" s="88">
        <f>$E120*IF(BM$2&gt;Inputs!$D$5,0,IF(BM$2&gt;VLOOKUP($H120,Lists!$P$3:$Q$7,2),IF($N120=Lists!$K$3,IF($L120&lt;1,(($U120/$L120)*((1+Inputs!$D$7)^BM$2)),((INT(BM$2/$L120)-INT((BM$2-1)/$L120))*$U120*((1+Inputs!$D$7)^BM$2))),(_xlfn.WEIBULL.DIST(BM$2,$M120,$L120,FALSE)*$U120*((1+Inputs!$D$7)^BM$2))),IF($N120=Lists!$K$3,IF($L120&lt;1,((($T120*(1-$F120)+$S120*(1-$G120))/$L120)*((1+Inputs!$D$7)^BM$2)),((INT(BM$2/$L120)-INT((BM$2-1)/$L120))*($T120*(1-$F120)+$S120*(1-$G120))*((1+Inputs!$D$7)^BM$2))),((_xlfn.WEIBULL.DIST(BM$2,$M120,$L120,FALSE)*($T120*(1-$F120)+$S120*(1-$G120))*((1+Inputs!$D$7)^BM$2))))))</f>
        <v>0</v>
      </c>
      <c r="BN120" s="88">
        <f>$E120*IF(BN$2&gt;Inputs!$D$5,0,IF(BN$2&gt;VLOOKUP($H120,Lists!$P$3:$Q$7,2),IF($N120=Lists!$K$3,IF($L120&lt;1,(($U120/$L120)*((1+Inputs!$D$7)^BN$2)),((INT(BN$2/$L120)-INT((BN$2-1)/$L120))*$U120*((1+Inputs!$D$7)^BN$2))),(_xlfn.WEIBULL.DIST(BN$2,$M120,$L120,FALSE)*$U120*((1+Inputs!$D$7)^BN$2))),IF($N120=Lists!$K$3,IF($L120&lt;1,((($T120*(1-$F120)+$S120*(1-$G120))/$L120)*((1+Inputs!$D$7)^BN$2)),((INT(BN$2/$L120)-INT((BN$2-1)/$L120))*($T120*(1-$F120)+$S120*(1-$G120))*((1+Inputs!$D$7)^BN$2))),((_xlfn.WEIBULL.DIST(BN$2,$M120,$L120,FALSE)*($T120*(1-$F120)+$S120*(1-$G120))*((1+Inputs!$D$7)^BN$2))))))</f>
        <v>0</v>
      </c>
      <c r="BO120" s="64">
        <f>NPV(Inputs!$D$6,BQ120:DD120)</f>
        <v>0</v>
      </c>
      <c r="BP120" s="67">
        <f t="shared" si="27"/>
        <v>0</v>
      </c>
      <c r="BQ120" s="88">
        <f>MAX(AA120,($E120*IF(BQ$2&gt;Inputs!$D$5,0,IF(BQ$2&gt;VLOOKUP($H120,Lists!$P$3:$Q$7,2),IF($N120=Lists!$K$3,IF($L120&lt;1,(($U120/$L120)*((1+Inputs!$D$7)^BQ$2)),((INT(BQ$2/$L120)-INT((BQ$2-1)/$L120))*$U120*((1+Inputs!$D$7)^BQ$2))),(Inputs!$D$8^((1-_xlfn.WEIBULL.DIST(BQ$2,$M120,$L120,FALSE))/_xlfn.WEIBULL.DIST(BQ$2,$M120,$L120,FALSE))*$U120*((1+Inputs!$D$7)^BQ$2))),IF($N120=Lists!$K$3,IF($L120&lt;1,((($T120*(1-$F120)+$S120*(1-$G120))/$L120)*((1+Inputs!$D$7)^BQ$2)),((INT(BQ$2/$L120)-INT((BQ$2-1)/$L120))*($T120*(1-$F120)+$S120*(1-$G120))*((1+Inputs!$D$7)^BQ$2))),((Inputs!$D$8^((1-_xlfn.WEIBULL.DIST(BQ$2,$M120,$L120,FALSE))/_xlfn.WEIBULL.DIST(BQ$2,$M120,$L120,FALSE))*($T120*(1-$F120)+$S120*(1-$G120))*((1+Inputs!$D$7)^BQ$2))))))))</f>
        <v>0</v>
      </c>
      <c r="BR120" s="88">
        <f>MAX(AB120,($E120*IF(BR$2&gt;Inputs!$D$5,0,IF(BR$2&gt;VLOOKUP($H120,Lists!$P$3:$Q$7,2),IF($N120=Lists!$K$3,IF($L120&lt;1,(($U120/$L120)*((1+Inputs!$D$7)^BR$2)),((INT(BR$2/$L120)-INT((BR$2-1)/$L120))*$U120*((1+Inputs!$D$7)^BR$2))),(Inputs!$D$8^((1-_xlfn.WEIBULL.DIST(BR$2,$M120,$L120,FALSE))/_xlfn.WEIBULL.DIST(BR$2,$M120,$L120,FALSE))*$U120*((1+Inputs!$D$7)^BR$2))),IF($N120=Lists!$K$3,IF($L120&lt;1,((($T120*(1-$F120)+$S120*(1-$G120))/$L120)*((1+Inputs!$D$7)^BR$2)),((INT(BR$2/$L120)-INT((BR$2-1)/$L120))*($T120*(1-$F120)+$S120*(1-$G120))*((1+Inputs!$D$7)^BR$2))),((Inputs!$D$8^((1-_xlfn.WEIBULL.DIST(BR$2,$M120,$L120,FALSE))/_xlfn.WEIBULL.DIST(BR$2,$M120,$L120,FALSE))*($T120*(1-$F120)+$S120*(1-$G120))*((1+Inputs!$D$7)^BR$2))))))))</f>
        <v>0</v>
      </c>
      <c r="BS120" s="88">
        <f>MAX(AC120,($E120*IF(BS$2&gt;Inputs!$D$5,0,IF(BS$2&gt;VLOOKUP($H120,Lists!$P$3:$Q$7,2),IF($N120=Lists!$K$3,IF($L120&lt;1,(($U120/$L120)*((1+Inputs!$D$7)^BS$2)),((INT(BS$2/$L120)-INT((BS$2-1)/$L120))*$U120*((1+Inputs!$D$7)^BS$2))),(Inputs!$D$8^((1-_xlfn.WEIBULL.DIST(BS$2,$M120,$L120,FALSE))/_xlfn.WEIBULL.DIST(BS$2,$M120,$L120,FALSE))*$U120*((1+Inputs!$D$7)^BS$2))),IF($N120=Lists!$K$3,IF($L120&lt;1,((($T120*(1-$F120)+$S120*(1-$G120))/$L120)*((1+Inputs!$D$7)^BS$2)),((INT(BS$2/$L120)-INT((BS$2-1)/$L120))*($T120*(1-$F120)+$S120*(1-$G120))*((1+Inputs!$D$7)^BS$2))),((Inputs!$D$8^((1-_xlfn.WEIBULL.DIST(BS$2,$M120,$L120,FALSE))/_xlfn.WEIBULL.DIST(BS$2,$M120,$L120,FALSE))*($T120*(1-$F120)+$S120*(1-$G120))*((1+Inputs!$D$7)^BS$2))))))))</f>
        <v>0</v>
      </c>
      <c r="BT120" s="88">
        <f>MAX(AD120,($E120*IF(BT$2&gt;Inputs!$D$5,0,IF(BT$2&gt;VLOOKUP($H120,Lists!$P$3:$Q$7,2),IF($N120=Lists!$K$3,IF($L120&lt;1,(($U120/$L120)*((1+Inputs!$D$7)^BT$2)),((INT(BT$2/$L120)-INT((BT$2-1)/$L120))*$U120*((1+Inputs!$D$7)^BT$2))),(Inputs!$D$8^((1-_xlfn.WEIBULL.DIST(BT$2,$M120,$L120,FALSE))/_xlfn.WEIBULL.DIST(BT$2,$M120,$L120,FALSE))*$U120*((1+Inputs!$D$7)^BT$2))),IF($N120=Lists!$K$3,IF($L120&lt;1,((($T120*(1-$F120)+$S120*(1-$G120))/$L120)*((1+Inputs!$D$7)^BT$2)),((INT(BT$2/$L120)-INT((BT$2-1)/$L120))*($T120*(1-$F120)+$S120*(1-$G120))*((1+Inputs!$D$7)^BT$2))),((Inputs!$D$8^((1-_xlfn.WEIBULL.DIST(BT$2,$M120,$L120,FALSE))/_xlfn.WEIBULL.DIST(BT$2,$M120,$L120,FALSE))*($T120*(1-$F120)+$S120*(1-$G120))*((1+Inputs!$D$7)^BT$2))))))))</f>
        <v>0</v>
      </c>
      <c r="BU120" s="88">
        <f>MAX(AE120,($E120*IF(BU$2&gt;Inputs!$D$5,0,IF(BU$2&gt;VLOOKUP($H120,Lists!$P$3:$Q$7,2),IF($N120=Lists!$K$3,IF($L120&lt;1,(($U120/$L120)*((1+Inputs!$D$7)^BU$2)),((INT(BU$2/$L120)-INT((BU$2-1)/$L120))*$U120*((1+Inputs!$D$7)^BU$2))),(Inputs!$D$8^((1-_xlfn.WEIBULL.DIST(BU$2,$M120,$L120,FALSE))/_xlfn.WEIBULL.DIST(BU$2,$M120,$L120,FALSE))*$U120*((1+Inputs!$D$7)^BU$2))),IF($N120=Lists!$K$3,IF($L120&lt;1,((($T120*(1-$F120)+$S120*(1-$G120))/$L120)*((1+Inputs!$D$7)^BU$2)),((INT(BU$2/$L120)-INT((BU$2-1)/$L120))*($T120*(1-$F120)+$S120*(1-$G120))*((1+Inputs!$D$7)^BU$2))),((Inputs!$D$8^((1-_xlfn.WEIBULL.DIST(BU$2,$M120,$L120,FALSE))/_xlfn.WEIBULL.DIST(BU$2,$M120,$L120,FALSE))*($T120*(1-$F120)+$S120*(1-$G120))*((1+Inputs!$D$7)^BU$2))))))))</f>
        <v>0</v>
      </c>
      <c r="BV120" s="88">
        <f>MAX(AF120,($E120*IF(BV$2&gt;Inputs!$D$5,0,IF(BV$2&gt;VLOOKUP($H120,Lists!$P$3:$Q$7,2),IF($N120=Lists!$K$3,IF($L120&lt;1,(($U120/$L120)*((1+Inputs!$D$7)^BV$2)),((INT(BV$2/$L120)-INT((BV$2-1)/$L120))*$U120*((1+Inputs!$D$7)^BV$2))),(Inputs!$D$8^((1-_xlfn.WEIBULL.DIST(BV$2,$M120,$L120,FALSE))/_xlfn.WEIBULL.DIST(BV$2,$M120,$L120,FALSE))*$U120*((1+Inputs!$D$7)^BV$2))),IF($N120=Lists!$K$3,IF($L120&lt;1,((($T120*(1-$F120)+$S120*(1-$G120))/$L120)*((1+Inputs!$D$7)^BV$2)),((INT(BV$2/$L120)-INT((BV$2-1)/$L120))*($T120*(1-$F120)+$S120*(1-$G120))*((1+Inputs!$D$7)^BV$2))),((Inputs!$D$8^((1-_xlfn.WEIBULL.DIST(BV$2,$M120,$L120,FALSE))/_xlfn.WEIBULL.DIST(BV$2,$M120,$L120,FALSE))*($T120*(1-$F120)+$S120*(1-$G120))*((1+Inputs!$D$7)^BV$2))))))))</f>
        <v>0</v>
      </c>
      <c r="BW120" s="88">
        <f>MAX(AG120,($E120*IF(BW$2&gt;Inputs!$D$5,0,IF(BW$2&gt;VLOOKUP($H120,Lists!$P$3:$Q$7,2),IF($N120=Lists!$K$3,IF($L120&lt;1,(($U120/$L120)*((1+Inputs!$D$7)^BW$2)),((INT(BW$2/$L120)-INT((BW$2-1)/$L120))*$U120*((1+Inputs!$D$7)^BW$2))),(Inputs!$D$8^((1-_xlfn.WEIBULL.DIST(BW$2,$M120,$L120,FALSE))/_xlfn.WEIBULL.DIST(BW$2,$M120,$L120,FALSE))*$U120*((1+Inputs!$D$7)^BW$2))),IF($N120=Lists!$K$3,IF($L120&lt;1,((($T120*(1-$F120)+$S120*(1-$G120))/$L120)*((1+Inputs!$D$7)^BW$2)),((INT(BW$2/$L120)-INT((BW$2-1)/$L120))*($T120*(1-$F120)+$S120*(1-$G120))*((1+Inputs!$D$7)^BW$2))),((Inputs!$D$8^((1-_xlfn.WEIBULL.DIST(BW$2,$M120,$L120,FALSE))/_xlfn.WEIBULL.DIST(BW$2,$M120,$L120,FALSE))*($T120*(1-$F120)+$S120*(1-$G120))*((1+Inputs!$D$7)^BW$2))))))))</f>
        <v>0</v>
      </c>
      <c r="BX120" s="88">
        <f>MAX(AH120,($E120*IF(BX$2&gt;Inputs!$D$5,0,IF(BX$2&gt;VLOOKUP($H120,Lists!$P$3:$Q$7,2),IF($N120=Lists!$K$3,IF($L120&lt;1,(($U120/$L120)*((1+Inputs!$D$7)^BX$2)),((INT(BX$2/$L120)-INT((BX$2-1)/$L120))*$U120*((1+Inputs!$D$7)^BX$2))),(Inputs!$D$8^((1-_xlfn.WEIBULL.DIST(BX$2,$M120,$L120,FALSE))/_xlfn.WEIBULL.DIST(BX$2,$M120,$L120,FALSE))*$U120*((1+Inputs!$D$7)^BX$2))),IF($N120=Lists!$K$3,IF($L120&lt;1,((($T120*(1-$F120)+$S120*(1-$G120))/$L120)*((1+Inputs!$D$7)^BX$2)),((INT(BX$2/$L120)-INT((BX$2-1)/$L120))*($T120*(1-$F120)+$S120*(1-$G120))*((1+Inputs!$D$7)^BX$2))),((Inputs!$D$8^((1-_xlfn.WEIBULL.DIST(BX$2,$M120,$L120,FALSE))/_xlfn.WEIBULL.DIST(BX$2,$M120,$L120,FALSE))*($T120*(1-$F120)+$S120*(1-$G120))*((1+Inputs!$D$7)^BX$2))))))))</f>
        <v>0</v>
      </c>
      <c r="BY120" s="88">
        <f>MAX(AI120,($E120*IF(BY$2&gt;Inputs!$D$5,0,IF(BY$2&gt;VLOOKUP($H120,Lists!$P$3:$Q$7,2),IF($N120=Lists!$K$3,IF($L120&lt;1,(($U120/$L120)*((1+Inputs!$D$7)^BY$2)),((INT(BY$2/$L120)-INT((BY$2-1)/$L120))*$U120*((1+Inputs!$D$7)^BY$2))),(Inputs!$D$8^((1-_xlfn.WEIBULL.DIST(BY$2,$M120,$L120,FALSE))/_xlfn.WEIBULL.DIST(BY$2,$M120,$L120,FALSE))*$U120*((1+Inputs!$D$7)^BY$2))),IF($N120=Lists!$K$3,IF($L120&lt;1,((($T120*(1-$F120)+$S120*(1-$G120))/$L120)*((1+Inputs!$D$7)^BY$2)),((INT(BY$2/$L120)-INT((BY$2-1)/$L120))*($T120*(1-$F120)+$S120*(1-$G120))*((1+Inputs!$D$7)^BY$2))),((Inputs!$D$8^((1-_xlfn.WEIBULL.DIST(BY$2,$M120,$L120,FALSE))/_xlfn.WEIBULL.DIST(BY$2,$M120,$L120,FALSE))*($T120*(1-$F120)+$S120*(1-$G120))*((1+Inputs!$D$7)^BY$2))))))))</f>
        <v>0</v>
      </c>
      <c r="BZ120" s="88">
        <f>MAX(AJ120,($E120*IF(BZ$2&gt;Inputs!$D$5,0,IF(BZ$2&gt;VLOOKUP($H120,Lists!$P$3:$Q$7,2),IF($N120=Lists!$K$3,IF($L120&lt;1,(($U120/$L120)*((1+Inputs!$D$7)^BZ$2)),((INT(BZ$2/$L120)-INT((BZ$2-1)/$L120))*$U120*((1+Inputs!$D$7)^BZ$2))),(Inputs!$D$8^((1-_xlfn.WEIBULL.DIST(BZ$2,$M120,$L120,FALSE))/_xlfn.WEIBULL.DIST(BZ$2,$M120,$L120,FALSE))*$U120*((1+Inputs!$D$7)^BZ$2))),IF($N120=Lists!$K$3,IF($L120&lt;1,((($T120*(1-$F120)+$S120*(1-$G120))/$L120)*((1+Inputs!$D$7)^BZ$2)),((INT(BZ$2/$L120)-INT((BZ$2-1)/$L120))*($T120*(1-$F120)+$S120*(1-$G120))*((1+Inputs!$D$7)^BZ$2))),((Inputs!$D$8^((1-_xlfn.WEIBULL.DIST(BZ$2,$M120,$L120,FALSE))/_xlfn.WEIBULL.DIST(BZ$2,$M120,$L120,FALSE))*($T120*(1-$F120)+$S120*(1-$G120))*((1+Inputs!$D$7)^BZ$2))))))))</f>
        <v>0</v>
      </c>
      <c r="CA120" s="88">
        <f>MAX(AK120,($E120*IF(CA$2&gt;Inputs!$D$5,0,IF(CA$2&gt;VLOOKUP($H120,Lists!$P$3:$Q$7,2),IF($N120=Lists!$K$3,IF($L120&lt;1,(($U120/$L120)*((1+Inputs!$D$7)^CA$2)),((INT(CA$2/$L120)-INT((CA$2-1)/$L120))*$U120*((1+Inputs!$D$7)^CA$2))),(Inputs!$D$8^((1-_xlfn.WEIBULL.DIST(CA$2,$M120,$L120,FALSE))/_xlfn.WEIBULL.DIST(CA$2,$M120,$L120,FALSE))*$U120*((1+Inputs!$D$7)^CA$2))),IF($N120=Lists!$K$3,IF($L120&lt;1,((($T120*(1-$F120)+$S120*(1-$G120))/$L120)*((1+Inputs!$D$7)^CA$2)),((INT(CA$2/$L120)-INT((CA$2-1)/$L120))*($T120*(1-$F120)+$S120*(1-$G120))*((1+Inputs!$D$7)^CA$2))),((Inputs!$D$8^((1-_xlfn.WEIBULL.DIST(CA$2,$M120,$L120,FALSE))/_xlfn.WEIBULL.DIST(CA$2,$M120,$L120,FALSE))*($T120*(1-$F120)+$S120*(1-$G120))*((1+Inputs!$D$7)^CA$2))))))))</f>
        <v>0</v>
      </c>
      <c r="CB120" s="88">
        <f>MAX(AL120,($E120*IF(CB$2&gt;Inputs!$D$5,0,IF(CB$2&gt;VLOOKUP($H120,Lists!$P$3:$Q$7,2),IF($N120=Lists!$K$3,IF($L120&lt;1,(($U120/$L120)*((1+Inputs!$D$7)^CB$2)),((INT(CB$2/$L120)-INT((CB$2-1)/$L120))*$U120*((1+Inputs!$D$7)^CB$2))),(Inputs!$D$8^((1-_xlfn.WEIBULL.DIST(CB$2,$M120,$L120,FALSE))/_xlfn.WEIBULL.DIST(CB$2,$M120,$L120,FALSE))*$U120*((1+Inputs!$D$7)^CB$2))),IF($N120=Lists!$K$3,IF($L120&lt;1,((($T120*(1-$F120)+$S120*(1-$G120))/$L120)*((1+Inputs!$D$7)^CB$2)),((INT(CB$2/$L120)-INT((CB$2-1)/$L120))*($T120*(1-$F120)+$S120*(1-$G120))*((1+Inputs!$D$7)^CB$2))),((Inputs!$D$8^((1-_xlfn.WEIBULL.DIST(CB$2,$M120,$L120,FALSE))/_xlfn.WEIBULL.DIST(CB$2,$M120,$L120,FALSE))*($T120*(1-$F120)+$S120*(1-$G120))*((1+Inputs!$D$7)^CB$2))))))))</f>
        <v>0</v>
      </c>
      <c r="CC120" s="88">
        <f>MAX(AM120,($E120*IF(CC$2&gt;Inputs!$D$5,0,IF(CC$2&gt;VLOOKUP($H120,Lists!$P$3:$Q$7,2),IF($N120=Lists!$K$3,IF($L120&lt;1,(($U120/$L120)*((1+Inputs!$D$7)^CC$2)),((INT(CC$2/$L120)-INT((CC$2-1)/$L120))*$U120*((1+Inputs!$D$7)^CC$2))),(Inputs!$D$8^((1-_xlfn.WEIBULL.DIST(CC$2,$M120,$L120,FALSE))/_xlfn.WEIBULL.DIST(CC$2,$M120,$L120,FALSE))*$U120*((1+Inputs!$D$7)^CC$2))),IF($N120=Lists!$K$3,IF($L120&lt;1,((($T120*(1-$F120)+$S120*(1-$G120))/$L120)*((1+Inputs!$D$7)^CC$2)),((INT(CC$2/$L120)-INT((CC$2-1)/$L120))*($T120*(1-$F120)+$S120*(1-$G120))*((1+Inputs!$D$7)^CC$2))),((Inputs!$D$8^((1-_xlfn.WEIBULL.DIST(CC$2,$M120,$L120,FALSE))/_xlfn.WEIBULL.DIST(CC$2,$M120,$L120,FALSE))*($T120*(1-$F120)+$S120*(1-$G120))*((1+Inputs!$D$7)^CC$2))))))))</f>
        <v>0</v>
      </c>
      <c r="CD120" s="88">
        <f>MAX(AN120,($E120*IF(CD$2&gt;Inputs!$D$5,0,IF(CD$2&gt;VLOOKUP($H120,Lists!$P$3:$Q$7,2),IF($N120=Lists!$K$3,IF($L120&lt;1,(($U120/$L120)*((1+Inputs!$D$7)^CD$2)),((INT(CD$2/$L120)-INT((CD$2-1)/$L120))*$U120*((1+Inputs!$D$7)^CD$2))),(Inputs!$D$8^((1-_xlfn.WEIBULL.DIST(CD$2,$M120,$L120,FALSE))/_xlfn.WEIBULL.DIST(CD$2,$M120,$L120,FALSE))*$U120*((1+Inputs!$D$7)^CD$2))),IF($N120=Lists!$K$3,IF($L120&lt;1,((($T120*(1-$F120)+$S120*(1-$G120))/$L120)*((1+Inputs!$D$7)^CD$2)),((INT(CD$2/$L120)-INT((CD$2-1)/$L120))*($T120*(1-$F120)+$S120*(1-$G120))*((1+Inputs!$D$7)^CD$2))),((Inputs!$D$8^((1-_xlfn.WEIBULL.DIST(CD$2,$M120,$L120,FALSE))/_xlfn.WEIBULL.DIST(CD$2,$M120,$L120,FALSE))*($T120*(1-$F120)+$S120*(1-$G120))*((1+Inputs!$D$7)^CD$2))))))))</f>
        <v>0</v>
      </c>
      <c r="CE120" s="88">
        <f>MAX(AO120,($E120*IF(CE$2&gt;Inputs!$D$5,0,IF(CE$2&gt;VLOOKUP($H120,Lists!$P$3:$Q$7,2),IF($N120=Lists!$K$3,IF($L120&lt;1,(($U120/$L120)*((1+Inputs!$D$7)^CE$2)),((INT(CE$2/$L120)-INT((CE$2-1)/$L120))*$U120*((1+Inputs!$D$7)^CE$2))),(Inputs!$D$8^((1-_xlfn.WEIBULL.DIST(CE$2,$M120,$L120,FALSE))/_xlfn.WEIBULL.DIST(CE$2,$M120,$L120,FALSE))*$U120*((1+Inputs!$D$7)^CE$2))),IF($N120=Lists!$K$3,IF($L120&lt;1,((($T120*(1-$F120)+$S120*(1-$G120))/$L120)*((1+Inputs!$D$7)^CE$2)),((INT(CE$2/$L120)-INT((CE$2-1)/$L120))*($T120*(1-$F120)+$S120*(1-$G120))*((1+Inputs!$D$7)^CE$2))),((Inputs!$D$8^((1-_xlfn.WEIBULL.DIST(CE$2,$M120,$L120,FALSE))/_xlfn.WEIBULL.DIST(CE$2,$M120,$L120,FALSE))*($T120*(1-$F120)+$S120*(1-$G120))*((1+Inputs!$D$7)^CE$2))))))))</f>
        <v>0</v>
      </c>
      <c r="CF120" s="88">
        <f>MAX(AP120,($E120*IF(CF$2&gt;Inputs!$D$5,0,IF(CF$2&gt;VLOOKUP($H120,Lists!$P$3:$Q$7,2),IF($N120=Lists!$K$3,IF($L120&lt;1,(($U120/$L120)*((1+Inputs!$D$7)^CF$2)),((INT(CF$2/$L120)-INT((CF$2-1)/$L120))*$U120*((1+Inputs!$D$7)^CF$2))),(Inputs!$D$8^((1-_xlfn.WEIBULL.DIST(CF$2,$M120,$L120,FALSE))/_xlfn.WEIBULL.DIST(CF$2,$M120,$L120,FALSE))*$U120*((1+Inputs!$D$7)^CF$2))),IF($N120=Lists!$K$3,IF($L120&lt;1,((($T120*(1-$F120)+$S120*(1-$G120))/$L120)*((1+Inputs!$D$7)^CF$2)),((INT(CF$2/$L120)-INT((CF$2-1)/$L120))*($T120*(1-$F120)+$S120*(1-$G120))*((1+Inputs!$D$7)^CF$2))),((Inputs!$D$8^((1-_xlfn.WEIBULL.DIST(CF$2,$M120,$L120,FALSE))/_xlfn.WEIBULL.DIST(CF$2,$M120,$L120,FALSE))*($T120*(1-$F120)+$S120*(1-$G120))*((1+Inputs!$D$7)^CF$2))))))))</f>
        <v>0</v>
      </c>
      <c r="CG120" s="88">
        <f>MAX(AQ120,($E120*IF(CG$2&gt;Inputs!$D$5,0,IF(CG$2&gt;VLOOKUP($H120,Lists!$P$3:$Q$7,2),IF($N120=Lists!$K$3,IF($L120&lt;1,(($U120/$L120)*((1+Inputs!$D$7)^CG$2)),((INT(CG$2/$L120)-INT((CG$2-1)/$L120))*$U120*((1+Inputs!$D$7)^CG$2))),(Inputs!$D$8^((1-_xlfn.WEIBULL.DIST(CG$2,$M120,$L120,FALSE))/_xlfn.WEIBULL.DIST(CG$2,$M120,$L120,FALSE))*$U120*((1+Inputs!$D$7)^CG$2))),IF($N120=Lists!$K$3,IF($L120&lt;1,((($T120*(1-$F120)+$S120*(1-$G120))/$L120)*((1+Inputs!$D$7)^CG$2)),((INT(CG$2/$L120)-INT((CG$2-1)/$L120))*($T120*(1-$F120)+$S120*(1-$G120))*((1+Inputs!$D$7)^CG$2))),((Inputs!$D$8^((1-_xlfn.WEIBULL.DIST(CG$2,$M120,$L120,FALSE))/_xlfn.WEIBULL.DIST(CG$2,$M120,$L120,FALSE))*($T120*(1-$F120)+$S120*(1-$G120))*((1+Inputs!$D$7)^CG$2))))))))</f>
        <v>0</v>
      </c>
      <c r="CH120" s="88">
        <f>MAX(AR120,($E120*IF(CH$2&gt;Inputs!$D$5,0,IF(CH$2&gt;VLOOKUP($H120,Lists!$P$3:$Q$7,2),IF($N120=Lists!$K$3,IF($L120&lt;1,(($U120/$L120)*((1+Inputs!$D$7)^CH$2)),((INT(CH$2/$L120)-INT((CH$2-1)/$L120))*$U120*((1+Inputs!$D$7)^CH$2))),(Inputs!$D$8^((1-_xlfn.WEIBULL.DIST(CH$2,$M120,$L120,FALSE))/_xlfn.WEIBULL.DIST(CH$2,$M120,$L120,FALSE))*$U120*((1+Inputs!$D$7)^CH$2))),IF($N120=Lists!$K$3,IF($L120&lt;1,((($T120*(1-$F120)+$S120*(1-$G120))/$L120)*((1+Inputs!$D$7)^CH$2)),((INT(CH$2/$L120)-INT((CH$2-1)/$L120))*($T120*(1-$F120)+$S120*(1-$G120))*((1+Inputs!$D$7)^CH$2))),((Inputs!$D$8^((1-_xlfn.WEIBULL.DIST(CH$2,$M120,$L120,FALSE))/_xlfn.WEIBULL.DIST(CH$2,$M120,$L120,FALSE))*($T120*(1-$F120)+$S120*(1-$G120))*((1+Inputs!$D$7)^CH$2))))))))</f>
        <v>0</v>
      </c>
      <c r="CI120" s="88">
        <f>MAX(AS120,($E120*IF(CI$2&gt;Inputs!$D$5,0,IF(CI$2&gt;VLOOKUP($H120,Lists!$P$3:$Q$7,2),IF($N120=Lists!$K$3,IF($L120&lt;1,(($U120/$L120)*((1+Inputs!$D$7)^CI$2)),((INT(CI$2/$L120)-INT((CI$2-1)/$L120))*$U120*((1+Inputs!$D$7)^CI$2))),(Inputs!$D$8^((1-_xlfn.WEIBULL.DIST(CI$2,$M120,$L120,FALSE))/_xlfn.WEIBULL.DIST(CI$2,$M120,$L120,FALSE))*$U120*((1+Inputs!$D$7)^CI$2))),IF($N120=Lists!$K$3,IF($L120&lt;1,((($T120*(1-$F120)+$S120*(1-$G120))/$L120)*((1+Inputs!$D$7)^CI$2)),((INT(CI$2/$L120)-INT((CI$2-1)/$L120))*($T120*(1-$F120)+$S120*(1-$G120))*((1+Inputs!$D$7)^CI$2))),((Inputs!$D$8^((1-_xlfn.WEIBULL.DIST(CI$2,$M120,$L120,FALSE))/_xlfn.WEIBULL.DIST(CI$2,$M120,$L120,FALSE))*($T120*(1-$F120)+$S120*(1-$G120))*((1+Inputs!$D$7)^CI$2))))))))</f>
        <v>0</v>
      </c>
      <c r="CJ120" s="88">
        <f>MAX(AT120,($E120*IF(CJ$2&gt;Inputs!$D$5,0,IF(CJ$2&gt;VLOOKUP($H120,Lists!$P$3:$Q$7,2),IF($N120=Lists!$K$3,IF($L120&lt;1,(($U120/$L120)*((1+Inputs!$D$7)^CJ$2)),((INT(CJ$2/$L120)-INT((CJ$2-1)/$L120))*$U120*((1+Inputs!$D$7)^CJ$2))),(Inputs!$D$8^((1-_xlfn.WEIBULL.DIST(CJ$2,$M120,$L120,FALSE))/_xlfn.WEIBULL.DIST(CJ$2,$M120,$L120,FALSE))*$U120*((1+Inputs!$D$7)^CJ$2))),IF($N120=Lists!$K$3,IF($L120&lt;1,((($T120*(1-$F120)+$S120*(1-$G120))/$L120)*((1+Inputs!$D$7)^CJ$2)),((INT(CJ$2/$L120)-INT((CJ$2-1)/$L120))*($T120*(1-$F120)+$S120*(1-$G120))*((1+Inputs!$D$7)^CJ$2))),((Inputs!$D$8^((1-_xlfn.WEIBULL.DIST(CJ$2,$M120,$L120,FALSE))/_xlfn.WEIBULL.DIST(CJ$2,$M120,$L120,FALSE))*($T120*(1-$F120)+$S120*(1-$G120))*((1+Inputs!$D$7)^CJ$2))))))))</f>
        <v>0</v>
      </c>
      <c r="CK120" s="88">
        <f>MAX(AU120,($E120*IF(CK$2&gt;Inputs!$D$5,0,IF(CK$2&gt;VLOOKUP($H120,Lists!$P$3:$Q$7,2),IF($N120=Lists!$K$3,IF($L120&lt;1,(($U120/$L120)*((1+Inputs!$D$7)^CK$2)),((INT(CK$2/$L120)-INT((CK$2-1)/$L120))*$U120*((1+Inputs!$D$7)^CK$2))),(Inputs!$D$8^((1-_xlfn.WEIBULL.DIST(CK$2,$M120,$L120,FALSE))/_xlfn.WEIBULL.DIST(CK$2,$M120,$L120,FALSE))*$U120*((1+Inputs!$D$7)^CK$2))),IF($N120=Lists!$K$3,IF($L120&lt;1,((($T120*(1-$F120)+$S120*(1-$G120))/$L120)*((1+Inputs!$D$7)^CK$2)),((INT(CK$2/$L120)-INT((CK$2-1)/$L120))*($T120*(1-$F120)+$S120*(1-$G120))*((1+Inputs!$D$7)^CK$2))),((Inputs!$D$8^((1-_xlfn.WEIBULL.DIST(CK$2,$M120,$L120,FALSE))/_xlfn.WEIBULL.DIST(CK$2,$M120,$L120,FALSE))*($T120*(1-$F120)+$S120*(1-$G120))*((1+Inputs!$D$7)^CK$2))))))))</f>
        <v>0</v>
      </c>
      <c r="CL120" s="88">
        <f>MAX(AV120,($E120*IF(CL$2&gt;Inputs!$D$5,0,IF(CL$2&gt;VLOOKUP($H120,Lists!$P$3:$Q$7,2),IF($N120=Lists!$K$3,IF($L120&lt;1,(($U120/$L120)*((1+Inputs!$D$7)^CL$2)),((INT(CL$2/$L120)-INT((CL$2-1)/$L120))*$U120*((1+Inputs!$D$7)^CL$2))),(Inputs!$D$8^((1-_xlfn.WEIBULL.DIST(CL$2,$M120,$L120,FALSE))/_xlfn.WEIBULL.DIST(CL$2,$M120,$L120,FALSE))*$U120*((1+Inputs!$D$7)^CL$2))),IF($N120=Lists!$K$3,IF($L120&lt;1,((($T120*(1-$F120)+$S120*(1-$G120))/$L120)*((1+Inputs!$D$7)^CL$2)),((INT(CL$2/$L120)-INT((CL$2-1)/$L120))*($T120*(1-$F120)+$S120*(1-$G120))*((1+Inputs!$D$7)^CL$2))),((Inputs!$D$8^((1-_xlfn.WEIBULL.DIST(CL$2,$M120,$L120,FALSE))/_xlfn.WEIBULL.DIST(CL$2,$M120,$L120,FALSE))*($T120*(1-$F120)+$S120*(1-$G120))*((1+Inputs!$D$7)^CL$2))))))))</f>
        <v>0</v>
      </c>
      <c r="CM120" s="88">
        <f>MAX(AW120,($E120*IF(CM$2&gt;Inputs!$D$5,0,IF(CM$2&gt;VLOOKUP($H120,Lists!$P$3:$Q$7,2),IF($N120=Lists!$K$3,IF($L120&lt;1,(($U120/$L120)*((1+Inputs!$D$7)^CM$2)),((INT(CM$2/$L120)-INT((CM$2-1)/$L120))*$U120*((1+Inputs!$D$7)^CM$2))),(Inputs!$D$8^((1-_xlfn.WEIBULL.DIST(CM$2,$M120,$L120,FALSE))/_xlfn.WEIBULL.DIST(CM$2,$M120,$L120,FALSE))*$U120*((1+Inputs!$D$7)^CM$2))),IF($N120=Lists!$K$3,IF($L120&lt;1,((($T120*(1-$F120)+$S120*(1-$G120))/$L120)*((1+Inputs!$D$7)^CM$2)),((INT(CM$2/$L120)-INT((CM$2-1)/$L120))*($T120*(1-$F120)+$S120*(1-$G120))*((1+Inputs!$D$7)^CM$2))),((Inputs!$D$8^((1-_xlfn.WEIBULL.DIST(CM$2,$M120,$L120,FALSE))/_xlfn.WEIBULL.DIST(CM$2,$M120,$L120,FALSE))*($T120*(1-$F120)+$S120*(1-$G120))*((1+Inputs!$D$7)^CM$2))))))))</f>
        <v>0</v>
      </c>
      <c r="CN120" s="88">
        <f>MAX(AX120,($E120*IF(CN$2&gt;Inputs!$D$5,0,IF(CN$2&gt;VLOOKUP($H120,Lists!$P$3:$Q$7,2),IF($N120=Lists!$K$3,IF($L120&lt;1,(($U120/$L120)*((1+Inputs!$D$7)^CN$2)),((INT(CN$2/$L120)-INT((CN$2-1)/$L120))*$U120*((1+Inputs!$D$7)^CN$2))),(Inputs!$D$8^((1-_xlfn.WEIBULL.DIST(CN$2,$M120,$L120,FALSE))/_xlfn.WEIBULL.DIST(CN$2,$M120,$L120,FALSE))*$U120*((1+Inputs!$D$7)^CN$2))),IF($N120=Lists!$K$3,IF($L120&lt;1,((($T120*(1-$F120)+$S120*(1-$G120))/$L120)*((1+Inputs!$D$7)^CN$2)),((INT(CN$2/$L120)-INT((CN$2-1)/$L120))*($T120*(1-$F120)+$S120*(1-$G120))*((1+Inputs!$D$7)^CN$2))),((Inputs!$D$8^((1-_xlfn.WEIBULL.DIST(CN$2,$M120,$L120,FALSE))/_xlfn.WEIBULL.DIST(CN$2,$M120,$L120,FALSE))*($T120*(1-$F120)+$S120*(1-$G120))*((1+Inputs!$D$7)^CN$2))))))))</f>
        <v>0</v>
      </c>
      <c r="CO120" s="88">
        <f>MAX(AY120,($E120*IF(CO$2&gt;Inputs!$D$5,0,IF(CO$2&gt;VLOOKUP($H120,Lists!$P$3:$Q$7,2),IF($N120=Lists!$K$3,IF($L120&lt;1,(($U120/$L120)*((1+Inputs!$D$7)^CO$2)),((INT(CO$2/$L120)-INT((CO$2-1)/$L120))*$U120*((1+Inputs!$D$7)^CO$2))),(Inputs!$D$8^((1-_xlfn.WEIBULL.DIST(CO$2,$M120,$L120,FALSE))/_xlfn.WEIBULL.DIST(CO$2,$M120,$L120,FALSE))*$U120*((1+Inputs!$D$7)^CO$2))),IF($N120=Lists!$K$3,IF($L120&lt;1,((($T120*(1-$F120)+$S120*(1-$G120))/$L120)*((1+Inputs!$D$7)^CO$2)),((INT(CO$2/$L120)-INT((CO$2-1)/$L120))*($T120*(1-$F120)+$S120*(1-$G120))*((1+Inputs!$D$7)^CO$2))),((Inputs!$D$8^((1-_xlfn.WEIBULL.DIST(CO$2,$M120,$L120,FALSE))/_xlfn.WEIBULL.DIST(CO$2,$M120,$L120,FALSE))*($T120*(1-$F120)+$S120*(1-$G120))*((1+Inputs!$D$7)^CO$2))))))))</f>
        <v>0</v>
      </c>
      <c r="CP120" s="88">
        <f>MAX(AZ120,($E120*IF(CP$2&gt;Inputs!$D$5,0,IF(CP$2&gt;VLOOKUP($H120,Lists!$P$3:$Q$7,2),IF($N120=Lists!$K$3,IF($L120&lt;1,(($U120/$L120)*((1+Inputs!$D$7)^CP$2)),((INT(CP$2/$L120)-INT((CP$2-1)/$L120))*$U120*((1+Inputs!$D$7)^CP$2))),(Inputs!$D$8^((1-_xlfn.WEIBULL.DIST(CP$2,$M120,$L120,FALSE))/_xlfn.WEIBULL.DIST(CP$2,$M120,$L120,FALSE))*$U120*((1+Inputs!$D$7)^CP$2))),IF($N120=Lists!$K$3,IF($L120&lt;1,((($T120*(1-$F120)+$S120*(1-$G120))/$L120)*((1+Inputs!$D$7)^CP$2)),((INT(CP$2/$L120)-INT((CP$2-1)/$L120))*($T120*(1-$F120)+$S120*(1-$G120))*((1+Inputs!$D$7)^CP$2))),((Inputs!$D$8^((1-_xlfn.WEIBULL.DIST(CP$2,$M120,$L120,FALSE))/_xlfn.WEIBULL.DIST(CP$2,$M120,$L120,FALSE))*($T120*(1-$F120)+$S120*(1-$G120))*((1+Inputs!$D$7)^CP$2))))))))</f>
        <v>0</v>
      </c>
      <c r="CQ120" s="88">
        <f>MAX(BA120,($E120*IF(CQ$2&gt;Inputs!$D$5,0,IF(CQ$2&gt;VLOOKUP($H120,Lists!$P$3:$Q$7,2),IF($N120=Lists!$K$3,IF($L120&lt;1,(($U120/$L120)*((1+Inputs!$D$7)^CQ$2)),((INT(CQ$2/$L120)-INT((CQ$2-1)/$L120))*$U120*((1+Inputs!$D$7)^CQ$2))),(Inputs!$D$8^((1-_xlfn.WEIBULL.DIST(CQ$2,$M120,$L120,FALSE))/_xlfn.WEIBULL.DIST(CQ$2,$M120,$L120,FALSE))*$U120*((1+Inputs!$D$7)^CQ$2))),IF($N120=Lists!$K$3,IF($L120&lt;1,((($T120*(1-$F120)+$S120*(1-$G120))/$L120)*((1+Inputs!$D$7)^CQ$2)),((INT(CQ$2/$L120)-INT((CQ$2-1)/$L120))*($T120*(1-$F120)+$S120*(1-$G120))*((1+Inputs!$D$7)^CQ$2))),((Inputs!$D$8^((1-_xlfn.WEIBULL.DIST(CQ$2,$M120,$L120,FALSE))/_xlfn.WEIBULL.DIST(CQ$2,$M120,$L120,FALSE))*($T120*(1-$F120)+$S120*(1-$G120))*((1+Inputs!$D$7)^CQ$2))))))))</f>
        <v>0</v>
      </c>
      <c r="CR120" s="88">
        <f>MAX(BB120,($E120*IF(CR$2&gt;Inputs!$D$5,0,IF(CR$2&gt;VLOOKUP($H120,Lists!$P$3:$Q$7,2),IF($N120=Lists!$K$3,IF($L120&lt;1,(($U120/$L120)*((1+Inputs!$D$7)^CR$2)),((INT(CR$2/$L120)-INT((CR$2-1)/$L120))*$U120*((1+Inputs!$D$7)^CR$2))),(Inputs!$D$8^((1-_xlfn.WEIBULL.DIST(CR$2,$M120,$L120,FALSE))/_xlfn.WEIBULL.DIST(CR$2,$M120,$L120,FALSE))*$U120*((1+Inputs!$D$7)^CR$2))),IF($N120=Lists!$K$3,IF($L120&lt;1,((($T120*(1-$F120)+$S120*(1-$G120))/$L120)*((1+Inputs!$D$7)^CR$2)),((INT(CR$2/$L120)-INT((CR$2-1)/$L120))*($T120*(1-$F120)+$S120*(1-$G120))*((1+Inputs!$D$7)^CR$2))),((Inputs!$D$8^((1-_xlfn.WEIBULL.DIST(CR$2,$M120,$L120,FALSE))/_xlfn.WEIBULL.DIST(CR$2,$M120,$L120,FALSE))*($T120*(1-$F120)+$S120*(1-$G120))*((1+Inputs!$D$7)^CR$2))))))))</f>
        <v>0</v>
      </c>
      <c r="CS120" s="88">
        <f>MAX(BC120,($E120*IF(CS$2&gt;Inputs!$D$5,0,IF(CS$2&gt;VLOOKUP($H120,Lists!$P$3:$Q$7,2),IF($N120=Lists!$K$3,IF($L120&lt;1,(($U120/$L120)*((1+Inputs!$D$7)^CS$2)),((INT(CS$2/$L120)-INT((CS$2-1)/$L120))*$U120*((1+Inputs!$D$7)^CS$2))),(Inputs!$D$8^((1-_xlfn.WEIBULL.DIST(CS$2,$M120,$L120,FALSE))/_xlfn.WEIBULL.DIST(CS$2,$M120,$L120,FALSE))*$U120*((1+Inputs!$D$7)^CS$2))),IF($N120=Lists!$K$3,IF($L120&lt;1,((($T120*(1-$F120)+$S120*(1-$G120))/$L120)*((1+Inputs!$D$7)^CS$2)),((INT(CS$2/$L120)-INT((CS$2-1)/$L120))*($T120*(1-$F120)+$S120*(1-$G120))*((1+Inputs!$D$7)^CS$2))),((Inputs!$D$8^((1-_xlfn.WEIBULL.DIST(CS$2,$M120,$L120,FALSE))/_xlfn.WEIBULL.DIST(CS$2,$M120,$L120,FALSE))*($T120*(1-$F120)+$S120*(1-$G120))*((1+Inputs!$D$7)^CS$2))))))))</f>
        <v>0</v>
      </c>
      <c r="CT120" s="88">
        <f>MAX(BD120,($E120*IF(CT$2&gt;Inputs!$D$5,0,IF(CT$2&gt;VLOOKUP($H120,Lists!$P$3:$Q$7,2),IF($N120=Lists!$K$3,IF($L120&lt;1,(($U120/$L120)*((1+Inputs!$D$7)^CT$2)),((INT(CT$2/$L120)-INT((CT$2-1)/$L120))*$U120*((1+Inputs!$D$7)^CT$2))),(Inputs!$D$8^((1-_xlfn.WEIBULL.DIST(CT$2,$M120,$L120,FALSE))/_xlfn.WEIBULL.DIST(CT$2,$M120,$L120,FALSE))*$U120*((1+Inputs!$D$7)^CT$2))),IF($N120=Lists!$K$3,IF($L120&lt;1,((($T120*(1-$F120)+$S120*(1-$G120))/$L120)*((1+Inputs!$D$7)^CT$2)),((INT(CT$2/$L120)-INT((CT$2-1)/$L120))*($T120*(1-$F120)+$S120*(1-$G120))*((1+Inputs!$D$7)^CT$2))),((Inputs!$D$8^((1-_xlfn.WEIBULL.DIST(CT$2,$M120,$L120,FALSE))/_xlfn.WEIBULL.DIST(CT$2,$M120,$L120,FALSE))*($T120*(1-$F120)+$S120*(1-$G120))*((1+Inputs!$D$7)^CT$2))))))))</f>
        <v>0</v>
      </c>
      <c r="CU120" s="88">
        <f>MAX(BE120,($E120*IF(CU$2&gt;Inputs!$D$5,0,IF(CU$2&gt;VLOOKUP($H120,Lists!$P$3:$Q$7,2),IF($N120=Lists!$K$3,IF($L120&lt;1,(($U120/$L120)*((1+Inputs!$D$7)^CU$2)),((INT(CU$2/$L120)-INT((CU$2-1)/$L120))*$U120*((1+Inputs!$D$7)^CU$2))),(Inputs!$D$8^((1-_xlfn.WEIBULL.DIST(CU$2,$M120,$L120,FALSE))/_xlfn.WEIBULL.DIST(CU$2,$M120,$L120,FALSE))*$U120*((1+Inputs!$D$7)^CU$2))),IF($N120=Lists!$K$3,IF($L120&lt;1,((($T120*(1-$F120)+$S120*(1-$G120))/$L120)*((1+Inputs!$D$7)^CU$2)),((INT(CU$2/$L120)-INT((CU$2-1)/$L120))*($T120*(1-$F120)+$S120*(1-$G120))*((1+Inputs!$D$7)^CU$2))),((Inputs!$D$8^((1-_xlfn.WEIBULL.DIST(CU$2,$M120,$L120,FALSE))/_xlfn.WEIBULL.DIST(CU$2,$M120,$L120,FALSE))*($T120*(1-$F120)+$S120*(1-$G120))*((1+Inputs!$D$7)^CU$2))))))))</f>
        <v>0</v>
      </c>
      <c r="CV120" s="88">
        <f>MAX(BF120,($E120*IF(CV$2&gt;Inputs!$D$5,0,IF(CV$2&gt;VLOOKUP($H120,Lists!$P$3:$Q$7,2),IF($N120=Lists!$K$3,IF($L120&lt;1,(($U120/$L120)*((1+Inputs!$D$7)^CV$2)),((INT(CV$2/$L120)-INT((CV$2-1)/$L120))*$U120*((1+Inputs!$D$7)^CV$2))),(Inputs!$D$8^((1-_xlfn.WEIBULL.DIST(CV$2,$M120,$L120,FALSE))/_xlfn.WEIBULL.DIST(CV$2,$M120,$L120,FALSE))*$U120*((1+Inputs!$D$7)^CV$2))),IF($N120=Lists!$K$3,IF($L120&lt;1,((($T120*(1-$F120)+$S120*(1-$G120))/$L120)*((1+Inputs!$D$7)^CV$2)),((INT(CV$2/$L120)-INT((CV$2-1)/$L120))*($T120*(1-$F120)+$S120*(1-$G120))*((1+Inputs!$D$7)^CV$2))),((Inputs!$D$8^((1-_xlfn.WEIBULL.DIST(CV$2,$M120,$L120,FALSE))/_xlfn.WEIBULL.DIST(CV$2,$M120,$L120,FALSE))*($T120*(1-$F120)+$S120*(1-$G120))*((1+Inputs!$D$7)^CV$2))))))))</f>
        <v>0</v>
      </c>
      <c r="CW120" s="88">
        <f>MAX(BG120,($E120*IF(CW$2&gt;Inputs!$D$5,0,IF(CW$2&gt;VLOOKUP($H120,Lists!$P$3:$Q$7,2),IF($N120=Lists!$K$3,IF($L120&lt;1,(($U120/$L120)*((1+Inputs!$D$7)^CW$2)),((INT(CW$2/$L120)-INT((CW$2-1)/$L120))*$U120*((1+Inputs!$D$7)^CW$2))),(Inputs!$D$8^((1-_xlfn.WEIBULL.DIST(CW$2,$M120,$L120,FALSE))/_xlfn.WEIBULL.DIST(CW$2,$M120,$L120,FALSE))*$U120*((1+Inputs!$D$7)^CW$2))),IF($N120=Lists!$K$3,IF($L120&lt;1,((($T120*(1-$F120)+$S120*(1-$G120))/$L120)*((1+Inputs!$D$7)^CW$2)),((INT(CW$2/$L120)-INT((CW$2-1)/$L120))*($T120*(1-$F120)+$S120*(1-$G120))*((1+Inputs!$D$7)^CW$2))),((Inputs!$D$8^((1-_xlfn.WEIBULL.DIST(CW$2,$M120,$L120,FALSE))/_xlfn.WEIBULL.DIST(CW$2,$M120,$L120,FALSE))*($T120*(1-$F120)+$S120*(1-$G120))*((1+Inputs!$D$7)^CW$2))))))))</f>
        <v>0</v>
      </c>
      <c r="CX120" s="88">
        <f>MAX(BH120,($E120*IF(CX$2&gt;Inputs!$D$5,0,IF(CX$2&gt;VLOOKUP($H120,Lists!$P$3:$Q$7,2),IF($N120=Lists!$K$3,IF($L120&lt;1,(($U120/$L120)*((1+Inputs!$D$7)^CX$2)),((INT(CX$2/$L120)-INT((CX$2-1)/$L120))*$U120*((1+Inputs!$D$7)^CX$2))),(Inputs!$D$8^((1-_xlfn.WEIBULL.DIST(CX$2,$M120,$L120,FALSE))/_xlfn.WEIBULL.DIST(CX$2,$M120,$L120,FALSE))*$U120*((1+Inputs!$D$7)^CX$2))),IF($N120=Lists!$K$3,IF($L120&lt;1,((($T120*(1-$F120)+$S120*(1-$G120))/$L120)*((1+Inputs!$D$7)^CX$2)),((INT(CX$2/$L120)-INT((CX$2-1)/$L120))*($T120*(1-$F120)+$S120*(1-$G120))*((1+Inputs!$D$7)^CX$2))),((Inputs!$D$8^((1-_xlfn.WEIBULL.DIST(CX$2,$M120,$L120,FALSE))/_xlfn.WEIBULL.DIST(CX$2,$M120,$L120,FALSE))*($T120*(1-$F120)+$S120*(1-$G120))*((1+Inputs!$D$7)^CX$2))))))))</f>
        <v>0</v>
      </c>
      <c r="CY120" s="88">
        <f>MAX(BI120,($E120*IF(CY$2&gt;Inputs!$D$5,0,IF(CY$2&gt;VLOOKUP($H120,Lists!$P$3:$Q$7,2),IF($N120=Lists!$K$3,IF($L120&lt;1,(($U120/$L120)*((1+Inputs!$D$7)^CY$2)),((INT(CY$2/$L120)-INT((CY$2-1)/$L120))*$U120*((1+Inputs!$D$7)^CY$2))),(Inputs!$D$8^((1-_xlfn.WEIBULL.DIST(CY$2,$M120,$L120,FALSE))/_xlfn.WEIBULL.DIST(CY$2,$M120,$L120,FALSE))*$U120*((1+Inputs!$D$7)^CY$2))),IF($N120=Lists!$K$3,IF($L120&lt;1,((($T120*(1-$F120)+$S120*(1-$G120))/$L120)*((1+Inputs!$D$7)^CY$2)),((INT(CY$2/$L120)-INT((CY$2-1)/$L120))*($T120*(1-$F120)+$S120*(1-$G120))*((1+Inputs!$D$7)^CY$2))),((Inputs!$D$8^((1-_xlfn.WEIBULL.DIST(CY$2,$M120,$L120,FALSE))/_xlfn.WEIBULL.DIST(CY$2,$M120,$L120,FALSE))*($T120*(1-$F120)+$S120*(1-$G120))*((1+Inputs!$D$7)^CY$2))))))))</f>
        <v>0</v>
      </c>
      <c r="CZ120" s="88">
        <f>MAX(BJ120,($E120*IF(CZ$2&gt;Inputs!$D$5,0,IF(CZ$2&gt;VLOOKUP($H120,Lists!$P$3:$Q$7,2),IF($N120=Lists!$K$3,IF($L120&lt;1,(($U120/$L120)*((1+Inputs!$D$7)^CZ$2)),((INT(CZ$2/$L120)-INT((CZ$2-1)/$L120))*$U120*((1+Inputs!$D$7)^CZ$2))),(Inputs!$D$8^((1-_xlfn.WEIBULL.DIST(CZ$2,$M120,$L120,FALSE))/_xlfn.WEIBULL.DIST(CZ$2,$M120,$L120,FALSE))*$U120*((1+Inputs!$D$7)^CZ$2))),IF($N120=Lists!$K$3,IF($L120&lt;1,((($T120*(1-$F120)+$S120*(1-$G120))/$L120)*((1+Inputs!$D$7)^CZ$2)),((INT(CZ$2/$L120)-INT((CZ$2-1)/$L120))*($T120*(1-$F120)+$S120*(1-$G120))*((1+Inputs!$D$7)^CZ$2))),((Inputs!$D$8^((1-_xlfn.WEIBULL.DIST(CZ$2,$M120,$L120,FALSE))/_xlfn.WEIBULL.DIST(CZ$2,$M120,$L120,FALSE))*($T120*(1-$F120)+$S120*(1-$G120))*((1+Inputs!$D$7)^CZ$2))))))))</f>
        <v>0</v>
      </c>
      <c r="DA120" s="88">
        <f>MAX(BK120,($E120*IF(DA$2&gt;Inputs!$D$5,0,IF(DA$2&gt;VLOOKUP($H120,Lists!$P$3:$Q$7,2),IF($N120=Lists!$K$3,IF($L120&lt;1,(($U120/$L120)*((1+Inputs!$D$7)^DA$2)),((INT(DA$2/$L120)-INT((DA$2-1)/$L120))*$U120*((1+Inputs!$D$7)^DA$2))),(Inputs!$D$8^((1-_xlfn.WEIBULL.DIST(DA$2,$M120,$L120,FALSE))/_xlfn.WEIBULL.DIST(DA$2,$M120,$L120,FALSE))*$U120*((1+Inputs!$D$7)^DA$2))),IF($N120=Lists!$K$3,IF($L120&lt;1,((($T120*(1-$F120)+$S120*(1-$G120))/$L120)*((1+Inputs!$D$7)^DA$2)),((INT(DA$2/$L120)-INT((DA$2-1)/$L120))*($T120*(1-$F120)+$S120*(1-$G120))*((1+Inputs!$D$7)^DA$2))),((Inputs!$D$8^((1-_xlfn.WEIBULL.DIST(DA$2,$M120,$L120,FALSE))/_xlfn.WEIBULL.DIST(DA$2,$M120,$L120,FALSE))*($T120*(1-$F120)+$S120*(1-$G120))*((1+Inputs!$D$7)^DA$2))))))))</f>
        <v>0</v>
      </c>
      <c r="DB120" s="88">
        <f>MAX(BL120,($E120*IF(DB$2&gt;Inputs!$D$5,0,IF(DB$2&gt;VLOOKUP($H120,Lists!$P$3:$Q$7,2),IF($N120=Lists!$K$3,IF($L120&lt;1,(($U120/$L120)*((1+Inputs!$D$7)^DB$2)),((INT(DB$2/$L120)-INT((DB$2-1)/$L120))*$U120*((1+Inputs!$D$7)^DB$2))),(Inputs!$D$8^((1-_xlfn.WEIBULL.DIST(DB$2,$M120,$L120,FALSE))/_xlfn.WEIBULL.DIST(DB$2,$M120,$L120,FALSE))*$U120*((1+Inputs!$D$7)^DB$2))),IF($N120=Lists!$K$3,IF($L120&lt;1,((($T120*(1-$F120)+$S120*(1-$G120))/$L120)*((1+Inputs!$D$7)^DB$2)),((INT(DB$2/$L120)-INT((DB$2-1)/$L120))*($T120*(1-$F120)+$S120*(1-$G120))*((1+Inputs!$D$7)^DB$2))),((Inputs!$D$8^((1-_xlfn.WEIBULL.DIST(DB$2,$M120,$L120,FALSE))/_xlfn.WEIBULL.DIST(DB$2,$M120,$L120,FALSE))*($T120*(1-$F120)+$S120*(1-$G120))*((1+Inputs!$D$7)^DB$2))))))))</f>
        <v>0</v>
      </c>
      <c r="DC120" s="88">
        <f>MAX(BM120,($E120*IF(DC$2&gt;Inputs!$D$5,0,IF(DC$2&gt;VLOOKUP($H120,Lists!$P$3:$Q$7,2),IF($N120=Lists!$K$3,IF($L120&lt;1,(($U120/$L120)*((1+Inputs!$D$7)^DC$2)),((INT(DC$2/$L120)-INT((DC$2-1)/$L120))*$U120*((1+Inputs!$D$7)^DC$2))),(Inputs!$D$8^((1-_xlfn.WEIBULL.DIST(DC$2,$M120,$L120,FALSE))/_xlfn.WEIBULL.DIST(DC$2,$M120,$L120,FALSE))*$U120*((1+Inputs!$D$7)^DC$2))),IF($N120=Lists!$K$3,IF($L120&lt;1,((($T120*(1-$F120)+$S120*(1-$G120))/$L120)*((1+Inputs!$D$7)^DC$2)),((INT(DC$2/$L120)-INT((DC$2-1)/$L120))*($T120*(1-$F120)+$S120*(1-$G120))*((1+Inputs!$D$7)^DC$2))),((Inputs!$D$8^((1-_xlfn.WEIBULL.DIST(DC$2,$M120,$L120,FALSE))/_xlfn.WEIBULL.DIST(DC$2,$M120,$L120,FALSE))*($T120*(1-$F120)+$S120*(1-$G120))*((1+Inputs!$D$7)^DC$2))))))))</f>
        <v>0</v>
      </c>
      <c r="DD120" s="88">
        <f>MAX(BN120,($E120*IF(DD$2&gt;Inputs!$D$5,0,IF(DD$2&gt;VLOOKUP($H120,Lists!$P$3:$Q$7,2),IF($N120=Lists!$K$3,IF($L120&lt;1,(($U120/$L120)*((1+Inputs!$D$7)^DD$2)),((INT(DD$2/$L120)-INT((DD$2-1)/$L120))*$U120*((1+Inputs!$D$7)^DD$2))),(Inputs!$D$8^((1-_xlfn.WEIBULL.DIST(DD$2,$M120,$L120,FALSE))/_xlfn.WEIBULL.DIST(DD$2,$M120,$L120,FALSE))*$U120*((1+Inputs!$D$7)^DD$2))),IF($N120=Lists!$K$3,IF($L120&lt;1,((($T120*(1-$F120)+$S120*(1-$G120))/$L120)*((1+Inputs!$D$7)^DD$2)),((INT(DD$2/$L120)-INT((DD$2-1)/$L120))*($T120*(1-$F120)+$S120*(1-$G120))*((1+Inputs!$D$7)^DD$2))),((Inputs!$D$8^((1-_xlfn.WEIBULL.DIST(DD$2,$M120,$L120,FALSE))/_xlfn.WEIBULL.DIST(DD$2,$M120,$L120,FALSE))*($T120*(1-$F120)+$S120*(1-$G120))*((1+Inputs!$D$7)^DD$2))))))))</f>
        <v>0</v>
      </c>
    </row>
    <row r="121" spans="1:108" ht="16">
      <c r="A121" s="57" t="s">
        <v>51</v>
      </c>
      <c r="B121" s="13" t="s">
        <v>279</v>
      </c>
      <c r="C121" s="13" t="s">
        <v>90</v>
      </c>
      <c r="D121" s="13" t="s">
        <v>37</v>
      </c>
      <c r="E121" s="89">
        <f>IF(Inputs!$D$54=Lists!$AA$3,0,1)</f>
        <v>1</v>
      </c>
      <c r="F121" s="48">
        <v>0</v>
      </c>
      <c r="G121" s="48">
        <v>0</v>
      </c>
      <c r="H121" s="105" t="s">
        <v>350</v>
      </c>
      <c r="I121" s="14" t="s">
        <v>47</v>
      </c>
      <c r="J121" s="14" t="s">
        <v>246</v>
      </c>
      <c r="K121" s="13">
        <f>VLOOKUP(J121,'Labor Rates'!$A$1:$F$16,2)</f>
        <v>33.119999999999997</v>
      </c>
      <c r="L121" s="15">
        <v>1</v>
      </c>
      <c r="M121" s="15">
        <v>1</v>
      </c>
      <c r="N121" s="13" t="s">
        <v>236</v>
      </c>
      <c r="O121" s="61">
        <f>2*Inputs!$D$53*E121</f>
        <v>327.86885245901641</v>
      </c>
      <c r="P121" s="15">
        <v>4.0000000000000001E-3</v>
      </c>
      <c r="Q121" s="15">
        <f t="shared" si="21"/>
        <v>1.3114754098360657</v>
      </c>
      <c r="R121" s="4">
        <v>0</v>
      </c>
      <c r="S121" s="53">
        <f t="shared" si="22"/>
        <v>43.436065573770492</v>
      </c>
      <c r="T121" s="53">
        <f t="shared" si="23"/>
        <v>0</v>
      </c>
      <c r="U121" s="54">
        <f t="shared" si="24"/>
        <v>43.436065573770492</v>
      </c>
      <c r="V121" s="65"/>
      <c r="W121" s="58"/>
      <c r="X121" s="64">
        <f t="shared" si="25"/>
        <v>53.824489540652962</v>
      </c>
      <c r="Y121" s="64">
        <f>NPV(Inputs!$D$6,AA121:BN121)</f>
        <v>618.24644774755382</v>
      </c>
      <c r="Z121" s="67">
        <f t="shared" si="26"/>
        <v>2.9159520798699657E-4</v>
      </c>
      <c r="AA121" s="88">
        <f>$E121*IF(AA$2&gt;Inputs!$D$5,0,IF(AA$2&gt;VLOOKUP($H121,Lists!$P$3:$Q$7,2),IF($N121=Lists!$K$3,IF($L121&lt;1,(($U121/$L121)*((1+Inputs!$D$7)^AA$2)),((INT(AA$2/$L121)-INT((AA$2-1)/$L121))*$U121*((1+Inputs!$D$7)^AA$2))),(_xlfn.WEIBULL.DIST(AA$2,$M121,$L121,FALSE)*$U121*((1+Inputs!$D$7)^AA$2))),IF($N121=Lists!$K$3,IF($L121&lt;1,((($T121*(1-$F121)+$S121*(1-$G121))/$L121)*((1+Inputs!$D$7)^AA$2)),((INT(AA$2/$L121)-INT((AA$2-1)/$L121))*($T121*(1-$F121)+$S121*(1-$G121))*((1+Inputs!$D$7)^AA$2))),((_xlfn.WEIBULL.DIST(AA$2,$M121,$L121,FALSE)*($T121*(1-$F121)+$S121*(1-$G121))*((1+Inputs!$D$7)^AA$2))))))</f>
        <v>44.304786885245903</v>
      </c>
      <c r="AB121" s="88">
        <f>$E121*IF(AB$2&gt;Inputs!$D$5,0,IF(AB$2&gt;VLOOKUP($H121,Lists!$P$3:$Q$7,2),IF($N121=Lists!$K$3,IF($L121&lt;1,(($U121/$L121)*((1+Inputs!$D$7)^AB$2)),((INT(AB$2/$L121)-INT((AB$2-1)/$L121))*$U121*((1+Inputs!$D$7)^AB$2))),(_xlfn.WEIBULL.DIST(AB$2,$M121,$L121,FALSE)*$U121*((1+Inputs!$D$7)^AB$2))),IF($N121=Lists!$K$3,IF($L121&lt;1,((($T121*(1-$F121)+$S121*(1-$G121))/$L121)*((1+Inputs!$D$7)^AB$2)),((INT(AB$2/$L121)-INT((AB$2-1)/$L121))*($T121*(1-$F121)+$S121*(1-$G121))*((1+Inputs!$D$7)^AB$2))),((_xlfn.WEIBULL.DIST(AB$2,$M121,$L121,FALSE)*($T121*(1-$F121)+$S121*(1-$G121))*((1+Inputs!$D$7)^AB$2))))))</f>
        <v>45.190882622950816</v>
      </c>
      <c r="AC121" s="88">
        <f>$E121*IF(AC$2&gt;Inputs!$D$5,0,IF(AC$2&gt;VLOOKUP($H121,Lists!$P$3:$Q$7,2),IF($N121=Lists!$K$3,IF($L121&lt;1,(($U121/$L121)*((1+Inputs!$D$7)^AC$2)),((INT(AC$2/$L121)-INT((AC$2-1)/$L121))*$U121*((1+Inputs!$D$7)^AC$2))),(_xlfn.WEIBULL.DIST(AC$2,$M121,$L121,FALSE)*$U121*((1+Inputs!$D$7)^AC$2))),IF($N121=Lists!$K$3,IF($L121&lt;1,((($T121*(1-$F121)+$S121*(1-$G121))/$L121)*((1+Inputs!$D$7)^AC$2)),((INT(AC$2/$L121)-INT((AC$2-1)/$L121))*($T121*(1-$F121)+$S121*(1-$G121))*((1+Inputs!$D$7)^AC$2))),((_xlfn.WEIBULL.DIST(AC$2,$M121,$L121,FALSE)*($T121*(1-$F121)+$S121*(1-$G121))*((1+Inputs!$D$7)^AC$2))))))</f>
        <v>46.094700275409835</v>
      </c>
      <c r="AD121" s="88">
        <f>$E121*IF(AD$2&gt;Inputs!$D$5,0,IF(AD$2&gt;VLOOKUP($H121,Lists!$P$3:$Q$7,2),IF($N121=Lists!$K$3,IF($L121&lt;1,(($U121/$L121)*((1+Inputs!$D$7)^AD$2)),((INT(AD$2/$L121)-INT((AD$2-1)/$L121))*$U121*((1+Inputs!$D$7)^AD$2))),(_xlfn.WEIBULL.DIST(AD$2,$M121,$L121,FALSE)*$U121*((1+Inputs!$D$7)^AD$2))),IF($N121=Lists!$K$3,IF($L121&lt;1,((($T121*(1-$F121)+$S121*(1-$G121))/$L121)*((1+Inputs!$D$7)^AD$2)),((INT(AD$2/$L121)-INT((AD$2-1)/$L121))*($T121*(1-$F121)+$S121*(1-$G121))*((1+Inputs!$D$7)^AD$2))),((_xlfn.WEIBULL.DIST(AD$2,$M121,$L121,FALSE)*($T121*(1-$F121)+$S121*(1-$G121))*((1+Inputs!$D$7)^AD$2))))))</f>
        <v>47.016594280918035</v>
      </c>
      <c r="AE121" s="88">
        <f>$E121*IF(AE$2&gt;Inputs!$D$5,0,IF(AE$2&gt;VLOOKUP($H121,Lists!$P$3:$Q$7,2),IF($N121=Lists!$K$3,IF($L121&lt;1,(($U121/$L121)*((1+Inputs!$D$7)^AE$2)),((INT(AE$2/$L121)-INT((AE$2-1)/$L121))*$U121*((1+Inputs!$D$7)^AE$2))),(_xlfn.WEIBULL.DIST(AE$2,$M121,$L121,FALSE)*$U121*((1+Inputs!$D$7)^AE$2))),IF($N121=Lists!$K$3,IF($L121&lt;1,((($T121*(1-$F121)+$S121*(1-$G121))/$L121)*((1+Inputs!$D$7)^AE$2)),((INT(AE$2/$L121)-INT((AE$2-1)/$L121))*($T121*(1-$F121)+$S121*(1-$G121))*((1+Inputs!$D$7)^AE$2))),((_xlfn.WEIBULL.DIST(AE$2,$M121,$L121,FALSE)*($T121*(1-$F121)+$S121*(1-$G121))*((1+Inputs!$D$7)^AE$2))))))</f>
        <v>47.956926166536391</v>
      </c>
      <c r="AF121" s="88">
        <f>$E121*IF(AF$2&gt;Inputs!$D$5,0,IF(AF$2&gt;VLOOKUP($H121,Lists!$P$3:$Q$7,2),IF($N121=Lists!$K$3,IF($L121&lt;1,(($U121/$L121)*((1+Inputs!$D$7)^AF$2)),((INT(AF$2/$L121)-INT((AF$2-1)/$L121))*$U121*((1+Inputs!$D$7)^AF$2))),(_xlfn.WEIBULL.DIST(AF$2,$M121,$L121,FALSE)*$U121*((1+Inputs!$D$7)^AF$2))),IF($N121=Lists!$K$3,IF($L121&lt;1,((($T121*(1-$F121)+$S121*(1-$G121))/$L121)*((1+Inputs!$D$7)^AF$2)),((INT(AF$2/$L121)-INT((AF$2-1)/$L121))*($T121*(1-$F121)+$S121*(1-$G121))*((1+Inputs!$D$7)^AF$2))),((_xlfn.WEIBULL.DIST(AF$2,$M121,$L121,FALSE)*($T121*(1-$F121)+$S121*(1-$G121))*((1+Inputs!$D$7)^AF$2))))))</f>
        <v>48.916064689867127</v>
      </c>
      <c r="AG121" s="88">
        <f>$E121*IF(AG$2&gt;Inputs!$D$5,0,IF(AG$2&gt;VLOOKUP($H121,Lists!$P$3:$Q$7,2),IF($N121=Lists!$K$3,IF($L121&lt;1,(($U121/$L121)*((1+Inputs!$D$7)^AG$2)),((INT(AG$2/$L121)-INT((AG$2-1)/$L121))*$U121*((1+Inputs!$D$7)^AG$2))),(_xlfn.WEIBULL.DIST(AG$2,$M121,$L121,FALSE)*$U121*((1+Inputs!$D$7)^AG$2))),IF($N121=Lists!$K$3,IF($L121&lt;1,((($T121*(1-$F121)+$S121*(1-$G121))/$L121)*((1+Inputs!$D$7)^AG$2)),((INT(AG$2/$L121)-INT((AG$2-1)/$L121))*($T121*(1-$F121)+$S121*(1-$G121))*((1+Inputs!$D$7)^AG$2))),((_xlfn.WEIBULL.DIST(AG$2,$M121,$L121,FALSE)*($T121*(1-$F121)+$S121*(1-$G121))*((1+Inputs!$D$7)^AG$2))))))</f>
        <v>49.894385983664456</v>
      </c>
      <c r="AH121" s="88">
        <f>$E121*IF(AH$2&gt;Inputs!$D$5,0,IF(AH$2&gt;VLOOKUP($H121,Lists!$P$3:$Q$7,2),IF($N121=Lists!$K$3,IF($L121&lt;1,(($U121/$L121)*((1+Inputs!$D$7)^AH$2)),((INT(AH$2/$L121)-INT((AH$2-1)/$L121))*$U121*((1+Inputs!$D$7)^AH$2))),(_xlfn.WEIBULL.DIST(AH$2,$M121,$L121,FALSE)*$U121*((1+Inputs!$D$7)^AH$2))),IF($N121=Lists!$K$3,IF($L121&lt;1,((($T121*(1-$F121)+$S121*(1-$G121))/$L121)*((1+Inputs!$D$7)^AH$2)),((INT(AH$2/$L121)-INT((AH$2-1)/$L121))*($T121*(1-$F121)+$S121*(1-$G121))*((1+Inputs!$D$7)^AH$2))),((_xlfn.WEIBULL.DIST(AH$2,$M121,$L121,FALSE)*($T121*(1-$F121)+$S121*(1-$G121))*((1+Inputs!$D$7)^AH$2))))))</f>
        <v>50.89227370333775</v>
      </c>
      <c r="AI121" s="88">
        <f>$E121*IF(AI$2&gt;Inputs!$D$5,0,IF(AI$2&gt;VLOOKUP($H121,Lists!$P$3:$Q$7,2),IF($N121=Lists!$K$3,IF($L121&lt;1,(($U121/$L121)*((1+Inputs!$D$7)^AI$2)),((INT(AI$2/$L121)-INT((AI$2-1)/$L121))*$U121*((1+Inputs!$D$7)^AI$2))),(_xlfn.WEIBULL.DIST(AI$2,$M121,$L121,FALSE)*$U121*((1+Inputs!$D$7)^AI$2))),IF($N121=Lists!$K$3,IF($L121&lt;1,((($T121*(1-$F121)+$S121*(1-$G121))/$L121)*((1+Inputs!$D$7)^AI$2)),((INT(AI$2/$L121)-INT((AI$2-1)/$L121))*($T121*(1-$F121)+$S121*(1-$G121))*((1+Inputs!$D$7)^AI$2))),((_xlfn.WEIBULL.DIST(AI$2,$M121,$L121,FALSE)*($T121*(1-$F121)+$S121*(1-$G121))*((1+Inputs!$D$7)^AI$2))))))</f>
        <v>51.910119177404503</v>
      </c>
      <c r="AJ121" s="88">
        <f>$E121*IF(AJ$2&gt;Inputs!$D$5,0,IF(AJ$2&gt;VLOOKUP($H121,Lists!$P$3:$Q$7,2),IF($N121=Lists!$K$3,IF($L121&lt;1,(($U121/$L121)*((1+Inputs!$D$7)^AJ$2)),((INT(AJ$2/$L121)-INT((AJ$2-1)/$L121))*$U121*((1+Inputs!$D$7)^AJ$2))),(_xlfn.WEIBULL.DIST(AJ$2,$M121,$L121,FALSE)*$U121*((1+Inputs!$D$7)^AJ$2))),IF($N121=Lists!$K$3,IF($L121&lt;1,((($T121*(1-$F121)+$S121*(1-$G121))/$L121)*((1+Inputs!$D$7)^AJ$2)),((INT(AJ$2/$L121)-INT((AJ$2-1)/$L121))*($T121*(1-$F121)+$S121*(1-$G121))*((1+Inputs!$D$7)^AJ$2))),((_xlfn.WEIBULL.DIST(AJ$2,$M121,$L121,FALSE)*($T121*(1-$F121)+$S121*(1-$G121))*((1+Inputs!$D$7)^AJ$2))))))</f>
        <v>52.9483215609526</v>
      </c>
      <c r="AK121" s="88">
        <f>$E121*IF(AK$2&gt;Inputs!$D$5,0,IF(AK$2&gt;VLOOKUP($H121,Lists!$P$3:$Q$7,2),IF($N121=Lists!$K$3,IF($L121&lt;1,(($U121/$L121)*((1+Inputs!$D$7)^AK$2)),((INT(AK$2/$L121)-INT((AK$2-1)/$L121))*$U121*((1+Inputs!$D$7)^AK$2))),(_xlfn.WEIBULL.DIST(AK$2,$M121,$L121,FALSE)*$U121*((1+Inputs!$D$7)^AK$2))),IF($N121=Lists!$K$3,IF($L121&lt;1,((($T121*(1-$F121)+$S121*(1-$G121))/$L121)*((1+Inputs!$D$7)^AK$2)),((INT(AK$2/$L121)-INT((AK$2-1)/$L121))*($T121*(1-$F121)+$S121*(1-$G121))*((1+Inputs!$D$7)^AK$2))),((_xlfn.WEIBULL.DIST(AK$2,$M121,$L121,FALSE)*($T121*(1-$F121)+$S121*(1-$G121))*((1+Inputs!$D$7)^AK$2))))))</f>
        <v>54.007287992171641</v>
      </c>
      <c r="AL121" s="88">
        <f>$E121*IF(AL$2&gt;Inputs!$D$5,0,IF(AL$2&gt;VLOOKUP($H121,Lists!$P$3:$Q$7,2),IF($N121=Lists!$K$3,IF($L121&lt;1,(($U121/$L121)*((1+Inputs!$D$7)^AL$2)),((INT(AL$2/$L121)-INT((AL$2-1)/$L121))*$U121*((1+Inputs!$D$7)^AL$2))),(_xlfn.WEIBULL.DIST(AL$2,$M121,$L121,FALSE)*$U121*((1+Inputs!$D$7)^AL$2))),IF($N121=Lists!$K$3,IF($L121&lt;1,((($T121*(1-$F121)+$S121*(1-$G121))/$L121)*((1+Inputs!$D$7)^AL$2)),((INT(AL$2/$L121)-INT((AL$2-1)/$L121))*($T121*(1-$F121)+$S121*(1-$G121))*((1+Inputs!$D$7)^AL$2))),((_xlfn.WEIBULL.DIST(AL$2,$M121,$L121,FALSE)*($T121*(1-$F121)+$S121*(1-$G121))*((1+Inputs!$D$7)^AL$2))))))</f>
        <v>55.08743375201508</v>
      </c>
      <c r="AM121" s="88">
        <f>$E121*IF(AM$2&gt;Inputs!$D$5,0,IF(AM$2&gt;VLOOKUP($H121,Lists!$P$3:$Q$7,2),IF($N121=Lists!$K$3,IF($L121&lt;1,(($U121/$L121)*((1+Inputs!$D$7)^AM$2)),((INT(AM$2/$L121)-INT((AM$2-1)/$L121))*$U121*((1+Inputs!$D$7)^AM$2))),(_xlfn.WEIBULL.DIST(AM$2,$M121,$L121,FALSE)*$U121*((1+Inputs!$D$7)^AM$2))),IF($N121=Lists!$K$3,IF($L121&lt;1,((($T121*(1-$F121)+$S121*(1-$G121))/$L121)*((1+Inputs!$D$7)^AM$2)),((INT(AM$2/$L121)-INT((AM$2-1)/$L121))*($T121*(1-$F121)+$S121*(1-$G121))*((1+Inputs!$D$7)^AM$2))),((_xlfn.WEIBULL.DIST(AM$2,$M121,$L121,FALSE)*($T121*(1-$F121)+$S121*(1-$G121))*((1+Inputs!$D$7)^AM$2))))))</f>
        <v>56.189182427055378</v>
      </c>
      <c r="AN121" s="88">
        <f>$E121*IF(AN$2&gt;Inputs!$D$5,0,IF(AN$2&gt;VLOOKUP($H121,Lists!$P$3:$Q$7,2),IF($N121=Lists!$K$3,IF($L121&lt;1,(($U121/$L121)*((1+Inputs!$D$7)^AN$2)),((INT(AN$2/$L121)-INT((AN$2-1)/$L121))*$U121*((1+Inputs!$D$7)^AN$2))),(_xlfn.WEIBULL.DIST(AN$2,$M121,$L121,FALSE)*$U121*((1+Inputs!$D$7)^AN$2))),IF($N121=Lists!$K$3,IF($L121&lt;1,((($T121*(1-$F121)+$S121*(1-$G121))/$L121)*((1+Inputs!$D$7)^AN$2)),((INT(AN$2/$L121)-INT((AN$2-1)/$L121))*($T121*(1-$F121)+$S121*(1-$G121))*((1+Inputs!$D$7)^AN$2))),((_xlfn.WEIBULL.DIST(AN$2,$M121,$L121,FALSE)*($T121*(1-$F121)+$S121*(1-$G121))*((1+Inputs!$D$7)^AN$2))))))</f>
        <v>57.312966075596492</v>
      </c>
      <c r="AO121" s="88">
        <f>$E121*IF(AO$2&gt;Inputs!$D$5,0,IF(AO$2&gt;VLOOKUP($H121,Lists!$P$3:$Q$7,2),IF($N121=Lists!$K$3,IF($L121&lt;1,(($U121/$L121)*((1+Inputs!$D$7)^AO$2)),((INT(AO$2/$L121)-INT((AO$2-1)/$L121))*$U121*((1+Inputs!$D$7)^AO$2))),(_xlfn.WEIBULL.DIST(AO$2,$M121,$L121,FALSE)*$U121*((1+Inputs!$D$7)^AO$2))),IF($N121=Lists!$K$3,IF($L121&lt;1,((($T121*(1-$F121)+$S121*(1-$G121))/$L121)*((1+Inputs!$D$7)^AO$2)),((INT(AO$2/$L121)-INT((AO$2-1)/$L121))*($T121*(1-$F121)+$S121*(1-$G121))*((1+Inputs!$D$7)^AO$2))),((_xlfn.WEIBULL.DIST(AO$2,$M121,$L121,FALSE)*($T121*(1-$F121)+$S121*(1-$G121))*((1+Inputs!$D$7)^AO$2))))))</f>
        <v>58.459225397108405</v>
      </c>
      <c r="AP121" s="88">
        <f>$E121*IF(AP$2&gt;Inputs!$D$5,0,IF(AP$2&gt;VLOOKUP($H121,Lists!$P$3:$Q$7,2),IF($N121=Lists!$K$3,IF($L121&lt;1,(($U121/$L121)*((1+Inputs!$D$7)^AP$2)),((INT(AP$2/$L121)-INT((AP$2-1)/$L121))*$U121*((1+Inputs!$D$7)^AP$2))),(_xlfn.WEIBULL.DIST(AP$2,$M121,$L121,FALSE)*$U121*((1+Inputs!$D$7)^AP$2))),IF($N121=Lists!$K$3,IF($L121&lt;1,((($T121*(1-$F121)+$S121*(1-$G121))/$L121)*((1+Inputs!$D$7)^AP$2)),((INT(AP$2/$L121)-INT((AP$2-1)/$L121))*($T121*(1-$F121)+$S121*(1-$G121))*((1+Inputs!$D$7)^AP$2))),((_xlfn.WEIBULL.DIST(AP$2,$M121,$L121,FALSE)*($T121*(1-$F121)+$S121*(1-$G121))*((1+Inputs!$D$7)^AP$2))))))</f>
        <v>59.628409905050582</v>
      </c>
      <c r="AQ121" s="88">
        <f>$E121*IF(AQ$2&gt;Inputs!$D$5,0,IF(AQ$2&gt;VLOOKUP($H121,Lists!$P$3:$Q$7,2),IF($N121=Lists!$K$3,IF($L121&lt;1,(($U121/$L121)*((1+Inputs!$D$7)^AQ$2)),((INT(AQ$2/$L121)-INT((AQ$2-1)/$L121))*$U121*((1+Inputs!$D$7)^AQ$2))),(_xlfn.WEIBULL.DIST(AQ$2,$M121,$L121,FALSE)*$U121*((1+Inputs!$D$7)^AQ$2))),IF($N121=Lists!$K$3,IF($L121&lt;1,((($T121*(1-$F121)+$S121*(1-$G121))/$L121)*((1+Inputs!$D$7)^AQ$2)),((INT(AQ$2/$L121)-INT((AQ$2-1)/$L121))*($T121*(1-$F121)+$S121*(1-$G121))*((1+Inputs!$D$7)^AQ$2))),((_xlfn.WEIBULL.DIST(AQ$2,$M121,$L121,FALSE)*($T121*(1-$F121)+$S121*(1-$G121))*((1+Inputs!$D$7)^AQ$2))))))</f>
        <v>60.820978103151603</v>
      </c>
      <c r="AR121" s="88">
        <f>$E121*IF(AR$2&gt;Inputs!$D$5,0,IF(AR$2&gt;VLOOKUP($H121,Lists!$P$3:$Q$7,2),IF($N121=Lists!$K$3,IF($L121&lt;1,(($U121/$L121)*((1+Inputs!$D$7)^AR$2)),((INT(AR$2/$L121)-INT((AR$2-1)/$L121))*$U121*((1+Inputs!$D$7)^AR$2))),(_xlfn.WEIBULL.DIST(AR$2,$M121,$L121,FALSE)*$U121*((1+Inputs!$D$7)^AR$2))),IF($N121=Lists!$K$3,IF($L121&lt;1,((($T121*(1-$F121)+$S121*(1-$G121))/$L121)*((1+Inputs!$D$7)^AR$2)),((INT(AR$2/$L121)-INT((AR$2-1)/$L121))*($T121*(1-$F121)+$S121*(1-$G121))*((1+Inputs!$D$7)^AR$2))),((_xlfn.WEIBULL.DIST(AR$2,$M121,$L121,FALSE)*($T121*(1-$F121)+$S121*(1-$G121))*((1+Inputs!$D$7)^AR$2))))))</f>
        <v>62.037397665214627</v>
      </c>
      <c r="AS121" s="88">
        <f>$E121*IF(AS$2&gt;Inputs!$D$5,0,IF(AS$2&gt;VLOOKUP($H121,Lists!$P$3:$Q$7,2),IF($N121=Lists!$K$3,IF($L121&lt;1,(($U121/$L121)*((1+Inputs!$D$7)^AS$2)),((INT(AS$2/$L121)-INT((AS$2-1)/$L121))*$U121*((1+Inputs!$D$7)^AS$2))),(_xlfn.WEIBULL.DIST(AS$2,$M121,$L121,FALSE)*$U121*((1+Inputs!$D$7)^AS$2))),IF($N121=Lists!$K$3,IF($L121&lt;1,((($T121*(1-$F121)+$S121*(1-$G121))/$L121)*((1+Inputs!$D$7)^AS$2)),((INT(AS$2/$L121)-INT((AS$2-1)/$L121))*($T121*(1-$F121)+$S121*(1-$G121))*((1+Inputs!$D$7)^AS$2))),((_xlfn.WEIBULL.DIST(AS$2,$M121,$L121,FALSE)*($T121*(1-$F121)+$S121*(1-$G121))*((1+Inputs!$D$7)^AS$2))))))</f>
        <v>63.27814561851892</v>
      </c>
      <c r="AT121" s="88">
        <f>$E121*IF(AT$2&gt;Inputs!$D$5,0,IF(AT$2&gt;VLOOKUP($H121,Lists!$P$3:$Q$7,2),IF($N121=Lists!$K$3,IF($L121&lt;1,(($U121/$L121)*((1+Inputs!$D$7)^AT$2)),((INT(AT$2/$L121)-INT((AT$2-1)/$L121))*$U121*((1+Inputs!$D$7)^AT$2))),(_xlfn.WEIBULL.DIST(AT$2,$M121,$L121,FALSE)*$U121*((1+Inputs!$D$7)^AT$2))),IF($N121=Lists!$K$3,IF($L121&lt;1,((($T121*(1-$F121)+$S121*(1-$G121))/$L121)*((1+Inputs!$D$7)^AT$2)),((INT(AT$2/$L121)-INT((AT$2-1)/$L121))*($T121*(1-$F121)+$S121*(1-$G121))*((1+Inputs!$D$7)^AT$2))),((_xlfn.WEIBULL.DIST(AT$2,$M121,$L121,FALSE)*($T121*(1-$F121)+$S121*(1-$G121))*((1+Inputs!$D$7)^AT$2))))))</f>
        <v>64.543708530889305</v>
      </c>
      <c r="AU121" s="88">
        <f>$E121*IF(AU$2&gt;Inputs!$D$5,0,IF(AU$2&gt;VLOOKUP($H121,Lists!$P$3:$Q$7,2),IF($N121=Lists!$K$3,IF($L121&lt;1,(($U121/$L121)*((1+Inputs!$D$7)^AU$2)),((INT(AU$2/$L121)-INT((AU$2-1)/$L121))*$U121*((1+Inputs!$D$7)^AU$2))),(_xlfn.WEIBULL.DIST(AU$2,$M121,$L121,FALSE)*$U121*((1+Inputs!$D$7)^AU$2))),IF($N121=Lists!$K$3,IF($L121&lt;1,((($T121*(1-$F121)+$S121*(1-$G121))/$L121)*((1+Inputs!$D$7)^AU$2)),((INT(AU$2/$L121)-INT((AU$2-1)/$L121))*($T121*(1-$F121)+$S121*(1-$G121))*((1+Inputs!$D$7)^AU$2))),((_xlfn.WEIBULL.DIST(AU$2,$M121,$L121,FALSE)*($T121*(1-$F121)+$S121*(1-$G121))*((1+Inputs!$D$7)^AU$2))))))</f>
        <v>65.834582701507088</v>
      </c>
      <c r="AV121" s="88">
        <f>$E121*IF(AV$2&gt;Inputs!$D$5,0,IF(AV$2&gt;VLOOKUP($H121,Lists!$P$3:$Q$7,2),IF($N121=Lists!$K$3,IF($L121&lt;1,(($U121/$L121)*((1+Inputs!$D$7)^AV$2)),((INT(AV$2/$L121)-INT((AV$2-1)/$L121))*$U121*((1+Inputs!$D$7)^AV$2))),(_xlfn.WEIBULL.DIST(AV$2,$M121,$L121,FALSE)*$U121*((1+Inputs!$D$7)^AV$2))),IF($N121=Lists!$K$3,IF($L121&lt;1,((($T121*(1-$F121)+$S121*(1-$G121))/$L121)*((1+Inputs!$D$7)^AV$2)),((INT(AV$2/$L121)-INT((AV$2-1)/$L121))*($T121*(1-$F121)+$S121*(1-$G121))*((1+Inputs!$D$7)^AV$2))),((_xlfn.WEIBULL.DIST(AV$2,$M121,$L121,FALSE)*($T121*(1-$F121)+$S121*(1-$G121))*((1+Inputs!$D$7)^AV$2))))))</f>
        <v>67.151274355537225</v>
      </c>
      <c r="AW121" s="88">
        <f>$E121*IF(AW$2&gt;Inputs!$D$5,0,IF(AW$2&gt;VLOOKUP($H121,Lists!$P$3:$Q$7,2),IF($N121=Lists!$K$3,IF($L121&lt;1,(($U121/$L121)*((1+Inputs!$D$7)^AW$2)),((INT(AW$2/$L121)-INT((AW$2-1)/$L121))*$U121*((1+Inputs!$D$7)^AW$2))),(_xlfn.WEIBULL.DIST(AW$2,$M121,$L121,FALSE)*$U121*((1+Inputs!$D$7)^AW$2))),IF($N121=Lists!$K$3,IF($L121&lt;1,((($T121*(1-$F121)+$S121*(1-$G121))/$L121)*((1+Inputs!$D$7)^AW$2)),((INT(AW$2/$L121)-INT((AW$2-1)/$L121))*($T121*(1-$F121)+$S121*(1-$G121))*((1+Inputs!$D$7)^AW$2))),((_xlfn.WEIBULL.DIST(AW$2,$M121,$L121,FALSE)*($T121*(1-$F121)+$S121*(1-$G121))*((1+Inputs!$D$7)^AW$2))))))</f>
        <v>68.494299842647962</v>
      </c>
      <c r="AX121" s="88">
        <f>$E121*IF(AX$2&gt;Inputs!$D$5,0,IF(AX$2&gt;VLOOKUP($H121,Lists!$P$3:$Q$7,2),IF($N121=Lists!$K$3,IF($L121&lt;1,(($U121/$L121)*((1+Inputs!$D$7)^AX$2)),((INT(AX$2/$L121)-INT((AX$2-1)/$L121))*$U121*((1+Inputs!$D$7)^AX$2))),(_xlfn.WEIBULL.DIST(AX$2,$M121,$L121,FALSE)*$U121*((1+Inputs!$D$7)^AX$2))),IF($N121=Lists!$K$3,IF($L121&lt;1,((($T121*(1-$F121)+$S121*(1-$G121))/$L121)*((1+Inputs!$D$7)^AX$2)),((INT(AX$2/$L121)-INT((AX$2-1)/$L121))*($T121*(1-$F121)+$S121*(1-$G121))*((1+Inputs!$D$7)^AX$2))),((_xlfn.WEIBULL.DIST(AX$2,$M121,$L121,FALSE)*($T121*(1-$F121)+$S121*(1-$G121))*((1+Inputs!$D$7)^AX$2))))))</f>
        <v>69.864185839500919</v>
      </c>
      <c r="AY121" s="88">
        <f>$E121*IF(AY$2&gt;Inputs!$D$5,0,IF(AY$2&gt;VLOOKUP($H121,Lists!$P$3:$Q$7,2),IF($N121=Lists!$K$3,IF($L121&lt;1,(($U121/$L121)*((1+Inputs!$D$7)^AY$2)),((INT(AY$2/$L121)-INT((AY$2-1)/$L121))*$U121*((1+Inputs!$D$7)^AY$2))),(_xlfn.WEIBULL.DIST(AY$2,$M121,$L121,FALSE)*$U121*((1+Inputs!$D$7)^AY$2))),IF($N121=Lists!$K$3,IF($L121&lt;1,((($T121*(1-$F121)+$S121*(1-$G121))/$L121)*((1+Inputs!$D$7)^AY$2)),((INT(AY$2/$L121)-INT((AY$2-1)/$L121))*($T121*(1-$F121)+$S121*(1-$G121))*((1+Inputs!$D$7)^AY$2))),((_xlfn.WEIBULL.DIST(AY$2,$M121,$L121,FALSE)*($T121*(1-$F121)+$S121*(1-$G121))*((1+Inputs!$D$7)^AY$2))))))</f>
        <v>71.261469556290947</v>
      </c>
      <c r="AZ121" s="88">
        <f>$E121*IF(AZ$2&gt;Inputs!$D$5,0,IF(AZ$2&gt;VLOOKUP($H121,Lists!$P$3:$Q$7,2),IF($N121=Lists!$K$3,IF($L121&lt;1,(($U121/$L121)*((1+Inputs!$D$7)^AZ$2)),((INT(AZ$2/$L121)-INT((AZ$2-1)/$L121))*$U121*((1+Inputs!$D$7)^AZ$2))),(_xlfn.WEIBULL.DIST(AZ$2,$M121,$L121,FALSE)*$U121*((1+Inputs!$D$7)^AZ$2))),IF($N121=Lists!$K$3,IF($L121&lt;1,((($T121*(1-$F121)+$S121*(1-$G121))/$L121)*((1+Inputs!$D$7)^AZ$2)),((INT(AZ$2/$L121)-INT((AZ$2-1)/$L121))*($T121*(1-$F121)+$S121*(1-$G121))*((1+Inputs!$D$7)^AZ$2))),((_xlfn.WEIBULL.DIST(AZ$2,$M121,$L121,FALSE)*($T121*(1-$F121)+$S121*(1-$G121))*((1+Inputs!$D$7)^AZ$2))))))</f>
        <v>0</v>
      </c>
      <c r="BA121" s="88">
        <f>$E121*IF(BA$2&gt;Inputs!$D$5,0,IF(BA$2&gt;VLOOKUP($H121,Lists!$P$3:$Q$7,2),IF($N121=Lists!$K$3,IF($L121&lt;1,(($U121/$L121)*((1+Inputs!$D$7)^BA$2)),((INT(BA$2/$L121)-INT((BA$2-1)/$L121))*$U121*((1+Inputs!$D$7)^BA$2))),(_xlfn.WEIBULL.DIST(BA$2,$M121,$L121,FALSE)*$U121*((1+Inputs!$D$7)^BA$2))),IF($N121=Lists!$K$3,IF($L121&lt;1,((($T121*(1-$F121)+$S121*(1-$G121))/$L121)*((1+Inputs!$D$7)^BA$2)),((INT(BA$2/$L121)-INT((BA$2-1)/$L121))*($T121*(1-$F121)+$S121*(1-$G121))*((1+Inputs!$D$7)^BA$2))),((_xlfn.WEIBULL.DIST(BA$2,$M121,$L121,FALSE)*($T121*(1-$F121)+$S121*(1-$G121))*((1+Inputs!$D$7)^BA$2))))))</f>
        <v>0</v>
      </c>
      <c r="BB121" s="88">
        <f>$E121*IF(BB$2&gt;Inputs!$D$5,0,IF(BB$2&gt;VLOOKUP($H121,Lists!$P$3:$Q$7,2),IF($N121=Lists!$K$3,IF($L121&lt;1,(($U121/$L121)*((1+Inputs!$D$7)^BB$2)),((INT(BB$2/$L121)-INT((BB$2-1)/$L121))*$U121*((1+Inputs!$D$7)^BB$2))),(_xlfn.WEIBULL.DIST(BB$2,$M121,$L121,FALSE)*$U121*((1+Inputs!$D$7)^BB$2))),IF($N121=Lists!$K$3,IF($L121&lt;1,((($T121*(1-$F121)+$S121*(1-$G121))/$L121)*((1+Inputs!$D$7)^BB$2)),((INT(BB$2/$L121)-INT((BB$2-1)/$L121))*($T121*(1-$F121)+$S121*(1-$G121))*((1+Inputs!$D$7)^BB$2))),((_xlfn.WEIBULL.DIST(BB$2,$M121,$L121,FALSE)*($T121*(1-$F121)+$S121*(1-$G121))*((1+Inputs!$D$7)^BB$2))))))</f>
        <v>0</v>
      </c>
      <c r="BC121" s="88">
        <f>$E121*IF(BC$2&gt;Inputs!$D$5,0,IF(BC$2&gt;VLOOKUP($H121,Lists!$P$3:$Q$7,2),IF($N121=Lists!$K$3,IF($L121&lt;1,(($U121/$L121)*((1+Inputs!$D$7)^BC$2)),((INT(BC$2/$L121)-INT((BC$2-1)/$L121))*$U121*((1+Inputs!$D$7)^BC$2))),(_xlfn.WEIBULL.DIST(BC$2,$M121,$L121,FALSE)*$U121*((1+Inputs!$D$7)^BC$2))),IF($N121=Lists!$K$3,IF($L121&lt;1,((($T121*(1-$F121)+$S121*(1-$G121))/$L121)*((1+Inputs!$D$7)^BC$2)),((INT(BC$2/$L121)-INT((BC$2-1)/$L121))*($T121*(1-$F121)+$S121*(1-$G121))*((1+Inputs!$D$7)^BC$2))),((_xlfn.WEIBULL.DIST(BC$2,$M121,$L121,FALSE)*($T121*(1-$F121)+$S121*(1-$G121))*((1+Inputs!$D$7)^BC$2))))))</f>
        <v>0</v>
      </c>
      <c r="BD121" s="88">
        <f>$E121*IF(BD$2&gt;Inputs!$D$5,0,IF(BD$2&gt;VLOOKUP($H121,Lists!$P$3:$Q$7,2),IF($N121=Lists!$K$3,IF($L121&lt;1,(($U121/$L121)*((1+Inputs!$D$7)^BD$2)),((INT(BD$2/$L121)-INT((BD$2-1)/$L121))*$U121*((1+Inputs!$D$7)^BD$2))),(_xlfn.WEIBULL.DIST(BD$2,$M121,$L121,FALSE)*$U121*((1+Inputs!$D$7)^BD$2))),IF($N121=Lists!$K$3,IF($L121&lt;1,((($T121*(1-$F121)+$S121*(1-$G121))/$L121)*((1+Inputs!$D$7)^BD$2)),((INT(BD$2/$L121)-INT((BD$2-1)/$L121))*($T121*(1-$F121)+$S121*(1-$G121))*((1+Inputs!$D$7)^BD$2))),((_xlfn.WEIBULL.DIST(BD$2,$M121,$L121,FALSE)*($T121*(1-$F121)+$S121*(1-$G121))*((1+Inputs!$D$7)^BD$2))))))</f>
        <v>0</v>
      </c>
      <c r="BE121" s="88">
        <f>$E121*IF(BE$2&gt;Inputs!$D$5,0,IF(BE$2&gt;VLOOKUP($H121,Lists!$P$3:$Q$7,2),IF($N121=Lists!$K$3,IF($L121&lt;1,(($U121/$L121)*((1+Inputs!$D$7)^BE$2)),((INT(BE$2/$L121)-INT((BE$2-1)/$L121))*$U121*((1+Inputs!$D$7)^BE$2))),(_xlfn.WEIBULL.DIST(BE$2,$M121,$L121,FALSE)*$U121*((1+Inputs!$D$7)^BE$2))),IF($N121=Lists!$K$3,IF($L121&lt;1,((($T121*(1-$F121)+$S121*(1-$G121))/$L121)*((1+Inputs!$D$7)^BE$2)),((INT(BE$2/$L121)-INT((BE$2-1)/$L121))*($T121*(1-$F121)+$S121*(1-$G121))*((1+Inputs!$D$7)^BE$2))),((_xlfn.WEIBULL.DIST(BE$2,$M121,$L121,FALSE)*($T121*(1-$F121)+$S121*(1-$G121))*((1+Inputs!$D$7)^BE$2))))))</f>
        <v>0</v>
      </c>
      <c r="BF121" s="88">
        <f>$E121*IF(BF$2&gt;Inputs!$D$5,0,IF(BF$2&gt;VLOOKUP($H121,Lists!$P$3:$Q$7,2),IF($N121=Lists!$K$3,IF($L121&lt;1,(($U121/$L121)*((1+Inputs!$D$7)^BF$2)),((INT(BF$2/$L121)-INT((BF$2-1)/$L121))*$U121*((1+Inputs!$D$7)^BF$2))),(_xlfn.WEIBULL.DIST(BF$2,$M121,$L121,FALSE)*$U121*((1+Inputs!$D$7)^BF$2))),IF($N121=Lists!$K$3,IF($L121&lt;1,((($T121*(1-$F121)+$S121*(1-$G121))/$L121)*((1+Inputs!$D$7)^BF$2)),((INT(BF$2/$L121)-INT((BF$2-1)/$L121))*($T121*(1-$F121)+$S121*(1-$G121))*((1+Inputs!$D$7)^BF$2))),((_xlfn.WEIBULL.DIST(BF$2,$M121,$L121,FALSE)*($T121*(1-$F121)+$S121*(1-$G121))*((1+Inputs!$D$7)^BF$2))))))</f>
        <v>0</v>
      </c>
      <c r="BG121" s="88">
        <f>$E121*IF(BG$2&gt;Inputs!$D$5,0,IF(BG$2&gt;VLOOKUP($H121,Lists!$P$3:$Q$7,2),IF($N121=Lists!$K$3,IF($L121&lt;1,(($U121/$L121)*((1+Inputs!$D$7)^BG$2)),((INT(BG$2/$L121)-INT((BG$2-1)/$L121))*$U121*((1+Inputs!$D$7)^BG$2))),(_xlfn.WEIBULL.DIST(BG$2,$M121,$L121,FALSE)*$U121*((1+Inputs!$D$7)^BG$2))),IF($N121=Lists!$K$3,IF($L121&lt;1,((($T121*(1-$F121)+$S121*(1-$G121))/$L121)*((1+Inputs!$D$7)^BG$2)),((INT(BG$2/$L121)-INT((BG$2-1)/$L121))*($T121*(1-$F121)+$S121*(1-$G121))*((1+Inputs!$D$7)^BG$2))),((_xlfn.WEIBULL.DIST(BG$2,$M121,$L121,FALSE)*($T121*(1-$F121)+$S121*(1-$G121))*((1+Inputs!$D$7)^BG$2))))))</f>
        <v>0</v>
      </c>
      <c r="BH121" s="88">
        <f>$E121*IF(BH$2&gt;Inputs!$D$5,0,IF(BH$2&gt;VLOOKUP($H121,Lists!$P$3:$Q$7,2),IF($N121=Lists!$K$3,IF($L121&lt;1,(($U121/$L121)*((1+Inputs!$D$7)^BH$2)),((INT(BH$2/$L121)-INT((BH$2-1)/$L121))*$U121*((1+Inputs!$D$7)^BH$2))),(_xlfn.WEIBULL.DIST(BH$2,$M121,$L121,FALSE)*$U121*((1+Inputs!$D$7)^BH$2))),IF($N121=Lists!$K$3,IF($L121&lt;1,((($T121*(1-$F121)+$S121*(1-$G121))/$L121)*((1+Inputs!$D$7)^BH$2)),((INT(BH$2/$L121)-INT((BH$2-1)/$L121))*($T121*(1-$F121)+$S121*(1-$G121))*((1+Inputs!$D$7)^BH$2))),((_xlfn.WEIBULL.DIST(BH$2,$M121,$L121,FALSE)*($T121*(1-$F121)+$S121*(1-$G121))*((1+Inputs!$D$7)^BH$2))))))</f>
        <v>0</v>
      </c>
      <c r="BI121" s="88">
        <f>$E121*IF(BI$2&gt;Inputs!$D$5,0,IF(BI$2&gt;VLOOKUP($H121,Lists!$P$3:$Q$7,2),IF($N121=Lists!$K$3,IF($L121&lt;1,(($U121/$L121)*((1+Inputs!$D$7)^BI$2)),((INT(BI$2/$L121)-INT((BI$2-1)/$L121))*$U121*((1+Inputs!$D$7)^BI$2))),(_xlfn.WEIBULL.DIST(BI$2,$M121,$L121,FALSE)*$U121*((1+Inputs!$D$7)^BI$2))),IF($N121=Lists!$K$3,IF($L121&lt;1,((($T121*(1-$F121)+$S121*(1-$G121))/$L121)*((1+Inputs!$D$7)^BI$2)),((INT(BI$2/$L121)-INT((BI$2-1)/$L121))*($T121*(1-$F121)+$S121*(1-$G121))*((1+Inputs!$D$7)^BI$2))),((_xlfn.WEIBULL.DIST(BI$2,$M121,$L121,FALSE)*($T121*(1-$F121)+$S121*(1-$G121))*((1+Inputs!$D$7)^BI$2))))))</f>
        <v>0</v>
      </c>
      <c r="BJ121" s="88">
        <f>$E121*IF(BJ$2&gt;Inputs!$D$5,0,IF(BJ$2&gt;VLOOKUP($H121,Lists!$P$3:$Q$7,2),IF($N121=Lists!$K$3,IF($L121&lt;1,(($U121/$L121)*((1+Inputs!$D$7)^BJ$2)),((INT(BJ$2/$L121)-INT((BJ$2-1)/$L121))*$U121*((1+Inputs!$D$7)^BJ$2))),(_xlfn.WEIBULL.DIST(BJ$2,$M121,$L121,FALSE)*$U121*((1+Inputs!$D$7)^BJ$2))),IF($N121=Lists!$K$3,IF($L121&lt;1,((($T121*(1-$F121)+$S121*(1-$G121))/$L121)*((1+Inputs!$D$7)^BJ$2)),((INT(BJ$2/$L121)-INT((BJ$2-1)/$L121))*($T121*(1-$F121)+$S121*(1-$G121))*((1+Inputs!$D$7)^BJ$2))),((_xlfn.WEIBULL.DIST(BJ$2,$M121,$L121,FALSE)*($T121*(1-$F121)+$S121*(1-$G121))*((1+Inputs!$D$7)^BJ$2))))))</f>
        <v>0</v>
      </c>
      <c r="BK121" s="88">
        <f>$E121*IF(BK$2&gt;Inputs!$D$5,0,IF(BK$2&gt;VLOOKUP($H121,Lists!$P$3:$Q$7,2),IF($N121=Lists!$K$3,IF($L121&lt;1,(($U121/$L121)*((1+Inputs!$D$7)^BK$2)),((INT(BK$2/$L121)-INT((BK$2-1)/$L121))*$U121*((1+Inputs!$D$7)^BK$2))),(_xlfn.WEIBULL.DIST(BK$2,$M121,$L121,FALSE)*$U121*((1+Inputs!$D$7)^BK$2))),IF($N121=Lists!$K$3,IF($L121&lt;1,((($T121*(1-$F121)+$S121*(1-$G121))/$L121)*((1+Inputs!$D$7)^BK$2)),((INT(BK$2/$L121)-INT((BK$2-1)/$L121))*($T121*(1-$F121)+$S121*(1-$G121))*((1+Inputs!$D$7)^BK$2))),((_xlfn.WEIBULL.DIST(BK$2,$M121,$L121,FALSE)*($T121*(1-$F121)+$S121*(1-$G121))*((1+Inputs!$D$7)^BK$2))))))</f>
        <v>0</v>
      </c>
      <c r="BL121" s="88">
        <f>$E121*IF(BL$2&gt;Inputs!$D$5,0,IF(BL$2&gt;VLOOKUP($H121,Lists!$P$3:$Q$7,2),IF($N121=Lists!$K$3,IF($L121&lt;1,(($U121/$L121)*((1+Inputs!$D$7)^BL$2)),((INT(BL$2/$L121)-INT((BL$2-1)/$L121))*$U121*((1+Inputs!$D$7)^BL$2))),(_xlfn.WEIBULL.DIST(BL$2,$M121,$L121,FALSE)*$U121*((1+Inputs!$D$7)^BL$2))),IF($N121=Lists!$K$3,IF($L121&lt;1,((($T121*(1-$F121)+$S121*(1-$G121))/$L121)*((1+Inputs!$D$7)^BL$2)),((INT(BL$2/$L121)-INT((BL$2-1)/$L121))*($T121*(1-$F121)+$S121*(1-$G121))*((1+Inputs!$D$7)^BL$2))),((_xlfn.WEIBULL.DIST(BL$2,$M121,$L121,FALSE)*($T121*(1-$F121)+$S121*(1-$G121))*((1+Inputs!$D$7)^BL$2))))))</f>
        <v>0</v>
      </c>
      <c r="BM121" s="88">
        <f>$E121*IF(BM$2&gt;Inputs!$D$5,0,IF(BM$2&gt;VLOOKUP($H121,Lists!$P$3:$Q$7,2),IF($N121=Lists!$K$3,IF($L121&lt;1,(($U121/$L121)*((1+Inputs!$D$7)^BM$2)),((INT(BM$2/$L121)-INT((BM$2-1)/$L121))*$U121*((1+Inputs!$D$7)^BM$2))),(_xlfn.WEIBULL.DIST(BM$2,$M121,$L121,FALSE)*$U121*((1+Inputs!$D$7)^BM$2))),IF($N121=Lists!$K$3,IF($L121&lt;1,((($T121*(1-$F121)+$S121*(1-$G121))/$L121)*((1+Inputs!$D$7)^BM$2)),((INT(BM$2/$L121)-INT((BM$2-1)/$L121))*($T121*(1-$F121)+$S121*(1-$G121))*((1+Inputs!$D$7)^BM$2))),((_xlfn.WEIBULL.DIST(BM$2,$M121,$L121,FALSE)*($T121*(1-$F121)+$S121*(1-$G121))*((1+Inputs!$D$7)^BM$2))))))</f>
        <v>0</v>
      </c>
      <c r="BN121" s="88">
        <f>$E121*IF(BN$2&gt;Inputs!$D$5,0,IF(BN$2&gt;VLOOKUP($H121,Lists!$P$3:$Q$7,2),IF($N121=Lists!$K$3,IF($L121&lt;1,(($U121/$L121)*((1+Inputs!$D$7)^BN$2)),((INT(BN$2/$L121)-INT((BN$2-1)/$L121))*$U121*((1+Inputs!$D$7)^BN$2))),(_xlfn.WEIBULL.DIST(BN$2,$M121,$L121,FALSE)*$U121*((1+Inputs!$D$7)^BN$2))),IF($N121=Lists!$K$3,IF($L121&lt;1,((($T121*(1-$F121)+$S121*(1-$G121))/$L121)*((1+Inputs!$D$7)^BN$2)),((INT(BN$2/$L121)-INT((BN$2-1)/$L121))*($T121*(1-$F121)+$S121*(1-$G121))*((1+Inputs!$D$7)^BN$2))),((_xlfn.WEIBULL.DIST(BN$2,$M121,$L121,FALSE)*($T121*(1-$F121)+$S121*(1-$G121))*((1+Inputs!$D$7)^BN$2))))))</f>
        <v>0</v>
      </c>
      <c r="BO121" s="64">
        <f>NPV(Inputs!$D$6,BQ121:DD121)</f>
        <v>618.24644774755382</v>
      </c>
      <c r="BP121" s="67">
        <f t="shared" si="27"/>
        <v>2.9159520798699657E-4</v>
      </c>
      <c r="BQ121" s="88">
        <f>MAX(AA121,($E121*IF(BQ$2&gt;Inputs!$D$5,0,IF(BQ$2&gt;VLOOKUP($H121,Lists!$P$3:$Q$7,2),IF($N121=Lists!$K$3,IF($L121&lt;1,(($U121/$L121)*((1+Inputs!$D$7)^BQ$2)),((INT(BQ$2/$L121)-INT((BQ$2-1)/$L121))*$U121*((1+Inputs!$D$7)^BQ$2))),(Inputs!$D$8^((1-_xlfn.WEIBULL.DIST(BQ$2,$M121,$L121,FALSE))/_xlfn.WEIBULL.DIST(BQ$2,$M121,$L121,FALSE))*$U121*((1+Inputs!$D$7)^BQ$2))),IF($N121=Lists!$K$3,IF($L121&lt;1,((($T121*(1-$F121)+$S121*(1-$G121))/$L121)*((1+Inputs!$D$7)^BQ$2)),((INT(BQ$2/$L121)-INT((BQ$2-1)/$L121))*($T121*(1-$F121)+$S121*(1-$G121))*((1+Inputs!$D$7)^BQ$2))),((Inputs!$D$8^((1-_xlfn.WEIBULL.DIST(BQ$2,$M121,$L121,FALSE))/_xlfn.WEIBULL.DIST(BQ$2,$M121,$L121,FALSE))*($T121*(1-$F121)+$S121*(1-$G121))*((1+Inputs!$D$7)^BQ$2))))))))</f>
        <v>44.304786885245903</v>
      </c>
      <c r="BR121" s="88">
        <f>MAX(AB121,($E121*IF(BR$2&gt;Inputs!$D$5,0,IF(BR$2&gt;VLOOKUP($H121,Lists!$P$3:$Q$7,2),IF($N121=Lists!$K$3,IF($L121&lt;1,(($U121/$L121)*((1+Inputs!$D$7)^BR$2)),((INT(BR$2/$L121)-INT((BR$2-1)/$L121))*$U121*((1+Inputs!$D$7)^BR$2))),(Inputs!$D$8^((1-_xlfn.WEIBULL.DIST(BR$2,$M121,$L121,FALSE))/_xlfn.WEIBULL.DIST(BR$2,$M121,$L121,FALSE))*$U121*((1+Inputs!$D$7)^BR$2))),IF($N121=Lists!$K$3,IF($L121&lt;1,((($T121*(1-$F121)+$S121*(1-$G121))/$L121)*((1+Inputs!$D$7)^BR$2)),((INT(BR$2/$L121)-INT((BR$2-1)/$L121))*($T121*(1-$F121)+$S121*(1-$G121))*((1+Inputs!$D$7)^BR$2))),((Inputs!$D$8^((1-_xlfn.WEIBULL.DIST(BR$2,$M121,$L121,FALSE))/_xlfn.WEIBULL.DIST(BR$2,$M121,$L121,FALSE))*($T121*(1-$F121)+$S121*(1-$G121))*((1+Inputs!$D$7)^BR$2))))))))</f>
        <v>45.190882622950816</v>
      </c>
      <c r="BS121" s="88">
        <f>MAX(AC121,($E121*IF(BS$2&gt;Inputs!$D$5,0,IF(BS$2&gt;VLOOKUP($H121,Lists!$P$3:$Q$7,2),IF($N121=Lists!$K$3,IF($L121&lt;1,(($U121/$L121)*((1+Inputs!$D$7)^BS$2)),((INT(BS$2/$L121)-INT((BS$2-1)/$L121))*$U121*((1+Inputs!$D$7)^BS$2))),(Inputs!$D$8^((1-_xlfn.WEIBULL.DIST(BS$2,$M121,$L121,FALSE))/_xlfn.WEIBULL.DIST(BS$2,$M121,$L121,FALSE))*$U121*((1+Inputs!$D$7)^BS$2))),IF($N121=Lists!$K$3,IF($L121&lt;1,((($T121*(1-$F121)+$S121*(1-$G121))/$L121)*((1+Inputs!$D$7)^BS$2)),((INT(BS$2/$L121)-INT((BS$2-1)/$L121))*($T121*(1-$F121)+$S121*(1-$G121))*((1+Inputs!$D$7)^BS$2))),((Inputs!$D$8^((1-_xlfn.WEIBULL.DIST(BS$2,$M121,$L121,FALSE))/_xlfn.WEIBULL.DIST(BS$2,$M121,$L121,FALSE))*($T121*(1-$F121)+$S121*(1-$G121))*((1+Inputs!$D$7)^BS$2))))))))</f>
        <v>46.094700275409835</v>
      </c>
      <c r="BT121" s="88">
        <f>MAX(AD121,($E121*IF(BT$2&gt;Inputs!$D$5,0,IF(BT$2&gt;VLOOKUP($H121,Lists!$P$3:$Q$7,2),IF($N121=Lists!$K$3,IF($L121&lt;1,(($U121/$L121)*((1+Inputs!$D$7)^BT$2)),((INT(BT$2/$L121)-INT((BT$2-1)/$L121))*$U121*((1+Inputs!$D$7)^BT$2))),(Inputs!$D$8^((1-_xlfn.WEIBULL.DIST(BT$2,$M121,$L121,FALSE))/_xlfn.WEIBULL.DIST(BT$2,$M121,$L121,FALSE))*$U121*((1+Inputs!$D$7)^BT$2))),IF($N121=Lists!$K$3,IF($L121&lt;1,((($T121*(1-$F121)+$S121*(1-$G121))/$L121)*((1+Inputs!$D$7)^BT$2)),((INT(BT$2/$L121)-INT((BT$2-1)/$L121))*($T121*(1-$F121)+$S121*(1-$G121))*((1+Inputs!$D$7)^BT$2))),((Inputs!$D$8^((1-_xlfn.WEIBULL.DIST(BT$2,$M121,$L121,FALSE))/_xlfn.WEIBULL.DIST(BT$2,$M121,$L121,FALSE))*($T121*(1-$F121)+$S121*(1-$G121))*((1+Inputs!$D$7)^BT$2))))))))</f>
        <v>47.016594280918035</v>
      </c>
      <c r="BU121" s="88">
        <f>MAX(AE121,($E121*IF(BU$2&gt;Inputs!$D$5,0,IF(BU$2&gt;VLOOKUP($H121,Lists!$P$3:$Q$7,2),IF($N121=Lists!$K$3,IF($L121&lt;1,(($U121/$L121)*((1+Inputs!$D$7)^BU$2)),((INT(BU$2/$L121)-INT((BU$2-1)/$L121))*$U121*((1+Inputs!$D$7)^BU$2))),(Inputs!$D$8^((1-_xlfn.WEIBULL.DIST(BU$2,$M121,$L121,FALSE))/_xlfn.WEIBULL.DIST(BU$2,$M121,$L121,FALSE))*$U121*((1+Inputs!$D$7)^BU$2))),IF($N121=Lists!$K$3,IF($L121&lt;1,((($T121*(1-$F121)+$S121*(1-$G121))/$L121)*((1+Inputs!$D$7)^BU$2)),((INT(BU$2/$L121)-INT((BU$2-1)/$L121))*($T121*(1-$F121)+$S121*(1-$G121))*((1+Inputs!$D$7)^BU$2))),((Inputs!$D$8^((1-_xlfn.WEIBULL.DIST(BU$2,$M121,$L121,FALSE))/_xlfn.WEIBULL.DIST(BU$2,$M121,$L121,FALSE))*($T121*(1-$F121)+$S121*(1-$G121))*((1+Inputs!$D$7)^BU$2))))))))</f>
        <v>47.956926166536391</v>
      </c>
      <c r="BV121" s="88">
        <f>MAX(AF121,($E121*IF(BV$2&gt;Inputs!$D$5,0,IF(BV$2&gt;VLOOKUP($H121,Lists!$P$3:$Q$7,2),IF($N121=Lists!$K$3,IF($L121&lt;1,(($U121/$L121)*((1+Inputs!$D$7)^BV$2)),((INT(BV$2/$L121)-INT((BV$2-1)/$L121))*$U121*((1+Inputs!$D$7)^BV$2))),(Inputs!$D$8^((1-_xlfn.WEIBULL.DIST(BV$2,$M121,$L121,FALSE))/_xlfn.WEIBULL.DIST(BV$2,$M121,$L121,FALSE))*$U121*((1+Inputs!$D$7)^BV$2))),IF($N121=Lists!$K$3,IF($L121&lt;1,((($T121*(1-$F121)+$S121*(1-$G121))/$L121)*((1+Inputs!$D$7)^BV$2)),((INT(BV$2/$L121)-INT((BV$2-1)/$L121))*($T121*(1-$F121)+$S121*(1-$G121))*((1+Inputs!$D$7)^BV$2))),((Inputs!$D$8^((1-_xlfn.WEIBULL.DIST(BV$2,$M121,$L121,FALSE))/_xlfn.WEIBULL.DIST(BV$2,$M121,$L121,FALSE))*($T121*(1-$F121)+$S121*(1-$G121))*((1+Inputs!$D$7)^BV$2))))))))</f>
        <v>48.916064689867127</v>
      </c>
      <c r="BW121" s="88">
        <f>MAX(AG121,($E121*IF(BW$2&gt;Inputs!$D$5,0,IF(BW$2&gt;VLOOKUP($H121,Lists!$P$3:$Q$7,2),IF($N121=Lists!$K$3,IF($L121&lt;1,(($U121/$L121)*((1+Inputs!$D$7)^BW$2)),((INT(BW$2/$L121)-INT((BW$2-1)/$L121))*$U121*((1+Inputs!$D$7)^BW$2))),(Inputs!$D$8^((1-_xlfn.WEIBULL.DIST(BW$2,$M121,$L121,FALSE))/_xlfn.WEIBULL.DIST(BW$2,$M121,$L121,FALSE))*$U121*((1+Inputs!$D$7)^BW$2))),IF($N121=Lists!$K$3,IF($L121&lt;1,((($T121*(1-$F121)+$S121*(1-$G121))/$L121)*((1+Inputs!$D$7)^BW$2)),((INT(BW$2/$L121)-INT((BW$2-1)/$L121))*($T121*(1-$F121)+$S121*(1-$G121))*((1+Inputs!$D$7)^BW$2))),((Inputs!$D$8^((1-_xlfn.WEIBULL.DIST(BW$2,$M121,$L121,FALSE))/_xlfn.WEIBULL.DIST(BW$2,$M121,$L121,FALSE))*($T121*(1-$F121)+$S121*(1-$G121))*((1+Inputs!$D$7)^BW$2))))))))</f>
        <v>49.894385983664456</v>
      </c>
      <c r="BX121" s="88">
        <f>MAX(AH121,($E121*IF(BX$2&gt;Inputs!$D$5,0,IF(BX$2&gt;VLOOKUP($H121,Lists!$P$3:$Q$7,2),IF($N121=Lists!$K$3,IF($L121&lt;1,(($U121/$L121)*((1+Inputs!$D$7)^BX$2)),((INT(BX$2/$L121)-INT((BX$2-1)/$L121))*$U121*((1+Inputs!$D$7)^BX$2))),(Inputs!$D$8^((1-_xlfn.WEIBULL.DIST(BX$2,$M121,$L121,FALSE))/_xlfn.WEIBULL.DIST(BX$2,$M121,$L121,FALSE))*$U121*((1+Inputs!$D$7)^BX$2))),IF($N121=Lists!$K$3,IF($L121&lt;1,((($T121*(1-$F121)+$S121*(1-$G121))/$L121)*((1+Inputs!$D$7)^BX$2)),((INT(BX$2/$L121)-INT((BX$2-1)/$L121))*($T121*(1-$F121)+$S121*(1-$G121))*((1+Inputs!$D$7)^BX$2))),((Inputs!$D$8^((1-_xlfn.WEIBULL.DIST(BX$2,$M121,$L121,FALSE))/_xlfn.WEIBULL.DIST(BX$2,$M121,$L121,FALSE))*($T121*(1-$F121)+$S121*(1-$G121))*((1+Inputs!$D$7)^BX$2))))))))</f>
        <v>50.89227370333775</v>
      </c>
      <c r="BY121" s="88">
        <f>MAX(AI121,($E121*IF(BY$2&gt;Inputs!$D$5,0,IF(BY$2&gt;VLOOKUP($H121,Lists!$P$3:$Q$7,2),IF($N121=Lists!$K$3,IF($L121&lt;1,(($U121/$L121)*((1+Inputs!$D$7)^BY$2)),((INT(BY$2/$L121)-INT((BY$2-1)/$L121))*$U121*((1+Inputs!$D$7)^BY$2))),(Inputs!$D$8^((1-_xlfn.WEIBULL.DIST(BY$2,$M121,$L121,FALSE))/_xlfn.WEIBULL.DIST(BY$2,$M121,$L121,FALSE))*$U121*((1+Inputs!$D$7)^BY$2))),IF($N121=Lists!$K$3,IF($L121&lt;1,((($T121*(1-$F121)+$S121*(1-$G121))/$L121)*((1+Inputs!$D$7)^BY$2)),((INT(BY$2/$L121)-INT((BY$2-1)/$L121))*($T121*(1-$F121)+$S121*(1-$G121))*((1+Inputs!$D$7)^BY$2))),((Inputs!$D$8^((1-_xlfn.WEIBULL.DIST(BY$2,$M121,$L121,FALSE))/_xlfn.WEIBULL.DIST(BY$2,$M121,$L121,FALSE))*($T121*(1-$F121)+$S121*(1-$G121))*((1+Inputs!$D$7)^BY$2))))))))</f>
        <v>51.910119177404503</v>
      </c>
      <c r="BZ121" s="88">
        <f>MAX(AJ121,($E121*IF(BZ$2&gt;Inputs!$D$5,0,IF(BZ$2&gt;VLOOKUP($H121,Lists!$P$3:$Q$7,2),IF($N121=Lists!$K$3,IF($L121&lt;1,(($U121/$L121)*((1+Inputs!$D$7)^BZ$2)),((INT(BZ$2/$L121)-INT((BZ$2-1)/$L121))*$U121*((1+Inputs!$D$7)^BZ$2))),(Inputs!$D$8^((1-_xlfn.WEIBULL.DIST(BZ$2,$M121,$L121,FALSE))/_xlfn.WEIBULL.DIST(BZ$2,$M121,$L121,FALSE))*$U121*((1+Inputs!$D$7)^BZ$2))),IF($N121=Lists!$K$3,IF($L121&lt;1,((($T121*(1-$F121)+$S121*(1-$G121))/$L121)*((1+Inputs!$D$7)^BZ$2)),((INT(BZ$2/$L121)-INT((BZ$2-1)/$L121))*($T121*(1-$F121)+$S121*(1-$G121))*((1+Inputs!$D$7)^BZ$2))),((Inputs!$D$8^((1-_xlfn.WEIBULL.DIST(BZ$2,$M121,$L121,FALSE))/_xlfn.WEIBULL.DIST(BZ$2,$M121,$L121,FALSE))*($T121*(1-$F121)+$S121*(1-$G121))*((1+Inputs!$D$7)^BZ$2))))))))</f>
        <v>52.9483215609526</v>
      </c>
      <c r="CA121" s="88">
        <f>MAX(AK121,($E121*IF(CA$2&gt;Inputs!$D$5,0,IF(CA$2&gt;VLOOKUP($H121,Lists!$P$3:$Q$7,2),IF($N121=Lists!$K$3,IF($L121&lt;1,(($U121/$L121)*((1+Inputs!$D$7)^CA$2)),((INT(CA$2/$L121)-INT((CA$2-1)/$L121))*$U121*((1+Inputs!$D$7)^CA$2))),(Inputs!$D$8^((1-_xlfn.WEIBULL.DIST(CA$2,$M121,$L121,FALSE))/_xlfn.WEIBULL.DIST(CA$2,$M121,$L121,FALSE))*$U121*((1+Inputs!$D$7)^CA$2))),IF($N121=Lists!$K$3,IF($L121&lt;1,((($T121*(1-$F121)+$S121*(1-$G121))/$L121)*((1+Inputs!$D$7)^CA$2)),((INT(CA$2/$L121)-INT((CA$2-1)/$L121))*($T121*(1-$F121)+$S121*(1-$G121))*((1+Inputs!$D$7)^CA$2))),((Inputs!$D$8^((1-_xlfn.WEIBULL.DIST(CA$2,$M121,$L121,FALSE))/_xlfn.WEIBULL.DIST(CA$2,$M121,$L121,FALSE))*($T121*(1-$F121)+$S121*(1-$G121))*((1+Inputs!$D$7)^CA$2))))))))</f>
        <v>54.007287992171641</v>
      </c>
      <c r="CB121" s="88">
        <f>MAX(AL121,($E121*IF(CB$2&gt;Inputs!$D$5,0,IF(CB$2&gt;VLOOKUP($H121,Lists!$P$3:$Q$7,2),IF($N121=Lists!$K$3,IF($L121&lt;1,(($U121/$L121)*((1+Inputs!$D$7)^CB$2)),((INT(CB$2/$L121)-INT((CB$2-1)/$L121))*$U121*((1+Inputs!$D$7)^CB$2))),(Inputs!$D$8^((1-_xlfn.WEIBULL.DIST(CB$2,$M121,$L121,FALSE))/_xlfn.WEIBULL.DIST(CB$2,$M121,$L121,FALSE))*$U121*((1+Inputs!$D$7)^CB$2))),IF($N121=Lists!$K$3,IF($L121&lt;1,((($T121*(1-$F121)+$S121*(1-$G121))/$L121)*((1+Inputs!$D$7)^CB$2)),((INT(CB$2/$L121)-INT((CB$2-1)/$L121))*($T121*(1-$F121)+$S121*(1-$G121))*((1+Inputs!$D$7)^CB$2))),((Inputs!$D$8^((1-_xlfn.WEIBULL.DIST(CB$2,$M121,$L121,FALSE))/_xlfn.WEIBULL.DIST(CB$2,$M121,$L121,FALSE))*($T121*(1-$F121)+$S121*(1-$G121))*((1+Inputs!$D$7)^CB$2))))))))</f>
        <v>55.08743375201508</v>
      </c>
      <c r="CC121" s="88">
        <f>MAX(AM121,($E121*IF(CC$2&gt;Inputs!$D$5,0,IF(CC$2&gt;VLOOKUP($H121,Lists!$P$3:$Q$7,2),IF($N121=Lists!$K$3,IF($L121&lt;1,(($U121/$L121)*((1+Inputs!$D$7)^CC$2)),((INT(CC$2/$L121)-INT((CC$2-1)/$L121))*$U121*((1+Inputs!$D$7)^CC$2))),(Inputs!$D$8^((1-_xlfn.WEIBULL.DIST(CC$2,$M121,$L121,FALSE))/_xlfn.WEIBULL.DIST(CC$2,$M121,$L121,FALSE))*$U121*((1+Inputs!$D$7)^CC$2))),IF($N121=Lists!$K$3,IF($L121&lt;1,((($T121*(1-$F121)+$S121*(1-$G121))/$L121)*((1+Inputs!$D$7)^CC$2)),((INT(CC$2/$L121)-INT((CC$2-1)/$L121))*($T121*(1-$F121)+$S121*(1-$G121))*((1+Inputs!$D$7)^CC$2))),((Inputs!$D$8^((1-_xlfn.WEIBULL.DIST(CC$2,$M121,$L121,FALSE))/_xlfn.WEIBULL.DIST(CC$2,$M121,$L121,FALSE))*($T121*(1-$F121)+$S121*(1-$G121))*((1+Inputs!$D$7)^CC$2))))))))</f>
        <v>56.189182427055378</v>
      </c>
      <c r="CD121" s="88">
        <f>MAX(AN121,($E121*IF(CD$2&gt;Inputs!$D$5,0,IF(CD$2&gt;VLOOKUP($H121,Lists!$P$3:$Q$7,2),IF($N121=Lists!$K$3,IF($L121&lt;1,(($U121/$L121)*((1+Inputs!$D$7)^CD$2)),((INT(CD$2/$L121)-INT((CD$2-1)/$L121))*$U121*((1+Inputs!$D$7)^CD$2))),(Inputs!$D$8^((1-_xlfn.WEIBULL.DIST(CD$2,$M121,$L121,FALSE))/_xlfn.WEIBULL.DIST(CD$2,$M121,$L121,FALSE))*$U121*((1+Inputs!$D$7)^CD$2))),IF($N121=Lists!$K$3,IF($L121&lt;1,((($T121*(1-$F121)+$S121*(1-$G121))/$L121)*((1+Inputs!$D$7)^CD$2)),((INT(CD$2/$L121)-INT((CD$2-1)/$L121))*($T121*(1-$F121)+$S121*(1-$G121))*((1+Inputs!$D$7)^CD$2))),((Inputs!$D$8^((1-_xlfn.WEIBULL.DIST(CD$2,$M121,$L121,FALSE))/_xlfn.WEIBULL.DIST(CD$2,$M121,$L121,FALSE))*($T121*(1-$F121)+$S121*(1-$G121))*((1+Inputs!$D$7)^CD$2))))))))</f>
        <v>57.312966075596492</v>
      </c>
      <c r="CE121" s="88">
        <f>MAX(AO121,($E121*IF(CE$2&gt;Inputs!$D$5,0,IF(CE$2&gt;VLOOKUP($H121,Lists!$P$3:$Q$7,2),IF($N121=Lists!$K$3,IF($L121&lt;1,(($U121/$L121)*((1+Inputs!$D$7)^CE$2)),((INT(CE$2/$L121)-INT((CE$2-1)/$L121))*$U121*((1+Inputs!$D$7)^CE$2))),(Inputs!$D$8^((1-_xlfn.WEIBULL.DIST(CE$2,$M121,$L121,FALSE))/_xlfn.WEIBULL.DIST(CE$2,$M121,$L121,FALSE))*$U121*((1+Inputs!$D$7)^CE$2))),IF($N121=Lists!$K$3,IF($L121&lt;1,((($T121*(1-$F121)+$S121*(1-$G121))/$L121)*((1+Inputs!$D$7)^CE$2)),((INT(CE$2/$L121)-INT((CE$2-1)/$L121))*($T121*(1-$F121)+$S121*(1-$G121))*((1+Inputs!$D$7)^CE$2))),((Inputs!$D$8^((1-_xlfn.WEIBULL.DIST(CE$2,$M121,$L121,FALSE))/_xlfn.WEIBULL.DIST(CE$2,$M121,$L121,FALSE))*($T121*(1-$F121)+$S121*(1-$G121))*((1+Inputs!$D$7)^CE$2))))))))</f>
        <v>58.459225397108405</v>
      </c>
      <c r="CF121" s="88">
        <f>MAX(AP121,($E121*IF(CF$2&gt;Inputs!$D$5,0,IF(CF$2&gt;VLOOKUP($H121,Lists!$P$3:$Q$7,2),IF($N121=Lists!$K$3,IF($L121&lt;1,(($U121/$L121)*((1+Inputs!$D$7)^CF$2)),((INT(CF$2/$L121)-INT((CF$2-1)/$L121))*$U121*((1+Inputs!$D$7)^CF$2))),(Inputs!$D$8^((1-_xlfn.WEIBULL.DIST(CF$2,$M121,$L121,FALSE))/_xlfn.WEIBULL.DIST(CF$2,$M121,$L121,FALSE))*$U121*((1+Inputs!$D$7)^CF$2))),IF($N121=Lists!$K$3,IF($L121&lt;1,((($T121*(1-$F121)+$S121*(1-$G121))/$L121)*((1+Inputs!$D$7)^CF$2)),((INT(CF$2/$L121)-INT((CF$2-1)/$L121))*($T121*(1-$F121)+$S121*(1-$G121))*((1+Inputs!$D$7)^CF$2))),((Inputs!$D$8^((1-_xlfn.WEIBULL.DIST(CF$2,$M121,$L121,FALSE))/_xlfn.WEIBULL.DIST(CF$2,$M121,$L121,FALSE))*($T121*(1-$F121)+$S121*(1-$G121))*((1+Inputs!$D$7)^CF$2))))))))</f>
        <v>59.628409905050582</v>
      </c>
      <c r="CG121" s="88">
        <f>MAX(AQ121,($E121*IF(CG$2&gt;Inputs!$D$5,0,IF(CG$2&gt;VLOOKUP($H121,Lists!$P$3:$Q$7,2),IF($N121=Lists!$K$3,IF($L121&lt;1,(($U121/$L121)*((1+Inputs!$D$7)^CG$2)),((INT(CG$2/$L121)-INT((CG$2-1)/$L121))*$U121*((1+Inputs!$D$7)^CG$2))),(Inputs!$D$8^((1-_xlfn.WEIBULL.DIST(CG$2,$M121,$L121,FALSE))/_xlfn.WEIBULL.DIST(CG$2,$M121,$L121,FALSE))*$U121*((1+Inputs!$D$7)^CG$2))),IF($N121=Lists!$K$3,IF($L121&lt;1,((($T121*(1-$F121)+$S121*(1-$G121))/$L121)*((1+Inputs!$D$7)^CG$2)),((INT(CG$2/$L121)-INT((CG$2-1)/$L121))*($T121*(1-$F121)+$S121*(1-$G121))*((1+Inputs!$D$7)^CG$2))),((Inputs!$D$8^((1-_xlfn.WEIBULL.DIST(CG$2,$M121,$L121,FALSE))/_xlfn.WEIBULL.DIST(CG$2,$M121,$L121,FALSE))*($T121*(1-$F121)+$S121*(1-$G121))*((1+Inputs!$D$7)^CG$2))))))))</f>
        <v>60.820978103151603</v>
      </c>
      <c r="CH121" s="88">
        <f>MAX(AR121,($E121*IF(CH$2&gt;Inputs!$D$5,0,IF(CH$2&gt;VLOOKUP($H121,Lists!$P$3:$Q$7,2),IF($N121=Lists!$K$3,IF($L121&lt;1,(($U121/$L121)*((1+Inputs!$D$7)^CH$2)),((INT(CH$2/$L121)-INT((CH$2-1)/$L121))*$U121*((1+Inputs!$D$7)^CH$2))),(Inputs!$D$8^((1-_xlfn.WEIBULL.DIST(CH$2,$M121,$L121,FALSE))/_xlfn.WEIBULL.DIST(CH$2,$M121,$L121,FALSE))*$U121*((1+Inputs!$D$7)^CH$2))),IF($N121=Lists!$K$3,IF($L121&lt;1,((($T121*(1-$F121)+$S121*(1-$G121))/$L121)*((1+Inputs!$D$7)^CH$2)),((INT(CH$2/$L121)-INT((CH$2-1)/$L121))*($T121*(1-$F121)+$S121*(1-$G121))*((1+Inputs!$D$7)^CH$2))),((Inputs!$D$8^((1-_xlfn.WEIBULL.DIST(CH$2,$M121,$L121,FALSE))/_xlfn.WEIBULL.DIST(CH$2,$M121,$L121,FALSE))*($T121*(1-$F121)+$S121*(1-$G121))*((1+Inputs!$D$7)^CH$2))))))))</f>
        <v>62.037397665214627</v>
      </c>
      <c r="CI121" s="88">
        <f>MAX(AS121,($E121*IF(CI$2&gt;Inputs!$D$5,0,IF(CI$2&gt;VLOOKUP($H121,Lists!$P$3:$Q$7,2),IF($N121=Lists!$K$3,IF($L121&lt;1,(($U121/$L121)*((1+Inputs!$D$7)^CI$2)),((INT(CI$2/$L121)-INT((CI$2-1)/$L121))*$U121*((1+Inputs!$D$7)^CI$2))),(Inputs!$D$8^((1-_xlfn.WEIBULL.DIST(CI$2,$M121,$L121,FALSE))/_xlfn.WEIBULL.DIST(CI$2,$M121,$L121,FALSE))*$U121*((1+Inputs!$D$7)^CI$2))),IF($N121=Lists!$K$3,IF($L121&lt;1,((($T121*(1-$F121)+$S121*(1-$G121))/$L121)*((1+Inputs!$D$7)^CI$2)),((INT(CI$2/$L121)-INT((CI$2-1)/$L121))*($T121*(1-$F121)+$S121*(1-$G121))*((1+Inputs!$D$7)^CI$2))),((Inputs!$D$8^((1-_xlfn.WEIBULL.DIST(CI$2,$M121,$L121,FALSE))/_xlfn.WEIBULL.DIST(CI$2,$M121,$L121,FALSE))*($T121*(1-$F121)+$S121*(1-$G121))*((1+Inputs!$D$7)^CI$2))))))))</f>
        <v>63.27814561851892</v>
      </c>
      <c r="CJ121" s="88">
        <f>MAX(AT121,($E121*IF(CJ$2&gt;Inputs!$D$5,0,IF(CJ$2&gt;VLOOKUP($H121,Lists!$P$3:$Q$7,2),IF($N121=Lists!$K$3,IF($L121&lt;1,(($U121/$L121)*((1+Inputs!$D$7)^CJ$2)),((INT(CJ$2/$L121)-INT((CJ$2-1)/$L121))*$U121*((1+Inputs!$D$7)^CJ$2))),(Inputs!$D$8^((1-_xlfn.WEIBULL.DIST(CJ$2,$M121,$L121,FALSE))/_xlfn.WEIBULL.DIST(CJ$2,$M121,$L121,FALSE))*$U121*((1+Inputs!$D$7)^CJ$2))),IF($N121=Lists!$K$3,IF($L121&lt;1,((($T121*(1-$F121)+$S121*(1-$G121))/$L121)*((1+Inputs!$D$7)^CJ$2)),((INT(CJ$2/$L121)-INT((CJ$2-1)/$L121))*($T121*(1-$F121)+$S121*(1-$G121))*((1+Inputs!$D$7)^CJ$2))),((Inputs!$D$8^((1-_xlfn.WEIBULL.DIST(CJ$2,$M121,$L121,FALSE))/_xlfn.WEIBULL.DIST(CJ$2,$M121,$L121,FALSE))*($T121*(1-$F121)+$S121*(1-$G121))*((1+Inputs!$D$7)^CJ$2))))))))</f>
        <v>64.543708530889305</v>
      </c>
      <c r="CK121" s="88">
        <f>MAX(AU121,($E121*IF(CK$2&gt;Inputs!$D$5,0,IF(CK$2&gt;VLOOKUP($H121,Lists!$P$3:$Q$7,2),IF($N121=Lists!$K$3,IF($L121&lt;1,(($U121/$L121)*((1+Inputs!$D$7)^CK$2)),((INT(CK$2/$L121)-INT((CK$2-1)/$L121))*$U121*((1+Inputs!$D$7)^CK$2))),(Inputs!$D$8^((1-_xlfn.WEIBULL.DIST(CK$2,$M121,$L121,FALSE))/_xlfn.WEIBULL.DIST(CK$2,$M121,$L121,FALSE))*$U121*((1+Inputs!$D$7)^CK$2))),IF($N121=Lists!$K$3,IF($L121&lt;1,((($T121*(1-$F121)+$S121*(1-$G121))/$L121)*((1+Inputs!$D$7)^CK$2)),((INT(CK$2/$L121)-INT((CK$2-1)/$L121))*($T121*(1-$F121)+$S121*(1-$G121))*((1+Inputs!$D$7)^CK$2))),((Inputs!$D$8^((1-_xlfn.WEIBULL.DIST(CK$2,$M121,$L121,FALSE))/_xlfn.WEIBULL.DIST(CK$2,$M121,$L121,FALSE))*($T121*(1-$F121)+$S121*(1-$G121))*((1+Inputs!$D$7)^CK$2))))))))</f>
        <v>65.834582701507088</v>
      </c>
      <c r="CL121" s="88">
        <f>MAX(AV121,($E121*IF(CL$2&gt;Inputs!$D$5,0,IF(CL$2&gt;VLOOKUP($H121,Lists!$P$3:$Q$7,2),IF($N121=Lists!$K$3,IF($L121&lt;1,(($U121/$L121)*((1+Inputs!$D$7)^CL$2)),((INT(CL$2/$L121)-INT((CL$2-1)/$L121))*$U121*((1+Inputs!$D$7)^CL$2))),(Inputs!$D$8^((1-_xlfn.WEIBULL.DIST(CL$2,$M121,$L121,FALSE))/_xlfn.WEIBULL.DIST(CL$2,$M121,$L121,FALSE))*$U121*((1+Inputs!$D$7)^CL$2))),IF($N121=Lists!$K$3,IF($L121&lt;1,((($T121*(1-$F121)+$S121*(1-$G121))/$L121)*((1+Inputs!$D$7)^CL$2)),((INT(CL$2/$L121)-INT((CL$2-1)/$L121))*($T121*(1-$F121)+$S121*(1-$G121))*((1+Inputs!$D$7)^CL$2))),((Inputs!$D$8^((1-_xlfn.WEIBULL.DIST(CL$2,$M121,$L121,FALSE))/_xlfn.WEIBULL.DIST(CL$2,$M121,$L121,FALSE))*($T121*(1-$F121)+$S121*(1-$G121))*((1+Inputs!$D$7)^CL$2))))))))</f>
        <v>67.151274355537225</v>
      </c>
      <c r="CM121" s="88">
        <f>MAX(AW121,($E121*IF(CM$2&gt;Inputs!$D$5,0,IF(CM$2&gt;VLOOKUP($H121,Lists!$P$3:$Q$7,2),IF($N121=Lists!$K$3,IF($L121&lt;1,(($U121/$L121)*((1+Inputs!$D$7)^CM$2)),((INT(CM$2/$L121)-INT((CM$2-1)/$L121))*$U121*((1+Inputs!$D$7)^CM$2))),(Inputs!$D$8^((1-_xlfn.WEIBULL.DIST(CM$2,$M121,$L121,FALSE))/_xlfn.WEIBULL.DIST(CM$2,$M121,$L121,FALSE))*$U121*((1+Inputs!$D$7)^CM$2))),IF($N121=Lists!$K$3,IF($L121&lt;1,((($T121*(1-$F121)+$S121*(1-$G121))/$L121)*((1+Inputs!$D$7)^CM$2)),((INT(CM$2/$L121)-INT((CM$2-1)/$L121))*($T121*(1-$F121)+$S121*(1-$G121))*((1+Inputs!$D$7)^CM$2))),((Inputs!$D$8^((1-_xlfn.WEIBULL.DIST(CM$2,$M121,$L121,FALSE))/_xlfn.WEIBULL.DIST(CM$2,$M121,$L121,FALSE))*($T121*(1-$F121)+$S121*(1-$G121))*((1+Inputs!$D$7)^CM$2))))))))</f>
        <v>68.494299842647962</v>
      </c>
      <c r="CN121" s="88">
        <f>MAX(AX121,($E121*IF(CN$2&gt;Inputs!$D$5,0,IF(CN$2&gt;VLOOKUP($H121,Lists!$P$3:$Q$7,2),IF($N121=Lists!$K$3,IF($L121&lt;1,(($U121/$L121)*((1+Inputs!$D$7)^CN$2)),((INT(CN$2/$L121)-INT((CN$2-1)/$L121))*$U121*((1+Inputs!$D$7)^CN$2))),(Inputs!$D$8^((1-_xlfn.WEIBULL.DIST(CN$2,$M121,$L121,FALSE))/_xlfn.WEIBULL.DIST(CN$2,$M121,$L121,FALSE))*$U121*((1+Inputs!$D$7)^CN$2))),IF($N121=Lists!$K$3,IF($L121&lt;1,((($T121*(1-$F121)+$S121*(1-$G121))/$L121)*((1+Inputs!$D$7)^CN$2)),((INT(CN$2/$L121)-INT((CN$2-1)/$L121))*($T121*(1-$F121)+$S121*(1-$G121))*((1+Inputs!$D$7)^CN$2))),((Inputs!$D$8^((1-_xlfn.WEIBULL.DIST(CN$2,$M121,$L121,FALSE))/_xlfn.WEIBULL.DIST(CN$2,$M121,$L121,FALSE))*($T121*(1-$F121)+$S121*(1-$G121))*((1+Inputs!$D$7)^CN$2))))))))</f>
        <v>69.864185839500919</v>
      </c>
      <c r="CO121" s="88">
        <f>MAX(AY121,($E121*IF(CO$2&gt;Inputs!$D$5,0,IF(CO$2&gt;VLOOKUP($H121,Lists!$P$3:$Q$7,2),IF($N121=Lists!$K$3,IF($L121&lt;1,(($U121/$L121)*((1+Inputs!$D$7)^CO$2)),((INT(CO$2/$L121)-INT((CO$2-1)/$L121))*$U121*((1+Inputs!$D$7)^CO$2))),(Inputs!$D$8^((1-_xlfn.WEIBULL.DIST(CO$2,$M121,$L121,FALSE))/_xlfn.WEIBULL.DIST(CO$2,$M121,$L121,FALSE))*$U121*((1+Inputs!$D$7)^CO$2))),IF($N121=Lists!$K$3,IF($L121&lt;1,((($T121*(1-$F121)+$S121*(1-$G121))/$L121)*((1+Inputs!$D$7)^CO$2)),((INT(CO$2/$L121)-INT((CO$2-1)/$L121))*($T121*(1-$F121)+$S121*(1-$G121))*((1+Inputs!$D$7)^CO$2))),((Inputs!$D$8^((1-_xlfn.WEIBULL.DIST(CO$2,$M121,$L121,FALSE))/_xlfn.WEIBULL.DIST(CO$2,$M121,$L121,FALSE))*($T121*(1-$F121)+$S121*(1-$G121))*((1+Inputs!$D$7)^CO$2))))))))</f>
        <v>71.261469556290947</v>
      </c>
      <c r="CP121" s="88">
        <f>MAX(AZ121,($E121*IF(CP$2&gt;Inputs!$D$5,0,IF(CP$2&gt;VLOOKUP($H121,Lists!$P$3:$Q$7,2),IF($N121=Lists!$K$3,IF($L121&lt;1,(($U121/$L121)*((1+Inputs!$D$7)^CP$2)),((INT(CP$2/$L121)-INT((CP$2-1)/$L121))*$U121*((1+Inputs!$D$7)^CP$2))),(Inputs!$D$8^((1-_xlfn.WEIBULL.DIST(CP$2,$M121,$L121,FALSE))/_xlfn.WEIBULL.DIST(CP$2,$M121,$L121,FALSE))*$U121*((1+Inputs!$D$7)^CP$2))),IF($N121=Lists!$K$3,IF($L121&lt;1,((($T121*(1-$F121)+$S121*(1-$G121))/$L121)*((1+Inputs!$D$7)^CP$2)),((INT(CP$2/$L121)-INT((CP$2-1)/$L121))*($T121*(1-$F121)+$S121*(1-$G121))*((1+Inputs!$D$7)^CP$2))),((Inputs!$D$8^((1-_xlfn.WEIBULL.DIST(CP$2,$M121,$L121,FALSE))/_xlfn.WEIBULL.DIST(CP$2,$M121,$L121,FALSE))*($T121*(1-$F121)+$S121*(1-$G121))*((1+Inputs!$D$7)^CP$2))))))))</f>
        <v>0</v>
      </c>
      <c r="CQ121" s="88">
        <f>MAX(BA121,($E121*IF(CQ$2&gt;Inputs!$D$5,0,IF(CQ$2&gt;VLOOKUP($H121,Lists!$P$3:$Q$7,2),IF($N121=Lists!$K$3,IF($L121&lt;1,(($U121/$L121)*((1+Inputs!$D$7)^CQ$2)),((INT(CQ$2/$L121)-INT((CQ$2-1)/$L121))*$U121*((1+Inputs!$D$7)^CQ$2))),(Inputs!$D$8^((1-_xlfn.WEIBULL.DIST(CQ$2,$M121,$L121,FALSE))/_xlfn.WEIBULL.DIST(CQ$2,$M121,$L121,FALSE))*$U121*((1+Inputs!$D$7)^CQ$2))),IF($N121=Lists!$K$3,IF($L121&lt;1,((($T121*(1-$F121)+$S121*(1-$G121))/$L121)*((1+Inputs!$D$7)^CQ$2)),((INT(CQ$2/$L121)-INT((CQ$2-1)/$L121))*($T121*(1-$F121)+$S121*(1-$G121))*((1+Inputs!$D$7)^CQ$2))),((Inputs!$D$8^((1-_xlfn.WEIBULL.DIST(CQ$2,$M121,$L121,FALSE))/_xlfn.WEIBULL.DIST(CQ$2,$M121,$L121,FALSE))*($T121*(1-$F121)+$S121*(1-$G121))*((1+Inputs!$D$7)^CQ$2))))))))</f>
        <v>0</v>
      </c>
      <c r="CR121" s="88">
        <f>MAX(BB121,($E121*IF(CR$2&gt;Inputs!$D$5,0,IF(CR$2&gt;VLOOKUP($H121,Lists!$P$3:$Q$7,2),IF($N121=Lists!$K$3,IF($L121&lt;1,(($U121/$L121)*((1+Inputs!$D$7)^CR$2)),((INT(CR$2/$L121)-INT((CR$2-1)/$L121))*$U121*((1+Inputs!$D$7)^CR$2))),(Inputs!$D$8^((1-_xlfn.WEIBULL.DIST(CR$2,$M121,$L121,FALSE))/_xlfn.WEIBULL.DIST(CR$2,$M121,$L121,FALSE))*$U121*((1+Inputs!$D$7)^CR$2))),IF($N121=Lists!$K$3,IF($L121&lt;1,((($T121*(1-$F121)+$S121*(1-$G121))/$L121)*((1+Inputs!$D$7)^CR$2)),((INT(CR$2/$L121)-INT((CR$2-1)/$L121))*($T121*(1-$F121)+$S121*(1-$G121))*((1+Inputs!$D$7)^CR$2))),((Inputs!$D$8^((1-_xlfn.WEIBULL.DIST(CR$2,$M121,$L121,FALSE))/_xlfn.WEIBULL.DIST(CR$2,$M121,$L121,FALSE))*($T121*(1-$F121)+$S121*(1-$G121))*((1+Inputs!$D$7)^CR$2))))))))</f>
        <v>0</v>
      </c>
      <c r="CS121" s="88">
        <f>MAX(BC121,($E121*IF(CS$2&gt;Inputs!$D$5,0,IF(CS$2&gt;VLOOKUP($H121,Lists!$P$3:$Q$7,2),IF($N121=Lists!$K$3,IF($L121&lt;1,(($U121/$L121)*((1+Inputs!$D$7)^CS$2)),((INT(CS$2/$L121)-INT((CS$2-1)/$L121))*$U121*((1+Inputs!$D$7)^CS$2))),(Inputs!$D$8^((1-_xlfn.WEIBULL.DIST(CS$2,$M121,$L121,FALSE))/_xlfn.WEIBULL.DIST(CS$2,$M121,$L121,FALSE))*$U121*((1+Inputs!$D$7)^CS$2))),IF($N121=Lists!$K$3,IF($L121&lt;1,((($T121*(1-$F121)+$S121*(1-$G121))/$L121)*((1+Inputs!$D$7)^CS$2)),((INT(CS$2/$L121)-INT((CS$2-1)/$L121))*($T121*(1-$F121)+$S121*(1-$G121))*((1+Inputs!$D$7)^CS$2))),((Inputs!$D$8^((1-_xlfn.WEIBULL.DIST(CS$2,$M121,$L121,FALSE))/_xlfn.WEIBULL.DIST(CS$2,$M121,$L121,FALSE))*($T121*(1-$F121)+$S121*(1-$G121))*((1+Inputs!$D$7)^CS$2))))))))</f>
        <v>0</v>
      </c>
      <c r="CT121" s="88">
        <f>MAX(BD121,($E121*IF(CT$2&gt;Inputs!$D$5,0,IF(CT$2&gt;VLOOKUP($H121,Lists!$P$3:$Q$7,2),IF($N121=Lists!$K$3,IF($L121&lt;1,(($U121/$L121)*((1+Inputs!$D$7)^CT$2)),((INT(CT$2/$L121)-INT((CT$2-1)/$L121))*$U121*((1+Inputs!$D$7)^CT$2))),(Inputs!$D$8^((1-_xlfn.WEIBULL.DIST(CT$2,$M121,$L121,FALSE))/_xlfn.WEIBULL.DIST(CT$2,$M121,$L121,FALSE))*$U121*((1+Inputs!$D$7)^CT$2))),IF($N121=Lists!$K$3,IF($L121&lt;1,((($T121*(1-$F121)+$S121*(1-$G121))/$L121)*((1+Inputs!$D$7)^CT$2)),((INT(CT$2/$L121)-INT((CT$2-1)/$L121))*($T121*(1-$F121)+$S121*(1-$G121))*((1+Inputs!$D$7)^CT$2))),((Inputs!$D$8^((1-_xlfn.WEIBULL.DIST(CT$2,$M121,$L121,FALSE))/_xlfn.WEIBULL.DIST(CT$2,$M121,$L121,FALSE))*($T121*(1-$F121)+$S121*(1-$G121))*((1+Inputs!$D$7)^CT$2))))))))</f>
        <v>0</v>
      </c>
      <c r="CU121" s="88">
        <f>MAX(BE121,($E121*IF(CU$2&gt;Inputs!$D$5,0,IF(CU$2&gt;VLOOKUP($H121,Lists!$P$3:$Q$7,2),IF($N121=Lists!$K$3,IF($L121&lt;1,(($U121/$L121)*((1+Inputs!$D$7)^CU$2)),((INT(CU$2/$L121)-INT((CU$2-1)/$L121))*$U121*((1+Inputs!$D$7)^CU$2))),(Inputs!$D$8^((1-_xlfn.WEIBULL.DIST(CU$2,$M121,$L121,FALSE))/_xlfn.WEIBULL.DIST(CU$2,$M121,$L121,FALSE))*$U121*((1+Inputs!$D$7)^CU$2))),IF($N121=Lists!$K$3,IF($L121&lt;1,((($T121*(1-$F121)+$S121*(1-$G121))/$L121)*((1+Inputs!$D$7)^CU$2)),((INT(CU$2/$L121)-INT((CU$2-1)/$L121))*($T121*(1-$F121)+$S121*(1-$G121))*((1+Inputs!$D$7)^CU$2))),((Inputs!$D$8^((1-_xlfn.WEIBULL.DIST(CU$2,$M121,$L121,FALSE))/_xlfn.WEIBULL.DIST(CU$2,$M121,$L121,FALSE))*($T121*(1-$F121)+$S121*(1-$G121))*((1+Inputs!$D$7)^CU$2))))))))</f>
        <v>0</v>
      </c>
      <c r="CV121" s="88">
        <f>MAX(BF121,($E121*IF(CV$2&gt;Inputs!$D$5,0,IF(CV$2&gt;VLOOKUP($H121,Lists!$P$3:$Q$7,2),IF($N121=Lists!$K$3,IF($L121&lt;1,(($U121/$L121)*((1+Inputs!$D$7)^CV$2)),((INT(CV$2/$L121)-INT((CV$2-1)/$L121))*$U121*((1+Inputs!$D$7)^CV$2))),(Inputs!$D$8^((1-_xlfn.WEIBULL.DIST(CV$2,$M121,$L121,FALSE))/_xlfn.WEIBULL.DIST(CV$2,$M121,$L121,FALSE))*$U121*((1+Inputs!$D$7)^CV$2))),IF($N121=Lists!$K$3,IF($L121&lt;1,((($T121*(1-$F121)+$S121*(1-$G121))/$L121)*((1+Inputs!$D$7)^CV$2)),((INT(CV$2/$L121)-INT((CV$2-1)/$L121))*($T121*(1-$F121)+$S121*(1-$G121))*((1+Inputs!$D$7)^CV$2))),((Inputs!$D$8^((1-_xlfn.WEIBULL.DIST(CV$2,$M121,$L121,FALSE))/_xlfn.WEIBULL.DIST(CV$2,$M121,$L121,FALSE))*($T121*(1-$F121)+$S121*(1-$G121))*((1+Inputs!$D$7)^CV$2))))))))</f>
        <v>0</v>
      </c>
      <c r="CW121" s="88">
        <f>MAX(BG121,($E121*IF(CW$2&gt;Inputs!$D$5,0,IF(CW$2&gt;VLOOKUP($H121,Lists!$P$3:$Q$7,2),IF($N121=Lists!$K$3,IF($L121&lt;1,(($U121/$L121)*((1+Inputs!$D$7)^CW$2)),((INT(CW$2/$L121)-INT((CW$2-1)/$L121))*$U121*((1+Inputs!$D$7)^CW$2))),(Inputs!$D$8^((1-_xlfn.WEIBULL.DIST(CW$2,$M121,$L121,FALSE))/_xlfn.WEIBULL.DIST(CW$2,$M121,$L121,FALSE))*$U121*((1+Inputs!$D$7)^CW$2))),IF($N121=Lists!$K$3,IF($L121&lt;1,((($T121*(1-$F121)+$S121*(1-$G121))/$L121)*((1+Inputs!$D$7)^CW$2)),((INT(CW$2/$L121)-INT((CW$2-1)/$L121))*($T121*(1-$F121)+$S121*(1-$G121))*((1+Inputs!$D$7)^CW$2))),((Inputs!$D$8^((1-_xlfn.WEIBULL.DIST(CW$2,$M121,$L121,FALSE))/_xlfn.WEIBULL.DIST(CW$2,$M121,$L121,FALSE))*($T121*(1-$F121)+$S121*(1-$G121))*((1+Inputs!$D$7)^CW$2))))))))</f>
        <v>0</v>
      </c>
      <c r="CX121" s="88">
        <f>MAX(BH121,($E121*IF(CX$2&gt;Inputs!$D$5,0,IF(CX$2&gt;VLOOKUP($H121,Lists!$P$3:$Q$7,2),IF($N121=Lists!$K$3,IF($L121&lt;1,(($U121/$L121)*((1+Inputs!$D$7)^CX$2)),((INT(CX$2/$L121)-INT((CX$2-1)/$L121))*$U121*((1+Inputs!$D$7)^CX$2))),(Inputs!$D$8^((1-_xlfn.WEIBULL.DIST(CX$2,$M121,$L121,FALSE))/_xlfn.WEIBULL.DIST(CX$2,$M121,$L121,FALSE))*$U121*((1+Inputs!$D$7)^CX$2))),IF($N121=Lists!$K$3,IF($L121&lt;1,((($T121*(1-$F121)+$S121*(1-$G121))/$L121)*((1+Inputs!$D$7)^CX$2)),((INT(CX$2/$L121)-INT((CX$2-1)/$L121))*($T121*(1-$F121)+$S121*(1-$G121))*((1+Inputs!$D$7)^CX$2))),((Inputs!$D$8^((1-_xlfn.WEIBULL.DIST(CX$2,$M121,$L121,FALSE))/_xlfn.WEIBULL.DIST(CX$2,$M121,$L121,FALSE))*($T121*(1-$F121)+$S121*(1-$G121))*((1+Inputs!$D$7)^CX$2))))))))</f>
        <v>0</v>
      </c>
      <c r="CY121" s="88">
        <f>MAX(BI121,($E121*IF(CY$2&gt;Inputs!$D$5,0,IF(CY$2&gt;VLOOKUP($H121,Lists!$P$3:$Q$7,2),IF($N121=Lists!$K$3,IF($L121&lt;1,(($U121/$L121)*((1+Inputs!$D$7)^CY$2)),((INT(CY$2/$L121)-INT((CY$2-1)/$L121))*$U121*((1+Inputs!$D$7)^CY$2))),(Inputs!$D$8^((1-_xlfn.WEIBULL.DIST(CY$2,$M121,$L121,FALSE))/_xlfn.WEIBULL.DIST(CY$2,$M121,$L121,FALSE))*$U121*((1+Inputs!$D$7)^CY$2))),IF($N121=Lists!$K$3,IF($L121&lt;1,((($T121*(1-$F121)+$S121*(1-$G121))/$L121)*((1+Inputs!$D$7)^CY$2)),((INT(CY$2/$L121)-INT((CY$2-1)/$L121))*($T121*(1-$F121)+$S121*(1-$G121))*((1+Inputs!$D$7)^CY$2))),((Inputs!$D$8^((1-_xlfn.WEIBULL.DIST(CY$2,$M121,$L121,FALSE))/_xlfn.WEIBULL.DIST(CY$2,$M121,$L121,FALSE))*($T121*(1-$F121)+$S121*(1-$G121))*((1+Inputs!$D$7)^CY$2))))))))</f>
        <v>0</v>
      </c>
      <c r="CZ121" s="88">
        <f>MAX(BJ121,($E121*IF(CZ$2&gt;Inputs!$D$5,0,IF(CZ$2&gt;VLOOKUP($H121,Lists!$P$3:$Q$7,2),IF($N121=Lists!$K$3,IF($L121&lt;1,(($U121/$L121)*((1+Inputs!$D$7)^CZ$2)),((INT(CZ$2/$L121)-INT((CZ$2-1)/$L121))*$U121*((1+Inputs!$D$7)^CZ$2))),(Inputs!$D$8^((1-_xlfn.WEIBULL.DIST(CZ$2,$M121,$L121,FALSE))/_xlfn.WEIBULL.DIST(CZ$2,$M121,$L121,FALSE))*$U121*((1+Inputs!$D$7)^CZ$2))),IF($N121=Lists!$K$3,IF($L121&lt;1,((($T121*(1-$F121)+$S121*(1-$G121))/$L121)*((1+Inputs!$D$7)^CZ$2)),((INT(CZ$2/$L121)-INT((CZ$2-1)/$L121))*($T121*(1-$F121)+$S121*(1-$G121))*((1+Inputs!$D$7)^CZ$2))),((Inputs!$D$8^((1-_xlfn.WEIBULL.DIST(CZ$2,$M121,$L121,FALSE))/_xlfn.WEIBULL.DIST(CZ$2,$M121,$L121,FALSE))*($T121*(1-$F121)+$S121*(1-$G121))*((1+Inputs!$D$7)^CZ$2))))))))</f>
        <v>0</v>
      </c>
      <c r="DA121" s="88">
        <f>MAX(BK121,($E121*IF(DA$2&gt;Inputs!$D$5,0,IF(DA$2&gt;VLOOKUP($H121,Lists!$P$3:$Q$7,2),IF($N121=Lists!$K$3,IF($L121&lt;1,(($U121/$L121)*((1+Inputs!$D$7)^DA$2)),((INT(DA$2/$L121)-INT((DA$2-1)/$L121))*$U121*((1+Inputs!$D$7)^DA$2))),(Inputs!$D$8^((1-_xlfn.WEIBULL.DIST(DA$2,$M121,$L121,FALSE))/_xlfn.WEIBULL.DIST(DA$2,$M121,$L121,FALSE))*$U121*((1+Inputs!$D$7)^DA$2))),IF($N121=Lists!$K$3,IF($L121&lt;1,((($T121*(1-$F121)+$S121*(1-$G121))/$L121)*((1+Inputs!$D$7)^DA$2)),((INT(DA$2/$L121)-INT((DA$2-1)/$L121))*($T121*(1-$F121)+$S121*(1-$G121))*((1+Inputs!$D$7)^DA$2))),((Inputs!$D$8^((1-_xlfn.WEIBULL.DIST(DA$2,$M121,$L121,FALSE))/_xlfn.WEIBULL.DIST(DA$2,$M121,$L121,FALSE))*($T121*(1-$F121)+$S121*(1-$G121))*((1+Inputs!$D$7)^DA$2))))))))</f>
        <v>0</v>
      </c>
      <c r="DB121" s="88">
        <f>MAX(BL121,($E121*IF(DB$2&gt;Inputs!$D$5,0,IF(DB$2&gt;VLOOKUP($H121,Lists!$P$3:$Q$7,2),IF($N121=Lists!$K$3,IF($L121&lt;1,(($U121/$L121)*((1+Inputs!$D$7)^DB$2)),((INT(DB$2/$L121)-INT((DB$2-1)/$L121))*$U121*((1+Inputs!$D$7)^DB$2))),(Inputs!$D$8^((1-_xlfn.WEIBULL.DIST(DB$2,$M121,$L121,FALSE))/_xlfn.WEIBULL.DIST(DB$2,$M121,$L121,FALSE))*$U121*((1+Inputs!$D$7)^DB$2))),IF($N121=Lists!$K$3,IF($L121&lt;1,((($T121*(1-$F121)+$S121*(1-$G121))/$L121)*((1+Inputs!$D$7)^DB$2)),((INT(DB$2/$L121)-INT((DB$2-1)/$L121))*($T121*(1-$F121)+$S121*(1-$G121))*((1+Inputs!$D$7)^DB$2))),((Inputs!$D$8^((1-_xlfn.WEIBULL.DIST(DB$2,$M121,$L121,FALSE))/_xlfn.WEIBULL.DIST(DB$2,$M121,$L121,FALSE))*($T121*(1-$F121)+$S121*(1-$G121))*((1+Inputs!$D$7)^DB$2))))))))</f>
        <v>0</v>
      </c>
      <c r="DC121" s="88">
        <f>MAX(BM121,($E121*IF(DC$2&gt;Inputs!$D$5,0,IF(DC$2&gt;VLOOKUP($H121,Lists!$P$3:$Q$7,2),IF($N121=Lists!$K$3,IF($L121&lt;1,(($U121/$L121)*((1+Inputs!$D$7)^DC$2)),((INT(DC$2/$L121)-INT((DC$2-1)/$L121))*$U121*((1+Inputs!$D$7)^DC$2))),(Inputs!$D$8^((1-_xlfn.WEIBULL.DIST(DC$2,$M121,$L121,FALSE))/_xlfn.WEIBULL.DIST(DC$2,$M121,$L121,FALSE))*$U121*((1+Inputs!$D$7)^DC$2))),IF($N121=Lists!$K$3,IF($L121&lt;1,((($T121*(1-$F121)+$S121*(1-$G121))/$L121)*((1+Inputs!$D$7)^DC$2)),((INT(DC$2/$L121)-INT((DC$2-1)/$L121))*($T121*(1-$F121)+$S121*(1-$G121))*((1+Inputs!$D$7)^DC$2))),((Inputs!$D$8^((1-_xlfn.WEIBULL.DIST(DC$2,$M121,$L121,FALSE))/_xlfn.WEIBULL.DIST(DC$2,$M121,$L121,FALSE))*($T121*(1-$F121)+$S121*(1-$G121))*((1+Inputs!$D$7)^DC$2))))))))</f>
        <v>0</v>
      </c>
      <c r="DD121" s="88">
        <f>MAX(BN121,($E121*IF(DD$2&gt;Inputs!$D$5,0,IF(DD$2&gt;VLOOKUP($H121,Lists!$P$3:$Q$7,2),IF($N121=Lists!$K$3,IF($L121&lt;1,(($U121/$L121)*((1+Inputs!$D$7)^DD$2)),((INT(DD$2/$L121)-INT((DD$2-1)/$L121))*$U121*((1+Inputs!$D$7)^DD$2))),(Inputs!$D$8^((1-_xlfn.WEIBULL.DIST(DD$2,$M121,$L121,FALSE))/_xlfn.WEIBULL.DIST(DD$2,$M121,$L121,FALSE))*$U121*((1+Inputs!$D$7)^DD$2))),IF($N121=Lists!$K$3,IF($L121&lt;1,((($T121*(1-$F121)+$S121*(1-$G121))/$L121)*((1+Inputs!$D$7)^DD$2)),((INT(DD$2/$L121)-INT((DD$2-1)/$L121))*($T121*(1-$F121)+$S121*(1-$G121))*((1+Inputs!$D$7)^DD$2))),((Inputs!$D$8^((1-_xlfn.WEIBULL.DIST(DD$2,$M121,$L121,FALSE))/_xlfn.WEIBULL.DIST(DD$2,$M121,$L121,FALSE))*($T121*(1-$F121)+$S121*(1-$G121))*((1+Inputs!$D$7)^DD$2))))))))</f>
        <v>0</v>
      </c>
    </row>
    <row r="122" spans="1:108" ht="16">
      <c r="A122" s="57" t="s">
        <v>39</v>
      </c>
      <c r="B122" s="13" t="s">
        <v>279</v>
      </c>
      <c r="C122" s="13" t="s">
        <v>90</v>
      </c>
      <c r="D122" s="13" t="s">
        <v>37</v>
      </c>
      <c r="E122" s="89">
        <f>IF(Inputs!$D$54=Lists!$AA$3,0,1)</f>
        <v>1</v>
      </c>
      <c r="F122" s="48">
        <v>0</v>
      </c>
      <c r="G122" s="48">
        <v>0</v>
      </c>
      <c r="H122" s="105" t="s">
        <v>350</v>
      </c>
      <c r="I122" s="14"/>
      <c r="J122" s="14" t="s">
        <v>246</v>
      </c>
      <c r="K122" s="13">
        <f>VLOOKUP(J122,'Labor Rates'!$A$1:$F$16,2)</f>
        <v>33.119999999999997</v>
      </c>
      <c r="L122" s="15">
        <v>1</v>
      </c>
      <c r="M122" s="15">
        <v>1</v>
      </c>
      <c r="N122" s="13" t="s">
        <v>236</v>
      </c>
      <c r="O122" s="61">
        <v>1</v>
      </c>
      <c r="P122" s="15">
        <v>0.1</v>
      </c>
      <c r="Q122" s="15">
        <f t="shared" si="21"/>
        <v>0.1</v>
      </c>
      <c r="R122" s="4">
        <v>0</v>
      </c>
      <c r="S122" s="53">
        <f t="shared" si="22"/>
        <v>3.3119999999999998</v>
      </c>
      <c r="T122" s="53">
        <f t="shared" si="23"/>
        <v>0</v>
      </c>
      <c r="U122" s="54">
        <f t="shared" si="24"/>
        <v>3.3119999999999998</v>
      </c>
      <c r="V122" s="65"/>
      <c r="W122" s="58"/>
      <c r="X122" s="64">
        <f t="shared" si="25"/>
        <v>4.1041173274747891</v>
      </c>
      <c r="Y122" s="64">
        <f>NPV(Inputs!$D$6,AA122:BN122)</f>
        <v>47.141291640750993</v>
      </c>
      <c r="Z122" s="67">
        <f t="shared" si="26"/>
        <v>2.2234134609008494E-5</v>
      </c>
      <c r="AA122" s="88">
        <f>$E122*IF(AA$2&gt;Inputs!$D$5,0,IF(AA$2&gt;VLOOKUP($H122,Lists!$P$3:$Q$7,2),IF($N122=Lists!$K$3,IF($L122&lt;1,(($U122/$L122)*((1+Inputs!$D$7)^AA$2)),((INT(AA$2/$L122)-INT((AA$2-1)/$L122))*$U122*((1+Inputs!$D$7)^AA$2))),(_xlfn.WEIBULL.DIST(AA$2,$M122,$L122,FALSE)*$U122*((1+Inputs!$D$7)^AA$2))),IF($N122=Lists!$K$3,IF($L122&lt;1,((($T122*(1-$F122)+$S122*(1-$G122))/$L122)*((1+Inputs!$D$7)^AA$2)),((INT(AA$2/$L122)-INT((AA$2-1)/$L122))*($T122*(1-$F122)+$S122*(1-$G122))*((1+Inputs!$D$7)^AA$2))),((_xlfn.WEIBULL.DIST(AA$2,$M122,$L122,FALSE)*($T122*(1-$F122)+$S122*(1-$G122))*((1+Inputs!$D$7)^AA$2))))))</f>
        <v>3.3782399999999999</v>
      </c>
      <c r="AB122" s="88">
        <f>$E122*IF(AB$2&gt;Inputs!$D$5,0,IF(AB$2&gt;VLOOKUP($H122,Lists!$P$3:$Q$7,2),IF($N122=Lists!$K$3,IF($L122&lt;1,(($U122/$L122)*((1+Inputs!$D$7)^AB$2)),((INT(AB$2/$L122)-INT((AB$2-1)/$L122))*$U122*((1+Inputs!$D$7)^AB$2))),(_xlfn.WEIBULL.DIST(AB$2,$M122,$L122,FALSE)*$U122*((1+Inputs!$D$7)^AB$2))),IF($N122=Lists!$K$3,IF($L122&lt;1,((($T122*(1-$F122)+$S122*(1-$G122))/$L122)*((1+Inputs!$D$7)^AB$2)),((INT(AB$2/$L122)-INT((AB$2-1)/$L122))*($T122*(1-$F122)+$S122*(1-$G122))*((1+Inputs!$D$7)^AB$2))),((_xlfn.WEIBULL.DIST(AB$2,$M122,$L122,FALSE)*($T122*(1-$F122)+$S122*(1-$G122))*((1+Inputs!$D$7)^AB$2))))))</f>
        <v>3.4458047999999999</v>
      </c>
      <c r="AC122" s="88">
        <f>$E122*IF(AC$2&gt;Inputs!$D$5,0,IF(AC$2&gt;VLOOKUP($H122,Lists!$P$3:$Q$7,2),IF($N122=Lists!$K$3,IF($L122&lt;1,(($U122/$L122)*((1+Inputs!$D$7)^AC$2)),((INT(AC$2/$L122)-INT((AC$2-1)/$L122))*$U122*((1+Inputs!$D$7)^AC$2))),(_xlfn.WEIBULL.DIST(AC$2,$M122,$L122,FALSE)*$U122*((1+Inputs!$D$7)^AC$2))),IF($N122=Lists!$K$3,IF($L122&lt;1,((($T122*(1-$F122)+$S122*(1-$G122))/$L122)*((1+Inputs!$D$7)^AC$2)),((INT(AC$2/$L122)-INT((AC$2-1)/$L122))*($T122*(1-$F122)+$S122*(1-$G122))*((1+Inputs!$D$7)^AC$2))),((_xlfn.WEIBULL.DIST(AC$2,$M122,$L122,FALSE)*($T122*(1-$F122)+$S122*(1-$G122))*((1+Inputs!$D$7)^AC$2))))))</f>
        <v>3.5147208959999996</v>
      </c>
      <c r="AD122" s="88">
        <f>$E122*IF(AD$2&gt;Inputs!$D$5,0,IF(AD$2&gt;VLOOKUP($H122,Lists!$P$3:$Q$7,2),IF($N122=Lists!$K$3,IF($L122&lt;1,(($U122/$L122)*((1+Inputs!$D$7)^AD$2)),((INT(AD$2/$L122)-INT((AD$2-1)/$L122))*$U122*((1+Inputs!$D$7)^AD$2))),(_xlfn.WEIBULL.DIST(AD$2,$M122,$L122,FALSE)*$U122*((1+Inputs!$D$7)^AD$2))),IF($N122=Lists!$K$3,IF($L122&lt;1,((($T122*(1-$F122)+$S122*(1-$G122))/$L122)*((1+Inputs!$D$7)^AD$2)),((INT(AD$2/$L122)-INT((AD$2-1)/$L122))*($T122*(1-$F122)+$S122*(1-$G122))*((1+Inputs!$D$7)^AD$2))),((_xlfn.WEIBULL.DIST(AD$2,$M122,$L122,FALSE)*($T122*(1-$F122)+$S122*(1-$G122))*((1+Inputs!$D$7)^AD$2))))))</f>
        <v>3.5850153139199996</v>
      </c>
      <c r="AE122" s="88">
        <f>$E122*IF(AE$2&gt;Inputs!$D$5,0,IF(AE$2&gt;VLOOKUP($H122,Lists!$P$3:$Q$7,2),IF($N122=Lists!$K$3,IF($L122&lt;1,(($U122/$L122)*((1+Inputs!$D$7)^AE$2)),((INT(AE$2/$L122)-INT((AE$2-1)/$L122))*$U122*((1+Inputs!$D$7)^AE$2))),(_xlfn.WEIBULL.DIST(AE$2,$M122,$L122,FALSE)*$U122*((1+Inputs!$D$7)^AE$2))),IF($N122=Lists!$K$3,IF($L122&lt;1,((($T122*(1-$F122)+$S122*(1-$G122))/$L122)*((1+Inputs!$D$7)^AE$2)),((INT(AE$2/$L122)-INT((AE$2-1)/$L122))*($T122*(1-$F122)+$S122*(1-$G122))*((1+Inputs!$D$7)^AE$2))),((_xlfn.WEIBULL.DIST(AE$2,$M122,$L122,FALSE)*($T122*(1-$F122)+$S122*(1-$G122))*((1+Inputs!$D$7)^AE$2))))))</f>
        <v>3.6567156201983999</v>
      </c>
      <c r="AF122" s="88">
        <f>$E122*IF(AF$2&gt;Inputs!$D$5,0,IF(AF$2&gt;VLOOKUP($H122,Lists!$P$3:$Q$7,2),IF($N122=Lists!$K$3,IF($L122&lt;1,(($U122/$L122)*((1+Inputs!$D$7)^AF$2)),((INT(AF$2/$L122)-INT((AF$2-1)/$L122))*$U122*((1+Inputs!$D$7)^AF$2))),(_xlfn.WEIBULL.DIST(AF$2,$M122,$L122,FALSE)*$U122*((1+Inputs!$D$7)^AF$2))),IF($N122=Lists!$K$3,IF($L122&lt;1,((($T122*(1-$F122)+$S122*(1-$G122))/$L122)*((1+Inputs!$D$7)^AF$2)),((INT(AF$2/$L122)-INT((AF$2-1)/$L122))*($T122*(1-$F122)+$S122*(1-$G122))*((1+Inputs!$D$7)^AF$2))),((_xlfn.WEIBULL.DIST(AF$2,$M122,$L122,FALSE)*($T122*(1-$F122)+$S122*(1-$G122))*((1+Inputs!$D$7)^AF$2))))))</f>
        <v>3.729849932602368</v>
      </c>
      <c r="AG122" s="88">
        <f>$E122*IF(AG$2&gt;Inputs!$D$5,0,IF(AG$2&gt;VLOOKUP($H122,Lists!$P$3:$Q$7,2),IF($N122=Lists!$K$3,IF($L122&lt;1,(($U122/$L122)*((1+Inputs!$D$7)^AG$2)),((INT(AG$2/$L122)-INT((AG$2-1)/$L122))*$U122*((1+Inputs!$D$7)^AG$2))),(_xlfn.WEIBULL.DIST(AG$2,$M122,$L122,FALSE)*$U122*((1+Inputs!$D$7)^AG$2))),IF($N122=Lists!$K$3,IF($L122&lt;1,((($T122*(1-$F122)+$S122*(1-$G122))/$L122)*((1+Inputs!$D$7)^AG$2)),((INT(AG$2/$L122)-INT((AG$2-1)/$L122))*($T122*(1-$F122)+$S122*(1-$G122))*((1+Inputs!$D$7)^AG$2))),((_xlfn.WEIBULL.DIST(AG$2,$M122,$L122,FALSE)*($T122*(1-$F122)+$S122*(1-$G122))*((1+Inputs!$D$7)^AG$2))))))</f>
        <v>3.8044469312544145</v>
      </c>
      <c r="AH122" s="88">
        <f>$E122*IF(AH$2&gt;Inputs!$D$5,0,IF(AH$2&gt;VLOOKUP($H122,Lists!$P$3:$Q$7,2),IF($N122=Lists!$K$3,IF($L122&lt;1,(($U122/$L122)*((1+Inputs!$D$7)^AH$2)),((INT(AH$2/$L122)-INT((AH$2-1)/$L122))*$U122*((1+Inputs!$D$7)^AH$2))),(_xlfn.WEIBULL.DIST(AH$2,$M122,$L122,FALSE)*$U122*((1+Inputs!$D$7)^AH$2))),IF($N122=Lists!$K$3,IF($L122&lt;1,((($T122*(1-$F122)+$S122*(1-$G122))/$L122)*((1+Inputs!$D$7)^AH$2)),((INT(AH$2/$L122)-INT((AH$2-1)/$L122))*($T122*(1-$F122)+$S122*(1-$G122))*((1+Inputs!$D$7)^AH$2))),((_xlfn.WEIBULL.DIST(AH$2,$M122,$L122,FALSE)*($T122*(1-$F122)+$S122*(1-$G122))*((1+Inputs!$D$7)^AH$2))))))</f>
        <v>3.8805358698795032</v>
      </c>
      <c r="AI122" s="88">
        <f>$E122*IF(AI$2&gt;Inputs!$D$5,0,IF(AI$2&gt;VLOOKUP($H122,Lists!$P$3:$Q$7,2),IF($N122=Lists!$K$3,IF($L122&lt;1,(($U122/$L122)*((1+Inputs!$D$7)^AI$2)),((INT(AI$2/$L122)-INT((AI$2-1)/$L122))*$U122*((1+Inputs!$D$7)^AI$2))),(_xlfn.WEIBULL.DIST(AI$2,$M122,$L122,FALSE)*$U122*((1+Inputs!$D$7)^AI$2))),IF($N122=Lists!$K$3,IF($L122&lt;1,((($T122*(1-$F122)+$S122*(1-$G122))/$L122)*((1+Inputs!$D$7)^AI$2)),((INT(AI$2/$L122)-INT((AI$2-1)/$L122))*($T122*(1-$F122)+$S122*(1-$G122))*((1+Inputs!$D$7)^AI$2))),((_xlfn.WEIBULL.DIST(AI$2,$M122,$L122,FALSE)*($T122*(1-$F122)+$S122*(1-$G122))*((1+Inputs!$D$7)^AI$2))))))</f>
        <v>3.9581465872770933</v>
      </c>
      <c r="AJ122" s="88">
        <f>$E122*IF(AJ$2&gt;Inputs!$D$5,0,IF(AJ$2&gt;VLOOKUP($H122,Lists!$P$3:$Q$7,2),IF($N122=Lists!$K$3,IF($L122&lt;1,(($U122/$L122)*((1+Inputs!$D$7)^AJ$2)),((INT(AJ$2/$L122)-INT((AJ$2-1)/$L122))*$U122*((1+Inputs!$D$7)^AJ$2))),(_xlfn.WEIBULL.DIST(AJ$2,$M122,$L122,FALSE)*$U122*((1+Inputs!$D$7)^AJ$2))),IF($N122=Lists!$K$3,IF($L122&lt;1,((($T122*(1-$F122)+$S122*(1-$G122))/$L122)*((1+Inputs!$D$7)^AJ$2)),((INT(AJ$2/$L122)-INT((AJ$2-1)/$L122))*($T122*(1-$F122)+$S122*(1-$G122))*((1+Inputs!$D$7)^AJ$2))),((_xlfn.WEIBULL.DIST(AJ$2,$M122,$L122,FALSE)*($T122*(1-$F122)+$S122*(1-$G122))*((1+Inputs!$D$7)^AJ$2))))))</f>
        <v>4.0373095190226351</v>
      </c>
      <c r="AK122" s="88">
        <f>$E122*IF(AK$2&gt;Inputs!$D$5,0,IF(AK$2&gt;VLOOKUP($H122,Lists!$P$3:$Q$7,2),IF($N122=Lists!$K$3,IF($L122&lt;1,(($U122/$L122)*((1+Inputs!$D$7)^AK$2)),((INT(AK$2/$L122)-INT((AK$2-1)/$L122))*$U122*((1+Inputs!$D$7)^AK$2))),(_xlfn.WEIBULL.DIST(AK$2,$M122,$L122,FALSE)*$U122*((1+Inputs!$D$7)^AK$2))),IF($N122=Lists!$K$3,IF($L122&lt;1,((($T122*(1-$F122)+$S122*(1-$G122))/$L122)*((1+Inputs!$D$7)^AK$2)),((INT(AK$2/$L122)-INT((AK$2-1)/$L122))*($T122*(1-$F122)+$S122*(1-$G122))*((1+Inputs!$D$7)^AK$2))),((_xlfn.WEIBULL.DIST(AK$2,$M122,$L122,FALSE)*($T122*(1-$F122)+$S122*(1-$G122))*((1+Inputs!$D$7)^AK$2))))))</f>
        <v>4.1180557094030874</v>
      </c>
      <c r="AL122" s="88">
        <f>$E122*IF(AL$2&gt;Inputs!$D$5,0,IF(AL$2&gt;VLOOKUP($H122,Lists!$P$3:$Q$7,2),IF($N122=Lists!$K$3,IF($L122&lt;1,(($U122/$L122)*((1+Inputs!$D$7)^AL$2)),((INT(AL$2/$L122)-INT((AL$2-1)/$L122))*$U122*((1+Inputs!$D$7)^AL$2))),(_xlfn.WEIBULL.DIST(AL$2,$M122,$L122,FALSE)*$U122*((1+Inputs!$D$7)^AL$2))),IF($N122=Lists!$K$3,IF($L122&lt;1,((($T122*(1-$F122)+$S122*(1-$G122))/$L122)*((1+Inputs!$D$7)^AL$2)),((INT(AL$2/$L122)-INT((AL$2-1)/$L122))*($T122*(1-$F122)+$S122*(1-$G122))*((1+Inputs!$D$7)^AL$2))),((_xlfn.WEIBULL.DIST(AL$2,$M122,$L122,FALSE)*($T122*(1-$F122)+$S122*(1-$G122))*((1+Inputs!$D$7)^AL$2))))))</f>
        <v>4.2004168235911497</v>
      </c>
      <c r="AM122" s="88">
        <f>$E122*IF(AM$2&gt;Inputs!$D$5,0,IF(AM$2&gt;VLOOKUP($H122,Lists!$P$3:$Q$7,2),IF($N122=Lists!$K$3,IF($L122&lt;1,(($U122/$L122)*((1+Inputs!$D$7)^AM$2)),((INT(AM$2/$L122)-INT((AM$2-1)/$L122))*$U122*((1+Inputs!$D$7)^AM$2))),(_xlfn.WEIBULL.DIST(AM$2,$M122,$L122,FALSE)*$U122*((1+Inputs!$D$7)^AM$2))),IF($N122=Lists!$K$3,IF($L122&lt;1,((($T122*(1-$F122)+$S122*(1-$G122))/$L122)*((1+Inputs!$D$7)^AM$2)),((INT(AM$2/$L122)-INT((AM$2-1)/$L122))*($T122*(1-$F122)+$S122*(1-$G122))*((1+Inputs!$D$7)^AM$2))),((_xlfn.WEIBULL.DIST(AM$2,$M122,$L122,FALSE)*($T122*(1-$F122)+$S122*(1-$G122))*((1+Inputs!$D$7)^AM$2))))))</f>
        <v>4.2844251600629724</v>
      </c>
      <c r="AN122" s="88">
        <f>$E122*IF(AN$2&gt;Inputs!$D$5,0,IF(AN$2&gt;VLOOKUP($H122,Lists!$P$3:$Q$7,2),IF($N122=Lists!$K$3,IF($L122&lt;1,(($U122/$L122)*((1+Inputs!$D$7)^AN$2)),((INT(AN$2/$L122)-INT((AN$2-1)/$L122))*$U122*((1+Inputs!$D$7)^AN$2))),(_xlfn.WEIBULL.DIST(AN$2,$M122,$L122,FALSE)*$U122*((1+Inputs!$D$7)^AN$2))),IF($N122=Lists!$K$3,IF($L122&lt;1,((($T122*(1-$F122)+$S122*(1-$G122))/$L122)*((1+Inputs!$D$7)^AN$2)),((INT(AN$2/$L122)-INT((AN$2-1)/$L122))*($T122*(1-$F122)+$S122*(1-$G122))*((1+Inputs!$D$7)^AN$2))),((_xlfn.WEIBULL.DIST(AN$2,$M122,$L122,FALSE)*($T122*(1-$F122)+$S122*(1-$G122))*((1+Inputs!$D$7)^AN$2))))))</f>
        <v>4.3701136632642328</v>
      </c>
      <c r="AO122" s="88">
        <f>$E122*IF(AO$2&gt;Inputs!$D$5,0,IF(AO$2&gt;VLOOKUP($H122,Lists!$P$3:$Q$7,2),IF($N122=Lists!$K$3,IF($L122&lt;1,(($U122/$L122)*((1+Inputs!$D$7)^AO$2)),((INT(AO$2/$L122)-INT((AO$2-1)/$L122))*$U122*((1+Inputs!$D$7)^AO$2))),(_xlfn.WEIBULL.DIST(AO$2,$M122,$L122,FALSE)*$U122*((1+Inputs!$D$7)^AO$2))),IF($N122=Lists!$K$3,IF($L122&lt;1,((($T122*(1-$F122)+$S122*(1-$G122))/$L122)*((1+Inputs!$D$7)^AO$2)),((INT(AO$2/$L122)-INT((AO$2-1)/$L122))*($T122*(1-$F122)+$S122*(1-$G122))*((1+Inputs!$D$7)^AO$2))),((_xlfn.WEIBULL.DIST(AO$2,$M122,$L122,FALSE)*($T122*(1-$F122)+$S122*(1-$G122))*((1+Inputs!$D$7)^AO$2))))))</f>
        <v>4.4575159365295161</v>
      </c>
      <c r="AP122" s="88">
        <f>$E122*IF(AP$2&gt;Inputs!$D$5,0,IF(AP$2&gt;VLOOKUP($H122,Lists!$P$3:$Q$7,2),IF($N122=Lists!$K$3,IF($L122&lt;1,(($U122/$L122)*((1+Inputs!$D$7)^AP$2)),((INT(AP$2/$L122)-INT((AP$2-1)/$L122))*$U122*((1+Inputs!$D$7)^AP$2))),(_xlfn.WEIBULL.DIST(AP$2,$M122,$L122,FALSE)*$U122*((1+Inputs!$D$7)^AP$2))),IF($N122=Lists!$K$3,IF($L122&lt;1,((($T122*(1-$F122)+$S122*(1-$G122))/$L122)*((1+Inputs!$D$7)^AP$2)),((INT(AP$2/$L122)-INT((AP$2-1)/$L122))*($T122*(1-$F122)+$S122*(1-$G122))*((1+Inputs!$D$7)^AP$2))),((_xlfn.WEIBULL.DIST(AP$2,$M122,$L122,FALSE)*($T122*(1-$F122)+$S122*(1-$G122))*((1+Inputs!$D$7)^AP$2))))))</f>
        <v>4.5466662552601065</v>
      </c>
      <c r="AQ122" s="88">
        <f>$E122*IF(AQ$2&gt;Inputs!$D$5,0,IF(AQ$2&gt;VLOOKUP($H122,Lists!$P$3:$Q$7,2),IF($N122=Lists!$K$3,IF($L122&lt;1,(($U122/$L122)*((1+Inputs!$D$7)^AQ$2)),((INT(AQ$2/$L122)-INT((AQ$2-1)/$L122))*$U122*((1+Inputs!$D$7)^AQ$2))),(_xlfn.WEIBULL.DIST(AQ$2,$M122,$L122,FALSE)*$U122*((1+Inputs!$D$7)^AQ$2))),IF($N122=Lists!$K$3,IF($L122&lt;1,((($T122*(1-$F122)+$S122*(1-$G122))/$L122)*((1+Inputs!$D$7)^AQ$2)),((INT(AQ$2/$L122)-INT((AQ$2-1)/$L122))*($T122*(1-$F122)+$S122*(1-$G122))*((1+Inputs!$D$7)^AQ$2))),((_xlfn.WEIBULL.DIST(AQ$2,$M122,$L122,FALSE)*($T122*(1-$F122)+$S122*(1-$G122))*((1+Inputs!$D$7)^AQ$2))))))</f>
        <v>4.6375995803653094</v>
      </c>
      <c r="AR122" s="88">
        <f>$E122*IF(AR$2&gt;Inputs!$D$5,0,IF(AR$2&gt;VLOOKUP($H122,Lists!$P$3:$Q$7,2),IF($N122=Lists!$K$3,IF($L122&lt;1,(($U122/$L122)*((1+Inputs!$D$7)^AR$2)),((INT(AR$2/$L122)-INT((AR$2-1)/$L122))*$U122*((1+Inputs!$D$7)^AR$2))),(_xlfn.WEIBULL.DIST(AR$2,$M122,$L122,FALSE)*$U122*((1+Inputs!$D$7)^AR$2))),IF($N122=Lists!$K$3,IF($L122&lt;1,((($T122*(1-$F122)+$S122*(1-$G122))/$L122)*((1+Inputs!$D$7)^AR$2)),((INT(AR$2/$L122)-INT((AR$2-1)/$L122))*($T122*(1-$F122)+$S122*(1-$G122))*((1+Inputs!$D$7)^AR$2))),((_xlfn.WEIBULL.DIST(AR$2,$M122,$L122,FALSE)*($T122*(1-$F122)+$S122*(1-$G122))*((1+Inputs!$D$7)^AR$2))))))</f>
        <v>4.7303515719726148</v>
      </c>
      <c r="AS122" s="88">
        <f>$E122*IF(AS$2&gt;Inputs!$D$5,0,IF(AS$2&gt;VLOOKUP($H122,Lists!$P$3:$Q$7,2),IF($N122=Lists!$K$3,IF($L122&lt;1,(($U122/$L122)*((1+Inputs!$D$7)^AS$2)),((INT(AS$2/$L122)-INT((AS$2-1)/$L122))*$U122*((1+Inputs!$D$7)^AS$2))),(_xlfn.WEIBULL.DIST(AS$2,$M122,$L122,FALSE)*$U122*((1+Inputs!$D$7)^AS$2))),IF($N122=Lists!$K$3,IF($L122&lt;1,((($T122*(1-$F122)+$S122*(1-$G122))/$L122)*((1+Inputs!$D$7)^AS$2)),((INT(AS$2/$L122)-INT((AS$2-1)/$L122))*($T122*(1-$F122)+$S122*(1-$G122))*((1+Inputs!$D$7)^AS$2))),((_xlfn.WEIBULL.DIST(AS$2,$M122,$L122,FALSE)*($T122*(1-$F122)+$S122*(1-$G122))*((1+Inputs!$D$7)^AS$2))))))</f>
        <v>4.8249586034120675</v>
      </c>
      <c r="AT122" s="88">
        <f>$E122*IF(AT$2&gt;Inputs!$D$5,0,IF(AT$2&gt;VLOOKUP($H122,Lists!$P$3:$Q$7,2),IF($N122=Lists!$K$3,IF($L122&lt;1,(($U122/$L122)*((1+Inputs!$D$7)^AT$2)),((INT(AT$2/$L122)-INT((AT$2-1)/$L122))*$U122*((1+Inputs!$D$7)^AT$2))),(_xlfn.WEIBULL.DIST(AT$2,$M122,$L122,FALSE)*$U122*((1+Inputs!$D$7)^AT$2))),IF($N122=Lists!$K$3,IF($L122&lt;1,((($T122*(1-$F122)+$S122*(1-$G122))/$L122)*((1+Inputs!$D$7)^AT$2)),((INT(AT$2/$L122)-INT((AT$2-1)/$L122))*($T122*(1-$F122)+$S122*(1-$G122))*((1+Inputs!$D$7)^AT$2))),((_xlfn.WEIBULL.DIST(AT$2,$M122,$L122,FALSE)*($T122*(1-$F122)+$S122*(1-$G122))*((1+Inputs!$D$7)^AT$2))))))</f>
        <v>4.9214577754803086</v>
      </c>
      <c r="AU122" s="88">
        <f>$E122*IF(AU$2&gt;Inputs!$D$5,0,IF(AU$2&gt;VLOOKUP($H122,Lists!$P$3:$Q$7,2),IF($N122=Lists!$K$3,IF($L122&lt;1,(($U122/$L122)*((1+Inputs!$D$7)^AU$2)),((INT(AU$2/$L122)-INT((AU$2-1)/$L122))*$U122*((1+Inputs!$D$7)^AU$2))),(_xlfn.WEIBULL.DIST(AU$2,$M122,$L122,FALSE)*$U122*((1+Inputs!$D$7)^AU$2))),IF($N122=Lists!$K$3,IF($L122&lt;1,((($T122*(1-$F122)+$S122*(1-$G122))/$L122)*((1+Inputs!$D$7)^AU$2)),((INT(AU$2/$L122)-INT((AU$2-1)/$L122))*($T122*(1-$F122)+$S122*(1-$G122))*((1+Inputs!$D$7)^AU$2))),((_xlfn.WEIBULL.DIST(AU$2,$M122,$L122,FALSE)*($T122*(1-$F122)+$S122*(1-$G122))*((1+Inputs!$D$7)^AU$2))))))</f>
        <v>5.019886930989915</v>
      </c>
      <c r="AV122" s="88">
        <f>$E122*IF(AV$2&gt;Inputs!$D$5,0,IF(AV$2&gt;VLOOKUP($H122,Lists!$P$3:$Q$7,2),IF($N122=Lists!$K$3,IF($L122&lt;1,(($U122/$L122)*((1+Inputs!$D$7)^AV$2)),((INT(AV$2/$L122)-INT((AV$2-1)/$L122))*$U122*((1+Inputs!$D$7)^AV$2))),(_xlfn.WEIBULL.DIST(AV$2,$M122,$L122,FALSE)*$U122*((1+Inputs!$D$7)^AV$2))),IF($N122=Lists!$K$3,IF($L122&lt;1,((($T122*(1-$F122)+$S122*(1-$G122))/$L122)*((1+Inputs!$D$7)^AV$2)),((INT(AV$2/$L122)-INT((AV$2-1)/$L122))*($T122*(1-$F122)+$S122*(1-$G122))*((1+Inputs!$D$7)^AV$2))),((_xlfn.WEIBULL.DIST(AV$2,$M122,$L122,FALSE)*($T122*(1-$F122)+$S122*(1-$G122))*((1+Inputs!$D$7)^AV$2))))))</f>
        <v>5.1202846696097133</v>
      </c>
      <c r="AW122" s="88">
        <f>$E122*IF(AW$2&gt;Inputs!$D$5,0,IF(AW$2&gt;VLOOKUP($H122,Lists!$P$3:$Q$7,2),IF($N122=Lists!$K$3,IF($L122&lt;1,(($U122/$L122)*((1+Inputs!$D$7)^AW$2)),((INT(AW$2/$L122)-INT((AW$2-1)/$L122))*$U122*((1+Inputs!$D$7)^AW$2))),(_xlfn.WEIBULL.DIST(AW$2,$M122,$L122,FALSE)*$U122*((1+Inputs!$D$7)^AW$2))),IF($N122=Lists!$K$3,IF($L122&lt;1,((($T122*(1-$F122)+$S122*(1-$G122))/$L122)*((1+Inputs!$D$7)^AW$2)),((INT(AW$2/$L122)-INT((AW$2-1)/$L122))*($T122*(1-$F122)+$S122*(1-$G122))*((1+Inputs!$D$7)^AW$2))),((_xlfn.WEIBULL.DIST(AW$2,$M122,$L122,FALSE)*($T122*(1-$F122)+$S122*(1-$G122))*((1+Inputs!$D$7)^AW$2))))))</f>
        <v>5.2226903630019068</v>
      </c>
      <c r="AX122" s="88">
        <f>$E122*IF(AX$2&gt;Inputs!$D$5,0,IF(AX$2&gt;VLOOKUP($H122,Lists!$P$3:$Q$7,2),IF($N122=Lists!$K$3,IF($L122&lt;1,(($U122/$L122)*((1+Inputs!$D$7)^AX$2)),((INT(AX$2/$L122)-INT((AX$2-1)/$L122))*$U122*((1+Inputs!$D$7)^AX$2))),(_xlfn.WEIBULL.DIST(AX$2,$M122,$L122,FALSE)*$U122*((1+Inputs!$D$7)^AX$2))),IF($N122=Lists!$K$3,IF($L122&lt;1,((($T122*(1-$F122)+$S122*(1-$G122))/$L122)*((1+Inputs!$D$7)^AX$2)),((INT(AX$2/$L122)-INT((AX$2-1)/$L122))*($T122*(1-$F122)+$S122*(1-$G122))*((1+Inputs!$D$7)^AX$2))),((_xlfn.WEIBULL.DIST(AX$2,$M122,$L122,FALSE)*($T122*(1-$F122)+$S122*(1-$G122))*((1+Inputs!$D$7)^AX$2))))))</f>
        <v>5.3271441702619446</v>
      </c>
      <c r="AY122" s="88">
        <f>$E122*IF(AY$2&gt;Inputs!$D$5,0,IF(AY$2&gt;VLOOKUP($H122,Lists!$P$3:$Q$7,2),IF($N122=Lists!$K$3,IF($L122&lt;1,(($U122/$L122)*((1+Inputs!$D$7)^AY$2)),((INT(AY$2/$L122)-INT((AY$2-1)/$L122))*$U122*((1+Inputs!$D$7)^AY$2))),(_xlfn.WEIBULL.DIST(AY$2,$M122,$L122,FALSE)*$U122*((1+Inputs!$D$7)^AY$2))),IF($N122=Lists!$K$3,IF($L122&lt;1,((($T122*(1-$F122)+$S122*(1-$G122))/$L122)*((1+Inputs!$D$7)^AY$2)),((INT(AY$2/$L122)-INT((AY$2-1)/$L122))*($T122*(1-$F122)+$S122*(1-$G122))*((1+Inputs!$D$7)^AY$2))),((_xlfn.WEIBULL.DIST(AY$2,$M122,$L122,FALSE)*($T122*(1-$F122)+$S122*(1-$G122))*((1+Inputs!$D$7)^AY$2))))))</f>
        <v>5.4336870536671844</v>
      </c>
      <c r="AZ122" s="88">
        <f>$E122*IF(AZ$2&gt;Inputs!$D$5,0,IF(AZ$2&gt;VLOOKUP($H122,Lists!$P$3:$Q$7,2),IF($N122=Lists!$K$3,IF($L122&lt;1,(($U122/$L122)*((1+Inputs!$D$7)^AZ$2)),((INT(AZ$2/$L122)-INT((AZ$2-1)/$L122))*$U122*((1+Inputs!$D$7)^AZ$2))),(_xlfn.WEIBULL.DIST(AZ$2,$M122,$L122,FALSE)*$U122*((1+Inputs!$D$7)^AZ$2))),IF($N122=Lists!$K$3,IF($L122&lt;1,((($T122*(1-$F122)+$S122*(1-$G122))/$L122)*((1+Inputs!$D$7)^AZ$2)),((INT(AZ$2/$L122)-INT((AZ$2-1)/$L122))*($T122*(1-$F122)+$S122*(1-$G122))*((1+Inputs!$D$7)^AZ$2))),((_xlfn.WEIBULL.DIST(AZ$2,$M122,$L122,FALSE)*($T122*(1-$F122)+$S122*(1-$G122))*((1+Inputs!$D$7)^AZ$2))))))</f>
        <v>0</v>
      </c>
      <c r="BA122" s="88">
        <f>$E122*IF(BA$2&gt;Inputs!$D$5,0,IF(BA$2&gt;VLOOKUP($H122,Lists!$P$3:$Q$7,2),IF($N122=Lists!$K$3,IF($L122&lt;1,(($U122/$L122)*((1+Inputs!$D$7)^BA$2)),((INT(BA$2/$L122)-INT((BA$2-1)/$L122))*$U122*((1+Inputs!$D$7)^BA$2))),(_xlfn.WEIBULL.DIST(BA$2,$M122,$L122,FALSE)*$U122*((1+Inputs!$D$7)^BA$2))),IF($N122=Lists!$K$3,IF($L122&lt;1,((($T122*(1-$F122)+$S122*(1-$G122))/$L122)*((1+Inputs!$D$7)^BA$2)),((INT(BA$2/$L122)-INT((BA$2-1)/$L122))*($T122*(1-$F122)+$S122*(1-$G122))*((1+Inputs!$D$7)^BA$2))),((_xlfn.WEIBULL.DIST(BA$2,$M122,$L122,FALSE)*($T122*(1-$F122)+$S122*(1-$G122))*((1+Inputs!$D$7)^BA$2))))))</f>
        <v>0</v>
      </c>
      <c r="BB122" s="88">
        <f>$E122*IF(BB$2&gt;Inputs!$D$5,0,IF(BB$2&gt;VLOOKUP($H122,Lists!$P$3:$Q$7,2),IF($N122=Lists!$K$3,IF($L122&lt;1,(($U122/$L122)*((1+Inputs!$D$7)^BB$2)),((INT(BB$2/$L122)-INT((BB$2-1)/$L122))*$U122*((1+Inputs!$D$7)^BB$2))),(_xlfn.WEIBULL.DIST(BB$2,$M122,$L122,FALSE)*$U122*((1+Inputs!$D$7)^BB$2))),IF($N122=Lists!$K$3,IF($L122&lt;1,((($T122*(1-$F122)+$S122*(1-$G122))/$L122)*((1+Inputs!$D$7)^BB$2)),((INT(BB$2/$L122)-INT((BB$2-1)/$L122))*($T122*(1-$F122)+$S122*(1-$G122))*((1+Inputs!$D$7)^BB$2))),((_xlfn.WEIBULL.DIST(BB$2,$M122,$L122,FALSE)*($T122*(1-$F122)+$S122*(1-$G122))*((1+Inputs!$D$7)^BB$2))))))</f>
        <v>0</v>
      </c>
      <c r="BC122" s="88">
        <f>$E122*IF(BC$2&gt;Inputs!$D$5,0,IF(BC$2&gt;VLOOKUP($H122,Lists!$P$3:$Q$7,2),IF($N122=Lists!$K$3,IF($L122&lt;1,(($U122/$L122)*((1+Inputs!$D$7)^BC$2)),((INT(BC$2/$L122)-INT((BC$2-1)/$L122))*$U122*((1+Inputs!$D$7)^BC$2))),(_xlfn.WEIBULL.DIST(BC$2,$M122,$L122,FALSE)*$U122*((1+Inputs!$D$7)^BC$2))),IF($N122=Lists!$K$3,IF($L122&lt;1,((($T122*(1-$F122)+$S122*(1-$G122))/$L122)*((1+Inputs!$D$7)^BC$2)),((INT(BC$2/$L122)-INT((BC$2-1)/$L122))*($T122*(1-$F122)+$S122*(1-$G122))*((1+Inputs!$D$7)^BC$2))),((_xlfn.WEIBULL.DIST(BC$2,$M122,$L122,FALSE)*($T122*(1-$F122)+$S122*(1-$G122))*((1+Inputs!$D$7)^BC$2))))))</f>
        <v>0</v>
      </c>
      <c r="BD122" s="88">
        <f>$E122*IF(BD$2&gt;Inputs!$D$5,0,IF(BD$2&gt;VLOOKUP($H122,Lists!$P$3:$Q$7,2),IF($N122=Lists!$K$3,IF($L122&lt;1,(($U122/$L122)*((1+Inputs!$D$7)^BD$2)),((INT(BD$2/$L122)-INT((BD$2-1)/$L122))*$U122*((1+Inputs!$D$7)^BD$2))),(_xlfn.WEIBULL.DIST(BD$2,$M122,$L122,FALSE)*$U122*((1+Inputs!$D$7)^BD$2))),IF($N122=Lists!$K$3,IF($L122&lt;1,((($T122*(1-$F122)+$S122*(1-$G122))/$L122)*((1+Inputs!$D$7)^BD$2)),((INT(BD$2/$L122)-INT((BD$2-1)/$L122))*($T122*(1-$F122)+$S122*(1-$G122))*((1+Inputs!$D$7)^BD$2))),((_xlfn.WEIBULL.DIST(BD$2,$M122,$L122,FALSE)*($T122*(1-$F122)+$S122*(1-$G122))*((1+Inputs!$D$7)^BD$2))))))</f>
        <v>0</v>
      </c>
      <c r="BE122" s="88">
        <f>$E122*IF(BE$2&gt;Inputs!$D$5,0,IF(BE$2&gt;VLOOKUP($H122,Lists!$P$3:$Q$7,2),IF($N122=Lists!$K$3,IF($L122&lt;1,(($U122/$L122)*((1+Inputs!$D$7)^BE$2)),((INT(BE$2/$L122)-INT((BE$2-1)/$L122))*$U122*((1+Inputs!$D$7)^BE$2))),(_xlfn.WEIBULL.DIST(BE$2,$M122,$L122,FALSE)*$U122*((1+Inputs!$D$7)^BE$2))),IF($N122=Lists!$K$3,IF($L122&lt;1,((($T122*(1-$F122)+$S122*(1-$G122))/$L122)*((1+Inputs!$D$7)^BE$2)),((INT(BE$2/$L122)-INT((BE$2-1)/$L122))*($T122*(1-$F122)+$S122*(1-$G122))*((1+Inputs!$D$7)^BE$2))),((_xlfn.WEIBULL.DIST(BE$2,$M122,$L122,FALSE)*($T122*(1-$F122)+$S122*(1-$G122))*((1+Inputs!$D$7)^BE$2))))))</f>
        <v>0</v>
      </c>
      <c r="BF122" s="88">
        <f>$E122*IF(BF$2&gt;Inputs!$D$5,0,IF(BF$2&gt;VLOOKUP($H122,Lists!$P$3:$Q$7,2),IF($N122=Lists!$K$3,IF($L122&lt;1,(($U122/$L122)*((1+Inputs!$D$7)^BF$2)),((INT(BF$2/$L122)-INT((BF$2-1)/$L122))*$U122*((1+Inputs!$D$7)^BF$2))),(_xlfn.WEIBULL.DIST(BF$2,$M122,$L122,FALSE)*$U122*((1+Inputs!$D$7)^BF$2))),IF($N122=Lists!$K$3,IF($L122&lt;1,((($T122*(1-$F122)+$S122*(1-$G122))/$L122)*((1+Inputs!$D$7)^BF$2)),((INT(BF$2/$L122)-INT((BF$2-1)/$L122))*($T122*(1-$F122)+$S122*(1-$G122))*((1+Inputs!$D$7)^BF$2))),((_xlfn.WEIBULL.DIST(BF$2,$M122,$L122,FALSE)*($T122*(1-$F122)+$S122*(1-$G122))*((1+Inputs!$D$7)^BF$2))))))</f>
        <v>0</v>
      </c>
      <c r="BG122" s="88">
        <f>$E122*IF(BG$2&gt;Inputs!$D$5,0,IF(BG$2&gt;VLOOKUP($H122,Lists!$P$3:$Q$7,2),IF($N122=Lists!$K$3,IF($L122&lt;1,(($U122/$L122)*((1+Inputs!$D$7)^BG$2)),((INT(BG$2/$L122)-INT((BG$2-1)/$L122))*$U122*((1+Inputs!$D$7)^BG$2))),(_xlfn.WEIBULL.DIST(BG$2,$M122,$L122,FALSE)*$U122*((1+Inputs!$D$7)^BG$2))),IF($N122=Lists!$K$3,IF($L122&lt;1,((($T122*(1-$F122)+$S122*(1-$G122))/$L122)*((1+Inputs!$D$7)^BG$2)),((INT(BG$2/$L122)-INT((BG$2-1)/$L122))*($T122*(1-$F122)+$S122*(1-$G122))*((1+Inputs!$D$7)^BG$2))),((_xlfn.WEIBULL.DIST(BG$2,$M122,$L122,FALSE)*($T122*(1-$F122)+$S122*(1-$G122))*((1+Inputs!$D$7)^BG$2))))))</f>
        <v>0</v>
      </c>
      <c r="BH122" s="88">
        <f>$E122*IF(BH$2&gt;Inputs!$D$5,0,IF(BH$2&gt;VLOOKUP($H122,Lists!$P$3:$Q$7,2),IF($N122=Lists!$K$3,IF($L122&lt;1,(($U122/$L122)*((1+Inputs!$D$7)^BH$2)),((INT(BH$2/$L122)-INT((BH$2-1)/$L122))*$U122*((1+Inputs!$D$7)^BH$2))),(_xlfn.WEIBULL.DIST(BH$2,$M122,$L122,FALSE)*$U122*((1+Inputs!$D$7)^BH$2))),IF($N122=Lists!$K$3,IF($L122&lt;1,((($T122*(1-$F122)+$S122*(1-$G122))/$L122)*((1+Inputs!$D$7)^BH$2)),((INT(BH$2/$L122)-INT((BH$2-1)/$L122))*($T122*(1-$F122)+$S122*(1-$G122))*((1+Inputs!$D$7)^BH$2))),((_xlfn.WEIBULL.DIST(BH$2,$M122,$L122,FALSE)*($T122*(1-$F122)+$S122*(1-$G122))*((1+Inputs!$D$7)^BH$2))))))</f>
        <v>0</v>
      </c>
      <c r="BI122" s="88">
        <f>$E122*IF(BI$2&gt;Inputs!$D$5,0,IF(BI$2&gt;VLOOKUP($H122,Lists!$P$3:$Q$7,2),IF($N122=Lists!$K$3,IF($L122&lt;1,(($U122/$L122)*((1+Inputs!$D$7)^BI$2)),((INT(BI$2/$L122)-INT((BI$2-1)/$L122))*$U122*((1+Inputs!$D$7)^BI$2))),(_xlfn.WEIBULL.DIST(BI$2,$M122,$L122,FALSE)*$U122*((1+Inputs!$D$7)^BI$2))),IF($N122=Lists!$K$3,IF($L122&lt;1,((($T122*(1-$F122)+$S122*(1-$G122))/$L122)*((1+Inputs!$D$7)^BI$2)),((INT(BI$2/$L122)-INT((BI$2-1)/$L122))*($T122*(1-$F122)+$S122*(1-$G122))*((1+Inputs!$D$7)^BI$2))),((_xlfn.WEIBULL.DIST(BI$2,$M122,$L122,FALSE)*($T122*(1-$F122)+$S122*(1-$G122))*((1+Inputs!$D$7)^BI$2))))))</f>
        <v>0</v>
      </c>
      <c r="BJ122" s="88">
        <f>$E122*IF(BJ$2&gt;Inputs!$D$5,0,IF(BJ$2&gt;VLOOKUP($H122,Lists!$P$3:$Q$7,2),IF($N122=Lists!$K$3,IF($L122&lt;1,(($U122/$L122)*((1+Inputs!$D$7)^BJ$2)),((INT(BJ$2/$L122)-INT((BJ$2-1)/$L122))*$U122*((1+Inputs!$D$7)^BJ$2))),(_xlfn.WEIBULL.DIST(BJ$2,$M122,$L122,FALSE)*$U122*((1+Inputs!$D$7)^BJ$2))),IF($N122=Lists!$K$3,IF($L122&lt;1,((($T122*(1-$F122)+$S122*(1-$G122))/$L122)*((1+Inputs!$D$7)^BJ$2)),((INT(BJ$2/$L122)-INT((BJ$2-1)/$L122))*($T122*(1-$F122)+$S122*(1-$G122))*((1+Inputs!$D$7)^BJ$2))),((_xlfn.WEIBULL.DIST(BJ$2,$M122,$L122,FALSE)*($T122*(1-$F122)+$S122*(1-$G122))*((1+Inputs!$D$7)^BJ$2))))))</f>
        <v>0</v>
      </c>
      <c r="BK122" s="88">
        <f>$E122*IF(BK$2&gt;Inputs!$D$5,0,IF(BK$2&gt;VLOOKUP($H122,Lists!$P$3:$Q$7,2),IF($N122=Lists!$K$3,IF($L122&lt;1,(($U122/$L122)*((1+Inputs!$D$7)^BK$2)),((INT(BK$2/$L122)-INT((BK$2-1)/$L122))*$U122*((1+Inputs!$D$7)^BK$2))),(_xlfn.WEIBULL.DIST(BK$2,$M122,$L122,FALSE)*$U122*((1+Inputs!$D$7)^BK$2))),IF($N122=Lists!$K$3,IF($L122&lt;1,((($T122*(1-$F122)+$S122*(1-$G122))/$L122)*((1+Inputs!$D$7)^BK$2)),((INT(BK$2/$L122)-INT((BK$2-1)/$L122))*($T122*(1-$F122)+$S122*(1-$G122))*((1+Inputs!$D$7)^BK$2))),((_xlfn.WEIBULL.DIST(BK$2,$M122,$L122,FALSE)*($T122*(1-$F122)+$S122*(1-$G122))*((1+Inputs!$D$7)^BK$2))))))</f>
        <v>0</v>
      </c>
      <c r="BL122" s="88">
        <f>$E122*IF(BL$2&gt;Inputs!$D$5,0,IF(BL$2&gt;VLOOKUP($H122,Lists!$P$3:$Q$7,2),IF($N122=Lists!$K$3,IF($L122&lt;1,(($U122/$L122)*((1+Inputs!$D$7)^BL$2)),((INT(BL$2/$L122)-INT((BL$2-1)/$L122))*$U122*((1+Inputs!$D$7)^BL$2))),(_xlfn.WEIBULL.DIST(BL$2,$M122,$L122,FALSE)*$U122*((1+Inputs!$D$7)^BL$2))),IF($N122=Lists!$K$3,IF($L122&lt;1,((($T122*(1-$F122)+$S122*(1-$G122))/$L122)*((1+Inputs!$D$7)^BL$2)),((INT(BL$2/$L122)-INT((BL$2-1)/$L122))*($T122*(1-$F122)+$S122*(1-$G122))*((1+Inputs!$D$7)^BL$2))),((_xlfn.WEIBULL.DIST(BL$2,$M122,$L122,FALSE)*($T122*(1-$F122)+$S122*(1-$G122))*((1+Inputs!$D$7)^BL$2))))))</f>
        <v>0</v>
      </c>
      <c r="BM122" s="88">
        <f>$E122*IF(BM$2&gt;Inputs!$D$5,0,IF(BM$2&gt;VLOOKUP($H122,Lists!$P$3:$Q$7,2),IF($N122=Lists!$K$3,IF($L122&lt;1,(($U122/$L122)*((1+Inputs!$D$7)^BM$2)),((INT(BM$2/$L122)-INT((BM$2-1)/$L122))*$U122*((1+Inputs!$D$7)^BM$2))),(_xlfn.WEIBULL.DIST(BM$2,$M122,$L122,FALSE)*$U122*((1+Inputs!$D$7)^BM$2))),IF($N122=Lists!$K$3,IF($L122&lt;1,((($T122*(1-$F122)+$S122*(1-$G122))/$L122)*((1+Inputs!$D$7)^BM$2)),((INT(BM$2/$L122)-INT((BM$2-1)/$L122))*($T122*(1-$F122)+$S122*(1-$G122))*((1+Inputs!$D$7)^BM$2))),((_xlfn.WEIBULL.DIST(BM$2,$M122,$L122,FALSE)*($T122*(1-$F122)+$S122*(1-$G122))*((1+Inputs!$D$7)^BM$2))))))</f>
        <v>0</v>
      </c>
      <c r="BN122" s="88">
        <f>$E122*IF(BN$2&gt;Inputs!$D$5,0,IF(BN$2&gt;VLOOKUP($H122,Lists!$P$3:$Q$7,2),IF($N122=Lists!$K$3,IF($L122&lt;1,(($U122/$L122)*((1+Inputs!$D$7)^BN$2)),((INT(BN$2/$L122)-INT((BN$2-1)/$L122))*$U122*((1+Inputs!$D$7)^BN$2))),(_xlfn.WEIBULL.DIST(BN$2,$M122,$L122,FALSE)*$U122*((1+Inputs!$D$7)^BN$2))),IF($N122=Lists!$K$3,IF($L122&lt;1,((($T122*(1-$F122)+$S122*(1-$G122))/$L122)*((1+Inputs!$D$7)^BN$2)),((INT(BN$2/$L122)-INT((BN$2-1)/$L122))*($T122*(1-$F122)+$S122*(1-$G122))*((1+Inputs!$D$7)^BN$2))),((_xlfn.WEIBULL.DIST(BN$2,$M122,$L122,FALSE)*($T122*(1-$F122)+$S122*(1-$G122))*((1+Inputs!$D$7)^BN$2))))))</f>
        <v>0</v>
      </c>
      <c r="BO122" s="64">
        <f>NPV(Inputs!$D$6,BQ122:DD122)</f>
        <v>47.141291640750993</v>
      </c>
      <c r="BP122" s="67">
        <f t="shared" si="27"/>
        <v>2.2234134609008494E-5</v>
      </c>
      <c r="BQ122" s="88">
        <f>MAX(AA122,($E122*IF(BQ$2&gt;Inputs!$D$5,0,IF(BQ$2&gt;VLOOKUP($H122,Lists!$P$3:$Q$7,2),IF($N122=Lists!$K$3,IF($L122&lt;1,(($U122/$L122)*((1+Inputs!$D$7)^BQ$2)),((INT(BQ$2/$L122)-INT((BQ$2-1)/$L122))*$U122*((1+Inputs!$D$7)^BQ$2))),(Inputs!$D$8^((1-_xlfn.WEIBULL.DIST(BQ$2,$M122,$L122,FALSE))/_xlfn.WEIBULL.DIST(BQ$2,$M122,$L122,FALSE))*$U122*((1+Inputs!$D$7)^BQ$2))),IF($N122=Lists!$K$3,IF($L122&lt;1,((($T122*(1-$F122)+$S122*(1-$G122))/$L122)*((1+Inputs!$D$7)^BQ$2)),((INT(BQ$2/$L122)-INT((BQ$2-1)/$L122))*($T122*(1-$F122)+$S122*(1-$G122))*((1+Inputs!$D$7)^BQ$2))),((Inputs!$D$8^((1-_xlfn.WEIBULL.DIST(BQ$2,$M122,$L122,FALSE))/_xlfn.WEIBULL.DIST(BQ$2,$M122,$L122,FALSE))*($T122*(1-$F122)+$S122*(1-$G122))*((1+Inputs!$D$7)^BQ$2))))))))</f>
        <v>3.3782399999999999</v>
      </c>
      <c r="BR122" s="88">
        <f>MAX(AB122,($E122*IF(BR$2&gt;Inputs!$D$5,0,IF(BR$2&gt;VLOOKUP($H122,Lists!$P$3:$Q$7,2),IF($N122=Lists!$K$3,IF($L122&lt;1,(($U122/$L122)*((1+Inputs!$D$7)^BR$2)),((INT(BR$2/$L122)-INT((BR$2-1)/$L122))*$U122*((1+Inputs!$D$7)^BR$2))),(Inputs!$D$8^((1-_xlfn.WEIBULL.DIST(BR$2,$M122,$L122,FALSE))/_xlfn.WEIBULL.DIST(BR$2,$M122,$L122,FALSE))*$U122*((1+Inputs!$D$7)^BR$2))),IF($N122=Lists!$K$3,IF($L122&lt;1,((($T122*(1-$F122)+$S122*(1-$G122))/$L122)*((1+Inputs!$D$7)^BR$2)),((INT(BR$2/$L122)-INT((BR$2-1)/$L122))*($T122*(1-$F122)+$S122*(1-$G122))*((1+Inputs!$D$7)^BR$2))),((Inputs!$D$8^((1-_xlfn.WEIBULL.DIST(BR$2,$M122,$L122,FALSE))/_xlfn.WEIBULL.DIST(BR$2,$M122,$L122,FALSE))*($T122*(1-$F122)+$S122*(1-$G122))*((1+Inputs!$D$7)^BR$2))))))))</f>
        <v>3.4458047999999999</v>
      </c>
      <c r="BS122" s="88">
        <f>MAX(AC122,($E122*IF(BS$2&gt;Inputs!$D$5,0,IF(BS$2&gt;VLOOKUP($H122,Lists!$P$3:$Q$7,2),IF($N122=Lists!$K$3,IF($L122&lt;1,(($U122/$L122)*((1+Inputs!$D$7)^BS$2)),((INT(BS$2/$L122)-INT((BS$2-1)/$L122))*$U122*((1+Inputs!$D$7)^BS$2))),(Inputs!$D$8^((1-_xlfn.WEIBULL.DIST(BS$2,$M122,$L122,FALSE))/_xlfn.WEIBULL.DIST(BS$2,$M122,$L122,FALSE))*$U122*((1+Inputs!$D$7)^BS$2))),IF($N122=Lists!$K$3,IF($L122&lt;1,((($T122*(1-$F122)+$S122*(1-$G122))/$L122)*((1+Inputs!$D$7)^BS$2)),((INT(BS$2/$L122)-INT((BS$2-1)/$L122))*($T122*(1-$F122)+$S122*(1-$G122))*((1+Inputs!$D$7)^BS$2))),((Inputs!$D$8^((1-_xlfn.WEIBULL.DIST(BS$2,$M122,$L122,FALSE))/_xlfn.WEIBULL.DIST(BS$2,$M122,$L122,FALSE))*($T122*(1-$F122)+$S122*(1-$G122))*((1+Inputs!$D$7)^BS$2))))))))</f>
        <v>3.5147208959999996</v>
      </c>
      <c r="BT122" s="88">
        <f>MAX(AD122,($E122*IF(BT$2&gt;Inputs!$D$5,0,IF(BT$2&gt;VLOOKUP($H122,Lists!$P$3:$Q$7,2),IF($N122=Lists!$K$3,IF($L122&lt;1,(($U122/$L122)*((1+Inputs!$D$7)^BT$2)),((INT(BT$2/$L122)-INT((BT$2-1)/$L122))*$U122*((1+Inputs!$D$7)^BT$2))),(Inputs!$D$8^((1-_xlfn.WEIBULL.DIST(BT$2,$M122,$L122,FALSE))/_xlfn.WEIBULL.DIST(BT$2,$M122,$L122,FALSE))*$U122*((1+Inputs!$D$7)^BT$2))),IF($N122=Lists!$K$3,IF($L122&lt;1,((($T122*(1-$F122)+$S122*(1-$G122))/$L122)*((1+Inputs!$D$7)^BT$2)),((INT(BT$2/$L122)-INT((BT$2-1)/$L122))*($T122*(1-$F122)+$S122*(1-$G122))*((1+Inputs!$D$7)^BT$2))),((Inputs!$D$8^((1-_xlfn.WEIBULL.DIST(BT$2,$M122,$L122,FALSE))/_xlfn.WEIBULL.DIST(BT$2,$M122,$L122,FALSE))*($T122*(1-$F122)+$S122*(1-$G122))*((1+Inputs!$D$7)^BT$2))))))))</f>
        <v>3.5850153139199996</v>
      </c>
      <c r="BU122" s="88">
        <f>MAX(AE122,($E122*IF(BU$2&gt;Inputs!$D$5,0,IF(BU$2&gt;VLOOKUP($H122,Lists!$P$3:$Q$7,2),IF($N122=Lists!$K$3,IF($L122&lt;1,(($U122/$L122)*((1+Inputs!$D$7)^BU$2)),((INT(BU$2/$L122)-INT((BU$2-1)/$L122))*$U122*((1+Inputs!$D$7)^BU$2))),(Inputs!$D$8^((1-_xlfn.WEIBULL.DIST(BU$2,$M122,$L122,FALSE))/_xlfn.WEIBULL.DIST(BU$2,$M122,$L122,FALSE))*$U122*((1+Inputs!$D$7)^BU$2))),IF($N122=Lists!$K$3,IF($L122&lt;1,((($T122*(1-$F122)+$S122*(1-$G122))/$L122)*((1+Inputs!$D$7)^BU$2)),((INT(BU$2/$L122)-INT((BU$2-1)/$L122))*($T122*(1-$F122)+$S122*(1-$G122))*((1+Inputs!$D$7)^BU$2))),((Inputs!$D$8^((1-_xlfn.WEIBULL.DIST(BU$2,$M122,$L122,FALSE))/_xlfn.WEIBULL.DIST(BU$2,$M122,$L122,FALSE))*($T122*(1-$F122)+$S122*(1-$G122))*((1+Inputs!$D$7)^BU$2))))))))</f>
        <v>3.6567156201983999</v>
      </c>
      <c r="BV122" s="88">
        <f>MAX(AF122,($E122*IF(BV$2&gt;Inputs!$D$5,0,IF(BV$2&gt;VLOOKUP($H122,Lists!$P$3:$Q$7,2),IF($N122=Lists!$K$3,IF($L122&lt;1,(($U122/$L122)*((1+Inputs!$D$7)^BV$2)),((INT(BV$2/$L122)-INT((BV$2-1)/$L122))*$U122*((1+Inputs!$D$7)^BV$2))),(Inputs!$D$8^((1-_xlfn.WEIBULL.DIST(BV$2,$M122,$L122,FALSE))/_xlfn.WEIBULL.DIST(BV$2,$M122,$L122,FALSE))*$U122*((1+Inputs!$D$7)^BV$2))),IF($N122=Lists!$K$3,IF($L122&lt;1,((($T122*(1-$F122)+$S122*(1-$G122))/$L122)*((1+Inputs!$D$7)^BV$2)),((INT(BV$2/$L122)-INT((BV$2-1)/$L122))*($T122*(1-$F122)+$S122*(1-$G122))*((1+Inputs!$D$7)^BV$2))),((Inputs!$D$8^((1-_xlfn.WEIBULL.DIST(BV$2,$M122,$L122,FALSE))/_xlfn.WEIBULL.DIST(BV$2,$M122,$L122,FALSE))*($T122*(1-$F122)+$S122*(1-$G122))*((1+Inputs!$D$7)^BV$2))))))))</f>
        <v>3.729849932602368</v>
      </c>
      <c r="BW122" s="88">
        <f>MAX(AG122,($E122*IF(BW$2&gt;Inputs!$D$5,0,IF(BW$2&gt;VLOOKUP($H122,Lists!$P$3:$Q$7,2),IF($N122=Lists!$K$3,IF($L122&lt;1,(($U122/$L122)*((1+Inputs!$D$7)^BW$2)),((INT(BW$2/$L122)-INT((BW$2-1)/$L122))*$U122*((1+Inputs!$D$7)^BW$2))),(Inputs!$D$8^((1-_xlfn.WEIBULL.DIST(BW$2,$M122,$L122,FALSE))/_xlfn.WEIBULL.DIST(BW$2,$M122,$L122,FALSE))*$U122*((1+Inputs!$D$7)^BW$2))),IF($N122=Lists!$K$3,IF($L122&lt;1,((($T122*(1-$F122)+$S122*(1-$G122))/$L122)*((1+Inputs!$D$7)^BW$2)),((INT(BW$2/$L122)-INT((BW$2-1)/$L122))*($T122*(1-$F122)+$S122*(1-$G122))*((1+Inputs!$D$7)^BW$2))),((Inputs!$D$8^((1-_xlfn.WEIBULL.DIST(BW$2,$M122,$L122,FALSE))/_xlfn.WEIBULL.DIST(BW$2,$M122,$L122,FALSE))*($T122*(1-$F122)+$S122*(1-$G122))*((1+Inputs!$D$7)^BW$2))))))))</f>
        <v>3.8044469312544145</v>
      </c>
      <c r="BX122" s="88">
        <f>MAX(AH122,($E122*IF(BX$2&gt;Inputs!$D$5,0,IF(BX$2&gt;VLOOKUP($H122,Lists!$P$3:$Q$7,2),IF($N122=Lists!$K$3,IF($L122&lt;1,(($U122/$L122)*((1+Inputs!$D$7)^BX$2)),((INT(BX$2/$L122)-INT((BX$2-1)/$L122))*$U122*((1+Inputs!$D$7)^BX$2))),(Inputs!$D$8^((1-_xlfn.WEIBULL.DIST(BX$2,$M122,$L122,FALSE))/_xlfn.WEIBULL.DIST(BX$2,$M122,$L122,FALSE))*$U122*((1+Inputs!$D$7)^BX$2))),IF($N122=Lists!$K$3,IF($L122&lt;1,((($T122*(1-$F122)+$S122*(1-$G122))/$L122)*((1+Inputs!$D$7)^BX$2)),((INT(BX$2/$L122)-INT((BX$2-1)/$L122))*($T122*(1-$F122)+$S122*(1-$G122))*((1+Inputs!$D$7)^BX$2))),((Inputs!$D$8^((1-_xlfn.WEIBULL.DIST(BX$2,$M122,$L122,FALSE))/_xlfn.WEIBULL.DIST(BX$2,$M122,$L122,FALSE))*($T122*(1-$F122)+$S122*(1-$G122))*((1+Inputs!$D$7)^BX$2))))))))</f>
        <v>3.8805358698795032</v>
      </c>
      <c r="BY122" s="88">
        <f>MAX(AI122,($E122*IF(BY$2&gt;Inputs!$D$5,0,IF(BY$2&gt;VLOOKUP($H122,Lists!$P$3:$Q$7,2),IF($N122=Lists!$K$3,IF($L122&lt;1,(($U122/$L122)*((1+Inputs!$D$7)^BY$2)),((INT(BY$2/$L122)-INT((BY$2-1)/$L122))*$U122*((1+Inputs!$D$7)^BY$2))),(Inputs!$D$8^((1-_xlfn.WEIBULL.DIST(BY$2,$M122,$L122,FALSE))/_xlfn.WEIBULL.DIST(BY$2,$M122,$L122,FALSE))*$U122*((1+Inputs!$D$7)^BY$2))),IF($N122=Lists!$K$3,IF($L122&lt;1,((($T122*(1-$F122)+$S122*(1-$G122))/$L122)*((1+Inputs!$D$7)^BY$2)),((INT(BY$2/$L122)-INT((BY$2-1)/$L122))*($T122*(1-$F122)+$S122*(1-$G122))*((1+Inputs!$D$7)^BY$2))),((Inputs!$D$8^((1-_xlfn.WEIBULL.DIST(BY$2,$M122,$L122,FALSE))/_xlfn.WEIBULL.DIST(BY$2,$M122,$L122,FALSE))*($T122*(1-$F122)+$S122*(1-$G122))*((1+Inputs!$D$7)^BY$2))))))))</f>
        <v>3.9581465872770933</v>
      </c>
      <c r="BZ122" s="88">
        <f>MAX(AJ122,($E122*IF(BZ$2&gt;Inputs!$D$5,0,IF(BZ$2&gt;VLOOKUP($H122,Lists!$P$3:$Q$7,2),IF($N122=Lists!$K$3,IF($L122&lt;1,(($U122/$L122)*((1+Inputs!$D$7)^BZ$2)),((INT(BZ$2/$L122)-INT((BZ$2-1)/$L122))*$U122*((1+Inputs!$D$7)^BZ$2))),(Inputs!$D$8^((1-_xlfn.WEIBULL.DIST(BZ$2,$M122,$L122,FALSE))/_xlfn.WEIBULL.DIST(BZ$2,$M122,$L122,FALSE))*$U122*((1+Inputs!$D$7)^BZ$2))),IF($N122=Lists!$K$3,IF($L122&lt;1,((($T122*(1-$F122)+$S122*(1-$G122))/$L122)*((1+Inputs!$D$7)^BZ$2)),((INT(BZ$2/$L122)-INT((BZ$2-1)/$L122))*($T122*(1-$F122)+$S122*(1-$G122))*((1+Inputs!$D$7)^BZ$2))),((Inputs!$D$8^((1-_xlfn.WEIBULL.DIST(BZ$2,$M122,$L122,FALSE))/_xlfn.WEIBULL.DIST(BZ$2,$M122,$L122,FALSE))*($T122*(1-$F122)+$S122*(1-$G122))*((1+Inputs!$D$7)^BZ$2))))))))</f>
        <v>4.0373095190226351</v>
      </c>
      <c r="CA122" s="88">
        <f>MAX(AK122,($E122*IF(CA$2&gt;Inputs!$D$5,0,IF(CA$2&gt;VLOOKUP($H122,Lists!$P$3:$Q$7,2),IF($N122=Lists!$K$3,IF($L122&lt;1,(($U122/$L122)*((1+Inputs!$D$7)^CA$2)),((INT(CA$2/$L122)-INT((CA$2-1)/$L122))*$U122*((1+Inputs!$D$7)^CA$2))),(Inputs!$D$8^((1-_xlfn.WEIBULL.DIST(CA$2,$M122,$L122,FALSE))/_xlfn.WEIBULL.DIST(CA$2,$M122,$L122,FALSE))*$U122*((1+Inputs!$D$7)^CA$2))),IF($N122=Lists!$K$3,IF($L122&lt;1,((($T122*(1-$F122)+$S122*(1-$G122))/$L122)*((1+Inputs!$D$7)^CA$2)),((INT(CA$2/$L122)-INT((CA$2-1)/$L122))*($T122*(1-$F122)+$S122*(1-$G122))*((1+Inputs!$D$7)^CA$2))),((Inputs!$D$8^((1-_xlfn.WEIBULL.DIST(CA$2,$M122,$L122,FALSE))/_xlfn.WEIBULL.DIST(CA$2,$M122,$L122,FALSE))*($T122*(1-$F122)+$S122*(1-$G122))*((1+Inputs!$D$7)^CA$2))))))))</f>
        <v>4.1180557094030874</v>
      </c>
      <c r="CB122" s="88">
        <f>MAX(AL122,($E122*IF(CB$2&gt;Inputs!$D$5,0,IF(CB$2&gt;VLOOKUP($H122,Lists!$P$3:$Q$7,2),IF($N122=Lists!$K$3,IF($L122&lt;1,(($U122/$L122)*((1+Inputs!$D$7)^CB$2)),((INT(CB$2/$L122)-INT((CB$2-1)/$L122))*$U122*((1+Inputs!$D$7)^CB$2))),(Inputs!$D$8^((1-_xlfn.WEIBULL.DIST(CB$2,$M122,$L122,FALSE))/_xlfn.WEIBULL.DIST(CB$2,$M122,$L122,FALSE))*$U122*((1+Inputs!$D$7)^CB$2))),IF($N122=Lists!$K$3,IF($L122&lt;1,((($T122*(1-$F122)+$S122*(1-$G122))/$L122)*((1+Inputs!$D$7)^CB$2)),((INT(CB$2/$L122)-INT((CB$2-1)/$L122))*($T122*(1-$F122)+$S122*(1-$G122))*((1+Inputs!$D$7)^CB$2))),((Inputs!$D$8^((1-_xlfn.WEIBULL.DIST(CB$2,$M122,$L122,FALSE))/_xlfn.WEIBULL.DIST(CB$2,$M122,$L122,FALSE))*($T122*(1-$F122)+$S122*(1-$G122))*((1+Inputs!$D$7)^CB$2))))))))</f>
        <v>4.2004168235911497</v>
      </c>
      <c r="CC122" s="88">
        <f>MAX(AM122,($E122*IF(CC$2&gt;Inputs!$D$5,0,IF(CC$2&gt;VLOOKUP($H122,Lists!$P$3:$Q$7,2),IF($N122=Lists!$K$3,IF($L122&lt;1,(($U122/$L122)*((1+Inputs!$D$7)^CC$2)),((INT(CC$2/$L122)-INT((CC$2-1)/$L122))*$U122*((1+Inputs!$D$7)^CC$2))),(Inputs!$D$8^((1-_xlfn.WEIBULL.DIST(CC$2,$M122,$L122,FALSE))/_xlfn.WEIBULL.DIST(CC$2,$M122,$L122,FALSE))*$U122*((1+Inputs!$D$7)^CC$2))),IF($N122=Lists!$K$3,IF($L122&lt;1,((($T122*(1-$F122)+$S122*(1-$G122))/$L122)*((1+Inputs!$D$7)^CC$2)),((INT(CC$2/$L122)-INT((CC$2-1)/$L122))*($T122*(1-$F122)+$S122*(1-$G122))*((1+Inputs!$D$7)^CC$2))),((Inputs!$D$8^((1-_xlfn.WEIBULL.DIST(CC$2,$M122,$L122,FALSE))/_xlfn.WEIBULL.DIST(CC$2,$M122,$L122,FALSE))*($T122*(1-$F122)+$S122*(1-$G122))*((1+Inputs!$D$7)^CC$2))))))))</f>
        <v>4.2844251600629724</v>
      </c>
      <c r="CD122" s="88">
        <f>MAX(AN122,($E122*IF(CD$2&gt;Inputs!$D$5,0,IF(CD$2&gt;VLOOKUP($H122,Lists!$P$3:$Q$7,2),IF($N122=Lists!$K$3,IF($L122&lt;1,(($U122/$L122)*((1+Inputs!$D$7)^CD$2)),((INT(CD$2/$L122)-INT((CD$2-1)/$L122))*$U122*((1+Inputs!$D$7)^CD$2))),(Inputs!$D$8^((1-_xlfn.WEIBULL.DIST(CD$2,$M122,$L122,FALSE))/_xlfn.WEIBULL.DIST(CD$2,$M122,$L122,FALSE))*$U122*((1+Inputs!$D$7)^CD$2))),IF($N122=Lists!$K$3,IF($L122&lt;1,((($T122*(1-$F122)+$S122*(1-$G122))/$L122)*((1+Inputs!$D$7)^CD$2)),((INT(CD$2/$L122)-INT((CD$2-1)/$L122))*($T122*(1-$F122)+$S122*(1-$G122))*((1+Inputs!$D$7)^CD$2))),((Inputs!$D$8^((1-_xlfn.WEIBULL.DIST(CD$2,$M122,$L122,FALSE))/_xlfn.WEIBULL.DIST(CD$2,$M122,$L122,FALSE))*($T122*(1-$F122)+$S122*(1-$G122))*((1+Inputs!$D$7)^CD$2))))))))</f>
        <v>4.3701136632642328</v>
      </c>
      <c r="CE122" s="88">
        <f>MAX(AO122,($E122*IF(CE$2&gt;Inputs!$D$5,0,IF(CE$2&gt;VLOOKUP($H122,Lists!$P$3:$Q$7,2),IF($N122=Lists!$K$3,IF($L122&lt;1,(($U122/$L122)*((1+Inputs!$D$7)^CE$2)),((INT(CE$2/$L122)-INT((CE$2-1)/$L122))*$U122*((1+Inputs!$D$7)^CE$2))),(Inputs!$D$8^((1-_xlfn.WEIBULL.DIST(CE$2,$M122,$L122,FALSE))/_xlfn.WEIBULL.DIST(CE$2,$M122,$L122,FALSE))*$U122*((1+Inputs!$D$7)^CE$2))),IF($N122=Lists!$K$3,IF($L122&lt;1,((($T122*(1-$F122)+$S122*(1-$G122))/$L122)*((1+Inputs!$D$7)^CE$2)),((INT(CE$2/$L122)-INT((CE$2-1)/$L122))*($T122*(1-$F122)+$S122*(1-$G122))*((1+Inputs!$D$7)^CE$2))),((Inputs!$D$8^((1-_xlfn.WEIBULL.DIST(CE$2,$M122,$L122,FALSE))/_xlfn.WEIBULL.DIST(CE$2,$M122,$L122,FALSE))*($T122*(1-$F122)+$S122*(1-$G122))*((1+Inputs!$D$7)^CE$2))))))))</f>
        <v>4.4575159365295161</v>
      </c>
      <c r="CF122" s="88">
        <f>MAX(AP122,($E122*IF(CF$2&gt;Inputs!$D$5,0,IF(CF$2&gt;VLOOKUP($H122,Lists!$P$3:$Q$7,2),IF($N122=Lists!$K$3,IF($L122&lt;1,(($U122/$L122)*((1+Inputs!$D$7)^CF$2)),((INT(CF$2/$L122)-INT((CF$2-1)/$L122))*$U122*((1+Inputs!$D$7)^CF$2))),(Inputs!$D$8^((1-_xlfn.WEIBULL.DIST(CF$2,$M122,$L122,FALSE))/_xlfn.WEIBULL.DIST(CF$2,$M122,$L122,FALSE))*$U122*((1+Inputs!$D$7)^CF$2))),IF($N122=Lists!$K$3,IF($L122&lt;1,((($T122*(1-$F122)+$S122*(1-$G122))/$L122)*((1+Inputs!$D$7)^CF$2)),((INT(CF$2/$L122)-INT((CF$2-1)/$L122))*($T122*(1-$F122)+$S122*(1-$G122))*((1+Inputs!$D$7)^CF$2))),((Inputs!$D$8^((1-_xlfn.WEIBULL.DIST(CF$2,$M122,$L122,FALSE))/_xlfn.WEIBULL.DIST(CF$2,$M122,$L122,FALSE))*($T122*(1-$F122)+$S122*(1-$G122))*((1+Inputs!$D$7)^CF$2))))))))</f>
        <v>4.5466662552601065</v>
      </c>
      <c r="CG122" s="88">
        <f>MAX(AQ122,($E122*IF(CG$2&gt;Inputs!$D$5,0,IF(CG$2&gt;VLOOKUP($H122,Lists!$P$3:$Q$7,2),IF($N122=Lists!$K$3,IF($L122&lt;1,(($U122/$L122)*((1+Inputs!$D$7)^CG$2)),((INT(CG$2/$L122)-INT((CG$2-1)/$L122))*$U122*((1+Inputs!$D$7)^CG$2))),(Inputs!$D$8^((1-_xlfn.WEIBULL.DIST(CG$2,$M122,$L122,FALSE))/_xlfn.WEIBULL.DIST(CG$2,$M122,$L122,FALSE))*$U122*((1+Inputs!$D$7)^CG$2))),IF($N122=Lists!$K$3,IF($L122&lt;1,((($T122*(1-$F122)+$S122*(1-$G122))/$L122)*((1+Inputs!$D$7)^CG$2)),((INT(CG$2/$L122)-INT((CG$2-1)/$L122))*($T122*(1-$F122)+$S122*(1-$G122))*((1+Inputs!$D$7)^CG$2))),((Inputs!$D$8^((1-_xlfn.WEIBULL.DIST(CG$2,$M122,$L122,FALSE))/_xlfn.WEIBULL.DIST(CG$2,$M122,$L122,FALSE))*($T122*(1-$F122)+$S122*(1-$G122))*((1+Inputs!$D$7)^CG$2))))))))</f>
        <v>4.6375995803653094</v>
      </c>
      <c r="CH122" s="88">
        <f>MAX(AR122,($E122*IF(CH$2&gt;Inputs!$D$5,0,IF(CH$2&gt;VLOOKUP($H122,Lists!$P$3:$Q$7,2),IF($N122=Lists!$K$3,IF($L122&lt;1,(($U122/$L122)*((1+Inputs!$D$7)^CH$2)),((INT(CH$2/$L122)-INT((CH$2-1)/$L122))*$U122*((1+Inputs!$D$7)^CH$2))),(Inputs!$D$8^((1-_xlfn.WEIBULL.DIST(CH$2,$M122,$L122,FALSE))/_xlfn.WEIBULL.DIST(CH$2,$M122,$L122,FALSE))*$U122*((1+Inputs!$D$7)^CH$2))),IF($N122=Lists!$K$3,IF($L122&lt;1,((($T122*(1-$F122)+$S122*(1-$G122))/$L122)*((1+Inputs!$D$7)^CH$2)),((INT(CH$2/$L122)-INT((CH$2-1)/$L122))*($T122*(1-$F122)+$S122*(1-$G122))*((1+Inputs!$D$7)^CH$2))),((Inputs!$D$8^((1-_xlfn.WEIBULL.DIST(CH$2,$M122,$L122,FALSE))/_xlfn.WEIBULL.DIST(CH$2,$M122,$L122,FALSE))*($T122*(1-$F122)+$S122*(1-$G122))*((1+Inputs!$D$7)^CH$2))))))))</f>
        <v>4.7303515719726148</v>
      </c>
      <c r="CI122" s="88">
        <f>MAX(AS122,($E122*IF(CI$2&gt;Inputs!$D$5,0,IF(CI$2&gt;VLOOKUP($H122,Lists!$P$3:$Q$7,2),IF($N122=Lists!$K$3,IF($L122&lt;1,(($U122/$L122)*((1+Inputs!$D$7)^CI$2)),((INT(CI$2/$L122)-INT((CI$2-1)/$L122))*$U122*((1+Inputs!$D$7)^CI$2))),(Inputs!$D$8^((1-_xlfn.WEIBULL.DIST(CI$2,$M122,$L122,FALSE))/_xlfn.WEIBULL.DIST(CI$2,$M122,$L122,FALSE))*$U122*((1+Inputs!$D$7)^CI$2))),IF($N122=Lists!$K$3,IF($L122&lt;1,((($T122*(1-$F122)+$S122*(1-$G122))/$L122)*((1+Inputs!$D$7)^CI$2)),((INT(CI$2/$L122)-INT((CI$2-1)/$L122))*($T122*(1-$F122)+$S122*(1-$G122))*((1+Inputs!$D$7)^CI$2))),((Inputs!$D$8^((1-_xlfn.WEIBULL.DIST(CI$2,$M122,$L122,FALSE))/_xlfn.WEIBULL.DIST(CI$2,$M122,$L122,FALSE))*($T122*(1-$F122)+$S122*(1-$G122))*((1+Inputs!$D$7)^CI$2))))))))</f>
        <v>4.8249586034120675</v>
      </c>
      <c r="CJ122" s="88">
        <f>MAX(AT122,($E122*IF(CJ$2&gt;Inputs!$D$5,0,IF(CJ$2&gt;VLOOKUP($H122,Lists!$P$3:$Q$7,2),IF($N122=Lists!$K$3,IF($L122&lt;1,(($U122/$L122)*((1+Inputs!$D$7)^CJ$2)),((INT(CJ$2/$L122)-INT((CJ$2-1)/$L122))*$U122*((1+Inputs!$D$7)^CJ$2))),(Inputs!$D$8^((1-_xlfn.WEIBULL.DIST(CJ$2,$M122,$L122,FALSE))/_xlfn.WEIBULL.DIST(CJ$2,$M122,$L122,FALSE))*$U122*((1+Inputs!$D$7)^CJ$2))),IF($N122=Lists!$K$3,IF($L122&lt;1,((($T122*(1-$F122)+$S122*(1-$G122))/$L122)*((1+Inputs!$D$7)^CJ$2)),((INT(CJ$2/$L122)-INT((CJ$2-1)/$L122))*($T122*(1-$F122)+$S122*(1-$G122))*((1+Inputs!$D$7)^CJ$2))),((Inputs!$D$8^((1-_xlfn.WEIBULL.DIST(CJ$2,$M122,$L122,FALSE))/_xlfn.WEIBULL.DIST(CJ$2,$M122,$L122,FALSE))*($T122*(1-$F122)+$S122*(1-$G122))*((1+Inputs!$D$7)^CJ$2))))))))</f>
        <v>4.9214577754803086</v>
      </c>
      <c r="CK122" s="88">
        <f>MAX(AU122,($E122*IF(CK$2&gt;Inputs!$D$5,0,IF(CK$2&gt;VLOOKUP($H122,Lists!$P$3:$Q$7,2),IF($N122=Lists!$K$3,IF($L122&lt;1,(($U122/$L122)*((1+Inputs!$D$7)^CK$2)),((INT(CK$2/$L122)-INT((CK$2-1)/$L122))*$U122*((1+Inputs!$D$7)^CK$2))),(Inputs!$D$8^((1-_xlfn.WEIBULL.DIST(CK$2,$M122,$L122,FALSE))/_xlfn.WEIBULL.DIST(CK$2,$M122,$L122,FALSE))*$U122*((1+Inputs!$D$7)^CK$2))),IF($N122=Lists!$K$3,IF($L122&lt;1,((($T122*(1-$F122)+$S122*(1-$G122))/$L122)*((1+Inputs!$D$7)^CK$2)),((INT(CK$2/$L122)-INT((CK$2-1)/$L122))*($T122*(1-$F122)+$S122*(1-$G122))*((1+Inputs!$D$7)^CK$2))),((Inputs!$D$8^((1-_xlfn.WEIBULL.DIST(CK$2,$M122,$L122,FALSE))/_xlfn.WEIBULL.DIST(CK$2,$M122,$L122,FALSE))*($T122*(1-$F122)+$S122*(1-$G122))*((1+Inputs!$D$7)^CK$2))))))))</f>
        <v>5.019886930989915</v>
      </c>
      <c r="CL122" s="88">
        <f>MAX(AV122,($E122*IF(CL$2&gt;Inputs!$D$5,0,IF(CL$2&gt;VLOOKUP($H122,Lists!$P$3:$Q$7,2),IF($N122=Lists!$K$3,IF($L122&lt;1,(($U122/$L122)*((1+Inputs!$D$7)^CL$2)),((INT(CL$2/$L122)-INT((CL$2-1)/$L122))*$U122*((1+Inputs!$D$7)^CL$2))),(Inputs!$D$8^((1-_xlfn.WEIBULL.DIST(CL$2,$M122,$L122,FALSE))/_xlfn.WEIBULL.DIST(CL$2,$M122,$L122,FALSE))*$U122*((1+Inputs!$D$7)^CL$2))),IF($N122=Lists!$K$3,IF($L122&lt;1,((($T122*(1-$F122)+$S122*(1-$G122))/$L122)*((1+Inputs!$D$7)^CL$2)),((INT(CL$2/$L122)-INT((CL$2-1)/$L122))*($T122*(1-$F122)+$S122*(1-$G122))*((1+Inputs!$D$7)^CL$2))),((Inputs!$D$8^((1-_xlfn.WEIBULL.DIST(CL$2,$M122,$L122,FALSE))/_xlfn.WEIBULL.DIST(CL$2,$M122,$L122,FALSE))*($T122*(1-$F122)+$S122*(1-$G122))*((1+Inputs!$D$7)^CL$2))))))))</f>
        <v>5.1202846696097133</v>
      </c>
      <c r="CM122" s="88">
        <f>MAX(AW122,($E122*IF(CM$2&gt;Inputs!$D$5,0,IF(CM$2&gt;VLOOKUP($H122,Lists!$P$3:$Q$7,2),IF($N122=Lists!$K$3,IF($L122&lt;1,(($U122/$L122)*((1+Inputs!$D$7)^CM$2)),((INT(CM$2/$L122)-INT((CM$2-1)/$L122))*$U122*((1+Inputs!$D$7)^CM$2))),(Inputs!$D$8^((1-_xlfn.WEIBULL.DIST(CM$2,$M122,$L122,FALSE))/_xlfn.WEIBULL.DIST(CM$2,$M122,$L122,FALSE))*$U122*((1+Inputs!$D$7)^CM$2))),IF($N122=Lists!$K$3,IF($L122&lt;1,((($T122*(1-$F122)+$S122*(1-$G122))/$L122)*((1+Inputs!$D$7)^CM$2)),((INT(CM$2/$L122)-INT((CM$2-1)/$L122))*($T122*(1-$F122)+$S122*(1-$G122))*((1+Inputs!$D$7)^CM$2))),((Inputs!$D$8^((1-_xlfn.WEIBULL.DIST(CM$2,$M122,$L122,FALSE))/_xlfn.WEIBULL.DIST(CM$2,$M122,$L122,FALSE))*($T122*(1-$F122)+$S122*(1-$G122))*((1+Inputs!$D$7)^CM$2))))))))</f>
        <v>5.2226903630019068</v>
      </c>
      <c r="CN122" s="88">
        <f>MAX(AX122,($E122*IF(CN$2&gt;Inputs!$D$5,0,IF(CN$2&gt;VLOOKUP($H122,Lists!$P$3:$Q$7,2),IF($N122=Lists!$K$3,IF($L122&lt;1,(($U122/$L122)*((1+Inputs!$D$7)^CN$2)),((INT(CN$2/$L122)-INT((CN$2-1)/$L122))*$U122*((1+Inputs!$D$7)^CN$2))),(Inputs!$D$8^((1-_xlfn.WEIBULL.DIST(CN$2,$M122,$L122,FALSE))/_xlfn.WEIBULL.DIST(CN$2,$M122,$L122,FALSE))*$U122*((1+Inputs!$D$7)^CN$2))),IF($N122=Lists!$K$3,IF($L122&lt;1,((($T122*(1-$F122)+$S122*(1-$G122))/$L122)*((1+Inputs!$D$7)^CN$2)),((INT(CN$2/$L122)-INT((CN$2-1)/$L122))*($T122*(1-$F122)+$S122*(1-$G122))*((1+Inputs!$D$7)^CN$2))),((Inputs!$D$8^((1-_xlfn.WEIBULL.DIST(CN$2,$M122,$L122,FALSE))/_xlfn.WEIBULL.DIST(CN$2,$M122,$L122,FALSE))*($T122*(1-$F122)+$S122*(1-$G122))*((1+Inputs!$D$7)^CN$2))))))))</f>
        <v>5.3271441702619446</v>
      </c>
      <c r="CO122" s="88">
        <f>MAX(AY122,($E122*IF(CO$2&gt;Inputs!$D$5,0,IF(CO$2&gt;VLOOKUP($H122,Lists!$P$3:$Q$7,2),IF($N122=Lists!$K$3,IF($L122&lt;1,(($U122/$L122)*((1+Inputs!$D$7)^CO$2)),((INT(CO$2/$L122)-INT((CO$2-1)/$L122))*$U122*((1+Inputs!$D$7)^CO$2))),(Inputs!$D$8^((1-_xlfn.WEIBULL.DIST(CO$2,$M122,$L122,FALSE))/_xlfn.WEIBULL.DIST(CO$2,$M122,$L122,FALSE))*$U122*((1+Inputs!$D$7)^CO$2))),IF($N122=Lists!$K$3,IF($L122&lt;1,((($T122*(1-$F122)+$S122*(1-$G122))/$L122)*((1+Inputs!$D$7)^CO$2)),((INT(CO$2/$L122)-INT((CO$2-1)/$L122))*($T122*(1-$F122)+$S122*(1-$G122))*((1+Inputs!$D$7)^CO$2))),((Inputs!$D$8^((1-_xlfn.WEIBULL.DIST(CO$2,$M122,$L122,FALSE))/_xlfn.WEIBULL.DIST(CO$2,$M122,$L122,FALSE))*($T122*(1-$F122)+$S122*(1-$G122))*((1+Inputs!$D$7)^CO$2))))))))</f>
        <v>5.4336870536671844</v>
      </c>
      <c r="CP122" s="88">
        <f>MAX(AZ122,($E122*IF(CP$2&gt;Inputs!$D$5,0,IF(CP$2&gt;VLOOKUP($H122,Lists!$P$3:$Q$7,2),IF($N122=Lists!$K$3,IF($L122&lt;1,(($U122/$L122)*((1+Inputs!$D$7)^CP$2)),((INT(CP$2/$L122)-INT((CP$2-1)/$L122))*$U122*((1+Inputs!$D$7)^CP$2))),(Inputs!$D$8^((1-_xlfn.WEIBULL.DIST(CP$2,$M122,$L122,FALSE))/_xlfn.WEIBULL.DIST(CP$2,$M122,$L122,FALSE))*$U122*((1+Inputs!$D$7)^CP$2))),IF($N122=Lists!$K$3,IF($L122&lt;1,((($T122*(1-$F122)+$S122*(1-$G122))/$L122)*((1+Inputs!$D$7)^CP$2)),((INT(CP$2/$L122)-INT((CP$2-1)/$L122))*($T122*(1-$F122)+$S122*(1-$G122))*((1+Inputs!$D$7)^CP$2))),((Inputs!$D$8^((1-_xlfn.WEIBULL.DIST(CP$2,$M122,$L122,FALSE))/_xlfn.WEIBULL.DIST(CP$2,$M122,$L122,FALSE))*($T122*(1-$F122)+$S122*(1-$G122))*((1+Inputs!$D$7)^CP$2))))))))</f>
        <v>0</v>
      </c>
      <c r="CQ122" s="88">
        <f>MAX(BA122,($E122*IF(CQ$2&gt;Inputs!$D$5,0,IF(CQ$2&gt;VLOOKUP($H122,Lists!$P$3:$Q$7,2),IF($N122=Lists!$K$3,IF($L122&lt;1,(($U122/$L122)*((1+Inputs!$D$7)^CQ$2)),((INT(CQ$2/$L122)-INT((CQ$2-1)/$L122))*$U122*((1+Inputs!$D$7)^CQ$2))),(Inputs!$D$8^((1-_xlfn.WEIBULL.DIST(CQ$2,$M122,$L122,FALSE))/_xlfn.WEIBULL.DIST(CQ$2,$M122,$L122,FALSE))*$U122*((1+Inputs!$D$7)^CQ$2))),IF($N122=Lists!$K$3,IF($L122&lt;1,((($T122*(1-$F122)+$S122*(1-$G122))/$L122)*((1+Inputs!$D$7)^CQ$2)),((INT(CQ$2/$L122)-INT((CQ$2-1)/$L122))*($T122*(1-$F122)+$S122*(1-$G122))*((1+Inputs!$D$7)^CQ$2))),((Inputs!$D$8^((1-_xlfn.WEIBULL.DIST(CQ$2,$M122,$L122,FALSE))/_xlfn.WEIBULL.DIST(CQ$2,$M122,$L122,FALSE))*($T122*(1-$F122)+$S122*(1-$G122))*((1+Inputs!$D$7)^CQ$2))))))))</f>
        <v>0</v>
      </c>
      <c r="CR122" s="88">
        <f>MAX(BB122,($E122*IF(CR$2&gt;Inputs!$D$5,0,IF(CR$2&gt;VLOOKUP($H122,Lists!$P$3:$Q$7,2),IF($N122=Lists!$K$3,IF($L122&lt;1,(($U122/$L122)*((1+Inputs!$D$7)^CR$2)),((INT(CR$2/$L122)-INT((CR$2-1)/$L122))*$U122*((1+Inputs!$D$7)^CR$2))),(Inputs!$D$8^((1-_xlfn.WEIBULL.DIST(CR$2,$M122,$L122,FALSE))/_xlfn.WEIBULL.DIST(CR$2,$M122,$L122,FALSE))*$U122*((1+Inputs!$D$7)^CR$2))),IF($N122=Lists!$K$3,IF($L122&lt;1,((($T122*(1-$F122)+$S122*(1-$G122))/$L122)*((1+Inputs!$D$7)^CR$2)),((INT(CR$2/$L122)-INT((CR$2-1)/$L122))*($T122*(1-$F122)+$S122*(1-$G122))*((1+Inputs!$D$7)^CR$2))),((Inputs!$D$8^((1-_xlfn.WEIBULL.DIST(CR$2,$M122,$L122,FALSE))/_xlfn.WEIBULL.DIST(CR$2,$M122,$L122,FALSE))*($T122*(1-$F122)+$S122*(1-$G122))*((1+Inputs!$D$7)^CR$2))))))))</f>
        <v>0</v>
      </c>
      <c r="CS122" s="88">
        <f>MAX(BC122,($E122*IF(CS$2&gt;Inputs!$D$5,0,IF(CS$2&gt;VLOOKUP($H122,Lists!$P$3:$Q$7,2),IF($N122=Lists!$K$3,IF($L122&lt;1,(($U122/$L122)*((1+Inputs!$D$7)^CS$2)),((INT(CS$2/$L122)-INT((CS$2-1)/$L122))*$U122*((1+Inputs!$D$7)^CS$2))),(Inputs!$D$8^((1-_xlfn.WEIBULL.DIST(CS$2,$M122,$L122,FALSE))/_xlfn.WEIBULL.DIST(CS$2,$M122,$L122,FALSE))*$U122*((1+Inputs!$D$7)^CS$2))),IF($N122=Lists!$K$3,IF($L122&lt;1,((($T122*(1-$F122)+$S122*(1-$G122))/$L122)*((1+Inputs!$D$7)^CS$2)),((INT(CS$2/$L122)-INT((CS$2-1)/$L122))*($T122*(1-$F122)+$S122*(1-$G122))*((1+Inputs!$D$7)^CS$2))),((Inputs!$D$8^((1-_xlfn.WEIBULL.DIST(CS$2,$M122,$L122,FALSE))/_xlfn.WEIBULL.DIST(CS$2,$M122,$L122,FALSE))*($T122*(1-$F122)+$S122*(1-$G122))*((1+Inputs!$D$7)^CS$2))))))))</f>
        <v>0</v>
      </c>
      <c r="CT122" s="88">
        <f>MAX(BD122,($E122*IF(CT$2&gt;Inputs!$D$5,0,IF(CT$2&gt;VLOOKUP($H122,Lists!$P$3:$Q$7,2),IF($N122=Lists!$K$3,IF($L122&lt;1,(($U122/$L122)*((1+Inputs!$D$7)^CT$2)),((INT(CT$2/$L122)-INT((CT$2-1)/$L122))*$U122*((1+Inputs!$D$7)^CT$2))),(Inputs!$D$8^((1-_xlfn.WEIBULL.DIST(CT$2,$M122,$L122,FALSE))/_xlfn.WEIBULL.DIST(CT$2,$M122,$L122,FALSE))*$U122*((1+Inputs!$D$7)^CT$2))),IF($N122=Lists!$K$3,IF($L122&lt;1,((($T122*(1-$F122)+$S122*(1-$G122))/$L122)*((1+Inputs!$D$7)^CT$2)),((INT(CT$2/$L122)-INT((CT$2-1)/$L122))*($T122*(1-$F122)+$S122*(1-$G122))*((1+Inputs!$D$7)^CT$2))),((Inputs!$D$8^((1-_xlfn.WEIBULL.DIST(CT$2,$M122,$L122,FALSE))/_xlfn.WEIBULL.DIST(CT$2,$M122,$L122,FALSE))*($T122*(1-$F122)+$S122*(1-$G122))*((1+Inputs!$D$7)^CT$2))))))))</f>
        <v>0</v>
      </c>
      <c r="CU122" s="88">
        <f>MAX(BE122,($E122*IF(CU$2&gt;Inputs!$D$5,0,IF(CU$2&gt;VLOOKUP($H122,Lists!$P$3:$Q$7,2),IF($N122=Lists!$K$3,IF($L122&lt;1,(($U122/$L122)*((1+Inputs!$D$7)^CU$2)),((INT(CU$2/$L122)-INT((CU$2-1)/$L122))*$U122*((1+Inputs!$D$7)^CU$2))),(Inputs!$D$8^((1-_xlfn.WEIBULL.DIST(CU$2,$M122,$L122,FALSE))/_xlfn.WEIBULL.DIST(CU$2,$M122,$L122,FALSE))*$U122*((1+Inputs!$D$7)^CU$2))),IF($N122=Lists!$K$3,IF($L122&lt;1,((($T122*(1-$F122)+$S122*(1-$G122))/$L122)*((1+Inputs!$D$7)^CU$2)),((INT(CU$2/$L122)-INT((CU$2-1)/$L122))*($T122*(1-$F122)+$S122*(1-$G122))*((1+Inputs!$D$7)^CU$2))),((Inputs!$D$8^((1-_xlfn.WEIBULL.DIST(CU$2,$M122,$L122,FALSE))/_xlfn.WEIBULL.DIST(CU$2,$M122,$L122,FALSE))*($T122*(1-$F122)+$S122*(1-$G122))*((1+Inputs!$D$7)^CU$2))))))))</f>
        <v>0</v>
      </c>
      <c r="CV122" s="88">
        <f>MAX(BF122,($E122*IF(CV$2&gt;Inputs!$D$5,0,IF(CV$2&gt;VLOOKUP($H122,Lists!$P$3:$Q$7,2),IF($N122=Lists!$K$3,IF($L122&lt;1,(($U122/$L122)*((1+Inputs!$D$7)^CV$2)),((INT(CV$2/$L122)-INT((CV$2-1)/$L122))*$U122*((1+Inputs!$D$7)^CV$2))),(Inputs!$D$8^((1-_xlfn.WEIBULL.DIST(CV$2,$M122,$L122,FALSE))/_xlfn.WEIBULL.DIST(CV$2,$M122,$L122,FALSE))*$U122*((1+Inputs!$D$7)^CV$2))),IF($N122=Lists!$K$3,IF($L122&lt;1,((($T122*(1-$F122)+$S122*(1-$G122))/$L122)*((1+Inputs!$D$7)^CV$2)),((INT(CV$2/$L122)-INT((CV$2-1)/$L122))*($T122*(1-$F122)+$S122*(1-$G122))*((1+Inputs!$D$7)^CV$2))),((Inputs!$D$8^((1-_xlfn.WEIBULL.DIST(CV$2,$M122,$L122,FALSE))/_xlfn.WEIBULL.DIST(CV$2,$M122,$L122,FALSE))*($T122*(1-$F122)+$S122*(1-$G122))*((1+Inputs!$D$7)^CV$2))))))))</f>
        <v>0</v>
      </c>
      <c r="CW122" s="88">
        <f>MAX(BG122,($E122*IF(CW$2&gt;Inputs!$D$5,0,IF(CW$2&gt;VLOOKUP($H122,Lists!$P$3:$Q$7,2),IF($N122=Lists!$K$3,IF($L122&lt;1,(($U122/$L122)*((1+Inputs!$D$7)^CW$2)),((INT(CW$2/$L122)-INT((CW$2-1)/$L122))*$U122*((1+Inputs!$D$7)^CW$2))),(Inputs!$D$8^((1-_xlfn.WEIBULL.DIST(CW$2,$M122,$L122,FALSE))/_xlfn.WEIBULL.DIST(CW$2,$M122,$L122,FALSE))*$U122*((1+Inputs!$D$7)^CW$2))),IF($N122=Lists!$K$3,IF($L122&lt;1,((($T122*(1-$F122)+$S122*(1-$G122))/$L122)*((1+Inputs!$D$7)^CW$2)),((INT(CW$2/$L122)-INT((CW$2-1)/$L122))*($T122*(1-$F122)+$S122*(1-$G122))*((1+Inputs!$D$7)^CW$2))),((Inputs!$D$8^((1-_xlfn.WEIBULL.DIST(CW$2,$M122,$L122,FALSE))/_xlfn.WEIBULL.DIST(CW$2,$M122,$L122,FALSE))*($T122*(1-$F122)+$S122*(1-$G122))*((1+Inputs!$D$7)^CW$2))))))))</f>
        <v>0</v>
      </c>
      <c r="CX122" s="88">
        <f>MAX(BH122,($E122*IF(CX$2&gt;Inputs!$D$5,0,IF(CX$2&gt;VLOOKUP($H122,Lists!$P$3:$Q$7,2),IF($N122=Lists!$K$3,IF($L122&lt;1,(($U122/$L122)*((1+Inputs!$D$7)^CX$2)),((INT(CX$2/$L122)-INT((CX$2-1)/$L122))*$U122*((1+Inputs!$D$7)^CX$2))),(Inputs!$D$8^((1-_xlfn.WEIBULL.DIST(CX$2,$M122,$L122,FALSE))/_xlfn.WEIBULL.DIST(CX$2,$M122,$L122,FALSE))*$U122*((1+Inputs!$D$7)^CX$2))),IF($N122=Lists!$K$3,IF($L122&lt;1,((($T122*(1-$F122)+$S122*(1-$G122))/$L122)*((1+Inputs!$D$7)^CX$2)),((INT(CX$2/$L122)-INT((CX$2-1)/$L122))*($T122*(1-$F122)+$S122*(1-$G122))*((1+Inputs!$D$7)^CX$2))),((Inputs!$D$8^((1-_xlfn.WEIBULL.DIST(CX$2,$M122,$L122,FALSE))/_xlfn.WEIBULL.DIST(CX$2,$M122,$L122,FALSE))*($T122*(1-$F122)+$S122*(1-$G122))*((1+Inputs!$D$7)^CX$2))))))))</f>
        <v>0</v>
      </c>
      <c r="CY122" s="88">
        <f>MAX(BI122,($E122*IF(CY$2&gt;Inputs!$D$5,0,IF(CY$2&gt;VLOOKUP($H122,Lists!$P$3:$Q$7,2),IF($N122=Lists!$K$3,IF($L122&lt;1,(($U122/$L122)*((1+Inputs!$D$7)^CY$2)),((INT(CY$2/$L122)-INT((CY$2-1)/$L122))*$U122*((1+Inputs!$D$7)^CY$2))),(Inputs!$D$8^((1-_xlfn.WEIBULL.DIST(CY$2,$M122,$L122,FALSE))/_xlfn.WEIBULL.DIST(CY$2,$M122,$L122,FALSE))*$U122*((1+Inputs!$D$7)^CY$2))),IF($N122=Lists!$K$3,IF($L122&lt;1,((($T122*(1-$F122)+$S122*(1-$G122))/$L122)*((1+Inputs!$D$7)^CY$2)),((INT(CY$2/$L122)-INT((CY$2-1)/$L122))*($T122*(1-$F122)+$S122*(1-$G122))*((1+Inputs!$D$7)^CY$2))),((Inputs!$D$8^((1-_xlfn.WEIBULL.DIST(CY$2,$M122,$L122,FALSE))/_xlfn.WEIBULL.DIST(CY$2,$M122,$L122,FALSE))*($T122*(1-$F122)+$S122*(1-$G122))*((1+Inputs!$D$7)^CY$2))))))))</f>
        <v>0</v>
      </c>
      <c r="CZ122" s="88">
        <f>MAX(BJ122,($E122*IF(CZ$2&gt;Inputs!$D$5,0,IF(CZ$2&gt;VLOOKUP($H122,Lists!$P$3:$Q$7,2),IF($N122=Lists!$K$3,IF($L122&lt;1,(($U122/$L122)*((1+Inputs!$D$7)^CZ$2)),((INT(CZ$2/$L122)-INT((CZ$2-1)/$L122))*$U122*((1+Inputs!$D$7)^CZ$2))),(Inputs!$D$8^((1-_xlfn.WEIBULL.DIST(CZ$2,$M122,$L122,FALSE))/_xlfn.WEIBULL.DIST(CZ$2,$M122,$L122,FALSE))*$U122*((1+Inputs!$D$7)^CZ$2))),IF($N122=Lists!$K$3,IF($L122&lt;1,((($T122*(1-$F122)+$S122*(1-$G122))/$L122)*((1+Inputs!$D$7)^CZ$2)),((INT(CZ$2/$L122)-INT((CZ$2-1)/$L122))*($T122*(1-$F122)+$S122*(1-$G122))*((1+Inputs!$D$7)^CZ$2))),((Inputs!$D$8^((1-_xlfn.WEIBULL.DIST(CZ$2,$M122,$L122,FALSE))/_xlfn.WEIBULL.DIST(CZ$2,$M122,$L122,FALSE))*($T122*(1-$F122)+$S122*(1-$G122))*((1+Inputs!$D$7)^CZ$2))))))))</f>
        <v>0</v>
      </c>
      <c r="DA122" s="88">
        <f>MAX(BK122,($E122*IF(DA$2&gt;Inputs!$D$5,0,IF(DA$2&gt;VLOOKUP($H122,Lists!$P$3:$Q$7,2),IF($N122=Lists!$K$3,IF($L122&lt;1,(($U122/$L122)*((1+Inputs!$D$7)^DA$2)),((INT(DA$2/$L122)-INT((DA$2-1)/$L122))*$U122*((1+Inputs!$D$7)^DA$2))),(Inputs!$D$8^((1-_xlfn.WEIBULL.DIST(DA$2,$M122,$L122,FALSE))/_xlfn.WEIBULL.DIST(DA$2,$M122,$L122,FALSE))*$U122*((1+Inputs!$D$7)^DA$2))),IF($N122=Lists!$K$3,IF($L122&lt;1,((($T122*(1-$F122)+$S122*(1-$G122))/$L122)*((1+Inputs!$D$7)^DA$2)),((INT(DA$2/$L122)-INT((DA$2-1)/$L122))*($T122*(1-$F122)+$S122*(1-$G122))*((1+Inputs!$D$7)^DA$2))),((Inputs!$D$8^((1-_xlfn.WEIBULL.DIST(DA$2,$M122,$L122,FALSE))/_xlfn.WEIBULL.DIST(DA$2,$M122,$L122,FALSE))*($T122*(1-$F122)+$S122*(1-$G122))*((1+Inputs!$D$7)^DA$2))))))))</f>
        <v>0</v>
      </c>
      <c r="DB122" s="88">
        <f>MAX(BL122,($E122*IF(DB$2&gt;Inputs!$D$5,0,IF(DB$2&gt;VLOOKUP($H122,Lists!$P$3:$Q$7,2),IF($N122=Lists!$K$3,IF($L122&lt;1,(($U122/$L122)*((1+Inputs!$D$7)^DB$2)),((INT(DB$2/$L122)-INT((DB$2-1)/$L122))*$U122*((1+Inputs!$D$7)^DB$2))),(Inputs!$D$8^((1-_xlfn.WEIBULL.DIST(DB$2,$M122,$L122,FALSE))/_xlfn.WEIBULL.DIST(DB$2,$M122,$L122,FALSE))*$U122*((1+Inputs!$D$7)^DB$2))),IF($N122=Lists!$K$3,IF($L122&lt;1,((($T122*(1-$F122)+$S122*(1-$G122))/$L122)*((1+Inputs!$D$7)^DB$2)),((INT(DB$2/$L122)-INT((DB$2-1)/$L122))*($T122*(1-$F122)+$S122*(1-$G122))*((1+Inputs!$D$7)^DB$2))),((Inputs!$D$8^((1-_xlfn.WEIBULL.DIST(DB$2,$M122,$L122,FALSE))/_xlfn.WEIBULL.DIST(DB$2,$M122,$L122,FALSE))*($T122*(1-$F122)+$S122*(1-$G122))*((1+Inputs!$D$7)^DB$2))))))))</f>
        <v>0</v>
      </c>
      <c r="DC122" s="88">
        <f>MAX(BM122,($E122*IF(DC$2&gt;Inputs!$D$5,0,IF(DC$2&gt;VLOOKUP($H122,Lists!$P$3:$Q$7,2),IF($N122=Lists!$K$3,IF($L122&lt;1,(($U122/$L122)*((1+Inputs!$D$7)^DC$2)),((INT(DC$2/$L122)-INT((DC$2-1)/$L122))*$U122*((1+Inputs!$D$7)^DC$2))),(Inputs!$D$8^((1-_xlfn.WEIBULL.DIST(DC$2,$M122,$L122,FALSE))/_xlfn.WEIBULL.DIST(DC$2,$M122,$L122,FALSE))*$U122*((1+Inputs!$D$7)^DC$2))),IF($N122=Lists!$K$3,IF($L122&lt;1,((($T122*(1-$F122)+$S122*(1-$G122))/$L122)*((1+Inputs!$D$7)^DC$2)),((INT(DC$2/$L122)-INT((DC$2-1)/$L122))*($T122*(1-$F122)+$S122*(1-$G122))*((1+Inputs!$D$7)^DC$2))),((Inputs!$D$8^((1-_xlfn.WEIBULL.DIST(DC$2,$M122,$L122,FALSE))/_xlfn.WEIBULL.DIST(DC$2,$M122,$L122,FALSE))*($T122*(1-$F122)+$S122*(1-$G122))*((1+Inputs!$D$7)^DC$2))))))))</f>
        <v>0</v>
      </c>
      <c r="DD122" s="88">
        <f>MAX(BN122,($E122*IF(DD$2&gt;Inputs!$D$5,0,IF(DD$2&gt;VLOOKUP($H122,Lists!$P$3:$Q$7,2),IF($N122=Lists!$K$3,IF($L122&lt;1,(($U122/$L122)*((1+Inputs!$D$7)^DD$2)),((INT(DD$2/$L122)-INT((DD$2-1)/$L122))*$U122*((1+Inputs!$D$7)^DD$2))),(Inputs!$D$8^((1-_xlfn.WEIBULL.DIST(DD$2,$M122,$L122,FALSE))/_xlfn.WEIBULL.DIST(DD$2,$M122,$L122,FALSE))*$U122*((1+Inputs!$D$7)^DD$2))),IF($N122=Lists!$K$3,IF($L122&lt;1,((($T122*(1-$F122)+$S122*(1-$G122))/$L122)*((1+Inputs!$D$7)^DD$2)),((INT(DD$2/$L122)-INT((DD$2-1)/$L122))*($T122*(1-$F122)+$S122*(1-$G122))*((1+Inputs!$D$7)^DD$2))),((Inputs!$D$8^((1-_xlfn.WEIBULL.DIST(DD$2,$M122,$L122,FALSE))/_xlfn.WEIBULL.DIST(DD$2,$M122,$L122,FALSE))*($T122*(1-$F122)+$S122*(1-$G122))*((1+Inputs!$D$7)^DD$2))))))))</f>
        <v>0</v>
      </c>
    </row>
    <row r="123" spans="1:108" ht="16">
      <c r="A123" s="127" t="s">
        <v>27</v>
      </c>
      <c r="B123" s="127" t="s">
        <v>279</v>
      </c>
      <c r="C123" s="127" t="s">
        <v>90</v>
      </c>
      <c r="D123" s="127" t="s">
        <v>37</v>
      </c>
      <c r="E123" s="130">
        <f>IF(Inputs!$D$54=Lists!$AA$3,0,1)</f>
        <v>1</v>
      </c>
      <c r="F123" s="131">
        <v>0</v>
      </c>
      <c r="G123" s="131">
        <v>0</v>
      </c>
      <c r="H123" s="133" t="s">
        <v>350</v>
      </c>
      <c r="I123" s="135" t="s">
        <v>28</v>
      </c>
      <c r="J123" s="14" t="s">
        <v>246</v>
      </c>
      <c r="K123" s="13">
        <f>VLOOKUP(J123,'Labor Rates'!$A$1:$F$16,2)</f>
        <v>33.119999999999997</v>
      </c>
      <c r="L123" s="136">
        <v>1</v>
      </c>
      <c r="M123" s="136">
        <v>1</v>
      </c>
      <c r="N123" s="127" t="s">
        <v>236</v>
      </c>
      <c r="O123" s="138">
        <f>((Inputs!$D$55-1)*Inputs!$D$56)*2</f>
        <v>307.3770491803279</v>
      </c>
      <c r="P123" s="136">
        <f>0.5/60</f>
        <v>8.3333333333333332E-3</v>
      </c>
      <c r="Q123" s="15">
        <f t="shared" si="21"/>
        <v>2.5614754098360657</v>
      </c>
      <c r="R123" s="140">
        <v>0</v>
      </c>
      <c r="S123" s="53">
        <f t="shared" si="22"/>
        <v>84.836065573770483</v>
      </c>
      <c r="T123" s="53">
        <f t="shared" si="23"/>
        <v>0</v>
      </c>
      <c r="U123" s="54">
        <f t="shared" si="24"/>
        <v>84.836065573770483</v>
      </c>
      <c r="V123" s="65"/>
      <c r="W123" s="58"/>
      <c r="X123" s="64">
        <f t="shared" si="25"/>
        <v>105.12595613408783</v>
      </c>
      <c r="Y123" s="64">
        <f>NPV(Inputs!$D$6,AA123:BN123)</f>
        <v>1207.5125932569413</v>
      </c>
      <c r="Z123" s="67">
        <f t="shared" si="26"/>
        <v>5.6952189059960277E-4</v>
      </c>
      <c r="AA123" s="88">
        <f>$E123*IF(AA$2&gt;Inputs!$D$5,0,IF(AA$2&gt;VLOOKUP($H123,Lists!$P$3:$Q$7,2),IF($N123=Lists!$K$3,IF($L123&lt;1,(($U123/$L123)*((1+Inputs!$D$7)^AA$2)),((INT(AA$2/$L123)-INT((AA$2-1)/$L123))*$U123*((1+Inputs!$D$7)^AA$2))),(_xlfn.WEIBULL.DIST(AA$2,$M123,$L123,FALSE)*$U123*((1+Inputs!$D$7)^AA$2))),IF($N123=Lists!$K$3,IF($L123&lt;1,((($T123*(1-$F123)+$S123*(1-$G123))/$L123)*((1+Inputs!$D$7)^AA$2)),((INT(AA$2/$L123)-INT((AA$2-1)/$L123))*($T123*(1-$F123)+$S123*(1-$G123))*((1+Inputs!$D$7)^AA$2))),((_xlfn.WEIBULL.DIST(AA$2,$M123,$L123,FALSE)*($T123*(1-$F123)+$S123*(1-$G123))*((1+Inputs!$D$7)^AA$2))))))</f>
        <v>86.532786885245898</v>
      </c>
      <c r="AB123" s="88">
        <f>$E123*IF(AB$2&gt;Inputs!$D$5,0,IF(AB$2&gt;VLOOKUP($H123,Lists!$P$3:$Q$7,2),IF($N123=Lists!$K$3,IF($L123&lt;1,(($U123/$L123)*((1+Inputs!$D$7)^AB$2)),((INT(AB$2/$L123)-INT((AB$2-1)/$L123))*$U123*((1+Inputs!$D$7)^AB$2))),(_xlfn.WEIBULL.DIST(AB$2,$M123,$L123,FALSE)*$U123*((1+Inputs!$D$7)^AB$2))),IF($N123=Lists!$K$3,IF($L123&lt;1,((($T123*(1-$F123)+$S123*(1-$G123))/$L123)*((1+Inputs!$D$7)^AB$2)),((INT(AB$2/$L123)-INT((AB$2-1)/$L123))*($T123*(1-$F123)+$S123*(1-$G123))*((1+Inputs!$D$7)^AB$2))),((_xlfn.WEIBULL.DIST(AB$2,$M123,$L123,FALSE)*($T123*(1-$F123)+$S123*(1-$G123))*((1+Inputs!$D$7)^AB$2))))))</f>
        <v>88.263442622950805</v>
      </c>
      <c r="AC123" s="88">
        <f>$E123*IF(AC$2&gt;Inputs!$D$5,0,IF(AC$2&gt;VLOOKUP($H123,Lists!$P$3:$Q$7,2),IF($N123=Lists!$K$3,IF($L123&lt;1,(($U123/$L123)*((1+Inputs!$D$7)^AC$2)),((INT(AC$2/$L123)-INT((AC$2-1)/$L123))*$U123*((1+Inputs!$D$7)^AC$2))),(_xlfn.WEIBULL.DIST(AC$2,$M123,$L123,FALSE)*$U123*((1+Inputs!$D$7)^AC$2))),IF($N123=Lists!$K$3,IF($L123&lt;1,((($T123*(1-$F123)+$S123*(1-$G123))/$L123)*((1+Inputs!$D$7)^AC$2)),((INT(AC$2/$L123)-INT((AC$2-1)/$L123))*($T123*(1-$F123)+$S123*(1-$G123))*((1+Inputs!$D$7)^AC$2))),((_xlfn.WEIBULL.DIST(AC$2,$M123,$L123,FALSE)*($T123*(1-$F123)+$S123*(1-$G123))*((1+Inputs!$D$7)^AC$2))))))</f>
        <v>90.028711475409821</v>
      </c>
      <c r="AD123" s="88">
        <f>$E123*IF(AD$2&gt;Inputs!$D$5,0,IF(AD$2&gt;VLOOKUP($H123,Lists!$P$3:$Q$7,2),IF($N123=Lists!$K$3,IF($L123&lt;1,(($U123/$L123)*((1+Inputs!$D$7)^AD$2)),((INT(AD$2/$L123)-INT((AD$2-1)/$L123))*$U123*((1+Inputs!$D$7)^AD$2))),(_xlfn.WEIBULL.DIST(AD$2,$M123,$L123,FALSE)*$U123*((1+Inputs!$D$7)^AD$2))),IF($N123=Lists!$K$3,IF($L123&lt;1,((($T123*(1-$F123)+$S123*(1-$G123))/$L123)*((1+Inputs!$D$7)^AD$2)),((INT(AD$2/$L123)-INT((AD$2-1)/$L123))*($T123*(1-$F123)+$S123*(1-$G123))*((1+Inputs!$D$7)^AD$2))),((_xlfn.WEIBULL.DIST(AD$2,$M123,$L123,FALSE)*($T123*(1-$F123)+$S123*(1-$G123))*((1+Inputs!$D$7)^AD$2))))))</f>
        <v>91.829285704918021</v>
      </c>
      <c r="AE123" s="88">
        <f>$E123*IF(AE$2&gt;Inputs!$D$5,0,IF(AE$2&gt;VLOOKUP($H123,Lists!$P$3:$Q$7,2),IF($N123=Lists!$K$3,IF($L123&lt;1,(($U123/$L123)*((1+Inputs!$D$7)^AE$2)),((INT(AE$2/$L123)-INT((AE$2-1)/$L123))*$U123*((1+Inputs!$D$7)^AE$2))),(_xlfn.WEIBULL.DIST(AE$2,$M123,$L123,FALSE)*$U123*((1+Inputs!$D$7)^AE$2))),IF($N123=Lists!$K$3,IF($L123&lt;1,((($T123*(1-$F123)+$S123*(1-$G123))/$L123)*((1+Inputs!$D$7)^AE$2)),((INT(AE$2/$L123)-INT((AE$2-1)/$L123))*($T123*(1-$F123)+$S123*(1-$G123))*((1+Inputs!$D$7)^AE$2))),((_xlfn.WEIBULL.DIST(AE$2,$M123,$L123,FALSE)*($T123*(1-$F123)+$S123*(1-$G123))*((1+Inputs!$D$7)^AE$2))))))</f>
        <v>93.665871419016383</v>
      </c>
      <c r="AF123" s="88">
        <f>$E123*IF(AF$2&gt;Inputs!$D$5,0,IF(AF$2&gt;VLOOKUP($H123,Lists!$P$3:$Q$7,2),IF($N123=Lists!$K$3,IF($L123&lt;1,(($U123/$L123)*((1+Inputs!$D$7)^AF$2)),((INT(AF$2/$L123)-INT((AF$2-1)/$L123))*$U123*((1+Inputs!$D$7)^AF$2))),(_xlfn.WEIBULL.DIST(AF$2,$M123,$L123,FALSE)*$U123*((1+Inputs!$D$7)^AF$2))),IF($N123=Lists!$K$3,IF($L123&lt;1,((($T123*(1-$F123)+$S123*(1-$G123))/$L123)*((1+Inputs!$D$7)^AF$2)),((INT(AF$2/$L123)-INT((AF$2-1)/$L123))*($T123*(1-$F123)+$S123*(1-$G123))*((1+Inputs!$D$7)^AF$2))),((_xlfn.WEIBULL.DIST(AF$2,$M123,$L123,FALSE)*($T123*(1-$F123)+$S123*(1-$G123))*((1+Inputs!$D$7)^AF$2))))))</f>
        <v>95.539188847396716</v>
      </c>
      <c r="AG123" s="88">
        <f>$E123*IF(AG$2&gt;Inputs!$D$5,0,IF(AG$2&gt;VLOOKUP($H123,Lists!$P$3:$Q$7,2),IF($N123=Lists!$K$3,IF($L123&lt;1,(($U123/$L123)*((1+Inputs!$D$7)^AG$2)),((INT(AG$2/$L123)-INT((AG$2-1)/$L123))*$U123*((1+Inputs!$D$7)^AG$2))),(_xlfn.WEIBULL.DIST(AG$2,$M123,$L123,FALSE)*$U123*((1+Inputs!$D$7)^AG$2))),IF($N123=Lists!$K$3,IF($L123&lt;1,((($T123*(1-$F123)+$S123*(1-$G123))/$L123)*((1+Inputs!$D$7)^AG$2)),((INT(AG$2/$L123)-INT((AG$2-1)/$L123))*($T123*(1-$F123)+$S123*(1-$G123))*((1+Inputs!$D$7)^AG$2))),((_xlfn.WEIBULL.DIST(AG$2,$M123,$L123,FALSE)*($T123*(1-$F123)+$S123*(1-$G123))*((1+Inputs!$D$7)^AG$2))))))</f>
        <v>97.449972624344625</v>
      </c>
      <c r="AH123" s="88">
        <f>$E123*IF(AH$2&gt;Inputs!$D$5,0,IF(AH$2&gt;VLOOKUP($H123,Lists!$P$3:$Q$7,2),IF($N123=Lists!$K$3,IF($L123&lt;1,(($U123/$L123)*((1+Inputs!$D$7)^AH$2)),((INT(AH$2/$L123)-INT((AH$2-1)/$L123))*$U123*((1+Inputs!$D$7)^AH$2))),(_xlfn.WEIBULL.DIST(AH$2,$M123,$L123,FALSE)*$U123*((1+Inputs!$D$7)^AH$2))),IF($N123=Lists!$K$3,IF($L123&lt;1,((($T123*(1-$F123)+$S123*(1-$G123))/$L123)*((1+Inputs!$D$7)^AH$2)),((INT(AH$2/$L123)-INT((AH$2-1)/$L123))*($T123*(1-$F123)+$S123*(1-$G123))*((1+Inputs!$D$7)^AH$2))),((_xlfn.WEIBULL.DIST(AH$2,$M123,$L123,FALSE)*($T123*(1-$F123)+$S123*(1-$G123))*((1+Inputs!$D$7)^AH$2))))))</f>
        <v>99.398972076831527</v>
      </c>
      <c r="AI123" s="88">
        <f>$E123*IF(AI$2&gt;Inputs!$D$5,0,IF(AI$2&gt;VLOOKUP($H123,Lists!$P$3:$Q$7,2),IF($N123=Lists!$K$3,IF($L123&lt;1,(($U123/$L123)*((1+Inputs!$D$7)^AI$2)),((INT(AI$2/$L123)-INT((AI$2-1)/$L123))*$U123*((1+Inputs!$D$7)^AI$2))),(_xlfn.WEIBULL.DIST(AI$2,$M123,$L123,FALSE)*$U123*((1+Inputs!$D$7)^AI$2))),IF($N123=Lists!$K$3,IF($L123&lt;1,((($T123*(1-$F123)+$S123*(1-$G123))/$L123)*((1+Inputs!$D$7)^AI$2)),((INT(AI$2/$L123)-INT((AI$2-1)/$L123))*($T123*(1-$F123)+$S123*(1-$G123))*((1+Inputs!$D$7)^AI$2))),((_xlfn.WEIBULL.DIST(AI$2,$M123,$L123,FALSE)*($T123*(1-$F123)+$S123*(1-$G123))*((1+Inputs!$D$7)^AI$2))))))</f>
        <v>101.38695151836816</v>
      </c>
      <c r="AJ123" s="88">
        <f>$E123*IF(AJ$2&gt;Inputs!$D$5,0,IF(AJ$2&gt;VLOOKUP($H123,Lists!$P$3:$Q$7,2),IF($N123=Lists!$K$3,IF($L123&lt;1,(($U123/$L123)*((1+Inputs!$D$7)^AJ$2)),((INT(AJ$2/$L123)-INT((AJ$2-1)/$L123))*$U123*((1+Inputs!$D$7)^AJ$2))),(_xlfn.WEIBULL.DIST(AJ$2,$M123,$L123,FALSE)*$U123*((1+Inputs!$D$7)^AJ$2))),IF($N123=Lists!$K$3,IF($L123&lt;1,((($T123*(1-$F123)+$S123*(1-$G123))/$L123)*((1+Inputs!$D$7)^AJ$2)),((INT(AJ$2/$L123)-INT((AJ$2-1)/$L123))*($T123*(1-$F123)+$S123*(1-$G123))*((1+Inputs!$D$7)^AJ$2))),((_xlfn.WEIBULL.DIST(AJ$2,$M123,$L123,FALSE)*($T123*(1-$F123)+$S123*(1-$G123))*((1+Inputs!$D$7)^AJ$2))))))</f>
        <v>103.41469054873554</v>
      </c>
      <c r="AK123" s="88">
        <f>$E123*IF(AK$2&gt;Inputs!$D$5,0,IF(AK$2&gt;VLOOKUP($H123,Lists!$P$3:$Q$7,2),IF($N123=Lists!$K$3,IF($L123&lt;1,(($U123/$L123)*((1+Inputs!$D$7)^AK$2)),((INT(AK$2/$L123)-INT((AK$2-1)/$L123))*$U123*((1+Inputs!$D$7)^AK$2))),(_xlfn.WEIBULL.DIST(AK$2,$M123,$L123,FALSE)*$U123*((1+Inputs!$D$7)^AK$2))),IF($N123=Lists!$K$3,IF($L123&lt;1,((($T123*(1-$F123)+$S123*(1-$G123))/$L123)*((1+Inputs!$D$7)^AK$2)),((INT(AK$2/$L123)-INT((AK$2-1)/$L123))*($T123*(1-$F123)+$S123*(1-$G123))*((1+Inputs!$D$7)^AK$2))),((_xlfn.WEIBULL.DIST(AK$2,$M123,$L123,FALSE)*($T123*(1-$F123)+$S123*(1-$G123))*((1+Inputs!$D$7)^AK$2))))))</f>
        <v>105.48298435971022</v>
      </c>
      <c r="AL123" s="88">
        <f>$E123*IF(AL$2&gt;Inputs!$D$5,0,IF(AL$2&gt;VLOOKUP($H123,Lists!$P$3:$Q$7,2),IF($N123=Lists!$K$3,IF($L123&lt;1,(($U123/$L123)*((1+Inputs!$D$7)^AL$2)),((INT(AL$2/$L123)-INT((AL$2-1)/$L123))*$U123*((1+Inputs!$D$7)^AL$2))),(_xlfn.WEIBULL.DIST(AL$2,$M123,$L123,FALSE)*$U123*((1+Inputs!$D$7)^AL$2))),IF($N123=Lists!$K$3,IF($L123&lt;1,((($T123*(1-$F123)+$S123*(1-$G123))/$L123)*((1+Inputs!$D$7)^AL$2)),((INT(AL$2/$L123)-INT((AL$2-1)/$L123))*($T123*(1-$F123)+$S123*(1-$G123))*((1+Inputs!$D$7)^AL$2))),((_xlfn.WEIBULL.DIST(AL$2,$M123,$L123,FALSE)*($T123*(1-$F123)+$S123*(1-$G123))*((1+Inputs!$D$7)^AL$2))))))</f>
        <v>107.59264404690444</v>
      </c>
      <c r="AM123" s="88">
        <f>$E123*IF(AM$2&gt;Inputs!$D$5,0,IF(AM$2&gt;VLOOKUP($H123,Lists!$P$3:$Q$7,2),IF($N123=Lists!$K$3,IF($L123&lt;1,(($U123/$L123)*((1+Inputs!$D$7)^AM$2)),((INT(AM$2/$L123)-INT((AM$2-1)/$L123))*$U123*((1+Inputs!$D$7)^AM$2))),(_xlfn.WEIBULL.DIST(AM$2,$M123,$L123,FALSE)*$U123*((1+Inputs!$D$7)^AM$2))),IF($N123=Lists!$K$3,IF($L123&lt;1,((($T123*(1-$F123)+$S123*(1-$G123))/$L123)*((1+Inputs!$D$7)^AM$2)),((INT(AM$2/$L123)-INT((AM$2-1)/$L123))*($T123*(1-$F123)+$S123*(1-$G123))*((1+Inputs!$D$7)^AM$2))),((_xlfn.WEIBULL.DIST(AM$2,$M123,$L123,FALSE)*($T123*(1-$F123)+$S123*(1-$G123))*((1+Inputs!$D$7)^AM$2))))))</f>
        <v>109.74449692784252</v>
      </c>
      <c r="AN123" s="88">
        <f>$E123*IF(AN$2&gt;Inputs!$D$5,0,IF(AN$2&gt;VLOOKUP($H123,Lists!$P$3:$Q$7,2),IF($N123=Lists!$K$3,IF($L123&lt;1,(($U123/$L123)*((1+Inputs!$D$7)^AN$2)),((INT(AN$2/$L123)-INT((AN$2-1)/$L123))*$U123*((1+Inputs!$D$7)^AN$2))),(_xlfn.WEIBULL.DIST(AN$2,$M123,$L123,FALSE)*$U123*((1+Inputs!$D$7)^AN$2))),IF($N123=Lists!$K$3,IF($L123&lt;1,((($T123*(1-$F123)+$S123*(1-$G123))/$L123)*((1+Inputs!$D$7)^AN$2)),((INT(AN$2/$L123)-INT((AN$2-1)/$L123))*($T123*(1-$F123)+$S123*(1-$G123))*((1+Inputs!$D$7)^AN$2))),((_xlfn.WEIBULL.DIST(AN$2,$M123,$L123,FALSE)*($T123*(1-$F123)+$S123*(1-$G123))*((1+Inputs!$D$7)^AN$2))))))</f>
        <v>111.93938686639939</v>
      </c>
      <c r="AO123" s="88">
        <f>$E123*IF(AO$2&gt;Inputs!$D$5,0,IF(AO$2&gt;VLOOKUP($H123,Lists!$P$3:$Q$7,2),IF($N123=Lists!$K$3,IF($L123&lt;1,(($U123/$L123)*((1+Inputs!$D$7)^AO$2)),((INT(AO$2/$L123)-INT((AO$2-1)/$L123))*$U123*((1+Inputs!$D$7)^AO$2))),(_xlfn.WEIBULL.DIST(AO$2,$M123,$L123,FALSE)*$U123*((1+Inputs!$D$7)^AO$2))),IF($N123=Lists!$K$3,IF($L123&lt;1,((($T123*(1-$F123)+$S123*(1-$G123))/$L123)*((1+Inputs!$D$7)^AO$2)),((INT(AO$2/$L123)-INT((AO$2-1)/$L123))*($T123*(1-$F123)+$S123*(1-$G123))*((1+Inputs!$D$7)^AO$2))),((_xlfn.WEIBULL.DIST(AO$2,$M123,$L123,FALSE)*($T123*(1-$F123)+$S123*(1-$G123))*((1+Inputs!$D$7)^AO$2))))))</f>
        <v>114.17817460372734</v>
      </c>
      <c r="AP123" s="88">
        <f>$E123*IF(AP$2&gt;Inputs!$D$5,0,IF(AP$2&gt;VLOOKUP($H123,Lists!$P$3:$Q$7,2),IF($N123=Lists!$K$3,IF($L123&lt;1,(($U123/$L123)*((1+Inputs!$D$7)^AP$2)),((INT(AP$2/$L123)-INT((AP$2-1)/$L123))*$U123*((1+Inputs!$D$7)^AP$2))),(_xlfn.WEIBULL.DIST(AP$2,$M123,$L123,FALSE)*$U123*((1+Inputs!$D$7)^AP$2))),IF($N123=Lists!$K$3,IF($L123&lt;1,((($T123*(1-$F123)+$S123*(1-$G123))/$L123)*((1+Inputs!$D$7)^AP$2)),((INT(AP$2/$L123)-INT((AP$2-1)/$L123))*($T123*(1-$F123)+$S123*(1-$G123))*((1+Inputs!$D$7)^AP$2))),((_xlfn.WEIBULL.DIST(AP$2,$M123,$L123,FALSE)*($T123*(1-$F123)+$S123*(1-$G123))*((1+Inputs!$D$7)^AP$2))))))</f>
        <v>116.46173809580191</v>
      </c>
      <c r="AQ123" s="88">
        <f>$E123*IF(AQ$2&gt;Inputs!$D$5,0,IF(AQ$2&gt;VLOOKUP($H123,Lists!$P$3:$Q$7,2),IF($N123=Lists!$K$3,IF($L123&lt;1,(($U123/$L123)*((1+Inputs!$D$7)^AQ$2)),((INT(AQ$2/$L123)-INT((AQ$2-1)/$L123))*$U123*((1+Inputs!$D$7)^AQ$2))),(_xlfn.WEIBULL.DIST(AQ$2,$M123,$L123,FALSE)*$U123*((1+Inputs!$D$7)^AQ$2))),IF($N123=Lists!$K$3,IF($L123&lt;1,((($T123*(1-$F123)+$S123*(1-$G123))/$L123)*((1+Inputs!$D$7)^AQ$2)),((INT(AQ$2/$L123)-INT((AQ$2-1)/$L123))*($T123*(1-$F123)+$S123*(1-$G123))*((1+Inputs!$D$7)^AQ$2))),((_xlfn.WEIBULL.DIST(AQ$2,$M123,$L123,FALSE)*($T123*(1-$F123)+$S123*(1-$G123))*((1+Inputs!$D$7)^AQ$2))))))</f>
        <v>118.79097285771796</v>
      </c>
      <c r="AR123" s="88">
        <f>$E123*IF(AR$2&gt;Inputs!$D$5,0,IF(AR$2&gt;VLOOKUP($H123,Lists!$P$3:$Q$7,2),IF($N123=Lists!$K$3,IF($L123&lt;1,(($U123/$L123)*((1+Inputs!$D$7)^AR$2)),((INT(AR$2/$L123)-INT((AR$2-1)/$L123))*$U123*((1+Inputs!$D$7)^AR$2))),(_xlfn.WEIBULL.DIST(AR$2,$M123,$L123,FALSE)*$U123*((1+Inputs!$D$7)^AR$2))),IF($N123=Lists!$K$3,IF($L123&lt;1,((($T123*(1-$F123)+$S123*(1-$G123))/$L123)*((1+Inputs!$D$7)^AR$2)),((INT(AR$2/$L123)-INT((AR$2-1)/$L123))*($T123*(1-$F123)+$S123*(1-$G123))*((1+Inputs!$D$7)^AR$2))),((_xlfn.WEIBULL.DIST(AR$2,$M123,$L123,FALSE)*($T123*(1-$F123)+$S123*(1-$G123))*((1+Inputs!$D$7)^AR$2))))))</f>
        <v>121.16679231487231</v>
      </c>
      <c r="AS123" s="88">
        <f>$E123*IF(AS$2&gt;Inputs!$D$5,0,IF(AS$2&gt;VLOOKUP($H123,Lists!$P$3:$Q$7,2),IF($N123=Lists!$K$3,IF($L123&lt;1,(($U123/$L123)*((1+Inputs!$D$7)^AS$2)),((INT(AS$2/$L123)-INT((AS$2-1)/$L123))*$U123*((1+Inputs!$D$7)^AS$2))),(_xlfn.WEIBULL.DIST(AS$2,$M123,$L123,FALSE)*$U123*((1+Inputs!$D$7)^AS$2))),IF($N123=Lists!$K$3,IF($L123&lt;1,((($T123*(1-$F123)+$S123*(1-$G123))/$L123)*((1+Inputs!$D$7)^AS$2)),((INT(AS$2/$L123)-INT((AS$2-1)/$L123))*($T123*(1-$F123)+$S123*(1-$G123))*((1+Inputs!$D$7)^AS$2))),((_xlfn.WEIBULL.DIST(AS$2,$M123,$L123,FALSE)*($T123*(1-$F123)+$S123*(1-$G123))*((1+Inputs!$D$7)^AS$2))))))</f>
        <v>123.59012816116974</v>
      </c>
      <c r="AT123" s="88">
        <f>$E123*IF(AT$2&gt;Inputs!$D$5,0,IF(AT$2&gt;VLOOKUP($H123,Lists!$P$3:$Q$7,2),IF($N123=Lists!$K$3,IF($L123&lt;1,(($U123/$L123)*((1+Inputs!$D$7)^AT$2)),((INT(AT$2/$L123)-INT((AT$2-1)/$L123))*$U123*((1+Inputs!$D$7)^AT$2))),(_xlfn.WEIBULL.DIST(AT$2,$M123,$L123,FALSE)*$U123*((1+Inputs!$D$7)^AT$2))),IF($N123=Lists!$K$3,IF($L123&lt;1,((($T123*(1-$F123)+$S123*(1-$G123))/$L123)*((1+Inputs!$D$7)^AT$2)),((INT(AT$2/$L123)-INT((AT$2-1)/$L123))*($T123*(1-$F123)+$S123*(1-$G123))*((1+Inputs!$D$7)^AT$2))),((_xlfn.WEIBULL.DIST(AT$2,$M123,$L123,FALSE)*($T123*(1-$F123)+$S123*(1-$G123))*((1+Inputs!$D$7)^AT$2))))))</f>
        <v>126.06193072439315</v>
      </c>
      <c r="AU123" s="88">
        <f>$E123*IF(AU$2&gt;Inputs!$D$5,0,IF(AU$2&gt;VLOOKUP($H123,Lists!$P$3:$Q$7,2),IF($N123=Lists!$K$3,IF($L123&lt;1,(($U123/$L123)*((1+Inputs!$D$7)^AU$2)),((INT(AU$2/$L123)-INT((AU$2-1)/$L123))*$U123*((1+Inputs!$D$7)^AU$2))),(_xlfn.WEIBULL.DIST(AU$2,$M123,$L123,FALSE)*$U123*((1+Inputs!$D$7)^AU$2))),IF($N123=Lists!$K$3,IF($L123&lt;1,((($T123*(1-$F123)+$S123*(1-$G123))/$L123)*((1+Inputs!$D$7)^AU$2)),((INT(AU$2/$L123)-INT((AU$2-1)/$L123))*($T123*(1-$F123)+$S123*(1-$G123))*((1+Inputs!$D$7)^AU$2))),((_xlfn.WEIBULL.DIST(AU$2,$M123,$L123,FALSE)*($T123*(1-$F123)+$S123*(1-$G123))*((1+Inputs!$D$7)^AU$2))))))</f>
        <v>128.58316933888102</v>
      </c>
      <c r="AV123" s="88">
        <f>$E123*IF(AV$2&gt;Inputs!$D$5,0,IF(AV$2&gt;VLOOKUP($H123,Lists!$P$3:$Q$7,2),IF($N123=Lists!$K$3,IF($L123&lt;1,(($U123/$L123)*((1+Inputs!$D$7)^AV$2)),((INT(AV$2/$L123)-INT((AV$2-1)/$L123))*$U123*((1+Inputs!$D$7)^AV$2))),(_xlfn.WEIBULL.DIST(AV$2,$M123,$L123,FALSE)*$U123*((1+Inputs!$D$7)^AV$2))),IF($N123=Lists!$K$3,IF($L123&lt;1,((($T123*(1-$F123)+$S123*(1-$G123))/$L123)*((1+Inputs!$D$7)^AV$2)),((INT(AV$2/$L123)-INT((AV$2-1)/$L123))*($T123*(1-$F123)+$S123*(1-$G123))*((1+Inputs!$D$7)^AV$2))),((_xlfn.WEIBULL.DIST(AV$2,$M123,$L123,FALSE)*($T123*(1-$F123)+$S123*(1-$G123))*((1+Inputs!$D$7)^AV$2))))))</f>
        <v>131.15483272565862</v>
      </c>
      <c r="AW123" s="88">
        <f>$E123*IF(AW$2&gt;Inputs!$D$5,0,IF(AW$2&gt;VLOOKUP($H123,Lists!$P$3:$Q$7,2),IF($N123=Lists!$K$3,IF($L123&lt;1,(($U123/$L123)*((1+Inputs!$D$7)^AW$2)),((INT(AW$2/$L123)-INT((AW$2-1)/$L123))*$U123*((1+Inputs!$D$7)^AW$2))),(_xlfn.WEIBULL.DIST(AW$2,$M123,$L123,FALSE)*$U123*((1+Inputs!$D$7)^AW$2))),IF($N123=Lists!$K$3,IF($L123&lt;1,((($T123*(1-$F123)+$S123*(1-$G123))/$L123)*((1+Inputs!$D$7)^AW$2)),((INT(AW$2/$L123)-INT((AW$2-1)/$L123))*($T123*(1-$F123)+$S123*(1-$G123))*((1+Inputs!$D$7)^AW$2))),((_xlfn.WEIBULL.DIST(AW$2,$M123,$L123,FALSE)*($T123*(1-$F123)+$S123*(1-$G123))*((1+Inputs!$D$7)^AW$2))))))</f>
        <v>133.77792938017177</v>
      </c>
      <c r="AX123" s="88">
        <f>$E123*IF(AX$2&gt;Inputs!$D$5,0,IF(AX$2&gt;VLOOKUP($H123,Lists!$P$3:$Q$7,2),IF($N123=Lists!$K$3,IF($L123&lt;1,(($U123/$L123)*((1+Inputs!$D$7)^AX$2)),((INT(AX$2/$L123)-INT((AX$2-1)/$L123))*$U123*((1+Inputs!$D$7)^AX$2))),(_xlfn.WEIBULL.DIST(AX$2,$M123,$L123,FALSE)*$U123*((1+Inputs!$D$7)^AX$2))),IF($N123=Lists!$K$3,IF($L123&lt;1,((($T123*(1-$F123)+$S123*(1-$G123))/$L123)*((1+Inputs!$D$7)^AX$2)),((INT(AX$2/$L123)-INT((AX$2-1)/$L123))*($T123*(1-$F123)+$S123*(1-$G123))*((1+Inputs!$D$7)^AX$2))),((_xlfn.WEIBULL.DIST(AX$2,$M123,$L123,FALSE)*($T123*(1-$F123)+$S123*(1-$G123))*((1+Inputs!$D$7)^AX$2))))))</f>
        <v>136.45348796777523</v>
      </c>
      <c r="AY123" s="88">
        <f>$E123*IF(AY$2&gt;Inputs!$D$5,0,IF(AY$2&gt;VLOOKUP($H123,Lists!$P$3:$Q$7,2),IF($N123=Lists!$K$3,IF($L123&lt;1,(($U123/$L123)*((1+Inputs!$D$7)^AY$2)),((INT(AY$2/$L123)-INT((AY$2-1)/$L123))*$U123*((1+Inputs!$D$7)^AY$2))),(_xlfn.WEIBULL.DIST(AY$2,$M123,$L123,FALSE)*$U123*((1+Inputs!$D$7)^AY$2))),IF($N123=Lists!$K$3,IF($L123&lt;1,((($T123*(1-$F123)+$S123*(1-$G123))/$L123)*((1+Inputs!$D$7)^AY$2)),((INT(AY$2/$L123)-INT((AY$2-1)/$L123))*($T123*(1-$F123)+$S123*(1-$G123))*((1+Inputs!$D$7)^AY$2))),((_xlfn.WEIBULL.DIST(AY$2,$M123,$L123,FALSE)*($T123*(1-$F123)+$S123*(1-$G123))*((1+Inputs!$D$7)^AY$2))))))</f>
        <v>139.18255772713073</v>
      </c>
      <c r="AZ123" s="88">
        <f>$E123*IF(AZ$2&gt;Inputs!$D$5,0,IF(AZ$2&gt;VLOOKUP($H123,Lists!$P$3:$Q$7,2),IF($N123=Lists!$K$3,IF($L123&lt;1,(($U123/$L123)*((1+Inputs!$D$7)^AZ$2)),((INT(AZ$2/$L123)-INT((AZ$2-1)/$L123))*$U123*((1+Inputs!$D$7)^AZ$2))),(_xlfn.WEIBULL.DIST(AZ$2,$M123,$L123,FALSE)*$U123*((1+Inputs!$D$7)^AZ$2))),IF($N123=Lists!$K$3,IF($L123&lt;1,((($T123*(1-$F123)+$S123*(1-$G123))/$L123)*((1+Inputs!$D$7)^AZ$2)),((INT(AZ$2/$L123)-INT((AZ$2-1)/$L123))*($T123*(1-$F123)+$S123*(1-$G123))*((1+Inputs!$D$7)^AZ$2))),((_xlfn.WEIBULL.DIST(AZ$2,$M123,$L123,FALSE)*($T123*(1-$F123)+$S123*(1-$G123))*((1+Inputs!$D$7)^AZ$2))))))</f>
        <v>0</v>
      </c>
      <c r="BA123" s="88">
        <f>$E123*IF(BA$2&gt;Inputs!$D$5,0,IF(BA$2&gt;VLOOKUP($H123,Lists!$P$3:$Q$7,2),IF($N123=Lists!$K$3,IF($L123&lt;1,(($U123/$L123)*((1+Inputs!$D$7)^BA$2)),((INT(BA$2/$L123)-INT((BA$2-1)/$L123))*$U123*((1+Inputs!$D$7)^BA$2))),(_xlfn.WEIBULL.DIST(BA$2,$M123,$L123,FALSE)*$U123*((1+Inputs!$D$7)^BA$2))),IF($N123=Lists!$K$3,IF($L123&lt;1,((($T123*(1-$F123)+$S123*(1-$G123))/$L123)*((1+Inputs!$D$7)^BA$2)),((INT(BA$2/$L123)-INT((BA$2-1)/$L123))*($T123*(1-$F123)+$S123*(1-$G123))*((1+Inputs!$D$7)^BA$2))),((_xlfn.WEIBULL.DIST(BA$2,$M123,$L123,FALSE)*($T123*(1-$F123)+$S123*(1-$G123))*((1+Inputs!$D$7)^BA$2))))))</f>
        <v>0</v>
      </c>
      <c r="BB123" s="88">
        <f>$E123*IF(BB$2&gt;Inputs!$D$5,0,IF(BB$2&gt;VLOOKUP($H123,Lists!$P$3:$Q$7,2),IF($N123=Lists!$K$3,IF($L123&lt;1,(($U123/$L123)*((1+Inputs!$D$7)^BB$2)),((INT(BB$2/$L123)-INT((BB$2-1)/$L123))*$U123*((1+Inputs!$D$7)^BB$2))),(_xlfn.WEIBULL.DIST(BB$2,$M123,$L123,FALSE)*$U123*((1+Inputs!$D$7)^BB$2))),IF($N123=Lists!$K$3,IF($L123&lt;1,((($T123*(1-$F123)+$S123*(1-$G123))/$L123)*((1+Inputs!$D$7)^BB$2)),((INT(BB$2/$L123)-INT((BB$2-1)/$L123))*($T123*(1-$F123)+$S123*(1-$G123))*((1+Inputs!$D$7)^BB$2))),((_xlfn.WEIBULL.DIST(BB$2,$M123,$L123,FALSE)*($T123*(1-$F123)+$S123*(1-$G123))*((1+Inputs!$D$7)^BB$2))))))</f>
        <v>0</v>
      </c>
      <c r="BC123" s="88">
        <f>$E123*IF(BC$2&gt;Inputs!$D$5,0,IF(BC$2&gt;VLOOKUP($H123,Lists!$P$3:$Q$7,2),IF($N123=Lists!$K$3,IF($L123&lt;1,(($U123/$L123)*((1+Inputs!$D$7)^BC$2)),((INT(BC$2/$L123)-INT((BC$2-1)/$L123))*$U123*((1+Inputs!$D$7)^BC$2))),(_xlfn.WEIBULL.DIST(BC$2,$M123,$L123,FALSE)*$U123*((1+Inputs!$D$7)^BC$2))),IF($N123=Lists!$K$3,IF($L123&lt;1,((($T123*(1-$F123)+$S123*(1-$G123))/$L123)*((1+Inputs!$D$7)^BC$2)),((INT(BC$2/$L123)-INT((BC$2-1)/$L123))*($T123*(1-$F123)+$S123*(1-$G123))*((1+Inputs!$D$7)^BC$2))),((_xlfn.WEIBULL.DIST(BC$2,$M123,$L123,FALSE)*($T123*(1-$F123)+$S123*(1-$G123))*((1+Inputs!$D$7)^BC$2))))))</f>
        <v>0</v>
      </c>
      <c r="BD123" s="88">
        <f>$E123*IF(BD$2&gt;Inputs!$D$5,0,IF(BD$2&gt;VLOOKUP($H123,Lists!$P$3:$Q$7,2),IF($N123=Lists!$K$3,IF($L123&lt;1,(($U123/$L123)*((1+Inputs!$D$7)^BD$2)),((INT(BD$2/$L123)-INT((BD$2-1)/$L123))*$U123*((1+Inputs!$D$7)^BD$2))),(_xlfn.WEIBULL.DIST(BD$2,$M123,$L123,FALSE)*$U123*((1+Inputs!$D$7)^BD$2))),IF($N123=Lists!$K$3,IF($L123&lt;1,((($T123*(1-$F123)+$S123*(1-$G123))/$L123)*((1+Inputs!$D$7)^BD$2)),((INT(BD$2/$L123)-INT((BD$2-1)/$L123))*($T123*(1-$F123)+$S123*(1-$G123))*((1+Inputs!$D$7)^BD$2))),((_xlfn.WEIBULL.DIST(BD$2,$M123,$L123,FALSE)*($T123*(1-$F123)+$S123*(1-$G123))*((1+Inputs!$D$7)^BD$2))))))</f>
        <v>0</v>
      </c>
      <c r="BE123" s="88">
        <f>$E123*IF(BE$2&gt;Inputs!$D$5,0,IF(BE$2&gt;VLOOKUP($H123,Lists!$P$3:$Q$7,2),IF($N123=Lists!$K$3,IF($L123&lt;1,(($U123/$L123)*((1+Inputs!$D$7)^BE$2)),((INT(BE$2/$L123)-INT((BE$2-1)/$L123))*$U123*((1+Inputs!$D$7)^BE$2))),(_xlfn.WEIBULL.DIST(BE$2,$M123,$L123,FALSE)*$U123*((1+Inputs!$D$7)^BE$2))),IF($N123=Lists!$K$3,IF($L123&lt;1,((($T123*(1-$F123)+$S123*(1-$G123))/$L123)*((1+Inputs!$D$7)^BE$2)),((INT(BE$2/$L123)-INT((BE$2-1)/$L123))*($T123*(1-$F123)+$S123*(1-$G123))*((1+Inputs!$D$7)^BE$2))),((_xlfn.WEIBULL.DIST(BE$2,$M123,$L123,FALSE)*($T123*(1-$F123)+$S123*(1-$G123))*((1+Inputs!$D$7)^BE$2))))))</f>
        <v>0</v>
      </c>
      <c r="BF123" s="88">
        <f>$E123*IF(BF$2&gt;Inputs!$D$5,0,IF(BF$2&gt;VLOOKUP($H123,Lists!$P$3:$Q$7,2),IF($N123=Lists!$K$3,IF($L123&lt;1,(($U123/$L123)*((1+Inputs!$D$7)^BF$2)),((INT(BF$2/$L123)-INT((BF$2-1)/$L123))*$U123*((1+Inputs!$D$7)^BF$2))),(_xlfn.WEIBULL.DIST(BF$2,$M123,$L123,FALSE)*$U123*((1+Inputs!$D$7)^BF$2))),IF($N123=Lists!$K$3,IF($L123&lt;1,((($T123*(1-$F123)+$S123*(1-$G123))/$L123)*((1+Inputs!$D$7)^BF$2)),((INT(BF$2/$L123)-INT((BF$2-1)/$L123))*($T123*(1-$F123)+$S123*(1-$G123))*((1+Inputs!$D$7)^BF$2))),((_xlfn.WEIBULL.DIST(BF$2,$M123,$L123,FALSE)*($T123*(1-$F123)+$S123*(1-$G123))*((1+Inputs!$D$7)^BF$2))))))</f>
        <v>0</v>
      </c>
      <c r="BG123" s="88">
        <f>$E123*IF(BG$2&gt;Inputs!$D$5,0,IF(BG$2&gt;VLOOKUP($H123,Lists!$P$3:$Q$7,2),IF($N123=Lists!$K$3,IF($L123&lt;1,(($U123/$L123)*((1+Inputs!$D$7)^BG$2)),((INT(BG$2/$L123)-INT((BG$2-1)/$L123))*$U123*((1+Inputs!$D$7)^BG$2))),(_xlfn.WEIBULL.DIST(BG$2,$M123,$L123,FALSE)*$U123*((1+Inputs!$D$7)^BG$2))),IF($N123=Lists!$K$3,IF($L123&lt;1,((($T123*(1-$F123)+$S123*(1-$G123))/$L123)*((1+Inputs!$D$7)^BG$2)),((INT(BG$2/$L123)-INT((BG$2-1)/$L123))*($T123*(1-$F123)+$S123*(1-$G123))*((1+Inputs!$D$7)^BG$2))),((_xlfn.WEIBULL.DIST(BG$2,$M123,$L123,FALSE)*($T123*(1-$F123)+$S123*(1-$G123))*((1+Inputs!$D$7)^BG$2))))))</f>
        <v>0</v>
      </c>
      <c r="BH123" s="88">
        <f>$E123*IF(BH$2&gt;Inputs!$D$5,0,IF(BH$2&gt;VLOOKUP($H123,Lists!$P$3:$Q$7,2),IF($N123=Lists!$K$3,IF($L123&lt;1,(($U123/$L123)*((1+Inputs!$D$7)^BH$2)),((INT(BH$2/$L123)-INT((BH$2-1)/$L123))*$U123*((1+Inputs!$D$7)^BH$2))),(_xlfn.WEIBULL.DIST(BH$2,$M123,$L123,FALSE)*$U123*((1+Inputs!$D$7)^BH$2))),IF($N123=Lists!$K$3,IF($L123&lt;1,((($T123*(1-$F123)+$S123*(1-$G123))/$L123)*((1+Inputs!$D$7)^BH$2)),((INT(BH$2/$L123)-INT((BH$2-1)/$L123))*($T123*(1-$F123)+$S123*(1-$G123))*((1+Inputs!$D$7)^BH$2))),((_xlfn.WEIBULL.DIST(BH$2,$M123,$L123,FALSE)*($T123*(1-$F123)+$S123*(1-$G123))*((1+Inputs!$D$7)^BH$2))))))</f>
        <v>0</v>
      </c>
      <c r="BI123" s="88">
        <f>$E123*IF(BI$2&gt;Inputs!$D$5,0,IF(BI$2&gt;VLOOKUP($H123,Lists!$P$3:$Q$7,2),IF($N123=Lists!$K$3,IF($L123&lt;1,(($U123/$L123)*((1+Inputs!$D$7)^BI$2)),((INT(BI$2/$L123)-INT((BI$2-1)/$L123))*$U123*((1+Inputs!$D$7)^BI$2))),(_xlfn.WEIBULL.DIST(BI$2,$M123,$L123,FALSE)*$U123*((1+Inputs!$D$7)^BI$2))),IF($N123=Lists!$K$3,IF($L123&lt;1,((($T123*(1-$F123)+$S123*(1-$G123))/$L123)*((1+Inputs!$D$7)^BI$2)),((INT(BI$2/$L123)-INT((BI$2-1)/$L123))*($T123*(1-$F123)+$S123*(1-$G123))*((1+Inputs!$D$7)^BI$2))),((_xlfn.WEIBULL.DIST(BI$2,$M123,$L123,FALSE)*($T123*(1-$F123)+$S123*(1-$G123))*((1+Inputs!$D$7)^BI$2))))))</f>
        <v>0</v>
      </c>
      <c r="BJ123" s="88">
        <f>$E123*IF(BJ$2&gt;Inputs!$D$5,0,IF(BJ$2&gt;VLOOKUP($H123,Lists!$P$3:$Q$7,2),IF($N123=Lists!$K$3,IF($L123&lt;1,(($U123/$L123)*((1+Inputs!$D$7)^BJ$2)),((INT(BJ$2/$L123)-INT((BJ$2-1)/$L123))*$U123*((1+Inputs!$D$7)^BJ$2))),(_xlfn.WEIBULL.DIST(BJ$2,$M123,$L123,FALSE)*$U123*((1+Inputs!$D$7)^BJ$2))),IF($N123=Lists!$K$3,IF($L123&lt;1,((($T123*(1-$F123)+$S123*(1-$G123))/$L123)*((1+Inputs!$D$7)^BJ$2)),((INT(BJ$2/$L123)-INT((BJ$2-1)/$L123))*($T123*(1-$F123)+$S123*(1-$G123))*((1+Inputs!$D$7)^BJ$2))),((_xlfn.WEIBULL.DIST(BJ$2,$M123,$L123,FALSE)*($T123*(1-$F123)+$S123*(1-$G123))*((1+Inputs!$D$7)^BJ$2))))))</f>
        <v>0</v>
      </c>
      <c r="BK123" s="88">
        <f>$E123*IF(BK$2&gt;Inputs!$D$5,0,IF(BK$2&gt;VLOOKUP($H123,Lists!$P$3:$Q$7,2),IF($N123=Lists!$K$3,IF($L123&lt;1,(($U123/$L123)*((1+Inputs!$D$7)^BK$2)),((INT(BK$2/$L123)-INT((BK$2-1)/$L123))*$U123*((1+Inputs!$D$7)^BK$2))),(_xlfn.WEIBULL.DIST(BK$2,$M123,$L123,FALSE)*$U123*((1+Inputs!$D$7)^BK$2))),IF($N123=Lists!$K$3,IF($L123&lt;1,((($T123*(1-$F123)+$S123*(1-$G123))/$L123)*((1+Inputs!$D$7)^BK$2)),((INT(BK$2/$L123)-INT((BK$2-1)/$L123))*($T123*(1-$F123)+$S123*(1-$G123))*((1+Inputs!$D$7)^BK$2))),((_xlfn.WEIBULL.DIST(BK$2,$M123,$L123,FALSE)*($T123*(1-$F123)+$S123*(1-$G123))*((1+Inputs!$D$7)^BK$2))))))</f>
        <v>0</v>
      </c>
      <c r="BL123" s="88">
        <f>$E123*IF(BL$2&gt;Inputs!$D$5,0,IF(BL$2&gt;VLOOKUP($H123,Lists!$P$3:$Q$7,2),IF($N123=Lists!$K$3,IF($L123&lt;1,(($U123/$L123)*((1+Inputs!$D$7)^BL$2)),((INT(BL$2/$L123)-INT((BL$2-1)/$L123))*$U123*((1+Inputs!$D$7)^BL$2))),(_xlfn.WEIBULL.DIST(BL$2,$M123,$L123,FALSE)*$U123*((1+Inputs!$D$7)^BL$2))),IF($N123=Lists!$K$3,IF($L123&lt;1,((($T123*(1-$F123)+$S123*(1-$G123))/$L123)*((1+Inputs!$D$7)^BL$2)),((INT(BL$2/$L123)-INT((BL$2-1)/$L123))*($T123*(1-$F123)+$S123*(1-$G123))*((1+Inputs!$D$7)^BL$2))),((_xlfn.WEIBULL.DIST(BL$2,$M123,$L123,FALSE)*($T123*(1-$F123)+$S123*(1-$G123))*((1+Inputs!$D$7)^BL$2))))))</f>
        <v>0</v>
      </c>
      <c r="BM123" s="88">
        <f>$E123*IF(BM$2&gt;Inputs!$D$5,0,IF(BM$2&gt;VLOOKUP($H123,Lists!$P$3:$Q$7,2),IF($N123=Lists!$K$3,IF($L123&lt;1,(($U123/$L123)*((1+Inputs!$D$7)^BM$2)),((INT(BM$2/$L123)-INT((BM$2-1)/$L123))*$U123*((1+Inputs!$D$7)^BM$2))),(_xlfn.WEIBULL.DIST(BM$2,$M123,$L123,FALSE)*$U123*((1+Inputs!$D$7)^BM$2))),IF($N123=Lists!$K$3,IF($L123&lt;1,((($T123*(1-$F123)+$S123*(1-$G123))/$L123)*((1+Inputs!$D$7)^BM$2)),((INT(BM$2/$L123)-INT((BM$2-1)/$L123))*($T123*(1-$F123)+$S123*(1-$G123))*((1+Inputs!$D$7)^BM$2))),((_xlfn.WEIBULL.DIST(BM$2,$M123,$L123,FALSE)*($T123*(1-$F123)+$S123*(1-$G123))*((1+Inputs!$D$7)^BM$2))))))</f>
        <v>0</v>
      </c>
      <c r="BN123" s="88">
        <f>$E123*IF(BN$2&gt;Inputs!$D$5,0,IF(BN$2&gt;VLOOKUP($H123,Lists!$P$3:$Q$7,2),IF($N123=Lists!$K$3,IF($L123&lt;1,(($U123/$L123)*((1+Inputs!$D$7)^BN$2)),((INT(BN$2/$L123)-INT((BN$2-1)/$L123))*$U123*((1+Inputs!$D$7)^BN$2))),(_xlfn.WEIBULL.DIST(BN$2,$M123,$L123,FALSE)*$U123*((1+Inputs!$D$7)^BN$2))),IF($N123=Lists!$K$3,IF($L123&lt;1,((($T123*(1-$F123)+$S123*(1-$G123))/$L123)*((1+Inputs!$D$7)^BN$2)),((INT(BN$2/$L123)-INT((BN$2-1)/$L123))*($T123*(1-$F123)+$S123*(1-$G123))*((1+Inputs!$D$7)^BN$2))),((_xlfn.WEIBULL.DIST(BN$2,$M123,$L123,FALSE)*($T123*(1-$F123)+$S123*(1-$G123))*((1+Inputs!$D$7)^BN$2))))))</f>
        <v>0</v>
      </c>
      <c r="BO123" s="64">
        <f>NPV(Inputs!$D$6,BQ123:DD123)</f>
        <v>1207.5125932569413</v>
      </c>
      <c r="BP123" s="67">
        <f t="shared" si="27"/>
        <v>5.6952189059960277E-4</v>
      </c>
      <c r="BQ123" s="88">
        <f>MAX(AA123,($E123*IF(BQ$2&gt;Inputs!$D$5,0,IF(BQ$2&gt;VLOOKUP($H123,Lists!$P$3:$Q$7,2),IF($N123=Lists!$K$3,IF($L123&lt;1,(($U123/$L123)*((1+Inputs!$D$7)^BQ$2)),((INT(BQ$2/$L123)-INT((BQ$2-1)/$L123))*$U123*((1+Inputs!$D$7)^BQ$2))),(Inputs!$D$8^((1-_xlfn.WEIBULL.DIST(BQ$2,$M123,$L123,FALSE))/_xlfn.WEIBULL.DIST(BQ$2,$M123,$L123,FALSE))*$U123*((1+Inputs!$D$7)^BQ$2))),IF($N123=Lists!$K$3,IF($L123&lt;1,((($T123*(1-$F123)+$S123*(1-$G123))/$L123)*((1+Inputs!$D$7)^BQ$2)),((INT(BQ$2/$L123)-INT((BQ$2-1)/$L123))*($T123*(1-$F123)+$S123*(1-$G123))*((1+Inputs!$D$7)^BQ$2))),((Inputs!$D$8^((1-_xlfn.WEIBULL.DIST(BQ$2,$M123,$L123,FALSE))/_xlfn.WEIBULL.DIST(BQ$2,$M123,$L123,FALSE))*($T123*(1-$F123)+$S123*(1-$G123))*((1+Inputs!$D$7)^BQ$2))))))))</f>
        <v>86.532786885245898</v>
      </c>
      <c r="BR123" s="88">
        <f>MAX(AB123,($E123*IF(BR$2&gt;Inputs!$D$5,0,IF(BR$2&gt;VLOOKUP($H123,Lists!$P$3:$Q$7,2),IF($N123=Lists!$K$3,IF($L123&lt;1,(($U123/$L123)*((1+Inputs!$D$7)^BR$2)),((INT(BR$2/$L123)-INT((BR$2-1)/$L123))*$U123*((1+Inputs!$D$7)^BR$2))),(Inputs!$D$8^((1-_xlfn.WEIBULL.DIST(BR$2,$M123,$L123,FALSE))/_xlfn.WEIBULL.DIST(BR$2,$M123,$L123,FALSE))*$U123*((1+Inputs!$D$7)^BR$2))),IF($N123=Lists!$K$3,IF($L123&lt;1,((($T123*(1-$F123)+$S123*(1-$G123))/$L123)*((1+Inputs!$D$7)^BR$2)),((INT(BR$2/$L123)-INT((BR$2-1)/$L123))*($T123*(1-$F123)+$S123*(1-$G123))*((1+Inputs!$D$7)^BR$2))),((Inputs!$D$8^((1-_xlfn.WEIBULL.DIST(BR$2,$M123,$L123,FALSE))/_xlfn.WEIBULL.DIST(BR$2,$M123,$L123,FALSE))*($T123*(1-$F123)+$S123*(1-$G123))*((1+Inputs!$D$7)^BR$2))))))))</f>
        <v>88.263442622950805</v>
      </c>
      <c r="BS123" s="88">
        <f>MAX(AC123,($E123*IF(BS$2&gt;Inputs!$D$5,0,IF(BS$2&gt;VLOOKUP($H123,Lists!$P$3:$Q$7,2),IF($N123=Lists!$K$3,IF($L123&lt;1,(($U123/$L123)*((1+Inputs!$D$7)^BS$2)),((INT(BS$2/$L123)-INT((BS$2-1)/$L123))*$U123*((1+Inputs!$D$7)^BS$2))),(Inputs!$D$8^((1-_xlfn.WEIBULL.DIST(BS$2,$M123,$L123,FALSE))/_xlfn.WEIBULL.DIST(BS$2,$M123,$L123,FALSE))*$U123*((1+Inputs!$D$7)^BS$2))),IF($N123=Lists!$K$3,IF($L123&lt;1,((($T123*(1-$F123)+$S123*(1-$G123))/$L123)*((1+Inputs!$D$7)^BS$2)),((INT(BS$2/$L123)-INT((BS$2-1)/$L123))*($T123*(1-$F123)+$S123*(1-$G123))*((1+Inputs!$D$7)^BS$2))),((Inputs!$D$8^((1-_xlfn.WEIBULL.DIST(BS$2,$M123,$L123,FALSE))/_xlfn.WEIBULL.DIST(BS$2,$M123,$L123,FALSE))*($T123*(1-$F123)+$S123*(1-$G123))*((1+Inputs!$D$7)^BS$2))))))))</f>
        <v>90.028711475409821</v>
      </c>
      <c r="BT123" s="88">
        <f>MAX(AD123,($E123*IF(BT$2&gt;Inputs!$D$5,0,IF(BT$2&gt;VLOOKUP($H123,Lists!$P$3:$Q$7,2),IF($N123=Lists!$K$3,IF($L123&lt;1,(($U123/$L123)*((1+Inputs!$D$7)^BT$2)),((INT(BT$2/$L123)-INT((BT$2-1)/$L123))*$U123*((1+Inputs!$D$7)^BT$2))),(Inputs!$D$8^((1-_xlfn.WEIBULL.DIST(BT$2,$M123,$L123,FALSE))/_xlfn.WEIBULL.DIST(BT$2,$M123,$L123,FALSE))*$U123*((1+Inputs!$D$7)^BT$2))),IF($N123=Lists!$K$3,IF($L123&lt;1,((($T123*(1-$F123)+$S123*(1-$G123))/$L123)*((1+Inputs!$D$7)^BT$2)),((INT(BT$2/$L123)-INT((BT$2-1)/$L123))*($T123*(1-$F123)+$S123*(1-$G123))*((1+Inputs!$D$7)^BT$2))),((Inputs!$D$8^((1-_xlfn.WEIBULL.DIST(BT$2,$M123,$L123,FALSE))/_xlfn.WEIBULL.DIST(BT$2,$M123,$L123,FALSE))*($T123*(1-$F123)+$S123*(1-$G123))*((1+Inputs!$D$7)^BT$2))))))))</f>
        <v>91.829285704918021</v>
      </c>
      <c r="BU123" s="88">
        <f>MAX(AE123,($E123*IF(BU$2&gt;Inputs!$D$5,0,IF(BU$2&gt;VLOOKUP($H123,Lists!$P$3:$Q$7,2),IF($N123=Lists!$K$3,IF($L123&lt;1,(($U123/$L123)*((1+Inputs!$D$7)^BU$2)),((INT(BU$2/$L123)-INT((BU$2-1)/$L123))*$U123*((1+Inputs!$D$7)^BU$2))),(Inputs!$D$8^((1-_xlfn.WEIBULL.DIST(BU$2,$M123,$L123,FALSE))/_xlfn.WEIBULL.DIST(BU$2,$M123,$L123,FALSE))*$U123*((1+Inputs!$D$7)^BU$2))),IF($N123=Lists!$K$3,IF($L123&lt;1,((($T123*(1-$F123)+$S123*(1-$G123))/$L123)*((1+Inputs!$D$7)^BU$2)),((INT(BU$2/$L123)-INT((BU$2-1)/$L123))*($T123*(1-$F123)+$S123*(1-$G123))*((1+Inputs!$D$7)^BU$2))),((Inputs!$D$8^((1-_xlfn.WEIBULL.DIST(BU$2,$M123,$L123,FALSE))/_xlfn.WEIBULL.DIST(BU$2,$M123,$L123,FALSE))*($T123*(1-$F123)+$S123*(1-$G123))*((1+Inputs!$D$7)^BU$2))))))))</f>
        <v>93.665871419016383</v>
      </c>
      <c r="BV123" s="88">
        <f>MAX(AF123,($E123*IF(BV$2&gt;Inputs!$D$5,0,IF(BV$2&gt;VLOOKUP($H123,Lists!$P$3:$Q$7,2),IF($N123=Lists!$K$3,IF($L123&lt;1,(($U123/$L123)*((1+Inputs!$D$7)^BV$2)),((INT(BV$2/$L123)-INT((BV$2-1)/$L123))*$U123*((1+Inputs!$D$7)^BV$2))),(Inputs!$D$8^((1-_xlfn.WEIBULL.DIST(BV$2,$M123,$L123,FALSE))/_xlfn.WEIBULL.DIST(BV$2,$M123,$L123,FALSE))*$U123*((1+Inputs!$D$7)^BV$2))),IF($N123=Lists!$K$3,IF($L123&lt;1,((($T123*(1-$F123)+$S123*(1-$G123))/$L123)*((1+Inputs!$D$7)^BV$2)),((INT(BV$2/$L123)-INT((BV$2-1)/$L123))*($T123*(1-$F123)+$S123*(1-$G123))*((1+Inputs!$D$7)^BV$2))),((Inputs!$D$8^((1-_xlfn.WEIBULL.DIST(BV$2,$M123,$L123,FALSE))/_xlfn.WEIBULL.DIST(BV$2,$M123,$L123,FALSE))*($T123*(1-$F123)+$S123*(1-$G123))*((1+Inputs!$D$7)^BV$2))))))))</f>
        <v>95.539188847396716</v>
      </c>
      <c r="BW123" s="88">
        <f>MAX(AG123,($E123*IF(BW$2&gt;Inputs!$D$5,0,IF(BW$2&gt;VLOOKUP($H123,Lists!$P$3:$Q$7,2),IF($N123=Lists!$K$3,IF($L123&lt;1,(($U123/$L123)*((1+Inputs!$D$7)^BW$2)),((INT(BW$2/$L123)-INT((BW$2-1)/$L123))*$U123*((1+Inputs!$D$7)^BW$2))),(Inputs!$D$8^((1-_xlfn.WEIBULL.DIST(BW$2,$M123,$L123,FALSE))/_xlfn.WEIBULL.DIST(BW$2,$M123,$L123,FALSE))*$U123*((1+Inputs!$D$7)^BW$2))),IF($N123=Lists!$K$3,IF($L123&lt;1,((($T123*(1-$F123)+$S123*(1-$G123))/$L123)*((1+Inputs!$D$7)^BW$2)),((INT(BW$2/$L123)-INT((BW$2-1)/$L123))*($T123*(1-$F123)+$S123*(1-$G123))*((1+Inputs!$D$7)^BW$2))),((Inputs!$D$8^((1-_xlfn.WEIBULL.DIST(BW$2,$M123,$L123,FALSE))/_xlfn.WEIBULL.DIST(BW$2,$M123,$L123,FALSE))*($T123*(1-$F123)+$S123*(1-$G123))*((1+Inputs!$D$7)^BW$2))))))))</f>
        <v>97.449972624344625</v>
      </c>
      <c r="BX123" s="88">
        <f>MAX(AH123,($E123*IF(BX$2&gt;Inputs!$D$5,0,IF(BX$2&gt;VLOOKUP($H123,Lists!$P$3:$Q$7,2),IF($N123=Lists!$K$3,IF($L123&lt;1,(($U123/$L123)*((1+Inputs!$D$7)^BX$2)),((INT(BX$2/$L123)-INT((BX$2-1)/$L123))*$U123*((1+Inputs!$D$7)^BX$2))),(Inputs!$D$8^((1-_xlfn.WEIBULL.DIST(BX$2,$M123,$L123,FALSE))/_xlfn.WEIBULL.DIST(BX$2,$M123,$L123,FALSE))*$U123*((1+Inputs!$D$7)^BX$2))),IF($N123=Lists!$K$3,IF($L123&lt;1,((($T123*(1-$F123)+$S123*(1-$G123))/$L123)*((1+Inputs!$D$7)^BX$2)),((INT(BX$2/$L123)-INT((BX$2-1)/$L123))*($T123*(1-$F123)+$S123*(1-$G123))*((1+Inputs!$D$7)^BX$2))),((Inputs!$D$8^((1-_xlfn.WEIBULL.DIST(BX$2,$M123,$L123,FALSE))/_xlfn.WEIBULL.DIST(BX$2,$M123,$L123,FALSE))*($T123*(1-$F123)+$S123*(1-$G123))*((1+Inputs!$D$7)^BX$2))))))))</f>
        <v>99.398972076831527</v>
      </c>
      <c r="BY123" s="88">
        <f>MAX(AI123,($E123*IF(BY$2&gt;Inputs!$D$5,0,IF(BY$2&gt;VLOOKUP($H123,Lists!$P$3:$Q$7,2),IF($N123=Lists!$K$3,IF($L123&lt;1,(($U123/$L123)*((1+Inputs!$D$7)^BY$2)),((INT(BY$2/$L123)-INT((BY$2-1)/$L123))*$U123*((1+Inputs!$D$7)^BY$2))),(Inputs!$D$8^((1-_xlfn.WEIBULL.DIST(BY$2,$M123,$L123,FALSE))/_xlfn.WEIBULL.DIST(BY$2,$M123,$L123,FALSE))*$U123*((1+Inputs!$D$7)^BY$2))),IF($N123=Lists!$K$3,IF($L123&lt;1,((($T123*(1-$F123)+$S123*(1-$G123))/$L123)*((1+Inputs!$D$7)^BY$2)),((INT(BY$2/$L123)-INT((BY$2-1)/$L123))*($T123*(1-$F123)+$S123*(1-$G123))*((1+Inputs!$D$7)^BY$2))),((Inputs!$D$8^((1-_xlfn.WEIBULL.DIST(BY$2,$M123,$L123,FALSE))/_xlfn.WEIBULL.DIST(BY$2,$M123,$L123,FALSE))*($T123*(1-$F123)+$S123*(1-$G123))*((1+Inputs!$D$7)^BY$2))))))))</f>
        <v>101.38695151836816</v>
      </c>
      <c r="BZ123" s="88">
        <f>MAX(AJ123,($E123*IF(BZ$2&gt;Inputs!$D$5,0,IF(BZ$2&gt;VLOOKUP($H123,Lists!$P$3:$Q$7,2),IF($N123=Lists!$K$3,IF($L123&lt;1,(($U123/$L123)*((1+Inputs!$D$7)^BZ$2)),((INT(BZ$2/$L123)-INT((BZ$2-1)/$L123))*$U123*((1+Inputs!$D$7)^BZ$2))),(Inputs!$D$8^((1-_xlfn.WEIBULL.DIST(BZ$2,$M123,$L123,FALSE))/_xlfn.WEIBULL.DIST(BZ$2,$M123,$L123,FALSE))*$U123*((1+Inputs!$D$7)^BZ$2))),IF($N123=Lists!$K$3,IF($L123&lt;1,((($T123*(1-$F123)+$S123*(1-$G123))/$L123)*((1+Inputs!$D$7)^BZ$2)),((INT(BZ$2/$L123)-INT((BZ$2-1)/$L123))*($T123*(1-$F123)+$S123*(1-$G123))*((1+Inputs!$D$7)^BZ$2))),((Inputs!$D$8^((1-_xlfn.WEIBULL.DIST(BZ$2,$M123,$L123,FALSE))/_xlfn.WEIBULL.DIST(BZ$2,$M123,$L123,FALSE))*($T123*(1-$F123)+$S123*(1-$G123))*((1+Inputs!$D$7)^BZ$2))))))))</f>
        <v>103.41469054873554</v>
      </c>
      <c r="CA123" s="88">
        <f>MAX(AK123,($E123*IF(CA$2&gt;Inputs!$D$5,0,IF(CA$2&gt;VLOOKUP($H123,Lists!$P$3:$Q$7,2),IF($N123=Lists!$K$3,IF($L123&lt;1,(($U123/$L123)*((1+Inputs!$D$7)^CA$2)),((INT(CA$2/$L123)-INT((CA$2-1)/$L123))*$U123*((1+Inputs!$D$7)^CA$2))),(Inputs!$D$8^((1-_xlfn.WEIBULL.DIST(CA$2,$M123,$L123,FALSE))/_xlfn.WEIBULL.DIST(CA$2,$M123,$L123,FALSE))*$U123*((1+Inputs!$D$7)^CA$2))),IF($N123=Lists!$K$3,IF($L123&lt;1,((($T123*(1-$F123)+$S123*(1-$G123))/$L123)*((1+Inputs!$D$7)^CA$2)),((INT(CA$2/$L123)-INT((CA$2-1)/$L123))*($T123*(1-$F123)+$S123*(1-$G123))*((1+Inputs!$D$7)^CA$2))),((Inputs!$D$8^((1-_xlfn.WEIBULL.DIST(CA$2,$M123,$L123,FALSE))/_xlfn.WEIBULL.DIST(CA$2,$M123,$L123,FALSE))*($T123*(1-$F123)+$S123*(1-$G123))*((1+Inputs!$D$7)^CA$2))))))))</f>
        <v>105.48298435971022</v>
      </c>
      <c r="CB123" s="88">
        <f>MAX(AL123,($E123*IF(CB$2&gt;Inputs!$D$5,0,IF(CB$2&gt;VLOOKUP($H123,Lists!$P$3:$Q$7,2),IF($N123=Lists!$K$3,IF($L123&lt;1,(($U123/$L123)*((1+Inputs!$D$7)^CB$2)),((INT(CB$2/$L123)-INT((CB$2-1)/$L123))*$U123*((1+Inputs!$D$7)^CB$2))),(Inputs!$D$8^((1-_xlfn.WEIBULL.DIST(CB$2,$M123,$L123,FALSE))/_xlfn.WEIBULL.DIST(CB$2,$M123,$L123,FALSE))*$U123*((1+Inputs!$D$7)^CB$2))),IF($N123=Lists!$K$3,IF($L123&lt;1,((($T123*(1-$F123)+$S123*(1-$G123))/$L123)*((1+Inputs!$D$7)^CB$2)),((INT(CB$2/$L123)-INT((CB$2-1)/$L123))*($T123*(1-$F123)+$S123*(1-$G123))*((1+Inputs!$D$7)^CB$2))),((Inputs!$D$8^((1-_xlfn.WEIBULL.DIST(CB$2,$M123,$L123,FALSE))/_xlfn.WEIBULL.DIST(CB$2,$M123,$L123,FALSE))*($T123*(1-$F123)+$S123*(1-$G123))*((1+Inputs!$D$7)^CB$2))))))))</f>
        <v>107.59264404690444</v>
      </c>
      <c r="CC123" s="88">
        <f>MAX(AM123,($E123*IF(CC$2&gt;Inputs!$D$5,0,IF(CC$2&gt;VLOOKUP($H123,Lists!$P$3:$Q$7,2),IF($N123=Lists!$K$3,IF($L123&lt;1,(($U123/$L123)*((1+Inputs!$D$7)^CC$2)),((INT(CC$2/$L123)-INT((CC$2-1)/$L123))*$U123*((1+Inputs!$D$7)^CC$2))),(Inputs!$D$8^((1-_xlfn.WEIBULL.DIST(CC$2,$M123,$L123,FALSE))/_xlfn.WEIBULL.DIST(CC$2,$M123,$L123,FALSE))*$U123*((1+Inputs!$D$7)^CC$2))),IF($N123=Lists!$K$3,IF($L123&lt;1,((($T123*(1-$F123)+$S123*(1-$G123))/$L123)*((1+Inputs!$D$7)^CC$2)),((INT(CC$2/$L123)-INT((CC$2-1)/$L123))*($T123*(1-$F123)+$S123*(1-$G123))*((1+Inputs!$D$7)^CC$2))),((Inputs!$D$8^((1-_xlfn.WEIBULL.DIST(CC$2,$M123,$L123,FALSE))/_xlfn.WEIBULL.DIST(CC$2,$M123,$L123,FALSE))*($T123*(1-$F123)+$S123*(1-$G123))*((1+Inputs!$D$7)^CC$2))))))))</f>
        <v>109.74449692784252</v>
      </c>
      <c r="CD123" s="88">
        <f>MAX(AN123,($E123*IF(CD$2&gt;Inputs!$D$5,0,IF(CD$2&gt;VLOOKUP($H123,Lists!$P$3:$Q$7,2),IF($N123=Lists!$K$3,IF($L123&lt;1,(($U123/$L123)*((1+Inputs!$D$7)^CD$2)),((INT(CD$2/$L123)-INT((CD$2-1)/$L123))*$U123*((1+Inputs!$D$7)^CD$2))),(Inputs!$D$8^((1-_xlfn.WEIBULL.DIST(CD$2,$M123,$L123,FALSE))/_xlfn.WEIBULL.DIST(CD$2,$M123,$L123,FALSE))*$U123*((1+Inputs!$D$7)^CD$2))),IF($N123=Lists!$K$3,IF($L123&lt;1,((($T123*(1-$F123)+$S123*(1-$G123))/$L123)*((1+Inputs!$D$7)^CD$2)),((INT(CD$2/$L123)-INT((CD$2-1)/$L123))*($T123*(1-$F123)+$S123*(1-$G123))*((1+Inputs!$D$7)^CD$2))),((Inputs!$D$8^((1-_xlfn.WEIBULL.DIST(CD$2,$M123,$L123,FALSE))/_xlfn.WEIBULL.DIST(CD$2,$M123,$L123,FALSE))*($T123*(1-$F123)+$S123*(1-$G123))*((1+Inputs!$D$7)^CD$2))))))))</f>
        <v>111.93938686639939</v>
      </c>
      <c r="CE123" s="88">
        <f>MAX(AO123,($E123*IF(CE$2&gt;Inputs!$D$5,0,IF(CE$2&gt;VLOOKUP($H123,Lists!$P$3:$Q$7,2),IF($N123=Lists!$K$3,IF($L123&lt;1,(($U123/$L123)*((1+Inputs!$D$7)^CE$2)),((INT(CE$2/$L123)-INT((CE$2-1)/$L123))*$U123*((1+Inputs!$D$7)^CE$2))),(Inputs!$D$8^((1-_xlfn.WEIBULL.DIST(CE$2,$M123,$L123,FALSE))/_xlfn.WEIBULL.DIST(CE$2,$M123,$L123,FALSE))*$U123*((1+Inputs!$D$7)^CE$2))),IF($N123=Lists!$K$3,IF($L123&lt;1,((($T123*(1-$F123)+$S123*(1-$G123))/$L123)*((1+Inputs!$D$7)^CE$2)),((INT(CE$2/$L123)-INT((CE$2-1)/$L123))*($T123*(1-$F123)+$S123*(1-$G123))*((1+Inputs!$D$7)^CE$2))),((Inputs!$D$8^((1-_xlfn.WEIBULL.DIST(CE$2,$M123,$L123,FALSE))/_xlfn.WEIBULL.DIST(CE$2,$M123,$L123,FALSE))*($T123*(1-$F123)+$S123*(1-$G123))*((1+Inputs!$D$7)^CE$2))))))))</f>
        <v>114.17817460372734</v>
      </c>
      <c r="CF123" s="88">
        <f>MAX(AP123,($E123*IF(CF$2&gt;Inputs!$D$5,0,IF(CF$2&gt;VLOOKUP($H123,Lists!$P$3:$Q$7,2),IF($N123=Lists!$K$3,IF($L123&lt;1,(($U123/$L123)*((1+Inputs!$D$7)^CF$2)),((INT(CF$2/$L123)-INT((CF$2-1)/$L123))*$U123*((1+Inputs!$D$7)^CF$2))),(Inputs!$D$8^((1-_xlfn.WEIBULL.DIST(CF$2,$M123,$L123,FALSE))/_xlfn.WEIBULL.DIST(CF$2,$M123,$L123,FALSE))*$U123*((1+Inputs!$D$7)^CF$2))),IF($N123=Lists!$K$3,IF($L123&lt;1,((($T123*(1-$F123)+$S123*(1-$G123))/$L123)*((1+Inputs!$D$7)^CF$2)),((INT(CF$2/$L123)-INT((CF$2-1)/$L123))*($T123*(1-$F123)+$S123*(1-$G123))*((1+Inputs!$D$7)^CF$2))),((Inputs!$D$8^((1-_xlfn.WEIBULL.DIST(CF$2,$M123,$L123,FALSE))/_xlfn.WEIBULL.DIST(CF$2,$M123,$L123,FALSE))*($T123*(1-$F123)+$S123*(1-$G123))*((1+Inputs!$D$7)^CF$2))))))))</f>
        <v>116.46173809580191</v>
      </c>
      <c r="CG123" s="88">
        <f>MAX(AQ123,($E123*IF(CG$2&gt;Inputs!$D$5,0,IF(CG$2&gt;VLOOKUP($H123,Lists!$P$3:$Q$7,2),IF($N123=Lists!$K$3,IF($L123&lt;1,(($U123/$L123)*((1+Inputs!$D$7)^CG$2)),((INT(CG$2/$L123)-INT((CG$2-1)/$L123))*$U123*((1+Inputs!$D$7)^CG$2))),(Inputs!$D$8^((1-_xlfn.WEIBULL.DIST(CG$2,$M123,$L123,FALSE))/_xlfn.WEIBULL.DIST(CG$2,$M123,$L123,FALSE))*$U123*((1+Inputs!$D$7)^CG$2))),IF($N123=Lists!$K$3,IF($L123&lt;1,((($T123*(1-$F123)+$S123*(1-$G123))/$L123)*((1+Inputs!$D$7)^CG$2)),((INT(CG$2/$L123)-INT((CG$2-1)/$L123))*($T123*(1-$F123)+$S123*(1-$G123))*((1+Inputs!$D$7)^CG$2))),((Inputs!$D$8^((1-_xlfn.WEIBULL.DIST(CG$2,$M123,$L123,FALSE))/_xlfn.WEIBULL.DIST(CG$2,$M123,$L123,FALSE))*($T123*(1-$F123)+$S123*(1-$G123))*((1+Inputs!$D$7)^CG$2))))))))</f>
        <v>118.79097285771796</v>
      </c>
      <c r="CH123" s="88">
        <f>MAX(AR123,($E123*IF(CH$2&gt;Inputs!$D$5,0,IF(CH$2&gt;VLOOKUP($H123,Lists!$P$3:$Q$7,2),IF($N123=Lists!$K$3,IF($L123&lt;1,(($U123/$L123)*((1+Inputs!$D$7)^CH$2)),((INT(CH$2/$L123)-INT((CH$2-1)/$L123))*$U123*((1+Inputs!$D$7)^CH$2))),(Inputs!$D$8^((1-_xlfn.WEIBULL.DIST(CH$2,$M123,$L123,FALSE))/_xlfn.WEIBULL.DIST(CH$2,$M123,$L123,FALSE))*$U123*((1+Inputs!$D$7)^CH$2))),IF($N123=Lists!$K$3,IF($L123&lt;1,((($T123*(1-$F123)+$S123*(1-$G123))/$L123)*((1+Inputs!$D$7)^CH$2)),((INT(CH$2/$L123)-INT((CH$2-1)/$L123))*($T123*(1-$F123)+$S123*(1-$G123))*((1+Inputs!$D$7)^CH$2))),((Inputs!$D$8^((1-_xlfn.WEIBULL.DIST(CH$2,$M123,$L123,FALSE))/_xlfn.WEIBULL.DIST(CH$2,$M123,$L123,FALSE))*($T123*(1-$F123)+$S123*(1-$G123))*((1+Inputs!$D$7)^CH$2))))))))</f>
        <v>121.16679231487231</v>
      </c>
      <c r="CI123" s="88">
        <f>MAX(AS123,($E123*IF(CI$2&gt;Inputs!$D$5,0,IF(CI$2&gt;VLOOKUP($H123,Lists!$P$3:$Q$7,2),IF($N123=Lists!$K$3,IF($L123&lt;1,(($U123/$L123)*((1+Inputs!$D$7)^CI$2)),((INT(CI$2/$L123)-INT((CI$2-1)/$L123))*$U123*((1+Inputs!$D$7)^CI$2))),(Inputs!$D$8^((1-_xlfn.WEIBULL.DIST(CI$2,$M123,$L123,FALSE))/_xlfn.WEIBULL.DIST(CI$2,$M123,$L123,FALSE))*$U123*((1+Inputs!$D$7)^CI$2))),IF($N123=Lists!$K$3,IF($L123&lt;1,((($T123*(1-$F123)+$S123*(1-$G123))/$L123)*((1+Inputs!$D$7)^CI$2)),((INT(CI$2/$L123)-INT((CI$2-1)/$L123))*($T123*(1-$F123)+$S123*(1-$G123))*((1+Inputs!$D$7)^CI$2))),((Inputs!$D$8^((1-_xlfn.WEIBULL.DIST(CI$2,$M123,$L123,FALSE))/_xlfn.WEIBULL.DIST(CI$2,$M123,$L123,FALSE))*($T123*(1-$F123)+$S123*(1-$G123))*((1+Inputs!$D$7)^CI$2))))))))</f>
        <v>123.59012816116974</v>
      </c>
      <c r="CJ123" s="88">
        <f>MAX(AT123,($E123*IF(CJ$2&gt;Inputs!$D$5,0,IF(CJ$2&gt;VLOOKUP($H123,Lists!$P$3:$Q$7,2),IF($N123=Lists!$K$3,IF($L123&lt;1,(($U123/$L123)*((1+Inputs!$D$7)^CJ$2)),((INT(CJ$2/$L123)-INT((CJ$2-1)/$L123))*$U123*((1+Inputs!$D$7)^CJ$2))),(Inputs!$D$8^((1-_xlfn.WEIBULL.DIST(CJ$2,$M123,$L123,FALSE))/_xlfn.WEIBULL.DIST(CJ$2,$M123,$L123,FALSE))*$U123*((1+Inputs!$D$7)^CJ$2))),IF($N123=Lists!$K$3,IF($L123&lt;1,((($T123*(1-$F123)+$S123*(1-$G123))/$L123)*((1+Inputs!$D$7)^CJ$2)),((INT(CJ$2/$L123)-INT((CJ$2-1)/$L123))*($T123*(1-$F123)+$S123*(1-$G123))*((1+Inputs!$D$7)^CJ$2))),((Inputs!$D$8^((1-_xlfn.WEIBULL.DIST(CJ$2,$M123,$L123,FALSE))/_xlfn.WEIBULL.DIST(CJ$2,$M123,$L123,FALSE))*($T123*(1-$F123)+$S123*(1-$G123))*((1+Inputs!$D$7)^CJ$2))))))))</f>
        <v>126.06193072439315</v>
      </c>
      <c r="CK123" s="88">
        <f>MAX(AU123,($E123*IF(CK$2&gt;Inputs!$D$5,0,IF(CK$2&gt;VLOOKUP($H123,Lists!$P$3:$Q$7,2),IF($N123=Lists!$K$3,IF($L123&lt;1,(($U123/$L123)*((1+Inputs!$D$7)^CK$2)),((INT(CK$2/$L123)-INT((CK$2-1)/$L123))*$U123*((1+Inputs!$D$7)^CK$2))),(Inputs!$D$8^((1-_xlfn.WEIBULL.DIST(CK$2,$M123,$L123,FALSE))/_xlfn.WEIBULL.DIST(CK$2,$M123,$L123,FALSE))*$U123*((1+Inputs!$D$7)^CK$2))),IF($N123=Lists!$K$3,IF($L123&lt;1,((($T123*(1-$F123)+$S123*(1-$G123))/$L123)*((1+Inputs!$D$7)^CK$2)),((INT(CK$2/$L123)-INT((CK$2-1)/$L123))*($T123*(1-$F123)+$S123*(1-$G123))*((1+Inputs!$D$7)^CK$2))),((Inputs!$D$8^((1-_xlfn.WEIBULL.DIST(CK$2,$M123,$L123,FALSE))/_xlfn.WEIBULL.DIST(CK$2,$M123,$L123,FALSE))*($T123*(1-$F123)+$S123*(1-$G123))*((1+Inputs!$D$7)^CK$2))))))))</f>
        <v>128.58316933888102</v>
      </c>
      <c r="CL123" s="88">
        <f>MAX(AV123,($E123*IF(CL$2&gt;Inputs!$D$5,0,IF(CL$2&gt;VLOOKUP($H123,Lists!$P$3:$Q$7,2),IF($N123=Lists!$K$3,IF($L123&lt;1,(($U123/$L123)*((1+Inputs!$D$7)^CL$2)),((INT(CL$2/$L123)-INT((CL$2-1)/$L123))*$U123*((1+Inputs!$D$7)^CL$2))),(Inputs!$D$8^((1-_xlfn.WEIBULL.DIST(CL$2,$M123,$L123,FALSE))/_xlfn.WEIBULL.DIST(CL$2,$M123,$L123,FALSE))*$U123*((1+Inputs!$D$7)^CL$2))),IF($N123=Lists!$K$3,IF($L123&lt;1,((($T123*(1-$F123)+$S123*(1-$G123))/$L123)*((1+Inputs!$D$7)^CL$2)),((INT(CL$2/$L123)-INT((CL$2-1)/$L123))*($T123*(1-$F123)+$S123*(1-$G123))*((1+Inputs!$D$7)^CL$2))),((Inputs!$D$8^((1-_xlfn.WEIBULL.DIST(CL$2,$M123,$L123,FALSE))/_xlfn.WEIBULL.DIST(CL$2,$M123,$L123,FALSE))*($T123*(1-$F123)+$S123*(1-$G123))*((1+Inputs!$D$7)^CL$2))))))))</f>
        <v>131.15483272565862</v>
      </c>
      <c r="CM123" s="88">
        <f>MAX(AW123,($E123*IF(CM$2&gt;Inputs!$D$5,0,IF(CM$2&gt;VLOOKUP($H123,Lists!$P$3:$Q$7,2),IF($N123=Lists!$K$3,IF($L123&lt;1,(($U123/$L123)*((1+Inputs!$D$7)^CM$2)),((INT(CM$2/$L123)-INT((CM$2-1)/$L123))*$U123*((1+Inputs!$D$7)^CM$2))),(Inputs!$D$8^((1-_xlfn.WEIBULL.DIST(CM$2,$M123,$L123,FALSE))/_xlfn.WEIBULL.DIST(CM$2,$M123,$L123,FALSE))*$U123*((1+Inputs!$D$7)^CM$2))),IF($N123=Lists!$K$3,IF($L123&lt;1,((($T123*(1-$F123)+$S123*(1-$G123))/$L123)*((1+Inputs!$D$7)^CM$2)),((INT(CM$2/$L123)-INT((CM$2-1)/$L123))*($T123*(1-$F123)+$S123*(1-$G123))*((1+Inputs!$D$7)^CM$2))),((Inputs!$D$8^((1-_xlfn.WEIBULL.DIST(CM$2,$M123,$L123,FALSE))/_xlfn.WEIBULL.DIST(CM$2,$M123,$L123,FALSE))*($T123*(1-$F123)+$S123*(1-$G123))*((1+Inputs!$D$7)^CM$2))))))))</f>
        <v>133.77792938017177</v>
      </c>
      <c r="CN123" s="88">
        <f>MAX(AX123,($E123*IF(CN$2&gt;Inputs!$D$5,0,IF(CN$2&gt;VLOOKUP($H123,Lists!$P$3:$Q$7,2),IF($N123=Lists!$K$3,IF($L123&lt;1,(($U123/$L123)*((1+Inputs!$D$7)^CN$2)),((INT(CN$2/$L123)-INT((CN$2-1)/$L123))*$U123*((1+Inputs!$D$7)^CN$2))),(Inputs!$D$8^((1-_xlfn.WEIBULL.DIST(CN$2,$M123,$L123,FALSE))/_xlfn.WEIBULL.DIST(CN$2,$M123,$L123,FALSE))*$U123*((1+Inputs!$D$7)^CN$2))),IF($N123=Lists!$K$3,IF($L123&lt;1,((($T123*(1-$F123)+$S123*(1-$G123))/$L123)*((1+Inputs!$D$7)^CN$2)),((INT(CN$2/$L123)-INT((CN$2-1)/$L123))*($T123*(1-$F123)+$S123*(1-$G123))*((1+Inputs!$D$7)^CN$2))),((Inputs!$D$8^((1-_xlfn.WEIBULL.DIST(CN$2,$M123,$L123,FALSE))/_xlfn.WEIBULL.DIST(CN$2,$M123,$L123,FALSE))*($T123*(1-$F123)+$S123*(1-$G123))*((1+Inputs!$D$7)^CN$2))))))))</f>
        <v>136.45348796777523</v>
      </c>
      <c r="CO123" s="88">
        <f>MAX(AY123,($E123*IF(CO$2&gt;Inputs!$D$5,0,IF(CO$2&gt;VLOOKUP($H123,Lists!$P$3:$Q$7,2),IF($N123=Lists!$K$3,IF($L123&lt;1,(($U123/$L123)*((1+Inputs!$D$7)^CO$2)),((INT(CO$2/$L123)-INT((CO$2-1)/$L123))*$U123*((1+Inputs!$D$7)^CO$2))),(Inputs!$D$8^((1-_xlfn.WEIBULL.DIST(CO$2,$M123,$L123,FALSE))/_xlfn.WEIBULL.DIST(CO$2,$M123,$L123,FALSE))*$U123*((1+Inputs!$D$7)^CO$2))),IF($N123=Lists!$K$3,IF($L123&lt;1,((($T123*(1-$F123)+$S123*(1-$G123))/$L123)*((1+Inputs!$D$7)^CO$2)),((INT(CO$2/$L123)-INT((CO$2-1)/$L123))*($T123*(1-$F123)+$S123*(1-$G123))*((1+Inputs!$D$7)^CO$2))),((Inputs!$D$8^((1-_xlfn.WEIBULL.DIST(CO$2,$M123,$L123,FALSE))/_xlfn.WEIBULL.DIST(CO$2,$M123,$L123,FALSE))*($T123*(1-$F123)+$S123*(1-$G123))*((1+Inputs!$D$7)^CO$2))))))))</f>
        <v>139.18255772713073</v>
      </c>
      <c r="CP123" s="88">
        <f>MAX(AZ123,($E123*IF(CP$2&gt;Inputs!$D$5,0,IF(CP$2&gt;VLOOKUP($H123,Lists!$P$3:$Q$7,2),IF($N123=Lists!$K$3,IF($L123&lt;1,(($U123/$L123)*((1+Inputs!$D$7)^CP$2)),((INT(CP$2/$L123)-INT((CP$2-1)/$L123))*$U123*((1+Inputs!$D$7)^CP$2))),(Inputs!$D$8^((1-_xlfn.WEIBULL.DIST(CP$2,$M123,$L123,FALSE))/_xlfn.WEIBULL.DIST(CP$2,$M123,$L123,FALSE))*$U123*((1+Inputs!$D$7)^CP$2))),IF($N123=Lists!$K$3,IF($L123&lt;1,((($T123*(1-$F123)+$S123*(1-$G123))/$L123)*((1+Inputs!$D$7)^CP$2)),((INT(CP$2/$L123)-INT((CP$2-1)/$L123))*($T123*(1-$F123)+$S123*(1-$G123))*((1+Inputs!$D$7)^CP$2))),((Inputs!$D$8^((1-_xlfn.WEIBULL.DIST(CP$2,$M123,$L123,FALSE))/_xlfn.WEIBULL.DIST(CP$2,$M123,$L123,FALSE))*($T123*(1-$F123)+$S123*(1-$G123))*((1+Inputs!$D$7)^CP$2))))))))</f>
        <v>0</v>
      </c>
      <c r="CQ123" s="88">
        <f>MAX(BA123,($E123*IF(CQ$2&gt;Inputs!$D$5,0,IF(CQ$2&gt;VLOOKUP($H123,Lists!$P$3:$Q$7,2),IF($N123=Lists!$K$3,IF($L123&lt;1,(($U123/$L123)*((1+Inputs!$D$7)^CQ$2)),((INT(CQ$2/$L123)-INT((CQ$2-1)/$L123))*$U123*((1+Inputs!$D$7)^CQ$2))),(Inputs!$D$8^((1-_xlfn.WEIBULL.DIST(CQ$2,$M123,$L123,FALSE))/_xlfn.WEIBULL.DIST(CQ$2,$M123,$L123,FALSE))*$U123*((1+Inputs!$D$7)^CQ$2))),IF($N123=Lists!$K$3,IF($L123&lt;1,((($T123*(1-$F123)+$S123*(1-$G123))/$L123)*((1+Inputs!$D$7)^CQ$2)),((INT(CQ$2/$L123)-INT((CQ$2-1)/$L123))*($T123*(1-$F123)+$S123*(1-$G123))*((1+Inputs!$D$7)^CQ$2))),((Inputs!$D$8^((1-_xlfn.WEIBULL.DIST(CQ$2,$M123,$L123,FALSE))/_xlfn.WEIBULL.DIST(CQ$2,$M123,$L123,FALSE))*($T123*(1-$F123)+$S123*(1-$G123))*((1+Inputs!$D$7)^CQ$2))))))))</f>
        <v>0</v>
      </c>
      <c r="CR123" s="88">
        <f>MAX(BB123,($E123*IF(CR$2&gt;Inputs!$D$5,0,IF(CR$2&gt;VLOOKUP($H123,Lists!$P$3:$Q$7,2),IF($N123=Lists!$K$3,IF($L123&lt;1,(($U123/$L123)*((1+Inputs!$D$7)^CR$2)),((INT(CR$2/$L123)-INT((CR$2-1)/$L123))*$U123*((1+Inputs!$D$7)^CR$2))),(Inputs!$D$8^((1-_xlfn.WEIBULL.DIST(CR$2,$M123,$L123,FALSE))/_xlfn.WEIBULL.DIST(CR$2,$M123,$L123,FALSE))*$U123*((1+Inputs!$D$7)^CR$2))),IF($N123=Lists!$K$3,IF($L123&lt;1,((($T123*(1-$F123)+$S123*(1-$G123))/$L123)*((1+Inputs!$D$7)^CR$2)),((INT(CR$2/$L123)-INT((CR$2-1)/$L123))*($T123*(1-$F123)+$S123*(1-$G123))*((1+Inputs!$D$7)^CR$2))),((Inputs!$D$8^((1-_xlfn.WEIBULL.DIST(CR$2,$M123,$L123,FALSE))/_xlfn.WEIBULL.DIST(CR$2,$M123,$L123,FALSE))*($T123*(1-$F123)+$S123*(1-$G123))*((1+Inputs!$D$7)^CR$2))))))))</f>
        <v>0</v>
      </c>
      <c r="CS123" s="88">
        <f>MAX(BC123,($E123*IF(CS$2&gt;Inputs!$D$5,0,IF(CS$2&gt;VLOOKUP($H123,Lists!$P$3:$Q$7,2),IF($N123=Lists!$K$3,IF($L123&lt;1,(($U123/$L123)*((1+Inputs!$D$7)^CS$2)),((INT(CS$2/$L123)-INT((CS$2-1)/$L123))*$U123*((1+Inputs!$D$7)^CS$2))),(Inputs!$D$8^((1-_xlfn.WEIBULL.DIST(CS$2,$M123,$L123,FALSE))/_xlfn.WEIBULL.DIST(CS$2,$M123,$L123,FALSE))*$U123*((1+Inputs!$D$7)^CS$2))),IF($N123=Lists!$K$3,IF($L123&lt;1,((($T123*(1-$F123)+$S123*(1-$G123))/$L123)*((1+Inputs!$D$7)^CS$2)),((INT(CS$2/$L123)-INT((CS$2-1)/$L123))*($T123*(1-$F123)+$S123*(1-$G123))*((1+Inputs!$D$7)^CS$2))),((Inputs!$D$8^((1-_xlfn.WEIBULL.DIST(CS$2,$M123,$L123,FALSE))/_xlfn.WEIBULL.DIST(CS$2,$M123,$L123,FALSE))*($T123*(1-$F123)+$S123*(1-$G123))*((1+Inputs!$D$7)^CS$2))))))))</f>
        <v>0</v>
      </c>
      <c r="CT123" s="88">
        <f>MAX(BD123,($E123*IF(CT$2&gt;Inputs!$D$5,0,IF(CT$2&gt;VLOOKUP($H123,Lists!$P$3:$Q$7,2),IF($N123=Lists!$K$3,IF($L123&lt;1,(($U123/$L123)*((1+Inputs!$D$7)^CT$2)),((INT(CT$2/$L123)-INT((CT$2-1)/$L123))*$U123*((1+Inputs!$D$7)^CT$2))),(Inputs!$D$8^((1-_xlfn.WEIBULL.DIST(CT$2,$M123,$L123,FALSE))/_xlfn.WEIBULL.DIST(CT$2,$M123,$L123,FALSE))*$U123*((1+Inputs!$D$7)^CT$2))),IF($N123=Lists!$K$3,IF($L123&lt;1,((($T123*(1-$F123)+$S123*(1-$G123))/$L123)*((1+Inputs!$D$7)^CT$2)),((INT(CT$2/$L123)-INT((CT$2-1)/$L123))*($T123*(1-$F123)+$S123*(1-$G123))*((1+Inputs!$D$7)^CT$2))),((Inputs!$D$8^((1-_xlfn.WEIBULL.DIST(CT$2,$M123,$L123,FALSE))/_xlfn.WEIBULL.DIST(CT$2,$M123,$L123,FALSE))*($T123*(1-$F123)+$S123*(1-$G123))*((1+Inputs!$D$7)^CT$2))))))))</f>
        <v>0</v>
      </c>
      <c r="CU123" s="88">
        <f>MAX(BE123,($E123*IF(CU$2&gt;Inputs!$D$5,0,IF(CU$2&gt;VLOOKUP($H123,Lists!$P$3:$Q$7,2),IF($N123=Lists!$K$3,IF($L123&lt;1,(($U123/$L123)*((1+Inputs!$D$7)^CU$2)),((INT(CU$2/$L123)-INT((CU$2-1)/$L123))*$U123*((1+Inputs!$D$7)^CU$2))),(Inputs!$D$8^((1-_xlfn.WEIBULL.DIST(CU$2,$M123,$L123,FALSE))/_xlfn.WEIBULL.DIST(CU$2,$M123,$L123,FALSE))*$U123*((1+Inputs!$D$7)^CU$2))),IF($N123=Lists!$K$3,IF($L123&lt;1,((($T123*(1-$F123)+$S123*(1-$G123))/$L123)*((1+Inputs!$D$7)^CU$2)),((INT(CU$2/$L123)-INT((CU$2-1)/$L123))*($T123*(1-$F123)+$S123*(1-$G123))*((1+Inputs!$D$7)^CU$2))),((Inputs!$D$8^((1-_xlfn.WEIBULL.DIST(CU$2,$M123,$L123,FALSE))/_xlfn.WEIBULL.DIST(CU$2,$M123,$L123,FALSE))*($T123*(1-$F123)+$S123*(1-$G123))*((1+Inputs!$D$7)^CU$2))))))))</f>
        <v>0</v>
      </c>
      <c r="CV123" s="88">
        <f>MAX(BF123,($E123*IF(CV$2&gt;Inputs!$D$5,0,IF(CV$2&gt;VLOOKUP($H123,Lists!$P$3:$Q$7,2),IF($N123=Lists!$K$3,IF($L123&lt;1,(($U123/$L123)*((1+Inputs!$D$7)^CV$2)),((INT(CV$2/$L123)-INT((CV$2-1)/$L123))*$U123*((1+Inputs!$D$7)^CV$2))),(Inputs!$D$8^((1-_xlfn.WEIBULL.DIST(CV$2,$M123,$L123,FALSE))/_xlfn.WEIBULL.DIST(CV$2,$M123,$L123,FALSE))*$U123*((1+Inputs!$D$7)^CV$2))),IF($N123=Lists!$K$3,IF($L123&lt;1,((($T123*(1-$F123)+$S123*(1-$G123))/$L123)*((1+Inputs!$D$7)^CV$2)),((INT(CV$2/$L123)-INT((CV$2-1)/$L123))*($T123*(1-$F123)+$S123*(1-$G123))*((1+Inputs!$D$7)^CV$2))),((Inputs!$D$8^((1-_xlfn.WEIBULL.DIST(CV$2,$M123,$L123,FALSE))/_xlfn.WEIBULL.DIST(CV$2,$M123,$L123,FALSE))*($T123*(1-$F123)+$S123*(1-$G123))*((1+Inputs!$D$7)^CV$2))))))))</f>
        <v>0</v>
      </c>
      <c r="CW123" s="88">
        <f>MAX(BG123,($E123*IF(CW$2&gt;Inputs!$D$5,0,IF(CW$2&gt;VLOOKUP($H123,Lists!$P$3:$Q$7,2),IF($N123=Lists!$K$3,IF($L123&lt;1,(($U123/$L123)*((1+Inputs!$D$7)^CW$2)),((INT(CW$2/$L123)-INT((CW$2-1)/$L123))*$U123*((1+Inputs!$D$7)^CW$2))),(Inputs!$D$8^((1-_xlfn.WEIBULL.DIST(CW$2,$M123,$L123,FALSE))/_xlfn.WEIBULL.DIST(CW$2,$M123,$L123,FALSE))*$U123*((1+Inputs!$D$7)^CW$2))),IF($N123=Lists!$K$3,IF($L123&lt;1,((($T123*(1-$F123)+$S123*(1-$G123))/$L123)*((1+Inputs!$D$7)^CW$2)),((INT(CW$2/$L123)-INT((CW$2-1)/$L123))*($T123*(1-$F123)+$S123*(1-$G123))*((1+Inputs!$D$7)^CW$2))),((Inputs!$D$8^((1-_xlfn.WEIBULL.DIST(CW$2,$M123,$L123,FALSE))/_xlfn.WEIBULL.DIST(CW$2,$M123,$L123,FALSE))*($T123*(1-$F123)+$S123*(1-$G123))*((1+Inputs!$D$7)^CW$2))))))))</f>
        <v>0</v>
      </c>
      <c r="CX123" s="88">
        <f>MAX(BH123,($E123*IF(CX$2&gt;Inputs!$D$5,0,IF(CX$2&gt;VLOOKUP($H123,Lists!$P$3:$Q$7,2),IF($N123=Lists!$K$3,IF($L123&lt;1,(($U123/$L123)*((1+Inputs!$D$7)^CX$2)),((INT(CX$2/$L123)-INT((CX$2-1)/$L123))*$U123*((1+Inputs!$D$7)^CX$2))),(Inputs!$D$8^((1-_xlfn.WEIBULL.DIST(CX$2,$M123,$L123,FALSE))/_xlfn.WEIBULL.DIST(CX$2,$M123,$L123,FALSE))*$U123*((1+Inputs!$D$7)^CX$2))),IF($N123=Lists!$K$3,IF($L123&lt;1,((($T123*(1-$F123)+$S123*(1-$G123))/$L123)*((1+Inputs!$D$7)^CX$2)),((INT(CX$2/$L123)-INT((CX$2-1)/$L123))*($T123*(1-$F123)+$S123*(1-$G123))*((1+Inputs!$D$7)^CX$2))),((Inputs!$D$8^((1-_xlfn.WEIBULL.DIST(CX$2,$M123,$L123,FALSE))/_xlfn.WEIBULL.DIST(CX$2,$M123,$L123,FALSE))*($T123*(1-$F123)+$S123*(1-$G123))*((1+Inputs!$D$7)^CX$2))))))))</f>
        <v>0</v>
      </c>
      <c r="CY123" s="88">
        <f>MAX(BI123,($E123*IF(CY$2&gt;Inputs!$D$5,0,IF(CY$2&gt;VLOOKUP($H123,Lists!$P$3:$Q$7,2),IF($N123=Lists!$K$3,IF($L123&lt;1,(($U123/$L123)*((1+Inputs!$D$7)^CY$2)),((INT(CY$2/$L123)-INT((CY$2-1)/$L123))*$U123*((1+Inputs!$D$7)^CY$2))),(Inputs!$D$8^((1-_xlfn.WEIBULL.DIST(CY$2,$M123,$L123,FALSE))/_xlfn.WEIBULL.DIST(CY$2,$M123,$L123,FALSE))*$U123*((1+Inputs!$D$7)^CY$2))),IF($N123=Lists!$K$3,IF($L123&lt;1,((($T123*(1-$F123)+$S123*(1-$G123))/$L123)*((1+Inputs!$D$7)^CY$2)),((INT(CY$2/$L123)-INT((CY$2-1)/$L123))*($T123*(1-$F123)+$S123*(1-$G123))*((1+Inputs!$D$7)^CY$2))),((Inputs!$D$8^((1-_xlfn.WEIBULL.DIST(CY$2,$M123,$L123,FALSE))/_xlfn.WEIBULL.DIST(CY$2,$M123,$L123,FALSE))*($T123*(1-$F123)+$S123*(1-$G123))*((1+Inputs!$D$7)^CY$2))))))))</f>
        <v>0</v>
      </c>
      <c r="CZ123" s="88">
        <f>MAX(BJ123,($E123*IF(CZ$2&gt;Inputs!$D$5,0,IF(CZ$2&gt;VLOOKUP($H123,Lists!$P$3:$Q$7,2),IF($N123=Lists!$K$3,IF($L123&lt;1,(($U123/$L123)*((1+Inputs!$D$7)^CZ$2)),((INT(CZ$2/$L123)-INT((CZ$2-1)/$L123))*$U123*((1+Inputs!$D$7)^CZ$2))),(Inputs!$D$8^((1-_xlfn.WEIBULL.DIST(CZ$2,$M123,$L123,FALSE))/_xlfn.WEIBULL.DIST(CZ$2,$M123,$L123,FALSE))*$U123*((1+Inputs!$D$7)^CZ$2))),IF($N123=Lists!$K$3,IF($L123&lt;1,((($T123*(1-$F123)+$S123*(1-$G123))/$L123)*((1+Inputs!$D$7)^CZ$2)),((INT(CZ$2/$L123)-INT((CZ$2-1)/$L123))*($T123*(1-$F123)+$S123*(1-$G123))*((1+Inputs!$D$7)^CZ$2))),((Inputs!$D$8^((1-_xlfn.WEIBULL.DIST(CZ$2,$M123,$L123,FALSE))/_xlfn.WEIBULL.DIST(CZ$2,$M123,$L123,FALSE))*($T123*(1-$F123)+$S123*(1-$G123))*((1+Inputs!$D$7)^CZ$2))))))))</f>
        <v>0</v>
      </c>
      <c r="DA123" s="88">
        <f>MAX(BK123,($E123*IF(DA$2&gt;Inputs!$D$5,0,IF(DA$2&gt;VLOOKUP($H123,Lists!$P$3:$Q$7,2),IF($N123=Lists!$K$3,IF($L123&lt;1,(($U123/$L123)*((1+Inputs!$D$7)^DA$2)),((INT(DA$2/$L123)-INT((DA$2-1)/$L123))*$U123*((1+Inputs!$D$7)^DA$2))),(Inputs!$D$8^((1-_xlfn.WEIBULL.DIST(DA$2,$M123,$L123,FALSE))/_xlfn.WEIBULL.DIST(DA$2,$M123,$L123,FALSE))*$U123*((1+Inputs!$D$7)^DA$2))),IF($N123=Lists!$K$3,IF($L123&lt;1,((($T123*(1-$F123)+$S123*(1-$G123))/$L123)*((1+Inputs!$D$7)^DA$2)),((INT(DA$2/$L123)-INT((DA$2-1)/$L123))*($T123*(1-$F123)+$S123*(1-$G123))*((1+Inputs!$D$7)^DA$2))),((Inputs!$D$8^((1-_xlfn.WEIBULL.DIST(DA$2,$M123,$L123,FALSE))/_xlfn.WEIBULL.DIST(DA$2,$M123,$L123,FALSE))*($T123*(1-$F123)+$S123*(1-$G123))*((1+Inputs!$D$7)^DA$2))))))))</f>
        <v>0</v>
      </c>
      <c r="DB123" s="88">
        <f>MAX(BL123,($E123*IF(DB$2&gt;Inputs!$D$5,0,IF(DB$2&gt;VLOOKUP($H123,Lists!$P$3:$Q$7,2),IF($N123=Lists!$K$3,IF($L123&lt;1,(($U123/$L123)*((1+Inputs!$D$7)^DB$2)),((INT(DB$2/$L123)-INT((DB$2-1)/$L123))*$U123*((1+Inputs!$D$7)^DB$2))),(Inputs!$D$8^((1-_xlfn.WEIBULL.DIST(DB$2,$M123,$L123,FALSE))/_xlfn.WEIBULL.DIST(DB$2,$M123,$L123,FALSE))*$U123*((1+Inputs!$D$7)^DB$2))),IF($N123=Lists!$K$3,IF($L123&lt;1,((($T123*(1-$F123)+$S123*(1-$G123))/$L123)*((1+Inputs!$D$7)^DB$2)),((INT(DB$2/$L123)-INT((DB$2-1)/$L123))*($T123*(1-$F123)+$S123*(1-$G123))*((1+Inputs!$D$7)^DB$2))),((Inputs!$D$8^((1-_xlfn.WEIBULL.DIST(DB$2,$M123,$L123,FALSE))/_xlfn.WEIBULL.DIST(DB$2,$M123,$L123,FALSE))*($T123*(1-$F123)+$S123*(1-$G123))*((1+Inputs!$D$7)^DB$2))))))))</f>
        <v>0</v>
      </c>
      <c r="DC123" s="88">
        <f>MAX(BM123,($E123*IF(DC$2&gt;Inputs!$D$5,0,IF(DC$2&gt;VLOOKUP($H123,Lists!$P$3:$Q$7,2),IF($N123=Lists!$K$3,IF($L123&lt;1,(($U123/$L123)*((1+Inputs!$D$7)^DC$2)),((INT(DC$2/$L123)-INT((DC$2-1)/$L123))*$U123*((1+Inputs!$D$7)^DC$2))),(Inputs!$D$8^((1-_xlfn.WEIBULL.DIST(DC$2,$M123,$L123,FALSE))/_xlfn.WEIBULL.DIST(DC$2,$M123,$L123,FALSE))*$U123*((1+Inputs!$D$7)^DC$2))),IF($N123=Lists!$K$3,IF($L123&lt;1,((($T123*(1-$F123)+$S123*(1-$G123))/$L123)*((1+Inputs!$D$7)^DC$2)),((INT(DC$2/$L123)-INT((DC$2-1)/$L123))*($T123*(1-$F123)+$S123*(1-$G123))*((1+Inputs!$D$7)^DC$2))),((Inputs!$D$8^((1-_xlfn.WEIBULL.DIST(DC$2,$M123,$L123,FALSE))/_xlfn.WEIBULL.DIST(DC$2,$M123,$L123,FALSE))*($T123*(1-$F123)+$S123*(1-$G123))*((1+Inputs!$D$7)^DC$2))))))))</f>
        <v>0</v>
      </c>
      <c r="DD123" s="88">
        <f>MAX(BN123,($E123*IF(DD$2&gt;Inputs!$D$5,0,IF(DD$2&gt;VLOOKUP($H123,Lists!$P$3:$Q$7,2),IF($N123=Lists!$K$3,IF($L123&lt;1,(($U123/$L123)*((1+Inputs!$D$7)^DD$2)),((INT(DD$2/$L123)-INT((DD$2-1)/$L123))*$U123*((1+Inputs!$D$7)^DD$2))),(Inputs!$D$8^((1-_xlfn.WEIBULL.DIST(DD$2,$M123,$L123,FALSE))/_xlfn.WEIBULL.DIST(DD$2,$M123,$L123,FALSE))*$U123*((1+Inputs!$D$7)^DD$2))),IF($N123=Lists!$K$3,IF($L123&lt;1,((($T123*(1-$F123)+$S123*(1-$G123))/$L123)*((1+Inputs!$D$7)^DD$2)),((INT(DD$2/$L123)-INT((DD$2-1)/$L123))*($T123*(1-$F123)+$S123*(1-$G123))*((1+Inputs!$D$7)^DD$2))),((Inputs!$D$8^((1-_xlfn.WEIBULL.DIST(DD$2,$M123,$L123,FALSE))/_xlfn.WEIBULL.DIST(DD$2,$M123,$L123,FALSE))*($T123*(1-$F123)+$S123*(1-$G123))*((1+Inputs!$D$7)^DD$2))))))))</f>
        <v>0</v>
      </c>
    </row>
    <row r="124" spans="1:108" ht="30.75" customHeight="1">
      <c r="A124" s="57" t="s">
        <v>13</v>
      </c>
      <c r="B124" s="13" t="s">
        <v>279</v>
      </c>
      <c r="C124" s="13" t="s">
        <v>472</v>
      </c>
      <c r="D124" s="13" t="s">
        <v>37</v>
      </c>
      <c r="E124" s="89">
        <f>IF(Inputs!$D$54=Lists!$AA$3,0,1)</f>
        <v>1</v>
      </c>
      <c r="F124" s="48">
        <v>0</v>
      </c>
      <c r="G124" s="48">
        <v>0</v>
      </c>
      <c r="H124" s="133" t="s">
        <v>350</v>
      </c>
      <c r="I124" s="14" t="s">
        <v>270</v>
      </c>
      <c r="J124" s="14" t="s">
        <v>86</v>
      </c>
      <c r="K124" s="13">
        <f>VLOOKUP(J124,'Labor Rates'!$A$1:$F$16,2)</f>
        <v>29.298461538461535</v>
      </c>
      <c r="L124" s="15">
        <v>0.5</v>
      </c>
      <c r="M124" s="15">
        <v>1</v>
      </c>
      <c r="N124" s="127" t="s">
        <v>236</v>
      </c>
      <c r="O124" s="61">
        <f>Inputs!$D$56*E124</f>
        <v>10.245901639344263</v>
      </c>
      <c r="P124" s="15">
        <v>0.25</v>
      </c>
      <c r="Q124" s="15">
        <f t="shared" si="21"/>
        <v>5.1229508196721314</v>
      </c>
      <c r="R124" s="4">
        <v>0</v>
      </c>
      <c r="S124" s="53">
        <f t="shared" si="22"/>
        <v>75.047288776796961</v>
      </c>
      <c r="T124" s="53">
        <f t="shared" si="23"/>
        <v>0</v>
      </c>
      <c r="U124" s="54">
        <f t="shared" si="24"/>
        <v>75.047288776796961</v>
      </c>
      <c r="V124" s="65"/>
      <c r="W124" s="58"/>
      <c r="X124" s="64">
        <f t="shared" si="25"/>
        <v>185.99207623723231</v>
      </c>
      <c r="Y124" s="64">
        <f>NPV(Inputs!$D$6,AA124:BN124)</f>
        <v>2136.3684342238193</v>
      </c>
      <c r="Z124" s="67">
        <f t="shared" si="26"/>
        <v>1.0076156525992972E-3</v>
      </c>
      <c r="AA124" s="88">
        <f>$E124*IF(AA$2&gt;Inputs!$D$5,0,IF(AA$2&gt;VLOOKUP($H124,Lists!$P$3:$Q$7,2),IF($N124=Lists!$K$3,IF($L124&lt;1,(($U124/$L124)*((1+Inputs!$D$7)^AA$2)),((INT(AA$2/$L124)-INT((AA$2-1)/$L124))*$U124*((1+Inputs!$D$7)^AA$2))),(_xlfn.WEIBULL.DIST(AA$2,$M124,$L124,FALSE)*$U124*((1+Inputs!$D$7)^AA$2))),IF($N124=Lists!$K$3,IF($L124&lt;1,((($T124*(1-$F124)+$S124*(1-$G124))/$L124)*((1+Inputs!$D$7)^AA$2)),((INT(AA$2/$L124)-INT((AA$2-1)/$L124))*($T124*(1-$F124)+$S124*(1-$G124))*((1+Inputs!$D$7)^AA$2))),((_xlfn.WEIBULL.DIST(AA$2,$M124,$L124,FALSE)*($T124*(1-$F124)+$S124*(1-$G124))*((1+Inputs!$D$7)^AA$2))))))</f>
        <v>153.0964691046658</v>
      </c>
      <c r="AB124" s="88">
        <f>$E124*IF(AB$2&gt;Inputs!$D$5,0,IF(AB$2&gt;VLOOKUP($H124,Lists!$P$3:$Q$7,2),IF($N124=Lists!$K$3,IF($L124&lt;1,(($U124/$L124)*((1+Inputs!$D$7)^AB$2)),((INT(AB$2/$L124)-INT((AB$2-1)/$L124))*$U124*((1+Inputs!$D$7)^AB$2))),(_xlfn.WEIBULL.DIST(AB$2,$M124,$L124,FALSE)*$U124*((1+Inputs!$D$7)^AB$2))),IF($N124=Lists!$K$3,IF($L124&lt;1,((($T124*(1-$F124)+$S124*(1-$G124))/$L124)*((1+Inputs!$D$7)^AB$2)),((INT(AB$2/$L124)-INT((AB$2-1)/$L124))*($T124*(1-$F124)+$S124*(1-$G124))*((1+Inputs!$D$7)^AB$2))),((_xlfn.WEIBULL.DIST(AB$2,$M124,$L124,FALSE)*($T124*(1-$F124)+$S124*(1-$G124))*((1+Inputs!$D$7)^AB$2))))))</f>
        <v>156.15839848675913</v>
      </c>
      <c r="AC124" s="88">
        <f>$E124*IF(AC$2&gt;Inputs!$D$5,0,IF(AC$2&gt;VLOOKUP($H124,Lists!$P$3:$Q$7,2),IF($N124=Lists!$K$3,IF($L124&lt;1,(($U124/$L124)*((1+Inputs!$D$7)^AC$2)),((INT(AC$2/$L124)-INT((AC$2-1)/$L124))*$U124*((1+Inputs!$D$7)^AC$2))),(_xlfn.WEIBULL.DIST(AC$2,$M124,$L124,FALSE)*$U124*((1+Inputs!$D$7)^AC$2))),IF($N124=Lists!$K$3,IF($L124&lt;1,((($T124*(1-$F124)+$S124*(1-$G124))/$L124)*((1+Inputs!$D$7)^AC$2)),((INT(AC$2/$L124)-INT((AC$2-1)/$L124))*($T124*(1-$F124)+$S124*(1-$G124))*((1+Inputs!$D$7)^AC$2))),((_xlfn.WEIBULL.DIST(AC$2,$M124,$L124,FALSE)*($T124*(1-$F124)+$S124*(1-$G124))*((1+Inputs!$D$7)^AC$2))))))</f>
        <v>159.28156645649429</v>
      </c>
      <c r="AD124" s="88">
        <f>$E124*IF(AD$2&gt;Inputs!$D$5,0,IF(AD$2&gt;VLOOKUP($H124,Lists!$P$3:$Q$7,2),IF($N124=Lists!$K$3,IF($L124&lt;1,(($U124/$L124)*((1+Inputs!$D$7)^AD$2)),((INT(AD$2/$L124)-INT((AD$2-1)/$L124))*$U124*((1+Inputs!$D$7)^AD$2))),(_xlfn.WEIBULL.DIST(AD$2,$M124,$L124,FALSE)*$U124*((1+Inputs!$D$7)^AD$2))),IF($N124=Lists!$K$3,IF($L124&lt;1,((($T124*(1-$F124)+$S124*(1-$G124))/$L124)*((1+Inputs!$D$7)^AD$2)),((INT(AD$2/$L124)-INT((AD$2-1)/$L124))*($T124*(1-$F124)+$S124*(1-$G124))*((1+Inputs!$D$7)^AD$2))),((_xlfn.WEIBULL.DIST(AD$2,$M124,$L124,FALSE)*($T124*(1-$F124)+$S124*(1-$G124))*((1+Inputs!$D$7)^AD$2))))))</f>
        <v>162.46719778562419</v>
      </c>
      <c r="AE124" s="88">
        <f>$E124*IF(AE$2&gt;Inputs!$D$5,0,IF(AE$2&gt;VLOOKUP($H124,Lists!$P$3:$Q$7,2),IF($N124=Lists!$K$3,IF($L124&lt;1,(($U124/$L124)*((1+Inputs!$D$7)^AE$2)),((INT(AE$2/$L124)-INT((AE$2-1)/$L124))*$U124*((1+Inputs!$D$7)^AE$2))),(_xlfn.WEIBULL.DIST(AE$2,$M124,$L124,FALSE)*$U124*((1+Inputs!$D$7)^AE$2))),IF($N124=Lists!$K$3,IF($L124&lt;1,((($T124*(1-$F124)+$S124*(1-$G124))/$L124)*((1+Inputs!$D$7)^AE$2)),((INT(AE$2/$L124)-INT((AE$2-1)/$L124))*($T124*(1-$F124)+$S124*(1-$G124))*((1+Inputs!$D$7)^AE$2))),((_xlfn.WEIBULL.DIST(AE$2,$M124,$L124,FALSE)*($T124*(1-$F124)+$S124*(1-$G124))*((1+Inputs!$D$7)^AE$2))))))</f>
        <v>165.71654174133667</v>
      </c>
      <c r="AF124" s="88">
        <f>$E124*IF(AF$2&gt;Inputs!$D$5,0,IF(AF$2&gt;VLOOKUP($H124,Lists!$P$3:$Q$7,2),IF($N124=Lists!$K$3,IF($L124&lt;1,(($U124/$L124)*((1+Inputs!$D$7)^AF$2)),((INT(AF$2/$L124)-INT((AF$2-1)/$L124))*$U124*((1+Inputs!$D$7)^AF$2))),(_xlfn.WEIBULL.DIST(AF$2,$M124,$L124,FALSE)*$U124*((1+Inputs!$D$7)^AF$2))),IF($N124=Lists!$K$3,IF($L124&lt;1,((($T124*(1-$F124)+$S124*(1-$G124))/$L124)*((1+Inputs!$D$7)^AF$2)),((INT(AF$2/$L124)-INT((AF$2-1)/$L124))*($T124*(1-$F124)+$S124*(1-$G124))*((1+Inputs!$D$7)^AF$2))),((_xlfn.WEIBULL.DIST(AF$2,$M124,$L124,FALSE)*($T124*(1-$F124)+$S124*(1-$G124))*((1+Inputs!$D$7)^AF$2))))))</f>
        <v>169.0308725761634</v>
      </c>
      <c r="AG124" s="88">
        <f>$E124*IF(AG$2&gt;Inputs!$D$5,0,IF(AG$2&gt;VLOOKUP($H124,Lists!$P$3:$Q$7,2),IF($N124=Lists!$K$3,IF($L124&lt;1,(($U124/$L124)*((1+Inputs!$D$7)^AG$2)),((INT(AG$2/$L124)-INT((AG$2-1)/$L124))*$U124*((1+Inputs!$D$7)^AG$2))),(_xlfn.WEIBULL.DIST(AG$2,$M124,$L124,FALSE)*$U124*((1+Inputs!$D$7)^AG$2))),IF($N124=Lists!$K$3,IF($L124&lt;1,((($T124*(1-$F124)+$S124*(1-$G124))/$L124)*((1+Inputs!$D$7)^AG$2)),((INT(AG$2/$L124)-INT((AG$2-1)/$L124))*($T124*(1-$F124)+$S124*(1-$G124))*((1+Inputs!$D$7)^AG$2))),((_xlfn.WEIBULL.DIST(AG$2,$M124,$L124,FALSE)*($T124*(1-$F124)+$S124*(1-$G124))*((1+Inputs!$D$7)^AG$2))))))</f>
        <v>172.41149002768665</v>
      </c>
      <c r="AH124" s="88">
        <f>$E124*IF(AH$2&gt;Inputs!$D$5,0,IF(AH$2&gt;VLOOKUP($H124,Lists!$P$3:$Q$7,2),IF($N124=Lists!$K$3,IF($L124&lt;1,(($U124/$L124)*((1+Inputs!$D$7)^AH$2)),((INT(AH$2/$L124)-INT((AH$2-1)/$L124))*$U124*((1+Inputs!$D$7)^AH$2))),(_xlfn.WEIBULL.DIST(AH$2,$M124,$L124,FALSE)*$U124*((1+Inputs!$D$7)^AH$2))),IF($N124=Lists!$K$3,IF($L124&lt;1,((($T124*(1-$F124)+$S124*(1-$G124))/$L124)*((1+Inputs!$D$7)^AH$2)),((INT(AH$2/$L124)-INT((AH$2-1)/$L124))*($T124*(1-$F124)+$S124*(1-$G124))*((1+Inputs!$D$7)^AH$2))),((_xlfn.WEIBULL.DIST(AH$2,$M124,$L124,FALSE)*($T124*(1-$F124)+$S124*(1-$G124))*((1+Inputs!$D$7)^AH$2))))))</f>
        <v>175.8597198282404</v>
      </c>
      <c r="AI124" s="88">
        <f>$E124*IF(AI$2&gt;Inputs!$D$5,0,IF(AI$2&gt;VLOOKUP($H124,Lists!$P$3:$Q$7,2),IF($N124=Lists!$K$3,IF($L124&lt;1,(($U124/$L124)*((1+Inputs!$D$7)^AI$2)),((INT(AI$2/$L124)-INT((AI$2-1)/$L124))*$U124*((1+Inputs!$D$7)^AI$2))),(_xlfn.WEIBULL.DIST(AI$2,$M124,$L124,FALSE)*$U124*((1+Inputs!$D$7)^AI$2))),IF($N124=Lists!$K$3,IF($L124&lt;1,((($T124*(1-$F124)+$S124*(1-$G124))/$L124)*((1+Inputs!$D$7)^AI$2)),((INT(AI$2/$L124)-INT((AI$2-1)/$L124))*($T124*(1-$F124)+$S124*(1-$G124))*((1+Inputs!$D$7)^AI$2))),((_xlfn.WEIBULL.DIST(AI$2,$M124,$L124,FALSE)*($T124*(1-$F124)+$S124*(1-$G124))*((1+Inputs!$D$7)^AI$2))))))</f>
        <v>179.3769142248052</v>
      </c>
      <c r="AJ124" s="88">
        <f>$E124*IF(AJ$2&gt;Inputs!$D$5,0,IF(AJ$2&gt;VLOOKUP($H124,Lists!$P$3:$Q$7,2),IF($N124=Lists!$K$3,IF($L124&lt;1,(($U124/$L124)*((1+Inputs!$D$7)^AJ$2)),((INT(AJ$2/$L124)-INT((AJ$2-1)/$L124))*$U124*((1+Inputs!$D$7)^AJ$2))),(_xlfn.WEIBULL.DIST(AJ$2,$M124,$L124,FALSE)*$U124*((1+Inputs!$D$7)^AJ$2))),IF($N124=Lists!$K$3,IF($L124&lt;1,((($T124*(1-$F124)+$S124*(1-$G124))/$L124)*((1+Inputs!$D$7)^AJ$2)),((INT(AJ$2/$L124)-INT((AJ$2-1)/$L124))*($T124*(1-$F124)+$S124*(1-$G124))*((1+Inputs!$D$7)^AJ$2))),((_xlfn.WEIBULL.DIST(AJ$2,$M124,$L124,FALSE)*($T124*(1-$F124)+$S124*(1-$G124))*((1+Inputs!$D$7)^AJ$2))))))</f>
        <v>182.96445250930131</v>
      </c>
      <c r="AK124" s="88">
        <f>$E124*IF(AK$2&gt;Inputs!$D$5,0,IF(AK$2&gt;VLOOKUP($H124,Lists!$P$3:$Q$7,2),IF($N124=Lists!$K$3,IF($L124&lt;1,(($U124/$L124)*((1+Inputs!$D$7)^AK$2)),((INT(AK$2/$L124)-INT((AK$2-1)/$L124))*$U124*((1+Inputs!$D$7)^AK$2))),(_xlfn.WEIBULL.DIST(AK$2,$M124,$L124,FALSE)*$U124*((1+Inputs!$D$7)^AK$2))),IF($N124=Lists!$K$3,IF($L124&lt;1,((($T124*(1-$F124)+$S124*(1-$G124))/$L124)*((1+Inputs!$D$7)^AK$2)),((INT(AK$2/$L124)-INT((AK$2-1)/$L124))*($T124*(1-$F124)+$S124*(1-$G124))*((1+Inputs!$D$7)^AK$2))),((_xlfn.WEIBULL.DIST(AK$2,$M124,$L124,FALSE)*($T124*(1-$F124)+$S124*(1-$G124))*((1+Inputs!$D$7)^AK$2))))))</f>
        <v>186.62374155948731</v>
      </c>
      <c r="AL124" s="88">
        <f>$E124*IF(AL$2&gt;Inputs!$D$5,0,IF(AL$2&gt;VLOOKUP($H124,Lists!$P$3:$Q$7,2),IF($N124=Lists!$K$3,IF($L124&lt;1,(($U124/$L124)*((1+Inputs!$D$7)^AL$2)),((INT(AL$2/$L124)-INT((AL$2-1)/$L124))*$U124*((1+Inputs!$D$7)^AL$2))),(_xlfn.WEIBULL.DIST(AL$2,$M124,$L124,FALSE)*$U124*((1+Inputs!$D$7)^AL$2))),IF($N124=Lists!$K$3,IF($L124&lt;1,((($T124*(1-$F124)+$S124*(1-$G124))/$L124)*((1+Inputs!$D$7)^AL$2)),((INT(AL$2/$L124)-INT((AL$2-1)/$L124))*($T124*(1-$F124)+$S124*(1-$G124))*((1+Inputs!$D$7)^AL$2))),((_xlfn.WEIBULL.DIST(AL$2,$M124,$L124,FALSE)*($T124*(1-$F124)+$S124*(1-$G124))*((1+Inputs!$D$7)^AL$2))))))</f>
        <v>190.35621639067708</v>
      </c>
      <c r="AM124" s="88">
        <f>$E124*IF(AM$2&gt;Inputs!$D$5,0,IF(AM$2&gt;VLOOKUP($H124,Lists!$P$3:$Q$7,2),IF($N124=Lists!$K$3,IF($L124&lt;1,(($U124/$L124)*((1+Inputs!$D$7)^AM$2)),((INT(AM$2/$L124)-INT((AM$2-1)/$L124))*$U124*((1+Inputs!$D$7)^AM$2))),(_xlfn.WEIBULL.DIST(AM$2,$M124,$L124,FALSE)*$U124*((1+Inputs!$D$7)^AM$2))),IF($N124=Lists!$K$3,IF($L124&lt;1,((($T124*(1-$F124)+$S124*(1-$G124))/$L124)*((1+Inputs!$D$7)^AM$2)),((INT(AM$2/$L124)-INT((AM$2-1)/$L124))*($T124*(1-$F124)+$S124*(1-$G124))*((1+Inputs!$D$7)^AM$2))),((_xlfn.WEIBULL.DIST(AM$2,$M124,$L124,FALSE)*($T124*(1-$F124)+$S124*(1-$G124))*((1+Inputs!$D$7)^AM$2))))))</f>
        <v>194.16334071849062</v>
      </c>
      <c r="AN124" s="88">
        <f>$E124*IF(AN$2&gt;Inputs!$D$5,0,IF(AN$2&gt;VLOOKUP($H124,Lists!$P$3:$Q$7,2),IF($N124=Lists!$K$3,IF($L124&lt;1,(($U124/$L124)*((1+Inputs!$D$7)^AN$2)),((INT(AN$2/$L124)-INT((AN$2-1)/$L124))*$U124*((1+Inputs!$D$7)^AN$2))),(_xlfn.WEIBULL.DIST(AN$2,$M124,$L124,FALSE)*$U124*((1+Inputs!$D$7)^AN$2))),IF($N124=Lists!$K$3,IF($L124&lt;1,((($T124*(1-$F124)+$S124*(1-$G124))/$L124)*((1+Inputs!$D$7)^AN$2)),((INT(AN$2/$L124)-INT((AN$2-1)/$L124))*($T124*(1-$F124)+$S124*(1-$G124))*((1+Inputs!$D$7)^AN$2))),((_xlfn.WEIBULL.DIST(AN$2,$M124,$L124,FALSE)*($T124*(1-$F124)+$S124*(1-$G124))*((1+Inputs!$D$7)^AN$2))))))</f>
        <v>198.04660753286043</v>
      </c>
      <c r="AO124" s="88">
        <f>$E124*IF(AO$2&gt;Inputs!$D$5,0,IF(AO$2&gt;VLOOKUP($H124,Lists!$P$3:$Q$7,2),IF($N124=Lists!$K$3,IF($L124&lt;1,(($U124/$L124)*((1+Inputs!$D$7)^AO$2)),((INT(AO$2/$L124)-INT((AO$2-1)/$L124))*$U124*((1+Inputs!$D$7)^AO$2))),(_xlfn.WEIBULL.DIST(AO$2,$M124,$L124,FALSE)*$U124*((1+Inputs!$D$7)^AO$2))),IF($N124=Lists!$K$3,IF($L124&lt;1,((($T124*(1-$F124)+$S124*(1-$G124))/$L124)*((1+Inputs!$D$7)^AO$2)),((INT(AO$2/$L124)-INT((AO$2-1)/$L124))*($T124*(1-$F124)+$S124*(1-$G124))*((1+Inputs!$D$7)^AO$2))),((_xlfn.WEIBULL.DIST(AO$2,$M124,$L124,FALSE)*($T124*(1-$F124)+$S124*(1-$G124))*((1+Inputs!$D$7)^AO$2))))))</f>
        <v>202.00753968351759</v>
      </c>
      <c r="AP124" s="88">
        <f>$E124*IF(AP$2&gt;Inputs!$D$5,0,IF(AP$2&gt;VLOOKUP($H124,Lists!$P$3:$Q$7,2),IF($N124=Lists!$K$3,IF($L124&lt;1,(($U124/$L124)*((1+Inputs!$D$7)^AP$2)),((INT(AP$2/$L124)-INT((AP$2-1)/$L124))*$U124*((1+Inputs!$D$7)^AP$2))),(_xlfn.WEIBULL.DIST(AP$2,$M124,$L124,FALSE)*$U124*((1+Inputs!$D$7)^AP$2))),IF($N124=Lists!$K$3,IF($L124&lt;1,((($T124*(1-$F124)+$S124*(1-$G124))/$L124)*((1+Inputs!$D$7)^AP$2)),((INT(AP$2/$L124)-INT((AP$2-1)/$L124))*($T124*(1-$F124)+$S124*(1-$G124))*((1+Inputs!$D$7)^AP$2))),((_xlfn.WEIBULL.DIST(AP$2,$M124,$L124,FALSE)*($T124*(1-$F124)+$S124*(1-$G124))*((1+Inputs!$D$7)^AP$2))))))</f>
        <v>206.04769047718798</v>
      </c>
      <c r="AQ124" s="88">
        <f>$E124*IF(AQ$2&gt;Inputs!$D$5,0,IF(AQ$2&gt;VLOOKUP($H124,Lists!$P$3:$Q$7,2),IF($N124=Lists!$K$3,IF($L124&lt;1,(($U124/$L124)*((1+Inputs!$D$7)^AQ$2)),((INT(AQ$2/$L124)-INT((AQ$2-1)/$L124))*$U124*((1+Inputs!$D$7)^AQ$2))),(_xlfn.WEIBULL.DIST(AQ$2,$M124,$L124,FALSE)*$U124*((1+Inputs!$D$7)^AQ$2))),IF($N124=Lists!$K$3,IF($L124&lt;1,((($T124*(1-$F124)+$S124*(1-$G124))/$L124)*((1+Inputs!$D$7)^AQ$2)),((INT(AQ$2/$L124)-INT((AQ$2-1)/$L124))*($T124*(1-$F124)+$S124*(1-$G124))*((1+Inputs!$D$7)^AQ$2))),((_xlfn.WEIBULL.DIST(AQ$2,$M124,$L124,FALSE)*($T124*(1-$F124)+$S124*(1-$G124))*((1+Inputs!$D$7)^AQ$2))))))</f>
        <v>210.16864428673176</v>
      </c>
      <c r="AR124" s="88">
        <f>$E124*IF(AR$2&gt;Inputs!$D$5,0,IF(AR$2&gt;VLOOKUP($H124,Lists!$P$3:$Q$7,2),IF($N124=Lists!$K$3,IF($L124&lt;1,(($U124/$L124)*((1+Inputs!$D$7)^AR$2)),((INT(AR$2/$L124)-INT((AR$2-1)/$L124))*$U124*((1+Inputs!$D$7)^AR$2))),(_xlfn.WEIBULL.DIST(AR$2,$M124,$L124,FALSE)*$U124*((1+Inputs!$D$7)^AR$2))),IF($N124=Lists!$K$3,IF($L124&lt;1,((($T124*(1-$F124)+$S124*(1-$G124))/$L124)*((1+Inputs!$D$7)^AR$2)),((INT(AR$2/$L124)-INT((AR$2-1)/$L124))*($T124*(1-$F124)+$S124*(1-$G124))*((1+Inputs!$D$7)^AR$2))),((_xlfn.WEIBULL.DIST(AR$2,$M124,$L124,FALSE)*($T124*(1-$F124)+$S124*(1-$G124))*((1+Inputs!$D$7)^AR$2))))))</f>
        <v>214.37201717246637</v>
      </c>
      <c r="AS124" s="88">
        <f>$E124*IF(AS$2&gt;Inputs!$D$5,0,IF(AS$2&gt;VLOOKUP($H124,Lists!$P$3:$Q$7,2),IF($N124=Lists!$K$3,IF($L124&lt;1,(($U124/$L124)*((1+Inputs!$D$7)^AS$2)),((INT(AS$2/$L124)-INT((AS$2-1)/$L124))*$U124*((1+Inputs!$D$7)^AS$2))),(_xlfn.WEIBULL.DIST(AS$2,$M124,$L124,FALSE)*$U124*((1+Inputs!$D$7)^AS$2))),IF($N124=Lists!$K$3,IF($L124&lt;1,((($T124*(1-$F124)+$S124*(1-$G124))/$L124)*((1+Inputs!$D$7)^AS$2)),((INT(AS$2/$L124)-INT((AS$2-1)/$L124))*($T124*(1-$F124)+$S124*(1-$G124))*((1+Inputs!$D$7)^AS$2))),((_xlfn.WEIBULL.DIST(AS$2,$M124,$L124,FALSE)*($T124*(1-$F124)+$S124*(1-$G124))*((1+Inputs!$D$7)^AS$2))))))</f>
        <v>218.6594575159157</v>
      </c>
      <c r="AT124" s="88">
        <f>$E124*IF(AT$2&gt;Inputs!$D$5,0,IF(AT$2&gt;VLOOKUP($H124,Lists!$P$3:$Q$7,2),IF($N124=Lists!$K$3,IF($L124&lt;1,(($U124/$L124)*((1+Inputs!$D$7)^AT$2)),((INT(AT$2/$L124)-INT((AT$2-1)/$L124))*$U124*((1+Inputs!$D$7)^AT$2))),(_xlfn.WEIBULL.DIST(AT$2,$M124,$L124,FALSE)*$U124*((1+Inputs!$D$7)^AT$2))),IF($N124=Lists!$K$3,IF($L124&lt;1,((($T124*(1-$F124)+$S124*(1-$G124))/$L124)*((1+Inputs!$D$7)^AT$2)),((INT(AT$2/$L124)-INT((AT$2-1)/$L124))*($T124*(1-$F124)+$S124*(1-$G124))*((1+Inputs!$D$7)^AT$2))),((_xlfn.WEIBULL.DIST(AT$2,$M124,$L124,FALSE)*($T124*(1-$F124)+$S124*(1-$G124))*((1+Inputs!$D$7)^AT$2))))))</f>
        <v>223.03264666623403</v>
      </c>
      <c r="AU124" s="88">
        <f>$E124*IF(AU$2&gt;Inputs!$D$5,0,IF(AU$2&gt;VLOOKUP($H124,Lists!$P$3:$Q$7,2),IF($N124=Lists!$K$3,IF($L124&lt;1,(($U124/$L124)*((1+Inputs!$D$7)^AU$2)),((INT(AU$2/$L124)-INT((AU$2-1)/$L124))*$U124*((1+Inputs!$D$7)^AU$2))),(_xlfn.WEIBULL.DIST(AU$2,$M124,$L124,FALSE)*$U124*((1+Inputs!$D$7)^AU$2))),IF($N124=Lists!$K$3,IF($L124&lt;1,((($T124*(1-$F124)+$S124*(1-$G124))/$L124)*((1+Inputs!$D$7)^AU$2)),((INT(AU$2/$L124)-INT((AU$2-1)/$L124))*($T124*(1-$F124)+$S124*(1-$G124))*((1+Inputs!$D$7)^AU$2))),((_xlfn.WEIBULL.DIST(AU$2,$M124,$L124,FALSE)*($T124*(1-$F124)+$S124*(1-$G124))*((1+Inputs!$D$7)^AU$2))))))</f>
        <v>227.4932995995587</v>
      </c>
      <c r="AV124" s="88">
        <f>$E124*IF(AV$2&gt;Inputs!$D$5,0,IF(AV$2&gt;VLOOKUP($H124,Lists!$P$3:$Q$7,2),IF($N124=Lists!$K$3,IF($L124&lt;1,(($U124/$L124)*((1+Inputs!$D$7)^AV$2)),((INT(AV$2/$L124)-INT((AV$2-1)/$L124))*$U124*((1+Inputs!$D$7)^AV$2))),(_xlfn.WEIBULL.DIST(AV$2,$M124,$L124,FALSE)*$U124*((1+Inputs!$D$7)^AV$2))),IF($N124=Lists!$K$3,IF($L124&lt;1,((($T124*(1-$F124)+$S124*(1-$G124))/$L124)*((1+Inputs!$D$7)^AV$2)),((INT(AV$2/$L124)-INT((AV$2-1)/$L124))*($T124*(1-$F124)+$S124*(1-$G124))*((1+Inputs!$D$7)^AV$2))),((_xlfn.WEIBULL.DIST(AV$2,$M124,$L124,FALSE)*($T124*(1-$F124)+$S124*(1-$G124))*((1+Inputs!$D$7)^AV$2))))))</f>
        <v>232.04316559154987</v>
      </c>
      <c r="AW124" s="88">
        <f>$E124*IF(AW$2&gt;Inputs!$D$5,0,IF(AW$2&gt;VLOOKUP($H124,Lists!$P$3:$Q$7,2),IF($N124=Lists!$K$3,IF($L124&lt;1,(($U124/$L124)*((1+Inputs!$D$7)^AW$2)),((INT(AW$2/$L124)-INT((AW$2-1)/$L124))*$U124*((1+Inputs!$D$7)^AW$2))),(_xlfn.WEIBULL.DIST(AW$2,$M124,$L124,FALSE)*$U124*((1+Inputs!$D$7)^AW$2))),IF($N124=Lists!$K$3,IF($L124&lt;1,((($T124*(1-$F124)+$S124*(1-$G124))/$L124)*((1+Inputs!$D$7)^AW$2)),((INT(AW$2/$L124)-INT((AW$2-1)/$L124))*($T124*(1-$F124)+$S124*(1-$G124))*((1+Inputs!$D$7)^AW$2))),((_xlfn.WEIBULL.DIST(AW$2,$M124,$L124,FALSE)*($T124*(1-$F124)+$S124*(1-$G124))*((1+Inputs!$D$7)^AW$2))))))</f>
        <v>236.68402890338083</v>
      </c>
      <c r="AX124" s="88">
        <f>$E124*IF(AX$2&gt;Inputs!$D$5,0,IF(AX$2&gt;VLOOKUP($H124,Lists!$P$3:$Q$7,2),IF($N124=Lists!$K$3,IF($L124&lt;1,(($U124/$L124)*((1+Inputs!$D$7)^AX$2)),((INT(AX$2/$L124)-INT((AX$2-1)/$L124))*$U124*((1+Inputs!$D$7)^AX$2))),(_xlfn.WEIBULL.DIST(AX$2,$M124,$L124,FALSE)*$U124*((1+Inputs!$D$7)^AX$2))),IF($N124=Lists!$K$3,IF($L124&lt;1,((($T124*(1-$F124)+$S124*(1-$G124))/$L124)*((1+Inputs!$D$7)^AX$2)),((INT(AX$2/$L124)-INT((AX$2-1)/$L124))*($T124*(1-$F124)+$S124*(1-$G124))*((1+Inputs!$D$7)^AX$2))),((_xlfn.WEIBULL.DIST(AX$2,$M124,$L124,FALSE)*($T124*(1-$F124)+$S124*(1-$G124))*((1+Inputs!$D$7)^AX$2))))))</f>
        <v>241.41770948144847</v>
      </c>
      <c r="AY124" s="88">
        <f>$E124*IF(AY$2&gt;Inputs!$D$5,0,IF(AY$2&gt;VLOOKUP($H124,Lists!$P$3:$Q$7,2),IF($N124=Lists!$K$3,IF($L124&lt;1,(($U124/$L124)*((1+Inputs!$D$7)^AY$2)),((INT(AY$2/$L124)-INT((AY$2-1)/$L124))*$U124*((1+Inputs!$D$7)^AY$2))),(_xlfn.WEIBULL.DIST(AY$2,$M124,$L124,FALSE)*$U124*((1+Inputs!$D$7)^AY$2))),IF($N124=Lists!$K$3,IF($L124&lt;1,((($T124*(1-$F124)+$S124*(1-$G124))/$L124)*((1+Inputs!$D$7)^AY$2)),((INT(AY$2/$L124)-INT((AY$2-1)/$L124))*($T124*(1-$F124)+$S124*(1-$G124))*((1+Inputs!$D$7)^AY$2))),((_xlfn.WEIBULL.DIST(AY$2,$M124,$L124,FALSE)*($T124*(1-$F124)+$S124*(1-$G124))*((1+Inputs!$D$7)^AY$2))))))</f>
        <v>246.24606367107742</v>
      </c>
      <c r="AZ124" s="88">
        <f>$E124*IF(AZ$2&gt;Inputs!$D$5,0,IF(AZ$2&gt;VLOOKUP($H124,Lists!$P$3:$Q$7,2),IF($N124=Lists!$K$3,IF($L124&lt;1,(($U124/$L124)*((1+Inputs!$D$7)^AZ$2)),((INT(AZ$2/$L124)-INT((AZ$2-1)/$L124))*$U124*((1+Inputs!$D$7)^AZ$2))),(_xlfn.WEIBULL.DIST(AZ$2,$M124,$L124,FALSE)*$U124*((1+Inputs!$D$7)^AZ$2))),IF($N124=Lists!$K$3,IF($L124&lt;1,((($T124*(1-$F124)+$S124*(1-$G124))/$L124)*((1+Inputs!$D$7)^AZ$2)),((INT(AZ$2/$L124)-INT((AZ$2-1)/$L124))*($T124*(1-$F124)+$S124*(1-$G124))*((1+Inputs!$D$7)^AZ$2))),((_xlfn.WEIBULL.DIST(AZ$2,$M124,$L124,FALSE)*($T124*(1-$F124)+$S124*(1-$G124))*((1+Inputs!$D$7)^AZ$2))))))</f>
        <v>0</v>
      </c>
      <c r="BA124" s="88">
        <f>$E124*IF(BA$2&gt;Inputs!$D$5,0,IF(BA$2&gt;VLOOKUP($H124,Lists!$P$3:$Q$7,2),IF($N124=Lists!$K$3,IF($L124&lt;1,(($U124/$L124)*((1+Inputs!$D$7)^BA$2)),((INT(BA$2/$L124)-INT((BA$2-1)/$L124))*$U124*((1+Inputs!$D$7)^BA$2))),(_xlfn.WEIBULL.DIST(BA$2,$M124,$L124,FALSE)*$U124*((1+Inputs!$D$7)^BA$2))),IF($N124=Lists!$K$3,IF($L124&lt;1,((($T124*(1-$F124)+$S124*(1-$G124))/$L124)*((1+Inputs!$D$7)^BA$2)),((INT(BA$2/$L124)-INT((BA$2-1)/$L124))*($T124*(1-$F124)+$S124*(1-$G124))*((1+Inputs!$D$7)^BA$2))),((_xlfn.WEIBULL.DIST(BA$2,$M124,$L124,FALSE)*($T124*(1-$F124)+$S124*(1-$G124))*((1+Inputs!$D$7)^BA$2))))))</f>
        <v>0</v>
      </c>
      <c r="BB124" s="88">
        <f>$E124*IF(BB$2&gt;Inputs!$D$5,0,IF(BB$2&gt;VLOOKUP($H124,Lists!$P$3:$Q$7,2),IF($N124=Lists!$K$3,IF($L124&lt;1,(($U124/$L124)*((1+Inputs!$D$7)^BB$2)),((INT(BB$2/$L124)-INT((BB$2-1)/$L124))*$U124*((1+Inputs!$D$7)^BB$2))),(_xlfn.WEIBULL.DIST(BB$2,$M124,$L124,FALSE)*$U124*((1+Inputs!$D$7)^BB$2))),IF($N124=Lists!$K$3,IF($L124&lt;1,((($T124*(1-$F124)+$S124*(1-$G124))/$L124)*((1+Inputs!$D$7)^BB$2)),((INT(BB$2/$L124)-INT((BB$2-1)/$L124))*($T124*(1-$F124)+$S124*(1-$G124))*((1+Inputs!$D$7)^BB$2))),((_xlfn.WEIBULL.DIST(BB$2,$M124,$L124,FALSE)*($T124*(1-$F124)+$S124*(1-$G124))*((1+Inputs!$D$7)^BB$2))))))</f>
        <v>0</v>
      </c>
      <c r="BC124" s="88">
        <f>$E124*IF(BC$2&gt;Inputs!$D$5,0,IF(BC$2&gt;VLOOKUP($H124,Lists!$P$3:$Q$7,2),IF($N124=Lists!$K$3,IF($L124&lt;1,(($U124/$L124)*((1+Inputs!$D$7)^BC$2)),((INT(BC$2/$L124)-INT((BC$2-1)/$L124))*$U124*((1+Inputs!$D$7)^BC$2))),(_xlfn.WEIBULL.DIST(BC$2,$M124,$L124,FALSE)*$U124*((1+Inputs!$D$7)^BC$2))),IF($N124=Lists!$K$3,IF($L124&lt;1,((($T124*(1-$F124)+$S124*(1-$G124))/$L124)*((1+Inputs!$D$7)^BC$2)),((INT(BC$2/$L124)-INT((BC$2-1)/$L124))*($T124*(1-$F124)+$S124*(1-$G124))*((1+Inputs!$D$7)^BC$2))),((_xlfn.WEIBULL.DIST(BC$2,$M124,$L124,FALSE)*($T124*(1-$F124)+$S124*(1-$G124))*((1+Inputs!$D$7)^BC$2))))))</f>
        <v>0</v>
      </c>
      <c r="BD124" s="88">
        <f>$E124*IF(BD$2&gt;Inputs!$D$5,0,IF(BD$2&gt;VLOOKUP($H124,Lists!$P$3:$Q$7,2),IF($N124=Lists!$K$3,IF($L124&lt;1,(($U124/$L124)*((1+Inputs!$D$7)^BD$2)),((INT(BD$2/$L124)-INT((BD$2-1)/$L124))*$U124*((1+Inputs!$D$7)^BD$2))),(_xlfn.WEIBULL.DIST(BD$2,$M124,$L124,FALSE)*$U124*((1+Inputs!$D$7)^BD$2))),IF($N124=Lists!$K$3,IF($L124&lt;1,((($T124*(1-$F124)+$S124*(1-$G124))/$L124)*((1+Inputs!$D$7)^BD$2)),((INT(BD$2/$L124)-INT((BD$2-1)/$L124))*($T124*(1-$F124)+$S124*(1-$G124))*((1+Inputs!$D$7)^BD$2))),((_xlfn.WEIBULL.DIST(BD$2,$M124,$L124,FALSE)*($T124*(1-$F124)+$S124*(1-$G124))*((1+Inputs!$D$7)^BD$2))))))</f>
        <v>0</v>
      </c>
      <c r="BE124" s="88">
        <f>$E124*IF(BE$2&gt;Inputs!$D$5,0,IF(BE$2&gt;VLOOKUP($H124,Lists!$P$3:$Q$7,2),IF($N124=Lists!$K$3,IF($L124&lt;1,(($U124/$L124)*((1+Inputs!$D$7)^BE$2)),((INT(BE$2/$L124)-INT((BE$2-1)/$L124))*$U124*((1+Inputs!$D$7)^BE$2))),(_xlfn.WEIBULL.DIST(BE$2,$M124,$L124,FALSE)*$U124*((1+Inputs!$D$7)^BE$2))),IF($N124=Lists!$K$3,IF($L124&lt;1,((($T124*(1-$F124)+$S124*(1-$G124))/$L124)*((1+Inputs!$D$7)^BE$2)),((INT(BE$2/$L124)-INT((BE$2-1)/$L124))*($T124*(1-$F124)+$S124*(1-$G124))*((1+Inputs!$D$7)^BE$2))),((_xlfn.WEIBULL.DIST(BE$2,$M124,$L124,FALSE)*($T124*(1-$F124)+$S124*(1-$G124))*((1+Inputs!$D$7)^BE$2))))))</f>
        <v>0</v>
      </c>
      <c r="BF124" s="88">
        <f>$E124*IF(BF$2&gt;Inputs!$D$5,0,IF(BF$2&gt;VLOOKUP($H124,Lists!$P$3:$Q$7,2),IF($N124=Lists!$K$3,IF($L124&lt;1,(($U124/$L124)*((1+Inputs!$D$7)^BF$2)),((INT(BF$2/$L124)-INT((BF$2-1)/$L124))*$U124*((1+Inputs!$D$7)^BF$2))),(_xlfn.WEIBULL.DIST(BF$2,$M124,$L124,FALSE)*$U124*((1+Inputs!$D$7)^BF$2))),IF($N124=Lists!$K$3,IF($L124&lt;1,((($T124*(1-$F124)+$S124*(1-$G124))/$L124)*((1+Inputs!$D$7)^BF$2)),((INT(BF$2/$L124)-INT((BF$2-1)/$L124))*($T124*(1-$F124)+$S124*(1-$G124))*((1+Inputs!$D$7)^BF$2))),((_xlfn.WEIBULL.DIST(BF$2,$M124,$L124,FALSE)*($T124*(1-$F124)+$S124*(1-$G124))*((1+Inputs!$D$7)^BF$2))))))</f>
        <v>0</v>
      </c>
      <c r="BG124" s="88">
        <f>$E124*IF(BG$2&gt;Inputs!$D$5,0,IF(BG$2&gt;VLOOKUP($H124,Lists!$P$3:$Q$7,2),IF($N124=Lists!$K$3,IF($L124&lt;1,(($U124/$L124)*((1+Inputs!$D$7)^BG$2)),((INT(BG$2/$L124)-INT((BG$2-1)/$L124))*$U124*((1+Inputs!$D$7)^BG$2))),(_xlfn.WEIBULL.DIST(BG$2,$M124,$L124,FALSE)*$U124*((1+Inputs!$D$7)^BG$2))),IF($N124=Lists!$K$3,IF($L124&lt;1,((($T124*(1-$F124)+$S124*(1-$G124))/$L124)*((1+Inputs!$D$7)^BG$2)),((INT(BG$2/$L124)-INT((BG$2-1)/$L124))*($T124*(1-$F124)+$S124*(1-$G124))*((1+Inputs!$D$7)^BG$2))),((_xlfn.WEIBULL.DIST(BG$2,$M124,$L124,FALSE)*($T124*(1-$F124)+$S124*(1-$G124))*((1+Inputs!$D$7)^BG$2))))))</f>
        <v>0</v>
      </c>
      <c r="BH124" s="88">
        <f>$E124*IF(BH$2&gt;Inputs!$D$5,0,IF(BH$2&gt;VLOOKUP($H124,Lists!$P$3:$Q$7,2),IF($N124=Lists!$K$3,IF($L124&lt;1,(($U124/$L124)*((1+Inputs!$D$7)^BH$2)),((INT(BH$2/$L124)-INT((BH$2-1)/$L124))*$U124*((1+Inputs!$D$7)^BH$2))),(_xlfn.WEIBULL.DIST(BH$2,$M124,$L124,FALSE)*$U124*((1+Inputs!$D$7)^BH$2))),IF($N124=Lists!$K$3,IF($L124&lt;1,((($T124*(1-$F124)+$S124*(1-$G124))/$L124)*((1+Inputs!$D$7)^BH$2)),((INT(BH$2/$L124)-INT((BH$2-1)/$L124))*($T124*(1-$F124)+$S124*(1-$G124))*((1+Inputs!$D$7)^BH$2))),((_xlfn.WEIBULL.DIST(BH$2,$M124,$L124,FALSE)*($T124*(1-$F124)+$S124*(1-$G124))*((1+Inputs!$D$7)^BH$2))))))</f>
        <v>0</v>
      </c>
      <c r="BI124" s="88">
        <f>$E124*IF(BI$2&gt;Inputs!$D$5,0,IF(BI$2&gt;VLOOKUP($H124,Lists!$P$3:$Q$7,2),IF($N124=Lists!$K$3,IF($L124&lt;1,(($U124/$L124)*((1+Inputs!$D$7)^BI$2)),((INT(BI$2/$L124)-INT((BI$2-1)/$L124))*$U124*((1+Inputs!$D$7)^BI$2))),(_xlfn.WEIBULL.DIST(BI$2,$M124,$L124,FALSE)*$U124*((1+Inputs!$D$7)^BI$2))),IF($N124=Lists!$K$3,IF($L124&lt;1,((($T124*(1-$F124)+$S124*(1-$G124))/$L124)*((1+Inputs!$D$7)^BI$2)),((INT(BI$2/$L124)-INT((BI$2-1)/$L124))*($T124*(1-$F124)+$S124*(1-$G124))*((1+Inputs!$D$7)^BI$2))),((_xlfn.WEIBULL.DIST(BI$2,$M124,$L124,FALSE)*($T124*(1-$F124)+$S124*(1-$G124))*((1+Inputs!$D$7)^BI$2))))))</f>
        <v>0</v>
      </c>
      <c r="BJ124" s="88">
        <f>$E124*IF(BJ$2&gt;Inputs!$D$5,0,IF(BJ$2&gt;VLOOKUP($H124,Lists!$P$3:$Q$7,2),IF($N124=Lists!$K$3,IF($L124&lt;1,(($U124/$L124)*((1+Inputs!$D$7)^BJ$2)),((INT(BJ$2/$L124)-INT((BJ$2-1)/$L124))*$U124*((1+Inputs!$D$7)^BJ$2))),(_xlfn.WEIBULL.DIST(BJ$2,$M124,$L124,FALSE)*$U124*((1+Inputs!$D$7)^BJ$2))),IF($N124=Lists!$K$3,IF($L124&lt;1,((($T124*(1-$F124)+$S124*(1-$G124))/$L124)*((1+Inputs!$D$7)^BJ$2)),((INT(BJ$2/$L124)-INT((BJ$2-1)/$L124))*($T124*(1-$F124)+$S124*(1-$G124))*((1+Inputs!$D$7)^BJ$2))),((_xlfn.WEIBULL.DIST(BJ$2,$M124,$L124,FALSE)*($T124*(1-$F124)+$S124*(1-$G124))*((1+Inputs!$D$7)^BJ$2))))))</f>
        <v>0</v>
      </c>
      <c r="BK124" s="88">
        <f>$E124*IF(BK$2&gt;Inputs!$D$5,0,IF(BK$2&gt;VLOOKUP($H124,Lists!$P$3:$Q$7,2),IF($N124=Lists!$K$3,IF($L124&lt;1,(($U124/$L124)*((1+Inputs!$D$7)^BK$2)),((INT(BK$2/$L124)-INT((BK$2-1)/$L124))*$U124*((1+Inputs!$D$7)^BK$2))),(_xlfn.WEIBULL.DIST(BK$2,$M124,$L124,FALSE)*$U124*((1+Inputs!$D$7)^BK$2))),IF($N124=Lists!$K$3,IF($L124&lt;1,((($T124*(1-$F124)+$S124*(1-$G124))/$L124)*((1+Inputs!$D$7)^BK$2)),((INT(BK$2/$L124)-INT((BK$2-1)/$L124))*($T124*(1-$F124)+$S124*(1-$G124))*((1+Inputs!$D$7)^BK$2))),((_xlfn.WEIBULL.DIST(BK$2,$M124,$L124,FALSE)*($T124*(1-$F124)+$S124*(1-$G124))*((1+Inputs!$D$7)^BK$2))))))</f>
        <v>0</v>
      </c>
      <c r="BL124" s="88">
        <f>$E124*IF(BL$2&gt;Inputs!$D$5,0,IF(BL$2&gt;VLOOKUP($H124,Lists!$P$3:$Q$7,2),IF($N124=Lists!$K$3,IF($L124&lt;1,(($U124/$L124)*((1+Inputs!$D$7)^BL$2)),((INT(BL$2/$L124)-INT((BL$2-1)/$L124))*$U124*((1+Inputs!$D$7)^BL$2))),(_xlfn.WEIBULL.DIST(BL$2,$M124,$L124,FALSE)*$U124*((1+Inputs!$D$7)^BL$2))),IF($N124=Lists!$K$3,IF($L124&lt;1,((($T124*(1-$F124)+$S124*(1-$G124))/$L124)*((1+Inputs!$D$7)^BL$2)),((INT(BL$2/$L124)-INT((BL$2-1)/$L124))*($T124*(1-$F124)+$S124*(1-$G124))*((1+Inputs!$D$7)^BL$2))),((_xlfn.WEIBULL.DIST(BL$2,$M124,$L124,FALSE)*($T124*(1-$F124)+$S124*(1-$G124))*((1+Inputs!$D$7)^BL$2))))))</f>
        <v>0</v>
      </c>
      <c r="BM124" s="88">
        <f>$E124*IF(BM$2&gt;Inputs!$D$5,0,IF(BM$2&gt;VLOOKUP($H124,Lists!$P$3:$Q$7,2),IF($N124=Lists!$K$3,IF($L124&lt;1,(($U124/$L124)*((1+Inputs!$D$7)^BM$2)),((INT(BM$2/$L124)-INT((BM$2-1)/$L124))*$U124*((1+Inputs!$D$7)^BM$2))),(_xlfn.WEIBULL.DIST(BM$2,$M124,$L124,FALSE)*$U124*((1+Inputs!$D$7)^BM$2))),IF($N124=Lists!$K$3,IF($L124&lt;1,((($T124*(1-$F124)+$S124*(1-$G124))/$L124)*((1+Inputs!$D$7)^BM$2)),((INT(BM$2/$L124)-INT((BM$2-1)/$L124))*($T124*(1-$F124)+$S124*(1-$G124))*((1+Inputs!$D$7)^BM$2))),((_xlfn.WEIBULL.DIST(BM$2,$M124,$L124,FALSE)*($T124*(1-$F124)+$S124*(1-$G124))*((1+Inputs!$D$7)^BM$2))))))</f>
        <v>0</v>
      </c>
      <c r="BN124" s="88">
        <f>$E124*IF(BN$2&gt;Inputs!$D$5,0,IF(BN$2&gt;VLOOKUP($H124,Lists!$P$3:$Q$7,2),IF($N124=Lists!$K$3,IF($L124&lt;1,(($U124/$L124)*((1+Inputs!$D$7)^BN$2)),((INT(BN$2/$L124)-INT((BN$2-1)/$L124))*$U124*((1+Inputs!$D$7)^BN$2))),(_xlfn.WEIBULL.DIST(BN$2,$M124,$L124,FALSE)*$U124*((1+Inputs!$D$7)^BN$2))),IF($N124=Lists!$K$3,IF($L124&lt;1,((($T124*(1-$F124)+$S124*(1-$G124))/$L124)*((1+Inputs!$D$7)^BN$2)),((INT(BN$2/$L124)-INT((BN$2-1)/$L124))*($T124*(1-$F124)+$S124*(1-$G124))*((1+Inputs!$D$7)^BN$2))),((_xlfn.WEIBULL.DIST(BN$2,$M124,$L124,FALSE)*($T124*(1-$F124)+$S124*(1-$G124))*((1+Inputs!$D$7)^BN$2))))))</f>
        <v>0</v>
      </c>
      <c r="BO124" s="64">
        <f>NPV(Inputs!$D$6,BQ124:DD124)</f>
        <v>2136.3684342238193</v>
      </c>
      <c r="BP124" s="67">
        <f t="shared" si="27"/>
        <v>1.0076156525992972E-3</v>
      </c>
      <c r="BQ124" s="88">
        <f>MAX(AA124,($E124*IF(BQ$2&gt;Inputs!$D$5,0,IF(BQ$2&gt;VLOOKUP($H124,Lists!$P$3:$Q$7,2),IF($N124=Lists!$K$3,IF($L124&lt;1,(($U124/$L124)*((1+Inputs!$D$7)^BQ$2)),((INT(BQ$2/$L124)-INT((BQ$2-1)/$L124))*$U124*((1+Inputs!$D$7)^BQ$2))),(Inputs!$D$8^((1-_xlfn.WEIBULL.DIST(BQ$2,$M124,$L124,FALSE))/_xlfn.WEIBULL.DIST(BQ$2,$M124,$L124,FALSE))*$U124*((1+Inputs!$D$7)^BQ$2))),IF($N124=Lists!$K$3,IF($L124&lt;1,((($T124*(1-$F124)+$S124*(1-$G124))/$L124)*((1+Inputs!$D$7)^BQ$2)),((INT(BQ$2/$L124)-INT((BQ$2-1)/$L124))*($T124*(1-$F124)+$S124*(1-$G124))*((1+Inputs!$D$7)^BQ$2))),((Inputs!$D$8^((1-_xlfn.WEIBULL.DIST(BQ$2,$M124,$L124,FALSE))/_xlfn.WEIBULL.DIST(BQ$2,$M124,$L124,FALSE))*($T124*(1-$F124)+$S124*(1-$G124))*((1+Inputs!$D$7)^BQ$2))))))))</f>
        <v>153.0964691046658</v>
      </c>
      <c r="BR124" s="88">
        <f>MAX(AB124,($E124*IF(BR$2&gt;Inputs!$D$5,0,IF(BR$2&gt;VLOOKUP($H124,Lists!$P$3:$Q$7,2),IF($N124=Lists!$K$3,IF($L124&lt;1,(($U124/$L124)*((1+Inputs!$D$7)^BR$2)),((INT(BR$2/$L124)-INT((BR$2-1)/$L124))*$U124*((1+Inputs!$D$7)^BR$2))),(Inputs!$D$8^((1-_xlfn.WEIBULL.DIST(BR$2,$M124,$L124,FALSE))/_xlfn.WEIBULL.DIST(BR$2,$M124,$L124,FALSE))*$U124*((1+Inputs!$D$7)^BR$2))),IF($N124=Lists!$K$3,IF($L124&lt;1,((($T124*(1-$F124)+$S124*(1-$G124))/$L124)*((1+Inputs!$D$7)^BR$2)),((INT(BR$2/$L124)-INT((BR$2-1)/$L124))*($T124*(1-$F124)+$S124*(1-$G124))*((1+Inputs!$D$7)^BR$2))),((Inputs!$D$8^((1-_xlfn.WEIBULL.DIST(BR$2,$M124,$L124,FALSE))/_xlfn.WEIBULL.DIST(BR$2,$M124,$L124,FALSE))*($T124*(1-$F124)+$S124*(1-$G124))*((1+Inputs!$D$7)^BR$2))))))))</f>
        <v>156.15839848675913</v>
      </c>
      <c r="BS124" s="88">
        <f>MAX(AC124,($E124*IF(BS$2&gt;Inputs!$D$5,0,IF(BS$2&gt;VLOOKUP($H124,Lists!$P$3:$Q$7,2),IF($N124=Lists!$K$3,IF($L124&lt;1,(($U124/$L124)*((1+Inputs!$D$7)^BS$2)),((INT(BS$2/$L124)-INT((BS$2-1)/$L124))*$U124*((1+Inputs!$D$7)^BS$2))),(Inputs!$D$8^((1-_xlfn.WEIBULL.DIST(BS$2,$M124,$L124,FALSE))/_xlfn.WEIBULL.DIST(BS$2,$M124,$L124,FALSE))*$U124*((1+Inputs!$D$7)^BS$2))),IF($N124=Lists!$K$3,IF($L124&lt;1,((($T124*(1-$F124)+$S124*(1-$G124))/$L124)*((1+Inputs!$D$7)^BS$2)),((INT(BS$2/$L124)-INT((BS$2-1)/$L124))*($T124*(1-$F124)+$S124*(1-$G124))*((1+Inputs!$D$7)^BS$2))),((Inputs!$D$8^((1-_xlfn.WEIBULL.DIST(BS$2,$M124,$L124,FALSE))/_xlfn.WEIBULL.DIST(BS$2,$M124,$L124,FALSE))*($T124*(1-$F124)+$S124*(1-$G124))*((1+Inputs!$D$7)^BS$2))))))))</f>
        <v>159.28156645649429</v>
      </c>
      <c r="BT124" s="88">
        <f>MAX(AD124,($E124*IF(BT$2&gt;Inputs!$D$5,0,IF(BT$2&gt;VLOOKUP($H124,Lists!$P$3:$Q$7,2),IF($N124=Lists!$K$3,IF($L124&lt;1,(($U124/$L124)*((1+Inputs!$D$7)^BT$2)),((INT(BT$2/$L124)-INT((BT$2-1)/$L124))*$U124*((1+Inputs!$D$7)^BT$2))),(Inputs!$D$8^((1-_xlfn.WEIBULL.DIST(BT$2,$M124,$L124,FALSE))/_xlfn.WEIBULL.DIST(BT$2,$M124,$L124,FALSE))*$U124*((1+Inputs!$D$7)^BT$2))),IF($N124=Lists!$K$3,IF($L124&lt;1,((($T124*(1-$F124)+$S124*(1-$G124))/$L124)*((1+Inputs!$D$7)^BT$2)),((INT(BT$2/$L124)-INT((BT$2-1)/$L124))*($T124*(1-$F124)+$S124*(1-$G124))*((1+Inputs!$D$7)^BT$2))),((Inputs!$D$8^((1-_xlfn.WEIBULL.DIST(BT$2,$M124,$L124,FALSE))/_xlfn.WEIBULL.DIST(BT$2,$M124,$L124,FALSE))*($T124*(1-$F124)+$S124*(1-$G124))*((1+Inputs!$D$7)^BT$2))))))))</f>
        <v>162.46719778562419</v>
      </c>
      <c r="BU124" s="88">
        <f>MAX(AE124,($E124*IF(BU$2&gt;Inputs!$D$5,0,IF(BU$2&gt;VLOOKUP($H124,Lists!$P$3:$Q$7,2),IF($N124=Lists!$K$3,IF($L124&lt;1,(($U124/$L124)*((1+Inputs!$D$7)^BU$2)),((INT(BU$2/$L124)-INT((BU$2-1)/$L124))*$U124*((1+Inputs!$D$7)^BU$2))),(Inputs!$D$8^((1-_xlfn.WEIBULL.DIST(BU$2,$M124,$L124,FALSE))/_xlfn.WEIBULL.DIST(BU$2,$M124,$L124,FALSE))*$U124*((1+Inputs!$D$7)^BU$2))),IF($N124=Lists!$K$3,IF($L124&lt;1,((($T124*(1-$F124)+$S124*(1-$G124))/$L124)*((1+Inputs!$D$7)^BU$2)),((INT(BU$2/$L124)-INT((BU$2-1)/$L124))*($T124*(1-$F124)+$S124*(1-$G124))*((1+Inputs!$D$7)^BU$2))),((Inputs!$D$8^((1-_xlfn.WEIBULL.DIST(BU$2,$M124,$L124,FALSE))/_xlfn.WEIBULL.DIST(BU$2,$M124,$L124,FALSE))*($T124*(1-$F124)+$S124*(1-$G124))*((1+Inputs!$D$7)^BU$2))))))))</f>
        <v>165.71654174133667</v>
      </c>
      <c r="BV124" s="88">
        <f>MAX(AF124,($E124*IF(BV$2&gt;Inputs!$D$5,0,IF(BV$2&gt;VLOOKUP($H124,Lists!$P$3:$Q$7,2),IF($N124=Lists!$K$3,IF($L124&lt;1,(($U124/$L124)*((1+Inputs!$D$7)^BV$2)),((INT(BV$2/$L124)-INT((BV$2-1)/$L124))*$U124*((1+Inputs!$D$7)^BV$2))),(Inputs!$D$8^((1-_xlfn.WEIBULL.DIST(BV$2,$M124,$L124,FALSE))/_xlfn.WEIBULL.DIST(BV$2,$M124,$L124,FALSE))*$U124*((1+Inputs!$D$7)^BV$2))),IF($N124=Lists!$K$3,IF($L124&lt;1,((($T124*(1-$F124)+$S124*(1-$G124))/$L124)*((1+Inputs!$D$7)^BV$2)),((INT(BV$2/$L124)-INT((BV$2-1)/$L124))*($T124*(1-$F124)+$S124*(1-$G124))*((1+Inputs!$D$7)^BV$2))),((Inputs!$D$8^((1-_xlfn.WEIBULL.DIST(BV$2,$M124,$L124,FALSE))/_xlfn.WEIBULL.DIST(BV$2,$M124,$L124,FALSE))*($T124*(1-$F124)+$S124*(1-$G124))*((1+Inputs!$D$7)^BV$2))))))))</f>
        <v>169.0308725761634</v>
      </c>
      <c r="BW124" s="88">
        <f>MAX(AG124,($E124*IF(BW$2&gt;Inputs!$D$5,0,IF(BW$2&gt;VLOOKUP($H124,Lists!$P$3:$Q$7,2),IF($N124=Lists!$K$3,IF($L124&lt;1,(($U124/$L124)*((1+Inputs!$D$7)^BW$2)),((INT(BW$2/$L124)-INT((BW$2-1)/$L124))*$U124*((1+Inputs!$D$7)^BW$2))),(Inputs!$D$8^((1-_xlfn.WEIBULL.DIST(BW$2,$M124,$L124,FALSE))/_xlfn.WEIBULL.DIST(BW$2,$M124,$L124,FALSE))*$U124*((1+Inputs!$D$7)^BW$2))),IF($N124=Lists!$K$3,IF($L124&lt;1,((($T124*(1-$F124)+$S124*(1-$G124))/$L124)*((1+Inputs!$D$7)^BW$2)),((INT(BW$2/$L124)-INT((BW$2-1)/$L124))*($T124*(1-$F124)+$S124*(1-$G124))*((1+Inputs!$D$7)^BW$2))),((Inputs!$D$8^((1-_xlfn.WEIBULL.DIST(BW$2,$M124,$L124,FALSE))/_xlfn.WEIBULL.DIST(BW$2,$M124,$L124,FALSE))*($T124*(1-$F124)+$S124*(1-$G124))*((1+Inputs!$D$7)^BW$2))))))))</f>
        <v>172.41149002768665</v>
      </c>
      <c r="BX124" s="88">
        <f>MAX(AH124,($E124*IF(BX$2&gt;Inputs!$D$5,0,IF(BX$2&gt;VLOOKUP($H124,Lists!$P$3:$Q$7,2),IF($N124=Lists!$K$3,IF($L124&lt;1,(($U124/$L124)*((1+Inputs!$D$7)^BX$2)),((INT(BX$2/$L124)-INT((BX$2-1)/$L124))*$U124*((1+Inputs!$D$7)^BX$2))),(Inputs!$D$8^((1-_xlfn.WEIBULL.DIST(BX$2,$M124,$L124,FALSE))/_xlfn.WEIBULL.DIST(BX$2,$M124,$L124,FALSE))*$U124*((1+Inputs!$D$7)^BX$2))),IF($N124=Lists!$K$3,IF($L124&lt;1,((($T124*(1-$F124)+$S124*(1-$G124))/$L124)*((1+Inputs!$D$7)^BX$2)),((INT(BX$2/$L124)-INT((BX$2-1)/$L124))*($T124*(1-$F124)+$S124*(1-$G124))*((1+Inputs!$D$7)^BX$2))),((Inputs!$D$8^((1-_xlfn.WEIBULL.DIST(BX$2,$M124,$L124,FALSE))/_xlfn.WEIBULL.DIST(BX$2,$M124,$L124,FALSE))*($T124*(1-$F124)+$S124*(1-$G124))*((1+Inputs!$D$7)^BX$2))))))))</f>
        <v>175.8597198282404</v>
      </c>
      <c r="BY124" s="88">
        <f>MAX(AI124,($E124*IF(BY$2&gt;Inputs!$D$5,0,IF(BY$2&gt;VLOOKUP($H124,Lists!$P$3:$Q$7,2),IF($N124=Lists!$K$3,IF($L124&lt;1,(($U124/$L124)*((1+Inputs!$D$7)^BY$2)),((INT(BY$2/$L124)-INT((BY$2-1)/$L124))*$U124*((1+Inputs!$D$7)^BY$2))),(Inputs!$D$8^((1-_xlfn.WEIBULL.DIST(BY$2,$M124,$L124,FALSE))/_xlfn.WEIBULL.DIST(BY$2,$M124,$L124,FALSE))*$U124*((1+Inputs!$D$7)^BY$2))),IF($N124=Lists!$K$3,IF($L124&lt;1,((($T124*(1-$F124)+$S124*(1-$G124))/$L124)*((1+Inputs!$D$7)^BY$2)),((INT(BY$2/$L124)-INT((BY$2-1)/$L124))*($T124*(1-$F124)+$S124*(1-$G124))*((1+Inputs!$D$7)^BY$2))),((Inputs!$D$8^((1-_xlfn.WEIBULL.DIST(BY$2,$M124,$L124,FALSE))/_xlfn.WEIBULL.DIST(BY$2,$M124,$L124,FALSE))*($T124*(1-$F124)+$S124*(1-$G124))*((1+Inputs!$D$7)^BY$2))))))))</f>
        <v>179.3769142248052</v>
      </c>
      <c r="BZ124" s="88">
        <f>MAX(AJ124,($E124*IF(BZ$2&gt;Inputs!$D$5,0,IF(BZ$2&gt;VLOOKUP($H124,Lists!$P$3:$Q$7,2),IF($N124=Lists!$K$3,IF($L124&lt;1,(($U124/$L124)*((1+Inputs!$D$7)^BZ$2)),((INT(BZ$2/$L124)-INT((BZ$2-1)/$L124))*$U124*((1+Inputs!$D$7)^BZ$2))),(Inputs!$D$8^((1-_xlfn.WEIBULL.DIST(BZ$2,$M124,$L124,FALSE))/_xlfn.WEIBULL.DIST(BZ$2,$M124,$L124,FALSE))*$U124*((1+Inputs!$D$7)^BZ$2))),IF($N124=Lists!$K$3,IF($L124&lt;1,((($T124*(1-$F124)+$S124*(1-$G124))/$L124)*((1+Inputs!$D$7)^BZ$2)),((INT(BZ$2/$L124)-INT((BZ$2-1)/$L124))*($T124*(1-$F124)+$S124*(1-$G124))*((1+Inputs!$D$7)^BZ$2))),((Inputs!$D$8^((1-_xlfn.WEIBULL.DIST(BZ$2,$M124,$L124,FALSE))/_xlfn.WEIBULL.DIST(BZ$2,$M124,$L124,FALSE))*($T124*(1-$F124)+$S124*(1-$G124))*((1+Inputs!$D$7)^BZ$2))))))))</f>
        <v>182.96445250930131</v>
      </c>
      <c r="CA124" s="88">
        <f>MAX(AK124,($E124*IF(CA$2&gt;Inputs!$D$5,0,IF(CA$2&gt;VLOOKUP($H124,Lists!$P$3:$Q$7,2),IF($N124=Lists!$K$3,IF($L124&lt;1,(($U124/$L124)*((1+Inputs!$D$7)^CA$2)),((INT(CA$2/$L124)-INT((CA$2-1)/$L124))*$U124*((1+Inputs!$D$7)^CA$2))),(Inputs!$D$8^((1-_xlfn.WEIBULL.DIST(CA$2,$M124,$L124,FALSE))/_xlfn.WEIBULL.DIST(CA$2,$M124,$L124,FALSE))*$U124*((1+Inputs!$D$7)^CA$2))),IF($N124=Lists!$K$3,IF($L124&lt;1,((($T124*(1-$F124)+$S124*(1-$G124))/$L124)*((1+Inputs!$D$7)^CA$2)),((INT(CA$2/$L124)-INT((CA$2-1)/$L124))*($T124*(1-$F124)+$S124*(1-$G124))*((1+Inputs!$D$7)^CA$2))),((Inputs!$D$8^((1-_xlfn.WEIBULL.DIST(CA$2,$M124,$L124,FALSE))/_xlfn.WEIBULL.DIST(CA$2,$M124,$L124,FALSE))*($T124*(1-$F124)+$S124*(1-$G124))*((1+Inputs!$D$7)^CA$2))))))))</f>
        <v>186.62374155948731</v>
      </c>
      <c r="CB124" s="88">
        <f>MAX(AL124,($E124*IF(CB$2&gt;Inputs!$D$5,0,IF(CB$2&gt;VLOOKUP($H124,Lists!$P$3:$Q$7,2),IF($N124=Lists!$K$3,IF($L124&lt;1,(($U124/$L124)*((1+Inputs!$D$7)^CB$2)),((INT(CB$2/$L124)-INT((CB$2-1)/$L124))*$U124*((1+Inputs!$D$7)^CB$2))),(Inputs!$D$8^((1-_xlfn.WEIBULL.DIST(CB$2,$M124,$L124,FALSE))/_xlfn.WEIBULL.DIST(CB$2,$M124,$L124,FALSE))*$U124*((1+Inputs!$D$7)^CB$2))),IF($N124=Lists!$K$3,IF($L124&lt;1,((($T124*(1-$F124)+$S124*(1-$G124))/$L124)*((1+Inputs!$D$7)^CB$2)),((INT(CB$2/$L124)-INT((CB$2-1)/$L124))*($T124*(1-$F124)+$S124*(1-$G124))*((1+Inputs!$D$7)^CB$2))),((Inputs!$D$8^((1-_xlfn.WEIBULL.DIST(CB$2,$M124,$L124,FALSE))/_xlfn.WEIBULL.DIST(CB$2,$M124,$L124,FALSE))*($T124*(1-$F124)+$S124*(1-$G124))*((1+Inputs!$D$7)^CB$2))))))))</f>
        <v>190.35621639067708</v>
      </c>
      <c r="CC124" s="88">
        <f>MAX(AM124,($E124*IF(CC$2&gt;Inputs!$D$5,0,IF(CC$2&gt;VLOOKUP($H124,Lists!$P$3:$Q$7,2),IF($N124=Lists!$K$3,IF($L124&lt;1,(($U124/$L124)*((1+Inputs!$D$7)^CC$2)),((INT(CC$2/$L124)-INT((CC$2-1)/$L124))*$U124*((1+Inputs!$D$7)^CC$2))),(Inputs!$D$8^((1-_xlfn.WEIBULL.DIST(CC$2,$M124,$L124,FALSE))/_xlfn.WEIBULL.DIST(CC$2,$M124,$L124,FALSE))*$U124*((1+Inputs!$D$7)^CC$2))),IF($N124=Lists!$K$3,IF($L124&lt;1,((($T124*(1-$F124)+$S124*(1-$G124))/$L124)*((1+Inputs!$D$7)^CC$2)),((INT(CC$2/$L124)-INT((CC$2-1)/$L124))*($T124*(1-$F124)+$S124*(1-$G124))*((1+Inputs!$D$7)^CC$2))),((Inputs!$D$8^((1-_xlfn.WEIBULL.DIST(CC$2,$M124,$L124,FALSE))/_xlfn.WEIBULL.DIST(CC$2,$M124,$L124,FALSE))*($T124*(1-$F124)+$S124*(1-$G124))*((1+Inputs!$D$7)^CC$2))))))))</f>
        <v>194.16334071849062</v>
      </c>
      <c r="CD124" s="88">
        <f>MAX(AN124,($E124*IF(CD$2&gt;Inputs!$D$5,0,IF(CD$2&gt;VLOOKUP($H124,Lists!$P$3:$Q$7,2),IF($N124=Lists!$K$3,IF($L124&lt;1,(($U124/$L124)*((1+Inputs!$D$7)^CD$2)),((INT(CD$2/$L124)-INT((CD$2-1)/$L124))*$U124*((1+Inputs!$D$7)^CD$2))),(Inputs!$D$8^((1-_xlfn.WEIBULL.DIST(CD$2,$M124,$L124,FALSE))/_xlfn.WEIBULL.DIST(CD$2,$M124,$L124,FALSE))*$U124*((1+Inputs!$D$7)^CD$2))),IF($N124=Lists!$K$3,IF($L124&lt;1,((($T124*(1-$F124)+$S124*(1-$G124))/$L124)*((1+Inputs!$D$7)^CD$2)),((INT(CD$2/$L124)-INT((CD$2-1)/$L124))*($T124*(1-$F124)+$S124*(1-$G124))*((1+Inputs!$D$7)^CD$2))),((Inputs!$D$8^((1-_xlfn.WEIBULL.DIST(CD$2,$M124,$L124,FALSE))/_xlfn.WEIBULL.DIST(CD$2,$M124,$L124,FALSE))*($T124*(1-$F124)+$S124*(1-$G124))*((1+Inputs!$D$7)^CD$2))))))))</f>
        <v>198.04660753286043</v>
      </c>
      <c r="CE124" s="88">
        <f>MAX(AO124,($E124*IF(CE$2&gt;Inputs!$D$5,0,IF(CE$2&gt;VLOOKUP($H124,Lists!$P$3:$Q$7,2),IF($N124=Lists!$K$3,IF($L124&lt;1,(($U124/$L124)*((1+Inputs!$D$7)^CE$2)),((INT(CE$2/$L124)-INT((CE$2-1)/$L124))*$U124*((1+Inputs!$D$7)^CE$2))),(Inputs!$D$8^((1-_xlfn.WEIBULL.DIST(CE$2,$M124,$L124,FALSE))/_xlfn.WEIBULL.DIST(CE$2,$M124,$L124,FALSE))*$U124*((1+Inputs!$D$7)^CE$2))),IF($N124=Lists!$K$3,IF($L124&lt;1,((($T124*(1-$F124)+$S124*(1-$G124))/$L124)*((1+Inputs!$D$7)^CE$2)),((INT(CE$2/$L124)-INT((CE$2-1)/$L124))*($T124*(1-$F124)+$S124*(1-$G124))*((1+Inputs!$D$7)^CE$2))),((Inputs!$D$8^((1-_xlfn.WEIBULL.DIST(CE$2,$M124,$L124,FALSE))/_xlfn.WEIBULL.DIST(CE$2,$M124,$L124,FALSE))*($T124*(1-$F124)+$S124*(1-$G124))*((1+Inputs!$D$7)^CE$2))))))))</f>
        <v>202.00753968351759</v>
      </c>
      <c r="CF124" s="88">
        <f>MAX(AP124,($E124*IF(CF$2&gt;Inputs!$D$5,0,IF(CF$2&gt;VLOOKUP($H124,Lists!$P$3:$Q$7,2),IF($N124=Lists!$K$3,IF($L124&lt;1,(($U124/$L124)*((1+Inputs!$D$7)^CF$2)),((INT(CF$2/$L124)-INT((CF$2-1)/$L124))*$U124*((1+Inputs!$D$7)^CF$2))),(Inputs!$D$8^((1-_xlfn.WEIBULL.DIST(CF$2,$M124,$L124,FALSE))/_xlfn.WEIBULL.DIST(CF$2,$M124,$L124,FALSE))*$U124*((1+Inputs!$D$7)^CF$2))),IF($N124=Lists!$K$3,IF($L124&lt;1,((($T124*(1-$F124)+$S124*(1-$G124))/$L124)*((1+Inputs!$D$7)^CF$2)),((INT(CF$2/$L124)-INT((CF$2-1)/$L124))*($T124*(1-$F124)+$S124*(1-$G124))*((1+Inputs!$D$7)^CF$2))),((Inputs!$D$8^((1-_xlfn.WEIBULL.DIST(CF$2,$M124,$L124,FALSE))/_xlfn.WEIBULL.DIST(CF$2,$M124,$L124,FALSE))*($T124*(1-$F124)+$S124*(1-$G124))*((1+Inputs!$D$7)^CF$2))))))))</f>
        <v>206.04769047718798</v>
      </c>
      <c r="CG124" s="88">
        <f>MAX(AQ124,($E124*IF(CG$2&gt;Inputs!$D$5,0,IF(CG$2&gt;VLOOKUP($H124,Lists!$P$3:$Q$7,2),IF($N124=Lists!$K$3,IF($L124&lt;1,(($U124/$L124)*((1+Inputs!$D$7)^CG$2)),((INT(CG$2/$L124)-INT((CG$2-1)/$L124))*$U124*((1+Inputs!$D$7)^CG$2))),(Inputs!$D$8^((1-_xlfn.WEIBULL.DIST(CG$2,$M124,$L124,FALSE))/_xlfn.WEIBULL.DIST(CG$2,$M124,$L124,FALSE))*$U124*((1+Inputs!$D$7)^CG$2))),IF($N124=Lists!$K$3,IF($L124&lt;1,((($T124*(1-$F124)+$S124*(1-$G124))/$L124)*((1+Inputs!$D$7)^CG$2)),((INT(CG$2/$L124)-INT((CG$2-1)/$L124))*($T124*(1-$F124)+$S124*(1-$G124))*((1+Inputs!$D$7)^CG$2))),((Inputs!$D$8^((1-_xlfn.WEIBULL.DIST(CG$2,$M124,$L124,FALSE))/_xlfn.WEIBULL.DIST(CG$2,$M124,$L124,FALSE))*($T124*(1-$F124)+$S124*(1-$G124))*((1+Inputs!$D$7)^CG$2))))))))</f>
        <v>210.16864428673176</v>
      </c>
      <c r="CH124" s="88">
        <f>MAX(AR124,($E124*IF(CH$2&gt;Inputs!$D$5,0,IF(CH$2&gt;VLOOKUP($H124,Lists!$P$3:$Q$7,2),IF($N124=Lists!$K$3,IF($L124&lt;1,(($U124/$L124)*((1+Inputs!$D$7)^CH$2)),((INT(CH$2/$L124)-INT((CH$2-1)/$L124))*$U124*((1+Inputs!$D$7)^CH$2))),(Inputs!$D$8^((1-_xlfn.WEIBULL.DIST(CH$2,$M124,$L124,FALSE))/_xlfn.WEIBULL.DIST(CH$2,$M124,$L124,FALSE))*$U124*((1+Inputs!$D$7)^CH$2))),IF($N124=Lists!$K$3,IF($L124&lt;1,((($T124*(1-$F124)+$S124*(1-$G124))/$L124)*((1+Inputs!$D$7)^CH$2)),((INT(CH$2/$L124)-INT((CH$2-1)/$L124))*($T124*(1-$F124)+$S124*(1-$G124))*((1+Inputs!$D$7)^CH$2))),((Inputs!$D$8^((1-_xlfn.WEIBULL.DIST(CH$2,$M124,$L124,FALSE))/_xlfn.WEIBULL.DIST(CH$2,$M124,$L124,FALSE))*($T124*(1-$F124)+$S124*(1-$G124))*((1+Inputs!$D$7)^CH$2))))))))</f>
        <v>214.37201717246637</v>
      </c>
      <c r="CI124" s="88">
        <f>MAX(AS124,($E124*IF(CI$2&gt;Inputs!$D$5,0,IF(CI$2&gt;VLOOKUP($H124,Lists!$P$3:$Q$7,2),IF($N124=Lists!$K$3,IF($L124&lt;1,(($U124/$L124)*((1+Inputs!$D$7)^CI$2)),((INT(CI$2/$L124)-INT((CI$2-1)/$L124))*$U124*((1+Inputs!$D$7)^CI$2))),(Inputs!$D$8^((1-_xlfn.WEIBULL.DIST(CI$2,$M124,$L124,FALSE))/_xlfn.WEIBULL.DIST(CI$2,$M124,$L124,FALSE))*$U124*((1+Inputs!$D$7)^CI$2))),IF($N124=Lists!$K$3,IF($L124&lt;1,((($T124*(1-$F124)+$S124*(1-$G124))/$L124)*((1+Inputs!$D$7)^CI$2)),((INT(CI$2/$L124)-INT((CI$2-1)/$L124))*($T124*(1-$F124)+$S124*(1-$G124))*((1+Inputs!$D$7)^CI$2))),((Inputs!$D$8^((1-_xlfn.WEIBULL.DIST(CI$2,$M124,$L124,FALSE))/_xlfn.WEIBULL.DIST(CI$2,$M124,$L124,FALSE))*($T124*(1-$F124)+$S124*(1-$G124))*((1+Inputs!$D$7)^CI$2))))))))</f>
        <v>218.6594575159157</v>
      </c>
      <c r="CJ124" s="88">
        <f>MAX(AT124,($E124*IF(CJ$2&gt;Inputs!$D$5,0,IF(CJ$2&gt;VLOOKUP($H124,Lists!$P$3:$Q$7,2),IF($N124=Lists!$K$3,IF($L124&lt;1,(($U124/$L124)*((1+Inputs!$D$7)^CJ$2)),((INT(CJ$2/$L124)-INT((CJ$2-1)/$L124))*$U124*((1+Inputs!$D$7)^CJ$2))),(Inputs!$D$8^((1-_xlfn.WEIBULL.DIST(CJ$2,$M124,$L124,FALSE))/_xlfn.WEIBULL.DIST(CJ$2,$M124,$L124,FALSE))*$U124*((1+Inputs!$D$7)^CJ$2))),IF($N124=Lists!$K$3,IF($L124&lt;1,((($T124*(1-$F124)+$S124*(1-$G124))/$L124)*((1+Inputs!$D$7)^CJ$2)),((INT(CJ$2/$L124)-INT((CJ$2-1)/$L124))*($T124*(1-$F124)+$S124*(1-$G124))*((1+Inputs!$D$7)^CJ$2))),((Inputs!$D$8^((1-_xlfn.WEIBULL.DIST(CJ$2,$M124,$L124,FALSE))/_xlfn.WEIBULL.DIST(CJ$2,$M124,$L124,FALSE))*($T124*(1-$F124)+$S124*(1-$G124))*((1+Inputs!$D$7)^CJ$2))))))))</f>
        <v>223.03264666623403</v>
      </c>
      <c r="CK124" s="88">
        <f>MAX(AU124,($E124*IF(CK$2&gt;Inputs!$D$5,0,IF(CK$2&gt;VLOOKUP($H124,Lists!$P$3:$Q$7,2),IF($N124=Lists!$K$3,IF($L124&lt;1,(($U124/$L124)*((1+Inputs!$D$7)^CK$2)),((INT(CK$2/$L124)-INT((CK$2-1)/$L124))*$U124*((1+Inputs!$D$7)^CK$2))),(Inputs!$D$8^((1-_xlfn.WEIBULL.DIST(CK$2,$M124,$L124,FALSE))/_xlfn.WEIBULL.DIST(CK$2,$M124,$L124,FALSE))*$U124*((1+Inputs!$D$7)^CK$2))),IF($N124=Lists!$K$3,IF($L124&lt;1,((($T124*(1-$F124)+$S124*(1-$G124))/$L124)*((1+Inputs!$D$7)^CK$2)),((INT(CK$2/$L124)-INT((CK$2-1)/$L124))*($T124*(1-$F124)+$S124*(1-$G124))*((1+Inputs!$D$7)^CK$2))),((Inputs!$D$8^((1-_xlfn.WEIBULL.DIST(CK$2,$M124,$L124,FALSE))/_xlfn.WEIBULL.DIST(CK$2,$M124,$L124,FALSE))*($T124*(1-$F124)+$S124*(1-$G124))*((1+Inputs!$D$7)^CK$2))))))))</f>
        <v>227.4932995995587</v>
      </c>
      <c r="CL124" s="88">
        <f>MAX(AV124,($E124*IF(CL$2&gt;Inputs!$D$5,0,IF(CL$2&gt;VLOOKUP($H124,Lists!$P$3:$Q$7,2),IF($N124=Lists!$K$3,IF($L124&lt;1,(($U124/$L124)*((1+Inputs!$D$7)^CL$2)),((INT(CL$2/$L124)-INT((CL$2-1)/$L124))*$U124*((1+Inputs!$D$7)^CL$2))),(Inputs!$D$8^((1-_xlfn.WEIBULL.DIST(CL$2,$M124,$L124,FALSE))/_xlfn.WEIBULL.DIST(CL$2,$M124,$L124,FALSE))*$U124*((1+Inputs!$D$7)^CL$2))),IF($N124=Lists!$K$3,IF($L124&lt;1,((($T124*(1-$F124)+$S124*(1-$G124))/$L124)*((1+Inputs!$D$7)^CL$2)),((INT(CL$2/$L124)-INT((CL$2-1)/$L124))*($T124*(1-$F124)+$S124*(1-$G124))*((1+Inputs!$D$7)^CL$2))),((Inputs!$D$8^((1-_xlfn.WEIBULL.DIST(CL$2,$M124,$L124,FALSE))/_xlfn.WEIBULL.DIST(CL$2,$M124,$L124,FALSE))*($T124*(1-$F124)+$S124*(1-$G124))*((1+Inputs!$D$7)^CL$2))))))))</f>
        <v>232.04316559154987</v>
      </c>
      <c r="CM124" s="88">
        <f>MAX(AW124,($E124*IF(CM$2&gt;Inputs!$D$5,0,IF(CM$2&gt;VLOOKUP($H124,Lists!$P$3:$Q$7,2),IF($N124=Lists!$K$3,IF($L124&lt;1,(($U124/$L124)*((1+Inputs!$D$7)^CM$2)),((INT(CM$2/$L124)-INT((CM$2-1)/$L124))*$U124*((1+Inputs!$D$7)^CM$2))),(Inputs!$D$8^((1-_xlfn.WEIBULL.DIST(CM$2,$M124,$L124,FALSE))/_xlfn.WEIBULL.DIST(CM$2,$M124,$L124,FALSE))*$U124*((1+Inputs!$D$7)^CM$2))),IF($N124=Lists!$K$3,IF($L124&lt;1,((($T124*(1-$F124)+$S124*(1-$G124))/$L124)*((1+Inputs!$D$7)^CM$2)),((INT(CM$2/$L124)-INT((CM$2-1)/$L124))*($T124*(1-$F124)+$S124*(1-$G124))*((1+Inputs!$D$7)^CM$2))),((Inputs!$D$8^((1-_xlfn.WEIBULL.DIST(CM$2,$M124,$L124,FALSE))/_xlfn.WEIBULL.DIST(CM$2,$M124,$L124,FALSE))*($T124*(1-$F124)+$S124*(1-$G124))*((1+Inputs!$D$7)^CM$2))))))))</f>
        <v>236.68402890338083</v>
      </c>
      <c r="CN124" s="88">
        <f>MAX(AX124,($E124*IF(CN$2&gt;Inputs!$D$5,0,IF(CN$2&gt;VLOOKUP($H124,Lists!$P$3:$Q$7,2),IF($N124=Lists!$K$3,IF($L124&lt;1,(($U124/$L124)*((1+Inputs!$D$7)^CN$2)),((INT(CN$2/$L124)-INT((CN$2-1)/$L124))*$U124*((1+Inputs!$D$7)^CN$2))),(Inputs!$D$8^((1-_xlfn.WEIBULL.DIST(CN$2,$M124,$L124,FALSE))/_xlfn.WEIBULL.DIST(CN$2,$M124,$L124,FALSE))*$U124*((1+Inputs!$D$7)^CN$2))),IF($N124=Lists!$K$3,IF($L124&lt;1,((($T124*(1-$F124)+$S124*(1-$G124))/$L124)*((1+Inputs!$D$7)^CN$2)),((INT(CN$2/$L124)-INT((CN$2-1)/$L124))*($T124*(1-$F124)+$S124*(1-$G124))*((1+Inputs!$D$7)^CN$2))),((Inputs!$D$8^((1-_xlfn.WEIBULL.DIST(CN$2,$M124,$L124,FALSE))/_xlfn.WEIBULL.DIST(CN$2,$M124,$L124,FALSE))*($T124*(1-$F124)+$S124*(1-$G124))*((1+Inputs!$D$7)^CN$2))))))))</f>
        <v>241.41770948144847</v>
      </c>
      <c r="CO124" s="88">
        <f>MAX(AY124,($E124*IF(CO$2&gt;Inputs!$D$5,0,IF(CO$2&gt;VLOOKUP($H124,Lists!$P$3:$Q$7,2),IF($N124=Lists!$K$3,IF($L124&lt;1,(($U124/$L124)*((1+Inputs!$D$7)^CO$2)),((INT(CO$2/$L124)-INT((CO$2-1)/$L124))*$U124*((1+Inputs!$D$7)^CO$2))),(Inputs!$D$8^((1-_xlfn.WEIBULL.DIST(CO$2,$M124,$L124,FALSE))/_xlfn.WEIBULL.DIST(CO$2,$M124,$L124,FALSE))*$U124*((1+Inputs!$D$7)^CO$2))),IF($N124=Lists!$K$3,IF($L124&lt;1,((($T124*(1-$F124)+$S124*(1-$G124))/$L124)*((1+Inputs!$D$7)^CO$2)),((INT(CO$2/$L124)-INT((CO$2-1)/$L124))*($T124*(1-$F124)+$S124*(1-$G124))*((1+Inputs!$D$7)^CO$2))),((Inputs!$D$8^((1-_xlfn.WEIBULL.DIST(CO$2,$M124,$L124,FALSE))/_xlfn.WEIBULL.DIST(CO$2,$M124,$L124,FALSE))*($T124*(1-$F124)+$S124*(1-$G124))*((1+Inputs!$D$7)^CO$2))))))))</f>
        <v>246.24606367107742</v>
      </c>
      <c r="CP124" s="88">
        <f>MAX(AZ124,($E124*IF(CP$2&gt;Inputs!$D$5,0,IF(CP$2&gt;VLOOKUP($H124,Lists!$P$3:$Q$7,2),IF($N124=Lists!$K$3,IF($L124&lt;1,(($U124/$L124)*((1+Inputs!$D$7)^CP$2)),((INT(CP$2/$L124)-INT((CP$2-1)/$L124))*$U124*((1+Inputs!$D$7)^CP$2))),(Inputs!$D$8^((1-_xlfn.WEIBULL.DIST(CP$2,$M124,$L124,FALSE))/_xlfn.WEIBULL.DIST(CP$2,$M124,$L124,FALSE))*$U124*((1+Inputs!$D$7)^CP$2))),IF($N124=Lists!$K$3,IF($L124&lt;1,((($T124*(1-$F124)+$S124*(1-$G124))/$L124)*((1+Inputs!$D$7)^CP$2)),((INT(CP$2/$L124)-INT((CP$2-1)/$L124))*($T124*(1-$F124)+$S124*(1-$G124))*((1+Inputs!$D$7)^CP$2))),((Inputs!$D$8^((1-_xlfn.WEIBULL.DIST(CP$2,$M124,$L124,FALSE))/_xlfn.WEIBULL.DIST(CP$2,$M124,$L124,FALSE))*($T124*(1-$F124)+$S124*(1-$G124))*((1+Inputs!$D$7)^CP$2))))))))</f>
        <v>0</v>
      </c>
      <c r="CQ124" s="88">
        <f>MAX(BA124,($E124*IF(CQ$2&gt;Inputs!$D$5,0,IF(CQ$2&gt;VLOOKUP($H124,Lists!$P$3:$Q$7,2),IF($N124=Lists!$K$3,IF($L124&lt;1,(($U124/$L124)*((1+Inputs!$D$7)^CQ$2)),((INT(CQ$2/$L124)-INT((CQ$2-1)/$L124))*$U124*((1+Inputs!$D$7)^CQ$2))),(Inputs!$D$8^((1-_xlfn.WEIBULL.DIST(CQ$2,$M124,$L124,FALSE))/_xlfn.WEIBULL.DIST(CQ$2,$M124,$L124,FALSE))*$U124*((1+Inputs!$D$7)^CQ$2))),IF($N124=Lists!$K$3,IF($L124&lt;1,((($T124*(1-$F124)+$S124*(1-$G124))/$L124)*((1+Inputs!$D$7)^CQ$2)),((INT(CQ$2/$L124)-INT((CQ$2-1)/$L124))*($T124*(1-$F124)+$S124*(1-$G124))*((1+Inputs!$D$7)^CQ$2))),((Inputs!$D$8^((1-_xlfn.WEIBULL.DIST(CQ$2,$M124,$L124,FALSE))/_xlfn.WEIBULL.DIST(CQ$2,$M124,$L124,FALSE))*($T124*(1-$F124)+$S124*(1-$G124))*((1+Inputs!$D$7)^CQ$2))))))))</f>
        <v>0</v>
      </c>
      <c r="CR124" s="88">
        <f>MAX(BB124,($E124*IF(CR$2&gt;Inputs!$D$5,0,IF(CR$2&gt;VLOOKUP($H124,Lists!$P$3:$Q$7,2),IF($N124=Lists!$K$3,IF($L124&lt;1,(($U124/$L124)*((1+Inputs!$D$7)^CR$2)),((INT(CR$2/$L124)-INT((CR$2-1)/$L124))*$U124*((1+Inputs!$D$7)^CR$2))),(Inputs!$D$8^((1-_xlfn.WEIBULL.DIST(CR$2,$M124,$L124,FALSE))/_xlfn.WEIBULL.DIST(CR$2,$M124,$L124,FALSE))*$U124*((1+Inputs!$D$7)^CR$2))),IF($N124=Lists!$K$3,IF($L124&lt;1,((($T124*(1-$F124)+$S124*(1-$G124))/$L124)*((1+Inputs!$D$7)^CR$2)),((INT(CR$2/$L124)-INT((CR$2-1)/$L124))*($T124*(1-$F124)+$S124*(1-$G124))*((1+Inputs!$D$7)^CR$2))),((Inputs!$D$8^((1-_xlfn.WEIBULL.DIST(CR$2,$M124,$L124,FALSE))/_xlfn.WEIBULL.DIST(CR$2,$M124,$L124,FALSE))*($T124*(1-$F124)+$S124*(1-$G124))*((1+Inputs!$D$7)^CR$2))))))))</f>
        <v>0</v>
      </c>
      <c r="CS124" s="88">
        <f>MAX(BC124,($E124*IF(CS$2&gt;Inputs!$D$5,0,IF(CS$2&gt;VLOOKUP($H124,Lists!$P$3:$Q$7,2),IF($N124=Lists!$K$3,IF($L124&lt;1,(($U124/$L124)*((1+Inputs!$D$7)^CS$2)),((INT(CS$2/$L124)-INT((CS$2-1)/$L124))*$U124*((1+Inputs!$D$7)^CS$2))),(Inputs!$D$8^((1-_xlfn.WEIBULL.DIST(CS$2,$M124,$L124,FALSE))/_xlfn.WEIBULL.DIST(CS$2,$M124,$L124,FALSE))*$U124*((1+Inputs!$D$7)^CS$2))),IF($N124=Lists!$K$3,IF($L124&lt;1,((($T124*(1-$F124)+$S124*(1-$G124))/$L124)*((1+Inputs!$D$7)^CS$2)),((INT(CS$2/$L124)-INT((CS$2-1)/$L124))*($T124*(1-$F124)+$S124*(1-$G124))*((1+Inputs!$D$7)^CS$2))),((Inputs!$D$8^((1-_xlfn.WEIBULL.DIST(CS$2,$M124,$L124,FALSE))/_xlfn.WEIBULL.DIST(CS$2,$M124,$L124,FALSE))*($T124*(1-$F124)+$S124*(1-$G124))*((1+Inputs!$D$7)^CS$2))))))))</f>
        <v>0</v>
      </c>
      <c r="CT124" s="88">
        <f>MAX(BD124,($E124*IF(CT$2&gt;Inputs!$D$5,0,IF(CT$2&gt;VLOOKUP($H124,Lists!$P$3:$Q$7,2),IF($N124=Lists!$K$3,IF($L124&lt;1,(($U124/$L124)*((1+Inputs!$D$7)^CT$2)),((INT(CT$2/$L124)-INT((CT$2-1)/$L124))*$U124*((1+Inputs!$D$7)^CT$2))),(Inputs!$D$8^((1-_xlfn.WEIBULL.DIST(CT$2,$M124,$L124,FALSE))/_xlfn.WEIBULL.DIST(CT$2,$M124,$L124,FALSE))*$U124*((1+Inputs!$D$7)^CT$2))),IF($N124=Lists!$K$3,IF($L124&lt;1,((($T124*(1-$F124)+$S124*(1-$G124))/$L124)*((1+Inputs!$D$7)^CT$2)),((INT(CT$2/$L124)-INT((CT$2-1)/$L124))*($T124*(1-$F124)+$S124*(1-$G124))*((1+Inputs!$D$7)^CT$2))),((Inputs!$D$8^((1-_xlfn.WEIBULL.DIST(CT$2,$M124,$L124,FALSE))/_xlfn.WEIBULL.DIST(CT$2,$M124,$L124,FALSE))*($T124*(1-$F124)+$S124*(1-$G124))*((1+Inputs!$D$7)^CT$2))))))))</f>
        <v>0</v>
      </c>
      <c r="CU124" s="88">
        <f>MAX(BE124,($E124*IF(CU$2&gt;Inputs!$D$5,0,IF(CU$2&gt;VLOOKUP($H124,Lists!$P$3:$Q$7,2),IF($N124=Lists!$K$3,IF($L124&lt;1,(($U124/$L124)*((1+Inputs!$D$7)^CU$2)),((INT(CU$2/$L124)-INT((CU$2-1)/$L124))*$U124*((1+Inputs!$D$7)^CU$2))),(Inputs!$D$8^((1-_xlfn.WEIBULL.DIST(CU$2,$M124,$L124,FALSE))/_xlfn.WEIBULL.DIST(CU$2,$M124,$L124,FALSE))*$U124*((1+Inputs!$D$7)^CU$2))),IF($N124=Lists!$K$3,IF($L124&lt;1,((($T124*(1-$F124)+$S124*(1-$G124))/$L124)*((1+Inputs!$D$7)^CU$2)),((INT(CU$2/$L124)-INT((CU$2-1)/$L124))*($T124*(1-$F124)+$S124*(1-$G124))*((1+Inputs!$D$7)^CU$2))),((Inputs!$D$8^((1-_xlfn.WEIBULL.DIST(CU$2,$M124,$L124,FALSE))/_xlfn.WEIBULL.DIST(CU$2,$M124,$L124,FALSE))*($T124*(1-$F124)+$S124*(1-$G124))*((1+Inputs!$D$7)^CU$2))))))))</f>
        <v>0</v>
      </c>
      <c r="CV124" s="88">
        <f>MAX(BF124,($E124*IF(CV$2&gt;Inputs!$D$5,0,IF(CV$2&gt;VLOOKUP($H124,Lists!$P$3:$Q$7,2),IF($N124=Lists!$K$3,IF($L124&lt;1,(($U124/$L124)*((1+Inputs!$D$7)^CV$2)),((INT(CV$2/$L124)-INT((CV$2-1)/$L124))*$U124*((1+Inputs!$D$7)^CV$2))),(Inputs!$D$8^((1-_xlfn.WEIBULL.DIST(CV$2,$M124,$L124,FALSE))/_xlfn.WEIBULL.DIST(CV$2,$M124,$L124,FALSE))*$U124*((1+Inputs!$D$7)^CV$2))),IF($N124=Lists!$K$3,IF($L124&lt;1,((($T124*(1-$F124)+$S124*(1-$G124))/$L124)*((1+Inputs!$D$7)^CV$2)),((INT(CV$2/$L124)-INT((CV$2-1)/$L124))*($T124*(1-$F124)+$S124*(1-$G124))*((1+Inputs!$D$7)^CV$2))),((Inputs!$D$8^((1-_xlfn.WEIBULL.DIST(CV$2,$M124,$L124,FALSE))/_xlfn.WEIBULL.DIST(CV$2,$M124,$L124,FALSE))*($T124*(1-$F124)+$S124*(1-$G124))*((1+Inputs!$D$7)^CV$2))))))))</f>
        <v>0</v>
      </c>
      <c r="CW124" s="88">
        <f>MAX(BG124,($E124*IF(CW$2&gt;Inputs!$D$5,0,IF(CW$2&gt;VLOOKUP($H124,Lists!$P$3:$Q$7,2),IF($N124=Lists!$K$3,IF($L124&lt;1,(($U124/$L124)*((1+Inputs!$D$7)^CW$2)),((INT(CW$2/$L124)-INT((CW$2-1)/$L124))*$U124*((1+Inputs!$D$7)^CW$2))),(Inputs!$D$8^((1-_xlfn.WEIBULL.DIST(CW$2,$M124,$L124,FALSE))/_xlfn.WEIBULL.DIST(CW$2,$M124,$L124,FALSE))*$U124*((1+Inputs!$D$7)^CW$2))),IF($N124=Lists!$K$3,IF($L124&lt;1,((($T124*(1-$F124)+$S124*(1-$G124))/$L124)*((1+Inputs!$D$7)^CW$2)),((INT(CW$2/$L124)-INT((CW$2-1)/$L124))*($T124*(1-$F124)+$S124*(1-$G124))*((1+Inputs!$D$7)^CW$2))),((Inputs!$D$8^((1-_xlfn.WEIBULL.DIST(CW$2,$M124,$L124,FALSE))/_xlfn.WEIBULL.DIST(CW$2,$M124,$L124,FALSE))*($T124*(1-$F124)+$S124*(1-$G124))*((1+Inputs!$D$7)^CW$2))))))))</f>
        <v>0</v>
      </c>
      <c r="CX124" s="88">
        <f>MAX(BH124,($E124*IF(CX$2&gt;Inputs!$D$5,0,IF(CX$2&gt;VLOOKUP($H124,Lists!$P$3:$Q$7,2),IF($N124=Lists!$K$3,IF($L124&lt;1,(($U124/$L124)*((1+Inputs!$D$7)^CX$2)),((INT(CX$2/$L124)-INT((CX$2-1)/$L124))*$U124*((1+Inputs!$D$7)^CX$2))),(Inputs!$D$8^((1-_xlfn.WEIBULL.DIST(CX$2,$M124,$L124,FALSE))/_xlfn.WEIBULL.DIST(CX$2,$M124,$L124,FALSE))*$U124*((1+Inputs!$D$7)^CX$2))),IF($N124=Lists!$K$3,IF($L124&lt;1,((($T124*(1-$F124)+$S124*(1-$G124))/$L124)*((1+Inputs!$D$7)^CX$2)),((INT(CX$2/$L124)-INT((CX$2-1)/$L124))*($T124*(1-$F124)+$S124*(1-$G124))*((1+Inputs!$D$7)^CX$2))),((Inputs!$D$8^((1-_xlfn.WEIBULL.DIST(CX$2,$M124,$L124,FALSE))/_xlfn.WEIBULL.DIST(CX$2,$M124,$L124,FALSE))*($T124*(1-$F124)+$S124*(1-$G124))*((1+Inputs!$D$7)^CX$2))))))))</f>
        <v>0</v>
      </c>
      <c r="CY124" s="88">
        <f>MAX(BI124,($E124*IF(CY$2&gt;Inputs!$D$5,0,IF(CY$2&gt;VLOOKUP($H124,Lists!$P$3:$Q$7,2),IF($N124=Lists!$K$3,IF($L124&lt;1,(($U124/$L124)*((1+Inputs!$D$7)^CY$2)),((INT(CY$2/$L124)-INT((CY$2-1)/$L124))*$U124*((1+Inputs!$D$7)^CY$2))),(Inputs!$D$8^((1-_xlfn.WEIBULL.DIST(CY$2,$M124,$L124,FALSE))/_xlfn.WEIBULL.DIST(CY$2,$M124,$L124,FALSE))*$U124*((1+Inputs!$D$7)^CY$2))),IF($N124=Lists!$K$3,IF($L124&lt;1,((($T124*(1-$F124)+$S124*(1-$G124))/$L124)*((1+Inputs!$D$7)^CY$2)),((INT(CY$2/$L124)-INT((CY$2-1)/$L124))*($T124*(1-$F124)+$S124*(1-$G124))*((1+Inputs!$D$7)^CY$2))),((Inputs!$D$8^((1-_xlfn.WEIBULL.DIST(CY$2,$M124,$L124,FALSE))/_xlfn.WEIBULL.DIST(CY$2,$M124,$L124,FALSE))*($T124*(1-$F124)+$S124*(1-$G124))*((1+Inputs!$D$7)^CY$2))))))))</f>
        <v>0</v>
      </c>
      <c r="CZ124" s="88">
        <f>MAX(BJ124,($E124*IF(CZ$2&gt;Inputs!$D$5,0,IF(CZ$2&gt;VLOOKUP($H124,Lists!$P$3:$Q$7,2),IF($N124=Lists!$K$3,IF($L124&lt;1,(($U124/$L124)*((1+Inputs!$D$7)^CZ$2)),((INT(CZ$2/$L124)-INT((CZ$2-1)/$L124))*$U124*((1+Inputs!$D$7)^CZ$2))),(Inputs!$D$8^((1-_xlfn.WEIBULL.DIST(CZ$2,$M124,$L124,FALSE))/_xlfn.WEIBULL.DIST(CZ$2,$M124,$L124,FALSE))*$U124*((1+Inputs!$D$7)^CZ$2))),IF($N124=Lists!$K$3,IF($L124&lt;1,((($T124*(1-$F124)+$S124*(1-$G124))/$L124)*((1+Inputs!$D$7)^CZ$2)),((INT(CZ$2/$L124)-INT((CZ$2-1)/$L124))*($T124*(1-$F124)+$S124*(1-$G124))*((1+Inputs!$D$7)^CZ$2))),((Inputs!$D$8^((1-_xlfn.WEIBULL.DIST(CZ$2,$M124,$L124,FALSE))/_xlfn.WEIBULL.DIST(CZ$2,$M124,$L124,FALSE))*($T124*(1-$F124)+$S124*(1-$G124))*((1+Inputs!$D$7)^CZ$2))))))))</f>
        <v>0</v>
      </c>
      <c r="DA124" s="88">
        <f>MAX(BK124,($E124*IF(DA$2&gt;Inputs!$D$5,0,IF(DA$2&gt;VLOOKUP($H124,Lists!$P$3:$Q$7,2),IF($N124=Lists!$K$3,IF($L124&lt;1,(($U124/$L124)*((1+Inputs!$D$7)^DA$2)),((INT(DA$2/$L124)-INT((DA$2-1)/$L124))*$U124*((1+Inputs!$D$7)^DA$2))),(Inputs!$D$8^((1-_xlfn.WEIBULL.DIST(DA$2,$M124,$L124,FALSE))/_xlfn.WEIBULL.DIST(DA$2,$M124,$L124,FALSE))*$U124*((1+Inputs!$D$7)^DA$2))),IF($N124=Lists!$K$3,IF($L124&lt;1,((($T124*(1-$F124)+$S124*(1-$G124))/$L124)*((1+Inputs!$D$7)^DA$2)),((INT(DA$2/$L124)-INT((DA$2-1)/$L124))*($T124*(1-$F124)+$S124*(1-$G124))*((1+Inputs!$D$7)^DA$2))),((Inputs!$D$8^((1-_xlfn.WEIBULL.DIST(DA$2,$M124,$L124,FALSE))/_xlfn.WEIBULL.DIST(DA$2,$M124,$L124,FALSE))*($T124*(1-$F124)+$S124*(1-$G124))*((1+Inputs!$D$7)^DA$2))))))))</f>
        <v>0</v>
      </c>
      <c r="DB124" s="88">
        <f>MAX(BL124,($E124*IF(DB$2&gt;Inputs!$D$5,0,IF(DB$2&gt;VLOOKUP($H124,Lists!$P$3:$Q$7,2),IF($N124=Lists!$K$3,IF($L124&lt;1,(($U124/$L124)*((1+Inputs!$D$7)^DB$2)),((INT(DB$2/$L124)-INT((DB$2-1)/$L124))*$U124*((1+Inputs!$D$7)^DB$2))),(Inputs!$D$8^((1-_xlfn.WEIBULL.DIST(DB$2,$M124,$L124,FALSE))/_xlfn.WEIBULL.DIST(DB$2,$M124,$L124,FALSE))*$U124*((1+Inputs!$D$7)^DB$2))),IF($N124=Lists!$K$3,IF($L124&lt;1,((($T124*(1-$F124)+$S124*(1-$G124))/$L124)*((1+Inputs!$D$7)^DB$2)),((INT(DB$2/$L124)-INT((DB$2-1)/$L124))*($T124*(1-$F124)+$S124*(1-$G124))*((1+Inputs!$D$7)^DB$2))),((Inputs!$D$8^((1-_xlfn.WEIBULL.DIST(DB$2,$M124,$L124,FALSE))/_xlfn.WEIBULL.DIST(DB$2,$M124,$L124,FALSE))*($T124*(1-$F124)+$S124*(1-$G124))*((1+Inputs!$D$7)^DB$2))))))))</f>
        <v>0</v>
      </c>
      <c r="DC124" s="88">
        <f>MAX(BM124,($E124*IF(DC$2&gt;Inputs!$D$5,0,IF(DC$2&gt;VLOOKUP($H124,Lists!$P$3:$Q$7,2),IF($N124=Lists!$K$3,IF($L124&lt;1,(($U124/$L124)*((1+Inputs!$D$7)^DC$2)),((INT(DC$2/$L124)-INT((DC$2-1)/$L124))*$U124*((1+Inputs!$D$7)^DC$2))),(Inputs!$D$8^((1-_xlfn.WEIBULL.DIST(DC$2,$M124,$L124,FALSE))/_xlfn.WEIBULL.DIST(DC$2,$M124,$L124,FALSE))*$U124*((1+Inputs!$D$7)^DC$2))),IF($N124=Lists!$K$3,IF($L124&lt;1,((($T124*(1-$F124)+$S124*(1-$G124))/$L124)*((1+Inputs!$D$7)^DC$2)),((INT(DC$2/$L124)-INT((DC$2-1)/$L124))*($T124*(1-$F124)+$S124*(1-$G124))*((1+Inputs!$D$7)^DC$2))),((Inputs!$D$8^((1-_xlfn.WEIBULL.DIST(DC$2,$M124,$L124,FALSE))/_xlfn.WEIBULL.DIST(DC$2,$M124,$L124,FALSE))*($T124*(1-$F124)+$S124*(1-$G124))*((1+Inputs!$D$7)^DC$2))))))))</f>
        <v>0</v>
      </c>
      <c r="DD124" s="88">
        <f>MAX(BN124,($E124*IF(DD$2&gt;Inputs!$D$5,0,IF(DD$2&gt;VLOOKUP($H124,Lists!$P$3:$Q$7,2),IF($N124=Lists!$K$3,IF($L124&lt;1,(($U124/$L124)*((1+Inputs!$D$7)^DD$2)),((INT(DD$2/$L124)-INT((DD$2-1)/$L124))*$U124*((1+Inputs!$D$7)^DD$2))),(Inputs!$D$8^((1-_xlfn.WEIBULL.DIST(DD$2,$M124,$L124,FALSE))/_xlfn.WEIBULL.DIST(DD$2,$M124,$L124,FALSE))*$U124*((1+Inputs!$D$7)^DD$2))),IF($N124=Lists!$K$3,IF($L124&lt;1,((($T124*(1-$F124)+$S124*(1-$G124))/$L124)*((1+Inputs!$D$7)^DD$2)),((INT(DD$2/$L124)-INT((DD$2-1)/$L124))*($T124*(1-$F124)+$S124*(1-$G124))*((1+Inputs!$D$7)^DD$2))),((Inputs!$D$8^((1-_xlfn.WEIBULL.DIST(DD$2,$M124,$L124,FALSE))/_xlfn.WEIBULL.DIST(DD$2,$M124,$L124,FALSE))*($T124*(1-$F124)+$S124*(1-$G124))*((1+Inputs!$D$7)^DD$2))))))))</f>
        <v>0</v>
      </c>
    </row>
    <row r="125" spans="1:108" ht="16">
      <c r="A125" s="57" t="s">
        <v>38</v>
      </c>
      <c r="B125" s="13" t="s">
        <v>279</v>
      </c>
      <c r="C125" s="13" t="s">
        <v>90</v>
      </c>
      <c r="D125" s="13" t="s">
        <v>37</v>
      </c>
      <c r="E125" s="89">
        <f>IF(Inputs!$D$54=Lists!$AA$3,0,1)</f>
        <v>1</v>
      </c>
      <c r="F125" s="48">
        <v>0</v>
      </c>
      <c r="G125" s="48">
        <v>0</v>
      </c>
      <c r="H125" s="105" t="s">
        <v>350</v>
      </c>
      <c r="I125" s="14"/>
      <c r="J125" s="14" t="s">
        <v>246</v>
      </c>
      <c r="K125" s="13">
        <f>VLOOKUP(J125,'Labor Rates'!$A$1:$F$16,2)</f>
        <v>33.119999999999997</v>
      </c>
      <c r="L125" s="15">
        <v>1</v>
      </c>
      <c r="M125" s="15">
        <v>1</v>
      </c>
      <c r="N125" s="13" t="s">
        <v>236</v>
      </c>
      <c r="O125" s="61">
        <v>1</v>
      </c>
      <c r="P125" s="15">
        <v>0.1</v>
      </c>
      <c r="Q125" s="15">
        <f t="shared" si="21"/>
        <v>0.1</v>
      </c>
      <c r="R125" s="4">
        <v>0</v>
      </c>
      <c r="S125" s="53">
        <f t="shared" si="22"/>
        <v>3.3119999999999998</v>
      </c>
      <c r="T125" s="53">
        <f t="shared" si="23"/>
        <v>0</v>
      </c>
      <c r="U125" s="54">
        <f t="shared" si="24"/>
        <v>3.3119999999999998</v>
      </c>
      <c r="V125" s="65"/>
      <c r="W125" s="58"/>
      <c r="X125" s="64">
        <f t="shared" si="25"/>
        <v>4.1041173274747891</v>
      </c>
      <c r="Y125" s="64">
        <f>NPV(Inputs!$D$6,AA125:BN125)</f>
        <v>47.141291640750993</v>
      </c>
      <c r="Z125" s="67">
        <f t="shared" si="26"/>
        <v>2.2234134609008494E-5</v>
      </c>
      <c r="AA125" s="88">
        <f>$E125*IF(AA$2&gt;Inputs!$D$5,0,IF(AA$2&gt;VLOOKUP($H125,Lists!$P$3:$Q$7,2),IF($N125=Lists!$K$3,IF($L125&lt;1,(($U125/$L125)*((1+Inputs!$D$7)^AA$2)),((INT(AA$2/$L125)-INT((AA$2-1)/$L125))*$U125*((1+Inputs!$D$7)^AA$2))),(_xlfn.WEIBULL.DIST(AA$2,$M125,$L125,FALSE)*$U125*((1+Inputs!$D$7)^AA$2))),IF($N125=Lists!$K$3,IF($L125&lt;1,((($T125*(1-$F125)+$S125*(1-$G125))/$L125)*((1+Inputs!$D$7)^AA$2)),((INT(AA$2/$L125)-INT((AA$2-1)/$L125))*($T125*(1-$F125)+$S125*(1-$G125))*((1+Inputs!$D$7)^AA$2))),((_xlfn.WEIBULL.DIST(AA$2,$M125,$L125,FALSE)*($T125*(1-$F125)+$S125*(1-$G125))*((1+Inputs!$D$7)^AA$2))))))</f>
        <v>3.3782399999999999</v>
      </c>
      <c r="AB125" s="88">
        <f>$E125*IF(AB$2&gt;Inputs!$D$5,0,IF(AB$2&gt;VLOOKUP($H125,Lists!$P$3:$Q$7,2),IF($N125=Lists!$K$3,IF($L125&lt;1,(($U125/$L125)*((1+Inputs!$D$7)^AB$2)),((INT(AB$2/$L125)-INT((AB$2-1)/$L125))*$U125*((1+Inputs!$D$7)^AB$2))),(_xlfn.WEIBULL.DIST(AB$2,$M125,$L125,FALSE)*$U125*((1+Inputs!$D$7)^AB$2))),IF($N125=Lists!$K$3,IF($L125&lt;1,((($T125*(1-$F125)+$S125*(1-$G125))/$L125)*((1+Inputs!$D$7)^AB$2)),((INT(AB$2/$L125)-INT((AB$2-1)/$L125))*($T125*(1-$F125)+$S125*(1-$G125))*((1+Inputs!$D$7)^AB$2))),((_xlfn.WEIBULL.DIST(AB$2,$M125,$L125,FALSE)*($T125*(1-$F125)+$S125*(1-$G125))*((1+Inputs!$D$7)^AB$2))))))</f>
        <v>3.4458047999999999</v>
      </c>
      <c r="AC125" s="88">
        <f>$E125*IF(AC$2&gt;Inputs!$D$5,0,IF(AC$2&gt;VLOOKUP($H125,Lists!$P$3:$Q$7,2),IF($N125=Lists!$K$3,IF($L125&lt;1,(($U125/$L125)*((1+Inputs!$D$7)^AC$2)),((INT(AC$2/$L125)-INT((AC$2-1)/$L125))*$U125*((1+Inputs!$D$7)^AC$2))),(_xlfn.WEIBULL.DIST(AC$2,$M125,$L125,FALSE)*$U125*((1+Inputs!$D$7)^AC$2))),IF($N125=Lists!$K$3,IF($L125&lt;1,((($T125*(1-$F125)+$S125*(1-$G125))/$L125)*((1+Inputs!$D$7)^AC$2)),((INT(AC$2/$L125)-INT((AC$2-1)/$L125))*($T125*(1-$F125)+$S125*(1-$G125))*((1+Inputs!$D$7)^AC$2))),((_xlfn.WEIBULL.DIST(AC$2,$M125,$L125,FALSE)*($T125*(1-$F125)+$S125*(1-$G125))*((1+Inputs!$D$7)^AC$2))))))</f>
        <v>3.5147208959999996</v>
      </c>
      <c r="AD125" s="88">
        <f>$E125*IF(AD$2&gt;Inputs!$D$5,0,IF(AD$2&gt;VLOOKUP($H125,Lists!$P$3:$Q$7,2),IF($N125=Lists!$K$3,IF($L125&lt;1,(($U125/$L125)*((1+Inputs!$D$7)^AD$2)),((INT(AD$2/$L125)-INT((AD$2-1)/$L125))*$U125*((1+Inputs!$D$7)^AD$2))),(_xlfn.WEIBULL.DIST(AD$2,$M125,$L125,FALSE)*$U125*((1+Inputs!$D$7)^AD$2))),IF($N125=Lists!$K$3,IF($L125&lt;1,((($T125*(1-$F125)+$S125*(1-$G125))/$L125)*((1+Inputs!$D$7)^AD$2)),((INT(AD$2/$L125)-INT((AD$2-1)/$L125))*($T125*(1-$F125)+$S125*(1-$G125))*((1+Inputs!$D$7)^AD$2))),((_xlfn.WEIBULL.DIST(AD$2,$M125,$L125,FALSE)*($T125*(1-$F125)+$S125*(1-$G125))*((1+Inputs!$D$7)^AD$2))))))</f>
        <v>3.5850153139199996</v>
      </c>
      <c r="AE125" s="88">
        <f>$E125*IF(AE$2&gt;Inputs!$D$5,0,IF(AE$2&gt;VLOOKUP($H125,Lists!$P$3:$Q$7,2),IF($N125=Lists!$K$3,IF($L125&lt;1,(($U125/$L125)*((1+Inputs!$D$7)^AE$2)),((INT(AE$2/$L125)-INT((AE$2-1)/$L125))*$U125*((1+Inputs!$D$7)^AE$2))),(_xlfn.WEIBULL.DIST(AE$2,$M125,$L125,FALSE)*$U125*((1+Inputs!$D$7)^AE$2))),IF($N125=Lists!$K$3,IF($L125&lt;1,((($T125*(1-$F125)+$S125*(1-$G125))/$L125)*((1+Inputs!$D$7)^AE$2)),((INT(AE$2/$L125)-INT((AE$2-1)/$L125))*($T125*(1-$F125)+$S125*(1-$G125))*((1+Inputs!$D$7)^AE$2))),((_xlfn.WEIBULL.DIST(AE$2,$M125,$L125,FALSE)*($T125*(1-$F125)+$S125*(1-$G125))*((1+Inputs!$D$7)^AE$2))))))</f>
        <v>3.6567156201983999</v>
      </c>
      <c r="AF125" s="88">
        <f>$E125*IF(AF$2&gt;Inputs!$D$5,0,IF(AF$2&gt;VLOOKUP($H125,Lists!$P$3:$Q$7,2),IF($N125=Lists!$K$3,IF($L125&lt;1,(($U125/$L125)*((1+Inputs!$D$7)^AF$2)),((INT(AF$2/$L125)-INT((AF$2-1)/$L125))*$U125*((1+Inputs!$D$7)^AF$2))),(_xlfn.WEIBULL.DIST(AF$2,$M125,$L125,FALSE)*$U125*((1+Inputs!$D$7)^AF$2))),IF($N125=Lists!$K$3,IF($L125&lt;1,((($T125*(1-$F125)+$S125*(1-$G125))/$L125)*((1+Inputs!$D$7)^AF$2)),((INT(AF$2/$L125)-INT((AF$2-1)/$L125))*($T125*(1-$F125)+$S125*(1-$G125))*((1+Inputs!$D$7)^AF$2))),((_xlfn.WEIBULL.DIST(AF$2,$M125,$L125,FALSE)*($T125*(1-$F125)+$S125*(1-$G125))*((1+Inputs!$D$7)^AF$2))))))</f>
        <v>3.729849932602368</v>
      </c>
      <c r="AG125" s="88">
        <f>$E125*IF(AG$2&gt;Inputs!$D$5,0,IF(AG$2&gt;VLOOKUP($H125,Lists!$P$3:$Q$7,2),IF($N125=Lists!$K$3,IF($L125&lt;1,(($U125/$L125)*((1+Inputs!$D$7)^AG$2)),((INT(AG$2/$L125)-INT((AG$2-1)/$L125))*$U125*((1+Inputs!$D$7)^AG$2))),(_xlfn.WEIBULL.DIST(AG$2,$M125,$L125,FALSE)*$U125*((1+Inputs!$D$7)^AG$2))),IF($N125=Lists!$K$3,IF($L125&lt;1,((($T125*(1-$F125)+$S125*(1-$G125))/$L125)*((1+Inputs!$D$7)^AG$2)),((INT(AG$2/$L125)-INT((AG$2-1)/$L125))*($T125*(1-$F125)+$S125*(1-$G125))*((1+Inputs!$D$7)^AG$2))),((_xlfn.WEIBULL.DIST(AG$2,$M125,$L125,FALSE)*($T125*(1-$F125)+$S125*(1-$G125))*((1+Inputs!$D$7)^AG$2))))))</f>
        <v>3.8044469312544145</v>
      </c>
      <c r="AH125" s="88">
        <f>$E125*IF(AH$2&gt;Inputs!$D$5,0,IF(AH$2&gt;VLOOKUP($H125,Lists!$P$3:$Q$7,2),IF($N125=Lists!$K$3,IF($L125&lt;1,(($U125/$L125)*((1+Inputs!$D$7)^AH$2)),((INT(AH$2/$L125)-INT((AH$2-1)/$L125))*$U125*((1+Inputs!$D$7)^AH$2))),(_xlfn.WEIBULL.DIST(AH$2,$M125,$L125,FALSE)*$U125*((1+Inputs!$D$7)^AH$2))),IF($N125=Lists!$K$3,IF($L125&lt;1,((($T125*(1-$F125)+$S125*(1-$G125))/$L125)*((1+Inputs!$D$7)^AH$2)),((INT(AH$2/$L125)-INT((AH$2-1)/$L125))*($T125*(1-$F125)+$S125*(1-$G125))*((1+Inputs!$D$7)^AH$2))),((_xlfn.WEIBULL.DIST(AH$2,$M125,$L125,FALSE)*($T125*(1-$F125)+$S125*(1-$G125))*((1+Inputs!$D$7)^AH$2))))))</f>
        <v>3.8805358698795032</v>
      </c>
      <c r="AI125" s="88">
        <f>$E125*IF(AI$2&gt;Inputs!$D$5,0,IF(AI$2&gt;VLOOKUP($H125,Lists!$P$3:$Q$7,2),IF($N125=Lists!$K$3,IF($L125&lt;1,(($U125/$L125)*((1+Inputs!$D$7)^AI$2)),((INT(AI$2/$L125)-INT((AI$2-1)/$L125))*$U125*((1+Inputs!$D$7)^AI$2))),(_xlfn.WEIBULL.DIST(AI$2,$M125,$L125,FALSE)*$U125*((1+Inputs!$D$7)^AI$2))),IF($N125=Lists!$K$3,IF($L125&lt;1,((($T125*(1-$F125)+$S125*(1-$G125))/$L125)*((1+Inputs!$D$7)^AI$2)),((INT(AI$2/$L125)-INT((AI$2-1)/$L125))*($T125*(1-$F125)+$S125*(1-$G125))*((1+Inputs!$D$7)^AI$2))),((_xlfn.WEIBULL.DIST(AI$2,$M125,$L125,FALSE)*($T125*(1-$F125)+$S125*(1-$G125))*((1+Inputs!$D$7)^AI$2))))))</f>
        <v>3.9581465872770933</v>
      </c>
      <c r="AJ125" s="88">
        <f>$E125*IF(AJ$2&gt;Inputs!$D$5,0,IF(AJ$2&gt;VLOOKUP($H125,Lists!$P$3:$Q$7,2),IF($N125=Lists!$K$3,IF($L125&lt;1,(($U125/$L125)*((1+Inputs!$D$7)^AJ$2)),((INT(AJ$2/$L125)-INT((AJ$2-1)/$L125))*$U125*((1+Inputs!$D$7)^AJ$2))),(_xlfn.WEIBULL.DIST(AJ$2,$M125,$L125,FALSE)*$U125*((1+Inputs!$D$7)^AJ$2))),IF($N125=Lists!$K$3,IF($L125&lt;1,((($T125*(1-$F125)+$S125*(1-$G125))/$L125)*((1+Inputs!$D$7)^AJ$2)),((INT(AJ$2/$L125)-INT((AJ$2-1)/$L125))*($T125*(1-$F125)+$S125*(1-$G125))*((1+Inputs!$D$7)^AJ$2))),((_xlfn.WEIBULL.DIST(AJ$2,$M125,$L125,FALSE)*($T125*(1-$F125)+$S125*(1-$G125))*((1+Inputs!$D$7)^AJ$2))))))</f>
        <v>4.0373095190226351</v>
      </c>
      <c r="AK125" s="88">
        <f>$E125*IF(AK$2&gt;Inputs!$D$5,0,IF(AK$2&gt;VLOOKUP($H125,Lists!$P$3:$Q$7,2),IF($N125=Lists!$K$3,IF($L125&lt;1,(($U125/$L125)*((1+Inputs!$D$7)^AK$2)),((INT(AK$2/$L125)-INT((AK$2-1)/$L125))*$U125*((1+Inputs!$D$7)^AK$2))),(_xlfn.WEIBULL.DIST(AK$2,$M125,$L125,FALSE)*$U125*((1+Inputs!$D$7)^AK$2))),IF($N125=Lists!$K$3,IF($L125&lt;1,((($T125*(1-$F125)+$S125*(1-$G125))/$L125)*((1+Inputs!$D$7)^AK$2)),((INT(AK$2/$L125)-INT((AK$2-1)/$L125))*($T125*(1-$F125)+$S125*(1-$G125))*((1+Inputs!$D$7)^AK$2))),((_xlfn.WEIBULL.DIST(AK$2,$M125,$L125,FALSE)*($T125*(1-$F125)+$S125*(1-$G125))*((1+Inputs!$D$7)^AK$2))))))</f>
        <v>4.1180557094030874</v>
      </c>
      <c r="AL125" s="88">
        <f>$E125*IF(AL$2&gt;Inputs!$D$5,0,IF(AL$2&gt;VLOOKUP($H125,Lists!$P$3:$Q$7,2),IF($N125=Lists!$K$3,IF($L125&lt;1,(($U125/$L125)*((1+Inputs!$D$7)^AL$2)),((INT(AL$2/$L125)-INT((AL$2-1)/$L125))*$U125*((1+Inputs!$D$7)^AL$2))),(_xlfn.WEIBULL.DIST(AL$2,$M125,$L125,FALSE)*$U125*((1+Inputs!$D$7)^AL$2))),IF($N125=Lists!$K$3,IF($L125&lt;1,((($T125*(1-$F125)+$S125*(1-$G125))/$L125)*((1+Inputs!$D$7)^AL$2)),((INT(AL$2/$L125)-INT((AL$2-1)/$L125))*($T125*(1-$F125)+$S125*(1-$G125))*((1+Inputs!$D$7)^AL$2))),((_xlfn.WEIBULL.DIST(AL$2,$M125,$L125,FALSE)*($T125*(1-$F125)+$S125*(1-$G125))*((1+Inputs!$D$7)^AL$2))))))</f>
        <v>4.2004168235911497</v>
      </c>
      <c r="AM125" s="88">
        <f>$E125*IF(AM$2&gt;Inputs!$D$5,0,IF(AM$2&gt;VLOOKUP($H125,Lists!$P$3:$Q$7,2),IF($N125=Lists!$K$3,IF($L125&lt;1,(($U125/$L125)*((1+Inputs!$D$7)^AM$2)),((INT(AM$2/$L125)-INT((AM$2-1)/$L125))*$U125*((1+Inputs!$D$7)^AM$2))),(_xlfn.WEIBULL.DIST(AM$2,$M125,$L125,FALSE)*$U125*((1+Inputs!$D$7)^AM$2))),IF($N125=Lists!$K$3,IF($L125&lt;1,((($T125*(1-$F125)+$S125*(1-$G125))/$L125)*((1+Inputs!$D$7)^AM$2)),((INT(AM$2/$L125)-INT((AM$2-1)/$L125))*($T125*(1-$F125)+$S125*(1-$G125))*((1+Inputs!$D$7)^AM$2))),((_xlfn.WEIBULL.DIST(AM$2,$M125,$L125,FALSE)*($T125*(1-$F125)+$S125*(1-$G125))*((1+Inputs!$D$7)^AM$2))))))</f>
        <v>4.2844251600629724</v>
      </c>
      <c r="AN125" s="88">
        <f>$E125*IF(AN$2&gt;Inputs!$D$5,0,IF(AN$2&gt;VLOOKUP($H125,Lists!$P$3:$Q$7,2),IF($N125=Lists!$K$3,IF($L125&lt;1,(($U125/$L125)*((1+Inputs!$D$7)^AN$2)),((INT(AN$2/$L125)-INT((AN$2-1)/$L125))*$U125*((1+Inputs!$D$7)^AN$2))),(_xlfn.WEIBULL.DIST(AN$2,$M125,$L125,FALSE)*$U125*((1+Inputs!$D$7)^AN$2))),IF($N125=Lists!$K$3,IF($L125&lt;1,((($T125*(1-$F125)+$S125*(1-$G125))/$L125)*((1+Inputs!$D$7)^AN$2)),((INT(AN$2/$L125)-INT((AN$2-1)/$L125))*($T125*(1-$F125)+$S125*(1-$G125))*((1+Inputs!$D$7)^AN$2))),((_xlfn.WEIBULL.DIST(AN$2,$M125,$L125,FALSE)*($T125*(1-$F125)+$S125*(1-$G125))*((1+Inputs!$D$7)^AN$2))))))</f>
        <v>4.3701136632642328</v>
      </c>
      <c r="AO125" s="88">
        <f>$E125*IF(AO$2&gt;Inputs!$D$5,0,IF(AO$2&gt;VLOOKUP($H125,Lists!$P$3:$Q$7,2),IF($N125=Lists!$K$3,IF($L125&lt;1,(($U125/$L125)*((1+Inputs!$D$7)^AO$2)),((INT(AO$2/$L125)-INT((AO$2-1)/$L125))*$U125*((1+Inputs!$D$7)^AO$2))),(_xlfn.WEIBULL.DIST(AO$2,$M125,$L125,FALSE)*$U125*((1+Inputs!$D$7)^AO$2))),IF($N125=Lists!$K$3,IF($L125&lt;1,((($T125*(1-$F125)+$S125*(1-$G125))/$L125)*((1+Inputs!$D$7)^AO$2)),((INT(AO$2/$L125)-INT((AO$2-1)/$L125))*($T125*(1-$F125)+$S125*(1-$G125))*((1+Inputs!$D$7)^AO$2))),((_xlfn.WEIBULL.DIST(AO$2,$M125,$L125,FALSE)*($T125*(1-$F125)+$S125*(1-$G125))*((1+Inputs!$D$7)^AO$2))))))</f>
        <v>4.4575159365295161</v>
      </c>
      <c r="AP125" s="88">
        <f>$E125*IF(AP$2&gt;Inputs!$D$5,0,IF(AP$2&gt;VLOOKUP($H125,Lists!$P$3:$Q$7,2),IF($N125=Lists!$K$3,IF($L125&lt;1,(($U125/$L125)*((1+Inputs!$D$7)^AP$2)),((INT(AP$2/$L125)-INT((AP$2-1)/$L125))*$U125*((1+Inputs!$D$7)^AP$2))),(_xlfn.WEIBULL.DIST(AP$2,$M125,$L125,FALSE)*$U125*((1+Inputs!$D$7)^AP$2))),IF($N125=Lists!$K$3,IF($L125&lt;1,((($T125*(1-$F125)+$S125*(1-$G125))/$L125)*((1+Inputs!$D$7)^AP$2)),((INT(AP$2/$L125)-INT((AP$2-1)/$L125))*($T125*(1-$F125)+$S125*(1-$G125))*((1+Inputs!$D$7)^AP$2))),((_xlfn.WEIBULL.DIST(AP$2,$M125,$L125,FALSE)*($T125*(1-$F125)+$S125*(1-$G125))*((1+Inputs!$D$7)^AP$2))))))</f>
        <v>4.5466662552601065</v>
      </c>
      <c r="AQ125" s="88">
        <f>$E125*IF(AQ$2&gt;Inputs!$D$5,0,IF(AQ$2&gt;VLOOKUP($H125,Lists!$P$3:$Q$7,2),IF($N125=Lists!$K$3,IF($L125&lt;1,(($U125/$L125)*((1+Inputs!$D$7)^AQ$2)),((INT(AQ$2/$L125)-INT((AQ$2-1)/$L125))*$U125*((1+Inputs!$D$7)^AQ$2))),(_xlfn.WEIBULL.DIST(AQ$2,$M125,$L125,FALSE)*$U125*((1+Inputs!$D$7)^AQ$2))),IF($N125=Lists!$K$3,IF($L125&lt;1,((($T125*(1-$F125)+$S125*(1-$G125))/$L125)*((1+Inputs!$D$7)^AQ$2)),((INT(AQ$2/$L125)-INT((AQ$2-1)/$L125))*($T125*(1-$F125)+$S125*(1-$G125))*((1+Inputs!$D$7)^AQ$2))),((_xlfn.WEIBULL.DIST(AQ$2,$M125,$L125,FALSE)*($T125*(1-$F125)+$S125*(1-$G125))*((1+Inputs!$D$7)^AQ$2))))))</f>
        <v>4.6375995803653094</v>
      </c>
      <c r="AR125" s="88">
        <f>$E125*IF(AR$2&gt;Inputs!$D$5,0,IF(AR$2&gt;VLOOKUP($H125,Lists!$P$3:$Q$7,2),IF($N125=Lists!$K$3,IF($L125&lt;1,(($U125/$L125)*((1+Inputs!$D$7)^AR$2)),((INT(AR$2/$L125)-INT((AR$2-1)/$L125))*$U125*((1+Inputs!$D$7)^AR$2))),(_xlfn.WEIBULL.DIST(AR$2,$M125,$L125,FALSE)*$U125*((1+Inputs!$D$7)^AR$2))),IF($N125=Lists!$K$3,IF($L125&lt;1,((($T125*(1-$F125)+$S125*(1-$G125))/$L125)*((1+Inputs!$D$7)^AR$2)),((INT(AR$2/$L125)-INT((AR$2-1)/$L125))*($T125*(1-$F125)+$S125*(1-$G125))*((1+Inputs!$D$7)^AR$2))),((_xlfn.WEIBULL.DIST(AR$2,$M125,$L125,FALSE)*($T125*(1-$F125)+$S125*(1-$G125))*((1+Inputs!$D$7)^AR$2))))))</f>
        <v>4.7303515719726148</v>
      </c>
      <c r="AS125" s="88">
        <f>$E125*IF(AS$2&gt;Inputs!$D$5,0,IF(AS$2&gt;VLOOKUP($H125,Lists!$P$3:$Q$7,2),IF($N125=Lists!$K$3,IF($L125&lt;1,(($U125/$L125)*((1+Inputs!$D$7)^AS$2)),((INT(AS$2/$L125)-INT((AS$2-1)/$L125))*$U125*((1+Inputs!$D$7)^AS$2))),(_xlfn.WEIBULL.DIST(AS$2,$M125,$L125,FALSE)*$U125*((1+Inputs!$D$7)^AS$2))),IF($N125=Lists!$K$3,IF($L125&lt;1,((($T125*(1-$F125)+$S125*(1-$G125))/$L125)*((1+Inputs!$D$7)^AS$2)),((INT(AS$2/$L125)-INT((AS$2-1)/$L125))*($T125*(1-$F125)+$S125*(1-$G125))*((1+Inputs!$D$7)^AS$2))),((_xlfn.WEIBULL.DIST(AS$2,$M125,$L125,FALSE)*($T125*(1-$F125)+$S125*(1-$G125))*((1+Inputs!$D$7)^AS$2))))))</f>
        <v>4.8249586034120675</v>
      </c>
      <c r="AT125" s="88">
        <f>$E125*IF(AT$2&gt;Inputs!$D$5,0,IF(AT$2&gt;VLOOKUP($H125,Lists!$P$3:$Q$7,2),IF($N125=Lists!$K$3,IF($L125&lt;1,(($U125/$L125)*((1+Inputs!$D$7)^AT$2)),((INT(AT$2/$L125)-INT((AT$2-1)/$L125))*$U125*((1+Inputs!$D$7)^AT$2))),(_xlfn.WEIBULL.DIST(AT$2,$M125,$L125,FALSE)*$U125*((1+Inputs!$D$7)^AT$2))),IF($N125=Lists!$K$3,IF($L125&lt;1,((($T125*(1-$F125)+$S125*(1-$G125))/$L125)*((1+Inputs!$D$7)^AT$2)),((INT(AT$2/$L125)-INT((AT$2-1)/$L125))*($T125*(1-$F125)+$S125*(1-$G125))*((1+Inputs!$D$7)^AT$2))),((_xlfn.WEIBULL.DIST(AT$2,$M125,$L125,FALSE)*($T125*(1-$F125)+$S125*(1-$G125))*((1+Inputs!$D$7)^AT$2))))))</f>
        <v>4.9214577754803086</v>
      </c>
      <c r="AU125" s="88">
        <f>$E125*IF(AU$2&gt;Inputs!$D$5,0,IF(AU$2&gt;VLOOKUP($H125,Lists!$P$3:$Q$7,2),IF($N125=Lists!$K$3,IF($L125&lt;1,(($U125/$L125)*((1+Inputs!$D$7)^AU$2)),((INT(AU$2/$L125)-INT((AU$2-1)/$L125))*$U125*((1+Inputs!$D$7)^AU$2))),(_xlfn.WEIBULL.DIST(AU$2,$M125,$L125,FALSE)*$U125*((1+Inputs!$D$7)^AU$2))),IF($N125=Lists!$K$3,IF($L125&lt;1,((($T125*(1-$F125)+$S125*(1-$G125))/$L125)*((1+Inputs!$D$7)^AU$2)),((INT(AU$2/$L125)-INT((AU$2-1)/$L125))*($T125*(1-$F125)+$S125*(1-$G125))*((1+Inputs!$D$7)^AU$2))),((_xlfn.WEIBULL.DIST(AU$2,$M125,$L125,FALSE)*($T125*(1-$F125)+$S125*(1-$G125))*((1+Inputs!$D$7)^AU$2))))))</f>
        <v>5.019886930989915</v>
      </c>
      <c r="AV125" s="88">
        <f>$E125*IF(AV$2&gt;Inputs!$D$5,0,IF(AV$2&gt;VLOOKUP($H125,Lists!$P$3:$Q$7,2),IF($N125=Lists!$K$3,IF($L125&lt;1,(($U125/$L125)*((1+Inputs!$D$7)^AV$2)),((INT(AV$2/$L125)-INT((AV$2-1)/$L125))*$U125*((1+Inputs!$D$7)^AV$2))),(_xlfn.WEIBULL.DIST(AV$2,$M125,$L125,FALSE)*$U125*((1+Inputs!$D$7)^AV$2))),IF($N125=Lists!$K$3,IF($L125&lt;1,((($T125*(1-$F125)+$S125*(1-$G125))/$L125)*((1+Inputs!$D$7)^AV$2)),((INT(AV$2/$L125)-INT((AV$2-1)/$L125))*($T125*(1-$F125)+$S125*(1-$G125))*((1+Inputs!$D$7)^AV$2))),((_xlfn.WEIBULL.DIST(AV$2,$M125,$L125,FALSE)*($T125*(1-$F125)+$S125*(1-$G125))*((1+Inputs!$D$7)^AV$2))))))</f>
        <v>5.1202846696097133</v>
      </c>
      <c r="AW125" s="88">
        <f>$E125*IF(AW$2&gt;Inputs!$D$5,0,IF(AW$2&gt;VLOOKUP($H125,Lists!$P$3:$Q$7,2),IF($N125=Lists!$K$3,IF($L125&lt;1,(($U125/$L125)*((1+Inputs!$D$7)^AW$2)),((INT(AW$2/$L125)-INT((AW$2-1)/$L125))*$U125*((1+Inputs!$D$7)^AW$2))),(_xlfn.WEIBULL.DIST(AW$2,$M125,$L125,FALSE)*$U125*((1+Inputs!$D$7)^AW$2))),IF($N125=Lists!$K$3,IF($L125&lt;1,((($T125*(1-$F125)+$S125*(1-$G125))/$L125)*((1+Inputs!$D$7)^AW$2)),((INT(AW$2/$L125)-INT((AW$2-1)/$L125))*($T125*(1-$F125)+$S125*(1-$G125))*((1+Inputs!$D$7)^AW$2))),((_xlfn.WEIBULL.DIST(AW$2,$M125,$L125,FALSE)*($T125*(1-$F125)+$S125*(1-$G125))*((1+Inputs!$D$7)^AW$2))))))</f>
        <v>5.2226903630019068</v>
      </c>
      <c r="AX125" s="88">
        <f>$E125*IF(AX$2&gt;Inputs!$D$5,0,IF(AX$2&gt;VLOOKUP($H125,Lists!$P$3:$Q$7,2),IF($N125=Lists!$K$3,IF($L125&lt;1,(($U125/$L125)*((1+Inputs!$D$7)^AX$2)),((INT(AX$2/$L125)-INT((AX$2-1)/$L125))*$U125*((1+Inputs!$D$7)^AX$2))),(_xlfn.WEIBULL.DIST(AX$2,$M125,$L125,FALSE)*$U125*((1+Inputs!$D$7)^AX$2))),IF($N125=Lists!$K$3,IF($L125&lt;1,((($T125*(1-$F125)+$S125*(1-$G125))/$L125)*((1+Inputs!$D$7)^AX$2)),((INT(AX$2/$L125)-INT((AX$2-1)/$L125))*($T125*(1-$F125)+$S125*(1-$G125))*((1+Inputs!$D$7)^AX$2))),((_xlfn.WEIBULL.DIST(AX$2,$M125,$L125,FALSE)*($T125*(1-$F125)+$S125*(1-$G125))*((1+Inputs!$D$7)^AX$2))))))</f>
        <v>5.3271441702619446</v>
      </c>
      <c r="AY125" s="88">
        <f>$E125*IF(AY$2&gt;Inputs!$D$5,0,IF(AY$2&gt;VLOOKUP($H125,Lists!$P$3:$Q$7,2),IF($N125=Lists!$K$3,IF($L125&lt;1,(($U125/$L125)*((1+Inputs!$D$7)^AY$2)),((INT(AY$2/$L125)-INT((AY$2-1)/$L125))*$U125*((1+Inputs!$D$7)^AY$2))),(_xlfn.WEIBULL.DIST(AY$2,$M125,$L125,FALSE)*$U125*((1+Inputs!$D$7)^AY$2))),IF($N125=Lists!$K$3,IF($L125&lt;1,((($T125*(1-$F125)+$S125*(1-$G125))/$L125)*((1+Inputs!$D$7)^AY$2)),((INT(AY$2/$L125)-INT((AY$2-1)/$L125))*($T125*(1-$F125)+$S125*(1-$G125))*((1+Inputs!$D$7)^AY$2))),((_xlfn.WEIBULL.DIST(AY$2,$M125,$L125,FALSE)*($T125*(1-$F125)+$S125*(1-$G125))*((1+Inputs!$D$7)^AY$2))))))</f>
        <v>5.4336870536671844</v>
      </c>
      <c r="AZ125" s="88">
        <f>$E125*IF(AZ$2&gt;Inputs!$D$5,0,IF(AZ$2&gt;VLOOKUP($H125,Lists!$P$3:$Q$7,2),IF($N125=Lists!$K$3,IF($L125&lt;1,(($U125/$L125)*((1+Inputs!$D$7)^AZ$2)),((INT(AZ$2/$L125)-INT((AZ$2-1)/$L125))*$U125*((1+Inputs!$D$7)^AZ$2))),(_xlfn.WEIBULL.DIST(AZ$2,$M125,$L125,FALSE)*$U125*((1+Inputs!$D$7)^AZ$2))),IF($N125=Lists!$K$3,IF($L125&lt;1,((($T125*(1-$F125)+$S125*(1-$G125))/$L125)*((1+Inputs!$D$7)^AZ$2)),((INT(AZ$2/$L125)-INT((AZ$2-1)/$L125))*($T125*(1-$F125)+$S125*(1-$G125))*((1+Inputs!$D$7)^AZ$2))),((_xlfn.WEIBULL.DIST(AZ$2,$M125,$L125,FALSE)*($T125*(1-$F125)+$S125*(1-$G125))*((1+Inputs!$D$7)^AZ$2))))))</f>
        <v>0</v>
      </c>
      <c r="BA125" s="88">
        <f>$E125*IF(BA$2&gt;Inputs!$D$5,0,IF(BA$2&gt;VLOOKUP($H125,Lists!$P$3:$Q$7,2),IF($N125=Lists!$K$3,IF($L125&lt;1,(($U125/$L125)*((1+Inputs!$D$7)^BA$2)),((INT(BA$2/$L125)-INT((BA$2-1)/$L125))*$U125*((1+Inputs!$D$7)^BA$2))),(_xlfn.WEIBULL.DIST(BA$2,$M125,$L125,FALSE)*$U125*((1+Inputs!$D$7)^BA$2))),IF($N125=Lists!$K$3,IF($L125&lt;1,((($T125*(1-$F125)+$S125*(1-$G125))/$L125)*((1+Inputs!$D$7)^BA$2)),((INT(BA$2/$L125)-INT((BA$2-1)/$L125))*($T125*(1-$F125)+$S125*(1-$G125))*((1+Inputs!$D$7)^BA$2))),((_xlfn.WEIBULL.DIST(BA$2,$M125,$L125,FALSE)*($T125*(1-$F125)+$S125*(1-$G125))*((1+Inputs!$D$7)^BA$2))))))</f>
        <v>0</v>
      </c>
      <c r="BB125" s="88">
        <f>$E125*IF(BB$2&gt;Inputs!$D$5,0,IF(BB$2&gt;VLOOKUP($H125,Lists!$P$3:$Q$7,2),IF($N125=Lists!$K$3,IF($L125&lt;1,(($U125/$L125)*((1+Inputs!$D$7)^BB$2)),((INT(BB$2/$L125)-INT((BB$2-1)/$L125))*$U125*((1+Inputs!$D$7)^BB$2))),(_xlfn.WEIBULL.DIST(BB$2,$M125,$L125,FALSE)*$U125*((1+Inputs!$D$7)^BB$2))),IF($N125=Lists!$K$3,IF($L125&lt;1,((($T125*(1-$F125)+$S125*(1-$G125))/$L125)*((1+Inputs!$D$7)^BB$2)),((INT(BB$2/$L125)-INT((BB$2-1)/$L125))*($T125*(1-$F125)+$S125*(1-$G125))*((1+Inputs!$D$7)^BB$2))),((_xlfn.WEIBULL.DIST(BB$2,$M125,$L125,FALSE)*($T125*(1-$F125)+$S125*(1-$G125))*((1+Inputs!$D$7)^BB$2))))))</f>
        <v>0</v>
      </c>
      <c r="BC125" s="88">
        <f>$E125*IF(BC$2&gt;Inputs!$D$5,0,IF(BC$2&gt;VLOOKUP($H125,Lists!$P$3:$Q$7,2),IF($N125=Lists!$K$3,IF($L125&lt;1,(($U125/$L125)*((1+Inputs!$D$7)^BC$2)),((INT(BC$2/$L125)-INT((BC$2-1)/$L125))*$U125*((1+Inputs!$D$7)^BC$2))),(_xlfn.WEIBULL.DIST(BC$2,$M125,$L125,FALSE)*$U125*((1+Inputs!$D$7)^BC$2))),IF($N125=Lists!$K$3,IF($L125&lt;1,((($T125*(1-$F125)+$S125*(1-$G125))/$L125)*((1+Inputs!$D$7)^BC$2)),((INT(BC$2/$L125)-INT((BC$2-1)/$L125))*($T125*(1-$F125)+$S125*(1-$G125))*((1+Inputs!$D$7)^BC$2))),((_xlfn.WEIBULL.DIST(BC$2,$M125,$L125,FALSE)*($T125*(1-$F125)+$S125*(1-$G125))*((1+Inputs!$D$7)^BC$2))))))</f>
        <v>0</v>
      </c>
      <c r="BD125" s="88">
        <f>$E125*IF(BD$2&gt;Inputs!$D$5,0,IF(BD$2&gt;VLOOKUP($H125,Lists!$P$3:$Q$7,2),IF($N125=Lists!$K$3,IF($L125&lt;1,(($U125/$L125)*((1+Inputs!$D$7)^BD$2)),((INT(BD$2/$L125)-INT((BD$2-1)/$L125))*$U125*((1+Inputs!$D$7)^BD$2))),(_xlfn.WEIBULL.DIST(BD$2,$M125,$L125,FALSE)*$U125*((1+Inputs!$D$7)^BD$2))),IF($N125=Lists!$K$3,IF($L125&lt;1,((($T125*(1-$F125)+$S125*(1-$G125))/$L125)*((1+Inputs!$D$7)^BD$2)),((INT(BD$2/$L125)-INT((BD$2-1)/$L125))*($T125*(1-$F125)+$S125*(1-$G125))*((1+Inputs!$D$7)^BD$2))),((_xlfn.WEIBULL.DIST(BD$2,$M125,$L125,FALSE)*($T125*(1-$F125)+$S125*(1-$G125))*((1+Inputs!$D$7)^BD$2))))))</f>
        <v>0</v>
      </c>
      <c r="BE125" s="88">
        <f>$E125*IF(BE$2&gt;Inputs!$D$5,0,IF(BE$2&gt;VLOOKUP($H125,Lists!$P$3:$Q$7,2),IF($N125=Lists!$K$3,IF($L125&lt;1,(($U125/$L125)*((1+Inputs!$D$7)^BE$2)),((INT(BE$2/$L125)-INT((BE$2-1)/$L125))*$U125*((1+Inputs!$D$7)^BE$2))),(_xlfn.WEIBULL.DIST(BE$2,$M125,$L125,FALSE)*$U125*((1+Inputs!$D$7)^BE$2))),IF($N125=Lists!$K$3,IF($L125&lt;1,((($T125*(1-$F125)+$S125*(1-$G125))/$L125)*((1+Inputs!$D$7)^BE$2)),((INT(BE$2/$L125)-INT((BE$2-1)/$L125))*($T125*(1-$F125)+$S125*(1-$G125))*((1+Inputs!$D$7)^BE$2))),((_xlfn.WEIBULL.DIST(BE$2,$M125,$L125,FALSE)*($T125*(1-$F125)+$S125*(1-$G125))*((1+Inputs!$D$7)^BE$2))))))</f>
        <v>0</v>
      </c>
      <c r="BF125" s="88">
        <f>$E125*IF(BF$2&gt;Inputs!$D$5,0,IF(BF$2&gt;VLOOKUP($H125,Lists!$P$3:$Q$7,2),IF($N125=Lists!$K$3,IF($L125&lt;1,(($U125/$L125)*((1+Inputs!$D$7)^BF$2)),((INT(BF$2/$L125)-INT((BF$2-1)/$L125))*$U125*((1+Inputs!$D$7)^BF$2))),(_xlfn.WEIBULL.DIST(BF$2,$M125,$L125,FALSE)*$U125*((1+Inputs!$D$7)^BF$2))),IF($N125=Lists!$K$3,IF($L125&lt;1,((($T125*(1-$F125)+$S125*(1-$G125))/$L125)*((1+Inputs!$D$7)^BF$2)),((INT(BF$2/$L125)-INT((BF$2-1)/$L125))*($T125*(1-$F125)+$S125*(1-$G125))*((1+Inputs!$D$7)^BF$2))),((_xlfn.WEIBULL.DIST(BF$2,$M125,$L125,FALSE)*($T125*(1-$F125)+$S125*(1-$G125))*((1+Inputs!$D$7)^BF$2))))))</f>
        <v>0</v>
      </c>
      <c r="BG125" s="88">
        <f>$E125*IF(BG$2&gt;Inputs!$D$5,0,IF(BG$2&gt;VLOOKUP($H125,Lists!$P$3:$Q$7,2),IF($N125=Lists!$K$3,IF($L125&lt;1,(($U125/$L125)*((1+Inputs!$D$7)^BG$2)),((INT(BG$2/$L125)-INT((BG$2-1)/$L125))*$U125*((1+Inputs!$D$7)^BG$2))),(_xlfn.WEIBULL.DIST(BG$2,$M125,$L125,FALSE)*$U125*((1+Inputs!$D$7)^BG$2))),IF($N125=Lists!$K$3,IF($L125&lt;1,((($T125*(1-$F125)+$S125*(1-$G125))/$L125)*((1+Inputs!$D$7)^BG$2)),((INT(BG$2/$L125)-INT((BG$2-1)/$L125))*($T125*(1-$F125)+$S125*(1-$G125))*((1+Inputs!$D$7)^BG$2))),((_xlfn.WEIBULL.DIST(BG$2,$M125,$L125,FALSE)*($T125*(1-$F125)+$S125*(1-$G125))*((1+Inputs!$D$7)^BG$2))))))</f>
        <v>0</v>
      </c>
      <c r="BH125" s="88">
        <f>$E125*IF(BH$2&gt;Inputs!$D$5,0,IF(BH$2&gt;VLOOKUP($H125,Lists!$P$3:$Q$7,2),IF($N125=Lists!$K$3,IF($L125&lt;1,(($U125/$L125)*((1+Inputs!$D$7)^BH$2)),((INT(BH$2/$L125)-INT((BH$2-1)/$L125))*$U125*((1+Inputs!$D$7)^BH$2))),(_xlfn.WEIBULL.DIST(BH$2,$M125,$L125,FALSE)*$U125*((1+Inputs!$D$7)^BH$2))),IF($N125=Lists!$K$3,IF($L125&lt;1,((($T125*(1-$F125)+$S125*(1-$G125))/$L125)*((1+Inputs!$D$7)^BH$2)),((INT(BH$2/$L125)-INT((BH$2-1)/$L125))*($T125*(1-$F125)+$S125*(1-$G125))*((1+Inputs!$D$7)^BH$2))),((_xlfn.WEIBULL.DIST(BH$2,$M125,$L125,FALSE)*($T125*(1-$F125)+$S125*(1-$G125))*((1+Inputs!$D$7)^BH$2))))))</f>
        <v>0</v>
      </c>
      <c r="BI125" s="88">
        <f>$E125*IF(BI$2&gt;Inputs!$D$5,0,IF(BI$2&gt;VLOOKUP($H125,Lists!$P$3:$Q$7,2),IF($N125=Lists!$K$3,IF($L125&lt;1,(($U125/$L125)*((1+Inputs!$D$7)^BI$2)),((INT(BI$2/$L125)-INT((BI$2-1)/$L125))*$U125*((1+Inputs!$D$7)^BI$2))),(_xlfn.WEIBULL.DIST(BI$2,$M125,$L125,FALSE)*$U125*((1+Inputs!$D$7)^BI$2))),IF($N125=Lists!$K$3,IF($L125&lt;1,((($T125*(1-$F125)+$S125*(1-$G125))/$L125)*((1+Inputs!$D$7)^BI$2)),((INT(BI$2/$L125)-INT((BI$2-1)/$L125))*($T125*(1-$F125)+$S125*(1-$G125))*((1+Inputs!$D$7)^BI$2))),((_xlfn.WEIBULL.DIST(BI$2,$M125,$L125,FALSE)*($T125*(1-$F125)+$S125*(1-$G125))*((1+Inputs!$D$7)^BI$2))))))</f>
        <v>0</v>
      </c>
      <c r="BJ125" s="88">
        <f>$E125*IF(BJ$2&gt;Inputs!$D$5,0,IF(BJ$2&gt;VLOOKUP($H125,Lists!$P$3:$Q$7,2),IF($N125=Lists!$K$3,IF($L125&lt;1,(($U125/$L125)*((1+Inputs!$D$7)^BJ$2)),((INT(BJ$2/$L125)-INT((BJ$2-1)/$L125))*$U125*((1+Inputs!$D$7)^BJ$2))),(_xlfn.WEIBULL.DIST(BJ$2,$M125,$L125,FALSE)*$U125*((1+Inputs!$D$7)^BJ$2))),IF($N125=Lists!$K$3,IF($L125&lt;1,((($T125*(1-$F125)+$S125*(1-$G125))/$L125)*((1+Inputs!$D$7)^BJ$2)),((INT(BJ$2/$L125)-INT((BJ$2-1)/$L125))*($T125*(1-$F125)+$S125*(1-$G125))*((1+Inputs!$D$7)^BJ$2))),((_xlfn.WEIBULL.DIST(BJ$2,$M125,$L125,FALSE)*($T125*(1-$F125)+$S125*(1-$G125))*((1+Inputs!$D$7)^BJ$2))))))</f>
        <v>0</v>
      </c>
      <c r="BK125" s="88">
        <f>$E125*IF(BK$2&gt;Inputs!$D$5,0,IF(BK$2&gt;VLOOKUP($H125,Lists!$P$3:$Q$7,2),IF($N125=Lists!$K$3,IF($L125&lt;1,(($U125/$L125)*((1+Inputs!$D$7)^BK$2)),((INT(BK$2/$L125)-INT((BK$2-1)/$L125))*$U125*((1+Inputs!$D$7)^BK$2))),(_xlfn.WEIBULL.DIST(BK$2,$M125,$L125,FALSE)*$U125*((1+Inputs!$D$7)^BK$2))),IF($N125=Lists!$K$3,IF($L125&lt;1,((($T125*(1-$F125)+$S125*(1-$G125))/$L125)*((1+Inputs!$D$7)^BK$2)),((INT(BK$2/$L125)-INT((BK$2-1)/$L125))*($T125*(1-$F125)+$S125*(1-$G125))*((1+Inputs!$D$7)^BK$2))),((_xlfn.WEIBULL.DIST(BK$2,$M125,$L125,FALSE)*($T125*(1-$F125)+$S125*(1-$G125))*((1+Inputs!$D$7)^BK$2))))))</f>
        <v>0</v>
      </c>
      <c r="BL125" s="88">
        <f>$E125*IF(BL$2&gt;Inputs!$D$5,0,IF(BL$2&gt;VLOOKUP($H125,Lists!$P$3:$Q$7,2),IF($N125=Lists!$K$3,IF($L125&lt;1,(($U125/$L125)*((1+Inputs!$D$7)^BL$2)),((INT(BL$2/$L125)-INT((BL$2-1)/$L125))*$U125*((1+Inputs!$D$7)^BL$2))),(_xlfn.WEIBULL.DIST(BL$2,$M125,$L125,FALSE)*$U125*((1+Inputs!$D$7)^BL$2))),IF($N125=Lists!$K$3,IF($L125&lt;1,((($T125*(1-$F125)+$S125*(1-$G125))/$L125)*((1+Inputs!$D$7)^BL$2)),((INT(BL$2/$L125)-INT((BL$2-1)/$L125))*($T125*(1-$F125)+$S125*(1-$G125))*((1+Inputs!$D$7)^BL$2))),((_xlfn.WEIBULL.DIST(BL$2,$M125,$L125,FALSE)*($T125*(1-$F125)+$S125*(1-$G125))*((1+Inputs!$D$7)^BL$2))))))</f>
        <v>0</v>
      </c>
      <c r="BM125" s="88">
        <f>$E125*IF(BM$2&gt;Inputs!$D$5,0,IF(BM$2&gt;VLOOKUP($H125,Lists!$P$3:$Q$7,2),IF($N125=Lists!$K$3,IF($L125&lt;1,(($U125/$L125)*((1+Inputs!$D$7)^BM$2)),((INT(BM$2/$L125)-INT((BM$2-1)/$L125))*$U125*((1+Inputs!$D$7)^BM$2))),(_xlfn.WEIBULL.DIST(BM$2,$M125,$L125,FALSE)*$U125*((1+Inputs!$D$7)^BM$2))),IF($N125=Lists!$K$3,IF($L125&lt;1,((($T125*(1-$F125)+$S125*(1-$G125))/$L125)*((1+Inputs!$D$7)^BM$2)),((INT(BM$2/$L125)-INT((BM$2-1)/$L125))*($T125*(1-$F125)+$S125*(1-$G125))*((1+Inputs!$D$7)^BM$2))),((_xlfn.WEIBULL.DIST(BM$2,$M125,$L125,FALSE)*($T125*(1-$F125)+$S125*(1-$G125))*((1+Inputs!$D$7)^BM$2))))))</f>
        <v>0</v>
      </c>
      <c r="BN125" s="88">
        <f>$E125*IF(BN$2&gt;Inputs!$D$5,0,IF(BN$2&gt;VLOOKUP($H125,Lists!$P$3:$Q$7,2),IF($N125=Lists!$K$3,IF($L125&lt;1,(($U125/$L125)*((1+Inputs!$D$7)^BN$2)),((INT(BN$2/$L125)-INT((BN$2-1)/$L125))*$U125*((1+Inputs!$D$7)^BN$2))),(_xlfn.WEIBULL.DIST(BN$2,$M125,$L125,FALSE)*$U125*((1+Inputs!$D$7)^BN$2))),IF($N125=Lists!$K$3,IF($L125&lt;1,((($T125*(1-$F125)+$S125*(1-$G125))/$L125)*((1+Inputs!$D$7)^BN$2)),((INT(BN$2/$L125)-INT((BN$2-1)/$L125))*($T125*(1-$F125)+$S125*(1-$G125))*((1+Inputs!$D$7)^BN$2))),((_xlfn.WEIBULL.DIST(BN$2,$M125,$L125,FALSE)*($T125*(1-$F125)+$S125*(1-$G125))*((1+Inputs!$D$7)^BN$2))))))</f>
        <v>0</v>
      </c>
      <c r="BO125" s="64">
        <f>NPV(Inputs!$D$6,BQ125:DD125)</f>
        <v>47.141291640750993</v>
      </c>
      <c r="BP125" s="67">
        <f t="shared" si="27"/>
        <v>2.2234134609008494E-5</v>
      </c>
      <c r="BQ125" s="88">
        <f>MAX(AA125,($E125*IF(BQ$2&gt;Inputs!$D$5,0,IF(BQ$2&gt;VLOOKUP($H125,Lists!$P$3:$Q$7,2),IF($N125=Lists!$K$3,IF($L125&lt;1,(($U125/$L125)*((1+Inputs!$D$7)^BQ$2)),((INT(BQ$2/$L125)-INT((BQ$2-1)/$L125))*$U125*((1+Inputs!$D$7)^BQ$2))),(Inputs!$D$8^((1-_xlfn.WEIBULL.DIST(BQ$2,$M125,$L125,FALSE))/_xlfn.WEIBULL.DIST(BQ$2,$M125,$L125,FALSE))*$U125*((1+Inputs!$D$7)^BQ$2))),IF($N125=Lists!$K$3,IF($L125&lt;1,((($T125*(1-$F125)+$S125*(1-$G125))/$L125)*((1+Inputs!$D$7)^BQ$2)),((INT(BQ$2/$L125)-INT((BQ$2-1)/$L125))*($T125*(1-$F125)+$S125*(1-$G125))*((1+Inputs!$D$7)^BQ$2))),((Inputs!$D$8^((1-_xlfn.WEIBULL.DIST(BQ$2,$M125,$L125,FALSE))/_xlfn.WEIBULL.DIST(BQ$2,$M125,$L125,FALSE))*($T125*(1-$F125)+$S125*(1-$G125))*((1+Inputs!$D$7)^BQ$2))))))))</f>
        <v>3.3782399999999999</v>
      </c>
      <c r="BR125" s="88">
        <f>MAX(AB125,($E125*IF(BR$2&gt;Inputs!$D$5,0,IF(BR$2&gt;VLOOKUP($H125,Lists!$P$3:$Q$7,2),IF($N125=Lists!$K$3,IF($L125&lt;1,(($U125/$L125)*((1+Inputs!$D$7)^BR$2)),((INT(BR$2/$L125)-INT((BR$2-1)/$L125))*$U125*((1+Inputs!$D$7)^BR$2))),(Inputs!$D$8^((1-_xlfn.WEIBULL.DIST(BR$2,$M125,$L125,FALSE))/_xlfn.WEIBULL.DIST(BR$2,$M125,$L125,FALSE))*$U125*((1+Inputs!$D$7)^BR$2))),IF($N125=Lists!$K$3,IF($L125&lt;1,((($T125*(1-$F125)+$S125*(1-$G125))/$L125)*((1+Inputs!$D$7)^BR$2)),((INT(BR$2/$L125)-INT((BR$2-1)/$L125))*($T125*(1-$F125)+$S125*(1-$G125))*((1+Inputs!$D$7)^BR$2))),((Inputs!$D$8^((1-_xlfn.WEIBULL.DIST(BR$2,$M125,$L125,FALSE))/_xlfn.WEIBULL.DIST(BR$2,$M125,$L125,FALSE))*($T125*(1-$F125)+$S125*(1-$G125))*((1+Inputs!$D$7)^BR$2))))))))</f>
        <v>3.4458047999999999</v>
      </c>
      <c r="BS125" s="88">
        <f>MAX(AC125,($E125*IF(BS$2&gt;Inputs!$D$5,0,IF(BS$2&gt;VLOOKUP($H125,Lists!$P$3:$Q$7,2),IF($N125=Lists!$K$3,IF($L125&lt;1,(($U125/$L125)*((1+Inputs!$D$7)^BS$2)),((INT(BS$2/$L125)-INT((BS$2-1)/$L125))*$U125*((1+Inputs!$D$7)^BS$2))),(Inputs!$D$8^((1-_xlfn.WEIBULL.DIST(BS$2,$M125,$L125,FALSE))/_xlfn.WEIBULL.DIST(BS$2,$M125,$L125,FALSE))*$U125*((1+Inputs!$D$7)^BS$2))),IF($N125=Lists!$K$3,IF($L125&lt;1,((($T125*(1-$F125)+$S125*(1-$G125))/$L125)*((1+Inputs!$D$7)^BS$2)),((INT(BS$2/$L125)-INT((BS$2-1)/$L125))*($T125*(1-$F125)+$S125*(1-$G125))*((1+Inputs!$D$7)^BS$2))),((Inputs!$D$8^((1-_xlfn.WEIBULL.DIST(BS$2,$M125,$L125,FALSE))/_xlfn.WEIBULL.DIST(BS$2,$M125,$L125,FALSE))*($T125*(1-$F125)+$S125*(1-$G125))*((1+Inputs!$D$7)^BS$2))))))))</f>
        <v>3.5147208959999996</v>
      </c>
      <c r="BT125" s="88">
        <f>MAX(AD125,($E125*IF(BT$2&gt;Inputs!$D$5,0,IF(BT$2&gt;VLOOKUP($H125,Lists!$P$3:$Q$7,2),IF($N125=Lists!$K$3,IF($L125&lt;1,(($U125/$L125)*((1+Inputs!$D$7)^BT$2)),((INT(BT$2/$L125)-INT((BT$2-1)/$L125))*$U125*((1+Inputs!$D$7)^BT$2))),(Inputs!$D$8^((1-_xlfn.WEIBULL.DIST(BT$2,$M125,$L125,FALSE))/_xlfn.WEIBULL.DIST(BT$2,$M125,$L125,FALSE))*$U125*((1+Inputs!$D$7)^BT$2))),IF($N125=Lists!$K$3,IF($L125&lt;1,((($T125*(1-$F125)+$S125*(1-$G125))/$L125)*((1+Inputs!$D$7)^BT$2)),((INT(BT$2/$L125)-INT((BT$2-1)/$L125))*($T125*(1-$F125)+$S125*(1-$G125))*((1+Inputs!$D$7)^BT$2))),((Inputs!$D$8^((1-_xlfn.WEIBULL.DIST(BT$2,$M125,$L125,FALSE))/_xlfn.WEIBULL.DIST(BT$2,$M125,$L125,FALSE))*($T125*(1-$F125)+$S125*(1-$G125))*((1+Inputs!$D$7)^BT$2))))))))</f>
        <v>3.5850153139199996</v>
      </c>
      <c r="BU125" s="88">
        <f>MAX(AE125,($E125*IF(BU$2&gt;Inputs!$D$5,0,IF(BU$2&gt;VLOOKUP($H125,Lists!$P$3:$Q$7,2),IF($N125=Lists!$K$3,IF($L125&lt;1,(($U125/$L125)*((1+Inputs!$D$7)^BU$2)),((INT(BU$2/$L125)-INT((BU$2-1)/$L125))*$U125*((1+Inputs!$D$7)^BU$2))),(Inputs!$D$8^((1-_xlfn.WEIBULL.DIST(BU$2,$M125,$L125,FALSE))/_xlfn.WEIBULL.DIST(BU$2,$M125,$L125,FALSE))*$U125*((1+Inputs!$D$7)^BU$2))),IF($N125=Lists!$K$3,IF($L125&lt;1,((($T125*(1-$F125)+$S125*(1-$G125))/$L125)*((1+Inputs!$D$7)^BU$2)),((INT(BU$2/$L125)-INT((BU$2-1)/$L125))*($T125*(1-$F125)+$S125*(1-$G125))*((1+Inputs!$D$7)^BU$2))),((Inputs!$D$8^((1-_xlfn.WEIBULL.DIST(BU$2,$M125,$L125,FALSE))/_xlfn.WEIBULL.DIST(BU$2,$M125,$L125,FALSE))*($T125*(1-$F125)+$S125*(1-$G125))*((1+Inputs!$D$7)^BU$2))))))))</f>
        <v>3.6567156201983999</v>
      </c>
      <c r="BV125" s="88">
        <f>MAX(AF125,($E125*IF(BV$2&gt;Inputs!$D$5,0,IF(BV$2&gt;VLOOKUP($H125,Lists!$P$3:$Q$7,2),IF($N125=Lists!$K$3,IF($L125&lt;1,(($U125/$L125)*((1+Inputs!$D$7)^BV$2)),((INT(BV$2/$L125)-INT((BV$2-1)/$L125))*$U125*((1+Inputs!$D$7)^BV$2))),(Inputs!$D$8^((1-_xlfn.WEIBULL.DIST(BV$2,$M125,$L125,FALSE))/_xlfn.WEIBULL.DIST(BV$2,$M125,$L125,FALSE))*$U125*((1+Inputs!$D$7)^BV$2))),IF($N125=Lists!$K$3,IF($L125&lt;1,((($T125*(1-$F125)+$S125*(1-$G125))/$L125)*((1+Inputs!$D$7)^BV$2)),((INT(BV$2/$L125)-INT((BV$2-1)/$L125))*($T125*(1-$F125)+$S125*(1-$G125))*((1+Inputs!$D$7)^BV$2))),((Inputs!$D$8^((1-_xlfn.WEIBULL.DIST(BV$2,$M125,$L125,FALSE))/_xlfn.WEIBULL.DIST(BV$2,$M125,$L125,FALSE))*($T125*(1-$F125)+$S125*(1-$G125))*((1+Inputs!$D$7)^BV$2))))))))</f>
        <v>3.729849932602368</v>
      </c>
      <c r="BW125" s="88">
        <f>MAX(AG125,($E125*IF(BW$2&gt;Inputs!$D$5,0,IF(BW$2&gt;VLOOKUP($H125,Lists!$P$3:$Q$7,2),IF($N125=Lists!$K$3,IF($L125&lt;1,(($U125/$L125)*((1+Inputs!$D$7)^BW$2)),((INT(BW$2/$L125)-INT((BW$2-1)/$L125))*$U125*((1+Inputs!$D$7)^BW$2))),(Inputs!$D$8^((1-_xlfn.WEIBULL.DIST(BW$2,$M125,$L125,FALSE))/_xlfn.WEIBULL.DIST(BW$2,$M125,$L125,FALSE))*$U125*((1+Inputs!$D$7)^BW$2))),IF($N125=Lists!$K$3,IF($L125&lt;1,((($T125*(1-$F125)+$S125*(1-$G125))/$L125)*((1+Inputs!$D$7)^BW$2)),((INT(BW$2/$L125)-INT((BW$2-1)/$L125))*($T125*(1-$F125)+$S125*(1-$G125))*((1+Inputs!$D$7)^BW$2))),((Inputs!$D$8^((1-_xlfn.WEIBULL.DIST(BW$2,$M125,$L125,FALSE))/_xlfn.WEIBULL.DIST(BW$2,$M125,$L125,FALSE))*($T125*(1-$F125)+$S125*(1-$G125))*((1+Inputs!$D$7)^BW$2))))))))</f>
        <v>3.8044469312544145</v>
      </c>
      <c r="BX125" s="88">
        <f>MAX(AH125,($E125*IF(BX$2&gt;Inputs!$D$5,0,IF(BX$2&gt;VLOOKUP($H125,Lists!$P$3:$Q$7,2),IF($N125=Lists!$K$3,IF($L125&lt;1,(($U125/$L125)*((1+Inputs!$D$7)^BX$2)),((INT(BX$2/$L125)-INT((BX$2-1)/$L125))*$U125*((1+Inputs!$D$7)^BX$2))),(Inputs!$D$8^((1-_xlfn.WEIBULL.DIST(BX$2,$M125,$L125,FALSE))/_xlfn.WEIBULL.DIST(BX$2,$M125,$L125,FALSE))*$U125*((1+Inputs!$D$7)^BX$2))),IF($N125=Lists!$K$3,IF($L125&lt;1,((($T125*(1-$F125)+$S125*(1-$G125))/$L125)*((1+Inputs!$D$7)^BX$2)),((INT(BX$2/$L125)-INT((BX$2-1)/$L125))*($T125*(1-$F125)+$S125*(1-$G125))*((1+Inputs!$D$7)^BX$2))),((Inputs!$D$8^((1-_xlfn.WEIBULL.DIST(BX$2,$M125,$L125,FALSE))/_xlfn.WEIBULL.DIST(BX$2,$M125,$L125,FALSE))*($T125*(1-$F125)+$S125*(1-$G125))*((1+Inputs!$D$7)^BX$2))))))))</f>
        <v>3.8805358698795032</v>
      </c>
      <c r="BY125" s="88">
        <f>MAX(AI125,($E125*IF(BY$2&gt;Inputs!$D$5,0,IF(BY$2&gt;VLOOKUP($H125,Lists!$P$3:$Q$7,2),IF($N125=Lists!$K$3,IF($L125&lt;1,(($U125/$L125)*((1+Inputs!$D$7)^BY$2)),((INT(BY$2/$L125)-INT((BY$2-1)/$L125))*$U125*((1+Inputs!$D$7)^BY$2))),(Inputs!$D$8^((1-_xlfn.WEIBULL.DIST(BY$2,$M125,$L125,FALSE))/_xlfn.WEIBULL.DIST(BY$2,$M125,$L125,FALSE))*$U125*((1+Inputs!$D$7)^BY$2))),IF($N125=Lists!$K$3,IF($L125&lt;1,((($T125*(1-$F125)+$S125*(1-$G125))/$L125)*((1+Inputs!$D$7)^BY$2)),((INT(BY$2/$L125)-INT((BY$2-1)/$L125))*($T125*(1-$F125)+$S125*(1-$G125))*((1+Inputs!$D$7)^BY$2))),((Inputs!$D$8^((1-_xlfn.WEIBULL.DIST(BY$2,$M125,$L125,FALSE))/_xlfn.WEIBULL.DIST(BY$2,$M125,$L125,FALSE))*($T125*(1-$F125)+$S125*(1-$G125))*((1+Inputs!$D$7)^BY$2))))))))</f>
        <v>3.9581465872770933</v>
      </c>
      <c r="BZ125" s="88">
        <f>MAX(AJ125,($E125*IF(BZ$2&gt;Inputs!$D$5,0,IF(BZ$2&gt;VLOOKUP($H125,Lists!$P$3:$Q$7,2),IF($N125=Lists!$K$3,IF($L125&lt;1,(($U125/$L125)*((1+Inputs!$D$7)^BZ$2)),((INT(BZ$2/$L125)-INT((BZ$2-1)/$L125))*$U125*((1+Inputs!$D$7)^BZ$2))),(Inputs!$D$8^((1-_xlfn.WEIBULL.DIST(BZ$2,$M125,$L125,FALSE))/_xlfn.WEIBULL.DIST(BZ$2,$M125,$L125,FALSE))*$U125*((1+Inputs!$D$7)^BZ$2))),IF($N125=Lists!$K$3,IF($L125&lt;1,((($T125*(1-$F125)+$S125*(1-$G125))/$L125)*((1+Inputs!$D$7)^BZ$2)),((INT(BZ$2/$L125)-INT((BZ$2-1)/$L125))*($T125*(1-$F125)+$S125*(1-$G125))*((1+Inputs!$D$7)^BZ$2))),((Inputs!$D$8^((1-_xlfn.WEIBULL.DIST(BZ$2,$M125,$L125,FALSE))/_xlfn.WEIBULL.DIST(BZ$2,$M125,$L125,FALSE))*($T125*(1-$F125)+$S125*(1-$G125))*((1+Inputs!$D$7)^BZ$2))))))))</f>
        <v>4.0373095190226351</v>
      </c>
      <c r="CA125" s="88">
        <f>MAX(AK125,($E125*IF(CA$2&gt;Inputs!$D$5,0,IF(CA$2&gt;VLOOKUP($H125,Lists!$P$3:$Q$7,2),IF($N125=Lists!$K$3,IF($L125&lt;1,(($U125/$L125)*((1+Inputs!$D$7)^CA$2)),((INT(CA$2/$L125)-INT((CA$2-1)/$L125))*$U125*((1+Inputs!$D$7)^CA$2))),(Inputs!$D$8^((1-_xlfn.WEIBULL.DIST(CA$2,$M125,$L125,FALSE))/_xlfn.WEIBULL.DIST(CA$2,$M125,$L125,FALSE))*$U125*((1+Inputs!$D$7)^CA$2))),IF($N125=Lists!$K$3,IF($L125&lt;1,((($T125*(1-$F125)+$S125*(1-$G125))/$L125)*((1+Inputs!$D$7)^CA$2)),((INT(CA$2/$L125)-INT((CA$2-1)/$L125))*($T125*(1-$F125)+$S125*(1-$G125))*((1+Inputs!$D$7)^CA$2))),((Inputs!$D$8^((1-_xlfn.WEIBULL.DIST(CA$2,$M125,$L125,FALSE))/_xlfn.WEIBULL.DIST(CA$2,$M125,$L125,FALSE))*($T125*(1-$F125)+$S125*(1-$G125))*((1+Inputs!$D$7)^CA$2))))))))</f>
        <v>4.1180557094030874</v>
      </c>
      <c r="CB125" s="88">
        <f>MAX(AL125,($E125*IF(CB$2&gt;Inputs!$D$5,0,IF(CB$2&gt;VLOOKUP($H125,Lists!$P$3:$Q$7,2),IF($N125=Lists!$K$3,IF($L125&lt;1,(($U125/$L125)*((1+Inputs!$D$7)^CB$2)),((INT(CB$2/$L125)-INT((CB$2-1)/$L125))*$U125*((1+Inputs!$D$7)^CB$2))),(Inputs!$D$8^((1-_xlfn.WEIBULL.DIST(CB$2,$M125,$L125,FALSE))/_xlfn.WEIBULL.DIST(CB$2,$M125,$L125,FALSE))*$U125*((1+Inputs!$D$7)^CB$2))),IF($N125=Lists!$K$3,IF($L125&lt;1,((($T125*(1-$F125)+$S125*(1-$G125))/$L125)*((1+Inputs!$D$7)^CB$2)),((INT(CB$2/$L125)-INT((CB$2-1)/$L125))*($T125*(1-$F125)+$S125*(1-$G125))*((1+Inputs!$D$7)^CB$2))),((Inputs!$D$8^((1-_xlfn.WEIBULL.DIST(CB$2,$M125,$L125,FALSE))/_xlfn.WEIBULL.DIST(CB$2,$M125,$L125,FALSE))*($T125*(1-$F125)+$S125*(1-$G125))*((1+Inputs!$D$7)^CB$2))))))))</f>
        <v>4.2004168235911497</v>
      </c>
      <c r="CC125" s="88">
        <f>MAX(AM125,($E125*IF(CC$2&gt;Inputs!$D$5,0,IF(CC$2&gt;VLOOKUP($H125,Lists!$P$3:$Q$7,2),IF($N125=Lists!$K$3,IF($L125&lt;1,(($U125/$L125)*((1+Inputs!$D$7)^CC$2)),((INT(CC$2/$L125)-INT((CC$2-1)/$L125))*$U125*((1+Inputs!$D$7)^CC$2))),(Inputs!$D$8^((1-_xlfn.WEIBULL.DIST(CC$2,$M125,$L125,FALSE))/_xlfn.WEIBULL.DIST(CC$2,$M125,$L125,FALSE))*$U125*((1+Inputs!$D$7)^CC$2))),IF($N125=Lists!$K$3,IF($L125&lt;1,((($T125*(1-$F125)+$S125*(1-$G125))/$L125)*((1+Inputs!$D$7)^CC$2)),((INT(CC$2/$L125)-INT((CC$2-1)/$L125))*($T125*(1-$F125)+$S125*(1-$G125))*((1+Inputs!$D$7)^CC$2))),((Inputs!$D$8^((1-_xlfn.WEIBULL.DIST(CC$2,$M125,$L125,FALSE))/_xlfn.WEIBULL.DIST(CC$2,$M125,$L125,FALSE))*($T125*(1-$F125)+$S125*(1-$G125))*((1+Inputs!$D$7)^CC$2))))))))</f>
        <v>4.2844251600629724</v>
      </c>
      <c r="CD125" s="88">
        <f>MAX(AN125,($E125*IF(CD$2&gt;Inputs!$D$5,0,IF(CD$2&gt;VLOOKUP($H125,Lists!$P$3:$Q$7,2),IF($N125=Lists!$K$3,IF($L125&lt;1,(($U125/$L125)*((1+Inputs!$D$7)^CD$2)),((INT(CD$2/$L125)-INT((CD$2-1)/$L125))*$U125*((1+Inputs!$D$7)^CD$2))),(Inputs!$D$8^((1-_xlfn.WEIBULL.DIST(CD$2,$M125,$L125,FALSE))/_xlfn.WEIBULL.DIST(CD$2,$M125,$L125,FALSE))*$U125*((1+Inputs!$D$7)^CD$2))),IF($N125=Lists!$K$3,IF($L125&lt;1,((($T125*(1-$F125)+$S125*(1-$G125))/$L125)*((1+Inputs!$D$7)^CD$2)),((INT(CD$2/$L125)-INT((CD$2-1)/$L125))*($T125*(1-$F125)+$S125*(1-$G125))*((1+Inputs!$D$7)^CD$2))),((Inputs!$D$8^((1-_xlfn.WEIBULL.DIST(CD$2,$M125,$L125,FALSE))/_xlfn.WEIBULL.DIST(CD$2,$M125,$L125,FALSE))*($T125*(1-$F125)+$S125*(1-$G125))*((1+Inputs!$D$7)^CD$2))))))))</f>
        <v>4.3701136632642328</v>
      </c>
      <c r="CE125" s="88">
        <f>MAX(AO125,($E125*IF(CE$2&gt;Inputs!$D$5,0,IF(CE$2&gt;VLOOKUP($H125,Lists!$P$3:$Q$7,2),IF($N125=Lists!$K$3,IF($L125&lt;1,(($U125/$L125)*((1+Inputs!$D$7)^CE$2)),((INT(CE$2/$L125)-INT((CE$2-1)/$L125))*$U125*((1+Inputs!$D$7)^CE$2))),(Inputs!$D$8^((1-_xlfn.WEIBULL.DIST(CE$2,$M125,$L125,FALSE))/_xlfn.WEIBULL.DIST(CE$2,$M125,$L125,FALSE))*$U125*((1+Inputs!$D$7)^CE$2))),IF($N125=Lists!$K$3,IF($L125&lt;1,((($T125*(1-$F125)+$S125*(1-$G125))/$L125)*((1+Inputs!$D$7)^CE$2)),((INT(CE$2/$L125)-INT((CE$2-1)/$L125))*($T125*(1-$F125)+$S125*(1-$G125))*((1+Inputs!$D$7)^CE$2))),((Inputs!$D$8^((1-_xlfn.WEIBULL.DIST(CE$2,$M125,$L125,FALSE))/_xlfn.WEIBULL.DIST(CE$2,$M125,$L125,FALSE))*($T125*(1-$F125)+$S125*(1-$G125))*((1+Inputs!$D$7)^CE$2))))))))</f>
        <v>4.4575159365295161</v>
      </c>
      <c r="CF125" s="88">
        <f>MAX(AP125,($E125*IF(CF$2&gt;Inputs!$D$5,0,IF(CF$2&gt;VLOOKUP($H125,Lists!$P$3:$Q$7,2),IF($N125=Lists!$K$3,IF($L125&lt;1,(($U125/$L125)*((1+Inputs!$D$7)^CF$2)),((INT(CF$2/$L125)-INT((CF$2-1)/$L125))*$U125*((1+Inputs!$D$7)^CF$2))),(Inputs!$D$8^((1-_xlfn.WEIBULL.DIST(CF$2,$M125,$L125,FALSE))/_xlfn.WEIBULL.DIST(CF$2,$M125,$L125,FALSE))*$U125*((1+Inputs!$D$7)^CF$2))),IF($N125=Lists!$K$3,IF($L125&lt;1,((($T125*(1-$F125)+$S125*(1-$G125))/$L125)*((1+Inputs!$D$7)^CF$2)),((INT(CF$2/$L125)-INT((CF$2-1)/$L125))*($T125*(1-$F125)+$S125*(1-$G125))*((1+Inputs!$D$7)^CF$2))),((Inputs!$D$8^((1-_xlfn.WEIBULL.DIST(CF$2,$M125,$L125,FALSE))/_xlfn.WEIBULL.DIST(CF$2,$M125,$L125,FALSE))*($T125*(1-$F125)+$S125*(1-$G125))*((1+Inputs!$D$7)^CF$2))))))))</f>
        <v>4.5466662552601065</v>
      </c>
      <c r="CG125" s="88">
        <f>MAX(AQ125,($E125*IF(CG$2&gt;Inputs!$D$5,0,IF(CG$2&gt;VLOOKUP($H125,Lists!$P$3:$Q$7,2),IF($N125=Lists!$K$3,IF($L125&lt;1,(($U125/$L125)*((1+Inputs!$D$7)^CG$2)),((INT(CG$2/$L125)-INT((CG$2-1)/$L125))*$U125*((1+Inputs!$D$7)^CG$2))),(Inputs!$D$8^((1-_xlfn.WEIBULL.DIST(CG$2,$M125,$L125,FALSE))/_xlfn.WEIBULL.DIST(CG$2,$M125,$L125,FALSE))*$U125*((1+Inputs!$D$7)^CG$2))),IF($N125=Lists!$K$3,IF($L125&lt;1,((($T125*(1-$F125)+$S125*(1-$G125))/$L125)*((1+Inputs!$D$7)^CG$2)),((INT(CG$2/$L125)-INT((CG$2-1)/$L125))*($T125*(1-$F125)+$S125*(1-$G125))*((1+Inputs!$D$7)^CG$2))),((Inputs!$D$8^((1-_xlfn.WEIBULL.DIST(CG$2,$M125,$L125,FALSE))/_xlfn.WEIBULL.DIST(CG$2,$M125,$L125,FALSE))*($T125*(1-$F125)+$S125*(1-$G125))*((1+Inputs!$D$7)^CG$2))))))))</f>
        <v>4.6375995803653094</v>
      </c>
      <c r="CH125" s="88">
        <f>MAX(AR125,($E125*IF(CH$2&gt;Inputs!$D$5,0,IF(CH$2&gt;VLOOKUP($H125,Lists!$P$3:$Q$7,2),IF($N125=Lists!$K$3,IF($L125&lt;1,(($U125/$L125)*((1+Inputs!$D$7)^CH$2)),((INT(CH$2/$L125)-INT((CH$2-1)/$L125))*$U125*((1+Inputs!$D$7)^CH$2))),(Inputs!$D$8^((1-_xlfn.WEIBULL.DIST(CH$2,$M125,$L125,FALSE))/_xlfn.WEIBULL.DIST(CH$2,$M125,$L125,FALSE))*$U125*((1+Inputs!$D$7)^CH$2))),IF($N125=Lists!$K$3,IF($L125&lt;1,((($T125*(1-$F125)+$S125*(1-$G125))/$L125)*((1+Inputs!$D$7)^CH$2)),((INT(CH$2/$L125)-INT((CH$2-1)/$L125))*($T125*(1-$F125)+$S125*(1-$G125))*((1+Inputs!$D$7)^CH$2))),((Inputs!$D$8^((1-_xlfn.WEIBULL.DIST(CH$2,$M125,$L125,FALSE))/_xlfn.WEIBULL.DIST(CH$2,$M125,$L125,FALSE))*($T125*(1-$F125)+$S125*(1-$G125))*((1+Inputs!$D$7)^CH$2))))))))</f>
        <v>4.7303515719726148</v>
      </c>
      <c r="CI125" s="88">
        <f>MAX(AS125,($E125*IF(CI$2&gt;Inputs!$D$5,0,IF(CI$2&gt;VLOOKUP($H125,Lists!$P$3:$Q$7,2),IF($N125=Lists!$K$3,IF($L125&lt;1,(($U125/$L125)*((1+Inputs!$D$7)^CI$2)),((INT(CI$2/$L125)-INT((CI$2-1)/$L125))*$U125*((1+Inputs!$D$7)^CI$2))),(Inputs!$D$8^((1-_xlfn.WEIBULL.DIST(CI$2,$M125,$L125,FALSE))/_xlfn.WEIBULL.DIST(CI$2,$M125,$L125,FALSE))*$U125*((1+Inputs!$D$7)^CI$2))),IF($N125=Lists!$K$3,IF($L125&lt;1,((($T125*(1-$F125)+$S125*(1-$G125))/$L125)*((1+Inputs!$D$7)^CI$2)),((INT(CI$2/$L125)-INT((CI$2-1)/$L125))*($T125*(1-$F125)+$S125*(1-$G125))*((1+Inputs!$D$7)^CI$2))),((Inputs!$D$8^((1-_xlfn.WEIBULL.DIST(CI$2,$M125,$L125,FALSE))/_xlfn.WEIBULL.DIST(CI$2,$M125,$L125,FALSE))*($T125*(1-$F125)+$S125*(1-$G125))*((1+Inputs!$D$7)^CI$2))))))))</f>
        <v>4.8249586034120675</v>
      </c>
      <c r="CJ125" s="88">
        <f>MAX(AT125,($E125*IF(CJ$2&gt;Inputs!$D$5,0,IF(CJ$2&gt;VLOOKUP($H125,Lists!$P$3:$Q$7,2),IF($N125=Lists!$K$3,IF($L125&lt;1,(($U125/$L125)*((1+Inputs!$D$7)^CJ$2)),((INT(CJ$2/$L125)-INT((CJ$2-1)/$L125))*$U125*((1+Inputs!$D$7)^CJ$2))),(Inputs!$D$8^((1-_xlfn.WEIBULL.DIST(CJ$2,$M125,$L125,FALSE))/_xlfn.WEIBULL.DIST(CJ$2,$M125,$L125,FALSE))*$U125*((1+Inputs!$D$7)^CJ$2))),IF($N125=Lists!$K$3,IF($L125&lt;1,((($T125*(1-$F125)+$S125*(1-$G125))/$L125)*((1+Inputs!$D$7)^CJ$2)),((INT(CJ$2/$L125)-INT((CJ$2-1)/$L125))*($T125*(1-$F125)+$S125*(1-$G125))*((1+Inputs!$D$7)^CJ$2))),((Inputs!$D$8^((1-_xlfn.WEIBULL.DIST(CJ$2,$M125,$L125,FALSE))/_xlfn.WEIBULL.DIST(CJ$2,$M125,$L125,FALSE))*($T125*(1-$F125)+$S125*(1-$G125))*((1+Inputs!$D$7)^CJ$2))))))))</f>
        <v>4.9214577754803086</v>
      </c>
      <c r="CK125" s="88">
        <f>MAX(AU125,($E125*IF(CK$2&gt;Inputs!$D$5,0,IF(CK$2&gt;VLOOKUP($H125,Lists!$P$3:$Q$7,2),IF($N125=Lists!$K$3,IF($L125&lt;1,(($U125/$L125)*((1+Inputs!$D$7)^CK$2)),((INT(CK$2/$L125)-INT((CK$2-1)/$L125))*$U125*((1+Inputs!$D$7)^CK$2))),(Inputs!$D$8^((1-_xlfn.WEIBULL.DIST(CK$2,$M125,$L125,FALSE))/_xlfn.WEIBULL.DIST(CK$2,$M125,$L125,FALSE))*$U125*((1+Inputs!$D$7)^CK$2))),IF($N125=Lists!$K$3,IF($L125&lt;1,((($T125*(1-$F125)+$S125*(1-$G125))/$L125)*((1+Inputs!$D$7)^CK$2)),((INT(CK$2/$L125)-INT((CK$2-1)/$L125))*($T125*(1-$F125)+$S125*(1-$G125))*((1+Inputs!$D$7)^CK$2))),((Inputs!$D$8^((1-_xlfn.WEIBULL.DIST(CK$2,$M125,$L125,FALSE))/_xlfn.WEIBULL.DIST(CK$2,$M125,$L125,FALSE))*($T125*(1-$F125)+$S125*(1-$G125))*((1+Inputs!$D$7)^CK$2))))))))</f>
        <v>5.019886930989915</v>
      </c>
      <c r="CL125" s="88">
        <f>MAX(AV125,($E125*IF(CL$2&gt;Inputs!$D$5,0,IF(CL$2&gt;VLOOKUP($H125,Lists!$P$3:$Q$7,2),IF($N125=Lists!$K$3,IF($L125&lt;1,(($U125/$L125)*((1+Inputs!$D$7)^CL$2)),((INT(CL$2/$L125)-INT((CL$2-1)/$L125))*$U125*((1+Inputs!$D$7)^CL$2))),(Inputs!$D$8^((1-_xlfn.WEIBULL.DIST(CL$2,$M125,$L125,FALSE))/_xlfn.WEIBULL.DIST(CL$2,$M125,$L125,FALSE))*$U125*((1+Inputs!$D$7)^CL$2))),IF($N125=Lists!$K$3,IF($L125&lt;1,((($T125*(1-$F125)+$S125*(1-$G125))/$L125)*((1+Inputs!$D$7)^CL$2)),((INT(CL$2/$L125)-INT((CL$2-1)/$L125))*($T125*(1-$F125)+$S125*(1-$G125))*((1+Inputs!$D$7)^CL$2))),((Inputs!$D$8^((1-_xlfn.WEIBULL.DIST(CL$2,$M125,$L125,FALSE))/_xlfn.WEIBULL.DIST(CL$2,$M125,$L125,FALSE))*($T125*(1-$F125)+$S125*(1-$G125))*((1+Inputs!$D$7)^CL$2))))))))</f>
        <v>5.1202846696097133</v>
      </c>
      <c r="CM125" s="88">
        <f>MAX(AW125,($E125*IF(CM$2&gt;Inputs!$D$5,0,IF(CM$2&gt;VLOOKUP($H125,Lists!$P$3:$Q$7,2),IF($N125=Lists!$K$3,IF($L125&lt;1,(($U125/$L125)*((1+Inputs!$D$7)^CM$2)),((INT(CM$2/$L125)-INT((CM$2-1)/$L125))*$U125*((1+Inputs!$D$7)^CM$2))),(Inputs!$D$8^((1-_xlfn.WEIBULL.DIST(CM$2,$M125,$L125,FALSE))/_xlfn.WEIBULL.DIST(CM$2,$M125,$L125,FALSE))*$U125*((1+Inputs!$D$7)^CM$2))),IF($N125=Lists!$K$3,IF($L125&lt;1,((($T125*(1-$F125)+$S125*(1-$G125))/$L125)*((1+Inputs!$D$7)^CM$2)),((INT(CM$2/$L125)-INT((CM$2-1)/$L125))*($T125*(1-$F125)+$S125*(1-$G125))*((1+Inputs!$D$7)^CM$2))),((Inputs!$D$8^((1-_xlfn.WEIBULL.DIST(CM$2,$M125,$L125,FALSE))/_xlfn.WEIBULL.DIST(CM$2,$M125,$L125,FALSE))*($T125*(1-$F125)+$S125*(1-$G125))*((1+Inputs!$D$7)^CM$2))))))))</f>
        <v>5.2226903630019068</v>
      </c>
      <c r="CN125" s="88">
        <f>MAX(AX125,($E125*IF(CN$2&gt;Inputs!$D$5,0,IF(CN$2&gt;VLOOKUP($H125,Lists!$P$3:$Q$7,2),IF($N125=Lists!$K$3,IF($L125&lt;1,(($U125/$L125)*((1+Inputs!$D$7)^CN$2)),((INT(CN$2/$L125)-INT((CN$2-1)/$L125))*$U125*((1+Inputs!$D$7)^CN$2))),(Inputs!$D$8^((1-_xlfn.WEIBULL.DIST(CN$2,$M125,$L125,FALSE))/_xlfn.WEIBULL.DIST(CN$2,$M125,$L125,FALSE))*$U125*((1+Inputs!$D$7)^CN$2))),IF($N125=Lists!$K$3,IF($L125&lt;1,((($T125*(1-$F125)+$S125*(1-$G125))/$L125)*((1+Inputs!$D$7)^CN$2)),((INT(CN$2/$L125)-INT((CN$2-1)/$L125))*($T125*(1-$F125)+$S125*(1-$G125))*((1+Inputs!$D$7)^CN$2))),((Inputs!$D$8^((1-_xlfn.WEIBULL.DIST(CN$2,$M125,$L125,FALSE))/_xlfn.WEIBULL.DIST(CN$2,$M125,$L125,FALSE))*($T125*(1-$F125)+$S125*(1-$G125))*((1+Inputs!$D$7)^CN$2))))))))</f>
        <v>5.3271441702619446</v>
      </c>
      <c r="CO125" s="88">
        <f>MAX(AY125,($E125*IF(CO$2&gt;Inputs!$D$5,0,IF(CO$2&gt;VLOOKUP($H125,Lists!$P$3:$Q$7,2),IF($N125=Lists!$K$3,IF($L125&lt;1,(($U125/$L125)*((1+Inputs!$D$7)^CO$2)),((INT(CO$2/$L125)-INT((CO$2-1)/$L125))*$U125*((1+Inputs!$D$7)^CO$2))),(Inputs!$D$8^((1-_xlfn.WEIBULL.DIST(CO$2,$M125,$L125,FALSE))/_xlfn.WEIBULL.DIST(CO$2,$M125,$L125,FALSE))*$U125*((1+Inputs!$D$7)^CO$2))),IF($N125=Lists!$K$3,IF($L125&lt;1,((($T125*(1-$F125)+$S125*(1-$G125))/$L125)*((1+Inputs!$D$7)^CO$2)),((INT(CO$2/$L125)-INT((CO$2-1)/$L125))*($T125*(1-$F125)+$S125*(1-$G125))*((1+Inputs!$D$7)^CO$2))),((Inputs!$D$8^((1-_xlfn.WEIBULL.DIST(CO$2,$M125,$L125,FALSE))/_xlfn.WEIBULL.DIST(CO$2,$M125,$L125,FALSE))*($T125*(1-$F125)+$S125*(1-$G125))*((1+Inputs!$D$7)^CO$2))))))))</f>
        <v>5.4336870536671844</v>
      </c>
      <c r="CP125" s="88">
        <f>MAX(AZ125,($E125*IF(CP$2&gt;Inputs!$D$5,0,IF(CP$2&gt;VLOOKUP($H125,Lists!$P$3:$Q$7,2),IF($N125=Lists!$K$3,IF($L125&lt;1,(($U125/$L125)*((1+Inputs!$D$7)^CP$2)),((INT(CP$2/$L125)-INT((CP$2-1)/$L125))*$U125*((1+Inputs!$D$7)^CP$2))),(Inputs!$D$8^((1-_xlfn.WEIBULL.DIST(CP$2,$M125,$L125,FALSE))/_xlfn.WEIBULL.DIST(CP$2,$M125,$L125,FALSE))*$U125*((1+Inputs!$D$7)^CP$2))),IF($N125=Lists!$K$3,IF($L125&lt;1,((($T125*(1-$F125)+$S125*(1-$G125))/$L125)*((1+Inputs!$D$7)^CP$2)),((INT(CP$2/$L125)-INT((CP$2-1)/$L125))*($T125*(1-$F125)+$S125*(1-$G125))*((1+Inputs!$D$7)^CP$2))),((Inputs!$D$8^((1-_xlfn.WEIBULL.DIST(CP$2,$M125,$L125,FALSE))/_xlfn.WEIBULL.DIST(CP$2,$M125,$L125,FALSE))*($T125*(1-$F125)+$S125*(1-$G125))*((1+Inputs!$D$7)^CP$2))))))))</f>
        <v>0</v>
      </c>
      <c r="CQ125" s="88">
        <f>MAX(BA125,($E125*IF(CQ$2&gt;Inputs!$D$5,0,IF(CQ$2&gt;VLOOKUP($H125,Lists!$P$3:$Q$7,2),IF($N125=Lists!$K$3,IF($L125&lt;1,(($U125/$L125)*((1+Inputs!$D$7)^CQ$2)),((INT(CQ$2/$L125)-INT((CQ$2-1)/$L125))*$U125*((1+Inputs!$D$7)^CQ$2))),(Inputs!$D$8^((1-_xlfn.WEIBULL.DIST(CQ$2,$M125,$L125,FALSE))/_xlfn.WEIBULL.DIST(CQ$2,$M125,$L125,FALSE))*$U125*((1+Inputs!$D$7)^CQ$2))),IF($N125=Lists!$K$3,IF($L125&lt;1,((($T125*(1-$F125)+$S125*(1-$G125))/$L125)*((1+Inputs!$D$7)^CQ$2)),((INT(CQ$2/$L125)-INT((CQ$2-1)/$L125))*($T125*(1-$F125)+$S125*(1-$G125))*((1+Inputs!$D$7)^CQ$2))),((Inputs!$D$8^((1-_xlfn.WEIBULL.DIST(CQ$2,$M125,$L125,FALSE))/_xlfn.WEIBULL.DIST(CQ$2,$M125,$L125,FALSE))*($T125*(1-$F125)+$S125*(1-$G125))*((1+Inputs!$D$7)^CQ$2))))))))</f>
        <v>0</v>
      </c>
      <c r="CR125" s="88">
        <f>MAX(BB125,($E125*IF(CR$2&gt;Inputs!$D$5,0,IF(CR$2&gt;VLOOKUP($H125,Lists!$P$3:$Q$7,2),IF($N125=Lists!$K$3,IF($L125&lt;1,(($U125/$L125)*((1+Inputs!$D$7)^CR$2)),((INT(CR$2/$L125)-INT((CR$2-1)/$L125))*$U125*((1+Inputs!$D$7)^CR$2))),(Inputs!$D$8^((1-_xlfn.WEIBULL.DIST(CR$2,$M125,$L125,FALSE))/_xlfn.WEIBULL.DIST(CR$2,$M125,$L125,FALSE))*$U125*((1+Inputs!$D$7)^CR$2))),IF($N125=Lists!$K$3,IF($L125&lt;1,((($T125*(1-$F125)+$S125*(1-$G125))/$L125)*((1+Inputs!$D$7)^CR$2)),((INT(CR$2/$L125)-INT((CR$2-1)/$L125))*($T125*(1-$F125)+$S125*(1-$G125))*((1+Inputs!$D$7)^CR$2))),((Inputs!$D$8^((1-_xlfn.WEIBULL.DIST(CR$2,$M125,$L125,FALSE))/_xlfn.WEIBULL.DIST(CR$2,$M125,$L125,FALSE))*($T125*(1-$F125)+$S125*(1-$G125))*((1+Inputs!$D$7)^CR$2))))))))</f>
        <v>0</v>
      </c>
      <c r="CS125" s="88">
        <f>MAX(BC125,($E125*IF(CS$2&gt;Inputs!$D$5,0,IF(CS$2&gt;VLOOKUP($H125,Lists!$P$3:$Q$7,2),IF($N125=Lists!$K$3,IF($L125&lt;1,(($U125/$L125)*((1+Inputs!$D$7)^CS$2)),((INT(CS$2/$L125)-INT((CS$2-1)/$L125))*$U125*((1+Inputs!$D$7)^CS$2))),(Inputs!$D$8^((1-_xlfn.WEIBULL.DIST(CS$2,$M125,$L125,FALSE))/_xlfn.WEIBULL.DIST(CS$2,$M125,$L125,FALSE))*$U125*((1+Inputs!$D$7)^CS$2))),IF($N125=Lists!$K$3,IF($L125&lt;1,((($T125*(1-$F125)+$S125*(1-$G125))/$L125)*((1+Inputs!$D$7)^CS$2)),((INT(CS$2/$L125)-INT((CS$2-1)/$L125))*($T125*(1-$F125)+$S125*(1-$G125))*((1+Inputs!$D$7)^CS$2))),((Inputs!$D$8^((1-_xlfn.WEIBULL.DIST(CS$2,$M125,$L125,FALSE))/_xlfn.WEIBULL.DIST(CS$2,$M125,$L125,FALSE))*($T125*(1-$F125)+$S125*(1-$G125))*((1+Inputs!$D$7)^CS$2))))))))</f>
        <v>0</v>
      </c>
      <c r="CT125" s="88">
        <f>MAX(BD125,($E125*IF(CT$2&gt;Inputs!$D$5,0,IF(CT$2&gt;VLOOKUP($H125,Lists!$P$3:$Q$7,2),IF($N125=Lists!$K$3,IF($L125&lt;1,(($U125/$L125)*((1+Inputs!$D$7)^CT$2)),((INT(CT$2/$L125)-INT((CT$2-1)/$L125))*$U125*((1+Inputs!$D$7)^CT$2))),(Inputs!$D$8^((1-_xlfn.WEIBULL.DIST(CT$2,$M125,$L125,FALSE))/_xlfn.WEIBULL.DIST(CT$2,$M125,$L125,FALSE))*$U125*((1+Inputs!$D$7)^CT$2))),IF($N125=Lists!$K$3,IF($L125&lt;1,((($T125*(1-$F125)+$S125*(1-$G125))/$L125)*((1+Inputs!$D$7)^CT$2)),((INT(CT$2/$L125)-INT((CT$2-1)/$L125))*($T125*(1-$F125)+$S125*(1-$G125))*((1+Inputs!$D$7)^CT$2))),((Inputs!$D$8^((1-_xlfn.WEIBULL.DIST(CT$2,$M125,$L125,FALSE))/_xlfn.WEIBULL.DIST(CT$2,$M125,$L125,FALSE))*($T125*(1-$F125)+$S125*(1-$G125))*((1+Inputs!$D$7)^CT$2))))))))</f>
        <v>0</v>
      </c>
      <c r="CU125" s="88">
        <f>MAX(BE125,($E125*IF(CU$2&gt;Inputs!$D$5,0,IF(CU$2&gt;VLOOKUP($H125,Lists!$P$3:$Q$7,2),IF($N125=Lists!$K$3,IF($L125&lt;1,(($U125/$L125)*((1+Inputs!$D$7)^CU$2)),((INT(CU$2/$L125)-INT((CU$2-1)/$L125))*$U125*((1+Inputs!$D$7)^CU$2))),(Inputs!$D$8^((1-_xlfn.WEIBULL.DIST(CU$2,$M125,$L125,FALSE))/_xlfn.WEIBULL.DIST(CU$2,$M125,$L125,FALSE))*$U125*((1+Inputs!$D$7)^CU$2))),IF($N125=Lists!$K$3,IF($L125&lt;1,((($T125*(1-$F125)+$S125*(1-$G125))/$L125)*((1+Inputs!$D$7)^CU$2)),((INT(CU$2/$L125)-INT((CU$2-1)/$L125))*($T125*(1-$F125)+$S125*(1-$G125))*((1+Inputs!$D$7)^CU$2))),((Inputs!$D$8^((1-_xlfn.WEIBULL.DIST(CU$2,$M125,$L125,FALSE))/_xlfn.WEIBULL.DIST(CU$2,$M125,$L125,FALSE))*($T125*(1-$F125)+$S125*(1-$G125))*((1+Inputs!$D$7)^CU$2))))))))</f>
        <v>0</v>
      </c>
      <c r="CV125" s="88">
        <f>MAX(BF125,($E125*IF(CV$2&gt;Inputs!$D$5,0,IF(CV$2&gt;VLOOKUP($H125,Lists!$P$3:$Q$7,2),IF($N125=Lists!$K$3,IF($L125&lt;1,(($U125/$L125)*((1+Inputs!$D$7)^CV$2)),((INT(CV$2/$L125)-INT((CV$2-1)/$L125))*$U125*((1+Inputs!$D$7)^CV$2))),(Inputs!$D$8^((1-_xlfn.WEIBULL.DIST(CV$2,$M125,$L125,FALSE))/_xlfn.WEIBULL.DIST(CV$2,$M125,$L125,FALSE))*$U125*((1+Inputs!$D$7)^CV$2))),IF($N125=Lists!$K$3,IF($L125&lt;1,((($T125*(1-$F125)+$S125*(1-$G125))/$L125)*((1+Inputs!$D$7)^CV$2)),((INT(CV$2/$L125)-INT((CV$2-1)/$L125))*($T125*(1-$F125)+$S125*(1-$G125))*((1+Inputs!$D$7)^CV$2))),((Inputs!$D$8^((1-_xlfn.WEIBULL.DIST(CV$2,$M125,$L125,FALSE))/_xlfn.WEIBULL.DIST(CV$2,$M125,$L125,FALSE))*($T125*(1-$F125)+$S125*(1-$G125))*((1+Inputs!$D$7)^CV$2))))))))</f>
        <v>0</v>
      </c>
      <c r="CW125" s="88">
        <f>MAX(BG125,($E125*IF(CW$2&gt;Inputs!$D$5,0,IF(CW$2&gt;VLOOKUP($H125,Lists!$P$3:$Q$7,2),IF($N125=Lists!$K$3,IF($L125&lt;1,(($U125/$L125)*((1+Inputs!$D$7)^CW$2)),((INT(CW$2/$L125)-INT((CW$2-1)/$L125))*$U125*((1+Inputs!$D$7)^CW$2))),(Inputs!$D$8^((1-_xlfn.WEIBULL.DIST(CW$2,$M125,$L125,FALSE))/_xlfn.WEIBULL.DIST(CW$2,$M125,$L125,FALSE))*$U125*((1+Inputs!$D$7)^CW$2))),IF($N125=Lists!$K$3,IF($L125&lt;1,((($T125*(1-$F125)+$S125*(1-$G125))/$L125)*((1+Inputs!$D$7)^CW$2)),((INT(CW$2/$L125)-INT((CW$2-1)/$L125))*($T125*(1-$F125)+$S125*(1-$G125))*((1+Inputs!$D$7)^CW$2))),((Inputs!$D$8^((1-_xlfn.WEIBULL.DIST(CW$2,$M125,$L125,FALSE))/_xlfn.WEIBULL.DIST(CW$2,$M125,$L125,FALSE))*($T125*(1-$F125)+$S125*(1-$G125))*((1+Inputs!$D$7)^CW$2))))))))</f>
        <v>0</v>
      </c>
      <c r="CX125" s="88">
        <f>MAX(BH125,($E125*IF(CX$2&gt;Inputs!$D$5,0,IF(CX$2&gt;VLOOKUP($H125,Lists!$P$3:$Q$7,2),IF($N125=Lists!$K$3,IF($L125&lt;1,(($U125/$L125)*((1+Inputs!$D$7)^CX$2)),((INT(CX$2/$L125)-INT((CX$2-1)/$L125))*$U125*((1+Inputs!$D$7)^CX$2))),(Inputs!$D$8^((1-_xlfn.WEIBULL.DIST(CX$2,$M125,$L125,FALSE))/_xlfn.WEIBULL.DIST(CX$2,$M125,$L125,FALSE))*$U125*((1+Inputs!$D$7)^CX$2))),IF($N125=Lists!$K$3,IF($L125&lt;1,((($T125*(1-$F125)+$S125*(1-$G125))/$L125)*((1+Inputs!$D$7)^CX$2)),((INT(CX$2/$L125)-INT((CX$2-1)/$L125))*($T125*(1-$F125)+$S125*(1-$G125))*((1+Inputs!$D$7)^CX$2))),((Inputs!$D$8^((1-_xlfn.WEIBULL.DIST(CX$2,$M125,$L125,FALSE))/_xlfn.WEIBULL.DIST(CX$2,$M125,$L125,FALSE))*($T125*(1-$F125)+$S125*(1-$G125))*((1+Inputs!$D$7)^CX$2))))))))</f>
        <v>0</v>
      </c>
      <c r="CY125" s="88">
        <f>MAX(BI125,($E125*IF(CY$2&gt;Inputs!$D$5,0,IF(CY$2&gt;VLOOKUP($H125,Lists!$P$3:$Q$7,2),IF($N125=Lists!$K$3,IF($L125&lt;1,(($U125/$L125)*((1+Inputs!$D$7)^CY$2)),((INT(CY$2/$L125)-INT((CY$2-1)/$L125))*$U125*((1+Inputs!$D$7)^CY$2))),(Inputs!$D$8^((1-_xlfn.WEIBULL.DIST(CY$2,$M125,$L125,FALSE))/_xlfn.WEIBULL.DIST(CY$2,$M125,$L125,FALSE))*$U125*((1+Inputs!$D$7)^CY$2))),IF($N125=Lists!$K$3,IF($L125&lt;1,((($T125*(1-$F125)+$S125*(1-$G125))/$L125)*((1+Inputs!$D$7)^CY$2)),((INT(CY$2/$L125)-INT((CY$2-1)/$L125))*($T125*(1-$F125)+$S125*(1-$G125))*((1+Inputs!$D$7)^CY$2))),((Inputs!$D$8^((1-_xlfn.WEIBULL.DIST(CY$2,$M125,$L125,FALSE))/_xlfn.WEIBULL.DIST(CY$2,$M125,$L125,FALSE))*($T125*(1-$F125)+$S125*(1-$G125))*((1+Inputs!$D$7)^CY$2))))))))</f>
        <v>0</v>
      </c>
      <c r="CZ125" s="88">
        <f>MAX(BJ125,($E125*IF(CZ$2&gt;Inputs!$D$5,0,IF(CZ$2&gt;VLOOKUP($H125,Lists!$P$3:$Q$7,2),IF($N125=Lists!$K$3,IF($L125&lt;1,(($U125/$L125)*((1+Inputs!$D$7)^CZ$2)),((INT(CZ$2/$L125)-INT((CZ$2-1)/$L125))*$U125*((1+Inputs!$D$7)^CZ$2))),(Inputs!$D$8^((1-_xlfn.WEIBULL.DIST(CZ$2,$M125,$L125,FALSE))/_xlfn.WEIBULL.DIST(CZ$2,$M125,$L125,FALSE))*$U125*((1+Inputs!$D$7)^CZ$2))),IF($N125=Lists!$K$3,IF($L125&lt;1,((($T125*(1-$F125)+$S125*(1-$G125))/$L125)*((1+Inputs!$D$7)^CZ$2)),((INT(CZ$2/$L125)-INT((CZ$2-1)/$L125))*($T125*(1-$F125)+$S125*(1-$G125))*((1+Inputs!$D$7)^CZ$2))),((Inputs!$D$8^((1-_xlfn.WEIBULL.DIST(CZ$2,$M125,$L125,FALSE))/_xlfn.WEIBULL.DIST(CZ$2,$M125,$L125,FALSE))*($T125*(1-$F125)+$S125*(1-$G125))*((1+Inputs!$D$7)^CZ$2))))))))</f>
        <v>0</v>
      </c>
      <c r="DA125" s="88">
        <f>MAX(BK125,($E125*IF(DA$2&gt;Inputs!$D$5,0,IF(DA$2&gt;VLOOKUP($H125,Lists!$P$3:$Q$7,2),IF($N125=Lists!$K$3,IF($L125&lt;1,(($U125/$L125)*((1+Inputs!$D$7)^DA$2)),((INT(DA$2/$L125)-INT((DA$2-1)/$L125))*$U125*((1+Inputs!$D$7)^DA$2))),(Inputs!$D$8^((1-_xlfn.WEIBULL.DIST(DA$2,$M125,$L125,FALSE))/_xlfn.WEIBULL.DIST(DA$2,$M125,$L125,FALSE))*$U125*((1+Inputs!$D$7)^DA$2))),IF($N125=Lists!$K$3,IF($L125&lt;1,((($T125*(1-$F125)+$S125*(1-$G125))/$L125)*((1+Inputs!$D$7)^DA$2)),((INT(DA$2/$L125)-INT((DA$2-1)/$L125))*($T125*(1-$F125)+$S125*(1-$G125))*((1+Inputs!$D$7)^DA$2))),((Inputs!$D$8^((1-_xlfn.WEIBULL.DIST(DA$2,$M125,$L125,FALSE))/_xlfn.WEIBULL.DIST(DA$2,$M125,$L125,FALSE))*($T125*(1-$F125)+$S125*(1-$G125))*((1+Inputs!$D$7)^DA$2))))))))</f>
        <v>0</v>
      </c>
      <c r="DB125" s="88">
        <f>MAX(BL125,($E125*IF(DB$2&gt;Inputs!$D$5,0,IF(DB$2&gt;VLOOKUP($H125,Lists!$P$3:$Q$7,2),IF($N125=Lists!$K$3,IF($L125&lt;1,(($U125/$L125)*((1+Inputs!$D$7)^DB$2)),((INT(DB$2/$L125)-INT((DB$2-1)/$L125))*$U125*((1+Inputs!$D$7)^DB$2))),(Inputs!$D$8^((1-_xlfn.WEIBULL.DIST(DB$2,$M125,$L125,FALSE))/_xlfn.WEIBULL.DIST(DB$2,$M125,$L125,FALSE))*$U125*((1+Inputs!$D$7)^DB$2))),IF($N125=Lists!$K$3,IF($L125&lt;1,((($T125*(1-$F125)+$S125*(1-$G125))/$L125)*((1+Inputs!$D$7)^DB$2)),((INT(DB$2/$L125)-INT((DB$2-1)/$L125))*($T125*(1-$F125)+$S125*(1-$G125))*((1+Inputs!$D$7)^DB$2))),((Inputs!$D$8^((1-_xlfn.WEIBULL.DIST(DB$2,$M125,$L125,FALSE))/_xlfn.WEIBULL.DIST(DB$2,$M125,$L125,FALSE))*($T125*(1-$F125)+$S125*(1-$G125))*((1+Inputs!$D$7)^DB$2))))))))</f>
        <v>0</v>
      </c>
      <c r="DC125" s="88">
        <f>MAX(BM125,($E125*IF(DC$2&gt;Inputs!$D$5,0,IF(DC$2&gt;VLOOKUP($H125,Lists!$P$3:$Q$7,2),IF($N125=Lists!$K$3,IF($L125&lt;1,(($U125/$L125)*((1+Inputs!$D$7)^DC$2)),((INT(DC$2/$L125)-INT((DC$2-1)/$L125))*$U125*((1+Inputs!$D$7)^DC$2))),(Inputs!$D$8^((1-_xlfn.WEIBULL.DIST(DC$2,$M125,$L125,FALSE))/_xlfn.WEIBULL.DIST(DC$2,$M125,$L125,FALSE))*$U125*((1+Inputs!$D$7)^DC$2))),IF($N125=Lists!$K$3,IF($L125&lt;1,((($T125*(1-$F125)+$S125*(1-$G125))/$L125)*((1+Inputs!$D$7)^DC$2)),((INT(DC$2/$L125)-INT((DC$2-1)/$L125))*($T125*(1-$F125)+$S125*(1-$G125))*((1+Inputs!$D$7)^DC$2))),((Inputs!$D$8^((1-_xlfn.WEIBULL.DIST(DC$2,$M125,$L125,FALSE))/_xlfn.WEIBULL.DIST(DC$2,$M125,$L125,FALSE))*($T125*(1-$F125)+$S125*(1-$G125))*((1+Inputs!$D$7)^DC$2))))))))</f>
        <v>0</v>
      </c>
      <c r="DD125" s="88">
        <f>MAX(BN125,($E125*IF(DD$2&gt;Inputs!$D$5,0,IF(DD$2&gt;VLOOKUP($H125,Lists!$P$3:$Q$7,2),IF($N125=Lists!$K$3,IF($L125&lt;1,(($U125/$L125)*((1+Inputs!$D$7)^DD$2)),((INT(DD$2/$L125)-INT((DD$2-1)/$L125))*$U125*((1+Inputs!$D$7)^DD$2))),(Inputs!$D$8^((1-_xlfn.WEIBULL.DIST(DD$2,$M125,$L125,FALSE))/_xlfn.WEIBULL.DIST(DD$2,$M125,$L125,FALSE))*$U125*((1+Inputs!$D$7)^DD$2))),IF($N125=Lists!$K$3,IF($L125&lt;1,((($T125*(1-$F125)+$S125*(1-$G125))/$L125)*((1+Inputs!$D$7)^DD$2)),((INT(DD$2/$L125)-INT((DD$2-1)/$L125))*($T125*(1-$F125)+$S125*(1-$G125))*((1+Inputs!$D$7)^DD$2))),((Inputs!$D$8^((1-_xlfn.WEIBULL.DIST(DD$2,$M125,$L125,FALSE))/_xlfn.WEIBULL.DIST(DD$2,$M125,$L125,FALSE))*($T125*(1-$F125)+$S125*(1-$G125))*((1+Inputs!$D$7)^DD$2))))))))</f>
        <v>0</v>
      </c>
    </row>
    <row r="126" spans="1:108" ht="16">
      <c r="A126" s="57" t="s">
        <v>40</v>
      </c>
      <c r="B126" s="13" t="s">
        <v>279</v>
      </c>
      <c r="C126" s="13" t="s">
        <v>90</v>
      </c>
      <c r="D126" s="13" t="s">
        <v>37</v>
      </c>
      <c r="E126" s="89">
        <f>IF(Inputs!$D$54=Lists!$AA$3,0,1)</f>
        <v>1</v>
      </c>
      <c r="F126" s="48">
        <v>0</v>
      </c>
      <c r="G126" s="48">
        <v>0</v>
      </c>
      <c r="H126" s="105" t="s">
        <v>350</v>
      </c>
      <c r="I126" s="14" t="s">
        <v>270</v>
      </c>
      <c r="J126" s="14" t="s">
        <v>246</v>
      </c>
      <c r="K126" s="13">
        <f>VLOOKUP(J126,'Labor Rates'!$A$1:$F$16,2)</f>
        <v>33.119999999999997</v>
      </c>
      <c r="L126" s="15">
        <v>1</v>
      </c>
      <c r="M126" s="15">
        <v>1</v>
      </c>
      <c r="N126" s="13" t="s">
        <v>236</v>
      </c>
      <c r="O126" s="61">
        <f>Inputs!$D$56*E126</f>
        <v>10.245901639344263</v>
      </c>
      <c r="P126" s="15">
        <v>0.1</v>
      </c>
      <c r="Q126" s="15">
        <f t="shared" si="21"/>
        <v>1.0245901639344264</v>
      </c>
      <c r="R126" s="4">
        <v>0</v>
      </c>
      <c r="S126" s="53">
        <f t="shared" si="22"/>
        <v>33.934426229508198</v>
      </c>
      <c r="T126" s="53">
        <f t="shared" si="23"/>
        <v>0</v>
      </c>
      <c r="U126" s="54">
        <f t="shared" si="24"/>
        <v>33.934426229508198</v>
      </c>
      <c r="V126" s="65"/>
      <c r="W126" s="58"/>
      <c r="X126" s="64">
        <f t="shared" si="25"/>
        <v>42.05038245363513</v>
      </c>
      <c r="Y126" s="64">
        <f>NPV(Inputs!$D$6,AA126:BN126)</f>
        <v>483.0050373027766</v>
      </c>
      <c r="Z126" s="67">
        <f t="shared" si="26"/>
        <v>2.2780875623984115E-4</v>
      </c>
      <c r="AA126" s="88">
        <f>$E126*IF(AA$2&gt;Inputs!$D$5,0,IF(AA$2&gt;VLOOKUP($H126,Lists!$P$3:$Q$7,2),IF($N126=Lists!$K$3,IF($L126&lt;1,(($U126/$L126)*((1+Inputs!$D$7)^AA$2)),((INT(AA$2/$L126)-INT((AA$2-1)/$L126))*$U126*((1+Inputs!$D$7)^AA$2))),(_xlfn.WEIBULL.DIST(AA$2,$M126,$L126,FALSE)*$U126*((1+Inputs!$D$7)^AA$2))),IF($N126=Lists!$K$3,IF($L126&lt;1,((($T126*(1-$F126)+$S126*(1-$G126))/$L126)*((1+Inputs!$D$7)^AA$2)),((INT(AA$2/$L126)-INT((AA$2-1)/$L126))*($T126*(1-$F126)+$S126*(1-$G126))*((1+Inputs!$D$7)^AA$2))),((_xlfn.WEIBULL.DIST(AA$2,$M126,$L126,FALSE)*($T126*(1-$F126)+$S126*(1-$G126))*((1+Inputs!$D$7)^AA$2))))))</f>
        <v>34.613114754098362</v>
      </c>
      <c r="AB126" s="88">
        <f>$E126*IF(AB$2&gt;Inputs!$D$5,0,IF(AB$2&gt;VLOOKUP($H126,Lists!$P$3:$Q$7,2),IF($N126=Lists!$K$3,IF($L126&lt;1,(($U126/$L126)*((1+Inputs!$D$7)^AB$2)),((INT(AB$2/$L126)-INT((AB$2-1)/$L126))*$U126*((1+Inputs!$D$7)^AB$2))),(_xlfn.WEIBULL.DIST(AB$2,$M126,$L126,FALSE)*$U126*((1+Inputs!$D$7)^AB$2))),IF($N126=Lists!$K$3,IF($L126&lt;1,((($T126*(1-$F126)+$S126*(1-$G126))/$L126)*((1+Inputs!$D$7)^AB$2)),((INT(AB$2/$L126)-INT((AB$2-1)/$L126))*($T126*(1-$F126)+$S126*(1-$G126))*((1+Inputs!$D$7)^AB$2))),((_xlfn.WEIBULL.DIST(AB$2,$M126,$L126,FALSE)*($T126*(1-$F126)+$S126*(1-$G126))*((1+Inputs!$D$7)^AB$2))))))</f>
        <v>35.305377049180329</v>
      </c>
      <c r="AC126" s="88">
        <f>$E126*IF(AC$2&gt;Inputs!$D$5,0,IF(AC$2&gt;VLOOKUP($H126,Lists!$P$3:$Q$7,2),IF($N126=Lists!$K$3,IF($L126&lt;1,(($U126/$L126)*((1+Inputs!$D$7)^AC$2)),((INT(AC$2/$L126)-INT((AC$2-1)/$L126))*$U126*((1+Inputs!$D$7)^AC$2))),(_xlfn.WEIBULL.DIST(AC$2,$M126,$L126,FALSE)*$U126*((1+Inputs!$D$7)^AC$2))),IF($N126=Lists!$K$3,IF($L126&lt;1,((($T126*(1-$F126)+$S126*(1-$G126))/$L126)*((1+Inputs!$D$7)^AC$2)),((INT(AC$2/$L126)-INT((AC$2-1)/$L126))*($T126*(1-$F126)+$S126*(1-$G126))*((1+Inputs!$D$7)^AC$2))),((_xlfn.WEIBULL.DIST(AC$2,$M126,$L126,FALSE)*($T126*(1-$F126)+$S126*(1-$G126))*((1+Inputs!$D$7)^AC$2))))))</f>
        <v>36.011484590163931</v>
      </c>
      <c r="AD126" s="88">
        <f>$E126*IF(AD$2&gt;Inputs!$D$5,0,IF(AD$2&gt;VLOOKUP($H126,Lists!$P$3:$Q$7,2),IF($N126=Lists!$K$3,IF($L126&lt;1,(($U126/$L126)*((1+Inputs!$D$7)^AD$2)),((INT(AD$2/$L126)-INT((AD$2-1)/$L126))*$U126*((1+Inputs!$D$7)^AD$2))),(_xlfn.WEIBULL.DIST(AD$2,$M126,$L126,FALSE)*$U126*((1+Inputs!$D$7)^AD$2))),IF($N126=Lists!$K$3,IF($L126&lt;1,((($T126*(1-$F126)+$S126*(1-$G126))/$L126)*((1+Inputs!$D$7)^AD$2)),((INT(AD$2/$L126)-INT((AD$2-1)/$L126))*($T126*(1-$F126)+$S126*(1-$G126))*((1+Inputs!$D$7)^AD$2))),((_xlfn.WEIBULL.DIST(AD$2,$M126,$L126,FALSE)*($T126*(1-$F126)+$S126*(1-$G126))*((1+Inputs!$D$7)^AD$2))))))</f>
        <v>36.731714281967214</v>
      </c>
      <c r="AE126" s="88">
        <f>$E126*IF(AE$2&gt;Inputs!$D$5,0,IF(AE$2&gt;VLOOKUP($H126,Lists!$P$3:$Q$7,2),IF($N126=Lists!$K$3,IF($L126&lt;1,(($U126/$L126)*((1+Inputs!$D$7)^AE$2)),((INT(AE$2/$L126)-INT((AE$2-1)/$L126))*$U126*((1+Inputs!$D$7)^AE$2))),(_xlfn.WEIBULL.DIST(AE$2,$M126,$L126,FALSE)*$U126*((1+Inputs!$D$7)^AE$2))),IF($N126=Lists!$K$3,IF($L126&lt;1,((($T126*(1-$F126)+$S126*(1-$G126))/$L126)*((1+Inputs!$D$7)^AE$2)),((INT(AE$2/$L126)-INT((AE$2-1)/$L126))*($T126*(1-$F126)+$S126*(1-$G126))*((1+Inputs!$D$7)^AE$2))),((_xlfn.WEIBULL.DIST(AE$2,$M126,$L126,FALSE)*($T126*(1-$F126)+$S126*(1-$G126))*((1+Inputs!$D$7)^AE$2))))))</f>
        <v>37.466348567606559</v>
      </c>
      <c r="AF126" s="88">
        <f>$E126*IF(AF$2&gt;Inputs!$D$5,0,IF(AF$2&gt;VLOOKUP($H126,Lists!$P$3:$Q$7,2),IF($N126=Lists!$K$3,IF($L126&lt;1,(($U126/$L126)*((1+Inputs!$D$7)^AF$2)),((INT(AF$2/$L126)-INT((AF$2-1)/$L126))*$U126*((1+Inputs!$D$7)^AF$2))),(_xlfn.WEIBULL.DIST(AF$2,$M126,$L126,FALSE)*$U126*((1+Inputs!$D$7)^AF$2))),IF($N126=Lists!$K$3,IF($L126&lt;1,((($T126*(1-$F126)+$S126*(1-$G126))/$L126)*((1+Inputs!$D$7)^AF$2)),((INT(AF$2/$L126)-INT((AF$2-1)/$L126))*($T126*(1-$F126)+$S126*(1-$G126))*((1+Inputs!$D$7)^AF$2))),((_xlfn.WEIBULL.DIST(AF$2,$M126,$L126,FALSE)*($T126*(1-$F126)+$S126*(1-$G126))*((1+Inputs!$D$7)^AF$2))))))</f>
        <v>38.215675538958692</v>
      </c>
      <c r="AG126" s="88">
        <f>$E126*IF(AG$2&gt;Inputs!$D$5,0,IF(AG$2&gt;VLOOKUP($H126,Lists!$P$3:$Q$7,2),IF($N126=Lists!$K$3,IF($L126&lt;1,(($U126/$L126)*((1+Inputs!$D$7)^AG$2)),((INT(AG$2/$L126)-INT((AG$2-1)/$L126))*$U126*((1+Inputs!$D$7)^AG$2))),(_xlfn.WEIBULL.DIST(AG$2,$M126,$L126,FALSE)*$U126*((1+Inputs!$D$7)^AG$2))),IF($N126=Lists!$K$3,IF($L126&lt;1,((($T126*(1-$F126)+$S126*(1-$G126))/$L126)*((1+Inputs!$D$7)^AG$2)),((INT(AG$2/$L126)-INT((AG$2-1)/$L126))*($T126*(1-$F126)+$S126*(1-$G126))*((1+Inputs!$D$7)^AG$2))),((_xlfn.WEIBULL.DIST(AG$2,$M126,$L126,FALSE)*($T126*(1-$F126)+$S126*(1-$G126))*((1+Inputs!$D$7)^AG$2))))))</f>
        <v>38.97998904973786</v>
      </c>
      <c r="AH126" s="88">
        <f>$E126*IF(AH$2&gt;Inputs!$D$5,0,IF(AH$2&gt;VLOOKUP($H126,Lists!$P$3:$Q$7,2),IF($N126=Lists!$K$3,IF($L126&lt;1,(($U126/$L126)*((1+Inputs!$D$7)^AH$2)),((INT(AH$2/$L126)-INT((AH$2-1)/$L126))*$U126*((1+Inputs!$D$7)^AH$2))),(_xlfn.WEIBULL.DIST(AH$2,$M126,$L126,FALSE)*$U126*((1+Inputs!$D$7)^AH$2))),IF($N126=Lists!$K$3,IF($L126&lt;1,((($T126*(1-$F126)+$S126*(1-$G126))/$L126)*((1+Inputs!$D$7)^AH$2)),((INT(AH$2/$L126)-INT((AH$2-1)/$L126))*($T126*(1-$F126)+$S126*(1-$G126))*((1+Inputs!$D$7)^AH$2))),((_xlfn.WEIBULL.DIST(AH$2,$M126,$L126,FALSE)*($T126*(1-$F126)+$S126*(1-$G126))*((1+Inputs!$D$7)^AH$2))))))</f>
        <v>39.759588830732618</v>
      </c>
      <c r="AI126" s="88">
        <f>$E126*IF(AI$2&gt;Inputs!$D$5,0,IF(AI$2&gt;VLOOKUP($H126,Lists!$P$3:$Q$7,2),IF($N126=Lists!$K$3,IF($L126&lt;1,(($U126/$L126)*((1+Inputs!$D$7)^AI$2)),((INT(AI$2/$L126)-INT((AI$2-1)/$L126))*$U126*((1+Inputs!$D$7)^AI$2))),(_xlfn.WEIBULL.DIST(AI$2,$M126,$L126,FALSE)*$U126*((1+Inputs!$D$7)^AI$2))),IF($N126=Lists!$K$3,IF($L126&lt;1,((($T126*(1-$F126)+$S126*(1-$G126))/$L126)*((1+Inputs!$D$7)^AI$2)),((INT(AI$2/$L126)-INT((AI$2-1)/$L126))*($T126*(1-$F126)+$S126*(1-$G126))*((1+Inputs!$D$7)^AI$2))),((_xlfn.WEIBULL.DIST(AI$2,$M126,$L126,FALSE)*($T126*(1-$F126)+$S126*(1-$G126))*((1+Inputs!$D$7)^AI$2))))))</f>
        <v>40.554780607347269</v>
      </c>
      <c r="AJ126" s="88">
        <f>$E126*IF(AJ$2&gt;Inputs!$D$5,0,IF(AJ$2&gt;VLOOKUP($H126,Lists!$P$3:$Q$7,2),IF($N126=Lists!$K$3,IF($L126&lt;1,(($U126/$L126)*((1+Inputs!$D$7)^AJ$2)),((INT(AJ$2/$L126)-INT((AJ$2-1)/$L126))*$U126*((1+Inputs!$D$7)^AJ$2))),(_xlfn.WEIBULL.DIST(AJ$2,$M126,$L126,FALSE)*$U126*((1+Inputs!$D$7)^AJ$2))),IF($N126=Lists!$K$3,IF($L126&lt;1,((($T126*(1-$F126)+$S126*(1-$G126))/$L126)*((1+Inputs!$D$7)^AJ$2)),((INT(AJ$2/$L126)-INT((AJ$2-1)/$L126))*($T126*(1-$F126)+$S126*(1-$G126))*((1+Inputs!$D$7)^AJ$2))),((_xlfn.WEIBULL.DIST(AJ$2,$M126,$L126,FALSE)*($T126*(1-$F126)+$S126*(1-$G126))*((1+Inputs!$D$7)^AJ$2))))))</f>
        <v>41.365876219494218</v>
      </c>
      <c r="AK126" s="88">
        <f>$E126*IF(AK$2&gt;Inputs!$D$5,0,IF(AK$2&gt;VLOOKUP($H126,Lists!$P$3:$Q$7,2),IF($N126=Lists!$K$3,IF($L126&lt;1,(($U126/$L126)*((1+Inputs!$D$7)^AK$2)),((INT(AK$2/$L126)-INT((AK$2-1)/$L126))*$U126*((1+Inputs!$D$7)^AK$2))),(_xlfn.WEIBULL.DIST(AK$2,$M126,$L126,FALSE)*$U126*((1+Inputs!$D$7)^AK$2))),IF($N126=Lists!$K$3,IF($L126&lt;1,((($T126*(1-$F126)+$S126*(1-$G126))/$L126)*((1+Inputs!$D$7)^AK$2)),((INT(AK$2/$L126)-INT((AK$2-1)/$L126))*($T126*(1-$F126)+$S126*(1-$G126))*((1+Inputs!$D$7)^AK$2))),((_xlfn.WEIBULL.DIST(AK$2,$M126,$L126,FALSE)*($T126*(1-$F126)+$S126*(1-$G126))*((1+Inputs!$D$7)^AK$2))))))</f>
        <v>42.193193743884095</v>
      </c>
      <c r="AL126" s="88">
        <f>$E126*IF(AL$2&gt;Inputs!$D$5,0,IF(AL$2&gt;VLOOKUP($H126,Lists!$P$3:$Q$7,2),IF($N126=Lists!$K$3,IF($L126&lt;1,(($U126/$L126)*((1+Inputs!$D$7)^AL$2)),((INT(AL$2/$L126)-INT((AL$2-1)/$L126))*$U126*((1+Inputs!$D$7)^AL$2))),(_xlfn.WEIBULL.DIST(AL$2,$M126,$L126,FALSE)*$U126*((1+Inputs!$D$7)^AL$2))),IF($N126=Lists!$K$3,IF($L126&lt;1,((($T126*(1-$F126)+$S126*(1-$G126))/$L126)*((1+Inputs!$D$7)^AL$2)),((INT(AL$2/$L126)-INT((AL$2-1)/$L126))*($T126*(1-$F126)+$S126*(1-$G126))*((1+Inputs!$D$7)^AL$2))),((_xlfn.WEIBULL.DIST(AL$2,$M126,$L126,FALSE)*($T126*(1-$F126)+$S126*(1-$G126))*((1+Inputs!$D$7)^AL$2))))))</f>
        <v>43.037057618761786</v>
      </c>
      <c r="AM126" s="88">
        <f>$E126*IF(AM$2&gt;Inputs!$D$5,0,IF(AM$2&gt;VLOOKUP($H126,Lists!$P$3:$Q$7,2),IF($N126=Lists!$K$3,IF($L126&lt;1,(($U126/$L126)*((1+Inputs!$D$7)^AM$2)),((INT(AM$2/$L126)-INT((AM$2-1)/$L126))*$U126*((1+Inputs!$D$7)^AM$2))),(_xlfn.WEIBULL.DIST(AM$2,$M126,$L126,FALSE)*$U126*((1+Inputs!$D$7)^AM$2))),IF($N126=Lists!$K$3,IF($L126&lt;1,((($T126*(1-$F126)+$S126*(1-$G126))/$L126)*((1+Inputs!$D$7)^AM$2)),((INT(AM$2/$L126)-INT((AM$2-1)/$L126))*($T126*(1-$F126)+$S126*(1-$G126))*((1+Inputs!$D$7)^AM$2))),((_xlfn.WEIBULL.DIST(AM$2,$M126,$L126,FALSE)*($T126*(1-$F126)+$S126*(1-$G126))*((1+Inputs!$D$7)^AM$2))))))</f>
        <v>43.897798771137019</v>
      </c>
      <c r="AN126" s="88">
        <f>$E126*IF(AN$2&gt;Inputs!$D$5,0,IF(AN$2&gt;VLOOKUP($H126,Lists!$P$3:$Q$7,2),IF($N126=Lists!$K$3,IF($L126&lt;1,(($U126/$L126)*((1+Inputs!$D$7)^AN$2)),((INT(AN$2/$L126)-INT((AN$2-1)/$L126))*$U126*((1+Inputs!$D$7)^AN$2))),(_xlfn.WEIBULL.DIST(AN$2,$M126,$L126,FALSE)*$U126*((1+Inputs!$D$7)^AN$2))),IF($N126=Lists!$K$3,IF($L126&lt;1,((($T126*(1-$F126)+$S126*(1-$G126))/$L126)*((1+Inputs!$D$7)^AN$2)),((INT(AN$2/$L126)-INT((AN$2-1)/$L126))*($T126*(1-$F126)+$S126*(1-$G126))*((1+Inputs!$D$7)^AN$2))),((_xlfn.WEIBULL.DIST(AN$2,$M126,$L126,FALSE)*($T126*(1-$F126)+$S126*(1-$G126))*((1+Inputs!$D$7)^AN$2))))))</f>
        <v>44.775754746559763</v>
      </c>
      <c r="AO126" s="88">
        <f>$E126*IF(AO$2&gt;Inputs!$D$5,0,IF(AO$2&gt;VLOOKUP($H126,Lists!$P$3:$Q$7,2),IF($N126=Lists!$K$3,IF($L126&lt;1,(($U126/$L126)*((1+Inputs!$D$7)^AO$2)),((INT(AO$2/$L126)-INT((AO$2-1)/$L126))*$U126*((1+Inputs!$D$7)^AO$2))),(_xlfn.WEIBULL.DIST(AO$2,$M126,$L126,FALSE)*$U126*((1+Inputs!$D$7)^AO$2))),IF($N126=Lists!$K$3,IF($L126&lt;1,((($T126*(1-$F126)+$S126*(1-$G126))/$L126)*((1+Inputs!$D$7)^AO$2)),((INT(AO$2/$L126)-INT((AO$2-1)/$L126))*($T126*(1-$F126)+$S126*(1-$G126))*((1+Inputs!$D$7)^AO$2))),((_xlfn.WEIBULL.DIST(AO$2,$M126,$L126,FALSE)*($T126*(1-$F126)+$S126*(1-$G126))*((1+Inputs!$D$7)^AO$2))))))</f>
        <v>45.671269841490947</v>
      </c>
      <c r="AP126" s="88">
        <f>$E126*IF(AP$2&gt;Inputs!$D$5,0,IF(AP$2&gt;VLOOKUP($H126,Lists!$P$3:$Q$7,2),IF($N126=Lists!$K$3,IF($L126&lt;1,(($U126/$L126)*((1+Inputs!$D$7)^AP$2)),((INT(AP$2/$L126)-INT((AP$2-1)/$L126))*$U126*((1+Inputs!$D$7)^AP$2))),(_xlfn.WEIBULL.DIST(AP$2,$M126,$L126,FALSE)*$U126*((1+Inputs!$D$7)^AP$2))),IF($N126=Lists!$K$3,IF($L126&lt;1,((($T126*(1-$F126)+$S126*(1-$G126))/$L126)*((1+Inputs!$D$7)^AP$2)),((INT(AP$2/$L126)-INT((AP$2-1)/$L126))*($T126*(1-$F126)+$S126*(1-$G126))*((1+Inputs!$D$7)^AP$2))),((_xlfn.WEIBULL.DIST(AP$2,$M126,$L126,FALSE)*($T126*(1-$F126)+$S126*(1-$G126))*((1+Inputs!$D$7)^AP$2))))))</f>
        <v>46.584695238320769</v>
      </c>
      <c r="AQ126" s="88">
        <f>$E126*IF(AQ$2&gt;Inputs!$D$5,0,IF(AQ$2&gt;VLOOKUP($H126,Lists!$P$3:$Q$7,2),IF($N126=Lists!$K$3,IF($L126&lt;1,(($U126/$L126)*((1+Inputs!$D$7)^AQ$2)),((INT(AQ$2/$L126)-INT((AQ$2-1)/$L126))*$U126*((1+Inputs!$D$7)^AQ$2))),(_xlfn.WEIBULL.DIST(AQ$2,$M126,$L126,FALSE)*$U126*((1+Inputs!$D$7)^AQ$2))),IF($N126=Lists!$K$3,IF($L126&lt;1,((($T126*(1-$F126)+$S126*(1-$G126))/$L126)*((1+Inputs!$D$7)^AQ$2)),((INT(AQ$2/$L126)-INT((AQ$2-1)/$L126))*($T126*(1-$F126)+$S126*(1-$G126))*((1+Inputs!$D$7)^AQ$2))),((_xlfn.WEIBULL.DIST(AQ$2,$M126,$L126,FALSE)*($T126*(1-$F126)+$S126*(1-$G126))*((1+Inputs!$D$7)^AQ$2))))))</f>
        <v>47.516389143087189</v>
      </c>
      <c r="AR126" s="88">
        <f>$E126*IF(AR$2&gt;Inputs!$D$5,0,IF(AR$2&gt;VLOOKUP($H126,Lists!$P$3:$Q$7,2),IF($N126=Lists!$K$3,IF($L126&lt;1,(($U126/$L126)*((1+Inputs!$D$7)^AR$2)),((INT(AR$2/$L126)-INT((AR$2-1)/$L126))*$U126*((1+Inputs!$D$7)^AR$2))),(_xlfn.WEIBULL.DIST(AR$2,$M126,$L126,FALSE)*$U126*((1+Inputs!$D$7)^AR$2))),IF($N126=Lists!$K$3,IF($L126&lt;1,((($T126*(1-$F126)+$S126*(1-$G126))/$L126)*((1+Inputs!$D$7)^AR$2)),((INT(AR$2/$L126)-INT((AR$2-1)/$L126))*($T126*(1-$F126)+$S126*(1-$G126))*((1+Inputs!$D$7)^AR$2))),((_xlfn.WEIBULL.DIST(AR$2,$M126,$L126,FALSE)*($T126*(1-$F126)+$S126*(1-$G126))*((1+Inputs!$D$7)^AR$2))))))</f>
        <v>48.46671692594893</v>
      </c>
      <c r="AS126" s="88">
        <f>$E126*IF(AS$2&gt;Inputs!$D$5,0,IF(AS$2&gt;VLOOKUP($H126,Lists!$P$3:$Q$7,2),IF($N126=Lists!$K$3,IF($L126&lt;1,(($U126/$L126)*((1+Inputs!$D$7)^AS$2)),((INT(AS$2/$L126)-INT((AS$2-1)/$L126))*$U126*((1+Inputs!$D$7)^AS$2))),(_xlfn.WEIBULL.DIST(AS$2,$M126,$L126,FALSE)*$U126*((1+Inputs!$D$7)^AS$2))),IF($N126=Lists!$K$3,IF($L126&lt;1,((($T126*(1-$F126)+$S126*(1-$G126))/$L126)*((1+Inputs!$D$7)^AS$2)),((INT(AS$2/$L126)-INT((AS$2-1)/$L126))*($T126*(1-$F126)+$S126*(1-$G126))*((1+Inputs!$D$7)^AS$2))),((_xlfn.WEIBULL.DIST(AS$2,$M126,$L126,FALSE)*($T126*(1-$F126)+$S126*(1-$G126))*((1+Inputs!$D$7)^AS$2))))))</f>
        <v>49.436051264467906</v>
      </c>
      <c r="AT126" s="88">
        <f>$E126*IF(AT$2&gt;Inputs!$D$5,0,IF(AT$2&gt;VLOOKUP($H126,Lists!$P$3:$Q$7,2),IF($N126=Lists!$K$3,IF($L126&lt;1,(($U126/$L126)*((1+Inputs!$D$7)^AT$2)),((INT(AT$2/$L126)-INT((AT$2-1)/$L126))*$U126*((1+Inputs!$D$7)^AT$2))),(_xlfn.WEIBULL.DIST(AT$2,$M126,$L126,FALSE)*$U126*((1+Inputs!$D$7)^AT$2))),IF($N126=Lists!$K$3,IF($L126&lt;1,((($T126*(1-$F126)+$S126*(1-$G126))/$L126)*((1+Inputs!$D$7)^AT$2)),((INT(AT$2/$L126)-INT((AT$2-1)/$L126))*($T126*(1-$F126)+$S126*(1-$G126))*((1+Inputs!$D$7)^AT$2))),((_xlfn.WEIBULL.DIST(AT$2,$M126,$L126,FALSE)*($T126*(1-$F126)+$S126*(1-$G126))*((1+Inputs!$D$7)^AT$2))))))</f>
        <v>50.424772289757264</v>
      </c>
      <c r="AU126" s="88">
        <f>$E126*IF(AU$2&gt;Inputs!$D$5,0,IF(AU$2&gt;VLOOKUP($H126,Lists!$P$3:$Q$7,2),IF($N126=Lists!$K$3,IF($L126&lt;1,(($U126/$L126)*((1+Inputs!$D$7)^AU$2)),((INT(AU$2/$L126)-INT((AU$2-1)/$L126))*$U126*((1+Inputs!$D$7)^AU$2))),(_xlfn.WEIBULL.DIST(AU$2,$M126,$L126,FALSE)*$U126*((1+Inputs!$D$7)^AU$2))),IF($N126=Lists!$K$3,IF($L126&lt;1,((($T126*(1-$F126)+$S126*(1-$G126))/$L126)*((1+Inputs!$D$7)^AU$2)),((INT(AU$2/$L126)-INT((AU$2-1)/$L126))*($T126*(1-$F126)+$S126*(1-$G126))*((1+Inputs!$D$7)^AU$2))),((_xlfn.WEIBULL.DIST(AU$2,$M126,$L126,FALSE)*($T126*(1-$F126)+$S126*(1-$G126))*((1+Inputs!$D$7)^AU$2))))))</f>
        <v>51.433267735552413</v>
      </c>
      <c r="AV126" s="88">
        <f>$E126*IF(AV$2&gt;Inputs!$D$5,0,IF(AV$2&gt;VLOOKUP($H126,Lists!$P$3:$Q$7,2),IF($N126=Lists!$K$3,IF($L126&lt;1,(($U126/$L126)*((1+Inputs!$D$7)^AV$2)),((INT(AV$2/$L126)-INT((AV$2-1)/$L126))*$U126*((1+Inputs!$D$7)^AV$2))),(_xlfn.WEIBULL.DIST(AV$2,$M126,$L126,FALSE)*$U126*((1+Inputs!$D$7)^AV$2))),IF($N126=Lists!$K$3,IF($L126&lt;1,((($T126*(1-$F126)+$S126*(1-$G126))/$L126)*((1+Inputs!$D$7)^AV$2)),((INT(AV$2/$L126)-INT((AV$2-1)/$L126))*($T126*(1-$F126)+$S126*(1-$G126))*((1+Inputs!$D$7)^AV$2))),((_xlfn.WEIBULL.DIST(AV$2,$M126,$L126,FALSE)*($T126*(1-$F126)+$S126*(1-$G126))*((1+Inputs!$D$7)^AV$2))))))</f>
        <v>52.461933090263457</v>
      </c>
      <c r="AW126" s="88">
        <f>$E126*IF(AW$2&gt;Inputs!$D$5,0,IF(AW$2&gt;VLOOKUP($H126,Lists!$P$3:$Q$7,2),IF($N126=Lists!$K$3,IF($L126&lt;1,(($U126/$L126)*((1+Inputs!$D$7)^AW$2)),((INT(AW$2/$L126)-INT((AW$2-1)/$L126))*$U126*((1+Inputs!$D$7)^AW$2))),(_xlfn.WEIBULL.DIST(AW$2,$M126,$L126,FALSE)*$U126*((1+Inputs!$D$7)^AW$2))),IF($N126=Lists!$K$3,IF($L126&lt;1,((($T126*(1-$F126)+$S126*(1-$G126))/$L126)*((1+Inputs!$D$7)^AW$2)),((INT(AW$2/$L126)-INT((AW$2-1)/$L126))*($T126*(1-$F126)+$S126*(1-$G126))*((1+Inputs!$D$7)^AW$2))),((_xlfn.WEIBULL.DIST(AW$2,$M126,$L126,FALSE)*($T126*(1-$F126)+$S126*(1-$G126))*((1+Inputs!$D$7)^AW$2))))))</f>
        <v>53.511171752068719</v>
      </c>
      <c r="AX126" s="88">
        <f>$E126*IF(AX$2&gt;Inputs!$D$5,0,IF(AX$2&gt;VLOOKUP($H126,Lists!$P$3:$Q$7,2),IF($N126=Lists!$K$3,IF($L126&lt;1,(($U126/$L126)*((1+Inputs!$D$7)^AX$2)),((INT(AX$2/$L126)-INT((AX$2-1)/$L126))*$U126*((1+Inputs!$D$7)^AX$2))),(_xlfn.WEIBULL.DIST(AX$2,$M126,$L126,FALSE)*$U126*((1+Inputs!$D$7)^AX$2))),IF($N126=Lists!$K$3,IF($L126&lt;1,((($T126*(1-$F126)+$S126*(1-$G126))/$L126)*((1+Inputs!$D$7)^AX$2)),((INT(AX$2/$L126)-INT((AX$2-1)/$L126))*($T126*(1-$F126)+$S126*(1-$G126))*((1+Inputs!$D$7)^AX$2))),((_xlfn.WEIBULL.DIST(AX$2,$M126,$L126,FALSE)*($T126*(1-$F126)+$S126*(1-$G126))*((1+Inputs!$D$7)^AX$2))))))</f>
        <v>54.581395187110097</v>
      </c>
      <c r="AY126" s="88">
        <f>$E126*IF(AY$2&gt;Inputs!$D$5,0,IF(AY$2&gt;VLOOKUP($H126,Lists!$P$3:$Q$7,2),IF($N126=Lists!$K$3,IF($L126&lt;1,(($U126/$L126)*((1+Inputs!$D$7)^AY$2)),((INT(AY$2/$L126)-INT((AY$2-1)/$L126))*$U126*((1+Inputs!$D$7)^AY$2))),(_xlfn.WEIBULL.DIST(AY$2,$M126,$L126,FALSE)*$U126*((1+Inputs!$D$7)^AY$2))),IF($N126=Lists!$K$3,IF($L126&lt;1,((($T126*(1-$F126)+$S126*(1-$G126))/$L126)*((1+Inputs!$D$7)^AY$2)),((INT(AY$2/$L126)-INT((AY$2-1)/$L126))*($T126*(1-$F126)+$S126*(1-$G126))*((1+Inputs!$D$7)^AY$2))),((_xlfn.WEIBULL.DIST(AY$2,$M126,$L126,FALSE)*($T126*(1-$F126)+$S126*(1-$G126))*((1+Inputs!$D$7)^AY$2))))))</f>
        <v>55.673023090852297</v>
      </c>
      <c r="AZ126" s="88">
        <f>$E126*IF(AZ$2&gt;Inputs!$D$5,0,IF(AZ$2&gt;VLOOKUP($H126,Lists!$P$3:$Q$7,2),IF($N126=Lists!$K$3,IF($L126&lt;1,(($U126/$L126)*((1+Inputs!$D$7)^AZ$2)),((INT(AZ$2/$L126)-INT((AZ$2-1)/$L126))*$U126*((1+Inputs!$D$7)^AZ$2))),(_xlfn.WEIBULL.DIST(AZ$2,$M126,$L126,FALSE)*$U126*((1+Inputs!$D$7)^AZ$2))),IF($N126=Lists!$K$3,IF($L126&lt;1,((($T126*(1-$F126)+$S126*(1-$G126))/$L126)*((1+Inputs!$D$7)^AZ$2)),((INT(AZ$2/$L126)-INT((AZ$2-1)/$L126))*($T126*(1-$F126)+$S126*(1-$G126))*((1+Inputs!$D$7)^AZ$2))),((_xlfn.WEIBULL.DIST(AZ$2,$M126,$L126,FALSE)*($T126*(1-$F126)+$S126*(1-$G126))*((1+Inputs!$D$7)^AZ$2))))))</f>
        <v>0</v>
      </c>
      <c r="BA126" s="88">
        <f>$E126*IF(BA$2&gt;Inputs!$D$5,0,IF(BA$2&gt;VLOOKUP($H126,Lists!$P$3:$Q$7,2),IF($N126=Lists!$K$3,IF($L126&lt;1,(($U126/$L126)*((1+Inputs!$D$7)^BA$2)),((INT(BA$2/$L126)-INT((BA$2-1)/$L126))*$U126*((1+Inputs!$D$7)^BA$2))),(_xlfn.WEIBULL.DIST(BA$2,$M126,$L126,FALSE)*$U126*((1+Inputs!$D$7)^BA$2))),IF($N126=Lists!$K$3,IF($L126&lt;1,((($T126*(1-$F126)+$S126*(1-$G126))/$L126)*((1+Inputs!$D$7)^BA$2)),((INT(BA$2/$L126)-INT((BA$2-1)/$L126))*($T126*(1-$F126)+$S126*(1-$G126))*((1+Inputs!$D$7)^BA$2))),((_xlfn.WEIBULL.DIST(BA$2,$M126,$L126,FALSE)*($T126*(1-$F126)+$S126*(1-$G126))*((1+Inputs!$D$7)^BA$2))))))</f>
        <v>0</v>
      </c>
      <c r="BB126" s="88">
        <f>$E126*IF(BB$2&gt;Inputs!$D$5,0,IF(BB$2&gt;VLOOKUP($H126,Lists!$P$3:$Q$7,2),IF($N126=Lists!$K$3,IF($L126&lt;1,(($U126/$L126)*((1+Inputs!$D$7)^BB$2)),((INT(BB$2/$L126)-INT((BB$2-1)/$L126))*$U126*((1+Inputs!$D$7)^BB$2))),(_xlfn.WEIBULL.DIST(BB$2,$M126,$L126,FALSE)*$U126*((1+Inputs!$D$7)^BB$2))),IF($N126=Lists!$K$3,IF($L126&lt;1,((($T126*(1-$F126)+$S126*(1-$G126))/$L126)*((1+Inputs!$D$7)^BB$2)),((INT(BB$2/$L126)-INT((BB$2-1)/$L126))*($T126*(1-$F126)+$S126*(1-$G126))*((1+Inputs!$D$7)^BB$2))),((_xlfn.WEIBULL.DIST(BB$2,$M126,$L126,FALSE)*($T126*(1-$F126)+$S126*(1-$G126))*((1+Inputs!$D$7)^BB$2))))))</f>
        <v>0</v>
      </c>
      <c r="BC126" s="88">
        <f>$E126*IF(BC$2&gt;Inputs!$D$5,0,IF(BC$2&gt;VLOOKUP($H126,Lists!$P$3:$Q$7,2),IF($N126=Lists!$K$3,IF($L126&lt;1,(($U126/$L126)*((1+Inputs!$D$7)^BC$2)),((INT(BC$2/$L126)-INT((BC$2-1)/$L126))*$U126*((1+Inputs!$D$7)^BC$2))),(_xlfn.WEIBULL.DIST(BC$2,$M126,$L126,FALSE)*$U126*((1+Inputs!$D$7)^BC$2))),IF($N126=Lists!$K$3,IF($L126&lt;1,((($T126*(1-$F126)+$S126*(1-$G126))/$L126)*((1+Inputs!$D$7)^BC$2)),((INT(BC$2/$L126)-INT((BC$2-1)/$L126))*($T126*(1-$F126)+$S126*(1-$G126))*((1+Inputs!$D$7)^BC$2))),((_xlfn.WEIBULL.DIST(BC$2,$M126,$L126,FALSE)*($T126*(1-$F126)+$S126*(1-$G126))*((1+Inputs!$D$7)^BC$2))))))</f>
        <v>0</v>
      </c>
      <c r="BD126" s="88">
        <f>$E126*IF(BD$2&gt;Inputs!$D$5,0,IF(BD$2&gt;VLOOKUP($H126,Lists!$P$3:$Q$7,2),IF($N126=Lists!$K$3,IF($L126&lt;1,(($U126/$L126)*((1+Inputs!$D$7)^BD$2)),((INT(BD$2/$L126)-INT((BD$2-1)/$L126))*$U126*((1+Inputs!$D$7)^BD$2))),(_xlfn.WEIBULL.DIST(BD$2,$M126,$L126,FALSE)*$U126*((1+Inputs!$D$7)^BD$2))),IF($N126=Lists!$K$3,IF($L126&lt;1,((($T126*(1-$F126)+$S126*(1-$G126))/$L126)*((1+Inputs!$D$7)^BD$2)),((INT(BD$2/$L126)-INT((BD$2-1)/$L126))*($T126*(1-$F126)+$S126*(1-$G126))*((1+Inputs!$D$7)^BD$2))),((_xlfn.WEIBULL.DIST(BD$2,$M126,$L126,FALSE)*($T126*(1-$F126)+$S126*(1-$G126))*((1+Inputs!$D$7)^BD$2))))))</f>
        <v>0</v>
      </c>
      <c r="BE126" s="88">
        <f>$E126*IF(BE$2&gt;Inputs!$D$5,0,IF(BE$2&gt;VLOOKUP($H126,Lists!$P$3:$Q$7,2),IF($N126=Lists!$K$3,IF($L126&lt;1,(($U126/$L126)*((1+Inputs!$D$7)^BE$2)),((INT(BE$2/$L126)-INT((BE$2-1)/$L126))*$U126*((1+Inputs!$D$7)^BE$2))),(_xlfn.WEIBULL.DIST(BE$2,$M126,$L126,FALSE)*$U126*((1+Inputs!$D$7)^BE$2))),IF($N126=Lists!$K$3,IF($L126&lt;1,((($T126*(1-$F126)+$S126*(1-$G126))/$L126)*((1+Inputs!$D$7)^BE$2)),((INT(BE$2/$L126)-INT((BE$2-1)/$L126))*($T126*(1-$F126)+$S126*(1-$G126))*((1+Inputs!$D$7)^BE$2))),((_xlfn.WEIBULL.DIST(BE$2,$M126,$L126,FALSE)*($T126*(1-$F126)+$S126*(1-$G126))*((1+Inputs!$D$7)^BE$2))))))</f>
        <v>0</v>
      </c>
      <c r="BF126" s="88">
        <f>$E126*IF(BF$2&gt;Inputs!$D$5,0,IF(BF$2&gt;VLOOKUP($H126,Lists!$P$3:$Q$7,2),IF($N126=Lists!$K$3,IF($L126&lt;1,(($U126/$L126)*((1+Inputs!$D$7)^BF$2)),((INT(BF$2/$L126)-INT((BF$2-1)/$L126))*$U126*((1+Inputs!$D$7)^BF$2))),(_xlfn.WEIBULL.DIST(BF$2,$M126,$L126,FALSE)*$U126*((1+Inputs!$D$7)^BF$2))),IF($N126=Lists!$K$3,IF($L126&lt;1,((($T126*(1-$F126)+$S126*(1-$G126))/$L126)*((1+Inputs!$D$7)^BF$2)),((INT(BF$2/$L126)-INT((BF$2-1)/$L126))*($T126*(1-$F126)+$S126*(1-$G126))*((1+Inputs!$D$7)^BF$2))),((_xlfn.WEIBULL.DIST(BF$2,$M126,$L126,FALSE)*($T126*(1-$F126)+$S126*(1-$G126))*((1+Inputs!$D$7)^BF$2))))))</f>
        <v>0</v>
      </c>
      <c r="BG126" s="88">
        <f>$E126*IF(BG$2&gt;Inputs!$D$5,0,IF(BG$2&gt;VLOOKUP($H126,Lists!$P$3:$Q$7,2),IF($N126=Lists!$K$3,IF($L126&lt;1,(($U126/$L126)*((1+Inputs!$D$7)^BG$2)),((INT(BG$2/$L126)-INT((BG$2-1)/$L126))*$U126*((1+Inputs!$D$7)^BG$2))),(_xlfn.WEIBULL.DIST(BG$2,$M126,$L126,FALSE)*$U126*((1+Inputs!$D$7)^BG$2))),IF($N126=Lists!$K$3,IF($L126&lt;1,((($T126*(1-$F126)+$S126*(1-$G126))/$L126)*((1+Inputs!$D$7)^BG$2)),((INT(BG$2/$L126)-INT((BG$2-1)/$L126))*($T126*(1-$F126)+$S126*(1-$G126))*((1+Inputs!$D$7)^BG$2))),((_xlfn.WEIBULL.DIST(BG$2,$M126,$L126,FALSE)*($T126*(1-$F126)+$S126*(1-$G126))*((1+Inputs!$D$7)^BG$2))))))</f>
        <v>0</v>
      </c>
      <c r="BH126" s="88">
        <f>$E126*IF(BH$2&gt;Inputs!$D$5,0,IF(BH$2&gt;VLOOKUP($H126,Lists!$P$3:$Q$7,2),IF($N126=Lists!$K$3,IF($L126&lt;1,(($U126/$L126)*((1+Inputs!$D$7)^BH$2)),((INT(BH$2/$L126)-INT((BH$2-1)/$L126))*$U126*((1+Inputs!$D$7)^BH$2))),(_xlfn.WEIBULL.DIST(BH$2,$M126,$L126,FALSE)*$U126*((1+Inputs!$D$7)^BH$2))),IF($N126=Lists!$K$3,IF($L126&lt;1,((($T126*(1-$F126)+$S126*(1-$G126))/$L126)*((1+Inputs!$D$7)^BH$2)),((INT(BH$2/$L126)-INT((BH$2-1)/$L126))*($T126*(1-$F126)+$S126*(1-$G126))*((1+Inputs!$D$7)^BH$2))),((_xlfn.WEIBULL.DIST(BH$2,$M126,$L126,FALSE)*($T126*(1-$F126)+$S126*(1-$G126))*((1+Inputs!$D$7)^BH$2))))))</f>
        <v>0</v>
      </c>
      <c r="BI126" s="88">
        <f>$E126*IF(BI$2&gt;Inputs!$D$5,0,IF(BI$2&gt;VLOOKUP($H126,Lists!$P$3:$Q$7,2),IF($N126=Lists!$K$3,IF($L126&lt;1,(($U126/$L126)*((1+Inputs!$D$7)^BI$2)),((INT(BI$2/$L126)-INT((BI$2-1)/$L126))*$U126*((1+Inputs!$D$7)^BI$2))),(_xlfn.WEIBULL.DIST(BI$2,$M126,$L126,FALSE)*$U126*((1+Inputs!$D$7)^BI$2))),IF($N126=Lists!$K$3,IF($L126&lt;1,((($T126*(1-$F126)+$S126*(1-$G126))/$L126)*((1+Inputs!$D$7)^BI$2)),((INT(BI$2/$L126)-INT((BI$2-1)/$L126))*($T126*(1-$F126)+$S126*(1-$G126))*((1+Inputs!$D$7)^BI$2))),((_xlfn.WEIBULL.DIST(BI$2,$M126,$L126,FALSE)*($T126*(1-$F126)+$S126*(1-$G126))*((1+Inputs!$D$7)^BI$2))))))</f>
        <v>0</v>
      </c>
      <c r="BJ126" s="88">
        <f>$E126*IF(BJ$2&gt;Inputs!$D$5,0,IF(BJ$2&gt;VLOOKUP($H126,Lists!$P$3:$Q$7,2),IF($N126=Lists!$K$3,IF($L126&lt;1,(($U126/$L126)*((1+Inputs!$D$7)^BJ$2)),((INT(BJ$2/$L126)-INT((BJ$2-1)/$L126))*$U126*((1+Inputs!$D$7)^BJ$2))),(_xlfn.WEIBULL.DIST(BJ$2,$M126,$L126,FALSE)*$U126*((1+Inputs!$D$7)^BJ$2))),IF($N126=Lists!$K$3,IF($L126&lt;1,((($T126*(1-$F126)+$S126*(1-$G126))/$L126)*((1+Inputs!$D$7)^BJ$2)),((INT(BJ$2/$L126)-INT((BJ$2-1)/$L126))*($T126*(1-$F126)+$S126*(1-$G126))*((1+Inputs!$D$7)^BJ$2))),((_xlfn.WEIBULL.DIST(BJ$2,$M126,$L126,FALSE)*($T126*(1-$F126)+$S126*(1-$G126))*((1+Inputs!$D$7)^BJ$2))))))</f>
        <v>0</v>
      </c>
      <c r="BK126" s="88">
        <f>$E126*IF(BK$2&gt;Inputs!$D$5,0,IF(BK$2&gt;VLOOKUP($H126,Lists!$P$3:$Q$7,2),IF($N126=Lists!$K$3,IF($L126&lt;1,(($U126/$L126)*((1+Inputs!$D$7)^BK$2)),((INT(BK$2/$L126)-INT((BK$2-1)/$L126))*$U126*((1+Inputs!$D$7)^BK$2))),(_xlfn.WEIBULL.DIST(BK$2,$M126,$L126,FALSE)*$U126*((1+Inputs!$D$7)^BK$2))),IF($N126=Lists!$K$3,IF($L126&lt;1,((($T126*(1-$F126)+$S126*(1-$G126))/$L126)*((1+Inputs!$D$7)^BK$2)),((INT(BK$2/$L126)-INT((BK$2-1)/$L126))*($T126*(1-$F126)+$S126*(1-$G126))*((1+Inputs!$D$7)^BK$2))),((_xlfn.WEIBULL.DIST(BK$2,$M126,$L126,FALSE)*($T126*(1-$F126)+$S126*(1-$G126))*((1+Inputs!$D$7)^BK$2))))))</f>
        <v>0</v>
      </c>
      <c r="BL126" s="88">
        <f>$E126*IF(BL$2&gt;Inputs!$D$5,0,IF(BL$2&gt;VLOOKUP($H126,Lists!$P$3:$Q$7,2),IF($N126=Lists!$K$3,IF($L126&lt;1,(($U126/$L126)*((1+Inputs!$D$7)^BL$2)),((INT(BL$2/$L126)-INT((BL$2-1)/$L126))*$U126*((1+Inputs!$D$7)^BL$2))),(_xlfn.WEIBULL.DIST(BL$2,$M126,$L126,FALSE)*$U126*((1+Inputs!$D$7)^BL$2))),IF($N126=Lists!$K$3,IF($L126&lt;1,((($T126*(1-$F126)+$S126*(1-$G126))/$L126)*((1+Inputs!$D$7)^BL$2)),((INT(BL$2/$L126)-INT((BL$2-1)/$L126))*($T126*(1-$F126)+$S126*(1-$G126))*((1+Inputs!$D$7)^BL$2))),((_xlfn.WEIBULL.DIST(BL$2,$M126,$L126,FALSE)*($T126*(1-$F126)+$S126*(1-$G126))*((1+Inputs!$D$7)^BL$2))))))</f>
        <v>0</v>
      </c>
      <c r="BM126" s="88">
        <f>$E126*IF(BM$2&gt;Inputs!$D$5,0,IF(BM$2&gt;VLOOKUP($H126,Lists!$P$3:$Q$7,2),IF($N126=Lists!$K$3,IF($L126&lt;1,(($U126/$L126)*((1+Inputs!$D$7)^BM$2)),((INT(BM$2/$L126)-INT((BM$2-1)/$L126))*$U126*((1+Inputs!$D$7)^BM$2))),(_xlfn.WEIBULL.DIST(BM$2,$M126,$L126,FALSE)*$U126*((1+Inputs!$D$7)^BM$2))),IF($N126=Lists!$K$3,IF($L126&lt;1,((($T126*(1-$F126)+$S126*(1-$G126))/$L126)*((1+Inputs!$D$7)^BM$2)),((INT(BM$2/$L126)-INT((BM$2-1)/$L126))*($T126*(1-$F126)+$S126*(1-$G126))*((1+Inputs!$D$7)^BM$2))),((_xlfn.WEIBULL.DIST(BM$2,$M126,$L126,FALSE)*($T126*(1-$F126)+$S126*(1-$G126))*((1+Inputs!$D$7)^BM$2))))))</f>
        <v>0</v>
      </c>
      <c r="BN126" s="88">
        <f>$E126*IF(BN$2&gt;Inputs!$D$5,0,IF(BN$2&gt;VLOOKUP($H126,Lists!$P$3:$Q$7,2),IF($N126=Lists!$K$3,IF($L126&lt;1,(($U126/$L126)*((1+Inputs!$D$7)^BN$2)),((INT(BN$2/$L126)-INT((BN$2-1)/$L126))*$U126*((1+Inputs!$D$7)^BN$2))),(_xlfn.WEIBULL.DIST(BN$2,$M126,$L126,FALSE)*$U126*((1+Inputs!$D$7)^BN$2))),IF($N126=Lists!$K$3,IF($L126&lt;1,((($T126*(1-$F126)+$S126*(1-$G126))/$L126)*((1+Inputs!$D$7)^BN$2)),((INT(BN$2/$L126)-INT((BN$2-1)/$L126))*($T126*(1-$F126)+$S126*(1-$G126))*((1+Inputs!$D$7)^BN$2))),((_xlfn.WEIBULL.DIST(BN$2,$M126,$L126,FALSE)*($T126*(1-$F126)+$S126*(1-$G126))*((1+Inputs!$D$7)^BN$2))))))</f>
        <v>0</v>
      </c>
      <c r="BO126" s="64">
        <f>NPV(Inputs!$D$6,BQ126:DD126)</f>
        <v>483.0050373027766</v>
      </c>
      <c r="BP126" s="67">
        <f t="shared" si="27"/>
        <v>2.2780875623984115E-4</v>
      </c>
      <c r="BQ126" s="88">
        <f>MAX(AA126,($E126*IF(BQ$2&gt;Inputs!$D$5,0,IF(BQ$2&gt;VLOOKUP($H126,Lists!$P$3:$Q$7,2),IF($N126=Lists!$K$3,IF($L126&lt;1,(($U126/$L126)*((1+Inputs!$D$7)^BQ$2)),((INT(BQ$2/$L126)-INT((BQ$2-1)/$L126))*$U126*((1+Inputs!$D$7)^BQ$2))),(Inputs!$D$8^((1-_xlfn.WEIBULL.DIST(BQ$2,$M126,$L126,FALSE))/_xlfn.WEIBULL.DIST(BQ$2,$M126,$L126,FALSE))*$U126*((1+Inputs!$D$7)^BQ$2))),IF($N126=Lists!$K$3,IF($L126&lt;1,((($T126*(1-$F126)+$S126*(1-$G126))/$L126)*((1+Inputs!$D$7)^BQ$2)),((INT(BQ$2/$L126)-INT((BQ$2-1)/$L126))*($T126*(1-$F126)+$S126*(1-$G126))*((1+Inputs!$D$7)^BQ$2))),((Inputs!$D$8^((1-_xlfn.WEIBULL.DIST(BQ$2,$M126,$L126,FALSE))/_xlfn.WEIBULL.DIST(BQ$2,$M126,$L126,FALSE))*($T126*(1-$F126)+$S126*(1-$G126))*((1+Inputs!$D$7)^BQ$2))))))))</f>
        <v>34.613114754098362</v>
      </c>
      <c r="BR126" s="88">
        <f>MAX(AB126,($E126*IF(BR$2&gt;Inputs!$D$5,0,IF(BR$2&gt;VLOOKUP($H126,Lists!$P$3:$Q$7,2),IF($N126=Lists!$K$3,IF($L126&lt;1,(($U126/$L126)*((1+Inputs!$D$7)^BR$2)),((INT(BR$2/$L126)-INT((BR$2-1)/$L126))*$U126*((1+Inputs!$D$7)^BR$2))),(Inputs!$D$8^((1-_xlfn.WEIBULL.DIST(BR$2,$M126,$L126,FALSE))/_xlfn.WEIBULL.DIST(BR$2,$M126,$L126,FALSE))*$U126*((1+Inputs!$D$7)^BR$2))),IF($N126=Lists!$K$3,IF($L126&lt;1,((($T126*(1-$F126)+$S126*(1-$G126))/$L126)*((1+Inputs!$D$7)^BR$2)),((INT(BR$2/$L126)-INT((BR$2-1)/$L126))*($T126*(1-$F126)+$S126*(1-$G126))*((1+Inputs!$D$7)^BR$2))),((Inputs!$D$8^((1-_xlfn.WEIBULL.DIST(BR$2,$M126,$L126,FALSE))/_xlfn.WEIBULL.DIST(BR$2,$M126,$L126,FALSE))*($T126*(1-$F126)+$S126*(1-$G126))*((1+Inputs!$D$7)^BR$2))))))))</f>
        <v>35.305377049180329</v>
      </c>
      <c r="BS126" s="88">
        <f>MAX(AC126,($E126*IF(BS$2&gt;Inputs!$D$5,0,IF(BS$2&gt;VLOOKUP($H126,Lists!$P$3:$Q$7,2),IF($N126=Lists!$K$3,IF($L126&lt;1,(($U126/$L126)*((1+Inputs!$D$7)^BS$2)),((INT(BS$2/$L126)-INT((BS$2-1)/$L126))*$U126*((1+Inputs!$D$7)^BS$2))),(Inputs!$D$8^((1-_xlfn.WEIBULL.DIST(BS$2,$M126,$L126,FALSE))/_xlfn.WEIBULL.DIST(BS$2,$M126,$L126,FALSE))*$U126*((1+Inputs!$D$7)^BS$2))),IF($N126=Lists!$K$3,IF($L126&lt;1,((($T126*(1-$F126)+$S126*(1-$G126))/$L126)*((1+Inputs!$D$7)^BS$2)),((INT(BS$2/$L126)-INT((BS$2-1)/$L126))*($T126*(1-$F126)+$S126*(1-$G126))*((1+Inputs!$D$7)^BS$2))),((Inputs!$D$8^((1-_xlfn.WEIBULL.DIST(BS$2,$M126,$L126,FALSE))/_xlfn.WEIBULL.DIST(BS$2,$M126,$L126,FALSE))*($T126*(1-$F126)+$S126*(1-$G126))*((1+Inputs!$D$7)^BS$2))))))))</f>
        <v>36.011484590163931</v>
      </c>
      <c r="BT126" s="88">
        <f>MAX(AD126,($E126*IF(BT$2&gt;Inputs!$D$5,0,IF(BT$2&gt;VLOOKUP($H126,Lists!$P$3:$Q$7,2),IF($N126=Lists!$K$3,IF($L126&lt;1,(($U126/$L126)*((1+Inputs!$D$7)^BT$2)),((INT(BT$2/$L126)-INT((BT$2-1)/$L126))*$U126*((1+Inputs!$D$7)^BT$2))),(Inputs!$D$8^((1-_xlfn.WEIBULL.DIST(BT$2,$M126,$L126,FALSE))/_xlfn.WEIBULL.DIST(BT$2,$M126,$L126,FALSE))*$U126*((1+Inputs!$D$7)^BT$2))),IF($N126=Lists!$K$3,IF($L126&lt;1,((($T126*(1-$F126)+$S126*(1-$G126))/$L126)*((1+Inputs!$D$7)^BT$2)),((INT(BT$2/$L126)-INT((BT$2-1)/$L126))*($T126*(1-$F126)+$S126*(1-$G126))*((1+Inputs!$D$7)^BT$2))),((Inputs!$D$8^((1-_xlfn.WEIBULL.DIST(BT$2,$M126,$L126,FALSE))/_xlfn.WEIBULL.DIST(BT$2,$M126,$L126,FALSE))*($T126*(1-$F126)+$S126*(1-$G126))*((1+Inputs!$D$7)^BT$2))))))))</f>
        <v>36.731714281967214</v>
      </c>
      <c r="BU126" s="88">
        <f>MAX(AE126,($E126*IF(BU$2&gt;Inputs!$D$5,0,IF(BU$2&gt;VLOOKUP($H126,Lists!$P$3:$Q$7,2),IF($N126=Lists!$K$3,IF($L126&lt;1,(($U126/$L126)*((1+Inputs!$D$7)^BU$2)),((INT(BU$2/$L126)-INT((BU$2-1)/$L126))*$U126*((1+Inputs!$D$7)^BU$2))),(Inputs!$D$8^((1-_xlfn.WEIBULL.DIST(BU$2,$M126,$L126,FALSE))/_xlfn.WEIBULL.DIST(BU$2,$M126,$L126,FALSE))*$U126*((1+Inputs!$D$7)^BU$2))),IF($N126=Lists!$K$3,IF($L126&lt;1,((($T126*(1-$F126)+$S126*(1-$G126))/$L126)*((1+Inputs!$D$7)^BU$2)),((INT(BU$2/$L126)-INT((BU$2-1)/$L126))*($T126*(1-$F126)+$S126*(1-$G126))*((1+Inputs!$D$7)^BU$2))),((Inputs!$D$8^((1-_xlfn.WEIBULL.DIST(BU$2,$M126,$L126,FALSE))/_xlfn.WEIBULL.DIST(BU$2,$M126,$L126,FALSE))*($T126*(1-$F126)+$S126*(1-$G126))*((1+Inputs!$D$7)^BU$2))))))))</f>
        <v>37.466348567606559</v>
      </c>
      <c r="BV126" s="88">
        <f>MAX(AF126,($E126*IF(BV$2&gt;Inputs!$D$5,0,IF(BV$2&gt;VLOOKUP($H126,Lists!$P$3:$Q$7,2),IF($N126=Lists!$K$3,IF($L126&lt;1,(($U126/$L126)*((1+Inputs!$D$7)^BV$2)),((INT(BV$2/$L126)-INT((BV$2-1)/$L126))*$U126*((1+Inputs!$D$7)^BV$2))),(Inputs!$D$8^((1-_xlfn.WEIBULL.DIST(BV$2,$M126,$L126,FALSE))/_xlfn.WEIBULL.DIST(BV$2,$M126,$L126,FALSE))*$U126*((1+Inputs!$D$7)^BV$2))),IF($N126=Lists!$K$3,IF($L126&lt;1,((($T126*(1-$F126)+$S126*(1-$G126))/$L126)*((1+Inputs!$D$7)^BV$2)),((INT(BV$2/$L126)-INT((BV$2-1)/$L126))*($T126*(1-$F126)+$S126*(1-$G126))*((1+Inputs!$D$7)^BV$2))),((Inputs!$D$8^((1-_xlfn.WEIBULL.DIST(BV$2,$M126,$L126,FALSE))/_xlfn.WEIBULL.DIST(BV$2,$M126,$L126,FALSE))*($T126*(1-$F126)+$S126*(1-$G126))*((1+Inputs!$D$7)^BV$2))))))))</f>
        <v>38.215675538958692</v>
      </c>
      <c r="BW126" s="88">
        <f>MAX(AG126,($E126*IF(BW$2&gt;Inputs!$D$5,0,IF(BW$2&gt;VLOOKUP($H126,Lists!$P$3:$Q$7,2),IF($N126=Lists!$K$3,IF($L126&lt;1,(($U126/$L126)*((1+Inputs!$D$7)^BW$2)),((INT(BW$2/$L126)-INT((BW$2-1)/$L126))*$U126*((1+Inputs!$D$7)^BW$2))),(Inputs!$D$8^((1-_xlfn.WEIBULL.DIST(BW$2,$M126,$L126,FALSE))/_xlfn.WEIBULL.DIST(BW$2,$M126,$L126,FALSE))*$U126*((1+Inputs!$D$7)^BW$2))),IF($N126=Lists!$K$3,IF($L126&lt;1,((($T126*(1-$F126)+$S126*(1-$G126))/$L126)*((1+Inputs!$D$7)^BW$2)),((INT(BW$2/$L126)-INT((BW$2-1)/$L126))*($T126*(1-$F126)+$S126*(1-$G126))*((1+Inputs!$D$7)^BW$2))),((Inputs!$D$8^((1-_xlfn.WEIBULL.DIST(BW$2,$M126,$L126,FALSE))/_xlfn.WEIBULL.DIST(BW$2,$M126,$L126,FALSE))*($T126*(1-$F126)+$S126*(1-$G126))*((1+Inputs!$D$7)^BW$2))))))))</f>
        <v>38.97998904973786</v>
      </c>
      <c r="BX126" s="88">
        <f>MAX(AH126,($E126*IF(BX$2&gt;Inputs!$D$5,0,IF(BX$2&gt;VLOOKUP($H126,Lists!$P$3:$Q$7,2),IF($N126=Lists!$K$3,IF($L126&lt;1,(($U126/$L126)*((1+Inputs!$D$7)^BX$2)),((INT(BX$2/$L126)-INT((BX$2-1)/$L126))*$U126*((1+Inputs!$D$7)^BX$2))),(Inputs!$D$8^((1-_xlfn.WEIBULL.DIST(BX$2,$M126,$L126,FALSE))/_xlfn.WEIBULL.DIST(BX$2,$M126,$L126,FALSE))*$U126*((1+Inputs!$D$7)^BX$2))),IF($N126=Lists!$K$3,IF($L126&lt;1,((($T126*(1-$F126)+$S126*(1-$G126))/$L126)*((1+Inputs!$D$7)^BX$2)),((INT(BX$2/$L126)-INT((BX$2-1)/$L126))*($T126*(1-$F126)+$S126*(1-$G126))*((1+Inputs!$D$7)^BX$2))),((Inputs!$D$8^((1-_xlfn.WEIBULL.DIST(BX$2,$M126,$L126,FALSE))/_xlfn.WEIBULL.DIST(BX$2,$M126,$L126,FALSE))*($T126*(1-$F126)+$S126*(1-$G126))*((1+Inputs!$D$7)^BX$2))))))))</f>
        <v>39.759588830732618</v>
      </c>
      <c r="BY126" s="88">
        <f>MAX(AI126,($E126*IF(BY$2&gt;Inputs!$D$5,0,IF(BY$2&gt;VLOOKUP($H126,Lists!$P$3:$Q$7,2),IF($N126=Lists!$K$3,IF($L126&lt;1,(($U126/$L126)*((1+Inputs!$D$7)^BY$2)),((INT(BY$2/$L126)-INT((BY$2-1)/$L126))*$U126*((1+Inputs!$D$7)^BY$2))),(Inputs!$D$8^((1-_xlfn.WEIBULL.DIST(BY$2,$M126,$L126,FALSE))/_xlfn.WEIBULL.DIST(BY$2,$M126,$L126,FALSE))*$U126*((1+Inputs!$D$7)^BY$2))),IF($N126=Lists!$K$3,IF($L126&lt;1,((($T126*(1-$F126)+$S126*(1-$G126))/$L126)*((1+Inputs!$D$7)^BY$2)),((INT(BY$2/$L126)-INT((BY$2-1)/$L126))*($T126*(1-$F126)+$S126*(1-$G126))*((1+Inputs!$D$7)^BY$2))),((Inputs!$D$8^((1-_xlfn.WEIBULL.DIST(BY$2,$M126,$L126,FALSE))/_xlfn.WEIBULL.DIST(BY$2,$M126,$L126,FALSE))*($T126*(1-$F126)+$S126*(1-$G126))*((1+Inputs!$D$7)^BY$2))))))))</f>
        <v>40.554780607347269</v>
      </c>
      <c r="BZ126" s="88">
        <f>MAX(AJ126,($E126*IF(BZ$2&gt;Inputs!$D$5,0,IF(BZ$2&gt;VLOOKUP($H126,Lists!$P$3:$Q$7,2),IF($N126=Lists!$K$3,IF($L126&lt;1,(($U126/$L126)*((1+Inputs!$D$7)^BZ$2)),((INT(BZ$2/$L126)-INT((BZ$2-1)/$L126))*$U126*((1+Inputs!$D$7)^BZ$2))),(Inputs!$D$8^((1-_xlfn.WEIBULL.DIST(BZ$2,$M126,$L126,FALSE))/_xlfn.WEIBULL.DIST(BZ$2,$M126,$L126,FALSE))*$U126*((1+Inputs!$D$7)^BZ$2))),IF($N126=Lists!$K$3,IF($L126&lt;1,((($T126*(1-$F126)+$S126*(1-$G126))/$L126)*((1+Inputs!$D$7)^BZ$2)),((INT(BZ$2/$L126)-INT((BZ$2-1)/$L126))*($T126*(1-$F126)+$S126*(1-$G126))*((1+Inputs!$D$7)^BZ$2))),((Inputs!$D$8^((1-_xlfn.WEIBULL.DIST(BZ$2,$M126,$L126,FALSE))/_xlfn.WEIBULL.DIST(BZ$2,$M126,$L126,FALSE))*($T126*(1-$F126)+$S126*(1-$G126))*((1+Inputs!$D$7)^BZ$2))))))))</f>
        <v>41.365876219494218</v>
      </c>
      <c r="CA126" s="88">
        <f>MAX(AK126,($E126*IF(CA$2&gt;Inputs!$D$5,0,IF(CA$2&gt;VLOOKUP($H126,Lists!$P$3:$Q$7,2),IF($N126=Lists!$K$3,IF($L126&lt;1,(($U126/$L126)*((1+Inputs!$D$7)^CA$2)),((INT(CA$2/$L126)-INT((CA$2-1)/$L126))*$U126*((1+Inputs!$D$7)^CA$2))),(Inputs!$D$8^((1-_xlfn.WEIBULL.DIST(CA$2,$M126,$L126,FALSE))/_xlfn.WEIBULL.DIST(CA$2,$M126,$L126,FALSE))*$U126*((1+Inputs!$D$7)^CA$2))),IF($N126=Lists!$K$3,IF($L126&lt;1,((($T126*(1-$F126)+$S126*(1-$G126))/$L126)*((1+Inputs!$D$7)^CA$2)),((INT(CA$2/$L126)-INT((CA$2-1)/$L126))*($T126*(1-$F126)+$S126*(1-$G126))*((1+Inputs!$D$7)^CA$2))),((Inputs!$D$8^((1-_xlfn.WEIBULL.DIST(CA$2,$M126,$L126,FALSE))/_xlfn.WEIBULL.DIST(CA$2,$M126,$L126,FALSE))*($T126*(1-$F126)+$S126*(1-$G126))*((1+Inputs!$D$7)^CA$2))))))))</f>
        <v>42.193193743884095</v>
      </c>
      <c r="CB126" s="88">
        <f>MAX(AL126,($E126*IF(CB$2&gt;Inputs!$D$5,0,IF(CB$2&gt;VLOOKUP($H126,Lists!$P$3:$Q$7,2),IF($N126=Lists!$K$3,IF($L126&lt;1,(($U126/$L126)*((1+Inputs!$D$7)^CB$2)),((INT(CB$2/$L126)-INT((CB$2-1)/$L126))*$U126*((1+Inputs!$D$7)^CB$2))),(Inputs!$D$8^((1-_xlfn.WEIBULL.DIST(CB$2,$M126,$L126,FALSE))/_xlfn.WEIBULL.DIST(CB$2,$M126,$L126,FALSE))*$U126*((1+Inputs!$D$7)^CB$2))),IF($N126=Lists!$K$3,IF($L126&lt;1,((($T126*(1-$F126)+$S126*(1-$G126))/$L126)*((1+Inputs!$D$7)^CB$2)),((INT(CB$2/$L126)-INT((CB$2-1)/$L126))*($T126*(1-$F126)+$S126*(1-$G126))*((1+Inputs!$D$7)^CB$2))),((Inputs!$D$8^((1-_xlfn.WEIBULL.DIST(CB$2,$M126,$L126,FALSE))/_xlfn.WEIBULL.DIST(CB$2,$M126,$L126,FALSE))*($T126*(1-$F126)+$S126*(1-$G126))*((1+Inputs!$D$7)^CB$2))))))))</f>
        <v>43.037057618761786</v>
      </c>
      <c r="CC126" s="88">
        <f>MAX(AM126,($E126*IF(CC$2&gt;Inputs!$D$5,0,IF(CC$2&gt;VLOOKUP($H126,Lists!$P$3:$Q$7,2),IF($N126=Lists!$K$3,IF($L126&lt;1,(($U126/$L126)*((1+Inputs!$D$7)^CC$2)),((INT(CC$2/$L126)-INT((CC$2-1)/$L126))*$U126*((1+Inputs!$D$7)^CC$2))),(Inputs!$D$8^((1-_xlfn.WEIBULL.DIST(CC$2,$M126,$L126,FALSE))/_xlfn.WEIBULL.DIST(CC$2,$M126,$L126,FALSE))*$U126*((1+Inputs!$D$7)^CC$2))),IF($N126=Lists!$K$3,IF($L126&lt;1,((($T126*(1-$F126)+$S126*(1-$G126))/$L126)*((1+Inputs!$D$7)^CC$2)),((INT(CC$2/$L126)-INT((CC$2-1)/$L126))*($T126*(1-$F126)+$S126*(1-$G126))*((1+Inputs!$D$7)^CC$2))),((Inputs!$D$8^((1-_xlfn.WEIBULL.DIST(CC$2,$M126,$L126,FALSE))/_xlfn.WEIBULL.DIST(CC$2,$M126,$L126,FALSE))*($T126*(1-$F126)+$S126*(1-$G126))*((1+Inputs!$D$7)^CC$2))))))))</f>
        <v>43.897798771137019</v>
      </c>
      <c r="CD126" s="88">
        <f>MAX(AN126,($E126*IF(CD$2&gt;Inputs!$D$5,0,IF(CD$2&gt;VLOOKUP($H126,Lists!$P$3:$Q$7,2),IF($N126=Lists!$K$3,IF($L126&lt;1,(($U126/$L126)*((1+Inputs!$D$7)^CD$2)),((INT(CD$2/$L126)-INT((CD$2-1)/$L126))*$U126*((1+Inputs!$D$7)^CD$2))),(Inputs!$D$8^((1-_xlfn.WEIBULL.DIST(CD$2,$M126,$L126,FALSE))/_xlfn.WEIBULL.DIST(CD$2,$M126,$L126,FALSE))*$U126*((1+Inputs!$D$7)^CD$2))),IF($N126=Lists!$K$3,IF($L126&lt;1,((($T126*(1-$F126)+$S126*(1-$G126))/$L126)*((1+Inputs!$D$7)^CD$2)),((INT(CD$2/$L126)-INT((CD$2-1)/$L126))*($T126*(1-$F126)+$S126*(1-$G126))*((1+Inputs!$D$7)^CD$2))),((Inputs!$D$8^((1-_xlfn.WEIBULL.DIST(CD$2,$M126,$L126,FALSE))/_xlfn.WEIBULL.DIST(CD$2,$M126,$L126,FALSE))*($T126*(1-$F126)+$S126*(1-$G126))*((1+Inputs!$D$7)^CD$2))))))))</f>
        <v>44.775754746559763</v>
      </c>
      <c r="CE126" s="88">
        <f>MAX(AO126,($E126*IF(CE$2&gt;Inputs!$D$5,0,IF(CE$2&gt;VLOOKUP($H126,Lists!$P$3:$Q$7,2),IF($N126=Lists!$K$3,IF($L126&lt;1,(($U126/$L126)*((1+Inputs!$D$7)^CE$2)),((INT(CE$2/$L126)-INT((CE$2-1)/$L126))*$U126*((1+Inputs!$D$7)^CE$2))),(Inputs!$D$8^((1-_xlfn.WEIBULL.DIST(CE$2,$M126,$L126,FALSE))/_xlfn.WEIBULL.DIST(CE$2,$M126,$L126,FALSE))*$U126*((1+Inputs!$D$7)^CE$2))),IF($N126=Lists!$K$3,IF($L126&lt;1,((($T126*(1-$F126)+$S126*(1-$G126))/$L126)*((1+Inputs!$D$7)^CE$2)),((INT(CE$2/$L126)-INT((CE$2-1)/$L126))*($T126*(1-$F126)+$S126*(1-$G126))*((1+Inputs!$D$7)^CE$2))),((Inputs!$D$8^((1-_xlfn.WEIBULL.DIST(CE$2,$M126,$L126,FALSE))/_xlfn.WEIBULL.DIST(CE$2,$M126,$L126,FALSE))*($T126*(1-$F126)+$S126*(1-$G126))*((1+Inputs!$D$7)^CE$2))))))))</f>
        <v>45.671269841490947</v>
      </c>
      <c r="CF126" s="88">
        <f>MAX(AP126,($E126*IF(CF$2&gt;Inputs!$D$5,0,IF(CF$2&gt;VLOOKUP($H126,Lists!$P$3:$Q$7,2),IF($N126=Lists!$K$3,IF($L126&lt;1,(($U126/$L126)*((1+Inputs!$D$7)^CF$2)),((INT(CF$2/$L126)-INT((CF$2-1)/$L126))*$U126*((1+Inputs!$D$7)^CF$2))),(Inputs!$D$8^((1-_xlfn.WEIBULL.DIST(CF$2,$M126,$L126,FALSE))/_xlfn.WEIBULL.DIST(CF$2,$M126,$L126,FALSE))*$U126*((1+Inputs!$D$7)^CF$2))),IF($N126=Lists!$K$3,IF($L126&lt;1,((($T126*(1-$F126)+$S126*(1-$G126))/$L126)*((1+Inputs!$D$7)^CF$2)),((INT(CF$2/$L126)-INT((CF$2-1)/$L126))*($T126*(1-$F126)+$S126*(1-$G126))*((1+Inputs!$D$7)^CF$2))),((Inputs!$D$8^((1-_xlfn.WEIBULL.DIST(CF$2,$M126,$L126,FALSE))/_xlfn.WEIBULL.DIST(CF$2,$M126,$L126,FALSE))*($T126*(1-$F126)+$S126*(1-$G126))*((1+Inputs!$D$7)^CF$2))))))))</f>
        <v>46.584695238320769</v>
      </c>
      <c r="CG126" s="88">
        <f>MAX(AQ126,($E126*IF(CG$2&gt;Inputs!$D$5,0,IF(CG$2&gt;VLOOKUP($H126,Lists!$P$3:$Q$7,2),IF($N126=Lists!$K$3,IF($L126&lt;1,(($U126/$L126)*((1+Inputs!$D$7)^CG$2)),((INT(CG$2/$L126)-INT((CG$2-1)/$L126))*$U126*((1+Inputs!$D$7)^CG$2))),(Inputs!$D$8^((1-_xlfn.WEIBULL.DIST(CG$2,$M126,$L126,FALSE))/_xlfn.WEIBULL.DIST(CG$2,$M126,$L126,FALSE))*$U126*((1+Inputs!$D$7)^CG$2))),IF($N126=Lists!$K$3,IF($L126&lt;1,((($T126*(1-$F126)+$S126*(1-$G126))/$L126)*((1+Inputs!$D$7)^CG$2)),((INT(CG$2/$L126)-INT((CG$2-1)/$L126))*($T126*(1-$F126)+$S126*(1-$G126))*((1+Inputs!$D$7)^CG$2))),((Inputs!$D$8^((1-_xlfn.WEIBULL.DIST(CG$2,$M126,$L126,FALSE))/_xlfn.WEIBULL.DIST(CG$2,$M126,$L126,FALSE))*($T126*(1-$F126)+$S126*(1-$G126))*((1+Inputs!$D$7)^CG$2))))))))</f>
        <v>47.516389143087189</v>
      </c>
      <c r="CH126" s="88">
        <f>MAX(AR126,($E126*IF(CH$2&gt;Inputs!$D$5,0,IF(CH$2&gt;VLOOKUP($H126,Lists!$P$3:$Q$7,2),IF($N126=Lists!$K$3,IF($L126&lt;1,(($U126/$L126)*((1+Inputs!$D$7)^CH$2)),((INT(CH$2/$L126)-INT((CH$2-1)/$L126))*$U126*((1+Inputs!$D$7)^CH$2))),(Inputs!$D$8^((1-_xlfn.WEIBULL.DIST(CH$2,$M126,$L126,FALSE))/_xlfn.WEIBULL.DIST(CH$2,$M126,$L126,FALSE))*$U126*((1+Inputs!$D$7)^CH$2))),IF($N126=Lists!$K$3,IF($L126&lt;1,((($T126*(1-$F126)+$S126*(1-$G126))/$L126)*((1+Inputs!$D$7)^CH$2)),((INT(CH$2/$L126)-INT((CH$2-1)/$L126))*($T126*(1-$F126)+$S126*(1-$G126))*((1+Inputs!$D$7)^CH$2))),((Inputs!$D$8^((1-_xlfn.WEIBULL.DIST(CH$2,$M126,$L126,FALSE))/_xlfn.WEIBULL.DIST(CH$2,$M126,$L126,FALSE))*($T126*(1-$F126)+$S126*(1-$G126))*((1+Inputs!$D$7)^CH$2))))))))</f>
        <v>48.46671692594893</v>
      </c>
      <c r="CI126" s="88">
        <f>MAX(AS126,($E126*IF(CI$2&gt;Inputs!$D$5,0,IF(CI$2&gt;VLOOKUP($H126,Lists!$P$3:$Q$7,2),IF($N126=Lists!$K$3,IF($L126&lt;1,(($U126/$L126)*((1+Inputs!$D$7)^CI$2)),((INT(CI$2/$L126)-INT((CI$2-1)/$L126))*$U126*((1+Inputs!$D$7)^CI$2))),(Inputs!$D$8^((1-_xlfn.WEIBULL.DIST(CI$2,$M126,$L126,FALSE))/_xlfn.WEIBULL.DIST(CI$2,$M126,$L126,FALSE))*$U126*((1+Inputs!$D$7)^CI$2))),IF($N126=Lists!$K$3,IF($L126&lt;1,((($T126*(1-$F126)+$S126*(1-$G126))/$L126)*((1+Inputs!$D$7)^CI$2)),((INT(CI$2/$L126)-INT((CI$2-1)/$L126))*($T126*(1-$F126)+$S126*(1-$G126))*((1+Inputs!$D$7)^CI$2))),((Inputs!$D$8^((1-_xlfn.WEIBULL.DIST(CI$2,$M126,$L126,FALSE))/_xlfn.WEIBULL.DIST(CI$2,$M126,$L126,FALSE))*($T126*(1-$F126)+$S126*(1-$G126))*((1+Inputs!$D$7)^CI$2))))))))</f>
        <v>49.436051264467906</v>
      </c>
      <c r="CJ126" s="88">
        <f>MAX(AT126,($E126*IF(CJ$2&gt;Inputs!$D$5,0,IF(CJ$2&gt;VLOOKUP($H126,Lists!$P$3:$Q$7,2),IF($N126=Lists!$K$3,IF($L126&lt;1,(($U126/$L126)*((1+Inputs!$D$7)^CJ$2)),((INT(CJ$2/$L126)-INT((CJ$2-1)/$L126))*$U126*((1+Inputs!$D$7)^CJ$2))),(Inputs!$D$8^((1-_xlfn.WEIBULL.DIST(CJ$2,$M126,$L126,FALSE))/_xlfn.WEIBULL.DIST(CJ$2,$M126,$L126,FALSE))*$U126*((1+Inputs!$D$7)^CJ$2))),IF($N126=Lists!$K$3,IF($L126&lt;1,((($T126*(1-$F126)+$S126*(1-$G126))/$L126)*((1+Inputs!$D$7)^CJ$2)),((INT(CJ$2/$L126)-INT((CJ$2-1)/$L126))*($T126*(1-$F126)+$S126*(1-$G126))*((1+Inputs!$D$7)^CJ$2))),((Inputs!$D$8^((1-_xlfn.WEIBULL.DIST(CJ$2,$M126,$L126,FALSE))/_xlfn.WEIBULL.DIST(CJ$2,$M126,$L126,FALSE))*($T126*(1-$F126)+$S126*(1-$G126))*((1+Inputs!$D$7)^CJ$2))))))))</f>
        <v>50.424772289757264</v>
      </c>
      <c r="CK126" s="88">
        <f>MAX(AU126,($E126*IF(CK$2&gt;Inputs!$D$5,0,IF(CK$2&gt;VLOOKUP($H126,Lists!$P$3:$Q$7,2),IF($N126=Lists!$K$3,IF($L126&lt;1,(($U126/$L126)*((1+Inputs!$D$7)^CK$2)),((INT(CK$2/$L126)-INT((CK$2-1)/$L126))*$U126*((1+Inputs!$D$7)^CK$2))),(Inputs!$D$8^((1-_xlfn.WEIBULL.DIST(CK$2,$M126,$L126,FALSE))/_xlfn.WEIBULL.DIST(CK$2,$M126,$L126,FALSE))*$U126*((1+Inputs!$D$7)^CK$2))),IF($N126=Lists!$K$3,IF($L126&lt;1,((($T126*(1-$F126)+$S126*(1-$G126))/$L126)*((1+Inputs!$D$7)^CK$2)),((INT(CK$2/$L126)-INT((CK$2-1)/$L126))*($T126*(1-$F126)+$S126*(1-$G126))*((1+Inputs!$D$7)^CK$2))),((Inputs!$D$8^((1-_xlfn.WEIBULL.DIST(CK$2,$M126,$L126,FALSE))/_xlfn.WEIBULL.DIST(CK$2,$M126,$L126,FALSE))*($T126*(1-$F126)+$S126*(1-$G126))*((1+Inputs!$D$7)^CK$2))))))))</f>
        <v>51.433267735552413</v>
      </c>
      <c r="CL126" s="88">
        <f>MAX(AV126,($E126*IF(CL$2&gt;Inputs!$D$5,0,IF(CL$2&gt;VLOOKUP($H126,Lists!$P$3:$Q$7,2),IF($N126=Lists!$K$3,IF($L126&lt;1,(($U126/$L126)*((1+Inputs!$D$7)^CL$2)),((INT(CL$2/$L126)-INT((CL$2-1)/$L126))*$U126*((1+Inputs!$D$7)^CL$2))),(Inputs!$D$8^((1-_xlfn.WEIBULL.DIST(CL$2,$M126,$L126,FALSE))/_xlfn.WEIBULL.DIST(CL$2,$M126,$L126,FALSE))*$U126*((1+Inputs!$D$7)^CL$2))),IF($N126=Lists!$K$3,IF($L126&lt;1,((($T126*(1-$F126)+$S126*(1-$G126))/$L126)*((1+Inputs!$D$7)^CL$2)),((INT(CL$2/$L126)-INT((CL$2-1)/$L126))*($T126*(1-$F126)+$S126*(1-$G126))*((1+Inputs!$D$7)^CL$2))),((Inputs!$D$8^((1-_xlfn.WEIBULL.DIST(CL$2,$M126,$L126,FALSE))/_xlfn.WEIBULL.DIST(CL$2,$M126,$L126,FALSE))*($T126*(1-$F126)+$S126*(1-$G126))*((1+Inputs!$D$7)^CL$2))))))))</f>
        <v>52.461933090263457</v>
      </c>
      <c r="CM126" s="88">
        <f>MAX(AW126,($E126*IF(CM$2&gt;Inputs!$D$5,0,IF(CM$2&gt;VLOOKUP($H126,Lists!$P$3:$Q$7,2),IF($N126=Lists!$K$3,IF($L126&lt;1,(($U126/$L126)*((1+Inputs!$D$7)^CM$2)),((INT(CM$2/$L126)-INT((CM$2-1)/$L126))*$U126*((1+Inputs!$D$7)^CM$2))),(Inputs!$D$8^((1-_xlfn.WEIBULL.DIST(CM$2,$M126,$L126,FALSE))/_xlfn.WEIBULL.DIST(CM$2,$M126,$L126,FALSE))*$U126*((1+Inputs!$D$7)^CM$2))),IF($N126=Lists!$K$3,IF($L126&lt;1,((($T126*(1-$F126)+$S126*(1-$G126))/$L126)*((1+Inputs!$D$7)^CM$2)),((INT(CM$2/$L126)-INT((CM$2-1)/$L126))*($T126*(1-$F126)+$S126*(1-$G126))*((1+Inputs!$D$7)^CM$2))),((Inputs!$D$8^((1-_xlfn.WEIBULL.DIST(CM$2,$M126,$L126,FALSE))/_xlfn.WEIBULL.DIST(CM$2,$M126,$L126,FALSE))*($T126*(1-$F126)+$S126*(1-$G126))*((1+Inputs!$D$7)^CM$2))))))))</f>
        <v>53.511171752068719</v>
      </c>
      <c r="CN126" s="88">
        <f>MAX(AX126,($E126*IF(CN$2&gt;Inputs!$D$5,0,IF(CN$2&gt;VLOOKUP($H126,Lists!$P$3:$Q$7,2),IF($N126=Lists!$K$3,IF($L126&lt;1,(($U126/$L126)*((1+Inputs!$D$7)^CN$2)),((INT(CN$2/$L126)-INT((CN$2-1)/$L126))*$U126*((1+Inputs!$D$7)^CN$2))),(Inputs!$D$8^((1-_xlfn.WEIBULL.DIST(CN$2,$M126,$L126,FALSE))/_xlfn.WEIBULL.DIST(CN$2,$M126,$L126,FALSE))*$U126*((1+Inputs!$D$7)^CN$2))),IF($N126=Lists!$K$3,IF($L126&lt;1,((($T126*(1-$F126)+$S126*(1-$G126))/$L126)*((1+Inputs!$D$7)^CN$2)),((INT(CN$2/$L126)-INT((CN$2-1)/$L126))*($T126*(1-$F126)+$S126*(1-$G126))*((1+Inputs!$D$7)^CN$2))),((Inputs!$D$8^((1-_xlfn.WEIBULL.DIST(CN$2,$M126,$L126,FALSE))/_xlfn.WEIBULL.DIST(CN$2,$M126,$L126,FALSE))*($T126*(1-$F126)+$S126*(1-$G126))*((1+Inputs!$D$7)^CN$2))))))))</f>
        <v>54.581395187110097</v>
      </c>
      <c r="CO126" s="88">
        <f>MAX(AY126,($E126*IF(CO$2&gt;Inputs!$D$5,0,IF(CO$2&gt;VLOOKUP($H126,Lists!$P$3:$Q$7,2),IF($N126=Lists!$K$3,IF($L126&lt;1,(($U126/$L126)*((1+Inputs!$D$7)^CO$2)),((INT(CO$2/$L126)-INT((CO$2-1)/$L126))*$U126*((1+Inputs!$D$7)^CO$2))),(Inputs!$D$8^((1-_xlfn.WEIBULL.DIST(CO$2,$M126,$L126,FALSE))/_xlfn.WEIBULL.DIST(CO$2,$M126,$L126,FALSE))*$U126*((1+Inputs!$D$7)^CO$2))),IF($N126=Lists!$K$3,IF($L126&lt;1,((($T126*(1-$F126)+$S126*(1-$G126))/$L126)*((1+Inputs!$D$7)^CO$2)),((INT(CO$2/$L126)-INT((CO$2-1)/$L126))*($T126*(1-$F126)+$S126*(1-$G126))*((1+Inputs!$D$7)^CO$2))),((Inputs!$D$8^((1-_xlfn.WEIBULL.DIST(CO$2,$M126,$L126,FALSE))/_xlfn.WEIBULL.DIST(CO$2,$M126,$L126,FALSE))*($T126*(1-$F126)+$S126*(1-$G126))*((1+Inputs!$D$7)^CO$2))))))))</f>
        <v>55.673023090852297</v>
      </c>
      <c r="CP126" s="88">
        <f>MAX(AZ126,($E126*IF(CP$2&gt;Inputs!$D$5,0,IF(CP$2&gt;VLOOKUP($H126,Lists!$P$3:$Q$7,2),IF($N126=Lists!$K$3,IF($L126&lt;1,(($U126/$L126)*((1+Inputs!$D$7)^CP$2)),((INT(CP$2/$L126)-INT((CP$2-1)/$L126))*$U126*((1+Inputs!$D$7)^CP$2))),(Inputs!$D$8^((1-_xlfn.WEIBULL.DIST(CP$2,$M126,$L126,FALSE))/_xlfn.WEIBULL.DIST(CP$2,$M126,$L126,FALSE))*$U126*((1+Inputs!$D$7)^CP$2))),IF($N126=Lists!$K$3,IF($L126&lt;1,((($T126*(1-$F126)+$S126*(1-$G126))/$L126)*((1+Inputs!$D$7)^CP$2)),((INT(CP$2/$L126)-INT((CP$2-1)/$L126))*($T126*(1-$F126)+$S126*(1-$G126))*((1+Inputs!$D$7)^CP$2))),((Inputs!$D$8^((1-_xlfn.WEIBULL.DIST(CP$2,$M126,$L126,FALSE))/_xlfn.WEIBULL.DIST(CP$2,$M126,$L126,FALSE))*($T126*(1-$F126)+$S126*(1-$G126))*((1+Inputs!$D$7)^CP$2))))))))</f>
        <v>0</v>
      </c>
      <c r="CQ126" s="88">
        <f>MAX(BA126,($E126*IF(CQ$2&gt;Inputs!$D$5,0,IF(CQ$2&gt;VLOOKUP($H126,Lists!$P$3:$Q$7,2),IF($N126=Lists!$K$3,IF($L126&lt;1,(($U126/$L126)*((1+Inputs!$D$7)^CQ$2)),((INT(CQ$2/$L126)-INT((CQ$2-1)/$L126))*$U126*((1+Inputs!$D$7)^CQ$2))),(Inputs!$D$8^((1-_xlfn.WEIBULL.DIST(CQ$2,$M126,$L126,FALSE))/_xlfn.WEIBULL.DIST(CQ$2,$M126,$L126,FALSE))*$U126*((1+Inputs!$D$7)^CQ$2))),IF($N126=Lists!$K$3,IF($L126&lt;1,((($T126*(1-$F126)+$S126*(1-$G126))/$L126)*((1+Inputs!$D$7)^CQ$2)),((INT(CQ$2/$L126)-INT((CQ$2-1)/$L126))*($T126*(1-$F126)+$S126*(1-$G126))*((1+Inputs!$D$7)^CQ$2))),((Inputs!$D$8^((1-_xlfn.WEIBULL.DIST(CQ$2,$M126,$L126,FALSE))/_xlfn.WEIBULL.DIST(CQ$2,$M126,$L126,FALSE))*($T126*(1-$F126)+$S126*(1-$G126))*((1+Inputs!$D$7)^CQ$2))))))))</f>
        <v>0</v>
      </c>
      <c r="CR126" s="88">
        <f>MAX(BB126,($E126*IF(CR$2&gt;Inputs!$D$5,0,IF(CR$2&gt;VLOOKUP($H126,Lists!$P$3:$Q$7,2),IF($N126=Lists!$K$3,IF($L126&lt;1,(($U126/$L126)*((1+Inputs!$D$7)^CR$2)),((INT(CR$2/$L126)-INT((CR$2-1)/$L126))*$U126*((1+Inputs!$D$7)^CR$2))),(Inputs!$D$8^((1-_xlfn.WEIBULL.DIST(CR$2,$M126,$L126,FALSE))/_xlfn.WEIBULL.DIST(CR$2,$M126,$L126,FALSE))*$U126*((1+Inputs!$D$7)^CR$2))),IF($N126=Lists!$K$3,IF($L126&lt;1,((($T126*(1-$F126)+$S126*(1-$G126))/$L126)*((1+Inputs!$D$7)^CR$2)),((INT(CR$2/$L126)-INT((CR$2-1)/$L126))*($T126*(1-$F126)+$S126*(1-$G126))*((1+Inputs!$D$7)^CR$2))),((Inputs!$D$8^((1-_xlfn.WEIBULL.DIST(CR$2,$M126,$L126,FALSE))/_xlfn.WEIBULL.DIST(CR$2,$M126,$L126,FALSE))*($T126*(1-$F126)+$S126*(1-$G126))*((1+Inputs!$D$7)^CR$2))))))))</f>
        <v>0</v>
      </c>
      <c r="CS126" s="88">
        <f>MAX(BC126,($E126*IF(CS$2&gt;Inputs!$D$5,0,IF(CS$2&gt;VLOOKUP($H126,Lists!$P$3:$Q$7,2),IF($N126=Lists!$K$3,IF($L126&lt;1,(($U126/$L126)*((1+Inputs!$D$7)^CS$2)),((INT(CS$2/$L126)-INT((CS$2-1)/$L126))*$U126*((1+Inputs!$D$7)^CS$2))),(Inputs!$D$8^((1-_xlfn.WEIBULL.DIST(CS$2,$M126,$L126,FALSE))/_xlfn.WEIBULL.DIST(CS$2,$M126,$L126,FALSE))*$U126*((1+Inputs!$D$7)^CS$2))),IF($N126=Lists!$K$3,IF($L126&lt;1,((($T126*(1-$F126)+$S126*(1-$G126))/$L126)*((1+Inputs!$D$7)^CS$2)),((INT(CS$2/$L126)-INT((CS$2-1)/$L126))*($T126*(1-$F126)+$S126*(1-$G126))*((1+Inputs!$D$7)^CS$2))),((Inputs!$D$8^((1-_xlfn.WEIBULL.DIST(CS$2,$M126,$L126,FALSE))/_xlfn.WEIBULL.DIST(CS$2,$M126,$L126,FALSE))*($T126*(1-$F126)+$S126*(1-$G126))*((1+Inputs!$D$7)^CS$2))))))))</f>
        <v>0</v>
      </c>
      <c r="CT126" s="88">
        <f>MAX(BD126,($E126*IF(CT$2&gt;Inputs!$D$5,0,IF(CT$2&gt;VLOOKUP($H126,Lists!$P$3:$Q$7,2),IF($N126=Lists!$K$3,IF($L126&lt;1,(($U126/$L126)*((1+Inputs!$D$7)^CT$2)),((INT(CT$2/$L126)-INT((CT$2-1)/$L126))*$U126*((1+Inputs!$D$7)^CT$2))),(Inputs!$D$8^((1-_xlfn.WEIBULL.DIST(CT$2,$M126,$L126,FALSE))/_xlfn.WEIBULL.DIST(CT$2,$M126,$L126,FALSE))*$U126*((1+Inputs!$D$7)^CT$2))),IF($N126=Lists!$K$3,IF($L126&lt;1,((($T126*(1-$F126)+$S126*(1-$G126))/$L126)*((1+Inputs!$D$7)^CT$2)),((INT(CT$2/$L126)-INT((CT$2-1)/$L126))*($T126*(1-$F126)+$S126*(1-$G126))*((1+Inputs!$D$7)^CT$2))),((Inputs!$D$8^((1-_xlfn.WEIBULL.DIST(CT$2,$M126,$L126,FALSE))/_xlfn.WEIBULL.DIST(CT$2,$M126,$L126,FALSE))*($T126*(1-$F126)+$S126*(1-$G126))*((1+Inputs!$D$7)^CT$2))))))))</f>
        <v>0</v>
      </c>
      <c r="CU126" s="88">
        <f>MAX(BE126,($E126*IF(CU$2&gt;Inputs!$D$5,0,IF(CU$2&gt;VLOOKUP($H126,Lists!$P$3:$Q$7,2),IF($N126=Lists!$K$3,IF($L126&lt;1,(($U126/$L126)*((1+Inputs!$D$7)^CU$2)),((INT(CU$2/$L126)-INT((CU$2-1)/$L126))*$U126*((1+Inputs!$D$7)^CU$2))),(Inputs!$D$8^((1-_xlfn.WEIBULL.DIST(CU$2,$M126,$L126,FALSE))/_xlfn.WEIBULL.DIST(CU$2,$M126,$L126,FALSE))*$U126*((1+Inputs!$D$7)^CU$2))),IF($N126=Lists!$K$3,IF($L126&lt;1,((($T126*(1-$F126)+$S126*(1-$G126))/$L126)*((1+Inputs!$D$7)^CU$2)),((INT(CU$2/$L126)-INT((CU$2-1)/$L126))*($T126*(1-$F126)+$S126*(1-$G126))*((1+Inputs!$D$7)^CU$2))),((Inputs!$D$8^((1-_xlfn.WEIBULL.DIST(CU$2,$M126,$L126,FALSE))/_xlfn.WEIBULL.DIST(CU$2,$M126,$L126,FALSE))*($T126*(1-$F126)+$S126*(1-$G126))*((1+Inputs!$D$7)^CU$2))))))))</f>
        <v>0</v>
      </c>
      <c r="CV126" s="88">
        <f>MAX(BF126,($E126*IF(CV$2&gt;Inputs!$D$5,0,IF(CV$2&gt;VLOOKUP($H126,Lists!$P$3:$Q$7,2),IF($N126=Lists!$K$3,IF($L126&lt;1,(($U126/$L126)*((1+Inputs!$D$7)^CV$2)),((INT(CV$2/$L126)-INT((CV$2-1)/$L126))*$U126*((1+Inputs!$D$7)^CV$2))),(Inputs!$D$8^((1-_xlfn.WEIBULL.DIST(CV$2,$M126,$L126,FALSE))/_xlfn.WEIBULL.DIST(CV$2,$M126,$L126,FALSE))*$U126*((1+Inputs!$D$7)^CV$2))),IF($N126=Lists!$K$3,IF($L126&lt;1,((($T126*(1-$F126)+$S126*(1-$G126))/$L126)*((1+Inputs!$D$7)^CV$2)),((INT(CV$2/$L126)-INT((CV$2-1)/$L126))*($T126*(1-$F126)+$S126*(1-$G126))*((1+Inputs!$D$7)^CV$2))),((Inputs!$D$8^((1-_xlfn.WEIBULL.DIST(CV$2,$M126,$L126,FALSE))/_xlfn.WEIBULL.DIST(CV$2,$M126,$L126,FALSE))*($T126*(1-$F126)+$S126*(1-$G126))*((1+Inputs!$D$7)^CV$2))))))))</f>
        <v>0</v>
      </c>
      <c r="CW126" s="88">
        <f>MAX(BG126,($E126*IF(CW$2&gt;Inputs!$D$5,0,IF(CW$2&gt;VLOOKUP($H126,Lists!$P$3:$Q$7,2),IF($N126=Lists!$K$3,IF($L126&lt;1,(($U126/$L126)*((1+Inputs!$D$7)^CW$2)),((INT(CW$2/$L126)-INT((CW$2-1)/$L126))*$U126*((1+Inputs!$D$7)^CW$2))),(Inputs!$D$8^((1-_xlfn.WEIBULL.DIST(CW$2,$M126,$L126,FALSE))/_xlfn.WEIBULL.DIST(CW$2,$M126,$L126,FALSE))*$U126*((1+Inputs!$D$7)^CW$2))),IF($N126=Lists!$K$3,IF($L126&lt;1,((($T126*(1-$F126)+$S126*(1-$G126))/$L126)*((1+Inputs!$D$7)^CW$2)),((INT(CW$2/$L126)-INT((CW$2-1)/$L126))*($T126*(1-$F126)+$S126*(1-$G126))*((1+Inputs!$D$7)^CW$2))),((Inputs!$D$8^((1-_xlfn.WEIBULL.DIST(CW$2,$M126,$L126,FALSE))/_xlfn.WEIBULL.DIST(CW$2,$M126,$L126,FALSE))*($T126*(1-$F126)+$S126*(1-$G126))*((1+Inputs!$D$7)^CW$2))))))))</f>
        <v>0</v>
      </c>
      <c r="CX126" s="88">
        <f>MAX(BH126,($E126*IF(CX$2&gt;Inputs!$D$5,0,IF(CX$2&gt;VLOOKUP($H126,Lists!$P$3:$Q$7,2),IF($N126=Lists!$K$3,IF($L126&lt;1,(($U126/$L126)*((1+Inputs!$D$7)^CX$2)),((INT(CX$2/$L126)-INT((CX$2-1)/$L126))*$U126*((1+Inputs!$D$7)^CX$2))),(Inputs!$D$8^((1-_xlfn.WEIBULL.DIST(CX$2,$M126,$L126,FALSE))/_xlfn.WEIBULL.DIST(CX$2,$M126,$L126,FALSE))*$U126*((1+Inputs!$D$7)^CX$2))),IF($N126=Lists!$K$3,IF($L126&lt;1,((($T126*(1-$F126)+$S126*(1-$G126))/$L126)*((1+Inputs!$D$7)^CX$2)),((INT(CX$2/$L126)-INT((CX$2-1)/$L126))*($T126*(1-$F126)+$S126*(1-$G126))*((1+Inputs!$D$7)^CX$2))),((Inputs!$D$8^((1-_xlfn.WEIBULL.DIST(CX$2,$M126,$L126,FALSE))/_xlfn.WEIBULL.DIST(CX$2,$M126,$L126,FALSE))*($T126*(1-$F126)+$S126*(1-$G126))*((1+Inputs!$D$7)^CX$2))))))))</f>
        <v>0</v>
      </c>
      <c r="CY126" s="88">
        <f>MAX(BI126,($E126*IF(CY$2&gt;Inputs!$D$5,0,IF(CY$2&gt;VLOOKUP($H126,Lists!$P$3:$Q$7,2),IF($N126=Lists!$K$3,IF($L126&lt;1,(($U126/$L126)*((1+Inputs!$D$7)^CY$2)),((INT(CY$2/$L126)-INT((CY$2-1)/$L126))*$U126*((1+Inputs!$D$7)^CY$2))),(Inputs!$D$8^((1-_xlfn.WEIBULL.DIST(CY$2,$M126,$L126,FALSE))/_xlfn.WEIBULL.DIST(CY$2,$M126,$L126,FALSE))*$U126*((1+Inputs!$D$7)^CY$2))),IF($N126=Lists!$K$3,IF($L126&lt;1,((($T126*(1-$F126)+$S126*(1-$G126))/$L126)*((1+Inputs!$D$7)^CY$2)),((INT(CY$2/$L126)-INT((CY$2-1)/$L126))*($T126*(1-$F126)+$S126*(1-$G126))*((1+Inputs!$D$7)^CY$2))),((Inputs!$D$8^((1-_xlfn.WEIBULL.DIST(CY$2,$M126,$L126,FALSE))/_xlfn.WEIBULL.DIST(CY$2,$M126,$L126,FALSE))*($T126*(1-$F126)+$S126*(1-$G126))*((1+Inputs!$D$7)^CY$2))))))))</f>
        <v>0</v>
      </c>
      <c r="CZ126" s="88">
        <f>MAX(BJ126,($E126*IF(CZ$2&gt;Inputs!$D$5,0,IF(CZ$2&gt;VLOOKUP($H126,Lists!$P$3:$Q$7,2),IF($N126=Lists!$K$3,IF($L126&lt;1,(($U126/$L126)*((1+Inputs!$D$7)^CZ$2)),((INT(CZ$2/$L126)-INT((CZ$2-1)/$L126))*$U126*((1+Inputs!$D$7)^CZ$2))),(Inputs!$D$8^((1-_xlfn.WEIBULL.DIST(CZ$2,$M126,$L126,FALSE))/_xlfn.WEIBULL.DIST(CZ$2,$M126,$L126,FALSE))*$U126*((1+Inputs!$D$7)^CZ$2))),IF($N126=Lists!$K$3,IF($L126&lt;1,((($T126*(1-$F126)+$S126*(1-$G126))/$L126)*((1+Inputs!$D$7)^CZ$2)),((INT(CZ$2/$L126)-INT((CZ$2-1)/$L126))*($T126*(1-$F126)+$S126*(1-$G126))*((1+Inputs!$D$7)^CZ$2))),((Inputs!$D$8^((1-_xlfn.WEIBULL.DIST(CZ$2,$M126,$L126,FALSE))/_xlfn.WEIBULL.DIST(CZ$2,$M126,$L126,FALSE))*($T126*(1-$F126)+$S126*(1-$G126))*((1+Inputs!$D$7)^CZ$2))))))))</f>
        <v>0</v>
      </c>
      <c r="DA126" s="88">
        <f>MAX(BK126,($E126*IF(DA$2&gt;Inputs!$D$5,0,IF(DA$2&gt;VLOOKUP($H126,Lists!$P$3:$Q$7,2),IF($N126=Lists!$K$3,IF($L126&lt;1,(($U126/$L126)*((1+Inputs!$D$7)^DA$2)),((INT(DA$2/$L126)-INT((DA$2-1)/$L126))*$U126*((1+Inputs!$D$7)^DA$2))),(Inputs!$D$8^((1-_xlfn.WEIBULL.DIST(DA$2,$M126,$L126,FALSE))/_xlfn.WEIBULL.DIST(DA$2,$M126,$L126,FALSE))*$U126*((1+Inputs!$D$7)^DA$2))),IF($N126=Lists!$K$3,IF($L126&lt;1,((($T126*(1-$F126)+$S126*(1-$G126))/$L126)*((1+Inputs!$D$7)^DA$2)),((INT(DA$2/$L126)-INT((DA$2-1)/$L126))*($T126*(1-$F126)+$S126*(1-$G126))*((1+Inputs!$D$7)^DA$2))),((Inputs!$D$8^((1-_xlfn.WEIBULL.DIST(DA$2,$M126,$L126,FALSE))/_xlfn.WEIBULL.DIST(DA$2,$M126,$L126,FALSE))*($T126*(1-$F126)+$S126*(1-$G126))*((1+Inputs!$D$7)^DA$2))))))))</f>
        <v>0</v>
      </c>
      <c r="DB126" s="88">
        <f>MAX(BL126,($E126*IF(DB$2&gt;Inputs!$D$5,0,IF(DB$2&gt;VLOOKUP($H126,Lists!$P$3:$Q$7,2),IF($N126=Lists!$K$3,IF($L126&lt;1,(($U126/$L126)*((1+Inputs!$D$7)^DB$2)),((INT(DB$2/$L126)-INT((DB$2-1)/$L126))*$U126*((1+Inputs!$D$7)^DB$2))),(Inputs!$D$8^((1-_xlfn.WEIBULL.DIST(DB$2,$M126,$L126,FALSE))/_xlfn.WEIBULL.DIST(DB$2,$M126,$L126,FALSE))*$U126*((1+Inputs!$D$7)^DB$2))),IF($N126=Lists!$K$3,IF($L126&lt;1,((($T126*(1-$F126)+$S126*(1-$G126))/$L126)*((1+Inputs!$D$7)^DB$2)),((INT(DB$2/$L126)-INT((DB$2-1)/$L126))*($T126*(1-$F126)+$S126*(1-$G126))*((1+Inputs!$D$7)^DB$2))),((Inputs!$D$8^((1-_xlfn.WEIBULL.DIST(DB$2,$M126,$L126,FALSE))/_xlfn.WEIBULL.DIST(DB$2,$M126,$L126,FALSE))*($T126*(1-$F126)+$S126*(1-$G126))*((1+Inputs!$D$7)^DB$2))))))))</f>
        <v>0</v>
      </c>
      <c r="DC126" s="88">
        <f>MAX(BM126,($E126*IF(DC$2&gt;Inputs!$D$5,0,IF(DC$2&gt;VLOOKUP($H126,Lists!$P$3:$Q$7,2),IF($N126=Lists!$K$3,IF($L126&lt;1,(($U126/$L126)*((1+Inputs!$D$7)^DC$2)),((INT(DC$2/$L126)-INT((DC$2-1)/$L126))*$U126*((1+Inputs!$D$7)^DC$2))),(Inputs!$D$8^((1-_xlfn.WEIBULL.DIST(DC$2,$M126,$L126,FALSE))/_xlfn.WEIBULL.DIST(DC$2,$M126,$L126,FALSE))*$U126*((1+Inputs!$D$7)^DC$2))),IF($N126=Lists!$K$3,IF($L126&lt;1,((($T126*(1-$F126)+$S126*(1-$G126))/$L126)*((1+Inputs!$D$7)^DC$2)),((INT(DC$2/$L126)-INT((DC$2-1)/$L126))*($T126*(1-$F126)+$S126*(1-$G126))*((1+Inputs!$D$7)^DC$2))),((Inputs!$D$8^((1-_xlfn.WEIBULL.DIST(DC$2,$M126,$L126,FALSE))/_xlfn.WEIBULL.DIST(DC$2,$M126,$L126,FALSE))*($T126*(1-$F126)+$S126*(1-$G126))*((1+Inputs!$D$7)^DC$2))))))))</f>
        <v>0</v>
      </c>
      <c r="DD126" s="88">
        <f>MAX(BN126,($E126*IF(DD$2&gt;Inputs!$D$5,0,IF(DD$2&gt;VLOOKUP($H126,Lists!$P$3:$Q$7,2),IF($N126=Lists!$K$3,IF($L126&lt;1,(($U126/$L126)*((1+Inputs!$D$7)^DD$2)),((INT(DD$2/$L126)-INT((DD$2-1)/$L126))*$U126*((1+Inputs!$D$7)^DD$2))),(Inputs!$D$8^((1-_xlfn.WEIBULL.DIST(DD$2,$M126,$L126,FALSE))/_xlfn.WEIBULL.DIST(DD$2,$M126,$L126,FALSE))*$U126*((1+Inputs!$D$7)^DD$2))),IF($N126=Lists!$K$3,IF($L126&lt;1,((($T126*(1-$F126)+$S126*(1-$G126))/$L126)*((1+Inputs!$D$7)^DD$2)),((INT(DD$2/$L126)-INT((DD$2-1)/$L126))*($T126*(1-$F126)+$S126*(1-$G126))*((1+Inputs!$D$7)^DD$2))),((Inputs!$D$8^((1-_xlfn.WEIBULL.DIST(DD$2,$M126,$L126,FALSE))/_xlfn.WEIBULL.DIST(DD$2,$M126,$L126,FALSE))*($T126*(1-$F126)+$S126*(1-$G126))*((1+Inputs!$D$7)^DD$2))))))))</f>
        <v>0</v>
      </c>
    </row>
    <row r="127" spans="1:108" ht="16">
      <c r="A127" s="57" t="s">
        <v>477</v>
      </c>
      <c r="B127" s="13" t="s">
        <v>279</v>
      </c>
      <c r="C127" s="13" t="s">
        <v>90</v>
      </c>
      <c r="D127" s="13" t="s">
        <v>37</v>
      </c>
      <c r="E127" s="89">
        <f>IF(Inputs!$D$54=Lists!$AA$3,0,1)</f>
        <v>1</v>
      </c>
      <c r="F127" s="48">
        <v>0</v>
      </c>
      <c r="G127" s="48">
        <v>0</v>
      </c>
      <c r="H127" s="105" t="s">
        <v>350</v>
      </c>
      <c r="I127" s="14" t="s">
        <v>269</v>
      </c>
      <c r="J127" s="14" t="s">
        <v>246</v>
      </c>
      <c r="K127" s="13">
        <f>VLOOKUP(J127,'Labor Rates'!$A$1:$F$16,2)</f>
        <v>33.119999999999997</v>
      </c>
      <c r="L127" s="15">
        <v>1</v>
      </c>
      <c r="M127" s="15">
        <v>1</v>
      </c>
      <c r="N127" s="13" t="s">
        <v>236</v>
      </c>
      <c r="O127" s="61">
        <f>Inputs!$D$57*Inputs!$D$53*E127</f>
        <v>1639.344262295082</v>
      </c>
      <c r="P127" s="15">
        <v>0.1</v>
      </c>
      <c r="Q127" s="15">
        <f t="shared" si="21"/>
        <v>163.9344262295082</v>
      </c>
      <c r="R127" s="4">
        <v>0</v>
      </c>
      <c r="S127" s="53">
        <f t="shared" si="22"/>
        <v>5429.5081967213109</v>
      </c>
      <c r="T127" s="53">
        <f t="shared" si="23"/>
        <v>0</v>
      </c>
      <c r="U127" s="54">
        <f t="shared" si="24"/>
        <v>5429.5081967213109</v>
      </c>
      <c r="V127" s="65"/>
      <c r="W127" s="58"/>
      <c r="X127" s="64">
        <f t="shared" si="25"/>
        <v>6728.0611925816211</v>
      </c>
      <c r="Y127" s="64">
        <f>NPV(Inputs!$D$6,AA127:BN127)</f>
        <v>77280.805968444241</v>
      </c>
      <c r="Z127" s="67">
        <f t="shared" si="26"/>
        <v>3.6449400998374577E-2</v>
      </c>
      <c r="AA127" s="88">
        <f>$E127*IF(AA$2&gt;Inputs!$D$5,0,IF(AA$2&gt;VLOOKUP($H127,Lists!$P$3:$Q$7,2),IF($N127=Lists!$K$3,IF($L127&lt;1,(($U127/$L127)*((1+Inputs!$D$7)^AA$2)),((INT(AA$2/$L127)-INT((AA$2-1)/$L127))*$U127*((1+Inputs!$D$7)^AA$2))),(_xlfn.WEIBULL.DIST(AA$2,$M127,$L127,FALSE)*$U127*((1+Inputs!$D$7)^AA$2))),IF($N127=Lists!$K$3,IF($L127&lt;1,((($T127*(1-$F127)+$S127*(1-$G127))/$L127)*((1+Inputs!$D$7)^AA$2)),((INT(AA$2/$L127)-INT((AA$2-1)/$L127))*($T127*(1-$F127)+$S127*(1-$G127))*((1+Inputs!$D$7)^AA$2))),((_xlfn.WEIBULL.DIST(AA$2,$M127,$L127,FALSE)*($T127*(1-$F127)+$S127*(1-$G127))*((1+Inputs!$D$7)^AA$2))))))</f>
        <v>5538.0983606557375</v>
      </c>
      <c r="AB127" s="88">
        <f>$E127*IF(AB$2&gt;Inputs!$D$5,0,IF(AB$2&gt;VLOOKUP($H127,Lists!$P$3:$Q$7,2),IF($N127=Lists!$K$3,IF($L127&lt;1,(($U127/$L127)*((1+Inputs!$D$7)^AB$2)),((INT(AB$2/$L127)-INT((AB$2-1)/$L127))*$U127*((1+Inputs!$D$7)^AB$2))),(_xlfn.WEIBULL.DIST(AB$2,$M127,$L127,FALSE)*$U127*((1+Inputs!$D$7)^AB$2))),IF($N127=Lists!$K$3,IF($L127&lt;1,((($T127*(1-$F127)+$S127*(1-$G127))/$L127)*((1+Inputs!$D$7)^AB$2)),((INT(AB$2/$L127)-INT((AB$2-1)/$L127))*($T127*(1-$F127)+$S127*(1-$G127))*((1+Inputs!$D$7)^AB$2))),((_xlfn.WEIBULL.DIST(AB$2,$M127,$L127,FALSE)*($T127*(1-$F127)+$S127*(1-$G127))*((1+Inputs!$D$7)^AB$2))))))</f>
        <v>5648.8603278688515</v>
      </c>
      <c r="AC127" s="88">
        <f>$E127*IF(AC$2&gt;Inputs!$D$5,0,IF(AC$2&gt;VLOOKUP($H127,Lists!$P$3:$Q$7,2),IF($N127=Lists!$K$3,IF($L127&lt;1,(($U127/$L127)*((1+Inputs!$D$7)^AC$2)),((INT(AC$2/$L127)-INT((AC$2-1)/$L127))*$U127*((1+Inputs!$D$7)^AC$2))),(_xlfn.WEIBULL.DIST(AC$2,$M127,$L127,FALSE)*$U127*((1+Inputs!$D$7)^AC$2))),IF($N127=Lists!$K$3,IF($L127&lt;1,((($T127*(1-$F127)+$S127*(1-$G127))/$L127)*((1+Inputs!$D$7)^AC$2)),((INT(AC$2/$L127)-INT((AC$2-1)/$L127))*($T127*(1-$F127)+$S127*(1-$G127))*((1+Inputs!$D$7)^AC$2))),((_xlfn.WEIBULL.DIST(AC$2,$M127,$L127,FALSE)*($T127*(1-$F127)+$S127*(1-$G127))*((1+Inputs!$D$7)^AC$2))))))</f>
        <v>5761.8375344262286</v>
      </c>
      <c r="AD127" s="88">
        <f>$E127*IF(AD$2&gt;Inputs!$D$5,0,IF(AD$2&gt;VLOOKUP($H127,Lists!$P$3:$Q$7,2),IF($N127=Lists!$K$3,IF($L127&lt;1,(($U127/$L127)*((1+Inputs!$D$7)^AD$2)),((INT(AD$2/$L127)-INT((AD$2-1)/$L127))*$U127*((1+Inputs!$D$7)^AD$2))),(_xlfn.WEIBULL.DIST(AD$2,$M127,$L127,FALSE)*$U127*((1+Inputs!$D$7)^AD$2))),IF($N127=Lists!$K$3,IF($L127&lt;1,((($T127*(1-$F127)+$S127*(1-$G127))/$L127)*((1+Inputs!$D$7)^AD$2)),((INT(AD$2/$L127)-INT((AD$2-1)/$L127))*($T127*(1-$F127)+$S127*(1-$G127))*((1+Inputs!$D$7)^AD$2))),((_xlfn.WEIBULL.DIST(AD$2,$M127,$L127,FALSE)*($T127*(1-$F127)+$S127*(1-$G127))*((1+Inputs!$D$7)^AD$2))))))</f>
        <v>5877.0742851147534</v>
      </c>
      <c r="AE127" s="88">
        <f>$E127*IF(AE$2&gt;Inputs!$D$5,0,IF(AE$2&gt;VLOOKUP($H127,Lists!$P$3:$Q$7,2),IF($N127=Lists!$K$3,IF($L127&lt;1,(($U127/$L127)*((1+Inputs!$D$7)^AE$2)),((INT(AE$2/$L127)-INT((AE$2-1)/$L127))*$U127*((1+Inputs!$D$7)^AE$2))),(_xlfn.WEIBULL.DIST(AE$2,$M127,$L127,FALSE)*$U127*((1+Inputs!$D$7)^AE$2))),IF($N127=Lists!$K$3,IF($L127&lt;1,((($T127*(1-$F127)+$S127*(1-$G127))/$L127)*((1+Inputs!$D$7)^AE$2)),((INT(AE$2/$L127)-INT((AE$2-1)/$L127))*($T127*(1-$F127)+$S127*(1-$G127))*((1+Inputs!$D$7)^AE$2))),((_xlfn.WEIBULL.DIST(AE$2,$M127,$L127,FALSE)*($T127*(1-$F127)+$S127*(1-$G127))*((1+Inputs!$D$7)^AE$2))))))</f>
        <v>5994.6157708170485</v>
      </c>
      <c r="AF127" s="88">
        <f>$E127*IF(AF$2&gt;Inputs!$D$5,0,IF(AF$2&gt;VLOOKUP($H127,Lists!$P$3:$Q$7,2),IF($N127=Lists!$K$3,IF($L127&lt;1,(($U127/$L127)*((1+Inputs!$D$7)^AF$2)),((INT(AF$2/$L127)-INT((AF$2-1)/$L127))*$U127*((1+Inputs!$D$7)^AF$2))),(_xlfn.WEIBULL.DIST(AF$2,$M127,$L127,FALSE)*$U127*((1+Inputs!$D$7)^AF$2))),IF($N127=Lists!$K$3,IF($L127&lt;1,((($T127*(1-$F127)+$S127*(1-$G127))/$L127)*((1+Inputs!$D$7)^AF$2)),((INT(AF$2/$L127)-INT((AF$2-1)/$L127))*($T127*(1-$F127)+$S127*(1-$G127))*((1+Inputs!$D$7)^AF$2))),((_xlfn.WEIBULL.DIST(AF$2,$M127,$L127,FALSE)*($T127*(1-$F127)+$S127*(1-$G127))*((1+Inputs!$D$7)^AF$2))))))</f>
        <v>6114.5080862333898</v>
      </c>
      <c r="AG127" s="88">
        <f>$E127*IF(AG$2&gt;Inputs!$D$5,0,IF(AG$2&gt;VLOOKUP($H127,Lists!$P$3:$Q$7,2),IF($N127=Lists!$K$3,IF($L127&lt;1,(($U127/$L127)*((1+Inputs!$D$7)^AG$2)),((INT(AG$2/$L127)-INT((AG$2-1)/$L127))*$U127*((1+Inputs!$D$7)^AG$2))),(_xlfn.WEIBULL.DIST(AG$2,$M127,$L127,FALSE)*$U127*((1+Inputs!$D$7)^AG$2))),IF($N127=Lists!$K$3,IF($L127&lt;1,((($T127*(1-$F127)+$S127*(1-$G127))/$L127)*((1+Inputs!$D$7)^AG$2)),((INT(AG$2/$L127)-INT((AG$2-1)/$L127))*($T127*(1-$F127)+$S127*(1-$G127))*((1+Inputs!$D$7)^AG$2))),((_xlfn.WEIBULL.DIST(AG$2,$M127,$L127,FALSE)*($T127*(1-$F127)+$S127*(1-$G127))*((1+Inputs!$D$7)^AG$2))))))</f>
        <v>6236.798247958056</v>
      </c>
      <c r="AH127" s="88">
        <f>$E127*IF(AH$2&gt;Inputs!$D$5,0,IF(AH$2&gt;VLOOKUP($H127,Lists!$P$3:$Q$7,2),IF($N127=Lists!$K$3,IF($L127&lt;1,(($U127/$L127)*((1+Inputs!$D$7)^AH$2)),((INT(AH$2/$L127)-INT((AH$2-1)/$L127))*$U127*((1+Inputs!$D$7)^AH$2))),(_xlfn.WEIBULL.DIST(AH$2,$M127,$L127,FALSE)*$U127*((1+Inputs!$D$7)^AH$2))),IF($N127=Lists!$K$3,IF($L127&lt;1,((($T127*(1-$F127)+$S127*(1-$G127))/$L127)*((1+Inputs!$D$7)^AH$2)),((INT(AH$2/$L127)-INT((AH$2-1)/$L127))*($T127*(1-$F127)+$S127*(1-$G127))*((1+Inputs!$D$7)^AH$2))),((_xlfn.WEIBULL.DIST(AH$2,$M127,$L127,FALSE)*($T127*(1-$F127)+$S127*(1-$G127))*((1+Inputs!$D$7)^AH$2))))))</f>
        <v>6361.5342129172177</v>
      </c>
      <c r="AI127" s="88">
        <f>$E127*IF(AI$2&gt;Inputs!$D$5,0,IF(AI$2&gt;VLOOKUP($H127,Lists!$P$3:$Q$7,2),IF($N127=Lists!$K$3,IF($L127&lt;1,(($U127/$L127)*((1+Inputs!$D$7)^AI$2)),((INT(AI$2/$L127)-INT((AI$2-1)/$L127))*$U127*((1+Inputs!$D$7)^AI$2))),(_xlfn.WEIBULL.DIST(AI$2,$M127,$L127,FALSE)*$U127*((1+Inputs!$D$7)^AI$2))),IF($N127=Lists!$K$3,IF($L127&lt;1,((($T127*(1-$F127)+$S127*(1-$G127))/$L127)*((1+Inputs!$D$7)^AI$2)),((INT(AI$2/$L127)-INT((AI$2-1)/$L127))*($T127*(1-$F127)+$S127*(1-$G127))*((1+Inputs!$D$7)^AI$2))),((_xlfn.WEIBULL.DIST(AI$2,$M127,$L127,FALSE)*($T127*(1-$F127)+$S127*(1-$G127))*((1+Inputs!$D$7)^AI$2))))))</f>
        <v>6488.7648971755625</v>
      </c>
      <c r="AJ127" s="88">
        <f>$E127*IF(AJ$2&gt;Inputs!$D$5,0,IF(AJ$2&gt;VLOOKUP($H127,Lists!$P$3:$Q$7,2),IF($N127=Lists!$K$3,IF($L127&lt;1,(($U127/$L127)*((1+Inputs!$D$7)^AJ$2)),((INT(AJ$2/$L127)-INT((AJ$2-1)/$L127))*$U127*((1+Inputs!$D$7)^AJ$2))),(_xlfn.WEIBULL.DIST(AJ$2,$M127,$L127,FALSE)*$U127*((1+Inputs!$D$7)^AJ$2))),IF($N127=Lists!$K$3,IF($L127&lt;1,((($T127*(1-$F127)+$S127*(1-$G127))/$L127)*((1+Inputs!$D$7)^AJ$2)),((INT(AJ$2/$L127)-INT((AJ$2-1)/$L127))*($T127*(1-$F127)+$S127*(1-$G127))*((1+Inputs!$D$7)^AJ$2))),((_xlfn.WEIBULL.DIST(AJ$2,$M127,$L127,FALSE)*($T127*(1-$F127)+$S127*(1-$G127))*((1+Inputs!$D$7)^AJ$2))))))</f>
        <v>6618.5401951190743</v>
      </c>
      <c r="AK127" s="88">
        <f>$E127*IF(AK$2&gt;Inputs!$D$5,0,IF(AK$2&gt;VLOOKUP($H127,Lists!$P$3:$Q$7,2),IF($N127=Lists!$K$3,IF($L127&lt;1,(($U127/$L127)*((1+Inputs!$D$7)^AK$2)),((INT(AK$2/$L127)-INT((AK$2-1)/$L127))*$U127*((1+Inputs!$D$7)^AK$2))),(_xlfn.WEIBULL.DIST(AK$2,$M127,$L127,FALSE)*$U127*((1+Inputs!$D$7)^AK$2))),IF($N127=Lists!$K$3,IF($L127&lt;1,((($T127*(1-$F127)+$S127*(1-$G127))/$L127)*((1+Inputs!$D$7)^AK$2)),((INT(AK$2/$L127)-INT((AK$2-1)/$L127))*($T127*(1-$F127)+$S127*(1-$G127))*((1+Inputs!$D$7)^AK$2))),((_xlfn.WEIBULL.DIST(AK$2,$M127,$L127,FALSE)*($T127*(1-$F127)+$S127*(1-$G127))*((1+Inputs!$D$7)^AK$2))))))</f>
        <v>6750.9109990214538</v>
      </c>
      <c r="AL127" s="88">
        <f>$E127*IF(AL$2&gt;Inputs!$D$5,0,IF(AL$2&gt;VLOOKUP($H127,Lists!$P$3:$Q$7,2),IF($N127=Lists!$K$3,IF($L127&lt;1,(($U127/$L127)*((1+Inputs!$D$7)^AL$2)),((INT(AL$2/$L127)-INT((AL$2-1)/$L127))*$U127*((1+Inputs!$D$7)^AL$2))),(_xlfn.WEIBULL.DIST(AL$2,$M127,$L127,FALSE)*$U127*((1+Inputs!$D$7)^AL$2))),IF($N127=Lists!$K$3,IF($L127&lt;1,((($T127*(1-$F127)+$S127*(1-$G127))/$L127)*((1+Inputs!$D$7)^AL$2)),((INT(AL$2/$L127)-INT((AL$2-1)/$L127))*($T127*(1-$F127)+$S127*(1-$G127))*((1+Inputs!$D$7)^AL$2))),((_xlfn.WEIBULL.DIST(AL$2,$M127,$L127,FALSE)*($T127*(1-$F127)+$S127*(1-$G127))*((1+Inputs!$D$7)^AL$2))))))</f>
        <v>6885.9292190018841</v>
      </c>
      <c r="AM127" s="88">
        <f>$E127*IF(AM$2&gt;Inputs!$D$5,0,IF(AM$2&gt;VLOOKUP($H127,Lists!$P$3:$Q$7,2),IF($N127=Lists!$K$3,IF($L127&lt;1,(($U127/$L127)*((1+Inputs!$D$7)^AM$2)),((INT(AM$2/$L127)-INT((AM$2-1)/$L127))*$U127*((1+Inputs!$D$7)^AM$2))),(_xlfn.WEIBULL.DIST(AM$2,$M127,$L127,FALSE)*$U127*((1+Inputs!$D$7)^AM$2))),IF($N127=Lists!$K$3,IF($L127&lt;1,((($T127*(1-$F127)+$S127*(1-$G127))/$L127)*((1+Inputs!$D$7)^AM$2)),((INT(AM$2/$L127)-INT((AM$2-1)/$L127))*($T127*(1-$F127)+$S127*(1-$G127))*((1+Inputs!$D$7)^AM$2))),((_xlfn.WEIBULL.DIST(AM$2,$M127,$L127,FALSE)*($T127*(1-$F127)+$S127*(1-$G127))*((1+Inputs!$D$7)^AM$2))))))</f>
        <v>7023.6478033819212</v>
      </c>
      <c r="AN127" s="88">
        <f>$E127*IF(AN$2&gt;Inputs!$D$5,0,IF(AN$2&gt;VLOOKUP($H127,Lists!$P$3:$Q$7,2),IF($N127=Lists!$K$3,IF($L127&lt;1,(($U127/$L127)*((1+Inputs!$D$7)^AN$2)),((INT(AN$2/$L127)-INT((AN$2-1)/$L127))*$U127*((1+Inputs!$D$7)^AN$2))),(_xlfn.WEIBULL.DIST(AN$2,$M127,$L127,FALSE)*$U127*((1+Inputs!$D$7)^AN$2))),IF($N127=Lists!$K$3,IF($L127&lt;1,((($T127*(1-$F127)+$S127*(1-$G127))/$L127)*((1+Inputs!$D$7)^AN$2)),((INT(AN$2/$L127)-INT((AN$2-1)/$L127))*($T127*(1-$F127)+$S127*(1-$G127))*((1+Inputs!$D$7)^AN$2))),((_xlfn.WEIBULL.DIST(AN$2,$M127,$L127,FALSE)*($T127*(1-$F127)+$S127*(1-$G127))*((1+Inputs!$D$7)^AN$2))))))</f>
        <v>7164.1207594495609</v>
      </c>
      <c r="AO127" s="88">
        <f>$E127*IF(AO$2&gt;Inputs!$D$5,0,IF(AO$2&gt;VLOOKUP($H127,Lists!$P$3:$Q$7,2),IF($N127=Lists!$K$3,IF($L127&lt;1,(($U127/$L127)*((1+Inputs!$D$7)^AO$2)),((INT(AO$2/$L127)-INT((AO$2-1)/$L127))*$U127*((1+Inputs!$D$7)^AO$2))),(_xlfn.WEIBULL.DIST(AO$2,$M127,$L127,FALSE)*$U127*((1+Inputs!$D$7)^AO$2))),IF($N127=Lists!$K$3,IF($L127&lt;1,((($T127*(1-$F127)+$S127*(1-$G127))/$L127)*((1+Inputs!$D$7)^AO$2)),((INT(AO$2/$L127)-INT((AO$2-1)/$L127))*($T127*(1-$F127)+$S127*(1-$G127))*((1+Inputs!$D$7)^AO$2))),((_xlfn.WEIBULL.DIST(AO$2,$M127,$L127,FALSE)*($T127*(1-$F127)+$S127*(1-$G127))*((1+Inputs!$D$7)^AO$2))))))</f>
        <v>7307.4031746385499</v>
      </c>
      <c r="AP127" s="88">
        <f>$E127*IF(AP$2&gt;Inputs!$D$5,0,IF(AP$2&gt;VLOOKUP($H127,Lists!$P$3:$Q$7,2),IF($N127=Lists!$K$3,IF($L127&lt;1,(($U127/$L127)*((1+Inputs!$D$7)^AP$2)),((INT(AP$2/$L127)-INT((AP$2-1)/$L127))*$U127*((1+Inputs!$D$7)^AP$2))),(_xlfn.WEIBULL.DIST(AP$2,$M127,$L127,FALSE)*$U127*((1+Inputs!$D$7)^AP$2))),IF($N127=Lists!$K$3,IF($L127&lt;1,((($T127*(1-$F127)+$S127*(1-$G127))/$L127)*((1+Inputs!$D$7)^AP$2)),((INT(AP$2/$L127)-INT((AP$2-1)/$L127))*($T127*(1-$F127)+$S127*(1-$G127))*((1+Inputs!$D$7)^AP$2))),((_xlfn.WEIBULL.DIST(AP$2,$M127,$L127,FALSE)*($T127*(1-$F127)+$S127*(1-$G127))*((1+Inputs!$D$7)^AP$2))))))</f>
        <v>7453.551238131322</v>
      </c>
      <c r="AQ127" s="88">
        <f>$E127*IF(AQ$2&gt;Inputs!$D$5,0,IF(AQ$2&gt;VLOOKUP($H127,Lists!$P$3:$Q$7,2),IF($N127=Lists!$K$3,IF($L127&lt;1,(($U127/$L127)*((1+Inputs!$D$7)^AQ$2)),((INT(AQ$2/$L127)-INT((AQ$2-1)/$L127))*$U127*((1+Inputs!$D$7)^AQ$2))),(_xlfn.WEIBULL.DIST(AQ$2,$M127,$L127,FALSE)*$U127*((1+Inputs!$D$7)^AQ$2))),IF($N127=Lists!$K$3,IF($L127&lt;1,((($T127*(1-$F127)+$S127*(1-$G127))/$L127)*((1+Inputs!$D$7)^AQ$2)),((INT(AQ$2/$L127)-INT((AQ$2-1)/$L127))*($T127*(1-$F127)+$S127*(1-$G127))*((1+Inputs!$D$7)^AQ$2))),((_xlfn.WEIBULL.DIST(AQ$2,$M127,$L127,FALSE)*($T127*(1-$F127)+$S127*(1-$G127))*((1+Inputs!$D$7)^AQ$2))))))</f>
        <v>7602.6222628939495</v>
      </c>
      <c r="AR127" s="88">
        <f>$E127*IF(AR$2&gt;Inputs!$D$5,0,IF(AR$2&gt;VLOOKUP($H127,Lists!$P$3:$Q$7,2),IF($N127=Lists!$K$3,IF($L127&lt;1,(($U127/$L127)*((1+Inputs!$D$7)^AR$2)),((INT(AR$2/$L127)-INT((AR$2-1)/$L127))*$U127*((1+Inputs!$D$7)^AR$2))),(_xlfn.WEIBULL.DIST(AR$2,$M127,$L127,FALSE)*$U127*((1+Inputs!$D$7)^AR$2))),IF($N127=Lists!$K$3,IF($L127&lt;1,((($T127*(1-$F127)+$S127*(1-$G127))/$L127)*((1+Inputs!$D$7)^AR$2)),((INT(AR$2/$L127)-INT((AR$2-1)/$L127))*($T127*(1-$F127)+$S127*(1-$G127))*((1+Inputs!$D$7)^AR$2))),((_xlfn.WEIBULL.DIST(AR$2,$M127,$L127,FALSE)*($T127*(1-$F127)+$S127*(1-$G127))*((1+Inputs!$D$7)^AR$2))))))</f>
        <v>7754.6747081518279</v>
      </c>
      <c r="AS127" s="88">
        <f>$E127*IF(AS$2&gt;Inputs!$D$5,0,IF(AS$2&gt;VLOOKUP($H127,Lists!$P$3:$Q$7,2),IF($N127=Lists!$K$3,IF($L127&lt;1,(($U127/$L127)*((1+Inputs!$D$7)^AS$2)),((INT(AS$2/$L127)-INT((AS$2-1)/$L127))*$U127*((1+Inputs!$D$7)^AS$2))),(_xlfn.WEIBULL.DIST(AS$2,$M127,$L127,FALSE)*$U127*((1+Inputs!$D$7)^AS$2))),IF($N127=Lists!$K$3,IF($L127&lt;1,((($T127*(1-$F127)+$S127*(1-$G127))/$L127)*((1+Inputs!$D$7)^AS$2)),((INT(AS$2/$L127)-INT((AS$2-1)/$L127))*($T127*(1-$F127)+$S127*(1-$G127))*((1+Inputs!$D$7)^AS$2))),((_xlfn.WEIBULL.DIST(AS$2,$M127,$L127,FALSE)*($T127*(1-$F127)+$S127*(1-$G127))*((1+Inputs!$D$7)^AS$2))))))</f>
        <v>7909.7682023148636</v>
      </c>
      <c r="AT127" s="88">
        <f>$E127*IF(AT$2&gt;Inputs!$D$5,0,IF(AT$2&gt;VLOOKUP($H127,Lists!$P$3:$Q$7,2),IF($N127=Lists!$K$3,IF($L127&lt;1,(($U127/$L127)*((1+Inputs!$D$7)^AT$2)),((INT(AT$2/$L127)-INT((AT$2-1)/$L127))*$U127*((1+Inputs!$D$7)^AT$2))),(_xlfn.WEIBULL.DIST(AT$2,$M127,$L127,FALSE)*$U127*((1+Inputs!$D$7)^AT$2))),IF($N127=Lists!$K$3,IF($L127&lt;1,((($T127*(1-$F127)+$S127*(1-$G127))/$L127)*((1+Inputs!$D$7)^AT$2)),((INT(AT$2/$L127)-INT((AT$2-1)/$L127))*($T127*(1-$F127)+$S127*(1-$G127))*((1+Inputs!$D$7)^AT$2))),((_xlfn.WEIBULL.DIST(AT$2,$M127,$L127,FALSE)*($T127*(1-$F127)+$S127*(1-$G127))*((1+Inputs!$D$7)^AT$2))))))</f>
        <v>8067.9635663611616</v>
      </c>
      <c r="AU127" s="88">
        <f>$E127*IF(AU$2&gt;Inputs!$D$5,0,IF(AU$2&gt;VLOOKUP($H127,Lists!$P$3:$Q$7,2),IF($N127=Lists!$K$3,IF($L127&lt;1,(($U127/$L127)*((1+Inputs!$D$7)^AU$2)),((INT(AU$2/$L127)-INT((AU$2-1)/$L127))*$U127*((1+Inputs!$D$7)^AU$2))),(_xlfn.WEIBULL.DIST(AU$2,$M127,$L127,FALSE)*$U127*((1+Inputs!$D$7)^AU$2))),IF($N127=Lists!$K$3,IF($L127&lt;1,((($T127*(1-$F127)+$S127*(1-$G127))/$L127)*((1+Inputs!$D$7)^AU$2)),((INT(AU$2/$L127)-INT((AU$2-1)/$L127))*($T127*(1-$F127)+$S127*(1-$G127))*((1+Inputs!$D$7)^AU$2))),((_xlfn.WEIBULL.DIST(AU$2,$M127,$L127,FALSE)*($T127*(1-$F127)+$S127*(1-$G127))*((1+Inputs!$D$7)^AU$2))))))</f>
        <v>8229.3228376883853</v>
      </c>
      <c r="AV127" s="88">
        <f>$E127*IF(AV$2&gt;Inputs!$D$5,0,IF(AV$2&gt;VLOOKUP($H127,Lists!$P$3:$Q$7,2),IF($N127=Lists!$K$3,IF($L127&lt;1,(($U127/$L127)*((1+Inputs!$D$7)^AV$2)),((INT(AV$2/$L127)-INT((AV$2-1)/$L127))*$U127*((1+Inputs!$D$7)^AV$2))),(_xlfn.WEIBULL.DIST(AV$2,$M127,$L127,FALSE)*$U127*((1+Inputs!$D$7)^AV$2))),IF($N127=Lists!$K$3,IF($L127&lt;1,((($T127*(1-$F127)+$S127*(1-$G127))/$L127)*((1+Inputs!$D$7)^AV$2)),((INT(AV$2/$L127)-INT((AV$2-1)/$L127))*($T127*(1-$F127)+$S127*(1-$G127))*((1+Inputs!$D$7)^AV$2))),((_xlfn.WEIBULL.DIST(AV$2,$M127,$L127,FALSE)*($T127*(1-$F127)+$S127*(1-$G127))*((1+Inputs!$D$7)^AV$2))))))</f>
        <v>8393.9092944421518</v>
      </c>
      <c r="AW127" s="88">
        <f>$E127*IF(AW$2&gt;Inputs!$D$5,0,IF(AW$2&gt;VLOOKUP($H127,Lists!$P$3:$Q$7,2),IF($N127=Lists!$K$3,IF($L127&lt;1,(($U127/$L127)*((1+Inputs!$D$7)^AW$2)),((INT(AW$2/$L127)-INT((AW$2-1)/$L127))*$U127*((1+Inputs!$D$7)^AW$2))),(_xlfn.WEIBULL.DIST(AW$2,$M127,$L127,FALSE)*$U127*((1+Inputs!$D$7)^AW$2))),IF($N127=Lists!$K$3,IF($L127&lt;1,((($T127*(1-$F127)+$S127*(1-$G127))/$L127)*((1+Inputs!$D$7)^AW$2)),((INT(AW$2/$L127)-INT((AW$2-1)/$L127))*($T127*(1-$F127)+$S127*(1-$G127))*((1+Inputs!$D$7)^AW$2))),((_xlfn.WEIBULL.DIST(AW$2,$M127,$L127,FALSE)*($T127*(1-$F127)+$S127*(1-$G127))*((1+Inputs!$D$7)^AW$2))))))</f>
        <v>8561.7874803309933</v>
      </c>
      <c r="AX127" s="88">
        <f>$E127*IF(AX$2&gt;Inputs!$D$5,0,IF(AX$2&gt;VLOOKUP($H127,Lists!$P$3:$Q$7,2),IF($N127=Lists!$K$3,IF($L127&lt;1,(($U127/$L127)*((1+Inputs!$D$7)^AX$2)),((INT(AX$2/$L127)-INT((AX$2-1)/$L127))*$U127*((1+Inputs!$D$7)^AX$2))),(_xlfn.WEIBULL.DIST(AX$2,$M127,$L127,FALSE)*$U127*((1+Inputs!$D$7)^AX$2))),IF($N127=Lists!$K$3,IF($L127&lt;1,((($T127*(1-$F127)+$S127*(1-$G127))/$L127)*((1+Inputs!$D$7)^AX$2)),((INT(AX$2/$L127)-INT((AX$2-1)/$L127))*($T127*(1-$F127)+$S127*(1-$G127))*((1+Inputs!$D$7)^AX$2))),((_xlfn.WEIBULL.DIST(AX$2,$M127,$L127,FALSE)*($T127*(1-$F127)+$S127*(1-$G127))*((1+Inputs!$D$7)^AX$2))))))</f>
        <v>8733.0232299376148</v>
      </c>
      <c r="AY127" s="88">
        <f>$E127*IF(AY$2&gt;Inputs!$D$5,0,IF(AY$2&gt;VLOOKUP($H127,Lists!$P$3:$Q$7,2),IF($N127=Lists!$K$3,IF($L127&lt;1,(($U127/$L127)*((1+Inputs!$D$7)^AY$2)),((INT(AY$2/$L127)-INT((AY$2-1)/$L127))*$U127*((1+Inputs!$D$7)^AY$2))),(_xlfn.WEIBULL.DIST(AY$2,$M127,$L127,FALSE)*$U127*((1+Inputs!$D$7)^AY$2))),IF($N127=Lists!$K$3,IF($L127&lt;1,((($T127*(1-$F127)+$S127*(1-$G127))/$L127)*((1+Inputs!$D$7)^AY$2)),((INT(AY$2/$L127)-INT((AY$2-1)/$L127))*($T127*(1-$F127)+$S127*(1-$G127))*((1+Inputs!$D$7)^AY$2))),((_xlfn.WEIBULL.DIST(AY$2,$M127,$L127,FALSE)*($T127*(1-$F127)+$S127*(1-$G127))*((1+Inputs!$D$7)^AY$2))))))</f>
        <v>8907.6836945363666</v>
      </c>
      <c r="AZ127" s="88">
        <f>$E127*IF(AZ$2&gt;Inputs!$D$5,0,IF(AZ$2&gt;VLOOKUP($H127,Lists!$P$3:$Q$7,2),IF($N127=Lists!$K$3,IF($L127&lt;1,(($U127/$L127)*((1+Inputs!$D$7)^AZ$2)),((INT(AZ$2/$L127)-INT((AZ$2-1)/$L127))*$U127*((1+Inputs!$D$7)^AZ$2))),(_xlfn.WEIBULL.DIST(AZ$2,$M127,$L127,FALSE)*$U127*((1+Inputs!$D$7)^AZ$2))),IF($N127=Lists!$K$3,IF($L127&lt;1,((($T127*(1-$F127)+$S127*(1-$G127))/$L127)*((1+Inputs!$D$7)^AZ$2)),((INT(AZ$2/$L127)-INT((AZ$2-1)/$L127))*($T127*(1-$F127)+$S127*(1-$G127))*((1+Inputs!$D$7)^AZ$2))),((_xlfn.WEIBULL.DIST(AZ$2,$M127,$L127,FALSE)*($T127*(1-$F127)+$S127*(1-$G127))*((1+Inputs!$D$7)^AZ$2))))))</f>
        <v>0</v>
      </c>
      <c r="BA127" s="88">
        <f>$E127*IF(BA$2&gt;Inputs!$D$5,0,IF(BA$2&gt;VLOOKUP($H127,Lists!$P$3:$Q$7,2),IF($N127=Lists!$K$3,IF($L127&lt;1,(($U127/$L127)*((1+Inputs!$D$7)^BA$2)),((INT(BA$2/$L127)-INT((BA$2-1)/$L127))*$U127*((1+Inputs!$D$7)^BA$2))),(_xlfn.WEIBULL.DIST(BA$2,$M127,$L127,FALSE)*$U127*((1+Inputs!$D$7)^BA$2))),IF($N127=Lists!$K$3,IF($L127&lt;1,((($T127*(1-$F127)+$S127*(1-$G127))/$L127)*((1+Inputs!$D$7)^BA$2)),((INT(BA$2/$L127)-INT((BA$2-1)/$L127))*($T127*(1-$F127)+$S127*(1-$G127))*((1+Inputs!$D$7)^BA$2))),((_xlfn.WEIBULL.DIST(BA$2,$M127,$L127,FALSE)*($T127*(1-$F127)+$S127*(1-$G127))*((1+Inputs!$D$7)^BA$2))))))</f>
        <v>0</v>
      </c>
      <c r="BB127" s="88">
        <f>$E127*IF(BB$2&gt;Inputs!$D$5,0,IF(BB$2&gt;VLOOKUP($H127,Lists!$P$3:$Q$7,2),IF($N127=Lists!$K$3,IF($L127&lt;1,(($U127/$L127)*((1+Inputs!$D$7)^BB$2)),((INT(BB$2/$L127)-INT((BB$2-1)/$L127))*$U127*((1+Inputs!$D$7)^BB$2))),(_xlfn.WEIBULL.DIST(BB$2,$M127,$L127,FALSE)*$U127*((1+Inputs!$D$7)^BB$2))),IF($N127=Lists!$K$3,IF($L127&lt;1,((($T127*(1-$F127)+$S127*(1-$G127))/$L127)*((1+Inputs!$D$7)^BB$2)),((INT(BB$2/$L127)-INT((BB$2-1)/$L127))*($T127*(1-$F127)+$S127*(1-$G127))*((1+Inputs!$D$7)^BB$2))),((_xlfn.WEIBULL.DIST(BB$2,$M127,$L127,FALSE)*($T127*(1-$F127)+$S127*(1-$G127))*((1+Inputs!$D$7)^BB$2))))))</f>
        <v>0</v>
      </c>
      <c r="BC127" s="88">
        <f>$E127*IF(BC$2&gt;Inputs!$D$5,0,IF(BC$2&gt;VLOOKUP($H127,Lists!$P$3:$Q$7,2),IF($N127=Lists!$K$3,IF($L127&lt;1,(($U127/$L127)*((1+Inputs!$D$7)^BC$2)),((INT(BC$2/$L127)-INT((BC$2-1)/$L127))*$U127*((1+Inputs!$D$7)^BC$2))),(_xlfn.WEIBULL.DIST(BC$2,$M127,$L127,FALSE)*$U127*((1+Inputs!$D$7)^BC$2))),IF($N127=Lists!$K$3,IF($L127&lt;1,((($T127*(1-$F127)+$S127*(1-$G127))/$L127)*((1+Inputs!$D$7)^BC$2)),((INT(BC$2/$L127)-INT((BC$2-1)/$L127))*($T127*(1-$F127)+$S127*(1-$G127))*((1+Inputs!$D$7)^BC$2))),((_xlfn.WEIBULL.DIST(BC$2,$M127,$L127,FALSE)*($T127*(1-$F127)+$S127*(1-$G127))*((1+Inputs!$D$7)^BC$2))))))</f>
        <v>0</v>
      </c>
      <c r="BD127" s="88">
        <f>$E127*IF(BD$2&gt;Inputs!$D$5,0,IF(BD$2&gt;VLOOKUP($H127,Lists!$P$3:$Q$7,2),IF($N127=Lists!$K$3,IF($L127&lt;1,(($U127/$L127)*((1+Inputs!$D$7)^BD$2)),((INT(BD$2/$L127)-INT((BD$2-1)/$L127))*$U127*((1+Inputs!$D$7)^BD$2))),(_xlfn.WEIBULL.DIST(BD$2,$M127,$L127,FALSE)*$U127*((1+Inputs!$D$7)^BD$2))),IF($N127=Lists!$K$3,IF($L127&lt;1,((($T127*(1-$F127)+$S127*(1-$G127))/$L127)*((1+Inputs!$D$7)^BD$2)),((INT(BD$2/$L127)-INT((BD$2-1)/$L127))*($T127*(1-$F127)+$S127*(1-$G127))*((1+Inputs!$D$7)^BD$2))),((_xlfn.WEIBULL.DIST(BD$2,$M127,$L127,FALSE)*($T127*(1-$F127)+$S127*(1-$G127))*((1+Inputs!$D$7)^BD$2))))))</f>
        <v>0</v>
      </c>
      <c r="BE127" s="88">
        <f>$E127*IF(BE$2&gt;Inputs!$D$5,0,IF(BE$2&gt;VLOOKUP($H127,Lists!$P$3:$Q$7,2),IF($N127=Lists!$K$3,IF($L127&lt;1,(($U127/$L127)*((1+Inputs!$D$7)^BE$2)),((INT(BE$2/$L127)-INT((BE$2-1)/$L127))*$U127*((1+Inputs!$D$7)^BE$2))),(_xlfn.WEIBULL.DIST(BE$2,$M127,$L127,FALSE)*$U127*((1+Inputs!$D$7)^BE$2))),IF($N127=Lists!$K$3,IF($L127&lt;1,((($T127*(1-$F127)+$S127*(1-$G127))/$L127)*((1+Inputs!$D$7)^BE$2)),((INT(BE$2/$L127)-INT((BE$2-1)/$L127))*($T127*(1-$F127)+$S127*(1-$G127))*((1+Inputs!$D$7)^BE$2))),((_xlfn.WEIBULL.DIST(BE$2,$M127,$L127,FALSE)*($T127*(1-$F127)+$S127*(1-$G127))*((1+Inputs!$D$7)^BE$2))))))</f>
        <v>0</v>
      </c>
      <c r="BF127" s="88">
        <f>$E127*IF(BF$2&gt;Inputs!$D$5,0,IF(BF$2&gt;VLOOKUP($H127,Lists!$P$3:$Q$7,2),IF($N127=Lists!$K$3,IF($L127&lt;1,(($U127/$L127)*((1+Inputs!$D$7)^BF$2)),((INT(BF$2/$L127)-INT((BF$2-1)/$L127))*$U127*((1+Inputs!$D$7)^BF$2))),(_xlfn.WEIBULL.DIST(BF$2,$M127,$L127,FALSE)*$U127*((1+Inputs!$D$7)^BF$2))),IF($N127=Lists!$K$3,IF($L127&lt;1,((($T127*(1-$F127)+$S127*(1-$G127))/$L127)*((1+Inputs!$D$7)^BF$2)),((INT(BF$2/$L127)-INT((BF$2-1)/$L127))*($T127*(1-$F127)+$S127*(1-$G127))*((1+Inputs!$D$7)^BF$2))),((_xlfn.WEIBULL.DIST(BF$2,$M127,$L127,FALSE)*($T127*(1-$F127)+$S127*(1-$G127))*((1+Inputs!$D$7)^BF$2))))))</f>
        <v>0</v>
      </c>
      <c r="BG127" s="88">
        <f>$E127*IF(BG$2&gt;Inputs!$D$5,0,IF(BG$2&gt;VLOOKUP($H127,Lists!$P$3:$Q$7,2),IF($N127=Lists!$K$3,IF($L127&lt;1,(($U127/$L127)*((1+Inputs!$D$7)^BG$2)),((INT(BG$2/$L127)-INT((BG$2-1)/$L127))*$U127*((1+Inputs!$D$7)^BG$2))),(_xlfn.WEIBULL.DIST(BG$2,$M127,$L127,FALSE)*$U127*((1+Inputs!$D$7)^BG$2))),IF($N127=Lists!$K$3,IF($L127&lt;1,((($T127*(1-$F127)+$S127*(1-$G127))/$L127)*((1+Inputs!$D$7)^BG$2)),((INT(BG$2/$L127)-INT((BG$2-1)/$L127))*($T127*(1-$F127)+$S127*(1-$G127))*((1+Inputs!$D$7)^BG$2))),((_xlfn.WEIBULL.DIST(BG$2,$M127,$L127,FALSE)*($T127*(1-$F127)+$S127*(1-$G127))*((1+Inputs!$D$7)^BG$2))))))</f>
        <v>0</v>
      </c>
      <c r="BH127" s="88">
        <f>$E127*IF(BH$2&gt;Inputs!$D$5,0,IF(BH$2&gt;VLOOKUP($H127,Lists!$P$3:$Q$7,2),IF($N127=Lists!$K$3,IF($L127&lt;1,(($U127/$L127)*((1+Inputs!$D$7)^BH$2)),((INT(BH$2/$L127)-INT((BH$2-1)/$L127))*$U127*((1+Inputs!$D$7)^BH$2))),(_xlfn.WEIBULL.DIST(BH$2,$M127,$L127,FALSE)*$U127*((1+Inputs!$D$7)^BH$2))),IF($N127=Lists!$K$3,IF($L127&lt;1,((($T127*(1-$F127)+$S127*(1-$G127))/$L127)*((1+Inputs!$D$7)^BH$2)),((INT(BH$2/$L127)-INT((BH$2-1)/$L127))*($T127*(1-$F127)+$S127*(1-$G127))*((1+Inputs!$D$7)^BH$2))),((_xlfn.WEIBULL.DIST(BH$2,$M127,$L127,FALSE)*($T127*(1-$F127)+$S127*(1-$G127))*((1+Inputs!$D$7)^BH$2))))))</f>
        <v>0</v>
      </c>
      <c r="BI127" s="88">
        <f>$E127*IF(BI$2&gt;Inputs!$D$5,0,IF(BI$2&gt;VLOOKUP($H127,Lists!$P$3:$Q$7,2),IF($N127=Lists!$K$3,IF($L127&lt;1,(($U127/$L127)*((1+Inputs!$D$7)^BI$2)),((INT(BI$2/$L127)-INT((BI$2-1)/$L127))*$U127*((1+Inputs!$D$7)^BI$2))),(_xlfn.WEIBULL.DIST(BI$2,$M127,$L127,FALSE)*$U127*((1+Inputs!$D$7)^BI$2))),IF($N127=Lists!$K$3,IF($L127&lt;1,((($T127*(1-$F127)+$S127*(1-$G127))/$L127)*((1+Inputs!$D$7)^BI$2)),((INT(BI$2/$L127)-INT((BI$2-1)/$L127))*($T127*(1-$F127)+$S127*(1-$G127))*((1+Inputs!$D$7)^BI$2))),((_xlfn.WEIBULL.DIST(BI$2,$M127,$L127,FALSE)*($T127*(1-$F127)+$S127*(1-$G127))*((1+Inputs!$D$7)^BI$2))))))</f>
        <v>0</v>
      </c>
      <c r="BJ127" s="88">
        <f>$E127*IF(BJ$2&gt;Inputs!$D$5,0,IF(BJ$2&gt;VLOOKUP($H127,Lists!$P$3:$Q$7,2),IF($N127=Lists!$K$3,IF($L127&lt;1,(($U127/$L127)*((1+Inputs!$D$7)^BJ$2)),((INT(BJ$2/$L127)-INT((BJ$2-1)/$L127))*$U127*((1+Inputs!$D$7)^BJ$2))),(_xlfn.WEIBULL.DIST(BJ$2,$M127,$L127,FALSE)*$U127*((1+Inputs!$D$7)^BJ$2))),IF($N127=Lists!$K$3,IF($L127&lt;1,((($T127*(1-$F127)+$S127*(1-$G127))/$L127)*((1+Inputs!$D$7)^BJ$2)),((INT(BJ$2/$L127)-INT((BJ$2-1)/$L127))*($T127*(1-$F127)+$S127*(1-$G127))*((1+Inputs!$D$7)^BJ$2))),((_xlfn.WEIBULL.DIST(BJ$2,$M127,$L127,FALSE)*($T127*(1-$F127)+$S127*(1-$G127))*((1+Inputs!$D$7)^BJ$2))))))</f>
        <v>0</v>
      </c>
      <c r="BK127" s="88">
        <f>$E127*IF(BK$2&gt;Inputs!$D$5,0,IF(BK$2&gt;VLOOKUP($H127,Lists!$P$3:$Q$7,2),IF($N127=Lists!$K$3,IF($L127&lt;1,(($U127/$L127)*((1+Inputs!$D$7)^BK$2)),((INT(BK$2/$L127)-INT((BK$2-1)/$L127))*$U127*((1+Inputs!$D$7)^BK$2))),(_xlfn.WEIBULL.DIST(BK$2,$M127,$L127,FALSE)*$U127*((1+Inputs!$D$7)^BK$2))),IF($N127=Lists!$K$3,IF($L127&lt;1,((($T127*(1-$F127)+$S127*(1-$G127))/$L127)*((1+Inputs!$D$7)^BK$2)),((INT(BK$2/$L127)-INT((BK$2-1)/$L127))*($T127*(1-$F127)+$S127*(1-$G127))*((1+Inputs!$D$7)^BK$2))),((_xlfn.WEIBULL.DIST(BK$2,$M127,$L127,FALSE)*($T127*(1-$F127)+$S127*(1-$G127))*((1+Inputs!$D$7)^BK$2))))))</f>
        <v>0</v>
      </c>
      <c r="BL127" s="88">
        <f>$E127*IF(BL$2&gt;Inputs!$D$5,0,IF(BL$2&gt;VLOOKUP($H127,Lists!$P$3:$Q$7,2),IF($N127=Lists!$K$3,IF($L127&lt;1,(($U127/$L127)*((1+Inputs!$D$7)^BL$2)),((INT(BL$2/$L127)-INT((BL$2-1)/$L127))*$U127*((1+Inputs!$D$7)^BL$2))),(_xlfn.WEIBULL.DIST(BL$2,$M127,$L127,FALSE)*$U127*((1+Inputs!$D$7)^BL$2))),IF($N127=Lists!$K$3,IF($L127&lt;1,((($T127*(1-$F127)+$S127*(1-$G127))/$L127)*((1+Inputs!$D$7)^BL$2)),((INT(BL$2/$L127)-INT((BL$2-1)/$L127))*($T127*(1-$F127)+$S127*(1-$G127))*((1+Inputs!$D$7)^BL$2))),((_xlfn.WEIBULL.DIST(BL$2,$M127,$L127,FALSE)*($T127*(1-$F127)+$S127*(1-$G127))*((1+Inputs!$D$7)^BL$2))))))</f>
        <v>0</v>
      </c>
      <c r="BM127" s="88">
        <f>$E127*IF(BM$2&gt;Inputs!$D$5,0,IF(BM$2&gt;VLOOKUP($H127,Lists!$P$3:$Q$7,2),IF($N127=Lists!$K$3,IF($L127&lt;1,(($U127/$L127)*((1+Inputs!$D$7)^BM$2)),((INT(BM$2/$L127)-INT((BM$2-1)/$L127))*$U127*((1+Inputs!$D$7)^BM$2))),(_xlfn.WEIBULL.DIST(BM$2,$M127,$L127,FALSE)*$U127*((1+Inputs!$D$7)^BM$2))),IF($N127=Lists!$K$3,IF($L127&lt;1,((($T127*(1-$F127)+$S127*(1-$G127))/$L127)*((1+Inputs!$D$7)^BM$2)),((INT(BM$2/$L127)-INT((BM$2-1)/$L127))*($T127*(1-$F127)+$S127*(1-$G127))*((1+Inputs!$D$7)^BM$2))),((_xlfn.WEIBULL.DIST(BM$2,$M127,$L127,FALSE)*($T127*(1-$F127)+$S127*(1-$G127))*((1+Inputs!$D$7)^BM$2))))))</f>
        <v>0</v>
      </c>
      <c r="BN127" s="88">
        <f>$E127*IF(BN$2&gt;Inputs!$D$5,0,IF(BN$2&gt;VLOOKUP($H127,Lists!$P$3:$Q$7,2),IF($N127=Lists!$K$3,IF($L127&lt;1,(($U127/$L127)*((1+Inputs!$D$7)^BN$2)),((INT(BN$2/$L127)-INT((BN$2-1)/$L127))*$U127*((1+Inputs!$D$7)^BN$2))),(_xlfn.WEIBULL.DIST(BN$2,$M127,$L127,FALSE)*$U127*((1+Inputs!$D$7)^BN$2))),IF($N127=Lists!$K$3,IF($L127&lt;1,((($T127*(1-$F127)+$S127*(1-$G127))/$L127)*((1+Inputs!$D$7)^BN$2)),((INT(BN$2/$L127)-INT((BN$2-1)/$L127))*($T127*(1-$F127)+$S127*(1-$G127))*((1+Inputs!$D$7)^BN$2))),((_xlfn.WEIBULL.DIST(BN$2,$M127,$L127,FALSE)*($T127*(1-$F127)+$S127*(1-$G127))*((1+Inputs!$D$7)^BN$2))))))</f>
        <v>0</v>
      </c>
      <c r="BO127" s="64">
        <f>NPV(Inputs!$D$6,BQ127:DD127)</f>
        <v>77280.805968444241</v>
      </c>
      <c r="BP127" s="67">
        <f t="shared" si="27"/>
        <v>3.6449400998374577E-2</v>
      </c>
      <c r="BQ127" s="88">
        <f>MAX(AA127,($E127*IF(BQ$2&gt;Inputs!$D$5,0,IF(BQ$2&gt;VLOOKUP($H127,Lists!$P$3:$Q$7,2),IF($N127=Lists!$K$3,IF($L127&lt;1,(($U127/$L127)*((1+Inputs!$D$7)^BQ$2)),((INT(BQ$2/$L127)-INT((BQ$2-1)/$L127))*$U127*((1+Inputs!$D$7)^BQ$2))),(Inputs!$D$8^((1-_xlfn.WEIBULL.DIST(BQ$2,$M127,$L127,FALSE))/_xlfn.WEIBULL.DIST(BQ$2,$M127,$L127,FALSE))*$U127*((1+Inputs!$D$7)^BQ$2))),IF($N127=Lists!$K$3,IF($L127&lt;1,((($T127*(1-$F127)+$S127*(1-$G127))/$L127)*((1+Inputs!$D$7)^BQ$2)),((INT(BQ$2/$L127)-INT((BQ$2-1)/$L127))*($T127*(1-$F127)+$S127*(1-$G127))*((1+Inputs!$D$7)^BQ$2))),((Inputs!$D$8^((1-_xlfn.WEIBULL.DIST(BQ$2,$M127,$L127,FALSE))/_xlfn.WEIBULL.DIST(BQ$2,$M127,$L127,FALSE))*($T127*(1-$F127)+$S127*(1-$G127))*((1+Inputs!$D$7)^BQ$2))))))))</f>
        <v>5538.0983606557375</v>
      </c>
      <c r="BR127" s="88">
        <f>MAX(AB127,($E127*IF(BR$2&gt;Inputs!$D$5,0,IF(BR$2&gt;VLOOKUP($H127,Lists!$P$3:$Q$7,2),IF($N127=Lists!$K$3,IF($L127&lt;1,(($U127/$L127)*((1+Inputs!$D$7)^BR$2)),((INT(BR$2/$L127)-INT((BR$2-1)/$L127))*$U127*((1+Inputs!$D$7)^BR$2))),(Inputs!$D$8^((1-_xlfn.WEIBULL.DIST(BR$2,$M127,$L127,FALSE))/_xlfn.WEIBULL.DIST(BR$2,$M127,$L127,FALSE))*$U127*((1+Inputs!$D$7)^BR$2))),IF($N127=Lists!$K$3,IF($L127&lt;1,((($T127*(1-$F127)+$S127*(1-$G127))/$L127)*((1+Inputs!$D$7)^BR$2)),((INT(BR$2/$L127)-INT((BR$2-1)/$L127))*($T127*(1-$F127)+$S127*(1-$G127))*((1+Inputs!$D$7)^BR$2))),((Inputs!$D$8^((1-_xlfn.WEIBULL.DIST(BR$2,$M127,$L127,FALSE))/_xlfn.WEIBULL.DIST(BR$2,$M127,$L127,FALSE))*($T127*(1-$F127)+$S127*(1-$G127))*((1+Inputs!$D$7)^BR$2))))))))</f>
        <v>5648.8603278688515</v>
      </c>
      <c r="BS127" s="88">
        <f>MAX(AC127,($E127*IF(BS$2&gt;Inputs!$D$5,0,IF(BS$2&gt;VLOOKUP($H127,Lists!$P$3:$Q$7,2),IF($N127=Lists!$K$3,IF($L127&lt;1,(($U127/$L127)*((1+Inputs!$D$7)^BS$2)),((INT(BS$2/$L127)-INT((BS$2-1)/$L127))*$U127*((1+Inputs!$D$7)^BS$2))),(Inputs!$D$8^((1-_xlfn.WEIBULL.DIST(BS$2,$M127,$L127,FALSE))/_xlfn.WEIBULL.DIST(BS$2,$M127,$L127,FALSE))*$U127*((1+Inputs!$D$7)^BS$2))),IF($N127=Lists!$K$3,IF($L127&lt;1,((($T127*(1-$F127)+$S127*(1-$G127))/$L127)*((1+Inputs!$D$7)^BS$2)),((INT(BS$2/$L127)-INT((BS$2-1)/$L127))*($T127*(1-$F127)+$S127*(1-$G127))*((1+Inputs!$D$7)^BS$2))),((Inputs!$D$8^((1-_xlfn.WEIBULL.DIST(BS$2,$M127,$L127,FALSE))/_xlfn.WEIBULL.DIST(BS$2,$M127,$L127,FALSE))*($T127*(1-$F127)+$S127*(1-$G127))*((1+Inputs!$D$7)^BS$2))))))))</f>
        <v>5761.8375344262286</v>
      </c>
      <c r="BT127" s="88">
        <f>MAX(AD127,($E127*IF(BT$2&gt;Inputs!$D$5,0,IF(BT$2&gt;VLOOKUP($H127,Lists!$P$3:$Q$7,2),IF($N127=Lists!$K$3,IF($L127&lt;1,(($U127/$L127)*((1+Inputs!$D$7)^BT$2)),((INT(BT$2/$L127)-INT((BT$2-1)/$L127))*$U127*((1+Inputs!$D$7)^BT$2))),(Inputs!$D$8^((1-_xlfn.WEIBULL.DIST(BT$2,$M127,$L127,FALSE))/_xlfn.WEIBULL.DIST(BT$2,$M127,$L127,FALSE))*$U127*((1+Inputs!$D$7)^BT$2))),IF($N127=Lists!$K$3,IF($L127&lt;1,((($T127*(1-$F127)+$S127*(1-$G127))/$L127)*((1+Inputs!$D$7)^BT$2)),((INT(BT$2/$L127)-INT((BT$2-1)/$L127))*($T127*(1-$F127)+$S127*(1-$G127))*((1+Inputs!$D$7)^BT$2))),((Inputs!$D$8^((1-_xlfn.WEIBULL.DIST(BT$2,$M127,$L127,FALSE))/_xlfn.WEIBULL.DIST(BT$2,$M127,$L127,FALSE))*($T127*(1-$F127)+$S127*(1-$G127))*((1+Inputs!$D$7)^BT$2))))))))</f>
        <v>5877.0742851147534</v>
      </c>
      <c r="BU127" s="88">
        <f>MAX(AE127,($E127*IF(BU$2&gt;Inputs!$D$5,0,IF(BU$2&gt;VLOOKUP($H127,Lists!$P$3:$Q$7,2),IF($N127=Lists!$K$3,IF($L127&lt;1,(($U127/$L127)*((1+Inputs!$D$7)^BU$2)),((INT(BU$2/$L127)-INT((BU$2-1)/$L127))*$U127*((1+Inputs!$D$7)^BU$2))),(Inputs!$D$8^((1-_xlfn.WEIBULL.DIST(BU$2,$M127,$L127,FALSE))/_xlfn.WEIBULL.DIST(BU$2,$M127,$L127,FALSE))*$U127*((1+Inputs!$D$7)^BU$2))),IF($N127=Lists!$K$3,IF($L127&lt;1,((($T127*(1-$F127)+$S127*(1-$G127))/$L127)*((1+Inputs!$D$7)^BU$2)),((INT(BU$2/$L127)-INT((BU$2-1)/$L127))*($T127*(1-$F127)+$S127*(1-$G127))*((1+Inputs!$D$7)^BU$2))),((Inputs!$D$8^((1-_xlfn.WEIBULL.DIST(BU$2,$M127,$L127,FALSE))/_xlfn.WEIBULL.DIST(BU$2,$M127,$L127,FALSE))*($T127*(1-$F127)+$S127*(1-$G127))*((1+Inputs!$D$7)^BU$2))))))))</f>
        <v>5994.6157708170485</v>
      </c>
      <c r="BV127" s="88">
        <f>MAX(AF127,($E127*IF(BV$2&gt;Inputs!$D$5,0,IF(BV$2&gt;VLOOKUP($H127,Lists!$P$3:$Q$7,2),IF($N127=Lists!$K$3,IF($L127&lt;1,(($U127/$L127)*((1+Inputs!$D$7)^BV$2)),((INT(BV$2/$L127)-INT((BV$2-1)/$L127))*$U127*((1+Inputs!$D$7)^BV$2))),(Inputs!$D$8^((1-_xlfn.WEIBULL.DIST(BV$2,$M127,$L127,FALSE))/_xlfn.WEIBULL.DIST(BV$2,$M127,$L127,FALSE))*$U127*((1+Inputs!$D$7)^BV$2))),IF($N127=Lists!$K$3,IF($L127&lt;1,((($T127*(1-$F127)+$S127*(1-$G127))/$L127)*((1+Inputs!$D$7)^BV$2)),((INT(BV$2/$L127)-INT((BV$2-1)/$L127))*($T127*(1-$F127)+$S127*(1-$G127))*((1+Inputs!$D$7)^BV$2))),((Inputs!$D$8^((1-_xlfn.WEIBULL.DIST(BV$2,$M127,$L127,FALSE))/_xlfn.WEIBULL.DIST(BV$2,$M127,$L127,FALSE))*($T127*(1-$F127)+$S127*(1-$G127))*((1+Inputs!$D$7)^BV$2))))))))</f>
        <v>6114.5080862333898</v>
      </c>
      <c r="BW127" s="88">
        <f>MAX(AG127,($E127*IF(BW$2&gt;Inputs!$D$5,0,IF(BW$2&gt;VLOOKUP($H127,Lists!$P$3:$Q$7,2),IF($N127=Lists!$K$3,IF($L127&lt;1,(($U127/$L127)*((1+Inputs!$D$7)^BW$2)),((INT(BW$2/$L127)-INT((BW$2-1)/$L127))*$U127*((1+Inputs!$D$7)^BW$2))),(Inputs!$D$8^((1-_xlfn.WEIBULL.DIST(BW$2,$M127,$L127,FALSE))/_xlfn.WEIBULL.DIST(BW$2,$M127,$L127,FALSE))*$U127*((1+Inputs!$D$7)^BW$2))),IF($N127=Lists!$K$3,IF($L127&lt;1,((($T127*(1-$F127)+$S127*(1-$G127))/$L127)*((1+Inputs!$D$7)^BW$2)),((INT(BW$2/$L127)-INT((BW$2-1)/$L127))*($T127*(1-$F127)+$S127*(1-$G127))*((1+Inputs!$D$7)^BW$2))),((Inputs!$D$8^((1-_xlfn.WEIBULL.DIST(BW$2,$M127,$L127,FALSE))/_xlfn.WEIBULL.DIST(BW$2,$M127,$L127,FALSE))*($T127*(1-$F127)+$S127*(1-$G127))*((1+Inputs!$D$7)^BW$2))))))))</f>
        <v>6236.798247958056</v>
      </c>
      <c r="BX127" s="88">
        <f>MAX(AH127,($E127*IF(BX$2&gt;Inputs!$D$5,0,IF(BX$2&gt;VLOOKUP($H127,Lists!$P$3:$Q$7,2),IF($N127=Lists!$K$3,IF($L127&lt;1,(($U127/$L127)*((1+Inputs!$D$7)^BX$2)),((INT(BX$2/$L127)-INT((BX$2-1)/$L127))*$U127*((1+Inputs!$D$7)^BX$2))),(Inputs!$D$8^((1-_xlfn.WEIBULL.DIST(BX$2,$M127,$L127,FALSE))/_xlfn.WEIBULL.DIST(BX$2,$M127,$L127,FALSE))*$U127*((1+Inputs!$D$7)^BX$2))),IF($N127=Lists!$K$3,IF($L127&lt;1,((($T127*(1-$F127)+$S127*(1-$G127))/$L127)*((1+Inputs!$D$7)^BX$2)),((INT(BX$2/$L127)-INT((BX$2-1)/$L127))*($T127*(1-$F127)+$S127*(1-$G127))*((1+Inputs!$D$7)^BX$2))),((Inputs!$D$8^((1-_xlfn.WEIBULL.DIST(BX$2,$M127,$L127,FALSE))/_xlfn.WEIBULL.DIST(BX$2,$M127,$L127,FALSE))*($T127*(1-$F127)+$S127*(1-$G127))*((1+Inputs!$D$7)^BX$2))))))))</f>
        <v>6361.5342129172177</v>
      </c>
      <c r="BY127" s="88">
        <f>MAX(AI127,($E127*IF(BY$2&gt;Inputs!$D$5,0,IF(BY$2&gt;VLOOKUP($H127,Lists!$P$3:$Q$7,2),IF($N127=Lists!$K$3,IF($L127&lt;1,(($U127/$L127)*((1+Inputs!$D$7)^BY$2)),((INT(BY$2/$L127)-INT((BY$2-1)/$L127))*$U127*((1+Inputs!$D$7)^BY$2))),(Inputs!$D$8^((1-_xlfn.WEIBULL.DIST(BY$2,$M127,$L127,FALSE))/_xlfn.WEIBULL.DIST(BY$2,$M127,$L127,FALSE))*$U127*((1+Inputs!$D$7)^BY$2))),IF($N127=Lists!$K$3,IF($L127&lt;1,((($T127*(1-$F127)+$S127*(1-$G127))/$L127)*((1+Inputs!$D$7)^BY$2)),((INT(BY$2/$L127)-INT((BY$2-1)/$L127))*($T127*(1-$F127)+$S127*(1-$G127))*((1+Inputs!$D$7)^BY$2))),((Inputs!$D$8^((1-_xlfn.WEIBULL.DIST(BY$2,$M127,$L127,FALSE))/_xlfn.WEIBULL.DIST(BY$2,$M127,$L127,FALSE))*($T127*(1-$F127)+$S127*(1-$G127))*((1+Inputs!$D$7)^BY$2))))))))</f>
        <v>6488.7648971755625</v>
      </c>
      <c r="BZ127" s="88">
        <f>MAX(AJ127,($E127*IF(BZ$2&gt;Inputs!$D$5,0,IF(BZ$2&gt;VLOOKUP($H127,Lists!$P$3:$Q$7,2),IF($N127=Lists!$K$3,IF($L127&lt;1,(($U127/$L127)*((1+Inputs!$D$7)^BZ$2)),((INT(BZ$2/$L127)-INT((BZ$2-1)/$L127))*$U127*((1+Inputs!$D$7)^BZ$2))),(Inputs!$D$8^((1-_xlfn.WEIBULL.DIST(BZ$2,$M127,$L127,FALSE))/_xlfn.WEIBULL.DIST(BZ$2,$M127,$L127,FALSE))*$U127*((1+Inputs!$D$7)^BZ$2))),IF($N127=Lists!$K$3,IF($L127&lt;1,((($T127*(1-$F127)+$S127*(1-$G127))/$L127)*((1+Inputs!$D$7)^BZ$2)),((INT(BZ$2/$L127)-INT((BZ$2-1)/$L127))*($T127*(1-$F127)+$S127*(1-$G127))*((1+Inputs!$D$7)^BZ$2))),((Inputs!$D$8^((1-_xlfn.WEIBULL.DIST(BZ$2,$M127,$L127,FALSE))/_xlfn.WEIBULL.DIST(BZ$2,$M127,$L127,FALSE))*($T127*(1-$F127)+$S127*(1-$G127))*((1+Inputs!$D$7)^BZ$2))))))))</f>
        <v>6618.5401951190743</v>
      </c>
      <c r="CA127" s="88">
        <f>MAX(AK127,($E127*IF(CA$2&gt;Inputs!$D$5,0,IF(CA$2&gt;VLOOKUP($H127,Lists!$P$3:$Q$7,2),IF($N127=Lists!$K$3,IF($L127&lt;1,(($U127/$L127)*((1+Inputs!$D$7)^CA$2)),((INT(CA$2/$L127)-INT((CA$2-1)/$L127))*$U127*((1+Inputs!$D$7)^CA$2))),(Inputs!$D$8^((1-_xlfn.WEIBULL.DIST(CA$2,$M127,$L127,FALSE))/_xlfn.WEIBULL.DIST(CA$2,$M127,$L127,FALSE))*$U127*((1+Inputs!$D$7)^CA$2))),IF($N127=Lists!$K$3,IF($L127&lt;1,((($T127*(1-$F127)+$S127*(1-$G127))/$L127)*((1+Inputs!$D$7)^CA$2)),((INT(CA$2/$L127)-INT((CA$2-1)/$L127))*($T127*(1-$F127)+$S127*(1-$G127))*((1+Inputs!$D$7)^CA$2))),((Inputs!$D$8^((1-_xlfn.WEIBULL.DIST(CA$2,$M127,$L127,FALSE))/_xlfn.WEIBULL.DIST(CA$2,$M127,$L127,FALSE))*($T127*(1-$F127)+$S127*(1-$G127))*((1+Inputs!$D$7)^CA$2))))))))</f>
        <v>6750.9109990214538</v>
      </c>
      <c r="CB127" s="88">
        <f>MAX(AL127,($E127*IF(CB$2&gt;Inputs!$D$5,0,IF(CB$2&gt;VLOOKUP($H127,Lists!$P$3:$Q$7,2),IF($N127=Lists!$K$3,IF($L127&lt;1,(($U127/$L127)*((1+Inputs!$D$7)^CB$2)),((INT(CB$2/$L127)-INT((CB$2-1)/$L127))*$U127*((1+Inputs!$D$7)^CB$2))),(Inputs!$D$8^((1-_xlfn.WEIBULL.DIST(CB$2,$M127,$L127,FALSE))/_xlfn.WEIBULL.DIST(CB$2,$M127,$L127,FALSE))*$U127*((1+Inputs!$D$7)^CB$2))),IF($N127=Lists!$K$3,IF($L127&lt;1,((($T127*(1-$F127)+$S127*(1-$G127))/$L127)*((1+Inputs!$D$7)^CB$2)),((INT(CB$2/$L127)-INT((CB$2-1)/$L127))*($T127*(1-$F127)+$S127*(1-$G127))*((1+Inputs!$D$7)^CB$2))),((Inputs!$D$8^((1-_xlfn.WEIBULL.DIST(CB$2,$M127,$L127,FALSE))/_xlfn.WEIBULL.DIST(CB$2,$M127,$L127,FALSE))*($T127*(1-$F127)+$S127*(1-$G127))*((1+Inputs!$D$7)^CB$2))))))))</f>
        <v>6885.9292190018841</v>
      </c>
      <c r="CC127" s="88">
        <f>MAX(AM127,($E127*IF(CC$2&gt;Inputs!$D$5,0,IF(CC$2&gt;VLOOKUP($H127,Lists!$P$3:$Q$7,2),IF($N127=Lists!$K$3,IF($L127&lt;1,(($U127/$L127)*((1+Inputs!$D$7)^CC$2)),((INT(CC$2/$L127)-INT((CC$2-1)/$L127))*$U127*((1+Inputs!$D$7)^CC$2))),(Inputs!$D$8^((1-_xlfn.WEIBULL.DIST(CC$2,$M127,$L127,FALSE))/_xlfn.WEIBULL.DIST(CC$2,$M127,$L127,FALSE))*$U127*((1+Inputs!$D$7)^CC$2))),IF($N127=Lists!$K$3,IF($L127&lt;1,((($T127*(1-$F127)+$S127*(1-$G127))/$L127)*((1+Inputs!$D$7)^CC$2)),((INT(CC$2/$L127)-INT((CC$2-1)/$L127))*($T127*(1-$F127)+$S127*(1-$G127))*((1+Inputs!$D$7)^CC$2))),((Inputs!$D$8^((1-_xlfn.WEIBULL.DIST(CC$2,$M127,$L127,FALSE))/_xlfn.WEIBULL.DIST(CC$2,$M127,$L127,FALSE))*($T127*(1-$F127)+$S127*(1-$G127))*((1+Inputs!$D$7)^CC$2))))))))</f>
        <v>7023.6478033819212</v>
      </c>
      <c r="CD127" s="88">
        <f>MAX(AN127,($E127*IF(CD$2&gt;Inputs!$D$5,0,IF(CD$2&gt;VLOOKUP($H127,Lists!$P$3:$Q$7,2),IF($N127=Lists!$K$3,IF($L127&lt;1,(($U127/$L127)*((1+Inputs!$D$7)^CD$2)),((INT(CD$2/$L127)-INT((CD$2-1)/$L127))*$U127*((1+Inputs!$D$7)^CD$2))),(Inputs!$D$8^((1-_xlfn.WEIBULL.DIST(CD$2,$M127,$L127,FALSE))/_xlfn.WEIBULL.DIST(CD$2,$M127,$L127,FALSE))*$U127*((1+Inputs!$D$7)^CD$2))),IF($N127=Lists!$K$3,IF($L127&lt;1,((($T127*(1-$F127)+$S127*(1-$G127))/$L127)*((1+Inputs!$D$7)^CD$2)),((INT(CD$2/$L127)-INT((CD$2-1)/$L127))*($T127*(1-$F127)+$S127*(1-$G127))*((1+Inputs!$D$7)^CD$2))),((Inputs!$D$8^((1-_xlfn.WEIBULL.DIST(CD$2,$M127,$L127,FALSE))/_xlfn.WEIBULL.DIST(CD$2,$M127,$L127,FALSE))*($T127*(1-$F127)+$S127*(1-$G127))*((1+Inputs!$D$7)^CD$2))))))))</f>
        <v>7164.1207594495609</v>
      </c>
      <c r="CE127" s="88">
        <f>MAX(AO127,($E127*IF(CE$2&gt;Inputs!$D$5,0,IF(CE$2&gt;VLOOKUP($H127,Lists!$P$3:$Q$7,2),IF($N127=Lists!$K$3,IF($L127&lt;1,(($U127/$L127)*((1+Inputs!$D$7)^CE$2)),((INT(CE$2/$L127)-INT((CE$2-1)/$L127))*$U127*((1+Inputs!$D$7)^CE$2))),(Inputs!$D$8^((1-_xlfn.WEIBULL.DIST(CE$2,$M127,$L127,FALSE))/_xlfn.WEIBULL.DIST(CE$2,$M127,$L127,FALSE))*$U127*((1+Inputs!$D$7)^CE$2))),IF($N127=Lists!$K$3,IF($L127&lt;1,((($T127*(1-$F127)+$S127*(1-$G127))/$L127)*((1+Inputs!$D$7)^CE$2)),((INT(CE$2/$L127)-INT((CE$2-1)/$L127))*($T127*(1-$F127)+$S127*(1-$G127))*((1+Inputs!$D$7)^CE$2))),((Inputs!$D$8^((1-_xlfn.WEIBULL.DIST(CE$2,$M127,$L127,FALSE))/_xlfn.WEIBULL.DIST(CE$2,$M127,$L127,FALSE))*($T127*(1-$F127)+$S127*(1-$G127))*((1+Inputs!$D$7)^CE$2))))))))</f>
        <v>7307.4031746385499</v>
      </c>
      <c r="CF127" s="88">
        <f>MAX(AP127,($E127*IF(CF$2&gt;Inputs!$D$5,0,IF(CF$2&gt;VLOOKUP($H127,Lists!$P$3:$Q$7,2),IF($N127=Lists!$K$3,IF($L127&lt;1,(($U127/$L127)*((1+Inputs!$D$7)^CF$2)),((INT(CF$2/$L127)-INT((CF$2-1)/$L127))*$U127*((1+Inputs!$D$7)^CF$2))),(Inputs!$D$8^((1-_xlfn.WEIBULL.DIST(CF$2,$M127,$L127,FALSE))/_xlfn.WEIBULL.DIST(CF$2,$M127,$L127,FALSE))*$U127*((1+Inputs!$D$7)^CF$2))),IF($N127=Lists!$K$3,IF($L127&lt;1,((($T127*(1-$F127)+$S127*(1-$G127))/$L127)*((1+Inputs!$D$7)^CF$2)),((INT(CF$2/$L127)-INT((CF$2-1)/$L127))*($T127*(1-$F127)+$S127*(1-$G127))*((1+Inputs!$D$7)^CF$2))),((Inputs!$D$8^((1-_xlfn.WEIBULL.DIST(CF$2,$M127,$L127,FALSE))/_xlfn.WEIBULL.DIST(CF$2,$M127,$L127,FALSE))*($T127*(1-$F127)+$S127*(1-$G127))*((1+Inputs!$D$7)^CF$2))))))))</f>
        <v>7453.551238131322</v>
      </c>
      <c r="CG127" s="88">
        <f>MAX(AQ127,($E127*IF(CG$2&gt;Inputs!$D$5,0,IF(CG$2&gt;VLOOKUP($H127,Lists!$P$3:$Q$7,2),IF($N127=Lists!$K$3,IF($L127&lt;1,(($U127/$L127)*((1+Inputs!$D$7)^CG$2)),((INT(CG$2/$L127)-INT((CG$2-1)/$L127))*$U127*((1+Inputs!$D$7)^CG$2))),(Inputs!$D$8^((1-_xlfn.WEIBULL.DIST(CG$2,$M127,$L127,FALSE))/_xlfn.WEIBULL.DIST(CG$2,$M127,$L127,FALSE))*$U127*((1+Inputs!$D$7)^CG$2))),IF($N127=Lists!$K$3,IF($L127&lt;1,((($T127*(1-$F127)+$S127*(1-$G127))/$L127)*((1+Inputs!$D$7)^CG$2)),((INT(CG$2/$L127)-INT((CG$2-1)/$L127))*($T127*(1-$F127)+$S127*(1-$G127))*((1+Inputs!$D$7)^CG$2))),((Inputs!$D$8^((1-_xlfn.WEIBULL.DIST(CG$2,$M127,$L127,FALSE))/_xlfn.WEIBULL.DIST(CG$2,$M127,$L127,FALSE))*($T127*(1-$F127)+$S127*(1-$G127))*((1+Inputs!$D$7)^CG$2))))))))</f>
        <v>7602.6222628939495</v>
      </c>
      <c r="CH127" s="88">
        <f>MAX(AR127,($E127*IF(CH$2&gt;Inputs!$D$5,0,IF(CH$2&gt;VLOOKUP($H127,Lists!$P$3:$Q$7,2),IF($N127=Lists!$K$3,IF($L127&lt;1,(($U127/$L127)*((1+Inputs!$D$7)^CH$2)),((INT(CH$2/$L127)-INT((CH$2-1)/$L127))*$U127*((1+Inputs!$D$7)^CH$2))),(Inputs!$D$8^((1-_xlfn.WEIBULL.DIST(CH$2,$M127,$L127,FALSE))/_xlfn.WEIBULL.DIST(CH$2,$M127,$L127,FALSE))*$U127*((1+Inputs!$D$7)^CH$2))),IF($N127=Lists!$K$3,IF($L127&lt;1,((($T127*(1-$F127)+$S127*(1-$G127))/$L127)*((1+Inputs!$D$7)^CH$2)),((INT(CH$2/$L127)-INT((CH$2-1)/$L127))*($T127*(1-$F127)+$S127*(1-$G127))*((1+Inputs!$D$7)^CH$2))),((Inputs!$D$8^((1-_xlfn.WEIBULL.DIST(CH$2,$M127,$L127,FALSE))/_xlfn.WEIBULL.DIST(CH$2,$M127,$L127,FALSE))*($T127*(1-$F127)+$S127*(1-$G127))*((1+Inputs!$D$7)^CH$2))))))))</f>
        <v>7754.6747081518279</v>
      </c>
      <c r="CI127" s="88">
        <f>MAX(AS127,($E127*IF(CI$2&gt;Inputs!$D$5,0,IF(CI$2&gt;VLOOKUP($H127,Lists!$P$3:$Q$7,2),IF($N127=Lists!$K$3,IF($L127&lt;1,(($U127/$L127)*((1+Inputs!$D$7)^CI$2)),((INT(CI$2/$L127)-INT((CI$2-1)/$L127))*$U127*((1+Inputs!$D$7)^CI$2))),(Inputs!$D$8^((1-_xlfn.WEIBULL.DIST(CI$2,$M127,$L127,FALSE))/_xlfn.WEIBULL.DIST(CI$2,$M127,$L127,FALSE))*$U127*((1+Inputs!$D$7)^CI$2))),IF($N127=Lists!$K$3,IF($L127&lt;1,((($T127*(1-$F127)+$S127*(1-$G127))/$L127)*((1+Inputs!$D$7)^CI$2)),((INT(CI$2/$L127)-INT((CI$2-1)/$L127))*($T127*(1-$F127)+$S127*(1-$G127))*((1+Inputs!$D$7)^CI$2))),((Inputs!$D$8^((1-_xlfn.WEIBULL.DIST(CI$2,$M127,$L127,FALSE))/_xlfn.WEIBULL.DIST(CI$2,$M127,$L127,FALSE))*($T127*(1-$F127)+$S127*(1-$G127))*((1+Inputs!$D$7)^CI$2))))))))</f>
        <v>7909.7682023148636</v>
      </c>
      <c r="CJ127" s="88">
        <f>MAX(AT127,($E127*IF(CJ$2&gt;Inputs!$D$5,0,IF(CJ$2&gt;VLOOKUP($H127,Lists!$P$3:$Q$7,2),IF($N127=Lists!$K$3,IF($L127&lt;1,(($U127/$L127)*((1+Inputs!$D$7)^CJ$2)),((INT(CJ$2/$L127)-INT((CJ$2-1)/$L127))*$U127*((1+Inputs!$D$7)^CJ$2))),(Inputs!$D$8^((1-_xlfn.WEIBULL.DIST(CJ$2,$M127,$L127,FALSE))/_xlfn.WEIBULL.DIST(CJ$2,$M127,$L127,FALSE))*$U127*((1+Inputs!$D$7)^CJ$2))),IF($N127=Lists!$K$3,IF($L127&lt;1,((($T127*(1-$F127)+$S127*(1-$G127))/$L127)*((1+Inputs!$D$7)^CJ$2)),((INT(CJ$2/$L127)-INT((CJ$2-1)/$L127))*($T127*(1-$F127)+$S127*(1-$G127))*((1+Inputs!$D$7)^CJ$2))),((Inputs!$D$8^((1-_xlfn.WEIBULL.DIST(CJ$2,$M127,$L127,FALSE))/_xlfn.WEIBULL.DIST(CJ$2,$M127,$L127,FALSE))*($T127*(1-$F127)+$S127*(1-$G127))*((1+Inputs!$D$7)^CJ$2))))))))</f>
        <v>8067.9635663611616</v>
      </c>
      <c r="CK127" s="88">
        <f>MAX(AU127,($E127*IF(CK$2&gt;Inputs!$D$5,0,IF(CK$2&gt;VLOOKUP($H127,Lists!$P$3:$Q$7,2),IF($N127=Lists!$K$3,IF($L127&lt;1,(($U127/$L127)*((1+Inputs!$D$7)^CK$2)),((INT(CK$2/$L127)-INT((CK$2-1)/$L127))*$U127*((1+Inputs!$D$7)^CK$2))),(Inputs!$D$8^((1-_xlfn.WEIBULL.DIST(CK$2,$M127,$L127,FALSE))/_xlfn.WEIBULL.DIST(CK$2,$M127,$L127,FALSE))*$U127*((1+Inputs!$D$7)^CK$2))),IF($N127=Lists!$K$3,IF($L127&lt;1,((($T127*(1-$F127)+$S127*(1-$G127))/$L127)*((1+Inputs!$D$7)^CK$2)),((INT(CK$2/$L127)-INT((CK$2-1)/$L127))*($T127*(1-$F127)+$S127*(1-$G127))*((1+Inputs!$D$7)^CK$2))),((Inputs!$D$8^((1-_xlfn.WEIBULL.DIST(CK$2,$M127,$L127,FALSE))/_xlfn.WEIBULL.DIST(CK$2,$M127,$L127,FALSE))*($T127*(1-$F127)+$S127*(1-$G127))*((1+Inputs!$D$7)^CK$2))))))))</f>
        <v>8229.3228376883853</v>
      </c>
      <c r="CL127" s="88">
        <f>MAX(AV127,($E127*IF(CL$2&gt;Inputs!$D$5,0,IF(CL$2&gt;VLOOKUP($H127,Lists!$P$3:$Q$7,2),IF($N127=Lists!$K$3,IF($L127&lt;1,(($U127/$L127)*((1+Inputs!$D$7)^CL$2)),((INT(CL$2/$L127)-INT((CL$2-1)/$L127))*$U127*((1+Inputs!$D$7)^CL$2))),(Inputs!$D$8^((1-_xlfn.WEIBULL.DIST(CL$2,$M127,$L127,FALSE))/_xlfn.WEIBULL.DIST(CL$2,$M127,$L127,FALSE))*$U127*((1+Inputs!$D$7)^CL$2))),IF($N127=Lists!$K$3,IF($L127&lt;1,((($T127*(1-$F127)+$S127*(1-$G127))/$L127)*((1+Inputs!$D$7)^CL$2)),((INT(CL$2/$L127)-INT((CL$2-1)/$L127))*($T127*(1-$F127)+$S127*(1-$G127))*((1+Inputs!$D$7)^CL$2))),((Inputs!$D$8^((1-_xlfn.WEIBULL.DIST(CL$2,$M127,$L127,FALSE))/_xlfn.WEIBULL.DIST(CL$2,$M127,$L127,FALSE))*($T127*(1-$F127)+$S127*(1-$G127))*((1+Inputs!$D$7)^CL$2))))))))</f>
        <v>8393.9092944421518</v>
      </c>
      <c r="CM127" s="88">
        <f>MAX(AW127,($E127*IF(CM$2&gt;Inputs!$D$5,0,IF(CM$2&gt;VLOOKUP($H127,Lists!$P$3:$Q$7,2),IF($N127=Lists!$K$3,IF($L127&lt;1,(($U127/$L127)*((1+Inputs!$D$7)^CM$2)),((INT(CM$2/$L127)-INT((CM$2-1)/$L127))*$U127*((1+Inputs!$D$7)^CM$2))),(Inputs!$D$8^((1-_xlfn.WEIBULL.DIST(CM$2,$M127,$L127,FALSE))/_xlfn.WEIBULL.DIST(CM$2,$M127,$L127,FALSE))*$U127*((1+Inputs!$D$7)^CM$2))),IF($N127=Lists!$K$3,IF($L127&lt;1,((($T127*(1-$F127)+$S127*(1-$G127))/$L127)*((1+Inputs!$D$7)^CM$2)),((INT(CM$2/$L127)-INT((CM$2-1)/$L127))*($T127*(1-$F127)+$S127*(1-$G127))*((1+Inputs!$D$7)^CM$2))),((Inputs!$D$8^((1-_xlfn.WEIBULL.DIST(CM$2,$M127,$L127,FALSE))/_xlfn.WEIBULL.DIST(CM$2,$M127,$L127,FALSE))*($T127*(1-$F127)+$S127*(1-$G127))*((1+Inputs!$D$7)^CM$2))))))))</f>
        <v>8561.7874803309933</v>
      </c>
      <c r="CN127" s="88">
        <f>MAX(AX127,($E127*IF(CN$2&gt;Inputs!$D$5,0,IF(CN$2&gt;VLOOKUP($H127,Lists!$P$3:$Q$7,2),IF($N127=Lists!$K$3,IF($L127&lt;1,(($U127/$L127)*((1+Inputs!$D$7)^CN$2)),((INT(CN$2/$L127)-INT((CN$2-1)/$L127))*$U127*((1+Inputs!$D$7)^CN$2))),(Inputs!$D$8^((1-_xlfn.WEIBULL.DIST(CN$2,$M127,$L127,FALSE))/_xlfn.WEIBULL.DIST(CN$2,$M127,$L127,FALSE))*$U127*((1+Inputs!$D$7)^CN$2))),IF($N127=Lists!$K$3,IF($L127&lt;1,((($T127*(1-$F127)+$S127*(1-$G127))/$L127)*((1+Inputs!$D$7)^CN$2)),((INT(CN$2/$L127)-INT((CN$2-1)/$L127))*($T127*(1-$F127)+$S127*(1-$G127))*((1+Inputs!$D$7)^CN$2))),((Inputs!$D$8^((1-_xlfn.WEIBULL.DIST(CN$2,$M127,$L127,FALSE))/_xlfn.WEIBULL.DIST(CN$2,$M127,$L127,FALSE))*($T127*(1-$F127)+$S127*(1-$G127))*((1+Inputs!$D$7)^CN$2))))))))</f>
        <v>8733.0232299376148</v>
      </c>
      <c r="CO127" s="88">
        <f>MAX(AY127,($E127*IF(CO$2&gt;Inputs!$D$5,0,IF(CO$2&gt;VLOOKUP($H127,Lists!$P$3:$Q$7,2),IF($N127=Lists!$K$3,IF($L127&lt;1,(($U127/$L127)*((1+Inputs!$D$7)^CO$2)),((INT(CO$2/$L127)-INT((CO$2-1)/$L127))*$U127*((1+Inputs!$D$7)^CO$2))),(Inputs!$D$8^((1-_xlfn.WEIBULL.DIST(CO$2,$M127,$L127,FALSE))/_xlfn.WEIBULL.DIST(CO$2,$M127,$L127,FALSE))*$U127*((1+Inputs!$D$7)^CO$2))),IF($N127=Lists!$K$3,IF($L127&lt;1,((($T127*(1-$F127)+$S127*(1-$G127))/$L127)*((1+Inputs!$D$7)^CO$2)),((INT(CO$2/$L127)-INT((CO$2-1)/$L127))*($T127*(1-$F127)+$S127*(1-$G127))*((1+Inputs!$D$7)^CO$2))),((Inputs!$D$8^((1-_xlfn.WEIBULL.DIST(CO$2,$M127,$L127,FALSE))/_xlfn.WEIBULL.DIST(CO$2,$M127,$L127,FALSE))*($T127*(1-$F127)+$S127*(1-$G127))*((1+Inputs!$D$7)^CO$2))))))))</f>
        <v>8907.6836945363666</v>
      </c>
      <c r="CP127" s="88">
        <f>MAX(AZ127,($E127*IF(CP$2&gt;Inputs!$D$5,0,IF(CP$2&gt;VLOOKUP($H127,Lists!$P$3:$Q$7,2),IF($N127=Lists!$K$3,IF($L127&lt;1,(($U127/$L127)*((1+Inputs!$D$7)^CP$2)),((INT(CP$2/$L127)-INT((CP$2-1)/$L127))*$U127*((1+Inputs!$D$7)^CP$2))),(Inputs!$D$8^((1-_xlfn.WEIBULL.DIST(CP$2,$M127,$L127,FALSE))/_xlfn.WEIBULL.DIST(CP$2,$M127,$L127,FALSE))*$U127*((1+Inputs!$D$7)^CP$2))),IF($N127=Lists!$K$3,IF($L127&lt;1,((($T127*(1-$F127)+$S127*(1-$G127))/$L127)*((1+Inputs!$D$7)^CP$2)),((INT(CP$2/$L127)-INT((CP$2-1)/$L127))*($T127*(1-$F127)+$S127*(1-$G127))*((1+Inputs!$D$7)^CP$2))),((Inputs!$D$8^((1-_xlfn.WEIBULL.DIST(CP$2,$M127,$L127,FALSE))/_xlfn.WEIBULL.DIST(CP$2,$M127,$L127,FALSE))*($T127*(1-$F127)+$S127*(1-$G127))*((1+Inputs!$D$7)^CP$2))))))))</f>
        <v>0</v>
      </c>
      <c r="CQ127" s="88">
        <f>MAX(BA127,($E127*IF(CQ$2&gt;Inputs!$D$5,0,IF(CQ$2&gt;VLOOKUP($H127,Lists!$P$3:$Q$7,2),IF($N127=Lists!$K$3,IF($L127&lt;1,(($U127/$L127)*((1+Inputs!$D$7)^CQ$2)),((INT(CQ$2/$L127)-INT((CQ$2-1)/$L127))*$U127*((1+Inputs!$D$7)^CQ$2))),(Inputs!$D$8^((1-_xlfn.WEIBULL.DIST(CQ$2,$M127,$L127,FALSE))/_xlfn.WEIBULL.DIST(CQ$2,$M127,$L127,FALSE))*$U127*((1+Inputs!$D$7)^CQ$2))),IF($N127=Lists!$K$3,IF($L127&lt;1,((($T127*(1-$F127)+$S127*(1-$G127))/$L127)*((1+Inputs!$D$7)^CQ$2)),((INT(CQ$2/$L127)-INT((CQ$2-1)/$L127))*($T127*(1-$F127)+$S127*(1-$G127))*((1+Inputs!$D$7)^CQ$2))),((Inputs!$D$8^((1-_xlfn.WEIBULL.DIST(CQ$2,$M127,$L127,FALSE))/_xlfn.WEIBULL.DIST(CQ$2,$M127,$L127,FALSE))*($T127*(1-$F127)+$S127*(1-$G127))*((1+Inputs!$D$7)^CQ$2))))))))</f>
        <v>0</v>
      </c>
      <c r="CR127" s="88">
        <f>MAX(BB127,($E127*IF(CR$2&gt;Inputs!$D$5,0,IF(CR$2&gt;VLOOKUP($H127,Lists!$P$3:$Q$7,2),IF($N127=Lists!$K$3,IF($L127&lt;1,(($U127/$L127)*((1+Inputs!$D$7)^CR$2)),((INT(CR$2/$L127)-INT((CR$2-1)/$L127))*$U127*((1+Inputs!$D$7)^CR$2))),(Inputs!$D$8^((1-_xlfn.WEIBULL.DIST(CR$2,$M127,$L127,FALSE))/_xlfn.WEIBULL.DIST(CR$2,$M127,$L127,FALSE))*$U127*((1+Inputs!$D$7)^CR$2))),IF($N127=Lists!$K$3,IF($L127&lt;1,((($T127*(1-$F127)+$S127*(1-$G127))/$L127)*((1+Inputs!$D$7)^CR$2)),((INT(CR$2/$L127)-INT((CR$2-1)/$L127))*($T127*(1-$F127)+$S127*(1-$G127))*((1+Inputs!$D$7)^CR$2))),((Inputs!$D$8^((1-_xlfn.WEIBULL.DIST(CR$2,$M127,$L127,FALSE))/_xlfn.WEIBULL.DIST(CR$2,$M127,$L127,FALSE))*($T127*(1-$F127)+$S127*(1-$G127))*((1+Inputs!$D$7)^CR$2))))))))</f>
        <v>0</v>
      </c>
      <c r="CS127" s="88">
        <f>MAX(BC127,($E127*IF(CS$2&gt;Inputs!$D$5,0,IF(CS$2&gt;VLOOKUP($H127,Lists!$P$3:$Q$7,2),IF($N127=Lists!$K$3,IF($L127&lt;1,(($U127/$L127)*((1+Inputs!$D$7)^CS$2)),((INT(CS$2/$L127)-INT((CS$2-1)/$L127))*$U127*((1+Inputs!$D$7)^CS$2))),(Inputs!$D$8^((1-_xlfn.WEIBULL.DIST(CS$2,$M127,$L127,FALSE))/_xlfn.WEIBULL.DIST(CS$2,$M127,$L127,FALSE))*$U127*((1+Inputs!$D$7)^CS$2))),IF($N127=Lists!$K$3,IF($L127&lt;1,((($T127*(1-$F127)+$S127*(1-$G127))/$L127)*((1+Inputs!$D$7)^CS$2)),((INT(CS$2/$L127)-INT((CS$2-1)/$L127))*($T127*(1-$F127)+$S127*(1-$G127))*((1+Inputs!$D$7)^CS$2))),((Inputs!$D$8^((1-_xlfn.WEIBULL.DIST(CS$2,$M127,$L127,FALSE))/_xlfn.WEIBULL.DIST(CS$2,$M127,$L127,FALSE))*($T127*(1-$F127)+$S127*(1-$G127))*((1+Inputs!$D$7)^CS$2))))))))</f>
        <v>0</v>
      </c>
      <c r="CT127" s="88">
        <f>MAX(BD127,($E127*IF(CT$2&gt;Inputs!$D$5,0,IF(CT$2&gt;VLOOKUP($H127,Lists!$P$3:$Q$7,2),IF($N127=Lists!$K$3,IF($L127&lt;1,(($U127/$L127)*((1+Inputs!$D$7)^CT$2)),((INT(CT$2/$L127)-INT((CT$2-1)/$L127))*$U127*((1+Inputs!$D$7)^CT$2))),(Inputs!$D$8^((1-_xlfn.WEIBULL.DIST(CT$2,$M127,$L127,FALSE))/_xlfn.WEIBULL.DIST(CT$2,$M127,$L127,FALSE))*$U127*((1+Inputs!$D$7)^CT$2))),IF($N127=Lists!$K$3,IF($L127&lt;1,((($T127*(1-$F127)+$S127*(1-$G127))/$L127)*((1+Inputs!$D$7)^CT$2)),((INT(CT$2/$L127)-INT((CT$2-1)/$L127))*($T127*(1-$F127)+$S127*(1-$G127))*((1+Inputs!$D$7)^CT$2))),((Inputs!$D$8^((1-_xlfn.WEIBULL.DIST(CT$2,$M127,$L127,FALSE))/_xlfn.WEIBULL.DIST(CT$2,$M127,$L127,FALSE))*($T127*(1-$F127)+$S127*(1-$G127))*((1+Inputs!$D$7)^CT$2))))))))</f>
        <v>0</v>
      </c>
      <c r="CU127" s="88">
        <f>MAX(BE127,($E127*IF(CU$2&gt;Inputs!$D$5,0,IF(CU$2&gt;VLOOKUP($H127,Lists!$P$3:$Q$7,2),IF($N127=Lists!$K$3,IF($L127&lt;1,(($U127/$L127)*((1+Inputs!$D$7)^CU$2)),((INT(CU$2/$L127)-INT((CU$2-1)/$L127))*$U127*((1+Inputs!$D$7)^CU$2))),(Inputs!$D$8^((1-_xlfn.WEIBULL.DIST(CU$2,$M127,$L127,FALSE))/_xlfn.WEIBULL.DIST(CU$2,$M127,$L127,FALSE))*$U127*((1+Inputs!$D$7)^CU$2))),IF($N127=Lists!$K$3,IF($L127&lt;1,((($T127*(1-$F127)+$S127*(1-$G127))/$L127)*((1+Inputs!$D$7)^CU$2)),((INT(CU$2/$L127)-INT((CU$2-1)/$L127))*($T127*(1-$F127)+$S127*(1-$G127))*((1+Inputs!$D$7)^CU$2))),((Inputs!$D$8^((1-_xlfn.WEIBULL.DIST(CU$2,$M127,$L127,FALSE))/_xlfn.WEIBULL.DIST(CU$2,$M127,$L127,FALSE))*($T127*(1-$F127)+$S127*(1-$G127))*((1+Inputs!$D$7)^CU$2))))))))</f>
        <v>0</v>
      </c>
      <c r="CV127" s="88">
        <f>MAX(BF127,($E127*IF(CV$2&gt;Inputs!$D$5,0,IF(CV$2&gt;VLOOKUP($H127,Lists!$P$3:$Q$7,2),IF($N127=Lists!$K$3,IF($L127&lt;1,(($U127/$L127)*((1+Inputs!$D$7)^CV$2)),((INT(CV$2/$L127)-INT((CV$2-1)/$L127))*$U127*((1+Inputs!$D$7)^CV$2))),(Inputs!$D$8^((1-_xlfn.WEIBULL.DIST(CV$2,$M127,$L127,FALSE))/_xlfn.WEIBULL.DIST(CV$2,$M127,$L127,FALSE))*$U127*((1+Inputs!$D$7)^CV$2))),IF($N127=Lists!$K$3,IF($L127&lt;1,((($T127*(1-$F127)+$S127*(1-$G127))/$L127)*((1+Inputs!$D$7)^CV$2)),((INT(CV$2/$L127)-INT((CV$2-1)/$L127))*($T127*(1-$F127)+$S127*(1-$G127))*((1+Inputs!$D$7)^CV$2))),((Inputs!$D$8^((1-_xlfn.WEIBULL.DIST(CV$2,$M127,$L127,FALSE))/_xlfn.WEIBULL.DIST(CV$2,$M127,$L127,FALSE))*($T127*(1-$F127)+$S127*(1-$G127))*((1+Inputs!$D$7)^CV$2))))))))</f>
        <v>0</v>
      </c>
      <c r="CW127" s="88">
        <f>MAX(BG127,($E127*IF(CW$2&gt;Inputs!$D$5,0,IF(CW$2&gt;VLOOKUP($H127,Lists!$P$3:$Q$7,2),IF($N127=Lists!$K$3,IF($L127&lt;1,(($U127/$L127)*((1+Inputs!$D$7)^CW$2)),((INT(CW$2/$L127)-INT((CW$2-1)/$L127))*$U127*((1+Inputs!$D$7)^CW$2))),(Inputs!$D$8^((1-_xlfn.WEIBULL.DIST(CW$2,$M127,$L127,FALSE))/_xlfn.WEIBULL.DIST(CW$2,$M127,$L127,FALSE))*$U127*((1+Inputs!$D$7)^CW$2))),IF($N127=Lists!$K$3,IF($L127&lt;1,((($T127*(1-$F127)+$S127*(1-$G127))/$L127)*((1+Inputs!$D$7)^CW$2)),((INT(CW$2/$L127)-INT((CW$2-1)/$L127))*($T127*(1-$F127)+$S127*(1-$G127))*((1+Inputs!$D$7)^CW$2))),((Inputs!$D$8^((1-_xlfn.WEIBULL.DIST(CW$2,$M127,$L127,FALSE))/_xlfn.WEIBULL.DIST(CW$2,$M127,$L127,FALSE))*($T127*(1-$F127)+$S127*(1-$G127))*((1+Inputs!$D$7)^CW$2))))))))</f>
        <v>0</v>
      </c>
      <c r="CX127" s="88">
        <f>MAX(BH127,($E127*IF(CX$2&gt;Inputs!$D$5,0,IF(CX$2&gt;VLOOKUP($H127,Lists!$P$3:$Q$7,2),IF($N127=Lists!$K$3,IF($L127&lt;1,(($U127/$L127)*((1+Inputs!$D$7)^CX$2)),((INT(CX$2/$L127)-INT((CX$2-1)/$L127))*$U127*((1+Inputs!$D$7)^CX$2))),(Inputs!$D$8^((1-_xlfn.WEIBULL.DIST(CX$2,$M127,$L127,FALSE))/_xlfn.WEIBULL.DIST(CX$2,$M127,$L127,FALSE))*$U127*((1+Inputs!$D$7)^CX$2))),IF($N127=Lists!$K$3,IF($L127&lt;1,((($T127*(1-$F127)+$S127*(1-$G127))/$L127)*((1+Inputs!$D$7)^CX$2)),((INT(CX$2/$L127)-INT((CX$2-1)/$L127))*($T127*(1-$F127)+$S127*(1-$G127))*((1+Inputs!$D$7)^CX$2))),((Inputs!$D$8^((1-_xlfn.WEIBULL.DIST(CX$2,$M127,$L127,FALSE))/_xlfn.WEIBULL.DIST(CX$2,$M127,$L127,FALSE))*($T127*(1-$F127)+$S127*(1-$G127))*((1+Inputs!$D$7)^CX$2))))))))</f>
        <v>0</v>
      </c>
      <c r="CY127" s="88">
        <f>MAX(BI127,($E127*IF(CY$2&gt;Inputs!$D$5,0,IF(CY$2&gt;VLOOKUP($H127,Lists!$P$3:$Q$7,2),IF($N127=Lists!$K$3,IF($L127&lt;1,(($U127/$L127)*((1+Inputs!$D$7)^CY$2)),((INT(CY$2/$L127)-INT((CY$2-1)/$L127))*$U127*((1+Inputs!$D$7)^CY$2))),(Inputs!$D$8^((1-_xlfn.WEIBULL.DIST(CY$2,$M127,$L127,FALSE))/_xlfn.WEIBULL.DIST(CY$2,$M127,$L127,FALSE))*$U127*((1+Inputs!$D$7)^CY$2))),IF($N127=Lists!$K$3,IF($L127&lt;1,((($T127*(1-$F127)+$S127*(1-$G127))/$L127)*((1+Inputs!$D$7)^CY$2)),((INT(CY$2/$L127)-INT((CY$2-1)/$L127))*($T127*(1-$F127)+$S127*(1-$G127))*((1+Inputs!$D$7)^CY$2))),((Inputs!$D$8^((1-_xlfn.WEIBULL.DIST(CY$2,$M127,$L127,FALSE))/_xlfn.WEIBULL.DIST(CY$2,$M127,$L127,FALSE))*($T127*(1-$F127)+$S127*(1-$G127))*((1+Inputs!$D$7)^CY$2))))))))</f>
        <v>0</v>
      </c>
      <c r="CZ127" s="88">
        <f>MAX(BJ127,($E127*IF(CZ$2&gt;Inputs!$D$5,0,IF(CZ$2&gt;VLOOKUP($H127,Lists!$P$3:$Q$7,2),IF($N127=Lists!$K$3,IF($L127&lt;1,(($U127/$L127)*((1+Inputs!$D$7)^CZ$2)),((INT(CZ$2/$L127)-INT((CZ$2-1)/$L127))*$U127*((1+Inputs!$D$7)^CZ$2))),(Inputs!$D$8^((1-_xlfn.WEIBULL.DIST(CZ$2,$M127,$L127,FALSE))/_xlfn.WEIBULL.DIST(CZ$2,$M127,$L127,FALSE))*$U127*((1+Inputs!$D$7)^CZ$2))),IF($N127=Lists!$K$3,IF($L127&lt;1,((($T127*(1-$F127)+$S127*(1-$G127))/$L127)*((1+Inputs!$D$7)^CZ$2)),((INT(CZ$2/$L127)-INT((CZ$2-1)/$L127))*($T127*(1-$F127)+$S127*(1-$G127))*((1+Inputs!$D$7)^CZ$2))),((Inputs!$D$8^((1-_xlfn.WEIBULL.DIST(CZ$2,$M127,$L127,FALSE))/_xlfn.WEIBULL.DIST(CZ$2,$M127,$L127,FALSE))*($T127*(1-$F127)+$S127*(1-$G127))*((1+Inputs!$D$7)^CZ$2))))))))</f>
        <v>0</v>
      </c>
      <c r="DA127" s="88">
        <f>MAX(BK127,($E127*IF(DA$2&gt;Inputs!$D$5,0,IF(DA$2&gt;VLOOKUP($H127,Lists!$P$3:$Q$7,2),IF($N127=Lists!$K$3,IF($L127&lt;1,(($U127/$L127)*((1+Inputs!$D$7)^DA$2)),((INT(DA$2/$L127)-INT((DA$2-1)/$L127))*$U127*((1+Inputs!$D$7)^DA$2))),(Inputs!$D$8^((1-_xlfn.WEIBULL.DIST(DA$2,$M127,$L127,FALSE))/_xlfn.WEIBULL.DIST(DA$2,$M127,$L127,FALSE))*$U127*((1+Inputs!$D$7)^DA$2))),IF($N127=Lists!$K$3,IF($L127&lt;1,((($T127*(1-$F127)+$S127*(1-$G127))/$L127)*((1+Inputs!$D$7)^DA$2)),((INT(DA$2/$L127)-INT((DA$2-1)/$L127))*($T127*(1-$F127)+$S127*(1-$G127))*((1+Inputs!$D$7)^DA$2))),((Inputs!$D$8^((1-_xlfn.WEIBULL.DIST(DA$2,$M127,$L127,FALSE))/_xlfn.WEIBULL.DIST(DA$2,$M127,$L127,FALSE))*($T127*(1-$F127)+$S127*(1-$G127))*((1+Inputs!$D$7)^DA$2))))))))</f>
        <v>0</v>
      </c>
      <c r="DB127" s="88">
        <f>MAX(BL127,($E127*IF(DB$2&gt;Inputs!$D$5,0,IF(DB$2&gt;VLOOKUP($H127,Lists!$P$3:$Q$7,2),IF($N127=Lists!$K$3,IF($L127&lt;1,(($U127/$L127)*((1+Inputs!$D$7)^DB$2)),((INT(DB$2/$L127)-INT((DB$2-1)/$L127))*$U127*((1+Inputs!$D$7)^DB$2))),(Inputs!$D$8^((1-_xlfn.WEIBULL.DIST(DB$2,$M127,$L127,FALSE))/_xlfn.WEIBULL.DIST(DB$2,$M127,$L127,FALSE))*$U127*((1+Inputs!$D$7)^DB$2))),IF($N127=Lists!$K$3,IF($L127&lt;1,((($T127*(1-$F127)+$S127*(1-$G127))/$L127)*((1+Inputs!$D$7)^DB$2)),((INT(DB$2/$L127)-INT((DB$2-1)/$L127))*($T127*(1-$F127)+$S127*(1-$G127))*((1+Inputs!$D$7)^DB$2))),((Inputs!$D$8^((1-_xlfn.WEIBULL.DIST(DB$2,$M127,$L127,FALSE))/_xlfn.WEIBULL.DIST(DB$2,$M127,$L127,FALSE))*($T127*(1-$F127)+$S127*(1-$G127))*((1+Inputs!$D$7)^DB$2))))))))</f>
        <v>0</v>
      </c>
      <c r="DC127" s="88">
        <f>MAX(BM127,($E127*IF(DC$2&gt;Inputs!$D$5,0,IF(DC$2&gt;VLOOKUP($H127,Lists!$P$3:$Q$7,2),IF($N127=Lists!$K$3,IF($L127&lt;1,(($U127/$L127)*((1+Inputs!$D$7)^DC$2)),((INT(DC$2/$L127)-INT((DC$2-1)/$L127))*$U127*((1+Inputs!$D$7)^DC$2))),(Inputs!$D$8^((1-_xlfn.WEIBULL.DIST(DC$2,$M127,$L127,FALSE))/_xlfn.WEIBULL.DIST(DC$2,$M127,$L127,FALSE))*$U127*((1+Inputs!$D$7)^DC$2))),IF($N127=Lists!$K$3,IF($L127&lt;1,((($T127*(1-$F127)+$S127*(1-$G127))/$L127)*((1+Inputs!$D$7)^DC$2)),((INT(DC$2/$L127)-INT((DC$2-1)/$L127))*($T127*(1-$F127)+$S127*(1-$G127))*((1+Inputs!$D$7)^DC$2))),((Inputs!$D$8^((1-_xlfn.WEIBULL.DIST(DC$2,$M127,$L127,FALSE))/_xlfn.WEIBULL.DIST(DC$2,$M127,$L127,FALSE))*($T127*(1-$F127)+$S127*(1-$G127))*((1+Inputs!$D$7)^DC$2))))))))</f>
        <v>0</v>
      </c>
      <c r="DD127" s="88">
        <f>MAX(BN127,($E127*IF(DD$2&gt;Inputs!$D$5,0,IF(DD$2&gt;VLOOKUP($H127,Lists!$P$3:$Q$7,2),IF($N127=Lists!$K$3,IF($L127&lt;1,(($U127/$L127)*((1+Inputs!$D$7)^DD$2)),((INT(DD$2/$L127)-INT((DD$2-1)/$L127))*$U127*((1+Inputs!$D$7)^DD$2))),(Inputs!$D$8^((1-_xlfn.WEIBULL.DIST(DD$2,$M127,$L127,FALSE))/_xlfn.WEIBULL.DIST(DD$2,$M127,$L127,FALSE))*$U127*((1+Inputs!$D$7)^DD$2))),IF($N127=Lists!$K$3,IF($L127&lt;1,((($T127*(1-$F127)+$S127*(1-$G127))/$L127)*((1+Inputs!$D$7)^DD$2)),((INT(DD$2/$L127)-INT((DD$2-1)/$L127))*($T127*(1-$F127)+$S127*(1-$G127))*((1+Inputs!$D$7)^DD$2))),((Inputs!$D$8^((1-_xlfn.WEIBULL.DIST(DD$2,$M127,$L127,FALSE))/_xlfn.WEIBULL.DIST(DD$2,$M127,$L127,FALSE))*($T127*(1-$F127)+$S127*(1-$G127))*((1+Inputs!$D$7)^DD$2))))))))</f>
        <v>0</v>
      </c>
    </row>
    <row r="128" spans="1:108" ht="16">
      <c r="A128" s="57" t="s">
        <v>42</v>
      </c>
      <c r="B128" s="13" t="s">
        <v>279</v>
      </c>
      <c r="C128" s="13" t="s">
        <v>472</v>
      </c>
      <c r="D128" s="13" t="s">
        <v>37</v>
      </c>
      <c r="E128" s="89">
        <f>IF(Inputs!$D$54=Lists!$AA$3,0,1)</f>
        <v>1</v>
      </c>
      <c r="F128" s="48">
        <v>0</v>
      </c>
      <c r="G128" s="48">
        <v>0</v>
      </c>
      <c r="H128" s="105" t="s">
        <v>350</v>
      </c>
      <c r="I128" s="14" t="s">
        <v>270</v>
      </c>
      <c r="J128" s="14" t="s">
        <v>86</v>
      </c>
      <c r="K128" s="13">
        <f>VLOOKUP(J128,'Labor Rates'!$A$1:$F$16,2)</f>
        <v>29.298461538461535</v>
      </c>
      <c r="L128" s="15">
        <v>0.5</v>
      </c>
      <c r="M128" s="15">
        <v>1</v>
      </c>
      <c r="N128" s="13" t="s">
        <v>236</v>
      </c>
      <c r="O128" s="61">
        <f>Inputs!$D$56*E128</f>
        <v>10.245901639344263</v>
      </c>
      <c r="P128" s="15">
        <v>0.25</v>
      </c>
      <c r="Q128" s="15">
        <f t="shared" si="21"/>
        <v>5.1229508196721314</v>
      </c>
      <c r="R128" s="4">
        <v>0</v>
      </c>
      <c r="S128" s="53">
        <f t="shared" si="22"/>
        <v>75.047288776796961</v>
      </c>
      <c r="T128" s="53">
        <f t="shared" si="23"/>
        <v>0</v>
      </c>
      <c r="U128" s="54">
        <f t="shared" si="24"/>
        <v>75.047288776796961</v>
      </c>
      <c r="V128" s="65"/>
      <c r="W128" s="58"/>
      <c r="X128" s="64">
        <f t="shared" si="25"/>
        <v>185.99207623723231</v>
      </c>
      <c r="Y128" s="64">
        <f>NPV(Inputs!$D$6,AA128:BN128)</f>
        <v>2136.3684342238193</v>
      </c>
      <c r="Z128" s="67">
        <f t="shared" si="26"/>
        <v>1.0076156525992972E-3</v>
      </c>
      <c r="AA128" s="88">
        <f>$E128*IF(AA$2&gt;Inputs!$D$5,0,IF(AA$2&gt;VLOOKUP($H128,Lists!$P$3:$Q$7,2),IF($N128=Lists!$K$3,IF($L128&lt;1,(($U128/$L128)*((1+Inputs!$D$7)^AA$2)),((INT(AA$2/$L128)-INT((AA$2-1)/$L128))*$U128*((1+Inputs!$D$7)^AA$2))),(_xlfn.WEIBULL.DIST(AA$2,$M128,$L128,FALSE)*$U128*((1+Inputs!$D$7)^AA$2))),IF($N128=Lists!$K$3,IF($L128&lt;1,((($T128*(1-$F128)+$S128*(1-$G128))/$L128)*((1+Inputs!$D$7)^AA$2)),((INT(AA$2/$L128)-INT((AA$2-1)/$L128))*($T128*(1-$F128)+$S128*(1-$G128))*((1+Inputs!$D$7)^AA$2))),((_xlfn.WEIBULL.DIST(AA$2,$M128,$L128,FALSE)*($T128*(1-$F128)+$S128*(1-$G128))*((1+Inputs!$D$7)^AA$2))))))</f>
        <v>153.0964691046658</v>
      </c>
      <c r="AB128" s="88">
        <f>$E128*IF(AB$2&gt;Inputs!$D$5,0,IF(AB$2&gt;VLOOKUP($H128,Lists!$P$3:$Q$7,2),IF($N128=Lists!$K$3,IF($L128&lt;1,(($U128/$L128)*((1+Inputs!$D$7)^AB$2)),((INT(AB$2/$L128)-INT((AB$2-1)/$L128))*$U128*((1+Inputs!$D$7)^AB$2))),(_xlfn.WEIBULL.DIST(AB$2,$M128,$L128,FALSE)*$U128*((1+Inputs!$D$7)^AB$2))),IF($N128=Lists!$K$3,IF($L128&lt;1,((($T128*(1-$F128)+$S128*(1-$G128))/$L128)*((1+Inputs!$D$7)^AB$2)),((INT(AB$2/$L128)-INT((AB$2-1)/$L128))*($T128*(1-$F128)+$S128*(1-$G128))*((1+Inputs!$D$7)^AB$2))),((_xlfn.WEIBULL.DIST(AB$2,$M128,$L128,FALSE)*($T128*(1-$F128)+$S128*(1-$G128))*((1+Inputs!$D$7)^AB$2))))))</f>
        <v>156.15839848675913</v>
      </c>
      <c r="AC128" s="88">
        <f>$E128*IF(AC$2&gt;Inputs!$D$5,0,IF(AC$2&gt;VLOOKUP($H128,Lists!$P$3:$Q$7,2),IF($N128=Lists!$K$3,IF($L128&lt;1,(($U128/$L128)*((1+Inputs!$D$7)^AC$2)),((INT(AC$2/$L128)-INT((AC$2-1)/$L128))*$U128*((1+Inputs!$D$7)^AC$2))),(_xlfn.WEIBULL.DIST(AC$2,$M128,$L128,FALSE)*$U128*((1+Inputs!$D$7)^AC$2))),IF($N128=Lists!$K$3,IF($L128&lt;1,((($T128*(1-$F128)+$S128*(1-$G128))/$L128)*((1+Inputs!$D$7)^AC$2)),((INT(AC$2/$L128)-INT((AC$2-1)/$L128))*($T128*(1-$F128)+$S128*(1-$G128))*((1+Inputs!$D$7)^AC$2))),((_xlfn.WEIBULL.DIST(AC$2,$M128,$L128,FALSE)*($T128*(1-$F128)+$S128*(1-$G128))*((1+Inputs!$D$7)^AC$2))))))</f>
        <v>159.28156645649429</v>
      </c>
      <c r="AD128" s="88">
        <f>$E128*IF(AD$2&gt;Inputs!$D$5,0,IF(AD$2&gt;VLOOKUP($H128,Lists!$P$3:$Q$7,2),IF($N128=Lists!$K$3,IF($L128&lt;1,(($U128/$L128)*((1+Inputs!$D$7)^AD$2)),((INT(AD$2/$L128)-INT((AD$2-1)/$L128))*$U128*((1+Inputs!$D$7)^AD$2))),(_xlfn.WEIBULL.DIST(AD$2,$M128,$L128,FALSE)*$U128*((1+Inputs!$D$7)^AD$2))),IF($N128=Lists!$K$3,IF($L128&lt;1,((($T128*(1-$F128)+$S128*(1-$G128))/$L128)*((1+Inputs!$D$7)^AD$2)),((INT(AD$2/$L128)-INT((AD$2-1)/$L128))*($T128*(1-$F128)+$S128*(1-$G128))*((1+Inputs!$D$7)^AD$2))),((_xlfn.WEIBULL.DIST(AD$2,$M128,$L128,FALSE)*($T128*(1-$F128)+$S128*(1-$G128))*((1+Inputs!$D$7)^AD$2))))))</f>
        <v>162.46719778562419</v>
      </c>
      <c r="AE128" s="88">
        <f>$E128*IF(AE$2&gt;Inputs!$D$5,0,IF(AE$2&gt;VLOOKUP($H128,Lists!$P$3:$Q$7,2),IF($N128=Lists!$K$3,IF($L128&lt;1,(($U128/$L128)*((1+Inputs!$D$7)^AE$2)),((INT(AE$2/$L128)-INT((AE$2-1)/$L128))*$U128*((1+Inputs!$D$7)^AE$2))),(_xlfn.WEIBULL.DIST(AE$2,$M128,$L128,FALSE)*$U128*((1+Inputs!$D$7)^AE$2))),IF($N128=Lists!$K$3,IF($L128&lt;1,((($T128*(1-$F128)+$S128*(1-$G128))/$L128)*((1+Inputs!$D$7)^AE$2)),((INT(AE$2/$L128)-INT((AE$2-1)/$L128))*($T128*(1-$F128)+$S128*(1-$G128))*((1+Inputs!$D$7)^AE$2))),((_xlfn.WEIBULL.DIST(AE$2,$M128,$L128,FALSE)*($T128*(1-$F128)+$S128*(1-$G128))*((1+Inputs!$D$7)^AE$2))))))</f>
        <v>165.71654174133667</v>
      </c>
      <c r="AF128" s="88">
        <f>$E128*IF(AF$2&gt;Inputs!$D$5,0,IF(AF$2&gt;VLOOKUP($H128,Lists!$P$3:$Q$7,2),IF($N128=Lists!$K$3,IF($L128&lt;1,(($U128/$L128)*((1+Inputs!$D$7)^AF$2)),((INT(AF$2/$L128)-INT((AF$2-1)/$L128))*$U128*((1+Inputs!$D$7)^AF$2))),(_xlfn.WEIBULL.DIST(AF$2,$M128,$L128,FALSE)*$U128*((1+Inputs!$D$7)^AF$2))),IF($N128=Lists!$K$3,IF($L128&lt;1,((($T128*(1-$F128)+$S128*(1-$G128))/$L128)*((1+Inputs!$D$7)^AF$2)),((INT(AF$2/$L128)-INT((AF$2-1)/$L128))*($T128*(1-$F128)+$S128*(1-$G128))*((1+Inputs!$D$7)^AF$2))),((_xlfn.WEIBULL.DIST(AF$2,$M128,$L128,FALSE)*($T128*(1-$F128)+$S128*(1-$G128))*((1+Inputs!$D$7)^AF$2))))))</f>
        <v>169.0308725761634</v>
      </c>
      <c r="AG128" s="88">
        <f>$E128*IF(AG$2&gt;Inputs!$D$5,0,IF(AG$2&gt;VLOOKUP($H128,Lists!$P$3:$Q$7,2),IF($N128=Lists!$K$3,IF($L128&lt;1,(($U128/$L128)*((1+Inputs!$D$7)^AG$2)),((INT(AG$2/$L128)-INT((AG$2-1)/$L128))*$U128*((1+Inputs!$D$7)^AG$2))),(_xlfn.WEIBULL.DIST(AG$2,$M128,$L128,FALSE)*$U128*((1+Inputs!$D$7)^AG$2))),IF($N128=Lists!$K$3,IF($L128&lt;1,((($T128*(1-$F128)+$S128*(1-$G128))/$L128)*((1+Inputs!$D$7)^AG$2)),((INT(AG$2/$L128)-INT((AG$2-1)/$L128))*($T128*(1-$F128)+$S128*(1-$G128))*((1+Inputs!$D$7)^AG$2))),((_xlfn.WEIBULL.DIST(AG$2,$M128,$L128,FALSE)*($T128*(1-$F128)+$S128*(1-$G128))*((1+Inputs!$D$7)^AG$2))))))</f>
        <v>172.41149002768665</v>
      </c>
      <c r="AH128" s="88">
        <f>$E128*IF(AH$2&gt;Inputs!$D$5,0,IF(AH$2&gt;VLOOKUP($H128,Lists!$P$3:$Q$7,2),IF($N128=Lists!$K$3,IF($L128&lt;1,(($U128/$L128)*((1+Inputs!$D$7)^AH$2)),((INT(AH$2/$L128)-INT((AH$2-1)/$L128))*$U128*((1+Inputs!$D$7)^AH$2))),(_xlfn.WEIBULL.DIST(AH$2,$M128,$L128,FALSE)*$U128*((1+Inputs!$D$7)^AH$2))),IF($N128=Lists!$K$3,IF($L128&lt;1,((($T128*(1-$F128)+$S128*(1-$G128))/$L128)*((1+Inputs!$D$7)^AH$2)),((INT(AH$2/$L128)-INT((AH$2-1)/$L128))*($T128*(1-$F128)+$S128*(1-$G128))*((1+Inputs!$D$7)^AH$2))),((_xlfn.WEIBULL.DIST(AH$2,$M128,$L128,FALSE)*($T128*(1-$F128)+$S128*(1-$G128))*((1+Inputs!$D$7)^AH$2))))))</f>
        <v>175.8597198282404</v>
      </c>
      <c r="AI128" s="88">
        <f>$E128*IF(AI$2&gt;Inputs!$D$5,0,IF(AI$2&gt;VLOOKUP($H128,Lists!$P$3:$Q$7,2),IF($N128=Lists!$K$3,IF($L128&lt;1,(($U128/$L128)*((1+Inputs!$D$7)^AI$2)),((INT(AI$2/$L128)-INT((AI$2-1)/$L128))*$U128*((1+Inputs!$D$7)^AI$2))),(_xlfn.WEIBULL.DIST(AI$2,$M128,$L128,FALSE)*$U128*((1+Inputs!$D$7)^AI$2))),IF($N128=Lists!$K$3,IF($L128&lt;1,((($T128*(1-$F128)+$S128*(1-$G128))/$L128)*((1+Inputs!$D$7)^AI$2)),((INT(AI$2/$L128)-INT((AI$2-1)/$L128))*($T128*(1-$F128)+$S128*(1-$G128))*((1+Inputs!$D$7)^AI$2))),((_xlfn.WEIBULL.DIST(AI$2,$M128,$L128,FALSE)*($T128*(1-$F128)+$S128*(1-$G128))*((1+Inputs!$D$7)^AI$2))))))</f>
        <v>179.3769142248052</v>
      </c>
      <c r="AJ128" s="88">
        <f>$E128*IF(AJ$2&gt;Inputs!$D$5,0,IF(AJ$2&gt;VLOOKUP($H128,Lists!$P$3:$Q$7,2),IF($N128=Lists!$K$3,IF($L128&lt;1,(($U128/$L128)*((1+Inputs!$D$7)^AJ$2)),((INT(AJ$2/$L128)-INT((AJ$2-1)/$L128))*$U128*((1+Inputs!$D$7)^AJ$2))),(_xlfn.WEIBULL.DIST(AJ$2,$M128,$L128,FALSE)*$U128*((1+Inputs!$D$7)^AJ$2))),IF($N128=Lists!$K$3,IF($L128&lt;1,((($T128*(1-$F128)+$S128*(1-$G128))/$L128)*((1+Inputs!$D$7)^AJ$2)),((INT(AJ$2/$L128)-INT((AJ$2-1)/$L128))*($T128*(1-$F128)+$S128*(1-$G128))*((1+Inputs!$D$7)^AJ$2))),((_xlfn.WEIBULL.DIST(AJ$2,$M128,$L128,FALSE)*($T128*(1-$F128)+$S128*(1-$G128))*((1+Inputs!$D$7)^AJ$2))))))</f>
        <v>182.96445250930131</v>
      </c>
      <c r="AK128" s="88">
        <f>$E128*IF(AK$2&gt;Inputs!$D$5,0,IF(AK$2&gt;VLOOKUP($H128,Lists!$P$3:$Q$7,2),IF($N128=Lists!$K$3,IF($L128&lt;1,(($U128/$L128)*((1+Inputs!$D$7)^AK$2)),((INT(AK$2/$L128)-INT((AK$2-1)/$L128))*$U128*((1+Inputs!$D$7)^AK$2))),(_xlfn.WEIBULL.DIST(AK$2,$M128,$L128,FALSE)*$U128*((1+Inputs!$D$7)^AK$2))),IF($N128=Lists!$K$3,IF($L128&lt;1,((($T128*(1-$F128)+$S128*(1-$G128))/$L128)*((1+Inputs!$D$7)^AK$2)),((INT(AK$2/$L128)-INT((AK$2-1)/$L128))*($T128*(1-$F128)+$S128*(1-$G128))*((1+Inputs!$D$7)^AK$2))),((_xlfn.WEIBULL.DIST(AK$2,$M128,$L128,FALSE)*($T128*(1-$F128)+$S128*(1-$G128))*((1+Inputs!$D$7)^AK$2))))))</f>
        <v>186.62374155948731</v>
      </c>
      <c r="AL128" s="88">
        <f>$E128*IF(AL$2&gt;Inputs!$D$5,0,IF(AL$2&gt;VLOOKUP($H128,Lists!$P$3:$Q$7,2),IF($N128=Lists!$K$3,IF($L128&lt;1,(($U128/$L128)*((1+Inputs!$D$7)^AL$2)),((INT(AL$2/$L128)-INT((AL$2-1)/$L128))*$U128*((1+Inputs!$D$7)^AL$2))),(_xlfn.WEIBULL.DIST(AL$2,$M128,$L128,FALSE)*$U128*((1+Inputs!$D$7)^AL$2))),IF($N128=Lists!$K$3,IF($L128&lt;1,((($T128*(1-$F128)+$S128*(1-$G128))/$L128)*((1+Inputs!$D$7)^AL$2)),((INT(AL$2/$L128)-INT((AL$2-1)/$L128))*($T128*(1-$F128)+$S128*(1-$G128))*((1+Inputs!$D$7)^AL$2))),((_xlfn.WEIBULL.DIST(AL$2,$M128,$L128,FALSE)*($T128*(1-$F128)+$S128*(1-$G128))*((1+Inputs!$D$7)^AL$2))))))</f>
        <v>190.35621639067708</v>
      </c>
      <c r="AM128" s="88">
        <f>$E128*IF(AM$2&gt;Inputs!$D$5,0,IF(AM$2&gt;VLOOKUP($H128,Lists!$P$3:$Q$7,2),IF($N128=Lists!$K$3,IF($L128&lt;1,(($U128/$L128)*((1+Inputs!$D$7)^AM$2)),((INT(AM$2/$L128)-INT((AM$2-1)/$L128))*$U128*((1+Inputs!$D$7)^AM$2))),(_xlfn.WEIBULL.DIST(AM$2,$M128,$L128,FALSE)*$U128*((1+Inputs!$D$7)^AM$2))),IF($N128=Lists!$K$3,IF($L128&lt;1,((($T128*(1-$F128)+$S128*(1-$G128))/$L128)*((1+Inputs!$D$7)^AM$2)),((INT(AM$2/$L128)-INT((AM$2-1)/$L128))*($T128*(1-$F128)+$S128*(1-$G128))*((1+Inputs!$D$7)^AM$2))),((_xlfn.WEIBULL.DIST(AM$2,$M128,$L128,FALSE)*($T128*(1-$F128)+$S128*(1-$G128))*((1+Inputs!$D$7)^AM$2))))))</f>
        <v>194.16334071849062</v>
      </c>
      <c r="AN128" s="88">
        <f>$E128*IF(AN$2&gt;Inputs!$D$5,0,IF(AN$2&gt;VLOOKUP($H128,Lists!$P$3:$Q$7,2),IF($N128=Lists!$K$3,IF($L128&lt;1,(($U128/$L128)*((1+Inputs!$D$7)^AN$2)),((INT(AN$2/$L128)-INT((AN$2-1)/$L128))*$U128*((1+Inputs!$D$7)^AN$2))),(_xlfn.WEIBULL.DIST(AN$2,$M128,$L128,FALSE)*$U128*((1+Inputs!$D$7)^AN$2))),IF($N128=Lists!$K$3,IF($L128&lt;1,((($T128*(1-$F128)+$S128*(1-$G128))/$L128)*((1+Inputs!$D$7)^AN$2)),((INT(AN$2/$L128)-INT((AN$2-1)/$L128))*($T128*(1-$F128)+$S128*(1-$G128))*((1+Inputs!$D$7)^AN$2))),((_xlfn.WEIBULL.DIST(AN$2,$M128,$L128,FALSE)*($T128*(1-$F128)+$S128*(1-$G128))*((1+Inputs!$D$7)^AN$2))))))</f>
        <v>198.04660753286043</v>
      </c>
      <c r="AO128" s="88">
        <f>$E128*IF(AO$2&gt;Inputs!$D$5,0,IF(AO$2&gt;VLOOKUP($H128,Lists!$P$3:$Q$7,2),IF($N128=Lists!$K$3,IF($L128&lt;1,(($U128/$L128)*((1+Inputs!$D$7)^AO$2)),((INT(AO$2/$L128)-INT((AO$2-1)/$L128))*$U128*((1+Inputs!$D$7)^AO$2))),(_xlfn.WEIBULL.DIST(AO$2,$M128,$L128,FALSE)*$U128*((1+Inputs!$D$7)^AO$2))),IF($N128=Lists!$K$3,IF($L128&lt;1,((($T128*(1-$F128)+$S128*(1-$G128))/$L128)*((1+Inputs!$D$7)^AO$2)),((INT(AO$2/$L128)-INT((AO$2-1)/$L128))*($T128*(1-$F128)+$S128*(1-$G128))*((1+Inputs!$D$7)^AO$2))),((_xlfn.WEIBULL.DIST(AO$2,$M128,$L128,FALSE)*($T128*(1-$F128)+$S128*(1-$G128))*((1+Inputs!$D$7)^AO$2))))))</f>
        <v>202.00753968351759</v>
      </c>
      <c r="AP128" s="88">
        <f>$E128*IF(AP$2&gt;Inputs!$D$5,0,IF(AP$2&gt;VLOOKUP($H128,Lists!$P$3:$Q$7,2),IF($N128=Lists!$K$3,IF($L128&lt;1,(($U128/$L128)*((1+Inputs!$D$7)^AP$2)),((INT(AP$2/$L128)-INT((AP$2-1)/$L128))*$U128*((1+Inputs!$D$7)^AP$2))),(_xlfn.WEIBULL.DIST(AP$2,$M128,$L128,FALSE)*$U128*((1+Inputs!$D$7)^AP$2))),IF($N128=Lists!$K$3,IF($L128&lt;1,((($T128*(1-$F128)+$S128*(1-$G128))/$L128)*((1+Inputs!$D$7)^AP$2)),((INT(AP$2/$L128)-INT((AP$2-1)/$L128))*($T128*(1-$F128)+$S128*(1-$G128))*((1+Inputs!$D$7)^AP$2))),((_xlfn.WEIBULL.DIST(AP$2,$M128,$L128,FALSE)*($T128*(1-$F128)+$S128*(1-$G128))*((1+Inputs!$D$7)^AP$2))))))</f>
        <v>206.04769047718798</v>
      </c>
      <c r="AQ128" s="88">
        <f>$E128*IF(AQ$2&gt;Inputs!$D$5,0,IF(AQ$2&gt;VLOOKUP($H128,Lists!$P$3:$Q$7,2),IF($N128=Lists!$K$3,IF($L128&lt;1,(($U128/$L128)*((1+Inputs!$D$7)^AQ$2)),((INT(AQ$2/$L128)-INT((AQ$2-1)/$L128))*$U128*((1+Inputs!$D$7)^AQ$2))),(_xlfn.WEIBULL.DIST(AQ$2,$M128,$L128,FALSE)*$U128*((1+Inputs!$D$7)^AQ$2))),IF($N128=Lists!$K$3,IF($L128&lt;1,((($T128*(1-$F128)+$S128*(1-$G128))/$L128)*((1+Inputs!$D$7)^AQ$2)),((INT(AQ$2/$L128)-INT((AQ$2-1)/$L128))*($T128*(1-$F128)+$S128*(1-$G128))*((1+Inputs!$D$7)^AQ$2))),((_xlfn.WEIBULL.DIST(AQ$2,$M128,$L128,FALSE)*($T128*(1-$F128)+$S128*(1-$G128))*((1+Inputs!$D$7)^AQ$2))))))</f>
        <v>210.16864428673176</v>
      </c>
      <c r="AR128" s="88">
        <f>$E128*IF(AR$2&gt;Inputs!$D$5,0,IF(AR$2&gt;VLOOKUP($H128,Lists!$P$3:$Q$7,2),IF($N128=Lists!$K$3,IF($L128&lt;1,(($U128/$L128)*((1+Inputs!$D$7)^AR$2)),((INT(AR$2/$L128)-INT((AR$2-1)/$L128))*$U128*((1+Inputs!$D$7)^AR$2))),(_xlfn.WEIBULL.DIST(AR$2,$M128,$L128,FALSE)*$U128*((1+Inputs!$D$7)^AR$2))),IF($N128=Lists!$K$3,IF($L128&lt;1,((($T128*(1-$F128)+$S128*(1-$G128))/$L128)*((1+Inputs!$D$7)^AR$2)),((INT(AR$2/$L128)-INT((AR$2-1)/$L128))*($T128*(1-$F128)+$S128*(1-$G128))*((1+Inputs!$D$7)^AR$2))),((_xlfn.WEIBULL.DIST(AR$2,$M128,$L128,FALSE)*($T128*(1-$F128)+$S128*(1-$G128))*((1+Inputs!$D$7)^AR$2))))))</f>
        <v>214.37201717246637</v>
      </c>
      <c r="AS128" s="88">
        <f>$E128*IF(AS$2&gt;Inputs!$D$5,0,IF(AS$2&gt;VLOOKUP($H128,Lists!$P$3:$Q$7,2),IF($N128=Lists!$K$3,IF($L128&lt;1,(($U128/$L128)*((1+Inputs!$D$7)^AS$2)),((INT(AS$2/$L128)-INT((AS$2-1)/$L128))*$U128*((1+Inputs!$D$7)^AS$2))),(_xlfn.WEIBULL.DIST(AS$2,$M128,$L128,FALSE)*$U128*((1+Inputs!$D$7)^AS$2))),IF($N128=Lists!$K$3,IF($L128&lt;1,((($T128*(1-$F128)+$S128*(1-$G128))/$L128)*((1+Inputs!$D$7)^AS$2)),((INT(AS$2/$L128)-INT((AS$2-1)/$L128))*($T128*(1-$F128)+$S128*(1-$G128))*((1+Inputs!$D$7)^AS$2))),((_xlfn.WEIBULL.DIST(AS$2,$M128,$L128,FALSE)*($T128*(1-$F128)+$S128*(1-$G128))*((1+Inputs!$D$7)^AS$2))))))</f>
        <v>218.6594575159157</v>
      </c>
      <c r="AT128" s="88">
        <f>$E128*IF(AT$2&gt;Inputs!$D$5,0,IF(AT$2&gt;VLOOKUP($H128,Lists!$P$3:$Q$7,2),IF($N128=Lists!$K$3,IF($L128&lt;1,(($U128/$L128)*((1+Inputs!$D$7)^AT$2)),((INT(AT$2/$L128)-INT((AT$2-1)/$L128))*$U128*((1+Inputs!$D$7)^AT$2))),(_xlfn.WEIBULL.DIST(AT$2,$M128,$L128,FALSE)*$U128*((1+Inputs!$D$7)^AT$2))),IF($N128=Lists!$K$3,IF($L128&lt;1,((($T128*(1-$F128)+$S128*(1-$G128))/$L128)*((1+Inputs!$D$7)^AT$2)),((INT(AT$2/$L128)-INT((AT$2-1)/$L128))*($T128*(1-$F128)+$S128*(1-$G128))*((1+Inputs!$D$7)^AT$2))),((_xlfn.WEIBULL.DIST(AT$2,$M128,$L128,FALSE)*($T128*(1-$F128)+$S128*(1-$G128))*((1+Inputs!$D$7)^AT$2))))))</f>
        <v>223.03264666623403</v>
      </c>
      <c r="AU128" s="88">
        <f>$E128*IF(AU$2&gt;Inputs!$D$5,0,IF(AU$2&gt;VLOOKUP($H128,Lists!$P$3:$Q$7,2),IF($N128=Lists!$K$3,IF($L128&lt;1,(($U128/$L128)*((1+Inputs!$D$7)^AU$2)),((INT(AU$2/$L128)-INT((AU$2-1)/$L128))*$U128*((1+Inputs!$D$7)^AU$2))),(_xlfn.WEIBULL.DIST(AU$2,$M128,$L128,FALSE)*$U128*((1+Inputs!$D$7)^AU$2))),IF($N128=Lists!$K$3,IF($L128&lt;1,((($T128*(1-$F128)+$S128*(1-$G128))/$L128)*((1+Inputs!$D$7)^AU$2)),((INT(AU$2/$L128)-INT((AU$2-1)/$L128))*($T128*(1-$F128)+$S128*(1-$G128))*((1+Inputs!$D$7)^AU$2))),((_xlfn.WEIBULL.DIST(AU$2,$M128,$L128,FALSE)*($T128*(1-$F128)+$S128*(1-$G128))*((1+Inputs!$D$7)^AU$2))))))</f>
        <v>227.4932995995587</v>
      </c>
      <c r="AV128" s="88">
        <f>$E128*IF(AV$2&gt;Inputs!$D$5,0,IF(AV$2&gt;VLOOKUP($H128,Lists!$P$3:$Q$7,2),IF($N128=Lists!$K$3,IF($L128&lt;1,(($U128/$L128)*((1+Inputs!$D$7)^AV$2)),((INT(AV$2/$L128)-INT((AV$2-1)/$L128))*$U128*((1+Inputs!$D$7)^AV$2))),(_xlfn.WEIBULL.DIST(AV$2,$M128,$L128,FALSE)*$U128*((1+Inputs!$D$7)^AV$2))),IF($N128=Lists!$K$3,IF($L128&lt;1,((($T128*(1-$F128)+$S128*(1-$G128))/$L128)*((1+Inputs!$D$7)^AV$2)),((INT(AV$2/$L128)-INT((AV$2-1)/$L128))*($T128*(1-$F128)+$S128*(1-$G128))*((1+Inputs!$D$7)^AV$2))),((_xlfn.WEIBULL.DIST(AV$2,$M128,$L128,FALSE)*($T128*(1-$F128)+$S128*(1-$G128))*((1+Inputs!$D$7)^AV$2))))))</f>
        <v>232.04316559154987</v>
      </c>
      <c r="AW128" s="88">
        <f>$E128*IF(AW$2&gt;Inputs!$D$5,0,IF(AW$2&gt;VLOOKUP($H128,Lists!$P$3:$Q$7,2),IF($N128=Lists!$K$3,IF($L128&lt;1,(($U128/$L128)*((1+Inputs!$D$7)^AW$2)),((INT(AW$2/$L128)-INT((AW$2-1)/$L128))*$U128*((1+Inputs!$D$7)^AW$2))),(_xlfn.WEIBULL.DIST(AW$2,$M128,$L128,FALSE)*$U128*((1+Inputs!$D$7)^AW$2))),IF($N128=Lists!$K$3,IF($L128&lt;1,((($T128*(1-$F128)+$S128*(1-$G128))/$L128)*((1+Inputs!$D$7)^AW$2)),((INT(AW$2/$L128)-INT((AW$2-1)/$L128))*($T128*(1-$F128)+$S128*(1-$G128))*((1+Inputs!$D$7)^AW$2))),((_xlfn.WEIBULL.DIST(AW$2,$M128,$L128,FALSE)*($T128*(1-$F128)+$S128*(1-$G128))*((1+Inputs!$D$7)^AW$2))))))</f>
        <v>236.68402890338083</v>
      </c>
      <c r="AX128" s="88">
        <f>$E128*IF(AX$2&gt;Inputs!$D$5,0,IF(AX$2&gt;VLOOKUP($H128,Lists!$P$3:$Q$7,2),IF($N128=Lists!$K$3,IF($L128&lt;1,(($U128/$L128)*((1+Inputs!$D$7)^AX$2)),((INT(AX$2/$L128)-INT((AX$2-1)/$L128))*$U128*((1+Inputs!$D$7)^AX$2))),(_xlfn.WEIBULL.DIST(AX$2,$M128,$L128,FALSE)*$U128*((1+Inputs!$D$7)^AX$2))),IF($N128=Lists!$K$3,IF($L128&lt;1,((($T128*(1-$F128)+$S128*(1-$G128))/$L128)*((1+Inputs!$D$7)^AX$2)),((INT(AX$2/$L128)-INT((AX$2-1)/$L128))*($T128*(1-$F128)+$S128*(1-$G128))*((1+Inputs!$D$7)^AX$2))),((_xlfn.WEIBULL.DIST(AX$2,$M128,$L128,FALSE)*($T128*(1-$F128)+$S128*(1-$G128))*((1+Inputs!$D$7)^AX$2))))))</f>
        <v>241.41770948144847</v>
      </c>
      <c r="AY128" s="88">
        <f>$E128*IF(AY$2&gt;Inputs!$D$5,0,IF(AY$2&gt;VLOOKUP($H128,Lists!$P$3:$Q$7,2),IF($N128=Lists!$K$3,IF($L128&lt;1,(($U128/$L128)*((1+Inputs!$D$7)^AY$2)),((INT(AY$2/$L128)-INT((AY$2-1)/$L128))*$U128*((1+Inputs!$D$7)^AY$2))),(_xlfn.WEIBULL.DIST(AY$2,$M128,$L128,FALSE)*$U128*((1+Inputs!$D$7)^AY$2))),IF($N128=Lists!$K$3,IF($L128&lt;1,((($T128*(1-$F128)+$S128*(1-$G128))/$L128)*((1+Inputs!$D$7)^AY$2)),((INT(AY$2/$L128)-INT((AY$2-1)/$L128))*($T128*(1-$F128)+$S128*(1-$G128))*((1+Inputs!$D$7)^AY$2))),((_xlfn.WEIBULL.DIST(AY$2,$M128,$L128,FALSE)*($T128*(1-$F128)+$S128*(1-$G128))*((1+Inputs!$D$7)^AY$2))))))</f>
        <v>246.24606367107742</v>
      </c>
      <c r="AZ128" s="88">
        <f>$E128*IF(AZ$2&gt;Inputs!$D$5,0,IF(AZ$2&gt;VLOOKUP($H128,Lists!$P$3:$Q$7,2),IF($N128=Lists!$K$3,IF($L128&lt;1,(($U128/$L128)*((1+Inputs!$D$7)^AZ$2)),((INT(AZ$2/$L128)-INT((AZ$2-1)/$L128))*$U128*((1+Inputs!$D$7)^AZ$2))),(_xlfn.WEIBULL.DIST(AZ$2,$M128,$L128,FALSE)*$U128*((1+Inputs!$D$7)^AZ$2))),IF($N128=Lists!$K$3,IF($L128&lt;1,((($T128*(1-$F128)+$S128*(1-$G128))/$L128)*((1+Inputs!$D$7)^AZ$2)),((INT(AZ$2/$L128)-INT((AZ$2-1)/$L128))*($T128*(1-$F128)+$S128*(1-$G128))*((1+Inputs!$D$7)^AZ$2))),((_xlfn.WEIBULL.DIST(AZ$2,$M128,$L128,FALSE)*($T128*(1-$F128)+$S128*(1-$G128))*((1+Inputs!$D$7)^AZ$2))))))</f>
        <v>0</v>
      </c>
      <c r="BA128" s="88">
        <f>$E128*IF(BA$2&gt;Inputs!$D$5,0,IF(BA$2&gt;VLOOKUP($H128,Lists!$P$3:$Q$7,2),IF($N128=Lists!$K$3,IF($L128&lt;1,(($U128/$L128)*((1+Inputs!$D$7)^BA$2)),((INT(BA$2/$L128)-INT((BA$2-1)/$L128))*$U128*((1+Inputs!$D$7)^BA$2))),(_xlfn.WEIBULL.DIST(BA$2,$M128,$L128,FALSE)*$U128*((1+Inputs!$D$7)^BA$2))),IF($N128=Lists!$K$3,IF($L128&lt;1,((($T128*(1-$F128)+$S128*(1-$G128))/$L128)*((1+Inputs!$D$7)^BA$2)),((INT(BA$2/$L128)-INT((BA$2-1)/$L128))*($T128*(1-$F128)+$S128*(1-$G128))*((1+Inputs!$D$7)^BA$2))),((_xlfn.WEIBULL.DIST(BA$2,$M128,$L128,FALSE)*($T128*(1-$F128)+$S128*(1-$G128))*((1+Inputs!$D$7)^BA$2))))))</f>
        <v>0</v>
      </c>
      <c r="BB128" s="88">
        <f>$E128*IF(BB$2&gt;Inputs!$D$5,0,IF(BB$2&gt;VLOOKUP($H128,Lists!$P$3:$Q$7,2),IF($N128=Lists!$K$3,IF($L128&lt;1,(($U128/$L128)*((1+Inputs!$D$7)^BB$2)),((INT(BB$2/$L128)-INT((BB$2-1)/$L128))*$U128*((1+Inputs!$D$7)^BB$2))),(_xlfn.WEIBULL.DIST(BB$2,$M128,$L128,FALSE)*$U128*((1+Inputs!$D$7)^BB$2))),IF($N128=Lists!$K$3,IF($L128&lt;1,((($T128*(1-$F128)+$S128*(1-$G128))/$L128)*((1+Inputs!$D$7)^BB$2)),((INT(BB$2/$L128)-INT((BB$2-1)/$L128))*($T128*(1-$F128)+$S128*(1-$G128))*((1+Inputs!$D$7)^BB$2))),((_xlfn.WEIBULL.DIST(BB$2,$M128,$L128,FALSE)*($T128*(1-$F128)+$S128*(1-$G128))*((1+Inputs!$D$7)^BB$2))))))</f>
        <v>0</v>
      </c>
      <c r="BC128" s="88">
        <f>$E128*IF(BC$2&gt;Inputs!$D$5,0,IF(BC$2&gt;VLOOKUP($H128,Lists!$P$3:$Q$7,2),IF($N128=Lists!$K$3,IF($L128&lt;1,(($U128/$L128)*((1+Inputs!$D$7)^BC$2)),((INT(BC$2/$L128)-INT((BC$2-1)/$L128))*$U128*((1+Inputs!$D$7)^BC$2))),(_xlfn.WEIBULL.DIST(BC$2,$M128,$L128,FALSE)*$U128*((1+Inputs!$D$7)^BC$2))),IF($N128=Lists!$K$3,IF($L128&lt;1,((($T128*(1-$F128)+$S128*(1-$G128))/$L128)*((1+Inputs!$D$7)^BC$2)),((INT(BC$2/$L128)-INT((BC$2-1)/$L128))*($T128*(1-$F128)+$S128*(1-$G128))*((1+Inputs!$D$7)^BC$2))),((_xlfn.WEIBULL.DIST(BC$2,$M128,$L128,FALSE)*($T128*(1-$F128)+$S128*(1-$G128))*((1+Inputs!$D$7)^BC$2))))))</f>
        <v>0</v>
      </c>
      <c r="BD128" s="88">
        <f>$E128*IF(BD$2&gt;Inputs!$D$5,0,IF(BD$2&gt;VLOOKUP($H128,Lists!$P$3:$Q$7,2),IF($N128=Lists!$K$3,IF($L128&lt;1,(($U128/$L128)*((1+Inputs!$D$7)^BD$2)),((INT(BD$2/$L128)-INT((BD$2-1)/$L128))*$U128*((1+Inputs!$D$7)^BD$2))),(_xlfn.WEIBULL.DIST(BD$2,$M128,$L128,FALSE)*$U128*((1+Inputs!$D$7)^BD$2))),IF($N128=Lists!$K$3,IF($L128&lt;1,((($T128*(1-$F128)+$S128*(1-$G128))/$L128)*((1+Inputs!$D$7)^BD$2)),((INT(BD$2/$L128)-INT((BD$2-1)/$L128))*($T128*(1-$F128)+$S128*(1-$G128))*((1+Inputs!$D$7)^BD$2))),((_xlfn.WEIBULL.DIST(BD$2,$M128,$L128,FALSE)*($T128*(1-$F128)+$S128*(1-$G128))*((1+Inputs!$D$7)^BD$2))))))</f>
        <v>0</v>
      </c>
      <c r="BE128" s="88">
        <f>$E128*IF(BE$2&gt;Inputs!$D$5,0,IF(BE$2&gt;VLOOKUP($H128,Lists!$P$3:$Q$7,2),IF($N128=Lists!$K$3,IF($L128&lt;1,(($U128/$L128)*((1+Inputs!$D$7)^BE$2)),((INT(BE$2/$L128)-INT((BE$2-1)/$L128))*$U128*((1+Inputs!$D$7)^BE$2))),(_xlfn.WEIBULL.DIST(BE$2,$M128,$L128,FALSE)*$U128*((1+Inputs!$D$7)^BE$2))),IF($N128=Lists!$K$3,IF($L128&lt;1,((($T128*(1-$F128)+$S128*(1-$G128))/$L128)*((1+Inputs!$D$7)^BE$2)),((INT(BE$2/$L128)-INT((BE$2-1)/$L128))*($T128*(1-$F128)+$S128*(1-$G128))*((1+Inputs!$D$7)^BE$2))),((_xlfn.WEIBULL.DIST(BE$2,$M128,$L128,FALSE)*($T128*(1-$F128)+$S128*(1-$G128))*((1+Inputs!$D$7)^BE$2))))))</f>
        <v>0</v>
      </c>
      <c r="BF128" s="88">
        <f>$E128*IF(BF$2&gt;Inputs!$D$5,0,IF(BF$2&gt;VLOOKUP($H128,Lists!$P$3:$Q$7,2),IF($N128=Lists!$K$3,IF($L128&lt;1,(($U128/$L128)*((1+Inputs!$D$7)^BF$2)),((INT(BF$2/$L128)-INT((BF$2-1)/$L128))*$U128*((1+Inputs!$D$7)^BF$2))),(_xlfn.WEIBULL.DIST(BF$2,$M128,$L128,FALSE)*$U128*((1+Inputs!$D$7)^BF$2))),IF($N128=Lists!$K$3,IF($L128&lt;1,((($T128*(1-$F128)+$S128*(1-$G128))/$L128)*((1+Inputs!$D$7)^BF$2)),((INT(BF$2/$L128)-INT((BF$2-1)/$L128))*($T128*(1-$F128)+$S128*(1-$G128))*((1+Inputs!$D$7)^BF$2))),((_xlfn.WEIBULL.DIST(BF$2,$M128,$L128,FALSE)*($T128*(1-$F128)+$S128*(1-$G128))*((1+Inputs!$D$7)^BF$2))))))</f>
        <v>0</v>
      </c>
      <c r="BG128" s="88">
        <f>$E128*IF(BG$2&gt;Inputs!$D$5,0,IF(BG$2&gt;VLOOKUP($H128,Lists!$P$3:$Q$7,2),IF($N128=Lists!$K$3,IF($L128&lt;1,(($U128/$L128)*((1+Inputs!$D$7)^BG$2)),((INT(BG$2/$L128)-INT((BG$2-1)/$L128))*$U128*((1+Inputs!$D$7)^BG$2))),(_xlfn.WEIBULL.DIST(BG$2,$M128,$L128,FALSE)*$U128*((1+Inputs!$D$7)^BG$2))),IF($N128=Lists!$K$3,IF($L128&lt;1,((($T128*(1-$F128)+$S128*(1-$G128))/$L128)*((1+Inputs!$D$7)^BG$2)),((INT(BG$2/$L128)-INT((BG$2-1)/$L128))*($T128*(1-$F128)+$S128*(1-$G128))*((1+Inputs!$D$7)^BG$2))),((_xlfn.WEIBULL.DIST(BG$2,$M128,$L128,FALSE)*($T128*(1-$F128)+$S128*(1-$G128))*((1+Inputs!$D$7)^BG$2))))))</f>
        <v>0</v>
      </c>
      <c r="BH128" s="88">
        <f>$E128*IF(BH$2&gt;Inputs!$D$5,0,IF(BH$2&gt;VLOOKUP($H128,Lists!$P$3:$Q$7,2),IF($N128=Lists!$K$3,IF($L128&lt;1,(($U128/$L128)*((1+Inputs!$D$7)^BH$2)),((INT(BH$2/$L128)-INT((BH$2-1)/$L128))*$U128*((1+Inputs!$D$7)^BH$2))),(_xlfn.WEIBULL.DIST(BH$2,$M128,$L128,FALSE)*$U128*((1+Inputs!$D$7)^BH$2))),IF($N128=Lists!$K$3,IF($L128&lt;1,((($T128*(1-$F128)+$S128*(1-$G128))/$L128)*((1+Inputs!$D$7)^BH$2)),((INT(BH$2/$L128)-INT((BH$2-1)/$L128))*($T128*(1-$F128)+$S128*(1-$G128))*((1+Inputs!$D$7)^BH$2))),((_xlfn.WEIBULL.DIST(BH$2,$M128,$L128,FALSE)*($T128*(1-$F128)+$S128*(1-$G128))*((1+Inputs!$D$7)^BH$2))))))</f>
        <v>0</v>
      </c>
      <c r="BI128" s="88">
        <f>$E128*IF(BI$2&gt;Inputs!$D$5,0,IF(BI$2&gt;VLOOKUP($H128,Lists!$P$3:$Q$7,2),IF($N128=Lists!$K$3,IF($L128&lt;1,(($U128/$L128)*((1+Inputs!$D$7)^BI$2)),((INT(BI$2/$L128)-INT((BI$2-1)/$L128))*$U128*((1+Inputs!$D$7)^BI$2))),(_xlfn.WEIBULL.DIST(BI$2,$M128,$L128,FALSE)*$U128*((1+Inputs!$D$7)^BI$2))),IF($N128=Lists!$K$3,IF($L128&lt;1,((($T128*(1-$F128)+$S128*(1-$G128))/$L128)*((1+Inputs!$D$7)^BI$2)),((INT(BI$2/$L128)-INT((BI$2-1)/$L128))*($T128*(1-$F128)+$S128*(1-$G128))*((1+Inputs!$D$7)^BI$2))),((_xlfn.WEIBULL.DIST(BI$2,$M128,$L128,FALSE)*($T128*(1-$F128)+$S128*(1-$G128))*((1+Inputs!$D$7)^BI$2))))))</f>
        <v>0</v>
      </c>
      <c r="BJ128" s="88">
        <f>$E128*IF(BJ$2&gt;Inputs!$D$5,0,IF(BJ$2&gt;VLOOKUP($H128,Lists!$P$3:$Q$7,2),IF($N128=Lists!$K$3,IF($L128&lt;1,(($U128/$L128)*((1+Inputs!$D$7)^BJ$2)),((INT(BJ$2/$L128)-INT((BJ$2-1)/$L128))*$U128*((1+Inputs!$D$7)^BJ$2))),(_xlfn.WEIBULL.DIST(BJ$2,$M128,$L128,FALSE)*$U128*((1+Inputs!$D$7)^BJ$2))),IF($N128=Lists!$K$3,IF($L128&lt;1,((($T128*(1-$F128)+$S128*(1-$G128))/$L128)*((1+Inputs!$D$7)^BJ$2)),((INT(BJ$2/$L128)-INT((BJ$2-1)/$L128))*($T128*(1-$F128)+$S128*(1-$G128))*((1+Inputs!$D$7)^BJ$2))),((_xlfn.WEIBULL.DIST(BJ$2,$M128,$L128,FALSE)*($T128*(1-$F128)+$S128*(1-$G128))*((1+Inputs!$D$7)^BJ$2))))))</f>
        <v>0</v>
      </c>
      <c r="BK128" s="88">
        <f>$E128*IF(BK$2&gt;Inputs!$D$5,0,IF(BK$2&gt;VLOOKUP($H128,Lists!$P$3:$Q$7,2),IF($N128=Lists!$K$3,IF($L128&lt;1,(($U128/$L128)*((1+Inputs!$D$7)^BK$2)),((INT(BK$2/$L128)-INT((BK$2-1)/$L128))*$U128*((1+Inputs!$D$7)^BK$2))),(_xlfn.WEIBULL.DIST(BK$2,$M128,$L128,FALSE)*$U128*((1+Inputs!$D$7)^BK$2))),IF($N128=Lists!$K$3,IF($L128&lt;1,((($T128*(1-$F128)+$S128*(1-$G128))/$L128)*((1+Inputs!$D$7)^BK$2)),((INT(BK$2/$L128)-INT((BK$2-1)/$L128))*($T128*(1-$F128)+$S128*(1-$G128))*((1+Inputs!$D$7)^BK$2))),((_xlfn.WEIBULL.DIST(BK$2,$M128,$L128,FALSE)*($T128*(1-$F128)+$S128*(1-$G128))*((1+Inputs!$D$7)^BK$2))))))</f>
        <v>0</v>
      </c>
      <c r="BL128" s="88">
        <f>$E128*IF(BL$2&gt;Inputs!$D$5,0,IF(BL$2&gt;VLOOKUP($H128,Lists!$P$3:$Q$7,2),IF($N128=Lists!$K$3,IF($L128&lt;1,(($U128/$L128)*((1+Inputs!$D$7)^BL$2)),((INT(BL$2/$L128)-INT((BL$2-1)/$L128))*$U128*((1+Inputs!$D$7)^BL$2))),(_xlfn.WEIBULL.DIST(BL$2,$M128,$L128,FALSE)*$U128*((1+Inputs!$D$7)^BL$2))),IF($N128=Lists!$K$3,IF($L128&lt;1,((($T128*(1-$F128)+$S128*(1-$G128))/$L128)*((1+Inputs!$D$7)^BL$2)),((INT(BL$2/$L128)-INT((BL$2-1)/$L128))*($T128*(1-$F128)+$S128*(1-$G128))*((1+Inputs!$D$7)^BL$2))),((_xlfn.WEIBULL.DIST(BL$2,$M128,$L128,FALSE)*($T128*(1-$F128)+$S128*(1-$G128))*((1+Inputs!$D$7)^BL$2))))))</f>
        <v>0</v>
      </c>
      <c r="BM128" s="88">
        <f>$E128*IF(BM$2&gt;Inputs!$D$5,0,IF(BM$2&gt;VLOOKUP($H128,Lists!$P$3:$Q$7,2),IF($N128=Lists!$K$3,IF($L128&lt;1,(($U128/$L128)*((1+Inputs!$D$7)^BM$2)),((INT(BM$2/$L128)-INT((BM$2-1)/$L128))*$U128*((1+Inputs!$D$7)^BM$2))),(_xlfn.WEIBULL.DIST(BM$2,$M128,$L128,FALSE)*$U128*((1+Inputs!$D$7)^BM$2))),IF($N128=Lists!$K$3,IF($L128&lt;1,((($T128*(1-$F128)+$S128*(1-$G128))/$L128)*((1+Inputs!$D$7)^BM$2)),((INT(BM$2/$L128)-INT((BM$2-1)/$L128))*($T128*(1-$F128)+$S128*(1-$G128))*((1+Inputs!$D$7)^BM$2))),((_xlfn.WEIBULL.DIST(BM$2,$M128,$L128,FALSE)*($T128*(1-$F128)+$S128*(1-$G128))*((1+Inputs!$D$7)^BM$2))))))</f>
        <v>0</v>
      </c>
      <c r="BN128" s="88">
        <f>$E128*IF(BN$2&gt;Inputs!$D$5,0,IF(BN$2&gt;VLOOKUP($H128,Lists!$P$3:$Q$7,2),IF($N128=Lists!$K$3,IF($L128&lt;1,(($U128/$L128)*((1+Inputs!$D$7)^BN$2)),((INT(BN$2/$L128)-INT((BN$2-1)/$L128))*$U128*((1+Inputs!$D$7)^BN$2))),(_xlfn.WEIBULL.DIST(BN$2,$M128,$L128,FALSE)*$U128*((1+Inputs!$D$7)^BN$2))),IF($N128=Lists!$K$3,IF($L128&lt;1,((($T128*(1-$F128)+$S128*(1-$G128))/$L128)*((1+Inputs!$D$7)^BN$2)),((INT(BN$2/$L128)-INT((BN$2-1)/$L128))*($T128*(1-$F128)+$S128*(1-$G128))*((1+Inputs!$D$7)^BN$2))),((_xlfn.WEIBULL.DIST(BN$2,$M128,$L128,FALSE)*($T128*(1-$F128)+$S128*(1-$G128))*((1+Inputs!$D$7)^BN$2))))))</f>
        <v>0</v>
      </c>
      <c r="BO128" s="64">
        <f>NPV(Inputs!$D$6,BQ128:DD128)</f>
        <v>2136.3684342238193</v>
      </c>
      <c r="BP128" s="67">
        <f t="shared" si="27"/>
        <v>1.0076156525992972E-3</v>
      </c>
      <c r="BQ128" s="88">
        <f>MAX(AA128,($E128*IF(BQ$2&gt;Inputs!$D$5,0,IF(BQ$2&gt;VLOOKUP($H128,Lists!$P$3:$Q$7,2),IF($N128=Lists!$K$3,IF($L128&lt;1,(($U128/$L128)*((1+Inputs!$D$7)^BQ$2)),((INT(BQ$2/$L128)-INT((BQ$2-1)/$L128))*$U128*((1+Inputs!$D$7)^BQ$2))),(Inputs!$D$8^((1-_xlfn.WEIBULL.DIST(BQ$2,$M128,$L128,FALSE))/_xlfn.WEIBULL.DIST(BQ$2,$M128,$L128,FALSE))*$U128*((1+Inputs!$D$7)^BQ$2))),IF($N128=Lists!$K$3,IF($L128&lt;1,((($T128*(1-$F128)+$S128*(1-$G128))/$L128)*((1+Inputs!$D$7)^BQ$2)),((INT(BQ$2/$L128)-INT((BQ$2-1)/$L128))*($T128*(1-$F128)+$S128*(1-$G128))*((1+Inputs!$D$7)^BQ$2))),((Inputs!$D$8^((1-_xlfn.WEIBULL.DIST(BQ$2,$M128,$L128,FALSE))/_xlfn.WEIBULL.DIST(BQ$2,$M128,$L128,FALSE))*($T128*(1-$F128)+$S128*(1-$G128))*((1+Inputs!$D$7)^BQ$2))))))))</f>
        <v>153.0964691046658</v>
      </c>
      <c r="BR128" s="88">
        <f>MAX(AB128,($E128*IF(BR$2&gt;Inputs!$D$5,0,IF(BR$2&gt;VLOOKUP($H128,Lists!$P$3:$Q$7,2),IF($N128=Lists!$K$3,IF($L128&lt;1,(($U128/$L128)*((1+Inputs!$D$7)^BR$2)),((INT(BR$2/$L128)-INT((BR$2-1)/$L128))*$U128*((1+Inputs!$D$7)^BR$2))),(Inputs!$D$8^((1-_xlfn.WEIBULL.DIST(BR$2,$M128,$L128,FALSE))/_xlfn.WEIBULL.DIST(BR$2,$M128,$L128,FALSE))*$U128*((1+Inputs!$D$7)^BR$2))),IF($N128=Lists!$K$3,IF($L128&lt;1,((($T128*(1-$F128)+$S128*(1-$G128))/$L128)*((1+Inputs!$D$7)^BR$2)),((INT(BR$2/$L128)-INT((BR$2-1)/$L128))*($T128*(1-$F128)+$S128*(1-$G128))*((1+Inputs!$D$7)^BR$2))),((Inputs!$D$8^((1-_xlfn.WEIBULL.DIST(BR$2,$M128,$L128,FALSE))/_xlfn.WEIBULL.DIST(BR$2,$M128,$L128,FALSE))*($T128*(1-$F128)+$S128*(1-$G128))*((1+Inputs!$D$7)^BR$2))))))))</f>
        <v>156.15839848675913</v>
      </c>
      <c r="BS128" s="88">
        <f>MAX(AC128,($E128*IF(BS$2&gt;Inputs!$D$5,0,IF(BS$2&gt;VLOOKUP($H128,Lists!$P$3:$Q$7,2),IF($N128=Lists!$K$3,IF($L128&lt;1,(($U128/$L128)*((1+Inputs!$D$7)^BS$2)),((INT(BS$2/$L128)-INT((BS$2-1)/$L128))*$U128*((1+Inputs!$D$7)^BS$2))),(Inputs!$D$8^((1-_xlfn.WEIBULL.DIST(BS$2,$M128,$L128,FALSE))/_xlfn.WEIBULL.DIST(BS$2,$M128,$L128,FALSE))*$U128*((1+Inputs!$D$7)^BS$2))),IF($N128=Lists!$K$3,IF($L128&lt;1,((($T128*(1-$F128)+$S128*(1-$G128))/$L128)*((1+Inputs!$D$7)^BS$2)),((INT(BS$2/$L128)-INT((BS$2-1)/$L128))*($T128*(1-$F128)+$S128*(1-$G128))*((1+Inputs!$D$7)^BS$2))),((Inputs!$D$8^((1-_xlfn.WEIBULL.DIST(BS$2,$M128,$L128,FALSE))/_xlfn.WEIBULL.DIST(BS$2,$M128,$L128,FALSE))*($T128*(1-$F128)+$S128*(1-$G128))*((1+Inputs!$D$7)^BS$2))))))))</f>
        <v>159.28156645649429</v>
      </c>
      <c r="BT128" s="88">
        <f>MAX(AD128,($E128*IF(BT$2&gt;Inputs!$D$5,0,IF(BT$2&gt;VLOOKUP($H128,Lists!$P$3:$Q$7,2),IF($N128=Lists!$K$3,IF($L128&lt;1,(($U128/$L128)*((1+Inputs!$D$7)^BT$2)),((INT(BT$2/$L128)-INT((BT$2-1)/$L128))*$U128*((1+Inputs!$D$7)^BT$2))),(Inputs!$D$8^((1-_xlfn.WEIBULL.DIST(BT$2,$M128,$L128,FALSE))/_xlfn.WEIBULL.DIST(BT$2,$M128,$L128,FALSE))*$U128*((1+Inputs!$D$7)^BT$2))),IF($N128=Lists!$K$3,IF($L128&lt;1,((($T128*(1-$F128)+$S128*(1-$G128))/$L128)*((1+Inputs!$D$7)^BT$2)),((INT(BT$2/$L128)-INT((BT$2-1)/$L128))*($T128*(1-$F128)+$S128*(1-$G128))*((1+Inputs!$D$7)^BT$2))),((Inputs!$D$8^((1-_xlfn.WEIBULL.DIST(BT$2,$M128,$L128,FALSE))/_xlfn.WEIBULL.DIST(BT$2,$M128,$L128,FALSE))*($T128*(1-$F128)+$S128*(1-$G128))*((1+Inputs!$D$7)^BT$2))))))))</f>
        <v>162.46719778562419</v>
      </c>
      <c r="BU128" s="88">
        <f>MAX(AE128,($E128*IF(BU$2&gt;Inputs!$D$5,0,IF(BU$2&gt;VLOOKUP($H128,Lists!$P$3:$Q$7,2),IF($N128=Lists!$K$3,IF($L128&lt;1,(($U128/$L128)*((1+Inputs!$D$7)^BU$2)),((INT(BU$2/$L128)-INT((BU$2-1)/$L128))*$U128*((1+Inputs!$D$7)^BU$2))),(Inputs!$D$8^((1-_xlfn.WEIBULL.DIST(BU$2,$M128,$L128,FALSE))/_xlfn.WEIBULL.DIST(BU$2,$M128,$L128,FALSE))*$U128*((1+Inputs!$D$7)^BU$2))),IF($N128=Lists!$K$3,IF($L128&lt;1,((($T128*(1-$F128)+$S128*(1-$G128))/$L128)*((1+Inputs!$D$7)^BU$2)),((INT(BU$2/$L128)-INT((BU$2-1)/$L128))*($T128*(1-$F128)+$S128*(1-$G128))*((1+Inputs!$D$7)^BU$2))),((Inputs!$D$8^((1-_xlfn.WEIBULL.DIST(BU$2,$M128,$L128,FALSE))/_xlfn.WEIBULL.DIST(BU$2,$M128,$L128,FALSE))*($T128*(1-$F128)+$S128*(1-$G128))*((1+Inputs!$D$7)^BU$2))))))))</f>
        <v>165.71654174133667</v>
      </c>
      <c r="BV128" s="88">
        <f>MAX(AF128,($E128*IF(BV$2&gt;Inputs!$D$5,0,IF(BV$2&gt;VLOOKUP($H128,Lists!$P$3:$Q$7,2),IF($N128=Lists!$K$3,IF($L128&lt;1,(($U128/$L128)*((1+Inputs!$D$7)^BV$2)),((INT(BV$2/$L128)-INT((BV$2-1)/$L128))*$U128*((1+Inputs!$D$7)^BV$2))),(Inputs!$D$8^((1-_xlfn.WEIBULL.DIST(BV$2,$M128,$L128,FALSE))/_xlfn.WEIBULL.DIST(BV$2,$M128,$L128,FALSE))*$U128*((1+Inputs!$D$7)^BV$2))),IF($N128=Lists!$K$3,IF($L128&lt;1,((($T128*(1-$F128)+$S128*(1-$G128))/$L128)*((1+Inputs!$D$7)^BV$2)),((INT(BV$2/$L128)-INT((BV$2-1)/$L128))*($T128*(1-$F128)+$S128*(1-$G128))*((1+Inputs!$D$7)^BV$2))),((Inputs!$D$8^((1-_xlfn.WEIBULL.DIST(BV$2,$M128,$L128,FALSE))/_xlfn.WEIBULL.DIST(BV$2,$M128,$L128,FALSE))*($T128*(1-$F128)+$S128*(1-$G128))*((1+Inputs!$D$7)^BV$2))))))))</f>
        <v>169.0308725761634</v>
      </c>
      <c r="BW128" s="88">
        <f>MAX(AG128,($E128*IF(BW$2&gt;Inputs!$D$5,0,IF(BW$2&gt;VLOOKUP($H128,Lists!$P$3:$Q$7,2),IF($N128=Lists!$K$3,IF($L128&lt;1,(($U128/$L128)*((1+Inputs!$D$7)^BW$2)),((INT(BW$2/$L128)-INT((BW$2-1)/$L128))*$U128*((1+Inputs!$D$7)^BW$2))),(Inputs!$D$8^((1-_xlfn.WEIBULL.DIST(BW$2,$M128,$L128,FALSE))/_xlfn.WEIBULL.DIST(BW$2,$M128,$L128,FALSE))*$U128*((1+Inputs!$D$7)^BW$2))),IF($N128=Lists!$K$3,IF($L128&lt;1,((($T128*(1-$F128)+$S128*(1-$G128))/$L128)*((1+Inputs!$D$7)^BW$2)),((INT(BW$2/$L128)-INT((BW$2-1)/$L128))*($T128*(1-$F128)+$S128*(1-$G128))*((1+Inputs!$D$7)^BW$2))),((Inputs!$D$8^((1-_xlfn.WEIBULL.DIST(BW$2,$M128,$L128,FALSE))/_xlfn.WEIBULL.DIST(BW$2,$M128,$L128,FALSE))*($T128*(1-$F128)+$S128*(1-$G128))*((1+Inputs!$D$7)^BW$2))))))))</f>
        <v>172.41149002768665</v>
      </c>
      <c r="BX128" s="88">
        <f>MAX(AH128,($E128*IF(BX$2&gt;Inputs!$D$5,0,IF(BX$2&gt;VLOOKUP($H128,Lists!$P$3:$Q$7,2),IF($N128=Lists!$K$3,IF($L128&lt;1,(($U128/$L128)*((1+Inputs!$D$7)^BX$2)),((INT(BX$2/$L128)-INT((BX$2-1)/$L128))*$U128*((1+Inputs!$D$7)^BX$2))),(Inputs!$D$8^((1-_xlfn.WEIBULL.DIST(BX$2,$M128,$L128,FALSE))/_xlfn.WEIBULL.DIST(BX$2,$M128,$L128,FALSE))*$U128*((1+Inputs!$D$7)^BX$2))),IF($N128=Lists!$K$3,IF($L128&lt;1,((($T128*(1-$F128)+$S128*(1-$G128))/$L128)*((1+Inputs!$D$7)^BX$2)),((INT(BX$2/$L128)-INT((BX$2-1)/$L128))*($T128*(1-$F128)+$S128*(1-$G128))*((1+Inputs!$D$7)^BX$2))),((Inputs!$D$8^((1-_xlfn.WEIBULL.DIST(BX$2,$M128,$L128,FALSE))/_xlfn.WEIBULL.DIST(BX$2,$M128,$L128,FALSE))*($T128*(1-$F128)+$S128*(1-$G128))*((1+Inputs!$D$7)^BX$2))))))))</f>
        <v>175.8597198282404</v>
      </c>
      <c r="BY128" s="88">
        <f>MAX(AI128,($E128*IF(BY$2&gt;Inputs!$D$5,0,IF(BY$2&gt;VLOOKUP($H128,Lists!$P$3:$Q$7,2),IF($N128=Lists!$K$3,IF($L128&lt;1,(($U128/$L128)*((1+Inputs!$D$7)^BY$2)),((INT(BY$2/$L128)-INT((BY$2-1)/$L128))*$U128*((1+Inputs!$D$7)^BY$2))),(Inputs!$D$8^((1-_xlfn.WEIBULL.DIST(BY$2,$M128,$L128,FALSE))/_xlfn.WEIBULL.DIST(BY$2,$M128,$L128,FALSE))*$U128*((1+Inputs!$D$7)^BY$2))),IF($N128=Lists!$K$3,IF($L128&lt;1,((($T128*(1-$F128)+$S128*(1-$G128))/$L128)*((1+Inputs!$D$7)^BY$2)),((INT(BY$2/$L128)-INT((BY$2-1)/$L128))*($T128*(1-$F128)+$S128*(1-$G128))*((1+Inputs!$D$7)^BY$2))),((Inputs!$D$8^((1-_xlfn.WEIBULL.DIST(BY$2,$M128,$L128,FALSE))/_xlfn.WEIBULL.DIST(BY$2,$M128,$L128,FALSE))*($T128*(1-$F128)+$S128*(1-$G128))*((1+Inputs!$D$7)^BY$2))))))))</f>
        <v>179.3769142248052</v>
      </c>
      <c r="BZ128" s="88">
        <f>MAX(AJ128,($E128*IF(BZ$2&gt;Inputs!$D$5,0,IF(BZ$2&gt;VLOOKUP($H128,Lists!$P$3:$Q$7,2),IF($N128=Lists!$K$3,IF($L128&lt;1,(($U128/$L128)*((1+Inputs!$D$7)^BZ$2)),((INT(BZ$2/$L128)-INT((BZ$2-1)/$L128))*$U128*((1+Inputs!$D$7)^BZ$2))),(Inputs!$D$8^((1-_xlfn.WEIBULL.DIST(BZ$2,$M128,$L128,FALSE))/_xlfn.WEIBULL.DIST(BZ$2,$M128,$L128,FALSE))*$U128*((1+Inputs!$D$7)^BZ$2))),IF($N128=Lists!$K$3,IF($L128&lt;1,((($T128*(1-$F128)+$S128*(1-$G128))/$L128)*((1+Inputs!$D$7)^BZ$2)),((INT(BZ$2/$L128)-INT((BZ$2-1)/$L128))*($T128*(1-$F128)+$S128*(1-$G128))*((1+Inputs!$D$7)^BZ$2))),((Inputs!$D$8^((1-_xlfn.WEIBULL.DIST(BZ$2,$M128,$L128,FALSE))/_xlfn.WEIBULL.DIST(BZ$2,$M128,$L128,FALSE))*($T128*(1-$F128)+$S128*(1-$G128))*((1+Inputs!$D$7)^BZ$2))))))))</f>
        <v>182.96445250930131</v>
      </c>
      <c r="CA128" s="88">
        <f>MAX(AK128,($E128*IF(CA$2&gt;Inputs!$D$5,0,IF(CA$2&gt;VLOOKUP($H128,Lists!$P$3:$Q$7,2),IF($N128=Lists!$K$3,IF($L128&lt;1,(($U128/$L128)*((1+Inputs!$D$7)^CA$2)),((INT(CA$2/$L128)-INT((CA$2-1)/$L128))*$U128*((1+Inputs!$D$7)^CA$2))),(Inputs!$D$8^((1-_xlfn.WEIBULL.DIST(CA$2,$M128,$L128,FALSE))/_xlfn.WEIBULL.DIST(CA$2,$M128,$L128,FALSE))*$U128*((1+Inputs!$D$7)^CA$2))),IF($N128=Lists!$K$3,IF($L128&lt;1,((($T128*(1-$F128)+$S128*(1-$G128))/$L128)*((1+Inputs!$D$7)^CA$2)),((INT(CA$2/$L128)-INT((CA$2-1)/$L128))*($T128*(1-$F128)+$S128*(1-$G128))*((1+Inputs!$D$7)^CA$2))),((Inputs!$D$8^((1-_xlfn.WEIBULL.DIST(CA$2,$M128,$L128,FALSE))/_xlfn.WEIBULL.DIST(CA$2,$M128,$L128,FALSE))*($T128*(1-$F128)+$S128*(1-$G128))*((1+Inputs!$D$7)^CA$2))))))))</f>
        <v>186.62374155948731</v>
      </c>
      <c r="CB128" s="88">
        <f>MAX(AL128,($E128*IF(CB$2&gt;Inputs!$D$5,0,IF(CB$2&gt;VLOOKUP($H128,Lists!$P$3:$Q$7,2),IF($N128=Lists!$K$3,IF($L128&lt;1,(($U128/$L128)*((1+Inputs!$D$7)^CB$2)),((INT(CB$2/$L128)-INT((CB$2-1)/$L128))*$U128*((1+Inputs!$D$7)^CB$2))),(Inputs!$D$8^((1-_xlfn.WEIBULL.DIST(CB$2,$M128,$L128,FALSE))/_xlfn.WEIBULL.DIST(CB$2,$M128,$L128,FALSE))*$U128*((1+Inputs!$D$7)^CB$2))),IF($N128=Lists!$K$3,IF($L128&lt;1,((($T128*(1-$F128)+$S128*(1-$G128))/$L128)*((1+Inputs!$D$7)^CB$2)),((INT(CB$2/$L128)-INT((CB$2-1)/$L128))*($T128*(1-$F128)+$S128*(1-$G128))*((1+Inputs!$D$7)^CB$2))),((Inputs!$D$8^((1-_xlfn.WEIBULL.DIST(CB$2,$M128,$L128,FALSE))/_xlfn.WEIBULL.DIST(CB$2,$M128,$L128,FALSE))*($T128*(1-$F128)+$S128*(1-$G128))*((1+Inputs!$D$7)^CB$2))))))))</f>
        <v>190.35621639067708</v>
      </c>
      <c r="CC128" s="88">
        <f>MAX(AM128,($E128*IF(CC$2&gt;Inputs!$D$5,0,IF(CC$2&gt;VLOOKUP($H128,Lists!$P$3:$Q$7,2),IF($N128=Lists!$K$3,IF($L128&lt;1,(($U128/$L128)*((1+Inputs!$D$7)^CC$2)),((INT(CC$2/$L128)-INT((CC$2-1)/$L128))*$U128*((1+Inputs!$D$7)^CC$2))),(Inputs!$D$8^((1-_xlfn.WEIBULL.DIST(CC$2,$M128,$L128,FALSE))/_xlfn.WEIBULL.DIST(CC$2,$M128,$L128,FALSE))*$U128*((1+Inputs!$D$7)^CC$2))),IF($N128=Lists!$K$3,IF($L128&lt;1,((($T128*(1-$F128)+$S128*(1-$G128))/$L128)*((1+Inputs!$D$7)^CC$2)),((INT(CC$2/$L128)-INT((CC$2-1)/$L128))*($T128*(1-$F128)+$S128*(1-$G128))*((1+Inputs!$D$7)^CC$2))),((Inputs!$D$8^((1-_xlfn.WEIBULL.DIST(CC$2,$M128,$L128,FALSE))/_xlfn.WEIBULL.DIST(CC$2,$M128,$L128,FALSE))*($T128*(1-$F128)+$S128*(1-$G128))*((1+Inputs!$D$7)^CC$2))))))))</f>
        <v>194.16334071849062</v>
      </c>
      <c r="CD128" s="88">
        <f>MAX(AN128,($E128*IF(CD$2&gt;Inputs!$D$5,0,IF(CD$2&gt;VLOOKUP($H128,Lists!$P$3:$Q$7,2),IF($N128=Lists!$K$3,IF($L128&lt;1,(($U128/$L128)*((1+Inputs!$D$7)^CD$2)),((INT(CD$2/$L128)-INT((CD$2-1)/$L128))*$U128*((1+Inputs!$D$7)^CD$2))),(Inputs!$D$8^((1-_xlfn.WEIBULL.DIST(CD$2,$M128,$L128,FALSE))/_xlfn.WEIBULL.DIST(CD$2,$M128,$L128,FALSE))*$U128*((1+Inputs!$D$7)^CD$2))),IF($N128=Lists!$K$3,IF($L128&lt;1,((($T128*(1-$F128)+$S128*(1-$G128))/$L128)*((1+Inputs!$D$7)^CD$2)),((INT(CD$2/$L128)-INT((CD$2-1)/$L128))*($T128*(1-$F128)+$S128*(1-$G128))*((1+Inputs!$D$7)^CD$2))),((Inputs!$D$8^((1-_xlfn.WEIBULL.DIST(CD$2,$M128,$L128,FALSE))/_xlfn.WEIBULL.DIST(CD$2,$M128,$L128,FALSE))*($T128*(1-$F128)+$S128*(1-$G128))*((1+Inputs!$D$7)^CD$2))))))))</f>
        <v>198.04660753286043</v>
      </c>
      <c r="CE128" s="88">
        <f>MAX(AO128,($E128*IF(CE$2&gt;Inputs!$D$5,0,IF(CE$2&gt;VLOOKUP($H128,Lists!$P$3:$Q$7,2),IF($N128=Lists!$K$3,IF($L128&lt;1,(($U128/$L128)*((1+Inputs!$D$7)^CE$2)),((INT(CE$2/$L128)-INT((CE$2-1)/$L128))*$U128*((1+Inputs!$D$7)^CE$2))),(Inputs!$D$8^((1-_xlfn.WEIBULL.DIST(CE$2,$M128,$L128,FALSE))/_xlfn.WEIBULL.DIST(CE$2,$M128,$L128,FALSE))*$U128*((1+Inputs!$D$7)^CE$2))),IF($N128=Lists!$K$3,IF($L128&lt;1,((($T128*(1-$F128)+$S128*(1-$G128))/$L128)*((1+Inputs!$D$7)^CE$2)),((INT(CE$2/$L128)-INT((CE$2-1)/$L128))*($T128*(1-$F128)+$S128*(1-$G128))*((1+Inputs!$D$7)^CE$2))),((Inputs!$D$8^((1-_xlfn.WEIBULL.DIST(CE$2,$M128,$L128,FALSE))/_xlfn.WEIBULL.DIST(CE$2,$M128,$L128,FALSE))*($T128*(1-$F128)+$S128*(1-$G128))*((1+Inputs!$D$7)^CE$2))))))))</f>
        <v>202.00753968351759</v>
      </c>
      <c r="CF128" s="88">
        <f>MAX(AP128,($E128*IF(CF$2&gt;Inputs!$D$5,0,IF(CF$2&gt;VLOOKUP($H128,Lists!$P$3:$Q$7,2),IF($N128=Lists!$K$3,IF($L128&lt;1,(($U128/$L128)*((1+Inputs!$D$7)^CF$2)),((INT(CF$2/$L128)-INT((CF$2-1)/$L128))*$U128*((1+Inputs!$D$7)^CF$2))),(Inputs!$D$8^((1-_xlfn.WEIBULL.DIST(CF$2,$M128,$L128,FALSE))/_xlfn.WEIBULL.DIST(CF$2,$M128,$L128,FALSE))*$U128*((1+Inputs!$D$7)^CF$2))),IF($N128=Lists!$K$3,IF($L128&lt;1,((($T128*(1-$F128)+$S128*(1-$G128))/$L128)*((1+Inputs!$D$7)^CF$2)),((INT(CF$2/$L128)-INT((CF$2-1)/$L128))*($T128*(1-$F128)+$S128*(1-$G128))*((1+Inputs!$D$7)^CF$2))),((Inputs!$D$8^((1-_xlfn.WEIBULL.DIST(CF$2,$M128,$L128,FALSE))/_xlfn.WEIBULL.DIST(CF$2,$M128,$L128,FALSE))*($T128*(1-$F128)+$S128*(1-$G128))*((1+Inputs!$D$7)^CF$2))))))))</f>
        <v>206.04769047718798</v>
      </c>
      <c r="CG128" s="88">
        <f>MAX(AQ128,($E128*IF(CG$2&gt;Inputs!$D$5,0,IF(CG$2&gt;VLOOKUP($H128,Lists!$P$3:$Q$7,2),IF($N128=Lists!$K$3,IF($L128&lt;1,(($U128/$L128)*((1+Inputs!$D$7)^CG$2)),((INT(CG$2/$L128)-INT((CG$2-1)/$L128))*$U128*((1+Inputs!$D$7)^CG$2))),(Inputs!$D$8^((1-_xlfn.WEIBULL.DIST(CG$2,$M128,$L128,FALSE))/_xlfn.WEIBULL.DIST(CG$2,$M128,$L128,FALSE))*$U128*((1+Inputs!$D$7)^CG$2))),IF($N128=Lists!$K$3,IF($L128&lt;1,((($T128*(1-$F128)+$S128*(1-$G128))/$L128)*((1+Inputs!$D$7)^CG$2)),((INT(CG$2/$L128)-INT((CG$2-1)/$L128))*($T128*(1-$F128)+$S128*(1-$G128))*((1+Inputs!$D$7)^CG$2))),((Inputs!$D$8^((1-_xlfn.WEIBULL.DIST(CG$2,$M128,$L128,FALSE))/_xlfn.WEIBULL.DIST(CG$2,$M128,$L128,FALSE))*($T128*(1-$F128)+$S128*(1-$G128))*((1+Inputs!$D$7)^CG$2))))))))</f>
        <v>210.16864428673176</v>
      </c>
      <c r="CH128" s="88">
        <f>MAX(AR128,($E128*IF(CH$2&gt;Inputs!$D$5,0,IF(CH$2&gt;VLOOKUP($H128,Lists!$P$3:$Q$7,2),IF($N128=Lists!$K$3,IF($L128&lt;1,(($U128/$L128)*((1+Inputs!$D$7)^CH$2)),((INT(CH$2/$L128)-INT((CH$2-1)/$L128))*$U128*((1+Inputs!$D$7)^CH$2))),(Inputs!$D$8^((1-_xlfn.WEIBULL.DIST(CH$2,$M128,$L128,FALSE))/_xlfn.WEIBULL.DIST(CH$2,$M128,$L128,FALSE))*$U128*((1+Inputs!$D$7)^CH$2))),IF($N128=Lists!$K$3,IF($L128&lt;1,((($T128*(1-$F128)+$S128*(1-$G128))/$L128)*((1+Inputs!$D$7)^CH$2)),((INT(CH$2/$L128)-INT((CH$2-1)/$L128))*($T128*(1-$F128)+$S128*(1-$G128))*((1+Inputs!$D$7)^CH$2))),((Inputs!$D$8^((1-_xlfn.WEIBULL.DIST(CH$2,$M128,$L128,FALSE))/_xlfn.WEIBULL.DIST(CH$2,$M128,$L128,FALSE))*($T128*(1-$F128)+$S128*(1-$G128))*((1+Inputs!$D$7)^CH$2))))))))</f>
        <v>214.37201717246637</v>
      </c>
      <c r="CI128" s="88">
        <f>MAX(AS128,($E128*IF(CI$2&gt;Inputs!$D$5,0,IF(CI$2&gt;VLOOKUP($H128,Lists!$P$3:$Q$7,2),IF($N128=Lists!$K$3,IF($L128&lt;1,(($U128/$L128)*((1+Inputs!$D$7)^CI$2)),((INT(CI$2/$L128)-INT((CI$2-1)/$L128))*$U128*((1+Inputs!$D$7)^CI$2))),(Inputs!$D$8^((1-_xlfn.WEIBULL.DIST(CI$2,$M128,$L128,FALSE))/_xlfn.WEIBULL.DIST(CI$2,$M128,$L128,FALSE))*$U128*((1+Inputs!$D$7)^CI$2))),IF($N128=Lists!$K$3,IF($L128&lt;1,((($T128*(1-$F128)+$S128*(1-$G128))/$L128)*((1+Inputs!$D$7)^CI$2)),((INT(CI$2/$L128)-INT((CI$2-1)/$L128))*($T128*(1-$F128)+$S128*(1-$G128))*((1+Inputs!$D$7)^CI$2))),((Inputs!$D$8^((1-_xlfn.WEIBULL.DIST(CI$2,$M128,$L128,FALSE))/_xlfn.WEIBULL.DIST(CI$2,$M128,$L128,FALSE))*($T128*(1-$F128)+$S128*(1-$G128))*((1+Inputs!$D$7)^CI$2))))))))</f>
        <v>218.6594575159157</v>
      </c>
      <c r="CJ128" s="88">
        <f>MAX(AT128,($E128*IF(CJ$2&gt;Inputs!$D$5,0,IF(CJ$2&gt;VLOOKUP($H128,Lists!$P$3:$Q$7,2),IF($N128=Lists!$K$3,IF($L128&lt;1,(($U128/$L128)*((1+Inputs!$D$7)^CJ$2)),((INT(CJ$2/$L128)-INT((CJ$2-1)/$L128))*$U128*((1+Inputs!$D$7)^CJ$2))),(Inputs!$D$8^((1-_xlfn.WEIBULL.DIST(CJ$2,$M128,$L128,FALSE))/_xlfn.WEIBULL.DIST(CJ$2,$M128,$L128,FALSE))*$U128*((1+Inputs!$D$7)^CJ$2))),IF($N128=Lists!$K$3,IF($L128&lt;1,((($T128*(1-$F128)+$S128*(1-$G128))/$L128)*((1+Inputs!$D$7)^CJ$2)),((INT(CJ$2/$L128)-INT((CJ$2-1)/$L128))*($T128*(1-$F128)+$S128*(1-$G128))*((1+Inputs!$D$7)^CJ$2))),((Inputs!$D$8^((1-_xlfn.WEIBULL.DIST(CJ$2,$M128,$L128,FALSE))/_xlfn.WEIBULL.DIST(CJ$2,$M128,$L128,FALSE))*($T128*(1-$F128)+$S128*(1-$G128))*((1+Inputs!$D$7)^CJ$2))))))))</f>
        <v>223.03264666623403</v>
      </c>
      <c r="CK128" s="88">
        <f>MAX(AU128,($E128*IF(CK$2&gt;Inputs!$D$5,0,IF(CK$2&gt;VLOOKUP($H128,Lists!$P$3:$Q$7,2),IF($N128=Lists!$K$3,IF($L128&lt;1,(($U128/$L128)*((1+Inputs!$D$7)^CK$2)),((INT(CK$2/$L128)-INT((CK$2-1)/$L128))*$U128*((1+Inputs!$D$7)^CK$2))),(Inputs!$D$8^((1-_xlfn.WEIBULL.DIST(CK$2,$M128,$L128,FALSE))/_xlfn.WEIBULL.DIST(CK$2,$M128,$L128,FALSE))*$U128*((1+Inputs!$D$7)^CK$2))),IF($N128=Lists!$K$3,IF($L128&lt;1,((($T128*(1-$F128)+$S128*(1-$G128))/$L128)*((1+Inputs!$D$7)^CK$2)),((INT(CK$2/$L128)-INT((CK$2-1)/$L128))*($T128*(1-$F128)+$S128*(1-$G128))*((1+Inputs!$D$7)^CK$2))),((Inputs!$D$8^((1-_xlfn.WEIBULL.DIST(CK$2,$M128,$L128,FALSE))/_xlfn.WEIBULL.DIST(CK$2,$M128,$L128,FALSE))*($T128*(1-$F128)+$S128*(1-$G128))*((1+Inputs!$D$7)^CK$2))))))))</f>
        <v>227.4932995995587</v>
      </c>
      <c r="CL128" s="88">
        <f>MAX(AV128,($E128*IF(CL$2&gt;Inputs!$D$5,0,IF(CL$2&gt;VLOOKUP($H128,Lists!$P$3:$Q$7,2),IF($N128=Lists!$K$3,IF($L128&lt;1,(($U128/$L128)*((1+Inputs!$D$7)^CL$2)),((INT(CL$2/$L128)-INT((CL$2-1)/$L128))*$U128*((1+Inputs!$D$7)^CL$2))),(Inputs!$D$8^((1-_xlfn.WEIBULL.DIST(CL$2,$M128,$L128,FALSE))/_xlfn.WEIBULL.DIST(CL$2,$M128,$L128,FALSE))*$U128*((1+Inputs!$D$7)^CL$2))),IF($N128=Lists!$K$3,IF($L128&lt;1,((($T128*(1-$F128)+$S128*(1-$G128))/$L128)*((1+Inputs!$D$7)^CL$2)),((INT(CL$2/$L128)-INT((CL$2-1)/$L128))*($T128*(1-$F128)+$S128*(1-$G128))*((1+Inputs!$D$7)^CL$2))),((Inputs!$D$8^((1-_xlfn.WEIBULL.DIST(CL$2,$M128,$L128,FALSE))/_xlfn.WEIBULL.DIST(CL$2,$M128,$L128,FALSE))*($T128*(1-$F128)+$S128*(1-$G128))*((1+Inputs!$D$7)^CL$2))))))))</f>
        <v>232.04316559154987</v>
      </c>
      <c r="CM128" s="88">
        <f>MAX(AW128,($E128*IF(CM$2&gt;Inputs!$D$5,0,IF(CM$2&gt;VLOOKUP($H128,Lists!$P$3:$Q$7,2),IF($N128=Lists!$K$3,IF($L128&lt;1,(($U128/$L128)*((1+Inputs!$D$7)^CM$2)),((INT(CM$2/$L128)-INT((CM$2-1)/$L128))*$U128*((1+Inputs!$D$7)^CM$2))),(Inputs!$D$8^((1-_xlfn.WEIBULL.DIST(CM$2,$M128,$L128,FALSE))/_xlfn.WEIBULL.DIST(CM$2,$M128,$L128,FALSE))*$U128*((1+Inputs!$D$7)^CM$2))),IF($N128=Lists!$K$3,IF($L128&lt;1,((($T128*(1-$F128)+$S128*(1-$G128))/$L128)*((1+Inputs!$D$7)^CM$2)),((INT(CM$2/$L128)-INT((CM$2-1)/$L128))*($T128*(1-$F128)+$S128*(1-$G128))*((1+Inputs!$D$7)^CM$2))),((Inputs!$D$8^((1-_xlfn.WEIBULL.DIST(CM$2,$M128,$L128,FALSE))/_xlfn.WEIBULL.DIST(CM$2,$M128,$L128,FALSE))*($T128*(1-$F128)+$S128*(1-$G128))*((1+Inputs!$D$7)^CM$2))))))))</f>
        <v>236.68402890338083</v>
      </c>
      <c r="CN128" s="88">
        <f>MAX(AX128,($E128*IF(CN$2&gt;Inputs!$D$5,0,IF(CN$2&gt;VLOOKUP($H128,Lists!$P$3:$Q$7,2),IF($N128=Lists!$K$3,IF($L128&lt;1,(($U128/$L128)*((1+Inputs!$D$7)^CN$2)),((INT(CN$2/$L128)-INT((CN$2-1)/$L128))*$U128*((1+Inputs!$D$7)^CN$2))),(Inputs!$D$8^((1-_xlfn.WEIBULL.DIST(CN$2,$M128,$L128,FALSE))/_xlfn.WEIBULL.DIST(CN$2,$M128,$L128,FALSE))*$U128*((1+Inputs!$D$7)^CN$2))),IF($N128=Lists!$K$3,IF($L128&lt;1,((($T128*(1-$F128)+$S128*(1-$G128))/$L128)*((1+Inputs!$D$7)^CN$2)),((INT(CN$2/$L128)-INT((CN$2-1)/$L128))*($T128*(1-$F128)+$S128*(1-$G128))*((1+Inputs!$D$7)^CN$2))),((Inputs!$D$8^((1-_xlfn.WEIBULL.DIST(CN$2,$M128,$L128,FALSE))/_xlfn.WEIBULL.DIST(CN$2,$M128,$L128,FALSE))*($T128*(1-$F128)+$S128*(1-$G128))*((1+Inputs!$D$7)^CN$2))))))))</f>
        <v>241.41770948144847</v>
      </c>
      <c r="CO128" s="88">
        <f>MAX(AY128,($E128*IF(CO$2&gt;Inputs!$D$5,0,IF(CO$2&gt;VLOOKUP($H128,Lists!$P$3:$Q$7,2),IF($N128=Lists!$K$3,IF($L128&lt;1,(($U128/$L128)*((1+Inputs!$D$7)^CO$2)),((INT(CO$2/$L128)-INT((CO$2-1)/$L128))*$U128*((1+Inputs!$D$7)^CO$2))),(Inputs!$D$8^((1-_xlfn.WEIBULL.DIST(CO$2,$M128,$L128,FALSE))/_xlfn.WEIBULL.DIST(CO$2,$M128,$L128,FALSE))*$U128*((1+Inputs!$D$7)^CO$2))),IF($N128=Lists!$K$3,IF($L128&lt;1,((($T128*(1-$F128)+$S128*(1-$G128))/$L128)*((1+Inputs!$D$7)^CO$2)),((INT(CO$2/$L128)-INT((CO$2-1)/$L128))*($T128*(1-$F128)+$S128*(1-$G128))*((1+Inputs!$D$7)^CO$2))),((Inputs!$D$8^((1-_xlfn.WEIBULL.DIST(CO$2,$M128,$L128,FALSE))/_xlfn.WEIBULL.DIST(CO$2,$M128,$L128,FALSE))*($T128*(1-$F128)+$S128*(1-$G128))*((1+Inputs!$D$7)^CO$2))))))))</f>
        <v>246.24606367107742</v>
      </c>
      <c r="CP128" s="88">
        <f>MAX(AZ128,($E128*IF(CP$2&gt;Inputs!$D$5,0,IF(CP$2&gt;VLOOKUP($H128,Lists!$P$3:$Q$7,2),IF($N128=Lists!$K$3,IF($L128&lt;1,(($U128/$L128)*((1+Inputs!$D$7)^CP$2)),((INT(CP$2/$L128)-INT((CP$2-1)/$L128))*$U128*((1+Inputs!$D$7)^CP$2))),(Inputs!$D$8^((1-_xlfn.WEIBULL.DIST(CP$2,$M128,$L128,FALSE))/_xlfn.WEIBULL.DIST(CP$2,$M128,$L128,FALSE))*$U128*((1+Inputs!$D$7)^CP$2))),IF($N128=Lists!$K$3,IF($L128&lt;1,((($T128*(1-$F128)+$S128*(1-$G128))/$L128)*((1+Inputs!$D$7)^CP$2)),((INT(CP$2/$L128)-INT((CP$2-1)/$L128))*($T128*(1-$F128)+$S128*(1-$G128))*((1+Inputs!$D$7)^CP$2))),((Inputs!$D$8^((1-_xlfn.WEIBULL.DIST(CP$2,$M128,$L128,FALSE))/_xlfn.WEIBULL.DIST(CP$2,$M128,$L128,FALSE))*($T128*(1-$F128)+$S128*(1-$G128))*((1+Inputs!$D$7)^CP$2))))))))</f>
        <v>0</v>
      </c>
      <c r="CQ128" s="88">
        <f>MAX(BA128,($E128*IF(CQ$2&gt;Inputs!$D$5,0,IF(CQ$2&gt;VLOOKUP($H128,Lists!$P$3:$Q$7,2),IF($N128=Lists!$K$3,IF($L128&lt;1,(($U128/$L128)*((1+Inputs!$D$7)^CQ$2)),((INT(CQ$2/$L128)-INT((CQ$2-1)/$L128))*$U128*((1+Inputs!$D$7)^CQ$2))),(Inputs!$D$8^((1-_xlfn.WEIBULL.DIST(CQ$2,$M128,$L128,FALSE))/_xlfn.WEIBULL.DIST(CQ$2,$M128,$L128,FALSE))*$U128*((1+Inputs!$D$7)^CQ$2))),IF($N128=Lists!$K$3,IF($L128&lt;1,((($T128*(1-$F128)+$S128*(1-$G128))/$L128)*((1+Inputs!$D$7)^CQ$2)),((INT(CQ$2/$L128)-INT((CQ$2-1)/$L128))*($T128*(1-$F128)+$S128*(1-$G128))*((1+Inputs!$D$7)^CQ$2))),((Inputs!$D$8^((1-_xlfn.WEIBULL.DIST(CQ$2,$M128,$L128,FALSE))/_xlfn.WEIBULL.DIST(CQ$2,$M128,$L128,FALSE))*($T128*(1-$F128)+$S128*(1-$G128))*((1+Inputs!$D$7)^CQ$2))))))))</f>
        <v>0</v>
      </c>
      <c r="CR128" s="88">
        <f>MAX(BB128,($E128*IF(CR$2&gt;Inputs!$D$5,0,IF(CR$2&gt;VLOOKUP($H128,Lists!$P$3:$Q$7,2),IF($N128=Lists!$K$3,IF($L128&lt;1,(($U128/$L128)*((1+Inputs!$D$7)^CR$2)),((INT(CR$2/$L128)-INT((CR$2-1)/$L128))*$U128*((1+Inputs!$D$7)^CR$2))),(Inputs!$D$8^((1-_xlfn.WEIBULL.DIST(CR$2,$M128,$L128,FALSE))/_xlfn.WEIBULL.DIST(CR$2,$M128,$L128,FALSE))*$U128*((1+Inputs!$D$7)^CR$2))),IF($N128=Lists!$K$3,IF($L128&lt;1,((($T128*(1-$F128)+$S128*(1-$G128))/$L128)*((1+Inputs!$D$7)^CR$2)),((INT(CR$2/$L128)-INT((CR$2-1)/$L128))*($T128*(1-$F128)+$S128*(1-$G128))*((1+Inputs!$D$7)^CR$2))),((Inputs!$D$8^((1-_xlfn.WEIBULL.DIST(CR$2,$M128,$L128,FALSE))/_xlfn.WEIBULL.DIST(CR$2,$M128,$L128,FALSE))*($T128*(1-$F128)+$S128*(1-$G128))*((1+Inputs!$D$7)^CR$2))))))))</f>
        <v>0</v>
      </c>
      <c r="CS128" s="88">
        <f>MAX(BC128,($E128*IF(CS$2&gt;Inputs!$D$5,0,IF(CS$2&gt;VLOOKUP($H128,Lists!$P$3:$Q$7,2),IF($N128=Lists!$K$3,IF($L128&lt;1,(($U128/$L128)*((1+Inputs!$D$7)^CS$2)),((INT(CS$2/$L128)-INT((CS$2-1)/$L128))*$U128*((1+Inputs!$D$7)^CS$2))),(Inputs!$D$8^((1-_xlfn.WEIBULL.DIST(CS$2,$M128,$L128,FALSE))/_xlfn.WEIBULL.DIST(CS$2,$M128,$L128,FALSE))*$U128*((1+Inputs!$D$7)^CS$2))),IF($N128=Lists!$K$3,IF($L128&lt;1,((($T128*(1-$F128)+$S128*(1-$G128))/$L128)*((1+Inputs!$D$7)^CS$2)),((INT(CS$2/$L128)-INT((CS$2-1)/$L128))*($T128*(1-$F128)+$S128*(1-$G128))*((1+Inputs!$D$7)^CS$2))),((Inputs!$D$8^((1-_xlfn.WEIBULL.DIST(CS$2,$M128,$L128,FALSE))/_xlfn.WEIBULL.DIST(CS$2,$M128,$L128,FALSE))*($T128*(1-$F128)+$S128*(1-$G128))*((1+Inputs!$D$7)^CS$2))))))))</f>
        <v>0</v>
      </c>
      <c r="CT128" s="88">
        <f>MAX(BD128,($E128*IF(CT$2&gt;Inputs!$D$5,0,IF(CT$2&gt;VLOOKUP($H128,Lists!$P$3:$Q$7,2),IF($N128=Lists!$K$3,IF($L128&lt;1,(($U128/$L128)*((1+Inputs!$D$7)^CT$2)),((INT(CT$2/$L128)-INT((CT$2-1)/$L128))*$U128*((1+Inputs!$D$7)^CT$2))),(Inputs!$D$8^((1-_xlfn.WEIBULL.DIST(CT$2,$M128,$L128,FALSE))/_xlfn.WEIBULL.DIST(CT$2,$M128,$L128,FALSE))*$U128*((1+Inputs!$D$7)^CT$2))),IF($N128=Lists!$K$3,IF($L128&lt;1,((($T128*(1-$F128)+$S128*(1-$G128))/$L128)*((1+Inputs!$D$7)^CT$2)),((INT(CT$2/$L128)-INT((CT$2-1)/$L128))*($T128*(1-$F128)+$S128*(1-$G128))*((1+Inputs!$D$7)^CT$2))),((Inputs!$D$8^((1-_xlfn.WEIBULL.DIST(CT$2,$M128,$L128,FALSE))/_xlfn.WEIBULL.DIST(CT$2,$M128,$L128,FALSE))*($T128*(1-$F128)+$S128*(1-$G128))*((1+Inputs!$D$7)^CT$2))))))))</f>
        <v>0</v>
      </c>
      <c r="CU128" s="88">
        <f>MAX(BE128,($E128*IF(CU$2&gt;Inputs!$D$5,0,IF(CU$2&gt;VLOOKUP($H128,Lists!$P$3:$Q$7,2),IF($N128=Lists!$K$3,IF($L128&lt;1,(($U128/$L128)*((1+Inputs!$D$7)^CU$2)),((INT(CU$2/$L128)-INT((CU$2-1)/$L128))*$U128*((1+Inputs!$D$7)^CU$2))),(Inputs!$D$8^((1-_xlfn.WEIBULL.DIST(CU$2,$M128,$L128,FALSE))/_xlfn.WEIBULL.DIST(CU$2,$M128,$L128,FALSE))*$U128*((1+Inputs!$D$7)^CU$2))),IF($N128=Lists!$K$3,IF($L128&lt;1,((($T128*(1-$F128)+$S128*(1-$G128))/$L128)*((1+Inputs!$D$7)^CU$2)),((INT(CU$2/$L128)-INT((CU$2-1)/$L128))*($T128*(1-$F128)+$S128*(1-$G128))*((1+Inputs!$D$7)^CU$2))),((Inputs!$D$8^((1-_xlfn.WEIBULL.DIST(CU$2,$M128,$L128,FALSE))/_xlfn.WEIBULL.DIST(CU$2,$M128,$L128,FALSE))*($T128*(1-$F128)+$S128*(1-$G128))*((1+Inputs!$D$7)^CU$2))))))))</f>
        <v>0</v>
      </c>
      <c r="CV128" s="88">
        <f>MAX(BF128,($E128*IF(CV$2&gt;Inputs!$D$5,0,IF(CV$2&gt;VLOOKUP($H128,Lists!$P$3:$Q$7,2),IF($N128=Lists!$K$3,IF($L128&lt;1,(($U128/$L128)*((1+Inputs!$D$7)^CV$2)),((INT(CV$2/$L128)-INT((CV$2-1)/$L128))*$U128*((1+Inputs!$D$7)^CV$2))),(Inputs!$D$8^((1-_xlfn.WEIBULL.DIST(CV$2,$M128,$L128,FALSE))/_xlfn.WEIBULL.DIST(CV$2,$M128,$L128,FALSE))*$U128*((1+Inputs!$D$7)^CV$2))),IF($N128=Lists!$K$3,IF($L128&lt;1,((($T128*(1-$F128)+$S128*(1-$G128))/$L128)*((1+Inputs!$D$7)^CV$2)),((INT(CV$2/$L128)-INT((CV$2-1)/$L128))*($T128*(1-$F128)+$S128*(1-$G128))*((1+Inputs!$D$7)^CV$2))),((Inputs!$D$8^((1-_xlfn.WEIBULL.DIST(CV$2,$M128,$L128,FALSE))/_xlfn.WEIBULL.DIST(CV$2,$M128,$L128,FALSE))*($T128*(1-$F128)+$S128*(1-$G128))*((1+Inputs!$D$7)^CV$2))))))))</f>
        <v>0</v>
      </c>
      <c r="CW128" s="88">
        <f>MAX(BG128,($E128*IF(CW$2&gt;Inputs!$D$5,0,IF(CW$2&gt;VLOOKUP($H128,Lists!$P$3:$Q$7,2),IF($N128=Lists!$K$3,IF($L128&lt;1,(($U128/$L128)*((1+Inputs!$D$7)^CW$2)),((INT(CW$2/$L128)-INT((CW$2-1)/$L128))*$U128*((1+Inputs!$D$7)^CW$2))),(Inputs!$D$8^((1-_xlfn.WEIBULL.DIST(CW$2,$M128,$L128,FALSE))/_xlfn.WEIBULL.DIST(CW$2,$M128,$L128,FALSE))*$U128*((1+Inputs!$D$7)^CW$2))),IF($N128=Lists!$K$3,IF($L128&lt;1,((($T128*(1-$F128)+$S128*(1-$G128))/$L128)*((1+Inputs!$D$7)^CW$2)),((INT(CW$2/$L128)-INT((CW$2-1)/$L128))*($T128*(1-$F128)+$S128*(1-$G128))*((1+Inputs!$D$7)^CW$2))),((Inputs!$D$8^((1-_xlfn.WEIBULL.DIST(CW$2,$M128,$L128,FALSE))/_xlfn.WEIBULL.DIST(CW$2,$M128,$L128,FALSE))*($T128*(1-$F128)+$S128*(1-$G128))*((1+Inputs!$D$7)^CW$2))))))))</f>
        <v>0</v>
      </c>
      <c r="CX128" s="88">
        <f>MAX(BH128,($E128*IF(CX$2&gt;Inputs!$D$5,0,IF(CX$2&gt;VLOOKUP($H128,Lists!$P$3:$Q$7,2),IF($N128=Lists!$K$3,IF($L128&lt;1,(($U128/$L128)*((1+Inputs!$D$7)^CX$2)),((INT(CX$2/$L128)-INT((CX$2-1)/$L128))*$U128*((1+Inputs!$D$7)^CX$2))),(Inputs!$D$8^((1-_xlfn.WEIBULL.DIST(CX$2,$M128,$L128,FALSE))/_xlfn.WEIBULL.DIST(CX$2,$M128,$L128,FALSE))*$U128*((1+Inputs!$D$7)^CX$2))),IF($N128=Lists!$K$3,IF($L128&lt;1,((($T128*(1-$F128)+$S128*(1-$G128))/$L128)*((1+Inputs!$D$7)^CX$2)),((INT(CX$2/$L128)-INT((CX$2-1)/$L128))*($T128*(1-$F128)+$S128*(1-$G128))*((1+Inputs!$D$7)^CX$2))),((Inputs!$D$8^((1-_xlfn.WEIBULL.DIST(CX$2,$M128,$L128,FALSE))/_xlfn.WEIBULL.DIST(CX$2,$M128,$L128,FALSE))*($T128*(1-$F128)+$S128*(1-$G128))*((1+Inputs!$D$7)^CX$2))))))))</f>
        <v>0</v>
      </c>
      <c r="CY128" s="88">
        <f>MAX(BI128,($E128*IF(CY$2&gt;Inputs!$D$5,0,IF(CY$2&gt;VLOOKUP($H128,Lists!$P$3:$Q$7,2),IF($N128=Lists!$K$3,IF($L128&lt;1,(($U128/$L128)*((1+Inputs!$D$7)^CY$2)),((INT(CY$2/$L128)-INT((CY$2-1)/$L128))*$U128*((1+Inputs!$D$7)^CY$2))),(Inputs!$D$8^((1-_xlfn.WEIBULL.DIST(CY$2,$M128,$L128,FALSE))/_xlfn.WEIBULL.DIST(CY$2,$M128,$L128,FALSE))*$U128*((1+Inputs!$D$7)^CY$2))),IF($N128=Lists!$K$3,IF($L128&lt;1,((($T128*(1-$F128)+$S128*(1-$G128))/$L128)*((1+Inputs!$D$7)^CY$2)),((INT(CY$2/$L128)-INT((CY$2-1)/$L128))*($T128*(1-$F128)+$S128*(1-$G128))*((1+Inputs!$D$7)^CY$2))),((Inputs!$D$8^((1-_xlfn.WEIBULL.DIST(CY$2,$M128,$L128,FALSE))/_xlfn.WEIBULL.DIST(CY$2,$M128,$L128,FALSE))*($T128*(1-$F128)+$S128*(1-$G128))*((1+Inputs!$D$7)^CY$2))))))))</f>
        <v>0</v>
      </c>
      <c r="CZ128" s="88">
        <f>MAX(BJ128,($E128*IF(CZ$2&gt;Inputs!$D$5,0,IF(CZ$2&gt;VLOOKUP($H128,Lists!$P$3:$Q$7,2),IF($N128=Lists!$K$3,IF($L128&lt;1,(($U128/$L128)*((1+Inputs!$D$7)^CZ$2)),((INT(CZ$2/$L128)-INT((CZ$2-1)/$L128))*$U128*((1+Inputs!$D$7)^CZ$2))),(Inputs!$D$8^((1-_xlfn.WEIBULL.DIST(CZ$2,$M128,$L128,FALSE))/_xlfn.WEIBULL.DIST(CZ$2,$M128,$L128,FALSE))*$U128*((1+Inputs!$D$7)^CZ$2))),IF($N128=Lists!$K$3,IF($L128&lt;1,((($T128*(1-$F128)+$S128*(1-$G128))/$L128)*((1+Inputs!$D$7)^CZ$2)),((INT(CZ$2/$L128)-INT((CZ$2-1)/$L128))*($T128*(1-$F128)+$S128*(1-$G128))*((1+Inputs!$D$7)^CZ$2))),((Inputs!$D$8^((1-_xlfn.WEIBULL.DIST(CZ$2,$M128,$L128,FALSE))/_xlfn.WEIBULL.DIST(CZ$2,$M128,$L128,FALSE))*($T128*(1-$F128)+$S128*(1-$G128))*((1+Inputs!$D$7)^CZ$2))))))))</f>
        <v>0</v>
      </c>
      <c r="DA128" s="88">
        <f>MAX(BK128,($E128*IF(DA$2&gt;Inputs!$D$5,0,IF(DA$2&gt;VLOOKUP($H128,Lists!$P$3:$Q$7,2),IF($N128=Lists!$K$3,IF($L128&lt;1,(($U128/$L128)*((1+Inputs!$D$7)^DA$2)),((INT(DA$2/$L128)-INT((DA$2-1)/$L128))*$U128*((1+Inputs!$D$7)^DA$2))),(Inputs!$D$8^((1-_xlfn.WEIBULL.DIST(DA$2,$M128,$L128,FALSE))/_xlfn.WEIBULL.DIST(DA$2,$M128,$L128,FALSE))*$U128*((1+Inputs!$D$7)^DA$2))),IF($N128=Lists!$K$3,IF($L128&lt;1,((($T128*(1-$F128)+$S128*(1-$G128))/$L128)*((1+Inputs!$D$7)^DA$2)),((INT(DA$2/$L128)-INT((DA$2-1)/$L128))*($T128*(1-$F128)+$S128*(1-$G128))*((1+Inputs!$D$7)^DA$2))),((Inputs!$D$8^((1-_xlfn.WEIBULL.DIST(DA$2,$M128,$L128,FALSE))/_xlfn.WEIBULL.DIST(DA$2,$M128,$L128,FALSE))*($T128*(1-$F128)+$S128*(1-$G128))*((1+Inputs!$D$7)^DA$2))))))))</f>
        <v>0</v>
      </c>
      <c r="DB128" s="88">
        <f>MAX(BL128,($E128*IF(DB$2&gt;Inputs!$D$5,0,IF(DB$2&gt;VLOOKUP($H128,Lists!$P$3:$Q$7,2),IF($N128=Lists!$K$3,IF($L128&lt;1,(($U128/$L128)*((1+Inputs!$D$7)^DB$2)),((INT(DB$2/$L128)-INT((DB$2-1)/$L128))*$U128*((1+Inputs!$D$7)^DB$2))),(Inputs!$D$8^((1-_xlfn.WEIBULL.DIST(DB$2,$M128,$L128,FALSE))/_xlfn.WEIBULL.DIST(DB$2,$M128,$L128,FALSE))*$U128*((1+Inputs!$D$7)^DB$2))),IF($N128=Lists!$K$3,IF($L128&lt;1,((($T128*(1-$F128)+$S128*(1-$G128))/$L128)*((1+Inputs!$D$7)^DB$2)),((INT(DB$2/$L128)-INT((DB$2-1)/$L128))*($T128*(1-$F128)+$S128*(1-$G128))*((1+Inputs!$D$7)^DB$2))),((Inputs!$D$8^((1-_xlfn.WEIBULL.DIST(DB$2,$M128,$L128,FALSE))/_xlfn.WEIBULL.DIST(DB$2,$M128,$L128,FALSE))*($T128*(1-$F128)+$S128*(1-$G128))*((1+Inputs!$D$7)^DB$2))))))))</f>
        <v>0</v>
      </c>
      <c r="DC128" s="88">
        <f>MAX(BM128,($E128*IF(DC$2&gt;Inputs!$D$5,0,IF(DC$2&gt;VLOOKUP($H128,Lists!$P$3:$Q$7,2),IF($N128=Lists!$K$3,IF($L128&lt;1,(($U128/$L128)*((1+Inputs!$D$7)^DC$2)),((INT(DC$2/$L128)-INT((DC$2-1)/$L128))*$U128*((1+Inputs!$D$7)^DC$2))),(Inputs!$D$8^((1-_xlfn.WEIBULL.DIST(DC$2,$M128,$L128,FALSE))/_xlfn.WEIBULL.DIST(DC$2,$M128,$L128,FALSE))*$U128*((1+Inputs!$D$7)^DC$2))),IF($N128=Lists!$K$3,IF($L128&lt;1,((($T128*(1-$F128)+$S128*(1-$G128))/$L128)*((1+Inputs!$D$7)^DC$2)),((INT(DC$2/$L128)-INT((DC$2-1)/$L128))*($T128*(1-$F128)+$S128*(1-$G128))*((1+Inputs!$D$7)^DC$2))),((Inputs!$D$8^((1-_xlfn.WEIBULL.DIST(DC$2,$M128,$L128,FALSE))/_xlfn.WEIBULL.DIST(DC$2,$M128,$L128,FALSE))*($T128*(1-$F128)+$S128*(1-$G128))*((1+Inputs!$D$7)^DC$2))))))))</f>
        <v>0</v>
      </c>
      <c r="DD128" s="88">
        <f>MAX(BN128,($E128*IF(DD$2&gt;Inputs!$D$5,0,IF(DD$2&gt;VLOOKUP($H128,Lists!$P$3:$Q$7,2),IF($N128=Lists!$K$3,IF($L128&lt;1,(($U128/$L128)*((1+Inputs!$D$7)^DD$2)),((INT(DD$2/$L128)-INT((DD$2-1)/$L128))*$U128*((1+Inputs!$D$7)^DD$2))),(Inputs!$D$8^((1-_xlfn.WEIBULL.DIST(DD$2,$M128,$L128,FALSE))/_xlfn.WEIBULL.DIST(DD$2,$M128,$L128,FALSE))*$U128*((1+Inputs!$D$7)^DD$2))),IF($N128=Lists!$K$3,IF($L128&lt;1,((($T128*(1-$F128)+$S128*(1-$G128))/$L128)*((1+Inputs!$D$7)^DD$2)),((INT(DD$2/$L128)-INT((DD$2-1)/$L128))*($T128*(1-$F128)+$S128*(1-$G128))*((1+Inputs!$D$7)^DD$2))),((Inputs!$D$8^((1-_xlfn.WEIBULL.DIST(DD$2,$M128,$L128,FALSE))/_xlfn.WEIBULL.DIST(DD$2,$M128,$L128,FALSE))*($T128*(1-$F128)+$S128*(1-$G128))*((1+Inputs!$D$7)^DD$2))))))))</f>
        <v>0</v>
      </c>
    </row>
    <row r="129" spans="1:108" ht="16">
      <c r="A129" s="57" t="s">
        <v>41</v>
      </c>
      <c r="B129" s="13" t="s">
        <v>279</v>
      </c>
      <c r="C129" s="13" t="s">
        <v>90</v>
      </c>
      <c r="D129" s="13" t="s">
        <v>37</v>
      </c>
      <c r="E129" s="48">
        <f>IF(Inputs!$D$54=Lists!$AA$3,0,1)</f>
        <v>1</v>
      </c>
      <c r="F129" s="48">
        <v>0</v>
      </c>
      <c r="G129" s="48">
        <v>0</v>
      </c>
      <c r="H129" s="105" t="s">
        <v>350</v>
      </c>
      <c r="I129" s="14" t="s">
        <v>270</v>
      </c>
      <c r="J129" s="14" t="s">
        <v>246</v>
      </c>
      <c r="K129" s="13">
        <f>VLOOKUP(J129,'Labor Rates'!$A$1:$F$16,2)</f>
        <v>33.119999999999997</v>
      </c>
      <c r="L129" s="15">
        <v>0.5</v>
      </c>
      <c r="M129" s="15">
        <v>1</v>
      </c>
      <c r="N129" s="13" t="s">
        <v>236</v>
      </c>
      <c r="O129" s="61">
        <f>Inputs!$D$56*E129</f>
        <v>10.245901639344263</v>
      </c>
      <c r="P129" s="15">
        <v>0.1</v>
      </c>
      <c r="Q129" s="15">
        <f t="shared" si="21"/>
        <v>2.0491803278688527</v>
      </c>
      <c r="R129" s="4">
        <v>0</v>
      </c>
      <c r="S129" s="53">
        <f t="shared" si="22"/>
        <v>33.934426229508198</v>
      </c>
      <c r="T129" s="53">
        <f t="shared" si="23"/>
        <v>0</v>
      </c>
      <c r="U129" s="54">
        <f t="shared" si="24"/>
        <v>33.934426229508198</v>
      </c>
      <c r="V129" s="65"/>
      <c r="W129" s="58"/>
      <c r="X129" s="64">
        <f t="shared" si="25"/>
        <v>84.100764907270261</v>
      </c>
      <c r="Y129" s="64">
        <f>NPV(Inputs!$D$6,AA129:BN129)</f>
        <v>966.0100746055532</v>
      </c>
      <c r="Z129" s="67">
        <f t="shared" si="26"/>
        <v>4.5561751247968229E-4</v>
      </c>
      <c r="AA129" s="88">
        <f>$E129*IF(AA$2&gt;Inputs!$D$5,0,IF(AA$2&gt;VLOOKUP($H129,Lists!$P$3:$Q$7,2),IF($N129=Lists!$K$3,IF($L129&lt;1,(($U129/$L129)*((1+Inputs!$D$7)^AA$2)),((INT(AA$2/$L129)-INT((AA$2-1)/$L129))*$U129*((1+Inputs!$D$7)^AA$2))),(_xlfn.WEIBULL.DIST(AA$2,$M129,$L129,FALSE)*$U129*((1+Inputs!$D$7)^AA$2))),IF($N129=Lists!$K$3,IF($L129&lt;1,((($T129*(1-$F129)+$S129*(1-$G129))/$L129)*((1+Inputs!$D$7)^AA$2)),((INT(AA$2/$L129)-INT((AA$2-1)/$L129))*($T129*(1-$F129)+$S129*(1-$G129))*((1+Inputs!$D$7)^AA$2))),((_xlfn.WEIBULL.DIST(AA$2,$M129,$L129,FALSE)*($T129*(1-$F129)+$S129*(1-$G129))*((1+Inputs!$D$7)^AA$2))))))</f>
        <v>69.226229508196724</v>
      </c>
      <c r="AB129" s="88">
        <f>$E129*IF(AB$2&gt;Inputs!$D$5,0,IF(AB$2&gt;VLOOKUP($H129,Lists!$P$3:$Q$7,2),IF($N129=Lists!$K$3,IF($L129&lt;1,(($U129/$L129)*((1+Inputs!$D$7)^AB$2)),((INT(AB$2/$L129)-INT((AB$2-1)/$L129))*$U129*((1+Inputs!$D$7)^AB$2))),(_xlfn.WEIBULL.DIST(AB$2,$M129,$L129,FALSE)*$U129*((1+Inputs!$D$7)^AB$2))),IF($N129=Lists!$K$3,IF($L129&lt;1,((($T129*(1-$F129)+$S129*(1-$G129))/$L129)*((1+Inputs!$D$7)^AB$2)),((INT(AB$2/$L129)-INT((AB$2-1)/$L129))*($T129*(1-$F129)+$S129*(1-$G129))*((1+Inputs!$D$7)^AB$2))),((_xlfn.WEIBULL.DIST(AB$2,$M129,$L129,FALSE)*($T129*(1-$F129)+$S129*(1-$G129))*((1+Inputs!$D$7)^AB$2))))))</f>
        <v>70.610754098360658</v>
      </c>
      <c r="AC129" s="88">
        <f>$E129*IF(AC$2&gt;Inputs!$D$5,0,IF(AC$2&gt;VLOOKUP($H129,Lists!$P$3:$Q$7,2),IF($N129=Lists!$K$3,IF($L129&lt;1,(($U129/$L129)*((1+Inputs!$D$7)^AC$2)),((INT(AC$2/$L129)-INT((AC$2-1)/$L129))*$U129*((1+Inputs!$D$7)^AC$2))),(_xlfn.WEIBULL.DIST(AC$2,$M129,$L129,FALSE)*$U129*((1+Inputs!$D$7)^AC$2))),IF($N129=Lists!$K$3,IF($L129&lt;1,((($T129*(1-$F129)+$S129*(1-$G129))/$L129)*((1+Inputs!$D$7)^AC$2)),((INT(AC$2/$L129)-INT((AC$2-1)/$L129))*($T129*(1-$F129)+$S129*(1-$G129))*((1+Inputs!$D$7)^AC$2))),((_xlfn.WEIBULL.DIST(AC$2,$M129,$L129,FALSE)*($T129*(1-$F129)+$S129*(1-$G129))*((1+Inputs!$D$7)^AC$2))))))</f>
        <v>72.022969180327863</v>
      </c>
      <c r="AD129" s="88">
        <f>$E129*IF(AD$2&gt;Inputs!$D$5,0,IF(AD$2&gt;VLOOKUP($H129,Lists!$P$3:$Q$7,2),IF($N129=Lists!$K$3,IF($L129&lt;1,(($U129/$L129)*((1+Inputs!$D$7)^AD$2)),((INT(AD$2/$L129)-INT((AD$2-1)/$L129))*$U129*((1+Inputs!$D$7)^AD$2))),(_xlfn.WEIBULL.DIST(AD$2,$M129,$L129,FALSE)*$U129*((1+Inputs!$D$7)^AD$2))),IF($N129=Lists!$K$3,IF($L129&lt;1,((($T129*(1-$F129)+$S129*(1-$G129))/$L129)*((1+Inputs!$D$7)^AD$2)),((INT(AD$2/$L129)-INT((AD$2-1)/$L129))*($T129*(1-$F129)+$S129*(1-$G129))*((1+Inputs!$D$7)^AD$2))),((_xlfn.WEIBULL.DIST(AD$2,$M129,$L129,FALSE)*($T129*(1-$F129)+$S129*(1-$G129))*((1+Inputs!$D$7)^AD$2))))))</f>
        <v>73.463428563934428</v>
      </c>
      <c r="AE129" s="88">
        <f>$E129*IF(AE$2&gt;Inputs!$D$5,0,IF(AE$2&gt;VLOOKUP($H129,Lists!$P$3:$Q$7,2),IF($N129=Lists!$K$3,IF($L129&lt;1,(($U129/$L129)*((1+Inputs!$D$7)^AE$2)),((INT(AE$2/$L129)-INT((AE$2-1)/$L129))*$U129*((1+Inputs!$D$7)^AE$2))),(_xlfn.WEIBULL.DIST(AE$2,$M129,$L129,FALSE)*$U129*((1+Inputs!$D$7)^AE$2))),IF($N129=Lists!$K$3,IF($L129&lt;1,((($T129*(1-$F129)+$S129*(1-$G129))/$L129)*((1+Inputs!$D$7)^AE$2)),((INT(AE$2/$L129)-INT((AE$2-1)/$L129))*($T129*(1-$F129)+$S129*(1-$G129))*((1+Inputs!$D$7)^AE$2))),((_xlfn.WEIBULL.DIST(AE$2,$M129,$L129,FALSE)*($T129*(1-$F129)+$S129*(1-$G129))*((1+Inputs!$D$7)^AE$2))))))</f>
        <v>74.932697135213118</v>
      </c>
      <c r="AF129" s="88">
        <f>$E129*IF(AF$2&gt;Inputs!$D$5,0,IF(AF$2&gt;VLOOKUP($H129,Lists!$P$3:$Q$7,2),IF($N129=Lists!$K$3,IF($L129&lt;1,(($U129/$L129)*((1+Inputs!$D$7)^AF$2)),((INT(AF$2/$L129)-INT((AF$2-1)/$L129))*$U129*((1+Inputs!$D$7)^AF$2))),(_xlfn.WEIBULL.DIST(AF$2,$M129,$L129,FALSE)*$U129*((1+Inputs!$D$7)^AF$2))),IF($N129=Lists!$K$3,IF($L129&lt;1,((($T129*(1-$F129)+$S129*(1-$G129))/$L129)*((1+Inputs!$D$7)^AF$2)),((INT(AF$2/$L129)-INT((AF$2-1)/$L129))*($T129*(1-$F129)+$S129*(1-$G129))*((1+Inputs!$D$7)^AF$2))),((_xlfn.WEIBULL.DIST(AF$2,$M129,$L129,FALSE)*($T129*(1-$F129)+$S129*(1-$G129))*((1+Inputs!$D$7)^AF$2))))))</f>
        <v>76.431351077917384</v>
      </c>
      <c r="AG129" s="88">
        <f>$E129*IF(AG$2&gt;Inputs!$D$5,0,IF(AG$2&gt;VLOOKUP($H129,Lists!$P$3:$Q$7,2),IF($N129=Lists!$K$3,IF($L129&lt;1,(($U129/$L129)*((1+Inputs!$D$7)^AG$2)),((INT(AG$2/$L129)-INT((AG$2-1)/$L129))*$U129*((1+Inputs!$D$7)^AG$2))),(_xlfn.WEIBULL.DIST(AG$2,$M129,$L129,FALSE)*$U129*((1+Inputs!$D$7)^AG$2))),IF($N129=Lists!$K$3,IF($L129&lt;1,((($T129*(1-$F129)+$S129*(1-$G129))/$L129)*((1+Inputs!$D$7)^AG$2)),((INT(AG$2/$L129)-INT((AG$2-1)/$L129))*($T129*(1-$F129)+$S129*(1-$G129))*((1+Inputs!$D$7)^AG$2))),((_xlfn.WEIBULL.DIST(AG$2,$M129,$L129,FALSE)*($T129*(1-$F129)+$S129*(1-$G129))*((1+Inputs!$D$7)^AG$2))))))</f>
        <v>77.95997809947572</v>
      </c>
      <c r="AH129" s="88">
        <f>$E129*IF(AH$2&gt;Inputs!$D$5,0,IF(AH$2&gt;VLOOKUP($H129,Lists!$P$3:$Q$7,2),IF($N129=Lists!$K$3,IF($L129&lt;1,(($U129/$L129)*((1+Inputs!$D$7)^AH$2)),((INT(AH$2/$L129)-INT((AH$2-1)/$L129))*$U129*((1+Inputs!$D$7)^AH$2))),(_xlfn.WEIBULL.DIST(AH$2,$M129,$L129,FALSE)*$U129*((1+Inputs!$D$7)^AH$2))),IF($N129=Lists!$K$3,IF($L129&lt;1,((($T129*(1-$F129)+$S129*(1-$G129))/$L129)*((1+Inputs!$D$7)^AH$2)),((INT(AH$2/$L129)-INT((AH$2-1)/$L129))*($T129*(1-$F129)+$S129*(1-$G129))*((1+Inputs!$D$7)^AH$2))),((_xlfn.WEIBULL.DIST(AH$2,$M129,$L129,FALSE)*($T129*(1-$F129)+$S129*(1-$G129))*((1+Inputs!$D$7)^AH$2))))))</f>
        <v>79.519177661465235</v>
      </c>
      <c r="AI129" s="88">
        <f>$E129*IF(AI$2&gt;Inputs!$D$5,0,IF(AI$2&gt;VLOOKUP($H129,Lists!$P$3:$Q$7,2),IF($N129=Lists!$K$3,IF($L129&lt;1,(($U129/$L129)*((1+Inputs!$D$7)^AI$2)),((INT(AI$2/$L129)-INT((AI$2-1)/$L129))*$U129*((1+Inputs!$D$7)^AI$2))),(_xlfn.WEIBULL.DIST(AI$2,$M129,$L129,FALSE)*$U129*((1+Inputs!$D$7)^AI$2))),IF($N129=Lists!$K$3,IF($L129&lt;1,((($T129*(1-$F129)+$S129*(1-$G129))/$L129)*((1+Inputs!$D$7)^AI$2)),((INT(AI$2/$L129)-INT((AI$2-1)/$L129))*($T129*(1-$F129)+$S129*(1-$G129))*((1+Inputs!$D$7)^AI$2))),((_xlfn.WEIBULL.DIST(AI$2,$M129,$L129,FALSE)*($T129*(1-$F129)+$S129*(1-$G129))*((1+Inputs!$D$7)^AI$2))))))</f>
        <v>81.109561214694537</v>
      </c>
      <c r="AJ129" s="88">
        <f>$E129*IF(AJ$2&gt;Inputs!$D$5,0,IF(AJ$2&gt;VLOOKUP($H129,Lists!$P$3:$Q$7,2),IF($N129=Lists!$K$3,IF($L129&lt;1,(($U129/$L129)*((1+Inputs!$D$7)^AJ$2)),((INT(AJ$2/$L129)-INT((AJ$2-1)/$L129))*$U129*((1+Inputs!$D$7)^AJ$2))),(_xlfn.WEIBULL.DIST(AJ$2,$M129,$L129,FALSE)*$U129*((1+Inputs!$D$7)^AJ$2))),IF($N129=Lists!$K$3,IF($L129&lt;1,((($T129*(1-$F129)+$S129*(1-$G129))/$L129)*((1+Inputs!$D$7)^AJ$2)),((INT(AJ$2/$L129)-INT((AJ$2-1)/$L129))*($T129*(1-$F129)+$S129*(1-$G129))*((1+Inputs!$D$7)^AJ$2))),((_xlfn.WEIBULL.DIST(AJ$2,$M129,$L129,FALSE)*($T129*(1-$F129)+$S129*(1-$G129))*((1+Inputs!$D$7)^AJ$2))))))</f>
        <v>82.731752438988437</v>
      </c>
      <c r="AK129" s="88">
        <f>$E129*IF(AK$2&gt;Inputs!$D$5,0,IF(AK$2&gt;VLOOKUP($H129,Lists!$P$3:$Q$7,2),IF($N129=Lists!$K$3,IF($L129&lt;1,(($U129/$L129)*((1+Inputs!$D$7)^AK$2)),((INT(AK$2/$L129)-INT((AK$2-1)/$L129))*$U129*((1+Inputs!$D$7)^AK$2))),(_xlfn.WEIBULL.DIST(AK$2,$M129,$L129,FALSE)*$U129*((1+Inputs!$D$7)^AK$2))),IF($N129=Lists!$K$3,IF($L129&lt;1,((($T129*(1-$F129)+$S129*(1-$G129))/$L129)*((1+Inputs!$D$7)^AK$2)),((INT(AK$2/$L129)-INT((AK$2-1)/$L129))*($T129*(1-$F129)+$S129*(1-$G129))*((1+Inputs!$D$7)^AK$2))),((_xlfn.WEIBULL.DIST(AK$2,$M129,$L129,FALSE)*($T129*(1-$F129)+$S129*(1-$G129))*((1+Inputs!$D$7)^AK$2))))))</f>
        <v>84.386387487768189</v>
      </c>
      <c r="AL129" s="88">
        <f>$E129*IF(AL$2&gt;Inputs!$D$5,0,IF(AL$2&gt;VLOOKUP($H129,Lists!$P$3:$Q$7,2),IF($N129=Lists!$K$3,IF($L129&lt;1,(($U129/$L129)*((1+Inputs!$D$7)^AL$2)),((INT(AL$2/$L129)-INT((AL$2-1)/$L129))*$U129*((1+Inputs!$D$7)^AL$2))),(_xlfn.WEIBULL.DIST(AL$2,$M129,$L129,FALSE)*$U129*((1+Inputs!$D$7)^AL$2))),IF($N129=Lists!$K$3,IF($L129&lt;1,((($T129*(1-$F129)+$S129*(1-$G129))/$L129)*((1+Inputs!$D$7)^AL$2)),((INT(AL$2/$L129)-INT((AL$2-1)/$L129))*($T129*(1-$F129)+$S129*(1-$G129))*((1+Inputs!$D$7)^AL$2))),((_xlfn.WEIBULL.DIST(AL$2,$M129,$L129,FALSE)*($T129*(1-$F129)+$S129*(1-$G129))*((1+Inputs!$D$7)^AL$2))))))</f>
        <v>86.074115237523571</v>
      </c>
      <c r="AM129" s="88">
        <f>$E129*IF(AM$2&gt;Inputs!$D$5,0,IF(AM$2&gt;VLOOKUP($H129,Lists!$P$3:$Q$7,2),IF($N129=Lists!$K$3,IF($L129&lt;1,(($U129/$L129)*((1+Inputs!$D$7)^AM$2)),((INT(AM$2/$L129)-INT((AM$2-1)/$L129))*$U129*((1+Inputs!$D$7)^AM$2))),(_xlfn.WEIBULL.DIST(AM$2,$M129,$L129,FALSE)*$U129*((1+Inputs!$D$7)^AM$2))),IF($N129=Lists!$K$3,IF($L129&lt;1,((($T129*(1-$F129)+$S129*(1-$G129))/$L129)*((1+Inputs!$D$7)^AM$2)),((INT(AM$2/$L129)-INT((AM$2-1)/$L129))*($T129*(1-$F129)+$S129*(1-$G129))*((1+Inputs!$D$7)^AM$2))),((_xlfn.WEIBULL.DIST(AM$2,$M129,$L129,FALSE)*($T129*(1-$F129)+$S129*(1-$G129))*((1+Inputs!$D$7)^AM$2))))))</f>
        <v>87.795597542274038</v>
      </c>
      <c r="AN129" s="88">
        <f>$E129*IF(AN$2&gt;Inputs!$D$5,0,IF(AN$2&gt;VLOOKUP($H129,Lists!$P$3:$Q$7,2),IF($N129=Lists!$K$3,IF($L129&lt;1,(($U129/$L129)*((1+Inputs!$D$7)^AN$2)),((INT(AN$2/$L129)-INT((AN$2-1)/$L129))*$U129*((1+Inputs!$D$7)^AN$2))),(_xlfn.WEIBULL.DIST(AN$2,$M129,$L129,FALSE)*$U129*((1+Inputs!$D$7)^AN$2))),IF($N129=Lists!$K$3,IF($L129&lt;1,((($T129*(1-$F129)+$S129*(1-$G129))/$L129)*((1+Inputs!$D$7)^AN$2)),((INT(AN$2/$L129)-INT((AN$2-1)/$L129))*($T129*(1-$F129)+$S129*(1-$G129))*((1+Inputs!$D$7)^AN$2))),((_xlfn.WEIBULL.DIST(AN$2,$M129,$L129,FALSE)*($T129*(1-$F129)+$S129*(1-$G129))*((1+Inputs!$D$7)^AN$2))))))</f>
        <v>89.551509493119525</v>
      </c>
      <c r="AO129" s="88">
        <f>$E129*IF(AO$2&gt;Inputs!$D$5,0,IF(AO$2&gt;VLOOKUP($H129,Lists!$P$3:$Q$7,2),IF($N129=Lists!$K$3,IF($L129&lt;1,(($U129/$L129)*((1+Inputs!$D$7)^AO$2)),((INT(AO$2/$L129)-INT((AO$2-1)/$L129))*$U129*((1+Inputs!$D$7)^AO$2))),(_xlfn.WEIBULL.DIST(AO$2,$M129,$L129,FALSE)*$U129*((1+Inputs!$D$7)^AO$2))),IF($N129=Lists!$K$3,IF($L129&lt;1,((($T129*(1-$F129)+$S129*(1-$G129))/$L129)*((1+Inputs!$D$7)^AO$2)),((INT(AO$2/$L129)-INT((AO$2-1)/$L129))*($T129*(1-$F129)+$S129*(1-$G129))*((1+Inputs!$D$7)^AO$2))),((_xlfn.WEIBULL.DIST(AO$2,$M129,$L129,FALSE)*($T129*(1-$F129)+$S129*(1-$G129))*((1+Inputs!$D$7)^AO$2))))))</f>
        <v>91.342539682981894</v>
      </c>
      <c r="AP129" s="88">
        <f>$E129*IF(AP$2&gt;Inputs!$D$5,0,IF(AP$2&gt;VLOOKUP($H129,Lists!$P$3:$Q$7,2),IF($N129=Lists!$K$3,IF($L129&lt;1,(($U129/$L129)*((1+Inputs!$D$7)^AP$2)),((INT(AP$2/$L129)-INT((AP$2-1)/$L129))*$U129*((1+Inputs!$D$7)^AP$2))),(_xlfn.WEIBULL.DIST(AP$2,$M129,$L129,FALSE)*$U129*((1+Inputs!$D$7)^AP$2))),IF($N129=Lists!$K$3,IF($L129&lt;1,((($T129*(1-$F129)+$S129*(1-$G129))/$L129)*((1+Inputs!$D$7)^AP$2)),((INT(AP$2/$L129)-INT((AP$2-1)/$L129))*($T129*(1-$F129)+$S129*(1-$G129))*((1+Inputs!$D$7)^AP$2))),((_xlfn.WEIBULL.DIST(AP$2,$M129,$L129,FALSE)*($T129*(1-$F129)+$S129*(1-$G129))*((1+Inputs!$D$7)^AP$2))))))</f>
        <v>93.169390476641539</v>
      </c>
      <c r="AQ129" s="88">
        <f>$E129*IF(AQ$2&gt;Inputs!$D$5,0,IF(AQ$2&gt;VLOOKUP($H129,Lists!$P$3:$Q$7,2),IF($N129=Lists!$K$3,IF($L129&lt;1,(($U129/$L129)*((1+Inputs!$D$7)^AQ$2)),((INT(AQ$2/$L129)-INT((AQ$2-1)/$L129))*$U129*((1+Inputs!$D$7)^AQ$2))),(_xlfn.WEIBULL.DIST(AQ$2,$M129,$L129,FALSE)*$U129*((1+Inputs!$D$7)^AQ$2))),IF($N129=Lists!$K$3,IF($L129&lt;1,((($T129*(1-$F129)+$S129*(1-$G129))/$L129)*((1+Inputs!$D$7)^AQ$2)),((INT(AQ$2/$L129)-INT((AQ$2-1)/$L129))*($T129*(1-$F129)+$S129*(1-$G129))*((1+Inputs!$D$7)^AQ$2))),((_xlfn.WEIBULL.DIST(AQ$2,$M129,$L129,FALSE)*($T129*(1-$F129)+$S129*(1-$G129))*((1+Inputs!$D$7)^AQ$2))))))</f>
        <v>95.032778286174377</v>
      </c>
      <c r="AR129" s="88">
        <f>$E129*IF(AR$2&gt;Inputs!$D$5,0,IF(AR$2&gt;VLOOKUP($H129,Lists!$P$3:$Q$7,2),IF($N129=Lists!$K$3,IF($L129&lt;1,(($U129/$L129)*((1+Inputs!$D$7)^AR$2)),((INT(AR$2/$L129)-INT((AR$2-1)/$L129))*$U129*((1+Inputs!$D$7)^AR$2))),(_xlfn.WEIBULL.DIST(AR$2,$M129,$L129,FALSE)*$U129*((1+Inputs!$D$7)^AR$2))),IF($N129=Lists!$K$3,IF($L129&lt;1,((($T129*(1-$F129)+$S129*(1-$G129))/$L129)*((1+Inputs!$D$7)^AR$2)),((INT(AR$2/$L129)-INT((AR$2-1)/$L129))*($T129*(1-$F129)+$S129*(1-$G129))*((1+Inputs!$D$7)^AR$2))),((_xlfn.WEIBULL.DIST(AR$2,$M129,$L129,FALSE)*($T129*(1-$F129)+$S129*(1-$G129))*((1+Inputs!$D$7)^AR$2))))))</f>
        <v>96.93343385189786</v>
      </c>
      <c r="AS129" s="88">
        <f>$E129*IF(AS$2&gt;Inputs!$D$5,0,IF(AS$2&gt;VLOOKUP($H129,Lists!$P$3:$Q$7,2),IF($N129=Lists!$K$3,IF($L129&lt;1,(($U129/$L129)*((1+Inputs!$D$7)^AS$2)),((INT(AS$2/$L129)-INT((AS$2-1)/$L129))*$U129*((1+Inputs!$D$7)^AS$2))),(_xlfn.WEIBULL.DIST(AS$2,$M129,$L129,FALSE)*$U129*((1+Inputs!$D$7)^AS$2))),IF($N129=Lists!$K$3,IF($L129&lt;1,((($T129*(1-$F129)+$S129*(1-$G129))/$L129)*((1+Inputs!$D$7)^AS$2)),((INT(AS$2/$L129)-INT((AS$2-1)/$L129))*($T129*(1-$F129)+$S129*(1-$G129))*((1+Inputs!$D$7)^AS$2))),((_xlfn.WEIBULL.DIST(AS$2,$M129,$L129,FALSE)*($T129*(1-$F129)+$S129*(1-$G129))*((1+Inputs!$D$7)^AS$2))))))</f>
        <v>98.872102528935812</v>
      </c>
      <c r="AT129" s="88">
        <f>$E129*IF(AT$2&gt;Inputs!$D$5,0,IF(AT$2&gt;VLOOKUP($H129,Lists!$P$3:$Q$7,2),IF($N129=Lists!$K$3,IF($L129&lt;1,(($U129/$L129)*((1+Inputs!$D$7)^AT$2)),((INT(AT$2/$L129)-INT((AT$2-1)/$L129))*$U129*((1+Inputs!$D$7)^AT$2))),(_xlfn.WEIBULL.DIST(AT$2,$M129,$L129,FALSE)*$U129*((1+Inputs!$D$7)^AT$2))),IF($N129=Lists!$K$3,IF($L129&lt;1,((($T129*(1-$F129)+$S129*(1-$G129))/$L129)*((1+Inputs!$D$7)^AT$2)),((INT(AT$2/$L129)-INT((AT$2-1)/$L129))*($T129*(1-$F129)+$S129*(1-$G129))*((1+Inputs!$D$7)^AT$2))),((_xlfn.WEIBULL.DIST(AT$2,$M129,$L129,FALSE)*($T129*(1-$F129)+$S129*(1-$G129))*((1+Inputs!$D$7)^AT$2))))))</f>
        <v>100.84954457951453</v>
      </c>
      <c r="AU129" s="88">
        <f>$E129*IF(AU$2&gt;Inputs!$D$5,0,IF(AU$2&gt;VLOOKUP($H129,Lists!$P$3:$Q$7,2),IF($N129=Lists!$K$3,IF($L129&lt;1,(($U129/$L129)*((1+Inputs!$D$7)^AU$2)),((INT(AU$2/$L129)-INT((AU$2-1)/$L129))*$U129*((1+Inputs!$D$7)^AU$2))),(_xlfn.WEIBULL.DIST(AU$2,$M129,$L129,FALSE)*$U129*((1+Inputs!$D$7)^AU$2))),IF($N129=Lists!$K$3,IF($L129&lt;1,((($T129*(1-$F129)+$S129*(1-$G129))/$L129)*((1+Inputs!$D$7)^AU$2)),((INT(AU$2/$L129)-INT((AU$2-1)/$L129))*($T129*(1-$F129)+$S129*(1-$G129))*((1+Inputs!$D$7)^AU$2))),((_xlfn.WEIBULL.DIST(AU$2,$M129,$L129,FALSE)*($T129*(1-$F129)+$S129*(1-$G129))*((1+Inputs!$D$7)^AU$2))))))</f>
        <v>102.86653547110483</v>
      </c>
      <c r="AV129" s="88">
        <f>$E129*IF(AV$2&gt;Inputs!$D$5,0,IF(AV$2&gt;VLOOKUP($H129,Lists!$P$3:$Q$7,2),IF($N129=Lists!$K$3,IF($L129&lt;1,(($U129/$L129)*((1+Inputs!$D$7)^AV$2)),((INT(AV$2/$L129)-INT((AV$2-1)/$L129))*$U129*((1+Inputs!$D$7)^AV$2))),(_xlfn.WEIBULL.DIST(AV$2,$M129,$L129,FALSE)*$U129*((1+Inputs!$D$7)^AV$2))),IF($N129=Lists!$K$3,IF($L129&lt;1,((($T129*(1-$F129)+$S129*(1-$G129))/$L129)*((1+Inputs!$D$7)^AV$2)),((INT(AV$2/$L129)-INT((AV$2-1)/$L129))*($T129*(1-$F129)+$S129*(1-$G129))*((1+Inputs!$D$7)^AV$2))),((_xlfn.WEIBULL.DIST(AV$2,$M129,$L129,FALSE)*($T129*(1-$F129)+$S129*(1-$G129))*((1+Inputs!$D$7)^AV$2))))))</f>
        <v>104.92386618052691</v>
      </c>
      <c r="AW129" s="88">
        <f>$E129*IF(AW$2&gt;Inputs!$D$5,0,IF(AW$2&gt;VLOOKUP($H129,Lists!$P$3:$Q$7,2),IF($N129=Lists!$K$3,IF($L129&lt;1,(($U129/$L129)*((1+Inputs!$D$7)^AW$2)),((INT(AW$2/$L129)-INT((AW$2-1)/$L129))*$U129*((1+Inputs!$D$7)^AW$2))),(_xlfn.WEIBULL.DIST(AW$2,$M129,$L129,FALSE)*$U129*((1+Inputs!$D$7)^AW$2))),IF($N129=Lists!$K$3,IF($L129&lt;1,((($T129*(1-$F129)+$S129*(1-$G129))/$L129)*((1+Inputs!$D$7)^AW$2)),((INT(AW$2/$L129)-INT((AW$2-1)/$L129))*($T129*(1-$F129)+$S129*(1-$G129))*((1+Inputs!$D$7)^AW$2))),((_xlfn.WEIBULL.DIST(AW$2,$M129,$L129,FALSE)*($T129*(1-$F129)+$S129*(1-$G129))*((1+Inputs!$D$7)^AW$2))))))</f>
        <v>107.02234350413744</v>
      </c>
      <c r="AX129" s="88">
        <f>$E129*IF(AX$2&gt;Inputs!$D$5,0,IF(AX$2&gt;VLOOKUP($H129,Lists!$P$3:$Q$7,2),IF($N129=Lists!$K$3,IF($L129&lt;1,(($U129/$L129)*((1+Inputs!$D$7)^AX$2)),((INT(AX$2/$L129)-INT((AX$2-1)/$L129))*$U129*((1+Inputs!$D$7)^AX$2))),(_xlfn.WEIBULL.DIST(AX$2,$M129,$L129,FALSE)*$U129*((1+Inputs!$D$7)^AX$2))),IF($N129=Lists!$K$3,IF($L129&lt;1,((($T129*(1-$F129)+$S129*(1-$G129))/$L129)*((1+Inputs!$D$7)^AX$2)),((INT(AX$2/$L129)-INT((AX$2-1)/$L129))*($T129*(1-$F129)+$S129*(1-$G129))*((1+Inputs!$D$7)^AX$2))),((_xlfn.WEIBULL.DIST(AX$2,$M129,$L129,FALSE)*($T129*(1-$F129)+$S129*(1-$G129))*((1+Inputs!$D$7)^AX$2))))))</f>
        <v>109.16279037422019</v>
      </c>
      <c r="AY129" s="88">
        <f>$E129*IF(AY$2&gt;Inputs!$D$5,0,IF(AY$2&gt;VLOOKUP($H129,Lists!$P$3:$Q$7,2),IF($N129=Lists!$K$3,IF($L129&lt;1,(($U129/$L129)*((1+Inputs!$D$7)^AY$2)),((INT(AY$2/$L129)-INT((AY$2-1)/$L129))*$U129*((1+Inputs!$D$7)^AY$2))),(_xlfn.WEIBULL.DIST(AY$2,$M129,$L129,FALSE)*$U129*((1+Inputs!$D$7)^AY$2))),IF($N129=Lists!$K$3,IF($L129&lt;1,((($T129*(1-$F129)+$S129*(1-$G129))/$L129)*((1+Inputs!$D$7)^AY$2)),((INT(AY$2/$L129)-INT((AY$2-1)/$L129))*($T129*(1-$F129)+$S129*(1-$G129))*((1+Inputs!$D$7)^AY$2))),((_xlfn.WEIBULL.DIST(AY$2,$M129,$L129,FALSE)*($T129*(1-$F129)+$S129*(1-$G129))*((1+Inputs!$D$7)^AY$2))))))</f>
        <v>111.34604618170459</v>
      </c>
      <c r="AZ129" s="88">
        <f>$E129*IF(AZ$2&gt;Inputs!$D$5,0,IF(AZ$2&gt;VLOOKUP($H129,Lists!$P$3:$Q$7,2),IF($N129=Lists!$K$3,IF($L129&lt;1,(($U129/$L129)*((1+Inputs!$D$7)^AZ$2)),((INT(AZ$2/$L129)-INT((AZ$2-1)/$L129))*$U129*((1+Inputs!$D$7)^AZ$2))),(_xlfn.WEIBULL.DIST(AZ$2,$M129,$L129,FALSE)*$U129*((1+Inputs!$D$7)^AZ$2))),IF($N129=Lists!$K$3,IF($L129&lt;1,((($T129*(1-$F129)+$S129*(1-$G129))/$L129)*((1+Inputs!$D$7)^AZ$2)),((INT(AZ$2/$L129)-INT((AZ$2-1)/$L129))*($T129*(1-$F129)+$S129*(1-$G129))*((1+Inputs!$D$7)^AZ$2))),((_xlfn.WEIBULL.DIST(AZ$2,$M129,$L129,FALSE)*($T129*(1-$F129)+$S129*(1-$G129))*((1+Inputs!$D$7)^AZ$2))))))</f>
        <v>0</v>
      </c>
      <c r="BA129" s="88">
        <f>$E129*IF(BA$2&gt;Inputs!$D$5,0,IF(BA$2&gt;VLOOKUP($H129,Lists!$P$3:$Q$7,2),IF($N129=Lists!$K$3,IF($L129&lt;1,(($U129/$L129)*((1+Inputs!$D$7)^BA$2)),((INT(BA$2/$L129)-INT((BA$2-1)/$L129))*$U129*((1+Inputs!$D$7)^BA$2))),(_xlfn.WEIBULL.DIST(BA$2,$M129,$L129,FALSE)*$U129*((1+Inputs!$D$7)^BA$2))),IF($N129=Lists!$K$3,IF($L129&lt;1,((($T129*(1-$F129)+$S129*(1-$G129))/$L129)*((1+Inputs!$D$7)^BA$2)),((INT(BA$2/$L129)-INT((BA$2-1)/$L129))*($T129*(1-$F129)+$S129*(1-$G129))*((1+Inputs!$D$7)^BA$2))),((_xlfn.WEIBULL.DIST(BA$2,$M129,$L129,FALSE)*($T129*(1-$F129)+$S129*(1-$G129))*((1+Inputs!$D$7)^BA$2))))))</f>
        <v>0</v>
      </c>
      <c r="BB129" s="88">
        <f>$E129*IF(BB$2&gt;Inputs!$D$5,0,IF(BB$2&gt;VLOOKUP($H129,Lists!$P$3:$Q$7,2),IF($N129=Lists!$K$3,IF($L129&lt;1,(($U129/$L129)*((1+Inputs!$D$7)^BB$2)),((INT(BB$2/$L129)-INT((BB$2-1)/$L129))*$U129*((1+Inputs!$D$7)^BB$2))),(_xlfn.WEIBULL.DIST(BB$2,$M129,$L129,FALSE)*$U129*((1+Inputs!$D$7)^BB$2))),IF($N129=Lists!$K$3,IF($L129&lt;1,((($T129*(1-$F129)+$S129*(1-$G129))/$L129)*((1+Inputs!$D$7)^BB$2)),((INT(BB$2/$L129)-INT((BB$2-1)/$L129))*($T129*(1-$F129)+$S129*(1-$G129))*((1+Inputs!$D$7)^BB$2))),((_xlfn.WEIBULL.DIST(BB$2,$M129,$L129,FALSE)*($T129*(1-$F129)+$S129*(1-$G129))*((1+Inputs!$D$7)^BB$2))))))</f>
        <v>0</v>
      </c>
      <c r="BC129" s="88">
        <f>$E129*IF(BC$2&gt;Inputs!$D$5,0,IF(BC$2&gt;VLOOKUP($H129,Lists!$P$3:$Q$7,2),IF($N129=Lists!$K$3,IF($L129&lt;1,(($U129/$L129)*((1+Inputs!$D$7)^BC$2)),((INT(BC$2/$L129)-INT((BC$2-1)/$L129))*$U129*((1+Inputs!$D$7)^BC$2))),(_xlfn.WEIBULL.DIST(BC$2,$M129,$L129,FALSE)*$U129*((1+Inputs!$D$7)^BC$2))),IF($N129=Lists!$K$3,IF($L129&lt;1,((($T129*(1-$F129)+$S129*(1-$G129))/$L129)*((1+Inputs!$D$7)^BC$2)),((INT(BC$2/$L129)-INT((BC$2-1)/$L129))*($T129*(1-$F129)+$S129*(1-$G129))*((1+Inputs!$D$7)^BC$2))),((_xlfn.WEIBULL.DIST(BC$2,$M129,$L129,FALSE)*($T129*(1-$F129)+$S129*(1-$G129))*((1+Inputs!$D$7)^BC$2))))))</f>
        <v>0</v>
      </c>
      <c r="BD129" s="88">
        <f>$E129*IF(BD$2&gt;Inputs!$D$5,0,IF(BD$2&gt;VLOOKUP($H129,Lists!$P$3:$Q$7,2),IF($N129=Lists!$K$3,IF($L129&lt;1,(($U129/$L129)*((1+Inputs!$D$7)^BD$2)),((INT(BD$2/$L129)-INT((BD$2-1)/$L129))*$U129*((1+Inputs!$D$7)^BD$2))),(_xlfn.WEIBULL.DIST(BD$2,$M129,$L129,FALSE)*$U129*((1+Inputs!$D$7)^BD$2))),IF($N129=Lists!$K$3,IF($L129&lt;1,((($T129*(1-$F129)+$S129*(1-$G129))/$L129)*((1+Inputs!$D$7)^BD$2)),((INT(BD$2/$L129)-INT((BD$2-1)/$L129))*($T129*(1-$F129)+$S129*(1-$G129))*((1+Inputs!$D$7)^BD$2))),((_xlfn.WEIBULL.DIST(BD$2,$M129,$L129,FALSE)*($T129*(1-$F129)+$S129*(1-$G129))*((1+Inputs!$D$7)^BD$2))))))</f>
        <v>0</v>
      </c>
      <c r="BE129" s="88">
        <f>$E129*IF(BE$2&gt;Inputs!$D$5,0,IF(BE$2&gt;VLOOKUP($H129,Lists!$P$3:$Q$7,2),IF($N129=Lists!$K$3,IF($L129&lt;1,(($U129/$L129)*((1+Inputs!$D$7)^BE$2)),((INT(BE$2/$L129)-INT((BE$2-1)/$L129))*$U129*((1+Inputs!$D$7)^BE$2))),(_xlfn.WEIBULL.DIST(BE$2,$M129,$L129,FALSE)*$U129*((1+Inputs!$D$7)^BE$2))),IF($N129=Lists!$K$3,IF($L129&lt;1,((($T129*(1-$F129)+$S129*(1-$G129))/$L129)*((1+Inputs!$D$7)^BE$2)),((INT(BE$2/$L129)-INT((BE$2-1)/$L129))*($T129*(1-$F129)+$S129*(1-$G129))*((1+Inputs!$D$7)^BE$2))),((_xlfn.WEIBULL.DIST(BE$2,$M129,$L129,FALSE)*($T129*(1-$F129)+$S129*(1-$G129))*((1+Inputs!$D$7)^BE$2))))))</f>
        <v>0</v>
      </c>
      <c r="BF129" s="88">
        <f>$E129*IF(BF$2&gt;Inputs!$D$5,0,IF(BF$2&gt;VLOOKUP($H129,Lists!$P$3:$Q$7,2),IF($N129=Lists!$K$3,IF($L129&lt;1,(($U129/$L129)*((1+Inputs!$D$7)^BF$2)),((INT(BF$2/$L129)-INT((BF$2-1)/$L129))*$U129*((1+Inputs!$D$7)^BF$2))),(_xlfn.WEIBULL.DIST(BF$2,$M129,$L129,FALSE)*$U129*((1+Inputs!$D$7)^BF$2))),IF($N129=Lists!$K$3,IF($L129&lt;1,((($T129*(1-$F129)+$S129*(1-$G129))/$L129)*((1+Inputs!$D$7)^BF$2)),((INT(BF$2/$L129)-INT((BF$2-1)/$L129))*($T129*(1-$F129)+$S129*(1-$G129))*((1+Inputs!$D$7)^BF$2))),((_xlfn.WEIBULL.DIST(BF$2,$M129,$L129,FALSE)*($T129*(1-$F129)+$S129*(1-$G129))*((1+Inputs!$D$7)^BF$2))))))</f>
        <v>0</v>
      </c>
      <c r="BG129" s="88">
        <f>$E129*IF(BG$2&gt;Inputs!$D$5,0,IF(BG$2&gt;VLOOKUP($H129,Lists!$P$3:$Q$7,2),IF($N129=Lists!$K$3,IF($L129&lt;1,(($U129/$L129)*((1+Inputs!$D$7)^BG$2)),((INT(BG$2/$L129)-INT((BG$2-1)/$L129))*$U129*((1+Inputs!$D$7)^BG$2))),(_xlfn.WEIBULL.DIST(BG$2,$M129,$L129,FALSE)*$U129*((1+Inputs!$D$7)^BG$2))),IF($N129=Lists!$K$3,IF($L129&lt;1,((($T129*(1-$F129)+$S129*(1-$G129))/$L129)*((1+Inputs!$D$7)^BG$2)),((INT(BG$2/$L129)-INT((BG$2-1)/$L129))*($T129*(1-$F129)+$S129*(1-$G129))*((1+Inputs!$D$7)^BG$2))),((_xlfn.WEIBULL.DIST(BG$2,$M129,$L129,FALSE)*($T129*(1-$F129)+$S129*(1-$G129))*((1+Inputs!$D$7)^BG$2))))))</f>
        <v>0</v>
      </c>
      <c r="BH129" s="88">
        <f>$E129*IF(BH$2&gt;Inputs!$D$5,0,IF(BH$2&gt;VLOOKUP($H129,Lists!$P$3:$Q$7,2),IF($N129=Lists!$K$3,IF($L129&lt;1,(($U129/$L129)*((1+Inputs!$D$7)^BH$2)),((INT(BH$2/$L129)-INT((BH$2-1)/$L129))*$U129*((1+Inputs!$D$7)^BH$2))),(_xlfn.WEIBULL.DIST(BH$2,$M129,$L129,FALSE)*$U129*((1+Inputs!$D$7)^BH$2))),IF($N129=Lists!$K$3,IF($L129&lt;1,((($T129*(1-$F129)+$S129*(1-$G129))/$L129)*((1+Inputs!$D$7)^BH$2)),((INT(BH$2/$L129)-INT((BH$2-1)/$L129))*($T129*(1-$F129)+$S129*(1-$G129))*((1+Inputs!$D$7)^BH$2))),((_xlfn.WEIBULL.DIST(BH$2,$M129,$L129,FALSE)*($T129*(1-$F129)+$S129*(1-$G129))*((1+Inputs!$D$7)^BH$2))))))</f>
        <v>0</v>
      </c>
      <c r="BI129" s="88">
        <f>$E129*IF(BI$2&gt;Inputs!$D$5,0,IF(BI$2&gt;VLOOKUP($H129,Lists!$P$3:$Q$7,2),IF($N129=Lists!$K$3,IF($L129&lt;1,(($U129/$L129)*((1+Inputs!$D$7)^BI$2)),((INT(BI$2/$L129)-INT((BI$2-1)/$L129))*$U129*((1+Inputs!$D$7)^BI$2))),(_xlfn.WEIBULL.DIST(BI$2,$M129,$L129,FALSE)*$U129*((1+Inputs!$D$7)^BI$2))),IF($N129=Lists!$K$3,IF($L129&lt;1,((($T129*(1-$F129)+$S129*(1-$G129))/$L129)*((1+Inputs!$D$7)^BI$2)),((INT(BI$2/$L129)-INT((BI$2-1)/$L129))*($T129*(1-$F129)+$S129*(1-$G129))*((1+Inputs!$D$7)^BI$2))),((_xlfn.WEIBULL.DIST(BI$2,$M129,$L129,FALSE)*($T129*(1-$F129)+$S129*(1-$G129))*((1+Inputs!$D$7)^BI$2))))))</f>
        <v>0</v>
      </c>
      <c r="BJ129" s="88">
        <f>$E129*IF(BJ$2&gt;Inputs!$D$5,0,IF(BJ$2&gt;VLOOKUP($H129,Lists!$P$3:$Q$7,2),IF($N129=Lists!$K$3,IF($L129&lt;1,(($U129/$L129)*((1+Inputs!$D$7)^BJ$2)),((INT(BJ$2/$L129)-INT((BJ$2-1)/$L129))*$U129*((1+Inputs!$D$7)^BJ$2))),(_xlfn.WEIBULL.DIST(BJ$2,$M129,$L129,FALSE)*$U129*((1+Inputs!$D$7)^BJ$2))),IF($N129=Lists!$K$3,IF($L129&lt;1,((($T129*(1-$F129)+$S129*(1-$G129))/$L129)*((1+Inputs!$D$7)^BJ$2)),((INT(BJ$2/$L129)-INT((BJ$2-1)/$L129))*($T129*(1-$F129)+$S129*(1-$G129))*((1+Inputs!$D$7)^BJ$2))),((_xlfn.WEIBULL.DIST(BJ$2,$M129,$L129,FALSE)*($T129*(1-$F129)+$S129*(1-$G129))*((1+Inputs!$D$7)^BJ$2))))))</f>
        <v>0</v>
      </c>
      <c r="BK129" s="88">
        <f>$E129*IF(BK$2&gt;Inputs!$D$5,0,IF(BK$2&gt;VLOOKUP($H129,Lists!$P$3:$Q$7,2),IF($N129=Lists!$K$3,IF($L129&lt;1,(($U129/$L129)*((1+Inputs!$D$7)^BK$2)),((INT(BK$2/$L129)-INT((BK$2-1)/$L129))*$U129*((1+Inputs!$D$7)^BK$2))),(_xlfn.WEIBULL.DIST(BK$2,$M129,$L129,FALSE)*$U129*((1+Inputs!$D$7)^BK$2))),IF($N129=Lists!$K$3,IF($L129&lt;1,((($T129*(1-$F129)+$S129*(1-$G129))/$L129)*((1+Inputs!$D$7)^BK$2)),((INT(BK$2/$L129)-INT((BK$2-1)/$L129))*($T129*(1-$F129)+$S129*(1-$G129))*((1+Inputs!$D$7)^BK$2))),((_xlfn.WEIBULL.DIST(BK$2,$M129,$L129,FALSE)*($T129*(1-$F129)+$S129*(1-$G129))*((1+Inputs!$D$7)^BK$2))))))</f>
        <v>0</v>
      </c>
      <c r="BL129" s="88">
        <f>$E129*IF(BL$2&gt;Inputs!$D$5,0,IF(BL$2&gt;VLOOKUP($H129,Lists!$P$3:$Q$7,2),IF($N129=Lists!$K$3,IF($L129&lt;1,(($U129/$L129)*((1+Inputs!$D$7)^BL$2)),((INT(BL$2/$L129)-INT((BL$2-1)/$L129))*$U129*((1+Inputs!$D$7)^BL$2))),(_xlfn.WEIBULL.DIST(BL$2,$M129,$L129,FALSE)*$U129*((1+Inputs!$D$7)^BL$2))),IF($N129=Lists!$K$3,IF($L129&lt;1,((($T129*(1-$F129)+$S129*(1-$G129))/$L129)*((1+Inputs!$D$7)^BL$2)),((INT(BL$2/$L129)-INT((BL$2-1)/$L129))*($T129*(1-$F129)+$S129*(1-$G129))*((1+Inputs!$D$7)^BL$2))),((_xlfn.WEIBULL.DIST(BL$2,$M129,$L129,FALSE)*($T129*(1-$F129)+$S129*(1-$G129))*((1+Inputs!$D$7)^BL$2))))))</f>
        <v>0</v>
      </c>
      <c r="BM129" s="88">
        <f>$E129*IF(BM$2&gt;Inputs!$D$5,0,IF(BM$2&gt;VLOOKUP($H129,Lists!$P$3:$Q$7,2),IF($N129=Lists!$K$3,IF($L129&lt;1,(($U129/$L129)*((1+Inputs!$D$7)^BM$2)),((INT(BM$2/$L129)-INT((BM$2-1)/$L129))*$U129*((1+Inputs!$D$7)^BM$2))),(_xlfn.WEIBULL.DIST(BM$2,$M129,$L129,FALSE)*$U129*((1+Inputs!$D$7)^BM$2))),IF($N129=Lists!$K$3,IF($L129&lt;1,((($T129*(1-$F129)+$S129*(1-$G129))/$L129)*((1+Inputs!$D$7)^BM$2)),((INT(BM$2/$L129)-INT((BM$2-1)/$L129))*($T129*(1-$F129)+$S129*(1-$G129))*((1+Inputs!$D$7)^BM$2))),((_xlfn.WEIBULL.DIST(BM$2,$M129,$L129,FALSE)*($T129*(1-$F129)+$S129*(1-$G129))*((1+Inputs!$D$7)^BM$2))))))</f>
        <v>0</v>
      </c>
      <c r="BN129" s="88">
        <f>$E129*IF(BN$2&gt;Inputs!$D$5,0,IF(BN$2&gt;VLOOKUP($H129,Lists!$P$3:$Q$7,2),IF($N129=Lists!$K$3,IF($L129&lt;1,(($U129/$L129)*((1+Inputs!$D$7)^BN$2)),((INT(BN$2/$L129)-INT((BN$2-1)/$L129))*$U129*((1+Inputs!$D$7)^BN$2))),(_xlfn.WEIBULL.DIST(BN$2,$M129,$L129,FALSE)*$U129*((1+Inputs!$D$7)^BN$2))),IF($N129=Lists!$K$3,IF($L129&lt;1,((($T129*(1-$F129)+$S129*(1-$G129))/$L129)*((1+Inputs!$D$7)^BN$2)),((INT(BN$2/$L129)-INT((BN$2-1)/$L129))*($T129*(1-$F129)+$S129*(1-$G129))*((1+Inputs!$D$7)^BN$2))),((_xlfn.WEIBULL.DIST(BN$2,$M129,$L129,FALSE)*($T129*(1-$F129)+$S129*(1-$G129))*((1+Inputs!$D$7)^BN$2))))))</f>
        <v>0</v>
      </c>
      <c r="BO129" s="64">
        <f>NPV(Inputs!$D$6,BQ129:DD129)</f>
        <v>966.0100746055532</v>
      </c>
      <c r="BP129" s="67">
        <f t="shared" si="27"/>
        <v>4.5561751247968229E-4</v>
      </c>
      <c r="BQ129" s="88">
        <f>MAX(AA129,($E129*IF(BQ$2&gt;Inputs!$D$5,0,IF(BQ$2&gt;VLOOKUP($H129,Lists!$P$3:$Q$7,2),IF($N129=Lists!$K$3,IF($L129&lt;1,(($U129/$L129)*((1+Inputs!$D$7)^BQ$2)),((INT(BQ$2/$L129)-INT((BQ$2-1)/$L129))*$U129*((1+Inputs!$D$7)^BQ$2))),(Inputs!$D$8^((1-_xlfn.WEIBULL.DIST(BQ$2,$M129,$L129,FALSE))/_xlfn.WEIBULL.DIST(BQ$2,$M129,$L129,FALSE))*$U129*((1+Inputs!$D$7)^BQ$2))),IF($N129=Lists!$K$3,IF($L129&lt;1,((($T129*(1-$F129)+$S129*(1-$G129))/$L129)*((1+Inputs!$D$7)^BQ$2)),((INT(BQ$2/$L129)-INT((BQ$2-1)/$L129))*($T129*(1-$F129)+$S129*(1-$G129))*((1+Inputs!$D$7)^BQ$2))),((Inputs!$D$8^((1-_xlfn.WEIBULL.DIST(BQ$2,$M129,$L129,FALSE))/_xlfn.WEIBULL.DIST(BQ$2,$M129,$L129,FALSE))*($T129*(1-$F129)+$S129*(1-$G129))*((1+Inputs!$D$7)^BQ$2))))))))</f>
        <v>69.226229508196724</v>
      </c>
      <c r="BR129" s="88">
        <f>MAX(AB129,($E129*IF(BR$2&gt;Inputs!$D$5,0,IF(BR$2&gt;VLOOKUP($H129,Lists!$P$3:$Q$7,2),IF($N129=Lists!$K$3,IF($L129&lt;1,(($U129/$L129)*((1+Inputs!$D$7)^BR$2)),((INT(BR$2/$L129)-INT((BR$2-1)/$L129))*$U129*((1+Inputs!$D$7)^BR$2))),(Inputs!$D$8^((1-_xlfn.WEIBULL.DIST(BR$2,$M129,$L129,FALSE))/_xlfn.WEIBULL.DIST(BR$2,$M129,$L129,FALSE))*$U129*((1+Inputs!$D$7)^BR$2))),IF($N129=Lists!$K$3,IF($L129&lt;1,((($T129*(1-$F129)+$S129*(1-$G129))/$L129)*((1+Inputs!$D$7)^BR$2)),((INT(BR$2/$L129)-INT((BR$2-1)/$L129))*($T129*(1-$F129)+$S129*(1-$G129))*((1+Inputs!$D$7)^BR$2))),((Inputs!$D$8^((1-_xlfn.WEIBULL.DIST(BR$2,$M129,$L129,FALSE))/_xlfn.WEIBULL.DIST(BR$2,$M129,$L129,FALSE))*($T129*(1-$F129)+$S129*(1-$G129))*((1+Inputs!$D$7)^BR$2))))))))</f>
        <v>70.610754098360658</v>
      </c>
      <c r="BS129" s="88">
        <f>MAX(AC129,($E129*IF(BS$2&gt;Inputs!$D$5,0,IF(BS$2&gt;VLOOKUP($H129,Lists!$P$3:$Q$7,2),IF($N129=Lists!$K$3,IF($L129&lt;1,(($U129/$L129)*((1+Inputs!$D$7)^BS$2)),((INT(BS$2/$L129)-INT((BS$2-1)/$L129))*$U129*((1+Inputs!$D$7)^BS$2))),(Inputs!$D$8^((1-_xlfn.WEIBULL.DIST(BS$2,$M129,$L129,FALSE))/_xlfn.WEIBULL.DIST(BS$2,$M129,$L129,FALSE))*$U129*((1+Inputs!$D$7)^BS$2))),IF($N129=Lists!$K$3,IF($L129&lt;1,((($T129*(1-$F129)+$S129*(1-$G129))/$L129)*((1+Inputs!$D$7)^BS$2)),((INT(BS$2/$L129)-INT((BS$2-1)/$L129))*($T129*(1-$F129)+$S129*(1-$G129))*((1+Inputs!$D$7)^BS$2))),((Inputs!$D$8^((1-_xlfn.WEIBULL.DIST(BS$2,$M129,$L129,FALSE))/_xlfn.WEIBULL.DIST(BS$2,$M129,$L129,FALSE))*($T129*(1-$F129)+$S129*(1-$G129))*((1+Inputs!$D$7)^BS$2))))))))</f>
        <v>72.022969180327863</v>
      </c>
      <c r="BT129" s="88">
        <f>MAX(AD129,($E129*IF(BT$2&gt;Inputs!$D$5,0,IF(BT$2&gt;VLOOKUP($H129,Lists!$P$3:$Q$7,2),IF($N129=Lists!$K$3,IF($L129&lt;1,(($U129/$L129)*((1+Inputs!$D$7)^BT$2)),((INT(BT$2/$L129)-INT((BT$2-1)/$L129))*$U129*((1+Inputs!$D$7)^BT$2))),(Inputs!$D$8^((1-_xlfn.WEIBULL.DIST(BT$2,$M129,$L129,FALSE))/_xlfn.WEIBULL.DIST(BT$2,$M129,$L129,FALSE))*$U129*((1+Inputs!$D$7)^BT$2))),IF($N129=Lists!$K$3,IF($L129&lt;1,((($T129*(1-$F129)+$S129*(1-$G129))/$L129)*((1+Inputs!$D$7)^BT$2)),((INT(BT$2/$L129)-INT((BT$2-1)/$L129))*($T129*(1-$F129)+$S129*(1-$G129))*((1+Inputs!$D$7)^BT$2))),((Inputs!$D$8^((1-_xlfn.WEIBULL.DIST(BT$2,$M129,$L129,FALSE))/_xlfn.WEIBULL.DIST(BT$2,$M129,$L129,FALSE))*($T129*(1-$F129)+$S129*(1-$G129))*((1+Inputs!$D$7)^BT$2))))))))</f>
        <v>73.463428563934428</v>
      </c>
      <c r="BU129" s="88">
        <f>MAX(AE129,($E129*IF(BU$2&gt;Inputs!$D$5,0,IF(BU$2&gt;VLOOKUP($H129,Lists!$P$3:$Q$7,2),IF($N129=Lists!$K$3,IF($L129&lt;1,(($U129/$L129)*((1+Inputs!$D$7)^BU$2)),((INT(BU$2/$L129)-INT((BU$2-1)/$L129))*$U129*((1+Inputs!$D$7)^BU$2))),(Inputs!$D$8^((1-_xlfn.WEIBULL.DIST(BU$2,$M129,$L129,FALSE))/_xlfn.WEIBULL.DIST(BU$2,$M129,$L129,FALSE))*$U129*((1+Inputs!$D$7)^BU$2))),IF($N129=Lists!$K$3,IF($L129&lt;1,((($T129*(1-$F129)+$S129*(1-$G129))/$L129)*((1+Inputs!$D$7)^BU$2)),((INT(BU$2/$L129)-INT((BU$2-1)/$L129))*($T129*(1-$F129)+$S129*(1-$G129))*((1+Inputs!$D$7)^BU$2))),((Inputs!$D$8^((1-_xlfn.WEIBULL.DIST(BU$2,$M129,$L129,FALSE))/_xlfn.WEIBULL.DIST(BU$2,$M129,$L129,FALSE))*($T129*(1-$F129)+$S129*(1-$G129))*((1+Inputs!$D$7)^BU$2))))))))</f>
        <v>74.932697135213118</v>
      </c>
      <c r="BV129" s="88">
        <f>MAX(AF129,($E129*IF(BV$2&gt;Inputs!$D$5,0,IF(BV$2&gt;VLOOKUP($H129,Lists!$P$3:$Q$7,2),IF($N129=Lists!$K$3,IF($L129&lt;1,(($U129/$L129)*((1+Inputs!$D$7)^BV$2)),((INT(BV$2/$L129)-INT((BV$2-1)/$L129))*$U129*((1+Inputs!$D$7)^BV$2))),(Inputs!$D$8^((1-_xlfn.WEIBULL.DIST(BV$2,$M129,$L129,FALSE))/_xlfn.WEIBULL.DIST(BV$2,$M129,$L129,FALSE))*$U129*((1+Inputs!$D$7)^BV$2))),IF($N129=Lists!$K$3,IF($L129&lt;1,((($T129*(1-$F129)+$S129*(1-$G129))/$L129)*((1+Inputs!$D$7)^BV$2)),((INT(BV$2/$L129)-INT((BV$2-1)/$L129))*($T129*(1-$F129)+$S129*(1-$G129))*((1+Inputs!$D$7)^BV$2))),((Inputs!$D$8^((1-_xlfn.WEIBULL.DIST(BV$2,$M129,$L129,FALSE))/_xlfn.WEIBULL.DIST(BV$2,$M129,$L129,FALSE))*($T129*(1-$F129)+$S129*(1-$G129))*((1+Inputs!$D$7)^BV$2))))))))</f>
        <v>76.431351077917384</v>
      </c>
      <c r="BW129" s="88">
        <f>MAX(AG129,($E129*IF(BW$2&gt;Inputs!$D$5,0,IF(BW$2&gt;VLOOKUP($H129,Lists!$P$3:$Q$7,2),IF($N129=Lists!$K$3,IF($L129&lt;1,(($U129/$L129)*((1+Inputs!$D$7)^BW$2)),((INT(BW$2/$L129)-INT((BW$2-1)/$L129))*$U129*((1+Inputs!$D$7)^BW$2))),(Inputs!$D$8^((1-_xlfn.WEIBULL.DIST(BW$2,$M129,$L129,FALSE))/_xlfn.WEIBULL.DIST(BW$2,$M129,$L129,FALSE))*$U129*((1+Inputs!$D$7)^BW$2))),IF($N129=Lists!$K$3,IF($L129&lt;1,((($T129*(1-$F129)+$S129*(1-$G129))/$L129)*((1+Inputs!$D$7)^BW$2)),((INT(BW$2/$L129)-INT((BW$2-1)/$L129))*($T129*(1-$F129)+$S129*(1-$G129))*((1+Inputs!$D$7)^BW$2))),((Inputs!$D$8^((1-_xlfn.WEIBULL.DIST(BW$2,$M129,$L129,FALSE))/_xlfn.WEIBULL.DIST(BW$2,$M129,$L129,FALSE))*($T129*(1-$F129)+$S129*(1-$G129))*((1+Inputs!$D$7)^BW$2))))))))</f>
        <v>77.95997809947572</v>
      </c>
      <c r="BX129" s="88">
        <f>MAX(AH129,($E129*IF(BX$2&gt;Inputs!$D$5,0,IF(BX$2&gt;VLOOKUP($H129,Lists!$P$3:$Q$7,2),IF($N129=Lists!$K$3,IF($L129&lt;1,(($U129/$L129)*((1+Inputs!$D$7)^BX$2)),((INT(BX$2/$L129)-INT((BX$2-1)/$L129))*$U129*((1+Inputs!$D$7)^BX$2))),(Inputs!$D$8^((1-_xlfn.WEIBULL.DIST(BX$2,$M129,$L129,FALSE))/_xlfn.WEIBULL.DIST(BX$2,$M129,$L129,FALSE))*$U129*((1+Inputs!$D$7)^BX$2))),IF($N129=Lists!$K$3,IF($L129&lt;1,((($T129*(1-$F129)+$S129*(1-$G129))/$L129)*((1+Inputs!$D$7)^BX$2)),((INT(BX$2/$L129)-INT((BX$2-1)/$L129))*($T129*(1-$F129)+$S129*(1-$G129))*((1+Inputs!$D$7)^BX$2))),((Inputs!$D$8^((1-_xlfn.WEIBULL.DIST(BX$2,$M129,$L129,FALSE))/_xlfn.WEIBULL.DIST(BX$2,$M129,$L129,FALSE))*($T129*(1-$F129)+$S129*(1-$G129))*((1+Inputs!$D$7)^BX$2))))))))</f>
        <v>79.519177661465235</v>
      </c>
      <c r="BY129" s="88">
        <f>MAX(AI129,($E129*IF(BY$2&gt;Inputs!$D$5,0,IF(BY$2&gt;VLOOKUP($H129,Lists!$P$3:$Q$7,2),IF($N129=Lists!$K$3,IF($L129&lt;1,(($U129/$L129)*((1+Inputs!$D$7)^BY$2)),((INT(BY$2/$L129)-INT((BY$2-1)/$L129))*$U129*((1+Inputs!$D$7)^BY$2))),(Inputs!$D$8^((1-_xlfn.WEIBULL.DIST(BY$2,$M129,$L129,FALSE))/_xlfn.WEIBULL.DIST(BY$2,$M129,$L129,FALSE))*$U129*((1+Inputs!$D$7)^BY$2))),IF($N129=Lists!$K$3,IF($L129&lt;1,((($T129*(1-$F129)+$S129*(1-$G129))/$L129)*((1+Inputs!$D$7)^BY$2)),((INT(BY$2/$L129)-INT((BY$2-1)/$L129))*($T129*(1-$F129)+$S129*(1-$G129))*((1+Inputs!$D$7)^BY$2))),((Inputs!$D$8^((1-_xlfn.WEIBULL.DIST(BY$2,$M129,$L129,FALSE))/_xlfn.WEIBULL.DIST(BY$2,$M129,$L129,FALSE))*($T129*(1-$F129)+$S129*(1-$G129))*((1+Inputs!$D$7)^BY$2))))))))</f>
        <v>81.109561214694537</v>
      </c>
      <c r="BZ129" s="88">
        <f>MAX(AJ129,($E129*IF(BZ$2&gt;Inputs!$D$5,0,IF(BZ$2&gt;VLOOKUP($H129,Lists!$P$3:$Q$7,2),IF($N129=Lists!$K$3,IF($L129&lt;1,(($U129/$L129)*((1+Inputs!$D$7)^BZ$2)),((INT(BZ$2/$L129)-INT((BZ$2-1)/$L129))*$U129*((1+Inputs!$D$7)^BZ$2))),(Inputs!$D$8^((1-_xlfn.WEIBULL.DIST(BZ$2,$M129,$L129,FALSE))/_xlfn.WEIBULL.DIST(BZ$2,$M129,$L129,FALSE))*$U129*((1+Inputs!$D$7)^BZ$2))),IF($N129=Lists!$K$3,IF($L129&lt;1,((($T129*(1-$F129)+$S129*(1-$G129))/$L129)*((1+Inputs!$D$7)^BZ$2)),((INT(BZ$2/$L129)-INT((BZ$2-1)/$L129))*($T129*(1-$F129)+$S129*(1-$G129))*((1+Inputs!$D$7)^BZ$2))),((Inputs!$D$8^((1-_xlfn.WEIBULL.DIST(BZ$2,$M129,$L129,FALSE))/_xlfn.WEIBULL.DIST(BZ$2,$M129,$L129,FALSE))*($T129*(1-$F129)+$S129*(1-$G129))*((1+Inputs!$D$7)^BZ$2))))))))</f>
        <v>82.731752438988437</v>
      </c>
      <c r="CA129" s="88">
        <f>MAX(AK129,($E129*IF(CA$2&gt;Inputs!$D$5,0,IF(CA$2&gt;VLOOKUP($H129,Lists!$P$3:$Q$7,2),IF($N129=Lists!$K$3,IF($L129&lt;1,(($U129/$L129)*((1+Inputs!$D$7)^CA$2)),((INT(CA$2/$L129)-INT((CA$2-1)/$L129))*$U129*((1+Inputs!$D$7)^CA$2))),(Inputs!$D$8^((1-_xlfn.WEIBULL.DIST(CA$2,$M129,$L129,FALSE))/_xlfn.WEIBULL.DIST(CA$2,$M129,$L129,FALSE))*$U129*((1+Inputs!$D$7)^CA$2))),IF($N129=Lists!$K$3,IF($L129&lt;1,((($T129*(1-$F129)+$S129*(1-$G129))/$L129)*((1+Inputs!$D$7)^CA$2)),((INT(CA$2/$L129)-INT((CA$2-1)/$L129))*($T129*(1-$F129)+$S129*(1-$G129))*((1+Inputs!$D$7)^CA$2))),((Inputs!$D$8^((1-_xlfn.WEIBULL.DIST(CA$2,$M129,$L129,FALSE))/_xlfn.WEIBULL.DIST(CA$2,$M129,$L129,FALSE))*($T129*(1-$F129)+$S129*(1-$G129))*((1+Inputs!$D$7)^CA$2))))))))</f>
        <v>84.386387487768189</v>
      </c>
      <c r="CB129" s="88">
        <f>MAX(AL129,($E129*IF(CB$2&gt;Inputs!$D$5,0,IF(CB$2&gt;VLOOKUP($H129,Lists!$P$3:$Q$7,2),IF($N129=Lists!$K$3,IF($L129&lt;1,(($U129/$L129)*((1+Inputs!$D$7)^CB$2)),((INT(CB$2/$L129)-INT((CB$2-1)/$L129))*$U129*((1+Inputs!$D$7)^CB$2))),(Inputs!$D$8^((1-_xlfn.WEIBULL.DIST(CB$2,$M129,$L129,FALSE))/_xlfn.WEIBULL.DIST(CB$2,$M129,$L129,FALSE))*$U129*((1+Inputs!$D$7)^CB$2))),IF($N129=Lists!$K$3,IF($L129&lt;1,((($T129*(1-$F129)+$S129*(1-$G129))/$L129)*((1+Inputs!$D$7)^CB$2)),((INT(CB$2/$L129)-INT((CB$2-1)/$L129))*($T129*(1-$F129)+$S129*(1-$G129))*((1+Inputs!$D$7)^CB$2))),((Inputs!$D$8^((1-_xlfn.WEIBULL.DIST(CB$2,$M129,$L129,FALSE))/_xlfn.WEIBULL.DIST(CB$2,$M129,$L129,FALSE))*($T129*(1-$F129)+$S129*(1-$G129))*((1+Inputs!$D$7)^CB$2))))))))</f>
        <v>86.074115237523571</v>
      </c>
      <c r="CC129" s="88">
        <f>MAX(AM129,($E129*IF(CC$2&gt;Inputs!$D$5,0,IF(CC$2&gt;VLOOKUP($H129,Lists!$P$3:$Q$7,2),IF($N129=Lists!$K$3,IF($L129&lt;1,(($U129/$L129)*((1+Inputs!$D$7)^CC$2)),((INT(CC$2/$L129)-INT((CC$2-1)/$L129))*$U129*((1+Inputs!$D$7)^CC$2))),(Inputs!$D$8^((1-_xlfn.WEIBULL.DIST(CC$2,$M129,$L129,FALSE))/_xlfn.WEIBULL.DIST(CC$2,$M129,$L129,FALSE))*$U129*((1+Inputs!$D$7)^CC$2))),IF($N129=Lists!$K$3,IF($L129&lt;1,((($T129*(1-$F129)+$S129*(1-$G129))/$L129)*((1+Inputs!$D$7)^CC$2)),((INT(CC$2/$L129)-INT((CC$2-1)/$L129))*($T129*(1-$F129)+$S129*(1-$G129))*((1+Inputs!$D$7)^CC$2))),((Inputs!$D$8^((1-_xlfn.WEIBULL.DIST(CC$2,$M129,$L129,FALSE))/_xlfn.WEIBULL.DIST(CC$2,$M129,$L129,FALSE))*($T129*(1-$F129)+$S129*(1-$G129))*((1+Inputs!$D$7)^CC$2))))))))</f>
        <v>87.795597542274038</v>
      </c>
      <c r="CD129" s="88">
        <f>MAX(AN129,($E129*IF(CD$2&gt;Inputs!$D$5,0,IF(CD$2&gt;VLOOKUP($H129,Lists!$P$3:$Q$7,2),IF($N129=Lists!$K$3,IF($L129&lt;1,(($U129/$L129)*((1+Inputs!$D$7)^CD$2)),((INT(CD$2/$L129)-INT((CD$2-1)/$L129))*$U129*((1+Inputs!$D$7)^CD$2))),(Inputs!$D$8^((1-_xlfn.WEIBULL.DIST(CD$2,$M129,$L129,FALSE))/_xlfn.WEIBULL.DIST(CD$2,$M129,$L129,FALSE))*$U129*((1+Inputs!$D$7)^CD$2))),IF($N129=Lists!$K$3,IF($L129&lt;1,((($T129*(1-$F129)+$S129*(1-$G129))/$L129)*((1+Inputs!$D$7)^CD$2)),((INT(CD$2/$L129)-INT((CD$2-1)/$L129))*($T129*(1-$F129)+$S129*(1-$G129))*((1+Inputs!$D$7)^CD$2))),((Inputs!$D$8^((1-_xlfn.WEIBULL.DIST(CD$2,$M129,$L129,FALSE))/_xlfn.WEIBULL.DIST(CD$2,$M129,$L129,FALSE))*($T129*(1-$F129)+$S129*(1-$G129))*((1+Inputs!$D$7)^CD$2))))))))</f>
        <v>89.551509493119525</v>
      </c>
      <c r="CE129" s="88">
        <f>MAX(AO129,($E129*IF(CE$2&gt;Inputs!$D$5,0,IF(CE$2&gt;VLOOKUP($H129,Lists!$P$3:$Q$7,2),IF($N129=Lists!$K$3,IF($L129&lt;1,(($U129/$L129)*((1+Inputs!$D$7)^CE$2)),((INT(CE$2/$L129)-INT((CE$2-1)/$L129))*$U129*((1+Inputs!$D$7)^CE$2))),(Inputs!$D$8^((1-_xlfn.WEIBULL.DIST(CE$2,$M129,$L129,FALSE))/_xlfn.WEIBULL.DIST(CE$2,$M129,$L129,FALSE))*$U129*((1+Inputs!$D$7)^CE$2))),IF($N129=Lists!$K$3,IF($L129&lt;1,((($T129*(1-$F129)+$S129*(1-$G129))/$L129)*((1+Inputs!$D$7)^CE$2)),((INT(CE$2/$L129)-INT((CE$2-1)/$L129))*($T129*(1-$F129)+$S129*(1-$G129))*((1+Inputs!$D$7)^CE$2))),((Inputs!$D$8^((1-_xlfn.WEIBULL.DIST(CE$2,$M129,$L129,FALSE))/_xlfn.WEIBULL.DIST(CE$2,$M129,$L129,FALSE))*($T129*(1-$F129)+$S129*(1-$G129))*((1+Inputs!$D$7)^CE$2))))))))</f>
        <v>91.342539682981894</v>
      </c>
      <c r="CF129" s="88">
        <f>MAX(AP129,($E129*IF(CF$2&gt;Inputs!$D$5,0,IF(CF$2&gt;VLOOKUP($H129,Lists!$P$3:$Q$7,2),IF($N129=Lists!$K$3,IF($L129&lt;1,(($U129/$L129)*((1+Inputs!$D$7)^CF$2)),((INT(CF$2/$L129)-INT((CF$2-1)/$L129))*$U129*((1+Inputs!$D$7)^CF$2))),(Inputs!$D$8^((1-_xlfn.WEIBULL.DIST(CF$2,$M129,$L129,FALSE))/_xlfn.WEIBULL.DIST(CF$2,$M129,$L129,FALSE))*$U129*((1+Inputs!$D$7)^CF$2))),IF($N129=Lists!$K$3,IF($L129&lt;1,((($T129*(1-$F129)+$S129*(1-$G129))/$L129)*((1+Inputs!$D$7)^CF$2)),((INT(CF$2/$L129)-INT((CF$2-1)/$L129))*($T129*(1-$F129)+$S129*(1-$G129))*((1+Inputs!$D$7)^CF$2))),((Inputs!$D$8^((1-_xlfn.WEIBULL.DIST(CF$2,$M129,$L129,FALSE))/_xlfn.WEIBULL.DIST(CF$2,$M129,$L129,FALSE))*($T129*(1-$F129)+$S129*(1-$G129))*((1+Inputs!$D$7)^CF$2))))))))</f>
        <v>93.169390476641539</v>
      </c>
      <c r="CG129" s="88">
        <f>MAX(AQ129,($E129*IF(CG$2&gt;Inputs!$D$5,0,IF(CG$2&gt;VLOOKUP($H129,Lists!$P$3:$Q$7,2),IF($N129=Lists!$K$3,IF($L129&lt;1,(($U129/$L129)*((1+Inputs!$D$7)^CG$2)),((INT(CG$2/$L129)-INT((CG$2-1)/$L129))*$U129*((1+Inputs!$D$7)^CG$2))),(Inputs!$D$8^((1-_xlfn.WEIBULL.DIST(CG$2,$M129,$L129,FALSE))/_xlfn.WEIBULL.DIST(CG$2,$M129,$L129,FALSE))*$U129*((1+Inputs!$D$7)^CG$2))),IF($N129=Lists!$K$3,IF($L129&lt;1,((($T129*(1-$F129)+$S129*(1-$G129))/$L129)*((1+Inputs!$D$7)^CG$2)),((INT(CG$2/$L129)-INT((CG$2-1)/$L129))*($T129*(1-$F129)+$S129*(1-$G129))*((1+Inputs!$D$7)^CG$2))),((Inputs!$D$8^((1-_xlfn.WEIBULL.DIST(CG$2,$M129,$L129,FALSE))/_xlfn.WEIBULL.DIST(CG$2,$M129,$L129,FALSE))*($T129*(1-$F129)+$S129*(1-$G129))*((1+Inputs!$D$7)^CG$2))))))))</f>
        <v>95.032778286174377</v>
      </c>
      <c r="CH129" s="88">
        <f>MAX(AR129,($E129*IF(CH$2&gt;Inputs!$D$5,0,IF(CH$2&gt;VLOOKUP($H129,Lists!$P$3:$Q$7,2),IF($N129=Lists!$K$3,IF($L129&lt;1,(($U129/$L129)*((1+Inputs!$D$7)^CH$2)),((INT(CH$2/$L129)-INT((CH$2-1)/$L129))*$U129*((1+Inputs!$D$7)^CH$2))),(Inputs!$D$8^((1-_xlfn.WEIBULL.DIST(CH$2,$M129,$L129,FALSE))/_xlfn.WEIBULL.DIST(CH$2,$M129,$L129,FALSE))*$U129*((1+Inputs!$D$7)^CH$2))),IF($N129=Lists!$K$3,IF($L129&lt;1,((($T129*(1-$F129)+$S129*(1-$G129))/$L129)*((1+Inputs!$D$7)^CH$2)),((INT(CH$2/$L129)-INT((CH$2-1)/$L129))*($T129*(1-$F129)+$S129*(1-$G129))*((1+Inputs!$D$7)^CH$2))),((Inputs!$D$8^((1-_xlfn.WEIBULL.DIST(CH$2,$M129,$L129,FALSE))/_xlfn.WEIBULL.DIST(CH$2,$M129,$L129,FALSE))*($T129*(1-$F129)+$S129*(1-$G129))*((1+Inputs!$D$7)^CH$2))))))))</f>
        <v>96.93343385189786</v>
      </c>
      <c r="CI129" s="88">
        <f>MAX(AS129,($E129*IF(CI$2&gt;Inputs!$D$5,0,IF(CI$2&gt;VLOOKUP($H129,Lists!$P$3:$Q$7,2),IF($N129=Lists!$K$3,IF($L129&lt;1,(($U129/$L129)*((1+Inputs!$D$7)^CI$2)),((INT(CI$2/$L129)-INT((CI$2-1)/$L129))*$U129*((1+Inputs!$D$7)^CI$2))),(Inputs!$D$8^((1-_xlfn.WEIBULL.DIST(CI$2,$M129,$L129,FALSE))/_xlfn.WEIBULL.DIST(CI$2,$M129,$L129,FALSE))*$U129*((1+Inputs!$D$7)^CI$2))),IF($N129=Lists!$K$3,IF($L129&lt;1,((($T129*(1-$F129)+$S129*(1-$G129))/$L129)*((1+Inputs!$D$7)^CI$2)),((INT(CI$2/$L129)-INT((CI$2-1)/$L129))*($T129*(1-$F129)+$S129*(1-$G129))*((1+Inputs!$D$7)^CI$2))),((Inputs!$D$8^((1-_xlfn.WEIBULL.DIST(CI$2,$M129,$L129,FALSE))/_xlfn.WEIBULL.DIST(CI$2,$M129,$L129,FALSE))*($T129*(1-$F129)+$S129*(1-$G129))*((1+Inputs!$D$7)^CI$2))))))))</f>
        <v>98.872102528935812</v>
      </c>
      <c r="CJ129" s="88">
        <f>MAX(AT129,($E129*IF(CJ$2&gt;Inputs!$D$5,0,IF(CJ$2&gt;VLOOKUP($H129,Lists!$P$3:$Q$7,2),IF($N129=Lists!$K$3,IF($L129&lt;1,(($U129/$L129)*((1+Inputs!$D$7)^CJ$2)),((INT(CJ$2/$L129)-INT((CJ$2-1)/$L129))*$U129*((1+Inputs!$D$7)^CJ$2))),(Inputs!$D$8^((1-_xlfn.WEIBULL.DIST(CJ$2,$M129,$L129,FALSE))/_xlfn.WEIBULL.DIST(CJ$2,$M129,$L129,FALSE))*$U129*((1+Inputs!$D$7)^CJ$2))),IF($N129=Lists!$K$3,IF($L129&lt;1,((($T129*(1-$F129)+$S129*(1-$G129))/$L129)*((1+Inputs!$D$7)^CJ$2)),((INT(CJ$2/$L129)-INT((CJ$2-1)/$L129))*($T129*(1-$F129)+$S129*(1-$G129))*((1+Inputs!$D$7)^CJ$2))),((Inputs!$D$8^((1-_xlfn.WEIBULL.DIST(CJ$2,$M129,$L129,FALSE))/_xlfn.WEIBULL.DIST(CJ$2,$M129,$L129,FALSE))*($T129*(1-$F129)+$S129*(1-$G129))*((1+Inputs!$D$7)^CJ$2))))))))</f>
        <v>100.84954457951453</v>
      </c>
      <c r="CK129" s="88">
        <f>MAX(AU129,($E129*IF(CK$2&gt;Inputs!$D$5,0,IF(CK$2&gt;VLOOKUP($H129,Lists!$P$3:$Q$7,2),IF($N129=Lists!$K$3,IF($L129&lt;1,(($U129/$L129)*((1+Inputs!$D$7)^CK$2)),((INT(CK$2/$L129)-INT((CK$2-1)/$L129))*$U129*((1+Inputs!$D$7)^CK$2))),(Inputs!$D$8^((1-_xlfn.WEIBULL.DIST(CK$2,$M129,$L129,FALSE))/_xlfn.WEIBULL.DIST(CK$2,$M129,$L129,FALSE))*$U129*((1+Inputs!$D$7)^CK$2))),IF($N129=Lists!$K$3,IF($L129&lt;1,((($T129*(1-$F129)+$S129*(1-$G129))/$L129)*((1+Inputs!$D$7)^CK$2)),((INT(CK$2/$L129)-INT((CK$2-1)/$L129))*($T129*(1-$F129)+$S129*(1-$G129))*((1+Inputs!$D$7)^CK$2))),((Inputs!$D$8^((1-_xlfn.WEIBULL.DIST(CK$2,$M129,$L129,FALSE))/_xlfn.WEIBULL.DIST(CK$2,$M129,$L129,FALSE))*($T129*(1-$F129)+$S129*(1-$G129))*((1+Inputs!$D$7)^CK$2))))))))</f>
        <v>102.86653547110483</v>
      </c>
      <c r="CL129" s="88">
        <f>MAX(AV129,($E129*IF(CL$2&gt;Inputs!$D$5,0,IF(CL$2&gt;VLOOKUP($H129,Lists!$P$3:$Q$7,2),IF($N129=Lists!$K$3,IF($L129&lt;1,(($U129/$L129)*((1+Inputs!$D$7)^CL$2)),((INT(CL$2/$L129)-INT((CL$2-1)/$L129))*$U129*((1+Inputs!$D$7)^CL$2))),(Inputs!$D$8^((1-_xlfn.WEIBULL.DIST(CL$2,$M129,$L129,FALSE))/_xlfn.WEIBULL.DIST(CL$2,$M129,$L129,FALSE))*$U129*((1+Inputs!$D$7)^CL$2))),IF($N129=Lists!$K$3,IF($L129&lt;1,((($T129*(1-$F129)+$S129*(1-$G129))/$L129)*((1+Inputs!$D$7)^CL$2)),((INT(CL$2/$L129)-INT((CL$2-1)/$L129))*($T129*(1-$F129)+$S129*(1-$G129))*((1+Inputs!$D$7)^CL$2))),((Inputs!$D$8^((1-_xlfn.WEIBULL.DIST(CL$2,$M129,$L129,FALSE))/_xlfn.WEIBULL.DIST(CL$2,$M129,$L129,FALSE))*($T129*(1-$F129)+$S129*(1-$G129))*((1+Inputs!$D$7)^CL$2))))))))</f>
        <v>104.92386618052691</v>
      </c>
      <c r="CM129" s="88">
        <f>MAX(AW129,($E129*IF(CM$2&gt;Inputs!$D$5,0,IF(CM$2&gt;VLOOKUP($H129,Lists!$P$3:$Q$7,2),IF($N129=Lists!$K$3,IF($L129&lt;1,(($U129/$L129)*((1+Inputs!$D$7)^CM$2)),((INT(CM$2/$L129)-INT((CM$2-1)/$L129))*$U129*((1+Inputs!$D$7)^CM$2))),(Inputs!$D$8^((1-_xlfn.WEIBULL.DIST(CM$2,$M129,$L129,FALSE))/_xlfn.WEIBULL.DIST(CM$2,$M129,$L129,FALSE))*$U129*((1+Inputs!$D$7)^CM$2))),IF($N129=Lists!$K$3,IF($L129&lt;1,((($T129*(1-$F129)+$S129*(1-$G129))/$L129)*((1+Inputs!$D$7)^CM$2)),((INT(CM$2/$L129)-INT((CM$2-1)/$L129))*($T129*(1-$F129)+$S129*(1-$G129))*((1+Inputs!$D$7)^CM$2))),((Inputs!$D$8^((1-_xlfn.WEIBULL.DIST(CM$2,$M129,$L129,FALSE))/_xlfn.WEIBULL.DIST(CM$2,$M129,$L129,FALSE))*($T129*(1-$F129)+$S129*(1-$G129))*((1+Inputs!$D$7)^CM$2))))))))</f>
        <v>107.02234350413744</v>
      </c>
      <c r="CN129" s="88">
        <f>MAX(AX129,($E129*IF(CN$2&gt;Inputs!$D$5,0,IF(CN$2&gt;VLOOKUP($H129,Lists!$P$3:$Q$7,2),IF($N129=Lists!$K$3,IF($L129&lt;1,(($U129/$L129)*((1+Inputs!$D$7)^CN$2)),((INT(CN$2/$L129)-INT((CN$2-1)/$L129))*$U129*((1+Inputs!$D$7)^CN$2))),(Inputs!$D$8^((1-_xlfn.WEIBULL.DIST(CN$2,$M129,$L129,FALSE))/_xlfn.WEIBULL.DIST(CN$2,$M129,$L129,FALSE))*$U129*((1+Inputs!$D$7)^CN$2))),IF($N129=Lists!$K$3,IF($L129&lt;1,((($T129*(1-$F129)+$S129*(1-$G129))/$L129)*((1+Inputs!$D$7)^CN$2)),((INT(CN$2/$L129)-INT((CN$2-1)/$L129))*($T129*(1-$F129)+$S129*(1-$G129))*((1+Inputs!$D$7)^CN$2))),((Inputs!$D$8^((1-_xlfn.WEIBULL.DIST(CN$2,$M129,$L129,FALSE))/_xlfn.WEIBULL.DIST(CN$2,$M129,$L129,FALSE))*($T129*(1-$F129)+$S129*(1-$G129))*((1+Inputs!$D$7)^CN$2))))))))</f>
        <v>109.16279037422019</v>
      </c>
      <c r="CO129" s="88">
        <f>MAX(AY129,($E129*IF(CO$2&gt;Inputs!$D$5,0,IF(CO$2&gt;VLOOKUP($H129,Lists!$P$3:$Q$7,2),IF($N129=Lists!$K$3,IF($L129&lt;1,(($U129/$L129)*((1+Inputs!$D$7)^CO$2)),((INT(CO$2/$L129)-INT((CO$2-1)/$L129))*$U129*((1+Inputs!$D$7)^CO$2))),(Inputs!$D$8^((1-_xlfn.WEIBULL.DIST(CO$2,$M129,$L129,FALSE))/_xlfn.WEIBULL.DIST(CO$2,$M129,$L129,FALSE))*$U129*((1+Inputs!$D$7)^CO$2))),IF($N129=Lists!$K$3,IF($L129&lt;1,((($T129*(1-$F129)+$S129*(1-$G129))/$L129)*((1+Inputs!$D$7)^CO$2)),((INT(CO$2/$L129)-INT((CO$2-1)/$L129))*($T129*(1-$F129)+$S129*(1-$G129))*((1+Inputs!$D$7)^CO$2))),((Inputs!$D$8^((1-_xlfn.WEIBULL.DIST(CO$2,$M129,$L129,FALSE))/_xlfn.WEIBULL.DIST(CO$2,$M129,$L129,FALSE))*($T129*(1-$F129)+$S129*(1-$G129))*((1+Inputs!$D$7)^CO$2))))))))</f>
        <v>111.34604618170459</v>
      </c>
      <c r="CP129" s="88">
        <f>MAX(AZ129,($E129*IF(CP$2&gt;Inputs!$D$5,0,IF(CP$2&gt;VLOOKUP($H129,Lists!$P$3:$Q$7,2),IF($N129=Lists!$K$3,IF($L129&lt;1,(($U129/$L129)*((1+Inputs!$D$7)^CP$2)),((INT(CP$2/$L129)-INT((CP$2-1)/$L129))*$U129*((1+Inputs!$D$7)^CP$2))),(Inputs!$D$8^((1-_xlfn.WEIBULL.DIST(CP$2,$M129,$L129,FALSE))/_xlfn.WEIBULL.DIST(CP$2,$M129,$L129,FALSE))*$U129*((1+Inputs!$D$7)^CP$2))),IF($N129=Lists!$K$3,IF($L129&lt;1,((($T129*(1-$F129)+$S129*(1-$G129))/$L129)*((1+Inputs!$D$7)^CP$2)),((INT(CP$2/$L129)-INT((CP$2-1)/$L129))*($T129*(1-$F129)+$S129*(1-$G129))*((1+Inputs!$D$7)^CP$2))),((Inputs!$D$8^((1-_xlfn.WEIBULL.DIST(CP$2,$M129,$L129,FALSE))/_xlfn.WEIBULL.DIST(CP$2,$M129,$L129,FALSE))*($T129*(1-$F129)+$S129*(1-$G129))*((1+Inputs!$D$7)^CP$2))))))))</f>
        <v>0</v>
      </c>
      <c r="CQ129" s="88">
        <f>MAX(BA129,($E129*IF(CQ$2&gt;Inputs!$D$5,0,IF(CQ$2&gt;VLOOKUP($H129,Lists!$P$3:$Q$7,2),IF($N129=Lists!$K$3,IF($L129&lt;1,(($U129/$L129)*((1+Inputs!$D$7)^CQ$2)),((INT(CQ$2/$L129)-INT((CQ$2-1)/$L129))*$U129*((1+Inputs!$D$7)^CQ$2))),(Inputs!$D$8^((1-_xlfn.WEIBULL.DIST(CQ$2,$M129,$L129,FALSE))/_xlfn.WEIBULL.DIST(CQ$2,$M129,$L129,FALSE))*$U129*((1+Inputs!$D$7)^CQ$2))),IF($N129=Lists!$K$3,IF($L129&lt;1,((($T129*(1-$F129)+$S129*(1-$G129))/$L129)*((1+Inputs!$D$7)^CQ$2)),((INT(CQ$2/$L129)-INT((CQ$2-1)/$L129))*($T129*(1-$F129)+$S129*(1-$G129))*((1+Inputs!$D$7)^CQ$2))),((Inputs!$D$8^((1-_xlfn.WEIBULL.DIST(CQ$2,$M129,$L129,FALSE))/_xlfn.WEIBULL.DIST(CQ$2,$M129,$L129,FALSE))*($T129*(1-$F129)+$S129*(1-$G129))*((1+Inputs!$D$7)^CQ$2))))))))</f>
        <v>0</v>
      </c>
      <c r="CR129" s="88">
        <f>MAX(BB129,($E129*IF(CR$2&gt;Inputs!$D$5,0,IF(CR$2&gt;VLOOKUP($H129,Lists!$P$3:$Q$7,2),IF($N129=Lists!$K$3,IF($L129&lt;1,(($U129/$L129)*((1+Inputs!$D$7)^CR$2)),((INT(CR$2/$L129)-INT((CR$2-1)/$L129))*$U129*((1+Inputs!$D$7)^CR$2))),(Inputs!$D$8^((1-_xlfn.WEIBULL.DIST(CR$2,$M129,$L129,FALSE))/_xlfn.WEIBULL.DIST(CR$2,$M129,$L129,FALSE))*$U129*((1+Inputs!$D$7)^CR$2))),IF($N129=Lists!$K$3,IF($L129&lt;1,((($T129*(1-$F129)+$S129*(1-$G129))/$L129)*((1+Inputs!$D$7)^CR$2)),((INT(CR$2/$L129)-INT((CR$2-1)/$L129))*($T129*(1-$F129)+$S129*(1-$G129))*((1+Inputs!$D$7)^CR$2))),((Inputs!$D$8^((1-_xlfn.WEIBULL.DIST(CR$2,$M129,$L129,FALSE))/_xlfn.WEIBULL.DIST(CR$2,$M129,$L129,FALSE))*($T129*(1-$F129)+$S129*(1-$G129))*((1+Inputs!$D$7)^CR$2))))))))</f>
        <v>0</v>
      </c>
      <c r="CS129" s="88">
        <f>MAX(BC129,($E129*IF(CS$2&gt;Inputs!$D$5,0,IF(CS$2&gt;VLOOKUP($H129,Lists!$P$3:$Q$7,2),IF($N129=Lists!$K$3,IF($L129&lt;1,(($U129/$L129)*((1+Inputs!$D$7)^CS$2)),((INT(CS$2/$L129)-INT((CS$2-1)/$L129))*$U129*((1+Inputs!$D$7)^CS$2))),(Inputs!$D$8^((1-_xlfn.WEIBULL.DIST(CS$2,$M129,$L129,FALSE))/_xlfn.WEIBULL.DIST(CS$2,$M129,$L129,FALSE))*$U129*((1+Inputs!$D$7)^CS$2))),IF($N129=Lists!$K$3,IF($L129&lt;1,((($T129*(1-$F129)+$S129*(1-$G129))/$L129)*((1+Inputs!$D$7)^CS$2)),((INT(CS$2/$L129)-INT((CS$2-1)/$L129))*($T129*(1-$F129)+$S129*(1-$G129))*((1+Inputs!$D$7)^CS$2))),((Inputs!$D$8^((1-_xlfn.WEIBULL.DIST(CS$2,$M129,$L129,FALSE))/_xlfn.WEIBULL.DIST(CS$2,$M129,$L129,FALSE))*($T129*(1-$F129)+$S129*(1-$G129))*((1+Inputs!$D$7)^CS$2))))))))</f>
        <v>0</v>
      </c>
      <c r="CT129" s="88">
        <f>MAX(BD129,($E129*IF(CT$2&gt;Inputs!$D$5,0,IF(CT$2&gt;VLOOKUP($H129,Lists!$P$3:$Q$7,2),IF($N129=Lists!$K$3,IF($L129&lt;1,(($U129/$L129)*((1+Inputs!$D$7)^CT$2)),((INT(CT$2/$L129)-INT((CT$2-1)/$L129))*$U129*((1+Inputs!$D$7)^CT$2))),(Inputs!$D$8^((1-_xlfn.WEIBULL.DIST(CT$2,$M129,$L129,FALSE))/_xlfn.WEIBULL.DIST(CT$2,$M129,$L129,FALSE))*$U129*((1+Inputs!$D$7)^CT$2))),IF($N129=Lists!$K$3,IF($L129&lt;1,((($T129*(1-$F129)+$S129*(1-$G129))/$L129)*((1+Inputs!$D$7)^CT$2)),((INT(CT$2/$L129)-INT((CT$2-1)/$L129))*($T129*(1-$F129)+$S129*(1-$G129))*((1+Inputs!$D$7)^CT$2))),((Inputs!$D$8^((1-_xlfn.WEIBULL.DIST(CT$2,$M129,$L129,FALSE))/_xlfn.WEIBULL.DIST(CT$2,$M129,$L129,FALSE))*($T129*(1-$F129)+$S129*(1-$G129))*((1+Inputs!$D$7)^CT$2))))))))</f>
        <v>0</v>
      </c>
      <c r="CU129" s="88">
        <f>MAX(BE129,($E129*IF(CU$2&gt;Inputs!$D$5,0,IF(CU$2&gt;VLOOKUP($H129,Lists!$P$3:$Q$7,2),IF($N129=Lists!$K$3,IF($L129&lt;1,(($U129/$L129)*((1+Inputs!$D$7)^CU$2)),((INT(CU$2/$L129)-INT((CU$2-1)/$L129))*$U129*((1+Inputs!$D$7)^CU$2))),(Inputs!$D$8^((1-_xlfn.WEIBULL.DIST(CU$2,$M129,$L129,FALSE))/_xlfn.WEIBULL.DIST(CU$2,$M129,$L129,FALSE))*$U129*((1+Inputs!$D$7)^CU$2))),IF($N129=Lists!$K$3,IF($L129&lt;1,((($T129*(1-$F129)+$S129*(1-$G129))/$L129)*((1+Inputs!$D$7)^CU$2)),((INT(CU$2/$L129)-INT((CU$2-1)/$L129))*($T129*(1-$F129)+$S129*(1-$G129))*((1+Inputs!$D$7)^CU$2))),((Inputs!$D$8^((1-_xlfn.WEIBULL.DIST(CU$2,$M129,$L129,FALSE))/_xlfn.WEIBULL.DIST(CU$2,$M129,$L129,FALSE))*($T129*(1-$F129)+$S129*(1-$G129))*((1+Inputs!$D$7)^CU$2))))))))</f>
        <v>0</v>
      </c>
      <c r="CV129" s="88">
        <f>MAX(BF129,($E129*IF(CV$2&gt;Inputs!$D$5,0,IF(CV$2&gt;VLOOKUP($H129,Lists!$P$3:$Q$7,2),IF($N129=Lists!$K$3,IF($L129&lt;1,(($U129/$L129)*((1+Inputs!$D$7)^CV$2)),((INT(CV$2/$L129)-INT((CV$2-1)/$L129))*$U129*((1+Inputs!$D$7)^CV$2))),(Inputs!$D$8^((1-_xlfn.WEIBULL.DIST(CV$2,$M129,$L129,FALSE))/_xlfn.WEIBULL.DIST(CV$2,$M129,$L129,FALSE))*$U129*((1+Inputs!$D$7)^CV$2))),IF($N129=Lists!$K$3,IF($L129&lt;1,((($T129*(1-$F129)+$S129*(1-$G129))/$L129)*((1+Inputs!$D$7)^CV$2)),((INT(CV$2/$L129)-INT((CV$2-1)/$L129))*($T129*(1-$F129)+$S129*(1-$G129))*((1+Inputs!$D$7)^CV$2))),((Inputs!$D$8^((1-_xlfn.WEIBULL.DIST(CV$2,$M129,$L129,FALSE))/_xlfn.WEIBULL.DIST(CV$2,$M129,$L129,FALSE))*($T129*(1-$F129)+$S129*(1-$G129))*((1+Inputs!$D$7)^CV$2))))))))</f>
        <v>0</v>
      </c>
      <c r="CW129" s="88">
        <f>MAX(BG129,($E129*IF(CW$2&gt;Inputs!$D$5,0,IF(CW$2&gt;VLOOKUP($H129,Lists!$P$3:$Q$7,2),IF($N129=Lists!$K$3,IF($L129&lt;1,(($U129/$L129)*((1+Inputs!$D$7)^CW$2)),((INT(CW$2/$L129)-INT((CW$2-1)/$L129))*$U129*((1+Inputs!$D$7)^CW$2))),(Inputs!$D$8^((1-_xlfn.WEIBULL.DIST(CW$2,$M129,$L129,FALSE))/_xlfn.WEIBULL.DIST(CW$2,$M129,$L129,FALSE))*$U129*((1+Inputs!$D$7)^CW$2))),IF($N129=Lists!$K$3,IF($L129&lt;1,((($T129*(1-$F129)+$S129*(1-$G129))/$L129)*((1+Inputs!$D$7)^CW$2)),((INT(CW$2/$L129)-INT((CW$2-1)/$L129))*($T129*(1-$F129)+$S129*(1-$G129))*((1+Inputs!$D$7)^CW$2))),((Inputs!$D$8^((1-_xlfn.WEIBULL.DIST(CW$2,$M129,$L129,FALSE))/_xlfn.WEIBULL.DIST(CW$2,$M129,$L129,FALSE))*($T129*(1-$F129)+$S129*(1-$G129))*((1+Inputs!$D$7)^CW$2))))))))</f>
        <v>0</v>
      </c>
      <c r="CX129" s="88">
        <f>MAX(BH129,($E129*IF(CX$2&gt;Inputs!$D$5,0,IF(CX$2&gt;VLOOKUP($H129,Lists!$P$3:$Q$7,2),IF($N129=Lists!$K$3,IF($L129&lt;1,(($U129/$L129)*((1+Inputs!$D$7)^CX$2)),((INT(CX$2/$L129)-INT((CX$2-1)/$L129))*$U129*((1+Inputs!$D$7)^CX$2))),(Inputs!$D$8^((1-_xlfn.WEIBULL.DIST(CX$2,$M129,$L129,FALSE))/_xlfn.WEIBULL.DIST(CX$2,$M129,$L129,FALSE))*$U129*((1+Inputs!$D$7)^CX$2))),IF($N129=Lists!$K$3,IF($L129&lt;1,((($T129*(1-$F129)+$S129*(1-$G129))/$L129)*((1+Inputs!$D$7)^CX$2)),((INT(CX$2/$L129)-INT((CX$2-1)/$L129))*($T129*(1-$F129)+$S129*(1-$G129))*((1+Inputs!$D$7)^CX$2))),((Inputs!$D$8^((1-_xlfn.WEIBULL.DIST(CX$2,$M129,$L129,FALSE))/_xlfn.WEIBULL.DIST(CX$2,$M129,$L129,FALSE))*($T129*(1-$F129)+$S129*(1-$G129))*((1+Inputs!$D$7)^CX$2))))))))</f>
        <v>0</v>
      </c>
      <c r="CY129" s="88">
        <f>MAX(BI129,($E129*IF(CY$2&gt;Inputs!$D$5,0,IF(CY$2&gt;VLOOKUP($H129,Lists!$P$3:$Q$7,2),IF($N129=Lists!$K$3,IF($L129&lt;1,(($U129/$L129)*((1+Inputs!$D$7)^CY$2)),((INT(CY$2/$L129)-INT((CY$2-1)/$L129))*$U129*((1+Inputs!$D$7)^CY$2))),(Inputs!$D$8^((1-_xlfn.WEIBULL.DIST(CY$2,$M129,$L129,FALSE))/_xlfn.WEIBULL.DIST(CY$2,$M129,$L129,FALSE))*$U129*((1+Inputs!$D$7)^CY$2))),IF($N129=Lists!$K$3,IF($L129&lt;1,((($T129*(1-$F129)+$S129*(1-$G129))/$L129)*((1+Inputs!$D$7)^CY$2)),((INT(CY$2/$L129)-INT((CY$2-1)/$L129))*($T129*(1-$F129)+$S129*(1-$G129))*((1+Inputs!$D$7)^CY$2))),((Inputs!$D$8^((1-_xlfn.WEIBULL.DIST(CY$2,$M129,$L129,FALSE))/_xlfn.WEIBULL.DIST(CY$2,$M129,$L129,FALSE))*($T129*(1-$F129)+$S129*(1-$G129))*((1+Inputs!$D$7)^CY$2))))))))</f>
        <v>0</v>
      </c>
      <c r="CZ129" s="88">
        <f>MAX(BJ129,($E129*IF(CZ$2&gt;Inputs!$D$5,0,IF(CZ$2&gt;VLOOKUP($H129,Lists!$P$3:$Q$7,2),IF($N129=Lists!$K$3,IF($L129&lt;1,(($U129/$L129)*((1+Inputs!$D$7)^CZ$2)),((INT(CZ$2/$L129)-INT((CZ$2-1)/$L129))*$U129*((1+Inputs!$D$7)^CZ$2))),(Inputs!$D$8^((1-_xlfn.WEIBULL.DIST(CZ$2,$M129,$L129,FALSE))/_xlfn.WEIBULL.DIST(CZ$2,$M129,$L129,FALSE))*$U129*((1+Inputs!$D$7)^CZ$2))),IF($N129=Lists!$K$3,IF($L129&lt;1,((($T129*(1-$F129)+$S129*(1-$G129))/$L129)*((1+Inputs!$D$7)^CZ$2)),((INT(CZ$2/$L129)-INT((CZ$2-1)/$L129))*($T129*(1-$F129)+$S129*(1-$G129))*((1+Inputs!$D$7)^CZ$2))),((Inputs!$D$8^((1-_xlfn.WEIBULL.DIST(CZ$2,$M129,$L129,FALSE))/_xlfn.WEIBULL.DIST(CZ$2,$M129,$L129,FALSE))*($T129*(1-$F129)+$S129*(1-$G129))*((1+Inputs!$D$7)^CZ$2))))))))</f>
        <v>0</v>
      </c>
      <c r="DA129" s="88">
        <f>MAX(BK129,($E129*IF(DA$2&gt;Inputs!$D$5,0,IF(DA$2&gt;VLOOKUP($H129,Lists!$P$3:$Q$7,2),IF($N129=Lists!$K$3,IF($L129&lt;1,(($U129/$L129)*((1+Inputs!$D$7)^DA$2)),((INT(DA$2/$L129)-INT((DA$2-1)/$L129))*$U129*((1+Inputs!$D$7)^DA$2))),(Inputs!$D$8^((1-_xlfn.WEIBULL.DIST(DA$2,$M129,$L129,FALSE))/_xlfn.WEIBULL.DIST(DA$2,$M129,$L129,FALSE))*$U129*((1+Inputs!$D$7)^DA$2))),IF($N129=Lists!$K$3,IF($L129&lt;1,((($T129*(1-$F129)+$S129*(1-$G129))/$L129)*((1+Inputs!$D$7)^DA$2)),((INT(DA$2/$L129)-INT((DA$2-1)/$L129))*($T129*(1-$F129)+$S129*(1-$G129))*((1+Inputs!$D$7)^DA$2))),((Inputs!$D$8^((1-_xlfn.WEIBULL.DIST(DA$2,$M129,$L129,FALSE))/_xlfn.WEIBULL.DIST(DA$2,$M129,$L129,FALSE))*($T129*(1-$F129)+$S129*(1-$G129))*((1+Inputs!$D$7)^DA$2))))))))</f>
        <v>0</v>
      </c>
      <c r="DB129" s="88">
        <f>MAX(BL129,($E129*IF(DB$2&gt;Inputs!$D$5,0,IF(DB$2&gt;VLOOKUP($H129,Lists!$P$3:$Q$7,2),IF($N129=Lists!$K$3,IF($L129&lt;1,(($U129/$L129)*((1+Inputs!$D$7)^DB$2)),((INT(DB$2/$L129)-INT((DB$2-1)/$L129))*$U129*((1+Inputs!$D$7)^DB$2))),(Inputs!$D$8^((1-_xlfn.WEIBULL.DIST(DB$2,$M129,$L129,FALSE))/_xlfn.WEIBULL.DIST(DB$2,$M129,$L129,FALSE))*$U129*((1+Inputs!$D$7)^DB$2))),IF($N129=Lists!$K$3,IF($L129&lt;1,((($T129*(1-$F129)+$S129*(1-$G129))/$L129)*((1+Inputs!$D$7)^DB$2)),((INT(DB$2/$L129)-INT((DB$2-1)/$L129))*($T129*(1-$F129)+$S129*(1-$G129))*((1+Inputs!$D$7)^DB$2))),((Inputs!$D$8^((1-_xlfn.WEIBULL.DIST(DB$2,$M129,$L129,FALSE))/_xlfn.WEIBULL.DIST(DB$2,$M129,$L129,FALSE))*($T129*(1-$F129)+$S129*(1-$G129))*((1+Inputs!$D$7)^DB$2))))))))</f>
        <v>0</v>
      </c>
      <c r="DC129" s="88">
        <f>MAX(BM129,($E129*IF(DC$2&gt;Inputs!$D$5,0,IF(DC$2&gt;VLOOKUP($H129,Lists!$P$3:$Q$7,2),IF($N129=Lists!$K$3,IF($L129&lt;1,(($U129/$L129)*((1+Inputs!$D$7)^DC$2)),((INT(DC$2/$L129)-INT((DC$2-1)/$L129))*$U129*((1+Inputs!$D$7)^DC$2))),(Inputs!$D$8^((1-_xlfn.WEIBULL.DIST(DC$2,$M129,$L129,FALSE))/_xlfn.WEIBULL.DIST(DC$2,$M129,$L129,FALSE))*$U129*((1+Inputs!$D$7)^DC$2))),IF($N129=Lists!$K$3,IF($L129&lt;1,((($T129*(1-$F129)+$S129*(1-$G129))/$L129)*((1+Inputs!$D$7)^DC$2)),((INT(DC$2/$L129)-INT((DC$2-1)/$L129))*($T129*(1-$F129)+$S129*(1-$G129))*((1+Inputs!$D$7)^DC$2))),((Inputs!$D$8^((1-_xlfn.WEIBULL.DIST(DC$2,$M129,$L129,FALSE))/_xlfn.WEIBULL.DIST(DC$2,$M129,$L129,FALSE))*($T129*(1-$F129)+$S129*(1-$G129))*((1+Inputs!$D$7)^DC$2))))))))</f>
        <v>0</v>
      </c>
      <c r="DD129" s="88">
        <f>MAX(BN129,($E129*IF(DD$2&gt;Inputs!$D$5,0,IF(DD$2&gt;VLOOKUP($H129,Lists!$P$3:$Q$7,2),IF($N129=Lists!$K$3,IF($L129&lt;1,(($U129/$L129)*((1+Inputs!$D$7)^DD$2)),((INT(DD$2/$L129)-INT((DD$2-1)/$L129))*$U129*((1+Inputs!$D$7)^DD$2))),(Inputs!$D$8^((1-_xlfn.WEIBULL.DIST(DD$2,$M129,$L129,FALSE))/_xlfn.WEIBULL.DIST(DD$2,$M129,$L129,FALSE))*$U129*((1+Inputs!$D$7)^DD$2))),IF($N129=Lists!$K$3,IF($L129&lt;1,((($T129*(1-$F129)+$S129*(1-$G129))/$L129)*((1+Inputs!$D$7)^DD$2)),((INT(DD$2/$L129)-INT((DD$2-1)/$L129))*($T129*(1-$F129)+$S129*(1-$G129))*((1+Inputs!$D$7)^DD$2))),((Inputs!$D$8^((1-_xlfn.WEIBULL.DIST(DD$2,$M129,$L129,FALSE))/_xlfn.WEIBULL.DIST(DD$2,$M129,$L129,FALSE))*($T129*(1-$F129)+$S129*(1-$G129))*((1+Inputs!$D$7)^DD$2))))))))</f>
        <v>0</v>
      </c>
    </row>
    <row r="130" spans="1:108" ht="16">
      <c r="A130" s="57" t="s">
        <v>48</v>
      </c>
      <c r="B130" s="13" t="s">
        <v>279</v>
      </c>
      <c r="C130" s="13" t="s">
        <v>472</v>
      </c>
      <c r="D130" s="13" t="s">
        <v>37</v>
      </c>
      <c r="E130" s="89">
        <f>IF(Inputs!$D$54=Lists!$AA$3,0,1)</f>
        <v>1</v>
      </c>
      <c r="F130" s="48">
        <v>0</v>
      </c>
      <c r="G130" s="48">
        <v>0</v>
      </c>
      <c r="H130" s="105" t="s">
        <v>350</v>
      </c>
      <c r="I130" s="14" t="s">
        <v>23</v>
      </c>
      <c r="J130" s="14" t="s">
        <v>86</v>
      </c>
      <c r="K130" s="13">
        <f>VLOOKUP(J130,'Labor Rates'!$A$1:$F$16,2)</f>
        <v>29.298461538461535</v>
      </c>
      <c r="L130" s="15">
        <v>3</v>
      </c>
      <c r="M130" s="15">
        <v>1</v>
      </c>
      <c r="N130" s="13" t="s">
        <v>236</v>
      </c>
      <c r="O130" s="61">
        <v>0</v>
      </c>
      <c r="P130" s="15">
        <v>0.25</v>
      </c>
      <c r="Q130" s="15">
        <f t="shared" si="21"/>
        <v>0</v>
      </c>
      <c r="R130" s="4">
        <v>1</v>
      </c>
      <c r="S130" s="53">
        <f t="shared" si="22"/>
        <v>0</v>
      </c>
      <c r="T130" s="53">
        <f t="shared" si="23"/>
        <v>0</v>
      </c>
      <c r="U130" s="54">
        <f t="shared" si="24"/>
        <v>0</v>
      </c>
      <c r="V130" s="65"/>
      <c r="W130" s="58"/>
      <c r="X130" s="64">
        <f t="shared" si="25"/>
        <v>0</v>
      </c>
      <c r="Y130" s="64">
        <f>NPV(Inputs!$D$6,AA130:BN130)</f>
        <v>0</v>
      </c>
      <c r="Z130" s="67">
        <f t="shared" si="26"/>
        <v>0</v>
      </c>
      <c r="AA130" s="88">
        <f>$E130*IF(AA$2&gt;Inputs!$D$5,0,IF(AA$2&gt;VLOOKUP($H130,Lists!$P$3:$Q$7,2),IF($N130=Lists!$K$3,IF($L130&lt;1,(($U130/$L130)*((1+Inputs!$D$7)^AA$2)),((INT(AA$2/$L130)-INT((AA$2-1)/$L130))*$U130*((1+Inputs!$D$7)^AA$2))),(_xlfn.WEIBULL.DIST(AA$2,$M130,$L130,FALSE)*$U130*((1+Inputs!$D$7)^AA$2))),IF($N130=Lists!$K$3,IF($L130&lt;1,((($T130*(1-$F130)+$S130*(1-$G130))/$L130)*((1+Inputs!$D$7)^AA$2)),((INT(AA$2/$L130)-INT((AA$2-1)/$L130))*($T130*(1-$F130)+$S130*(1-$G130))*((1+Inputs!$D$7)^AA$2))),((_xlfn.WEIBULL.DIST(AA$2,$M130,$L130,FALSE)*($T130*(1-$F130)+$S130*(1-$G130))*((1+Inputs!$D$7)^AA$2))))))</f>
        <v>0</v>
      </c>
      <c r="AB130" s="88">
        <f>$E130*IF(AB$2&gt;Inputs!$D$5,0,IF(AB$2&gt;VLOOKUP($H130,Lists!$P$3:$Q$7,2),IF($N130=Lists!$K$3,IF($L130&lt;1,(($U130/$L130)*((1+Inputs!$D$7)^AB$2)),((INT(AB$2/$L130)-INT((AB$2-1)/$L130))*$U130*((1+Inputs!$D$7)^AB$2))),(_xlfn.WEIBULL.DIST(AB$2,$M130,$L130,FALSE)*$U130*((1+Inputs!$D$7)^AB$2))),IF($N130=Lists!$K$3,IF($L130&lt;1,((($T130*(1-$F130)+$S130*(1-$G130))/$L130)*((1+Inputs!$D$7)^AB$2)),((INT(AB$2/$L130)-INT((AB$2-1)/$L130))*($T130*(1-$F130)+$S130*(1-$G130))*((1+Inputs!$D$7)^AB$2))),((_xlfn.WEIBULL.DIST(AB$2,$M130,$L130,FALSE)*($T130*(1-$F130)+$S130*(1-$G130))*((1+Inputs!$D$7)^AB$2))))))</f>
        <v>0</v>
      </c>
      <c r="AC130" s="88">
        <f>$E130*IF(AC$2&gt;Inputs!$D$5,0,IF(AC$2&gt;VLOOKUP($H130,Lists!$P$3:$Q$7,2),IF($N130=Lists!$K$3,IF($L130&lt;1,(($U130/$L130)*((1+Inputs!$D$7)^AC$2)),((INT(AC$2/$L130)-INT((AC$2-1)/$L130))*$U130*((1+Inputs!$D$7)^AC$2))),(_xlfn.WEIBULL.DIST(AC$2,$M130,$L130,FALSE)*$U130*((1+Inputs!$D$7)^AC$2))),IF($N130=Lists!$K$3,IF($L130&lt;1,((($T130*(1-$F130)+$S130*(1-$G130))/$L130)*((1+Inputs!$D$7)^AC$2)),((INT(AC$2/$L130)-INT((AC$2-1)/$L130))*($T130*(1-$F130)+$S130*(1-$G130))*((1+Inputs!$D$7)^AC$2))),((_xlfn.WEIBULL.DIST(AC$2,$M130,$L130,FALSE)*($T130*(1-$F130)+$S130*(1-$G130))*((1+Inputs!$D$7)^AC$2))))))</f>
        <v>0</v>
      </c>
      <c r="AD130" s="88">
        <f>$E130*IF(AD$2&gt;Inputs!$D$5,0,IF(AD$2&gt;VLOOKUP($H130,Lists!$P$3:$Q$7,2),IF($N130=Lists!$K$3,IF($L130&lt;1,(($U130/$L130)*((1+Inputs!$D$7)^AD$2)),((INT(AD$2/$L130)-INT((AD$2-1)/$L130))*$U130*((1+Inputs!$D$7)^AD$2))),(_xlfn.WEIBULL.DIST(AD$2,$M130,$L130,FALSE)*$U130*((1+Inputs!$D$7)^AD$2))),IF($N130=Lists!$K$3,IF($L130&lt;1,((($T130*(1-$F130)+$S130*(1-$G130))/$L130)*((1+Inputs!$D$7)^AD$2)),((INT(AD$2/$L130)-INT((AD$2-1)/$L130))*($T130*(1-$F130)+$S130*(1-$G130))*((1+Inputs!$D$7)^AD$2))),((_xlfn.WEIBULL.DIST(AD$2,$M130,$L130,FALSE)*($T130*(1-$F130)+$S130*(1-$G130))*((1+Inputs!$D$7)^AD$2))))))</f>
        <v>0</v>
      </c>
      <c r="AE130" s="88">
        <f>$E130*IF(AE$2&gt;Inputs!$D$5,0,IF(AE$2&gt;VLOOKUP($H130,Lists!$P$3:$Q$7,2),IF($N130=Lists!$K$3,IF($L130&lt;1,(($U130/$L130)*((1+Inputs!$D$7)^AE$2)),((INT(AE$2/$L130)-INT((AE$2-1)/$L130))*$U130*((1+Inputs!$D$7)^AE$2))),(_xlfn.WEIBULL.DIST(AE$2,$M130,$L130,FALSE)*$U130*((1+Inputs!$D$7)^AE$2))),IF($N130=Lists!$K$3,IF($L130&lt;1,((($T130*(1-$F130)+$S130*(1-$G130))/$L130)*((1+Inputs!$D$7)^AE$2)),((INT(AE$2/$L130)-INT((AE$2-1)/$L130))*($T130*(1-$F130)+$S130*(1-$G130))*((1+Inputs!$D$7)^AE$2))),((_xlfn.WEIBULL.DIST(AE$2,$M130,$L130,FALSE)*($T130*(1-$F130)+$S130*(1-$G130))*((1+Inputs!$D$7)^AE$2))))))</f>
        <v>0</v>
      </c>
      <c r="AF130" s="88">
        <f>$E130*IF(AF$2&gt;Inputs!$D$5,0,IF(AF$2&gt;VLOOKUP($H130,Lists!$P$3:$Q$7,2),IF($N130=Lists!$K$3,IF($L130&lt;1,(($U130/$L130)*((1+Inputs!$D$7)^AF$2)),((INT(AF$2/$L130)-INT((AF$2-1)/$L130))*$U130*((1+Inputs!$D$7)^AF$2))),(_xlfn.WEIBULL.DIST(AF$2,$M130,$L130,FALSE)*$U130*((1+Inputs!$D$7)^AF$2))),IF($N130=Lists!$K$3,IF($L130&lt;1,((($T130*(1-$F130)+$S130*(1-$G130))/$L130)*((1+Inputs!$D$7)^AF$2)),((INT(AF$2/$L130)-INT((AF$2-1)/$L130))*($T130*(1-$F130)+$S130*(1-$G130))*((1+Inputs!$D$7)^AF$2))),((_xlfn.WEIBULL.DIST(AF$2,$M130,$L130,FALSE)*($T130*(1-$F130)+$S130*(1-$G130))*((1+Inputs!$D$7)^AF$2))))))</f>
        <v>0</v>
      </c>
      <c r="AG130" s="88">
        <f>$E130*IF(AG$2&gt;Inputs!$D$5,0,IF(AG$2&gt;VLOOKUP($H130,Lists!$P$3:$Q$7,2),IF($N130=Lists!$K$3,IF($L130&lt;1,(($U130/$L130)*((1+Inputs!$D$7)^AG$2)),((INT(AG$2/$L130)-INT((AG$2-1)/$L130))*$U130*((1+Inputs!$D$7)^AG$2))),(_xlfn.WEIBULL.DIST(AG$2,$M130,$L130,FALSE)*$U130*((1+Inputs!$D$7)^AG$2))),IF($N130=Lists!$K$3,IF($L130&lt;1,((($T130*(1-$F130)+$S130*(1-$G130))/$L130)*((1+Inputs!$D$7)^AG$2)),((INT(AG$2/$L130)-INT((AG$2-1)/$L130))*($T130*(1-$F130)+$S130*(1-$G130))*((1+Inputs!$D$7)^AG$2))),((_xlfn.WEIBULL.DIST(AG$2,$M130,$L130,FALSE)*($T130*(1-$F130)+$S130*(1-$G130))*((1+Inputs!$D$7)^AG$2))))))</f>
        <v>0</v>
      </c>
      <c r="AH130" s="88">
        <f>$E130*IF(AH$2&gt;Inputs!$D$5,0,IF(AH$2&gt;VLOOKUP($H130,Lists!$P$3:$Q$7,2),IF($N130=Lists!$K$3,IF($L130&lt;1,(($U130/$L130)*((1+Inputs!$D$7)^AH$2)),((INT(AH$2/$L130)-INT((AH$2-1)/$L130))*$U130*((1+Inputs!$D$7)^AH$2))),(_xlfn.WEIBULL.DIST(AH$2,$M130,$L130,FALSE)*$U130*((1+Inputs!$D$7)^AH$2))),IF($N130=Lists!$K$3,IF($L130&lt;1,((($T130*(1-$F130)+$S130*(1-$G130))/$L130)*((1+Inputs!$D$7)^AH$2)),((INT(AH$2/$L130)-INT((AH$2-1)/$L130))*($T130*(1-$F130)+$S130*(1-$G130))*((1+Inputs!$D$7)^AH$2))),((_xlfn.WEIBULL.DIST(AH$2,$M130,$L130,FALSE)*($T130*(1-$F130)+$S130*(1-$G130))*((1+Inputs!$D$7)^AH$2))))))</f>
        <v>0</v>
      </c>
      <c r="AI130" s="88">
        <f>$E130*IF(AI$2&gt;Inputs!$D$5,0,IF(AI$2&gt;VLOOKUP($H130,Lists!$P$3:$Q$7,2),IF($N130=Lists!$K$3,IF($L130&lt;1,(($U130/$L130)*((1+Inputs!$D$7)^AI$2)),((INT(AI$2/$L130)-INT((AI$2-1)/$L130))*$U130*((1+Inputs!$D$7)^AI$2))),(_xlfn.WEIBULL.DIST(AI$2,$M130,$L130,FALSE)*$U130*((1+Inputs!$D$7)^AI$2))),IF($N130=Lists!$K$3,IF($L130&lt;1,((($T130*(1-$F130)+$S130*(1-$G130))/$L130)*((1+Inputs!$D$7)^AI$2)),((INT(AI$2/$L130)-INT((AI$2-1)/$L130))*($T130*(1-$F130)+$S130*(1-$G130))*((1+Inputs!$D$7)^AI$2))),((_xlfn.WEIBULL.DIST(AI$2,$M130,$L130,FALSE)*($T130*(1-$F130)+$S130*(1-$G130))*((1+Inputs!$D$7)^AI$2))))))</f>
        <v>0</v>
      </c>
      <c r="AJ130" s="88">
        <f>$E130*IF(AJ$2&gt;Inputs!$D$5,0,IF(AJ$2&gt;VLOOKUP($H130,Lists!$P$3:$Q$7,2),IF($N130=Lists!$K$3,IF($L130&lt;1,(($U130/$L130)*((1+Inputs!$D$7)^AJ$2)),((INT(AJ$2/$L130)-INT((AJ$2-1)/$L130))*$U130*((1+Inputs!$D$7)^AJ$2))),(_xlfn.WEIBULL.DIST(AJ$2,$M130,$L130,FALSE)*$U130*((1+Inputs!$D$7)^AJ$2))),IF($N130=Lists!$K$3,IF($L130&lt;1,((($T130*(1-$F130)+$S130*(1-$G130))/$L130)*((1+Inputs!$D$7)^AJ$2)),((INT(AJ$2/$L130)-INT((AJ$2-1)/$L130))*($T130*(1-$F130)+$S130*(1-$G130))*((1+Inputs!$D$7)^AJ$2))),((_xlfn.WEIBULL.DIST(AJ$2,$M130,$L130,FALSE)*($T130*(1-$F130)+$S130*(1-$G130))*((1+Inputs!$D$7)^AJ$2))))))</f>
        <v>0</v>
      </c>
      <c r="AK130" s="88">
        <f>$E130*IF(AK$2&gt;Inputs!$D$5,0,IF(AK$2&gt;VLOOKUP($H130,Lists!$P$3:$Q$7,2),IF($N130=Lists!$K$3,IF($L130&lt;1,(($U130/$L130)*((1+Inputs!$D$7)^AK$2)),((INT(AK$2/$L130)-INT((AK$2-1)/$L130))*$U130*((1+Inputs!$D$7)^AK$2))),(_xlfn.WEIBULL.DIST(AK$2,$M130,$L130,FALSE)*$U130*((1+Inputs!$D$7)^AK$2))),IF($N130=Lists!$K$3,IF($L130&lt;1,((($T130*(1-$F130)+$S130*(1-$G130))/$L130)*((1+Inputs!$D$7)^AK$2)),((INT(AK$2/$L130)-INT((AK$2-1)/$L130))*($T130*(1-$F130)+$S130*(1-$G130))*((1+Inputs!$D$7)^AK$2))),((_xlfn.WEIBULL.DIST(AK$2,$M130,$L130,FALSE)*($T130*(1-$F130)+$S130*(1-$G130))*((1+Inputs!$D$7)^AK$2))))))</f>
        <v>0</v>
      </c>
      <c r="AL130" s="88">
        <f>$E130*IF(AL$2&gt;Inputs!$D$5,0,IF(AL$2&gt;VLOOKUP($H130,Lists!$P$3:$Q$7,2),IF($N130=Lists!$K$3,IF($L130&lt;1,(($U130/$L130)*((1+Inputs!$D$7)^AL$2)),((INT(AL$2/$L130)-INT((AL$2-1)/$L130))*$U130*((1+Inputs!$D$7)^AL$2))),(_xlfn.WEIBULL.DIST(AL$2,$M130,$L130,FALSE)*$U130*((1+Inputs!$D$7)^AL$2))),IF($N130=Lists!$K$3,IF($L130&lt;1,((($T130*(1-$F130)+$S130*(1-$G130))/$L130)*((1+Inputs!$D$7)^AL$2)),((INT(AL$2/$L130)-INT((AL$2-1)/$L130))*($T130*(1-$F130)+$S130*(1-$G130))*((1+Inputs!$D$7)^AL$2))),((_xlfn.WEIBULL.DIST(AL$2,$M130,$L130,FALSE)*($T130*(1-$F130)+$S130*(1-$G130))*((1+Inputs!$D$7)^AL$2))))))</f>
        <v>0</v>
      </c>
      <c r="AM130" s="88">
        <f>$E130*IF(AM$2&gt;Inputs!$D$5,0,IF(AM$2&gt;VLOOKUP($H130,Lists!$P$3:$Q$7,2),IF($N130=Lists!$K$3,IF($L130&lt;1,(($U130/$L130)*((1+Inputs!$D$7)^AM$2)),((INT(AM$2/$L130)-INT((AM$2-1)/$L130))*$U130*((1+Inputs!$D$7)^AM$2))),(_xlfn.WEIBULL.DIST(AM$2,$M130,$L130,FALSE)*$U130*((1+Inputs!$D$7)^AM$2))),IF($N130=Lists!$K$3,IF($L130&lt;1,((($T130*(1-$F130)+$S130*(1-$G130))/$L130)*((1+Inputs!$D$7)^AM$2)),((INT(AM$2/$L130)-INT((AM$2-1)/$L130))*($T130*(1-$F130)+$S130*(1-$G130))*((1+Inputs!$D$7)^AM$2))),((_xlfn.WEIBULL.DIST(AM$2,$M130,$L130,FALSE)*($T130*(1-$F130)+$S130*(1-$G130))*((1+Inputs!$D$7)^AM$2))))))</f>
        <v>0</v>
      </c>
      <c r="AN130" s="88">
        <f>$E130*IF(AN$2&gt;Inputs!$D$5,0,IF(AN$2&gt;VLOOKUP($H130,Lists!$P$3:$Q$7,2),IF($N130=Lists!$K$3,IF($L130&lt;1,(($U130/$L130)*((1+Inputs!$D$7)^AN$2)),((INT(AN$2/$L130)-INT((AN$2-1)/$L130))*$U130*((1+Inputs!$D$7)^AN$2))),(_xlfn.WEIBULL.DIST(AN$2,$M130,$L130,FALSE)*$U130*((1+Inputs!$D$7)^AN$2))),IF($N130=Lists!$K$3,IF($L130&lt;1,((($T130*(1-$F130)+$S130*(1-$G130))/$L130)*((1+Inputs!$D$7)^AN$2)),((INT(AN$2/$L130)-INT((AN$2-1)/$L130))*($T130*(1-$F130)+$S130*(1-$G130))*((1+Inputs!$D$7)^AN$2))),((_xlfn.WEIBULL.DIST(AN$2,$M130,$L130,FALSE)*($T130*(1-$F130)+$S130*(1-$G130))*((1+Inputs!$D$7)^AN$2))))))</f>
        <v>0</v>
      </c>
      <c r="AO130" s="88">
        <f>$E130*IF(AO$2&gt;Inputs!$D$5,0,IF(AO$2&gt;VLOOKUP($H130,Lists!$P$3:$Q$7,2),IF($N130=Lists!$K$3,IF($L130&lt;1,(($U130/$L130)*((1+Inputs!$D$7)^AO$2)),((INT(AO$2/$L130)-INT((AO$2-1)/$L130))*$U130*((1+Inputs!$D$7)^AO$2))),(_xlfn.WEIBULL.DIST(AO$2,$M130,$L130,FALSE)*$U130*((1+Inputs!$D$7)^AO$2))),IF($N130=Lists!$K$3,IF($L130&lt;1,((($T130*(1-$F130)+$S130*(1-$G130))/$L130)*((1+Inputs!$D$7)^AO$2)),((INT(AO$2/$L130)-INT((AO$2-1)/$L130))*($T130*(1-$F130)+$S130*(1-$G130))*((1+Inputs!$D$7)^AO$2))),((_xlfn.WEIBULL.DIST(AO$2,$M130,$L130,FALSE)*($T130*(1-$F130)+$S130*(1-$G130))*((1+Inputs!$D$7)^AO$2))))))</f>
        <v>0</v>
      </c>
      <c r="AP130" s="88">
        <f>$E130*IF(AP$2&gt;Inputs!$D$5,0,IF(AP$2&gt;VLOOKUP($H130,Lists!$P$3:$Q$7,2),IF($N130=Lists!$K$3,IF($L130&lt;1,(($U130/$L130)*((1+Inputs!$D$7)^AP$2)),((INT(AP$2/$L130)-INT((AP$2-1)/$L130))*$U130*((1+Inputs!$D$7)^AP$2))),(_xlfn.WEIBULL.DIST(AP$2,$M130,$L130,FALSE)*$U130*((1+Inputs!$D$7)^AP$2))),IF($N130=Lists!$K$3,IF($L130&lt;1,((($T130*(1-$F130)+$S130*(1-$G130))/$L130)*((1+Inputs!$D$7)^AP$2)),((INT(AP$2/$L130)-INT((AP$2-1)/$L130))*($T130*(1-$F130)+$S130*(1-$G130))*((1+Inputs!$D$7)^AP$2))),((_xlfn.WEIBULL.DIST(AP$2,$M130,$L130,FALSE)*($T130*(1-$F130)+$S130*(1-$G130))*((1+Inputs!$D$7)^AP$2))))))</f>
        <v>0</v>
      </c>
      <c r="AQ130" s="88">
        <f>$E130*IF(AQ$2&gt;Inputs!$D$5,0,IF(AQ$2&gt;VLOOKUP($H130,Lists!$P$3:$Q$7,2),IF($N130=Lists!$K$3,IF($L130&lt;1,(($U130/$L130)*((1+Inputs!$D$7)^AQ$2)),((INT(AQ$2/$L130)-INT((AQ$2-1)/$L130))*$U130*((1+Inputs!$D$7)^AQ$2))),(_xlfn.WEIBULL.DIST(AQ$2,$M130,$L130,FALSE)*$U130*((1+Inputs!$D$7)^AQ$2))),IF($N130=Lists!$K$3,IF($L130&lt;1,((($T130*(1-$F130)+$S130*(1-$G130))/$L130)*((1+Inputs!$D$7)^AQ$2)),((INT(AQ$2/$L130)-INT((AQ$2-1)/$L130))*($T130*(1-$F130)+$S130*(1-$G130))*((1+Inputs!$D$7)^AQ$2))),((_xlfn.WEIBULL.DIST(AQ$2,$M130,$L130,FALSE)*($T130*(1-$F130)+$S130*(1-$G130))*((1+Inputs!$D$7)^AQ$2))))))</f>
        <v>0</v>
      </c>
      <c r="AR130" s="88">
        <f>$E130*IF(AR$2&gt;Inputs!$D$5,0,IF(AR$2&gt;VLOOKUP($H130,Lists!$P$3:$Q$7,2),IF($N130=Lists!$K$3,IF($L130&lt;1,(($U130/$L130)*((1+Inputs!$D$7)^AR$2)),((INT(AR$2/$L130)-INT((AR$2-1)/$L130))*$U130*((1+Inputs!$D$7)^AR$2))),(_xlfn.WEIBULL.DIST(AR$2,$M130,$L130,FALSE)*$U130*((1+Inputs!$D$7)^AR$2))),IF($N130=Lists!$K$3,IF($L130&lt;1,((($T130*(1-$F130)+$S130*(1-$G130))/$L130)*((1+Inputs!$D$7)^AR$2)),((INT(AR$2/$L130)-INT((AR$2-1)/$L130))*($T130*(1-$F130)+$S130*(1-$G130))*((1+Inputs!$D$7)^AR$2))),((_xlfn.WEIBULL.DIST(AR$2,$M130,$L130,FALSE)*($T130*(1-$F130)+$S130*(1-$G130))*((1+Inputs!$D$7)^AR$2))))))</f>
        <v>0</v>
      </c>
      <c r="AS130" s="88">
        <f>$E130*IF(AS$2&gt;Inputs!$D$5,0,IF(AS$2&gt;VLOOKUP($H130,Lists!$P$3:$Q$7,2),IF($N130=Lists!$K$3,IF($L130&lt;1,(($U130/$L130)*((1+Inputs!$D$7)^AS$2)),((INT(AS$2/$L130)-INT((AS$2-1)/$L130))*$U130*((1+Inputs!$D$7)^AS$2))),(_xlfn.WEIBULL.DIST(AS$2,$M130,$L130,FALSE)*$U130*((1+Inputs!$D$7)^AS$2))),IF($N130=Lists!$K$3,IF($L130&lt;1,((($T130*(1-$F130)+$S130*(1-$G130))/$L130)*((1+Inputs!$D$7)^AS$2)),((INT(AS$2/$L130)-INT((AS$2-1)/$L130))*($T130*(1-$F130)+$S130*(1-$G130))*((1+Inputs!$D$7)^AS$2))),((_xlfn.WEIBULL.DIST(AS$2,$M130,$L130,FALSE)*($T130*(1-$F130)+$S130*(1-$G130))*((1+Inputs!$D$7)^AS$2))))))</f>
        <v>0</v>
      </c>
      <c r="AT130" s="88">
        <f>$E130*IF(AT$2&gt;Inputs!$D$5,0,IF(AT$2&gt;VLOOKUP($H130,Lists!$P$3:$Q$7,2),IF($N130=Lists!$K$3,IF($L130&lt;1,(($U130/$L130)*((1+Inputs!$D$7)^AT$2)),((INT(AT$2/$L130)-INT((AT$2-1)/$L130))*$U130*((1+Inputs!$D$7)^AT$2))),(_xlfn.WEIBULL.DIST(AT$2,$M130,$L130,FALSE)*$U130*((1+Inputs!$D$7)^AT$2))),IF($N130=Lists!$K$3,IF($L130&lt;1,((($T130*(1-$F130)+$S130*(1-$G130))/$L130)*((1+Inputs!$D$7)^AT$2)),((INT(AT$2/$L130)-INT((AT$2-1)/$L130))*($T130*(1-$F130)+$S130*(1-$G130))*((1+Inputs!$D$7)^AT$2))),((_xlfn.WEIBULL.DIST(AT$2,$M130,$L130,FALSE)*($T130*(1-$F130)+$S130*(1-$G130))*((1+Inputs!$D$7)^AT$2))))))</f>
        <v>0</v>
      </c>
      <c r="AU130" s="88">
        <f>$E130*IF(AU$2&gt;Inputs!$D$5,0,IF(AU$2&gt;VLOOKUP($H130,Lists!$P$3:$Q$7,2),IF($N130=Lists!$K$3,IF($L130&lt;1,(($U130/$L130)*((1+Inputs!$D$7)^AU$2)),((INT(AU$2/$L130)-INT((AU$2-1)/$L130))*$U130*((1+Inputs!$D$7)^AU$2))),(_xlfn.WEIBULL.DIST(AU$2,$M130,$L130,FALSE)*$U130*((1+Inputs!$D$7)^AU$2))),IF($N130=Lists!$K$3,IF($L130&lt;1,((($T130*(1-$F130)+$S130*(1-$G130))/$L130)*((1+Inputs!$D$7)^AU$2)),((INT(AU$2/$L130)-INT((AU$2-1)/$L130))*($T130*(1-$F130)+$S130*(1-$G130))*((1+Inputs!$D$7)^AU$2))),((_xlfn.WEIBULL.DIST(AU$2,$M130,$L130,FALSE)*($T130*(1-$F130)+$S130*(1-$G130))*((1+Inputs!$D$7)^AU$2))))))</f>
        <v>0</v>
      </c>
      <c r="AV130" s="88">
        <f>$E130*IF(AV$2&gt;Inputs!$D$5,0,IF(AV$2&gt;VLOOKUP($H130,Lists!$P$3:$Q$7,2),IF($N130=Lists!$K$3,IF($L130&lt;1,(($U130/$L130)*((1+Inputs!$D$7)^AV$2)),((INT(AV$2/$L130)-INT((AV$2-1)/$L130))*$U130*((1+Inputs!$D$7)^AV$2))),(_xlfn.WEIBULL.DIST(AV$2,$M130,$L130,FALSE)*$U130*((1+Inputs!$D$7)^AV$2))),IF($N130=Lists!$K$3,IF($L130&lt;1,((($T130*(1-$F130)+$S130*(1-$G130))/$L130)*((1+Inputs!$D$7)^AV$2)),((INT(AV$2/$L130)-INT((AV$2-1)/$L130))*($T130*(1-$F130)+$S130*(1-$G130))*((1+Inputs!$D$7)^AV$2))),((_xlfn.WEIBULL.DIST(AV$2,$M130,$L130,FALSE)*($T130*(1-$F130)+$S130*(1-$G130))*((1+Inputs!$D$7)^AV$2))))))</f>
        <v>0</v>
      </c>
      <c r="AW130" s="88">
        <f>$E130*IF(AW$2&gt;Inputs!$D$5,0,IF(AW$2&gt;VLOOKUP($H130,Lists!$P$3:$Q$7,2),IF($N130=Lists!$K$3,IF($L130&lt;1,(($U130/$L130)*((1+Inputs!$D$7)^AW$2)),((INT(AW$2/$L130)-INT((AW$2-1)/$L130))*$U130*((1+Inputs!$D$7)^AW$2))),(_xlfn.WEIBULL.DIST(AW$2,$M130,$L130,FALSE)*$U130*((1+Inputs!$D$7)^AW$2))),IF($N130=Lists!$K$3,IF($L130&lt;1,((($T130*(1-$F130)+$S130*(1-$G130))/$L130)*((1+Inputs!$D$7)^AW$2)),((INT(AW$2/$L130)-INT((AW$2-1)/$L130))*($T130*(1-$F130)+$S130*(1-$G130))*((1+Inputs!$D$7)^AW$2))),((_xlfn.WEIBULL.DIST(AW$2,$M130,$L130,FALSE)*($T130*(1-$F130)+$S130*(1-$G130))*((1+Inputs!$D$7)^AW$2))))))</f>
        <v>0</v>
      </c>
      <c r="AX130" s="88">
        <f>$E130*IF(AX$2&gt;Inputs!$D$5,0,IF(AX$2&gt;VLOOKUP($H130,Lists!$P$3:$Q$7,2),IF($N130=Lists!$K$3,IF($L130&lt;1,(($U130/$L130)*((1+Inputs!$D$7)^AX$2)),((INT(AX$2/$L130)-INT((AX$2-1)/$L130))*$U130*((1+Inputs!$D$7)^AX$2))),(_xlfn.WEIBULL.DIST(AX$2,$M130,$L130,FALSE)*$U130*((1+Inputs!$D$7)^AX$2))),IF($N130=Lists!$K$3,IF($L130&lt;1,((($T130*(1-$F130)+$S130*(1-$G130))/$L130)*((1+Inputs!$D$7)^AX$2)),((INT(AX$2/$L130)-INT((AX$2-1)/$L130))*($T130*(1-$F130)+$S130*(1-$G130))*((1+Inputs!$D$7)^AX$2))),((_xlfn.WEIBULL.DIST(AX$2,$M130,$L130,FALSE)*($T130*(1-$F130)+$S130*(1-$G130))*((1+Inputs!$D$7)^AX$2))))))</f>
        <v>0</v>
      </c>
      <c r="AY130" s="88">
        <f>$E130*IF(AY$2&gt;Inputs!$D$5,0,IF(AY$2&gt;VLOOKUP($H130,Lists!$P$3:$Q$7,2),IF($N130=Lists!$K$3,IF($L130&lt;1,(($U130/$L130)*((1+Inputs!$D$7)^AY$2)),((INT(AY$2/$L130)-INT((AY$2-1)/$L130))*$U130*((1+Inputs!$D$7)^AY$2))),(_xlfn.WEIBULL.DIST(AY$2,$M130,$L130,FALSE)*$U130*((1+Inputs!$D$7)^AY$2))),IF($N130=Lists!$K$3,IF($L130&lt;1,((($T130*(1-$F130)+$S130*(1-$G130))/$L130)*((1+Inputs!$D$7)^AY$2)),((INT(AY$2/$L130)-INT((AY$2-1)/$L130))*($T130*(1-$F130)+$S130*(1-$G130))*((1+Inputs!$D$7)^AY$2))),((_xlfn.WEIBULL.DIST(AY$2,$M130,$L130,FALSE)*($T130*(1-$F130)+$S130*(1-$G130))*((1+Inputs!$D$7)^AY$2))))))</f>
        <v>0</v>
      </c>
      <c r="AZ130" s="88">
        <f>$E130*IF(AZ$2&gt;Inputs!$D$5,0,IF(AZ$2&gt;VLOOKUP($H130,Lists!$P$3:$Q$7,2),IF($N130=Lists!$K$3,IF($L130&lt;1,(($U130/$L130)*((1+Inputs!$D$7)^AZ$2)),((INT(AZ$2/$L130)-INT((AZ$2-1)/$L130))*$U130*((1+Inputs!$D$7)^AZ$2))),(_xlfn.WEIBULL.DIST(AZ$2,$M130,$L130,FALSE)*$U130*((1+Inputs!$D$7)^AZ$2))),IF($N130=Lists!$K$3,IF($L130&lt;1,((($T130*(1-$F130)+$S130*(1-$G130))/$L130)*((1+Inputs!$D$7)^AZ$2)),((INT(AZ$2/$L130)-INT((AZ$2-1)/$L130))*($T130*(1-$F130)+$S130*(1-$G130))*((1+Inputs!$D$7)^AZ$2))),((_xlfn.WEIBULL.DIST(AZ$2,$M130,$L130,FALSE)*($T130*(1-$F130)+$S130*(1-$G130))*((1+Inputs!$D$7)^AZ$2))))))</f>
        <v>0</v>
      </c>
      <c r="BA130" s="88">
        <f>$E130*IF(BA$2&gt;Inputs!$D$5,0,IF(BA$2&gt;VLOOKUP($H130,Lists!$P$3:$Q$7,2),IF($N130=Lists!$K$3,IF($L130&lt;1,(($U130/$L130)*((1+Inputs!$D$7)^BA$2)),((INT(BA$2/$L130)-INT((BA$2-1)/$L130))*$U130*((1+Inputs!$D$7)^BA$2))),(_xlfn.WEIBULL.DIST(BA$2,$M130,$L130,FALSE)*$U130*((1+Inputs!$D$7)^BA$2))),IF($N130=Lists!$K$3,IF($L130&lt;1,((($T130*(1-$F130)+$S130*(1-$G130))/$L130)*((1+Inputs!$D$7)^BA$2)),((INT(BA$2/$L130)-INT((BA$2-1)/$L130))*($T130*(1-$F130)+$S130*(1-$G130))*((1+Inputs!$D$7)^BA$2))),((_xlfn.WEIBULL.DIST(BA$2,$M130,$L130,FALSE)*($T130*(1-$F130)+$S130*(1-$G130))*((1+Inputs!$D$7)^BA$2))))))</f>
        <v>0</v>
      </c>
      <c r="BB130" s="88">
        <f>$E130*IF(BB$2&gt;Inputs!$D$5,0,IF(BB$2&gt;VLOOKUP($H130,Lists!$P$3:$Q$7,2),IF($N130=Lists!$K$3,IF($L130&lt;1,(($U130/$L130)*((1+Inputs!$D$7)^BB$2)),((INT(BB$2/$L130)-INT((BB$2-1)/$L130))*$U130*((1+Inputs!$D$7)^BB$2))),(_xlfn.WEIBULL.DIST(BB$2,$M130,$L130,FALSE)*$U130*((1+Inputs!$D$7)^BB$2))),IF($N130=Lists!$K$3,IF($L130&lt;1,((($T130*(1-$F130)+$S130*(1-$G130))/$L130)*((1+Inputs!$D$7)^BB$2)),((INT(BB$2/$L130)-INT((BB$2-1)/$L130))*($T130*(1-$F130)+$S130*(1-$G130))*((1+Inputs!$D$7)^BB$2))),((_xlfn.WEIBULL.DIST(BB$2,$M130,$L130,FALSE)*($T130*(1-$F130)+$S130*(1-$G130))*((1+Inputs!$D$7)^BB$2))))))</f>
        <v>0</v>
      </c>
      <c r="BC130" s="88">
        <f>$E130*IF(BC$2&gt;Inputs!$D$5,0,IF(BC$2&gt;VLOOKUP($H130,Lists!$P$3:$Q$7,2),IF($N130=Lists!$K$3,IF($L130&lt;1,(($U130/$L130)*((1+Inputs!$D$7)^BC$2)),((INT(BC$2/$L130)-INT((BC$2-1)/$L130))*$U130*((1+Inputs!$D$7)^BC$2))),(_xlfn.WEIBULL.DIST(BC$2,$M130,$L130,FALSE)*$U130*((1+Inputs!$D$7)^BC$2))),IF($N130=Lists!$K$3,IF($L130&lt;1,((($T130*(1-$F130)+$S130*(1-$G130))/$L130)*((1+Inputs!$D$7)^BC$2)),((INT(BC$2/$L130)-INT((BC$2-1)/$L130))*($T130*(1-$F130)+$S130*(1-$G130))*((1+Inputs!$D$7)^BC$2))),((_xlfn.WEIBULL.DIST(BC$2,$M130,$L130,FALSE)*($T130*(1-$F130)+$S130*(1-$G130))*((1+Inputs!$D$7)^BC$2))))))</f>
        <v>0</v>
      </c>
      <c r="BD130" s="88">
        <f>$E130*IF(BD$2&gt;Inputs!$D$5,0,IF(BD$2&gt;VLOOKUP($H130,Lists!$P$3:$Q$7,2),IF($N130=Lists!$K$3,IF($L130&lt;1,(($U130/$L130)*((1+Inputs!$D$7)^BD$2)),((INT(BD$2/$L130)-INT((BD$2-1)/$L130))*$U130*((1+Inputs!$D$7)^BD$2))),(_xlfn.WEIBULL.DIST(BD$2,$M130,$L130,FALSE)*$U130*((1+Inputs!$D$7)^BD$2))),IF($N130=Lists!$K$3,IF($L130&lt;1,((($T130*(1-$F130)+$S130*(1-$G130))/$L130)*((1+Inputs!$D$7)^BD$2)),((INT(BD$2/$L130)-INT((BD$2-1)/$L130))*($T130*(1-$F130)+$S130*(1-$G130))*((1+Inputs!$D$7)^BD$2))),((_xlfn.WEIBULL.DIST(BD$2,$M130,$L130,FALSE)*($T130*(1-$F130)+$S130*(1-$G130))*((1+Inputs!$D$7)^BD$2))))))</f>
        <v>0</v>
      </c>
      <c r="BE130" s="88">
        <f>$E130*IF(BE$2&gt;Inputs!$D$5,0,IF(BE$2&gt;VLOOKUP($H130,Lists!$P$3:$Q$7,2),IF($N130=Lists!$K$3,IF($L130&lt;1,(($U130/$L130)*((1+Inputs!$D$7)^BE$2)),((INT(BE$2/$L130)-INT((BE$2-1)/$L130))*$U130*((1+Inputs!$D$7)^BE$2))),(_xlfn.WEIBULL.DIST(BE$2,$M130,$L130,FALSE)*$U130*((1+Inputs!$D$7)^BE$2))),IF($N130=Lists!$K$3,IF($L130&lt;1,((($T130*(1-$F130)+$S130*(1-$G130))/$L130)*((1+Inputs!$D$7)^BE$2)),((INT(BE$2/$L130)-INT((BE$2-1)/$L130))*($T130*(1-$F130)+$S130*(1-$G130))*((1+Inputs!$D$7)^BE$2))),((_xlfn.WEIBULL.DIST(BE$2,$M130,$L130,FALSE)*($T130*(1-$F130)+$S130*(1-$G130))*((1+Inputs!$D$7)^BE$2))))))</f>
        <v>0</v>
      </c>
      <c r="BF130" s="88">
        <f>$E130*IF(BF$2&gt;Inputs!$D$5,0,IF(BF$2&gt;VLOOKUP($H130,Lists!$P$3:$Q$7,2),IF($N130=Lists!$K$3,IF($L130&lt;1,(($U130/$L130)*((1+Inputs!$D$7)^BF$2)),((INT(BF$2/$L130)-INT((BF$2-1)/$L130))*$U130*((1+Inputs!$D$7)^BF$2))),(_xlfn.WEIBULL.DIST(BF$2,$M130,$L130,FALSE)*$U130*((1+Inputs!$D$7)^BF$2))),IF($N130=Lists!$K$3,IF($L130&lt;1,((($T130*(1-$F130)+$S130*(1-$G130))/$L130)*((1+Inputs!$D$7)^BF$2)),((INT(BF$2/$L130)-INT((BF$2-1)/$L130))*($T130*(1-$F130)+$S130*(1-$G130))*((1+Inputs!$D$7)^BF$2))),((_xlfn.WEIBULL.DIST(BF$2,$M130,$L130,FALSE)*($T130*(1-$F130)+$S130*(1-$G130))*((1+Inputs!$D$7)^BF$2))))))</f>
        <v>0</v>
      </c>
      <c r="BG130" s="88">
        <f>$E130*IF(BG$2&gt;Inputs!$D$5,0,IF(BG$2&gt;VLOOKUP($H130,Lists!$P$3:$Q$7,2),IF($N130=Lists!$K$3,IF($L130&lt;1,(($U130/$L130)*((1+Inputs!$D$7)^BG$2)),((INT(BG$2/$L130)-INT((BG$2-1)/$L130))*$U130*((1+Inputs!$D$7)^BG$2))),(_xlfn.WEIBULL.DIST(BG$2,$M130,$L130,FALSE)*$U130*((1+Inputs!$D$7)^BG$2))),IF($N130=Lists!$K$3,IF($L130&lt;1,((($T130*(1-$F130)+$S130*(1-$G130))/$L130)*((1+Inputs!$D$7)^BG$2)),((INT(BG$2/$L130)-INT((BG$2-1)/$L130))*($T130*(1-$F130)+$S130*(1-$G130))*((1+Inputs!$D$7)^BG$2))),((_xlfn.WEIBULL.DIST(BG$2,$M130,$L130,FALSE)*($T130*(1-$F130)+$S130*(1-$G130))*((1+Inputs!$D$7)^BG$2))))))</f>
        <v>0</v>
      </c>
      <c r="BH130" s="88">
        <f>$E130*IF(BH$2&gt;Inputs!$D$5,0,IF(BH$2&gt;VLOOKUP($H130,Lists!$P$3:$Q$7,2),IF($N130=Lists!$K$3,IF($L130&lt;1,(($U130/$L130)*((1+Inputs!$D$7)^BH$2)),((INT(BH$2/$L130)-INT((BH$2-1)/$L130))*$U130*((1+Inputs!$D$7)^BH$2))),(_xlfn.WEIBULL.DIST(BH$2,$M130,$L130,FALSE)*$U130*((1+Inputs!$D$7)^BH$2))),IF($N130=Lists!$K$3,IF($L130&lt;1,((($T130*(1-$F130)+$S130*(1-$G130))/$L130)*((1+Inputs!$D$7)^BH$2)),((INT(BH$2/$L130)-INT((BH$2-1)/$L130))*($T130*(1-$F130)+$S130*(1-$G130))*((1+Inputs!$D$7)^BH$2))),((_xlfn.WEIBULL.DIST(BH$2,$M130,$L130,FALSE)*($T130*(1-$F130)+$S130*(1-$G130))*((1+Inputs!$D$7)^BH$2))))))</f>
        <v>0</v>
      </c>
      <c r="BI130" s="88">
        <f>$E130*IF(BI$2&gt;Inputs!$D$5,0,IF(BI$2&gt;VLOOKUP($H130,Lists!$P$3:$Q$7,2),IF($N130=Lists!$K$3,IF($L130&lt;1,(($U130/$L130)*((1+Inputs!$D$7)^BI$2)),((INT(BI$2/$L130)-INT((BI$2-1)/$L130))*$U130*((1+Inputs!$D$7)^BI$2))),(_xlfn.WEIBULL.DIST(BI$2,$M130,$L130,FALSE)*$U130*((1+Inputs!$D$7)^BI$2))),IF($N130=Lists!$K$3,IF($L130&lt;1,((($T130*(1-$F130)+$S130*(1-$G130))/$L130)*((1+Inputs!$D$7)^BI$2)),((INT(BI$2/$L130)-INT((BI$2-1)/$L130))*($T130*(1-$F130)+$S130*(1-$G130))*((1+Inputs!$D$7)^BI$2))),((_xlfn.WEIBULL.DIST(BI$2,$M130,$L130,FALSE)*($T130*(1-$F130)+$S130*(1-$G130))*((1+Inputs!$D$7)^BI$2))))))</f>
        <v>0</v>
      </c>
      <c r="BJ130" s="88">
        <f>$E130*IF(BJ$2&gt;Inputs!$D$5,0,IF(BJ$2&gt;VLOOKUP($H130,Lists!$P$3:$Q$7,2),IF($N130=Lists!$K$3,IF($L130&lt;1,(($U130/$L130)*((1+Inputs!$D$7)^BJ$2)),((INT(BJ$2/$L130)-INT((BJ$2-1)/$L130))*$U130*((1+Inputs!$D$7)^BJ$2))),(_xlfn.WEIBULL.DIST(BJ$2,$M130,$L130,FALSE)*$U130*((1+Inputs!$D$7)^BJ$2))),IF($N130=Lists!$K$3,IF($L130&lt;1,((($T130*(1-$F130)+$S130*(1-$G130))/$L130)*((1+Inputs!$D$7)^BJ$2)),((INT(BJ$2/$L130)-INT((BJ$2-1)/$L130))*($T130*(1-$F130)+$S130*(1-$G130))*((1+Inputs!$D$7)^BJ$2))),((_xlfn.WEIBULL.DIST(BJ$2,$M130,$L130,FALSE)*($T130*(1-$F130)+$S130*(1-$G130))*((1+Inputs!$D$7)^BJ$2))))))</f>
        <v>0</v>
      </c>
      <c r="BK130" s="88">
        <f>$E130*IF(BK$2&gt;Inputs!$D$5,0,IF(BK$2&gt;VLOOKUP($H130,Lists!$P$3:$Q$7,2),IF($N130=Lists!$K$3,IF($L130&lt;1,(($U130/$L130)*((1+Inputs!$D$7)^BK$2)),((INT(BK$2/$L130)-INT((BK$2-1)/$L130))*$U130*((1+Inputs!$D$7)^BK$2))),(_xlfn.WEIBULL.DIST(BK$2,$M130,$L130,FALSE)*$U130*((1+Inputs!$D$7)^BK$2))),IF($N130=Lists!$K$3,IF($L130&lt;1,((($T130*(1-$F130)+$S130*(1-$G130))/$L130)*((1+Inputs!$D$7)^BK$2)),((INT(BK$2/$L130)-INT((BK$2-1)/$L130))*($T130*(1-$F130)+$S130*(1-$G130))*((1+Inputs!$D$7)^BK$2))),((_xlfn.WEIBULL.DIST(BK$2,$M130,$L130,FALSE)*($T130*(1-$F130)+$S130*(1-$G130))*((1+Inputs!$D$7)^BK$2))))))</f>
        <v>0</v>
      </c>
      <c r="BL130" s="88">
        <f>$E130*IF(BL$2&gt;Inputs!$D$5,0,IF(BL$2&gt;VLOOKUP($H130,Lists!$P$3:$Q$7,2),IF($N130=Lists!$K$3,IF($L130&lt;1,(($U130/$L130)*((1+Inputs!$D$7)^BL$2)),((INT(BL$2/$L130)-INT((BL$2-1)/$L130))*$U130*((1+Inputs!$D$7)^BL$2))),(_xlfn.WEIBULL.DIST(BL$2,$M130,$L130,FALSE)*$U130*((1+Inputs!$D$7)^BL$2))),IF($N130=Lists!$K$3,IF($L130&lt;1,((($T130*(1-$F130)+$S130*(1-$G130))/$L130)*((1+Inputs!$D$7)^BL$2)),((INT(BL$2/$L130)-INT((BL$2-1)/$L130))*($T130*(1-$F130)+$S130*(1-$G130))*((1+Inputs!$D$7)^BL$2))),((_xlfn.WEIBULL.DIST(BL$2,$M130,$L130,FALSE)*($T130*(1-$F130)+$S130*(1-$G130))*((1+Inputs!$D$7)^BL$2))))))</f>
        <v>0</v>
      </c>
      <c r="BM130" s="88">
        <f>$E130*IF(BM$2&gt;Inputs!$D$5,0,IF(BM$2&gt;VLOOKUP($H130,Lists!$P$3:$Q$7,2),IF($N130=Lists!$K$3,IF($L130&lt;1,(($U130/$L130)*((1+Inputs!$D$7)^BM$2)),((INT(BM$2/$L130)-INT((BM$2-1)/$L130))*$U130*((1+Inputs!$D$7)^BM$2))),(_xlfn.WEIBULL.DIST(BM$2,$M130,$L130,FALSE)*$U130*((1+Inputs!$D$7)^BM$2))),IF($N130=Lists!$K$3,IF($L130&lt;1,((($T130*(1-$F130)+$S130*(1-$G130))/$L130)*((1+Inputs!$D$7)^BM$2)),((INT(BM$2/$L130)-INT((BM$2-1)/$L130))*($T130*(1-$F130)+$S130*(1-$G130))*((1+Inputs!$D$7)^BM$2))),((_xlfn.WEIBULL.DIST(BM$2,$M130,$L130,FALSE)*($T130*(1-$F130)+$S130*(1-$G130))*((1+Inputs!$D$7)^BM$2))))))</f>
        <v>0</v>
      </c>
      <c r="BN130" s="88">
        <f>$E130*IF(BN$2&gt;Inputs!$D$5,0,IF(BN$2&gt;VLOOKUP($H130,Lists!$P$3:$Q$7,2),IF($N130=Lists!$K$3,IF($L130&lt;1,(($U130/$L130)*((1+Inputs!$D$7)^BN$2)),((INT(BN$2/$L130)-INT((BN$2-1)/$L130))*$U130*((1+Inputs!$D$7)^BN$2))),(_xlfn.WEIBULL.DIST(BN$2,$M130,$L130,FALSE)*$U130*((1+Inputs!$D$7)^BN$2))),IF($N130=Lists!$K$3,IF($L130&lt;1,((($T130*(1-$F130)+$S130*(1-$G130))/$L130)*((1+Inputs!$D$7)^BN$2)),((INT(BN$2/$L130)-INT((BN$2-1)/$L130))*($T130*(1-$F130)+$S130*(1-$G130))*((1+Inputs!$D$7)^BN$2))),((_xlfn.WEIBULL.DIST(BN$2,$M130,$L130,FALSE)*($T130*(1-$F130)+$S130*(1-$G130))*((1+Inputs!$D$7)^BN$2))))))</f>
        <v>0</v>
      </c>
      <c r="BO130" s="64">
        <f>NPV(Inputs!$D$6,BQ130:DD130)</f>
        <v>0</v>
      </c>
      <c r="BP130" s="67">
        <f t="shared" si="27"/>
        <v>0</v>
      </c>
      <c r="BQ130" s="88">
        <f>MAX(AA130,($E130*IF(BQ$2&gt;Inputs!$D$5,0,IF(BQ$2&gt;VLOOKUP($H130,Lists!$P$3:$Q$7,2),IF($N130=Lists!$K$3,IF($L130&lt;1,(($U130/$L130)*((1+Inputs!$D$7)^BQ$2)),((INT(BQ$2/$L130)-INT((BQ$2-1)/$L130))*$U130*((1+Inputs!$D$7)^BQ$2))),(Inputs!$D$8^((1-_xlfn.WEIBULL.DIST(BQ$2,$M130,$L130,FALSE))/_xlfn.WEIBULL.DIST(BQ$2,$M130,$L130,FALSE))*$U130*((1+Inputs!$D$7)^BQ$2))),IF($N130=Lists!$K$3,IF($L130&lt;1,((($T130*(1-$F130)+$S130*(1-$G130))/$L130)*((1+Inputs!$D$7)^BQ$2)),((INT(BQ$2/$L130)-INT((BQ$2-1)/$L130))*($T130*(1-$F130)+$S130*(1-$G130))*((1+Inputs!$D$7)^BQ$2))),((Inputs!$D$8^((1-_xlfn.WEIBULL.DIST(BQ$2,$M130,$L130,FALSE))/_xlfn.WEIBULL.DIST(BQ$2,$M130,$L130,FALSE))*($T130*(1-$F130)+$S130*(1-$G130))*((1+Inputs!$D$7)^BQ$2))))))))</f>
        <v>0</v>
      </c>
      <c r="BR130" s="88">
        <f>MAX(AB130,($E130*IF(BR$2&gt;Inputs!$D$5,0,IF(BR$2&gt;VLOOKUP($H130,Lists!$P$3:$Q$7,2),IF($N130=Lists!$K$3,IF($L130&lt;1,(($U130/$L130)*((1+Inputs!$D$7)^BR$2)),((INT(BR$2/$L130)-INT((BR$2-1)/$L130))*$U130*((1+Inputs!$D$7)^BR$2))),(Inputs!$D$8^((1-_xlfn.WEIBULL.DIST(BR$2,$M130,$L130,FALSE))/_xlfn.WEIBULL.DIST(BR$2,$M130,$L130,FALSE))*$U130*((1+Inputs!$D$7)^BR$2))),IF($N130=Lists!$K$3,IF($L130&lt;1,((($T130*(1-$F130)+$S130*(1-$G130))/$L130)*((1+Inputs!$D$7)^BR$2)),((INT(BR$2/$L130)-INT((BR$2-1)/$L130))*($T130*(1-$F130)+$S130*(1-$G130))*((1+Inputs!$D$7)^BR$2))),((Inputs!$D$8^((1-_xlfn.WEIBULL.DIST(BR$2,$M130,$L130,FALSE))/_xlfn.WEIBULL.DIST(BR$2,$M130,$L130,FALSE))*($T130*(1-$F130)+$S130*(1-$G130))*((1+Inputs!$D$7)^BR$2))))))))</f>
        <v>0</v>
      </c>
      <c r="BS130" s="88">
        <f>MAX(AC130,($E130*IF(BS$2&gt;Inputs!$D$5,0,IF(BS$2&gt;VLOOKUP($H130,Lists!$P$3:$Q$7,2),IF($N130=Lists!$K$3,IF($L130&lt;1,(($U130/$L130)*((1+Inputs!$D$7)^BS$2)),((INT(BS$2/$L130)-INT((BS$2-1)/$L130))*$U130*((1+Inputs!$D$7)^BS$2))),(Inputs!$D$8^((1-_xlfn.WEIBULL.DIST(BS$2,$M130,$L130,FALSE))/_xlfn.WEIBULL.DIST(BS$2,$M130,$L130,FALSE))*$U130*((1+Inputs!$D$7)^BS$2))),IF($N130=Lists!$K$3,IF($L130&lt;1,((($T130*(1-$F130)+$S130*(1-$G130))/$L130)*((1+Inputs!$D$7)^BS$2)),((INT(BS$2/$L130)-INT((BS$2-1)/$L130))*($T130*(1-$F130)+$S130*(1-$G130))*((1+Inputs!$D$7)^BS$2))),((Inputs!$D$8^((1-_xlfn.WEIBULL.DIST(BS$2,$M130,$L130,FALSE))/_xlfn.WEIBULL.DIST(BS$2,$M130,$L130,FALSE))*($T130*(1-$F130)+$S130*(1-$G130))*((1+Inputs!$D$7)^BS$2))))))))</f>
        <v>0</v>
      </c>
      <c r="BT130" s="88">
        <f>MAX(AD130,($E130*IF(BT$2&gt;Inputs!$D$5,0,IF(BT$2&gt;VLOOKUP($H130,Lists!$P$3:$Q$7,2),IF($N130=Lists!$K$3,IF($L130&lt;1,(($U130/$L130)*((1+Inputs!$D$7)^BT$2)),((INT(BT$2/$L130)-INT((BT$2-1)/$L130))*$U130*((1+Inputs!$D$7)^BT$2))),(Inputs!$D$8^((1-_xlfn.WEIBULL.DIST(BT$2,$M130,$L130,FALSE))/_xlfn.WEIBULL.DIST(BT$2,$M130,$L130,FALSE))*$U130*((1+Inputs!$D$7)^BT$2))),IF($N130=Lists!$K$3,IF($L130&lt;1,((($T130*(1-$F130)+$S130*(1-$G130))/$L130)*((1+Inputs!$D$7)^BT$2)),((INT(BT$2/$L130)-INT((BT$2-1)/$L130))*($T130*(1-$F130)+$S130*(1-$G130))*((1+Inputs!$D$7)^BT$2))),((Inputs!$D$8^((1-_xlfn.WEIBULL.DIST(BT$2,$M130,$L130,FALSE))/_xlfn.WEIBULL.DIST(BT$2,$M130,$L130,FALSE))*($T130*(1-$F130)+$S130*(1-$G130))*((1+Inputs!$D$7)^BT$2))))))))</f>
        <v>0</v>
      </c>
      <c r="BU130" s="88">
        <f>MAX(AE130,($E130*IF(BU$2&gt;Inputs!$D$5,0,IF(BU$2&gt;VLOOKUP($H130,Lists!$P$3:$Q$7,2),IF($N130=Lists!$K$3,IF($L130&lt;1,(($U130/$L130)*((1+Inputs!$D$7)^BU$2)),((INT(BU$2/$L130)-INT((BU$2-1)/$L130))*$U130*((1+Inputs!$D$7)^BU$2))),(Inputs!$D$8^((1-_xlfn.WEIBULL.DIST(BU$2,$M130,$L130,FALSE))/_xlfn.WEIBULL.DIST(BU$2,$M130,$L130,FALSE))*$U130*((1+Inputs!$D$7)^BU$2))),IF($N130=Lists!$K$3,IF($L130&lt;1,((($T130*(1-$F130)+$S130*(1-$G130))/$L130)*((1+Inputs!$D$7)^BU$2)),((INT(BU$2/$L130)-INT((BU$2-1)/$L130))*($T130*(1-$F130)+$S130*(1-$G130))*((1+Inputs!$D$7)^BU$2))),((Inputs!$D$8^((1-_xlfn.WEIBULL.DIST(BU$2,$M130,$L130,FALSE))/_xlfn.WEIBULL.DIST(BU$2,$M130,$L130,FALSE))*($T130*(1-$F130)+$S130*(1-$G130))*((1+Inputs!$D$7)^BU$2))))))))</f>
        <v>0</v>
      </c>
      <c r="BV130" s="88">
        <f>MAX(AF130,($E130*IF(BV$2&gt;Inputs!$D$5,0,IF(BV$2&gt;VLOOKUP($H130,Lists!$P$3:$Q$7,2),IF($N130=Lists!$K$3,IF($L130&lt;1,(($U130/$L130)*((1+Inputs!$D$7)^BV$2)),((INT(BV$2/$L130)-INT((BV$2-1)/$L130))*$U130*((1+Inputs!$D$7)^BV$2))),(Inputs!$D$8^((1-_xlfn.WEIBULL.DIST(BV$2,$M130,$L130,FALSE))/_xlfn.WEIBULL.DIST(BV$2,$M130,$L130,FALSE))*$U130*((1+Inputs!$D$7)^BV$2))),IF($N130=Lists!$K$3,IF($L130&lt;1,((($T130*(1-$F130)+$S130*(1-$G130))/$L130)*((1+Inputs!$D$7)^BV$2)),((INT(BV$2/$L130)-INT((BV$2-1)/$L130))*($T130*(1-$F130)+$S130*(1-$G130))*((1+Inputs!$D$7)^BV$2))),((Inputs!$D$8^((1-_xlfn.WEIBULL.DIST(BV$2,$M130,$L130,FALSE))/_xlfn.WEIBULL.DIST(BV$2,$M130,$L130,FALSE))*($T130*(1-$F130)+$S130*(1-$G130))*((1+Inputs!$D$7)^BV$2))))))))</f>
        <v>0</v>
      </c>
      <c r="BW130" s="88">
        <f>MAX(AG130,($E130*IF(BW$2&gt;Inputs!$D$5,0,IF(BW$2&gt;VLOOKUP($H130,Lists!$P$3:$Q$7,2),IF($N130=Lists!$K$3,IF($L130&lt;1,(($U130/$L130)*((1+Inputs!$D$7)^BW$2)),((INT(BW$2/$L130)-INT((BW$2-1)/$L130))*$U130*((1+Inputs!$D$7)^BW$2))),(Inputs!$D$8^((1-_xlfn.WEIBULL.DIST(BW$2,$M130,$L130,FALSE))/_xlfn.WEIBULL.DIST(BW$2,$M130,$L130,FALSE))*$U130*((1+Inputs!$D$7)^BW$2))),IF($N130=Lists!$K$3,IF($L130&lt;1,((($T130*(1-$F130)+$S130*(1-$G130))/$L130)*((1+Inputs!$D$7)^BW$2)),((INT(BW$2/$L130)-INT((BW$2-1)/$L130))*($T130*(1-$F130)+$S130*(1-$G130))*((1+Inputs!$D$7)^BW$2))),((Inputs!$D$8^((1-_xlfn.WEIBULL.DIST(BW$2,$M130,$L130,FALSE))/_xlfn.WEIBULL.DIST(BW$2,$M130,$L130,FALSE))*($T130*(1-$F130)+$S130*(1-$G130))*((1+Inputs!$D$7)^BW$2))))))))</f>
        <v>0</v>
      </c>
      <c r="BX130" s="88">
        <f>MAX(AH130,($E130*IF(BX$2&gt;Inputs!$D$5,0,IF(BX$2&gt;VLOOKUP($H130,Lists!$P$3:$Q$7,2),IF($N130=Lists!$K$3,IF($L130&lt;1,(($U130/$L130)*((1+Inputs!$D$7)^BX$2)),((INT(BX$2/$L130)-INT((BX$2-1)/$L130))*$U130*((1+Inputs!$D$7)^BX$2))),(Inputs!$D$8^((1-_xlfn.WEIBULL.DIST(BX$2,$M130,$L130,FALSE))/_xlfn.WEIBULL.DIST(BX$2,$M130,$L130,FALSE))*$U130*((1+Inputs!$D$7)^BX$2))),IF($N130=Lists!$K$3,IF($L130&lt;1,((($T130*(1-$F130)+$S130*(1-$G130))/$L130)*((1+Inputs!$D$7)^BX$2)),((INT(BX$2/$L130)-INT((BX$2-1)/$L130))*($T130*(1-$F130)+$S130*(1-$G130))*((1+Inputs!$D$7)^BX$2))),((Inputs!$D$8^((1-_xlfn.WEIBULL.DIST(BX$2,$M130,$L130,FALSE))/_xlfn.WEIBULL.DIST(BX$2,$M130,$L130,FALSE))*($T130*(1-$F130)+$S130*(1-$G130))*((1+Inputs!$D$7)^BX$2))))))))</f>
        <v>0</v>
      </c>
      <c r="BY130" s="88">
        <f>MAX(AI130,($E130*IF(BY$2&gt;Inputs!$D$5,0,IF(BY$2&gt;VLOOKUP($H130,Lists!$P$3:$Q$7,2),IF($N130=Lists!$K$3,IF($L130&lt;1,(($U130/$L130)*((1+Inputs!$D$7)^BY$2)),((INT(BY$2/$L130)-INT((BY$2-1)/$L130))*$U130*((1+Inputs!$D$7)^BY$2))),(Inputs!$D$8^((1-_xlfn.WEIBULL.DIST(BY$2,$M130,$L130,FALSE))/_xlfn.WEIBULL.DIST(BY$2,$M130,$L130,FALSE))*$U130*((1+Inputs!$D$7)^BY$2))),IF($N130=Lists!$K$3,IF($L130&lt;1,((($T130*(1-$F130)+$S130*(1-$G130))/$L130)*((1+Inputs!$D$7)^BY$2)),((INT(BY$2/$L130)-INT((BY$2-1)/$L130))*($T130*(1-$F130)+$S130*(1-$G130))*((1+Inputs!$D$7)^BY$2))),((Inputs!$D$8^((1-_xlfn.WEIBULL.DIST(BY$2,$M130,$L130,FALSE))/_xlfn.WEIBULL.DIST(BY$2,$M130,$L130,FALSE))*($T130*(1-$F130)+$S130*(1-$G130))*((1+Inputs!$D$7)^BY$2))))))))</f>
        <v>0</v>
      </c>
      <c r="BZ130" s="88">
        <f>MAX(AJ130,($E130*IF(BZ$2&gt;Inputs!$D$5,0,IF(BZ$2&gt;VLOOKUP($H130,Lists!$P$3:$Q$7,2),IF($N130=Lists!$K$3,IF($L130&lt;1,(($U130/$L130)*((1+Inputs!$D$7)^BZ$2)),((INT(BZ$2/$L130)-INT((BZ$2-1)/$L130))*$U130*((1+Inputs!$D$7)^BZ$2))),(Inputs!$D$8^((1-_xlfn.WEIBULL.DIST(BZ$2,$M130,$L130,FALSE))/_xlfn.WEIBULL.DIST(BZ$2,$M130,$L130,FALSE))*$U130*((1+Inputs!$D$7)^BZ$2))),IF($N130=Lists!$K$3,IF($L130&lt;1,((($T130*(1-$F130)+$S130*(1-$G130))/$L130)*((1+Inputs!$D$7)^BZ$2)),((INT(BZ$2/$L130)-INT((BZ$2-1)/$L130))*($T130*(1-$F130)+$S130*(1-$G130))*((1+Inputs!$D$7)^BZ$2))),((Inputs!$D$8^((1-_xlfn.WEIBULL.DIST(BZ$2,$M130,$L130,FALSE))/_xlfn.WEIBULL.DIST(BZ$2,$M130,$L130,FALSE))*($T130*(1-$F130)+$S130*(1-$G130))*((1+Inputs!$D$7)^BZ$2))))))))</f>
        <v>0</v>
      </c>
      <c r="CA130" s="88">
        <f>MAX(AK130,($E130*IF(CA$2&gt;Inputs!$D$5,0,IF(CA$2&gt;VLOOKUP($H130,Lists!$P$3:$Q$7,2),IF($N130=Lists!$K$3,IF($L130&lt;1,(($U130/$L130)*((1+Inputs!$D$7)^CA$2)),((INT(CA$2/$L130)-INT((CA$2-1)/$L130))*$U130*((1+Inputs!$D$7)^CA$2))),(Inputs!$D$8^((1-_xlfn.WEIBULL.DIST(CA$2,$M130,$L130,FALSE))/_xlfn.WEIBULL.DIST(CA$2,$M130,$L130,FALSE))*$U130*((1+Inputs!$D$7)^CA$2))),IF($N130=Lists!$K$3,IF($L130&lt;1,((($T130*(1-$F130)+$S130*(1-$G130))/$L130)*((1+Inputs!$D$7)^CA$2)),((INT(CA$2/$L130)-INT((CA$2-1)/$L130))*($T130*(1-$F130)+$S130*(1-$G130))*((1+Inputs!$D$7)^CA$2))),((Inputs!$D$8^((1-_xlfn.WEIBULL.DIST(CA$2,$M130,$L130,FALSE))/_xlfn.WEIBULL.DIST(CA$2,$M130,$L130,FALSE))*($T130*(1-$F130)+$S130*(1-$G130))*((1+Inputs!$D$7)^CA$2))))))))</f>
        <v>0</v>
      </c>
      <c r="CB130" s="88">
        <f>MAX(AL130,($E130*IF(CB$2&gt;Inputs!$D$5,0,IF(CB$2&gt;VLOOKUP($H130,Lists!$P$3:$Q$7,2),IF($N130=Lists!$K$3,IF($L130&lt;1,(($U130/$L130)*((1+Inputs!$D$7)^CB$2)),((INT(CB$2/$L130)-INT((CB$2-1)/$L130))*$U130*((1+Inputs!$D$7)^CB$2))),(Inputs!$D$8^((1-_xlfn.WEIBULL.DIST(CB$2,$M130,$L130,FALSE))/_xlfn.WEIBULL.DIST(CB$2,$M130,$L130,FALSE))*$U130*((1+Inputs!$D$7)^CB$2))),IF($N130=Lists!$K$3,IF($L130&lt;1,((($T130*(1-$F130)+$S130*(1-$G130))/$L130)*((1+Inputs!$D$7)^CB$2)),((INT(CB$2/$L130)-INT((CB$2-1)/$L130))*($T130*(1-$F130)+$S130*(1-$G130))*((1+Inputs!$D$7)^CB$2))),((Inputs!$D$8^((1-_xlfn.WEIBULL.DIST(CB$2,$M130,$L130,FALSE))/_xlfn.WEIBULL.DIST(CB$2,$M130,$L130,FALSE))*($T130*(1-$F130)+$S130*(1-$G130))*((1+Inputs!$D$7)^CB$2))))))))</f>
        <v>0</v>
      </c>
      <c r="CC130" s="88">
        <f>MAX(AM130,($E130*IF(CC$2&gt;Inputs!$D$5,0,IF(CC$2&gt;VLOOKUP($H130,Lists!$P$3:$Q$7,2),IF($N130=Lists!$K$3,IF($L130&lt;1,(($U130/$L130)*((1+Inputs!$D$7)^CC$2)),((INT(CC$2/$L130)-INT((CC$2-1)/$L130))*$U130*((1+Inputs!$D$7)^CC$2))),(Inputs!$D$8^((1-_xlfn.WEIBULL.DIST(CC$2,$M130,$L130,FALSE))/_xlfn.WEIBULL.DIST(CC$2,$M130,$L130,FALSE))*$U130*((1+Inputs!$D$7)^CC$2))),IF($N130=Lists!$K$3,IF($L130&lt;1,((($T130*(1-$F130)+$S130*(1-$G130))/$L130)*((1+Inputs!$D$7)^CC$2)),((INT(CC$2/$L130)-INT((CC$2-1)/$L130))*($T130*(1-$F130)+$S130*(1-$G130))*((1+Inputs!$D$7)^CC$2))),((Inputs!$D$8^((1-_xlfn.WEIBULL.DIST(CC$2,$M130,$L130,FALSE))/_xlfn.WEIBULL.DIST(CC$2,$M130,$L130,FALSE))*($T130*(1-$F130)+$S130*(1-$G130))*((1+Inputs!$D$7)^CC$2))))))))</f>
        <v>0</v>
      </c>
      <c r="CD130" s="88">
        <f>MAX(AN130,($E130*IF(CD$2&gt;Inputs!$D$5,0,IF(CD$2&gt;VLOOKUP($H130,Lists!$P$3:$Q$7,2),IF($N130=Lists!$K$3,IF($L130&lt;1,(($U130/$L130)*((1+Inputs!$D$7)^CD$2)),((INT(CD$2/$L130)-INT((CD$2-1)/$L130))*$U130*((1+Inputs!$D$7)^CD$2))),(Inputs!$D$8^((1-_xlfn.WEIBULL.DIST(CD$2,$M130,$L130,FALSE))/_xlfn.WEIBULL.DIST(CD$2,$M130,$L130,FALSE))*$U130*((1+Inputs!$D$7)^CD$2))),IF($N130=Lists!$K$3,IF($L130&lt;1,((($T130*(1-$F130)+$S130*(1-$G130))/$L130)*((1+Inputs!$D$7)^CD$2)),((INT(CD$2/$L130)-INT((CD$2-1)/$L130))*($T130*(1-$F130)+$S130*(1-$G130))*((1+Inputs!$D$7)^CD$2))),((Inputs!$D$8^((1-_xlfn.WEIBULL.DIST(CD$2,$M130,$L130,FALSE))/_xlfn.WEIBULL.DIST(CD$2,$M130,$L130,FALSE))*($T130*(1-$F130)+$S130*(1-$G130))*((1+Inputs!$D$7)^CD$2))))))))</f>
        <v>0</v>
      </c>
      <c r="CE130" s="88">
        <f>MAX(AO130,($E130*IF(CE$2&gt;Inputs!$D$5,0,IF(CE$2&gt;VLOOKUP($H130,Lists!$P$3:$Q$7,2),IF($N130=Lists!$K$3,IF($L130&lt;1,(($U130/$L130)*((1+Inputs!$D$7)^CE$2)),((INT(CE$2/$L130)-INT((CE$2-1)/$L130))*$U130*((1+Inputs!$D$7)^CE$2))),(Inputs!$D$8^((1-_xlfn.WEIBULL.DIST(CE$2,$M130,$L130,FALSE))/_xlfn.WEIBULL.DIST(CE$2,$M130,$L130,FALSE))*$U130*((1+Inputs!$D$7)^CE$2))),IF($N130=Lists!$K$3,IF($L130&lt;1,((($T130*(1-$F130)+$S130*(1-$G130))/$L130)*((1+Inputs!$D$7)^CE$2)),((INT(CE$2/$L130)-INT((CE$2-1)/$L130))*($T130*(1-$F130)+$S130*(1-$G130))*((1+Inputs!$D$7)^CE$2))),((Inputs!$D$8^((1-_xlfn.WEIBULL.DIST(CE$2,$M130,$L130,FALSE))/_xlfn.WEIBULL.DIST(CE$2,$M130,$L130,FALSE))*($T130*(1-$F130)+$S130*(1-$G130))*((1+Inputs!$D$7)^CE$2))))))))</f>
        <v>0</v>
      </c>
      <c r="CF130" s="88">
        <f>MAX(AP130,($E130*IF(CF$2&gt;Inputs!$D$5,0,IF(CF$2&gt;VLOOKUP($H130,Lists!$P$3:$Q$7,2),IF($N130=Lists!$K$3,IF($L130&lt;1,(($U130/$L130)*((1+Inputs!$D$7)^CF$2)),((INT(CF$2/$L130)-INT((CF$2-1)/$L130))*$U130*((1+Inputs!$D$7)^CF$2))),(Inputs!$D$8^((1-_xlfn.WEIBULL.DIST(CF$2,$M130,$L130,FALSE))/_xlfn.WEIBULL.DIST(CF$2,$M130,$L130,FALSE))*$U130*((1+Inputs!$D$7)^CF$2))),IF($N130=Lists!$K$3,IF($L130&lt;1,((($T130*(1-$F130)+$S130*(1-$G130))/$L130)*((1+Inputs!$D$7)^CF$2)),((INT(CF$2/$L130)-INT((CF$2-1)/$L130))*($T130*(1-$F130)+$S130*(1-$G130))*((1+Inputs!$D$7)^CF$2))),((Inputs!$D$8^((1-_xlfn.WEIBULL.DIST(CF$2,$M130,$L130,FALSE))/_xlfn.WEIBULL.DIST(CF$2,$M130,$L130,FALSE))*($T130*(1-$F130)+$S130*(1-$G130))*((1+Inputs!$D$7)^CF$2))))))))</f>
        <v>0</v>
      </c>
      <c r="CG130" s="88">
        <f>MAX(AQ130,($E130*IF(CG$2&gt;Inputs!$D$5,0,IF(CG$2&gt;VLOOKUP($H130,Lists!$P$3:$Q$7,2),IF($N130=Lists!$K$3,IF($L130&lt;1,(($U130/$L130)*((1+Inputs!$D$7)^CG$2)),((INT(CG$2/$L130)-INT((CG$2-1)/$L130))*$U130*((1+Inputs!$D$7)^CG$2))),(Inputs!$D$8^((1-_xlfn.WEIBULL.DIST(CG$2,$M130,$L130,FALSE))/_xlfn.WEIBULL.DIST(CG$2,$M130,$L130,FALSE))*$U130*((1+Inputs!$D$7)^CG$2))),IF($N130=Lists!$K$3,IF($L130&lt;1,((($T130*(1-$F130)+$S130*(1-$G130))/$L130)*((1+Inputs!$D$7)^CG$2)),((INT(CG$2/$L130)-INT((CG$2-1)/$L130))*($T130*(1-$F130)+$S130*(1-$G130))*((1+Inputs!$D$7)^CG$2))),((Inputs!$D$8^((1-_xlfn.WEIBULL.DIST(CG$2,$M130,$L130,FALSE))/_xlfn.WEIBULL.DIST(CG$2,$M130,$L130,FALSE))*($T130*(1-$F130)+$S130*(1-$G130))*((1+Inputs!$D$7)^CG$2))))))))</f>
        <v>0</v>
      </c>
      <c r="CH130" s="88">
        <f>MAX(AR130,($E130*IF(CH$2&gt;Inputs!$D$5,0,IF(CH$2&gt;VLOOKUP($H130,Lists!$P$3:$Q$7,2),IF($N130=Lists!$K$3,IF($L130&lt;1,(($U130/$L130)*((1+Inputs!$D$7)^CH$2)),((INT(CH$2/$L130)-INT((CH$2-1)/$L130))*$U130*((1+Inputs!$D$7)^CH$2))),(Inputs!$D$8^((1-_xlfn.WEIBULL.DIST(CH$2,$M130,$L130,FALSE))/_xlfn.WEIBULL.DIST(CH$2,$M130,$L130,FALSE))*$U130*((1+Inputs!$D$7)^CH$2))),IF($N130=Lists!$K$3,IF($L130&lt;1,((($T130*(1-$F130)+$S130*(1-$G130))/$L130)*((1+Inputs!$D$7)^CH$2)),((INT(CH$2/$L130)-INT((CH$2-1)/$L130))*($T130*(1-$F130)+$S130*(1-$G130))*((1+Inputs!$D$7)^CH$2))),((Inputs!$D$8^((1-_xlfn.WEIBULL.DIST(CH$2,$M130,$L130,FALSE))/_xlfn.WEIBULL.DIST(CH$2,$M130,$L130,FALSE))*($T130*(1-$F130)+$S130*(1-$G130))*((1+Inputs!$D$7)^CH$2))))))))</f>
        <v>0</v>
      </c>
      <c r="CI130" s="88">
        <f>MAX(AS130,($E130*IF(CI$2&gt;Inputs!$D$5,0,IF(CI$2&gt;VLOOKUP($H130,Lists!$P$3:$Q$7,2),IF($N130=Lists!$K$3,IF($L130&lt;1,(($U130/$L130)*((1+Inputs!$D$7)^CI$2)),((INT(CI$2/$L130)-INT((CI$2-1)/$L130))*$U130*((1+Inputs!$D$7)^CI$2))),(Inputs!$D$8^((1-_xlfn.WEIBULL.DIST(CI$2,$M130,$L130,FALSE))/_xlfn.WEIBULL.DIST(CI$2,$M130,$L130,FALSE))*$U130*((1+Inputs!$D$7)^CI$2))),IF($N130=Lists!$K$3,IF($L130&lt;1,((($T130*(1-$F130)+$S130*(1-$G130))/$L130)*((1+Inputs!$D$7)^CI$2)),((INT(CI$2/$L130)-INT((CI$2-1)/$L130))*($T130*(1-$F130)+$S130*(1-$G130))*((1+Inputs!$D$7)^CI$2))),((Inputs!$D$8^((1-_xlfn.WEIBULL.DIST(CI$2,$M130,$L130,FALSE))/_xlfn.WEIBULL.DIST(CI$2,$M130,$L130,FALSE))*($T130*(1-$F130)+$S130*(1-$G130))*((1+Inputs!$D$7)^CI$2))))))))</f>
        <v>0</v>
      </c>
      <c r="CJ130" s="88">
        <f>MAX(AT130,($E130*IF(CJ$2&gt;Inputs!$D$5,0,IF(CJ$2&gt;VLOOKUP($H130,Lists!$P$3:$Q$7,2),IF($N130=Lists!$K$3,IF($L130&lt;1,(($U130/$L130)*((1+Inputs!$D$7)^CJ$2)),((INT(CJ$2/$L130)-INT((CJ$2-1)/$L130))*$U130*((1+Inputs!$D$7)^CJ$2))),(Inputs!$D$8^((1-_xlfn.WEIBULL.DIST(CJ$2,$M130,$L130,FALSE))/_xlfn.WEIBULL.DIST(CJ$2,$M130,$L130,FALSE))*$U130*((1+Inputs!$D$7)^CJ$2))),IF($N130=Lists!$K$3,IF($L130&lt;1,((($T130*(1-$F130)+$S130*(1-$G130))/$L130)*((1+Inputs!$D$7)^CJ$2)),((INT(CJ$2/$L130)-INT((CJ$2-1)/$L130))*($T130*(1-$F130)+$S130*(1-$G130))*((1+Inputs!$D$7)^CJ$2))),((Inputs!$D$8^((1-_xlfn.WEIBULL.DIST(CJ$2,$M130,$L130,FALSE))/_xlfn.WEIBULL.DIST(CJ$2,$M130,$L130,FALSE))*($T130*(1-$F130)+$S130*(1-$G130))*((1+Inputs!$D$7)^CJ$2))))))))</f>
        <v>0</v>
      </c>
      <c r="CK130" s="88">
        <f>MAX(AU130,($E130*IF(CK$2&gt;Inputs!$D$5,0,IF(CK$2&gt;VLOOKUP($H130,Lists!$P$3:$Q$7,2),IF($N130=Lists!$K$3,IF($L130&lt;1,(($U130/$L130)*((1+Inputs!$D$7)^CK$2)),((INT(CK$2/$L130)-INT((CK$2-1)/$L130))*$U130*((1+Inputs!$D$7)^CK$2))),(Inputs!$D$8^((1-_xlfn.WEIBULL.DIST(CK$2,$M130,$L130,FALSE))/_xlfn.WEIBULL.DIST(CK$2,$M130,$L130,FALSE))*$U130*((1+Inputs!$D$7)^CK$2))),IF($N130=Lists!$K$3,IF($L130&lt;1,((($T130*(1-$F130)+$S130*(1-$G130))/$L130)*((1+Inputs!$D$7)^CK$2)),((INT(CK$2/$L130)-INT((CK$2-1)/$L130))*($T130*(1-$F130)+$S130*(1-$G130))*((1+Inputs!$D$7)^CK$2))),((Inputs!$D$8^((1-_xlfn.WEIBULL.DIST(CK$2,$M130,$L130,FALSE))/_xlfn.WEIBULL.DIST(CK$2,$M130,$L130,FALSE))*($T130*(1-$F130)+$S130*(1-$G130))*((1+Inputs!$D$7)^CK$2))))))))</f>
        <v>0</v>
      </c>
      <c r="CL130" s="88">
        <f>MAX(AV130,($E130*IF(CL$2&gt;Inputs!$D$5,0,IF(CL$2&gt;VLOOKUP($H130,Lists!$P$3:$Q$7,2),IF($N130=Lists!$K$3,IF($L130&lt;1,(($U130/$L130)*((1+Inputs!$D$7)^CL$2)),((INT(CL$2/$L130)-INT((CL$2-1)/$L130))*$U130*((1+Inputs!$D$7)^CL$2))),(Inputs!$D$8^((1-_xlfn.WEIBULL.DIST(CL$2,$M130,$L130,FALSE))/_xlfn.WEIBULL.DIST(CL$2,$M130,$L130,FALSE))*$U130*((1+Inputs!$D$7)^CL$2))),IF($N130=Lists!$K$3,IF($L130&lt;1,((($T130*(1-$F130)+$S130*(1-$G130))/$L130)*((1+Inputs!$D$7)^CL$2)),((INT(CL$2/$L130)-INT((CL$2-1)/$L130))*($T130*(1-$F130)+$S130*(1-$G130))*((1+Inputs!$D$7)^CL$2))),((Inputs!$D$8^((1-_xlfn.WEIBULL.DIST(CL$2,$M130,$L130,FALSE))/_xlfn.WEIBULL.DIST(CL$2,$M130,$L130,FALSE))*($T130*(1-$F130)+$S130*(1-$G130))*((1+Inputs!$D$7)^CL$2))))))))</f>
        <v>0</v>
      </c>
      <c r="CM130" s="88">
        <f>MAX(AW130,($E130*IF(CM$2&gt;Inputs!$D$5,0,IF(CM$2&gt;VLOOKUP($H130,Lists!$P$3:$Q$7,2),IF($N130=Lists!$K$3,IF($L130&lt;1,(($U130/$L130)*((1+Inputs!$D$7)^CM$2)),((INT(CM$2/$L130)-INT((CM$2-1)/$L130))*$U130*((1+Inputs!$D$7)^CM$2))),(Inputs!$D$8^((1-_xlfn.WEIBULL.DIST(CM$2,$M130,$L130,FALSE))/_xlfn.WEIBULL.DIST(CM$2,$M130,$L130,FALSE))*$U130*((1+Inputs!$D$7)^CM$2))),IF($N130=Lists!$K$3,IF($L130&lt;1,((($T130*(1-$F130)+$S130*(1-$G130))/$L130)*((1+Inputs!$D$7)^CM$2)),((INT(CM$2/$L130)-INT((CM$2-1)/$L130))*($T130*(1-$F130)+$S130*(1-$G130))*((1+Inputs!$D$7)^CM$2))),((Inputs!$D$8^((1-_xlfn.WEIBULL.DIST(CM$2,$M130,$L130,FALSE))/_xlfn.WEIBULL.DIST(CM$2,$M130,$L130,FALSE))*($T130*(1-$F130)+$S130*(1-$G130))*((1+Inputs!$D$7)^CM$2))))))))</f>
        <v>0</v>
      </c>
      <c r="CN130" s="88">
        <f>MAX(AX130,($E130*IF(CN$2&gt;Inputs!$D$5,0,IF(CN$2&gt;VLOOKUP($H130,Lists!$P$3:$Q$7,2),IF($N130=Lists!$K$3,IF($L130&lt;1,(($U130/$L130)*((1+Inputs!$D$7)^CN$2)),((INT(CN$2/$L130)-INT((CN$2-1)/$L130))*$U130*((1+Inputs!$D$7)^CN$2))),(Inputs!$D$8^((1-_xlfn.WEIBULL.DIST(CN$2,$M130,$L130,FALSE))/_xlfn.WEIBULL.DIST(CN$2,$M130,$L130,FALSE))*$U130*((1+Inputs!$D$7)^CN$2))),IF($N130=Lists!$K$3,IF($L130&lt;1,((($T130*(1-$F130)+$S130*(1-$G130))/$L130)*((1+Inputs!$D$7)^CN$2)),((INT(CN$2/$L130)-INT((CN$2-1)/$L130))*($T130*(1-$F130)+$S130*(1-$G130))*((1+Inputs!$D$7)^CN$2))),((Inputs!$D$8^((1-_xlfn.WEIBULL.DIST(CN$2,$M130,$L130,FALSE))/_xlfn.WEIBULL.DIST(CN$2,$M130,$L130,FALSE))*($T130*(1-$F130)+$S130*(1-$G130))*((1+Inputs!$D$7)^CN$2))))))))</f>
        <v>0</v>
      </c>
      <c r="CO130" s="88">
        <f>MAX(AY130,($E130*IF(CO$2&gt;Inputs!$D$5,0,IF(CO$2&gt;VLOOKUP($H130,Lists!$P$3:$Q$7,2),IF($N130=Lists!$K$3,IF($L130&lt;1,(($U130/$L130)*((1+Inputs!$D$7)^CO$2)),((INT(CO$2/$L130)-INT((CO$2-1)/$L130))*$U130*((1+Inputs!$D$7)^CO$2))),(Inputs!$D$8^((1-_xlfn.WEIBULL.DIST(CO$2,$M130,$L130,FALSE))/_xlfn.WEIBULL.DIST(CO$2,$M130,$L130,FALSE))*$U130*((1+Inputs!$D$7)^CO$2))),IF($N130=Lists!$K$3,IF($L130&lt;1,((($T130*(1-$F130)+$S130*(1-$G130))/$L130)*((1+Inputs!$D$7)^CO$2)),((INT(CO$2/$L130)-INT((CO$2-1)/$L130))*($T130*(1-$F130)+$S130*(1-$G130))*((1+Inputs!$D$7)^CO$2))),((Inputs!$D$8^((1-_xlfn.WEIBULL.DIST(CO$2,$M130,$L130,FALSE))/_xlfn.WEIBULL.DIST(CO$2,$M130,$L130,FALSE))*($T130*(1-$F130)+$S130*(1-$G130))*((1+Inputs!$D$7)^CO$2))))))))</f>
        <v>0</v>
      </c>
      <c r="CP130" s="88">
        <f>MAX(AZ130,($E130*IF(CP$2&gt;Inputs!$D$5,0,IF(CP$2&gt;VLOOKUP($H130,Lists!$P$3:$Q$7,2),IF($N130=Lists!$K$3,IF($L130&lt;1,(($U130/$L130)*((1+Inputs!$D$7)^CP$2)),((INT(CP$2/$L130)-INT((CP$2-1)/$L130))*$U130*((1+Inputs!$D$7)^CP$2))),(Inputs!$D$8^((1-_xlfn.WEIBULL.DIST(CP$2,$M130,$L130,FALSE))/_xlfn.WEIBULL.DIST(CP$2,$M130,$L130,FALSE))*$U130*((1+Inputs!$D$7)^CP$2))),IF($N130=Lists!$K$3,IF($L130&lt;1,((($T130*(1-$F130)+$S130*(1-$G130))/$L130)*((1+Inputs!$D$7)^CP$2)),((INT(CP$2/$L130)-INT((CP$2-1)/$L130))*($T130*(1-$F130)+$S130*(1-$G130))*((1+Inputs!$D$7)^CP$2))),((Inputs!$D$8^((1-_xlfn.WEIBULL.DIST(CP$2,$M130,$L130,FALSE))/_xlfn.WEIBULL.DIST(CP$2,$M130,$L130,FALSE))*($T130*(1-$F130)+$S130*(1-$G130))*((1+Inputs!$D$7)^CP$2))))))))</f>
        <v>0</v>
      </c>
      <c r="CQ130" s="88">
        <f>MAX(BA130,($E130*IF(CQ$2&gt;Inputs!$D$5,0,IF(CQ$2&gt;VLOOKUP($H130,Lists!$P$3:$Q$7,2),IF($N130=Lists!$K$3,IF($L130&lt;1,(($U130/$L130)*((1+Inputs!$D$7)^CQ$2)),((INT(CQ$2/$L130)-INT((CQ$2-1)/$L130))*$U130*((1+Inputs!$D$7)^CQ$2))),(Inputs!$D$8^((1-_xlfn.WEIBULL.DIST(CQ$2,$M130,$L130,FALSE))/_xlfn.WEIBULL.DIST(CQ$2,$M130,$L130,FALSE))*$U130*((1+Inputs!$D$7)^CQ$2))),IF($N130=Lists!$K$3,IF($L130&lt;1,((($T130*(1-$F130)+$S130*(1-$G130))/$L130)*((1+Inputs!$D$7)^CQ$2)),((INT(CQ$2/$L130)-INT((CQ$2-1)/$L130))*($T130*(1-$F130)+$S130*(1-$G130))*((1+Inputs!$D$7)^CQ$2))),((Inputs!$D$8^((1-_xlfn.WEIBULL.DIST(CQ$2,$M130,$L130,FALSE))/_xlfn.WEIBULL.DIST(CQ$2,$M130,$L130,FALSE))*($T130*(1-$F130)+$S130*(1-$G130))*((1+Inputs!$D$7)^CQ$2))))))))</f>
        <v>0</v>
      </c>
      <c r="CR130" s="88">
        <f>MAX(BB130,($E130*IF(CR$2&gt;Inputs!$D$5,0,IF(CR$2&gt;VLOOKUP($H130,Lists!$P$3:$Q$7,2),IF($N130=Lists!$K$3,IF($L130&lt;1,(($U130/$L130)*((1+Inputs!$D$7)^CR$2)),((INT(CR$2/$L130)-INT((CR$2-1)/$L130))*$U130*((1+Inputs!$D$7)^CR$2))),(Inputs!$D$8^((1-_xlfn.WEIBULL.DIST(CR$2,$M130,$L130,FALSE))/_xlfn.WEIBULL.DIST(CR$2,$M130,$L130,FALSE))*$U130*((1+Inputs!$D$7)^CR$2))),IF($N130=Lists!$K$3,IF($L130&lt;1,((($T130*(1-$F130)+$S130*(1-$G130))/$L130)*((1+Inputs!$D$7)^CR$2)),((INT(CR$2/$L130)-INT((CR$2-1)/$L130))*($T130*(1-$F130)+$S130*(1-$G130))*((1+Inputs!$D$7)^CR$2))),((Inputs!$D$8^((1-_xlfn.WEIBULL.DIST(CR$2,$M130,$L130,FALSE))/_xlfn.WEIBULL.DIST(CR$2,$M130,$L130,FALSE))*($T130*(1-$F130)+$S130*(1-$G130))*((1+Inputs!$D$7)^CR$2))))))))</f>
        <v>0</v>
      </c>
      <c r="CS130" s="88">
        <f>MAX(BC130,($E130*IF(CS$2&gt;Inputs!$D$5,0,IF(CS$2&gt;VLOOKUP($H130,Lists!$P$3:$Q$7,2),IF($N130=Lists!$K$3,IF($L130&lt;1,(($U130/$L130)*((1+Inputs!$D$7)^CS$2)),((INT(CS$2/$L130)-INT((CS$2-1)/$L130))*$U130*((1+Inputs!$D$7)^CS$2))),(Inputs!$D$8^((1-_xlfn.WEIBULL.DIST(CS$2,$M130,$L130,FALSE))/_xlfn.WEIBULL.DIST(CS$2,$M130,$L130,FALSE))*$U130*((1+Inputs!$D$7)^CS$2))),IF($N130=Lists!$K$3,IF($L130&lt;1,((($T130*(1-$F130)+$S130*(1-$G130))/$L130)*((1+Inputs!$D$7)^CS$2)),((INT(CS$2/$L130)-INT((CS$2-1)/$L130))*($T130*(1-$F130)+$S130*(1-$G130))*((1+Inputs!$D$7)^CS$2))),((Inputs!$D$8^((1-_xlfn.WEIBULL.DIST(CS$2,$M130,$L130,FALSE))/_xlfn.WEIBULL.DIST(CS$2,$M130,$L130,FALSE))*($T130*(1-$F130)+$S130*(1-$G130))*((1+Inputs!$D$7)^CS$2))))))))</f>
        <v>0</v>
      </c>
      <c r="CT130" s="88">
        <f>MAX(BD130,($E130*IF(CT$2&gt;Inputs!$D$5,0,IF(CT$2&gt;VLOOKUP($H130,Lists!$P$3:$Q$7,2),IF($N130=Lists!$K$3,IF($L130&lt;1,(($U130/$L130)*((1+Inputs!$D$7)^CT$2)),((INT(CT$2/$L130)-INT((CT$2-1)/$L130))*$U130*((1+Inputs!$D$7)^CT$2))),(Inputs!$D$8^((1-_xlfn.WEIBULL.DIST(CT$2,$M130,$L130,FALSE))/_xlfn.WEIBULL.DIST(CT$2,$M130,$L130,FALSE))*$U130*((1+Inputs!$D$7)^CT$2))),IF($N130=Lists!$K$3,IF($L130&lt;1,((($T130*(1-$F130)+$S130*(1-$G130))/$L130)*((1+Inputs!$D$7)^CT$2)),((INT(CT$2/$L130)-INT((CT$2-1)/$L130))*($T130*(1-$F130)+$S130*(1-$G130))*((1+Inputs!$D$7)^CT$2))),((Inputs!$D$8^((1-_xlfn.WEIBULL.DIST(CT$2,$M130,$L130,FALSE))/_xlfn.WEIBULL.DIST(CT$2,$M130,$L130,FALSE))*($T130*(1-$F130)+$S130*(1-$G130))*((1+Inputs!$D$7)^CT$2))))))))</f>
        <v>0</v>
      </c>
      <c r="CU130" s="88">
        <f>MAX(BE130,($E130*IF(CU$2&gt;Inputs!$D$5,0,IF(CU$2&gt;VLOOKUP($H130,Lists!$P$3:$Q$7,2),IF($N130=Lists!$K$3,IF($L130&lt;1,(($U130/$L130)*((1+Inputs!$D$7)^CU$2)),((INT(CU$2/$L130)-INT((CU$2-1)/$L130))*$U130*((1+Inputs!$D$7)^CU$2))),(Inputs!$D$8^((1-_xlfn.WEIBULL.DIST(CU$2,$M130,$L130,FALSE))/_xlfn.WEIBULL.DIST(CU$2,$M130,$L130,FALSE))*$U130*((1+Inputs!$D$7)^CU$2))),IF($N130=Lists!$K$3,IF($L130&lt;1,((($T130*(1-$F130)+$S130*(1-$G130))/$L130)*((1+Inputs!$D$7)^CU$2)),((INT(CU$2/$L130)-INT((CU$2-1)/$L130))*($T130*(1-$F130)+$S130*(1-$G130))*((1+Inputs!$D$7)^CU$2))),((Inputs!$D$8^((1-_xlfn.WEIBULL.DIST(CU$2,$M130,$L130,FALSE))/_xlfn.WEIBULL.DIST(CU$2,$M130,$L130,FALSE))*($T130*(1-$F130)+$S130*(1-$G130))*((1+Inputs!$D$7)^CU$2))))))))</f>
        <v>0</v>
      </c>
      <c r="CV130" s="88">
        <f>MAX(BF130,($E130*IF(CV$2&gt;Inputs!$D$5,0,IF(CV$2&gt;VLOOKUP($H130,Lists!$P$3:$Q$7,2),IF($N130=Lists!$K$3,IF($L130&lt;1,(($U130/$L130)*((1+Inputs!$D$7)^CV$2)),((INT(CV$2/$L130)-INT((CV$2-1)/$L130))*$U130*((1+Inputs!$D$7)^CV$2))),(Inputs!$D$8^((1-_xlfn.WEIBULL.DIST(CV$2,$M130,$L130,FALSE))/_xlfn.WEIBULL.DIST(CV$2,$M130,$L130,FALSE))*$U130*((1+Inputs!$D$7)^CV$2))),IF($N130=Lists!$K$3,IF($L130&lt;1,((($T130*(1-$F130)+$S130*(1-$G130))/$L130)*((1+Inputs!$D$7)^CV$2)),((INT(CV$2/$L130)-INT((CV$2-1)/$L130))*($T130*(1-$F130)+$S130*(1-$G130))*((1+Inputs!$D$7)^CV$2))),((Inputs!$D$8^((1-_xlfn.WEIBULL.DIST(CV$2,$M130,$L130,FALSE))/_xlfn.WEIBULL.DIST(CV$2,$M130,$L130,FALSE))*($T130*(1-$F130)+$S130*(1-$G130))*((1+Inputs!$D$7)^CV$2))))))))</f>
        <v>0</v>
      </c>
      <c r="CW130" s="88">
        <f>MAX(BG130,($E130*IF(CW$2&gt;Inputs!$D$5,0,IF(CW$2&gt;VLOOKUP($H130,Lists!$P$3:$Q$7,2),IF($N130=Lists!$K$3,IF($L130&lt;1,(($U130/$L130)*((1+Inputs!$D$7)^CW$2)),((INT(CW$2/$L130)-INT((CW$2-1)/$L130))*$U130*((1+Inputs!$D$7)^CW$2))),(Inputs!$D$8^((1-_xlfn.WEIBULL.DIST(CW$2,$M130,$L130,FALSE))/_xlfn.WEIBULL.DIST(CW$2,$M130,$L130,FALSE))*$U130*((1+Inputs!$D$7)^CW$2))),IF($N130=Lists!$K$3,IF($L130&lt;1,((($T130*(1-$F130)+$S130*(1-$G130))/$L130)*((1+Inputs!$D$7)^CW$2)),((INT(CW$2/$L130)-INT((CW$2-1)/$L130))*($T130*(1-$F130)+$S130*(1-$G130))*((1+Inputs!$D$7)^CW$2))),((Inputs!$D$8^((1-_xlfn.WEIBULL.DIST(CW$2,$M130,$L130,FALSE))/_xlfn.WEIBULL.DIST(CW$2,$M130,$L130,FALSE))*($T130*(1-$F130)+$S130*(1-$G130))*((1+Inputs!$D$7)^CW$2))))))))</f>
        <v>0</v>
      </c>
      <c r="CX130" s="88">
        <f>MAX(BH130,($E130*IF(CX$2&gt;Inputs!$D$5,0,IF(CX$2&gt;VLOOKUP($H130,Lists!$P$3:$Q$7,2),IF($N130=Lists!$K$3,IF($L130&lt;1,(($U130/$L130)*((1+Inputs!$D$7)^CX$2)),((INT(CX$2/$L130)-INT((CX$2-1)/$L130))*$U130*((1+Inputs!$D$7)^CX$2))),(Inputs!$D$8^((1-_xlfn.WEIBULL.DIST(CX$2,$M130,$L130,FALSE))/_xlfn.WEIBULL.DIST(CX$2,$M130,$L130,FALSE))*$U130*((1+Inputs!$D$7)^CX$2))),IF($N130=Lists!$K$3,IF($L130&lt;1,((($T130*(1-$F130)+$S130*(1-$G130))/$L130)*((1+Inputs!$D$7)^CX$2)),((INT(CX$2/$L130)-INT((CX$2-1)/$L130))*($T130*(1-$F130)+$S130*(1-$G130))*((1+Inputs!$D$7)^CX$2))),((Inputs!$D$8^((1-_xlfn.WEIBULL.DIST(CX$2,$M130,$L130,FALSE))/_xlfn.WEIBULL.DIST(CX$2,$M130,$L130,FALSE))*($T130*(1-$F130)+$S130*(1-$G130))*((1+Inputs!$D$7)^CX$2))))))))</f>
        <v>0</v>
      </c>
      <c r="CY130" s="88">
        <f>MAX(BI130,($E130*IF(CY$2&gt;Inputs!$D$5,0,IF(CY$2&gt;VLOOKUP($H130,Lists!$P$3:$Q$7,2),IF($N130=Lists!$K$3,IF($L130&lt;1,(($U130/$L130)*((1+Inputs!$D$7)^CY$2)),((INT(CY$2/$L130)-INT((CY$2-1)/$L130))*$U130*((1+Inputs!$D$7)^CY$2))),(Inputs!$D$8^((1-_xlfn.WEIBULL.DIST(CY$2,$M130,$L130,FALSE))/_xlfn.WEIBULL.DIST(CY$2,$M130,$L130,FALSE))*$U130*((1+Inputs!$D$7)^CY$2))),IF($N130=Lists!$K$3,IF($L130&lt;1,((($T130*(1-$F130)+$S130*(1-$G130))/$L130)*((1+Inputs!$D$7)^CY$2)),((INT(CY$2/$L130)-INT((CY$2-1)/$L130))*($T130*(1-$F130)+$S130*(1-$G130))*((1+Inputs!$D$7)^CY$2))),((Inputs!$D$8^((1-_xlfn.WEIBULL.DIST(CY$2,$M130,$L130,FALSE))/_xlfn.WEIBULL.DIST(CY$2,$M130,$L130,FALSE))*($T130*(1-$F130)+$S130*(1-$G130))*((1+Inputs!$D$7)^CY$2))))))))</f>
        <v>0</v>
      </c>
      <c r="CZ130" s="88">
        <f>MAX(BJ130,($E130*IF(CZ$2&gt;Inputs!$D$5,0,IF(CZ$2&gt;VLOOKUP($H130,Lists!$P$3:$Q$7,2),IF($N130=Lists!$K$3,IF($L130&lt;1,(($U130/$L130)*((1+Inputs!$D$7)^CZ$2)),((INT(CZ$2/$L130)-INT((CZ$2-1)/$L130))*$U130*((1+Inputs!$D$7)^CZ$2))),(Inputs!$D$8^((1-_xlfn.WEIBULL.DIST(CZ$2,$M130,$L130,FALSE))/_xlfn.WEIBULL.DIST(CZ$2,$M130,$L130,FALSE))*$U130*((1+Inputs!$D$7)^CZ$2))),IF($N130=Lists!$K$3,IF($L130&lt;1,((($T130*(1-$F130)+$S130*(1-$G130))/$L130)*((1+Inputs!$D$7)^CZ$2)),((INT(CZ$2/$L130)-INT((CZ$2-1)/$L130))*($T130*(1-$F130)+$S130*(1-$G130))*((1+Inputs!$D$7)^CZ$2))),((Inputs!$D$8^((1-_xlfn.WEIBULL.DIST(CZ$2,$M130,$L130,FALSE))/_xlfn.WEIBULL.DIST(CZ$2,$M130,$L130,FALSE))*($T130*(1-$F130)+$S130*(1-$G130))*((1+Inputs!$D$7)^CZ$2))))))))</f>
        <v>0</v>
      </c>
      <c r="DA130" s="88">
        <f>MAX(BK130,($E130*IF(DA$2&gt;Inputs!$D$5,0,IF(DA$2&gt;VLOOKUP($H130,Lists!$P$3:$Q$7,2),IF($N130=Lists!$K$3,IF($L130&lt;1,(($U130/$L130)*((1+Inputs!$D$7)^DA$2)),((INT(DA$2/$L130)-INT((DA$2-1)/$L130))*$U130*((1+Inputs!$D$7)^DA$2))),(Inputs!$D$8^((1-_xlfn.WEIBULL.DIST(DA$2,$M130,$L130,FALSE))/_xlfn.WEIBULL.DIST(DA$2,$M130,$L130,FALSE))*$U130*((1+Inputs!$D$7)^DA$2))),IF($N130=Lists!$K$3,IF($L130&lt;1,((($T130*(1-$F130)+$S130*(1-$G130))/$L130)*((1+Inputs!$D$7)^DA$2)),((INT(DA$2/$L130)-INT((DA$2-1)/$L130))*($T130*(1-$F130)+$S130*(1-$G130))*((1+Inputs!$D$7)^DA$2))),((Inputs!$D$8^((1-_xlfn.WEIBULL.DIST(DA$2,$M130,$L130,FALSE))/_xlfn.WEIBULL.DIST(DA$2,$M130,$L130,FALSE))*($T130*(1-$F130)+$S130*(1-$G130))*((1+Inputs!$D$7)^DA$2))))))))</f>
        <v>0</v>
      </c>
      <c r="DB130" s="88">
        <f>MAX(BL130,($E130*IF(DB$2&gt;Inputs!$D$5,0,IF(DB$2&gt;VLOOKUP($H130,Lists!$P$3:$Q$7,2),IF($N130=Lists!$K$3,IF($L130&lt;1,(($U130/$L130)*((1+Inputs!$D$7)^DB$2)),((INT(DB$2/$L130)-INT((DB$2-1)/$L130))*$U130*((1+Inputs!$D$7)^DB$2))),(Inputs!$D$8^((1-_xlfn.WEIBULL.DIST(DB$2,$M130,$L130,FALSE))/_xlfn.WEIBULL.DIST(DB$2,$M130,$L130,FALSE))*$U130*((1+Inputs!$D$7)^DB$2))),IF($N130=Lists!$K$3,IF($L130&lt;1,((($T130*(1-$F130)+$S130*(1-$G130))/$L130)*((1+Inputs!$D$7)^DB$2)),((INT(DB$2/$L130)-INT((DB$2-1)/$L130))*($T130*(1-$F130)+$S130*(1-$G130))*((1+Inputs!$D$7)^DB$2))),((Inputs!$D$8^((1-_xlfn.WEIBULL.DIST(DB$2,$M130,$L130,FALSE))/_xlfn.WEIBULL.DIST(DB$2,$M130,$L130,FALSE))*($T130*(1-$F130)+$S130*(1-$G130))*((1+Inputs!$D$7)^DB$2))))))))</f>
        <v>0</v>
      </c>
      <c r="DC130" s="88">
        <f>MAX(BM130,($E130*IF(DC$2&gt;Inputs!$D$5,0,IF(DC$2&gt;VLOOKUP($H130,Lists!$P$3:$Q$7,2),IF($N130=Lists!$K$3,IF($L130&lt;1,(($U130/$L130)*((1+Inputs!$D$7)^DC$2)),((INT(DC$2/$L130)-INT((DC$2-1)/$L130))*$U130*((1+Inputs!$D$7)^DC$2))),(Inputs!$D$8^((1-_xlfn.WEIBULL.DIST(DC$2,$M130,$L130,FALSE))/_xlfn.WEIBULL.DIST(DC$2,$M130,$L130,FALSE))*$U130*((1+Inputs!$D$7)^DC$2))),IF($N130=Lists!$K$3,IF($L130&lt;1,((($T130*(1-$F130)+$S130*(1-$G130))/$L130)*((1+Inputs!$D$7)^DC$2)),((INT(DC$2/$L130)-INT((DC$2-1)/$L130))*($T130*(1-$F130)+$S130*(1-$G130))*((1+Inputs!$D$7)^DC$2))),((Inputs!$D$8^((1-_xlfn.WEIBULL.DIST(DC$2,$M130,$L130,FALSE))/_xlfn.WEIBULL.DIST(DC$2,$M130,$L130,FALSE))*($T130*(1-$F130)+$S130*(1-$G130))*((1+Inputs!$D$7)^DC$2))))))))</f>
        <v>0</v>
      </c>
      <c r="DD130" s="88">
        <f>MAX(BN130,($E130*IF(DD$2&gt;Inputs!$D$5,0,IF(DD$2&gt;VLOOKUP($H130,Lists!$P$3:$Q$7,2),IF($N130=Lists!$K$3,IF($L130&lt;1,(($U130/$L130)*((1+Inputs!$D$7)^DD$2)),((INT(DD$2/$L130)-INT((DD$2-1)/$L130))*$U130*((1+Inputs!$D$7)^DD$2))),(Inputs!$D$8^((1-_xlfn.WEIBULL.DIST(DD$2,$M130,$L130,FALSE))/_xlfn.WEIBULL.DIST(DD$2,$M130,$L130,FALSE))*$U130*((1+Inputs!$D$7)^DD$2))),IF($N130=Lists!$K$3,IF($L130&lt;1,((($T130*(1-$F130)+$S130*(1-$G130))/$L130)*((1+Inputs!$D$7)^DD$2)),((INT(DD$2/$L130)-INT((DD$2-1)/$L130))*($T130*(1-$F130)+$S130*(1-$G130))*((1+Inputs!$D$7)^DD$2))),((Inputs!$D$8^((1-_xlfn.WEIBULL.DIST(DD$2,$M130,$L130,FALSE))/_xlfn.WEIBULL.DIST(DD$2,$M130,$L130,FALSE))*($T130*(1-$F130)+$S130*(1-$G130))*((1+Inputs!$D$7)^DD$2))))))))</f>
        <v>0</v>
      </c>
    </row>
    <row r="131" spans="1:108" ht="16">
      <c r="A131" s="57" t="s">
        <v>12</v>
      </c>
      <c r="B131" s="13" t="s">
        <v>279</v>
      </c>
      <c r="C131" s="13" t="s">
        <v>90</v>
      </c>
      <c r="D131" s="13" t="s">
        <v>37</v>
      </c>
      <c r="E131" s="89">
        <f>IF(Inputs!$D$54=Lists!$AA$3,0,1)</f>
        <v>1</v>
      </c>
      <c r="F131" s="48">
        <v>0</v>
      </c>
      <c r="G131" s="48">
        <v>0</v>
      </c>
      <c r="H131" s="105" t="s">
        <v>350</v>
      </c>
      <c r="I131" s="14" t="s">
        <v>23</v>
      </c>
      <c r="J131" s="14" t="s">
        <v>246</v>
      </c>
      <c r="K131" s="13">
        <f>VLOOKUP(J131,'Labor Rates'!$A$1:$F$16,2)</f>
        <v>33.119999999999997</v>
      </c>
      <c r="L131" s="15">
        <v>1</v>
      </c>
      <c r="M131" s="15">
        <v>1</v>
      </c>
      <c r="N131" s="13" t="s">
        <v>236</v>
      </c>
      <c r="O131" s="61">
        <f>Inputs!$D$53*E131</f>
        <v>163.9344262295082</v>
      </c>
      <c r="P131" s="15">
        <f>1/60</f>
        <v>1.6666666666666666E-2</v>
      </c>
      <c r="Q131" s="15">
        <f t="shared" ref="Q131:Q136" si="28">O131*P131/L131</f>
        <v>2.7322404371584699</v>
      </c>
      <c r="R131" s="4">
        <v>0</v>
      </c>
      <c r="S131" s="53">
        <f t="shared" ref="S131:S136" si="29">P131*O131*K131</f>
        <v>90.491803278688522</v>
      </c>
      <c r="T131" s="53">
        <f t="shared" ref="T131:T136" si="30">R131*O131</f>
        <v>0</v>
      </c>
      <c r="U131" s="54">
        <f t="shared" ref="U131:U136" si="31">E131*(T131+S131)</f>
        <v>90.491803278688522</v>
      </c>
      <c r="V131" s="65"/>
      <c r="W131" s="58"/>
      <c r="X131" s="64">
        <f t="shared" ref="X131:X136" si="32">AVERAGE(AA131:AT131)</f>
        <v>112.13435320969367</v>
      </c>
      <c r="Y131" s="64">
        <f>NPV(Inputs!$D$6,AA131:BN131)</f>
        <v>1288.0134328074041</v>
      </c>
      <c r="Z131" s="67">
        <f t="shared" ref="Z131:Z136" si="33">Y131/SUM($Y$3:$Y$136)</f>
        <v>6.0749001663957635E-4</v>
      </c>
      <c r="AA131" s="88">
        <f>$E131*IF(AA$2&gt;Inputs!$D$5,0,IF(AA$2&gt;VLOOKUP($H131,Lists!$P$3:$Q$7,2),IF($N131=Lists!$K$3,IF($L131&lt;1,(($U131/$L131)*((1+Inputs!$D$7)^AA$2)),((INT(AA$2/$L131)-INT((AA$2-1)/$L131))*$U131*((1+Inputs!$D$7)^AA$2))),(_xlfn.WEIBULL.DIST(AA$2,$M131,$L131,FALSE)*$U131*((1+Inputs!$D$7)^AA$2))),IF($N131=Lists!$K$3,IF($L131&lt;1,((($T131*(1-$F131)+$S131*(1-$G131))/$L131)*((1+Inputs!$D$7)^AA$2)),((INT(AA$2/$L131)-INT((AA$2-1)/$L131))*($T131*(1-$F131)+$S131*(1-$G131))*((1+Inputs!$D$7)^AA$2))),((_xlfn.WEIBULL.DIST(AA$2,$M131,$L131,FALSE)*($T131*(1-$F131)+$S131*(1-$G131))*((1+Inputs!$D$7)^AA$2))))))</f>
        <v>92.301639344262298</v>
      </c>
      <c r="AB131" s="88">
        <f>$E131*IF(AB$2&gt;Inputs!$D$5,0,IF(AB$2&gt;VLOOKUP($H131,Lists!$P$3:$Q$7,2),IF($N131=Lists!$K$3,IF($L131&lt;1,(($U131/$L131)*((1+Inputs!$D$7)^AB$2)),((INT(AB$2/$L131)-INT((AB$2-1)/$L131))*$U131*((1+Inputs!$D$7)^AB$2))),(_xlfn.WEIBULL.DIST(AB$2,$M131,$L131,FALSE)*$U131*((1+Inputs!$D$7)^AB$2))),IF($N131=Lists!$K$3,IF($L131&lt;1,((($T131*(1-$F131)+$S131*(1-$G131))/$L131)*((1+Inputs!$D$7)^AB$2)),((INT(AB$2/$L131)-INT((AB$2-1)/$L131))*($T131*(1-$F131)+$S131*(1-$G131))*((1+Inputs!$D$7)^AB$2))),((_xlfn.WEIBULL.DIST(AB$2,$M131,$L131,FALSE)*($T131*(1-$F131)+$S131*(1-$G131))*((1+Inputs!$D$7)^AB$2))))))</f>
        <v>94.147672131147544</v>
      </c>
      <c r="AC131" s="88">
        <f>$E131*IF(AC$2&gt;Inputs!$D$5,0,IF(AC$2&gt;VLOOKUP($H131,Lists!$P$3:$Q$7,2),IF($N131=Lists!$K$3,IF($L131&lt;1,(($U131/$L131)*((1+Inputs!$D$7)^AC$2)),((INT(AC$2/$L131)-INT((AC$2-1)/$L131))*$U131*((1+Inputs!$D$7)^AC$2))),(_xlfn.WEIBULL.DIST(AC$2,$M131,$L131,FALSE)*$U131*((1+Inputs!$D$7)^AC$2))),IF($N131=Lists!$K$3,IF($L131&lt;1,((($T131*(1-$F131)+$S131*(1-$G131))/$L131)*((1+Inputs!$D$7)^AC$2)),((INT(AC$2/$L131)-INT((AC$2-1)/$L131))*($T131*(1-$F131)+$S131*(1-$G131))*((1+Inputs!$D$7)^AC$2))),((_xlfn.WEIBULL.DIST(AC$2,$M131,$L131,FALSE)*($T131*(1-$F131)+$S131*(1-$G131))*((1+Inputs!$D$7)^AC$2))))))</f>
        <v>96.030625573770479</v>
      </c>
      <c r="AD131" s="88">
        <f>$E131*IF(AD$2&gt;Inputs!$D$5,0,IF(AD$2&gt;VLOOKUP($H131,Lists!$P$3:$Q$7,2),IF($N131=Lists!$K$3,IF($L131&lt;1,(($U131/$L131)*((1+Inputs!$D$7)^AD$2)),((INT(AD$2/$L131)-INT((AD$2-1)/$L131))*$U131*((1+Inputs!$D$7)^AD$2))),(_xlfn.WEIBULL.DIST(AD$2,$M131,$L131,FALSE)*$U131*((1+Inputs!$D$7)^AD$2))),IF($N131=Lists!$K$3,IF($L131&lt;1,((($T131*(1-$F131)+$S131*(1-$G131))/$L131)*((1+Inputs!$D$7)^AD$2)),((INT(AD$2/$L131)-INT((AD$2-1)/$L131))*($T131*(1-$F131)+$S131*(1-$G131))*((1+Inputs!$D$7)^AD$2))),((_xlfn.WEIBULL.DIST(AD$2,$M131,$L131,FALSE)*($T131*(1-$F131)+$S131*(1-$G131))*((1+Inputs!$D$7)^AD$2))))))</f>
        <v>97.95123808524589</v>
      </c>
      <c r="AE131" s="88">
        <f>$E131*IF(AE$2&gt;Inputs!$D$5,0,IF(AE$2&gt;VLOOKUP($H131,Lists!$P$3:$Q$7,2),IF($N131=Lists!$K$3,IF($L131&lt;1,(($U131/$L131)*((1+Inputs!$D$7)^AE$2)),((INT(AE$2/$L131)-INT((AE$2-1)/$L131))*$U131*((1+Inputs!$D$7)^AE$2))),(_xlfn.WEIBULL.DIST(AE$2,$M131,$L131,FALSE)*$U131*((1+Inputs!$D$7)^AE$2))),IF($N131=Lists!$K$3,IF($L131&lt;1,((($T131*(1-$F131)+$S131*(1-$G131))/$L131)*((1+Inputs!$D$7)^AE$2)),((INT(AE$2/$L131)-INT((AE$2-1)/$L131))*($T131*(1-$F131)+$S131*(1-$G131))*((1+Inputs!$D$7)^AE$2))),((_xlfn.WEIBULL.DIST(AE$2,$M131,$L131,FALSE)*($T131*(1-$F131)+$S131*(1-$G131))*((1+Inputs!$D$7)^AE$2))))))</f>
        <v>99.910262846950815</v>
      </c>
      <c r="AF131" s="88">
        <f>$E131*IF(AF$2&gt;Inputs!$D$5,0,IF(AF$2&gt;VLOOKUP($H131,Lists!$P$3:$Q$7,2),IF($N131=Lists!$K$3,IF($L131&lt;1,(($U131/$L131)*((1+Inputs!$D$7)^AF$2)),((INT(AF$2/$L131)-INT((AF$2-1)/$L131))*$U131*((1+Inputs!$D$7)^AF$2))),(_xlfn.WEIBULL.DIST(AF$2,$M131,$L131,FALSE)*$U131*((1+Inputs!$D$7)^AF$2))),IF($N131=Lists!$K$3,IF($L131&lt;1,((($T131*(1-$F131)+$S131*(1-$G131))/$L131)*((1+Inputs!$D$7)^AF$2)),((INT(AF$2/$L131)-INT((AF$2-1)/$L131))*($T131*(1-$F131)+$S131*(1-$G131))*((1+Inputs!$D$7)^AF$2))),((_xlfn.WEIBULL.DIST(AF$2,$M131,$L131,FALSE)*($T131*(1-$F131)+$S131*(1-$G131))*((1+Inputs!$D$7)^AF$2))))))</f>
        <v>101.90846810388985</v>
      </c>
      <c r="AG131" s="88">
        <f>$E131*IF(AG$2&gt;Inputs!$D$5,0,IF(AG$2&gt;VLOOKUP($H131,Lists!$P$3:$Q$7,2),IF($N131=Lists!$K$3,IF($L131&lt;1,(($U131/$L131)*((1+Inputs!$D$7)^AG$2)),((INT(AG$2/$L131)-INT((AG$2-1)/$L131))*$U131*((1+Inputs!$D$7)^AG$2))),(_xlfn.WEIBULL.DIST(AG$2,$M131,$L131,FALSE)*$U131*((1+Inputs!$D$7)^AG$2))),IF($N131=Lists!$K$3,IF($L131&lt;1,((($T131*(1-$F131)+$S131*(1-$G131))/$L131)*((1+Inputs!$D$7)^AG$2)),((INT(AG$2/$L131)-INT((AG$2-1)/$L131))*($T131*(1-$F131)+$S131*(1-$G131))*((1+Inputs!$D$7)^AG$2))),((_xlfn.WEIBULL.DIST(AG$2,$M131,$L131,FALSE)*($T131*(1-$F131)+$S131*(1-$G131))*((1+Inputs!$D$7)^AG$2))))))</f>
        <v>103.94663746596761</v>
      </c>
      <c r="AH131" s="88">
        <f>$E131*IF(AH$2&gt;Inputs!$D$5,0,IF(AH$2&gt;VLOOKUP($H131,Lists!$P$3:$Q$7,2),IF($N131=Lists!$K$3,IF($L131&lt;1,(($U131/$L131)*((1+Inputs!$D$7)^AH$2)),((INT(AH$2/$L131)-INT((AH$2-1)/$L131))*$U131*((1+Inputs!$D$7)^AH$2))),(_xlfn.WEIBULL.DIST(AH$2,$M131,$L131,FALSE)*$U131*((1+Inputs!$D$7)^AH$2))),IF($N131=Lists!$K$3,IF($L131&lt;1,((($T131*(1-$F131)+$S131*(1-$G131))/$L131)*((1+Inputs!$D$7)^AH$2)),((INT(AH$2/$L131)-INT((AH$2-1)/$L131))*($T131*(1-$F131)+$S131*(1-$G131))*((1+Inputs!$D$7)^AH$2))),((_xlfn.WEIBULL.DIST(AH$2,$M131,$L131,FALSE)*($T131*(1-$F131)+$S131*(1-$G131))*((1+Inputs!$D$7)^AH$2))))))</f>
        <v>106.02557021528698</v>
      </c>
      <c r="AI131" s="88">
        <f>$E131*IF(AI$2&gt;Inputs!$D$5,0,IF(AI$2&gt;VLOOKUP($H131,Lists!$P$3:$Q$7,2),IF($N131=Lists!$K$3,IF($L131&lt;1,(($U131/$L131)*((1+Inputs!$D$7)^AI$2)),((INT(AI$2/$L131)-INT((AI$2-1)/$L131))*$U131*((1+Inputs!$D$7)^AI$2))),(_xlfn.WEIBULL.DIST(AI$2,$M131,$L131,FALSE)*$U131*((1+Inputs!$D$7)^AI$2))),IF($N131=Lists!$K$3,IF($L131&lt;1,((($T131*(1-$F131)+$S131*(1-$G131))/$L131)*((1+Inputs!$D$7)^AI$2)),((INT(AI$2/$L131)-INT((AI$2-1)/$L131))*($T131*(1-$F131)+$S131*(1-$G131))*((1+Inputs!$D$7)^AI$2))),((_xlfn.WEIBULL.DIST(AI$2,$M131,$L131,FALSE)*($T131*(1-$F131)+$S131*(1-$G131))*((1+Inputs!$D$7)^AI$2))))))</f>
        <v>108.14608161959272</v>
      </c>
      <c r="AJ131" s="88">
        <f>$E131*IF(AJ$2&gt;Inputs!$D$5,0,IF(AJ$2&gt;VLOOKUP($H131,Lists!$P$3:$Q$7,2),IF($N131=Lists!$K$3,IF($L131&lt;1,(($U131/$L131)*((1+Inputs!$D$7)^AJ$2)),((INT(AJ$2/$L131)-INT((AJ$2-1)/$L131))*$U131*((1+Inputs!$D$7)^AJ$2))),(_xlfn.WEIBULL.DIST(AJ$2,$M131,$L131,FALSE)*$U131*((1+Inputs!$D$7)^AJ$2))),IF($N131=Lists!$K$3,IF($L131&lt;1,((($T131*(1-$F131)+$S131*(1-$G131))/$L131)*((1+Inputs!$D$7)^AJ$2)),((INT(AJ$2/$L131)-INT((AJ$2-1)/$L131))*($T131*(1-$F131)+$S131*(1-$G131))*((1+Inputs!$D$7)^AJ$2))),((_xlfn.WEIBULL.DIST(AJ$2,$M131,$L131,FALSE)*($T131*(1-$F131)+$S131*(1-$G131))*((1+Inputs!$D$7)^AJ$2))))))</f>
        <v>110.30900325198458</v>
      </c>
      <c r="AK131" s="88">
        <f>$E131*IF(AK$2&gt;Inputs!$D$5,0,IF(AK$2&gt;VLOOKUP($H131,Lists!$P$3:$Q$7,2),IF($N131=Lists!$K$3,IF($L131&lt;1,(($U131/$L131)*((1+Inputs!$D$7)^AK$2)),((INT(AK$2/$L131)-INT((AK$2-1)/$L131))*$U131*((1+Inputs!$D$7)^AK$2))),(_xlfn.WEIBULL.DIST(AK$2,$M131,$L131,FALSE)*$U131*((1+Inputs!$D$7)^AK$2))),IF($N131=Lists!$K$3,IF($L131&lt;1,((($T131*(1-$F131)+$S131*(1-$G131))/$L131)*((1+Inputs!$D$7)^AK$2)),((INT(AK$2/$L131)-INT((AK$2-1)/$L131))*($T131*(1-$F131)+$S131*(1-$G131))*((1+Inputs!$D$7)^AK$2))),((_xlfn.WEIBULL.DIST(AK$2,$M131,$L131,FALSE)*($T131*(1-$F131)+$S131*(1-$G131))*((1+Inputs!$D$7)^AK$2))))))</f>
        <v>112.51518331702424</v>
      </c>
      <c r="AL131" s="88">
        <f>$E131*IF(AL$2&gt;Inputs!$D$5,0,IF(AL$2&gt;VLOOKUP($H131,Lists!$P$3:$Q$7,2),IF($N131=Lists!$K$3,IF($L131&lt;1,(($U131/$L131)*((1+Inputs!$D$7)^AL$2)),((INT(AL$2/$L131)-INT((AL$2-1)/$L131))*$U131*((1+Inputs!$D$7)^AL$2))),(_xlfn.WEIBULL.DIST(AL$2,$M131,$L131,FALSE)*$U131*((1+Inputs!$D$7)^AL$2))),IF($N131=Lists!$K$3,IF($L131&lt;1,((($T131*(1-$F131)+$S131*(1-$G131))/$L131)*((1+Inputs!$D$7)^AL$2)),((INT(AL$2/$L131)-INT((AL$2-1)/$L131))*($T131*(1-$F131)+$S131*(1-$G131))*((1+Inputs!$D$7)^AL$2))),((_xlfn.WEIBULL.DIST(AL$2,$M131,$L131,FALSE)*($T131*(1-$F131)+$S131*(1-$G131))*((1+Inputs!$D$7)^AL$2))))))</f>
        <v>114.76548698336475</v>
      </c>
      <c r="AM131" s="88">
        <f>$E131*IF(AM$2&gt;Inputs!$D$5,0,IF(AM$2&gt;VLOOKUP($H131,Lists!$P$3:$Q$7,2),IF($N131=Lists!$K$3,IF($L131&lt;1,(($U131/$L131)*((1+Inputs!$D$7)^AM$2)),((INT(AM$2/$L131)-INT((AM$2-1)/$L131))*$U131*((1+Inputs!$D$7)^AM$2))),(_xlfn.WEIBULL.DIST(AM$2,$M131,$L131,FALSE)*$U131*((1+Inputs!$D$7)^AM$2))),IF($N131=Lists!$K$3,IF($L131&lt;1,((($T131*(1-$F131)+$S131*(1-$G131))/$L131)*((1+Inputs!$D$7)^AM$2)),((INT(AM$2/$L131)-INT((AM$2-1)/$L131))*($T131*(1-$F131)+$S131*(1-$G131))*((1+Inputs!$D$7)^AM$2))),((_xlfn.WEIBULL.DIST(AM$2,$M131,$L131,FALSE)*($T131*(1-$F131)+$S131*(1-$G131))*((1+Inputs!$D$7)^AM$2))))))</f>
        <v>117.06079672303204</v>
      </c>
      <c r="AN131" s="88">
        <f>$E131*IF(AN$2&gt;Inputs!$D$5,0,IF(AN$2&gt;VLOOKUP($H131,Lists!$P$3:$Q$7,2),IF($N131=Lists!$K$3,IF($L131&lt;1,(($U131/$L131)*((1+Inputs!$D$7)^AN$2)),((INT(AN$2/$L131)-INT((AN$2-1)/$L131))*$U131*((1+Inputs!$D$7)^AN$2))),(_xlfn.WEIBULL.DIST(AN$2,$M131,$L131,FALSE)*$U131*((1+Inputs!$D$7)^AN$2))),IF($N131=Lists!$K$3,IF($L131&lt;1,((($T131*(1-$F131)+$S131*(1-$G131))/$L131)*((1+Inputs!$D$7)^AN$2)),((INT(AN$2/$L131)-INT((AN$2-1)/$L131))*($T131*(1-$F131)+$S131*(1-$G131))*((1+Inputs!$D$7)^AN$2))),((_xlfn.WEIBULL.DIST(AN$2,$M131,$L131,FALSE)*($T131*(1-$F131)+$S131*(1-$G131))*((1+Inputs!$D$7)^AN$2))))))</f>
        <v>119.40201265749269</v>
      </c>
      <c r="AO131" s="88">
        <f>$E131*IF(AO$2&gt;Inputs!$D$5,0,IF(AO$2&gt;VLOOKUP($H131,Lists!$P$3:$Q$7,2),IF($N131=Lists!$K$3,IF($L131&lt;1,(($U131/$L131)*((1+Inputs!$D$7)^AO$2)),((INT(AO$2/$L131)-INT((AO$2-1)/$L131))*$U131*((1+Inputs!$D$7)^AO$2))),(_xlfn.WEIBULL.DIST(AO$2,$M131,$L131,FALSE)*$U131*((1+Inputs!$D$7)^AO$2))),IF($N131=Lists!$K$3,IF($L131&lt;1,((($T131*(1-$F131)+$S131*(1-$G131))/$L131)*((1+Inputs!$D$7)^AO$2)),((INT(AO$2/$L131)-INT((AO$2-1)/$L131))*($T131*(1-$F131)+$S131*(1-$G131))*((1+Inputs!$D$7)^AO$2))),((_xlfn.WEIBULL.DIST(AO$2,$M131,$L131,FALSE)*($T131*(1-$F131)+$S131*(1-$G131))*((1+Inputs!$D$7)^AO$2))))))</f>
        <v>121.79005291064252</v>
      </c>
      <c r="AP131" s="88">
        <f>$E131*IF(AP$2&gt;Inputs!$D$5,0,IF(AP$2&gt;VLOOKUP($H131,Lists!$P$3:$Q$7,2),IF($N131=Lists!$K$3,IF($L131&lt;1,(($U131/$L131)*((1+Inputs!$D$7)^AP$2)),((INT(AP$2/$L131)-INT((AP$2-1)/$L131))*$U131*((1+Inputs!$D$7)^AP$2))),(_xlfn.WEIBULL.DIST(AP$2,$M131,$L131,FALSE)*$U131*((1+Inputs!$D$7)^AP$2))),IF($N131=Lists!$K$3,IF($L131&lt;1,((($T131*(1-$F131)+$S131*(1-$G131))/$L131)*((1+Inputs!$D$7)^AP$2)),((INT(AP$2/$L131)-INT((AP$2-1)/$L131))*($T131*(1-$F131)+$S131*(1-$G131))*((1+Inputs!$D$7)^AP$2))),((_xlfn.WEIBULL.DIST(AP$2,$M131,$L131,FALSE)*($T131*(1-$F131)+$S131*(1-$G131))*((1+Inputs!$D$7)^AP$2))))))</f>
        <v>124.22585396885538</v>
      </c>
      <c r="AQ131" s="88">
        <f>$E131*IF(AQ$2&gt;Inputs!$D$5,0,IF(AQ$2&gt;VLOOKUP($H131,Lists!$P$3:$Q$7,2),IF($N131=Lists!$K$3,IF($L131&lt;1,(($U131/$L131)*((1+Inputs!$D$7)^AQ$2)),((INT(AQ$2/$L131)-INT((AQ$2-1)/$L131))*$U131*((1+Inputs!$D$7)^AQ$2))),(_xlfn.WEIBULL.DIST(AQ$2,$M131,$L131,FALSE)*$U131*((1+Inputs!$D$7)^AQ$2))),IF($N131=Lists!$K$3,IF($L131&lt;1,((($T131*(1-$F131)+$S131*(1-$G131))/$L131)*((1+Inputs!$D$7)^AQ$2)),((INT(AQ$2/$L131)-INT((AQ$2-1)/$L131))*($T131*(1-$F131)+$S131*(1-$G131))*((1+Inputs!$D$7)^AQ$2))),((_xlfn.WEIBULL.DIST(AQ$2,$M131,$L131,FALSE)*($T131*(1-$F131)+$S131*(1-$G131))*((1+Inputs!$D$7)^AQ$2))))))</f>
        <v>126.7103710482325</v>
      </c>
      <c r="AR131" s="88">
        <f>$E131*IF(AR$2&gt;Inputs!$D$5,0,IF(AR$2&gt;VLOOKUP($H131,Lists!$P$3:$Q$7,2),IF($N131=Lists!$K$3,IF($L131&lt;1,(($U131/$L131)*((1+Inputs!$D$7)^AR$2)),((INT(AR$2/$L131)-INT((AR$2-1)/$L131))*$U131*((1+Inputs!$D$7)^AR$2))),(_xlfn.WEIBULL.DIST(AR$2,$M131,$L131,FALSE)*$U131*((1+Inputs!$D$7)^AR$2))),IF($N131=Lists!$K$3,IF($L131&lt;1,((($T131*(1-$F131)+$S131*(1-$G131))/$L131)*((1+Inputs!$D$7)^AR$2)),((INT(AR$2/$L131)-INT((AR$2-1)/$L131))*($T131*(1-$F131)+$S131*(1-$G131))*((1+Inputs!$D$7)^AR$2))),((_xlfn.WEIBULL.DIST(AR$2,$M131,$L131,FALSE)*($T131*(1-$F131)+$S131*(1-$G131))*((1+Inputs!$D$7)^AR$2))))))</f>
        <v>129.24457846919714</v>
      </c>
      <c r="AS131" s="88">
        <f>$E131*IF(AS$2&gt;Inputs!$D$5,0,IF(AS$2&gt;VLOOKUP($H131,Lists!$P$3:$Q$7,2),IF($N131=Lists!$K$3,IF($L131&lt;1,(($U131/$L131)*((1+Inputs!$D$7)^AS$2)),((INT(AS$2/$L131)-INT((AS$2-1)/$L131))*$U131*((1+Inputs!$D$7)^AS$2))),(_xlfn.WEIBULL.DIST(AS$2,$M131,$L131,FALSE)*$U131*((1+Inputs!$D$7)^AS$2))),IF($N131=Lists!$K$3,IF($L131&lt;1,((($T131*(1-$F131)+$S131*(1-$G131))/$L131)*((1+Inputs!$D$7)^AS$2)),((INT(AS$2/$L131)-INT((AS$2-1)/$L131))*($T131*(1-$F131)+$S131*(1-$G131))*((1+Inputs!$D$7)^AS$2))),((_xlfn.WEIBULL.DIST(AS$2,$M131,$L131,FALSE)*($T131*(1-$F131)+$S131*(1-$G131))*((1+Inputs!$D$7)^AS$2))))))</f>
        <v>131.82947003858106</v>
      </c>
      <c r="AT131" s="88">
        <f>$E131*IF(AT$2&gt;Inputs!$D$5,0,IF(AT$2&gt;VLOOKUP($H131,Lists!$P$3:$Q$7,2),IF($N131=Lists!$K$3,IF($L131&lt;1,(($U131/$L131)*((1+Inputs!$D$7)^AT$2)),((INT(AT$2/$L131)-INT((AT$2-1)/$L131))*$U131*((1+Inputs!$D$7)^AT$2))),(_xlfn.WEIBULL.DIST(AT$2,$M131,$L131,FALSE)*$U131*((1+Inputs!$D$7)^AT$2))),IF($N131=Lists!$K$3,IF($L131&lt;1,((($T131*(1-$F131)+$S131*(1-$G131))/$L131)*((1+Inputs!$D$7)^AT$2)),((INT(AT$2/$L131)-INT((AT$2-1)/$L131))*($T131*(1-$F131)+$S131*(1-$G131))*((1+Inputs!$D$7)^AT$2))),((_xlfn.WEIBULL.DIST(AT$2,$M131,$L131,FALSE)*($T131*(1-$F131)+$S131*(1-$G131))*((1+Inputs!$D$7)^AT$2))))))</f>
        <v>134.4660594393527</v>
      </c>
      <c r="AU131" s="88">
        <f>$E131*IF(AU$2&gt;Inputs!$D$5,0,IF(AU$2&gt;VLOOKUP($H131,Lists!$P$3:$Q$7,2),IF($N131=Lists!$K$3,IF($L131&lt;1,(($U131/$L131)*((1+Inputs!$D$7)^AU$2)),((INT(AU$2/$L131)-INT((AU$2-1)/$L131))*$U131*((1+Inputs!$D$7)^AU$2))),(_xlfn.WEIBULL.DIST(AU$2,$M131,$L131,FALSE)*$U131*((1+Inputs!$D$7)^AU$2))),IF($N131=Lists!$K$3,IF($L131&lt;1,((($T131*(1-$F131)+$S131*(1-$G131))/$L131)*((1+Inputs!$D$7)^AU$2)),((INT(AU$2/$L131)-INT((AU$2-1)/$L131))*($T131*(1-$F131)+$S131*(1-$G131))*((1+Inputs!$D$7)^AU$2))),((_xlfn.WEIBULL.DIST(AU$2,$M131,$L131,FALSE)*($T131*(1-$F131)+$S131*(1-$G131))*((1+Inputs!$D$7)^AU$2))))))</f>
        <v>137.15538062813974</v>
      </c>
      <c r="AV131" s="88">
        <f>$E131*IF(AV$2&gt;Inputs!$D$5,0,IF(AV$2&gt;VLOOKUP($H131,Lists!$P$3:$Q$7,2),IF($N131=Lists!$K$3,IF($L131&lt;1,(($U131/$L131)*((1+Inputs!$D$7)^AV$2)),((INT(AV$2/$L131)-INT((AV$2-1)/$L131))*$U131*((1+Inputs!$D$7)^AV$2))),(_xlfn.WEIBULL.DIST(AV$2,$M131,$L131,FALSE)*$U131*((1+Inputs!$D$7)^AV$2))),IF($N131=Lists!$K$3,IF($L131&lt;1,((($T131*(1-$F131)+$S131*(1-$G131))/$L131)*((1+Inputs!$D$7)^AV$2)),((INT(AV$2/$L131)-INT((AV$2-1)/$L131))*($T131*(1-$F131)+$S131*(1-$G131))*((1+Inputs!$D$7)^AV$2))),((_xlfn.WEIBULL.DIST(AV$2,$M131,$L131,FALSE)*($T131*(1-$F131)+$S131*(1-$G131))*((1+Inputs!$D$7)^AV$2))))))</f>
        <v>139.89848824070256</v>
      </c>
      <c r="AW131" s="88">
        <f>$E131*IF(AW$2&gt;Inputs!$D$5,0,IF(AW$2&gt;VLOOKUP($H131,Lists!$P$3:$Q$7,2),IF($N131=Lists!$K$3,IF($L131&lt;1,(($U131/$L131)*((1+Inputs!$D$7)^AW$2)),((INT(AW$2/$L131)-INT((AW$2-1)/$L131))*$U131*((1+Inputs!$D$7)^AW$2))),(_xlfn.WEIBULL.DIST(AW$2,$M131,$L131,FALSE)*$U131*((1+Inputs!$D$7)^AW$2))),IF($N131=Lists!$K$3,IF($L131&lt;1,((($T131*(1-$F131)+$S131*(1-$G131))/$L131)*((1+Inputs!$D$7)^AW$2)),((INT(AW$2/$L131)-INT((AW$2-1)/$L131))*($T131*(1-$F131)+$S131*(1-$G131))*((1+Inputs!$D$7)^AW$2))),((_xlfn.WEIBULL.DIST(AW$2,$M131,$L131,FALSE)*($T131*(1-$F131)+$S131*(1-$G131))*((1+Inputs!$D$7)^AW$2))))))</f>
        <v>142.69645800551658</v>
      </c>
      <c r="AX131" s="88">
        <f>$E131*IF(AX$2&gt;Inputs!$D$5,0,IF(AX$2&gt;VLOOKUP($H131,Lists!$P$3:$Q$7,2),IF($N131=Lists!$K$3,IF($L131&lt;1,(($U131/$L131)*((1+Inputs!$D$7)^AX$2)),((INT(AX$2/$L131)-INT((AX$2-1)/$L131))*$U131*((1+Inputs!$D$7)^AX$2))),(_xlfn.WEIBULL.DIST(AX$2,$M131,$L131,FALSE)*$U131*((1+Inputs!$D$7)^AX$2))),IF($N131=Lists!$K$3,IF($L131&lt;1,((($T131*(1-$F131)+$S131*(1-$G131))/$L131)*((1+Inputs!$D$7)^AX$2)),((INT(AX$2/$L131)-INT((AX$2-1)/$L131))*($T131*(1-$F131)+$S131*(1-$G131))*((1+Inputs!$D$7)^AX$2))),((_xlfn.WEIBULL.DIST(AX$2,$M131,$L131,FALSE)*($T131*(1-$F131)+$S131*(1-$G131))*((1+Inputs!$D$7)^AX$2))))))</f>
        <v>145.55038716562692</v>
      </c>
      <c r="AY131" s="88">
        <f>$E131*IF(AY$2&gt;Inputs!$D$5,0,IF(AY$2&gt;VLOOKUP($H131,Lists!$P$3:$Q$7,2),IF($N131=Lists!$K$3,IF($L131&lt;1,(($U131/$L131)*((1+Inputs!$D$7)^AY$2)),((INT(AY$2/$L131)-INT((AY$2-1)/$L131))*$U131*((1+Inputs!$D$7)^AY$2))),(_xlfn.WEIBULL.DIST(AY$2,$M131,$L131,FALSE)*$U131*((1+Inputs!$D$7)^AY$2))),IF($N131=Lists!$K$3,IF($L131&lt;1,((($T131*(1-$F131)+$S131*(1-$G131))/$L131)*((1+Inputs!$D$7)^AY$2)),((INT(AY$2/$L131)-INT((AY$2-1)/$L131))*($T131*(1-$F131)+$S131*(1-$G131))*((1+Inputs!$D$7)^AY$2))),((_xlfn.WEIBULL.DIST(AY$2,$M131,$L131,FALSE)*($T131*(1-$F131)+$S131*(1-$G131))*((1+Inputs!$D$7)^AY$2))))))</f>
        <v>148.46139490893947</v>
      </c>
      <c r="AZ131" s="88">
        <f>$E131*IF(AZ$2&gt;Inputs!$D$5,0,IF(AZ$2&gt;VLOOKUP($H131,Lists!$P$3:$Q$7,2),IF($N131=Lists!$K$3,IF($L131&lt;1,(($U131/$L131)*((1+Inputs!$D$7)^AZ$2)),((INT(AZ$2/$L131)-INT((AZ$2-1)/$L131))*$U131*((1+Inputs!$D$7)^AZ$2))),(_xlfn.WEIBULL.DIST(AZ$2,$M131,$L131,FALSE)*$U131*((1+Inputs!$D$7)^AZ$2))),IF($N131=Lists!$K$3,IF($L131&lt;1,((($T131*(1-$F131)+$S131*(1-$G131))/$L131)*((1+Inputs!$D$7)^AZ$2)),((INT(AZ$2/$L131)-INT((AZ$2-1)/$L131))*($T131*(1-$F131)+$S131*(1-$G131))*((1+Inputs!$D$7)^AZ$2))),((_xlfn.WEIBULL.DIST(AZ$2,$M131,$L131,FALSE)*($T131*(1-$F131)+$S131*(1-$G131))*((1+Inputs!$D$7)^AZ$2))))))</f>
        <v>0</v>
      </c>
      <c r="BA131" s="88">
        <f>$E131*IF(BA$2&gt;Inputs!$D$5,0,IF(BA$2&gt;VLOOKUP($H131,Lists!$P$3:$Q$7,2),IF($N131=Lists!$K$3,IF($L131&lt;1,(($U131/$L131)*((1+Inputs!$D$7)^BA$2)),((INT(BA$2/$L131)-INT((BA$2-1)/$L131))*$U131*((1+Inputs!$D$7)^BA$2))),(_xlfn.WEIBULL.DIST(BA$2,$M131,$L131,FALSE)*$U131*((1+Inputs!$D$7)^BA$2))),IF($N131=Lists!$K$3,IF($L131&lt;1,((($T131*(1-$F131)+$S131*(1-$G131))/$L131)*((1+Inputs!$D$7)^BA$2)),((INT(BA$2/$L131)-INT((BA$2-1)/$L131))*($T131*(1-$F131)+$S131*(1-$G131))*((1+Inputs!$D$7)^BA$2))),((_xlfn.WEIBULL.DIST(BA$2,$M131,$L131,FALSE)*($T131*(1-$F131)+$S131*(1-$G131))*((1+Inputs!$D$7)^BA$2))))))</f>
        <v>0</v>
      </c>
      <c r="BB131" s="88">
        <f>$E131*IF(BB$2&gt;Inputs!$D$5,0,IF(BB$2&gt;VLOOKUP($H131,Lists!$P$3:$Q$7,2),IF($N131=Lists!$K$3,IF($L131&lt;1,(($U131/$L131)*((1+Inputs!$D$7)^BB$2)),((INT(BB$2/$L131)-INT((BB$2-1)/$L131))*$U131*((1+Inputs!$D$7)^BB$2))),(_xlfn.WEIBULL.DIST(BB$2,$M131,$L131,FALSE)*$U131*((1+Inputs!$D$7)^BB$2))),IF($N131=Lists!$K$3,IF($L131&lt;1,((($T131*(1-$F131)+$S131*(1-$G131))/$L131)*((1+Inputs!$D$7)^BB$2)),((INT(BB$2/$L131)-INT((BB$2-1)/$L131))*($T131*(1-$F131)+$S131*(1-$G131))*((1+Inputs!$D$7)^BB$2))),((_xlfn.WEIBULL.DIST(BB$2,$M131,$L131,FALSE)*($T131*(1-$F131)+$S131*(1-$G131))*((1+Inputs!$D$7)^BB$2))))))</f>
        <v>0</v>
      </c>
      <c r="BC131" s="88">
        <f>$E131*IF(BC$2&gt;Inputs!$D$5,0,IF(BC$2&gt;VLOOKUP($H131,Lists!$P$3:$Q$7,2),IF($N131=Lists!$K$3,IF($L131&lt;1,(($U131/$L131)*((1+Inputs!$D$7)^BC$2)),((INT(BC$2/$L131)-INT((BC$2-1)/$L131))*$U131*((1+Inputs!$D$7)^BC$2))),(_xlfn.WEIBULL.DIST(BC$2,$M131,$L131,FALSE)*$U131*((1+Inputs!$D$7)^BC$2))),IF($N131=Lists!$K$3,IF($L131&lt;1,((($T131*(1-$F131)+$S131*(1-$G131))/$L131)*((1+Inputs!$D$7)^BC$2)),((INT(BC$2/$L131)-INT((BC$2-1)/$L131))*($T131*(1-$F131)+$S131*(1-$G131))*((1+Inputs!$D$7)^BC$2))),((_xlfn.WEIBULL.DIST(BC$2,$M131,$L131,FALSE)*($T131*(1-$F131)+$S131*(1-$G131))*((1+Inputs!$D$7)^BC$2))))))</f>
        <v>0</v>
      </c>
      <c r="BD131" s="88">
        <f>$E131*IF(BD$2&gt;Inputs!$D$5,0,IF(BD$2&gt;VLOOKUP($H131,Lists!$P$3:$Q$7,2),IF($N131=Lists!$K$3,IF($L131&lt;1,(($U131/$L131)*((1+Inputs!$D$7)^BD$2)),((INT(BD$2/$L131)-INT((BD$2-1)/$L131))*$U131*((1+Inputs!$D$7)^BD$2))),(_xlfn.WEIBULL.DIST(BD$2,$M131,$L131,FALSE)*$U131*((1+Inputs!$D$7)^BD$2))),IF($N131=Lists!$K$3,IF($L131&lt;1,((($T131*(1-$F131)+$S131*(1-$G131))/$L131)*((1+Inputs!$D$7)^BD$2)),((INT(BD$2/$L131)-INT((BD$2-1)/$L131))*($T131*(1-$F131)+$S131*(1-$G131))*((1+Inputs!$D$7)^BD$2))),((_xlfn.WEIBULL.DIST(BD$2,$M131,$L131,FALSE)*($T131*(1-$F131)+$S131*(1-$G131))*((1+Inputs!$D$7)^BD$2))))))</f>
        <v>0</v>
      </c>
      <c r="BE131" s="88">
        <f>$E131*IF(BE$2&gt;Inputs!$D$5,0,IF(BE$2&gt;VLOOKUP($H131,Lists!$P$3:$Q$7,2),IF($N131=Lists!$K$3,IF($L131&lt;1,(($U131/$L131)*((1+Inputs!$D$7)^BE$2)),((INT(BE$2/$L131)-INT((BE$2-1)/$L131))*$U131*((1+Inputs!$D$7)^BE$2))),(_xlfn.WEIBULL.DIST(BE$2,$M131,$L131,FALSE)*$U131*((1+Inputs!$D$7)^BE$2))),IF($N131=Lists!$K$3,IF($L131&lt;1,((($T131*(1-$F131)+$S131*(1-$G131))/$L131)*((1+Inputs!$D$7)^BE$2)),((INT(BE$2/$L131)-INT((BE$2-1)/$L131))*($T131*(1-$F131)+$S131*(1-$G131))*((1+Inputs!$D$7)^BE$2))),((_xlfn.WEIBULL.DIST(BE$2,$M131,$L131,FALSE)*($T131*(1-$F131)+$S131*(1-$G131))*((1+Inputs!$D$7)^BE$2))))))</f>
        <v>0</v>
      </c>
      <c r="BF131" s="88">
        <f>$E131*IF(BF$2&gt;Inputs!$D$5,0,IF(BF$2&gt;VLOOKUP($H131,Lists!$P$3:$Q$7,2),IF($N131=Lists!$K$3,IF($L131&lt;1,(($U131/$L131)*((1+Inputs!$D$7)^BF$2)),((INT(BF$2/$L131)-INT((BF$2-1)/$L131))*$U131*((1+Inputs!$D$7)^BF$2))),(_xlfn.WEIBULL.DIST(BF$2,$M131,$L131,FALSE)*$U131*((1+Inputs!$D$7)^BF$2))),IF($N131=Lists!$K$3,IF($L131&lt;1,((($T131*(1-$F131)+$S131*(1-$G131))/$L131)*((1+Inputs!$D$7)^BF$2)),((INT(BF$2/$L131)-INT((BF$2-1)/$L131))*($T131*(1-$F131)+$S131*(1-$G131))*((1+Inputs!$D$7)^BF$2))),((_xlfn.WEIBULL.DIST(BF$2,$M131,$L131,FALSE)*($T131*(1-$F131)+$S131*(1-$G131))*((1+Inputs!$D$7)^BF$2))))))</f>
        <v>0</v>
      </c>
      <c r="BG131" s="88">
        <f>$E131*IF(BG$2&gt;Inputs!$D$5,0,IF(BG$2&gt;VLOOKUP($H131,Lists!$P$3:$Q$7,2),IF($N131=Lists!$K$3,IF($L131&lt;1,(($U131/$L131)*((1+Inputs!$D$7)^BG$2)),((INT(BG$2/$L131)-INT((BG$2-1)/$L131))*$U131*((1+Inputs!$D$7)^BG$2))),(_xlfn.WEIBULL.DIST(BG$2,$M131,$L131,FALSE)*$U131*((1+Inputs!$D$7)^BG$2))),IF($N131=Lists!$K$3,IF($L131&lt;1,((($T131*(1-$F131)+$S131*(1-$G131))/$L131)*((1+Inputs!$D$7)^BG$2)),((INT(BG$2/$L131)-INT((BG$2-1)/$L131))*($T131*(1-$F131)+$S131*(1-$G131))*((1+Inputs!$D$7)^BG$2))),((_xlfn.WEIBULL.DIST(BG$2,$M131,$L131,FALSE)*($T131*(1-$F131)+$S131*(1-$G131))*((1+Inputs!$D$7)^BG$2))))))</f>
        <v>0</v>
      </c>
      <c r="BH131" s="88">
        <f>$E131*IF(BH$2&gt;Inputs!$D$5,0,IF(BH$2&gt;VLOOKUP($H131,Lists!$P$3:$Q$7,2),IF($N131=Lists!$K$3,IF($L131&lt;1,(($U131/$L131)*((1+Inputs!$D$7)^BH$2)),((INT(BH$2/$L131)-INT((BH$2-1)/$L131))*$U131*((1+Inputs!$D$7)^BH$2))),(_xlfn.WEIBULL.DIST(BH$2,$M131,$L131,FALSE)*$U131*((1+Inputs!$D$7)^BH$2))),IF($N131=Lists!$K$3,IF($L131&lt;1,((($T131*(1-$F131)+$S131*(1-$G131))/$L131)*((1+Inputs!$D$7)^BH$2)),((INT(BH$2/$L131)-INT((BH$2-1)/$L131))*($T131*(1-$F131)+$S131*(1-$G131))*((1+Inputs!$D$7)^BH$2))),((_xlfn.WEIBULL.DIST(BH$2,$M131,$L131,FALSE)*($T131*(1-$F131)+$S131*(1-$G131))*((1+Inputs!$D$7)^BH$2))))))</f>
        <v>0</v>
      </c>
      <c r="BI131" s="88">
        <f>$E131*IF(BI$2&gt;Inputs!$D$5,0,IF(BI$2&gt;VLOOKUP($H131,Lists!$P$3:$Q$7,2),IF($N131=Lists!$K$3,IF($L131&lt;1,(($U131/$L131)*((1+Inputs!$D$7)^BI$2)),((INT(BI$2/$L131)-INT((BI$2-1)/$L131))*$U131*((1+Inputs!$D$7)^BI$2))),(_xlfn.WEIBULL.DIST(BI$2,$M131,$L131,FALSE)*$U131*((1+Inputs!$D$7)^BI$2))),IF($N131=Lists!$K$3,IF($L131&lt;1,((($T131*(1-$F131)+$S131*(1-$G131))/$L131)*((1+Inputs!$D$7)^BI$2)),((INT(BI$2/$L131)-INT((BI$2-1)/$L131))*($T131*(1-$F131)+$S131*(1-$G131))*((1+Inputs!$D$7)^BI$2))),((_xlfn.WEIBULL.DIST(BI$2,$M131,$L131,FALSE)*($T131*(1-$F131)+$S131*(1-$G131))*((1+Inputs!$D$7)^BI$2))))))</f>
        <v>0</v>
      </c>
      <c r="BJ131" s="88">
        <f>$E131*IF(BJ$2&gt;Inputs!$D$5,0,IF(BJ$2&gt;VLOOKUP($H131,Lists!$P$3:$Q$7,2),IF($N131=Lists!$K$3,IF($L131&lt;1,(($U131/$L131)*((1+Inputs!$D$7)^BJ$2)),((INT(BJ$2/$L131)-INT((BJ$2-1)/$L131))*$U131*((1+Inputs!$D$7)^BJ$2))),(_xlfn.WEIBULL.DIST(BJ$2,$M131,$L131,FALSE)*$U131*((1+Inputs!$D$7)^BJ$2))),IF($N131=Lists!$K$3,IF($L131&lt;1,((($T131*(1-$F131)+$S131*(1-$G131))/$L131)*((1+Inputs!$D$7)^BJ$2)),((INT(BJ$2/$L131)-INT((BJ$2-1)/$L131))*($T131*(1-$F131)+$S131*(1-$G131))*((1+Inputs!$D$7)^BJ$2))),((_xlfn.WEIBULL.DIST(BJ$2,$M131,$L131,FALSE)*($T131*(1-$F131)+$S131*(1-$G131))*((1+Inputs!$D$7)^BJ$2))))))</f>
        <v>0</v>
      </c>
      <c r="BK131" s="88">
        <f>$E131*IF(BK$2&gt;Inputs!$D$5,0,IF(BK$2&gt;VLOOKUP($H131,Lists!$P$3:$Q$7,2),IF($N131=Lists!$K$3,IF($L131&lt;1,(($U131/$L131)*((1+Inputs!$D$7)^BK$2)),((INT(BK$2/$L131)-INT((BK$2-1)/$L131))*$U131*((1+Inputs!$D$7)^BK$2))),(_xlfn.WEIBULL.DIST(BK$2,$M131,$L131,FALSE)*$U131*((1+Inputs!$D$7)^BK$2))),IF($N131=Lists!$K$3,IF($L131&lt;1,((($T131*(1-$F131)+$S131*(1-$G131))/$L131)*((1+Inputs!$D$7)^BK$2)),((INT(BK$2/$L131)-INT((BK$2-1)/$L131))*($T131*(1-$F131)+$S131*(1-$G131))*((1+Inputs!$D$7)^BK$2))),((_xlfn.WEIBULL.DIST(BK$2,$M131,$L131,FALSE)*($T131*(1-$F131)+$S131*(1-$G131))*((1+Inputs!$D$7)^BK$2))))))</f>
        <v>0</v>
      </c>
      <c r="BL131" s="88">
        <f>$E131*IF(BL$2&gt;Inputs!$D$5,0,IF(BL$2&gt;VLOOKUP($H131,Lists!$P$3:$Q$7,2),IF($N131=Lists!$K$3,IF($L131&lt;1,(($U131/$L131)*((1+Inputs!$D$7)^BL$2)),((INT(BL$2/$L131)-INT((BL$2-1)/$L131))*$U131*((1+Inputs!$D$7)^BL$2))),(_xlfn.WEIBULL.DIST(BL$2,$M131,$L131,FALSE)*$U131*((1+Inputs!$D$7)^BL$2))),IF($N131=Lists!$K$3,IF($L131&lt;1,((($T131*(1-$F131)+$S131*(1-$G131))/$L131)*((1+Inputs!$D$7)^BL$2)),((INT(BL$2/$L131)-INT((BL$2-1)/$L131))*($T131*(1-$F131)+$S131*(1-$G131))*((1+Inputs!$D$7)^BL$2))),((_xlfn.WEIBULL.DIST(BL$2,$M131,$L131,FALSE)*($T131*(1-$F131)+$S131*(1-$G131))*((1+Inputs!$D$7)^BL$2))))))</f>
        <v>0</v>
      </c>
      <c r="BM131" s="88">
        <f>$E131*IF(BM$2&gt;Inputs!$D$5,0,IF(BM$2&gt;VLOOKUP($H131,Lists!$P$3:$Q$7,2),IF($N131=Lists!$K$3,IF($L131&lt;1,(($U131/$L131)*((1+Inputs!$D$7)^BM$2)),((INT(BM$2/$L131)-INT((BM$2-1)/$L131))*$U131*((1+Inputs!$D$7)^BM$2))),(_xlfn.WEIBULL.DIST(BM$2,$M131,$L131,FALSE)*$U131*((1+Inputs!$D$7)^BM$2))),IF($N131=Lists!$K$3,IF($L131&lt;1,((($T131*(1-$F131)+$S131*(1-$G131))/$L131)*((1+Inputs!$D$7)^BM$2)),((INT(BM$2/$L131)-INT((BM$2-1)/$L131))*($T131*(1-$F131)+$S131*(1-$G131))*((1+Inputs!$D$7)^BM$2))),((_xlfn.WEIBULL.DIST(BM$2,$M131,$L131,FALSE)*($T131*(1-$F131)+$S131*(1-$G131))*((1+Inputs!$D$7)^BM$2))))))</f>
        <v>0</v>
      </c>
      <c r="BN131" s="88">
        <f>$E131*IF(BN$2&gt;Inputs!$D$5,0,IF(BN$2&gt;VLOOKUP($H131,Lists!$P$3:$Q$7,2),IF($N131=Lists!$K$3,IF($L131&lt;1,(($U131/$L131)*((1+Inputs!$D$7)^BN$2)),((INT(BN$2/$L131)-INT((BN$2-1)/$L131))*$U131*((1+Inputs!$D$7)^BN$2))),(_xlfn.WEIBULL.DIST(BN$2,$M131,$L131,FALSE)*$U131*((1+Inputs!$D$7)^BN$2))),IF($N131=Lists!$K$3,IF($L131&lt;1,((($T131*(1-$F131)+$S131*(1-$G131))/$L131)*((1+Inputs!$D$7)^BN$2)),((INT(BN$2/$L131)-INT((BN$2-1)/$L131))*($T131*(1-$F131)+$S131*(1-$G131))*((1+Inputs!$D$7)^BN$2))),((_xlfn.WEIBULL.DIST(BN$2,$M131,$L131,FALSE)*($T131*(1-$F131)+$S131*(1-$G131))*((1+Inputs!$D$7)^BN$2))))))</f>
        <v>0</v>
      </c>
      <c r="BO131" s="64">
        <f>NPV(Inputs!$D$6,BQ131:DD131)</f>
        <v>1288.0134328074041</v>
      </c>
      <c r="BP131" s="67">
        <f t="shared" ref="BP131:BP136" si="34">BO131/SUM($Y$3:$Y$136)</f>
        <v>6.0749001663957635E-4</v>
      </c>
      <c r="BQ131" s="88">
        <f>MAX(AA131,($E131*IF(BQ$2&gt;Inputs!$D$5,0,IF(BQ$2&gt;VLOOKUP($H131,Lists!$P$3:$Q$7,2),IF($N131=Lists!$K$3,IF($L131&lt;1,(($U131/$L131)*((1+Inputs!$D$7)^BQ$2)),((INT(BQ$2/$L131)-INT((BQ$2-1)/$L131))*$U131*((1+Inputs!$D$7)^BQ$2))),(Inputs!$D$8^((1-_xlfn.WEIBULL.DIST(BQ$2,$M131,$L131,FALSE))/_xlfn.WEIBULL.DIST(BQ$2,$M131,$L131,FALSE))*$U131*((1+Inputs!$D$7)^BQ$2))),IF($N131=Lists!$K$3,IF($L131&lt;1,((($T131*(1-$F131)+$S131*(1-$G131))/$L131)*((1+Inputs!$D$7)^BQ$2)),((INT(BQ$2/$L131)-INT((BQ$2-1)/$L131))*($T131*(1-$F131)+$S131*(1-$G131))*((1+Inputs!$D$7)^BQ$2))),((Inputs!$D$8^((1-_xlfn.WEIBULL.DIST(BQ$2,$M131,$L131,FALSE))/_xlfn.WEIBULL.DIST(BQ$2,$M131,$L131,FALSE))*($T131*(1-$F131)+$S131*(1-$G131))*((1+Inputs!$D$7)^BQ$2))))))))</f>
        <v>92.301639344262298</v>
      </c>
      <c r="BR131" s="88">
        <f>MAX(AB131,($E131*IF(BR$2&gt;Inputs!$D$5,0,IF(BR$2&gt;VLOOKUP($H131,Lists!$P$3:$Q$7,2),IF($N131=Lists!$K$3,IF($L131&lt;1,(($U131/$L131)*((1+Inputs!$D$7)^BR$2)),((INT(BR$2/$L131)-INT((BR$2-1)/$L131))*$U131*((1+Inputs!$D$7)^BR$2))),(Inputs!$D$8^((1-_xlfn.WEIBULL.DIST(BR$2,$M131,$L131,FALSE))/_xlfn.WEIBULL.DIST(BR$2,$M131,$L131,FALSE))*$U131*((1+Inputs!$D$7)^BR$2))),IF($N131=Lists!$K$3,IF($L131&lt;1,((($T131*(1-$F131)+$S131*(1-$G131))/$L131)*((1+Inputs!$D$7)^BR$2)),((INT(BR$2/$L131)-INT((BR$2-1)/$L131))*($T131*(1-$F131)+$S131*(1-$G131))*((1+Inputs!$D$7)^BR$2))),((Inputs!$D$8^((1-_xlfn.WEIBULL.DIST(BR$2,$M131,$L131,FALSE))/_xlfn.WEIBULL.DIST(BR$2,$M131,$L131,FALSE))*($T131*(1-$F131)+$S131*(1-$G131))*((1+Inputs!$D$7)^BR$2))))))))</f>
        <v>94.147672131147544</v>
      </c>
      <c r="BS131" s="88">
        <f>MAX(AC131,($E131*IF(BS$2&gt;Inputs!$D$5,0,IF(BS$2&gt;VLOOKUP($H131,Lists!$P$3:$Q$7,2),IF($N131=Lists!$K$3,IF($L131&lt;1,(($U131/$L131)*((1+Inputs!$D$7)^BS$2)),((INT(BS$2/$L131)-INT((BS$2-1)/$L131))*$U131*((1+Inputs!$D$7)^BS$2))),(Inputs!$D$8^((1-_xlfn.WEIBULL.DIST(BS$2,$M131,$L131,FALSE))/_xlfn.WEIBULL.DIST(BS$2,$M131,$L131,FALSE))*$U131*((1+Inputs!$D$7)^BS$2))),IF($N131=Lists!$K$3,IF($L131&lt;1,((($T131*(1-$F131)+$S131*(1-$G131))/$L131)*((1+Inputs!$D$7)^BS$2)),((INT(BS$2/$L131)-INT((BS$2-1)/$L131))*($T131*(1-$F131)+$S131*(1-$G131))*((1+Inputs!$D$7)^BS$2))),((Inputs!$D$8^((1-_xlfn.WEIBULL.DIST(BS$2,$M131,$L131,FALSE))/_xlfn.WEIBULL.DIST(BS$2,$M131,$L131,FALSE))*($T131*(1-$F131)+$S131*(1-$G131))*((1+Inputs!$D$7)^BS$2))))))))</f>
        <v>96.030625573770479</v>
      </c>
      <c r="BT131" s="88">
        <f>MAX(AD131,($E131*IF(BT$2&gt;Inputs!$D$5,0,IF(BT$2&gt;VLOOKUP($H131,Lists!$P$3:$Q$7,2),IF($N131=Lists!$K$3,IF($L131&lt;1,(($U131/$L131)*((1+Inputs!$D$7)^BT$2)),((INT(BT$2/$L131)-INT((BT$2-1)/$L131))*$U131*((1+Inputs!$D$7)^BT$2))),(Inputs!$D$8^((1-_xlfn.WEIBULL.DIST(BT$2,$M131,$L131,FALSE))/_xlfn.WEIBULL.DIST(BT$2,$M131,$L131,FALSE))*$U131*((1+Inputs!$D$7)^BT$2))),IF($N131=Lists!$K$3,IF($L131&lt;1,((($T131*(1-$F131)+$S131*(1-$G131))/$L131)*((1+Inputs!$D$7)^BT$2)),((INT(BT$2/$L131)-INT((BT$2-1)/$L131))*($T131*(1-$F131)+$S131*(1-$G131))*((1+Inputs!$D$7)^BT$2))),((Inputs!$D$8^((1-_xlfn.WEIBULL.DIST(BT$2,$M131,$L131,FALSE))/_xlfn.WEIBULL.DIST(BT$2,$M131,$L131,FALSE))*($T131*(1-$F131)+$S131*(1-$G131))*((1+Inputs!$D$7)^BT$2))))))))</f>
        <v>97.95123808524589</v>
      </c>
      <c r="BU131" s="88">
        <f>MAX(AE131,($E131*IF(BU$2&gt;Inputs!$D$5,0,IF(BU$2&gt;VLOOKUP($H131,Lists!$P$3:$Q$7,2),IF($N131=Lists!$K$3,IF($L131&lt;1,(($U131/$L131)*((1+Inputs!$D$7)^BU$2)),((INT(BU$2/$L131)-INT((BU$2-1)/$L131))*$U131*((1+Inputs!$D$7)^BU$2))),(Inputs!$D$8^((1-_xlfn.WEIBULL.DIST(BU$2,$M131,$L131,FALSE))/_xlfn.WEIBULL.DIST(BU$2,$M131,$L131,FALSE))*$U131*((1+Inputs!$D$7)^BU$2))),IF($N131=Lists!$K$3,IF($L131&lt;1,((($T131*(1-$F131)+$S131*(1-$G131))/$L131)*((1+Inputs!$D$7)^BU$2)),((INT(BU$2/$L131)-INT((BU$2-1)/$L131))*($T131*(1-$F131)+$S131*(1-$G131))*((1+Inputs!$D$7)^BU$2))),((Inputs!$D$8^((1-_xlfn.WEIBULL.DIST(BU$2,$M131,$L131,FALSE))/_xlfn.WEIBULL.DIST(BU$2,$M131,$L131,FALSE))*($T131*(1-$F131)+$S131*(1-$G131))*((1+Inputs!$D$7)^BU$2))))))))</f>
        <v>99.910262846950815</v>
      </c>
      <c r="BV131" s="88">
        <f>MAX(AF131,($E131*IF(BV$2&gt;Inputs!$D$5,0,IF(BV$2&gt;VLOOKUP($H131,Lists!$P$3:$Q$7,2),IF($N131=Lists!$K$3,IF($L131&lt;1,(($U131/$L131)*((1+Inputs!$D$7)^BV$2)),((INT(BV$2/$L131)-INT((BV$2-1)/$L131))*$U131*((1+Inputs!$D$7)^BV$2))),(Inputs!$D$8^((1-_xlfn.WEIBULL.DIST(BV$2,$M131,$L131,FALSE))/_xlfn.WEIBULL.DIST(BV$2,$M131,$L131,FALSE))*$U131*((1+Inputs!$D$7)^BV$2))),IF($N131=Lists!$K$3,IF($L131&lt;1,((($T131*(1-$F131)+$S131*(1-$G131))/$L131)*((1+Inputs!$D$7)^BV$2)),((INT(BV$2/$L131)-INT((BV$2-1)/$L131))*($T131*(1-$F131)+$S131*(1-$G131))*((1+Inputs!$D$7)^BV$2))),((Inputs!$D$8^((1-_xlfn.WEIBULL.DIST(BV$2,$M131,$L131,FALSE))/_xlfn.WEIBULL.DIST(BV$2,$M131,$L131,FALSE))*($T131*(1-$F131)+$S131*(1-$G131))*((1+Inputs!$D$7)^BV$2))))))))</f>
        <v>101.90846810388985</v>
      </c>
      <c r="BW131" s="88">
        <f>MAX(AG131,($E131*IF(BW$2&gt;Inputs!$D$5,0,IF(BW$2&gt;VLOOKUP($H131,Lists!$P$3:$Q$7,2),IF($N131=Lists!$K$3,IF($L131&lt;1,(($U131/$L131)*((1+Inputs!$D$7)^BW$2)),((INT(BW$2/$L131)-INT((BW$2-1)/$L131))*$U131*((1+Inputs!$D$7)^BW$2))),(Inputs!$D$8^((1-_xlfn.WEIBULL.DIST(BW$2,$M131,$L131,FALSE))/_xlfn.WEIBULL.DIST(BW$2,$M131,$L131,FALSE))*$U131*((1+Inputs!$D$7)^BW$2))),IF($N131=Lists!$K$3,IF($L131&lt;1,((($T131*(1-$F131)+$S131*(1-$G131))/$L131)*((1+Inputs!$D$7)^BW$2)),((INT(BW$2/$L131)-INT((BW$2-1)/$L131))*($T131*(1-$F131)+$S131*(1-$G131))*((1+Inputs!$D$7)^BW$2))),((Inputs!$D$8^((1-_xlfn.WEIBULL.DIST(BW$2,$M131,$L131,FALSE))/_xlfn.WEIBULL.DIST(BW$2,$M131,$L131,FALSE))*($T131*(1-$F131)+$S131*(1-$G131))*((1+Inputs!$D$7)^BW$2))))))))</f>
        <v>103.94663746596761</v>
      </c>
      <c r="BX131" s="88">
        <f>MAX(AH131,($E131*IF(BX$2&gt;Inputs!$D$5,0,IF(BX$2&gt;VLOOKUP($H131,Lists!$P$3:$Q$7,2),IF($N131=Lists!$K$3,IF($L131&lt;1,(($U131/$L131)*((1+Inputs!$D$7)^BX$2)),((INT(BX$2/$L131)-INT((BX$2-1)/$L131))*$U131*((1+Inputs!$D$7)^BX$2))),(Inputs!$D$8^((1-_xlfn.WEIBULL.DIST(BX$2,$M131,$L131,FALSE))/_xlfn.WEIBULL.DIST(BX$2,$M131,$L131,FALSE))*$U131*((1+Inputs!$D$7)^BX$2))),IF($N131=Lists!$K$3,IF($L131&lt;1,((($T131*(1-$F131)+$S131*(1-$G131))/$L131)*((1+Inputs!$D$7)^BX$2)),((INT(BX$2/$L131)-INT((BX$2-1)/$L131))*($T131*(1-$F131)+$S131*(1-$G131))*((1+Inputs!$D$7)^BX$2))),((Inputs!$D$8^((1-_xlfn.WEIBULL.DIST(BX$2,$M131,$L131,FALSE))/_xlfn.WEIBULL.DIST(BX$2,$M131,$L131,FALSE))*($T131*(1-$F131)+$S131*(1-$G131))*((1+Inputs!$D$7)^BX$2))))))))</f>
        <v>106.02557021528698</v>
      </c>
      <c r="BY131" s="88">
        <f>MAX(AI131,($E131*IF(BY$2&gt;Inputs!$D$5,0,IF(BY$2&gt;VLOOKUP($H131,Lists!$P$3:$Q$7,2),IF($N131=Lists!$K$3,IF($L131&lt;1,(($U131/$L131)*((1+Inputs!$D$7)^BY$2)),((INT(BY$2/$L131)-INT((BY$2-1)/$L131))*$U131*((1+Inputs!$D$7)^BY$2))),(Inputs!$D$8^((1-_xlfn.WEIBULL.DIST(BY$2,$M131,$L131,FALSE))/_xlfn.WEIBULL.DIST(BY$2,$M131,$L131,FALSE))*$U131*((1+Inputs!$D$7)^BY$2))),IF($N131=Lists!$K$3,IF($L131&lt;1,((($T131*(1-$F131)+$S131*(1-$G131))/$L131)*((1+Inputs!$D$7)^BY$2)),((INT(BY$2/$L131)-INT((BY$2-1)/$L131))*($T131*(1-$F131)+$S131*(1-$G131))*((1+Inputs!$D$7)^BY$2))),((Inputs!$D$8^((1-_xlfn.WEIBULL.DIST(BY$2,$M131,$L131,FALSE))/_xlfn.WEIBULL.DIST(BY$2,$M131,$L131,FALSE))*($T131*(1-$F131)+$S131*(1-$G131))*((1+Inputs!$D$7)^BY$2))))))))</f>
        <v>108.14608161959272</v>
      </c>
      <c r="BZ131" s="88">
        <f>MAX(AJ131,($E131*IF(BZ$2&gt;Inputs!$D$5,0,IF(BZ$2&gt;VLOOKUP($H131,Lists!$P$3:$Q$7,2),IF($N131=Lists!$K$3,IF($L131&lt;1,(($U131/$L131)*((1+Inputs!$D$7)^BZ$2)),((INT(BZ$2/$L131)-INT((BZ$2-1)/$L131))*$U131*((1+Inputs!$D$7)^BZ$2))),(Inputs!$D$8^((1-_xlfn.WEIBULL.DIST(BZ$2,$M131,$L131,FALSE))/_xlfn.WEIBULL.DIST(BZ$2,$M131,$L131,FALSE))*$U131*((1+Inputs!$D$7)^BZ$2))),IF($N131=Lists!$K$3,IF($L131&lt;1,((($T131*(1-$F131)+$S131*(1-$G131))/$L131)*((1+Inputs!$D$7)^BZ$2)),((INT(BZ$2/$L131)-INT((BZ$2-1)/$L131))*($T131*(1-$F131)+$S131*(1-$G131))*((1+Inputs!$D$7)^BZ$2))),((Inputs!$D$8^((1-_xlfn.WEIBULL.DIST(BZ$2,$M131,$L131,FALSE))/_xlfn.WEIBULL.DIST(BZ$2,$M131,$L131,FALSE))*($T131*(1-$F131)+$S131*(1-$G131))*((1+Inputs!$D$7)^BZ$2))))))))</f>
        <v>110.30900325198458</v>
      </c>
      <c r="CA131" s="88">
        <f>MAX(AK131,($E131*IF(CA$2&gt;Inputs!$D$5,0,IF(CA$2&gt;VLOOKUP($H131,Lists!$P$3:$Q$7,2),IF($N131=Lists!$K$3,IF($L131&lt;1,(($U131/$L131)*((1+Inputs!$D$7)^CA$2)),((INT(CA$2/$L131)-INT((CA$2-1)/$L131))*$U131*((1+Inputs!$D$7)^CA$2))),(Inputs!$D$8^((1-_xlfn.WEIBULL.DIST(CA$2,$M131,$L131,FALSE))/_xlfn.WEIBULL.DIST(CA$2,$M131,$L131,FALSE))*$U131*((1+Inputs!$D$7)^CA$2))),IF($N131=Lists!$K$3,IF($L131&lt;1,((($T131*(1-$F131)+$S131*(1-$G131))/$L131)*((1+Inputs!$D$7)^CA$2)),((INT(CA$2/$L131)-INT((CA$2-1)/$L131))*($T131*(1-$F131)+$S131*(1-$G131))*((1+Inputs!$D$7)^CA$2))),((Inputs!$D$8^((1-_xlfn.WEIBULL.DIST(CA$2,$M131,$L131,FALSE))/_xlfn.WEIBULL.DIST(CA$2,$M131,$L131,FALSE))*($T131*(1-$F131)+$S131*(1-$G131))*((1+Inputs!$D$7)^CA$2))))))))</f>
        <v>112.51518331702424</v>
      </c>
      <c r="CB131" s="88">
        <f>MAX(AL131,($E131*IF(CB$2&gt;Inputs!$D$5,0,IF(CB$2&gt;VLOOKUP($H131,Lists!$P$3:$Q$7,2),IF($N131=Lists!$K$3,IF($L131&lt;1,(($U131/$L131)*((1+Inputs!$D$7)^CB$2)),((INT(CB$2/$L131)-INT((CB$2-1)/$L131))*$U131*((1+Inputs!$D$7)^CB$2))),(Inputs!$D$8^((1-_xlfn.WEIBULL.DIST(CB$2,$M131,$L131,FALSE))/_xlfn.WEIBULL.DIST(CB$2,$M131,$L131,FALSE))*$U131*((1+Inputs!$D$7)^CB$2))),IF($N131=Lists!$K$3,IF($L131&lt;1,((($T131*(1-$F131)+$S131*(1-$G131))/$L131)*((1+Inputs!$D$7)^CB$2)),((INT(CB$2/$L131)-INT((CB$2-1)/$L131))*($T131*(1-$F131)+$S131*(1-$G131))*((1+Inputs!$D$7)^CB$2))),((Inputs!$D$8^((1-_xlfn.WEIBULL.DIST(CB$2,$M131,$L131,FALSE))/_xlfn.WEIBULL.DIST(CB$2,$M131,$L131,FALSE))*($T131*(1-$F131)+$S131*(1-$G131))*((1+Inputs!$D$7)^CB$2))))))))</f>
        <v>114.76548698336475</v>
      </c>
      <c r="CC131" s="88">
        <f>MAX(AM131,($E131*IF(CC$2&gt;Inputs!$D$5,0,IF(CC$2&gt;VLOOKUP($H131,Lists!$P$3:$Q$7,2),IF($N131=Lists!$K$3,IF($L131&lt;1,(($U131/$L131)*((1+Inputs!$D$7)^CC$2)),((INT(CC$2/$L131)-INT((CC$2-1)/$L131))*$U131*((1+Inputs!$D$7)^CC$2))),(Inputs!$D$8^((1-_xlfn.WEIBULL.DIST(CC$2,$M131,$L131,FALSE))/_xlfn.WEIBULL.DIST(CC$2,$M131,$L131,FALSE))*$U131*((1+Inputs!$D$7)^CC$2))),IF($N131=Lists!$K$3,IF($L131&lt;1,((($T131*(1-$F131)+$S131*(1-$G131))/$L131)*((1+Inputs!$D$7)^CC$2)),((INT(CC$2/$L131)-INT((CC$2-1)/$L131))*($T131*(1-$F131)+$S131*(1-$G131))*((1+Inputs!$D$7)^CC$2))),((Inputs!$D$8^((1-_xlfn.WEIBULL.DIST(CC$2,$M131,$L131,FALSE))/_xlfn.WEIBULL.DIST(CC$2,$M131,$L131,FALSE))*($T131*(1-$F131)+$S131*(1-$G131))*((1+Inputs!$D$7)^CC$2))))))))</f>
        <v>117.06079672303204</v>
      </c>
      <c r="CD131" s="88">
        <f>MAX(AN131,($E131*IF(CD$2&gt;Inputs!$D$5,0,IF(CD$2&gt;VLOOKUP($H131,Lists!$P$3:$Q$7,2),IF($N131=Lists!$K$3,IF($L131&lt;1,(($U131/$L131)*((1+Inputs!$D$7)^CD$2)),((INT(CD$2/$L131)-INT((CD$2-1)/$L131))*$U131*((1+Inputs!$D$7)^CD$2))),(Inputs!$D$8^((1-_xlfn.WEIBULL.DIST(CD$2,$M131,$L131,FALSE))/_xlfn.WEIBULL.DIST(CD$2,$M131,$L131,FALSE))*$U131*((1+Inputs!$D$7)^CD$2))),IF($N131=Lists!$K$3,IF($L131&lt;1,((($T131*(1-$F131)+$S131*(1-$G131))/$L131)*((1+Inputs!$D$7)^CD$2)),((INT(CD$2/$L131)-INT((CD$2-1)/$L131))*($T131*(1-$F131)+$S131*(1-$G131))*((1+Inputs!$D$7)^CD$2))),((Inputs!$D$8^((1-_xlfn.WEIBULL.DIST(CD$2,$M131,$L131,FALSE))/_xlfn.WEIBULL.DIST(CD$2,$M131,$L131,FALSE))*($T131*(1-$F131)+$S131*(1-$G131))*((1+Inputs!$D$7)^CD$2))))))))</f>
        <v>119.40201265749269</v>
      </c>
      <c r="CE131" s="88">
        <f>MAX(AO131,($E131*IF(CE$2&gt;Inputs!$D$5,0,IF(CE$2&gt;VLOOKUP($H131,Lists!$P$3:$Q$7,2),IF($N131=Lists!$K$3,IF($L131&lt;1,(($U131/$L131)*((1+Inputs!$D$7)^CE$2)),((INT(CE$2/$L131)-INT((CE$2-1)/$L131))*$U131*((1+Inputs!$D$7)^CE$2))),(Inputs!$D$8^((1-_xlfn.WEIBULL.DIST(CE$2,$M131,$L131,FALSE))/_xlfn.WEIBULL.DIST(CE$2,$M131,$L131,FALSE))*$U131*((1+Inputs!$D$7)^CE$2))),IF($N131=Lists!$K$3,IF($L131&lt;1,((($T131*(1-$F131)+$S131*(1-$G131))/$L131)*((1+Inputs!$D$7)^CE$2)),((INT(CE$2/$L131)-INT((CE$2-1)/$L131))*($T131*(1-$F131)+$S131*(1-$G131))*((1+Inputs!$D$7)^CE$2))),((Inputs!$D$8^((1-_xlfn.WEIBULL.DIST(CE$2,$M131,$L131,FALSE))/_xlfn.WEIBULL.DIST(CE$2,$M131,$L131,FALSE))*($T131*(1-$F131)+$S131*(1-$G131))*((1+Inputs!$D$7)^CE$2))))))))</f>
        <v>121.79005291064252</v>
      </c>
      <c r="CF131" s="88">
        <f>MAX(AP131,($E131*IF(CF$2&gt;Inputs!$D$5,0,IF(CF$2&gt;VLOOKUP($H131,Lists!$P$3:$Q$7,2),IF($N131=Lists!$K$3,IF($L131&lt;1,(($U131/$L131)*((1+Inputs!$D$7)^CF$2)),((INT(CF$2/$L131)-INT((CF$2-1)/$L131))*$U131*((1+Inputs!$D$7)^CF$2))),(Inputs!$D$8^((1-_xlfn.WEIBULL.DIST(CF$2,$M131,$L131,FALSE))/_xlfn.WEIBULL.DIST(CF$2,$M131,$L131,FALSE))*$U131*((1+Inputs!$D$7)^CF$2))),IF($N131=Lists!$K$3,IF($L131&lt;1,((($T131*(1-$F131)+$S131*(1-$G131))/$L131)*((1+Inputs!$D$7)^CF$2)),((INT(CF$2/$L131)-INT((CF$2-1)/$L131))*($T131*(1-$F131)+$S131*(1-$G131))*((1+Inputs!$D$7)^CF$2))),((Inputs!$D$8^((1-_xlfn.WEIBULL.DIST(CF$2,$M131,$L131,FALSE))/_xlfn.WEIBULL.DIST(CF$2,$M131,$L131,FALSE))*($T131*(1-$F131)+$S131*(1-$G131))*((1+Inputs!$D$7)^CF$2))))))))</f>
        <v>124.22585396885538</v>
      </c>
      <c r="CG131" s="88">
        <f>MAX(AQ131,($E131*IF(CG$2&gt;Inputs!$D$5,0,IF(CG$2&gt;VLOOKUP($H131,Lists!$P$3:$Q$7,2),IF($N131=Lists!$K$3,IF($L131&lt;1,(($U131/$L131)*((1+Inputs!$D$7)^CG$2)),((INT(CG$2/$L131)-INT((CG$2-1)/$L131))*$U131*((1+Inputs!$D$7)^CG$2))),(Inputs!$D$8^((1-_xlfn.WEIBULL.DIST(CG$2,$M131,$L131,FALSE))/_xlfn.WEIBULL.DIST(CG$2,$M131,$L131,FALSE))*$U131*((1+Inputs!$D$7)^CG$2))),IF($N131=Lists!$K$3,IF($L131&lt;1,((($T131*(1-$F131)+$S131*(1-$G131))/$L131)*((1+Inputs!$D$7)^CG$2)),((INT(CG$2/$L131)-INT((CG$2-1)/$L131))*($T131*(1-$F131)+$S131*(1-$G131))*((1+Inputs!$D$7)^CG$2))),((Inputs!$D$8^((1-_xlfn.WEIBULL.DIST(CG$2,$M131,$L131,FALSE))/_xlfn.WEIBULL.DIST(CG$2,$M131,$L131,FALSE))*($T131*(1-$F131)+$S131*(1-$G131))*((1+Inputs!$D$7)^CG$2))))))))</f>
        <v>126.7103710482325</v>
      </c>
      <c r="CH131" s="88">
        <f>MAX(AR131,($E131*IF(CH$2&gt;Inputs!$D$5,0,IF(CH$2&gt;VLOOKUP($H131,Lists!$P$3:$Q$7,2),IF($N131=Lists!$K$3,IF($L131&lt;1,(($U131/$L131)*((1+Inputs!$D$7)^CH$2)),((INT(CH$2/$L131)-INT((CH$2-1)/$L131))*$U131*((1+Inputs!$D$7)^CH$2))),(Inputs!$D$8^((1-_xlfn.WEIBULL.DIST(CH$2,$M131,$L131,FALSE))/_xlfn.WEIBULL.DIST(CH$2,$M131,$L131,FALSE))*$U131*((1+Inputs!$D$7)^CH$2))),IF($N131=Lists!$K$3,IF($L131&lt;1,((($T131*(1-$F131)+$S131*(1-$G131))/$L131)*((1+Inputs!$D$7)^CH$2)),((INT(CH$2/$L131)-INT((CH$2-1)/$L131))*($T131*(1-$F131)+$S131*(1-$G131))*((1+Inputs!$D$7)^CH$2))),((Inputs!$D$8^((1-_xlfn.WEIBULL.DIST(CH$2,$M131,$L131,FALSE))/_xlfn.WEIBULL.DIST(CH$2,$M131,$L131,FALSE))*($T131*(1-$F131)+$S131*(1-$G131))*((1+Inputs!$D$7)^CH$2))))))))</f>
        <v>129.24457846919714</v>
      </c>
      <c r="CI131" s="88">
        <f>MAX(AS131,($E131*IF(CI$2&gt;Inputs!$D$5,0,IF(CI$2&gt;VLOOKUP($H131,Lists!$P$3:$Q$7,2),IF($N131=Lists!$K$3,IF($L131&lt;1,(($U131/$L131)*((1+Inputs!$D$7)^CI$2)),((INT(CI$2/$L131)-INT((CI$2-1)/$L131))*$U131*((1+Inputs!$D$7)^CI$2))),(Inputs!$D$8^((1-_xlfn.WEIBULL.DIST(CI$2,$M131,$L131,FALSE))/_xlfn.WEIBULL.DIST(CI$2,$M131,$L131,FALSE))*$U131*((1+Inputs!$D$7)^CI$2))),IF($N131=Lists!$K$3,IF($L131&lt;1,((($T131*(1-$F131)+$S131*(1-$G131))/$L131)*((1+Inputs!$D$7)^CI$2)),((INT(CI$2/$L131)-INT((CI$2-1)/$L131))*($T131*(1-$F131)+$S131*(1-$G131))*((1+Inputs!$D$7)^CI$2))),((Inputs!$D$8^((1-_xlfn.WEIBULL.DIST(CI$2,$M131,$L131,FALSE))/_xlfn.WEIBULL.DIST(CI$2,$M131,$L131,FALSE))*($T131*(1-$F131)+$S131*(1-$G131))*((1+Inputs!$D$7)^CI$2))))))))</f>
        <v>131.82947003858106</v>
      </c>
      <c r="CJ131" s="88">
        <f>MAX(AT131,($E131*IF(CJ$2&gt;Inputs!$D$5,0,IF(CJ$2&gt;VLOOKUP($H131,Lists!$P$3:$Q$7,2),IF($N131=Lists!$K$3,IF($L131&lt;1,(($U131/$L131)*((1+Inputs!$D$7)^CJ$2)),((INT(CJ$2/$L131)-INT((CJ$2-1)/$L131))*$U131*((1+Inputs!$D$7)^CJ$2))),(Inputs!$D$8^((1-_xlfn.WEIBULL.DIST(CJ$2,$M131,$L131,FALSE))/_xlfn.WEIBULL.DIST(CJ$2,$M131,$L131,FALSE))*$U131*((1+Inputs!$D$7)^CJ$2))),IF($N131=Lists!$K$3,IF($L131&lt;1,((($T131*(1-$F131)+$S131*(1-$G131))/$L131)*((1+Inputs!$D$7)^CJ$2)),((INT(CJ$2/$L131)-INT((CJ$2-1)/$L131))*($T131*(1-$F131)+$S131*(1-$G131))*((1+Inputs!$D$7)^CJ$2))),((Inputs!$D$8^((1-_xlfn.WEIBULL.DIST(CJ$2,$M131,$L131,FALSE))/_xlfn.WEIBULL.DIST(CJ$2,$M131,$L131,FALSE))*($T131*(1-$F131)+$S131*(1-$G131))*((1+Inputs!$D$7)^CJ$2))))))))</f>
        <v>134.4660594393527</v>
      </c>
      <c r="CK131" s="88">
        <f>MAX(AU131,($E131*IF(CK$2&gt;Inputs!$D$5,0,IF(CK$2&gt;VLOOKUP($H131,Lists!$P$3:$Q$7,2),IF($N131=Lists!$K$3,IF($L131&lt;1,(($U131/$L131)*((1+Inputs!$D$7)^CK$2)),((INT(CK$2/$L131)-INT((CK$2-1)/$L131))*$U131*((1+Inputs!$D$7)^CK$2))),(Inputs!$D$8^((1-_xlfn.WEIBULL.DIST(CK$2,$M131,$L131,FALSE))/_xlfn.WEIBULL.DIST(CK$2,$M131,$L131,FALSE))*$U131*((1+Inputs!$D$7)^CK$2))),IF($N131=Lists!$K$3,IF($L131&lt;1,((($T131*(1-$F131)+$S131*(1-$G131))/$L131)*((1+Inputs!$D$7)^CK$2)),((INT(CK$2/$L131)-INT((CK$2-1)/$L131))*($T131*(1-$F131)+$S131*(1-$G131))*((1+Inputs!$D$7)^CK$2))),((Inputs!$D$8^((1-_xlfn.WEIBULL.DIST(CK$2,$M131,$L131,FALSE))/_xlfn.WEIBULL.DIST(CK$2,$M131,$L131,FALSE))*($T131*(1-$F131)+$S131*(1-$G131))*((1+Inputs!$D$7)^CK$2))))))))</f>
        <v>137.15538062813974</v>
      </c>
      <c r="CL131" s="88">
        <f>MAX(AV131,($E131*IF(CL$2&gt;Inputs!$D$5,0,IF(CL$2&gt;VLOOKUP($H131,Lists!$P$3:$Q$7,2),IF($N131=Lists!$K$3,IF($L131&lt;1,(($U131/$L131)*((1+Inputs!$D$7)^CL$2)),((INT(CL$2/$L131)-INT((CL$2-1)/$L131))*$U131*((1+Inputs!$D$7)^CL$2))),(Inputs!$D$8^((1-_xlfn.WEIBULL.DIST(CL$2,$M131,$L131,FALSE))/_xlfn.WEIBULL.DIST(CL$2,$M131,$L131,FALSE))*$U131*((1+Inputs!$D$7)^CL$2))),IF($N131=Lists!$K$3,IF($L131&lt;1,((($T131*(1-$F131)+$S131*(1-$G131))/$L131)*((1+Inputs!$D$7)^CL$2)),((INT(CL$2/$L131)-INT((CL$2-1)/$L131))*($T131*(1-$F131)+$S131*(1-$G131))*((1+Inputs!$D$7)^CL$2))),((Inputs!$D$8^((1-_xlfn.WEIBULL.DIST(CL$2,$M131,$L131,FALSE))/_xlfn.WEIBULL.DIST(CL$2,$M131,$L131,FALSE))*($T131*(1-$F131)+$S131*(1-$G131))*((1+Inputs!$D$7)^CL$2))))))))</f>
        <v>139.89848824070256</v>
      </c>
      <c r="CM131" s="88">
        <f>MAX(AW131,($E131*IF(CM$2&gt;Inputs!$D$5,0,IF(CM$2&gt;VLOOKUP($H131,Lists!$P$3:$Q$7,2),IF($N131=Lists!$K$3,IF($L131&lt;1,(($U131/$L131)*((1+Inputs!$D$7)^CM$2)),((INT(CM$2/$L131)-INT((CM$2-1)/$L131))*$U131*((1+Inputs!$D$7)^CM$2))),(Inputs!$D$8^((1-_xlfn.WEIBULL.DIST(CM$2,$M131,$L131,FALSE))/_xlfn.WEIBULL.DIST(CM$2,$M131,$L131,FALSE))*$U131*((1+Inputs!$D$7)^CM$2))),IF($N131=Lists!$K$3,IF($L131&lt;1,((($T131*(1-$F131)+$S131*(1-$G131))/$L131)*((1+Inputs!$D$7)^CM$2)),((INT(CM$2/$L131)-INT((CM$2-1)/$L131))*($T131*(1-$F131)+$S131*(1-$G131))*((1+Inputs!$D$7)^CM$2))),((Inputs!$D$8^((1-_xlfn.WEIBULL.DIST(CM$2,$M131,$L131,FALSE))/_xlfn.WEIBULL.DIST(CM$2,$M131,$L131,FALSE))*($T131*(1-$F131)+$S131*(1-$G131))*((1+Inputs!$D$7)^CM$2))))))))</f>
        <v>142.69645800551658</v>
      </c>
      <c r="CN131" s="88">
        <f>MAX(AX131,($E131*IF(CN$2&gt;Inputs!$D$5,0,IF(CN$2&gt;VLOOKUP($H131,Lists!$P$3:$Q$7,2),IF($N131=Lists!$K$3,IF($L131&lt;1,(($U131/$L131)*((1+Inputs!$D$7)^CN$2)),((INT(CN$2/$L131)-INT((CN$2-1)/$L131))*$U131*((1+Inputs!$D$7)^CN$2))),(Inputs!$D$8^((1-_xlfn.WEIBULL.DIST(CN$2,$M131,$L131,FALSE))/_xlfn.WEIBULL.DIST(CN$2,$M131,$L131,FALSE))*$U131*((1+Inputs!$D$7)^CN$2))),IF($N131=Lists!$K$3,IF($L131&lt;1,((($T131*(1-$F131)+$S131*(1-$G131))/$L131)*((1+Inputs!$D$7)^CN$2)),((INT(CN$2/$L131)-INT((CN$2-1)/$L131))*($T131*(1-$F131)+$S131*(1-$G131))*((1+Inputs!$D$7)^CN$2))),((Inputs!$D$8^((1-_xlfn.WEIBULL.DIST(CN$2,$M131,$L131,FALSE))/_xlfn.WEIBULL.DIST(CN$2,$M131,$L131,FALSE))*($T131*(1-$F131)+$S131*(1-$G131))*((1+Inputs!$D$7)^CN$2))))))))</f>
        <v>145.55038716562692</v>
      </c>
      <c r="CO131" s="88">
        <f>MAX(AY131,($E131*IF(CO$2&gt;Inputs!$D$5,0,IF(CO$2&gt;VLOOKUP($H131,Lists!$P$3:$Q$7,2),IF($N131=Lists!$K$3,IF($L131&lt;1,(($U131/$L131)*((1+Inputs!$D$7)^CO$2)),((INT(CO$2/$L131)-INT((CO$2-1)/$L131))*$U131*((1+Inputs!$D$7)^CO$2))),(Inputs!$D$8^((1-_xlfn.WEIBULL.DIST(CO$2,$M131,$L131,FALSE))/_xlfn.WEIBULL.DIST(CO$2,$M131,$L131,FALSE))*$U131*((1+Inputs!$D$7)^CO$2))),IF($N131=Lists!$K$3,IF($L131&lt;1,((($T131*(1-$F131)+$S131*(1-$G131))/$L131)*((1+Inputs!$D$7)^CO$2)),((INT(CO$2/$L131)-INT((CO$2-1)/$L131))*($T131*(1-$F131)+$S131*(1-$G131))*((1+Inputs!$D$7)^CO$2))),((Inputs!$D$8^((1-_xlfn.WEIBULL.DIST(CO$2,$M131,$L131,FALSE))/_xlfn.WEIBULL.DIST(CO$2,$M131,$L131,FALSE))*($T131*(1-$F131)+$S131*(1-$G131))*((1+Inputs!$D$7)^CO$2))))))))</f>
        <v>148.46139490893947</v>
      </c>
      <c r="CP131" s="88">
        <f>MAX(AZ131,($E131*IF(CP$2&gt;Inputs!$D$5,0,IF(CP$2&gt;VLOOKUP($H131,Lists!$P$3:$Q$7,2),IF($N131=Lists!$K$3,IF($L131&lt;1,(($U131/$L131)*((1+Inputs!$D$7)^CP$2)),((INT(CP$2/$L131)-INT((CP$2-1)/$L131))*$U131*((1+Inputs!$D$7)^CP$2))),(Inputs!$D$8^((1-_xlfn.WEIBULL.DIST(CP$2,$M131,$L131,FALSE))/_xlfn.WEIBULL.DIST(CP$2,$M131,$L131,FALSE))*$U131*((1+Inputs!$D$7)^CP$2))),IF($N131=Lists!$K$3,IF($L131&lt;1,((($T131*(1-$F131)+$S131*(1-$G131))/$L131)*((1+Inputs!$D$7)^CP$2)),((INT(CP$2/$L131)-INT((CP$2-1)/$L131))*($T131*(1-$F131)+$S131*(1-$G131))*((1+Inputs!$D$7)^CP$2))),((Inputs!$D$8^((1-_xlfn.WEIBULL.DIST(CP$2,$M131,$L131,FALSE))/_xlfn.WEIBULL.DIST(CP$2,$M131,$L131,FALSE))*($T131*(1-$F131)+$S131*(1-$G131))*((1+Inputs!$D$7)^CP$2))))))))</f>
        <v>0</v>
      </c>
      <c r="CQ131" s="88">
        <f>MAX(BA131,($E131*IF(CQ$2&gt;Inputs!$D$5,0,IF(CQ$2&gt;VLOOKUP($H131,Lists!$P$3:$Q$7,2),IF($N131=Lists!$K$3,IF($L131&lt;1,(($U131/$L131)*((1+Inputs!$D$7)^CQ$2)),((INT(CQ$2/$L131)-INT((CQ$2-1)/$L131))*$U131*((1+Inputs!$D$7)^CQ$2))),(Inputs!$D$8^((1-_xlfn.WEIBULL.DIST(CQ$2,$M131,$L131,FALSE))/_xlfn.WEIBULL.DIST(CQ$2,$M131,$L131,FALSE))*$U131*((1+Inputs!$D$7)^CQ$2))),IF($N131=Lists!$K$3,IF($L131&lt;1,((($T131*(1-$F131)+$S131*(1-$G131))/$L131)*((1+Inputs!$D$7)^CQ$2)),((INT(CQ$2/$L131)-INT((CQ$2-1)/$L131))*($T131*(1-$F131)+$S131*(1-$G131))*((1+Inputs!$D$7)^CQ$2))),((Inputs!$D$8^((1-_xlfn.WEIBULL.DIST(CQ$2,$M131,$L131,FALSE))/_xlfn.WEIBULL.DIST(CQ$2,$M131,$L131,FALSE))*($T131*(1-$F131)+$S131*(1-$G131))*((1+Inputs!$D$7)^CQ$2))))))))</f>
        <v>0</v>
      </c>
      <c r="CR131" s="88">
        <f>MAX(BB131,($E131*IF(CR$2&gt;Inputs!$D$5,0,IF(CR$2&gt;VLOOKUP($H131,Lists!$P$3:$Q$7,2),IF($N131=Lists!$K$3,IF($L131&lt;1,(($U131/$L131)*((1+Inputs!$D$7)^CR$2)),((INT(CR$2/$L131)-INT((CR$2-1)/$L131))*$U131*((1+Inputs!$D$7)^CR$2))),(Inputs!$D$8^((1-_xlfn.WEIBULL.DIST(CR$2,$M131,$L131,FALSE))/_xlfn.WEIBULL.DIST(CR$2,$M131,$L131,FALSE))*$U131*((1+Inputs!$D$7)^CR$2))),IF($N131=Lists!$K$3,IF($L131&lt;1,((($T131*(1-$F131)+$S131*(1-$G131))/$L131)*((1+Inputs!$D$7)^CR$2)),((INT(CR$2/$L131)-INT((CR$2-1)/$L131))*($T131*(1-$F131)+$S131*(1-$G131))*((1+Inputs!$D$7)^CR$2))),((Inputs!$D$8^((1-_xlfn.WEIBULL.DIST(CR$2,$M131,$L131,FALSE))/_xlfn.WEIBULL.DIST(CR$2,$M131,$L131,FALSE))*($T131*(1-$F131)+$S131*(1-$G131))*((1+Inputs!$D$7)^CR$2))))))))</f>
        <v>0</v>
      </c>
      <c r="CS131" s="88">
        <f>MAX(BC131,($E131*IF(CS$2&gt;Inputs!$D$5,0,IF(CS$2&gt;VLOOKUP($H131,Lists!$P$3:$Q$7,2),IF($N131=Lists!$K$3,IF($L131&lt;1,(($U131/$L131)*((1+Inputs!$D$7)^CS$2)),((INT(CS$2/$L131)-INT((CS$2-1)/$L131))*$U131*((1+Inputs!$D$7)^CS$2))),(Inputs!$D$8^((1-_xlfn.WEIBULL.DIST(CS$2,$M131,$L131,FALSE))/_xlfn.WEIBULL.DIST(CS$2,$M131,$L131,FALSE))*$U131*((1+Inputs!$D$7)^CS$2))),IF($N131=Lists!$K$3,IF($L131&lt;1,((($T131*(1-$F131)+$S131*(1-$G131))/$L131)*((1+Inputs!$D$7)^CS$2)),((INT(CS$2/$L131)-INT((CS$2-1)/$L131))*($T131*(1-$F131)+$S131*(1-$G131))*((1+Inputs!$D$7)^CS$2))),((Inputs!$D$8^((1-_xlfn.WEIBULL.DIST(CS$2,$M131,$L131,FALSE))/_xlfn.WEIBULL.DIST(CS$2,$M131,$L131,FALSE))*($T131*(1-$F131)+$S131*(1-$G131))*((1+Inputs!$D$7)^CS$2))))))))</f>
        <v>0</v>
      </c>
      <c r="CT131" s="88">
        <f>MAX(BD131,($E131*IF(CT$2&gt;Inputs!$D$5,0,IF(CT$2&gt;VLOOKUP($H131,Lists!$P$3:$Q$7,2),IF($N131=Lists!$K$3,IF($L131&lt;1,(($U131/$L131)*((1+Inputs!$D$7)^CT$2)),((INT(CT$2/$L131)-INT((CT$2-1)/$L131))*$U131*((1+Inputs!$D$7)^CT$2))),(Inputs!$D$8^((1-_xlfn.WEIBULL.DIST(CT$2,$M131,$L131,FALSE))/_xlfn.WEIBULL.DIST(CT$2,$M131,$L131,FALSE))*$U131*((1+Inputs!$D$7)^CT$2))),IF($N131=Lists!$K$3,IF($L131&lt;1,((($T131*(1-$F131)+$S131*(1-$G131))/$L131)*((1+Inputs!$D$7)^CT$2)),((INT(CT$2/$L131)-INT((CT$2-1)/$L131))*($T131*(1-$F131)+$S131*(1-$G131))*((1+Inputs!$D$7)^CT$2))),((Inputs!$D$8^((1-_xlfn.WEIBULL.DIST(CT$2,$M131,$L131,FALSE))/_xlfn.WEIBULL.DIST(CT$2,$M131,$L131,FALSE))*($T131*(1-$F131)+$S131*(1-$G131))*((1+Inputs!$D$7)^CT$2))))))))</f>
        <v>0</v>
      </c>
      <c r="CU131" s="88">
        <f>MAX(BE131,($E131*IF(CU$2&gt;Inputs!$D$5,0,IF(CU$2&gt;VLOOKUP($H131,Lists!$P$3:$Q$7,2),IF($N131=Lists!$K$3,IF($L131&lt;1,(($U131/$L131)*((1+Inputs!$D$7)^CU$2)),((INT(CU$2/$L131)-INT((CU$2-1)/$L131))*$U131*((1+Inputs!$D$7)^CU$2))),(Inputs!$D$8^((1-_xlfn.WEIBULL.DIST(CU$2,$M131,$L131,FALSE))/_xlfn.WEIBULL.DIST(CU$2,$M131,$L131,FALSE))*$U131*((1+Inputs!$D$7)^CU$2))),IF($N131=Lists!$K$3,IF($L131&lt;1,((($T131*(1-$F131)+$S131*(1-$G131))/$L131)*((1+Inputs!$D$7)^CU$2)),((INT(CU$2/$L131)-INT((CU$2-1)/$L131))*($T131*(1-$F131)+$S131*(1-$G131))*((1+Inputs!$D$7)^CU$2))),((Inputs!$D$8^((1-_xlfn.WEIBULL.DIST(CU$2,$M131,$L131,FALSE))/_xlfn.WEIBULL.DIST(CU$2,$M131,$L131,FALSE))*($T131*(1-$F131)+$S131*(1-$G131))*((1+Inputs!$D$7)^CU$2))))))))</f>
        <v>0</v>
      </c>
      <c r="CV131" s="88">
        <f>MAX(BF131,($E131*IF(CV$2&gt;Inputs!$D$5,0,IF(CV$2&gt;VLOOKUP($H131,Lists!$P$3:$Q$7,2),IF($N131=Lists!$K$3,IF($L131&lt;1,(($U131/$L131)*((1+Inputs!$D$7)^CV$2)),((INT(CV$2/$L131)-INT((CV$2-1)/$L131))*$U131*((1+Inputs!$D$7)^CV$2))),(Inputs!$D$8^((1-_xlfn.WEIBULL.DIST(CV$2,$M131,$L131,FALSE))/_xlfn.WEIBULL.DIST(CV$2,$M131,$L131,FALSE))*$U131*((1+Inputs!$D$7)^CV$2))),IF($N131=Lists!$K$3,IF($L131&lt;1,((($T131*(1-$F131)+$S131*(1-$G131))/$L131)*((1+Inputs!$D$7)^CV$2)),((INT(CV$2/$L131)-INT((CV$2-1)/$L131))*($T131*(1-$F131)+$S131*(1-$G131))*((1+Inputs!$D$7)^CV$2))),((Inputs!$D$8^((1-_xlfn.WEIBULL.DIST(CV$2,$M131,$L131,FALSE))/_xlfn.WEIBULL.DIST(CV$2,$M131,$L131,FALSE))*($T131*(1-$F131)+$S131*(1-$G131))*((1+Inputs!$D$7)^CV$2))))))))</f>
        <v>0</v>
      </c>
      <c r="CW131" s="88">
        <f>MAX(BG131,($E131*IF(CW$2&gt;Inputs!$D$5,0,IF(CW$2&gt;VLOOKUP($H131,Lists!$P$3:$Q$7,2),IF($N131=Lists!$K$3,IF($L131&lt;1,(($U131/$L131)*((1+Inputs!$D$7)^CW$2)),((INT(CW$2/$L131)-INT((CW$2-1)/$L131))*$U131*((1+Inputs!$D$7)^CW$2))),(Inputs!$D$8^((1-_xlfn.WEIBULL.DIST(CW$2,$M131,$L131,FALSE))/_xlfn.WEIBULL.DIST(CW$2,$M131,$L131,FALSE))*$U131*((1+Inputs!$D$7)^CW$2))),IF($N131=Lists!$K$3,IF($L131&lt;1,((($T131*(1-$F131)+$S131*(1-$G131))/$L131)*((1+Inputs!$D$7)^CW$2)),((INT(CW$2/$L131)-INT((CW$2-1)/$L131))*($T131*(1-$F131)+$S131*(1-$G131))*((1+Inputs!$D$7)^CW$2))),((Inputs!$D$8^((1-_xlfn.WEIBULL.DIST(CW$2,$M131,$L131,FALSE))/_xlfn.WEIBULL.DIST(CW$2,$M131,$L131,FALSE))*($T131*(1-$F131)+$S131*(1-$G131))*((1+Inputs!$D$7)^CW$2))))))))</f>
        <v>0</v>
      </c>
      <c r="CX131" s="88">
        <f>MAX(BH131,($E131*IF(CX$2&gt;Inputs!$D$5,0,IF(CX$2&gt;VLOOKUP($H131,Lists!$P$3:$Q$7,2),IF($N131=Lists!$K$3,IF($L131&lt;1,(($U131/$L131)*((1+Inputs!$D$7)^CX$2)),((INT(CX$2/$L131)-INT((CX$2-1)/$L131))*$U131*((1+Inputs!$D$7)^CX$2))),(Inputs!$D$8^((1-_xlfn.WEIBULL.DIST(CX$2,$M131,$L131,FALSE))/_xlfn.WEIBULL.DIST(CX$2,$M131,$L131,FALSE))*$U131*((1+Inputs!$D$7)^CX$2))),IF($N131=Lists!$K$3,IF($L131&lt;1,((($T131*(1-$F131)+$S131*(1-$G131))/$L131)*((1+Inputs!$D$7)^CX$2)),((INT(CX$2/$L131)-INT((CX$2-1)/$L131))*($T131*(1-$F131)+$S131*(1-$G131))*((1+Inputs!$D$7)^CX$2))),((Inputs!$D$8^((1-_xlfn.WEIBULL.DIST(CX$2,$M131,$L131,FALSE))/_xlfn.WEIBULL.DIST(CX$2,$M131,$L131,FALSE))*($T131*(1-$F131)+$S131*(1-$G131))*((1+Inputs!$D$7)^CX$2))))))))</f>
        <v>0</v>
      </c>
      <c r="CY131" s="88">
        <f>MAX(BI131,($E131*IF(CY$2&gt;Inputs!$D$5,0,IF(CY$2&gt;VLOOKUP($H131,Lists!$P$3:$Q$7,2),IF($N131=Lists!$K$3,IF($L131&lt;1,(($U131/$L131)*((1+Inputs!$D$7)^CY$2)),((INT(CY$2/$L131)-INT((CY$2-1)/$L131))*$U131*((1+Inputs!$D$7)^CY$2))),(Inputs!$D$8^((1-_xlfn.WEIBULL.DIST(CY$2,$M131,$L131,FALSE))/_xlfn.WEIBULL.DIST(CY$2,$M131,$L131,FALSE))*$U131*((1+Inputs!$D$7)^CY$2))),IF($N131=Lists!$K$3,IF($L131&lt;1,((($T131*(1-$F131)+$S131*(1-$G131))/$L131)*((1+Inputs!$D$7)^CY$2)),((INT(CY$2/$L131)-INT((CY$2-1)/$L131))*($T131*(1-$F131)+$S131*(1-$G131))*((1+Inputs!$D$7)^CY$2))),((Inputs!$D$8^((1-_xlfn.WEIBULL.DIST(CY$2,$M131,$L131,FALSE))/_xlfn.WEIBULL.DIST(CY$2,$M131,$L131,FALSE))*($T131*(1-$F131)+$S131*(1-$G131))*((1+Inputs!$D$7)^CY$2))))))))</f>
        <v>0</v>
      </c>
      <c r="CZ131" s="88">
        <f>MAX(BJ131,($E131*IF(CZ$2&gt;Inputs!$D$5,0,IF(CZ$2&gt;VLOOKUP($H131,Lists!$P$3:$Q$7,2),IF($N131=Lists!$K$3,IF($L131&lt;1,(($U131/$L131)*((1+Inputs!$D$7)^CZ$2)),((INT(CZ$2/$L131)-INT((CZ$2-1)/$L131))*$U131*((1+Inputs!$D$7)^CZ$2))),(Inputs!$D$8^((1-_xlfn.WEIBULL.DIST(CZ$2,$M131,$L131,FALSE))/_xlfn.WEIBULL.DIST(CZ$2,$M131,$L131,FALSE))*$U131*((1+Inputs!$D$7)^CZ$2))),IF($N131=Lists!$K$3,IF($L131&lt;1,((($T131*(1-$F131)+$S131*(1-$G131))/$L131)*((1+Inputs!$D$7)^CZ$2)),((INT(CZ$2/$L131)-INT((CZ$2-1)/$L131))*($T131*(1-$F131)+$S131*(1-$G131))*((1+Inputs!$D$7)^CZ$2))),((Inputs!$D$8^((1-_xlfn.WEIBULL.DIST(CZ$2,$M131,$L131,FALSE))/_xlfn.WEIBULL.DIST(CZ$2,$M131,$L131,FALSE))*($T131*(1-$F131)+$S131*(1-$G131))*((1+Inputs!$D$7)^CZ$2))))))))</f>
        <v>0</v>
      </c>
      <c r="DA131" s="88">
        <f>MAX(BK131,($E131*IF(DA$2&gt;Inputs!$D$5,0,IF(DA$2&gt;VLOOKUP($H131,Lists!$P$3:$Q$7,2),IF($N131=Lists!$K$3,IF($L131&lt;1,(($U131/$L131)*((1+Inputs!$D$7)^DA$2)),((INT(DA$2/$L131)-INT((DA$2-1)/$L131))*$U131*((1+Inputs!$D$7)^DA$2))),(Inputs!$D$8^((1-_xlfn.WEIBULL.DIST(DA$2,$M131,$L131,FALSE))/_xlfn.WEIBULL.DIST(DA$2,$M131,$L131,FALSE))*$U131*((1+Inputs!$D$7)^DA$2))),IF($N131=Lists!$K$3,IF($L131&lt;1,((($T131*(1-$F131)+$S131*(1-$G131))/$L131)*((1+Inputs!$D$7)^DA$2)),((INT(DA$2/$L131)-INT((DA$2-1)/$L131))*($T131*(1-$F131)+$S131*(1-$G131))*((1+Inputs!$D$7)^DA$2))),((Inputs!$D$8^((1-_xlfn.WEIBULL.DIST(DA$2,$M131,$L131,FALSE))/_xlfn.WEIBULL.DIST(DA$2,$M131,$L131,FALSE))*($T131*(1-$F131)+$S131*(1-$G131))*((1+Inputs!$D$7)^DA$2))))))))</f>
        <v>0</v>
      </c>
      <c r="DB131" s="88">
        <f>MAX(BL131,($E131*IF(DB$2&gt;Inputs!$D$5,0,IF(DB$2&gt;VLOOKUP($H131,Lists!$P$3:$Q$7,2),IF($N131=Lists!$K$3,IF($L131&lt;1,(($U131/$L131)*((1+Inputs!$D$7)^DB$2)),((INT(DB$2/$L131)-INT((DB$2-1)/$L131))*$U131*((1+Inputs!$D$7)^DB$2))),(Inputs!$D$8^((1-_xlfn.WEIBULL.DIST(DB$2,$M131,$L131,FALSE))/_xlfn.WEIBULL.DIST(DB$2,$M131,$L131,FALSE))*$U131*((1+Inputs!$D$7)^DB$2))),IF($N131=Lists!$K$3,IF($L131&lt;1,((($T131*(1-$F131)+$S131*(1-$G131))/$L131)*((1+Inputs!$D$7)^DB$2)),((INT(DB$2/$L131)-INT((DB$2-1)/$L131))*($T131*(1-$F131)+$S131*(1-$G131))*((1+Inputs!$D$7)^DB$2))),((Inputs!$D$8^((1-_xlfn.WEIBULL.DIST(DB$2,$M131,$L131,FALSE))/_xlfn.WEIBULL.DIST(DB$2,$M131,$L131,FALSE))*($T131*(1-$F131)+$S131*(1-$G131))*((1+Inputs!$D$7)^DB$2))))))))</f>
        <v>0</v>
      </c>
      <c r="DC131" s="88">
        <f>MAX(BM131,($E131*IF(DC$2&gt;Inputs!$D$5,0,IF(DC$2&gt;VLOOKUP($H131,Lists!$P$3:$Q$7,2),IF($N131=Lists!$K$3,IF($L131&lt;1,(($U131/$L131)*((1+Inputs!$D$7)^DC$2)),((INT(DC$2/$L131)-INT((DC$2-1)/$L131))*$U131*((1+Inputs!$D$7)^DC$2))),(Inputs!$D$8^((1-_xlfn.WEIBULL.DIST(DC$2,$M131,$L131,FALSE))/_xlfn.WEIBULL.DIST(DC$2,$M131,$L131,FALSE))*$U131*((1+Inputs!$D$7)^DC$2))),IF($N131=Lists!$K$3,IF($L131&lt;1,((($T131*(1-$F131)+$S131*(1-$G131))/$L131)*((1+Inputs!$D$7)^DC$2)),((INT(DC$2/$L131)-INT((DC$2-1)/$L131))*($T131*(1-$F131)+$S131*(1-$G131))*((1+Inputs!$D$7)^DC$2))),((Inputs!$D$8^((1-_xlfn.WEIBULL.DIST(DC$2,$M131,$L131,FALSE))/_xlfn.WEIBULL.DIST(DC$2,$M131,$L131,FALSE))*($T131*(1-$F131)+$S131*(1-$G131))*((1+Inputs!$D$7)^DC$2))))))))</f>
        <v>0</v>
      </c>
      <c r="DD131" s="88">
        <f>MAX(BN131,($E131*IF(DD$2&gt;Inputs!$D$5,0,IF(DD$2&gt;VLOOKUP($H131,Lists!$P$3:$Q$7,2),IF($N131=Lists!$K$3,IF($L131&lt;1,(($U131/$L131)*((1+Inputs!$D$7)^DD$2)),((INT(DD$2/$L131)-INT((DD$2-1)/$L131))*$U131*((1+Inputs!$D$7)^DD$2))),(Inputs!$D$8^((1-_xlfn.WEIBULL.DIST(DD$2,$M131,$L131,FALSE))/_xlfn.WEIBULL.DIST(DD$2,$M131,$L131,FALSE))*$U131*((1+Inputs!$D$7)^DD$2))),IF($N131=Lists!$K$3,IF($L131&lt;1,((($T131*(1-$F131)+$S131*(1-$G131))/$L131)*((1+Inputs!$D$7)^DD$2)),((INT(DD$2/$L131)-INT((DD$2-1)/$L131))*($T131*(1-$F131)+$S131*(1-$G131))*((1+Inputs!$D$7)^DD$2))),((Inputs!$D$8^((1-_xlfn.WEIBULL.DIST(DD$2,$M131,$L131,FALSE))/_xlfn.WEIBULL.DIST(DD$2,$M131,$L131,FALSE))*($T131*(1-$F131)+$S131*(1-$G131))*((1+Inputs!$D$7)^DD$2))))))))</f>
        <v>0</v>
      </c>
    </row>
    <row r="132" spans="1:108" ht="16">
      <c r="A132" s="57" t="s">
        <v>251</v>
      </c>
      <c r="B132" s="13" t="s">
        <v>279</v>
      </c>
      <c r="C132" s="13" t="s">
        <v>90</v>
      </c>
      <c r="D132" s="13" t="s">
        <v>37</v>
      </c>
      <c r="E132" s="48">
        <f>IF(Inputs!$D$54=Lists!$AA$3,0,1)</f>
        <v>1</v>
      </c>
      <c r="F132" s="48">
        <v>0</v>
      </c>
      <c r="G132" s="48">
        <v>0</v>
      </c>
      <c r="H132" s="105" t="s">
        <v>350</v>
      </c>
      <c r="I132" s="14"/>
      <c r="J132" s="14" t="s">
        <v>246</v>
      </c>
      <c r="K132" s="13">
        <f>VLOOKUP(J132,'Labor Rates'!$A$1:$F$16,2)</f>
        <v>33.119999999999997</v>
      </c>
      <c r="L132" s="15">
        <v>1</v>
      </c>
      <c r="M132" s="15">
        <v>1</v>
      </c>
      <c r="N132" s="13" t="s">
        <v>236</v>
      </c>
      <c r="O132" s="61">
        <f>Inputs!$D$56*E132</f>
        <v>10.245901639344263</v>
      </c>
      <c r="P132" s="15">
        <v>0.1</v>
      </c>
      <c r="Q132" s="15">
        <f t="shared" si="28"/>
        <v>1.0245901639344264</v>
      </c>
      <c r="R132" s="4">
        <v>0</v>
      </c>
      <c r="S132" s="53">
        <f t="shared" si="29"/>
        <v>33.934426229508198</v>
      </c>
      <c r="T132" s="53">
        <f t="shared" si="30"/>
        <v>0</v>
      </c>
      <c r="U132" s="54">
        <f t="shared" si="31"/>
        <v>33.934426229508198</v>
      </c>
      <c r="V132" s="65"/>
      <c r="W132" s="58"/>
      <c r="X132" s="64">
        <f t="shared" si="32"/>
        <v>42.05038245363513</v>
      </c>
      <c r="Y132" s="64">
        <f>NPV(Inputs!$D$6,AA132:BN132)</f>
        <v>483.0050373027766</v>
      </c>
      <c r="Z132" s="67">
        <f t="shared" si="33"/>
        <v>2.2780875623984115E-4</v>
      </c>
      <c r="AA132" s="88">
        <f>$E132*IF(AA$2&gt;Inputs!$D$5,0,IF(AA$2&gt;VLOOKUP($H132,Lists!$P$3:$Q$7,2),IF($N132=Lists!$K$3,IF($L132&lt;1,(($U132/$L132)*((1+Inputs!$D$7)^AA$2)),((INT(AA$2/$L132)-INT((AA$2-1)/$L132))*$U132*((1+Inputs!$D$7)^AA$2))),(_xlfn.WEIBULL.DIST(AA$2,$M132,$L132,FALSE)*$U132*((1+Inputs!$D$7)^AA$2))),IF($N132=Lists!$K$3,IF($L132&lt;1,((($T132*(1-$F132)+$S132*(1-$G132))/$L132)*((1+Inputs!$D$7)^AA$2)),((INT(AA$2/$L132)-INT((AA$2-1)/$L132))*($T132*(1-$F132)+$S132*(1-$G132))*((1+Inputs!$D$7)^AA$2))),((_xlfn.WEIBULL.DIST(AA$2,$M132,$L132,FALSE)*($T132*(1-$F132)+$S132*(1-$G132))*((1+Inputs!$D$7)^AA$2))))))</f>
        <v>34.613114754098362</v>
      </c>
      <c r="AB132" s="88">
        <f>$E132*IF(AB$2&gt;Inputs!$D$5,0,IF(AB$2&gt;VLOOKUP($H132,Lists!$P$3:$Q$7,2),IF($N132=Lists!$K$3,IF($L132&lt;1,(($U132/$L132)*((1+Inputs!$D$7)^AB$2)),((INT(AB$2/$L132)-INT((AB$2-1)/$L132))*$U132*((1+Inputs!$D$7)^AB$2))),(_xlfn.WEIBULL.DIST(AB$2,$M132,$L132,FALSE)*$U132*((1+Inputs!$D$7)^AB$2))),IF($N132=Lists!$K$3,IF($L132&lt;1,((($T132*(1-$F132)+$S132*(1-$G132))/$L132)*((1+Inputs!$D$7)^AB$2)),((INT(AB$2/$L132)-INT((AB$2-1)/$L132))*($T132*(1-$F132)+$S132*(1-$G132))*((1+Inputs!$D$7)^AB$2))),((_xlfn.WEIBULL.DIST(AB$2,$M132,$L132,FALSE)*($T132*(1-$F132)+$S132*(1-$G132))*((1+Inputs!$D$7)^AB$2))))))</f>
        <v>35.305377049180329</v>
      </c>
      <c r="AC132" s="88">
        <f>$E132*IF(AC$2&gt;Inputs!$D$5,0,IF(AC$2&gt;VLOOKUP($H132,Lists!$P$3:$Q$7,2),IF($N132=Lists!$K$3,IF($L132&lt;1,(($U132/$L132)*((1+Inputs!$D$7)^AC$2)),((INT(AC$2/$L132)-INT((AC$2-1)/$L132))*$U132*((1+Inputs!$D$7)^AC$2))),(_xlfn.WEIBULL.DIST(AC$2,$M132,$L132,FALSE)*$U132*((1+Inputs!$D$7)^AC$2))),IF($N132=Lists!$K$3,IF($L132&lt;1,((($T132*(1-$F132)+$S132*(1-$G132))/$L132)*((1+Inputs!$D$7)^AC$2)),((INT(AC$2/$L132)-INT((AC$2-1)/$L132))*($T132*(1-$F132)+$S132*(1-$G132))*((1+Inputs!$D$7)^AC$2))),((_xlfn.WEIBULL.DIST(AC$2,$M132,$L132,FALSE)*($T132*(1-$F132)+$S132*(1-$G132))*((1+Inputs!$D$7)^AC$2))))))</f>
        <v>36.011484590163931</v>
      </c>
      <c r="AD132" s="88">
        <f>$E132*IF(AD$2&gt;Inputs!$D$5,0,IF(AD$2&gt;VLOOKUP($H132,Lists!$P$3:$Q$7,2),IF($N132=Lists!$K$3,IF($L132&lt;1,(($U132/$L132)*((1+Inputs!$D$7)^AD$2)),((INT(AD$2/$L132)-INT((AD$2-1)/$L132))*$U132*((1+Inputs!$D$7)^AD$2))),(_xlfn.WEIBULL.DIST(AD$2,$M132,$L132,FALSE)*$U132*((1+Inputs!$D$7)^AD$2))),IF($N132=Lists!$K$3,IF($L132&lt;1,((($T132*(1-$F132)+$S132*(1-$G132))/$L132)*((1+Inputs!$D$7)^AD$2)),((INT(AD$2/$L132)-INT((AD$2-1)/$L132))*($T132*(1-$F132)+$S132*(1-$G132))*((1+Inputs!$D$7)^AD$2))),((_xlfn.WEIBULL.DIST(AD$2,$M132,$L132,FALSE)*($T132*(1-$F132)+$S132*(1-$G132))*((1+Inputs!$D$7)^AD$2))))))</f>
        <v>36.731714281967214</v>
      </c>
      <c r="AE132" s="88">
        <f>$E132*IF(AE$2&gt;Inputs!$D$5,0,IF(AE$2&gt;VLOOKUP($H132,Lists!$P$3:$Q$7,2),IF($N132=Lists!$K$3,IF($L132&lt;1,(($U132/$L132)*((1+Inputs!$D$7)^AE$2)),((INT(AE$2/$L132)-INT((AE$2-1)/$L132))*$U132*((1+Inputs!$D$7)^AE$2))),(_xlfn.WEIBULL.DIST(AE$2,$M132,$L132,FALSE)*$U132*((1+Inputs!$D$7)^AE$2))),IF($N132=Lists!$K$3,IF($L132&lt;1,((($T132*(1-$F132)+$S132*(1-$G132))/$L132)*((1+Inputs!$D$7)^AE$2)),((INT(AE$2/$L132)-INT((AE$2-1)/$L132))*($T132*(1-$F132)+$S132*(1-$G132))*((1+Inputs!$D$7)^AE$2))),((_xlfn.WEIBULL.DIST(AE$2,$M132,$L132,FALSE)*($T132*(1-$F132)+$S132*(1-$G132))*((1+Inputs!$D$7)^AE$2))))))</f>
        <v>37.466348567606559</v>
      </c>
      <c r="AF132" s="88">
        <f>$E132*IF(AF$2&gt;Inputs!$D$5,0,IF(AF$2&gt;VLOOKUP($H132,Lists!$P$3:$Q$7,2),IF($N132=Lists!$K$3,IF($L132&lt;1,(($U132/$L132)*((1+Inputs!$D$7)^AF$2)),((INT(AF$2/$L132)-INT((AF$2-1)/$L132))*$U132*((1+Inputs!$D$7)^AF$2))),(_xlfn.WEIBULL.DIST(AF$2,$M132,$L132,FALSE)*$U132*((1+Inputs!$D$7)^AF$2))),IF($N132=Lists!$K$3,IF($L132&lt;1,((($T132*(1-$F132)+$S132*(1-$G132))/$L132)*((1+Inputs!$D$7)^AF$2)),((INT(AF$2/$L132)-INT((AF$2-1)/$L132))*($T132*(1-$F132)+$S132*(1-$G132))*((1+Inputs!$D$7)^AF$2))),((_xlfn.WEIBULL.DIST(AF$2,$M132,$L132,FALSE)*($T132*(1-$F132)+$S132*(1-$G132))*((1+Inputs!$D$7)^AF$2))))))</f>
        <v>38.215675538958692</v>
      </c>
      <c r="AG132" s="88">
        <f>$E132*IF(AG$2&gt;Inputs!$D$5,0,IF(AG$2&gt;VLOOKUP($H132,Lists!$P$3:$Q$7,2),IF($N132=Lists!$K$3,IF($L132&lt;1,(($U132/$L132)*((1+Inputs!$D$7)^AG$2)),((INT(AG$2/$L132)-INT((AG$2-1)/$L132))*$U132*((1+Inputs!$D$7)^AG$2))),(_xlfn.WEIBULL.DIST(AG$2,$M132,$L132,FALSE)*$U132*((1+Inputs!$D$7)^AG$2))),IF($N132=Lists!$K$3,IF($L132&lt;1,((($T132*(1-$F132)+$S132*(1-$G132))/$L132)*((1+Inputs!$D$7)^AG$2)),((INT(AG$2/$L132)-INT((AG$2-1)/$L132))*($T132*(1-$F132)+$S132*(1-$G132))*((1+Inputs!$D$7)^AG$2))),((_xlfn.WEIBULL.DIST(AG$2,$M132,$L132,FALSE)*($T132*(1-$F132)+$S132*(1-$G132))*((1+Inputs!$D$7)^AG$2))))))</f>
        <v>38.97998904973786</v>
      </c>
      <c r="AH132" s="88">
        <f>$E132*IF(AH$2&gt;Inputs!$D$5,0,IF(AH$2&gt;VLOOKUP($H132,Lists!$P$3:$Q$7,2),IF($N132=Lists!$K$3,IF($L132&lt;1,(($U132/$L132)*((1+Inputs!$D$7)^AH$2)),((INT(AH$2/$L132)-INT((AH$2-1)/$L132))*$U132*((1+Inputs!$D$7)^AH$2))),(_xlfn.WEIBULL.DIST(AH$2,$M132,$L132,FALSE)*$U132*((1+Inputs!$D$7)^AH$2))),IF($N132=Lists!$K$3,IF($L132&lt;1,((($T132*(1-$F132)+$S132*(1-$G132))/$L132)*((1+Inputs!$D$7)^AH$2)),((INT(AH$2/$L132)-INT((AH$2-1)/$L132))*($T132*(1-$F132)+$S132*(1-$G132))*((1+Inputs!$D$7)^AH$2))),((_xlfn.WEIBULL.DIST(AH$2,$M132,$L132,FALSE)*($T132*(1-$F132)+$S132*(1-$G132))*((1+Inputs!$D$7)^AH$2))))))</f>
        <v>39.759588830732618</v>
      </c>
      <c r="AI132" s="88">
        <f>$E132*IF(AI$2&gt;Inputs!$D$5,0,IF(AI$2&gt;VLOOKUP($H132,Lists!$P$3:$Q$7,2),IF($N132=Lists!$K$3,IF($L132&lt;1,(($U132/$L132)*((1+Inputs!$D$7)^AI$2)),((INT(AI$2/$L132)-INT((AI$2-1)/$L132))*$U132*((1+Inputs!$D$7)^AI$2))),(_xlfn.WEIBULL.DIST(AI$2,$M132,$L132,FALSE)*$U132*((1+Inputs!$D$7)^AI$2))),IF($N132=Lists!$K$3,IF($L132&lt;1,((($T132*(1-$F132)+$S132*(1-$G132))/$L132)*((1+Inputs!$D$7)^AI$2)),((INT(AI$2/$L132)-INT((AI$2-1)/$L132))*($T132*(1-$F132)+$S132*(1-$G132))*((1+Inputs!$D$7)^AI$2))),((_xlfn.WEIBULL.DIST(AI$2,$M132,$L132,FALSE)*($T132*(1-$F132)+$S132*(1-$G132))*((1+Inputs!$D$7)^AI$2))))))</f>
        <v>40.554780607347269</v>
      </c>
      <c r="AJ132" s="88">
        <f>$E132*IF(AJ$2&gt;Inputs!$D$5,0,IF(AJ$2&gt;VLOOKUP($H132,Lists!$P$3:$Q$7,2),IF($N132=Lists!$K$3,IF($L132&lt;1,(($U132/$L132)*((1+Inputs!$D$7)^AJ$2)),((INT(AJ$2/$L132)-INT((AJ$2-1)/$L132))*$U132*((1+Inputs!$D$7)^AJ$2))),(_xlfn.WEIBULL.DIST(AJ$2,$M132,$L132,FALSE)*$U132*((1+Inputs!$D$7)^AJ$2))),IF($N132=Lists!$K$3,IF($L132&lt;1,((($T132*(1-$F132)+$S132*(1-$G132))/$L132)*((1+Inputs!$D$7)^AJ$2)),((INT(AJ$2/$L132)-INT((AJ$2-1)/$L132))*($T132*(1-$F132)+$S132*(1-$G132))*((1+Inputs!$D$7)^AJ$2))),((_xlfn.WEIBULL.DIST(AJ$2,$M132,$L132,FALSE)*($T132*(1-$F132)+$S132*(1-$G132))*((1+Inputs!$D$7)^AJ$2))))))</f>
        <v>41.365876219494218</v>
      </c>
      <c r="AK132" s="88">
        <f>$E132*IF(AK$2&gt;Inputs!$D$5,0,IF(AK$2&gt;VLOOKUP($H132,Lists!$P$3:$Q$7,2),IF($N132=Lists!$K$3,IF($L132&lt;1,(($U132/$L132)*((1+Inputs!$D$7)^AK$2)),((INT(AK$2/$L132)-INT((AK$2-1)/$L132))*$U132*((1+Inputs!$D$7)^AK$2))),(_xlfn.WEIBULL.DIST(AK$2,$M132,$L132,FALSE)*$U132*((1+Inputs!$D$7)^AK$2))),IF($N132=Lists!$K$3,IF($L132&lt;1,((($T132*(1-$F132)+$S132*(1-$G132))/$L132)*((1+Inputs!$D$7)^AK$2)),((INT(AK$2/$L132)-INT((AK$2-1)/$L132))*($T132*(1-$F132)+$S132*(1-$G132))*((1+Inputs!$D$7)^AK$2))),((_xlfn.WEIBULL.DIST(AK$2,$M132,$L132,FALSE)*($T132*(1-$F132)+$S132*(1-$G132))*((1+Inputs!$D$7)^AK$2))))))</f>
        <v>42.193193743884095</v>
      </c>
      <c r="AL132" s="88">
        <f>$E132*IF(AL$2&gt;Inputs!$D$5,0,IF(AL$2&gt;VLOOKUP($H132,Lists!$P$3:$Q$7,2),IF($N132=Lists!$K$3,IF($L132&lt;1,(($U132/$L132)*((1+Inputs!$D$7)^AL$2)),((INT(AL$2/$L132)-INT((AL$2-1)/$L132))*$U132*((1+Inputs!$D$7)^AL$2))),(_xlfn.WEIBULL.DIST(AL$2,$M132,$L132,FALSE)*$U132*((1+Inputs!$D$7)^AL$2))),IF($N132=Lists!$K$3,IF($L132&lt;1,((($T132*(1-$F132)+$S132*(1-$G132))/$L132)*((1+Inputs!$D$7)^AL$2)),((INT(AL$2/$L132)-INT((AL$2-1)/$L132))*($T132*(1-$F132)+$S132*(1-$G132))*((1+Inputs!$D$7)^AL$2))),((_xlfn.WEIBULL.DIST(AL$2,$M132,$L132,FALSE)*($T132*(1-$F132)+$S132*(1-$G132))*((1+Inputs!$D$7)^AL$2))))))</f>
        <v>43.037057618761786</v>
      </c>
      <c r="AM132" s="88">
        <f>$E132*IF(AM$2&gt;Inputs!$D$5,0,IF(AM$2&gt;VLOOKUP($H132,Lists!$P$3:$Q$7,2),IF($N132=Lists!$K$3,IF($L132&lt;1,(($U132/$L132)*((1+Inputs!$D$7)^AM$2)),((INT(AM$2/$L132)-INT((AM$2-1)/$L132))*$U132*((1+Inputs!$D$7)^AM$2))),(_xlfn.WEIBULL.DIST(AM$2,$M132,$L132,FALSE)*$U132*((1+Inputs!$D$7)^AM$2))),IF($N132=Lists!$K$3,IF($L132&lt;1,((($T132*(1-$F132)+$S132*(1-$G132))/$L132)*((1+Inputs!$D$7)^AM$2)),((INT(AM$2/$L132)-INT((AM$2-1)/$L132))*($T132*(1-$F132)+$S132*(1-$G132))*((1+Inputs!$D$7)^AM$2))),((_xlfn.WEIBULL.DIST(AM$2,$M132,$L132,FALSE)*($T132*(1-$F132)+$S132*(1-$G132))*((1+Inputs!$D$7)^AM$2))))))</f>
        <v>43.897798771137019</v>
      </c>
      <c r="AN132" s="88">
        <f>$E132*IF(AN$2&gt;Inputs!$D$5,0,IF(AN$2&gt;VLOOKUP($H132,Lists!$P$3:$Q$7,2),IF($N132=Lists!$K$3,IF($L132&lt;1,(($U132/$L132)*((1+Inputs!$D$7)^AN$2)),((INT(AN$2/$L132)-INT((AN$2-1)/$L132))*$U132*((1+Inputs!$D$7)^AN$2))),(_xlfn.WEIBULL.DIST(AN$2,$M132,$L132,FALSE)*$U132*((1+Inputs!$D$7)^AN$2))),IF($N132=Lists!$K$3,IF($L132&lt;1,((($T132*(1-$F132)+$S132*(1-$G132))/$L132)*((1+Inputs!$D$7)^AN$2)),((INT(AN$2/$L132)-INT((AN$2-1)/$L132))*($T132*(1-$F132)+$S132*(1-$G132))*((1+Inputs!$D$7)^AN$2))),((_xlfn.WEIBULL.DIST(AN$2,$M132,$L132,FALSE)*($T132*(1-$F132)+$S132*(1-$G132))*((1+Inputs!$D$7)^AN$2))))))</f>
        <v>44.775754746559763</v>
      </c>
      <c r="AO132" s="88">
        <f>$E132*IF(AO$2&gt;Inputs!$D$5,0,IF(AO$2&gt;VLOOKUP($H132,Lists!$P$3:$Q$7,2),IF($N132=Lists!$K$3,IF($L132&lt;1,(($U132/$L132)*((1+Inputs!$D$7)^AO$2)),((INT(AO$2/$L132)-INT((AO$2-1)/$L132))*$U132*((1+Inputs!$D$7)^AO$2))),(_xlfn.WEIBULL.DIST(AO$2,$M132,$L132,FALSE)*$U132*((1+Inputs!$D$7)^AO$2))),IF($N132=Lists!$K$3,IF($L132&lt;1,((($T132*(1-$F132)+$S132*(1-$G132))/$L132)*((1+Inputs!$D$7)^AO$2)),((INT(AO$2/$L132)-INT((AO$2-1)/$L132))*($T132*(1-$F132)+$S132*(1-$G132))*((1+Inputs!$D$7)^AO$2))),((_xlfn.WEIBULL.DIST(AO$2,$M132,$L132,FALSE)*($T132*(1-$F132)+$S132*(1-$G132))*((1+Inputs!$D$7)^AO$2))))))</f>
        <v>45.671269841490947</v>
      </c>
      <c r="AP132" s="88">
        <f>$E132*IF(AP$2&gt;Inputs!$D$5,0,IF(AP$2&gt;VLOOKUP($H132,Lists!$P$3:$Q$7,2),IF($N132=Lists!$K$3,IF($L132&lt;1,(($U132/$L132)*((1+Inputs!$D$7)^AP$2)),((INT(AP$2/$L132)-INT((AP$2-1)/$L132))*$U132*((1+Inputs!$D$7)^AP$2))),(_xlfn.WEIBULL.DIST(AP$2,$M132,$L132,FALSE)*$U132*((1+Inputs!$D$7)^AP$2))),IF($N132=Lists!$K$3,IF($L132&lt;1,((($T132*(1-$F132)+$S132*(1-$G132))/$L132)*((1+Inputs!$D$7)^AP$2)),((INT(AP$2/$L132)-INT((AP$2-1)/$L132))*($T132*(1-$F132)+$S132*(1-$G132))*((1+Inputs!$D$7)^AP$2))),((_xlfn.WEIBULL.DIST(AP$2,$M132,$L132,FALSE)*($T132*(1-$F132)+$S132*(1-$G132))*((1+Inputs!$D$7)^AP$2))))))</f>
        <v>46.584695238320769</v>
      </c>
      <c r="AQ132" s="88">
        <f>$E132*IF(AQ$2&gt;Inputs!$D$5,0,IF(AQ$2&gt;VLOOKUP($H132,Lists!$P$3:$Q$7,2),IF($N132=Lists!$K$3,IF($L132&lt;1,(($U132/$L132)*((1+Inputs!$D$7)^AQ$2)),((INT(AQ$2/$L132)-INT((AQ$2-1)/$L132))*$U132*((1+Inputs!$D$7)^AQ$2))),(_xlfn.WEIBULL.DIST(AQ$2,$M132,$L132,FALSE)*$U132*((1+Inputs!$D$7)^AQ$2))),IF($N132=Lists!$K$3,IF($L132&lt;1,((($T132*(1-$F132)+$S132*(1-$G132))/$L132)*((1+Inputs!$D$7)^AQ$2)),((INT(AQ$2/$L132)-INT((AQ$2-1)/$L132))*($T132*(1-$F132)+$S132*(1-$G132))*((1+Inputs!$D$7)^AQ$2))),((_xlfn.WEIBULL.DIST(AQ$2,$M132,$L132,FALSE)*($T132*(1-$F132)+$S132*(1-$G132))*((1+Inputs!$D$7)^AQ$2))))))</f>
        <v>47.516389143087189</v>
      </c>
      <c r="AR132" s="88">
        <f>$E132*IF(AR$2&gt;Inputs!$D$5,0,IF(AR$2&gt;VLOOKUP($H132,Lists!$P$3:$Q$7,2),IF($N132=Lists!$K$3,IF($L132&lt;1,(($U132/$L132)*((1+Inputs!$D$7)^AR$2)),((INT(AR$2/$L132)-INT((AR$2-1)/$L132))*$U132*((1+Inputs!$D$7)^AR$2))),(_xlfn.WEIBULL.DIST(AR$2,$M132,$L132,FALSE)*$U132*((1+Inputs!$D$7)^AR$2))),IF($N132=Lists!$K$3,IF($L132&lt;1,((($T132*(1-$F132)+$S132*(1-$G132))/$L132)*((1+Inputs!$D$7)^AR$2)),((INT(AR$2/$L132)-INT((AR$2-1)/$L132))*($T132*(1-$F132)+$S132*(1-$G132))*((1+Inputs!$D$7)^AR$2))),((_xlfn.WEIBULL.DIST(AR$2,$M132,$L132,FALSE)*($T132*(1-$F132)+$S132*(1-$G132))*((1+Inputs!$D$7)^AR$2))))))</f>
        <v>48.46671692594893</v>
      </c>
      <c r="AS132" s="88">
        <f>$E132*IF(AS$2&gt;Inputs!$D$5,0,IF(AS$2&gt;VLOOKUP($H132,Lists!$P$3:$Q$7,2),IF($N132=Lists!$K$3,IF($L132&lt;1,(($U132/$L132)*((1+Inputs!$D$7)^AS$2)),((INT(AS$2/$L132)-INT((AS$2-1)/$L132))*$U132*((1+Inputs!$D$7)^AS$2))),(_xlfn.WEIBULL.DIST(AS$2,$M132,$L132,FALSE)*$U132*((1+Inputs!$D$7)^AS$2))),IF($N132=Lists!$K$3,IF($L132&lt;1,((($T132*(1-$F132)+$S132*(1-$G132))/$L132)*((1+Inputs!$D$7)^AS$2)),((INT(AS$2/$L132)-INT((AS$2-1)/$L132))*($T132*(1-$F132)+$S132*(1-$G132))*((1+Inputs!$D$7)^AS$2))),((_xlfn.WEIBULL.DIST(AS$2,$M132,$L132,FALSE)*($T132*(1-$F132)+$S132*(1-$G132))*((1+Inputs!$D$7)^AS$2))))))</f>
        <v>49.436051264467906</v>
      </c>
      <c r="AT132" s="88">
        <f>$E132*IF(AT$2&gt;Inputs!$D$5,0,IF(AT$2&gt;VLOOKUP($H132,Lists!$P$3:$Q$7,2),IF($N132=Lists!$K$3,IF($L132&lt;1,(($U132/$L132)*((1+Inputs!$D$7)^AT$2)),((INT(AT$2/$L132)-INT((AT$2-1)/$L132))*$U132*((1+Inputs!$D$7)^AT$2))),(_xlfn.WEIBULL.DIST(AT$2,$M132,$L132,FALSE)*$U132*((1+Inputs!$D$7)^AT$2))),IF($N132=Lists!$K$3,IF($L132&lt;1,((($T132*(1-$F132)+$S132*(1-$G132))/$L132)*((1+Inputs!$D$7)^AT$2)),((INT(AT$2/$L132)-INT((AT$2-1)/$L132))*($T132*(1-$F132)+$S132*(1-$G132))*((1+Inputs!$D$7)^AT$2))),((_xlfn.WEIBULL.DIST(AT$2,$M132,$L132,FALSE)*($T132*(1-$F132)+$S132*(1-$G132))*((1+Inputs!$D$7)^AT$2))))))</f>
        <v>50.424772289757264</v>
      </c>
      <c r="AU132" s="88">
        <f>$E132*IF(AU$2&gt;Inputs!$D$5,0,IF(AU$2&gt;VLOOKUP($H132,Lists!$P$3:$Q$7,2),IF($N132=Lists!$K$3,IF($L132&lt;1,(($U132/$L132)*((1+Inputs!$D$7)^AU$2)),((INT(AU$2/$L132)-INT((AU$2-1)/$L132))*$U132*((1+Inputs!$D$7)^AU$2))),(_xlfn.WEIBULL.DIST(AU$2,$M132,$L132,FALSE)*$U132*((1+Inputs!$D$7)^AU$2))),IF($N132=Lists!$K$3,IF($L132&lt;1,((($T132*(1-$F132)+$S132*(1-$G132))/$L132)*((1+Inputs!$D$7)^AU$2)),((INT(AU$2/$L132)-INT((AU$2-1)/$L132))*($T132*(1-$F132)+$S132*(1-$G132))*((1+Inputs!$D$7)^AU$2))),((_xlfn.WEIBULL.DIST(AU$2,$M132,$L132,FALSE)*($T132*(1-$F132)+$S132*(1-$G132))*((1+Inputs!$D$7)^AU$2))))))</f>
        <v>51.433267735552413</v>
      </c>
      <c r="AV132" s="88">
        <f>$E132*IF(AV$2&gt;Inputs!$D$5,0,IF(AV$2&gt;VLOOKUP($H132,Lists!$P$3:$Q$7,2),IF($N132=Lists!$K$3,IF($L132&lt;1,(($U132/$L132)*((1+Inputs!$D$7)^AV$2)),((INT(AV$2/$L132)-INT((AV$2-1)/$L132))*$U132*((1+Inputs!$D$7)^AV$2))),(_xlfn.WEIBULL.DIST(AV$2,$M132,$L132,FALSE)*$U132*((1+Inputs!$D$7)^AV$2))),IF($N132=Lists!$K$3,IF($L132&lt;1,((($T132*(1-$F132)+$S132*(1-$G132))/$L132)*((1+Inputs!$D$7)^AV$2)),((INT(AV$2/$L132)-INT((AV$2-1)/$L132))*($T132*(1-$F132)+$S132*(1-$G132))*((1+Inputs!$D$7)^AV$2))),((_xlfn.WEIBULL.DIST(AV$2,$M132,$L132,FALSE)*($T132*(1-$F132)+$S132*(1-$G132))*((1+Inputs!$D$7)^AV$2))))))</f>
        <v>52.461933090263457</v>
      </c>
      <c r="AW132" s="88">
        <f>$E132*IF(AW$2&gt;Inputs!$D$5,0,IF(AW$2&gt;VLOOKUP($H132,Lists!$P$3:$Q$7,2),IF($N132=Lists!$K$3,IF($L132&lt;1,(($U132/$L132)*((1+Inputs!$D$7)^AW$2)),((INT(AW$2/$L132)-INT((AW$2-1)/$L132))*$U132*((1+Inputs!$D$7)^AW$2))),(_xlfn.WEIBULL.DIST(AW$2,$M132,$L132,FALSE)*$U132*((1+Inputs!$D$7)^AW$2))),IF($N132=Lists!$K$3,IF($L132&lt;1,((($T132*(1-$F132)+$S132*(1-$G132))/$L132)*((1+Inputs!$D$7)^AW$2)),((INT(AW$2/$L132)-INT((AW$2-1)/$L132))*($T132*(1-$F132)+$S132*(1-$G132))*((1+Inputs!$D$7)^AW$2))),((_xlfn.WEIBULL.DIST(AW$2,$M132,$L132,FALSE)*($T132*(1-$F132)+$S132*(1-$G132))*((1+Inputs!$D$7)^AW$2))))))</f>
        <v>53.511171752068719</v>
      </c>
      <c r="AX132" s="88">
        <f>$E132*IF(AX$2&gt;Inputs!$D$5,0,IF(AX$2&gt;VLOOKUP($H132,Lists!$P$3:$Q$7,2),IF($N132=Lists!$K$3,IF($L132&lt;1,(($U132/$L132)*((1+Inputs!$D$7)^AX$2)),((INT(AX$2/$L132)-INT((AX$2-1)/$L132))*$U132*((1+Inputs!$D$7)^AX$2))),(_xlfn.WEIBULL.DIST(AX$2,$M132,$L132,FALSE)*$U132*((1+Inputs!$D$7)^AX$2))),IF($N132=Lists!$K$3,IF($L132&lt;1,((($T132*(1-$F132)+$S132*(1-$G132))/$L132)*((1+Inputs!$D$7)^AX$2)),((INT(AX$2/$L132)-INT((AX$2-1)/$L132))*($T132*(1-$F132)+$S132*(1-$G132))*((1+Inputs!$D$7)^AX$2))),((_xlfn.WEIBULL.DIST(AX$2,$M132,$L132,FALSE)*($T132*(1-$F132)+$S132*(1-$G132))*((1+Inputs!$D$7)^AX$2))))))</f>
        <v>54.581395187110097</v>
      </c>
      <c r="AY132" s="88">
        <f>$E132*IF(AY$2&gt;Inputs!$D$5,0,IF(AY$2&gt;VLOOKUP($H132,Lists!$P$3:$Q$7,2),IF($N132=Lists!$K$3,IF($L132&lt;1,(($U132/$L132)*((1+Inputs!$D$7)^AY$2)),((INT(AY$2/$L132)-INT((AY$2-1)/$L132))*$U132*((1+Inputs!$D$7)^AY$2))),(_xlfn.WEIBULL.DIST(AY$2,$M132,$L132,FALSE)*$U132*((1+Inputs!$D$7)^AY$2))),IF($N132=Lists!$K$3,IF($L132&lt;1,((($T132*(1-$F132)+$S132*(1-$G132))/$L132)*((1+Inputs!$D$7)^AY$2)),((INT(AY$2/$L132)-INT((AY$2-1)/$L132))*($T132*(1-$F132)+$S132*(1-$G132))*((1+Inputs!$D$7)^AY$2))),((_xlfn.WEIBULL.DIST(AY$2,$M132,$L132,FALSE)*($T132*(1-$F132)+$S132*(1-$G132))*((1+Inputs!$D$7)^AY$2))))))</f>
        <v>55.673023090852297</v>
      </c>
      <c r="AZ132" s="88">
        <f>$E132*IF(AZ$2&gt;Inputs!$D$5,0,IF(AZ$2&gt;VLOOKUP($H132,Lists!$P$3:$Q$7,2),IF($N132=Lists!$K$3,IF($L132&lt;1,(($U132/$L132)*((1+Inputs!$D$7)^AZ$2)),((INT(AZ$2/$L132)-INT((AZ$2-1)/$L132))*$U132*((1+Inputs!$D$7)^AZ$2))),(_xlfn.WEIBULL.DIST(AZ$2,$M132,$L132,FALSE)*$U132*((1+Inputs!$D$7)^AZ$2))),IF($N132=Lists!$K$3,IF($L132&lt;1,((($T132*(1-$F132)+$S132*(1-$G132))/$L132)*((1+Inputs!$D$7)^AZ$2)),((INT(AZ$2/$L132)-INT((AZ$2-1)/$L132))*($T132*(1-$F132)+$S132*(1-$G132))*((1+Inputs!$D$7)^AZ$2))),((_xlfn.WEIBULL.DIST(AZ$2,$M132,$L132,FALSE)*($T132*(1-$F132)+$S132*(1-$G132))*((1+Inputs!$D$7)^AZ$2))))))</f>
        <v>0</v>
      </c>
      <c r="BA132" s="88">
        <f>$E132*IF(BA$2&gt;Inputs!$D$5,0,IF(BA$2&gt;VLOOKUP($H132,Lists!$P$3:$Q$7,2),IF($N132=Lists!$K$3,IF($L132&lt;1,(($U132/$L132)*((1+Inputs!$D$7)^BA$2)),((INT(BA$2/$L132)-INT((BA$2-1)/$L132))*$U132*((1+Inputs!$D$7)^BA$2))),(_xlfn.WEIBULL.DIST(BA$2,$M132,$L132,FALSE)*$U132*((1+Inputs!$D$7)^BA$2))),IF($N132=Lists!$K$3,IF($L132&lt;1,((($T132*(1-$F132)+$S132*(1-$G132))/$L132)*((1+Inputs!$D$7)^BA$2)),((INT(BA$2/$L132)-INT((BA$2-1)/$L132))*($T132*(1-$F132)+$S132*(1-$G132))*((1+Inputs!$D$7)^BA$2))),((_xlfn.WEIBULL.DIST(BA$2,$M132,$L132,FALSE)*($T132*(1-$F132)+$S132*(1-$G132))*((1+Inputs!$D$7)^BA$2))))))</f>
        <v>0</v>
      </c>
      <c r="BB132" s="88">
        <f>$E132*IF(BB$2&gt;Inputs!$D$5,0,IF(BB$2&gt;VLOOKUP($H132,Lists!$P$3:$Q$7,2),IF($N132=Lists!$K$3,IF($L132&lt;1,(($U132/$L132)*((1+Inputs!$D$7)^BB$2)),((INT(BB$2/$L132)-INT((BB$2-1)/$L132))*$U132*((1+Inputs!$D$7)^BB$2))),(_xlfn.WEIBULL.DIST(BB$2,$M132,$L132,FALSE)*$U132*((1+Inputs!$D$7)^BB$2))),IF($N132=Lists!$K$3,IF($L132&lt;1,((($T132*(1-$F132)+$S132*(1-$G132))/$L132)*((1+Inputs!$D$7)^BB$2)),((INT(BB$2/$L132)-INT((BB$2-1)/$L132))*($T132*(1-$F132)+$S132*(1-$G132))*((1+Inputs!$D$7)^BB$2))),((_xlfn.WEIBULL.DIST(BB$2,$M132,$L132,FALSE)*($T132*(1-$F132)+$S132*(1-$G132))*((1+Inputs!$D$7)^BB$2))))))</f>
        <v>0</v>
      </c>
      <c r="BC132" s="88">
        <f>$E132*IF(BC$2&gt;Inputs!$D$5,0,IF(BC$2&gt;VLOOKUP($H132,Lists!$P$3:$Q$7,2),IF($N132=Lists!$K$3,IF($L132&lt;1,(($U132/$L132)*((1+Inputs!$D$7)^BC$2)),((INT(BC$2/$L132)-INT((BC$2-1)/$L132))*$U132*((1+Inputs!$D$7)^BC$2))),(_xlfn.WEIBULL.DIST(BC$2,$M132,$L132,FALSE)*$U132*((1+Inputs!$D$7)^BC$2))),IF($N132=Lists!$K$3,IF($L132&lt;1,((($T132*(1-$F132)+$S132*(1-$G132))/$L132)*((1+Inputs!$D$7)^BC$2)),((INT(BC$2/$L132)-INT((BC$2-1)/$L132))*($T132*(1-$F132)+$S132*(1-$G132))*((1+Inputs!$D$7)^BC$2))),((_xlfn.WEIBULL.DIST(BC$2,$M132,$L132,FALSE)*($T132*(1-$F132)+$S132*(1-$G132))*((1+Inputs!$D$7)^BC$2))))))</f>
        <v>0</v>
      </c>
      <c r="BD132" s="88">
        <f>$E132*IF(BD$2&gt;Inputs!$D$5,0,IF(BD$2&gt;VLOOKUP($H132,Lists!$P$3:$Q$7,2),IF($N132=Lists!$K$3,IF($L132&lt;1,(($U132/$L132)*((1+Inputs!$D$7)^BD$2)),((INT(BD$2/$L132)-INT((BD$2-1)/$L132))*$U132*((1+Inputs!$D$7)^BD$2))),(_xlfn.WEIBULL.DIST(BD$2,$M132,$L132,FALSE)*$U132*((1+Inputs!$D$7)^BD$2))),IF($N132=Lists!$K$3,IF($L132&lt;1,((($T132*(1-$F132)+$S132*(1-$G132))/$L132)*((1+Inputs!$D$7)^BD$2)),((INT(BD$2/$L132)-INT((BD$2-1)/$L132))*($T132*(1-$F132)+$S132*(1-$G132))*((1+Inputs!$D$7)^BD$2))),((_xlfn.WEIBULL.DIST(BD$2,$M132,$L132,FALSE)*($T132*(1-$F132)+$S132*(1-$G132))*((1+Inputs!$D$7)^BD$2))))))</f>
        <v>0</v>
      </c>
      <c r="BE132" s="88">
        <f>$E132*IF(BE$2&gt;Inputs!$D$5,0,IF(BE$2&gt;VLOOKUP($H132,Lists!$P$3:$Q$7,2),IF($N132=Lists!$K$3,IF($L132&lt;1,(($U132/$L132)*((1+Inputs!$D$7)^BE$2)),((INT(BE$2/$L132)-INT((BE$2-1)/$L132))*$U132*((1+Inputs!$D$7)^BE$2))),(_xlfn.WEIBULL.DIST(BE$2,$M132,$L132,FALSE)*$U132*((1+Inputs!$D$7)^BE$2))),IF($N132=Lists!$K$3,IF($L132&lt;1,((($T132*(1-$F132)+$S132*(1-$G132))/$L132)*((1+Inputs!$D$7)^BE$2)),((INT(BE$2/$L132)-INT((BE$2-1)/$L132))*($T132*(1-$F132)+$S132*(1-$G132))*((1+Inputs!$D$7)^BE$2))),((_xlfn.WEIBULL.DIST(BE$2,$M132,$L132,FALSE)*($T132*(1-$F132)+$S132*(1-$G132))*((1+Inputs!$D$7)^BE$2))))))</f>
        <v>0</v>
      </c>
      <c r="BF132" s="88">
        <f>$E132*IF(BF$2&gt;Inputs!$D$5,0,IF(BF$2&gt;VLOOKUP($H132,Lists!$P$3:$Q$7,2),IF($N132=Lists!$K$3,IF($L132&lt;1,(($U132/$L132)*((1+Inputs!$D$7)^BF$2)),((INT(BF$2/$L132)-INT((BF$2-1)/$L132))*$U132*((1+Inputs!$D$7)^BF$2))),(_xlfn.WEIBULL.DIST(BF$2,$M132,$L132,FALSE)*$U132*((1+Inputs!$D$7)^BF$2))),IF($N132=Lists!$K$3,IF($L132&lt;1,((($T132*(1-$F132)+$S132*(1-$G132))/$L132)*((1+Inputs!$D$7)^BF$2)),((INT(BF$2/$L132)-INT((BF$2-1)/$L132))*($T132*(1-$F132)+$S132*(1-$G132))*((1+Inputs!$D$7)^BF$2))),((_xlfn.WEIBULL.DIST(BF$2,$M132,$L132,FALSE)*($T132*(1-$F132)+$S132*(1-$G132))*((1+Inputs!$D$7)^BF$2))))))</f>
        <v>0</v>
      </c>
      <c r="BG132" s="88">
        <f>$E132*IF(BG$2&gt;Inputs!$D$5,0,IF(BG$2&gt;VLOOKUP($H132,Lists!$P$3:$Q$7,2),IF($N132=Lists!$K$3,IF($L132&lt;1,(($U132/$L132)*((1+Inputs!$D$7)^BG$2)),((INT(BG$2/$L132)-INT((BG$2-1)/$L132))*$U132*((1+Inputs!$D$7)^BG$2))),(_xlfn.WEIBULL.DIST(BG$2,$M132,$L132,FALSE)*$U132*((1+Inputs!$D$7)^BG$2))),IF($N132=Lists!$K$3,IF($L132&lt;1,((($T132*(1-$F132)+$S132*(1-$G132))/$L132)*((1+Inputs!$D$7)^BG$2)),((INT(BG$2/$L132)-INT((BG$2-1)/$L132))*($T132*(1-$F132)+$S132*(1-$G132))*((1+Inputs!$D$7)^BG$2))),((_xlfn.WEIBULL.DIST(BG$2,$M132,$L132,FALSE)*($T132*(1-$F132)+$S132*(1-$G132))*((1+Inputs!$D$7)^BG$2))))))</f>
        <v>0</v>
      </c>
      <c r="BH132" s="88">
        <f>$E132*IF(BH$2&gt;Inputs!$D$5,0,IF(BH$2&gt;VLOOKUP($H132,Lists!$P$3:$Q$7,2),IF($N132=Lists!$K$3,IF($L132&lt;1,(($U132/$L132)*((1+Inputs!$D$7)^BH$2)),((INT(BH$2/$L132)-INT((BH$2-1)/$L132))*$U132*((1+Inputs!$D$7)^BH$2))),(_xlfn.WEIBULL.DIST(BH$2,$M132,$L132,FALSE)*$U132*((1+Inputs!$D$7)^BH$2))),IF($N132=Lists!$K$3,IF($L132&lt;1,((($T132*(1-$F132)+$S132*(1-$G132))/$L132)*((1+Inputs!$D$7)^BH$2)),((INT(BH$2/$L132)-INT((BH$2-1)/$L132))*($T132*(1-$F132)+$S132*(1-$G132))*((1+Inputs!$D$7)^BH$2))),((_xlfn.WEIBULL.DIST(BH$2,$M132,$L132,FALSE)*($T132*(1-$F132)+$S132*(1-$G132))*((1+Inputs!$D$7)^BH$2))))))</f>
        <v>0</v>
      </c>
      <c r="BI132" s="88">
        <f>$E132*IF(BI$2&gt;Inputs!$D$5,0,IF(BI$2&gt;VLOOKUP($H132,Lists!$P$3:$Q$7,2),IF($N132=Lists!$K$3,IF($L132&lt;1,(($U132/$L132)*((1+Inputs!$D$7)^BI$2)),((INT(BI$2/$L132)-INT((BI$2-1)/$L132))*$U132*((1+Inputs!$D$7)^BI$2))),(_xlfn.WEIBULL.DIST(BI$2,$M132,$L132,FALSE)*$U132*((1+Inputs!$D$7)^BI$2))),IF($N132=Lists!$K$3,IF($L132&lt;1,((($T132*(1-$F132)+$S132*(1-$G132))/$L132)*((1+Inputs!$D$7)^BI$2)),((INT(BI$2/$L132)-INT((BI$2-1)/$L132))*($T132*(1-$F132)+$S132*(1-$G132))*((1+Inputs!$D$7)^BI$2))),((_xlfn.WEIBULL.DIST(BI$2,$M132,$L132,FALSE)*($T132*(1-$F132)+$S132*(1-$G132))*((1+Inputs!$D$7)^BI$2))))))</f>
        <v>0</v>
      </c>
      <c r="BJ132" s="88">
        <f>$E132*IF(BJ$2&gt;Inputs!$D$5,0,IF(BJ$2&gt;VLOOKUP($H132,Lists!$P$3:$Q$7,2),IF($N132=Lists!$K$3,IF($L132&lt;1,(($U132/$L132)*((1+Inputs!$D$7)^BJ$2)),((INT(BJ$2/$L132)-INT((BJ$2-1)/$L132))*$U132*((1+Inputs!$D$7)^BJ$2))),(_xlfn.WEIBULL.DIST(BJ$2,$M132,$L132,FALSE)*$U132*((1+Inputs!$D$7)^BJ$2))),IF($N132=Lists!$K$3,IF($L132&lt;1,((($T132*(1-$F132)+$S132*(1-$G132))/$L132)*((1+Inputs!$D$7)^BJ$2)),((INT(BJ$2/$L132)-INT((BJ$2-1)/$L132))*($T132*(1-$F132)+$S132*(1-$G132))*((1+Inputs!$D$7)^BJ$2))),((_xlfn.WEIBULL.DIST(BJ$2,$M132,$L132,FALSE)*($T132*(1-$F132)+$S132*(1-$G132))*((1+Inputs!$D$7)^BJ$2))))))</f>
        <v>0</v>
      </c>
      <c r="BK132" s="88">
        <f>$E132*IF(BK$2&gt;Inputs!$D$5,0,IF(BK$2&gt;VLOOKUP($H132,Lists!$P$3:$Q$7,2),IF($N132=Lists!$K$3,IF($L132&lt;1,(($U132/$L132)*((1+Inputs!$D$7)^BK$2)),((INT(BK$2/$L132)-INT((BK$2-1)/$L132))*$U132*((1+Inputs!$D$7)^BK$2))),(_xlfn.WEIBULL.DIST(BK$2,$M132,$L132,FALSE)*$U132*((1+Inputs!$D$7)^BK$2))),IF($N132=Lists!$K$3,IF($L132&lt;1,((($T132*(1-$F132)+$S132*(1-$G132))/$L132)*((1+Inputs!$D$7)^BK$2)),((INT(BK$2/$L132)-INT((BK$2-1)/$L132))*($T132*(1-$F132)+$S132*(1-$G132))*((1+Inputs!$D$7)^BK$2))),((_xlfn.WEIBULL.DIST(BK$2,$M132,$L132,FALSE)*($T132*(1-$F132)+$S132*(1-$G132))*((1+Inputs!$D$7)^BK$2))))))</f>
        <v>0</v>
      </c>
      <c r="BL132" s="88">
        <f>$E132*IF(BL$2&gt;Inputs!$D$5,0,IF(BL$2&gt;VLOOKUP($H132,Lists!$P$3:$Q$7,2),IF($N132=Lists!$K$3,IF($L132&lt;1,(($U132/$L132)*((1+Inputs!$D$7)^BL$2)),((INT(BL$2/$L132)-INT((BL$2-1)/$L132))*$U132*((1+Inputs!$D$7)^BL$2))),(_xlfn.WEIBULL.DIST(BL$2,$M132,$L132,FALSE)*$U132*((1+Inputs!$D$7)^BL$2))),IF($N132=Lists!$K$3,IF($L132&lt;1,((($T132*(1-$F132)+$S132*(1-$G132))/$L132)*((1+Inputs!$D$7)^BL$2)),((INT(BL$2/$L132)-INT((BL$2-1)/$L132))*($T132*(1-$F132)+$S132*(1-$G132))*((1+Inputs!$D$7)^BL$2))),((_xlfn.WEIBULL.DIST(BL$2,$M132,$L132,FALSE)*($T132*(1-$F132)+$S132*(1-$G132))*((1+Inputs!$D$7)^BL$2))))))</f>
        <v>0</v>
      </c>
      <c r="BM132" s="88">
        <f>$E132*IF(BM$2&gt;Inputs!$D$5,0,IF(BM$2&gt;VLOOKUP($H132,Lists!$P$3:$Q$7,2),IF($N132=Lists!$K$3,IF($L132&lt;1,(($U132/$L132)*((1+Inputs!$D$7)^BM$2)),((INT(BM$2/$L132)-INT((BM$2-1)/$L132))*$U132*((1+Inputs!$D$7)^BM$2))),(_xlfn.WEIBULL.DIST(BM$2,$M132,$L132,FALSE)*$U132*((1+Inputs!$D$7)^BM$2))),IF($N132=Lists!$K$3,IF($L132&lt;1,((($T132*(1-$F132)+$S132*(1-$G132))/$L132)*((1+Inputs!$D$7)^BM$2)),((INT(BM$2/$L132)-INT((BM$2-1)/$L132))*($T132*(1-$F132)+$S132*(1-$G132))*((1+Inputs!$D$7)^BM$2))),((_xlfn.WEIBULL.DIST(BM$2,$M132,$L132,FALSE)*($T132*(1-$F132)+$S132*(1-$G132))*((1+Inputs!$D$7)^BM$2))))))</f>
        <v>0</v>
      </c>
      <c r="BN132" s="88">
        <f>$E132*IF(BN$2&gt;Inputs!$D$5,0,IF(BN$2&gt;VLOOKUP($H132,Lists!$P$3:$Q$7,2),IF($N132=Lists!$K$3,IF($L132&lt;1,(($U132/$L132)*((1+Inputs!$D$7)^BN$2)),((INT(BN$2/$L132)-INT((BN$2-1)/$L132))*$U132*((1+Inputs!$D$7)^BN$2))),(_xlfn.WEIBULL.DIST(BN$2,$M132,$L132,FALSE)*$U132*((1+Inputs!$D$7)^BN$2))),IF($N132=Lists!$K$3,IF($L132&lt;1,((($T132*(1-$F132)+$S132*(1-$G132))/$L132)*((1+Inputs!$D$7)^BN$2)),((INT(BN$2/$L132)-INT((BN$2-1)/$L132))*($T132*(1-$F132)+$S132*(1-$G132))*((1+Inputs!$D$7)^BN$2))),((_xlfn.WEIBULL.DIST(BN$2,$M132,$L132,FALSE)*($T132*(1-$F132)+$S132*(1-$G132))*((1+Inputs!$D$7)^BN$2))))))</f>
        <v>0</v>
      </c>
      <c r="BO132" s="64">
        <f>NPV(Inputs!$D$6,BQ132:DD132)</f>
        <v>483.0050373027766</v>
      </c>
      <c r="BP132" s="67">
        <f t="shared" si="34"/>
        <v>2.2780875623984115E-4</v>
      </c>
      <c r="BQ132" s="88">
        <f>MAX(AA132,($E132*IF(BQ$2&gt;Inputs!$D$5,0,IF(BQ$2&gt;VLOOKUP($H132,Lists!$P$3:$Q$7,2),IF($N132=Lists!$K$3,IF($L132&lt;1,(($U132/$L132)*((1+Inputs!$D$7)^BQ$2)),((INT(BQ$2/$L132)-INT((BQ$2-1)/$L132))*$U132*((1+Inputs!$D$7)^BQ$2))),(Inputs!$D$8^((1-_xlfn.WEIBULL.DIST(BQ$2,$M132,$L132,FALSE))/_xlfn.WEIBULL.DIST(BQ$2,$M132,$L132,FALSE))*$U132*((1+Inputs!$D$7)^BQ$2))),IF($N132=Lists!$K$3,IF($L132&lt;1,((($T132*(1-$F132)+$S132*(1-$G132))/$L132)*((1+Inputs!$D$7)^BQ$2)),((INT(BQ$2/$L132)-INT((BQ$2-1)/$L132))*($T132*(1-$F132)+$S132*(1-$G132))*((1+Inputs!$D$7)^BQ$2))),((Inputs!$D$8^((1-_xlfn.WEIBULL.DIST(BQ$2,$M132,$L132,FALSE))/_xlfn.WEIBULL.DIST(BQ$2,$M132,$L132,FALSE))*($T132*(1-$F132)+$S132*(1-$G132))*((1+Inputs!$D$7)^BQ$2))))))))</f>
        <v>34.613114754098362</v>
      </c>
      <c r="BR132" s="88">
        <f>MAX(AB132,($E132*IF(BR$2&gt;Inputs!$D$5,0,IF(BR$2&gt;VLOOKUP($H132,Lists!$P$3:$Q$7,2),IF($N132=Lists!$K$3,IF($L132&lt;1,(($U132/$L132)*((1+Inputs!$D$7)^BR$2)),((INT(BR$2/$L132)-INT((BR$2-1)/$L132))*$U132*((1+Inputs!$D$7)^BR$2))),(Inputs!$D$8^((1-_xlfn.WEIBULL.DIST(BR$2,$M132,$L132,FALSE))/_xlfn.WEIBULL.DIST(BR$2,$M132,$L132,FALSE))*$U132*((1+Inputs!$D$7)^BR$2))),IF($N132=Lists!$K$3,IF($L132&lt;1,((($T132*(1-$F132)+$S132*(1-$G132))/$L132)*((1+Inputs!$D$7)^BR$2)),((INT(BR$2/$L132)-INT((BR$2-1)/$L132))*($T132*(1-$F132)+$S132*(1-$G132))*((1+Inputs!$D$7)^BR$2))),((Inputs!$D$8^((1-_xlfn.WEIBULL.DIST(BR$2,$M132,$L132,FALSE))/_xlfn.WEIBULL.DIST(BR$2,$M132,$L132,FALSE))*($T132*(1-$F132)+$S132*(1-$G132))*((1+Inputs!$D$7)^BR$2))))))))</f>
        <v>35.305377049180329</v>
      </c>
      <c r="BS132" s="88">
        <f>MAX(AC132,($E132*IF(BS$2&gt;Inputs!$D$5,0,IF(BS$2&gt;VLOOKUP($H132,Lists!$P$3:$Q$7,2),IF($N132=Lists!$K$3,IF($L132&lt;1,(($U132/$L132)*((1+Inputs!$D$7)^BS$2)),((INT(BS$2/$L132)-INT((BS$2-1)/$L132))*$U132*((1+Inputs!$D$7)^BS$2))),(Inputs!$D$8^((1-_xlfn.WEIBULL.DIST(BS$2,$M132,$L132,FALSE))/_xlfn.WEIBULL.DIST(BS$2,$M132,$L132,FALSE))*$U132*((1+Inputs!$D$7)^BS$2))),IF($N132=Lists!$K$3,IF($L132&lt;1,((($T132*(1-$F132)+$S132*(1-$G132))/$L132)*((1+Inputs!$D$7)^BS$2)),((INT(BS$2/$L132)-INT((BS$2-1)/$L132))*($T132*(1-$F132)+$S132*(1-$G132))*((1+Inputs!$D$7)^BS$2))),((Inputs!$D$8^((1-_xlfn.WEIBULL.DIST(BS$2,$M132,$L132,FALSE))/_xlfn.WEIBULL.DIST(BS$2,$M132,$L132,FALSE))*($T132*(1-$F132)+$S132*(1-$G132))*((1+Inputs!$D$7)^BS$2))))))))</f>
        <v>36.011484590163931</v>
      </c>
      <c r="BT132" s="88">
        <f>MAX(AD132,($E132*IF(BT$2&gt;Inputs!$D$5,0,IF(BT$2&gt;VLOOKUP($H132,Lists!$P$3:$Q$7,2),IF($N132=Lists!$K$3,IF($L132&lt;1,(($U132/$L132)*((1+Inputs!$D$7)^BT$2)),((INT(BT$2/$L132)-INT((BT$2-1)/$L132))*$U132*((1+Inputs!$D$7)^BT$2))),(Inputs!$D$8^((1-_xlfn.WEIBULL.DIST(BT$2,$M132,$L132,FALSE))/_xlfn.WEIBULL.DIST(BT$2,$M132,$L132,FALSE))*$U132*((1+Inputs!$D$7)^BT$2))),IF($N132=Lists!$K$3,IF($L132&lt;1,((($T132*(1-$F132)+$S132*(1-$G132))/$L132)*((1+Inputs!$D$7)^BT$2)),((INT(BT$2/$L132)-INT((BT$2-1)/$L132))*($T132*(1-$F132)+$S132*(1-$G132))*((1+Inputs!$D$7)^BT$2))),((Inputs!$D$8^((1-_xlfn.WEIBULL.DIST(BT$2,$M132,$L132,FALSE))/_xlfn.WEIBULL.DIST(BT$2,$M132,$L132,FALSE))*($T132*(1-$F132)+$S132*(1-$G132))*((1+Inputs!$D$7)^BT$2))))))))</f>
        <v>36.731714281967214</v>
      </c>
      <c r="BU132" s="88">
        <f>MAX(AE132,($E132*IF(BU$2&gt;Inputs!$D$5,0,IF(BU$2&gt;VLOOKUP($H132,Lists!$P$3:$Q$7,2),IF($N132=Lists!$K$3,IF($L132&lt;1,(($U132/$L132)*((1+Inputs!$D$7)^BU$2)),((INT(BU$2/$L132)-INT((BU$2-1)/$L132))*$U132*((1+Inputs!$D$7)^BU$2))),(Inputs!$D$8^((1-_xlfn.WEIBULL.DIST(BU$2,$M132,$L132,FALSE))/_xlfn.WEIBULL.DIST(BU$2,$M132,$L132,FALSE))*$U132*((1+Inputs!$D$7)^BU$2))),IF($N132=Lists!$K$3,IF($L132&lt;1,((($T132*(1-$F132)+$S132*(1-$G132))/$L132)*((1+Inputs!$D$7)^BU$2)),((INT(BU$2/$L132)-INT((BU$2-1)/$L132))*($T132*(1-$F132)+$S132*(1-$G132))*((1+Inputs!$D$7)^BU$2))),((Inputs!$D$8^((1-_xlfn.WEIBULL.DIST(BU$2,$M132,$L132,FALSE))/_xlfn.WEIBULL.DIST(BU$2,$M132,$L132,FALSE))*($T132*(1-$F132)+$S132*(1-$G132))*((1+Inputs!$D$7)^BU$2))))))))</f>
        <v>37.466348567606559</v>
      </c>
      <c r="BV132" s="88">
        <f>MAX(AF132,($E132*IF(BV$2&gt;Inputs!$D$5,0,IF(BV$2&gt;VLOOKUP($H132,Lists!$P$3:$Q$7,2),IF($N132=Lists!$K$3,IF($L132&lt;1,(($U132/$L132)*((1+Inputs!$D$7)^BV$2)),((INT(BV$2/$L132)-INT((BV$2-1)/$L132))*$U132*((1+Inputs!$D$7)^BV$2))),(Inputs!$D$8^((1-_xlfn.WEIBULL.DIST(BV$2,$M132,$L132,FALSE))/_xlfn.WEIBULL.DIST(BV$2,$M132,$L132,FALSE))*$U132*((1+Inputs!$D$7)^BV$2))),IF($N132=Lists!$K$3,IF($L132&lt;1,((($T132*(1-$F132)+$S132*(1-$G132))/$L132)*((1+Inputs!$D$7)^BV$2)),((INT(BV$2/$L132)-INT((BV$2-1)/$L132))*($T132*(1-$F132)+$S132*(1-$G132))*((1+Inputs!$D$7)^BV$2))),((Inputs!$D$8^((1-_xlfn.WEIBULL.DIST(BV$2,$M132,$L132,FALSE))/_xlfn.WEIBULL.DIST(BV$2,$M132,$L132,FALSE))*($T132*(1-$F132)+$S132*(1-$G132))*((1+Inputs!$D$7)^BV$2))))))))</f>
        <v>38.215675538958692</v>
      </c>
      <c r="BW132" s="88">
        <f>MAX(AG132,($E132*IF(BW$2&gt;Inputs!$D$5,0,IF(BW$2&gt;VLOOKUP($H132,Lists!$P$3:$Q$7,2),IF($N132=Lists!$K$3,IF($L132&lt;1,(($U132/$L132)*((1+Inputs!$D$7)^BW$2)),((INT(BW$2/$L132)-INT((BW$2-1)/$L132))*$U132*((1+Inputs!$D$7)^BW$2))),(Inputs!$D$8^((1-_xlfn.WEIBULL.DIST(BW$2,$M132,$L132,FALSE))/_xlfn.WEIBULL.DIST(BW$2,$M132,$L132,FALSE))*$U132*((1+Inputs!$D$7)^BW$2))),IF($N132=Lists!$K$3,IF($L132&lt;1,((($T132*(1-$F132)+$S132*(1-$G132))/$L132)*((1+Inputs!$D$7)^BW$2)),((INT(BW$2/$L132)-INT((BW$2-1)/$L132))*($T132*(1-$F132)+$S132*(1-$G132))*((1+Inputs!$D$7)^BW$2))),((Inputs!$D$8^((1-_xlfn.WEIBULL.DIST(BW$2,$M132,$L132,FALSE))/_xlfn.WEIBULL.DIST(BW$2,$M132,$L132,FALSE))*($T132*(1-$F132)+$S132*(1-$G132))*((1+Inputs!$D$7)^BW$2))))))))</f>
        <v>38.97998904973786</v>
      </c>
      <c r="BX132" s="88">
        <f>MAX(AH132,($E132*IF(BX$2&gt;Inputs!$D$5,0,IF(BX$2&gt;VLOOKUP($H132,Lists!$P$3:$Q$7,2),IF($N132=Lists!$K$3,IF($L132&lt;1,(($U132/$L132)*((1+Inputs!$D$7)^BX$2)),((INT(BX$2/$L132)-INT((BX$2-1)/$L132))*$U132*((1+Inputs!$D$7)^BX$2))),(Inputs!$D$8^((1-_xlfn.WEIBULL.DIST(BX$2,$M132,$L132,FALSE))/_xlfn.WEIBULL.DIST(BX$2,$M132,$L132,FALSE))*$U132*((1+Inputs!$D$7)^BX$2))),IF($N132=Lists!$K$3,IF($L132&lt;1,((($T132*(1-$F132)+$S132*(1-$G132))/$L132)*((1+Inputs!$D$7)^BX$2)),((INT(BX$2/$L132)-INT((BX$2-1)/$L132))*($T132*(1-$F132)+$S132*(1-$G132))*((1+Inputs!$D$7)^BX$2))),((Inputs!$D$8^((1-_xlfn.WEIBULL.DIST(BX$2,$M132,$L132,FALSE))/_xlfn.WEIBULL.DIST(BX$2,$M132,$L132,FALSE))*($T132*(1-$F132)+$S132*(1-$G132))*((1+Inputs!$D$7)^BX$2))))))))</f>
        <v>39.759588830732618</v>
      </c>
      <c r="BY132" s="88">
        <f>MAX(AI132,($E132*IF(BY$2&gt;Inputs!$D$5,0,IF(BY$2&gt;VLOOKUP($H132,Lists!$P$3:$Q$7,2),IF($N132=Lists!$K$3,IF($L132&lt;1,(($U132/$L132)*((1+Inputs!$D$7)^BY$2)),((INT(BY$2/$L132)-INT((BY$2-1)/$L132))*$U132*((1+Inputs!$D$7)^BY$2))),(Inputs!$D$8^((1-_xlfn.WEIBULL.DIST(BY$2,$M132,$L132,FALSE))/_xlfn.WEIBULL.DIST(BY$2,$M132,$L132,FALSE))*$U132*((1+Inputs!$D$7)^BY$2))),IF($N132=Lists!$K$3,IF($L132&lt;1,((($T132*(1-$F132)+$S132*(1-$G132))/$L132)*((1+Inputs!$D$7)^BY$2)),((INT(BY$2/$L132)-INT((BY$2-1)/$L132))*($T132*(1-$F132)+$S132*(1-$G132))*((1+Inputs!$D$7)^BY$2))),((Inputs!$D$8^((1-_xlfn.WEIBULL.DIST(BY$2,$M132,$L132,FALSE))/_xlfn.WEIBULL.DIST(BY$2,$M132,$L132,FALSE))*($T132*(1-$F132)+$S132*(1-$G132))*((1+Inputs!$D$7)^BY$2))))))))</f>
        <v>40.554780607347269</v>
      </c>
      <c r="BZ132" s="88">
        <f>MAX(AJ132,($E132*IF(BZ$2&gt;Inputs!$D$5,0,IF(BZ$2&gt;VLOOKUP($H132,Lists!$P$3:$Q$7,2),IF($N132=Lists!$K$3,IF($L132&lt;1,(($U132/$L132)*((1+Inputs!$D$7)^BZ$2)),((INT(BZ$2/$L132)-INT((BZ$2-1)/$L132))*$U132*((1+Inputs!$D$7)^BZ$2))),(Inputs!$D$8^((1-_xlfn.WEIBULL.DIST(BZ$2,$M132,$L132,FALSE))/_xlfn.WEIBULL.DIST(BZ$2,$M132,$L132,FALSE))*$U132*((1+Inputs!$D$7)^BZ$2))),IF($N132=Lists!$K$3,IF($L132&lt;1,((($T132*(1-$F132)+$S132*(1-$G132))/$L132)*((1+Inputs!$D$7)^BZ$2)),((INT(BZ$2/$L132)-INT((BZ$2-1)/$L132))*($T132*(1-$F132)+$S132*(1-$G132))*((1+Inputs!$D$7)^BZ$2))),((Inputs!$D$8^((1-_xlfn.WEIBULL.DIST(BZ$2,$M132,$L132,FALSE))/_xlfn.WEIBULL.DIST(BZ$2,$M132,$L132,FALSE))*($T132*(1-$F132)+$S132*(1-$G132))*((1+Inputs!$D$7)^BZ$2))))))))</f>
        <v>41.365876219494218</v>
      </c>
      <c r="CA132" s="88">
        <f>MAX(AK132,($E132*IF(CA$2&gt;Inputs!$D$5,0,IF(CA$2&gt;VLOOKUP($H132,Lists!$P$3:$Q$7,2),IF($N132=Lists!$K$3,IF($L132&lt;1,(($U132/$L132)*((1+Inputs!$D$7)^CA$2)),((INT(CA$2/$L132)-INT((CA$2-1)/$L132))*$U132*((1+Inputs!$D$7)^CA$2))),(Inputs!$D$8^((1-_xlfn.WEIBULL.DIST(CA$2,$M132,$L132,FALSE))/_xlfn.WEIBULL.DIST(CA$2,$M132,$L132,FALSE))*$U132*((1+Inputs!$D$7)^CA$2))),IF($N132=Lists!$K$3,IF($L132&lt;1,((($T132*(1-$F132)+$S132*(1-$G132))/$L132)*((1+Inputs!$D$7)^CA$2)),((INT(CA$2/$L132)-INT((CA$2-1)/$L132))*($T132*(1-$F132)+$S132*(1-$G132))*((1+Inputs!$D$7)^CA$2))),((Inputs!$D$8^((1-_xlfn.WEIBULL.DIST(CA$2,$M132,$L132,FALSE))/_xlfn.WEIBULL.DIST(CA$2,$M132,$L132,FALSE))*($T132*(1-$F132)+$S132*(1-$G132))*((1+Inputs!$D$7)^CA$2))))))))</f>
        <v>42.193193743884095</v>
      </c>
      <c r="CB132" s="88">
        <f>MAX(AL132,($E132*IF(CB$2&gt;Inputs!$D$5,0,IF(CB$2&gt;VLOOKUP($H132,Lists!$P$3:$Q$7,2),IF($N132=Lists!$K$3,IF($L132&lt;1,(($U132/$L132)*((1+Inputs!$D$7)^CB$2)),((INT(CB$2/$L132)-INT((CB$2-1)/$L132))*$U132*((1+Inputs!$D$7)^CB$2))),(Inputs!$D$8^((1-_xlfn.WEIBULL.DIST(CB$2,$M132,$L132,FALSE))/_xlfn.WEIBULL.DIST(CB$2,$M132,$L132,FALSE))*$U132*((1+Inputs!$D$7)^CB$2))),IF($N132=Lists!$K$3,IF($L132&lt;1,((($T132*(1-$F132)+$S132*(1-$G132))/$L132)*((1+Inputs!$D$7)^CB$2)),((INT(CB$2/$L132)-INT((CB$2-1)/$L132))*($T132*(1-$F132)+$S132*(1-$G132))*((1+Inputs!$D$7)^CB$2))),((Inputs!$D$8^((1-_xlfn.WEIBULL.DIST(CB$2,$M132,$L132,FALSE))/_xlfn.WEIBULL.DIST(CB$2,$M132,$L132,FALSE))*($T132*(1-$F132)+$S132*(1-$G132))*((1+Inputs!$D$7)^CB$2))))))))</f>
        <v>43.037057618761786</v>
      </c>
      <c r="CC132" s="88">
        <f>MAX(AM132,($E132*IF(CC$2&gt;Inputs!$D$5,0,IF(CC$2&gt;VLOOKUP($H132,Lists!$P$3:$Q$7,2),IF($N132=Lists!$K$3,IF($L132&lt;1,(($U132/$L132)*((1+Inputs!$D$7)^CC$2)),((INT(CC$2/$L132)-INT((CC$2-1)/$L132))*$U132*((1+Inputs!$D$7)^CC$2))),(Inputs!$D$8^((1-_xlfn.WEIBULL.DIST(CC$2,$M132,$L132,FALSE))/_xlfn.WEIBULL.DIST(CC$2,$M132,$L132,FALSE))*$U132*((1+Inputs!$D$7)^CC$2))),IF($N132=Lists!$K$3,IF($L132&lt;1,((($T132*(1-$F132)+$S132*(1-$G132))/$L132)*((1+Inputs!$D$7)^CC$2)),((INT(CC$2/$L132)-INT((CC$2-1)/$L132))*($T132*(1-$F132)+$S132*(1-$G132))*((1+Inputs!$D$7)^CC$2))),((Inputs!$D$8^((1-_xlfn.WEIBULL.DIST(CC$2,$M132,$L132,FALSE))/_xlfn.WEIBULL.DIST(CC$2,$M132,$L132,FALSE))*($T132*(1-$F132)+$S132*(1-$G132))*((1+Inputs!$D$7)^CC$2))))))))</f>
        <v>43.897798771137019</v>
      </c>
      <c r="CD132" s="88">
        <f>MAX(AN132,($E132*IF(CD$2&gt;Inputs!$D$5,0,IF(CD$2&gt;VLOOKUP($H132,Lists!$P$3:$Q$7,2),IF($N132=Lists!$K$3,IF($L132&lt;1,(($U132/$L132)*((1+Inputs!$D$7)^CD$2)),((INT(CD$2/$L132)-INT((CD$2-1)/$L132))*$U132*((1+Inputs!$D$7)^CD$2))),(Inputs!$D$8^((1-_xlfn.WEIBULL.DIST(CD$2,$M132,$L132,FALSE))/_xlfn.WEIBULL.DIST(CD$2,$M132,$L132,FALSE))*$U132*((1+Inputs!$D$7)^CD$2))),IF($N132=Lists!$K$3,IF($L132&lt;1,((($T132*(1-$F132)+$S132*(1-$G132))/$L132)*((1+Inputs!$D$7)^CD$2)),((INT(CD$2/$L132)-INT((CD$2-1)/$L132))*($T132*(1-$F132)+$S132*(1-$G132))*((1+Inputs!$D$7)^CD$2))),((Inputs!$D$8^((1-_xlfn.WEIBULL.DIST(CD$2,$M132,$L132,FALSE))/_xlfn.WEIBULL.DIST(CD$2,$M132,$L132,FALSE))*($T132*(1-$F132)+$S132*(1-$G132))*((1+Inputs!$D$7)^CD$2))))))))</f>
        <v>44.775754746559763</v>
      </c>
      <c r="CE132" s="88">
        <f>MAX(AO132,($E132*IF(CE$2&gt;Inputs!$D$5,0,IF(CE$2&gt;VLOOKUP($H132,Lists!$P$3:$Q$7,2),IF($N132=Lists!$K$3,IF($L132&lt;1,(($U132/$L132)*((1+Inputs!$D$7)^CE$2)),((INT(CE$2/$L132)-INT((CE$2-1)/$L132))*$U132*((1+Inputs!$D$7)^CE$2))),(Inputs!$D$8^((1-_xlfn.WEIBULL.DIST(CE$2,$M132,$L132,FALSE))/_xlfn.WEIBULL.DIST(CE$2,$M132,$L132,FALSE))*$U132*((1+Inputs!$D$7)^CE$2))),IF($N132=Lists!$K$3,IF($L132&lt;1,((($T132*(1-$F132)+$S132*(1-$G132))/$L132)*((1+Inputs!$D$7)^CE$2)),((INT(CE$2/$L132)-INT((CE$2-1)/$L132))*($T132*(1-$F132)+$S132*(1-$G132))*((1+Inputs!$D$7)^CE$2))),((Inputs!$D$8^((1-_xlfn.WEIBULL.DIST(CE$2,$M132,$L132,FALSE))/_xlfn.WEIBULL.DIST(CE$2,$M132,$L132,FALSE))*($T132*(1-$F132)+$S132*(1-$G132))*((1+Inputs!$D$7)^CE$2))))))))</f>
        <v>45.671269841490947</v>
      </c>
      <c r="CF132" s="88">
        <f>MAX(AP132,($E132*IF(CF$2&gt;Inputs!$D$5,0,IF(CF$2&gt;VLOOKUP($H132,Lists!$P$3:$Q$7,2),IF($N132=Lists!$K$3,IF($L132&lt;1,(($U132/$L132)*((1+Inputs!$D$7)^CF$2)),((INT(CF$2/$L132)-INT((CF$2-1)/$L132))*$U132*((1+Inputs!$D$7)^CF$2))),(Inputs!$D$8^((1-_xlfn.WEIBULL.DIST(CF$2,$M132,$L132,FALSE))/_xlfn.WEIBULL.DIST(CF$2,$M132,$L132,FALSE))*$U132*((1+Inputs!$D$7)^CF$2))),IF($N132=Lists!$K$3,IF($L132&lt;1,((($T132*(1-$F132)+$S132*(1-$G132))/$L132)*((1+Inputs!$D$7)^CF$2)),((INT(CF$2/$L132)-INT((CF$2-1)/$L132))*($T132*(1-$F132)+$S132*(1-$G132))*((1+Inputs!$D$7)^CF$2))),((Inputs!$D$8^((1-_xlfn.WEIBULL.DIST(CF$2,$M132,$L132,FALSE))/_xlfn.WEIBULL.DIST(CF$2,$M132,$L132,FALSE))*($T132*(1-$F132)+$S132*(1-$G132))*((1+Inputs!$D$7)^CF$2))))))))</f>
        <v>46.584695238320769</v>
      </c>
      <c r="CG132" s="88">
        <f>MAX(AQ132,($E132*IF(CG$2&gt;Inputs!$D$5,0,IF(CG$2&gt;VLOOKUP($H132,Lists!$P$3:$Q$7,2),IF($N132=Lists!$K$3,IF($L132&lt;1,(($U132/$L132)*((1+Inputs!$D$7)^CG$2)),((INT(CG$2/$L132)-INT((CG$2-1)/$L132))*$U132*((1+Inputs!$D$7)^CG$2))),(Inputs!$D$8^((1-_xlfn.WEIBULL.DIST(CG$2,$M132,$L132,FALSE))/_xlfn.WEIBULL.DIST(CG$2,$M132,$L132,FALSE))*$U132*((1+Inputs!$D$7)^CG$2))),IF($N132=Lists!$K$3,IF($L132&lt;1,((($T132*(1-$F132)+$S132*(1-$G132))/$L132)*((1+Inputs!$D$7)^CG$2)),((INT(CG$2/$L132)-INT((CG$2-1)/$L132))*($T132*(1-$F132)+$S132*(1-$G132))*((1+Inputs!$D$7)^CG$2))),((Inputs!$D$8^((1-_xlfn.WEIBULL.DIST(CG$2,$M132,$L132,FALSE))/_xlfn.WEIBULL.DIST(CG$2,$M132,$L132,FALSE))*($T132*(1-$F132)+$S132*(1-$G132))*((1+Inputs!$D$7)^CG$2))))))))</f>
        <v>47.516389143087189</v>
      </c>
      <c r="CH132" s="88">
        <f>MAX(AR132,($E132*IF(CH$2&gt;Inputs!$D$5,0,IF(CH$2&gt;VLOOKUP($H132,Lists!$P$3:$Q$7,2),IF($N132=Lists!$K$3,IF($L132&lt;1,(($U132/$L132)*((1+Inputs!$D$7)^CH$2)),((INT(CH$2/$L132)-INT((CH$2-1)/$L132))*$U132*((1+Inputs!$D$7)^CH$2))),(Inputs!$D$8^((1-_xlfn.WEIBULL.DIST(CH$2,$M132,$L132,FALSE))/_xlfn.WEIBULL.DIST(CH$2,$M132,$L132,FALSE))*$U132*((1+Inputs!$D$7)^CH$2))),IF($N132=Lists!$K$3,IF($L132&lt;1,((($T132*(1-$F132)+$S132*(1-$G132))/$L132)*((1+Inputs!$D$7)^CH$2)),((INT(CH$2/$L132)-INT((CH$2-1)/$L132))*($T132*(1-$F132)+$S132*(1-$G132))*((1+Inputs!$D$7)^CH$2))),((Inputs!$D$8^((1-_xlfn.WEIBULL.DIST(CH$2,$M132,$L132,FALSE))/_xlfn.WEIBULL.DIST(CH$2,$M132,$L132,FALSE))*($T132*(1-$F132)+$S132*(1-$G132))*((1+Inputs!$D$7)^CH$2))))))))</f>
        <v>48.46671692594893</v>
      </c>
      <c r="CI132" s="88">
        <f>MAX(AS132,($E132*IF(CI$2&gt;Inputs!$D$5,0,IF(CI$2&gt;VLOOKUP($H132,Lists!$P$3:$Q$7,2),IF($N132=Lists!$K$3,IF($L132&lt;1,(($U132/$L132)*((1+Inputs!$D$7)^CI$2)),((INT(CI$2/$L132)-INT((CI$2-1)/$L132))*$U132*((1+Inputs!$D$7)^CI$2))),(Inputs!$D$8^((1-_xlfn.WEIBULL.DIST(CI$2,$M132,$L132,FALSE))/_xlfn.WEIBULL.DIST(CI$2,$M132,$L132,FALSE))*$U132*((1+Inputs!$D$7)^CI$2))),IF($N132=Lists!$K$3,IF($L132&lt;1,((($T132*(1-$F132)+$S132*(1-$G132))/$L132)*((1+Inputs!$D$7)^CI$2)),((INT(CI$2/$L132)-INT((CI$2-1)/$L132))*($T132*(1-$F132)+$S132*(1-$G132))*((1+Inputs!$D$7)^CI$2))),((Inputs!$D$8^((1-_xlfn.WEIBULL.DIST(CI$2,$M132,$L132,FALSE))/_xlfn.WEIBULL.DIST(CI$2,$M132,$L132,FALSE))*($T132*(1-$F132)+$S132*(1-$G132))*((1+Inputs!$D$7)^CI$2))))))))</f>
        <v>49.436051264467906</v>
      </c>
      <c r="CJ132" s="88">
        <f>MAX(AT132,($E132*IF(CJ$2&gt;Inputs!$D$5,0,IF(CJ$2&gt;VLOOKUP($H132,Lists!$P$3:$Q$7,2),IF($N132=Lists!$K$3,IF($L132&lt;1,(($U132/$L132)*((1+Inputs!$D$7)^CJ$2)),((INT(CJ$2/$L132)-INT((CJ$2-1)/$L132))*$U132*((1+Inputs!$D$7)^CJ$2))),(Inputs!$D$8^((1-_xlfn.WEIBULL.DIST(CJ$2,$M132,$L132,FALSE))/_xlfn.WEIBULL.DIST(CJ$2,$M132,$L132,FALSE))*$U132*((1+Inputs!$D$7)^CJ$2))),IF($N132=Lists!$K$3,IF($L132&lt;1,((($T132*(1-$F132)+$S132*(1-$G132))/$L132)*((1+Inputs!$D$7)^CJ$2)),((INT(CJ$2/$L132)-INT((CJ$2-1)/$L132))*($T132*(1-$F132)+$S132*(1-$G132))*((1+Inputs!$D$7)^CJ$2))),((Inputs!$D$8^((1-_xlfn.WEIBULL.DIST(CJ$2,$M132,$L132,FALSE))/_xlfn.WEIBULL.DIST(CJ$2,$M132,$L132,FALSE))*($T132*(1-$F132)+$S132*(1-$G132))*((1+Inputs!$D$7)^CJ$2))))))))</f>
        <v>50.424772289757264</v>
      </c>
      <c r="CK132" s="88">
        <f>MAX(AU132,($E132*IF(CK$2&gt;Inputs!$D$5,0,IF(CK$2&gt;VLOOKUP($H132,Lists!$P$3:$Q$7,2),IF($N132=Lists!$K$3,IF($L132&lt;1,(($U132/$L132)*((1+Inputs!$D$7)^CK$2)),((INT(CK$2/$L132)-INT((CK$2-1)/$L132))*$U132*((1+Inputs!$D$7)^CK$2))),(Inputs!$D$8^((1-_xlfn.WEIBULL.DIST(CK$2,$M132,$L132,FALSE))/_xlfn.WEIBULL.DIST(CK$2,$M132,$L132,FALSE))*$U132*((1+Inputs!$D$7)^CK$2))),IF($N132=Lists!$K$3,IF($L132&lt;1,((($T132*(1-$F132)+$S132*(1-$G132))/$L132)*((1+Inputs!$D$7)^CK$2)),((INT(CK$2/$L132)-INT((CK$2-1)/$L132))*($T132*(1-$F132)+$S132*(1-$G132))*((1+Inputs!$D$7)^CK$2))),((Inputs!$D$8^((1-_xlfn.WEIBULL.DIST(CK$2,$M132,$L132,FALSE))/_xlfn.WEIBULL.DIST(CK$2,$M132,$L132,FALSE))*($T132*(1-$F132)+$S132*(1-$G132))*((1+Inputs!$D$7)^CK$2))))))))</f>
        <v>51.433267735552413</v>
      </c>
      <c r="CL132" s="88">
        <f>MAX(AV132,($E132*IF(CL$2&gt;Inputs!$D$5,0,IF(CL$2&gt;VLOOKUP($H132,Lists!$P$3:$Q$7,2),IF($N132=Lists!$K$3,IF($L132&lt;1,(($U132/$L132)*((1+Inputs!$D$7)^CL$2)),((INT(CL$2/$L132)-INT((CL$2-1)/$L132))*$U132*((1+Inputs!$D$7)^CL$2))),(Inputs!$D$8^((1-_xlfn.WEIBULL.DIST(CL$2,$M132,$L132,FALSE))/_xlfn.WEIBULL.DIST(CL$2,$M132,$L132,FALSE))*$U132*((1+Inputs!$D$7)^CL$2))),IF($N132=Lists!$K$3,IF($L132&lt;1,((($T132*(1-$F132)+$S132*(1-$G132))/$L132)*((1+Inputs!$D$7)^CL$2)),((INT(CL$2/$L132)-INT((CL$2-1)/$L132))*($T132*(1-$F132)+$S132*(1-$G132))*((1+Inputs!$D$7)^CL$2))),((Inputs!$D$8^((1-_xlfn.WEIBULL.DIST(CL$2,$M132,$L132,FALSE))/_xlfn.WEIBULL.DIST(CL$2,$M132,$L132,FALSE))*($T132*(1-$F132)+$S132*(1-$G132))*((1+Inputs!$D$7)^CL$2))))))))</f>
        <v>52.461933090263457</v>
      </c>
      <c r="CM132" s="88">
        <f>MAX(AW132,($E132*IF(CM$2&gt;Inputs!$D$5,0,IF(CM$2&gt;VLOOKUP($H132,Lists!$P$3:$Q$7,2),IF($N132=Lists!$K$3,IF($L132&lt;1,(($U132/$L132)*((1+Inputs!$D$7)^CM$2)),((INT(CM$2/$L132)-INT((CM$2-1)/$L132))*$U132*((1+Inputs!$D$7)^CM$2))),(Inputs!$D$8^((1-_xlfn.WEIBULL.DIST(CM$2,$M132,$L132,FALSE))/_xlfn.WEIBULL.DIST(CM$2,$M132,$L132,FALSE))*$U132*((1+Inputs!$D$7)^CM$2))),IF($N132=Lists!$K$3,IF($L132&lt;1,((($T132*(1-$F132)+$S132*(1-$G132))/$L132)*((1+Inputs!$D$7)^CM$2)),((INT(CM$2/$L132)-INT((CM$2-1)/$L132))*($T132*(1-$F132)+$S132*(1-$G132))*((1+Inputs!$D$7)^CM$2))),((Inputs!$D$8^((1-_xlfn.WEIBULL.DIST(CM$2,$M132,$L132,FALSE))/_xlfn.WEIBULL.DIST(CM$2,$M132,$L132,FALSE))*($T132*(1-$F132)+$S132*(1-$G132))*((1+Inputs!$D$7)^CM$2))))))))</f>
        <v>53.511171752068719</v>
      </c>
      <c r="CN132" s="88">
        <f>MAX(AX132,($E132*IF(CN$2&gt;Inputs!$D$5,0,IF(CN$2&gt;VLOOKUP($H132,Lists!$P$3:$Q$7,2),IF($N132=Lists!$K$3,IF($L132&lt;1,(($U132/$L132)*((1+Inputs!$D$7)^CN$2)),((INT(CN$2/$L132)-INT((CN$2-1)/$L132))*$U132*((1+Inputs!$D$7)^CN$2))),(Inputs!$D$8^((1-_xlfn.WEIBULL.DIST(CN$2,$M132,$L132,FALSE))/_xlfn.WEIBULL.DIST(CN$2,$M132,$L132,FALSE))*$U132*((1+Inputs!$D$7)^CN$2))),IF($N132=Lists!$K$3,IF($L132&lt;1,((($T132*(1-$F132)+$S132*(1-$G132))/$L132)*((1+Inputs!$D$7)^CN$2)),((INT(CN$2/$L132)-INT((CN$2-1)/$L132))*($T132*(1-$F132)+$S132*(1-$G132))*((1+Inputs!$D$7)^CN$2))),((Inputs!$D$8^((1-_xlfn.WEIBULL.DIST(CN$2,$M132,$L132,FALSE))/_xlfn.WEIBULL.DIST(CN$2,$M132,$L132,FALSE))*($T132*(1-$F132)+$S132*(1-$G132))*((1+Inputs!$D$7)^CN$2))))))))</f>
        <v>54.581395187110097</v>
      </c>
      <c r="CO132" s="88">
        <f>MAX(AY132,($E132*IF(CO$2&gt;Inputs!$D$5,0,IF(CO$2&gt;VLOOKUP($H132,Lists!$P$3:$Q$7,2),IF($N132=Lists!$K$3,IF($L132&lt;1,(($U132/$L132)*((1+Inputs!$D$7)^CO$2)),((INT(CO$2/$L132)-INT((CO$2-1)/$L132))*$U132*((1+Inputs!$D$7)^CO$2))),(Inputs!$D$8^((1-_xlfn.WEIBULL.DIST(CO$2,$M132,$L132,FALSE))/_xlfn.WEIBULL.DIST(CO$2,$M132,$L132,FALSE))*$U132*((1+Inputs!$D$7)^CO$2))),IF($N132=Lists!$K$3,IF($L132&lt;1,((($T132*(1-$F132)+$S132*(1-$G132))/$L132)*((1+Inputs!$D$7)^CO$2)),((INT(CO$2/$L132)-INT((CO$2-1)/$L132))*($T132*(1-$F132)+$S132*(1-$G132))*((1+Inputs!$D$7)^CO$2))),((Inputs!$D$8^((1-_xlfn.WEIBULL.DIST(CO$2,$M132,$L132,FALSE))/_xlfn.WEIBULL.DIST(CO$2,$M132,$L132,FALSE))*($T132*(1-$F132)+$S132*(1-$G132))*((1+Inputs!$D$7)^CO$2))))))))</f>
        <v>55.673023090852297</v>
      </c>
      <c r="CP132" s="88">
        <f>MAX(AZ132,($E132*IF(CP$2&gt;Inputs!$D$5,0,IF(CP$2&gt;VLOOKUP($H132,Lists!$P$3:$Q$7,2),IF($N132=Lists!$K$3,IF($L132&lt;1,(($U132/$L132)*((1+Inputs!$D$7)^CP$2)),((INT(CP$2/$L132)-INT((CP$2-1)/$L132))*$U132*((1+Inputs!$D$7)^CP$2))),(Inputs!$D$8^((1-_xlfn.WEIBULL.DIST(CP$2,$M132,$L132,FALSE))/_xlfn.WEIBULL.DIST(CP$2,$M132,$L132,FALSE))*$U132*((1+Inputs!$D$7)^CP$2))),IF($N132=Lists!$K$3,IF($L132&lt;1,((($T132*(1-$F132)+$S132*(1-$G132))/$L132)*((1+Inputs!$D$7)^CP$2)),((INT(CP$2/$L132)-INT((CP$2-1)/$L132))*($T132*(1-$F132)+$S132*(1-$G132))*((1+Inputs!$D$7)^CP$2))),((Inputs!$D$8^((1-_xlfn.WEIBULL.DIST(CP$2,$M132,$L132,FALSE))/_xlfn.WEIBULL.DIST(CP$2,$M132,$L132,FALSE))*($T132*(1-$F132)+$S132*(1-$G132))*((1+Inputs!$D$7)^CP$2))))))))</f>
        <v>0</v>
      </c>
      <c r="CQ132" s="88">
        <f>MAX(BA132,($E132*IF(CQ$2&gt;Inputs!$D$5,0,IF(CQ$2&gt;VLOOKUP($H132,Lists!$P$3:$Q$7,2),IF($N132=Lists!$K$3,IF($L132&lt;1,(($U132/$L132)*((1+Inputs!$D$7)^CQ$2)),((INT(CQ$2/$L132)-INT((CQ$2-1)/$L132))*$U132*((1+Inputs!$D$7)^CQ$2))),(Inputs!$D$8^((1-_xlfn.WEIBULL.DIST(CQ$2,$M132,$L132,FALSE))/_xlfn.WEIBULL.DIST(CQ$2,$M132,$L132,FALSE))*$U132*((1+Inputs!$D$7)^CQ$2))),IF($N132=Lists!$K$3,IF($L132&lt;1,((($T132*(1-$F132)+$S132*(1-$G132))/$L132)*((1+Inputs!$D$7)^CQ$2)),((INT(CQ$2/$L132)-INT((CQ$2-1)/$L132))*($T132*(1-$F132)+$S132*(1-$G132))*((1+Inputs!$D$7)^CQ$2))),((Inputs!$D$8^((1-_xlfn.WEIBULL.DIST(CQ$2,$M132,$L132,FALSE))/_xlfn.WEIBULL.DIST(CQ$2,$M132,$L132,FALSE))*($T132*(1-$F132)+$S132*(1-$G132))*((1+Inputs!$D$7)^CQ$2))))))))</f>
        <v>0</v>
      </c>
      <c r="CR132" s="88">
        <f>MAX(BB132,($E132*IF(CR$2&gt;Inputs!$D$5,0,IF(CR$2&gt;VLOOKUP($H132,Lists!$P$3:$Q$7,2),IF($N132=Lists!$K$3,IF($L132&lt;1,(($U132/$L132)*((1+Inputs!$D$7)^CR$2)),((INT(CR$2/$L132)-INT((CR$2-1)/$L132))*$U132*((1+Inputs!$D$7)^CR$2))),(Inputs!$D$8^((1-_xlfn.WEIBULL.DIST(CR$2,$M132,$L132,FALSE))/_xlfn.WEIBULL.DIST(CR$2,$M132,$L132,FALSE))*$U132*((1+Inputs!$D$7)^CR$2))),IF($N132=Lists!$K$3,IF($L132&lt;1,((($T132*(1-$F132)+$S132*(1-$G132))/$L132)*((1+Inputs!$D$7)^CR$2)),((INT(CR$2/$L132)-INT((CR$2-1)/$L132))*($T132*(1-$F132)+$S132*(1-$G132))*((1+Inputs!$D$7)^CR$2))),((Inputs!$D$8^((1-_xlfn.WEIBULL.DIST(CR$2,$M132,$L132,FALSE))/_xlfn.WEIBULL.DIST(CR$2,$M132,$L132,FALSE))*($T132*(1-$F132)+$S132*(1-$G132))*((1+Inputs!$D$7)^CR$2))))))))</f>
        <v>0</v>
      </c>
      <c r="CS132" s="88">
        <f>MAX(BC132,($E132*IF(CS$2&gt;Inputs!$D$5,0,IF(CS$2&gt;VLOOKUP($H132,Lists!$P$3:$Q$7,2),IF($N132=Lists!$K$3,IF($L132&lt;1,(($U132/$L132)*((1+Inputs!$D$7)^CS$2)),((INT(CS$2/$L132)-INT((CS$2-1)/$L132))*$U132*((1+Inputs!$D$7)^CS$2))),(Inputs!$D$8^((1-_xlfn.WEIBULL.DIST(CS$2,$M132,$L132,FALSE))/_xlfn.WEIBULL.DIST(CS$2,$M132,$L132,FALSE))*$U132*((1+Inputs!$D$7)^CS$2))),IF($N132=Lists!$K$3,IF($L132&lt;1,((($T132*(1-$F132)+$S132*(1-$G132))/$L132)*((1+Inputs!$D$7)^CS$2)),((INT(CS$2/$L132)-INT((CS$2-1)/$L132))*($T132*(1-$F132)+$S132*(1-$G132))*((1+Inputs!$D$7)^CS$2))),((Inputs!$D$8^((1-_xlfn.WEIBULL.DIST(CS$2,$M132,$L132,FALSE))/_xlfn.WEIBULL.DIST(CS$2,$M132,$L132,FALSE))*($T132*(1-$F132)+$S132*(1-$G132))*((1+Inputs!$D$7)^CS$2))))))))</f>
        <v>0</v>
      </c>
      <c r="CT132" s="88">
        <f>MAX(BD132,($E132*IF(CT$2&gt;Inputs!$D$5,0,IF(CT$2&gt;VLOOKUP($H132,Lists!$P$3:$Q$7,2),IF($N132=Lists!$K$3,IF($L132&lt;1,(($U132/$L132)*((1+Inputs!$D$7)^CT$2)),((INT(CT$2/$L132)-INT((CT$2-1)/$L132))*$U132*((1+Inputs!$D$7)^CT$2))),(Inputs!$D$8^((1-_xlfn.WEIBULL.DIST(CT$2,$M132,$L132,FALSE))/_xlfn.WEIBULL.DIST(CT$2,$M132,$L132,FALSE))*$U132*((1+Inputs!$D$7)^CT$2))),IF($N132=Lists!$K$3,IF($L132&lt;1,((($T132*(1-$F132)+$S132*(1-$G132))/$L132)*((1+Inputs!$D$7)^CT$2)),((INT(CT$2/$L132)-INT((CT$2-1)/$L132))*($T132*(1-$F132)+$S132*(1-$G132))*((1+Inputs!$D$7)^CT$2))),((Inputs!$D$8^((1-_xlfn.WEIBULL.DIST(CT$2,$M132,$L132,FALSE))/_xlfn.WEIBULL.DIST(CT$2,$M132,$L132,FALSE))*($T132*(1-$F132)+$S132*(1-$G132))*((1+Inputs!$D$7)^CT$2))))))))</f>
        <v>0</v>
      </c>
      <c r="CU132" s="88">
        <f>MAX(BE132,($E132*IF(CU$2&gt;Inputs!$D$5,0,IF(CU$2&gt;VLOOKUP($H132,Lists!$P$3:$Q$7,2),IF($N132=Lists!$K$3,IF($L132&lt;1,(($U132/$L132)*((1+Inputs!$D$7)^CU$2)),((INT(CU$2/$L132)-INT((CU$2-1)/$L132))*$U132*((1+Inputs!$D$7)^CU$2))),(Inputs!$D$8^((1-_xlfn.WEIBULL.DIST(CU$2,$M132,$L132,FALSE))/_xlfn.WEIBULL.DIST(CU$2,$M132,$L132,FALSE))*$U132*((1+Inputs!$D$7)^CU$2))),IF($N132=Lists!$K$3,IF($L132&lt;1,((($T132*(1-$F132)+$S132*(1-$G132))/$L132)*((1+Inputs!$D$7)^CU$2)),((INT(CU$2/$L132)-INT((CU$2-1)/$L132))*($T132*(1-$F132)+$S132*(1-$G132))*((1+Inputs!$D$7)^CU$2))),((Inputs!$D$8^((1-_xlfn.WEIBULL.DIST(CU$2,$M132,$L132,FALSE))/_xlfn.WEIBULL.DIST(CU$2,$M132,$L132,FALSE))*($T132*(1-$F132)+$S132*(1-$G132))*((1+Inputs!$D$7)^CU$2))))))))</f>
        <v>0</v>
      </c>
      <c r="CV132" s="88">
        <f>MAX(BF132,($E132*IF(CV$2&gt;Inputs!$D$5,0,IF(CV$2&gt;VLOOKUP($H132,Lists!$P$3:$Q$7,2),IF($N132=Lists!$K$3,IF($L132&lt;1,(($U132/$L132)*((1+Inputs!$D$7)^CV$2)),((INT(CV$2/$L132)-INT((CV$2-1)/$L132))*$U132*((1+Inputs!$D$7)^CV$2))),(Inputs!$D$8^((1-_xlfn.WEIBULL.DIST(CV$2,$M132,$L132,FALSE))/_xlfn.WEIBULL.DIST(CV$2,$M132,$L132,FALSE))*$U132*((1+Inputs!$D$7)^CV$2))),IF($N132=Lists!$K$3,IF($L132&lt;1,((($T132*(1-$F132)+$S132*(1-$G132))/$L132)*((1+Inputs!$D$7)^CV$2)),((INT(CV$2/$L132)-INT((CV$2-1)/$L132))*($T132*(1-$F132)+$S132*(1-$G132))*((1+Inputs!$D$7)^CV$2))),((Inputs!$D$8^((1-_xlfn.WEIBULL.DIST(CV$2,$M132,$L132,FALSE))/_xlfn.WEIBULL.DIST(CV$2,$M132,$L132,FALSE))*($T132*(1-$F132)+$S132*(1-$G132))*((1+Inputs!$D$7)^CV$2))))))))</f>
        <v>0</v>
      </c>
      <c r="CW132" s="88">
        <f>MAX(BG132,($E132*IF(CW$2&gt;Inputs!$D$5,0,IF(CW$2&gt;VLOOKUP($H132,Lists!$P$3:$Q$7,2),IF($N132=Lists!$K$3,IF($L132&lt;1,(($U132/$L132)*((1+Inputs!$D$7)^CW$2)),((INT(CW$2/$L132)-INT((CW$2-1)/$L132))*$U132*((1+Inputs!$D$7)^CW$2))),(Inputs!$D$8^((1-_xlfn.WEIBULL.DIST(CW$2,$M132,$L132,FALSE))/_xlfn.WEIBULL.DIST(CW$2,$M132,$L132,FALSE))*$U132*((1+Inputs!$D$7)^CW$2))),IF($N132=Lists!$K$3,IF($L132&lt;1,((($T132*(1-$F132)+$S132*(1-$G132))/$L132)*((1+Inputs!$D$7)^CW$2)),((INT(CW$2/$L132)-INT((CW$2-1)/$L132))*($T132*(1-$F132)+$S132*(1-$G132))*((1+Inputs!$D$7)^CW$2))),((Inputs!$D$8^((1-_xlfn.WEIBULL.DIST(CW$2,$M132,$L132,FALSE))/_xlfn.WEIBULL.DIST(CW$2,$M132,$L132,FALSE))*($T132*(1-$F132)+$S132*(1-$G132))*((1+Inputs!$D$7)^CW$2))))))))</f>
        <v>0</v>
      </c>
      <c r="CX132" s="88">
        <f>MAX(BH132,($E132*IF(CX$2&gt;Inputs!$D$5,0,IF(CX$2&gt;VLOOKUP($H132,Lists!$P$3:$Q$7,2),IF($N132=Lists!$K$3,IF($L132&lt;1,(($U132/$L132)*((1+Inputs!$D$7)^CX$2)),((INT(CX$2/$L132)-INT((CX$2-1)/$L132))*$U132*((1+Inputs!$D$7)^CX$2))),(Inputs!$D$8^((1-_xlfn.WEIBULL.DIST(CX$2,$M132,$L132,FALSE))/_xlfn.WEIBULL.DIST(CX$2,$M132,$L132,FALSE))*$U132*((1+Inputs!$D$7)^CX$2))),IF($N132=Lists!$K$3,IF($L132&lt;1,((($T132*(1-$F132)+$S132*(1-$G132))/$L132)*((1+Inputs!$D$7)^CX$2)),((INT(CX$2/$L132)-INT((CX$2-1)/$L132))*($T132*(1-$F132)+$S132*(1-$G132))*((1+Inputs!$D$7)^CX$2))),((Inputs!$D$8^((1-_xlfn.WEIBULL.DIST(CX$2,$M132,$L132,FALSE))/_xlfn.WEIBULL.DIST(CX$2,$M132,$L132,FALSE))*($T132*(1-$F132)+$S132*(1-$G132))*((1+Inputs!$D$7)^CX$2))))))))</f>
        <v>0</v>
      </c>
      <c r="CY132" s="88">
        <f>MAX(BI132,($E132*IF(CY$2&gt;Inputs!$D$5,0,IF(CY$2&gt;VLOOKUP($H132,Lists!$P$3:$Q$7,2),IF($N132=Lists!$K$3,IF($L132&lt;1,(($U132/$L132)*((1+Inputs!$D$7)^CY$2)),((INT(CY$2/$L132)-INT((CY$2-1)/$L132))*$U132*((1+Inputs!$D$7)^CY$2))),(Inputs!$D$8^((1-_xlfn.WEIBULL.DIST(CY$2,$M132,$L132,FALSE))/_xlfn.WEIBULL.DIST(CY$2,$M132,$L132,FALSE))*$U132*((1+Inputs!$D$7)^CY$2))),IF($N132=Lists!$K$3,IF($L132&lt;1,((($T132*(1-$F132)+$S132*(1-$G132))/$L132)*((1+Inputs!$D$7)^CY$2)),((INT(CY$2/$L132)-INT((CY$2-1)/$L132))*($T132*(1-$F132)+$S132*(1-$G132))*((1+Inputs!$D$7)^CY$2))),((Inputs!$D$8^((1-_xlfn.WEIBULL.DIST(CY$2,$M132,$L132,FALSE))/_xlfn.WEIBULL.DIST(CY$2,$M132,$L132,FALSE))*($T132*(1-$F132)+$S132*(1-$G132))*((1+Inputs!$D$7)^CY$2))))))))</f>
        <v>0</v>
      </c>
      <c r="CZ132" s="88">
        <f>MAX(BJ132,($E132*IF(CZ$2&gt;Inputs!$D$5,0,IF(CZ$2&gt;VLOOKUP($H132,Lists!$P$3:$Q$7,2),IF($N132=Lists!$K$3,IF($L132&lt;1,(($U132/$L132)*((1+Inputs!$D$7)^CZ$2)),((INT(CZ$2/$L132)-INT((CZ$2-1)/$L132))*$U132*((1+Inputs!$D$7)^CZ$2))),(Inputs!$D$8^((1-_xlfn.WEIBULL.DIST(CZ$2,$M132,$L132,FALSE))/_xlfn.WEIBULL.DIST(CZ$2,$M132,$L132,FALSE))*$U132*((1+Inputs!$D$7)^CZ$2))),IF($N132=Lists!$K$3,IF($L132&lt;1,((($T132*(1-$F132)+$S132*(1-$G132))/$L132)*((1+Inputs!$D$7)^CZ$2)),((INT(CZ$2/$L132)-INT((CZ$2-1)/$L132))*($T132*(1-$F132)+$S132*(1-$G132))*((1+Inputs!$D$7)^CZ$2))),((Inputs!$D$8^((1-_xlfn.WEIBULL.DIST(CZ$2,$M132,$L132,FALSE))/_xlfn.WEIBULL.DIST(CZ$2,$M132,$L132,FALSE))*($T132*(1-$F132)+$S132*(1-$G132))*((1+Inputs!$D$7)^CZ$2))))))))</f>
        <v>0</v>
      </c>
      <c r="DA132" s="88">
        <f>MAX(BK132,($E132*IF(DA$2&gt;Inputs!$D$5,0,IF(DA$2&gt;VLOOKUP($H132,Lists!$P$3:$Q$7,2),IF($N132=Lists!$K$3,IF($L132&lt;1,(($U132/$L132)*((1+Inputs!$D$7)^DA$2)),((INT(DA$2/$L132)-INT((DA$2-1)/$L132))*$U132*((1+Inputs!$D$7)^DA$2))),(Inputs!$D$8^((1-_xlfn.WEIBULL.DIST(DA$2,$M132,$L132,FALSE))/_xlfn.WEIBULL.DIST(DA$2,$M132,$L132,FALSE))*$U132*((1+Inputs!$D$7)^DA$2))),IF($N132=Lists!$K$3,IF($L132&lt;1,((($T132*(1-$F132)+$S132*(1-$G132))/$L132)*((1+Inputs!$D$7)^DA$2)),((INT(DA$2/$L132)-INT((DA$2-1)/$L132))*($T132*(1-$F132)+$S132*(1-$G132))*((1+Inputs!$D$7)^DA$2))),((Inputs!$D$8^((1-_xlfn.WEIBULL.DIST(DA$2,$M132,$L132,FALSE))/_xlfn.WEIBULL.DIST(DA$2,$M132,$L132,FALSE))*($T132*(1-$F132)+$S132*(1-$G132))*((1+Inputs!$D$7)^DA$2))))))))</f>
        <v>0</v>
      </c>
      <c r="DB132" s="88">
        <f>MAX(BL132,($E132*IF(DB$2&gt;Inputs!$D$5,0,IF(DB$2&gt;VLOOKUP($H132,Lists!$P$3:$Q$7,2),IF($N132=Lists!$K$3,IF($L132&lt;1,(($U132/$L132)*((1+Inputs!$D$7)^DB$2)),((INT(DB$2/$L132)-INT((DB$2-1)/$L132))*$U132*((1+Inputs!$D$7)^DB$2))),(Inputs!$D$8^((1-_xlfn.WEIBULL.DIST(DB$2,$M132,$L132,FALSE))/_xlfn.WEIBULL.DIST(DB$2,$M132,$L132,FALSE))*$U132*((1+Inputs!$D$7)^DB$2))),IF($N132=Lists!$K$3,IF($L132&lt;1,((($T132*(1-$F132)+$S132*(1-$G132))/$L132)*((1+Inputs!$D$7)^DB$2)),((INT(DB$2/$L132)-INT((DB$2-1)/$L132))*($T132*(1-$F132)+$S132*(1-$G132))*((1+Inputs!$D$7)^DB$2))),((Inputs!$D$8^((1-_xlfn.WEIBULL.DIST(DB$2,$M132,$L132,FALSE))/_xlfn.WEIBULL.DIST(DB$2,$M132,$L132,FALSE))*($T132*(1-$F132)+$S132*(1-$G132))*((1+Inputs!$D$7)^DB$2))))))))</f>
        <v>0</v>
      </c>
      <c r="DC132" s="88">
        <f>MAX(BM132,($E132*IF(DC$2&gt;Inputs!$D$5,0,IF(DC$2&gt;VLOOKUP($H132,Lists!$P$3:$Q$7,2),IF($N132=Lists!$K$3,IF($L132&lt;1,(($U132/$L132)*((1+Inputs!$D$7)^DC$2)),((INT(DC$2/$L132)-INT((DC$2-1)/$L132))*$U132*((1+Inputs!$D$7)^DC$2))),(Inputs!$D$8^((1-_xlfn.WEIBULL.DIST(DC$2,$M132,$L132,FALSE))/_xlfn.WEIBULL.DIST(DC$2,$M132,$L132,FALSE))*$U132*((1+Inputs!$D$7)^DC$2))),IF($N132=Lists!$K$3,IF($L132&lt;1,((($T132*(1-$F132)+$S132*(1-$G132))/$L132)*((1+Inputs!$D$7)^DC$2)),((INT(DC$2/$L132)-INT((DC$2-1)/$L132))*($T132*(1-$F132)+$S132*(1-$G132))*((1+Inputs!$D$7)^DC$2))),((Inputs!$D$8^((1-_xlfn.WEIBULL.DIST(DC$2,$M132,$L132,FALSE))/_xlfn.WEIBULL.DIST(DC$2,$M132,$L132,FALSE))*($T132*(1-$F132)+$S132*(1-$G132))*((1+Inputs!$D$7)^DC$2))))))))</f>
        <v>0</v>
      </c>
      <c r="DD132" s="88">
        <f>MAX(BN132,($E132*IF(DD$2&gt;Inputs!$D$5,0,IF(DD$2&gt;VLOOKUP($H132,Lists!$P$3:$Q$7,2),IF($N132=Lists!$K$3,IF($L132&lt;1,(($U132/$L132)*((1+Inputs!$D$7)^DD$2)),((INT(DD$2/$L132)-INT((DD$2-1)/$L132))*$U132*((1+Inputs!$D$7)^DD$2))),(Inputs!$D$8^((1-_xlfn.WEIBULL.DIST(DD$2,$M132,$L132,FALSE))/_xlfn.WEIBULL.DIST(DD$2,$M132,$L132,FALSE))*$U132*((1+Inputs!$D$7)^DD$2))),IF($N132=Lists!$K$3,IF($L132&lt;1,((($T132*(1-$F132)+$S132*(1-$G132))/$L132)*((1+Inputs!$D$7)^DD$2)),((INT(DD$2/$L132)-INT((DD$2-1)/$L132))*($T132*(1-$F132)+$S132*(1-$G132))*((1+Inputs!$D$7)^DD$2))),((Inputs!$D$8^((1-_xlfn.WEIBULL.DIST(DD$2,$M132,$L132,FALSE))/_xlfn.WEIBULL.DIST(DD$2,$M132,$L132,FALSE))*($T132*(1-$F132)+$S132*(1-$G132))*((1+Inputs!$D$7)^DD$2))))))))</f>
        <v>0</v>
      </c>
    </row>
    <row r="133" spans="1:108" ht="16">
      <c r="A133" s="57" t="s">
        <v>26</v>
      </c>
      <c r="B133" s="13" t="s">
        <v>279</v>
      </c>
      <c r="C133" s="13" t="s">
        <v>472</v>
      </c>
      <c r="D133" s="13" t="s">
        <v>37</v>
      </c>
      <c r="E133" s="89">
        <f>IF(Inputs!$D$54=Lists!AA5,1,0)</f>
        <v>0</v>
      </c>
      <c r="F133" s="48">
        <v>0</v>
      </c>
      <c r="G133" s="48">
        <v>0</v>
      </c>
      <c r="H133" s="105" t="s">
        <v>350</v>
      </c>
      <c r="I133" s="14" t="s">
        <v>28</v>
      </c>
      <c r="J133" s="14" t="s">
        <v>86</v>
      </c>
      <c r="K133" s="13">
        <f>VLOOKUP(J133,'Labor Rates'!$A$1:$F$16,2)</f>
        <v>29.298461538461535</v>
      </c>
      <c r="L133" s="15">
        <v>0.5</v>
      </c>
      <c r="M133" s="15">
        <v>1</v>
      </c>
      <c r="N133" s="13" t="s">
        <v>236</v>
      </c>
      <c r="O133" s="61">
        <v>0</v>
      </c>
      <c r="P133" s="15">
        <f>10/60</f>
        <v>0.16666666666666666</v>
      </c>
      <c r="Q133" s="15">
        <f t="shared" si="28"/>
        <v>0</v>
      </c>
      <c r="R133" s="4">
        <v>1</v>
      </c>
      <c r="S133" s="53">
        <f t="shared" si="29"/>
        <v>0</v>
      </c>
      <c r="T133" s="53">
        <f t="shared" si="30"/>
        <v>0</v>
      </c>
      <c r="U133" s="54">
        <f t="shared" si="31"/>
        <v>0</v>
      </c>
      <c r="V133" s="65"/>
      <c r="W133" s="58"/>
      <c r="X133" s="64">
        <f t="shared" si="32"/>
        <v>0</v>
      </c>
      <c r="Y133" s="64">
        <f>NPV(Inputs!$D$6,AA133:BN133)</f>
        <v>0</v>
      </c>
      <c r="Z133" s="67">
        <f t="shared" si="33"/>
        <v>0</v>
      </c>
      <c r="AA133" s="88">
        <f>$E133*IF(AA$2&gt;Inputs!$D$5,0,IF(AA$2&gt;VLOOKUP($H133,Lists!$P$3:$Q$7,2),IF($N133=Lists!$K$3,IF($L133&lt;1,(($U133/$L133)*((1+Inputs!$D$7)^AA$2)),((INT(AA$2/$L133)-INT((AA$2-1)/$L133))*$U133*((1+Inputs!$D$7)^AA$2))),(_xlfn.WEIBULL.DIST(AA$2,$M133,$L133,FALSE)*$U133*((1+Inputs!$D$7)^AA$2))),IF($N133=Lists!$K$3,IF($L133&lt;1,((($T133*(1-$F133)+$S133*(1-$G133))/$L133)*((1+Inputs!$D$7)^AA$2)),((INT(AA$2/$L133)-INT((AA$2-1)/$L133))*($T133*(1-$F133)+$S133*(1-$G133))*((1+Inputs!$D$7)^AA$2))),((_xlfn.WEIBULL.DIST(AA$2,$M133,$L133,FALSE)*($T133*(1-$F133)+$S133*(1-$G133))*((1+Inputs!$D$7)^AA$2))))))</f>
        <v>0</v>
      </c>
      <c r="AB133" s="88">
        <f>$E133*IF(AB$2&gt;Inputs!$D$5,0,IF(AB$2&gt;VLOOKUP($H133,Lists!$P$3:$Q$7,2),IF($N133=Lists!$K$3,IF($L133&lt;1,(($U133/$L133)*((1+Inputs!$D$7)^AB$2)),((INT(AB$2/$L133)-INT((AB$2-1)/$L133))*$U133*((1+Inputs!$D$7)^AB$2))),(_xlfn.WEIBULL.DIST(AB$2,$M133,$L133,FALSE)*$U133*((1+Inputs!$D$7)^AB$2))),IF($N133=Lists!$K$3,IF($L133&lt;1,((($T133*(1-$F133)+$S133*(1-$G133))/$L133)*((1+Inputs!$D$7)^AB$2)),((INT(AB$2/$L133)-INT((AB$2-1)/$L133))*($T133*(1-$F133)+$S133*(1-$G133))*((1+Inputs!$D$7)^AB$2))),((_xlfn.WEIBULL.DIST(AB$2,$M133,$L133,FALSE)*($T133*(1-$F133)+$S133*(1-$G133))*((1+Inputs!$D$7)^AB$2))))))</f>
        <v>0</v>
      </c>
      <c r="AC133" s="88">
        <f>$E133*IF(AC$2&gt;Inputs!$D$5,0,IF(AC$2&gt;VLOOKUP($H133,Lists!$P$3:$Q$7,2),IF($N133=Lists!$K$3,IF($L133&lt;1,(($U133/$L133)*((1+Inputs!$D$7)^AC$2)),((INT(AC$2/$L133)-INT((AC$2-1)/$L133))*$U133*((1+Inputs!$D$7)^AC$2))),(_xlfn.WEIBULL.DIST(AC$2,$M133,$L133,FALSE)*$U133*((1+Inputs!$D$7)^AC$2))),IF($N133=Lists!$K$3,IF($L133&lt;1,((($T133*(1-$F133)+$S133*(1-$G133))/$L133)*((1+Inputs!$D$7)^AC$2)),((INT(AC$2/$L133)-INT((AC$2-1)/$L133))*($T133*(1-$F133)+$S133*(1-$G133))*((1+Inputs!$D$7)^AC$2))),((_xlfn.WEIBULL.DIST(AC$2,$M133,$L133,FALSE)*($T133*(1-$F133)+$S133*(1-$G133))*((1+Inputs!$D$7)^AC$2))))))</f>
        <v>0</v>
      </c>
      <c r="AD133" s="88">
        <f>$E133*IF(AD$2&gt;Inputs!$D$5,0,IF(AD$2&gt;VLOOKUP($H133,Lists!$P$3:$Q$7,2),IF($N133=Lists!$K$3,IF($L133&lt;1,(($U133/$L133)*((1+Inputs!$D$7)^AD$2)),((INT(AD$2/$L133)-INT((AD$2-1)/$L133))*$U133*((1+Inputs!$D$7)^AD$2))),(_xlfn.WEIBULL.DIST(AD$2,$M133,$L133,FALSE)*$U133*((1+Inputs!$D$7)^AD$2))),IF($N133=Lists!$K$3,IF($L133&lt;1,((($T133*(1-$F133)+$S133*(1-$G133))/$L133)*((1+Inputs!$D$7)^AD$2)),((INT(AD$2/$L133)-INT((AD$2-1)/$L133))*($T133*(1-$F133)+$S133*(1-$G133))*((1+Inputs!$D$7)^AD$2))),((_xlfn.WEIBULL.DIST(AD$2,$M133,$L133,FALSE)*($T133*(1-$F133)+$S133*(1-$G133))*((1+Inputs!$D$7)^AD$2))))))</f>
        <v>0</v>
      </c>
      <c r="AE133" s="88">
        <f>$E133*IF(AE$2&gt;Inputs!$D$5,0,IF(AE$2&gt;VLOOKUP($H133,Lists!$P$3:$Q$7,2),IF($N133=Lists!$K$3,IF($L133&lt;1,(($U133/$L133)*((1+Inputs!$D$7)^AE$2)),((INT(AE$2/$L133)-INT((AE$2-1)/$L133))*$U133*((1+Inputs!$D$7)^AE$2))),(_xlfn.WEIBULL.DIST(AE$2,$M133,$L133,FALSE)*$U133*((1+Inputs!$D$7)^AE$2))),IF($N133=Lists!$K$3,IF($L133&lt;1,((($T133*(1-$F133)+$S133*(1-$G133))/$L133)*((1+Inputs!$D$7)^AE$2)),((INT(AE$2/$L133)-INT((AE$2-1)/$L133))*($T133*(1-$F133)+$S133*(1-$G133))*((1+Inputs!$D$7)^AE$2))),((_xlfn.WEIBULL.DIST(AE$2,$M133,$L133,FALSE)*($T133*(1-$F133)+$S133*(1-$G133))*((1+Inputs!$D$7)^AE$2))))))</f>
        <v>0</v>
      </c>
      <c r="AF133" s="88">
        <f>$E133*IF(AF$2&gt;Inputs!$D$5,0,IF(AF$2&gt;VLOOKUP($H133,Lists!$P$3:$Q$7,2),IF($N133=Lists!$K$3,IF($L133&lt;1,(($U133/$L133)*((1+Inputs!$D$7)^AF$2)),((INT(AF$2/$L133)-INT((AF$2-1)/$L133))*$U133*((1+Inputs!$D$7)^AF$2))),(_xlfn.WEIBULL.DIST(AF$2,$M133,$L133,FALSE)*$U133*((1+Inputs!$D$7)^AF$2))),IF($N133=Lists!$K$3,IF($L133&lt;1,((($T133*(1-$F133)+$S133*(1-$G133))/$L133)*((1+Inputs!$D$7)^AF$2)),((INT(AF$2/$L133)-INT((AF$2-1)/$L133))*($T133*(1-$F133)+$S133*(1-$G133))*((1+Inputs!$D$7)^AF$2))),((_xlfn.WEIBULL.DIST(AF$2,$M133,$L133,FALSE)*($T133*(1-$F133)+$S133*(1-$G133))*((1+Inputs!$D$7)^AF$2))))))</f>
        <v>0</v>
      </c>
      <c r="AG133" s="88">
        <f>$E133*IF(AG$2&gt;Inputs!$D$5,0,IF(AG$2&gt;VLOOKUP($H133,Lists!$P$3:$Q$7,2),IF($N133=Lists!$K$3,IF($L133&lt;1,(($U133/$L133)*((1+Inputs!$D$7)^AG$2)),((INT(AG$2/$L133)-INT((AG$2-1)/$L133))*$U133*((1+Inputs!$D$7)^AG$2))),(_xlfn.WEIBULL.DIST(AG$2,$M133,$L133,FALSE)*$U133*((1+Inputs!$D$7)^AG$2))),IF($N133=Lists!$K$3,IF($L133&lt;1,((($T133*(1-$F133)+$S133*(1-$G133))/$L133)*((1+Inputs!$D$7)^AG$2)),((INT(AG$2/$L133)-INT((AG$2-1)/$L133))*($T133*(1-$F133)+$S133*(1-$G133))*((1+Inputs!$D$7)^AG$2))),((_xlfn.WEIBULL.DIST(AG$2,$M133,$L133,FALSE)*($T133*(1-$F133)+$S133*(1-$G133))*((1+Inputs!$D$7)^AG$2))))))</f>
        <v>0</v>
      </c>
      <c r="AH133" s="88">
        <f>$E133*IF(AH$2&gt;Inputs!$D$5,0,IF(AH$2&gt;VLOOKUP($H133,Lists!$P$3:$Q$7,2),IF($N133=Lists!$K$3,IF($L133&lt;1,(($U133/$L133)*((1+Inputs!$D$7)^AH$2)),((INT(AH$2/$L133)-INT((AH$2-1)/$L133))*$U133*((1+Inputs!$D$7)^AH$2))),(_xlfn.WEIBULL.DIST(AH$2,$M133,$L133,FALSE)*$U133*((1+Inputs!$D$7)^AH$2))),IF($N133=Lists!$K$3,IF($L133&lt;1,((($T133*(1-$F133)+$S133*(1-$G133))/$L133)*((1+Inputs!$D$7)^AH$2)),((INT(AH$2/$L133)-INT((AH$2-1)/$L133))*($T133*(1-$F133)+$S133*(1-$G133))*((1+Inputs!$D$7)^AH$2))),((_xlfn.WEIBULL.DIST(AH$2,$M133,$L133,FALSE)*($T133*(1-$F133)+$S133*(1-$G133))*((1+Inputs!$D$7)^AH$2))))))</f>
        <v>0</v>
      </c>
      <c r="AI133" s="88">
        <f>$E133*IF(AI$2&gt;Inputs!$D$5,0,IF(AI$2&gt;VLOOKUP($H133,Lists!$P$3:$Q$7,2),IF($N133=Lists!$K$3,IF($L133&lt;1,(($U133/$L133)*((1+Inputs!$D$7)^AI$2)),((INT(AI$2/$L133)-INT((AI$2-1)/$L133))*$U133*((1+Inputs!$D$7)^AI$2))),(_xlfn.WEIBULL.DIST(AI$2,$M133,$L133,FALSE)*$U133*((1+Inputs!$D$7)^AI$2))),IF($N133=Lists!$K$3,IF($L133&lt;1,((($T133*(1-$F133)+$S133*(1-$G133))/$L133)*((1+Inputs!$D$7)^AI$2)),((INT(AI$2/$L133)-INT((AI$2-1)/$L133))*($T133*(1-$F133)+$S133*(1-$G133))*((1+Inputs!$D$7)^AI$2))),((_xlfn.WEIBULL.DIST(AI$2,$M133,$L133,FALSE)*($T133*(1-$F133)+$S133*(1-$G133))*((1+Inputs!$D$7)^AI$2))))))</f>
        <v>0</v>
      </c>
      <c r="AJ133" s="88">
        <f>$E133*IF(AJ$2&gt;Inputs!$D$5,0,IF(AJ$2&gt;VLOOKUP($H133,Lists!$P$3:$Q$7,2),IF($N133=Lists!$K$3,IF($L133&lt;1,(($U133/$L133)*((1+Inputs!$D$7)^AJ$2)),((INT(AJ$2/$L133)-INT((AJ$2-1)/$L133))*$U133*((1+Inputs!$D$7)^AJ$2))),(_xlfn.WEIBULL.DIST(AJ$2,$M133,$L133,FALSE)*$U133*((1+Inputs!$D$7)^AJ$2))),IF($N133=Lists!$K$3,IF($L133&lt;1,((($T133*(1-$F133)+$S133*(1-$G133))/$L133)*((1+Inputs!$D$7)^AJ$2)),((INT(AJ$2/$L133)-INT((AJ$2-1)/$L133))*($T133*(1-$F133)+$S133*(1-$G133))*((1+Inputs!$D$7)^AJ$2))),((_xlfn.WEIBULL.DIST(AJ$2,$M133,$L133,FALSE)*($T133*(1-$F133)+$S133*(1-$G133))*((1+Inputs!$D$7)^AJ$2))))))</f>
        <v>0</v>
      </c>
      <c r="AK133" s="88">
        <f>$E133*IF(AK$2&gt;Inputs!$D$5,0,IF(AK$2&gt;VLOOKUP($H133,Lists!$P$3:$Q$7,2),IF($N133=Lists!$K$3,IF($L133&lt;1,(($U133/$L133)*((1+Inputs!$D$7)^AK$2)),((INT(AK$2/$L133)-INT((AK$2-1)/$L133))*$U133*((1+Inputs!$D$7)^AK$2))),(_xlfn.WEIBULL.DIST(AK$2,$M133,$L133,FALSE)*$U133*((1+Inputs!$D$7)^AK$2))),IF($N133=Lists!$K$3,IF($L133&lt;1,((($T133*(1-$F133)+$S133*(1-$G133))/$L133)*((1+Inputs!$D$7)^AK$2)),((INT(AK$2/$L133)-INT((AK$2-1)/$L133))*($T133*(1-$F133)+$S133*(1-$G133))*((1+Inputs!$D$7)^AK$2))),((_xlfn.WEIBULL.DIST(AK$2,$M133,$L133,FALSE)*($T133*(1-$F133)+$S133*(1-$G133))*((1+Inputs!$D$7)^AK$2))))))</f>
        <v>0</v>
      </c>
      <c r="AL133" s="88">
        <f>$E133*IF(AL$2&gt;Inputs!$D$5,0,IF(AL$2&gt;VLOOKUP($H133,Lists!$P$3:$Q$7,2),IF($N133=Lists!$K$3,IF($L133&lt;1,(($U133/$L133)*((1+Inputs!$D$7)^AL$2)),((INT(AL$2/$L133)-INT((AL$2-1)/$L133))*$U133*((1+Inputs!$D$7)^AL$2))),(_xlfn.WEIBULL.DIST(AL$2,$M133,$L133,FALSE)*$U133*((1+Inputs!$D$7)^AL$2))),IF($N133=Lists!$K$3,IF($L133&lt;1,((($T133*(1-$F133)+$S133*(1-$G133))/$L133)*((1+Inputs!$D$7)^AL$2)),((INT(AL$2/$L133)-INT((AL$2-1)/$L133))*($T133*(1-$F133)+$S133*(1-$G133))*((1+Inputs!$D$7)^AL$2))),((_xlfn.WEIBULL.DIST(AL$2,$M133,$L133,FALSE)*($T133*(1-$F133)+$S133*(1-$G133))*((1+Inputs!$D$7)^AL$2))))))</f>
        <v>0</v>
      </c>
      <c r="AM133" s="88">
        <f>$E133*IF(AM$2&gt;Inputs!$D$5,0,IF(AM$2&gt;VLOOKUP($H133,Lists!$P$3:$Q$7,2),IF($N133=Lists!$K$3,IF($L133&lt;1,(($U133/$L133)*((1+Inputs!$D$7)^AM$2)),((INT(AM$2/$L133)-INT((AM$2-1)/$L133))*$U133*((1+Inputs!$D$7)^AM$2))),(_xlfn.WEIBULL.DIST(AM$2,$M133,$L133,FALSE)*$U133*((1+Inputs!$D$7)^AM$2))),IF($N133=Lists!$K$3,IF($L133&lt;1,((($T133*(1-$F133)+$S133*(1-$G133))/$L133)*((1+Inputs!$D$7)^AM$2)),((INT(AM$2/$L133)-INT((AM$2-1)/$L133))*($T133*(1-$F133)+$S133*(1-$G133))*((1+Inputs!$D$7)^AM$2))),((_xlfn.WEIBULL.DIST(AM$2,$M133,$L133,FALSE)*($T133*(1-$F133)+$S133*(1-$G133))*((1+Inputs!$D$7)^AM$2))))))</f>
        <v>0</v>
      </c>
      <c r="AN133" s="88">
        <f>$E133*IF(AN$2&gt;Inputs!$D$5,0,IF(AN$2&gt;VLOOKUP($H133,Lists!$P$3:$Q$7,2),IF($N133=Lists!$K$3,IF($L133&lt;1,(($U133/$L133)*((1+Inputs!$D$7)^AN$2)),((INT(AN$2/$L133)-INT((AN$2-1)/$L133))*$U133*((1+Inputs!$D$7)^AN$2))),(_xlfn.WEIBULL.DIST(AN$2,$M133,$L133,FALSE)*$U133*((1+Inputs!$D$7)^AN$2))),IF($N133=Lists!$K$3,IF($L133&lt;1,((($T133*(1-$F133)+$S133*(1-$G133))/$L133)*((1+Inputs!$D$7)^AN$2)),((INT(AN$2/$L133)-INT((AN$2-1)/$L133))*($T133*(1-$F133)+$S133*(1-$G133))*((1+Inputs!$D$7)^AN$2))),((_xlfn.WEIBULL.DIST(AN$2,$M133,$L133,FALSE)*($T133*(1-$F133)+$S133*(1-$G133))*((1+Inputs!$D$7)^AN$2))))))</f>
        <v>0</v>
      </c>
      <c r="AO133" s="88">
        <f>$E133*IF(AO$2&gt;Inputs!$D$5,0,IF(AO$2&gt;VLOOKUP($H133,Lists!$P$3:$Q$7,2),IF($N133=Lists!$K$3,IF($L133&lt;1,(($U133/$L133)*((1+Inputs!$D$7)^AO$2)),((INT(AO$2/$L133)-INT((AO$2-1)/$L133))*$U133*((1+Inputs!$D$7)^AO$2))),(_xlfn.WEIBULL.DIST(AO$2,$M133,$L133,FALSE)*$U133*((1+Inputs!$D$7)^AO$2))),IF($N133=Lists!$K$3,IF($L133&lt;1,((($T133*(1-$F133)+$S133*(1-$G133))/$L133)*((1+Inputs!$D$7)^AO$2)),((INT(AO$2/$L133)-INT((AO$2-1)/$L133))*($T133*(1-$F133)+$S133*(1-$G133))*((1+Inputs!$D$7)^AO$2))),((_xlfn.WEIBULL.DIST(AO$2,$M133,$L133,FALSE)*($T133*(1-$F133)+$S133*(1-$G133))*((1+Inputs!$D$7)^AO$2))))))</f>
        <v>0</v>
      </c>
      <c r="AP133" s="88">
        <f>$E133*IF(AP$2&gt;Inputs!$D$5,0,IF(AP$2&gt;VLOOKUP($H133,Lists!$P$3:$Q$7,2),IF($N133=Lists!$K$3,IF($L133&lt;1,(($U133/$L133)*((1+Inputs!$D$7)^AP$2)),((INT(AP$2/$L133)-INT((AP$2-1)/$L133))*$U133*((1+Inputs!$D$7)^AP$2))),(_xlfn.WEIBULL.DIST(AP$2,$M133,$L133,FALSE)*$U133*((1+Inputs!$D$7)^AP$2))),IF($N133=Lists!$K$3,IF($L133&lt;1,((($T133*(1-$F133)+$S133*(1-$G133))/$L133)*((1+Inputs!$D$7)^AP$2)),((INT(AP$2/$L133)-INT((AP$2-1)/$L133))*($T133*(1-$F133)+$S133*(1-$G133))*((1+Inputs!$D$7)^AP$2))),((_xlfn.WEIBULL.DIST(AP$2,$M133,$L133,FALSE)*($T133*(1-$F133)+$S133*(1-$G133))*((1+Inputs!$D$7)^AP$2))))))</f>
        <v>0</v>
      </c>
      <c r="AQ133" s="88">
        <f>$E133*IF(AQ$2&gt;Inputs!$D$5,0,IF(AQ$2&gt;VLOOKUP($H133,Lists!$P$3:$Q$7,2),IF($N133=Lists!$K$3,IF($L133&lt;1,(($U133/$L133)*((1+Inputs!$D$7)^AQ$2)),((INT(AQ$2/$L133)-INT((AQ$2-1)/$L133))*$U133*((1+Inputs!$D$7)^AQ$2))),(_xlfn.WEIBULL.DIST(AQ$2,$M133,$L133,FALSE)*$U133*((1+Inputs!$D$7)^AQ$2))),IF($N133=Lists!$K$3,IF($L133&lt;1,((($T133*(1-$F133)+$S133*(1-$G133))/$L133)*((1+Inputs!$D$7)^AQ$2)),((INT(AQ$2/$L133)-INT((AQ$2-1)/$L133))*($T133*(1-$F133)+$S133*(1-$G133))*((1+Inputs!$D$7)^AQ$2))),((_xlfn.WEIBULL.DIST(AQ$2,$M133,$L133,FALSE)*($T133*(1-$F133)+$S133*(1-$G133))*((1+Inputs!$D$7)^AQ$2))))))</f>
        <v>0</v>
      </c>
      <c r="AR133" s="88">
        <f>$E133*IF(AR$2&gt;Inputs!$D$5,0,IF(AR$2&gt;VLOOKUP($H133,Lists!$P$3:$Q$7,2),IF($N133=Lists!$K$3,IF($L133&lt;1,(($U133/$L133)*((1+Inputs!$D$7)^AR$2)),((INT(AR$2/$L133)-INT((AR$2-1)/$L133))*$U133*((1+Inputs!$D$7)^AR$2))),(_xlfn.WEIBULL.DIST(AR$2,$M133,$L133,FALSE)*$U133*((1+Inputs!$D$7)^AR$2))),IF($N133=Lists!$K$3,IF($L133&lt;1,((($T133*(1-$F133)+$S133*(1-$G133))/$L133)*((1+Inputs!$D$7)^AR$2)),((INT(AR$2/$L133)-INT((AR$2-1)/$L133))*($T133*(1-$F133)+$S133*(1-$G133))*((1+Inputs!$D$7)^AR$2))),((_xlfn.WEIBULL.DIST(AR$2,$M133,$L133,FALSE)*($T133*(1-$F133)+$S133*(1-$G133))*((1+Inputs!$D$7)^AR$2))))))</f>
        <v>0</v>
      </c>
      <c r="AS133" s="88">
        <f>$E133*IF(AS$2&gt;Inputs!$D$5,0,IF(AS$2&gt;VLOOKUP($H133,Lists!$P$3:$Q$7,2),IF($N133=Lists!$K$3,IF($L133&lt;1,(($U133/$L133)*((1+Inputs!$D$7)^AS$2)),((INT(AS$2/$L133)-INT((AS$2-1)/$L133))*$U133*((1+Inputs!$D$7)^AS$2))),(_xlfn.WEIBULL.DIST(AS$2,$M133,$L133,FALSE)*$U133*((1+Inputs!$D$7)^AS$2))),IF($N133=Lists!$K$3,IF($L133&lt;1,((($T133*(1-$F133)+$S133*(1-$G133))/$L133)*((1+Inputs!$D$7)^AS$2)),((INT(AS$2/$L133)-INT((AS$2-1)/$L133))*($T133*(1-$F133)+$S133*(1-$G133))*((1+Inputs!$D$7)^AS$2))),((_xlfn.WEIBULL.DIST(AS$2,$M133,$L133,FALSE)*($T133*(1-$F133)+$S133*(1-$G133))*((1+Inputs!$D$7)^AS$2))))))</f>
        <v>0</v>
      </c>
      <c r="AT133" s="88">
        <f>$E133*IF(AT$2&gt;Inputs!$D$5,0,IF(AT$2&gt;VLOOKUP($H133,Lists!$P$3:$Q$7,2),IF($N133=Lists!$K$3,IF($L133&lt;1,(($U133/$L133)*((1+Inputs!$D$7)^AT$2)),((INT(AT$2/$L133)-INT((AT$2-1)/$L133))*$U133*((1+Inputs!$D$7)^AT$2))),(_xlfn.WEIBULL.DIST(AT$2,$M133,$L133,FALSE)*$U133*((1+Inputs!$D$7)^AT$2))),IF($N133=Lists!$K$3,IF($L133&lt;1,((($T133*(1-$F133)+$S133*(1-$G133))/$L133)*((1+Inputs!$D$7)^AT$2)),((INT(AT$2/$L133)-INT((AT$2-1)/$L133))*($T133*(1-$F133)+$S133*(1-$G133))*((1+Inputs!$D$7)^AT$2))),((_xlfn.WEIBULL.DIST(AT$2,$M133,$L133,FALSE)*($T133*(1-$F133)+$S133*(1-$G133))*((1+Inputs!$D$7)^AT$2))))))</f>
        <v>0</v>
      </c>
      <c r="AU133" s="88">
        <f>$E133*IF(AU$2&gt;Inputs!$D$5,0,IF(AU$2&gt;VLOOKUP($H133,Lists!$P$3:$Q$7,2),IF($N133=Lists!$K$3,IF($L133&lt;1,(($U133/$L133)*((1+Inputs!$D$7)^AU$2)),((INT(AU$2/$L133)-INT((AU$2-1)/$L133))*$U133*((1+Inputs!$D$7)^AU$2))),(_xlfn.WEIBULL.DIST(AU$2,$M133,$L133,FALSE)*$U133*((1+Inputs!$D$7)^AU$2))),IF($N133=Lists!$K$3,IF($L133&lt;1,((($T133*(1-$F133)+$S133*(1-$G133))/$L133)*((1+Inputs!$D$7)^AU$2)),((INT(AU$2/$L133)-INT((AU$2-1)/$L133))*($T133*(1-$F133)+$S133*(1-$G133))*((1+Inputs!$D$7)^AU$2))),((_xlfn.WEIBULL.DIST(AU$2,$M133,$L133,FALSE)*($T133*(1-$F133)+$S133*(1-$G133))*((1+Inputs!$D$7)^AU$2))))))</f>
        <v>0</v>
      </c>
      <c r="AV133" s="88">
        <f>$E133*IF(AV$2&gt;Inputs!$D$5,0,IF(AV$2&gt;VLOOKUP($H133,Lists!$P$3:$Q$7,2),IF($N133=Lists!$K$3,IF($L133&lt;1,(($U133/$L133)*((1+Inputs!$D$7)^AV$2)),((INT(AV$2/$L133)-INT((AV$2-1)/$L133))*$U133*((1+Inputs!$D$7)^AV$2))),(_xlfn.WEIBULL.DIST(AV$2,$M133,$L133,FALSE)*$U133*((1+Inputs!$D$7)^AV$2))),IF($N133=Lists!$K$3,IF($L133&lt;1,((($T133*(1-$F133)+$S133*(1-$G133))/$L133)*((1+Inputs!$D$7)^AV$2)),((INT(AV$2/$L133)-INT((AV$2-1)/$L133))*($T133*(1-$F133)+$S133*(1-$G133))*((1+Inputs!$D$7)^AV$2))),((_xlfn.WEIBULL.DIST(AV$2,$M133,$L133,FALSE)*($T133*(1-$F133)+$S133*(1-$G133))*((1+Inputs!$D$7)^AV$2))))))</f>
        <v>0</v>
      </c>
      <c r="AW133" s="88">
        <f>$E133*IF(AW$2&gt;Inputs!$D$5,0,IF(AW$2&gt;VLOOKUP($H133,Lists!$P$3:$Q$7,2),IF($N133=Lists!$K$3,IF($L133&lt;1,(($U133/$L133)*((1+Inputs!$D$7)^AW$2)),((INT(AW$2/$L133)-INT((AW$2-1)/$L133))*$U133*((1+Inputs!$D$7)^AW$2))),(_xlfn.WEIBULL.DIST(AW$2,$M133,$L133,FALSE)*$U133*((1+Inputs!$D$7)^AW$2))),IF($N133=Lists!$K$3,IF($L133&lt;1,((($T133*(1-$F133)+$S133*(1-$G133))/$L133)*((1+Inputs!$D$7)^AW$2)),((INT(AW$2/$L133)-INT((AW$2-1)/$L133))*($T133*(1-$F133)+$S133*(1-$G133))*((1+Inputs!$D$7)^AW$2))),((_xlfn.WEIBULL.DIST(AW$2,$M133,$L133,FALSE)*($T133*(1-$F133)+$S133*(1-$G133))*((1+Inputs!$D$7)^AW$2))))))</f>
        <v>0</v>
      </c>
      <c r="AX133" s="88">
        <f>$E133*IF(AX$2&gt;Inputs!$D$5,0,IF(AX$2&gt;VLOOKUP($H133,Lists!$P$3:$Q$7,2),IF($N133=Lists!$K$3,IF($L133&lt;1,(($U133/$L133)*((1+Inputs!$D$7)^AX$2)),((INT(AX$2/$L133)-INT((AX$2-1)/$L133))*$U133*((1+Inputs!$D$7)^AX$2))),(_xlfn.WEIBULL.DIST(AX$2,$M133,$L133,FALSE)*$U133*((1+Inputs!$D$7)^AX$2))),IF($N133=Lists!$K$3,IF($L133&lt;1,((($T133*(1-$F133)+$S133*(1-$G133))/$L133)*((1+Inputs!$D$7)^AX$2)),((INT(AX$2/$L133)-INT((AX$2-1)/$L133))*($T133*(1-$F133)+$S133*(1-$G133))*((1+Inputs!$D$7)^AX$2))),((_xlfn.WEIBULL.DIST(AX$2,$M133,$L133,FALSE)*($T133*(1-$F133)+$S133*(1-$G133))*((1+Inputs!$D$7)^AX$2))))))</f>
        <v>0</v>
      </c>
      <c r="AY133" s="88">
        <f>$E133*IF(AY$2&gt;Inputs!$D$5,0,IF(AY$2&gt;VLOOKUP($H133,Lists!$P$3:$Q$7,2),IF($N133=Lists!$K$3,IF($L133&lt;1,(($U133/$L133)*((1+Inputs!$D$7)^AY$2)),((INT(AY$2/$L133)-INT((AY$2-1)/$L133))*$U133*((1+Inputs!$D$7)^AY$2))),(_xlfn.WEIBULL.DIST(AY$2,$M133,$L133,FALSE)*$U133*((1+Inputs!$D$7)^AY$2))),IF($N133=Lists!$K$3,IF($L133&lt;1,((($T133*(1-$F133)+$S133*(1-$G133))/$L133)*((1+Inputs!$D$7)^AY$2)),((INT(AY$2/$L133)-INT((AY$2-1)/$L133))*($T133*(1-$F133)+$S133*(1-$G133))*((1+Inputs!$D$7)^AY$2))),((_xlfn.WEIBULL.DIST(AY$2,$M133,$L133,FALSE)*($T133*(1-$F133)+$S133*(1-$G133))*((1+Inputs!$D$7)^AY$2))))))</f>
        <v>0</v>
      </c>
      <c r="AZ133" s="88">
        <f>$E133*IF(AZ$2&gt;Inputs!$D$5,0,IF(AZ$2&gt;VLOOKUP($H133,Lists!$P$3:$Q$7,2),IF($N133=Lists!$K$3,IF($L133&lt;1,(($U133/$L133)*((1+Inputs!$D$7)^AZ$2)),((INT(AZ$2/$L133)-INT((AZ$2-1)/$L133))*$U133*((1+Inputs!$D$7)^AZ$2))),(_xlfn.WEIBULL.DIST(AZ$2,$M133,$L133,FALSE)*$U133*((1+Inputs!$D$7)^AZ$2))),IF($N133=Lists!$K$3,IF($L133&lt;1,((($T133*(1-$F133)+$S133*(1-$G133))/$L133)*((1+Inputs!$D$7)^AZ$2)),((INT(AZ$2/$L133)-INT((AZ$2-1)/$L133))*($T133*(1-$F133)+$S133*(1-$G133))*((1+Inputs!$D$7)^AZ$2))),((_xlfn.WEIBULL.DIST(AZ$2,$M133,$L133,FALSE)*($T133*(1-$F133)+$S133*(1-$G133))*((1+Inputs!$D$7)^AZ$2))))))</f>
        <v>0</v>
      </c>
      <c r="BA133" s="88">
        <f>$E133*IF(BA$2&gt;Inputs!$D$5,0,IF(BA$2&gt;VLOOKUP($H133,Lists!$P$3:$Q$7,2),IF($N133=Lists!$K$3,IF($L133&lt;1,(($U133/$L133)*((1+Inputs!$D$7)^BA$2)),((INT(BA$2/$L133)-INT((BA$2-1)/$L133))*$U133*((1+Inputs!$D$7)^BA$2))),(_xlfn.WEIBULL.DIST(BA$2,$M133,$L133,FALSE)*$U133*((1+Inputs!$D$7)^BA$2))),IF($N133=Lists!$K$3,IF($L133&lt;1,((($T133*(1-$F133)+$S133*(1-$G133))/$L133)*((1+Inputs!$D$7)^BA$2)),((INT(BA$2/$L133)-INT((BA$2-1)/$L133))*($T133*(1-$F133)+$S133*(1-$G133))*((1+Inputs!$D$7)^BA$2))),((_xlfn.WEIBULL.DIST(BA$2,$M133,$L133,FALSE)*($T133*(1-$F133)+$S133*(1-$G133))*((1+Inputs!$D$7)^BA$2))))))</f>
        <v>0</v>
      </c>
      <c r="BB133" s="88">
        <f>$E133*IF(BB$2&gt;Inputs!$D$5,0,IF(BB$2&gt;VLOOKUP($H133,Lists!$P$3:$Q$7,2),IF($N133=Lists!$K$3,IF($L133&lt;1,(($U133/$L133)*((1+Inputs!$D$7)^BB$2)),((INT(BB$2/$L133)-INT((BB$2-1)/$L133))*$U133*((1+Inputs!$D$7)^BB$2))),(_xlfn.WEIBULL.DIST(BB$2,$M133,$L133,FALSE)*$U133*((1+Inputs!$D$7)^BB$2))),IF($N133=Lists!$K$3,IF($L133&lt;1,((($T133*(1-$F133)+$S133*(1-$G133))/$L133)*((1+Inputs!$D$7)^BB$2)),((INT(BB$2/$L133)-INT((BB$2-1)/$L133))*($T133*(1-$F133)+$S133*(1-$G133))*((1+Inputs!$D$7)^BB$2))),((_xlfn.WEIBULL.DIST(BB$2,$M133,$L133,FALSE)*($T133*(1-$F133)+$S133*(1-$G133))*((1+Inputs!$D$7)^BB$2))))))</f>
        <v>0</v>
      </c>
      <c r="BC133" s="88">
        <f>$E133*IF(BC$2&gt;Inputs!$D$5,0,IF(BC$2&gt;VLOOKUP($H133,Lists!$P$3:$Q$7,2),IF($N133=Lists!$K$3,IF($L133&lt;1,(($U133/$L133)*((1+Inputs!$D$7)^BC$2)),((INT(BC$2/$L133)-INT((BC$2-1)/$L133))*$U133*((1+Inputs!$D$7)^BC$2))),(_xlfn.WEIBULL.DIST(BC$2,$M133,$L133,FALSE)*$U133*((1+Inputs!$D$7)^BC$2))),IF($N133=Lists!$K$3,IF($L133&lt;1,((($T133*(1-$F133)+$S133*(1-$G133))/$L133)*((1+Inputs!$D$7)^BC$2)),((INT(BC$2/$L133)-INT((BC$2-1)/$L133))*($T133*(1-$F133)+$S133*(1-$G133))*((1+Inputs!$D$7)^BC$2))),((_xlfn.WEIBULL.DIST(BC$2,$M133,$L133,FALSE)*($T133*(1-$F133)+$S133*(1-$G133))*((1+Inputs!$D$7)^BC$2))))))</f>
        <v>0</v>
      </c>
      <c r="BD133" s="88">
        <f>$E133*IF(BD$2&gt;Inputs!$D$5,0,IF(BD$2&gt;VLOOKUP($H133,Lists!$P$3:$Q$7,2),IF($N133=Lists!$K$3,IF($L133&lt;1,(($U133/$L133)*((1+Inputs!$D$7)^BD$2)),((INT(BD$2/$L133)-INT((BD$2-1)/$L133))*$U133*((1+Inputs!$D$7)^BD$2))),(_xlfn.WEIBULL.DIST(BD$2,$M133,$L133,FALSE)*$U133*((1+Inputs!$D$7)^BD$2))),IF($N133=Lists!$K$3,IF($L133&lt;1,((($T133*(1-$F133)+$S133*(1-$G133))/$L133)*((1+Inputs!$D$7)^BD$2)),((INT(BD$2/$L133)-INT((BD$2-1)/$L133))*($T133*(1-$F133)+$S133*(1-$G133))*((1+Inputs!$D$7)^BD$2))),((_xlfn.WEIBULL.DIST(BD$2,$M133,$L133,FALSE)*($T133*(1-$F133)+$S133*(1-$G133))*((1+Inputs!$D$7)^BD$2))))))</f>
        <v>0</v>
      </c>
      <c r="BE133" s="88">
        <f>$E133*IF(BE$2&gt;Inputs!$D$5,0,IF(BE$2&gt;VLOOKUP($H133,Lists!$P$3:$Q$7,2),IF($N133=Lists!$K$3,IF($L133&lt;1,(($U133/$L133)*((1+Inputs!$D$7)^BE$2)),((INT(BE$2/$L133)-INT((BE$2-1)/$L133))*$U133*((1+Inputs!$D$7)^BE$2))),(_xlfn.WEIBULL.DIST(BE$2,$M133,$L133,FALSE)*$U133*((1+Inputs!$D$7)^BE$2))),IF($N133=Lists!$K$3,IF($L133&lt;1,((($T133*(1-$F133)+$S133*(1-$G133))/$L133)*((1+Inputs!$D$7)^BE$2)),((INT(BE$2/$L133)-INT((BE$2-1)/$L133))*($T133*(1-$F133)+$S133*(1-$G133))*((1+Inputs!$D$7)^BE$2))),((_xlfn.WEIBULL.DIST(BE$2,$M133,$L133,FALSE)*($T133*(1-$F133)+$S133*(1-$G133))*((1+Inputs!$D$7)^BE$2))))))</f>
        <v>0</v>
      </c>
      <c r="BF133" s="88">
        <f>$E133*IF(BF$2&gt;Inputs!$D$5,0,IF(BF$2&gt;VLOOKUP($H133,Lists!$P$3:$Q$7,2),IF($N133=Lists!$K$3,IF($L133&lt;1,(($U133/$L133)*((1+Inputs!$D$7)^BF$2)),((INT(BF$2/$L133)-INT((BF$2-1)/$L133))*$U133*((1+Inputs!$D$7)^BF$2))),(_xlfn.WEIBULL.DIST(BF$2,$M133,$L133,FALSE)*$U133*((1+Inputs!$D$7)^BF$2))),IF($N133=Lists!$K$3,IF($L133&lt;1,((($T133*(1-$F133)+$S133*(1-$G133))/$L133)*((1+Inputs!$D$7)^BF$2)),((INT(BF$2/$L133)-INT((BF$2-1)/$L133))*($T133*(1-$F133)+$S133*(1-$G133))*((1+Inputs!$D$7)^BF$2))),((_xlfn.WEIBULL.DIST(BF$2,$M133,$L133,FALSE)*($T133*(1-$F133)+$S133*(1-$G133))*((1+Inputs!$D$7)^BF$2))))))</f>
        <v>0</v>
      </c>
      <c r="BG133" s="88">
        <f>$E133*IF(BG$2&gt;Inputs!$D$5,0,IF(BG$2&gt;VLOOKUP($H133,Lists!$P$3:$Q$7,2),IF($N133=Lists!$K$3,IF($L133&lt;1,(($U133/$L133)*((1+Inputs!$D$7)^BG$2)),((INT(BG$2/$L133)-INT((BG$2-1)/$L133))*$U133*((1+Inputs!$D$7)^BG$2))),(_xlfn.WEIBULL.DIST(BG$2,$M133,$L133,FALSE)*$U133*((1+Inputs!$D$7)^BG$2))),IF($N133=Lists!$K$3,IF($L133&lt;1,((($T133*(1-$F133)+$S133*(1-$G133))/$L133)*((1+Inputs!$D$7)^BG$2)),((INT(BG$2/$L133)-INT((BG$2-1)/$L133))*($T133*(1-$F133)+$S133*(1-$G133))*((1+Inputs!$D$7)^BG$2))),((_xlfn.WEIBULL.DIST(BG$2,$M133,$L133,FALSE)*($T133*(1-$F133)+$S133*(1-$G133))*((1+Inputs!$D$7)^BG$2))))))</f>
        <v>0</v>
      </c>
      <c r="BH133" s="88">
        <f>$E133*IF(BH$2&gt;Inputs!$D$5,0,IF(BH$2&gt;VLOOKUP($H133,Lists!$P$3:$Q$7,2),IF($N133=Lists!$K$3,IF($L133&lt;1,(($U133/$L133)*((1+Inputs!$D$7)^BH$2)),((INT(BH$2/$L133)-INT((BH$2-1)/$L133))*$U133*((1+Inputs!$D$7)^BH$2))),(_xlfn.WEIBULL.DIST(BH$2,$M133,$L133,FALSE)*$U133*((1+Inputs!$D$7)^BH$2))),IF($N133=Lists!$K$3,IF($L133&lt;1,((($T133*(1-$F133)+$S133*(1-$G133))/$L133)*((1+Inputs!$D$7)^BH$2)),((INT(BH$2/$L133)-INT((BH$2-1)/$L133))*($T133*(1-$F133)+$S133*(1-$G133))*((1+Inputs!$D$7)^BH$2))),((_xlfn.WEIBULL.DIST(BH$2,$M133,$L133,FALSE)*($T133*(1-$F133)+$S133*(1-$G133))*((1+Inputs!$D$7)^BH$2))))))</f>
        <v>0</v>
      </c>
      <c r="BI133" s="88">
        <f>$E133*IF(BI$2&gt;Inputs!$D$5,0,IF(BI$2&gt;VLOOKUP($H133,Lists!$P$3:$Q$7,2),IF($N133=Lists!$K$3,IF($L133&lt;1,(($U133/$L133)*((1+Inputs!$D$7)^BI$2)),((INT(BI$2/$L133)-INT((BI$2-1)/$L133))*$U133*((1+Inputs!$D$7)^BI$2))),(_xlfn.WEIBULL.DIST(BI$2,$M133,$L133,FALSE)*$U133*((1+Inputs!$D$7)^BI$2))),IF($N133=Lists!$K$3,IF($L133&lt;1,((($T133*(1-$F133)+$S133*(1-$G133))/$L133)*((1+Inputs!$D$7)^BI$2)),((INT(BI$2/$L133)-INT((BI$2-1)/$L133))*($T133*(1-$F133)+$S133*(1-$G133))*((1+Inputs!$D$7)^BI$2))),((_xlfn.WEIBULL.DIST(BI$2,$M133,$L133,FALSE)*($T133*(1-$F133)+$S133*(1-$G133))*((1+Inputs!$D$7)^BI$2))))))</f>
        <v>0</v>
      </c>
      <c r="BJ133" s="88">
        <f>$E133*IF(BJ$2&gt;Inputs!$D$5,0,IF(BJ$2&gt;VLOOKUP($H133,Lists!$P$3:$Q$7,2),IF($N133=Lists!$K$3,IF($L133&lt;1,(($U133/$L133)*((1+Inputs!$D$7)^BJ$2)),((INT(BJ$2/$L133)-INT((BJ$2-1)/$L133))*$U133*((1+Inputs!$D$7)^BJ$2))),(_xlfn.WEIBULL.DIST(BJ$2,$M133,$L133,FALSE)*$U133*((1+Inputs!$D$7)^BJ$2))),IF($N133=Lists!$K$3,IF($L133&lt;1,((($T133*(1-$F133)+$S133*(1-$G133))/$L133)*((1+Inputs!$D$7)^BJ$2)),((INT(BJ$2/$L133)-INT((BJ$2-1)/$L133))*($T133*(1-$F133)+$S133*(1-$G133))*((1+Inputs!$D$7)^BJ$2))),((_xlfn.WEIBULL.DIST(BJ$2,$M133,$L133,FALSE)*($T133*(1-$F133)+$S133*(1-$G133))*((1+Inputs!$D$7)^BJ$2))))))</f>
        <v>0</v>
      </c>
      <c r="BK133" s="88">
        <f>$E133*IF(BK$2&gt;Inputs!$D$5,0,IF(BK$2&gt;VLOOKUP($H133,Lists!$P$3:$Q$7,2),IF($N133=Lists!$K$3,IF($L133&lt;1,(($U133/$L133)*((1+Inputs!$D$7)^BK$2)),((INT(BK$2/$L133)-INT((BK$2-1)/$L133))*$U133*((1+Inputs!$D$7)^BK$2))),(_xlfn.WEIBULL.DIST(BK$2,$M133,$L133,FALSE)*$U133*((1+Inputs!$D$7)^BK$2))),IF($N133=Lists!$K$3,IF($L133&lt;1,((($T133*(1-$F133)+$S133*(1-$G133))/$L133)*((1+Inputs!$D$7)^BK$2)),((INT(BK$2/$L133)-INT((BK$2-1)/$L133))*($T133*(1-$F133)+$S133*(1-$G133))*((1+Inputs!$D$7)^BK$2))),((_xlfn.WEIBULL.DIST(BK$2,$M133,$L133,FALSE)*($T133*(1-$F133)+$S133*(1-$G133))*((1+Inputs!$D$7)^BK$2))))))</f>
        <v>0</v>
      </c>
      <c r="BL133" s="88">
        <f>$E133*IF(BL$2&gt;Inputs!$D$5,0,IF(BL$2&gt;VLOOKUP($H133,Lists!$P$3:$Q$7,2),IF($N133=Lists!$K$3,IF($L133&lt;1,(($U133/$L133)*((1+Inputs!$D$7)^BL$2)),((INT(BL$2/$L133)-INT((BL$2-1)/$L133))*$U133*((1+Inputs!$D$7)^BL$2))),(_xlfn.WEIBULL.DIST(BL$2,$M133,$L133,FALSE)*$U133*((1+Inputs!$D$7)^BL$2))),IF($N133=Lists!$K$3,IF($L133&lt;1,((($T133*(1-$F133)+$S133*(1-$G133))/$L133)*((1+Inputs!$D$7)^BL$2)),((INT(BL$2/$L133)-INT((BL$2-1)/$L133))*($T133*(1-$F133)+$S133*(1-$G133))*((1+Inputs!$D$7)^BL$2))),((_xlfn.WEIBULL.DIST(BL$2,$M133,$L133,FALSE)*($T133*(1-$F133)+$S133*(1-$G133))*((1+Inputs!$D$7)^BL$2))))))</f>
        <v>0</v>
      </c>
      <c r="BM133" s="88">
        <f>$E133*IF(BM$2&gt;Inputs!$D$5,0,IF(BM$2&gt;VLOOKUP($H133,Lists!$P$3:$Q$7,2),IF($N133=Lists!$K$3,IF($L133&lt;1,(($U133/$L133)*((1+Inputs!$D$7)^BM$2)),((INT(BM$2/$L133)-INT((BM$2-1)/$L133))*$U133*((1+Inputs!$D$7)^BM$2))),(_xlfn.WEIBULL.DIST(BM$2,$M133,$L133,FALSE)*$U133*((1+Inputs!$D$7)^BM$2))),IF($N133=Lists!$K$3,IF($L133&lt;1,((($T133*(1-$F133)+$S133*(1-$G133))/$L133)*((1+Inputs!$D$7)^BM$2)),((INT(BM$2/$L133)-INT((BM$2-1)/$L133))*($T133*(1-$F133)+$S133*(1-$G133))*((1+Inputs!$D$7)^BM$2))),((_xlfn.WEIBULL.DIST(BM$2,$M133,$L133,FALSE)*($T133*(1-$F133)+$S133*(1-$G133))*((1+Inputs!$D$7)^BM$2))))))</f>
        <v>0</v>
      </c>
      <c r="BN133" s="88">
        <f>$E133*IF(BN$2&gt;Inputs!$D$5,0,IF(BN$2&gt;VLOOKUP($H133,Lists!$P$3:$Q$7,2),IF($N133=Lists!$K$3,IF($L133&lt;1,(($U133/$L133)*((1+Inputs!$D$7)^BN$2)),((INT(BN$2/$L133)-INT((BN$2-1)/$L133))*$U133*((1+Inputs!$D$7)^BN$2))),(_xlfn.WEIBULL.DIST(BN$2,$M133,$L133,FALSE)*$U133*((1+Inputs!$D$7)^BN$2))),IF($N133=Lists!$K$3,IF($L133&lt;1,((($T133*(1-$F133)+$S133*(1-$G133))/$L133)*((1+Inputs!$D$7)^BN$2)),((INT(BN$2/$L133)-INT((BN$2-1)/$L133))*($T133*(1-$F133)+$S133*(1-$G133))*((1+Inputs!$D$7)^BN$2))),((_xlfn.WEIBULL.DIST(BN$2,$M133,$L133,FALSE)*($T133*(1-$F133)+$S133*(1-$G133))*((1+Inputs!$D$7)^BN$2))))))</f>
        <v>0</v>
      </c>
      <c r="BO133" s="64">
        <f>NPV(Inputs!$D$6,BQ133:DD133)</f>
        <v>0</v>
      </c>
      <c r="BP133" s="67">
        <f t="shared" si="34"/>
        <v>0</v>
      </c>
      <c r="BQ133" s="88">
        <f>MAX(AA133,($E133*IF(BQ$2&gt;Inputs!$D$5,0,IF(BQ$2&gt;VLOOKUP($H133,Lists!$P$3:$Q$7,2),IF($N133=Lists!$K$3,IF($L133&lt;1,(($U133/$L133)*((1+Inputs!$D$7)^BQ$2)),((INT(BQ$2/$L133)-INT((BQ$2-1)/$L133))*$U133*((1+Inputs!$D$7)^BQ$2))),(Inputs!$D$8^((1-_xlfn.WEIBULL.DIST(BQ$2,$M133,$L133,FALSE))/_xlfn.WEIBULL.DIST(BQ$2,$M133,$L133,FALSE))*$U133*((1+Inputs!$D$7)^BQ$2))),IF($N133=Lists!$K$3,IF($L133&lt;1,((($T133*(1-$F133)+$S133*(1-$G133))/$L133)*((1+Inputs!$D$7)^BQ$2)),((INT(BQ$2/$L133)-INT((BQ$2-1)/$L133))*($T133*(1-$F133)+$S133*(1-$G133))*((1+Inputs!$D$7)^BQ$2))),((Inputs!$D$8^((1-_xlfn.WEIBULL.DIST(BQ$2,$M133,$L133,FALSE))/_xlfn.WEIBULL.DIST(BQ$2,$M133,$L133,FALSE))*($T133*(1-$F133)+$S133*(1-$G133))*((1+Inputs!$D$7)^BQ$2))))))))</f>
        <v>0</v>
      </c>
      <c r="BR133" s="88">
        <f>MAX(AB133,($E133*IF(BR$2&gt;Inputs!$D$5,0,IF(BR$2&gt;VLOOKUP($H133,Lists!$P$3:$Q$7,2),IF($N133=Lists!$K$3,IF($L133&lt;1,(($U133/$L133)*((1+Inputs!$D$7)^BR$2)),((INT(BR$2/$L133)-INT((BR$2-1)/$L133))*$U133*((1+Inputs!$D$7)^BR$2))),(Inputs!$D$8^((1-_xlfn.WEIBULL.DIST(BR$2,$M133,$L133,FALSE))/_xlfn.WEIBULL.DIST(BR$2,$M133,$L133,FALSE))*$U133*((1+Inputs!$D$7)^BR$2))),IF($N133=Lists!$K$3,IF($L133&lt;1,((($T133*(1-$F133)+$S133*(1-$G133))/$L133)*((1+Inputs!$D$7)^BR$2)),((INT(BR$2/$L133)-INT((BR$2-1)/$L133))*($T133*(1-$F133)+$S133*(1-$G133))*((1+Inputs!$D$7)^BR$2))),((Inputs!$D$8^((1-_xlfn.WEIBULL.DIST(BR$2,$M133,$L133,FALSE))/_xlfn.WEIBULL.DIST(BR$2,$M133,$L133,FALSE))*($T133*(1-$F133)+$S133*(1-$G133))*((1+Inputs!$D$7)^BR$2))))))))</f>
        <v>0</v>
      </c>
      <c r="BS133" s="88">
        <f>MAX(AC133,($E133*IF(BS$2&gt;Inputs!$D$5,0,IF(BS$2&gt;VLOOKUP($H133,Lists!$P$3:$Q$7,2),IF($N133=Lists!$K$3,IF($L133&lt;1,(($U133/$L133)*((1+Inputs!$D$7)^BS$2)),((INT(BS$2/$L133)-INT((BS$2-1)/$L133))*$U133*((1+Inputs!$D$7)^BS$2))),(Inputs!$D$8^((1-_xlfn.WEIBULL.DIST(BS$2,$M133,$L133,FALSE))/_xlfn.WEIBULL.DIST(BS$2,$M133,$L133,FALSE))*$U133*((1+Inputs!$D$7)^BS$2))),IF($N133=Lists!$K$3,IF($L133&lt;1,((($T133*(1-$F133)+$S133*(1-$G133))/$L133)*((1+Inputs!$D$7)^BS$2)),((INT(BS$2/$L133)-INT((BS$2-1)/$L133))*($T133*(1-$F133)+$S133*(1-$G133))*((1+Inputs!$D$7)^BS$2))),((Inputs!$D$8^((1-_xlfn.WEIBULL.DIST(BS$2,$M133,$L133,FALSE))/_xlfn.WEIBULL.DIST(BS$2,$M133,$L133,FALSE))*($T133*(1-$F133)+$S133*(1-$G133))*((1+Inputs!$D$7)^BS$2))))))))</f>
        <v>0</v>
      </c>
      <c r="BT133" s="88">
        <f>MAX(AD133,($E133*IF(BT$2&gt;Inputs!$D$5,0,IF(BT$2&gt;VLOOKUP($H133,Lists!$P$3:$Q$7,2),IF($N133=Lists!$K$3,IF($L133&lt;1,(($U133/$L133)*((1+Inputs!$D$7)^BT$2)),((INT(BT$2/$L133)-INT((BT$2-1)/$L133))*$U133*((1+Inputs!$D$7)^BT$2))),(Inputs!$D$8^((1-_xlfn.WEIBULL.DIST(BT$2,$M133,$L133,FALSE))/_xlfn.WEIBULL.DIST(BT$2,$M133,$L133,FALSE))*$U133*((1+Inputs!$D$7)^BT$2))),IF($N133=Lists!$K$3,IF($L133&lt;1,((($T133*(1-$F133)+$S133*(1-$G133))/$L133)*((1+Inputs!$D$7)^BT$2)),((INT(BT$2/$L133)-INT((BT$2-1)/$L133))*($T133*(1-$F133)+$S133*(1-$G133))*((1+Inputs!$D$7)^BT$2))),((Inputs!$D$8^((1-_xlfn.WEIBULL.DIST(BT$2,$M133,$L133,FALSE))/_xlfn.WEIBULL.DIST(BT$2,$M133,$L133,FALSE))*($T133*(1-$F133)+$S133*(1-$G133))*((1+Inputs!$D$7)^BT$2))))))))</f>
        <v>0</v>
      </c>
      <c r="BU133" s="88">
        <f>MAX(AE133,($E133*IF(BU$2&gt;Inputs!$D$5,0,IF(BU$2&gt;VLOOKUP($H133,Lists!$P$3:$Q$7,2),IF($N133=Lists!$K$3,IF($L133&lt;1,(($U133/$L133)*((1+Inputs!$D$7)^BU$2)),((INT(BU$2/$L133)-INT((BU$2-1)/$L133))*$U133*((1+Inputs!$D$7)^BU$2))),(Inputs!$D$8^((1-_xlfn.WEIBULL.DIST(BU$2,$M133,$L133,FALSE))/_xlfn.WEIBULL.DIST(BU$2,$M133,$L133,FALSE))*$U133*((1+Inputs!$D$7)^BU$2))),IF($N133=Lists!$K$3,IF($L133&lt;1,((($T133*(1-$F133)+$S133*(1-$G133))/$L133)*((1+Inputs!$D$7)^BU$2)),((INT(BU$2/$L133)-INT((BU$2-1)/$L133))*($T133*(1-$F133)+$S133*(1-$G133))*((1+Inputs!$D$7)^BU$2))),((Inputs!$D$8^((1-_xlfn.WEIBULL.DIST(BU$2,$M133,$L133,FALSE))/_xlfn.WEIBULL.DIST(BU$2,$M133,$L133,FALSE))*($T133*(1-$F133)+$S133*(1-$G133))*((1+Inputs!$D$7)^BU$2))))))))</f>
        <v>0</v>
      </c>
      <c r="BV133" s="88">
        <f>MAX(AF133,($E133*IF(BV$2&gt;Inputs!$D$5,0,IF(BV$2&gt;VLOOKUP($H133,Lists!$P$3:$Q$7,2),IF($N133=Lists!$K$3,IF($L133&lt;1,(($U133/$L133)*((1+Inputs!$D$7)^BV$2)),((INT(BV$2/$L133)-INT((BV$2-1)/$L133))*$U133*((1+Inputs!$D$7)^BV$2))),(Inputs!$D$8^((1-_xlfn.WEIBULL.DIST(BV$2,$M133,$L133,FALSE))/_xlfn.WEIBULL.DIST(BV$2,$M133,$L133,FALSE))*$U133*((1+Inputs!$D$7)^BV$2))),IF($N133=Lists!$K$3,IF($L133&lt;1,((($T133*(1-$F133)+$S133*(1-$G133))/$L133)*((1+Inputs!$D$7)^BV$2)),((INT(BV$2/$L133)-INT((BV$2-1)/$L133))*($T133*(1-$F133)+$S133*(1-$G133))*((1+Inputs!$D$7)^BV$2))),((Inputs!$D$8^((1-_xlfn.WEIBULL.DIST(BV$2,$M133,$L133,FALSE))/_xlfn.WEIBULL.DIST(BV$2,$M133,$L133,FALSE))*($T133*(1-$F133)+$S133*(1-$G133))*((1+Inputs!$D$7)^BV$2))))))))</f>
        <v>0</v>
      </c>
      <c r="BW133" s="88">
        <f>MAX(AG133,($E133*IF(BW$2&gt;Inputs!$D$5,0,IF(BW$2&gt;VLOOKUP($H133,Lists!$P$3:$Q$7,2),IF($N133=Lists!$K$3,IF($L133&lt;1,(($U133/$L133)*((1+Inputs!$D$7)^BW$2)),((INT(BW$2/$L133)-INT((BW$2-1)/$L133))*$U133*((1+Inputs!$D$7)^BW$2))),(Inputs!$D$8^((1-_xlfn.WEIBULL.DIST(BW$2,$M133,$L133,FALSE))/_xlfn.WEIBULL.DIST(BW$2,$M133,$L133,FALSE))*$U133*((1+Inputs!$D$7)^BW$2))),IF($N133=Lists!$K$3,IF($L133&lt;1,((($T133*(1-$F133)+$S133*(1-$G133))/$L133)*((1+Inputs!$D$7)^BW$2)),((INT(BW$2/$L133)-INT((BW$2-1)/$L133))*($T133*(1-$F133)+$S133*(1-$G133))*((1+Inputs!$D$7)^BW$2))),((Inputs!$D$8^((1-_xlfn.WEIBULL.DIST(BW$2,$M133,$L133,FALSE))/_xlfn.WEIBULL.DIST(BW$2,$M133,$L133,FALSE))*($T133*(1-$F133)+$S133*(1-$G133))*((1+Inputs!$D$7)^BW$2))))))))</f>
        <v>0</v>
      </c>
      <c r="BX133" s="88">
        <f>MAX(AH133,($E133*IF(BX$2&gt;Inputs!$D$5,0,IF(BX$2&gt;VLOOKUP($H133,Lists!$P$3:$Q$7,2),IF($N133=Lists!$K$3,IF($L133&lt;1,(($U133/$L133)*((1+Inputs!$D$7)^BX$2)),((INT(BX$2/$L133)-INT((BX$2-1)/$L133))*$U133*((1+Inputs!$D$7)^BX$2))),(Inputs!$D$8^((1-_xlfn.WEIBULL.DIST(BX$2,$M133,$L133,FALSE))/_xlfn.WEIBULL.DIST(BX$2,$M133,$L133,FALSE))*$U133*((1+Inputs!$D$7)^BX$2))),IF($N133=Lists!$K$3,IF($L133&lt;1,((($T133*(1-$F133)+$S133*(1-$G133))/$L133)*((1+Inputs!$D$7)^BX$2)),((INT(BX$2/$L133)-INT((BX$2-1)/$L133))*($T133*(1-$F133)+$S133*(1-$G133))*((1+Inputs!$D$7)^BX$2))),((Inputs!$D$8^((1-_xlfn.WEIBULL.DIST(BX$2,$M133,$L133,FALSE))/_xlfn.WEIBULL.DIST(BX$2,$M133,$L133,FALSE))*($T133*(1-$F133)+$S133*(1-$G133))*((1+Inputs!$D$7)^BX$2))))))))</f>
        <v>0</v>
      </c>
      <c r="BY133" s="88">
        <f>MAX(AI133,($E133*IF(BY$2&gt;Inputs!$D$5,0,IF(BY$2&gt;VLOOKUP($H133,Lists!$P$3:$Q$7,2),IF($N133=Lists!$K$3,IF($L133&lt;1,(($U133/$L133)*((1+Inputs!$D$7)^BY$2)),((INT(BY$2/$L133)-INT((BY$2-1)/$L133))*$U133*((1+Inputs!$D$7)^BY$2))),(Inputs!$D$8^((1-_xlfn.WEIBULL.DIST(BY$2,$M133,$L133,FALSE))/_xlfn.WEIBULL.DIST(BY$2,$M133,$L133,FALSE))*$U133*((1+Inputs!$D$7)^BY$2))),IF($N133=Lists!$K$3,IF($L133&lt;1,((($T133*(1-$F133)+$S133*(1-$G133))/$L133)*((1+Inputs!$D$7)^BY$2)),((INT(BY$2/$L133)-INT((BY$2-1)/$L133))*($T133*(1-$F133)+$S133*(1-$G133))*((1+Inputs!$D$7)^BY$2))),((Inputs!$D$8^((1-_xlfn.WEIBULL.DIST(BY$2,$M133,$L133,FALSE))/_xlfn.WEIBULL.DIST(BY$2,$M133,$L133,FALSE))*($T133*(1-$F133)+$S133*(1-$G133))*((1+Inputs!$D$7)^BY$2))))))))</f>
        <v>0</v>
      </c>
      <c r="BZ133" s="88">
        <f>MAX(AJ133,($E133*IF(BZ$2&gt;Inputs!$D$5,0,IF(BZ$2&gt;VLOOKUP($H133,Lists!$P$3:$Q$7,2),IF($N133=Lists!$K$3,IF($L133&lt;1,(($U133/$L133)*((1+Inputs!$D$7)^BZ$2)),((INT(BZ$2/$L133)-INT((BZ$2-1)/$L133))*$U133*((1+Inputs!$D$7)^BZ$2))),(Inputs!$D$8^((1-_xlfn.WEIBULL.DIST(BZ$2,$M133,$L133,FALSE))/_xlfn.WEIBULL.DIST(BZ$2,$M133,$L133,FALSE))*$U133*((1+Inputs!$D$7)^BZ$2))),IF($N133=Lists!$K$3,IF($L133&lt;1,((($T133*(1-$F133)+$S133*(1-$G133))/$L133)*((1+Inputs!$D$7)^BZ$2)),((INT(BZ$2/$L133)-INT((BZ$2-1)/$L133))*($T133*(1-$F133)+$S133*(1-$G133))*((1+Inputs!$D$7)^BZ$2))),((Inputs!$D$8^((1-_xlfn.WEIBULL.DIST(BZ$2,$M133,$L133,FALSE))/_xlfn.WEIBULL.DIST(BZ$2,$M133,$L133,FALSE))*($T133*(1-$F133)+$S133*(1-$G133))*((1+Inputs!$D$7)^BZ$2))))))))</f>
        <v>0</v>
      </c>
      <c r="CA133" s="88">
        <f>MAX(AK133,($E133*IF(CA$2&gt;Inputs!$D$5,0,IF(CA$2&gt;VLOOKUP($H133,Lists!$P$3:$Q$7,2),IF($N133=Lists!$K$3,IF($L133&lt;1,(($U133/$L133)*((1+Inputs!$D$7)^CA$2)),((INT(CA$2/$L133)-INT((CA$2-1)/$L133))*$U133*((1+Inputs!$D$7)^CA$2))),(Inputs!$D$8^((1-_xlfn.WEIBULL.DIST(CA$2,$M133,$L133,FALSE))/_xlfn.WEIBULL.DIST(CA$2,$M133,$L133,FALSE))*$U133*((1+Inputs!$D$7)^CA$2))),IF($N133=Lists!$K$3,IF($L133&lt;1,((($T133*(1-$F133)+$S133*(1-$G133))/$L133)*((1+Inputs!$D$7)^CA$2)),((INT(CA$2/$L133)-INT((CA$2-1)/$L133))*($T133*(1-$F133)+$S133*(1-$G133))*((1+Inputs!$D$7)^CA$2))),((Inputs!$D$8^((1-_xlfn.WEIBULL.DIST(CA$2,$M133,$L133,FALSE))/_xlfn.WEIBULL.DIST(CA$2,$M133,$L133,FALSE))*($T133*(1-$F133)+$S133*(1-$G133))*((1+Inputs!$D$7)^CA$2))))))))</f>
        <v>0</v>
      </c>
      <c r="CB133" s="88">
        <f>MAX(AL133,($E133*IF(CB$2&gt;Inputs!$D$5,0,IF(CB$2&gt;VLOOKUP($H133,Lists!$P$3:$Q$7,2),IF($N133=Lists!$K$3,IF($L133&lt;1,(($U133/$L133)*((1+Inputs!$D$7)^CB$2)),((INT(CB$2/$L133)-INT((CB$2-1)/$L133))*$U133*((1+Inputs!$D$7)^CB$2))),(Inputs!$D$8^((1-_xlfn.WEIBULL.DIST(CB$2,$M133,$L133,FALSE))/_xlfn.WEIBULL.DIST(CB$2,$M133,$L133,FALSE))*$U133*((1+Inputs!$D$7)^CB$2))),IF($N133=Lists!$K$3,IF($L133&lt;1,((($T133*(1-$F133)+$S133*(1-$G133))/$L133)*((1+Inputs!$D$7)^CB$2)),((INT(CB$2/$L133)-INT((CB$2-1)/$L133))*($T133*(1-$F133)+$S133*(1-$G133))*((1+Inputs!$D$7)^CB$2))),((Inputs!$D$8^((1-_xlfn.WEIBULL.DIST(CB$2,$M133,$L133,FALSE))/_xlfn.WEIBULL.DIST(CB$2,$M133,$L133,FALSE))*($T133*(1-$F133)+$S133*(1-$G133))*((1+Inputs!$D$7)^CB$2))))))))</f>
        <v>0</v>
      </c>
      <c r="CC133" s="88">
        <f>MAX(AM133,($E133*IF(CC$2&gt;Inputs!$D$5,0,IF(CC$2&gt;VLOOKUP($H133,Lists!$P$3:$Q$7,2),IF($N133=Lists!$K$3,IF($L133&lt;1,(($U133/$L133)*((1+Inputs!$D$7)^CC$2)),((INT(CC$2/$L133)-INT((CC$2-1)/$L133))*$U133*((1+Inputs!$D$7)^CC$2))),(Inputs!$D$8^((1-_xlfn.WEIBULL.DIST(CC$2,$M133,$L133,FALSE))/_xlfn.WEIBULL.DIST(CC$2,$M133,$L133,FALSE))*$U133*((1+Inputs!$D$7)^CC$2))),IF($N133=Lists!$K$3,IF($L133&lt;1,((($T133*(1-$F133)+$S133*(1-$G133))/$L133)*((1+Inputs!$D$7)^CC$2)),((INT(CC$2/$L133)-INT((CC$2-1)/$L133))*($T133*(1-$F133)+$S133*(1-$G133))*((1+Inputs!$D$7)^CC$2))),((Inputs!$D$8^((1-_xlfn.WEIBULL.DIST(CC$2,$M133,$L133,FALSE))/_xlfn.WEIBULL.DIST(CC$2,$M133,$L133,FALSE))*($T133*(1-$F133)+$S133*(1-$G133))*((1+Inputs!$D$7)^CC$2))))))))</f>
        <v>0</v>
      </c>
      <c r="CD133" s="88">
        <f>MAX(AN133,($E133*IF(CD$2&gt;Inputs!$D$5,0,IF(CD$2&gt;VLOOKUP($H133,Lists!$P$3:$Q$7,2),IF($N133=Lists!$K$3,IF($L133&lt;1,(($U133/$L133)*((1+Inputs!$D$7)^CD$2)),((INT(CD$2/$L133)-INT((CD$2-1)/$L133))*$U133*((1+Inputs!$D$7)^CD$2))),(Inputs!$D$8^((1-_xlfn.WEIBULL.DIST(CD$2,$M133,$L133,FALSE))/_xlfn.WEIBULL.DIST(CD$2,$M133,$L133,FALSE))*$U133*((1+Inputs!$D$7)^CD$2))),IF($N133=Lists!$K$3,IF($L133&lt;1,((($T133*(1-$F133)+$S133*(1-$G133))/$L133)*((1+Inputs!$D$7)^CD$2)),((INT(CD$2/$L133)-INT((CD$2-1)/$L133))*($T133*(1-$F133)+$S133*(1-$G133))*((1+Inputs!$D$7)^CD$2))),((Inputs!$D$8^((1-_xlfn.WEIBULL.DIST(CD$2,$M133,$L133,FALSE))/_xlfn.WEIBULL.DIST(CD$2,$M133,$L133,FALSE))*($T133*(1-$F133)+$S133*(1-$G133))*((1+Inputs!$D$7)^CD$2))))))))</f>
        <v>0</v>
      </c>
      <c r="CE133" s="88">
        <f>MAX(AO133,($E133*IF(CE$2&gt;Inputs!$D$5,0,IF(CE$2&gt;VLOOKUP($H133,Lists!$P$3:$Q$7,2),IF($N133=Lists!$K$3,IF($L133&lt;1,(($U133/$L133)*((1+Inputs!$D$7)^CE$2)),((INT(CE$2/$L133)-INT((CE$2-1)/$L133))*$U133*((1+Inputs!$D$7)^CE$2))),(Inputs!$D$8^((1-_xlfn.WEIBULL.DIST(CE$2,$M133,$L133,FALSE))/_xlfn.WEIBULL.DIST(CE$2,$M133,$L133,FALSE))*$U133*((1+Inputs!$D$7)^CE$2))),IF($N133=Lists!$K$3,IF($L133&lt;1,((($T133*(1-$F133)+$S133*(1-$G133))/$L133)*((1+Inputs!$D$7)^CE$2)),((INT(CE$2/$L133)-INT((CE$2-1)/$L133))*($T133*(1-$F133)+$S133*(1-$G133))*((1+Inputs!$D$7)^CE$2))),((Inputs!$D$8^((1-_xlfn.WEIBULL.DIST(CE$2,$M133,$L133,FALSE))/_xlfn.WEIBULL.DIST(CE$2,$M133,$L133,FALSE))*($T133*(1-$F133)+$S133*(1-$G133))*((1+Inputs!$D$7)^CE$2))))))))</f>
        <v>0</v>
      </c>
      <c r="CF133" s="88">
        <f>MAX(AP133,($E133*IF(CF$2&gt;Inputs!$D$5,0,IF(CF$2&gt;VLOOKUP($H133,Lists!$P$3:$Q$7,2),IF($N133=Lists!$K$3,IF($L133&lt;1,(($U133/$L133)*((1+Inputs!$D$7)^CF$2)),((INT(CF$2/$L133)-INT((CF$2-1)/$L133))*$U133*((1+Inputs!$D$7)^CF$2))),(Inputs!$D$8^((1-_xlfn.WEIBULL.DIST(CF$2,$M133,$L133,FALSE))/_xlfn.WEIBULL.DIST(CF$2,$M133,$L133,FALSE))*$U133*((1+Inputs!$D$7)^CF$2))),IF($N133=Lists!$K$3,IF($L133&lt;1,((($T133*(1-$F133)+$S133*(1-$G133))/$L133)*((1+Inputs!$D$7)^CF$2)),((INT(CF$2/$L133)-INT((CF$2-1)/$L133))*($T133*(1-$F133)+$S133*(1-$G133))*((1+Inputs!$D$7)^CF$2))),((Inputs!$D$8^((1-_xlfn.WEIBULL.DIST(CF$2,$M133,$L133,FALSE))/_xlfn.WEIBULL.DIST(CF$2,$M133,$L133,FALSE))*($T133*(1-$F133)+$S133*(1-$G133))*((1+Inputs!$D$7)^CF$2))))))))</f>
        <v>0</v>
      </c>
      <c r="CG133" s="88">
        <f>MAX(AQ133,($E133*IF(CG$2&gt;Inputs!$D$5,0,IF(CG$2&gt;VLOOKUP($H133,Lists!$P$3:$Q$7,2),IF($N133=Lists!$K$3,IF($L133&lt;1,(($U133/$L133)*((1+Inputs!$D$7)^CG$2)),((INT(CG$2/$L133)-INT((CG$2-1)/$L133))*$U133*((1+Inputs!$D$7)^CG$2))),(Inputs!$D$8^((1-_xlfn.WEIBULL.DIST(CG$2,$M133,$L133,FALSE))/_xlfn.WEIBULL.DIST(CG$2,$M133,$L133,FALSE))*$U133*((1+Inputs!$D$7)^CG$2))),IF($N133=Lists!$K$3,IF($L133&lt;1,((($T133*(1-$F133)+$S133*(1-$G133))/$L133)*((1+Inputs!$D$7)^CG$2)),((INT(CG$2/$L133)-INT((CG$2-1)/$L133))*($T133*(1-$F133)+$S133*(1-$G133))*((1+Inputs!$D$7)^CG$2))),((Inputs!$D$8^((1-_xlfn.WEIBULL.DIST(CG$2,$M133,$L133,FALSE))/_xlfn.WEIBULL.DIST(CG$2,$M133,$L133,FALSE))*($T133*(1-$F133)+$S133*(1-$G133))*((1+Inputs!$D$7)^CG$2))))))))</f>
        <v>0</v>
      </c>
      <c r="CH133" s="88">
        <f>MAX(AR133,($E133*IF(CH$2&gt;Inputs!$D$5,0,IF(CH$2&gt;VLOOKUP($H133,Lists!$P$3:$Q$7,2),IF($N133=Lists!$K$3,IF($L133&lt;1,(($U133/$L133)*((1+Inputs!$D$7)^CH$2)),((INT(CH$2/$L133)-INT((CH$2-1)/$L133))*$U133*((1+Inputs!$D$7)^CH$2))),(Inputs!$D$8^((1-_xlfn.WEIBULL.DIST(CH$2,$M133,$L133,FALSE))/_xlfn.WEIBULL.DIST(CH$2,$M133,$L133,FALSE))*$U133*((1+Inputs!$D$7)^CH$2))),IF($N133=Lists!$K$3,IF($L133&lt;1,((($T133*(1-$F133)+$S133*(1-$G133))/$L133)*((1+Inputs!$D$7)^CH$2)),((INT(CH$2/$L133)-INT((CH$2-1)/$L133))*($T133*(1-$F133)+$S133*(1-$G133))*((1+Inputs!$D$7)^CH$2))),((Inputs!$D$8^((1-_xlfn.WEIBULL.DIST(CH$2,$M133,$L133,FALSE))/_xlfn.WEIBULL.DIST(CH$2,$M133,$L133,FALSE))*($T133*(1-$F133)+$S133*(1-$G133))*((1+Inputs!$D$7)^CH$2))))))))</f>
        <v>0</v>
      </c>
      <c r="CI133" s="88">
        <f>MAX(AS133,($E133*IF(CI$2&gt;Inputs!$D$5,0,IF(CI$2&gt;VLOOKUP($H133,Lists!$P$3:$Q$7,2),IF($N133=Lists!$K$3,IF($L133&lt;1,(($U133/$L133)*((1+Inputs!$D$7)^CI$2)),((INT(CI$2/$L133)-INT((CI$2-1)/$L133))*$U133*((1+Inputs!$D$7)^CI$2))),(Inputs!$D$8^((1-_xlfn.WEIBULL.DIST(CI$2,$M133,$L133,FALSE))/_xlfn.WEIBULL.DIST(CI$2,$M133,$L133,FALSE))*$U133*((1+Inputs!$D$7)^CI$2))),IF($N133=Lists!$K$3,IF($L133&lt;1,((($T133*(1-$F133)+$S133*(1-$G133))/$L133)*((1+Inputs!$D$7)^CI$2)),((INT(CI$2/$L133)-INT((CI$2-1)/$L133))*($T133*(1-$F133)+$S133*(1-$G133))*((1+Inputs!$D$7)^CI$2))),((Inputs!$D$8^((1-_xlfn.WEIBULL.DIST(CI$2,$M133,$L133,FALSE))/_xlfn.WEIBULL.DIST(CI$2,$M133,$L133,FALSE))*($T133*(1-$F133)+$S133*(1-$G133))*((1+Inputs!$D$7)^CI$2))))))))</f>
        <v>0</v>
      </c>
      <c r="CJ133" s="88">
        <f>MAX(AT133,($E133*IF(CJ$2&gt;Inputs!$D$5,0,IF(CJ$2&gt;VLOOKUP($H133,Lists!$P$3:$Q$7,2),IF($N133=Lists!$K$3,IF($L133&lt;1,(($U133/$L133)*((1+Inputs!$D$7)^CJ$2)),((INT(CJ$2/$L133)-INT((CJ$2-1)/$L133))*$U133*((1+Inputs!$D$7)^CJ$2))),(Inputs!$D$8^((1-_xlfn.WEIBULL.DIST(CJ$2,$M133,$L133,FALSE))/_xlfn.WEIBULL.DIST(CJ$2,$M133,$L133,FALSE))*$U133*((1+Inputs!$D$7)^CJ$2))),IF($N133=Lists!$K$3,IF($L133&lt;1,((($T133*(1-$F133)+$S133*(1-$G133))/$L133)*((1+Inputs!$D$7)^CJ$2)),((INT(CJ$2/$L133)-INT((CJ$2-1)/$L133))*($T133*(1-$F133)+$S133*(1-$G133))*((1+Inputs!$D$7)^CJ$2))),((Inputs!$D$8^((1-_xlfn.WEIBULL.DIST(CJ$2,$M133,$L133,FALSE))/_xlfn.WEIBULL.DIST(CJ$2,$M133,$L133,FALSE))*($T133*(1-$F133)+$S133*(1-$G133))*((1+Inputs!$D$7)^CJ$2))))))))</f>
        <v>0</v>
      </c>
      <c r="CK133" s="88">
        <f>MAX(AU133,($E133*IF(CK$2&gt;Inputs!$D$5,0,IF(CK$2&gt;VLOOKUP($H133,Lists!$P$3:$Q$7,2),IF($N133=Lists!$K$3,IF($L133&lt;1,(($U133/$L133)*((1+Inputs!$D$7)^CK$2)),((INT(CK$2/$L133)-INT((CK$2-1)/$L133))*$U133*((1+Inputs!$D$7)^CK$2))),(Inputs!$D$8^((1-_xlfn.WEIBULL.DIST(CK$2,$M133,$L133,FALSE))/_xlfn.WEIBULL.DIST(CK$2,$M133,$L133,FALSE))*$U133*((1+Inputs!$D$7)^CK$2))),IF($N133=Lists!$K$3,IF($L133&lt;1,((($T133*(1-$F133)+$S133*(1-$G133))/$L133)*((1+Inputs!$D$7)^CK$2)),((INT(CK$2/$L133)-INT((CK$2-1)/$L133))*($T133*(1-$F133)+$S133*(1-$G133))*((1+Inputs!$D$7)^CK$2))),((Inputs!$D$8^((1-_xlfn.WEIBULL.DIST(CK$2,$M133,$L133,FALSE))/_xlfn.WEIBULL.DIST(CK$2,$M133,$L133,FALSE))*($T133*(1-$F133)+$S133*(1-$G133))*((1+Inputs!$D$7)^CK$2))))))))</f>
        <v>0</v>
      </c>
      <c r="CL133" s="88">
        <f>MAX(AV133,($E133*IF(CL$2&gt;Inputs!$D$5,0,IF(CL$2&gt;VLOOKUP($H133,Lists!$P$3:$Q$7,2),IF($N133=Lists!$K$3,IF($L133&lt;1,(($U133/$L133)*((1+Inputs!$D$7)^CL$2)),((INT(CL$2/$L133)-INT((CL$2-1)/$L133))*$U133*((1+Inputs!$D$7)^CL$2))),(Inputs!$D$8^((1-_xlfn.WEIBULL.DIST(CL$2,$M133,$L133,FALSE))/_xlfn.WEIBULL.DIST(CL$2,$M133,$L133,FALSE))*$U133*((1+Inputs!$D$7)^CL$2))),IF($N133=Lists!$K$3,IF($L133&lt;1,((($T133*(1-$F133)+$S133*(1-$G133))/$L133)*((1+Inputs!$D$7)^CL$2)),((INT(CL$2/$L133)-INT((CL$2-1)/$L133))*($T133*(1-$F133)+$S133*(1-$G133))*((1+Inputs!$D$7)^CL$2))),((Inputs!$D$8^((1-_xlfn.WEIBULL.DIST(CL$2,$M133,$L133,FALSE))/_xlfn.WEIBULL.DIST(CL$2,$M133,$L133,FALSE))*($T133*(1-$F133)+$S133*(1-$G133))*((1+Inputs!$D$7)^CL$2))))))))</f>
        <v>0</v>
      </c>
      <c r="CM133" s="88">
        <f>MAX(AW133,($E133*IF(CM$2&gt;Inputs!$D$5,0,IF(CM$2&gt;VLOOKUP($H133,Lists!$P$3:$Q$7,2),IF($N133=Lists!$K$3,IF($L133&lt;1,(($U133/$L133)*((1+Inputs!$D$7)^CM$2)),((INT(CM$2/$L133)-INT((CM$2-1)/$L133))*$U133*((1+Inputs!$D$7)^CM$2))),(Inputs!$D$8^((1-_xlfn.WEIBULL.DIST(CM$2,$M133,$L133,FALSE))/_xlfn.WEIBULL.DIST(CM$2,$M133,$L133,FALSE))*$U133*((1+Inputs!$D$7)^CM$2))),IF($N133=Lists!$K$3,IF($L133&lt;1,((($T133*(1-$F133)+$S133*(1-$G133))/$L133)*((1+Inputs!$D$7)^CM$2)),((INT(CM$2/$L133)-INT((CM$2-1)/$L133))*($T133*(1-$F133)+$S133*(1-$G133))*((1+Inputs!$D$7)^CM$2))),((Inputs!$D$8^((1-_xlfn.WEIBULL.DIST(CM$2,$M133,$L133,FALSE))/_xlfn.WEIBULL.DIST(CM$2,$M133,$L133,FALSE))*($T133*(1-$F133)+$S133*(1-$G133))*((1+Inputs!$D$7)^CM$2))))))))</f>
        <v>0</v>
      </c>
      <c r="CN133" s="88">
        <f>MAX(AX133,($E133*IF(CN$2&gt;Inputs!$D$5,0,IF(CN$2&gt;VLOOKUP($H133,Lists!$P$3:$Q$7,2),IF($N133=Lists!$K$3,IF($L133&lt;1,(($U133/$L133)*((1+Inputs!$D$7)^CN$2)),((INT(CN$2/$L133)-INT((CN$2-1)/$L133))*$U133*((1+Inputs!$D$7)^CN$2))),(Inputs!$D$8^((1-_xlfn.WEIBULL.DIST(CN$2,$M133,$L133,FALSE))/_xlfn.WEIBULL.DIST(CN$2,$M133,$L133,FALSE))*$U133*((1+Inputs!$D$7)^CN$2))),IF($N133=Lists!$K$3,IF($L133&lt;1,((($T133*(1-$F133)+$S133*(1-$G133))/$L133)*((1+Inputs!$D$7)^CN$2)),((INT(CN$2/$L133)-INT((CN$2-1)/$L133))*($T133*(1-$F133)+$S133*(1-$G133))*((1+Inputs!$D$7)^CN$2))),((Inputs!$D$8^((1-_xlfn.WEIBULL.DIST(CN$2,$M133,$L133,FALSE))/_xlfn.WEIBULL.DIST(CN$2,$M133,$L133,FALSE))*($T133*(1-$F133)+$S133*(1-$G133))*((1+Inputs!$D$7)^CN$2))))))))</f>
        <v>0</v>
      </c>
      <c r="CO133" s="88">
        <f>MAX(AY133,($E133*IF(CO$2&gt;Inputs!$D$5,0,IF(CO$2&gt;VLOOKUP($H133,Lists!$P$3:$Q$7,2),IF($N133=Lists!$K$3,IF($L133&lt;1,(($U133/$L133)*((1+Inputs!$D$7)^CO$2)),((INT(CO$2/$L133)-INT((CO$2-1)/$L133))*$U133*((1+Inputs!$D$7)^CO$2))),(Inputs!$D$8^((1-_xlfn.WEIBULL.DIST(CO$2,$M133,$L133,FALSE))/_xlfn.WEIBULL.DIST(CO$2,$M133,$L133,FALSE))*$U133*((1+Inputs!$D$7)^CO$2))),IF($N133=Lists!$K$3,IF($L133&lt;1,((($T133*(1-$F133)+$S133*(1-$G133))/$L133)*((1+Inputs!$D$7)^CO$2)),((INT(CO$2/$L133)-INT((CO$2-1)/$L133))*($T133*(1-$F133)+$S133*(1-$G133))*((1+Inputs!$D$7)^CO$2))),((Inputs!$D$8^((1-_xlfn.WEIBULL.DIST(CO$2,$M133,$L133,FALSE))/_xlfn.WEIBULL.DIST(CO$2,$M133,$L133,FALSE))*($T133*(1-$F133)+$S133*(1-$G133))*((1+Inputs!$D$7)^CO$2))))))))</f>
        <v>0</v>
      </c>
      <c r="CP133" s="88">
        <f>MAX(AZ133,($E133*IF(CP$2&gt;Inputs!$D$5,0,IF(CP$2&gt;VLOOKUP($H133,Lists!$P$3:$Q$7,2),IF($N133=Lists!$K$3,IF($L133&lt;1,(($U133/$L133)*((1+Inputs!$D$7)^CP$2)),((INT(CP$2/$L133)-INT((CP$2-1)/$L133))*$U133*((1+Inputs!$D$7)^CP$2))),(Inputs!$D$8^((1-_xlfn.WEIBULL.DIST(CP$2,$M133,$L133,FALSE))/_xlfn.WEIBULL.DIST(CP$2,$M133,$L133,FALSE))*$U133*((1+Inputs!$D$7)^CP$2))),IF($N133=Lists!$K$3,IF($L133&lt;1,((($T133*(1-$F133)+$S133*(1-$G133))/$L133)*((1+Inputs!$D$7)^CP$2)),((INT(CP$2/$L133)-INT((CP$2-1)/$L133))*($T133*(1-$F133)+$S133*(1-$G133))*((1+Inputs!$D$7)^CP$2))),((Inputs!$D$8^((1-_xlfn.WEIBULL.DIST(CP$2,$M133,$L133,FALSE))/_xlfn.WEIBULL.DIST(CP$2,$M133,$L133,FALSE))*($T133*(1-$F133)+$S133*(1-$G133))*((1+Inputs!$D$7)^CP$2))))))))</f>
        <v>0</v>
      </c>
      <c r="CQ133" s="88">
        <f>MAX(BA133,($E133*IF(CQ$2&gt;Inputs!$D$5,0,IF(CQ$2&gt;VLOOKUP($H133,Lists!$P$3:$Q$7,2),IF($N133=Lists!$K$3,IF($L133&lt;1,(($U133/$L133)*((1+Inputs!$D$7)^CQ$2)),((INT(CQ$2/$L133)-INT((CQ$2-1)/$L133))*$U133*((1+Inputs!$D$7)^CQ$2))),(Inputs!$D$8^((1-_xlfn.WEIBULL.DIST(CQ$2,$M133,$L133,FALSE))/_xlfn.WEIBULL.DIST(CQ$2,$M133,$L133,FALSE))*$U133*((1+Inputs!$D$7)^CQ$2))),IF($N133=Lists!$K$3,IF($L133&lt;1,((($T133*(1-$F133)+$S133*(1-$G133))/$L133)*((1+Inputs!$D$7)^CQ$2)),((INT(CQ$2/$L133)-INT((CQ$2-1)/$L133))*($T133*(1-$F133)+$S133*(1-$G133))*((1+Inputs!$D$7)^CQ$2))),((Inputs!$D$8^((1-_xlfn.WEIBULL.DIST(CQ$2,$M133,$L133,FALSE))/_xlfn.WEIBULL.DIST(CQ$2,$M133,$L133,FALSE))*($T133*(1-$F133)+$S133*(1-$G133))*((1+Inputs!$D$7)^CQ$2))))))))</f>
        <v>0</v>
      </c>
      <c r="CR133" s="88">
        <f>MAX(BB133,($E133*IF(CR$2&gt;Inputs!$D$5,0,IF(CR$2&gt;VLOOKUP($H133,Lists!$P$3:$Q$7,2),IF($N133=Lists!$K$3,IF($L133&lt;1,(($U133/$L133)*((1+Inputs!$D$7)^CR$2)),((INT(CR$2/$L133)-INT((CR$2-1)/$L133))*$U133*((1+Inputs!$D$7)^CR$2))),(Inputs!$D$8^((1-_xlfn.WEIBULL.DIST(CR$2,$M133,$L133,FALSE))/_xlfn.WEIBULL.DIST(CR$2,$M133,$L133,FALSE))*$U133*((1+Inputs!$D$7)^CR$2))),IF($N133=Lists!$K$3,IF($L133&lt;1,((($T133*(1-$F133)+$S133*(1-$G133))/$L133)*((1+Inputs!$D$7)^CR$2)),((INT(CR$2/$L133)-INT((CR$2-1)/$L133))*($T133*(1-$F133)+$S133*(1-$G133))*((1+Inputs!$D$7)^CR$2))),((Inputs!$D$8^((1-_xlfn.WEIBULL.DIST(CR$2,$M133,$L133,FALSE))/_xlfn.WEIBULL.DIST(CR$2,$M133,$L133,FALSE))*($T133*(1-$F133)+$S133*(1-$G133))*((1+Inputs!$D$7)^CR$2))))))))</f>
        <v>0</v>
      </c>
      <c r="CS133" s="88">
        <f>MAX(BC133,($E133*IF(CS$2&gt;Inputs!$D$5,0,IF(CS$2&gt;VLOOKUP($H133,Lists!$P$3:$Q$7,2),IF($N133=Lists!$K$3,IF($L133&lt;1,(($U133/$L133)*((1+Inputs!$D$7)^CS$2)),((INT(CS$2/$L133)-INT((CS$2-1)/$L133))*$U133*((1+Inputs!$D$7)^CS$2))),(Inputs!$D$8^((1-_xlfn.WEIBULL.DIST(CS$2,$M133,$L133,FALSE))/_xlfn.WEIBULL.DIST(CS$2,$M133,$L133,FALSE))*$U133*((1+Inputs!$D$7)^CS$2))),IF($N133=Lists!$K$3,IF($L133&lt;1,((($T133*(1-$F133)+$S133*(1-$G133))/$L133)*((1+Inputs!$D$7)^CS$2)),((INT(CS$2/$L133)-INT((CS$2-1)/$L133))*($T133*(1-$F133)+$S133*(1-$G133))*((1+Inputs!$D$7)^CS$2))),((Inputs!$D$8^((1-_xlfn.WEIBULL.DIST(CS$2,$M133,$L133,FALSE))/_xlfn.WEIBULL.DIST(CS$2,$M133,$L133,FALSE))*($T133*(1-$F133)+$S133*(1-$G133))*((1+Inputs!$D$7)^CS$2))))))))</f>
        <v>0</v>
      </c>
      <c r="CT133" s="88">
        <f>MAX(BD133,($E133*IF(CT$2&gt;Inputs!$D$5,0,IF(CT$2&gt;VLOOKUP($H133,Lists!$P$3:$Q$7,2),IF($N133=Lists!$K$3,IF($L133&lt;1,(($U133/$L133)*((1+Inputs!$D$7)^CT$2)),((INT(CT$2/$L133)-INT((CT$2-1)/$L133))*$U133*((1+Inputs!$D$7)^CT$2))),(Inputs!$D$8^((1-_xlfn.WEIBULL.DIST(CT$2,$M133,$L133,FALSE))/_xlfn.WEIBULL.DIST(CT$2,$M133,$L133,FALSE))*$U133*((1+Inputs!$D$7)^CT$2))),IF($N133=Lists!$K$3,IF($L133&lt;1,((($T133*(1-$F133)+$S133*(1-$G133))/$L133)*((1+Inputs!$D$7)^CT$2)),((INT(CT$2/$L133)-INT((CT$2-1)/$L133))*($T133*(1-$F133)+$S133*(1-$G133))*((1+Inputs!$D$7)^CT$2))),((Inputs!$D$8^((1-_xlfn.WEIBULL.DIST(CT$2,$M133,$L133,FALSE))/_xlfn.WEIBULL.DIST(CT$2,$M133,$L133,FALSE))*($T133*(1-$F133)+$S133*(1-$G133))*((1+Inputs!$D$7)^CT$2))))))))</f>
        <v>0</v>
      </c>
      <c r="CU133" s="88">
        <f>MAX(BE133,($E133*IF(CU$2&gt;Inputs!$D$5,0,IF(CU$2&gt;VLOOKUP($H133,Lists!$P$3:$Q$7,2),IF($N133=Lists!$K$3,IF($L133&lt;1,(($U133/$L133)*((1+Inputs!$D$7)^CU$2)),((INT(CU$2/$L133)-INT((CU$2-1)/$L133))*$U133*((1+Inputs!$D$7)^CU$2))),(Inputs!$D$8^((1-_xlfn.WEIBULL.DIST(CU$2,$M133,$L133,FALSE))/_xlfn.WEIBULL.DIST(CU$2,$M133,$L133,FALSE))*$U133*((1+Inputs!$D$7)^CU$2))),IF($N133=Lists!$K$3,IF($L133&lt;1,((($T133*(1-$F133)+$S133*(1-$G133))/$L133)*((1+Inputs!$D$7)^CU$2)),((INT(CU$2/$L133)-INT((CU$2-1)/$L133))*($T133*(1-$F133)+$S133*(1-$G133))*((1+Inputs!$D$7)^CU$2))),((Inputs!$D$8^((1-_xlfn.WEIBULL.DIST(CU$2,$M133,$L133,FALSE))/_xlfn.WEIBULL.DIST(CU$2,$M133,$L133,FALSE))*($T133*(1-$F133)+$S133*(1-$G133))*((1+Inputs!$D$7)^CU$2))))))))</f>
        <v>0</v>
      </c>
      <c r="CV133" s="88">
        <f>MAX(BF133,($E133*IF(CV$2&gt;Inputs!$D$5,0,IF(CV$2&gt;VLOOKUP($H133,Lists!$P$3:$Q$7,2),IF($N133=Lists!$K$3,IF($L133&lt;1,(($U133/$L133)*((1+Inputs!$D$7)^CV$2)),((INT(CV$2/$L133)-INT((CV$2-1)/$L133))*$U133*((1+Inputs!$D$7)^CV$2))),(Inputs!$D$8^((1-_xlfn.WEIBULL.DIST(CV$2,$M133,$L133,FALSE))/_xlfn.WEIBULL.DIST(CV$2,$M133,$L133,FALSE))*$U133*((1+Inputs!$D$7)^CV$2))),IF($N133=Lists!$K$3,IF($L133&lt;1,((($T133*(1-$F133)+$S133*(1-$G133))/$L133)*((1+Inputs!$D$7)^CV$2)),((INT(CV$2/$L133)-INT((CV$2-1)/$L133))*($T133*(1-$F133)+$S133*(1-$G133))*((1+Inputs!$D$7)^CV$2))),((Inputs!$D$8^((1-_xlfn.WEIBULL.DIST(CV$2,$M133,$L133,FALSE))/_xlfn.WEIBULL.DIST(CV$2,$M133,$L133,FALSE))*($T133*(1-$F133)+$S133*(1-$G133))*((1+Inputs!$D$7)^CV$2))))))))</f>
        <v>0</v>
      </c>
      <c r="CW133" s="88">
        <f>MAX(BG133,($E133*IF(CW$2&gt;Inputs!$D$5,0,IF(CW$2&gt;VLOOKUP($H133,Lists!$P$3:$Q$7,2),IF($N133=Lists!$K$3,IF($L133&lt;1,(($U133/$L133)*((1+Inputs!$D$7)^CW$2)),((INT(CW$2/$L133)-INT((CW$2-1)/$L133))*$U133*((1+Inputs!$D$7)^CW$2))),(Inputs!$D$8^((1-_xlfn.WEIBULL.DIST(CW$2,$M133,$L133,FALSE))/_xlfn.WEIBULL.DIST(CW$2,$M133,$L133,FALSE))*$U133*((1+Inputs!$D$7)^CW$2))),IF($N133=Lists!$K$3,IF($L133&lt;1,((($T133*(1-$F133)+$S133*(1-$G133))/$L133)*((1+Inputs!$D$7)^CW$2)),((INT(CW$2/$L133)-INT((CW$2-1)/$L133))*($T133*(1-$F133)+$S133*(1-$G133))*((1+Inputs!$D$7)^CW$2))),((Inputs!$D$8^((1-_xlfn.WEIBULL.DIST(CW$2,$M133,$L133,FALSE))/_xlfn.WEIBULL.DIST(CW$2,$M133,$L133,FALSE))*($T133*(1-$F133)+$S133*(1-$G133))*((1+Inputs!$D$7)^CW$2))))))))</f>
        <v>0</v>
      </c>
      <c r="CX133" s="88">
        <f>MAX(BH133,($E133*IF(CX$2&gt;Inputs!$D$5,0,IF(CX$2&gt;VLOOKUP($H133,Lists!$P$3:$Q$7,2),IF($N133=Lists!$K$3,IF($L133&lt;1,(($U133/$L133)*((1+Inputs!$D$7)^CX$2)),((INT(CX$2/$L133)-INT((CX$2-1)/$L133))*$U133*((1+Inputs!$D$7)^CX$2))),(Inputs!$D$8^((1-_xlfn.WEIBULL.DIST(CX$2,$M133,$L133,FALSE))/_xlfn.WEIBULL.DIST(CX$2,$M133,$L133,FALSE))*$U133*((1+Inputs!$D$7)^CX$2))),IF($N133=Lists!$K$3,IF($L133&lt;1,((($T133*(1-$F133)+$S133*(1-$G133))/$L133)*((1+Inputs!$D$7)^CX$2)),((INT(CX$2/$L133)-INT((CX$2-1)/$L133))*($T133*(1-$F133)+$S133*(1-$G133))*((1+Inputs!$D$7)^CX$2))),((Inputs!$D$8^((1-_xlfn.WEIBULL.DIST(CX$2,$M133,$L133,FALSE))/_xlfn.WEIBULL.DIST(CX$2,$M133,$L133,FALSE))*($T133*(1-$F133)+$S133*(1-$G133))*((1+Inputs!$D$7)^CX$2))))))))</f>
        <v>0</v>
      </c>
      <c r="CY133" s="88">
        <f>MAX(BI133,($E133*IF(CY$2&gt;Inputs!$D$5,0,IF(CY$2&gt;VLOOKUP($H133,Lists!$P$3:$Q$7,2),IF($N133=Lists!$K$3,IF($L133&lt;1,(($U133/$L133)*((1+Inputs!$D$7)^CY$2)),((INT(CY$2/$L133)-INT((CY$2-1)/$L133))*$U133*((1+Inputs!$D$7)^CY$2))),(Inputs!$D$8^((1-_xlfn.WEIBULL.DIST(CY$2,$M133,$L133,FALSE))/_xlfn.WEIBULL.DIST(CY$2,$M133,$L133,FALSE))*$U133*((1+Inputs!$D$7)^CY$2))),IF($N133=Lists!$K$3,IF($L133&lt;1,((($T133*(1-$F133)+$S133*(1-$G133))/$L133)*((1+Inputs!$D$7)^CY$2)),((INT(CY$2/$L133)-INT((CY$2-1)/$L133))*($T133*(1-$F133)+$S133*(1-$G133))*((1+Inputs!$D$7)^CY$2))),((Inputs!$D$8^((1-_xlfn.WEIBULL.DIST(CY$2,$M133,$L133,FALSE))/_xlfn.WEIBULL.DIST(CY$2,$M133,$L133,FALSE))*($T133*(1-$F133)+$S133*(1-$G133))*((1+Inputs!$D$7)^CY$2))))))))</f>
        <v>0</v>
      </c>
      <c r="CZ133" s="88">
        <f>MAX(BJ133,($E133*IF(CZ$2&gt;Inputs!$D$5,0,IF(CZ$2&gt;VLOOKUP($H133,Lists!$P$3:$Q$7,2),IF($N133=Lists!$K$3,IF($L133&lt;1,(($U133/$L133)*((1+Inputs!$D$7)^CZ$2)),((INT(CZ$2/$L133)-INT((CZ$2-1)/$L133))*$U133*((1+Inputs!$D$7)^CZ$2))),(Inputs!$D$8^((1-_xlfn.WEIBULL.DIST(CZ$2,$M133,$L133,FALSE))/_xlfn.WEIBULL.DIST(CZ$2,$M133,$L133,FALSE))*$U133*((1+Inputs!$D$7)^CZ$2))),IF($N133=Lists!$K$3,IF($L133&lt;1,((($T133*(1-$F133)+$S133*(1-$G133))/$L133)*((1+Inputs!$D$7)^CZ$2)),((INT(CZ$2/$L133)-INT((CZ$2-1)/$L133))*($T133*(1-$F133)+$S133*(1-$G133))*((1+Inputs!$D$7)^CZ$2))),((Inputs!$D$8^((1-_xlfn.WEIBULL.DIST(CZ$2,$M133,$L133,FALSE))/_xlfn.WEIBULL.DIST(CZ$2,$M133,$L133,FALSE))*($T133*(1-$F133)+$S133*(1-$G133))*((1+Inputs!$D$7)^CZ$2))))))))</f>
        <v>0</v>
      </c>
      <c r="DA133" s="88">
        <f>MAX(BK133,($E133*IF(DA$2&gt;Inputs!$D$5,0,IF(DA$2&gt;VLOOKUP($H133,Lists!$P$3:$Q$7,2),IF($N133=Lists!$K$3,IF($L133&lt;1,(($U133/$L133)*((1+Inputs!$D$7)^DA$2)),((INT(DA$2/$L133)-INT((DA$2-1)/$L133))*$U133*((1+Inputs!$D$7)^DA$2))),(Inputs!$D$8^((1-_xlfn.WEIBULL.DIST(DA$2,$M133,$L133,FALSE))/_xlfn.WEIBULL.DIST(DA$2,$M133,$L133,FALSE))*$U133*((1+Inputs!$D$7)^DA$2))),IF($N133=Lists!$K$3,IF($L133&lt;1,((($T133*(1-$F133)+$S133*(1-$G133))/$L133)*((1+Inputs!$D$7)^DA$2)),((INT(DA$2/$L133)-INT((DA$2-1)/$L133))*($T133*(1-$F133)+$S133*(1-$G133))*((1+Inputs!$D$7)^DA$2))),((Inputs!$D$8^((1-_xlfn.WEIBULL.DIST(DA$2,$M133,$L133,FALSE))/_xlfn.WEIBULL.DIST(DA$2,$M133,$L133,FALSE))*($T133*(1-$F133)+$S133*(1-$G133))*((1+Inputs!$D$7)^DA$2))))))))</f>
        <v>0</v>
      </c>
      <c r="DB133" s="88">
        <f>MAX(BL133,($E133*IF(DB$2&gt;Inputs!$D$5,0,IF(DB$2&gt;VLOOKUP($H133,Lists!$P$3:$Q$7,2),IF($N133=Lists!$K$3,IF($L133&lt;1,(($U133/$L133)*((1+Inputs!$D$7)^DB$2)),((INT(DB$2/$L133)-INT((DB$2-1)/$L133))*$U133*((1+Inputs!$D$7)^DB$2))),(Inputs!$D$8^((1-_xlfn.WEIBULL.DIST(DB$2,$M133,$L133,FALSE))/_xlfn.WEIBULL.DIST(DB$2,$M133,$L133,FALSE))*$U133*((1+Inputs!$D$7)^DB$2))),IF($N133=Lists!$K$3,IF($L133&lt;1,((($T133*(1-$F133)+$S133*(1-$G133))/$L133)*((1+Inputs!$D$7)^DB$2)),((INT(DB$2/$L133)-INT((DB$2-1)/$L133))*($T133*(1-$F133)+$S133*(1-$G133))*((1+Inputs!$D$7)^DB$2))),((Inputs!$D$8^((1-_xlfn.WEIBULL.DIST(DB$2,$M133,$L133,FALSE))/_xlfn.WEIBULL.DIST(DB$2,$M133,$L133,FALSE))*($T133*(1-$F133)+$S133*(1-$G133))*((1+Inputs!$D$7)^DB$2))))))))</f>
        <v>0</v>
      </c>
      <c r="DC133" s="88">
        <f>MAX(BM133,($E133*IF(DC$2&gt;Inputs!$D$5,0,IF(DC$2&gt;VLOOKUP($H133,Lists!$P$3:$Q$7,2),IF($N133=Lists!$K$3,IF($L133&lt;1,(($U133/$L133)*((1+Inputs!$D$7)^DC$2)),((INT(DC$2/$L133)-INT((DC$2-1)/$L133))*$U133*((1+Inputs!$D$7)^DC$2))),(Inputs!$D$8^((1-_xlfn.WEIBULL.DIST(DC$2,$M133,$L133,FALSE))/_xlfn.WEIBULL.DIST(DC$2,$M133,$L133,FALSE))*$U133*((1+Inputs!$D$7)^DC$2))),IF($N133=Lists!$K$3,IF($L133&lt;1,((($T133*(1-$F133)+$S133*(1-$G133))/$L133)*((1+Inputs!$D$7)^DC$2)),((INT(DC$2/$L133)-INT((DC$2-1)/$L133))*($T133*(1-$F133)+$S133*(1-$G133))*((1+Inputs!$D$7)^DC$2))),((Inputs!$D$8^((1-_xlfn.WEIBULL.DIST(DC$2,$M133,$L133,FALSE))/_xlfn.WEIBULL.DIST(DC$2,$M133,$L133,FALSE))*($T133*(1-$F133)+$S133*(1-$G133))*((1+Inputs!$D$7)^DC$2))))))))</f>
        <v>0</v>
      </c>
      <c r="DD133" s="88">
        <f>MAX(BN133,($E133*IF(DD$2&gt;Inputs!$D$5,0,IF(DD$2&gt;VLOOKUP($H133,Lists!$P$3:$Q$7,2),IF($N133=Lists!$K$3,IF($L133&lt;1,(($U133/$L133)*((1+Inputs!$D$7)^DD$2)),((INT(DD$2/$L133)-INT((DD$2-1)/$L133))*$U133*((1+Inputs!$D$7)^DD$2))),(Inputs!$D$8^((1-_xlfn.WEIBULL.DIST(DD$2,$M133,$L133,FALSE))/_xlfn.WEIBULL.DIST(DD$2,$M133,$L133,FALSE))*$U133*((1+Inputs!$D$7)^DD$2))),IF($N133=Lists!$K$3,IF($L133&lt;1,((($T133*(1-$F133)+$S133*(1-$G133))/$L133)*((1+Inputs!$D$7)^DD$2)),((INT(DD$2/$L133)-INT((DD$2-1)/$L133))*($T133*(1-$F133)+$S133*(1-$G133))*((1+Inputs!$D$7)^DD$2))),((Inputs!$D$8^((1-_xlfn.WEIBULL.DIST(DD$2,$M133,$L133,FALSE))/_xlfn.WEIBULL.DIST(DD$2,$M133,$L133,FALSE))*($T133*(1-$F133)+$S133*(1-$G133))*((1+Inputs!$D$7)^DD$2))))))))</f>
        <v>0</v>
      </c>
    </row>
    <row r="134" spans="1:108" ht="16">
      <c r="A134" s="57" t="s">
        <v>25</v>
      </c>
      <c r="B134" s="13" t="s">
        <v>279</v>
      </c>
      <c r="C134" s="13" t="s">
        <v>90</v>
      </c>
      <c r="D134" s="13" t="s">
        <v>37</v>
      </c>
      <c r="E134" s="89">
        <f>IF(Inputs!$D$54=Lists!AA6,1,0)</f>
        <v>0</v>
      </c>
      <c r="F134" s="48">
        <v>0</v>
      </c>
      <c r="G134" s="48">
        <v>0</v>
      </c>
      <c r="H134" s="105" t="s">
        <v>350</v>
      </c>
      <c r="I134" s="14" t="s">
        <v>28</v>
      </c>
      <c r="J134" s="14" t="s">
        <v>246</v>
      </c>
      <c r="K134" s="13">
        <f>VLOOKUP(J134,'Labor Rates'!$A$1:$F$16,2)</f>
        <v>33.119999999999997</v>
      </c>
      <c r="L134" s="15">
        <v>1</v>
      </c>
      <c r="M134" s="15">
        <v>1</v>
      </c>
      <c r="N134" s="13" t="s">
        <v>236</v>
      </c>
      <c r="O134" s="61">
        <v>0</v>
      </c>
      <c r="P134" s="15">
        <f>0.5/60</f>
        <v>8.3333333333333332E-3</v>
      </c>
      <c r="Q134" s="15">
        <f t="shared" si="28"/>
        <v>0</v>
      </c>
      <c r="R134" s="4">
        <v>0</v>
      </c>
      <c r="S134" s="53">
        <f t="shared" si="29"/>
        <v>0</v>
      </c>
      <c r="T134" s="53">
        <f t="shared" si="30"/>
        <v>0</v>
      </c>
      <c r="U134" s="54">
        <f t="shared" si="31"/>
        <v>0</v>
      </c>
      <c r="V134" s="65"/>
      <c r="W134" s="58"/>
      <c r="X134" s="64">
        <f t="shared" si="32"/>
        <v>0</v>
      </c>
      <c r="Y134" s="64">
        <f>NPV(Inputs!$D$6,AA134:BN134)</f>
        <v>0</v>
      </c>
      <c r="Z134" s="67">
        <f t="shared" si="33"/>
        <v>0</v>
      </c>
      <c r="AA134" s="88">
        <f>$E134*IF(AA$2&gt;Inputs!$D$5,0,IF(AA$2&gt;VLOOKUP($H134,Lists!$P$3:$Q$7,2),IF($N134=Lists!$K$3,IF($L134&lt;1,(($U134/$L134)*((1+Inputs!$D$7)^AA$2)),((INT(AA$2/$L134)-INT((AA$2-1)/$L134))*$U134*((1+Inputs!$D$7)^AA$2))),(_xlfn.WEIBULL.DIST(AA$2,$M134,$L134,FALSE)*$U134*((1+Inputs!$D$7)^AA$2))),IF($N134=Lists!$K$3,IF($L134&lt;1,((($T134*(1-$F134)+$S134*(1-$G134))/$L134)*((1+Inputs!$D$7)^AA$2)),((INT(AA$2/$L134)-INT((AA$2-1)/$L134))*($T134*(1-$F134)+$S134*(1-$G134))*((1+Inputs!$D$7)^AA$2))),((_xlfn.WEIBULL.DIST(AA$2,$M134,$L134,FALSE)*($T134*(1-$F134)+$S134*(1-$G134))*((1+Inputs!$D$7)^AA$2))))))</f>
        <v>0</v>
      </c>
      <c r="AB134" s="88">
        <f>$E134*IF(AB$2&gt;Inputs!$D$5,0,IF(AB$2&gt;VLOOKUP($H134,Lists!$P$3:$Q$7,2),IF($N134=Lists!$K$3,IF($L134&lt;1,(($U134/$L134)*((1+Inputs!$D$7)^AB$2)),((INT(AB$2/$L134)-INT((AB$2-1)/$L134))*$U134*((1+Inputs!$D$7)^AB$2))),(_xlfn.WEIBULL.DIST(AB$2,$M134,$L134,FALSE)*$U134*((1+Inputs!$D$7)^AB$2))),IF($N134=Lists!$K$3,IF($L134&lt;1,((($T134*(1-$F134)+$S134*(1-$G134))/$L134)*((1+Inputs!$D$7)^AB$2)),((INT(AB$2/$L134)-INT((AB$2-1)/$L134))*($T134*(1-$F134)+$S134*(1-$G134))*((1+Inputs!$D$7)^AB$2))),((_xlfn.WEIBULL.DIST(AB$2,$M134,$L134,FALSE)*($T134*(1-$F134)+$S134*(1-$G134))*((1+Inputs!$D$7)^AB$2))))))</f>
        <v>0</v>
      </c>
      <c r="AC134" s="88">
        <f>$E134*IF(AC$2&gt;Inputs!$D$5,0,IF(AC$2&gt;VLOOKUP($H134,Lists!$P$3:$Q$7,2),IF($N134=Lists!$K$3,IF($L134&lt;1,(($U134/$L134)*((1+Inputs!$D$7)^AC$2)),((INT(AC$2/$L134)-INT((AC$2-1)/$L134))*$U134*((1+Inputs!$D$7)^AC$2))),(_xlfn.WEIBULL.DIST(AC$2,$M134,$L134,FALSE)*$U134*((1+Inputs!$D$7)^AC$2))),IF($N134=Lists!$K$3,IF($L134&lt;1,((($T134*(1-$F134)+$S134*(1-$G134))/$L134)*((1+Inputs!$D$7)^AC$2)),((INT(AC$2/$L134)-INT((AC$2-1)/$L134))*($T134*(1-$F134)+$S134*(1-$G134))*((1+Inputs!$D$7)^AC$2))),((_xlfn.WEIBULL.DIST(AC$2,$M134,$L134,FALSE)*($T134*(1-$F134)+$S134*(1-$G134))*((1+Inputs!$D$7)^AC$2))))))</f>
        <v>0</v>
      </c>
      <c r="AD134" s="88">
        <f>$E134*IF(AD$2&gt;Inputs!$D$5,0,IF(AD$2&gt;VLOOKUP($H134,Lists!$P$3:$Q$7,2),IF($N134=Lists!$K$3,IF($L134&lt;1,(($U134/$L134)*((1+Inputs!$D$7)^AD$2)),((INT(AD$2/$L134)-INT((AD$2-1)/$L134))*$U134*((1+Inputs!$D$7)^AD$2))),(_xlfn.WEIBULL.DIST(AD$2,$M134,$L134,FALSE)*$U134*((1+Inputs!$D$7)^AD$2))),IF($N134=Lists!$K$3,IF($L134&lt;1,((($T134*(1-$F134)+$S134*(1-$G134))/$L134)*((1+Inputs!$D$7)^AD$2)),((INT(AD$2/$L134)-INT((AD$2-1)/$L134))*($T134*(1-$F134)+$S134*(1-$G134))*((1+Inputs!$D$7)^AD$2))),((_xlfn.WEIBULL.DIST(AD$2,$M134,$L134,FALSE)*($T134*(1-$F134)+$S134*(1-$G134))*((1+Inputs!$D$7)^AD$2))))))</f>
        <v>0</v>
      </c>
      <c r="AE134" s="88">
        <f>$E134*IF(AE$2&gt;Inputs!$D$5,0,IF(AE$2&gt;VLOOKUP($H134,Lists!$P$3:$Q$7,2),IF($N134=Lists!$K$3,IF($L134&lt;1,(($U134/$L134)*((1+Inputs!$D$7)^AE$2)),((INT(AE$2/$L134)-INT((AE$2-1)/$L134))*$U134*((1+Inputs!$D$7)^AE$2))),(_xlfn.WEIBULL.DIST(AE$2,$M134,$L134,FALSE)*$U134*((1+Inputs!$D$7)^AE$2))),IF($N134=Lists!$K$3,IF($L134&lt;1,((($T134*(1-$F134)+$S134*(1-$G134))/$L134)*((1+Inputs!$D$7)^AE$2)),((INT(AE$2/$L134)-INT((AE$2-1)/$L134))*($T134*(1-$F134)+$S134*(1-$G134))*((1+Inputs!$D$7)^AE$2))),((_xlfn.WEIBULL.DIST(AE$2,$M134,$L134,FALSE)*($T134*(1-$F134)+$S134*(1-$G134))*((1+Inputs!$D$7)^AE$2))))))</f>
        <v>0</v>
      </c>
      <c r="AF134" s="88">
        <f>$E134*IF(AF$2&gt;Inputs!$D$5,0,IF(AF$2&gt;VLOOKUP($H134,Lists!$P$3:$Q$7,2),IF($N134=Lists!$K$3,IF($L134&lt;1,(($U134/$L134)*((1+Inputs!$D$7)^AF$2)),((INT(AF$2/$L134)-INT((AF$2-1)/$L134))*$U134*((1+Inputs!$D$7)^AF$2))),(_xlfn.WEIBULL.DIST(AF$2,$M134,$L134,FALSE)*$U134*((1+Inputs!$D$7)^AF$2))),IF($N134=Lists!$K$3,IF($L134&lt;1,((($T134*(1-$F134)+$S134*(1-$G134))/$L134)*((1+Inputs!$D$7)^AF$2)),((INT(AF$2/$L134)-INT((AF$2-1)/$L134))*($T134*(1-$F134)+$S134*(1-$G134))*((1+Inputs!$D$7)^AF$2))),((_xlfn.WEIBULL.DIST(AF$2,$M134,$L134,FALSE)*($T134*(1-$F134)+$S134*(1-$G134))*((1+Inputs!$D$7)^AF$2))))))</f>
        <v>0</v>
      </c>
      <c r="AG134" s="88">
        <f>$E134*IF(AG$2&gt;Inputs!$D$5,0,IF(AG$2&gt;VLOOKUP($H134,Lists!$P$3:$Q$7,2),IF($N134=Lists!$K$3,IF($L134&lt;1,(($U134/$L134)*((1+Inputs!$D$7)^AG$2)),((INT(AG$2/$L134)-INT((AG$2-1)/$L134))*$U134*((1+Inputs!$D$7)^AG$2))),(_xlfn.WEIBULL.DIST(AG$2,$M134,$L134,FALSE)*$U134*((1+Inputs!$D$7)^AG$2))),IF($N134=Lists!$K$3,IF($L134&lt;1,((($T134*(1-$F134)+$S134*(1-$G134))/$L134)*((1+Inputs!$D$7)^AG$2)),((INT(AG$2/$L134)-INT((AG$2-1)/$L134))*($T134*(1-$F134)+$S134*(1-$G134))*((1+Inputs!$D$7)^AG$2))),((_xlfn.WEIBULL.DIST(AG$2,$M134,$L134,FALSE)*($T134*(1-$F134)+$S134*(1-$G134))*((1+Inputs!$D$7)^AG$2))))))</f>
        <v>0</v>
      </c>
      <c r="AH134" s="88">
        <f>$E134*IF(AH$2&gt;Inputs!$D$5,0,IF(AH$2&gt;VLOOKUP($H134,Lists!$P$3:$Q$7,2),IF($N134=Lists!$K$3,IF($L134&lt;1,(($U134/$L134)*((1+Inputs!$D$7)^AH$2)),((INT(AH$2/$L134)-INT((AH$2-1)/$L134))*$U134*((1+Inputs!$D$7)^AH$2))),(_xlfn.WEIBULL.DIST(AH$2,$M134,$L134,FALSE)*$U134*((1+Inputs!$D$7)^AH$2))),IF($N134=Lists!$K$3,IF($L134&lt;1,((($T134*(1-$F134)+$S134*(1-$G134))/$L134)*((1+Inputs!$D$7)^AH$2)),((INT(AH$2/$L134)-INT((AH$2-1)/$L134))*($T134*(1-$F134)+$S134*(1-$G134))*((1+Inputs!$D$7)^AH$2))),((_xlfn.WEIBULL.DIST(AH$2,$M134,$L134,FALSE)*($T134*(1-$F134)+$S134*(1-$G134))*((1+Inputs!$D$7)^AH$2))))))</f>
        <v>0</v>
      </c>
      <c r="AI134" s="88">
        <f>$E134*IF(AI$2&gt;Inputs!$D$5,0,IF(AI$2&gt;VLOOKUP($H134,Lists!$P$3:$Q$7,2),IF($N134=Lists!$K$3,IF($L134&lt;1,(($U134/$L134)*((1+Inputs!$D$7)^AI$2)),((INT(AI$2/$L134)-INT((AI$2-1)/$L134))*$U134*((1+Inputs!$D$7)^AI$2))),(_xlfn.WEIBULL.DIST(AI$2,$M134,$L134,FALSE)*$U134*((1+Inputs!$D$7)^AI$2))),IF($N134=Lists!$K$3,IF($L134&lt;1,((($T134*(1-$F134)+$S134*(1-$G134))/$L134)*((1+Inputs!$D$7)^AI$2)),((INT(AI$2/$L134)-INT((AI$2-1)/$L134))*($T134*(1-$F134)+$S134*(1-$G134))*((1+Inputs!$D$7)^AI$2))),((_xlfn.WEIBULL.DIST(AI$2,$M134,$L134,FALSE)*($T134*(1-$F134)+$S134*(1-$G134))*((1+Inputs!$D$7)^AI$2))))))</f>
        <v>0</v>
      </c>
      <c r="AJ134" s="88">
        <f>$E134*IF(AJ$2&gt;Inputs!$D$5,0,IF(AJ$2&gt;VLOOKUP($H134,Lists!$P$3:$Q$7,2),IF($N134=Lists!$K$3,IF($L134&lt;1,(($U134/$L134)*((1+Inputs!$D$7)^AJ$2)),((INT(AJ$2/$L134)-INT((AJ$2-1)/$L134))*$U134*((1+Inputs!$D$7)^AJ$2))),(_xlfn.WEIBULL.DIST(AJ$2,$M134,$L134,FALSE)*$U134*((1+Inputs!$D$7)^AJ$2))),IF($N134=Lists!$K$3,IF($L134&lt;1,((($T134*(1-$F134)+$S134*(1-$G134))/$L134)*((1+Inputs!$D$7)^AJ$2)),((INT(AJ$2/$L134)-INT((AJ$2-1)/$L134))*($T134*(1-$F134)+$S134*(1-$G134))*((1+Inputs!$D$7)^AJ$2))),((_xlfn.WEIBULL.DIST(AJ$2,$M134,$L134,FALSE)*($T134*(1-$F134)+$S134*(1-$G134))*((1+Inputs!$D$7)^AJ$2))))))</f>
        <v>0</v>
      </c>
      <c r="AK134" s="88">
        <f>$E134*IF(AK$2&gt;Inputs!$D$5,0,IF(AK$2&gt;VLOOKUP($H134,Lists!$P$3:$Q$7,2),IF($N134=Lists!$K$3,IF($L134&lt;1,(($U134/$L134)*((1+Inputs!$D$7)^AK$2)),((INT(AK$2/$L134)-INT((AK$2-1)/$L134))*$U134*((1+Inputs!$D$7)^AK$2))),(_xlfn.WEIBULL.DIST(AK$2,$M134,$L134,FALSE)*$U134*((1+Inputs!$D$7)^AK$2))),IF($N134=Lists!$K$3,IF($L134&lt;1,((($T134*(1-$F134)+$S134*(1-$G134))/$L134)*((1+Inputs!$D$7)^AK$2)),((INT(AK$2/$L134)-INT((AK$2-1)/$L134))*($T134*(1-$F134)+$S134*(1-$G134))*((1+Inputs!$D$7)^AK$2))),((_xlfn.WEIBULL.DIST(AK$2,$M134,$L134,FALSE)*($T134*(1-$F134)+$S134*(1-$G134))*((1+Inputs!$D$7)^AK$2))))))</f>
        <v>0</v>
      </c>
      <c r="AL134" s="88">
        <f>$E134*IF(AL$2&gt;Inputs!$D$5,0,IF(AL$2&gt;VLOOKUP($H134,Lists!$P$3:$Q$7,2),IF($N134=Lists!$K$3,IF($L134&lt;1,(($U134/$L134)*((1+Inputs!$D$7)^AL$2)),((INT(AL$2/$L134)-INT((AL$2-1)/$L134))*$U134*((1+Inputs!$D$7)^AL$2))),(_xlfn.WEIBULL.DIST(AL$2,$M134,$L134,FALSE)*$U134*((1+Inputs!$D$7)^AL$2))),IF($N134=Lists!$K$3,IF($L134&lt;1,((($T134*(1-$F134)+$S134*(1-$G134))/$L134)*((1+Inputs!$D$7)^AL$2)),((INT(AL$2/$L134)-INT((AL$2-1)/$L134))*($T134*(1-$F134)+$S134*(1-$G134))*((1+Inputs!$D$7)^AL$2))),((_xlfn.WEIBULL.DIST(AL$2,$M134,$L134,FALSE)*($T134*(1-$F134)+$S134*(1-$G134))*((1+Inputs!$D$7)^AL$2))))))</f>
        <v>0</v>
      </c>
      <c r="AM134" s="88">
        <f>$E134*IF(AM$2&gt;Inputs!$D$5,0,IF(AM$2&gt;VLOOKUP($H134,Lists!$P$3:$Q$7,2),IF($N134=Lists!$K$3,IF($L134&lt;1,(($U134/$L134)*((1+Inputs!$D$7)^AM$2)),((INT(AM$2/$L134)-INT((AM$2-1)/$L134))*$U134*((1+Inputs!$D$7)^AM$2))),(_xlfn.WEIBULL.DIST(AM$2,$M134,$L134,FALSE)*$U134*((1+Inputs!$D$7)^AM$2))),IF($N134=Lists!$K$3,IF($L134&lt;1,((($T134*(1-$F134)+$S134*(1-$G134))/$L134)*((1+Inputs!$D$7)^AM$2)),((INT(AM$2/$L134)-INT((AM$2-1)/$L134))*($T134*(1-$F134)+$S134*(1-$G134))*((1+Inputs!$D$7)^AM$2))),((_xlfn.WEIBULL.DIST(AM$2,$M134,$L134,FALSE)*($T134*(1-$F134)+$S134*(1-$G134))*((1+Inputs!$D$7)^AM$2))))))</f>
        <v>0</v>
      </c>
      <c r="AN134" s="88">
        <f>$E134*IF(AN$2&gt;Inputs!$D$5,0,IF(AN$2&gt;VLOOKUP($H134,Lists!$P$3:$Q$7,2),IF($N134=Lists!$K$3,IF($L134&lt;1,(($U134/$L134)*((1+Inputs!$D$7)^AN$2)),((INT(AN$2/$L134)-INT((AN$2-1)/$L134))*$U134*((1+Inputs!$D$7)^AN$2))),(_xlfn.WEIBULL.DIST(AN$2,$M134,$L134,FALSE)*$U134*((1+Inputs!$D$7)^AN$2))),IF($N134=Lists!$K$3,IF($L134&lt;1,((($T134*(1-$F134)+$S134*(1-$G134))/$L134)*((1+Inputs!$D$7)^AN$2)),((INT(AN$2/$L134)-INT((AN$2-1)/$L134))*($T134*(1-$F134)+$S134*(1-$G134))*((1+Inputs!$D$7)^AN$2))),((_xlfn.WEIBULL.DIST(AN$2,$M134,$L134,FALSE)*($T134*(1-$F134)+$S134*(1-$G134))*((1+Inputs!$D$7)^AN$2))))))</f>
        <v>0</v>
      </c>
      <c r="AO134" s="88">
        <f>$E134*IF(AO$2&gt;Inputs!$D$5,0,IF(AO$2&gt;VLOOKUP($H134,Lists!$P$3:$Q$7,2),IF($N134=Lists!$K$3,IF($L134&lt;1,(($U134/$L134)*((1+Inputs!$D$7)^AO$2)),((INT(AO$2/$L134)-INT((AO$2-1)/$L134))*$U134*((1+Inputs!$D$7)^AO$2))),(_xlfn.WEIBULL.DIST(AO$2,$M134,$L134,FALSE)*$U134*((1+Inputs!$D$7)^AO$2))),IF($N134=Lists!$K$3,IF($L134&lt;1,((($T134*(1-$F134)+$S134*(1-$G134))/$L134)*((1+Inputs!$D$7)^AO$2)),((INT(AO$2/$L134)-INT((AO$2-1)/$L134))*($T134*(1-$F134)+$S134*(1-$G134))*((1+Inputs!$D$7)^AO$2))),((_xlfn.WEIBULL.DIST(AO$2,$M134,$L134,FALSE)*($T134*(1-$F134)+$S134*(1-$G134))*((1+Inputs!$D$7)^AO$2))))))</f>
        <v>0</v>
      </c>
      <c r="AP134" s="88">
        <f>$E134*IF(AP$2&gt;Inputs!$D$5,0,IF(AP$2&gt;VLOOKUP($H134,Lists!$P$3:$Q$7,2),IF($N134=Lists!$K$3,IF($L134&lt;1,(($U134/$L134)*((1+Inputs!$D$7)^AP$2)),((INT(AP$2/$L134)-INT((AP$2-1)/$L134))*$U134*((1+Inputs!$D$7)^AP$2))),(_xlfn.WEIBULL.DIST(AP$2,$M134,$L134,FALSE)*$U134*((1+Inputs!$D$7)^AP$2))),IF($N134=Lists!$K$3,IF($L134&lt;1,((($T134*(1-$F134)+$S134*(1-$G134))/$L134)*((1+Inputs!$D$7)^AP$2)),((INT(AP$2/$L134)-INT((AP$2-1)/$L134))*($T134*(1-$F134)+$S134*(1-$G134))*((1+Inputs!$D$7)^AP$2))),((_xlfn.WEIBULL.DIST(AP$2,$M134,$L134,FALSE)*($T134*(1-$F134)+$S134*(1-$G134))*((1+Inputs!$D$7)^AP$2))))))</f>
        <v>0</v>
      </c>
      <c r="AQ134" s="88">
        <f>$E134*IF(AQ$2&gt;Inputs!$D$5,0,IF(AQ$2&gt;VLOOKUP($H134,Lists!$P$3:$Q$7,2),IF($N134=Lists!$K$3,IF($L134&lt;1,(($U134/$L134)*((1+Inputs!$D$7)^AQ$2)),((INT(AQ$2/$L134)-INT((AQ$2-1)/$L134))*$U134*((1+Inputs!$D$7)^AQ$2))),(_xlfn.WEIBULL.DIST(AQ$2,$M134,$L134,FALSE)*$U134*((1+Inputs!$D$7)^AQ$2))),IF($N134=Lists!$K$3,IF($L134&lt;1,((($T134*(1-$F134)+$S134*(1-$G134))/$L134)*((1+Inputs!$D$7)^AQ$2)),((INT(AQ$2/$L134)-INT((AQ$2-1)/$L134))*($T134*(1-$F134)+$S134*(1-$G134))*((1+Inputs!$D$7)^AQ$2))),((_xlfn.WEIBULL.DIST(AQ$2,$M134,$L134,FALSE)*($T134*(1-$F134)+$S134*(1-$G134))*((1+Inputs!$D$7)^AQ$2))))))</f>
        <v>0</v>
      </c>
      <c r="AR134" s="88">
        <f>$E134*IF(AR$2&gt;Inputs!$D$5,0,IF(AR$2&gt;VLOOKUP($H134,Lists!$P$3:$Q$7,2),IF($N134=Lists!$K$3,IF($L134&lt;1,(($U134/$L134)*((1+Inputs!$D$7)^AR$2)),((INT(AR$2/$L134)-INT((AR$2-1)/$L134))*$U134*((1+Inputs!$D$7)^AR$2))),(_xlfn.WEIBULL.DIST(AR$2,$M134,$L134,FALSE)*$U134*((1+Inputs!$D$7)^AR$2))),IF($N134=Lists!$K$3,IF($L134&lt;1,((($T134*(1-$F134)+$S134*(1-$G134))/$L134)*((1+Inputs!$D$7)^AR$2)),((INT(AR$2/$L134)-INT((AR$2-1)/$L134))*($T134*(1-$F134)+$S134*(1-$G134))*((1+Inputs!$D$7)^AR$2))),((_xlfn.WEIBULL.DIST(AR$2,$M134,$L134,FALSE)*($T134*(1-$F134)+$S134*(1-$G134))*((1+Inputs!$D$7)^AR$2))))))</f>
        <v>0</v>
      </c>
      <c r="AS134" s="88">
        <f>$E134*IF(AS$2&gt;Inputs!$D$5,0,IF(AS$2&gt;VLOOKUP($H134,Lists!$P$3:$Q$7,2),IF($N134=Lists!$K$3,IF($L134&lt;1,(($U134/$L134)*((1+Inputs!$D$7)^AS$2)),((INT(AS$2/$L134)-INT((AS$2-1)/$L134))*$U134*((1+Inputs!$D$7)^AS$2))),(_xlfn.WEIBULL.DIST(AS$2,$M134,$L134,FALSE)*$U134*((1+Inputs!$D$7)^AS$2))),IF($N134=Lists!$K$3,IF($L134&lt;1,((($T134*(1-$F134)+$S134*(1-$G134))/$L134)*((1+Inputs!$D$7)^AS$2)),((INT(AS$2/$L134)-INT((AS$2-1)/$L134))*($T134*(1-$F134)+$S134*(1-$G134))*((1+Inputs!$D$7)^AS$2))),((_xlfn.WEIBULL.DIST(AS$2,$M134,$L134,FALSE)*($T134*(1-$F134)+$S134*(1-$G134))*((1+Inputs!$D$7)^AS$2))))))</f>
        <v>0</v>
      </c>
      <c r="AT134" s="88">
        <f>$E134*IF(AT$2&gt;Inputs!$D$5,0,IF(AT$2&gt;VLOOKUP($H134,Lists!$P$3:$Q$7,2),IF($N134=Lists!$K$3,IF($L134&lt;1,(($U134/$L134)*((1+Inputs!$D$7)^AT$2)),((INT(AT$2/$L134)-INT((AT$2-1)/$L134))*$U134*((1+Inputs!$D$7)^AT$2))),(_xlfn.WEIBULL.DIST(AT$2,$M134,$L134,FALSE)*$U134*((1+Inputs!$D$7)^AT$2))),IF($N134=Lists!$K$3,IF($L134&lt;1,((($T134*(1-$F134)+$S134*(1-$G134))/$L134)*((1+Inputs!$D$7)^AT$2)),((INT(AT$2/$L134)-INT((AT$2-1)/$L134))*($T134*(1-$F134)+$S134*(1-$G134))*((1+Inputs!$D$7)^AT$2))),((_xlfn.WEIBULL.DIST(AT$2,$M134,$L134,FALSE)*($T134*(1-$F134)+$S134*(1-$G134))*((1+Inputs!$D$7)^AT$2))))))</f>
        <v>0</v>
      </c>
      <c r="AU134" s="88">
        <f>$E134*IF(AU$2&gt;Inputs!$D$5,0,IF(AU$2&gt;VLOOKUP($H134,Lists!$P$3:$Q$7,2),IF($N134=Lists!$K$3,IF($L134&lt;1,(($U134/$L134)*((1+Inputs!$D$7)^AU$2)),((INT(AU$2/$L134)-INT((AU$2-1)/$L134))*$U134*((1+Inputs!$D$7)^AU$2))),(_xlfn.WEIBULL.DIST(AU$2,$M134,$L134,FALSE)*$U134*((1+Inputs!$D$7)^AU$2))),IF($N134=Lists!$K$3,IF($L134&lt;1,((($T134*(1-$F134)+$S134*(1-$G134))/$L134)*((1+Inputs!$D$7)^AU$2)),((INT(AU$2/$L134)-INT((AU$2-1)/$L134))*($T134*(1-$F134)+$S134*(1-$G134))*((1+Inputs!$D$7)^AU$2))),((_xlfn.WEIBULL.DIST(AU$2,$M134,$L134,FALSE)*($T134*(1-$F134)+$S134*(1-$G134))*((1+Inputs!$D$7)^AU$2))))))</f>
        <v>0</v>
      </c>
      <c r="AV134" s="88">
        <f>$E134*IF(AV$2&gt;Inputs!$D$5,0,IF(AV$2&gt;VLOOKUP($H134,Lists!$P$3:$Q$7,2),IF($N134=Lists!$K$3,IF($L134&lt;1,(($U134/$L134)*((1+Inputs!$D$7)^AV$2)),((INT(AV$2/$L134)-INT((AV$2-1)/$L134))*$U134*((1+Inputs!$D$7)^AV$2))),(_xlfn.WEIBULL.DIST(AV$2,$M134,$L134,FALSE)*$U134*((1+Inputs!$D$7)^AV$2))),IF($N134=Lists!$K$3,IF($L134&lt;1,((($T134*(1-$F134)+$S134*(1-$G134))/$L134)*((1+Inputs!$D$7)^AV$2)),((INT(AV$2/$L134)-INT((AV$2-1)/$L134))*($T134*(1-$F134)+$S134*(1-$G134))*((1+Inputs!$D$7)^AV$2))),((_xlfn.WEIBULL.DIST(AV$2,$M134,$L134,FALSE)*($T134*(1-$F134)+$S134*(1-$G134))*((1+Inputs!$D$7)^AV$2))))))</f>
        <v>0</v>
      </c>
      <c r="AW134" s="88">
        <f>$E134*IF(AW$2&gt;Inputs!$D$5,0,IF(AW$2&gt;VLOOKUP($H134,Lists!$P$3:$Q$7,2),IF($N134=Lists!$K$3,IF($L134&lt;1,(($U134/$L134)*((1+Inputs!$D$7)^AW$2)),((INT(AW$2/$L134)-INT((AW$2-1)/$L134))*$U134*((1+Inputs!$D$7)^AW$2))),(_xlfn.WEIBULL.DIST(AW$2,$M134,$L134,FALSE)*$U134*((1+Inputs!$D$7)^AW$2))),IF($N134=Lists!$K$3,IF($L134&lt;1,((($T134*(1-$F134)+$S134*(1-$G134))/$L134)*((1+Inputs!$D$7)^AW$2)),((INT(AW$2/$L134)-INT((AW$2-1)/$L134))*($T134*(1-$F134)+$S134*(1-$G134))*((1+Inputs!$D$7)^AW$2))),((_xlfn.WEIBULL.DIST(AW$2,$M134,$L134,FALSE)*($T134*(1-$F134)+$S134*(1-$G134))*((1+Inputs!$D$7)^AW$2))))))</f>
        <v>0</v>
      </c>
      <c r="AX134" s="88">
        <f>$E134*IF(AX$2&gt;Inputs!$D$5,0,IF(AX$2&gt;VLOOKUP($H134,Lists!$P$3:$Q$7,2),IF($N134=Lists!$K$3,IF($L134&lt;1,(($U134/$L134)*((1+Inputs!$D$7)^AX$2)),((INT(AX$2/$L134)-INT((AX$2-1)/$L134))*$U134*((1+Inputs!$D$7)^AX$2))),(_xlfn.WEIBULL.DIST(AX$2,$M134,$L134,FALSE)*$U134*((1+Inputs!$D$7)^AX$2))),IF($N134=Lists!$K$3,IF($L134&lt;1,((($T134*(1-$F134)+$S134*(1-$G134))/$L134)*((1+Inputs!$D$7)^AX$2)),((INT(AX$2/$L134)-INT((AX$2-1)/$L134))*($T134*(1-$F134)+$S134*(1-$G134))*((1+Inputs!$D$7)^AX$2))),((_xlfn.WEIBULL.DIST(AX$2,$M134,$L134,FALSE)*($T134*(1-$F134)+$S134*(1-$G134))*((1+Inputs!$D$7)^AX$2))))))</f>
        <v>0</v>
      </c>
      <c r="AY134" s="88">
        <f>$E134*IF(AY$2&gt;Inputs!$D$5,0,IF(AY$2&gt;VLOOKUP($H134,Lists!$P$3:$Q$7,2),IF($N134=Lists!$K$3,IF($L134&lt;1,(($U134/$L134)*((1+Inputs!$D$7)^AY$2)),((INT(AY$2/$L134)-INT((AY$2-1)/$L134))*$U134*((1+Inputs!$D$7)^AY$2))),(_xlfn.WEIBULL.DIST(AY$2,$M134,$L134,FALSE)*$U134*((1+Inputs!$D$7)^AY$2))),IF($N134=Lists!$K$3,IF($L134&lt;1,((($T134*(1-$F134)+$S134*(1-$G134))/$L134)*((1+Inputs!$D$7)^AY$2)),((INT(AY$2/$L134)-INT((AY$2-1)/$L134))*($T134*(1-$F134)+$S134*(1-$G134))*((1+Inputs!$D$7)^AY$2))),((_xlfn.WEIBULL.DIST(AY$2,$M134,$L134,FALSE)*($T134*(1-$F134)+$S134*(1-$G134))*((1+Inputs!$D$7)^AY$2))))))</f>
        <v>0</v>
      </c>
      <c r="AZ134" s="88">
        <f>$E134*IF(AZ$2&gt;Inputs!$D$5,0,IF(AZ$2&gt;VLOOKUP($H134,Lists!$P$3:$Q$7,2),IF($N134=Lists!$K$3,IF($L134&lt;1,(($U134/$L134)*((1+Inputs!$D$7)^AZ$2)),((INT(AZ$2/$L134)-INT((AZ$2-1)/$L134))*$U134*((1+Inputs!$D$7)^AZ$2))),(_xlfn.WEIBULL.DIST(AZ$2,$M134,$L134,FALSE)*$U134*((1+Inputs!$D$7)^AZ$2))),IF($N134=Lists!$K$3,IF($L134&lt;1,((($T134*(1-$F134)+$S134*(1-$G134))/$L134)*((1+Inputs!$D$7)^AZ$2)),((INT(AZ$2/$L134)-INT((AZ$2-1)/$L134))*($T134*(1-$F134)+$S134*(1-$G134))*((1+Inputs!$D$7)^AZ$2))),((_xlfn.WEIBULL.DIST(AZ$2,$M134,$L134,FALSE)*($T134*(1-$F134)+$S134*(1-$G134))*((1+Inputs!$D$7)^AZ$2))))))</f>
        <v>0</v>
      </c>
      <c r="BA134" s="88">
        <f>$E134*IF(BA$2&gt;Inputs!$D$5,0,IF(BA$2&gt;VLOOKUP($H134,Lists!$P$3:$Q$7,2),IF($N134=Lists!$K$3,IF($L134&lt;1,(($U134/$L134)*((1+Inputs!$D$7)^BA$2)),((INT(BA$2/$L134)-INT((BA$2-1)/$L134))*$U134*((1+Inputs!$D$7)^BA$2))),(_xlfn.WEIBULL.DIST(BA$2,$M134,$L134,FALSE)*$U134*((1+Inputs!$D$7)^BA$2))),IF($N134=Lists!$K$3,IF($L134&lt;1,((($T134*(1-$F134)+$S134*(1-$G134))/$L134)*((1+Inputs!$D$7)^BA$2)),((INT(BA$2/$L134)-INT((BA$2-1)/$L134))*($T134*(1-$F134)+$S134*(1-$G134))*((1+Inputs!$D$7)^BA$2))),((_xlfn.WEIBULL.DIST(BA$2,$M134,$L134,FALSE)*($T134*(1-$F134)+$S134*(1-$G134))*((1+Inputs!$D$7)^BA$2))))))</f>
        <v>0</v>
      </c>
      <c r="BB134" s="88">
        <f>$E134*IF(BB$2&gt;Inputs!$D$5,0,IF(BB$2&gt;VLOOKUP($H134,Lists!$P$3:$Q$7,2),IF($N134=Lists!$K$3,IF($L134&lt;1,(($U134/$L134)*((1+Inputs!$D$7)^BB$2)),((INT(BB$2/$L134)-INT((BB$2-1)/$L134))*$U134*((1+Inputs!$D$7)^BB$2))),(_xlfn.WEIBULL.DIST(BB$2,$M134,$L134,FALSE)*$U134*((1+Inputs!$D$7)^BB$2))),IF($N134=Lists!$K$3,IF($L134&lt;1,((($T134*(1-$F134)+$S134*(1-$G134))/$L134)*((1+Inputs!$D$7)^BB$2)),((INT(BB$2/$L134)-INT((BB$2-1)/$L134))*($T134*(1-$F134)+$S134*(1-$G134))*((1+Inputs!$D$7)^BB$2))),((_xlfn.WEIBULL.DIST(BB$2,$M134,$L134,FALSE)*($T134*(1-$F134)+$S134*(1-$G134))*((1+Inputs!$D$7)^BB$2))))))</f>
        <v>0</v>
      </c>
      <c r="BC134" s="88">
        <f>$E134*IF(BC$2&gt;Inputs!$D$5,0,IF(BC$2&gt;VLOOKUP($H134,Lists!$P$3:$Q$7,2),IF($N134=Lists!$K$3,IF($L134&lt;1,(($U134/$L134)*((1+Inputs!$D$7)^BC$2)),((INT(BC$2/$L134)-INT((BC$2-1)/$L134))*$U134*((1+Inputs!$D$7)^BC$2))),(_xlfn.WEIBULL.DIST(BC$2,$M134,$L134,FALSE)*$U134*((1+Inputs!$D$7)^BC$2))),IF($N134=Lists!$K$3,IF($L134&lt;1,((($T134*(1-$F134)+$S134*(1-$G134))/$L134)*((1+Inputs!$D$7)^BC$2)),((INT(BC$2/$L134)-INT((BC$2-1)/$L134))*($T134*(1-$F134)+$S134*(1-$G134))*((1+Inputs!$D$7)^BC$2))),((_xlfn.WEIBULL.DIST(BC$2,$M134,$L134,FALSE)*($T134*(1-$F134)+$S134*(1-$G134))*((1+Inputs!$D$7)^BC$2))))))</f>
        <v>0</v>
      </c>
      <c r="BD134" s="88">
        <f>$E134*IF(BD$2&gt;Inputs!$D$5,0,IF(BD$2&gt;VLOOKUP($H134,Lists!$P$3:$Q$7,2),IF($N134=Lists!$K$3,IF($L134&lt;1,(($U134/$L134)*((1+Inputs!$D$7)^BD$2)),((INT(BD$2/$L134)-INT((BD$2-1)/$L134))*$U134*((1+Inputs!$D$7)^BD$2))),(_xlfn.WEIBULL.DIST(BD$2,$M134,$L134,FALSE)*$U134*((1+Inputs!$D$7)^BD$2))),IF($N134=Lists!$K$3,IF($L134&lt;1,((($T134*(1-$F134)+$S134*(1-$G134))/$L134)*((1+Inputs!$D$7)^BD$2)),((INT(BD$2/$L134)-INT((BD$2-1)/$L134))*($T134*(1-$F134)+$S134*(1-$G134))*((1+Inputs!$D$7)^BD$2))),((_xlfn.WEIBULL.DIST(BD$2,$M134,$L134,FALSE)*($T134*(1-$F134)+$S134*(1-$G134))*((1+Inputs!$D$7)^BD$2))))))</f>
        <v>0</v>
      </c>
      <c r="BE134" s="88">
        <f>$E134*IF(BE$2&gt;Inputs!$D$5,0,IF(BE$2&gt;VLOOKUP($H134,Lists!$P$3:$Q$7,2),IF($N134=Lists!$K$3,IF($L134&lt;1,(($U134/$L134)*((1+Inputs!$D$7)^BE$2)),((INT(BE$2/$L134)-INT((BE$2-1)/$L134))*$U134*((1+Inputs!$D$7)^BE$2))),(_xlfn.WEIBULL.DIST(BE$2,$M134,$L134,FALSE)*$U134*((1+Inputs!$D$7)^BE$2))),IF($N134=Lists!$K$3,IF($L134&lt;1,((($T134*(1-$F134)+$S134*(1-$G134))/$L134)*((1+Inputs!$D$7)^BE$2)),((INT(BE$2/$L134)-INT((BE$2-1)/$L134))*($T134*(1-$F134)+$S134*(1-$G134))*((1+Inputs!$D$7)^BE$2))),((_xlfn.WEIBULL.DIST(BE$2,$M134,$L134,FALSE)*($T134*(1-$F134)+$S134*(1-$G134))*((1+Inputs!$D$7)^BE$2))))))</f>
        <v>0</v>
      </c>
      <c r="BF134" s="88">
        <f>$E134*IF(BF$2&gt;Inputs!$D$5,0,IF(BF$2&gt;VLOOKUP($H134,Lists!$P$3:$Q$7,2),IF($N134=Lists!$K$3,IF($L134&lt;1,(($U134/$L134)*((1+Inputs!$D$7)^BF$2)),((INT(BF$2/$L134)-INT((BF$2-1)/$L134))*$U134*((1+Inputs!$D$7)^BF$2))),(_xlfn.WEIBULL.DIST(BF$2,$M134,$L134,FALSE)*$U134*((1+Inputs!$D$7)^BF$2))),IF($N134=Lists!$K$3,IF($L134&lt;1,((($T134*(1-$F134)+$S134*(1-$G134))/$L134)*((1+Inputs!$D$7)^BF$2)),((INT(BF$2/$L134)-INT((BF$2-1)/$L134))*($T134*(1-$F134)+$S134*(1-$G134))*((1+Inputs!$D$7)^BF$2))),((_xlfn.WEIBULL.DIST(BF$2,$M134,$L134,FALSE)*($T134*(1-$F134)+$S134*(1-$G134))*((1+Inputs!$D$7)^BF$2))))))</f>
        <v>0</v>
      </c>
      <c r="BG134" s="88">
        <f>$E134*IF(BG$2&gt;Inputs!$D$5,0,IF(BG$2&gt;VLOOKUP($H134,Lists!$P$3:$Q$7,2),IF($N134=Lists!$K$3,IF($L134&lt;1,(($U134/$L134)*((1+Inputs!$D$7)^BG$2)),((INT(BG$2/$L134)-INT((BG$2-1)/$L134))*$U134*((1+Inputs!$D$7)^BG$2))),(_xlfn.WEIBULL.DIST(BG$2,$M134,$L134,FALSE)*$U134*((1+Inputs!$D$7)^BG$2))),IF($N134=Lists!$K$3,IF($L134&lt;1,((($T134*(1-$F134)+$S134*(1-$G134))/$L134)*((1+Inputs!$D$7)^BG$2)),((INT(BG$2/$L134)-INT((BG$2-1)/$L134))*($T134*(1-$F134)+$S134*(1-$G134))*((1+Inputs!$D$7)^BG$2))),((_xlfn.WEIBULL.DIST(BG$2,$M134,$L134,FALSE)*($T134*(1-$F134)+$S134*(1-$G134))*((1+Inputs!$D$7)^BG$2))))))</f>
        <v>0</v>
      </c>
      <c r="BH134" s="88">
        <f>$E134*IF(BH$2&gt;Inputs!$D$5,0,IF(BH$2&gt;VLOOKUP($H134,Lists!$P$3:$Q$7,2),IF($N134=Lists!$K$3,IF($L134&lt;1,(($U134/$L134)*((1+Inputs!$D$7)^BH$2)),((INT(BH$2/$L134)-INT((BH$2-1)/$L134))*$U134*((1+Inputs!$D$7)^BH$2))),(_xlfn.WEIBULL.DIST(BH$2,$M134,$L134,FALSE)*$U134*((1+Inputs!$D$7)^BH$2))),IF($N134=Lists!$K$3,IF($L134&lt;1,((($T134*(1-$F134)+$S134*(1-$G134))/$L134)*((1+Inputs!$D$7)^BH$2)),((INT(BH$2/$L134)-INT((BH$2-1)/$L134))*($T134*(1-$F134)+$S134*(1-$G134))*((1+Inputs!$D$7)^BH$2))),((_xlfn.WEIBULL.DIST(BH$2,$M134,$L134,FALSE)*($T134*(1-$F134)+$S134*(1-$G134))*((1+Inputs!$D$7)^BH$2))))))</f>
        <v>0</v>
      </c>
      <c r="BI134" s="88">
        <f>$E134*IF(BI$2&gt;Inputs!$D$5,0,IF(BI$2&gt;VLOOKUP($H134,Lists!$P$3:$Q$7,2),IF($N134=Lists!$K$3,IF($L134&lt;1,(($U134/$L134)*((1+Inputs!$D$7)^BI$2)),((INT(BI$2/$L134)-INT((BI$2-1)/$L134))*$U134*((1+Inputs!$D$7)^BI$2))),(_xlfn.WEIBULL.DIST(BI$2,$M134,$L134,FALSE)*$U134*((1+Inputs!$D$7)^BI$2))),IF($N134=Lists!$K$3,IF($L134&lt;1,((($T134*(1-$F134)+$S134*(1-$G134))/$L134)*((1+Inputs!$D$7)^BI$2)),((INT(BI$2/$L134)-INT((BI$2-1)/$L134))*($T134*(1-$F134)+$S134*(1-$G134))*((1+Inputs!$D$7)^BI$2))),((_xlfn.WEIBULL.DIST(BI$2,$M134,$L134,FALSE)*($T134*(1-$F134)+$S134*(1-$G134))*((1+Inputs!$D$7)^BI$2))))))</f>
        <v>0</v>
      </c>
      <c r="BJ134" s="88">
        <f>$E134*IF(BJ$2&gt;Inputs!$D$5,0,IF(BJ$2&gt;VLOOKUP($H134,Lists!$P$3:$Q$7,2),IF($N134=Lists!$K$3,IF($L134&lt;1,(($U134/$L134)*((1+Inputs!$D$7)^BJ$2)),((INT(BJ$2/$L134)-INT((BJ$2-1)/$L134))*$U134*((1+Inputs!$D$7)^BJ$2))),(_xlfn.WEIBULL.DIST(BJ$2,$M134,$L134,FALSE)*$U134*((1+Inputs!$D$7)^BJ$2))),IF($N134=Lists!$K$3,IF($L134&lt;1,((($T134*(1-$F134)+$S134*(1-$G134))/$L134)*((1+Inputs!$D$7)^BJ$2)),((INT(BJ$2/$L134)-INT((BJ$2-1)/$L134))*($T134*(1-$F134)+$S134*(1-$G134))*((1+Inputs!$D$7)^BJ$2))),((_xlfn.WEIBULL.DIST(BJ$2,$M134,$L134,FALSE)*($T134*(1-$F134)+$S134*(1-$G134))*((1+Inputs!$D$7)^BJ$2))))))</f>
        <v>0</v>
      </c>
      <c r="BK134" s="88">
        <f>$E134*IF(BK$2&gt;Inputs!$D$5,0,IF(BK$2&gt;VLOOKUP($H134,Lists!$P$3:$Q$7,2),IF($N134=Lists!$K$3,IF($L134&lt;1,(($U134/$L134)*((1+Inputs!$D$7)^BK$2)),((INT(BK$2/$L134)-INT((BK$2-1)/$L134))*$U134*((1+Inputs!$D$7)^BK$2))),(_xlfn.WEIBULL.DIST(BK$2,$M134,$L134,FALSE)*$U134*((1+Inputs!$D$7)^BK$2))),IF($N134=Lists!$K$3,IF($L134&lt;1,((($T134*(1-$F134)+$S134*(1-$G134))/$L134)*((1+Inputs!$D$7)^BK$2)),((INT(BK$2/$L134)-INT((BK$2-1)/$L134))*($T134*(1-$F134)+$S134*(1-$G134))*((1+Inputs!$D$7)^BK$2))),((_xlfn.WEIBULL.DIST(BK$2,$M134,$L134,FALSE)*($T134*(1-$F134)+$S134*(1-$G134))*((1+Inputs!$D$7)^BK$2))))))</f>
        <v>0</v>
      </c>
      <c r="BL134" s="88">
        <f>$E134*IF(BL$2&gt;Inputs!$D$5,0,IF(BL$2&gt;VLOOKUP($H134,Lists!$P$3:$Q$7,2),IF($N134=Lists!$K$3,IF($L134&lt;1,(($U134/$L134)*((1+Inputs!$D$7)^BL$2)),((INT(BL$2/$L134)-INT((BL$2-1)/$L134))*$U134*((1+Inputs!$D$7)^BL$2))),(_xlfn.WEIBULL.DIST(BL$2,$M134,$L134,FALSE)*$U134*((1+Inputs!$D$7)^BL$2))),IF($N134=Lists!$K$3,IF($L134&lt;1,((($T134*(1-$F134)+$S134*(1-$G134))/$L134)*((1+Inputs!$D$7)^BL$2)),((INT(BL$2/$L134)-INT((BL$2-1)/$L134))*($T134*(1-$F134)+$S134*(1-$G134))*((1+Inputs!$D$7)^BL$2))),((_xlfn.WEIBULL.DIST(BL$2,$M134,$L134,FALSE)*($T134*(1-$F134)+$S134*(1-$G134))*((1+Inputs!$D$7)^BL$2))))))</f>
        <v>0</v>
      </c>
      <c r="BM134" s="88">
        <f>$E134*IF(BM$2&gt;Inputs!$D$5,0,IF(BM$2&gt;VLOOKUP($H134,Lists!$P$3:$Q$7,2),IF($N134=Lists!$K$3,IF($L134&lt;1,(($U134/$L134)*((1+Inputs!$D$7)^BM$2)),((INT(BM$2/$L134)-INT((BM$2-1)/$L134))*$U134*((1+Inputs!$D$7)^BM$2))),(_xlfn.WEIBULL.DIST(BM$2,$M134,$L134,FALSE)*$U134*((1+Inputs!$D$7)^BM$2))),IF($N134=Lists!$K$3,IF($L134&lt;1,((($T134*(1-$F134)+$S134*(1-$G134))/$L134)*((1+Inputs!$D$7)^BM$2)),((INT(BM$2/$L134)-INT((BM$2-1)/$L134))*($T134*(1-$F134)+$S134*(1-$G134))*((1+Inputs!$D$7)^BM$2))),((_xlfn.WEIBULL.DIST(BM$2,$M134,$L134,FALSE)*($T134*(1-$F134)+$S134*(1-$G134))*((1+Inputs!$D$7)^BM$2))))))</f>
        <v>0</v>
      </c>
      <c r="BN134" s="88">
        <f>$E134*IF(BN$2&gt;Inputs!$D$5,0,IF(BN$2&gt;VLOOKUP($H134,Lists!$P$3:$Q$7,2),IF($N134=Lists!$K$3,IF($L134&lt;1,(($U134/$L134)*((1+Inputs!$D$7)^BN$2)),((INT(BN$2/$L134)-INT((BN$2-1)/$L134))*$U134*((1+Inputs!$D$7)^BN$2))),(_xlfn.WEIBULL.DIST(BN$2,$M134,$L134,FALSE)*$U134*((1+Inputs!$D$7)^BN$2))),IF($N134=Lists!$K$3,IF($L134&lt;1,((($T134*(1-$F134)+$S134*(1-$G134))/$L134)*((1+Inputs!$D$7)^BN$2)),((INT(BN$2/$L134)-INT((BN$2-1)/$L134))*($T134*(1-$F134)+$S134*(1-$G134))*((1+Inputs!$D$7)^BN$2))),((_xlfn.WEIBULL.DIST(BN$2,$M134,$L134,FALSE)*($T134*(1-$F134)+$S134*(1-$G134))*((1+Inputs!$D$7)^BN$2))))))</f>
        <v>0</v>
      </c>
      <c r="BO134" s="64">
        <f>NPV(Inputs!$D$6,BQ134:DD134)</f>
        <v>0</v>
      </c>
      <c r="BP134" s="67">
        <f t="shared" si="34"/>
        <v>0</v>
      </c>
      <c r="BQ134" s="88">
        <f>MAX(AA134,($E134*IF(BQ$2&gt;Inputs!$D$5,0,IF(BQ$2&gt;VLOOKUP($H134,Lists!$P$3:$Q$7,2),IF($N134=Lists!$K$3,IF($L134&lt;1,(($U134/$L134)*((1+Inputs!$D$7)^BQ$2)),((INT(BQ$2/$L134)-INT((BQ$2-1)/$L134))*$U134*((1+Inputs!$D$7)^BQ$2))),(Inputs!$D$8^((1-_xlfn.WEIBULL.DIST(BQ$2,$M134,$L134,FALSE))/_xlfn.WEIBULL.DIST(BQ$2,$M134,$L134,FALSE))*$U134*((1+Inputs!$D$7)^BQ$2))),IF($N134=Lists!$K$3,IF($L134&lt;1,((($T134*(1-$F134)+$S134*(1-$G134))/$L134)*((1+Inputs!$D$7)^BQ$2)),((INT(BQ$2/$L134)-INT((BQ$2-1)/$L134))*($T134*(1-$F134)+$S134*(1-$G134))*((1+Inputs!$D$7)^BQ$2))),((Inputs!$D$8^((1-_xlfn.WEIBULL.DIST(BQ$2,$M134,$L134,FALSE))/_xlfn.WEIBULL.DIST(BQ$2,$M134,$L134,FALSE))*($T134*(1-$F134)+$S134*(1-$G134))*((1+Inputs!$D$7)^BQ$2))))))))</f>
        <v>0</v>
      </c>
      <c r="BR134" s="88">
        <f>MAX(AB134,($E134*IF(BR$2&gt;Inputs!$D$5,0,IF(BR$2&gt;VLOOKUP($H134,Lists!$P$3:$Q$7,2),IF($N134=Lists!$K$3,IF($L134&lt;1,(($U134/$L134)*((1+Inputs!$D$7)^BR$2)),((INT(BR$2/$L134)-INT((BR$2-1)/$L134))*$U134*((1+Inputs!$D$7)^BR$2))),(Inputs!$D$8^((1-_xlfn.WEIBULL.DIST(BR$2,$M134,$L134,FALSE))/_xlfn.WEIBULL.DIST(BR$2,$M134,$L134,FALSE))*$U134*((1+Inputs!$D$7)^BR$2))),IF($N134=Lists!$K$3,IF($L134&lt;1,((($T134*(1-$F134)+$S134*(1-$G134))/$L134)*((1+Inputs!$D$7)^BR$2)),((INT(BR$2/$L134)-INT((BR$2-1)/$L134))*($T134*(1-$F134)+$S134*(1-$G134))*((1+Inputs!$D$7)^BR$2))),((Inputs!$D$8^((1-_xlfn.WEIBULL.DIST(BR$2,$M134,$L134,FALSE))/_xlfn.WEIBULL.DIST(BR$2,$M134,$L134,FALSE))*($T134*(1-$F134)+$S134*(1-$G134))*((1+Inputs!$D$7)^BR$2))))))))</f>
        <v>0</v>
      </c>
      <c r="BS134" s="88">
        <f>MAX(AC134,($E134*IF(BS$2&gt;Inputs!$D$5,0,IF(BS$2&gt;VLOOKUP($H134,Lists!$P$3:$Q$7,2),IF($N134=Lists!$K$3,IF($L134&lt;1,(($U134/$L134)*((1+Inputs!$D$7)^BS$2)),((INT(BS$2/$L134)-INT((BS$2-1)/$L134))*$U134*((1+Inputs!$D$7)^BS$2))),(Inputs!$D$8^((1-_xlfn.WEIBULL.DIST(BS$2,$M134,$L134,FALSE))/_xlfn.WEIBULL.DIST(BS$2,$M134,$L134,FALSE))*$U134*((1+Inputs!$D$7)^BS$2))),IF($N134=Lists!$K$3,IF($L134&lt;1,((($T134*(1-$F134)+$S134*(1-$G134))/$L134)*((1+Inputs!$D$7)^BS$2)),((INT(BS$2/$L134)-INT((BS$2-1)/$L134))*($T134*(1-$F134)+$S134*(1-$G134))*((1+Inputs!$D$7)^BS$2))),((Inputs!$D$8^((1-_xlfn.WEIBULL.DIST(BS$2,$M134,$L134,FALSE))/_xlfn.WEIBULL.DIST(BS$2,$M134,$L134,FALSE))*($T134*(1-$F134)+$S134*(1-$G134))*((1+Inputs!$D$7)^BS$2))))))))</f>
        <v>0</v>
      </c>
      <c r="BT134" s="88">
        <f>MAX(AD134,($E134*IF(BT$2&gt;Inputs!$D$5,0,IF(BT$2&gt;VLOOKUP($H134,Lists!$P$3:$Q$7,2),IF($N134=Lists!$K$3,IF($L134&lt;1,(($U134/$L134)*((1+Inputs!$D$7)^BT$2)),((INT(BT$2/$L134)-INT((BT$2-1)/$L134))*$U134*((1+Inputs!$D$7)^BT$2))),(Inputs!$D$8^((1-_xlfn.WEIBULL.DIST(BT$2,$M134,$L134,FALSE))/_xlfn.WEIBULL.DIST(BT$2,$M134,$L134,FALSE))*$U134*((1+Inputs!$D$7)^BT$2))),IF($N134=Lists!$K$3,IF($L134&lt;1,((($T134*(1-$F134)+$S134*(1-$G134))/$L134)*((1+Inputs!$D$7)^BT$2)),((INT(BT$2/$L134)-INT((BT$2-1)/$L134))*($T134*(1-$F134)+$S134*(1-$G134))*((1+Inputs!$D$7)^BT$2))),((Inputs!$D$8^((1-_xlfn.WEIBULL.DIST(BT$2,$M134,$L134,FALSE))/_xlfn.WEIBULL.DIST(BT$2,$M134,$L134,FALSE))*($T134*(1-$F134)+$S134*(1-$G134))*((1+Inputs!$D$7)^BT$2))))))))</f>
        <v>0</v>
      </c>
      <c r="BU134" s="88">
        <f>MAX(AE134,($E134*IF(BU$2&gt;Inputs!$D$5,0,IF(BU$2&gt;VLOOKUP($H134,Lists!$P$3:$Q$7,2),IF($N134=Lists!$K$3,IF($L134&lt;1,(($U134/$L134)*((1+Inputs!$D$7)^BU$2)),((INT(BU$2/$L134)-INT((BU$2-1)/$L134))*$U134*((1+Inputs!$D$7)^BU$2))),(Inputs!$D$8^((1-_xlfn.WEIBULL.DIST(BU$2,$M134,$L134,FALSE))/_xlfn.WEIBULL.DIST(BU$2,$M134,$L134,FALSE))*$U134*((1+Inputs!$D$7)^BU$2))),IF($N134=Lists!$K$3,IF($L134&lt;1,((($T134*(1-$F134)+$S134*(1-$G134))/$L134)*((1+Inputs!$D$7)^BU$2)),((INT(BU$2/$L134)-INT((BU$2-1)/$L134))*($T134*(1-$F134)+$S134*(1-$G134))*((1+Inputs!$D$7)^BU$2))),((Inputs!$D$8^((1-_xlfn.WEIBULL.DIST(BU$2,$M134,$L134,FALSE))/_xlfn.WEIBULL.DIST(BU$2,$M134,$L134,FALSE))*($T134*(1-$F134)+$S134*(1-$G134))*((1+Inputs!$D$7)^BU$2))))))))</f>
        <v>0</v>
      </c>
      <c r="BV134" s="88">
        <f>MAX(AF134,($E134*IF(BV$2&gt;Inputs!$D$5,0,IF(BV$2&gt;VLOOKUP($H134,Lists!$P$3:$Q$7,2),IF($N134=Lists!$K$3,IF($L134&lt;1,(($U134/$L134)*((1+Inputs!$D$7)^BV$2)),((INT(BV$2/$L134)-INT((BV$2-1)/$L134))*$U134*((1+Inputs!$D$7)^BV$2))),(Inputs!$D$8^((1-_xlfn.WEIBULL.DIST(BV$2,$M134,$L134,FALSE))/_xlfn.WEIBULL.DIST(BV$2,$M134,$L134,FALSE))*$U134*((1+Inputs!$D$7)^BV$2))),IF($N134=Lists!$K$3,IF($L134&lt;1,((($T134*(1-$F134)+$S134*(1-$G134))/$L134)*((1+Inputs!$D$7)^BV$2)),((INT(BV$2/$L134)-INT((BV$2-1)/$L134))*($T134*(1-$F134)+$S134*(1-$G134))*((1+Inputs!$D$7)^BV$2))),((Inputs!$D$8^((1-_xlfn.WEIBULL.DIST(BV$2,$M134,$L134,FALSE))/_xlfn.WEIBULL.DIST(BV$2,$M134,$L134,FALSE))*($T134*(1-$F134)+$S134*(1-$G134))*((1+Inputs!$D$7)^BV$2))))))))</f>
        <v>0</v>
      </c>
      <c r="BW134" s="88">
        <f>MAX(AG134,($E134*IF(BW$2&gt;Inputs!$D$5,0,IF(BW$2&gt;VLOOKUP($H134,Lists!$P$3:$Q$7,2),IF($N134=Lists!$K$3,IF($L134&lt;1,(($U134/$L134)*((1+Inputs!$D$7)^BW$2)),((INT(BW$2/$L134)-INT((BW$2-1)/$L134))*$U134*((1+Inputs!$D$7)^BW$2))),(Inputs!$D$8^((1-_xlfn.WEIBULL.DIST(BW$2,$M134,$L134,FALSE))/_xlfn.WEIBULL.DIST(BW$2,$M134,$L134,FALSE))*$U134*((1+Inputs!$D$7)^BW$2))),IF($N134=Lists!$K$3,IF($L134&lt;1,((($T134*(1-$F134)+$S134*(1-$G134))/$L134)*((1+Inputs!$D$7)^BW$2)),((INT(BW$2/$L134)-INT((BW$2-1)/$L134))*($T134*(1-$F134)+$S134*(1-$G134))*((1+Inputs!$D$7)^BW$2))),((Inputs!$D$8^((1-_xlfn.WEIBULL.DIST(BW$2,$M134,$L134,FALSE))/_xlfn.WEIBULL.DIST(BW$2,$M134,$L134,FALSE))*($T134*(1-$F134)+$S134*(1-$G134))*((1+Inputs!$D$7)^BW$2))))))))</f>
        <v>0</v>
      </c>
      <c r="BX134" s="88">
        <f>MAX(AH134,($E134*IF(BX$2&gt;Inputs!$D$5,0,IF(BX$2&gt;VLOOKUP($H134,Lists!$P$3:$Q$7,2),IF($N134=Lists!$K$3,IF($L134&lt;1,(($U134/$L134)*((1+Inputs!$D$7)^BX$2)),((INT(BX$2/$L134)-INT((BX$2-1)/$L134))*$U134*((1+Inputs!$D$7)^BX$2))),(Inputs!$D$8^((1-_xlfn.WEIBULL.DIST(BX$2,$M134,$L134,FALSE))/_xlfn.WEIBULL.DIST(BX$2,$M134,$L134,FALSE))*$U134*((1+Inputs!$D$7)^BX$2))),IF($N134=Lists!$K$3,IF($L134&lt;1,((($T134*(1-$F134)+$S134*(1-$G134))/$L134)*((1+Inputs!$D$7)^BX$2)),((INT(BX$2/$L134)-INT((BX$2-1)/$L134))*($T134*(1-$F134)+$S134*(1-$G134))*((1+Inputs!$D$7)^BX$2))),((Inputs!$D$8^((1-_xlfn.WEIBULL.DIST(BX$2,$M134,$L134,FALSE))/_xlfn.WEIBULL.DIST(BX$2,$M134,$L134,FALSE))*($T134*(1-$F134)+$S134*(1-$G134))*((1+Inputs!$D$7)^BX$2))))))))</f>
        <v>0</v>
      </c>
      <c r="BY134" s="88">
        <f>MAX(AI134,($E134*IF(BY$2&gt;Inputs!$D$5,0,IF(BY$2&gt;VLOOKUP($H134,Lists!$P$3:$Q$7,2),IF($N134=Lists!$K$3,IF($L134&lt;1,(($U134/$L134)*((1+Inputs!$D$7)^BY$2)),((INT(BY$2/$L134)-INT((BY$2-1)/$L134))*$U134*((1+Inputs!$D$7)^BY$2))),(Inputs!$D$8^((1-_xlfn.WEIBULL.DIST(BY$2,$M134,$L134,FALSE))/_xlfn.WEIBULL.DIST(BY$2,$M134,$L134,FALSE))*$U134*((1+Inputs!$D$7)^BY$2))),IF($N134=Lists!$K$3,IF($L134&lt;1,((($T134*(1-$F134)+$S134*(1-$G134))/$L134)*((1+Inputs!$D$7)^BY$2)),((INT(BY$2/$L134)-INT((BY$2-1)/$L134))*($T134*(1-$F134)+$S134*(1-$G134))*((1+Inputs!$D$7)^BY$2))),((Inputs!$D$8^((1-_xlfn.WEIBULL.DIST(BY$2,$M134,$L134,FALSE))/_xlfn.WEIBULL.DIST(BY$2,$M134,$L134,FALSE))*($T134*(1-$F134)+$S134*(1-$G134))*((1+Inputs!$D$7)^BY$2))))))))</f>
        <v>0</v>
      </c>
      <c r="BZ134" s="88">
        <f>MAX(AJ134,($E134*IF(BZ$2&gt;Inputs!$D$5,0,IF(BZ$2&gt;VLOOKUP($H134,Lists!$P$3:$Q$7,2),IF($N134=Lists!$K$3,IF($L134&lt;1,(($U134/$L134)*((1+Inputs!$D$7)^BZ$2)),((INT(BZ$2/$L134)-INT((BZ$2-1)/$L134))*$U134*((1+Inputs!$D$7)^BZ$2))),(Inputs!$D$8^((1-_xlfn.WEIBULL.DIST(BZ$2,$M134,$L134,FALSE))/_xlfn.WEIBULL.DIST(BZ$2,$M134,$L134,FALSE))*$U134*((1+Inputs!$D$7)^BZ$2))),IF($N134=Lists!$K$3,IF($L134&lt;1,((($T134*(1-$F134)+$S134*(1-$G134))/$L134)*((1+Inputs!$D$7)^BZ$2)),((INT(BZ$2/$L134)-INT((BZ$2-1)/$L134))*($T134*(1-$F134)+$S134*(1-$G134))*((1+Inputs!$D$7)^BZ$2))),((Inputs!$D$8^((1-_xlfn.WEIBULL.DIST(BZ$2,$M134,$L134,FALSE))/_xlfn.WEIBULL.DIST(BZ$2,$M134,$L134,FALSE))*($T134*(1-$F134)+$S134*(1-$G134))*((1+Inputs!$D$7)^BZ$2))))))))</f>
        <v>0</v>
      </c>
      <c r="CA134" s="88">
        <f>MAX(AK134,($E134*IF(CA$2&gt;Inputs!$D$5,0,IF(CA$2&gt;VLOOKUP($H134,Lists!$P$3:$Q$7,2),IF($N134=Lists!$K$3,IF($L134&lt;1,(($U134/$L134)*((1+Inputs!$D$7)^CA$2)),((INT(CA$2/$L134)-INT((CA$2-1)/$L134))*$U134*((1+Inputs!$D$7)^CA$2))),(Inputs!$D$8^((1-_xlfn.WEIBULL.DIST(CA$2,$M134,$L134,FALSE))/_xlfn.WEIBULL.DIST(CA$2,$M134,$L134,FALSE))*$U134*((1+Inputs!$D$7)^CA$2))),IF($N134=Lists!$K$3,IF($L134&lt;1,((($T134*(1-$F134)+$S134*(1-$G134))/$L134)*((1+Inputs!$D$7)^CA$2)),((INT(CA$2/$L134)-INT((CA$2-1)/$L134))*($T134*(1-$F134)+$S134*(1-$G134))*((1+Inputs!$D$7)^CA$2))),((Inputs!$D$8^((1-_xlfn.WEIBULL.DIST(CA$2,$M134,$L134,FALSE))/_xlfn.WEIBULL.DIST(CA$2,$M134,$L134,FALSE))*($T134*(1-$F134)+$S134*(1-$G134))*((1+Inputs!$D$7)^CA$2))))))))</f>
        <v>0</v>
      </c>
      <c r="CB134" s="88">
        <f>MAX(AL134,($E134*IF(CB$2&gt;Inputs!$D$5,0,IF(CB$2&gt;VLOOKUP($H134,Lists!$P$3:$Q$7,2),IF($N134=Lists!$K$3,IF($L134&lt;1,(($U134/$L134)*((1+Inputs!$D$7)^CB$2)),((INT(CB$2/$L134)-INT((CB$2-1)/$L134))*$U134*((1+Inputs!$D$7)^CB$2))),(Inputs!$D$8^((1-_xlfn.WEIBULL.DIST(CB$2,$M134,$L134,FALSE))/_xlfn.WEIBULL.DIST(CB$2,$M134,$L134,FALSE))*$U134*((1+Inputs!$D$7)^CB$2))),IF($N134=Lists!$K$3,IF($L134&lt;1,((($T134*(1-$F134)+$S134*(1-$G134))/$L134)*((1+Inputs!$D$7)^CB$2)),((INT(CB$2/$L134)-INT((CB$2-1)/$L134))*($T134*(1-$F134)+$S134*(1-$G134))*((1+Inputs!$D$7)^CB$2))),((Inputs!$D$8^((1-_xlfn.WEIBULL.DIST(CB$2,$M134,$L134,FALSE))/_xlfn.WEIBULL.DIST(CB$2,$M134,$L134,FALSE))*($T134*(1-$F134)+$S134*(1-$G134))*((1+Inputs!$D$7)^CB$2))))))))</f>
        <v>0</v>
      </c>
      <c r="CC134" s="88">
        <f>MAX(AM134,($E134*IF(CC$2&gt;Inputs!$D$5,0,IF(CC$2&gt;VLOOKUP($H134,Lists!$P$3:$Q$7,2),IF($N134=Lists!$K$3,IF($L134&lt;1,(($U134/$L134)*((1+Inputs!$D$7)^CC$2)),((INT(CC$2/$L134)-INT((CC$2-1)/$L134))*$U134*((1+Inputs!$D$7)^CC$2))),(Inputs!$D$8^((1-_xlfn.WEIBULL.DIST(CC$2,$M134,$L134,FALSE))/_xlfn.WEIBULL.DIST(CC$2,$M134,$L134,FALSE))*$U134*((1+Inputs!$D$7)^CC$2))),IF($N134=Lists!$K$3,IF($L134&lt;1,((($T134*(1-$F134)+$S134*(1-$G134))/$L134)*((1+Inputs!$D$7)^CC$2)),((INT(CC$2/$L134)-INT((CC$2-1)/$L134))*($T134*(1-$F134)+$S134*(1-$G134))*((1+Inputs!$D$7)^CC$2))),((Inputs!$D$8^((1-_xlfn.WEIBULL.DIST(CC$2,$M134,$L134,FALSE))/_xlfn.WEIBULL.DIST(CC$2,$M134,$L134,FALSE))*($T134*(1-$F134)+$S134*(1-$G134))*((1+Inputs!$D$7)^CC$2))))))))</f>
        <v>0</v>
      </c>
      <c r="CD134" s="88">
        <f>MAX(AN134,($E134*IF(CD$2&gt;Inputs!$D$5,0,IF(CD$2&gt;VLOOKUP($H134,Lists!$P$3:$Q$7,2),IF($N134=Lists!$K$3,IF($L134&lt;1,(($U134/$L134)*((1+Inputs!$D$7)^CD$2)),((INT(CD$2/$L134)-INT((CD$2-1)/$L134))*$U134*((1+Inputs!$D$7)^CD$2))),(Inputs!$D$8^((1-_xlfn.WEIBULL.DIST(CD$2,$M134,$L134,FALSE))/_xlfn.WEIBULL.DIST(CD$2,$M134,$L134,FALSE))*$U134*((1+Inputs!$D$7)^CD$2))),IF($N134=Lists!$K$3,IF($L134&lt;1,((($T134*(1-$F134)+$S134*(1-$G134))/$L134)*((1+Inputs!$D$7)^CD$2)),((INT(CD$2/$L134)-INT((CD$2-1)/$L134))*($T134*(1-$F134)+$S134*(1-$G134))*((1+Inputs!$D$7)^CD$2))),((Inputs!$D$8^((1-_xlfn.WEIBULL.DIST(CD$2,$M134,$L134,FALSE))/_xlfn.WEIBULL.DIST(CD$2,$M134,$L134,FALSE))*($T134*(1-$F134)+$S134*(1-$G134))*((1+Inputs!$D$7)^CD$2))))))))</f>
        <v>0</v>
      </c>
      <c r="CE134" s="88">
        <f>MAX(AO134,($E134*IF(CE$2&gt;Inputs!$D$5,0,IF(CE$2&gt;VLOOKUP($H134,Lists!$P$3:$Q$7,2),IF($N134=Lists!$K$3,IF($L134&lt;1,(($U134/$L134)*((1+Inputs!$D$7)^CE$2)),((INT(CE$2/$L134)-INT((CE$2-1)/$L134))*$U134*((1+Inputs!$D$7)^CE$2))),(Inputs!$D$8^((1-_xlfn.WEIBULL.DIST(CE$2,$M134,$L134,FALSE))/_xlfn.WEIBULL.DIST(CE$2,$M134,$L134,FALSE))*$U134*((1+Inputs!$D$7)^CE$2))),IF($N134=Lists!$K$3,IF($L134&lt;1,((($T134*(1-$F134)+$S134*(1-$G134))/$L134)*((1+Inputs!$D$7)^CE$2)),((INT(CE$2/$L134)-INT((CE$2-1)/$L134))*($T134*(1-$F134)+$S134*(1-$G134))*((1+Inputs!$D$7)^CE$2))),((Inputs!$D$8^((1-_xlfn.WEIBULL.DIST(CE$2,$M134,$L134,FALSE))/_xlfn.WEIBULL.DIST(CE$2,$M134,$L134,FALSE))*($T134*(1-$F134)+$S134*(1-$G134))*((1+Inputs!$D$7)^CE$2))))))))</f>
        <v>0</v>
      </c>
      <c r="CF134" s="88">
        <f>MAX(AP134,($E134*IF(CF$2&gt;Inputs!$D$5,0,IF(CF$2&gt;VLOOKUP($H134,Lists!$P$3:$Q$7,2),IF($N134=Lists!$K$3,IF($L134&lt;1,(($U134/$L134)*((1+Inputs!$D$7)^CF$2)),((INT(CF$2/$L134)-INT((CF$2-1)/$L134))*$U134*((1+Inputs!$D$7)^CF$2))),(Inputs!$D$8^((1-_xlfn.WEIBULL.DIST(CF$2,$M134,$L134,FALSE))/_xlfn.WEIBULL.DIST(CF$2,$M134,$L134,FALSE))*$U134*((1+Inputs!$D$7)^CF$2))),IF($N134=Lists!$K$3,IF($L134&lt;1,((($T134*(1-$F134)+$S134*(1-$G134))/$L134)*((1+Inputs!$D$7)^CF$2)),((INT(CF$2/$L134)-INT((CF$2-1)/$L134))*($T134*(1-$F134)+$S134*(1-$G134))*((1+Inputs!$D$7)^CF$2))),((Inputs!$D$8^((1-_xlfn.WEIBULL.DIST(CF$2,$M134,$L134,FALSE))/_xlfn.WEIBULL.DIST(CF$2,$M134,$L134,FALSE))*($T134*(1-$F134)+$S134*(1-$G134))*((1+Inputs!$D$7)^CF$2))))))))</f>
        <v>0</v>
      </c>
      <c r="CG134" s="88">
        <f>MAX(AQ134,($E134*IF(CG$2&gt;Inputs!$D$5,0,IF(CG$2&gt;VLOOKUP($H134,Lists!$P$3:$Q$7,2),IF($N134=Lists!$K$3,IF($L134&lt;1,(($U134/$L134)*((1+Inputs!$D$7)^CG$2)),((INT(CG$2/$L134)-INT((CG$2-1)/$L134))*$U134*((1+Inputs!$D$7)^CG$2))),(Inputs!$D$8^((1-_xlfn.WEIBULL.DIST(CG$2,$M134,$L134,FALSE))/_xlfn.WEIBULL.DIST(CG$2,$M134,$L134,FALSE))*$U134*((1+Inputs!$D$7)^CG$2))),IF($N134=Lists!$K$3,IF($L134&lt;1,((($T134*(1-$F134)+$S134*(1-$G134))/$L134)*((1+Inputs!$D$7)^CG$2)),((INT(CG$2/$L134)-INT((CG$2-1)/$L134))*($T134*(1-$F134)+$S134*(1-$G134))*((1+Inputs!$D$7)^CG$2))),((Inputs!$D$8^((1-_xlfn.WEIBULL.DIST(CG$2,$M134,$L134,FALSE))/_xlfn.WEIBULL.DIST(CG$2,$M134,$L134,FALSE))*($T134*(1-$F134)+$S134*(1-$G134))*((1+Inputs!$D$7)^CG$2))))))))</f>
        <v>0</v>
      </c>
      <c r="CH134" s="88">
        <f>MAX(AR134,($E134*IF(CH$2&gt;Inputs!$D$5,0,IF(CH$2&gt;VLOOKUP($H134,Lists!$P$3:$Q$7,2),IF($N134=Lists!$K$3,IF($L134&lt;1,(($U134/$L134)*((1+Inputs!$D$7)^CH$2)),((INT(CH$2/$L134)-INT((CH$2-1)/$L134))*$U134*((1+Inputs!$D$7)^CH$2))),(Inputs!$D$8^((1-_xlfn.WEIBULL.DIST(CH$2,$M134,$L134,FALSE))/_xlfn.WEIBULL.DIST(CH$2,$M134,$L134,FALSE))*$U134*((1+Inputs!$D$7)^CH$2))),IF($N134=Lists!$K$3,IF($L134&lt;1,((($T134*(1-$F134)+$S134*(1-$G134))/$L134)*((1+Inputs!$D$7)^CH$2)),((INT(CH$2/$L134)-INT((CH$2-1)/$L134))*($T134*(1-$F134)+$S134*(1-$G134))*((1+Inputs!$D$7)^CH$2))),((Inputs!$D$8^((1-_xlfn.WEIBULL.DIST(CH$2,$M134,$L134,FALSE))/_xlfn.WEIBULL.DIST(CH$2,$M134,$L134,FALSE))*($T134*(1-$F134)+$S134*(1-$G134))*((1+Inputs!$D$7)^CH$2))))))))</f>
        <v>0</v>
      </c>
      <c r="CI134" s="88">
        <f>MAX(AS134,($E134*IF(CI$2&gt;Inputs!$D$5,0,IF(CI$2&gt;VLOOKUP($H134,Lists!$P$3:$Q$7,2),IF($N134=Lists!$K$3,IF($L134&lt;1,(($U134/$L134)*((1+Inputs!$D$7)^CI$2)),((INT(CI$2/$L134)-INT((CI$2-1)/$L134))*$U134*((1+Inputs!$D$7)^CI$2))),(Inputs!$D$8^((1-_xlfn.WEIBULL.DIST(CI$2,$M134,$L134,FALSE))/_xlfn.WEIBULL.DIST(CI$2,$M134,$L134,FALSE))*$U134*((1+Inputs!$D$7)^CI$2))),IF($N134=Lists!$K$3,IF($L134&lt;1,((($T134*(1-$F134)+$S134*(1-$G134))/$L134)*((1+Inputs!$D$7)^CI$2)),((INT(CI$2/$L134)-INT((CI$2-1)/$L134))*($T134*(1-$F134)+$S134*(1-$G134))*((1+Inputs!$D$7)^CI$2))),((Inputs!$D$8^((1-_xlfn.WEIBULL.DIST(CI$2,$M134,$L134,FALSE))/_xlfn.WEIBULL.DIST(CI$2,$M134,$L134,FALSE))*($T134*(1-$F134)+$S134*(1-$G134))*((1+Inputs!$D$7)^CI$2))))))))</f>
        <v>0</v>
      </c>
      <c r="CJ134" s="88">
        <f>MAX(AT134,($E134*IF(CJ$2&gt;Inputs!$D$5,0,IF(CJ$2&gt;VLOOKUP($H134,Lists!$P$3:$Q$7,2),IF($N134=Lists!$K$3,IF($L134&lt;1,(($U134/$L134)*((1+Inputs!$D$7)^CJ$2)),((INT(CJ$2/$L134)-INT((CJ$2-1)/$L134))*$U134*((1+Inputs!$D$7)^CJ$2))),(Inputs!$D$8^((1-_xlfn.WEIBULL.DIST(CJ$2,$M134,$L134,FALSE))/_xlfn.WEIBULL.DIST(CJ$2,$M134,$L134,FALSE))*$U134*((1+Inputs!$D$7)^CJ$2))),IF($N134=Lists!$K$3,IF($L134&lt;1,((($T134*(1-$F134)+$S134*(1-$G134))/$L134)*((1+Inputs!$D$7)^CJ$2)),((INT(CJ$2/$L134)-INT((CJ$2-1)/$L134))*($T134*(1-$F134)+$S134*(1-$G134))*((1+Inputs!$D$7)^CJ$2))),((Inputs!$D$8^((1-_xlfn.WEIBULL.DIST(CJ$2,$M134,$L134,FALSE))/_xlfn.WEIBULL.DIST(CJ$2,$M134,$L134,FALSE))*($T134*(1-$F134)+$S134*(1-$G134))*((1+Inputs!$D$7)^CJ$2))))))))</f>
        <v>0</v>
      </c>
      <c r="CK134" s="88">
        <f>MAX(AU134,($E134*IF(CK$2&gt;Inputs!$D$5,0,IF(CK$2&gt;VLOOKUP($H134,Lists!$P$3:$Q$7,2),IF($N134=Lists!$K$3,IF($L134&lt;1,(($U134/$L134)*((1+Inputs!$D$7)^CK$2)),((INT(CK$2/$L134)-INT((CK$2-1)/$L134))*$U134*((1+Inputs!$D$7)^CK$2))),(Inputs!$D$8^((1-_xlfn.WEIBULL.DIST(CK$2,$M134,$L134,FALSE))/_xlfn.WEIBULL.DIST(CK$2,$M134,$L134,FALSE))*$U134*((1+Inputs!$D$7)^CK$2))),IF($N134=Lists!$K$3,IF($L134&lt;1,((($T134*(1-$F134)+$S134*(1-$G134))/$L134)*((1+Inputs!$D$7)^CK$2)),((INT(CK$2/$L134)-INT((CK$2-1)/$L134))*($T134*(1-$F134)+$S134*(1-$G134))*((1+Inputs!$D$7)^CK$2))),((Inputs!$D$8^((1-_xlfn.WEIBULL.DIST(CK$2,$M134,$L134,FALSE))/_xlfn.WEIBULL.DIST(CK$2,$M134,$L134,FALSE))*($T134*(1-$F134)+$S134*(1-$G134))*((1+Inputs!$D$7)^CK$2))))))))</f>
        <v>0</v>
      </c>
      <c r="CL134" s="88">
        <f>MAX(AV134,($E134*IF(CL$2&gt;Inputs!$D$5,0,IF(CL$2&gt;VLOOKUP($H134,Lists!$P$3:$Q$7,2),IF($N134=Lists!$K$3,IF($L134&lt;1,(($U134/$L134)*((1+Inputs!$D$7)^CL$2)),((INT(CL$2/$L134)-INT((CL$2-1)/$L134))*$U134*((1+Inputs!$D$7)^CL$2))),(Inputs!$D$8^((1-_xlfn.WEIBULL.DIST(CL$2,$M134,$L134,FALSE))/_xlfn.WEIBULL.DIST(CL$2,$M134,$L134,FALSE))*$U134*((1+Inputs!$D$7)^CL$2))),IF($N134=Lists!$K$3,IF($L134&lt;1,((($T134*(1-$F134)+$S134*(1-$G134))/$L134)*((1+Inputs!$D$7)^CL$2)),((INT(CL$2/$L134)-INT((CL$2-1)/$L134))*($T134*(1-$F134)+$S134*(1-$G134))*((1+Inputs!$D$7)^CL$2))),((Inputs!$D$8^((1-_xlfn.WEIBULL.DIST(CL$2,$M134,$L134,FALSE))/_xlfn.WEIBULL.DIST(CL$2,$M134,$L134,FALSE))*($T134*(1-$F134)+$S134*(1-$G134))*((1+Inputs!$D$7)^CL$2))))))))</f>
        <v>0</v>
      </c>
      <c r="CM134" s="88">
        <f>MAX(AW134,($E134*IF(CM$2&gt;Inputs!$D$5,0,IF(CM$2&gt;VLOOKUP($H134,Lists!$P$3:$Q$7,2),IF($N134=Lists!$K$3,IF($L134&lt;1,(($U134/$L134)*((1+Inputs!$D$7)^CM$2)),((INT(CM$2/$L134)-INT((CM$2-1)/$L134))*$U134*((1+Inputs!$D$7)^CM$2))),(Inputs!$D$8^((1-_xlfn.WEIBULL.DIST(CM$2,$M134,$L134,FALSE))/_xlfn.WEIBULL.DIST(CM$2,$M134,$L134,FALSE))*$U134*((1+Inputs!$D$7)^CM$2))),IF($N134=Lists!$K$3,IF($L134&lt;1,((($T134*(1-$F134)+$S134*(1-$G134))/$L134)*((1+Inputs!$D$7)^CM$2)),((INT(CM$2/$L134)-INT((CM$2-1)/$L134))*($T134*(1-$F134)+$S134*(1-$G134))*((1+Inputs!$D$7)^CM$2))),((Inputs!$D$8^((1-_xlfn.WEIBULL.DIST(CM$2,$M134,$L134,FALSE))/_xlfn.WEIBULL.DIST(CM$2,$M134,$L134,FALSE))*($T134*(1-$F134)+$S134*(1-$G134))*((1+Inputs!$D$7)^CM$2))))))))</f>
        <v>0</v>
      </c>
      <c r="CN134" s="88">
        <f>MAX(AX134,($E134*IF(CN$2&gt;Inputs!$D$5,0,IF(CN$2&gt;VLOOKUP($H134,Lists!$P$3:$Q$7,2),IF($N134=Lists!$K$3,IF($L134&lt;1,(($U134/$L134)*((1+Inputs!$D$7)^CN$2)),((INT(CN$2/$L134)-INT((CN$2-1)/$L134))*$U134*((1+Inputs!$D$7)^CN$2))),(Inputs!$D$8^((1-_xlfn.WEIBULL.DIST(CN$2,$M134,$L134,FALSE))/_xlfn.WEIBULL.DIST(CN$2,$M134,$L134,FALSE))*$U134*((1+Inputs!$D$7)^CN$2))),IF($N134=Lists!$K$3,IF($L134&lt;1,((($T134*(1-$F134)+$S134*(1-$G134))/$L134)*((1+Inputs!$D$7)^CN$2)),((INT(CN$2/$L134)-INT((CN$2-1)/$L134))*($T134*(1-$F134)+$S134*(1-$G134))*((1+Inputs!$D$7)^CN$2))),((Inputs!$D$8^((1-_xlfn.WEIBULL.DIST(CN$2,$M134,$L134,FALSE))/_xlfn.WEIBULL.DIST(CN$2,$M134,$L134,FALSE))*($T134*(1-$F134)+$S134*(1-$G134))*((1+Inputs!$D$7)^CN$2))))))))</f>
        <v>0</v>
      </c>
      <c r="CO134" s="88">
        <f>MAX(AY134,($E134*IF(CO$2&gt;Inputs!$D$5,0,IF(CO$2&gt;VLOOKUP($H134,Lists!$P$3:$Q$7,2),IF($N134=Lists!$K$3,IF($L134&lt;1,(($U134/$L134)*((1+Inputs!$D$7)^CO$2)),((INT(CO$2/$L134)-INT((CO$2-1)/$L134))*$U134*((1+Inputs!$D$7)^CO$2))),(Inputs!$D$8^((1-_xlfn.WEIBULL.DIST(CO$2,$M134,$L134,FALSE))/_xlfn.WEIBULL.DIST(CO$2,$M134,$L134,FALSE))*$U134*((1+Inputs!$D$7)^CO$2))),IF($N134=Lists!$K$3,IF($L134&lt;1,((($T134*(1-$F134)+$S134*(1-$G134))/$L134)*((1+Inputs!$D$7)^CO$2)),((INT(CO$2/$L134)-INT((CO$2-1)/$L134))*($T134*(1-$F134)+$S134*(1-$G134))*((1+Inputs!$D$7)^CO$2))),((Inputs!$D$8^((1-_xlfn.WEIBULL.DIST(CO$2,$M134,$L134,FALSE))/_xlfn.WEIBULL.DIST(CO$2,$M134,$L134,FALSE))*($T134*(1-$F134)+$S134*(1-$G134))*((1+Inputs!$D$7)^CO$2))))))))</f>
        <v>0</v>
      </c>
      <c r="CP134" s="88">
        <f>MAX(AZ134,($E134*IF(CP$2&gt;Inputs!$D$5,0,IF(CP$2&gt;VLOOKUP($H134,Lists!$P$3:$Q$7,2),IF($N134=Lists!$K$3,IF($L134&lt;1,(($U134/$L134)*((1+Inputs!$D$7)^CP$2)),((INT(CP$2/$L134)-INT((CP$2-1)/$L134))*$U134*((1+Inputs!$D$7)^CP$2))),(Inputs!$D$8^((1-_xlfn.WEIBULL.DIST(CP$2,$M134,$L134,FALSE))/_xlfn.WEIBULL.DIST(CP$2,$M134,$L134,FALSE))*$U134*((1+Inputs!$D$7)^CP$2))),IF($N134=Lists!$K$3,IF($L134&lt;1,((($T134*(1-$F134)+$S134*(1-$G134))/$L134)*((1+Inputs!$D$7)^CP$2)),((INT(CP$2/$L134)-INT((CP$2-1)/$L134))*($T134*(1-$F134)+$S134*(1-$G134))*((1+Inputs!$D$7)^CP$2))),((Inputs!$D$8^((1-_xlfn.WEIBULL.DIST(CP$2,$M134,$L134,FALSE))/_xlfn.WEIBULL.DIST(CP$2,$M134,$L134,FALSE))*($T134*(1-$F134)+$S134*(1-$G134))*((1+Inputs!$D$7)^CP$2))))))))</f>
        <v>0</v>
      </c>
      <c r="CQ134" s="88">
        <f>MAX(BA134,($E134*IF(CQ$2&gt;Inputs!$D$5,0,IF(CQ$2&gt;VLOOKUP($H134,Lists!$P$3:$Q$7,2),IF($N134=Lists!$K$3,IF($L134&lt;1,(($U134/$L134)*((1+Inputs!$D$7)^CQ$2)),((INT(CQ$2/$L134)-INT((CQ$2-1)/$L134))*$U134*((1+Inputs!$D$7)^CQ$2))),(Inputs!$D$8^((1-_xlfn.WEIBULL.DIST(CQ$2,$M134,$L134,FALSE))/_xlfn.WEIBULL.DIST(CQ$2,$M134,$L134,FALSE))*$U134*((1+Inputs!$D$7)^CQ$2))),IF($N134=Lists!$K$3,IF($L134&lt;1,((($T134*(1-$F134)+$S134*(1-$G134))/$L134)*((1+Inputs!$D$7)^CQ$2)),((INT(CQ$2/$L134)-INT((CQ$2-1)/$L134))*($T134*(1-$F134)+$S134*(1-$G134))*((1+Inputs!$D$7)^CQ$2))),((Inputs!$D$8^((1-_xlfn.WEIBULL.DIST(CQ$2,$M134,$L134,FALSE))/_xlfn.WEIBULL.DIST(CQ$2,$M134,$L134,FALSE))*($T134*(1-$F134)+$S134*(1-$G134))*((1+Inputs!$D$7)^CQ$2))))))))</f>
        <v>0</v>
      </c>
      <c r="CR134" s="88">
        <f>MAX(BB134,($E134*IF(CR$2&gt;Inputs!$D$5,0,IF(CR$2&gt;VLOOKUP($H134,Lists!$P$3:$Q$7,2),IF($N134=Lists!$K$3,IF($L134&lt;1,(($U134/$L134)*((1+Inputs!$D$7)^CR$2)),((INT(CR$2/$L134)-INT((CR$2-1)/$L134))*$U134*((1+Inputs!$D$7)^CR$2))),(Inputs!$D$8^((1-_xlfn.WEIBULL.DIST(CR$2,$M134,$L134,FALSE))/_xlfn.WEIBULL.DIST(CR$2,$M134,$L134,FALSE))*$U134*((1+Inputs!$D$7)^CR$2))),IF($N134=Lists!$K$3,IF($L134&lt;1,((($T134*(1-$F134)+$S134*(1-$G134))/$L134)*((1+Inputs!$D$7)^CR$2)),((INT(CR$2/$L134)-INT((CR$2-1)/$L134))*($T134*(1-$F134)+$S134*(1-$G134))*((1+Inputs!$D$7)^CR$2))),((Inputs!$D$8^((1-_xlfn.WEIBULL.DIST(CR$2,$M134,$L134,FALSE))/_xlfn.WEIBULL.DIST(CR$2,$M134,$L134,FALSE))*($T134*(1-$F134)+$S134*(1-$G134))*((1+Inputs!$D$7)^CR$2))))))))</f>
        <v>0</v>
      </c>
      <c r="CS134" s="88">
        <f>MAX(BC134,($E134*IF(CS$2&gt;Inputs!$D$5,0,IF(CS$2&gt;VLOOKUP($H134,Lists!$P$3:$Q$7,2),IF($N134=Lists!$K$3,IF($L134&lt;1,(($U134/$L134)*((1+Inputs!$D$7)^CS$2)),((INT(CS$2/$L134)-INT((CS$2-1)/$L134))*$U134*((1+Inputs!$D$7)^CS$2))),(Inputs!$D$8^((1-_xlfn.WEIBULL.DIST(CS$2,$M134,$L134,FALSE))/_xlfn.WEIBULL.DIST(CS$2,$M134,$L134,FALSE))*$U134*((1+Inputs!$D$7)^CS$2))),IF($N134=Lists!$K$3,IF($L134&lt;1,((($T134*(1-$F134)+$S134*(1-$G134))/$L134)*((1+Inputs!$D$7)^CS$2)),((INT(CS$2/$L134)-INT((CS$2-1)/$L134))*($T134*(1-$F134)+$S134*(1-$G134))*((1+Inputs!$D$7)^CS$2))),((Inputs!$D$8^((1-_xlfn.WEIBULL.DIST(CS$2,$M134,$L134,FALSE))/_xlfn.WEIBULL.DIST(CS$2,$M134,$L134,FALSE))*($T134*(1-$F134)+$S134*(1-$G134))*((1+Inputs!$D$7)^CS$2))))))))</f>
        <v>0</v>
      </c>
      <c r="CT134" s="88">
        <f>MAX(BD134,($E134*IF(CT$2&gt;Inputs!$D$5,0,IF(CT$2&gt;VLOOKUP($H134,Lists!$P$3:$Q$7,2),IF($N134=Lists!$K$3,IF($L134&lt;1,(($U134/$L134)*((1+Inputs!$D$7)^CT$2)),((INT(CT$2/$L134)-INT((CT$2-1)/$L134))*$U134*((1+Inputs!$D$7)^CT$2))),(Inputs!$D$8^((1-_xlfn.WEIBULL.DIST(CT$2,$M134,$L134,FALSE))/_xlfn.WEIBULL.DIST(CT$2,$M134,$L134,FALSE))*$U134*((1+Inputs!$D$7)^CT$2))),IF($N134=Lists!$K$3,IF($L134&lt;1,((($T134*(1-$F134)+$S134*(1-$G134))/$L134)*((1+Inputs!$D$7)^CT$2)),((INT(CT$2/$L134)-INT((CT$2-1)/$L134))*($T134*(1-$F134)+$S134*(1-$G134))*((1+Inputs!$D$7)^CT$2))),((Inputs!$D$8^((1-_xlfn.WEIBULL.DIST(CT$2,$M134,$L134,FALSE))/_xlfn.WEIBULL.DIST(CT$2,$M134,$L134,FALSE))*($T134*(1-$F134)+$S134*(1-$G134))*((1+Inputs!$D$7)^CT$2))))))))</f>
        <v>0</v>
      </c>
      <c r="CU134" s="88">
        <f>MAX(BE134,($E134*IF(CU$2&gt;Inputs!$D$5,0,IF(CU$2&gt;VLOOKUP($H134,Lists!$P$3:$Q$7,2),IF($N134=Lists!$K$3,IF($L134&lt;1,(($U134/$L134)*((1+Inputs!$D$7)^CU$2)),((INT(CU$2/$L134)-INT((CU$2-1)/$L134))*$U134*((1+Inputs!$D$7)^CU$2))),(Inputs!$D$8^((1-_xlfn.WEIBULL.DIST(CU$2,$M134,$L134,FALSE))/_xlfn.WEIBULL.DIST(CU$2,$M134,$L134,FALSE))*$U134*((1+Inputs!$D$7)^CU$2))),IF($N134=Lists!$K$3,IF($L134&lt;1,((($T134*(1-$F134)+$S134*(1-$G134))/$L134)*((1+Inputs!$D$7)^CU$2)),((INT(CU$2/$L134)-INT((CU$2-1)/$L134))*($T134*(1-$F134)+$S134*(1-$G134))*((1+Inputs!$D$7)^CU$2))),((Inputs!$D$8^((1-_xlfn.WEIBULL.DIST(CU$2,$M134,$L134,FALSE))/_xlfn.WEIBULL.DIST(CU$2,$M134,$L134,FALSE))*($T134*(1-$F134)+$S134*(1-$G134))*((1+Inputs!$D$7)^CU$2))))))))</f>
        <v>0</v>
      </c>
      <c r="CV134" s="88">
        <f>MAX(BF134,($E134*IF(CV$2&gt;Inputs!$D$5,0,IF(CV$2&gt;VLOOKUP($H134,Lists!$P$3:$Q$7,2),IF($N134=Lists!$K$3,IF($L134&lt;1,(($U134/$L134)*((1+Inputs!$D$7)^CV$2)),((INT(CV$2/$L134)-INT((CV$2-1)/$L134))*$U134*((1+Inputs!$D$7)^CV$2))),(Inputs!$D$8^((1-_xlfn.WEIBULL.DIST(CV$2,$M134,$L134,FALSE))/_xlfn.WEIBULL.DIST(CV$2,$M134,$L134,FALSE))*$U134*((1+Inputs!$D$7)^CV$2))),IF($N134=Lists!$K$3,IF($L134&lt;1,((($T134*(1-$F134)+$S134*(1-$G134))/$L134)*((1+Inputs!$D$7)^CV$2)),((INT(CV$2/$L134)-INT((CV$2-1)/$L134))*($T134*(1-$F134)+$S134*(1-$G134))*((1+Inputs!$D$7)^CV$2))),((Inputs!$D$8^((1-_xlfn.WEIBULL.DIST(CV$2,$M134,$L134,FALSE))/_xlfn.WEIBULL.DIST(CV$2,$M134,$L134,FALSE))*($T134*(1-$F134)+$S134*(1-$G134))*((1+Inputs!$D$7)^CV$2))))))))</f>
        <v>0</v>
      </c>
      <c r="CW134" s="88">
        <f>MAX(BG134,($E134*IF(CW$2&gt;Inputs!$D$5,0,IF(CW$2&gt;VLOOKUP($H134,Lists!$P$3:$Q$7,2),IF($N134=Lists!$K$3,IF($L134&lt;1,(($U134/$L134)*((1+Inputs!$D$7)^CW$2)),((INT(CW$2/$L134)-INT((CW$2-1)/$L134))*$U134*((1+Inputs!$D$7)^CW$2))),(Inputs!$D$8^((1-_xlfn.WEIBULL.DIST(CW$2,$M134,$L134,FALSE))/_xlfn.WEIBULL.DIST(CW$2,$M134,$L134,FALSE))*$U134*((1+Inputs!$D$7)^CW$2))),IF($N134=Lists!$K$3,IF($L134&lt;1,((($T134*(1-$F134)+$S134*(1-$G134))/$L134)*((1+Inputs!$D$7)^CW$2)),((INT(CW$2/$L134)-INT((CW$2-1)/$L134))*($T134*(1-$F134)+$S134*(1-$G134))*((1+Inputs!$D$7)^CW$2))),((Inputs!$D$8^((1-_xlfn.WEIBULL.DIST(CW$2,$M134,$L134,FALSE))/_xlfn.WEIBULL.DIST(CW$2,$M134,$L134,FALSE))*($T134*(1-$F134)+$S134*(1-$G134))*((1+Inputs!$D$7)^CW$2))))))))</f>
        <v>0</v>
      </c>
      <c r="CX134" s="88">
        <f>MAX(BH134,($E134*IF(CX$2&gt;Inputs!$D$5,0,IF(CX$2&gt;VLOOKUP($H134,Lists!$P$3:$Q$7,2),IF($N134=Lists!$K$3,IF($L134&lt;1,(($U134/$L134)*((1+Inputs!$D$7)^CX$2)),((INT(CX$2/$L134)-INT((CX$2-1)/$L134))*$U134*((1+Inputs!$D$7)^CX$2))),(Inputs!$D$8^((1-_xlfn.WEIBULL.DIST(CX$2,$M134,$L134,FALSE))/_xlfn.WEIBULL.DIST(CX$2,$M134,$L134,FALSE))*$U134*((1+Inputs!$D$7)^CX$2))),IF($N134=Lists!$K$3,IF($L134&lt;1,((($T134*(1-$F134)+$S134*(1-$G134))/$L134)*((1+Inputs!$D$7)^CX$2)),((INT(CX$2/$L134)-INT((CX$2-1)/$L134))*($T134*(1-$F134)+$S134*(1-$G134))*((1+Inputs!$D$7)^CX$2))),((Inputs!$D$8^((1-_xlfn.WEIBULL.DIST(CX$2,$M134,$L134,FALSE))/_xlfn.WEIBULL.DIST(CX$2,$M134,$L134,FALSE))*($T134*(1-$F134)+$S134*(1-$G134))*((1+Inputs!$D$7)^CX$2))))))))</f>
        <v>0</v>
      </c>
      <c r="CY134" s="88">
        <f>MAX(BI134,($E134*IF(CY$2&gt;Inputs!$D$5,0,IF(CY$2&gt;VLOOKUP($H134,Lists!$P$3:$Q$7,2),IF($N134=Lists!$K$3,IF($L134&lt;1,(($U134/$L134)*((1+Inputs!$D$7)^CY$2)),((INT(CY$2/$L134)-INT((CY$2-1)/$L134))*$U134*((1+Inputs!$D$7)^CY$2))),(Inputs!$D$8^((1-_xlfn.WEIBULL.DIST(CY$2,$M134,$L134,FALSE))/_xlfn.WEIBULL.DIST(CY$2,$M134,$L134,FALSE))*$U134*((1+Inputs!$D$7)^CY$2))),IF($N134=Lists!$K$3,IF($L134&lt;1,((($T134*(1-$F134)+$S134*(1-$G134))/$L134)*((1+Inputs!$D$7)^CY$2)),((INT(CY$2/$L134)-INT((CY$2-1)/$L134))*($T134*(1-$F134)+$S134*(1-$G134))*((1+Inputs!$D$7)^CY$2))),((Inputs!$D$8^((1-_xlfn.WEIBULL.DIST(CY$2,$M134,$L134,FALSE))/_xlfn.WEIBULL.DIST(CY$2,$M134,$L134,FALSE))*($T134*(1-$F134)+$S134*(1-$G134))*((1+Inputs!$D$7)^CY$2))))))))</f>
        <v>0</v>
      </c>
      <c r="CZ134" s="88">
        <f>MAX(BJ134,($E134*IF(CZ$2&gt;Inputs!$D$5,0,IF(CZ$2&gt;VLOOKUP($H134,Lists!$P$3:$Q$7,2),IF($N134=Lists!$K$3,IF($L134&lt;1,(($U134/$L134)*((1+Inputs!$D$7)^CZ$2)),((INT(CZ$2/$L134)-INT((CZ$2-1)/$L134))*$U134*((1+Inputs!$D$7)^CZ$2))),(Inputs!$D$8^((1-_xlfn.WEIBULL.DIST(CZ$2,$M134,$L134,FALSE))/_xlfn.WEIBULL.DIST(CZ$2,$M134,$L134,FALSE))*$U134*((1+Inputs!$D$7)^CZ$2))),IF($N134=Lists!$K$3,IF($L134&lt;1,((($T134*(1-$F134)+$S134*(1-$G134))/$L134)*((1+Inputs!$D$7)^CZ$2)),((INT(CZ$2/$L134)-INT((CZ$2-1)/$L134))*($T134*(1-$F134)+$S134*(1-$G134))*((1+Inputs!$D$7)^CZ$2))),((Inputs!$D$8^((1-_xlfn.WEIBULL.DIST(CZ$2,$M134,$L134,FALSE))/_xlfn.WEIBULL.DIST(CZ$2,$M134,$L134,FALSE))*($T134*(1-$F134)+$S134*(1-$G134))*((1+Inputs!$D$7)^CZ$2))))))))</f>
        <v>0</v>
      </c>
      <c r="DA134" s="88">
        <f>MAX(BK134,($E134*IF(DA$2&gt;Inputs!$D$5,0,IF(DA$2&gt;VLOOKUP($H134,Lists!$P$3:$Q$7,2),IF($N134=Lists!$K$3,IF($L134&lt;1,(($U134/$L134)*((1+Inputs!$D$7)^DA$2)),((INT(DA$2/$L134)-INT((DA$2-1)/$L134))*$U134*((1+Inputs!$D$7)^DA$2))),(Inputs!$D$8^((1-_xlfn.WEIBULL.DIST(DA$2,$M134,$L134,FALSE))/_xlfn.WEIBULL.DIST(DA$2,$M134,$L134,FALSE))*$U134*((1+Inputs!$D$7)^DA$2))),IF($N134=Lists!$K$3,IF($L134&lt;1,((($T134*(1-$F134)+$S134*(1-$G134))/$L134)*((1+Inputs!$D$7)^DA$2)),((INT(DA$2/$L134)-INT((DA$2-1)/$L134))*($T134*(1-$F134)+$S134*(1-$G134))*((1+Inputs!$D$7)^DA$2))),((Inputs!$D$8^((1-_xlfn.WEIBULL.DIST(DA$2,$M134,$L134,FALSE))/_xlfn.WEIBULL.DIST(DA$2,$M134,$L134,FALSE))*($T134*(1-$F134)+$S134*(1-$G134))*((1+Inputs!$D$7)^DA$2))))))))</f>
        <v>0</v>
      </c>
      <c r="DB134" s="88">
        <f>MAX(BL134,($E134*IF(DB$2&gt;Inputs!$D$5,0,IF(DB$2&gt;VLOOKUP($H134,Lists!$P$3:$Q$7,2),IF($N134=Lists!$K$3,IF($L134&lt;1,(($U134/$L134)*((1+Inputs!$D$7)^DB$2)),((INT(DB$2/$L134)-INT((DB$2-1)/$L134))*$U134*((1+Inputs!$D$7)^DB$2))),(Inputs!$D$8^((1-_xlfn.WEIBULL.DIST(DB$2,$M134,$L134,FALSE))/_xlfn.WEIBULL.DIST(DB$2,$M134,$L134,FALSE))*$U134*((1+Inputs!$D$7)^DB$2))),IF($N134=Lists!$K$3,IF($L134&lt;1,((($T134*(1-$F134)+$S134*(1-$G134))/$L134)*((1+Inputs!$D$7)^DB$2)),((INT(DB$2/$L134)-INT((DB$2-1)/$L134))*($T134*(1-$F134)+$S134*(1-$G134))*((1+Inputs!$D$7)^DB$2))),((Inputs!$D$8^((1-_xlfn.WEIBULL.DIST(DB$2,$M134,$L134,FALSE))/_xlfn.WEIBULL.DIST(DB$2,$M134,$L134,FALSE))*($T134*(1-$F134)+$S134*(1-$G134))*((1+Inputs!$D$7)^DB$2))))))))</f>
        <v>0</v>
      </c>
      <c r="DC134" s="88">
        <f>MAX(BM134,($E134*IF(DC$2&gt;Inputs!$D$5,0,IF(DC$2&gt;VLOOKUP($H134,Lists!$P$3:$Q$7,2),IF($N134=Lists!$K$3,IF($L134&lt;1,(($U134/$L134)*((1+Inputs!$D$7)^DC$2)),((INT(DC$2/$L134)-INT((DC$2-1)/$L134))*$U134*((1+Inputs!$D$7)^DC$2))),(Inputs!$D$8^((1-_xlfn.WEIBULL.DIST(DC$2,$M134,$L134,FALSE))/_xlfn.WEIBULL.DIST(DC$2,$M134,$L134,FALSE))*$U134*((1+Inputs!$D$7)^DC$2))),IF($N134=Lists!$K$3,IF($L134&lt;1,((($T134*(1-$F134)+$S134*(1-$G134))/$L134)*((1+Inputs!$D$7)^DC$2)),((INT(DC$2/$L134)-INT((DC$2-1)/$L134))*($T134*(1-$F134)+$S134*(1-$G134))*((1+Inputs!$D$7)^DC$2))),((Inputs!$D$8^((1-_xlfn.WEIBULL.DIST(DC$2,$M134,$L134,FALSE))/_xlfn.WEIBULL.DIST(DC$2,$M134,$L134,FALSE))*($T134*(1-$F134)+$S134*(1-$G134))*((1+Inputs!$D$7)^DC$2))))))))</f>
        <v>0</v>
      </c>
      <c r="DD134" s="88">
        <f>MAX(BN134,($E134*IF(DD$2&gt;Inputs!$D$5,0,IF(DD$2&gt;VLOOKUP($H134,Lists!$P$3:$Q$7,2),IF($N134=Lists!$K$3,IF($L134&lt;1,(($U134/$L134)*((1+Inputs!$D$7)^DD$2)),((INT(DD$2/$L134)-INT((DD$2-1)/$L134))*$U134*((1+Inputs!$D$7)^DD$2))),(Inputs!$D$8^((1-_xlfn.WEIBULL.DIST(DD$2,$M134,$L134,FALSE))/_xlfn.WEIBULL.DIST(DD$2,$M134,$L134,FALSE))*$U134*((1+Inputs!$D$7)^DD$2))),IF($N134=Lists!$K$3,IF($L134&lt;1,((($T134*(1-$F134)+$S134*(1-$G134))/$L134)*((1+Inputs!$D$7)^DD$2)),((INT(DD$2/$L134)-INT((DD$2-1)/$L134))*($T134*(1-$F134)+$S134*(1-$G134))*((1+Inputs!$D$7)^DD$2))),((Inputs!$D$8^((1-_xlfn.WEIBULL.DIST(DD$2,$M134,$L134,FALSE))/_xlfn.WEIBULL.DIST(DD$2,$M134,$L134,FALSE))*($T134*(1-$F134)+$S134*(1-$G134))*((1+Inputs!$D$7)^DD$2))))))))</f>
        <v>0</v>
      </c>
    </row>
    <row r="135" spans="1:108" ht="16">
      <c r="A135" s="57" t="s">
        <v>160</v>
      </c>
      <c r="B135" s="13" t="s">
        <v>279</v>
      </c>
      <c r="C135" s="13" t="s">
        <v>472</v>
      </c>
      <c r="D135" s="13" t="s">
        <v>37</v>
      </c>
      <c r="E135" s="89">
        <v>0</v>
      </c>
      <c r="F135" s="48">
        <v>0</v>
      </c>
      <c r="G135" s="48">
        <v>0</v>
      </c>
      <c r="H135" s="105" t="s">
        <v>350</v>
      </c>
      <c r="I135" s="14"/>
      <c r="J135" s="14" t="s">
        <v>86</v>
      </c>
      <c r="K135" s="13">
        <f>VLOOKUP(J135,'Labor Rates'!$A$1:$F$16,2)</f>
        <v>29.298461538461535</v>
      </c>
      <c r="L135" s="15">
        <v>1</v>
      </c>
      <c r="M135" s="15">
        <v>1</v>
      </c>
      <c r="N135" s="13" t="s">
        <v>236</v>
      </c>
      <c r="O135" s="61">
        <f>Inputs!$D$53/Inputs!$D$57*E135</f>
        <v>0</v>
      </c>
      <c r="P135" s="15">
        <v>0.15</v>
      </c>
      <c r="Q135" s="15">
        <f t="shared" si="28"/>
        <v>0</v>
      </c>
      <c r="R135" s="4">
        <v>1</v>
      </c>
      <c r="S135" s="53">
        <f t="shared" si="29"/>
        <v>0</v>
      </c>
      <c r="T135" s="53">
        <f t="shared" si="30"/>
        <v>0</v>
      </c>
      <c r="U135" s="54">
        <f t="shared" si="31"/>
        <v>0</v>
      </c>
      <c r="V135" s="65"/>
      <c r="W135" s="58"/>
      <c r="X135" s="64">
        <f t="shared" si="32"/>
        <v>0</v>
      </c>
      <c r="Y135" s="64">
        <f>NPV(Inputs!$D$6,AA135:BN135)</f>
        <v>0</v>
      </c>
      <c r="Z135" s="67">
        <f t="shared" si="33"/>
        <v>0</v>
      </c>
      <c r="AA135" s="88">
        <f>$E135*IF(AA$2&gt;Inputs!$D$5,0,IF(AA$2&gt;VLOOKUP($H135,Lists!$P$3:$Q$7,2),IF($N135=Lists!$K$3,IF($L135&lt;1,(($U135/$L135)*((1+Inputs!$D$7)^AA$2)),((INT(AA$2/$L135)-INT((AA$2-1)/$L135))*$U135*((1+Inputs!$D$7)^AA$2))),(_xlfn.WEIBULL.DIST(AA$2,$M135,$L135,FALSE)*$U135*((1+Inputs!$D$7)^AA$2))),IF($N135=Lists!$K$3,IF($L135&lt;1,((($T135*(1-$F135)+$S135*(1-$G135))/$L135)*((1+Inputs!$D$7)^AA$2)),((INT(AA$2/$L135)-INT((AA$2-1)/$L135))*($T135*(1-$F135)+$S135*(1-$G135))*((1+Inputs!$D$7)^AA$2))),((_xlfn.WEIBULL.DIST(AA$2,$M135,$L135,FALSE)*($T135*(1-$F135)+$S135*(1-$G135))*((1+Inputs!$D$7)^AA$2))))))</f>
        <v>0</v>
      </c>
      <c r="AB135" s="88">
        <f>$E135*IF(AB$2&gt;Inputs!$D$5,0,IF(AB$2&gt;VLOOKUP($H135,Lists!$P$3:$Q$7,2),IF($N135=Lists!$K$3,IF($L135&lt;1,(($U135/$L135)*((1+Inputs!$D$7)^AB$2)),((INT(AB$2/$L135)-INT((AB$2-1)/$L135))*$U135*((1+Inputs!$D$7)^AB$2))),(_xlfn.WEIBULL.DIST(AB$2,$M135,$L135,FALSE)*$U135*((1+Inputs!$D$7)^AB$2))),IF($N135=Lists!$K$3,IF($L135&lt;1,((($T135*(1-$F135)+$S135*(1-$G135))/$L135)*((1+Inputs!$D$7)^AB$2)),((INT(AB$2/$L135)-INT((AB$2-1)/$L135))*($T135*(1-$F135)+$S135*(1-$G135))*((1+Inputs!$D$7)^AB$2))),((_xlfn.WEIBULL.DIST(AB$2,$M135,$L135,FALSE)*($T135*(1-$F135)+$S135*(1-$G135))*((1+Inputs!$D$7)^AB$2))))))</f>
        <v>0</v>
      </c>
      <c r="AC135" s="88">
        <f>$E135*IF(AC$2&gt;Inputs!$D$5,0,IF(AC$2&gt;VLOOKUP($H135,Lists!$P$3:$Q$7,2),IF($N135=Lists!$K$3,IF($L135&lt;1,(($U135/$L135)*((1+Inputs!$D$7)^AC$2)),((INT(AC$2/$L135)-INT((AC$2-1)/$L135))*$U135*((1+Inputs!$D$7)^AC$2))),(_xlfn.WEIBULL.DIST(AC$2,$M135,$L135,FALSE)*$U135*((1+Inputs!$D$7)^AC$2))),IF($N135=Lists!$K$3,IF($L135&lt;1,((($T135*(1-$F135)+$S135*(1-$G135))/$L135)*((1+Inputs!$D$7)^AC$2)),((INT(AC$2/$L135)-INT((AC$2-1)/$L135))*($T135*(1-$F135)+$S135*(1-$G135))*((1+Inputs!$D$7)^AC$2))),((_xlfn.WEIBULL.DIST(AC$2,$M135,$L135,FALSE)*($T135*(1-$F135)+$S135*(1-$G135))*((1+Inputs!$D$7)^AC$2))))))</f>
        <v>0</v>
      </c>
      <c r="AD135" s="88">
        <f>$E135*IF(AD$2&gt;Inputs!$D$5,0,IF(AD$2&gt;VLOOKUP($H135,Lists!$P$3:$Q$7,2),IF($N135=Lists!$K$3,IF($L135&lt;1,(($U135/$L135)*((1+Inputs!$D$7)^AD$2)),((INT(AD$2/$L135)-INT((AD$2-1)/$L135))*$U135*((1+Inputs!$D$7)^AD$2))),(_xlfn.WEIBULL.DIST(AD$2,$M135,$L135,FALSE)*$U135*((1+Inputs!$D$7)^AD$2))),IF($N135=Lists!$K$3,IF($L135&lt;1,((($T135*(1-$F135)+$S135*(1-$G135))/$L135)*((1+Inputs!$D$7)^AD$2)),((INT(AD$2/$L135)-INT((AD$2-1)/$L135))*($T135*(1-$F135)+$S135*(1-$G135))*((1+Inputs!$D$7)^AD$2))),((_xlfn.WEIBULL.DIST(AD$2,$M135,$L135,FALSE)*($T135*(1-$F135)+$S135*(1-$G135))*((1+Inputs!$D$7)^AD$2))))))</f>
        <v>0</v>
      </c>
      <c r="AE135" s="88">
        <f>$E135*IF(AE$2&gt;Inputs!$D$5,0,IF(AE$2&gt;VLOOKUP($H135,Lists!$P$3:$Q$7,2),IF($N135=Lists!$K$3,IF($L135&lt;1,(($U135/$L135)*((1+Inputs!$D$7)^AE$2)),((INT(AE$2/$L135)-INT((AE$2-1)/$L135))*$U135*((1+Inputs!$D$7)^AE$2))),(_xlfn.WEIBULL.DIST(AE$2,$M135,$L135,FALSE)*$U135*((1+Inputs!$D$7)^AE$2))),IF($N135=Lists!$K$3,IF($L135&lt;1,((($T135*(1-$F135)+$S135*(1-$G135))/$L135)*((1+Inputs!$D$7)^AE$2)),((INT(AE$2/$L135)-INT((AE$2-1)/$L135))*($T135*(1-$F135)+$S135*(1-$G135))*((1+Inputs!$D$7)^AE$2))),((_xlfn.WEIBULL.DIST(AE$2,$M135,$L135,FALSE)*($T135*(1-$F135)+$S135*(1-$G135))*((1+Inputs!$D$7)^AE$2))))))</f>
        <v>0</v>
      </c>
      <c r="AF135" s="88">
        <f>$E135*IF(AF$2&gt;Inputs!$D$5,0,IF(AF$2&gt;VLOOKUP($H135,Lists!$P$3:$Q$7,2),IF($N135=Lists!$K$3,IF($L135&lt;1,(($U135/$L135)*((1+Inputs!$D$7)^AF$2)),((INT(AF$2/$L135)-INT((AF$2-1)/$L135))*$U135*((1+Inputs!$D$7)^AF$2))),(_xlfn.WEIBULL.DIST(AF$2,$M135,$L135,FALSE)*$U135*((1+Inputs!$D$7)^AF$2))),IF($N135=Lists!$K$3,IF($L135&lt;1,((($T135*(1-$F135)+$S135*(1-$G135))/$L135)*((1+Inputs!$D$7)^AF$2)),((INT(AF$2/$L135)-INT((AF$2-1)/$L135))*($T135*(1-$F135)+$S135*(1-$G135))*((1+Inputs!$D$7)^AF$2))),((_xlfn.WEIBULL.DIST(AF$2,$M135,$L135,FALSE)*($T135*(1-$F135)+$S135*(1-$G135))*((1+Inputs!$D$7)^AF$2))))))</f>
        <v>0</v>
      </c>
      <c r="AG135" s="88">
        <f>$E135*IF(AG$2&gt;Inputs!$D$5,0,IF(AG$2&gt;VLOOKUP($H135,Lists!$P$3:$Q$7,2),IF($N135=Lists!$K$3,IF($L135&lt;1,(($U135/$L135)*((1+Inputs!$D$7)^AG$2)),((INT(AG$2/$L135)-INT((AG$2-1)/$L135))*$U135*((1+Inputs!$D$7)^AG$2))),(_xlfn.WEIBULL.DIST(AG$2,$M135,$L135,FALSE)*$U135*((1+Inputs!$D$7)^AG$2))),IF($N135=Lists!$K$3,IF($L135&lt;1,((($T135*(1-$F135)+$S135*(1-$G135))/$L135)*((1+Inputs!$D$7)^AG$2)),((INT(AG$2/$L135)-INT((AG$2-1)/$L135))*($T135*(1-$F135)+$S135*(1-$G135))*((1+Inputs!$D$7)^AG$2))),((_xlfn.WEIBULL.DIST(AG$2,$M135,$L135,FALSE)*($T135*(1-$F135)+$S135*(1-$G135))*((1+Inputs!$D$7)^AG$2))))))</f>
        <v>0</v>
      </c>
      <c r="AH135" s="88">
        <f>$E135*IF(AH$2&gt;Inputs!$D$5,0,IF(AH$2&gt;VLOOKUP($H135,Lists!$P$3:$Q$7,2),IF($N135=Lists!$K$3,IF($L135&lt;1,(($U135/$L135)*((1+Inputs!$D$7)^AH$2)),((INT(AH$2/$L135)-INT((AH$2-1)/$L135))*$U135*((1+Inputs!$D$7)^AH$2))),(_xlfn.WEIBULL.DIST(AH$2,$M135,$L135,FALSE)*$U135*((1+Inputs!$D$7)^AH$2))),IF($N135=Lists!$K$3,IF($L135&lt;1,((($T135*(1-$F135)+$S135*(1-$G135))/$L135)*((1+Inputs!$D$7)^AH$2)),((INT(AH$2/$L135)-INT((AH$2-1)/$L135))*($T135*(1-$F135)+$S135*(1-$G135))*((1+Inputs!$D$7)^AH$2))),((_xlfn.WEIBULL.DIST(AH$2,$M135,$L135,FALSE)*($T135*(1-$F135)+$S135*(1-$G135))*((1+Inputs!$D$7)^AH$2))))))</f>
        <v>0</v>
      </c>
      <c r="AI135" s="88">
        <f>$E135*IF(AI$2&gt;Inputs!$D$5,0,IF(AI$2&gt;VLOOKUP($H135,Lists!$P$3:$Q$7,2),IF($N135=Lists!$K$3,IF($L135&lt;1,(($U135/$L135)*((1+Inputs!$D$7)^AI$2)),((INT(AI$2/$L135)-INT((AI$2-1)/$L135))*$U135*((1+Inputs!$D$7)^AI$2))),(_xlfn.WEIBULL.DIST(AI$2,$M135,$L135,FALSE)*$U135*((1+Inputs!$D$7)^AI$2))),IF($N135=Lists!$K$3,IF($L135&lt;1,((($T135*(1-$F135)+$S135*(1-$G135))/$L135)*((1+Inputs!$D$7)^AI$2)),((INT(AI$2/$L135)-INT((AI$2-1)/$L135))*($T135*(1-$F135)+$S135*(1-$G135))*((1+Inputs!$D$7)^AI$2))),((_xlfn.WEIBULL.DIST(AI$2,$M135,$L135,FALSE)*($T135*(1-$F135)+$S135*(1-$G135))*((1+Inputs!$D$7)^AI$2))))))</f>
        <v>0</v>
      </c>
      <c r="AJ135" s="88">
        <f>$E135*IF(AJ$2&gt;Inputs!$D$5,0,IF(AJ$2&gt;VLOOKUP($H135,Lists!$P$3:$Q$7,2),IF($N135=Lists!$K$3,IF($L135&lt;1,(($U135/$L135)*((1+Inputs!$D$7)^AJ$2)),((INT(AJ$2/$L135)-INT((AJ$2-1)/$L135))*$U135*((1+Inputs!$D$7)^AJ$2))),(_xlfn.WEIBULL.DIST(AJ$2,$M135,$L135,FALSE)*$U135*((1+Inputs!$D$7)^AJ$2))),IF($N135=Lists!$K$3,IF($L135&lt;1,((($T135*(1-$F135)+$S135*(1-$G135))/$L135)*((1+Inputs!$D$7)^AJ$2)),((INT(AJ$2/$L135)-INT((AJ$2-1)/$L135))*($T135*(1-$F135)+$S135*(1-$G135))*((1+Inputs!$D$7)^AJ$2))),((_xlfn.WEIBULL.DIST(AJ$2,$M135,$L135,FALSE)*($T135*(1-$F135)+$S135*(1-$G135))*((1+Inputs!$D$7)^AJ$2))))))</f>
        <v>0</v>
      </c>
      <c r="AK135" s="88">
        <f>$E135*IF(AK$2&gt;Inputs!$D$5,0,IF(AK$2&gt;VLOOKUP($H135,Lists!$P$3:$Q$7,2),IF($N135=Lists!$K$3,IF($L135&lt;1,(($U135/$L135)*((1+Inputs!$D$7)^AK$2)),((INT(AK$2/$L135)-INT((AK$2-1)/$L135))*$U135*((1+Inputs!$D$7)^AK$2))),(_xlfn.WEIBULL.DIST(AK$2,$M135,$L135,FALSE)*$U135*((1+Inputs!$D$7)^AK$2))),IF($N135=Lists!$K$3,IF($L135&lt;1,((($T135*(1-$F135)+$S135*(1-$G135))/$L135)*((1+Inputs!$D$7)^AK$2)),((INT(AK$2/$L135)-INT((AK$2-1)/$L135))*($T135*(1-$F135)+$S135*(1-$G135))*((1+Inputs!$D$7)^AK$2))),((_xlfn.WEIBULL.DIST(AK$2,$M135,$L135,FALSE)*($T135*(1-$F135)+$S135*(1-$G135))*((1+Inputs!$D$7)^AK$2))))))</f>
        <v>0</v>
      </c>
      <c r="AL135" s="88">
        <f>$E135*IF(AL$2&gt;Inputs!$D$5,0,IF(AL$2&gt;VLOOKUP($H135,Lists!$P$3:$Q$7,2),IF($N135=Lists!$K$3,IF($L135&lt;1,(($U135/$L135)*((1+Inputs!$D$7)^AL$2)),((INT(AL$2/$L135)-INT((AL$2-1)/$L135))*$U135*((1+Inputs!$D$7)^AL$2))),(_xlfn.WEIBULL.DIST(AL$2,$M135,$L135,FALSE)*$U135*((1+Inputs!$D$7)^AL$2))),IF($N135=Lists!$K$3,IF($L135&lt;1,((($T135*(1-$F135)+$S135*(1-$G135))/$L135)*((1+Inputs!$D$7)^AL$2)),((INT(AL$2/$L135)-INT((AL$2-1)/$L135))*($T135*(1-$F135)+$S135*(1-$G135))*((1+Inputs!$D$7)^AL$2))),((_xlfn.WEIBULL.DIST(AL$2,$M135,$L135,FALSE)*($T135*(1-$F135)+$S135*(1-$G135))*((1+Inputs!$D$7)^AL$2))))))</f>
        <v>0</v>
      </c>
      <c r="AM135" s="88">
        <f>$E135*IF(AM$2&gt;Inputs!$D$5,0,IF(AM$2&gt;VLOOKUP($H135,Lists!$P$3:$Q$7,2),IF($N135=Lists!$K$3,IF($L135&lt;1,(($U135/$L135)*((1+Inputs!$D$7)^AM$2)),((INT(AM$2/$L135)-INT((AM$2-1)/$L135))*$U135*((1+Inputs!$D$7)^AM$2))),(_xlfn.WEIBULL.DIST(AM$2,$M135,$L135,FALSE)*$U135*((1+Inputs!$D$7)^AM$2))),IF($N135=Lists!$K$3,IF($L135&lt;1,((($T135*(1-$F135)+$S135*(1-$G135))/$L135)*((1+Inputs!$D$7)^AM$2)),((INT(AM$2/$L135)-INT((AM$2-1)/$L135))*($T135*(1-$F135)+$S135*(1-$G135))*((1+Inputs!$D$7)^AM$2))),((_xlfn.WEIBULL.DIST(AM$2,$M135,$L135,FALSE)*($T135*(1-$F135)+$S135*(1-$G135))*((1+Inputs!$D$7)^AM$2))))))</f>
        <v>0</v>
      </c>
      <c r="AN135" s="88">
        <f>$E135*IF(AN$2&gt;Inputs!$D$5,0,IF(AN$2&gt;VLOOKUP($H135,Lists!$P$3:$Q$7,2),IF($N135=Lists!$K$3,IF($L135&lt;1,(($U135/$L135)*((1+Inputs!$D$7)^AN$2)),((INT(AN$2/$L135)-INT((AN$2-1)/$L135))*$U135*((1+Inputs!$D$7)^AN$2))),(_xlfn.WEIBULL.DIST(AN$2,$M135,$L135,FALSE)*$U135*((1+Inputs!$D$7)^AN$2))),IF($N135=Lists!$K$3,IF($L135&lt;1,((($T135*(1-$F135)+$S135*(1-$G135))/$L135)*((1+Inputs!$D$7)^AN$2)),((INT(AN$2/$L135)-INT((AN$2-1)/$L135))*($T135*(1-$F135)+$S135*(1-$G135))*((1+Inputs!$D$7)^AN$2))),((_xlfn.WEIBULL.DIST(AN$2,$M135,$L135,FALSE)*($T135*(1-$F135)+$S135*(1-$G135))*((1+Inputs!$D$7)^AN$2))))))</f>
        <v>0</v>
      </c>
      <c r="AO135" s="88">
        <f>$E135*IF(AO$2&gt;Inputs!$D$5,0,IF(AO$2&gt;VLOOKUP($H135,Lists!$P$3:$Q$7,2),IF($N135=Lists!$K$3,IF($L135&lt;1,(($U135/$L135)*((1+Inputs!$D$7)^AO$2)),((INT(AO$2/$L135)-INT((AO$2-1)/$L135))*$U135*((1+Inputs!$D$7)^AO$2))),(_xlfn.WEIBULL.DIST(AO$2,$M135,$L135,FALSE)*$U135*((1+Inputs!$D$7)^AO$2))),IF($N135=Lists!$K$3,IF($L135&lt;1,((($T135*(1-$F135)+$S135*(1-$G135))/$L135)*((1+Inputs!$D$7)^AO$2)),((INT(AO$2/$L135)-INT((AO$2-1)/$L135))*($T135*(1-$F135)+$S135*(1-$G135))*((1+Inputs!$D$7)^AO$2))),((_xlfn.WEIBULL.DIST(AO$2,$M135,$L135,FALSE)*($T135*(1-$F135)+$S135*(1-$G135))*((1+Inputs!$D$7)^AO$2))))))</f>
        <v>0</v>
      </c>
      <c r="AP135" s="88">
        <f>$E135*IF(AP$2&gt;Inputs!$D$5,0,IF(AP$2&gt;VLOOKUP($H135,Lists!$P$3:$Q$7,2),IF($N135=Lists!$K$3,IF($L135&lt;1,(($U135/$L135)*((1+Inputs!$D$7)^AP$2)),((INT(AP$2/$L135)-INT((AP$2-1)/$L135))*$U135*((1+Inputs!$D$7)^AP$2))),(_xlfn.WEIBULL.DIST(AP$2,$M135,$L135,FALSE)*$U135*((1+Inputs!$D$7)^AP$2))),IF($N135=Lists!$K$3,IF($L135&lt;1,((($T135*(1-$F135)+$S135*(1-$G135))/$L135)*((1+Inputs!$D$7)^AP$2)),((INT(AP$2/$L135)-INT((AP$2-1)/$L135))*($T135*(1-$F135)+$S135*(1-$G135))*((1+Inputs!$D$7)^AP$2))),((_xlfn.WEIBULL.DIST(AP$2,$M135,$L135,FALSE)*($T135*(1-$F135)+$S135*(1-$G135))*((1+Inputs!$D$7)^AP$2))))))</f>
        <v>0</v>
      </c>
      <c r="AQ135" s="88">
        <f>$E135*IF(AQ$2&gt;Inputs!$D$5,0,IF(AQ$2&gt;VLOOKUP($H135,Lists!$P$3:$Q$7,2),IF($N135=Lists!$K$3,IF($L135&lt;1,(($U135/$L135)*((1+Inputs!$D$7)^AQ$2)),((INT(AQ$2/$L135)-INT((AQ$2-1)/$L135))*$U135*((1+Inputs!$D$7)^AQ$2))),(_xlfn.WEIBULL.DIST(AQ$2,$M135,$L135,FALSE)*$U135*((1+Inputs!$D$7)^AQ$2))),IF($N135=Lists!$K$3,IF($L135&lt;1,((($T135*(1-$F135)+$S135*(1-$G135))/$L135)*((1+Inputs!$D$7)^AQ$2)),((INT(AQ$2/$L135)-INT((AQ$2-1)/$L135))*($T135*(1-$F135)+$S135*(1-$G135))*((1+Inputs!$D$7)^AQ$2))),((_xlfn.WEIBULL.DIST(AQ$2,$M135,$L135,FALSE)*($T135*(1-$F135)+$S135*(1-$G135))*((1+Inputs!$D$7)^AQ$2))))))</f>
        <v>0</v>
      </c>
      <c r="AR135" s="88">
        <f>$E135*IF(AR$2&gt;Inputs!$D$5,0,IF(AR$2&gt;VLOOKUP($H135,Lists!$P$3:$Q$7,2),IF($N135=Lists!$K$3,IF($L135&lt;1,(($U135/$L135)*((1+Inputs!$D$7)^AR$2)),((INT(AR$2/$L135)-INT((AR$2-1)/$L135))*$U135*((1+Inputs!$D$7)^AR$2))),(_xlfn.WEIBULL.DIST(AR$2,$M135,$L135,FALSE)*$U135*((1+Inputs!$D$7)^AR$2))),IF($N135=Lists!$K$3,IF($L135&lt;1,((($T135*(1-$F135)+$S135*(1-$G135))/$L135)*((1+Inputs!$D$7)^AR$2)),((INT(AR$2/$L135)-INT((AR$2-1)/$L135))*($T135*(1-$F135)+$S135*(1-$G135))*((1+Inputs!$D$7)^AR$2))),((_xlfn.WEIBULL.DIST(AR$2,$M135,$L135,FALSE)*($T135*(1-$F135)+$S135*(1-$G135))*((1+Inputs!$D$7)^AR$2))))))</f>
        <v>0</v>
      </c>
      <c r="AS135" s="88">
        <f>$E135*IF(AS$2&gt;Inputs!$D$5,0,IF(AS$2&gt;VLOOKUP($H135,Lists!$P$3:$Q$7,2),IF($N135=Lists!$K$3,IF($L135&lt;1,(($U135/$L135)*((1+Inputs!$D$7)^AS$2)),((INT(AS$2/$L135)-INT((AS$2-1)/$L135))*$U135*((1+Inputs!$D$7)^AS$2))),(_xlfn.WEIBULL.DIST(AS$2,$M135,$L135,FALSE)*$U135*((1+Inputs!$D$7)^AS$2))),IF($N135=Lists!$K$3,IF($L135&lt;1,((($T135*(1-$F135)+$S135*(1-$G135))/$L135)*((1+Inputs!$D$7)^AS$2)),((INT(AS$2/$L135)-INT((AS$2-1)/$L135))*($T135*(1-$F135)+$S135*(1-$G135))*((1+Inputs!$D$7)^AS$2))),((_xlfn.WEIBULL.DIST(AS$2,$M135,$L135,FALSE)*($T135*(1-$F135)+$S135*(1-$G135))*((1+Inputs!$D$7)^AS$2))))))</f>
        <v>0</v>
      </c>
      <c r="AT135" s="88">
        <f>$E135*IF(AT$2&gt;Inputs!$D$5,0,IF(AT$2&gt;VLOOKUP($H135,Lists!$P$3:$Q$7,2),IF($N135=Lists!$K$3,IF($L135&lt;1,(($U135/$L135)*((1+Inputs!$D$7)^AT$2)),((INT(AT$2/$L135)-INT((AT$2-1)/$L135))*$U135*((1+Inputs!$D$7)^AT$2))),(_xlfn.WEIBULL.DIST(AT$2,$M135,$L135,FALSE)*$U135*((1+Inputs!$D$7)^AT$2))),IF($N135=Lists!$K$3,IF($L135&lt;1,((($T135*(1-$F135)+$S135*(1-$G135))/$L135)*((1+Inputs!$D$7)^AT$2)),((INT(AT$2/$L135)-INT((AT$2-1)/$L135))*($T135*(1-$F135)+$S135*(1-$G135))*((1+Inputs!$D$7)^AT$2))),((_xlfn.WEIBULL.DIST(AT$2,$M135,$L135,FALSE)*($T135*(1-$F135)+$S135*(1-$G135))*((1+Inputs!$D$7)^AT$2))))))</f>
        <v>0</v>
      </c>
      <c r="AU135" s="88">
        <f>$E135*IF(AU$2&gt;Inputs!$D$5,0,IF(AU$2&gt;VLOOKUP($H135,Lists!$P$3:$Q$7,2),IF($N135=Lists!$K$3,IF($L135&lt;1,(($U135/$L135)*((1+Inputs!$D$7)^AU$2)),((INT(AU$2/$L135)-INT((AU$2-1)/$L135))*$U135*((1+Inputs!$D$7)^AU$2))),(_xlfn.WEIBULL.DIST(AU$2,$M135,$L135,FALSE)*$U135*((1+Inputs!$D$7)^AU$2))),IF($N135=Lists!$K$3,IF($L135&lt;1,((($T135*(1-$F135)+$S135*(1-$G135))/$L135)*((1+Inputs!$D$7)^AU$2)),((INT(AU$2/$L135)-INT((AU$2-1)/$L135))*($T135*(1-$F135)+$S135*(1-$G135))*((1+Inputs!$D$7)^AU$2))),((_xlfn.WEIBULL.DIST(AU$2,$M135,$L135,FALSE)*($T135*(1-$F135)+$S135*(1-$G135))*((1+Inputs!$D$7)^AU$2))))))</f>
        <v>0</v>
      </c>
      <c r="AV135" s="88">
        <f>$E135*IF(AV$2&gt;Inputs!$D$5,0,IF(AV$2&gt;VLOOKUP($H135,Lists!$P$3:$Q$7,2),IF($N135=Lists!$K$3,IF($L135&lt;1,(($U135/$L135)*((1+Inputs!$D$7)^AV$2)),((INT(AV$2/$L135)-INT((AV$2-1)/$L135))*$U135*((1+Inputs!$D$7)^AV$2))),(_xlfn.WEIBULL.DIST(AV$2,$M135,$L135,FALSE)*$U135*((1+Inputs!$D$7)^AV$2))),IF($N135=Lists!$K$3,IF($L135&lt;1,((($T135*(1-$F135)+$S135*(1-$G135))/$L135)*((1+Inputs!$D$7)^AV$2)),((INT(AV$2/$L135)-INT((AV$2-1)/$L135))*($T135*(1-$F135)+$S135*(1-$G135))*((1+Inputs!$D$7)^AV$2))),((_xlfn.WEIBULL.DIST(AV$2,$M135,$L135,FALSE)*($T135*(1-$F135)+$S135*(1-$G135))*((1+Inputs!$D$7)^AV$2))))))</f>
        <v>0</v>
      </c>
      <c r="AW135" s="88">
        <f>$E135*IF(AW$2&gt;Inputs!$D$5,0,IF(AW$2&gt;VLOOKUP($H135,Lists!$P$3:$Q$7,2),IF($N135=Lists!$K$3,IF($L135&lt;1,(($U135/$L135)*((1+Inputs!$D$7)^AW$2)),((INT(AW$2/$L135)-INT((AW$2-1)/$L135))*$U135*((1+Inputs!$D$7)^AW$2))),(_xlfn.WEIBULL.DIST(AW$2,$M135,$L135,FALSE)*$U135*((1+Inputs!$D$7)^AW$2))),IF($N135=Lists!$K$3,IF($L135&lt;1,((($T135*(1-$F135)+$S135*(1-$G135))/$L135)*((1+Inputs!$D$7)^AW$2)),((INT(AW$2/$L135)-INT((AW$2-1)/$L135))*($T135*(1-$F135)+$S135*(1-$G135))*((1+Inputs!$D$7)^AW$2))),((_xlfn.WEIBULL.DIST(AW$2,$M135,$L135,FALSE)*($T135*(1-$F135)+$S135*(1-$G135))*((1+Inputs!$D$7)^AW$2))))))</f>
        <v>0</v>
      </c>
      <c r="AX135" s="88">
        <f>$E135*IF(AX$2&gt;Inputs!$D$5,0,IF(AX$2&gt;VLOOKUP($H135,Lists!$P$3:$Q$7,2),IF($N135=Lists!$K$3,IF($L135&lt;1,(($U135/$L135)*((1+Inputs!$D$7)^AX$2)),((INT(AX$2/$L135)-INT((AX$2-1)/$L135))*$U135*((1+Inputs!$D$7)^AX$2))),(_xlfn.WEIBULL.DIST(AX$2,$M135,$L135,FALSE)*$U135*((1+Inputs!$D$7)^AX$2))),IF($N135=Lists!$K$3,IF($L135&lt;1,((($T135*(1-$F135)+$S135*(1-$G135))/$L135)*((1+Inputs!$D$7)^AX$2)),((INT(AX$2/$L135)-INT((AX$2-1)/$L135))*($T135*(1-$F135)+$S135*(1-$G135))*((1+Inputs!$D$7)^AX$2))),((_xlfn.WEIBULL.DIST(AX$2,$M135,$L135,FALSE)*($T135*(1-$F135)+$S135*(1-$G135))*((1+Inputs!$D$7)^AX$2))))))</f>
        <v>0</v>
      </c>
      <c r="AY135" s="88">
        <f>$E135*IF(AY$2&gt;Inputs!$D$5,0,IF(AY$2&gt;VLOOKUP($H135,Lists!$P$3:$Q$7,2),IF($N135=Lists!$K$3,IF($L135&lt;1,(($U135/$L135)*((1+Inputs!$D$7)^AY$2)),((INT(AY$2/$L135)-INT((AY$2-1)/$L135))*$U135*((1+Inputs!$D$7)^AY$2))),(_xlfn.WEIBULL.DIST(AY$2,$M135,$L135,FALSE)*$U135*((1+Inputs!$D$7)^AY$2))),IF($N135=Lists!$K$3,IF($L135&lt;1,((($T135*(1-$F135)+$S135*(1-$G135))/$L135)*((1+Inputs!$D$7)^AY$2)),((INT(AY$2/$L135)-INT((AY$2-1)/$L135))*($T135*(1-$F135)+$S135*(1-$G135))*((1+Inputs!$D$7)^AY$2))),((_xlfn.WEIBULL.DIST(AY$2,$M135,$L135,FALSE)*($T135*(1-$F135)+$S135*(1-$G135))*((1+Inputs!$D$7)^AY$2))))))</f>
        <v>0</v>
      </c>
      <c r="AZ135" s="88">
        <f>$E135*IF(AZ$2&gt;Inputs!$D$5,0,IF(AZ$2&gt;VLOOKUP($H135,Lists!$P$3:$Q$7,2),IF($N135=Lists!$K$3,IF($L135&lt;1,(($U135/$L135)*((1+Inputs!$D$7)^AZ$2)),((INT(AZ$2/$L135)-INT((AZ$2-1)/$L135))*$U135*((1+Inputs!$D$7)^AZ$2))),(_xlfn.WEIBULL.DIST(AZ$2,$M135,$L135,FALSE)*$U135*((1+Inputs!$D$7)^AZ$2))),IF($N135=Lists!$K$3,IF($L135&lt;1,((($T135*(1-$F135)+$S135*(1-$G135))/$L135)*((1+Inputs!$D$7)^AZ$2)),((INT(AZ$2/$L135)-INT((AZ$2-1)/$L135))*($T135*(1-$F135)+$S135*(1-$G135))*((1+Inputs!$D$7)^AZ$2))),((_xlfn.WEIBULL.DIST(AZ$2,$M135,$L135,FALSE)*($T135*(1-$F135)+$S135*(1-$G135))*((1+Inputs!$D$7)^AZ$2))))))</f>
        <v>0</v>
      </c>
      <c r="BA135" s="88">
        <f>$E135*IF(BA$2&gt;Inputs!$D$5,0,IF(BA$2&gt;VLOOKUP($H135,Lists!$P$3:$Q$7,2),IF($N135=Lists!$K$3,IF($L135&lt;1,(($U135/$L135)*((1+Inputs!$D$7)^BA$2)),((INT(BA$2/$L135)-INT((BA$2-1)/$L135))*$U135*((1+Inputs!$D$7)^BA$2))),(_xlfn.WEIBULL.DIST(BA$2,$M135,$L135,FALSE)*$U135*((1+Inputs!$D$7)^BA$2))),IF($N135=Lists!$K$3,IF($L135&lt;1,((($T135*(1-$F135)+$S135*(1-$G135))/$L135)*((1+Inputs!$D$7)^BA$2)),((INT(BA$2/$L135)-INT((BA$2-1)/$L135))*($T135*(1-$F135)+$S135*(1-$G135))*((1+Inputs!$D$7)^BA$2))),((_xlfn.WEIBULL.DIST(BA$2,$M135,$L135,FALSE)*($T135*(1-$F135)+$S135*(1-$G135))*((1+Inputs!$D$7)^BA$2))))))</f>
        <v>0</v>
      </c>
      <c r="BB135" s="88">
        <f>$E135*IF(BB$2&gt;Inputs!$D$5,0,IF(BB$2&gt;VLOOKUP($H135,Lists!$P$3:$Q$7,2),IF($N135=Lists!$K$3,IF($L135&lt;1,(($U135/$L135)*((1+Inputs!$D$7)^BB$2)),((INT(BB$2/$L135)-INT((BB$2-1)/$L135))*$U135*((1+Inputs!$D$7)^BB$2))),(_xlfn.WEIBULL.DIST(BB$2,$M135,$L135,FALSE)*$U135*((1+Inputs!$D$7)^BB$2))),IF($N135=Lists!$K$3,IF($L135&lt;1,((($T135*(1-$F135)+$S135*(1-$G135))/$L135)*((1+Inputs!$D$7)^BB$2)),((INT(BB$2/$L135)-INT((BB$2-1)/$L135))*($T135*(1-$F135)+$S135*(1-$G135))*((1+Inputs!$D$7)^BB$2))),((_xlfn.WEIBULL.DIST(BB$2,$M135,$L135,FALSE)*($T135*(1-$F135)+$S135*(1-$G135))*((1+Inputs!$D$7)^BB$2))))))</f>
        <v>0</v>
      </c>
      <c r="BC135" s="88">
        <f>$E135*IF(BC$2&gt;Inputs!$D$5,0,IF(BC$2&gt;VLOOKUP($H135,Lists!$P$3:$Q$7,2),IF($N135=Lists!$K$3,IF($L135&lt;1,(($U135/$L135)*((1+Inputs!$D$7)^BC$2)),((INT(BC$2/$L135)-INT((BC$2-1)/$L135))*$U135*((1+Inputs!$D$7)^BC$2))),(_xlfn.WEIBULL.DIST(BC$2,$M135,$L135,FALSE)*$U135*((1+Inputs!$D$7)^BC$2))),IF($N135=Lists!$K$3,IF($L135&lt;1,((($T135*(1-$F135)+$S135*(1-$G135))/$L135)*((1+Inputs!$D$7)^BC$2)),((INT(BC$2/$L135)-INT((BC$2-1)/$L135))*($T135*(1-$F135)+$S135*(1-$G135))*((1+Inputs!$D$7)^BC$2))),((_xlfn.WEIBULL.DIST(BC$2,$M135,$L135,FALSE)*($T135*(1-$F135)+$S135*(1-$G135))*((1+Inputs!$D$7)^BC$2))))))</f>
        <v>0</v>
      </c>
      <c r="BD135" s="88">
        <f>$E135*IF(BD$2&gt;Inputs!$D$5,0,IF(BD$2&gt;VLOOKUP($H135,Lists!$P$3:$Q$7,2),IF($N135=Lists!$K$3,IF($L135&lt;1,(($U135/$L135)*((1+Inputs!$D$7)^BD$2)),((INT(BD$2/$L135)-INT((BD$2-1)/$L135))*$U135*((1+Inputs!$D$7)^BD$2))),(_xlfn.WEIBULL.DIST(BD$2,$M135,$L135,FALSE)*$U135*((1+Inputs!$D$7)^BD$2))),IF($N135=Lists!$K$3,IF($L135&lt;1,((($T135*(1-$F135)+$S135*(1-$G135))/$L135)*((1+Inputs!$D$7)^BD$2)),((INT(BD$2/$L135)-INT((BD$2-1)/$L135))*($T135*(1-$F135)+$S135*(1-$G135))*((1+Inputs!$D$7)^BD$2))),((_xlfn.WEIBULL.DIST(BD$2,$M135,$L135,FALSE)*($T135*(1-$F135)+$S135*(1-$G135))*((1+Inputs!$D$7)^BD$2))))))</f>
        <v>0</v>
      </c>
      <c r="BE135" s="88">
        <f>$E135*IF(BE$2&gt;Inputs!$D$5,0,IF(BE$2&gt;VLOOKUP($H135,Lists!$P$3:$Q$7,2),IF($N135=Lists!$K$3,IF($L135&lt;1,(($U135/$L135)*((1+Inputs!$D$7)^BE$2)),((INT(BE$2/$L135)-INT((BE$2-1)/$L135))*$U135*((1+Inputs!$D$7)^BE$2))),(_xlfn.WEIBULL.DIST(BE$2,$M135,$L135,FALSE)*$U135*((1+Inputs!$D$7)^BE$2))),IF($N135=Lists!$K$3,IF($L135&lt;1,((($T135*(1-$F135)+$S135*(1-$G135))/$L135)*((1+Inputs!$D$7)^BE$2)),((INT(BE$2/$L135)-INT((BE$2-1)/$L135))*($T135*(1-$F135)+$S135*(1-$G135))*((1+Inputs!$D$7)^BE$2))),((_xlfn.WEIBULL.DIST(BE$2,$M135,$L135,FALSE)*($T135*(1-$F135)+$S135*(1-$G135))*((1+Inputs!$D$7)^BE$2))))))</f>
        <v>0</v>
      </c>
      <c r="BF135" s="88">
        <f>$E135*IF(BF$2&gt;Inputs!$D$5,0,IF(BF$2&gt;VLOOKUP($H135,Lists!$P$3:$Q$7,2),IF($N135=Lists!$K$3,IF($L135&lt;1,(($U135/$L135)*((1+Inputs!$D$7)^BF$2)),((INT(BF$2/$L135)-INT((BF$2-1)/$L135))*$U135*((1+Inputs!$D$7)^BF$2))),(_xlfn.WEIBULL.DIST(BF$2,$M135,$L135,FALSE)*$U135*((1+Inputs!$D$7)^BF$2))),IF($N135=Lists!$K$3,IF($L135&lt;1,((($T135*(1-$F135)+$S135*(1-$G135))/$L135)*((1+Inputs!$D$7)^BF$2)),((INT(BF$2/$L135)-INT((BF$2-1)/$L135))*($T135*(1-$F135)+$S135*(1-$G135))*((1+Inputs!$D$7)^BF$2))),((_xlfn.WEIBULL.DIST(BF$2,$M135,$L135,FALSE)*($T135*(1-$F135)+$S135*(1-$G135))*((1+Inputs!$D$7)^BF$2))))))</f>
        <v>0</v>
      </c>
      <c r="BG135" s="88">
        <f>$E135*IF(BG$2&gt;Inputs!$D$5,0,IF(BG$2&gt;VLOOKUP($H135,Lists!$P$3:$Q$7,2),IF($N135=Lists!$K$3,IF($L135&lt;1,(($U135/$L135)*((1+Inputs!$D$7)^BG$2)),((INT(BG$2/$L135)-INT((BG$2-1)/$L135))*$U135*((1+Inputs!$D$7)^BG$2))),(_xlfn.WEIBULL.DIST(BG$2,$M135,$L135,FALSE)*$U135*((1+Inputs!$D$7)^BG$2))),IF($N135=Lists!$K$3,IF($L135&lt;1,((($T135*(1-$F135)+$S135*(1-$G135))/$L135)*((1+Inputs!$D$7)^BG$2)),((INT(BG$2/$L135)-INT((BG$2-1)/$L135))*($T135*(1-$F135)+$S135*(1-$G135))*((1+Inputs!$D$7)^BG$2))),((_xlfn.WEIBULL.DIST(BG$2,$M135,$L135,FALSE)*($T135*(1-$F135)+$S135*(1-$G135))*((1+Inputs!$D$7)^BG$2))))))</f>
        <v>0</v>
      </c>
      <c r="BH135" s="88">
        <f>$E135*IF(BH$2&gt;Inputs!$D$5,0,IF(BH$2&gt;VLOOKUP($H135,Lists!$P$3:$Q$7,2),IF($N135=Lists!$K$3,IF($L135&lt;1,(($U135/$L135)*((1+Inputs!$D$7)^BH$2)),((INT(BH$2/$L135)-INT((BH$2-1)/$L135))*$U135*((1+Inputs!$D$7)^BH$2))),(_xlfn.WEIBULL.DIST(BH$2,$M135,$L135,FALSE)*$U135*((1+Inputs!$D$7)^BH$2))),IF($N135=Lists!$K$3,IF($L135&lt;1,((($T135*(1-$F135)+$S135*(1-$G135))/$L135)*((1+Inputs!$D$7)^BH$2)),((INT(BH$2/$L135)-INT((BH$2-1)/$L135))*($T135*(1-$F135)+$S135*(1-$G135))*((1+Inputs!$D$7)^BH$2))),((_xlfn.WEIBULL.DIST(BH$2,$M135,$L135,FALSE)*($T135*(1-$F135)+$S135*(1-$G135))*((1+Inputs!$D$7)^BH$2))))))</f>
        <v>0</v>
      </c>
      <c r="BI135" s="88">
        <f>$E135*IF(BI$2&gt;Inputs!$D$5,0,IF(BI$2&gt;VLOOKUP($H135,Lists!$P$3:$Q$7,2),IF($N135=Lists!$K$3,IF($L135&lt;1,(($U135/$L135)*((1+Inputs!$D$7)^BI$2)),((INT(BI$2/$L135)-INT((BI$2-1)/$L135))*$U135*((1+Inputs!$D$7)^BI$2))),(_xlfn.WEIBULL.DIST(BI$2,$M135,$L135,FALSE)*$U135*((1+Inputs!$D$7)^BI$2))),IF($N135=Lists!$K$3,IF($L135&lt;1,((($T135*(1-$F135)+$S135*(1-$G135))/$L135)*((1+Inputs!$D$7)^BI$2)),((INT(BI$2/$L135)-INT((BI$2-1)/$L135))*($T135*(1-$F135)+$S135*(1-$G135))*((1+Inputs!$D$7)^BI$2))),((_xlfn.WEIBULL.DIST(BI$2,$M135,$L135,FALSE)*($T135*(1-$F135)+$S135*(1-$G135))*((1+Inputs!$D$7)^BI$2))))))</f>
        <v>0</v>
      </c>
      <c r="BJ135" s="88">
        <f>$E135*IF(BJ$2&gt;Inputs!$D$5,0,IF(BJ$2&gt;VLOOKUP($H135,Lists!$P$3:$Q$7,2),IF($N135=Lists!$K$3,IF($L135&lt;1,(($U135/$L135)*((1+Inputs!$D$7)^BJ$2)),((INT(BJ$2/$L135)-INT((BJ$2-1)/$L135))*$U135*((1+Inputs!$D$7)^BJ$2))),(_xlfn.WEIBULL.DIST(BJ$2,$M135,$L135,FALSE)*$U135*((1+Inputs!$D$7)^BJ$2))),IF($N135=Lists!$K$3,IF($L135&lt;1,((($T135*(1-$F135)+$S135*(1-$G135))/$L135)*((1+Inputs!$D$7)^BJ$2)),((INT(BJ$2/$L135)-INT((BJ$2-1)/$L135))*($T135*(1-$F135)+$S135*(1-$G135))*((1+Inputs!$D$7)^BJ$2))),((_xlfn.WEIBULL.DIST(BJ$2,$M135,$L135,FALSE)*($T135*(1-$F135)+$S135*(1-$G135))*((1+Inputs!$D$7)^BJ$2))))))</f>
        <v>0</v>
      </c>
      <c r="BK135" s="88">
        <f>$E135*IF(BK$2&gt;Inputs!$D$5,0,IF(BK$2&gt;VLOOKUP($H135,Lists!$P$3:$Q$7,2),IF($N135=Lists!$K$3,IF($L135&lt;1,(($U135/$L135)*((1+Inputs!$D$7)^BK$2)),((INT(BK$2/$L135)-INT((BK$2-1)/$L135))*$U135*((1+Inputs!$D$7)^BK$2))),(_xlfn.WEIBULL.DIST(BK$2,$M135,$L135,FALSE)*$U135*((1+Inputs!$D$7)^BK$2))),IF($N135=Lists!$K$3,IF($L135&lt;1,((($T135*(1-$F135)+$S135*(1-$G135))/$L135)*((1+Inputs!$D$7)^BK$2)),((INT(BK$2/$L135)-INT((BK$2-1)/$L135))*($T135*(1-$F135)+$S135*(1-$G135))*((1+Inputs!$D$7)^BK$2))),((_xlfn.WEIBULL.DIST(BK$2,$M135,$L135,FALSE)*($T135*(1-$F135)+$S135*(1-$G135))*((1+Inputs!$D$7)^BK$2))))))</f>
        <v>0</v>
      </c>
      <c r="BL135" s="88">
        <f>$E135*IF(BL$2&gt;Inputs!$D$5,0,IF(BL$2&gt;VLOOKUP($H135,Lists!$P$3:$Q$7,2),IF($N135=Lists!$K$3,IF($L135&lt;1,(($U135/$L135)*((1+Inputs!$D$7)^BL$2)),((INT(BL$2/$L135)-INT((BL$2-1)/$L135))*$U135*((1+Inputs!$D$7)^BL$2))),(_xlfn.WEIBULL.DIST(BL$2,$M135,$L135,FALSE)*$U135*((1+Inputs!$D$7)^BL$2))),IF($N135=Lists!$K$3,IF($L135&lt;1,((($T135*(1-$F135)+$S135*(1-$G135))/$L135)*((1+Inputs!$D$7)^BL$2)),((INT(BL$2/$L135)-INT((BL$2-1)/$L135))*($T135*(1-$F135)+$S135*(1-$G135))*((1+Inputs!$D$7)^BL$2))),((_xlfn.WEIBULL.DIST(BL$2,$M135,$L135,FALSE)*($T135*(1-$F135)+$S135*(1-$G135))*((1+Inputs!$D$7)^BL$2))))))</f>
        <v>0</v>
      </c>
      <c r="BM135" s="88">
        <f>$E135*IF(BM$2&gt;Inputs!$D$5,0,IF(BM$2&gt;VLOOKUP($H135,Lists!$P$3:$Q$7,2),IF($N135=Lists!$K$3,IF($L135&lt;1,(($U135/$L135)*((1+Inputs!$D$7)^BM$2)),((INT(BM$2/$L135)-INT((BM$2-1)/$L135))*$U135*((1+Inputs!$D$7)^BM$2))),(_xlfn.WEIBULL.DIST(BM$2,$M135,$L135,FALSE)*$U135*((1+Inputs!$D$7)^BM$2))),IF($N135=Lists!$K$3,IF($L135&lt;1,((($T135*(1-$F135)+$S135*(1-$G135))/$L135)*((1+Inputs!$D$7)^BM$2)),((INT(BM$2/$L135)-INT((BM$2-1)/$L135))*($T135*(1-$F135)+$S135*(1-$G135))*((1+Inputs!$D$7)^BM$2))),((_xlfn.WEIBULL.DIST(BM$2,$M135,$L135,FALSE)*($T135*(1-$F135)+$S135*(1-$G135))*((1+Inputs!$D$7)^BM$2))))))</f>
        <v>0</v>
      </c>
      <c r="BN135" s="88">
        <f>$E135*IF(BN$2&gt;Inputs!$D$5,0,IF(BN$2&gt;VLOOKUP($H135,Lists!$P$3:$Q$7,2),IF($N135=Lists!$K$3,IF($L135&lt;1,(($U135/$L135)*((1+Inputs!$D$7)^BN$2)),((INT(BN$2/$L135)-INT((BN$2-1)/$L135))*$U135*((1+Inputs!$D$7)^BN$2))),(_xlfn.WEIBULL.DIST(BN$2,$M135,$L135,FALSE)*$U135*((1+Inputs!$D$7)^BN$2))),IF($N135=Lists!$K$3,IF($L135&lt;1,((($T135*(1-$F135)+$S135*(1-$G135))/$L135)*((1+Inputs!$D$7)^BN$2)),((INT(BN$2/$L135)-INT((BN$2-1)/$L135))*($T135*(1-$F135)+$S135*(1-$G135))*((1+Inputs!$D$7)^BN$2))),((_xlfn.WEIBULL.DIST(BN$2,$M135,$L135,FALSE)*($T135*(1-$F135)+$S135*(1-$G135))*((1+Inputs!$D$7)^BN$2))))))</f>
        <v>0</v>
      </c>
      <c r="BO135" s="64">
        <f>NPV(Inputs!$D$6,BQ135:DD135)</f>
        <v>0</v>
      </c>
      <c r="BP135" s="67">
        <f t="shared" si="34"/>
        <v>0</v>
      </c>
      <c r="BQ135" s="88">
        <f>MAX(AA135,($E135*IF(BQ$2&gt;Inputs!$D$5,0,IF(BQ$2&gt;VLOOKUP($H135,Lists!$P$3:$Q$7,2),IF($N135=Lists!$K$3,IF($L135&lt;1,(($U135/$L135)*((1+Inputs!$D$7)^BQ$2)),((INT(BQ$2/$L135)-INT((BQ$2-1)/$L135))*$U135*((1+Inputs!$D$7)^BQ$2))),(Inputs!$D$8^((1-_xlfn.WEIBULL.DIST(BQ$2,$M135,$L135,FALSE))/_xlfn.WEIBULL.DIST(BQ$2,$M135,$L135,FALSE))*$U135*((1+Inputs!$D$7)^BQ$2))),IF($N135=Lists!$K$3,IF($L135&lt;1,((($T135*(1-$F135)+$S135*(1-$G135))/$L135)*((1+Inputs!$D$7)^BQ$2)),((INT(BQ$2/$L135)-INT((BQ$2-1)/$L135))*($T135*(1-$F135)+$S135*(1-$G135))*((1+Inputs!$D$7)^BQ$2))),((Inputs!$D$8^((1-_xlfn.WEIBULL.DIST(BQ$2,$M135,$L135,FALSE))/_xlfn.WEIBULL.DIST(BQ$2,$M135,$L135,FALSE))*($T135*(1-$F135)+$S135*(1-$G135))*((1+Inputs!$D$7)^BQ$2))))))))</f>
        <v>0</v>
      </c>
      <c r="BR135" s="88">
        <f>MAX(AB135,($E135*IF(BR$2&gt;Inputs!$D$5,0,IF(BR$2&gt;VLOOKUP($H135,Lists!$P$3:$Q$7,2),IF($N135=Lists!$K$3,IF($L135&lt;1,(($U135/$L135)*((1+Inputs!$D$7)^BR$2)),((INT(BR$2/$L135)-INT((BR$2-1)/$L135))*$U135*((1+Inputs!$D$7)^BR$2))),(Inputs!$D$8^((1-_xlfn.WEIBULL.DIST(BR$2,$M135,$L135,FALSE))/_xlfn.WEIBULL.DIST(BR$2,$M135,$L135,FALSE))*$U135*((1+Inputs!$D$7)^BR$2))),IF($N135=Lists!$K$3,IF($L135&lt;1,((($T135*(1-$F135)+$S135*(1-$G135))/$L135)*((1+Inputs!$D$7)^BR$2)),((INT(BR$2/$L135)-INT((BR$2-1)/$L135))*($T135*(1-$F135)+$S135*(1-$G135))*((1+Inputs!$D$7)^BR$2))),((Inputs!$D$8^((1-_xlfn.WEIBULL.DIST(BR$2,$M135,$L135,FALSE))/_xlfn.WEIBULL.DIST(BR$2,$M135,$L135,FALSE))*($T135*(1-$F135)+$S135*(1-$G135))*((1+Inputs!$D$7)^BR$2))))))))</f>
        <v>0</v>
      </c>
      <c r="BS135" s="88">
        <f>MAX(AC135,($E135*IF(BS$2&gt;Inputs!$D$5,0,IF(BS$2&gt;VLOOKUP($H135,Lists!$P$3:$Q$7,2),IF($N135=Lists!$K$3,IF($L135&lt;1,(($U135/$L135)*((1+Inputs!$D$7)^BS$2)),((INT(BS$2/$L135)-INT((BS$2-1)/$L135))*$U135*((1+Inputs!$D$7)^BS$2))),(Inputs!$D$8^((1-_xlfn.WEIBULL.DIST(BS$2,$M135,$L135,FALSE))/_xlfn.WEIBULL.DIST(BS$2,$M135,$L135,FALSE))*$U135*((1+Inputs!$D$7)^BS$2))),IF($N135=Lists!$K$3,IF($L135&lt;1,((($T135*(1-$F135)+$S135*(1-$G135))/$L135)*((1+Inputs!$D$7)^BS$2)),((INT(BS$2/$L135)-INT((BS$2-1)/$L135))*($T135*(1-$F135)+$S135*(1-$G135))*((1+Inputs!$D$7)^BS$2))),((Inputs!$D$8^((1-_xlfn.WEIBULL.DIST(BS$2,$M135,$L135,FALSE))/_xlfn.WEIBULL.DIST(BS$2,$M135,$L135,FALSE))*($T135*(1-$F135)+$S135*(1-$G135))*((1+Inputs!$D$7)^BS$2))))))))</f>
        <v>0</v>
      </c>
      <c r="BT135" s="88">
        <f>MAX(AD135,($E135*IF(BT$2&gt;Inputs!$D$5,0,IF(BT$2&gt;VLOOKUP($H135,Lists!$P$3:$Q$7,2),IF($N135=Lists!$K$3,IF($L135&lt;1,(($U135/$L135)*((1+Inputs!$D$7)^BT$2)),((INT(BT$2/$L135)-INT((BT$2-1)/$L135))*$U135*((1+Inputs!$D$7)^BT$2))),(Inputs!$D$8^((1-_xlfn.WEIBULL.DIST(BT$2,$M135,$L135,FALSE))/_xlfn.WEIBULL.DIST(BT$2,$M135,$L135,FALSE))*$U135*((1+Inputs!$D$7)^BT$2))),IF($N135=Lists!$K$3,IF($L135&lt;1,((($T135*(1-$F135)+$S135*(1-$G135))/$L135)*((1+Inputs!$D$7)^BT$2)),((INT(BT$2/$L135)-INT((BT$2-1)/$L135))*($T135*(1-$F135)+$S135*(1-$G135))*((1+Inputs!$D$7)^BT$2))),((Inputs!$D$8^((1-_xlfn.WEIBULL.DIST(BT$2,$M135,$L135,FALSE))/_xlfn.WEIBULL.DIST(BT$2,$M135,$L135,FALSE))*($T135*(1-$F135)+$S135*(1-$G135))*((1+Inputs!$D$7)^BT$2))))))))</f>
        <v>0</v>
      </c>
      <c r="BU135" s="88">
        <f>MAX(AE135,($E135*IF(BU$2&gt;Inputs!$D$5,0,IF(BU$2&gt;VLOOKUP($H135,Lists!$P$3:$Q$7,2),IF($N135=Lists!$K$3,IF($L135&lt;1,(($U135/$L135)*((1+Inputs!$D$7)^BU$2)),((INT(BU$2/$L135)-INT((BU$2-1)/$L135))*$U135*((1+Inputs!$D$7)^BU$2))),(Inputs!$D$8^((1-_xlfn.WEIBULL.DIST(BU$2,$M135,$L135,FALSE))/_xlfn.WEIBULL.DIST(BU$2,$M135,$L135,FALSE))*$U135*((1+Inputs!$D$7)^BU$2))),IF($N135=Lists!$K$3,IF($L135&lt;1,((($T135*(1-$F135)+$S135*(1-$G135))/$L135)*((1+Inputs!$D$7)^BU$2)),((INT(BU$2/$L135)-INT((BU$2-1)/$L135))*($T135*(1-$F135)+$S135*(1-$G135))*((1+Inputs!$D$7)^BU$2))),((Inputs!$D$8^((1-_xlfn.WEIBULL.DIST(BU$2,$M135,$L135,FALSE))/_xlfn.WEIBULL.DIST(BU$2,$M135,$L135,FALSE))*($T135*(1-$F135)+$S135*(1-$G135))*((1+Inputs!$D$7)^BU$2))))))))</f>
        <v>0</v>
      </c>
      <c r="BV135" s="88">
        <f>MAX(AF135,($E135*IF(BV$2&gt;Inputs!$D$5,0,IF(BV$2&gt;VLOOKUP($H135,Lists!$P$3:$Q$7,2),IF($N135=Lists!$K$3,IF($L135&lt;1,(($U135/$L135)*((1+Inputs!$D$7)^BV$2)),((INT(BV$2/$L135)-INT((BV$2-1)/$L135))*$U135*((1+Inputs!$D$7)^BV$2))),(Inputs!$D$8^((1-_xlfn.WEIBULL.DIST(BV$2,$M135,$L135,FALSE))/_xlfn.WEIBULL.DIST(BV$2,$M135,$L135,FALSE))*$U135*((1+Inputs!$D$7)^BV$2))),IF($N135=Lists!$K$3,IF($L135&lt;1,((($T135*(1-$F135)+$S135*(1-$G135))/$L135)*((1+Inputs!$D$7)^BV$2)),((INT(BV$2/$L135)-INT((BV$2-1)/$L135))*($T135*(1-$F135)+$S135*(1-$G135))*((1+Inputs!$D$7)^BV$2))),((Inputs!$D$8^((1-_xlfn.WEIBULL.DIST(BV$2,$M135,$L135,FALSE))/_xlfn.WEIBULL.DIST(BV$2,$M135,$L135,FALSE))*($T135*(1-$F135)+$S135*(1-$G135))*((1+Inputs!$D$7)^BV$2))))))))</f>
        <v>0</v>
      </c>
      <c r="BW135" s="88">
        <f>MAX(AG135,($E135*IF(BW$2&gt;Inputs!$D$5,0,IF(BW$2&gt;VLOOKUP($H135,Lists!$P$3:$Q$7,2),IF($N135=Lists!$K$3,IF($L135&lt;1,(($U135/$L135)*((1+Inputs!$D$7)^BW$2)),((INT(BW$2/$L135)-INT((BW$2-1)/$L135))*$U135*((1+Inputs!$D$7)^BW$2))),(Inputs!$D$8^((1-_xlfn.WEIBULL.DIST(BW$2,$M135,$L135,FALSE))/_xlfn.WEIBULL.DIST(BW$2,$M135,$L135,FALSE))*$U135*((1+Inputs!$D$7)^BW$2))),IF($N135=Lists!$K$3,IF($L135&lt;1,((($T135*(1-$F135)+$S135*(1-$G135))/$L135)*((1+Inputs!$D$7)^BW$2)),((INT(BW$2/$L135)-INT((BW$2-1)/$L135))*($T135*(1-$F135)+$S135*(1-$G135))*((1+Inputs!$D$7)^BW$2))),((Inputs!$D$8^((1-_xlfn.WEIBULL.DIST(BW$2,$M135,$L135,FALSE))/_xlfn.WEIBULL.DIST(BW$2,$M135,$L135,FALSE))*($T135*(1-$F135)+$S135*(1-$G135))*((1+Inputs!$D$7)^BW$2))))))))</f>
        <v>0</v>
      </c>
      <c r="BX135" s="88">
        <f>MAX(AH135,($E135*IF(BX$2&gt;Inputs!$D$5,0,IF(BX$2&gt;VLOOKUP($H135,Lists!$P$3:$Q$7,2),IF($N135=Lists!$K$3,IF($L135&lt;1,(($U135/$L135)*((1+Inputs!$D$7)^BX$2)),((INT(BX$2/$L135)-INT((BX$2-1)/$L135))*$U135*((1+Inputs!$D$7)^BX$2))),(Inputs!$D$8^((1-_xlfn.WEIBULL.DIST(BX$2,$M135,$L135,FALSE))/_xlfn.WEIBULL.DIST(BX$2,$M135,$L135,FALSE))*$U135*((1+Inputs!$D$7)^BX$2))),IF($N135=Lists!$K$3,IF($L135&lt;1,((($T135*(1-$F135)+$S135*(1-$G135))/$L135)*((1+Inputs!$D$7)^BX$2)),((INT(BX$2/$L135)-INT((BX$2-1)/$L135))*($T135*(1-$F135)+$S135*(1-$G135))*((1+Inputs!$D$7)^BX$2))),((Inputs!$D$8^((1-_xlfn.WEIBULL.DIST(BX$2,$M135,$L135,FALSE))/_xlfn.WEIBULL.DIST(BX$2,$M135,$L135,FALSE))*($T135*(1-$F135)+$S135*(1-$G135))*((1+Inputs!$D$7)^BX$2))))))))</f>
        <v>0</v>
      </c>
      <c r="BY135" s="88">
        <f>MAX(AI135,($E135*IF(BY$2&gt;Inputs!$D$5,0,IF(BY$2&gt;VLOOKUP($H135,Lists!$P$3:$Q$7,2),IF($N135=Lists!$K$3,IF($L135&lt;1,(($U135/$L135)*((1+Inputs!$D$7)^BY$2)),((INT(BY$2/$L135)-INT((BY$2-1)/$L135))*$U135*((1+Inputs!$D$7)^BY$2))),(Inputs!$D$8^((1-_xlfn.WEIBULL.DIST(BY$2,$M135,$L135,FALSE))/_xlfn.WEIBULL.DIST(BY$2,$M135,$L135,FALSE))*$U135*((1+Inputs!$D$7)^BY$2))),IF($N135=Lists!$K$3,IF($L135&lt;1,((($T135*(1-$F135)+$S135*(1-$G135))/$L135)*((1+Inputs!$D$7)^BY$2)),((INT(BY$2/$L135)-INT((BY$2-1)/$L135))*($T135*(1-$F135)+$S135*(1-$G135))*((1+Inputs!$D$7)^BY$2))),((Inputs!$D$8^((1-_xlfn.WEIBULL.DIST(BY$2,$M135,$L135,FALSE))/_xlfn.WEIBULL.DIST(BY$2,$M135,$L135,FALSE))*($T135*(1-$F135)+$S135*(1-$G135))*((1+Inputs!$D$7)^BY$2))))))))</f>
        <v>0</v>
      </c>
      <c r="BZ135" s="88">
        <f>MAX(AJ135,($E135*IF(BZ$2&gt;Inputs!$D$5,0,IF(BZ$2&gt;VLOOKUP($H135,Lists!$P$3:$Q$7,2),IF($N135=Lists!$K$3,IF($L135&lt;1,(($U135/$L135)*((1+Inputs!$D$7)^BZ$2)),((INT(BZ$2/$L135)-INT((BZ$2-1)/$L135))*$U135*((1+Inputs!$D$7)^BZ$2))),(Inputs!$D$8^((1-_xlfn.WEIBULL.DIST(BZ$2,$M135,$L135,FALSE))/_xlfn.WEIBULL.DIST(BZ$2,$M135,$L135,FALSE))*$U135*((1+Inputs!$D$7)^BZ$2))),IF($N135=Lists!$K$3,IF($L135&lt;1,((($T135*(1-$F135)+$S135*(1-$G135))/$L135)*((1+Inputs!$D$7)^BZ$2)),((INT(BZ$2/$L135)-INT((BZ$2-1)/$L135))*($T135*(1-$F135)+$S135*(1-$G135))*((1+Inputs!$D$7)^BZ$2))),((Inputs!$D$8^((1-_xlfn.WEIBULL.DIST(BZ$2,$M135,$L135,FALSE))/_xlfn.WEIBULL.DIST(BZ$2,$M135,$L135,FALSE))*($T135*(1-$F135)+$S135*(1-$G135))*((1+Inputs!$D$7)^BZ$2))))))))</f>
        <v>0</v>
      </c>
      <c r="CA135" s="88">
        <f>MAX(AK135,($E135*IF(CA$2&gt;Inputs!$D$5,0,IF(CA$2&gt;VLOOKUP($H135,Lists!$P$3:$Q$7,2),IF($N135=Lists!$K$3,IF($L135&lt;1,(($U135/$L135)*((1+Inputs!$D$7)^CA$2)),((INT(CA$2/$L135)-INT((CA$2-1)/$L135))*$U135*((1+Inputs!$D$7)^CA$2))),(Inputs!$D$8^((1-_xlfn.WEIBULL.DIST(CA$2,$M135,$L135,FALSE))/_xlfn.WEIBULL.DIST(CA$2,$M135,$L135,FALSE))*$U135*((1+Inputs!$D$7)^CA$2))),IF($N135=Lists!$K$3,IF($L135&lt;1,((($T135*(1-$F135)+$S135*(1-$G135))/$L135)*((1+Inputs!$D$7)^CA$2)),((INT(CA$2/$L135)-INT((CA$2-1)/$L135))*($T135*(1-$F135)+$S135*(1-$G135))*((1+Inputs!$D$7)^CA$2))),((Inputs!$D$8^((1-_xlfn.WEIBULL.DIST(CA$2,$M135,$L135,FALSE))/_xlfn.WEIBULL.DIST(CA$2,$M135,$L135,FALSE))*($T135*(1-$F135)+$S135*(1-$G135))*((1+Inputs!$D$7)^CA$2))))))))</f>
        <v>0</v>
      </c>
      <c r="CB135" s="88">
        <f>MAX(AL135,($E135*IF(CB$2&gt;Inputs!$D$5,0,IF(CB$2&gt;VLOOKUP($H135,Lists!$P$3:$Q$7,2),IF($N135=Lists!$K$3,IF($L135&lt;1,(($U135/$L135)*((1+Inputs!$D$7)^CB$2)),((INT(CB$2/$L135)-INT((CB$2-1)/$L135))*$U135*((1+Inputs!$D$7)^CB$2))),(Inputs!$D$8^((1-_xlfn.WEIBULL.DIST(CB$2,$M135,$L135,FALSE))/_xlfn.WEIBULL.DIST(CB$2,$M135,$L135,FALSE))*$U135*((1+Inputs!$D$7)^CB$2))),IF($N135=Lists!$K$3,IF($L135&lt;1,((($T135*(1-$F135)+$S135*(1-$G135))/$L135)*((1+Inputs!$D$7)^CB$2)),((INT(CB$2/$L135)-INT((CB$2-1)/$L135))*($T135*(1-$F135)+$S135*(1-$G135))*((1+Inputs!$D$7)^CB$2))),((Inputs!$D$8^((1-_xlfn.WEIBULL.DIST(CB$2,$M135,$L135,FALSE))/_xlfn.WEIBULL.DIST(CB$2,$M135,$L135,FALSE))*($T135*(1-$F135)+$S135*(1-$G135))*((1+Inputs!$D$7)^CB$2))))))))</f>
        <v>0</v>
      </c>
      <c r="CC135" s="88">
        <f>MAX(AM135,($E135*IF(CC$2&gt;Inputs!$D$5,0,IF(CC$2&gt;VLOOKUP($H135,Lists!$P$3:$Q$7,2),IF($N135=Lists!$K$3,IF($L135&lt;1,(($U135/$L135)*((1+Inputs!$D$7)^CC$2)),((INT(CC$2/$L135)-INT((CC$2-1)/$L135))*$U135*((1+Inputs!$D$7)^CC$2))),(Inputs!$D$8^((1-_xlfn.WEIBULL.DIST(CC$2,$M135,$L135,FALSE))/_xlfn.WEIBULL.DIST(CC$2,$M135,$L135,FALSE))*$U135*((1+Inputs!$D$7)^CC$2))),IF($N135=Lists!$K$3,IF($L135&lt;1,((($T135*(1-$F135)+$S135*(1-$G135))/$L135)*((1+Inputs!$D$7)^CC$2)),((INT(CC$2/$L135)-INT((CC$2-1)/$L135))*($T135*(1-$F135)+$S135*(1-$G135))*((1+Inputs!$D$7)^CC$2))),((Inputs!$D$8^((1-_xlfn.WEIBULL.DIST(CC$2,$M135,$L135,FALSE))/_xlfn.WEIBULL.DIST(CC$2,$M135,$L135,FALSE))*($T135*(1-$F135)+$S135*(1-$G135))*((1+Inputs!$D$7)^CC$2))))))))</f>
        <v>0</v>
      </c>
      <c r="CD135" s="88">
        <f>MAX(AN135,($E135*IF(CD$2&gt;Inputs!$D$5,0,IF(CD$2&gt;VLOOKUP($H135,Lists!$P$3:$Q$7,2),IF($N135=Lists!$K$3,IF($L135&lt;1,(($U135/$L135)*((1+Inputs!$D$7)^CD$2)),((INT(CD$2/$L135)-INT((CD$2-1)/$L135))*$U135*((1+Inputs!$D$7)^CD$2))),(Inputs!$D$8^((1-_xlfn.WEIBULL.DIST(CD$2,$M135,$L135,FALSE))/_xlfn.WEIBULL.DIST(CD$2,$M135,$L135,FALSE))*$U135*((1+Inputs!$D$7)^CD$2))),IF($N135=Lists!$K$3,IF($L135&lt;1,((($T135*(1-$F135)+$S135*(1-$G135))/$L135)*((1+Inputs!$D$7)^CD$2)),((INT(CD$2/$L135)-INT((CD$2-1)/$L135))*($T135*(1-$F135)+$S135*(1-$G135))*((1+Inputs!$D$7)^CD$2))),((Inputs!$D$8^((1-_xlfn.WEIBULL.DIST(CD$2,$M135,$L135,FALSE))/_xlfn.WEIBULL.DIST(CD$2,$M135,$L135,FALSE))*($T135*(1-$F135)+$S135*(1-$G135))*((1+Inputs!$D$7)^CD$2))))))))</f>
        <v>0</v>
      </c>
      <c r="CE135" s="88">
        <f>MAX(AO135,($E135*IF(CE$2&gt;Inputs!$D$5,0,IF(CE$2&gt;VLOOKUP($H135,Lists!$P$3:$Q$7,2),IF($N135=Lists!$K$3,IF($L135&lt;1,(($U135/$L135)*((1+Inputs!$D$7)^CE$2)),((INT(CE$2/$L135)-INT((CE$2-1)/$L135))*$U135*((1+Inputs!$D$7)^CE$2))),(Inputs!$D$8^((1-_xlfn.WEIBULL.DIST(CE$2,$M135,$L135,FALSE))/_xlfn.WEIBULL.DIST(CE$2,$M135,$L135,FALSE))*$U135*((1+Inputs!$D$7)^CE$2))),IF($N135=Lists!$K$3,IF($L135&lt;1,((($T135*(1-$F135)+$S135*(1-$G135))/$L135)*((1+Inputs!$D$7)^CE$2)),((INT(CE$2/$L135)-INT((CE$2-1)/$L135))*($T135*(1-$F135)+$S135*(1-$G135))*((1+Inputs!$D$7)^CE$2))),((Inputs!$D$8^((1-_xlfn.WEIBULL.DIST(CE$2,$M135,$L135,FALSE))/_xlfn.WEIBULL.DIST(CE$2,$M135,$L135,FALSE))*($T135*(1-$F135)+$S135*(1-$G135))*((1+Inputs!$D$7)^CE$2))))))))</f>
        <v>0</v>
      </c>
      <c r="CF135" s="88">
        <f>MAX(AP135,($E135*IF(CF$2&gt;Inputs!$D$5,0,IF(CF$2&gt;VLOOKUP($H135,Lists!$P$3:$Q$7,2),IF($N135=Lists!$K$3,IF($L135&lt;1,(($U135/$L135)*((1+Inputs!$D$7)^CF$2)),((INT(CF$2/$L135)-INT((CF$2-1)/$L135))*$U135*((1+Inputs!$D$7)^CF$2))),(Inputs!$D$8^((1-_xlfn.WEIBULL.DIST(CF$2,$M135,$L135,FALSE))/_xlfn.WEIBULL.DIST(CF$2,$M135,$L135,FALSE))*$U135*((1+Inputs!$D$7)^CF$2))),IF($N135=Lists!$K$3,IF($L135&lt;1,((($T135*(1-$F135)+$S135*(1-$G135))/$L135)*((1+Inputs!$D$7)^CF$2)),((INT(CF$2/$L135)-INT((CF$2-1)/$L135))*($T135*(1-$F135)+$S135*(1-$G135))*((1+Inputs!$D$7)^CF$2))),((Inputs!$D$8^((1-_xlfn.WEIBULL.DIST(CF$2,$M135,$L135,FALSE))/_xlfn.WEIBULL.DIST(CF$2,$M135,$L135,FALSE))*($T135*(1-$F135)+$S135*(1-$G135))*((1+Inputs!$D$7)^CF$2))))))))</f>
        <v>0</v>
      </c>
      <c r="CG135" s="88">
        <f>MAX(AQ135,($E135*IF(CG$2&gt;Inputs!$D$5,0,IF(CG$2&gt;VLOOKUP($H135,Lists!$P$3:$Q$7,2),IF($N135=Lists!$K$3,IF($L135&lt;1,(($U135/$L135)*((1+Inputs!$D$7)^CG$2)),((INT(CG$2/$L135)-INT((CG$2-1)/$L135))*$U135*((1+Inputs!$D$7)^CG$2))),(Inputs!$D$8^((1-_xlfn.WEIBULL.DIST(CG$2,$M135,$L135,FALSE))/_xlfn.WEIBULL.DIST(CG$2,$M135,$L135,FALSE))*$U135*((1+Inputs!$D$7)^CG$2))),IF($N135=Lists!$K$3,IF($L135&lt;1,((($T135*(1-$F135)+$S135*(1-$G135))/$L135)*((1+Inputs!$D$7)^CG$2)),((INT(CG$2/$L135)-INT((CG$2-1)/$L135))*($T135*(1-$F135)+$S135*(1-$G135))*((1+Inputs!$D$7)^CG$2))),((Inputs!$D$8^((1-_xlfn.WEIBULL.DIST(CG$2,$M135,$L135,FALSE))/_xlfn.WEIBULL.DIST(CG$2,$M135,$L135,FALSE))*($T135*(1-$F135)+$S135*(1-$G135))*((1+Inputs!$D$7)^CG$2))))))))</f>
        <v>0</v>
      </c>
      <c r="CH135" s="88">
        <f>MAX(AR135,($E135*IF(CH$2&gt;Inputs!$D$5,0,IF(CH$2&gt;VLOOKUP($H135,Lists!$P$3:$Q$7,2),IF($N135=Lists!$K$3,IF($L135&lt;1,(($U135/$L135)*((1+Inputs!$D$7)^CH$2)),((INT(CH$2/$L135)-INT((CH$2-1)/$L135))*$U135*((1+Inputs!$D$7)^CH$2))),(Inputs!$D$8^((1-_xlfn.WEIBULL.DIST(CH$2,$M135,$L135,FALSE))/_xlfn.WEIBULL.DIST(CH$2,$M135,$L135,FALSE))*$U135*((1+Inputs!$D$7)^CH$2))),IF($N135=Lists!$K$3,IF($L135&lt;1,((($T135*(1-$F135)+$S135*(1-$G135))/$L135)*((1+Inputs!$D$7)^CH$2)),((INT(CH$2/$L135)-INT((CH$2-1)/$L135))*($T135*(1-$F135)+$S135*(1-$G135))*((1+Inputs!$D$7)^CH$2))),((Inputs!$D$8^((1-_xlfn.WEIBULL.DIST(CH$2,$M135,$L135,FALSE))/_xlfn.WEIBULL.DIST(CH$2,$M135,$L135,FALSE))*($T135*(1-$F135)+$S135*(1-$G135))*((1+Inputs!$D$7)^CH$2))))))))</f>
        <v>0</v>
      </c>
      <c r="CI135" s="88">
        <f>MAX(AS135,($E135*IF(CI$2&gt;Inputs!$D$5,0,IF(CI$2&gt;VLOOKUP($H135,Lists!$P$3:$Q$7,2),IF($N135=Lists!$K$3,IF($L135&lt;1,(($U135/$L135)*((1+Inputs!$D$7)^CI$2)),((INT(CI$2/$L135)-INT((CI$2-1)/$L135))*$U135*((1+Inputs!$D$7)^CI$2))),(Inputs!$D$8^((1-_xlfn.WEIBULL.DIST(CI$2,$M135,$L135,FALSE))/_xlfn.WEIBULL.DIST(CI$2,$M135,$L135,FALSE))*$U135*((1+Inputs!$D$7)^CI$2))),IF($N135=Lists!$K$3,IF($L135&lt;1,((($T135*(1-$F135)+$S135*(1-$G135))/$L135)*((1+Inputs!$D$7)^CI$2)),((INT(CI$2/$L135)-INT((CI$2-1)/$L135))*($T135*(1-$F135)+$S135*(1-$G135))*((1+Inputs!$D$7)^CI$2))),((Inputs!$D$8^((1-_xlfn.WEIBULL.DIST(CI$2,$M135,$L135,FALSE))/_xlfn.WEIBULL.DIST(CI$2,$M135,$L135,FALSE))*($T135*(1-$F135)+$S135*(1-$G135))*((1+Inputs!$D$7)^CI$2))))))))</f>
        <v>0</v>
      </c>
      <c r="CJ135" s="88">
        <f>MAX(AT135,($E135*IF(CJ$2&gt;Inputs!$D$5,0,IF(CJ$2&gt;VLOOKUP($H135,Lists!$P$3:$Q$7,2),IF($N135=Lists!$K$3,IF($L135&lt;1,(($U135/$L135)*((1+Inputs!$D$7)^CJ$2)),((INT(CJ$2/$L135)-INT((CJ$2-1)/$L135))*$U135*((1+Inputs!$D$7)^CJ$2))),(Inputs!$D$8^((1-_xlfn.WEIBULL.DIST(CJ$2,$M135,$L135,FALSE))/_xlfn.WEIBULL.DIST(CJ$2,$M135,$L135,FALSE))*$U135*((1+Inputs!$D$7)^CJ$2))),IF($N135=Lists!$K$3,IF($L135&lt;1,((($T135*(1-$F135)+$S135*(1-$G135))/$L135)*((1+Inputs!$D$7)^CJ$2)),((INT(CJ$2/$L135)-INT((CJ$2-1)/$L135))*($T135*(1-$F135)+$S135*(1-$G135))*((1+Inputs!$D$7)^CJ$2))),((Inputs!$D$8^((1-_xlfn.WEIBULL.DIST(CJ$2,$M135,$L135,FALSE))/_xlfn.WEIBULL.DIST(CJ$2,$M135,$L135,FALSE))*($T135*(1-$F135)+$S135*(1-$G135))*((1+Inputs!$D$7)^CJ$2))))))))</f>
        <v>0</v>
      </c>
      <c r="CK135" s="88">
        <f>MAX(AU135,($E135*IF(CK$2&gt;Inputs!$D$5,0,IF(CK$2&gt;VLOOKUP($H135,Lists!$P$3:$Q$7,2),IF($N135=Lists!$K$3,IF($L135&lt;1,(($U135/$L135)*((1+Inputs!$D$7)^CK$2)),((INT(CK$2/$L135)-INT((CK$2-1)/$L135))*$U135*((1+Inputs!$D$7)^CK$2))),(Inputs!$D$8^((1-_xlfn.WEIBULL.DIST(CK$2,$M135,$L135,FALSE))/_xlfn.WEIBULL.DIST(CK$2,$M135,$L135,FALSE))*$U135*((1+Inputs!$D$7)^CK$2))),IF($N135=Lists!$K$3,IF($L135&lt;1,((($T135*(1-$F135)+$S135*(1-$G135))/$L135)*((1+Inputs!$D$7)^CK$2)),((INT(CK$2/$L135)-INT((CK$2-1)/$L135))*($T135*(1-$F135)+$S135*(1-$G135))*((1+Inputs!$D$7)^CK$2))),((Inputs!$D$8^((1-_xlfn.WEIBULL.DIST(CK$2,$M135,$L135,FALSE))/_xlfn.WEIBULL.DIST(CK$2,$M135,$L135,FALSE))*($T135*(1-$F135)+$S135*(1-$G135))*((1+Inputs!$D$7)^CK$2))))))))</f>
        <v>0</v>
      </c>
      <c r="CL135" s="88">
        <f>MAX(AV135,($E135*IF(CL$2&gt;Inputs!$D$5,0,IF(CL$2&gt;VLOOKUP($H135,Lists!$P$3:$Q$7,2),IF($N135=Lists!$K$3,IF($L135&lt;1,(($U135/$L135)*((1+Inputs!$D$7)^CL$2)),((INT(CL$2/$L135)-INT((CL$2-1)/$L135))*$U135*((1+Inputs!$D$7)^CL$2))),(Inputs!$D$8^((1-_xlfn.WEIBULL.DIST(CL$2,$M135,$L135,FALSE))/_xlfn.WEIBULL.DIST(CL$2,$M135,$L135,FALSE))*$U135*((1+Inputs!$D$7)^CL$2))),IF($N135=Lists!$K$3,IF($L135&lt;1,((($T135*(1-$F135)+$S135*(1-$G135))/$L135)*((1+Inputs!$D$7)^CL$2)),((INT(CL$2/$L135)-INT((CL$2-1)/$L135))*($T135*(1-$F135)+$S135*(1-$G135))*((1+Inputs!$D$7)^CL$2))),((Inputs!$D$8^((1-_xlfn.WEIBULL.DIST(CL$2,$M135,$L135,FALSE))/_xlfn.WEIBULL.DIST(CL$2,$M135,$L135,FALSE))*($T135*(1-$F135)+$S135*(1-$G135))*((1+Inputs!$D$7)^CL$2))))))))</f>
        <v>0</v>
      </c>
      <c r="CM135" s="88">
        <f>MAX(AW135,($E135*IF(CM$2&gt;Inputs!$D$5,0,IF(CM$2&gt;VLOOKUP($H135,Lists!$P$3:$Q$7,2),IF($N135=Lists!$K$3,IF($L135&lt;1,(($U135/$L135)*((1+Inputs!$D$7)^CM$2)),((INT(CM$2/$L135)-INT((CM$2-1)/$L135))*$U135*((1+Inputs!$D$7)^CM$2))),(Inputs!$D$8^((1-_xlfn.WEIBULL.DIST(CM$2,$M135,$L135,FALSE))/_xlfn.WEIBULL.DIST(CM$2,$M135,$L135,FALSE))*$U135*((1+Inputs!$D$7)^CM$2))),IF($N135=Lists!$K$3,IF($L135&lt;1,((($T135*(1-$F135)+$S135*(1-$G135))/$L135)*((1+Inputs!$D$7)^CM$2)),((INT(CM$2/$L135)-INT((CM$2-1)/$L135))*($T135*(1-$F135)+$S135*(1-$G135))*((1+Inputs!$D$7)^CM$2))),((Inputs!$D$8^((1-_xlfn.WEIBULL.DIST(CM$2,$M135,$L135,FALSE))/_xlfn.WEIBULL.DIST(CM$2,$M135,$L135,FALSE))*($T135*(1-$F135)+$S135*(1-$G135))*((1+Inputs!$D$7)^CM$2))))))))</f>
        <v>0</v>
      </c>
      <c r="CN135" s="88">
        <f>MAX(AX135,($E135*IF(CN$2&gt;Inputs!$D$5,0,IF(CN$2&gt;VLOOKUP($H135,Lists!$P$3:$Q$7,2),IF($N135=Lists!$K$3,IF($L135&lt;1,(($U135/$L135)*((1+Inputs!$D$7)^CN$2)),((INT(CN$2/$L135)-INT((CN$2-1)/$L135))*$U135*((1+Inputs!$D$7)^CN$2))),(Inputs!$D$8^((1-_xlfn.WEIBULL.DIST(CN$2,$M135,$L135,FALSE))/_xlfn.WEIBULL.DIST(CN$2,$M135,$L135,FALSE))*$U135*((1+Inputs!$D$7)^CN$2))),IF($N135=Lists!$K$3,IF($L135&lt;1,((($T135*(1-$F135)+$S135*(1-$G135))/$L135)*((1+Inputs!$D$7)^CN$2)),((INT(CN$2/$L135)-INT((CN$2-1)/$L135))*($T135*(1-$F135)+$S135*(1-$G135))*((1+Inputs!$D$7)^CN$2))),((Inputs!$D$8^((1-_xlfn.WEIBULL.DIST(CN$2,$M135,$L135,FALSE))/_xlfn.WEIBULL.DIST(CN$2,$M135,$L135,FALSE))*($T135*(1-$F135)+$S135*(1-$G135))*((1+Inputs!$D$7)^CN$2))))))))</f>
        <v>0</v>
      </c>
      <c r="CO135" s="88">
        <f>MAX(AY135,($E135*IF(CO$2&gt;Inputs!$D$5,0,IF(CO$2&gt;VLOOKUP($H135,Lists!$P$3:$Q$7,2),IF($N135=Lists!$K$3,IF($L135&lt;1,(($U135/$L135)*((1+Inputs!$D$7)^CO$2)),((INT(CO$2/$L135)-INT((CO$2-1)/$L135))*$U135*((1+Inputs!$D$7)^CO$2))),(Inputs!$D$8^((1-_xlfn.WEIBULL.DIST(CO$2,$M135,$L135,FALSE))/_xlfn.WEIBULL.DIST(CO$2,$M135,$L135,FALSE))*$U135*((1+Inputs!$D$7)^CO$2))),IF($N135=Lists!$K$3,IF($L135&lt;1,((($T135*(1-$F135)+$S135*(1-$G135))/$L135)*((1+Inputs!$D$7)^CO$2)),((INT(CO$2/$L135)-INT((CO$2-1)/$L135))*($T135*(1-$F135)+$S135*(1-$G135))*((1+Inputs!$D$7)^CO$2))),((Inputs!$D$8^((1-_xlfn.WEIBULL.DIST(CO$2,$M135,$L135,FALSE))/_xlfn.WEIBULL.DIST(CO$2,$M135,$L135,FALSE))*($T135*(1-$F135)+$S135*(1-$G135))*((1+Inputs!$D$7)^CO$2))))))))</f>
        <v>0</v>
      </c>
      <c r="CP135" s="88">
        <f>MAX(AZ135,($E135*IF(CP$2&gt;Inputs!$D$5,0,IF(CP$2&gt;VLOOKUP($H135,Lists!$P$3:$Q$7,2),IF($N135=Lists!$K$3,IF($L135&lt;1,(($U135/$L135)*((1+Inputs!$D$7)^CP$2)),((INT(CP$2/$L135)-INT((CP$2-1)/$L135))*$U135*((1+Inputs!$D$7)^CP$2))),(Inputs!$D$8^((1-_xlfn.WEIBULL.DIST(CP$2,$M135,$L135,FALSE))/_xlfn.WEIBULL.DIST(CP$2,$M135,$L135,FALSE))*$U135*((1+Inputs!$D$7)^CP$2))),IF($N135=Lists!$K$3,IF($L135&lt;1,((($T135*(1-$F135)+$S135*(1-$G135))/$L135)*((1+Inputs!$D$7)^CP$2)),((INT(CP$2/$L135)-INT((CP$2-1)/$L135))*($T135*(1-$F135)+$S135*(1-$G135))*((1+Inputs!$D$7)^CP$2))),((Inputs!$D$8^((1-_xlfn.WEIBULL.DIST(CP$2,$M135,$L135,FALSE))/_xlfn.WEIBULL.DIST(CP$2,$M135,$L135,FALSE))*($T135*(1-$F135)+$S135*(1-$G135))*((1+Inputs!$D$7)^CP$2))))))))</f>
        <v>0</v>
      </c>
      <c r="CQ135" s="88">
        <f>MAX(BA135,($E135*IF(CQ$2&gt;Inputs!$D$5,0,IF(CQ$2&gt;VLOOKUP($H135,Lists!$P$3:$Q$7,2),IF($N135=Lists!$K$3,IF($L135&lt;1,(($U135/$L135)*((1+Inputs!$D$7)^CQ$2)),((INT(CQ$2/$L135)-INT((CQ$2-1)/$L135))*$U135*((1+Inputs!$D$7)^CQ$2))),(Inputs!$D$8^((1-_xlfn.WEIBULL.DIST(CQ$2,$M135,$L135,FALSE))/_xlfn.WEIBULL.DIST(CQ$2,$M135,$L135,FALSE))*$U135*((1+Inputs!$D$7)^CQ$2))),IF($N135=Lists!$K$3,IF($L135&lt;1,((($T135*(1-$F135)+$S135*(1-$G135))/$L135)*((1+Inputs!$D$7)^CQ$2)),((INT(CQ$2/$L135)-INT((CQ$2-1)/$L135))*($T135*(1-$F135)+$S135*(1-$G135))*((1+Inputs!$D$7)^CQ$2))),((Inputs!$D$8^((1-_xlfn.WEIBULL.DIST(CQ$2,$M135,$L135,FALSE))/_xlfn.WEIBULL.DIST(CQ$2,$M135,$L135,FALSE))*($T135*(1-$F135)+$S135*(1-$G135))*((1+Inputs!$D$7)^CQ$2))))))))</f>
        <v>0</v>
      </c>
      <c r="CR135" s="88">
        <f>MAX(BB135,($E135*IF(CR$2&gt;Inputs!$D$5,0,IF(CR$2&gt;VLOOKUP($H135,Lists!$P$3:$Q$7,2),IF($N135=Lists!$K$3,IF($L135&lt;1,(($U135/$L135)*((1+Inputs!$D$7)^CR$2)),((INT(CR$2/$L135)-INT((CR$2-1)/$L135))*$U135*((1+Inputs!$D$7)^CR$2))),(Inputs!$D$8^((1-_xlfn.WEIBULL.DIST(CR$2,$M135,$L135,FALSE))/_xlfn.WEIBULL.DIST(CR$2,$M135,$L135,FALSE))*$U135*((1+Inputs!$D$7)^CR$2))),IF($N135=Lists!$K$3,IF($L135&lt;1,((($T135*(1-$F135)+$S135*(1-$G135))/$L135)*((1+Inputs!$D$7)^CR$2)),((INT(CR$2/$L135)-INT((CR$2-1)/$L135))*($T135*(1-$F135)+$S135*(1-$G135))*((1+Inputs!$D$7)^CR$2))),((Inputs!$D$8^((1-_xlfn.WEIBULL.DIST(CR$2,$M135,$L135,FALSE))/_xlfn.WEIBULL.DIST(CR$2,$M135,$L135,FALSE))*($T135*(1-$F135)+$S135*(1-$G135))*((1+Inputs!$D$7)^CR$2))))))))</f>
        <v>0</v>
      </c>
      <c r="CS135" s="88">
        <f>MAX(BC135,($E135*IF(CS$2&gt;Inputs!$D$5,0,IF(CS$2&gt;VLOOKUP($H135,Lists!$P$3:$Q$7,2),IF($N135=Lists!$K$3,IF($L135&lt;1,(($U135/$L135)*((1+Inputs!$D$7)^CS$2)),((INT(CS$2/$L135)-INT((CS$2-1)/$L135))*$U135*((1+Inputs!$D$7)^CS$2))),(Inputs!$D$8^((1-_xlfn.WEIBULL.DIST(CS$2,$M135,$L135,FALSE))/_xlfn.WEIBULL.DIST(CS$2,$M135,$L135,FALSE))*$U135*((1+Inputs!$D$7)^CS$2))),IF($N135=Lists!$K$3,IF($L135&lt;1,((($T135*(1-$F135)+$S135*(1-$G135))/$L135)*((1+Inputs!$D$7)^CS$2)),((INT(CS$2/$L135)-INT((CS$2-1)/$L135))*($T135*(1-$F135)+$S135*(1-$G135))*((1+Inputs!$D$7)^CS$2))),((Inputs!$D$8^((1-_xlfn.WEIBULL.DIST(CS$2,$M135,$L135,FALSE))/_xlfn.WEIBULL.DIST(CS$2,$M135,$L135,FALSE))*($T135*(1-$F135)+$S135*(1-$G135))*((1+Inputs!$D$7)^CS$2))))))))</f>
        <v>0</v>
      </c>
      <c r="CT135" s="88">
        <f>MAX(BD135,($E135*IF(CT$2&gt;Inputs!$D$5,0,IF(CT$2&gt;VLOOKUP($H135,Lists!$P$3:$Q$7,2),IF($N135=Lists!$K$3,IF($L135&lt;1,(($U135/$L135)*((1+Inputs!$D$7)^CT$2)),((INT(CT$2/$L135)-INT((CT$2-1)/$L135))*$U135*((1+Inputs!$D$7)^CT$2))),(Inputs!$D$8^((1-_xlfn.WEIBULL.DIST(CT$2,$M135,$L135,FALSE))/_xlfn.WEIBULL.DIST(CT$2,$M135,$L135,FALSE))*$U135*((1+Inputs!$D$7)^CT$2))),IF($N135=Lists!$K$3,IF($L135&lt;1,((($T135*(1-$F135)+$S135*(1-$G135))/$L135)*((1+Inputs!$D$7)^CT$2)),((INT(CT$2/$L135)-INT((CT$2-1)/$L135))*($T135*(1-$F135)+$S135*(1-$G135))*((1+Inputs!$D$7)^CT$2))),((Inputs!$D$8^((1-_xlfn.WEIBULL.DIST(CT$2,$M135,$L135,FALSE))/_xlfn.WEIBULL.DIST(CT$2,$M135,$L135,FALSE))*($T135*(1-$F135)+$S135*(1-$G135))*((1+Inputs!$D$7)^CT$2))))))))</f>
        <v>0</v>
      </c>
      <c r="CU135" s="88">
        <f>MAX(BE135,($E135*IF(CU$2&gt;Inputs!$D$5,0,IF(CU$2&gt;VLOOKUP($H135,Lists!$P$3:$Q$7,2),IF($N135=Lists!$K$3,IF($L135&lt;1,(($U135/$L135)*((1+Inputs!$D$7)^CU$2)),((INT(CU$2/$L135)-INT((CU$2-1)/$L135))*$U135*((1+Inputs!$D$7)^CU$2))),(Inputs!$D$8^((1-_xlfn.WEIBULL.DIST(CU$2,$M135,$L135,FALSE))/_xlfn.WEIBULL.DIST(CU$2,$M135,$L135,FALSE))*$U135*((1+Inputs!$D$7)^CU$2))),IF($N135=Lists!$K$3,IF($L135&lt;1,((($T135*(1-$F135)+$S135*(1-$G135))/$L135)*((1+Inputs!$D$7)^CU$2)),((INT(CU$2/$L135)-INT((CU$2-1)/$L135))*($T135*(1-$F135)+$S135*(1-$G135))*((1+Inputs!$D$7)^CU$2))),((Inputs!$D$8^((1-_xlfn.WEIBULL.DIST(CU$2,$M135,$L135,FALSE))/_xlfn.WEIBULL.DIST(CU$2,$M135,$L135,FALSE))*($T135*(1-$F135)+$S135*(1-$G135))*((1+Inputs!$D$7)^CU$2))))))))</f>
        <v>0</v>
      </c>
      <c r="CV135" s="88">
        <f>MAX(BF135,($E135*IF(CV$2&gt;Inputs!$D$5,0,IF(CV$2&gt;VLOOKUP($H135,Lists!$P$3:$Q$7,2),IF($N135=Lists!$K$3,IF($L135&lt;1,(($U135/$L135)*((1+Inputs!$D$7)^CV$2)),((INT(CV$2/$L135)-INT((CV$2-1)/$L135))*$U135*((1+Inputs!$D$7)^CV$2))),(Inputs!$D$8^((1-_xlfn.WEIBULL.DIST(CV$2,$M135,$L135,FALSE))/_xlfn.WEIBULL.DIST(CV$2,$M135,$L135,FALSE))*$U135*((1+Inputs!$D$7)^CV$2))),IF($N135=Lists!$K$3,IF($L135&lt;1,((($T135*(1-$F135)+$S135*(1-$G135))/$L135)*((1+Inputs!$D$7)^CV$2)),((INT(CV$2/$L135)-INT((CV$2-1)/$L135))*($T135*(1-$F135)+$S135*(1-$G135))*((1+Inputs!$D$7)^CV$2))),((Inputs!$D$8^((1-_xlfn.WEIBULL.DIST(CV$2,$M135,$L135,FALSE))/_xlfn.WEIBULL.DIST(CV$2,$M135,$L135,FALSE))*($T135*(1-$F135)+$S135*(1-$G135))*((1+Inputs!$D$7)^CV$2))))))))</f>
        <v>0</v>
      </c>
      <c r="CW135" s="88">
        <f>MAX(BG135,($E135*IF(CW$2&gt;Inputs!$D$5,0,IF(CW$2&gt;VLOOKUP($H135,Lists!$P$3:$Q$7,2),IF($N135=Lists!$K$3,IF($L135&lt;1,(($U135/$L135)*((1+Inputs!$D$7)^CW$2)),((INT(CW$2/$L135)-INT((CW$2-1)/$L135))*$U135*((1+Inputs!$D$7)^CW$2))),(Inputs!$D$8^((1-_xlfn.WEIBULL.DIST(CW$2,$M135,$L135,FALSE))/_xlfn.WEIBULL.DIST(CW$2,$M135,$L135,FALSE))*$U135*((1+Inputs!$D$7)^CW$2))),IF($N135=Lists!$K$3,IF($L135&lt;1,((($T135*(1-$F135)+$S135*(1-$G135))/$L135)*((1+Inputs!$D$7)^CW$2)),((INT(CW$2/$L135)-INT((CW$2-1)/$L135))*($T135*(1-$F135)+$S135*(1-$G135))*((1+Inputs!$D$7)^CW$2))),((Inputs!$D$8^((1-_xlfn.WEIBULL.DIST(CW$2,$M135,$L135,FALSE))/_xlfn.WEIBULL.DIST(CW$2,$M135,$L135,FALSE))*($T135*(1-$F135)+$S135*(1-$G135))*((1+Inputs!$D$7)^CW$2))))))))</f>
        <v>0</v>
      </c>
      <c r="CX135" s="88">
        <f>MAX(BH135,($E135*IF(CX$2&gt;Inputs!$D$5,0,IF(CX$2&gt;VLOOKUP($H135,Lists!$P$3:$Q$7,2),IF($N135=Lists!$K$3,IF($L135&lt;1,(($U135/$L135)*((1+Inputs!$D$7)^CX$2)),((INT(CX$2/$L135)-INT((CX$2-1)/$L135))*$U135*((1+Inputs!$D$7)^CX$2))),(Inputs!$D$8^((1-_xlfn.WEIBULL.DIST(CX$2,$M135,$L135,FALSE))/_xlfn.WEIBULL.DIST(CX$2,$M135,$L135,FALSE))*$U135*((1+Inputs!$D$7)^CX$2))),IF($N135=Lists!$K$3,IF($L135&lt;1,((($T135*(1-$F135)+$S135*(1-$G135))/$L135)*((1+Inputs!$D$7)^CX$2)),((INT(CX$2/$L135)-INT((CX$2-1)/$L135))*($T135*(1-$F135)+$S135*(1-$G135))*((1+Inputs!$D$7)^CX$2))),((Inputs!$D$8^((1-_xlfn.WEIBULL.DIST(CX$2,$M135,$L135,FALSE))/_xlfn.WEIBULL.DIST(CX$2,$M135,$L135,FALSE))*($T135*(1-$F135)+$S135*(1-$G135))*((1+Inputs!$D$7)^CX$2))))))))</f>
        <v>0</v>
      </c>
      <c r="CY135" s="88">
        <f>MAX(BI135,($E135*IF(CY$2&gt;Inputs!$D$5,0,IF(CY$2&gt;VLOOKUP($H135,Lists!$P$3:$Q$7,2),IF($N135=Lists!$K$3,IF($L135&lt;1,(($U135/$L135)*((1+Inputs!$D$7)^CY$2)),((INT(CY$2/$L135)-INT((CY$2-1)/$L135))*$U135*((1+Inputs!$D$7)^CY$2))),(Inputs!$D$8^((1-_xlfn.WEIBULL.DIST(CY$2,$M135,$L135,FALSE))/_xlfn.WEIBULL.DIST(CY$2,$M135,$L135,FALSE))*$U135*((1+Inputs!$D$7)^CY$2))),IF($N135=Lists!$K$3,IF($L135&lt;1,((($T135*(1-$F135)+$S135*(1-$G135))/$L135)*((1+Inputs!$D$7)^CY$2)),((INT(CY$2/$L135)-INT((CY$2-1)/$L135))*($T135*(1-$F135)+$S135*(1-$G135))*((1+Inputs!$D$7)^CY$2))),((Inputs!$D$8^((1-_xlfn.WEIBULL.DIST(CY$2,$M135,$L135,FALSE))/_xlfn.WEIBULL.DIST(CY$2,$M135,$L135,FALSE))*($T135*(1-$F135)+$S135*(1-$G135))*((1+Inputs!$D$7)^CY$2))))))))</f>
        <v>0</v>
      </c>
      <c r="CZ135" s="88">
        <f>MAX(BJ135,($E135*IF(CZ$2&gt;Inputs!$D$5,0,IF(CZ$2&gt;VLOOKUP($H135,Lists!$P$3:$Q$7,2),IF($N135=Lists!$K$3,IF($L135&lt;1,(($U135/$L135)*((1+Inputs!$D$7)^CZ$2)),((INT(CZ$2/$L135)-INT((CZ$2-1)/$L135))*$U135*((1+Inputs!$D$7)^CZ$2))),(Inputs!$D$8^((1-_xlfn.WEIBULL.DIST(CZ$2,$M135,$L135,FALSE))/_xlfn.WEIBULL.DIST(CZ$2,$M135,$L135,FALSE))*$U135*((1+Inputs!$D$7)^CZ$2))),IF($N135=Lists!$K$3,IF($L135&lt;1,((($T135*(1-$F135)+$S135*(1-$G135))/$L135)*((1+Inputs!$D$7)^CZ$2)),((INT(CZ$2/$L135)-INT((CZ$2-1)/$L135))*($T135*(1-$F135)+$S135*(1-$G135))*((1+Inputs!$D$7)^CZ$2))),((Inputs!$D$8^((1-_xlfn.WEIBULL.DIST(CZ$2,$M135,$L135,FALSE))/_xlfn.WEIBULL.DIST(CZ$2,$M135,$L135,FALSE))*($T135*(1-$F135)+$S135*(1-$G135))*((1+Inputs!$D$7)^CZ$2))))))))</f>
        <v>0</v>
      </c>
      <c r="DA135" s="88">
        <f>MAX(BK135,($E135*IF(DA$2&gt;Inputs!$D$5,0,IF(DA$2&gt;VLOOKUP($H135,Lists!$P$3:$Q$7,2),IF($N135=Lists!$K$3,IF($L135&lt;1,(($U135/$L135)*((1+Inputs!$D$7)^DA$2)),((INT(DA$2/$L135)-INT((DA$2-1)/$L135))*$U135*((1+Inputs!$D$7)^DA$2))),(Inputs!$D$8^((1-_xlfn.WEIBULL.DIST(DA$2,$M135,$L135,FALSE))/_xlfn.WEIBULL.DIST(DA$2,$M135,$L135,FALSE))*$U135*((1+Inputs!$D$7)^DA$2))),IF($N135=Lists!$K$3,IF($L135&lt;1,((($T135*(1-$F135)+$S135*(1-$G135))/$L135)*((1+Inputs!$D$7)^DA$2)),((INT(DA$2/$L135)-INT((DA$2-1)/$L135))*($T135*(1-$F135)+$S135*(1-$G135))*((1+Inputs!$D$7)^DA$2))),((Inputs!$D$8^((1-_xlfn.WEIBULL.DIST(DA$2,$M135,$L135,FALSE))/_xlfn.WEIBULL.DIST(DA$2,$M135,$L135,FALSE))*($T135*(1-$F135)+$S135*(1-$G135))*((1+Inputs!$D$7)^DA$2))))))))</f>
        <v>0</v>
      </c>
      <c r="DB135" s="88">
        <f>MAX(BL135,($E135*IF(DB$2&gt;Inputs!$D$5,0,IF(DB$2&gt;VLOOKUP($H135,Lists!$P$3:$Q$7,2),IF($N135=Lists!$K$3,IF($L135&lt;1,(($U135/$L135)*((1+Inputs!$D$7)^DB$2)),((INT(DB$2/$L135)-INT((DB$2-1)/$L135))*$U135*((1+Inputs!$D$7)^DB$2))),(Inputs!$D$8^((1-_xlfn.WEIBULL.DIST(DB$2,$M135,$L135,FALSE))/_xlfn.WEIBULL.DIST(DB$2,$M135,$L135,FALSE))*$U135*((1+Inputs!$D$7)^DB$2))),IF($N135=Lists!$K$3,IF($L135&lt;1,((($T135*(1-$F135)+$S135*(1-$G135))/$L135)*((1+Inputs!$D$7)^DB$2)),((INT(DB$2/$L135)-INT((DB$2-1)/$L135))*($T135*(1-$F135)+$S135*(1-$G135))*((1+Inputs!$D$7)^DB$2))),((Inputs!$D$8^((1-_xlfn.WEIBULL.DIST(DB$2,$M135,$L135,FALSE))/_xlfn.WEIBULL.DIST(DB$2,$M135,$L135,FALSE))*($T135*(1-$F135)+$S135*(1-$G135))*((1+Inputs!$D$7)^DB$2))))))))</f>
        <v>0</v>
      </c>
      <c r="DC135" s="88">
        <f>MAX(BM135,($E135*IF(DC$2&gt;Inputs!$D$5,0,IF(DC$2&gt;VLOOKUP($H135,Lists!$P$3:$Q$7,2),IF($N135=Lists!$K$3,IF($L135&lt;1,(($U135/$L135)*((1+Inputs!$D$7)^DC$2)),((INT(DC$2/$L135)-INT((DC$2-1)/$L135))*$U135*((1+Inputs!$D$7)^DC$2))),(Inputs!$D$8^((1-_xlfn.WEIBULL.DIST(DC$2,$M135,$L135,FALSE))/_xlfn.WEIBULL.DIST(DC$2,$M135,$L135,FALSE))*$U135*((1+Inputs!$D$7)^DC$2))),IF($N135=Lists!$K$3,IF($L135&lt;1,((($T135*(1-$F135)+$S135*(1-$G135))/$L135)*((1+Inputs!$D$7)^DC$2)),((INT(DC$2/$L135)-INT((DC$2-1)/$L135))*($T135*(1-$F135)+$S135*(1-$G135))*((1+Inputs!$D$7)^DC$2))),((Inputs!$D$8^((1-_xlfn.WEIBULL.DIST(DC$2,$M135,$L135,FALSE))/_xlfn.WEIBULL.DIST(DC$2,$M135,$L135,FALSE))*($T135*(1-$F135)+$S135*(1-$G135))*((1+Inputs!$D$7)^DC$2))))))))</f>
        <v>0</v>
      </c>
      <c r="DD135" s="88">
        <f>MAX(BN135,($E135*IF(DD$2&gt;Inputs!$D$5,0,IF(DD$2&gt;VLOOKUP($H135,Lists!$P$3:$Q$7,2),IF($N135=Lists!$K$3,IF($L135&lt;1,(($U135/$L135)*((1+Inputs!$D$7)^DD$2)),((INT(DD$2/$L135)-INT((DD$2-1)/$L135))*$U135*((1+Inputs!$D$7)^DD$2))),(Inputs!$D$8^((1-_xlfn.WEIBULL.DIST(DD$2,$M135,$L135,FALSE))/_xlfn.WEIBULL.DIST(DD$2,$M135,$L135,FALSE))*$U135*((1+Inputs!$D$7)^DD$2))),IF($N135=Lists!$K$3,IF($L135&lt;1,((($T135*(1-$F135)+$S135*(1-$G135))/$L135)*((1+Inputs!$D$7)^DD$2)),((INT(DD$2/$L135)-INT((DD$2-1)/$L135))*($T135*(1-$F135)+$S135*(1-$G135))*((1+Inputs!$D$7)^DD$2))),((Inputs!$D$8^((1-_xlfn.WEIBULL.DIST(DD$2,$M135,$L135,FALSE))/_xlfn.WEIBULL.DIST(DD$2,$M135,$L135,FALSE))*($T135*(1-$F135)+$S135*(1-$G135))*((1+Inputs!$D$7)^DD$2))))))))</f>
        <v>0</v>
      </c>
    </row>
    <row r="136" spans="1:108" ht="16">
      <c r="A136" s="57" t="s">
        <v>144</v>
      </c>
      <c r="B136" s="13" t="s">
        <v>279</v>
      </c>
      <c r="C136" s="13" t="s">
        <v>90</v>
      </c>
      <c r="D136" s="13" t="s">
        <v>17</v>
      </c>
      <c r="E136" s="48">
        <f>IF(Inputs!$D$41=Lists!$I$4,0,1)</f>
        <v>1</v>
      </c>
      <c r="F136" s="48">
        <v>0</v>
      </c>
      <c r="G136" s="48">
        <v>0</v>
      </c>
      <c r="H136" s="105" t="s">
        <v>350</v>
      </c>
      <c r="I136" s="14"/>
      <c r="J136" s="14" t="s">
        <v>87</v>
      </c>
      <c r="K136" s="13">
        <f>VLOOKUP(J136,'Labor Rates'!$A$1:$F$16,2)</f>
        <v>32.012019230769226</v>
      </c>
      <c r="L136" s="15">
        <v>1</v>
      </c>
      <c r="M136" s="15">
        <v>1</v>
      </c>
      <c r="N136" s="13" t="s">
        <v>236</v>
      </c>
      <c r="O136" s="61">
        <f>Inputs!$D$34</f>
        <v>10</v>
      </c>
      <c r="P136" s="15">
        <v>0.25</v>
      </c>
      <c r="Q136" s="15">
        <f t="shared" si="28"/>
        <v>2.5</v>
      </c>
      <c r="R136" s="4">
        <v>0</v>
      </c>
      <c r="S136" s="53">
        <f t="shared" si="29"/>
        <v>80.030048076923066</v>
      </c>
      <c r="T136" s="53">
        <f t="shared" si="30"/>
        <v>0</v>
      </c>
      <c r="U136" s="54">
        <f t="shared" si="31"/>
        <v>80.030048076923066</v>
      </c>
      <c r="V136" s="65"/>
      <c r="W136" s="58"/>
      <c r="X136" s="64">
        <f t="shared" si="32"/>
        <v>99.170503330658335</v>
      </c>
      <c r="Y136" s="64">
        <f>NPV(Inputs!$D$6,AA136:BN136)</f>
        <v>1139.1062308024013</v>
      </c>
      <c r="Z136" s="67">
        <f t="shared" si="33"/>
        <v>5.3725811041900021E-4</v>
      </c>
      <c r="AA136" s="88">
        <f>$E136*IF(AA$2&gt;Inputs!$D$5,0,IF(AA$2&gt;VLOOKUP($H136,Lists!$P$3:$Q$7,2),IF($N136=Lists!$K$3,IF($L136&lt;1,(($U136/$L136)*((1+Inputs!$D$7)^AA$2)),((INT(AA$2/$L136)-INT((AA$2-1)/$L136))*$U136*((1+Inputs!$D$7)^AA$2))),(_xlfn.WEIBULL.DIST(AA$2,$M136,$L136,FALSE)*$U136*((1+Inputs!$D$7)^AA$2))),IF($N136=Lists!$K$3,IF($L136&lt;1,((($T136*(1-$F136)+$S136*(1-$G136))/$L136)*((1+Inputs!$D$7)^AA$2)),((INT(AA$2/$L136)-INT((AA$2-1)/$L136))*($T136*(1-$F136)+$S136*(1-$G136))*((1+Inputs!$D$7)^AA$2))),((_xlfn.WEIBULL.DIST(AA$2,$M136,$L136,FALSE)*($T136*(1-$F136)+$S136*(1-$G136))*((1+Inputs!$D$7)^AA$2))))))</f>
        <v>81.630649038461527</v>
      </c>
      <c r="AB136" s="88">
        <f>$E136*IF(AB$2&gt;Inputs!$D$5,0,IF(AB$2&gt;VLOOKUP($H136,Lists!$P$3:$Q$7,2),IF($N136=Lists!$K$3,IF($L136&lt;1,(($U136/$L136)*((1+Inputs!$D$7)^AB$2)),((INT(AB$2/$L136)-INT((AB$2-1)/$L136))*$U136*((1+Inputs!$D$7)^AB$2))),(_xlfn.WEIBULL.DIST(AB$2,$M136,$L136,FALSE)*$U136*((1+Inputs!$D$7)^AB$2))),IF($N136=Lists!$K$3,IF($L136&lt;1,((($T136*(1-$F136)+$S136*(1-$G136))/$L136)*((1+Inputs!$D$7)^AB$2)),((INT(AB$2/$L136)-INT((AB$2-1)/$L136))*($T136*(1-$F136)+$S136*(1-$G136))*((1+Inputs!$D$7)^AB$2))),((_xlfn.WEIBULL.DIST(AB$2,$M136,$L136,FALSE)*($T136*(1-$F136)+$S136*(1-$G136))*((1+Inputs!$D$7)^AB$2))))))</f>
        <v>83.263262019230751</v>
      </c>
      <c r="AC136" s="88">
        <f>$E136*IF(AC$2&gt;Inputs!$D$5,0,IF(AC$2&gt;VLOOKUP($H136,Lists!$P$3:$Q$7,2),IF($N136=Lists!$K$3,IF($L136&lt;1,(($U136/$L136)*((1+Inputs!$D$7)^AC$2)),((INT(AC$2/$L136)-INT((AC$2-1)/$L136))*$U136*((1+Inputs!$D$7)^AC$2))),(_xlfn.WEIBULL.DIST(AC$2,$M136,$L136,FALSE)*$U136*((1+Inputs!$D$7)^AC$2))),IF($N136=Lists!$K$3,IF($L136&lt;1,((($T136*(1-$F136)+$S136*(1-$G136))/$L136)*((1+Inputs!$D$7)^AC$2)),((INT(AC$2/$L136)-INT((AC$2-1)/$L136))*($T136*(1-$F136)+$S136*(1-$G136))*((1+Inputs!$D$7)^AC$2))),((_xlfn.WEIBULL.DIST(AC$2,$M136,$L136,FALSE)*($T136*(1-$F136)+$S136*(1-$G136))*((1+Inputs!$D$7)^AC$2))))))</f>
        <v>84.928527259615365</v>
      </c>
      <c r="AD136" s="88">
        <f>$E136*IF(AD$2&gt;Inputs!$D$5,0,IF(AD$2&gt;VLOOKUP($H136,Lists!$P$3:$Q$7,2),IF($N136=Lists!$K$3,IF($L136&lt;1,(($U136/$L136)*((1+Inputs!$D$7)^AD$2)),((INT(AD$2/$L136)-INT((AD$2-1)/$L136))*$U136*((1+Inputs!$D$7)^AD$2))),(_xlfn.WEIBULL.DIST(AD$2,$M136,$L136,FALSE)*$U136*((1+Inputs!$D$7)^AD$2))),IF($N136=Lists!$K$3,IF($L136&lt;1,((($T136*(1-$F136)+$S136*(1-$G136))/$L136)*((1+Inputs!$D$7)^AD$2)),((INT(AD$2/$L136)-INT((AD$2-1)/$L136))*($T136*(1-$F136)+$S136*(1-$G136))*((1+Inputs!$D$7)^AD$2))),((_xlfn.WEIBULL.DIST(AD$2,$M136,$L136,FALSE)*($T136*(1-$F136)+$S136*(1-$G136))*((1+Inputs!$D$7)^AD$2))))))</f>
        <v>86.627097804807676</v>
      </c>
      <c r="AE136" s="88">
        <f>$E136*IF(AE$2&gt;Inputs!$D$5,0,IF(AE$2&gt;VLOOKUP($H136,Lists!$P$3:$Q$7,2),IF($N136=Lists!$K$3,IF($L136&lt;1,(($U136/$L136)*((1+Inputs!$D$7)^AE$2)),((INT(AE$2/$L136)-INT((AE$2-1)/$L136))*$U136*((1+Inputs!$D$7)^AE$2))),(_xlfn.WEIBULL.DIST(AE$2,$M136,$L136,FALSE)*$U136*((1+Inputs!$D$7)^AE$2))),IF($N136=Lists!$K$3,IF($L136&lt;1,((($T136*(1-$F136)+$S136*(1-$G136))/$L136)*((1+Inputs!$D$7)^AE$2)),((INT(AE$2/$L136)-INT((AE$2-1)/$L136))*($T136*(1-$F136)+$S136*(1-$G136))*((1+Inputs!$D$7)^AE$2))),((_xlfn.WEIBULL.DIST(AE$2,$M136,$L136,FALSE)*($T136*(1-$F136)+$S136*(1-$G136))*((1+Inputs!$D$7)^AE$2))))))</f>
        <v>88.359639760903832</v>
      </c>
      <c r="AF136" s="88">
        <f>$E136*IF(AF$2&gt;Inputs!$D$5,0,IF(AF$2&gt;VLOOKUP($H136,Lists!$P$3:$Q$7,2),IF($N136=Lists!$K$3,IF($L136&lt;1,(($U136/$L136)*((1+Inputs!$D$7)^AF$2)),((INT(AF$2/$L136)-INT((AF$2-1)/$L136))*$U136*((1+Inputs!$D$7)^AF$2))),(_xlfn.WEIBULL.DIST(AF$2,$M136,$L136,FALSE)*$U136*((1+Inputs!$D$7)^AF$2))),IF($N136=Lists!$K$3,IF($L136&lt;1,((($T136*(1-$F136)+$S136*(1-$G136))/$L136)*((1+Inputs!$D$7)^AF$2)),((INT(AF$2/$L136)-INT((AF$2-1)/$L136))*($T136*(1-$F136)+$S136*(1-$G136))*((1+Inputs!$D$7)^AF$2))),((_xlfn.WEIBULL.DIST(AF$2,$M136,$L136,FALSE)*($T136*(1-$F136)+$S136*(1-$G136))*((1+Inputs!$D$7)^AF$2))))))</f>
        <v>90.126832556121911</v>
      </c>
      <c r="AG136" s="88">
        <f>$E136*IF(AG$2&gt;Inputs!$D$5,0,IF(AG$2&gt;VLOOKUP($H136,Lists!$P$3:$Q$7,2),IF($N136=Lists!$K$3,IF($L136&lt;1,(($U136/$L136)*((1+Inputs!$D$7)^AG$2)),((INT(AG$2/$L136)-INT((AG$2-1)/$L136))*$U136*((1+Inputs!$D$7)^AG$2))),(_xlfn.WEIBULL.DIST(AG$2,$M136,$L136,FALSE)*$U136*((1+Inputs!$D$7)^AG$2))),IF($N136=Lists!$K$3,IF($L136&lt;1,((($T136*(1-$F136)+$S136*(1-$G136))/$L136)*((1+Inputs!$D$7)^AG$2)),((INT(AG$2/$L136)-INT((AG$2-1)/$L136))*($T136*(1-$F136)+$S136*(1-$G136))*((1+Inputs!$D$7)^AG$2))),((_xlfn.WEIBULL.DIST(AG$2,$M136,$L136,FALSE)*($T136*(1-$F136)+$S136*(1-$G136))*((1+Inputs!$D$7)^AG$2))))))</f>
        <v>91.929369207244335</v>
      </c>
      <c r="AH136" s="88">
        <f>$E136*IF(AH$2&gt;Inputs!$D$5,0,IF(AH$2&gt;VLOOKUP($H136,Lists!$P$3:$Q$7,2),IF($N136=Lists!$K$3,IF($L136&lt;1,(($U136/$L136)*((1+Inputs!$D$7)^AH$2)),((INT(AH$2/$L136)-INT((AH$2-1)/$L136))*$U136*((1+Inputs!$D$7)^AH$2))),(_xlfn.WEIBULL.DIST(AH$2,$M136,$L136,FALSE)*$U136*((1+Inputs!$D$7)^AH$2))),IF($N136=Lists!$K$3,IF($L136&lt;1,((($T136*(1-$F136)+$S136*(1-$G136))/$L136)*((1+Inputs!$D$7)^AH$2)),((INT(AH$2/$L136)-INT((AH$2-1)/$L136))*($T136*(1-$F136)+$S136*(1-$G136))*((1+Inputs!$D$7)^AH$2))),((_xlfn.WEIBULL.DIST(AH$2,$M136,$L136,FALSE)*($T136*(1-$F136)+$S136*(1-$G136))*((1+Inputs!$D$7)^AH$2))))))</f>
        <v>93.767956591389236</v>
      </c>
      <c r="AI136" s="88">
        <f>$E136*IF(AI$2&gt;Inputs!$D$5,0,IF(AI$2&gt;VLOOKUP($H136,Lists!$P$3:$Q$7,2),IF($N136=Lists!$K$3,IF($L136&lt;1,(($U136/$L136)*((1+Inputs!$D$7)^AI$2)),((INT(AI$2/$L136)-INT((AI$2-1)/$L136))*$U136*((1+Inputs!$D$7)^AI$2))),(_xlfn.WEIBULL.DIST(AI$2,$M136,$L136,FALSE)*$U136*((1+Inputs!$D$7)^AI$2))),IF($N136=Lists!$K$3,IF($L136&lt;1,((($T136*(1-$F136)+$S136*(1-$G136))/$L136)*((1+Inputs!$D$7)^AI$2)),((INT(AI$2/$L136)-INT((AI$2-1)/$L136))*($T136*(1-$F136)+$S136*(1-$G136))*((1+Inputs!$D$7)^AI$2))),((_xlfn.WEIBULL.DIST(AI$2,$M136,$L136,FALSE)*($T136*(1-$F136)+$S136*(1-$G136))*((1+Inputs!$D$7)^AI$2))))))</f>
        <v>95.643315723217015</v>
      </c>
      <c r="AJ136" s="88">
        <f>$E136*IF(AJ$2&gt;Inputs!$D$5,0,IF(AJ$2&gt;VLOOKUP($H136,Lists!$P$3:$Q$7,2),IF($N136=Lists!$K$3,IF($L136&lt;1,(($U136/$L136)*((1+Inputs!$D$7)^AJ$2)),((INT(AJ$2/$L136)-INT((AJ$2-1)/$L136))*$U136*((1+Inputs!$D$7)^AJ$2))),(_xlfn.WEIBULL.DIST(AJ$2,$M136,$L136,FALSE)*$U136*((1+Inputs!$D$7)^AJ$2))),IF($N136=Lists!$K$3,IF($L136&lt;1,((($T136*(1-$F136)+$S136*(1-$G136))/$L136)*((1+Inputs!$D$7)^AJ$2)),((INT(AJ$2/$L136)-INT((AJ$2-1)/$L136))*($T136*(1-$F136)+$S136*(1-$G136))*((1+Inputs!$D$7)^AJ$2))),((_xlfn.WEIBULL.DIST(AJ$2,$M136,$L136,FALSE)*($T136*(1-$F136)+$S136*(1-$G136))*((1+Inputs!$D$7)^AJ$2))))))</f>
        <v>97.556182037681353</v>
      </c>
      <c r="AK136" s="88">
        <f>$E136*IF(AK$2&gt;Inputs!$D$5,0,IF(AK$2&gt;VLOOKUP($H136,Lists!$P$3:$Q$7,2),IF($N136=Lists!$K$3,IF($L136&lt;1,(($U136/$L136)*((1+Inputs!$D$7)^AK$2)),((INT(AK$2/$L136)-INT((AK$2-1)/$L136))*$U136*((1+Inputs!$D$7)^AK$2))),(_xlfn.WEIBULL.DIST(AK$2,$M136,$L136,FALSE)*$U136*((1+Inputs!$D$7)^AK$2))),IF($N136=Lists!$K$3,IF($L136&lt;1,((($T136*(1-$F136)+$S136*(1-$G136))/$L136)*((1+Inputs!$D$7)^AK$2)),((INT(AK$2/$L136)-INT((AK$2-1)/$L136))*($T136*(1-$F136)+$S136*(1-$G136))*((1+Inputs!$D$7)^AK$2))),((_xlfn.WEIBULL.DIST(AK$2,$M136,$L136,FALSE)*($T136*(1-$F136)+$S136*(1-$G136))*((1+Inputs!$D$7)^AK$2))))))</f>
        <v>99.507305678434975</v>
      </c>
      <c r="AL136" s="88">
        <f>$E136*IF(AL$2&gt;Inputs!$D$5,0,IF(AL$2&gt;VLOOKUP($H136,Lists!$P$3:$Q$7,2),IF($N136=Lists!$K$3,IF($L136&lt;1,(($U136/$L136)*((1+Inputs!$D$7)^AL$2)),((INT(AL$2/$L136)-INT((AL$2-1)/$L136))*$U136*((1+Inputs!$D$7)^AL$2))),(_xlfn.WEIBULL.DIST(AL$2,$M136,$L136,FALSE)*$U136*((1+Inputs!$D$7)^AL$2))),IF($N136=Lists!$K$3,IF($L136&lt;1,((($T136*(1-$F136)+$S136*(1-$G136))/$L136)*((1+Inputs!$D$7)^AL$2)),((INT(AL$2/$L136)-INT((AL$2-1)/$L136))*($T136*(1-$F136)+$S136*(1-$G136))*((1+Inputs!$D$7)^AL$2))),((_xlfn.WEIBULL.DIST(AL$2,$M136,$L136,FALSE)*($T136*(1-$F136)+$S136*(1-$G136))*((1+Inputs!$D$7)^AL$2))))))</f>
        <v>101.49745179200369</v>
      </c>
      <c r="AM136" s="88">
        <f>$E136*IF(AM$2&gt;Inputs!$D$5,0,IF(AM$2&gt;VLOOKUP($H136,Lists!$P$3:$Q$7,2),IF($N136=Lists!$K$3,IF($L136&lt;1,(($U136/$L136)*((1+Inputs!$D$7)^AM$2)),((INT(AM$2/$L136)-INT((AM$2-1)/$L136))*$U136*((1+Inputs!$D$7)^AM$2))),(_xlfn.WEIBULL.DIST(AM$2,$M136,$L136,FALSE)*$U136*((1+Inputs!$D$7)^AM$2))),IF($N136=Lists!$K$3,IF($L136&lt;1,((($T136*(1-$F136)+$S136*(1-$G136))/$L136)*((1+Inputs!$D$7)^AM$2)),((INT(AM$2/$L136)-INT((AM$2-1)/$L136))*($T136*(1-$F136)+$S136*(1-$G136))*((1+Inputs!$D$7)^AM$2))),((_xlfn.WEIBULL.DIST(AM$2,$M136,$L136,FALSE)*($T136*(1-$F136)+$S136*(1-$G136))*((1+Inputs!$D$7)^AM$2))))))</f>
        <v>103.52740082784375</v>
      </c>
      <c r="AN136" s="88">
        <f>$E136*IF(AN$2&gt;Inputs!$D$5,0,IF(AN$2&gt;VLOOKUP($H136,Lists!$P$3:$Q$7,2),IF($N136=Lists!$K$3,IF($L136&lt;1,(($U136/$L136)*((1+Inputs!$D$7)^AN$2)),((INT(AN$2/$L136)-INT((AN$2-1)/$L136))*$U136*((1+Inputs!$D$7)^AN$2))),(_xlfn.WEIBULL.DIST(AN$2,$M136,$L136,FALSE)*$U136*((1+Inputs!$D$7)^AN$2))),IF($N136=Lists!$K$3,IF($L136&lt;1,((($T136*(1-$F136)+$S136*(1-$G136))/$L136)*((1+Inputs!$D$7)^AN$2)),((INT(AN$2/$L136)-INT((AN$2-1)/$L136))*($T136*(1-$F136)+$S136*(1-$G136))*((1+Inputs!$D$7)^AN$2))),((_xlfn.WEIBULL.DIST(AN$2,$M136,$L136,FALSE)*($T136*(1-$F136)+$S136*(1-$G136))*((1+Inputs!$D$7)^AN$2))))))</f>
        <v>105.59794884440063</v>
      </c>
      <c r="AO136" s="88">
        <f>$E136*IF(AO$2&gt;Inputs!$D$5,0,IF(AO$2&gt;VLOOKUP($H136,Lists!$P$3:$Q$7,2),IF($N136=Lists!$K$3,IF($L136&lt;1,(($U136/$L136)*((1+Inputs!$D$7)^AO$2)),((INT(AO$2/$L136)-INT((AO$2-1)/$L136))*$U136*((1+Inputs!$D$7)^AO$2))),(_xlfn.WEIBULL.DIST(AO$2,$M136,$L136,FALSE)*$U136*((1+Inputs!$D$7)^AO$2))),IF($N136=Lists!$K$3,IF($L136&lt;1,((($T136*(1-$F136)+$S136*(1-$G136))/$L136)*((1+Inputs!$D$7)^AO$2)),((INT(AO$2/$L136)-INT((AO$2-1)/$L136))*($T136*(1-$F136)+$S136*(1-$G136))*((1+Inputs!$D$7)^AO$2))),((_xlfn.WEIBULL.DIST(AO$2,$M136,$L136,FALSE)*($T136*(1-$F136)+$S136*(1-$G136))*((1+Inputs!$D$7)^AO$2))))))</f>
        <v>107.70990782128862</v>
      </c>
      <c r="AP136" s="88">
        <f>$E136*IF(AP$2&gt;Inputs!$D$5,0,IF(AP$2&gt;VLOOKUP($H136,Lists!$P$3:$Q$7,2),IF($N136=Lists!$K$3,IF($L136&lt;1,(($U136/$L136)*((1+Inputs!$D$7)^AP$2)),((INT(AP$2/$L136)-INT((AP$2-1)/$L136))*$U136*((1+Inputs!$D$7)^AP$2))),(_xlfn.WEIBULL.DIST(AP$2,$M136,$L136,FALSE)*$U136*((1+Inputs!$D$7)^AP$2))),IF($N136=Lists!$K$3,IF($L136&lt;1,((($T136*(1-$F136)+$S136*(1-$G136))/$L136)*((1+Inputs!$D$7)^AP$2)),((INT(AP$2/$L136)-INT((AP$2-1)/$L136))*($T136*(1-$F136)+$S136*(1-$G136))*((1+Inputs!$D$7)^AP$2))),((_xlfn.WEIBULL.DIST(AP$2,$M136,$L136,FALSE)*($T136*(1-$F136)+$S136*(1-$G136))*((1+Inputs!$D$7)^AP$2))))))</f>
        <v>109.86410597771442</v>
      </c>
      <c r="AQ136" s="88">
        <f>$E136*IF(AQ$2&gt;Inputs!$D$5,0,IF(AQ$2&gt;VLOOKUP($H136,Lists!$P$3:$Q$7,2),IF($N136=Lists!$K$3,IF($L136&lt;1,(($U136/$L136)*((1+Inputs!$D$7)^AQ$2)),((INT(AQ$2/$L136)-INT((AQ$2-1)/$L136))*$U136*((1+Inputs!$D$7)^AQ$2))),(_xlfn.WEIBULL.DIST(AQ$2,$M136,$L136,FALSE)*$U136*((1+Inputs!$D$7)^AQ$2))),IF($N136=Lists!$K$3,IF($L136&lt;1,((($T136*(1-$F136)+$S136*(1-$G136))/$L136)*((1+Inputs!$D$7)^AQ$2)),((INT(AQ$2/$L136)-INT((AQ$2-1)/$L136))*($T136*(1-$F136)+$S136*(1-$G136))*((1+Inputs!$D$7)^AQ$2))),((_xlfn.WEIBULL.DIST(AQ$2,$M136,$L136,FALSE)*($T136*(1-$F136)+$S136*(1-$G136))*((1+Inputs!$D$7)^AQ$2))))))</f>
        <v>112.0613880972687</v>
      </c>
      <c r="AR136" s="88">
        <f>$E136*IF(AR$2&gt;Inputs!$D$5,0,IF(AR$2&gt;VLOOKUP($H136,Lists!$P$3:$Q$7,2),IF($N136=Lists!$K$3,IF($L136&lt;1,(($U136/$L136)*((1+Inputs!$D$7)^AR$2)),((INT(AR$2/$L136)-INT((AR$2-1)/$L136))*$U136*((1+Inputs!$D$7)^AR$2))),(_xlfn.WEIBULL.DIST(AR$2,$M136,$L136,FALSE)*$U136*((1+Inputs!$D$7)^AR$2))),IF($N136=Lists!$K$3,IF($L136&lt;1,((($T136*(1-$F136)+$S136*(1-$G136))/$L136)*((1+Inputs!$D$7)^AR$2)),((INT(AR$2/$L136)-INT((AR$2-1)/$L136))*($T136*(1-$F136)+$S136*(1-$G136))*((1+Inputs!$D$7)^AR$2))),((_xlfn.WEIBULL.DIST(AR$2,$M136,$L136,FALSE)*($T136*(1-$F136)+$S136*(1-$G136))*((1+Inputs!$D$7)^AR$2))))))</f>
        <v>114.30261585921407</v>
      </c>
      <c r="AS136" s="88">
        <f>$E136*IF(AS$2&gt;Inputs!$D$5,0,IF(AS$2&gt;VLOOKUP($H136,Lists!$P$3:$Q$7,2),IF($N136=Lists!$K$3,IF($L136&lt;1,(($U136/$L136)*((1+Inputs!$D$7)^AS$2)),((INT(AS$2/$L136)-INT((AS$2-1)/$L136))*$U136*((1+Inputs!$D$7)^AS$2))),(_xlfn.WEIBULL.DIST(AS$2,$M136,$L136,FALSE)*$U136*((1+Inputs!$D$7)^AS$2))),IF($N136=Lists!$K$3,IF($L136&lt;1,((($T136*(1-$F136)+$S136*(1-$G136))/$L136)*((1+Inputs!$D$7)^AS$2)),((INT(AS$2/$L136)-INT((AS$2-1)/$L136))*($T136*(1-$F136)+$S136*(1-$G136))*((1+Inputs!$D$7)^AS$2))),((_xlfn.WEIBULL.DIST(AS$2,$M136,$L136,FALSE)*($T136*(1-$F136)+$S136*(1-$G136))*((1+Inputs!$D$7)^AS$2))))))</f>
        <v>116.58866817639834</v>
      </c>
      <c r="AT136" s="88">
        <f>$E136*IF(AT$2&gt;Inputs!$D$5,0,IF(AT$2&gt;VLOOKUP($H136,Lists!$P$3:$Q$7,2),IF($N136=Lists!$K$3,IF($L136&lt;1,(($U136/$L136)*((1+Inputs!$D$7)^AT$2)),((INT(AT$2/$L136)-INT((AT$2-1)/$L136))*$U136*((1+Inputs!$D$7)^AT$2))),(_xlfn.WEIBULL.DIST(AT$2,$M136,$L136,FALSE)*$U136*((1+Inputs!$D$7)^AT$2))),IF($N136=Lists!$K$3,IF($L136&lt;1,((($T136*(1-$F136)+$S136*(1-$G136))/$L136)*((1+Inputs!$D$7)^AT$2)),((INT(AT$2/$L136)-INT((AT$2-1)/$L136))*($T136*(1-$F136)+$S136*(1-$G136))*((1+Inputs!$D$7)^AT$2))),((_xlfn.WEIBULL.DIST(AT$2,$M136,$L136,FALSE)*($T136*(1-$F136)+$S136*(1-$G136))*((1+Inputs!$D$7)^AT$2))))))</f>
        <v>118.92044153992633</v>
      </c>
      <c r="AU136" s="88">
        <f>$E136*IF(AU$2&gt;Inputs!$D$5,0,IF(AU$2&gt;VLOOKUP($H136,Lists!$P$3:$Q$7,2),IF($N136=Lists!$K$3,IF($L136&lt;1,(($U136/$L136)*((1+Inputs!$D$7)^AU$2)),((INT(AU$2/$L136)-INT((AU$2-1)/$L136))*$U136*((1+Inputs!$D$7)^AU$2))),(_xlfn.WEIBULL.DIST(AU$2,$M136,$L136,FALSE)*$U136*((1+Inputs!$D$7)^AU$2))),IF($N136=Lists!$K$3,IF($L136&lt;1,((($T136*(1-$F136)+$S136*(1-$G136))/$L136)*((1+Inputs!$D$7)^AU$2)),((INT(AU$2/$L136)-INT((AU$2-1)/$L136))*($T136*(1-$F136)+$S136*(1-$G136))*((1+Inputs!$D$7)^AU$2))),((_xlfn.WEIBULL.DIST(AU$2,$M136,$L136,FALSE)*($T136*(1-$F136)+$S136*(1-$G136))*((1+Inputs!$D$7)^AU$2))))))</f>
        <v>121.29885037072485</v>
      </c>
      <c r="AV136" s="88">
        <f>$E136*IF(AV$2&gt;Inputs!$D$5,0,IF(AV$2&gt;VLOOKUP($H136,Lists!$P$3:$Q$7,2),IF($N136=Lists!$K$3,IF($L136&lt;1,(($U136/$L136)*((1+Inputs!$D$7)^AV$2)),((INT(AV$2/$L136)-INT((AV$2-1)/$L136))*$U136*((1+Inputs!$D$7)^AV$2))),(_xlfn.WEIBULL.DIST(AV$2,$M136,$L136,FALSE)*$U136*((1+Inputs!$D$7)^AV$2))),IF($N136=Lists!$K$3,IF($L136&lt;1,((($T136*(1-$F136)+$S136*(1-$G136))/$L136)*((1+Inputs!$D$7)^AV$2)),((INT(AV$2/$L136)-INT((AV$2-1)/$L136))*($T136*(1-$F136)+$S136*(1-$G136))*((1+Inputs!$D$7)^AV$2))),((_xlfn.WEIBULL.DIST(AV$2,$M136,$L136,FALSE)*($T136*(1-$F136)+$S136*(1-$G136))*((1+Inputs!$D$7)^AV$2))))))</f>
        <v>123.72482737813935</v>
      </c>
      <c r="AW136" s="88">
        <f>$E136*IF(AW$2&gt;Inputs!$D$5,0,IF(AW$2&gt;VLOOKUP($H136,Lists!$P$3:$Q$7,2),IF($N136=Lists!$K$3,IF($L136&lt;1,(($U136/$L136)*((1+Inputs!$D$7)^AW$2)),((INT(AW$2/$L136)-INT((AW$2-1)/$L136))*$U136*((1+Inputs!$D$7)^AW$2))),(_xlfn.WEIBULL.DIST(AW$2,$M136,$L136,FALSE)*$U136*((1+Inputs!$D$7)^AW$2))),IF($N136=Lists!$K$3,IF($L136&lt;1,((($T136*(1-$F136)+$S136*(1-$G136))/$L136)*((1+Inputs!$D$7)^AW$2)),((INT(AW$2/$L136)-INT((AW$2-1)/$L136))*($T136*(1-$F136)+$S136*(1-$G136))*((1+Inputs!$D$7)^AW$2))),((_xlfn.WEIBULL.DIST(AW$2,$M136,$L136,FALSE)*($T136*(1-$F136)+$S136*(1-$G136))*((1+Inputs!$D$7)^AW$2))))))</f>
        <v>126.19932392570212</v>
      </c>
      <c r="AX136" s="88">
        <f>$E136*IF(AX$2&gt;Inputs!$D$5,0,IF(AX$2&gt;VLOOKUP($H136,Lists!$P$3:$Q$7,2),IF($N136=Lists!$K$3,IF($L136&lt;1,(($U136/$L136)*((1+Inputs!$D$7)^AX$2)),((INT(AX$2/$L136)-INT((AX$2-1)/$L136))*$U136*((1+Inputs!$D$7)^AX$2))),(_xlfn.WEIBULL.DIST(AX$2,$M136,$L136,FALSE)*$U136*((1+Inputs!$D$7)^AX$2))),IF($N136=Lists!$K$3,IF($L136&lt;1,((($T136*(1-$F136)+$S136*(1-$G136))/$L136)*((1+Inputs!$D$7)^AX$2)),((INT(AX$2/$L136)-INT((AX$2-1)/$L136))*($T136*(1-$F136)+$S136*(1-$G136))*((1+Inputs!$D$7)^AX$2))),((_xlfn.WEIBULL.DIST(AX$2,$M136,$L136,FALSE)*($T136*(1-$F136)+$S136*(1-$G136))*((1+Inputs!$D$7)^AX$2))))))</f>
        <v>128.72331040421616</v>
      </c>
      <c r="AY136" s="88">
        <f>$E136*IF(AY$2&gt;Inputs!$D$5,0,IF(AY$2&gt;VLOOKUP($H136,Lists!$P$3:$Q$7,2),IF($N136=Lists!$K$3,IF($L136&lt;1,(($U136/$L136)*((1+Inputs!$D$7)^AY$2)),((INT(AY$2/$L136)-INT((AY$2-1)/$L136))*$U136*((1+Inputs!$D$7)^AY$2))),(_xlfn.WEIBULL.DIST(AY$2,$M136,$L136,FALSE)*$U136*((1+Inputs!$D$7)^AY$2))),IF($N136=Lists!$K$3,IF($L136&lt;1,((($T136*(1-$F136)+$S136*(1-$G136))/$L136)*((1+Inputs!$D$7)^AY$2)),((INT(AY$2/$L136)-INT((AY$2-1)/$L136))*($T136*(1-$F136)+$S136*(1-$G136))*((1+Inputs!$D$7)^AY$2))),((_xlfn.WEIBULL.DIST(AY$2,$M136,$L136,FALSE)*($T136*(1-$F136)+$S136*(1-$G136))*((1+Inputs!$D$7)^AY$2))))))</f>
        <v>131.29777661230048</v>
      </c>
      <c r="AZ136" s="88">
        <f>$E136*IF(AZ$2&gt;Inputs!$D$5,0,IF(AZ$2&gt;VLOOKUP($H136,Lists!$P$3:$Q$7,2),IF($N136=Lists!$K$3,IF($L136&lt;1,(($U136/$L136)*((1+Inputs!$D$7)^AZ$2)),((INT(AZ$2/$L136)-INT((AZ$2-1)/$L136))*$U136*((1+Inputs!$D$7)^AZ$2))),(_xlfn.WEIBULL.DIST(AZ$2,$M136,$L136,FALSE)*$U136*((1+Inputs!$D$7)^AZ$2))),IF($N136=Lists!$K$3,IF($L136&lt;1,((($T136*(1-$F136)+$S136*(1-$G136))/$L136)*((1+Inputs!$D$7)^AZ$2)),((INT(AZ$2/$L136)-INT((AZ$2-1)/$L136))*($T136*(1-$F136)+$S136*(1-$G136))*((1+Inputs!$D$7)^AZ$2))),((_xlfn.WEIBULL.DIST(AZ$2,$M136,$L136,FALSE)*($T136*(1-$F136)+$S136*(1-$G136))*((1+Inputs!$D$7)^AZ$2))))))</f>
        <v>0</v>
      </c>
      <c r="BA136" s="88">
        <f>$E136*IF(BA$2&gt;Inputs!$D$5,0,IF(BA$2&gt;VLOOKUP($H136,Lists!$P$3:$Q$7,2),IF($N136=Lists!$K$3,IF($L136&lt;1,(($U136/$L136)*((1+Inputs!$D$7)^BA$2)),((INT(BA$2/$L136)-INT((BA$2-1)/$L136))*$U136*((1+Inputs!$D$7)^BA$2))),(_xlfn.WEIBULL.DIST(BA$2,$M136,$L136,FALSE)*$U136*((1+Inputs!$D$7)^BA$2))),IF($N136=Lists!$K$3,IF($L136&lt;1,((($T136*(1-$F136)+$S136*(1-$G136))/$L136)*((1+Inputs!$D$7)^BA$2)),((INT(BA$2/$L136)-INT((BA$2-1)/$L136))*($T136*(1-$F136)+$S136*(1-$G136))*((1+Inputs!$D$7)^BA$2))),((_xlfn.WEIBULL.DIST(BA$2,$M136,$L136,FALSE)*($T136*(1-$F136)+$S136*(1-$G136))*((1+Inputs!$D$7)^BA$2))))))</f>
        <v>0</v>
      </c>
      <c r="BB136" s="88">
        <f>$E136*IF(BB$2&gt;Inputs!$D$5,0,IF(BB$2&gt;VLOOKUP($H136,Lists!$P$3:$Q$7,2),IF($N136=Lists!$K$3,IF($L136&lt;1,(($U136/$L136)*((1+Inputs!$D$7)^BB$2)),((INT(BB$2/$L136)-INT((BB$2-1)/$L136))*$U136*((1+Inputs!$D$7)^BB$2))),(_xlfn.WEIBULL.DIST(BB$2,$M136,$L136,FALSE)*$U136*((1+Inputs!$D$7)^BB$2))),IF($N136=Lists!$K$3,IF($L136&lt;1,((($T136*(1-$F136)+$S136*(1-$G136))/$L136)*((1+Inputs!$D$7)^BB$2)),((INT(BB$2/$L136)-INT((BB$2-1)/$L136))*($T136*(1-$F136)+$S136*(1-$G136))*((1+Inputs!$D$7)^BB$2))),((_xlfn.WEIBULL.DIST(BB$2,$M136,$L136,FALSE)*($T136*(1-$F136)+$S136*(1-$G136))*((1+Inputs!$D$7)^BB$2))))))</f>
        <v>0</v>
      </c>
      <c r="BC136" s="88">
        <f>$E136*IF(BC$2&gt;Inputs!$D$5,0,IF(BC$2&gt;VLOOKUP($H136,Lists!$P$3:$Q$7,2),IF($N136=Lists!$K$3,IF($L136&lt;1,(($U136/$L136)*((1+Inputs!$D$7)^BC$2)),((INT(BC$2/$L136)-INT((BC$2-1)/$L136))*$U136*((1+Inputs!$D$7)^BC$2))),(_xlfn.WEIBULL.DIST(BC$2,$M136,$L136,FALSE)*$U136*((1+Inputs!$D$7)^BC$2))),IF($N136=Lists!$K$3,IF($L136&lt;1,((($T136*(1-$F136)+$S136*(1-$G136))/$L136)*((1+Inputs!$D$7)^BC$2)),((INT(BC$2/$L136)-INT((BC$2-1)/$L136))*($T136*(1-$F136)+$S136*(1-$G136))*((1+Inputs!$D$7)^BC$2))),((_xlfn.WEIBULL.DIST(BC$2,$M136,$L136,FALSE)*($T136*(1-$F136)+$S136*(1-$G136))*((1+Inputs!$D$7)^BC$2))))))</f>
        <v>0</v>
      </c>
      <c r="BD136" s="88">
        <f>$E136*IF(BD$2&gt;Inputs!$D$5,0,IF(BD$2&gt;VLOOKUP($H136,Lists!$P$3:$Q$7,2),IF($N136=Lists!$K$3,IF($L136&lt;1,(($U136/$L136)*((1+Inputs!$D$7)^BD$2)),((INT(BD$2/$L136)-INT((BD$2-1)/$L136))*$U136*((1+Inputs!$D$7)^BD$2))),(_xlfn.WEIBULL.DIST(BD$2,$M136,$L136,FALSE)*$U136*((1+Inputs!$D$7)^BD$2))),IF($N136=Lists!$K$3,IF($L136&lt;1,((($T136*(1-$F136)+$S136*(1-$G136))/$L136)*((1+Inputs!$D$7)^BD$2)),((INT(BD$2/$L136)-INT((BD$2-1)/$L136))*($T136*(1-$F136)+$S136*(1-$G136))*((1+Inputs!$D$7)^BD$2))),((_xlfn.WEIBULL.DIST(BD$2,$M136,$L136,FALSE)*($T136*(1-$F136)+$S136*(1-$G136))*((1+Inputs!$D$7)^BD$2))))))</f>
        <v>0</v>
      </c>
      <c r="BE136" s="88">
        <f>$E136*IF(BE$2&gt;Inputs!$D$5,0,IF(BE$2&gt;VLOOKUP($H136,Lists!$P$3:$Q$7,2),IF($N136=Lists!$K$3,IF($L136&lt;1,(($U136/$L136)*((1+Inputs!$D$7)^BE$2)),((INT(BE$2/$L136)-INT((BE$2-1)/$L136))*$U136*((1+Inputs!$D$7)^BE$2))),(_xlfn.WEIBULL.DIST(BE$2,$M136,$L136,FALSE)*$U136*((1+Inputs!$D$7)^BE$2))),IF($N136=Lists!$K$3,IF($L136&lt;1,((($T136*(1-$F136)+$S136*(1-$G136))/$L136)*((1+Inputs!$D$7)^BE$2)),((INT(BE$2/$L136)-INT((BE$2-1)/$L136))*($T136*(1-$F136)+$S136*(1-$G136))*((1+Inputs!$D$7)^BE$2))),((_xlfn.WEIBULL.DIST(BE$2,$M136,$L136,FALSE)*($T136*(1-$F136)+$S136*(1-$G136))*((1+Inputs!$D$7)^BE$2))))))</f>
        <v>0</v>
      </c>
      <c r="BF136" s="88">
        <f>$E136*IF(BF$2&gt;Inputs!$D$5,0,IF(BF$2&gt;VLOOKUP($H136,Lists!$P$3:$Q$7,2),IF($N136=Lists!$K$3,IF($L136&lt;1,(($U136/$L136)*((1+Inputs!$D$7)^BF$2)),((INT(BF$2/$L136)-INT((BF$2-1)/$L136))*$U136*((1+Inputs!$D$7)^BF$2))),(_xlfn.WEIBULL.DIST(BF$2,$M136,$L136,FALSE)*$U136*((1+Inputs!$D$7)^BF$2))),IF($N136=Lists!$K$3,IF($L136&lt;1,((($T136*(1-$F136)+$S136*(1-$G136))/$L136)*((1+Inputs!$D$7)^BF$2)),((INT(BF$2/$L136)-INT((BF$2-1)/$L136))*($T136*(1-$F136)+$S136*(1-$G136))*((1+Inputs!$D$7)^BF$2))),((_xlfn.WEIBULL.DIST(BF$2,$M136,$L136,FALSE)*($T136*(1-$F136)+$S136*(1-$G136))*((1+Inputs!$D$7)^BF$2))))))</f>
        <v>0</v>
      </c>
      <c r="BG136" s="88">
        <f>$E136*IF(BG$2&gt;Inputs!$D$5,0,IF(BG$2&gt;VLOOKUP($H136,Lists!$P$3:$Q$7,2),IF($N136=Lists!$K$3,IF($L136&lt;1,(($U136/$L136)*((1+Inputs!$D$7)^BG$2)),((INT(BG$2/$L136)-INT((BG$2-1)/$L136))*$U136*((1+Inputs!$D$7)^BG$2))),(_xlfn.WEIBULL.DIST(BG$2,$M136,$L136,FALSE)*$U136*((1+Inputs!$D$7)^BG$2))),IF($N136=Lists!$K$3,IF($L136&lt;1,((($T136*(1-$F136)+$S136*(1-$G136))/$L136)*((1+Inputs!$D$7)^BG$2)),((INT(BG$2/$L136)-INT((BG$2-1)/$L136))*($T136*(1-$F136)+$S136*(1-$G136))*((1+Inputs!$D$7)^BG$2))),((_xlfn.WEIBULL.DIST(BG$2,$M136,$L136,FALSE)*($T136*(1-$F136)+$S136*(1-$G136))*((1+Inputs!$D$7)^BG$2))))))</f>
        <v>0</v>
      </c>
      <c r="BH136" s="88">
        <f>$E136*IF(BH$2&gt;Inputs!$D$5,0,IF(BH$2&gt;VLOOKUP($H136,Lists!$P$3:$Q$7,2),IF($N136=Lists!$K$3,IF($L136&lt;1,(($U136/$L136)*((1+Inputs!$D$7)^BH$2)),((INT(BH$2/$L136)-INT((BH$2-1)/$L136))*$U136*((1+Inputs!$D$7)^BH$2))),(_xlfn.WEIBULL.DIST(BH$2,$M136,$L136,FALSE)*$U136*((1+Inputs!$D$7)^BH$2))),IF($N136=Lists!$K$3,IF($L136&lt;1,((($T136*(1-$F136)+$S136*(1-$G136))/$L136)*((1+Inputs!$D$7)^BH$2)),((INT(BH$2/$L136)-INT((BH$2-1)/$L136))*($T136*(1-$F136)+$S136*(1-$G136))*((1+Inputs!$D$7)^BH$2))),((_xlfn.WEIBULL.DIST(BH$2,$M136,$L136,FALSE)*($T136*(1-$F136)+$S136*(1-$G136))*((1+Inputs!$D$7)^BH$2))))))</f>
        <v>0</v>
      </c>
      <c r="BI136" s="88">
        <f>$E136*IF(BI$2&gt;Inputs!$D$5,0,IF(BI$2&gt;VLOOKUP($H136,Lists!$P$3:$Q$7,2),IF($N136=Lists!$K$3,IF($L136&lt;1,(($U136/$L136)*((1+Inputs!$D$7)^BI$2)),((INT(BI$2/$L136)-INT((BI$2-1)/$L136))*$U136*((1+Inputs!$D$7)^BI$2))),(_xlfn.WEIBULL.DIST(BI$2,$M136,$L136,FALSE)*$U136*((1+Inputs!$D$7)^BI$2))),IF($N136=Lists!$K$3,IF($L136&lt;1,((($T136*(1-$F136)+$S136*(1-$G136))/$L136)*((1+Inputs!$D$7)^BI$2)),((INT(BI$2/$L136)-INT((BI$2-1)/$L136))*($T136*(1-$F136)+$S136*(1-$G136))*((1+Inputs!$D$7)^BI$2))),((_xlfn.WEIBULL.DIST(BI$2,$M136,$L136,FALSE)*($T136*(1-$F136)+$S136*(1-$G136))*((1+Inputs!$D$7)^BI$2))))))</f>
        <v>0</v>
      </c>
      <c r="BJ136" s="88">
        <f>$E136*IF(BJ$2&gt;Inputs!$D$5,0,IF(BJ$2&gt;VLOOKUP($H136,Lists!$P$3:$Q$7,2),IF($N136=Lists!$K$3,IF($L136&lt;1,(($U136/$L136)*((1+Inputs!$D$7)^BJ$2)),((INT(BJ$2/$L136)-INT((BJ$2-1)/$L136))*$U136*((1+Inputs!$D$7)^BJ$2))),(_xlfn.WEIBULL.DIST(BJ$2,$M136,$L136,FALSE)*$U136*((1+Inputs!$D$7)^BJ$2))),IF($N136=Lists!$K$3,IF($L136&lt;1,((($T136*(1-$F136)+$S136*(1-$G136))/$L136)*((1+Inputs!$D$7)^BJ$2)),((INT(BJ$2/$L136)-INT((BJ$2-1)/$L136))*($T136*(1-$F136)+$S136*(1-$G136))*((1+Inputs!$D$7)^BJ$2))),((_xlfn.WEIBULL.DIST(BJ$2,$M136,$L136,FALSE)*($T136*(1-$F136)+$S136*(1-$G136))*((1+Inputs!$D$7)^BJ$2))))))</f>
        <v>0</v>
      </c>
      <c r="BK136" s="88">
        <f>$E136*IF(BK$2&gt;Inputs!$D$5,0,IF(BK$2&gt;VLOOKUP($H136,Lists!$P$3:$Q$7,2),IF($N136=Lists!$K$3,IF($L136&lt;1,(($U136/$L136)*((1+Inputs!$D$7)^BK$2)),((INT(BK$2/$L136)-INT((BK$2-1)/$L136))*$U136*((1+Inputs!$D$7)^BK$2))),(_xlfn.WEIBULL.DIST(BK$2,$M136,$L136,FALSE)*$U136*((1+Inputs!$D$7)^BK$2))),IF($N136=Lists!$K$3,IF($L136&lt;1,((($T136*(1-$F136)+$S136*(1-$G136))/$L136)*((1+Inputs!$D$7)^BK$2)),((INT(BK$2/$L136)-INT((BK$2-1)/$L136))*($T136*(1-$F136)+$S136*(1-$G136))*((1+Inputs!$D$7)^BK$2))),((_xlfn.WEIBULL.DIST(BK$2,$M136,$L136,FALSE)*($T136*(1-$F136)+$S136*(1-$G136))*((1+Inputs!$D$7)^BK$2))))))</f>
        <v>0</v>
      </c>
      <c r="BL136" s="88">
        <f>$E136*IF(BL$2&gt;Inputs!$D$5,0,IF(BL$2&gt;VLOOKUP($H136,Lists!$P$3:$Q$7,2),IF($N136=Lists!$K$3,IF($L136&lt;1,(($U136/$L136)*((1+Inputs!$D$7)^BL$2)),((INT(BL$2/$L136)-INT((BL$2-1)/$L136))*$U136*((1+Inputs!$D$7)^BL$2))),(_xlfn.WEIBULL.DIST(BL$2,$M136,$L136,FALSE)*$U136*((1+Inputs!$D$7)^BL$2))),IF($N136=Lists!$K$3,IF($L136&lt;1,((($T136*(1-$F136)+$S136*(1-$G136))/$L136)*((1+Inputs!$D$7)^BL$2)),((INT(BL$2/$L136)-INT((BL$2-1)/$L136))*($T136*(1-$F136)+$S136*(1-$G136))*((1+Inputs!$D$7)^BL$2))),((_xlfn.WEIBULL.DIST(BL$2,$M136,$L136,FALSE)*($T136*(1-$F136)+$S136*(1-$G136))*((1+Inputs!$D$7)^BL$2))))))</f>
        <v>0</v>
      </c>
      <c r="BM136" s="88">
        <f>$E136*IF(BM$2&gt;Inputs!$D$5,0,IF(BM$2&gt;VLOOKUP($H136,Lists!$P$3:$Q$7,2),IF($N136=Lists!$K$3,IF($L136&lt;1,(($U136/$L136)*((1+Inputs!$D$7)^BM$2)),((INT(BM$2/$L136)-INT((BM$2-1)/$L136))*$U136*((1+Inputs!$D$7)^BM$2))),(_xlfn.WEIBULL.DIST(BM$2,$M136,$L136,FALSE)*$U136*((1+Inputs!$D$7)^BM$2))),IF($N136=Lists!$K$3,IF($L136&lt;1,((($T136*(1-$F136)+$S136*(1-$G136))/$L136)*((1+Inputs!$D$7)^BM$2)),((INT(BM$2/$L136)-INT((BM$2-1)/$L136))*($T136*(1-$F136)+$S136*(1-$G136))*((1+Inputs!$D$7)^BM$2))),((_xlfn.WEIBULL.DIST(BM$2,$M136,$L136,FALSE)*($T136*(1-$F136)+$S136*(1-$G136))*((1+Inputs!$D$7)^BM$2))))))</f>
        <v>0</v>
      </c>
      <c r="BN136" s="88">
        <f>$E136*IF(BN$2&gt;Inputs!$D$5,0,IF(BN$2&gt;VLOOKUP($H136,Lists!$P$3:$Q$7,2),IF($N136=Lists!$K$3,IF($L136&lt;1,(($U136/$L136)*((1+Inputs!$D$7)^BN$2)),((INT(BN$2/$L136)-INT((BN$2-1)/$L136))*$U136*((1+Inputs!$D$7)^BN$2))),(_xlfn.WEIBULL.DIST(BN$2,$M136,$L136,FALSE)*$U136*((1+Inputs!$D$7)^BN$2))),IF($N136=Lists!$K$3,IF($L136&lt;1,((($T136*(1-$F136)+$S136*(1-$G136))/$L136)*((1+Inputs!$D$7)^BN$2)),((INT(BN$2/$L136)-INT((BN$2-1)/$L136))*($T136*(1-$F136)+$S136*(1-$G136))*((1+Inputs!$D$7)^BN$2))),((_xlfn.WEIBULL.DIST(BN$2,$M136,$L136,FALSE)*($T136*(1-$F136)+$S136*(1-$G136))*((1+Inputs!$D$7)^BN$2))))))</f>
        <v>0</v>
      </c>
      <c r="BO136" s="64">
        <f>NPV(Inputs!$D$6,BQ136:DD136)</f>
        <v>1139.1062308024013</v>
      </c>
      <c r="BP136" s="67">
        <f t="shared" si="34"/>
        <v>5.3725811041900021E-4</v>
      </c>
      <c r="BQ136" s="88">
        <f>MAX(AA136,($E136*IF(BQ$2&gt;Inputs!$D$5,0,IF(BQ$2&gt;VLOOKUP($H136,Lists!$P$3:$Q$7,2),IF($N136=Lists!$K$3,IF($L136&lt;1,(($U136/$L136)*((1+Inputs!$D$7)^BQ$2)),((INT(BQ$2/$L136)-INT((BQ$2-1)/$L136))*$U136*((1+Inputs!$D$7)^BQ$2))),(Inputs!$D$8^((1-_xlfn.WEIBULL.DIST(BQ$2,$M136,$L136,FALSE))/_xlfn.WEIBULL.DIST(BQ$2,$M136,$L136,FALSE))*$U136*((1+Inputs!$D$7)^BQ$2))),IF($N136=Lists!$K$3,IF($L136&lt;1,((($T136*(1-$F136)+$S136*(1-$G136))/$L136)*((1+Inputs!$D$7)^BQ$2)),((INT(BQ$2/$L136)-INT((BQ$2-1)/$L136))*($T136*(1-$F136)+$S136*(1-$G136))*((1+Inputs!$D$7)^BQ$2))),((Inputs!$D$8^((1-_xlfn.WEIBULL.DIST(BQ$2,$M136,$L136,FALSE))/_xlfn.WEIBULL.DIST(BQ$2,$M136,$L136,FALSE))*($T136*(1-$F136)+$S136*(1-$G136))*((1+Inputs!$D$7)^BQ$2))))))))</f>
        <v>81.630649038461527</v>
      </c>
      <c r="BR136" s="88">
        <f>MAX(AB136,($E136*IF(BR$2&gt;Inputs!$D$5,0,IF(BR$2&gt;VLOOKUP($H136,Lists!$P$3:$Q$7,2),IF($N136=Lists!$K$3,IF($L136&lt;1,(($U136/$L136)*((1+Inputs!$D$7)^BR$2)),((INT(BR$2/$L136)-INT((BR$2-1)/$L136))*$U136*((1+Inputs!$D$7)^BR$2))),(Inputs!$D$8^((1-_xlfn.WEIBULL.DIST(BR$2,$M136,$L136,FALSE))/_xlfn.WEIBULL.DIST(BR$2,$M136,$L136,FALSE))*$U136*((1+Inputs!$D$7)^BR$2))),IF($N136=Lists!$K$3,IF($L136&lt;1,((($T136*(1-$F136)+$S136*(1-$G136))/$L136)*((1+Inputs!$D$7)^BR$2)),((INT(BR$2/$L136)-INT((BR$2-1)/$L136))*($T136*(1-$F136)+$S136*(1-$G136))*((1+Inputs!$D$7)^BR$2))),((Inputs!$D$8^((1-_xlfn.WEIBULL.DIST(BR$2,$M136,$L136,FALSE))/_xlfn.WEIBULL.DIST(BR$2,$M136,$L136,FALSE))*($T136*(1-$F136)+$S136*(1-$G136))*((1+Inputs!$D$7)^BR$2))))))))</f>
        <v>83.263262019230751</v>
      </c>
      <c r="BS136" s="88">
        <f>MAX(AC136,($E136*IF(BS$2&gt;Inputs!$D$5,0,IF(BS$2&gt;VLOOKUP($H136,Lists!$P$3:$Q$7,2),IF($N136=Lists!$K$3,IF($L136&lt;1,(($U136/$L136)*((1+Inputs!$D$7)^BS$2)),((INT(BS$2/$L136)-INT((BS$2-1)/$L136))*$U136*((1+Inputs!$D$7)^BS$2))),(Inputs!$D$8^((1-_xlfn.WEIBULL.DIST(BS$2,$M136,$L136,FALSE))/_xlfn.WEIBULL.DIST(BS$2,$M136,$L136,FALSE))*$U136*((1+Inputs!$D$7)^BS$2))),IF($N136=Lists!$K$3,IF($L136&lt;1,((($T136*(1-$F136)+$S136*(1-$G136))/$L136)*((1+Inputs!$D$7)^BS$2)),((INT(BS$2/$L136)-INT((BS$2-1)/$L136))*($T136*(1-$F136)+$S136*(1-$G136))*((1+Inputs!$D$7)^BS$2))),((Inputs!$D$8^((1-_xlfn.WEIBULL.DIST(BS$2,$M136,$L136,FALSE))/_xlfn.WEIBULL.DIST(BS$2,$M136,$L136,FALSE))*($T136*(1-$F136)+$S136*(1-$G136))*((1+Inputs!$D$7)^BS$2))))))))</f>
        <v>84.928527259615365</v>
      </c>
      <c r="BT136" s="88">
        <f>MAX(AD136,($E136*IF(BT$2&gt;Inputs!$D$5,0,IF(BT$2&gt;VLOOKUP($H136,Lists!$P$3:$Q$7,2),IF($N136=Lists!$K$3,IF($L136&lt;1,(($U136/$L136)*((1+Inputs!$D$7)^BT$2)),((INT(BT$2/$L136)-INT((BT$2-1)/$L136))*$U136*((1+Inputs!$D$7)^BT$2))),(Inputs!$D$8^((1-_xlfn.WEIBULL.DIST(BT$2,$M136,$L136,FALSE))/_xlfn.WEIBULL.DIST(BT$2,$M136,$L136,FALSE))*$U136*((1+Inputs!$D$7)^BT$2))),IF($N136=Lists!$K$3,IF($L136&lt;1,((($T136*(1-$F136)+$S136*(1-$G136))/$L136)*((1+Inputs!$D$7)^BT$2)),((INT(BT$2/$L136)-INT((BT$2-1)/$L136))*($T136*(1-$F136)+$S136*(1-$G136))*((1+Inputs!$D$7)^BT$2))),((Inputs!$D$8^((1-_xlfn.WEIBULL.DIST(BT$2,$M136,$L136,FALSE))/_xlfn.WEIBULL.DIST(BT$2,$M136,$L136,FALSE))*($T136*(1-$F136)+$S136*(1-$G136))*((1+Inputs!$D$7)^BT$2))))))))</f>
        <v>86.627097804807676</v>
      </c>
      <c r="BU136" s="88">
        <f>MAX(AE136,($E136*IF(BU$2&gt;Inputs!$D$5,0,IF(BU$2&gt;VLOOKUP($H136,Lists!$P$3:$Q$7,2),IF($N136=Lists!$K$3,IF($L136&lt;1,(($U136/$L136)*((1+Inputs!$D$7)^BU$2)),((INT(BU$2/$L136)-INT((BU$2-1)/$L136))*$U136*((1+Inputs!$D$7)^BU$2))),(Inputs!$D$8^((1-_xlfn.WEIBULL.DIST(BU$2,$M136,$L136,FALSE))/_xlfn.WEIBULL.DIST(BU$2,$M136,$L136,FALSE))*$U136*((1+Inputs!$D$7)^BU$2))),IF($N136=Lists!$K$3,IF($L136&lt;1,((($T136*(1-$F136)+$S136*(1-$G136))/$L136)*((1+Inputs!$D$7)^BU$2)),((INT(BU$2/$L136)-INT((BU$2-1)/$L136))*($T136*(1-$F136)+$S136*(1-$G136))*((1+Inputs!$D$7)^BU$2))),((Inputs!$D$8^((1-_xlfn.WEIBULL.DIST(BU$2,$M136,$L136,FALSE))/_xlfn.WEIBULL.DIST(BU$2,$M136,$L136,FALSE))*($T136*(1-$F136)+$S136*(1-$G136))*((1+Inputs!$D$7)^BU$2))))))))</f>
        <v>88.359639760903832</v>
      </c>
      <c r="BV136" s="88">
        <f>MAX(AF136,($E136*IF(BV$2&gt;Inputs!$D$5,0,IF(BV$2&gt;VLOOKUP($H136,Lists!$P$3:$Q$7,2),IF($N136=Lists!$K$3,IF($L136&lt;1,(($U136/$L136)*((1+Inputs!$D$7)^BV$2)),((INT(BV$2/$L136)-INT((BV$2-1)/$L136))*$U136*((1+Inputs!$D$7)^BV$2))),(Inputs!$D$8^((1-_xlfn.WEIBULL.DIST(BV$2,$M136,$L136,FALSE))/_xlfn.WEIBULL.DIST(BV$2,$M136,$L136,FALSE))*$U136*((1+Inputs!$D$7)^BV$2))),IF($N136=Lists!$K$3,IF($L136&lt;1,((($T136*(1-$F136)+$S136*(1-$G136))/$L136)*((1+Inputs!$D$7)^BV$2)),((INT(BV$2/$L136)-INT((BV$2-1)/$L136))*($T136*(1-$F136)+$S136*(1-$G136))*((1+Inputs!$D$7)^BV$2))),((Inputs!$D$8^((1-_xlfn.WEIBULL.DIST(BV$2,$M136,$L136,FALSE))/_xlfn.WEIBULL.DIST(BV$2,$M136,$L136,FALSE))*($T136*(1-$F136)+$S136*(1-$G136))*((1+Inputs!$D$7)^BV$2))))))))</f>
        <v>90.126832556121911</v>
      </c>
      <c r="BW136" s="88">
        <f>MAX(AG136,($E136*IF(BW$2&gt;Inputs!$D$5,0,IF(BW$2&gt;VLOOKUP($H136,Lists!$P$3:$Q$7,2),IF($N136=Lists!$K$3,IF($L136&lt;1,(($U136/$L136)*((1+Inputs!$D$7)^BW$2)),((INT(BW$2/$L136)-INT((BW$2-1)/$L136))*$U136*((1+Inputs!$D$7)^BW$2))),(Inputs!$D$8^((1-_xlfn.WEIBULL.DIST(BW$2,$M136,$L136,FALSE))/_xlfn.WEIBULL.DIST(BW$2,$M136,$L136,FALSE))*$U136*((1+Inputs!$D$7)^BW$2))),IF($N136=Lists!$K$3,IF($L136&lt;1,((($T136*(1-$F136)+$S136*(1-$G136))/$L136)*((1+Inputs!$D$7)^BW$2)),((INT(BW$2/$L136)-INT((BW$2-1)/$L136))*($T136*(1-$F136)+$S136*(1-$G136))*((1+Inputs!$D$7)^BW$2))),((Inputs!$D$8^((1-_xlfn.WEIBULL.DIST(BW$2,$M136,$L136,FALSE))/_xlfn.WEIBULL.DIST(BW$2,$M136,$L136,FALSE))*($T136*(1-$F136)+$S136*(1-$G136))*((1+Inputs!$D$7)^BW$2))))))))</f>
        <v>91.929369207244335</v>
      </c>
      <c r="BX136" s="88">
        <f>MAX(AH136,($E136*IF(BX$2&gt;Inputs!$D$5,0,IF(BX$2&gt;VLOOKUP($H136,Lists!$P$3:$Q$7,2),IF($N136=Lists!$K$3,IF($L136&lt;1,(($U136/$L136)*((1+Inputs!$D$7)^BX$2)),((INT(BX$2/$L136)-INT((BX$2-1)/$L136))*$U136*((1+Inputs!$D$7)^BX$2))),(Inputs!$D$8^((1-_xlfn.WEIBULL.DIST(BX$2,$M136,$L136,FALSE))/_xlfn.WEIBULL.DIST(BX$2,$M136,$L136,FALSE))*$U136*((1+Inputs!$D$7)^BX$2))),IF($N136=Lists!$K$3,IF($L136&lt;1,((($T136*(1-$F136)+$S136*(1-$G136))/$L136)*((1+Inputs!$D$7)^BX$2)),((INT(BX$2/$L136)-INT((BX$2-1)/$L136))*($T136*(1-$F136)+$S136*(1-$G136))*((1+Inputs!$D$7)^BX$2))),((Inputs!$D$8^((1-_xlfn.WEIBULL.DIST(BX$2,$M136,$L136,FALSE))/_xlfn.WEIBULL.DIST(BX$2,$M136,$L136,FALSE))*($T136*(1-$F136)+$S136*(1-$G136))*((1+Inputs!$D$7)^BX$2))))))))</f>
        <v>93.767956591389236</v>
      </c>
      <c r="BY136" s="88">
        <f>MAX(AI136,($E136*IF(BY$2&gt;Inputs!$D$5,0,IF(BY$2&gt;VLOOKUP($H136,Lists!$P$3:$Q$7,2),IF($N136=Lists!$K$3,IF($L136&lt;1,(($U136/$L136)*((1+Inputs!$D$7)^BY$2)),((INT(BY$2/$L136)-INT((BY$2-1)/$L136))*$U136*((1+Inputs!$D$7)^BY$2))),(Inputs!$D$8^((1-_xlfn.WEIBULL.DIST(BY$2,$M136,$L136,FALSE))/_xlfn.WEIBULL.DIST(BY$2,$M136,$L136,FALSE))*$U136*((1+Inputs!$D$7)^BY$2))),IF($N136=Lists!$K$3,IF($L136&lt;1,((($T136*(1-$F136)+$S136*(1-$G136))/$L136)*((1+Inputs!$D$7)^BY$2)),((INT(BY$2/$L136)-INT((BY$2-1)/$L136))*($T136*(1-$F136)+$S136*(1-$G136))*((1+Inputs!$D$7)^BY$2))),((Inputs!$D$8^((1-_xlfn.WEIBULL.DIST(BY$2,$M136,$L136,FALSE))/_xlfn.WEIBULL.DIST(BY$2,$M136,$L136,FALSE))*($T136*(1-$F136)+$S136*(1-$G136))*((1+Inputs!$D$7)^BY$2))))))))</f>
        <v>95.643315723217015</v>
      </c>
      <c r="BZ136" s="88">
        <f>MAX(AJ136,($E136*IF(BZ$2&gt;Inputs!$D$5,0,IF(BZ$2&gt;VLOOKUP($H136,Lists!$P$3:$Q$7,2),IF($N136=Lists!$K$3,IF($L136&lt;1,(($U136/$L136)*((1+Inputs!$D$7)^BZ$2)),((INT(BZ$2/$L136)-INT((BZ$2-1)/$L136))*$U136*((1+Inputs!$D$7)^BZ$2))),(Inputs!$D$8^((1-_xlfn.WEIBULL.DIST(BZ$2,$M136,$L136,FALSE))/_xlfn.WEIBULL.DIST(BZ$2,$M136,$L136,FALSE))*$U136*((1+Inputs!$D$7)^BZ$2))),IF($N136=Lists!$K$3,IF($L136&lt;1,((($T136*(1-$F136)+$S136*(1-$G136))/$L136)*((1+Inputs!$D$7)^BZ$2)),((INT(BZ$2/$L136)-INT((BZ$2-1)/$L136))*($T136*(1-$F136)+$S136*(1-$G136))*((1+Inputs!$D$7)^BZ$2))),((Inputs!$D$8^((1-_xlfn.WEIBULL.DIST(BZ$2,$M136,$L136,FALSE))/_xlfn.WEIBULL.DIST(BZ$2,$M136,$L136,FALSE))*($T136*(1-$F136)+$S136*(1-$G136))*((1+Inputs!$D$7)^BZ$2))))))))</f>
        <v>97.556182037681353</v>
      </c>
      <c r="CA136" s="88">
        <f>MAX(AK136,($E136*IF(CA$2&gt;Inputs!$D$5,0,IF(CA$2&gt;VLOOKUP($H136,Lists!$P$3:$Q$7,2),IF($N136=Lists!$K$3,IF($L136&lt;1,(($U136/$L136)*((1+Inputs!$D$7)^CA$2)),((INT(CA$2/$L136)-INT((CA$2-1)/$L136))*$U136*((1+Inputs!$D$7)^CA$2))),(Inputs!$D$8^((1-_xlfn.WEIBULL.DIST(CA$2,$M136,$L136,FALSE))/_xlfn.WEIBULL.DIST(CA$2,$M136,$L136,FALSE))*$U136*((1+Inputs!$D$7)^CA$2))),IF($N136=Lists!$K$3,IF($L136&lt;1,((($T136*(1-$F136)+$S136*(1-$G136))/$L136)*((1+Inputs!$D$7)^CA$2)),((INT(CA$2/$L136)-INT((CA$2-1)/$L136))*($T136*(1-$F136)+$S136*(1-$G136))*((1+Inputs!$D$7)^CA$2))),((Inputs!$D$8^((1-_xlfn.WEIBULL.DIST(CA$2,$M136,$L136,FALSE))/_xlfn.WEIBULL.DIST(CA$2,$M136,$L136,FALSE))*($T136*(1-$F136)+$S136*(1-$G136))*((1+Inputs!$D$7)^CA$2))))))))</f>
        <v>99.507305678434975</v>
      </c>
      <c r="CB136" s="88">
        <f>MAX(AL136,($E136*IF(CB$2&gt;Inputs!$D$5,0,IF(CB$2&gt;VLOOKUP($H136,Lists!$P$3:$Q$7,2),IF($N136=Lists!$K$3,IF($L136&lt;1,(($U136/$L136)*((1+Inputs!$D$7)^CB$2)),((INT(CB$2/$L136)-INT((CB$2-1)/$L136))*$U136*((1+Inputs!$D$7)^CB$2))),(Inputs!$D$8^((1-_xlfn.WEIBULL.DIST(CB$2,$M136,$L136,FALSE))/_xlfn.WEIBULL.DIST(CB$2,$M136,$L136,FALSE))*$U136*((1+Inputs!$D$7)^CB$2))),IF($N136=Lists!$K$3,IF($L136&lt;1,((($T136*(1-$F136)+$S136*(1-$G136))/$L136)*((1+Inputs!$D$7)^CB$2)),((INT(CB$2/$L136)-INT((CB$2-1)/$L136))*($T136*(1-$F136)+$S136*(1-$G136))*((1+Inputs!$D$7)^CB$2))),((Inputs!$D$8^((1-_xlfn.WEIBULL.DIST(CB$2,$M136,$L136,FALSE))/_xlfn.WEIBULL.DIST(CB$2,$M136,$L136,FALSE))*($T136*(1-$F136)+$S136*(1-$G136))*((1+Inputs!$D$7)^CB$2))))))))</f>
        <v>101.49745179200369</v>
      </c>
      <c r="CC136" s="88">
        <f>MAX(AM136,($E136*IF(CC$2&gt;Inputs!$D$5,0,IF(CC$2&gt;VLOOKUP($H136,Lists!$P$3:$Q$7,2),IF($N136=Lists!$K$3,IF($L136&lt;1,(($U136/$L136)*((1+Inputs!$D$7)^CC$2)),((INT(CC$2/$L136)-INT((CC$2-1)/$L136))*$U136*((1+Inputs!$D$7)^CC$2))),(Inputs!$D$8^((1-_xlfn.WEIBULL.DIST(CC$2,$M136,$L136,FALSE))/_xlfn.WEIBULL.DIST(CC$2,$M136,$L136,FALSE))*$U136*((1+Inputs!$D$7)^CC$2))),IF($N136=Lists!$K$3,IF($L136&lt;1,((($T136*(1-$F136)+$S136*(1-$G136))/$L136)*((1+Inputs!$D$7)^CC$2)),((INT(CC$2/$L136)-INT((CC$2-1)/$L136))*($T136*(1-$F136)+$S136*(1-$G136))*((1+Inputs!$D$7)^CC$2))),((Inputs!$D$8^((1-_xlfn.WEIBULL.DIST(CC$2,$M136,$L136,FALSE))/_xlfn.WEIBULL.DIST(CC$2,$M136,$L136,FALSE))*($T136*(1-$F136)+$S136*(1-$G136))*((1+Inputs!$D$7)^CC$2))))))))</f>
        <v>103.52740082784375</v>
      </c>
      <c r="CD136" s="88">
        <f>MAX(AN136,($E136*IF(CD$2&gt;Inputs!$D$5,0,IF(CD$2&gt;VLOOKUP($H136,Lists!$P$3:$Q$7,2),IF($N136=Lists!$K$3,IF($L136&lt;1,(($U136/$L136)*((1+Inputs!$D$7)^CD$2)),((INT(CD$2/$L136)-INT((CD$2-1)/$L136))*$U136*((1+Inputs!$D$7)^CD$2))),(Inputs!$D$8^((1-_xlfn.WEIBULL.DIST(CD$2,$M136,$L136,FALSE))/_xlfn.WEIBULL.DIST(CD$2,$M136,$L136,FALSE))*$U136*((1+Inputs!$D$7)^CD$2))),IF($N136=Lists!$K$3,IF($L136&lt;1,((($T136*(1-$F136)+$S136*(1-$G136))/$L136)*((1+Inputs!$D$7)^CD$2)),((INT(CD$2/$L136)-INT((CD$2-1)/$L136))*($T136*(1-$F136)+$S136*(1-$G136))*((1+Inputs!$D$7)^CD$2))),((Inputs!$D$8^((1-_xlfn.WEIBULL.DIST(CD$2,$M136,$L136,FALSE))/_xlfn.WEIBULL.DIST(CD$2,$M136,$L136,FALSE))*($T136*(1-$F136)+$S136*(1-$G136))*((1+Inputs!$D$7)^CD$2))))))))</f>
        <v>105.59794884440063</v>
      </c>
      <c r="CE136" s="88">
        <f>MAX(AO136,($E136*IF(CE$2&gt;Inputs!$D$5,0,IF(CE$2&gt;VLOOKUP($H136,Lists!$P$3:$Q$7,2),IF($N136=Lists!$K$3,IF($L136&lt;1,(($U136/$L136)*((1+Inputs!$D$7)^CE$2)),((INT(CE$2/$L136)-INT((CE$2-1)/$L136))*$U136*((1+Inputs!$D$7)^CE$2))),(Inputs!$D$8^((1-_xlfn.WEIBULL.DIST(CE$2,$M136,$L136,FALSE))/_xlfn.WEIBULL.DIST(CE$2,$M136,$L136,FALSE))*$U136*((1+Inputs!$D$7)^CE$2))),IF($N136=Lists!$K$3,IF($L136&lt;1,((($T136*(1-$F136)+$S136*(1-$G136))/$L136)*((1+Inputs!$D$7)^CE$2)),((INT(CE$2/$L136)-INT((CE$2-1)/$L136))*($T136*(1-$F136)+$S136*(1-$G136))*((1+Inputs!$D$7)^CE$2))),((Inputs!$D$8^((1-_xlfn.WEIBULL.DIST(CE$2,$M136,$L136,FALSE))/_xlfn.WEIBULL.DIST(CE$2,$M136,$L136,FALSE))*($T136*(1-$F136)+$S136*(1-$G136))*((1+Inputs!$D$7)^CE$2))))))))</f>
        <v>107.70990782128862</v>
      </c>
      <c r="CF136" s="88">
        <f>MAX(AP136,($E136*IF(CF$2&gt;Inputs!$D$5,0,IF(CF$2&gt;VLOOKUP($H136,Lists!$P$3:$Q$7,2),IF($N136=Lists!$K$3,IF($L136&lt;1,(($U136/$L136)*((1+Inputs!$D$7)^CF$2)),((INT(CF$2/$L136)-INT((CF$2-1)/$L136))*$U136*((1+Inputs!$D$7)^CF$2))),(Inputs!$D$8^((1-_xlfn.WEIBULL.DIST(CF$2,$M136,$L136,FALSE))/_xlfn.WEIBULL.DIST(CF$2,$M136,$L136,FALSE))*$U136*((1+Inputs!$D$7)^CF$2))),IF($N136=Lists!$K$3,IF($L136&lt;1,((($T136*(1-$F136)+$S136*(1-$G136))/$L136)*((1+Inputs!$D$7)^CF$2)),((INT(CF$2/$L136)-INT((CF$2-1)/$L136))*($T136*(1-$F136)+$S136*(1-$G136))*((1+Inputs!$D$7)^CF$2))),((Inputs!$D$8^((1-_xlfn.WEIBULL.DIST(CF$2,$M136,$L136,FALSE))/_xlfn.WEIBULL.DIST(CF$2,$M136,$L136,FALSE))*($T136*(1-$F136)+$S136*(1-$G136))*((1+Inputs!$D$7)^CF$2))))))))</f>
        <v>109.86410597771442</v>
      </c>
      <c r="CG136" s="88">
        <f>MAX(AQ136,($E136*IF(CG$2&gt;Inputs!$D$5,0,IF(CG$2&gt;VLOOKUP($H136,Lists!$P$3:$Q$7,2),IF($N136=Lists!$K$3,IF($L136&lt;1,(($U136/$L136)*((1+Inputs!$D$7)^CG$2)),((INT(CG$2/$L136)-INT((CG$2-1)/$L136))*$U136*((1+Inputs!$D$7)^CG$2))),(Inputs!$D$8^((1-_xlfn.WEIBULL.DIST(CG$2,$M136,$L136,FALSE))/_xlfn.WEIBULL.DIST(CG$2,$M136,$L136,FALSE))*$U136*((1+Inputs!$D$7)^CG$2))),IF($N136=Lists!$K$3,IF($L136&lt;1,((($T136*(1-$F136)+$S136*(1-$G136))/$L136)*((1+Inputs!$D$7)^CG$2)),((INT(CG$2/$L136)-INT((CG$2-1)/$L136))*($T136*(1-$F136)+$S136*(1-$G136))*((1+Inputs!$D$7)^CG$2))),((Inputs!$D$8^((1-_xlfn.WEIBULL.DIST(CG$2,$M136,$L136,FALSE))/_xlfn.WEIBULL.DIST(CG$2,$M136,$L136,FALSE))*($T136*(1-$F136)+$S136*(1-$G136))*((1+Inputs!$D$7)^CG$2))))))))</f>
        <v>112.0613880972687</v>
      </c>
      <c r="CH136" s="88">
        <f>MAX(AR136,($E136*IF(CH$2&gt;Inputs!$D$5,0,IF(CH$2&gt;VLOOKUP($H136,Lists!$P$3:$Q$7,2),IF($N136=Lists!$K$3,IF($L136&lt;1,(($U136/$L136)*((1+Inputs!$D$7)^CH$2)),((INT(CH$2/$L136)-INT((CH$2-1)/$L136))*$U136*((1+Inputs!$D$7)^CH$2))),(Inputs!$D$8^((1-_xlfn.WEIBULL.DIST(CH$2,$M136,$L136,FALSE))/_xlfn.WEIBULL.DIST(CH$2,$M136,$L136,FALSE))*$U136*((1+Inputs!$D$7)^CH$2))),IF($N136=Lists!$K$3,IF($L136&lt;1,((($T136*(1-$F136)+$S136*(1-$G136))/$L136)*((1+Inputs!$D$7)^CH$2)),((INT(CH$2/$L136)-INT((CH$2-1)/$L136))*($T136*(1-$F136)+$S136*(1-$G136))*((1+Inputs!$D$7)^CH$2))),((Inputs!$D$8^((1-_xlfn.WEIBULL.DIST(CH$2,$M136,$L136,FALSE))/_xlfn.WEIBULL.DIST(CH$2,$M136,$L136,FALSE))*($T136*(1-$F136)+$S136*(1-$G136))*((1+Inputs!$D$7)^CH$2))))))))</f>
        <v>114.30261585921407</v>
      </c>
      <c r="CI136" s="88">
        <f>MAX(AS136,($E136*IF(CI$2&gt;Inputs!$D$5,0,IF(CI$2&gt;VLOOKUP($H136,Lists!$P$3:$Q$7,2),IF($N136=Lists!$K$3,IF($L136&lt;1,(($U136/$L136)*((1+Inputs!$D$7)^CI$2)),((INT(CI$2/$L136)-INT((CI$2-1)/$L136))*$U136*((1+Inputs!$D$7)^CI$2))),(Inputs!$D$8^((1-_xlfn.WEIBULL.DIST(CI$2,$M136,$L136,FALSE))/_xlfn.WEIBULL.DIST(CI$2,$M136,$L136,FALSE))*$U136*((1+Inputs!$D$7)^CI$2))),IF($N136=Lists!$K$3,IF($L136&lt;1,((($T136*(1-$F136)+$S136*(1-$G136))/$L136)*((1+Inputs!$D$7)^CI$2)),((INT(CI$2/$L136)-INT((CI$2-1)/$L136))*($T136*(1-$F136)+$S136*(1-$G136))*((1+Inputs!$D$7)^CI$2))),((Inputs!$D$8^((1-_xlfn.WEIBULL.DIST(CI$2,$M136,$L136,FALSE))/_xlfn.WEIBULL.DIST(CI$2,$M136,$L136,FALSE))*($T136*(1-$F136)+$S136*(1-$G136))*((1+Inputs!$D$7)^CI$2))))))))</f>
        <v>116.58866817639834</v>
      </c>
      <c r="CJ136" s="88">
        <f>MAX(AT136,($E136*IF(CJ$2&gt;Inputs!$D$5,0,IF(CJ$2&gt;VLOOKUP($H136,Lists!$P$3:$Q$7,2),IF($N136=Lists!$K$3,IF($L136&lt;1,(($U136/$L136)*((1+Inputs!$D$7)^CJ$2)),((INT(CJ$2/$L136)-INT((CJ$2-1)/$L136))*$U136*((1+Inputs!$D$7)^CJ$2))),(Inputs!$D$8^((1-_xlfn.WEIBULL.DIST(CJ$2,$M136,$L136,FALSE))/_xlfn.WEIBULL.DIST(CJ$2,$M136,$L136,FALSE))*$U136*((1+Inputs!$D$7)^CJ$2))),IF($N136=Lists!$K$3,IF($L136&lt;1,((($T136*(1-$F136)+$S136*(1-$G136))/$L136)*((1+Inputs!$D$7)^CJ$2)),((INT(CJ$2/$L136)-INT((CJ$2-1)/$L136))*($T136*(1-$F136)+$S136*(1-$G136))*((1+Inputs!$D$7)^CJ$2))),((Inputs!$D$8^((1-_xlfn.WEIBULL.DIST(CJ$2,$M136,$L136,FALSE))/_xlfn.WEIBULL.DIST(CJ$2,$M136,$L136,FALSE))*($T136*(1-$F136)+$S136*(1-$G136))*((1+Inputs!$D$7)^CJ$2))))))))</f>
        <v>118.92044153992633</v>
      </c>
      <c r="CK136" s="88">
        <f>MAX(AU136,($E136*IF(CK$2&gt;Inputs!$D$5,0,IF(CK$2&gt;VLOOKUP($H136,Lists!$P$3:$Q$7,2),IF($N136=Lists!$K$3,IF($L136&lt;1,(($U136/$L136)*((1+Inputs!$D$7)^CK$2)),((INT(CK$2/$L136)-INT((CK$2-1)/$L136))*$U136*((1+Inputs!$D$7)^CK$2))),(Inputs!$D$8^((1-_xlfn.WEIBULL.DIST(CK$2,$M136,$L136,FALSE))/_xlfn.WEIBULL.DIST(CK$2,$M136,$L136,FALSE))*$U136*((1+Inputs!$D$7)^CK$2))),IF($N136=Lists!$K$3,IF($L136&lt;1,((($T136*(1-$F136)+$S136*(1-$G136))/$L136)*((1+Inputs!$D$7)^CK$2)),((INT(CK$2/$L136)-INT((CK$2-1)/$L136))*($T136*(1-$F136)+$S136*(1-$G136))*((1+Inputs!$D$7)^CK$2))),((Inputs!$D$8^((1-_xlfn.WEIBULL.DIST(CK$2,$M136,$L136,FALSE))/_xlfn.WEIBULL.DIST(CK$2,$M136,$L136,FALSE))*($T136*(1-$F136)+$S136*(1-$G136))*((1+Inputs!$D$7)^CK$2))))))))</f>
        <v>121.29885037072485</v>
      </c>
      <c r="CL136" s="88">
        <f>MAX(AV136,($E136*IF(CL$2&gt;Inputs!$D$5,0,IF(CL$2&gt;VLOOKUP($H136,Lists!$P$3:$Q$7,2),IF($N136=Lists!$K$3,IF($L136&lt;1,(($U136/$L136)*((1+Inputs!$D$7)^CL$2)),((INT(CL$2/$L136)-INT((CL$2-1)/$L136))*$U136*((1+Inputs!$D$7)^CL$2))),(Inputs!$D$8^((1-_xlfn.WEIBULL.DIST(CL$2,$M136,$L136,FALSE))/_xlfn.WEIBULL.DIST(CL$2,$M136,$L136,FALSE))*$U136*((1+Inputs!$D$7)^CL$2))),IF($N136=Lists!$K$3,IF($L136&lt;1,((($T136*(1-$F136)+$S136*(1-$G136))/$L136)*((1+Inputs!$D$7)^CL$2)),((INT(CL$2/$L136)-INT((CL$2-1)/$L136))*($T136*(1-$F136)+$S136*(1-$G136))*((1+Inputs!$D$7)^CL$2))),((Inputs!$D$8^((1-_xlfn.WEIBULL.DIST(CL$2,$M136,$L136,FALSE))/_xlfn.WEIBULL.DIST(CL$2,$M136,$L136,FALSE))*($T136*(1-$F136)+$S136*(1-$G136))*((1+Inputs!$D$7)^CL$2))))))))</f>
        <v>123.72482737813935</v>
      </c>
      <c r="CM136" s="88">
        <f>MAX(AW136,($E136*IF(CM$2&gt;Inputs!$D$5,0,IF(CM$2&gt;VLOOKUP($H136,Lists!$P$3:$Q$7,2),IF($N136=Lists!$K$3,IF($L136&lt;1,(($U136/$L136)*((1+Inputs!$D$7)^CM$2)),((INT(CM$2/$L136)-INT((CM$2-1)/$L136))*$U136*((1+Inputs!$D$7)^CM$2))),(Inputs!$D$8^((1-_xlfn.WEIBULL.DIST(CM$2,$M136,$L136,FALSE))/_xlfn.WEIBULL.DIST(CM$2,$M136,$L136,FALSE))*$U136*((1+Inputs!$D$7)^CM$2))),IF($N136=Lists!$K$3,IF($L136&lt;1,((($T136*(1-$F136)+$S136*(1-$G136))/$L136)*((1+Inputs!$D$7)^CM$2)),((INT(CM$2/$L136)-INT((CM$2-1)/$L136))*($T136*(1-$F136)+$S136*(1-$G136))*((1+Inputs!$D$7)^CM$2))),((Inputs!$D$8^((1-_xlfn.WEIBULL.DIST(CM$2,$M136,$L136,FALSE))/_xlfn.WEIBULL.DIST(CM$2,$M136,$L136,FALSE))*($T136*(1-$F136)+$S136*(1-$G136))*((1+Inputs!$D$7)^CM$2))))))))</f>
        <v>126.19932392570212</v>
      </c>
      <c r="CN136" s="88">
        <f>MAX(AX136,($E136*IF(CN$2&gt;Inputs!$D$5,0,IF(CN$2&gt;VLOOKUP($H136,Lists!$P$3:$Q$7,2),IF($N136=Lists!$K$3,IF($L136&lt;1,(($U136/$L136)*((1+Inputs!$D$7)^CN$2)),((INT(CN$2/$L136)-INT((CN$2-1)/$L136))*$U136*((1+Inputs!$D$7)^CN$2))),(Inputs!$D$8^((1-_xlfn.WEIBULL.DIST(CN$2,$M136,$L136,FALSE))/_xlfn.WEIBULL.DIST(CN$2,$M136,$L136,FALSE))*$U136*((1+Inputs!$D$7)^CN$2))),IF($N136=Lists!$K$3,IF($L136&lt;1,((($T136*(1-$F136)+$S136*(1-$G136))/$L136)*((1+Inputs!$D$7)^CN$2)),((INT(CN$2/$L136)-INT((CN$2-1)/$L136))*($T136*(1-$F136)+$S136*(1-$G136))*((1+Inputs!$D$7)^CN$2))),((Inputs!$D$8^((1-_xlfn.WEIBULL.DIST(CN$2,$M136,$L136,FALSE))/_xlfn.WEIBULL.DIST(CN$2,$M136,$L136,FALSE))*($T136*(1-$F136)+$S136*(1-$G136))*((1+Inputs!$D$7)^CN$2))))))))</f>
        <v>128.72331040421616</v>
      </c>
      <c r="CO136" s="88">
        <f>MAX(AY136,($E136*IF(CO$2&gt;Inputs!$D$5,0,IF(CO$2&gt;VLOOKUP($H136,Lists!$P$3:$Q$7,2),IF($N136=Lists!$K$3,IF($L136&lt;1,(($U136/$L136)*((1+Inputs!$D$7)^CO$2)),((INT(CO$2/$L136)-INT((CO$2-1)/$L136))*$U136*((1+Inputs!$D$7)^CO$2))),(Inputs!$D$8^((1-_xlfn.WEIBULL.DIST(CO$2,$M136,$L136,FALSE))/_xlfn.WEIBULL.DIST(CO$2,$M136,$L136,FALSE))*$U136*((1+Inputs!$D$7)^CO$2))),IF($N136=Lists!$K$3,IF($L136&lt;1,((($T136*(1-$F136)+$S136*(1-$G136))/$L136)*((1+Inputs!$D$7)^CO$2)),((INT(CO$2/$L136)-INT((CO$2-1)/$L136))*($T136*(1-$F136)+$S136*(1-$G136))*((1+Inputs!$D$7)^CO$2))),((Inputs!$D$8^((1-_xlfn.WEIBULL.DIST(CO$2,$M136,$L136,FALSE))/_xlfn.WEIBULL.DIST(CO$2,$M136,$L136,FALSE))*($T136*(1-$F136)+$S136*(1-$G136))*((1+Inputs!$D$7)^CO$2))))))))</f>
        <v>131.29777661230048</v>
      </c>
      <c r="CP136" s="88">
        <f>MAX(AZ136,($E136*IF(CP$2&gt;Inputs!$D$5,0,IF(CP$2&gt;VLOOKUP($H136,Lists!$P$3:$Q$7,2),IF($N136=Lists!$K$3,IF($L136&lt;1,(($U136/$L136)*((1+Inputs!$D$7)^CP$2)),((INT(CP$2/$L136)-INT((CP$2-1)/$L136))*$U136*((1+Inputs!$D$7)^CP$2))),(Inputs!$D$8^((1-_xlfn.WEIBULL.DIST(CP$2,$M136,$L136,FALSE))/_xlfn.WEIBULL.DIST(CP$2,$M136,$L136,FALSE))*$U136*((1+Inputs!$D$7)^CP$2))),IF($N136=Lists!$K$3,IF($L136&lt;1,((($T136*(1-$F136)+$S136*(1-$G136))/$L136)*((1+Inputs!$D$7)^CP$2)),((INT(CP$2/$L136)-INT((CP$2-1)/$L136))*($T136*(1-$F136)+$S136*(1-$G136))*((1+Inputs!$D$7)^CP$2))),((Inputs!$D$8^((1-_xlfn.WEIBULL.DIST(CP$2,$M136,$L136,FALSE))/_xlfn.WEIBULL.DIST(CP$2,$M136,$L136,FALSE))*($T136*(1-$F136)+$S136*(1-$G136))*((1+Inputs!$D$7)^CP$2))))))))</f>
        <v>0</v>
      </c>
      <c r="CQ136" s="88">
        <f>MAX(BA136,($E136*IF(CQ$2&gt;Inputs!$D$5,0,IF(CQ$2&gt;VLOOKUP($H136,Lists!$P$3:$Q$7,2),IF($N136=Lists!$K$3,IF($L136&lt;1,(($U136/$L136)*((1+Inputs!$D$7)^CQ$2)),((INT(CQ$2/$L136)-INT((CQ$2-1)/$L136))*$U136*((1+Inputs!$D$7)^CQ$2))),(Inputs!$D$8^((1-_xlfn.WEIBULL.DIST(CQ$2,$M136,$L136,FALSE))/_xlfn.WEIBULL.DIST(CQ$2,$M136,$L136,FALSE))*$U136*((1+Inputs!$D$7)^CQ$2))),IF($N136=Lists!$K$3,IF($L136&lt;1,((($T136*(1-$F136)+$S136*(1-$G136))/$L136)*((1+Inputs!$D$7)^CQ$2)),((INT(CQ$2/$L136)-INT((CQ$2-1)/$L136))*($T136*(1-$F136)+$S136*(1-$G136))*((1+Inputs!$D$7)^CQ$2))),((Inputs!$D$8^((1-_xlfn.WEIBULL.DIST(CQ$2,$M136,$L136,FALSE))/_xlfn.WEIBULL.DIST(CQ$2,$M136,$L136,FALSE))*($T136*(1-$F136)+$S136*(1-$G136))*((1+Inputs!$D$7)^CQ$2))))))))</f>
        <v>0</v>
      </c>
      <c r="CR136" s="88">
        <f>MAX(BB136,($E136*IF(CR$2&gt;Inputs!$D$5,0,IF(CR$2&gt;VLOOKUP($H136,Lists!$P$3:$Q$7,2),IF($N136=Lists!$K$3,IF($L136&lt;1,(($U136/$L136)*((1+Inputs!$D$7)^CR$2)),((INT(CR$2/$L136)-INT((CR$2-1)/$L136))*$U136*((1+Inputs!$D$7)^CR$2))),(Inputs!$D$8^((1-_xlfn.WEIBULL.DIST(CR$2,$M136,$L136,FALSE))/_xlfn.WEIBULL.DIST(CR$2,$M136,$L136,FALSE))*$U136*((1+Inputs!$D$7)^CR$2))),IF($N136=Lists!$K$3,IF($L136&lt;1,((($T136*(1-$F136)+$S136*(1-$G136))/$L136)*((1+Inputs!$D$7)^CR$2)),((INT(CR$2/$L136)-INT((CR$2-1)/$L136))*($T136*(1-$F136)+$S136*(1-$G136))*((1+Inputs!$D$7)^CR$2))),((Inputs!$D$8^((1-_xlfn.WEIBULL.DIST(CR$2,$M136,$L136,FALSE))/_xlfn.WEIBULL.DIST(CR$2,$M136,$L136,FALSE))*($T136*(1-$F136)+$S136*(1-$G136))*((1+Inputs!$D$7)^CR$2))))))))</f>
        <v>0</v>
      </c>
      <c r="CS136" s="88">
        <f>MAX(BC136,($E136*IF(CS$2&gt;Inputs!$D$5,0,IF(CS$2&gt;VLOOKUP($H136,Lists!$P$3:$Q$7,2),IF($N136=Lists!$K$3,IF($L136&lt;1,(($U136/$L136)*((1+Inputs!$D$7)^CS$2)),((INT(CS$2/$L136)-INT((CS$2-1)/$L136))*$U136*((1+Inputs!$D$7)^CS$2))),(Inputs!$D$8^((1-_xlfn.WEIBULL.DIST(CS$2,$M136,$L136,FALSE))/_xlfn.WEIBULL.DIST(CS$2,$M136,$L136,FALSE))*$U136*((1+Inputs!$D$7)^CS$2))),IF($N136=Lists!$K$3,IF($L136&lt;1,((($T136*(1-$F136)+$S136*(1-$G136))/$L136)*((1+Inputs!$D$7)^CS$2)),((INT(CS$2/$L136)-INT((CS$2-1)/$L136))*($T136*(1-$F136)+$S136*(1-$G136))*((1+Inputs!$D$7)^CS$2))),((Inputs!$D$8^((1-_xlfn.WEIBULL.DIST(CS$2,$M136,$L136,FALSE))/_xlfn.WEIBULL.DIST(CS$2,$M136,$L136,FALSE))*($T136*(1-$F136)+$S136*(1-$G136))*((1+Inputs!$D$7)^CS$2))))))))</f>
        <v>0</v>
      </c>
      <c r="CT136" s="88">
        <f>MAX(BD136,($E136*IF(CT$2&gt;Inputs!$D$5,0,IF(CT$2&gt;VLOOKUP($H136,Lists!$P$3:$Q$7,2),IF($N136=Lists!$K$3,IF($L136&lt;1,(($U136/$L136)*((1+Inputs!$D$7)^CT$2)),((INT(CT$2/$L136)-INT((CT$2-1)/$L136))*$U136*((1+Inputs!$D$7)^CT$2))),(Inputs!$D$8^((1-_xlfn.WEIBULL.DIST(CT$2,$M136,$L136,FALSE))/_xlfn.WEIBULL.DIST(CT$2,$M136,$L136,FALSE))*$U136*((1+Inputs!$D$7)^CT$2))),IF($N136=Lists!$K$3,IF($L136&lt;1,((($T136*(1-$F136)+$S136*(1-$G136))/$L136)*((1+Inputs!$D$7)^CT$2)),((INT(CT$2/$L136)-INT((CT$2-1)/$L136))*($T136*(1-$F136)+$S136*(1-$G136))*((1+Inputs!$D$7)^CT$2))),((Inputs!$D$8^((1-_xlfn.WEIBULL.DIST(CT$2,$M136,$L136,FALSE))/_xlfn.WEIBULL.DIST(CT$2,$M136,$L136,FALSE))*($T136*(1-$F136)+$S136*(1-$G136))*((1+Inputs!$D$7)^CT$2))))))))</f>
        <v>0</v>
      </c>
      <c r="CU136" s="88">
        <f>MAX(BE136,($E136*IF(CU$2&gt;Inputs!$D$5,0,IF(CU$2&gt;VLOOKUP($H136,Lists!$P$3:$Q$7,2),IF($N136=Lists!$K$3,IF($L136&lt;1,(($U136/$L136)*((1+Inputs!$D$7)^CU$2)),((INT(CU$2/$L136)-INT((CU$2-1)/$L136))*$U136*((1+Inputs!$D$7)^CU$2))),(Inputs!$D$8^((1-_xlfn.WEIBULL.DIST(CU$2,$M136,$L136,FALSE))/_xlfn.WEIBULL.DIST(CU$2,$M136,$L136,FALSE))*$U136*((1+Inputs!$D$7)^CU$2))),IF($N136=Lists!$K$3,IF($L136&lt;1,((($T136*(1-$F136)+$S136*(1-$G136))/$L136)*((1+Inputs!$D$7)^CU$2)),((INT(CU$2/$L136)-INT((CU$2-1)/$L136))*($T136*(1-$F136)+$S136*(1-$G136))*((1+Inputs!$D$7)^CU$2))),((Inputs!$D$8^((1-_xlfn.WEIBULL.DIST(CU$2,$M136,$L136,FALSE))/_xlfn.WEIBULL.DIST(CU$2,$M136,$L136,FALSE))*($T136*(1-$F136)+$S136*(1-$G136))*((1+Inputs!$D$7)^CU$2))))))))</f>
        <v>0</v>
      </c>
      <c r="CV136" s="88">
        <f>MAX(BF136,($E136*IF(CV$2&gt;Inputs!$D$5,0,IF(CV$2&gt;VLOOKUP($H136,Lists!$P$3:$Q$7,2),IF($N136=Lists!$K$3,IF($L136&lt;1,(($U136/$L136)*((1+Inputs!$D$7)^CV$2)),((INT(CV$2/$L136)-INT((CV$2-1)/$L136))*$U136*((1+Inputs!$D$7)^CV$2))),(Inputs!$D$8^((1-_xlfn.WEIBULL.DIST(CV$2,$M136,$L136,FALSE))/_xlfn.WEIBULL.DIST(CV$2,$M136,$L136,FALSE))*$U136*((1+Inputs!$D$7)^CV$2))),IF($N136=Lists!$K$3,IF($L136&lt;1,((($T136*(1-$F136)+$S136*(1-$G136))/$L136)*((1+Inputs!$D$7)^CV$2)),((INT(CV$2/$L136)-INT((CV$2-1)/$L136))*($T136*(1-$F136)+$S136*(1-$G136))*((1+Inputs!$D$7)^CV$2))),((Inputs!$D$8^((1-_xlfn.WEIBULL.DIST(CV$2,$M136,$L136,FALSE))/_xlfn.WEIBULL.DIST(CV$2,$M136,$L136,FALSE))*($T136*(1-$F136)+$S136*(1-$G136))*((1+Inputs!$D$7)^CV$2))))))))</f>
        <v>0</v>
      </c>
      <c r="CW136" s="88">
        <f>MAX(BG136,($E136*IF(CW$2&gt;Inputs!$D$5,0,IF(CW$2&gt;VLOOKUP($H136,Lists!$P$3:$Q$7,2),IF($N136=Lists!$K$3,IF($L136&lt;1,(($U136/$L136)*((1+Inputs!$D$7)^CW$2)),((INT(CW$2/$L136)-INT((CW$2-1)/$L136))*$U136*((1+Inputs!$D$7)^CW$2))),(Inputs!$D$8^((1-_xlfn.WEIBULL.DIST(CW$2,$M136,$L136,FALSE))/_xlfn.WEIBULL.DIST(CW$2,$M136,$L136,FALSE))*$U136*((1+Inputs!$D$7)^CW$2))),IF($N136=Lists!$K$3,IF($L136&lt;1,((($T136*(1-$F136)+$S136*(1-$G136))/$L136)*((1+Inputs!$D$7)^CW$2)),((INT(CW$2/$L136)-INT((CW$2-1)/$L136))*($T136*(1-$F136)+$S136*(1-$G136))*((1+Inputs!$D$7)^CW$2))),((Inputs!$D$8^((1-_xlfn.WEIBULL.DIST(CW$2,$M136,$L136,FALSE))/_xlfn.WEIBULL.DIST(CW$2,$M136,$L136,FALSE))*($T136*(1-$F136)+$S136*(1-$G136))*((1+Inputs!$D$7)^CW$2))))))))</f>
        <v>0</v>
      </c>
      <c r="CX136" s="88">
        <f>MAX(BH136,($E136*IF(CX$2&gt;Inputs!$D$5,0,IF(CX$2&gt;VLOOKUP($H136,Lists!$P$3:$Q$7,2),IF($N136=Lists!$K$3,IF($L136&lt;1,(($U136/$L136)*((1+Inputs!$D$7)^CX$2)),((INT(CX$2/$L136)-INT((CX$2-1)/$L136))*$U136*((1+Inputs!$D$7)^CX$2))),(Inputs!$D$8^((1-_xlfn.WEIBULL.DIST(CX$2,$M136,$L136,FALSE))/_xlfn.WEIBULL.DIST(CX$2,$M136,$L136,FALSE))*$U136*((1+Inputs!$D$7)^CX$2))),IF($N136=Lists!$K$3,IF($L136&lt;1,((($T136*(1-$F136)+$S136*(1-$G136))/$L136)*((1+Inputs!$D$7)^CX$2)),((INT(CX$2/$L136)-INT((CX$2-1)/$L136))*($T136*(1-$F136)+$S136*(1-$G136))*((1+Inputs!$D$7)^CX$2))),((Inputs!$D$8^((1-_xlfn.WEIBULL.DIST(CX$2,$M136,$L136,FALSE))/_xlfn.WEIBULL.DIST(CX$2,$M136,$L136,FALSE))*($T136*(1-$F136)+$S136*(1-$G136))*((1+Inputs!$D$7)^CX$2))))))))</f>
        <v>0</v>
      </c>
      <c r="CY136" s="88">
        <f>MAX(BI136,($E136*IF(CY$2&gt;Inputs!$D$5,0,IF(CY$2&gt;VLOOKUP($H136,Lists!$P$3:$Q$7,2),IF($N136=Lists!$K$3,IF($L136&lt;1,(($U136/$L136)*((1+Inputs!$D$7)^CY$2)),((INT(CY$2/$L136)-INT((CY$2-1)/$L136))*$U136*((1+Inputs!$D$7)^CY$2))),(Inputs!$D$8^((1-_xlfn.WEIBULL.DIST(CY$2,$M136,$L136,FALSE))/_xlfn.WEIBULL.DIST(CY$2,$M136,$L136,FALSE))*$U136*((1+Inputs!$D$7)^CY$2))),IF($N136=Lists!$K$3,IF($L136&lt;1,((($T136*(1-$F136)+$S136*(1-$G136))/$L136)*((1+Inputs!$D$7)^CY$2)),((INT(CY$2/$L136)-INT((CY$2-1)/$L136))*($T136*(1-$F136)+$S136*(1-$G136))*((1+Inputs!$D$7)^CY$2))),((Inputs!$D$8^((1-_xlfn.WEIBULL.DIST(CY$2,$M136,$L136,FALSE))/_xlfn.WEIBULL.DIST(CY$2,$M136,$L136,FALSE))*($T136*(1-$F136)+$S136*(1-$G136))*((1+Inputs!$D$7)^CY$2))))))))</f>
        <v>0</v>
      </c>
      <c r="CZ136" s="88">
        <f>MAX(BJ136,($E136*IF(CZ$2&gt;Inputs!$D$5,0,IF(CZ$2&gt;VLOOKUP($H136,Lists!$P$3:$Q$7,2),IF($N136=Lists!$K$3,IF($L136&lt;1,(($U136/$L136)*((1+Inputs!$D$7)^CZ$2)),((INT(CZ$2/$L136)-INT((CZ$2-1)/$L136))*$U136*((1+Inputs!$D$7)^CZ$2))),(Inputs!$D$8^((1-_xlfn.WEIBULL.DIST(CZ$2,$M136,$L136,FALSE))/_xlfn.WEIBULL.DIST(CZ$2,$M136,$L136,FALSE))*$U136*((1+Inputs!$D$7)^CZ$2))),IF($N136=Lists!$K$3,IF($L136&lt;1,((($T136*(1-$F136)+$S136*(1-$G136))/$L136)*((1+Inputs!$D$7)^CZ$2)),((INT(CZ$2/$L136)-INT((CZ$2-1)/$L136))*($T136*(1-$F136)+$S136*(1-$G136))*((1+Inputs!$D$7)^CZ$2))),((Inputs!$D$8^((1-_xlfn.WEIBULL.DIST(CZ$2,$M136,$L136,FALSE))/_xlfn.WEIBULL.DIST(CZ$2,$M136,$L136,FALSE))*($T136*(1-$F136)+$S136*(1-$G136))*((1+Inputs!$D$7)^CZ$2))))))))</f>
        <v>0</v>
      </c>
      <c r="DA136" s="88">
        <f>MAX(BK136,($E136*IF(DA$2&gt;Inputs!$D$5,0,IF(DA$2&gt;VLOOKUP($H136,Lists!$P$3:$Q$7,2),IF($N136=Lists!$K$3,IF($L136&lt;1,(($U136/$L136)*((1+Inputs!$D$7)^DA$2)),((INT(DA$2/$L136)-INT((DA$2-1)/$L136))*$U136*((1+Inputs!$D$7)^DA$2))),(Inputs!$D$8^((1-_xlfn.WEIBULL.DIST(DA$2,$M136,$L136,FALSE))/_xlfn.WEIBULL.DIST(DA$2,$M136,$L136,FALSE))*$U136*((1+Inputs!$D$7)^DA$2))),IF($N136=Lists!$K$3,IF($L136&lt;1,((($T136*(1-$F136)+$S136*(1-$G136))/$L136)*((1+Inputs!$D$7)^DA$2)),((INT(DA$2/$L136)-INT((DA$2-1)/$L136))*($T136*(1-$F136)+$S136*(1-$G136))*((1+Inputs!$D$7)^DA$2))),((Inputs!$D$8^((1-_xlfn.WEIBULL.DIST(DA$2,$M136,$L136,FALSE))/_xlfn.WEIBULL.DIST(DA$2,$M136,$L136,FALSE))*($T136*(1-$F136)+$S136*(1-$G136))*((1+Inputs!$D$7)^DA$2))))))))</f>
        <v>0</v>
      </c>
      <c r="DB136" s="88">
        <f>MAX(BL136,($E136*IF(DB$2&gt;Inputs!$D$5,0,IF(DB$2&gt;VLOOKUP($H136,Lists!$P$3:$Q$7,2),IF($N136=Lists!$K$3,IF($L136&lt;1,(($U136/$L136)*((1+Inputs!$D$7)^DB$2)),((INT(DB$2/$L136)-INT((DB$2-1)/$L136))*$U136*((1+Inputs!$D$7)^DB$2))),(Inputs!$D$8^((1-_xlfn.WEIBULL.DIST(DB$2,$M136,$L136,FALSE))/_xlfn.WEIBULL.DIST(DB$2,$M136,$L136,FALSE))*$U136*((1+Inputs!$D$7)^DB$2))),IF($N136=Lists!$K$3,IF($L136&lt;1,((($T136*(1-$F136)+$S136*(1-$G136))/$L136)*((1+Inputs!$D$7)^DB$2)),((INT(DB$2/$L136)-INT((DB$2-1)/$L136))*($T136*(1-$F136)+$S136*(1-$G136))*((1+Inputs!$D$7)^DB$2))),((Inputs!$D$8^((1-_xlfn.WEIBULL.DIST(DB$2,$M136,$L136,FALSE))/_xlfn.WEIBULL.DIST(DB$2,$M136,$L136,FALSE))*($T136*(1-$F136)+$S136*(1-$G136))*((1+Inputs!$D$7)^DB$2))))))))</f>
        <v>0</v>
      </c>
      <c r="DC136" s="88">
        <f>MAX(BM136,($E136*IF(DC$2&gt;Inputs!$D$5,0,IF(DC$2&gt;VLOOKUP($H136,Lists!$P$3:$Q$7,2),IF($N136=Lists!$K$3,IF($L136&lt;1,(($U136/$L136)*((1+Inputs!$D$7)^DC$2)),((INT(DC$2/$L136)-INT((DC$2-1)/$L136))*$U136*((1+Inputs!$D$7)^DC$2))),(Inputs!$D$8^((1-_xlfn.WEIBULL.DIST(DC$2,$M136,$L136,FALSE))/_xlfn.WEIBULL.DIST(DC$2,$M136,$L136,FALSE))*$U136*((1+Inputs!$D$7)^DC$2))),IF($N136=Lists!$K$3,IF($L136&lt;1,((($T136*(1-$F136)+$S136*(1-$G136))/$L136)*((1+Inputs!$D$7)^DC$2)),((INT(DC$2/$L136)-INT((DC$2-1)/$L136))*($T136*(1-$F136)+$S136*(1-$G136))*((1+Inputs!$D$7)^DC$2))),((Inputs!$D$8^((1-_xlfn.WEIBULL.DIST(DC$2,$M136,$L136,FALSE))/_xlfn.WEIBULL.DIST(DC$2,$M136,$L136,FALSE))*($T136*(1-$F136)+$S136*(1-$G136))*((1+Inputs!$D$7)^DC$2))))))))</f>
        <v>0</v>
      </c>
      <c r="DD136" s="88">
        <f>MAX(BN136,($E136*IF(DD$2&gt;Inputs!$D$5,0,IF(DD$2&gt;VLOOKUP($H136,Lists!$P$3:$Q$7,2),IF($N136=Lists!$K$3,IF($L136&lt;1,(($U136/$L136)*((1+Inputs!$D$7)^DD$2)),((INT(DD$2/$L136)-INT((DD$2-1)/$L136))*$U136*((1+Inputs!$D$7)^DD$2))),(Inputs!$D$8^((1-_xlfn.WEIBULL.DIST(DD$2,$M136,$L136,FALSE))/_xlfn.WEIBULL.DIST(DD$2,$M136,$L136,FALSE))*$U136*((1+Inputs!$D$7)^DD$2))),IF($N136=Lists!$K$3,IF($L136&lt;1,((($T136*(1-$F136)+$S136*(1-$G136))/$L136)*((1+Inputs!$D$7)^DD$2)),((INT(DD$2/$L136)-INT((DD$2-1)/$L136))*($T136*(1-$F136)+$S136*(1-$G136))*((1+Inputs!$D$7)^DD$2))),((Inputs!$D$8^((1-_xlfn.WEIBULL.DIST(DD$2,$M136,$L136,FALSE))/_xlfn.WEIBULL.DIST(DD$2,$M136,$L136,FALSE))*($T136*(1-$F136)+$S136*(1-$G136))*((1+Inputs!$D$7)^DD$2))))))))</f>
        <v>0</v>
      </c>
    </row>
    <row r="137" spans="1:108" s="1" customFormat="1" ht="19">
      <c r="A137" s="68" t="s">
        <v>432</v>
      </c>
      <c r="B137" s="69"/>
      <c r="C137" s="69"/>
      <c r="D137" s="69"/>
      <c r="E137" s="69"/>
      <c r="F137" s="69"/>
      <c r="G137" s="69"/>
      <c r="H137" s="69"/>
      <c r="I137" s="69"/>
      <c r="J137" s="69"/>
      <c r="K137" s="69"/>
      <c r="L137" s="69"/>
      <c r="M137" s="69"/>
      <c r="N137" s="69"/>
      <c r="O137" s="69"/>
      <c r="P137" s="69"/>
      <c r="Q137" s="69"/>
      <c r="R137" s="69"/>
      <c r="S137" s="69"/>
      <c r="T137" s="69"/>
      <c r="U137" s="69"/>
      <c r="V137" s="69"/>
      <c r="W137" s="69"/>
      <c r="X137" s="69">
        <f t="shared" ref="X137:BC137" si="35">SUM(X3:X136)</f>
        <v>148619.77147294296</v>
      </c>
      <c r="Y137" s="70">
        <f t="shared" si="35"/>
        <v>2120221.5633637025</v>
      </c>
      <c r="Z137" s="62">
        <f t="shared" si="35"/>
        <v>0.99999999999999989</v>
      </c>
      <c r="AA137" s="70">
        <f t="shared" si="35"/>
        <v>60724.043617293959</v>
      </c>
      <c r="AB137" s="70">
        <f t="shared" si="35"/>
        <v>92998.133858882415</v>
      </c>
      <c r="AC137" s="70">
        <f t="shared" si="35"/>
        <v>93544.662860084267</v>
      </c>
      <c r="AD137" s="70">
        <f t="shared" si="35"/>
        <v>96139.88246341655</v>
      </c>
      <c r="AE137" s="70">
        <f t="shared" si="35"/>
        <v>126946.46841636214</v>
      </c>
      <c r="AF137" s="70">
        <f t="shared" si="35"/>
        <v>100090.60212107355</v>
      </c>
      <c r="AG137" s="70">
        <f t="shared" si="35"/>
        <v>101371.8554412864</v>
      </c>
      <c r="AH137" s="70">
        <f t="shared" si="35"/>
        <v>104857.32771731494</v>
      </c>
      <c r="AI137" s="70">
        <f t="shared" si="35"/>
        <v>106497.78429186277</v>
      </c>
      <c r="AJ137" s="70">
        <f t="shared" si="35"/>
        <v>143417.34732384505</v>
      </c>
      <c r="AK137" s="70">
        <f t="shared" si="35"/>
        <v>178521.22880668286</v>
      </c>
      <c r="AL137" s="70">
        <f t="shared" si="35"/>
        <v>180847.58418925901</v>
      </c>
      <c r="AM137" s="70">
        <f t="shared" si="35"/>
        <v>181165.51144456922</v>
      </c>
      <c r="AN137" s="70">
        <f t="shared" si="35"/>
        <v>183916.01076376476</v>
      </c>
      <c r="AO137" s="70">
        <f t="shared" si="35"/>
        <v>223072.77618450369</v>
      </c>
      <c r="AP137" s="70">
        <f t="shared" si="35"/>
        <v>187584.58779972122</v>
      </c>
      <c r="AQ137" s="70">
        <f t="shared" si="35"/>
        <v>188347.44070737672</v>
      </c>
      <c r="AR137" s="70">
        <f t="shared" si="35"/>
        <v>191605.66402958322</v>
      </c>
      <c r="AS137" s="70">
        <f t="shared" si="35"/>
        <v>192395.86335562979</v>
      </c>
      <c r="AT137" s="70">
        <f t="shared" si="35"/>
        <v>238350.65406634592</v>
      </c>
      <c r="AU137" s="70">
        <f t="shared" si="35"/>
        <v>679236.2680352258</v>
      </c>
      <c r="AV137" s="70">
        <f t="shared" si="35"/>
        <v>685279.87387862231</v>
      </c>
      <c r="AW137" s="70">
        <f t="shared" si="35"/>
        <v>685970.44513930695</v>
      </c>
      <c r="AX137" s="70">
        <f t="shared" si="35"/>
        <v>686825.44507075276</v>
      </c>
      <c r="AY137" s="70">
        <f t="shared" si="35"/>
        <v>729408.83536356001</v>
      </c>
      <c r="AZ137" s="70">
        <f t="shared" si="35"/>
        <v>0</v>
      </c>
      <c r="BA137" s="70">
        <f t="shared" si="35"/>
        <v>0</v>
      </c>
      <c r="BB137" s="70">
        <f t="shared" si="35"/>
        <v>0</v>
      </c>
      <c r="BC137" s="70">
        <f t="shared" si="35"/>
        <v>0</v>
      </c>
      <c r="BD137" s="70">
        <f t="shared" ref="BD137:CI137" si="36">SUM(BD3:BD136)</f>
        <v>0</v>
      </c>
      <c r="BE137" s="70">
        <f t="shared" si="36"/>
        <v>0</v>
      </c>
      <c r="BF137" s="70">
        <f t="shared" si="36"/>
        <v>0</v>
      </c>
      <c r="BG137" s="70">
        <f t="shared" si="36"/>
        <v>0</v>
      </c>
      <c r="BH137" s="70">
        <f t="shared" si="36"/>
        <v>0</v>
      </c>
      <c r="BI137" s="70">
        <f t="shared" si="36"/>
        <v>0</v>
      </c>
      <c r="BJ137" s="70">
        <f t="shared" si="36"/>
        <v>0</v>
      </c>
      <c r="BK137" s="70">
        <f t="shared" si="36"/>
        <v>0</v>
      </c>
      <c r="BL137" s="70">
        <f t="shared" si="36"/>
        <v>0</v>
      </c>
      <c r="BM137" s="70">
        <f t="shared" si="36"/>
        <v>0</v>
      </c>
      <c r="BN137" s="1">
        <f t="shared" si="36"/>
        <v>0</v>
      </c>
      <c r="BO137" s="70">
        <f t="shared" si="36"/>
        <v>3392628.7776421551</v>
      </c>
      <c r="BP137" s="62">
        <f t="shared" si="36"/>
        <v>1.6001293620746868</v>
      </c>
      <c r="BQ137" s="70">
        <f t="shared" si="36"/>
        <v>61847.328146867039</v>
      </c>
      <c r="BR137" s="70">
        <f t="shared" si="36"/>
        <v>155324.22668286882</v>
      </c>
      <c r="BS137" s="70">
        <f t="shared" si="36"/>
        <v>150035.09643274811</v>
      </c>
      <c r="BT137" s="70">
        <f t="shared" si="36"/>
        <v>146930.9840459947</v>
      </c>
      <c r="BU137" s="70">
        <f t="shared" si="36"/>
        <v>172198.28748161462</v>
      </c>
      <c r="BV137" s="70">
        <f t="shared" si="36"/>
        <v>139985.53709838277</v>
      </c>
      <c r="BW137" s="70">
        <f t="shared" si="36"/>
        <v>136113.00758924516</v>
      </c>
      <c r="BX137" s="70">
        <f t="shared" si="36"/>
        <v>135394.43378491534</v>
      </c>
      <c r="BY137" s="70">
        <f t="shared" si="36"/>
        <v>133363.75785913077</v>
      </c>
      <c r="BZ137" s="70">
        <f t="shared" si="36"/>
        <v>166933.84776421348</v>
      </c>
      <c r="CA137" s="70">
        <f t="shared" si="36"/>
        <v>271410.45205006876</v>
      </c>
      <c r="CB137" s="70">
        <f t="shared" si="36"/>
        <v>259362.46330647662</v>
      </c>
      <c r="CC137" s="70">
        <f t="shared" si="36"/>
        <v>247672.64372299617</v>
      </c>
      <c r="CD137" s="70">
        <f t="shared" si="36"/>
        <v>240485.54114000022</v>
      </c>
      <c r="CE137" s="70">
        <f t="shared" si="36"/>
        <v>271424.96434900176</v>
      </c>
      <c r="CF137" s="70">
        <f t="shared" si="36"/>
        <v>229333.88508500974</v>
      </c>
      <c r="CG137" s="70">
        <f t="shared" si="36"/>
        <v>226749.23341520756</v>
      </c>
      <c r="CH137" s="70">
        <f t="shared" si="36"/>
        <v>233371.2664432571</v>
      </c>
      <c r="CI137" s="70">
        <f t="shared" si="36"/>
        <v>238230.65189229388</v>
      </c>
      <c r="CJ137" s="70">
        <f t="shared" ref="CJ137:DD137" si="37">SUM(CJ3:CJ136)</f>
        <v>287264.29242398718</v>
      </c>
      <c r="CK137" s="70">
        <f t="shared" si="37"/>
        <v>1519994.1092476996</v>
      </c>
      <c r="CL137" s="70">
        <f t="shared" si="37"/>
        <v>1492795.7541293015</v>
      </c>
      <c r="CM137" s="70">
        <f t="shared" si="37"/>
        <v>1444325.0772382079</v>
      </c>
      <c r="CN137" s="70">
        <f t="shared" si="37"/>
        <v>1382804.7592001103</v>
      </c>
      <c r="CO137" s="70">
        <f t="shared" si="37"/>
        <v>1351973.4207884062</v>
      </c>
      <c r="CP137" s="70">
        <f t="shared" si="37"/>
        <v>0</v>
      </c>
      <c r="CQ137" s="70">
        <f t="shared" si="37"/>
        <v>0</v>
      </c>
      <c r="CR137" s="70">
        <f t="shared" si="37"/>
        <v>0</v>
      </c>
      <c r="CS137" s="70">
        <f t="shared" si="37"/>
        <v>0</v>
      </c>
      <c r="CT137" s="70">
        <f t="shared" si="37"/>
        <v>0</v>
      </c>
      <c r="CU137" s="70">
        <f t="shared" si="37"/>
        <v>0</v>
      </c>
      <c r="CV137" s="70">
        <f t="shared" si="37"/>
        <v>0</v>
      </c>
      <c r="CW137" s="70">
        <f t="shared" si="37"/>
        <v>0</v>
      </c>
      <c r="CX137" s="70">
        <f t="shared" si="37"/>
        <v>0</v>
      </c>
      <c r="CY137" s="70">
        <f t="shared" si="37"/>
        <v>0</v>
      </c>
      <c r="CZ137" s="70">
        <f t="shared" si="37"/>
        <v>0</v>
      </c>
      <c r="DA137" s="70">
        <f t="shared" si="37"/>
        <v>0</v>
      </c>
      <c r="DB137" s="70">
        <f t="shared" si="37"/>
        <v>0</v>
      </c>
      <c r="DC137" s="70">
        <f t="shared" si="37"/>
        <v>0</v>
      </c>
      <c r="DD137" s="1">
        <f t="shared" si="37"/>
        <v>0</v>
      </c>
    </row>
    <row r="138" spans="1:108" s="1" customFormat="1" ht="19">
      <c r="A138" s="68" t="s">
        <v>433</v>
      </c>
      <c r="B138" s="69"/>
      <c r="C138" s="69"/>
      <c r="D138" s="69"/>
      <c r="E138" s="69"/>
      <c r="F138" s="69"/>
      <c r="G138" s="69"/>
      <c r="H138" s="69"/>
      <c r="I138" s="69"/>
      <c r="J138" s="69"/>
      <c r="K138" s="69"/>
      <c r="L138" s="69"/>
      <c r="M138" s="69"/>
      <c r="N138" s="69"/>
      <c r="O138" s="69"/>
      <c r="P138" s="69"/>
      <c r="Q138" s="69"/>
      <c r="R138" s="69"/>
      <c r="S138" s="69"/>
      <c r="T138" s="69"/>
      <c r="U138" s="69"/>
      <c r="V138" s="69"/>
      <c r="W138" s="69"/>
      <c r="X138" s="69"/>
      <c r="Y138" s="70"/>
      <c r="Z138" s="62"/>
      <c r="AA138" s="70">
        <f>IF(AA$2&gt;Inputs!$D$5,0,Inputs!$D$15/1000*Inputs!$D$16*(1-Inputs!$D$23)^'Detailed Measures'!AA$2)+0.0000000000001</f>
        <v>13949600</v>
      </c>
      <c r="AB138" s="70">
        <f>IF(AB$2&gt;Inputs!$D$5,0,Inputs!$D$15/1000*Inputs!$D$16*(1-Inputs!$D$23)^'Detailed Measures'!AB$2)+0.0000000000001</f>
        <v>13899381.439999998</v>
      </c>
      <c r="AC138" s="70">
        <f>IF(AC$2&gt;Inputs!$D$5,0,Inputs!$D$15/1000*Inputs!$D$16*(1-Inputs!$D$23)^'Detailed Measures'!AC$2)+0.0000000000001</f>
        <v>13849343.666815996</v>
      </c>
      <c r="AD138" s="70">
        <f>IF(AD$2&gt;Inputs!$D$5,0,Inputs!$D$15/1000*Inputs!$D$16*(1-Inputs!$D$23)^'Detailed Measures'!AD$2)+0.0000000000001</f>
        <v>13799486.029615458</v>
      </c>
      <c r="AE138" s="70">
        <f>IF(AE$2&gt;Inputs!$D$5,0,Inputs!$D$15/1000*Inputs!$D$16*(1-Inputs!$D$23)^'Detailed Measures'!AE$2)+0.0000000000001</f>
        <v>13749807.879908843</v>
      </c>
      <c r="AF138" s="70">
        <f>IF(AF$2&gt;Inputs!$D$5,0,Inputs!$D$15/1000*Inputs!$D$16*(1-Inputs!$D$23)^'Detailed Measures'!AF$2)+0.0000000000001</f>
        <v>13700308.57154117</v>
      </c>
      <c r="AG138" s="70">
        <f>IF(AG$2&gt;Inputs!$D$5,0,Inputs!$D$15/1000*Inputs!$D$16*(1-Inputs!$D$23)^'Detailed Measures'!AG$2)+0.0000000000001</f>
        <v>13650987.460683621</v>
      </c>
      <c r="AH138" s="70">
        <f>IF(AH$2&gt;Inputs!$D$5,0,Inputs!$D$15/1000*Inputs!$D$16*(1-Inputs!$D$23)^'Detailed Measures'!AH$2)+0.0000000000001</f>
        <v>13601843.905825159</v>
      </c>
      <c r="AI138" s="70">
        <f>IF(AI$2&gt;Inputs!$D$5,0,Inputs!$D$15/1000*Inputs!$D$16*(1-Inputs!$D$23)^'Detailed Measures'!AI$2)+0.0000000000001</f>
        <v>13552877.267764186</v>
      </c>
      <c r="AJ138" s="70">
        <f>IF(AJ$2&gt;Inputs!$D$5,0,Inputs!$D$15/1000*Inputs!$D$16*(1-Inputs!$D$23)^'Detailed Measures'!AJ$2)+0.0000000000001</f>
        <v>13504086.909600234</v>
      </c>
      <c r="AK138" s="70">
        <f>IF(AK$2&gt;Inputs!$D$5,0,Inputs!$D$15/1000*Inputs!$D$16*(1-Inputs!$D$23)^'Detailed Measures'!AK$2)+0.0000000000001</f>
        <v>13455472.196725672</v>
      </c>
      <c r="AL138" s="70">
        <f>IF(AL$2&gt;Inputs!$D$5,0,Inputs!$D$15/1000*Inputs!$D$16*(1-Inputs!$D$23)^'Detailed Measures'!AL$2)+0.0000000000001</f>
        <v>13407032.496817458</v>
      </c>
      <c r="AM138" s="70">
        <f>IF(AM$2&gt;Inputs!$D$5,0,Inputs!$D$15/1000*Inputs!$D$16*(1-Inputs!$D$23)^'Detailed Measures'!AM$2)+0.0000000000001</f>
        <v>13358767.179828916</v>
      </c>
      <c r="AN138" s="70">
        <f>IF(AN$2&gt;Inputs!$D$5,0,Inputs!$D$15/1000*Inputs!$D$16*(1-Inputs!$D$23)^'Detailed Measures'!AN$2)+0.0000000000001</f>
        <v>13310675.617981531</v>
      </c>
      <c r="AO138" s="70">
        <f>IF(AO$2&gt;Inputs!$D$5,0,Inputs!$D$15/1000*Inputs!$D$16*(1-Inputs!$D$23)^'Detailed Measures'!AO$2)+0.0000000000001</f>
        <v>13262757.185756797</v>
      </c>
      <c r="AP138" s="70">
        <f>IF(AP$2&gt;Inputs!$D$5,0,Inputs!$D$15/1000*Inputs!$D$16*(1-Inputs!$D$23)^'Detailed Measures'!AP$2)+0.0000000000001</f>
        <v>13215011.259888072</v>
      </c>
      <c r="AQ138" s="70">
        <f>IF(AQ$2&gt;Inputs!$D$5,0,Inputs!$D$15/1000*Inputs!$D$16*(1-Inputs!$D$23)^'Detailed Measures'!AQ$2)+0.0000000000001</f>
        <v>13167437.219352473</v>
      </c>
      <c r="AR138" s="70">
        <f>IF(AR$2&gt;Inputs!$D$5,0,Inputs!$D$15/1000*Inputs!$D$16*(1-Inputs!$D$23)^'Detailed Measures'!AR$2)+0.0000000000001</f>
        <v>13120034.445362803</v>
      </c>
      <c r="AS138" s="70">
        <f>IF(AS$2&gt;Inputs!$D$5,0,Inputs!$D$15/1000*Inputs!$D$16*(1-Inputs!$D$23)^'Detailed Measures'!AS$2)+0.0000000000001</f>
        <v>13072802.321359495</v>
      </c>
      <c r="AT138" s="70">
        <f>IF(AT$2&gt;Inputs!$D$5,0,Inputs!$D$15/1000*Inputs!$D$16*(1-Inputs!$D$23)^'Detailed Measures'!AT$2)+0.0000000000001</f>
        <v>13025740.233002601</v>
      </c>
      <c r="AU138" s="70">
        <f>IF(AU$2&gt;Inputs!$D$5,0,Inputs!$D$15/1000*Inputs!$D$16*(1-Inputs!$D$23)^'Detailed Measures'!AU$2)+0.0000000000001</f>
        <v>12978847.568163792</v>
      </c>
      <c r="AV138" s="70">
        <f>IF(AV$2&gt;Inputs!$D$5,0,Inputs!$D$15/1000*Inputs!$D$16*(1-Inputs!$D$23)^'Detailed Measures'!AV$2)+0.0000000000001</f>
        <v>12932123.7169184</v>
      </c>
      <c r="AW138" s="70">
        <f>IF(AW$2&gt;Inputs!$D$5,0,Inputs!$D$15/1000*Inputs!$D$16*(1-Inputs!$D$23)^'Detailed Measures'!AW$2)+0.0000000000001</f>
        <v>12885568.071537495</v>
      </c>
      <c r="AX138" s="70">
        <f>IF(AX$2&gt;Inputs!$D$5,0,Inputs!$D$15/1000*Inputs!$D$16*(1-Inputs!$D$23)^'Detailed Measures'!AX$2)+0.0000000000001</f>
        <v>12839180.026479958</v>
      </c>
      <c r="AY138" s="70">
        <f>IF(AY$2&gt;Inputs!$D$5,0,Inputs!$D$15/1000*Inputs!$D$16*(1-Inputs!$D$23)^'Detailed Measures'!AY$2)+0.0000000000001</f>
        <v>12792958.978384627</v>
      </c>
      <c r="AZ138" s="70">
        <f>IF(AZ$2&gt;Inputs!$D$5,0,Inputs!$D$15/1000*Inputs!$D$16*(1-Inputs!$D$23)^'Detailed Measures'!AZ$2)+0.0000000000001</f>
        <v>1E-13</v>
      </c>
      <c r="BA138" s="70">
        <f>IF(BA$2&gt;Inputs!$D$5,0,Inputs!$D$15/1000*Inputs!$D$16*(1-Inputs!$D$23)^'Detailed Measures'!BA$2)+0.0000000000001</f>
        <v>1E-13</v>
      </c>
      <c r="BB138" s="70">
        <f>IF(BB$2&gt;Inputs!$D$5,0,Inputs!$D$15/1000*Inputs!$D$16*(1-Inputs!$D$23)^'Detailed Measures'!BB$2)+0.0000000000001</f>
        <v>1E-13</v>
      </c>
      <c r="BC138" s="70">
        <f>IF(BC$2&gt;Inputs!$D$5,0,Inputs!$D$15/1000*Inputs!$D$16*(1-Inputs!$D$23)^'Detailed Measures'!BC$2)+0.0000000000001</f>
        <v>1E-13</v>
      </c>
      <c r="BD138" s="70">
        <f>IF(BD$2&gt;Inputs!$D$5,0,Inputs!$D$15/1000*Inputs!$D$16*(1-Inputs!$D$23)^'Detailed Measures'!BD$2)+0.0000000000001</f>
        <v>1E-13</v>
      </c>
      <c r="BE138" s="70">
        <f>IF(BE$2&gt;Inputs!$D$5,0,Inputs!$D$15/1000*Inputs!$D$16*(1-Inputs!$D$23)^'Detailed Measures'!BE$2)+0.0000000000001</f>
        <v>1E-13</v>
      </c>
      <c r="BF138" s="70">
        <f>IF(BF$2&gt;Inputs!$D$5,0,Inputs!$D$15/1000*Inputs!$D$16*(1-Inputs!$D$23)^'Detailed Measures'!BF$2)+0.0000000000001</f>
        <v>1E-13</v>
      </c>
      <c r="BG138" s="70">
        <f>IF(BG$2&gt;Inputs!$D$5,0,Inputs!$D$15/1000*Inputs!$D$16*(1-Inputs!$D$23)^'Detailed Measures'!BG$2)+0.0000000000001</f>
        <v>1E-13</v>
      </c>
      <c r="BH138" s="70">
        <f>IF(BH$2&gt;Inputs!$D$5,0,Inputs!$D$15/1000*Inputs!$D$16*(1-Inputs!$D$23)^'Detailed Measures'!BH$2)+0.0000000000001</f>
        <v>1E-13</v>
      </c>
      <c r="BI138" s="70">
        <f>IF(BI$2&gt;Inputs!$D$5,0,Inputs!$D$15/1000*Inputs!$D$16*(1-Inputs!$D$23)^'Detailed Measures'!BI$2)+0.0000000000001</f>
        <v>1E-13</v>
      </c>
      <c r="BJ138" s="70">
        <f>IF(BJ$2&gt;Inputs!$D$5,0,Inputs!$D$15/1000*Inputs!$D$16*(1-Inputs!$D$23)^'Detailed Measures'!BJ$2)+0.0000000000001</f>
        <v>1E-13</v>
      </c>
      <c r="BK138" s="70">
        <f>IF(BK$2&gt;Inputs!$D$5,0,Inputs!$D$15/1000*Inputs!$D$16*(1-Inputs!$D$23)^'Detailed Measures'!BK$2)+0.0000000000001</f>
        <v>1E-13</v>
      </c>
      <c r="BL138" s="70">
        <f>IF(BL$2&gt;Inputs!$D$5,0,Inputs!$D$15/1000*Inputs!$D$16*(1-Inputs!$D$23)^'Detailed Measures'!BL$2)+0.0000000000001</f>
        <v>1E-13</v>
      </c>
      <c r="BM138" s="70">
        <f>IF(BM$2&gt;Inputs!$D$5,0,Inputs!$D$15/1000*Inputs!$D$16*(1-Inputs!$D$23)^'Detailed Measures'!BM$2)+0.0000000000001</f>
        <v>1E-13</v>
      </c>
      <c r="BN138" s="70">
        <f>IF(BN$2&gt;Inputs!$D$5,0,Inputs!$D$15/1000*Inputs!$D$16*(1-Inputs!$D$23)^'Detailed Measures'!BN$2)+0.0000000000001</f>
        <v>1E-13</v>
      </c>
      <c r="BO138" s="70"/>
      <c r="BP138" s="62"/>
      <c r="BQ138" s="70">
        <f>IF(BQ$2&gt;Inputs!$D$5,0,Inputs!$D$15/1000*Inputs!$D$16*(1-Inputs!$D$23)^'Detailed Measures'!BQ$2)+0.0000000000001</f>
        <v>13949600</v>
      </c>
      <c r="BR138" s="70">
        <f>IF(BR$2&gt;Inputs!$D$5,0,Inputs!$D$15/1000*Inputs!$D$16*(1-Inputs!$D$23)^'Detailed Measures'!BR$2)+0.0000000000001</f>
        <v>13899381.439999998</v>
      </c>
      <c r="BS138" s="70">
        <f>IF(BS$2&gt;Inputs!$D$5,0,Inputs!$D$15/1000*Inputs!$D$16*(1-Inputs!$D$23)^'Detailed Measures'!BS$2)+0.0000000000001</f>
        <v>13849343.666815996</v>
      </c>
      <c r="BT138" s="70">
        <f>IF(BT$2&gt;Inputs!$D$5,0,Inputs!$D$15/1000*Inputs!$D$16*(1-Inputs!$D$23)^'Detailed Measures'!BT$2)+0.0000000000001</f>
        <v>13799486.029615458</v>
      </c>
      <c r="BU138" s="70">
        <f>IF(BU$2&gt;Inputs!$D$5,0,Inputs!$D$15/1000*Inputs!$D$16*(1-Inputs!$D$23)^'Detailed Measures'!BU$2)+0.0000000000001</f>
        <v>13749807.879908843</v>
      </c>
      <c r="BV138" s="70">
        <f>IF(BV$2&gt;Inputs!$D$5,0,Inputs!$D$15/1000*Inputs!$D$16*(1-Inputs!$D$23)^'Detailed Measures'!BV$2)+0.0000000000001</f>
        <v>13700308.57154117</v>
      </c>
      <c r="BW138" s="70">
        <f>IF(BW$2&gt;Inputs!$D$5,0,Inputs!$D$15/1000*Inputs!$D$16*(1-Inputs!$D$23)^'Detailed Measures'!BW$2)+0.0000000000001</f>
        <v>13650987.460683621</v>
      </c>
      <c r="BX138" s="70">
        <f>IF(BX$2&gt;Inputs!$D$5,0,Inputs!$D$15/1000*Inputs!$D$16*(1-Inputs!$D$23)^'Detailed Measures'!BX$2)+0.0000000000001</f>
        <v>13601843.905825159</v>
      </c>
      <c r="BY138" s="70">
        <f>IF(BY$2&gt;Inputs!$D$5,0,Inputs!$D$15/1000*Inputs!$D$16*(1-Inputs!$D$23)^'Detailed Measures'!BY$2)+0.0000000000001</f>
        <v>13552877.267764186</v>
      </c>
      <c r="BZ138" s="70">
        <f>IF(BZ$2&gt;Inputs!$D$5,0,Inputs!$D$15/1000*Inputs!$D$16*(1-Inputs!$D$23)^'Detailed Measures'!BZ$2)+0.0000000000001</f>
        <v>13504086.909600234</v>
      </c>
      <c r="CA138" s="70">
        <f>IF(CA$2&gt;Inputs!$D$5,0,Inputs!$D$15/1000*Inputs!$D$16*(1-Inputs!$D$23)^'Detailed Measures'!CA$2)+0.0000000000001</f>
        <v>13455472.196725672</v>
      </c>
      <c r="CB138" s="70">
        <f>IF(CB$2&gt;Inputs!$D$5,0,Inputs!$D$15/1000*Inputs!$D$16*(1-Inputs!$D$23)^'Detailed Measures'!CB$2)+0.0000000000001</f>
        <v>13407032.496817458</v>
      </c>
      <c r="CC138" s="70">
        <f>IF(CC$2&gt;Inputs!$D$5,0,Inputs!$D$15/1000*Inputs!$D$16*(1-Inputs!$D$23)^'Detailed Measures'!CC$2)+0.0000000000001</f>
        <v>13358767.179828916</v>
      </c>
      <c r="CD138" s="70">
        <f>IF(CD$2&gt;Inputs!$D$5,0,Inputs!$D$15/1000*Inputs!$D$16*(1-Inputs!$D$23)^'Detailed Measures'!CD$2)+0.0000000000001</f>
        <v>13310675.617981531</v>
      </c>
      <c r="CE138" s="70">
        <f>IF(CE$2&gt;Inputs!$D$5,0,Inputs!$D$15/1000*Inputs!$D$16*(1-Inputs!$D$23)^'Detailed Measures'!CE$2)+0.0000000000001</f>
        <v>13262757.185756797</v>
      </c>
      <c r="CF138" s="70">
        <f>IF(CF$2&gt;Inputs!$D$5,0,Inputs!$D$15/1000*Inputs!$D$16*(1-Inputs!$D$23)^'Detailed Measures'!CF$2)+0.0000000000001</f>
        <v>13215011.259888072</v>
      </c>
      <c r="CG138" s="70">
        <f>IF(CG$2&gt;Inputs!$D$5,0,Inputs!$D$15/1000*Inputs!$D$16*(1-Inputs!$D$23)^'Detailed Measures'!CG$2)+0.0000000000001</f>
        <v>13167437.219352473</v>
      </c>
      <c r="CH138" s="70">
        <f>IF(CH$2&gt;Inputs!$D$5,0,Inputs!$D$15/1000*Inputs!$D$16*(1-Inputs!$D$23)^'Detailed Measures'!CH$2)+0.0000000000001</f>
        <v>13120034.445362803</v>
      </c>
      <c r="CI138" s="70">
        <f>IF(CI$2&gt;Inputs!$D$5,0,Inputs!$D$15/1000*Inputs!$D$16*(1-Inputs!$D$23)^'Detailed Measures'!CI$2)+0.0000000000001</f>
        <v>13072802.321359495</v>
      </c>
      <c r="CJ138" s="70">
        <f>IF(CJ$2&gt;Inputs!$D$5,0,Inputs!$D$15/1000*Inputs!$D$16*(1-Inputs!$D$23)^'Detailed Measures'!CJ$2)+0.0000000000001</f>
        <v>13025740.233002601</v>
      </c>
      <c r="CK138" s="70">
        <f>IF(CK$2&gt;Inputs!$D$5,0,Inputs!$D$15/1000*Inputs!$D$16*(1-Inputs!$D$23)^'Detailed Measures'!CK$2)+0.0000000000001</f>
        <v>12978847.568163792</v>
      </c>
      <c r="CL138" s="70">
        <f>IF(CL$2&gt;Inputs!$D$5,0,Inputs!$D$15/1000*Inputs!$D$16*(1-Inputs!$D$23)^'Detailed Measures'!CL$2)+0.0000000000001</f>
        <v>12932123.7169184</v>
      </c>
      <c r="CM138" s="70">
        <f>IF(CM$2&gt;Inputs!$D$5,0,Inputs!$D$15/1000*Inputs!$D$16*(1-Inputs!$D$23)^'Detailed Measures'!CM$2)+0.0000000000001</f>
        <v>12885568.071537495</v>
      </c>
      <c r="CN138" s="70">
        <f>IF(CN$2&gt;Inputs!$D$5,0,Inputs!$D$15/1000*Inputs!$D$16*(1-Inputs!$D$23)^'Detailed Measures'!CN$2)+0.0000000000001</f>
        <v>12839180.026479958</v>
      </c>
      <c r="CO138" s="70">
        <f>IF(CO$2&gt;Inputs!$D$5,0,Inputs!$D$15/1000*Inputs!$D$16*(1-Inputs!$D$23)^'Detailed Measures'!CO$2)+0.0000000000001</f>
        <v>12792958.978384627</v>
      </c>
      <c r="CP138" s="70">
        <f>IF(CP$2&gt;Inputs!$D$5,0,Inputs!$D$15/1000*Inputs!$D$16*(1-Inputs!$D$23)^'Detailed Measures'!CP$2)+0.0000000000001</f>
        <v>1E-13</v>
      </c>
      <c r="CQ138" s="70">
        <f>IF(CQ$2&gt;Inputs!$D$5,0,Inputs!$D$15/1000*Inputs!$D$16*(1-Inputs!$D$23)^'Detailed Measures'!CQ$2)+0.0000000000001</f>
        <v>1E-13</v>
      </c>
      <c r="CR138" s="70">
        <f>IF(CR$2&gt;Inputs!$D$5,0,Inputs!$D$15/1000*Inputs!$D$16*(1-Inputs!$D$23)^'Detailed Measures'!CR$2)+0.0000000000001</f>
        <v>1E-13</v>
      </c>
      <c r="CS138" s="70">
        <f>IF(CS$2&gt;Inputs!$D$5,0,Inputs!$D$15/1000*Inputs!$D$16*(1-Inputs!$D$23)^'Detailed Measures'!CS$2)+0.0000000000001</f>
        <v>1E-13</v>
      </c>
      <c r="CT138" s="70">
        <f>IF(CT$2&gt;Inputs!$D$5,0,Inputs!$D$15/1000*Inputs!$D$16*(1-Inputs!$D$23)^'Detailed Measures'!CT$2)+0.0000000000001</f>
        <v>1E-13</v>
      </c>
      <c r="CU138" s="70">
        <f>IF(CU$2&gt;Inputs!$D$5,0,Inputs!$D$15/1000*Inputs!$D$16*(1-Inputs!$D$23)^'Detailed Measures'!CU$2)+0.0000000000001</f>
        <v>1E-13</v>
      </c>
      <c r="CV138" s="70">
        <f>IF(CV$2&gt;Inputs!$D$5,0,Inputs!$D$15/1000*Inputs!$D$16*(1-Inputs!$D$23)^'Detailed Measures'!CV$2)+0.0000000000001</f>
        <v>1E-13</v>
      </c>
      <c r="CW138" s="70">
        <f>IF(CW$2&gt;Inputs!$D$5,0,Inputs!$D$15/1000*Inputs!$D$16*(1-Inputs!$D$23)^'Detailed Measures'!CW$2)+0.0000000000001</f>
        <v>1E-13</v>
      </c>
      <c r="CX138" s="70">
        <f>IF(CX$2&gt;Inputs!$D$5,0,Inputs!$D$15/1000*Inputs!$D$16*(1-Inputs!$D$23)^'Detailed Measures'!CX$2)+0.0000000000001</f>
        <v>1E-13</v>
      </c>
      <c r="CY138" s="70">
        <f>IF(CY$2&gt;Inputs!$D$5,0,Inputs!$D$15/1000*Inputs!$D$16*(1-Inputs!$D$23)^'Detailed Measures'!CY$2)+0.0000000000001</f>
        <v>1E-13</v>
      </c>
      <c r="CZ138" s="70">
        <f>IF(CZ$2&gt;Inputs!$D$5,0,Inputs!$D$15/1000*Inputs!$D$16*(1-Inputs!$D$23)^'Detailed Measures'!CZ$2)+0.0000000000001</f>
        <v>1E-13</v>
      </c>
      <c r="DA138" s="70">
        <f>IF(DA$2&gt;Inputs!$D$5,0,Inputs!$D$15/1000*Inputs!$D$16*(1-Inputs!$D$23)^'Detailed Measures'!DA$2)+0.0000000000001</f>
        <v>1E-13</v>
      </c>
      <c r="DB138" s="70">
        <f>IF(DB$2&gt;Inputs!$D$5,0,Inputs!$D$15/1000*Inputs!$D$16*(1-Inputs!$D$23)^'Detailed Measures'!DB$2)+0.0000000000001</f>
        <v>1E-13</v>
      </c>
      <c r="DC138" s="70">
        <f>IF(DC$2&gt;Inputs!$D$5,0,Inputs!$D$15/1000*Inputs!$D$16*(1-Inputs!$D$23)^'Detailed Measures'!DC$2)+0.0000000000001</f>
        <v>1E-13</v>
      </c>
      <c r="DD138" s="70">
        <f>IF(DD$2&gt;Inputs!$D$5,0,Inputs!$D$15/1000*Inputs!$D$16*(1-Inputs!$D$23)^'Detailed Measures'!DD$2)+0.0000000000001</f>
        <v>1E-13</v>
      </c>
    </row>
    <row r="139" spans="1:108" s="1" customFormat="1" ht="19">
      <c r="A139" s="68" t="s">
        <v>435</v>
      </c>
      <c r="B139" s="69"/>
      <c r="C139" s="69"/>
      <c r="D139" s="69"/>
      <c r="E139" s="69"/>
      <c r="F139" s="69"/>
      <c r="G139" s="69"/>
      <c r="H139" s="69"/>
      <c r="I139" s="69"/>
      <c r="J139" s="69"/>
      <c r="K139" s="69"/>
      <c r="L139" s="69"/>
      <c r="M139" s="69"/>
      <c r="N139" s="69"/>
      <c r="O139" s="69"/>
      <c r="P139" s="69"/>
      <c r="Q139" s="69"/>
      <c r="R139" s="69"/>
      <c r="S139" s="69"/>
      <c r="T139" s="69"/>
      <c r="U139" s="69"/>
      <c r="V139" s="69"/>
      <c r="W139" s="69"/>
      <c r="X139" s="69"/>
      <c r="Y139" s="70"/>
      <c r="Z139" s="62"/>
      <c r="AA139" s="70">
        <f>AA137/AA138</f>
        <v>4.3531028572356169E-3</v>
      </c>
      <c r="AB139" s="70">
        <f t="shared" ref="AB139:BN139" si="38">AB137/AB138</f>
        <v>6.6908109731595678E-3</v>
      </c>
      <c r="AC139" s="70">
        <f t="shared" si="38"/>
        <v>6.7544473666448085E-3</v>
      </c>
      <c r="AD139" s="70">
        <f t="shared" si="38"/>
        <v>6.9669176270107519E-3</v>
      </c>
      <c r="AE139" s="70">
        <f t="shared" si="38"/>
        <v>9.2325994315786593E-3</v>
      </c>
      <c r="AF139" s="70">
        <f t="shared" si="38"/>
        <v>7.3057188163619729E-3</v>
      </c>
      <c r="AG139" s="70">
        <f t="shared" si="38"/>
        <v>7.4259723505899289E-3</v>
      </c>
      <c r="AH139" s="70">
        <f t="shared" si="38"/>
        <v>7.7090524228416186E-3</v>
      </c>
      <c r="AI139" s="70">
        <f t="shared" si="38"/>
        <v>7.85794648529505E-3</v>
      </c>
      <c r="AJ139" s="70">
        <f t="shared" si="38"/>
        <v>1.0620292085197391E-2</v>
      </c>
      <c r="AK139" s="70">
        <f t="shared" si="38"/>
        <v>1.3267555846172771E-2</v>
      </c>
      <c r="AL139" s="70">
        <f t="shared" si="38"/>
        <v>1.3489009162332406E-2</v>
      </c>
      <c r="AM139" s="70">
        <f t="shared" si="38"/>
        <v>1.35615441908532E-2</v>
      </c>
      <c r="AN139" s="70">
        <f t="shared" si="38"/>
        <v>1.3817180738392476E-2</v>
      </c>
      <c r="AO139" s="70">
        <f t="shared" si="38"/>
        <v>1.6819487310230415E-2</v>
      </c>
      <c r="AP139" s="70">
        <f t="shared" si="38"/>
        <v>1.4194811045610115E-2</v>
      </c>
      <c r="AQ139" s="70">
        <f t="shared" si="38"/>
        <v>1.4304031799791559E-2</v>
      </c>
      <c r="AR139" s="70">
        <f t="shared" si="38"/>
        <v>1.4604051904551598E-2</v>
      </c>
      <c r="AS139" s="70">
        <f t="shared" si="38"/>
        <v>1.4717262498590412E-2</v>
      </c>
      <c r="AT139" s="70">
        <f t="shared" si="38"/>
        <v>1.8298434469194311E-2</v>
      </c>
      <c r="AU139" s="70">
        <f t="shared" si="38"/>
        <v>5.2334097035036067E-2</v>
      </c>
      <c r="AV139" s="70">
        <f t="shared" si="38"/>
        <v>5.2990513304640573E-2</v>
      </c>
      <c r="AW139" s="70">
        <f t="shared" si="38"/>
        <v>5.3235561003672348E-2</v>
      </c>
      <c r="AX139" s="70">
        <f t="shared" si="38"/>
        <v>5.3494494481284696E-2</v>
      </c>
      <c r="AY139" s="70">
        <f t="shared" si="38"/>
        <v>5.7016428849337469E-2</v>
      </c>
      <c r="AZ139" s="70">
        <f t="shared" si="38"/>
        <v>0</v>
      </c>
      <c r="BA139" s="70">
        <f t="shared" si="38"/>
        <v>0</v>
      </c>
      <c r="BB139" s="70">
        <f t="shared" si="38"/>
        <v>0</v>
      </c>
      <c r="BC139" s="70">
        <f t="shared" si="38"/>
        <v>0</v>
      </c>
      <c r="BD139" s="70">
        <f t="shared" si="38"/>
        <v>0</v>
      </c>
      <c r="BE139" s="70">
        <f t="shared" si="38"/>
        <v>0</v>
      </c>
      <c r="BF139" s="70">
        <f t="shared" si="38"/>
        <v>0</v>
      </c>
      <c r="BG139" s="70">
        <f t="shared" si="38"/>
        <v>0</v>
      </c>
      <c r="BH139" s="70">
        <f t="shared" si="38"/>
        <v>0</v>
      </c>
      <c r="BI139" s="70">
        <f t="shared" si="38"/>
        <v>0</v>
      </c>
      <c r="BJ139" s="70">
        <f t="shared" si="38"/>
        <v>0</v>
      </c>
      <c r="BK139" s="70">
        <f t="shared" si="38"/>
        <v>0</v>
      </c>
      <c r="BL139" s="70">
        <f t="shared" si="38"/>
        <v>0</v>
      </c>
      <c r="BM139" s="70">
        <f t="shared" si="38"/>
        <v>0</v>
      </c>
      <c r="BN139" s="70">
        <f t="shared" si="38"/>
        <v>0</v>
      </c>
      <c r="BO139" s="70"/>
      <c r="BP139" s="62"/>
      <c r="BQ139" s="70">
        <f>BQ137/BQ138</f>
        <v>4.4336273546816424E-3</v>
      </c>
      <c r="BR139" s="70">
        <f t="shared" ref="BR139:DD139" si="39">BR137/BR138</f>
        <v>1.1174902088511131E-2</v>
      </c>
      <c r="BS139" s="70">
        <f t="shared" si="39"/>
        <v>1.0833372327400812E-2</v>
      </c>
      <c r="BT139" s="70">
        <f t="shared" si="39"/>
        <v>1.0647569317484873E-2</v>
      </c>
      <c r="BU139" s="70">
        <f t="shared" si="39"/>
        <v>1.2523686802433799E-2</v>
      </c>
      <c r="BV139" s="70">
        <f t="shared" si="39"/>
        <v>1.0217692278053237E-2</v>
      </c>
      <c r="BW139" s="70">
        <f t="shared" si="39"/>
        <v>9.970927596356375E-3</v>
      </c>
      <c r="BX139" s="70">
        <f t="shared" si="39"/>
        <v>9.954123479312316E-3</v>
      </c>
      <c r="BY139" s="70">
        <f t="shared" si="39"/>
        <v>9.8402542297301963E-3</v>
      </c>
      <c r="BZ139" s="70">
        <f t="shared" si="39"/>
        <v>1.2361727888876219E-2</v>
      </c>
      <c r="CA139" s="70">
        <f t="shared" si="39"/>
        <v>2.0171009094434849E-2</v>
      </c>
      <c r="CB139" s="70">
        <f t="shared" si="39"/>
        <v>1.9345255064313727E-2</v>
      </c>
      <c r="CC139" s="70">
        <f t="shared" si="39"/>
        <v>1.8540082358570464E-2</v>
      </c>
      <c r="CD139" s="70">
        <f t="shared" si="39"/>
        <v>1.8067117556010891E-2</v>
      </c>
      <c r="CE139" s="70">
        <f t="shared" si="39"/>
        <v>2.0465198943737863E-2</v>
      </c>
      <c r="CF139" s="70">
        <f t="shared" si="39"/>
        <v>1.7354043865336226E-2</v>
      </c>
      <c r="CG139" s="70">
        <f t="shared" si="39"/>
        <v>1.7220452973335555E-2</v>
      </c>
      <c r="CH139" s="70">
        <f t="shared" si="39"/>
        <v>1.778739738947414E-2</v>
      </c>
      <c r="CI139" s="70">
        <f t="shared" si="39"/>
        <v>1.8223380575643808E-2</v>
      </c>
      <c r="CJ139" s="70">
        <f t="shared" si="39"/>
        <v>2.2053586766313783E-2</v>
      </c>
      <c r="CK139" s="70">
        <f t="shared" si="39"/>
        <v>0.11711317983086104</v>
      </c>
      <c r="CL139" s="70">
        <f t="shared" si="39"/>
        <v>0.11543314824434887</v>
      </c>
      <c r="CM139" s="70">
        <f t="shared" si="39"/>
        <v>0.11208858384975125</v>
      </c>
      <c r="CN139" s="70">
        <f t="shared" si="39"/>
        <v>0.10770195264402922</v>
      </c>
      <c r="CO139" s="70">
        <f t="shared" si="39"/>
        <v>0.10568105651497371</v>
      </c>
      <c r="CP139" s="70">
        <f t="shared" si="39"/>
        <v>0</v>
      </c>
      <c r="CQ139" s="70">
        <f t="shared" si="39"/>
        <v>0</v>
      </c>
      <c r="CR139" s="70">
        <f t="shared" si="39"/>
        <v>0</v>
      </c>
      <c r="CS139" s="70">
        <f t="shared" si="39"/>
        <v>0</v>
      </c>
      <c r="CT139" s="70">
        <f t="shared" si="39"/>
        <v>0</v>
      </c>
      <c r="CU139" s="70">
        <f t="shared" si="39"/>
        <v>0</v>
      </c>
      <c r="CV139" s="70">
        <f t="shared" si="39"/>
        <v>0</v>
      </c>
      <c r="CW139" s="70">
        <f t="shared" si="39"/>
        <v>0</v>
      </c>
      <c r="CX139" s="70">
        <f t="shared" si="39"/>
        <v>0</v>
      </c>
      <c r="CY139" s="70">
        <f t="shared" si="39"/>
        <v>0</v>
      </c>
      <c r="CZ139" s="70">
        <f t="shared" si="39"/>
        <v>0</v>
      </c>
      <c r="DA139" s="70">
        <f t="shared" si="39"/>
        <v>0</v>
      </c>
      <c r="DB139" s="70">
        <f t="shared" si="39"/>
        <v>0</v>
      </c>
      <c r="DC139" s="70">
        <f t="shared" si="39"/>
        <v>0</v>
      </c>
      <c r="DD139" s="70">
        <f t="shared" si="39"/>
        <v>0</v>
      </c>
    </row>
    <row r="140" spans="1:108">
      <c r="Y140" s="118">
        <f>NPV(Inputs!D6,'Detailed Measures'!AA137:BN137)</f>
        <v>2120221.563363702</v>
      </c>
    </row>
  </sheetData>
  <autoFilter ref="A2:BN140" xr:uid="{00000000-0009-0000-0000-000002000000}"/>
  <sortState xmlns:xlrd2="http://schemas.microsoft.com/office/spreadsheetml/2017/richdata2" ref="A5:BN138">
    <sortCondition ref="B5:B138"/>
    <sortCondition ref="D5:D138" customList="Administrative,Preventive,Corrective"/>
  </sortState>
  <conditionalFormatting sqref="A56:G56 S56:W56 I56:N56">
    <cfRule type="expression" dxfId="59" priority="95">
      <formula>$E$56=0</formula>
    </cfRule>
  </conditionalFormatting>
  <conditionalFormatting sqref="A20:D20 A7:C7 E7:G7 V5:Z6 F20:G20 R5:R6 R125:Z136 A122:E122 I124:J124 L124:M124 O124:P124 I21:O25 A124:G136 A8:G19 U3:Z3 R7:Z119 I26:P121 A21:G121 H3:H121 Q4:Q121 BO5:BP119 L3:S3 H125:P136 A5:G6 P4:P25 I4:N20 R4:Z4 I122:N122 R120:W122 P122 R123:R124 L123:O123 BO125:BP136">
    <cfRule type="expression" dxfId="58" priority="88">
      <formula>$E3=0</formula>
    </cfRule>
  </conditionalFormatting>
  <conditionalFormatting sqref="A3:J3">
    <cfRule type="expression" dxfId="57" priority="94">
      <formula>$E3=0</formula>
    </cfRule>
  </conditionalFormatting>
  <conditionalFormatting sqref="D7">
    <cfRule type="expression" dxfId="56" priority="93">
      <formula>$E7=0</formula>
    </cfRule>
  </conditionalFormatting>
  <conditionalFormatting sqref="O5:O19">
    <cfRule type="expression" dxfId="55" priority="92">
      <formula>$E5=0</formula>
    </cfRule>
  </conditionalFormatting>
  <conditionalFormatting sqref="S5:U6">
    <cfRule type="expression" dxfId="54" priority="91">
      <formula>$E5=0</formula>
    </cfRule>
  </conditionalFormatting>
  <conditionalFormatting sqref="E20:G20">
    <cfRule type="expression" dxfId="53" priority="90">
      <formula>$E20=0</formula>
    </cfRule>
  </conditionalFormatting>
  <conditionalFormatting sqref="O20">
    <cfRule type="expression" dxfId="52" priority="89">
      <formula>$E20=0</formula>
    </cfRule>
  </conditionalFormatting>
  <conditionalFormatting sqref="Z125:Z136 Z5:Z119 Z3">
    <cfRule type="colorScale" priority="96">
      <colorScale>
        <cfvo type="percent" val="10"/>
        <cfvo type="percent" val="50"/>
        <cfvo type="percent" val="100"/>
        <color rgb="FF63BE7B"/>
        <color rgb="FFFFEB84"/>
        <color rgb="FFF8696B"/>
      </colorScale>
    </cfRule>
  </conditionalFormatting>
  <conditionalFormatting sqref="A4:G4">
    <cfRule type="expression" dxfId="51" priority="85">
      <formula>$E4=0</formula>
    </cfRule>
  </conditionalFormatting>
  <conditionalFormatting sqref="O4">
    <cfRule type="expression" dxfId="50" priority="86">
      <formula>$E4=0</formula>
    </cfRule>
  </conditionalFormatting>
  <conditionalFormatting sqref="Z4">
    <cfRule type="colorScale" priority="87">
      <colorScale>
        <cfvo type="percent" val="10"/>
        <cfvo type="percent" val="50"/>
        <cfvo type="percent" val="100"/>
        <color rgb="FF63BE7B"/>
        <color rgb="FFFFEB84"/>
        <color rgb="FFF8696B"/>
      </colorScale>
    </cfRule>
  </conditionalFormatting>
  <conditionalFormatting sqref="AA125:BN136 AA3:BN119 BQ4:DD136">
    <cfRule type="expression" dxfId="49" priority="83">
      <formula>$E3=0</formula>
    </cfRule>
    <cfRule type="expression" dxfId="48" priority="84">
      <formula>ROW()=EVEN(ROW())</formula>
    </cfRule>
  </conditionalFormatting>
  <conditionalFormatting sqref="K3">
    <cfRule type="expression" dxfId="47" priority="80">
      <formula>$E3=0</formula>
    </cfRule>
  </conditionalFormatting>
  <conditionalFormatting sqref="Q125:Q136">
    <cfRule type="expression" dxfId="46" priority="78">
      <formula>$E125=0</formula>
    </cfRule>
  </conditionalFormatting>
  <conditionalFormatting sqref="X120:Z120">
    <cfRule type="expression" dxfId="45" priority="76">
      <formula>$E120=0</formula>
    </cfRule>
  </conditionalFormatting>
  <conditionalFormatting sqref="Z120">
    <cfRule type="colorScale" priority="77">
      <colorScale>
        <cfvo type="percent" val="10"/>
        <cfvo type="percent" val="50"/>
        <cfvo type="percent" val="100"/>
        <color rgb="FF63BE7B"/>
        <color rgb="FFFFEB84"/>
        <color rgb="FFF8696B"/>
      </colorScale>
    </cfRule>
  </conditionalFormatting>
  <conditionalFormatting sqref="AA120:BN120">
    <cfRule type="expression" dxfId="44" priority="74">
      <formula>$E120=0</formula>
    </cfRule>
    <cfRule type="expression" dxfId="43" priority="75">
      <formula>ROW()=EVEN(ROW())</formula>
    </cfRule>
  </conditionalFormatting>
  <conditionalFormatting sqref="X121:Z121">
    <cfRule type="expression" dxfId="42" priority="72">
      <formula>$E121=0</formula>
    </cfRule>
  </conditionalFormatting>
  <conditionalFormatting sqref="Z121">
    <cfRule type="colorScale" priority="73">
      <colorScale>
        <cfvo type="percent" val="10"/>
        <cfvo type="percent" val="50"/>
        <cfvo type="percent" val="100"/>
        <color rgb="FF63BE7B"/>
        <color rgb="FFFFEB84"/>
        <color rgb="FFF8696B"/>
      </colorScale>
    </cfRule>
  </conditionalFormatting>
  <conditionalFormatting sqref="AA121:BN121">
    <cfRule type="expression" dxfId="41" priority="70">
      <formula>$E121=0</formula>
    </cfRule>
    <cfRule type="expression" dxfId="40" priority="71">
      <formula>ROW()=EVEN(ROW())</formula>
    </cfRule>
  </conditionalFormatting>
  <conditionalFormatting sqref="F122:G122">
    <cfRule type="expression" dxfId="39" priority="68">
      <formula>$E122=0</formula>
    </cfRule>
  </conditionalFormatting>
  <conditionalFormatting sqref="H122">
    <cfRule type="expression" dxfId="38" priority="69">
      <formula>$E122=0</formula>
    </cfRule>
  </conditionalFormatting>
  <conditionalFormatting sqref="Q122">
    <cfRule type="expression" dxfId="37" priority="67">
      <formula>$E122=0</formula>
    </cfRule>
  </conditionalFormatting>
  <conditionalFormatting sqref="X122:Z122">
    <cfRule type="expression" dxfId="36" priority="65">
      <formula>$E122=0</formula>
    </cfRule>
  </conditionalFormatting>
  <conditionalFormatting sqref="Z122">
    <cfRule type="colorScale" priority="66">
      <colorScale>
        <cfvo type="percent" val="10"/>
        <cfvo type="percent" val="50"/>
        <cfvo type="percent" val="100"/>
        <color rgb="FF63BE7B"/>
        <color rgb="FFFFEB84"/>
        <color rgb="FFF8696B"/>
      </colorScale>
    </cfRule>
  </conditionalFormatting>
  <conditionalFormatting sqref="AA122:BN122">
    <cfRule type="expression" dxfId="35" priority="63">
      <formula>$E122=0</formula>
    </cfRule>
    <cfRule type="expression" dxfId="34" priority="64">
      <formula>ROW()=EVEN(ROW())</formula>
    </cfRule>
  </conditionalFormatting>
  <conditionalFormatting sqref="O122">
    <cfRule type="expression" dxfId="33" priority="62">
      <formula>$E122=0</formula>
    </cfRule>
  </conditionalFormatting>
  <conditionalFormatting sqref="S123">
    <cfRule type="expression" dxfId="32" priority="51">
      <formula>$E123=0</formula>
    </cfRule>
  </conditionalFormatting>
  <conditionalFormatting sqref="P123">
    <cfRule type="expression" dxfId="31" priority="60">
      <formula>$E123=0</formula>
    </cfRule>
  </conditionalFormatting>
  <conditionalFormatting sqref="A123:I123">
    <cfRule type="expression" dxfId="30" priority="61">
      <formula>$E123=0</formula>
    </cfRule>
  </conditionalFormatting>
  <conditionalFormatting sqref="Q123">
    <cfRule type="expression" dxfId="29" priority="52">
      <formula>$E123=0</formula>
    </cfRule>
  </conditionalFormatting>
  <conditionalFormatting sqref="J123">
    <cfRule type="expression" dxfId="28" priority="54">
      <formula>$E123=0</formula>
    </cfRule>
  </conditionalFormatting>
  <conditionalFormatting sqref="K123">
    <cfRule type="expression" dxfId="27" priority="53">
      <formula>$E123=0</formula>
    </cfRule>
  </conditionalFormatting>
  <conditionalFormatting sqref="T123">
    <cfRule type="expression" dxfId="26" priority="50">
      <formula>$E123=0</formula>
    </cfRule>
  </conditionalFormatting>
  <conditionalFormatting sqref="U123">
    <cfRule type="expression" dxfId="25" priority="49">
      <formula>$E123=0</formula>
    </cfRule>
  </conditionalFormatting>
  <conditionalFormatting sqref="V123:W123">
    <cfRule type="expression" dxfId="24" priority="48">
      <formula>$E123=0</formula>
    </cfRule>
  </conditionalFormatting>
  <conditionalFormatting sqref="X123:Z123">
    <cfRule type="expression" dxfId="23" priority="46">
      <formula>$E123=0</formula>
    </cfRule>
  </conditionalFormatting>
  <conditionalFormatting sqref="Z123">
    <cfRule type="colorScale" priority="47">
      <colorScale>
        <cfvo type="percent" val="10"/>
        <cfvo type="percent" val="50"/>
        <cfvo type="percent" val="100"/>
        <color rgb="FF63BE7B"/>
        <color rgb="FFFFEB84"/>
        <color rgb="FFF8696B"/>
      </colorScale>
    </cfRule>
  </conditionalFormatting>
  <conditionalFormatting sqref="AA123:BN123">
    <cfRule type="expression" dxfId="22" priority="44">
      <formula>$E123=0</formula>
    </cfRule>
    <cfRule type="expression" dxfId="21" priority="45">
      <formula>ROW()=EVEN(ROW())</formula>
    </cfRule>
  </conditionalFormatting>
  <conditionalFormatting sqref="H124">
    <cfRule type="expression" dxfId="20" priority="43">
      <formula>$E124=0</formula>
    </cfRule>
  </conditionalFormatting>
  <conditionalFormatting sqref="K124">
    <cfRule type="expression" dxfId="19" priority="42">
      <formula>$E124=0</formula>
    </cfRule>
  </conditionalFormatting>
  <conditionalFormatting sqref="N124">
    <cfRule type="expression" dxfId="18" priority="41">
      <formula>$E124=0</formula>
    </cfRule>
  </conditionalFormatting>
  <conditionalFormatting sqref="Q124">
    <cfRule type="expression" dxfId="17" priority="40">
      <formula>$E124=0</formula>
    </cfRule>
  </conditionalFormatting>
  <conditionalFormatting sqref="S124">
    <cfRule type="expression" dxfId="16" priority="39">
      <formula>$E124=0</formula>
    </cfRule>
  </conditionalFormatting>
  <conditionalFormatting sqref="T124">
    <cfRule type="expression" dxfId="15" priority="38">
      <formula>$E124=0</formula>
    </cfRule>
  </conditionalFormatting>
  <conditionalFormatting sqref="U124">
    <cfRule type="expression" dxfId="14" priority="37">
      <formula>$E124=0</formula>
    </cfRule>
  </conditionalFormatting>
  <conditionalFormatting sqref="V124:W124">
    <cfRule type="expression" dxfId="13" priority="36">
      <formula>$E124=0</formula>
    </cfRule>
  </conditionalFormatting>
  <conditionalFormatting sqref="X124:Z124">
    <cfRule type="expression" dxfId="12" priority="34">
      <formula>$E124=0</formula>
    </cfRule>
  </conditionalFormatting>
  <conditionalFormatting sqref="Z124">
    <cfRule type="colorScale" priority="35">
      <colorScale>
        <cfvo type="percent" val="10"/>
        <cfvo type="percent" val="50"/>
        <cfvo type="percent" val="100"/>
        <color rgb="FF63BE7B"/>
        <color rgb="FFFFEB84"/>
        <color rgb="FFF8696B"/>
      </colorScale>
    </cfRule>
  </conditionalFormatting>
  <conditionalFormatting sqref="AA124:BN124">
    <cfRule type="expression" dxfId="11" priority="32">
      <formula>$E124=0</formula>
    </cfRule>
    <cfRule type="expression" dxfId="10" priority="33">
      <formula>ROW()=EVEN(ROW())</formula>
    </cfRule>
  </conditionalFormatting>
  <conditionalFormatting sqref="BO3:BP3">
    <cfRule type="expression" dxfId="9" priority="30">
      <formula>$E3=0</formula>
    </cfRule>
  </conditionalFormatting>
  <conditionalFormatting sqref="BP125:BP136 BP5:BP119 BP3">
    <cfRule type="colorScale" priority="31">
      <colorScale>
        <cfvo type="percent" val="10"/>
        <cfvo type="percent" val="50"/>
        <cfvo type="percent" val="100"/>
        <color rgb="FF63BE7B"/>
        <color rgb="FFFFEB84"/>
        <color rgb="FFF8696B"/>
      </colorScale>
    </cfRule>
  </conditionalFormatting>
  <conditionalFormatting sqref="BO4:BP4">
    <cfRule type="expression" dxfId="8" priority="28">
      <formula>$E4=0</formula>
    </cfRule>
  </conditionalFormatting>
  <conditionalFormatting sqref="BP4">
    <cfRule type="colorScale" priority="29">
      <colorScale>
        <cfvo type="percent" val="10"/>
        <cfvo type="percent" val="50"/>
        <cfvo type="percent" val="100"/>
        <color rgb="FF63BE7B"/>
        <color rgb="FFFFEB84"/>
        <color rgb="FFF8696B"/>
      </colorScale>
    </cfRule>
  </conditionalFormatting>
  <conditionalFormatting sqref="BQ3:DD136">
    <cfRule type="expression" dxfId="7" priority="26">
      <formula>$E3=0</formula>
    </cfRule>
    <cfRule type="expression" dxfId="6" priority="27">
      <formula>ROW()=EVEN(ROW())</formula>
    </cfRule>
  </conditionalFormatting>
  <conditionalFormatting sqref="BO120:BP120">
    <cfRule type="expression" dxfId="5" priority="24">
      <formula>$E120=0</formula>
    </cfRule>
  </conditionalFormatting>
  <conditionalFormatting sqref="BP120">
    <cfRule type="colorScale" priority="25">
      <colorScale>
        <cfvo type="percent" val="10"/>
        <cfvo type="percent" val="50"/>
        <cfvo type="percent" val="100"/>
        <color rgb="FF63BE7B"/>
        <color rgb="FFFFEB84"/>
        <color rgb="FFF8696B"/>
      </colorScale>
    </cfRule>
  </conditionalFormatting>
  <conditionalFormatting sqref="BO121:BP121">
    <cfRule type="expression" dxfId="4" priority="20">
      <formula>$E121=0</formula>
    </cfRule>
  </conditionalFormatting>
  <conditionalFormatting sqref="BP121">
    <cfRule type="colorScale" priority="21">
      <colorScale>
        <cfvo type="percent" val="10"/>
        <cfvo type="percent" val="50"/>
        <cfvo type="percent" val="100"/>
        <color rgb="FF63BE7B"/>
        <color rgb="FFFFEB84"/>
        <color rgb="FFF8696B"/>
      </colorScale>
    </cfRule>
  </conditionalFormatting>
  <conditionalFormatting sqref="BO122:BP122">
    <cfRule type="expression" dxfId="3" priority="16">
      <formula>$E122=0</formula>
    </cfRule>
  </conditionalFormatting>
  <conditionalFormatting sqref="BP122">
    <cfRule type="colorScale" priority="17">
      <colorScale>
        <cfvo type="percent" val="10"/>
        <cfvo type="percent" val="50"/>
        <cfvo type="percent" val="100"/>
        <color rgb="FF63BE7B"/>
        <color rgb="FFFFEB84"/>
        <color rgb="FFF8696B"/>
      </colorScale>
    </cfRule>
  </conditionalFormatting>
  <conditionalFormatting sqref="BO123:BP123">
    <cfRule type="expression" dxfId="2" priority="12">
      <formula>$E123=0</formula>
    </cfRule>
  </conditionalFormatting>
  <conditionalFormatting sqref="BP123">
    <cfRule type="colorScale" priority="13">
      <colorScale>
        <cfvo type="percent" val="10"/>
        <cfvo type="percent" val="50"/>
        <cfvo type="percent" val="100"/>
        <color rgb="FF63BE7B"/>
        <color rgb="FFFFEB84"/>
        <color rgb="FFF8696B"/>
      </colorScale>
    </cfRule>
  </conditionalFormatting>
  <conditionalFormatting sqref="BO124:BP124">
    <cfRule type="expression" dxfId="1" priority="8">
      <formula>$E124=0</formula>
    </cfRule>
  </conditionalFormatting>
  <conditionalFormatting sqref="BP124">
    <cfRule type="colorScale" priority="9">
      <colorScale>
        <cfvo type="percent" val="10"/>
        <cfvo type="percent" val="50"/>
        <cfvo type="percent" val="100"/>
        <color rgb="FF63BE7B"/>
        <color rgb="FFFFEB84"/>
        <color rgb="FFF8696B"/>
      </colorScale>
    </cfRule>
  </conditionalFormatting>
  <conditionalFormatting sqref="T3">
    <cfRule type="expression" dxfId="0" priority="5">
      <formula>$E3=0</formula>
    </cfRule>
  </conditionalFormatting>
  <dataValidations count="2">
    <dataValidation type="list" allowBlank="1" showInputMessage="1" showErrorMessage="1" sqref="H125:H136" xr:uid="{00000000-0002-0000-0200-000000000000}">
      <formula1>$M$2:$M$6</formula1>
    </dataValidation>
    <dataValidation type="list" allowBlank="1" showInputMessage="1" showErrorMessage="1" sqref="N125:N136" xr:uid="{00000000-0002-0000-0200-000001000000}">
      <formula1>$J$2:$J$3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200-000002000000}">
          <x14:formula1>
            <xm:f>Lists!$A$3:$A$7</xm:f>
          </x14:formula1>
          <xm:sqref>B3:B122 B124:B136</xm:sqref>
        </x14:dataValidation>
        <x14:dataValidation type="list" allowBlank="1" showInputMessage="1" showErrorMessage="1" xr:uid="{00000000-0002-0000-0200-000003000000}">
          <x14:formula1>
            <xm:f>'/Users/awalker/AppData/Local/Microsoft/Windows/Temporary Internet Files/Content.Outlook/X0UWMH8Z/[PVOMcost-Model-Rev-1-0a-100-kW-Ground-Example-6OCT2014 _HL Edits.xlsx]Lists'!#REF!</xm:f>
          </x14:formula1>
          <xm:sqref>H123:H124 N123:N124 B123</xm:sqref>
        </x14:dataValidation>
        <x14:dataValidation type="list" allowBlank="1" showInputMessage="1" showErrorMessage="1" xr:uid="{00000000-0002-0000-0200-000004000000}">
          <x14:formula1>
            <xm:f>Lists!$K$3:$K$4</xm:f>
          </x14:formula1>
          <xm:sqref>N3:N122</xm:sqref>
        </x14:dataValidation>
        <x14:dataValidation type="list" allowBlank="1" showInputMessage="1" showErrorMessage="1" xr:uid="{00000000-0002-0000-0200-000005000000}">
          <x14:formula1>
            <xm:f>'Labor Rates'!$A$2:$A$16</xm:f>
          </x14:formula1>
          <xm:sqref>J3:J136</xm:sqref>
        </x14:dataValidation>
        <x14:dataValidation type="list" allowBlank="1" showInputMessage="1" showErrorMessage="1" xr:uid="{00000000-0002-0000-0200-000006000000}">
          <x14:formula1>
            <xm:f>Lists!$P$3:$P$7</xm:f>
          </x14:formula1>
          <xm:sqref>H3:H122</xm:sqref>
        </x14:dataValidation>
        <x14:dataValidation type="list" allowBlank="1" showInputMessage="1" showErrorMessage="1" xr:uid="{00000000-0002-0000-0200-000007000000}">
          <x14:formula1>
            <xm:f>Lists!$C$3:$C$17</xm:f>
          </x14:formula1>
          <xm:sqref>D3:D136</xm:sqref>
        </x14:dataValidation>
        <x14:dataValidation type="list" allowBlank="1" showInputMessage="1" showErrorMessage="1" xr:uid="{00000000-0002-0000-0200-000008000000}">
          <x14:formula1>
            <xm:f>Lists!$B$3:$B$9</xm:f>
          </x14:formula1>
          <xm:sqref>C3:C136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8"/>
  <sheetViews>
    <sheetView showGridLines="0" zoomScale="75" zoomScaleNormal="75" zoomScalePageLayoutView="75" workbookViewId="0">
      <selection activeCell="A13" sqref="A13"/>
    </sheetView>
  </sheetViews>
  <sheetFormatPr baseColWidth="10" defaultColWidth="8.6640625" defaultRowHeight="15"/>
  <cols>
    <col min="1" max="1" width="20.1640625" customWidth="1"/>
    <col min="2" max="4" width="20.1640625" hidden="1" customWidth="1"/>
    <col min="5" max="5" width="20.1640625" style="123" customWidth="1"/>
    <col min="6" max="6" width="20.1640625" customWidth="1"/>
    <col min="7" max="7" width="36.5" customWidth="1"/>
    <col min="8" max="8" width="12.5" hidden="1" customWidth="1"/>
    <col min="9" max="9" width="101.5" customWidth="1"/>
  </cols>
  <sheetData>
    <row r="1" spans="1:9" ht="60">
      <c r="A1" s="141" t="s">
        <v>459</v>
      </c>
      <c r="B1" s="141"/>
      <c r="C1" s="141" t="s">
        <v>378</v>
      </c>
      <c r="D1" s="141" t="s">
        <v>379</v>
      </c>
      <c r="E1" s="142" t="s">
        <v>445</v>
      </c>
      <c r="F1" s="141" t="s">
        <v>451</v>
      </c>
      <c r="G1" s="141" t="s">
        <v>94</v>
      </c>
      <c r="H1" s="141" t="s">
        <v>278</v>
      </c>
      <c r="I1" s="143" t="s">
        <v>95</v>
      </c>
    </row>
    <row r="2" spans="1:9" ht="40">
      <c r="A2" s="144" t="s">
        <v>248</v>
      </c>
      <c r="B2" s="145">
        <f>F2</f>
        <v>22.995576923076925</v>
      </c>
      <c r="C2" s="182">
        <f>E2</f>
        <v>1.38</v>
      </c>
      <c r="D2" s="146">
        <v>16.66346153846154</v>
      </c>
      <c r="E2" s="147">
        <v>1.38</v>
      </c>
      <c r="F2" s="148">
        <f>D2*E2</f>
        <v>22.995576923076925</v>
      </c>
      <c r="G2" s="149" t="s">
        <v>96</v>
      </c>
      <c r="H2" s="150">
        <f>F2*Inputs!$D$9</f>
        <v>47830.8</v>
      </c>
      <c r="I2" s="151" t="s">
        <v>249</v>
      </c>
    </row>
    <row r="3" spans="1:9" ht="40">
      <c r="A3" s="144" t="s">
        <v>216</v>
      </c>
      <c r="B3" s="145">
        <f t="shared" ref="B3:B16" si="0">F3</f>
        <v>14.735480769230767</v>
      </c>
      <c r="C3" s="182">
        <f t="shared" ref="C3:C16" si="1">E3</f>
        <v>1.38</v>
      </c>
      <c r="D3" s="146">
        <v>10.677884615384615</v>
      </c>
      <c r="E3" s="147">
        <v>1.38</v>
      </c>
      <c r="F3" s="148">
        <f t="shared" ref="F3:F16" si="2">D3*E3</f>
        <v>14.735480769230767</v>
      </c>
      <c r="G3" s="149" t="s">
        <v>99</v>
      </c>
      <c r="H3" s="150">
        <f>F3*Inputs!$D$9</f>
        <v>30649.799999999996</v>
      </c>
      <c r="I3" s="152" t="s">
        <v>100</v>
      </c>
    </row>
    <row r="4" spans="1:9" ht="80">
      <c r="A4" s="144" t="s">
        <v>82</v>
      </c>
      <c r="B4" s="145">
        <f t="shared" si="0"/>
        <v>58.33153846153845</v>
      </c>
      <c r="C4" s="182">
        <f t="shared" si="1"/>
        <v>1.38</v>
      </c>
      <c r="D4" s="146">
        <v>42.269230769230766</v>
      </c>
      <c r="E4" s="147">
        <v>1.38</v>
      </c>
      <c r="F4" s="148">
        <f t="shared" si="2"/>
        <v>58.33153846153845</v>
      </c>
      <c r="G4" s="149" t="s">
        <v>97</v>
      </c>
      <c r="H4" s="150">
        <f>F4*Inputs!$D$9</f>
        <v>121329.59999999998</v>
      </c>
      <c r="I4" s="151" t="s">
        <v>98</v>
      </c>
    </row>
    <row r="5" spans="1:9" ht="40">
      <c r="A5" s="144" t="s">
        <v>246</v>
      </c>
      <c r="B5" s="145">
        <f t="shared" si="0"/>
        <v>33.119999999999997</v>
      </c>
      <c r="C5" s="182">
        <f t="shared" si="1"/>
        <v>1.38</v>
      </c>
      <c r="D5" s="146">
        <v>24</v>
      </c>
      <c r="E5" s="147">
        <v>1.38</v>
      </c>
      <c r="F5" s="148">
        <f t="shared" si="2"/>
        <v>33.119999999999997</v>
      </c>
      <c r="G5" s="149" t="s">
        <v>116</v>
      </c>
      <c r="H5" s="150">
        <f>F5*Inputs!$D$9</f>
        <v>68889.599999999991</v>
      </c>
      <c r="I5" s="152" t="s">
        <v>117</v>
      </c>
    </row>
    <row r="6" spans="1:9" ht="40">
      <c r="A6" s="144" t="s">
        <v>91</v>
      </c>
      <c r="B6" s="145">
        <f t="shared" si="0"/>
        <v>33.17307692307692</v>
      </c>
      <c r="C6" s="182">
        <f t="shared" si="1"/>
        <v>1.38</v>
      </c>
      <c r="D6" s="146">
        <v>24.03846153846154</v>
      </c>
      <c r="E6" s="147">
        <v>1.38</v>
      </c>
      <c r="F6" s="148">
        <f t="shared" si="2"/>
        <v>33.17307692307692</v>
      </c>
      <c r="G6" s="149" t="s">
        <v>118</v>
      </c>
      <c r="H6" s="150">
        <f>F6*Inputs!$D$9</f>
        <v>69000</v>
      </c>
      <c r="I6" s="152" t="s">
        <v>243</v>
      </c>
    </row>
    <row r="7" spans="1:9" ht="80">
      <c r="A7" s="144" t="s">
        <v>88</v>
      </c>
      <c r="B7" s="145">
        <f t="shared" si="0"/>
        <v>19.903846153846153</v>
      </c>
      <c r="C7" s="182">
        <f t="shared" si="1"/>
        <v>1.38</v>
      </c>
      <c r="D7" s="146">
        <v>14.423076923076923</v>
      </c>
      <c r="E7" s="147">
        <v>1.38</v>
      </c>
      <c r="F7" s="148">
        <f t="shared" si="2"/>
        <v>19.903846153846153</v>
      </c>
      <c r="G7" s="149" t="s">
        <v>113</v>
      </c>
      <c r="H7" s="150">
        <f>F7*Inputs!$D$9</f>
        <v>41400</v>
      </c>
      <c r="I7" s="152" t="s">
        <v>245</v>
      </c>
    </row>
    <row r="8" spans="1:9" ht="80">
      <c r="A8" s="144" t="s">
        <v>87</v>
      </c>
      <c r="B8" s="145">
        <f t="shared" si="0"/>
        <v>32.012019230769226</v>
      </c>
      <c r="C8" s="182">
        <f t="shared" si="1"/>
        <v>1.38</v>
      </c>
      <c r="D8" s="146">
        <v>23.197115384615383</v>
      </c>
      <c r="E8" s="147">
        <v>1.38</v>
      </c>
      <c r="F8" s="148">
        <f t="shared" si="2"/>
        <v>32.012019230769226</v>
      </c>
      <c r="G8" s="149" t="s">
        <v>111</v>
      </c>
      <c r="H8" s="150">
        <f>F8*Inputs!$D$9</f>
        <v>66584.999999999985</v>
      </c>
      <c r="I8" s="152" t="s">
        <v>112</v>
      </c>
    </row>
    <row r="9" spans="1:9" ht="40">
      <c r="A9" s="144" t="s">
        <v>86</v>
      </c>
      <c r="B9" s="145">
        <f t="shared" si="0"/>
        <v>29.298461538461535</v>
      </c>
      <c r="C9" s="182">
        <f t="shared" si="1"/>
        <v>1.38</v>
      </c>
      <c r="D9" s="146">
        <v>21.23076923076923</v>
      </c>
      <c r="E9" s="147">
        <v>1.38</v>
      </c>
      <c r="F9" s="148">
        <f t="shared" si="2"/>
        <v>29.298461538461535</v>
      </c>
      <c r="G9" s="149" t="s">
        <v>109</v>
      </c>
      <c r="H9" s="150">
        <f>F9*Inputs!$D$9</f>
        <v>60940.799999999988</v>
      </c>
      <c r="I9" s="152" t="s">
        <v>110</v>
      </c>
    </row>
    <row r="10" spans="1:9" ht="80">
      <c r="A10" s="144" t="s">
        <v>89</v>
      </c>
      <c r="B10" s="145">
        <f t="shared" si="0"/>
        <v>45.884999999999998</v>
      </c>
      <c r="C10" s="182">
        <f t="shared" si="1"/>
        <v>1.38</v>
      </c>
      <c r="D10" s="146">
        <v>33.25</v>
      </c>
      <c r="E10" s="147">
        <v>1.38</v>
      </c>
      <c r="F10" s="148">
        <f t="shared" si="2"/>
        <v>45.884999999999998</v>
      </c>
      <c r="G10" s="149" t="s">
        <v>114</v>
      </c>
      <c r="H10" s="150">
        <f>F10*Inputs!$D$9</f>
        <v>95440.8</v>
      </c>
      <c r="I10" s="152" t="s">
        <v>115</v>
      </c>
    </row>
    <row r="11" spans="1:9" ht="60">
      <c r="A11" s="144" t="s">
        <v>83</v>
      </c>
      <c r="B11" s="145">
        <f t="shared" si="0"/>
        <v>20.129423076923075</v>
      </c>
      <c r="C11" s="182">
        <f t="shared" si="1"/>
        <v>1.38</v>
      </c>
      <c r="D11" s="146">
        <v>14.586538461538462</v>
      </c>
      <c r="E11" s="147">
        <v>1.38</v>
      </c>
      <c r="F11" s="148">
        <f t="shared" si="2"/>
        <v>20.129423076923075</v>
      </c>
      <c r="G11" s="149" t="s">
        <v>103</v>
      </c>
      <c r="H11" s="150">
        <f>F11*Inputs!$D$9</f>
        <v>41869.199999999997</v>
      </c>
      <c r="I11" s="152" t="s">
        <v>104</v>
      </c>
    </row>
    <row r="12" spans="1:9" ht="40">
      <c r="A12" s="144" t="s">
        <v>92</v>
      </c>
      <c r="B12" s="145">
        <f t="shared" si="0"/>
        <v>33.17307692307692</v>
      </c>
      <c r="C12" s="182">
        <f t="shared" si="1"/>
        <v>1.38</v>
      </c>
      <c r="D12" s="146">
        <v>24.03846153846154</v>
      </c>
      <c r="E12" s="147">
        <v>1.38</v>
      </c>
      <c r="F12" s="148">
        <f t="shared" si="2"/>
        <v>33.17307692307692</v>
      </c>
      <c r="G12" s="149" t="s">
        <v>119</v>
      </c>
      <c r="H12" s="150">
        <f>F12*Inputs!$D$9</f>
        <v>69000</v>
      </c>
      <c r="I12" s="152" t="s">
        <v>244</v>
      </c>
    </row>
    <row r="13" spans="1:9" ht="40">
      <c r="A13" s="144" t="s">
        <v>84</v>
      </c>
      <c r="B13" s="145">
        <f t="shared" si="0"/>
        <v>22.703653846153845</v>
      </c>
      <c r="C13" s="182">
        <f t="shared" si="1"/>
        <v>1.38</v>
      </c>
      <c r="D13" s="146">
        <v>16.451923076923077</v>
      </c>
      <c r="E13" s="147">
        <v>1.38</v>
      </c>
      <c r="F13" s="148">
        <f t="shared" si="2"/>
        <v>22.703653846153845</v>
      </c>
      <c r="G13" s="149" t="s">
        <v>105</v>
      </c>
      <c r="H13" s="150">
        <f>F13*Inputs!$D$9</f>
        <v>47223.6</v>
      </c>
      <c r="I13" s="152" t="s">
        <v>106</v>
      </c>
    </row>
    <row r="14" spans="1:9" ht="40">
      <c r="A14" s="144" t="s">
        <v>85</v>
      </c>
      <c r="B14" s="145">
        <f t="shared" si="0"/>
        <v>55.823653846153846</v>
      </c>
      <c r="C14" s="182">
        <f t="shared" si="1"/>
        <v>1.38</v>
      </c>
      <c r="D14" s="146">
        <v>40.45192307692308</v>
      </c>
      <c r="E14" s="147">
        <v>1.38</v>
      </c>
      <c r="F14" s="148">
        <f t="shared" si="2"/>
        <v>55.823653846153846</v>
      </c>
      <c r="G14" s="149" t="s">
        <v>107</v>
      </c>
      <c r="H14" s="150">
        <f>F14*Inputs!$D$9</f>
        <v>116113.2</v>
      </c>
      <c r="I14" s="152" t="s">
        <v>108</v>
      </c>
    </row>
    <row r="15" spans="1:9" ht="40">
      <c r="A15" s="144" t="s">
        <v>247</v>
      </c>
      <c r="B15" s="145">
        <f t="shared" si="0"/>
        <v>15.750576923076922</v>
      </c>
      <c r="C15" s="182">
        <f t="shared" si="1"/>
        <v>1.38</v>
      </c>
      <c r="D15" s="146">
        <v>11.413461538461538</v>
      </c>
      <c r="E15" s="147">
        <v>1.38</v>
      </c>
      <c r="F15" s="148">
        <f t="shared" si="2"/>
        <v>15.750576923076922</v>
      </c>
      <c r="G15" s="149" t="s">
        <v>101</v>
      </c>
      <c r="H15" s="150">
        <f>F15*Inputs!$D$9</f>
        <v>32761.199999999997</v>
      </c>
      <c r="I15" s="152" t="s">
        <v>102</v>
      </c>
    </row>
    <row r="16" spans="1:9" ht="30" customHeight="1">
      <c r="A16" s="144" t="s">
        <v>93</v>
      </c>
      <c r="B16" s="145">
        <f t="shared" si="0"/>
        <v>25.549903846153843</v>
      </c>
      <c r="C16" s="182">
        <f t="shared" si="1"/>
        <v>1.38</v>
      </c>
      <c r="D16" s="146">
        <v>18.514423076923077</v>
      </c>
      <c r="E16" s="147">
        <v>1.38</v>
      </c>
      <c r="F16" s="148">
        <f t="shared" si="2"/>
        <v>25.549903846153843</v>
      </c>
      <c r="G16" s="149" t="s">
        <v>120</v>
      </c>
      <c r="H16" s="150">
        <f>F16*Inputs!$D$9</f>
        <v>53143.799999999996</v>
      </c>
      <c r="I16" s="152" t="s">
        <v>121</v>
      </c>
    </row>
    <row r="17" spans="1:8" ht="16">
      <c r="A17" s="6"/>
      <c r="B17" s="6"/>
      <c r="C17" s="6"/>
      <c r="D17" s="6"/>
      <c r="E17" s="122"/>
      <c r="F17" s="6"/>
      <c r="H17" s="113"/>
    </row>
    <row r="18" spans="1:8" ht="80">
      <c r="A18" s="183" t="s">
        <v>452</v>
      </c>
    </row>
  </sheetData>
  <sortState xmlns:xlrd2="http://schemas.microsoft.com/office/spreadsheetml/2017/richdata2" ref="A6:F20">
    <sortCondition ref="A6:A20"/>
  </sortState>
  <pageMargins left="0.7" right="0.7" top="0.75" bottom="0.75" header="0.3" footer="0.3"/>
  <pageSetup orientation="portrait" horizontalDpi="1200" verticalDpi="12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25"/>
  <sheetViews>
    <sheetView showGridLines="0" zoomScale="75" zoomScaleNormal="75" zoomScalePageLayoutView="75" workbookViewId="0">
      <selection activeCell="G11" sqref="G11"/>
    </sheetView>
  </sheetViews>
  <sheetFormatPr baseColWidth="10" defaultColWidth="8.6640625" defaultRowHeight="15"/>
  <cols>
    <col min="1" max="3" width="17.1640625" customWidth="1"/>
    <col min="4" max="4" width="25.1640625" customWidth="1"/>
    <col min="5" max="5" width="20.6640625" customWidth="1"/>
    <col min="6" max="6" width="2.33203125" customWidth="1"/>
    <col min="7" max="7" width="29.6640625" customWidth="1"/>
    <col min="8" max="8" width="19.1640625" customWidth="1"/>
    <col min="9" max="9" width="18.5" customWidth="1"/>
    <col min="10" max="10" width="33.5" customWidth="1"/>
    <col min="11" max="11" width="16.1640625" customWidth="1"/>
    <col min="12" max="12" width="13.5" customWidth="1"/>
    <col min="13" max="14" width="14.6640625" customWidth="1"/>
    <col min="15" max="15" width="3.33203125" customWidth="1"/>
    <col min="16" max="16" width="25" customWidth="1"/>
    <col min="18" max="18" width="2.33203125" customWidth="1"/>
    <col min="19" max="20" width="18.33203125" customWidth="1"/>
    <col min="21" max="21" width="11.1640625" customWidth="1"/>
    <col min="22" max="22" width="3.5" customWidth="1"/>
    <col min="23" max="23" width="20.83203125" customWidth="1"/>
    <col min="24" max="24" width="3.5" customWidth="1"/>
    <col min="25" max="25" width="26.5" customWidth="1"/>
    <col min="26" max="26" width="3.1640625" customWidth="1"/>
    <col min="27" max="27" width="15.6640625" customWidth="1"/>
    <col min="29" max="29" width="18" customWidth="1"/>
  </cols>
  <sheetData>
    <row r="1" spans="1:34" ht="19">
      <c r="A1" s="153"/>
      <c r="B1" s="153"/>
      <c r="C1" s="154"/>
      <c r="D1" s="154"/>
      <c r="E1" s="154"/>
      <c r="F1" s="154"/>
      <c r="G1" s="154"/>
      <c r="H1" s="154"/>
      <c r="I1" s="154"/>
      <c r="J1" s="154"/>
      <c r="K1" s="154"/>
      <c r="L1" s="154"/>
      <c r="M1" s="155"/>
      <c r="N1" s="155"/>
      <c r="O1" s="155"/>
      <c r="P1" s="155"/>
      <c r="Q1" s="155"/>
      <c r="R1" s="155"/>
      <c r="S1" s="155"/>
      <c r="T1" s="155"/>
      <c r="U1" s="155"/>
      <c r="V1" s="155"/>
      <c r="W1" s="155"/>
      <c r="X1" s="155"/>
      <c r="Y1" s="155"/>
      <c r="Z1" s="155"/>
      <c r="AA1" s="155"/>
      <c r="AB1" s="155"/>
      <c r="AC1" s="155"/>
      <c r="AD1" s="155"/>
      <c r="AE1" s="155"/>
      <c r="AF1" s="155"/>
      <c r="AG1" s="155"/>
      <c r="AH1" s="155"/>
    </row>
    <row r="2" spans="1:34" ht="80">
      <c r="A2" s="141" t="s">
        <v>468</v>
      </c>
      <c r="B2" s="141" t="s">
        <v>469</v>
      </c>
      <c r="C2" s="141" t="s">
        <v>461</v>
      </c>
      <c r="D2" s="141" t="s">
        <v>127</v>
      </c>
      <c r="E2" s="156" t="s">
        <v>431</v>
      </c>
      <c r="F2" s="157"/>
      <c r="G2" s="156" t="s">
        <v>79</v>
      </c>
      <c r="H2" s="141" t="s">
        <v>407</v>
      </c>
      <c r="I2" s="158" t="s">
        <v>220</v>
      </c>
      <c r="J2" s="159" t="s">
        <v>81</v>
      </c>
      <c r="K2" s="156" t="s">
        <v>239</v>
      </c>
      <c r="L2" s="156"/>
      <c r="M2" s="141" t="s">
        <v>309</v>
      </c>
      <c r="N2" s="160" t="s">
        <v>430</v>
      </c>
      <c r="O2" s="157"/>
      <c r="P2" s="141" t="s">
        <v>348</v>
      </c>
      <c r="Q2" s="141" t="s">
        <v>358</v>
      </c>
      <c r="R2" s="157"/>
      <c r="S2" s="141" t="s">
        <v>478</v>
      </c>
      <c r="T2" s="141" t="s">
        <v>416</v>
      </c>
      <c r="U2" s="141" t="s">
        <v>417</v>
      </c>
      <c r="V2" s="155"/>
      <c r="W2" s="141" t="s">
        <v>392</v>
      </c>
      <c r="X2" s="155"/>
      <c r="Y2" s="161" t="s">
        <v>396</v>
      </c>
      <c r="Z2" s="155"/>
      <c r="AA2" s="161" t="s">
        <v>404</v>
      </c>
      <c r="AB2" s="155"/>
      <c r="AC2" s="161" t="s">
        <v>90</v>
      </c>
      <c r="AD2" s="155"/>
      <c r="AE2" s="155"/>
      <c r="AF2" s="155"/>
      <c r="AG2" s="155"/>
      <c r="AH2" s="155"/>
    </row>
    <row r="3" spans="1:34" ht="40">
      <c r="A3" s="162" t="s">
        <v>129</v>
      </c>
      <c r="B3" s="162" t="s">
        <v>341</v>
      </c>
      <c r="C3" s="163" t="s">
        <v>122</v>
      </c>
      <c r="D3" s="164" t="s">
        <v>64</v>
      </c>
      <c r="E3" s="165">
        <v>8.6999999999999994E-3</v>
      </c>
      <c r="F3" s="166"/>
      <c r="G3" s="165" t="s">
        <v>280</v>
      </c>
      <c r="H3" s="165" t="s">
        <v>409</v>
      </c>
      <c r="I3" s="167" t="s">
        <v>36</v>
      </c>
      <c r="J3" s="165" t="s">
        <v>60</v>
      </c>
      <c r="K3" s="167" t="s">
        <v>240</v>
      </c>
      <c r="L3" s="167"/>
      <c r="M3" s="167" t="s">
        <v>318</v>
      </c>
      <c r="N3" s="170">
        <v>0.3</v>
      </c>
      <c r="O3" s="166"/>
      <c r="P3" s="167" t="s">
        <v>349</v>
      </c>
      <c r="Q3" s="168">
        <f>Inputs!$D$38</f>
        <v>1</v>
      </c>
      <c r="R3" s="169"/>
      <c r="S3" s="167" t="s">
        <v>401</v>
      </c>
      <c r="T3" s="170">
        <v>20</v>
      </c>
      <c r="U3" s="171">
        <v>1</v>
      </c>
      <c r="V3" s="155"/>
      <c r="W3" s="168" t="s">
        <v>393</v>
      </c>
      <c r="X3" s="155"/>
      <c r="Y3" s="168" t="s">
        <v>397</v>
      </c>
      <c r="Z3" s="155"/>
      <c r="AA3" s="168" t="s">
        <v>408</v>
      </c>
      <c r="AB3" s="155"/>
      <c r="AC3" s="168" t="s">
        <v>421</v>
      </c>
      <c r="AD3" s="155"/>
      <c r="AE3" s="155"/>
      <c r="AF3" s="155"/>
      <c r="AG3" s="155"/>
      <c r="AH3" s="155"/>
    </row>
    <row r="4" spans="1:34" ht="76.5" customHeight="1">
      <c r="A4" s="162" t="s">
        <v>128</v>
      </c>
      <c r="B4" s="162" t="s">
        <v>470</v>
      </c>
      <c r="C4" s="163" t="s">
        <v>123</v>
      </c>
      <c r="D4" s="164" t="s">
        <v>63</v>
      </c>
      <c r="E4" s="165">
        <v>3.5999999999999999E-3</v>
      </c>
      <c r="F4" s="166"/>
      <c r="G4" s="165" t="s">
        <v>281</v>
      </c>
      <c r="H4" s="165" t="s">
        <v>410</v>
      </c>
      <c r="I4" s="167" t="s">
        <v>221</v>
      </c>
      <c r="J4" s="165" t="s">
        <v>61</v>
      </c>
      <c r="K4" s="172" t="s">
        <v>226</v>
      </c>
      <c r="L4" s="172"/>
      <c r="M4" s="167" t="s">
        <v>319</v>
      </c>
      <c r="N4" s="170">
        <v>0.19</v>
      </c>
      <c r="O4" s="166"/>
      <c r="P4" s="167" t="s">
        <v>16</v>
      </c>
      <c r="Q4" s="168">
        <f>Inputs!$D$36</f>
        <v>10</v>
      </c>
      <c r="R4" s="169"/>
      <c r="S4" s="167" t="s">
        <v>402</v>
      </c>
      <c r="T4" s="170">
        <v>20</v>
      </c>
      <c r="U4" s="171">
        <v>1</v>
      </c>
      <c r="V4" s="155"/>
      <c r="W4" s="168" t="s">
        <v>394</v>
      </c>
      <c r="X4" s="155"/>
      <c r="Y4" s="168" t="s">
        <v>398</v>
      </c>
      <c r="Z4" s="155"/>
      <c r="AA4" s="168" t="s">
        <v>405</v>
      </c>
      <c r="AB4" s="155"/>
      <c r="AC4" s="168" t="s">
        <v>422</v>
      </c>
      <c r="AD4" s="155"/>
      <c r="AE4" s="155"/>
      <c r="AF4" s="155"/>
      <c r="AG4" s="155"/>
      <c r="AH4" s="155"/>
    </row>
    <row r="5" spans="1:34" ht="60">
      <c r="A5" s="162" t="s">
        <v>279</v>
      </c>
      <c r="B5" s="162" t="s">
        <v>90</v>
      </c>
      <c r="C5" s="163" t="s">
        <v>166</v>
      </c>
      <c r="D5" s="164" t="s">
        <v>65</v>
      </c>
      <c r="E5" s="165">
        <v>6.4000000000000003E-3</v>
      </c>
      <c r="F5" s="166"/>
      <c r="G5" s="165" t="s">
        <v>80</v>
      </c>
      <c r="H5" s="173"/>
      <c r="I5" s="167" t="s">
        <v>361</v>
      </c>
      <c r="J5" s="165" t="s">
        <v>73</v>
      </c>
      <c r="K5" s="172" t="s">
        <v>384</v>
      </c>
      <c r="L5" s="172"/>
      <c r="M5" s="167" t="s">
        <v>385</v>
      </c>
      <c r="N5" s="170">
        <v>0.51</v>
      </c>
      <c r="O5" s="166"/>
      <c r="P5" s="167" t="s">
        <v>357</v>
      </c>
      <c r="Q5" s="168">
        <f>Inputs!$D$37</f>
        <v>20</v>
      </c>
      <c r="R5" s="169"/>
      <c r="S5" s="167" t="s">
        <v>403</v>
      </c>
      <c r="T5" s="170">
        <v>20</v>
      </c>
      <c r="U5" s="171">
        <v>1</v>
      </c>
      <c r="V5" s="155"/>
      <c r="W5" s="168" t="s">
        <v>395</v>
      </c>
      <c r="X5" s="155"/>
      <c r="Y5" s="168" t="s">
        <v>399</v>
      </c>
      <c r="Z5" s="155"/>
      <c r="AA5" s="168" t="s">
        <v>406</v>
      </c>
      <c r="AB5" s="155"/>
      <c r="AC5" s="168" t="s">
        <v>423</v>
      </c>
      <c r="AD5" s="155"/>
      <c r="AE5" s="155"/>
      <c r="AF5" s="155"/>
      <c r="AG5" s="155"/>
      <c r="AH5" s="155"/>
    </row>
    <row r="6" spans="1:34" ht="40">
      <c r="A6" s="162" t="s">
        <v>130</v>
      </c>
      <c r="B6" s="162" t="s">
        <v>471</v>
      </c>
      <c r="C6" s="163" t="s">
        <v>124</v>
      </c>
      <c r="D6" s="164" t="s">
        <v>66</v>
      </c>
      <c r="E6" s="165">
        <v>4.0000000000000001E-3</v>
      </c>
      <c r="F6" s="174"/>
      <c r="G6" s="174"/>
      <c r="H6" s="175"/>
      <c r="I6" s="176" t="s">
        <v>222</v>
      </c>
      <c r="J6" s="165" t="s">
        <v>62</v>
      </c>
      <c r="K6" s="177"/>
      <c r="L6" s="177"/>
      <c r="M6" s="155"/>
      <c r="N6" s="155"/>
      <c r="O6" s="169"/>
      <c r="P6" s="167" t="s">
        <v>165</v>
      </c>
      <c r="Q6" s="168">
        <f>Inputs!$D$39</f>
        <v>0</v>
      </c>
      <c r="R6" s="169"/>
      <c r="S6" s="167" t="s">
        <v>386</v>
      </c>
      <c r="T6" s="170">
        <v>15</v>
      </c>
      <c r="U6" s="171">
        <v>1.5</v>
      </c>
      <c r="V6" s="155"/>
      <c r="W6" s="155"/>
      <c r="X6" s="155"/>
      <c r="Y6" s="155"/>
      <c r="Z6" s="155"/>
      <c r="AA6" s="155"/>
      <c r="AB6" s="155"/>
      <c r="AC6" s="155"/>
      <c r="AD6" s="155"/>
      <c r="AE6" s="155"/>
      <c r="AF6" s="155"/>
      <c r="AG6" s="155"/>
      <c r="AH6" s="155"/>
    </row>
    <row r="7" spans="1:34" ht="60">
      <c r="A7" s="162" t="s">
        <v>131</v>
      </c>
      <c r="B7" s="162" t="s">
        <v>472</v>
      </c>
      <c r="C7" s="163" t="s">
        <v>34</v>
      </c>
      <c r="D7" s="164" t="s">
        <v>67</v>
      </c>
      <c r="E7" s="165">
        <v>9.5999999999999992E-3</v>
      </c>
      <c r="F7" s="174"/>
      <c r="G7" s="174"/>
      <c r="H7" s="174"/>
      <c r="I7" s="174"/>
      <c r="J7" s="165" t="s">
        <v>69</v>
      </c>
      <c r="K7" s="177"/>
      <c r="L7" s="177"/>
      <c r="M7" s="155"/>
      <c r="N7" s="155"/>
      <c r="O7" s="155"/>
      <c r="P7" s="167" t="s">
        <v>350</v>
      </c>
      <c r="Q7" s="168">
        <v>0</v>
      </c>
      <c r="R7" s="169"/>
      <c r="S7" s="167" t="s">
        <v>400</v>
      </c>
      <c r="T7" s="170">
        <v>20</v>
      </c>
      <c r="U7" s="171">
        <v>1</v>
      </c>
      <c r="V7" s="155"/>
      <c r="W7" s="155"/>
      <c r="X7" s="155"/>
      <c r="Y7" s="155"/>
      <c r="Z7" s="155"/>
      <c r="AA7" s="155"/>
      <c r="AB7" s="155"/>
      <c r="AC7" s="155"/>
      <c r="AD7" s="155"/>
      <c r="AE7" s="155"/>
      <c r="AF7" s="155"/>
      <c r="AG7" s="155"/>
      <c r="AH7" s="155"/>
    </row>
    <row r="8" spans="1:34" ht="20">
      <c r="A8" s="177"/>
      <c r="B8" s="163" t="s">
        <v>473</v>
      </c>
      <c r="C8" s="163" t="s">
        <v>35</v>
      </c>
      <c r="D8" s="164" t="s">
        <v>68</v>
      </c>
      <c r="E8" s="165">
        <v>0.01</v>
      </c>
      <c r="F8" s="174"/>
      <c r="G8" s="174"/>
      <c r="H8" s="174"/>
      <c r="I8" s="174"/>
      <c r="J8" s="165" t="s">
        <v>70</v>
      </c>
      <c r="K8" s="177"/>
      <c r="L8" s="177"/>
      <c r="M8" s="155"/>
      <c r="N8" s="155"/>
      <c r="O8" s="155"/>
      <c r="P8" s="155"/>
      <c r="Q8" s="155"/>
      <c r="R8" s="169"/>
      <c r="S8" s="167" t="s">
        <v>387</v>
      </c>
      <c r="T8" s="170">
        <v>15</v>
      </c>
      <c r="U8" s="171">
        <v>1</v>
      </c>
      <c r="V8" s="155"/>
      <c r="W8" s="155"/>
      <c r="X8" s="155"/>
      <c r="Y8" s="155"/>
      <c r="Z8" s="155"/>
      <c r="AA8" s="155"/>
      <c r="AB8" s="155"/>
      <c r="AC8" s="155"/>
      <c r="AD8" s="155"/>
      <c r="AE8" s="155"/>
      <c r="AF8" s="155"/>
      <c r="AG8" s="155"/>
      <c r="AH8" s="155"/>
    </row>
    <row r="9" spans="1:34" ht="40">
      <c r="A9" s="177"/>
      <c r="B9" s="163" t="s">
        <v>474</v>
      </c>
      <c r="C9" s="163" t="s">
        <v>16</v>
      </c>
      <c r="D9" s="181" t="s">
        <v>449</v>
      </c>
      <c r="E9" s="174"/>
      <c r="F9" s="174"/>
      <c r="G9" s="174"/>
      <c r="H9" s="174"/>
      <c r="I9" s="174"/>
      <c r="J9" s="165" t="s">
        <v>71</v>
      </c>
      <c r="K9" s="177"/>
      <c r="L9" s="177"/>
      <c r="M9" s="155"/>
      <c r="N9" s="155"/>
      <c r="O9" s="155"/>
      <c r="P9" s="155"/>
      <c r="Q9" s="155"/>
      <c r="R9" s="155"/>
      <c r="S9" s="167" t="s">
        <v>383</v>
      </c>
      <c r="T9" s="170">
        <v>25</v>
      </c>
      <c r="U9" s="178">
        <v>1</v>
      </c>
      <c r="V9" s="155"/>
      <c r="W9" s="155"/>
      <c r="X9" s="155"/>
      <c r="Y9" s="155"/>
      <c r="Z9" s="155"/>
      <c r="AA9" s="155"/>
      <c r="AB9" s="155"/>
      <c r="AC9" s="155"/>
      <c r="AD9" s="155"/>
      <c r="AE9" s="155"/>
      <c r="AF9" s="155"/>
      <c r="AG9" s="155"/>
      <c r="AH9" s="155"/>
    </row>
    <row r="10" spans="1:34" ht="40">
      <c r="A10" s="177"/>
      <c r="B10" s="177"/>
      <c r="C10" s="163" t="s">
        <v>125</v>
      </c>
      <c r="D10" s="174"/>
      <c r="E10" s="174"/>
      <c r="F10" s="174"/>
      <c r="G10" s="174"/>
      <c r="H10" s="174"/>
      <c r="I10" s="177"/>
      <c r="J10" s="165" t="s">
        <v>74</v>
      </c>
      <c r="K10" s="177"/>
      <c r="L10" s="177"/>
      <c r="M10" s="155"/>
      <c r="N10" s="155"/>
      <c r="O10" s="155"/>
      <c r="P10" s="155"/>
      <c r="Q10" s="155"/>
      <c r="R10" s="155"/>
      <c r="S10" s="167" t="s">
        <v>388</v>
      </c>
      <c r="T10" s="170">
        <v>40</v>
      </c>
      <c r="U10" s="178">
        <v>2</v>
      </c>
      <c r="V10" s="155"/>
      <c r="W10" s="155"/>
      <c r="X10" s="155"/>
      <c r="Y10" s="155"/>
      <c r="Z10" s="155"/>
      <c r="AA10" s="155"/>
      <c r="AB10" s="155"/>
      <c r="AC10" s="155"/>
      <c r="AD10" s="155"/>
      <c r="AE10" s="155"/>
      <c r="AF10" s="155"/>
      <c r="AG10" s="155"/>
      <c r="AH10" s="155"/>
    </row>
    <row r="11" spans="1:34" ht="40">
      <c r="A11" s="177"/>
      <c r="B11" s="177"/>
      <c r="C11" s="163" t="s">
        <v>165</v>
      </c>
      <c r="D11" s="174"/>
      <c r="E11" s="174"/>
      <c r="F11" s="174"/>
      <c r="G11" s="174"/>
      <c r="H11" s="174"/>
      <c r="I11" s="177"/>
      <c r="J11" s="165" t="s">
        <v>75</v>
      </c>
      <c r="K11" s="177"/>
      <c r="L11" s="177"/>
      <c r="M11" s="155"/>
      <c r="N11" s="155"/>
      <c r="O11" s="155"/>
      <c r="P11" s="155"/>
      <c r="Q11" s="155"/>
      <c r="R11" s="155"/>
      <c r="S11" s="167" t="s">
        <v>389</v>
      </c>
      <c r="T11" s="170">
        <v>50</v>
      </c>
      <c r="U11" s="178">
        <v>1</v>
      </c>
      <c r="V11" s="155"/>
      <c r="W11" s="155"/>
      <c r="X11" s="155"/>
      <c r="Y11" s="155"/>
      <c r="Z11" s="155"/>
      <c r="AA11" s="155"/>
      <c r="AB11" s="155"/>
      <c r="AC11" s="155"/>
      <c r="AD11" s="155"/>
      <c r="AE11" s="155"/>
      <c r="AF11" s="155"/>
      <c r="AG11" s="155"/>
      <c r="AH11" s="155"/>
    </row>
    <row r="12" spans="1:34" ht="20">
      <c r="A12" s="177"/>
      <c r="B12" s="177"/>
      <c r="C12" s="163" t="s">
        <v>126</v>
      </c>
      <c r="D12" s="174"/>
      <c r="E12" s="174"/>
      <c r="F12" s="174"/>
      <c r="G12" s="174"/>
      <c r="H12" s="174"/>
      <c r="I12" s="177"/>
      <c r="J12" s="165" t="s">
        <v>72</v>
      </c>
      <c r="K12" s="177"/>
      <c r="L12" s="177"/>
      <c r="M12" s="155"/>
      <c r="N12" s="155"/>
      <c r="O12" s="155"/>
      <c r="P12" s="155"/>
      <c r="Q12" s="155"/>
      <c r="R12" s="155"/>
      <c r="S12" s="167" t="s">
        <v>390</v>
      </c>
      <c r="T12" s="170">
        <v>50</v>
      </c>
      <c r="U12" s="178">
        <v>0.5</v>
      </c>
      <c r="V12" s="155"/>
      <c r="W12" s="155"/>
      <c r="X12" s="155"/>
      <c r="Y12" s="155"/>
      <c r="Z12" s="155"/>
      <c r="AA12" s="155"/>
      <c r="AB12" s="155"/>
      <c r="AC12" s="155"/>
      <c r="AD12" s="155"/>
      <c r="AE12" s="155"/>
      <c r="AF12" s="155"/>
      <c r="AG12" s="155"/>
      <c r="AH12" s="155"/>
    </row>
    <row r="13" spans="1:34" ht="40">
      <c r="A13" s="177"/>
      <c r="B13" s="177"/>
      <c r="C13" s="163" t="s">
        <v>475</v>
      </c>
      <c r="D13" s="174"/>
      <c r="E13" s="174"/>
      <c r="F13" s="174"/>
      <c r="G13" s="174"/>
      <c r="H13" s="174"/>
      <c r="I13" s="177"/>
      <c r="J13" s="165" t="s">
        <v>76</v>
      </c>
      <c r="K13" s="177"/>
      <c r="L13" s="177"/>
      <c r="M13" s="155"/>
      <c r="N13" s="155"/>
      <c r="O13" s="155"/>
      <c r="P13" s="155"/>
      <c r="Q13" s="155"/>
      <c r="R13" s="155"/>
      <c r="S13" s="167" t="s">
        <v>391</v>
      </c>
      <c r="T13" s="170">
        <v>50</v>
      </c>
      <c r="U13" s="178">
        <v>1</v>
      </c>
      <c r="V13" s="155"/>
      <c r="W13" s="155"/>
      <c r="X13" s="155"/>
      <c r="Y13" s="155"/>
      <c r="Z13" s="155"/>
      <c r="AA13" s="155"/>
      <c r="AB13" s="155"/>
      <c r="AC13" s="155"/>
      <c r="AD13" s="155"/>
      <c r="AE13" s="155"/>
      <c r="AF13" s="155"/>
      <c r="AG13" s="155"/>
      <c r="AH13" s="155"/>
    </row>
    <row r="14" spans="1:34" ht="40">
      <c r="A14" s="177"/>
      <c r="B14" s="177"/>
      <c r="C14" s="163" t="s">
        <v>30</v>
      </c>
      <c r="D14" s="177"/>
      <c r="E14" s="177"/>
      <c r="F14" s="177"/>
      <c r="G14" s="177"/>
      <c r="H14" s="177"/>
      <c r="I14" s="177"/>
      <c r="J14" s="165" t="s">
        <v>77</v>
      </c>
      <c r="K14" s="177"/>
      <c r="L14" s="177"/>
      <c r="M14" s="155"/>
      <c r="N14" s="155"/>
      <c r="O14" s="155"/>
      <c r="P14" s="155"/>
      <c r="Q14" s="155"/>
      <c r="R14" s="155"/>
      <c r="S14" s="181" t="s">
        <v>450</v>
      </c>
      <c r="T14" s="155"/>
      <c r="U14" s="155"/>
      <c r="V14" s="155"/>
      <c r="W14" s="155"/>
      <c r="X14" s="155"/>
      <c r="Y14" s="155"/>
      <c r="Z14" s="155"/>
      <c r="AA14" s="155"/>
      <c r="AB14" s="155"/>
      <c r="AC14" s="155"/>
      <c r="AD14" s="155"/>
      <c r="AE14" s="155"/>
      <c r="AF14" s="155"/>
      <c r="AG14" s="155"/>
      <c r="AH14" s="155"/>
    </row>
    <row r="15" spans="1:34" ht="60">
      <c r="A15" s="177"/>
      <c r="B15" s="177"/>
      <c r="C15" s="163" t="s">
        <v>37</v>
      </c>
      <c r="D15" s="177"/>
      <c r="E15" s="177"/>
      <c r="F15" s="177"/>
      <c r="G15" s="177"/>
      <c r="H15" s="177"/>
      <c r="I15" s="177"/>
      <c r="J15" s="165" t="s">
        <v>78</v>
      </c>
      <c r="K15" s="177"/>
      <c r="L15" s="177"/>
      <c r="M15" s="155"/>
      <c r="N15" s="155"/>
      <c r="O15" s="155"/>
      <c r="P15" s="155"/>
      <c r="Q15" s="155"/>
      <c r="R15" s="155"/>
      <c r="S15" s="155"/>
      <c r="T15" s="155"/>
      <c r="U15" s="155"/>
      <c r="V15" s="155"/>
      <c r="W15" s="155"/>
      <c r="X15" s="155"/>
      <c r="Y15" s="155"/>
      <c r="Z15" s="155"/>
      <c r="AA15" s="155"/>
      <c r="AB15" s="155"/>
      <c r="AC15" s="155"/>
      <c r="AD15" s="155"/>
      <c r="AE15" s="155"/>
      <c r="AF15" s="155"/>
      <c r="AG15" s="155"/>
      <c r="AH15" s="155"/>
    </row>
    <row r="16" spans="1:34" ht="19">
      <c r="A16" s="177"/>
      <c r="B16" s="177"/>
      <c r="C16" s="163" t="s">
        <v>17</v>
      </c>
      <c r="D16" s="177"/>
      <c r="E16" s="177"/>
      <c r="F16" s="177"/>
      <c r="G16" s="177"/>
      <c r="H16" s="177"/>
      <c r="I16" s="177"/>
      <c r="J16" s="177"/>
      <c r="K16" s="177"/>
      <c r="L16" s="177"/>
      <c r="M16" s="155"/>
      <c r="N16" s="155"/>
      <c r="O16" s="155"/>
      <c r="P16" s="155"/>
      <c r="Q16" s="155"/>
      <c r="R16" s="155"/>
      <c r="S16" s="155"/>
      <c r="T16" s="155"/>
      <c r="U16" s="155"/>
      <c r="V16" s="155"/>
      <c r="W16" s="155"/>
      <c r="X16" s="155"/>
      <c r="Y16" s="155"/>
      <c r="Z16" s="155"/>
      <c r="AA16" s="155"/>
      <c r="AB16" s="155"/>
      <c r="AC16" s="155"/>
      <c r="AD16" s="155"/>
      <c r="AE16" s="155"/>
      <c r="AF16" s="155"/>
      <c r="AG16" s="155"/>
      <c r="AH16" s="155"/>
    </row>
    <row r="17" spans="1:34" ht="36" customHeight="1">
      <c r="A17" s="177"/>
      <c r="B17" s="177"/>
      <c r="C17" s="163" t="s">
        <v>476</v>
      </c>
      <c r="D17" s="177"/>
      <c r="E17" s="177"/>
      <c r="F17" s="177"/>
      <c r="G17" s="177"/>
      <c r="H17" s="177"/>
      <c r="I17" s="177"/>
      <c r="J17" s="177"/>
      <c r="K17" s="177"/>
      <c r="L17" s="177"/>
      <c r="M17" s="155"/>
      <c r="N17" s="155"/>
      <c r="O17" s="155"/>
      <c r="P17" s="155"/>
      <c r="Q17" s="155"/>
      <c r="R17" s="155"/>
      <c r="S17" s="155"/>
      <c r="T17" s="155"/>
      <c r="U17" s="155"/>
      <c r="V17" s="155"/>
      <c r="W17" s="155"/>
      <c r="X17" s="155"/>
      <c r="Y17" s="155"/>
      <c r="Z17" s="155"/>
      <c r="AA17" s="155"/>
      <c r="AB17" s="155"/>
      <c r="AC17" s="155"/>
      <c r="AD17" s="155"/>
      <c r="AE17" s="155"/>
      <c r="AF17" s="155"/>
      <c r="AG17" s="155"/>
      <c r="AH17" s="155"/>
    </row>
    <row r="18" spans="1:34" ht="19">
      <c r="A18" s="177"/>
      <c r="B18" s="177"/>
      <c r="C18" s="174"/>
      <c r="D18" s="177"/>
      <c r="E18" s="177"/>
      <c r="F18" s="177"/>
      <c r="G18" s="177"/>
      <c r="H18" s="177"/>
      <c r="I18" s="177"/>
      <c r="J18" s="177"/>
      <c r="K18" s="177"/>
      <c r="L18" s="177"/>
      <c r="M18" s="155"/>
      <c r="N18" s="155"/>
      <c r="O18" s="155"/>
      <c r="P18" s="155"/>
      <c r="Q18" s="155"/>
      <c r="R18" s="155"/>
      <c r="S18" s="155"/>
      <c r="T18" s="155"/>
      <c r="U18" s="155"/>
      <c r="V18" s="155"/>
      <c r="W18" s="155"/>
      <c r="X18" s="155"/>
      <c r="Y18" s="155"/>
      <c r="Z18" s="155"/>
      <c r="AA18" s="155"/>
      <c r="AB18" s="155"/>
      <c r="AC18" s="155"/>
      <c r="AD18" s="155"/>
      <c r="AE18" s="155"/>
      <c r="AF18" s="155"/>
      <c r="AG18" s="155"/>
      <c r="AH18" s="155"/>
    </row>
    <row r="19" spans="1:34" ht="19">
      <c r="A19" s="177"/>
      <c r="B19" s="177"/>
      <c r="C19" s="174"/>
      <c r="D19" s="177"/>
      <c r="E19" s="177"/>
      <c r="F19" s="177"/>
      <c r="G19" s="177"/>
      <c r="H19" s="177"/>
      <c r="I19" s="177"/>
      <c r="J19" s="177"/>
      <c r="K19" s="177"/>
      <c r="L19" s="177"/>
      <c r="M19" s="155"/>
      <c r="N19" s="155"/>
      <c r="O19" s="155"/>
      <c r="P19" s="155"/>
      <c r="Q19" s="155"/>
      <c r="R19" s="155"/>
      <c r="S19" s="155"/>
      <c r="T19" s="155"/>
      <c r="U19" s="155"/>
      <c r="V19" s="155"/>
      <c r="W19" s="155"/>
      <c r="X19" s="155"/>
      <c r="Y19" s="155"/>
      <c r="Z19" s="155"/>
      <c r="AA19" s="155"/>
      <c r="AB19" s="155"/>
      <c r="AC19" s="155"/>
      <c r="AD19" s="155"/>
      <c r="AE19" s="155"/>
      <c r="AF19" s="155"/>
      <c r="AG19" s="155"/>
      <c r="AH19" s="155"/>
    </row>
    <row r="20" spans="1:34" ht="19">
      <c r="A20" s="177"/>
      <c r="B20" s="177"/>
      <c r="C20" s="177"/>
      <c r="D20" s="177"/>
      <c r="E20" s="177"/>
      <c r="F20" s="177"/>
      <c r="G20" s="177"/>
      <c r="H20" s="177"/>
      <c r="I20" s="177"/>
      <c r="J20" s="177"/>
      <c r="K20" s="177"/>
      <c r="L20" s="177"/>
      <c r="M20" s="155"/>
      <c r="N20" s="155"/>
      <c r="O20" s="155"/>
      <c r="P20" s="155"/>
      <c r="Q20" s="155"/>
      <c r="R20" s="155"/>
      <c r="S20" s="155"/>
      <c r="T20" s="155"/>
      <c r="U20" s="155"/>
      <c r="V20" s="155"/>
      <c r="W20" s="155"/>
      <c r="X20" s="155"/>
      <c r="Y20" s="155"/>
      <c r="Z20" s="155"/>
      <c r="AA20" s="155"/>
      <c r="AB20" s="155"/>
      <c r="AC20" s="155"/>
      <c r="AD20" s="155"/>
      <c r="AE20" s="155"/>
      <c r="AF20" s="155"/>
      <c r="AG20" s="155"/>
      <c r="AH20" s="155"/>
    </row>
    <row r="21" spans="1:34" ht="19">
      <c r="A21" s="155"/>
      <c r="B21" s="155"/>
      <c r="C21" s="155"/>
      <c r="D21" s="155"/>
      <c r="E21" s="155"/>
      <c r="F21" s="155"/>
      <c r="G21" s="155"/>
      <c r="H21" s="155"/>
      <c r="I21" s="155"/>
      <c r="J21" s="155"/>
      <c r="K21" s="155"/>
      <c r="L21" s="155"/>
      <c r="M21" s="155"/>
      <c r="N21" s="155"/>
      <c r="O21" s="155"/>
      <c r="P21" s="155"/>
      <c r="Q21" s="155"/>
      <c r="R21" s="155"/>
      <c r="S21" s="155"/>
      <c r="T21" s="155"/>
      <c r="U21" s="155"/>
      <c r="V21" s="155"/>
      <c r="W21" s="155"/>
      <c r="X21" s="155"/>
      <c r="Y21" s="155"/>
      <c r="Z21" s="155"/>
      <c r="AA21" s="155"/>
      <c r="AB21" s="155"/>
      <c r="AC21" s="155"/>
      <c r="AD21" s="155"/>
      <c r="AE21" s="155"/>
      <c r="AF21" s="155"/>
      <c r="AG21" s="155"/>
      <c r="AH21" s="155"/>
    </row>
    <row r="22" spans="1:34" ht="19">
      <c r="A22" s="155"/>
      <c r="B22" s="155"/>
      <c r="C22" s="155"/>
      <c r="D22" s="155"/>
      <c r="E22" s="155"/>
      <c r="F22" s="155"/>
      <c r="G22" s="155"/>
      <c r="H22" s="155"/>
      <c r="I22" s="155"/>
      <c r="J22" s="155"/>
      <c r="K22" s="155"/>
      <c r="L22" s="155"/>
      <c r="M22" s="155"/>
      <c r="N22" s="155"/>
      <c r="O22" s="155"/>
      <c r="P22" s="155"/>
      <c r="Q22" s="155"/>
      <c r="R22" s="155"/>
      <c r="S22" s="155"/>
      <c r="T22" s="155"/>
      <c r="U22" s="155"/>
      <c r="V22" s="155"/>
      <c r="W22" s="155"/>
      <c r="X22" s="155"/>
      <c r="Y22" s="155"/>
      <c r="Z22" s="155"/>
      <c r="AA22" s="155"/>
      <c r="AB22" s="155"/>
      <c r="AC22" s="155"/>
      <c r="AD22" s="155"/>
      <c r="AE22" s="155"/>
      <c r="AF22" s="155"/>
      <c r="AG22" s="155"/>
      <c r="AH22" s="155"/>
    </row>
    <row r="23" spans="1:34" ht="19">
      <c r="A23" s="155"/>
      <c r="B23" s="155"/>
      <c r="C23" s="155"/>
      <c r="D23" s="155"/>
      <c r="E23" s="155"/>
      <c r="F23" s="155"/>
      <c r="G23" s="155"/>
      <c r="H23" s="155"/>
      <c r="I23" s="155"/>
      <c r="J23" s="155"/>
      <c r="K23" s="155"/>
      <c r="L23" s="155"/>
      <c r="M23" s="155"/>
      <c r="N23" s="155"/>
      <c r="O23" s="155"/>
      <c r="P23" s="155"/>
      <c r="Q23" s="155"/>
      <c r="R23" s="155"/>
      <c r="S23" s="155"/>
      <c r="T23" s="155"/>
      <c r="U23" s="155"/>
      <c r="V23" s="155"/>
      <c r="W23" s="155"/>
      <c r="X23" s="155"/>
      <c r="Y23" s="155"/>
      <c r="Z23" s="155"/>
      <c r="AA23" s="155"/>
      <c r="AB23" s="155"/>
      <c r="AC23" s="155"/>
      <c r="AD23" s="155"/>
      <c r="AE23" s="155"/>
      <c r="AF23" s="155"/>
      <c r="AG23" s="155"/>
      <c r="AH23" s="155"/>
    </row>
    <row r="24" spans="1:34" ht="19">
      <c r="A24" s="155"/>
      <c r="B24" s="155"/>
      <c r="C24" s="155"/>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5"/>
      <c r="AH24" s="155"/>
    </row>
    <row r="25" spans="1:34" ht="19">
      <c r="A25" s="155"/>
      <c r="B25" s="155"/>
      <c r="C25" s="155"/>
      <c r="D25" s="155"/>
      <c r="E25" s="155"/>
      <c r="F25" s="155"/>
      <c r="G25" s="155"/>
      <c r="H25" s="155"/>
      <c r="I25" s="155"/>
      <c r="J25" s="155"/>
      <c r="K25" s="155"/>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row>
  </sheetData>
  <sortState xmlns:xlrd2="http://schemas.microsoft.com/office/spreadsheetml/2017/richdata2" ref="P17:Q21">
    <sortCondition ref="P17:P21"/>
  </sortState>
  <pageMargins left="0.7" right="0.7" top="0.75" bottom="0.75" header="0.3" footer="0.3"/>
  <pageSetup orientation="portrait" horizontalDpi="4294967292" verticalDpi="4294967292"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6:M37"/>
  <sheetViews>
    <sheetView showGridLines="0" zoomScale="110" zoomScaleNormal="110" zoomScalePageLayoutView="80" workbookViewId="0">
      <selection activeCell="A30" sqref="A30"/>
    </sheetView>
  </sheetViews>
  <sheetFormatPr baseColWidth="10" defaultColWidth="8.6640625" defaultRowHeight="15"/>
  <cols>
    <col min="1" max="1" width="14" customWidth="1"/>
    <col min="4" max="4" width="12.6640625" customWidth="1"/>
    <col min="5" max="5" width="15.33203125" customWidth="1"/>
    <col min="9" max="14" width="8.6640625" customWidth="1"/>
  </cols>
  <sheetData>
    <row r="6" spans="1:13">
      <c r="A6" t="s">
        <v>443</v>
      </c>
    </row>
    <row r="7" spans="1:13">
      <c r="A7" s="3"/>
    </row>
    <row r="8" spans="1:13">
      <c r="A8" s="3" t="s">
        <v>373</v>
      </c>
    </row>
    <row r="9" spans="1:13">
      <c r="A9" s="3"/>
    </row>
    <row r="10" spans="1:13">
      <c r="A10" s="3"/>
    </row>
    <row r="11" spans="1:13">
      <c r="A11" s="3"/>
    </row>
    <row r="12" spans="1:13" ht="16">
      <c r="A12" s="101" t="s">
        <v>327</v>
      </c>
      <c r="D12" s="100" t="s">
        <v>338</v>
      </c>
      <c r="E12" s="100" t="s">
        <v>347</v>
      </c>
    </row>
    <row r="13" spans="1:13">
      <c r="A13" s="94" t="s">
        <v>328</v>
      </c>
      <c r="B13" s="91"/>
      <c r="D13" t="s">
        <v>339</v>
      </c>
      <c r="E13" s="195" t="s">
        <v>372</v>
      </c>
      <c r="F13" s="195"/>
      <c r="G13" s="195"/>
      <c r="H13" s="195"/>
      <c r="I13" s="195"/>
      <c r="J13" s="195"/>
      <c r="K13" s="195"/>
      <c r="L13" s="195"/>
      <c r="M13" s="195"/>
    </row>
    <row r="14" spans="1:13">
      <c r="A14" s="94" t="s">
        <v>354</v>
      </c>
      <c r="B14" s="91"/>
      <c r="D14" t="s">
        <v>339</v>
      </c>
      <c r="E14" t="s">
        <v>332</v>
      </c>
    </row>
    <row r="15" spans="1:13">
      <c r="A15" s="94" t="s">
        <v>353</v>
      </c>
      <c r="B15" s="91"/>
      <c r="D15" t="s">
        <v>339</v>
      </c>
      <c r="E15" t="s">
        <v>331</v>
      </c>
    </row>
    <row r="16" spans="1:13">
      <c r="A16" s="94" t="s">
        <v>355</v>
      </c>
      <c r="B16" s="91"/>
      <c r="D16" t="s">
        <v>339</v>
      </c>
      <c r="E16" t="s">
        <v>333</v>
      </c>
    </row>
    <row r="17" spans="1:5">
      <c r="A17" s="94" t="s">
        <v>329</v>
      </c>
      <c r="B17" s="91"/>
      <c r="D17" t="s">
        <v>339</v>
      </c>
      <c r="E17" t="s">
        <v>330</v>
      </c>
    </row>
    <row r="18" spans="1:5">
      <c r="A18" s="94" t="s">
        <v>334</v>
      </c>
      <c r="B18" s="91"/>
      <c r="D18" t="s">
        <v>340</v>
      </c>
      <c r="E18" t="s">
        <v>335</v>
      </c>
    </row>
    <row r="19" spans="1:5">
      <c r="A19" s="94" t="s">
        <v>336</v>
      </c>
      <c r="B19" s="91"/>
      <c r="D19" t="s">
        <v>340</v>
      </c>
      <c r="E19" t="s">
        <v>337</v>
      </c>
    </row>
    <row r="20" spans="1:5">
      <c r="A20" s="94" t="s">
        <v>341</v>
      </c>
      <c r="B20" s="91"/>
      <c r="D20" t="s">
        <v>342</v>
      </c>
      <c r="E20" t="s">
        <v>364</v>
      </c>
    </row>
    <row r="21" spans="1:5">
      <c r="A21" s="102"/>
    </row>
    <row r="22" spans="1:5" ht="16">
      <c r="A22" s="101" t="s">
        <v>343</v>
      </c>
    </row>
    <row r="23" spans="1:5">
      <c r="A23" s="94" t="s">
        <v>344</v>
      </c>
      <c r="E23" s="92" t="s">
        <v>315</v>
      </c>
    </row>
    <row r="24" spans="1:5">
      <c r="A24" s="94" t="s">
        <v>345</v>
      </c>
      <c r="E24" s="103" t="s">
        <v>315</v>
      </c>
    </row>
    <row r="25" spans="1:5">
      <c r="A25" s="94" t="s">
        <v>360</v>
      </c>
      <c r="E25" s="110" t="s">
        <v>315</v>
      </c>
    </row>
    <row r="26" spans="1:5">
      <c r="A26" s="94" t="s">
        <v>374</v>
      </c>
      <c r="E26" s="104" t="s">
        <v>315</v>
      </c>
    </row>
    <row r="27" spans="1:5">
      <c r="A27" s="94" t="s">
        <v>346</v>
      </c>
      <c r="E27" s="93" t="s">
        <v>315</v>
      </c>
    </row>
    <row r="28" spans="1:5">
      <c r="A28" s="94"/>
    </row>
    <row r="29" spans="1:5">
      <c r="A29" s="91" t="s">
        <v>316</v>
      </c>
    </row>
    <row r="30" spans="1:5">
      <c r="A30" t="s">
        <v>479</v>
      </c>
    </row>
    <row r="31" spans="1:5" s="112" customFormat="1" ht="19">
      <c r="A31" s="111" t="s">
        <v>371</v>
      </c>
    </row>
    <row r="32" spans="1:5">
      <c r="A32" t="s">
        <v>365</v>
      </c>
    </row>
    <row r="33" spans="1:1">
      <c r="A33" t="s">
        <v>366</v>
      </c>
    </row>
    <row r="34" spans="1:1">
      <c r="A34" t="s">
        <v>367</v>
      </c>
    </row>
    <row r="35" spans="1:1">
      <c r="A35" t="s">
        <v>368</v>
      </c>
    </row>
    <row r="36" spans="1:1">
      <c r="A36" t="s">
        <v>369</v>
      </c>
    </row>
    <row r="37" spans="1:1">
      <c r="A37" t="s">
        <v>370</v>
      </c>
    </row>
  </sheetData>
  <mergeCells count="1">
    <mergeCell ref="E13:M13"/>
  </mergeCells>
  <pageMargins left="0.7" right="0.7" top="0.75" bottom="0.75" header="0.3" footer="0.3"/>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Inputs</vt:lpstr>
      <vt:lpstr>Report</vt:lpstr>
      <vt:lpstr>Detailed Measures</vt:lpstr>
      <vt:lpstr>Labor Rates</vt:lpstr>
      <vt:lpstr>Lists</vt:lpstr>
      <vt:lpstr>Instructions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tjkeating@gmail.com</dc:creator>
  <cp:lastModifiedBy>Tom Tansy</cp:lastModifiedBy>
  <cp:lastPrinted>2014-05-30T21:30:32Z</cp:lastPrinted>
  <dcterms:created xsi:type="dcterms:W3CDTF">2013-01-15T19:26:10Z</dcterms:created>
  <dcterms:modified xsi:type="dcterms:W3CDTF">2021-03-01T20:58:02Z</dcterms:modified>
</cp:coreProperties>
</file>